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2.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3.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4.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5.xml" ContentType="application/vnd.openxmlformats-officedocument.themeOverrid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6.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7.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8.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U:\Data\2025-26 Combined Reading and Writing\"/>
    </mc:Choice>
  </mc:AlternateContent>
  <xr:revisionPtr revIDLastSave="0" documentId="13_ncr:1_{83AE900E-A093-4DB0-A3B4-5F61B3080B26}" xr6:coauthVersionLast="47" xr6:coauthVersionMax="47" xr10:uidLastSave="{00000000-0000-0000-0000-000000000000}"/>
  <bookViews>
    <workbookView xWindow="28680" yWindow="-120" windowWidth="29040" windowHeight="15720" tabRatio="809" activeTab="5" xr2:uid="{00000000-000D-0000-FFFF-FFFF00000000}"/>
  </bookViews>
  <sheets>
    <sheet name="Home" sheetId="46" r:id="rId1"/>
    <sheet name="ELA Reading Data" sheetId="30" r:id="rId2"/>
    <sheet name="FLA Reading Data" sheetId="31" r:id="rId3"/>
    <sheet name="ELA Writing Data" sheetId="50" r:id="rId4"/>
    <sheet name="FLA Writing Data" sheetId="51" r:id="rId5"/>
    <sheet name="Student and Homeroom RW" sheetId="57" r:id="rId6"/>
    <sheet name="Student and Homeroom Writing" sheetId="53" r:id="rId7"/>
    <sheet name="Meeting Report by Pull" sheetId="52" r:id="rId8"/>
    <sheet name="COIL Report by Pull" sheetId="54" r:id="rId9"/>
    <sheet name="Reading by Pull" sheetId="40" r:id="rId10"/>
    <sheet name="Reading Report Summary" sheetId="44" r:id="rId11"/>
    <sheet name="School Pull Details" sheetId="45" r:id="rId12"/>
    <sheet name="Teacher Reading Pull Sheets" sheetId="55" r:id="rId13"/>
    <sheet name="Reading All Pulls Compare" sheetId="41" r:id="rId14"/>
    <sheet name="Writing Logic" sheetId="49" r:id="rId15"/>
    <sheet name="ELA Reading Logic" sheetId="48" r:id="rId16"/>
    <sheet name="FLA Reading Logic" sheetId="47" r:id="rId17"/>
    <sheet name="Reading Report Logic" sheetId="34" r:id="rId18"/>
  </sheets>
  <definedNames>
    <definedName name="_xlnm._FilterDatabase" localSheetId="1" hidden="1">'ELA Reading Data'!$A$1:$AT$250</definedName>
    <definedName name="_xlnm._FilterDatabase" localSheetId="2" hidden="1">'FLA Reading Data'!$D$1:$D$1</definedName>
    <definedName name="_xleta.AND" hidden="1" xlm="1">#NAME?</definedName>
    <definedName name="_xleta.INDIRECT" hidden="1" xlm="1">#NAME?</definedName>
    <definedName name="_xleta.MAX" hidden="1" xlm="1">#NAME?</definedName>
    <definedName name="_xleta.MIN" hidden="1" xlm="1">#NAME?</definedName>
    <definedName name="_xlnm.Print_Area" localSheetId="12">'Teacher Reading Pull Sheets'!$B$5:$J$780</definedName>
    <definedName name="_xlnm.Print_Titles" localSheetId="8">'COIL Report by Pull'!$1:$7</definedName>
    <definedName name="_xlnm.Print_Titles" localSheetId="5">'Student and Homeroom RW'!$1:$8</definedName>
    <definedName name="_xlnm.Print_Titles" localSheetId="6">'Student and Homeroom Writing'!$1:$8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2" i="55" l="1" a="1"/>
  <c r="D192" i="55" s="1"/>
  <c r="B193" i="55"/>
  <c r="AH5" i="51"/>
  <c r="AN5" i="51"/>
  <c r="AT5" i="51"/>
  <c r="AH6" i="51"/>
  <c r="AN6" i="51"/>
  <c r="AT6" i="51"/>
  <c r="AH7" i="51"/>
  <c r="AN7" i="51"/>
  <c r="AT7" i="51"/>
  <c r="AH8" i="51"/>
  <c r="AN8" i="51"/>
  <c r="AT8" i="51"/>
  <c r="AH9" i="51"/>
  <c r="AN9" i="51"/>
  <c r="AT9" i="51"/>
  <c r="AH10" i="51"/>
  <c r="AN10" i="51"/>
  <c r="AT10" i="51"/>
  <c r="AH11" i="51"/>
  <c r="AN11" i="51"/>
  <c r="AT11" i="51"/>
  <c r="AH12" i="51"/>
  <c r="AN12" i="51"/>
  <c r="AT12" i="51"/>
  <c r="AH13" i="51"/>
  <c r="AN13" i="51"/>
  <c r="AT13" i="51"/>
  <c r="AH14" i="51"/>
  <c r="AN14" i="51"/>
  <c r="AT14" i="51"/>
  <c r="AU14" i="51" s="1"/>
  <c r="AH15" i="51"/>
  <c r="AI15" i="51" s="1"/>
  <c r="AN15" i="51"/>
  <c r="AO15" i="51" s="1"/>
  <c r="AT15" i="51"/>
  <c r="AH16" i="51"/>
  <c r="AN16" i="51"/>
  <c r="AT16" i="51"/>
  <c r="AH17" i="51"/>
  <c r="AN17" i="51"/>
  <c r="AT17" i="51"/>
  <c r="AH18" i="51"/>
  <c r="AN18" i="51"/>
  <c r="AT18" i="51"/>
  <c r="AH19" i="51"/>
  <c r="AN19" i="51"/>
  <c r="AT19" i="51"/>
  <c r="AH20" i="51"/>
  <c r="AN20" i="51"/>
  <c r="AT20" i="51"/>
  <c r="AH21" i="51"/>
  <c r="AN21" i="51"/>
  <c r="AT21" i="51"/>
  <c r="AH22" i="51"/>
  <c r="AN22" i="51"/>
  <c r="AT22" i="51"/>
  <c r="AH23" i="51"/>
  <c r="AN23" i="51"/>
  <c r="AT23" i="51"/>
  <c r="AH24" i="51"/>
  <c r="AN24" i="51"/>
  <c r="AT24" i="51"/>
  <c r="AH25" i="51"/>
  <c r="AN25" i="51"/>
  <c r="AT25" i="51"/>
  <c r="AU25" i="51" s="1"/>
  <c r="AH26" i="51"/>
  <c r="AI26" i="51" s="1"/>
  <c r="AN26" i="51"/>
  <c r="AT26" i="51"/>
  <c r="AH27" i="51"/>
  <c r="AN27" i="51"/>
  <c r="AT27" i="51"/>
  <c r="AH28" i="51"/>
  <c r="AN28" i="51"/>
  <c r="AT28" i="51"/>
  <c r="AH29" i="51"/>
  <c r="AN29" i="51"/>
  <c r="AT29" i="51"/>
  <c r="AH30" i="51"/>
  <c r="AN30" i="51"/>
  <c r="AT30" i="51"/>
  <c r="AH31" i="51"/>
  <c r="AN31" i="51"/>
  <c r="AT31" i="51"/>
  <c r="AH32" i="51"/>
  <c r="AN32" i="51"/>
  <c r="AT32" i="51"/>
  <c r="AH33" i="51"/>
  <c r="AN33" i="51"/>
  <c r="AT33" i="51"/>
  <c r="AH34" i="51"/>
  <c r="AN34" i="51"/>
  <c r="AT34" i="51"/>
  <c r="AH35" i="51"/>
  <c r="AN35" i="51"/>
  <c r="AT35" i="51"/>
  <c r="AH36" i="51"/>
  <c r="AN36" i="51"/>
  <c r="AO36" i="51" s="1"/>
  <c r="AT36" i="51"/>
  <c r="AU36" i="51" s="1"/>
  <c r="AH37" i="51"/>
  <c r="AN37" i="51"/>
  <c r="AT37" i="51"/>
  <c r="AH38" i="51"/>
  <c r="AN38" i="51"/>
  <c r="AT38" i="51"/>
  <c r="AH39" i="51"/>
  <c r="AN39" i="51"/>
  <c r="AT39" i="51"/>
  <c r="AH40" i="51"/>
  <c r="AN40" i="51"/>
  <c r="AT40" i="51"/>
  <c r="AH41" i="51"/>
  <c r="AN41" i="51"/>
  <c r="AT41" i="51"/>
  <c r="AH42" i="51"/>
  <c r="AN42" i="51"/>
  <c r="AT42" i="51"/>
  <c r="AB5" i="51"/>
  <c r="AB6" i="51"/>
  <c r="AB7" i="51"/>
  <c r="AB8" i="51"/>
  <c r="AB9" i="51"/>
  <c r="AB10" i="51"/>
  <c r="AB11" i="51"/>
  <c r="AB12" i="51"/>
  <c r="AB13" i="51"/>
  <c r="AB14" i="51"/>
  <c r="AB15" i="51"/>
  <c r="AB16" i="51"/>
  <c r="AB17" i="51"/>
  <c r="AB18" i="51"/>
  <c r="AC18" i="51" s="1"/>
  <c r="AB19" i="51"/>
  <c r="AB20" i="51"/>
  <c r="AB21" i="51"/>
  <c r="AB22" i="51"/>
  <c r="AB23" i="51"/>
  <c r="AB24" i="51"/>
  <c r="AB25" i="51"/>
  <c r="AB26" i="51"/>
  <c r="AB27" i="51"/>
  <c r="AB28" i="51"/>
  <c r="AB29" i="51"/>
  <c r="AB30" i="51"/>
  <c r="AB31" i="51"/>
  <c r="AB32" i="51"/>
  <c r="AB33" i="51"/>
  <c r="AB34" i="51"/>
  <c r="AB35" i="51"/>
  <c r="AB36" i="51"/>
  <c r="AB37" i="51"/>
  <c r="AB38" i="51"/>
  <c r="AB39" i="51"/>
  <c r="AB40" i="51"/>
  <c r="AB41" i="51"/>
  <c r="AB42" i="51"/>
  <c r="J4" i="31"/>
  <c r="K4" i="31"/>
  <c r="J5" i="31"/>
  <c r="K5" i="31"/>
  <c r="J6" i="31"/>
  <c r="K6" i="31"/>
  <c r="J7" i="31"/>
  <c r="K7" i="31"/>
  <c r="J8" i="31"/>
  <c r="K8" i="31"/>
  <c r="J9" i="31"/>
  <c r="X9" i="31" s="1"/>
  <c r="K9" i="31"/>
  <c r="AD9" i="31" s="1"/>
  <c r="J10" i="31"/>
  <c r="G10" i="31" s="1"/>
  <c r="K10" i="31"/>
  <c r="J11" i="31"/>
  <c r="H11" i="31" s="1"/>
  <c r="K11" i="31"/>
  <c r="J12" i="31"/>
  <c r="K12" i="31"/>
  <c r="J13" i="31"/>
  <c r="K13" i="31"/>
  <c r="J14" i="31"/>
  <c r="K14" i="31"/>
  <c r="J15" i="31"/>
  <c r="K15" i="31"/>
  <c r="X15" i="31" s="1"/>
  <c r="J16" i="31"/>
  <c r="K16" i="31"/>
  <c r="J17" i="31"/>
  <c r="H17" i="31" s="1"/>
  <c r="K17" i="31"/>
  <c r="J18" i="31"/>
  <c r="AD18" i="31" s="1"/>
  <c r="K18" i="31"/>
  <c r="J19" i="31"/>
  <c r="X19" i="31" s="1"/>
  <c r="K19" i="31"/>
  <c r="J20" i="31"/>
  <c r="K20" i="31"/>
  <c r="J21" i="31"/>
  <c r="K21" i="31"/>
  <c r="J22" i="31"/>
  <c r="K22" i="31"/>
  <c r="J23" i="31"/>
  <c r="K23" i="31"/>
  <c r="J24" i="31"/>
  <c r="K24" i="31"/>
  <c r="J25" i="31"/>
  <c r="K25" i="31"/>
  <c r="J26" i="31"/>
  <c r="AD26" i="31" s="1"/>
  <c r="K26" i="31"/>
  <c r="J27" i="31"/>
  <c r="AV27" i="31" s="1"/>
  <c r="K27" i="31"/>
  <c r="J28" i="31"/>
  <c r="K28" i="31"/>
  <c r="J29" i="31"/>
  <c r="K29" i="31"/>
  <c r="J30" i="31"/>
  <c r="K30" i="31"/>
  <c r="J31" i="31"/>
  <c r="K31" i="31"/>
  <c r="J32" i="31"/>
  <c r="K32" i="31"/>
  <c r="J33" i="31"/>
  <c r="K33" i="31"/>
  <c r="J34" i="31"/>
  <c r="K34" i="31"/>
  <c r="J35" i="31"/>
  <c r="K35" i="31"/>
  <c r="J36" i="31"/>
  <c r="K36" i="31"/>
  <c r="J37" i="31"/>
  <c r="K37" i="31"/>
  <c r="J38" i="31"/>
  <c r="K38" i="31"/>
  <c r="J39" i="31"/>
  <c r="K39" i="31"/>
  <c r="J40" i="31"/>
  <c r="K40" i="31"/>
  <c r="J41" i="31"/>
  <c r="K41" i="31"/>
  <c r="J42" i="31"/>
  <c r="AV42" i="31" s="1"/>
  <c r="K42" i="31"/>
  <c r="J43" i="31"/>
  <c r="K43" i="31"/>
  <c r="G3" i="30"/>
  <c r="H3" i="30"/>
  <c r="G4" i="30"/>
  <c r="H4" i="30"/>
  <c r="I4" i="30" s="1"/>
  <c r="G5" i="30"/>
  <c r="H5" i="30"/>
  <c r="G6" i="30"/>
  <c r="I6" i="30" s="1"/>
  <c r="H6" i="30"/>
  <c r="G7" i="30"/>
  <c r="I7" i="30" s="1"/>
  <c r="H7" i="30"/>
  <c r="G8" i="30"/>
  <c r="H8" i="30"/>
  <c r="G9" i="30"/>
  <c r="H9" i="30"/>
  <c r="G10" i="30"/>
  <c r="H10" i="30"/>
  <c r="G11" i="30"/>
  <c r="H11" i="30"/>
  <c r="G12" i="30"/>
  <c r="H12" i="30"/>
  <c r="G13" i="30"/>
  <c r="H13" i="30"/>
  <c r="G14" i="30"/>
  <c r="H14" i="30"/>
  <c r="G15" i="30"/>
  <c r="H15" i="30"/>
  <c r="G16" i="30"/>
  <c r="H16" i="30"/>
  <c r="G17" i="30"/>
  <c r="H17" i="30"/>
  <c r="G18" i="30"/>
  <c r="H18" i="30"/>
  <c r="G19" i="30"/>
  <c r="H19" i="30"/>
  <c r="G20" i="30"/>
  <c r="H20" i="30"/>
  <c r="I20" i="30" s="1"/>
  <c r="G21" i="30"/>
  <c r="H21" i="30"/>
  <c r="G22" i="30"/>
  <c r="I22" i="30" s="1"/>
  <c r="H22" i="30"/>
  <c r="G23" i="30"/>
  <c r="I23" i="30" s="1"/>
  <c r="H23" i="30"/>
  <c r="G24" i="30"/>
  <c r="H24" i="30"/>
  <c r="G25" i="30"/>
  <c r="H25" i="30"/>
  <c r="G26" i="30"/>
  <c r="H26" i="30"/>
  <c r="G27" i="30"/>
  <c r="H27" i="30"/>
  <c r="G28" i="30"/>
  <c r="H28" i="30"/>
  <c r="G29" i="30"/>
  <c r="H29" i="30"/>
  <c r="G30" i="30"/>
  <c r="H30" i="30"/>
  <c r="G31" i="30"/>
  <c r="H31" i="30"/>
  <c r="I31" i="30" s="1"/>
  <c r="G32" i="30"/>
  <c r="I32" i="30" s="1"/>
  <c r="H32" i="30"/>
  <c r="G33" i="30"/>
  <c r="H33" i="30"/>
  <c r="G34" i="30"/>
  <c r="H34" i="30"/>
  <c r="G35" i="30"/>
  <c r="H35" i="30"/>
  <c r="G36" i="30"/>
  <c r="H36" i="30"/>
  <c r="G37" i="30"/>
  <c r="H37" i="30"/>
  <c r="G38" i="30"/>
  <c r="H38" i="30"/>
  <c r="G39" i="30"/>
  <c r="H39" i="30"/>
  <c r="G40" i="30"/>
  <c r="H40" i="30"/>
  <c r="G41" i="30"/>
  <c r="H41" i="30"/>
  <c r="G42" i="30"/>
  <c r="H42" i="30"/>
  <c r="G43" i="30"/>
  <c r="H43" i="30"/>
  <c r="G44" i="30"/>
  <c r="H44" i="30"/>
  <c r="G45" i="30"/>
  <c r="H45" i="30"/>
  <c r="G46" i="30"/>
  <c r="H46" i="30"/>
  <c r="G47" i="30"/>
  <c r="I47" i="30" s="1"/>
  <c r="H47" i="30"/>
  <c r="G48" i="30"/>
  <c r="H48" i="30"/>
  <c r="G49" i="30"/>
  <c r="H49" i="30"/>
  <c r="G50" i="30"/>
  <c r="H50" i="30"/>
  <c r="G51" i="30"/>
  <c r="H51" i="30"/>
  <c r="G52" i="30"/>
  <c r="H52" i="30"/>
  <c r="G53" i="30"/>
  <c r="H53" i="30"/>
  <c r="G54" i="30"/>
  <c r="H54" i="30"/>
  <c r="G55" i="30"/>
  <c r="H55" i="30"/>
  <c r="G56" i="30"/>
  <c r="I56" i="30" s="1"/>
  <c r="H56" i="30"/>
  <c r="G57" i="30"/>
  <c r="H57" i="30"/>
  <c r="G58" i="30"/>
  <c r="H58" i="30"/>
  <c r="G59" i="30"/>
  <c r="H59" i="30"/>
  <c r="I59" i="30" s="1"/>
  <c r="G60" i="30"/>
  <c r="H60" i="30"/>
  <c r="G61" i="30"/>
  <c r="H61" i="30"/>
  <c r="G62" i="30"/>
  <c r="H62" i="30"/>
  <c r="G63" i="30"/>
  <c r="H63" i="30"/>
  <c r="G64" i="30"/>
  <c r="H64" i="30"/>
  <c r="G65" i="30"/>
  <c r="H65" i="30"/>
  <c r="G66" i="30"/>
  <c r="I66" i="30" s="1"/>
  <c r="H66" i="30"/>
  <c r="G67" i="30"/>
  <c r="H67" i="30"/>
  <c r="G68" i="30"/>
  <c r="H68" i="30"/>
  <c r="G69" i="30"/>
  <c r="H69" i="30"/>
  <c r="G70" i="30"/>
  <c r="I70" i="30" s="1"/>
  <c r="H70" i="30"/>
  <c r="G71" i="30"/>
  <c r="I71" i="30" s="1"/>
  <c r="H71" i="30"/>
  <c r="G72" i="30"/>
  <c r="H72" i="30"/>
  <c r="G73" i="30"/>
  <c r="H73" i="30"/>
  <c r="G74" i="30"/>
  <c r="H74" i="30"/>
  <c r="G75" i="30"/>
  <c r="I75" i="30" s="1"/>
  <c r="H75" i="30"/>
  <c r="G76" i="30"/>
  <c r="H76" i="30"/>
  <c r="G77" i="30"/>
  <c r="H77" i="30"/>
  <c r="G78" i="30"/>
  <c r="I78" i="30" s="1"/>
  <c r="H78" i="30"/>
  <c r="G79" i="30"/>
  <c r="I79" i="30" s="1"/>
  <c r="H79" i="30"/>
  <c r="G80" i="30"/>
  <c r="H80" i="30"/>
  <c r="G81" i="30"/>
  <c r="H81" i="30"/>
  <c r="G82" i="30"/>
  <c r="H82" i="30"/>
  <c r="G83" i="30"/>
  <c r="H83" i="30"/>
  <c r="G84" i="30"/>
  <c r="H84" i="30"/>
  <c r="G85" i="30"/>
  <c r="H85" i="30"/>
  <c r="G86" i="30"/>
  <c r="H86" i="30"/>
  <c r="G87" i="30"/>
  <c r="I87" i="30" s="1"/>
  <c r="H87" i="30"/>
  <c r="G88" i="30"/>
  <c r="H88" i="30"/>
  <c r="G89" i="30"/>
  <c r="H89" i="30"/>
  <c r="G90" i="30"/>
  <c r="H90" i="30"/>
  <c r="G91" i="30"/>
  <c r="H91" i="30"/>
  <c r="G92" i="30"/>
  <c r="H92" i="30"/>
  <c r="G93" i="30"/>
  <c r="H93" i="30"/>
  <c r="G94" i="30"/>
  <c r="H94" i="30"/>
  <c r="G95" i="30"/>
  <c r="H95" i="30"/>
  <c r="G96" i="30"/>
  <c r="H96" i="30"/>
  <c r="G97" i="30"/>
  <c r="H97" i="30"/>
  <c r="G98" i="30"/>
  <c r="H98" i="30"/>
  <c r="G99" i="30"/>
  <c r="H99" i="30"/>
  <c r="G100" i="30"/>
  <c r="H100" i="30"/>
  <c r="I100" i="30" s="1"/>
  <c r="G101" i="30"/>
  <c r="H101" i="30"/>
  <c r="G102" i="30"/>
  <c r="H102" i="30"/>
  <c r="G103" i="30"/>
  <c r="H103" i="30"/>
  <c r="G104" i="30"/>
  <c r="H104" i="30"/>
  <c r="G105" i="30"/>
  <c r="H105" i="30"/>
  <c r="G106" i="30"/>
  <c r="H106" i="30"/>
  <c r="G107" i="30"/>
  <c r="H107" i="30"/>
  <c r="G108" i="30"/>
  <c r="H108" i="30"/>
  <c r="G109" i="30"/>
  <c r="H109" i="30"/>
  <c r="G110" i="30"/>
  <c r="H110" i="30"/>
  <c r="G111" i="30"/>
  <c r="H111" i="30"/>
  <c r="G112" i="30"/>
  <c r="H112" i="30"/>
  <c r="G113" i="30"/>
  <c r="H113" i="30"/>
  <c r="G114" i="30"/>
  <c r="H114" i="30"/>
  <c r="G115" i="30"/>
  <c r="H115" i="30"/>
  <c r="G116" i="30"/>
  <c r="H116" i="30"/>
  <c r="G117" i="30"/>
  <c r="H117" i="30"/>
  <c r="G118" i="30"/>
  <c r="H118" i="30"/>
  <c r="G119" i="30"/>
  <c r="H119" i="30"/>
  <c r="G120" i="30"/>
  <c r="I120" i="30" s="1"/>
  <c r="H120" i="30"/>
  <c r="G121" i="30"/>
  <c r="H121" i="30"/>
  <c r="G122" i="30"/>
  <c r="H122" i="30"/>
  <c r="G123" i="30"/>
  <c r="H123" i="30"/>
  <c r="G124" i="30"/>
  <c r="H124" i="30"/>
  <c r="G125" i="30"/>
  <c r="I125" i="30" s="1"/>
  <c r="H125" i="30"/>
  <c r="G126" i="30"/>
  <c r="H126" i="30"/>
  <c r="G127" i="30"/>
  <c r="H127" i="30"/>
  <c r="G128" i="30"/>
  <c r="H128" i="30"/>
  <c r="G129" i="30"/>
  <c r="H129" i="30"/>
  <c r="G130" i="30"/>
  <c r="H130" i="30"/>
  <c r="G131" i="30"/>
  <c r="H131" i="30"/>
  <c r="G132" i="30"/>
  <c r="H132" i="30"/>
  <c r="G133" i="30"/>
  <c r="H133" i="30"/>
  <c r="G134" i="30"/>
  <c r="H134" i="30"/>
  <c r="G135" i="30"/>
  <c r="H135" i="30"/>
  <c r="G136" i="30"/>
  <c r="H136" i="30"/>
  <c r="G137" i="30"/>
  <c r="H137" i="30"/>
  <c r="G138" i="30"/>
  <c r="H138" i="30"/>
  <c r="G139" i="30"/>
  <c r="H139" i="30"/>
  <c r="G140" i="30"/>
  <c r="H140" i="30"/>
  <c r="G141" i="30"/>
  <c r="I141" i="30" s="1"/>
  <c r="H141" i="30"/>
  <c r="G142" i="30"/>
  <c r="H142" i="30"/>
  <c r="G143" i="30"/>
  <c r="I143" i="30" s="1"/>
  <c r="H143" i="30"/>
  <c r="G144" i="30"/>
  <c r="H144" i="30"/>
  <c r="G145" i="30"/>
  <c r="H145" i="30"/>
  <c r="G146" i="30"/>
  <c r="H146" i="30"/>
  <c r="I146" i="30" s="1"/>
  <c r="G147" i="30"/>
  <c r="H147" i="30"/>
  <c r="G148" i="30"/>
  <c r="H148" i="30"/>
  <c r="I148" i="30" s="1"/>
  <c r="G149" i="30"/>
  <c r="H149" i="30"/>
  <c r="G150" i="30"/>
  <c r="I150" i="30" s="1"/>
  <c r="H150" i="30"/>
  <c r="G151" i="30"/>
  <c r="H151" i="30"/>
  <c r="G152" i="30"/>
  <c r="H152" i="30"/>
  <c r="G153" i="30"/>
  <c r="H153" i="30"/>
  <c r="G154" i="30"/>
  <c r="H154" i="30"/>
  <c r="G155" i="30"/>
  <c r="H155" i="30"/>
  <c r="G156" i="30"/>
  <c r="H156" i="30"/>
  <c r="G157" i="30"/>
  <c r="H157" i="30"/>
  <c r="G158" i="30"/>
  <c r="H158" i="30"/>
  <c r="G159" i="30"/>
  <c r="H159" i="30"/>
  <c r="G160" i="30"/>
  <c r="H160" i="30"/>
  <c r="G161" i="30"/>
  <c r="H161" i="30"/>
  <c r="G162" i="30"/>
  <c r="H162" i="30"/>
  <c r="G163" i="30"/>
  <c r="H163" i="30"/>
  <c r="G164" i="30"/>
  <c r="H164" i="30"/>
  <c r="G165" i="30"/>
  <c r="H165" i="30"/>
  <c r="G166" i="30"/>
  <c r="H166" i="30"/>
  <c r="G167" i="30"/>
  <c r="I167" i="30" s="1"/>
  <c r="H167" i="30"/>
  <c r="G168" i="30"/>
  <c r="H168" i="30"/>
  <c r="G169" i="30"/>
  <c r="H169" i="30"/>
  <c r="G170" i="30"/>
  <c r="H170" i="30"/>
  <c r="G171" i="30"/>
  <c r="H171" i="30"/>
  <c r="G172" i="30"/>
  <c r="H172" i="30"/>
  <c r="G173" i="30"/>
  <c r="H173" i="30"/>
  <c r="G174" i="30"/>
  <c r="H174" i="30"/>
  <c r="G175" i="30"/>
  <c r="I175" i="30" s="1"/>
  <c r="H175" i="30"/>
  <c r="G176" i="30"/>
  <c r="H176" i="30"/>
  <c r="G177" i="30"/>
  <c r="H177" i="30"/>
  <c r="G178" i="30"/>
  <c r="H178" i="30"/>
  <c r="G179" i="30"/>
  <c r="H179" i="30"/>
  <c r="G180" i="30"/>
  <c r="H180" i="30"/>
  <c r="G181" i="30"/>
  <c r="H181" i="30"/>
  <c r="G182" i="30"/>
  <c r="H182" i="30"/>
  <c r="G183" i="30"/>
  <c r="H183" i="30"/>
  <c r="G184" i="30"/>
  <c r="H184" i="30"/>
  <c r="G185" i="30"/>
  <c r="H185" i="30"/>
  <c r="G186" i="30"/>
  <c r="H186" i="30"/>
  <c r="I186" i="30" s="1"/>
  <c r="G187" i="30"/>
  <c r="H187" i="30"/>
  <c r="G188" i="30"/>
  <c r="H188" i="30"/>
  <c r="G189" i="30"/>
  <c r="H189" i="30"/>
  <c r="G190" i="30"/>
  <c r="I190" i="30" s="1"/>
  <c r="H190" i="30"/>
  <c r="G191" i="30"/>
  <c r="H191" i="30"/>
  <c r="G192" i="30"/>
  <c r="H192" i="30"/>
  <c r="G193" i="30"/>
  <c r="H193" i="30"/>
  <c r="G194" i="30"/>
  <c r="H194" i="30"/>
  <c r="I194" i="30" s="1"/>
  <c r="G195" i="30"/>
  <c r="H195" i="30"/>
  <c r="G196" i="30"/>
  <c r="H196" i="30"/>
  <c r="G197" i="30"/>
  <c r="H197" i="30"/>
  <c r="G198" i="30"/>
  <c r="H198" i="30"/>
  <c r="G199" i="30"/>
  <c r="I199" i="30" s="1"/>
  <c r="H199" i="30"/>
  <c r="G200" i="30"/>
  <c r="H200" i="30"/>
  <c r="G201" i="30"/>
  <c r="H201" i="30"/>
  <c r="G202" i="30"/>
  <c r="H202" i="30"/>
  <c r="G203" i="30"/>
  <c r="H203" i="30"/>
  <c r="G204" i="30"/>
  <c r="H204" i="30"/>
  <c r="G205" i="30"/>
  <c r="H205" i="30"/>
  <c r="G206" i="30"/>
  <c r="I206" i="30" s="1"/>
  <c r="H206" i="30"/>
  <c r="G207" i="30"/>
  <c r="I207" i="30" s="1"/>
  <c r="H207" i="30"/>
  <c r="G208" i="30"/>
  <c r="H208" i="30"/>
  <c r="G209" i="30"/>
  <c r="H209" i="30"/>
  <c r="G210" i="30"/>
  <c r="H210" i="30"/>
  <c r="I210" i="30" s="1"/>
  <c r="G211" i="30"/>
  <c r="H211" i="30"/>
  <c r="G212" i="30"/>
  <c r="H212" i="30"/>
  <c r="G213" i="30"/>
  <c r="H213" i="30"/>
  <c r="G214" i="30"/>
  <c r="H214" i="30"/>
  <c r="G215" i="30"/>
  <c r="I215" i="30" s="1"/>
  <c r="H215" i="30"/>
  <c r="G216" i="30"/>
  <c r="H216" i="30"/>
  <c r="G217" i="30"/>
  <c r="H217" i="30"/>
  <c r="G218" i="30"/>
  <c r="H218" i="30"/>
  <c r="I218" i="30" s="1"/>
  <c r="G219" i="30"/>
  <c r="H219" i="30"/>
  <c r="R3" i="30"/>
  <c r="S3" i="30"/>
  <c r="U3" i="30"/>
  <c r="W3" i="30"/>
  <c r="X3" i="30"/>
  <c r="Z3" i="30"/>
  <c r="AB3" i="30"/>
  <c r="AC3" i="30"/>
  <c r="AE3" i="30"/>
  <c r="AG3" i="30"/>
  <c r="AH3" i="30"/>
  <c r="AJ3" i="30"/>
  <c r="AL3" i="30"/>
  <c r="AM3" i="30"/>
  <c r="AO3" i="30"/>
  <c r="AQ3" i="30"/>
  <c r="AR3" i="30"/>
  <c r="AT3" i="30"/>
  <c r="R4" i="30"/>
  <c r="S4" i="30"/>
  <c r="U4" i="30"/>
  <c r="W4" i="30"/>
  <c r="X4" i="30"/>
  <c r="Z4" i="30"/>
  <c r="AB4" i="30"/>
  <c r="AC4" i="30"/>
  <c r="AE4" i="30"/>
  <c r="AG4" i="30"/>
  <c r="AH4" i="30"/>
  <c r="AJ4" i="30"/>
  <c r="AL4" i="30"/>
  <c r="AM4" i="30"/>
  <c r="AO4" i="30"/>
  <c r="AQ4" i="30"/>
  <c r="AR4" i="30"/>
  <c r="AT4" i="30"/>
  <c r="R5" i="30"/>
  <c r="S5" i="30"/>
  <c r="U5" i="30"/>
  <c r="W5" i="30"/>
  <c r="X5" i="30"/>
  <c r="Z5" i="30"/>
  <c r="AB5" i="30"/>
  <c r="AC5" i="30"/>
  <c r="AE5" i="30"/>
  <c r="AG5" i="30"/>
  <c r="AH5" i="30"/>
  <c r="AJ5" i="30"/>
  <c r="AL5" i="30"/>
  <c r="AM5" i="30"/>
  <c r="AO5" i="30"/>
  <c r="AQ5" i="30"/>
  <c r="AR5" i="30"/>
  <c r="AT5" i="30"/>
  <c r="R6" i="30"/>
  <c r="S6" i="30"/>
  <c r="U6" i="30"/>
  <c r="W6" i="30"/>
  <c r="X6" i="30"/>
  <c r="Z6" i="30"/>
  <c r="AB6" i="30"/>
  <c r="AC6" i="30"/>
  <c r="AE6" i="30"/>
  <c r="AG6" i="30"/>
  <c r="AH6" i="30"/>
  <c r="AJ6" i="30"/>
  <c r="AL6" i="30"/>
  <c r="AM6" i="30"/>
  <c r="AO6" i="30"/>
  <c r="AQ6" i="30"/>
  <c r="AR6" i="30"/>
  <c r="AT6" i="30"/>
  <c r="R7" i="30"/>
  <c r="S7" i="30"/>
  <c r="U7" i="30"/>
  <c r="W7" i="30"/>
  <c r="X7" i="30"/>
  <c r="Z7" i="30"/>
  <c r="AB7" i="30"/>
  <c r="AC7" i="30"/>
  <c r="AE7" i="30"/>
  <c r="AG7" i="30"/>
  <c r="AH7" i="30"/>
  <c r="AJ7" i="30"/>
  <c r="AL7" i="30"/>
  <c r="AM7" i="30"/>
  <c r="AO7" i="30"/>
  <c r="AQ7" i="30"/>
  <c r="AR7" i="30"/>
  <c r="AT7" i="30"/>
  <c r="R8" i="30"/>
  <c r="S8" i="30"/>
  <c r="U8" i="30"/>
  <c r="W8" i="30"/>
  <c r="X8" i="30"/>
  <c r="Z8" i="30"/>
  <c r="AB8" i="30"/>
  <c r="AC8" i="30"/>
  <c r="AE8" i="30"/>
  <c r="AG8" i="30"/>
  <c r="AH8" i="30"/>
  <c r="AJ8" i="30"/>
  <c r="AL8" i="30"/>
  <c r="AM8" i="30"/>
  <c r="AO8" i="30"/>
  <c r="AQ8" i="30"/>
  <c r="AR8" i="30"/>
  <c r="AT8" i="30"/>
  <c r="R9" i="30"/>
  <c r="S9" i="30"/>
  <c r="U9" i="30"/>
  <c r="W9" i="30"/>
  <c r="X9" i="30"/>
  <c r="Z9" i="30"/>
  <c r="AB9" i="30"/>
  <c r="AC9" i="30"/>
  <c r="AE9" i="30"/>
  <c r="AG9" i="30"/>
  <c r="AH9" i="30"/>
  <c r="AJ9" i="30"/>
  <c r="AL9" i="30"/>
  <c r="AM9" i="30"/>
  <c r="AO9" i="30"/>
  <c r="AQ9" i="30"/>
  <c r="AR9" i="30"/>
  <c r="AT9" i="30"/>
  <c r="R10" i="30"/>
  <c r="S10" i="30"/>
  <c r="U10" i="30"/>
  <c r="W10" i="30"/>
  <c r="X10" i="30"/>
  <c r="Z10" i="30"/>
  <c r="AB10" i="30"/>
  <c r="AC10" i="30"/>
  <c r="AE10" i="30"/>
  <c r="AG10" i="30"/>
  <c r="AH10" i="30"/>
  <c r="AJ10" i="30"/>
  <c r="AL10" i="30"/>
  <c r="AM10" i="30"/>
  <c r="AO10" i="30"/>
  <c r="AQ10" i="30"/>
  <c r="AR10" i="30"/>
  <c r="AT10" i="30"/>
  <c r="R11" i="30"/>
  <c r="S11" i="30"/>
  <c r="U11" i="30"/>
  <c r="W11" i="30"/>
  <c r="X11" i="30"/>
  <c r="Z11" i="30"/>
  <c r="AB11" i="30"/>
  <c r="AC11" i="30"/>
  <c r="AE11" i="30"/>
  <c r="AG11" i="30"/>
  <c r="AH11" i="30"/>
  <c r="AJ11" i="30"/>
  <c r="AL11" i="30"/>
  <c r="AM11" i="30"/>
  <c r="AO11" i="30"/>
  <c r="AQ11" i="30"/>
  <c r="AR11" i="30"/>
  <c r="AT11" i="30"/>
  <c r="R12" i="30"/>
  <c r="S12" i="30"/>
  <c r="U12" i="30"/>
  <c r="W12" i="30"/>
  <c r="X12" i="30"/>
  <c r="Z12" i="30"/>
  <c r="AB12" i="30"/>
  <c r="AC12" i="30"/>
  <c r="AE12" i="30"/>
  <c r="AG12" i="30"/>
  <c r="AH12" i="30"/>
  <c r="AJ12" i="30"/>
  <c r="AL12" i="30"/>
  <c r="AM12" i="30"/>
  <c r="AO12" i="30"/>
  <c r="AQ12" i="30"/>
  <c r="AR12" i="30"/>
  <c r="AT12" i="30"/>
  <c r="R13" i="30"/>
  <c r="T13" i="30" s="1"/>
  <c r="S13" i="30"/>
  <c r="U13" i="30"/>
  <c r="W13" i="30"/>
  <c r="Y13" i="30" s="1"/>
  <c r="X13" i="30"/>
  <c r="Z13" i="30"/>
  <c r="AB13" i="30"/>
  <c r="AC13" i="30"/>
  <c r="AE13" i="30"/>
  <c r="AG13" i="30"/>
  <c r="AH13" i="30"/>
  <c r="AJ13" i="30"/>
  <c r="AL13" i="30"/>
  <c r="AM13" i="30"/>
  <c r="AO13" i="30"/>
  <c r="AQ13" i="30"/>
  <c r="AR13" i="30"/>
  <c r="AT13" i="30"/>
  <c r="R14" i="30"/>
  <c r="S14" i="30"/>
  <c r="U14" i="30"/>
  <c r="W14" i="30"/>
  <c r="X14" i="30"/>
  <c r="Z14" i="30"/>
  <c r="AB14" i="30"/>
  <c r="AC14" i="30"/>
  <c r="AE14" i="30"/>
  <c r="AG14" i="30"/>
  <c r="AH14" i="30"/>
  <c r="AJ14" i="30"/>
  <c r="AL14" i="30"/>
  <c r="AM14" i="30"/>
  <c r="AO14" i="30"/>
  <c r="AQ14" i="30"/>
  <c r="AR14" i="30"/>
  <c r="AT14" i="30"/>
  <c r="R15" i="30"/>
  <c r="S15" i="30"/>
  <c r="U15" i="30"/>
  <c r="W15" i="30"/>
  <c r="X15" i="30"/>
  <c r="Z15" i="30"/>
  <c r="AB15" i="30"/>
  <c r="AC15" i="30"/>
  <c r="AE15" i="30"/>
  <c r="AG15" i="30"/>
  <c r="AH15" i="30"/>
  <c r="AJ15" i="30"/>
  <c r="AL15" i="30"/>
  <c r="AM15" i="30"/>
  <c r="AO15" i="30"/>
  <c r="AQ15" i="30"/>
  <c r="AR15" i="30"/>
  <c r="AT15" i="30"/>
  <c r="R16" i="30"/>
  <c r="S16" i="30"/>
  <c r="U16" i="30"/>
  <c r="W16" i="30"/>
  <c r="X16" i="30"/>
  <c r="Z16" i="30"/>
  <c r="AB16" i="30"/>
  <c r="AC16" i="30"/>
  <c r="AE16" i="30"/>
  <c r="AG16" i="30"/>
  <c r="AH16" i="30"/>
  <c r="AJ16" i="30"/>
  <c r="AL16" i="30"/>
  <c r="AM16" i="30"/>
  <c r="AO16" i="30"/>
  <c r="AQ16" i="30"/>
  <c r="AR16" i="30"/>
  <c r="AT16" i="30"/>
  <c r="R17" i="30"/>
  <c r="S17" i="30"/>
  <c r="U17" i="30"/>
  <c r="W17" i="30"/>
  <c r="X17" i="30"/>
  <c r="Z17" i="30"/>
  <c r="AB17" i="30"/>
  <c r="AC17" i="30"/>
  <c r="AE17" i="30"/>
  <c r="AG17" i="30"/>
  <c r="AH17" i="30"/>
  <c r="AJ17" i="30"/>
  <c r="AL17" i="30"/>
  <c r="AM17" i="30"/>
  <c r="AO17" i="30"/>
  <c r="AQ17" i="30"/>
  <c r="AR17" i="30"/>
  <c r="AT17" i="30"/>
  <c r="R18" i="30"/>
  <c r="S18" i="30"/>
  <c r="U18" i="30"/>
  <c r="W18" i="30"/>
  <c r="X18" i="30"/>
  <c r="Z18" i="30"/>
  <c r="AB18" i="30"/>
  <c r="AC18" i="30"/>
  <c r="AE18" i="30"/>
  <c r="AG18" i="30"/>
  <c r="AH18" i="30"/>
  <c r="AJ18" i="30"/>
  <c r="AL18" i="30"/>
  <c r="AM18" i="30"/>
  <c r="AO18" i="30"/>
  <c r="AQ18" i="30"/>
  <c r="AR18" i="30"/>
  <c r="AT18" i="30"/>
  <c r="R19" i="30"/>
  <c r="S19" i="30"/>
  <c r="U19" i="30"/>
  <c r="W19" i="30"/>
  <c r="X19" i="30"/>
  <c r="Z19" i="30"/>
  <c r="AB19" i="30"/>
  <c r="AC19" i="30"/>
  <c r="AE19" i="30"/>
  <c r="AG19" i="30"/>
  <c r="AH19" i="30"/>
  <c r="AJ19" i="30"/>
  <c r="AL19" i="30"/>
  <c r="AM19" i="30"/>
  <c r="AO19" i="30"/>
  <c r="AQ19" i="30"/>
  <c r="AR19" i="30"/>
  <c r="AT19" i="30"/>
  <c r="R20" i="30"/>
  <c r="S20" i="30"/>
  <c r="U20" i="30"/>
  <c r="W20" i="30"/>
  <c r="X20" i="30"/>
  <c r="Y20" i="30" s="1"/>
  <c r="Z20" i="30"/>
  <c r="AB20" i="30"/>
  <c r="AC20" i="30"/>
  <c r="AE20" i="30"/>
  <c r="AG20" i="30"/>
  <c r="AH20" i="30"/>
  <c r="AJ20" i="30"/>
  <c r="AL20" i="30"/>
  <c r="AM20" i="30"/>
  <c r="AO20" i="30"/>
  <c r="AQ20" i="30"/>
  <c r="AR20" i="30"/>
  <c r="AT20" i="30"/>
  <c r="R21" i="30"/>
  <c r="S21" i="30"/>
  <c r="U21" i="30"/>
  <c r="W21" i="30"/>
  <c r="X21" i="30"/>
  <c r="Z21" i="30"/>
  <c r="AB21" i="30"/>
  <c r="AC21" i="30"/>
  <c r="AE21" i="30"/>
  <c r="AG21" i="30"/>
  <c r="AH21" i="30"/>
  <c r="AJ21" i="30"/>
  <c r="AL21" i="30"/>
  <c r="AM21" i="30"/>
  <c r="AO21" i="30"/>
  <c r="AQ21" i="30"/>
  <c r="AR21" i="30"/>
  <c r="AT21" i="30"/>
  <c r="R22" i="30"/>
  <c r="S22" i="30"/>
  <c r="U22" i="30"/>
  <c r="W22" i="30"/>
  <c r="X22" i="30"/>
  <c r="Z22" i="30"/>
  <c r="AB22" i="30"/>
  <c r="AC22" i="30"/>
  <c r="AE22" i="30"/>
  <c r="AG22" i="30"/>
  <c r="AH22" i="30"/>
  <c r="AJ22" i="30"/>
  <c r="AL22" i="30"/>
  <c r="AM22" i="30"/>
  <c r="AO22" i="30"/>
  <c r="AQ22" i="30"/>
  <c r="AR22" i="30"/>
  <c r="AT22" i="30"/>
  <c r="R23" i="30"/>
  <c r="S23" i="30"/>
  <c r="U23" i="30"/>
  <c r="W23" i="30"/>
  <c r="X23" i="30"/>
  <c r="Z23" i="30"/>
  <c r="AB23" i="30"/>
  <c r="AC23" i="30"/>
  <c r="AE23" i="30"/>
  <c r="AG23" i="30"/>
  <c r="AH23" i="30"/>
  <c r="AJ23" i="30"/>
  <c r="AL23" i="30"/>
  <c r="AM23" i="30"/>
  <c r="AO23" i="30"/>
  <c r="AQ23" i="30"/>
  <c r="AR23" i="30"/>
  <c r="AT23" i="30"/>
  <c r="R24" i="30"/>
  <c r="S24" i="30"/>
  <c r="U24" i="30"/>
  <c r="W24" i="30"/>
  <c r="X24" i="30"/>
  <c r="Z24" i="30"/>
  <c r="AB24" i="30"/>
  <c r="AC24" i="30"/>
  <c r="AE24" i="30"/>
  <c r="AG24" i="30"/>
  <c r="AH24" i="30"/>
  <c r="AJ24" i="30"/>
  <c r="AL24" i="30"/>
  <c r="AM24" i="30"/>
  <c r="AO24" i="30"/>
  <c r="AQ24" i="30"/>
  <c r="AR24" i="30"/>
  <c r="AT24" i="30"/>
  <c r="R25" i="30"/>
  <c r="S25" i="30"/>
  <c r="U25" i="30"/>
  <c r="W25" i="30"/>
  <c r="X25" i="30"/>
  <c r="Z25" i="30"/>
  <c r="AB25" i="30"/>
  <c r="AC25" i="30"/>
  <c r="AE25" i="30"/>
  <c r="AG25" i="30"/>
  <c r="AH25" i="30"/>
  <c r="AJ25" i="30"/>
  <c r="AL25" i="30"/>
  <c r="AM25" i="30"/>
  <c r="AO25" i="30"/>
  <c r="AQ25" i="30"/>
  <c r="AR25" i="30"/>
  <c r="AT25" i="30"/>
  <c r="R26" i="30"/>
  <c r="S26" i="30"/>
  <c r="U26" i="30"/>
  <c r="W26" i="30"/>
  <c r="X26" i="30"/>
  <c r="Z26" i="30"/>
  <c r="AB26" i="30"/>
  <c r="AC26" i="30"/>
  <c r="AE26" i="30"/>
  <c r="AG26" i="30"/>
  <c r="AH26" i="30"/>
  <c r="AJ26" i="30"/>
  <c r="AL26" i="30"/>
  <c r="AM26" i="30"/>
  <c r="AO26" i="30"/>
  <c r="AQ26" i="30"/>
  <c r="AR26" i="30"/>
  <c r="AT26" i="30"/>
  <c r="R27" i="30"/>
  <c r="S27" i="30"/>
  <c r="T27" i="30" s="1"/>
  <c r="U27" i="30"/>
  <c r="W27" i="30"/>
  <c r="X27" i="30"/>
  <c r="Z27" i="30"/>
  <c r="AB27" i="30"/>
  <c r="AC27" i="30"/>
  <c r="AE27" i="30"/>
  <c r="AG27" i="30"/>
  <c r="AH27" i="30"/>
  <c r="AJ27" i="30"/>
  <c r="AO27" i="30"/>
  <c r="AL27" i="30"/>
  <c r="AM27" i="30"/>
  <c r="AQ27" i="30"/>
  <c r="AR27" i="30"/>
  <c r="AT27" i="30"/>
  <c r="R28" i="30"/>
  <c r="S28" i="30"/>
  <c r="U28" i="30"/>
  <c r="W28" i="30"/>
  <c r="X28" i="30"/>
  <c r="Z28" i="30"/>
  <c r="AB28" i="30"/>
  <c r="AC28" i="30"/>
  <c r="AE28" i="30"/>
  <c r="AG28" i="30"/>
  <c r="AH28" i="30"/>
  <c r="AJ28" i="30"/>
  <c r="AL28" i="30"/>
  <c r="AM28" i="30"/>
  <c r="AO28" i="30"/>
  <c r="AQ28" i="30"/>
  <c r="AR28" i="30"/>
  <c r="AT28" i="30"/>
  <c r="R29" i="30"/>
  <c r="S29" i="30"/>
  <c r="U29" i="30"/>
  <c r="W29" i="30"/>
  <c r="X29" i="30"/>
  <c r="Z29" i="30"/>
  <c r="AB29" i="30"/>
  <c r="AC29" i="30"/>
  <c r="AE29" i="30"/>
  <c r="AG29" i="30"/>
  <c r="AH29" i="30"/>
  <c r="AJ29" i="30"/>
  <c r="AL29" i="30"/>
  <c r="AM29" i="30"/>
  <c r="AO29" i="30"/>
  <c r="AQ29" i="30"/>
  <c r="AR29" i="30"/>
  <c r="AT29" i="30"/>
  <c r="R30" i="30"/>
  <c r="S30" i="30"/>
  <c r="U30" i="30"/>
  <c r="W30" i="30"/>
  <c r="X30" i="30"/>
  <c r="Z30" i="30"/>
  <c r="AB30" i="30"/>
  <c r="AC30" i="30"/>
  <c r="AE30" i="30"/>
  <c r="AG30" i="30"/>
  <c r="AH30" i="30"/>
  <c r="AJ30" i="30"/>
  <c r="AL30" i="30"/>
  <c r="AM30" i="30"/>
  <c r="AO30" i="30"/>
  <c r="AQ30" i="30"/>
  <c r="AR30" i="30"/>
  <c r="AT30" i="30"/>
  <c r="R31" i="30"/>
  <c r="S31" i="30"/>
  <c r="U31" i="30"/>
  <c r="W31" i="30"/>
  <c r="X31" i="30"/>
  <c r="Z31" i="30"/>
  <c r="AB31" i="30"/>
  <c r="AC31" i="30"/>
  <c r="AE31" i="30"/>
  <c r="AG31" i="30"/>
  <c r="AH31" i="30"/>
  <c r="AJ31" i="30"/>
  <c r="AL31" i="30"/>
  <c r="AM31" i="30"/>
  <c r="AO31" i="30"/>
  <c r="AQ31" i="30"/>
  <c r="AR31" i="30"/>
  <c r="AT31" i="30"/>
  <c r="R32" i="30"/>
  <c r="S32" i="30"/>
  <c r="U32" i="30"/>
  <c r="W32" i="30"/>
  <c r="X32" i="30"/>
  <c r="Z32" i="30"/>
  <c r="AB32" i="30"/>
  <c r="AC32" i="30"/>
  <c r="AE32" i="30"/>
  <c r="AG32" i="30"/>
  <c r="AH32" i="30"/>
  <c r="AJ32" i="30"/>
  <c r="AL32" i="30"/>
  <c r="AM32" i="30"/>
  <c r="AO32" i="30"/>
  <c r="AQ32" i="30"/>
  <c r="AR32" i="30"/>
  <c r="AT32" i="30"/>
  <c r="R33" i="30"/>
  <c r="S33" i="30"/>
  <c r="U33" i="30"/>
  <c r="W33" i="30"/>
  <c r="X33" i="30"/>
  <c r="Z33" i="30"/>
  <c r="AB33" i="30"/>
  <c r="AC33" i="30"/>
  <c r="AE33" i="30"/>
  <c r="AG33" i="30"/>
  <c r="AH33" i="30"/>
  <c r="AJ33" i="30"/>
  <c r="AL33" i="30"/>
  <c r="AM33" i="30"/>
  <c r="AO33" i="30"/>
  <c r="AQ33" i="30"/>
  <c r="AR33" i="30"/>
  <c r="AT33" i="30"/>
  <c r="R34" i="30"/>
  <c r="S34" i="30"/>
  <c r="U34" i="30"/>
  <c r="W34" i="30"/>
  <c r="X34" i="30"/>
  <c r="Z34" i="30"/>
  <c r="AB34" i="30"/>
  <c r="AD34" i="30" s="1"/>
  <c r="AC34" i="30"/>
  <c r="AE34" i="30"/>
  <c r="AG34" i="30"/>
  <c r="AH34" i="30"/>
  <c r="AJ34" i="30"/>
  <c r="AL34" i="30"/>
  <c r="AM34" i="30"/>
  <c r="AO34" i="30"/>
  <c r="AQ34" i="30"/>
  <c r="AR34" i="30"/>
  <c r="AT34" i="30"/>
  <c r="R35" i="30"/>
  <c r="S35" i="30"/>
  <c r="U35" i="30"/>
  <c r="W35" i="30"/>
  <c r="X35" i="30"/>
  <c r="Z35" i="30"/>
  <c r="AB35" i="30"/>
  <c r="AC35" i="30"/>
  <c r="AE35" i="30"/>
  <c r="AG35" i="30"/>
  <c r="AH35" i="30"/>
  <c r="AJ35" i="30"/>
  <c r="AL35" i="30"/>
  <c r="AM35" i="30"/>
  <c r="AO35" i="30"/>
  <c r="AQ35" i="30"/>
  <c r="AR35" i="30"/>
  <c r="AT35" i="30"/>
  <c r="R36" i="30"/>
  <c r="S36" i="30"/>
  <c r="U36" i="30"/>
  <c r="W36" i="30"/>
  <c r="X36" i="30"/>
  <c r="Z36" i="30"/>
  <c r="AB36" i="30"/>
  <c r="AC36" i="30"/>
  <c r="AE36" i="30"/>
  <c r="AG36" i="30"/>
  <c r="AH36" i="30"/>
  <c r="AJ36" i="30"/>
  <c r="AL36" i="30"/>
  <c r="AM36" i="30"/>
  <c r="AO36" i="30"/>
  <c r="AQ36" i="30"/>
  <c r="AR36" i="30"/>
  <c r="AT36" i="30"/>
  <c r="R37" i="30"/>
  <c r="S37" i="30"/>
  <c r="U37" i="30"/>
  <c r="W37" i="30"/>
  <c r="X37" i="30"/>
  <c r="Z37" i="30"/>
  <c r="AB37" i="30"/>
  <c r="AC37" i="30"/>
  <c r="AE37" i="30"/>
  <c r="AG37" i="30"/>
  <c r="AH37" i="30"/>
  <c r="AJ37" i="30"/>
  <c r="AL37" i="30"/>
  <c r="AM37" i="30"/>
  <c r="AO37" i="30"/>
  <c r="AQ37" i="30"/>
  <c r="AR37" i="30"/>
  <c r="AT37" i="30"/>
  <c r="R38" i="30"/>
  <c r="S38" i="30"/>
  <c r="U38" i="30"/>
  <c r="W38" i="30"/>
  <c r="X38" i="30"/>
  <c r="Z38" i="30"/>
  <c r="AB38" i="30"/>
  <c r="AC38" i="30"/>
  <c r="AE38" i="30"/>
  <c r="AG38" i="30"/>
  <c r="AH38" i="30"/>
  <c r="AJ38" i="30"/>
  <c r="AL38" i="30"/>
  <c r="AM38" i="30"/>
  <c r="AO38" i="30"/>
  <c r="AQ38" i="30"/>
  <c r="AR38" i="30"/>
  <c r="AT38" i="30"/>
  <c r="R39" i="30"/>
  <c r="S39" i="30"/>
  <c r="U39" i="30"/>
  <c r="W39" i="30"/>
  <c r="X39" i="30"/>
  <c r="Z39" i="30"/>
  <c r="AB39" i="30"/>
  <c r="AC39" i="30"/>
  <c r="AE39" i="30"/>
  <c r="AG39" i="30"/>
  <c r="AH39" i="30"/>
  <c r="AJ39" i="30"/>
  <c r="AL39" i="30"/>
  <c r="AM39" i="30"/>
  <c r="AO39" i="30"/>
  <c r="AQ39" i="30"/>
  <c r="AR39" i="30"/>
  <c r="AT39" i="30"/>
  <c r="R40" i="30"/>
  <c r="S40" i="30"/>
  <c r="U40" i="30"/>
  <c r="W40" i="30"/>
  <c r="X40" i="30"/>
  <c r="Z40" i="30"/>
  <c r="AB40" i="30"/>
  <c r="AC40" i="30"/>
  <c r="AE40" i="30"/>
  <c r="AG40" i="30"/>
  <c r="AH40" i="30"/>
  <c r="AJ40" i="30"/>
  <c r="AL40" i="30"/>
  <c r="AM40" i="30"/>
  <c r="AO40" i="30"/>
  <c r="AQ40" i="30"/>
  <c r="AR40" i="30"/>
  <c r="AT40" i="30"/>
  <c r="R41" i="30"/>
  <c r="S41" i="30"/>
  <c r="U41" i="30"/>
  <c r="W41" i="30"/>
  <c r="X41" i="30"/>
  <c r="Z41" i="30"/>
  <c r="AB41" i="30"/>
  <c r="AC41" i="30"/>
  <c r="AE41" i="30"/>
  <c r="AG41" i="30"/>
  <c r="AH41" i="30"/>
  <c r="AJ41" i="30"/>
  <c r="AL41" i="30"/>
  <c r="AM41" i="30"/>
  <c r="AO41" i="30"/>
  <c r="AQ41" i="30"/>
  <c r="AR41" i="30"/>
  <c r="AT41" i="30"/>
  <c r="R42" i="30"/>
  <c r="S42" i="30"/>
  <c r="T42" i="30" s="1"/>
  <c r="U42" i="30"/>
  <c r="W42" i="30"/>
  <c r="X42" i="30"/>
  <c r="Z42" i="30"/>
  <c r="AB42" i="30"/>
  <c r="AC42" i="30"/>
  <c r="AE42" i="30"/>
  <c r="AG42" i="30"/>
  <c r="AH42" i="30"/>
  <c r="AJ42" i="30"/>
  <c r="AL42" i="30"/>
  <c r="AM42" i="30"/>
  <c r="AO42" i="30"/>
  <c r="AQ42" i="30"/>
  <c r="AR42" i="30"/>
  <c r="AT42" i="30"/>
  <c r="R43" i="30"/>
  <c r="S43" i="30"/>
  <c r="U43" i="30"/>
  <c r="W43" i="30"/>
  <c r="X43" i="30"/>
  <c r="Z43" i="30"/>
  <c r="AB43" i="30"/>
  <c r="AC43" i="30"/>
  <c r="AE43" i="30"/>
  <c r="AG43" i="30"/>
  <c r="AH43" i="30"/>
  <c r="AJ43" i="30"/>
  <c r="AL43" i="30"/>
  <c r="AM43" i="30"/>
  <c r="AO43" i="30"/>
  <c r="AQ43" i="30"/>
  <c r="AR43" i="30"/>
  <c r="AT43" i="30"/>
  <c r="R44" i="30"/>
  <c r="T44" i="30" s="1"/>
  <c r="S44" i="30"/>
  <c r="U44" i="30"/>
  <c r="W44" i="30"/>
  <c r="X44" i="30"/>
  <c r="Z44" i="30"/>
  <c r="AB44" i="30"/>
  <c r="AC44" i="30"/>
  <c r="AE44" i="30"/>
  <c r="AG44" i="30"/>
  <c r="AH44" i="30"/>
  <c r="AJ44" i="30"/>
  <c r="AL44" i="30"/>
  <c r="AM44" i="30"/>
  <c r="AO44" i="30"/>
  <c r="AQ44" i="30"/>
  <c r="AR44" i="30"/>
  <c r="AT44" i="30"/>
  <c r="R45" i="30"/>
  <c r="S45" i="30"/>
  <c r="U45" i="30"/>
  <c r="W45" i="30"/>
  <c r="X45" i="30"/>
  <c r="Z45" i="30"/>
  <c r="AB45" i="30"/>
  <c r="AC45" i="30"/>
  <c r="AE45" i="30"/>
  <c r="AG45" i="30"/>
  <c r="AH45" i="30"/>
  <c r="AJ45" i="30"/>
  <c r="AL45" i="30"/>
  <c r="AM45" i="30"/>
  <c r="AO45" i="30"/>
  <c r="AQ45" i="30"/>
  <c r="AR45" i="30"/>
  <c r="AT45" i="30"/>
  <c r="R46" i="30"/>
  <c r="S46" i="30"/>
  <c r="U46" i="30"/>
  <c r="W46" i="30"/>
  <c r="X46" i="30"/>
  <c r="Z46" i="30"/>
  <c r="AB46" i="30"/>
  <c r="AC46" i="30"/>
  <c r="AE46" i="30"/>
  <c r="AG46" i="30"/>
  <c r="AH46" i="30"/>
  <c r="AJ46" i="30"/>
  <c r="AL46" i="30"/>
  <c r="AM46" i="30"/>
  <c r="AO46" i="30"/>
  <c r="AQ46" i="30"/>
  <c r="AR46" i="30"/>
  <c r="AT46" i="30"/>
  <c r="R47" i="30"/>
  <c r="S47" i="30"/>
  <c r="U47" i="30"/>
  <c r="W47" i="30"/>
  <c r="X47" i="30"/>
  <c r="Z47" i="30"/>
  <c r="AB47" i="30"/>
  <c r="AC47" i="30"/>
  <c r="AE47" i="30"/>
  <c r="AG47" i="30"/>
  <c r="AH47" i="30"/>
  <c r="AJ47" i="30"/>
  <c r="AL47" i="30"/>
  <c r="AM47" i="30"/>
  <c r="AO47" i="30"/>
  <c r="AQ47" i="30"/>
  <c r="AR47" i="30"/>
  <c r="AT47" i="30"/>
  <c r="R48" i="30"/>
  <c r="T48" i="30" s="1"/>
  <c r="S48" i="30"/>
  <c r="U48" i="30"/>
  <c r="W48" i="30"/>
  <c r="X48" i="30"/>
  <c r="Z48" i="30"/>
  <c r="AB48" i="30"/>
  <c r="AC48" i="30"/>
  <c r="AE48" i="30"/>
  <c r="AG48" i="30"/>
  <c r="AH48" i="30"/>
  <c r="AJ48" i="30"/>
  <c r="AL48" i="30"/>
  <c r="AM48" i="30"/>
  <c r="AO48" i="30"/>
  <c r="AQ48" i="30"/>
  <c r="AR48" i="30"/>
  <c r="AS48" i="30" s="1"/>
  <c r="AT48" i="30"/>
  <c r="R49" i="30"/>
  <c r="S49" i="30"/>
  <c r="U49" i="30"/>
  <c r="W49" i="30"/>
  <c r="X49" i="30"/>
  <c r="Z49" i="30"/>
  <c r="AB49" i="30"/>
  <c r="AC49" i="30"/>
  <c r="AE49" i="30"/>
  <c r="AG49" i="30"/>
  <c r="AH49" i="30"/>
  <c r="AJ49" i="30"/>
  <c r="AL49" i="30"/>
  <c r="AM49" i="30"/>
  <c r="AO49" i="30"/>
  <c r="AQ49" i="30"/>
  <c r="AR49" i="30"/>
  <c r="AT49" i="30"/>
  <c r="R50" i="30"/>
  <c r="S50" i="30"/>
  <c r="U50" i="30"/>
  <c r="W50" i="30"/>
  <c r="X50" i="30"/>
  <c r="Z50" i="30"/>
  <c r="AB50" i="30"/>
  <c r="AC50" i="30"/>
  <c r="AE50" i="30"/>
  <c r="AG50" i="30"/>
  <c r="AH50" i="30"/>
  <c r="AJ50" i="30"/>
  <c r="AL50" i="30"/>
  <c r="AM50" i="30"/>
  <c r="AO50" i="30"/>
  <c r="AQ50" i="30"/>
  <c r="AR50" i="30"/>
  <c r="AT50" i="30"/>
  <c r="R51" i="30"/>
  <c r="S51" i="30"/>
  <c r="U51" i="30"/>
  <c r="W51" i="30"/>
  <c r="X51" i="30"/>
  <c r="Z51" i="30"/>
  <c r="AB51" i="30"/>
  <c r="AC51" i="30"/>
  <c r="AE51" i="30"/>
  <c r="AG51" i="30"/>
  <c r="AH51" i="30"/>
  <c r="AJ51" i="30"/>
  <c r="AL51" i="30"/>
  <c r="AM51" i="30"/>
  <c r="AO51" i="30"/>
  <c r="AQ51" i="30"/>
  <c r="AR51" i="30"/>
  <c r="AT51" i="30"/>
  <c r="R52" i="30"/>
  <c r="S52" i="30"/>
  <c r="U52" i="30"/>
  <c r="W52" i="30"/>
  <c r="X52" i="30"/>
  <c r="Z52" i="30"/>
  <c r="AB52" i="30"/>
  <c r="AC52" i="30"/>
  <c r="AE52" i="30"/>
  <c r="AG52" i="30"/>
  <c r="AH52" i="30"/>
  <c r="AJ52" i="30"/>
  <c r="AL52" i="30"/>
  <c r="AM52" i="30"/>
  <c r="AO52" i="30"/>
  <c r="AQ52" i="30"/>
  <c r="AR52" i="30"/>
  <c r="AT52" i="30"/>
  <c r="R53" i="30"/>
  <c r="S53" i="30"/>
  <c r="U53" i="30"/>
  <c r="W53" i="30"/>
  <c r="X53" i="30"/>
  <c r="Z53" i="30"/>
  <c r="AB53" i="30"/>
  <c r="AC53" i="30"/>
  <c r="AE53" i="30"/>
  <c r="AG53" i="30"/>
  <c r="AH53" i="30"/>
  <c r="AJ53" i="30"/>
  <c r="AL53" i="30"/>
  <c r="AM53" i="30"/>
  <c r="AO53" i="30"/>
  <c r="AQ53" i="30"/>
  <c r="AR53" i="30"/>
  <c r="AT53" i="30"/>
  <c r="R54" i="30"/>
  <c r="S54" i="30"/>
  <c r="U54" i="30"/>
  <c r="W54" i="30"/>
  <c r="X54" i="30"/>
  <c r="Z54" i="30"/>
  <c r="AB54" i="30"/>
  <c r="AC54" i="30"/>
  <c r="AE54" i="30"/>
  <c r="AG54" i="30"/>
  <c r="AH54" i="30"/>
  <c r="AJ54" i="30"/>
  <c r="AL54" i="30"/>
  <c r="AM54" i="30"/>
  <c r="AO54" i="30"/>
  <c r="AQ54" i="30"/>
  <c r="AR54" i="30"/>
  <c r="AT54" i="30"/>
  <c r="R55" i="30"/>
  <c r="S55" i="30"/>
  <c r="U55" i="30"/>
  <c r="W55" i="30"/>
  <c r="X55" i="30"/>
  <c r="Z55" i="30"/>
  <c r="AB55" i="30"/>
  <c r="AC55" i="30"/>
  <c r="AE55" i="30"/>
  <c r="AG55" i="30"/>
  <c r="AH55" i="30"/>
  <c r="AJ55" i="30"/>
  <c r="AL55" i="30"/>
  <c r="AM55" i="30"/>
  <c r="AO55" i="30"/>
  <c r="AQ55" i="30"/>
  <c r="AR55" i="30"/>
  <c r="AT55" i="30"/>
  <c r="R56" i="30"/>
  <c r="S56" i="30"/>
  <c r="U56" i="30"/>
  <c r="W56" i="30"/>
  <c r="X56" i="30"/>
  <c r="Z56" i="30"/>
  <c r="AB56" i="30"/>
  <c r="AC56" i="30"/>
  <c r="AE56" i="30"/>
  <c r="AG56" i="30"/>
  <c r="AH56" i="30"/>
  <c r="AJ56" i="30"/>
  <c r="AL56" i="30"/>
  <c r="AM56" i="30"/>
  <c r="AO56" i="30"/>
  <c r="AQ56" i="30"/>
  <c r="AR56" i="30"/>
  <c r="AT56" i="30"/>
  <c r="R57" i="30"/>
  <c r="S57" i="30"/>
  <c r="U57" i="30"/>
  <c r="W57" i="30"/>
  <c r="X57" i="30"/>
  <c r="Z57" i="30"/>
  <c r="AB57" i="30"/>
  <c r="AC57" i="30"/>
  <c r="AE57" i="30"/>
  <c r="AG57" i="30"/>
  <c r="AH57" i="30"/>
  <c r="AJ57" i="30"/>
  <c r="AL57" i="30"/>
  <c r="AM57" i="30"/>
  <c r="AO57" i="30"/>
  <c r="AQ57" i="30"/>
  <c r="AR57" i="30"/>
  <c r="AT57" i="30"/>
  <c r="R58" i="30"/>
  <c r="S58" i="30"/>
  <c r="U58" i="30"/>
  <c r="W58" i="30"/>
  <c r="X58" i="30"/>
  <c r="Z58" i="30"/>
  <c r="AB58" i="30"/>
  <c r="AC58" i="30"/>
  <c r="AE58" i="30"/>
  <c r="AG58" i="30"/>
  <c r="AH58" i="30"/>
  <c r="AJ58" i="30"/>
  <c r="AL58" i="30"/>
  <c r="AM58" i="30"/>
  <c r="AO58" i="30"/>
  <c r="AQ58" i="30"/>
  <c r="AR58" i="30"/>
  <c r="AT58" i="30"/>
  <c r="R59" i="30"/>
  <c r="S59" i="30"/>
  <c r="U59" i="30"/>
  <c r="W59" i="30"/>
  <c r="X59" i="30"/>
  <c r="Z59" i="30"/>
  <c r="AB59" i="30"/>
  <c r="AC59" i="30"/>
  <c r="AE59" i="30"/>
  <c r="AG59" i="30"/>
  <c r="AH59" i="30"/>
  <c r="AJ59" i="30"/>
  <c r="AL59" i="30"/>
  <c r="AM59" i="30"/>
  <c r="AO59" i="30"/>
  <c r="AQ59" i="30"/>
  <c r="AR59" i="30"/>
  <c r="AT59" i="30"/>
  <c r="R60" i="30"/>
  <c r="S60" i="30"/>
  <c r="U60" i="30"/>
  <c r="W60" i="30"/>
  <c r="X60" i="30"/>
  <c r="Z60" i="30"/>
  <c r="AB60" i="30"/>
  <c r="AC60" i="30"/>
  <c r="AE60" i="30"/>
  <c r="AG60" i="30"/>
  <c r="AH60" i="30"/>
  <c r="AJ60" i="30"/>
  <c r="AL60" i="30"/>
  <c r="AM60" i="30"/>
  <c r="AO60" i="30"/>
  <c r="AQ60" i="30"/>
  <c r="AR60" i="30"/>
  <c r="AT60" i="30"/>
  <c r="R61" i="30"/>
  <c r="T61" i="30" s="1"/>
  <c r="S61" i="30"/>
  <c r="U61" i="30"/>
  <c r="W61" i="30"/>
  <c r="X61" i="30"/>
  <c r="Z61" i="30"/>
  <c r="AB61" i="30"/>
  <c r="AC61" i="30"/>
  <c r="AE61" i="30"/>
  <c r="AG61" i="30"/>
  <c r="AH61" i="30"/>
  <c r="AJ61" i="30"/>
  <c r="AL61" i="30"/>
  <c r="AM61" i="30"/>
  <c r="AO61" i="30"/>
  <c r="AQ61" i="30"/>
  <c r="AR61" i="30"/>
  <c r="AT61" i="30"/>
  <c r="R62" i="30"/>
  <c r="S62" i="30"/>
  <c r="U62" i="30"/>
  <c r="W62" i="30"/>
  <c r="X62" i="30"/>
  <c r="Z62" i="30"/>
  <c r="AB62" i="30"/>
  <c r="AC62" i="30"/>
  <c r="AE62" i="30"/>
  <c r="AG62" i="30"/>
  <c r="AH62" i="30"/>
  <c r="AJ62" i="30"/>
  <c r="AL62" i="30"/>
  <c r="AM62" i="30"/>
  <c r="AO62" i="30"/>
  <c r="AQ62" i="30"/>
  <c r="AR62" i="30"/>
  <c r="AT62" i="30"/>
  <c r="R63" i="30"/>
  <c r="S63" i="30"/>
  <c r="U63" i="30"/>
  <c r="W63" i="30"/>
  <c r="X63" i="30"/>
  <c r="Z63" i="30"/>
  <c r="AB63" i="30"/>
  <c r="AC63" i="30"/>
  <c r="AE63" i="30"/>
  <c r="AG63" i="30"/>
  <c r="AH63" i="30"/>
  <c r="AJ63" i="30"/>
  <c r="AL63" i="30"/>
  <c r="AM63" i="30"/>
  <c r="AO63" i="30"/>
  <c r="AQ63" i="30"/>
  <c r="AR63" i="30"/>
  <c r="AT63" i="30"/>
  <c r="R64" i="30"/>
  <c r="S64" i="30"/>
  <c r="U64" i="30"/>
  <c r="W64" i="30"/>
  <c r="X64" i="30"/>
  <c r="Z64" i="30"/>
  <c r="AB64" i="30"/>
  <c r="AC64" i="30"/>
  <c r="AE64" i="30"/>
  <c r="AG64" i="30"/>
  <c r="AH64" i="30"/>
  <c r="AJ64" i="30"/>
  <c r="AL64" i="30"/>
  <c r="AM64" i="30"/>
  <c r="AO64" i="30"/>
  <c r="AQ64" i="30"/>
  <c r="AR64" i="30"/>
  <c r="AT64" i="30"/>
  <c r="R65" i="30"/>
  <c r="S65" i="30"/>
  <c r="U65" i="30"/>
  <c r="W65" i="30"/>
  <c r="X65" i="30"/>
  <c r="Z65" i="30"/>
  <c r="AB65" i="30"/>
  <c r="AC65" i="30"/>
  <c r="AE65" i="30"/>
  <c r="AG65" i="30"/>
  <c r="AH65" i="30"/>
  <c r="AJ65" i="30"/>
  <c r="AL65" i="30"/>
  <c r="AM65" i="30"/>
  <c r="AO65" i="30"/>
  <c r="AQ65" i="30"/>
  <c r="AR65" i="30"/>
  <c r="AT65" i="30"/>
  <c r="R66" i="30"/>
  <c r="S66" i="30"/>
  <c r="U66" i="30"/>
  <c r="W66" i="30"/>
  <c r="X66" i="30"/>
  <c r="Z66" i="30"/>
  <c r="AB66" i="30"/>
  <c r="AC66" i="30"/>
  <c r="AE66" i="30"/>
  <c r="AG66" i="30"/>
  <c r="AH66" i="30"/>
  <c r="AJ66" i="30"/>
  <c r="AL66" i="30"/>
  <c r="AM66" i="30"/>
  <c r="AO66" i="30"/>
  <c r="AQ66" i="30"/>
  <c r="AR66" i="30"/>
  <c r="AT66" i="30"/>
  <c r="R67" i="30"/>
  <c r="S67" i="30"/>
  <c r="U67" i="30"/>
  <c r="W67" i="30"/>
  <c r="X67" i="30"/>
  <c r="Z67" i="30"/>
  <c r="AB67" i="30"/>
  <c r="AC67" i="30"/>
  <c r="AE67" i="30"/>
  <c r="AG67" i="30"/>
  <c r="AH67" i="30"/>
  <c r="AJ67" i="30"/>
  <c r="AO67" i="30"/>
  <c r="AL67" i="30"/>
  <c r="AM67" i="30"/>
  <c r="AQ67" i="30"/>
  <c r="AR67" i="30"/>
  <c r="AT67" i="30"/>
  <c r="R68" i="30"/>
  <c r="S68" i="30"/>
  <c r="U68" i="30"/>
  <c r="W68" i="30"/>
  <c r="X68" i="30"/>
  <c r="Z68" i="30"/>
  <c r="AB68" i="30"/>
  <c r="AC68" i="30"/>
  <c r="AE68" i="30"/>
  <c r="AG68" i="30"/>
  <c r="AH68" i="30"/>
  <c r="AJ68" i="30"/>
  <c r="AL68" i="30"/>
  <c r="AM68" i="30"/>
  <c r="AO68" i="30"/>
  <c r="AQ68" i="30"/>
  <c r="AR68" i="30"/>
  <c r="AT68" i="30"/>
  <c r="R69" i="30"/>
  <c r="S69" i="30"/>
  <c r="U69" i="30"/>
  <c r="W69" i="30"/>
  <c r="X69" i="30"/>
  <c r="Z69" i="30"/>
  <c r="AB69" i="30"/>
  <c r="AC69" i="30"/>
  <c r="AE69" i="30"/>
  <c r="AG69" i="30"/>
  <c r="AH69" i="30"/>
  <c r="AJ69" i="30"/>
  <c r="AL69" i="30"/>
  <c r="AM69" i="30"/>
  <c r="AO69" i="30"/>
  <c r="AQ69" i="30"/>
  <c r="AR69" i="30"/>
  <c r="AT69" i="30"/>
  <c r="R70" i="30"/>
  <c r="S70" i="30"/>
  <c r="U70" i="30"/>
  <c r="W70" i="30"/>
  <c r="X70" i="30"/>
  <c r="Z70" i="30"/>
  <c r="AB70" i="30"/>
  <c r="AC70" i="30"/>
  <c r="AE70" i="30"/>
  <c r="AG70" i="30"/>
  <c r="AH70" i="30"/>
  <c r="AI70" i="30" s="1"/>
  <c r="AJ70" i="30"/>
  <c r="AL70" i="30"/>
  <c r="AN70" i="30" s="1"/>
  <c r="AM70" i="30"/>
  <c r="AO70" i="30"/>
  <c r="AT70" i="30"/>
  <c r="AQ70" i="30"/>
  <c r="AS70" i="30" s="1"/>
  <c r="AR70" i="30"/>
  <c r="R71" i="30"/>
  <c r="S71" i="30"/>
  <c r="U71" i="30"/>
  <c r="W71" i="30"/>
  <c r="X71" i="30"/>
  <c r="Z71" i="30"/>
  <c r="AB71" i="30"/>
  <c r="AC71" i="30"/>
  <c r="AE71" i="30"/>
  <c r="AG71" i="30"/>
  <c r="AH71" i="30"/>
  <c r="AL71" i="30"/>
  <c r="AM71" i="30"/>
  <c r="AO71" i="30"/>
  <c r="AQ71" i="30"/>
  <c r="AR71" i="30"/>
  <c r="AT71" i="30"/>
  <c r="R72" i="30"/>
  <c r="S72" i="30"/>
  <c r="U72" i="30"/>
  <c r="W72" i="30"/>
  <c r="X72" i="30"/>
  <c r="Z72" i="30"/>
  <c r="AB72" i="30"/>
  <c r="AC72" i="30"/>
  <c r="AE72" i="30"/>
  <c r="AG72" i="30"/>
  <c r="AH72" i="30"/>
  <c r="AJ72" i="30"/>
  <c r="AL72" i="30"/>
  <c r="AM72" i="30"/>
  <c r="AO72" i="30"/>
  <c r="AQ72" i="30"/>
  <c r="AR72" i="30"/>
  <c r="AT72" i="30"/>
  <c r="R73" i="30"/>
  <c r="S73" i="30"/>
  <c r="U73" i="30"/>
  <c r="W73" i="30"/>
  <c r="X73" i="30"/>
  <c r="Z73" i="30"/>
  <c r="AB73" i="30"/>
  <c r="AC73" i="30"/>
  <c r="AE73" i="30"/>
  <c r="AG73" i="30"/>
  <c r="AI73" i="30" s="1"/>
  <c r="AH73" i="30"/>
  <c r="AJ73" i="30"/>
  <c r="AL73" i="30"/>
  <c r="AM73" i="30"/>
  <c r="AO73" i="30"/>
  <c r="AQ73" i="30"/>
  <c r="AR73" i="30"/>
  <c r="AT73" i="30"/>
  <c r="R74" i="30"/>
  <c r="S74" i="30"/>
  <c r="U74" i="30"/>
  <c r="W74" i="30"/>
  <c r="X74" i="30"/>
  <c r="Z74" i="30"/>
  <c r="AB74" i="30"/>
  <c r="AC74" i="30"/>
  <c r="AE74" i="30"/>
  <c r="AG74" i="30"/>
  <c r="AH74" i="30"/>
  <c r="AJ74" i="30"/>
  <c r="AL74" i="30"/>
  <c r="AM74" i="30"/>
  <c r="AO74" i="30"/>
  <c r="AQ74" i="30"/>
  <c r="AR74" i="30"/>
  <c r="AT74" i="30"/>
  <c r="R75" i="30"/>
  <c r="S75" i="30"/>
  <c r="U75" i="30"/>
  <c r="W75" i="30"/>
  <c r="X75" i="30"/>
  <c r="Z75" i="30"/>
  <c r="AB75" i="30"/>
  <c r="AC75" i="30"/>
  <c r="AD75" i="30" s="1"/>
  <c r="AE75" i="30"/>
  <c r="AG75" i="30"/>
  <c r="AH75" i="30"/>
  <c r="AJ75" i="30"/>
  <c r="AL75" i="30"/>
  <c r="AM75" i="30"/>
  <c r="AO75" i="30"/>
  <c r="AQ75" i="30"/>
  <c r="AR75" i="30"/>
  <c r="AT75" i="30"/>
  <c r="R76" i="30"/>
  <c r="S76" i="30"/>
  <c r="U76" i="30"/>
  <c r="W76" i="30"/>
  <c r="X76" i="30"/>
  <c r="Z76" i="30"/>
  <c r="AB76" i="30"/>
  <c r="AC76" i="30"/>
  <c r="AE76" i="30"/>
  <c r="AG76" i="30"/>
  <c r="AH76" i="30"/>
  <c r="AJ76" i="30"/>
  <c r="AL76" i="30"/>
  <c r="AM76" i="30"/>
  <c r="AO76" i="30"/>
  <c r="AQ76" i="30"/>
  <c r="AR76" i="30"/>
  <c r="AT76" i="30"/>
  <c r="R77" i="30"/>
  <c r="S77" i="30"/>
  <c r="U77" i="30"/>
  <c r="W77" i="30"/>
  <c r="X77" i="30"/>
  <c r="Z77" i="30"/>
  <c r="AB77" i="30"/>
  <c r="AC77" i="30"/>
  <c r="AE77" i="30"/>
  <c r="AG77" i="30"/>
  <c r="AH77" i="30"/>
  <c r="AJ77" i="30"/>
  <c r="AL77" i="30"/>
  <c r="AM77" i="30"/>
  <c r="AO77" i="30"/>
  <c r="AQ77" i="30"/>
  <c r="AR77" i="30"/>
  <c r="AT77" i="30"/>
  <c r="R78" i="30"/>
  <c r="S78" i="30"/>
  <c r="U78" i="30"/>
  <c r="W78" i="30"/>
  <c r="X78" i="30"/>
  <c r="Z78" i="30"/>
  <c r="AB78" i="30"/>
  <c r="AC78" i="30"/>
  <c r="AE78" i="30"/>
  <c r="AG78" i="30"/>
  <c r="AH78" i="30"/>
  <c r="AJ78" i="30"/>
  <c r="AL78" i="30"/>
  <c r="AM78" i="30"/>
  <c r="AO78" i="30"/>
  <c r="AQ78" i="30"/>
  <c r="AR78" i="30"/>
  <c r="AT78" i="30"/>
  <c r="R79" i="30"/>
  <c r="T79" i="30" s="1"/>
  <c r="S79" i="30"/>
  <c r="U79" i="30"/>
  <c r="W79" i="30"/>
  <c r="X79" i="30"/>
  <c r="Z79" i="30"/>
  <c r="AB79" i="30"/>
  <c r="AC79" i="30"/>
  <c r="AE79" i="30"/>
  <c r="AG79" i="30"/>
  <c r="AH79" i="30"/>
  <c r="AJ79" i="30"/>
  <c r="AL79" i="30"/>
  <c r="AM79" i="30"/>
  <c r="AO79" i="30"/>
  <c r="AQ79" i="30"/>
  <c r="AR79" i="30"/>
  <c r="AT79" i="30"/>
  <c r="R80" i="30"/>
  <c r="S80" i="30"/>
  <c r="U80" i="30"/>
  <c r="W80" i="30"/>
  <c r="X80" i="30"/>
  <c r="Z80" i="30"/>
  <c r="AB80" i="30"/>
  <c r="AC80" i="30"/>
  <c r="AE80" i="30"/>
  <c r="AG80" i="30"/>
  <c r="AH80" i="30"/>
  <c r="AJ80" i="30"/>
  <c r="AL80" i="30"/>
  <c r="AM80" i="30"/>
  <c r="AO80" i="30"/>
  <c r="AQ80" i="30"/>
  <c r="AR80" i="30"/>
  <c r="AT80" i="30"/>
  <c r="R81" i="30"/>
  <c r="S81" i="30"/>
  <c r="U81" i="30"/>
  <c r="W81" i="30"/>
  <c r="X81" i="30"/>
  <c r="Z81" i="30"/>
  <c r="AB81" i="30"/>
  <c r="AC81" i="30"/>
  <c r="AE81" i="30"/>
  <c r="AG81" i="30"/>
  <c r="AH81" i="30"/>
  <c r="AJ81" i="30"/>
  <c r="AL81" i="30"/>
  <c r="AM81" i="30"/>
  <c r="AO81" i="30"/>
  <c r="AQ81" i="30"/>
  <c r="AR81" i="30"/>
  <c r="AT81" i="30"/>
  <c r="R82" i="30"/>
  <c r="S82" i="30"/>
  <c r="U82" i="30"/>
  <c r="W82" i="30"/>
  <c r="X82" i="30"/>
  <c r="Z82" i="30"/>
  <c r="AB82" i="30"/>
  <c r="AC82" i="30"/>
  <c r="AE82" i="30"/>
  <c r="AG82" i="30"/>
  <c r="AH82" i="30"/>
  <c r="AJ82" i="30"/>
  <c r="AL82" i="30"/>
  <c r="AM82" i="30"/>
  <c r="AO82" i="30"/>
  <c r="AQ82" i="30"/>
  <c r="AR82" i="30"/>
  <c r="AT82" i="30"/>
  <c r="R83" i="30"/>
  <c r="S83" i="30"/>
  <c r="U83" i="30"/>
  <c r="W83" i="30"/>
  <c r="X83" i="30"/>
  <c r="Z83" i="30"/>
  <c r="AB83" i="30"/>
  <c r="AC83" i="30"/>
  <c r="AE83" i="30"/>
  <c r="AG83" i="30"/>
  <c r="AH83" i="30"/>
  <c r="AJ83" i="30"/>
  <c r="AL83" i="30"/>
  <c r="AM83" i="30"/>
  <c r="AO83" i="30"/>
  <c r="AQ83" i="30"/>
  <c r="AR83" i="30"/>
  <c r="AT83" i="30"/>
  <c r="R84" i="30"/>
  <c r="T84" i="30" s="1"/>
  <c r="S84" i="30"/>
  <c r="U84" i="30"/>
  <c r="W84" i="30"/>
  <c r="X84" i="30"/>
  <c r="Z84" i="30"/>
  <c r="AB84" i="30"/>
  <c r="AC84" i="30"/>
  <c r="AE84" i="30"/>
  <c r="AG84" i="30"/>
  <c r="AH84" i="30"/>
  <c r="AJ84" i="30"/>
  <c r="AL84" i="30"/>
  <c r="AM84" i="30"/>
  <c r="AO84" i="30"/>
  <c r="AQ84" i="30"/>
  <c r="AR84" i="30"/>
  <c r="AT84" i="30"/>
  <c r="R85" i="30"/>
  <c r="S85" i="30"/>
  <c r="U85" i="30"/>
  <c r="W85" i="30"/>
  <c r="X85" i="30"/>
  <c r="Z85" i="30"/>
  <c r="AB85" i="30"/>
  <c r="AC85" i="30"/>
  <c r="AE85" i="30"/>
  <c r="AG85" i="30"/>
  <c r="AH85" i="30"/>
  <c r="AJ85" i="30"/>
  <c r="AL85" i="30"/>
  <c r="AM85" i="30"/>
  <c r="AO85" i="30"/>
  <c r="AQ85" i="30"/>
  <c r="AR85" i="30"/>
  <c r="AT85" i="30"/>
  <c r="R86" i="30"/>
  <c r="S86" i="30"/>
  <c r="U86" i="30"/>
  <c r="W86" i="30"/>
  <c r="X86" i="30"/>
  <c r="Z86" i="30"/>
  <c r="AB86" i="30"/>
  <c r="AC86" i="30"/>
  <c r="AE86" i="30"/>
  <c r="AG86" i="30"/>
  <c r="AH86" i="30"/>
  <c r="AJ86" i="30"/>
  <c r="AL86" i="30"/>
  <c r="AM86" i="30"/>
  <c r="AO86" i="30"/>
  <c r="AQ86" i="30"/>
  <c r="AR86" i="30"/>
  <c r="AT86" i="30"/>
  <c r="R87" i="30"/>
  <c r="S87" i="30"/>
  <c r="U87" i="30"/>
  <c r="W87" i="30"/>
  <c r="X87" i="30"/>
  <c r="Z87" i="30"/>
  <c r="AB87" i="30"/>
  <c r="AC87" i="30"/>
  <c r="AE87" i="30"/>
  <c r="AG87" i="30"/>
  <c r="AH87" i="30"/>
  <c r="AJ87" i="30"/>
  <c r="AL87" i="30"/>
  <c r="AM87" i="30"/>
  <c r="AO87" i="30"/>
  <c r="AQ87" i="30"/>
  <c r="AR87" i="30"/>
  <c r="AT87" i="30"/>
  <c r="R88" i="30"/>
  <c r="S88" i="30"/>
  <c r="U88" i="30"/>
  <c r="W88" i="30"/>
  <c r="X88" i="30"/>
  <c r="Z88" i="30"/>
  <c r="AB88" i="30"/>
  <c r="AC88" i="30"/>
  <c r="AE88" i="30"/>
  <c r="AG88" i="30"/>
  <c r="AH88" i="30"/>
  <c r="AJ88" i="30"/>
  <c r="AL88" i="30"/>
  <c r="AM88" i="30"/>
  <c r="AO88" i="30"/>
  <c r="AQ88" i="30"/>
  <c r="AR88" i="30"/>
  <c r="AT88" i="30"/>
  <c r="R89" i="30"/>
  <c r="S89" i="30"/>
  <c r="U89" i="30"/>
  <c r="W89" i="30"/>
  <c r="X89" i="30"/>
  <c r="Z89" i="30"/>
  <c r="AB89" i="30"/>
  <c r="AC89" i="30"/>
  <c r="AE89" i="30"/>
  <c r="AG89" i="30"/>
  <c r="AH89" i="30"/>
  <c r="AJ89" i="30"/>
  <c r="AL89" i="30"/>
  <c r="AM89" i="30"/>
  <c r="AO89" i="30"/>
  <c r="AQ89" i="30"/>
  <c r="AR89" i="30"/>
  <c r="AT89" i="30"/>
  <c r="R90" i="30"/>
  <c r="S90" i="30"/>
  <c r="U90" i="30"/>
  <c r="W90" i="30"/>
  <c r="X90" i="30"/>
  <c r="Z90" i="30"/>
  <c r="AB90" i="30"/>
  <c r="AC90" i="30"/>
  <c r="AE90" i="30"/>
  <c r="AG90" i="30"/>
  <c r="AH90" i="30"/>
  <c r="AJ90" i="30"/>
  <c r="AL90" i="30"/>
  <c r="AM90" i="30"/>
  <c r="AO90" i="30"/>
  <c r="AQ90" i="30"/>
  <c r="AR90" i="30"/>
  <c r="AT90" i="30"/>
  <c r="R91" i="30"/>
  <c r="S91" i="30"/>
  <c r="U91" i="30"/>
  <c r="W91" i="30"/>
  <c r="X91" i="30"/>
  <c r="Z91" i="30"/>
  <c r="AB91" i="30"/>
  <c r="AC91" i="30"/>
  <c r="AE91" i="30"/>
  <c r="AG91" i="30"/>
  <c r="AH91" i="30"/>
  <c r="AJ91" i="30"/>
  <c r="AL91" i="30"/>
  <c r="AM91" i="30"/>
  <c r="AO91" i="30"/>
  <c r="AQ91" i="30"/>
  <c r="AR91" i="30"/>
  <c r="AT91" i="30"/>
  <c r="R92" i="30"/>
  <c r="S92" i="30"/>
  <c r="U92" i="30"/>
  <c r="W92" i="30"/>
  <c r="X92" i="30"/>
  <c r="Z92" i="30"/>
  <c r="AB92" i="30"/>
  <c r="AC92" i="30"/>
  <c r="AE92" i="30"/>
  <c r="AG92" i="30"/>
  <c r="AH92" i="30"/>
  <c r="AJ92" i="30"/>
  <c r="AL92" i="30"/>
  <c r="AM92" i="30"/>
  <c r="AO92" i="30"/>
  <c r="AQ92" i="30"/>
  <c r="AR92" i="30"/>
  <c r="AT92" i="30"/>
  <c r="R93" i="30"/>
  <c r="S93" i="30"/>
  <c r="U93" i="30"/>
  <c r="W93" i="30"/>
  <c r="X93" i="30"/>
  <c r="Z93" i="30"/>
  <c r="AB93" i="30"/>
  <c r="AC93" i="30"/>
  <c r="AE93" i="30"/>
  <c r="AG93" i="30"/>
  <c r="AH93" i="30"/>
  <c r="AJ93" i="30"/>
  <c r="AL93" i="30"/>
  <c r="AM93" i="30"/>
  <c r="AO93" i="30"/>
  <c r="AQ93" i="30"/>
  <c r="AR93" i="30"/>
  <c r="AT93" i="30"/>
  <c r="R94" i="30"/>
  <c r="S94" i="30"/>
  <c r="U94" i="30"/>
  <c r="W94" i="30"/>
  <c r="X94" i="30"/>
  <c r="Z94" i="30"/>
  <c r="AB94" i="30"/>
  <c r="AC94" i="30"/>
  <c r="AE94" i="30"/>
  <c r="AG94" i="30"/>
  <c r="AH94" i="30"/>
  <c r="AJ94" i="30"/>
  <c r="AL94" i="30"/>
  <c r="AM94" i="30"/>
  <c r="AO94" i="30"/>
  <c r="AQ94" i="30"/>
  <c r="AR94" i="30"/>
  <c r="AT94" i="30"/>
  <c r="R95" i="30"/>
  <c r="T95" i="30" s="1"/>
  <c r="S95" i="30"/>
  <c r="U95" i="30"/>
  <c r="W95" i="30"/>
  <c r="X95" i="30"/>
  <c r="Z95" i="30"/>
  <c r="AB95" i="30"/>
  <c r="AC95" i="30"/>
  <c r="AE95" i="30"/>
  <c r="AG95" i="30"/>
  <c r="AH95" i="30"/>
  <c r="AJ95" i="30"/>
  <c r="AL95" i="30"/>
  <c r="AM95" i="30"/>
  <c r="AO95" i="30"/>
  <c r="AQ95" i="30"/>
  <c r="AR95" i="30"/>
  <c r="AT95" i="30"/>
  <c r="R96" i="30"/>
  <c r="S96" i="30"/>
  <c r="U96" i="30"/>
  <c r="W96" i="30"/>
  <c r="X96" i="30"/>
  <c r="Z96" i="30"/>
  <c r="AB96" i="30"/>
  <c r="AC96" i="30"/>
  <c r="AE96" i="30"/>
  <c r="AG96" i="30"/>
  <c r="AH96" i="30"/>
  <c r="AJ96" i="30"/>
  <c r="AL96" i="30"/>
  <c r="AM96" i="30"/>
  <c r="AO96" i="30"/>
  <c r="AQ96" i="30"/>
  <c r="AR96" i="30"/>
  <c r="AT96" i="30"/>
  <c r="R97" i="30"/>
  <c r="S97" i="30"/>
  <c r="U97" i="30"/>
  <c r="W97" i="30"/>
  <c r="X97" i="30"/>
  <c r="Z97" i="30"/>
  <c r="AB97" i="30"/>
  <c r="AC97" i="30"/>
  <c r="AE97" i="30"/>
  <c r="AG97" i="30"/>
  <c r="AH97" i="30"/>
  <c r="AJ97" i="30"/>
  <c r="AL97" i="30"/>
  <c r="AM97" i="30"/>
  <c r="AO97" i="30"/>
  <c r="AQ97" i="30"/>
  <c r="AR97" i="30"/>
  <c r="AT97" i="30"/>
  <c r="R98" i="30"/>
  <c r="S98" i="30"/>
  <c r="U98" i="30"/>
  <c r="W98" i="30"/>
  <c r="X98" i="30"/>
  <c r="Z98" i="30"/>
  <c r="AB98" i="30"/>
  <c r="AC98" i="30"/>
  <c r="AE98" i="30"/>
  <c r="AG98" i="30"/>
  <c r="AH98" i="30"/>
  <c r="AJ98" i="30"/>
  <c r="AL98" i="30"/>
  <c r="AM98" i="30"/>
  <c r="AO98" i="30"/>
  <c r="AQ98" i="30"/>
  <c r="AR98" i="30"/>
  <c r="AT98" i="30"/>
  <c r="R99" i="30"/>
  <c r="S99" i="30"/>
  <c r="U99" i="30"/>
  <c r="W99" i="30"/>
  <c r="X99" i="30"/>
  <c r="Z99" i="30"/>
  <c r="AB99" i="30"/>
  <c r="AC99" i="30"/>
  <c r="AE99" i="30"/>
  <c r="AG99" i="30"/>
  <c r="AH99" i="30"/>
  <c r="AJ99" i="30"/>
  <c r="AL99" i="30"/>
  <c r="AM99" i="30"/>
  <c r="AO99" i="30"/>
  <c r="AQ99" i="30"/>
  <c r="AR99" i="30"/>
  <c r="AT99" i="30"/>
  <c r="R100" i="30"/>
  <c r="T100" i="30" s="1"/>
  <c r="S100" i="30"/>
  <c r="U100" i="30"/>
  <c r="W100" i="30"/>
  <c r="X100" i="30"/>
  <c r="Z100" i="30"/>
  <c r="AB100" i="30"/>
  <c r="AC100" i="30"/>
  <c r="AE100" i="30"/>
  <c r="AG100" i="30"/>
  <c r="AH100" i="30"/>
  <c r="AJ100" i="30"/>
  <c r="AL100" i="30"/>
  <c r="AM100" i="30"/>
  <c r="AO100" i="30"/>
  <c r="AQ100" i="30"/>
  <c r="AR100" i="30"/>
  <c r="AT100" i="30"/>
  <c r="R101" i="30"/>
  <c r="T101" i="30" s="1"/>
  <c r="S101" i="30"/>
  <c r="U101" i="30"/>
  <c r="W101" i="30"/>
  <c r="X101" i="30"/>
  <c r="Z101" i="30"/>
  <c r="AB101" i="30"/>
  <c r="AC101" i="30"/>
  <c r="AE101" i="30"/>
  <c r="AG101" i="30"/>
  <c r="AH101" i="30"/>
  <c r="AJ101" i="30"/>
  <c r="AL101" i="30"/>
  <c r="AM101" i="30"/>
  <c r="AO101" i="30"/>
  <c r="AQ101" i="30"/>
  <c r="AR101" i="30"/>
  <c r="AT101" i="30"/>
  <c r="R102" i="30"/>
  <c r="S102" i="30"/>
  <c r="U102" i="30"/>
  <c r="W102" i="30"/>
  <c r="X102" i="30"/>
  <c r="Z102" i="30"/>
  <c r="AB102" i="30"/>
  <c r="AC102" i="30"/>
  <c r="AE102" i="30"/>
  <c r="AG102" i="30"/>
  <c r="AH102" i="30"/>
  <c r="AJ102" i="30"/>
  <c r="AL102" i="30"/>
  <c r="AM102" i="30"/>
  <c r="AO102" i="30"/>
  <c r="AQ102" i="30"/>
  <c r="AR102" i="30"/>
  <c r="AT102" i="30"/>
  <c r="R103" i="30"/>
  <c r="S103" i="30"/>
  <c r="U103" i="30"/>
  <c r="W103" i="30"/>
  <c r="X103" i="30"/>
  <c r="Z103" i="30"/>
  <c r="AB103" i="30"/>
  <c r="AC103" i="30"/>
  <c r="AE103" i="30"/>
  <c r="AG103" i="30"/>
  <c r="AH103" i="30"/>
  <c r="AJ103" i="30"/>
  <c r="AL103" i="30"/>
  <c r="AM103" i="30"/>
  <c r="AO103" i="30"/>
  <c r="AQ103" i="30"/>
  <c r="AR103" i="30"/>
  <c r="AT103" i="30"/>
  <c r="R104" i="30"/>
  <c r="S104" i="30"/>
  <c r="U104" i="30"/>
  <c r="W104" i="30"/>
  <c r="X104" i="30"/>
  <c r="Z104" i="30"/>
  <c r="AB104" i="30"/>
  <c r="AC104" i="30"/>
  <c r="AE104" i="30"/>
  <c r="AG104" i="30"/>
  <c r="AH104" i="30"/>
  <c r="AJ104" i="30"/>
  <c r="AL104" i="30"/>
  <c r="AM104" i="30"/>
  <c r="AO104" i="30"/>
  <c r="AQ104" i="30"/>
  <c r="AR104" i="30"/>
  <c r="AT104" i="30"/>
  <c r="R105" i="30"/>
  <c r="S105" i="30"/>
  <c r="U105" i="30"/>
  <c r="W105" i="30"/>
  <c r="X105" i="30"/>
  <c r="Z105" i="30"/>
  <c r="AB105" i="30"/>
  <c r="AC105" i="30"/>
  <c r="AE105" i="30"/>
  <c r="AG105" i="30"/>
  <c r="AH105" i="30"/>
  <c r="AJ105" i="30"/>
  <c r="AL105" i="30"/>
  <c r="AM105" i="30"/>
  <c r="AO105" i="30"/>
  <c r="AQ105" i="30"/>
  <c r="AR105" i="30"/>
  <c r="AT105" i="30"/>
  <c r="R106" i="30"/>
  <c r="S106" i="30"/>
  <c r="U106" i="30"/>
  <c r="W106" i="30"/>
  <c r="X106" i="30"/>
  <c r="Z106" i="30"/>
  <c r="AB106" i="30"/>
  <c r="AC106" i="30"/>
  <c r="AE106" i="30"/>
  <c r="AG106" i="30"/>
  <c r="AH106" i="30"/>
  <c r="AJ106" i="30"/>
  <c r="AL106" i="30"/>
  <c r="AM106" i="30"/>
  <c r="AO106" i="30"/>
  <c r="AQ106" i="30"/>
  <c r="AR106" i="30"/>
  <c r="AT106" i="30"/>
  <c r="R107" i="30"/>
  <c r="S107" i="30"/>
  <c r="U107" i="30"/>
  <c r="W107" i="30"/>
  <c r="X107" i="30"/>
  <c r="Z107" i="30"/>
  <c r="AB107" i="30"/>
  <c r="AC107" i="30"/>
  <c r="AE107" i="30"/>
  <c r="AG107" i="30"/>
  <c r="AH107" i="30"/>
  <c r="AJ107" i="30"/>
  <c r="AL107" i="30"/>
  <c r="AM107" i="30"/>
  <c r="AO107" i="30"/>
  <c r="AQ107" i="30"/>
  <c r="AR107" i="30"/>
  <c r="AT107" i="30"/>
  <c r="R108" i="30"/>
  <c r="S108" i="30"/>
  <c r="U108" i="30"/>
  <c r="W108" i="30"/>
  <c r="X108" i="30"/>
  <c r="Z108" i="30"/>
  <c r="AB108" i="30"/>
  <c r="AC108" i="30"/>
  <c r="AE108" i="30"/>
  <c r="AG108" i="30"/>
  <c r="AH108" i="30"/>
  <c r="AJ108" i="30"/>
  <c r="AL108" i="30"/>
  <c r="AM108" i="30"/>
  <c r="AO108" i="30"/>
  <c r="AQ108" i="30"/>
  <c r="AR108" i="30"/>
  <c r="AT108" i="30"/>
  <c r="R109" i="30"/>
  <c r="S109" i="30"/>
  <c r="U109" i="30"/>
  <c r="W109" i="30"/>
  <c r="X109" i="30"/>
  <c r="Z109" i="30"/>
  <c r="AB109" i="30"/>
  <c r="AC109" i="30"/>
  <c r="AE109" i="30"/>
  <c r="AG109" i="30"/>
  <c r="AH109" i="30"/>
  <c r="AJ109" i="30"/>
  <c r="AL109" i="30"/>
  <c r="AM109" i="30"/>
  <c r="AO109" i="30"/>
  <c r="AQ109" i="30"/>
  <c r="AR109" i="30"/>
  <c r="AT109" i="30"/>
  <c r="R110" i="30"/>
  <c r="S110" i="30"/>
  <c r="U110" i="30"/>
  <c r="W110" i="30"/>
  <c r="X110" i="30"/>
  <c r="Z110" i="30"/>
  <c r="AB110" i="30"/>
  <c r="AC110" i="30"/>
  <c r="AE110" i="30"/>
  <c r="AG110" i="30"/>
  <c r="AH110" i="30"/>
  <c r="AJ110" i="30"/>
  <c r="AL110" i="30"/>
  <c r="AM110" i="30"/>
  <c r="AO110" i="30"/>
  <c r="AQ110" i="30"/>
  <c r="AR110" i="30"/>
  <c r="AT110" i="30"/>
  <c r="R111" i="30"/>
  <c r="S111" i="30"/>
  <c r="U111" i="30"/>
  <c r="W111" i="30"/>
  <c r="X111" i="30"/>
  <c r="Z111" i="30"/>
  <c r="AB111" i="30"/>
  <c r="AC111" i="30"/>
  <c r="AE111" i="30"/>
  <c r="AG111" i="30"/>
  <c r="AH111" i="30"/>
  <c r="AJ111" i="30"/>
  <c r="AL111" i="30"/>
  <c r="AM111" i="30"/>
  <c r="AO111" i="30"/>
  <c r="AQ111" i="30"/>
  <c r="AR111" i="30"/>
  <c r="AT111" i="30"/>
  <c r="R112" i="30"/>
  <c r="S112" i="30"/>
  <c r="U112" i="30"/>
  <c r="W112" i="30"/>
  <c r="X112" i="30"/>
  <c r="Z112" i="30"/>
  <c r="AB112" i="30"/>
  <c r="AC112" i="30"/>
  <c r="AE112" i="30"/>
  <c r="AG112" i="30"/>
  <c r="AH112" i="30"/>
  <c r="AJ112" i="30"/>
  <c r="AL112" i="30"/>
  <c r="AM112" i="30"/>
  <c r="AO112" i="30"/>
  <c r="AQ112" i="30"/>
  <c r="AR112" i="30"/>
  <c r="AT112" i="30"/>
  <c r="R113" i="30"/>
  <c r="S113" i="30"/>
  <c r="U113" i="30"/>
  <c r="W113" i="30"/>
  <c r="X113" i="30"/>
  <c r="Z113" i="30"/>
  <c r="AB113" i="30"/>
  <c r="AC113" i="30"/>
  <c r="AE113" i="30"/>
  <c r="AG113" i="30"/>
  <c r="AH113" i="30"/>
  <c r="AJ113" i="30"/>
  <c r="AL113" i="30"/>
  <c r="AM113" i="30"/>
  <c r="AO113" i="30"/>
  <c r="AQ113" i="30"/>
  <c r="AR113" i="30"/>
  <c r="AT113" i="30"/>
  <c r="R114" i="30"/>
  <c r="S114" i="30"/>
  <c r="U114" i="30"/>
  <c r="W114" i="30"/>
  <c r="X114" i="30"/>
  <c r="Z114" i="30"/>
  <c r="AB114" i="30"/>
  <c r="AC114" i="30"/>
  <c r="AE114" i="30"/>
  <c r="AG114" i="30"/>
  <c r="AH114" i="30"/>
  <c r="AJ114" i="30"/>
  <c r="AL114" i="30"/>
  <c r="AM114" i="30"/>
  <c r="AO114" i="30"/>
  <c r="AQ114" i="30"/>
  <c r="AR114" i="30"/>
  <c r="AT114" i="30"/>
  <c r="R115" i="30"/>
  <c r="S115" i="30"/>
  <c r="U115" i="30"/>
  <c r="W115" i="30"/>
  <c r="X115" i="30"/>
  <c r="Z115" i="30"/>
  <c r="AB115" i="30"/>
  <c r="AC115" i="30"/>
  <c r="AE115" i="30"/>
  <c r="AG115" i="30"/>
  <c r="AH115" i="30"/>
  <c r="AJ115" i="30"/>
  <c r="AL115" i="30"/>
  <c r="AM115" i="30"/>
  <c r="AO115" i="30"/>
  <c r="AQ115" i="30"/>
  <c r="AR115" i="30"/>
  <c r="AS115" i="30" s="1"/>
  <c r="AT115" i="30"/>
  <c r="R116" i="30"/>
  <c r="S116" i="30"/>
  <c r="U116" i="30"/>
  <c r="W116" i="30"/>
  <c r="X116" i="30"/>
  <c r="Z116" i="30"/>
  <c r="AB116" i="30"/>
  <c r="AC116" i="30"/>
  <c r="AE116" i="30"/>
  <c r="AG116" i="30"/>
  <c r="AH116" i="30"/>
  <c r="AJ116" i="30"/>
  <c r="AL116" i="30"/>
  <c r="AM116" i="30"/>
  <c r="AO116" i="30"/>
  <c r="AQ116" i="30"/>
  <c r="AR116" i="30"/>
  <c r="AT116" i="30"/>
  <c r="R117" i="30"/>
  <c r="S117" i="30"/>
  <c r="U117" i="30"/>
  <c r="W117" i="30"/>
  <c r="X117" i="30"/>
  <c r="Z117" i="30"/>
  <c r="AB117" i="30"/>
  <c r="AC117" i="30"/>
  <c r="AE117" i="30"/>
  <c r="AG117" i="30"/>
  <c r="AH117" i="30"/>
  <c r="AJ117" i="30"/>
  <c r="AL117" i="30"/>
  <c r="AM117" i="30"/>
  <c r="AO117" i="30"/>
  <c r="AQ117" i="30"/>
  <c r="AR117" i="30"/>
  <c r="AT117" i="30"/>
  <c r="R118" i="30"/>
  <c r="S118" i="30"/>
  <c r="U118" i="30"/>
  <c r="W118" i="30"/>
  <c r="X118" i="30"/>
  <c r="Z118" i="30"/>
  <c r="AB118" i="30"/>
  <c r="AC118" i="30"/>
  <c r="AE118" i="30"/>
  <c r="AG118" i="30"/>
  <c r="AH118" i="30"/>
  <c r="AJ118" i="30"/>
  <c r="AL118" i="30"/>
  <c r="AM118" i="30"/>
  <c r="AO118" i="30"/>
  <c r="AQ118" i="30"/>
  <c r="AR118" i="30"/>
  <c r="AT118" i="30"/>
  <c r="R119" i="30"/>
  <c r="S119" i="30"/>
  <c r="U119" i="30"/>
  <c r="W119" i="30"/>
  <c r="X119" i="30"/>
  <c r="Z119" i="30"/>
  <c r="AB119" i="30"/>
  <c r="AC119" i="30"/>
  <c r="AE119" i="30"/>
  <c r="AG119" i="30"/>
  <c r="AH119" i="30"/>
  <c r="AJ119" i="30"/>
  <c r="AL119" i="30"/>
  <c r="AM119" i="30"/>
  <c r="AO119" i="30"/>
  <c r="AQ119" i="30"/>
  <c r="AR119" i="30"/>
  <c r="AT119" i="30"/>
  <c r="R120" i="30"/>
  <c r="S120" i="30"/>
  <c r="U120" i="30"/>
  <c r="W120" i="30"/>
  <c r="X120" i="30"/>
  <c r="Z120" i="30"/>
  <c r="AB120" i="30"/>
  <c r="AC120" i="30"/>
  <c r="AE120" i="30"/>
  <c r="AG120" i="30"/>
  <c r="AH120" i="30"/>
  <c r="AJ120" i="30"/>
  <c r="AL120" i="30"/>
  <c r="AM120" i="30"/>
  <c r="AO120" i="30"/>
  <c r="AQ120" i="30"/>
  <c r="AR120" i="30"/>
  <c r="AT120" i="30"/>
  <c r="R121" i="30"/>
  <c r="S121" i="30"/>
  <c r="U121" i="30"/>
  <c r="W121" i="30"/>
  <c r="X121" i="30"/>
  <c r="Z121" i="30"/>
  <c r="AB121" i="30"/>
  <c r="AC121" i="30"/>
  <c r="AE121" i="30"/>
  <c r="AG121" i="30"/>
  <c r="AH121" i="30"/>
  <c r="AJ121" i="30"/>
  <c r="AL121" i="30"/>
  <c r="AM121" i="30"/>
  <c r="AO121" i="30"/>
  <c r="AQ121" i="30"/>
  <c r="AR121" i="30"/>
  <c r="AT121" i="30"/>
  <c r="R122" i="30"/>
  <c r="S122" i="30"/>
  <c r="U122" i="30"/>
  <c r="W122" i="30"/>
  <c r="X122" i="30"/>
  <c r="Z122" i="30"/>
  <c r="AB122" i="30"/>
  <c r="AC122" i="30"/>
  <c r="AE122" i="30"/>
  <c r="AG122" i="30"/>
  <c r="AH122" i="30"/>
  <c r="AJ122" i="30"/>
  <c r="AL122" i="30"/>
  <c r="AM122" i="30"/>
  <c r="AO122" i="30"/>
  <c r="AQ122" i="30"/>
  <c r="AR122" i="30"/>
  <c r="AT122" i="30"/>
  <c r="R123" i="30"/>
  <c r="S123" i="30"/>
  <c r="U123" i="30"/>
  <c r="W123" i="30"/>
  <c r="X123" i="30"/>
  <c r="Z123" i="30"/>
  <c r="AB123" i="30"/>
  <c r="AC123" i="30"/>
  <c r="AE123" i="30"/>
  <c r="AG123" i="30"/>
  <c r="AH123" i="30"/>
  <c r="AJ123" i="30"/>
  <c r="AL123" i="30"/>
  <c r="AM123" i="30"/>
  <c r="AO123" i="30"/>
  <c r="AQ123" i="30"/>
  <c r="AR123" i="30"/>
  <c r="AT123" i="30"/>
  <c r="R124" i="30"/>
  <c r="S124" i="30"/>
  <c r="U124" i="30"/>
  <c r="W124" i="30"/>
  <c r="X124" i="30"/>
  <c r="Z124" i="30"/>
  <c r="AB124" i="30"/>
  <c r="AC124" i="30"/>
  <c r="AE124" i="30"/>
  <c r="AG124" i="30"/>
  <c r="AH124" i="30"/>
  <c r="AJ124" i="30"/>
  <c r="AL124" i="30"/>
  <c r="AM124" i="30"/>
  <c r="AO124" i="30"/>
  <c r="AQ124" i="30"/>
  <c r="AR124" i="30"/>
  <c r="AT124" i="30"/>
  <c r="R125" i="30"/>
  <c r="S125" i="30"/>
  <c r="U125" i="30"/>
  <c r="W125" i="30"/>
  <c r="X125" i="30"/>
  <c r="Z125" i="30"/>
  <c r="AB125" i="30"/>
  <c r="AC125" i="30"/>
  <c r="AE125" i="30"/>
  <c r="AG125" i="30"/>
  <c r="AH125" i="30"/>
  <c r="AJ125" i="30"/>
  <c r="AL125" i="30"/>
  <c r="AM125" i="30"/>
  <c r="AO125" i="30"/>
  <c r="AQ125" i="30"/>
  <c r="AR125" i="30"/>
  <c r="AT125" i="30"/>
  <c r="R126" i="30"/>
  <c r="S126" i="30"/>
  <c r="U126" i="30"/>
  <c r="W126" i="30"/>
  <c r="X126" i="30"/>
  <c r="Z126" i="30"/>
  <c r="AB126" i="30"/>
  <c r="AC126" i="30"/>
  <c r="AE126" i="30"/>
  <c r="AG126" i="30"/>
  <c r="AH126" i="30"/>
  <c r="AJ126" i="30"/>
  <c r="AL126" i="30"/>
  <c r="AM126" i="30"/>
  <c r="AO126" i="30"/>
  <c r="AQ126" i="30"/>
  <c r="AR126" i="30"/>
  <c r="AT126" i="30"/>
  <c r="R127" i="30"/>
  <c r="S127" i="30"/>
  <c r="U127" i="30"/>
  <c r="W127" i="30"/>
  <c r="X127" i="30"/>
  <c r="Z127" i="30"/>
  <c r="AB127" i="30"/>
  <c r="AC127" i="30"/>
  <c r="AE127" i="30"/>
  <c r="AG127" i="30"/>
  <c r="AH127" i="30"/>
  <c r="AJ127" i="30"/>
  <c r="AL127" i="30"/>
  <c r="AM127" i="30"/>
  <c r="AO127" i="30"/>
  <c r="AQ127" i="30"/>
  <c r="AR127" i="30"/>
  <c r="AT127" i="30"/>
  <c r="R128" i="30"/>
  <c r="S128" i="30"/>
  <c r="U128" i="30"/>
  <c r="W128" i="30"/>
  <c r="X128" i="30"/>
  <c r="Z128" i="30"/>
  <c r="AB128" i="30"/>
  <c r="AC128" i="30"/>
  <c r="AE128" i="30"/>
  <c r="AG128" i="30"/>
  <c r="AH128" i="30"/>
  <c r="AJ128" i="30"/>
  <c r="AL128" i="30"/>
  <c r="AM128" i="30"/>
  <c r="AO128" i="30"/>
  <c r="AQ128" i="30"/>
  <c r="AR128" i="30"/>
  <c r="AT128" i="30"/>
  <c r="R129" i="30"/>
  <c r="S129" i="30"/>
  <c r="U129" i="30"/>
  <c r="W129" i="30"/>
  <c r="X129" i="30"/>
  <c r="Z129" i="30"/>
  <c r="AB129" i="30"/>
  <c r="AC129" i="30"/>
  <c r="AE129" i="30"/>
  <c r="AJ129" i="30"/>
  <c r="AG129" i="30"/>
  <c r="AH129" i="30"/>
  <c r="AL129" i="30"/>
  <c r="AM129" i="30"/>
  <c r="AO129" i="30"/>
  <c r="AT129" i="30"/>
  <c r="AQ129" i="30"/>
  <c r="AR129" i="30"/>
  <c r="R130" i="30"/>
  <c r="S130" i="30"/>
  <c r="U130" i="30"/>
  <c r="W130" i="30"/>
  <c r="X130" i="30"/>
  <c r="Z130" i="30"/>
  <c r="AB130" i="30"/>
  <c r="AC130" i="30"/>
  <c r="AE130" i="30"/>
  <c r="AG130" i="30"/>
  <c r="AH130" i="30"/>
  <c r="AJ130" i="30"/>
  <c r="AL130" i="30"/>
  <c r="AM130" i="30"/>
  <c r="AO130" i="30"/>
  <c r="AQ130" i="30"/>
  <c r="AR130" i="30"/>
  <c r="AT130" i="30"/>
  <c r="R131" i="30"/>
  <c r="S131" i="30"/>
  <c r="U131" i="30"/>
  <c r="W131" i="30"/>
  <c r="X131" i="30"/>
  <c r="Z131" i="30"/>
  <c r="AB131" i="30"/>
  <c r="AC131" i="30"/>
  <c r="AE131" i="30"/>
  <c r="AG131" i="30"/>
  <c r="AH131" i="30"/>
  <c r="AJ131" i="30"/>
  <c r="AL131" i="30"/>
  <c r="AM131" i="30"/>
  <c r="AO131" i="30"/>
  <c r="AQ131" i="30"/>
  <c r="AR131" i="30"/>
  <c r="AT131" i="30"/>
  <c r="R132" i="30"/>
  <c r="S132" i="30"/>
  <c r="U132" i="30"/>
  <c r="W132" i="30"/>
  <c r="X132" i="30"/>
  <c r="Z132" i="30"/>
  <c r="AB132" i="30"/>
  <c r="AC132" i="30"/>
  <c r="AE132" i="30"/>
  <c r="AG132" i="30"/>
  <c r="AH132" i="30"/>
  <c r="AJ132" i="30"/>
  <c r="AL132" i="30"/>
  <c r="AM132" i="30"/>
  <c r="AO132" i="30"/>
  <c r="AQ132" i="30"/>
  <c r="AR132" i="30"/>
  <c r="AT132" i="30"/>
  <c r="R133" i="30"/>
  <c r="S133" i="30"/>
  <c r="U133" i="30"/>
  <c r="W133" i="30"/>
  <c r="X133" i="30"/>
  <c r="Z133" i="30"/>
  <c r="AB133" i="30"/>
  <c r="AC133" i="30"/>
  <c r="AE133" i="30"/>
  <c r="AG133" i="30"/>
  <c r="AH133" i="30"/>
  <c r="AJ133" i="30"/>
  <c r="AL133" i="30"/>
  <c r="AM133" i="30"/>
  <c r="AO133" i="30"/>
  <c r="AQ133" i="30"/>
  <c r="AR133" i="30"/>
  <c r="AT133" i="30"/>
  <c r="R134" i="30"/>
  <c r="S134" i="30"/>
  <c r="U134" i="30"/>
  <c r="W134" i="30"/>
  <c r="X134" i="30"/>
  <c r="Z134" i="30"/>
  <c r="AB134" i="30"/>
  <c r="AC134" i="30"/>
  <c r="AE134" i="30"/>
  <c r="AG134" i="30"/>
  <c r="AH134" i="30"/>
  <c r="AJ134" i="30"/>
  <c r="AL134" i="30"/>
  <c r="AM134" i="30"/>
  <c r="AO134" i="30"/>
  <c r="AQ134" i="30"/>
  <c r="AR134" i="30"/>
  <c r="AT134" i="30"/>
  <c r="R135" i="30"/>
  <c r="S135" i="30"/>
  <c r="U135" i="30"/>
  <c r="W135" i="30"/>
  <c r="X135" i="30"/>
  <c r="Z135" i="30"/>
  <c r="AB135" i="30"/>
  <c r="AC135" i="30"/>
  <c r="AE135" i="30"/>
  <c r="AG135" i="30"/>
  <c r="AH135" i="30"/>
  <c r="AJ135" i="30"/>
  <c r="AL135" i="30"/>
  <c r="AM135" i="30"/>
  <c r="AO135" i="30"/>
  <c r="AQ135" i="30"/>
  <c r="AS135" i="30" s="1"/>
  <c r="AR135" i="30"/>
  <c r="AT135" i="30"/>
  <c r="R136" i="30"/>
  <c r="S136" i="30"/>
  <c r="T136" i="30" s="1"/>
  <c r="U136" i="30"/>
  <c r="W136" i="30"/>
  <c r="X136" i="30"/>
  <c r="Z136" i="30"/>
  <c r="AB136" i="30"/>
  <c r="AC136" i="30"/>
  <c r="AE136" i="30"/>
  <c r="AG136" i="30"/>
  <c r="AH136" i="30"/>
  <c r="AJ136" i="30"/>
  <c r="AL136" i="30"/>
  <c r="AM136" i="30"/>
  <c r="AO136" i="30"/>
  <c r="AQ136" i="30"/>
  <c r="AR136" i="30"/>
  <c r="AT136" i="30"/>
  <c r="R137" i="30"/>
  <c r="S137" i="30"/>
  <c r="U137" i="30"/>
  <c r="W137" i="30"/>
  <c r="X137" i="30"/>
  <c r="Z137" i="30"/>
  <c r="AB137" i="30"/>
  <c r="AC137" i="30"/>
  <c r="AE137" i="30"/>
  <c r="AG137" i="30"/>
  <c r="AH137" i="30"/>
  <c r="AJ137" i="30"/>
  <c r="AL137" i="30"/>
  <c r="AM137" i="30"/>
  <c r="AO137" i="30"/>
  <c r="AQ137" i="30"/>
  <c r="AR137" i="30"/>
  <c r="AT137" i="30"/>
  <c r="R138" i="30"/>
  <c r="S138" i="30"/>
  <c r="U138" i="30"/>
  <c r="W138" i="30"/>
  <c r="X138" i="30"/>
  <c r="Z138" i="30"/>
  <c r="AB138" i="30"/>
  <c r="AC138" i="30"/>
  <c r="AE138" i="30"/>
  <c r="AG138" i="30"/>
  <c r="AH138" i="30"/>
  <c r="AJ138" i="30"/>
  <c r="AL138" i="30"/>
  <c r="AM138" i="30"/>
  <c r="AO138" i="30"/>
  <c r="AQ138" i="30"/>
  <c r="AR138" i="30"/>
  <c r="AT138" i="30"/>
  <c r="R139" i="30"/>
  <c r="S139" i="30"/>
  <c r="U139" i="30"/>
  <c r="W139" i="30"/>
  <c r="X139" i="30"/>
  <c r="Z139" i="30"/>
  <c r="AB139" i="30"/>
  <c r="AC139" i="30"/>
  <c r="AE139" i="30"/>
  <c r="AG139" i="30"/>
  <c r="AH139" i="30"/>
  <c r="AL139" i="30"/>
  <c r="AM139" i="30"/>
  <c r="AO139" i="30"/>
  <c r="AQ139" i="30"/>
  <c r="AR139" i="30"/>
  <c r="AT139" i="30"/>
  <c r="R140" i="30"/>
  <c r="S140" i="30"/>
  <c r="U140" i="30"/>
  <c r="W140" i="30"/>
  <c r="X140" i="30"/>
  <c r="Z140" i="30"/>
  <c r="AB140" i="30"/>
  <c r="AC140" i="30"/>
  <c r="AE140" i="30"/>
  <c r="AG140" i="30"/>
  <c r="AH140" i="30"/>
  <c r="AJ140" i="30"/>
  <c r="AL140" i="30"/>
  <c r="AM140" i="30"/>
  <c r="AO140" i="30"/>
  <c r="AQ140" i="30"/>
  <c r="AR140" i="30"/>
  <c r="AT140" i="30"/>
  <c r="R141" i="30"/>
  <c r="S141" i="30"/>
  <c r="U141" i="30"/>
  <c r="W141" i="30"/>
  <c r="X141" i="30"/>
  <c r="Z141" i="30"/>
  <c r="AB141" i="30"/>
  <c r="AC141" i="30"/>
  <c r="AE141" i="30"/>
  <c r="AG141" i="30"/>
  <c r="AH141" i="30"/>
  <c r="AJ141" i="30"/>
  <c r="AL141" i="30"/>
  <c r="AM141" i="30"/>
  <c r="AO141" i="30"/>
  <c r="AQ141" i="30"/>
  <c r="AR141" i="30"/>
  <c r="AT141" i="30"/>
  <c r="R142" i="30"/>
  <c r="S142" i="30"/>
  <c r="U142" i="30"/>
  <c r="W142" i="30"/>
  <c r="X142" i="30"/>
  <c r="Z142" i="30"/>
  <c r="AB142" i="30"/>
  <c r="AC142" i="30"/>
  <c r="AE142" i="30"/>
  <c r="AG142" i="30"/>
  <c r="AH142" i="30"/>
  <c r="AJ142" i="30"/>
  <c r="AL142" i="30"/>
  <c r="AM142" i="30"/>
  <c r="AO142" i="30"/>
  <c r="AQ142" i="30"/>
  <c r="AR142" i="30"/>
  <c r="AT142" i="30"/>
  <c r="R143" i="30"/>
  <c r="S143" i="30"/>
  <c r="U143" i="30"/>
  <c r="W143" i="30"/>
  <c r="X143" i="30"/>
  <c r="Z143" i="30"/>
  <c r="AB143" i="30"/>
  <c r="AC143" i="30"/>
  <c r="AE143" i="30"/>
  <c r="AG143" i="30"/>
  <c r="AH143" i="30"/>
  <c r="AJ143" i="30"/>
  <c r="AL143" i="30"/>
  <c r="AM143" i="30"/>
  <c r="AO143" i="30"/>
  <c r="AQ143" i="30"/>
  <c r="AR143" i="30"/>
  <c r="AT143" i="30"/>
  <c r="R144" i="30"/>
  <c r="S144" i="30"/>
  <c r="U144" i="30"/>
  <c r="W144" i="30"/>
  <c r="X144" i="30"/>
  <c r="Z144" i="30"/>
  <c r="AB144" i="30"/>
  <c r="AC144" i="30"/>
  <c r="AE144" i="30"/>
  <c r="AG144" i="30"/>
  <c r="AH144" i="30"/>
  <c r="AJ144" i="30"/>
  <c r="AL144" i="30"/>
  <c r="AM144" i="30"/>
  <c r="AO144" i="30"/>
  <c r="AQ144" i="30"/>
  <c r="AR144" i="30"/>
  <c r="AT144" i="30"/>
  <c r="R145" i="30"/>
  <c r="S145" i="30"/>
  <c r="U145" i="30"/>
  <c r="W145" i="30"/>
  <c r="X145" i="30"/>
  <c r="Z145" i="30"/>
  <c r="AB145" i="30"/>
  <c r="AC145" i="30"/>
  <c r="AE145" i="30"/>
  <c r="AG145" i="30"/>
  <c r="AH145" i="30"/>
  <c r="AJ145" i="30"/>
  <c r="AL145" i="30"/>
  <c r="AM145" i="30"/>
  <c r="AO145" i="30"/>
  <c r="AQ145" i="30"/>
  <c r="AR145" i="30"/>
  <c r="AT145" i="30"/>
  <c r="R146" i="30"/>
  <c r="S146" i="30"/>
  <c r="U146" i="30"/>
  <c r="W146" i="30"/>
  <c r="X146" i="30"/>
  <c r="Z146" i="30"/>
  <c r="AB146" i="30"/>
  <c r="AC146" i="30"/>
  <c r="AE146" i="30"/>
  <c r="AG146" i="30"/>
  <c r="AH146" i="30"/>
  <c r="AJ146" i="30"/>
  <c r="AL146" i="30"/>
  <c r="AM146" i="30"/>
  <c r="AO146" i="30"/>
  <c r="AQ146" i="30"/>
  <c r="AR146" i="30"/>
  <c r="AT146" i="30"/>
  <c r="R147" i="30"/>
  <c r="S147" i="30"/>
  <c r="U147" i="30"/>
  <c r="W147" i="30"/>
  <c r="X147" i="30"/>
  <c r="Z147" i="30"/>
  <c r="AB147" i="30"/>
  <c r="AC147" i="30"/>
  <c r="AE147" i="30"/>
  <c r="AG147" i="30"/>
  <c r="AH147" i="30"/>
  <c r="AJ147" i="30"/>
  <c r="AL147" i="30"/>
  <c r="AM147" i="30"/>
  <c r="AO147" i="30"/>
  <c r="AQ147" i="30"/>
  <c r="AR147" i="30"/>
  <c r="AT147" i="30"/>
  <c r="R148" i="30"/>
  <c r="S148" i="30"/>
  <c r="U148" i="30"/>
  <c r="W148" i="30"/>
  <c r="X148" i="30"/>
  <c r="Z148" i="30"/>
  <c r="AB148" i="30"/>
  <c r="AC148" i="30"/>
  <c r="AE148" i="30"/>
  <c r="AG148" i="30"/>
  <c r="AH148" i="30"/>
  <c r="AJ148" i="30"/>
  <c r="AL148" i="30"/>
  <c r="AM148" i="30"/>
  <c r="AO148" i="30"/>
  <c r="AQ148" i="30"/>
  <c r="AR148" i="30"/>
  <c r="AT148" i="30"/>
  <c r="R149" i="30"/>
  <c r="S149" i="30"/>
  <c r="U149" i="30"/>
  <c r="W149" i="30"/>
  <c r="X149" i="30"/>
  <c r="Z149" i="30"/>
  <c r="AB149" i="30"/>
  <c r="AC149" i="30"/>
  <c r="AE149" i="30"/>
  <c r="AG149" i="30"/>
  <c r="AH149" i="30"/>
  <c r="AJ149" i="30"/>
  <c r="AL149" i="30"/>
  <c r="AM149" i="30"/>
  <c r="AO149" i="30"/>
  <c r="AQ149" i="30"/>
  <c r="AR149" i="30"/>
  <c r="AT149" i="30"/>
  <c r="R150" i="30"/>
  <c r="S150" i="30"/>
  <c r="U150" i="30"/>
  <c r="W150" i="30"/>
  <c r="X150" i="30"/>
  <c r="Z150" i="30"/>
  <c r="AB150" i="30"/>
  <c r="AC150" i="30"/>
  <c r="AE150" i="30"/>
  <c r="AG150" i="30"/>
  <c r="AH150" i="30"/>
  <c r="AJ150" i="30"/>
  <c r="AL150" i="30"/>
  <c r="AM150" i="30"/>
  <c r="AO150" i="30"/>
  <c r="AQ150" i="30"/>
  <c r="AR150" i="30"/>
  <c r="AT150" i="30"/>
  <c r="R151" i="30"/>
  <c r="S151" i="30"/>
  <c r="U151" i="30"/>
  <c r="W151" i="30"/>
  <c r="X151" i="30"/>
  <c r="Z151" i="30"/>
  <c r="AB151" i="30"/>
  <c r="AC151" i="30"/>
  <c r="AE151" i="30"/>
  <c r="AG151" i="30"/>
  <c r="AH151" i="30"/>
  <c r="AJ151" i="30"/>
  <c r="AL151" i="30"/>
  <c r="AM151" i="30"/>
  <c r="AO151" i="30"/>
  <c r="AQ151" i="30"/>
  <c r="AR151" i="30"/>
  <c r="AT151" i="30"/>
  <c r="R152" i="30"/>
  <c r="S152" i="30"/>
  <c r="U152" i="30"/>
  <c r="W152" i="30"/>
  <c r="X152" i="30"/>
  <c r="Z152" i="30"/>
  <c r="AB152" i="30"/>
  <c r="AC152" i="30"/>
  <c r="AE152" i="30"/>
  <c r="AG152" i="30"/>
  <c r="AH152" i="30"/>
  <c r="AJ152" i="30"/>
  <c r="AL152" i="30"/>
  <c r="AM152" i="30"/>
  <c r="AO152" i="30"/>
  <c r="AQ152" i="30"/>
  <c r="AR152" i="30"/>
  <c r="AT152" i="30"/>
  <c r="R153" i="30"/>
  <c r="S153" i="30"/>
  <c r="U153" i="30"/>
  <c r="W153" i="30"/>
  <c r="X153" i="30"/>
  <c r="Z153" i="30"/>
  <c r="AB153" i="30"/>
  <c r="AC153" i="30"/>
  <c r="AE153" i="30"/>
  <c r="AG153" i="30"/>
  <c r="AH153" i="30"/>
  <c r="AJ153" i="30"/>
  <c r="AL153" i="30"/>
  <c r="AM153" i="30"/>
  <c r="AO153" i="30"/>
  <c r="AQ153" i="30"/>
  <c r="AR153" i="30"/>
  <c r="AT153" i="30"/>
  <c r="R154" i="30"/>
  <c r="S154" i="30"/>
  <c r="U154" i="30"/>
  <c r="W154" i="30"/>
  <c r="X154" i="30"/>
  <c r="Z154" i="30"/>
  <c r="AB154" i="30"/>
  <c r="AC154" i="30"/>
  <c r="AE154" i="30"/>
  <c r="AG154" i="30"/>
  <c r="AH154" i="30"/>
  <c r="AJ154" i="30"/>
  <c r="AL154" i="30"/>
  <c r="AM154" i="30"/>
  <c r="AO154" i="30"/>
  <c r="AQ154" i="30"/>
  <c r="AR154" i="30"/>
  <c r="AT154" i="30"/>
  <c r="R155" i="30"/>
  <c r="S155" i="30"/>
  <c r="U155" i="30"/>
  <c r="W155" i="30"/>
  <c r="X155" i="30"/>
  <c r="Z155" i="30"/>
  <c r="AB155" i="30"/>
  <c r="AC155" i="30"/>
  <c r="AE155" i="30"/>
  <c r="AG155" i="30"/>
  <c r="AH155" i="30"/>
  <c r="AJ155" i="30"/>
  <c r="AL155" i="30"/>
  <c r="AM155" i="30"/>
  <c r="AO155" i="30"/>
  <c r="AQ155" i="30"/>
  <c r="AR155" i="30"/>
  <c r="AT155" i="30"/>
  <c r="R156" i="30"/>
  <c r="S156" i="30"/>
  <c r="U156" i="30"/>
  <c r="W156" i="30"/>
  <c r="X156" i="30"/>
  <c r="Z156" i="30"/>
  <c r="AB156" i="30"/>
  <c r="AC156" i="30"/>
  <c r="AE156" i="30"/>
  <c r="AG156" i="30"/>
  <c r="AH156" i="30"/>
  <c r="AJ156" i="30"/>
  <c r="AL156" i="30"/>
  <c r="AM156" i="30"/>
  <c r="AO156" i="30"/>
  <c r="AQ156" i="30"/>
  <c r="AR156" i="30"/>
  <c r="AT156" i="30"/>
  <c r="R157" i="30"/>
  <c r="S157" i="30"/>
  <c r="U157" i="30"/>
  <c r="W157" i="30"/>
  <c r="X157" i="30"/>
  <c r="Z157" i="30"/>
  <c r="AB157" i="30"/>
  <c r="AC157" i="30"/>
  <c r="AE157" i="30"/>
  <c r="AG157" i="30"/>
  <c r="AH157" i="30"/>
  <c r="AJ157" i="30"/>
  <c r="AL157" i="30"/>
  <c r="AM157" i="30"/>
  <c r="AO157" i="30"/>
  <c r="AQ157" i="30"/>
  <c r="AR157" i="30"/>
  <c r="AT157" i="30"/>
  <c r="R158" i="30"/>
  <c r="S158" i="30"/>
  <c r="U158" i="30"/>
  <c r="W158" i="30"/>
  <c r="X158" i="30"/>
  <c r="Z158" i="30"/>
  <c r="AB158" i="30"/>
  <c r="AC158" i="30"/>
  <c r="AE158" i="30"/>
  <c r="AG158" i="30"/>
  <c r="AH158" i="30"/>
  <c r="AJ158" i="30"/>
  <c r="AL158" i="30"/>
  <c r="AM158" i="30"/>
  <c r="AO158" i="30"/>
  <c r="AQ158" i="30"/>
  <c r="AR158" i="30"/>
  <c r="AT158" i="30"/>
  <c r="R159" i="30"/>
  <c r="S159" i="30"/>
  <c r="U159" i="30"/>
  <c r="W159" i="30"/>
  <c r="X159" i="30"/>
  <c r="Z159" i="30"/>
  <c r="AB159" i="30"/>
  <c r="AC159" i="30"/>
  <c r="AE159" i="30"/>
  <c r="AG159" i="30"/>
  <c r="AH159" i="30"/>
  <c r="AJ159" i="30"/>
  <c r="AL159" i="30"/>
  <c r="AM159" i="30"/>
  <c r="AO159" i="30"/>
  <c r="AQ159" i="30"/>
  <c r="AR159" i="30"/>
  <c r="AT159" i="30"/>
  <c r="R160" i="30"/>
  <c r="S160" i="30"/>
  <c r="U160" i="30"/>
  <c r="W160" i="30"/>
  <c r="X160" i="30"/>
  <c r="Z160" i="30"/>
  <c r="AB160" i="30"/>
  <c r="AC160" i="30"/>
  <c r="AE160" i="30"/>
  <c r="AG160" i="30"/>
  <c r="AH160" i="30"/>
  <c r="AJ160" i="30"/>
  <c r="AL160" i="30"/>
  <c r="AM160" i="30"/>
  <c r="AO160" i="30"/>
  <c r="AQ160" i="30"/>
  <c r="AR160" i="30"/>
  <c r="AT160" i="30"/>
  <c r="R161" i="30"/>
  <c r="S161" i="30"/>
  <c r="U161" i="30"/>
  <c r="W161" i="30"/>
  <c r="X161" i="30"/>
  <c r="Z161" i="30"/>
  <c r="AB161" i="30"/>
  <c r="AC161" i="30"/>
  <c r="AE161" i="30"/>
  <c r="AG161" i="30"/>
  <c r="AH161" i="30"/>
  <c r="AJ161" i="30"/>
  <c r="AL161" i="30"/>
  <c r="AM161" i="30"/>
  <c r="AO161" i="30"/>
  <c r="AQ161" i="30"/>
  <c r="AR161" i="30"/>
  <c r="AT161" i="30"/>
  <c r="R162" i="30"/>
  <c r="S162" i="30"/>
  <c r="U162" i="30"/>
  <c r="W162" i="30"/>
  <c r="X162" i="30"/>
  <c r="Z162" i="30"/>
  <c r="AB162" i="30"/>
  <c r="AC162" i="30"/>
  <c r="AE162" i="30"/>
  <c r="AG162" i="30"/>
  <c r="AH162" i="30"/>
  <c r="AJ162" i="30"/>
  <c r="AL162" i="30"/>
  <c r="AM162" i="30"/>
  <c r="AO162" i="30"/>
  <c r="AQ162" i="30"/>
  <c r="AR162" i="30"/>
  <c r="AS162" i="30" s="1"/>
  <c r="AT162" i="30"/>
  <c r="R163" i="30"/>
  <c r="S163" i="30"/>
  <c r="U163" i="30"/>
  <c r="W163" i="30"/>
  <c r="X163" i="30"/>
  <c r="Z163" i="30"/>
  <c r="AB163" i="30"/>
  <c r="AC163" i="30"/>
  <c r="AE163" i="30"/>
  <c r="AG163" i="30"/>
  <c r="AH163" i="30"/>
  <c r="AJ163" i="30"/>
  <c r="AL163" i="30"/>
  <c r="AM163" i="30"/>
  <c r="AO163" i="30"/>
  <c r="AQ163" i="30"/>
  <c r="AR163" i="30"/>
  <c r="AT163" i="30"/>
  <c r="R164" i="30"/>
  <c r="S164" i="30"/>
  <c r="U164" i="30"/>
  <c r="W164" i="30"/>
  <c r="X164" i="30"/>
  <c r="Z164" i="30"/>
  <c r="AB164" i="30"/>
  <c r="AC164" i="30"/>
  <c r="AE164" i="30"/>
  <c r="AG164" i="30"/>
  <c r="AH164" i="30"/>
  <c r="AJ164" i="30"/>
  <c r="AL164" i="30"/>
  <c r="AM164" i="30"/>
  <c r="AQ164" i="30"/>
  <c r="AR164" i="30"/>
  <c r="AT164" i="30"/>
  <c r="R165" i="30"/>
  <c r="S165" i="30"/>
  <c r="U165" i="30"/>
  <c r="W165" i="30"/>
  <c r="X165" i="30"/>
  <c r="Z165" i="30"/>
  <c r="AB165" i="30"/>
  <c r="AC165" i="30"/>
  <c r="AE165" i="30"/>
  <c r="AG165" i="30"/>
  <c r="AH165" i="30"/>
  <c r="AJ165" i="30"/>
  <c r="AL165" i="30"/>
  <c r="AM165" i="30"/>
  <c r="AO165" i="30"/>
  <c r="AQ165" i="30"/>
  <c r="AR165" i="30"/>
  <c r="AT165" i="30"/>
  <c r="R166" i="30"/>
  <c r="S166" i="30"/>
  <c r="U166" i="30"/>
  <c r="W166" i="30"/>
  <c r="X166" i="30"/>
  <c r="Z166" i="30"/>
  <c r="AB166" i="30"/>
  <c r="AC166" i="30"/>
  <c r="AE166" i="30"/>
  <c r="AG166" i="30"/>
  <c r="AH166" i="30"/>
  <c r="AJ166" i="30"/>
  <c r="AL166" i="30"/>
  <c r="AM166" i="30"/>
  <c r="AO166" i="30"/>
  <c r="AQ166" i="30"/>
  <c r="AR166" i="30"/>
  <c r="AT166" i="30"/>
  <c r="R167" i="30"/>
  <c r="S167" i="30"/>
  <c r="U167" i="30"/>
  <c r="W167" i="30"/>
  <c r="X167" i="30"/>
  <c r="Z167" i="30"/>
  <c r="AB167" i="30"/>
  <c r="AC167" i="30"/>
  <c r="AE167" i="30"/>
  <c r="AG167" i="30"/>
  <c r="AH167" i="30"/>
  <c r="AJ167" i="30"/>
  <c r="AL167" i="30"/>
  <c r="AM167" i="30"/>
  <c r="AN167" i="30"/>
  <c r="AO167" i="30"/>
  <c r="AQ167" i="30"/>
  <c r="AR167" i="30"/>
  <c r="AT167" i="30"/>
  <c r="R168" i="30"/>
  <c r="S168" i="30"/>
  <c r="U168" i="30"/>
  <c r="W168" i="30"/>
  <c r="X168" i="30"/>
  <c r="Z168" i="30"/>
  <c r="AB168" i="30"/>
  <c r="AC168" i="30"/>
  <c r="AE168" i="30"/>
  <c r="AG168" i="30"/>
  <c r="AH168" i="30"/>
  <c r="AJ168" i="30"/>
  <c r="AL168" i="30"/>
  <c r="AM168" i="30"/>
  <c r="AO168" i="30"/>
  <c r="AQ168" i="30"/>
  <c r="AR168" i="30"/>
  <c r="AT168" i="30"/>
  <c r="R169" i="30"/>
  <c r="S169" i="30"/>
  <c r="U169" i="30"/>
  <c r="W169" i="30"/>
  <c r="X169" i="30"/>
  <c r="Z169" i="30"/>
  <c r="AB169" i="30"/>
  <c r="AC169" i="30"/>
  <c r="AE169" i="30"/>
  <c r="AG169" i="30"/>
  <c r="AH169" i="30"/>
  <c r="AJ169" i="30"/>
  <c r="AL169" i="30"/>
  <c r="AM169" i="30"/>
  <c r="AO169" i="30"/>
  <c r="AQ169" i="30"/>
  <c r="AR169" i="30"/>
  <c r="AT169" i="30"/>
  <c r="R170" i="30"/>
  <c r="S170" i="30"/>
  <c r="U170" i="30"/>
  <c r="W170" i="30"/>
  <c r="X170" i="30"/>
  <c r="Z170" i="30"/>
  <c r="AB170" i="30"/>
  <c r="AC170" i="30"/>
  <c r="AE170" i="30"/>
  <c r="AG170" i="30"/>
  <c r="AH170" i="30"/>
  <c r="AJ170" i="30"/>
  <c r="AL170" i="30"/>
  <c r="AM170" i="30"/>
  <c r="AO170" i="30"/>
  <c r="AQ170" i="30"/>
  <c r="AR170" i="30"/>
  <c r="AT170" i="30"/>
  <c r="R171" i="30"/>
  <c r="S171" i="30"/>
  <c r="U171" i="30"/>
  <c r="W171" i="30"/>
  <c r="Y171" i="30" s="1"/>
  <c r="X171" i="30"/>
  <c r="Z171" i="30"/>
  <c r="AB171" i="30"/>
  <c r="AC171" i="30"/>
  <c r="AE171" i="30"/>
  <c r="AG171" i="30"/>
  <c r="AH171" i="30"/>
  <c r="AJ171" i="30"/>
  <c r="AL171" i="30"/>
  <c r="AM171" i="30"/>
  <c r="AO171" i="30"/>
  <c r="AQ171" i="30"/>
  <c r="AR171" i="30"/>
  <c r="AT171" i="30"/>
  <c r="R172" i="30"/>
  <c r="S172" i="30"/>
  <c r="U172" i="30"/>
  <c r="W172" i="30"/>
  <c r="X172" i="30"/>
  <c r="Z172" i="30"/>
  <c r="AB172" i="30"/>
  <c r="AC172" i="30"/>
  <c r="AE172" i="30"/>
  <c r="AG172" i="30"/>
  <c r="AH172" i="30"/>
  <c r="AJ172" i="30"/>
  <c r="AL172" i="30"/>
  <c r="AM172" i="30"/>
  <c r="AN172" i="30" s="1"/>
  <c r="AO172" i="30"/>
  <c r="AQ172" i="30"/>
  <c r="AR172" i="30"/>
  <c r="AT172" i="30"/>
  <c r="R173" i="30"/>
  <c r="S173" i="30"/>
  <c r="T173" i="30" s="1"/>
  <c r="U173" i="30"/>
  <c r="W173" i="30"/>
  <c r="X173" i="30"/>
  <c r="Z173" i="30"/>
  <c r="AB173" i="30"/>
  <c r="AC173" i="30"/>
  <c r="AE173" i="30"/>
  <c r="AG173" i="30"/>
  <c r="AH173" i="30"/>
  <c r="AJ173" i="30"/>
  <c r="AL173" i="30"/>
  <c r="AM173" i="30"/>
  <c r="AO173" i="30"/>
  <c r="AQ173" i="30"/>
  <c r="AR173" i="30"/>
  <c r="AT173" i="30"/>
  <c r="R174" i="30"/>
  <c r="S174" i="30"/>
  <c r="U174" i="30"/>
  <c r="W174" i="30"/>
  <c r="X174" i="30"/>
  <c r="Z174" i="30"/>
  <c r="AB174" i="30"/>
  <c r="AC174" i="30"/>
  <c r="AE174" i="30"/>
  <c r="AG174" i="30"/>
  <c r="AH174" i="30"/>
  <c r="AJ174" i="30"/>
  <c r="AL174" i="30"/>
  <c r="AM174" i="30"/>
  <c r="AO174" i="30"/>
  <c r="AQ174" i="30"/>
  <c r="AR174" i="30"/>
  <c r="AT174" i="30"/>
  <c r="R175" i="30"/>
  <c r="S175" i="30"/>
  <c r="U175" i="30"/>
  <c r="W175" i="30"/>
  <c r="X175" i="30"/>
  <c r="Z175" i="30"/>
  <c r="AB175" i="30"/>
  <c r="AC175" i="30"/>
  <c r="AE175" i="30"/>
  <c r="AG175" i="30"/>
  <c r="AH175" i="30"/>
  <c r="AJ175" i="30"/>
  <c r="AL175" i="30"/>
  <c r="AM175" i="30"/>
  <c r="AO175" i="30"/>
  <c r="AQ175" i="30"/>
  <c r="AR175" i="30"/>
  <c r="AT175" i="30"/>
  <c r="R176" i="30"/>
  <c r="S176" i="30"/>
  <c r="U176" i="30"/>
  <c r="W176" i="30"/>
  <c r="X176" i="30"/>
  <c r="Z176" i="30"/>
  <c r="AB176" i="30"/>
  <c r="AC176" i="30"/>
  <c r="AE176" i="30"/>
  <c r="AG176" i="30"/>
  <c r="AH176" i="30"/>
  <c r="AJ176" i="30"/>
  <c r="AL176" i="30"/>
  <c r="AM176" i="30"/>
  <c r="AO176" i="30"/>
  <c r="AQ176" i="30"/>
  <c r="AR176" i="30"/>
  <c r="AT176" i="30"/>
  <c r="R177" i="30"/>
  <c r="S177" i="30"/>
  <c r="U177" i="30"/>
  <c r="W177" i="30"/>
  <c r="X177" i="30"/>
  <c r="Z177" i="30"/>
  <c r="AB177" i="30"/>
  <c r="AC177" i="30"/>
  <c r="AE177" i="30"/>
  <c r="AG177" i="30"/>
  <c r="AH177" i="30"/>
  <c r="AJ177" i="30"/>
  <c r="AL177" i="30"/>
  <c r="AM177" i="30"/>
  <c r="AO177" i="30"/>
  <c r="AQ177" i="30"/>
  <c r="AR177" i="30"/>
  <c r="AT177" i="30"/>
  <c r="R178" i="30"/>
  <c r="S178" i="30"/>
  <c r="U178" i="30"/>
  <c r="W178" i="30"/>
  <c r="X178" i="30"/>
  <c r="Z178" i="30"/>
  <c r="AB178" i="30"/>
  <c r="AC178" i="30"/>
  <c r="AE178" i="30"/>
  <c r="AG178" i="30"/>
  <c r="AH178" i="30"/>
  <c r="AJ178" i="30"/>
  <c r="AL178" i="30"/>
  <c r="AM178" i="30"/>
  <c r="AO178" i="30"/>
  <c r="AQ178" i="30"/>
  <c r="AR178" i="30"/>
  <c r="AT178" i="30"/>
  <c r="R179" i="30"/>
  <c r="S179" i="30"/>
  <c r="U179" i="30"/>
  <c r="W179" i="30"/>
  <c r="X179" i="30"/>
  <c r="Z179" i="30"/>
  <c r="AB179" i="30"/>
  <c r="AC179" i="30"/>
  <c r="AE179" i="30"/>
  <c r="AG179" i="30"/>
  <c r="AH179" i="30"/>
  <c r="AJ179" i="30"/>
  <c r="AL179" i="30"/>
  <c r="AM179" i="30"/>
  <c r="AO179" i="30"/>
  <c r="AQ179" i="30"/>
  <c r="AR179" i="30"/>
  <c r="AT179" i="30"/>
  <c r="R180" i="30"/>
  <c r="S180" i="30"/>
  <c r="U180" i="30"/>
  <c r="W180" i="30"/>
  <c r="X180" i="30"/>
  <c r="Z180" i="30"/>
  <c r="AB180" i="30"/>
  <c r="AC180" i="30"/>
  <c r="AE180" i="30"/>
  <c r="AG180" i="30"/>
  <c r="AH180" i="30"/>
  <c r="AJ180" i="30"/>
  <c r="AL180" i="30"/>
  <c r="AM180" i="30"/>
  <c r="AO180" i="30"/>
  <c r="AQ180" i="30"/>
  <c r="AR180" i="30"/>
  <c r="AT180" i="30"/>
  <c r="R181" i="30"/>
  <c r="S181" i="30"/>
  <c r="U181" i="30"/>
  <c r="W181" i="30"/>
  <c r="X181" i="30"/>
  <c r="Z181" i="30"/>
  <c r="AB181" i="30"/>
  <c r="AC181" i="30"/>
  <c r="AE181" i="30"/>
  <c r="AG181" i="30"/>
  <c r="AH181" i="30"/>
  <c r="AJ181" i="30"/>
  <c r="AL181" i="30"/>
  <c r="AM181" i="30"/>
  <c r="AO181" i="30"/>
  <c r="AQ181" i="30"/>
  <c r="AR181" i="30"/>
  <c r="AT181" i="30"/>
  <c r="R182" i="30"/>
  <c r="S182" i="30"/>
  <c r="U182" i="30"/>
  <c r="W182" i="30"/>
  <c r="X182" i="30"/>
  <c r="Z182" i="30"/>
  <c r="AB182" i="30"/>
  <c r="AC182" i="30"/>
  <c r="AE182" i="30"/>
  <c r="AG182" i="30"/>
  <c r="AH182" i="30"/>
  <c r="AJ182" i="30"/>
  <c r="AL182" i="30"/>
  <c r="AM182" i="30"/>
  <c r="AO182" i="30"/>
  <c r="AQ182" i="30"/>
  <c r="AR182" i="30"/>
  <c r="AT182" i="30"/>
  <c r="R183" i="30"/>
  <c r="S183" i="30"/>
  <c r="U183" i="30"/>
  <c r="W183" i="30"/>
  <c r="X183" i="30"/>
  <c r="Z183" i="30"/>
  <c r="AB183" i="30"/>
  <c r="AC183" i="30"/>
  <c r="AE183" i="30"/>
  <c r="AG183" i="30"/>
  <c r="AH183" i="30"/>
  <c r="AJ183" i="30"/>
  <c r="AL183" i="30"/>
  <c r="AM183" i="30"/>
  <c r="AO183" i="30"/>
  <c r="AQ183" i="30"/>
  <c r="AR183" i="30"/>
  <c r="AT183" i="30"/>
  <c r="R184" i="30"/>
  <c r="S184" i="30"/>
  <c r="T184" i="30" s="1"/>
  <c r="U184" i="30"/>
  <c r="W184" i="30"/>
  <c r="X184" i="30"/>
  <c r="Z184" i="30"/>
  <c r="AB184" i="30"/>
  <c r="AC184" i="30"/>
  <c r="AE184" i="30"/>
  <c r="AG184" i="30"/>
  <c r="AH184" i="30"/>
  <c r="AJ184" i="30"/>
  <c r="AL184" i="30"/>
  <c r="AM184" i="30"/>
  <c r="AO184" i="30"/>
  <c r="AQ184" i="30"/>
  <c r="AR184" i="30"/>
  <c r="AT184" i="30"/>
  <c r="R185" i="30"/>
  <c r="S185" i="30"/>
  <c r="U185" i="30"/>
  <c r="W185" i="30"/>
  <c r="X185" i="30"/>
  <c r="Z185" i="30"/>
  <c r="AB185" i="30"/>
  <c r="AC185" i="30"/>
  <c r="AE185" i="30"/>
  <c r="AG185" i="30"/>
  <c r="AH185" i="30"/>
  <c r="AJ185" i="30"/>
  <c r="AL185" i="30"/>
  <c r="AM185" i="30"/>
  <c r="AO185" i="30"/>
  <c r="AQ185" i="30"/>
  <c r="AR185" i="30"/>
  <c r="AT185" i="30"/>
  <c r="R186" i="30"/>
  <c r="S186" i="30"/>
  <c r="U186" i="30"/>
  <c r="W186" i="30"/>
  <c r="X186" i="30"/>
  <c r="Z186" i="30"/>
  <c r="AB186" i="30"/>
  <c r="AC186" i="30"/>
  <c r="AE186" i="30"/>
  <c r="AG186" i="30"/>
  <c r="AH186" i="30"/>
  <c r="AJ186" i="30"/>
  <c r="AL186" i="30"/>
  <c r="AM186" i="30"/>
  <c r="AO186" i="30"/>
  <c r="AQ186" i="30"/>
  <c r="AR186" i="30"/>
  <c r="AT186" i="30"/>
  <c r="R187" i="30"/>
  <c r="S187" i="30"/>
  <c r="U187" i="30"/>
  <c r="W187" i="30"/>
  <c r="X187" i="30"/>
  <c r="Z187" i="30"/>
  <c r="AB187" i="30"/>
  <c r="AC187" i="30"/>
  <c r="AE187" i="30"/>
  <c r="AG187" i="30"/>
  <c r="AH187" i="30"/>
  <c r="AJ187" i="30"/>
  <c r="AL187" i="30"/>
  <c r="AM187" i="30"/>
  <c r="AO187" i="30"/>
  <c r="AQ187" i="30"/>
  <c r="AR187" i="30"/>
  <c r="AT187" i="30"/>
  <c r="R188" i="30"/>
  <c r="S188" i="30"/>
  <c r="U188" i="30"/>
  <c r="W188" i="30"/>
  <c r="X188" i="30"/>
  <c r="Z188" i="30"/>
  <c r="AB188" i="30"/>
  <c r="AC188" i="30"/>
  <c r="AE188" i="30"/>
  <c r="AG188" i="30"/>
  <c r="AH188" i="30"/>
  <c r="AJ188" i="30"/>
  <c r="AL188" i="30"/>
  <c r="AM188" i="30"/>
  <c r="AO188" i="30"/>
  <c r="AQ188" i="30"/>
  <c r="AR188" i="30"/>
  <c r="AT188" i="30"/>
  <c r="R189" i="30"/>
  <c r="S189" i="30"/>
  <c r="U189" i="30"/>
  <c r="W189" i="30"/>
  <c r="X189" i="30"/>
  <c r="Z189" i="30"/>
  <c r="AB189" i="30"/>
  <c r="AC189" i="30"/>
  <c r="AE189" i="30"/>
  <c r="AG189" i="30"/>
  <c r="AH189" i="30"/>
  <c r="AJ189" i="30"/>
  <c r="AL189" i="30"/>
  <c r="AM189" i="30"/>
  <c r="AO189" i="30"/>
  <c r="AQ189" i="30"/>
  <c r="AR189" i="30"/>
  <c r="AT189" i="30"/>
  <c r="R190" i="30"/>
  <c r="S190" i="30"/>
  <c r="U190" i="30"/>
  <c r="W190" i="30"/>
  <c r="X190" i="30"/>
  <c r="Z190" i="30"/>
  <c r="AB190" i="30"/>
  <c r="AC190" i="30"/>
  <c r="AE190" i="30"/>
  <c r="AG190" i="30"/>
  <c r="AH190" i="30"/>
  <c r="AJ190" i="30"/>
  <c r="AL190" i="30"/>
  <c r="AM190" i="30"/>
  <c r="AO190" i="30"/>
  <c r="AQ190" i="30"/>
  <c r="AR190" i="30"/>
  <c r="AT190" i="30"/>
  <c r="R191" i="30"/>
  <c r="S191" i="30"/>
  <c r="U191" i="30"/>
  <c r="W191" i="30"/>
  <c r="X191" i="30"/>
  <c r="Z191" i="30"/>
  <c r="AB191" i="30"/>
  <c r="AC191" i="30"/>
  <c r="AE191" i="30"/>
  <c r="AG191" i="30"/>
  <c r="AH191" i="30"/>
  <c r="AJ191" i="30"/>
  <c r="AL191" i="30"/>
  <c r="AM191" i="30"/>
  <c r="AO191" i="30"/>
  <c r="AQ191" i="30"/>
  <c r="AR191" i="30"/>
  <c r="AT191" i="30"/>
  <c r="R192" i="30"/>
  <c r="S192" i="30"/>
  <c r="U192" i="30"/>
  <c r="W192" i="30"/>
  <c r="X192" i="30"/>
  <c r="Z192" i="30"/>
  <c r="AB192" i="30"/>
  <c r="AC192" i="30"/>
  <c r="AE192" i="30"/>
  <c r="AG192" i="30"/>
  <c r="AH192" i="30"/>
  <c r="AJ192" i="30"/>
  <c r="AL192" i="30"/>
  <c r="AM192" i="30"/>
  <c r="AO192" i="30"/>
  <c r="AQ192" i="30"/>
  <c r="AR192" i="30"/>
  <c r="AT192" i="30"/>
  <c r="R193" i="30"/>
  <c r="S193" i="30"/>
  <c r="U193" i="30"/>
  <c r="W193" i="30"/>
  <c r="X193" i="30"/>
  <c r="Z193" i="30"/>
  <c r="AB193" i="30"/>
  <c r="AC193" i="30"/>
  <c r="AE193" i="30"/>
  <c r="AG193" i="30"/>
  <c r="AH193" i="30"/>
  <c r="AJ193" i="30"/>
  <c r="AL193" i="30"/>
  <c r="AM193" i="30"/>
  <c r="AO193" i="30"/>
  <c r="AQ193" i="30"/>
  <c r="AR193" i="30"/>
  <c r="AT193" i="30"/>
  <c r="R194" i="30"/>
  <c r="S194" i="30"/>
  <c r="U194" i="30"/>
  <c r="W194" i="30"/>
  <c r="X194" i="30"/>
  <c r="Z194" i="30"/>
  <c r="AB194" i="30"/>
  <c r="AC194" i="30"/>
  <c r="AE194" i="30"/>
  <c r="AG194" i="30"/>
  <c r="AH194" i="30"/>
  <c r="AJ194" i="30"/>
  <c r="AL194" i="30"/>
  <c r="AM194" i="30"/>
  <c r="AO194" i="30"/>
  <c r="AQ194" i="30"/>
  <c r="AR194" i="30"/>
  <c r="AT194" i="30"/>
  <c r="R195" i="30"/>
  <c r="S195" i="30"/>
  <c r="U195" i="30"/>
  <c r="W195" i="30"/>
  <c r="X195" i="30"/>
  <c r="Z195" i="30"/>
  <c r="AB195" i="30"/>
  <c r="AC195" i="30"/>
  <c r="AE195" i="30"/>
  <c r="AG195" i="30"/>
  <c r="AH195" i="30"/>
  <c r="AJ195" i="30"/>
  <c r="AL195" i="30"/>
  <c r="AM195" i="30"/>
  <c r="AO195" i="30"/>
  <c r="AQ195" i="30"/>
  <c r="AR195" i="30"/>
  <c r="AT195" i="30"/>
  <c r="R196" i="30"/>
  <c r="S196" i="30"/>
  <c r="U196" i="30"/>
  <c r="W196" i="30"/>
  <c r="X196" i="30"/>
  <c r="Z196" i="30"/>
  <c r="AB196" i="30"/>
  <c r="AC196" i="30"/>
  <c r="AE196" i="30"/>
  <c r="AG196" i="30"/>
  <c r="AH196" i="30"/>
  <c r="AJ196" i="30"/>
  <c r="AL196" i="30"/>
  <c r="AM196" i="30"/>
  <c r="AO196" i="30"/>
  <c r="AQ196" i="30"/>
  <c r="AR196" i="30"/>
  <c r="AT196" i="30"/>
  <c r="R197" i="30"/>
  <c r="S197" i="30"/>
  <c r="U197" i="30"/>
  <c r="W197" i="30"/>
  <c r="X197" i="30"/>
  <c r="Z197" i="30"/>
  <c r="AB197" i="30"/>
  <c r="AC197" i="30"/>
  <c r="AE197" i="30"/>
  <c r="AG197" i="30"/>
  <c r="AH197" i="30"/>
  <c r="AJ197" i="30"/>
  <c r="AL197" i="30"/>
  <c r="AM197" i="30"/>
  <c r="AO197" i="30"/>
  <c r="AQ197" i="30"/>
  <c r="AR197" i="30"/>
  <c r="AT197" i="30"/>
  <c r="R198" i="30"/>
  <c r="S198" i="30"/>
  <c r="U198" i="30"/>
  <c r="W198" i="30"/>
  <c r="X198" i="30"/>
  <c r="Z198" i="30"/>
  <c r="AB198" i="30"/>
  <c r="AC198" i="30"/>
  <c r="AE198" i="30"/>
  <c r="AG198" i="30"/>
  <c r="AH198" i="30"/>
  <c r="AJ198" i="30"/>
  <c r="AL198" i="30"/>
  <c r="AM198" i="30"/>
  <c r="AO198" i="30"/>
  <c r="AQ198" i="30"/>
  <c r="AR198" i="30"/>
  <c r="AT198" i="30"/>
  <c r="R199" i="30"/>
  <c r="S199" i="30"/>
  <c r="U199" i="30"/>
  <c r="W199" i="30"/>
  <c r="X199" i="30"/>
  <c r="Z199" i="30"/>
  <c r="AB199" i="30"/>
  <c r="AC199" i="30"/>
  <c r="AE199" i="30"/>
  <c r="AG199" i="30"/>
  <c r="AH199" i="30"/>
  <c r="AJ199" i="30"/>
  <c r="AL199" i="30"/>
  <c r="AM199" i="30"/>
  <c r="AO199" i="30"/>
  <c r="AQ199" i="30"/>
  <c r="AR199" i="30"/>
  <c r="AT199" i="30"/>
  <c r="R200" i="30"/>
  <c r="S200" i="30"/>
  <c r="U200" i="30"/>
  <c r="W200" i="30"/>
  <c r="X200" i="30"/>
  <c r="Z200" i="30"/>
  <c r="AB200" i="30"/>
  <c r="AC200" i="30"/>
  <c r="AE200" i="30"/>
  <c r="AG200" i="30"/>
  <c r="AH200" i="30"/>
  <c r="AJ200" i="30"/>
  <c r="AL200" i="30"/>
  <c r="AM200" i="30"/>
  <c r="AO200" i="30"/>
  <c r="AQ200" i="30"/>
  <c r="AR200" i="30"/>
  <c r="AT200" i="30"/>
  <c r="R201" i="30"/>
  <c r="S201" i="30"/>
  <c r="U201" i="30"/>
  <c r="W201" i="30"/>
  <c r="X201" i="30"/>
  <c r="Z201" i="30"/>
  <c r="AB201" i="30"/>
  <c r="AC201" i="30"/>
  <c r="AE201" i="30"/>
  <c r="AG201" i="30"/>
  <c r="AH201" i="30"/>
  <c r="AJ201" i="30"/>
  <c r="AL201" i="30"/>
  <c r="AM201" i="30"/>
  <c r="AO201" i="30"/>
  <c r="AQ201" i="30"/>
  <c r="AR201" i="30"/>
  <c r="AT201" i="30"/>
  <c r="R202" i="30"/>
  <c r="S202" i="30"/>
  <c r="U202" i="30"/>
  <c r="W202" i="30"/>
  <c r="X202" i="30"/>
  <c r="Z202" i="30"/>
  <c r="AB202" i="30"/>
  <c r="AC202" i="30"/>
  <c r="AE202" i="30"/>
  <c r="AG202" i="30"/>
  <c r="AH202" i="30"/>
  <c r="AJ202" i="30"/>
  <c r="AL202" i="30"/>
  <c r="AM202" i="30"/>
  <c r="AO202" i="30"/>
  <c r="AQ202" i="30"/>
  <c r="AR202" i="30"/>
  <c r="AT202" i="30"/>
  <c r="R203" i="30"/>
  <c r="S203" i="30"/>
  <c r="U203" i="30"/>
  <c r="W203" i="30"/>
  <c r="X203" i="30"/>
  <c r="Z203" i="30"/>
  <c r="AB203" i="30"/>
  <c r="AC203" i="30"/>
  <c r="AE203" i="30"/>
  <c r="AG203" i="30"/>
  <c r="AH203" i="30"/>
  <c r="AJ203" i="30"/>
  <c r="AL203" i="30"/>
  <c r="AM203" i="30"/>
  <c r="AO203" i="30"/>
  <c r="AQ203" i="30"/>
  <c r="AR203" i="30"/>
  <c r="AT203" i="30"/>
  <c r="R204" i="30"/>
  <c r="S204" i="30"/>
  <c r="U204" i="30"/>
  <c r="W204" i="30"/>
  <c r="X204" i="30"/>
  <c r="Z204" i="30"/>
  <c r="AB204" i="30"/>
  <c r="AC204" i="30"/>
  <c r="AE204" i="30"/>
  <c r="AG204" i="30"/>
  <c r="AH204" i="30"/>
  <c r="AJ204" i="30"/>
  <c r="AL204" i="30"/>
  <c r="AM204" i="30"/>
  <c r="AO204" i="30"/>
  <c r="AQ204" i="30"/>
  <c r="AR204" i="30"/>
  <c r="AT204" i="30"/>
  <c r="R205" i="30"/>
  <c r="S205" i="30"/>
  <c r="U205" i="30"/>
  <c r="W205" i="30"/>
  <c r="X205" i="30"/>
  <c r="Z205" i="30"/>
  <c r="AB205" i="30"/>
  <c r="AC205" i="30"/>
  <c r="AE205" i="30"/>
  <c r="AG205" i="30"/>
  <c r="AH205" i="30"/>
  <c r="AJ205" i="30"/>
  <c r="AL205" i="30"/>
  <c r="AM205" i="30"/>
  <c r="AO205" i="30"/>
  <c r="AQ205" i="30"/>
  <c r="AR205" i="30"/>
  <c r="AT205" i="30"/>
  <c r="R206" i="30"/>
  <c r="S206" i="30"/>
  <c r="U206" i="30"/>
  <c r="W206" i="30"/>
  <c r="X206" i="30"/>
  <c r="Z206" i="30"/>
  <c r="AB206" i="30"/>
  <c r="AC206" i="30"/>
  <c r="AE206" i="30"/>
  <c r="AG206" i="30"/>
  <c r="AH206" i="30"/>
  <c r="AJ206" i="30"/>
  <c r="AL206" i="30"/>
  <c r="AM206" i="30"/>
  <c r="AO206" i="30"/>
  <c r="AQ206" i="30"/>
  <c r="AR206" i="30"/>
  <c r="AT206" i="30"/>
  <c r="R207" i="30"/>
  <c r="S207" i="30"/>
  <c r="U207" i="30"/>
  <c r="W207" i="30"/>
  <c r="X207" i="30"/>
  <c r="Z207" i="30"/>
  <c r="AB207" i="30"/>
  <c r="AC207" i="30"/>
  <c r="AE207" i="30"/>
  <c r="AG207" i="30"/>
  <c r="AH207" i="30"/>
  <c r="AJ207" i="30"/>
  <c r="AL207" i="30"/>
  <c r="AM207" i="30"/>
  <c r="AO207" i="30"/>
  <c r="AQ207" i="30"/>
  <c r="AR207" i="30"/>
  <c r="AT207" i="30"/>
  <c r="R208" i="30"/>
  <c r="S208" i="30"/>
  <c r="U208" i="30"/>
  <c r="W208" i="30"/>
  <c r="X208" i="30"/>
  <c r="Z208" i="30"/>
  <c r="AB208" i="30"/>
  <c r="AC208" i="30"/>
  <c r="AE208" i="30"/>
  <c r="AG208" i="30"/>
  <c r="AH208" i="30"/>
  <c r="AJ208" i="30"/>
  <c r="AL208" i="30"/>
  <c r="AM208" i="30"/>
  <c r="AO208" i="30"/>
  <c r="AQ208" i="30"/>
  <c r="AR208" i="30"/>
  <c r="AT208" i="30"/>
  <c r="R209" i="30"/>
  <c r="S209" i="30"/>
  <c r="U209" i="30"/>
  <c r="W209" i="30"/>
  <c r="X209" i="30"/>
  <c r="Z209" i="30"/>
  <c r="AB209" i="30"/>
  <c r="AC209" i="30"/>
  <c r="AE209" i="30"/>
  <c r="AJ209" i="30"/>
  <c r="AG209" i="30"/>
  <c r="AH209" i="30"/>
  <c r="AL209" i="30"/>
  <c r="AM209" i="30"/>
  <c r="AO209" i="30"/>
  <c r="AQ209" i="30"/>
  <c r="AR209" i="30"/>
  <c r="AT209" i="30"/>
  <c r="R210" i="30"/>
  <c r="S210" i="30"/>
  <c r="U210" i="30"/>
  <c r="W210" i="30"/>
  <c r="X210" i="30"/>
  <c r="Z210" i="30"/>
  <c r="AB210" i="30"/>
  <c r="AC210" i="30"/>
  <c r="AE210" i="30"/>
  <c r="AJ210" i="30"/>
  <c r="AG210" i="30"/>
  <c r="AH210" i="30"/>
  <c r="AL210" i="30"/>
  <c r="AM210" i="30"/>
  <c r="AO210" i="30"/>
  <c r="AQ210" i="30"/>
  <c r="AR210" i="30"/>
  <c r="R211" i="30"/>
  <c r="S211" i="30"/>
  <c r="T211" i="30" s="1"/>
  <c r="U211" i="30"/>
  <c r="W211" i="30"/>
  <c r="X211" i="30"/>
  <c r="Z211" i="30"/>
  <c r="AB211" i="30"/>
  <c r="AC211" i="30"/>
  <c r="AE211" i="30"/>
  <c r="AG211" i="30"/>
  <c r="AH211" i="30"/>
  <c r="AJ211" i="30"/>
  <c r="AL211" i="30"/>
  <c r="AM211" i="30"/>
  <c r="AO211" i="30"/>
  <c r="AQ211" i="30"/>
  <c r="AR211" i="30"/>
  <c r="R212" i="30"/>
  <c r="S212" i="30"/>
  <c r="U212" i="30"/>
  <c r="W212" i="30"/>
  <c r="X212" i="30"/>
  <c r="Z212" i="30"/>
  <c r="AB212" i="30"/>
  <c r="AC212" i="30"/>
  <c r="AE212" i="30"/>
  <c r="AG212" i="30"/>
  <c r="AH212" i="30"/>
  <c r="AJ212" i="30"/>
  <c r="AL212" i="30"/>
  <c r="AM212" i="30"/>
  <c r="AQ212" i="30"/>
  <c r="AR212" i="30"/>
  <c r="AT212" i="30"/>
  <c r="R213" i="30"/>
  <c r="S213" i="30"/>
  <c r="U213" i="30"/>
  <c r="W213" i="30"/>
  <c r="X213" i="30"/>
  <c r="Z213" i="30"/>
  <c r="AB213" i="30"/>
  <c r="AC213" i="30"/>
  <c r="AE213" i="30"/>
  <c r="AJ213" i="30"/>
  <c r="AG213" i="30"/>
  <c r="AH213" i="30"/>
  <c r="AL213" i="30"/>
  <c r="AM213" i="30"/>
  <c r="AO213" i="30"/>
  <c r="AQ213" i="30"/>
  <c r="AR213" i="30"/>
  <c r="AT213" i="30"/>
  <c r="R214" i="30"/>
  <c r="T214" i="30" s="1"/>
  <c r="S214" i="30"/>
  <c r="U214" i="30"/>
  <c r="W214" i="30"/>
  <c r="X214" i="30"/>
  <c r="Z214" i="30"/>
  <c r="AB214" i="30"/>
  <c r="AC214" i="30"/>
  <c r="AE214" i="30"/>
  <c r="AG214" i="30"/>
  <c r="AH214" i="30"/>
  <c r="AO214" i="30"/>
  <c r="AL214" i="30"/>
  <c r="AM214" i="30"/>
  <c r="AQ214" i="30"/>
  <c r="AR214" i="30"/>
  <c r="AS214" i="30" s="1"/>
  <c r="AT214" i="30"/>
  <c r="R215" i="30"/>
  <c r="S215" i="30"/>
  <c r="U215" i="30"/>
  <c r="W215" i="30"/>
  <c r="X215" i="30"/>
  <c r="Z215" i="30"/>
  <c r="AB215" i="30"/>
  <c r="AC215" i="30"/>
  <c r="AE215" i="30"/>
  <c r="AG215" i="30"/>
  <c r="AH215" i="30"/>
  <c r="AJ215" i="30"/>
  <c r="AL215" i="30"/>
  <c r="AM215" i="30"/>
  <c r="AO215" i="30"/>
  <c r="AT215" i="30"/>
  <c r="AQ215" i="30"/>
  <c r="AR215" i="30"/>
  <c r="AS215" i="30" s="1"/>
  <c r="R216" i="30"/>
  <c r="S216" i="30"/>
  <c r="U216" i="30"/>
  <c r="W216" i="30"/>
  <c r="X216" i="30"/>
  <c r="Z216" i="30"/>
  <c r="AB216" i="30"/>
  <c r="AC216" i="30"/>
  <c r="AE216" i="30"/>
  <c r="AG216" i="30"/>
  <c r="AH216" i="30"/>
  <c r="AJ216" i="30"/>
  <c r="AL216" i="30"/>
  <c r="AM216" i="30"/>
  <c r="AO216" i="30"/>
  <c r="AT216" i="30"/>
  <c r="AQ216" i="30"/>
  <c r="AR216" i="30"/>
  <c r="R217" i="30"/>
  <c r="S217" i="30"/>
  <c r="U217" i="30"/>
  <c r="W217" i="30"/>
  <c r="X217" i="30"/>
  <c r="Z217" i="30"/>
  <c r="AB217" i="30"/>
  <c r="AC217" i="30"/>
  <c r="AE217" i="30"/>
  <c r="AG217" i="30"/>
  <c r="AH217" i="30"/>
  <c r="AJ217" i="30"/>
  <c r="AO217" i="30"/>
  <c r="AL217" i="30"/>
  <c r="AM217" i="30"/>
  <c r="AQ217" i="30"/>
  <c r="AR217" i="30"/>
  <c r="AT217" i="30"/>
  <c r="R218" i="30"/>
  <c r="S218" i="30"/>
  <c r="U218" i="30"/>
  <c r="W218" i="30"/>
  <c r="X218" i="30"/>
  <c r="Z218" i="30"/>
  <c r="AB218" i="30"/>
  <c r="AC218" i="30"/>
  <c r="AE218" i="30"/>
  <c r="AG218" i="30"/>
  <c r="AH218" i="30"/>
  <c r="AJ218" i="30"/>
  <c r="AO218" i="30"/>
  <c r="AL218" i="30"/>
  <c r="AM218" i="30"/>
  <c r="AQ218" i="30"/>
  <c r="AR218" i="30"/>
  <c r="AT218" i="30"/>
  <c r="R219" i="30"/>
  <c r="S219" i="30"/>
  <c r="U219" i="30"/>
  <c r="W219" i="30"/>
  <c r="X219" i="30"/>
  <c r="Z219" i="30"/>
  <c r="AB219" i="30"/>
  <c r="AC219" i="30"/>
  <c r="AE219" i="30"/>
  <c r="AG219" i="30"/>
  <c r="AH219" i="30"/>
  <c r="AL219" i="30"/>
  <c r="AM219" i="30"/>
  <c r="AQ219" i="30"/>
  <c r="AR219" i="30"/>
  <c r="AT219" i="30"/>
  <c r="J3" i="31"/>
  <c r="G3" i="31" s="1"/>
  <c r="K3" i="31"/>
  <c r="T3" i="31"/>
  <c r="V3" i="31" s="1"/>
  <c r="U3" i="31"/>
  <c r="W3" i="31"/>
  <c r="Z3" i="31"/>
  <c r="AA3" i="31"/>
  <c r="AC3" i="31"/>
  <c r="AF3" i="31"/>
  <c r="AG3" i="31"/>
  <c r="AI3" i="31"/>
  <c r="AL3" i="31"/>
  <c r="AM3" i="31"/>
  <c r="AO3" i="31"/>
  <c r="AR3" i="31"/>
  <c r="AS3" i="31"/>
  <c r="AU3" i="31"/>
  <c r="AX3" i="31"/>
  <c r="AY3" i="31"/>
  <c r="BA3" i="31"/>
  <c r="T4" i="31"/>
  <c r="U4" i="31"/>
  <c r="W4" i="31"/>
  <c r="Z4" i="31"/>
  <c r="AA4" i="31"/>
  <c r="AC4" i="31"/>
  <c r="AF4" i="31"/>
  <c r="AG4" i="31"/>
  <c r="AI4" i="31"/>
  <c r="AL4" i="31"/>
  <c r="AM4" i="31"/>
  <c r="AO4" i="31"/>
  <c r="AR4" i="31"/>
  <c r="AS4" i="31"/>
  <c r="AU4" i="31"/>
  <c r="AX4" i="31"/>
  <c r="AY4" i="31"/>
  <c r="BA4" i="31"/>
  <c r="AJ5" i="31"/>
  <c r="T5" i="31"/>
  <c r="U5" i="31"/>
  <c r="W5" i="31"/>
  <c r="X5" i="31"/>
  <c r="Z5" i="31"/>
  <c r="AA5" i="31"/>
  <c r="AC5" i="31"/>
  <c r="AF5" i="31"/>
  <c r="AG5" i="31"/>
  <c r="AI5" i="31"/>
  <c r="AL5" i="31"/>
  <c r="AM5" i="31"/>
  <c r="AO5" i="31"/>
  <c r="AR5" i="31"/>
  <c r="AS5" i="31"/>
  <c r="AU5" i="31"/>
  <c r="AV5" i="31"/>
  <c r="AX5" i="31"/>
  <c r="AY5" i="31"/>
  <c r="BA5" i="31"/>
  <c r="G6" i="31"/>
  <c r="X6" i="31"/>
  <c r="T6" i="31"/>
  <c r="U6" i="31"/>
  <c r="W6" i="31"/>
  <c r="Z6" i="31"/>
  <c r="AA6" i="31"/>
  <c r="AC6" i="31"/>
  <c r="AD6" i="31"/>
  <c r="AF6" i="31"/>
  <c r="AG6" i="31"/>
  <c r="AI6" i="31"/>
  <c r="AL6" i="31"/>
  <c r="AM6" i="31"/>
  <c r="AO6" i="31"/>
  <c r="AR6" i="31"/>
  <c r="AT6" i="31" s="1"/>
  <c r="AS6" i="31"/>
  <c r="AU6" i="31"/>
  <c r="AX6" i="31"/>
  <c r="AY6" i="31"/>
  <c r="BA6" i="31"/>
  <c r="G7" i="31"/>
  <c r="T7" i="31"/>
  <c r="U7" i="31"/>
  <c r="W7" i="31"/>
  <c r="Z7" i="31"/>
  <c r="AA7" i="31"/>
  <c r="AC7" i="31"/>
  <c r="AF7" i="31"/>
  <c r="AG7" i="31"/>
  <c r="AI7" i="31"/>
  <c r="AL7" i="31"/>
  <c r="AM7" i="31"/>
  <c r="AO7" i="31"/>
  <c r="AR7" i="31"/>
  <c r="AS7" i="31"/>
  <c r="AU7" i="31"/>
  <c r="AV7" i="31"/>
  <c r="AX7" i="31"/>
  <c r="AY7" i="31"/>
  <c r="BA7" i="31"/>
  <c r="G8" i="31"/>
  <c r="T8" i="31"/>
  <c r="U8" i="31"/>
  <c r="W8" i="31"/>
  <c r="Z8" i="31"/>
  <c r="AA8" i="31"/>
  <c r="AC8" i="31"/>
  <c r="AF8" i="31"/>
  <c r="AG8" i="31"/>
  <c r="AH8" i="31" s="1"/>
  <c r="AI8" i="31"/>
  <c r="AL8" i="31"/>
  <c r="AM8" i="31"/>
  <c r="AO8" i="31"/>
  <c r="AR8" i="31"/>
  <c r="AS8" i="31"/>
  <c r="AT8" i="31" s="1"/>
  <c r="AU8" i="31"/>
  <c r="AX8" i="31"/>
  <c r="AY8" i="31"/>
  <c r="BA8" i="31"/>
  <c r="BB8" i="31"/>
  <c r="AJ9" i="31"/>
  <c r="T9" i="31"/>
  <c r="V9" i="31" s="1"/>
  <c r="U9" i="31"/>
  <c r="W9" i="31"/>
  <c r="Z9" i="31"/>
  <c r="AA9" i="31"/>
  <c r="AC9" i="31"/>
  <c r="AF9" i="31"/>
  <c r="AG9" i="31"/>
  <c r="AI9" i="31"/>
  <c r="AL9" i="31"/>
  <c r="AM9" i="31"/>
  <c r="AO9" i="31"/>
  <c r="AR9" i="31"/>
  <c r="AS9" i="31"/>
  <c r="AU9" i="31"/>
  <c r="AX9" i="31"/>
  <c r="AZ9" i="31" s="1"/>
  <c r="AY9" i="31"/>
  <c r="BA9" i="31"/>
  <c r="H10" i="31"/>
  <c r="T10" i="31"/>
  <c r="U10" i="31"/>
  <c r="W10" i="31"/>
  <c r="Z10" i="31"/>
  <c r="AA10" i="31"/>
  <c r="AC10" i="31"/>
  <c r="AF10" i="31"/>
  <c r="AG10" i="31"/>
  <c r="AI10" i="31"/>
  <c r="AL10" i="31"/>
  <c r="AM10" i="31"/>
  <c r="AO10" i="31"/>
  <c r="AR10" i="31"/>
  <c r="AS10" i="31"/>
  <c r="AU10" i="31"/>
  <c r="AX10" i="31"/>
  <c r="AY10" i="31"/>
  <c r="BA10" i="31"/>
  <c r="T11" i="31"/>
  <c r="U11" i="31"/>
  <c r="W11" i="31"/>
  <c r="Z11" i="31"/>
  <c r="AA11" i="31"/>
  <c r="AC11" i="31"/>
  <c r="AF11" i="31"/>
  <c r="AG11" i="31"/>
  <c r="AH11" i="31" s="1"/>
  <c r="AI11" i="31"/>
  <c r="AL11" i="31"/>
  <c r="AM11" i="31"/>
  <c r="AN11" i="31" s="1"/>
  <c r="AO11" i="31"/>
  <c r="AR11" i="31"/>
  <c r="AS11" i="31"/>
  <c r="AU11" i="31"/>
  <c r="AX11" i="31"/>
  <c r="AY11" i="31"/>
  <c r="BA11" i="31"/>
  <c r="G12" i="31"/>
  <c r="AV12" i="31"/>
  <c r="T12" i="31"/>
  <c r="U12" i="31"/>
  <c r="W12" i="31"/>
  <c r="Z12" i="31"/>
  <c r="AA12" i="31"/>
  <c r="AC12" i="31"/>
  <c r="AF12" i="31"/>
  <c r="AH12" i="31" s="1"/>
  <c r="AG12" i="31"/>
  <c r="AI12" i="31"/>
  <c r="AL12" i="31"/>
  <c r="AM12" i="31"/>
  <c r="AO12" i="31"/>
  <c r="AR12" i="31"/>
  <c r="AS12" i="31"/>
  <c r="AU12" i="31"/>
  <c r="AX12" i="31"/>
  <c r="AY12" i="31"/>
  <c r="BA12" i="31"/>
  <c r="AJ13" i="31"/>
  <c r="T13" i="31"/>
  <c r="U13" i="31"/>
  <c r="W13" i="31"/>
  <c r="X13" i="31"/>
  <c r="Z13" i="31"/>
  <c r="AA13" i="31"/>
  <c r="AC13" i="31"/>
  <c r="AF13" i="31"/>
  <c r="AH13" i="31" s="1"/>
  <c r="AG13" i="31"/>
  <c r="AI13" i="31"/>
  <c r="AL13" i="31"/>
  <c r="AM13" i="31"/>
  <c r="AO13" i="31"/>
  <c r="AR13" i="31"/>
  <c r="AT13" i="31" s="1"/>
  <c r="AS13" i="31"/>
  <c r="AU13" i="31"/>
  <c r="AX13" i="31"/>
  <c r="AY13" i="31"/>
  <c r="BA13" i="31"/>
  <c r="G14" i="31"/>
  <c r="I14" i="31" s="1"/>
  <c r="H14" i="31"/>
  <c r="AD14" i="31"/>
  <c r="T14" i="31"/>
  <c r="U14" i="31"/>
  <c r="W14" i="31"/>
  <c r="Z14" i="31"/>
  <c r="AA14" i="31"/>
  <c r="AC14" i="31"/>
  <c r="AF14" i="31"/>
  <c r="AG14" i="31"/>
  <c r="AI14" i="31"/>
  <c r="AL14" i="31"/>
  <c r="AM14" i="31"/>
  <c r="AO14" i="31"/>
  <c r="AR14" i="31"/>
  <c r="AS14" i="31"/>
  <c r="AU14" i="31"/>
  <c r="AX14" i="31"/>
  <c r="AY14" i="31"/>
  <c r="BA14" i="31"/>
  <c r="G15" i="31"/>
  <c r="H15" i="31"/>
  <c r="T15" i="31"/>
  <c r="U15" i="31"/>
  <c r="W15" i="31"/>
  <c r="Z15" i="31"/>
  <c r="AA15" i="31"/>
  <c r="AF15" i="31"/>
  <c r="AG15" i="31"/>
  <c r="AI15" i="31"/>
  <c r="AJ15" i="31"/>
  <c r="AL15" i="31"/>
  <c r="AM15" i="31"/>
  <c r="AO15" i="31"/>
  <c r="AP15" i="31"/>
  <c r="AV15" i="31"/>
  <c r="AR15" i="31"/>
  <c r="AS15" i="31"/>
  <c r="AU15" i="31"/>
  <c r="AX15" i="31"/>
  <c r="AY15" i="31"/>
  <c r="BA15" i="31"/>
  <c r="BB15" i="31"/>
  <c r="BB16" i="31"/>
  <c r="T16" i="31"/>
  <c r="U16" i="31"/>
  <c r="W16" i="31"/>
  <c r="X16" i="31"/>
  <c r="Z16" i="31"/>
  <c r="AA16" i="31"/>
  <c r="AC16" i="31"/>
  <c r="AF16" i="31"/>
  <c r="AG16" i="31"/>
  <c r="AI16" i="31"/>
  <c r="AL16" i="31"/>
  <c r="AM16" i="31"/>
  <c r="AO16" i="31"/>
  <c r="AP16" i="31"/>
  <c r="AR16" i="31"/>
  <c r="AS16" i="31"/>
  <c r="AU16" i="31"/>
  <c r="AV16" i="31"/>
  <c r="AX16" i="31"/>
  <c r="AY16" i="31"/>
  <c r="BA16" i="31"/>
  <c r="AJ17" i="31"/>
  <c r="AP17" i="31"/>
  <c r="T17" i="31"/>
  <c r="U17" i="31"/>
  <c r="W17" i="31"/>
  <c r="Z17" i="31"/>
  <c r="AA17" i="31"/>
  <c r="AC17" i="31"/>
  <c r="AF17" i="31"/>
  <c r="AG17" i="31"/>
  <c r="AI17" i="31"/>
  <c r="AL17" i="31"/>
  <c r="AM17" i="31"/>
  <c r="AO17" i="31"/>
  <c r="AR17" i="31"/>
  <c r="AS17" i="31"/>
  <c r="AU17" i="31"/>
  <c r="AX17" i="31"/>
  <c r="AY17" i="31"/>
  <c r="BA17" i="31"/>
  <c r="AJ18" i="31"/>
  <c r="T18" i="31"/>
  <c r="U18" i="31"/>
  <c r="V18" i="31" s="1"/>
  <c r="W18" i="31"/>
  <c r="Z18" i="31"/>
  <c r="AA18" i="31"/>
  <c r="AC18" i="31"/>
  <c r="AF18" i="31"/>
  <c r="AG18" i="31"/>
  <c r="AI18" i="31"/>
  <c r="AL18" i="31"/>
  <c r="AM18" i="31"/>
  <c r="AO18" i="31"/>
  <c r="AR18" i="31"/>
  <c r="AS18" i="31"/>
  <c r="AU18" i="31"/>
  <c r="AX18" i="31"/>
  <c r="AY18" i="31"/>
  <c r="BA18" i="31"/>
  <c r="T19" i="31"/>
  <c r="U19" i="31"/>
  <c r="W19" i="31"/>
  <c r="Z19" i="31"/>
  <c r="AA19" i="31"/>
  <c r="AC19" i="31"/>
  <c r="AF19" i="31"/>
  <c r="AG19" i="31"/>
  <c r="AI19" i="31"/>
  <c r="AL19" i="31"/>
  <c r="AM19" i="31"/>
  <c r="AO19" i="31"/>
  <c r="AR19" i="31"/>
  <c r="AS19" i="31"/>
  <c r="AU19" i="31"/>
  <c r="AX19" i="31"/>
  <c r="AY19" i="31"/>
  <c r="BA19" i="31"/>
  <c r="H20" i="31"/>
  <c r="T20" i="31"/>
  <c r="U20" i="31"/>
  <c r="W20" i="31"/>
  <c r="Z20" i="31"/>
  <c r="AA20" i="31"/>
  <c r="AC20" i="31"/>
  <c r="AD20" i="31"/>
  <c r="AF20" i="31"/>
  <c r="AG20" i="31"/>
  <c r="AI20" i="31"/>
  <c r="AL20" i="31"/>
  <c r="AM20" i="31"/>
  <c r="AO20" i="31"/>
  <c r="AR20" i="31"/>
  <c r="AS20" i="31"/>
  <c r="AU20" i="31"/>
  <c r="AX20" i="31"/>
  <c r="AY20" i="31"/>
  <c r="BA20" i="31"/>
  <c r="BB20" i="31"/>
  <c r="AD21" i="31"/>
  <c r="T21" i="31"/>
  <c r="U21" i="31"/>
  <c r="W21" i="31"/>
  <c r="Z21" i="31"/>
  <c r="AA21" i="31"/>
  <c r="AC21" i="31"/>
  <c r="AF21" i="31"/>
  <c r="AG21" i="31"/>
  <c r="AI21" i="31"/>
  <c r="AJ21" i="31"/>
  <c r="AL21" i="31"/>
  <c r="AM21" i="31"/>
  <c r="AO21" i="31"/>
  <c r="AR21" i="31"/>
  <c r="AS21" i="31"/>
  <c r="AU21" i="31"/>
  <c r="AX21" i="31"/>
  <c r="AY21" i="31"/>
  <c r="BA21" i="31"/>
  <c r="G22" i="31"/>
  <c r="H22" i="31"/>
  <c r="T22" i="31"/>
  <c r="U22" i="31"/>
  <c r="W22" i="31"/>
  <c r="Z22" i="31"/>
  <c r="AA22" i="31"/>
  <c r="AC22" i="31"/>
  <c r="AF22" i="31"/>
  <c r="AG22" i="31"/>
  <c r="AI22" i="31"/>
  <c r="AL22" i="31"/>
  <c r="AM22" i="31"/>
  <c r="AO22" i="31"/>
  <c r="AR22" i="31"/>
  <c r="AS22" i="31"/>
  <c r="AU22" i="31"/>
  <c r="AX22" i="31"/>
  <c r="AY22" i="31"/>
  <c r="BA22" i="31"/>
  <c r="T23" i="31"/>
  <c r="V23" i="31" s="1"/>
  <c r="U23" i="31"/>
  <c r="W23" i="31"/>
  <c r="Z23" i="31"/>
  <c r="AA23" i="31"/>
  <c r="AC23" i="31"/>
  <c r="AF23" i="31"/>
  <c r="AG23" i="31"/>
  <c r="AI23" i="31"/>
  <c r="AL23" i="31"/>
  <c r="AM23" i="31"/>
  <c r="AO23" i="31"/>
  <c r="AR23" i="31"/>
  <c r="AS23" i="31"/>
  <c r="AU23" i="31"/>
  <c r="AX23" i="31"/>
  <c r="AY23" i="31"/>
  <c r="BA23" i="31"/>
  <c r="AP24" i="31"/>
  <c r="T24" i="31"/>
  <c r="U24" i="31"/>
  <c r="V24" i="31"/>
  <c r="W24" i="31"/>
  <c r="X24" i="31"/>
  <c r="Z24" i="31"/>
  <c r="AA24" i="31"/>
  <c r="AC24" i="31"/>
  <c r="AD24" i="31"/>
  <c r="AF24" i="31"/>
  <c r="AH24" i="31" s="1"/>
  <c r="AG24" i="31"/>
  <c r="AI24" i="31"/>
  <c r="AJ24" i="31"/>
  <c r="AL24" i="31"/>
  <c r="AM24" i="31"/>
  <c r="AO24" i="31"/>
  <c r="AR24" i="31"/>
  <c r="AT24" i="31" s="1"/>
  <c r="AS24" i="31"/>
  <c r="AU24" i="31"/>
  <c r="AV24" i="31"/>
  <c r="AX24" i="31"/>
  <c r="AY24" i="31"/>
  <c r="BA24" i="31"/>
  <c r="BB24" i="31"/>
  <c r="AJ25" i="31"/>
  <c r="AP25" i="31"/>
  <c r="T25" i="31"/>
  <c r="U25" i="31"/>
  <c r="W25" i="31"/>
  <c r="Z25" i="31"/>
  <c r="AB25" i="31" s="1"/>
  <c r="AA25" i="31"/>
  <c r="AC25" i="31"/>
  <c r="AD25" i="31"/>
  <c r="AF25" i="31"/>
  <c r="AG25" i="31"/>
  <c r="AI25" i="31"/>
  <c r="AL25" i="31"/>
  <c r="AM25" i="31"/>
  <c r="AO25" i="31"/>
  <c r="AR25" i="31"/>
  <c r="AS25" i="31"/>
  <c r="AU25" i="31"/>
  <c r="AX25" i="31"/>
  <c r="AY25" i="31"/>
  <c r="BA25" i="31"/>
  <c r="T26" i="31"/>
  <c r="V26" i="31" s="1"/>
  <c r="U26" i="31"/>
  <c r="W26" i="31"/>
  <c r="Z26" i="31"/>
  <c r="AA26" i="31"/>
  <c r="AC26" i="31"/>
  <c r="AF26" i="31"/>
  <c r="AG26" i="31"/>
  <c r="AI26" i="31"/>
  <c r="AL26" i="31"/>
  <c r="AM26" i="31"/>
  <c r="AN26" i="31" s="1"/>
  <c r="AO26" i="31"/>
  <c r="AR26" i="31"/>
  <c r="AS26" i="31"/>
  <c r="AU26" i="31"/>
  <c r="AX26" i="31"/>
  <c r="AY26" i="31"/>
  <c r="BA26" i="31"/>
  <c r="T27" i="31"/>
  <c r="U27" i="31"/>
  <c r="W27" i="31"/>
  <c r="Z27" i="31"/>
  <c r="AB27" i="31" s="1"/>
  <c r="AA27" i="31"/>
  <c r="AC27" i="31"/>
  <c r="AF27" i="31"/>
  <c r="AG27" i="31"/>
  <c r="AI27" i="31"/>
  <c r="AL27" i="31"/>
  <c r="AM27" i="31"/>
  <c r="AO27" i="31"/>
  <c r="AR27" i="31"/>
  <c r="AS27" i="31"/>
  <c r="AU27" i="31"/>
  <c r="AX27" i="31"/>
  <c r="AY27" i="31"/>
  <c r="BA27" i="31"/>
  <c r="H28" i="31"/>
  <c r="AJ28" i="31"/>
  <c r="T28" i="31"/>
  <c r="U28" i="31"/>
  <c r="V28" i="31" s="1"/>
  <c r="W28" i="31"/>
  <c r="X28" i="31"/>
  <c r="Z28" i="31"/>
  <c r="AA28" i="31"/>
  <c r="AC28" i="31"/>
  <c r="AD28" i="31"/>
  <c r="AF28" i="31"/>
  <c r="AG28" i="31"/>
  <c r="AI28" i="31"/>
  <c r="AL28" i="31"/>
  <c r="AM28" i="31"/>
  <c r="AO28" i="31"/>
  <c r="AR28" i="31"/>
  <c r="AS28" i="31"/>
  <c r="AT28" i="31" s="1"/>
  <c r="AU28" i="31"/>
  <c r="AV28" i="31"/>
  <c r="AX28" i="31"/>
  <c r="AY28" i="31"/>
  <c r="BA28" i="31"/>
  <c r="BB28" i="31"/>
  <c r="H29" i="31"/>
  <c r="AJ29" i="31"/>
  <c r="T29" i="31"/>
  <c r="V29" i="31" s="1"/>
  <c r="U29" i="31"/>
  <c r="W29" i="31"/>
  <c r="Z29" i="31"/>
  <c r="AA29" i="31"/>
  <c r="AC29" i="31"/>
  <c r="AF29" i="31"/>
  <c r="AG29" i="31"/>
  <c r="AI29" i="31"/>
  <c r="AL29" i="31"/>
  <c r="AM29" i="31"/>
  <c r="AO29" i="31"/>
  <c r="AR29" i="31"/>
  <c r="AS29" i="31"/>
  <c r="AU29" i="31"/>
  <c r="AX29" i="31"/>
  <c r="AY29" i="31"/>
  <c r="BA29" i="31"/>
  <c r="G30" i="31"/>
  <c r="H30" i="31"/>
  <c r="T30" i="31"/>
  <c r="U30" i="31"/>
  <c r="W30" i="31"/>
  <c r="Z30" i="31"/>
  <c r="AA30" i="31"/>
  <c r="AC30" i="31"/>
  <c r="AD30" i="31"/>
  <c r="AF30" i="31"/>
  <c r="AG30" i="31"/>
  <c r="AI30" i="31"/>
  <c r="AL30" i="31"/>
  <c r="AM30" i="31"/>
  <c r="AO30" i="31"/>
  <c r="AR30" i="31"/>
  <c r="AS30" i="31"/>
  <c r="AU30" i="31"/>
  <c r="AX30" i="31"/>
  <c r="AY30" i="31"/>
  <c r="BA30" i="31"/>
  <c r="BB30" i="31"/>
  <c r="AV31" i="31"/>
  <c r="T31" i="31"/>
  <c r="U31" i="31"/>
  <c r="W31" i="31"/>
  <c r="Z31" i="31"/>
  <c r="AA31" i="31"/>
  <c r="AC31" i="31"/>
  <c r="AF31" i="31"/>
  <c r="AG31" i="31"/>
  <c r="AI31" i="31"/>
  <c r="AL31" i="31"/>
  <c r="AM31" i="31"/>
  <c r="AO31" i="31"/>
  <c r="AR31" i="31"/>
  <c r="AS31" i="31"/>
  <c r="AU31" i="31"/>
  <c r="AX31" i="31"/>
  <c r="AY31" i="31"/>
  <c r="BA31" i="31"/>
  <c r="G32" i="31"/>
  <c r="H32" i="31"/>
  <c r="T32" i="31"/>
  <c r="U32" i="31"/>
  <c r="W32" i="31"/>
  <c r="X32" i="31"/>
  <c r="Z32" i="31"/>
  <c r="AA32" i="31"/>
  <c r="AC32" i="31"/>
  <c r="AD32" i="31"/>
  <c r="AF32" i="31"/>
  <c r="AG32" i="31"/>
  <c r="AI32" i="31"/>
  <c r="AL32" i="31"/>
  <c r="AM32" i="31"/>
  <c r="AO32" i="31"/>
  <c r="AP32" i="31"/>
  <c r="AR32" i="31"/>
  <c r="AS32" i="31"/>
  <c r="AU32" i="31"/>
  <c r="AV32" i="31"/>
  <c r="AX32" i="31"/>
  <c r="AY32" i="31"/>
  <c r="BA32" i="31"/>
  <c r="BB32" i="31"/>
  <c r="AD33" i="31"/>
  <c r="T33" i="31"/>
  <c r="U33" i="31"/>
  <c r="W33" i="31"/>
  <c r="Z33" i="31"/>
  <c r="AA33" i="31"/>
  <c r="AC33" i="31"/>
  <c r="AF33" i="31"/>
  <c r="AG33" i="31"/>
  <c r="AI33" i="31"/>
  <c r="AL33" i="31"/>
  <c r="AM33" i="31"/>
  <c r="AO33" i="31"/>
  <c r="AR33" i="31"/>
  <c r="AS33" i="31"/>
  <c r="AU33" i="31"/>
  <c r="AX33" i="31"/>
  <c r="AY33" i="31"/>
  <c r="BA33" i="31"/>
  <c r="G34" i="31"/>
  <c r="H34" i="31"/>
  <c r="T34" i="31"/>
  <c r="V34" i="31" s="1"/>
  <c r="U34" i="31"/>
  <c r="W34" i="31"/>
  <c r="Z34" i="31"/>
  <c r="AA34" i="31"/>
  <c r="AC34" i="31"/>
  <c r="AF34" i="31"/>
  <c r="AG34" i="31"/>
  <c r="AI34" i="31"/>
  <c r="AL34" i="31"/>
  <c r="AM34" i="31"/>
  <c r="AO34" i="31"/>
  <c r="AR34" i="31"/>
  <c r="AS34" i="31"/>
  <c r="AU34" i="31"/>
  <c r="AX34" i="31"/>
  <c r="AY34" i="31"/>
  <c r="BA34" i="31"/>
  <c r="T35" i="31"/>
  <c r="U35" i="31"/>
  <c r="W35" i="31"/>
  <c r="Z35" i="31"/>
  <c r="AA35" i="31"/>
  <c r="AC35" i="31"/>
  <c r="AF35" i="31"/>
  <c r="AG35" i="31"/>
  <c r="AH35" i="31"/>
  <c r="AI35" i="31"/>
  <c r="AL35" i="31"/>
  <c r="AM35" i="31"/>
  <c r="AO35" i="31"/>
  <c r="AR35" i="31"/>
  <c r="AS35" i="31"/>
  <c r="AU35" i="31"/>
  <c r="AX35" i="31"/>
  <c r="AZ35" i="31" s="1"/>
  <c r="AY35" i="31"/>
  <c r="BA35" i="31"/>
  <c r="BB36" i="31"/>
  <c r="AJ36" i="31"/>
  <c r="T36" i="31"/>
  <c r="U36" i="31"/>
  <c r="V36" i="31" s="1"/>
  <c r="W36" i="31"/>
  <c r="Z36" i="31"/>
  <c r="AA36" i="31"/>
  <c r="AC36" i="31"/>
  <c r="AD36" i="31"/>
  <c r="AF36" i="31"/>
  <c r="AG36" i="31"/>
  <c r="AI36" i="31"/>
  <c r="AL36" i="31"/>
  <c r="AM36" i="31"/>
  <c r="AO36" i="31"/>
  <c r="AR36" i="31"/>
  <c r="AS36" i="31"/>
  <c r="AU36" i="31"/>
  <c r="AX36" i="31"/>
  <c r="AY36" i="31"/>
  <c r="BA36" i="31"/>
  <c r="AD37" i="31"/>
  <c r="T37" i="31"/>
  <c r="U37" i="31"/>
  <c r="W37" i="31"/>
  <c r="Z37" i="31"/>
  <c r="AA37" i="31"/>
  <c r="AC37" i="31"/>
  <c r="AF37" i="31"/>
  <c r="AG37" i="31"/>
  <c r="AI37" i="31"/>
  <c r="AL37" i="31"/>
  <c r="AM37" i="31"/>
  <c r="AO37" i="31"/>
  <c r="AR37" i="31"/>
  <c r="AS37" i="31"/>
  <c r="AU37" i="31"/>
  <c r="AX37" i="31"/>
  <c r="AY37" i="31"/>
  <c r="BA37" i="31"/>
  <c r="G38" i="31"/>
  <c r="I38" i="31" s="1"/>
  <c r="H38" i="31"/>
  <c r="T38" i="31"/>
  <c r="V38" i="31" s="1"/>
  <c r="U38" i="31"/>
  <c r="W38" i="31"/>
  <c r="Z38" i="31"/>
  <c r="AA38" i="31"/>
  <c r="AC38" i="31"/>
  <c r="AD38" i="31"/>
  <c r="AF38" i="31"/>
  <c r="AG38" i="31"/>
  <c r="AI38" i="31"/>
  <c r="AL38" i="31"/>
  <c r="AM38" i="31"/>
  <c r="AO38" i="31"/>
  <c r="AR38" i="31"/>
  <c r="AS38" i="31"/>
  <c r="AU38" i="31"/>
  <c r="AX38" i="31"/>
  <c r="AY38" i="31"/>
  <c r="BA38" i="31"/>
  <c r="BB38" i="31"/>
  <c r="T39" i="31"/>
  <c r="U39" i="31"/>
  <c r="W39" i="31"/>
  <c r="Z39" i="31"/>
  <c r="AA39" i="31"/>
  <c r="AC39" i="31"/>
  <c r="AF39" i="31"/>
  <c r="AH39" i="31" s="1"/>
  <c r="AG39" i="31"/>
  <c r="AI39" i="31"/>
  <c r="AL39" i="31"/>
  <c r="AM39" i="31"/>
  <c r="AO39" i="31"/>
  <c r="AR39" i="31"/>
  <c r="AS39" i="31"/>
  <c r="AU39" i="31"/>
  <c r="AX39" i="31"/>
  <c r="AY39" i="31"/>
  <c r="AZ39" i="31" s="1"/>
  <c r="BA39" i="31"/>
  <c r="BB40" i="31"/>
  <c r="T40" i="31"/>
  <c r="U40" i="31"/>
  <c r="W40" i="31"/>
  <c r="X40" i="31"/>
  <c r="Z40" i="31"/>
  <c r="AB40" i="31" s="1"/>
  <c r="AA40" i="31"/>
  <c r="AC40" i="31"/>
  <c r="AF40" i="31"/>
  <c r="AG40" i="31"/>
  <c r="AI40" i="31"/>
  <c r="AL40" i="31"/>
  <c r="AN40" i="31" s="1"/>
  <c r="AM40" i="31"/>
  <c r="AO40" i="31"/>
  <c r="AP40" i="31"/>
  <c r="AR40" i="31"/>
  <c r="AS40" i="31"/>
  <c r="AT40" i="31"/>
  <c r="AU40" i="31"/>
  <c r="AX40" i="31"/>
  <c r="AY40" i="31"/>
  <c r="BA40" i="31"/>
  <c r="H41" i="31"/>
  <c r="AJ41" i="31"/>
  <c r="T41" i="31"/>
  <c r="U41" i="31"/>
  <c r="W41" i="31"/>
  <c r="Z41" i="31"/>
  <c r="AA41" i="31"/>
  <c r="AC41" i="31"/>
  <c r="AF41" i="31"/>
  <c r="AG41" i="31"/>
  <c r="AI41" i="31"/>
  <c r="AL41" i="31"/>
  <c r="AM41" i="31"/>
  <c r="AO41" i="31"/>
  <c r="AR41" i="31"/>
  <c r="AS41" i="31"/>
  <c r="AU41" i="31"/>
  <c r="AX41" i="31"/>
  <c r="AY41" i="31"/>
  <c r="BA41" i="31"/>
  <c r="T42" i="31"/>
  <c r="V42" i="31" s="1"/>
  <c r="U42" i="31"/>
  <c r="W42" i="31"/>
  <c r="Z42" i="31"/>
  <c r="AA42" i="31"/>
  <c r="AC42" i="31"/>
  <c r="AF42" i="31"/>
  <c r="AG42" i="31"/>
  <c r="AI42" i="31"/>
  <c r="AL42" i="31"/>
  <c r="AM42" i="31"/>
  <c r="AO42" i="31"/>
  <c r="AR42" i="31"/>
  <c r="AS42" i="31"/>
  <c r="AU42" i="31"/>
  <c r="AX42" i="31"/>
  <c r="AY42" i="31"/>
  <c r="BA42" i="31"/>
  <c r="T43" i="31"/>
  <c r="V43" i="31" s="1"/>
  <c r="U43" i="31"/>
  <c r="W43" i="31"/>
  <c r="Z43" i="31"/>
  <c r="AA43" i="31"/>
  <c r="AC43" i="31"/>
  <c r="AF43" i="31"/>
  <c r="AG43" i="31"/>
  <c r="AI43" i="31"/>
  <c r="AL43" i="31"/>
  <c r="AM43" i="31"/>
  <c r="AO43" i="31"/>
  <c r="AR43" i="31"/>
  <c r="AS43" i="31"/>
  <c r="AU43" i="31"/>
  <c r="AX43" i="31"/>
  <c r="AY43" i="31"/>
  <c r="BA43" i="31"/>
  <c r="Q145" i="50"/>
  <c r="V145" i="50"/>
  <c r="W145" i="50" s="1"/>
  <c r="AB145" i="50"/>
  <c r="AH145" i="50"/>
  <c r="AI145" i="50" s="1"/>
  <c r="AN145" i="50"/>
  <c r="AO145" i="50" s="1"/>
  <c r="AT145" i="50"/>
  <c r="AU145" i="50" s="1"/>
  <c r="Q58" i="50"/>
  <c r="V58" i="50"/>
  <c r="AB58" i="50"/>
  <c r="AH58" i="50"/>
  <c r="AN58" i="50"/>
  <c r="AT58" i="50"/>
  <c r="Q187" i="50"/>
  <c r="V187" i="50"/>
  <c r="AB187" i="50"/>
  <c r="AH187" i="50"/>
  <c r="AN187" i="50"/>
  <c r="AT187" i="50"/>
  <c r="B6" i="55"/>
  <c r="Y265" i="50"/>
  <c r="Z265" i="50"/>
  <c r="AA265" i="50"/>
  <c r="Y266" i="50"/>
  <c r="Z266" i="50"/>
  <c r="AA266" i="50"/>
  <c r="Y267" i="50"/>
  <c r="Z267" i="50"/>
  <c r="AA267" i="50"/>
  <c r="Y268" i="50"/>
  <c r="Z268" i="50"/>
  <c r="AA268" i="50"/>
  <c r="Y269" i="50"/>
  <c r="Z269" i="50"/>
  <c r="AA269" i="50"/>
  <c r="Y270" i="50"/>
  <c r="Z270" i="50"/>
  <c r="AA270" i="50"/>
  <c r="X266" i="50"/>
  <c r="X267" i="50"/>
  <c r="X268" i="50"/>
  <c r="X269" i="50"/>
  <c r="X270" i="50"/>
  <c r="X265" i="50"/>
  <c r="Q62" i="50"/>
  <c r="Q63" i="50"/>
  <c r="V62" i="50"/>
  <c r="V63" i="50"/>
  <c r="AB62" i="50"/>
  <c r="AB63" i="50"/>
  <c r="AH62" i="50"/>
  <c r="AI62" i="50" s="1"/>
  <c r="AH63" i="50"/>
  <c r="AN62" i="50"/>
  <c r="AO62" i="50" s="1"/>
  <c r="AN63" i="50"/>
  <c r="AT62" i="50"/>
  <c r="AU62" i="50" s="1"/>
  <c r="AT63" i="50"/>
  <c r="Q61" i="50"/>
  <c r="V61" i="50"/>
  <c r="AB61" i="50"/>
  <c r="AH61" i="50"/>
  <c r="AN61" i="50"/>
  <c r="AT61" i="50"/>
  <c r="Q60" i="50"/>
  <c r="V60" i="50"/>
  <c r="AB60" i="50"/>
  <c r="AH60" i="50"/>
  <c r="AN60" i="50"/>
  <c r="AT60" i="50"/>
  <c r="Q59" i="50"/>
  <c r="V59" i="50"/>
  <c r="AB59" i="50"/>
  <c r="AH59" i="50"/>
  <c r="AN59" i="50"/>
  <c r="AT59" i="50"/>
  <c r="Q207" i="50"/>
  <c r="Q197" i="50"/>
  <c r="Q208" i="50"/>
  <c r="Q209" i="50"/>
  <c r="Q210" i="50"/>
  <c r="Q198" i="50"/>
  <c r="Q199" i="50"/>
  <c r="Q211" i="50"/>
  <c r="Q212" i="50"/>
  <c r="Q200" i="50"/>
  <c r="Q201" i="50"/>
  <c r="Q202" i="50"/>
  <c r="Q203" i="50"/>
  <c r="Q204" i="50"/>
  <c r="Q205" i="50"/>
  <c r="Q206" i="50"/>
  <c r="V207" i="50"/>
  <c r="W207" i="50" s="1"/>
  <c r="V197" i="50"/>
  <c r="V208" i="50"/>
  <c r="W208" i="50" s="1"/>
  <c r="V209" i="50"/>
  <c r="W209" i="50" s="1"/>
  <c r="V210" i="50"/>
  <c r="W210" i="50" s="1"/>
  <c r="V198" i="50"/>
  <c r="V199" i="50"/>
  <c r="V211" i="50"/>
  <c r="V212" i="50"/>
  <c r="V200" i="50"/>
  <c r="V201" i="50"/>
  <c r="W201" i="50" s="1"/>
  <c r="V202" i="50"/>
  <c r="W202" i="50" s="1"/>
  <c r="V203" i="50"/>
  <c r="V204" i="50"/>
  <c r="V205" i="50"/>
  <c r="W205" i="50" s="1"/>
  <c r="V206" i="50"/>
  <c r="AB207" i="50"/>
  <c r="AB197" i="50"/>
  <c r="AB208" i="50"/>
  <c r="AB209" i="50"/>
  <c r="AC209" i="50" s="1"/>
  <c r="AB210" i="50"/>
  <c r="AC210" i="50" s="1"/>
  <c r="AB198" i="50"/>
  <c r="AC198" i="50" s="1"/>
  <c r="AB199" i="50"/>
  <c r="AB211" i="50"/>
  <c r="AB212" i="50"/>
  <c r="AB200" i="50"/>
  <c r="AB201" i="50"/>
  <c r="AB202" i="50"/>
  <c r="AC202" i="50" s="1"/>
  <c r="AB203" i="50"/>
  <c r="AC203" i="50" s="1"/>
  <c r="AB204" i="50"/>
  <c r="AB205" i="50"/>
  <c r="AB206" i="50"/>
  <c r="AH207" i="50"/>
  <c r="AH197" i="50"/>
  <c r="AH208" i="50"/>
  <c r="AH209" i="50"/>
  <c r="AI209" i="50" s="1"/>
  <c r="AH210" i="50"/>
  <c r="AI210" i="50" s="1"/>
  <c r="AH198" i="50"/>
  <c r="AH199" i="50"/>
  <c r="AH211" i="50"/>
  <c r="AH212" i="50"/>
  <c r="AH200" i="50"/>
  <c r="AH201" i="50"/>
  <c r="AH202" i="50"/>
  <c r="AI202" i="50" s="1"/>
  <c r="AH203" i="50"/>
  <c r="AI203" i="50" s="1"/>
  <c r="AH204" i="50"/>
  <c r="AH205" i="50"/>
  <c r="AH206" i="50"/>
  <c r="AN207" i="50"/>
  <c r="AN197" i="50"/>
  <c r="AN208" i="50"/>
  <c r="AN209" i="50"/>
  <c r="AO209" i="50" s="1"/>
  <c r="AN210" i="50"/>
  <c r="AO210" i="50" s="1"/>
  <c r="AN198" i="50"/>
  <c r="AO198" i="50" s="1"/>
  <c r="AN199" i="50"/>
  <c r="AN211" i="50"/>
  <c r="AN212" i="50"/>
  <c r="AN200" i="50"/>
  <c r="AN201" i="50"/>
  <c r="AN202" i="50"/>
  <c r="AO202" i="50" s="1"/>
  <c r="AN203" i="50"/>
  <c r="AO203" i="50" s="1"/>
  <c r="AN204" i="50"/>
  <c r="AO204" i="50" s="1"/>
  <c r="AN205" i="50"/>
  <c r="AN206" i="50"/>
  <c r="AT207" i="50"/>
  <c r="AT197" i="50"/>
  <c r="AU197" i="50" s="1"/>
  <c r="AT208" i="50"/>
  <c r="AT209" i="50"/>
  <c r="AU209" i="50" s="1"/>
  <c r="AT210" i="50"/>
  <c r="AU210" i="50" s="1"/>
  <c r="AT198" i="50"/>
  <c r="AU198" i="50" s="1"/>
  <c r="AT199" i="50"/>
  <c r="AT211" i="50"/>
  <c r="AT212" i="50"/>
  <c r="AT200" i="50"/>
  <c r="AT201" i="50"/>
  <c r="AT202" i="50"/>
  <c r="AU202" i="50" s="1"/>
  <c r="AT203" i="50"/>
  <c r="AU203" i="50" s="1"/>
  <c r="AT204" i="50"/>
  <c r="AU204" i="50" s="1"/>
  <c r="AT205" i="50"/>
  <c r="AT206" i="50"/>
  <c r="Q196" i="50"/>
  <c r="V196" i="50"/>
  <c r="AB196" i="50"/>
  <c r="AH196" i="50"/>
  <c r="AN196" i="50"/>
  <c r="AT196" i="50"/>
  <c r="D37" i="55" a="1"/>
  <c r="D37" i="55" s="1"/>
  <c r="A41" i="55" s="1" a="1"/>
  <c r="L57" i="55" s="1" a="1"/>
  <c r="L57" i="55" s="1"/>
  <c r="B43" i="45" a="1"/>
  <c r="B43" i="45" s="1"/>
  <c r="B42" i="45" a="1"/>
  <c r="B42" i="45" s="1"/>
  <c r="B41" i="45" a="1"/>
  <c r="B41" i="45" s="1"/>
  <c r="B40" i="45" a="1"/>
  <c r="B40" i="45" s="1"/>
  <c r="B39" i="45" a="1"/>
  <c r="B39" i="45" s="1"/>
  <c r="B38" i="45" a="1"/>
  <c r="B38" i="45" s="1"/>
  <c r="B37" i="45" a="1"/>
  <c r="B37" i="45" s="1"/>
  <c r="B36" i="45" a="1"/>
  <c r="B36" i="45" s="1"/>
  <c r="Q5" i="51"/>
  <c r="Q6" i="51"/>
  <c r="Q7" i="51"/>
  <c r="AC7" i="51" s="1"/>
  <c r="Q8" i="51"/>
  <c r="AC8" i="51" s="1"/>
  <c r="Q9" i="51"/>
  <c r="AC9" i="51" s="1"/>
  <c r="Q10" i="51"/>
  <c r="AC10" i="51" s="1"/>
  <c r="Q11" i="51"/>
  <c r="Q12" i="51"/>
  <c r="Q13" i="51"/>
  <c r="AC13" i="51" s="1"/>
  <c r="Q14" i="51"/>
  <c r="Q15" i="51"/>
  <c r="Q16" i="51"/>
  <c r="Q17" i="51"/>
  <c r="Q18" i="51"/>
  <c r="Q19" i="51"/>
  <c r="Q20" i="51"/>
  <c r="Q21" i="51"/>
  <c r="Q22" i="51"/>
  <c r="Q23" i="51"/>
  <c r="Q24" i="51"/>
  <c r="Q25" i="51"/>
  <c r="Q26" i="51"/>
  <c r="W26" i="51" s="1"/>
  <c r="Q27" i="51"/>
  <c r="Q28" i="51"/>
  <c r="AC28" i="51" s="1"/>
  <c r="Q29" i="51"/>
  <c r="AC29" i="51" s="1"/>
  <c r="Q30" i="51"/>
  <c r="AC30" i="51" s="1"/>
  <c r="Q31" i="51"/>
  <c r="Q32" i="51"/>
  <c r="Q33" i="51"/>
  <c r="AC33" i="51" s="1"/>
  <c r="Q34" i="51"/>
  <c r="Q35" i="51"/>
  <c r="Q36" i="51"/>
  <c r="Q37" i="51"/>
  <c r="Q38" i="51"/>
  <c r="Q39" i="51"/>
  <c r="Q40" i="51"/>
  <c r="AC40" i="51" s="1"/>
  <c r="Q41" i="51"/>
  <c r="Q42" i="51"/>
  <c r="V5" i="51"/>
  <c r="W5" i="51" s="1"/>
  <c r="V6" i="51"/>
  <c r="V7" i="51"/>
  <c r="V8" i="51"/>
  <c r="V9" i="51"/>
  <c r="V10" i="51"/>
  <c r="V11" i="51"/>
  <c r="V12" i="51"/>
  <c r="V13" i="51"/>
  <c r="W13" i="51"/>
  <c r="V14" i="51"/>
  <c r="W14" i="51" s="1"/>
  <c r="V15" i="51"/>
  <c r="V16" i="51"/>
  <c r="W16" i="51" s="1"/>
  <c r="V17" i="51"/>
  <c r="W17" i="51" s="1"/>
  <c r="V18" i="51"/>
  <c r="W18" i="51" s="1"/>
  <c r="V19" i="51"/>
  <c r="W19" i="51" s="1"/>
  <c r="V20" i="51"/>
  <c r="W20" i="51"/>
  <c r="V21" i="51"/>
  <c r="W21" i="51" s="1"/>
  <c r="V22" i="51"/>
  <c r="W22" i="51" s="1"/>
  <c r="V23" i="51"/>
  <c r="V24" i="51"/>
  <c r="V25" i="51"/>
  <c r="V26" i="51"/>
  <c r="V27" i="51"/>
  <c r="V28" i="51"/>
  <c r="V29" i="51"/>
  <c r="V30" i="51"/>
  <c r="V31" i="51"/>
  <c r="W31" i="51" s="1"/>
  <c r="V32" i="51"/>
  <c r="W32" i="51" s="1"/>
  <c r="V33" i="51"/>
  <c r="W33" i="51" s="1"/>
  <c r="V34" i="51"/>
  <c r="W34" i="51" s="1"/>
  <c r="V35" i="51"/>
  <c r="V36" i="51"/>
  <c r="V37" i="51"/>
  <c r="V38" i="51"/>
  <c r="V39" i="51"/>
  <c r="V40" i="51"/>
  <c r="V41" i="51"/>
  <c r="V42" i="51"/>
  <c r="AC5" i="51"/>
  <c r="AC16" i="51"/>
  <c r="AC19" i="51"/>
  <c r="AC20" i="51"/>
  <c r="AC21" i="51"/>
  <c r="L34" i="57"/>
  <c r="M34" i="57"/>
  <c r="N34" i="57"/>
  <c r="L25" i="57"/>
  <c r="M25" i="57"/>
  <c r="N25" i="57"/>
  <c r="L26" i="57"/>
  <c r="M26" i="57"/>
  <c r="N26" i="57"/>
  <c r="L27" i="57"/>
  <c r="M27" i="57"/>
  <c r="N27" i="57"/>
  <c r="L28" i="57"/>
  <c r="M28" i="57"/>
  <c r="N28" i="57"/>
  <c r="L29" i="57"/>
  <c r="M29" i="57"/>
  <c r="N29" i="57"/>
  <c r="L30" i="57"/>
  <c r="M30" i="57"/>
  <c r="N30" i="57"/>
  <c r="L31" i="57"/>
  <c r="M31" i="57"/>
  <c r="N31" i="57"/>
  <c r="L32" i="57"/>
  <c r="M32" i="57"/>
  <c r="N32" i="57"/>
  <c r="L33" i="57"/>
  <c r="M33" i="57"/>
  <c r="N33" i="57"/>
  <c r="A10" i="57" a="1"/>
  <c r="B9" i="57"/>
  <c r="C5" i="57"/>
  <c r="AC41" i="51"/>
  <c r="W61" i="50"/>
  <c r="W203" i="50"/>
  <c r="AC15" i="51"/>
  <c r="AC14" i="51"/>
  <c r="W39" i="51"/>
  <c r="W15" i="51"/>
  <c r="D750" i="55" a="1"/>
  <c r="D750" i="55" s="1"/>
  <c r="A754" i="55" s="1" a="1"/>
  <c r="K778" i="55" s="1" a="1"/>
  <c r="K778" i="55" s="1"/>
  <c r="D719" i="55" a="1"/>
  <c r="D719" i="55" s="1"/>
  <c r="A723" i="55" s="1" a="1"/>
  <c r="L738" i="55" s="1" a="1"/>
  <c r="L738" i="55" s="1"/>
  <c r="D688" i="55" a="1"/>
  <c r="D688" i="55" s="1"/>
  <c r="A692" i="55" s="1" a="1"/>
  <c r="L707" i="55" s="1" a="1"/>
  <c r="L707" i="55" s="1"/>
  <c r="D657" i="55" a="1"/>
  <c r="D657" i="55" s="1"/>
  <c r="A661" i="55" s="1" a="1"/>
  <c r="D626" i="55" a="1"/>
  <c r="D626" i="55" s="1"/>
  <c r="A630" i="55" s="1" a="1"/>
  <c r="L645" i="55" s="1" a="1"/>
  <c r="L645" i="55" s="1"/>
  <c r="D595" i="55" a="1"/>
  <c r="D595" i="55" s="1"/>
  <c r="A599" i="55" s="1" a="1"/>
  <c r="L614" i="55" s="1" a="1"/>
  <c r="L614" i="55" s="1"/>
  <c r="D564" i="55" a="1"/>
  <c r="D564" i="55" s="1"/>
  <c r="A568" i="55" s="1" a="1"/>
  <c r="B751" i="55"/>
  <c r="L749" i="55" a="1"/>
  <c r="L749" i="55" s="1"/>
  <c r="K749" i="55" a="1"/>
  <c r="K749" i="55" s="1"/>
  <c r="L748" i="55" a="1"/>
  <c r="L748" i="55" s="1"/>
  <c r="K748" i="55" a="1"/>
  <c r="K748" i="55" s="1"/>
  <c r="L747" i="55" a="1"/>
  <c r="L747" i="55" s="1"/>
  <c r="K747" i="55" a="1"/>
  <c r="K747" i="55" s="1"/>
  <c r="L746" i="55" a="1"/>
  <c r="L746" i="55" s="1"/>
  <c r="K746" i="55" a="1"/>
  <c r="K746" i="55" s="1"/>
  <c r="L745" i="55" a="1"/>
  <c r="L745" i="55" s="1"/>
  <c r="K745" i="55" a="1"/>
  <c r="K745" i="55" s="1"/>
  <c r="L744" i="55" a="1"/>
  <c r="L744" i="55" s="1"/>
  <c r="K744" i="55" a="1"/>
  <c r="K744" i="55" s="1"/>
  <c r="L743" i="55" a="1"/>
  <c r="L743" i="55" s="1"/>
  <c r="K743" i="55" a="1"/>
  <c r="K743" i="55" s="1"/>
  <c r="L742" i="55" a="1"/>
  <c r="L742" i="55" s="1"/>
  <c r="K742" i="55" a="1"/>
  <c r="K742" i="55" s="1"/>
  <c r="L741" i="55" a="1"/>
  <c r="L741" i="55" s="1"/>
  <c r="K741" i="55" a="1"/>
  <c r="K741" i="55" s="1"/>
  <c r="L740" i="55" a="1"/>
  <c r="L740" i="55" s="1"/>
  <c r="K740" i="55" a="1"/>
  <c r="K740" i="55" s="1"/>
  <c r="L739" i="55" a="1"/>
  <c r="L739" i="55" s="1"/>
  <c r="K739" i="55" a="1"/>
  <c r="K739" i="55" s="1"/>
  <c r="B720" i="55"/>
  <c r="L718" i="55" a="1"/>
  <c r="L718" i="55" s="1"/>
  <c r="K718" i="55" a="1"/>
  <c r="K718" i="55" s="1"/>
  <c r="L717" i="55" a="1"/>
  <c r="L717" i="55" s="1"/>
  <c r="K717" i="55" a="1"/>
  <c r="K717" i="55" s="1"/>
  <c r="L716" i="55" a="1"/>
  <c r="L716" i="55" s="1"/>
  <c r="K716" i="55" a="1"/>
  <c r="K716" i="55" s="1"/>
  <c r="L715" i="55" a="1"/>
  <c r="L715" i="55" s="1"/>
  <c r="K715" i="55" a="1"/>
  <c r="K715" i="55" s="1"/>
  <c r="L714" i="55" a="1"/>
  <c r="L714" i="55" s="1"/>
  <c r="K714" i="55" a="1"/>
  <c r="K714" i="55" s="1"/>
  <c r="L713" i="55" a="1"/>
  <c r="L713" i="55" s="1"/>
  <c r="K713" i="55" a="1"/>
  <c r="K713" i="55" s="1"/>
  <c r="L712" i="55" a="1"/>
  <c r="L712" i="55" s="1"/>
  <c r="K712" i="55" a="1"/>
  <c r="K712" i="55" s="1"/>
  <c r="L711" i="55" a="1"/>
  <c r="L711" i="55" s="1"/>
  <c r="K711" i="55" a="1"/>
  <c r="K711" i="55" s="1"/>
  <c r="L710" i="55" a="1"/>
  <c r="L710" i="55" s="1"/>
  <c r="K710" i="55" a="1"/>
  <c r="K710" i="55" s="1"/>
  <c r="L709" i="55" a="1"/>
  <c r="L709" i="55" s="1"/>
  <c r="K709" i="55" a="1"/>
  <c r="K709" i="55" s="1"/>
  <c r="L708" i="55" a="1"/>
  <c r="L708" i="55" s="1"/>
  <c r="K708" i="55" a="1"/>
  <c r="K708" i="55" s="1"/>
  <c r="B689" i="55"/>
  <c r="L687" i="55" a="1"/>
  <c r="L687" i="55" s="1"/>
  <c r="K687" i="55" a="1"/>
  <c r="K687" i="55" s="1"/>
  <c r="L686" i="55" a="1"/>
  <c r="L686" i="55" s="1"/>
  <c r="K686" i="55" a="1"/>
  <c r="K686" i="55" s="1"/>
  <c r="L685" i="55" a="1"/>
  <c r="L685" i="55" s="1"/>
  <c r="K685" i="55" a="1"/>
  <c r="K685" i="55" s="1"/>
  <c r="L684" i="55" a="1"/>
  <c r="L684" i="55" s="1"/>
  <c r="K684" i="55" a="1"/>
  <c r="K684" i="55" s="1"/>
  <c r="L683" i="55" a="1"/>
  <c r="L683" i="55" s="1"/>
  <c r="K683" i="55" a="1"/>
  <c r="K683" i="55" s="1"/>
  <c r="L682" i="55" a="1"/>
  <c r="L682" i="55" s="1"/>
  <c r="K682" i="55" a="1"/>
  <c r="K682" i="55" s="1"/>
  <c r="L681" i="55" a="1"/>
  <c r="L681" i="55" s="1"/>
  <c r="K681" i="55" a="1"/>
  <c r="K681" i="55" s="1"/>
  <c r="L680" i="55" a="1"/>
  <c r="L680" i="55" s="1"/>
  <c r="K680" i="55" a="1"/>
  <c r="K680" i="55" s="1"/>
  <c r="B658" i="55"/>
  <c r="L656" i="55" a="1"/>
  <c r="L656" i="55" s="1"/>
  <c r="K656" i="55" a="1"/>
  <c r="K656" i="55" s="1"/>
  <c r="L655" i="55" a="1"/>
  <c r="L655" i="55" s="1"/>
  <c r="K655" i="55" a="1"/>
  <c r="K655" i="55" s="1"/>
  <c r="L654" i="55" a="1"/>
  <c r="L654" i="55" s="1"/>
  <c r="K654" i="55" a="1"/>
  <c r="K654" i="55" s="1"/>
  <c r="L653" i="55" a="1"/>
  <c r="L653" i="55" s="1"/>
  <c r="K653" i="55" a="1"/>
  <c r="K653" i="55" s="1"/>
  <c r="L652" i="55" a="1"/>
  <c r="L652" i="55" s="1"/>
  <c r="K652" i="55" a="1"/>
  <c r="K652" i="55" s="1"/>
  <c r="L651" i="55" a="1"/>
  <c r="L651" i="55" s="1"/>
  <c r="K651" i="55" a="1"/>
  <c r="K651" i="55" s="1"/>
  <c r="L650" i="55" a="1"/>
  <c r="L650" i="55" s="1"/>
  <c r="K650" i="55" a="1"/>
  <c r="K650" i="55" s="1"/>
  <c r="L649" i="55" a="1"/>
  <c r="L649" i="55" s="1"/>
  <c r="K649" i="55" a="1"/>
  <c r="K649" i="55" s="1"/>
  <c r="L648" i="55" a="1"/>
  <c r="L648" i="55" s="1"/>
  <c r="K648" i="55" a="1"/>
  <c r="K648" i="55" s="1"/>
  <c r="L647" i="55" a="1"/>
  <c r="L647" i="55" s="1"/>
  <c r="K647" i="55" a="1"/>
  <c r="K647" i="55" s="1"/>
  <c r="L646" i="55" a="1"/>
  <c r="L646" i="55" s="1"/>
  <c r="K646" i="55" a="1"/>
  <c r="K646" i="55" s="1"/>
  <c r="B627" i="55"/>
  <c r="L625" i="55" a="1"/>
  <c r="L625" i="55" s="1"/>
  <c r="K625" i="55" a="1"/>
  <c r="K625" i="55" s="1"/>
  <c r="L624" i="55" a="1"/>
  <c r="L624" i="55" s="1"/>
  <c r="K624" i="55" a="1"/>
  <c r="K624" i="55" s="1"/>
  <c r="L623" i="55" a="1"/>
  <c r="L623" i="55" s="1"/>
  <c r="K623" i="55" a="1"/>
  <c r="K623" i="55" s="1"/>
  <c r="L622" i="55" a="1"/>
  <c r="L622" i="55" s="1"/>
  <c r="K622" i="55" a="1"/>
  <c r="K622" i="55" s="1"/>
  <c r="L621" i="55" a="1"/>
  <c r="L621" i="55" s="1"/>
  <c r="K621" i="55" a="1"/>
  <c r="K621" i="55" s="1"/>
  <c r="L620" i="55" a="1"/>
  <c r="L620" i="55" s="1"/>
  <c r="K620" i="55" a="1"/>
  <c r="K620" i="55" s="1"/>
  <c r="L619" i="55" a="1"/>
  <c r="L619" i="55" s="1"/>
  <c r="K619" i="55" a="1"/>
  <c r="K619" i="55" s="1"/>
  <c r="L618" i="55" a="1"/>
  <c r="L618" i="55" s="1"/>
  <c r="K618" i="55" a="1"/>
  <c r="K618" i="55" s="1"/>
  <c r="L617" i="55" a="1"/>
  <c r="L617" i="55" s="1"/>
  <c r="K617" i="55" a="1"/>
  <c r="K617" i="55" s="1"/>
  <c r="L616" i="55" a="1"/>
  <c r="L616" i="55" s="1"/>
  <c r="K616" i="55" a="1"/>
  <c r="K616" i="55" s="1"/>
  <c r="L615" i="55" a="1"/>
  <c r="L615" i="55" s="1"/>
  <c r="K615" i="55" a="1"/>
  <c r="K615" i="55" s="1"/>
  <c r="B596" i="55"/>
  <c r="L594" i="55" a="1"/>
  <c r="L594" i="55" s="1"/>
  <c r="K594" i="55" a="1"/>
  <c r="K594" i="55" s="1"/>
  <c r="L593" i="55" a="1"/>
  <c r="L593" i="55" s="1"/>
  <c r="K593" i="55" a="1"/>
  <c r="K593" i="55" s="1"/>
  <c r="L592" i="55" a="1"/>
  <c r="L592" i="55" s="1"/>
  <c r="K592" i="55" a="1"/>
  <c r="K592" i="55" s="1"/>
  <c r="L591" i="55" a="1"/>
  <c r="L591" i="55" s="1"/>
  <c r="K591" i="55" a="1"/>
  <c r="K591" i="55" s="1"/>
  <c r="L590" i="55" a="1"/>
  <c r="L590" i="55" s="1"/>
  <c r="K590" i="55" a="1"/>
  <c r="K590" i="55" s="1"/>
  <c r="L589" i="55" a="1"/>
  <c r="L589" i="55" s="1"/>
  <c r="K589" i="55" a="1"/>
  <c r="K589" i="55" s="1"/>
  <c r="L588" i="55" a="1"/>
  <c r="L588" i="55" s="1"/>
  <c r="K588" i="55" a="1"/>
  <c r="K588" i="55" s="1"/>
  <c r="L587" i="55" a="1"/>
  <c r="L587" i="55" s="1"/>
  <c r="K587" i="55" a="1"/>
  <c r="K587" i="55" s="1"/>
  <c r="L586" i="55" a="1"/>
  <c r="L586" i="55" s="1"/>
  <c r="K586" i="55" a="1"/>
  <c r="K586" i="55" s="1"/>
  <c r="L585" i="55" a="1"/>
  <c r="L585" i="55" s="1"/>
  <c r="K585" i="55" a="1"/>
  <c r="K585" i="55" s="1"/>
  <c r="L584" i="55" a="1"/>
  <c r="L584" i="55" s="1"/>
  <c r="K584" i="55" a="1"/>
  <c r="K584" i="55" s="1"/>
  <c r="B565" i="55"/>
  <c r="K678" i="55" a="1"/>
  <c r="K678" i="55" s="1"/>
  <c r="L677" i="55" a="1"/>
  <c r="L677" i="55" s="1"/>
  <c r="K677" i="55" a="1"/>
  <c r="K677" i="55" s="1"/>
  <c r="L679" i="55" a="1"/>
  <c r="L679" i="55" s="1"/>
  <c r="L678" i="55" a="1"/>
  <c r="L678" i="55" s="1"/>
  <c r="K679" i="55" a="1"/>
  <c r="K679" i="55" s="1"/>
  <c r="D533" i="55" a="1"/>
  <c r="D533" i="55" s="1"/>
  <c r="A537" i="55" s="1" a="1"/>
  <c r="L552" i="55" s="1" a="1"/>
  <c r="L552" i="55" s="1"/>
  <c r="D502" i="55" a="1"/>
  <c r="D502" i="55" s="1"/>
  <c r="A506" i="55" s="1" a="1"/>
  <c r="D471" i="55" a="1"/>
  <c r="D471" i="55" s="1"/>
  <c r="A475" i="55" s="1" a="1"/>
  <c r="K476" i="55" s="1" a="1"/>
  <c r="K476" i="55" s="1"/>
  <c r="D440" i="55" a="1"/>
  <c r="D440" i="55" s="1"/>
  <c r="A444" i="55" s="1" a="1"/>
  <c r="K449" i="55" s="1" a="1"/>
  <c r="K449" i="55" s="1"/>
  <c r="D409" i="55" a="1"/>
  <c r="D409" i="55" s="1"/>
  <c r="A413" i="55" s="1" a="1"/>
  <c r="D378" i="55" a="1"/>
  <c r="D378" i="55" s="1"/>
  <c r="A382" i="55" s="1" a="1"/>
  <c r="L389" i="55" s="1" a="1"/>
  <c r="L389" i="55" s="1"/>
  <c r="D347" i="55" a="1"/>
  <c r="D347" i="55" s="1"/>
  <c r="A351" i="55" s="1" a="1"/>
  <c r="D316" i="55" a="1"/>
  <c r="D316" i="55" s="1"/>
  <c r="A320" i="55" s="1" a="1"/>
  <c r="L339" i="55" s="1" a="1"/>
  <c r="L339" i="55" s="1"/>
  <c r="D285" i="55" a="1"/>
  <c r="D285" i="55" s="1"/>
  <c r="A289" i="55" s="1" a="1"/>
  <c r="D254" i="55" a="1"/>
  <c r="D254" i="55" s="1"/>
  <c r="A258" i="55" s="1" a="1"/>
  <c r="D223" i="55" a="1"/>
  <c r="D223" i="55" s="1"/>
  <c r="A227" i="55" s="1" a="1"/>
  <c r="A196" i="55" a="1"/>
  <c r="D161" i="55" a="1"/>
  <c r="D161" i="55" s="1"/>
  <c r="A165" i="55" s="1" a="1"/>
  <c r="D130" i="55" a="1"/>
  <c r="D130" i="55" s="1"/>
  <c r="A134" i="55" s="1" a="1"/>
  <c r="K154" i="55" s="1" a="1"/>
  <c r="K154" i="55" s="1"/>
  <c r="D99" i="55" a="1"/>
  <c r="D99" i="55" s="1"/>
  <c r="A103" i="55" s="1" a="1"/>
  <c r="K115" i="55" s="1" a="1"/>
  <c r="K115" i="55" s="1"/>
  <c r="D68" i="55" a="1"/>
  <c r="D68" i="55" s="1"/>
  <c r="A72" i="55" s="1" a="1"/>
  <c r="D5" i="55" a="1"/>
  <c r="D5" i="55" s="1"/>
  <c r="A9" i="55" s="1" a="1"/>
  <c r="L563" i="55" a="1"/>
  <c r="L563" i="55" s="1"/>
  <c r="K563" i="55" a="1"/>
  <c r="K563" i="55" s="1"/>
  <c r="L562" i="55" a="1"/>
  <c r="L562" i="55" s="1"/>
  <c r="K562" i="55" a="1"/>
  <c r="K562" i="55" s="1"/>
  <c r="L561" i="55" a="1"/>
  <c r="L561" i="55" s="1"/>
  <c r="K561" i="55" a="1"/>
  <c r="K561" i="55" s="1"/>
  <c r="L560" i="55" a="1"/>
  <c r="L560" i="55" s="1"/>
  <c r="K560" i="55" a="1"/>
  <c r="K560" i="55" s="1"/>
  <c r="L559" i="55" a="1"/>
  <c r="L559" i="55" s="1"/>
  <c r="K559" i="55" a="1"/>
  <c r="K559" i="55" s="1"/>
  <c r="L558" i="55" a="1"/>
  <c r="L558" i="55" s="1"/>
  <c r="K558" i="55" a="1"/>
  <c r="K558" i="55" s="1"/>
  <c r="L557" i="55" a="1"/>
  <c r="L557" i="55" s="1"/>
  <c r="K557" i="55" a="1"/>
  <c r="K557" i="55" s="1"/>
  <c r="L556" i="55" a="1"/>
  <c r="L556" i="55" s="1"/>
  <c r="K556" i="55" a="1"/>
  <c r="K556" i="55" s="1"/>
  <c r="L532" i="55" a="1"/>
  <c r="L532" i="55" s="1"/>
  <c r="K532" i="55" a="1"/>
  <c r="K532" i="55" s="1"/>
  <c r="L531" i="55" a="1"/>
  <c r="L531" i="55" s="1"/>
  <c r="K531" i="55" a="1"/>
  <c r="K531" i="55" s="1"/>
  <c r="L530" i="55" a="1"/>
  <c r="L530" i="55" s="1"/>
  <c r="K530" i="55" a="1"/>
  <c r="K530" i="55" s="1"/>
  <c r="L529" i="55" a="1"/>
  <c r="L529" i="55" s="1"/>
  <c r="K529" i="55" a="1"/>
  <c r="K529" i="55" s="1"/>
  <c r="L528" i="55" a="1"/>
  <c r="L528" i="55" s="1"/>
  <c r="K528" i="55" a="1"/>
  <c r="K528" i="55" s="1"/>
  <c r="L527" i="55" a="1"/>
  <c r="L527" i="55" s="1"/>
  <c r="K527" i="55" a="1"/>
  <c r="K527" i="55" s="1"/>
  <c r="L526" i="55" a="1"/>
  <c r="L526" i="55" s="1"/>
  <c r="K526" i="55" a="1"/>
  <c r="K526" i="55" s="1"/>
  <c r="L525" i="55" a="1"/>
  <c r="L525" i="55" s="1"/>
  <c r="K525" i="55" a="1"/>
  <c r="K525" i="55" s="1"/>
  <c r="L501" i="55" a="1"/>
  <c r="L501" i="55" s="1"/>
  <c r="K501" i="55" a="1"/>
  <c r="K501" i="55" s="1"/>
  <c r="L500" i="55" a="1"/>
  <c r="L500" i="55" s="1"/>
  <c r="K500" i="55" a="1"/>
  <c r="K500" i="55" s="1"/>
  <c r="L499" i="55" a="1"/>
  <c r="L499" i="55" s="1"/>
  <c r="K499" i="55" a="1"/>
  <c r="K499" i="55" s="1"/>
  <c r="L498" i="55" a="1"/>
  <c r="L498" i="55" s="1"/>
  <c r="K498" i="55" a="1"/>
  <c r="K498" i="55" s="1"/>
  <c r="L497" i="55" a="1"/>
  <c r="L497" i="55" s="1"/>
  <c r="K497" i="55" a="1"/>
  <c r="K497" i="55" s="1"/>
  <c r="L496" i="55" a="1"/>
  <c r="L496" i="55" s="1"/>
  <c r="K496" i="55" a="1"/>
  <c r="K496" i="55" s="1"/>
  <c r="L495" i="55" a="1"/>
  <c r="L495" i="55" s="1"/>
  <c r="K495" i="55" a="1"/>
  <c r="K495" i="55" s="1"/>
  <c r="L494" i="55" a="1"/>
  <c r="L494" i="55" s="1"/>
  <c r="K494" i="55" a="1"/>
  <c r="K494" i="55" s="1"/>
  <c r="L470" i="55" a="1"/>
  <c r="L470" i="55" s="1"/>
  <c r="K470" i="55" a="1"/>
  <c r="K470" i="55" s="1"/>
  <c r="L469" i="55" a="1"/>
  <c r="L469" i="55" s="1"/>
  <c r="K469" i="55" a="1"/>
  <c r="K469" i="55" s="1"/>
  <c r="L468" i="55" a="1"/>
  <c r="L468" i="55" s="1"/>
  <c r="K468" i="55" a="1"/>
  <c r="K468" i="55" s="1"/>
  <c r="L467" i="55" a="1"/>
  <c r="L467" i="55" s="1"/>
  <c r="K467" i="55" a="1"/>
  <c r="K467" i="55" s="1"/>
  <c r="L466" i="55" a="1"/>
  <c r="L466" i="55" s="1"/>
  <c r="K466" i="55" a="1"/>
  <c r="K466" i="55" s="1"/>
  <c r="L465" i="55" a="1"/>
  <c r="L465" i="55" s="1"/>
  <c r="K465" i="55" a="1"/>
  <c r="K465" i="55" s="1"/>
  <c r="L464" i="55" a="1"/>
  <c r="L464" i="55" s="1"/>
  <c r="K464" i="55" a="1"/>
  <c r="K464" i="55" s="1"/>
  <c r="L463" i="55" a="1"/>
  <c r="L463" i="55" s="1"/>
  <c r="K463" i="55" a="1"/>
  <c r="K463" i="55" s="1"/>
  <c r="L439" i="55" a="1"/>
  <c r="L439" i="55" s="1"/>
  <c r="K439" i="55" a="1"/>
  <c r="K439" i="55" s="1"/>
  <c r="L438" i="55" a="1"/>
  <c r="L438" i="55" s="1"/>
  <c r="K438" i="55" a="1"/>
  <c r="K438" i="55" s="1"/>
  <c r="L437" i="55" a="1"/>
  <c r="L437" i="55" s="1"/>
  <c r="K437" i="55" a="1"/>
  <c r="K437" i="55" s="1"/>
  <c r="L436" i="55" a="1"/>
  <c r="L436" i="55" s="1"/>
  <c r="K436" i="55" a="1"/>
  <c r="K436" i="55" s="1"/>
  <c r="L435" i="55" a="1"/>
  <c r="L435" i="55" s="1"/>
  <c r="K435" i="55" a="1"/>
  <c r="K435" i="55" s="1"/>
  <c r="L434" i="55" a="1"/>
  <c r="L434" i="55" s="1"/>
  <c r="K434" i="55" a="1"/>
  <c r="K434" i="55" s="1"/>
  <c r="L433" i="55" a="1"/>
  <c r="L433" i="55" s="1"/>
  <c r="K433" i="55" a="1"/>
  <c r="K433" i="55" s="1"/>
  <c r="L432" i="55" a="1"/>
  <c r="L432" i="55" s="1"/>
  <c r="K432" i="55" a="1"/>
  <c r="K432" i="55" s="1"/>
  <c r="L408" i="55" a="1"/>
  <c r="L408" i="55" s="1"/>
  <c r="K408" i="55" a="1"/>
  <c r="K408" i="55" s="1"/>
  <c r="L407" i="55" a="1"/>
  <c r="L407" i="55" s="1"/>
  <c r="K407" i="55" a="1"/>
  <c r="K407" i="55" s="1"/>
  <c r="L406" i="55" a="1"/>
  <c r="L406" i="55" s="1"/>
  <c r="K406" i="55" a="1"/>
  <c r="K406" i="55" s="1"/>
  <c r="L405" i="55" a="1"/>
  <c r="L405" i="55" s="1"/>
  <c r="K405" i="55" a="1"/>
  <c r="K405" i="55" s="1"/>
  <c r="L404" i="55" a="1"/>
  <c r="L404" i="55" s="1"/>
  <c r="K404" i="55" a="1"/>
  <c r="K404" i="55" s="1"/>
  <c r="L403" i="55" a="1"/>
  <c r="L403" i="55" s="1"/>
  <c r="K403" i="55" a="1"/>
  <c r="K403" i="55" s="1"/>
  <c r="L402" i="55" a="1"/>
  <c r="L402" i="55" s="1"/>
  <c r="K402" i="55" a="1"/>
  <c r="K402" i="55" s="1"/>
  <c r="L401" i="55" a="1"/>
  <c r="L401" i="55" s="1"/>
  <c r="K401" i="55" a="1"/>
  <c r="K401" i="55" s="1"/>
  <c r="L377" i="55" a="1"/>
  <c r="L377" i="55" s="1"/>
  <c r="K377" i="55" a="1"/>
  <c r="K377" i="55" s="1"/>
  <c r="L376" i="55" a="1"/>
  <c r="L376" i="55" s="1"/>
  <c r="K376" i="55" a="1"/>
  <c r="K376" i="55" s="1"/>
  <c r="L375" i="55" a="1"/>
  <c r="L375" i="55" s="1"/>
  <c r="K375" i="55" a="1"/>
  <c r="K375" i="55" s="1"/>
  <c r="L374" i="55" a="1"/>
  <c r="L374" i="55" s="1"/>
  <c r="K374" i="55" a="1"/>
  <c r="K374" i="55" s="1"/>
  <c r="L373" i="55" a="1"/>
  <c r="L373" i="55" s="1"/>
  <c r="K373" i="55" a="1"/>
  <c r="K373" i="55" s="1"/>
  <c r="L372" i="55" a="1"/>
  <c r="L372" i="55" s="1"/>
  <c r="K372" i="55" a="1"/>
  <c r="K372" i="55" s="1"/>
  <c r="L371" i="55" a="1"/>
  <c r="L371" i="55" s="1"/>
  <c r="K371" i="55" a="1"/>
  <c r="K371" i="55" s="1"/>
  <c r="L370" i="55" a="1"/>
  <c r="L370" i="55" s="1"/>
  <c r="K370" i="55" a="1"/>
  <c r="K370" i="55" s="1"/>
  <c r="L346" i="55" a="1"/>
  <c r="L346" i="55" s="1"/>
  <c r="K346" i="55" a="1"/>
  <c r="K346" i="55" s="1"/>
  <c r="L345" i="55" a="1"/>
  <c r="L345" i="55" s="1"/>
  <c r="K345" i="55" a="1"/>
  <c r="K345" i="55" s="1"/>
  <c r="L344" i="55" a="1"/>
  <c r="L344" i="55" s="1"/>
  <c r="K344" i="55" a="1"/>
  <c r="K344" i="55" s="1"/>
  <c r="L343" i="55" a="1"/>
  <c r="L343" i="55" s="1"/>
  <c r="K343" i="55" a="1"/>
  <c r="K343" i="55" s="1"/>
  <c r="L342" i="55" a="1"/>
  <c r="L342" i="55" s="1"/>
  <c r="K342" i="55" a="1"/>
  <c r="K342" i="55" s="1"/>
  <c r="L341" i="55" a="1"/>
  <c r="L341" i="55" s="1"/>
  <c r="K341" i="55" a="1"/>
  <c r="K341" i="55" s="1"/>
  <c r="L340" i="55" a="1"/>
  <c r="L340" i="55" s="1"/>
  <c r="K340" i="55" a="1"/>
  <c r="K340" i="55" s="1"/>
  <c r="L315" i="55" a="1"/>
  <c r="L315" i="55" s="1"/>
  <c r="K315" i="55" a="1"/>
  <c r="K315" i="55" s="1"/>
  <c r="L314" i="55" a="1"/>
  <c r="L314" i="55" s="1"/>
  <c r="K314" i="55" a="1"/>
  <c r="K314" i="55" s="1"/>
  <c r="L313" i="55" a="1"/>
  <c r="L313" i="55" s="1"/>
  <c r="K313" i="55" a="1"/>
  <c r="K313" i="55" s="1"/>
  <c r="L312" i="55" a="1"/>
  <c r="L312" i="55" s="1"/>
  <c r="K312" i="55" a="1"/>
  <c r="K312" i="55" s="1"/>
  <c r="L311" i="55" a="1"/>
  <c r="L311" i="55" s="1"/>
  <c r="K311" i="55" a="1"/>
  <c r="K311" i="55" s="1"/>
  <c r="L310" i="55" a="1"/>
  <c r="L310" i="55" s="1"/>
  <c r="K310" i="55" a="1"/>
  <c r="K310" i="55" s="1"/>
  <c r="L309" i="55" a="1"/>
  <c r="L309" i="55" s="1"/>
  <c r="K309" i="55" a="1"/>
  <c r="K309" i="55" s="1"/>
  <c r="L308" i="55" a="1"/>
  <c r="L308" i="55" s="1"/>
  <c r="K308" i="55" a="1"/>
  <c r="K308" i="55" s="1"/>
  <c r="L284" i="55" a="1"/>
  <c r="L284" i="55" s="1"/>
  <c r="K284" i="55" a="1"/>
  <c r="K284" i="55" s="1"/>
  <c r="L283" i="55" a="1"/>
  <c r="L283" i="55" s="1"/>
  <c r="K283" i="55" a="1"/>
  <c r="K283" i="55" s="1"/>
  <c r="L282" i="55" a="1"/>
  <c r="L282" i="55" s="1"/>
  <c r="K282" i="55" a="1"/>
  <c r="K282" i="55" s="1"/>
  <c r="L281" i="55" a="1"/>
  <c r="L281" i="55" s="1"/>
  <c r="K281" i="55" a="1"/>
  <c r="K281" i="55" s="1"/>
  <c r="L280" i="55" a="1"/>
  <c r="L280" i="55" s="1"/>
  <c r="K280" i="55" a="1"/>
  <c r="K280" i="55" s="1"/>
  <c r="L279" i="55" a="1"/>
  <c r="L279" i="55" s="1"/>
  <c r="K279" i="55" a="1"/>
  <c r="K279" i="55" s="1"/>
  <c r="L253" i="55" a="1"/>
  <c r="L253" i="55" s="1"/>
  <c r="K253" i="55" a="1"/>
  <c r="K253" i="55" s="1"/>
  <c r="L252" i="55" a="1"/>
  <c r="L252" i="55" s="1"/>
  <c r="K252" i="55" a="1"/>
  <c r="K252" i="55" s="1"/>
  <c r="L251" i="55" a="1"/>
  <c r="L251" i="55" s="1"/>
  <c r="K251" i="55" a="1"/>
  <c r="K251" i="55" s="1"/>
  <c r="L250" i="55" a="1"/>
  <c r="L250" i="55" s="1"/>
  <c r="K250" i="55" a="1"/>
  <c r="K250" i="55" s="1"/>
  <c r="L249" i="55" a="1"/>
  <c r="L249" i="55" s="1"/>
  <c r="K249" i="55" a="1"/>
  <c r="K249" i="55" s="1"/>
  <c r="L248" i="55" a="1"/>
  <c r="L248" i="55" s="1"/>
  <c r="K248" i="55" a="1"/>
  <c r="K248" i="55" s="1"/>
  <c r="L222" i="55" a="1"/>
  <c r="L222" i="55" s="1"/>
  <c r="K222" i="55" a="1"/>
  <c r="K222" i="55" s="1"/>
  <c r="L221" i="55" a="1"/>
  <c r="L221" i="55" s="1"/>
  <c r="K221" i="55" a="1"/>
  <c r="K221" i="55" s="1"/>
  <c r="L220" i="55" a="1"/>
  <c r="L220" i="55" s="1"/>
  <c r="K220" i="55" a="1"/>
  <c r="K220" i="55" s="1"/>
  <c r="L219" i="55" a="1"/>
  <c r="L219" i="55" s="1"/>
  <c r="K219" i="55" a="1"/>
  <c r="K219" i="55" s="1"/>
  <c r="L218" i="55" a="1"/>
  <c r="L218" i="55" s="1"/>
  <c r="K218" i="55" a="1"/>
  <c r="K218" i="55" s="1"/>
  <c r="L217" i="55" a="1"/>
  <c r="L217" i="55" s="1"/>
  <c r="K217" i="55" a="1"/>
  <c r="K217" i="55" s="1"/>
  <c r="L191" i="55" a="1"/>
  <c r="L191" i="55" s="1"/>
  <c r="K191" i="55" a="1"/>
  <c r="K191" i="55" s="1"/>
  <c r="L190" i="55" a="1"/>
  <c r="L190" i="55" s="1"/>
  <c r="K190" i="55" a="1"/>
  <c r="K190" i="55" s="1"/>
  <c r="L189" i="55" a="1"/>
  <c r="L189" i="55" s="1"/>
  <c r="K189" i="55" a="1"/>
  <c r="K189" i="55" s="1"/>
  <c r="L188" i="55" a="1"/>
  <c r="L188" i="55" s="1"/>
  <c r="K188" i="55" a="1"/>
  <c r="K188" i="55" s="1"/>
  <c r="L187" i="55" a="1"/>
  <c r="L187" i="55" s="1"/>
  <c r="K187" i="55" a="1"/>
  <c r="K187" i="55" s="1"/>
  <c r="L186" i="55" a="1"/>
  <c r="L186" i="55" s="1"/>
  <c r="K186" i="55" a="1"/>
  <c r="K186" i="55" s="1"/>
  <c r="L185" i="55" a="1"/>
  <c r="L185" i="55" s="1"/>
  <c r="K185" i="55" a="1"/>
  <c r="K185" i="55" s="1"/>
  <c r="L160" i="55" a="1"/>
  <c r="L160" i="55" s="1"/>
  <c r="K160" i="55" a="1"/>
  <c r="K160" i="55" s="1"/>
  <c r="L159" i="55" a="1"/>
  <c r="L159" i="55" s="1"/>
  <c r="K159" i="55" a="1"/>
  <c r="K159" i="55" s="1"/>
  <c r="L158" i="55" a="1"/>
  <c r="L158" i="55" s="1"/>
  <c r="K158" i="55" a="1"/>
  <c r="K158" i="55" s="1"/>
  <c r="L157" i="55" a="1"/>
  <c r="L157" i="55" s="1"/>
  <c r="K157" i="55" a="1"/>
  <c r="K157" i="55" s="1"/>
  <c r="L156" i="55" a="1"/>
  <c r="L156" i="55" s="1"/>
  <c r="K156" i="55" a="1"/>
  <c r="K156" i="55" s="1"/>
  <c r="L155" i="55" a="1"/>
  <c r="L155" i="55" s="1"/>
  <c r="K155" i="55" a="1"/>
  <c r="K155" i="55" s="1"/>
  <c r="L129" i="55" a="1"/>
  <c r="L129" i="55" s="1"/>
  <c r="K129" i="55" a="1"/>
  <c r="K129" i="55" s="1"/>
  <c r="L128" i="55" a="1"/>
  <c r="L128" i="55" s="1"/>
  <c r="K128" i="55" a="1"/>
  <c r="K128" i="55" s="1"/>
  <c r="L127" i="55" a="1"/>
  <c r="L127" i="55" s="1"/>
  <c r="K127" i="55" a="1"/>
  <c r="K127" i="55" s="1"/>
  <c r="L126" i="55" a="1"/>
  <c r="L126" i="55" s="1"/>
  <c r="K126" i="55" a="1"/>
  <c r="K126" i="55" s="1"/>
  <c r="L125" i="55" a="1"/>
  <c r="L125" i="55" s="1"/>
  <c r="K125" i="55" a="1"/>
  <c r="K125" i="55" s="1"/>
  <c r="L124" i="55" a="1"/>
  <c r="L124" i="55" s="1"/>
  <c r="K124" i="55" a="1"/>
  <c r="K124" i="55" s="1"/>
  <c r="L123" i="55" a="1"/>
  <c r="L123" i="55" s="1"/>
  <c r="K123" i="55" a="1"/>
  <c r="K123" i="55" s="1"/>
  <c r="L98" i="55" a="1"/>
  <c r="L98" i="55" s="1"/>
  <c r="K98" i="55" a="1"/>
  <c r="K98" i="55" s="1"/>
  <c r="L97" i="55" a="1"/>
  <c r="L97" i="55" s="1"/>
  <c r="K97" i="55" a="1"/>
  <c r="K97" i="55" s="1"/>
  <c r="L96" i="55" a="1"/>
  <c r="L96" i="55" s="1"/>
  <c r="K96" i="55" a="1"/>
  <c r="K96" i="55" s="1"/>
  <c r="L95" i="55" a="1"/>
  <c r="L95" i="55" s="1"/>
  <c r="K95" i="55" a="1"/>
  <c r="K95" i="55" s="1"/>
  <c r="L94" i="55" a="1"/>
  <c r="L94" i="55" s="1"/>
  <c r="K94" i="55" a="1"/>
  <c r="K94" i="55" s="1"/>
  <c r="L67" i="55" a="1"/>
  <c r="L67" i="55" s="1"/>
  <c r="K67" i="55" a="1"/>
  <c r="K67" i="55" s="1"/>
  <c r="L66" i="55" a="1"/>
  <c r="L66" i="55" s="1"/>
  <c r="K66" i="55" a="1"/>
  <c r="K66" i="55" s="1"/>
  <c r="L65" i="55" a="1"/>
  <c r="L65" i="55" s="1"/>
  <c r="K65" i="55" a="1"/>
  <c r="K65" i="55" s="1"/>
  <c r="L64" i="55" a="1"/>
  <c r="L64" i="55" s="1"/>
  <c r="K64" i="55" a="1"/>
  <c r="K64" i="55" s="1"/>
  <c r="L63" i="55" a="1"/>
  <c r="L63" i="55" s="1"/>
  <c r="K63" i="55" a="1"/>
  <c r="K63" i="55" s="1"/>
  <c r="L62" i="55" a="1"/>
  <c r="L62" i="55" s="1"/>
  <c r="K62" i="55" a="1"/>
  <c r="K62" i="55" s="1"/>
  <c r="L61" i="55" a="1"/>
  <c r="L61" i="55" s="1"/>
  <c r="K61" i="55" a="1"/>
  <c r="K61" i="55" s="1"/>
  <c r="L28" i="55" a="1"/>
  <c r="L28" i="55" s="1"/>
  <c r="L29" i="55" a="1"/>
  <c r="L29" i="55" s="1"/>
  <c r="L30" i="55" a="1"/>
  <c r="L30" i="55" s="1"/>
  <c r="L31" i="55" a="1"/>
  <c r="L31" i="55" s="1"/>
  <c r="L32" i="55" a="1"/>
  <c r="L32" i="55" s="1"/>
  <c r="L33" i="55" a="1"/>
  <c r="L33" i="55" s="1"/>
  <c r="L34" i="55" a="1"/>
  <c r="L34" i="55" s="1"/>
  <c r="L36" i="55" a="1"/>
  <c r="L36" i="55" s="1"/>
  <c r="K28" i="55" a="1"/>
  <c r="K28" i="55" s="1"/>
  <c r="K29" i="55" a="1"/>
  <c r="K29" i="55" s="1"/>
  <c r="K30" i="55" a="1"/>
  <c r="K30" i="55" s="1"/>
  <c r="K31" i="55" a="1"/>
  <c r="K31" i="55" s="1"/>
  <c r="K32" i="55" a="1"/>
  <c r="K32" i="55" s="1"/>
  <c r="K33" i="55" a="1"/>
  <c r="K33" i="55" s="1"/>
  <c r="K34" i="55" a="1"/>
  <c r="K34" i="55" s="1"/>
  <c r="K36" i="55" a="1"/>
  <c r="K36" i="55" s="1"/>
  <c r="B534" i="55"/>
  <c r="B503" i="55"/>
  <c r="B472" i="55"/>
  <c r="B441" i="55"/>
  <c r="B410" i="55"/>
  <c r="B379" i="55"/>
  <c r="B348" i="55"/>
  <c r="B317" i="55"/>
  <c r="B286" i="55"/>
  <c r="B255" i="55"/>
  <c r="B224" i="55"/>
  <c r="B162" i="55"/>
  <c r="B131" i="55"/>
  <c r="B100" i="55"/>
  <c r="B69" i="55"/>
  <c r="B38" i="55"/>
  <c r="I3" i="55"/>
  <c r="Q4" i="50"/>
  <c r="AI4" i="50" s="1"/>
  <c r="V4" i="50"/>
  <c r="AB4" i="50"/>
  <c r="AH4" i="50"/>
  <c r="AN4" i="50"/>
  <c r="AO4" i="50" s="1"/>
  <c r="AT4" i="50"/>
  <c r="Q5" i="50"/>
  <c r="V5" i="50"/>
  <c r="AB5" i="50"/>
  <c r="AC5" i="50" s="1"/>
  <c r="AH5" i="50"/>
  <c r="AN5" i="50"/>
  <c r="AT5" i="50"/>
  <c r="Q6" i="50"/>
  <c r="V6" i="50"/>
  <c r="AB6" i="50"/>
  <c r="AH6" i="50"/>
  <c r="AN6" i="50"/>
  <c r="AT6" i="50"/>
  <c r="Q248" i="50"/>
  <c r="V248" i="50"/>
  <c r="AB248" i="50"/>
  <c r="AC248" i="50" s="1"/>
  <c r="AH248" i="50"/>
  <c r="AN248" i="50"/>
  <c r="AT248" i="50"/>
  <c r="Q7" i="50"/>
  <c r="V7" i="50"/>
  <c r="W7" i="50" s="1"/>
  <c r="AB7" i="50"/>
  <c r="AH7" i="50"/>
  <c r="AI7" i="50" s="1"/>
  <c r="AN7" i="50"/>
  <c r="AT7" i="50"/>
  <c r="AU7" i="50" s="1"/>
  <c r="Q8" i="50"/>
  <c r="V8" i="50"/>
  <c r="AB8" i="50"/>
  <c r="AH8" i="50"/>
  <c r="AN8" i="50"/>
  <c r="AT8" i="50"/>
  <c r="Q9" i="50"/>
  <c r="V9" i="50"/>
  <c r="AB9" i="50"/>
  <c r="AH9" i="50"/>
  <c r="AN9" i="50"/>
  <c r="AT9" i="50"/>
  <c r="Q10" i="50"/>
  <c r="V10" i="50"/>
  <c r="AB10" i="50"/>
  <c r="AH10" i="50"/>
  <c r="AN10" i="50"/>
  <c r="AT10" i="50"/>
  <c r="Q11" i="50"/>
  <c r="V11" i="50"/>
  <c r="AB11" i="50"/>
  <c r="AH11" i="50"/>
  <c r="AN11" i="50"/>
  <c r="AT11" i="50"/>
  <c r="Q12" i="50"/>
  <c r="V12" i="50"/>
  <c r="AB12" i="50"/>
  <c r="AH12" i="50"/>
  <c r="AN12" i="50"/>
  <c r="AT12" i="50"/>
  <c r="Q13" i="50"/>
  <c r="V13" i="50"/>
  <c r="AB13" i="50"/>
  <c r="AH13" i="50"/>
  <c r="AN13" i="50"/>
  <c r="AT13" i="50"/>
  <c r="Q14" i="50"/>
  <c r="V14" i="50"/>
  <c r="AB14" i="50"/>
  <c r="AH14" i="50"/>
  <c r="AN14" i="50"/>
  <c r="AT14" i="50"/>
  <c r="Q15" i="50"/>
  <c r="V15" i="50"/>
  <c r="W15" i="50" s="1"/>
  <c r="AB15" i="50"/>
  <c r="AH15" i="50"/>
  <c r="AN15" i="50"/>
  <c r="AT15" i="50"/>
  <c r="Q16" i="50"/>
  <c r="V16" i="50"/>
  <c r="AB16" i="50"/>
  <c r="AH16" i="50"/>
  <c r="AN16" i="50"/>
  <c r="AT16" i="50"/>
  <c r="Q17" i="50"/>
  <c r="V17" i="50"/>
  <c r="AB17" i="50"/>
  <c r="AH17" i="50"/>
  <c r="AN17" i="50"/>
  <c r="AT17" i="50"/>
  <c r="Q18" i="50"/>
  <c r="V18" i="50"/>
  <c r="AB18" i="50"/>
  <c r="AH18" i="50"/>
  <c r="AI18" i="50" s="1"/>
  <c r="AN18" i="50"/>
  <c r="AT18" i="50"/>
  <c r="AU18" i="50" s="1"/>
  <c r="Q19" i="50"/>
  <c r="V19" i="50"/>
  <c r="W19" i="50" s="1"/>
  <c r="AB19" i="50"/>
  <c r="AH19" i="50"/>
  <c r="AN19" i="50"/>
  <c r="AT19" i="50"/>
  <c r="Q20" i="50"/>
  <c r="V20" i="50"/>
  <c r="W20" i="50" s="1"/>
  <c r="AB20" i="50"/>
  <c r="AH20" i="50"/>
  <c r="AN20" i="50"/>
  <c r="AT20" i="50"/>
  <c r="Q21" i="50"/>
  <c r="V21" i="50"/>
  <c r="AB21" i="50"/>
  <c r="AH21" i="50"/>
  <c r="AN21" i="50"/>
  <c r="AT21" i="50"/>
  <c r="Q22" i="50"/>
  <c r="AO22" i="50" s="1"/>
  <c r="V22" i="50"/>
  <c r="AB22" i="50"/>
  <c r="AC22" i="50" s="1"/>
  <c r="AH22" i="50"/>
  <c r="AN22" i="50"/>
  <c r="AT22" i="50"/>
  <c r="Q23" i="50"/>
  <c r="V23" i="50"/>
  <c r="W23" i="50" s="1"/>
  <c r="AB23" i="50"/>
  <c r="AH23" i="50"/>
  <c r="AN23" i="50"/>
  <c r="AT23" i="50"/>
  <c r="Q24" i="50"/>
  <c r="V24" i="50"/>
  <c r="AB24" i="50"/>
  <c r="AH24" i="50"/>
  <c r="AN24" i="50"/>
  <c r="AT24" i="50"/>
  <c r="Q25" i="50"/>
  <c r="V25" i="50"/>
  <c r="AB25" i="50"/>
  <c r="AH25" i="50"/>
  <c r="AN25" i="50"/>
  <c r="AT25" i="50"/>
  <c r="Q26" i="50"/>
  <c r="V26" i="50"/>
  <c r="W26" i="50" s="1"/>
  <c r="AB26" i="50"/>
  <c r="AH26" i="50"/>
  <c r="AN26" i="50"/>
  <c r="AT26" i="50"/>
  <c r="Q27" i="50"/>
  <c r="V27" i="50"/>
  <c r="AB27" i="50"/>
  <c r="AH27" i="50"/>
  <c r="AN27" i="50"/>
  <c r="AT27" i="50"/>
  <c r="AU27" i="50" s="1"/>
  <c r="Q28" i="50"/>
  <c r="V28" i="50"/>
  <c r="AB28" i="50"/>
  <c r="AH28" i="50"/>
  <c r="AN28" i="50"/>
  <c r="AT28" i="50"/>
  <c r="Q29" i="50"/>
  <c r="V29" i="50"/>
  <c r="AB29" i="50"/>
  <c r="AC29" i="50" s="1"/>
  <c r="AH29" i="50"/>
  <c r="AN29" i="50"/>
  <c r="AT29" i="50"/>
  <c r="Q30" i="50"/>
  <c r="V30" i="50"/>
  <c r="AB30" i="50"/>
  <c r="AH30" i="50"/>
  <c r="AN30" i="50"/>
  <c r="AT30" i="50"/>
  <c r="Q31" i="50"/>
  <c r="V31" i="50"/>
  <c r="AB31" i="50"/>
  <c r="AH31" i="50"/>
  <c r="AI31" i="50" s="1"/>
  <c r="AN31" i="50"/>
  <c r="AT31" i="50"/>
  <c r="Q32" i="50"/>
  <c r="V32" i="50"/>
  <c r="AB32" i="50"/>
  <c r="AH32" i="50"/>
  <c r="AN32" i="50"/>
  <c r="AT32" i="50"/>
  <c r="Q33" i="50"/>
  <c r="V33" i="50"/>
  <c r="AB33" i="50"/>
  <c r="AH33" i="50"/>
  <c r="AN33" i="50"/>
  <c r="AT33" i="50"/>
  <c r="Q34" i="50"/>
  <c r="V34" i="50"/>
  <c r="W34" i="50" s="1"/>
  <c r="AB34" i="50"/>
  <c r="AH34" i="50"/>
  <c r="AN34" i="50"/>
  <c r="AO34" i="50" s="1"/>
  <c r="AT34" i="50"/>
  <c r="Q35" i="50"/>
  <c r="V35" i="50"/>
  <c r="W35" i="50" s="1"/>
  <c r="AB35" i="50"/>
  <c r="AH35" i="50"/>
  <c r="AN35" i="50"/>
  <c r="AO35" i="50" s="1"/>
  <c r="AT35" i="50"/>
  <c r="Q36" i="50"/>
  <c r="V36" i="50"/>
  <c r="AB36" i="50"/>
  <c r="AH36" i="50"/>
  <c r="AN36" i="50"/>
  <c r="AT36" i="50"/>
  <c r="Q37" i="50"/>
  <c r="V37" i="50"/>
  <c r="AB37" i="50"/>
  <c r="AH37" i="50"/>
  <c r="AN37" i="50"/>
  <c r="AT37" i="50"/>
  <c r="Q38" i="50"/>
  <c r="V38" i="50"/>
  <c r="AB38" i="50"/>
  <c r="AH38" i="50"/>
  <c r="AN38" i="50"/>
  <c r="AT38" i="50"/>
  <c r="Q39" i="50"/>
  <c r="V39" i="50"/>
  <c r="W39" i="50" s="1"/>
  <c r="AB39" i="50"/>
  <c r="AH39" i="50"/>
  <c r="AN39" i="50"/>
  <c r="AO39" i="50" s="1"/>
  <c r="AT39" i="50"/>
  <c r="Q40" i="50"/>
  <c r="V40" i="50"/>
  <c r="AB40" i="50"/>
  <c r="AH40" i="50"/>
  <c r="AN40" i="50"/>
  <c r="AT40" i="50"/>
  <c r="Q41" i="50"/>
  <c r="V41" i="50"/>
  <c r="AB41" i="50"/>
  <c r="AH41" i="50"/>
  <c r="AN41" i="50"/>
  <c r="AT41" i="50"/>
  <c r="Q42" i="50"/>
  <c r="V42" i="50"/>
  <c r="AB42" i="50"/>
  <c r="AH42" i="50"/>
  <c r="AN42" i="50"/>
  <c r="AT42" i="50"/>
  <c r="Q43" i="50"/>
  <c r="V43" i="50"/>
  <c r="W43" i="50" s="1"/>
  <c r="AB43" i="50"/>
  <c r="AC43" i="50" s="1"/>
  <c r="AH43" i="50"/>
  <c r="AN43" i="50"/>
  <c r="AO43" i="50" s="1"/>
  <c r="AT43" i="50"/>
  <c r="AU43" i="50" s="1"/>
  <c r="Q249" i="50"/>
  <c r="V249" i="50"/>
  <c r="AB249" i="50"/>
  <c r="AH249" i="50"/>
  <c r="AN249" i="50"/>
  <c r="AT249" i="50"/>
  <c r="Q250" i="50"/>
  <c r="V250" i="50"/>
  <c r="AB250" i="50"/>
  <c r="AH250" i="50"/>
  <c r="AN250" i="50"/>
  <c r="AT250" i="50"/>
  <c r="Q251" i="50"/>
  <c r="AO251" i="50" s="1"/>
  <c r="V251" i="50"/>
  <c r="AB251" i="50"/>
  <c r="AH251" i="50"/>
  <c r="AN251" i="50"/>
  <c r="AT251" i="50"/>
  <c r="Q44" i="50"/>
  <c r="V44" i="50"/>
  <c r="W44" i="50" s="1"/>
  <c r="AB44" i="50"/>
  <c r="AH44" i="50"/>
  <c r="AI44" i="50" s="1"/>
  <c r="AN44" i="50"/>
  <c r="AT44" i="50"/>
  <c r="Q45" i="50"/>
  <c r="AU45" i="50" s="1"/>
  <c r="V45" i="50"/>
  <c r="AB45" i="50"/>
  <c r="AH45" i="50"/>
  <c r="AN45" i="50"/>
  <c r="AT45" i="50"/>
  <c r="Q46" i="50"/>
  <c r="V46" i="50"/>
  <c r="AB46" i="50"/>
  <c r="AH46" i="50"/>
  <c r="AN46" i="50"/>
  <c r="AT46" i="50"/>
  <c r="Q47" i="50"/>
  <c r="V47" i="50"/>
  <c r="AB47" i="50"/>
  <c r="AH47" i="50"/>
  <c r="AN47" i="50"/>
  <c r="AT47" i="50"/>
  <c r="Q48" i="50"/>
  <c r="AO48" i="50" s="1"/>
  <c r="V48" i="50"/>
  <c r="W48" i="50" s="1"/>
  <c r="AB48" i="50"/>
  <c r="AH48" i="50"/>
  <c r="AN48" i="50"/>
  <c r="AT48" i="50"/>
  <c r="Q49" i="50"/>
  <c r="V49" i="50"/>
  <c r="AB49" i="50"/>
  <c r="AH49" i="50"/>
  <c r="AN49" i="50"/>
  <c r="AT49" i="50"/>
  <c r="Q252" i="50"/>
  <c r="V252" i="50"/>
  <c r="AB252" i="50"/>
  <c r="AC252" i="50" s="1"/>
  <c r="AH252" i="50"/>
  <c r="AN252" i="50"/>
  <c r="AT252" i="50"/>
  <c r="Q50" i="50"/>
  <c r="V50" i="50"/>
  <c r="AB50" i="50"/>
  <c r="AH50" i="50"/>
  <c r="AN50" i="50"/>
  <c r="AT50" i="50"/>
  <c r="Q51" i="50"/>
  <c r="V51" i="50"/>
  <c r="AB51" i="50"/>
  <c r="AH51" i="50"/>
  <c r="AN51" i="50"/>
  <c r="AT51" i="50"/>
  <c r="Q52" i="50"/>
  <c r="V52" i="50"/>
  <c r="AB52" i="50"/>
  <c r="AH52" i="50"/>
  <c r="AN52" i="50"/>
  <c r="AT52" i="50"/>
  <c r="Q53" i="50"/>
  <c r="V53" i="50"/>
  <c r="AB53" i="50"/>
  <c r="AH53" i="50"/>
  <c r="AN53" i="50"/>
  <c r="AT53" i="50"/>
  <c r="Q54" i="50"/>
  <c r="V54" i="50"/>
  <c r="AB54" i="50"/>
  <c r="AH54" i="50"/>
  <c r="AN54" i="50"/>
  <c r="AT54" i="50"/>
  <c r="Q55" i="50"/>
  <c r="V55" i="50"/>
  <c r="AB55" i="50"/>
  <c r="AC55" i="50" s="1"/>
  <c r="AH55" i="50"/>
  <c r="AI55" i="50" s="1"/>
  <c r="AN55" i="50"/>
  <c r="AT55" i="50"/>
  <c r="AU55" i="50" s="1"/>
  <c r="Q56" i="50"/>
  <c r="V56" i="50"/>
  <c r="AB56" i="50"/>
  <c r="AH56" i="50"/>
  <c r="AN56" i="50"/>
  <c r="AT56" i="50"/>
  <c r="Q57" i="50"/>
  <c r="V57" i="50"/>
  <c r="AB57" i="50"/>
  <c r="AC57" i="50" s="1"/>
  <c r="AH57" i="50"/>
  <c r="AN57" i="50"/>
  <c r="AT57" i="50"/>
  <c r="Q71" i="50"/>
  <c r="AI71" i="50" s="1"/>
  <c r="V71" i="50"/>
  <c r="AB71" i="50"/>
  <c r="AH71" i="50"/>
  <c r="AN71" i="50"/>
  <c r="AT71" i="50"/>
  <c r="Q72" i="50"/>
  <c r="V72" i="50"/>
  <c r="AB72" i="50"/>
  <c r="AH72" i="50"/>
  <c r="AI72" i="50" s="1"/>
  <c r="AN72" i="50"/>
  <c r="AT72" i="50"/>
  <c r="Q73" i="50"/>
  <c r="V73" i="50"/>
  <c r="AB73" i="50"/>
  <c r="AH73" i="50"/>
  <c r="AN73" i="50"/>
  <c r="AT73" i="50"/>
  <c r="Q74" i="50"/>
  <c r="V74" i="50"/>
  <c r="AB74" i="50"/>
  <c r="AH74" i="50"/>
  <c r="AN74" i="50"/>
  <c r="AT74" i="50"/>
  <c r="Q75" i="50"/>
  <c r="V75" i="50"/>
  <c r="AB75" i="50"/>
  <c r="AH75" i="50"/>
  <c r="AN75" i="50"/>
  <c r="AT75" i="50"/>
  <c r="Q76" i="50"/>
  <c r="V76" i="50"/>
  <c r="W76" i="50" s="1"/>
  <c r="AB76" i="50"/>
  <c r="AC76" i="50" s="1"/>
  <c r="AH76" i="50"/>
  <c r="AN76" i="50"/>
  <c r="AT76" i="50"/>
  <c r="Q77" i="50"/>
  <c r="V77" i="50"/>
  <c r="AB77" i="50"/>
  <c r="AH77" i="50"/>
  <c r="AN77" i="50"/>
  <c r="AT77" i="50"/>
  <c r="Q78" i="50"/>
  <c r="V78" i="50"/>
  <c r="AB78" i="50"/>
  <c r="AH78" i="50"/>
  <c r="AN78" i="50"/>
  <c r="AT78" i="50"/>
  <c r="Q79" i="50"/>
  <c r="V79" i="50"/>
  <c r="AB79" i="50"/>
  <c r="AH79" i="50"/>
  <c r="AI79" i="50" s="1"/>
  <c r="AN79" i="50"/>
  <c r="AT79" i="50"/>
  <c r="Q80" i="50"/>
  <c r="V80" i="50"/>
  <c r="AB80" i="50"/>
  <c r="AH80" i="50"/>
  <c r="AN80" i="50"/>
  <c r="AT80" i="50"/>
  <c r="Q81" i="50"/>
  <c r="V81" i="50"/>
  <c r="AB81" i="50"/>
  <c r="AH81" i="50"/>
  <c r="AN81" i="50"/>
  <c r="AT81" i="50"/>
  <c r="Q82" i="50"/>
  <c r="V82" i="50"/>
  <c r="AB82" i="50"/>
  <c r="AH82" i="50"/>
  <c r="AN82" i="50"/>
  <c r="AT82" i="50"/>
  <c r="Q83" i="50"/>
  <c r="V83" i="50"/>
  <c r="W83" i="50" s="1"/>
  <c r="AB83" i="50"/>
  <c r="AH83" i="50"/>
  <c r="AN83" i="50"/>
  <c r="AT83" i="50"/>
  <c r="Q84" i="50"/>
  <c r="V84" i="50"/>
  <c r="AB84" i="50"/>
  <c r="AH84" i="50"/>
  <c r="AI84" i="50" s="1"/>
  <c r="AN84" i="50"/>
  <c r="AO84" i="50" s="1"/>
  <c r="AT84" i="50"/>
  <c r="AU84" i="50" s="1"/>
  <c r="Q85" i="50"/>
  <c r="AC85" i="50" s="1"/>
  <c r="V85" i="50"/>
  <c r="AB85" i="50"/>
  <c r="AH85" i="50"/>
  <c r="AN85" i="50"/>
  <c r="AT85" i="50"/>
  <c r="Q86" i="50"/>
  <c r="V86" i="50"/>
  <c r="AB86" i="50"/>
  <c r="AH86" i="50"/>
  <c r="AN86" i="50"/>
  <c r="AT86" i="50"/>
  <c r="Q87" i="50"/>
  <c r="AI87" i="50" s="1"/>
  <c r="V87" i="50"/>
  <c r="AB87" i="50"/>
  <c r="AH87" i="50"/>
  <c r="AN87" i="50"/>
  <c r="AT87" i="50"/>
  <c r="Q88" i="50"/>
  <c r="V88" i="50"/>
  <c r="W88" i="50" s="1"/>
  <c r="AB88" i="50"/>
  <c r="AH88" i="50"/>
  <c r="AN88" i="50"/>
  <c r="AT88" i="50"/>
  <c r="Q89" i="50"/>
  <c r="V89" i="50"/>
  <c r="AB89" i="50"/>
  <c r="AH89" i="50"/>
  <c r="AN89" i="50"/>
  <c r="AT89" i="50"/>
  <c r="Q90" i="50"/>
  <c r="V90" i="50"/>
  <c r="AB90" i="50"/>
  <c r="AH90" i="50"/>
  <c r="AN90" i="50"/>
  <c r="AT90" i="50"/>
  <c r="Q91" i="50"/>
  <c r="V91" i="50"/>
  <c r="W91" i="50" s="1"/>
  <c r="AB91" i="50"/>
  <c r="AH91" i="50"/>
  <c r="AN91" i="50"/>
  <c r="AT91" i="50"/>
  <c r="Q92" i="50"/>
  <c r="V92" i="50"/>
  <c r="AB92" i="50"/>
  <c r="AH92" i="50"/>
  <c r="AN92" i="50"/>
  <c r="AT92" i="50"/>
  <c r="Q93" i="50"/>
  <c r="V93" i="50"/>
  <c r="AB93" i="50"/>
  <c r="AC93" i="50" s="1"/>
  <c r="AH93" i="50"/>
  <c r="AN93" i="50"/>
  <c r="AT93" i="50"/>
  <c r="Q94" i="50"/>
  <c r="V94" i="50"/>
  <c r="AB94" i="50"/>
  <c r="AH94" i="50"/>
  <c r="AN94" i="50"/>
  <c r="AT94" i="50"/>
  <c r="Q95" i="50"/>
  <c r="V95" i="50"/>
  <c r="AB95" i="50"/>
  <c r="AC95" i="50" s="1"/>
  <c r="AH95" i="50"/>
  <c r="AN95" i="50"/>
  <c r="AT95" i="50"/>
  <c r="Q96" i="50"/>
  <c r="V96" i="50"/>
  <c r="AB96" i="50"/>
  <c r="AH96" i="50"/>
  <c r="AN96" i="50"/>
  <c r="AO96" i="50" s="1"/>
  <c r="AT96" i="50"/>
  <c r="Q97" i="50"/>
  <c r="V97" i="50"/>
  <c r="AB97" i="50"/>
  <c r="AH97" i="50"/>
  <c r="AN97" i="50"/>
  <c r="AT97" i="50"/>
  <c r="Q98" i="50"/>
  <c r="V98" i="50"/>
  <c r="AB98" i="50"/>
  <c r="AH98" i="50"/>
  <c r="AN98" i="50"/>
  <c r="AT98" i="50"/>
  <c r="Q99" i="50"/>
  <c r="V99" i="50"/>
  <c r="AB99" i="50"/>
  <c r="AH99" i="50"/>
  <c r="AN99" i="50"/>
  <c r="AT99" i="50"/>
  <c r="AU99" i="50" s="1"/>
  <c r="Q100" i="50"/>
  <c r="V100" i="50"/>
  <c r="W100" i="50" s="1"/>
  <c r="AB100" i="50"/>
  <c r="AH100" i="50"/>
  <c r="AN100" i="50"/>
  <c r="AT100" i="50"/>
  <c r="AU100" i="50" s="1"/>
  <c r="Q101" i="50"/>
  <c r="V101" i="50"/>
  <c r="AB101" i="50"/>
  <c r="AH101" i="50"/>
  <c r="AN101" i="50"/>
  <c r="AT101" i="50"/>
  <c r="Q253" i="50"/>
  <c r="V253" i="50"/>
  <c r="AB253" i="50"/>
  <c r="AH253" i="50"/>
  <c r="AN253" i="50"/>
  <c r="AT253" i="50"/>
  <c r="Q102" i="50"/>
  <c r="V102" i="50"/>
  <c r="AB102" i="50"/>
  <c r="AH102" i="50"/>
  <c r="AN102" i="50"/>
  <c r="AT102" i="50"/>
  <c r="Q103" i="50"/>
  <c r="V103" i="50"/>
  <c r="AB103" i="50"/>
  <c r="AH103" i="50"/>
  <c r="AN103" i="50"/>
  <c r="AT103" i="50"/>
  <c r="Q104" i="50"/>
  <c r="V104" i="50"/>
  <c r="AB104" i="50"/>
  <c r="AH104" i="50"/>
  <c r="AN104" i="50"/>
  <c r="AT104" i="50"/>
  <c r="Q105" i="50"/>
  <c r="V105" i="50"/>
  <c r="AB105" i="50"/>
  <c r="AH105" i="50"/>
  <c r="AN105" i="50"/>
  <c r="AT105" i="50"/>
  <c r="Q106" i="50"/>
  <c r="V106" i="50"/>
  <c r="AB106" i="50"/>
  <c r="AH106" i="50"/>
  <c r="AN106" i="50"/>
  <c r="AT106" i="50"/>
  <c r="Q107" i="50"/>
  <c r="V107" i="50"/>
  <c r="AB107" i="50"/>
  <c r="AH107" i="50"/>
  <c r="AN107" i="50"/>
  <c r="AT107" i="50"/>
  <c r="AU107" i="50" s="1"/>
  <c r="Q108" i="50"/>
  <c r="V108" i="50"/>
  <c r="AB108" i="50"/>
  <c r="AH108" i="50"/>
  <c r="AN108" i="50"/>
  <c r="AT108" i="50"/>
  <c r="Q109" i="50"/>
  <c r="V109" i="50"/>
  <c r="AB109" i="50"/>
  <c r="AH109" i="50"/>
  <c r="AN109" i="50"/>
  <c r="AT109" i="50"/>
  <c r="Q110" i="50"/>
  <c r="V110" i="50"/>
  <c r="AB110" i="50"/>
  <c r="AH110" i="50"/>
  <c r="AN110" i="50"/>
  <c r="AT110" i="50"/>
  <c r="Q111" i="50"/>
  <c r="V111" i="50"/>
  <c r="AB111" i="50"/>
  <c r="AH111" i="50"/>
  <c r="AN111" i="50"/>
  <c r="AO111" i="50" s="1"/>
  <c r="AT111" i="50"/>
  <c r="Q112" i="50"/>
  <c r="V112" i="50"/>
  <c r="AB112" i="50"/>
  <c r="AH112" i="50"/>
  <c r="AN112" i="50"/>
  <c r="AT112" i="50"/>
  <c r="Q113" i="50"/>
  <c r="V113" i="50"/>
  <c r="AB113" i="50"/>
  <c r="AH113" i="50"/>
  <c r="AN113" i="50"/>
  <c r="AT113" i="50"/>
  <c r="Q114" i="50"/>
  <c r="V114" i="50"/>
  <c r="AB114" i="50"/>
  <c r="AH114" i="50"/>
  <c r="AN114" i="50"/>
  <c r="AT114" i="50"/>
  <c r="Q115" i="50"/>
  <c r="V115" i="50"/>
  <c r="W115" i="50" s="1"/>
  <c r="AB115" i="50"/>
  <c r="AH115" i="50"/>
  <c r="AI115" i="50" s="1"/>
  <c r="AN115" i="50"/>
  <c r="AT115" i="50"/>
  <c r="Q116" i="50"/>
  <c r="AC116" i="50" s="1"/>
  <c r="V116" i="50"/>
  <c r="AB116" i="50"/>
  <c r="AH116" i="50"/>
  <c r="AN116" i="50"/>
  <c r="AT116" i="50"/>
  <c r="Q117" i="50"/>
  <c r="V117" i="50"/>
  <c r="W117" i="50" s="1"/>
  <c r="AB117" i="50"/>
  <c r="AH117" i="50"/>
  <c r="AN117" i="50"/>
  <c r="AT117" i="50"/>
  <c r="Q118" i="50"/>
  <c r="V118" i="50"/>
  <c r="AB118" i="50"/>
  <c r="AH118" i="50"/>
  <c r="AN118" i="50"/>
  <c r="AT118" i="50"/>
  <c r="Q119" i="50"/>
  <c r="V119" i="50"/>
  <c r="AH119" i="50"/>
  <c r="AN119" i="50"/>
  <c r="AT119" i="50"/>
  <c r="Q120" i="50"/>
  <c r="V120" i="50"/>
  <c r="AB120" i="50"/>
  <c r="AH120" i="50"/>
  <c r="AN120" i="50"/>
  <c r="AT120" i="50"/>
  <c r="Q121" i="50"/>
  <c r="V121" i="50"/>
  <c r="AB121" i="50"/>
  <c r="AH121" i="50"/>
  <c r="AN121" i="50"/>
  <c r="AT121" i="50"/>
  <c r="Q122" i="50"/>
  <c r="V122" i="50"/>
  <c r="W122" i="50" s="1"/>
  <c r="AB122" i="50"/>
  <c r="AH122" i="50"/>
  <c r="AN122" i="50"/>
  <c r="AT122" i="50"/>
  <c r="AU122" i="50" s="1"/>
  <c r="Q123" i="50"/>
  <c r="V123" i="50"/>
  <c r="AB123" i="50"/>
  <c r="AH123" i="50"/>
  <c r="AN123" i="50"/>
  <c r="AT123" i="50"/>
  <c r="Q124" i="50"/>
  <c r="V124" i="50"/>
  <c r="AB124" i="50"/>
  <c r="AH124" i="50"/>
  <c r="AN124" i="50"/>
  <c r="AT124" i="50"/>
  <c r="Q125" i="50"/>
  <c r="V125" i="50"/>
  <c r="AB125" i="50"/>
  <c r="AH125" i="50"/>
  <c r="AN125" i="50"/>
  <c r="AT125" i="50"/>
  <c r="Q126" i="50"/>
  <c r="V126" i="50"/>
  <c r="AB126" i="50"/>
  <c r="AH126" i="50"/>
  <c r="AN126" i="50"/>
  <c r="AT126" i="50"/>
  <c r="Q127" i="50"/>
  <c r="V127" i="50"/>
  <c r="AB127" i="50"/>
  <c r="AH127" i="50"/>
  <c r="AN127" i="50"/>
  <c r="AT127" i="50"/>
  <c r="Q128" i="50"/>
  <c r="V128" i="50"/>
  <c r="AB128" i="50"/>
  <c r="AH128" i="50"/>
  <c r="AN128" i="50"/>
  <c r="AT128" i="50"/>
  <c r="Q129" i="50"/>
  <c r="V129" i="50"/>
  <c r="AB129" i="50"/>
  <c r="AH129" i="50"/>
  <c r="AN129" i="50"/>
  <c r="AT129" i="50"/>
  <c r="Q130" i="50"/>
  <c r="V130" i="50"/>
  <c r="AB130" i="50"/>
  <c r="AH130" i="50"/>
  <c r="AN130" i="50"/>
  <c r="AT130" i="50"/>
  <c r="Q254" i="50"/>
  <c r="V254" i="50"/>
  <c r="AB254" i="50"/>
  <c r="AH254" i="50"/>
  <c r="AN254" i="50"/>
  <c r="AT254" i="50"/>
  <c r="Q131" i="50"/>
  <c r="V131" i="50"/>
  <c r="AB131" i="50"/>
  <c r="AH131" i="50"/>
  <c r="AN131" i="50"/>
  <c r="AT131" i="50"/>
  <c r="Q255" i="50"/>
  <c r="V255" i="50"/>
  <c r="AB255" i="50"/>
  <c r="AH255" i="50"/>
  <c r="AN255" i="50"/>
  <c r="AT255" i="50"/>
  <c r="Q132" i="50"/>
  <c r="V132" i="50"/>
  <c r="AB132" i="50"/>
  <c r="AH132" i="50"/>
  <c r="AN132" i="50"/>
  <c r="AT132" i="50"/>
  <c r="Q133" i="50"/>
  <c r="V133" i="50"/>
  <c r="AB133" i="50"/>
  <c r="AH133" i="50"/>
  <c r="AN133" i="50"/>
  <c r="AT133" i="50"/>
  <c r="Q134" i="50"/>
  <c r="V134" i="50"/>
  <c r="AB134" i="50"/>
  <c r="AH134" i="50"/>
  <c r="AN134" i="50"/>
  <c r="AT134" i="50"/>
  <c r="Q135" i="50"/>
  <c r="V135" i="50"/>
  <c r="AB135" i="50"/>
  <c r="AH135" i="50"/>
  <c r="AN135" i="50"/>
  <c r="AT135" i="50"/>
  <c r="Q136" i="50"/>
  <c r="V136" i="50"/>
  <c r="AB136" i="50"/>
  <c r="AC136" i="50" s="1"/>
  <c r="AH136" i="50"/>
  <c r="AI136" i="50" s="1"/>
  <c r="AN136" i="50"/>
  <c r="AT136" i="50"/>
  <c r="Q137" i="50"/>
  <c r="V137" i="50"/>
  <c r="AB137" i="50"/>
  <c r="AH137" i="50"/>
  <c r="AN137" i="50"/>
  <c r="AT137" i="50"/>
  <c r="Q138" i="50"/>
  <c r="V138" i="50"/>
  <c r="AB138" i="50"/>
  <c r="AH138" i="50"/>
  <c r="AN138" i="50"/>
  <c r="AT138" i="50"/>
  <c r="Q139" i="50"/>
  <c r="V139" i="50"/>
  <c r="AB139" i="50"/>
  <c r="AH139" i="50"/>
  <c r="AN139" i="50"/>
  <c r="AT139" i="50"/>
  <c r="Q140" i="50"/>
  <c r="V140" i="50"/>
  <c r="W140" i="50" s="1"/>
  <c r="AB140" i="50"/>
  <c r="AH140" i="50"/>
  <c r="AN140" i="50"/>
  <c r="AT140" i="50"/>
  <c r="Q141" i="50"/>
  <c r="V141" i="50"/>
  <c r="AB141" i="50"/>
  <c r="AH141" i="50"/>
  <c r="AN141" i="50"/>
  <c r="AT141" i="50"/>
  <c r="Q257" i="50"/>
  <c r="V257" i="50"/>
  <c r="AB257" i="50"/>
  <c r="AH257" i="50"/>
  <c r="AN257" i="50"/>
  <c r="AT257" i="50"/>
  <c r="Q258" i="50"/>
  <c r="V258" i="50"/>
  <c r="AB258" i="50"/>
  <c r="AH258" i="50"/>
  <c r="AN258" i="50"/>
  <c r="AT258" i="50"/>
  <c r="Q142" i="50"/>
  <c r="V142" i="50"/>
  <c r="AB142" i="50"/>
  <c r="AH142" i="50"/>
  <c r="AN142" i="50"/>
  <c r="AT142" i="50"/>
  <c r="Q143" i="50"/>
  <c r="V143" i="50"/>
  <c r="AB143" i="50"/>
  <c r="AH143" i="50"/>
  <c r="AN143" i="50"/>
  <c r="AT143" i="50"/>
  <c r="Q144" i="50"/>
  <c r="V144" i="50"/>
  <c r="AB144" i="50"/>
  <c r="AH144" i="50"/>
  <c r="AN144" i="50"/>
  <c r="AT144" i="50"/>
  <c r="Q259" i="50"/>
  <c r="V259" i="50"/>
  <c r="AB259" i="50"/>
  <c r="AH259" i="50"/>
  <c r="AN259" i="50"/>
  <c r="AT259" i="50"/>
  <c r="Q146" i="50"/>
  <c r="V146" i="50"/>
  <c r="AB146" i="50"/>
  <c r="AH146" i="50"/>
  <c r="AN146" i="50"/>
  <c r="AT146" i="50"/>
  <c r="Q147" i="50"/>
  <c r="V147" i="50"/>
  <c r="AB147" i="50"/>
  <c r="AH147" i="50"/>
  <c r="AN147" i="50"/>
  <c r="AT147" i="50"/>
  <c r="Q148" i="50"/>
  <c r="V148" i="50"/>
  <c r="AB148" i="50"/>
  <c r="AH148" i="50"/>
  <c r="AN148" i="50"/>
  <c r="AT148" i="50"/>
  <c r="Q149" i="50"/>
  <c r="V149" i="50"/>
  <c r="AB149" i="50"/>
  <c r="AH149" i="50"/>
  <c r="AN149" i="50"/>
  <c r="AT149" i="50"/>
  <c r="Q150" i="50"/>
  <c r="V150" i="50"/>
  <c r="AB150" i="50"/>
  <c r="AH150" i="50"/>
  <c r="AN150" i="50"/>
  <c r="AT150" i="50"/>
  <c r="AU150" i="50" s="1"/>
  <c r="Q256" i="50"/>
  <c r="V256" i="50"/>
  <c r="AB256" i="50"/>
  <c r="AH256" i="50"/>
  <c r="AN256" i="50"/>
  <c r="AT256" i="50"/>
  <c r="Q151" i="50"/>
  <c r="V151" i="50"/>
  <c r="AB151" i="50"/>
  <c r="AH151" i="50"/>
  <c r="AN151" i="50"/>
  <c r="AT151" i="50"/>
  <c r="Q152" i="50"/>
  <c r="V152" i="50"/>
  <c r="AB152" i="50"/>
  <c r="AH152" i="50"/>
  <c r="AN152" i="50"/>
  <c r="AT152" i="50"/>
  <c r="Q153" i="50"/>
  <c r="V153" i="50"/>
  <c r="AB153" i="50"/>
  <c r="AH153" i="50"/>
  <c r="AN153" i="50"/>
  <c r="AT153" i="50"/>
  <c r="Q154" i="50"/>
  <c r="V154" i="50"/>
  <c r="AB154" i="50"/>
  <c r="AH154" i="50"/>
  <c r="AN154" i="50"/>
  <c r="AT154" i="50"/>
  <c r="Q155" i="50"/>
  <c r="V155" i="50"/>
  <c r="AB155" i="50"/>
  <c r="AH155" i="50"/>
  <c r="AN155" i="50"/>
  <c r="AT155" i="50"/>
  <c r="Q260" i="50"/>
  <c r="V260" i="50"/>
  <c r="AB260" i="50"/>
  <c r="AH260" i="50"/>
  <c r="AN260" i="50"/>
  <c r="AO260" i="50" s="1"/>
  <c r="AT260" i="50"/>
  <c r="Q156" i="50"/>
  <c r="V156" i="50"/>
  <c r="AB156" i="50"/>
  <c r="AH156" i="50"/>
  <c r="AN156" i="50"/>
  <c r="AT156" i="50"/>
  <c r="Q157" i="50"/>
  <c r="V157" i="50"/>
  <c r="AB157" i="50"/>
  <c r="AH157" i="50"/>
  <c r="AN157" i="50"/>
  <c r="AT157" i="50"/>
  <c r="Q158" i="50"/>
  <c r="V158" i="50"/>
  <c r="AB158" i="50"/>
  <c r="AH158" i="50"/>
  <c r="AN158" i="50"/>
  <c r="AT158" i="50"/>
  <c r="Q159" i="50"/>
  <c r="V159" i="50"/>
  <c r="AB159" i="50"/>
  <c r="AH159" i="50"/>
  <c r="AN159" i="50"/>
  <c r="AT159" i="50"/>
  <c r="Q160" i="50"/>
  <c r="V160" i="50"/>
  <c r="AB160" i="50"/>
  <c r="AH160" i="50"/>
  <c r="AN160" i="50"/>
  <c r="AT160" i="50"/>
  <c r="Q161" i="50"/>
  <c r="V161" i="50"/>
  <c r="AB161" i="50"/>
  <c r="AH161" i="50"/>
  <c r="AN161" i="50"/>
  <c r="AT161" i="50"/>
  <c r="Q162" i="50"/>
  <c r="V162" i="50"/>
  <c r="AB162" i="50"/>
  <c r="AH162" i="50"/>
  <c r="AN162" i="50"/>
  <c r="AT162" i="50"/>
  <c r="Q163" i="50"/>
  <c r="V163" i="50"/>
  <c r="AB163" i="50"/>
  <c r="AH163" i="50"/>
  <c r="AN163" i="50"/>
  <c r="AT163" i="50"/>
  <c r="Q262" i="50"/>
  <c r="V262" i="50"/>
  <c r="AB262" i="50"/>
  <c r="AH262" i="50"/>
  <c r="AN262" i="50"/>
  <c r="AT262" i="50"/>
  <c r="Q164" i="50"/>
  <c r="V164" i="50"/>
  <c r="AB164" i="50"/>
  <c r="AH164" i="50"/>
  <c r="AN164" i="50"/>
  <c r="AT164" i="50"/>
  <c r="Q177" i="50"/>
  <c r="V177" i="50"/>
  <c r="AB177" i="50"/>
  <c r="AH177" i="50"/>
  <c r="AN177" i="50"/>
  <c r="AT177" i="50"/>
  <c r="Q178" i="50"/>
  <c r="V178" i="50"/>
  <c r="AB178" i="50"/>
  <c r="AH178" i="50"/>
  <c r="AN178" i="50"/>
  <c r="AT178" i="50"/>
  <c r="Q179" i="50"/>
  <c r="V179" i="50"/>
  <c r="AB179" i="50"/>
  <c r="AH179" i="50"/>
  <c r="AN179" i="50"/>
  <c r="AT179" i="50"/>
  <c r="Q180" i="50"/>
  <c r="V180" i="50"/>
  <c r="AB180" i="50"/>
  <c r="AH180" i="50"/>
  <c r="AN180" i="50"/>
  <c r="AT180" i="50"/>
  <c r="Q181" i="50"/>
  <c r="V181" i="50"/>
  <c r="AB181" i="50"/>
  <c r="AH181" i="50"/>
  <c r="AN181" i="50"/>
  <c r="AT181" i="50"/>
  <c r="Q182" i="50"/>
  <c r="V182" i="50"/>
  <c r="AB182" i="50"/>
  <c r="AH182" i="50"/>
  <c r="AI182" i="50" s="1"/>
  <c r="AN182" i="50"/>
  <c r="AT182" i="50"/>
  <c r="Q183" i="50"/>
  <c r="V183" i="50"/>
  <c r="AB183" i="50"/>
  <c r="AH183" i="50"/>
  <c r="AN183" i="50"/>
  <c r="AT183" i="50"/>
  <c r="Q184" i="50"/>
  <c r="V184" i="50"/>
  <c r="AB184" i="50"/>
  <c r="AH184" i="50"/>
  <c r="AN184" i="50"/>
  <c r="AT184" i="50"/>
  <c r="Q185" i="50"/>
  <c r="AC185" i="50" s="1"/>
  <c r="V185" i="50"/>
  <c r="AB185" i="50"/>
  <c r="AH185" i="50"/>
  <c r="AN185" i="50"/>
  <c r="AT185" i="50"/>
  <c r="Q186" i="50"/>
  <c r="V186" i="50"/>
  <c r="AB186" i="50"/>
  <c r="AH186" i="50"/>
  <c r="AN186" i="50"/>
  <c r="AT186" i="50"/>
  <c r="Q188" i="50"/>
  <c r="V188" i="50"/>
  <c r="AB188" i="50"/>
  <c r="AH188" i="50"/>
  <c r="AN188" i="50"/>
  <c r="AT188" i="50"/>
  <c r="Q261" i="50"/>
  <c r="V261" i="50"/>
  <c r="AB261" i="50"/>
  <c r="AH261" i="50"/>
  <c r="AN261" i="50"/>
  <c r="AT261" i="50"/>
  <c r="Q189" i="50"/>
  <c r="V189" i="50"/>
  <c r="AB189" i="50"/>
  <c r="AH189" i="50"/>
  <c r="AN189" i="50"/>
  <c r="AT189" i="50"/>
  <c r="Q190" i="50"/>
  <c r="V190" i="50"/>
  <c r="AB190" i="50"/>
  <c r="AH190" i="50"/>
  <c r="AN190" i="50"/>
  <c r="AT190" i="50"/>
  <c r="Q191" i="50"/>
  <c r="V191" i="50"/>
  <c r="AB191" i="50"/>
  <c r="AH191" i="50"/>
  <c r="AN191" i="50"/>
  <c r="AT191" i="50"/>
  <c r="Q192" i="50"/>
  <c r="V192" i="50"/>
  <c r="AB192" i="50"/>
  <c r="AH192" i="50"/>
  <c r="AN192" i="50"/>
  <c r="AT192" i="50"/>
  <c r="Q193" i="50"/>
  <c r="V193" i="50"/>
  <c r="AB193" i="50"/>
  <c r="AH193" i="50"/>
  <c r="AN193" i="50"/>
  <c r="AT193" i="50"/>
  <c r="Q194" i="50"/>
  <c r="V194" i="50"/>
  <c r="AB194" i="50"/>
  <c r="AH194" i="50"/>
  <c r="AN194" i="50"/>
  <c r="AT194" i="50"/>
  <c r="Q195" i="50"/>
  <c r="V195" i="50"/>
  <c r="AB195" i="50"/>
  <c r="AH195" i="50"/>
  <c r="AI195" i="50" s="1"/>
  <c r="AN195" i="50"/>
  <c r="AT195" i="50"/>
  <c r="V213" i="50"/>
  <c r="W213" i="50" s="1"/>
  <c r="AB213" i="50"/>
  <c r="AC213" i="50" s="1"/>
  <c r="AH213" i="50"/>
  <c r="AI213" i="50" s="1"/>
  <c r="AN213" i="50"/>
  <c r="AO213" i="50" s="1"/>
  <c r="AT213" i="50"/>
  <c r="AU213" i="50" s="1"/>
  <c r="Q214" i="50"/>
  <c r="V214" i="50"/>
  <c r="AB214" i="50"/>
  <c r="AH214" i="50"/>
  <c r="AN214" i="50"/>
  <c r="AO214" i="50" s="1"/>
  <c r="AT214" i="50"/>
  <c r="Q215" i="50"/>
  <c r="V215" i="50"/>
  <c r="AB215" i="50"/>
  <c r="AH215" i="50"/>
  <c r="AN215" i="50"/>
  <c r="AT215" i="50"/>
  <c r="Q216" i="50"/>
  <c r="V216" i="50"/>
  <c r="AB216" i="50"/>
  <c r="AH216" i="50"/>
  <c r="AN216" i="50"/>
  <c r="AT216" i="50"/>
  <c r="Q217" i="50"/>
  <c r="V217" i="50"/>
  <c r="AB217" i="50"/>
  <c r="AH217" i="50"/>
  <c r="AN217" i="50"/>
  <c r="AT217" i="50"/>
  <c r="Q218" i="50"/>
  <c r="AO218" i="50" s="1"/>
  <c r="V218" i="50"/>
  <c r="AB218" i="50"/>
  <c r="AH218" i="50"/>
  <c r="AN218" i="50"/>
  <c r="AT218" i="50"/>
  <c r="Q219" i="50"/>
  <c r="V219" i="50"/>
  <c r="AB219" i="50"/>
  <c r="AH219" i="50"/>
  <c r="AN219" i="50"/>
  <c r="AT219" i="50"/>
  <c r="Q220" i="50"/>
  <c r="V220" i="50"/>
  <c r="AB220" i="50"/>
  <c r="AH220" i="50"/>
  <c r="AN220" i="50"/>
  <c r="AT220" i="50"/>
  <c r="Q221" i="50"/>
  <c r="V221" i="50"/>
  <c r="AB221" i="50"/>
  <c r="AH221" i="50"/>
  <c r="AN221" i="50"/>
  <c r="AT221" i="50"/>
  <c r="Q222" i="50"/>
  <c r="V222" i="50"/>
  <c r="AB222" i="50"/>
  <c r="AH222" i="50"/>
  <c r="AN222" i="50"/>
  <c r="AT222" i="50"/>
  <c r="Q223" i="50"/>
  <c r="V223" i="50"/>
  <c r="AB223" i="50"/>
  <c r="AH223" i="50"/>
  <c r="AN223" i="50"/>
  <c r="AT223" i="50"/>
  <c r="Q224" i="50"/>
  <c r="V224" i="50"/>
  <c r="AB224" i="50"/>
  <c r="AH224" i="50"/>
  <c r="AN224" i="50"/>
  <c r="AT224" i="50"/>
  <c r="Q225" i="50"/>
  <c r="V225" i="50"/>
  <c r="AB225" i="50"/>
  <c r="AH225" i="50"/>
  <c r="AN225" i="50"/>
  <c r="AT225" i="50"/>
  <c r="Q226" i="50"/>
  <c r="V226" i="50"/>
  <c r="AB226" i="50"/>
  <c r="AH226" i="50"/>
  <c r="AN226" i="50"/>
  <c r="AT226" i="50"/>
  <c r="Q227" i="50"/>
  <c r="V227" i="50"/>
  <c r="AB227" i="50"/>
  <c r="AH227" i="50"/>
  <c r="AN227" i="50"/>
  <c r="AT227" i="50"/>
  <c r="Q228" i="50"/>
  <c r="V228" i="50"/>
  <c r="AB228" i="50"/>
  <c r="AH228" i="50"/>
  <c r="AN228" i="50"/>
  <c r="AT228" i="50"/>
  <c r="Q229" i="50"/>
  <c r="V229" i="50"/>
  <c r="AB229" i="50"/>
  <c r="AH229" i="50"/>
  <c r="AN229" i="50"/>
  <c r="AT229" i="50"/>
  <c r="Q230" i="50"/>
  <c r="V230" i="50"/>
  <c r="AB230" i="50"/>
  <c r="AH230" i="50"/>
  <c r="AN230" i="50"/>
  <c r="AT230" i="50"/>
  <c r="Q231" i="50"/>
  <c r="V231" i="50"/>
  <c r="AB231" i="50"/>
  <c r="AH231" i="50"/>
  <c r="AN231" i="50"/>
  <c r="AT231" i="50"/>
  <c r="Q232" i="50"/>
  <c r="V232" i="50"/>
  <c r="AB232" i="50"/>
  <c r="AH232" i="50"/>
  <c r="AN232" i="50"/>
  <c r="AT232" i="50"/>
  <c r="Q233" i="50"/>
  <c r="V233" i="50"/>
  <c r="AB233" i="50"/>
  <c r="AH233" i="50"/>
  <c r="AN233" i="50"/>
  <c r="AT233" i="50"/>
  <c r="Q234" i="50"/>
  <c r="V234" i="50"/>
  <c r="AB234" i="50"/>
  <c r="AH234" i="50"/>
  <c r="AN234" i="50"/>
  <c r="AT234" i="50"/>
  <c r="Q235" i="50"/>
  <c r="V235" i="50"/>
  <c r="AB235" i="50"/>
  <c r="AH235" i="50"/>
  <c r="AN235" i="50"/>
  <c r="AT235" i="50"/>
  <c r="Q236" i="50"/>
  <c r="V236" i="50"/>
  <c r="AB236" i="50"/>
  <c r="AH236" i="50"/>
  <c r="AN236" i="50"/>
  <c r="AT236" i="50"/>
  <c r="Q237" i="50"/>
  <c r="V237" i="50"/>
  <c r="AB237" i="50"/>
  <c r="AH237" i="50"/>
  <c r="AN237" i="50"/>
  <c r="AT237" i="50"/>
  <c r="Q238" i="50"/>
  <c r="V238" i="50"/>
  <c r="AB238" i="50"/>
  <c r="AH238" i="50"/>
  <c r="AN238" i="50"/>
  <c r="AT238" i="50"/>
  <c r="Q239" i="50"/>
  <c r="V239" i="50"/>
  <c r="AB239" i="50"/>
  <c r="AH239" i="50"/>
  <c r="AN239" i="50"/>
  <c r="AT239" i="50"/>
  <c r="Q240" i="50"/>
  <c r="V240" i="50"/>
  <c r="AB240" i="50"/>
  <c r="AH240" i="50"/>
  <c r="AN240" i="50"/>
  <c r="AT240" i="50"/>
  <c r="Q241" i="50"/>
  <c r="V241" i="50"/>
  <c r="AB241" i="50"/>
  <c r="AH241" i="50"/>
  <c r="AN241" i="50"/>
  <c r="AT241" i="50"/>
  <c r="Q242" i="50"/>
  <c r="AO242" i="50" s="1"/>
  <c r="V242" i="50"/>
  <c r="AB242" i="50"/>
  <c r="AH242" i="50"/>
  <c r="AN242" i="50"/>
  <c r="AT242" i="50"/>
  <c r="Q243" i="50"/>
  <c r="V243" i="50"/>
  <c r="AB243" i="50"/>
  <c r="AH243" i="50"/>
  <c r="AN243" i="50"/>
  <c r="AT243" i="50"/>
  <c r="Q244" i="50"/>
  <c r="V244" i="50"/>
  <c r="AB244" i="50"/>
  <c r="AH244" i="50"/>
  <c r="AN244" i="50"/>
  <c r="AT244" i="50"/>
  <c r="Q245" i="50"/>
  <c r="V245" i="50"/>
  <c r="AB245" i="50"/>
  <c r="AH245" i="50"/>
  <c r="AN245" i="50"/>
  <c r="AT245" i="50"/>
  <c r="Q246" i="50"/>
  <c r="V246" i="50"/>
  <c r="AB246" i="50"/>
  <c r="AC246" i="50" s="1"/>
  <c r="AH246" i="50"/>
  <c r="AN246" i="50"/>
  <c r="AT246" i="50"/>
  <c r="Q247" i="50"/>
  <c r="V247" i="50"/>
  <c r="AB247" i="50"/>
  <c r="AH247" i="50"/>
  <c r="AN247" i="50"/>
  <c r="AT247" i="50"/>
  <c r="Q64" i="50"/>
  <c r="V64" i="50"/>
  <c r="AB64" i="50"/>
  <c r="AH64" i="50"/>
  <c r="AN64" i="50"/>
  <c r="AT64" i="50"/>
  <c r="Q65" i="50"/>
  <c r="V65" i="50"/>
  <c r="AB65" i="50"/>
  <c r="AH65" i="50"/>
  <c r="AN65" i="50"/>
  <c r="AT65" i="50"/>
  <c r="Q66" i="50"/>
  <c r="AO66" i="50" s="1"/>
  <c r="V66" i="50"/>
  <c r="AB66" i="50"/>
  <c r="AH66" i="50"/>
  <c r="AN66" i="50"/>
  <c r="AT66" i="50"/>
  <c r="Q67" i="50"/>
  <c r="V67" i="50"/>
  <c r="AB67" i="50"/>
  <c r="AH67" i="50"/>
  <c r="AN67" i="50"/>
  <c r="AT67" i="50"/>
  <c r="Q68" i="50"/>
  <c r="V68" i="50"/>
  <c r="AB68" i="50"/>
  <c r="AH68" i="50"/>
  <c r="AN68" i="50"/>
  <c r="AT68" i="50"/>
  <c r="Q69" i="50"/>
  <c r="V69" i="50"/>
  <c r="AB69" i="50"/>
  <c r="AH69" i="50"/>
  <c r="AN69" i="50"/>
  <c r="AT69" i="50"/>
  <c r="Q70" i="50"/>
  <c r="V70" i="50"/>
  <c r="AB70" i="50"/>
  <c r="AH70" i="50"/>
  <c r="AN70" i="50"/>
  <c r="AT70" i="50"/>
  <c r="Q165" i="50"/>
  <c r="V165" i="50"/>
  <c r="AB165" i="50"/>
  <c r="AH165" i="50"/>
  <c r="AI165" i="50" s="1"/>
  <c r="AN165" i="50"/>
  <c r="AT165" i="50"/>
  <c r="Q166" i="50"/>
  <c r="V166" i="50"/>
  <c r="AB166" i="50"/>
  <c r="AH166" i="50"/>
  <c r="AN166" i="50"/>
  <c r="AT166" i="50"/>
  <c r="Q167" i="50"/>
  <c r="V167" i="50"/>
  <c r="AB167" i="50"/>
  <c r="AH167" i="50"/>
  <c r="AN167" i="50"/>
  <c r="AT167" i="50"/>
  <c r="Q168" i="50"/>
  <c r="V168" i="50"/>
  <c r="AB168" i="50"/>
  <c r="AH168" i="50"/>
  <c r="AN168" i="50"/>
  <c r="AT168" i="50"/>
  <c r="Q169" i="50"/>
  <c r="V169" i="50"/>
  <c r="AB169" i="50"/>
  <c r="AH169" i="50"/>
  <c r="AN169" i="50"/>
  <c r="AT169" i="50"/>
  <c r="Q170" i="50"/>
  <c r="V170" i="50"/>
  <c r="AB170" i="50"/>
  <c r="AH170" i="50"/>
  <c r="AN170" i="50"/>
  <c r="AT170" i="50"/>
  <c r="Q171" i="50"/>
  <c r="V171" i="50"/>
  <c r="AB171" i="50"/>
  <c r="AH171" i="50"/>
  <c r="AN171" i="50"/>
  <c r="AT171" i="50"/>
  <c r="Q172" i="50"/>
  <c r="V172" i="50"/>
  <c r="AB172" i="50"/>
  <c r="AH172" i="50"/>
  <c r="AN172" i="50"/>
  <c r="AT172" i="50"/>
  <c r="Q173" i="50"/>
  <c r="V173" i="50"/>
  <c r="AB173" i="50"/>
  <c r="AH173" i="50"/>
  <c r="AN173" i="50"/>
  <c r="AT173" i="50"/>
  <c r="Q174" i="50"/>
  <c r="V174" i="50"/>
  <c r="AB174" i="50"/>
  <c r="AH174" i="50"/>
  <c r="AN174" i="50"/>
  <c r="AT174" i="50"/>
  <c r="Q175" i="50"/>
  <c r="V175" i="50"/>
  <c r="AB175" i="50"/>
  <c r="AH175" i="50"/>
  <c r="AN175" i="50"/>
  <c r="AT175" i="50"/>
  <c r="Q176" i="50"/>
  <c r="V176" i="50"/>
  <c r="AB176" i="50"/>
  <c r="AH176" i="50"/>
  <c r="AN176" i="50"/>
  <c r="AT176" i="50"/>
  <c r="K93" i="55" a="1"/>
  <c r="K93" i="55" s="1"/>
  <c r="L93" i="55" a="1"/>
  <c r="L93" i="55" s="1"/>
  <c r="L91" i="55" a="1"/>
  <c r="L91" i="55" s="1"/>
  <c r="L555" i="55" a="1"/>
  <c r="L555" i="55" s="1"/>
  <c r="K555" i="55" a="1"/>
  <c r="K555" i="55" s="1"/>
  <c r="L554" i="55" a="1"/>
  <c r="L554" i="55" s="1"/>
  <c r="K554" i="55" a="1"/>
  <c r="K554" i="55" s="1"/>
  <c r="L553" i="55" a="1"/>
  <c r="L553" i="55" s="1"/>
  <c r="K553" i="55" a="1"/>
  <c r="K553" i="55" s="1"/>
  <c r="L524" i="55" a="1"/>
  <c r="L524" i="55" s="1"/>
  <c r="K524" i="55" a="1"/>
  <c r="K524" i="55" s="1"/>
  <c r="L523" i="55" a="1"/>
  <c r="L523" i="55" s="1"/>
  <c r="K523" i="55" a="1"/>
  <c r="K523" i="55" s="1"/>
  <c r="L522" i="55" a="1"/>
  <c r="L522" i="55" s="1"/>
  <c r="K522" i="55" a="1"/>
  <c r="K522" i="55" s="1"/>
  <c r="L493" i="55" a="1"/>
  <c r="L493" i="55" s="1"/>
  <c r="K493" i="55" a="1"/>
  <c r="K493" i="55" s="1"/>
  <c r="L492" i="55" a="1"/>
  <c r="L492" i="55" s="1"/>
  <c r="K492" i="55" a="1"/>
  <c r="K492" i="55" s="1"/>
  <c r="L491" i="55" a="1"/>
  <c r="L491" i="55" s="1"/>
  <c r="K491" i="55" a="1"/>
  <c r="K491" i="55" s="1"/>
  <c r="K462" i="55" a="1"/>
  <c r="K462" i="55" s="1"/>
  <c r="L461" i="55" a="1"/>
  <c r="L461" i="55" s="1"/>
  <c r="K461" i="55" a="1"/>
  <c r="K461" i="55" s="1"/>
  <c r="L460" i="55" a="1"/>
  <c r="L460" i="55" s="1"/>
  <c r="K460" i="55" a="1"/>
  <c r="K460" i="55" s="1"/>
  <c r="K458" i="55" a="1"/>
  <c r="K458" i="55" s="1"/>
  <c r="L462" i="55" a="1"/>
  <c r="L462" i="55" s="1"/>
  <c r="L431" i="55" a="1"/>
  <c r="L431" i="55" s="1"/>
  <c r="K431" i="55" a="1"/>
  <c r="K431" i="55" s="1"/>
  <c r="L400" i="55" a="1"/>
  <c r="L400" i="55" s="1"/>
  <c r="K400" i="55" a="1"/>
  <c r="K400" i="55" s="1"/>
  <c r="L399" i="55" a="1"/>
  <c r="L399" i="55" s="1"/>
  <c r="K399" i="55" a="1"/>
  <c r="K399" i="55" s="1"/>
  <c r="L369" i="55" a="1"/>
  <c r="L369" i="55" s="1"/>
  <c r="K369" i="55" a="1"/>
  <c r="K369" i="55" s="1"/>
  <c r="L368" i="55" a="1"/>
  <c r="L368" i="55" s="1"/>
  <c r="K368" i="55" a="1"/>
  <c r="K368" i="55" s="1"/>
  <c r="L367" i="55" a="1"/>
  <c r="L367" i="55" s="1"/>
  <c r="K367" i="55" a="1"/>
  <c r="K367" i="55" s="1"/>
  <c r="L307" i="55" a="1"/>
  <c r="L307" i="55" s="1"/>
  <c r="K307" i="55" a="1"/>
  <c r="K307" i="55" s="1"/>
  <c r="L306" i="55" a="1"/>
  <c r="L306" i="55" s="1"/>
  <c r="K306" i="55" a="1"/>
  <c r="K306" i="55" s="1"/>
  <c r="K27" i="55" a="1"/>
  <c r="K27" i="55" s="1"/>
  <c r="L246" i="55" a="1"/>
  <c r="L246" i="55" s="1"/>
  <c r="K246" i="55" a="1"/>
  <c r="K246" i="55" s="1"/>
  <c r="K277" i="55" a="1"/>
  <c r="K277" i="55" s="1"/>
  <c r="L277" i="55" a="1"/>
  <c r="L277" i="55" s="1"/>
  <c r="K278" i="55" a="1"/>
  <c r="K278" i="55" s="1"/>
  <c r="L92" i="55" a="1"/>
  <c r="L92" i="55" s="1"/>
  <c r="L278" i="55" a="1"/>
  <c r="L278" i="55" s="1"/>
  <c r="L122" i="55" a="1"/>
  <c r="L122" i="55" s="1"/>
  <c r="L116" i="55" a="1"/>
  <c r="L116" i="55" s="1"/>
  <c r="K301" i="55" a="1"/>
  <c r="K301" i="55" s="1"/>
  <c r="L305" i="55" a="1"/>
  <c r="L305" i="55" s="1"/>
  <c r="K305" i="55" a="1"/>
  <c r="K305" i="55" s="1"/>
  <c r="L304" i="55" a="1"/>
  <c r="L304" i="55" s="1"/>
  <c r="K304" i="55" a="1"/>
  <c r="K304" i="55" s="1"/>
  <c r="L303" i="55" a="1"/>
  <c r="L303" i="55" s="1"/>
  <c r="K303" i="55" a="1"/>
  <c r="K303" i="55" s="1"/>
  <c r="K92" i="55" a="1"/>
  <c r="K92" i="55" s="1"/>
  <c r="K117" i="55" a="1"/>
  <c r="K117" i="55" s="1"/>
  <c r="L184" i="55" a="1"/>
  <c r="L184" i="55" s="1"/>
  <c r="L245" i="55" a="1"/>
  <c r="L245" i="55" s="1"/>
  <c r="L301" i="55" a="1"/>
  <c r="L301" i="55" s="1"/>
  <c r="L27" i="55" a="1"/>
  <c r="L27" i="55" s="1"/>
  <c r="L118" i="55" a="1"/>
  <c r="L118" i="55" s="1"/>
  <c r="K216" i="55" a="1"/>
  <c r="K216" i="55" s="1"/>
  <c r="K247" i="55" a="1"/>
  <c r="K247" i="55" s="1"/>
  <c r="K302" i="55" a="1"/>
  <c r="K302" i="55" s="1"/>
  <c r="K119" i="55" a="1"/>
  <c r="K119" i="55" s="1"/>
  <c r="L216" i="55" a="1"/>
  <c r="L216" i="55" s="1"/>
  <c r="L247" i="55" a="1"/>
  <c r="L247" i="55" s="1"/>
  <c r="L302" i="55" a="1"/>
  <c r="L302" i="55" s="1"/>
  <c r="L119" i="55" a="1"/>
  <c r="L119" i="55" s="1"/>
  <c r="K118" i="55" a="1"/>
  <c r="K118" i="55" s="1"/>
  <c r="K89" i="55" a="1"/>
  <c r="K89" i="55" s="1"/>
  <c r="K120" i="55" a="1"/>
  <c r="K120" i="55" s="1"/>
  <c r="L89" i="55" a="1"/>
  <c r="L89" i="55" s="1"/>
  <c r="L120" i="55" a="1"/>
  <c r="L120" i="55" s="1"/>
  <c r="K90" i="55" a="1"/>
  <c r="K90" i="55" s="1"/>
  <c r="K121" i="55" a="1"/>
  <c r="K121" i="55" s="1"/>
  <c r="L90" i="55" a="1"/>
  <c r="L90" i="55" s="1"/>
  <c r="L121" i="55" a="1"/>
  <c r="L121" i="55" s="1"/>
  <c r="K91" i="55" a="1"/>
  <c r="K91" i="55" s="1"/>
  <c r="K116" i="55" a="1"/>
  <c r="K116" i="55" s="1"/>
  <c r="K122" i="55" a="1"/>
  <c r="K122" i="55" s="1"/>
  <c r="L117" i="55" a="1"/>
  <c r="L117" i="55" s="1"/>
  <c r="K184" i="55" a="1"/>
  <c r="K184" i="55" s="1"/>
  <c r="K245" i="55" a="1"/>
  <c r="K245" i="55" s="1"/>
  <c r="AC12" i="50"/>
  <c r="AC114" i="50"/>
  <c r="AU101" i="50"/>
  <c r="AU36" i="50"/>
  <c r="AO31" i="50"/>
  <c r="W36" i="50"/>
  <c r="AU12" i="50"/>
  <c r="AU15" i="50"/>
  <c r="W249" i="50"/>
  <c r="AO20" i="50"/>
  <c r="AU115" i="50"/>
  <c r="AU20" i="50"/>
  <c r="AO10" i="50"/>
  <c r="AO7" i="50"/>
  <c r="AU249" i="50"/>
  <c r="AI10" i="50"/>
  <c r="AO44" i="50"/>
  <c r="W31" i="50"/>
  <c r="AI23" i="50"/>
  <c r="AU40" i="50"/>
  <c r="AU19" i="50"/>
  <c r="AO19" i="50"/>
  <c r="W107" i="50"/>
  <c r="W5" i="50"/>
  <c r="AC7" i="50"/>
  <c r="AI26" i="50"/>
  <c r="AO23" i="50"/>
  <c r="AI15" i="50"/>
  <c r="W12" i="50"/>
  <c r="AO75" i="50"/>
  <c r="AU28" i="50"/>
  <c r="AO18" i="50"/>
  <c r="AO248" i="50"/>
  <c r="AU11" i="50"/>
  <c r="AO55" i="50"/>
  <c r="AO11" i="50"/>
  <c r="AU5" i="50"/>
  <c r="W27" i="50"/>
  <c r="AI248" i="50"/>
  <c r="AO72" i="50"/>
  <c r="AO27" i="50"/>
  <c r="AO15" i="50"/>
  <c r="AI48" i="50"/>
  <c r="AU35" i="50"/>
  <c r="AU23" i="50"/>
  <c r="Q3" i="44"/>
  <c r="A21" i="45" a="1"/>
  <c r="A21" i="45" s="1"/>
  <c r="X1" i="51"/>
  <c r="R1" i="51"/>
  <c r="M1" i="51"/>
  <c r="V4" i="51"/>
  <c r="Q4" i="51"/>
  <c r="AI4" i="51" s="1"/>
  <c r="AT4" i="51"/>
  <c r="AN4" i="51"/>
  <c r="AH4" i="51"/>
  <c r="AB4" i="51"/>
  <c r="AT3" i="51"/>
  <c r="AN3" i="51"/>
  <c r="AH3" i="51"/>
  <c r="AB3" i="51"/>
  <c r="V3" i="51"/>
  <c r="W3" i="51" s="1"/>
  <c r="Q3" i="51"/>
  <c r="AP1" i="51"/>
  <c r="AJ1" i="51"/>
  <c r="AD1" i="51"/>
  <c r="A10" i="53" a="1"/>
  <c r="A10" i="53" s="1"/>
  <c r="AT3" i="50"/>
  <c r="AN3" i="50"/>
  <c r="AH3" i="50"/>
  <c r="AB3" i="50"/>
  <c r="V3" i="50"/>
  <c r="Q3" i="50"/>
  <c r="K31" i="53"/>
  <c r="K30" i="53"/>
  <c r="K29" i="53"/>
  <c r="K28" i="53"/>
  <c r="K27" i="53"/>
  <c r="K26" i="53"/>
  <c r="K25" i="53"/>
  <c r="K24" i="53"/>
  <c r="K23" i="53"/>
  <c r="K22" i="53"/>
  <c r="K21" i="53"/>
  <c r="C4" i="54"/>
  <c r="B9" i="53"/>
  <c r="C5" i="53"/>
  <c r="A1" i="52"/>
  <c r="K20" i="53"/>
  <c r="K19" i="53"/>
  <c r="K18" i="53"/>
  <c r="K14" i="53"/>
  <c r="K17" i="53"/>
  <c r="K13" i="53"/>
  <c r="K16" i="53"/>
  <c r="K15" i="53"/>
  <c r="Q4" i="48"/>
  <c r="P4" i="48"/>
  <c r="R4" i="48"/>
  <c r="Q4" i="47"/>
  <c r="P4" i="47"/>
  <c r="R4" i="47"/>
  <c r="Q3" i="41"/>
  <c r="A7" i="45"/>
  <c r="E5" i="45"/>
  <c r="Q3" i="40"/>
  <c r="AI36" i="51" l="1"/>
  <c r="AO25" i="51"/>
  <c r="AU35" i="51"/>
  <c r="AI25" i="51"/>
  <c r="AO14" i="51"/>
  <c r="AO35" i="51"/>
  <c r="AU24" i="51"/>
  <c r="AI14" i="51"/>
  <c r="AI35" i="51"/>
  <c r="AO24" i="51"/>
  <c r="AU13" i="51"/>
  <c r="AU34" i="51"/>
  <c r="AI24" i="51"/>
  <c r="AO13" i="51"/>
  <c r="AO34" i="51"/>
  <c r="AU23" i="51"/>
  <c r="AI13" i="51"/>
  <c r="AI34" i="51"/>
  <c r="AO23" i="51"/>
  <c r="AU12" i="51"/>
  <c r="AU33" i="51"/>
  <c r="AI23" i="51"/>
  <c r="AO12" i="51"/>
  <c r="AO33" i="51"/>
  <c r="AU22" i="51"/>
  <c r="AI12" i="51"/>
  <c r="AI33" i="51"/>
  <c r="AO22" i="51"/>
  <c r="AU11" i="51"/>
  <c r="AU32" i="51"/>
  <c r="AI22" i="51"/>
  <c r="AO11" i="51"/>
  <c r="AU3" i="51"/>
  <c r="AC17" i="51"/>
  <c r="AO32" i="51"/>
  <c r="AU21" i="51"/>
  <c r="AI11" i="51"/>
  <c r="AU42" i="51"/>
  <c r="AI32" i="51"/>
  <c r="AO21" i="51"/>
  <c r="AU10" i="51"/>
  <c r="AO42" i="51"/>
  <c r="AU31" i="51"/>
  <c r="AI21" i="51"/>
  <c r="AO10" i="51"/>
  <c r="AI42" i="51"/>
  <c r="AO31" i="51"/>
  <c r="AU20" i="51"/>
  <c r="AI10" i="51"/>
  <c r="W36" i="51"/>
  <c r="AU41" i="51"/>
  <c r="AI31" i="51"/>
  <c r="AO20" i="51"/>
  <c r="AU9" i="51"/>
  <c r="AO41" i="51"/>
  <c r="AU30" i="51"/>
  <c r="AI20" i="51"/>
  <c r="AO9" i="51"/>
  <c r="AI41" i="51"/>
  <c r="AO30" i="51"/>
  <c r="AU19" i="51"/>
  <c r="AI9" i="51"/>
  <c r="AU40" i="51"/>
  <c r="AI30" i="51"/>
  <c r="AO19" i="51"/>
  <c r="AU8" i="51"/>
  <c r="AO40" i="51"/>
  <c r="AU29" i="51"/>
  <c r="AI19" i="51"/>
  <c r="AO8" i="51"/>
  <c r="AI40" i="51"/>
  <c r="AO29" i="51"/>
  <c r="AU18" i="51"/>
  <c r="AI8" i="51"/>
  <c r="AU39" i="51"/>
  <c r="AI29" i="51"/>
  <c r="AO18" i="51"/>
  <c r="AU7" i="51"/>
  <c r="AO39" i="51"/>
  <c r="AU28" i="51"/>
  <c r="AI18" i="51"/>
  <c r="AO7" i="51"/>
  <c r="W29" i="51"/>
  <c r="AI39" i="51"/>
  <c r="AO28" i="51"/>
  <c r="AU17" i="51"/>
  <c r="AI7" i="51"/>
  <c r="AU38" i="51"/>
  <c r="AI28" i="51"/>
  <c r="AO17" i="51"/>
  <c r="AU6" i="51"/>
  <c r="AO38" i="51"/>
  <c r="AU27" i="51"/>
  <c r="AI17" i="51"/>
  <c r="AO6" i="51"/>
  <c r="AI38" i="51"/>
  <c r="AO27" i="51"/>
  <c r="AU16" i="51"/>
  <c r="AI6" i="51"/>
  <c r="AU37" i="51"/>
  <c r="AI27" i="51"/>
  <c r="AO16" i="51"/>
  <c r="AU5" i="51"/>
  <c r="AO37" i="51"/>
  <c r="AU26" i="51"/>
  <c r="AI16" i="51"/>
  <c r="AO5" i="51"/>
  <c r="W28" i="51"/>
  <c r="AI37" i="51"/>
  <c r="AO26" i="51"/>
  <c r="AU15" i="51"/>
  <c r="AI5" i="51"/>
  <c r="AU173" i="50"/>
  <c r="AO182" i="50"/>
  <c r="AC177" i="50"/>
  <c r="AO87" i="50"/>
  <c r="AI247" i="50"/>
  <c r="AI215" i="50"/>
  <c r="AU92" i="50"/>
  <c r="AU76" i="50"/>
  <c r="AU48" i="50"/>
  <c r="AU4" i="50"/>
  <c r="AO107" i="50"/>
  <c r="AO76" i="50"/>
  <c r="AI107" i="50"/>
  <c r="AI92" i="50"/>
  <c r="AI76" i="50"/>
  <c r="W14" i="50"/>
  <c r="AC4" i="50"/>
  <c r="W4" i="50"/>
  <c r="AO159" i="50"/>
  <c r="AC28" i="50"/>
  <c r="AO58" i="50"/>
  <c r="AO149" i="50"/>
  <c r="W28" i="50"/>
  <c r="AI58" i="50"/>
  <c r="W204" i="50"/>
  <c r="AO100" i="50"/>
  <c r="AO21" i="50"/>
  <c r="AC145" i="50"/>
  <c r="AO142" i="50"/>
  <c r="AO130" i="50"/>
  <c r="AI99" i="50"/>
  <c r="W199" i="50"/>
  <c r="AU130" i="50"/>
  <c r="AI70" i="50"/>
  <c r="AI142" i="50"/>
  <c r="AI130" i="50"/>
  <c r="AC99" i="50"/>
  <c r="AC94" i="50"/>
  <c r="W198" i="50"/>
  <c r="AO194" i="50"/>
  <c r="AO125" i="50"/>
  <c r="AI197" i="50"/>
  <c r="W197" i="50"/>
  <c r="AZ17" i="31"/>
  <c r="AH36" i="31"/>
  <c r="AB30" i="31"/>
  <c r="AN19" i="31"/>
  <c r="AD10" i="31"/>
  <c r="AB24" i="31"/>
  <c r="AB36" i="31"/>
  <c r="V30" i="31"/>
  <c r="AT3" i="31"/>
  <c r="V16" i="31"/>
  <c r="V13" i="31"/>
  <c r="AZ40" i="31"/>
  <c r="AD42" i="31"/>
  <c r="AN34" i="31"/>
  <c r="AH22" i="31"/>
  <c r="AN14" i="31"/>
  <c r="AZ26" i="31"/>
  <c r="AZ29" i="31"/>
  <c r="AT20" i="31"/>
  <c r="AP9" i="31"/>
  <c r="AZ23" i="31"/>
  <c r="AB17" i="31"/>
  <c r="AH37" i="31"/>
  <c r="AT32" i="31"/>
  <c r="V22" i="31"/>
  <c r="AZ18" i="31"/>
  <c r="V8" i="31"/>
  <c r="AJ42" i="31"/>
  <c r="AH20" i="31"/>
  <c r="AV35" i="31"/>
  <c r="AH40" i="31"/>
  <c r="AB6" i="31"/>
  <c r="AH29" i="31"/>
  <c r="AB20" i="31"/>
  <c r="AT10" i="31"/>
  <c r="AB9" i="31"/>
  <c r="AH23" i="31"/>
  <c r="AT21" i="31"/>
  <c r="X26" i="31"/>
  <c r="V40" i="31"/>
  <c r="AB18" i="31"/>
  <c r="BB42" i="31"/>
  <c r="AT36" i="31"/>
  <c r="AZ19" i="31"/>
  <c r="AN16" i="31"/>
  <c r="AZ8" i="31"/>
  <c r="I15" i="31"/>
  <c r="AT5" i="31"/>
  <c r="AZ27" i="31"/>
  <c r="AZ7" i="31"/>
  <c r="AZ41" i="31"/>
  <c r="AZ20" i="31"/>
  <c r="AZ25" i="31"/>
  <c r="AZ5" i="31"/>
  <c r="AZ43" i="31"/>
  <c r="AT11" i="31"/>
  <c r="AT23" i="31"/>
  <c r="AT12" i="31"/>
  <c r="AT34" i="31"/>
  <c r="AT25" i="31"/>
  <c r="AT26" i="31"/>
  <c r="AN31" i="31"/>
  <c r="AN27" i="31"/>
  <c r="AN3" i="31"/>
  <c r="AN15" i="31"/>
  <c r="AN33" i="31"/>
  <c r="AN20" i="31"/>
  <c r="AN42" i="31"/>
  <c r="AN9" i="31"/>
  <c r="AN43" i="31"/>
  <c r="AH10" i="31"/>
  <c r="AH6" i="31"/>
  <c r="AH15" i="31"/>
  <c r="AH25" i="31"/>
  <c r="AB13" i="31"/>
  <c r="AB26" i="31"/>
  <c r="AB11" i="31"/>
  <c r="AB28" i="31"/>
  <c r="AB16" i="31"/>
  <c r="AB34" i="31"/>
  <c r="AB8" i="31"/>
  <c r="AB43" i="31"/>
  <c r="I176" i="30"/>
  <c r="I144" i="30"/>
  <c r="I33" i="30"/>
  <c r="Y181" i="30"/>
  <c r="T167" i="30"/>
  <c r="T126" i="30"/>
  <c r="I159" i="30"/>
  <c r="I64" i="30"/>
  <c r="T5" i="30"/>
  <c r="AD33" i="30"/>
  <c r="T188" i="30"/>
  <c r="Y49" i="30"/>
  <c r="I219" i="30"/>
  <c r="I29" i="30"/>
  <c r="Y209" i="30"/>
  <c r="T154" i="30"/>
  <c r="I60" i="30"/>
  <c r="I28" i="30"/>
  <c r="AI157" i="30"/>
  <c r="AI132" i="30"/>
  <c r="Y127" i="30"/>
  <c r="I27" i="30"/>
  <c r="I11" i="30"/>
  <c r="I185" i="30"/>
  <c r="I121" i="30"/>
  <c r="AS219" i="30"/>
  <c r="AI43" i="30"/>
  <c r="AD196" i="30"/>
  <c r="Y141" i="30"/>
  <c r="I119" i="30"/>
  <c r="Y189" i="30"/>
  <c r="AI178" i="30"/>
  <c r="AI25" i="30"/>
  <c r="AI128" i="30"/>
  <c r="I213" i="30"/>
  <c r="I197" i="30"/>
  <c r="I149" i="30"/>
  <c r="I54" i="30"/>
  <c r="I38" i="30"/>
  <c r="T107" i="30"/>
  <c r="T59" i="30"/>
  <c r="T11" i="30"/>
  <c r="I53" i="30"/>
  <c r="AI142" i="30"/>
  <c r="AD71" i="30"/>
  <c r="Y16" i="30"/>
  <c r="Y176" i="30"/>
  <c r="T89" i="30"/>
  <c r="I162" i="30"/>
  <c r="AN106" i="30"/>
  <c r="AI92" i="30"/>
  <c r="AI12" i="30"/>
  <c r="I3" i="30"/>
  <c r="AS152" i="30"/>
  <c r="AS94" i="30"/>
  <c r="AS208" i="30"/>
  <c r="AS165" i="30"/>
  <c r="AS17" i="30"/>
  <c r="AN166" i="30"/>
  <c r="AN15" i="30"/>
  <c r="AN27" i="30"/>
  <c r="AN107" i="30"/>
  <c r="AN43" i="30"/>
  <c r="AN52" i="30"/>
  <c r="AN87" i="30"/>
  <c r="AN96" i="30"/>
  <c r="AN157" i="30"/>
  <c r="AN102" i="30"/>
  <c r="AI198" i="30"/>
  <c r="AI218" i="30"/>
  <c r="AI152" i="30"/>
  <c r="AI103" i="30"/>
  <c r="AI95" i="30"/>
  <c r="AD154" i="30"/>
  <c r="AD163" i="30"/>
  <c r="AD73" i="30"/>
  <c r="AD50" i="30"/>
  <c r="AD27" i="30"/>
  <c r="AD193" i="30"/>
  <c r="AD57" i="30"/>
  <c r="AD156" i="30"/>
  <c r="AD136" i="30"/>
  <c r="Y167" i="30"/>
  <c r="Y92" i="30"/>
  <c r="Y14" i="30"/>
  <c r="AC36" i="51"/>
  <c r="AC35" i="51"/>
  <c r="AC34" i="51"/>
  <c r="W37" i="51"/>
  <c r="AC24" i="51"/>
  <c r="W4" i="51"/>
  <c r="AC6" i="51"/>
  <c r="AC22" i="51"/>
  <c r="W38" i="51"/>
  <c r="AC25" i="51"/>
  <c r="W27" i="51"/>
  <c r="W42" i="51"/>
  <c r="AC26" i="51"/>
  <c r="W41" i="51"/>
  <c r="W12" i="51"/>
  <c r="AC38" i="51"/>
  <c r="W40" i="51"/>
  <c r="W10" i="51"/>
  <c r="AC27" i="51"/>
  <c r="AC39" i="51"/>
  <c r="W9" i="51"/>
  <c r="W8" i="51"/>
  <c r="AC3" i="51"/>
  <c r="AI3" i="51"/>
  <c r="W7" i="51"/>
  <c r="W6" i="51"/>
  <c r="W30" i="51"/>
  <c r="W25" i="51"/>
  <c r="AO4" i="51"/>
  <c r="AC42" i="51"/>
  <c r="AU4" i="51"/>
  <c r="W24" i="51"/>
  <c r="AC32" i="51"/>
  <c r="W35" i="51"/>
  <c r="W11" i="51"/>
  <c r="AC23" i="51"/>
  <c r="AC12" i="51"/>
  <c r="AC11" i="51"/>
  <c r="AO3" i="51"/>
  <c r="AC4" i="51"/>
  <c r="AC37" i="51"/>
  <c r="W23" i="51"/>
  <c r="AC31" i="51"/>
  <c r="AI255" i="50"/>
  <c r="AC101" i="50"/>
  <c r="AC256" i="50"/>
  <c r="AC6" i="50"/>
  <c r="AC82" i="50"/>
  <c r="AC38" i="50"/>
  <c r="W56" i="50"/>
  <c r="W157" i="50"/>
  <c r="W254" i="50"/>
  <c r="W108" i="50"/>
  <c r="W77" i="50"/>
  <c r="W93" i="50"/>
  <c r="W49" i="50"/>
  <c r="AO173" i="50"/>
  <c r="AO122" i="50"/>
  <c r="AI173" i="50"/>
  <c r="AC70" i="50"/>
  <c r="AC222" i="50"/>
  <c r="AI122" i="50"/>
  <c r="AI100" i="50"/>
  <c r="AC91" i="50"/>
  <c r="AC47" i="50"/>
  <c r="AC18" i="50"/>
  <c r="W212" i="50"/>
  <c r="AC58" i="50"/>
  <c r="W211" i="50"/>
  <c r="AC50" i="50"/>
  <c r="AC17" i="50"/>
  <c r="W239" i="50"/>
  <c r="AC125" i="50"/>
  <c r="AC102" i="50"/>
  <c r="AC71" i="50"/>
  <c r="AU262" i="50"/>
  <c r="AU136" i="50"/>
  <c r="AO129" i="50"/>
  <c r="AO106" i="50"/>
  <c r="AC89" i="50"/>
  <c r="W30" i="50"/>
  <c r="AO262" i="50"/>
  <c r="AO160" i="50"/>
  <c r="AO115" i="50"/>
  <c r="AC53" i="50"/>
  <c r="AC255" i="50"/>
  <c r="AC110" i="50"/>
  <c r="AC79" i="50"/>
  <c r="AO165" i="50"/>
  <c r="AO223" i="50"/>
  <c r="AO92" i="50"/>
  <c r="W62" i="50"/>
  <c r="W92" i="50"/>
  <c r="AI6" i="50"/>
  <c r="AC178" i="50"/>
  <c r="AC139" i="50"/>
  <c r="AC118" i="50"/>
  <c r="W109" i="50"/>
  <c r="AC87" i="50"/>
  <c r="AO73" i="50"/>
  <c r="AC251" i="50"/>
  <c r="BB18" i="31"/>
  <c r="AN29" i="31"/>
  <c r="AD12" i="31"/>
  <c r="AN5" i="31"/>
  <c r="AV43" i="31"/>
  <c r="AV40" i="31"/>
  <c r="AN38" i="31"/>
  <c r="AJ34" i="31"/>
  <c r="AH28" i="31"/>
  <c r="AJ22" i="31"/>
  <c r="G20" i="31"/>
  <c r="I20" i="31" s="1"/>
  <c r="H19" i="31"/>
  <c r="AZ16" i="31"/>
  <c r="AZ15" i="31"/>
  <c r="AT14" i="31"/>
  <c r="X11" i="31"/>
  <c r="G19" i="31"/>
  <c r="I19" i="31" s="1"/>
  <c r="I34" i="31"/>
  <c r="V27" i="31"/>
  <c r="I22" i="31"/>
  <c r="AT7" i="31"/>
  <c r="AN6" i="31"/>
  <c r="AB37" i="31"/>
  <c r="X36" i="31"/>
  <c r="V35" i="31"/>
  <c r="AZ31" i="31"/>
  <c r="AT16" i="31"/>
  <c r="V11" i="31"/>
  <c r="AP7" i="31"/>
  <c r="AP4" i="31"/>
  <c r="X25" i="31"/>
  <c r="V12" i="31"/>
  <c r="H4" i="31"/>
  <c r="BB19" i="31"/>
  <c r="G4" i="31"/>
  <c r="H26" i="31"/>
  <c r="AV23" i="31"/>
  <c r="AV20" i="31"/>
  <c r="AP12" i="31"/>
  <c r="AB38" i="31"/>
  <c r="AJ37" i="31"/>
  <c r="G26" i="31"/>
  <c r="I26" i="31" s="1"/>
  <c r="V25" i="31"/>
  <c r="H12" i="31"/>
  <c r="AJ7" i="31"/>
  <c r="AJ40" i="31"/>
  <c r="H37" i="31"/>
  <c r="BB34" i="31"/>
  <c r="BB26" i="31"/>
  <c r="AZ21" i="31"/>
  <c r="AV18" i="31"/>
  <c r="AJ16" i="31"/>
  <c r="V5" i="31"/>
  <c r="H36" i="31"/>
  <c r="AZ33" i="31"/>
  <c r="AD29" i="31"/>
  <c r="BB22" i="31"/>
  <c r="AV19" i="31"/>
  <c r="AB14" i="31"/>
  <c r="AH7" i="31"/>
  <c r="G36" i="31"/>
  <c r="AH31" i="31"/>
  <c r="H25" i="31"/>
  <c r="AP20" i="31"/>
  <c r="BB25" i="31"/>
  <c r="G25" i="31"/>
  <c r="I25" i="31" s="1"/>
  <c r="AT18" i="31"/>
  <c r="AH16" i="31"/>
  <c r="AH41" i="31"/>
  <c r="AD40" i="31"/>
  <c r="AJ38" i="31"/>
  <c r="AV34" i="31"/>
  <c r="AT33" i="31"/>
  <c r="AJ32" i="31"/>
  <c r="G28" i="31"/>
  <c r="I28" i="31" s="1"/>
  <c r="AV26" i="31"/>
  <c r="H24" i="31"/>
  <c r="AZ22" i="31"/>
  <c r="AT19" i="31"/>
  <c r="AH17" i="31"/>
  <c r="AD16" i="31"/>
  <c r="AB7" i="31"/>
  <c r="AJ6" i="31"/>
  <c r="AV3" i="31"/>
  <c r="G24" i="31"/>
  <c r="I24" i="31" s="1"/>
  <c r="AV22" i="31"/>
  <c r="AP19" i="31"/>
  <c r="BB11" i="31"/>
  <c r="X7" i="31"/>
  <c r="AB31" i="31"/>
  <c r="AJ30" i="31"/>
  <c r="AN21" i="31"/>
  <c r="AJ20" i="31"/>
  <c r="AN18" i="31"/>
  <c r="BB12" i="31"/>
  <c r="AH9" i="31"/>
  <c r="H6" i="31"/>
  <c r="BB4" i="31"/>
  <c r="I30" i="31"/>
  <c r="AP26" i="31"/>
  <c r="AV25" i="31"/>
  <c r="AZ11" i="31"/>
  <c r="AP3" i="31"/>
  <c r="AV39" i="31"/>
  <c r="AZ36" i="31"/>
  <c r="V31" i="31"/>
  <c r="AJ19" i="31"/>
  <c r="AZ12" i="31"/>
  <c r="AZ4" i="31"/>
  <c r="AV36" i="31"/>
  <c r="AB32" i="31"/>
  <c r="AB42" i="31"/>
  <c r="AH19" i="31"/>
  <c r="AP11" i="31"/>
  <c r="AP8" i="31"/>
  <c r="AT4" i="31"/>
  <c r="AJ3" i="31"/>
  <c r="AD41" i="31"/>
  <c r="AZ37" i="31"/>
  <c r="AT35" i="31"/>
  <c r="AH34" i="31"/>
  <c r="AB33" i="31"/>
  <c r="AJ26" i="31"/>
  <c r="AD19" i="31"/>
  <c r="AD17" i="31"/>
  <c r="V15" i="31"/>
  <c r="H8" i="31"/>
  <c r="I8" i="31" s="1"/>
  <c r="AP36" i="31"/>
  <c r="AD34" i="31"/>
  <c r="AH43" i="31"/>
  <c r="H40" i="31"/>
  <c r="V32" i="31"/>
  <c r="AD22" i="31"/>
  <c r="H16" i="31"/>
  <c r="I16" i="31" s="1"/>
  <c r="AN4" i="31"/>
  <c r="AH3" i="31"/>
  <c r="G40" i="31"/>
  <c r="AZ38" i="31"/>
  <c r="AP28" i="31"/>
  <c r="AH26" i="31"/>
  <c r="AN25" i="31"/>
  <c r="AN23" i="31"/>
  <c r="X20" i="31"/>
  <c r="AB19" i="31"/>
  <c r="G16" i="31"/>
  <c r="AN12" i="31"/>
  <c r="AJ11" i="31"/>
  <c r="BB6" i="31"/>
  <c r="AV38" i="31"/>
  <c r="AT37" i="31"/>
  <c r="AN36" i="31"/>
  <c r="AJ33" i="31"/>
  <c r="AP21" i="31"/>
  <c r="AJ12" i="31"/>
  <c r="AH4" i="31"/>
  <c r="H42" i="31"/>
  <c r="H33" i="31"/>
  <c r="I32" i="31"/>
  <c r="AV30" i="31"/>
  <c r="AH27" i="31"/>
  <c r="H21" i="31"/>
  <c r="V20" i="31"/>
  <c r="V19" i="31"/>
  <c r="H18" i="31"/>
  <c r="AZ6" i="31"/>
  <c r="AP5" i="31"/>
  <c r="X3" i="31"/>
  <c r="G42" i="31"/>
  <c r="I42" i="31" s="1"/>
  <c r="AT38" i="31"/>
  <c r="G18" i="31"/>
  <c r="I18" i="31" s="1"/>
  <c r="AN13" i="31"/>
  <c r="AB4" i="31"/>
  <c r="V39" i="31"/>
  <c r="AN30" i="31"/>
  <c r="V41" i="31"/>
  <c r="AZ34" i="31"/>
  <c r="AN8" i="31"/>
  <c r="AB5" i="31"/>
  <c r="V4" i="31"/>
  <c r="AT31" i="31"/>
  <c r="AH30" i="31"/>
  <c r="AZ24" i="31"/>
  <c r="AT22" i="31"/>
  <c r="AN32" i="31"/>
  <c r="AB29" i="31"/>
  <c r="AN22" i="31"/>
  <c r="AZ13" i="31"/>
  <c r="AN10" i="31"/>
  <c r="V6" i="31"/>
  <c r="AH21" i="31"/>
  <c r="V7" i="31"/>
  <c r="AH33" i="31"/>
  <c r="AH32" i="31"/>
  <c r="AZ14" i="31"/>
  <c r="I6" i="31"/>
  <c r="AN24" i="31"/>
  <c r="AB22" i="31"/>
  <c r="AB21" i="31"/>
  <c r="AT17" i="31"/>
  <c r="AB10" i="31"/>
  <c r="AZ3" i="31"/>
  <c r="AN35" i="31"/>
  <c r="AN37" i="31"/>
  <c r="V21" i="31"/>
  <c r="AN17" i="31"/>
  <c r="V10" i="31"/>
  <c r="AZ42" i="31"/>
  <c r="V33" i="31"/>
  <c r="AB12" i="31"/>
  <c r="AT39" i="31"/>
  <c r="AH38" i="31"/>
  <c r="AB23" i="31"/>
  <c r="AH18" i="31"/>
  <c r="I10" i="31"/>
  <c r="AT42" i="31"/>
  <c r="AT41" i="31"/>
  <c r="AN39" i="31"/>
  <c r="AB35" i="31"/>
  <c r="AZ28" i="31"/>
  <c r="AH14" i="31"/>
  <c r="AN41" i="31"/>
  <c r="V37" i="31"/>
  <c r="AZ30" i="31"/>
  <c r="V17" i="31"/>
  <c r="I12" i="31"/>
  <c r="AT43" i="31"/>
  <c r="AH42" i="31"/>
  <c r="AT27" i="31"/>
  <c r="V14" i="31"/>
  <c r="AB3" i="31"/>
  <c r="AB39" i="31"/>
  <c r="AZ32" i="31"/>
  <c r="AT30" i="31"/>
  <c r="AT29" i="31"/>
  <c r="AB15" i="31"/>
  <c r="AT9" i="31"/>
  <c r="AB41" i="31"/>
  <c r="AN28" i="31"/>
  <c r="AZ10" i="31"/>
  <c r="AN7" i="31"/>
  <c r="AH5" i="31"/>
  <c r="T67" i="30"/>
  <c r="AI27" i="30"/>
  <c r="I189" i="30"/>
  <c r="I142" i="30"/>
  <c r="AN173" i="30"/>
  <c r="AD152" i="30"/>
  <c r="T70" i="30"/>
  <c r="T38" i="30"/>
  <c r="I48" i="30"/>
  <c r="AD94" i="30"/>
  <c r="AN176" i="30"/>
  <c r="T172" i="30"/>
  <c r="AN115" i="30"/>
  <c r="AN179" i="30"/>
  <c r="T175" i="30"/>
  <c r="AD135" i="30"/>
  <c r="AD103" i="30"/>
  <c r="I187" i="30"/>
  <c r="I171" i="30"/>
  <c r="I124" i="30"/>
  <c r="I92" i="30"/>
  <c r="AS63" i="30"/>
  <c r="AN124" i="30"/>
  <c r="Y94" i="30"/>
  <c r="AI48" i="30"/>
  <c r="Y30" i="30"/>
  <c r="Y27" i="30"/>
  <c r="T18" i="30"/>
  <c r="I170" i="30"/>
  <c r="I139" i="30"/>
  <c r="I123" i="30"/>
  <c r="I107" i="30"/>
  <c r="I91" i="30"/>
  <c r="I61" i="30"/>
  <c r="I30" i="30"/>
  <c r="AN98" i="30"/>
  <c r="I201" i="30"/>
  <c r="I169" i="30"/>
  <c r="Y205" i="30"/>
  <c r="AN136" i="30"/>
  <c r="AN133" i="30"/>
  <c r="AI124" i="30"/>
  <c r="AD77" i="30"/>
  <c r="I153" i="30"/>
  <c r="I89" i="30"/>
  <c r="I13" i="30"/>
  <c r="Y187" i="30"/>
  <c r="AN209" i="30"/>
  <c r="T135" i="30"/>
  <c r="AD86" i="30"/>
  <c r="I73" i="30"/>
  <c r="I12" i="30"/>
  <c r="T152" i="30"/>
  <c r="Y202" i="30"/>
  <c r="AI209" i="30"/>
  <c r="T208" i="30"/>
  <c r="Y179" i="30"/>
  <c r="AN142" i="30"/>
  <c r="AS84" i="30"/>
  <c r="I151" i="30"/>
  <c r="I42" i="30"/>
  <c r="AN156" i="30"/>
  <c r="AI107" i="30"/>
  <c r="Y54" i="30"/>
  <c r="AN49" i="30"/>
  <c r="I182" i="30"/>
  <c r="I41" i="30"/>
  <c r="I26" i="30"/>
  <c r="AS209" i="30"/>
  <c r="AN122" i="30"/>
  <c r="T153" i="30"/>
  <c r="AD46" i="30"/>
  <c r="T22" i="30"/>
  <c r="AS3" i="30"/>
  <c r="I212" i="30"/>
  <c r="I180" i="30"/>
  <c r="I117" i="30"/>
  <c r="I101" i="30"/>
  <c r="AD174" i="30"/>
  <c r="AS169" i="30"/>
  <c r="T133" i="30"/>
  <c r="T92" i="30"/>
  <c r="AD78" i="30"/>
  <c r="AS44" i="30"/>
  <c r="I211" i="30"/>
  <c r="I163" i="30"/>
  <c r="Y113" i="30"/>
  <c r="AD84" i="30"/>
  <c r="AS50" i="30"/>
  <c r="I99" i="30"/>
  <c r="AD61" i="30"/>
  <c r="Y52" i="30"/>
  <c r="I193" i="30"/>
  <c r="I98" i="30"/>
  <c r="AI195" i="30"/>
  <c r="AI172" i="30"/>
  <c r="T142" i="30"/>
  <c r="AD64" i="30"/>
  <c r="I52" i="30"/>
  <c r="I21" i="30"/>
  <c r="I113" i="30"/>
  <c r="Y192" i="30"/>
  <c r="AN187" i="30"/>
  <c r="AN155" i="30"/>
  <c r="AI114" i="30"/>
  <c r="AD70" i="30"/>
  <c r="AN56" i="30"/>
  <c r="T55" i="30"/>
  <c r="I96" i="30"/>
  <c r="AD183" i="30"/>
  <c r="AI181" i="30"/>
  <c r="AN129" i="30"/>
  <c r="AS71" i="30"/>
  <c r="I111" i="30"/>
  <c r="I95" i="30"/>
  <c r="AS199" i="30"/>
  <c r="AS196" i="30"/>
  <c r="Y186" i="30"/>
  <c r="T150" i="30"/>
  <c r="AN80" i="30"/>
  <c r="Y64" i="30"/>
  <c r="T58" i="30"/>
  <c r="T52" i="30"/>
  <c r="T49" i="30"/>
  <c r="AD35" i="30"/>
  <c r="AS12" i="30"/>
  <c r="AS9" i="30"/>
  <c r="I138" i="30"/>
  <c r="I77" i="30"/>
  <c r="I62" i="30"/>
  <c r="T174" i="30"/>
  <c r="T165" i="30"/>
  <c r="AN65" i="30"/>
  <c r="Y29" i="30"/>
  <c r="I183" i="30"/>
  <c r="I168" i="30"/>
  <c r="I137" i="30"/>
  <c r="T189" i="30"/>
  <c r="AS143" i="30"/>
  <c r="AD142" i="30"/>
  <c r="AS116" i="30"/>
  <c r="T85" i="30"/>
  <c r="T64" i="30"/>
  <c r="AI62" i="30"/>
  <c r="AD44" i="30"/>
  <c r="AS42" i="30"/>
  <c r="AN33" i="30"/>
  <c r="AS24" i="30"/>
  <c r="I214" i="30"/>
  <c r="I152" i="30"/>
  <c r="I136" i="30"/>
  <c r="I16" i="30"/>
  <c r="AN208" i="30"/>
  <c r="T207" i="30"/>
  <c r="T204" i="30"/>
  <c r="AD124" i="30"/>
  <c r="Y112" i="30"/>
  <c r="AI86" i="30"/>
  <c r="AI65" i="30"/>
  <c r="T17" i="30"/>
  <c r="I46" i="30"/>
  <c r="I15" i="30"/>
  <c r="AD160" i="30"/>
  <c r="Y142" i="30"/>
  <c r="Y130" i="30"/>
  <c r="AN116" i="30"/>
  <c r="T106" i="30"/>
  <c r="AI89" i="30"/>
  <c r="AD62" i="30"/>
  <c r="Y44" i="30"/>
  <c r="AN39" i="30"/>
  <c r="T20" i="30"/>
  <c r="AI15" i="30"/>
  <c r="I181" i="30"/>
  <c r="I135" i="30"/>
  <c r="I74" i="30"/>
  <c r="I45" i="30"/>
  <c r="AD205" i="30"/>
  <c r="AS179" i="30"/>
  <c r="AN152" i="30"/>
  <c r="AS81" i="30"/>
  <c r="Y80" i="30"/>
  <c r="AN54" i="30"/>
  <c r="T26" i="30"/>
  <c r="AI24" i="30"/>
  <c r="I165" i="30"/>
  <c r="I58" i="30"/>
  <c r="AD101" i="30"/>
  <c r="AD92" i="30"/>
  <c r="T74" i="30"/>
  <c r="T53" i="30"/>
  <c r="AS13" i="30"/>
  <c r="I133" i="30"/>
  <c r="I118" i="30"/>
  <c r="AD202" i="30"/>
  <c r="T215" i="30"/>
  <c r="AS206" i="30"/>
  <c r="T77" i="30"/>
  <c r="T56" i="30"/>
  <c r="AD24" i="30"/>
  <c r="Y6" i="30"/>
  <c r="I179" i="30"/>
  <c r="I132" i="30"/>
  <c r="I102" i="30"/>
  <c r="I57" i="30"/>
  <c r="AD208" i="30"/>
  <c r="AD116" i="30"/>
  <c r="AN13" i="30"/>
  <c r="I209" i="30"/>
  <c r="I86" i="30"/>
  <c r="AN200" i="30"/>
  <c r="AS111" i="30"/>
  <c r="AI69" i="30"/>
  <c r="AI60" i="30"/>
  <c r="T6" i="30"/>
  <c r="I131" i="30"/>
  <c r="Y216" i="30"/>
  <c r="T202" i="30"/>
  <c r="AI185" i="30"/>
  <c r="AI182" i="30"/>
  <c r="AS120" i="30"/>
  <c r="Y107" i="30"/>
  <c r="AD54" i="30"/>
  <c r="AD48" i="30"/>
  <c r="AS43" i="30"/>
  <c r="AN19" i="30"/>
  <c r="AI13" i="30"/>
  <c r="T9" i="30"/>
  <c r="I208" i="30"/>
  <c r="I116" i="30"/>
  <c r="I85" i="30"/>
  <c r="I55" i="30"/>
  <c r="I191" i="30"/>
  <c r="I130" i="30"/>
  <c r="I84" i="30"/>
  <c r="I25" i="30"/>
  <c r="I10" i="30"/>
  <c r="AI203" i="30"/>
  <c r="AS156" i="30"/>
  <c r="Y122" i="30"/>
  <c r="Y119" i="30"/>
  <c r="Y72" i="30"/>
  <c r="AD69" i="30"/>
  <c r="AD63" i="30"/>
  <c r="AN25" i="30"/>
  <c r="I160" i="30"/>
  <c r="I129" i="30"/>
  <c r="I68" i="30"/>
  <c r="AN214" i="30"/>
  <c r="AS177" i="30"/>
  <c r="AS174" i="30"/>
  <c r="Y158" i="30"/>
  <c r="AN138" i="30"/>
  <c r="AN135" i="30"/>
  <c r="T113" i="30"/>
  <c r="AD90" i="30"/>
  <c r="AS67" i="30"/>
  <c r="Y57" i="30"/>
  <c r="AN55" i="30"/>
  <c r="AD194" i="30"/>
  <c r="AN171" i="30"/>
  <c r="T125" i="30"/>
  <c r="AD102" i="30"/>
  <c r="Y84" i="30"/>
  <c r="AS207" i="30"/>
  <c r="AS192" i="30"/>
  <c r="AI147" i="30"/>
  <c r="AD108" i="30"/>
  <c r="AN67" i="30"/>
  <c r="AS29" i="30"/>
  <c r="AD28" i="30"/>
  <c r="I127" i="30"/>
  <c r="I97" i="30"/>
  <c r="I67" i="30"/>
  <c r="Y200" i="30"/>
  <c r="AN183" i="30"/>
  <c r="T176" i="30"/>
  <c r="T161" i="30"/>
  <c r="AI150" i="30"/>
  <c r="Y93" i="30"/>
  <c r="AI52" i="30"/>
  <c r="I204" i="30"/>
  <c r="I158" i="30"/>
  <c r="I126" i="30"/>
  <c r="AN204" i="30"/>
  <c r="AI180" i="30"/>
  <c r="AS142" i="30"/>
  <c r="AS136" i="30"/>
  <c r="AN91" i="30"/>
  <c r="AI85" i="30"/>
  <c r="AD49" i="30"/>
  <c r="I157" i="30"/>
  <c r="I51" i="30"/>
  <c r="I35" i="30"/>
  <c r="AD214" i="30"/>
  <c r="AN211" i="30"/>
  <c r="T209" i="30"/>
  <c r="AI186" i="30"/>
  <c r="AD171" i="30"/>
  <c r="AD165" i="30"/>
  <c r="Y135" i="30"/>
  <c r="AD129" i="30"/>
  <c r="AI91" i="30"/>
  <c r="AS77" i="30"/>
  <c r="Y46" i="30"/>
  <c r="AN41" i="30"/>
  <c r="AN38" i="30"/>
  <c r="AI14" i="30"/>
  <c r="I202" i="30"/>
  <c r="I94" i="30"/>
  <c r="Y153" i="30"/>
  <c r="AN145" i="30"/>
  <c r="Y126" i="30"/>
  <c r="I34" i="30"/>
  <c r="I217" i="30"/>
  <c r="I155" i="30"/>
  <c r="I109" i="30"/>
  <c r="I63" i="30"/>
  <c r="T217" i="30"/>
  <c r="AD186" i="30"/>
  <c r="AS181" i="30"/>
  <c r="AN154" i="30"/>
  <c r="AN130" i="30"/>
  <c r="Y82" i="30"/>
  <c r="AN74" i="30"/>
  <c r="AN53" i="30"/>
  <c r="T43" i="30"/>
  <c r="AD32" i="30"/>
  <c r="I154" i="30"/>
  <c r="T183" i="30"/>
  <c r="AN163" i="30"/>
  <c r="Y211" i="30"/>
  <c r="AN190" i="30"/>
  <c r="T177" i="30"/>
  <c r="AI213" i="30"/>
  <c r="AN203" i="30"/>
  <c r="Y193" i="30"/>
  <c r="Y178" i="30"/>
  <c r="AS161" i="30"/>
  <c r="AS158" i="30"/>
  <c r="AS149" i="30"/>
  <c r="AS124" i="30"/>
  <c r="AD123" i="30"/>
  <c r="AS109" i="30"/>
  <c r="AD105" i="30"/>
  <c r="AS97" i="30"/>
  <c r="AN69" i="30"/>
  <c r="AD65" i="30"/>
  <c r="AI50" i="30"/>
  <c r="T46" i="30"/>
  <c r="AN11" i="30"/>
  <c r="I192" i="30"/>
  <c r="I112" i="30"/>
  <c r="I44" i="30"/>
  <c r="I17" i="30"/>
  <c r="I164" i="30"/>
  <c r="I43" i="30"/>
  <c r="T212" i="30"/>
  <c r="AI206" i="30"/>
  <c r="Y154" i="30"/>
  <c r="AS140" i="30"/>
  <c r="Y129" i="30"/>
  <c r="Y117" i="30"/>
  <c r="AS106" i="30"/>
  <c r="Y99" i="30"/>
  <c r="AD87" i="30"/>
  <c r="AS76" i="30"/>
  <c r="T25" i="30"/>
  <c r="T216" i="30"/>
  <c r="AI197" i="30"/>
  <c r="T187" i="30"/>
  <c r="AN161" i="30"/>
  <c r="Y120" i="30"/>
  <c r="Y105" i="30"/>
  <c r="AN97" i="30"/>
  <c r="AS85" i="30"/>
  <c r="Y81" i="30"/>
  <c r="Y75" i="30"/>
  <c r="Y65" i="30"/>
  <c r="Y62" i="30"/>
  <c r="AS36" i="30"/>
  <c r="AS27" i="30"/>
  <c r="AD14" i="30"/>
  <c r="I178" i="30"/>
  <c r="I69" i="30"/>
  <c r="T163" i="30"/>
  <c r="AI130" i="30"/>
  <c r="T129" i="30"/>
  <c r="T99" i="30"/>
  <c r="AS91" i="30"/>
  <c r="Y87" i="30"/>
  <c r="Y53" i="30"/>
  <c r="AD17" i="30"/>
  <c r="AD8" i="30"/>
  <c r="AD5" i="30"/>
  <c r="I110" i="30"/>
  <c r="I83" i="30"/>
  <c r="AI146" i="30"/>
  <c r="AN137" i="30"/>
  <c r="Y136" i="30"/>
  <c r="T102" i="30"/>
  <c r="AI94" i="30"/>
  <c r="T78" i="30"/>
  <c r="AN36" i="30"/>
  <c r="I205" i="30"/>
  <c r="I177" i="30"/>
  <c r="I122" i="30"/>
  <c r="I82" i="30"/>
  <c r="AN48" i="30"/>
  <c r="I40" i="30"/>
  <c r="I14" i="30"/>
  <c r="T213" i="30"/>
  <c r="AN207" i="30"/>
  <c r="Y188" i="30"/>
  <c r="AD155" i="30"/>
  <c r="AN134" i="30"/>
  <c r="AD127" i="30"/>
  <c r="AD118" i="30"/>
  <c r="AS107" i="30"/>
  <c r="AD97" i="30"/>
  <c r="AI57" i="30"/>
  <c r="Y26" i="30"/>
  <c r="I161" i="30"/>
  <c r="I108" i="30"/>
  <c r="I81" i="30"/>
  <c r="T14" i="30"/>
  <c r="I216" i="30"/>
  <c r="I203" i="30"/>
  <c r="I188" i="30"/>
  <c r="I134" i="30"/>
  <c r="I93" i="30"/>
  <c r="I39" i="30"/>
  <c r="T199" i="30"/>
  <c r="T206" i="30"/>
  <c r="AN192" i="30"/>
  <c r="Y173" i="30"/>
  <c r="AS153" i="30"/>
  <c r="AS125" i="30"/>
  <c r="AS113" i="30"/>
  <c r="Y109" i="30"/>
  <c r="AD85" i="30"/>
  <c r="AD76" i="30"/>
  <c r="AS74" i="30"/>
  <c r="Y69" i="30"/>
  <c r="T47" i="30"/>
  <c r="AI45" i="30"/>
  <c r="I80" i="30"/>
  <c r="AN210" i="30"/>
  <c r="AI207" i="30"/>
  <c r="AN186" i="30"/>
  <c r="T182" i="30"/>
  <c r="T179" i="30"/>
  <c r="Y152" i="30"/>
  <c r="AD137" i="30"/>
  <c r="Y115" i="30"/>
  <c r="AN95" i="30"/>
  <c r="AD88" i="30"/>
  <c r="AS28" i="30"/>
  <c r="AI18" i="30"/>
  <c r="AI9" i="30"/>
  <c r="I174" i="30"/>
  <c r="I147" i="30"/>
  <c r="I65" i="30"/>
  <c r="AD209" i="30"/>
  <c r="AI210" i="30"/>
  <c r="AD191" i="30"/>
  <c r="T194" i="30"/>
  <c r="AN165" i="30"/>
  <c r="AN162" i="30"/>
  <c r="AN150" i="30"/>
  <c r="AS138" i="30"/>
  <c r="AI131" i="30"/>
  <c r="Y124" i="30"/>
  <c r="Y121" i="30"/>
  <c r="AN113" i="30"/>
  <c r="AS92" i="30"/>
  <c r="AS86" i="30"/>
  <c r="Y73" i="30"/>
  <c r="Y66" i="30"/>
  <c r="Y63" i="30"/>
  <c r="AS55" i="30"/>
  <c r="I106" i="30"/>
  <c r="I37" i="30"/>
  <c r="I24" i="30"/>
  <c r="Y218" i="30"/>
  <c r="AI211" i="30"/>
  <c r="Y210" i="30"/>
  <c r="AI189" i="30"/>
  <c r="AI177" i="30"/>
  <c r="T170" i="30"/>
  <c r="AI168" i="30"/>
  <c r="T164" i="30"/>
  <c r="Y137" i="30"/>
  <c r="T127" i="30"/>
  <c r="T112" i="30"/>
  <c r="AN77" i="30"/>
  <c r="AD3" i="30"/>
  <c r="I200" i="30"/>
  <c r="I173" i="30"/>
  <c r="I105" i="30"/>
  <c r="I36" i="30"/>
  <c r="T139" i="30"/>
  <c r="AS205" i="30"/>
  <c r="AD198" i="30"/>
  <c r="AD192" i="30"/>
  <c r="AD177" i="30"/>
  <c r="AI165" i="30"/>
  <c r="AI162" i="30"/>
  <c r="AI144" i="30"/>
  <c r="T140" i="30"/>
  <c r="T124" i="30"/>
  <c r="AI113" i="30"/>
  <c r="AI110" i="30"/>
  <c r="T103" i="30"/>
  <c r="AI101" i="30"/>
  <c r="AN92" i="30"/>
  <c r="Y91" i="30"/>
  <c r="AN83" i="30"/>
  <c r="AI67" i="30"/>
  <c r="AS46" i="30"/>
  <c r="Y45" i="30"/>
  <c r="Y42" i="30"/>
  <c r="AS25" i="30"/>
  <c r="AS19" i="30"/>
  <c r="AD12" i="30"/>
  <c r="AS4" i="30"/>
  <c r="I172" i="30"/>
  <c r="I145" i="30"/>
  <c r="I104" i="30"/>
  <c r="I90" i="30"/>
  <c r="I50" i="30"/>
  <c r="I9" i="30"/>
  <c r="AD219" i="30"/>
  <c r="Y207" i="30"/>
  <c r="Y48" i="30"/>
  <c r="AI28" i="30"/>
  <c r="Y21" i="30"/>
  <c r="Y9" i="30"/>
  <c r="AN216" i="30"/>
  <c r="AS190" i="30"/>
  <c r="AS172" i="30"/>
  <c r="AS157" i="30"/>
  <c r="AS132" i="30"/>
  <c r="AS129" i="30"/>
  <c r="AD125" i="30"/>
  <c r="AD119" i="30"/>
  <c r="AD110" i="30"/>
  <c r="AD107" i="30"/>
  <c r="AD98" i="30"/>
  <c r="Y70" i="30"/>
  <c r="AD67" i="30"/>
  <c r="AN46" i="30"/>
  <c r="AN16" i="30"/>
  <c r="AN7" i="30"/>
  <c r="AN4" i="30"/>
  <c r="T3" i="30"/>
  <c r="I198" i="30"/>
  <c r="I184" i="30"/>
  <c r="I156" i="30"/>
  <c r="I103" i="30"/>
  <c r="I76" i="30"/>
  <c r="I49" i="30"/>
  <c r="I8" i="30"/>
  <c r="AD141" i="30"/>
  <c r="AI135" i="30"/>
  <c r="AS126" i="30"/>
  <c r="AS117" i="30"/>
  <c r="AS114" i="30"/>
  <c r="Y165" i="30"/>
  <c r="Y162" i="30"/>
  <c r="Y156" i="30"/>
  <c r="Y147" i="30"/>
  <c r="Y144" i="30"/>
  <c r="AS139" i="30"/>
  <c r="T134" i="30"/>
  <c r="Y125" i="30"/>
  <c r="AS123" i="30"/>
  <c r="Y116" i="30"/>
  <c r="AN68" i="30"/>
  <c r="Y67" i="30"/>
  <c r="AS65" i="30"/>
  <c r="AD58" i="30"/>
  <c r="AI46" i="30"/>
  <c r="AS32" i="30"/>
  <c r="AI16" i="30"/>
  <c r="T12" i="30"/>
  <c r="AI4" i="30"/>
  <c r="I196" i="30"/>
  <c r="I128" i="30"/>
  <c r="I88" i="30"/>
  <c r="Y61" i="30"/>
  <c r="AI196" i="30"/>
  <c r="AI166" i="30"/>
  <c r="T147" i="30"/>
  <c r="AI129" i="30"/>
  <c r="AN93" i="30"/>
  <c r="AN84" i="30"/>
  <c r="AN75" i="30"/>
  <c r="AN62" i="30"/>
  <c r="AN59" i="30"/>
  <c r="Y55" i="30"/>
  <c r="Y40" i="30"/>
  <c r="AN29" i="30"/>
  <c r="AD16" i="30"/>
  <c r="AD13" i="30"/>
  <c r="I195" i="30"/>
  <c r="I115" i="30"/>
  <c r="I5" i="30"/>
  <c r="AS213" i="30"/>
  <c r="AD199" i="30"/>
  <c r="AI148" i="30"/>
  <c r="AI111" i="30"/>
  <c r="AS20" i="30"/>
  <c r="AS8" i="30"/>
  <c r="I114" i="30"/>
  <c r="I72" i="30"/>
  <c r="T195" i="30"/>
  <c r="AN160" i="30"/>
  <c r="I19" i="30"/>
  <c r="AS203" i="30"/>
  <c r="AD190" i="30"/>
  <c r="AI105" i="30"/>
  <c r="T86" i="30"/>
  <c r="T83" i="30"/>
  <c r="AI75" i="30"/>
  <c r="Y71" i="30"/>
  <c r="AI29" i="30"/>
  <c r="Y7" i="30"/>
  <c r="I166" i="30"/>
  <c r="I140" i="30"/>
  <c r="I18" i="30"/>
  <c r="AN193" i="30"/>
  <c r="Y215" i="30"/>
  <c r="Y208" i="30"/>
  <c r="AS194" i="30"/>
  <c r="AS191" i="30"/>
  <c r="AS176" i="30"/>
  <c r="AD175" i="30"/>
  <c r="AD169" i="30"/>
  <c r="AD157" i="30"/>
  <c r="AD148" i="30"/>
  <c r="T138" i="30"/>
  <c r="AD117" i="30"/>
  <c r="AD114" i="30"/>
  <c r="AI84" i="30"/>
  <c r="AI81" i="30"/>
  <c r="AN44" i="30"/>
  <c r="Y25" i="30"/>
  <c r="AN5" i="30"/>
  <c r="AD182" i="30"/>
  <c r="AI179" i="30"/>
  <c r="T178" i="30"/>
  <c r="AI169" i="30"/>
  <c r="T159" i="30"/>
  <c r="AN103" i="30"/>
  <c r="Y83" i="30"/>
  <c r="AS78" i="30"/>
  <c r="T63" i="30"/>
  <c r="T60" i="30"/>
  <c r="AS49" i="30"/>
  <c r="AI39" i="30"/>
  <c r="AI36" i="30"/>
  <c r="AS14" i="30"/>
  <c r="AI202" i="30"/>
  <c r="T201" i="30"/>
  <c r="Y198" i="30"/>
  <c r="Y175" i="30"/>
  <c r="AD172" i="30"/>
  <c r="AI160" i="30"/>
  <c r="AS148" i="30"/>
  <c r="AD144" i="30"/>
  <c r="AI141" i="30"/>
  <c r="AI134" i="30"/>
  <c r="T130" i="30"/>
  <c r="AN128" i="30"/>
  <c r="AS119" i="30"/>
  <c r="AS110" i="30"/>
  <c r="AD109" i="30"/>
  <c r="AN100" i="30"/>
  <c r="AD93" i="30"/>
  <c r="AN81" i="30"/>
  <c r="Y77" i="30"/>
  <c r="AI71" i="30"/>
  <c r="AI61" i="30"/>
  <c r="T57" i="30"/>
  <c r="Y51" i="30"/>
  <c r="T29" i="30"/>
  <c r="AD26" i="30"/>
  <c r="AD10" i="30"/>
  <c r="AI199" i="30"/>
  <c r="AN151" i="30"/>
  <c r="AN78" i="30"/>
  <c r="AI58" i="30"/>
  <c r="AI55" i="30"/>
  <c r="T16" i="30"/>
  <c r="AN206" i="30"/>
  <c r="AS193" i="30"/>
  <c r="T185" i="30"/>
  <c r="AS180" i="30"/>
  <c r="AI176" i="30"/>
  <c r="Y172" i="30"/>
  <c r="AN148" i="30"/>
  <c r="AD134" i="30"/>
  <c r="AD131" i="30"/>
  <c r="AI125" i="30"/>
  <c r="AN110" i="30"/>
  <c r="AI100" i="30"/>
  <c r="T80" i="30"/>
  <c r="AS40" i="30"/>
  <c r="AS37" i="30"/>
  <c r="AD30" i="30"/>
  <c r="AS21" i="30"/>
  <c r="AD20" i="30"/>
  <c r="AI17" i="30"/>
  <c r="Y10" i="30"/>
  <c r="AD7" i="30"/>
  <c r="AI183" i="30"/>
  <c r="AS164" i="30"/>
  <c r="AI151" i="30"/>
  <c r="T121" i="30"/>
  <c r="T118" i="30"/>
  <c r="T115" i="30"/>
  <c r="AS62" i="30"/>
  <c r="AS59" i="30"/>
  <c r="Y36" i="30"/>
  <c r="AI173" i="30"/>
  <c r="AN170" i="30"/>
  <c r="AI145" i="30"/>
  <c r="Y134" i="30"/>
  <c r="Y131" i="30"/>
  <c r="AI122" i="30"/>
  <c r="T109" i="30"/>
  <c r="AS104" i="30"/>
  <c r="T93" i="30"/>
  <c r="Y90" i="30"/>
  <c r="AS88" i="30"/>
  <c r="T45" i="30"/>
  <c r="AN40" i="30"/>
  <c r="AN34" i="30"/>
  <c r="Y23" i="30"/>
  <c r="AN21" i="30"/>
  <c r="AS18" i="30"/>
  <c r="T10" i="30"/>
  <c r="AI219" i="30"/>
  <c r="AN215" i="30"/>
  <c r="AS187" i="30"/>
  <c r="T169" i="30"/>
  <c r="AS155" i="30"/>
  <c r="AD151" i="30"/>
  <c r="AN132" i="30"/>
  <c r="Y58" i="30"/>
  <c r="T39" i="30"/>
  <c r="T36" i="30"/>
  <c r="AD4" i="30"/>
  <c r="T192" i="30"/>
  <c r="AN177" i="30"/>
  <c r="AD173" i="30"/>
  <c r="AI167" i="30"/>
  <c r="T166" i="30"/>
  <c r="Y138" i="30"/>
  <c r="AD122" i="30"/>
  <c r="AN104" i="30"/>
  <c r="Y103" i="30"/>
  <c r="AS95" i="30"/>
  <c r="T90" i="30"/>
  <c r="AN88" i="30"/>
  <c r="T71" i="30"/>
  <c r="AI34" i="30"/>
  <c r="T33" i="30"/>
  <c r="AI21" i="30"/>
  <c r="AN18" i="30"/>
  <c r="AI215" i="30"/>
  <c r="Y214" i="30"/>
  <c r="AD206" i="30"/>
  <c r="AI193" i="30"/>
  <c r="AI190" i="30"/>
  <c r="AN184" i="30"/>
  <c r="AD180" i="30"/>
  <c r="AI161" i="30"/>
  <c r="AS146" i="30"/>
  <c r="AN126" i="30"/>
  <c r="Y97" i="30"/>
  <c r="T87" i="30"/>
  <c r="AN79" i="30"/>
  <c r="Y78" i="30"/>
  <c r="AS73" i="30"/>
  <c r="Y68" i="30"/>
  <c r="AD11" i="30"/>
  <c r="AI8" i="30"/>
  <c r="AS204" i="30"/>
  <c r="AI200" i="30"/>
  <c r="AS171" i="30"/>
  <c r="Y145" i="30"/>
  <c r="AI139" i="30"/>
  <c r="T128" i="30"/>
  <c r="Y110" i="30"/>
  <c r="AS66" i="30"/>
  <c r="AI56" i="30"/>
  <c r="AN50" i="30"/>
  <c r="AS47" i="30"/>
  <c r="AD21" i="30"/>
  <c r="Y219" i="30"/>
  <c r="Y206" i="30"/>
  <c r="Y196" i="30"/>
  <c r="T186" i="30"/>
  <c r="AI184" i="30"/>
  <c r="Y180" i="30"/>
  <c r="AS178" i="30"/>
  <c r="AI155" i="30"/>
  <c r="AN149" i="30"/>
  <c r="AS130" i="30"/>
  <c r="AN111" i="30"/>
  <c r="AI98" i="30"/>
  <c r="T97" i="30"/>
  <c r="AD91" i="30"/>
  <c r="T81" i="30"/>
  <c r="AI79" i="30"/>
  <c r="AN73" i="30"/>
  <c r="Y43" i="30"/>
  <c r="AS38" i="30"/>
  <c r="AS22" i="30"/>
  <c r="AN12" i="30"/>
  <c r="Y11" i="30"/>
  <c r="AI5" i="30"/>
  <c r="AD200" i="30"/>
  <c r="AS188" i="30"/>
  <c r="Y170" i="30"/>
  <c r="Y161" i="30"/>
  <c r="AI123" i="30"/>
  <c r="T122" i="30"/>
  <c r="AI120" i="30"/>
  <c r="AS89" i="30"/>
  <c r="AD82" i="30"/>
  <c r="AI76" i="30"/>
  <c r="AN66" i="30"/>
  <c r="AS60" i="30"/>
  <c r="Y59" i="30"/>
  <c r="AS57" i="30"/>
  <c r="AS54" i="30"/>
  <c r="AD53" i="30"/>
  <c r="AN47" i="30"/>
  <c r="Y37" i="30"/>
  <c r="AN35" i="30"/>
  <c r="Y34" i="30"/>
  <c r="Y24" i="30"/>
  <c r="AD18" i="30"/>
  <c r="AN9" i="30"/>
  <c r="AS6" i="30"/>
  <c r="T210" i="30"/>
  <c r="T196" i="30"/>
  <c r="Y190" i="30"/>
  <c r="T180" i="30"/>
  <c r="AI171" i="30"/>
  <c r="Y164" i="30"/>
  <c r="AN159" i="30"/>
  <c r="AN140" i="30"/>
  <c r="Y139" i="30"/>
  <c r="AS127" i="30"/>
  <c r="AD126" i="30"/>
  <c r="AN105" i="30"/>
  <c r="Y104" i="30"/>
  <c r="AS99" i="30"/>
  <c r="AN89" i="30"/>
  <c r="Y88" i="30"/>
  <c r="AS83" i="30"/>
  <c r="AI66" i="30"/>
  <c r="AN63" i="30"/>
  <c r="Y56" i="30"/>
  <c r="AI47" i="30"/>
  <c r="T37" i="30"/>
  <c r="AN32" i="30"/>
  <c r="AN22" i="30"/>
  <c r="AS217" i="30"/>
  <c r="AD211" i="30"/>
  <c r="AD207" i="30"/>
  <c r="T203" i="30"/>
  <c r="AN201" i="30"/>
  <c r="AI194" i="30"/>
  <c r="AN188" i="30"/>
  <c r="AS150" i="30"/>
  <c r="AD146" i="30"/>
  <c r="T132" i="30"/>
  <c r="AD120" i="30"/>
  <c r="Y101" i="30"/>
  <c r="T91" i="30"/>
  <c r="T62" i="30"/>
  <c r="AN57" i="30"/>
  <c r="AS51" i="30"/>
  <c r="T31" i="30"/>
  <c r="Y28" i="30"/>
  <c r="T24" i="30"/>
  <c r="AN6" i="30"/>
  <c r="AN217" i="30"/>
  <c r="T200" i="30"/>
  <c r="T190" i="30"/>
  <c r="Y184" i="30"/>
  <c r="AD181" i="30"/>
  <c r="Y174" i="30"/>
  <c r="T158" i="30"/>
  <c r="AD143" i="30"/>
  <c r="AI140" i="30"/>
  <c r="T104" i="30"/>
  <c r="AN99" i="30"/>
  <c r="Y79" i="30"/>
  <c r="AD47" i="30"/>
  <c r="AI38" i="30"/>
  <c r="AI32" i="30"/>
  <c r="AI212" i="30"/>
  <c r="AN185" i="30"/>
  <c r="AD168" i="30"/>
  <c r="T155" i="30"/>
  <c r="AN153" i="30"/>
  <c r="Y146" i="30"/>
  <c r="AS112" i="30"/>
  <c r="T82" i="30"/>
  <c r="AI54" i="30"/>
  <c r="AS45" i="30"/>
  <c r="AS10" i="30"/>
  <c r="AI217" i="30"/>
  <c r="AN182" i="30"/>
  <c r="AD178" i="30"/>
  <c r="AD162" i="30"/>
  <c r="AI156" i="30"/>
  <c r="AD140" i="30"/>
  <c r="AI137" i="30"/>
  <c r="AS134" i="30"/>
  <c r="AN121" i="30"/>
  <c r="AI102" i="30"/>
  <c r="AI99" i="30"/>
  <c r="AS64" i="30"/>
  <c r="AD41" i="30"/>
  <c r="AS39" i="30"/>
  <c r="AD38" i="30"/>
  <c r="AS33" i="30"/>
  <c r="AS26" i="30"/>
  <c r="AD22" i="30"/>
  <c r="AS218" i="30"/>
  <c r="Y204" i="30"/>
  <c r="AS202" i="30"/>
  <c r="T197" i="30"/>
  <c r="AD188" i="30"/>
  <c r="AI175" i="30"/>
  <c r="T149" i="30"/>
  <c r="AN144" i="30"/>
  <c r="AS131" i="30"/>
  <c r="T120" i="30"/>
  <c r="T117" i="30"/>
  <c r="AN109" i="30"/>
  <c r="AS90" i="30"/>
  <c r="AI80" i="30"/>
  <c r="AS61" i="30"/>
  <c r="AI51" i="30"/>
  <c r="AS30" i="30"/>
  <c r="AS23" i="30"/>
  <c r="AD19" i="30"/>
  <c r="AI3" i="30"/>
  <c r="AN213" i="30"/>
  <c r="AD212" i="30"/>
  <c r="Y194" i="30"/>
  <c r="AS189" i="30"/>
  <c r="AS163" i="30"/>
  <c r="AS160" i="30"/>
  <c r="Y159" i="30"/>
  <c r="T143" i="30"/>
  <c r="Y140" i="30"/>
  <c r="AI121" i="30"/>
  <c r="AI118" i="30"/>
  <c r="T111" i="30"/>
  <c r="AS103" i="30"/>
  <c r="AS87" i="30"/>
  <c r="AI77" i="30"/>
  <c r="AI74" i="30"/>
  <c r="T66" i="30"/>
  <c r="AN42" i="30"/>
  <c r="Y38" i="30"/>
  <c r="Y32" i="30"/>
  <c r="AN26" i="30"/>
  <c r="Y22" i="30"/>
  <c r="AN202" i="30"/>
  <c r="Y201" i="30"/>
  <c r="AN189" i="30"/>
  <c r="AS186" i="30"/>
  <c r="AD185" i="30"/>
  <c r="AS183" i="30"/>
  <c r="T181" i="30"/>
  <c r="T171" i="30"/>
  <c r="T168" i="30"/>
  <c r="AS154" i="30"/>
  <c r="AD153" i="30"/>
  <c r="AD150" i="30"/>
  <c r="AI112" i="30"/>
  <c r="AI109" i="30"/>
  <c r="AS100" i="30"/>
  <c r="AI93" i="30"/>
  <c r="AN90" i="30"/>
  <c r="Y86" i="30"/>
  <c r="AD80" i="30"/>
  <c r="T205" i="30"/>
  <c r="Y197" i="30"/>
  <c r="AN169" i="30"/>
  <c r="AN141" i="30"/>
  <c r="AS137" i="30"/>
  <c r="AI106" i="30"/>
  <c r="AS82" i="30"/>
  <c r="Y19" i="30"/>
  <c r="T15" i="30"/>
  <c r="AS5" i="30"/>
  <c r="AN194" i="30"/>
  <c r="AS182" i="30"/>
  <c r="Y168" i="30"/>
  <c r="AD164" i="30"/>
  <c r="AI153" i="30"/>
  <c r="AI149" i="30"/>
  <c r="Y148" i="30"/>
  <c r="AI127" i="30"/>
  <c r="T105" i="30"/>
  <c r="AI90" i="30"/>
  <c r="Y89" i="30"/>
  <c r="Y85" i="30"/>
  <c r="AD81" i="30"/>
  <c r="AD60" i="30"/>
  <c r="T51" i="30"/>
  <c r="Y47" i="30"/>
  <c r="AI44" i="30"/>
  <c r="AS41" i="30"/>
  <c r="AI40" i="30"/>
  <c r="AI20" i="30"/>
  <c r="T7" i="30"/>
  <c r="AD189" i="30"/>
  <c r="AS170" i="30"/>
  <c r="AS166" i="30"/>
  <c r="Y160" i="30"/>
  <c r="T148" i="30"/>
  <c r="AD145" i="30"/>
  <c r="T144" i="30"/>
  <c r="AS128" i="30"/>
  <c r="AN123" i="30"/>
  <c r="AN119" i="30"/>
  <c r="Y118" i="30"/>
  <c r="Y114" i="30"/>
  <c r="AD106" i="30"/>
  <c r="AN82" i="30"/>
  <c r="T68" i="30"/>
  <c r="AN61" i="30"/>
  <c r="AD56" i="30"/>
  <c r="AD52" i="30"/>
  <c r="AD40" i="30"/>
  <c r="AN37" i="30"/>
  <c r="AD36" i="30"/>
  <c r="T23" i="30"/>
  <c r="T19" i="30"/>
  <c r="AI33" i="30"/>
  <c r="AN17" i="30"/>
  <c r="AI214" i="30"/>
  <c r="Y212" i="30"/>
  <c r="AS195" i="30"/>
  <c r="AN178" i="30"/>
  <c r="T156" i="30"/>
  <c r="AD149" i="30"/>
  <c r="AI115" i="30"/>
  <c r="Y60" i="30"/>
  <c r="T218" i="30"/>
  <c r="AD213" i="30"/>
  <c r="AN199" i="30"/>
  <c r="AD161" i="30"/>
  <c r="T160" i="30"/>
  <c r="AN158" i="30"/>
  <c r="AN146" i="30"/>
  <c r="AS133" i="30"/>
  <c r="T131" i="30"/>
  <c r="AI119" i="30"/>
  <c r="T114" i="30"/>
  <c r="T110" i="30"/>
  <c r="AS108" i="30"/>
  <c r="Y106" i="30"/>
  <c r="Y102" i="30"/>
  <c r="Y98" i="30"/>
  <c r="AI82" i="30"/>
  <c r="AS79" i="30"/>
  <c r="AI78" i="30"/>
  <c r="AS75" i="30"/>
  <c r="T73" i="30"/>
  <c r="AI53" i="30"/>
  <c r="AI49" i="30"/>
  <c r="AN45" i="30"/>
  <c r="AI37" i="30"/>
  <c r="AS34" i="30"/>
  <c r="T32" i="30"/>
  <c r="AD29" i="30"/>
  <c r="T28" i="30"/>
  <c r="Y4" i="30"/>
  <c r="AN195" i="30"/>
  <c r="T193" i="30"/>
  <c r="Y185" i="30"/>
  <c r="Y177" i="30"/>
  <c r="AN174" i="30"/>
  <c r="Y157" i="30"/>
  <c r="AI154" i="30"/>
  <c r="Y149" i="30"/>
  <c r="AD132" i="30"/>
  <c r="AD115" i="30"/>
  <c r="AN112" i="30"/>
  <c r="AD111" i="30"/>
  <c r="AN108" i="30"/>
  <c r="AS96" i="30"/>
  <c r="T94" i="30"/>
  <c r="AD74" i="30"/>
  <c r="AS58" i="30"/>
  <c r="AI41" i="30"/>
  <c r="AN30" i="30"/>
  <c r="Y12" i="30"/>
  <c r="Y8" i="30"/>
  <c r="T4" i="30"/>
  <c r="Y213" i="30"/>
  <c r="AI208" i="30"/>
  <c r="AS200" i="30"/>
  <c r="Y169" i="30"/>
  <c r="AS167" i="30"/>
  <c r="AI158" i="30"/>
  <c r="T145" i="30"/>
  <c r="AD99" i="30"/>
  <c r="T98" i="30"/>
  <c r="AD95" i="30"/>
  <c r="AI87" i="30"/>
  <c r="AN71" i="30"/>
  <c r="AD37" i="30"/>
  <c r="AN14" i="30"/>
  <c r="T219" i="30"/>
  <c r="AS210" i="30"/>
  <c r="AD203" i="30"/>
  <c r="AN191" i="30"/>
  <c r="AS175" i="30"/>
  <c r="AI174" i="30"/>
  <c r="AI170" i="30"/>
  <c r="AS159" i="30"/>
  <c r="T157" i="30"/>
  <c r="AS147" i="30"/>
  <c r="Y132" i="30"/>
  <c r="AN120" i="30"/>
  <c r="Y111" i="30"/>
  <c r="AI108" i="30"/>
  <c r="Y74" i="30"/>
  <c r="T69" i="30"/>
  <c r="AN58" i="30"/>
  <c r="T40" i="30"/>
  <c r="Y33" i="30"/>
  <c r="AI30" i="30"/>
  <c r="AD9" i="30"/>
  <c r="T8" i="30"/>
  <c r="AD45" i="30"/>
  <c r="T198" i="30"/>
  <c r="AD166" i="30"/>
  <c r="AD158" i="30"/>
  <c r="AS151" i="30"/>
  <c r="AN143" i="30"/>
  <c r="AI116" i="30"/>
  <c r="Y95" i="30"/>
  <c r="AD25" i="30"/>
  <c r="AN10" i="30"/>
  <c r="Y5" i="30"/>
  <c r="AD215" i="30"/>
  <c r="AI204" i="30"/>
  <c r="Y203" i="30"/>
  <c r="AD195" i="30"/>
  <c r="AI191" i="30"/>
  <c r="AN175" i="30"/>
  <c r="AD170" i="30"/>
  <c r="AN147" i="30"/>
  <c r="T141" i="30"/>
  <c r="AI138" i="30"/>
  <c r="AI133" i="30"/>
  <c r="AD128" i="30"/>
  <c r="AN125" i="30"/>
  <c r="Y123" i="30"/>
  <c r="AI104" i="30"/>
  <c r="AS93" i="30"/>
  <c r="AI83" i="30"/>
  <c r="AS80" i="30"/>
  <c r="AS72" i="30"/>
  <c r="Y41" i="30"/>
  <c r="AS31" i="30"/>
  <c r="Y17" i="30"/>
  <c r="AI6" i="30"/>
  <c r="AI216" i="30"/>
  <c r="AS211" i="30"/>
  <c r="AN196" i="30"/>
  <c r="AI187" i="30"/>
  <c r="Y182" i="30"/>
  <c r="Y166" i="30"/>
  <c r="AI143" i="30"/>
  <c r="AS121" i="30"/>
  <c r="AD112" i="30"/>
  <c r="AS105" i="30"/>
  <c r="AS101" i="30"/>
  <c r="AI96" i="30"/>
  <c r="AI42" i="30"/>
  <c r="AS35" i="30"/>
  <c r="AS15" i="30"/>
  <c r="AI10" i="30"/>
  <c r="AN205" i="30"/>
  <c r="AD204" i="30"/>
  <c r="AS201" i="30"/>
  <c r="Y199" i="30"/>
  <c r="Y195" i="30"/>
  <c r="Y150" i="30"/>
  <c r="AS144" i="30"/>
  <c r="AN139" i="30"/>
  <c r="AD138" i="30"/>
  <c r="T137" i="30"/>
  <c r="AD133" i="30"/>
  <c r="Y128" i="30"/>
  <c r="T123" i="30"/>
  <c r="T119" i="30"/>
  <c r="AD104" i="30"/>
  <c r="AD100" i="30"/>
  <c r="AI88" i="30"/>
  <c r="AD83" i="30"/>
  <c r="AD79" i="30"/>
  <c r="AN76" i="30"/>
  <c r="AN72" i="30"/>
  <c r="T65" i="30"/>
  <c r="T41" i="30"/>
  <c r="AN31" i="30"/>
  <c r="AI22" i="30"/>
  <c r="AS7" i="30"/>
  <c r="AI26" i="30"/>
  <c r="AS11" i="30"/>
  <c r="AD6" i="30"/>
  <c r="AN3" i="30"/>
  <c r="AD216" i="30"/>
  <c r="AS197" i="30"/>
  <c r="AD187" i="30"/>
  <c r="AS184" i="30"/>
  <c r="AS168" i="30"/>
  <c r="AD167" i="30"/>
  <c r="AI159" i="30"/>
  <c r="AD147" i="30"/>
  <c r="T146" i="30"/>
  <c r="Y133" i="30"/>
  <c r="AN117" i="30"/>
  <c r="Y108" i="30"/>
  <c r="AN101" i="30"/>
  <c r="AD96" i="30"/>
  <c r="AI72" i="30"/>
  <c r="AS68" i="30"/>
  <c r="AD66" i="30"/>
  <c r="AD42" i="30"/>
  <c r="AI31" i="30"/>
  <c r="T21" i="30"/>
  <c r="AI205" i="30"/>
  <c r="Y191" i="30"/>
  <c r="AD179" i="30"/>
  <c r="AI163" i="30"/>
  <c r="Y100" i="30"/>
  <c r="AN51" i="30"/>
  <c r="AD159" i="30"/>
  <c r="Y143" i="30"/>
  <c r="AI117" i="30"/>
  <c r="T108" i="30"/>
  <c r="Y96" i="30"/>
  <c r="AD210" i="30"/>
  <c r="AI35" i="30"/>
  <c r="T30" i="30"/>
  <c r="AS212" i="30"/>
  <c r="AI201" i="30"/>
  <c r="T191" i="30"/>
  <c r="AI188" i="30"/>
  <c r="Y183" i="30"/>
  <c r="AN180" i="30"/>
  <c r="T162" i="30"/>
  <c r="Y155" i="30"/>
  <c r="AD130" i="30"/>
  <c r="AS122" i="30"/>
  <c r="AS118" i="30"/>
  <c r="T116" i="30"/>
  <c r="AS102" i="30"/>
  <c r="AI97" i="30"/>
  <c r="AN85" i="30"/>
  <c r="T75" i="30"/>
  <c r="AD72" i="30"/>
  <c r="AI63" i="30"/>
  <c r="AI59" i="30"/>
  <c r="Y50" i="30"/>
  <c r="T34" i="30"/>
  <c r="AD31" i="30"/>
  <c r="AN28" i="30"/>
  <c r="AN23" i="30"/>
  <c r="Y18" i="30"/>
  <c r="AS16" i="30"/>
  <c r="AI11" i="30"/>
  <c r="AI7" i="30"/>
  <c r="AS145" i="30"/>
  <c r="AD139" i="30"/>
  <c r="AN131" i="30"/>
  <c r="AD113" i="30"/>
  <c r="AS98" i="30"/>
  <c r="T96" i="30"/>
  <c r="AI68" i="30"/>
  <c r="AS56" i="30"/>
  <c r="T54" i="30"/>
  <c r="AS52" i="30"/>
  <c r="AN212" i="30"/>
  <c r="AD201" i="30"/>
  <c r="AS198" i="30"/>
  <c r="AS185" i="30"/>
  <c r="AN164" i="30"/>
  <c r="Y151" i="30"/>
  <c r="AI126" i="30"/>
  <c r="AD121" i="30"/>
  <c r="AN118" i="30"/>
  <c r="AN114" i="30"/>
  <c r="AN94" i="30"/>
  <c r="AS69" i="30"/>
  <c r="AD59" i="30"/>
  <c r="AD55" i="30"/>
  <c r="T50" i="30"/>
  <c r="AD43" i="30"/>
  <c r="AD39" i="30"/>
  <c r="Y31" i="30"/>
  <c r="AI23" i="30"/>
  <c r="AI19" i="30"/>
  <c r="AD15" i="30"/>
  <c r="AD217" i="30"/>
  <c r="Y3" i="30"/>
  <c r="AI192" i="30"/>
  <c r="Y217" i="30"/>
  <c r="AD197" i="30"/>
  <c r="AD184" i="30"/>
  <c r="AS173" i="30"/>
  <c r="AI164" i="30"/>
  <c r="Y163" i="30"/>
  <c r="T151" i="30"/>
  <c r="AS141" i="30"/>
  <c r="T88" i="30"/>
  <c r="Y76" i="30"/>
  <c r="AD68" i="30"/>
  <c r="AN64" i="30"/>
  <c r="AN60" i="30"/>
  <c r="AD51" i="30"/>
  <c r="Y39" i="30"/>
  <c r="Y35" i="30"/>
  <c r="AD23" i="30"/>
  <c r="AN197" i="30"/>
  <c r="AN219" i="30"/>
  <c r="Y15" i="30"/>
  <c r="AN168" i="30"/>
  <c r="AD218" i="30"/>
  <c r="AN198" i="30"/>
  <c r="AN181" i="30"/>
  <c r="AD176" i="30"/>
  <c r="AI136" i="30"/>
  <c r="AN127" i="30"/>
  <c r="AD89" i="30"/>
  <c r="AN86" i="30"/>
  <c r="T76" i="30"/>
  <c r="T72" i="30"/>
  <c r="AI64" i="30"/>
  <c r="AS53" i="30"/>
  <c r="T35" i="30"/>
  <c r="AN24" i="30"/>
  <c r="AN20" i="30"/>
  <c r="AN8" i="30"/>
  <c r="AN218" i="30"/>
  <c r="AS216" i="30"/>
  <c r="AJ139" i="30"/>
  <c r="AJ219" i="30"/>
  <c r="AJ71" i="30"/>
  <c r="AT211" i="30"/>
  <c r="AJ214" i="30"/>
  <c r="AO212" i="30"/>
  <c r="AO164" i="30"/>
  <c r="AT210" i="30"/>
  <c r="AO219" i="30"/>
  <c r="AD13" i="31"/>
  <c r="AT15" i="31"/>
  <c r="AV11" i="31"/>
  <c r="AD5" i="31"/>
  <c r="X41" i="31"/>
  <c r="X37" i="31"/>
  <c r="X33" i="31"/>
  <c r="X29" i="31"/>
  <c r="X21" i="31"/>
  <c r="X17" i="31"/>
  <c r="AP43" i="31"/>
  <c r="AP39" i="31"/>
  <c r="AP35" i="31"/>
  <c r="AP31" i="31"/>
  <c r="AP27" i="31"/>
  <c r="AP23" i="31"/>
  <c r="BB14" i="31"/>
  <c r="BB10" i="31"/>
  <c r="AJ8" i="31"/>
  <c r="AJ4" i="31"/>
  <c r="AJ43" i="31"/>
  <c r="AJ39" i="31"/>
  <c r="AJ35" i="31"/>
  <c r="AJ31" i="31"/>
  <c r="AJ27" i="31"/>
  <c r="AJ23" i="31"/>
  <c r="AV14" i="31"/>
  <c r="AV10" i="31"/>
  <c r="AD8" i="31"/>
  <c r="AD4" i="31"/>
  <c r="BB41" i="31"/>
  <c r="BB37" i="31"/>
  <c r="BB33" i="31"/>
  <c r="BB29" i="31"/>
  <c r="BB21" i="31"/>
  <c r="BB17" i="31"/>
  <c r="AV6" i="31"/>
  <c r="AP42" i="31"/>
  <c r="G41" i="31"/>
  <c r="I41" i="31" s="1"/>
  <c r="G37" i="31"/>
  <c r="I37" i="31" s="1"/>
  <c r="AP30" i="31"/>
  <c r="AP22" i="31"/>
  <c r="G21" i="31"/>
  <c r="AP18" i="31"/>
  <c r="G17" i="31"/>
  <c r="I17" i="31" s="1"/>
  <c r="BB13" i="31"/>
  <c r="BB9" i="31"/>
  <c r="G33" i="31"/>
  <c r="H13" i="31"/>
  <c r="X12" i="31"/>
  <c r="H9" i="31"/>
  <c r="BB5" i="31"/>
  <c r="AD43" i="31"/>
  <c r="AD39" i="31"/>
  <c r="AD35" i="31"/>
  <c r="AD31" i="31"/>
  <c r="AD27" i="31"/>
  <c r="AD23" i="31"/>
  <c r="AP14" i="31"/>
  <c r="G13" i="31"/>
  <c r="I13" i="31" s="1"/>
  <c r="AP10" i="31"/>
  <c r="G9" i="31"/>
  <c r="X8" i="31"/>
  <c r="H5" i="31"/>
  <c r="X4" i="31"/>
  <c r="G29" i="31"/>
  <c r="I29" i="31" s="1"/>
  <c r="AV41" i="31"/>
  <c r="AV37" i="31"/>
  <c r="AV33" i="31"/>
  <c r="AV29" i="31"/>
  <c r="AV21" i="31"/>
  <c r="AV17" i="31"/>
  <c r="AP6" i="31"/>
  <c r="G5" i="31"/>
  <c r="AP38" i="31"/>
  <c r="AP34" i="31"/>
  <c r="AD11" i="31"/>
  <c r="AD15" i="31"/>
  <c r="AV13" i="31"/>
  <c r="AV9" i="31"/>
  <c r="AD7" i="31"/>
  <c r="AD3" i="31"/>
  <c r="AC15" i="31"/>
  <c r="X43" i="31"/>
  <c r="X39" i="31"/>
  <c r="X35" i="31"/>
  <c r="X31" i="31"/>
  <c r="X27" i="31"/>
  <c r="X23" i="31"/>
  <c r="AJ14" i="31"/>
  <c r="AJ10" i="31"/>
  <c r="AP41" i="31"/>
  <c r="AP37" i="31"/>
  <c r="AP33" i="31"/>
  <c r="AP29" i="31"/>
  <c r="AP13" i="31"/>
  <c r="BB43" i="31"/>
  <c r="BB39" i="31"/>
  <c r="BB35" i="31"/>
  <c r="BB31" i="31"/>
  <c r="BB27" i="31"/>
  <c r="BB23" i="31"/>
  <c r="AV8" i="31"/>
  <c r="AV4" i="31"/>
  <c r="H43" i="31"/>
  <c r="X42" i="31"/>
  <c r="H39" i="31"/>
  <c r="X38" i="31"/>
  <c r="H35" i="31"/>
  <c r="X34" i="31"/>
  <c r="H31" i="31"/>
  <c r="X30" i="31"/>
  <c r="H27" i="31"/>
  <c r="H23" i="31"/>
  <c r="X22" i="31"/>
  <c r="X18" i="31"/>
  <c r="G23" i="31"/>
  <c r="I23" i="31" s="1"/>
  <c r="G27" i="31"/>
  <c r="G35" i="31"/>
  <c r="G31" i="31"/>
  <c r="X14" i="31"/>
  <c r="BB3" i="31"/>
  <c r="G11" i="31"/>
  <c r="I11" i="31" s="1"/>
  <c r="H7" i="31"/>
  <c r="I7" i="31" s="1"/>
  <c r="H3" i="31"/>
  <c r="I3" i="31" s="1"/>
  <c r="G43" i="31"/>
  <c r="G39" i="31"/>
  <c r="X10" i="31"/>
  <c r="BB7" i="31"/>
  <c r="L775" i="55" a="1"/>
  <c r="L775" i="55" s="1"/>
  <c r="K776" i="55" a="1"/>
  <c r="K776" i="55" s="1"/>
  <c r="K769" i="55" a="1"/>
  <c r="K769" i="55" s="1"/>
  <c r="L774" i="55" a="1"/>
  <c r="L774" i="55" s="1"/>
  <c r="K774" i="55" a="1"/>
  <c r="K774" i="55" s="1"/>
  <c r="L773" i="55" a="1"/>
  <c r="L773" i="55" s="1"/>
  <c r="K773" i="55" a="1"/>
  <c r="K773" i="55" s="1"/>
  <c r="L772" i="55" a="1"/>
  <c r="L772" i="55" s="1"/>
  <c r="K772" i="55" a="1"/>
  <c r="K772" i="55" s="1"/>
  <c r="L771" i="55" a="1"/>
  <c r="L771" i="55" s="1"/>
  <c r="K771" i="55" a="1"/>
  <c r="K771" i="55" s="1"/>
  <c r="L770" i="55" a="1"/>
  <c r="L770" i="55" s="1"/>
  <c r="K770" i="55" a="1"/>
  <c r="K770" i="55" s="1"/>
  <c r="K775" i="55" a="1"/>
  <c r="K775" i="55" s="1"/>
  <c r="L776" i="55" a="1"/>
  <c r="L776" i="55" s="1"/>
  <c r="K777" i="55" a="1"/>
  <c r="K777" i="55" s="1"/>
  <c r="L777" i="55" a="1"/>
  <c r="L777" i="55" s="1"/>
  <c r="L778" i="55" a="1"/>
  <c r="L778" i="55" s="1"/>
  <c r="K779" i="55" a="1"/>
  <c r="K779" i="55" s="1"/>
  <c r="L779" i="55" a="1"/>
  <c r="L779" i="55" s="1"/>
  <c r="K780" i="55" a="1"/>
  <c r="K780" i="55" s="1"/>
  <c r="L780" i="55" a="1"/>
  <c r="L780" i="55" s="1"/>
  <c r="L276" i="55" a="1"/>
  <c r="L276" i="55" s="1"/>
  <c r="L260" i="55" a="1"/>
  <c r="L260" i="55" s="1"/>
  <c r="K266" i="55" a="1"/>
  <c r="K266" i="55" s="1"/>
  <c r="L264" i="55" a="1"/>
  <c r="L264" i="55" s="1"/>
  <c r="L273" i="55" a="1"/>
  <c r="L273" i="55" s="1"/>
  <c r="L268" i="55" a="1"/>
  <c r="L268" i="55" s="1"/>
  <c r="K264" i="55" a="1"/>
  <c r="K264" i="55" s="1"/>
  <c r="L269" i="55" a="1"/>
  <c r="L269" i="55" s="1"/>
  <c r="A506" i="55"/>
  <c r="K506" i="55" s="1" a="1"/>
  <c r="K506" i="55" s="1"/>
  <c r="K507" i="55" a="1"/>
  <c r="K507" i="55" s="1"/>
  <c r="L507" i="55" a="1"/>
  <c r="L507" i="55" s="1"/>
  <c r="K508" i="55" a="1"/>
  <c r="K508" i="55" s="1"/>
  <c r="L512" i="55" a="1"/>
  <c r="L512" i="55" s="1"/>
  <c r="L510" i="55" a="1"/>
  <c r="L510" i="55" s="1"/>
  <c r="L515" i="55" a="1"/>
  <c r="L515" i="55" s="1"/>
  <c r="K509" i="55" a="1"/>
  <c r="K509" i="55" s="1"/>
  <c r="L154" i="55" a="1"/>
  <c r="L154" i="55" s="1"/>
  <c r="K339" i="55" a="1"/>
  <c r="K339" i="55" s="1"/>
  <c r="AC157" i="50"/>
  <c r="AC254" i="50"/>
  <c r="AC56" i="50"/>
  <c r="W85" i="50"/>
  <c r="AU49" i="50"/>
  <c r="W101" i="50"/>
  <c r="AI30" i="50"/>
  <c r="AO30" i="50"/>
  <c r="AO14" i="50"/>
  <c r="AC14" i="50"/>
  <c r="AO101" i="50"/>
  <c r="W251" i="50"/>
  <c r="AI38" i="50"/>
  <c r="W184" i="50"/>
  <c r="W116" i="50"/>
  <c r="AO71" i="50"/>
  <c r="AC61" i="50"/>
  <c r="AO137" i="50"/>
  <c r="AU137" i="50"/>
  <c r="AC152" i="50"/>
  <c r="AC30" i="50"/>
  <c r="W38" i="50"/>
  <c r="AI251" i="50"/>
  <c r="AI238" i="50"/>
  <c r="AI222" i="50"/>
  <c r="AI214" i="50"/>
  <c r="AU192" i="50"/>
  <c r="AU157" i="50"/>
  <c r="AI153" i="50"/>
  <c r="AU256" i="50"/>
  <c r="AU143" i="50"/>
  <c r="AU254" i="50"/>
  <c r="AU123" i="50"/>
  <c r="AU116" i="50"/>
  <c r="AU108" i="50"/>
  <c r="AI96" i="50"/>
  <c r="AU93" i="50"/>
  <c r="AU85" i="50"/>
  <c r="AU77" i="50"/>
  <c r="AU56" i="50"/>
  <c r="W58" i="50"/>
  <c r="AC68" i="50"/>
  <c r="AO240" i="50"/>
  <c r="AC220" i="50"/>
  <c r="AO216" i="50"/>
  <c r="AC214" i="50"/>
  <c r="AO192" i="50"/>
  <c r="AC190" i="50"/>
  <c r="AO184" i="50"/>
  <c r="AC180" i="50"/>
  <c r="AO161" i="50"/>
  <c r="AO157" i="50"/>
  <c r="AO154" i="50"/>
  <c r="AO256" i="50"/>
  <c r="AO143" i="50"/>
  <c r="AO133" i="50"/>
  <c r="AO254" i="50"/>
  <c r="AO123" i="50"/>
  <c r="AO116" i="50"/>
  <c r="AO108" i="50"/>
  <c r="AU104" i="50"/>
  <c r="AC97" i="50"/>
  <c r="AO93" i="50"/>
  <c r="AO89" i="50"/>
  <c r="AO85" i="50"/>
  <c r="AO77" i="50"/>
  <c r="W73" i="50"/>
  <c r="AO56" i="50"/>
  <c r="AC52" i="50"/>
  <c r="AO49" i="50"/>
  <c r="AO249" i="50"/>
  <c r="AO28" i="50"/>
  <c r="AC24" i="50"/>
  <c r="AO12" i="50"/>
  <c r="AO5" i="50"/>
  <c r="AI174" i="50"/>
  <c r="AI166" i="50"/>
  <c r="W70" i="50"/>
  <c r="AI64" i="50"/>
  <c r="AU245" i="50"/>
  <c r="AI232" i="50"/>
  <c r="AC223" i="50"/>
  <c r="W222" i="50"/>
  <c r="AU218" i="50"/>
  <c r="AU194" i="50"/>
  <c r="W190" i="50"/>
  <c r="AU186" i="50"/>
  <c r="AI184" i="50"/>
  <c r="W182" i="50"/>
  <c r="AU178" i="50"/>
  <c r="AI162" i="50"/>
  <c r="AU159" i="50"/>
  <c r="AI157" i="50"/>
  <c r="AI155" i="50"/>
  <c r="AU152" i="50"/>
  <c r="AI256" i="50"/>
  <c r="W149" i="50"/>
  <c r="AU259" i="50"/>
  <c r="AI143" i="50"/>
  <c r="AU139" i="50"/>
  <c r="AI137" i="50"/>
  <c r="AU255" i="50"/>
  <c r="AI254" i="50"/>
  <c r="AC130" i="50"/>
  <c r="W129" i="50"/>
  <c r="AU125" i="50"/>
  <c r="AI123" i="50"/>
  <c r="AI120" i="50"/>
  <c r="AU118" i="50"/>
  <c r="AI116" i="50"/>
  <c r="AC115" i="50"/>
  <c r="AU110" i="50"/>
  <c r="AI108" i="50"/>
  <c r="AC107" i="50"/>
  <c r="AU105" i="50"/>
  <c r="AU102" i="50"/>
  <c r="AI101" i="50"/>
  <c r="AC100" i="50"/>
  <c r="AI98" i="50"/>
  <c r="AU95" i="50"/>
  <c r="AI93" i="50"/>
  <c r="AC92" i="50"/>
  <c r="AU90" i="50"/>
  <c r="AU87" i="50"/>
  <c r="AI85" i="50"/>
  <c r="AC84" i="50"/>
  <c r="AU79" i="50"/>
  <c r="AI77" i="50"/>
  <c r="AU71" i="50"/>
  <c r="AI56" i="50"/>
  <c r="AU50" i="50"/>
  <c r="AI49" i="50"/>
  <c r="AI46" i="50"/>
  <c r="AU251" i="50"/>
  <c r="AI249" i="50"/>
  <c r="AU38" i="50"/>
  <c r="AI36" i="50"/>
  <c r="AU30" i="50"/>
  <c r="AI28" i="50"/>
  <c r="AU25" i="50"/>
  <c r="AU22" i="50"/>
  <c r="AI20" i="50"/>
  <c r="AU14" i="50"/>
  <c r="AI12" i="50"/>
  <c r="AC11" i="50"/>
  <c r="AU248" i="50"/>
  <c r="AI5" i="50"/>
  <c r="AU61" i="50"/>
  <c r="AC174" i="50"/>
  <c r="AC64" i="50"/>
  <c r="AC184" i="50"/>
  <c r="AC143" i="50"/>
  <c r="AO139" i="50"/>
  <c r="AC137" i="50"/>
  <c r="AO255" i="50"/>
  <c r="AC123" i="50"/>
  <c r="AO118" i="50"/>
  <c r="AO110" i="50"/>
  <c r="AC108" i="50"/>
  <c r="AO102" i="50"/>
  <c r="AO95" i="50"/>
  <c r="W84" i="50"/>
  <c r="AC77" i="50"/>
  <c r="W11" i="50"/>
  <c r="AO61" i="50"/>
  <c r="AI168" i="50"/>
  <c r="AI102" i="50"/>
  <c r="AI95" i="50"/>
  <c r="AU58" i="50"/>
  <c r="AU238" i="50"/>
  <c r="AU230" i="50"/>
  <c r="AU222" i="50"/>
  <c r="W124" i="50"/>
  <c r="W102" i="50"/>
  <c r="AC86" i="50"/>
  <c r="AI82" i="50"/>
  <c r="AI201" i="50"/>
  <c r="AI169" i="50"/>
  <c r="AI14" i="50"/>
  <c r="AI11" i="50"/>
  <c r="W136" i="50"/>
  <c r="W130" i="50"/>
  <c r="AI117" i="50"/>
  <c r="W55" i="50"/>
  <c r="AI252" i="50"/>
  <c r="AC49" i="50"/>
  <c r="AI9" i="50"/>
  <c r="AU134" i="50"/>
  <c r="AO60" i="50"/>
  <c r="AI61" i="50"/>
  <c r="AC9" i="50"/>
  <c r="AI66" i="50"/>
  <c r="AC226" i="50"/>
  <c r="AI139" i="50"/>
  <c r="AI17" i="50"/>
  <c r="AO53" i="50"/>
  <c r="AO147" i="50"/>
  <c r="AO141" i="50"/>
  <c r="AO127" i="50"/>
  <c r="AU117" i="50"/>
  <c r="W112" i="50"/>
  <c r="W105" i="50"/>
  <c r="W98" i="50"/>
  <c r="AI81" i="50"/>
  <c r="W74" i="50"/>
  <c r="AU57" i="50"/>
  <c r="W53" i="50"/>
  <c r="W46" i="50"/>
  <c r="AO45" i="50"/>
  <c r="AU250" i="50"/>
  <c r="AI43" i="50"/>
  <c r="W41" i="50"/>
  <c r="AO40" i="50"/>
  <c r="AO36" i="50"/>
  <c r="AI35" i="50"/>
  <c r="AO32" i="50"/>
  <c r="AI27" i="50"/>
  <c r="AI19" i="50"/>
  <c r="AI16" i="50"/>
  <c r="W9" i="50"/>
  <c r="AC8" i="50"/>
  <c r="AO97" i="50"/>
  <c r="AO3" i="50"/>
  <c r="AC112" i="50"/>
  <c r="AU162" i="50"/>
  <c r="AU24" i="50"/>
  <c r="AI105" i="50"/>
  <c r="AC45" i="50"/>
  <c r="AI45" i="50"/>
  <c r="AC73" i="50"/>
  <c r="AO81" i="50"/>
  <c r="AC81" i="50"/>
  <c r="AU32" i="50"/>
  <c r="AO176" i="50"/>
  <c r="AO168" i="50"/>
  <c r="AO234" i="50"/>
  <c r="W231" i="50"/>
  <c r="AO226" i="50"/>
  <c r="AI217" i="50"/>
  <c r="AO186" i="50"/>
  <c r="AO178" i="50"/>
  <c r="AO152" i="50"/>
  <c r="AO259" i="50"/>
  <c r="AO99" i="50"/>
  <c r="AO79" i="50"/>
  <c r="AO50" i="50"/>
  <c r="AC249" i="50"/>
  <c r="AC36" i="50"/>
  <c r="AC20" i="50"/>
  <c r="AC40" i="50"/>
  <c r="AC46" i="50"/>
  <c r="AC105" i="50"/>
  <c r="W32" i="50"/>
  <c r="AU97" i="50"/>
  <c r="AU81" i="50"/>
  <c r="AC141" i="50"/>
  <c r="AU73" i="50"/>
  <c r="W147" i="50"/>
  <c r="AU89" i="50"/>
  <c r="AU8" i="50"/>
  <c r="AI110" i="50"/>
  <c r="AU16" i="50"/>
  <c r="AU52" i="50"/>
  <c r="W52" i="50"/>
  <c r="AO104" i="50"/>
  <c r="W45" i="50"/>
  <c r="W16" i="50"/>
  <c r="AC104" i="50"/>
  <c r="W24" i="50"/>
  <c r="AU112" i="50"/>
  <c r="W176" i="50"/>
  <c r="AU172" i="50"/>
  <c r="W168" i="50"/>
  <c r="AU70" i="50"/>
  <c r="W66" i="50"/>
  <c r="AU246" i="50"/>
  <c r="W242" i="50"/>
  <c r="W234" i="50"/>
  <c r="W226" i="50"/>
  <c r="AO221" i="50"/>
  <c r="W218" i="50"/>
  <c r="W194" i="50"/>
  <c r="AC193" i="50"/>
  <c r="AI25" i="50"/>
  <c r="AO24" i="50"/>
  <c r="AC16" i="50"/>
  <c r="AO52" i="50"/>
  <c r="AC32" i="50"/>
  <c r="W180" i="50"/>
  <c r="AO16" i="50"/>
  <c r="AO112" i="50"/>
  <c r="AI90" i="50"/>
  <c r="W40" i="50"/>
  <c r="AI229" i="50"/>
  <c r="AI221" i="50"/>
  <c r="W8" i="50"/>
  <c r="AO8" i="50"/>
  <c r="AU82" i="50"/>
  <c r="AI133" i="50"/>
  <c r="W170" i="50"/>
  <c r="W68" i="50"/>
  <c r="AU67" i="50"/>
  <c r="AI246" i="50"/>
  <c r="W244" i="50"/>
  <c r="W243" i="50"/>
  <c r="W236" i="50"/>
  <c r="W228" i="50"/>
  <c r="AC221" i="50"/>
  <c r="W220" i="50"/>
  <c r="AO215" i="50"/>
  <c r="W261" i="50"/>
  <c r="AC162" i="50"/>
  <c r="W161" i="50"/>
  <c r="AI260" i="50"/>
  <c r="W154" i="50"/>
  <c r="W141" i="50"/>
  <c r="AI140" i="50"/>
  <c r="AI135" i="50"/>
  <c r="AC134" i="50"/>
  <c r="W133" i="50"/>
  <c r="W127" i="50"/>
  <c r="AI121" i="50"/>
  <c r="AI106" i="50"/>
  <c r="W104" i="50"/>
  <c r="W97" i="50"/>
  <c r="W89" i="50"/>
  <c r="W81" i="50"/>
  <c r="W72" i="50"/>
  <c r="AO51" i="50"/>
  <c r="AU205" i="50"/>
  <c r="AU199" i="50"/>
  <c r="AO205" i="50"/>
  <c r="AO199" i="50"/>
  <c r="AI205" i="50"/>
  <c r="AI199" i="50"/>
  <c r="AC205" i="50"/>
  <c r="AC199" i="50"/>
  <c r="AO212" i="50"/>
  <c r="AU63" i="50"/>
  <c r="W63" i="50"/>
  <c r="W195" i="50"/>
  <c r="AO195" i="50"/>
  <c r="AO179" i="50"/>
  <c r="AI179" i="50"/>
  <c r="AI146" i="50"/>
  <c r="AU146" i="50"/>
  <c r="AI132" i="50"/>
  <c r="AO132" i="50"/>
  <c r="AU132" i="50"/>
  <c r="AI126" i="50"/>
  <c r="W126" i="50"/>
  <c r="AC119" i="50"/>
  <c r="W119" i="50"/>
  <c r="AI111" i="50"/>
  <c r="W111" i="50"/>
  <c r="W103" i="50"/>
  <c r="AU103" i="50"/>
  <c r="AI103" i="50"/>
  <c r="AI88" i="50"/>
  <c r="AO88" i="50"/>
  <c r="W80" i="50"/>
  <c r="AO80" i="50"/>
  <c r="AC80" i="50"/>
  <c r="AI80" i="50"/>
  <c r="AO236" i="50"/>
  <c r="AC236" i="50"/>
  <c r="AC261" i="50"/>
  <c r="W3" i="50"/>
  <c r="AU153" i="50"/>
  <c r="W160" i="50"/>
  <c r="AO140" i="50"/>
  <c r="W96" i="50"/>
  <c r="AO119" i="50"/>
  <c r="AU169" i="50"/>
  <c r="AO126" i="50"/>
  <c r="AO103" i="50"/>
  <c r="AU261" i="50"/>
  <c r="AU3" i="50"/>
  <c r="AI170" i="50"/>
  <c r="AC169" i="50"/>
  <c r="AI68" i="50"/>
  <c r="AC67" i="50"/>
  <c r="AI244" i="50"/>
  <c r="AC243" i="50"/>
  <c r="AU241" i="50"/>
  <c r="AI236" i="50"/>
  <c r="AC235" i="50"/>
  <c r="AI228" i="50"/>
  <c r="AC227" i="50"/>
  <c r="AI220" i="50"/>
  <c r="AC219" i="50"/>
  <c r="AU214" i="50"/>
  <c r="AC195" i="50"/>
  <c r="AI147" i="50"/>
  <c r="AC187" i="50"/>
  <c r="AC170" i="50"/>
  <c r="W169" i="50"/>
  <c r="AO70" i="50"/>
  <c r="W67" i="50"/>
  <c r="AO246" i="50"/>
  <c r="AC244" i="50"/>
  <c r="W235" i="50"/>
  <c r="AC228" i="50"/>
  <c r="W227" i="50"/>
  <c r="AO222" i="50"/>
  <c r="W219" i="50"/>
  <c r="W188" i="50"/>
  <c r="W179" i="50"/>
  <c r="AO163" i="50"/>
  <c r="AC161" i="50"/>
  <c r="AC154" i="50"/>
  <c r="W153" i="50"/>
  <c r="AC147" i="50"/>
  <c r="W146" i="50"/>
  <c r="AO258" i="50"/>
  <c r="AO135" i="50"/>
  <c r="AC133" i="50"/>
  <c r="W132" i="50"/>
  <c r="AC127" i="50"/>
  <c r="AC62" i="50"/>
  <c r="W187" i="50"/>
  <c r="AI204" i="50"/>
  <c r="AI198" i="50"/>
  <c r="AC204" i="50"/>
  <c r="AU206" i="50"/>
  <c r="AI211" i="50"/>
  <c r="AU176" i="50"/>
  <c r="W172" i="50"/>
  <c r="AU168" i="50"/>
  <c r="AC69" i="50"/>
  <c r="AU66" i="50"/>
  <c r="W246" i="50"/>
  <c r="AU242" i="50"/>
  <c r="W238" i="50"/>
  <c r="AU234" i="50"/>
  <c r="W230" i="50"/>
  <c r="W229" i="50"/>
  <c r="AU226" i="50"/>
  <c r="W214" i="50"/>
  <c r="AC189" i="50"/>
  <c r="W181" i="50"/>
  <c r="W163" i="50"/>
  <c r="W162" i="50"/>
  <c r="W260" i="50"/>
  <c r="AC155" i="50"/>
  <c r="AC148" i="50"/>
  <c r="W258" i="50"/>
  <c r="AC257" i="50"/>
  <c r="W135" i="50"/>
  <c r="W121" i="50"/>
  <c r="W120" i="50"/>
  <c r="W114" i="50"/>
  <c r="W113" i="50"/>
  <c r="W106" i="50"/>
  <c r="W99" i="50"/>
  <c r="AO78" i="50"/>
  <c r="W75" i="50"/>
  <c r="AU74" i="50"/>
  <c r="W54" i="50"/>
  <c r="AC48" i="50"/>
  <c r="W47" i="50"/>
  <c r="W42" i="50"/>
  <c r="AU41" i="50"/>
  <c r="AC35" i="50"/>
  <c r="AC27" i="50"/>
  <c r="AC19" i="50"/>
  <c r="W18" i="50"/>
  <c r="AU17" i="50"/>
  <c r="W10" i="50"/>
  <c r="AU9" i="50"/>
  <c r="AI172" i="50"/>
  <c r="AU243" i="50"/>
  <c r="AC238" i="50"/>
  <c r="AU235" i="50"/>
  <c r="AI230" i="50"/>
  <c r="AU227" i="50"/>
  <c r="AU219" i="50"/>
  <c r="AU195" i="50"/>
  <c r="AI190" i="50"/>
  <c r="AU188" i="50"/>
  <c r="AC182" i="50"/>
  <c r="AU179" i="50"/>
  <c r="AC163" i="50"/>
  <c r="AU160" i="50"/>
  <c r="AC260" i="50"/>
  <c r="AC149" i="50"/>
  <c r="AC258" i="50"/>
  <c r="AU140" i="50"/>
  <c r="AC129" i="50"/>
  <c r="AU126" i="50"/>
  <c r="AU111" i="50"/>
  <c r="AC106" i="50"/>
  <c r="AU96" i="50"/>
  <c r="AI91" i="50"/>
  <c r="AU88" i="50"/>
  <c r="AI83" i="50"/>
  <c r="AU80" i="50"/>
  <c r="AU72" i="50"/>
  <c r="AC54" i="50"/>
  <c r="AU51" i="50"/>
  <c r="AI42" i="50"/>
  <c r="AU39" i="50"/>
  <c r="AI34" i="50"/>
  <c r="AU31" i="50"/>
  <c r="AC10" i="50"/>
  <c r="AU187" i="50"/>
  <c r="W51" i="50"/>
  <c r="AO169" i="50"/>
  <c r="AO67" i="50"/>
  <c r="AO243" i="50"/>
  <c r="AO235" i="50"/>
  <c r="AO227" i="50"/>
  <c r="AO219" i="50"/>
  <c r="AO188" i="50"/>
  <c r="AO153" i="50"/>
  <c r="AO146" i="50"/>
  <c r="AU119" i="50"/>
  <c r="AU201" i="50"/>
  <c r="AU208" i="50"/>
  <c r="AO201" i="50"/>
  <c r="AO187" i="50"/>
  <c r="AU174" i="50"/>
  <c r="AI67" i="50"/>
  <c r="AI243" i="50"/>
  <c r="AI235" i="50"/>
  <c r="AI227" i="50"/>
  <c r="AI219" i="50"/>
  <c r="W192" i="50"/>
  <c r="AI188" i="50"/>
  <c r="AI160" i="50"/>
  <c r="AI187" i="50"/>
  <c r="AI225" i="50"/>
  <c r="AI218" i="50"/>
  <c r="AI128" i="50"/>
  <c r="AC3" i="50"/>
  <c r="W189" i="50"/>
  <c r="AI258" i="50"/>
  <c r="AO230" i="50"/>
  <c r="AO190" i="50"/>
  <c r="AC172" i="50"/>
  <c r="AO172" i="50"/>
  <c r="AO238" i="50"/>
  <c r="AI189" i="50"/>
  <c r="AI148" i="50"/>
  <c r="AC259" i="50"/>
  <c r="AI257" i="50"/>
  <c r="AO121" i="50"/>
  <c r="AO114" i="50"/>
  <c r="AI113" i="50"/>
  <c r="AI3" i="50"/>
  <c r="AI134" i="50"/>
  <c r="AI129" i="50"/>
  <c r="W155" i="50"/>
  <c r="AC25" i="50"/>
  <c r="W134" i="50"/>
  <c r="AC181" i="50"/>
  <c r="W17" i="50"/>
  <c r="AC75" i="50"/>
  <c r="AO42" i="50"/>
  <c r="AI74" i="50"/>
  <c r="AC230" i="50"/>
  <c r="AC42" i="50"/>
  <c r="W90" i="50"/>
  <c r="W221" i="50"/>
  <c r="AC98" i="50"/>
  <c r="AO91" i="50"/>
  <c r="AU47" i="50"/>
  <c r="AC90" i="50"/>
  <c r="AC34" i="50"/>
  <c r="AU46" i="50"/>
  <c r="AI149" i="50"/>
  <c r="AU148" i="50"/>
  <c r="W25" i="50"/>
  <c r="AU128" i="50"/>
  <c r="AC233" i="50"/>
  <c r="AI114" i="50"/>
  <c r="AC113" i="50"/>
  <c r="AC245" i="50"/>
  <c r="W245" i="50"/>
  <c r="AI237" i="50"/>
  <c r="AU237" i="50"/>
  <c r="W257" i="50"/>
  <c r="AC120" i="50"/>
  <c r="AU120" i="50"/>
  <c r="AU98" i="50"/>
  <c r="AI41" i="50"/>
  <c r="AC41" i="50"/>
  <c r="AC33" i="50"/>
  <c r="W33" i="50"/>
  <c r="AU33" i="50"/>
  <c r="AI33" i="50"/>
  <c r="AI241" i="50"/>
  <c r="AC135" i="50"/>
  <c r="AC121" i="50"/>
  <c r="AC83" i="50"/>
  <c r="AU26" i="50"/>
  <c r="AC26" i="50"/>
  <c r="AO26" i="50"/>
  <c r="AO105" i="50"/>
  <c r="W82" i="50"/>
  <c r="AC229" i="50"/>
  <c r="AC128" i="50"/>
  <c r="W128" i="50"/>
  <c r="AC237" i="50"/>
  <c r="AO47" i="50"/>
  <c r="AO54" i="50"/>
  <c r="AI163" i="50"/>
  <c r="AC74" i="50"/>
  <c r="AI53" i="50"/>
  <c r="AO83" i="50"/>
  <c r="AU207" i="50"/>
  <c r="AO207" i="50"/>
  <c r="W148" i="50"/>
  <c r="AU113" i="50"/>
  <c r="AI186" i="50"/>
  <c r="AU53" i="50"/>
  <c r="AI75" i="50"/>
  <c r="AU155" i="50"/>
  <c r="AI176" i="50"/>
  <c r="AC175" i="50"/>
  <c r="W173" i="50"/>
  <c r="AU170" i="50"/>
  <c r="AC167" i="50"/>
  <c r="W165" i="50"/>
  <c r="AU68" i="50"/>
  <c r="AC65" i="50"/>
  <c r="AO247" i="50"/>
  <c r="AU244" i="50"/>
  <c r="AI242" i="50"/>
  <c r="AC241" i="50"/>
  <c r="AU239" i="50"/>
  <c r="AU236" i="50"/>
  <c r="AI234" i="50"/>
  <c r="AU228" i="50"/>
  <c r="AI226" i="50"/>
  <c r="AC225" i="50"/>
  <c r="AU223" i="50"/>
  <c r="AU220" i="50"/>
  <c r="AC217" i="50"/>
  <c r="W215" i="50"/>
  <c r="AI194" i="50"/>
  <c r="AO191" i="50"/>
  <c r="W183" i="50"/>
  <c r="AU180" i="50"/>
  <c r="AI178" i="50"/>
  <c r="AI262" i="50"/>
  <c r="AU161" i="50"/>
  <c r="AI159" i="50"/>
  <c r="W156" i="50"/>
  <c r="AU154" i="50"/>
  <c r="AI152" i="50"/>
  <c r="AC151" i="50"/>
  <c r="W150" i="50"/>
  <c r="AU147" i="50"/>
  <c r="AI259" i="50"/>
  <c r="AC144" i="50"/>
  <c r="AU141" i="50"/>
  <c r="AC138" i="50"/>
  <c r="AO136" i="50"/>
  <c r="AU133" i="50"/>
  <c r="AU127" i="50"/>
  <c r="AI125" i="50"/>
  <c r="AI118" i="50"/>
  <c r="AI50" i="50"/>
  <c r="AC211" i="50"/>
  <c r="AC176" i="50"/>
  <c r="AU171" i="50"/>
  <c r="AO170" i="50"/>
  <c r="AC168" i="50"/>
  <c r="AC166" i="50"/>
  <c r="AU69" i="50"/>
  <c r="AO68" i="50"/>
  <c r="AC66" i="50"/>
  <c r="AO64" i="50"/>
  <c r="AO244" i="50"/>
  <c r="AC242" i="50"/>
  <c r="W241" i="50"/>
  <c r="AC240" i="50"/>
  <c r="AC234" i="50"/>
  <c r="AO232" i="50"/>
  <c r="AU229" i="50"/>
  <c r="AO228" i="50"/>
  <c r="AO224" i="50"/>
  <c r="AU221" i="50"/>
  <c r="AO220" i="50"/>
  <c r="AC218" i="50"/>
  <c r="AI216" i="50"/>
  <c r="AC194" i="50"/>
  <c r="AU189" i="50"/>
  <c r="AO261" i="50"/>
  <c r="AC186" i="50"/>
  <c r="AU184" i="50"/>
  <c r="AU181" i="50"/>
  <c r="AO180" i="50"/>
  <c r="W177" i="50"/>
  <c r="AI164" i="50"/>
  <c r="AC159" i="50"/>
  <c r="AU257" i="50"/>
  <c r="AC206" i="50"/>
  <c r="AU190" i="50"/>
  <c r="W186" i="50"/>
  <c r="AU182" i="50"/>
  <c r="W178" i="50"/>
  <c r="AU163" i="50"/>
  <c r="AU260" i="50"/>
  <c r="AU149" i="50"/>
  <c r="AU258" i="50"/>
  <c r="AU135" i="50"/>
  <c r="AU129" i="50"/>
  <c r="AU121" i="50"/>
  <c r="AU114" i="50"/>
  <c r="AU106" i="50"/>
  <c r="AU91" i="50"/>
  <c r="AU83" i="50"/>
  <c r="AU75" i="50"/>
  <c r="AU54" i="50"/>
  <c r="AU42" i="50"/>
  <c r="AU34" i="50"/>
  <c r="AU10" i="50"/>
  <c r="AI206" i="50"/>
  <c r="AU212" i="50"/>
  <c r="AO211" i="50"/>
  <c r="AU211" i="50"/>
  <c r="AI54" i="50"/>
  <c r="AI47" i="50"/>
  <c r="AO206" i="50"/>
  <c r="AC201" i="50"/>
  <c r="AI208" i="50"/>
  <c r="AU60" i="50"/>
  <c r="W206" i="50"/>
  <c r="AI240" i="50"/>
  <c r="AI192" i="50"/>
  <c r="AO174" i="50"/>
  <c r="W237" i="50"/>
  <c r="AU166" i="50"/>
  <c r="W175" i="50"/>
  <c r="AO171" i="50"/>
  <c r="W167" i="50"/>
  <c r="AO69" i="50"/>
  <c r="AO65" i="50"/>
  <c r="AO245" i="50"/>
  <c r="AO229" i="50"/>
  <c r="AO225" i="50"/>
  <c r="W217" i="50"/>
  <c r="AO193" i="50"/>
  <c r="AO189" i="50"/>
  <c r="AI261" i="50"/>
  <c r="AC188" i="50"/>
  <c r="AO181" i="50"/>
  <c r="AI180" i="50"/>
  <c r="AC179" i="50"/>
  <c r="AO162" i="50"/>
  <c r="AI161" i="50"/>
  <c r="AC160" i="50"/>
  <c r="W159" i="50"/>
  <c r="AO155" i="50"/>
  <c r="AI154" i="50"/>
  <c r="AC153" i="50"/>
  <c r="W152" i="50"/>
  <c r="AO148" i="50"/>
  <c r="AC146" i="50"/>
  <c r="W259" i="50"/>
  <c r="AU144" i="50"/>
  <c r="AO257" i="50"/>
  <c r="AI141" i="50"/>
  <c r="AC140" i="50"/>
  <c r="W139" i="50"/>
  <c r="AU240" i="50"/>
  <c r="AI245" i="50"/>
  <c r="AC224" i="50"/>
  <c r="W166" i="50"/>
  <c r="AO164" i="50"/>
  <c r="AI181" i="50"/>
  <c r="AU216" i="50"/>
  <c r="W69" i="50"/>
  <c r="AC192" i="50"/>
  <c r="AI224" i="50"/>
  <c r="AC232" i="50"/>
  <c r="AC164" i="50"/>
  <c r="AC216" i="50"/>
  <c r="AU232" i="50"/>
  <c r="AI69" i="50"/>
  <c r="AO237" i="50"/>
  <c r="AO166" i="50"/>
  <c r="AU64" i="50"/>
  <c r="AC171" i="50"/>
  <c r="AI171" i="50"/>
  <c r="AU164" i="50"/>
  <c r="W171" i="50"/>
  <c r="AU224" i="50"/>
  <c r="W174" i="50"/>
  <c r="W64" i="50"/>
  <c r="W240" i="50"/>
  <c r="W232" i="50"/>
  <c r="AC231" i="50"/>
  <c r="W224" i="50"/>
  <c r="W216" i="50"/>
  <c r="W164" i="50"/>
  <c r="W256" i="50"/>
  <c r="W143" i="50"/>
  <c r="AC142" i="50"/>
  <c r="W137" i="50"/>
  <c r="W196" i="50"/>
  <c r="AC59" i="50"/>
  <c r="AI63" i="50"/>
  <c r="W123" i="50"/>
  <c r="AC122" i="50"/>
  <c r="AI22" i="50"/>
  <c r="AC208" i="50"/>
  <c r="AO208" i="50"/>
  <c r="AC207" i="50"/>
  <c r="AC63" i="50"/>
  <c r="AO134" i="50"/>
  <c r="AC132" i="50"/>
  <c r="W255" i="50"/>
  <c r="AO128" i="50"/>
  <c r="AI127" i="50"/>
  <c r="AC126" i="50"/>
  <c r="W125" i="50"/>
  <c r="AU124" i="50"/>
  <c r="AO120" i="50"/>
  <c r="AI119" i="50"/>
  <c r="W118" i="50"/>
  <c r="AC117" i="50"/>
  <c r="AO113" i="50"/>
  <c r="AI112" i="50"/>
  <c r="AC111" i="50"/>
  <c r="W110" i="50"/>
  <c r="AC109" i="50"/>
  <c r="AI104" i="50"/>
  <c r="AC103" i="50"/>
  <c r="AC253" i="50"/>
  <c r="AO98" i="50"/>
  <c r="AI97" i="50"/>
  <c r="AC96" i="50"/>
  <c r="W95" i="50"/>
  <c r="W94" i="50"/>
  <c r="AO90" i="50"/>
  <c r="AI89" i="50"/>
  <c r="AC88" i="50"/>
  <c r="W87" i="50"/>
  <c r="W86" i="50"/>
  <c r="AO82" i="50"/>
  <c r="W79" i="50"/>
  <c r="W78" i="50"/>
  <c r="AO74" i="50"/>
  <c r="AI73" i="50"/>
  <c r="AC72" i="50"/>
  <c r="W71" i="50"/>
  <c r="AI52" i="50"/>
  <c r="AC51" i="50"/>
  <c r="W50" i="50"/>
  <c r="AO46" i="50"/>
  <c r="AC44" i="50"/>
  <c r="AO41" i="50"/>
  <c r="AI40" i="50"/>
  <c r="AC39" i="50"/>
  <c r="W37" i="50"/>
  <c r="AO33" i="50"/>
  <c r="AI32" i="50"/>
  <c r="AC31" i="50"/>
  <c r="AO25" i="50"/>
  <c r="AI24" i="50"/>
  <c r="AC23" i="50"/>
  <c r="W22" i="50"/>
  <c r="W21" i="50"/>
  <c r="AO17" i="50"/>
  <c r="AC15" i="50"/>
  <c r="AO9" i="50"/>
  <c r="AI8" i="50"/>
  <c r="W248" i="50"/>
  <c r="AO6" i="50"/>
  <c r="AO196" i="50"/>
  <c r="AI196" i="50"/>
  <c r="Z271" i="50"/>
  <c r="AU196" i="50"/>
  <c r="AC196" i="50"/>
  <c r="AC60" i="50"/>
  <c r="AO63" i="50"/>
  <c r="X271" i="50"/>
  <c r="AA271" i="50"/>
  <c r="AC124" i="50"/>
  <c r="AU13" i="50"/>
  <c r="AU37" i="50"/>
  <c r="W57" i="50"/>
  <c r="AU193" i="50"/>
  <c r="AI239" i="50"/>
  <c r="AU253" i="50"/>
  <c r="W29" i="50"/>
  <c r="AU215" i="50"/>
  <c r="AO217" i="50"/>
  <c r="AC183" i="50"/>
  <c r="AU29" i="50"/>
  <c r="AU252" i="50"/>
  <c r="AC173" i="50"/>
  <c r="AI250" i="50"/>
  <c r="AO138" i="50"/>
  <c r="W158" i="50"/>
  <c r="AI86" i="50"/>
  <c r="AC215" i="50"/>
  <c r="AU231" i="50"/>
  <c r="AI233" i="50"/>
  <c r="AU233" i="50"/>
  <c r="AC21" i="50"/>
  <c r="AI200" i="50"/>
  <c r="W200" i="50"/>
  <c r="W13" i="50"/>
  <c r="AO37" i="50"/>
  <c r="AC13" i="50"/>
  <c r="AU158" i="50"/>
  <c r="AU177" i="50"/>
  <c r="AC156" i="50"/>
  <c r="W6" i="50"/>
  <c r="AI156" i="50"/>
  <c r="AO94" i="50"/>
  <c r="AC239" i="50"/>
  <c r="AO241" i="50"/>
  <c r="AI253" i="50"/>
  <c r="AU167" i="50"/>
  <c r="W142" i="50"/>
  <c r="AU191" i="50"/>
  <c r="W252" i="50"/>
  <c r="AC78" i="50"/>
  <c r="AI109" i="50"/>
  <c r="AU6" i="50"/>
  <c r="W65" i="50"/>
  <c r="AC150" i="50"/>
  <c r="W138" i="50"/>
  <c r="AI175" i="50"/>
  <c r="AO86" i="50"/>
  <c r="AU217" i="50"/>
  <c r="AU142" i="50"/>
  <c r="AO185" i="50"/>
  <c r="AO231" i="50"/>
  <c r="W225" i="50"/>
  <c r="AI212" i="50"/>
  <c r="W60" i="50"/>
  <c r="AI60" i="50"/>
  <c r="AO197" i="50"/>
  <c r="AC37" i="50"/>
  <c r="W262" i="50"/>
  <c r="AU247" i="50"/>
  <c r="AO117" i="50"/>
  <c r="AO183" i="50"/>
  <c r="W223" i="50"/>
  <c r="AI223" i="50"/>
  <c r="AO151" i="50"/>
  <c r="W253" i="50"/>
  <c r="AU183" i="50"/>
  <c r="AU78" i="50"/>
  <c r="AO167" i="50"/>
  <c r="AO131" i="50"/>
  <c r="AO109" i="50"/>
  <c r="W250" i="50"/>
  <c r="AI167" i="50"/>
  <c r="AI94" i="50"/>
  <c r="AI150" i="50"/>
  <c r="AI138" i="50"/>
  <c r="AO29" i="50"/>
  <c r="AI78" i="50"/>
  <c r="AU86" i="50"/>
  <c r="AO250" i="50"/>
  <c r="AI231" i="50"/>
  <c r="AO239" i="50"/>
  <c r="W233" i="50"/>
  <c r="AU156" i="50"/>
  <c r="AI191" i="50"/>
  <c r="AI183" i="50"/>
  <c r="W59" i="50"/>
  <c r="AO200" i="50"/>
  <c r="Y271" i="50"/>
  <c r="AO177" i="50"/>
  <c r="AO13" i="50"/>
  <c r="W144" i="50"/>
  <c r="AO253" i="50"/>
  <c r="W247" i="50"/>
  <c r="W193" i="50"/>
  <c r="AO175" i="50"/>
  <c r="AC131" i="50"/>
  <c r="AU151" i="50"/>
  <c r="AU131" i="50"/>
  <c r="AI144" i="50"/>
  <c r="AC191" i="50"/>
  <c r="AU138" i="50"/>
  <c r="AO156" i="50"/>
  <c r="AI158" i="50"/>
  <c r="W185" i="50"/>
  <c r="AC165" i="50"/>
  <c r="AU175" i="50"/>
  <c r="AC212" i="50"/>
  <c r="AI59" i="50"/>
  <c r="AC247" i="50"/>
  <c r="AI13" i="50"/>
  <c r="AC262" i="50"/>
  <c r="AU94" i="50"/>
  <c r="AO158" i="50"/>
  <c r="AI151" i="50"/>
  <c r="W151" i="50"/>
  <c r="AI65" i="50"/>
  <c r="AU165" i="50"/>
  <c r="AO150" i="50"/>
  <c r="AU65" i="50"/>
  <c r="AI21" i="50"/>
  <c r="AU21" i="50"/>
  <c r="AU109" i="50"/>
  <c r="AO252" i="50"/>
  <c r="AO233" i="50"/>
  <c r="AI193" i="50"/>
  <c r="AI185" i="50"/>
  <c r="AI177" i="50"/>
  <c r="AI57" i="50"/>
  <c r="AU44" i="50"/>
  <c r="AO38" i="50"/>
  <c r="AI37" i="50"/>
  <c r="AI29" i="50"/>
  <c r="AI207" i="50"/>
  <c r="AU59" i="50"/>
  <c r="AO59" i="50"/>
  <c r="AU200" i="50"/>
  <c r="AC158" i="50"/>
  <c r="AU225" i="50"/>
  <c r="AO144" i="50"/>
  <c r="AI124" i="50"/>
  <c r="W131" i="50"/>
  <c r="AC197" i="50"/>
  <c r="AO57" i="50"/>
  <c r="AI131" i="50"/>
  <c r="AU185" i="50"/>
  <c r="AO124" i="50"/>
  <c r="AC250" i="50"/>
  <c r="W191" i="50"/>
  <c r="AI51" i="50"/>
  <c r="AI39" i="50"/>
  <c r="AC200" i="50"/>
  <c r="L259" i="55" a="1"/>
  <c r="L259" i="55" s="1"/>
  <c r="L272" i="55" a="1"/>
  <c r="L272" i="55" s="1"/>
  <c r="K267" i="55" a="1"/>
  <c r="K267" i="55" s="1"/>
  <c r="L244" i="55" a="1"/>
  <c r="L244" i="55" s="1"/>
  <c r="K244" i="55" a="1"/>
  <c r="K244" i="55" s="1"/>
  <c r="L478" i="55" a="1"/>
  <c r="L478" i="55" s="1"/>
  <c r="K481" i="55" a="1"/>
  <c r="K481" i="55" s="1"/>
  <c r="K478" i="55" a="1"/>
  <c r="K478" i="55" s="1"/>
  <c r="L477" i="55" a="1"/>
  <c r="L477" i="55" s="1"/>
  <c r="L483" i="55" a="1"/>
  <c r="L483" i="55" s="1"/>
  <c r="L486" i="55" a="1"/>
  <c r="L486" i="55" s="1"/>
  <c r="K480" i="55" a="1"/>
  <c r="K480" i="55" s="1"/>
  <c r="K477" i="55" a="1"/>
  <c r="K477" i="55" s="1"/>
  <c r="L476" i="55" a="1"/>
  <c r="L476" i="55" s="1"/>
  <c r="L446" i="55" a="1"/>
  <c r="L446" i="55" s="1"/>
  <c r="L447" i="55" a="1"/>
  <c r="L447" i="55" s="1"/>
  <c r="K488" i="55" a="1"/>
  <c r="K488" i="55" s="1"/>
  <c r="L487" i="55" a="1"/>
  <c r="L487" i="55" s="1"/>
  <c r="L485" i="55" a="1"/>
  <c r="L485" i="55" s="1"/>
  <c r="K483" i="55" a="1"/>
  <c r="K483" i="55" s="1"/>
  <c r="K446" i="55" a="1"/>
  <c r="K446" i="55" s="1"/>
  <c r="K455" i="55" a="1"/>
  <c r="K455" i="55" s="1"/>
  <c r="K445" i="55" a="1"/>
  <c r="K445" i="55" s="1"/>
  <c r="K451" i="55" a="1"/>
  <c r="K451" i="55" s="1"/>
  <c r="L449" i="55" a="1"/>
  <c r="L449" i="55" s="1"/>
  <c r="K452" i="55" a="1"/>
  <c r="K452" i="55" s="1"/>
  <c r="K457" i="55" a="1"/>
  <c r="K457" i="55" s="1"/>
  <c r="L453" i="55" a="1"/>
  <c r="L453" i="55" s="1"/>
  <c r="L451" i="55" a="1"/>
  <c r="L451" i="55" s="1"/>
  <c r="K454" i="55" a="1"/>
  <c r="K454" i="55" s="1"/>
  <c r="L457" i="55" a="1"/>
  <c r="L457" i="55" s="1"/>
  <c r="L448" i="55" a="1"/>
  <c r="L448" i="55" s="1"/>
  <c r="L455" i="55" a="1"/>
  <c r="L455" i="55" s="1"/>
  <c r="L445" i="55" a="1"/>
  <c r="L445" i="55" s="1"/>
  <c r="L450" i="55" a="1"/>
  <c r="L450" i="55" s="1"/>
  <c r="L452" i="55" a="1"/>
  <c r="L452" i="55" s="1"/>
  <c r="L454" i="55" a="1"/>
  <c r="L454" i="55" s="1"/>
  <c r="L456" i="55" a="1"/>
  <c r="L456" i="55" s="1"/>
  <c r="K447" i="55" a="1"/>
  <c r="K447" i="55" s="1"/>
  <c r="K456" i="55" a="1"/>
  <c r="K456" i="55" s="1"/>
  <c r="K453" i="55" a="1"/>
  <c r="K453" i="55" s="1"/>
  <c r="L520" i="55" a="1"/>
  <c r="L520" i="55" s="1"/>
  <c r="L115" i="55" a="1"/>
  <c r="L115" i="55" s="1"/>
  <c r="K51" i="55" a="1"/>
  <c r="K51" i="55" s="1"/>
  <c r="L47" i="55" a="1"/>
  <c r="L47" i="55" s="1"/>
  <c r="L55" i="55" a="1"/>
  <c r="L55" i="55" s="1"/>
  <c r="K54" i="55" a="1"/>
  <c r="K54" i="55" s="1"/>
  <c r="L54" i="55" a="1"/>
  <c r="L54" i="55" s="1"/>
  <c r="L44" i="55" a="1"/>
  <c r="L44" i="55" s="1"/>
  <c r="L58" i="55" a="1"/>
  <c r="L58" i="55" s="1"/>
  <c r="L46" i="55" a="1"/>
  <c r="L46" i="55" s="1"/>
  <c r="K43" i="55" a="1"/>
  <c r="K43" i="55" s="1"/>
  <c r="K50" i="55" a="1"/>
  <c r="K50" i="55" s="1"/>
  <c r="K55" i="55" a="1"/>
  <c r="K55" i="55" s="1"/>
  <c r="L50" i="55" a="1"/>
  <c r="L50" i="55" s="1"/>
  <c r="L51" i="55" a="1"/>
  <c r="L51" i="55" s="1"/>
  <c r="K48" i="55" a="1"/>
  <c r="K48" i="55" s="1"/>
  <c r="K59" i="55" a="1"/>
  <c r="K59" i="55" s="1"/>
  <c r="K57" i="55" a="1"/>
  <c r="K57" i="55" s="1"/>
  <c r="K56" i="55" a="1"/>
  <c r="K56" i="55" s="1"/>
  <c r="L45" i="55" a="1"/>
  <c r="L45" i="55" s="1"/>
  <c r="K47" i="55" a="1"/>
  <c r="K47" i="55" s="1"/>
  <c r="L43" i="55" a="1"/>
  <c r="L43" i="55" s="1"/>
  <c r="K53" i="55" a="1"/>
  <c r="K53" i="55" s="1"/>
  <c r="K52" i="55" a="1"/>
  <c r="K52" i="55" s="1"/>
  <c r="L48" i="55" a="1"/>
  <c r="L48" i="55" s="1"/>
  <c r="L53" i="55" a="1"/>
  <c r="L53" i="55" s="1"/>
  <c r="K58" i="55" a="1"/>
  <c r="K58" i="55" s="1"/>
  <c r="L60" i="55" a="1"/>
  <c r="L60" i="55" s="1"/>
  <c r="K42" i="55" a="1"/>
  <c r="K42" i="55" s="1"/>
  <c r="K44" i="55" a="1"/>
  <c r="K44" i="55" s="1"/>
  <c r="L56" i="55" a="1"/>
  <c r="L56" i="55" s="1"/>
  <c r="K60" i="55" a="1"/>
  <c r="K60" i="55" s="1"/>
  <c r="K45" i="55" a="1"/>
  <c r="K45" i="55" s="1"/>
  <c r="L52" i="55" a="1"/>
  <c r="L52" i="55" s="1"/>
  <c r="K49" i="55" a="1"/>
  <c r="K49" i="55" s="1"/>
  <c r="K46" i="55" a="1"/>
  <c r="K46" i="55" s="1"/>
  <c r="L42" i="55" a="1"/>
  <c r="L42" i="55" s="1"/>
  <c r="L49" i="55" a="1"/>
  <c r="L49" i="55" s="1"/>
  <c r="L583" i="55" a="1"/>
  <c r="L583" i="55" s="1"/>
  <c r="K583" i="55" a="1"/>
  <c r="K583" i="55" s="1"/>
  <c r="A444" i="55"/>
  <c r="L444" i="55" s="1" a="1"/>
  <c r="L444" i="55" s="1"/>
  <c r="L459" i="55" a="1"/>
  <c r="L459" i="55" s="1"/>
  <c r="A475" i="55"/>
  <c r="L475" i="55" s="1" a="1"/>
  <c r="L475" i="55" s="1"/>
  <c r="L480" i="55" a="1"/>
  <c r="L480" i="55" s="1"/>
  <c r="K479" i="55" a="1"/>
  <c r="K479" i="55" s="1"/>
  <c r="K489" i="55" a="1"/>
  <c r="K489" i="55" s="1"/>
  <c r="L490" i="55" a="1"/>
  <c r="L490" i="55" s="1"/>
  <c r="L481" i="55" a="1"/>
  <c r="L481" i="55" s="1"/>
  <c r="K486" i="55" a="1"/>
  <c r="K486" i="55" s="1"/>
  <c r="L484" i="55" a="1"/>
  <c r="L484" i="55" s="1"/>
  <c r="L488" i="55" a="1"/>
  <c r="L488" i="55" s="1"/>
  <c r="K487" i="55" a="1"/>
  <c r="K487" i="55" s="1"/>
  <c r="K490" i="55" a="1"/>
  <c r="K490" i="55" s="1"/>
  <c r="K482" i="55" a="1"/>
  <c r="K482" i="55" s="1"/>
  <c r="K459" i="55" a="1"/>
  <c r="K459" i="55" s="1"/>
  <c r="L489" i="55" a="1"/>
  <c r="L489" i="55" s="1"/>
  <c r="L479" i="55" a="1"/>
  <c r="L479" i="55" s="1"/>
  <c r="K552" i="55" a="1"/>
  <c r="K552" i="55" s="1"/>
  <c r="K645" i="55" a="1"/>
  <c r="K645" i="55" s="1"/>
  <c r="K388" i="55" a="1"/>
  <c r="K388" i="55" s="1"/>
  <c r="L676" i="55" a="1"/>
  <c r="L676" i="55" s="1"/>
  <c r="K676" i="55" a="1"/>
  <c r="K676" i="55" s="1"/>
  <c r="L384" i="55" a="1"/>
  <c r="L384" i="55" s="1"/>
  <c r="L397" i="55" a="1"/>
  <c r="L397" i="55" s="1"/>
  <c r="L398" i="55" a="1"/>
  <c r="L398" i="55" s="1"/>
  <c r="L394" i="55" a="1"/>
  <c r="L394" i="55" s="1"/>
  <c r="L390" i="55" a="1"/>
  <c r="L390" i="55" s="1"/>
  <c r="K387" i="55" a="1"/>
  <c r="K387" i="55" s="1"/>
  <c r="K389" i="55" a="1"/>
  <c r="K389" i="55" s="1"/>
  <c r="K396" i="55" a="1"/>
  <c r="K396" i="55" s="1"/>
  <c r="K386" i="55" a="1"/>
  <c r="K386" i="55" s="1"/>
  <c r="K393" i="55" a="1"/>
  <c r="K393" i="55" s="1"/>
  <c r="K395" i="55" a="1"/>
  <c r="K395" i="55" s="1"/>
  <c r="K390" i="55" a="1"/>
  <c r="K390" i="55" s="1"/>
  <c r="K385" i="55" a="1"/>
  <c r="K385" i="55" s="1"/>
  <c r="K392" i="55" a="1"/>
  <c r="K392" i="55" s="1"/>
  <c r="L387" i="55" a="1"/>
  <c r="L387" i="55" s="1"/>
  <c r="L383" i="55" a="1"/>
  <c r="L383" i="55" s="1"/>
  <c r="L395" i="55" a="1"/>
  <c r="L395" i="55" s="1"/>
  <c r="K397" i="55" a="1"/>
  <c r="K397" i="55" s="1"/>
  <c r="L393" i="55" a="1"/>
  <c r="L393" i="55" s="1"/>
  <c r="L385" i="55" a="1"/>
  <c r="L385" i="55" s="1"/>
  <c r="L386" i="55" a="1"/>
  <c r="L386" i="55" s="1"/>
  <c r="K394" i="55" a="1"/>
  <c r="K394" i="55" s="1"/>
  <c r="K384" i="55" a="1"/>
  <c r="K384" i="55" s="1"/>
  <c r="A382" i="55"/>
  <c r="L391" i="55" a="1"/>
  <c r="L391" i="55" s="1"/>
  <c r="L392" i="55" a="1"/>
  <c r="L392" i="55" s="1"/>
  <c r="L388" i="55" a="1"/>
  <c r="L388" i="55" s="1"/>
  <c r="K383" i="55" a="1"/>
  <c r="K383" i="55" s="1"/>
  <c r="K273" i="55" a="1"/>
  <c r="K273" i="55" s="1"/>
  <c r="K274" i="55" a="1"/>
  <c r="K274" i="55" s="1"/>
  <c r="K270" i="55" a="1"/>
  <c r="K270" i="55" s="1"/>
  <c r="L521" i="55" a="1"/>
  <c r="L521" i="55" s="1"/>
  <c r="L261" i="55" a="1"/>
  <c r="L261" i="55" s="1"/>
  <c r="K263" i="55" a="1"/>
  <c r="K263" i="55" s="1"/>
  <c r="L275" i="55" a="1"/>
  <c r="L275" i="55" s="1"/>
  <c r="K265" i="55" a="1"/>
  <c r="K265" i="55" s="1"/>
  <c r="K514" i="55" a="1"/>
  <c r="K514" i="55" s="1"/>
  <c r="K519" i="55" a="1"/>
  <c r="K519" i="55" s="1"/>
  <c r="L511" i="55" a="1"/>
  <c r="L511" i="55" s="1"/>
  <c r="K260" i="55" a="1"/>
  <c r="K260" i="55" s="1"/>
  <c r="L267" i="55" a="1"/>
  <c r="L267" i="55" s="1"/>
  <c r="K269" i="55" a="1"/>
  <c r="K269" i="55" s="1"/>
  <c r="K259" i="55" a="1"/>
  <c r="K259" i="55" s="1"/>
  <c r="L265" i="55" a="1"/>
  <c r="L265" i="55" s="1"/>
  <c r="K520" i="55" a="1"/>
  <c r="K520" i="55" s="1"/>
  <c r="K510" i="55" a="1"/>
  <c r="K510" i="55" s="1"/>
  <c r="L517" i="55" a="1"/>
  <c r="L517" i="55" s="1"/>
  <c r="K262" i="55" a="1"/>
  <c r="K262" i="55" s="1"/>
  <c r="L274" i="55" a="1"/>
  <c r="L274" i="55" s="1"/>
  <c r="K271" i="55" a="1"/>
  <c r="K271" i="55" s="1"/>
  <c r="L266" i="55" a="1"/>
  <c r="L266" i="55" s="1"/>
  <c r="K268" i="55" a="1"/>
  <c r="K268" i="55" s="1"/>
  <c r="L263" i="55" a="1"/>
  <c r="L263" i="55" s="1"/>
  <c r="L271" i="55" a="1"/>
  <c r="L271" i="55" s="1"/>
  <c r="L513" i="55" a="1"/>
  <c r="L513" i="55" s="1"/>
  <c r="K513" i="55" a="1"/>
  <c r="K513" i="55" s="1"/>
  <c r="K707" i="55" a="1"/>
  <c r="K707" i="55" s="1"/>
  <c r="K272" i="55" a="1"/>
  <c r="K272" i="55" s="1"/>
  <c r="L270" i="55" a="1"/>
  <c r="L270" i="55" s="1"/>
  <c r="K261" i="55" a="1"/>
  <c r="K261" i="55" s="1"/>
  <c r="L262" i="55" a="1"/>
  <c r="L262" i="55" s="1"/>
  <c r="K275" i="55" a="1"/>
  <c r="K275" i="55" s="1"/>
  <c r="K521" i="55" a="1"/>
  <c r="K521" i="55" s="1"/>
  <c r="L516" i="55" a="1"/>
  <c r="L516" i="55" s="1"/>
  <c r="L518" i="55" a="1"/>
  <c r="L518" i="55" s="1"/>
  <c r="L769" i="55" a="1"/>
  <c r="L769" i="55" s="1"/>
  <c r="K738" i="55" a="1"/>
  <c r="K738" i="55" s="1"/>
  <c r="A10" i="57"/>
  <c r="K614" i="55" a="1"/>
  <c r="K614" i="55" s="1"/>
  <c r="A258" i="55"/>
  <c r="K258" i="55" s="1" a="1"/>
  <c r="K258" i="55" s="1"/>
  <c r="K276" i="55" a="1"/>
  <c r="K276" i="55" s="1"/>
  <c r="L338" i="55" a="1"/>
  <c r="L338" i="55" s="1"/>
  <c r="K326" i="55" a="1"/>
  <c r="K326" i="55" s="1"/>
  <c r="L330" i="55" a="1"/>
  <c r="L330" i="55" s="1"/>
  <c r="K335" i="55" a="1"/>
  <c r="K335" i="55" s="1"/>
  <c r="L332" i="55" a="1"/>
  <c r="L332" i="55" s="1"/>
  <c r="K327" i="55" a="1"/>
  <c r="K327" i="55" s="1"/>
  <c r="L333" i="55" a="1"/>
  <c r="L333" i="55" s="1"/>
  <c r="L324" i="55" a="1"/>
  <c r="L324" i="55" s="1"/>
  <c r="K329" i="55" a="1"/>
  <c r="K329" i="55" s="1"/>
  <c r="K325" i="55" a="1"/>
  <c r="K325" i="55" s="1"/>
  <c r="K333" i="55" a="1"/>
  <c r="K333" i="55" s="1"/>
  <c r="A320" i="55"/>
  <c r="L320" i="55" s="1" a="1"/>
  <c r="L320" i="55" s="1"/>
  <c r="L325" i="55" a="1"/>
  <c r="L325" i="55" s="1"/>
  <c r="K336" i="55" a="1"/>
  <c r="K336" i="55" s="1"/>
  <c r="K323" i="55" a="1"/>
  <c r="K323" i="55" s="1"/>
  <c r="K331" i="55" a="1"/>
  <c r="K331" i="55" s="1"/>
  <c r="L321" i="55" a="1"/>
  <c r="L321" i="55" s="1"/>
  <c r="K330" i="55" a="1"/>
  <c r="K330" i="55" s="1"/>
  <c r="L334" i="55" a="1"/>
  <c r="L334" i="55" s="1"/>
  <c r="K337" i="55" a="1"/>
  <c r="K337" i="55" s="1"/>
  <c r="K324" i="55" a="1"/>
  <c r="K324" i="55" s="1"/>
  <c r="L328" i="55" a="1"/>
  <c r="L328" i="55" s="1"/>
  <c r="K322" i="55" a="1"/>
  <c r="K322" i="55" s="1"/>
  <c r="L335" i="55" a="1"/>
  <c r="L335" i="55" s="1"/>
  <c r="K334" i="55" a="1"/>
  <c r="K334" i="55" s="1"/>
  <c r="L331" i="55" a="1"/>
  <c r="L331" i="55" s="1"/>
  <c r="L322" i="55" a="1"/>
  <c r="L322" i="55" s="1"/>
  <c r="L329" i="55" a="1"/>
  <c r="L329" i="55" s="1"/>
  <c r="K328" i="55" a="1"/>
  <c r="K328" i="55" s="1"/>
  <c r="L336" i="55" a="1"/>
  <c r="L336" i="55" s="1"/>
  <c r="L323" i="55" a="1"/>
  <c r="L323" i="55" s="1"/>
  <c r="L326" i="55" a="1"/>
  <c r="L326" i="55" s="1"/>
  <c r="L327" i="55" a="1"/>
  <c r="L327" i="55" s="1"/>
  <c r="K321" i="55" a="1"/>
  <c r="K321" i="55" s="1"/>
  <c r="K364" i="55" a="1"/>
  <c r="K364" i="55" s="1"/>
  <c r="L356" i="55" a="1"/>
  <c r="L356" i="55" s="1"/>
  <c r="K234" i="55" a="1"/>
  <c r="K234" i="55" s="1"/>
  <c r="K239" i="55" a="1"/>
  <c r="K239" i="55" s="1"/>
  <c r="L229" i="55" a="1"/>
  <c r="L229" i="55" s="1"/>
  <c r="K235" i="55" a="1"/>
  <c r="K235" i="55" s="1"/>
  <c r="K232" i="55" a="1"/>
  <c r="K232" i="55" s="1"/>
  <c r="L232" i="55" a="1"/>
  <c r="L232" i="55" s="1"/>
  <c r="K241" i="55" a="1"/>
  <c r="K241" i="55" s="1"/>
  <c r="L231" i="55" a="1"/>
  <c r="L231" i="55" s="1"/>
  <c r="K238" i="55" a="1"/>
  <c r="K238" i="55" s="1"/>
  <c r="L238" i="55" a="1"/>
  <c r="L238" i="55" s="1"/>
  <c r="L233" i="55" a="1"/>
  <c r="L233" i="55" s="1"/>
  <c r="K231" i="55" a="1"/>
  <c r="K231" i="55" s="1"/>
  <c r="L237" i="55" a="1"/>
  <c r="L237" i="55" s="1"/>
  <c r="K228" i="55" a="1"/>
  <c r="K228" i="55" s="1"/>
  <c r="A227" i="55"/>
  <c r="K227" i="55" s="1" a="1"/>
  <c r="K227" i="55" s="1"/>
  <c r="L240" i="55" a="1"/>
  <c r="L240" i="55" s="1"/>
  <c r="K240" i="55" a="1"/>
  <c r="K240" i="55" s="1"/>
  <c r="L239" i="55" a="1"/>
  <c r="L239" i="55" s="1"/>
  <c r="L235" i="55" a="1"/>
  <c r="L235" i="55" s="1"/>
  <c r="K230" i="55" a="1"/>
  <c r="K230" i="55" s="1"/>
  <c r="K237" i="55" a="1"/>
  <c r="K237" i="55" s="1"/>
  <c r="L243" i="55" a="1"/>
  <c r="L243" i="55" s="1"/>
  <c r="L241" i="55" a="1"/>
  <c r="L241" i="55" s="1"/>
  <c r="K236" i="55" a="1"/>
  <c r="K236" i="55" s="1"/>
  <c r="L230" i="55" a="1"/>
  <c r="L230" i="55" s="1"/>
  <c r="K243" i="55" a="1"/>
  <c r="K243" i="55" s="1"/>
  <c r="L228" i="55" a="1"/>
  <c r="L228" i="55" s="1"/>
  <c r="L234" i="55" a="1"/>
  <c r="L234" i="55" s="1"/>
  <c r="K242" i="55" a="1"/>
  <c r="K242" i="55" s="1"/>
  <c r="L236" i="55" a="1"/>
  <c r="L236" i="55" s="1"/>
  <c r="L242" i="55" a="1"/>
  <c r="L242" i="55" s="1"/>
  <c r="K233" i="55" a="1"/>
  <c r="K233" i="55" s="1"/>
  <c r="K229" i="55" a="1"/>
  <c r="K229" i="55" s="1"/>
  <c r="K549" i="55" a="1"/>
  <c r="K549" i="55" s="1"/>
  <c r="A537" i="55"/>
  <c r="K537" i="55" s="1" a="1"/>
  <c r="K537" i="55" s="1"/>
  <c r="K361" i="55" a="1"/>
  <c r="K361" i="55" s="1"/>
  <c r="K363" i="55" a="1"/>
  <c r="K363" i="55" s="1"/>
  <c r="L358" i="55" a="1"/>
  <c r="L358" i="55" s="1"/>
  <c r="L416" i="55" a="1"/>
  <c r="L416" i="55" s="1"/>
  <c r="L419" i="55" a="1"/>
  <c r="L419" i="55" s="1"/>
  <c r="L426" i="55" a="1"/>
  <c r="L426" i="55" s="1"/>
  <c r="K416" i="55" a="1"/>
  <c r="K416" i="55" s="1"/>
  <c r="L422" i="55" a="1"/>
  <c r="L422" i="55" s="1"/>
  <c r="L425" i="55" a="1"/>
  <c r="L425" i="55" s="1"/>
  <c r="K415" i="55" a="1"/>
  <c r="K415" i="55" s="1"/>
  <c r="L415" i="55" a="1"/>
  <c r="L415" i="55" s="1"/>
  <c r="K422" i="55" a="1"/>
  <c r="K422" i="55" s="1"/>
  <c r="K417" i="55" a="1"/>
  <c r="K417" i="55" s="1"/>
  <c r="K419" i="55" a="1"/>
  <c r="K419" i="55" s="1"/>
  <c r="L427" i="55" a="1"/>
  <c r="L427" i="55" s="1"/>
  <c r="K423" i="55" a="1"/>
  <c r="K423" i="55" s="1"/>
  <c r="L418" i="55" a="1"/>
  <c r="L418" i="55" s="1"/>
  <c r="K425" i="55" a="1"/>
  <c r="K425" i="55" s="1"/>
  <c r="K414" i="55" a="1"/>
  <c r="K414" i="55" s="1"/>
  <c r="A413" i="55"/>
  <c r="L421" i="55" a="1"/>
  <c r="L421" i="55" s="1"/>
  <c r="K428" i="55" a="1"/>
  <c r="K428" i="55" s="1"/>
  <c r="K429" i="55" a="1"/>
  <c r="K429" i="55" s="1"/>
  <c r="K418" i="55" a="1"/>
  <c r="K418" i="55" s="1"/>
  <c r="L424" i="55" a="1"/>
  <c r="L424" i="55" s="1"/>
  <c r="K420" i="55" a="1"/>
  <c r="K420" i="55" s="1"/>
  <c r="K427" i="55" a="1"/>
  <c r="K427" i="55" s="1"/>
  <c r="L417" i="55" a="1"/>
  <c r="L417" i="55" s="1"/>
  <c r="K424" i="55" a="1"/>
  <c r="K424" i="55" s="1"/>
  <c r="L430" i="55" a="1"/>
  <c r="L430" i="55" s="1"/>
  <c r="K426" i="55" a="1"/>
  <c r="K426" i="55" s="1"/>
  <c r="L423" i="55" a="1"/>
  <c r="L423" i="55" s="1"/>
  <c r="K430" i="55" a="1"/>
  <c r="K430" i="55" s="1"/>
  <c r="L429" i="55" a="1"/>
  <c r="L429" i="55" s="1"/>
  <c r="L420" i="55" a="1"/>
  <c r="L420" i="55" s="1"/>
  <c r="L414" i="55" a="1"/>
  <c r="L414" i="55" s="1"/>
  <c r="K25" i="55" a="1"/>
  <c r="K25" i="55" s="1"/>
  <c r="K26" i="55" a="1"/>
  <c r="K26" i="55" s="1"/>
  <c r="K23" i="55" a="1"/>
  <c r="K23" i="55" s="1"/>
  <c r="K15" i="55" a="1"/>
  <c r="K15" i="55" s="1"/>
  <c r="L18" i="55" a="1"/>
  <c r="L18" i="55" s="1"/>
  <c r="L11" i="55" a="1"/>
  <c r="L11" i="55" s="1"/>
  <c r="K24" i="55" a="1"/>
  <c r="K24" i="55" s="1"/>
  <c r="K21" i="55" a="1"/>
  <c r="K21" i="55" s="1"/>
  <c r="L21" i="55" a="1"/>
  <c r="L21" i="55" s="1"/>
  <c r="L15" i="55" a="1"/>
  <c r="L15" i="55" s="1"/>
  <c r="L19" i="55" a="1"/>
  <c r="L19" i="55" s="1"/>
  <c r="K22" i="55" a="1"/>
  <c r="K22" i="55" s="1"/>
  <c r="K16" i="55" a="1"/>
  <c r="K16" i="55" s="1"/>
  <c r="K10" i="55" a="1"/>
  <c r="K10" i="55" s="1"/>
  <c r="L26" i="55" a="1"/>
  <c r="L26" i="55" s="1"/>
  <c r="L25" i="55" a="1"/>
  <c r="L25" i="55" s="1"/>
  <c r="L22" i="55" a="1"/>
  <c r="L22" i="55" s="1"/>
  <c r="L12" i="55" a="1"/>
  <c r="L12" i="55" s="1"/>
  <c r="K17" i="55" a="1"/>
  <c r="K17" i="55" s="1"/>
  <c r="K20" i="55" a="1"/>
  <c r="K20" i="55" s="1"/>
  <c r="K13" i="55" a="1"/>
  <c r="K13" i="55" s="1"/>
  <c r="L16" i="55" a="1"/>
  <c r="L16" i="55" s="1"/>
  <c r="L10" i="55" a="1"/>
  <c r="L10" i="55" s="1"/>
  <c r="L24" i="55" a="1"/>
  <c r="L24" i="55" s="1"/>
  <c r="L23" i="55" a="1"/>
  <c r="L23" i="55" s="1"/>
  <c r="L13" i="55" a="1"/>
  <c r="L13" i="55" s="1"/>
  <c r="K18" i="55" a="1"/>
  <c r="K18" i="55" s="1"/>
  <c r="L20" i="55" a="1"/>
  <c r="L20" i="55" s="1"/>
  <c r="A9" i="55"/>
  <c r="L14" i="55" a="1"/>
  <c r="L14" i="55" s="1"/>
  <c r="L17" i="55" a="1"/>
  <c r="L17" i="55" s="1"/>
  <c r="K11" i="55" a="1"/>
  <c r="K11" i="55" s="1"/>
  <c r="K14" i="55" a="1"/>
  <c r="K14" i="55" s="1"/>
  <c r="K19" i="55" a="1"/>
  <c r="K19" i="55" s="1"/>
  <c r="K12" i="55" a="1"/>
  <c r="K12" i="55" s="1"/>
  <c r="K74" i="55" a="1"/>
  <c r="K74" i="55" s="1"/>
  <c r="K77" i="55" a="1"/>
  <c r="K77" i="55" s="1"/>
  <c r="K75" i="55" a="1"/>
  <c r="K75" i="55" s="1"/>
  <c r="L81" i="55" a="1"/>
  <c r="L81" i="55" s="1"/>
  <c r="K80" i="55" a="1"/>
  <c r="K80" i="55" s="1"/>
  <c r="K85" i="55" a="1"/>
  <c r="K85" i="55" s="1"/>
  <c r="L78" i="55" a="1"/>
  <c r="L78" i="55" s="1"/>
  <c r="L299" i="55" a="1"/>
  <c r="L299" i="55" s="1"/>
  <c r="K295" i="55" a="1"/>
  <c r="K295" i="55" s="1"/>
  <c r="K294" i="55" a="1"/>
  <c r="K294" i="55" s="1"/>
  <c r="K298" i="55" a="1"/>
  <c r="K298" i="55" s="1"/>
  <c r="L300" i="55" a="1"/>
  <c r="L300" i="55" s="1"/>
  <c r="L292" i="55" a="1"/>
  <c r="L292" i="55" s="1"/>
  <c r="L291" i="55" a="1"/>
  <c r="L291" i="55" s="1"/>
  <c r="K299" i="55" a="1"/>
  <c r="K299" i="55" s="1"/>
  <c r="K300" i="55" a="1"/>
  <c r="K300" i="55" s="1"/>
  <c r="L293" i="55" a="1"/>
  <c r="L293" i="55" s="1"/>
  <c r="L297" i="55" a="1"/>
  <c r="L297" i="55" s="1"/>
  <c r="L296" i="55" a="1"/>
  <c r="L296" i="55" s="1"/>
  <c r="K291" i="55" a="1"/>
  <c r="K291" i="55" s="1"/>
  <c r="L294" i="55" a="1"/>
  <c r="L294" i="55" s="1"/>
  <c r="K292" i="55" a="1"/>
  <c r="K292" i="55" s="1"/>
  <c r="K296" i="55" a="1"/>
  <c r="K296" i="55" s="1"/>
  <c r="K290" i="55" a="1"/>
  <c r="K290" i="55" s="1"/>
  <c r="L295" i="55" a="1"/>
  <c r="L295" i="55" s="1"/>
  <c r="L298" i="55" a="1"/>
  <c r="L298" i="55" s="1"/>
  <c r="L290" i="55" a="1"/>
  <c r="L290" i="55" s="1"/>
  <c r="K293" i="55" a="1"/>
  <c r="K293" i="55" s="1"/>
  <c r="K297" i="55" a="1"/>
  <c r="K297" i="55" s="1"/>
  <c r="A289" i="55"/>
  <c r="L111" i="55" a="1"/>
  <c r="L111" i="55" s="1"/>
  <c r="K108" i="55" a="1"/>
  <c r="K108" i="55" s="1"/>
  <c r="L108" i="55" a="1"/>
  <c r="L108" i="55" s="1"/>
  <c r="K110" i="55" a="1"/>
  <c r="K110" i="55" s="1"/>
  <c r="K106" i="55" a="1"/>
  <c r="K106" i="55" s="1"/>
  <c r="L114" i="55" a="1"/>
  <c r="L114" i="55" s="1"/>
  <c r="L104" i="55" a="1"/>
  <c r="L104" i="55" s="1"/>
  <c r="K105" i="55" a="1"/>
  <c r="K105" i="55" s="1"/>
  <c r="K114" i="55" a="1"/>
  <c r="K114" i="55" s="1"/>
  <c r="L110" i="55" a="1"/>
  <c r="L110" i="55" s="1"/>
  <c r="K111" i="55" a="1"/>
  <c r="K111" i="55" s="1"/>
  <c r="L106" i="55" a="1"/>
  <c r="L106" i="55" s="1"/>
  <c r="K104" i="55" a="1"/>
  <c r="K104" i="55" s="1"/>
  <c r="L112" i="55" a="1"/>
  <c r="L112" i="55" s="1"/>
  <c r="L109" i="55" a="1"/>
  <c r="L109" i="55" s="1"/>
  <c r="A103" i="55"/>
  <c r="K107" i="55" a="1"/>
  <c r="K107" i="55" s="1"/>
  <c r="L107" i="55" a="1"/>
  <c r="L107" i="55" s="1"/>
  <c r="K109" i="55" a="1"/>
  <c r="K109" i="55" s="1"/>
  <c r="L105" i="55" a="1"/>
  <c r="L105" i="55" s="1"/>
  <c r="K112" i="55" a="1"/>
  <c r="K112" i="55" s="1"/>
  <c r="K113" i="55" a="1"/>
  <c r="K113" i="55" s="1"/>
  <c r="L113" i="55" a="1"/>
  <c r="L113" i="55" s="1"/>
  <c r="L153" i="55" a="1"/>
  <c r="L153" i="55" s="1"/>
  <c r="L148" i="55" a="1"/>
  <c r="L148" i="55" s="1"/>
  <c r="K143" i="55" a="1"/>
  <c r="K143" i="55" s="1"/>
  <c r="L144" i="55" a="1"/>
  <c r="L144" i="55" s="1"/>
  <c r="K146" i="55" a="1"/>
  <c r="K146" i="55" s="1"/>
  <c r="K149" i="55" a="1"/>
  <c r="K149" i="55" s="1"/>
  <c r="A134" i="55"/>
  <c r="L134" i="55" s="1" a="1"/>
  <c r="L134" i="55" s="1"/>
  <c r="L139" i="55" a="1"/>
  <c r="L139" i="55" s="1"/>
  <c r="K148" i="55" a="1"/>
  <c r="K148" i="55" s="1"/>
  <c r="L137" i="55" a="1"/>
  <c r="L137" i="55" s="1"/>
  <c r="L146" i="55" a="1"/>
  <c r="L146" i="55" s="1"/>
  <c r="L168" i="55" a="1"/>
  <c r="L168" i="55" s="1"/>
  <c r="K168" i="55" a="1"/>
  <c r="K168" i="55" s="1"/>
  <c r="L171" i="55" a="1"/>
  <c r="L171" i="55" s="1"/>
  <c r="K166" i="55" a="1"/>
  <c r="K166" i="55" s="1"/>
  <c r="L174" i="55" a="1"/>
  <c r="L174" i="55" s="1"/>
  <c r="K169" i="55" a="1"/>
  <c r="K169" i="55" s="1"/>
  <c r="L177" i="55" a="1"/>
  <c r="L177" i="55" s="1"/>
  <c r="L169" i="55" a="1"/>
  <c r="L169" i="55" s="1"/>
  <c r="K171" i="55" a="1"/>
  <c r="K171" i="55" s="1"/>
  <c r="L173" i="55" a="1"/>
  <c r="L173" i="55" s="1"/>
  <c r="L167" i="55" a="1"/>
  <c r="L167" i="55" s="1"/>
  <c r="A165" i="55"/>
  <c r="L180" i="55" a="1"/>
  <c r="L180" i="55" s="1"/>
  <c r="K175" i="55" a="1"/>
  <c r="K175" i="55" s="1"/>
  <c r="L175" i="55" a="1"/>
  <c r="L175" i="55" s="1"/>
  <c r="K177" i="55" a="1"/>
  <c r="K177" i="55" s="1"/>
  <c r="K172" i="55" a="1"/>
  <c r="K172" i="55" s="1"/>
  <c r="K180" i="55" a="1"/>
  <c r="K180" i="55" s="1"/>
  <c r="L166" i="55" a="1"/>
  <c r="L166" i="55" s="1"/>
  <c r="K181" i="55" a="1"/>
  <c r="K181" i="55" s="1"/>
  <c r="L181" i="55" a="1"/>
  <c r="L181" i="55" s="1"/>
  <c r="K174" i="55" a="1"/>
  <c r="K174" i="55" s="1"/>
  <c r="K183" i="55" a="1"/>
  <c r="K183" i="55" s="1"/>
  <c r="K178" i="55" a="1"/>
  <c r="K178" i="55" s="1"/>
  <c r="K167" i="55" a="1"/>
  <c r="K167" i="55" s="1"/>
  <c r="K170" i="55" a="1"/>
  <c r="K170" i="55" s="1"/>
  <c r="L170" i="55" a="1"/>
  <c r="L170" i="55" s="1"/>
  <c r="L183" i="55" a="1"/>
  <c r="L183" i="55" s="1"/>
  <c r="L172" i="55" a="1"/>
  <c r="L172" i="55" s="1"/>
  <c r="K173" i="55" a="1"/>
  <c r="K173" i="55" s="1"/>
  <c r="L179" i="55" a="1"/>
  <c r="L179" i="55" s="1"/>
  <c r="K176" i="55" a="1"/>
  <c r="K176" i="55" s="1"/>
  <c r="L176" i="55" a="1"/>
  <c r="L176" i="55" s="1"/>
  <c r="L178" i="55" a="1"/>
  <c r="L178" i="55" s="1"/>
  <c r="K179" i="55" a="1"/>
  <c r="K179" i="55" s="1"/>
  <c r="K182" i="55" a="1"/>
  <c r="K182" i="55" s="1"/>
  <c r="L182" i="55" a="1"/>
  <c r="L182" i="55" s="1"/>
  <c r="L207" i="55" a="1"/>
  <c r="L207" i="55" s="1"/>
  <c r="K214" i="55" a="1"/>
  <c r="K214" i="55" s="1"/>
  <c r="K203" i="55" a="1"/>
  <c r="K203" i="55" s="1"/>
  <c r="L213" i="55" a="1"/>
  <c r="L213" i="55" s="1"/>
  <c r="K207" i="55" a="1"/>
  <c r="K207" i="55" s="1"/>
  <c r="K201" i="55" a="1"/>
  <c r="K201" i="55" s="1"/>
  <c r="K198" i="55" a="1"/>
  <c r="K198" i="55" s="1"/>
  <c r="L200" i="55" a="1"/>
  <c r="L200" i="55" s="1"/>
  <c r="L204" i="55" a="1"/>
  <c r="L204" i="55" s="1"/>
  <c r="K199" i="55" a="1"/>
  <c r="K199" i="55" s="1"/>
  <c r="L209" i="55" a="1"/>
  <c r="L209" i="55" s="1"/>
  <c r="L215" i="55" a="1"/>
  <c r="L215" i="55" s="1"/>
  <c r="L353" i="55" a="1"/>
  <c r="L353" i="55" s="1"/>
  <c r="K357" i="55" a="1"/>
  <c r="K357" i="55" s="1"/>
  <c r="K355" i="55" a="1"/>
  <c r="K355" i="55" s="1"/>
  <c r="L364" i="55" a="1"/>
  <c r="L364" i="55" s="1"/>
  <c r="L551" i="55" a="1"/>
  <c r="L551" i="55" s="1"/>
  <c r="K542" i="55" a="1"/>
  <c r="K542" i="55" s="1"/>
  <c r="A351" i="55"/>
  <c r="K539" i="55" a="1"/>
  <c r="K539" i="55" s="1"/>
  <c r="L363" i="55" a="1"/>
  <c r="L363" i="55" s="1"/>
  <c r="K366" i="55" a="1"/>
  <c r="K366" i="55" s="1"/>
  <c r="K359" i="55" a="1"/>
  <c r="K359" i="55" s="1"/>
  <c r="K544" i="55" a="1"/>
  <c r="K544" i="55" s="1"/>
  <c r="L540" i="55" a="1"/>
  <c r="L540" i="55" s="1"/>
  <c r="K548" i="55" a="1"/>
  <c r="K548" i="55" s="1"/>
  <c r="L543" i="55" a="1"/>
  <c r="L543" i="55" s="1"/>
  <c r="L352" i="55" a="1"/>
  <c r="L352" i="55" s="1"/>
  <c r="L357" i="55" a="1"/>
  <c r="L357" i="55" s="1"/>
  <c r="K360" i="55" a="1"/>
  <c r="K360" i="55" s="1"/>
  <c r="L359" i="55" a="1"/>
  <c r="L359" i="55" s="1"/>
  <c r="L544" i="55" a="1"/>
  <c r="L544" i="55" s="1"/>
  <c r="L549" i="55" a="1"/>
  <c r="L549" i="55" s="1"/>
  <c r="L538" i="55" a="1"/>
  <c r="L538" i="55" s="1"/>
  <c r="L366" i="55" a="1"/>
  <c r="L366" i="55" s="1"/>
  <c r="K354" i="55" a="1"/>
  <c r="K354" i="55" s="1"/>
  <c r="L365" i="55" a="1"/>
  <c r="L365" i="55" s="1"/>
  <c r="L550" i="55" a="1"/>
  <c r="L550" i="55" s="1"/>
  <c r="K541" i="55" a="1"/>
  <c r="K541" i="55" s="1"/>
  <c r="L542" i="55" a="1"/>
  <c r="L542" i="55" s="1"/>
  <c r="K352" i="55" a="1"/>
  <c r="K352" i="55" s="1"/>
  <c r="L360" i="55" a="1"/>
  <c r="L360" i="55" s="1"/>
  <c r="K358" i="55" a="1"/>
  <c r="K358" i="55" s="1"/>
  <c r="K353" i="55" a="1"/>
  <c r="K353" i="55" s="1"/>
  <c r="K545" i="55" a="1"/>
  <c r="K545" i="55" s="1"/>
  <c r="K547" i="55" a="1"/>
  <c r="K547" i="55" s="1"/>
  <c r="L539" i="55" a="1"/>
  <c r="L539" i="55" s="1"/>
  <c r="K538" i="55" a="1"/>
  <c r="K538" i="55" s="1"/>
  <c r="K362" i="55" a="1"/>
  <c r="K362" i="55" s="1"/>
  <c r="L361" i="55" a="1"/>
  <c r="L361" i="55" s="1"/>
  <c r="L354" i="55" a="1"/>
  <c r="L354" i="55" s="1"/>
  <c r="L545" i="55" a="1"/>
  <c r="L545" i="55" s="1"/>
  <c r="K543" i="55" a="1"/>
  <c r="K543" i="55" s="1"/>
  <c r="L362" i="55" a="1"/>
  <c r="L362" i="55" s="1"/>
  <c r="K356" i="55" a="1"/>
  <c r="K356" i="55" s="1"/>
  <c r="K546" i="55" a="1"/>
  <c r="K546" i="55" s="1"/>
  <c r="L541" i="55" a="1"/>
  <c r="L541" i="55" s="1"/>
  <c r="L136" i="55" a="1"/>
  <c r="L136" i="55" s="1"/>
  <c r="L147" i="55" a="1"/>
  <c r="L147" i="55" s="1"/>
  <c r="K145" i="55" a="1"/>
  <c r="K145" i="55" s="1"/>
  <c r="K144" i="55" a="1"/>
  <c r="K144" i="55" s="1"/>
  <c r="L197" i="55" a="1"/>
  <c r="L197" i="55" s="1"/>
  <c r="L75" i="55" a="1"/>
  <c r="L75" i="55" s="1"/>
  <c r="L73" i="55" a="1"/>
  <c r="L73" i="55" s="1"/>
  <c r="K81" i="55" a="1"/>
  <c r="K81" i="55" s="1"/>
  <c r="L141" i="55" a="1"/>
  <c r="L141" i="55" s="1"/>
  <c r="K139" i="55" a="1"/>
  <c r="K139" i="55" s="1"/>
  <c r="K138" i="55" a="1"/>
  <c r="K138" i="55" s="1"/>
  <c r="K200" i="55" a="1"/>
  <c r="K200" i="55" s="1"/>
  <c r="L206" i="55" a="1"/>
  <c r="L206" i="55" s="1"/>
  <c r="K215" i="55" a="1"/>
  <c r="K215" i="55" s="1"/>
  <c r="A72" i="55"/>
  <c r="K197" i="55" a="1"/>
  <c r="K197" i="55" s="1"/>
  <c r="K78" i="55" a="1"/>
  <c r="K78" i="55" s="1"/>
  <c r="L79" i="55" a="1"/>
  <c r="L79" i="55" s="1"/>
  <c r="K87" i="55" a="1"/>
  <c r="K87" i="55" s="1"/>
  <c r="L151" i="55" a="1"/>
  <c r="L151" i="55" s="1"/>
  <c r="L150" i="55" a="1"/>
  <c r="L150" i="55" s="1"/>
  <c r="L88" i="55" a="1"/>
  <c r="L88" i="55" s="1"/>
  <c r="K137" i="55" a="1"/>
  <c r="K137" i="55" s="1"/>
  <c r="K210" i="55" a="1"/>
  <c r="K210" i="55" s="1"/>
  <c r="L149" i="55" a="1"/>
  <c r="L149" i="55" s="1"/>
  <c r="L205" i="55" a="1"/>
  <c r="L205" i="55" s="1"/>
  <c r="L212" i="55" a="1"/>
  <c r="L212" i="55" s="1"/>
  <c r="L202" i="55" a="1"/>
  <c r="L202" i="55" s="1"/>
  <c r="K83" i="55" a="1"/>
  <c r="K83" i="55" s="1"/>
  <c r="K84" i="55" a="1"/>
  <c r="K84" i="55" s="1"/>
  <c r="L85" i="55" a="1"/>
  <c r="L85" i="55" s="1"/>
  <c r="L152" i="55" a="1"/>
  <c r="L152" i="55" s="1"/>
  <c r="K152" i="55" a="1"/>
  <c r="K152" i="55" s="1"/>
  <c r="L145" i="55" a="1"/>
  <c r="L145" i="55" s="1"/>
  <c r="L143" i="55" a="1"/>
  <c r="L143" i="55" s="1"/>
  <c r="K204" i="55" a="1"/>
  <c r="K204" i="55" s="1"/>
  <c r="L211" i="55" a="1"/>
  <c r="L211" i="55" s="1"/>
  <c r="L201" i="55" a="1"/>
  <c r="L201" i="55" s="1"/>
  <c r="K208" i="55" a="1"/>
  <c r="K208" i="55" s="1"/>
  <c r="L74" i="55" a="1"/>
  <c r="L74" i="55" s="1"/>
  <c r="L83" i="55" a="1"/>
  <c r="L83" i="55" s="1"/>
  <c r="L82" i="55" a="1"/>
  <c r="L82" i="55" s="1"/>
  <c r="K82" i="55" a="1"/>
  <c r="K82" i="55" s="1"/>
  <c r="K135" i="55" a="1"/>
  <c r="K135" i="55" s="1"/>
  <c r="L84" i="55" a="1"/>
  <c r="L84" i="55" s="1"/>
  <c r="K86" i="55" a="1"/>
  <c r="K86" i="55" s="1"/>
  <c r="L142" i="55" a="1"/>
  <c r="L142" i="55" s="1"/>
  <c r="K153" i="55" a="1"/>
  <c r="K153" i="55" s="1"/>
  <c r="L140" i="55" a="1"/>
  <c r="L140" i="55" s="1"/>
  <c r="K140" i="55" a="1"/>
  <c r="K140" i="55" s="1"/>
  <c r="K142" i="55" a="1"/>
  <c r="K142" i="55" s="1"/>
  <c r="L199" i="55" a="1"/>
  <c r="L199" i="55" s="1"/>
  <c r="K206" i="55" a="1"/>
  <c r="K206" i="55" s="1"/>
  <c r="K213" i="55" a="1"/>
  <c r="K213" i="55" s="1"/>
  <c r="L198" i="55" a="1"/>
  <c r="L198" i="55" s="1"/>
  <c r="A196" i="55"/>
  <c r="L77" i="55" a="1"/>
  <c r="L77" i="55" s="1"/>
  <c r="L76" i="55" a="1"/>
  <c r="L76" i="55" s="1"/>
  <c r="K76" i="55" a="1"/>
  <c r="K76" i="55" s="1"/>
  <c r="L135" i="55" a="1"/>
  <c r="L135" i="55" s="1"/>
  <c r="K73" i="55" a="1"/>
  <c r="K73" i="55" s="1"/>
  <c r="L80" i="55" a="1"/>
  <c r="L80" i="55" s="1"/>
  <c r="K147" i="55" a="1"/>
  <c r="K147" i="55" s="1"/>
  <c r="L138" i="55" a="1"/>
  <c r="L138" i="55" s="1"/>
  <c r="L210" i="55" a="1"/>
  <c r="L210" i="55" s="1"/>
  <c r="K88" i="55" a="1"/>
  <c r="K88" i="55" s="1"/>
  <c r="L214" i="55" a="1"/>
  <c r="L214" i="55" s="1"/>
  <c r="K211" i="55" a="1"/>
  <c r="K211" i="55" s="1"/>
  <c r="K212" i="55" a="1"/>
  <c r="K212" i="55" s="1"/>
  <c r="K202" i="55" a="1"/>
  <c r="K202" i="55" s="1"/>
  <c r="L87" i="55" a="1"/>
  <c r="L87" i="55" s="1"/>
  <c r="K136" i="55" a="1"/>
  <c r="K136" i="55" s="1"/>
  <c r="K79" i="55" a="1"/>
  <c r="K79" i="55" s="1"/>
  <c r="L86" i="55" a="1"/>
  <c r="L86" i="55" s="1"/>
  <c r="K141" i="55" a="1"/>
  <c r="K141" i="55" s="1"/>
  <c r="K151" i="55" a="1"/>
  <c r="K151" i="55" s="1"/>
  <c r="K205" i="55" a="1"/>
  <c r="K205" i="55" s="1"/>
  <c r="K150" i="55" a="1"/>
  <c r="K150" i="55" s="1"/>
  <c r="L208" i="55" a="1"/>
  <c r="L208" i="55" s="1"/>
  <c r="L203" i="55" a="1"/>
  <c r="L203" i="55" s="1"/>
  <c r="K209" i="55" a="1"/>
  <c r="K209" i="55" s="1"/>
  <c r="K332" i="55" a="1"/>
  <c r="K332" i="55" s="1"/>
  <c r="L337" i="55" a="1"/>
  <c r="L337" i="55" s="1"/>
  <c r="K338" i="55" a="1"/>
  <c r="K338" i="55" s="1"/>
  <c r="K365" i="55" a="1"/>
  <c r="K365" i="55" s="1"/>
  <c r="L355" i="55" a="1"/>
  <c r="L355" i="55" s="1"/>
  <c r="L396" i="55" a="1"/>
  <c r="L396" i="55" s="1"/>
  <c r="K391" i="55" a="1"/>
  <c r="K391" i="55" s="1"/>
  <c r="K398" i="55" a="1"/>
  <c r="K398" i="55" s="1"/>
  <c r="K421" i="55" a="1"/>
  <c r="K421" i="55" s="1"/>
  <c r="L428" i="55" a="1"/>
  <c r="L428" i="55" s="1"/>
  <c r="K450" i="55" a="1"/>
  <c r="K450" i="55" s="1"/>
  <c r="K448" i="55" a="1"/>
  <c r="K448" i="55" s="1"/>
  <c r="L458" i="55" a="1"/>
  <c r="L458" i="55" s="1"/>
  <c r="K485" i="55" a="1"/>
  <c r="K485" i="55" s="1"/>
  <c r="K484" i="55" a="1"/>
  <c r="K484" i="55" s="1"/>
  <c r="L482" i="55" a="1"/>
  <c r="L482" i="55" s="1"/>
  <c r="K518" i="55" a="1"/>
  <c r="K518" i="55" s="1"/>
  <c r="K517" i="55" a="1"/>
  <c r="K517" i="55" s="1"/>
  <c r="L509" i="55" a="1"/>
  <c r="L509" i="55" s="1"/>
  <c r="L514" i="55" a="1"/>
  <c r="L514" i="55" s="1"/>
  <c r="L508" i="55" a="1"/>
  <c r="L508" i="55" s="1"/>
  <c r="K512" i="55" a="1"/>
  <c r="K512" i="55" s="1"/>
  <c r="K511" i="55" a="1"/>
  <c r="K511" i="55" s="1"/>
  <c r="K516" i="55" a="1"/>
  <c r="K516" i="55" s="1"/>
  <c r="K515" i="55" a="1"/>
  <c r="K515" i="55" s="1"/>
  <c r="L519" i="55" a="1"/>
  <c r="L519" i="55" s="1"/>
  <c r="K540" i="55" a="1"/>
  <c r="K540" i="55" s="1"/>
  <c r="K550" i="55" a="1"/>
  <c r="K550" i="55" s="1"/>
  <c r="L548" i="55" a="1"/>
  <c r="L548" i="55" s="1"/>
  <c r="L547" i="55" a="1"/>
  <c r="L547" i="55" s="1"/>
  <c r="L546" i="55" a="1"/>
  <c r="L546" i="55" s="1"/>
  <c r="K551" i="55" a="1"/>
  <c r="K551" i="55" s="1"/>
  <c r="K579" i="55" a="1"/>
  <c r="K579" i="55" s="1"/>
  <c r="L578" i="55" a="1"/>
  <c r="L578" i="55" s="1"/>
  <c r="L575" i="55" a="1"/>
  <c r="L575" i="55" s="1"/>
  <c r="A568" i="55"/>
  <c r="L580" i="55" a="1"/>
  <c r="L580" i="55" s="1"/>
  <c r="K578" i="55" a="1"/>
  <c r="K578" i="55" s="1"/>
  <c r="L570" i="55" a="1"/>
  <c r="L570" i="55" s="1"/>
  <c r="L577" i="55" a="1"/>
  <c r="L577" i="55" s="1"/>
  <c r="L579" i="55" a="1"/>
  <c r="L579" i="55" s="1"/>
  <c r="K580" i="55" a="1"/>
  <c r="K580" i="55" s="1"/>
  <c r="K577" i="55" a="1"/>
  <c r="K577" i="55" s="1"/>
  <c r="K571" i="55" a="1"/>
  <c r="K571" i="55" s="1"/>
  <c r="K576" i="55" a="1"/>
  <c r="K576" i="55" s="1"/>
  <c r="L573" i="55" a="1"/>
  <c r="L573" i="55" s="1"/>
  <c r="K570" i="55" a="1"/>
  <c r="K570" i="55" s="1"/>
  <c r="L576" i="55" a="1"/>
  <c r="L576" i="55" s="1"/>
  <c r="K573" i="55" a="1"/>
  <c r="K573" i="55" s="1"/>
  <c r="L582" i="55" a="1"/>
  <c r="L582" i="55" s="1"/>
  <c r="K582" i="55" a="1"/>
  <c r="K582" i="55" s="1"/>
  <c r="K574" i="55" a="1"/>
  <c r="K574" i="55" s="1"/>
  <c r="L569" i="55" a="1"/>
  <c r="L569" i="55" s="1"/>
  <c r="L581" i="55" a="1"/>
  <c r="L581" i="55" s="1"/>
  <c r="L574" i="55" a="1"/>
  <c r="L574" i="55" s="1"/>
  <c r="L571" i="55" a="1"/>
  <c r="L571" i="55" s="1"/>
  <c r="K572" i="55" a="1"/>
  <c r="K572" i="55" s="1"/>
  <c r="K581" i="55" a="1"/>
  <c r="K581" i="55" s="1"/>
  <c r="K575" i="55" a="1"/>
  <c r="K575" i="55" s="1"/>
  <c r="L572" i="55" a="1"/>
  <c r="L572" i="55" s="1"/>
  <c r="K569" i="55" a="1"/>
  <c r="K569" i="55" s="1"/>
  <c r="K612" i="55" a="1"/>
  <c r="K612" i="55" s="1"/>
  <c r="K606" i="55" a="1"/>
  <c r="K606" i="55" s="1"/>
  <c r="L604" i="55" a="1"/>
  <c r="L604" i="55" s="1"/>
  <c r="K610" i="55" a="1"/>
  <c r="K610" i="55" s="1"/>
  <c r="L608" i="55" a="1"/>
  <c r="L608" i="55" s="1"/>
  <c r="L606" i="55" a="1"/>
  <c r="L606" i="55" s="1"/>
  <c r="L602" i="55" a="1"/>
  <c r="L602" i="55" s="1"/>
  <c r="L611" i="55" a="1"/>
  <c r="L611" i="55" s="1"/>
  <c r="L607" i="55" a="1"/>
  <c r="L607" i="55" s="1"/>
  <c r="K604" i="55" a="1"/>
  <c r="K604" i="55" s="1"/>
  <c r="K609" i="55" a="1"/>
  <c r="K609" i="55" s="1"/>
  <c r="K607" i="55" a="1"/>
  <c r="K607" i="55" s="1"/>
  <c r="K605" i="55" a="1"/>
  <c r="K605" i="55" s="1"/>
  <c r="L603" i="55" a="1"/>
  <c r="L603" i="55" s="1"/>
  <c r="A599" i="55"/>
  <c r="K608" i="55" a="1"/>
  <c r="K608" i="55" s="1"/>
  <c r="L605" i="55" a="1"/>
  <c r="L605" i="55" s="1"/>
  <c r="K602" i="55" a="1"/>
  <c r="K602" i="55" s="1"/>
  <c r="L601" i="55" a="1"/>
  <c r="L601" i="55" s="1"/>
  <c r="K613" i="55" a="1"/>
  <c r="K613" i="55" s="1"/>
  <c r="K603" i="55" a="1"/>
  <c r="K603" i="55" s="1"/>
  <c r="K601" i="55" a="1"/>
  <c r="K601" i="55" s="1"/>
  <c r="L613" i="55" a="1"/>
  <c r="L613" i="55" s="1"/>
  <c r="K611" i="55" a="1"/>
  <c r="K611" i="55" s="1"/>
  <c r="L609" i="55" a="1"/>
  <c r="L609" i="55" s="1"/>
  <c r="L600" i="55" a="1"/>
  <c r="L600" i="55" s="1"/>
  <c r="L612" i="55" a="1"/>
  <c r="L612" i="55" s="1"/>
  <c r="L610" i="55" a="1"/>
  <c r="L610" i="55" s="1"/>
  <c r="K600" i="55" a="1"/>
  <c r="K600" i="55" s="1"/>
  <c r="K639" i="55" a="1"/>
  <c r="K639" i="55" s="1"/>
  <c r="K634" i="55" a="1"/>
  <c r="K634" i="55" s="1"/>
  <c r="L633" i="55" a="1"/>
  <c r="L633" i="55" s="1"/>
  <c r="K644" i="55" a="1"/>
  <c r="K644" i="55" s="1"/>
  <c r="L644" i="55" a="1"/>
  <c r="L644" i="55" s="1"/>
  <c r="K637" i="55" a="1"/>
  <c r="K637" i="55" s="1"/>
  <c r="L631" i="55" a="1"/>
  <c r="L631" i="55" s="1"/>
  <c r="K643" i="55" a="1"/>
  <c r="K643" i="55" s="1"/>
  <c r="L640" i="55" a="1"/>
  <c r="L640" i="55" s="1"/>
  <c r="L637" i="55" a="1"/>
  <c r="L637" i="55" s="1"/>
  <c r="A630" i="55"/>
  <c r="L642" i="55" a="1"/>
  <c r="L642" i="55" s="1"/>
  <c r="L643" i="55" a="1"/>
  <c r="L643" i="55" s="1"/>
  <c r="K632" i="55" a="1"/>
  <c r="K632" i="55" s="1"/>
  <c r="L641" i="55" a="1"/>
  <c r="L641" i="55" s="1"/>
  <c r="K641" i="55" a="1"/>
  <c r="K641" i="55" s="1"/>
  <c r="K636" i="55" a="1"/>
  <c r="K636" i="55" s="1"/>
  <c r="K633" i="55" a="1"/>
  <c r="K633" i="55" s="1"/>
  <c r="K640" i="55" a="1"/>
  <c r="K640" i="55" s="1"/>
  <c r="L638" i="55" a="1"/>
  <c r="L638" i="55" s="1"/>
  <c r="L632" i="55" a="1"/>
  <c r="L632" i="55" s="1"/>
  <c r="K638" i="55" a="1"/>
  <c r="K638" i="55" s="1"/>
  <c r="L635" i="55" a="1"/>
  <c r="L635" i="55" s="1"/>
  <c r="K642" i="55" a="1"/>
  <c r="K642" i="55" s="1"/>
  <c r="L639" i="55" a="1"/>
  <c r="L639" i="55" s="1"/>
  <c r="L636" i="55" a="1"/>
  <c r="L636" i="55" s="1"/>
  <c r="L634" i="55" a="1"/>
  <c r="L634" i="55" s="1"/>
  <c r="K635" i="55" a="1"/>
  <c r="K635" i="55" s="1"/>
  <c r="K631" i="55" a="1"/>
  <c r="K631" i="55" s="1"/>
  <c r="K672" i="55" a="1"/>
  <c r="K672" i="55" s="1"/>
  <c r="L671" i="55" a="1"/>
  <c r="L671" i="55" s="1"/>
  <c r="K665" i="55" a="1"/>
  <c r="K665" i="55" s="1"/>
  <c r="L662" i="55" a="1"/>
  <c r="L662" i="55" s="1"/>
  <c r="K669" i="55" a="1"/>
  <c r="K669" i="55" s="1"/>
  <c r="L668" i="55" a="1"/>
  <c r="L668" i="55" s="1"/>
  <c r="L673" i="55" a="1"/>
  <c r="L673" i="55" s="1"/>
  <c r="K662" i="55" a="1"/>
  <c r="K662" i="55" s="1"/>
  <c r="K666" i="55" a="1"/>
  <c r="K666" i="55" s="1"/>
  <c r="L667" i="55" a="1"/>
  <c r="L667" i="55" s="1"/>
  <c r="K673" i="55" a="1"/>
  <c r="K673" i="55" s="1"/>
  <c r="L669" i="55" a="1"/>
  <c r="L669" i="55" s="1"/>
  <c r="L675" i="55" a="1"/>
  <c r="L675" i="55" s="1"/>
  <c r="K670" i="55" a="1"/>
  <c r="K670" i="55" s="1"/>
  <c r="L665" i="55" a="1"/>
  <c r="L665" i="55" s="1"/>
  <c r="L670" i="55" a="1"/>
  <c r="L670" i="55" s="1"/>
  <c r="K667" i="55" a="1"/>
  <c r="K667" i="55" s="1"/>
  <c r="L666" i="55" a="1"/>
  <c r="L666" i="55" s="1"/>
  <c r="K674" i="55" a="1"/>
  <c r="K674" i="55" s="1"/>
  <c r="L664" i="55" a="1"/>
  <c r="L664" i="55" s="1"/>
  <c r="K664" i="55" a="1"/>
  <c r="K664" i="55" s="1"/>
  <c r="A661" i="55"/>
  <c r="K671" i="55" a="1"/>
  <c r="K671" i="55" s="1"/>
  <c r="L663" i="55" a="1"/>
  <c r="L663" i="55" s="1"/>
  <c r="K675" i="55" a="1"/>
  <c r="K675" i="55" s="1"/>
  <c r="L674" i="55" a="1"/>
  <c r="L674" i="55" s="1"/>
  <c r="K668" i="55" a="1"/>
  <c r="K668" i="55" s="1"/>
  <c r="L672" i="55" a="1"/>
  <c r="L672" i="55" s="1"/>
  <c r="K663" i="55" a="1"/>
  <c r="K663" i="55" s="1"/>
  <c r="K705" i="55" a="1"/>
  <c r="K705" i="55" s="1"/>
  <c r="K700" i="55" a="1"/>
  <c r="K700" i="55" s="1"/>
  <c r="L699" i="55" a="1"/>
  <c r="L699" i="55" s="1"/>
  <c r="L706" i="55" a="1"/>
  <c r="L706" i="55" s="1"/>
  <c r="K699" i="55" a="1"/>
  <c r="K699" i="55" s="1"/>
  <c r="L697" i="55" a="1"/>
  <c r="L697" i="55" s="1"/>
  <c r="L695" i="55" a="1"/>
  <c r="L695" i="55" s="1"/>
  <c r="L693" i="55" a="1"/>
  <c r="L693" i="55" s="1"/>
  <c r="K706" i="55" a="1"/>
  <c r="K706" i="55" s="1"/>
  <c r="L698" i="55" a="1"/>
  <c r="L698" i="55" s="1"/>
  <c r="K697" i="55" a="1"/>
  <c r="K697" i="55" s="1"/>
  <c r="L705" i="55" a="1"/>
  <c r="L705" i="55" s="1"/>
  <c r="L701" i="55" a="1"/>
  <c r="L701" i="55" s="1"/>
  <c r="K698" i="55" a="1"/>
  <c r="K698" i="55" s="1"/>
  <c r="K693" i="55" a="1"/>
  <c r="K693" i="55" s="1"/>
  <c r="L704" i="55" a="1"/>
  <c r="L704" i="55" s="1"/>
  <c r="K701" i="55" a="1"/>
  <c r="K701" i="55" s="1"/>
  <c r="L702" i="55" a="1"/>
  <c r="L702" i="55" s="1"/>
  <c r="A692" i="55"/>
  <c r="K704" i="55" a="1"/>
  <c r="K704" i="55" s="1"/>
  <c r="L703" i="55" a="1"/>
  <c r="L703" i="55" s="1"/>
  <c r="K702" i="55" a="1"/>
  <c r="K702" i="55" s="1"/>
  <c r="K696" i="55" a="1"/>
  <c r="K696" i="55" s="1"/>
  <c r="K695" i="55" a="1"/>
  <c r="K695" i="55" s="1"/>
  <c r="L694" i="55" a="1"/>
  <c r="L694" i="55" s="1"/>
  <c r="K703" i="55" a="1"/>
  <c r="K703" i="55" s="1"/>
  <c r="L700" i="55" a="1"/>
  <c r="L700" i="55" s="1"/>
  <c r="L696" i="55" a="1"/>
  <c r="L696" i="55" s="1"/>
  <c r="K694" i="55" a="1"/>
  <c r="K694" i="55" s="1"/>
  <c r="K734" i="55" a="1"/>
  <c r="K734" i="55" s="1"/>
  <c r="K728" i="55" a="1"/>
  <c r="K728" i="55" s="1"/>
  <c r="L725" i="55" a="1"/>
  <c r="L725" i="55" s="1"/>
  <c r="K733" i="55" a="1"/>
  <c r="K733" i="55" s="1"/>
  <c r="L731" i="55" a="1"/>
  <c r="L731" i="55" s="1"/>
  <c r="L727" i="55" a="1"/>
  <c r="L727" i="55" s="1"/>
  <c r="K725" i="55" a="1"/>
  <c r="K725" i="55" s="1"/>
  <c r="K731" i="55" a="1"/>
  <c r="K731" i="55" s="1"/>
  <c r="L728" i="55" a="1"/>
  <c r="L728" i="55" s="1"/>
  <c r="L726" i="55" a="1"/>
  <c r="L726" i="55" s="1"/>
  <c r="L724" i="55" a="1"/>
  <c r="L724" i="55" s="1"/>
  <c r="L730" i="55" a="1"/>
  <c r="L730" i="55" s="1"/>
  <c r="K726" i="55" a="1"/>
  <c r="K726" i="55" s="1"/>
  <c r="K724" i="55" a="1"/>
  <c r="K724" i="55" s="1"/>
  <c r="L736" i="55" a="1"/>
  <c r="L736" i="55" s="1"/>
  <c r="K737" i="55" a="1"/>
  <c r="K737" i="55" s="1"/>
  <c r="L733" i="55" a="1"/>
  <c r="L733" i="55" s="1"/>
  <c r="K730" i="55" a="1"/>
  <c r="K730" i="55" s="1"/>
  <c r="K729" i="55" a="1"/>
  <c r="K729" i="55" s="1"/>
  <c r="L737" i="55" a="1"/>
  <c r="L737" i="55" s="1"/>
  <c r="K736" i="55" a="1"/>
  <c r="K736" i="55" s="1"/>
  <c r="K735" i="55" a="1"/>
  <c r="K735" i="55" s="1"/>
  <c r="K732" i="55" a="1"/>
  <c r="K732" i="55" s="1"/>
  <c r="L729" i="55" a="1"/>
  <c r="L729" i="55" s="1"/>
  <c r="K727" i="55" a="1"/>
  <c r="K727" i="55" s="1"/>
  <c r="L735" i="55" a="1"/>
  <c r="L735" i="55" s="1"/>
  <c r="L734" i="55" a="1"/>
  <c r="L734" i="55" s="1"/>
  <c r="L732" i="55" a="1"/>
  <c r="L732" i="55" s="1"/>
  <c r="A723" i="55"/>
  <c r="K768" i="55" a="1"/>
  <c r="K768" i="55" s="1"/>
  <c r="K766" i="55" a="1"/>
  <c r="K766" i="55" s="1"/>
  <c r="L759" i="55" a="1"/>
  <c r="L759" i="55" s="1"/>
  <c r="L767" i="55" a="1"/>
  <c r="L767" i="55" s="1"/>
  <c r="L766" i="55" a="1"/>
  <c r="L766" i="55" s="1"/>
  <c r="L760" i="55" a="1"/>
  <c r="L760" i="55" s="1"/>
  <c r="K756" i="55" a="1"/>
  <c r="K756" i="55" s="1"/>
  <c r="L763" i="55" a="1"/>
  <c r="L763" i="55" s="1"/>
  <c r="K767" i="55" a="1"/>
  <c r="K767" i="55" s="1"/>
  <c r="K763" i="55" a="1"/>
  <c r="K763" i="55" s="1"/>
  <c r="K759" i="55" a="1"/>
  <c r="K759" i="55" s="1"/>
  <c r="L755" i="55" a="1"/>
  <c r="L755" i="55" s="1"/>
  <c r="L765" i="55" a="1"/>
  <c r="L765" i="55" s="1"/>
  <c r="L758" i="55" a="1"/>
  <c r="L758" i="55" s="1"/>
  <c r="K765" i="55" a="1"/>
  <c r="K765" i="55" s="1"/>
  <c r="L761" i="55" a="1"/>
  <c r="L761" i="55" s="1"/>
  <c r="K758" i="55" a="1"/>
  <c r="K758" i="55" s="1"/>
  <c r="K755" i="55" a="1"/>
  <c r="K755" i="55" s="1"/>
  <c r="L768" i="55" a="1"/>
  <c r="L768" i="55" s="1"/>
  <c r="L764" i="55" a="1"/>
  <c r="L764" i="55" s="1"/>
  <c r="L762" i="55" a="1"/>
  <c r="L762" i="55" s="1"/>
  <c r="K761" i="55" a="1"/>
  <c r="K761" i="55" s="1"/>
  <c r="K760" i="55" a="1"/>
  <c r="K760" i="55" s="1"/>
  <c r="L757" i="55" a="1"/>
  <c r="L757" i="55" s="1"/>
  <c r="A754" i="55"/>
  <c r="K764" i="55" a="1"/>
  <c r="K764" i="55" s="1"/>
  <c r="K762" i="55" a="1"/>
  <c r="K762" i="55" s="1"/>
  <c r="K757" i="55" a="1"/>
  <c r="K757" i="55" s="1"/>
  <c r="L756" i="55" a="1"/>
  <c r="L756" i="55" s="1"/>
  <c r="A41" i="55"/>
  <c r="L59" i="55" a="1"/>
  <c r="L59" i="55" s="1"/>
  <c r="I40" i="31" l="1"/>
  <c r="I9" i="31"/>
  <c r="B12" i="57"/>
  <c r="I27" i="31"/>
  <c r="I4" i="31"/>
  <c r="I36" i="31"/>
  <c r="I33" i="31"/>
  <c r="I21" i="31"/>
  <c r="I5" i="31"/>
  <c r="I39" i="31"/>
  <c r="I43" i="31"/>
  <c r="I31" i="31"/>
  <c r="I35" i="31"/>
  <c r="L506" i="55" a="1"/>
  <c r="L506" i="55" s="1"/>
  <c r="K444" i="55" a="1"/>
  <c r="K444" i="55" s="1"/>
  <c r="K475" i="55" a="1"/>
  <c r="K475" i="55" s="1"/>
  <c r="E27" i="57"/>
  <c r="C38" i="57"/>
  <c r="D30" i="57"/>
  <c r="C19" i="57"/>
  <c r="G62" i="57"/>
  <c r="F25" i="57"/>
  <c r="H39" i="57"/>
  <c r="D20" i="57"/>
  <c r="G55" i="57"/>
  <c r="D243" i="57"/>
  <c r="B48" i="57"/>
  <c r="H29" i="57"/>
  <c r="D228" i="57"/>
  <c r="D61" i="57"/>
  <c r="F69" i="57"/>
  <c r="D206" i="57"/>
  <c r="C49" i="57"/>
  <c r="C18" i="57"/>
  <c r="F207" i="57"/>
  <c r="H216" i="57"/>
  <c r="H89" i="57"/>
  <c r="G25" i="57"/>
  <c r="D236" i="57"/>
  <c r="F242" i="57"/>
  <c r="G14" i="57"/>
  <c r="F122" i="57"/>
  <c r="D144" i="57"/>
  <c r="H99" i="57"/>
  <c r="C24" i="57"/>
  <c r="D40" i="57"/>
  <c r="E118" i="57"/>
  <c r="E420" i="57"/>
  <c r="H227" i="57"/>
  <c r="H65" i="57"/>
  <c r="H598" i="57"/>
  <c r="F443" i="57"/>
  <c r="G572" i="57"/>
  <c r="G135" i="57"/>
  <c r="F482" i="57"/>
  <c r="D496" i="57"/>
  <c r="H413" i="57"/>
  <c r="D461" i="57"/>
  <c r="E454" i="57"/>
  <c r="F435" i="57"/>
  <c r="G363" i="57"/>
  <c r="D377" i="57"/>
  <c r="F305" i="57"/>
  <c r="G523" i="57"/>
  <c r="F300" i="57"/>
  <c r="F427" i="57"/>
  <c r="E361" i="57"/>
  <c r="G196" i="57"/>
  <c r="G116" i="57"/>
  <c r="H533" i="57"/>
  <c r="D368" i="57"/>
  <c r="E354" i="57"/>
  <c r="D414" i="57"/>
  <c r="D545" i="57"/>
  <c r="F358" i="57"/>
  <c r="G242" i="57"/>
  <c r="H320" i="57"/>
  <c r="F541" i="57"/>
  <c r="G509" i="57"/>
  <c r="E303" i="57"/>
  <c r="G396" i="57"/>
  <c r="G74" i="57"/>
  <c r="E227" i="57"/>
  <c r="G269" i="57"/>
  <c r="F22" i="57"/>
  <c r="F247" i="57"/>
  <c r="H63" i="57"/>
  <c r="C44" i="57"/>
  <c r="H74" i="57"/>
  <c r="F99" i="57"/>
  <c r="G71" i="57"/>
  <c r="F205" i="57"/>
  <c r="E135" i="57"/>
  <c r="D169" i="57"/>
  <c r="E117" i="57"/>
  <c r="H153" i="57"/>
  <c r="D163" i="57"/>
  <c r="F13" i="57"/>
  <c r="H193" i="57"/>
  <c r="H145" i="57"/>
  <c r="F262" i="57"/>
  <c r="E120" i="57"/>
  <c r="H191" i="57"/>
  <c r="G245" i="57"/>
  <c r="B43" i="57"/>
  <c r="G173" i="57"/>
  <c r="H36" i="57"/>
  <c r="G48" i="57"/>
  <c r="B27" i="57"/>
  <c r="H171" i="57"/>
  <c r="E155" i="57"/>
  <c r="H192" i="57"/>
  <c r="C55" i="57"/>
  <c r="F244" i="57"/>
  <c r="G19" i="57"/>
  <c r="F218" i="57"/>
  <c r="B39" i="57"/>
  <c r="E38" i="57"/>
  <c r="D267" i="57"/>
  <c r="E591" i="57"/>
  <c r="F552" i="57"/>
  <c r="G487" i="57"/>
  <c r="F499" i="57"/>
  <c r="E600" i="57"/>
  <c r="F414" i="57"/>
  <c r="F401" i="57"/>
  <c r="E387" i="57"/>
  <c r="H442" i="57"/>
  <c r="D303" i="57"/>
  <c r="H581" i="57"/>
  <c r="E448" i="57"/>
  <c r="H467" i="57"/>
  <c r="E524" i="57"/>
  <c r="F294" i="57"/>
  <c r="G126" i="57"/>
  <c r="E551" i="57"/>
  <c r="H401" i="57"/>
  <c r="D430" i="57"/>
  <c r="E525" i="57"/>
  <c r="G469" i="57"/>
  <c r="E363" i="57"/>
  <c r="H363" i="57"/>
  <c r="E371" i="57"/>
  <c r="E535" i="57"/>
  <c r="G529" i="57"/>
  <c r="G399" i="57"/>
  <c r="H520" i="57"/>
  <c r="D91" i="57"/>
  <c r="D164" i="57"/>
  <c r="F18" i="57"/>
  <c r="F168" i="57"/>
  <c r="E134" i="57"/>
  <c r="G241" i="57"/>
  <c r="D95" i="57"/>
  <c r="F204" i="57"/>
  <c r="F151" i="57"/>
  <c r="D45" i="57"/>
  <c r="H73" i="57"/>
  <c r="D139" i="57"/>
  <c r="D123" i="57"/>
  <c r="D195" i="57"/>
  <c r="H93" i="57"/>
  <c r="H144" i="57"/>
  <c r="H122" i="57"/>
  <c r="C53" i="57"/>
  <c r="D102" i="57"/>
  <c r="D220" i="57"/>
  <c r="G206" i="57"/>
  <c r="C47" i="57"/>
  <c r="D212" i="57"/>
  <c r="E41" i="57"/>
  <c r="C43" i="57"/>
  <c r="C35" i="57"/>
  <c r="F246" i="57"/>
  <c r="E247" i="57"/>
  <c r="F23" i="57"/>
  <c r="B51" i="57"/>
  <c r="D12" i="57"/>
  <c r="G175" i="57"/>
  <c r="F59" i="57"/>
  <c r="C14" i="57"/>
  <c r="F173" i="57"/>
  <c r="G59" i="57"/>
  <c r="G214" i="57"/>
  <c r="F178" i="57"/>
  <c r="E174" i="57"/>
  <c r="E148" i="57"/>
  <c r="H14" i="57"/>
  <c r="F537" i="57"/>
  <c r="F534" i="57"/>
  <c r="G588" i="57"/>
  <c r="H378" i="57"/>
  <c r="D511" i="57"/>
  <c r="F453" i="57"/>
  <c r="E440" i="57"/>
  <c r="E395" i="57"/>
  <c r="G335" i="57"/>
  <c r="D250" i="57"/>
  <c r="E576" i="57"/>
  <c r="D298" i="57"/>
  <c r="F506" i="57"/>
  <c r="H440" i="57"/>
  <c r="D325" i="57"/>
  <c r="D161" i="57"/>
  <c r="F579" i="57"/>
  <c r="D380" i="57"/>
  <c r="E248" i="57"/>
  <c r="H483" i="57"/>
  <c r="G447" i="57"/>
  <c r="F330" i="57"/>
  <c r="H388" i="57"/>
  <c r="H131" i="57"/>
  <c r="H547" i="57"/>
  <c r="F495" i="57"/>
  <c r="D379" i="57"/>
  <c r="D436" i="57"/>
  <c r="D65" i="57"/>
  <c r="F182" i="57"/>
  <c r="H199" i="57"/>
  <c r="F252" i="57"/>
  <c r="D93" i="57"/>
  <c r="H206" i="57"/>
  <c r="G183" i="57"/>
  <c r="D28" i="57"/>
  <c r="H111" i="57"/>
  <c r="F210" i="57"/>
  <c r="F90" i="57"/>
  <c r="H241" i="57"/>
  <c r="F28" i="57"/>
  <c r="H66" i="57"/>
  <c r="D62" i="57"/>
  <c r="E244" i="57"/>
  <c r="G72" i="57"/>
  <c r="B23" i="57"/>
  <c r="G157" i="57"/>
  <c r="F238" i="57"/>
  <c r="G225" i="57"/>
  <c r="E36" i="57"/>
  <c r="B13" i="57"/>
  <c r="F152" i="57"/>
  <c r="G63" i="57"/>
  <c r="B55" i="57"/>
  <c r="B19" i="57"/>
  <c r="E222" i="57"/>
  <c r="E192" i="57"/>
  <c r="D22" i="57"/>
  <c r="B41" i="57"/>
  <c r="F186" i="57"/>
  <c r="G440" i="57"/>
  <c r="H580" i="57"/>
  <c r="E462" i="57"/>
  <c r="H590" i="57"/>
  <c r="D458" i="57"/>
  <c r="H564" i="57"/>
  <c r="F500" i="57"/>
  <c r="E101" i="57"/>
  <c r="H408" i="57"/>
  <c r="D437" i="57"/>
  <c r="F572" i="57"/>
  <c r="H448" i="57"/>
  <c r="H513" i="57"/>
  <c r="D418" i="57"/>
  <c r="G311" i="57"/>
  <c r="H549" i="57"/>
  <c r="F462" i="57"/>
  <c r="E365" i="57"/>
  <c r="D16" i="57"/>
  <c r="H455" i="57"/>
  <c r="D413" i="57"/>
  <c r="H441" i="57"/>
  <c r="D397" i="57"/>
  <c r="F127" i="57"/>
  <c r="E464" i="57"/>
  <c r="E543" i="57"/>
  <c r="D324" i="57"/>
  <c r="H444" i="57"/>
  <c r="D264" i="57"/>
  <c r="E232" i="57"/>
  <c r="D188" i="57"/>
  <c r="F154" i="57"/>
  <c r="F71" i="57"/>
  <c r="E159" i="57"/>
  <c r="H100" i="57"/>
  <c r="F263" i="57"/>
  <c r="H251" i="57"/>
  <c r="F118" i="57"/>
  <c r="H244" i="57"/>
  <c r="G179" i="57"/>
  <c r="D58" i="57"/>
  <c r="H90" i="57"/>
  <c r="D262" i="57"/>
  <c r="G57" i="57"/>
  <c r="F95" i="57"/>
  <c r="G250" i="57"/>
  <c r="F74" i="57"/>
  <c r="H68" i="57"/>
  <c r="D191" i="57"/>
  <c r="B17" i="57"/>
  <c r="G261" i="57"/>
  <c r="H91" i="57"/>
  <c r="C31" i="57"/>
  <c r="H61" i="57"/>
  <c r="F119" i="57"/>
  <c r="D118" i="57"/>
  <c r="B24" i="57"/>
  <c r="B49" i="57"/>
  <c r="F147" i="57"/>
  <c r="F67" i="57"/>
  <c r="E199" i="57"/>
  <c r="E107" i="57"/>
  <c r="H94" i="57"/>
  <c r="E67" i="57"/>
  <c r="B33" i="57"/>
  <c r="D518" i="57"/>
  <c r="E468" i="57"/>
  <c r="F403" i="57"/>
  <c r="F585" i="57"/>
  <c r="E495" i="57"/>
  <c r="E571" i="57"/>
  <c r="E471" i="57"/>
  <c r="F212" i="57"/>
  <c r="E514" i="57"/>
  <c r="H465" i="57"/>
  <c r="G547" i="57"/>
  <c r="F298" i="57"/>
  <c r="G433" i="57"/>
  <c r="D234" i="57"/>
  <c r="E208" i="57"/>
  <c r="D554" i="57"/>
  <c r="F514" i="57"/>
  <c r="G366" i="57"/>
  <c r="E413" i="57"/>
  <c r="D564" i="57"/>
  <c r="D278" i="57"/>
  <c r="F335" i="57"/>
  <c r="G390" i="57"/>
  <c r="H588" i="57"/>
  <c r="D503" i="57"/>
  <c r="D409" i="57"/>
  <c r="D332" i="57"/>
  <c r="E439" i="57"/>
  <c r="E173" i="57"/>
  <c r="D72" i="57"/>
  <c r="H114" i="57"/>
  <c r="D94" i="57"/>
  <c r="H46" i="57"/>
  <c r="D249" i="57"/>
  <c r="G96" i="57"/>
  <c r="D98" i="57"/>
  <c r="H69" i="57"/>
  <c r="E56" i="57"/>
  <c r="H162" i="57"/>
  <c r="E228" i="57"/>
  <c r="F270" i="57"/>
  <c r="F179" i="57"/>
  <c r="H47" i="57"/>
  <c r="D130" i="57"/>
  <c r="D179" i="57"/>
  <c r="E14" i="57"/>
  <c r="H92" i="57"/>
  <c r="H127" i="57"/>
  <c r="H221" i="57"/>
  <c r="C25" i="57"/>
  <c r="B25" i="57"/>
  <c r="E189" i="57"/>
  <c r="F234" i="57"/>
  <c r="B46" i="57"/>
  <c r="E115" i="57"/>
  <c r="G151" i="57"/>
  <c r="H258" i="57"/>
  <c r="C12" i="57"/>
  <c r="F61" i="57"/>
  <c r="D116" i="57"/>
  <c r="D113" i="57"/>
  <c r="C15" i="57"/>
  <c r="G65" i="57"/>
  <c r="E143" i="57"/>
  <c r="D129" i="57"/>
  <c r="C50" i="57"/>
  <c r="G253" i="57"/>
  <c r="E184" i="57"/>
  <c r="G215" i="57"/>
  <c r="G146" i="57"/>
  <c r="C56" i="57"/>
  <c r="F180" i="57"/>
  <c r="H215" i="57"/>
  <c r="F77" i="57"/>
  <c r="H179" i="57"/>
  <c r="G152" i="57"/>
  <c r="H228" i="57"/>
  <c r="G260" i="57"/>
  <c r="G66" i="57"/>
  <c r="E15" i="57"/>
  <c r="H187" i="57"/>
  <c r="C13" i="57"/>
  <c r="E46" i="57"/>
  <c r="D211" i="57"/>
  <c r="G29" i="57"/>
  <c r="D246" i="57"/>
  <c r="D596" i="57"/>
  <c r="H474" i="57"/>
  <c r="E458" i="57"/>
  <c r="H411" i="57"/>
  <c r="E381" i="57"/>
  <c r="F556" i="57"/>
  <c r="H427" i="57"/>
  <c r="E376" i="57"/>
  <c r="D469" i="57"/>
  <c r="H152" i="57"/>
  <c r="H330" i="57"/>
  <c r="H273" i="57"/>
  <c r="F513" i="57"/>
  <c r="F423" i="57"/>
  <c r="F392" i="57"/>
  <c r="G545" i="57"/>
  <c r="D479" i="57"/>
  <c r="D357" i="57"/>
  <c r="G286" i="57"/>
  <c r="D494" i="57"/>
  <c r="G301" i="57"/>
  <c r="F323" i="57"/>
  <c r="E126" i="57"/>
  <c r="F496" i="57"/>
  <c r="H390" i="57"/>
  <c r="H397" i="57"/>
  <c r="G328" i="57"/>
  <c r="D282" i="57"/>
  <c r="D174" i="57"/>
  <c r="H87" i="57"/>
  <c r="F124" i="57"/>
  <c r="H178" i="57"/>
  <c r="G244" i="57"/>
  <c r="F157" i="57"/>
  <c r="E131" i="57"/>
  <c r="E30" i="57"/>
  <c r="E254" i="57"/>
  <c r="G252" i="57"/>
  <c r="H148" i="57"/>
  <c r="G197" i="57"/>
  <c r="D60" i="57"/>
  <c r="D198" i="57"/>
  <c r="D231" i="57"/>
  <c r="D255" i="57"/>
  <c r="E149" i="57"/>
  <c r="D194" i="57"/>
  <c r="E128" i="57"/>
  <c r="F123" i="57"/>
  <c r="C39" i="57"/>
  <c r="H142" i="57"/>
  <c r="E66" i="57"/>
  <c r="E110" i="57"/>
  <c r="C34" i="57"/>
  <c r="E83" i="57"/>
  <c r="H28" i="57"/>
  <c r="D96" i="57"/>
  <c r="C41" i="57"/>
  <c r="H253" i="57"/>
  <c r="D165" i="57"/>
  <c r="E241" i="57"/>
  <c r="C46" i="57"/>
  <c r="G87" i="57"/>
  <c r="E12" i="57"/>
  <c r="H254" i="57"/>
  <c r="F421" i="57"/>
  <c r="H551" i="57"/>
  <c r="G514" i="57"/>
  <c r="H501" i="57"/>
  <c r="G450" i="57"/>
  <c r="G591" i="57"/>
  <c r="D555" i="57"/>
  <c r="F405" i="57"/>
  <c r="D97" i="57"/>
  <c r="G359" i="57"/>
  <c r="F60" i="57"/>
  <c r="G387" i="57"/>
  <c r="E374" i="57"/>
  <c r="E580" i="57"/>
  <c r="H391" i="57"/>
  <c r="E389" i="57"/>
  <c r="F586" i="57"/>
  <c r="H334" i="57"/>
  <c r="F365" i="57"/>
  <c r="D286" i="57"/>
  <c r="G553" i="57"/>
  <c r="F333" i="57"/>
  <c r="G330" i="57"/>
  <c r="F370" i="57"/>
  <c r="E498" i="57"/>
  <c r="D584" i="57"/>
  <c r="H272" i="57"/>
  <c r="G438" i="57"/>
  <c r="F273" i="57"/>
  <c r="E263" i="57"/>
  <c r="D50" i="57"/>
  <c r="F65" i="57"/>
  <c r="B26" i="57"/>
  <c r="E269" i="57"/>
  <c r="G164" i="57"/>
  <c r="B56" i="57"/>
  <c r="H185" i="57"/>
  <c r="G113" i="57"/>
  <c r="E145" i="57"/>
  <c r="G123" i="57"/>
  <c r="F221" i="57"/>
  <c r="D89" i="57"/>
  <c r="D75" i="57"/>
  <c r="F260" i="57"/>
  <c r="E69" i="57"/>
  <c r="E179" i="57"/>
  <c r="E178" i="57"/>
  <c r="E100" i="57"/>
  <c r="D122" i="57"/>
  <c r="E219" i="57"/>
  <c r="H264" i="57"/>
  <c r="F245" i="57"/>
  <c r="F269" i="57"/>
  <c r="C21" i="57"/>
  <c r="G222" i="57"/>
  <c r="F230" i="57"/>
  <c r="F98" i="57"/>
  <c r="B22" i="57"/>
  <c r="F85" i="57"/>
  <c r="G11" i="57"/>
  <c r="E154" i="57"/>
  <c r="C30" i="57"/>
  <c r="D168" i="57"/>
  <c r="F199" i="57"/>
  <c r="G184" i="57"/>
  <c r="C23" i="57"/>
  <c r="E93" i="57"/>
  <c r="G40" i="57"/>
  <c r="B30" i="57"/>
  <c r="E32" i="57"/>
  <c r="G180" i="57"/>
  <c r="B11" i="57"/>
  <c r="H223" i="57"/>
  <c r="E26" i="57"/>
  <c r="E39" i="57"/>
  <c r="F225" i="57"/>
  <c r="G118" i="57"/>
  <c r="G200" i="57"/>
  <c r="G46" i="57"/>
  <c r="C11" i="57"/>
  <c r="H25" i="57"/>
  <c r="E33" i="57"/>
  <c r="H236" i="57"/>
  <c r="F187" i="57"/>
  <c r="C54" i="57"/>
  <c r="D43" i="57"/>
  <c r="H10" i="57"/>
  <c r="H95" i="57"/>
  <c r="G212" i="57"/>
  <c r="E268" i="57"/>
  <c r="E176" i="57"/>
  <c r="D137" i="57"/>
  <c r="F94" i="57"/>
  <c r="B21" i="57"/>
  <c r="D257" i="57"/>
  <c r="F215" i="57"/>
  <c r="F62" i="57"/>
  <c r="B36" i="57"/>
  <c r="D67" i="57"/>
  <c r="C45" i="57"/>
  <c r="B54" i="57"/>
  <c r="B29" i="57"/>
  <c r="G478" i="57"/>
  <c r="H382" i="57"/>
  <c r="G336" i="57"/>
  <c r="F518" i="57"/>
  <c r="C17" i="57"/>
  <c r="D27" i="57"/>
  <c r="H24" i="57"/>
  <c r="B52" i="57"/>
  <c r="G34" i="57"/>
  <c r="G23" i="57"/>
  <c r="G16" i="57"/>
  <c r="G12" i="57"/>
  <c r="H219" i="57"/>
  <c r="H32" i="57"/>
  <c r="H235" i="57"/>
  <c r="B28" i="57"/>
  <c r="F36" i="57"/>
  <c r="G216" i="57"/>
  <c r="H34" i="57"/>
  <c r="H38" i="57"/>
  <c r="F54" i="57"/>
  <c r="D202" i="57"/>
  <c r="G91" i="57"/>
  <c r="F196" i="57"/>
  <c r="C27" i="57"/>
  <c r="E124" i="57"/>
  <c r="F21" i="57"/>
  <c r="E78" i="57"/>
  <c r="C37" i="57"/>
  <c r="G259" i="57"/>
  <c r="H83" i="57"/>
  <c r="E242" i="57"/>
  <c r="C22" i="57"/>
  <c r="C20" i="57"/>
  <c r="E209" i="57"/>
  <c r="D226" i="57"/>
  <c r="G565" i="57"/>
  <c r="H592" i="57"/>
  <c r="E121" i="57"/>
  <c r="G98" i="57"/>
  <c r="B44" i="57"/>
  <c r="C29" i="57"/>
  <c r="F15" i="57"/>
  <c r="F37" i="57"/>
  <c r="B45" i="57"/>
  <c r="F237" i="57"/>
  <c r="F38" i="57"/>
  <c r="D197" i="57"/>
  <c r="G28" i="57"/>
  <c r="E53" i="57"/>
  <c r="F189" i="57"/>
  <c r="E229" i="57"/>
  <c r="G44" i="57"/>
  <c r="E35" i="57"/>
  <c r="E240" i="57"/>
  <c r="E68" i="57"/>
  <c r="F129" i="57"/>
  <c r="C36" i="57"/>
  <c r="F188" i="57"/>
  <c r="E40" i="57"/>
  <c r="E265" i="57"/>
  <c r="C42" i="57"/>
  <c r="D268" i="57"/>
  <c r="H260" i="57"/>
  <c r="H174" i="57"/>
  <c r="H15" i="57"/>
  <c r="C40" i="57"/>
  <c r="D225" i="57"/>
  <c r="F32" i="57"/>
  <c r="F45" i="57"/>
  <c r="F228" i="57"/>
  <c r="H316" i="57"/>
  <c r="E327" i="57"/>
  <c r="G355" i="57"/>
  <c r="D54" i="57"/>
  <c r="E217" i="57"/>
  <c r="E216" i="57"/>
  <c r="B37" i="57"/>
  <c r="C33" i="57"/>
  <c r="H209" i="57"/>
  <c r="F192" i="57"/>
  <c r="E220" i="57"/>
  <c r="G27" i="57"/>
  <c r="G50" i="57"/>
  <c r="G236" i="57"/>
  <c r="G33" i="57"/>
  <c r="B38" i="57"/>
  <c r="F40" i="57"/>
  <c r="G227" i="57"/>
  <c r="F223" i="57"/>
  <c r="G49" i="57"/>
  <c r="B20" i="57"/>
  <c r="E201" i="57"/>
  <c r="E17" i="57"/>
  <c r="F30" i="57"/>
  <c r="F243" i="57"/>
  <c r="G262" i="57"/>
  <c r="F115" i="57"/>
  <c r="G149" i="57"/>
  <c r="B40" i="57"/>
  <c r="G202" i="57"/>
  <c r="F43" i="57"/>
  <c r="E264" i="57"/>
  <c r="F161" i="57"/>
  <c r="F194" i="57"/>
  <c r="G61" i="57"/>
  <c r="F171" i="57"/>
  <c r="F253" i="57"/>
  <c r="D35" i="57"/>
  <c r="H156" i="57"/>
  <c r="H265" i="57"/>
  <c r="G53" i="57"/>
  <c r="D154" i="57"/>
  <c r="H338" i="57"/>
  <c r="H295" i="57"/>
  <c r="D504" i="57"/>
  <c r="B53" i="57"/>
  <c r="C51" i="57"/>
  <c r="D46" i="57"/>
  <c r="G168" i="57"/>
  <c r="G37" i="57"/>
  <c r="D185" i="57"/>
  <c r="H56" i="57"/>
  <c r="G30" i="57"/>
  <c r="H54" i="57"/>
  <c r="E170" i="57"/>
  <c r="D227" i="57"/>
  <c r="H21" i="57"/>
  <c r="F206" i="57"/>
  <c r="D55" i="57"/>
  <c r="B18" i="57"/>
  <c r="H214" i="57"/>
  <c r="G22" i="57"/>
  <c r="H42" i="57"/>
  <c r="H31" i="57"/>
  <c r="F102" i="57"/>
  <c r="G268" i="57"/>
  <c r="E181" i="57"/>
  <c r="B16" i="57"/>
  <c r="E16" i="57"/>
  <c r="D263" i="57"/>
  <c r="B35" i="57"/>
  <c r="F12" i="57"/>
  <c r="F105" i="57"/>
  <c r="G228" i="57"/>
  <c r="D157" i="57"/>
  <c r="D199" i="57"/>
  <c r="D248" i="57"/>
  <c r="B31" i="57"/>
  <c r="F146" i="57"/>
  <c r="E70" i="57"/>
  <c r="H203" i="57"/>
  <c r="D36" i="57"/>
  <c r="D53" i="57"/>
  <c r="D109" i="57"/>
  <c r="F447" i="57"/>
  <c r="G432" i="57"/>
  <c r="D513" i="57"/>
  <c r="B15" i="57"/>
  <c r="E29" i="57"/>
  <c r="D11" i="57"/>
  <c r="E48" i="57"/>
  <c r="C48" i="57"/>
  <c r="D208" i="57"/>
  <c r="E230" i="57"/>
  <c r="F50" i="57"/>
  <c r="F26" i="57"/>
  <c r="F216" i="57"/>
  <c r="E20" i="57"/>
  <c r="E31" i="57"/>
  <c r="H26" i="57"/>
  <c r="G32" i="57"/>
  <c r="C32" i="57"/>
  <c r="G166" i="57"/>
  <c r="G207" i="57"/>
  <c r="E152" i="57"/>
  <c r="E43" i="57"/>
  <c r="D80" i="57"/>
  <c r="H19" i="57"/>
  <c r="G124" i="57"/>
  <c r="G100" i="57"/>
  <c r="C16" i="57"/>
  <c r="E84" i="57"/>
  <c r="D146" i="57"/>
  <c r="D187" i="57"/>
  <c r="B47" i="57"/>
  <c r="H150" i="57"/>
  <c r="H198" i="57"/>
  <c r="F46" i="57"/>
  <c r="E63" i="57"/>
  <c r="F92" i="57"/>
  <c r="G67" i="57"/>
  <c r="D119" i="57"/>
  <c r="E188" i="57"/>
  <c r="B32" i="57"/>
  <c r="G550" i="57"/>
  <c r="G507" i="57"/>
  <c r="H505" i="57"/>
  <c r="D42" i="57"/>
  <c r="G45" i="57"/>
  <c r="B14" i="57"/>
  <c r="H48" i="57"/>
  <c r="E23" i="57"/>
  <c r="D49" i="57"/>
  <c r="E195" i="57"/>
  <c r="G38" i="57"/>
  <c r="B42" i="57"/>
  <c r="D26" i="57"/>
  <c r="H188" i="57"/>
  <c r="D25" i="57"/>
  <c r="F20" i="57"/>
  <c r="C52" i="57"/>
  <c r="F235" i="57"/>
  <c r="H37" i="57"/>
  <c r="H159" i="57"/>
  <c r="G20" i="57"/>
  <c r="C28" i="57"/>
  <c r="F44" i="57"/>
  <c r="F35" i="57"/>
  <c r="H60" i="57"/>
  <c r="F34" i="57"/>
  <c r="E205" i="57"/>
  <c r="G193" i="57"/>
  <c r="F116" i="57"/>
  <c r="G119" i="57"/>
  <c r="C26" i="57"/>
  <c r="H155" i="57"/>
  <c r="H176" i="57"/>
  <c r="G255" i="57"/>
  <c r="B34" i="57"/>
  <c r="G36" i="57"/>
  <c r="H23" i="57"/>
  <c r="D219" i="57"/>
  <c r="G182" i="57"/>
  <c r="D232" i="57"/>
  <c r="F110" i="57"/>
  <c r="H300" i="57"/>
  <c r="G153" i="57"/>
  <c r="E456" i="57"/>
  <c r="H559" i="57"/>
  <c r="D287" i="53"/>
  <c r="F407" i="53"/>
  <c r="G78" i="57"/>
  <c r="F130" i="53"/>
  <c r="E275" i="57"/>
  <c r="F161" i="53"/>
  <c r="F44" i="53"/>
  <c r="H224" i="53"/>
  <c r="E13" i="53"/>
  <c r="H290" i="57"/>
  <c r="G388" i="57"/>
  <c r="H418" i="57"/>
  <c r="G466" i="57"/>
  <c r="E138" i="57"/>
  <c r="E449" i="57"/>
  <c r="F310" i="57"/>
  <c r="E250" i="57"/>
  <c r="E146" i="57"/>
  <c r="E334" i="57"/>
  <c r="E414" i="57"/>
  <c r="E302" i="57"/>
  <c r="H298" i="57"/>
  <c r="E285" i="57"/>
  <c r="F350" i="57"/>
  <c r="F144" i="57"/>
  <c r="H374" i="57"/>
  <c r="F220" i="57"/>
  <c r="F410" i="57"/>
  <c r="G88" i="57"/>
  <c r="H336" i="57"/>
  <c r="D141" i="57"/>
  <c r="H170" i="57"/>
  <c r="H189" i="57"/>
  <c r="F345" i="57"/>
  <c r="D375" i="57"/>
  <c r="E249" i="57"/>
  <c r="H362" i="57"/>
  <c r="D427" i="57"/>
  <c r="F434" i="57"/>
  <c r="E92" i="57"/>
  <c r="G389" i="57"/>
  <c r="G75" i="57"/>
  <c r="H222" i="57"/>
  <c r="G317" i="57"/>
  <c r="G58" i="57"/>
  <c r="F426" i="57"/>
  <c r="G190" i="57"/>
  <c r="D70" i="57"/>
  <c r="H346" i="57"/>
  <c r="G177" i="57"/>
  <c r="D126" i="57"/>
  <c r="H428" i="57"/>
  <c r="F83" i="57"/>
  <c r="F402" i="57"/>
  <c r="D419" i="57"/>
  <c r="D292" i="57"/>
  <c r="G317" i="53"/>
  <c r="D268" i="53"/>
  <c r="H127" i="53"/>
  <c r="E366" i="57"/>
  <c r="D41" i="57"/>
  <c r="E524" i="53"/>
  <c r="D206" i="53"/>
  <c r="E313" i="53"/>
  <c r="G179" i="53"/>
  <c r="G238" i="57"/>
  <c r="D143" i="57"/>
  <c r="H218" i="57"/>
  <c r="E113" i="57"/>
  <c r="G230" i="57"/>
  <c r="H58" i="57"/>
  <c r="F265" i="57"/>
  <c r="D241" i="57"/>
  <c r="D322" i="57"/>
  <c r="H417" i="57"/>
  <c r="G76" i="57"/>
  <c r="E455" i="57"/>
  <c r="E278" i="57"/>
  <c r="F167" i="57"/>
  <c r="F557" i="57"/>
  <c r="H75" i="57"/>
  <c r="H433" i="57"/>
  <c r="E59" i="57"/>
  <c r="G307" i="57"/>
  <c r="H106" i="57"/>
  <c r="F342" i="57"/>
  <c r="G203" i="57"/>
  <c r="G263" i="57"/>
  <c r="F142" i="57"/>
  <c r="D424" i="57"/>
  <c r="D384" i="57"/>
  <c r="D86" i="57"/>
  <c r="G375" i="57"/>
  <c r="E393" i="57"/>
  <c r="E298" i="57"/>
  <c r="G170" i="57"/>
  <c r="E386" i="57"/>
  <c r="E99" i="57"/>
  <c r="G24" i="57"/>
  <c r="F280" i="57"/>
  <c r="H107" i="57"/>
  <c r="D560" i="57"/>
  <c r="D275" i="57"/>
  <c r="E122" i="57"/>
  <c r="D355" i="57"/>
  <c r="F68" i="57"/>
  <c r="G13" i="57"/>
  <c r="H288" i="57"/>
  <c r="D99" i="57"/>
  <c r="D387" i="57"/>
  <c r="E407" i="57"/>
  <c r="F291" i="57"/>
  <c r="H33" i="57"/>
  <c r="G353" i="57"/>
  <c r="D203" i="57"/>
  <c r="E346" i="57"/>
  <c r="F195" i="57"/>
  <c r="E34" i="57"/>
  <c r="D242" i="53"/>
  <c r="F356" i="53"/>
  <c r="F152" i="53"/>
  <c r="D265" i="57"/>
  <c r="G29" i="53"/>
  <c r="H82" i="53"/>
  <c r="G183" i="53"/>
  <c r="D405" i="53"/>
  <c r="G22" i="53"/>
  <c r="F393" i="57"/>
  <c r="D23" i="57"/>
  <c r="F257" i="57"/>
  <c r="F109" i="57"/>
  <c r="G117" i="57"/>
  <c r="E284" i="57"/>
  <c r="H213" i="57"/>
  <c r="E86" i="57"/>
  <c r="E133" i="57"/>
  <c r="D71" i="57"/>
  <c r="E210" i="57"/>
  <c r="F53" i="57"/>
  <c r="G137" i="57"/>
  <c r="D140" i="57"/>
  <c r="H383" i="57"/>
  <c r="H146" i="57"/>
  <c r="G413" i="57"/>
  <c r="H177" i="57"/>
  <c r="G121" i="57"/>
  <c r="E105" i="57"/>
  <c r="F339" i="57"/>
  <c r="D345" i="57"/>
  <c r="H379" i="57"/>
  <c r="F277" i="57"/>
  <c r="H143" i="57"/>
  <c r="E399" i="57"/>
  <c r="H116" i="57"/>
  <c r="G247" i="57"/>
  <c r="G471" i="57"/>
  <c r="D256" i="57"/>
  <c r="H62" i="57"/>
  <c r="G267" i="57"/>
  <c r="E262" i="57"/>
  <c r="E271" i="57"/>
  <c r="G176" i="57"/>
  <c r="E260" i="57"/>
  <c r="G512" i="57"/>
  <c r="H283" i="57"/>
  <c r="G94" i="57"/>
  <c r="G351" i="57"/>
  <c r="H180" i="57"/>
  <c r="E22" i="57"/>
  <c r="G420" i="57"/>
  <c r="G265" i="57"/>
  <c r="H377" i="57"/>
  <c r="H403" i="57"/>
  <c r="F304" i="57"/>
  <c r="E235" i="57"/>
  <c r="F271" i="57"/>
  <c r="G101" i="57"/>
  <c r="H303" i="57"/>
  <c r="F166" i="57"/>
  <c r="H559" i="53"/>
  <c r="G82" i="57"/>
  <c r="E44" i="53"/>
  <c r="F104" i="53"/>
  <c r="G182" i="53"/>
  <c r="G312" i="57"/>
  <c r="F92" i="53"/>
  <c r="F347" i="57"/>
  <c r="D123" i="53"/>
  <c r="G376" i="57"/>
  <c r="H478" i="57"/>
  <c r="H308" i="57"/>
  <c r="G111" i="57"/>
  <c r="H226" i="57"/>
  <c r="F258" i="57"/>
  <c r="G145" i="57"/>
  <c r="H245" i="57"/>
  <c r="E340" i="57"/>
  <c r="E106" i="57"/>
  <c r="E85" i="57"/>
  <c r="G296" i="57"/>
  <c r="F158" i="57"/>
  <c r="F160" i="57"/>
  <c r="G104" i="57"/>
  <c r="H101" i="57"/>
  <c r="F312" i="57"/>
  <c r="F185" i="57"/>
  <c r="F106" i="57"/>
  <c r="F233" i="57"/>
  <c r="E310" i="57"/>
  <c r="D283" i="57"/>
  <c r="G346" i="57"/>
  <c r="E309" i="57"/>
  <c r="E304" i="57"/>
  <c r="F52" i="57"/>
  <c r="G213" i="57"/>
  <c r="H424" i="57"/>
  <c r="D493" i="57"/>
  <c r="F386" i="57"/>
  <c r="D128" i="57"/>
  <c r="H458" i="57"/>
  <c r="E182" i="57"/>
  <c r="E431" i="57"/>
  <c r="E82" i="57"/>
  <c r="H230" i="57"/>
  <c r="D362" i="57"/>
  <c r="H17" i="57"/>
  <c r="E153" i="57"/>
  <c r="H281" i="57"/>
  <c r="E200" i="57"/>
  <c r="H405" i="57"/>
  <c r="F203" i="57"/>
  <c r="F222" i="57"/>
  <c r="H339" i="57"/>
  <c r="G414" i="57"/>
  <c r="G105" i="57"/>
  <c r="G364" i="57"/>
  <c r="G163" i="57"/>
  <c r="D158" i="57"/>
  <c r="E380" i="57"/>
  <c r="E160" i="57"/>
  <c r="E25" i="57"/>
  <c r="E379" i="57"/>
  <c r="G210" i="57"/>
  <c r="F573" i="57"/>
  <c r="H202" i="57"/>
  <c r="G234" i="57"/>
  <c r="G289" i="57"/>
  <c r="D307" i="53"/>
  <c r="H151" i="53"/>
  <c r="F248" i="57"/>
  <c r="G166" i="53"/>
  <c r="F27" i="53"/>
  <c r="E13" i="57"/>
  <c r="F211" i="53"/>
  <c r="E243" i="57"/>
  <c r="G169" i="53"/>
  <c r="D107" i="57"/>
  <c r="F408" i="57"/>
  <c r="F348" i="57"/>
  <c r="F226" i="57"/>
  <c r="D33" i="57"/>
  <c r="F202" i="57"/>
  <c r="D259" i="57"/>
  <c r="H384" i="57"/>
  <c r="G68" i="57"/>
  <c r="E172" i="57"/>
  <c r="G217" i="57"/>
  <c r="H105" i="57"/>
  <c r="G128" i="57"/>
  <c r="D63" i="57"/>
  <c r="D162" i="57"/>
  <c r="E212" i="57"/>
  <c r="D253" i="57"/>
  <c r="F441" i="57"/>
  <c r="D148" i="57"/>
  <c r="D532" i="57"/>
  <c r="G290" i="57"/>
  <c r="F141" i="57"/>
  <c r="G84" i="57"/>
  <c r="H167" i="57"/>
  <c r="F174" i="57"/>
  <c r="H53" i="57"/>
  <c r="F107" i="57"/>
  <c r="E49" i="57"/>
  <c r="D323" i="57"/>
  <c r="E331" i="57"/>
  <c r="F172" i="57"/>
  <c r="G428" i="57"/>
  <c r="E259" i="57"/>
  <c r="G418" i="57"/>
  <c r="H154" i="57"/>
  <c r="F213" i="57"/>
  <c r="F545" i="57"/>
  <c r="F430" i="57"/>
  <c r="E246" i="57"/>
  <c r="E404" i="57"/>
  <c r="D24" i="57"/>
  <c r="H389" i="57"/>
  <c r="E167" i="57"/>
  <c r="F125" i="57"/>
  <c r="D415" i="57"/>
  <c r="F455" i="57"/>
  <c r="E150" i="57"/>
  <c r="F314" i="57"/>
  <c r="G160" i="57"/>
  <c r="E104" i="57"/>
  <c r="E388" i="57"/>
  <c r="H78" i="57"/>
  <c r="F361" i="57"/>
  <c r="E528" i="53"/>
  <c r="G215" i="53"/>
  <c r="D84" i="53"/>
  <c r="H34" i="53"/>
  <c r="H198" i="53"/>
  <c r="E578" i="53"/>
  <c r="H18" i="57"/>
  <c r="E168" i="53"/>
  <c r="F198" i="57"/>
  <c r="D151" i="57"/>
  <c r="G103" i="57"/>
  <c r="F79" i="57"/>
  <c r="H231" i="57"/>
  <c r="F425" i="57"/>
  <c r="E208" i="53"/>
  <c r="G453" i="57"/>
  <c r="G277" i="57"/>
  <c r="G385" i="57"/>
  <c r="G209" i="57"/>
  <c r="D393" i="57"/>
  <c r="D451" i="57"/>
  <c r="D252" i="57"/>
  <c r="E402" i="57"/>
  <c r="H331" i="57"/>
  <c r="G303" i="57"/>
  <c r="D370" i="57"/>
  <c r="E116" i="57"/>
  <c r="H371" i="57"/>
  <c r="F201" i="57"/>
  <c r="H301" i="57"/>
  <c r="F193" i="57"/>
  <c r="F282" i="57"/>
  <c r="E415" i="57"/>
  <c r="G358" i="57"/>
  <c r="D411" i="57"/>
  <c r="E98" i="57"/>
  <c r="H132" i="57"/>
  <c r="E358" i="57"/>
  <c r="H394" i="57"/>
  <c r="D171" i="57"/>
  <c r="G460" i="57"/>
  <c r="E186" i="57"/>
  <c r="D155" i="57"/>
  <c r="D266" i="57"/>
  <c r="H108" i="57"/>
  <c r="H22" i="57"/>
  <c r="G394" i="57"/>
  <c r="F293" i="57"/>
  <c r="E42" i="57"/>
  <c r="G283" i="57"/>
  <c r="H186" i="57"/>
  <c r="G342" i="57"/>
  <c r="E72" i="57"/>
  <c r="E236" i="57"/>
  <c r="H578" i="57"/>
  <c r="E297" i="57"/>
  <c r="E252" i="57"/>
  <c r="F318" i="57"/>
  <c r="G156" i="57"/>
  <c r="G243" i="57"/>
  <c r="E382" i="57"/>
  <c r="F181" i="57"/>
  <c r="E343" i="57"/>
  <c r="G224" i="57"/>
  <c r="E237" i="57"/>
  <c r="F274" i="57"/>
  <c r="E438" i="57"/>
  <c r="H217" i="57"/>
  <c r="D320" i="57"/>
  <c r="F58" i="57"/>
  <c r="H313" i="57"/>
  <c r="G204" i="57"/>
  <c r="H190" i="57"/>
  <c r="D351" i="57"/>
  <c r="F431" i="57"/>
  <c r="D87" i="57"/>
  <c r="G392" i="57"/>
  <c r="F135" i="57"/>
  <c r="F214" i="57"/>
  <c r="D293" i="57"/>
  <c r="D132" i="57"/>
  <c r="H412" i="57"/>
  <c r="E447" i="57"/>
  <c r="F395" i="57"/>
  <c r="E123" i="57"/>
  <c r="G318" i="53"/>
  <c r="G17" i="53"/>
  <c r="G282" i="57"/>
  <c r="H302" i="57"/>
  <c r="D173" i="57"/>
  <c r="G405" i="57"/>
  <c r="D378" i="57"/>
  <c r="D464" i="57"/>
  <c r="G64" i="57"/>
  <c r="D120" i="57"/>
  <c r="H181" i="57"/>
  <c r="G287" i="57"/>
  <c r="D77" i="57"/>
  <c r="G223" i="57"/>
  <c r="E321" i="57"/>
  <c r="E355" i="57"/>
  <c r="E352" i="57"/>
  <c r="G93" i="57"/>
  <c r="G467" i="57"/>
  <c r="F351" i="57"/>
  <c r="G266" i="57"/>
  <c r="H124" i="57"/>
  <c r="H439" i="57"/>
  <c r="F155" i="57"/>
  <c r="D127" i="57"/>
  <c r="G516" i="57"/>
  <c r="F138" i="57"/>
  <c r="G191" i="57"/>
  <c r="F433" i="57"/>
  <c r="H172" i="57"/>
  <c r="F308" i="57"/>
  <c r="E202" i="57"/>
  <c r="H422" i="57"/>
  <c r="F275" i="57"/>
  <c r="D106" i="57"/>
  <c r="D327" i="57"/>
  <c r="G125" i="57"/>
  <c r="D239" i="57"/>
  <c r="E400" i="57"/>
  <c r="H49" i="57"/>
  <c r="F399" i="57"/>
  <c r="G505" i="57"/>
  <c r="D336" i="57"/>
  <c r="H77" i="57"/>
  <c r="H425" i="57"/>
  <c r="F104" i="57"/>
  <c r="H195" i="57"/>
  <c r="G297" i="57"/>
  <c r="F131" i="57"/>
  <c r="F316" i="57"/>
  <c r="H280" i="57"/>
  <c r="E108" i="57"/>
  <c r="E139" i="57"/>
  <c r="E325" i="57"/>
  <c r="E177" i="57"/>
  <c r="D274" i="57"/>
  <c r="H50" i="57"/>
  <c r="H164" i="57"/>
  <c r="E383" i="57"/>
  <c r="H149" i="57"/>
  <c r="G162" i="57"/>
  <c r="F489" i="57"/>
  <c r="E205" i="53"/>
  <c r="F254" i="57"/>
  <c r="D204" i="57"/>
  <c r="D182" i="53"/>
  <c r="E144" i="57"/>
  <c r="H160" i="57"/>
  <c r="H76" i="57"/>
  <c r="H112" i="57"/>
  <c r="D349" i="57"/>
  <c r="E299" i="57"/>
  <c r="D74" i="57"/>
  <c r="F397" i="57"/>
  <c r="H210" i="57"/>
  <c r="G537" i="57"/>
  <c r="H292" i="57"/>
  <c r="H367" i="57"/>
  <c r="F301" i="57"/>
  <c r="G110" i="57"/>
  <c r="E598" i="57"/>
  <c r="E428" i="57"/>
  <c r="H435" i="57"/>
  <c r="F249" i="57"/>
  <c r="G302" i="57"/>
  <c r="G237" i="57"/>
  <c r="F190" i="57"/>
  <c r="F436" i="57"/>
  <c r="E416" i="57"/>
  <c r="H211" i="57"/>
  <c r="E291" i="57"/>
  <c r="G258" i="57"/>
  <c r="H317" i="57"/>
  <c r="H262" i="57"/>
  <c r="F418" i="57"/>
  <c r="D390" i="57"/>
  <c r="H250" i="57"/>
  <c r="H323" i="57"/>
  <c r="F208" i="57"/>
  <c r="D216" i="57"/>
  <c r="E385" i="57"/>
  <c r="D238" i="57"/>
  <c r="E341" i="57"/>
  <c r="H432" i="57"/>
  <c r="F143" i="57"/>
  <c r="H137" i="57"/>
  <c r="G315" i="57"/>
  <c r="F126" i="57"/>
  <c r="G361" i="57"/>
  <c r="D100" i="57"/>
  <c r="G79" i="57"/>
  <c r="G313" i="57"/>
  <c r="H344" i="57"/>
  <c r="F42" i="57"/>
  <c r="G132" i="57"/>
  <c r="H220" i="57"/>
  <c r="D233" i="57"/>
  <c r="G379" i="57"/>
  <c r="D21" i="57"/>
  <c r="D103" i="57"/>
  <c r="E96" i="57"/>
  <c r="G60" i="57"/>
  <c r="H314" i="57"/>
  <c r="F29" i="57"/>
  <c r="E164" i="57"/>
  <c r="H386" i="57"/>
  <c r="F14" i="57"/>
  <c r="G107" i="57"/>
  <c r="E130" i="57"/>
  <c r="G316" i="57"/>
  <c r="E256" i="57"/>
  <c r="F415" i="57"/>
  <c r="D481" i="57"/>
  <c r="G338" i="57"/>
  <c r="F493" i="57"/>
  <c r="G470" i="57"/>
  <c r="F599" i="57"/>
  <c r="H594" i="57"/>
  <c r="E533" i="57"/>
  <c r="H238" i="57"/>
  <c r="D189" i="53"/>
  <c r="E337" i="57"/>
  <c r="G207" i="53"/>
  <c r="D396" i="57"/>
  <c r="D408" i="57"/>
  <c r="H240" i="57"/>
  <c r="F91" i="57"/>
  <c r="D337" i="57"/>
  <c r="F156" i="57"/>
  <c r="H151" i="57"/>
  <c r="H293" i="57"/>
  <c r="E175" i="57"/>
  <c r="H567" i="57"/>
  <c r="F368" i="57"/>
  <c r="H158" i="57"/>
  <c r="F377" i="57"/>
  <c r="G161" i="57"/>
  <c r="H499" i="57"/>
  <c r="E185" i="57"/>
  <c r="G422" i="57"/>
  <c r="E75" i="57"/>
  <c r="F321" i="57"/>
  <c r="F89" i="57"/>
  <c r="E437" i="57"/>
  <c r="G561" i="57"/>
  <c r="G272" i="57"/>
  <c r="H13" i="57"/>
  <c r="H423" i="57"/>
  <c r="E193" i="57"/>
  <c r="G288" i="57"/>
  <c r="E77" i="57"/>
  <c r="D306" i="57"/>
  <c r="F295" i="57"/>
  <c r="E255" i="57"/>
  <c r="E316" i="57"/>
  <c r="F175" i="57"/>
  <c r="E44" i="57"/>
  <c r="E281" i="57"/>
  <c r="E112" i="57"/>
  <c r="E349" i="57"/>
  <c r="D478" i="57"/>
  <c r="D426" i="57"/>
  <c r="D133" i="57"/>
  <c r="D270" i="57"/>
  <c r="F236" i="57"/>
  <c r="D312" i="57"/>
  <c r="E73" i="57"/>
  <c r="D136" i="57"/>
  <c r="D276" i="57"/>
  <c r="H359" i="57"/>
  <c r="G219" i="57"/>
  <c r="F165" i="57"/>
  <c r="D385" i="57"/>
  <c r="D56" i="57"/>
  <c r="F394" i="57"/>
  <c r="F39" i="57"/>
  <c r="E147" i="53"/>
  <c r="E15" i="53"/>
  <c r="E61" i="57"/>
  <c r="D125" i="57"/>
  <c r="F241" i="57"/>
  <c r="D244" i="57"/>
  <c r="E375" i="57"/>
  <c r="D210" i="57"/>
  <c r="D207" i="57"/>
  <c r="E330" i="57"/>
  <c r="E287" i="57"/>
  <c r="G279" i="57"/>
  <c r="G380" i="57"/>
  <c r="F320" i="57"/>
  <c r="F148" i="57"/>
  <c r="F145" i="57"/>
  <c r="F385" i="57"/>
  <c r="F209" i="57"/>
  <c r="D272" i="57"/>
  <c r="E74" i="57"/>
  <c r="G275" i="57"/>
  <c r="D39" i="57"/>
  <c r="H267" i="57"/>
  <c r="G254" i="57"/>
  <c r="F278" i="57"/>
  <c r="F341" i="57"/>
  <c r="F359" i="57"/>
  <c r="H147" i="57"/>
  <c r="F232" i="57"/>
  <c r="D32" i="57"/>
  <c r="D66" i="57"/>
  <c r="D182" i="57"/>
  <c r="F303" i="57"/>
  <c r="G439" i="57"/>
  <c r="H16" i="57"/>
  <c r="E270" i="57"/>
  <c r="D150" i="57"/>
  <c r="F406" i="57"/>
  <c r="D105" i="57"/>
  <c r="F103" i="57"/>
  <c r="D346" i="57"/>
  <c r="F363" i="57"/>
  <c r="G425" i="57"/>
  <c r="F176" i="57"/>
  <c r="F267" i="57"/>
  <c r="E102" i="57"/>
  <c r="H318" i="57"/>
  <c r="H175" i="57"/>
  <c r="G232" i="57"/>
  <c r="D170" i="57"/>
  <c r="E314" i="57"/>
  <c r="G95" i="57"/>
  <c r="E305" i="57"/>
  <c r="G47" i="57"/>
  <c r="H234" i="57"/>
  <c r="H269" i="57"/>
  <c r="D64" i="57"/>
  <c r="F417" i="57"/>
  <c r="G198" i="57"/>
  <c r="G211" i="57"/>
  <c r="F438" i="57"/>
  <c r="H183" i="57"/>
  <c r="H57" i="57"/>
  <c r="E391" i="57"/>
  <c r="D245" i="57"/>
  <c r="F290" i="57"/>
  <c r="F149" i="57"/>
  <c r="E196" i="57"/>
  <c r="F120" i="57"/>
  <c r="E97" i="57"/>
  <c r="D577" i="57"/>
  <c r="F476" i="57"/>
  <c r="H463" i="57"/>
  <c r="F422" i="57"/>
  <c r="H456" i="57"/>
  <c r="H480" i="57"/>
  <c r="G594" i="57"/>
  <c r="D590" i="57"/>
  <c r="G548" i="57"/>
  <c r="E398" i="57"/>
  <c r="E599" i="57"/>
  <c r="E479" i="57"/>
  <c r="H393" i="57"/>
  <c r="F459" i="57"/>
  <c r="F483" i="57"/>
  <c r="H56" i="53"/>
  <c r="H336" i="53"/>
  <c r="H80" i="57"/>
  <c r="D280" i="57"/>
  <c r="D369" i="57"/>
  <c r="H373" i="57"/>
  <c r="E308" i="57"/>
  <c r="G140" i="57"/>
  <c r="D114" i="57"/>
  <c r="E223" i="57"/>
  <c r="H309" i="57"/>
  <c r="D147" i="57"/>
  <c r="E418" i="57"/>
  <c r="H243" i="57"/>
  <c r="H81" i="57"/>
  <c r="H129" i="57"/>
  <c r="H364" i="57"/>
  <c r="E37" i="57"/>
  <c r="D442" i="57"/>
  <c r="G257" i="57"/>
  <c r="G274" i="57"/>
  <c r="D76" i="57"/>
  <c r="G308" i="57"/>
  <c r="G159" i="57"/>
  <c r="D319" i="57"/>
  <c r="H319" i="57"/>
  <c r="H271" i="57"/>
  <c r="G409" i="57"/>
  <c r="H257" i="57"/>
  <c r="G494" i="57"/>
  <c r="G133" i="57"/>
  <c r="F47" i="57"/>
  <c r="F302" i="57"/>
  <c r="H327" i="57"/>
  <c r="F159" i="57"/>
  <c r="G320" i="57"/>
  <c r="G264" i="57"/>
  <c r="D344" i="57"/>
  <c r="G70" i="57"/>
  <c r="H161" i="57"/>
  <c r="D277" i="57"/>
  <c r="F439" i="57"/>
  <c r="G293" i="57"/>
  <c r="G42" i="57"/>
  <c r="D291" i="57"/>
  <c r="H255" i="57"/>
  <c r="D316" i="57"/>
  <c r="F88" i="57"/>
  <c r="H20" i="57"/>
  <c r="D149" i="57"/>
  <c r="E311" i="57"/>
  <c r="D235" i="57"/>
  <c r="F286" i="57"/>
  <c r="G294" i="57"/>
  <c r="E171" i="57"/>
  <c r="D343" i="57"/>
  <c r="F250" i="57"/>
  <c r="E315" i="57"/>
  <c r="G310" i="57"/>
  <c r="D261" i="57"/>
  <c r="F315" i="57"/>
  <c r="D183" i="57"/>
  <c r="F268" i="57"/>
  <c r="H121" i="57"/>
  <c r="E161" i="57"/>
  <c r="H420" i="57"/>
  <c r="F440" i="57"/>
  <c r="E19" i="57"/>
  <c r="H182" i="57"/>
  <c r="E417" i="53"/>
  <c r="H58" i="53"/>
  <c r="H169" i="57"/>
  <c r="E251" i="57"/>
  <c r="G446" i="57"/>
  <c r="E231" i="57"/>
  <c r="D423" i="57"/>
  <c r="D186" i="57"/>
  <c r="F117" i="57"/>
  <c r="H70" i="57"/>
  <c r="D196" i="57"/>
  <c r="F184" i="57"/>
  <c r="E214" i="57"/>
  <c r="H247" i="57"/>
  <c r="F100" i="57"/>
  <c r="H30" i="57"/>
  <c r="E180" i="57"/>
  <c r="D68" i="57"/>
  <c r="G188" i="57"/>
  <c r="G332" i="57"/>
  <c r="G251" i="57"/>
  <c r="H294" i="57"/>
  <c r="E253" i="57"/>
  <c r="H353" i="57"/>
  <c r="D104" i="57"/>
  <c r="F311" i="57"/>
  <c r="H307" i="57"/>
  <c r="H67" i="57"/>
  <c r="F383" i="57"/>
  <c r="G69" i="57"/>
  <c r="D416" i="57"/>
  <c r="E221" i="57"/>
  <c r="E54" i="57"/>
  <c r="H466" i="57"/>
  <c r="D92" i="57"/>
  <c r="F96" i="57"/>
  <c r="G356" i="57"/>
  <c r="D124" i="57"/>
  <c r="D352" i="57"/>
  <c r="G97" i="57"/>
  <c r="E18" i="57"/>
  <c r="E397" i="57"/>
  <c r="F398" i="57"/>
  <c r="E203" i="57"/>
  <c r="D505" i="57"/>
  <c r="E62" i="57"/>
  <c r="H64" i="57"/>
  <c r="G285" i="57"/>
  <c r="D108" i="57"/>
  <c r="D29" i="57"/>
  <c r="E137" i="57"/>
  <c r="D290" i="57"/>
  <c r="F80" i="57"/>
  <c r="D297" i="57"/>
  <c r="D471" i="57"/>
  <c r="D159" i="57"/>
  <c r="F346" i="57"/>
  <c r="D85" i="57"/>
  <c r="G322" i="57"/>
  <c r="D330" i="57"/>
  <c r="F87" i="57"/>
  <c r="G377" i="57"/>
  <c r="G139" i="57"/>
  <c r="H347" i="57"/>
  <c r="D318" i="57"/>
  <c r="H205" i="57"/>
  <c r="F380" i="57"/>
  <c r="G491" i="57"/>
  <c r="H44" i="57"/>
  <c r="D172" i="53"/>
  <c r="F140" i="57"/>
  <c r="G115" i="57"/>
  <c r="G199" i="57"/>
  <c r="G90" i="57"/>
  <c r="E157" i="57"/>
  <c r="D299" i="57"/>
  <c r="E60" i="57"/>
  <c r="G372" i="57"/>
  <c r="G178" i="57"/>
  <c r="H443" i="57"/>
  <c r="D192" i="57"/>
  <c r="G309" i="57"/>
  <c r="D247" i="57"/>
  <c r="G205" i="57"/>
  <c r="F162" i="57"/>
  <c r="D254" i="57"/>
  <c r="F101" i="57"/>
  <c r="F378" i="57"/>
  <c r="D142" i="57"/>
  <c r="H134" i="57"/>
  <c r="H459" i="57"/>
  <c r="D425" i="57"/>
  <c r="F352" i="57"/>
  <c r="E596" i="57"/>
  <c r="H527" i="57"/>
  <c r="F563" i="57"/>
  <c r="F542" i="57"/>
  <c r="G597" i="57"/>
  <c r="F507" i="57"/>
  <c r="F400" i="57"/>
  <c r="D398" i="57"/>
  <c r="G570" i="57"/>
  <c r="E536" i="57"/>
  <c r="F592" i="57"/>
  <c r="D557" i="57"/>
  <c r="H431" i="57"/>
  <c r="F479" i="57"/>
  <c r="E594" i="57"/>
  <c r="H447" i="57"/>
  <c r="D365" i="57"/>
  <c r="H529" i="57"/>
  <c r="D452" i="57"/>
  <c r="D497" i="57"/>
  <c r="G563" i="57"/>
  <c r="E528" i="57"/>
  <c r="E390" i="57"/>
  <c r="D448" i="57"/>
  <c r="F469" i="57"/>
  <c r="G444" i="57"/>
  <c r="E573" i="57"/>
  <c r="G566" i="57"/>
  <c r="G64" i="53"/>
  <c r="F266" i="57"/>
  <c r="F381" i="57"/>
  <c r="D156" i="57"/>
  <c r="D34" i="57"/>
  <c r="G201" i="57"/>
  <c r="H396" i="57"/>
  <c r="E426" i="57"/>
  <c r="H282" i="57"/>
  <c r="H348" i="57"/>
  <c r="E127" i="57"/>
  <c r="E151" i="57"/>
  <c r="F136" i="57"/>
  <c r="H133" i="57"/>
  <c r="G80" i="57"/>
  <c r="G185" i="57"/>
  <c r="G208" i="57"/>
  <c r="D175" i="57"/>
  <c r="D383" i="57"/>
  <c r="F231" i="57"/>
  <c r="E306" i="57"/>
  <c r="F498" i="57"/>
  <c r="H354" i="57"/>
  <c r="H562" i="57"/>
  <c r="G590" i="57"/>
  <c r="H509" i="57"/>
  <c r="G475" i="57"/>
  <c r="F472" i="57"/>
  <c r="G527" i="57"/>
  <c r="F428" i="57"/>
  <c r="F523" i="57"/>
  <c r="G519" i="57"/>
  <c r="E526" i="57"/>
  <c r="F449" i="57"/>
  <c r="H565" i="57"/>
  <c r="E561" i="57"/>
  <c r="H519" i="57"/>
  <c r="E369" i="57"/>
  <c r="G581" i="57"/>
  <c r="H536" i="57"/>
  <c r="D401" i="57"/>
  <c r="G362" i="57"/>
  <c r="G490" i="57"/>
  <c r="G534" i="57"/>
  <c r="G531" i="57"/>
  <c r="F532" i="57"/>
  <c r="D582" i="57"/>
  <c r="F340" i="57"/>
  <c r="E508" i="57"/>
  <c r="F475" i="57"/>
  <c r="H560" i="57"/>
  <c r="H570" i="57"/>
  <c r="F535" i="57"/>
  <c r="D572" i="57"/>
  <c r="E587" i="57"/>
  <c r="E466" i="57"/>
  <c r="D477" i="57"/>
  <c r="F504" i="57"/>
  <c r="E441" i="57"/>
  <c r="F329" i="57"/>
  <c r="G226" i="57"/>
  <c r="G324" i="57"/>
  <c r="F227" i="57"/>
  <c r="D285" i="57"/>
  <c r="G235" i="57"/>
  <c r="E289" i="57"/>
  <c r="E422" i="57"/>
  <c r="F322" i="57"/>
  <c r="F279" i="57"/>
  <c r="D321" i="57"/>
  <c r="F51" i="57"/>
  <c r="G165" i="57"/>
  <c r="E163" i="57"/>
  <c r="D14" i="57"/>
  <c r="G417" i="57"/>
  <c r="H284" i="57"/>
  <c r="G240" i="57"/>
  <c r="D287" i="57"/>
  <c r="G112" i="57"/>
  <c r="E140" i="57"/>
  <c r="F511" i="57"/>
  <c r="D594" i="57"/>
  <c r="D538" i="57"/>
  <c r="E568" i="57"/>
  <c r="G451" i="57"/>
  <c r="F515" i="57"/>
  <c r="H523" i="57"/>
  <c r="F486" i="57"/>
  <c r="D467" i="57"/>
  <c r="D462" i="57"/>
  <c r="F391" i="57"/>
  <c r="E347" i="57"/>
  <c r="F191" i="57"/>
  <c r="H51" i="57"/>
  <c r="F372" i="57"/>
  <c r="E452" i="57"/>
  <c r="H55" i="57"/>
  <c r="E364" i="57"/>
  <c r="E300" i="57"/>
  <c r="G319" i="57"/>
  <c r="G77" i="57"/>
  <c r="E158" i="57"/>
  <c r="F442" i="57"/>
  <c r="F229" i="57"/>
  <c r="G239" i="57"/>
  <c r="H350" i="57"/>
  <c r="F396" i="57"/>
  <c r="D180" i="57"/>
  <c r="G370" i="57"/>
  <c r="H372" i="57"/>
  <c r="G102" i="57"/>
  <c r="H233" i="57"/>
  <c r="D309" i="57"/>
  <c r="F276" i="57"/>
  <c r="B50" i="57"/>
  <c r="G571" i="57"/>
  <c r="H563" i="57"/>
  <c r="F516" i="57"/>
  <c r="H357" i="57"/>
  <c r="H421" i="57"/>
  <c r="H532" i="57"/>
  <c r="D472" i="57"/>
  <c r="F546" i="57"/>
  <c r="D445" i="57"/>
  <c r="E563" i="57"/>
  <c r="G552" i="57"/>
  <c r="D500" i="57"/>
  <c r="E500" i="57"/>
  <c r="F355" i="57"/>
  <c r="H482" i="57"/>
  <c r="G443" i="57"/>
  <c r="H568" i="57"/>
  <c r="D476" i="57"/>
  <c r="G508" i="57"/>
  <c r="F595" i="57"/>
  <c r="H569" i="57"/>
  <c r="G589" i="57"/>
  <c r="H468" i="57"/>
  <c r="G326" i="57"/>
  <c r="F570" i="57"/>
  <c r="H414" i="57"/>
  <c r="D540" i="57"/>
  <c r="F565" i="57"/>
  <c r="F416" i="57"/>
  <c r="E336" i="57"/>
  <c r="E493" i="57"/>
  <c r="H540" i="57"/>
  <c r="G465" i="57"/>
  <c r="H534" i="57"/>
  <c r="G573" i="57"/>
  <c r="H355" i="57"/>
  <c r="G416" i="57"/>
  <c r="D438" i="57"/>
  <c r="F460" i="57"/>
  <c r="E540" i="57"/>
  <c r="F543" i="57"/>
  <c r="D587" i="57"/>
  <c r="D440" i="57"/>
  <c r="G521" i="57"/>
  <c r="D509" i="57"/>
  <c r="G459" i="57"/>
  <c r="E373" i="53"/>
  <c r="D314" i="57"/>
  <c r="E88" i="57"/>
  <c r="H409" i="57"/>
  <c r="E45" i="57"/>
  <c r="H123" i="57"/>
  <c r="H207" i="57"/>
  <c r="G348" i="57"/>
  <c r="F27" i="57"/>
  <c r="F327" i="57"/>
  <c r="G154" i="57"/>
  <c r="D420" i="57"/>
  <c r="F16" i="57"/>
  <c r="H35" i="57"/>
  <c r="E338" i="57"/>
  <c r="G130" i="57"/>
  <c r="D242" i="57"/>
  <c r="F97" i="57"/>
  <c r="F251" i="57"/>
  <c r="D295" i="57"/>
  <c r="E425" i="57"/>
  <c r="F571" i="57"/>
  <c r="E566" i="57"/>
  <c r="H426" i="57"/>
  <c r="D389" i="57"/>
  <c r="E544" i="57"/>
  <c r="E532" i="57"/>
  <c r="E492" i="57"/>
  <c r="G511" i="57"/>
  <c r="E548" i="57"/>
  <c r="G567" i="57"/>
  <c r="E565" i="57"/>
  <c r="G598" i="57"/>
  <c r="F567" i="57"/>
  <c r="D466" i="57"/>
  <c r="E538" i="57"/>
  <c r="E324" i="57"/>
  <c r="H488" i="57"/>
  <c r="H498" i="57"/>
  <c r="H506" i="57"/>
  <c r="F575" i="57"/>
  <c r="G599" i="57"/>
  <c r="E564" i="57"/>
  <c r="H600" i="57"/>
  <c r="G434" i="57"/>
  <c r="G497" i="57"/>
  <c r="H508" i="57"/>
  <c r="F558" i="57"/>
  <c r="D470" i="57"/>
  <c r="H595" i="57"/>
  <c r="E497" i="57"/>
  <c r="D508" i="57"/>
  <c r="H333" i="57"/>
  <c r="E459" i="57"/>
  <c r="E496" i="57"/>
  <c r="F494" i="57"/>
  <c r="G503" i="57"/>
  <c r="E553" i="57"/>
  <c r="F524" i="57"/>
  <c r="H476" i="57"/>
  <c r="E507" i="57"/>
  <c r="F544" i="57"/>
  <c r="H537" i="57"/>
  <c r="F574" i="57"/>
  <c r="H555" i="57"/>
  <c r="D406" i="57"/>
  <c r="H479" i="57"/>
  <c r="G474" i="57"/>
  <c r="D561" i="57"/>
  <c r="F549" i="57"/>
  <c r="G431" i="57"/>
  <c r="G585" i="57"/>
  <c r="H576" i="57"/>
  <c r="E558" i="57"/>
  <c r="G408" i="57"/>
  <c r="F487" i="57"/>
  <c r="F477" i="57"/>
  <c r="F512" i="57"/>
  <c r="H558" i="57"/>
  <c r="D526" i="57"/>
  <c r="H526" i="57"/>
  <c r="H486" i="57"/>
  <c r="F554" i="57"/>
  <c r="G595" i="57"/>
  <c r="E589" i="57"/>
  <c r="H310" i="57"/>
  <c r="G345" i="57"/>
  <c r="H157" i="57"/>
  <c r="E197" i="57"/>
  <c r="E307" i="57"/>
  <c r="E191" i="57"/>
  <c r="F75" i="57"/>
  <c r="H225" i="57"/>
  <c r="E461" i="57"/>
  <c r="F591" i="57"/>
  <c r="F519" i="57"/>
  <c r="D535" i="57"/>
  <c r="D488" i="57"/>
  <c r="F527" i="57"/>
  <c r="D575" i="57"/>
  <c r="H538" i="57"/>
  <c r="G564" i="57"/>
  <c r="G456" i="57"/>
  <c r="H491" i="57"/>
  <c r="E546" i="57"/>
  <c r="F490" i="57"/>
  <c r="F550" i="57"/>
  <c r="F471" i="57"/>
  <c r="G530" i="57"/>
  <c r="E506" i="57"/>
  <c r="F517" i="57"/>
  <c r="G536" i="57"/>
  <c r="H545" i="57"/>
  <c r="E502" i="57"/>
  <c r="D499" i="57"/>
  <c r="D480" i="57"/>
  <c r="D551" i="57"/>
  <c r="D269" i="57"/>
  <c r="G489" i="57"/>
  <c r="D574" i="57"/>
  <c r="E579" i="57"/>
  <c r="E583" i="57"/>
  <c r="D552" i="57"/>
  <c r="H587" i="57"/>
  <c r="E547" i="57"/>
  <c r="D583" i="57"/>
  <c r="E560" i="57"/>
  <c r="H550" i="57"/>
  <c r="G464" i="57"/>
  <c r="H472" i="57"/>
  <c r="E470" i="57"/>
  <c r="G522" i="57"/>
  <c r="G485" i="57"/>
  <c r="E494" i="57"/>
  <c r="E417" i="57"/>
  <c r="G593" i="57"/>
  <c r="G426" i="57"/>
  <c r="H524" i="57"/>
  <c r="F539" i="57"/>
  <c r="G504" i="57"/>
  <c r="G455" i="57"/>
  <c r="F561" i="57"/>
  <c r="G535" i="57"/>
  <c r="H586" i="57"/>
  <c r="E345" i="57"/>
  <c r="E419" i="57"/>
  <c r="F488" i="57"/>
  <c r="E520" i="57"/>
  <c r="H110" i="57"/>
  <c r="F19" i="57"/>
  <c r="F134" i="57"/>
  <c r="F382" i="57"/>
  <c r="D138" i="57"/>
  <c r="H380" i="57"/>
  <c r="H113" i="57"/>
  <c r="G575" i="57"/>
  <c r="G532" i="57"/>
  <c r="H585" i="57"/>
  <c r="G542" i="57"/>
  <c r="H429" i="57"/>
  <c r="D329" i="57"/>
  <c r="E444" i="57"/>
  <c r="F562" i="57"/>
  <c r="H597" i="57"/>
  <c r="G502" i="57"/>
  <c r="H514" i="57"/>
  <c r="G526" i="57"/>
  <c r="G576" i="57"/>
  <c r="F538" i="57"/>
  <c r="G454" i="57"/>
  <c r="G584" i="57"/>
  <c r="D531" i="57"/>
  <c r="E432" i="57"/>
  <c r="G583" i="57"/>
  <c r="D567" i="57"/>
  <c r="H504" i="57"/>
  <c r="D548" i="57"/>
  <c r="E515" i="57"/>
  <c r="E582" i="57"/>
  <c r="F581" i="57"/>
  <c r="D589" i="57"/>
  <c r="G579" i="57"/>
  <c r="G568" i="57"/>
  <c r="G515" i="57"/>
  <c r="E513" i="57"/>
  <c r="D482" i="57"/>
  <c r="H450" i="57"/>
  <c r="E477" i="57"/>
  <c r="D446" i="57"/>
  <c r="G554" i="57"/>
  <c r="G520" i="57"/>
  <c r="E396" i="57"/>
  <c r="H487" i="57"/>
  <c r="E485" i="57"/>
  <c r="E451" i="57"/>
  <c r="D417" i="57"/>
  <c r="D516" i="57"/>
  <c r="D460" i="57"/>
  <c r="D600" i="57"/>
  <c r="G586" i="57"/>
  <c r="D487" i="57"/>
  <c r="F367" i="57"/>
  <c r="F530" i="57"/>
  <c r="D502" i="57"/>
  <c r="F424" i="57"/>
  <c r="E530" i="57"/>
  <c r="D562" i="57"/>
  <c r="G555" i="57"/>
  <c r="G528" i="57"/>
  <c r="F503" i="57"/>
  <c r="D439" i="57"/>
  <c r="H575" i="57"/>
  <c r="D550" i="57"/>
  <c r="D539" i="57"/>
  <c r="F388" i="57"/>
  <c r="D371" i="57"/>
  <c r="E368" i="57"/>
  <c r="E377" i="57"/>
  <c r="H274" i="57"/>
  <c r="D52" i="57"/>
  <c r="H387" i="57"/>
  <c r="E76" i="57"/>
  <c r="G472" i="57"/>
  <c r="G496" i="57"/>
  <c r="D434" i="57"/>
  <c r="E446" i="57"/>
  <c r="G381" i="57"/>
  <c r="D376" i="57"/>
  <c r="G108" i="57"/>
  <c r="F288" i="57"/>
  <c r="G318" i="57"/>
  <c r="G374" i="57"/>
  <c r="H503" i="57"/>
  <c r="E286" i="57"/>
  <c r="H141" i="57"/>
  <c r="D492" i="57"/>
  <c r="F200" i="57"/>
  <c r="E21" i="57"/>
  <c r="D47" i="57"/>
  <c r="E351" i="57"/>
  <c r="D549" i="57"/>
  <c r="E427" i="57"/>
  <c r="D353" i="57"/>
  <c r="H546" i="57"/>
  <c r="D593" i="57"/>
  <c r="H593" i="57"/>
  <c r="D495" i="57"/>
  <c r="D455" i="57"/>
  <c r="G488" i="57"/>
  <c r="F568" i="57"/>
  <c r="D565" i="57"/>
  <c r="G463" i="57"/>
  <c r="D520" i="57"/>
  <c r="G574" i="57"/>
  <c r="F505" i="57"/>
  <c r="F578" i="57"/>
  <c r="D454" i="57"/>
  <c r="D514" i="57"/>
  <c r="E578" i="57"/>
  <c r="F597" i="57"/>
  <c r="G557" i="57"/>
  <c r="H461" i="57"/>
  <c r="D485" i="57"/>
  <c r="G569" i="57"/>
  <c r="H544" i="57"/>
  <c r="F583" i="57"/>
  <c r="H554" i="57"/>
  <c r="H475" i="57"/>
  <c r="F473" i="57"/>
  <c r="H470" i="57"/>
  <c r="H541" i="57"/>
  <c r="H496" i="57"/>
  <c r="F531" i="57"/>
  <c r="F491" i="57"/>
  <c r="D524" i="57"/>
  <c r="F587" i="57"/>
  <c r="D435" i="57"/>
  <c r="F533" i="57"/>
  <c r="D529" i="57"/>
  <c r="D490" i="57"/>
  <c r="D456" i="57"/>
  <c r="H445" i="57"/>
  <c r="F480" i="57"/>
  <c r="D530" i="57"/>
  <c r="D581" i="57"/>
  <c r="F555" i="57"/>
  <c r="G403" i="57"/>
  <c r="F456" i="57"/>
  <c r="F526" i="57"/>
  <c r="D468" i="57"/>
  <c r="D597" i="57"/>
  <c r="G556" i="57"/>
  <c r="H530" i="57"/>
  <c r="G367" i="57"/>
  <c r="F474" i="57"/>
  <c r="G477" i="57"/>
  <c r="H438" i="57"/>
  <c r="G544" i="57"/>
  <c r="F569" i="57"/>
  <c r="F468" i="57"/>
  <c r="G344" i="57"/>
  <c r="D388" i="57"/>
  <c r="H324" i="57"/>
  <c r="F501" i="57"/>
  <c r="H430" i="57"/>
  <c r="F76" i="57"/>
  <c r="F17" i="57"/>
  <c r="H201" i="57"/>
  <c r="F596" i="57"/>
  <c r="D544" i="57"/>
  <c r="E293" i="57"/>
  <c r="E529" i="57"/>
  <c r="E597" i="57"/>
  <c r="E588" i="57"/>
  <c r="H460" i="57"/>
  <c r="H485" i="57"/>
  <c r="D534" i="57"/>
  <c r="D543" i="57"/>
  <c r="F559" i="57"/>
  <c r="F429" i="57"/>
  <c r="E575" i="57"/>
  <c r="D569" i="57"/>
  <c r="D592" i="57"/>
  <c r="F508" i="57"/>
  <c r="H511" i="57"/>
  <c r="F528" i="57"/>
  <c r="E486" i="57"/>
  <c r="F84" i="57"/>
  <c r="F11" i="57"/>
  <c r="F56" i="57"/>
  <c r="H103" i="57"/>
  <c r="G452" i="57"/>
  <c r="F219" i="57"/>
  <c r="G109" i="57"/>
  <c r="E429" i="57"/>
  <c r="F522" i="57"/>
  <c r="D579" i="57"/>
  <c r="H542" i="57"/>
  <c r="E360" i="57"/>
  <c r="E478" i="57"/>
  <c r="D586" i="57"/>
  <c r="D588" i="57"/>
  <c r="E505" i="57"/>
  <c r="F331" i="57"/>
  <c r="H446" i="57"/>
  <c r="E557" i="57"/>
  <c r="G395" i="57"/>
  <c r="E457" i="57"/>
  <c r="D541" i="57"/>
  <c r="D512" i="57"/>
  <c r="H579" i="57"/>
  <c r="D523" i="57"/>
  <c r="G506" i="57"/>
  <c r="D459" i="57"/>
  <c r="G525" i="57"/>
  <c r="D474" i="57"/>
  <c r="G549" i="57"/>
  <c r="D506" i="57"/>
  <c r="E527" i="57"/>
  <c r="D473" i="57"/>
  <c r="H548" i="57"/>
  <c r="G427" i="57"/>
  <c r="D522" i="57"/>
  <c r="G518" i="57"/>
  <c r="G482" i="57"/>
  <c r="G448" i="57"/>
  <c r="H517" i="57"/>
  <c r="E482" i="57"/>
  <c r="E480" i="57"/>
  <c r="D570" i="57"/>
  <c r="D563" i="57"/>
  <c r="G560" i="57"/>
  <c r="F529" i="57"/>
  <c r="E380" i="53"/>
  <c r="H40" i="57"/>
  <c r="D354" i="57"/>
  <c r="H335" i="57"/>
  <c r="F353" i="57"/>
  <c r="G15" i="57"/>
  <c r="D230" i="57"/>
  <c r="G167" i="57"/>
  <c r="H11" i="57"/>
  <c r="D131" i="57"/>
  <c r="D432" i="57"/>
  <c r="H59" i="57"/>
  <c r="E569" i="57"/>
  <c r="D558" i="57"/>
  <c r="D580" i="57"/>
  <c r="F432" i="57"/>
  <c r="H561" i="57"/>
  <c r="H494" i="57"/>
  <c r="F509" i="57"/>
  <c r="H525" i="57"/>
  <c r="D573" i="57"/>
  <c r="D533" i="57"/>
  <c r="H584" i="57"/>
  <c r="H477" i="57"/>
  <c r="E559" i="57"/>
  <c r="H473" i="57"/>
  <c r="G499" i="57"/>
  <c r="F437" i="57"/>
  <c r="E460" i="57"/>
  <c r="F446" i="57"/>
  <c r="E577" i="57"/>
  <c r="D386" i="57"/>
  <c r="F594" i="57"/>
  <c r="H510" i="57"/>
  <c r="D536" i="57"/>
  <c r="G493" i="57"/>
  <c r="H400" i="57"/>
  <c r="G350" i="57"/>
  <c r="G406" i="57"/>
  <c r="E357" i="57"/>
  <c r="E445" i="57"/>
  <c r="G442" i="57"/>
  <c r="D527" i="57"/>
  <c r="F553" i="57"/>
  <c r="E522" i="57"/>
  <c r="F454" i="57"/>
  <c r="F492" i="57"/>
  <c r="E109" i="57"/>
  <c r="H457" i="57"/>
  <c r="F540" i="57"/>
  <c r="H492" i="57"/>
  <c r="E409" i="57"/>
  <c r="F598" i="57"/>
  <c r="H497" i="57"/>
  <c r="E586" i="57"/>
  <c r="F481" i="57"/>
  <c r="F466" i="57"/>
  <c r="F467" i="57"/>
  <c r="F588" i="57"/>
  <c r="E545" i="57"/>
  <c r="D591" i="57"/>
  <c r="F564" i="57"/>
  <c r="F448" i="57"/>
  <c r="H342" i="57"/>
  <c r="E585" i="57"/>
  <c r="H577" i="57"/>
  <c r="G383" i="57"/>
  <c r="H566" i="57"/>
  <c r="G386" i="57"/>
  <c r="F525" i="57"/>
  <c r="E501" i="57"/>
  <c r="H489" i="57"/>
  <c r="E474" i="57"/>
  <c r="E333" i="57"/>
  <c r="E344" i="57"/>
  <c r="D395" i="57"/>
  <c r="F360" i="57"/>
  <c r="D392" i="57"/>
  <c r="E370" i="57"/>
  <c r="D221" i="57"/>
  <c r="D521" i="57"/>
  <c r="D546" i="57"/>
  <c r="E510" i="57"/>
  <c r="D428" i="57"/>
  <c r="E238" i="57"/>
  <c r="G321" i="57"/>
  <c r="G352" i="57"/>
  <c r="D172" i="57"/>
  <c r="E518" i="57"/>
  <c r="F580" i="57"/>
  <c r="E542" i="57"/>
  <c r="E476" i="57"/>
  <c r="G468" i="57"/>
  <c r="F132" i="57"/>
  <c r="G393" i="57"/>
  <c r="E359" i="57"/>
  <c r="G435" i="57"/>
  <c r="H345" i="57"/>
  <c r="E472" i="57"/>
  <c r="H493" i="57"/>
  <c r="F369" i="57"/>
  <c r="F451" i="57"/>
  <c r="D402" i="57"/>
  <c r="E373" i="57"/>
  <c r="G172" i="57"/>
  <c r="F272" i="57"/>
  <c r="D81" i="57"/>
  <c r="H516" i="57"/>
  <c r="H522" i="57"/>
  <c r="H573" i="57"/>
  <c r="H287" i="57"/>
  <c r="G292" i="57"/>
  <c r="G280" i="57"/>
  <c r="G300" i="57"/>
  <c r="E442" i="57"/>
  <c r="G349" i="57"/>
  <c r="H130" i="57"/>
  <c r="E516" i="57"/>
  <c r="H449" i="57"/>
  <c r="E549" i="57"/>
  <c r="G341" i="57"/>
  <c r="G423" i="57"/>
  <c r="F463" i="57"/>
  <c r="G181" i="57"/>
  <c r="E267" i="57"/>
  <c r="G323" i="57"/>
  <c r="F458" i="57"/>
  <c r="E424" i="57"/>
  <c r="G365" i="57"/>
  <c r="E473" i="57"/>
  <c r="H552" i="57"/>
  <c r="F536" i="57"/>
  <c r="D515" i="57"/>
  <c r="E567" i="57"/>
  <c r="H596" i="57"/>
  <c r="G479" i="57"/>
  <c r="G587" i="57"/>
  <c r="H591" i="57"/>
  <c r="D525" i="57"/>
  <c r="E443" i="57"/>
  <c r="H539" i="57"/>
  <c r="F484" i="57"/>
  <c r="D559" i="57"/>
  <c r="H484" i="57"/>
  <c r="G402" i="57"/>
  <c r="G558" i="57"/>
  <c r="E491" i="57"/>
  <c r="H531" i="57"/>
  <c r="E488" i="57"/>
  <c r="G424" i="57"/>
  <c r="E592" i="57"/>
  <c r="G457" i="57"/>
  <c r="G577" i="57"/>
  <c r="F364" i="57"/>
  <c r="H599" i="57"/>
  <c r="H337" i="57"/>
  <c r="E318" i="57"/>
  <c r="D281" i="57"/>
  <c r="F292" i="57"/>
  <c r="D361" i="57"/>
  <c r="D78" i="57"/>
  <c r="E581" i="57"/>
  <c r="E521" i="57"/>
  <c r="F576" i="57"/>
  <c r="D528" i="57"/>
  <c r="G369" i="57"/>
  <c r="E329" i="57"/>
  <c r="H360" i="57"/>
  <c r="D15" i="57"/>
  <c r="D585" i="57"/>
  <c r="H553" i="57"/>
  <c r="E405" i="57"/>
  <c r="H395" i="57"/>
  <c r="F338" i="57"/>
  <c r="D310" i="57"/>
  <c r="G99" i="57"/>
  <c r="E288" i="57"/>
  <c r="H471" i="57"/>
  <c r="F521" i="57"/>
  <c r="G538" i="57"/>
  <c r="G546" i="57"/>
  <c r="D366" i="57"/>
  <c r="D444" i="57"/>
  <c r="E392" i="57"/>
  <c r="G445" i="57"/>
  <c r="D73" i="57"/>
  <c r="F299" i="57"/>
  <c r="E55" i="57"/>
  <c r="E436" i="57"/>
  <c r="E481" i="57"/>
  <c r="D578" i="57"/>
  <c r="D382" i="57"/>
  <c r="G473" i="57"/>
  <c r="D200" i="57"/>
  <c r="F285" i="57"/>
  <c r="D296" i="57"/>
  <c r="D358" i="57"/>
  <c r="F93" i="57"/>
  <c r="E539" i="57"/>
  <c r="G480" i="57"/>
  <c r="F510" i="57"/>
  <c r="H358" i="57"/>
  <c r="H490" i="57"/>
  <c r="D566" i="57"/>
  <c r="D486" i="57"/>
  <c r="E489" i="57"/>
  <c r="D491" i="57"/>
  <c r="F464" i="57"/>
  <c r="H464" i="57"/>
  <c r="E512" i="57"/>
  <c r="E504" i="57"/>
  <c r="E593" i="57"/>
  <c r="G371" i="57"/>
  <c r="H402" i="57"/>
  <c r="E550" i="57"/>
  <c r="D422" i="57"/>
  <c r="D374" i="57"/>
  <c r="F582" i="57"/>
  <c r="F470" i="57"/>
  <c r="H507" i="57"/>
  <c r="D598" i="57"/>
  <c r="H419" i="57"/>
  <c r="D537" i="57"/>
  <c r="D507" i="57"/>
  <c r="G429" i="57"/>
  <c r="H500" i="57"/>
  <c r="H574" i="57"/>
  <c r="H462" i="57"/>
  <c r="H328" i="57"/>
  <c r="D360" i="57"/>
  <c r="E362" i="57"/>
  <c r="H437" i="57"/>
  <c r="H351" i="57"/>
  <c r="H96" i="57"/>
  <c r="D547" i="57"/>
  <c r="H515" i="57"/>
  <c r="D571" i="57"/>
  <c r="E469" i="57"/>
  <c r="G360" i="57"/>
  <c r="H325" i="57"/>
  <c r="F357" i="57"/>
  <c r="H452" i="57"/>
  <c r="E499" i="57"/>
  <c r="D465" i="57"/>
  <c r="E531" i="57"/>
  <c r="D405" i="57"/>
  <c r="D335" i="57"/>
  <c r="H451" i="57"/>
  <c r="H416" i="57"/>
  <c r="E224" i="57"/>
  <c r="H543" i="57"/>
  <c r="E484" i="57"/>
  <c r="G484" i="57"/>
  <c r="H369" i="57"/>
  <c r="G298" i="57"/>
  <c r="F284" i="57"/>
  <c r="H315" i="57"/>
  <c r="G430" i="57"/>
  <c r="D240" i="57"/>
  <c r="E433" i="57"/>
  <c r="E213" i="57"/>
  <c r="D475" i="57"/>
  <c r="H512" i="57"/>
  <c r="F551" i="57"/>
  <c r="H326" i="57"/>
  <c r="H392" i="57"/>
  <c r="G378" i="57"/>
  <c r="H212" i="57"/>
  <c r="D433" i="57"/>
  <c r="F354" i="57"/>
  <c r="F259" i="57"/>
  <c r="G500" i="57"/>
  <c r="G495" i="57"/>
  <c r="D431" i="57"/>
  <c r="F444" i="57"/>
  <c r="F366" i="57"/>
  <c r="E332" i="57"/>
  <c r="D373" i="57"/>
  <c r="D160" i="57"/>
  <c r="D300" i="57"/>
  <c r="F566" i="57"/>
  <c r="H571" i="57"/>
  <c r="G596" i="57"/>
  <c r="F450" i="57"/>
  <c r="D273" i="57"/>
  <c r="F457" i="57"/>
  <c r="E51" i="57"/>
  <c r="F497" i="57"/>
  <c r="D519" i="57"/>
  <c r="H502" i="57"/>
  <c r="H495" i="57"/>
  <c r="H589" i="57"/>
  <c r="G476" i="57"/>
  <c r="D576" i="57"/>
  <c r="H528" i="57"/>
  <c r="E490" i="57"/>
  <c r="E519" i="57"/>
  <c r="E423" i="57"/>
  <c r="F328" i="57"/>
  <c r="E411" i="57"/>
  <c r="F465" i="57"/>
  <c r="F584" i="57"/>
  <c r="D489" i="57"/>
  <c r="E509" i="57"/>
  <c r="E534" i="57"/>
  <c r="G592" i="57"/>
  <c r="G458" i="57"/>
  <c r="G419" i="57"/>
  <c r="D449" i="57"/>
  <c r="G510" i="57"/>
  <c r="D338" i="57"/>
  <c r="G407" i="57"/>
  <c r="D510" i="57"/>
  <c r="G284" i="57"/>
  <c r="H341" i="57"/>
  <c r="D271" i="57"/>
  <c r="H332" i="57"/>
  <c r="D311" i="57"/>
  <c r="E207" i="57"/>
  <c r="D410" i="57"/>
  <c r="G582" i="57"/>
  <c r="F478" i="57"/>
  <c r="D450" i="57"/>
  <c r="E282" i="57"/>
  <c r="H306" i="57"/>
  <c r="D289" i="57"/>
  <c r="H329" i="57"/>
  <c r="H572" i="57"/>
  <c r="F343" i="57"/>
  <c r="E467" i="57"/>
  <c r="E401" i="57"/>
  <c r="D326" i="57"/>
  <c r="E435" i="57"/>
  <c r="E319" i="57"/>
  <c r="G129" i="57"/>
  <c r="G578" i="57"/>
  <c r="D553" i="57"/>
  <c r="E450" i="57"/>
  <c r="E406" i="57"/>
  <c r="E421" i="57"/>
  <c r="H138" i="57"/>
  <c r="E384" i="57"/>
  <c r="G562" i="57"/>
  <c r="E537" i="57"/>
  <c r="E572" i="57"/>
  <c r="F379" i="57"/>
  <c r="D542" i="57"/>
  <c r="D463" i="57"/>
  <c r="F412" i="57"/>
  <c r="F589" i="57"/>
  <c r="F376" i="57"/>
  <c r="G441" i="57"/>
  <c r="F593" i="57"/>
  <c r="E590" i="57"/>
  <c r="G347" i="57"/>
  <c r="G559" i="57"/>
  <c r="E523" i="57"/>
  <c r="E348" i="57"/>
  <c r="F600" i="57"/>
  <c r="H453" i="57"/>
  <c r="D350" i="57"/>
  <c r="G462" i="57"/>
  <c r="H381" i="57"/>
  <c r="H557" i="57"/>
  <c r="E574" i="57"/>
  <c r="H535" i="57"/>
  <c r="G540" i="57"/>
  <c r="D363" i="57"/>
  <c r="G273" i="57"/>
  <c r="G136" i="57"/>
  <c r="F70" i="57"/>
  <c r="H385" i="57"/>
  <c r="H165" i="57"/>
  <c r="G541" i="57"/>
  <c r="D556" i="57"/>
  <c r="G498" i="57"/>
  <c r="D334" i="57"/>
  <c r="E313" i="57"/>
  <c r="E320" i="57"/>
  <c r="H410" i="57"/>
  <c r="F326" i="57"/>
  <c r="F411" i="57"/>
  <c r="G517" i="57"/>
  <c r="H398" i="57"/>
  <c r="H286" i="57"/>
  <c r="D328" i="57"/>
  <c r="H296" i="57"/>
  <c r="E326" i="57"/>
  <c r="E198" i="57"/>
  <c r="H582" i="57"/>
  <c r="F547" i="57"/>
  <c r="G543" i="57"/>
  <c r="E511" i="57"/>
  <c r="E403" i="57"/>
  <c r="H399" i="57"/>
  <c r="D400" i="57"/>
  <c r="D302" i="57"/>
  <c r="E463" i="57"/>
  <c r="D153" i="57"/>
  <c r="F445" i="57"/>
  <c r="E487" i="57"/>
  <c r="D498" i="57"/>
  <c r="D501" i="57"/>
  <c r="G331" i="57"/>
  <c r="G397" i="57"/>
  <c r="G357" i="57"/>
  <c r="G398" i="57"/>
  <c r="F121" i="57"/>
  <c r="F407" i="57"/>
  <c r="E584" i="57"/>
  <c r="E570" i="57"/>
  <c r="G421" i="57"/>
  <c r="G533" i="57"/>
  <c r="H275" i="57"/>
  <c r="H285" i="57"/>
  <c r="H322" i="57"/>
  <c r="G354" i="57"/>
  <c r="D167" i="57"/>
  <c r="F356" i="57"/>
  <c r="F452" i="57"/>
  <c r="E465" i="57"/>
  <c r="F590" i="57"/>
  <c r="H375" i="57"/>
  <c r="G337" i="57"/>
  <c r="G384" i="57"/>
  <c r="D457" i="57"/>
  <c r="G580" i="57"/>
  <c r="F485" i="57"/>
  <c r="G539" i="57"/>
  <c r="H366" i="57"/>
  <c r="H521" i="57"/>
  <c r="H434" i="57"/>
  <c r="E475" i="57"/>
  <c r="G501" i="57"/>
  <c r="H583" i="57"/>
  <c r="D568" i="57"/>
  <c r="H556" i="57"/>
  <c r="E453" i="57"/>
  <c r="G524" i="57"/>
  <c r="E554" i="57"/>
  <c r="E555" i="57"/>
  <c r="E541" i="57"/>
  <c r="D595" i="57"/>
  <c r="G492" i="57"/>
  <c r="F560" i="57"/>
  <c r="D483" i="57"/>
  <c r="F577" i="57"/>
  <c r="E552" i="57"/>
  <c r="G483" i="57"/>
  <c r="H469" i="57"/>
  <c r="G461" i="57"/>
  <c r="H304" i="57"/>
  <c r="F420" i="57"/>
  <c r="D517" i="57"/>
  <c r="E245" i="57"/>
  <c r="E394" i="57"/>
  <c r="H248" i="57"/>
  <c r="D404" i="57"/>
  <c r="E372" i="57"/>
  <c r="E430" i="57"/>
  <c r="F325" i="57"/>
  <c r="G333" i="57"/>
  <c r="G327" i="57"/>
  <c r="D394" i="57"/>
  <c r="E503" i="57"/>
  <c r="E517" i="57"/>
  <c r="G481" i="57"/>
  <c r="G437" i="57"/>
  <c r="E295" i="57"/>
  <c r="F309" i="57"/>
  <c r="E434" i="57"/>
  <c r="E323" i="57"/>
  <c r="D205" i="57"/>
  <c r="E556" i="57"/>
  <c r="G551" i="57"/>
  <c r="H518" i="57"/>
  <c r="E353" i="57"/>
  <c r="G314" i="57"/>
  <c r="D305" i="57"/>
  <c r="D339" i="57"/>
  <c r="D301" i="57"/>
  <c r="F384" i="57"/>
  <c r="E261" i="57"/>
  <c r="F548" i="57"/>
  <c r="D599" i="57"/>
  <c r="D453" i="57"/>
  <c r="D341" i="57"/>
  <c r="H297" i="57"/>
  <c r="E296" i="57"/>
  <c r="H279" i="57"/>
  <c r="F389" i="57"/>
  <c r="E87" i="57"/>
  <c r="D391" i="57"/>
  <c r="E595" i="57"/>
  <c r="G600" i="57"/>
  <c r="F502" i="57"/>
  <c r="H481" i="57"/>
  <c r="F296" i="57"/>
  <c r="E277" i="57"/>
  <c r="E301" i="57"/>
  <c r="F313" i="57"/>
  <c r="D201" i="57"/>
  <c r="G278" i="57"/>
  <c r="E483" i="57"/>
  <c r="G513" i="57"/>
  <c r="F520" i="57"/>
  <c r="G436" i="57"/>
  <c r="F232" i="53"/>
  <c r="F488" i="53"/>
  <c r="G432" i="53"/>
  <c r="D546" i="53"/>
  <c r="H233" i="53"/>
  <c r="D289" i="53"/>
  <c r="H318" i="53"/>
  <c r="D282" i="53"/>
  <c r="F239" i="53"/>
  <c r="D270" i="53"/>
  <c r="G339" i="57"/>
  <c r="D253" i="53"/>
  <c r="H294" i="53"/>
  <c r="E330" i="53"/>
  <c r="G261" i="53"/>
  <c r="G236" i="53"/>
  <c r="G299" i="53"/>
  <c r="F211" i="57"/>
  <c r="G154" i="53"/>
  <c r="F290" i="53"/>
  <c r="E410" i="53"/>
  <c r="F266" i="53"/>
  <c r="H325" i="53"/>
  <c r="D326" i="53"/>
  <c r="F328" i="53"/>
  <c r="H217" i="53"/>
  <c r="F128" i="57"/>
  <c r="F240" i="57"/>
  <c r="D209" i="57"/>
  <c r="F183" i="53"/>
  <c r="G180" i="53"/>
  <c r="E143" i="53"/>
  <c r="H187" i="53"/>
  <c r="E181" i="53"/>
  <c r="G67" i="53"/>
  <c r="G284" i="53"/>
  <c r="H356" i="57"/>
  <c r="G155" i="57"/>
  <c r="F31" i="57"/>
  <c r="D167" i="53"/>
  <c r="E176" i="53"/>
  <c r="G141" i="53"/>
  <c r="H132" i="53"/>
  <c r="G159" i="53"/>
  <c r="G89" i="57"/>
  <c r="D51" i="57"/>
  <c r="E90" i="57"/>
  <c r="D205" i="53"/>
  <c r="H165" i="53"/>
  <c r="H568" i="53"/>
  <c r="D193" i="53"/>
  <c r="F205" i="53"/>
  <c r="D26" i="53"/>
  <c r="H232" i="57"/>
  <c r="G122" i="57"/>
  <c r="F174" i="53"/>
  <c r="E111" i="53"/>
  <c r="F135" i="53"/>
  <c r="H197" i="53"/>
  <c r="E479" i="53"/>
  <c r="E85" i="53"/>
  <c r="G158" i="57"/>
  <c r="D483" i="53"/>
  <c r="F464" i="53"/>
  <c r="F492" i="53"/>
  <c r="F386" i="53"/>
  <c r="E236" i="53"/>
  <c r="D294" i="53"/>
  <c r="G380" i="53"/>
  <c r="F287" i="53"/>
  <c r="E320" i="53"/>
  <c r="D328" i="53"/>
  <c r="E190" i="57"/>
  <c r="F316" i="53"/>
  <c r="D320" i="53"/>
  <c r="G390" i="53"/>
  <c r="H370" i="53"/>
  <c r="D297" i="53"/>
  <c r="H335" i="53"/>
  <c r="D111" i="57"/>
  <c r="F208" i="53"/>
  <c r="F412" i="53"/>
  <c r="E255" i="53"/>
  <c r="H307" i="53"/>
  <c r="F352" i="53"/>
  <c r="E362" i="53"/>
  <c r="G364" i="53"/>
  <c r="F244" i="53"/>
  <c r="G306" i="57"/>
  <c r="G412" i="57"/>
  <c r="D57" i="57"/>
  <c r="E130" i="53"/>
  <c r="G190" i="53"/>
  <c r="H189" i="53"/>
  <c r="G130" i="53"/>
  <c r="H201" i="53"/>
  <c r="E200" i="53"/>
  <c r="E311" i="53"/>
  <c r="E183" i="57"/>
  <c r="H117" i="57"/>
  <c r="G106" i="53"/>
  <c r="D37" i="53"/>
  <c r="F68" i="53"/>
  <c r="H200" i="53"/>
  <c r="G83" i="53"/>
  <c r="H142" i="53"/>
  <c r="F371" i="57"/>
  <c r="G401" i="57"/>
  <c r="F111" i="57"/>
  <c r="D102" i="53"/>
  <c r="F190" i="53"/>
  <c r="D162" i="53"/>
  <c r="E56" i="53"/>
  <c r="F179" i="53"/>
  <c r="D421" i="57"/>
  <c r="D181" i="57"/>
  <c r="D193" i="57"/>
  <c r="H144" i="53"/>
  <c r="G78" i="53"/>
  <c r="F125" i="53"/>
  <c r="F173" i="53"/>
  <c r="G202" i="53"/>
  <c r="H84" i="53"/>
  <c r="H41" i="57"/>
  <c r="D117" i="57"/>
  <c r="E204" i="57"/>
  <c r="E192" i="53"/>
  <c r="H33" i="53"/>
  <c r="G63" i="53"/>
  <c r="D176" i="53"/>
  <c r="E51" i="53"/>
  <c r="F82" i="53"/>
  <c r="D83" i="57"/>
  <c r="D115" i="57"/>
  <c r="D171" i="53"/>
  <c r="D32" i="53"/>
  <c r="H65" i="53"/>
  <c r="H177" i="53"/>
  <c r="D184" i="53"/>
  <c r="H22" i="53"/>
  <c r="H365" i="53"/>
  <c r="H252" i="53"/>
  <c r="H352" i="57"/>
  <c r="D441" i="57"/>
  <c r="F183" i="57"/>
  <c r="F169" i="53"/>
  <c r="H207" i="53"/>
  <c r="D542" i="53"/>
  <c r="H235" i="53"/>
  <c r="F403" i="53"/>
  <c r="E352" i="53"/>
  <c r="H542" i="53"/>
  <c r="F296" i="53"/>
  <c r="H380" i="53"/>
  <c r="F284" i="53"/>
  <c r="D383" i="53"/>
  <c r="E262" i="53"/>
  <c r="D191" i="53"/>
  <c r="E379" i="53"/>
  <c r="H241" i="53"/>
  <c r="D213" i="57"/>
  <c r="H289" i="53"/>
  <c r="H377" i="53"/>
  <c r="E267" i="53"/>
  <c r="H88" i="57"/>
  <c r="F118" i="53"/>
  <c r="G281" i="53"/>
  <c r="E284" i="53"/>
  <c r="H314" i="53"/>
  <c r="G388" i="53"/>
  <c r="H388" i="53"/>
  <c r="E391" i="53"/>
  <c r="G280" i="53"/>
  <c r="H224" i="57"/>
  <c r="E273" i="57"/>
  <c r="D38" i="57"/>
  <c r="G185" i="53"/>
  <c r="G39" i="53"/>
  <c r="H209" i="53"/>
  <c r="H115" i="53"/>
  <c r="E184" i="53"/>
  <c r="E167" i="53"/>
  <c r="E103" i="57"/>
  <c r="D217" i="57"/>
  <c r="D184" i="57"/>
  <c r="E194" i="53"/>
  <c r="F91" i="53"/>
  <c r="H60" i="53"/>
  <c r="H185" i="53"/>
  <c r="E166" i="53"/>
  <c r="D164" i="53"/>
  <c r="D101" i="57"/>
  <c r="G305" i="57"/>
  <c r="F137" i="57"/>
  <c r="G62" i="53"/>
  <c r="E104" i="53"/>
  <c r="E188" i="53"/>
  <c r="D154" i="53"/>
  <c r="F116" i="53"/>
  <c r="D229" i="57"/>
  <c r="H197" i="57"/>
  <c r="E165" i="57"/>
  <c r="F162" i="53"/>
  <c r="G205" i="53"/>
  <c r="E546" i="53"/>
  <c r="D150" i="53"/>
  <c r="G170" i="53"/>
  <c r="H147" i="53"/>
  <c r="G334" i="57"/>
  <c r="D166" i="57"/>
  <c r="G235" i="53"/>
  <c r="G336" i="53"/>
  <c r="H507" i="53"/>
  <c r="F203" i="53"/>
  <c r="H364" i="53"/>
  <c r="F382" i="53"/>
  <c r="E383" i="53"/>
  <c r="E232" i="53"/>
  <c r="G239" i="53"/>
  <c r="H571" i="53"/>
  <c r="H67" i="53"/>
  <c r="D258" i="53"/>
  <c r="G304" i="53"/>
  <c r="G177" i="53"/>
  <c r="F381" i="53"/>
  <c r="H236" i="53"/>
  <c r="E296" i="53"/>
  <c r="G34" i="53"/>
  <c r="G186" i="53"/>
  <c r="F339" i="53"/>
  <c r="G315" i="53"/>
  <c r="D413" i="53"/>
  <c r="G377" i="53"/>
  <c r="D380" i="53"/>
  <c r="E485" i="53"/>
  <c r="E307" i="53"/>
  <c r="D214" i="57"/>
  <c r="F66" i="57"/>
  <c r="H52" i="57"/>
  <c r="G194" i="53"/>
  <c r="E27" i="53"/>
  <c r="E198" i="53"/>
  <c r="G195" i="53"/>
  <c r="D49" i="53"/>
  <c r="E80" i="53"/>
  <c r="G26" i="57"/>
  <c r="D84" i="57"/>
  <c r="E218" i="57"/>
  <c r="F197" i="53"/>
  <c r="F202" i="53"/>
  <c r="D590" i="53"/>
  <c r="G181" i="53"/>
  <c r="G192" i="53"/>
  <c r="F26" i="53"/>
  <c r="E211" i="57"/>
  <c r="E125" i="57"/>
  <c r="F48" i="57"/>
  <c r="E162" i="53"/>
  <c r="H79" i="53"/>
  <c r="F539" i="53"/>
  <c r="E310" i="53"/>
  <c r="G452" i="53"/>
  <c r="D337" i="53"/>
  <c r="D20" i="53"/>
  <c r="H98" i="57"/>
  <c r="G272" i="53"/>
  <c r="G260" i="53"/>
  <c r="G322" i="53"/>
  <c r="F327" i="53"/>
  <c r="D121" i="53"/>
  <c r="F376" i="53"/>
  <c r="F322" i="53"/>
  <c r="D192" i="53"/>
  <c r="E318" i="53"/>
  <c r="E297" i="53"/>
  <c r="G327" i="53"/>
  <c r="E94" i="53"/>
  <c r="F279" i="53"/>
  <c r="G399" i="53"/>
  <c r="D347" i="53"/>
  <c r="D404" i="53"/>
  <c r="G406" i="53"/>
  <c r="D409" i="53"/>
  <c r="D296" i="53"/>
  <c r="F372" i="53"/>
  <c r="H349" i="57"/>
  <c r="F239" i="57"/>
  <c r="D177" i="57"/>
  <c r="H159" i="53"/>
  <c r="H374" i="53"/>
  <c r="F63" i="53"/>
  <c r="G147" i="53"/>
  <c r="F96" i="53"/>
  <c r="E58" i="53"/>
  <c r="E294" i="57"/>
  <c r="F375" i="57"/>
  <c r="H119" i="57"/>
  <c r="H196" i="53"/>
  <c r="H203" i="53"/>
  <c r="F200" i="53"/>
  <c r="D97" i="53"/>
  <c r="G164" i="53"/>
  <c r="E183" i="53"/>
  <c r="H343" i="57"/>
  <c r="G246" i="57"/>
  <c r="E225" i="57"/>
  <c r="D199" i="53"/>
  <c r="G208" i="53"/>
  <c r="G137" i="53"/>
  <c r="D90" i="53"/>
  <c r="H54" i="53"/>
  <c r="H82" i="57"/>
  <c r="H276" i="57"/>
  <c r="G51" i="57"/>
  <c r="F195" i="53"/>
  <c r="E68" i="53"/>
  <c r="G206" i="53"/>
  <c r="H112" i="53"/>
  <c r="G87" i="53"/>
  <c r="G111" i="53"/>
  <c r="G106" i="57"/>
  <c r="D258" i="57"/>
  <c r="G70" i="53"/>
  <c r="E440" i="53"/>
  <c r="D517" i="53"/>
  <c r="E367" i="53"/>
  <c r="F420" i="53"/>
  <c r="D397" i="53"/>
  <c r="F313" i="53"/>
  <c r="E92" i="53"/>
  <c r="D333" i="53"/>
  <c r="D321" i="53"/>
  <c r="F385" i="53"/>
  <c r="H246" i="53"/>
  <c r="F394" i="53"/>
  <c r="E250" i="53"/>
  <c r="E244" i="53"/>
  <c r="F166" i="53"/>
  <c r="G378" i="53"/>
  <c r="F333" i="53"/>
  <c r="G385" i="53"/>
  <c r="D140" i="53"/>
  <c r="F282" i="53"/>
  <c r="D256" i="53"/>
  <c r="G373" i="53"/>
  <c r="D234" i="53"/>
  <c r="D239" i="53"/>
  <c r="F241" i="53"/>
  <c r="D325" i="53"/>
  <c r="H427" i="53"/>
  <c r="G368" i="57"/>
  <c r="G147" i="57"/>
  <c r="E168" i="57"/>
  <c r="F147" i="53"/>
  <c r="F209" i="53"/>
  <c r="H182" i="53"/>
  <c r="F15" i="53"/>
  <c r="D210" i="53"/>
  <c r="G173" i="53"/>
  <c r="G86" i="57"/>
  <c r="G410" i="57"/>
  <c r="D48" i="57"/>
  <c r="D42" i="53"/>
  <c r="H137" i="53"/>
  <c r="G176" i="53"/>
  <c r="G72" i="53"/>
  <c r="E145" i="53"/>
  <c r="G178" i="53"/>
  <c r="H376" i="57"/>
  <c r="G150" i="57"/>
  <c r="G35" i="57"/>
  <c r="E133" i="53"/>
  <c r="H184" i="53"/>
  <c r="E141" i="53"/>
  <c r="G89" i="53"/>
  <c r="F176" i="53"/>
  <c r="D69" i="57"/>
  <c r="G144" i="57"/>
  <c r="E47" i="57"/>
  <c r="E178" i="53"/>
  <c r="F29" i="53"/>
  <c r="H94" i="53"/>
  <c r="E164" i="53"/>
  <c r="E87" i="53"/>
  <c r="G382" i="57"/>
  <c r="F150" i="57"/>
  <c r="E114" i="57"/>
  <c r="E593" i="53"/>
  <c r="G32" i="53"/>
  <c r="F77" i="53"/>
  <c r="F185" i="53"/>
  <c r="D183" i="53"/>
  <c r="H48" i="53"/>
  <c r="G148" i="57"/>
  <c r="D403" i="57"/>
  <c r="G18" i="57"/>
  <c r="G142" i="53"/>
  <c r="F142" i="53"/>
  <c r="H181" i="53"/>
  <c r="G85" i="53"/>
  <c r="E25" i="53"/>
  <c r="G51" i="53"/>
  <c r="E285" i="53"/>
  <c r="E371" i="53"/>
  <c r="H291" i="57"/>
  <c r="D121" i="57"/>
  <c r="H12" i="57"/>
  <c r="G209" i="53"/>
  <c r="F497" i="53"/>
  <c r="G229" i="53"/>
  <c r="F425" i="53"/>
  <c r="G427" i="53"/>
  <c r="E228" i="53"/>
  <c r="H239" i="53"/>
  <c r="H387" i="53"/>
  <c r="G482" i="53"/>
  <c r="E174" i="53"/>
  <c r="H135" i="57"/>
  <c r="E20" i="53"/>
  <c r="E94" i="57"/>
  <c r="H24" i="53"/>
  <c r="D114" i="53"/>
  <c r="G248" i="57"/>
  <c r="G198" i="53"/>
  <c r="D28" i="53"/>
  <c r="H454" i="57"/>
  <c r="E204" i="53"/>
  <c r="H199" i="53"/>
  <c r="E156" i="53"/>
  <c r="D159" i="53"/>
  <c r="F281" i="57"/>
  <c r="G325" i="57"/>
  <c r="G39" i="57"/>
  <c r="E536" i="53"/>
  <c r="D197" i="53"/>
  <c r="E128" i="53"/>
  <c r="D147" i="53"/>
  <c r="G258" i="53"/>
  <c r="E367" i="57"/>
  <c r="G449" i="57"/>
  <c r="H173" i="57"/>
  <c r="G132" i="53"/>
  <c r="F170" i="53"/>
  <c r="G168" i="53"/>
  <c r="D443" i="57"/>
  <c r="F139" i="57"/>
  <c r="E335" i="57"/>
  <c r="H79" i="57"/>
  <c r="H163" i="57"/>
  <c r="G373" i="57"/>
  <c r="E233" i="57"/>
  <c r="G404" i="57"/>
  <c r="F170" i="57"/>
  <c r="F374" i="57"/>
  <c r="E79" i="57"/>
  <c r="D342" i="57"/>
  <c r="D19" i="57"/>
  <c r="F306" i="57"/>
  <c r="H261" i="57"/>
  <c r="H436" i="57"/>
  <c r="F153" i="57"/>
  <c r="G85" i="57"/>
  <c r="D209" i="53"/>
  <c r="E322" i="57"/>
  <c r="H237" i="57"/>
  <c r="F419" i="57"/>
  <c r="D190" i="57"/>
  <c r="H196" i="57"/>
  <c r="D308" i="57"/>
  <c r="G174" i="57"/>
  <c r="F334" i="57"/>
  <c r="D176" i="57"/>
  <c r="E283" i="57"/>
  <c r="H249" i="57"/>
  <c r="G281" i="57"/>
  <c r="E142" i="57"/>
  <c r="E328" i="57"/>
  <c r="E136" i="57"/>
  <c r="F344" i="57"/>
  <c r="D145" i="57"/>
  <c r="D348" i="57"/>
  <c r="G41" i="57"/>
  <c r="D279" i="57"/>
  <c r="H194" i="57"/>
  <c r="D294" i="57"/>
  <c r="D90" i="57"/>
  <c r="D347" i="57"/>
  <c r="G229" i="57"/>
  <c r="F373" i="57"/>
  <c r="D447" i="57"/>
  <c r="F73" i="57"/>
  <c r="E187" i="57"/>
  <c r="D429" i="57"/>
  <c r="H265" i="53"/>
  <c r="D314" i="53"/>
  <c r="F214" i="53"/>
  <c r="G339" i="53"/>
  <c r="F51" i="53"/>
  <c r="F265" i="53"/>
  <c r="F454" i="53"/>
  <c r="D73" i="53"/>
  <c r="F181" i="53"/>
  <c r="H204" i="57"/>
  <c r="D169" i="53"/>
  <c r="G127" i="57"/>
  <c r="G123" i="53"/>
  <c r="E123" i="53"/>
  <c r="H200" i="57"/>
  <c r="H180" i="53"/>
  <c r="E196" i="53"/>
  <c r="H184" i="57"/>
  <c r="F196" i="53"/>
  <c r="F187" i="53"/>
  <c r="E121" i="53"/>
  <c r="F56" i="53"/>
  <c r="E234" i="57"/>
  <c r="F255" i="57"/>
  <c r="G196" i="53"/>
  <c r="H193" i="53"/>
  <c r="F32" i="53"/>
  <c r="G108" i="53"/>
  <c r="E577" i="53"/>
  <c r="F321" i="53"/>
  <c r="H102" i="57"/>
  <c r="D333" i="57"/>
  <c r="H108" i="53"/>
  <c r="F574" i="53"/>
  <c r="F191" i="53"/>
  <c r="E61" i="53"/>
  <c r="E129" i="57"/>
  <c r="F78" i="57"/>
  <c r="G343" i="57"/>
  <c r="H85" i="57"/>
  <c r="F41" i="57"/>
  <c r="H266" i="57"/>
  <c r="D82" i="57"/>
  <c r="G291" i="57"/>
  <c r="F362" i="57"/>
  <c r="D284" i="57"/>
  <c r="F49" i="57"/>
  <c r="H268" i="57"/>
  <c r="G131" i="57"/>
  <c r="F297" i="57"/>
  <c r="D112" i="57"/>
  <c r="D364" i="57"/>
  <c r="H246" i="57"/>
  <c r="D135" i="57"/>
  <c r="H72" i="53"/>
  <c r="E119" i="57"/>
  <c r="F81" i="57"/>
  <c r="E408" i="57"/>
  <c r="E147" i="57"/>
  <c r="E11" i="57"/>
  <c r="E280" i="57"/>
  <c r="H139" i="57"/>
  <c r="F307" i="57"/>
  <c r="D37" i="57"/>
  <c r="F317" i="57"/>
  <c r="G17" i="57"/>
  <c r="E410" i="57"/>
  <c r="F264" i="57"/>
  <c r="F404" i="57"/>
  <c r="H120" i="57"/>
  <c r="E266" i="57"/>
  <c r="H128" i="57"/>
  <c r="F413" i="57"/>
  <c r="G486" i="57"/>
  <c r="E58" i="57"/>
  <c r="E57" i="57"/>
  <c r="E312" i="57"/>
  <c r="F113" i="57"/>
  <c r="H340" i="57"/>
  <c r="G548" i="53"/>
  <c r="H258" i="53"/>
  <c r="H274" i="53"/>
  <c r="D345" i="53"/>
  <c r="D180" i="53"/>
  <c r="D292" i="53"/>
  <c r="G138" i="57"/>
  <c r="H43" i="53"/>
  <c r="G46" i="53"/>
  <c r="D44" i="57"/>
  <c r="H118" i="53"/>
  <c r="E162" i="57"/>
  <c r="H186" i="53"/>
  <c r="E356" i="57"/>
  <c r="F33" i="57"/>
  <c r="G101" i="53"/>
  <c r="E152" i="53"/>
  <c r="G141" i="57"/>
  <c r="D185" i="53"/>
  <c r="H101" i="53"/>
  <c r="E135" i="53"/>
  <c r="F414" i="53"/>
  <c r="D359" i="57"/>
  <c r="H166" i="57"/>
  <c r="F186" i="53"/>
  <c r="F128" i="53"/>
  <c r="F22" i="53"/>
  <c r="G204" i="53"/>
  <c r="D207" i="53"/>
  <c r="D348" i="53"/>
  <c r="H278" i="57"/>
  <c r="E141" i="57"/>
  <c r="D196" i="53"/>
  <c r="G99" i="53"/>
  <c r="E154" i="53"/>
  <c r="D56" i="53"/>
  <c r="D134" i="57"/>
  <c r="H126" i="57"/>
  <c r="D340" i="57"/>
  <c r="E111" i="57"/>
  <c r="F390" i="57"/>
  <c r="H140" i="57"/>
  <c r="F133" i="57"/>
  <c r="F283" i="57"/>
  <c r="E206" i="57"/>
  <c r="E71" i="57"/>
  <c r="E350" i="57"/>
  <c r="H84" i="57"/>
  <c r="G171" i="57"/>
  <c r="D331" i="57"/>
  <c r="G233" i="57"/>
  <c r="D370" i="53"/>
  <c r="F99" i="53"/>
  <c r="G371" i="53"/>
  <c r="G237" i="53"/>
  <c r="H373" i="53"/>
  <c r="G265" i="53"/>
  <c r="F164" i="57"/>
  <c r="E97" i="53"/>
  <c r="H221" i="53"/>
  <c r="G200" i="53"/>
  <c r="D13" i="53"/>
  <c r="H49" i="53"/>
  <c r="E207" i="53"/>
  <c r="G299" i="57"/>
  <c r="D87" i="53"/>
  <c r="F114" i="53"/>
  <c r="D223" i="57"/>
  <c r="G186" i="57"/>
  <c r="G75" i="53"/>
  <c r="H192" i="53"/>
  <c r="F112" i="53"/>
  <c r="F151" i="53"/>
  <c r="G221" i="57"/>
  <c r="G142" i="57"/>
  <c r="G193" i="53"/>
  <c r="H35" i="53"/>
  <c r="G477" i="53"/>
  <c r="H188" i="53"/>
  <c r="F46" i="53"/>
  <c r="D442" i="53"/>
  <c r="G120" i="57"/>
  <c r="G52" i="57"/>
  <c r="E193" i="53"/>
  <c r="F106" i="53"/>
  <c r="F193" i="53"/>
  <c r="H532" i="53"/>
  <c r="F197" i="57"/>
  <c r="E95" i="57"/>
  <c r="F319" i="57"/>
  <c r="G81" i="57"/>
  <c r="F332" i="57"/>
  <c r="E65" i="57"/>
  <c r="E81" i="57"/>
  <c r="F287" i="57"/>
  <c r="E276" i="57"/>
  <c r="G256" i="57"/>
  <c r="D288" i="57"/>
  <c r="E166" i="57"/>
  <c r="H256" i="57"/>
  <c r="E339" i="57"/>
  <c r="E52" i="57"/>
  <c r="H368" i="57"/>
  <c r="E89" i="57"/>
  <c r="D18" i="57"/>
  <c r="D198" i="53"/>
  <c r="D31" i="57"/>
  <c r="H115" i="57"/>
  <c r="G270" i="57"/>
  <c r="G92" i="57"/>
  <c r="H415" i="57"/>
  <c r="G114" i="57"/>
  <c r="D224" i="57"/>
  <c r="H370" i="57"/>
  <c r="E317" i="57"/>
  <c r="E132" i="57"/>
  <c r="D381" i="57"/>
  <c r="F169" i="57"/>
  <c r="D218" i="57"/>
  <c r="E279" i="57"/>
  <c r="F177" i="57"/>
  <c r="D304" i="57"/>
  <c r="G143" i="57"/>
  <c r="G195" i="57"/>
  <c r="G415" i="57"/>
  <c r="H72" i="57"/>
  <c r="H43" i="57"/>
  <c r="G276" i="57"/>
  <c r="D222" i="57"/>
  <c r="F289" i="57"/>
  <c r="D579" i="53"/>
  <c r="F182" i="53"/>
  <c r="D303" i="53"/>
  <c r="E375" i="53"/>
  <c r="D235" i="53"/>
  <c r="F299" i="53"/>
  <c r="F256" i="57"/>
  <c r="D104" i="53"/>
  <c r="E253" i="53"/>
  <c r="F188" i="53"/>
  <c r="E55" i="53"/>
  <c r="E189" i="53"/>
  <c r="F201" i="53"/>
  <c r="E342" i="57"/>
  <c r="F159" i="53"/>
  <c r="H17" i="53"/>
  <c r="D315" i="57"/>
  <c r="H229" i="57"/>
  <c r="E75" i="53"/>
  <c r="D174" i="53"/>
  <c r="G27" i="53"/>
  <c r="D54" i="53"/>
  <c r="H277" i="57"/>
  <c r="E91" i="57"/>
  <c r="H153" i="53"/>
  <c r="D161" i="53"/>
  <c r="D204" i="53"/>
  <c r="H171" i="53"/>
  <c r="E464" i="53"/>
  <c r="H281" i="53"/>
  <c r="E24" i="57"/>
  <c r="F64" i="57"/>
  <c r="E73" i="53"/>
  <c r="D21" i="53"/>
  <c r="D133" i="53"/>
  <c r="G189" i="57"/>
  <c r="F349" i="57"/>
  <c r="G169" i="57"/>
  <c r="G391" i="57"/>
  <c r="E50" i="57"/>
  <c r="G340" i="57"/>
  <c r="F114" i="57"/>
  <c r="H45" i="57"/>
  <c r="E274" i="57"/>
  <c r="H86" i="57"/>
  <c r="H242" i="57"/>
  <c r="H289" i="57"/>
  <c r="E169" i="57"/>
  <c r="E226" i="57"/>
  <c r="H311" i="57"/>
  <c r="F163" i="57"/>
  <c r="H305" i="57"/>
  <c r="E215" i="57"/>
  <c r="E28" i="57"/>
  <c r="F178" i="53"/>
  <c r="D412" i="57"/>
  <c r="H239" i="57"/>
  <c r="H299" i="57"/>
  <c r="G54" i="57"/>
  <c r="H404" i="57"/>
  <c r="G249" i="57"/>
  <c r="F55" i="57"/>
  <c r="H321" i="57"/>
  <c r="F72" i="57"/>
  <c r="G73" i="57"/>
  <c r="D372" i="57"/>
  <c r="E239" i="57"/>
  <c r="F217" i="57"/>
  <c r="H406" i="57"/>
  <c r="H252" i="57"/>
  <c r="E290" i="57"/>
  <c r="D110" i="57"/>
  <c r="H168" i="57"/>
  <c r="G411" i="57"/>
  <c r="F108" i="57"/>
  <c r="D484" i="57"/>
  <c r="D59" i="57"/>
  <c r="F57" i="57"/>
  <c r="H365" i="57"/>
  <c r="D17" i="57"/>
  <c r="H118" i="57"/>
  <c r="D313" i="57"/>
  <c r="D251" i="57"/>
  <c r="D367" i="57"/>
  <c r="D260" i="57"/>
  <c r="H420" i="53"/>
  <c r="E231" i="53"/>
  <c r="D378" i="53"/>
  <c r="F234" i="53"/>
  <c r="E239" i="53"/>
  <c r="D374" i="53"/>
  <c r="H301" i="53"/>
  <c r="H97" i="57"/>
  <c r="G210" i="53"/>
  <c r="H270" i="57"/>
  <c r="H437" i="53"/>
  <c r="D356" i="57"/>
  <c r="F93" i="53"/>
  <c r="G191" i="53"/>
  <c r="H208" i="57"/>
  <c r="E211" i="53"/>
  <c r="G53" i="53"/>
  <c r="D13" i="57"/>
  <c r="E156" i="57"/>
  <c r="D157" i="53"/>
  <c r="F58" i="53"/>
  <c r="H539" i="53"/>
  <c r="D173" i="53"/>
  <c r="F130" i="57"/>
  <c r="D237" i="57"/>
  <c r="E201" i="53"/>
  <c r="G211" i="53"/>
  <c r="F94" i="53"/>
  <c r="G446" i="53"/>
  <c r="E397" i="53"/>
  <c r="G344" i="53"/>
  <c r="H136" i="57"/>
  <c r="F24" i="57"/>
  <c r="H173" i="53"/>
  <c r="D145" i="53"/>
  <c r="D203" i="53"/>
  <c r="G295" i="57"/>
  <c r="H312" i="57"/>
  <c r="G43" i="57"/>
  <c r="G271" i="57"/>
  <c r="H104" i="57"/>
  <c r="D317" i="57"/>
  <c r="D79" i="57"/>
  <c r="D399" i="57"/>
  <c r="F86" i="57"/>
  <c r="G31" i="57"/>
  <c r="H27" i="57"/>
  <c r="D307" i="57"/>
  <c r="G83" i="57"/>
  <c r="G304" i="57"/>
  <c r="E80" i="57"/>
  <c r="H263" i="57"/>
  <c r="D407" i="57"/>
  <c r="G220" i="57"/>
  <c r="D215" i="57"/>
  <c r="H71" i="57"/>
  <c r="H361" i="57"/>
  <c r="F224" i="57"/>
  <c r="E292" i="57"/>
  <c r="H109" i="57"/>
  <c r="F461" i="57"/>
  <c r="H125" i="57"/>
  <c r="G329" i="57"/>
  <c r="F63" i="57"/>
  <c r="G194" i="57"/>
  <c r="F112" i="57"/>
  <c r="H407" i="57"/>
  <c r="D178" i="57"/>
  <c r="E378" i="57"/>
  <c r="D88" i="57"/>
  <c r="E194" i="57"/>
  <c r="F336" i="57"/>
  <c r="F409" i="57"/>
  <c r="H259" i="57"/>
  <c r="E272" i="57"/>
  <c r="G231" i="57"/>
  <c r="E412" i="57"/>
  <c r="F82" i="57"/>
  <c r="G56" i="57"/>
  <c r="D35" i="53"/>
  <c r="D519" i="53"/>
  <c r="F418" i="53"/>
  <c r="E245" i="53"/>
  <c r="E234" i="53"/>
  <c r="G534" i="53"/>
  <c r="G472" i="53"/>
  <c r="E365" i="53"/>
  <c r="E216" i="53"/>
  <c r="H418" i="53"/>
  <c r="E271" i="53"/>
  <c r="D271" i="53"/>
  <c r="E475" i="53"/>
  <c r="D479" i="53"/>
  <c r="H597" i="53"/>
  <c r="G348" i="53"/>
  <c r="F367" i="53"/>
  <c r="H514" i="53"/>
  <c r="G595" i="53"/>
  <c r="H386" i="53"/>
  <c r="H494" i="53"/>
  <c r="D560" i="53"/>
  <c r="E542" i="53"/>
  <c r="D433" i="53"/>
  <c r="H483" i="53"/>
  <c r="H355" i="53"/>
  <c r="E471" i="53"/>
  <c r="H479" i="53"/>
  <c r="E396" i="53"/>
  <c r="F337" i="57"/>
  <c r="H175" i="53"/>
  <c r="G227" i="53"/>
  <c r="E376" i="53"/>
  <c r="E261" i="53"/>
  <c r="D323" i="53"/>
  <c r="E323" i="53"/>
  <c r="G325" i="53"/>
  <c r="D215" i="53"/>
  <c r="G400" i="57"/>
  <c r="F123" i="53"/>
  <c r="E350" i="53"/>
  <c r="E266" i="53"/>
  <c r="E326" i="53"/>
  <c r="F378" i="53"/>
  <c r="H385" i="53"/>
  <c r="E388" i="53"/>
  <c r="F270" i="53"/>
  <c r="E199" i="53"/>
  <c r="H179" i="53"/>
  <c r="E557" i="53"/>
  <c r="F370" i="53"/>
  <c r="G475" i="53"/>
  <c r="F273" i="53"/>
  <c r="G273" i="53"/>
  <c r="D276" i="53"/>
  <c r="E562" i="57"/>
  <c r="E106" i="53"/>
  <c r="H342" i="53"/>
  <c r="G287" i="53"/>
  <c r="G347" i="53"/>
  <c r="F409" i="53"/>
  <c r="D213" i="53"/>
  <c r="F215" i="53"/>
  <c r="F301" i="53"/>
  <c r="F298" i="53"/>
  <c r="F243" i="53"/>
  <c r="H195" i="53"/>
  <c r="D119" i="53"/>
  <c r="F408" i="53"/>
  <c r="G226" i="53"/>
  <c r="E533" i="53"/>
  <c r="D331" i="53"/>
  <c r="E331" i="53"/>
  <c r="G333" i="53"/>
  <c r="F324" i="57"/>
  <c r="G189" i="53"/>
  <c r="F400" i="53"/>
  <c r="E345" i="53"/>
  <c r="E405" i="53"/>
  <c r="E263" i="53"/>
  <c r="G270" i="53"/>
  <c r="D273" i="53"/>
  <c r="D359" i="53"/>
  <c r="H550" i="53"/>
  <c r="G213" i="53"/>
  <c r="D474" i="53"/>
  <c r="H212" i="53"/>
  <c r="E521" i="53"/>
  <c r="F479" i="53"/>
  <c r="H471" i="53"/>
  <c r="G462" i="53"/>
  <c r="D554" i="53"/>
  <c r="F329" i="53"/>
  <c r="F525" i="53"/>
  <c r="F300" i="53"/>
  <c r="D503" i="53"/>
  <c r="F419" i="53"/>
  <c r="E574" i="53"/>
  <c r="E489" i="53"/>
  <c r="F426" i="53"/>
  <c r="G294" i="53"/>
  <c r="E571" i="53"/>
  <c r="D549" i="53"/>
  <c r="H372" i="53"/>
  <c r="H596" i="53"/>
  <c r="E500" i="53"/>
  <c r="H237" i="53"/>
  <c r="E424" i="53"/>
  <c r="G428" i="53"/>
  <c r="G543" i="53"/>
  <c r="F427" i="53"/>
  <c r="G433" i="53"/>
  <c r="F387" i="57"/>
  <c r="G171" i="53"/>
  <c r="G292" i="53"/>
  <c r="F237" i="53"/>
  <c r="F297" i="53"/>
  <c r="G349" i="53"/>
  <c r="D357" i="53"/>
  <c r="F359" i="53"/>
  <c r="G241" i="53"/>
  <c r="G187" i="57"/>
  <c r="G203" i="53"/>
  <c r="G216" i="53"/>
  <c r="H292" i="53"/>
  <c r="H352" i="53"/>
  <c r="E412" i="53"/>
  <c r="E218" i="53"/>
  <c r="G220" i="53"/>
  <c r="E304" i="53"/>
  <c r="G65" i="53"/>
  <c r="D308" i="53"/>
  <c r="H396" i="53"/>
  <c r="F399" i="53"/>
  <c r="E502" i="53"/>
  <c r="F262" i="53"/>
  <c r="H264" i="53"/>
  <c r="H213" i="53"/>
  <c r="E258" i="57"/>
  <c r="H103" i="53"/>
  <c r="H407" i="53"/>
  <c r="H323" i="53"/>
  <c r="H383" i="53"/>
  <c r="D487" i="53"/>
  <c r="G282" i="53"/>
  <c r="F304" i="53"/>
  <c r="F303" i="53"/>
  <c r="G545" i="53"/>
  <c r="F466" i="53"/>
  <c r="E347" i="53"/>
  <c r="F264" i="53"/>
  <c r="G519" i="53"/>
  <c r="F288" i="53"/>
  <c r="E480" i="53"/>
  <c r="D434" i="53"/>
  <c r="D561" i="53"/>
  <c r="F439" i="53"/>
  <c r="D535" i="53"/>
  <c r="D439" i="53"/>
  <c r="G570" i="53"/>
  <c r="G535" i="53"/>
  <c r="E535" i="53"/>
  <c r="G537" i="53"/>
  <c r="F422" i="53"/>
  <c r="H295" i="53"/>
  <c r="F305" i="53"/>
  <c r="F579" i="53"/>
  <c r="G541" i="53"/>
  <c r="E455" i="53"/>
  <c r="E242" i="53"/>
  <c r="H600" i="53"/>
  <c r="G266" i="53"/>
  <c r="G192" i="57"/>
  <c r="H163" i="53"/>
  <c r="H376" i="53"/>
  <c r="D264" i="53"/>
  <c r="D324" i="53"/>
  <c r="F383" i="53"/>
  <c r="G383" i="53"/>
  <c r="D386" i="53"/>
  <c r="F275" i="53"/>
  <c r="G36" i="53"/>
  <c r="H38" i="53"/>
  <c r="F528" i="53"/>
  <c r="G341" i="53"/>
  <c r="H446" i="53"/>
  <c r="G244" i="53"/>
  <c r="H244" i="53"/>
  <c r="E247" i="53"/>
  <c r="H330" i="53"/>
  <c r="F184" i="53"/>
  <c r="F224" i="53"/>
  <c r="G255" i="53"/>
  <c r="H231" i="53"/>
  <c r="H288" i="53"/>
  <c r="F291" i="53"/>
  <c r="H293" i="53"/>
  <c r="F353" i="53"/>
  <c r="G21" i="57"/>
  <c r="F20" i="53"/>
  <c r="E274" i="53"/>
  <c r="F350" i="53"/>
  <c r="F221" i="53"/>
  <c r="D266" i="53"/>
  <c r="H275" i="53"/>
  <c r="E278" i="53"/>
  <c r="H361" i="53"/>
  <c r="H358" i="53"/>
  <c r="E306" i="53"/>
  <c r="D75" i="53"/>
  <c r="H310" i="53"/>
  <c r="D342" i="53"/>
  <c r="F289" i="53"/>
  <c r="F346" i="53"/>
  <c r="D349" i="53"/>
  <c r="F351" i="53"/>
  <c r="F238" i="53"/>
  <c r="G156" i="53"/>
  <c r="G161" i="53"/>
  <c r="E300" i="53"/>
  <c r="F226" i="53"/>
  <c r="D279" i="53"/>
  <c r="G323" i="53"/>
  <c r="E40" i="53"/>
  <c r="D218" i="53"/>
  <c r="E290" i="53"/>
  <c r="G311" i="53"/>
  <c r="E431" i="53"/>
  <c r="D478" i="53"/>
  <c r="E321" i="53"/>
  <c r="F283" i="53"/>
  <c r="G435" i="53"/>
  <c r="G421" i="53"/>
  <c r="G320" i="53"/>
  <c r="F260" i="53"/>
  <c r="D422" i="53"/>
  <c r="E238" i="53"/>
  <c r="F501" i="53"/>
  <c r="D281" i="53"/>
  <c r="H573" i="53"/>
  <c r="D440" i="53"/>
  <c r="E487" i="53"/>
  <c r="G494" i="53"/>
  <c r="F443" i="53"/>
  <c r="E562" i="53"/>
  <c r="G528" i="53"/>
  <c r="D552" i="53"/>
  <c r="E499" i="53"/>
  <c r="D432" i="53"/>
  <c r="E257" i="53"/>
  <c r="G579" i="53"/>
  <c r="D581" i="53"/>
  <c r="H130" i="53"/>
  <c r="F101" i="53"/>
  <c r="G499" i="53"/>
  <c r="H312" i="53"/>
  <c r="D418" i="53"/>
  <c r="H215" i="53"/>
  <c r="D216" i="53"/>
  <c r="F218" i="53"/>
  <c r="D302" i="53"/>
  <c r="H70" i="53"/>
  <c r="E279" i="53"/>
  <c r="D368" i="53"/>
  <c r="G370" i="53"/>
  <c r="F473" i="53"/>
  <c r="G233" i="53"/>
  <c r="D236" i="53"/>
  <c r="G288" i="53"/>
  <c r="D367" i="53"/>
  <c r="H473" i="53"/>
  <c r="E342" i="53"/>
  <c r="H315" i="53"/>
  <c r="F258" i="53"/>
  <c r="H317" i="53"/>
  <c r="H322" i="53"/>
  <c r="E325" i="53"/>
  <c r="E411" i="53"/>
  <c r="F199" i="53"/>
  <c r="D165" i="53"/>
  <c r="D286" i="53"/>
  <c r="E399" i="53"/>
  <c r="F504" i="53"/>
  <c r="E302" i="53"/>
  <c r="F302" i="53"/>
  <c r="H304" i="53"/>
  <c r="F388" i="53"/>
  <c r="E390" i="53"/>
  <c r="H332" i="53"/>
  <c r="E187" i="53"/>
  <c r="H399" i="53"/>
  <c r="E402" i="53"/>
  <c r="D316" i="53"/>
  <c r="F375" i="53"/>
  <c r="F380" i="53"/>
  <c r="H382" i="53"/>
  <c r="F267" i="53"/>
  <c r="D109" i="53"/>
  <c r="D186" i="53"/>
  <c r="D224" i="53"/>
  <c r="F255" i="53"/>
  <c r="D562" i="53"/>
  <c r="H359" i="53"/>
  <c r="D360" i="53"/>
  <c r="F362" i="53"/>
  <c r="H251" i="53"/>
  <c r="D395" i="53"/>
  <c r="G300" i="53"/>
  <c r="E558" i="53"/>
  <c r="D591" i="53"/>
  <c r="H460" i="53"/>
  <c r="D255" i="53"/>
  <c r="E591" i="53"/>
  <c r="F595" i="53"/>
  <c r="D584" i="53"/>
  <c r="F252" i="53"/>
  <c r="H393" i="53"/>
  <c r="F444" i="53"/>
  <c r="G515" i="53"/>
  <c r="G492" i="53"/>
  <c r="F448" i="53"/>
  <c r="H581" i="53"/>
  <c r="F534" i="53"/>
  <c r="E517" i="53"/>
  <c r="D300" i="53"/>
  <c r="D407" i="53"/>
  <c r="E534" i="53"/>
  <c r="F476" i="53"/>
  <c r="E421" i="53"/>
  <c r="F315" i="53"/>
  <c r="E451" i="53"/>
  <c r="H225" i="53"/>
  <c r="G473" i="53"/>
  <c r="D540" i="53"/>
  <c r="H546" i="53"/>
  <c r="E179" i="53"/>
  <c r="F250" i="53"/>
  <c r="E339" i="53"/>
  <c r="H341" i="53"/>
  <c r="G444" i="53"/>
  <c r="F242" i="53"/>
  <c r="F257" i="53"/>
  <c r="H259" i="53"/>
  <c r="E338" i="53"/>
  <c r="G188" i="53"/>
  <c r="G394" i="53"/>
  <c r="H226" i="53"/>
  <c r="D402" i="53"/>
  <c r="D260" i="53"/>
  <c r="G262" i="53"/>
  <c r="D265" i="53"/>
  <c r="G571" i="53"/>
  <c r="G393" i="53"/>
  <c r="D208" i="53"/>
  <c r="H229" i="53"/>
  <c r="D400" i="53"/>
  <c r="E292" i="53"/>
  <c r="E349" i="53"/>
  <c r="E354" i="53"/>
  <c r="G356" i="53"/>
  <c r="E241" i="53"/>
  <c r="H582" i="53"/>
  <c r="G365" i="53"/>
  <c r="E224" i="53"/>
  <c r="E229" i="53"/>
  <c r="D531" i="53"/>
  <c r="E291" i="53"/>
  <c r="G293" i="53"/>
  <c r="H362" i="53"/>
  <c r="H220" i="53"/>
  <c r="E220" i="53"/>
  <c r="G366" i="53"/>
  <c r="E190" i="53"/>
  <c r="E316" i="53"/>
  <c r="D261" i="53"/>
  <c r="H349" i="53"/>
  <c r="H406" i="53"/>
  <c r="H411" i="53"/>
  <c r="E414" i="53"/>
  <c r="H298" i="53"/>
  <c r="D126" i="53"/>
  <c r="G250" i="53"/>
  <c r="G310" i="53"/>
  <c r="H286" i="53"/>
  <c r="G302" i="53"/>
  <c r="H348" i="53"/>
  <c r="E351" i="53"/>
  <c r="F456" i="53"/>
  <c r="F278" i="53"/>
  <c r="F194" i="53"/>
  <c r="F368" i="53"/>
  <c r="E96" i="53"/>
  <c r="F324" i="53"/>
  <c r="G332" i="53"/>
  <c r="G245" i="53"/>
  <c r="G319" i="53"/>
  <c r="E59" i="53"/>
  <c r="D245" i="53"/>
  <c r="H543" i="53"/>
  <c r="H357" i="53"/>
  <c r="F416" i="53"/>
  <c r="G576" i="53"/>
  <c r="H519" i="53"/>
  <c r="H495" i="53"/>
  <c r="E526" i="53"/>
  <c r="H423" i="53"/>
  <c r="F533" i="53"/>
  <c r="F461" i="53"/>
  <c r="H530" i="53"/>
  <c r="D489" i="53"/>
  <c r="E507" i="53"/>
  <c r="G408" i="53"/>
  <c r="H484" i="53"/>
  <c r="E448" i="53"/>
  <c r="D339" i="53"/>
  <c r="D567" i="53"/>
  <c r="G252" i="53"/>
  <c r="F213" i="53"/>
  <c r="F235" i="53"/>
  <c r="D471" i="53"/>
  <c r="F540" i="53"/>
  <c r="D30" i="53"/>
  <c r="H255" i="53"/>
  <c r="E258" i="53"/>
  <c r="G404" i="53"/>
  <c r="E260" i="53"/>
  <c r="E265" i="53"/>
  <c r="G267" i="53"/>
  <c r="G353" i="53"/>
  <c r="H458" i="53"/>
  <c r="E195" i="53"/>
  <c r="G397" i="53"/>
  <c r="F342" i="53"/>
  <c r="F263" i="53"/>
  <c r="F320" i="53"/>
  <c r="F325" i="53"/>
  <c r="H327" i="53"/>
  <c r="F212" i="53"/>
  <c r="E257" i="57"/>
  <c r="D85" i="53"/>
  <c r="D379" i="53"/>
  <c r="D295" i="53"/>
  <c r="D355" i="53"/>
  <c r="E407" i="53"/>
  <c r="G414" i="53"/>
  <c r="E213" i="53"/>
  <c r="E299" i="53"/>
  <c r="H178" i="53"/>
  <c r="D371" i="53"/>
  <c r="F373" i="53"/>
  <c r="E287" i="53"/>
  <c r="G346" i="53"/>
  <c r="G351" i="53"/>
  <c r="D354" i="53"/>
  <c r="G238" i="53"/>
  <c r="E545" i="53"/>
  <c r="D283" i="53"/>
  <c r="E64" i="57"/>
  <c r="F65" i="53"/>
  <c r="H232" i="53"/>
  <c r="G352" i="53"/>
  <c r="G412" i="53"/>
  <c r="E268" i="53"/>
  <c r="F268" i="53"/>
  <c r="H270" i="53"/>
  <c r="H356" i="53"/>
  <c r="G94" i="53"/>
  <c r="G253" i="53"/>
  <c r="E227" i="53"/>
  <c r="H344" i="53"/>
  <c r="E404" i="53"/>
  <c r="E409" i="53"/>
  <c r="G212" i="53"/>
  <c r="F148" i="53"/>
  <c r="F280" i="53"/>
  <c r="G240" i="53"/>
  <c r="E478" i="53"/>
  <c r="G445" i="53"/>
  <c r="D518" i="53"/>
  <c r="H475" i="53"/>
  <c r="G257" i="53"/>
  <c r="H468" i="53"/>
  <c r="D593" i="53"/>
  <c r="E539" i="53"/>
  <c r="G424" i="53"/>
  <c r="H534" i="53"/>
  <c r="G447" i="53"/>
  <c r="F450" i="53"/>
  <c r="D455" i="53"/>
  <c r="E317" i="53"/>
  <c r="G437" i="53"/>
  <c r="E415" i="53"/>
  <c r="D262" i="53"/>
  <c r="E493" i="53"/>
  <c r="D547" i="53"/>
  <c r="F578" i="53"/>
  <c r="F484" i="53"/>
  <c r="F452" i="53"/>
  <c r="H499" i="53"/>
  <c r="H242" i="53"/>
  <c r="H517" i="53"/>
  <c r="F247" i="53"/>
  <c r="E447" i="53"/>
  <c r="E125" i="53"/>
  <c r="H368" i="53"/>
  <c r="G313" i="53"/>
  <c r="G234" i="53"/>
  <c r="G291" i="53"/>
  <c r="G296" i="53"/>
  <c r="D299" i="53"/>
  <c r="G382" i="53"/>
  <c r="G134" i="57"/>
  <c r="H125" i="53"/>
  <c r="F256" i="53"/>
  <c r="D230" i="53"/>
  <c r="D290" i="53"/>
  <c r="H351" i="53"/>
  <c r="D352" i="53"/>
  <c r="F354" i="53"/>
  <c r="H243" i="53"/>
  <c r="G218" i="57"/>
  <c r="F140" i="53"/>
  <c r="F245" i="53"/>
  <c r="G321" i="53"/>
  <c r="G381" i="53"/>
  <c r="E237" i="53"/>
  <c r="D247" i="53"/>
  <c r="F249" i="53"/>
  <c r="H474" i="53"/>
  <c r="D142" i="53"/>
  <c r="E153" i="53"/>
  <c r="H556" i="53"/>
  <c r="H169" i="53"/>
  <c r="G594" i="53"/>
  <c r="F485" i="53"/>
  <c r="D222" i="53"/>
  <c r="E286" i="53"/>
  <c r="E246" i="53"/>
  <c r="G342" i="53"/>
  <c r="D555" i="53"/>
  <c r="H214" i="53"/>
  <c r="H554" i="53"/>
  <c r="G389" i="53"/>
  <c r="E432" i="53"/>
  <c r="D179" i="53"/>
  <c r="H300" i="53"/>
  <c r="H285" i="53"/>
  <c r="F447" i="53"/>
  <c r="H284" i="53"/>
  <c r="E277" i="53"/>
  <c r="D312" i="53"/>
  <c r="D558" i="53"/>
  <c r="H269" i="53"/>
  <c r="H256" i="53"/>
  <c r="H343" i="53"/>
  <c r="G263" i="53"/>
  <c r="E223" i="53"/>
  <c r="D259" i="53"/>
  <c r="D495" i="53"/>
  <c r="G410" i="53"/>
  <c r="E443" i="53"/>
  <c r="H564" i="53"/>
  <c r="H257" i="53"/>
  <c r="E510" i="53"/>
  <c r="F588" i="53"/>
  <c r="G369" i="53"/>
  <c r="F286" i="53"/>
  <c r="D435" i="53"/>
  <c r="D394" i="53"/>
  <c r="F440" i="53"/>
  <c r="F404" i="53"/>
  <c r="D376" i="53"/>
  <c r="E555" i="53"/>
  <c r="G510" i="53"/>
  <c r="D515" i="53"/>
  <c r="D431" i="53"/>
  <c r="H583" i="53"/>
  <c r="H433" i="53"/>
  <c r="D436" i="53"/>
  <c r="F379" i="53"/>
  <c r="D417" i="53"/>
  <c r="G338" i="53"/>
  <c r="F536" i="53"/>
  <c r="H268" i="53"/>
  <c r="G422" i="53"/>
  <c r="H590" i="53"/>
  <c r="H430" i="53"/>
  <c r="E378" i="53"/>
  <c r="F526" i="53"/>
  <c r="D317" i="53"/>
  <c r="H391" i="53"/>
  <c r="H412" i="53"/>
  <c r="H598" i="53"/>
  <c r="F570" i="53"/>
  <c r="D513" i="53"/>
  <c r="F432" i="53"/>
  <c r="G417" i="53"/>
  <c r="D421" i="53"/>
  <c r="H512" i="53"/>
  <c r="H63" i="53"/>
  <c r="E434" i="53"/>
  <c r="G479" i="53"/>
  <c r="H565" i="53"/>
  <c r="E346" i="53"/>
  <c r="G420" i="53"/>
  <c r="F480" i="53"/>
  <c r="E460" i="53"/>
  <c r="D476" i="53"/>
  <c r="F259" i="53"/>
  <c r="H447" i="53"/>
  <c r="H114" i="53"/>
  <c r="F537" i="53"/>
  <c r="H135" i="53"/>
  <c r="D40" i="53"/>
  <c r="F587" i="53"/>
  <c r="G150" i="53"/>
  <c r="F335" i="53"/>
  <c r="E214" i="53"/>
  <c r="F521" i="53"/>
  <c r="F225" i="53"/>
  <c r="F405" i="53"/>
  <c r="E525" i="53"/>
  <c r="D301" i="53"/>
  <c r="D170" i="53"/>
  <c r="G277" i="53"/>
  <c r="E579" i="53"/>
  <c r="D227" i="53"/>
  <c r="G225" i="53"/>
  <c r="F401" i="53"/>
  <c r="H456" i="53"/>
  <c r="F402" i="53"/>
  <c r="G308" i="53"/>
  <c r="H553" i="53"/>
  <c r="F307" i="53"/>
  <c r="H277" i="53"/>
  <c r="E298" i="53"/>
  <c r="G555" i="53"/>
  <c r="D189" i="57"/>
  <c r="E387" i="53"/>
  <c r="F271" i="53"/>
  <c r="F281" i="53"/>
  <c r="E556" i="53"/>
  <c r="E563" i="53"/>
  <c r="H340" i="53"/>
  <c r="D428" i="53"/>
  <c r="G450" i="53"/>
  <c r="E559" i="53"/>
  <c r="D377" i="53"/>
  <c r="D257" i="53"/>
  <c r="G509" i="53"/>
  <c r="D221" i="53"/>
  <c r="H346" i="53"/>
  <c r="G511" i="53"/>
  <c r="H518" i="53"/>
  <c r="G518" i="53"/>
  <c r="F465" i="53"/>
  <c r="F455" i="53"/>
  <c r="G264" i="53"/>
  <c r="G551" i="53"/>
  <c r="H557" i="53"/>
  <c r="H309" i="53"/>
  <c r="E585" i="53"/>
  <c r="H449" i="53"/>
  <c r="E419" i="53"/>
  <c r="H567" i="53"/>
  <c r="E418" i="53"/>
  <c r="D237" i="53"/>
  <c r="H228" i="53"/>
  <c r="E462" i="53"/>
  <c r="D490" i="53"/>
  <c r="G276" i="53"/>
  <c r="H523" i="53"/>
  <c r="D327" i="53"/>
  <c r="E495" i="53"/>
  <c r="F572" i="53"/>
  <c r="E530" i="53"/>
  <c r="E470" i="53"/>
  <c r="G230" i="53"/>
  <c r="D599" i="53"/>
  <c r="D598" i="53"/>
  <c r="G465" i="53"/>
  <c r="G145" i="53"/>
  <c r="E452" i="53"/>
  <c r="E427" i="53"/>
  <c r="F566" i="53"/>
  <c r="E426" i="53"/>
  <c r="D500" i="53"/>
  <c r="E384" i="53"/>
  <c r="F590" i="53"/>
  <c r="F548" i="53"/>
  <c r="F97" i="53"/>
  <c r="H535" i="53"/>
  <c r="F507" i="53"/>
  <c r="G283" i="53"/>
  <c r="D43" i="53"/>
  <c r="H44" i="53"/>
  <c r="H390" i="53"/>
  <c r="D334" i="53"/>
  <c r="F445" i="53"/>
  <c r="G392" i="53"/>
  <c r="H466" i="53"/>
  <c r="D480" i="53"/>
  <c r="E280" i="53"/>
  <c r="E368" i="53"/>
  <c r="H400" i="53"/>
  <c r="D441" i="53"/>
  <c r="F231" i="53"/>
  <c r="F248" i="53"/>
  <c r="H480" i="53"/>
  <c r="E529" i="53"/>
  <c r="D214" i="53"/>
  <c r="E335" i="53"/>
  <c r="G457" i="53"/>
  <c r="H529" i="53"/>
  <c r="E333" i="53"/>
  <c r="E256" i="53"/>
  <c r="D293" i="53"/>
  <c r="H402" i="53"/>
  <c r="D246" i="53"/>
  <c r="E363" i="53"/>
  <c r="G440" i="53"/>
  <c r="H549" i="53"/>
  <c r="E382" i="53"/>
  <c r="H451" i="53"/>
  <c r="D534" i="53"/>
  <c r="D505" i="53"/>
  <c r="E344" i="53"/>
  <c r="G468" i="53"/>
  <c r="F545" i="53"/>
  <c r="F276" i="53"/>
  <c r="E453" i="53"/>
  <c r="G490" i="53"/>
  <c r="G461" i="53"/>
  <c r="F430" i="53"/>
  <c r="D468" i="53"/>
  <c r="G407" i="53"/>
  <c r="G585" i="53"/>
  <c r="D507" i="53"/>
  <c r="E519" i="53"/>
  <c r="G517" i="53"/>
  <c r="F583" i="53"/>
  <c r="D88" i="53"/>
  <c r="E567" i="53"/>
  <c r="F563" i="53"/>
  <c r="E508" i="53"/>
  <c r="G497" i="53"/>
  <c r="G523" i="53"/>
  <c r="D315" i="53"/>
  <c r="F377" i="53"/>
  <c r="E403" i="53"/>
  <c r="H511" i="53"/>
  <c r="G474" i="53"/>
  <c r="F421" i="53"/>
  <c r="E565" i="53"/>
  <c r="G357" i="53"/>
  <c r="F486" i="53"/>
  <c r="E416" i="53"/>
  <c r="G459" i="53"/>
  <c r="F323" i="53"/>
  <c r="E315" i="53"/>
  <c r="D408" i="53"/>
  <c r="D574" i="53"/>
  <c r="F458" i="53"/>
  <c r="G600" i="53"/>
  <c r="H525" i="53"/>
  <c r="H452" i="53"/>
  <c r="H218" i="53"/>
  <c r="D486" i="53"/>
  <c r="G562" i="53"/>
  <c r="H249" i="53"/>
  <c r="E283" i="53"/>
  <c r="H570" i="53"/>
  <c r="G533" i="53"/>
  <c r="E108" i="53"/>
  <c r="E17" i="53"/>
  <c r="D137" i="53"/>
  <c r="G214" i="53"/>
  <c r="H405" i="53"/>
  <c r="F449" i="53"/>
  <c r="F251" i="53"/>
  <c r="E566" i="53"/>
  <c r="E226" i="53"/>
  <c r="H389" i="53"/>
  <c r="D223" i="53"/>
  <c r="D248" i="53"/>
  <c r="H485" i="53"/>
  <c r="F236" i="53"/>
  <c r="E340" i="53"/>
  <c r="E494" i="53"/>
  <c r="D444" i="53"/>
  <c r="D241" i="53"/>
  <c r="D228" i="53"/>
  <c r="H409" i="53"/>
  <c r="H502" i="53"/>
  <c r="E398" i="53"/>
  <c r="G345" i="53"/>
  <c r="F527" i="53"/>
  <c r="G268" i="53"/>
  <c r="E249" i="53"/>
  <c r="E392" i="53"/>
  <c r="F460" i="53"/>
  <c r="D509" i="53"/>
  <c r="F490" i="53"/>
  <c r="G552" i="53"/>
  <c r="F565" i="53"/>
  <c r="E372" i="53"/>
  <c r="H422" i="53"/>
  <c r="D233" i="53"/>
  <c r="E433" i="53"/>
  <c r="F396" i="53"/>
  <c r="G582" i="53"/>
  <c r="H319" i="53"/>
  <c r="H562" i="53"/>
  <c r="G507" i="53"/>
  <c r="D350" i="53"/>
  <c r="G593" i="53"/>
  <c r="F554" i="53"/>
  <c r="D375" i="53"/>
  <c r="G231" i="53"/>
  <c r="F471" i="53"/>
  <c r="G550" i="53"/>
  <c r="F167" i="53"/>
  <c r="G574" i="53"/>
  <c r="F562" i="53"/>
  <c r="G460" i="53"/>
  <c r="G567" i="53"/>
  <c r="E435" i="53"/>
  <c r="E538" i="53"/>
  <c r="G503" i="53"/>
  <c r="H490" i="53"/>
  <c r="E394" i="53"/>
  <c r="F558" i="53"/>
  <c r="D448" i="53"/>
  <c r="H338" i="53"/>
  <c r="D459" i="53"/>
  <c r="H378" i="53"/>
  <c r="D373" i="53"/>
  <c r="D491" i="53"/>
  <c r="D538" i="53"/>
  <c r="G314" i="53"/>
  <c r="H593" i="53"/>
  <c r="H520" i="53"/>
  <c r="D240" i="53"/>
  <c r="E355" i="53"/>
  <c r="G481" i="53"/>
  <c r="H426" i="53"/>
  <c r="D358" i="53"/>
  <c r="F349" i="53"/>
  <c r="F522" i="53"/>
  <c r="E520" i="53"/>
  <c r="E436" i="53"/>
  <c r="F495" i="53"/>
  <c r="D533" i="53"/>
  <c r="E420" i="53"/>
  <c r="G423" i="53"/>
  <c r="D412" i="53"/>
  <c r="D60" i="53"/>
  <c r="D522" i="53"/>
  <c r="F141" i="53"/>
  <c r="H589" i="53"/>
  <c r="D460" i="53"/>
  <c r="E303" i="53"/>
  <c r="H516" i="53"/>
  <c r="F496" i="53"/>
  <c r="D343" i="53"/>
  <c r="H283" i="53"/>
  <c r="F310" i="53"/>
  <c r="E222" i="53"/>
  <c r="H384" i="53"/>
  <c r="F308" i="53"/>
  <c r="H506" i="53"/>
  <c r="F516" i="53"/>
  <c r="H366" i="53"/>
  <c r="D502" i="53"/>
  <c r="F312" i="53"/>
  <c r="D249" i="53"/>
  <c r="D366" i="53"/>
  <c r="H526" i="53"/>
  <c r="H208" i="53"/>
  <c r="F277" i="53"/>
  <c r="G439" i="53"/>
  <c r="H328" i="53"/>
  <c r="H320" i="53"/>
  <c r="F274" i="53"/>
  <c r="G224" i="53"/>
  <c r="F384" i="53"/>
  <c r="D592" i="53"/>
  <c r="F560" i="53"/>
  <c r="H533" i="53"/>
  <c r="H505" i="53"/>
  <c r="H404" i="53"/>
  <c r="E486" i="53"/>
  <c r="G386" i="53"/>
  <c r="D387" i="53"/>
  <c r="F551" i="53"/>
  <c r="F561" i="53"/>
  <c r="H266" i="53"/>
  <c r="E329" i="53"/>
  <c r="D539" i="53"/>
  <c r="E569" i="53"/>
  <c r="H291" i="53"/>
  <c r="H513" i="53"/>
  <c r="F433" i="53"/>
  <c r="H434" i="53"/>
  <c r="D396" i="53"/>
  <c r="F510" i="53"/>
  <c r="F467" i="53"/>
  <c r="G584" i="53"/>
  <c r="H521" i="53"/>
  <c r="D389" i="53"/>
  <c r="F348" i="53"/>
  <c r="F512" i="53"/>
  <c r="F428" i="53"/>
  <c r="D456" i="53"/>
  <c r="E522" i="53"/>
  <c r="E438" i="53"/>
  <c r="E598" i="53"/>
  <c r="H414" i="53"/>
  <c r="D537" i="53"/>
  <c r="H302" i="53"/>
  <c r="F228" i="53"/>
  <c r="E425" i="53"/>
  <c r="F431" i="53"/>
  <c r="H444" i="53"/>
  <c r="H547" i="53"/>
  <c r="D575" i="53"/>
  <c r="G471" i="53"/>
  <c r="E490" i="53"/>
  <c r="E454" i="53"/>
  <c r="F441" i="53"/>
  <c r="E600" i="53"/>
  <c r="H541" i="53"/>
  <c r="H482" i="53"/>
  <c r="D482" i="53"/>
  <c r="G484" i="53"/>
  <c r="D232" i="53"/>
  <c r="H510" i="53"/>
  <c r="G489" i="53"/>
  <c r="H95" i="53"/>
  <c r="E161" i="53"/>
  <c r="D36" i="53"/>
  <c r="H548" i="53"/>
  <c r="E422" i="53"/>
  <c r="H68" i="53"/>
  <c r="F261" i="57"/>
  <c r="F314" i="53"/>
  <c r="H440" i="53"/>
  <c r="E381" i="53"/>
  <c r="E437" i="53"/>
  <c r="D443" i="53"/>
  <c r="D430" i="53"/>
  <c r="G279" i="53"/>
  <c r="H311" i="53"/>
  <c r="G547" i="53"/>
  <c r="H531" i="53"/>
  <c r="G275" i="53"/>
  <c r="E395" i="53"/>
  <c r="F529" i="53"/>
  <c r="H537" i="53"/>
  <c r="G329" i="53"/>
  <c r="H316" i="53"/>
  <c r="G581" i="53"/>
  <c r="E294" i="53"/>
  <c r="D364" i="53"/>
  <c r="E276" i="53"/>
  <c r="G558" i="53"/>
  <c r="G298" i="53"/>
  <c r="H334" i="53"/>
  <c r="F374" i="53"/>
  <c r="H563" i="53"/>
  <c r="D305" i="53"/>
  <c r="D461" i="53"/>
  <c r="D529" i="53"/>
  <c r="H345" i="53"/>
  <c r="H432" i="53"/>
  <c r="D504" i="53"/>
  <c r="F542" i="53"/>
  <c r="E389" i="53"/>
  <c r="F499" i="53"/>
  <c r="G138" i="53"/>
  <c r="G526" i="53"/>
  <c r="E513" i="53"/>
  <c r="F336" i="53"/>
  <c r="H538" i="53"/>
  <c r="G374" i="53"/>
  <c r="G504" i="53"/>
  <c r="H443" i="53"/>
  <c r="D462" i="53"/>
  <c r="H261" i="53"/>
  <c r="H498" i="53"/>
  <c r="D454" i="53"/>
  <c r="F564" i="53"/>
  <c r="H566" i="53"/>
  <c r="F568" i="53"/>
  <c r="D521" i="53"/>
  <c r="E484" i="53"/>
  <c r="G242" i="53"/>
  <c r="D589" i="53"/>
  <c r="H592" i="53"/>
  <c r="G597" i="53"/>
  <c r="H326" i="53"/>
  <c r="D571" i="53"/>
  <c r="G470" i="53"/>
  <c r="D424" i="53"/>
  <c r="E541" i="53"/>
  <c r="E457" i="53"/>
  <c r="F513" i="53"/>
  <c r="D551" i="53"/>
  <c r="D467" i="53"/>
  <c r="F482" i="53"/>
  <c r="F503" i="53"/>
  <c r="E450" i="53"/>
  <c r="E348" i="53"/>
  <c r="H247" i="53"/>
  <c r="H152" i="53"/>
  <c r="H126" i="53"/>
  <c r="G506" i="53"/>
  <c r="F596" i="53"/>
  <c r="H109" i="53"/>
  <c r="G496" i="53"/>
  <c r="E357" i="53"/>
  <c r="E401" i="53"/>
  <c r="D559" i="53"/>
  <c r="F393" i="53"/>
  <c r="H308" i="53"/>
  <c r="F535" i="53"/>
  <c r="D543" i="53"/>
  <c r="F371" i="53"/>
  <c r="H329" i="53"/>
  <c r="E496" i="53"/>
  <c r="F557" i="53"/>
  <c r="G340" i="53"/>
  <c r="D288" i="53"/>
  <c r="H469" i="53"/>
  <c r="D340" i="53"/>
  <c r="H227" i="53"/>
  <c r="F437" i="53"/>
  <c r="G372" i="53"/>
  <c r="H296" i="53"/>
  <c r="H397" i="53"/>
  <c r="H585" i="53"/>
  <c r="E554" i="53"/>
  <c r="D362" i="53"/>
  <c r="E366" i="53"/>
  <c r="F468" i="53"/>
  <c r="H230" i="53"/>
  <c r="G416" i="53"/>
  <c r="D594" i="53"/>
  <c r="E341" i="53"/>
  <c r="H478" i="53"/>
  <c r="H481" i="53"/>
  <c r="D457" i="53"/>
  <c r="D463" i="53"/>
  <c r="G309" i="53"/>
  <c r="F451" i="53"/>
  <c r="D527" i="53"/>
  <c r="D544" i="53"/>
  <c r="H465" i="53"/>
  <c r="D586" i="53"/>
  <c r="E570" i="53"/>
  <c r="G483" i="53"/>
  <c r="F365" i="53"/>
  <c r="E312" i="53"/>
  <c r="F493" i="53"/>
  <c r="H403" i="53"/>
  <c r="D548" i="53"/>
  <c r="F293" i="53"/>
  <c r="H492" i="53"/>
  <c r="D464" i="53"/>
  <c r="F523" i="53"/>
  <c r="F475" i="53"/>
  <c r="H381" i="53"/>
  <c r="G540" i="53"/>
  <c r="G568" i="53"/>
  <c r="G566" i="53"/>
  <c r="H410" i="53"/>
  <c r="F292" i="53"/>
  <c r="F254" i="53"/>
  <c r="F417" i="53"/>
  <c r="E568" i="53"/>
  <c r="G572" i="53"/>
  <c r="H401" i="53"/>
  <c r="G466" i="53"/>
  <c r="F491" i="53"/>
  <c r="G396" i="53"/>
  <c r="H463" i="53"/>
  <c r="D510" i="53"/>
  <c r="H438" i="53"/>
  <c r="D11" i="53"/>
  <c r="H143" i="53"/>
  <c r="E586" i="53"/>
  <c r="G54" i="53"/>
  <c r="E29" i="53"/>
  <c r="E322" i="53"/>
  <c r="E547" i="53"/>
  <c r="F478" i="53"/>
  <c r="G12" i="53"/>
  <c r="E11" i="53"/>
  <c r="F79" i="53"/>
  <c r="F600" i="53"/>
  <c r="E35" i="53"/>
  <c r="E132" i="53"/>
  <c r="E429" i="53"/>
  <c r="G92" i="53"/>
  <c r="G117" i="53"/>
  <c r="F477" i="53"/>
  <c r="E592" i="53"/>
  <c r="G575" i="53"/>
  <c r="H23" i="53"/>
  <c r="H102" i="53"/>
  <c r="G246" i="53"/>
  <c r="D252" i="53"/>
  <c r="E332" i="53"/>
  <c r="D392" i="53"/>
  <c r="E497" i="53"/>
  <c r="F470" i="53"/>
  <c r="E360" i="53"/>
  <c r="F413" i="53"/>
  <c r="G259" i="53"/>
  <c r="D391" i="53"/>
  <c r="G301" i="53"/>
  <c r="H306" i="53"/>
  <c r="G316" i="53"/>
  <c r="E369" i="53"/>
  <c r="E498" i="53"/>
  <c r="D410" i="53"/>
  <c r="G401" i="53"/>
  <c r="E428" i="53"/>
  <c r="D313" i="53"/>
  <c r="D356" i="53"/>
  <c r="E361" i="53"/>
  <c r="H248" i="53"/>
  <c r="D311" i="53"/>
  <c r="E308" i="53"/>
  <c r="G487" i="53"/>
  <c r="D272" i="53"/>
  <c r="G219" i="53"/>
  <c r="D277" i="53"/>
  <c r="G271" i="53"/>
  <c r="D226" i="53"/>
  <c r="D570" i="53"/>
  <c r="F500" i="53"/>
  <c r="E445" i="53"/>
  <c r="H238" i="53"/>
  <c r="D388" i="53"/>
  <c r="E393" i="53"/>
  <c r="D403" i="53"/>
  <c r="F261" i="53"/>
  <c r="G278" i="53"/>
  <c r="D498" i="53"/>
  <c r="H234" i="53"/>
  <c r="G375" i="53"/>
  <c r="E70" i="53"/>
  <c r="H395" i="53"/>
  <c r="F369" i="53"/>
  <c r="H245" i="53"/>
  <c r="G305" i="53"/>
  <c r="E408" i="53"/>
  <c r="H545" i="53"/>
  <c r="G498" i="53"/>
  <c r="D488" i="53"/>
  <c r="E423" i="53"/>
  <c r="F294" i="53"/>
  <c r="E215" i="53"/>
  <c r="F220" i="53"/>
  <c r="E230" i="53"/>
  <c r="H282" i="53"/>
  <c r="F410" i="53"/>
  <c r="G485" i="53"/>
  <c r="G556" i="53"/>
  <c r="G513" i="53"/>
  <c r="H263" i="53"/>
  <c r="G456" i="53"/>
  <c r="D494" i="53"/>
  <c r="F73" i="53"/>
  <c r="H45" i="53"/>
  <c r="H493" i="53"/>
  <c r="D122" i="53"/>
  <c r="D587" i="53"/>
  <c r="F172" i="53"/>
  <c r="G98" i="53"/>
  <c r="G557" i="53"/>
  <c r="G112" i="53"/>
  <c r="F12" i="53"/>
  <c r="H587" i="53"/>
  <c r="G69" i="53"/>
  <c r="G436" i="53"/>
  <c r="E41" i="53"/>
  <c r="G587" i="53"/>
  <c r="F66" i="53"/>
  <c r="H47" i="53"/>
  <c r="F24" i="53"/>
  <c r="G24" i="53"/>
  <c r="E319" i="53"/>
  <c r="G269" i="53"/>
  <c r="H363" i="53"/>
  <c r="D225" i="53"/>
  <c r="D280" i="53"/>
  <c r="E550" i="53"/>
  <c r="D219" i="53"/>
  <c r="F518" i="53"/>
  <c r="D470" i="53"/>
  <c r="H139" i="53"/>
  <c r="D291" i="53"/>
  <c r="H280" i="53"/>
  <c r="D361" i="53"/>
  <c r="F219" i="53"/>
  <c r="D526" i="53"/>
  <c r="G525" i="53"/>
  <c r="E465" i="53"/>
  <c r="H442" i="53"/>
  <c r="F317" i="53"/>
  <c r="G228" i="53"/>
  <c r="F330" i="53"/>
  <c r="G335" i="53"/>
  <c r="F345" i="53"/>
  <c r="D398" i="53"/>
  <c r="F442" i="53"/>
  <c r="G243" i="53"/>
  <c r="F246" i="53"/>
  <c r="F311" i="53"/>
  <c r="F366" i="53"/>
  <c r="G449" i="53"/>
  <c r="G451" i="53"/>
  <c r="E441" i="53"/>
  <c r="G223" i="53"/>
  <c r="D485" i="53"/>
  <c r="H429" i="53"/>
  <c r="E543" i="53"/>
  <c r="H28" i="53"/>
  <c r="E503" i="53"/>
  <c r="D23" i="53"/>
  <c r="G122" i="53"/>
  <c r="F549" i="53"/>
  <c r="D93" i="53"/>
  <c r="G429" i="53"/>
  <c r="D583" i="53"/>
  <c r="D117" i="53"/>
  <c r="E22" i="53"/>
  <c r="F457" i="53"/>
  <c r="E458" i="53"/>
  <c r="D64" i="53"/>
  <c r="H145" i="53"/>
  <c r="D22" i="53"/>
  <c r="D51" i="53"/>
  <c r="F555" i="53"/>
  <c r="E235" i="53"/>
  <c r="E356" i="53"/>
  <c r="G222" i="53"/>
  <c r="G251" i="53"/>
  <c r="H313" i="53"/>
  <c r="D438" i="53"/>
  <c r="G480" i="53"/>
  <c r="E482" i="53"/>
  <c r="F415" i="53"/>
  <c r="H470" i="53"/>
  <c r="E514" i="53"/>
  <c r="E272" i="53"/>
  <c r="F392" i="53"/>
  <c r="H250" i="53"/>
  <c r="E289" i="53"/>
  <c r="D481" i="53"/>
  <c r="E406" i="53"/>
  <c r="E474" i="53"/>
  <c r="D419" i="53"/>
  <c r="D231" i="53"/>
  <c r="D393" i="53"/>
  <c r="H371" i="53"/>
  <c r="D372" i="53"/>
  <c r="F230" i="53"/>
  <c r="F406" i="53"/>
  <c r="H303" i="53"/>
  <c r="D309" i="53"/>
  <c r="D338" i="53"/>
  <c r="E400" i="53"/>
  <c r="F524" i="53"/>
  <c r="E288" i="53"/>
  <c r="E252" i="53"/>
  <c r="H578" i="53"/>
  <c r="F229" i="53"/>
  <c r="G425" i="53"/>
  <c r="G358" i="53"/>
  <c r="H279" i="53"/>
  <c r="E337" i="53"/>
  <c r="G328" i="53"/>
  <c r="D322" i="53"/>
  <c r="F576" i="53"/>
  <c r="G560" i="53"/>
  <c r="F505" i="53"/>
  <c r="H262" i="53"/>
  <c r="E301" i="53"/>
  <c r="D304" i="53"/>
  <c r="D369" i="53"/>
  <c r="F227" i="53"/>
  <c r="F216" i="53"/>
  <c r="D550" i="53"/>
  <c r="H551" i="53"/>
  <c r="H503" i="53"/>
  <c r="G402" i="53"/>
  <c r="D363" i="53"/>
  <c r="F358" i="53"/>
  <c r="D306" i="53"/>
  <c r="F363" i="53"/>
  <c r="E466" i="53"/>
  <c r="G554" i="53"/>
  <c r="D499" i="53"/>
  <c r="F319" i="53"/>
  <c r="G531" i="53"/>
  <c r="E328" i="53"/>
  <c r="D244" i="53"/>
  <c r="H140" i="53"/>
  <c r="F341" i="53"/>
  <c r="D111" i="53"/>
  <c r="G139" i="53"/>
  <c r="E185" i="53"/>
  <c r="H61" i="53"/>
  <c r="F586" i="53"/>
  <c r="G514" i="53"/>
  <c r="E88" i="53"/>
  <c r="E197" i="53"/>
  <c r="F494" i="53"/>
  <c r="D141" i="53"/>
  <c r="F17" i="53"/>
  <c r="H515" i="53"/>
  <c r="H489" i="53"/>
  <c r="H594" i="53"/>
  <c r="F143" i="53"/>
  <c r="G93" i="53"/>
  <c r="D429" i="53"/>
  <c r="E324" i="53"/>
  <c r="E599" i="53"/>
  <c r="E295" i="53"/>
  <c r="H272" i="53"/>
  <c r="D278" i="53"/>
  <c r="H287" i="53"/>
  <c r="F340" i="53"/>
  <c r="F469" i="53"/>
  <c r="G290" i="53"/>
  <c r="H424" i="53"/>
  <c r="H595" i="53"/>
  <c r="D284" i="53"/>
  <c r="E327" i="53"/>
  <c r="F332" i="53"/>
  <c r="D220" i="53"/>
  <c r="E282" i="53"/>
  <c r="E449" i="53"/>
  <c r="G434" i="53"/>
  <c r="F593" i="53"/>
  <c r="D414" i="53"/>
  <c r="H210" i="53"/>
  <c r="G359" i="53"/>
  <c r="E254" i="53"/>
  <c r="H360" i="53"/>
  <c r="E219" i="53"/>
  <c r="H271" i="53"/>
  <c r="H408" i="53"/>
  <c r="E359" i="53"/>
  <c r="F364" i="53"/>
  <c r="E374" i="53"/>
  <c r="G232" i="53"/>
  <c r="H555" i="53"/>
  <c r="E469" i="53"/>
  <c r="G289" i="53"/>
  <c r="D229" i="53"/>
  <c r="H375" i="53"/>
  <c r="E212" i="53"/>
  <c r="H219" i="53"/>
  <c r="F306" i="53"/>
  <c r="G368" i="53"/>
  <c r="E334" i="53"/>
  <c r="H260" i="53"/>
  <c r="G538" i="53"/>
  <c r="D501" i="53"/>
  <c r="H445" i="53"/>
  <c r="H267" i="53"/>
  <c r="F361" i="53"/>
  <c r="F395" i="53"/>
  <c r="G395" i="53"/>
  <c r="D254" i="53"/>
  <c r="H290" i="53"/>
  <c r="D452" i="53"/>
  <c r="F506" i="53"/>
  <c r="E456" i="53"/>
  <c r="F347" i="53"/>
  <c r="D212" i="53"/>
  <c r="E217" i="53"/>
  <c r="F337" i="53"/>
  <c r="H394" i="53"/>
  <c r="F398" i="53"/>
  <c r="F514" i="53"/>
  <c r="D451" i="53"/>
  <c r="H413" i="53"/>
  <c r="D563" i="53"/>
  <c r="G330" i="53"/>
  <c r="G306" i="53"/>
  <c r="F508" i="53"/>
  <c r="H500" i="53"/>
  <c r="D384" i="53"/>
  <c r="G426" i="53"/>
  <c r="F360" i="53"/>
  <c r="H462" i="53"/>
  <c r="D466" i="53"/>
  <c r="G463" i="53"/>
  <c r="H579" i="53"/>
  <c r="F389" i="53"/>
  <c r="D415" i="53"/>
  <c r="H223" i="53"/>
  <c r="E305" i="53"/>
  <c r="H278" i="53"/>
  <c r="H347" i="53"/>
  <c r="G285" i="53"/>
  <c r="F285" i="53"/>
  <c r="G387" i="53"/>
  <c r="E206" i="53"/>
  <c r="D447" i="53"/>
  <c r="F357" i="53"/>
  <c r="D319" i="53"/>
  <c r="G274" i="53"/>
  <c r="D330" i="53"/>
  <c r="D152" i="57"/>
  <c r="E386" i="53"/>
  <c r="E504" i="53"/>
  <c r="F397" i="53"/>
  <c r="H216" i="53"/>
  <c r="E483" i="53"/>
  <c r="D576" i="53"/>
  <c r="F552" i="53"/>
  <c r="D445" i="53"/>
  <c r="E225" i="53"/>
  <c r="D217" i="53"/>
  <c r="F272" i="53"/>
  <c r="G476" i="53"/>
  <c r="D530" i="53"/>
  <c r="D381" i="53"/>
  <c r="D251" i="53"/>
  <c r="F355" i="53"/>
  <c r="G337" i="53"/>
  <c r="G217" i="53"/>
  <c r="H415" i="53"/>
  <c r="E353" i="53"/>
  <c r="G438" i="53"/>
  <c r="E343" i="53"/>
  <c r="E364" i="53"/>
  <c r="D329" i="53"/>
  <c r="E588" i="53"/>
  <c r="D344" i="53"/>
  <c r="G363" i="53"/>
  <c r="F233" i="53"/>
  <c r="D72" i="53"/>
  <c r="E597" i="53"/>
  <c r="H428" i="53"/>
  <c r="F11" i="53"/>
  <c r="E14" i="53"/>
  <c r="G542" i="53"/>
  <c r="D155" i="53"/>
  <c r="H37" i="53"/>
  <c r="D477" i="53"/>
  <c r="D62" i="53"/>
  <c r="D55" i="53"/>
  <c r="D92" i="53"/>
  <c r="C10" i="57"/>
  <c r="B10" i="57"/>
  <c r="G464" i="53"/>
  <c r="G578" i="53"/>
  <c r="G218" i="53"/>
  <c r="H454" i="53"/>
  <c r="F541" i="53"/>
  <c r="F546" i="53"/>
  <c r="G362" i="53"/>
  <c r="H491" i="53"/>
  <c r="G495" i="53"/>
  <c r="G508" i="53"/>
  <c r="G590" i="53"/>
  <c r="H417" i="53"/>
  <c r="E442" i="53"/>
  <c r="G403" i="53"/>
  <c r="D285" i="53"/>
  <c r="H222" i="53"/>
  <c r="F390" i="53"/>
  <c r="H240" i="53"/>
  <c r="E459" i="53"/>
  <c r="E589" i="53"/>
  <c r="H333" i="53"/>
  <c r="F222" i="53"/>
  <c r="G256" i="53"/>
  <c r="G249" i="53"/>
  <c r="E509" i="53"/>
  <c r="E269" i="53"/>
  <c r="G405" i="53"/>
  <c r="G334" i="53"/>
  <c r="G248" i="53"/>
  <c r="H353" i="53"/>
  <c r="G326" i="53"/>
  <c r="E501" i="53"/>
  <c r="D525" i="53"/>
  <c r="H305" i="53"/>
  <c r="H337" i="53"/>
  <c r="F309" i="53"/>
  <c r="D382" i="53"/>
  <c r="G500" i="53"/>
  <c r="E259" i="53"/>
  <c r="G400" i="53"/>
  <c r="D514" i="53"/>
  <c r="E248" i="53"/>
  <c r="E243" i="53"/>
  <c r="G221" i="53"/>
  <c r="D568" i="53"/>
  <c r="H273" i="53"/>
  <c r="H253" i="53"/>
  <c r="D385" i="53"/>
  <c r="F338" i="53"/>
  <c r="G413" i="53"/>
  <c r="G376" i="53"/>
  <c r="E314" i="53"/>
  <c r="H354" i="53"/>
  <c r="D565" i="53"/>
  <c r="H367" i="53"/>
  <c r="F90" i="53"/>
  <c r="D158" i="53"/>
  <c r="H88" i="53"/>
  <c r="G458" i="53"/>
  <c r="E112" i="53"/>
  <c r="F133" i="53"/>
  <c r="G71" i="53"/>
  <c r="H461" i="53"/>
  <c r="F223" i="53"/>
  <c r="F569" i="53"/>
  <c r="H580" i="53"/>
  <c r="H455" i="53"/>
  <c r="D472" i="53"/>
  <c r="D274" i="53"/>
  <c r="E532" i="53"/>
  <c r="H379" i="53"/>
  <c r="F462" i="53"/>
  <c r="F326" i="53"/>
  <c r="G516" i="53"/>
  <c r="E251" i="53"/>
  <c r="H392" i="53"/>
  <c r="D335" i="53"/>
  <c r="D336" i="53"/>
  <c r="G559" i="53"/>
  <c r="F343" i="53"/>
  <c r="F438" i="53"/>
  <c r="F334" i="53"/>
  <c r="G361" i="53"/>
  <c r="E385" i="53"/>
  <c r="F318" i="53"/>
  <c r="H439" i="53"/>
  <c r="F269" i="53"/>
  <c r="F387" i="53"/>
  <c r="E270" i="53"/>
  <c r="E461" i="53"/>
  <c r="D600" i="53"/>
  <c r="E553" i="53"/>
  <c r="H276" i="53"/>
  <c r="E275" i="53"/>
  <c r="H324" i="53"/>
  <c r="E472" i="53"/>
  <c r="D318" i="53"/>
  <c r="H339" i="53"/>
  <c r="D390" i="53"/>
  <c r="F344" i="53"/>
  <c r="E309" i="53"/>
  <c r="D275" i="53"/>
  <c r="H487" i="53"/>
  <c r="E293" i="53"/>
  <c r="D243" i="53"/>
  <c r="D332" i="53"/>
  <c r="E273" i="53"/>
  <c r="G307" i="53"/>
  <c r="E596" i="53"/>
  <c r="F253" i="53"/>
  <c r="G303" i="53"/>
  <c r="F207" i="53"/>
  <c r="F98" i="53"/>
  <c r="G565" i="53"/>
  <c r="D67" i="53"/>
  <c r="G592" i="53"/>
  <c r="E38" i="53"/>
  <c r="G539" i="53"/>
  <c r="H496" i="53"/>
  <c r="G128" i="53"/>
  <c r="E587" i="53"/>
  <c r="G42" i="53"/>
  <c r="E72" i="53"/>
  <c r="E83" i="53"/>
  <c r="E122" i="53"/>
  <c r="H50" i="53"/>
  <c r="F47" i="53"/>
  <c r="B53" i="53"/>
  <c r="G529" i="53"/>
  <c r="E446" i="53"/>
  <c r="H138" i="53"/>
  <c r="B113" i="53"/>
  <c r="H92" i="53"/>
  <c r="G172" i="53"/>
  <c r="H574" i="53"/>
  <c r="E177" i="53"/>
  <c r="D341" i="53"/>
  <c r="F295" i="53"/>
  <c r="H350" i="53"/>
  <c r="G398" i="53"/>
  <c r="G411" i="53"/>
  <c r="G418" i="53"/>
  <c r="H436" i="53"/>
  <c r="D520" i="53"/>
  <c r="H416" i="53"/>
  <c r="E264" i="53"/>
  <c r="E36" i="53"/>
  <c r="G38" i="53"/>
  <c r="F129" i="53"/>
  <c r="F64" i="53"/>
  <c r="E155" i="53"/>
  <c r="H75" i="53"/>
  <c r="G502" i="53"/>
  <c r="E370" i="53"/>
  <c r="G536" i="53"/>
  <c r="D465" i="53"/>
  <c r="E182" i="53"/>
  <c r="E117" i="53"/>
  <c r="E28" i="53"/>
  <c r="H99" i="53"/>
  <c r="G443" i="53"/>
  <c r="G589" i="53"/>
  <c r="G409" i="53"/>
  <c r="E113" i="53"/>
  <c r="E103" i="53"/>
  <c r="G312" i="53"/>
  <c r="F436" i="53"/>
  <c r="E240" i="53"/>
  <c r="G187" i="53"/>
  <c r="H69" i="53"/>
  <c r="F189" i="53"/>
  <c r="F124" i="53"/>
  <c r="E64" i="53"/>
  <c r="D107" i="53"/>
  <c r="G442" i="53"/>
  <c r="E481" i="53"/>
  <c r="F559" i="53"/>
  <c r="G144" i="53"/>
  <c r="D125" i="53"/>
  <c r="G33" i="53"/>
  <c r="H150" i="53"/>
  <c r="G90" i="53"/>
  <c r="G13" i="53"/>
  <c r="E512" i="53"/>
  <c r="G441" i="53"/>
  <c r="G583" i="53"/>
  <c r="G455" i="53"/>
  <c r="F86" i="53"/>
  <c r="G40" i="53"/>
  <c r="G114" i="53"/>
  <c r="G37" i="53"/>
  <c r="E590" i="53"/>
  <c r="E561" i="53"/>
  <c r="F547" i="53"/>
  <c r="G199" i="53"/>
  <c r="G343" i="53"/>
  <c r="D250" i="53"/>
  <c r="C524" i="53"/>
  <c r="H591" i="53"/>
  <c r="D69" i="53"/>
  <c r="D110" i="53"/>
  <c r="C135" i="53"/>
  <c r="E53" i="53"/>
  <c r="E552" i="53"/>
  <c r="F70" i="53"/>
  <c r="B44" i="53"/>
  <c r="F13" i="53"/>
  <c r="F55" i="53"/>
  <c r="G25" i="53"/>
  <c r="G15" i="53"/>
  <c r="F553" i="53"/>
  <c r="G478" i="53"/>
  <c r="F483" i="53"/>
  <c r="E488" i="53"/>
  <c r="D493" i="53"/>
  <c r="D47" i="53"/>
  <c r="G20" i="53"/>
  <c r="D566" i="53"/>
  <c r="E505" i="53"/>
  <c r="F489" i="53"/>
  <c r="G127" i="53"/>
  <c r="D130" i="53"/>
  <c r="E12" i="53"/>
  <c r="H131" i="53"/>
  <c r="H66" i="53"/>
  <c r="G157" i="53"/>
  <c r="F49" i="53"/>
  <c r="D569" i="53"/>
  <c r="F481" i="53"/>
  <c r="G360" i="53"/>
  <c r="D65" i="53"/>
  <c r="G184" i="53"/>
  <c r="H90" i="53"/>
  <c r="G30" i="53"/>
  <c r="E102" i="53"/>
  <c r="H448" i="53"/>
  <c r="D532" i="53"/>
  <c r="G486" i="53"/>
  <c r="C410" i="53"/>
  <c r="F424" i="53"/>
  <c r="H62" i="53"/>
  <c r="E54" i="53"/>
  <c r="E60" i="53"/>
  <c r="C468" i="53"/>
  <c r="G131" i="53"/>
  <c r="F85" i="53"/>
  <c r="E171" i="53"/>
  <c r="C597" i="53"/>
  <c r="D425" i="53"/>
  <c r="G469" i="53"/>
  <c r="D105" i="53"/>
  <c r="D135" i="53"/>
  <c r="E476" i="53"/>
  <c r="E66" i="53"/>
  <c r="H39" i="53"/>
  <c r="E42" i="53"/>
  <c r="F126" i="53"/>
  <c r="H128" i="53"/>
  <c r="F102" i="53"/>
  <c r="F18" i="53"/>
  <c r="D450" i="53"/>
  <c r="F530" i="53"/>
  <c r="H588" i="53"/>
  <c r="D596" i="53"/>
  <c r="G103" i="53"/>
  <c r="G14" i="53"/>
  <c r="E134" i="53"/>
  <c r="E69" i="53"/>
  <c r="E131" i="53"/>
  <c r="F597" i="53"/>
  <c r="E473" i="53"/>
  <c r="H576" i="53"/>
  <c r="F156" i="53"/>
  <c r="F67" i="53"/>
  <c r="E158" i="53"/>
  <c r="E93" i="53"/>
  <c r="D33" i="53"/>
  <c r="G104" i="53"/>
  <c r="D298" i="53"/>
  <c r="D511" i="53"/>
  <c r="H55" i="53"/>
  <c r="E377" i="53"/>
  <c r="E537" i="53"/>
  <c r="H488" i="53"/>
  <c r="G419" i="53"/>
  <c r="F391" i="53"/>
  <c r="G163" i="53"/>
  <c r="G74" i="53"/>
  <c r="D12" i="53"/>
  <c r="F100" i="53"/>
  <c r="H104" i="53"/>
  <c r="D423" i="53"/>
  <c r="E575" i="53"/>
  <c r="E492" i="53"/>
  <c r="D523" i="53"/>
  <c r="D190" i="53"/>
  <c r="D101" i="53"/>
  <c r="F38" i="53"/>
  <c r="G155" i="53"/>
  <c r="G66" i="53"/>
  <c r="H51" i="53"/>
  <c r="G512" i="53"/>
  <c r="F429" i="53"/>
  <c r="D39" i="53"/>
  <c r="H14" i="53"/>
  <c r="F62" i="53"/>
  <c r="G16" i="53"/>
  <c r="F119" i="53"/>
  <c r="F42" i="53"/>
  <c r="G561" i="53"/>
  <c r="D536" i="53"/>
  <c r="G286" i="53"/>
  <c r="H561" i="53"/>
  <c r="E115" i="53"/>
  <c r="F69" i="53"/>
  <c r="G118" i="53"/>
  <c r="G563" i="53"/>
  <c r="G151" i="53"/>
  <c r="C487" i="53"/>
  <c r="F139" i="53"/>
  <c r="F120" i="53"/>
  <c r="H41" i="53"/>
  <c r="C569" i="53"/>
  <c r="E142" i="53"/>
  <c r="E114" i="53"/>
  <c r="H117" i="53"/>
  <c r="H476" i="53"/>
  <c r="F584" i="53"/>
  <c r="D148" i="53"/>
  <c r="G121" i="53"/>
  <c r="G35" i="53"/>
  <c r="D38" i="53"/>
  <c r="F40" i="53"/>
  <c r="D14" i="53"/>
  <c r="H97" i="53"/>
  <c r="D263" i="53"/>
  <c r="G527" i="53"/>
  <c r="G532" i="53"/>
  <c r="G501" i="53"/>
  <c r="F598" i="53"/>
  <c r="D106" i="53"/>
  <c r="D17" i="53"/>
  <c r="G136" i="53"/>
  <c r="H42" i="53"/>
  <c r="E47" i="53"/>
  <c r="G467" i="53"/>
  <c r="H540" i="53"/>
  <c r="D496" i="53"/>
  <c r="H158" i="53"/>
  <c r="D41" i="53"/>
  <c r="G160" i="53"/>
  <c r="G95" i="53"/>
  <c r="F35" i="53"/>
  <c r="E78" i="53"/>
  <c r="F599" i="53"/>
  <c r="G149" i="53"/>
  <c r="F509" i="53"/>
  <c r="F23" i="53"/>
  <c r="G152" i="53"/>
  <c r="G493" i="53"/>
  <c r="G430" i="53"/>
  <c r="D411" i="53"/>
  <c r="D166" i="53"/>
  <c r="D77" i="53"/>
  <c r="H167" i="53"/>
  <c r="F16" i="53"/>
  <c r="G546" i="53"/>
  <c r="G580" i="53"/>
  <c r="D541" i="53"/>
  <c r="D497" i="53"/>
  <c r="E527" i="53"/>
  <c r="F192" i="53"/>
  <c r="F103" i="53"/>
  <c r="H40" i="53"/>
  <c r="E129" i="53"/>
  <c r="G133" i="53"/>
  <c r="D426" i="53"/>
  <c r="E548" i="53"/>
  <c r="H586" i="53"/>
  <c r="F41" i="53"/>
  <c r="F127" i="53"/>
  <c r="H64" i="53"/>
  <c r="D19" i="53"/>
  <c r="H121" i="53"/>
  <c r="D16" i="53"/>
  <c r="H331" i="53"/>
  <c r="D446" i="53"/>
  <c r="E439" i="53"/>
  <c r="C469" i="53"/>
  <c r="B569" i="53"/>
  <c r="F107" i="53"/>
  <c r="D516" i="53"/>
  <c r="F163" i="53"/>
  <c r="B526" i="53"/>
  <c r="F113" i="53"/>
  <c r="F149" i="53"/>
  <c r="D149" i="53"/>
  <c r="C589" i="53"/>
  <c r="E140" i="53"/>
  <c r="G107" i="53"/>
  <c r="E209" i="53"/>
  <c r="G573" i="53"/>
  <c r="F591" i="53"/>
  <c r="G59" i="53"/>
  <c r="G100" i="53"/>
  <c r="D103" i="53"/>
  <c r="F105" i="53"/>
  <c r="H107" i="53"/>
  <c r="F81" i="53"/>
  <c r="F160" i="53"/>
  <c r="H509" i="53"/>
  <c r="D420" i="53"/>
  <c r="D95" i="53"/>
  <c r="H536" i="53"/>
  <c r="E511" i="53"/>
  <c r="D238" i="53"/>
  <c r="F108" i="53"/>
  <c r="F19" i="53"/>
  <c r="E110" i="53"/>
  <c r="G126" i="53"/>
  <c r="H321" i="53"/>
  <c r="D582" i="53"/>
  <c r="G577" i="53"/>
  <c r="G505" i="53"/>
  <c r="F132" i="53"/>
  <c r="F43" i="53"/>
  <c r="D163" i="53"/>
  <c r="D98" i="53"/>
  <c r="D160" i="53"/>
  <c r="G569" i="53"/>
  <c r="E581" i="53"/>
  <c r="G324" i="53"/>
  <c r="G143" i="53"/>
  <c r="F83" i="53"/>
  <c r="E126" i="53"/>
  <c r="F498" i="53"/>
  <c r="H441" i="53"/>
  <c r="F423" i="53"/>
  <c r="F168" i="53"/>
  <c r="G50" i="53"/>
  <c r="H83" i="53"/>
  <c r="G384" i="53"/>
  <c r="E52" i="53"/>
  <c r="H32" i="53"/>
  <c r="D545" i="53"/>
  <c r="H501" i="53"/>
  <c r="E531" i="53"/>
  <c r="H194" i="53"/>
  <c r="H105" i="53"/>
  <c r="F14" i="53"/>
  <c r="E45" i="53"/>
  <c r="F502" i="53"/>
  <c r="H398" i="53"/>
  <c r="G544" i="53"/>
  <c r="G591" i="53"/>
  <c r="D15" i="53"/>
  <c r="H129" i="53"/>
  <c r="E67" i="53"/>
  <c r="F21" i="53"/>
  <c r="F95" i="53"/>
  <c r="G80" i="53"/>
  <c r="D453" i="53"/>
  <c r="G491" i="53"/>
  <c r="G367" i="53"/>
  <c r="G43" i="53"/>
  <c r="E91" i="53"/>
  <c r="F45" i="53"/>
  <c r="E148" i="53"/>
  <c r="E71" i="53"/>
  <c r="D595" i="53"/>
  <c r="C520" i="53"/>
  <c r="G31" i="53"/>
  <c r="B571" i="53"/>
  <c r="F138" i="53"/>
  <c r="D188" i="53"/>
  <c r="G598" i="53"/>
  <c r="F76" i="53"/>
  <c r="H477" i="53"/>
  <c r="F206" i="53"/>
  <c r="G524" i="53"/>
  <c r="H111" i="53"/>
  <c r="H57" i="53"/>
  <c r="D200" i="53"/>
  <c r="F589" i="53"/>
  <c r="H98" i="53"/>
  <c r="E101" i="53"/>
  <c r="H74" i="53"/>
  <c r="E77" i="53"/>
  <c r="G79" i="53"/>
  <c r="D82" i="53"/>
  <c r="G55" i="53"/>
  <c r="D202" i="53"/>
  <c r="F582" i="53"/>
  <c r="D86" i="53"/>
  <c r="F88" i="53"/>
  <c r="F150" i="53"/>
  <c r="D71" i="53"/>
  <c r="D553" i="53"/>
  <c r="H527" i="53"/>
  <c r="E518" i="53"/>
  <c r="F84" i="53"/>
  <c r="F74" i="53"/>
  <c r="D267" i="53"/>
  <c r="H116" i="53"/>
  <c r="H123" i="53"/>
  <c r="H431" i="53"/>
  <c r="H584" i="53"/>
  <c r="G530" i="53"/>
  <c r="E137" i="53"/>
  <c r="E48" i="53"/>
  <c r="D139" i="53"/>
  <c r="F155" i="53"/>
  <c r="H421" i="53"/>
  <c r="G521" i="53"/>
  <c r="H93" i="53"/>
  <c r="E31" i="53"/>
  <c r="G119" i="53"/>
  <c r="F59" i="53"/>
  <c r="D131" i="53"/>
  <c r="D508" i="53"/>
  <c r="F594" i="53"/>
  <c r="D269" i="53"/>
  <c r="D310" i="53"/>
  <c r="G522" i="53"/>
  <c r="G57" i="53"/>
  <c r="H11" i="53"/>
  <c r="H85" i="53"/>
  <c r="F157" i="53"/>
  <c r="G553" i="53"/>
  <c r="F511" i="53"/>
  <c r="F446" i="53"/>
  <c r="H170" i="53"/>
  <c r="D416" i="53"/>
  <c r="H435" i="53"/>
  <c r="D81" i="53"/>
  <c r="G61" i="53"/>
  <c r="F585" i="53"/>
  <c r="H552" i="53"/>
  <c r="F240" i="53"/>
  <c r="H19" i="53"/>
  <c r="G134" i="53"/>
  <c r="E43" i="53"/>
  <c r="D74" i="53"/>
  <c r="E233" i="53"/>
  <c r="F487" i="53"/>
  <c r="D585" i="53"/>
  <c r="H467" i="53"/>
  <c r="E221" i="53"/>
  <c r="G19" i="53"/>
  <c r="D96" i="53"/>
  <c r="E50" i="53"/>
  <c r="E124" i="53"/>
  <c r="F109" i="53"/>
  <c r="G354" i="53"/>
  <c r="F217" i="53"/>
  <c r="H425" i="53"/>
  <c r="F158" i="53"/>
  <c r="H544" i="53"/>
  <c r="H504" i="53"/>
  <c r="G153" i="53"/>
  <c r="E57" i="53"/>
  <c r="F571" i="53"/>
  <c r="H13" i="53"/>
  <c r="B599" i="53"/>
  <c r="B559" i="53"/>
  <c r="G453" i="53"/>
  <c r="D187" i="53"/>
  <c r="E549" i="53"/>
  <c r="D76" i="53"/>
  <c r="H134" i="53"/>
  <c r="D484" i="53"/>
  <c r="H110" i="53"/>
  <c r="G68" i="53"/>
  <c r="G45" i="53"/>
  <c r="E151" i="53"/>
  <c r="E336" i="53"/>
  <c r="B489" i="53"/>
  <c r="B432" i="53"/>
  <c r="F556" i="53"/>
  <c r="H191" i="53"/>
  <c r="D57" i="53"/>
  <c r="E281" i="53"/>
  <c r="H21" i="53"/>
  <c r="D437" i="53"/>
  <c r="H299" i="53"/>
  <c r="H254" i="53"/>
  <c r="H155" i="53"/>
  <c r="D556" i="53"/>
  <c r="F581" i="53"/>
  <c r="D138" i="53"/>
  <c r="G10" i="53"/>
  <c r="F61" i="53"/>
  <c r="G174" i="53"/>
  <c r="H522" i="53"/>
  <c r="G247" i="53"/>
  <c r="H369" i="53"/>
  <c r="H25" i="53"/>
  <c r="G129" i="53"/>
  <c r="H148" i="53"/>
  <c r="H183" i="53"/>
  <c r="E210" i="53"/>
  <c r="F210" i="53"/>
  <c r="B405" i="53"/>
  <c r="F153" i="53"/>
  <c r="E576" i="53"/>
  <c r="F538" i="53"/>
  <c r="E116" i="53"/>
  <c r="H528" i="53"/>
  <c r="G58" i="53"/>
  <c r="G454" i="53"/>
  <c r="D146" i="53"/>
  <c r="D365" i="53"/>
  <c r="F165" i="53"/>
  <c r="D580" i="53"/>
  <c r="E26" i="53"/>
  <c r="F519" i="53"/>
  <c r="F30" i="53"/>
  <c r="D156" i="53"/>
  <c r="E175" i="53"/>
  <c r="D175" i="53"/>
  <c r="H486" i="53"/>
  <c r="G56" i="53"/>
  <c r="H91" i="53"/>
  <c r="H81" i="53"/>
  <c r="G52" i="53"/>
  <c r="C556" i="53"/>
  <c r="D201" i="53"/>
  <c r="H136" i="53"/>
  <c r="H450" i="53"/>
  <c r="D152" i="53"/>
  <c r="D59" i="53"/>
  <c r="G105" i="53"/>
  <c r="C495" i="53"/>
  <c r="C507" i="53"/>
  <c r="E65" i="53"/>
  <c r="D129" i="53"/>
  <c r="B509" i="53"/>
  <c r="H206" i="53"/>
  <c r="H86" i="53"/>
  <c r="B433" i="53"/>
  <c r="G197" i="53"/>
  <c r="B434" i="53"/>
  <c r="C467" i="53"/>
  <c r="C474" i="53"/>
  <c r="H89" i="53"/>
  <c r="E21" i="53"/>
  <c r="D27" i="53"/>
  <c r="G201" i="53"/>
  <c r="H472" i="53"/>
  <c r="H157" i="53"/>
  <c r="B518" i="53"/>
  <c r="C105" i="53"/>
  <c r="D91" i="53"/>
  <c r="G49" i="53"/>
  <c r="C490" i="53"/>
  <c r="F50" i="53"/>
  <c r="H73" i="53"/>
  <c r="B341" i="53"/>
  <c r="C94" i="53"/>
  <c r="B450" i="53"/>
  <c r="C534" i="53"/>
  <c r="B287" i="53"/>
  <c r="C181" i="53"/>
  <c r="C186" i="53"/>
  <c r="B416" i="53"/>
  <c r="B19" i="53"/>
  <c r="B406" i="53"/>
  <c r="B529" i="53"/>
  <c r="C347" i="53"/>
  <c r="C177" i="53"/>
  <c r="C335" i="53"/>
  <c r="B471" i="53"/>
  <c r="C431" i="53"/>
  <c r="B535" i="53"/>
  <c r="C585" i="53"/>
  <c r="B551" i="53"/>
  <c r="F592" i="53"/>
  <c r="B352" i="53"/>
  <c r="C350" i="53"/>
  <c r="B417" i="53"/>
  <c r="B372" i="53"/>
  <c r="B41" i="53"/>
  <c r="C459" i="53"/>
  <c r="B38" i="53"/>
  <c r="D346" i="53"/>
  <c r="D597" i="53"/>
  <c r="H569" i="53"/>
  <c r="D528" i="53"/>
  <c r="H96" i="53"/>
  <c r="F110" i="53"/>
  <c r="E90" i="53"/>
  <c r="B99" i="53"/>
  <c r="B532" i="53"/>
  <c r="G549" i="53"/>
  <c r="C202" i="57"/>
  <c r="C231" i="57"/>
  <c r="C360" i="53"/>
  <c r="B595" i="53"/>
  <c r="B521" i="53"/>
  <c r="C561" i="53"/>
  <c r="C41" i="53"/>
  <c r="B382" i="53"/>
  <c r="G96" i="53"/>
  <c r="C351" i="53"/>
  <c r="C527" i="53"/>
  <c r="C363" i="53"/>
  <c r="B479" i="53"/>
  <c r="B64" i="53"/>
  <c r="C547" i="53"/>
  <c r="F136" i="53"/>
  <c r="B337" i="53"/>
  <c r="C342" i="53"/>
  <c r="B409" i="53"/>
  <c r="B572" i="53"/>
  <c r="C536" i="53"/>
  <c r="B465" i="53"/>
  <c r="B140" i="53"/>
  <c r="G588" i="53"/>
  <c r="D458" i="53"/>
  <c r="H20" i="53"/>
  <c r="F573" i="53"/>
  <c r="D573" i="53"/>
  <c r="F36" i="53"/>
  <c r="E203" i="53"/>
  <c r="B72" i="53"/>
  <c r="C485" i="53"/>
  <c r="F72" i="53"/>
  <c r="F144" i="53"/>
  <c r="G28" i="53"/>
  <c r="F131" i="53"/>
  <c r="F459" i="53"/>
  <c r="E32" i="53"/>
  <c r="F171" i="53"/>
  <c r="B43" i="53"/>
  <c r="B491" i="53"/>
  <c r="C599" i="53"/>
  <c r="B360" i="53"/>
  <c r="G76" i="53"/>
  <c r="E515" i="53"/>
  <c r="E186" i="53"/>
  <c r="F39" i="53"/>
  <c r="C511" i="53"/>
  <c r="B547" i="53"/>
  <c r="C566" i="53"/>
  <c r="B561" i="53"/>
  <c r="G11" i="53"/>
  <c r="G254" i="53"/>
  <c r="E523" i="53"/>
  <c r="G60" i="53"/>
  <c r="H119" i="53"/>
  <c r="F137" i="53"/>
  <c r="G297" i="53"/>
  <c r="D153" i="53"/>
  <c r="F25" i="53"/>
  <c r="H453" i="53"/>
  <c r="H29" i="53"/>
  <c r="F31" i="53"/>
  <c r="D211" i="53"/>
  <c r="B162" i="53"/>
  <c r="B590" i="53"/>
  <c r="E413" i="53"/>
  <c r="G84" i="53"/>
  <c r="D115" i="53"/>
  <c r="D50" i="53"/>
  <c r="F474" i="53"/>
  <c r="H205" i="53"/>
  <c r="D78" i="53"/>
  <c r="C496" i="53"/>
  <c r="C530" i="53"/>
  <c r="H419" i="53"/>
  <c r="F111" i="53"/>
  <c r="G26" i="53"/>
  <c r="E146" i="53"/>
  <c r="F145" i="53"/>
  <c r="D194" i="53"/>
  <c r="H36" i="53"/>
  <c r="C509" i="53"/>
  <c r="B485" i="53"/>
  <c r="F577" i="53"/>
  <c r="G295" i="53"/>
  <c r="D577" i="53"/>
  <c r="E149" i="53"/>
  <c r="G167" i="53"/>
  <c r="E159" i="53"/>
  <c r="E10" i="53"/>
  <c r="E430" i="53"/>
  <c r="D469" i="53"/>
  <c r="D112" i="53"/>
  <c r="H211" i="53"/>
  <c r="E120" i="53"/>
  <c r="C591" i="53"/>
  <c r="B483" i="53"/>
  <c r="C562" i="53"/>
  <c r="E358" i="53"/>
  <c r="G73" i="53"/>
  <c r="G599" i="53"/>
  <c r="H297" i="53"/>
  <c r="F154" i="53"/>
  <c r="D168" i="53"/>
  <c r="G586" i="53"/>
  <c r="E540" i="53"/>
  <c r="E138" i="53"/>
  <c r="E107" i="53"/>
  <c r="H27" i="53"/>
  <c r="E467" i="53"/>
  <c r="H122" i="53"/>
  <c r="D195" i="53"/>
  <c r="B83" i="53"/>
  <c r="C567" i="53"/>
  <c r="E564" i="53"/>
  <c r="G82" i="53"/>
  <c r="E163" i="53"/>
  <c r="F117" i="53"/>
  <c r="G116" i="53"/>
  <c r="E169" i="53"/>
  <c r="G77" i="53"/>
  <c r="B511" i="53"/>
  <c r="C526" i="53"/>
  <c r="E572" i="53"/>
  <c r="F434" i="53"/>
  <c r="D118" i="53"/>
  <c r="D29" i="53"/>
  <c r="E76" i="53"/>
  <c r="F175" i="53"/>
  <c r="E580" i="53"/>
  <c r="C513" i="53"/>
  <c r="G391" i="53"/>
  <c r="H457" i="53"/>
  <c r="H464" i="53"/>
  <c r="F331" i="53"/>
  <c r="E39" i="53"/>
  <c r="H52" i="53"/>
  <c r="D151" i="53"/>
  <c r="C93" i="53"/>
  <c r="G350" i="53"/>
  <c r="E150" i="53"/>
  <c r="B550" i="53"/>
  <c r="B384" i="53"/>
  <c r="C339" i="53"/>
  <c r="B425" i="53"/>
  <c r="C14" i="53"/>
  <c r="C500" i="53"/>
  <c r="B556" i="53"/>
  <c r="E172" i="53"/>
  <c r="B452" i="53"/>
  <c r="B385" i="53"/>
  <c r="B349" i="53"/>
  <c r="C576" i="53"/>
  <c r="C484" i="53"/>
  <c r="C592" i="53"/>
  <c r="H577" i="53"/>
  <c r="H71" i="53"/>
  <c r="E63" i="53"/>
  <c r="D48" i="53"/>
  <c r="E165" i="53"/>
  <c r="F580" i="53"/>
  <c r="H154" i="53"/>
  <c r="F75" i="53"/>
  <c r="C494" i="53"/>
  <c r="C588" i="53"/>
  <c r="D177" i="53"/>
  <c r="F411" i="53"/>
  <c r="G488" i="53"/>
  <c r="E144" i="53"/>
  <c r="G23" i="53"/>
  <c r="E49" i="53"/>
  <c r="D10" i="53"/>
  <c r="C571" i="53"/>
  <c r="C590" i="53"/>
  <c r="B17" i="53"/>
  <c r="E491" i="53"/>
  <c r="E516" i="53"/>
  <c r="F78" i="53"/>
  <c r="E573" i="53"/>
  <c r="F567" i="53"/>
  <c r="D94" i="53"/>
  <c r="D181" i="53"/>
  <c r="D399" i="53"/>
  <c r="D53" i="53"/>
  <c r="H18" i="53"/>
  <c r="G109" i="53"/>
  <c r="H560" i="53"/>
  <c r="H12" i="53"/>
  <c r="F164" i="53"/>
  <c r="C140" i="53"/>
  <c r="C563" i="53"/>
  <c r="D475" i="53"/>
  <c r="E551" i="53"/>
  <c r="E89" i="53"/>
  <c r="G165" i="53"/>
  <c r="D353" i="53"/>
  <c r="B297" i="53"/>
  <c r="B573" i="53"/>
  <c r="C522" i="53"/>
  <c r="B456" i="53"/>
  <c r="D588" i="53"/>
  <c r="E173" i="53"/>
  <c r="F57" i="53"/>
  <c r="E160" i="53"/>
  <c r="F520" i="53"/>
  <c r="D61" i="53"/>
  <c r="G135" i="53"/>
  <c r="D406" i="53"/>
  <c r="H53" i="53"/>
  <c r="F134" i="53"/>
  <c r="G88" i="53"/>
  <c r="H87" i="53"/>
  <c r="H204" i="53"/>
  <c r="G113" i="53"/>
  <c r="C552" i="53"/>
  <c r="B504" i="53"/>
  <c r="E127" i="53"/>
  <c r="D512" i="53"/>
  <c r="E463" i="53"/>
  <c r="E118" i="53"/>
  <c r="F177" i="53"/>
  <c r="G48" i="53"/>
  <c r="C98" i="53"/>
  <c r="B507" i="53"/>
  <c r="D449" i="53"/>
  <c r="H100" i="53"/>
  <c r="D83" i="53"/>
  <c r="G379" i="53"/>
  <c r="F87" i="53"/>
  <c r="D89" i="53"/>
  <c r="H176" i="53"/>
  <c r="B172" i="53"/>
  <c r="C528" i="53"/>
  <c r="H30" i="53"/>
  <c r="D58" i="53"/>
  <c r="E105" i="53"/>
  <c r="D45" i="53"/>
  <c r="F532" i="53"/>
  <c r="E99" i="53"/>
  <c r="H149" i="53"/>
  <c r="G564" i="53"/>
  <c r="D427" i="53"/>
  <c r="H172" i="53"/>
  <c r="D492" i="53"/>
  <c r="D506" i="53"/>
  <c r="E444" i="53"/>
  <c r="G110" i="53"/>
  <c r="E82" i="53"/>
  <c r="E582" i="53"/>
  <c r="H497" i="53"/>
  <c r="G44" i="53"/>
  <c r="D124" i="53"/>
  <c r="E33" i="53"/>
  <c r="D127" i="53"/>
  <c r="G124" i="53"/>
  <c r="F550" i="53"/>
  <c r="H174" i="53"/>
  <c r="H575" i="53"/>
  <c r="H146" i="53"/>
  <c r="E170" i="53"/>
  <c r="C329" i="53"/>
  <c r="C84" i="53"/>
  <c r="F180" i="53"/>
  <c r="H78" i="53"/>
  <c r="G355" i="53"/>
  <c r="E119" i="53"/>
  <c r="B515" i="53"/>
  <c r="H202" i="53"/>
  <c r="D351" i="53"/>
  <c r="G47" i="53"/>
  <c r="F37" i="53"/>
  <c r="B94" i="53"/>
  <c r="G148" i="53"/>
  <c r="E594" i="53"/>
  <c r="D79" i="53"/>
  <c r="D18" i="53"/>
  <c r="D34" i="53"/>
  <c r="F515" i="53"/>
  <c r="B585" i="53"/>
  <c r="C59" i="53"/>
  <c r="G596" i="53"/>
  <c r="H572" i="53"/>
  <c r="C165" i="53"/>
  <c r="D572" i="53"/>
  <c r="C554" i="53"/>
  <c r="B442" i="53"/>
  <c r="B564" i="53"/>
  <c r="C334" i="53"/>
  <c r="C374" i="53"/>
  <c r="B254" i="53"/>
  <c r="H26" i="53"/>
  <c r="B567" i="53"/>
  <c r="H46" i="53"/>
  <c r="D24" i="53"/>
  <c r="E16" i="53"/>
  <c r="F544" i="53"/>
  <c r="F28" i="53"/>
  <c r="C28" i="53"/>
  <c r="H77" i="53"/>
  <c r="E584" i="53"/>
  <c r="D136" i="53"/>
  <c r="F121" i="53"/>
  <c r="C75" i="53"/>
  <c r="E81" i="53"/>
  <c r="H508" i="53"/>
  <c r="H124" i="53"/>
  <c r="G158" i="53"/>
  <c r="D108" i="53"/>
  <c r="D25" i="53"/>
  <c r="B562" i="53"/>
  <c r="C148" i="53"/>
  <c r="H558" i="53"/>
  <c r="H160" i="53"/>
  <c r="E46" i="53"/>
  <c r="D113" i="53"/>
  <c r="B592" i="53"/>
  <c r="B377" i="53"/>
  <c r="B482" i="53"/>
  <c r="B359" i="53"/>
  <c r="B395" i="53"/>
  <c r="C21" i="53"/>
  <c r="G10" i="57"/>
  <c r="G18" i="53"/>
  <c r="F60" i="53"/>
  <c r="F48" i="53"/>
  <c r="E180" i="53"/>
  <c r="H59" i="53"/>
  <c r="E24" i="53"/>
  <c r="C523" i="53"/>
  <c r="E191" i="53"/>
  <c r="H31" i="53"/>
  <c r="F463" i="53"/>
  <c r="D80" i="53"/>
  <c r="D524" i="53"/>
  <c r="C12" i="53"/>
  <c r="B334" i="53"/>
  <c r="C497" i="53"/>
  <c r="C379" i="53"/>
  <c r="C456" i="53"/>
  <c r="C183" i="53"/>
  <c r="F10" i="57"/>
  <c r="B565" i="53"/>
  <c r="C129" i="53"/>
  <c r="G41" i="53"/>
  <c r="G91" i="53"/>
  <c r="F453" i="53"/>
  <c r="C489" i="53"/>
  <c r="H106" i="53"/>
  <c r="D401" i="53"/>
  <c r="E86" i="53"/>
  <c r="E560" i="53"/>
  <c r="G120" i="53"/>
  <c r="H80" i="53"/>
  <c r="F122" i="53"/>
  <c r="C586" i="53"/>
  <c r="H166" i="53"/>
  <c r="D52" i="53"/>
  <c r="D100" i="53"/>
  <c r="H190" i="53"/>
  <c r="D66" i="53"/>
  <c r="C40" i="53"/>
  <c r="B570" i="53"/>
  <c r="B495" i="53"/>
  <c r="C354" i="53"/>
  <c r="B596" i="53"/>
  <c r="C116" i="53"/>
  <c r="C219" i="57"/>
  <c r="E10" i="57"/>
  <c r="D10" i="57"/>
  <c r="C548" i="53"/>
  <c r="D99" i="53"/>
  <c r="F89" i="53"/>
  <c r="G448" i="53"/>
  <c r="B40" i="53"/>
  <c r="F52" i="53"/>
  <c r="E544" i="53"/>
  <c r="D46" i="53"/>
  <c r="C546" i="53"/>
  <c r="D44" i="53"/>
  <c r="D557" i="53"/>
  <c r="F543" i="53"/>
  <c r="E62" i="53"/>
  <c r="E18" i="53"/>
  <c r="C516" i="53"/>
  <c r="C411" i="53"/>
  <c r="B496" i="53"/>
  <c r="B558" i="53"/>
  <c r="C479" i="53"/>
  <c r="E139" i="53"/>
  <c r="G125" i="53"/>
  <c r="F575" i="53"/>
  <c r="H599" i="53"/>
  <c r="D578" i="53"/>
  <c r="E583" i="53"/>
  <c r="B513" i="53"/>
  <c r="B10" i="53"/>
  <c r="F80" i="53"/>
  <c r="G162" i="53"/>
  <c r="F115" i="53"/>
  <c r="F204" i="53"/>
  <c r="D564" i="53"/>
  <c r="G97" i="53"/>
  <c r="D134" i="53"/>
  <c r="B487" i="53"/>
  <c r="B542" i="53"/>
  <c r="C596" i="53"/>
  <c r="B441" i="53"/>
  <c r="C364" i="53"/>
  <c r="C400" i="53"/>
  <c r="B438" i="53"/>
  <c r="H113" i="53"/>
  <c r="C481" i="53"/>
  <c r="C600" i="53"/>
  <c r="B552" i="53"/>
  <c r="C423" i="53"/>
  <c r="C383" i="53"/>
  <c r="B449" i="53"/>
  <c r="C564" i="53"/>
  <c r="B435" i="53"/>
  <c r="C417" i="53"/>
  <c r="C449" i="53"/>
  <c r="C517" i="53"/>
  <c r="B478" i="53"/>
  <c r="B178" i="53"/>
  <c r="B161" i="53"/>
  <c r="C577" i="53"/>
  <c r="G175" i="53"/>
  <c r="G431" i="53"/>
  <c r="B381" i="53"/>
  <c r="B412" i="53"/>
  <c r="C293" i="53"/>
  <c r="B350" i="53"/>
  <c r="C91" i="53"/>
  <c r="E79" i="53"/>
  <c r="H141" i="53"/>
  <c r="H459" i="53"/>
  <c r="E74" i="53"/>
  <c r="C532" i="53"/>
  <c r="B24" i="53"/>
  <c r="E157" i="53"/>
  <c r="H156" i="53"/>
  <c r="G331" i="53"/>
  <c r="G102" i="53"/>
  <c r="H162" i="53"/>
  <c r="G115" i="53"/>
  <c r="F146" i="53"/>
  <c r="D128" i="53"/>
  <c r="B463" i="53"/>
  <c r="B600" i="53"/>
  <c r="C512" i="53"/>
  <c r="B357" i="53"/>
  <c r="B393" i="53"/>
  <c r="C403" i="53"/>
  <c r="F34" i="53"/>
  <c r="B530" i="53"/>
  <c r="B50" i="53"/>
  <c r="B475" i="53"/>
  <c r="C330" i="53"/>
  <c r="C381" i="53"/>
  <c r="C349" i="53"/>
  <c r="C289" i="53"/>
  <c r="C574" i="53"/>
  <c r="C464" i="53"/>
  <c r="B468" i="53"/>
  <c r="D473" i="53"/>
  <c r="G146" i="53"/>
  <c r="B379" i="53"/>
  <c r="C13" i="53"/>
  <c r="C212" i="57"/>
  <c r="E30" i="53"/>
  <c r="D31" i="53"/>
  <c r="H76" i="53"/>
  <c r="H120" i="53"/>
  <c r="D120" i="53"/>
  <c r="B464" i="53"/>
  <c r="B28" i="53"/>
  <c r="H164" i="53"/>
  <c r="D63" i="53"/>
  <c r="F531" i="53"/>
  <c r="E23" i="53"/>
  <c r="E100" i="53"/>
  <c r="D132" i="53"/>
  <c r="D70" i="53"/>
  <c r="F198" i="53"/>
  <c r="B584" i="53"/>
  <c r="C559" i="53"/>
  <c r="C593" i="53"/>
  <c r="B498" i="53"/>
  <c r="B437" i="53"/>
  <c r="B454" i="53"/>
  <c r="E19" i="53"/>
  <c r="B588" i="53"/>
  <c r="B583" i="53"/>
  <c r="B555" i="53"/>
  <c r="C338" i="53"/>
  <c r="C399" i="53"/>
  <c r="C579" i="53"/>
  <c r="C249" i="53"/>
  <c r="C510" i="53"/>
  <c r="C581" i="53"/>
  <c r="B500" i="53"/>
  <c r="B505" i="53"/>
  <c r="C502" i="53"/>
  <c r="B251" i="53"/>
  <c r="B92" i="53"/>
  <c r="C356" i="53"/>
  <c r="B201" i="53"/>
  <c r="B51" i="53"/>
  <c r="B115" i="53"/>
  <c r="C107" i="53"/>
  <c r="C144" i="53"/>
  <c r="C17" i="53"/>
  <c r="B206" i="57"/>
  <c r="B230" i="53"/>
  <c r="B324" i="53"/>
  <c r="C199" i="53"/>
  <c r="C90" i="53"/>
  <c r="C223" i="53"/>
  <c r="C276" i="53"/>
  <c r="B148" i="53"/>
  <c r="B37" i="53"/>
  <c r="C59" i="57"/>
  <c r="B226" i="53"/>
  <c r="B265" i="53"/>
  <c r="C255" i="53"/>
  <c r="C115" i="53"/>
  <c r="C196" i="53"/>
  <c r="C118" i="53"/>
  <c r="B116" i="53"/>
  <c r="B12" i="53"/>
  <c r="C226" i="57"/>
  <c r="B116" i="57"/>
  <c r="F71" i="53"/>
  <c r="B289" i="53"/>
  <c r="B325" i="53"/>
  <c r="B108" i="53"/>
  <c r="C192" i="53"/>
  <c r="C169" i="53"/>
  <c r="C137" i="53"/>
  <c r="B75" i="53"/>
  <c r="B31" i="53"/>
  <c r="C237" i="57"/>
  <c r="B320" i="53"/>
  <c r="C253" i="53"/>
  <c r="B163" i="53"/>
  <c r="C213" i="53"/>
  <c r="C161" i="53"/>
  <c r="C53" i="53"/>
  <c r="B102" i="53"/>
  <c r="B575" i="53"/>
  <c r="C89" i="57"/>
  <c r="B229" i="53"/>
  <c r="C307" i="53"/>
  <c r="C203" i="53"/>
  <c r="B65" i="53"/>
  <c r="B160" i="53"/>
  <c r="C102" i="53"/>
  <c r="B56" i="53"/>
  <c r="C47" i="53"/>
  <c r="B227" i="57"/>
  <c r="B167" i="57"/>
  <c r="B481" i="53"/>
  <c r="C245" i="53"/>
  <c r="B427" i="53"/>
  <c r="C73" i="53"/>
  <c r="B191" i="53"/>
  <c r="C126" i="53"/>
  <c r="B121" i="53"/>
  <c r="B88" i="53"/>
  <c r="C24" i="53"/>
  <c r="C271" i="53"/>
  <c r="B310" i="53"/>
  <c r="C260" i="53"/>
  <c r="B472" i="53"/>
  <c r="C270" i="53"/>
  <c r="C235" i="53"/>
  <c r="B344" i="53"/>
  <c r="B260" i="53"/>
  <c r="C206" i="53"/>
  <c r="C385" i="53"/>
  <c r="C301" i="53"/>
  <c r="B309" i="53"/>
  <c r="B348" i="53"/>
  <c r="B231" i="53"/>
  <c r="B184" i="53"/>
  <c r="C377" i="53"/>
  <c r="C272" i="53"/>
  <c r="C225" i="53"/>
  <c r="C446" i="53"/>
  <c r="B222" i="53"/>
  <c r="B522" i="53"/>
  <c r="B369" i="53"/>
  <c r="B517" i="53"/>
  <c r="C515" i="53"/>
  <c r="B14" i="53"/>
  <c r="C519" i="53"/>
  <c r="C454" i="53"/>
  <c r="H524" i="53"/>
  <c r="C452" i="53"/>
  <c r="B26" i="53"/>
  <c r="B296" i="53"/>
  <c r="B194" i="53"/>
  <c r="C76" i="53"/>
  <c r="C61" i="53"/>
  <c r="B195" i="53"/>
  <c r="B32" i="53"/>
  <c r="B514" i="53"/>
  <c r="B261" i="53"/>
  <c r="C367" i="53"/>
  <c r="B135" i="53"/>
  <c r="C188" i="53"/>
  <c r="C193" i="53"/>
  <c r="C184" i="53"/>
  <c r="C10" i="53"/>
  <c r="B11" i="53"/>
  <c r="B155" i="57"/>
  <c r="B374" i="53"/>
  <c r="C221" i="53"/>
  <c r="C252" i="53"/>
  <c r="C155" i="53"/>
  <c r="B283" i="53"/>
  <c r="C204" i="53"/>
  <c r="B47" i="53"/>
  <c r="C29" i="53"/>
  <c r="B176" i="57"/>
  <c r="B263" i="57"/>
  <c r="C368" i="53"/>
  <c r="C331" i="53"/>
  <c r="C195" i="53"/>
  <c r="C134" i="53"/>
  <c r="B68" i="53"/>
  <c r="B170" i="53"/>
  <c r="B247" i="53"/>
  <c r="C30" i="53"/>
  <c r="C164" i="57"/>
  <c r="C275" i="53"/>
  <c r="B410" i="53"/>
  <c r="C362" i="53"/>
  <c r="H16" i="53"/>
  <c r="B257" i="53"/>
  <c r="C239" i="53"/>
  <c r="C378" i="53"/>
  <c r="C298" i="53"/>
  <c r="B193" i="53"/>
  <c r="B329" i="53"/>
  <c r="B228" i="53"/>
  <c r="C234" i="53"/>
  <c r="B429" i="53"/>
  <c r="C269" i="53"/>
  <c r="B224" i="53"/>
  <c r="B375" i="53"/>
  <c r="B331" i="53"/>
  <c r="C265" i="53"/>
  <c r="B553" i="53"/>
  <c r="B274" i="53"/>
  <c r="C438" i="53"/>
  <c r="C443" i="53"/>
  <c r="C407" i="53"/>
  <c r="C345" i="53"/>
  <c r="C555" i="53"/>
  <c r="B525" i="53"/>
  <c r="B589" i="53"/>
  <c r="G140" i="53"/>
  <c r="B278" i="53"/>
  <c r="B122" i="53"/>
  <c r="C43" i="53"/>
  <c r="B397" i="53"/>
  <c r="C277" i="53"/>
  <c r="B269" i="53"/>
  <c r="C264" i="53"/>
  <c r="C68" i="53"/>
  <c r="B105" i="53"/>
  <c r="C218" i="53"/>
  <c r="C38" i="53"/>
  <c r="B102" i="57"/>
  <c r="D144" i="53"/>
  <c r="C217" i="53"/>
  <c r="B212" i="53"/>
  <c r="C149" i="53"/>
  <c r="B235" i="53"/>
  <c r="B120" i="53"/>
  <c r="B137" i="53"/>
  <c r="C182" i="53"/>
  <c r="B30" i="53"/>
  <c r="C75" i="57"/>
  <c r="B218" i="57"/>
  <c r="C323" i="53"/>
  <c r="B321" i="53"/>
  <c r="B246" i="53"/>
  <c r="B149" i="53"/>
  <c r="B259" i="53"/>
  <c r="C104" i="53"/>
  <c r="B199" i="53"/>
  <c r="B503" i="53"/>
  <c r="C147" i="57"/>
  <c r="B286" i="53"/>
  <c r="C268" i="53"/>
  <c r="B389" i="53"/>
  <c r="C251" i="53"/>
  <c r="C211" i="53"/>
  <c r="B221" i="53"/>
  <c r="B445" i="53"/>
  <c r="B314" i="53"/>
  <c r="C262" i="53"/>
  <c r="B336" i="53"/>
  <c r="B285" i="53"/>
  <c r="C233" i="53"/>
  <c r="C434" i="53"/>
  <c r="C201" i="53"/>
  <c r="C336" i="53"/>
  <c r="C426" i="53"/>
  <c r="B304" i="53"/>
  <c r="C420" i="53"/>
  <c r="C418" i="53"/>
  <c r="C408" i="53"/>
  <c r="C430" i="53"/>
  <c r="B353" i="53"/>
  <c r="C365" i="53"/>
  <c r="B387" i="53"/>
  <c r="B578" i="53"/>
  <c r="B541" i="53"/>
  <c r="B21" i="53"/>
  <c r="F53" i="53"/>
  <c r="C415" i="53"/>
  <c r="C139" i="53"/>
  <c r="B151" i="53"/>
  <c r="C142" i="57"/>
  <c r="C310" i="53"/>
  <c r="B100" i="53"/>
  <c r="C72" i="53"/>
  <c r="B156" i="53"/>
  <c r="B271" i="53"/>
  <c r="C472" i="53"/>
  <c r="C231" i="53"/>
  <c r="C237" i="53"/>
  <c r="B241" i="53"/>
  <c r="B168" i="53"/>
  <c r="B119" i="53"/>
  <c r="C58" i="53"/>
  <c r="C113" i="53"/>
  <c r="B42" i="53"/>
  <c r="C209" i="57"/>
  <c r="B488" i="53"/>
  <c r="B469" i="53"/>
  <c r="C343" i="53"/>
  <c r="B176" i="53"/>
  <c r="B144" i="53"/>
  <c r="C85" i="53"/>
  <c r="C162" i="53"/>
  <c r="B16" i="53"/>
  <c r="C19" i="53"/>
  <c r="C249" i="57"/>
  <c r="B168" i="57"/>
  <c r="C396" i="53"/>
  <c r="B322" i="53"/>
  <c r="B242" i="53"/>
  <c r="C174" i="53"/>
  <c r="B188" i="53"/>
  <c r="C228" i="53"/>
  <c r="B48" i="53"/>
  <c r="C23" i="53"/>
  <c r="B110" i="57"/>
  <c r="B415" i="53"/>
  <c r="B250" i="53"/>
  <c r="C375" i="53"/>
  <c r="B262" i="53"/>
  <c r="B318" i="53"/>
  <c r="B268" i="53"/>
  <c r="C450" i="53"/>
  <c r="C210" i="53"/>
  <c r="C309" i="53"/>
  <c r="B401" i="53"/>
  <c r="B313" i="53"/>
  <c r="C208" i="53"/>
  <c r="C398" i="53"/>
  <c r="B200" i="53"/>
  <c r="B311" i="53"/>
  <c r="C390" i="53"/>
  <c r="C241" i="53"/>
  <c r="B282" i="53"/>
  <c r="C382" i="53"/>
  <c r="B414" i="53"/>
  <c r="B196" i="57"/>
  <c r="C176" i="57"/>
  <c r="C151" i="57"/>
  <c r="B182" i="57"/>
  <c r="C149" i="57"/>
  <c r="C134" i="57"/>
  <c r="C163" i="57"/>
  <c r="C78" i="57"/>
  <c r="B194" i="57"/>
  <c r="C384" i="53"/>
  <c r="C266" i="57"/>
  <c r="C139" i="57"/>
  <c r="B137" i="57"/>
  <c r="C207" i="53"/>
  <c r="B166" i="53"/>
  <c r="B113" i="57"/>
  <c r="B130" i="53"/>
  <c r="B182" i="53"/>
  <c r="B258" i="53"/>
  <c r="B79" i="53"/>
  <c r="B67" i="53"/>
  <c r="B99" i="57"/>
  <c r="C226" i="53"/>
  <c r="C96" i="53"/>
  <c r="B147" i="53"/>
  <c r="B80" i="53"/>
  <c r="C52" i="53"/>
  <c r="C51" i="53"/>
  <c r="B227" i="53"/>
  <c r="B293" i="53"/>
  <c r="B213" i="53"/>
  <c r="C133" i="53"/>
  <c r="C101" i="53"/>
  <c r="B66" i="53"/>
  <c r="B103" i="53"/>
  <c r="C37" i="53"/>
  <c r="C181" i="57"/>
  <c r="C369" i="53"/>
  <c r="B236" i="53"/>
  <c r="B298" i="53"/>
  <c r="C240" i="53"/>
  <c r="C109" i="53"/>
  <c r="B203" i="53"/>
  <c r="B206" i="53"/>
  <c r="C18" i="53"/>
  <c r="C190" i="57"/>
  <c r="C218" i="57"/>
  <c r="B106" i="57"/>
  <c r="C212" i="53"/>
  <c r="C311" i="53"/>
  <c r="B214" i="53"/>
  <c r="B74" i="53"/>
  <c r="B169" i="53"/>
  <c r="B77" i="53"/>
  <c r="B157" i="53"/>
  <c r="B61" i="53"/>
  <c r="B207" i="53"/>
  <c r="B327" i="53"/>
  <c r="C539" i="53"/>
  <c r="C358" i="53"/>
  <c r="B290" i="53"/>
  <c r="C267" i="53"/>
  <c r="C205" i="53"/>
  <c r="B531" i="53"/>
  <c r="B197" i="53"/>
  <c r="B308" i="53"/>
  <c r="C492" i="53"/>
  <c r="C238" i="53"/>
  <c r="B279" i="53"/>
  <c r="C471" i="53"/>
  <c r="C209" i="53"/>
  <c r="C320" i="53"/>
  <c r="B494" i="53"/>
  <c r="B62" i="57"/>
  <c r="C178" i="53"/>
  <c r="B342" i="53"/>
  <c r="C419" i="53"/>
  <c r="B404" i="53"/>
  <c r="G86" i="53"/>
  <c r="C545" i="53"/>
  <c r="B22" i="53"/>
  <c r="C477" i="53"/>
  <c r="C344" i="53"/>
  <c r="C486" i="53"/>
  <c r="C435" i="53"/>
  <c r="C432" i="53"/>
  <c r="E468" i="53"/>
  <c r="B466" i="53"/>
  <c r="C525" i="53"/>
  <c r="C598" i="53"/>
  <c r="B431" i="53"/>
  <c r="B356" i="53"/>
  <c r="C402" i="53"/>
  <c r="C551" i="53"/>
  <c r="B245" i="53"/>
  <c r="D68" i="53"/>
  <c r="C483" i="53"/>
  <c r="B36" i="53"/>
  <c r="B477" i="53"/>
  <c r="C421" i="53"/>
  <c r="B339" i="53"/>
  <c r="C458" i="53"/>
  <c r="C493" i="53"/>
  <c r="H161" i="53"/>
  <c r="B62" i="53"/>
  <c r="C572" i="53"/>
  <c r="B400" i="53"/>
  <c r="B335" i="53"/>
  <c r="C62" i="53"/>
  <c r="B312" i="53"/>
  <c r="B255" i="53"/>
  <c r="B252" i="53"/>
  <c r="C317" i="53"/>
  <c r="C230" i="53"/>
  <c r="C69" i="53"/>
  <c r="B315" i="53"/>
  <c r="B107" i="53"/>
  <c r="B153" i="53"/>
  <c r="B234" i="53"/>
  <c r="B23" i="53"/>
  <c r="C65" i="53"/>
  <c r="C258" i="57"/>
  <c r="B128" i="53"/>
  <c r="C439" i="53"/>
  <c r="C170" i="53"/>
  <c r="C168" i="53"/>
  <c r="C147" i="53"/>
  <c r="B265" i="57"/>
  <c r="B170" i="57"/>
  <c r="B142" i="57"/>
  <c r="E95" i="53"/>
  <c r="B597" i="53"/>
  <c r="B459" i="53"/>
  <c r="B563" i="53"/>
  <c r="B534" i="53"/>
  <c r="C570" i="53"/>
  <c r="B512" i="53"/>
  <c r="B345" i="53"/>
  <c r="B388" i="53"/>
  <c r="H133" i="53"/>
  <c r="B508" i="53"/>
  <c r="C482" i="53"/>
  <c r="B492" i="53"/>
  <c r="C388" i="53"/>
  <c r="C424" i="53"/>
  <c r="C359" i="53"/>
  <c r="B430" i="53"/>
  <c r="E477" i="53"/>
  <c r="C505" i="53"/>
  <c r="B540" i="53"/>
  <c r="C35" i="53"/>
  <c r="C587" i="53"/>
  <c r="B333" i="53"/>
  <c r="B376" i="53"/>
  <c r="C453" i="53"/>
  <c r="B217" i="53"/>
  <c r="G81" i="53"/>
  <c r="B566" i="53"/>
  <c r="B458" i="53"/>
  <c r="B473" i="53"/>
  <c r="C405" i="53"/>
  <c r="C441" i="53"/>
  <c r="B436" i="53"/>
  <c r="B455" i="53"/>
  <c r="C143" i="53"/>
  <c r="C540" i="53"/>
  <c r="C560" i="53"/>
  <c r="C389" i="53"/>
  <c r="B408" i="53"/>
  <c r="B510" i="53"/>
  <c r="F435" i="53"/>
  <c r="C285" i="53"/>
  <c r="C325" i="53"/>
  <c r="C322" i="53"/>
  <c r="B326" i="53"/>
  <c r="C475" i="53"/>
  <c r="C243" i="53"/>
  <c r="B159" i="53"/>
  <c r="B114" i="53"/>
  <c r="B96" i="57"/>
  <c r="C89" i="53"/>
  <c r="C283" i="53"/>
  <c r="C16" i="53"/>
  <c r="C106" i="53"/>
  <c r="C135" i="57"/>
  <c r="C160" i="53"/>
  <c r="H10" i="53"/>
  <c r="C291" i="53"/>
  <c r="C150" i="53"/>
  <c r="B81" i="53"/>
  <c r="B303" i="53"/>
  <c r="E37" i="53"/>
  <c r="B528" i="53"/>
  <c r="C568" i="53"/>
  <c r="B576" i="53"/>
  <c r="C371" i="53"/>
  <c r="B423" i="53"/>
  <c r="C433" i="53"/>
  <c r="C392" i="53"/>
  <c r="B216" i="53"/>
  <c r="E109" i="53"/>
  <c r="B545" i="53"/>
  <c r="C478" i="53"/>
  <c r="B537" i="53"/>
  <c r="B476" i="53"/>
  <c r="C558" i="53"/>
  <c r="B444" i="53"/>
  <c r="C395" i="53"/>
  <c r="D178" i="53"/>
  <c r="B586" i="53"/>
  <c r="B18" i="53"/>
  <c r="C518" i="53"/>
  <c r="B486" i="53"/>
  <c r="C380" i="53"/>
  <c r="B394" i="53"/>
  <c r="B579" i="53"/>
  <c r="C259" i="53"/>
  <c r="E136" i="53"/>
  <c r="B502" i="53"/>
  <c r="B460" i="53"/>
  <c r="B554" i="53"/>
  <c r="C498" i="53"/>
  <c r="B420" i="53"/>
  <c r="C353" i="53"/>
  <c r="C387" i="53"/>
  <c r="B15" i="53"/>
  <c r="C542" i="53"/>
  <c r="B380" i="53"/>
  <c r="C373" i="53"/>
  <c r="B411" i="53"/>
  <c r="C258" i="53"/>
  <c r="B524" i="53"/>
  <c r="E34" i="53"/>
  <c r="B244" i="53"/>
  <c r="B284" i="53"/>
  <c r="B281" i="53"/>
  <c r="C361" i="53"/>
  <c r="B323" i="53"/>
  <c r="C180" i="53"/>
  <c r="C197" i="53"/>
  <c r="C132" i="57"/>
  <c r="C290" i="53"/>
  <c r="C287" i="53"/>
  <c r="C60" i="53"/>
  <c r="B177" i="53"/>
  <c r="B69" i="57"/>
  <c r="B171" i="53"/>
  <c r="C319" i="53"/>
  <c r="B453" i="53"/>
  <c r="C284" i="53"/>
  <c r="C100" i="53"/>
  <c r="C215" i="53"/>
  <c r="E84" i="53"/>
  <c r="C466" i="53"/>
  <c r="C480" i="53"/>
  <c r="C22" i="53"/>
  <c r="C488" i="53"/>
  <c r="B340" i="53"/>
  <c r="B462" i="53"/>
  <c r="C436" i="53"/>
  <c r="B248" i="53"/>
  <c r="C45" i="53"/>
  <c r="C508" i="53"/>
  <c r="C557" i="53"/>
  <c r="B533" i="53"/>
  <c r="C404" i="53"/>
  <c r="B418" i="53"/>
  <c r="C332" i="53"/>
  <c r="C406" i="53"/>
  <c r="F33" i="53"/>
  <c r="B549" i="53"/>
  <c r="C499" i="53"/>
  <c r="C514" i="53"/>
  <c r="B347" i="53"/>
  <c r="B383" i="53"/>
  <c r="B419" i="53"/>
  <c r="C327" i="53"/>
  <c r="B276" i="53"/>
  <c r="C138" i="53"/>
  <c r="B568" i="53"/>
  <c r="C538" i="53"/>
  <c r="B490" i="53"/>
  <c r="B440" i="53"/>
  <c r="B399" i="53"/>
  <c r="B368" i="53"/>
  <c r="C455" i="53"/>
  <c r="C565" i="53"/>
  <c r="B497" i="53"/>
  <c r="B364" i="53"/>
  <c r="C357" i="53"/>
  <c r="C352" i="53"/>
  <c r="B386" i="53"/>
  <c r="B587" i="53"/>
  <c r="C504" i="53"/>
  <c r="E202" i="53"/>
  <c r="C266" i="53"/>
  <c r="C294" i="53"/>
  <c r="C312" i="53"/>
  <c r="C348" i="53"/>
  <c r="C122" i="53"/>
  <c r="C247" i="53"/>
  <c r="B241" i="57"/>
  <c r="B155" i="53"/>
  <c r="C190" i="53"/>
  <c r="C88" i="53"/>
  <c r="B306" i="53"/>
  <c r="B13" i="53"/>
  <c r="C324" i="53"/>
  <c r="C280" i="53"/>
  <c r="C127" i="53"/>
  <c r="C144" i="57"/>
  <c r="C172" i="57"/>
  <c r="C62" i="57"/>
  <c r="B474" i="53"/>
  <c r="C445" i="53"/>
  <c r="G21" i="53"/>
  <c r="B506" i="53"/>
  <c r="B27" i="53"/>
  <c r="B580" i="53"/>
  <c r="B447" i="53"/>
  <c r="B358" i="53"/>
  <c r="B413" i="53"/>
  <c r="B338" i="53"/>
  <c r="B208" i="53"/>
  <c r="B189" i="53"/>
  <c r="B523" i="53"/>
  <c r="B536" i="53"/>
  <c r="C437" i="53"/>
  <c r="B546" i="53"/>
  <c r="B493" i="53"/>
  <c r="B378" i="53"/>
  <c r="C414" i="53"/>
  <c r="D116" i="53"/>
  <c r="C543" i="53"/>
  <c r="C501" i="53"/>
  <c r="C595" i="53"/>
  <c r="C341" i="53"/>
  <c r="C575" i="53"/>
  <c r="C413" i="53"/>
  <c r="B354" i="53"/>
  <c r="G415" i="53"/>
  <c r="B136" i="53"/>
  <c r="B480" i="53"/>
  <c r="B594" i="53"/>
  <c r="B538" i="53"/>
  <c r="B407" i="53"/>
  <c r="C340" i="53"/>
  <c r="C376" i="53"/>
  <c r="C355" i="53"/>
  <c r="C463" i="53"/>
  <c r="C401" i="53"/>
  <c r="C442" i="53"/>
  <c r="C416" i="53"/>
  <c r="B346" i="53"/>
  <c r="B190" i="53"/>
  <c r="C412" i="53"/>
  <c r="B499" i="53"/>
  <c r="B543" i="53"/>
  <c r="C33" i="53"/>
  <c r="B225" i="53"/>
  <c r="C202" i="53"/>
  <c r="C42" i="53"/>
  <c r="C167" i="53"/>
  <c r="C232" i="53"/>
  <c r="C95" i="57"/>
  <c r="B142" i="53"/>
  <c r="B196" i="53"/>
  <c r="C157" i="53"/>
  <c r="B185" i="53"/>
  <c r="C580" i="53"/>
  <c r="B302" i="53"/>
  <c r="B202" i="53"/>
  <c r="C132" i="53"/>
  <c r="C162" i="57"/>
  <c r="C186" i="57"/>
  <c r="B164" i="57"/>
  <c r="C476" i="53"/>
  <c r="B519" i="53"/>
  <c r="C386" i="53"/>
  <c r="C429" i="53"/>
  <c r="F54" i="53"/>
  <c r="C549" i="53"/>
  <c r="B544" i="53"/>
  <c r="C533" i="53"/>
  <c r="B390" i="53"/>
  <c r="B426" i="53"/>
  <c r="B421" i="53"/>
  <c r="C346" i="53"/>
  <c r="H15" i="53"/>
  <c r="B470" i="53"/>
  <c r="C541" i="53"/>
  <c r="C460" i="53"/>
  <c r="C447" i="53"/>
  <c r="B582" i="53"/>
  <c r="C457" i="53"/>
  <c r="B591" i="53"/>
  <c r="C422" i="53"/>
  <c r="B124" i="53"/>
  <c r="B467" i="53"/>
  <c r="B516" i="53"/>
  <c r="C531" i="53"/>
  <c r="B363" i="53"/>
  <c r="C440" i="53"/>
  <c r="C409" i="53"/>
  <c r="B365" i="53"/>
  <c r="E506" i="53"/>
  <c r="B593" i="53"/>
  <c r="C582" i="53"/>
  <c r="B520" i="53"/>
  <c r="C428" i="53"/>
  <c r="C425" i="53"/>
  <c r="C394" i="53"/>
  <c r="C594" i="53"/>
  <c r="E595" i="53"/>
  <c r="C584" i="53"/>
  <c r="C535" i="53"/>
  <c r="C337" i="53"/>
  <c r="C333" i="53"/>
  <c r="D143" i="53"/>
  <c r="B355" i="53"/>
  <c r="C263" i="53"/>
  <c r="B371" i="53"/>
  <c r="B501" i="53"/>
  <c r="C506" i="53"/>
  <c r="C242" i="53"/>
  <c r="B277" i="53"/>
  <c r="B57" i="53"/>
  <c r="C185" i="53"/>
  <c r="C250" i="53"/>
  <c r="C245" i="57"/>
  <c r="B60" i="53"/>
  <c r="C288" i="53"/>
  <c r="C187" i="53"/>
  <c r="B237" i="53"/>
  <c r="B127" i="53"/>
  <c r="C295" i="53"/>
  <c r="C31" i="53"/>
  <c r="B332" i="53"/>
  <c r="B74" i="57"/>
  <c r="B292" i="53"/>
  <c r="B422" i="53"/>
  <c r="B370" i="53"/>
  <c r="C257" i="53"/>
  <c r="H168" i="53"/>
  <c r="C461" i="53"/>
  <c r="B581" i="53"/>
  <c r="C578" i="53"/>
  <c r="C529" i="53"/>
  <c r="B560" i="53"/>
  <c r="C553" i="53"/>
  <c r="B457" i="53"/>
  <c r="F472" i="53"/>
  <c r="C550" i="53"/>
  <c r="B527" i="53"/>
  <c r="C473" i="53"/>
  <c r="B330" i="53"/>
  <c r="C397" i="53"/>
  <c r="B392" i="53"/>
  <c r="B351" i="53"/>
  <c r="C286" i="53"/>
  <c r="B54" i="53"/>
  <c r="C521" i="53"/>
  <c r="B577" i="53"/>
  <c r="B396" i="53"/>
  <c r="C448" i="53"/>
  <c r="B443" i="53"/>
  <c r="C462" i="53"/>
  <c r="B373" i="53"/>
  <c r="G520" i="53"/>
  <c r="B548" i="53"/>
  <c r="B484" i="53"/>
  <c r="B557" i="53"/>
  <c r="B448" i="53"/>
  <c r="C366" i="53"/>
  <c r="B361" i="53"/>
  <c r="B428" i="53"/>
  <c r="F517" i="53"/>
  <c r="C465" i="53"/>
  <c r="B574" i="53"/>
  <c r="C503" i="53"/>
  <c r="C370" i="53"/>
  <c r="B45" i="53"/>
  <c r="C296" i="53"/>
  <c r="B362" i="53"/>
  <c r="C292" i="53"/>
  <c r="C451" i="53"/>
  <c r="B598" i="53"/>
  <c r="B317" i="53"/>
  <c r="C299" i="53"/>
  <c r="C26" i="53"/>
  <c r="B187" i="53"/>
  <c r="B266" i="53"/>
  <c r="C63" i="57"/>
  <c r="C141" i="53"/>
  <c r="C318" i="53"/>
  <c r="B96" i="53"/>
  <c r="C306" i="53"/>
  <c r="B316" i="53"/>
  <c r="C393" i="53"/>
  <c r="C537" i="53"/>
  <c r="B205" i="53"/>
  <c r="B49" i="53"/>
  <c r="C304" i="53"/>
  <c r="B58" i="57"/>
  <c r="B446" i="53"/>
  <c r="C228" i="57"/>
  <c r="B173" i="57"/>
  <c r="B131" i="57"/>
  <c r="B250" i="57"/>
  <c r="B158" i="57"/>
  <c r="B129" i="57"/>
  <c r="B107" i="57"/>
  <c r="B133" i="53"/>
  <c r="B76" i="57"/>
  <c r="B115" i="57"/>
  <c r="B150" i="57"/>
  <c r="C130" i="57"/>
  <c r="B247" i="57"/>
  <c r="B144" i="57"/>
  <c r="C65" i="57"/>
  <c r="B139" i="53"/>
  <c r="C77" i="57"/>
  <c r="C180" i="57"/>
  <c r="B209" i="57"/>
  <c r="C154" i="57"/>
  <c r="B75" i="57"/>
  <c r="B108" i="57"/>
  <c r="B177" i="57"/>
  <c r="C87" i="53"/>
  <c r="C109" i="57"/>
  <c r="C86" i="57"/>
  <c r="C235" i="57"/>
  <c r="C252" i="57"/>
  <c r="B152" i="57"/>
  <c r="B87" i="57"/>
  <c r="B186" i="57"/>
  <c r="B97" i="53"/>
  <c r="B165" i="57"/>
  <c r="B258" i="57"/>
  <c r="B70" i="57"/>
  <c r="C118" i="57"/>
  <c r="B83" i="57"/>
  <c r="B86" i="57"/>
  <c r="C114" i="53"/>
  <c r="C232" i="57"/>
  <c r="C247" i="57"/>
  <c r="B161" i="57"/>
  <c r="B68" i="57"/>
  <c r="B193" i="57"/>
  <c r="B154" i="57"/>
  <c r="B119" i="57"/>
  <c r="B125" i="57"/>
  <c r="C67" i="53"/>
  <c r="B212" i="57"/>
  <c r="C207" i="57"/>
  <c r="C211" i="57"/>
  <c r="C234" i="57"/>
  <c r="C103" i="57"/>
  <c r="C161" i="57"/>
  <c r="C244" i="53"/>
  <c r="B299" i="53"/>
  <c r="C200" i="53"/>
  <c r="C191" i="53"/>
  <c r="C131" i="53"/>
  <c r="C164" i="53"/>
  <c r="B78" i="53"/>
  <c r="C39" i="53"/>
  <c r="B248" i="57"/>
  <c r="B253" i="53"/>
  <c r="C308" i="53"/>
  <c r="B403" i="53"/>
  <c r="B143" i="53"/>
  <c r="C128" i="53"/>
  <c r="B86" i="53"/>
  <c r="B154" i="53"/>
  <c r="B25" i="53"/>
  <c r="C128" i="57"/>
  <c r="C372" i="53"/>
  <c r="B256" i="53"/>
  <c r="B301" i="53"/>
  <c r="B84" i="53"/>
  <c r="C179" i="53"/>
  <c r="B164" i="53"/>
  <c r="C64" i="53"/>
  <c r="C57" i="53"/>
  <c r="C100" i="57"/>
  <c r="B291" i="53"/>
  <c r="C224" i="53"/>
  <c r="B98" i="53"/>
  <c r="B398" i="53"/>
  <c r="C262" i="57"/>
  <c r="B175" i="57"/>
  <c r="C199" i="57"/>
  <c r="C122" i="57"/>
  <c r="B157" i="57"/>
  <c r="B65" i="57"/>
  <c r="B230" i="57"/>
  <c r="C82" i="53"/>
  <c r="C224" i="57"/>
  <c r="C120" i="57"/>
  <c r="B243" i="57"/>
  <c r="C140" i="57"/>
  <c r="C110" i="57"/>
  <c r="C98" i="57"/>
  <c r="B249" i="57"/>
  <c r="C66" i="53"/>
  <c r="B245" i="57"/>
  <c r="B82" i="57"/>
  <c r="B60" i="57"/>
  <c r="C57" i="57"/>
  <c r="C137" i="57"/>
  <c r="C191" i="57"/>
  <c r="B237" i="57"/>
  <c r="F10" i="53"/>
  <c r="B134" i="57"/>
  <c r="B202" i="57"/>
  <c r="C205" i="57"/>
  <c r="C145" i="57"/>
  <c r="B238" i="57"/>
  <c r="B127" i="57"/>
  <c r="C166" i="57"/>
  <c r="C55" i="53"/>
  <c r="B130" i="57"/>
  <c r="C119" i="57"/>
  <c r="C220" i="57"/>
  <c r="C240" i="57"/>
  <c r="C152" i="57"/>
  <c r="C182" i="57"/>
  <c r="C166" i="53"/>
  <c r="C217" i="57"/>
  <c r="B141" i="57"/>
  <c r="C243" i="57"/>
  <c r="B77" i="57"/>
  <c r="C227" i="57"/>
  <c r="B204" i="57"/>
  <c r="C254" i="57"/>
  <c r="B178" i="57"/>
  <c r="B192" i="53"/>
  <c r="C121" i="57"/>
  <c r="C97" i="57"/>
  <c r="C208" i="57"/>
  <c r="B181" i="57"/>
  <c r="B126" i="57"/>
  <c r="B208" i="57"/>
  <c r="B263" i="53"/>
  <c r="C216" i="53"/>
  <c r="C189" i="53"/>
  <c r="C152" i="53"/>
  <c r="C136" i="53"/>
  <c r="C112" i="53"/>
  <c r="C78" i="53"/>
  <c r="C54" i="53"/>
  <c r="B160" i="57"/>
  <c r="B439" i="53"/>
  <c r="C297" i="53"/>
  <c r="C229" i="53"/>
  <c r="C125" i="53"/>
  <c r="B90" i="53"/>
  <c r="B123" i="53"/>
  <c r="B167" i="53"/>
  <c r="C44" i="53"/>
  <c r="C126" i="57"/>
  <c r="B220" i="53"/>
  <c r="C491" i="53"/>
  <c r="B273" i="53"/>
  <c r="B152" i="53"/>
  <c r="C117" i="53"/>
  <c r="B215" i="53"/>
  <c r="B132" i="53"/>
  <c r="B35" i="53"/>
  <c r="B46" i="53"/>
  <c r="C302" i="53"/>
  <c r="C391" i="53"/>
  <c r="C176" i="53"/>
  <c r="C316" i="53"/>
  <c r="B139" i="57"/>
  <c r="B123" i="57"/>
  <c r="B94" i="57"/>
  <c r="B61" i="57"/>
  <c r="B103" i="57"/>
  <c r="C80" i="57"/>
  <c r="B201" i="57"/>
  <c r="C146" i="53"/>
  <c r="B132" i="57"/>
  <c r="B220" i="57"/>
  <c r="C239" i="57"/>
  <c r="B93" i="57"/>
  <c r="C189" i="57"/>
  <c r="B66" i="57"/>
  <c r="B166" i="57"/>
  <c r="C99" i="53"/>
  <c r="C101" i="57"/>
  <c r="C261" i="57"/>
  <c r="B91" i="57"/>
  <c r="C111" i="57"/>
  <c r="C124" i="57"/>
  <c r="B118" i="57"/>
  <c r="B180" i="57"/>
  <c r="B126" i="53"/>
  <c r="C74" i="57"/>
  <c r="B109" i="57"/>
  <c r="B97" i="57"/>
  <c r="B261" i="57"/>
  <c r="C92" i="57"/>
  <c r="B294" i="53"/>
  <c r="B391" i="53"/>
  <c r="C265" i="57"/>
  <c r="B71" i="57"/>
  <c r="B235" i="57"/>
  <c r="C259" i="57"/>
  <c r="C256" i="57"/>
  <c r="B211" i="57"/>
  <c r="C214" i="57"/>
  <c r="B85" i="53"/>
  <c r="B153" i="57"/>
  <c r="B219" i="57"/>
  <c r="B223" i="57"/>
  <c r="C242" i="57"/>
  <c r="C204" i="57"/>
  <c r="C94" i="57"/>
  <c r="B259" i="57"/>
  <c r="B183" i="57"/>
  <c r="C48" i="53"/>
  <c r="C251" i="57"/>
  <c r="B172" i="57"/>
  <c r="C187" i="57"/>
  <c r="B171" i="57"/>
  <c r="C110" i="53"/>
  <c r="E98" i="53"/>
  <c r="B288" i="53"/>
  <c r="C279" i="53"/>
  <c r="C158" i="53"/>
  <c r="B59" i="53"/>
  <c r="C151" i="53"/>
  <c r="B146" i="53"/>
  <c r="C56" i="53"/>
  <c r="C15" i="53"/>
  <c r="C213" i="57"/>
  <c r="C261" i="53"/>
  <c r="B141" i="53"/>
  <c r="C314" i="53"/>
  <c r="B111" i="53"/>
  <c r="B95" i="53"/>
  <c r="C46" i="53"/>
  <c r="C148" i="57"/>
  <c r="C116" i="57"/>
  <c r="C183" i="57"/>
  <c r="C71" i="57"/>
  <c r="B215" i="57"/>
  <c r="B189" i="57"/>
  <c r="B111" i="57"/>
  <c r="B173" i="53"/>
  <c r="B244" i="57"/>
  <c r="C167" i="57"/>
  <c r="C255" i="57"/>
  <c r="B143" i="57"/>
  <c r="C185" i="57"/>
  <c r="C79" i="57"/>
  <c r="C127" i="57"/>
  <c r="C119" i="53"/>
  <c r="B163" i="57"/>
  <c r="C215" i="57"/>
  <c r="B214" i="57"/>
  <c r="C173" i="57"/>
  <c r="B242" i="57"/>
  <c r="C200" i="57"/>
  <c r="B147" i="57"/>
  <c r="B223" i="53"/>
  <c r="B232" i="57"/>
  <c r="C85" i="57"/>
  <c r="B213" i="57"/>
  <c r="C179" i="57"/>
  <c r="C143" i="57"/>
  <c r="B197" i="57"/>
  <c r="B209" i="53"/>
  <c r="C60" i="57"/>
  <c r="B124" i="57"/>
  <c r="B216" i="57"/>
  <c r="B187" i="57"/>
  <c r="B205" i="57"/>
  <c r="C236" i="57"/>
  <c r="C76" i="57"/>
  <c r="C83" i="53"/>
  <c r="B151" i="57"/>
  <c r="C221" i="57"/>
  <c r="B120" i="57"/>
  <c r="B252" i="57"/>
  <c r="B67" i="57"/>
  <c r="B156" i="57"/>
  <c r="C159" i="53"/>
  <c r="C315" i="53"/>
  <c r="C203" i="57"/>
  <c r="C87" i="57"/>
  <c r="B63" i="57"/>
  <c r="B253" i="57"/>
  <c r="C222" i="57"/>
  <c r="C93" i="57"/>
  <c r="C470" i="53"/>
  <c r="C220" i="53"/>
  <c r="B181" i="53"/>
  <c r="B89" i="53"/>
  <c r="B69" i="53"/>
  <c r="B101" i="53"/>
  <c r="B118" i="53"/>
  <c r="C163" i="53"/>
  <c r="B29" i="53"/>
  <c r="C69" i="57"/>
  <c r="C214" i="53"/>
  <c r="B238" i="53"/>
  <c r="C74" i="53"/>
  <c r="C81" i="53"/>
  <c r="B110" i="53"/>
  <c r="C108" i="53"/>
  <c r="B180" i="53"/>
  <c r="C20" i="53"/>
  <c r="C583" i="53"/>
  <c r="B280" i="53"/>
  <c r="C256" i="53"/>
  <c r="B70" i="53"/>
  <c r="B134" i="53"/>
  <c r="B82" i="53"/>
  <c r="C121" i="53"/>
  <c r="B112" i="53"/>
  <c r="B39" i="53"/>
  <c r="B305" i="53"/>
  <c r="B239" i="53"/>
  <c r="C282" i="53"/>
  <c r="C194" i="53"/>
  <c r="B211" i="53"/>
  <c r="B72" i="57"/>
  <c r="C83" i="57"/>
  <c r="B200" i="57"/>
  <c r="B191" i="57"/>
  <c r="B239" i="57"/>
  <c r="C195" i="57"/>
  <c r="C188" i="57"/>
  <c r="C11" i="53"/>
  <c r="C81" i="57"/>
  <c r="C106" i="57"/>
  <c r="C156" i="57"/>
  <c r="B80" i="57"/>
  <c r="C58" i="57"/>
  <c r="B101" i="57"/>
  <c r="B207" i="57"/>
  <c r="C34" i="53"/>
  <c r="C158" i="57"/>
  <c r="C72" i="57"/>
  <c r="B236" i="57"/>
  <c r="B210" i="57"/>
  <c r="C91" i="57"/>
  <c r="C155" i="57"/>
  <c r="C131" i="57"/>
  <c r="B58" i="53"/>
  <c r="B145" i="57"/>
  <c r="B136" i="57"/>
  <c r="B246" i="57"/>
  <c r="B195" i="57"/>
  <c r="C168" i="57"/>
  <c r="C196" i="57"/>
  <c r="B295" i="53"/>
  <c r="B138" i="57"/>
  <c r="C192" i="57"/>
  <c r="C210" i="57"/>
  <c r="B224" i="57"/>
  <c r="B73" i="57"/>
  <c r="B162" i="57"/>
  <c r="B85" i="57"/>
  <c r="C97" i="53"/>
  <c r="C114" i="57"/>
  <c r="C133" i="57"/>
  <c r="B149" i="57"/>
  <c r="C104" i="57"/>
  <c r="C73" i="57"/>
  <c r="C123" i="57"/>
  <c r="B169" i="57"/>
  <c r="C246" i="53"/>
  <c r="B188" i="57"/>
  <c r="C260" i="57"/>
  <c r="B262" i="57"/>
  <c r="C241" i="57"/>
  <c r="B199" i="57"/>
  <c r="B140" i="57"/>
  <c r="B366" i="53"/>
  <c r="C274" i="53"/>
  <c r="B343" i="53"/>
  <c r="B73" i="53"/>
  <c r="B125" i="53"/>
  <c r="B150" i="53"/>
  <c r="C172" i="53"/>
  <c r="B76" i="53"/>
  <c r="C25" i="53"/>
  <c r="B461" i="53"/>
  <c r="C321" i="53"/>
  <c r="C227" i="53"/>
  <c r="C111" i="53"/>
  <c r="C175" i="53"/>
  <c r="C123" i="53"/>
  <c r="C80" i="53"/>
  <c r="C300" i="53"/>
  <c r="B34" i="53"/>
  <c r="B402" i="53"/>
  <c r="C303" i="53"/>
  <c r="B240" i="53"/>
  <c r="C124" i="53"/>
  <c r="B106" i="53"/>
  <c r="B307" i="53"/>
  <c r="C153" i="53"/>
  <c r="B539" i="53"/>
  <c r="C184" i="57"/>
  <c r="B198" i="53"/>
  <c r="B264" i="53"/>
  <c r="C254" i="53"/>
  <c r="B186" i="53"/>
  <c r="B64" i="57"/>
  <c r="B78" i="57"/>
  <c r="C88" i="57"/>
  <c r="B104" i="57"/>
  <c r="C153" i="57"/>
  <c r="C222" i="53"/>
  <c r="C219" i="53"/>
  <c r="B92" i="57"/>
  <c r="C171" i="57"/>
  <c r="B105" i="57"/>
  <c r="C117" i="57"/>
  <c r="B257" i="57"/>
  <c r="B88" i="57"/>
  <c r="B52" i="53"/>
  <c r="B270" i="53"/>
  <c r="C105" i="57"/>
  <c r="B240" i="57"/>
  <c r="C112" i="57"/>
  <c r="B231" i="57"/>
  <c r="B226" i="57"/>
  <c r="B228" i="57"/>
  <c r="C173" i="53"/>
  <c r="B319" i="53"/>
  <c r="B198" i="57"/>
  <c r="C257" i="57"/>
  <c r="B266" i="57"/>
  <c r="C201" i="57"/>
  <c r="C194" i="57"/>
  <c r="B222" i="57"/>
  <c r="C68" i="57"/>
  <c r="C86" i="53"/>
  <c r="B260" i="57"/>
  <c r="C223" i="57"/>
  <c r="C248" i="57"/>
  <c r="C244" i="57"/>
  <c r="C253" i="57"/>
  <c r="B112" i="57"/>
  <c r="B204" i="53"/>
  <c r="B90" i="57"/>
  <c r="B59" i="57"/>
  <c r="C159" i="57"/>
  <c r="B117" i="57"/>
  <c r="B135" i="57"/>
  <c r="B264" i="57"/>
  <c r="C169" i="57"/>
  <c r="C174" i="57"/>
  <c r="B93" i="53"/>
  <c r="C178" i="57"/>
  <c r="C216" i="57"/>
  <c r="C160" i="57"/>
  <c r="B234" i="57"/>
  <c r="B225" i="57"/>
  <c r="B121" i="57"/>
  <c r="C444" i="53"/>
  <c r="B367" i="53"/>
  <c r="B275" i="53"/>
  <c r="C171" i="53"/>
  <c r="B129" i="53"/>
  <c r="C145" i="53"/>
  <c r="B117" i="53"/>
  <c r="B33" i="53"/>
  <c r="B98" i="57"/>
  <c r="B218" i="53"/>
  <c r="B210" i="53"/>
  <c r="C313" i="53"/>
  <c r="C120" i="53"/>
  <c r="B174" i="53"/>
  <c r="B91" i="53"/>
  <c r="C103" i="53"/>
  <c r="C32" i="53"/>
  <c r="B159" i="57"/>
  <c r="C236" i="53"/>
  <c r="C305" i="53"/>
  <c r="B232" i="53"/>
  <c r="C92" i="53"/>
  <c r="C156" i="53"/>
  <c r="B145" i="53"/>
  <c r="C79" i="53"/>
  <c r="C36" i="53"/>
  <c r="C225" i="57"/>
  <c r="C328" i="53"/>
  <c r="C278" i="53"/>
  <c r="C198" i="53"/>
  <c r="B183" i="53"/>
  <c r="B138" i="53"/>
  <c r="B255" i="57"/>
  <c r="B109" i="53"/>
  <c r="B219" i="53"/>
  <c r="B229" i="57"/>
  <c r="C193" i="57"/>
  <c r="B184" i="57"/>
  <c r="B424" i="53"/>
  <c r="B203" i="57"/>
  <c r="C66" i="57"/>
  <c r="C165" i="57"/>
  <c r="B55" i="53"/>
  <c r="C82" i="57"/>
  <c r="C130" i="53"/>
  <c r="B192" i="57"/>
  <c r="C233" i="57"/>
  <c r="B84" i="57"/>
  <c r="B249" i="53"/>
  <c r="C49" i="53"/>
  <c r="C427" i="53"/>
  <c r="C573" i="53"/>
  <c r="C77" i="53"/>
  <c r="B300" i="53"/>
  <c r="C90" i="57"/>
  <c r="B131" i="53"/>
  <c r="C273" i="53"/>
  <c r="C50" i="53"/>
  <c r="C95" i="53"/>
  <c r="C229" i="57"/>
  <c r="B114" i="57"/>
  <c r="B79" i="57"/>
  <c r="C170" i="57"/>
  <c r="C238" i="57"/>
  <c r="B128" i="57"/>
  <c r="C250" i="57"/>
  <c r="B179" i="57"/>
  <c r="C141" i="57"/>
  <c r="C102" i="57"/>
  <c r="C197" i="57"/>
  <c r="B185" i="57"/>
  <c r="C107" i="57"/>
  <c r="B254" i="57"/>
  <c r="B175" i="53"/>
  <c r="B272" i="53"/>
  <c r="B100" i="57"/>
  <c r="B71" i="53"/>
  <c r="C281" i="53"/>
  <c r="C27" i="53"/>
  <c r="B158" i="53"/>
  <c r="C113" i="57"/>
  <c r="C64" i="57"/>
  <c r="C70" i="57"/>
  <c r="B57" i="57"/>
  <c r="C142" i="53"/>
  <c r="C136" i="57"/>
  <c r="B95" i="57"/>
  <c r="C115" i="57"/>
  <c r="B251" i="57"/>
  <c r="C175" i="57"/>
  <c r="C108" i="57"/>
  <c r="C246" i="57"/>
  <c r="C263" i="57"/>
  <c r="B146" i="57"/>
  <c r="C248" i="53"/>
  <c r="B20" i="53"/>
  <c r="B87" i="53"/>
  <c r="B328" i="53"/>
  <c r="C84" i="57"/>
  <c r="B104" i="53"/>
  <c r="C326" i="53"/>
  <c r="C70" i="53"/>
  <c r="B451" i="53"/>
  <c r="B190" i="57"/>
  <c r="C150" i="57"/>
  <c r="C129" i="57"/>
  <c r="C96" i="57"/>
  <c r="B81" i="57"/>
  <c r="C177" i="57"/>
  <c r="B221" i="57"/>
  <c r="B217" i="57"/>
  <c r="C198" i="57"/>
  <c r="B89" i="57"/>
  <c r="C146" i="57"/>
  <c r="B174" i="57"/>
  <c r="C125" i="57"/>
  <c r="C544" i="53"/>
  <c r="C154" i="53"/>
  <c r="C71" i="53"/>
  <c r="B267" i="53"/>
  <c r="C63" i="53"/>
  <c r="B179" i="53"/>
  <c r="B233" i="53"/>
  <c r="B165" i="53"/>
  <c r="B243" i="53"/>
  <c r="B122" i="57"/>
  <c r="C206" i="57"/>
  <c r="C157" i="57"/>
  <c r="C67" i="57"/>
  <c r="C230" i="57"/>
  <c r="B148" i="57"/>
  <c r="B256" i="57"/>
  <c r="C264" i="57"/>
  <c r="B233" i="57"/>
  <c r="C138" i="57"/>
  <c r="C61" i="57"/>
  <c r="C99" i="57"/>
  <c r="B133" i="57"/>
  <c r="B63" i="53"/>
  <c r="B754" i="55"/>
  <c r="L382" i="55" a="1"/>
  <c r="L382" i="55" s="1"/>
  <c r="K382" i="55" a="1"/>
  <c r="K382" i="55" s="1"/>
  <c r="L258" i="55" a="1"/>
  <c r="L258" i="55" s="1"/>
  <c r="K320" i="55" a="1"/>
  <c r="K320" i="55" s="1"/>
  <c r="L227" i="55" a="1"/>
  <c r="L227" i="55" s="1"/>
  <c r="L537" i="55" a="1"/>
  <c r="L537" i="55" s="1"/>
  <c r="B537" i="55"/>
  <c r="L413" i="55" a="1"/>
  <c r="L413" i="55" s="1"/>
  <c r="K413" i="55" a="1"/>
  <c r="K413" i="55" s="1"/>
  <c r="B723" i="55"/>
  <c r="L351" i="55" a="1"/>
  <c r="L351" i="55" s="1"/>
  <c r="K351" i="55" a="1"/>
  <c r="K351" i="55" s="1"/>
  <c r="L289" i="55" a="1"/>
  <c r="L289" i="55" s="1"/>
  <c r="K289" i="55" a="1"/>
  <c r="K289" i="55" s="1"/>
  <c r="B9" i="55"/>
  <c r="K9" i="55" a="1"/>
  <c r="K9" i="55" s="1"/>
  <c r="L9" i="55" a="1"/>
  <c r="L9" i="55" s="1"/>
  <c r="B661" i="55"/>
  <c r="B630" i="55"/>
  <c r="L41" i="55" a="1"/>
  <c r="L41" i="55" s="1"/>
  <c r="K41" i="55" a="1"/>
  <c r="K41" i="55" s="1"/>
  <c r="B599" i="55"/>
  <c r="B568" i="55"/>
  <c r="L165" i="55" a="1"/>
  <c r="L165" i="55" s="1"/>
  <c r="K165" i="55" a="1"/>
  <c r="K165" i="55" s="1"/>
  <c r="K134" i="55" a="1"/>
  <c r="K134" i="55" s="1"/>
  <c r="K103" i="55" a="1"/>
  <c r="K103" i="55" s="1"/>
  <c r="L103" i="55" a="1"/>
  <c r="L103" i="55" s="1"/>
  <c r="B692" i="55"/>
  <c r="L72" i="55" a="1"/>
  <c r="L72" i="55" s="1"/>
  <c r="K72" i="55" a="1"/>
  <c r="K72" i="55" s="1"/>
  <c r="L196" i="55" a="1"/>
  <c r="L196" i="55" s="1"/>
  <c r="K196" i="55" a="1"/>
  <c r="K196" i="55" s="1"/>
  <c r="K754" i="55" a="1"/>
  <c r="K754" i="55" s="1"/>
  <c r="L754" i="55" a="1"/>
  <c r="L754" i="55" s="1"/>
  <c r="L723" i="55" a="1"/>
  <c r="L723" i="55" s="1"/>
  <c r="K723" i="55" a="1"/>
  <c r="K723" i="55" s="1"/>
  <c r="L692" i="55" a="1"/>
  <c r="L692" i="55" s="1"/>
  <c r="K692" i="55" a="1"/>
  <c r="K692" i="55" s="1"/>
  <c r="K661" i="55" a="1"/>
  <c r="K661" i="55" s="1"/>
  <c r="L661" i="55" a="1"/>
  <c r="L661" i="55" s="1"/>
  <c r="K630" i="55" a="1"/>
  <c r="K630" i="55" s="1"/>
  <c r="L630" i="55" a="1"/>
  <c r="L630" i="55" s="1"/>
  <c r="K599" i="55" a="1"/>
  <c r="K599" i="55" s="1"/>
  <c r="L599" i="55" a="1"/>
  <c r="L599" i="55" s="1"/>
  <c r="K568" i="55" a="1"/>
  <c r="K568" i="55" s="1"/>
  <c r="L568" i="55" a="1"/>
  <c r="L568" i="55" s="1"/>
  <c r="E9" i="57" l="1"/>
  <c r="G9" i="57"/>
  <c r="L9" i="57"/>
  <c r="H9" i="57"/>
  <c r="D9" i="57"/>
  <c r="F9" i="57"/>
  <c r="K8" i="53"/>
  <c r="L8" i="53" s="1"/>
  <c r="G9" i="53"/>
  <c r="D9" i="53"/>
  <c r="F9" i="53"/>
  <c r="L31" i="53"/>
  <c r="L13" i="53"/>
  <c r="L28" i="53"/>
  <c r="H9" i="53"/>
  <c r="E9" i="53"/>
  <c r="L27" i="53"/>
  <c r="L19" i="53"/>
  <c r="L18" i="53"/>
  <c r="L23" i="53"/>
  <c r="L16" i="53"/>
  <c r="J9" i="53" a="1"/>
  <c r="L24" i="53"/>
  <c r="L15" i="53"/>
  <c r="L29" i="53"/>
  <c r="L26" i="53"/>
  <c r="L20" i="53"/>
  <c r="L22" i="53"/>
  <c r="L25" i="53"/>
  <c r="L17" i="53"/>
  <c r="L21" i="53"/>
  <c r="L14" i="53"/>
  <c r="L30" i="53"/>
  <c r="B459" i="57"/>
  <c r="B448" i="55"/>
  <c r="B470" i="55"/>
  <c r="C419" i="57"/>
  <c r="C322" i="57"/>
  <c r="C283" i="57"/>
  <c r="C404" i="57"/>
  <c r="B512" i="57"/>
  <c r="C328" i="57"/>
  <c r="B553" i="55"/>
  <c r="B485" i="55"/>
  <c r="B301" i="57"/>
  <c r="B267" i="57"/>
  <c r="C330" i="57"/>
  <c r="C388" i="57"/>
  <c r="B355" i="57"/>
  <c r="B562" i="57"/>
  <c r="C500" i="57"/>
  <c r="B697" i="55"/>
  <c r="C476" i="57"/>
  <c r="B572" i="57"/>
  <c r="C532" i="57"/>
  <c r="B686" i="55"/>
  <c r="B583" i="55"/>
  <c r="C348" i="57"/>
  <c r="C381" i="57"/>
  <c r="B276" i="57"/>
  <c r="B460" i="55"/>
  <c r="B685" i="55"/>
  <c r="C581" i="57"/>
  <c r="B487" i="55"/>
  <c r="B645" i="55"/>
  <c r="B535" i="57"/>
  <c r="C413" i="57"/>
  <c r="C460" i="57"/>
  <c r="B330" i="57"/>
  <c r="B729" i="55"/>
  <c r="B429" i="57"/>
  <c r="B513" i="57"/>
  <c r="C400" i="57"/>
  <c r="B594" i="55"/>
  <c r="C558" i="57"/>
  <c r="B479" i="57"/>
  <c r="C579" i="57"/>
  <c r="B701" i="55"/>
  <c r="C340" i="57"/>
  <c r="B500" i="57"/>
  <c r="C289" i="57"/>
  <c r="C407" i="57"/>
  <c r="B304" i="57"/>
  <c r="C565" i="57"/>
  <c r="C347" i="57"/>
  <c r="B445" i="55"/>
  <c r="B400" i="57"/>
  <c r="C288" i="57"/>
  <c r="B371" i="57"/>
  <c r="B436" i="57"/>
  <c r="C298" i="57"/>
  <c r="B668" i="55"/>
  <c r="C386" i="57"/>
  <c r="C576" i="57"/>
  <c r="B523" i="55"/>
  <c r="B543" i="57"/>
  <c r="B625" i="55"/>
  <c r="B466" i="57"/>
  <c r="C498" i="57"/>
  <c r="B269" i="57"/>
  <c r="C491" i="57"/>
  <c r="B362" i="57"/>
  <c r="C287" i="57"/>
  <c r="B448" i="57"/>
  <c r="C525" i="57"/>
  <c r="C378" i="57"/>
  <c r="C556" i="57"/>
  <c r="C274" i="57"/>
  <c r="B434" i="57"/>
  <c r="C526" i="57"/>
  <c r="B574" i="57"/>
  <c r="B496" i="55"/>
  <c r="B555" i="57"/>
  <c r="B449" i="55"/>
  <c r="B401" i="57"/>
  <c r="B502" i="57"/>
  <c r="B758" i="55"/>
  <c r="B397" i="57"/>
  <c r="C389" i="57"/>
  <c r="C313" i="57"/>
  <c r="B437" i="57"/>
  <c r="B523" i="57"/>
  <c r="C299" i="57"/>
  <c r="B742" i="55"/>
  <c r="B478" i="55"/>
  <c r="B497" i="55"/>
  <c r="C334" i="57"/>
  <c r="C523" i="57"/>
  <c r="C280" i="57"/>
  <c r="B518" i="57"/>
  <c r="C492" i="57"/>
  <c r="C417" i="57"/>
  <c r="B486" i="57"/>
  <c r="B524" i="57"/>
  <c r="B392" i="57"/>
  <c r="B539" i="57"/>
  <c r="B693" i="55"/>
  <c r="B506" i="55"/>
  <c r="B446" i="57"/>
  <c r="B499" i="57"/>
  <c r="C373" i="57"/>
  <c r="B551" i="57"/>
  <c r="C292" i="57"/>
  <c r="B531" i="55"/>
  <c r="B653" i="55"/>
  <c r="C503" i="57"/>
  <c r="B480" i="57"/>
  <c r="C542" i="57"/>
  <c r="C430" i="57"/>
  <c r="C555" i="57"/>
  <c r="C332" i="57"/>
  <c r="C489" i="57"/>
  <c r="B554" i="57"/>
  <c r="B773" i="55"/>
  <c r="B455" i="57"/>
  <c r="C468" i="57"/>
  <c r="C452" i="57"/>
  <c r="B453" i="55"/>
  <c r="C436" i="57"/>
  <c r="B588" i="55"/>
  <c r="B706" i="55"/>
  <c r="C317" i="57"/>
  <c r="B478" i="57"/>
  <c r="C397" i="57"/>
  <c r="C357" i="57"/>
  <c r="B557" i="57"/>
  <c r="B613" i="55"/>
  <c r="B600" i="55"/>
  <c r="C593" i="57"/>
  <c r="B682" i="55"/>
  <c r="B747" i="55"/>
  <c r="C493" i="57"/>
  <c r="B565" i="57"/>
  <c r="C553" i="57"/>
  <c r="C568" i="57"/>
  <c r="B338" i="57"/>
  <c r="B741" i="55"/>
  <c r="B703" i="55"/>
  <c r="C443" i="57"/>
  <c r="B272" i="57"/>
  <c r="B347" i="57"/>
  <c r="C278" i="57"/>
  <c r="B575" i="57"/>
  <c r="B451" i="55"/>
  <c r="B308" i="57"/>
  <c r="B527" i="55"/>
  <c r="C432" i="57"/>
  <c r="C580" i="57"/>
  <c r="B582" i="55"/>
  <c r="C362" i="57"/>
  <c r="C587" i="57"/>
  <c r="B274" i="57"/>
  <c r="B452" i="57"/>
  <c r="C563" i="57"/>
  <c r="C578" i="57"/>
  <c r="B339" i="57"/>
  <c r="C494" i="57"/>
  <c r="B329" i="57"/>
  <c r="B358" i="57"/>
  <c r="C453" i="57"/>
  <c r="B349" i="57"/>
  <c r="B315" i="57"/>
  <c r="B473" i="57"/>
  <c r="B546" i="57"/>
  <c r="B458" i="55"/>
  <c r="C469" i="57"/>
  <c r="C421" i="57"/>
  <c r="C496" i="57"/>
  <c r="C365" i="57"/>
  <c r="B520" i="55"/>
  <c r="C589" i="57"/>
  <c r="C560" i="57"/>
  <c r="B476" i="57"/>
  <c r="B36" i="55"/>
  <c r="B542" i="57"/>
  <c r="B491" i="55"/>
  <c r="B581" i="55"/>
  <c r="C427" i="57"/>
  <c r="B586" i="55"/>
  <c r="B737" i="55"/>
  <c r="C371" i="57"/>
  <c r="C539" i="57"/>
  <c r="B302" i="57"/>
  <c r="B490" i="57"/>
  <c r="B450" i="57"/>
  <c r="B777" i="55"/>
  <c r="B687" i="55"/>
  <c r="B399" i="57"/>
  <c r="B379" i="57"/>
  <c r="B463" i="55"/>
  <c r="C448" i="57"/>
  <c r="C567" i="57"/>
  <c r="C536" i="57"/>
  <c r="B552" i="57"/>
  <c r="B317" i="57"/>
  <c r="C327" i="57"/>
  <c r="B353" i="57"/>
  <c r="C447" i="57"/>
  <c r="B681" i="55"/>
  <c r="B714" i="55"/>
  <c r="C550" i="57"/>
  <c r="B762" i="55"/>
  <c r="B563" i="55"/>
  <c r="B498" i="57"/>
  <c r="B574" i="55"/>
  <c r="B732" i="55"/>
  <c r="B298" i="57"/>
  <c r="C291" i="57"/>
  <c r="B322" i="57"/>
  <c r="B548" i="57"/>
  <c r="B678" i="55"/>
  <c r="B484" i="55"/>
  <c r="B529" i="57"/>
  <c r="B748" i="55"/>
  <c r="C547" i="57"/>
  <c r="B398" i="57"/>
  <c r="B779" i="55"/>
  <c r="B736" i="55"/>
  <c r="C473" i="57"/>
  <c r="B702" i="55"/>
  <c r="B324" i="57"/>
  <c r="B749" i="55"/>
  <c r="B431" i="57"/>
  <c r="B479" i="55"/>
  <c r="C481" i="57"/>
  <c r="B366" i="57"/>
  <c r="B606" i="55"/>
  <c r="C577" i="57"/>
  <c r="C352" i="57"/>
  <c r="C300" i="57"/>
  <c r="C418" i="57"/>
  <c r="B503" i="57"/>
  <c r="C411" i="57"/>
  <c r="C315" i="57"/>
  <c r="B556" i="57"/>
  <c r="C338" i="57"/>
  <c r="B477" i="55"/>
  <c r="B423" i="57"/>
  <c r="B540" i="57"/>
  <c r="B445" i="57"/>
  <c r="C301" i="57"/>
  <c r="B769" i="55"/>
  <c r="B290" i="57"/>
  <c r="C285" i="57"/>
  <c r="B270" i="57"/>
  <c r="B472" i="57"/>
  <c r="B453" i="57"/>
  <c r="B665" i="55"/>
  <c r="C470" i="57"/>
  <c r="C515" i="57"/>
  <c r="B495" i="55"/>
  <c r="C293" i="57"/>
  <c r="B734" i="55"/>
  <c r="B590" i="57"/>
  <c r="C286" i="57"/>
  <c r="B396" i="57"/>
  <c r="B446" i="55"/>
  <c r="C341" i="57"/>
  <c r="C395" i="57"/>
  <c r="B588" i="57"/>
  <c r="C451" i="57"/>
  <c r="C358" i="57"/>
  <c r="B704" i="55"/>
  <c r="B529" i="55"/>
  <c r="B421" i="57"/>
  <c r="C477" i="57"/>
  <c r="B538" i="57"/>
  <c r="C416" i="57"/>
  <c r="C458" i="57"/>
  <c r="B467" i="55"/>
  <c r="B740" i="55"/>
  <c r="B526" i="57"/>
  <c r="B778" i="55"/>
  <c r="B424" i="57"/>
  <c r="B390" i="57"/>
  <c r="B605" i="55"/>
  <c r="B382" i="57"/>
  <c r="C459" i="57"/>
  <c r="B624" i="55"/>
  <c r="B296" i="57"/>
  <c r="B393" i="57"/>
  <c r="B651" i="55"/>
  <c r="C524" i="57"/>
  <c r="C350" i="57"/>
  <c r="B695" i="55"/>
  <c r="C571" i="57"/>
  <c r="C343" i="57"/>
  <c r="B710" i="55"/>
  <c r="C549" i="57"/>
  <c r="B675" i="55"/>
  <c r="B649" i="55"/>
  <c r="B283" i="57"/>
  <c r="B735" i="55"/>
  <c r="C351" i="57"/>
  <c r="B559" i="57"/>
  <c r="C541" i="57"/>
  <c r="B705" i="55"/>
  <c r="B514" i="57"/>
  <c r="B386" i="57"/>
  <c r="B489" i="55"/>
  <c r="B456" i="55"/>
  <c r="B619" i="55"/>
  <c r="C335" i="57"/>
  <c r="B430" i="57"/>
  <c r="C487" i="57"/>
  <c r="B507" i="55"/>
  <c r="B699" i="55"/>
  <c r="C401" i="57"/>
  <c r="B599" i="57"/>
  <c r="B277" i="57"/>
  <c r="B615" i="55"/>
  <c r="B515" i="55"/>
  <c r="C316" i="57"/>
  <c r="B712" i="55"/>
  <c r="C514" i="57"/>
  <c r="B428" i="57"/>
  <c r="B306" i="57"/>
  <c r="B391" i="57"/>
  <c r="B412" i="57"/>
  <c r="C528" i="57"/>
  <c r="B369" i="57"/>
  <c r="B327" i="57"/>
  <c r="B648" i="55"/>
  <c r="C425" i="57"/>
  <c r="C534" i="57"/>
  <c r="B416" i="57"/>
  <c r="B519" i="55"/>
  <c r="B534" i="57"/>
  <c r="B511" i="55"/>
  <c r="B667" i="55"/>
  <c r="B509" i="57"/>
  <c r="C566" i="57"/>
  <c r="B357" i="57"/>
  <c r="C441" i="57"/>
  <c r="C433" i="57"/>
  <c r="B556" i="55"/>
  <c r="B708" i="55"/>
  <c r="B728" i="55"/>
  <c r="B560" i="55"/>
  <c r="B361" i="57"/>
  <c r="C423" i="57"/>
  <c r="B510" i="55"/>
  <c r="C575" i="57"/>
  <c r="B616" i="55"/>
  <c r="B672" i="55"/>
  <c r="B321" i="57"/>
  <c r="B581" i="57"/>
  <c r="B582" i="57"/>
  <c r="B646" i="55"/>
  <c r="C518" i="57"/>
  <c r="B323" i="57"/>
  <c r="C354" i="57"/>
  <c r="B492" i="57"/>
  <c r="B554" i="55"/>
  <c r="B34" i="55"/>
  <c r="C457" i="57"/>
  <c r="B577" i="55"/>
  <c r="B483" i="55"/>
  <c r="C297" i="57"/>
  <c r="B331" i="57"/>
  <c r="B571" i="55"/>
  <c r="B561" i="57"/>
  <c r="C324" i="57"/>
  <c r="B337" i="57"/>
  <c r="B486" i="55"/>
  <c r="C325" i="57"/>
  <c r="B521" i="55"/>
  <c r="B763" i="55"/>
  <c r="B775" i="55"/>
  <c r="B761" i="55"/>
  <c r="B604" i="55"/>
  <c r="C444" i="57"/>
  <c r="C495" i="57"/>
  <c r="C490" i="57"/>
  <c r="C446" i="57"/>
  <c r="C368" i="57"/>
  <c r="C594" i="57"/>
  <c r="B286" i="57"/>
  <c r="B575" i="55"/>
  <c r="C474" i="57"/>
  <c r="B739" i="55"/>
  <c r="B508" i="57"/>
  <c r="B555" i="55"/>
  <c r="C396" i="57"/>
  <c r="C321" i="57"/>
  <c r="B759" i="55"/>
  <c r="C336" i="57"/>
  <c r="B505" i="57"/>
  <c r="B495" i="57"/>
  <c r="C346" i="57"/>
  <c r="B465" i="55"/>
  <c r="B476" i="55"/>
  <c r="B408" i="57"/>
  <c r="C364" i="57"/>
  <c r="B417" i="57"/>
  <c r="B663" i="55"/>
  <c r="B377" i="57"/>
  <c r="C488" i="57"/>
  <c r="C273" i="57"/>
  <c r="B608" i="55"/>
  <c r="B466" i="55"/>
  <c r="C394" i="57"/>
  <c r="B537" i="57"/>
  <c r="B459" i="55"/>
  <c r="B368" i="57"/>
  <c r="B425" i="57"/>
  <c r="C414" i="57"/>
  <c r="B669" i="55"/>
  <c r="B563" i="57"/>
  <c r="C508" i="57"/>
  <c r="B569" i="57"/>
  <c r="B622" i="55"/>
  <c r="B760" i="55"/>
  <c r="B404" i="57"/>
  <c r="B572" i="55"/>
  <c r="C561" i="57"/>
  <c r="B468" i="57"/>
  <c r="B281" i="57"/>
  <c r="B593" i="57"/>
  <c r="B351" i="57"/>
  <c r="B612" i="55"/>
  <c r="C546" i="57"/>
  <c r="B743" i="55"/>
  <c r="B30" i="55"/>
  <c r="B564" i="57"/>
  <c r="B589" i="55"/>
  <c r="B655" i="55"/>
  <c r="B498" i="55"/>
  <c r="C415" i="57"/>
  <c r="B316" i="57"/>
  <c r="B774" i="55"/>
  <c r="B725" i="55"/>
  <c r="C557" i="57"/>
  <c r="B744" i="55"/>
  <c r="B388" i="57"/>
  <c r="B481" i="57"/>
  <c r="C391" i="57"/>
  <c r="C402" i="57"/>
  <c r="C267" i="57"/>
  <c r="C533" i="57"/>
  <c r="B656" i="55"/>
  <c r="B312" i="57"/>
  <c r="B450" i="55"/>
  <c r="B511" i="57"/>
  <c r="B562" i="55"/>
  <c r="B683" i="55"/>
  <c r="C282" i="57"/>
  <c r="B387" i="57"/>
  <c r="B591" i="55"/>
  <c r="B709" i="55"/>
  <c r="B715" i="55"/>
  <c r="B610" i="55"/>
  <c r="C450" i="57"/>
  <c r="C438" i="57"/>
  <c r="B596" i="57"/>
  <c r="B569" i="55"/>
  <c r="B471" i="57"/>
  <c r="B292" i="57"/>
  <c r="B746" i="55"/>
  <c r="B375" i="57"/>
  <c r="B694" i="55"/>
  <c r="B589" i="57"/>
  <c r="B467" i="57"/>
  <c r="B553" i="57"/>
  <c r="B28" i="55"/>
  <c r="B501" i="55"/>
  <c r="B716" i="55"/>
  <c r="C353" i="57"/>
  <c r="B755" i="55"/>
  <c r="B584" i="55"/>
  <c r="B409" i="57"/>
  <c r="B671" i="55"/>
  <c r="B664" i="55"/>
  <c r="C564" i="57"/>
  <c r="B279" i="57"/>
  <c r="B757" i="55"/>
  <c r="C437" i="57"/>
  <c r="C506" i="57"/>
  <c r="B576" i="55"/>
  <c r="B432" i="57"/>
  <c r="B496" i="57"/>
  <c r="B364" i="57"/>
  <c r="B587" i="55"/>
  <c r="B730" i="55"/>
  <c r="B724" i="55"/>
  <c r="B454" i="57"/>
  <c r="C281" i="57"/>
  <c r="B520" i="57"/>
  <c r="B487" i="57"/>
  <c r="C530" i="57"/>
  <c r="B510" i="57"/>
  <c r="C554" i="57"/>
  <c r="B485" i="57"/>
  <c r="B764" i="55"/>
  <c r="B532" i="55"/>
  <c r="C483" i="57"/>
  <c r="B515" i="57"/>
  <c r="B552" i="55"/>
  <c r="B457" i="57"/>
  <c r="C385" i="57"/>
  <c r="B532" i="57"/>
  <c r="B662" i="55"/>
  <c r="C540" i="57"/>
  <c r="B514" i="55"/>
  <c r="B493" i="57"/>
  <c r="B558" i="57"/>
  <c r="B684" i="55"/>
  <c r="B508" i="55"/>
  <c r="C323" i="57"/>
  <c r="B666" i="55"/>
  <c r="C309" i="57"/>
  <c r="B346" i="57"/>
  <c r="C376" i="57"/>
  <c r="B403" i="57"/>
  <c r="C359" i="57"/>
  <c r="C595" i="57"/>
  <c r="B541" i="57"/>
  <c r="C272" i="57"/>
  <c r="B343" i="57"/>
  <c r="C462" i="57"/>
  <c r="B372" i="57"/>
  <c r="C412" i="57"/>
  <c r="B567" i="57"/>
  <c r="C355" i="57"/>
  <c r="C349" i="57"/>
  <c r="C271" i="57"/>
  <c r="C426" i="57"/>
  <c r="B580" i="57"/>
  <c r="B530" i="55"/>
  <c r="C517" i="57"/>
  <c r="B544" i="55"/>
  <c r="B551" i="55"/>
  <c r="B354" i="57"/>
  <c r="B287" i="57"/>
  <c r="C296" i="57"/>
  <c r="B533" i="57"/>
  <c r="C600" i="57"/>
  <c r="C596" i="57"/>
  <c r="C290" i="57"/>
  <c r="C499" i="57"/>
  <c r="C379" i="57"/>
  <c r="C304" i="57"/>
  <c r="B289" i="57"/>
  <c r="B291" i="57"/>
  <c r="B435" i="57"/>
  <c r="B23" i="55"/>
  <c r="B19" i="55"/>
  <c r="B16" i="55"/>
  <c r="C363" i="57"/>
  <c r="C442" i="57"/>
  <c r="C507" i="57"/>
  <c r="B447" i="55"/>
  <c r="B492" i="55"/>
  <c r="C478" i="57"/>
  <c r="B441" i="57"/>
  <c r="B454" i="55"/>
  <c r="B488" i="57"/>
  <c r="B326" i="57"/>
  <c r="B776" i="55"/>
  <c r="B483" i="57"/>
  <c r="B586" i="57"/>
  <c r="B442" i="57"/>
  <c r="B512" i="55"/>
  <c r="B465" i="57"/>
  <c r="C466" i="57"/>
  <c r="B365" i="57"/>
  <c r="B647" i="55"/>
  <c r="C403" i="57"/>
  <c r="B587" i="57"/>
  <c r="B468" i="55"/>
  <c r="C275" i="57"/>
  <c r="B285" i="57"/>
  <c r="B726" i="55"/>
  <c r="B557" i="55"/>
  <c r="C377" i="57"/>
  <c r="C572" i="57"/>
  <c r="C465" i="57"/>
  <c r="B594" i="57"/>
  <c r="B711" i="55"/>
  <c r="C535" i="57"/>
  <c r="B356" i="57"/>
  <c r="B727" i="55"/>
  <c r="C570" i="57"/>
  <c r="C512" i="57"/>
  <c r="C420" i="57"/>
  <c r="C399" i="57"/>
  <c r="B528" i="55"/>
  <c r="C382" i="57"/>
  <c r="C591" i="57"/>
  <c r="B462" i="57"/>
  <c r="C356" i="57"/>
  <c r="B541" i="55"/>
  <c r="C588" i="57"/>
  <c r="B490" i="55"/>
  <c r="C431" i="57"/>
  <c r="B297" i="57"/>
  <c r="C585" i="57"/>
  <c r="C520" i="57"/>
  <c r="B303" i="57"/>
  <c r="C374" i="57"/>
  <c r="C552" i="57"/>
  <c r="C270" i="57"/>
  <c r="C456" i="57"/>
  <c r="C501" i="57"/>
  <c r="B475" i="57"/>
  <c r="C406" i="57"/>
  <c r="B14" i="55"/>
  <c r="B643" i="55"/>
  <c r="B652" i="55"/>
  <c r="C422" i="57"/>
  <c r="C537" i="57"/>
  <c r="B597" i="57"/>
  <c r="B525" i="55"/>
  <c r="B580" i="55"/>
  <c r="B670" i="55"/>
  <c r="B359" i="57"/>
  <c r="B273" i="57"/>
  <c r="B373" i="57"/>
  <c r="B457" i="55"/>
  <c r="B494" i="57"/>
  <c r="B439" i="57"/>
  <c r="B319" i="57"/>
  <c r="B544" i="57"/>
  <c r="C345" i="57"/>
  <c r="B413" i="57"/>
  <c r="C511" i="57"/>
  <c r="C392" i="57"/>
  <c r="B623" i="55"/>
  <c r="B578" i="55"/>
  <c r="B350" i="57"/>
  <c r="B579" i="55"/>
  <c r="C337" i="57"/>
  <c r="B507" i="57"/>
  <c r="B767" i="55"/>
  <c r="C307" i="57"/>
  <c r="B590" i="55"/>
  <c r="C302" i="57"/>
  <c r="B506" i="57"/>
  <c r="B550" i="57"/>
  <c r="C527" i="57"/>
  <c r="B426" i="57"/>
  <c r="B614" i="55"/>
  <c r="B772" i="55"/>
  <c r="B509" i="55"/>
  <c r="B469" i="57"/>
  <c r="C314" i="57"/>
  <c r="C504" i="57"/>
  <c r="B550" i="55"/>
  <c r="C276" i="57"/>
  <c r="C584" i="57"/>
  <c r="C306" i="57"/>
  <c r="C480" i="57"/>
  <c r="B674" i="55"/>
  <c r="B333" i="57"/>
  <c r="C277" i="57"/>
  <c r="B352" i="57"/>
  <c r="B566" i="57"/>
  <c r="B332" i="57"/>
  <c r="B584" i="57"/>
  <c r="C326" i="57"/>
  <c r="C361" i="57"/>
  <c r="B447" i="57"/>
  <c r="B18" i="55"/>
  <c r="B13" i="55"/>
  <c r="B644" i="55"/>
  <c r="B654" i="55"/>
  <c r="B536" i="57"/>
  <c r="B650" i="55"/>
  <c r="C440" i="57"/>
  <c r="B617" i="55"/>
  <c r="C319" i="57"/>
  <c r="B405" i="57"/>
  <c r="C586" i="57"/>
  <c r="B756" i="55"/>
  <c r="B452" i="55"/>
  <c r="C529" i="57"/>
  <c r="B433" i="57"/>
  <c r="B527" i="57"/>
  <c r="B592" i="57"/>
  <c r="B489" i="57"/>
  <c r="B620" i="55"/>
  <c r="C329" i="57"/>
  <c r="C429" i="57"/>
  <c r="C509" i="57"/>
  <c r="B427" i="57"/>
  <c r="B310" i="57"/>
  <c r="B559" i="55"/>
  <c r="B311" i="57"/>
  <c r="B314" i="57"/>
  <c r="C380" i="57"/>
  <c r="C559" i="57"/>
  <c r="B455" i="55"/>
  <c r="B585" i="55"/>
  <c r="C502" i="57"/>
  <c r="C562" i="57"/>
  <c r="C521" i="57"/>
  <c r="B491" i="57"/>
  <c r="C311" i="57"/>
  <c r="B419" i="57"/>
  <c r="B698" i="55"/>
  <c r="B33" i="55"/>
  <c r="B383" i="57"/>
  <c r="B374" i="57"/>
  <c r="B378" i="57"/>
  <c r="C409" i="57"/>
  <c r="B380" i="57"/>
  <c r="B538" i="55"/>
  <c r="B549" i="55"/>
  <c r="C387" i="57"/>
  <c r="C449" i="57"/>
  <c r="C471" i="57"/>
  <c r="B282" i="57"/>
  <c r="B568" i="57"/>
  <c r="C590" i="57"/>
  <c r="C482" i="57"/>
  <c r="B305" i="57"/>
  <c r="C269" i="57"/>
  <c r="C551" i="57"/>
  <c r="C305" i="57"/>
  <c r="C598" i="57"/>
  <c r="C513" i="57"/>
  <c r="B26" i="55"/>
  <c r="B15" i="55"/>
  <c r="B22" i="55"/>
  <c r="B11" i="55"/>
  <c r="B602" i="55"/>
  <c r="B766" i="55"/>
  <c r="B480" i="55"/>
  <c r="B595" i="57"/>
  <c r="B780" i="55"/>
  <c r="C569" i="57"/>
  <c r="B607" i="55"/>
  <c r="C455" i="57"/>
  <c r="B583" i="57"/>
  <c r="B418" i="57"/>
  <c r="B411" i="57"/>
  <c r="B444" i="55"/>
  <c r="B288" i="57"/>
  <c r="B363" i="57"/>
  <c r="B717" i="55"/>
  <c r="B522" i="55"/>
  <c r="B561" i="55"/>
  <c r="B504" i="57"/>
  <c r="B611" i="55"/>
  <c r="B592" i="55"/>
  <c r="B460" i="57"/>
  <c r="C398" i="57"/>
  <c r="C592" i="57"/>
  <c r="C543" i="57"/>
  <c r="B469" i="55"/>
  <c r="B493" i="55"/>
  <c r="B494" i="55"/>
  <c r="B482" i="55"/>
  <c r="B524" i="55"/>
  <c r="C303" i="57"/>
  <c r="B549" i="57"/>
  <c r="B395" i="57"/>
  <c r="B528" i="57"/>
  <c r="B268" i="57"/>
  <c r="C497" i="57"/>
  <c r="B307" i="57"/>
  <c r="B294" i="57"/>
  <c r="B525" i="57"/>
  <c r="C597" i="57"/>
  <c r="B345" i="57"/>
  <c r="C574" i="57"/>
  <c r="B718" i="55"/>
  <c r="B484" i="57"/>
  <c r="B470" i="57"/>
  <c r="B543" i="55"/>
  <c r="B545" i="55"/>
  <c r="B519" i="57"/>
  <c r="B414" i="57"/>
  <c r="C333" i="57"/>
  <c r="B370" i="57"/>
  <c r="B621" i="55"/>
  <c r="B384" i="57"/>
  <c r="C519" i="57"/>
  <c r="B517" i="57"/>
  <c r="C454" i="57"/>
  <c r="B438" i="57"/>
  <c r="C320" i="57"/>
  <c r="B402" i="57"/>
  <c r="B456" i="57"/>
  <c r="B318" i="57"/>
  <c r="B20" i="55"/>
  <c r="B17" i="55"/>
  <c r="B636" i="55"/>
  <c r="B637" i="55"/>
  <c r="B488" i="55"/>
  <c r="C435" i="57"/>
  <c r="C268" i="57"/>
  <c r="C312" i="57"/>
  <c r="B389" i="57"/>
  <c r="B280" i="57"/>
  <c r="B516" i="55"/>
  <c r="B415" i="57"/>
  <c r="B420" i="57"/>
  <c r="B499" i="55"/>
  <c r="B444" i="57"/>
  <c r="C545" i="57"/>
  <c r="B545" i="57"/>
  <c r="C360" i="57"/>
  <c r="B475" i="55"/>
  <c r="C390" i="57"/>
  <c r="B385" i="57"/>
  <c r="B598" i="57"/>
  <c r="B449" i="57"/>
  <c r="C505" i="57"/>
  <c r="C573" i="57"/>
  <c r="B463" i="57"/>
  <c r="B713" i="55"/>
  <c r="C318" i="57"/>
  <c r="C582" i="57"/>
  <c r="B517" i="55"/>
  <c r="B341" i="57"/>
  <c r="B325" i="57"/>
  <c r="C548" i="57"/>
  <c r="B497" i="57"/>
  <c r="C439" i="57"/>
  <c r="B570" i="55"/>
  <c r="C510" i="57"/>
  <c r="B367" i="57"/>
  <c r="B481" i="55"/>
  <c r="B700" i="55"/>
  <c r="C428" i="57"/>
  <c r="B513" i="55"/>
  <c r="C294" i="57"/>
  <c r="C467" i="57"/>
  <c r="C383" i="57"/>
  <c r="B601" i="55"/>
  <c r="C295" i="57"/>
  <c r="B500" i="55"/>
  <c r="B540" i="55"/>
  <c r="C369" i="57"/>
  <c r="C410" i="57"/>
  <c r="B570" i="57"/>
  <c r="B677" i="55"/>
  <c r="B765" i="55"/>
  <c r="B336" i="57"/>
  <c r="B335" i="57"/>
  <c r="B521" i="57"/>
  <c r="B578" i="57"/>
  <c r="B461" i="55"/>
  <c r="B585" i="57"/>
  <c r="B328" i="57"/>
  <c r="B461" i="57"/>
  <c r="C538" i="57"/>
  <c r="B25" i="55"/>
  <c r="B641" i="55"/>
  <c r="B631" i="55"/>
  <c r="C331" i="57"/>
  <c r="B410" i="57"/>
  <c r="C424" i="57"/>
  <c r="C284" i="57"/>
  <c r="B309" i="57"/>
  <c r="B342" i="57"/>
  <c r="B464" i="57"/>
  <c r="C475" i="57"/>
  <c r="B462" i="55"/>
  <c r="B340" i="57"/>
  <c r="B407" i="57"/>
  <c r="B707" i="55"/>
  <c r="C339" i="57"/>
  <c r="C522" i="57"/>
  <c r="C405" i="57"/>
  <c r="B27" i="55"/>
  <c r="B771" i="55"/>
  <c r="B381" i="57"/>
  <c r="B522" i="57"/>
  <c r="B32" i="55"/>
  <c r="C485" i="57"/>
  <c r="C583" i="57"/>
  <c r="B376" i="57"/>
  <c r="B576" i="57"/>
  <c r="C375" i="57"/>
  <c r="B271" i="57"/>
  <c r="B526" i="55"/>
  <c r="B579" i="57"/>
  <c r="B731" i="55"/>
  <c r="C544" i="57"/>
  <c r="B591" i="57"/>
  <c r="B745" i="55"/>
  <c r="B406" i="57"/>
  <c r="B464" i="55"/>
  <c r="B618" i="55"/>
  <c r="B770" i="55"/>
  <c r="B518" i="55"/>
  <c r="C599" i="57"/>
  <c r="B31" i="55"/>
  <c r="C344" i="57"/>
  <c r="B295" i="57"/>
  <c r="B300" i="57"/>
  <c r="B542" i="55"/>
  <c r="B547" i="55"/>
  <c r="C366" i="57"/>
  <c r="C408" i="57"/>
  <c r="B600" i="57"/>
  <c r="B313" i="57"/>
  <c r="B422" i="57"/>
  <c r="C367" i="57"/>
  <c r="C463" i="57"/>
  <c r="B344" i="57"/>
  <c r="B679" i="55"/>
  <c r="C384" i="57"/>
  <c r="C372" i="57"/>
  <c r="B334" i="57"/>
  <c r="C308" i="57"/>
  <c r="B29" i="55"/>
  <c r="B360" i="57"/>
  <c r="B474" i="57"/>
  <c r="B603" i="55"/>
  <c r="B278" i="57"/>
  <c r="C472" i="57"/>
  <c r="C310" i="57"/>
  <c r="C370" i="57"/>
  <c r="B738" i="55"/>
  <c r="C484" i="57"/>
  <c r="B348" i="57"/>
  <c r="B577" i="57"/>
  <c r="B451" i="57"/>
  <c r="C486" i="57"/>
  <c r="B394" i="57"/>
  <c r="B609" i="55"/>
  <c r="B284" i="57"/>
  <c r="B501" i="57"/>
  <c r="B733" i="55"/>
  <c r="B768" i="55"/>
  <c r="C461" i="57"/>
  <c r="B299" i="57"/>
  <c r="B293" i="57"/>
  <c r="B680" i="55"/>
  <c r="C342" i="57"/>
  <c r="C479" i="57"/>
  <c r="B573" i="55"/>
  <c r="B482" i="57"/>
  <c r="C434" i="57"/>
  <c r="C445" i="57"/>
  <c r="B477" i="57"/>
  <c r="B558" i="55"/>
  <c r="B696" i="55"/>
  <c r="B516" i="57"/>
  <c r="B547" i="57"/>
  <c r="B275" i="57"/>
  <c r="B676" i="55"/>
  <c r="B440" i="57"/>
  <c r="B593" i="55"/>
  <c r="B673" i="55"/>
  <c r="B546" i="55"/>
  <c r="B548" i="55"/>
  <c r="B320" i="57"/>
  <c r="B539" i="55"/>
  <c r="B560" i="57"/>
  <c r="B573" i="57"/>
  <c r="C464" i="57"/>
  <c r="B531" i="57"/>
  <c r="C531" i="57"/>
  <c r="B458" i="57"/>
  <c r="B571" i="57"/>
  <c r="B530" i="57"/>
  <c r="B443" i="57"/>
  <c r="B12" i="55"/>
  <c r="B21" i="55"/>
  <c r="B10" i="55"/>
  <c r="B635" i="55"/>
  <c r="B634" i="55"/>
  <c r="B638" i="55"/>
  <c r="C516" i="57"/>
  <c r="B640" i="55"/>
  <c r="C393" i="57"/>
  <c r="B632" i="55"/>
  <c r="C279" i="57"/>
  <c r="B24" i="55"/>
  <c r="B633" i="55"/>
  <c r="B642" i="55"/>
  <c r="B639" i="55"/>
  <c r="K10" i="53" l="1"/>
  <c r="L10" i="53" s="1"/>
  <c r="J9" i="53"/>
  <c r="K9" i="53" s="1"/>
  <c r="L9" i="53" s="1"/>
  <c r="K11" i="53"/>
  <c r="L11" i="53" s="1"/>
  <c r="K12" i="53"/>
  <c r="L12" i="53" s="1"/>
  <c r="K10" i="57" a="1"/>
  <c r="O32" i="57"/>
  <c r="O27" i="57"/>
  <c r="O25" i="57"/>
  <c r="O29" i="57"/>
  <c r="O31" i="57"/>
  <c r="O28" i="57"/>
  <c r="O33" i="57"/>
  <c r="O30" i="57"/>
  <c r="O34" i="57"/>
  <c r="O26" i="57"/>
  <c r="L21" i="57" l="1"/>
  <c r="O21" i="57" s="1"/>
  <c r="L24" i="57"/>
  <c r="O24" i="57" s="1"/>
  <c r="K10" i="57"/>
  <c r="L10" i="57" s="1"/>
  <c r="L18" i="57"/>
  <c r="O18" i="57" s="1"/>
  <c r="L11" i="57"/>
  <c r="L14" i="57"/>
  <c r="O14" i="57" s="1"/>
  <c r="L20" i="57"/>
  <c r="O20" i="57" s="1"/>
  <c r="L13" i="57"/>
  <c r="O13" i="57" s="1"/>
  <c r="L23" i="57"/>
  <c r="O23" i="57" s="1"/>
  <c r="L22" i="57"/>
  <c r="O22" i="57" s="1"/>
  <c r="L17" i="57"/>
  <c r="O17" i="57" s="1"/>
  <c r="L16" i="57"/>
  <c r="O16" i="57" s="1"/>
  <c r="L19" i="57"/>
  <c r="O19" i="57" s="1"/>
  <c r="L15" i="57"/>
  <c r="O15" i="57" s="1"/>
  <c r="L12" i="57"/>
  <c r="C755" i="55" a="1"/>
  <c r="C586" i="55" a="1"/>
  <c r="C704" i="55" a="1"/>
  <c r="C605" i="55" a="1"/>
  <c r="C590" i="55" a="1"/>
  <c r="C760" i="55" a="1"/>
  <c r="C499" i="55" a="1"/>
  <c r="C523" i="55" a="1"/>
  <c r="C547" i="55" a="1"/>
  <c r="C634" i="55" a="1"/>
  <c r="C476" i="55" a="1"/>
  <c r="C654" i="55" a="1"/>
  <c r="C469" i="55" a="1"/>
  <c r="C641" i="55" a="1"/>
  <c r="C24" i="55" a="1"/>
  <c r="C614" i="55" a="1"/>
  <c r="C761" i="55" a="1"/>
  <c r="C26" i="55" a="1"/>
  <c r="C22" i="55" a="1"/>
  <c r="C615" i="55" a="1"/>
  <c r="C555" i="55" a="1"/>
  <c r="C700" i="55" a="1"/>
  <c r="C467" i="55" a="1"/>
  <c r="C694" i="55" a="1"/>
  <c r="C699" i="55" a="1"/>
  <c r="C512" i="55" a="1"/>
  <c r="C754" i="55" a="1"/>
  <c r="C673" i="55" a="1"/>
  <c r="C611" i="55" a="1"/>
  <c r="C639" i="55" a="1"/>
  <c r="C744" i="55" a="1"/>
  <c r="C498" i="55" a="1"/>
  <c r="C646" i="55" a="1"/>
  <c r="C517" i="55" a="1"/>
  <c r="C23" i="55" a="1"/>
  <c r="C462" i="55" a="1"/>
  <c r="C551" i="55" a="1"/>
  <c r="B23" i="45" a="1"/>
  <c r="C637" i="55" a="1"/>
  <c r="C682" i="55" a="1"/>
  <c r="C520" i="55" a="1"/>
  <c r="C507" i="55" a="1"/>
  <c r="C578" i="55" a="1"/>
  <c r="C735" i="55" a="1"/>
  <c r="C541" i="55" a="1"/>
  <c r="C607" i="55" a="1"/>
  <c r="H21" i="45" a="1"/>
  <c r="C642" i="55" a="1"/>
  <c r="C589" i="55" a="1"/>
  <c r="C762" i="55" a="1"/>
  <c r="C684" i="55" a="1"/>
  <c r="C468" i="55" a="1"/>
  <c r="C713" i="55" a="1"/>
  <c r="C30" i="55" a="1"/>
  <c r="C635" i="55" a="1"/>
  <c r="C649" i="55" a="1"/>
  <c r="C619" i="55" a="1"/>
  <c r="C648" i="55" a="1"/>
  <c r="C553" i="55" a="1"/>
  <c r="C695" i="55" a="1"/>
  <c r="C579" i="55" a="1"/>
  <c r="C491" i="55" a="1"/>
  <c r="C461" i="55" a="1"/>
  <c r="C776" i="55" a="1"/>
  <c r="C745" i="55" a="1"/>
  <c r="C708" i="55" a="1"/>
  <c r="C724" i="55" a="1"/>
  <c r="C33" i="55" a="1"/>
  <c r="C478" i="55" a="1"/>
  <c r="C27" i="55" a="1"/>
  <c r="C500" i="55" a="1"/>
  <c r="C594" i="55" a="1"/>
  <c r="C743" i="55" a="1"/>
  <c r="C686" i="55" a="1"/>
  <c r="C591" i="55" a="1"/>
  <c r="C757" i="55" a="1"/>
  <c r="C670" i="55" a="1"/>
  <c r="C643" i="55" a="1"/>
  <c r="C446" i="55" a="1"/>
  <c r="C584" i="55" a="1"/>
  <c r="C774" i="55" a="1"/>
  <c r="C644" i="55" a="1"/>
  <c r="C550" i="55" a="1"/>
  <c r="D21" i="45" a="1"/>
  <c r="C631" i="55" a="1"/>
  <c r="C577" i="55" a="1"/>
  <c r="C746" i="55" a="1"/>
  <c r="C621" i="55" a="1"/>
  <c r="C622" i="55" a="1"/>
  <c r="C725" i="55" a="1"/>
  <c r="C454" i="55" a="1"/>
  <c r="C588" i="55" a="1"/>
  <c r="C727" i="55" a="1"/>
  <c r="C488" i="55" a="1"/>
  <c r="C508" i="55" a="1"/>
  <c r="B31" i="45" a="1"/>
  <c r="C457" i="55" a="1"/>
  <c r="C685" i="55" a="1"/>
  <c r="C609" i="55" a="1"/>
  <c r="C544" i="55" a="1"/>
  <c r="C734" i="55" a="1"/>
  <c r="C731" i="55" a="1"/>
  <c r="C29" i="55" a="1"/>
  <c r="C677" i="55" a="1"/>
  <c r="C575" i="55" a="1"/>
  <c r="C34" i="55" a="1"/>
  <c r="C487" i="55" a="1"/>
  <c r="C766" i="55" a="1"/>
  <c r="C581" i="55" a="1"/>
  <c r="C767" i="55" a="1"/>
  <c r="C703" i="55" a="1"/>
  <c r="B33" i="45" a="1"/>
  <c r="C571" i="55" a="1"/>
  <c r="C772" i="55" a="1"/>
  <c r="C636" i="55" a="1"/>
  <c r="C464" i="55" a="1"/>
  <c r="C723" i="55" a="1"/>
  <c r="C773" i="55" a="1"/>
  <c r="C676" i="55" a="1"/>
  <c r="C747" i="55" a="1"/>
  <c r="C645" i="55" a="1"/>
  <c r="C450" i="55" a="1"/>
  <c r="C679" i="55" a="1"/>
  <c r="C484" i="55" a="1"/>
  <c r="C514" i="55" a="1"/>
  <c r="C697" i="55" a="1"/>
  <c r="B30" i="45" a="1"/>
  <c r="C672" i="55" a="1"/>
  <c r="C493" i="55" a="1"/>
  <c r="C516" i="55" a="1"/>
  <c r="C560" i="55" a="1"/>
  <c r="C650" i="55" a="1"/>
  <c r="C519" i="55" a="1"/>
  <c r="C592" i="55" a="1"/>
  <c r="C633" i="55" a="1"/>
  <c r="C675" i="55" a="1"/>
  <c r="C687" i="55" a="1"/>
  <c r="C518" i="55" a="1"/>
  <c r="C580" i="55" a="1"/>
  <c r="C32" i="55" a="1"/>
  <c r="C671" i="55" a="1"/>
  <c r="C775" i="55" a="1"/>
  <c r="C537" i="55" a="1"/>
  <c r="C738" i="55" a="1"/>
  <c r="C492" i="55" a="1"/>
  <c r="C525" i="55" a="1"/>
  <c r="C455" i="55" a="1"/>
  <c r="C741" i="55" a="1"/>
  <c r="C733" i="55" a="1"/>
  <c r="C495" i="55" a="1"/>
  <c r="C456" i="55" a="1"/>
  <c r="C573" i="55" a="1"/>
  <c r="C763" i="55" a="1"/>
  <c r="C602" i="55" a="1"/>
  <c r="C728" i="55" a="1"/>
  <c r="C759" i="55" a="1"/>
  <c r="C718" i="55" a="1"/>
  <c r="C545" i="55" a="1"/>
  <c r="C640" i="55" a="1"/>
  <c r="C709" i="55" a="1"/>
  <c r="C652" i="55" a="1"/>
  <c r="C483" i="55" a="1"/>
  <c r="C770" i="55" a="1"/>
  <c r="C630" i="55" a="1"/>
  <c r="C610" i="55" a="1"/>
  <c r="C705" i="55" a="1"/>
  <c r="C466" i="55" a="1"/>
  <c r="B34" i="45" a="1"/>
  <c r="C769" i="55" a="1"/>
  <c r="C481" i="55" a="1"/>
  <c r="C451" i="55" a="1"/>
  <c r="C737" i="55" a="1"/>
  <c r="C470" i="55" a="1"/>
  <c r="C666" i="55" a="1"/>
  <c r="C36" i="55" a="1"/>
  <c r="C758" i="55" a="1"/>
  <c r="C606" i="55" a="1"/>
  <c r="C624" i="55" a="1"/>
  <c r="C707" i="55" a="1"/>
  <c r="C653" i="55" a="1"/>
  <c r="C531" i="55" a="1"/>
  <c r="C453" i="55" a="1"/>
  <c r="C539" i="55" a="1"/>
  <c r="C447" i="55" a="1"/>
  <c r="C693" i="55" a="1"/>
  <c r="B32" i="45" a="1"/>
  <c r="C661" i="55" a="1"/>
  <c r="C572" i="55" a="1"/>
  <c r="C475" i="55" a="1"/>
  <c r="C522" i="55" a="1"/>
  <c r="C477" i="55" a="1"/>
  <c r="C459" i="55" a="1"/>
  <c r="C574" i="55" a="1"/>
  <c r="C768" i="55" a="1"/>
  <c r="C465" i="55" a="1"/>
  <c r="C552" i="55" a="1"/>
  <c r="C603" i="55" a="1"/>
  <c r="C485" i="55" a="1"/>
  <c r="C529" i="55" a="1"/>
  <c r="C494" i="55" a="1"/>
  <c r="C771" i="55" a="1"/>
  <c r="C674" i="55" a="1"/>
  <c r="C756" i="55" a="1"/>
  <c r="C582" i="55" a="1"/>
  <c r="C530" i="55" a="1"/>
  <c r="C696" i="55" a="1"/>
  <c r="C449" i="55" a="1"/>
  <c r="C681" i="55" a="1"/>
  <c r="C732" i="55" a="1"/>
  <c r="C616" i="55" a="1"/>
  <c r="C612" i="55" a="1"/>
  <c r="C486" i="55" a="1"/>
  <c r="C726" i="55" a="1"/>
  <c r="C764" i="55" a="1"/>
  <c r="C779" i="55" a="1"/>
  <c r="C528" i="55" a="1"/>
  <c r="C613" i="55" a="1"/>
  <c r="C777" i="55" a="1"/>
  <c r="C665" i="55" a="1"/>
  <c r="C702" i="55" a="1"/>
  <c r="C558" i="55" a="1"/>
  <c r="C604" i="55" a="1"/>
  <c r="C617" i="55" a="1"/>
  <c r="C748" i="55" a="1"/>
  <c r="C482" i="55" a="1"/>
  <c r="C532" i="55" a="1"/>
  <c r="C618" i="55" a="1"/>
  <c r="C542" i="55" a="1"/>
  <c r="C667" i="55" a="1"/>
  <c r="B24" i="45" a="1"/>
  <c r="C556" i="55" a="1"/>
  <c r="C668" i="55" a="1"/>
  <c r="C513" i="55" a="1"/>
  <c r="C28" i="55" a="1"/>
  <c r="C490" i="55" a="1"/>
  <c r="B21" i="45" a="1"/>
  <c r="C515" i="55" a="1"/>
  <c r="C749" i="55" a="1"/>
  <c r="C740" i="55" a="1"/>
  <c r="C778" i="55" a="1"/>
  <c r="C623" i="55" a="1"/>
  <c r="C716" i="55" a="1"/>
  <c r="C526" i="55" a="1"/>
  <c r="C31" i="55" a="1"/>
  <c r="C559" i="55" a="1"/>
  <c r="C496" i="55" a="1"/>
  <c r="C717" i="55" a="1"/>
  <c r="C452" i="55" a="1"/>
  <c r="C620" i="55" a="1"/>
  <c r="C540" i="55" a="1"/>
  <c r="C736" i="55" a="1"/>
  <c r="C546" i="55" a="1"/>
  <c r="C509" i="55" a="1"/>
  <c r="C678" i="55" a="1"/>
  <c r="C569" i="55" a="1"/>
  <c r="C479" i="55" a="1"/>
  <c r="C656" i="55" a="1"/>
  <c r="C730" i="55" a="1"/>
  <c r="C683" i="55" a="1"/>
  <c r="B28" i="45" a="1"/>
  <c r="C663" i="55" a="1"/>
  <c r="C538" i="55" a="1"/>
  <c r="C511" i="55" a="1"/>
  <c r="C460" i="55" a="1"/>
  <c r="C780" i="55" a="1"/>
  <c r="C765" i="55" a="1"/>
  <c r="C543" i="55" a="1"/>
  <c r="C497" i="55" a="1"/>
  <c r="C664" i="55" a="1"/>
  <c r="C739" i="55" a="1"/>
  <c r="C463" i="55" a="1"/>
  <c r="C445" i="55" a="1"/>
  <c r="B27" i="45" a="1"/>
  <c r="C710" i="55" a="1"/>
  <c r="B22" i="45" a="1"/>
  <c r="C561" i="55" a="1"/>
  <c r="C501" i="55" a="1"/>
  <c r="C444" i="55" a="1"/>
  <c r="C448" i="55" a="1"/>
  <c r="C506" i="55" a="1"/>
  <c r="C563" i="55" a="1"/>
  <c r="B25" i="45" a="1"/>
  <c r="C585" i="55" a="1"/>
  <c r="C706" i="55" a="1"/>
  <c r="C698" i="55" a="1"/>
  <c r="C557" i="55" a="1"/>
  <c r="B29" i="45" a="1"/>
  <c r="C480" i="55" a="1"/>
  <c r="C701" i="55" a="1"/>
  <c r="B26" i="45" a="1"/>
  <c r="C593" i="55" a="1"/>
  <c r="C549" i="55" a="1"/>
  <c r="C562" i="55" a="1"/>
  <c r="C548" i="55" a="1"/>
  <c r="C712" i="55" a="1"/>
  <c r="C647" i="55" a="1"/>
  <c r="C638" i="55" a="1"/>
  <c r="C714" i="55" a="1"/>
  <c r="C554" i="55" a="1"/>
  <c r="C651" i="55" a="1"/>
  <c r="F21" i="45" a="1"/>
  <c r="C524" i="55" a="1"/>
  <c r="B35" i="45" a="1"/>
  <c r="C625" i="55" a="1"/>
  <c r="C715" i="55" a="1"/>
  <c r="C458" i="55" a="1"/>
  <c r="C489" i="55" a="1"/>
  <c r="C600" i="55" a="1"/>
  <c r="C711" i="55" a="1"/>
  <c r="C599" i="55" a="1"/>
  <c r="C662" i="55" a="1"/>
  <c r="C568" i="55" a="1"/>
  <c r="C510" i="55" a="1"/>
  <c r="C521" i="55" a="1"/>
  <c r="C527" i="55" a="1"/>
  <c r="C576" i="55" a="1"/>
  <c r="C570" i="55" a="1"/>
  <c r="C692" i="55" a="1"/>
  <c r="C25" i="55" a="1"/>
  <c r="C655" i="55" a="1"/>
  <c r="C587" i="55" a="1"/>
  <c r="C601" i="55" a="1"/>
  <c r="C608" i="55" a="1"/>
  <c r="C742" i="55" a="1"/>
  <c r="C680" i="55" a="1"/>
  <c r="C632" i="55" a="1"/>
  <c r="C583" i="55" a="1"/>
  <c r="C729" i="55" a="1"/>
  <c r="C669" i="55" a="1"/>
  <c r="M14" i="54" a="1"/>
  <c r="I461" i="57" a="1"/>
  <c r="D763" i="55" a="1"/>
  <c r="G692" i="55" a="1"/>
  <c r="I105" i="57" a="1"/>
  <c r="D636" i="55" a="1"/>
  <c r="V17" i="54" a="1"/>
  <c r="I189" i="57" a="1"/>
  <c r="I435" i="57" a="1"/>
  <c r="T8" i="54" a="1"/>
  <c r="G562" i="55" a="1"/>
  <c r="E613" i="55" a="1"/>
  <c r="E592" i="55" a="1"/>
  <c r="G716" i="55" a="1"/>
  <c r="G637" i="55" a="1"/>
  <c r="I273" i="57" a="1"/>
  <c r="E532" i="55" a="1"/>
  <c r="C9" i="40" a="1"/>
  <c r="E545" i="55" a="1"/>
  <c r="I259" i="57" a="1"/>
  <c r="E497" i="55" a="1"/>
  <c r="F578" i="55" a="1"/>
  <c r="E723" i="55" a="1"/>
  <c r="D581" i="55" a="1"/>
  <c r="I10" i="57" a="1"/>
  <c r="F768" i="55" a="1"/>
  <c r="F706" i="55" a="1"/>
  <c r="G495" i="55" a="1"/>
  <c r="U11" i="54" a="1"/>
  <c r="E508" i="55" a="1"/>
  <c r="D17" i="55" a="1"/>
  <c r="E27" i="55" a="1"/>
  <c r="H10" i="40" a="1"/>
  <c r="R15" i="41"/>
  <c r="D37" i="45" a="1"/>
  <c r="G606" i="55" a="1"/>
  <c r="D490" i="55" a="1"/>
  <c r="E762" i="55" a="1"/>
  <c r="G759" i="55" a="1"/>
  <c r="D492" i="55" a="1"/>
  <c r="E467" i="55" a="1"/>
  <c r="E765" i="55" a="1"/>
  <c r="D484" i="55" a="1"/>
  <c r="G650" i="55" a="1"/>
  <c r="I64" i="57" a="1"/>
  <c r="F462" i="55" a="1"/>
  <c r="D547" i="55" a="1"/>
  <c r="H20" i="54" a="1"/>
  <c r="I444" i="57" a="1"/>
  <c r="I84" i="57" a="1"/>
  <c r="G573" i="55" a="1"/>
  <c r="I134" i="57" a="1"/>
  <c r="E9" i="55" a="1"/>
  <c r="I539" i="57" a="1"/>
  <c r="F478" i="55" a="1"/>
  <c r="F707" i="55" a="1"/>
  <c r="E708" i="55" a="1"/>
  <c r="E617" i="55" a="1"/>
  <c r="G17" i="41"/>
  <c r="D491" i="55" a="1"/>
  <c r="E459" i="55" a="1"/>
  <c r="K9" i="54" a="1"/>
  <c r="F526" i="55" a="1"/>
  <c r="I250" i="57" a="1"/>
  <c r="F678" i="55" a="1"/>
  <c r="G742" i="55" a="1"/>
  <c r="J18" i="54" a="1"/>
  <c r="E661" i="55" a="1"/>
  <c r="E28" i="55" a="1"/>
  <c r="E501" i="55" a="1"/>
  <c r="U15" i="54" a="1"/>
  <c r="G767" i="55" a="1"/>
  <c r="I464" i="57" a="1"/>
  <c r="I525" i="57" a="1"/>
  <c r="D30" i="55" a="1"/>
  <c r="L14" i="41" a="1"/>
  <c r="F41" i="45" a="1"/>
  <c r="F612" i="55" a="1"/>
  <c r="I324" i="57" a="1"/>
  <c r="I583" i="57" a="1"/>
  <c r="F532" i="55" a="1"/>
  <c r="I589" i="57" a="1"/>
  <c r="E24" i="55" a="1"/>
  <c r="F498" i="55" a="1"/>
  <c r="D639" i="55" a="1"/>
  <c r="D27" i="55" a="1"/>
  <c r="O14" i="41"/>
  <c r="G607" i="55" a="1"/>
  <c r="I263" i="57" a="1"/>
  <c r="Q19" i="54" a="1"/>
  <c r="G648" i="55" a="1"/>
  <c r="D609" i="55" a="1"/>
  <c r="G655" i="55" a="1"/>
  <c r="F664" i="55" a="1"/>
  <c r="H14" i="45" a="1"/>
  <c r="I381" i="57" a="1"/>
  <c r="C12" i="54" a="1"/>
  <c r="W17" i="41"/>
  <c r="D18" i="54" a="1"/>
  <c r="I420" i="57" a="1"/>
  <c r="F29" i="55" a="1"/>
  <c r="L13" i="54" a="1"/>
  <c r="G19" i="54" a="1"/>
  <c r="I549" i="57" a="1"/>
  <c r="F546" i="55" a="1"/>
  <c r="I231" i="57" a="1"/>
  <c r="I551" i="57" a="1"/>
  <c r="G730" i="55" a="1"/>
  <c r="D495" i="55" a="1"/>
  <c r="L8" i="40"/>
  <c r="D585" i="55" a="1"/>
  <c r="G708" i="55" a="1"/>
  <c r="I361" i="57" a="1"/>
  <c r="P17" i="54" a="1"/>
  <c r="G586" i="55" a="1"/>
  <c r="D653" i="55" a="1"/>
  <c r="G734" i="55" a="1"/>
  <c r="I507" i="57" a="1"/>
  <c r="I576" i="57" a="1"/>
  <c r="E650" i="55" a="1"/>
  <c r="AB20" i="41" a="1"/>
  <c r="E704" i="55" a="1"/>
  <c r="F637" i="55" a="1"/>
  <c r="E522" i="55" a="1"/>
  <c r="G25" i="55" a="1"/>
  <c r="E649" i="55" a="1"/>
  <c r="AA9" i="41" a="1"/>
  <c r="G24" i="55" a="1"/>
  <c r="G468" i="55" a="1"/>
  <c r="F516" i="55" a="1"/>
  <c r="E770" i="55" a="1"/>
  <c r="D631" i="55" a="1"/>
  <c r="F672" i="55" a="1"/>
  <c r="E635" i="55" a="1"/>
  <c r="E509" i="55" a="1"/>
  <c r="G569" i="55" a="1"/>
  <c r="D507" i="55" a="1"/>
  <c r="D481" i="55" a="1"/>
  <c r="B20" i="54" a="1"/>
  <c r="I545" i="57" a="1"/>
  <c r="I11" i="57" a="1"/>
  <c r="E727" i="55" a="1"/>
  <c r="E468" i="55" a="1"/>
  <c r="F608" i="55" a="1"/>
  <c r="B51" i="44" a="1"/>
  <c r="L17" i="41" a="1"/>
  <c r="F713" i="55" a="1"/>
  <c r="I387" i="57" a="1"/>
  <c r="I424" i="57" a="1"/>
  <c r="F542" i="55" a="1"/>
  <c r="G16" i="54" a="1"/>
  <c r="L9" i="41" a="1"/>
  <c r="D39" i="45" a="1"/>
  <c r="I41" i="57" a="1"/>
  <c r="I405" i="57" a="1"/>
  <c r="I229" i="57" a="1"/>
  <c r="F14" i="41"/>
  <c r="G552" i="55" a="1"/>
  <c r="D470" i="55" a="1"/>
  <c r="G470" i="55" a="1"/>
  <c r="D613" i="55" a="1"/>
  <c r="G712" i="55" a="1"/>
  <c r="F778" i="55" a="1"/>
  <c r="I418" i="57" a="1"/>
  <c r="F24" i="45" a="1"/>
  <c r="I527" i="57" a="1"/>
  <c r="O9" i="41" a="1"/>
  <c r="D568" i="55" a="1"/>
  <c r="V9" i="41"/>
  <c r="I357" i="57" a="1"/>
  <c r="D709" i="55" a="1"/>
  <c r="D446" i="55" a="1"/>
  <c r="E671" i="55" a="1"/>
  <c r="R10" i="54" a="1"/>
  <c r="I160" i="57" a="1"/>
  <c r="I175" i="57" a="1"/>
  <c r="D695" i="55" a="1"/>
  <c r="L12" i="41" a="1"/>
  <c r="I78" i="57" a="1"/>
  <c r="G542" i="55" a="1"/>
  <c r="F613" i="55" a="1"/>
  <c r="G729" i="55" a="1"/>
  <c r="F583" i="55" a="1"/>
  <c r="R9" i="54" a="1"/>
  <c r="I119" i="57" a="1"/>
  <c r="I450" i="57" a="1"/>
  <c r="G769" i="55" a="1"/>
  <c r="D780" i="55" a="1"/>
  <c r="E483" i="55" a="1"/>
  <c r="I440" i="57" a="1"/>
  <c r="U17" i="54" a="1"/>
  <c r="F587" i="55" a="1"/>
  <c r="G583" i="55" a="1"/>
  <c r="G446" i="55" a="1"/>
  <c r="G21" i="41" a="1"/>
  <c r="F538" i="55" a="1"/>
  <c r="W15" i="41" a="1"/>
  <c r="D575" i="55" a="1"/>
  <c r="I319" i="57" a="1"/>
  <c r="F447" i="55" a="1"/>
  <c r="I83" i="57" a="1"/>
  <c r="F733" i="55" a="1"/>
  <c r="F662" i="55" a="1"/>
  <c r="I186" i="57" a="1"/>
  <c r="F681" i="55" a="1"/>
  <c r="J18" i="41"/>
  <c r="D460" i="55" a="1"/>
  <c r="B7" i="44" a="1"/>
  <c r="G462" i="55" a="1"/>
  <c r="F491" i="55" a="1"/>
  <c r="D710" i="55" a="1"/>
  <c r="G20" i="54" a="1"/>
  <c r="M12" i="54" a="1"/>
  <c r="I141" i="57" a="1"/>
  <c r="G499" i="55" a="1"/>
  <c r="I593" i="57" a="1"/>
  <c r="I146" i="57" a="1"/>
  <c r="G480" i="55" a="1"/>
  <c r="F482" i="55" a="1"/>
  <c r="D17" i="54" a="1"/>
  <c r="E448" i="55" a="1"/>
  <c r="I38" i="57" a="1"/>
  <c r="I133" i="57" a="1"/>
  <c r="AA14" i="41"/>
  <c r="F640" i="55" a="1"/>
  <c r="I99" i="57" a="1"/>
  <c r="F508" i="55" a="1"/>
  <c r="K16" i="54" a="1"/>
  <c r="F643" i="55" a="1"/>
  <c r="G671" i="55" a="1"/>
  <c r="O8" i="41"/>
  <c r="E716" i="55" a="1"/>
  <c r="I255" i="57" a="1"/>
  <c r="G538" i="55" a="1"/>
  <c r="I213" i="57" a="1"/>
  <c r="O21" i="41" a="1"/>
  <c r="J19" i="54" a="1"/>
  <c r="F558" i="55" a="1"/>
  <c r="I142" i="57" a="1"/>
  <c r="F619" i="55" a="1"/>
  <c r="F604" i="55" a="1"/>
  <c r="G494" i="55" a="1"/>
  <c r="D602" i="55" a="1"/>
  <c r="G653" i="55" a="1"/>
  <c r="I332" i="57" a="1"/>
  <c r="G12" i="41" a="1"/>
  <c r="E692" i="55" a="1"/>
  <c r="G602" i="55" a="1"/>
  <c r="F14" i="55" a="1"/>
  <c r="I515" i="57" a="1"/>
  <c r="D766" i="55" a="1"/>
  <c r="D594" i="55" a="1"/>
  <c r="D704" i="55" a="1"/>
  <c r="I15" i="57" a="1"/>
  <c r="D656" i="55" a="1"/>
  <c r="I491" i="57" a="1"/>
  <c r="D12" i="45" a="1"/>
  <c r="V11" i="54" a="1"/>
  <c r="E606" i="55" a="1"/>
  <c r="D34" i="55" a="1"/>
  <c r="I132" i="57" a="1"/>
  <c r="D588" i="55" a="1"/>
  <c r="I540" i="57" a="1"/>
  <c r="E587" i="55" a="1"/>
  <c r="X14" i="41" a="1"/>
  <c r="G453" i="55" a="1"/>
  <c r="V10" i="54" a="1"/>
  <c r="D17" i="41"/>
  <c r="J13" i="54" a="1"/>
  <c r="D15" i="55" a="1"/>
  <c r="I195" i="57" a="1"/>
  <c r="F761" i="55" a="1"/>
  <c r="I572" i="57" a="1"/>
  <c r="F19" i="54" a="1"/>
  <c r="F463" i="55" a="1"/>
  <c r="I237" i="57" a="1"/>
  <c r="D516" i="55" a="1"/>
  <c r="I468" i="57" a="1"/>
  <c r="F727" i="55" a="1"/>
  <c r="Z20" i="41"/>
  <c r="F674" i="55" a="1"/>
  <c r="E487" i="55" a="1"/>
  <c r="G496" i="55" a="1"/>
  <c r="D756" i="55" a="1"/>
  <c r="D764" i="55" a="1"/>
  <c r="E529" i="55" a="1"/>
  <c r="G445" i="55" a="1"/>
  <c r="N12" i="41"/>
  <c r="I498" i="57" a="1"/>
  <c r="E662" i="55" a="1"/>
  <c r="F31" i="45" a="1"/>
  <c r="I524" i="57" a="1"/>
  <c r="L20" i="41" a="1"/>
  <c r="F670" i="55" a="1"/>
  <c r="I497" i="57" a="1"/>
  <c r="I16" i="57" a="1"/>
  <c r="I180" i="57" a="1"/>
  <c r="E726" i="55" a="1"/>
  <c r="G749" i="55" a="1"/>
  <c r="D21" i="55" a="1"/>
  <c r="I578" i="57" a="1"/>
  <c r="G654" i="55" a="1"/>
  <c r="G739" i="55" a="1"/>
  <c r="D727" i="55" a="1"/>
  <c r="G724" i="55" a="1"/>
  <c r="F559" i="55" a="1"/>
  <c r="I18" i="57" a="1"/>
  <c r="D654" i="55" a="1"/>
  <c r="E519" i="55" a="1"/>
  <c r="O11" i="54" a="1"/>
  <c r="E577" i="55" a="1"/>
  <c r="G679" i="55" a="1"/>
  <c r="I27" i="57" a="1"/>
  <c r="I194" i="57" a="1"/>
  <c r="F10" i="45" a="1"/>
  <c r="E21" i="55" a="1"/>
  <c r="E694" i="55" a="1"/>
  <c r="E724" i="55" a="1"/>
  <c r="F524" i="55" a="1"/>
  <c r="I201" i="57" a="1"/>
  <c r="D754" i="55" a="1"/>
  <c r="F760" i="55" a="1"/>
  <c r="B21" i="44" a="1"/>
  <c r="S9" i="54" a="1"/>
  <c r="F451" i="55" a="1"/>
  <c r="I276" i="57" a="1"/>
  <c r="D667" i="55" a="1"/>
  <c r="F734" i="55" a="1"/>
  <c r="D661" i="55" a="1"/>
  <c r="F15" i="45" a="1"/>
  <c r="AA21" i="41" a="1"/>
  <c r="I173" i="57" a="1"/>
  <c r="I113" i="57" a="1"/>
  <c r="D561" i="55" a="1"/>
  <c r="Q8" i="54" a="1"/>
  <c r="G713" i="55" a="1"/>
  <c r="K9" i="41" a="1"/>
  <c r="D621" i="55" a="1"/>
  <c r="F34" i="55" a="1"/>
  <c r="G456" i="55" a="1"/>
  <c r="G710" i="55" a="1"/>
  <c r="D524" i="55" a="1"/>
  <c r="X8" i="41" a="1"/>
  <c r="G669" i="55" a="1"/>
  <c r="I278" i="57" a="1"/>
  <c r="D20" i="41"/>
  <c r="E574" i="55" a="1"/>
  <c r="D645" i="55" a="1"/>
  <c r="E686" i="55" a="1"/>
  <c r="G455" i="55" a="1"/>
  <c r="E718" i="55" a="1"/>
  <c r="D530" i="55" a="1"/>
  <c r="N11" i="54" a="1"/>
  <c r="N8" i="54" a="1"/>
  <c r="F501" i="55" a="1"/>
  <c r="F584" i="55" a="1"/>
  <c r="E549" i="55" a="1"/>
  <c r="AB21" i="41" a="1"/>
  <c r="E764" i="55" a="1"/>
  <c r="D531" i="55" a="1"/>
  <c r="D40" i="45" a="1"/>
  <c r="H40" i="45" a="1"/>
  <c r="D42" i="45" a="1"/>
  <c r="G771" i="55" a="1"/>
  <c r="D681" i="55" a="1"/>
  <c r="I563" i="57" a="1"/>
  <c r="I184" i="57" a="1"/>
  <c r="E563" i="55" a="1"/>
  <c r="I417" i="57" a="1"/>
  <c r="H8" i="52" a="1"/>
  <c r="F10" i="55" a="1"/>
  <c r="I312" i="57" a="1"/>
  <c r="F12" i="54" a="1"/>
  <c r="J15" i="54" a="1"/>
  <c r="E14" i="54" a="1"/>
  <c r="I182" i="57" a="1"/>
  <c r="G699" i="55" a="1"/>
  <c r="D632" i="55" a="1"/>
  <c r="E17" i="55" a="1"/>
  <c r="M17" i="54" a="1"/>
  <c r="G725" i="55" a="1"/>
  <c r="G623" i="55" a="1"/>
  <c r="I486" i="57" a="1"/>
  <c r="G448" i="55" a="1"/>
  <c r="AB12" i="41" a="1"/>
  <c r="R20" i="54" a="1"/>
  <c r="S8" i="41"/>
  <c r="G684" i="55" a="1"/>
  <c r="I383" i="57" a="1"/>
  <c r="D19" i="55" a="1"/>
  <c r="C17" i="54" a="1"/>
  <c r="D706" i="55" a="1"/>
  <c r="G555" i="55" a="1"/>
  <c r="F509" i="55" a="1"/>
  <c r="I176" i="57" a="1"/>
  <c r="I487" i="57" a="1"/>
  <c r="B43" i="44" a="1"/>
  <c r="E754" i="55" a="1"/>
  <c r="D483" i="55" a="1"/>
  <c r="E10" i="55" a="1"/>
  <c r="G14" i="54" a="1"/>
  <c r="F663" i="55" a="1"/>
  <c r="D700" i="55" a="1"/>
  <c r="F605" i="55" a="1"/>
  <c r="F580" i="55" a="1"/>
  <c r="I279" i="57" a="1"/>
  <c r="G732" i="55" a="1"/>
  <c r="F645" i="55" a="1"/>
  <c r="F8" i="52" a="1"/>
  <c r="H13" i="54" a="1"/>
  <c r="D14" i="54" a="1"/>
  <c r="D570" i="55" a="1"/>
  <c r="N18" i="54" a="1"/>
  <c r="H34" i="45" a="1"/>
  <c r="F634" i="55" a="1"/>
  <c r="D551" i="55" a="1"/>
  <c r="I124" i="57" a="1"/>
  <c r="G744" i="55" a="1"/>
  <c r="E729" i="55" a="1"/>
  <c r="G525" i="55" a="1"/>
  <c r="F527" i="55" a="1"/>
  <c r="I475" i="57" a="1"/>
  <c r="O17" i="41"/>
  <c r="I76" i="57" a="1"/>
  <c r="F485" i="55" a="1"/>
  <c r="I161" i="57" a="1"/>
  <c r="E645" i="55" a="1"/>
  <c r="B46" i="44" a="1"/>
  <c r="S19" i="54" a="1"/>
  <c r="F774" i="55" a="1"/>
  <c r="D498" i="55" a="1"/>
  <c r="I59" i="57" a="1"/>
  <c r="E702" i="55" a="1"/>
  <c r="E737" i="55" a="1"/>
  <c r="I542" i="57" a="1"/>
  <c r="G556" i="55" a="1"/>
  <c r="G457" i="55" a="1"/>
  <c r="I191" i="57" a="1"/>
  <c r="G546" i="55" a="1"/>
  <c r="I407" i="57" a="1"/>
  <c r="F446" i="55" a="1"/>
  <c r="I550" i="57" a="1"/>
  <c r="D623" i="55" a="1"/>
  <c r="S17" i="54" a="1"/>
  <c r="E9" i="54" a="1"/>
  <c r="D501" i="55" a="1"/>
  <c r="D762" i="55" a="1"/>
  <c r="F698" i="55" a="1"/>
  <c r="S20" i="54" a="1"/>
  <c r="D24" i="45" a="1"/>
  <c r="P13" i="54" a="1"/>
  <c r="D679" i="55" a="1"/>
  <c r="I552" i="57" a="1"/>
  <c r="D740" i="55" a="1"/>
  <c r="H29" i="45" a="1"/>
  <c r="I337" i="57" a="1"/>
  <c r="E696" i="55" a="1"/>
  <c r="I244" i="57" a="1"/>
  <c r="I446" i="57" a="1"/>
  <c r="I267" i="57" a="1"/>
  <c r="X21" i="41" a="1"/>
  <c r="E446" i="55" a="1"/>
  <c r="P18" i="54" a="1"/>
  <c r="F30" i="45" a="1"/>
  <c r="I61" i="57" a="1"/>
  <c r="F465" i="55" a="1"/>
  <c r="E642" i="55" a="1"/>
  <c r="F739" i="55" a="1"/>
  <c r="I423" i="57" a="1"/>
  <c r="I297" i="57" a="1"/>
  <c r="I427" i="57" a="1"/>
  <c r="D476" i="55" a="1"/>
  <c r="I268" i="57" a="1"/>
  <c r="U13" i="54" a="1"/>
  <c r="F547" i="55" a="1"/>
  <c r="I367" i="57" a="1"/>
  <c r="G590" i="55" a="1"/>
  <c r="E547" i="55" a="1"/>
  <c r="Q15" i="54" a="1"/>
  <c r="D559" i="55" a="1"/>
  <c r="D532" i="55" a="1"/>
  <c r="G761" i="55" a="1"/>
  <c r="D556" i="55" a="1"/>
  <c r="F11" i="41"/>
  <c r="D742" i="55" a="1"/>
  <c r="E480" i="55" a="1"/>
  <c r="E20" i="55" a="1"/>
  <c r="I448" i="57" a="1"/>
  <c r="I287" i="57" a="1"/>
  <c r="D606" i="55" a="1"/>
  <c r="I181" i="57" a="1"/>
  <c r="I512" i="57" a="1"/>
  <c r="B8" i="44" a="1"/>
  <c r="X17" i="41" a="1"/>
  <c r="D663" i="55" a="1"/>
  <c r="G560" i="55" a="1"/>
  <c r="F28" i="45" a="1"/>
  <c r="G465" i="55" a="1"/>
  <c r="B10" i="45" a="1"/>
  <c r="B32" i="44" a="1"/>
  <c r="P18" i="41" a="1"/>
  <c r="I421" i="57" a="1"/>
  <c r="O8" i="54" a="1"/>
  <c r="R20" i="41"/>
  <c r="D579" i="55" a="1"/>
  <c r="D21" i="41" a="1"/>
  <c r="F18" i="41"/>
  <c r="F13" i="45" a="1"/>
  <c r="F723" i="55" a="1"/>
  <c r="D466" i="55" a="1"/>
  <c r="G613" i="55" a="1"/>
  <c r="I80" i="57" a="1"/>
  <c r="G743" i="55" a="1"/>
  <c r="C14" i="54" a="1"/>
  <c r="F669" i="55" a="1"/>
  <c r="D459" i="55" a="1"/>
  <c r="I155" i="57" a="1"/>
  <c r="G21" i="54" a="1"/>
  <c r="D731" i="55" a="1"/>
  <c r="J20" i="41"/>
  <c r="F20" i="55" a="1"/>
  <c r="R18" i="54" a="1"/>
  <c r="F18" i="55" a="1"/>
  <c r="I211" i="57" a="1"/>
  <c r="K17" i="54" a="1"/>
  <c r="I37" i="57" a="1"/>
  <c r="I20" i="54" a="1"/>
  <c r="I559" i="57" a="1"/>
  <c r="I431" i="57" a="1"/>
  <c r="I17" i="57" a="1"/>
  <c r="B12" i="54" a="1"/>
  <c r="D8" i="54" a="1"/>
  <c r="I269" i="57" a="1"/>
  <c r="B10" i="40" a="1"/>
  <c r="G521" i="55" a="1"/>
  <c r="G500" i="55" a="1"/>
  <c r="F15" i="41"/>
  <c r="E34" i="55" a="1"/>
  <c r="E523" i="55" a="1"/>
  <c r="I408" i="57" a="1"/>
  <c r="J14" i="41"/>
  <c r="G463" i="55" a="1"/>
  <c r="G459" i="55" a="1"/>
  <c r="I353" i="57" a="1"/>
  <c r="D641" i="55" a="1"/>
  <c r="I149" i="57" a="1"/>
  <c r="F551" i="55" a="1"/>
  <c r="H18" i="54" a="1"/>
  <c r="I458" i="57" a="1"/>
  <c r="E647" i="55" a="1"/>
  <c r="M9" i="54" a="1"/>
  <c r="F458" i="55" a="1"/>
  <c r="D468" i="55" a="1"/>
  <c r="D448" i="55" a="1"/>
  <c r="F695" i="55" a="1"/>
  <c r="F452" i="55" a="1"/>
  <c r="I226" i="57" a="1"/>
  <c r="G568" i="55" a="1"/>
  <c r="D757" i="55" a="1"/>
  <c r="I518" i="57" a="1"/>
  <c r="H19" i="54" a="1"/>
  <c r="F38" i="45" a="1"/>
  <c r="AA15" i="41" a="1"/>
  <c r="I533" i="57" a="1"/>
  <c r="I19" i="57" a="1"/>
  <c r="E520" i="55" a="1"/>
  <c r="D27" i="45" a="1"/>
  <c r="E31" i="55" a="1"/>
  <c r="I137" i="57" a="1"/>
  <c r="F22" i="55" a="1"/>
  <c r="F515" i="55" a="1"/>
  <c r="T12" i="41" a="1"/>
  <c r="I566" i="57" a="1"/>
  <c r="D479" i="55" a="1"/>
  <c r="O10" i="40" a="1"/>
  <c r="E760" i="55" a="1"/>
  <c r="G709" i="55" a="1"/>
  <c r="R11" i="54" a="1"/>
  <c r="E36" i="55" a="1"/>
  <c r="B19" i="54" a="1"/>
  <c r="F725" i="55" a="1"/>
  <c r="E8" i="41" a="1"/>
  <c r="G639" i="55" a="1"/>
  <c r="I399" i="57" a="1"/>
  <c r="I342" i="57" a="1"/>
  <c r="D497" i="55" a="1"/>
  <c r="J21" i="54" a="1"/>
  <c r="I369" i="57" a="1"/>
  <c r="K14" i="41"/>
  <c r="E484" i="55" a="1"/>
  <c r="V14" i="54" a="1"/>
  <c r="A8" i="52" a="1"/>
  <c r="M19" i="54" a="1"/>
  <c r="F8" i="54" a="1"/>
  <c r="I13" i="57" a="1"/>
  <c r="E452" i="55" a="1"/>
  <c r="F654" i="55" a="1"/>
  <c r="D577" i="55" a="1"/>
  <c r="D12" i="55" a="1"/>
  <c r="F603" i="55" a="1"/>
  <c r="G20" i="55" a="1"/>
  <c r="F450" i="55" a="1"/>
  <c r="E742" i="55" a="1"/>
  <c r="F512" i="55" a="1"/>
  <c r="G30" i="55" a="1"/>
  <c r="O16" i="54" a="1"/>
  <c r="E766" i="55" a="1"/>
  <c r="F553" i="55" a="1"/>
  <c r="I123" i="57" a="1"/>
  <c r="Q17" i="54" a="1"/>
  <c r="F500" i="55" a="1"/>
  <c r="D25" i="55" a="1"/>
  <c r="I21" i="54" a="1"/>
  <c r="V12" i="41"/>
  <c r="F602" i="55" a="1"/>
  <c r="I522" i="57" a="1"/>
  <c r="F575" i="55" a="1"/>
  <c r="I505" i="57" a="1"/>
  <c r="C13" i="52" a="1"/>
  <c r="G652" i="55" a="1"/>
  <c r="E507" i="55" a="1"/>
  <c r="D20" i="55" a="1"/>
  <c r="G580" i="55" a="1"/>
  <c r="C8" i="40"/>
  <c r="I43" i="57" a="1"/>
  <c r="C9" i="41"/>
  <c r="D728" i="55" a="1"/>
  <c r="U9" i="54" a="1"/>
  <c r="I53" i="57" a="1"/>
  <c r="G636" i="55" a="1"/>
  <c r="D672" i="55" a="1"/>
  <c r="E10" i="54" a="1"/>
  <c r="E463" i="55" a="1"/>
  <c r="F772" i="55" a="1"/>
  <c r="I598" i="57" a="1"/>
  <c r="P11" i="54" a="1"/>
  <c r="I564" i="57" a="1"/>
  <c r="E11" i="41" a="1"/>
  <c r="I249" i="57" a="1"/>
  <c r="I198" i="57" a="1"/>
  <c r="F773" i="55" a="1"/>
  <c r="B9" i="44" a="1"/>
  <c r="O12" i="54" a="1"/>
  <c r="I547" i="57" a="1"/>
  <c r="D555" i="55" a="1"/>
  <c r="M8" i="54" a="1"/>
  <c r="I277" i="57" a="1"/>
  <c r="I272" i="57" a="1"/>
  <c r="I556" i="57" a="1"/>
  <c r="J12" i="54" a="1"/>
  <c r="E506" i="55" a="1"/>
  <c r="G756" i="55" a="1"/>
  <c r="G543" i="55" a="1"/>
  <c r="I456" i="57" a="1"/>
  <c r="D518" i="55" a="1"/>
  <c r="R21" i="41"/>
  <c r="I436" i="57" a="1"/>
  <c r="H20" i="41" a="1"/>
  <c r="I411" i="57" a="1"/>
  <c r="G14" i="55" a="1"/>
  <c r="D693" i="55" a="1"/>
  <c r="R16" i="54" a="1"/>
  <c r="D450" i="55" a="1"/>
  <c r="R14" i="54" a="1"/>
  <c r="I422" i="57" a="1"/>
  <c r="N17" i="54" a="1"/>
  <c r="E510" i="55" a="1"/>
  <c r="I517" i="57" a="1"/>
  <c r="G507" i="55" a="1"/>
  <c r="F493" i="55" a="1"/>
  <c r="G481" i="55" a="1"/>
  <c r="B11" i="54" a="1"/>
  <c r="D573" i="55" a="1"/>
  <c r="I144" i="57" a="1"/>
  <c r="F718" i="55" a="1"/>
  <c r="W21" i="41" a="1"/>
  <c r="E666" i="55" a="1"/>
  <c r="E602" i="55" a="1"/>
  <c r="F484" i="55" a="1"/>
  <c r="F540" i="55" a="1"/>
  <c r="E515" i="55" a="1"/>
  <c r="F701" i="55" a="1"/>
  <c r="N14" i="41"/>
  <c r="I339" i="57" a="1"/>
  <c r="N15" i="54" a="1"/>
  <c r="D562" i="55" a="1"/>
  <c r="C15" i="41"/>
  <c r="H35" i="45" a="1"/>
  <c r="H13" i="52" a="1"/>
  <c r="D489" i="55" a="1"/>
  <c r="I292" i="57" a="1"/>
  <c r="E9" i="40"/>
  <c r="D553" i="55" a="1"/>
  <c r="G696" i="55" a="1"/>
  <c r="D31" i="45" a="1"/>
  <c r="I252" i="57" a="1"/>
  <c r="E462" i="55" a="1"/>
  <c r="H27" i="45" a="1"/>
  <c r="E524" i="55" a="1"/>
  <c r="I575" i="57" a="1"/>
  <c r="H8" i="40"/>
  <c r="I245" i="57" a="1"/>
  <c r="F33" i="45" a="1"/>
  <c r="B44" i="44" a="1"/>
  <c r="B25" i="44" a="1"/>
  <c r="F633" i="55" a="1"/>
  <c r="I368" i="57" a="1"/>
  <c r="D729" i="55" a="1"/>
  <c r="G642" i="55" a="1"/>
  <c r="F702" i="55" a="1"/>
  <c r="F510" i="55" a="1"/>
  <c r="G575" i="55" a="1"/>
  <c r="I317" i="57" a="1"/>
  <c r="I203" i="57" a="1"/>
  <c r="B20" i="44" a="1"/>
  <c r="E569" i="55" a="1"/>
  <c r="I594" i="57" a="1"/>
  <c r="H15" i="45" a="1"/>
  <c r="B45" i="44" a="1"/>
  <c r="O17" i="54" a="1"/>
  <c r="I365" i="57" a="1"/>
  <c r="I577" i="57" a="1"/>
  <c r="E516" i="55" a="1"/>
  <c r="G582" i="55" a="1"/>
  <c r="F594" i="55" a="1"/>
  <c r="T14" i="54" a="1"/>
  <c r="F779" i="55" a="1"/>
  <c r="E749" i="55" a="1"/>
  <c r="N11" i="41"/>
  <c r="G36" i="55" a="1"/>
  <c r="D10" i="45" a="1"/>
  <c r="L11" i="41" a="1"/>
  <c r="I257" i="57" a="1"/>
  <c r="E456" i="55" a="1"/>
  <c r="I310" i="57" a="1"/>
  <c r="E18" i="55" a="1"/>
  <c r="C8" i="54" a="1"/>
  <c r="AA12" i="41" a="1"/>
  <c r="G677" i="55" a="1"/>
  <c r="G522" i="55" a="1"/>
  <c r="F507" i="55" a="1"/>
  <c r="F661" i="55" a="1"/>
  <c r="E654" i="55" a="1"/>
  <c r="E33" i="55" a="1"/>
  <c r="B15" i="54" a="1"/>
  <c r="I375" i="57" a="1"/>
  <c r="V13" i="54" a="1"/>
  <c r="I270" i="57" a="1"/>
  <c r="B34" i="44" a="1"/>
  <c r="D669" i="55" a="1"/>
  <c r="I281" i="57" a="1"/>
  <c r="I32" i="57" a="1"/>
  <c r="E12" i="41" a="1"/>
  <c r="I519" i="57" a="1"/>
  <c r="G13" i="55" a="1"/>
  <c r="AA18" i="41" a="1"/>
  <c r="E656" i="55" a="1"/>
  <c r="I336" i="57" a="1"/>
  <c r="I128" i="57" a="1"/>
  <c r="N8" i="40"/>
  <c r="I95" i="57" a="1"/>
  <c r="G663" i="55" a="1"/>
  <c r="D29" i="55" a="1"/>
  <c r="F684" i="55" a="1"/>
  <c r="I579" i="57" a="1"/>
  <c r="I416" i="57" a="1"/>
  <c r="E26" i="55" a="1"/>
  <c r="I291" i="57" a="1"/>
  <c r="E19" i="54" a="1"/>
  <c r="I376" i="57" a="1"/>
  <c r="I8" i="40"/>
  <c r="F582" i="55" a="1"/>
  <c r="E713" i="55" a="1"/>
  <c r="D769" i="55" a="1"/>
  <c r="U20" i="54" a="1"/>
  <c r="D664" i="55" a="1"/>
  <c r="F528" i="55" a="1"/>
  <c r="G460" i="55" a="1"/>
  <c r="G584" i="55" a="1"/>
  <c r="E543" i="55" a="1"/>
  <c r="N15" i="41"/>
  <c r="F765" i="55" a="1"/>
  <c r="D612" i="55" a="1"/>
  <c r="F17" i="54" a="1"/>
  <c r="AB9" i="41" a="1"/>
  <c r="D666" i="55" a="1"/>
  <c r="I72" i="57" a="1"/>
  <c r="I454" i="57" a="1"/>
  <c r="L11" i="54" a="1"/>
  <c r="I434" i="57" a="1"/>
  <c r="I164" i="57" a="1"/>
  <c r="I535" i="57" a="1"/>
  <c r="E633" i="55" a="1"/>
  <c r="G704" i="55" a="1"/>
  <c r="G620" i="55" a="1"/>
  <c r="I380" i="57" a="1"/>
  <c r="G646" i="55" a="1"/>
  <c r="F453" i="55" a="1"/>
  <c r="I108" i="57" a="1"/>
  <c r="E30" i="55" a="1"/>
  <c r="E13" i="54" a="1"/>
  <c r="B14" i="45" a="1"/>
  <c r="D12" i="41" a="1"/>
  <c r="E518" i="55" a="1"/>
  <c r="D15" i="41" a="1"/>
  <c r="F600" i="55" a="1"/>
  <c r="H16" i="54" a="1"/>
  <c r="D773" i="55" a="1"/>
  <c r="E583" i="55" a="1"/>
  <c r="I490" i="57" a="1"/>
  <c r="F461" i="55" a="1"/>
  <c r="I460" i="57" a="1"/>
  <c r="I529" i="57" a="1"/>
  <c r="I25" i="57" a="1"/>
  <c r="F23" i="45" a="1"/>
  <c r="E679" i="55" a="1"/>
  <c r="E743" i="55" a="1"/>
  <c r="G18" i="54" a="1"/>
  <c r="J14" i="54" a="1"/>
  <c r="E735" i="55" a="1"/>
  <c r="F631" i="55" a="1"/>
  <c r="N21" i="41"/>
  <c r="K19" i="54" a="1"/>
  <c r="I371" i="57" a="1"/>
  <c r="I523" i="57" a="1"/>
  <c r="I359" i="57" a="1"/>
  <c r="D558" i="55" a="1"/>
  <c r="I111" i="57" a="1"/>
  <c r="I501" i="57" a="1"/>
  <c r="D634" i="55" a="1"/>
  <c r="F769" i="55" a="1"/>
  <c r="K20" i="54" a="1"/>
  <c r="I445" i="57" a="1"/>
  <c r="I520" i="57" a="1"/>
  <c r="I582" i="57" a="1"/>
  <c r="L15" i="54" a="1"/>
  <c r="N19" i="54" a="1"/>
  <c r="F10" i="54" a="1"/>
  <c r="S12" i="54" a="1"/>
  <c r="I320" i="57" a="1"/>
  <c r="D16" i="54" a="1"/>
  <c r="R21" i="54" a="1"/>
  <c r="C20" i="54" a="1"/>
  <c r="G19" i="55" a="1"/>
  <c r="D586" i="55" a="1"/>
  <c r="E700" i="55" a="1"/>
  <c r="E538" i="55" a="1"/>
  <c r="G10" i="54" a="1"/>
  <c r="D779" i="55" a="1"/>
  <c r="G558" i="55" a="1"/>
  <c r="F599" i="55" a="1"/>
  <c r="G559" i="55" a="1"/>
  <c r="D467" i="55" a="1"/>
  <c r="P14" i="54" a="1"/>
  <c r="H14" i="54" a="1"/>
  <c r="F766" i="55" a="1"/>
  <c r="F708" i="55" a="1"/>
  <c r="D529" i="55" a="1"/>
  <c r="B13" i="45" a="1"/>
  <c r="D767" i="55" a="1"/>
  <c r="I350" i="57" a="1"/>
  <c r="E15" i="54" a="1"/>
  <c r="E651" i="55" a="1"/>
  <c r="I174" i="57" a="1"/>
  <c r="I136" i="57" a="1"/>
  <c r="F12" i="45" a="1"/>
  <c r="I415" i="57" a="1"/>
  <c r="F617" i="55" a="1"/>
  <c r="I453" i="57" a="1"/>
  <c r="D14" i="55" a="1"/>
  <c r="I513" i="57" a="1"/>
  <c r="E714" i="55" a="1"/>
  <c r="I571" i="57" a="1"/>
  <c r="G777" i="55" a="1"/>
  <c r="F639" i="55" a="1"/>
  <c r="H42" i="45" a="1"/>
  <c r="P15" i="41" a="1"/>
  <c r="O18" i="54" a="1"/>
  <c r="I52" i="57" a="1"/>
  <c r="F11" i="55" a="1"/>
  <c r="D465" i="55" a="1"/>
  <c r="D522" i="55" a="1"/>
  <c r="H9" i="54" a="1"/>
  <c r="I288" i="57" a="1"/>
  <c r="I42" i="57" a="1"/>
  <c r="F40" i="45" a="1"/>
  <c r="I36" i="57" a="1"/>
  <c r="I489" i="57" a="1"/>
  <c r="F560" i="55" a="1"/>
  <c r="I118" i="57" a="1"/>
  <c r="D635" i="55" a="1"/>
  <c r="I100" i="57" a="1"/>
  <c r="E603" i="55" a="1"/>
  <c r="I219" i="57" a="1"/>
  <c r="G740" i="55" a="1"/>
  <c r="C13" i="54" a="1"/>
  <c r="I135" i="57" a="1"/>
  <c r="E761" i="55" a="1"/>
  <c r="F736" i="55" a="1"/>
  <c r="AB8" i="41" a="1"/>
  <c r="I204" i="57" a="1"/>
  <c r="I225" i="57" a="1"/>
  <c r="Z18" i="41"/>
  <c r="E32" i="55" a="1"/>
  <c r="D617" i="55" a="1"/>
  <c r="G32" i="55" a="1"/>
  <c r="F21" i="55" a="1"/>
  <c r="I188" i="57" a="1"/>
  <c r="G649" i="55" a="1"/>
  <c r="D11" i="45" a="1"/>
  <c r="D10" i="54" a="1"/>
  <c r="O21" i="54" a="1"/>
  <c r="D9" i="41" a="1"/>
  <c r="F732" i="55" a="1"/>
  <c r="E618" i="55" a="1"/>
  <c r="F18" i="54" a="1"/>
  <c r="F531" i="55" a="1"/>
  <c r="I169" i="57" a="1"/>
  <c r="D478" i="55" a="1"/>
  <c r="F668" i="55" a="1"/>
  <c r="E699" i="55" a="1"/>
  <c r="F699" i="55" a="1"/>
  <c r="F548" i="55" a="1"/>
  <c r="M15" i="54" a="1"/>
  <c r="I206" i="57" a="1"/>
  <c r="I89" i="57" a="1"/>
  <c r="I103" i="57" a="1"/>
  <c r="I44" i="57" a="1"/>
  <c r="I192" i="57" a="1"/>
  <c r="S11" i="41"/>
  <c r="I22" i="57" a="1"/>
  <c r="D680" i="55" a="1"/>
  <c r="O13" i="54" a="1"/>
  <c r="I379" i="57" a="1"/>
  <c r="E479" i="55" a="1"/>
  <c r="F43" i="45" a="1"/>
  <c r="I16" i="54" a="1"/>
  <c r="I388" i="57" a="1"/>
  <c r="E680" i="55" a="1"/>
  <c r="D451" i="55" a="1"/>
  <c r="T21" i="54" a="1"/>
  <c r="G530" i="55" a="1"/>
  <c r="G506" i="55" a="1"/>
  <c r="F552" i="55" a="1"/>
  <c r="G674" i="55" a="1"/>
  <c r="I296" i="57" a="1"/>
  <c r="I322" i="57" a="1"/>
  <c r="F755" i="55" a="1"/>
  <c r="P12" i="41" a="1"/>
  <c r="F735" i="55" a="1"/>
  <c r="E554" i="55" a="1"/>
  <c r="V11" i="41"/>
  <c r="E457" i="55" a="1"/>
  <c r="D735" i="55" a="1"/>
  <c r="I121" i="57" a="1"/>
  <c r="T8" i="41" a="1"/>
  <c r="F609" i="55" a="1"/>
  <c r="G589" i="55" a="1"/>
  <c r="G514" i="55" a="1"/>
  <c r="F525" i="55" a="1"/>
  <c r="G682" i="55" a="1"/>
  <c r="I314" i="57" a="1"/>
  <c r="E734" i="55" a="1"/>
  <c r="I228" i="57" a="1"/>
  <c r="E477" i="55" a="1"/>
  <c r="D619" i="55" a="1"/>
  <c r="F614" i="55" a="1"/>
  <c r="G28" i="55" a="1"/>
  <c r="D9" i="55" a="1"/>
  <c r="I521" i="57" a="1"/>
  <c r="E608" i="55" a="1"/>
  <c r="I363" i="57" a="1"/>
  <c r="G571" i="55" a="1"/>
  <c r="G617" i="55" a="1"/>
  <c r="D485" i="55" a="1"/>
  <c r="G673" i="55" a="1"/>
  <c r="G633" i="55" a="1"/>
  <c r="F767" i="55" a="1"/>
  <c r="I282" i="57" a="1"/>
  <c r="B15" i="45" a="1"/>
  <c r="G746" i="55" a="1"/>
  <c r="F467" i="55" a="1"/>
  <c r="I148" i="57" a="1"/>
  <c r="I266" i="57" a="1"/>
  <c r="G726" i="55" a="1"/>
  <c r="E703" i="55" a="1"/>
  <c r="F14" i="45" a="1"/>
  <c r="I439" i="57" a="1"/>
  <c r="O14" i="54" a="1"/>
  <c r="J9" i="54" a="1"/>
  <c r="G9" i="54" a="1"/>
  <c r="I473" i="57" a="1"/>
  <c r="F11" i="54" a="1"/>
  <c r="E682" i="55" a="1"/>
  <c r="D712" i="55" a="1"/>
  <c r="G469" i="55" a="1"/>
  <c r="I548" i="57" a="1"/>
  <c r="E747" i="55" a="1"/>
  <c r="I290" i="57" a="1"/>
  <c r="G449" i="55" a="1"/>
  <c r="E663" i="55" a="1"/>
  <c r="O8" i="40"/>
  <c r="J8" i="41"/>
  <c r="G576" i="55" a="1"/>
  <c r="T13" i="54" a="1"/>
  <c r="E731" i="55" a="1"/>
  <c r="I55" i="57" a="1"/>
  <c r="F11" i="45" a="1"/>
  <c r="D464" i="55" a="1"/>
  <c r="D771" i="55" a="1"/>
  <c r="I395" i="57" a="1"/>
  <c r="D665" i="55" a="1"/>
  <c r="I17" i="54" a="1"/>
  <c r="G545" i="55" a="1"/>
  <c r="I443" i="57" a="1"/>
  <c r="F32" i="45" a="1"/>
  <c r="G634" i="55" a="1"/>
  <c r="I346" i="57" a="1"/>
  <c r="K18" i="41" a="1"/>
  <c r="E550" i="55" a="1"/>
  <c r="G662" i="55" a="1"/>
  <c r="I93" i="57" a="1"/>
  <c r="I584" i="57" a="1"/>
  <c r="G622" i="55" a="1"/>
  <c r="U14" i="54" a="1"/>
  <c r="G574" i="55" a="1"/>
  <c r="I426" i="57" a="1"/>
  <c r="D23" i="55" a="1"/>
  <c r="Z17" i="41"/>
  <c r="F455" i="55" a="1"/>
  <c r="D521" i="55" a="1"/>
  <c r="F648" i="55" a="1"/>
  <c r="I139" i="57" a="1"/>
  <c r="I558" i="57" a="1"/>
  <c r="G643" i="55" a="1"/>
  <c r="R18" i="41"/>
  <c r="G16" i="55" a="1"/>
  <c r="D527" i="55" a="1"/>
  <c r="G15" i="55" a="1"/>
  <c r="D537" i="55" a="1"/>
  <c r="G508" i="55" a="1"/>
  <c r="H36" i="45" a="1"/>
  <c r="I537" i="57" a="1"/>
  <c r="H15" i="54" a="1"/>
  <c r="F13" i="52" a="1"/>
  <c r="F679" i="55" a="1"/>
  <c r="F618" i="55" a="1"/>
  <c r="D511" i="55" a="1"/>
  <c r="I87" i="57" a="1"/>
  <c r="I597" i="57" a="1"/>
  <c r="AB18" i="41" a="1"/>
  <c r="E580" i="55" a="1"/>
  <c r="F25" i="55" a="1"/>
  <c r="F479" i="55" a="1"/>
  <c r="F15" i="54" a="1"/>
  <c r="F579" i="55" a="1"/>
  <c r="G672" i="55" a="1"/>
  <c r="D13" i="54" a="1"/>
  <c r="I340" i="57" a="1"/>
  <c r="E759" i="55" a="1"/>
  <c r="I230" i="57" a="1"/>
  <c r="G461" i="55" a="1"/>
  <c r="I117" i="57" a="1"/>
  <c r="D35" i="45" a="1"/>
  <c r="I47" i="57" a="1"/>
  <c r="E589" i="55" a="1"/>
  <c r="G454" i="55" a="1"/>
  <c r="G482" i="55" a="1"/>
  <c r="I208" i="57" a="1"/>
  <c r="G758" i="55" a="1"/>
  <c r="G772" i="55" a="1"/>
  <c r="E612" i="55" a="1"/>
  <c r="D724" i="55" a="1"/>
  <c r="I541" i="57" a="1"/>
  <c r="G711" i="55" a="1"/>
  <c r="E489" i="55" a="1"/>
  <c r="E748" i="55" a="1"/>
  <c r="I12" i="54" a="1"/>
  <c r="E664" i="55" a="1"/>
  <c r="E771" i="55" a="1"/>
  <c r="E717" i="55" a="1"/>
  <c r="G515" i="55" a="1"/>
  <c r="H11" i="45" a="1"/>
  <c r="I163" i="57" a="1"/>
  <c r="D447" i="55" a="1"/>
  <c r="G733" i="55" a="1"/>
  <c r="M20" i="54" a="1"/>
  <c r="I419" i="57" a="1"/>
  <c r="H25" i="45" a="1"/>
  <c r="F9" i="54" a="1"/>
  <c r="G526" i="55" a="1"/>
  <c r="I190" i="57" a="1"/>
  <c r="G477" i="55" a="1"/>
  <c r="E590" i="55" a="1"/>
  <c r="G667" i="55" a="1"/>
  <c r="V20" i="54" a="1"/>
  <c r="F635" i="55" a="1"/>
  <c r="D708" i="55" a="1"/>
  <c r="G727" i="55" a="1"/>
  <c r="I35" i="57" a="1"/>
  <c r="F556" i="55" a="1"/>
  <c r="F36" i="45" a="1"/>
  <c r="I481" i="57" a="1"/>
  <c r="D541" i="55" a="1"/>
  <c r="F780" i="55" a="1"/>
  <c r="M16" i="54" a="1"/>
  <c r="D538" i="55" a="1"/>
  <c r="E469" i="55" a="1"/>
  <c r="G517" i="55" a="1"/>
  <c r="H38" i="45" a="1"/>
  <c r="G588" i="55" a="1"/>
  <c r="F31" i="55" a="1"/>
  <c r="E756" i="55" a="1"/>
  <c r="F562" i="55" a="1"/>
  <c r="F454" i="55" a="1"/>
  <c r="E578" i="55" a="1"/>
  <c r="D8" i="41"/>
  <c r="I328" i="57" a="1"/>
  <c r="F42" i="45" a="1"/>
  <c r="K13" i="54" a="1"/>
  <c r="I28" i="57" a="1"/>
  <c r="R14" i="41"/>
  <c r="E605" i="55" a="1"/>
  <c r="D699" i="55" a="1"/>
  <c r="E17" i="41" a="1"/>
  <c r="I65" i="57" a="1"/>
  <c r="E573" i="55" a="1"/>
  <c r="H31" i="45" a="1"/>
  <c r="D677" i="55" a="1"/>
  <c r="E619" i="55" a="1"/>
  <c r="L16" i="54" a="1"/>
  <c r="D592" i="55" a="1"/>
  <c r="I318" i="57" a="1"/>
  <c r="I373" i="57" a="1"/>
  <c r="G603" i="55" a="1"/>
  <c r="G591" i="55" a="1"/>
  <c r="G512" i="55" a="1"/>
  <c r="E697" i="55" a="1"/>
  <c r="D34" i="45" a="1"/>
  <c r="O15" i="41" a="1"/>
  <c r="F530" i="55" a="1"/>
  <c r="Q16" i="54" a="1"/>
  <c r="N12" i="54" a="1"/>
  <c r="I109" i="57" a="1"/>
  <c r="F665" i="55" a="1"/>
  <c r="I127" i="57" a="1"/>
  <c r="V16" i="54" a="1"/>
  <c r="S13" i="54" a="1"/>
  <c r="K17" i="41"/>
  <c r="F677" i="55" a="1"/>
  <c r="I159" i="57" a="1"/>
  <c r="G23" i="55" a="1"/>
  <c r="G736" i="55" a="1"/>
  <c r="I467" i="57" a="1"/>
  <c r="F687" i="55" a="1"/>
  <c r="B28" i="44" a="1"/>
  <c r="D736" i="55" a="1"/>
  <c r="G8" i="41"/>
  <c r="D506" i="55" a="1"/>
  <c r="E514" i="55" a="1"/>
  <c r="I217" i="57" a="1"/>
  <c r="E665" i="55" a="1"/>
  <c r="I553" i="57" a="1"/>
  <c r="I165" i="57" a="1"/>
  <c r="J11" i="54" a="1"/>
  <c r="C9" i="54" a="1"/>
  <c r="I10" i="40" a="1"/>
  <c r="D610" i="55" a="1"/>
  <c r="E644" i="55" a="1"/>
  <c r="V21" i="54" a="1"/>
  <c r="D711" i="55" a="1"/>
  <c r="I69" i="57" a="1"/>
  <c r="E17" i="54" a="1"/>
  <c r="B14" i="54" a="1"/>
  <c r="I51" i="57" a="1"/>
  <c r="I386" i="57" a="1"/>
  <c r="E639" i="55" a="1"/>
  <c r="I9" i="54" a="1"/>
  <c r="G15" i="41" a="1"/>
  <c r="G476" i="55" a="1"/>
  <c r="L8" i="41" a="1"/>
  <c r="F729" i="55" a="1"/>
  <c r="D717" i="55" a="1"/>
  <c r="I355" i="57" a="1"/>
  <c r="L14" i="54" a="1"/>
  <c r="L17" i="54" a="1"/>
  <c r="G485" i="55" a="1"/>
  <c r="G685" i="55" a="1"/>
  <c r="E745" i="55" a="1"/>
  <c r="D741" i="55" a="1"/>
  <c r="D11" i="55" a="1"/>
  <c r="I120" i="57" a="1"/>
  <c r="E12" i="54" a="1"/>
  <c r="F476" i="55" a="1"/>
  <c r="D770" i="55" a="1"/>
  <c r="F550" i="55" a="1"/>
  <c r="C11" i="54" a="1"/>
  <c r="E678" i="55" a="1"/>
  <c r="I114" i="57" a="1"/>
  <c r="F459" i="55" a="1"/>
  <c r="S9" i="41" a="1"/>
  <c r="I12" i="57" a="1"/>
  <c r="B10" i="44" a="1"/>
  <c r="E695" i="55" a="1"/>
  <c r="D584" i="55" a="1"/>
  <c r="N17" i="41"/>
  <c r="F537" i="55" a="1"/>
  <c r="D540" i="55" a="1"/>
  <c r="E10" i="40" a="1"/>
  <c r="E527" i="55" a="1"/>
  <c r="E623" i="55" a="1"/>
  <c r="E22" i="55" a="1"/>
  <c r="I14" i="54" a="1"/>
  <c r="I70" i="57" a="1"/>
  <c r="I15" i="54" a="1"/>
  <c r="G644" i="55" a="1"/>
  <c r="E576" i="55" a="1"/>
  <c r="I410" i="57" a="1"/>
  <c r="B31" i="44" a="1"/>
  <c r="I316" i="57" a="1"/>
  <c r="G614" i="55" a="1"/>
  <c r="D453" i="55" a="1"/>
  <c r="D644" i="55" a="1"/>
  <c r="I555" i="57" a="1"/>
  <c r="D748" i="55" a="1"/>
  <c r="D702" i="55" a="1"/>
  <c r="G478" i="55" a="1"/>
  <c r="H17" i="41" a="1"/>
  <c r="P21" i="54" a="1"/>
  <c r="G645" i="55" a="1"/>
  <c r="D11" i="41"/>
  <c r="I240" i="57" a="1"/>
  <c r="F554" i="55" a="1"/>
  <c r="D776" i="55" a="1"/>
  <c r="I587" i="57" a="1"/>
  <c r="K12" i="54" a="1"/>
  <c r="F514" i="55" a="1"/>
  <c r="F25" i="45" a="1"/>
  <c r="F29" i="45" a="1"/>
  <c r="D649" i="55" a="1"/>
  <c r="I224" i="57" a="1"/>
  <c r="E478" i="55" a="1"/>
  <c r="L9" i="40" a="1"/>
  <c r="D604" i="55" a="1"/>
  <c r="E447" i="55" a="1"/>
  <c r="E768" i="55" a="1"/>
  <c r="Q13" i="54" a="1"/>
  <c r="P16" i="54" a="1"/>
  <c r="G33" i="55" a="1"/>
  <c r="G491" i="55" a="1"/>
  <c r="T18" i="41" a="1"/>
  <c r="G537" i="55" a="1"/>
  <c r="G570" i="55" a="1"/>
  <c r="I295" i="57" a="1"/>
  <c r="L15" i="41" a="1"/>
  <c r="I470" i="57" a="1"/>
  <c r="G754" i="55" a="1"/>
  <c r="I293" i="57" a="1"/>
  <c r="E488" i="55" a="1"/>
  <c r="E776" i="55" a="1"/>
  <c r="D16" i="55" a="1"/>
  <c r="E542" i="55" a="1"/>
  <c r="E482" i="55" a="1"/>
  <c r="O9" i="54" a="1"/>
  <c r="F457" i="55" a="1"/>
  <c r="I472" i="57" a="1"/>
  <c r="D714" i="55" a="1"/>
  <c r="G22" i="55" a="1"/>
  <c r="G611" i="55" a="1"/>
  <c r="G728" i="55" a="1"/>
  <c r="Z8" i="41"/>
  <c r="F570" i="55" a="1"/>
  <c r="I358" i="57" a="1"/>
  <c r="I258" i="57" a="1"/>
  <c r="D668" i="55" a="1"/>
  <c r="F517" i="55" a="1"/>
  <c r="Q18" i="54" a="1"/>
  <c r="D487" i="55" a="1"/>
  <c r="I428" i="57" a="1"/>
  <c r="K8" i="52" a="1"/>
  <c r="I394" i="57" a="1"/>
  <c r="F10" i="40" a="1"/>
  <c r="E512" i="55" a="1"/>
  <c r="F8" i="41"/>
  <c r="B33" i="44" a="1"/>
  <c r="L19" i="54" a="1"/>
  <c r="F557" i="55" a="1"/>
  <c r="O10" i="54" a="1"/>
  <c r="D620" i="55" a="1"/>
  <c r="D513" i="55" a="1"/>
  <c r="V12" i="54" a="1"/>
  <c r="T17" i="54" a="1"/>
  <c r="E476" i="55" a="1"/>
  <c r="I390" i="57" a="1"/>
  <c r="E18" i="54" a="1"/>
  <c r="M21" i="54" a="1"/>
  <c r="F592" i="55" a="1"/>
  <c r="T15" i="41" a="1"/>
  <c r="Z11" i="41"/>
  <c r="P10" i="54" a="1"/>
  <c r="I406" i="57" a="1"/>
  <c r="E655" i="55" a="1"/>
  <c r="I349" i="57" a="1"/>
  <c r="R8" i="54" a="1"/>
  <c r="E559" i="55" a="1"/>
  <c r="D608" i="55" a="1"/>
  <c r="D638" i="55" a="1"/>
  <c r="F513" i="55" a="1"/>
  <c r="V17" i="41"/>
  <c r="E12" i="55" a="1"/>
  <c r="F704" i="55" a="1"/>
  <c r="F588" i="55" a="1"/>
  <c r="E499" i="55" a="1"/>
  <c r="F12" i="55" a="1"/>
  <c r="J20" i="54" a="1"/>
  <c r="G608" i="55" a="1"/>
  <c r="G551" i="55" a="1"/>
  <c r="G492" i="55" a="1"/>
  <c r="G631" i="55" a="1"/>
  <c r="I196" i="57" a="1"/>
  <c r="G763" i="55" a="1"/>
  <c r="F529" i="55" a="1"/>
  <c r="L21" i="54" a="1"/>
  <c r="D651" i="55" a="1"/>
  <c r="D14" i="45" a="1"/>
  <c r="E16" i="55" a="1"/>
  <c r="F495" i="55" a="1"/>
  <c r="I557" i="57" a="1"/>
  <c r="G486" i="55" a="1"/>
  <c r="E601" i="55" a="1"/>
  <c r="D768" i="55" a="1"/>
  <c r="I125" i="57" a="1"/>
  <c r="F745" i="55" a="1"/>
  <c r="L8" i="54" a="1"/>
  <c r="G624" i="55" a="1"/>
  <c r="G605" i="55" a="1"/>
  <c r="D488" i="55" a="1"/>
  <c r="I187" i="57" a="1"/>
  <c r="I393" i="57" a="1"/>
  <c r="D23" i="45" a="1"/>
  <c r="E672" i="55" a="1"/>
  <c r="C8" i="52" a="1"/>
  <c r="I67" i="57" a="1"/>
  <c r="E528" i="55" a="1"/>
  <c r="P8" i="41" a="1"/>
  <c r="G640" i="55" a="1"/>
  <c r="E621" i="55" a="1"/>
  <c r="E560" i="55" a="1"/>
  <c r="P17" i="41" a="1"/>
  <c r="E707" i="55" a="1"/>
  <c r="B52" i="44" a="1"/>
  <c r="I391" i="57" a="1"/>
  <c r="E568" i="55" a="1"/>
  <c r="F522" i="55" a="1"/>
  <c r="F646" i="55" a="1"/>
  <c r="F585" i="55" a="1"/>
  <c r="N10" i="40" a="1"/>
  <c r="E465" i="55" a="1"/>
  <c r="E579" i="55" a="1"/>
  <c r="G497" i="55" a="1"/>
  <c r="D587" i="55" a="1"/>
  <c r="I66" i="57" a="1"/>
  <c r="F680" i="55" a="1"/>
  <c r="E715" i="55" a="1"/>
  <c r="G12" i="54" a="1"/>
  <c r="B8" i="40"/>
  <c r="V18" i="41"/>
  <c r="E557" i="55" a="1"/>
  <c r="AB14" i="41" a="1"/>
  <c r="G675" i="55" a="1"/>
  <c r="D449" i="55" a="1"/>
  <c r="G563" i="55" a="1"/>
  <c r="I478" i="57" a="1"/>
  <c r="D499" i="55" a="1"/>
  <c r="G581" i="55" a="1"/>
  <c r="E636" i="55" a="1"/>
  <c r="F650" i="55" a="1"/>
  <c r="I223" i="57" a="1"/>
  <c r="D520" i="55" a="1"/>
  <c r="I437" i="57" a="1"/>
  <c r="Q9" i="54" a="1"/>
  <c r="F622" i="55" a="1"/>
  <c r="F8" i="40"/>
  <c r="G774" i="55" a="1"/>
  <c r="D643" i="55" a="1"/>
  <c r="I116" i="57" a="1"/>
  <c r="D692" i="55" a="1"/>
  <c r="I325" i="57" a="1"/>
  <c r="D611" i="55" a="1"/>
  <c r="I153" i="57" a="1"/>
  <c r="D496" i="55" a="1"/>
  <c r="E638" i="55" a="1"/>
  <c r="I309" i="57" a="1"/>
  <c r="G490" i="55" a="1"/>
  <c r="D454" i="55" a="1"/>
  <c r="G764" i="55" a="1"/>
  <c r="I504" i="57" a="1"/>
  <c r="D580" i="55" a="1"/>
  <c r="D463" i="55" a="1"/>
  <c r="G683" i="55" a="1"/>
  <c r="I449" i="57" a="1"/>
  <c r="D614" i="55" a="1"/>
  <c r="G464" i="55" a="1"/>
  <c r="E15" i="55" a="1"/>
  <c r="F487" i="55" a="1"/>
  <c r="D599" i="55" a="1"/>
  <c r="D41" i="45" a="1"/>
  <c r="E521" i="55" a="1"/>
  <c r="G17" i="54" a="1"/>
  <c r="G493" i="55" a="1"/>
  <c r="I45" i="57" a="1"/>
  <c r="S8" i="54" a="1"/>
  <c r="I588" i="57" a="1"/>
  <c r="R9" i="41"/>
  <c r="W20" i="41"/>
  <c r="D461" i="55" a="1"/>
  <c r="E453" i="55" a="1"/>
  <c r="J17" i="54" a="1"/>
  <c r="G466" i="55" a="1"/>
  <c r="I425" i="57" a="1"/>
  <c r="D637" i="55" a="1"/>
  <c r="E450" i="55" a="1"/>
  <c r="X11" i="41" a="1"/>
  <c r="F771" i="55" a="1"/>
  <c r="G572" i="55" a="1"/>
  <c r="F489" i="55" a="1"/>
  <c r="I304" i="57" a="1"/>
  <c r="I347" i="57" a="1"/>
  <c r="F499" i="55" a="1"/>
  <c r="F705" i="55" a="1"/>
  <c r="D687" i="55" a="1"/>
  <c r="H30" i="45" a="1"/>
  <c r="D517" i="55" a="1"/>
  <c r="G450" i="55" a="1"/>
  <c r="E541" i="55" a="1"/>
  <c r="F12" i="41"/>
  <c r="I586" i="57" a="1"/>
  <c r="F16" i="55" a="1"/>
  <c r="Q11" i="54" a="1"/>
  <c r="F607" i="55" a="1"/>
  <c r="E539" i="55" a="1"/>
  <c r="E461" i="55" a="1"/>
  <c r="I511" i="57" a="1"/>
  <c r="D477" i="55" a="1"/>
  <c r="D652" i="55" a="1"/>
  <c r="D732" i="55" a="1"/>
  <c r="E614" i="55" a="1"/>
  <c r="I441" i="57" a="1"/>
  <c r="D43" i="45" a="1"/>
  <c r="I256" i="57" a="1"/>
  <c r="I8" i="54" a="1"/>
  <c r="B37" i="44" a="1"/>
  <c r="G741" i="55" a="1"/>
  <c r="B16" i="45" a="1"/>
  <c r="N10" i="54" a="1"/>
  <c r="G700" i="55" a="1"/>
  <c r="D713" i="55" a="1"/>
  <c r="I202" i="57" a="1"/>
  <c r="I26" i="57" a="1"/>
  <c r="F757" i="55" a="1"/>
  <c r="I285" i="57" a="1"/>
  <c r="D624" i="55" a="1"/>
  <c r="G489" i="55" a="1"/>
  <c r="D737" i="55" a="1"/>
  <c r="D673" i="55" a="1"/>
  <c r="E475" i="55" a="1"/>
  <c r="D458" i="55" a="1"/>
  <c r="F492" i="55" a="1"/>
  <c r="E670" i="55" a="1"/>
  <c r="G531" i="55" a="1"/>
  <c r="H10" i="45" a="1"/>
  <c r="B40" i="44" a="1"/>
  <c r="C20" i="41"/>
  <c r="F641" i="55" a="1"/>
  <c r="I570" i="57" a="1"/>
  <c r="I209" i="57" a="1"/>
  <c r="D525" i="55" a="1"/>
  <c r="G714" i="55" a="1"/>
  <c r="B16" i="54" a="1"/>
  <c r="G18" i="55" a="1"/>
  <c r="H41" i="45" a="1"/>
  <c r="F777" i="55" a="1"/>
  <c r="G698" i="55" a="1"/>
  <c r="E730" i="55" a="1"/>
  <c r="D696" i="55" a="1"/>
  <c r="K18" i="54" a="1"/>
  <c r="G694" i="55" a="1"/>
  <c r="Q10" i="54" a="1"/>
  <c r="I326" i="57" a="1"/>
  <c r="I50" i="57" a="1"/>
  <c r="AB11" i="41" a="1"/>
  <c r="E29" i="55" a="1"/>
  <c r="G599" i="55" a="1"/>
  <c r="I98" i="57" a="1"/>
  <c r="I130" i="57" a="1"/>
  <c r="K8" i="41"/>
  <c r="E738" i="55" a="1"/>
  <c r="Q21" i="54" a="1"/>
  <c r="G539" i="55" a="1"/>
  <c r="G615" i="55" a="1"/>
  <c r="F632" i="55" a="1"/>
  <c r="I284" i="57" a="1"/>
  <c r="B22" i="44" a="1"/>
  <c r="I253" i="57" a="1"/>
  <c r="G718" i="55" a="1"/>
  <c r="I496" i="57" a="1"/>
  <c r="D582" i="55" a="1"/>
  <c r="D18" i="41" a="1"/>
  <c r="E562" i="55" a="1"/>
  <c r="B26" i="44" a="1"/>
  <c r="F676" i="55" a="1"/>
  <c r="E693" i="55" a="1"/>
  <c r="I343" i="57" a="1"/>
  <c r="D744" i="55" a="1"/>
  <c r="G547" i="55" a="1"/>
  <c r="F667" i="55" a="1"/>
  <c r="D716" i="55" a="1"/>
  <c r="D515" i="55" a="1"/>
  <c r="E544" i="55" a="1"/>
  <c r="F724" i="55" a="1"/>
  <c r="I215" i="57" a="1"/>
  <c r="G760" i="55" a="1"/>
  <c r="F35" i="45" a="1"/>
  <c r="D456" i="55" a="1"/>
  <c r="D16" i="45" a="1"/>
  <c r="D670" i="55" a="1"/>
  <c r="G681" i="55" a="1"/>
  <c r="G693" i="55" a="1"/>
  <c r="F14" i="54" a="1"/>
  <c r="E600" i="55" a="1"/>
  <c r="I409" i="57" a="1"/>
  <c r="I275" i="57" a="1"/>
  <c r="D642" i="55" a="1"/>
  <c r="N16" i="54" a="1"/>
  <c r="P8" i="54" a="1"/>
  <c r="F644" i="55" a="1"/>
  <c r="R11" i="41"/>
  <c r="G516" i="55" a="1"/>
  <c r="E548" i="55" a="1"/>
  <c r="R8" i="41"/>
  <c r="K11" i="54" a="1"/>
  <c r="F693" i="55" a="1"/>
  <c r="I573" i="57" a="1"/>
  <c r="G701" i="55" a="1"/>
  <c r="F572" i="55" a="1"/>
  <c r="D749" i="55" a="1"/>
  <c r="F746" i="55" a="1"/>
  <c r="I31" i="57" a="1"/>
  <c r="F653" i="55" a="1"/>
  <c r="D539" i="55" a="1"/>
  <c r="E586" i="55" a="1"/>
  <c r="C21" i="41"/>
  <c r="E20" i="41" a="1"/>
  <c r="D548" i="55" a="1"/>
  <c r="I488" i="57" a="1"/>
  <c r="G451" i="55" a="1"/>
  <c r="G737" i="55" a="1"/>
  <c r="G706" i="55" a="1"/>
  <c r="E773" i="55" a="1"/>
  <c r="I438" i="57" a="1"/>
  <c r="G780" i="55" a="1"/>
  <c r="H14" i="41" a="1"/>
  <c r="I554" i="57" a="1"/>
  <c r="E13" i="55" a="1"/>
  <c r="E571" i="55" a="1"/>
  <c r="I205" i="57" a="1"/>
  <c r="X15" i="41" a="1"/>
  <c r="I218" i="57" a="1"/>
  <c r="E706" i="55" a="1"/>
  <c r="E616" i="55" a="1"/>
  <c r="E684" i="55" a="1"/>
  <c r="C14" i="41"/>
  <c r="G541" i="55" a="1"/>
  <c r="I433" i="57" a="1"/>
  <c r="I289" i="57" a="1"/>
  <c r="I384" i="57" a="1"/>
  <c r="F589" i="55" a="1"/>
  <c r="B21" i="54" a="1"/>
  <c r="E736" i="55" a="1"/>
  <c r="B19" i="44" a="1"/>
  <c r="D19" i="54" a="1"/>
  <c r="I452" i="57" a="1"/>
  <c r="D630" i="55" a="1"/>
  <c r="I171" i="57" a="1"/>
  <c r="E553" i="55" a="1"/>
  <c r="H32" i="45" a="1"/>
  <c r="D775" i="55" a="1"/>
  <c r="D9" i="54" a="1"/>
  <c r="V8" i="41"/>
  <c r="I330" i="57" a="1"/>
  <c r="I599" i="57" a="1"/>
  <c r="I242" i="57" a="1"/>
  <c r="E607" i="55" a="1"/>
  <c r="I329" i="57" a="1"/>
  <c r="I348" i="57" a="1"/>
  <c r="F656" i="55" a="1"/>
  <c r="P9" i="54" a="1"/>
  <c r="I528" i="57" a="1"/>
  <c r="G647" i="55" a="1"/>
  <c r="F737" i="55" a="1"/>
  <c r="F571" i="55" a="1"/>
  <c r="F601" i="55" a="1"/>
  <c r="E775" i="55" a="1"/>
  <c r="G686" i="55" a="1"/>
  <c r="D11" i="54" a="1"/>
  <c r="I280" i="57" a="1"/>
  <c r="L18" i="41" a="1"/>
  <c r="H22" i="45" a="1"/>
  <c r="L9" i="54" a="1"/>
  <c r="I516" i="57" a="1"/>
  <c r="G540" i="55" a="1"/>
  <c r="D15" i="54" a="1"/>
  <c r="I179" i="57" a="1"/>
  <c r="D36" i="55" a="1"/>
  <c r="G34" i="55" a="1"/>
  <c r="I378" i="57" a="1"/>
  <c r="G458" i="55" a="1"/>
  <c r="F519" i="55" a="1"/>
  <c r="F549" i="55" a="1"/>
  <c r="S12" i="41" a="1"/>
  <c r="F770" i="55" a="1"/>
  <c r="I102" i="57" a="1"/>
  <c r="J21" i="41"/>
  <c r="P20" i="54" a="1"/>
  <c r="F712" i="55" a="1"/>
  <c r="D618" i="55" a="1"/>
  <c r="I131" i="57" a="1"/>
  <c r="D703" i="55" a="1"/>
  <c r="K11" i="41"/>
  <c r="F717" i="55" a="1"/>
  <c r="I126" i="57" a="1"/>
  <c r="F13" i="54" a="1"/>
  <c r="R13" i="54" a="1"/>
  <c r="F497" i="55" a="1"/>
  <c r="O12" i="41" a="1"/>
  <c r="F21" i="41"/>
  <c r="F611" i="55" a="1"/>
  <c r="D725" i="55" a="1"/>
  <c r="F456" i="55" a="1"/>
  <c r="E674" i="55" a="1"/>
  <c r="N9" i="54" a="1"/>
  <c r="G773" i="55" a="1"/>
  <c r="G656" i="55" a="1"/>
  <c r="F696" i="55" a="1"/>
  <c r="E458" i="55" a="1"/>
  <c r="I306" i="57" a="1"/>
  <c r="E701" i="55" a="1"/>
  <c r="E705" i="55" a="1"/>
  <c r="S15" i="41" a="1"/>
  <c r="AA11" i="41"/>
  <c r="F759" i="55" a="1"/>
  <c r="D28" i="45" a="1"/>
  <c r="E495" i="55" a="1"/>
  <c r="C21" i="54" a="1"/>
  <c r="E455" i="55" a="1"/>
  <c r="D648" i="55" a="1"/>
  <c r="E733" i="55" a="1"/>
  <c r="D589" i="55" a="1"/>
  <c r="E624" i="55" a="1"/>
  <c r="I534" i="57" a="1"/>
  <c r="D662" i="55" a="1"/>
  <c r="H28" i="45" a="1"/>
  <c r="E561" i="55" a="1"/>
  <c r="F728" i="55" a="1"/>
  <c r="V20" i="41"/>
  <c r="G524" i="55" a="1"/>
  <c r="I107" i="57" a="1"/>
  <c r="F636" i="55" a="1"/>
  <c r="D761" i="55" a="1"/>
  <c r="F591" i="55" a="1"/>
  <c r="G664" i="55" a="1"/>
  <c r="R19" i="54" a="1"/>
  <c r="G532" i="55" a="1"/>
  <c r="G519" i="55" a="1"/>
  <c r="D698" i="55" a="1"/>
  <c r="I499" i="57" a="1"/>
  <c r="I483" i="57" a="1"/>
  <c r="I129" i="57" a="1"/>
  <c r="E552" i="55" a="1"/>
  <c r="S20" i="41"/>
  <c r="I34" i="57" a="1"/>
  <c r="G707" i="55" a="1"/>
  <c r="H43" i="45" a="1"/>
  <c r="J11" i="41"/>
  <c r="I40" i="57" a="1"/>
  <c r="F33" i="55" a="1"/>
  <c r="I591" i="57" a="1"/>
  <c r="E673" i="55" a="1"/>
  <c r="D493" i="55" a="1"/>
  <c r="I585" i="57" a="1"/>
  <c r="D480" i="55" a="1"/>
  <c r="G600" i="55" a="1"/>
  <c r="E711" i="55" a="1"/>
  <c r="R12" i="41"/>
  <c r="I412" i="57" a="1"/>
  <c r="I302" i="57" a="1"/>
  <c r="S17" i="41"/>
  <c r="I432" i="57" a="1"/>
  <c r="P20" i="41" a="1"/>
  <c r="Z14" i="41"/>
  <c r="D508" i="55" a="1"/>
  <c r="F738" i="55" a="1"/>
  <c r="D452" i="55" a="1"/>
  <c r="E486" i="55" a="1"/>
  <c r="K10" i="54" a="1"/>
  <c r="W9" i="41" a="1"/>
  <c r="I39" i="57" a="1"/>
  <c r="E481" i="55" a="1"/>
  <c r="E8" i="54" a="1"/>
  <c r="D759" i="55" a="1"/>
  <c r="E740" i="55" a="1"/>
  <c r="D625" i="55" a="1"/>
  <c r="G9" i="55" a="1"/>
  <c r="D444" i="55" a="1"/>
  <c r="T20" i="54" a="1"/>
  <c r="F762" i="55" a="1"/>
  <c r="D765" i="55" a="1"/>
  <c r="I595" i="57" a="1"/>
  <c r="I414" i="57" a="1"/>
  <c r="E640" i="55" a="1"/>
  <c r="F464" i="55" a="1"/>
  <c r="K20" i="41"/>
  <c r="E779" i="55" a="1"/>
  <c r="E683" i="55" a="1"/>
  <c r="G579" i="55" a="1"/>
  <c r="U12" i="54" a="1"/>
  <c r="I482" i="57" a="1"/>
  <c r="D605" i="55" a="1"/>
  <c r="C15" i="54" a="1"/>
  <c r="V19" i="54" a="1"/>
  <c r="S16" i="54" a="1"/>
  <c r="D38" i="45" a="1"/>
  <c r="F39" i="45" a="1"/>
  <c r="I514" i="57" a="1"/>
  <c r="G15" i="54" a="1"/>
  <c r="D29" i="45" a="1"/>
  <c r="G29" i="55" a="1"/>
  <c r="D445" i="55" a="1"/>
  <c r="D733" i="55" a="1"/>
  <c r="I162" i="57" a="1"/>
  <c r="I305" i="57" a="1"/>
  <c r="I234" i="57" a="1"/>
  <c r="F686" i="55" a="1"/>
  <c r="I222" i="57" a="1"/>
  <c r="I200" i="57" a="1"/>
  <c r="F621" i="55" a="1"/>
  <c r="K8" i="40"/>
  <c r="I261" i="57" a="1"/>
  <c r="I19" i="54" a="1"/>
  <c r="E668" i="55" a="1"/>
  <c r="I172" i="57" a="1"/>
  <c r="T20" i="41" a="1"/>
  <c r="D32" i="45" a="1"/>
  <c r="D697" i="55" a="1"/>
  <c r="D26" i="55" a="1"/>
  <c r="I197" i="57" a="1"/>
  <c r="I101" i="57" a="1"/>
  <c r="I465" i="57" a="1"/>
  <c r="G778" i="55" a="1"/>
  <c r="I265" i="57" a="1"/>
  <c r="K21" i="41" a="1"/>
  <c r="F581" i="55" a="1"/>
  <c r="N20" i="41"/>
  <c r="I333" i="57" a="1"/>
  <c r="M18" i="54" a="1"/>
  <c r="F754" i="55" a="1"/>
  <c r="D475" i="55" a="1"/>
  <c r="G601" i="55" a="1"/>
  <c r="G592" i="55" a="1"/>
  <c r="C16" i="54" a="1"/>
  <c r="F749" i="55" a="1"/>
  <c r="E20" i="54" a="1"/>
  <c r="I112" i="57" a="1"/>
  <c r="F651" i="55" a="1"/>
  <c r="I477" i="57" a="1"/>
  <c r="E615" i="55" a="1"/>
  <c r="D778" i="55" a="1"/>
  <c r="D694" i="55" a="1"/>
  <c r="I96" i="57" a="1"/>
  <c r="F21" i="54" a="1"/>
  <c r="D519" i="55" a="1"/>
  <c r="F480" i="55" a="1"/>
  <c r="E466" i="55" a="1"/>
  <c r="D576" i="55" a="1"/>
  <c r="F711" i="55" a="1"/>
  <c r="K21" i="54" a="1"/>
  <c r="E646" i="55" a="1"/>
  <c r="Q20" i="54" a="1"/>
  <c r="G738" i="55" a="1"/>
  <c r="E21" i="54" a="1"/>
  <c r="I75" i="57" a="1"/>
  <c r="E11" i="55" a="1"/>
  <c r="T9" i="54" a="1"/>
  <c r="S18" i="41" a="1"/>
  <c r="F625" i="55" a="1"/>
  <c r="G621" i="55" a="1"/>
  <c r="F518" i="55" a="1"/>
  <c r="I193" i="57" a="1"/>
  <c r="AA8" i="41"/>
  <c r="D554" i="55" a="1"/>
  <c r="F673" i="55" a="1"/>
  <c r="G680" i="55" a="1"/>
  <c r="E558" i="55" a="1"/>
  <c r="V21" i="41"/>
  <c r="D549" i="55" a="1"/>
  <c r="I360" i="57" a="1"/>
  <c r="F561" i="55" a="1"/>
  <c r="G632" i="55" a="1"/>
  <c r="I227" i="57" a="1"/>
  <c r="E599" i="55" a="1"/>
  <c r="E570" i="55" a="1"/>
  <c r="E594" i="55" a="1"/>
  <c r="D22" i="45" a="1"/>
  <c r="E643" i="55" a="1"/>
  <c r="D13" i="45" a="1"/>
  <c r="E491" i="55" a="1"/>
  <c r="I46" i="57" a="1"/>
  <c r="G487" i="55" a="1"/>
  <c r="E556" i="55" a="1"/>
  <c r="I157" i="57" a="1"/>
  <c r="G695" i="55" a="1"/>
  <c r="E9" i="41" a="1"/>
  <c r="B50" i="44" a="1"/>
  <c r="D563" i="55" a="1"/>
  <c r="H12" i="54" a="1"/>
  <c r="E687" i="55" a="1"/>
  <c r="G604" i="55" a="1"/>
  <c r="T10" i="54" a="1"/>
  <c r="B9" i="40"/>
  <c r="I590" i="57" a="1"/>
  <c r="F655" i="55" a="1"/>
  <c r="F460" i="55" a="1"/>
  <c r="I462" i="57" a="1"/>
  <c r="F26" i="55" a="1"/>
  <c r="I20" i="57" a="1"/>
  <c r="F22" i="45" a="1"/>
  <c r="I341" i="57" a="1"/>
  <c r="AA17" i="41"/>
  <c r="D707" i="55" a="1"/>
  <c r="O18" i="41" a="1"/>
  <c r="G550" i="55" a="1"/>
  <c r="G661" i="55" a="1"/>
  <c r="I479" i="57" a="1"/>
  <c r="P12" i="54" a="1"/>
  <c r="D15" i="45" a="1"/>
  <c r="F449" i="55" a="1"/>
  <c r="I307" i="57" a="1"/>
  <c r="X9" i="41" a="1"/>
  <c r="O19" i="54" a="1"/>
  <c r="E494" i="55" a="1"/>
  <c r="I596" i="57" a="1"/>
  <c r="I18" i="54" a="1"/>
  <c r="L20" i="54" a="1"/>
  <c r="E444" i="55" a="1"/>
  <c r="V15" i="41"/>
  <c r="F496" i="55" a="1"/>
  <c r="D745" i="55" a="1"/>
  <c r="E581" i="55" a="1"/>
  <c r="F623" i="55" a="1"/>
  <c r="I560" i="57" a="1"/>
  <c r="G625" i="55" a="1"/>
  <c r="E758" i="55" a="1"/>
  <c r="G745" i="55" a="1"/>
  <c r="T11" i="54" a="1"/>
  <c r="I404" i="57" a="1"/>
  <c r="F445" i="55" a="1"/>
  <c r="I509" i="57" a="1"/>
  <c r="E676" i="55" a="1"/>
  <c r="E525" i="55" a="1"/>
  <c r="I476" i="57" a="1"/>
  <c r="H21" i="41" a="1"/>
  <c r="E772" i="55" a="1"/>
  <c r="I271" i="57" a="1"/>
  <c r="D647" i="55" a="1"/>
  <c r="G527" i="55" a="1"/>
  <c r="E531" i="55" a="1"/>
  <c r="D615" i="55" a="1"/>
  <c r="G444" i="55" a="1"/>
  <c r="I86" i="57" a="1"/>
  <c r="I385" i="57" a="1"/>
  <c r="I503" i="57" a="1"/>
  <c r="I531" i="57" a="1"/>
  <c r="I233" i="57" a="1"/>
  <c r="I145" i="57" a="1"/>
  <c r="I600" i="57" a="1"/>
  <c r="W18" i="41" a="1"/>
  <c r="D755" i="55" a="1"/>
  <c r="T19" i="54" a="1"/>
  <c r="I9" i="40" a="1"/>
  <c r="F477" i="55" a="1"/>
  <c r="G762" i="55" a="1"/>
  <c r="E464" i="55" a="1"/>
  <c r="L12" i="54" a="1"/>
  <c r="D509" i="55" a="1"/>
  <c r="I377" i="57" a="1"/>
  <c r="F710" i="55" a="1"/>
  <c r="E630" i="55" a="1"/>
  <c r="H21" i="54" a="1"/>
  <c r="F744" i="55" a="1"/>
  <c r="G528" i="55" a="1"/>
  <c r="D678" i="55" a="1"/>
  <c r="F610" i="55" a="1"/>
  <c r="C19" i="54" a="1"/>
  <c r="I536" i="57" a="1"/>
  <c r="O11" i="41"/>
  <c r="G513" i="55" a="1"/>
  <c r="G523" i="55" a="1"/>
  <c r="X20" i="41" a="1"/>
  <c r="I574" i="57" a="1"/>
  <c r="Q14" i="54" a="1"/>
  <c r="I430" i="57" a="1"/>
  <c r="K12" i="41" a="1"/>
  <c r="I140" i="57" a="1"/>
  <c r="E23" i="55" a="1"/>
  <c r="E8" i="40"/>
  <c r="F506" i="55" a="1"/>
  <c r="I210" i="57" a="1"/>
  <c r="D20" i="54" a="1"/>
  <c r="E591" i="55" a="1"/>
  <c r="G483" i="55" a="1"/>
  <c r="G668" i="55" a="1"/>
  <c r="S21" i="41" a="1"/>
  <c r="K10" i="40" a="1"/>
  <c r="E485" i="55" a="1"/>
  <c r="E709" i="55" a="1"/>
  <c r="E746" i="55" a="1"/>
  <c r="B39" i="44" a="1"/>
  <c r="I565" i="57" a="1"/>
  <c r="AB17" i="41" a="1"/>
  <c r="I372" i="57" a="1"/>
  <c r="G616" i="55" a="1"/>
  <c r="I327" i="57" a="1"/>
  <c r="F15" i="55" a="1"/>
  <c r="J12" i="41"/>
  <c r="E585" i="55" a="1"/>
  <c r="F544" i="55" a="1"/>
  <c r="I364" i="57" a="1"/>
  <c r="H39" i="45" a="1"/>
  <c r="I592" i="57" a="1"/>
  <c r="AA20" i="41"/>
  <c r="R12" i="54" a="1"/>
  <c r="I30" i="57" a="1"/>
  <c r="G8" i="54" a="1"/>
  <c r="E685" i="55" a="1"/>
  <c r="I90" i="57" a="1"/>
  <c r="I398" i="57" a="1"/>
  <c r="I546" i="57" a="1"/>
  <c r="D31" i="55" a="1"/>
  <c r="D738" i="55" a="1"/>
  <c r="I152" i="57" a="1"/>
  <c r="E572" i="55" a="1"/>
  <c r="G520" i="55" a="1"/>
  <c r="I71" i="57" a="1"/>
  <c r="G544" i="55" a="1"/>
  <c r="D746" i="55" a="1"/>
  <c r="T9" i="41" a="1"/>
  <c r="F697" i="55" a="1"/>
  <c r="P14" i="41" a="1"/>
  <c r="F27" i="55" a="1"/>
  <c r="O15" i="54" a="1"/>
  <c r="E449" i="55" a="1"/>
  <c r="I389" i="57" a="1"/>
  <c r="G766" i="55" a="1"/>
  <c r="T18" i="54" a="1"/>
  <c r="H17" i="54" a="1"/>
  <c r="F647" i="55" a="1"/>
  <c r="D607" i="55" a="1"/>
  <c r="I274" i="57" a="1"/>
  <c r="B38" i="44" a="1"/>
  <c r="G776" i="55" a="1"/>
  <c r="F32" i="55" a="1"/>
  <c r="J17" i="41"/>
  <c r="I374" i="57" a="1"/>
  <c r="I221" i="57" a="1"/>
  <c r="E728" i="55" a="1"/>
  <c r="F9" i="41"/>
  <c r="H16" i="45" a="1"/>
  <c r="S21" i="54" a="1"/>
  <c r="I351" i="57" a="1"/>
  <c r="O9" i="40" a="1"/>
  <c r="I526" i="57" a="1"/>
  <c r="D603" i="55" a="1"/>
  <c r="I429" i="57" a="1"/>
  <c r="I311" i="57" a="1"/>
  <c r="I207" i="57" a="1"/>
  <c r="E653" i="55" a="1"/>
  <c r="E675" i="55" a="1"/>
  <c r="D22" i="55" a="1"/>
  <c r="U8" i="54" a="1"/>
  <c r="S15" i="54" a="1"/>
  <c r="F649" i="55" a="1"/>
  <c r="E609" i="55" a="1"/>
  <c r="U21" i="54" a="1"/>
  <c r="G757" i="55" a="1"/>
  <c r="F30" i="55" a="1"/>
  <c r="G12" i="55" a="1"/>
  <c r="G529" i="55" a="1"/>
  <c r="G488" i="55" a="1"/>
  <c r="F716" i="55" a="1"/>
  <c r="G475" i="55" a="1"/>
  <c r="D730" i="55" a="1"/>
  <c r="F748" i="55" a="1"/>
  <c r="F758" i="55" a="1"/>
  <c r="F466" i="55" a="1"/>
  <c r="G452" i="55" a="1"/>
  <c r="D723" i="55" a="1"/>
  <c r="E774" i="55" a="1"/>
  <c r="K14" i="54" a="1"/>
  <c r="H24" i="45" a="1"/>
  <c r="D758" i="55" a="1"/>
  <c r="C18" i="41"/>
  <c r="D569" i="55" a="1"/>
  <c r="D28" i="55" a="1"/>
  <c r="E496" i="55" a="1"/>
  <c r="E622" i="55" a="1"/>
  <c r="N21" i="54" a="1"/>
  <c r="F726" i="55" a="1"/>
  <c r="K15" i="41" a="1"/>
  <c r="I248" i="57" a="1"/>
  <c r="I170" i="57" a="1"/>
  <c r="I154" i="57" a="1"/>
  <c r="I13" i="54" a="1"/>
  <c r="M11" i="54" a="1"/>
  <c r="D550" i="55" a="1"/>
  <c r="G447" i="55" a="1"/>
  <c r="P21" i="41" a="1"/>
  <c r="W12" i="41" a="1"/>
  <c r="G747" i="55" a="1"/>
  <c r="T14" i="41" a="1"/>
  <c r="I183" i="57" a="1"/>
  <c r="F666" i="55" a="1"/>
  <c r="G21" i="55" a="1"/>
  <c r="F27" i="45" a="1"/>
  <c r="G775" i="55" a="1"/>
  <c r="G585" i="55" a="1"/>
  <c r="I508" i="57" a="1"/>
  <c r="I457" i="57" a="1"/>
  <c r="X12" i="41" a="1"/>
  <c r="E744" i="55" a="1"/>
  <c r="D772" i="55" a="1"/>
  <c r="R17" i="54" a="1"/>
  <c r="R17" i="41"/>
  <c r="E631" i="55" a="1"/>
  <c r="E500" i="55" a="1"/>
  <c r="F494" i="55" a="1"/>
  <c r="E632" i="55" a="1"/>
  <c r="I300" i="57" a="1"/>
  <c r="B27" i="44" a="1"/>
  <c r="N9" i="41"/>
  <c r="I239" i="57" a="1"/>
  <c r="G509" i="55" a="1"/>
  <c r="V15" i="54" a="1"/>
  <c r="D514" i="55" a="1"/>
  <c r="E492" i="55" a="1"/>
  <c r="F20" i="41"/>
  <c r="G31" i="55" a="1"/>
  <c r="I264" i="57" a="1"/>
  <c r="B18" i="54" a="1"/>
  <c r="G768" i="55" a="1"/>
  <c r="B13" i="54" a="1"/>
  <c r="I58" i="57" a="1"/>
  <c r="F545" i="55" a="1"/>
  <c r="V9" i="54" a="1"/>
  <c r="T12" i="54" a="1"/>
  <c r="I199" i="57" a="1"/>
  <c r="G11" i="41"/>
  <c r="G651" i="55" a="1"/>
  <c r="W11" i="41"/>
  <c r="I308" i="57" a="1"/>
  <c r="G765" i="55" a="1"/>
  <c r="F563" i="55" a="1"/>
  <c r="M10" i="54" a="1"/>
  <c r="I48" i="57" a="1"/>
  <c r="G578" i="55" a="1"/>
  <c r="D683" i="55" a="1"/>
  <c r="I60" i="57" a="1"/>
  <c r="D655" i="55" a="1"/>
  <c r="B8" i="54" a="1"/>
  <c r="I63" i="57" a="1"/>
  <c r="E641" i="55" a="1"/>
  <c r="I500" i="57" a="1"/>
  <c r="F481" i="55" a="1"/>
  <c r="F731" i="55" a="1"/>
  <c r="J16" i="54" a="1"/>
  <c r="D633" i="55" a="1"/>
  <c r="E739" i="55" a="1"/>
  <c r="D671" i="55" a="1"/>
  <c r="G697" i="55" a="1"/>
  <c r="E526" i="55" a="1"/>
  <c r="E778" i="55" a="1"/>
  <c r="F19" i="55" a="1"/>
  <c r="I338" i="57" a="1"/>
  <c r="F475" i="55" a="1"/>
  <c r="N13" i="54" a="1"/>
  <c r="E575" i="55" a="1"/>
  <c r="G755" i="55" a="1"/>
  <c r="G20" i="41"/>
  <c r="N9" i="40"/>
  <c r="D21" i="54" a="1"/>
  <c r="E460" i="55" a="1"/>
  <c r="G593" i="55" a="1"/>
  <c r="I471" i="57" a="1"/>
  <c r="I74" i="57" a="1"/>
  <c r="F568" i="55" a="1"/>
  <c r="E14" i="55" a="1"/>
  <c r="G577" i="55" a="1"/>
  <c r="G619" i="55" a="1"/>
  <c r="I236" i="57" a="1"/>
  <c r="I492" i="57" a="1"/>
  <c r="D777" i="55" a="1"/>
  <c r="I167" i="57" a="1"/>
  <c r="I562" i="57" a="1"/>
  <c r="K15" i="54" a="1"/>
  <c r="I313" i="57" a="1"/>
  <c r="F486" i="55" a="1"/>
  <c r="I177" i="57" a="1"/>
  <c r="F577" i="55" a="1"/>
  <c r="L10" i="54" a="1"/>
  <c r="E511" i="55" a="1"/>
  <c r="F444" i="55" a="1"/>
  <c r="G484" i="55" a="1"/>
  <c r="F615" i="55" a="1"/>
  <c r="D640" i="55" a="1"/>
  <c r="E588" i="55" a="1"/>
  <c r="C18" i="54" a="1"/>
  <c r="E763" i="55" a="1"/>
  <c r="H13" i="45" a="1"/>
  <c r="E698" i="55" a="1"/>
  <c r="F470" i="55" a="1"/>
  <c r="D542" i="55" a="1"/>
  <c r="E725" i="55" a="1"/>
  <c r="I238" i="57" a="1"/>
  <c r="G770" i="55" a="1"/>
  <c r="F682" i="55" a="1"/>
  <c r="I168" i="57" a="1"/>
  <c r="G518" i="55" a="1"/>
  <c r="M13" i="54" a="1"/>
  <c r="G11" i="55" a="1"/>
  <c r="E517" i="55" a="1"/>
  <c r="P9" i="41" a="1"/>
  <c r="I212" i="57" a="1"/>
  <c r="I166" i="57" a="1"/>
  <c r="G703" i="55" a="1"/>
  <c r="I91" i="57" a="1"/>
  <c r="D36" i="45" a="1"/>
  <c r="U18" i="54" a="1"/>
  <c r="F483" i="55" a="1"/>
  <c r="D546" i="55" a="1"/>
  <c r="I354" i="57" a="1"/>
  <c r="F574" i="55" a="1"/>
  <c r="F630" i="55" a="1"/>
  <c r="E652" i="55" a="1"/>
  <c r="H37" i="45" a="1"/>
  <c r="F700" i="55" a="1"/>
  <c r="G610" i="55" a="1"/>
  <c r="G641" i="55" a="1"/>
  <c r="I33" i="57" a="1"/>
  <c r="S14" i="41"/>
  <c r="G511" i="55" a="1"/>
  <c r="H12" i="41" a="1"/>
  <c r="I413" i="57" a="1"/>
  <c r="J9" i="41"/>
  <c r="Q12" i="54" a="1"/>
  <c r="D718" i="55" a="1"/>
  <c r="D25" i="45" a="1"/>
  <c r="I403" i="57" a="1"/>
  <c r="I62" i="57" a="1"/>
  <c r="I463" i="57" a="1"/>
  <c r="I92" i="57" a="1"/>
  <c r="F683" i="55" a="1"/>
  <c r="I397" i="57" a="1"/>
  <c r="I115" i="57" a="1"/>
  <c r="D650" i="55" a="1"/>
  <c r="Z12" i="41"/>
  <c r="I447" i="57" a="1"/>
  <c r="I298" i="57" a="1"/>
  <c r="G670" i="55" a="1"/>
  <c r="I344" i="57" a="1"/>
  <c r="E546" i="55" a="1"/>
  <c r="D574" i="55" a="1"/>
  <c r="D590" i="55" a="1"/>
  <c r="I331" i="57" a="1"/>
  <c r="E710" i="55" a="1"/>
  <c r="K8" i="54" a="1"/>
  <c r="D455" i="55" a="1"/>
  <c r="I185" i="57" a="1"/>
  <c r="E470" i="55" a="1"/>
  <c r="D572" i="55" a="1"/>
  <c r="I143" i="57" a="1"/>
  <c r="E620" i="55" a="1"/>
  <c r="E18" i="41" a="1"/>
  <c r="N18" i="41"/>
  <c r="F714" i="55" a="1"/>
  <c r="I345" i="57" a="1"/>
  <c r="I510" i="57" a="1"/>
  <c r="F20" i="54" a="1"/>
  <c r="F692" i="55" a="1"/>
  <c r="I216" i="57" a="1"/>
  <c r="E712" i="55" a="1"/>
  <c r="T11" i="41" a="1"/>
  <c r="E769" i="55" a="1"/>
  <c r="B9" i="54" a="1"/>
  <c r="D622" i="55" a="1"/>
  <c r="E780" i="55" a="1"/>
  <c r="I283" i="57" a="1"/>
  <c r="E15" i="41" a="1"/>
  <c r="D33" i="45" a="1"/>
  <c r="D552" i="55" a="1"/>
  <c r="F17" i="41"/>
  <c r="L21" i="41" a="1"/>
  <c r="I81" i="57" a="1"/>
  <c r="I23" i="57" a="1"/>
  <c r="D743" i="55" a="1"/>
  <c r="C10" i="54" a="1"/>
  <c r="H10" i="54" a="1"/>
  <c r="H15" i="41" a="1"/>
  <c r="T16" i="54" a="1"/>
  <c r="F543" i="55" a="1"/>
  <c r="G587" i="55" a="1"/>
  <c r="I392" i="57" a="1"/>
  <c r="E21" i="41" a="1"/>
  <c r="I495" i="57" a="1"/>
  <c r="Z21" i="41"/>
  <c r="G27" i="55" a="1"/>
  <c r="F9" i="55" a="1"/>
  <c r="G498" i="55" a="1"/>
  <c r="H12" i="45" a="1"/>
  <c r="I301" i="57" a="1"/>
  <c r="F624" i="55" a="1"/>
  <c r="I178" i="57" a="1"/>
  <c r="E669" i="55" a="1"/>
  <c r="C11" i="41"/>
  <c r="G676" i="55" a="1"/>
  <c r="I151" i="57" a="1"/>
  <c r="Z9" i="41"/>
  <c r="F642" i="55" a="1"/>
  <c r="G10" i="55" a="1"/>
  <c r="C10" i="40" a="1"/>
  <c r="D701" i="55" a="1"/>
  <c r="F590" i="55" a="1"/>
  <c r="I315" i="57" a="1"/>
  <c r="I480" i="57" a="1"/>
  <c r="H18" i="41" a="1"/>
  <c r="D760" i="55" a="1"/>
  <c r="F743" i="55" a="1"/>
  <c r="I401" i="57" a="1"/>
  <c r="I402" i="57" a="1"/>
  <c r="G557" i="55" a="1"/>
  <c r="I262" i="57" a="1"/>
  <c r="D686" i="55" a="1"/>
  <c r="I286" i="57" a="1"/>
  <c r="I94" i="57" a="1"/>
  <c r="G748" i="55" a="1"/>
  <c r="I254" i="57" a="1"/>
  <c r="B12" i="45" a="1"/>
  <c r="G553" i="55" a="1"/>
  <c r="I485" i="57" a="1"/>
  <c r="E610" i="55" a="1"/>
  <c r="I303" i="57" a="1"/>
  <c r="J10" i="54" a="1"/>
  <c r="F576" i="55" a="1"/>
  <c r="I243" i="57" a="1"/>
  <c r="F539" i="55" a="1"/>
  <c r="F520" i="55" a="1"/>
  <c r="E741" i="55" a="1"/>
  <c r="E604" i="55" a="1"/>
  <c r="H26" i="45" a="1"/>
  <c r="I568" i="57" a="1"/>
  <c r="V8" i="54" a="1"/>
  <c r="F573" i="55" a="1"/>
  <c r="I56" i="57" a="1"/>
  <c r="D24" i="55" a="1"/>
  <c r="U10" i="54" a="1"/>
  <c r="E667" i="55" a="1"/>
  <c r="I138" i="57" a="1"/>
  <c r="I73" i="57" a="1"/>
  <c r="I530" i="57" a="1"/>
  <c r="D500" i="55" a="1"/>
  <c r="I362" i="57" a="1"/>
  <c r="D600" i="55" a="1"/>
  <c r="I506" i="57" a="1"/>
  <c r="E637" i="55" a="1"/>
  <c r="I150" i="57" a="1"/>
  <c r="G561" i="55" a="1"/>
  <c r="M8" i="52" a="1"/>
  <c r="F586" i="55" a="1"/>
  <c r="G717" i="55" a="1"/>
  <c r="G723" i="55" a="1"/>
  <c r="I110" i="57" a="1"/>
  <c r="I569" i="57" a="1"/>
  <c r="G612" i="55" a="1"/>
  <c r="E755" i="55" a="1"/>
  <c r="I79" i="57" a="1"/>
  <c r="E490" i="55" a="1"/>
  <c r="F671" i="55" a="1"/>
  <c r="E498" i="55" a="1"/>
  <c r="F606" i="55" a="1"/>
  <c r="H23" i="45" a="1"/>
  <c r="D512" i="55" a="1"/>
  <c r="D457" i="55" a="1"/>
  <c r="D14" i="41"/>
  <c r="I335" i="57" a="1"/>
  <c r="B49" i="44" a="1"/>
  <c r="D526" i="55" a="1"/>
  <c r="D26" i="45" a="1"/>
  <c r="D544" i="55" a="1"/>
  <c r="F715" i="55" a="1"/>
  <c r="D734" i="55" a="1"/>
  <c r="F638" i="55" a="1"/>
  <c r="X18" i="41" a="1"/>
  <c r="I396" i="57" a="1"/>
  <c r="E14" i="41" a="1"/>
  <c r="B17" i="54" a="1"/>
  <c r="J15" i="41"/>
  <c r="D726" i="55" a="1"/>
  <c r="G501" i="55" a="1"/>
  <c r="F490" i="55" a="1"/>
  <c r="D747" i="55" a="1"/>
  <c r="E648" i="55" a="1"/>
  <c r="D675" i="55" a="1"/>
  <c r="G731" i="55" a="1"/>
  <c r="G666" i="55" a="1"/>
  <c r="G609" i="55" a="1"/>
  <c r="F24" i="55" a="1"/>
  <c r="N14" i="54" a="1"/>
  <c r="E540" i="55" a="1"/>
  <c r="F488" i="55" a="1"/>
  <c r="P15" i="54" a="1"/>
  <c r="I494" i="57" a="1"/>
  <c r="D616" i="55" a="1"/>
  <c r="D676" i="55" a="1"/>
  <c r="V14" i="41"/>
  <c r="P11" i="41" a="1"/>
  <c r="E11" i="54" a="1"/>
  <c r="I246" i="57" a="1"/>
  <c r="G9" i="41" a="1"/>
  <c r="I455" i="57" a="1"/>
  <c r="F34" i="45" a="1"/>
  <c r="H9" i="41" a="1"/>
  <c r="I493" i="57" a="1"/>
  <c r="A13" i="52" a="1"/>
  <c r="H9" i="40"/>
  <c r="E732" i="55" a="1"/>
  <c r="I370" i="57" a="1"/>
  <c r="H33" i="45" a="1"/>
  <c r="D583" i="55" a="1"/>
  <c r="O20" i="41"/>
  <c r="F764" i="55" a="1"/>
  <c r="D774" i="55" a="1"/>
  <c r="I323" i="57" a="1"/>
  <c r="I14" i="57" a="1"/>
  <c r="I10" i="54" a="1"/>
  <c r="F763" i="55" a="1"/>
  <c r="F13" i="55" a="1"/>
  <c r="I474" i="57" a="1"/>
  <c r="F730" i="55" a="1"/>
  <c r="Z15" i="41"/>
  <c r="I29" i="57" a="1"/>
  <c r="G510" i="55" a="1"/>
  <c r="G687" i="55" a="1"/>
  <c r="E555" i="55" a="1"/>
  <c r="F468" i="55" a="1"/>
  <c r="D591" i="55" a="1"/>
  <c r="D739" i="55" a="1"/>
  <c r="D12" i="54" a="1"/>
  <c r="F541" i="55" a="1"/>
  <c r="T17" i="41" a="1"/>
  <c r="L18" i="54" a="1"/>
  <c r="G779" i="55" a="1"/>
  <c r="F469" i="55" a="1"/>
  <c r="F523" i="55" a="1"/>
  <c r="D494" i="55" a="1"/>
  <c r="I68" i="57" a="1"/>
  <c r="F694" i="55" a="1"/>
  <c r="I484" i="57" a="1"/>
  <c r="D571" i="55" a="1"/>
  <c r="E681" i="55" a="1"/>
  <c r="R15" i="54" a="1"/>
  <c r="G678" i="55" a="1"/>
  <c r="I122" i="57" a="1"/>
  <c r="G548" i="55" a="1"/>
  <c r="F652" i="55" a="1"/>
  <c r="F555" i="55" a="1"/>
  <c r="F685" i="55" a="1"/>
  <c r="D545" i="55" a="1"/>
  <c r="E634" i="55" a="1"/>
  <c r="I251" i="57" a="1"/>
  <c r="F740" i="55" a="1"/>
  <c r="F741" i="55" a="1"/>
  <c r="I561" i="57" a="1"/>
  <c r="I544" i="57" a="1"/>
  <c r="H8" i="54" a="1"/>
  <c r="D705" i="55" a="1"/>
  <c r="E451" i="55" a="1"/>
  <c r="I49" i="57" a="1"/>
  <c r="D682" i="55" a="1"/>
  <c r="I400" i="57" a="1"/>
  <c r="I466" i="57" a="1"/>
  <c r="F511" i="55" a="1"/>
  <c r="E513" i="55" a="1"/>
  <c r="E25" i="55" a="1"/>
  <c r="I469" i="57" a="1"/>
  <c r="G467" i="55" a="1"/>
  <c r="I543" i="57" a="1"/>
  <c r="E454" i="55" a="1"/>
  <c r="V18" i="54" a="1"/>
  <c r="F28" i="55" a="1"/>
  <c r="T15" i="54" a="1"/>
  <c r="L10" i="40" a="1"/>
  <c r="I247" i="57" a="1"/>
  <c r="I538" i="57" a="1"/>
  <c r="G549" i="55" a="1"/>
  <c r="E767" i="55" a="1"/>
  <c r="D13" i="55" a="1"/>
  <c r="I580" i="57" a="1"/>
  <c r="E16" i="54" a="1"/>
  <c r="I220" i="57" a="1"/>
  <c r="I442" i="57" a="1"/>
  <c r="F448" i="55" a="1"/>
  <c r="I459" i="57" a="1"/>
  <c r="D18" i="55" a="1"/>
  <c r="I356" i="57" a="1"/>
  <c r="P19" i="54" a="1"/>
  <c r="E677" i="55" a="1"/>
  <c r="I451" i="57" a="1"/>
  <c r="D646" i="55" a="1"/>
  <c r="F9" i="40" a="1"/>
  <c r="E537" i="55" a="1"/>
  <c r="D32" i="55" a="1"/>
  <c r="I382" i="57" a="1"/>
  <c r="G715" i="55" a="1"/>
  <c r="D715" i="55" a="1"/>
  <c r="F747" i="55" a="1"/>
  <c r="F16" i="45" a="1"/>
  <c r="S18" i="54" a="1"/>
  <c r="W14" i="41"/>
  <c r="I106" i="57" a="1"/>
  <c r="F23" i="55" a="1"/>
  <c r="C17" i="41"/>
  <c r="E593" i="55" a="1"/>
  <c r="D33" i="55" a="1"/>
  <c r="D593" i="55" a="1"/>
  <c r="D482" i="55" a="1"/>
  <c r="S11" i="54" a="1"/>
  <c r="I334" i="57" a="1"/>
  <c r="I82" i="57" a="1"/>
  <c r="I77" i="57" a="1"/>
  <c r="D557" i="55" a="1"/>
  <c r="F521" i="55" a="1"/>
  <c r="F16" i="54" a="1"/>
  <c r="N8" i="41"/>
  <c r="I21" i="57" a="1"/>
  <c r="I97" i="57" a="1"/>
  <c r="O20" i="54" a="1"/>
  <c r="I54" i="57" a="1"/>
  <c r="F26" i="45" a="1"/>
  <c r="G26" i="55" a="1"/>
  <c r="D685" i="55" a="1"/>
  <c r="G630" i="55" a="1"/>
  <c r="I321" i="57" a="1"/>
  <c r="G702" i="55" a="1"/>
  <c r="I567" i="57" a="1"/>
  <c r="H11" i="41" a="1"/>
  <c r="I352" i="57" a="1"/>
  <c r="U16" i="54" a="1"/>
  <c r="J8" i="54" a="1"/>
  <c r="G638" i="55" a="1"/>
  <c r="D523" i="55" a="1"/>
  <c r="E530" i="55" a="1"/>
  <c r="I502" i="57" a="1"/>
  <c r="D560" i="55" a="1"/>
  <c r="F776" i="55" a="1"/>
  <c r="F703" i="55" a="1"/>
  <c r="H8" i="41" a="1"/>
  <c r="I241" i="57" a="1"/>
  <c r="G17" i="55" a="1"/>
  <c r="G18" i="41" a="1"/>
  <c r="T21" i="41" a="1"/>
  <c r="I532" i="57" a="1"/>
  <c r="I260" i="57" a="1"/>
  <c r="I214" i="57" a="1"/>
  <c r="F17" i="55" a="1"/>
  <c r="F756" i="55" a="1"/>
  <c r="I299" i="57" a="1"/>
  <c r="E611" i="55" a="1"/>
  <c r="F620" i="55" a="1"/>
  <c r="D10" i="55" a="1"/>
  <c r="F37" i="45" a="1"/>
  <c r="AB15" i="41" a="1"/>
  <c r="G554" i="55" a="1"/>
  <c r="C12" i="41"/>
  <c r="D674" i="55" a="1"/>
  <c r="D469" i="55" a="1"/>
  <c r="S10" i="54" a="1"/>
  <c r="I235" i="57" a="1"/>
  <c r="G618" i="55" a="1"/>
  <c r="B11" i="45" a="1"/>
  <c r="E625" i="55" a="1"/>
  <c r="F36" i="55" a="1"/>
  <c r="U19" i="54" a="1"/>
  <c r="E19" i="55" a="1"/>
  <c r="E551" i="55" a="1"/>
  <c r="G13" i="54" a="1"/>
  <c r="G635" i="55" a="1"/>
  <c r="F675" i="55" a="1"/>
  <c r="I24" i="57" a="1"/>
  <c r="E777" i="55" a="1"/>
  <c r="K9" i="40"/>
  <c r="F616" i="55" a="1"/>
  <c r="B10" i="54" a="1"/>
  <c r="F593" i="55" a="1"/>
  <c r="E582" i="55" a="1"/>
  <c r="D684" i="55" a="1"/>
  <c r="E493" i="55" a="1"/>
  <c r="I158" i="57" a="1"/>
  <c r="I156" i="57" a="1"/>
  <c r="I11" i="54" a="1"/>
  <c r="I57" i="57" a="1"/>
  <c r="D462" i="55" a="1"/>
  <c r="S14" i="54" a="1"/>
  <c r="C8" i="41"/>
  <c r="G594" i="55" a="1"/>
  <c r="D486" i="55" a="1"/>
  <c r="E445" i="55" a="1"/>
  <c r="F709" i="55" a="1"/>
  <c r="H11" i="54" a="1"/>
  <c r="I85" i="57" a="1"/>
  <c r="D30" i="45" a="1"/>
  <c r="D601" i="55" a="1"/>
  <c r="D528" i="55" a="1"/>
  <c r="G11" i="54" a="1"/>
  <c r="E757" i="55" a="1"/>
  <c r="D510" i="55" a="1"/>
  <c r="I294" i="57" a="1"/>
  <c r="I232" i="57" a="1"/>
  <c r="E584" i="55" a="1"/>
  <c r="F775" i="55" a="1"/>
  <c r="W8" i="41"/>
  <c r="G705" i="55" a="1"/>
  <c r="G14" i="41"/>
  <c r="D578" i="55" a="1"/>
  <c r="F742" i="55" a="1"/>
  <c r="G665" i="55" a="1"/>
  <c r="I147" i="57" a="1"/>
  <c r="G735" i="55" a="1"/>
  <c r="G479" i="55" a="1"/>
  <c r="I88" i="57" a="1"/>
  <c r="N20" i="54" a="1"/>
  <c r="I104" i="57" a="1"/>
  <c r="D543" i="55" a="1"/>
  <c r="I366" i="57" a="1"/>
  <c r="I581" i="57" a="1"/>
  <c r="F569" i="55" a="1"/>
  <c r="I333" i="57" l="1"/>
  <c r="E582" i="55"/>
  <c r="G531" i="55"/>
  <c r="G778" i="55"/>
  <c r="I416" i="57"/>
  <c r="D35" i="45"/>
  <c r="I95" i="57"/>
  <c r="E649" i="55"/>
  <c r="G724" i="55"/>
  <c r="H31" i="45"/>
  <c r="I12" i="57"/>
  <c r="F662" i="55"/>
  <c r="E698" i="55"/>
  <c r="I221" i="57"/>
  <c r="D525" i="55"/>
  <c r="N10" i="40"/>
  <c r="F26" i="45"/>
  <c r="I85" i="57"/>
  <c r="F654" i="55"/>
  <c r="C669" i="55"/>
  <c r="I581" i="57"/>
  <c r="E554" i="55"/>
  <c r="V10" i="54"/>
  <c r="G456" i="55"/>
  <c r="C729" i="55"/>
  <c r="D16" i="45"/>
  <c r="D614" i="55"/>
  <c r="I26" i="57"/>
  <c r="B12" i="54"/>
  <c r="I590" i="57"/>
  <c r="I534" i="57"/>
  <c r="E677" i="55"/>
  <c r="D739" i="55"/>
  <c r="E455" i="55"/>
  <c r="B45" i="44"/>
  <c r="I27" i="57"/>
  <c r="F467" i="55"/>
  <c r="F578" i="55"/>
  <c r="I133" i="57"/>
  <c r="F41" i="45"/>
  <c r="C583" i="55"/>
  <c r="G451" i="55"/>
  <c r="F468" i="55"/>
  <c r="G444" i="55"/>
  <c r="G463" i="55"/>
  <c r="F10" i="41"/>
  <c r="I70" i="57"/>
  <c r="I155" i="57"/>
  <c r="C632" i="55"/>
  <c r="C680" i="55"/>
  <c r="K9" i="54"/>
  <c r="F711" i="55"/>
  <c r="I250" i="57"/>
  <c r="E587" i="55"/>
  <c r="C742" i="55"/>
  <c r="D613" i="55"/>
  <c r="D599" i="55"/>
  <c r="G486" i="55"/>
  <c r="E500" i="55"/>
  <c r="AA12" i="41"/>
  <c r="AA13" i="41" s="1"/>
  <c r="G548" i="55"/>
  <c r="D713" i="55"/>
  <c r="F737" i="55"/>
  <c r="D26" i="45"/>
  <c r="D583" i="55"/>
  <c r="I348" i="57"/>
  <c r="I594" i="57"/>
  <c r="G575" i="55"/>
  <c r="E625" i="55"/>
  <c r="F637" i="55"/>
  <c r="N20" i="54"/>
  <c r="I195" i="57"/>
  <c r="E586" i="55"/>
  <c r="F607" i="55"/>
  <c r="G632" i="55"/>
  <c r="I244" i="57"/>
  <c r="I410" i="57"/>
  <c r="G687" i="55"/>
  <c r="C19" i="41"/>
  <c r="C608" i="55"/>
  <c r="D23" i="45"/>
  <c r="K17" i="54"/>
  <c r="B39" i="44"/>
  <c r="I100" i="57"/>
  <c r="I418" i="57"/>
  <c r="I522" i="57"/>
  <c r="C601" i="55"/>
  <c r="F745" i="55"/>
  <c r="E482" i="55"/>
  <c r="I476" i="57"/>
  <c r="C587" i="55"/>
  <c r="I583" i="57"/>
  <c r="C18" i="54"/>
  <c r="I430" i="57"/>
  <c r="G518" i="55"/>
  <c r="F470" i="55"/>
  <c r="B22" i="44"/>
  <c r="E556" i="55"/>
  <c r="E770" i="55"/>
  <c r="E506" i="55"/>
  <c r="I247" i="57"/>
  <c r="E545" i="55"/>
  <c r="C655" i="55"/>
  <c r="E20" i="41"/>
  <c r="E670" i="55"/>
  <c r="G703" i="55"/>
  <c r="F39" i="45"/>
  <c r="F12" i="54"/>
  <c r="D592" i="55"/>
  <c r="F738" i="55"/>
  <c r="C25" i="55"/>
  <c r="C692" i="55"/>
  <c r="C570" i="55"/>
  <c r="G771" i="55"/>
  <c r="I345" i="57"/>
  <c r="O15" i="54"/>
  <c r="G634" i="55"/>
  <c r="A8" i="52"/>
  <c r="G579" i="55"/>
  <c r="D714" i="55"/>
  <c r="E639" i="55"/>
  <c r="I28" i="57"/>
  <c r="F17" i="54"/>
  <c r="G521" i="55"/>
  <c r="G452" i="55"/>
  <c r="D18" i="41"/>
  <c r="D19" i="41" s="1"/>
  <c r="E546" i="55"/>
  <c r="I54" i="57"/>
  <c r="G774" i="55"/>
  <c r="F706" i="55"/>
  <c r="I226" i="57"/>
  <c r="G642" i="55"/>
  <c r="I235" i="57"/>
  <c r="I78" i="57"/>
  <c r="D738" i="55"/>
  <c r="D607" i="55"/>
  <c r="I83" i="57"/>
  <c r="D11" i="45"/>
  <c r="E465" i="55"/>
  <c r="I87" i="57"/>
  <c r="Z16" i="41"/>
  <c r="D675" i="55"/>
  <c r="G743" i="55"/>
  <c r="T16" i="54"/>
  <c r="C13" i="52"/>
  <c r="I34" i="57"/>
  <c r="I366" i="57"/>
  <c r="F484" i="55"/>
  <c r="S21" i="41"/>
  <c r="S22" i="41" s="1"/>
  <c r="E708" i="55"/>
  <c r="L8" i="41"/>
  <c r="C576" i="55"/>
  <c r="D31" i="55"/>
  <c r="D623" i="55"/>
  <c r="I512" i="57"/>
  <c r="D611" i="55"/>
  <c r="C527" i="55"/>
  <c r="P20" i="41"/>
  <c r="F704" i="55"/>
  <c r="H20" i="41"/>
  <c r="G13" i="54"/>
  <c r="F668" i="55"/>
  <c r="G612" i="55"/>
  <c r="F28" i="55"/>
  <c r="E686" i="55"/>
  <c r="E539" i="55"/>
  <c r="C521" i="55"/>
  <c r="I370" i="57"/>
  <c r="P11" i="54"/>
  <c r="B33" i="44"/>
  <c r="F614" i="55"/>
  <c r="I304" i="57"/>
  <c r="I237" i="57"/>
  <c r="F488" i="55"/>
  <c r="F543" i="55"/>
  <c r="P21" i="41"/>
  <c r="F763" i="55"/>
  <c r="L11" i="54"/>
  <c r="D491" i="55"/>
  <c r="F496" i="55"/>
  <c r="G532" i="55"/>
  <c r="D708" i="55"/>
  <c r="E590" i="55"/>
  <c r="D584" i="55"/>
  <c r="I144" i="57"/>
  <c r="I122" i="57"/>
  <c r="G732" i="55"/>
  <c r="G608" i="55"/>
  <c r="E526" i="55"/>
  <c r="D12" i="54"/>
  <c r="E447" i="55"/>
  <c r="I533" i="57"/>
  <c r="I580" i="57"/>
  <c r="I350" i="57"/>
  <c r="I286" i="57"/>
  <c r="G723" i="55"/>
  <c r="D685" i="55"/>
  <c r="F613" i="55"/>
  <c r="B27" i="44"/>
  <c r="D699" i="55"/>
  <c r="F599" i="55"/>
  <c r="B31" i="44"/>
  <c r="D617" i="55"/>
  <c r="H36" i="45"/>
  <c r="I59" i="57"/>
  <c r="C510" i="55"/>
  <c r="F537" i="55"/>
  <c r="I372" i="57"/>
  <c r="D765" i="55"/>
  <c r="D40" i="45"/>
  <c r="I183" i="57"/>
  <c r="F13" i="45"/>
  <c r="C568" i="55"/>
  <c r="F32" i="45"/>
  <c r="D665" i="55"/>
  <c r="B19" i="54"/>
  <c r="I43" i="57"/>
  <c r="D667" i="55"/>
  <c r="G491" i="55"/>
  <c r="F466" i="55"/>
  <c r="E483" i="55"/>
  <c r="D506" i="55"/>
  <c r="F548" i="55"/>
  <c r="E498" i="55"/>
  <c r="I460" i="57"/>
  <c r="I272" i="57"/>
  <c r="G557" i="55"/>
  <c r="F764" i="55"/>
  <c r="E632" i="55"/>
  <c r="E631" i="55"/>
  <c r="K13" i="54"/>
  <c r="L20" i="41"/>
  <c r="E700" i="55"/>
  <c r="N19" i="54"/>
  <c r="E507" i="55"/>
  <c r="I438" i="57"/>
  <c r="G685" i="55"/>
  <c r="I357" i="57"/>
  <c r="I256" i="57"/>
  <c r="I129" i="57"/>
  <c r="D778" i="55"/>
  <c r="F692" i="55"/>
  <c r="D735" i="55"/>
  <c r="F735" i="55"/>
  <c r="D16" i="54"/>
  <c r="G560" i="55"/>
  <c r="I202" i="57"/>
  <c r="D734" i="55"/>
  <c r="I165" i="57"/>
  <c r="C662" i="55"/>
  <c r="B10" i="44"/>
  <c r="E489" i="55"/>
  <c r="T20" i="41"/>
  <c r="G553" i="55"/>
  <c r="I336" i="57"/>
  <c r="D25" i="45"/>
  <c r="F446" i="55"/>
  <c r="I432" i="57"/>
  <c r="I589" i="57"/>
  <c r="D30" i="55"/>
  <c r="E706" i="55"/>
  <c r="D710" i="55"/>
  <c r="G646" i="55"/>
  <c r="E461" i="55"/>
  <c r="I431" i="57"/>
  <c r="I563" i="57"/>
  <c r="D743" i="55"/>
  <c r="G742" i="55"/>
  <c r="C599" i="55"/>
  <c r="C711" i="55"/>
  <c r="B16" i="45"/>
  <c r="C600" i="55"/>
  <c r="G619" i="55"/>
  <c r="G740" i="55"/>
  <c r="C489" i="55"/>
  <c r="G19" i="54"/>
  <c r="D14" i="54"/>
  <c r="I537" i="57"/>
  <c r="I239" i="57"/>
  <c r="E717" i="55"/>
  <c r="X20" i="41"/>
  <c r="F698" i="55"/>
  <c r="E682" i="55"/>
  <c r="I174" i="57"/>
  <c r="F683" i="55"/>
  <c r="F25" i="45"/>
  <c r="D683" i="55"/>
  <c r="M10" i="54"/>
  <c r="I104" i="57"/>
  <c r="C458" i="55"/>
  <c r="E695" i="55"/>
  <c r="G520" i="55"/>
  <c r="B14" i="45"/>
  <c r="D585" i="55"/>
  <c r="E654" i="55"/>
  <c r="E605" i="55"/>
  <c r="R15" i="54"/>
  <c r="G479" i="55"/>
  <c r="C715" i="55"/>
  <c r="G741" i="55"/>
  <c r="F568" i="55"/>
  <c r="C625" i="55"/>
  <c r="G738" i="55"/>
  <c r="I327" i="57"/>
  <c r="I13" i="54"/>
  <c r="I212" i="57"/>
  <c r="D635" i="55"/>
  <c r="F29" i="55"/>
  <c r="AA21" i="41"/>
  <c r="AA22" i="41" s="1"/>
  <c r="D545" i="55"/>
  <c r="I331" i="57"/>
  <c r="I18" i="54"/>
  <c r="E8" i="54"/>
  <c r="F494" i="55"/>
  <c r="D680" i="55"/>
  <c r="B35" i="45"/>
  <c r="E641" i="55"/>
  <c r="I268" i="57"/>
  <c r="S15" i="54"/>
  <c r="E675" i="55"/>
  <c r="G766" i="55"/>
  <c r="E718" i="55"/>
  <c r="E555" i="55"/>
  <c r="D645" i="55"/>
  <c r="I270" i="57"/>
  <c r="V17" i="54"/>
  <c r="C524" i="55"/>
  <c r="H33" i="45"/>
  <c r="I407" i="57"/>
  <c r="F780" i="55"/>
  <c r="I236" i="57"/>
  <c r="F16" i="54"/>
  <c r="I283" i="57"/>
  <c r="I342" i="57"/>
  <c r="V11" i="54"/>
  <c r="D510" i="55"/>
  <c r="D523" i="55"/>
  <c r="F674" i="55"/>
  <c r="D605" i="55"/>
  <c r="F14" i="55"/>
  <c r="I238" i="57"/>
  <c r="I332" i="57"/>
  <c r="I290" i="57"/>
  <c r="N22" i="41"/>
  <c r="E763" i="55"/>
  <c r="I571" i="57"/>
  <c r="E705" i="55"/>
  <c r="F30" i="55"/>
  <c r="G684" i="55"/>
  <c r="D448" i="55"/>
  <c r="G762" i="55"/>
  <c r="Q19" i="54"/>
  <c r="G678" i="55"/>
  <c r="D489" i="55"/>
  <c r="E715" i="55"/>
  <c r="E524" i="55"/>
  <c r="F21" i="45"/>
  <c r="G696" i="55"/>
  <c r="I572" i="57"/>
  <c r="I123" i="57"/>
  <c r="I474" i="57"/>
  <c r="E769" i="55"/>
  <c r="C651" i="55"/>
  <c r="I246" i="57"/>
  <c r="D43" i="45"/>
  <c r="D488" i="55"/>
  <c r="C554" i="55"/>
  <c r="I334" i="57"/>
  <c r="R18" i="54"/>
  <c r="I454" i="57"/>
  <c r="C714" i="55"/>
  <c r="I424" i="57"/>
  <c r="I482" i="57"/>
  <c r="I338" i="57"/>
  <c r="I16" i="54"/>
  <c r="E624" i="55"/>
  <c r="E22" i="55"/>
  <c r="I371" i="57"/>
  <c r="D559" i="55"/>
  <c r="F744" i="55"/>
  <c r="D654" i="55"/>
  <c r="I297" i="57"/>
  <c r="E643" i="55"/>
  <c r="L13" i="54"/>
  <c r="D731" i="55"/>
  <c r="D756" i="55"/>
  <c r="V12" i="54"/>
  <c r="C638" i="55"/>
  <c r="I318" i="57"/>
  <c r="E463" i="55"/>
  <c r="C647" i="55"/>
  <c r="AB21" i="41"/>
  <c r="I119" i="57"/>
  <c r="F447" i="55"/>
  <c r="M11" i="54"/>
  <c r="I20" i="57"/>
  <c r="D670" i="55"/>
  <c r="P18" i="41"/>
  <c r="C712" i="55"/>
  <c r="E540" i="55"/>
  <c r="F701" i="55"/>
  <c r="R16" i="41"/>
  <c r="I64" i="57"/>
  <c r="I300" i="57"/>
  <c r="I574" i="57"/>
  <c r="O18" i="54"/>
  <c r="G647" i="55"/>
  <c r="I511" i="57"/>
  <c r="I376" i="57"/>
  <c r="D630" i="55"/>
  <c r="I157" i="57"/>
  <c r="I99" i="57"/>
  <c r="D509" i="55"/>
  <c r="F621" i="55"/>
  <c r="I360" i="57"/>
  <c r="D548" i="55"/>
  <c r="D591" i="55"/>
  <c r="D748" i="55"/>
  <c r="E11" i="41"/>
  <c r="I597" i="57"/>
  <c r="E523" i="55"/>
  <c r="I324" i="57"/>
  <c r="C548" i="55"/>
  <c r="I216" i="57"/>
  <c r="H35" i="45"/>
  <c r="F742" i="55"/>
  <c r="I248" i="57"/>
  <c r="C562" i="55"/>
  <c r="E584" i="55"/>
  <c r="G552" i="55"/>
  <c r="U12" i="54"/>
  <c r="I369" i="57"/>
  <c r="E602" i="55"/>
  <c r="H15" i="41"/>
  <c r="C10" i="41"/>
  <c r="I546" i="57"/>
  <c r="B51" i="44"/>
  <c r="I501" i="57"/>
  <c r="D582" i="55"/>
  <c r="I440" i="57"/>
  <c r="I365" i="57"/>
  <c r="AB11" i="41"/>
  <c r="C549" i="55"/>
  <c r="G23" i="55"/>
  <c r="AB12" i="41"/>
  <c r="G773" i="55"/>
  <c r="H13" i="45"/>
  <c r="D549" i="55"/>
  <c r="D762" i="55"/>
  <c r="C593" i="55"/>
  <c r="B26" i="45"/>
  <c r="G28" i="55"/>
  <c r="H29" i="45"/>
  <c r="D539" i="55"/>
  <c r="D15" i="55"/>
  <c r="H15" i="55" s="1"/>
  <c r="H9" i="41"/>
  <c r="E742" i="55"/>
  <c r="I13" i="57"/>
  <c r="F19" i="41"/>
  <c r="D41" i="45"/>
  <c r="D551" i="55"/>
  <c r="T11" i="41"/>
  <c r="R22" i="41"/>
  <c r="I399" i="57"/>
  <c r="E558" i="55"/>
  <c r="F747" i="55"/>
  <c r="F499" i="55"/>
  <c r="E774" i="55"/>
  <c r="U20" i="54"/>
  <c r="C701" i="55"/>
  <c r="I347" i="57"/>
  <c r="G14" i="55"/>
  <c r="G563" i="55"/>
  <c r="D697" i="55"/>
  <c r="I208" i="57"/>
  <c r="I46" i="57"/>
  <c r="I452" i="57"/>
  <c r="I319" i="57"/>
  <c r="H10" i="54"/>
  <c r="H15" i="54"/>
  <c r="D34" i="45"/>
  <c r="I353" i="57"/>
  <c r="G32" i="55"/>
  <c r="H8" i="52"/>
  <c r="E13" i="55"/>
  <c r="E574" i="55"/>
  <c r="I175" i="57"/>
  <c r="B46" i="44"/>
  <c r="G613" i="55"/>
  <c r="F577" i="55"/>
  <c r="F14" i="54"/>
  <c r="Z10" i="41"/>
  <c r="I539" i="57"/>
  <c r="D777" i="55"/>
  <c r="E729" i="55"/>
  <c r="B32" i="44"/>
  <c r="C480" i="55"/>
  <c r="N8" i="54"/>
  <c r="D759" i="55"/>
  <c r="B29" i="45"/>
  <c r="I325" i="57"/>
  <c r="D774" i="55"/>
  <c r="E520" i="55"/>
  <c r="F38" i="45"/>
  <c r="F14" i="45"/>
  <c r="C557" i="55"/>
  <c r="I50" i="57"/>
  <c r="G508" i="55"/>
  <c r="G496" i="55"/>
  <c r="E572" i="55"/>
  <c r="F579" i="55"/>
  <c r="I267" i="57"/>
  <c r="E538" i="55"/>
  <c r="E662" i="55"/>
  <c r="H26" i="45"/>
  <c r="I263" i="57"/>
  <c r="G767" i="55"/>
  <c r="G484" i="55"/>
  <c r="E773" i="55"/>
  <c r="G775" i="55"/>
  <c r="F486" i="55"/>
  <c r="G713" i="55"/>
  <c r="D528" i="55"/>
  <c r="E746" i="55"/>
  <c r="F34" i="55"/>
  <c r="F634" i="55"/>
  <c r="J8" i="54"/>
  <c r="G509" i="55"/>
  <c r="E467" i="55"/>
  <c r="T14" i="54"/>
  <c r="J20" i="54"/>
  <c r="G26" i="55"/>
  <c r="G761" i="55"/>
  <c r="D9" i="54"/>
  <c r="C698" i="55"/>
  <c r="I206" i="57"/>
  <c r="I19" i="54"/>
  <c r="D449" i="55"/>
  <c r="G15" i="55"/>
  <c r="I152" i="57"/>
  <c r="I21" i="54"/>
  <c r="G617" i="55"/>
  <c r="E14" i="54"/>
  <c r="F453" i="55"/>
  <c r="B7" i="44"/>
  <c r="G542" i="55"/>
  <c r="F532" i="55"/>
  <c r="F541" i="55"/>
  <c r="I167" i="57"/>
  <c r="L18" i="54"/>
  <c r="K10" i="40"/>
  <c r="G493" i="55"/>
  <c r="I15" i="57"/>
  <c r="X8" i="41"/>
  <c r="D15" i="54"/>
  <c r="D12" i="45"/>
  <c r="Q8" i="54"/>
  <c r="G700" i="55"/>
  <c r="D572" i="55"/>
  <c r="E487" i="55"/>
  <c r="I11" i="54"/>
  <c r="F754" i="55"/>
  <c r="G33" i="55"/>
  <c r="D508" i="55"/>
  <c r="B43" i="44"/>
  <c r="E547" i="55"/>
  <c r="I330" i="57"/>
  <c r="F12" i="45"/>
  <c r="E458" i="55"/>
  <c r="C706" i="55"/>
  <c r="I17" i="57"/>
  <c r="D25" i="55"/>
  <c r="F500" i="55"/>
  <c r="C585" i="55"/>
  <c r="I497" i="57"/>
  <c r="E33" i="55"/>
  <c r="G730" i="55"/>
  <c r="B25" i="45"/>
  <c r="I525" i="57"/>
  <c r="G583" i="55"/>
  <c r="E737" i="55"/>
  <c r="D745" i="55"/>
  <c r="L8" i="54"/>
  <c r="I10" i="54"/>
  <c r="D593" i="55"/>
  <c r="I215" i="57"/>
  <c r="F16" i="41"/>
  <c r="D704" i="55"/>
  <c r="D780" i="55"/>
  <c r="D764" i="55"/>
  <c r="D32" i="55"/>
  <c r="H28" i="45"/>
  <c r="I553" i="57"/>
  <c r="Q17" i="54"/>
  <c r="E694" i="55"/>
  <c r="C563" i="55"/>
  <c r="C506" i="55"/>
  <c r="E553" i="55"/>
  <c r="T15" i="41"/>
  <c r="N19" i="41"/>
  <c r="C448" i="55"/>
  <c r="D652" i="55"/>
  <c r="C444" i="55"/>
  <c r="M12" i="54"/>
  <c r="F756" i="55"/>
  <c r="G692" i="55"/>
  <c r="I495" i="57"/>
  <c r="O20" i="54"/>
  <c r="A13" i="52"/>
  <c r="I584" i="57"/>
  <c r="G655" i="55"/>
  <c r="D694" i="55"/>
  <c r="G22" i="55"/>
  <c r="I41" i="57"/>
  <c r="I132" i="57"/>
  <c r="I560" i="57"/>
  <c r="E9" i="55"/>
  <c r="D39" i="45"/>
  <c r="F757" i="55"/>
  <c r="D28" i="55"/>
  <c r="G630" i="55"/>
  <c r="X18" i="41"/>
  <c r="F601" i="55"/>
  <c r="E771" i="55"/>
  <c r="H30" i="45"/>
  <c r="I213" i="57"/>
  <c r="G555" i="55"/>
  <c r="Q21" i="54"/>
  <c r="E743" i="55"/>
  <c r="G599" i="55"/>
  <c r="I240" i="57"/>
  <c r="F705" i="55"/>
  <c r="F727" i="55"/>
  <c r="D477" i="55"/>
  <c r="O21" i="54"/>
  <c r="C501" i="55"/>
  <c r="I49" i="57"/>
  <c r="I260" i="57"/>
  <c r="D530" i="55"/>
  <c r="G510" i="55"/>
  <c r="P9" i="41"/>
  <c r="G453" i="55"/>
  <c r="G769" i="55"/>
  <c r="H39" i="45"/>
  <c r="F729" i="55"/>
  <c r="L14" i="54"/>
  <c r="G609" i="55"/>
  <c r="D519" i="55"/>
  <c r="D601" i="55"/>
  <c r="I444" i="57"/>
  <c r="G770" i="55"/>
  <c r="I210" i="57"/>
  <c r="D687" i="55"/>
  <c r="I102" i="57"/>
  <c r="B26" i="44"/>
  <c r="E747" i="55"/>
  <c r="C561" i="55"/>
  <c r="B22" i="45"/>
  <c r="I176" i="57"/>
  <c r="D520" i="55"/>
  <c r="D29" i="55"/>
  <c r="D499" i="55"/>
  <c r="I127" i="57"/>
  <c r="F612" i="55"/>
  <c r="D527" i="55"/>
  <c r="G680" i="55"/>
  <c r="C710" i="55"/>
  <c r="I361" i="57"/>
  <c r="I73" i="57"/>
  <c r="H8" i="54"/>
  <c r="I301" i="57"/>
  <c r="E732" i="55"/>
  <c r="D542" i="55"/>
  <c r="G682" i="55"/>
  <c r="D446" i="55"/>
  <c r="G519" i="55"/>
  <c r="I161" i="57"/>
  <c r="I84" i="57"/>
  <c r="B27" i="45"/>
  <c r="I483" i="57"/>
  <c r="D33" i="55"/>
  <c r="F709" i="55"/>
  <c r="I567" i="57"/>
  <c r="G9" i="55"/>
  <c r="C445" i="55"/>
  <c r="K8" i="54"/>
  <c r="D496" i="55"/>
  <c r="F43" i="45"/>
  <c r="E735" i="55"/>
  <c r="C463" i="55"/>
  <c r="F10" i="45"/>
  <c r="D608" i="55"/>
  <c r="I203" i="57"/>
  <c r="I406" i="57"/>
  <c r="I117" i="57"/>
  <c r="I549" i="57"/>
  <c r="L12" i="41"/>
  <c r="I14" i="54"/>
  <c r="D467" i="55"/>
  <c r="I435" i="57"/>
  <c r="F642" i="55"/>
  <c r="U10" i="54"/>
  <c r="F469" i="55"/>
  <c r="C739" i="55"/>
  <c r="D640" i="55"/>
  <c r="F652" i="55"/>
  <c r="E661" i="55"/>
  <c r="F480" i="55"/>
  <c r="G727" i="55"/>
  <c r="I494" i="57"/>
  <c r="I488" i="57"/>
  <c r="D36" i="55"/>
  <c r="G666" i="55"/>
  <c r="I106" i="57"/>
  <c r="F42" i="45"/>
  <c r="E20" i="54"/>
  <c r="E17" i="41"/>
  <c r="N13" i="54"/>
  <c r="G492" i="55"/>
  <c r="P15" i="41"/>
  <c r="E509" i="55"/>
  <c r="Z13" i="41"/>
  <c r="D649" i="55"/>
  <c r="G543" i="55"/>
  <c r="I587" i="57"/>
  <c r="G746" i="55"/>
  <c r="G645" i="55"/>
  <c r="F602" i="55"/>
  <c r="N11" i="54"/>
  <c r="E518" i="55"/>
  <c r="E611" i="55"/>
  <c r="C664" i="55"/>
  <c r="C497" i="55"/>
  <c r="F561" i="55"/>
  <c r="I392" i="57"/>
  <c r="D772" i="55"/>
  <c r="I527" i="57"/>
  <c r="I147" i="57"/>
  <c r="E614" i="55"/>
  <c r="F36" i="45"/>
  <c r="E646" i="55"/>
  <c r="G447" i="55"/>
  <c r="C543" i="55"/>
  <c r="D747" i="55"/>
  <c r="E529" i="55"/>
  <c r="F636" i="55"/>
  <c r="D537" i="55"/>
  <c r="H24" i="45"/>
  <c r="I422" i="57"/>
  <c r="I111" i="57"/>
  <c r="I459" i="57"/>
  <c r="D17" i="55"/>
  <c r="H17" i="55" s="1"/>
  <c r="F650" i="55"/>
  <c r="I467" i="57"/>
  <c r="D757" i="55"/>
  <c r="C765" i="55"/>
  <c r="I109" i="57"/>
  <c r="G21" i="54"/>
  <c r="F19" i="54"/>
  <c r="D669" i="55"/>
  <c r="I400" i="57"/>
  <c r="D31" i="45"/>
  <c r="G676" i="55"/>
  <c r="U17" i="54"/>
  <c r="C780" i="55"/>
  <c r="E685" i="55"/>
  <c r="X12" i="41"/>
  <c r="I21" i="57"/>
  <c r="D568" i="55"/>
  <c r="D557" i="55"/>
  <c r="E550" i="55"/>
  <c r="C460" i="55"/>
  <c r="AB17" i="41"/>
  <c r="V15" i="54"/>
  <c r="I550" i="57"/>
  <c r="H22" i="45"/>
  <c r="F523" i="55"/>
  <c r="I140" i="57"/>
  <c r="F515" i="55"/>
  <c r="D769" i="55"/>
  <c r="E733" i="55"/>
  <c r="E777" i="55"/>
  <c r="F554" i="55"/>
  <c r="G772" i="55"/>
  <c r="F547" i="55"/>
  <c r="E589" i="55"/>
  <c r="D478" i="55"/>
  <c r="C511" i="55"/>
  <c r="E21" i="41"/>
  <c r="I554" i="57"/>
  <c r="J8" i="40"/>
  <c r="C538" i="55"/>
  <c r="F772" i="55"/>
  <c r="F483" i="55"/>
  <c r="C663" i="55"/>
  <c r="E779" i="55"/>
  <c r="N10" i="54"/>
  <c r="B28" i="45"/>
  <c r="I455" i="57"/>
  <c r="G760" i="55"/>
  <c r="P11" i="41"/>
  <c r="G589" i="55"/>
  <c r="H43" i="45"/>
  <c r="G625" i="55"/>
  <c r="F20" i="54"/>
  <c r="F761" i="55"/>
  <c r="C683" i="55"/>
  <c r="E676" i="55"/>
  <c r="E444" i="55"/>
  <c r="E20" i="55"/>
  <c r="F594" i="55"/>
  <c r="F448" i="55"/>
  <c r="I255" i="57"/>
  <c r="O14" i="54"/>
  <c r="D19" i="55"/>
  <c r="H19" i="55" s="1"/>
  <c r="I266" i="57"/>
  <c r="D767" i="55"/>
  <c r="C730" i="55"/>
  <c r="L14" i="41"/>
  <c r="H14" i="54"/>
  <c r="I198" i="57"/>
  <c r="D500" i="55"/>
  <c r="I408" i="57"/>
  <c r="I264" i="57"/>
  <c r="G11" i="54"/>
  <c r="E588" i="55"/>
  <c r="I30" i="57"/>
  <c r="G11" i="55"/>
  <c r="D676" i="55"/>
  <c r="E449" i="55"/>
  <c r="H11" i="54"/>
  <c r="R10" i="41"/>
  <c r="D576" i="55"/>
  <c r="G577" i="55"/>
  <c r="I471" i="57"/>
  <c r="I65" i="57"/>
  <c r="F667" i="55"/>
  <c r="W15" i="41"/>
  <c r="W16" i="41" s="1"/>
  <c r="G601" i="55"/>
  <c r="F663" i="55"/>
  <c r="R14" i="54"/>
  <c r="P9" i="54"/>
  <c r="D457" i="55"/>
  <c r="V16" i="54"/>
  <c r="I103" i="57"/>
  <c r="O11" i="54"/>
  <c r="F699" i="55"/>
  <c r="F461" i="55"/>
  <c r="C656" i="55"/>
  <c r="G16" i="55"/>
  <c r="F600" i="55"/>
  <c r="I149" i="57"/>
  <c r="C10" i="40"/>
  <c r="F574" i="55"/>
  <c r="J19" i="41"/>
  <c r="I588" i="57"/>
  <c r="R19" i="41"/>
  <c r="I412" i="57"/>
  <c r="T10" i="54"/>
  <c r="I81" i="57"/>
  <c r="G464" i="55"/>
  <c r="D33" i="45"/>
  <c r="F736" i="55"/>
  <c r="C479" i="55"/>
  <c r="I154" i="57"/>
  <c r="F726" i="55"/>
  <c r="D494" i="55"/>
  <c r="I504" i="57"/>
  <c r="G648" i="55"/>
  <c r="F728" i="55"/>
  <c r="F760" i="55"/>
  <c r="F22" i="55"/>
  <c r="G718" i="55"/>
  <c r="I285" i="57"/>
  <c r="F672" i="55"/>
  <c r="C569" i="55"/>
  <c r="K16" i="54"/>
  <c r="E651" i="55"/>
  <c r="E656" i="55"/>
  <c r="I230" i="57"/>
  <c r="F445" i="55"/>
  <c r="I32" i="57"/>
  <c r="E446" i="55"/>
  <c r="E652" i="55"/>
  <c r="I337" i="57"/>
  <c r="E531" i="55"/>
  <c r="E525" i="55"/>
  <c r="I398" i="57"/>
  <c r="F549" i="55"/>
  <c r="C678" i="55"/>
  <c r="E511" i="55"/>
  <c r="E601" i="55"/>
  <c r="I71" i="57"/>
  <c r="F23" i="55"/>
  <c r="I409" i="57"/>
  <c r="I378" i="57"/>
  <c r="E709" i="55"/>
  <c r="G668" i="55"/>
  <c r="D452" i="55"/>
  <c r="D651" i="55"/>
  <c r="E14" i="41"/>
  <c r="G686" i="55"/>
  <c r="F619" i="55"/>
  <c r="E480" i="55"/>
  <c r="F682" i="55"/>
  <c r="R8" i="54"/>
  <c r="F617" i="55"/>
  <c r="G24" i="55"/>
  <c r="I25" i="57"/>
  <c r="D729" i="55"/>
  <c r="I282" i="57"/>
  <c r="E772" i="55"/>
  <c r="F33" i="45"/>
  <c r="G699" i="55"/>
  <c r="F545" i="55"/>
  <c r="F10" i="55"/>
  <c r="O18" i="41"/>
  <c r="O19" i="41" s="1"/>
  <c r="E18" i="55"/>
  <c r="G516" i="55"/>
  <c r="F518" i="55"/>
  <c r="I508" i="57"/>
  <c r="O9" i="54"/>
  <c r="G21" i="55"/>
  <c r="I341" i="57"/>
  <c r="S8" i="54"/>
  <c r="G693" i="55"/>
  <c r="F623" i="55"/>
  <c r="B10" i="40"/>
  <c r="I293" i="57"/>
  <c r="E683" i="55"/>
  <c r="C509" i="55"/>
  <c r="I545" i="57"/>
  <c r="G14" i="54"/>
  <c r="I447" i="57"/>
  <c r="J16" i="54"/>
  <c r="U11" i="54"/>
  <c r="J14" i="54"/>
  <c r="D581" i="55"/>
  <c r="P8" i="40"/>
  <c r="C546" i="55"/>
  <c r="F531" i="55"/>
  <c r="T17" i="41"/>
  <c r="B9" i="44"/>
  <c r="I180" i="57"/>
  <c r="H16" i="45"/>
  <c r="C736" i="55"/>
  <c r="S16" i="54"/>
  <c r="C540" i="55"/>
  <c r="F673" i="55"/>
  <c r="F771" i="55"/>
  <c r="C620" i="55"/>
  <c r="C452" i="55"/>
  <c r="I9" i="54"/>
  <c r="F544" i="55"/>
  <c r="I40" i="57"/>
  <c r="I393" i="57"/>
  <c r="G17" i="54"/>
  <c r="F21" i="54"/>
  <c r="E615" i="55"/>
  <c r="G16" i="54"/>
  <c r="I69" i="57"/>
  <c r="C717" i="55"/>
  <c r="E693" i="55"/>
  <c r="G606" i="55"/>
  <c r="D754" i="55"/>
  <c r="D633" i="55"/>
  <c r="C496" i="55"/>
  <c r="F23" i="45"/>
  <c r="I579" i="57"/>
  <c r="U19" i="54"/>
  <c r="F510" i="55"/>
  <c r="I277" i="57"/>
  <c r="D529" i="55"/>
  <c r="C559" i="55"/>
  <c r="H18" i="54"/>
  <c r="G499" i="55"/>
  <c r="I503" i="57"/>
  <c r="F31" i="45"/>
  <c r="I131" i="57"/>
  <c r="B52" i="44"/>
  <c r="C31" i="55"/>
  <c r="G667" i="55"/>
  <c r="T11" i="54"/>
  <c r="E648" i="55"/>
  <c r="I358" i="57"/>
  <c r="G605" i="55"/>
  <c r="I499" i="57"/>
  <c r="R19" i="54"/>
  <c r="D547" i="55"/>
  <c r="H25" i="45"/>
  <c r="I185" i="57"/>
  <c r="I309" i="57"/>
  <c r="G537" i="55"/>
  <c r="I142" i="57"/>
  <c r="G475" i="55"/>
  <c r="F716" i="55"/>
  <c r="F675" i="55"/>
  <c r="E569" i="55"/>
  <c r="C526" i="55"/>
  <c r="J12" i="54"/>
  <c r="C716" i="55"/>
  <c r="E583" i="55"/>
  <c r="G455" i="55"/>
  <c r="F30" i="45"/>
  <c r="G586" i="55"/>
  <c r="I479" i="57"/>
  <c r="G462" i="55"/>
  <c r="X15" i="41"/>
  <c r="D482" i="55"/>
  <c r="F653" i="55"/>
  <c r="E10" i="40"/>
  <c r="E711" i="55"/>
  <c r="C623" i="55"/>
  <c r="I17" i="54"/>
  <c r="I75" i="57"/>
  <c r="F693" i="55"/>
  <c r="C778" i="55"/>
  <c r="G728" i="55"/>
  <c r="C740" i="55"/>
  <c r="D732" i="55"/>
  <c r="C749" i="55"/>
  <c r="I55" i="57"/>
  <c r="G755" i="55"/>
  <c r="C515" i="55"/>
  <c r="C9" i="54"/>
  <c r="B20" i="54"/>
  <c r="I536" i="57"/>
  <c r="C19" i="54"/>
  <c r="I220" i="57"/>
  <c r="B21" i="45"/>
  <c r="G549" i="55"/>
  <c r="C490" i="55"/>
  <c r="D468" i="55"/>
  <c r="G13" i="55"/>
  <c r="I269" i="57"/>
  <c r="E17" i="55"/>
  <c r="G562" i="55"/>
  <c r="D29" i="45"/>
  <c r="B13" i="54"/>
  <c r="I570" i="57"/>
  <c r="I323" i="57"/>
  <c r="Q11" i="54"/>
  <c r="I114" i="57"/>
  <c r="I31" i="57"/>
  <c r="E640" i="55"/>
  <c r="I414" i="57"/>
  <c r="I591" i="57"/>
  <c r="F776" i="55"/>
  <c r="G485" i="55"/>
  <c r="C28" i="55"/>
  <c r="I179" i="57"/>
  <c r="F724" i="55"/>
  <c r="D486" i="55"/>
  <c r="G674" i="55"/>
  <c r="I196" i="57"/>
  <c r="H11" i="45"/>
  <c r="C513" i="55"/>
  <c r="I116" i="57"/>
  <c r="E486" i="55"/>
  <c r="H23" i="45"/>
  <c r="D518" i="55"/>
  <c r="I79" i="57"/>
  <c r="F452" i="55"/>
  <c r="I423" i="57"/>
  <c r="F633" i="55"/>
  <c r="G729" i="55"/>
  <c r="G749" i="55"/>
  <c r="D10" i="55"/>
  <c r="H10" i="55" s="1"/>
  <c r="F13" i="54"/>
  <c r="D495" i="55"/>
  <c r="F585" i="55"/>
  <c r="C668" i="55"/>
  <c r="F489" i="55"/>
  <c r="E578" i="55"/>
  <c r="C556" i="55"/>
  <c r="F625" i="55"/>
  <c r="T9" i="54"/>
  <c r="G701" i="55"/>
  <c r="D642" i="55"/>
  <c r="D541" i="55"/>
  <c r="B24" i="45"/>
  <c r="D456" i="55"/>
  <c r="I449" i="57"/>
  <c r="S18" i="54"/>
  <c r="F40" i="45"/>
  <c r="G8" i="40"/>
  <c r="I295" i="57"/>
  <c r="E663" i="55"/>
  <c r="D37" i="45"/>
  <c r="K10" i="54"/>
  <c r="I465" i="57"/>
  <c r="E610" i="55"/>
  <c r="H19" i="54"/>
  <c r="G748" i="55"/>
  <c r="D476" i="55"/>
  <c r="G448" i="55"/>
  <c r="D555" i="55"/>
  <c r="B37" i="44"/>
  <c r="I146" i="57"/>
  <c r="F511" i="55"/>
  <c r="C16" i="41"/>
  <c r="I105" i="57"/>
  <c r="C667" i="55"/>
  <c r="G573" i="55"/>
  <c r="E568" i="55"/>
  <c r="I558" i="57"/>
  <c r="R13" i="41"/>
  <c r="D480" i="55"/>
  <c r="D493" i="55"/>
  <c r="D517" i="55"/>
  <c r="P14" i="41"/>
  <c r="I93" i="57"/>
  <c r="I355" i="57"/>
  <c r="F487" i="55"/>
  <c r="I557" i="57"/>
  <c r="G501" i="55"/>
  <c r="E740" i="55"/>
  <c r="D610" i="55"/>
  <c r="E680" i="55"/>
  <c r="C542" i="55"/>
  <c r="E499" i="55"/>
  <c r="C21" i="54"/>
  <c r="I115" i="57"/>
  <c r="G590" i="55"/>
  <c r="I62" i="57"/>
  <c r="D727" i="55"/>
  <c r="M9" i="54"/>
  <c r="G638" i="55"/>
  <c r="G734" i="55"/>
  <c r="D600" i="55"/>
  <c r="G18" i="55"/>
  <c r="E728" i="55"/>
  <c r="E512" i="55"/>
  <c r="F24" i="55"/>
  <c r="E623" i="55"/>
  <c r="F740" i="55"/>
  <c r="E450" i="55"/>
  <c r="D749" i="55"/>
  <c r="I8" i="54"/>
  <c r="D461" i="55"/>
  <c r="F525" i="55"/>
  <c r="C618" i="55"/>
  <c r="I125" i="57"/>
  <c r="E542" i="55"/>
  <c r="G706" i="55"/>
  <c r="C532" i="55"/>
  <c r="C16" i="54"/>
  <c r="D447" i="55"/>
  <c r="F11" i="55"/>
  <c r="F593" i="55"/>
  <c r="Q13" i="54"/>
  <c r="I329" i="57"/>
  <c r="C482" i="55"/>
  <c r="D706" i="55"/>
  <c r="C748" i="55"/>
  <c r="I18" i="57"/>
  <c r="I38" i="57"/>
  <c r="E642" i="55"/>
  <c r="R21" i="54"/>
  <c r="E592" i="55"/>
  <c r="F590" i="55"/>
  <c r="D587" i="55"/>
  <c r="I86" i="57"/>
  <c r="C617" i="55"/>
  <c r="G20" i="55"/>
  <c r="S9" i="41"/>
  <c r="S10" i="41" s="1"/>
  <c r="F685" i="55"/>
  <c r="C604" i="55"/>
  <c r="E541" i="55"/>
  <c r="F644" i="55"/>
  <c r="C558" i="55"/>
  <c r="E672" i="55"/>
  <c r="I204" i="57"/>
  <c r="F556" i="55"/>
  <c r="I472" i="57"/>
  <c r="I386" i="57"/>
  <c r="C702" i="55"/>
  <c r="D612" i="55"/>
  <c r="G524" i="55"/>
  <c r="J10" i="41"/>
  <c r="F769" i="55"/>
  <c r="P19" i="54"/>
  <c r="I217" i="57"/>
  <c r="I284" i="57"/>
  <c r="F481" i="55"/>
  <c r="G679" i="55"/>
  <c r="D655" i="55"/>
  <c r="F640" i="55"/>
  <c r="E704" i="55"/>
  <c r="G623" i="55"/>
  <c r="C665" i="55"/>
  <c r="AB15" i="41"/>
  <c r="F700" i="55"/>
  <c r="O10" i="54"/>
  <c r="I227" i="57"/>
  <c r="E576" i="55"/>
  <c r="I328" i="57"/>
  <c r="E604" i="55"/>
  <c r="P17" i="41"/>
  <c r="I425" i="57"/>
  <c r="J17" i="54"/>
  <c r="C777" i="55"/>
  <c r="U9" i="54"/>
  <c r="G27" i="55"/>
  <c r="C613" i="55"/>
  <c r="C528" i="55"/>
  <c r="C779" i="55"/>
  <c r="E620" i="55"/>
  <c r="E456" i="55"/>
  <c r="I280" i="57"/>
  <c r="T21" i="54"/>
  <c r="F528" i="55"/>
  <c r="D526" i="55"/>
  <c r="C764" i="55"/>
  <c r="G529" i="55"/>
  <c r="G671" i="55"/>
  <c r="E609" i="55"/>
  <c r="G25" i="55"/>
  <c r="C9" i="40"/>
  <c r="D9" i="40" s="1"/>
  <c r="G654" i="55"/>
  <c r="F770" i="55"/>
  <c r="E25" i="55"/>
  <c r="T12" i="54"/>
  <c r="C726" i="55"/>
  <c r="I214" i="57"/>
  <c r="L16" i="54"/>
  <c r="I231" i="57"/>
  <c r="G17" i="55"/>
  <c r="E573" i="55"/>
  <c r="E621" i="55"/>
  <c r="P8" i="41"/>
  <c r="I67" i="57"/>
  <c r="I258" i="57"/>
  <c r="H8" i="41"/>
  <c r="K18" i="41"/>
  <c r="K19" i="41" s="1"/>
  <c r="G476" i="55"/>
  <c r="G477" i="55"/>
  <c r="E460" i="55"/>
  <c r="C486" i="55"/>
  <c r="D744" i="55"/>
  <c r="D522" i="55"/>
  <c r="E749" i="55"/>
  <c r="D624" i="55"/>
  <c r="I12" i="54"/>
  <c r="C612" i="55"/>
  <c r="D678" i="55"/>
  <c r="F516" i="55"/>
  <c r="C616" i="55"/>
  <c r="E497" i="55"/>
  <c r="S10" i="54"/>
  <c r="C732" i="55"/>
  <c r="F733" i="55"/>
  <c r="E637" i="55"/>
  <c r="I351" i="57"/>
  <c r="D453" i="55"/>
  <c r="I514" i="57"/>
  <c r="D511" i="55"/>
  <c r="I461" i="57"/>
  <c r="H21" i="41"/>
  <c r="D571" i="55"/>
  <c r="C11" i="54"/>
  <c r="K8" i="52"/>
  <c r="D487" i="55"/>
  <c r="C681" i="55"/>
  <c r="M13" i="54"/>
  <c r="I211" i="57"/>
  <c r="F609" i="55"/>
  <c r="C449" i="55"/>
  <c r="I395" i="57"/>
  <c r="E622" i="55"/>
  <c r="D573" i="55"/>
  <c r="D454" i="55"/>
  <c r="I445" i="57"/>
  <c r="C696" i="55"/>
  <c r="C530" i="55"/>
  <c r="G469" i="55"/>
  <c r="E12" i="55"/>
  <c r="C582" i="55"/>
  <c r="F768" i="55"/>
  <c r="F710" i="55"/>
  <c r="B11" i="45"/>
  <c r="V18" i="54"/>
  <c r="C756" i="55"/>
  <c r="I429" i="57"/>
  <c r="C674" i="55"/>
  <c r="I233" i="57"/>
  <c r="G591" i="55"/>
  <c r="F717" i="55"/>
  <c r="D619" i="55"/>
  <c r="C771" i="55"/>
  <c r="F492" i="55"/>
  <c r="D575" i="55"/>
  <c r="C494" i="55"/>
  <c r="D770" i="55"/>
  <c r="E12" i="54"/>
  <c r="F517" i="55"/>
  <c r="D622" i="55"/>
  <c r="C529" i="55"/>
  <c r="E761" i="55"/>
  <c r="F635" i="55"/>
  <c r="P12" i="41"/>
  <c r="E591" i="55"/>
  <c r="E36" i="55"/>
  <c r="F529" i="55"/>
  <c r="G584" i="55"/>
  <c r="E510" i="55"/>
  <c r="I344" i="57"/>
  <c r="I379" i="57"/>
  <c r="D604" i="55"/>
  <c r="E9" i="41"/>
  <c r="E551" i="55"/>
  <c r="G487" i="55"/>
  <c r="L10" i="40"/>
  <c r="G717" i="55"/>
  <c r="D17" i="54"/>
  <c r="D755" i="55"/>
  <c r="C485" i="55"/>
  <c r="P12" i="54"/>
  <c r="F25" i="55"/>
  <c r="E616" i="55"/>
  <c r="E32" i="55"/>
  <c r="C603" i="55"/>
  <c r="E475" i="55"/>
  <c r="O16" i="54"/>
  <c r="C552" i="55"/>
  <c r="F31" i="55"/>
  <c r="H38" i="45"/>
  <c r="D11" i="55"/>
  <c r="H11" i="55" s="1"/>
  <c r="I121" i="57"/>
  <c r="I505" i="57"/>
  <c r="I582" i="57"/>
  <c r="I443" i="57"/>
  <c r="I118" i="57"/>
  <c r="T20" i="54"/>
  <c r="D663" i="55"/>
  <c r="I470" i="57"/>
  <c r="G36" i="55"/>
  <c r="I566" i="57"/>
  <c r="G697" i="55"/>
  <c r="F639" i="55"/>
  <c r="I197" i="57"/>
  <c r="D13" i="55"/>
  <c r="H13" i="55" s="1"/>
  <c r="I172" i="57"/>
  <c r="I569" i="57"/>
  <c r="I402" i="57"/>
  <c r="E650" i="55"/>
  <c r="D22" i="45"/>
  <c r="I480" i="57"/>
  <c r="D445" i="55"/>
  <c r="E608" i="55"/>
  <c r="G714" i="55"/>
  <c r="D586" i="55"/>
  <c r="T21" i="41"/>
  <c r="I559" i="57"/>
  <c r="F584" i="55"/>
  <c r="F562" i="55"/>
  <c r="F455" i="55"/>
  <c r="D23" i="55"/>
  <c r="E469" i="55"/>
  <c r="K15" i="54"/>
  <c r="F8" i="54"/>
  <c r="D560" i="55"/>
  <c r="E457" i="55"/>
  <c r="I520" i="57"/>
  <c r="F651" i="55"/>
  <c r="H13" i="54"/>
  <c r="V21" i="54"/>
  <c r="G507" i="55"/>
  <c r="I287" i="57"/>
  <c r="C465" i="55"/>
  <c r="I359" i="57"/>
  <c r="G711" i="55"/>
  <c r="D28" i="45"/>
  <c r="C768" i="55"/>
  <c r="C574" i="55"/>
  <c r="D686" i="55"/>
  <c r="I413" i="57"/>
  <c r="I273" i="57"/>
  <c r="I234" i="57"/>
  <c r="G641" i="55"/>
  <c r="F497" i="55"/>
  <c r="C459" i="55"/>
  <c r="C477" i="55"/>
  <c r="I380" i="57"/>
  <c r="I561" i="57"/>
  <c r="C522" i="55"/>
  <c r="G457" i="55"/>
  <c r="F648" i="55"/>
  <c r="C475" i="55"/>
  <c r="I186" i="57"/>
  <c r="G574" i="55"/>
  <c r="G747" i="55"/>
  <c r="D466" i="55"/>
  <c r="H40" i="45"/>
  <c r="I219" i="57"/>
  <c r="I72" i="57"/>
  <c r="F591" i="55"/>
  <c r="F15" i="45"/>
  <c r="C572" i="55"/>
  <c r="O10" i="40"/>
  <c r="C661" i="55"/>
  <c r="F758" i="55"/>
  <c r="F582" i="55"/>
  <c r="B32" i="45"/>
  <c r="I242" i="57"/>
  <c r="F671" i="55"/>
  <c r="C693" i="55"/>
  <c r="D718" i="55"/>
  <c r="F563" i="55"/>
  <c r="D674" i="55"/>
  <c r="D725" i="55"/>
  <c r="I433" i="57"/>
  <c r="G649" i="55"/>
  <c r="E579" i="55"/>
  <c r="F661" i="55"/>
  <c r="I56" i="57"/>
  <c r="E681" i="55"/>
  <c r="H14" i="45"/>
  <c r="I251" i="57"/>
  <c r="C447" i="55"/>
  <c r="S12" i="54"/>
  <c r="C539" i="55"/>
  <c r="C13" i="54"/>
  <c r="F485" i="55"/>
  <c r="N15" i="54"/>
  <c r="I535" i="57"/>
  <c r="D531" i="55"/>
  <c r="I516" i="57"/>
  <c r="C453" i="55"/>
  <c r="M20" i="54"/>
  <c r="I181" i="57"/>
  <c r="F605" i="55"/>
  <c r="G523" i="55"/>
  <c r="E516" i="55"/>
  <c r="F11" i="54"/>
  <c r="G615" i="55"/>
  <c r="C531" i="55"/>
  <c r="C653" i="55"/>
  <c r="G578" i="55"/>
  <c r="E653" i="55"/>
  <c r="I543" i="57"/>
  <c r="B21" i="54"/>
  <c r="I526" i="57"/>
  <c r="F777" i="55"/>
  <c r="G558" i="55"/>
  <c r="L19" i="54"/>
  <c r="D553" i="55"/>
  <c r="E669" i="55"/>
  <c r="H11" i="41"/>
  <c r="D27" i="55"/>
  <c r="C707" i="55"/>
  <c r="F624" i="55"/>
  <c r="I53" i="57"/>
  <c r="I274" i="57"/>
  <c r="F714" i="55"/>
  <c r="I278" i="57"/>
  <c r="V14" i="54"/>
  <c r="S20" i="54"/>
  <c r="E666" i="55"/>
  <c r="D515" i="55"/>
  <c r="G602" i="55"/>
  <c r="T13" i="54"/>
  <c r="I279" i="57"/>
  <c r="S9" i="54"/>
  <c r="C624" i="55"/>
  <c r="R16" i="54"/>
  <c r="I22" i="57"/>
  <c r="Q9" i="54"/>
  <c r="B12" i="45"/>
  <c r="E701" i="55"/>
  <c r="U8" i="54"/>
  <c r="F477" i="55"/>
  <c r="M8" i="52"/>
  <c r="K18" i="54"/>
  <c r="I600" i="57"/>
  <c r="F680" i="55"/>
  <c r="E13" i="54"/>
  <c r="C606" i="55"/>
  <c r="E10" i="54"/>
  <c r="C758" i="55"/>
  <c r="F553" i="55"/>
  <c r="C36" i="55"/>
  <c r="F647" i="55"/>
  <c r="G498" i="55"/>
  <c r="C8" i="54"/>
  <c r="H17" i="54"/>
  <c r="E745" i="55"/>
  <c r="I540" i="57"/>
  <c r="F20" i="55"/>
  <c r="C666" i="55"/>
  <c r="D463" i="55"/>
  <c r="I387" i="57"/>
  <c r="G506" i="55"/>
  <c r="I276" i="57"/>
  <c r="G494" i="55"/>
  <c r="E481" i="55"/>
  <c r="E31" i="55"/>
  <c r="E714" i="55"/>
  <c r="C470" i="55"/>
  <c r="C737" i="55"/>
  <c r="D775" i="55"/>
  <c r="L12" i="54"/>
  <c r="X9" i="41"/>
  <c r="C451" i="55"/>
  <c r="C481" i="55"/>
  <c r="D513" i="55"/>
  <c r="V13" i="54"/>
  <c r="I316" i="57"/>
  <c r="E34" i="55"/>
  <c r="D36" i="45"/>
  <c r="E549" i="55"/>
  <c r="C769" i="55"/>
  <c r="I166" i="57"/>
  <c r="F569" i="55"/>
  <c r="E9" i="54"/>
  <c r="B34" i="45"/>
  <c r="I74" i="57"/>
  <c r="F778" i="55"/>
  <c r="I475" i="57"/>
  <c r="E515" i="55"/>
  <c r="C466" i="55"/>
  <c r="E16" i="55"/>
  <c r="G650" i="55"/>
  <c r="I288" i="57"/>
  <c r="G653" i="55"/>
  <c r="E727" i="55"/>
  <c r="F581" i="55"/>
  <c r="F13" i="41"/>
  <c r="K19" i="54"/>
  <c r="F513" i="55"/>
  <c r="I92" i="57"/>
  <c r="I130" i="57"/>
  <c r="E491" i="55"/>
  <c r="I200" i="57"/>
  <c r="F743" i="55"/>
  <c r="I390" i="57"/>
  <c r="C705" i="55"/>
  <c r="I555" i="57"/>
  <c r="H27" i="45"/>
  <c r="D705" i="55"/>
  <c r="C610" i="55"/>
  <c r="C630" i="55"/>
  <c r="G546" i="55"/>
  <c r="I160" i="57"/>
  <c r="C770" i="55"/>
  <c r="D516" i="55"/>
  <c r="G677" i="55"/>
  <c r="H14" i="41"/>
  <c r="D524" i="55"/>
  <c r="J21" i="54"/>
  <c r="G639" i="55"/>
  <c r="C483" i="55"/>
  <c r="S14" i="54"/>
  <c r="F22" i="45"/>
  <c r="F608" i="55"/>
  <c r="E762" i="55"/>
  <c r="C652" i="55"/>
  <c r="D483" i="55"/>
  <c r="E19" i="54"/>
  <c r="E478" i="55"/>
  <c r="I63" i="57"/>
  <c r="E636" i="55"/>
  <c r="I261" i="57"/>
  <c r="N9" i="54"/>
  <c r="G511" i="55"/>
  <c r="H17" i="41"/>
  <c r="E570" i="55"/>
  <c r="E697" i="55"/>
  <c r="I564" i="57"/>
  <c r="E667" i="55"/>
  <c r="C709" i="55"/>
  <c r="F22" i="41"/>
  <c r="I381" i="57"/>
  <c r="U15" i="54"/>
  <c r="D24" i="45"/>
  <c r="D501" i="55"/>
  <c r="F603" i="55"/>
  <c r="C640" i="55"/>
  <c r="E530" i="55"/>
  <c r="C545" i="55"/>
  <c r="D34" i="55"/>
  <c r="O8" i="54"/>
  <c r="B10" i="45"/>
  <c r="E776" i="55"/>
  <c r="D715" i="55"/>
  <c r="D492" i="55"/>
  <c r="E493" i="55"/>
  <c r="D589" i="55"/>
  <c r="F524" i="55"/>
  <c r="O17" i="54"/>
  <c r="B28" i="44"/>
  <c r="G757" i="55"/>
  <c r="I349" i="57"/>
  <c r="F696" i="55"/>
  <c r="D19" i="54"/>
  <c r="I308" i="57"/>
  <c r="C718" i="55"/>
  <c r="I162" i="57"/>
  <c r="F15" i="54"/>
  <c r="C759" i="55"/>
  <c r="I151" i="57"/>
  <c r="D740" i="55"/>
  <c r="G776" i="55"/>
  <c r="G607" i="55"/>
  <c r="I88" i="57"/>
  <c r="C728" i="55"/>
  <c r="D459" i="55"/>
  <c r="C602" i="55"/>
  <c r="K15" i="41"/>
  <c r="K16" i="41" s="1"/>
  <c r="I232" i="57"/>
  <c r="G470" i="55"/>
  <c r="G744" i="55"/>
  <c r="H34" i="45"/>
  <c r="B14" i="54"/>
  <c r="B17" i="54"/>
  <c r="L11" i="41"/>
  <c r="I156" i="57"/>
  <c r="D646" i="55"/>
  <c r="I528" i="57"/>
  <c r="J19" i="54"/>
  <c r="I411" i="57"/>
  <c r="D724" i="55"/>
  <c r="H21" i="54"/>
  <c r="F514" i="55"/>
  <c r="I171" i="57"/>
  <c r="I326" i="57"/>
  <c r="C763" i="55"/>
  <c r="Q16" i="54"/>
  <c r="G571" i="55"/>
  <c r="G459" i="55"/>
  <c r="C573" i="55"/>
  <c r="I417" i="57"/>
  <c r="D647" i="55"/>
  <c r="D695" i="55"/>
  <c r="C456" i="55"/>
  <c r="I484" i="57"/>
  <c r="F450" i="55"/>
  <c r="D498" i="55"/>
  <c r="D18" i="54"/>
  <c r="D728" i="55"/>
  <c r="I14" i="57"/>
  <c r="F707" i="55"/>
  <c r="D621" i="55"/>
  <c r="D561" i="55"/>
  <c r="G526" i="55"/>
  <c r="T9" i="41"/>
  <c r="G481" i="55"/>
  <c r="E537" i="55"/>
  <c r="F715" i="55"/>
  <c r="I496" i="57"/>
  <c r="D507" i="55"/>
  <c r="I19" i="57"/>
  <c r="G9" i="54"/>
  <c r="C495" i="55"/>
  <c r="I159" i="57"/>
  <c r="E29" i="55"/>
  <c r="G675" i="55"/>
  <c r="I311" i="57"/>
  <c r="I340" i="57"/>
  <c r="I384" i="57"/>
  <c r="C733" i="55"/>
  <c r="I446" i="57"/>
  <c r="D546" i="55"/>
  <c r="I498" i="57"/>
  <c r="C741" i="55"/>
  <c r="F730" i="55"/>
  <c r="C455" i="55"/>
  <c r="F501" i="55"/>
  <c r="F538" i="55"/>
  <c r="C525" i="55"/>
  <c r="C492" i="55"/>
  <c r="C738" i="55"/>
  <c r="E757" i="55"/>
  <c r="I491" i="57"/>
  <c r="D594" i="55"/>
  <c r="D464" i="55"/>
  <c r="E470" i="55"/>
  <c r="G709" i="55"/>
  <c r="C537" i="55"/>
  <c r="G737" i="55"/>
  <c r="D692" i="55"/>
  <c r="H10" i="40"/>
  <c r="D532" i="55"/>
  <c r="I192" i="57"/>
  <c r="E494" i="55"/>
  <c r="G482" i="55"/>
  <c r="C775" i="55"/>
  <c r="F592" i="55"/>
  <c r="T19" i="54"/>
  <c r="G633" i="55"/>
  <c r="E730" i="55"/>
  <c r="D10" i="54"/>
  <c r="J15" i="54"/>
  <c r="B18" i="54"/>
  <c r="D460" i="55"/>
  <c r="C15" i="54"/>
  <c r="I464" i="57"/>
  <c r="I493" i="57"/>
  <c r="I68" i="57"/>
  <c r="E702" i="55"/>
  <c r="C671" i="55"/>
  <c r="D543" i="55"/>
  <c r="C32" i="55"/>
  <c r="C580" i="55"/>
  <c r="S11" i="54"/>
  <c r="I229" i="57"/>
  <c r="L9" i="41"/>
  <c r="I322" i="57"/>
  <c r="B8" i="44"/>
  <c r="F638" i="55"/>
  <c r="D590" i="55"/>
  <c r="F12" i="55"/>
  <c r="F616" i="55"/>
  <c r="I487" i="57"/>
  <c r="D14" i="55"/>
  <c r="H14" i="55" s="1"/>
  <c r="C518" i="55"/>
  <c r="E703" i="55"/>
  <c r="I478" i="57"/>
  <c r="F449" i="55"/>
  <c r="E618" i="55"/>
  <c r="G12" i="54"/>
  <c r="G559" i="55"/>
  <c r="F670" i="55"/>
  <c r="I373" i="57"/>
  <c r="I551" i="57"/>
  <c r="F712" i="55"/>
  <c r="I97" i="57"/>
  <c r="C687" i="55"/>
  <c r="C675" i="55"/>
  <c r="D609" i="55"/>
  <c r="E24" i="55"/>
  <c r="C633" i="55"/>
  <c r="N16" i="41"/>
  <c r="C592" i="55"/>
  <c r="N14" i="54"/>
  <c r="I134" i="57"/>
  <c r="H20" i="54"/>
  <c r="I489" i="57"/>
  <c r="C519" i="55"/>
  <c r="F645" i="55"/>
  <c r="C650" i="55"/>
  <c r="F19" i="55"/>
  <c r="P16" i="54"/>
  <c r="D18" i="55"/>
  <c r="H18" i="55" s="1"/>
  <c r="C560" i="55"/>
  <c r="F631" i="55"/>
  <c r="D32" i="45"/>
  <c r="M15" i="54"/>
  <c r="P10" i="54"/>
  <c r="F665" i="55"/>
  <c r="F686" i="55"/>
  <c r="F766" i="55"/>
  <c r="T17" i="54"/>
  <c r="D12" i="41"/>
  <c r="D13" i="41" s="1"/>
  <c r="G20" i="54"/>
  <c r="I374" i="57"/>
  <c r="D763" i="55"/>
  <c r="E571" i="55"/>
  <c r="I29" i="57"/>
  <c r="E517" i="55"/>
  <c r="F512" i="55"/>
  <c r="I450" i="57"/>
  <c r="D20" i="55"/>
  <c r="H20" i="55" s="1"/>
  <c r="P15" i="54"/>
  <c r="F27" i="55"/>
  <c r="D30" i="45"/>
  <c r="E445" i="55"/>
  <c r="F539" i="55"/>
  <c r="D569" i="55"/>
  <c r="F734" i="55"/>
  <c r="D746" i="55"/>
  <c r="D723" i="55"/>
  <c r="E665" i="55"/>
  <c r="I335" i="57"/>
  <c r="E21" i="55"/>
  <c r="E26" i="55"/>
  <c r="S15" i="41"/>
  <c r="S16" i="41" s="1"/>
  <c r="I136" i="57"/>
  <c r="D776" i="55"/>
  <c r="G461" i="55"/>
  <c r="F456" i="55"/>
  <c r="H16" i="54"/>
  <c r="D702" i="55"/>
  <c r="B34" i="44"/>
  <c r="G708" i="55"/>
  <c r="D615" i="55"/>
  <c r="I532" i="57"/>
  <c r="C22" i="41"/>
  <c r="C10" i="54"/>
  <c r="I321" i="57"/>
  <c r="D709" i="55"/>
  <c r="F678" i="55"/>
  <c r="D577" i="55"/>
  <c r="D579" i="55"/>
  <c r="F26" i="55"/>
  <c r="E712" i="55"/>
  <c r="E593" i="55"/>
  <c r="AB9" i="41"/>
  <c r="F506" i="55"/>
  <c r="C516" i="55"/>
  <c r="E710" i="55"/>
  <c r="Q14" i="54"/>
  <c r="E664" i="55"/>
  <c r="I168" i="57"/>
  <c r="G538" i="55"/>
  <c r="C493" i="55"/>
  <c r="V10" i="41"/>
  <c r="E679" i="55"/>
  <c r="S13" i="54"/>
  <c r="B15" i="45"/>
  <c r="E736" i="55"/>
  <c r="E12" i="41"/>
  <c r="O15" i="41"/>
  <c r="O16" i="41" s="1"/>
  <c r="C672" i="55"/>
  <c r="I189" i="57"/>
  <c r="G550" i="55"/>
  <c r="I544" i="57"/>
  <c r="F522" i="55"/>
  <c r="G587" i="55"/>
  <c r="F615" i="55"/>
  <c r="I542" i="57"/>
  <c r="J18" i="54"/>
  <c r="D578" i="55"/>
  <c r="C14" i="54"/>
  <c r="G525" i="55"/>
  <c r="B9" i="54"/>
  <c r="I492" i="57"/>
  <c r="G731" i="55"/>
  <c r="F490" i="55"/>
  <c r="J22" i="41"/>
  <c r="D625" i="55"/>
  <c r="G12" i="41"/>
  <c r="G13" i="41" s="1"/>
  <c r="F475" i="55"/>
  <c r="B50" i="44"/>
  <c r="I548" i="57"/>
  <c r="I298" i="57"/>
  <c r="E635" i="55"/>
  <c r="H15" i="45"/>
  <c r="E738" i="55"/>
  <c r="B30" i="45"/>
  <c r="I47" i="57"/>
  <c r="I169" i="57"/>
  <c r="G694" i="55"/>
  <c r="B44" i="44"/>
  <c r="G672" i="55"/>
  <c r="I575" i="57"/>
  <c r="I299" i="57"/>
  <c r="D38" i="45"/>
  <c r="D24" i="55"/>
  <c r="I394" i="57"/>
  <c r="E725" i="55"/>
  <c r="E744" i="55"/>
  <c r="F664" i="55"/>
  <c r="G665" i="55"/>
  <c r="F521" i="55"/>
  <c r="S19" i="54"/>
  <c r="M16" i="54"/>
  <c r="I562" i="57"/>
  <c r="D550" i="55"/>
  <c r="I462" i="57"/>
  <c r="F460" i="55"/>
  <c r="F718" i="55"/>
  <c r="C697" i="55"/>
  <c r="L17" i="41"/>
  <c r="K14" i="54"/>
  <c r="M18" i="54"/>
  <c r="E479" i="55"/>
  <c r="E739" i="55"/>
  <c r="E508" i="55"/>
  <c r="I436" i="57"/>
  <c r="I223" i="57"/>
  <c r="G663" i="55"/>
  <c r="C514" i="55"/>
  <c r="B13" i="45"/>
  <c r="C484" i="55"/>
  <c r="O12" i="54"/>
  <c r="C679" i="55"/>
  <c r="I249" i="57"/>
  <c r="D682" i="55"/>
  <c r="D703" i="55"/>
  <c r="C450" i="55"/>
  <c r="I15" i="54"/>
  <c r="G544" i="55"/>
  <c r="G8" i="54"/>
  <c r="F498" i="55"/>
  <c r="N10" i="41"/>
  <c r="C645" i="55"/>
  <c r="C747" i="55"/>
  <c r="G622" i="55"/>
  <c r="W12" i="41"/>
  <c r="W13" i="41" s="1"/>
  <c r="C676" i="55"/>
  <c r="I510" i="57"/>
  <c r="E18" i="41"/>
  <c r="F725" i="55"/>
  <c r="C773" i="55"/>
  <c r="E765" i="55"/>
  <c r="K12" i="41"/>
  <c r="K13" i="41" s="1"/>
  <c r="C723" i="55"/>
  <c r="H42" i="45"/>
  <c r="D730" i="55"/>
  <c r="I24" i="57"/>
  <c r="AA15" i="41"/>
  <c r="AA16" i="41" s="1"/>
  <c r="E559" i="55"/>
  <c r="I317" i="57"/>
  <c r="I148" i="57"/>
  <c r="I490" i="57"/>
  <c r="E557" i="55"/>
  <c r="I458" i="57"/>
  <c r="D485" i="55"/>
  <c r="D641" i="55"/>
  <c r="C464" i="55"/>
  <c r="I218" i="57"/>
  <c r="C13" i="41"/>
  <c r="D677" i="55"/>
  <c r="R17" i="54"/>
  <c r="E671" i="55"/>
  <c r="G9" i="41"/>
  <c r="G10" i="41" s="1"/>
  <c r="E11" i="54"/>
  <c r="G446" i="55"/>
  <c r="C636" i="55"/>
  <c r="G616" i="55"/>
  <c r="C772" i="55"/>
  <c r="E14" i="55"/>
  <c r="G593" i="55"/>
  <c r="C571" i="55"/>
  <c r="F749" i="55"/>
  <c r="I57" i="57"/>
  <c r="L20" i="54"/>
  <c r="D662" i="55"/>
  <c r="B33" i="45"/>
  <c r="I442" i="57"/>
  <c r="Q15" i="54"/>
  <c r="F29" i="45"/>
  <c r="G756" i="55"/>
  <c r="C703" i="55"/>
  <c r="AA18" i="41"/>
  <c r="AA19" i="41" s="1"/>
  <c r="C767" i="55"/>
  <c r="I61" i="57"/>
  <c r="C581" i="55"/>
  <c r="X21" i="41"/>
  <c r="I530" i="57"/>
  <c r="C766" i="55"/>
  <c r="U18" i="54"/>
  <c r="F679" i="55"/>
  <c r="I90" i="57"/>
  <c r="I193" i="57"/>
  <c r="E28" i="55"/>
  <c r="D514" i="55"/>
  <c r="I389" i="57"/>
  <c r="F583" i="55"/>
  <c r="I314" i="57"/>
  <c r="H12" i="54"/>
  <c r="I565" i="57"/>
  <c r="I170" i="57"/>
  <c r="N21" i="54"/>
  <c r="F28" i="45"/>
  <c r="I107" i="57"/>
  <c r="C487" i="55"/>
  <c r="C34" i="55"/>
  <c r="F571" i="55"/>
  <c r="D558" i="55"/>
  <c r="W9" i="41"/>
  <c r="W10" i="41" s="1"/>
  <c r="D512" i="55"/>
  <c r="F509" i="55"/>
  <c r="G736" i="55"/>
  <c r="G568" i="55"/>
  <c r="C575" i="55"/>
  <c r="I368" i="57"/>
  <c r="E18" i="54"/>
  <c r="M17" i="54"/>
  <c r="D9" i="41"/>
  <c r="D10" i="41" s="1"/>
  <c r="I182" i="57"/>
  <c r="G10" i="55"/>
  <c r="AB18" i="41"/>
  <c r="G31" i="55"/>
  <c r="I228" i="57"/>
  <c r="F464" i="55"/>
  <c r="G735" i="55"/>
  <c r="L21" i="41"/>
  <c r="C677" i="55"/>
  <c r="O9" i="41"/>
  <c r="O10" i="41" s="1"/>
  <c r="I568" i="57"/>
  <c r="K21" i="54"/>
  <c r="C29" i="55"/>
  <c r="E485" i="55"/>
  <c r="C731" i="55"/>
  <c r="D570" i="55"/>
  <c r="C734" i="55"/>
  <c r="I382" i="57"/>
  <c r="D475" i="55"/>
  <c r="E562" i="55"/>
  <c r="E713" i="55"/>
  <c r="C544" i="55"/>
  <c r="I303" i="57"/>
  <c r="I194" i="57"/>
  <c r="G758" i="55"/>
  <c r="U13" i="54"/>
  <c r="E699" i="55"/>
  <c r="M8" i="54"/>
  <c r="C609" i="55"/>
  <c r="D21" i="55"/>
  <c r="H21" i="55" s="1"/>
  <c r="P14" i="54"/>
  <c r="I16" i="57"/>
  <c r="C685" i="55"/>
  <c r="D9" i="55"/>
  <c r="H9" i="55" s="1"/>
  <c r="F32" i="55"/>
  <c r="I225" i="57"/>
  <c r="C457" i="55"/>
  <c r="B31" i="45"/>
  <c r="F13" i="55"/>
  <c r="C508" i="55"/>
  <c r="D552" i="55"/>
  <c r="F526" i="55"/>
  <c r="D737" i="55"/>
  <c r="G707" i="55"/>
  <c r="I595" i="57"/>
  <c r="E581" i="55"/>
  <c r="G483" i="55"/>
  <c r="I173" i="57"/>
  <c r="L18" i="41"/>
  <c r="I396" i="57"/>
  <c r="E561" i="55"/>
  <c r="I153" i="57"/>
  <c r="G582" i="55"/>
  <c r="I265" i="57"/>
  <c r="C488" i="55"/>
  <c r="C727" i="55"/>
  <c r="I439" i="57"/>
  <c r="I383" i="57"/>
  <c r="E15" i="54"/>
  <c r="F458" i="55"/>
  <c r="P21" i="54"/>
  <c r="G480" i="55"/>
  <c r="D15" i="41"/>
  <c r="D16" i="41" s="1"/>
  <c r="I141" i="57"/>
  <c r="F630" i="55"/>
  <c r="F21" i="55"/>
  <c r="G527" i="55"/>
  <c r="C20" i="54"/>
  <c r="C588" i="55"/>
  <c r="F519" i="55"/>
  <c r="F34" i="45"/>
  <c r="C454" i="55"/>
  <c r="I177" i="57"/>
  <c r="G705" i="55"/>
  <c r="I241" i="57"/>
  <c r="E548" i="55"/>
  <c r="E466" i="55"/>
  <c r="I96" i="57"/>
  <c r="F762" i="55"/>
  <c r="I515" i="57"/>
  <c r="G547" i="55"/>
  <c r="F655" i="55"/>
  <c r="E775" i="55"/>
  <c r="G551" i="55"/>
  <c r="D450" i="55"/>
  <c r="D648" i="55"/>
  <c r="C725" i="55"/>
  <c r="E716" i="55"/>
  <c r="I89" i="57"/>
  <c r="E519" i="55"/>
  <c r="C622" i="55"/>
  <c r="C621" i="55"/>
  <c r="N12" i="54"/>
  <c r="C746" i="55"/>
  <c r="I281" i="57"/>
  <c r="P17" i="54"/>
  <c r="I58" i="57"/>
  <c r="I209" i="57"/>
  <c r="D707" i="55"/>
  <c r="G704" i="55"/>
  <c r="D554" i="55"/>
  <c r="I586" i="57"/>
  <c r="G780" i="55"/>
  <c r="L10" i="54"/>
  <c r="F27" i="45"/>
  <c r="I77" i="57"/>
  <c r="C577" i="55"/>
  <c r="C631" i="55"/>
  <c r="E552" i="55"/>
  <c r="D698" i="55"/>
  <c r="I477" i="57"/>
  <c r="F542" i="55"/>
  <c r="G764" i="55"/>
  <c r="D455" i="55"/>
  <c r="F676" i="55"/>
  <c r="T18" i="41"/>
  <c r="I137" i="57"/>
  <c r="F656" i="55"/>
  <c r="D650" i="55"/>
  <c r="D631" i="55"/>
  <c r="D21" i="45"/>
  <c r="F508" i="55"/>
  <c r="I529" i="57"/>
  <c r="F739" i="55"/>
  <c r="E759" i="55"/>
  <c r="I507" i="57"/>
  <c r="I245" i="57"/>
  <c r="T8" i="54"/>
  <c r="C550" i="55"/>
  <c r="V19" i="54"/>
  <c r="G522" i="55"/>
  <c r="I302" i="57"/>
  <c r="C644" i="55"/>
  <c r="I23" i="57"/>
  <c r="G585" i="55"/>
  <c r="I364" i="57"/>
  <c r="V16" i="41"/>
  <c r="H13" i="52"/>
  <c r="E600" i="55"/>
  <c r="G34" i="55"/>
  <c r="C774" i="55"/>
  <c r="G664" i="55"/>
  <c r="F462" i="55"/>
  <c r="L21" i="54"/>
  <c r="E575" i="55"/>
  <c r="E638" i="55"/>
  <c r="J11" i="54"/>
  <c r="C584" i="55"/>
  <c r="I253" i="57"/>
  <c r="F731" i="55"/>
  <c r="G495" i="55"/>
  <c r="I415" i="57"/>
  <c r="AA9" i="41"/>
  <c r="AA10" i="41" s="1"/>
  <c r="I128" i="57"/>
  <c r="I486" i="57"/>
  <c r="F767" i="55"/>
  <c r="G716" i="55"/>
  <c r="F773" i="55"/>
  <c r="F620" i="55"/>
  <c r="I385" i="57"/>
  <c r="G10" i="54"/>
  <c r="D618" i="55"/>
  <c r="I292" i="57"/>
  <c r="S12" i="41"/>
  <c r="S13" i="41" s="1"/>
  <c r="X11" i="41"/>
  <c r="F444" i="55"/>
  <c r="I592" i="57"/>
  <c r="E687" i="55"/>
  <c r="I243" i="57"/>
  <c r="G652" i="55"/>
  <c r="C446" i="55"/>
  <c r="C643" i="55"/>
  <c r="I441" i="57"/>
  <c r="G540" i="55"/>
  <c r="G594" i="55"/>
  <c r="G754" i="55"/>
  <c r="D758" i="55"/>
  <c r="G631" i="55"/>
  <c r="G515" i="55"/>
  <c r="D742" i="55"/>
  <c r="D643" i="55"/>
  <c r="C670" i="55"/>
  <c r="G635" i="55"/>
  <c r="G18" i="54"/>
  <c r="E723" i="55"/>
  <c r="F702" i="55"/>
  <c r="G739" i="55"/>
  <c r="F18" i="54"/>
  <c r="G554" i="55"/>
  <c r="F551" i="55"/>
  <c r="I466" i="57"/>
  <c r="G661" i="55"/>
  <c r="I108" i="57"/>
  <c r="C757" i="55"/>
  <c r="G636" i="55"/>
  <c r="F16" i="55"/>
  <c r="E707" i="55"/>
  <c r="I457" i="57"/>
  <c r="C591" i="55"/>
  <c r="E11" i="55"/>
  <c r="E15" i="41"/>
  <c r="E452" i="55"/>
  <c r="I45" i="57"/>
  <c r="G681" i="55"/>
  <c r="F35" i="45"/>
  <c r="E544" i="55"/>
  <c r="F16" i="45"/>
  <c r="D711" i="55"/>
  <c r="E23" i="55"/>
  <c r="G570" i="55"/>
  <c r="G449" i="55"/>
  <c r="E10" i="55"/>
  <c r="F588" i="55"/>
  <c r="G488" i="55"/>
  <c r="E16" i="54"/>
  <c r="C686" i="55"/>
  <c r="F36" i="55"/>
  <c r="I556" i="57"/>
  <c r="E448" i="55"/>
  <c r="F708" i="55"/>
  <c r="I469" i="57"/>
  <c r="P18" i="54"/>
  <c r="I362" i="57"/>
  <c r="G15" i="54"/>
  <c r="B15" i="54"/>
  <c r="I205" i="57"/>
  <c r="C743" i="55"/>
  <c r="G572" i="55"/>
  <c r="D540" i="55"/>
  <c r="C594" i="55"/>
  <c r="I404" i="57"/>
  <c r="E673" i="55"/>
  <c r="I80" i="57"/>
  <c r="I187" i="57"/>
  <c r="E521" i="55"/>
  <c r="E15" i="55"/>
  <c r="G683" i="55"/>
  <c r="D726" i="55"/>
  <c r="I419" i="57"/>
  <c r="D563" i="55"/>
  <c r="I10" i="40"/>
  <c r="I388" i="57"/>
  <c r="I201" i="57"/>
  <c r="E768" i="55"/>
  <c r="F610" i="55"/>
  <c r="F606" i="55"/>
  <c r="F684" i="55"/>
  <c r="I538" i="57"/>
  <c r="F695" i="55"/>
  <c r="AB20" i="41"/>
  <c r="D773" i="55"/>
  <c r="I150" i="57"/>
  <c r="D632" i="55"/>
  <c r="D701" i="55"/>
  <c r="C500" i="55"/>
  <c r="I252" i="57"/>
  <c r="F641" i="55"/>
  <c r="G500" i="55"/>
  <c r="I391" i="57"/>
  <c r="E678" i="55"/>
  <c r="R12" i="54"/>
  <c r="S18" i="41"/>
  <c r="S19" i="41" s="1"/>
  <c r="G458" i="55"/>
  <c r="F666" i="55"/>
  <c r="E645" i="55"/>
  <c r="F570" i="55"/>
  <c r="G624" i="55"/>
  <c r="D768" i="55"/>
  <c r="F495" i="55"/>
  <c r="F697" i="55"/>
  <c r="C27" i="55"/>
  <c r="G592" i="55"/>
  <c r="I163" i="57"/>
  <c r="I52" i="57"/>
  <c r="F558" i="55"/>
  <c r="E514" i="55"/>
  <c r="I596" i="57"/>
  <c r="I485" i="57"/>
  <c r="B20" i="44"/>
  <c r="E755" i="55"/>
  <c r="I427" i="57"/>
  <c r="E532" i="55"/>
  <c r="I519" i="57"/>
  <c r="H18" i="41"/>
  <c r="E726" i="55"/>
  <c r="H37" i="45"/>
  <c r="C478" i="55"/>
  <c r="C33" i="55"/>
  <c r="F646" i="55"/>
  <c r="D679" i="55"/>
  <c r="C724" i="55"/>
  <c r="F454" i="55"/>
  <c r="C708" i="55"/>
  <c r="C745" i="55"/>
  <c r="P8" i="54"/>
  <c r="E585" i="55"/>
  <c r="F587" i="55"/>
  <c r="L17" i="54"/>
  <c r="G611" i="55"/>
  <c r="F457" i="55"/>
  <c r="D16" i="55"/>
  <c r="H16" i="55" s="1"/>
  <c r="I143" i="57"/>
  <c r="E731" i="55"/>
  <c r="V22" i="41"/>
  <c r="D634" i="55"/>
  <c r="D481" i="55"/>
  <c r="E748" i="55"/>
  <c r="I101" i="57"/>
  <c r="I397" i="57"/>
  <c r="I456" i="57"/>
  <c r="I94" i="57"/>
  <c r="R20" i="54"/>
  <c r="D469" i="55"/>
  <c r="C776" i="55"/>
  <c r="I33" i="57"/>
  <c r="I593" i="57"/>
  <c r="V9" i="54"/>
  <c r="C461" i="55"/>
  <c r="I598" i="57"/>
  <c r="F10" i="40"/>
  <c r="I184" i="57"/>
  <c r="E527" i="55"/>
  <c r="C491" i="55"/>
  <c r="G604" i="55"/>
  <c r="I585" i="57"/>
  <c r="E453" i="55"/>
  <c r="G745" i="55"/>
  <c r="X14" i="41"/>
  <c r="C579" i="55"/>
  <c r="D717" i="55"/>
  <c r="G15" i="41"/>
  <c r="G16" i="41" s="1"/>
  <c r="C695" i="55"/>
  <c r="D21" i="54"/>
  <c r="F552" i="55"/>
  <c r="D11" i="54"/>
  <c r="C553" i="55"/>
  <c r="D664" i="55"/>
  <c r="C648" i="55"/>
  <c r="C619" i="55"/>
  <c r="E495" i="55"/>
  <c r="I500" i="57"/>
  <c r="I518" i="57"/>
  <c r="I403" i="57"/>
  <c r="F559" i="55"/>
  <c r="E454" i="55"/>
  <c r="B25" i="44"/>
  <c r="G651" i="55"/>
  <c r="D653" i="55"/>
  <c r="C649" i="55"/>
  <c r="I126" i="57"/>
  <c r="C635" i="55"/>
  <c r="C30" i="55"/>
  <c r="C713" i="55"/>
  <c r="F459" i="55"/>
  <c r="I139" i="57"/>
  <c r="G621" i="55"/>
  <c r="F572" i="55"/>
  <c r="E528" i="55"/>
  <c r="E21" i="54"/>
  <c r="F24" i="45"/>
  <c r="I481" i="57"/>
  <c r="I35" i="57"/>
  <c r="V20" i="54"/>
  <c r="I51" i="57"/>
  <c r="E496" i="55"/>
  <c r="I42" i="57"/>
  <c r="I343" i="57"/>
  <c r="D451" i="55"/>
  <c r="F779" i="55"/>
  <c r="C468" i="55"/>
  <c r="D712" i="55"/>
  <c r="E607" i="55"/>
  <c r="G12" i="55"/>
  <c r="I367" i="57"/>
  <c r="I60" i="57"/>
  <c r="F586" i="55"/>
  <c r="I547" i="57"/>
  <c r="D603" i="55"/>
  <c r="E613" i="55"/>
  <c r="S21" i="54"/>
  <c r="E684" i="55"/>
  <c r="C684" i="55"/>
  <c r="G644" i="55"/>
  <c r="G445" i="55"/>
  <c r="B40" i="44"/>
  <c r="G600" i="55"/>
  <c r="G450" i="55"/>
  <c r="Q18" i="54"/>
  <c r="F33" i="55"/>
  <c r="E459" i="55"/>
  <c r="G662" i="55"/>
  <c r="I346" i="57"/>
  <c r="G545" i="55"/>
  <c r="I190" i="57"/>
  <c r="D20" i="54"/>
  <c r="I164" i="57"/>
  <c r="C762" i="55"/>
  <c r="D465" i="55"/>
  <c r="N17" i="54"/>
  <c r="O13" i="54"/>
  <c r="F632" i="55"/>
  <c r="G528" i="55"/>
  <c r="C17" i="54"/>
  <c r="C589" i="55"/>
  <c r="E522" i="55"/>
  <c r="C642" i="55"/>
  <c r="H21" i="45"/>
  <c r="W18" i="41"/>
  <c r="W19" i="41" s="1"/>
  <c r="F37" i="45"/>
  <c r="I531" i="57"/>
  <c r="B16" i="54"/>
  <c r="C607" i="55"/>
  <c r="E619" i="55"/>
  <c r="F681" i="55"/>
  <c r="G643" i="55"/>
  <c r="I320" i="57"/>
  <c r="F746" i="55"/>
  <c r="G466" i="55"/>
  <c r="I120" i="57"/>
  <c r="I573" i="57"/>
  <c r="F775" i="55"/>
  <c r="G514" i="55"/>
  <c r="T8" i="41"/>
  <c r="V13" i="41"/>
  <c r="C541" i="55"/>
  <c r="D444" i="55"/>
  <c r="F765" i="55"/>
  <c r="G490" i="55"/>
  <c r="K20" i="54"/>
  <c r="T12" i="41"/>
  <c r="C735" i="55"/>
  <c r="G777" i="55"/>
  <c r="F622" i="55"/>
  <c r="G695" i="55"/>
  <c r="E577" i="55"/>
  <c r="F649" i="55"/>
  <c r="I259" i="57"/>
  <c r="I401" i="57"/>
  <c r="E647" i="55"/>
  <c r="E594" i="55"/>
  <c r="E513" i="55"/>
  <c r="E599" i="55"/>
  <c r="G497" i="55"/>
  <c r="J16" i="41"/>
  <c r="F618" i="55"/>
  <c r="F546" i="55"/>
  <c r="D8" i="54"/>
  <c r="F9" i="55"/>
  <c r="G640" i="55"/>
  <c r="G517" i="55"/>
  <c r="N16" i="54"/>
  <c r="I82" i="57"/>
  <c r="AB8" i="41"/>
  <c r="I135" i="57"/>
  <c r="E603" i="55"/>
  <c r="D771" i="55"/>
  <c r="I112" i="57"/>
  <c r="C578" i="55"/>
  <c r="C507" i="55"/>
  <c r="G460" i="55"/>
  <c r="I448" i="57"/>
  <c r="B10" i="54"/>
  <c r="I523" i="57"/>
  <c r="C520" i="55"/>
  <c r="D26" i="55"/>
  <c r="F643" i="55"/>
  <c r="I377" i="57"/>
  <c r="G618" i="55"/>
  <c r="H12" i="41"/>
  <c r="F465" i="55"/>
  <c r="I305" i="57"/>
  <c r="I506" i="57"/>
  <c r="G29" i="55"/>
  <c r="F557" i="55"/>
  <c r="E696" i="55"/>
  <c r="E477" i="55"/>
  <c r="M14" i="54"/>
  <c r="H12" i="45"/>
  <c r="I20" i="54"/>
  <c r="C682" i="55"/>
  <c r="I428" i="57"/>
  <c r="I426" i="57"/>
  <c r="C637" i="55"/>
  <c r="F520" i="55"/>
  <c r="E633" i="55"/>
  <c r="B23" i="45"/>
  <c r="F755" i="55"/>
  <c r="D761" i="55"/>
  <c r="I257" i="57"/>
  <c r="G763" i="55"/>
  <c r="N13" i="41"/>
  <c r="D700" i="55"/>
  <c r="I356" i="57"/>
  <c r="C551" i="55"/>
  <c r="F759" i="55"/>
  <c r="G468" i="55"/>
  <c r="O19" i="54"/>
  <c r="T15" i="54"/>
  <c r="G765" i="55"/>
  <c r="G725" i="55"/>
  <c r="F611" i="55"/>
  <c r="I315" i="57"/>
  <c r="R13" i="54"/>
  <c r="G614" i="55"/>
  <c r="I312" i="57"/>
  <c r="G18" i="41"/>
  <c r="G19" i="41" s="1"/>
  <c r="P13" i="54"/>
  <c r="I352" i="57"/>
  <c r="D637" i="55"/>
  <c r="F476" i="55"/>
  <c r="E634" i="55"/>
  <c r="C462" i="55"/>
  <c r="D616" i="55"/>
  <c r="F703" i="55"/>
  <c r="I502" i="57"/>
  <c r="G489" i="55"/>
  <c r="F560" i="55"/>
  <c r="C23" i="55"/>
  <c r="B11" i="54"/>
  <c r="L15" i="41"/>
  <c r="I517" i="57"/>
  <c r="B21" i="44"/>
  <c r="C517" i="55"/>
  <c r="I577" i="57"/>
  <c r="V19" i="41"/>
  <c r="I599" i="57"/>
  <c r="I10" i="57"/>
  <c r="E668" i="55"/>
  <c r="C646" i="55"/>
  <c r="I207" i="57"/>
  <c r="I578" i="57"/>
  <c r="F589" i="55"/>
  <c r="G610" i="55"/>
  <c r="G541" i="55"/>
  <c r="C498" i="55"/>
  <c r="I524" i="57"/>
  <c r="G19" i="55"/>
  <c r="F741" i="55"/>
  <c r="C744" i="55"/>
  <c r="E764" i="55"/>
  <c r="E560" i="55"/>
  <c r="G588" i="55"/>
  <c r="I420" i="57"/>
  <c r="C8" i="52"/>
  <c r="F576" i="55"/>
  <c r="D42" i="45"/>
  <c r="C639" i="55"/>
  <c r="C611" i="55"/>
  <c r="T18" i="54"/>
  <c r="L9" i="54"/>
  <c r="R11" i="54"/>
  <c r="E644" i="55"/>
  <c r="D479" i="55"/>
  <c r="F604" i="55"/>
  <c r="B49" i="44"/>
  <c r="C673" i="55"/>
  <c r="L9" i="40"/>
  <c r="M9" i="40" s="1"/>
  <c r="G539" i="55"/>
  <c r="E19" i="55"/>
  <c r="I306" i="57"/>
  <c r="I110" i="57"/>
  <c r="I9" i="40"/>
  <c r="J9" i="40" s="1"/>
  <c r="F482" i="55"/>
  <c r="D696" i="55"/>
  <c r="I199" i="57"/>
  <c r="H41" i="45"/>
  <c r="G603" i="55"/>
  <c r="F491" i="55"/>
  <c r="G620" i="55"/>
  <c r="F573" i="55"/>
  <c r="I468" i="57"/>
  <c r="G30" i="55"/>
  <c r="F13" i="52"/>
  <c r="C754" i="55"/>
  <c r="L15" i="54"/>
  <c r="D668" i="55"/>
  <c r="E780" i="55"/>
  <c r="F575" i="55"/>
  <c r="F18" i="55"/>
  <c r="I434" i="57"/>
  <c r="D666" i="55"/>
  <c r="D716" i="55"/>
  <c r="X17" i="41"/>
  <c r="G733" i="55"/>
  <c r="C512" i="55"/>
  <c r="I11" i="57"/>
  <c r="I509" i="57"/>
  <c r="D693" i="55"/>
  <c r="C699" i="55"/>
  <c r="I437" i="57"/>
  <c r="E767" i="55"/>
  <c r="H32" i="45"/>
  <c r="I262" i="57"/>
  <c r="I307" i="57"/>
  <c r="I576" i="57"/>
  <c r="D8" i="40"/>
  <c r="O9" i="40"/>
  <c r="P9" i="40" s="1"/>
  <c r="C694" i="55"/>
  <c r="E580" i="55"/>
  <c r="C467" i="55"/>
  <c r="I178" i="57"/>
  <c r="U16" i="54"/>
  <c r="C700" i="55"/>
  <c r="C555" i="55"/>
  <c r="Z19" i="41"/>
  <c r="Z24" i="41" s="1"/>
  <c r="I37" i="57"/>
  <c r="D741" i="55"/>
  <c r="I313" i="57"/>
  <c r="M19" i="54"/>
  <c r="I339" i="57"/>
  <c r="S17" i="54"/>
  <c r="F463" i="55"/>
  <c r="D580" i="55"/>
  <c r="F8" i="52"/>
  <c r="G576" i="55"/>
  <c r="D606" i="55"/>
  <c r="D490" i="55"/>
  <c r="G670" i="55"/>
  <c r="D27" i="45"/>
  <c r="D736" i="55"/>
  <c r="D638" i="55"/>
  <c r="E490" i="55"/>
  <c r="I98" i="57"/>
  <c r="Q12" i="54"/>
  <c r="I222" i="57"/>
  <c r="G637" i="55"/>
  <c r="E476" i="55"/>
  <c r="I145" i="57"/>
  <c r="I66" i="57"/>
  <c r="I521" i="57"/>
  <c r="D636" i="55"/>
  <c r="F507" i="55"/>
  <c r="I91" i="57"/>
  <c r="C12" i="54"/>
  <c r="G779" i="55"/>
  <c r="F550" i="55"/>
  <c r="H10" i="45"/>
  <c r="I310" i="57"/>
  <c r="D538" i="55"/>
  <c r="T14" i="41"/>
  <c r="F723" i="55"/>
  <c r="E484" i="55"/>
  <c r="F540" i="55"/>
  <c r="W21" i="41"/>
  <c r="W22" i="41" s="1"/>
  <c r="D14" i="45"/>
  <c r="D661" i="55"/>
  <c r="G530" i="55"/>
  <c r="F580" i="55"/>
  <c r="D684" i="55"/>
  <c r="D671" i="55"/>
  <c r="D556" i="55"/>
  <c r="I541" i="57"/>
  <c r="I224" i="57"/>
  <c r="C615" i="55"/>
  <c r="G581" i="55"/>
  <c r="I48" i="57"/>
  <c r="C22" i="55"/>
  <c r="G478" i="55"/>
  <c r="D15" i="45"/>
  <c r="D620" i="55"/>
  <c r="C26" i="55"/>
  <c r="F17" i="55"/>
  <c r="E492" i="55"/>
  <c r="E766" i="55"/>
  <c r="G556" i="55"/>
  <c r="E756" i="55"/>
  <c r="C761" i="55"/>
  <c r="G580" i="55"/>
  <c r="U14" i="54"/>
  <c r="F15" i="55"/>
  <c r="I76" i="57"/>
  <c r="D21" i="41"/>
  <c r="D22" i="41" s="1"/>
  <c r="D497" i="55"/>
  <c r="E8" i="41"/>
  <c r="E488" i="55"/>
  <c r="C614" i="55"/>
  <c r="H9" i="54"/>
  <c r="F451" i="55"/>
  <c r="I451" i="57"/>
  <c r="F748" i="55"/>
  <c r="E754" i="55"/>
  <c r="I473" i="57"/>
  <c r="F687" i="55"/>
  <c r="I254" i="57"/>
  <c r="E655" i="55"/>
  <c r="D22" i="55"/>
  <c r="E674" i="55"/>
  <c r="G467" i="55"/>
  <c r="F530" i="55"/>
  <c r="D733" i="55"/>
  <c r="C24" i="55"/>
  <c r="I188" i="57"/>
  <c r="E451" i="55"/>
  <c r="D672" i="55"/>
  <c r="B38" i="44"/>
  <c r="G702" i="55"/>
  <c r="C641" i="55"/>
  <c r="F555" i="55"/>
  <c r="D12" i="55"/>
  <c r="H12" i="55" s="1"/>
  <c r="E734" i="55"/>
  <c r="E758" i="55"/>
  <c r="G669" i="55"/>
  <c r="F527" i="55"/>
  <c r="I421" i="57"/>
  <c r="G465" i="55"/>
  <c r="E17" i="54"/>
  <c r="E692" i="55"/>
  <c r="Z22" i="41"/>
  <c r="D602" i="55"/>
  <c r="D544" i="55"/>
  <c r="G513" i="55"/>
  <c r="E724" i="55"/>
  <c r="E612" i="55"/>
  <c r="I463" i="57"/>
  <c r="K12" i="54"/>
  <c r="E464" i="55"/>
  <c r="B19" i="44"/>
  <c r="G561" i="55"/>
  <c r="D13" i="54"/>
  <c r="C469" i="55"/>
  <c r="D644" i="55"/>
  <c r="D779" i="55"/>
  <c r="I138" i="57"/>
  <c r="C654" i="55"/>
  <c r="I191" i="57"/>
  <c r="D639" i="55"/>
  <c r="D521" i="55"/>
  <c r="E741" i="55"/>
  <c r="F669" i="55"/>
  <c r="F10" i="54"/>
  <c r="Q20" i="54"/>
  <c r="D588" i="55"/>
  <c r="G710" i="55"/>
  <c r="I124" i="57"/>
  <c r="N18" i="54"/>
  <c r="F9" i="54"/>
  <c r="F713" i="55"/>
  <c r="E543" i="55"/>
  <c r="E468" i="55"/>
  <c r="J10" i="54"/>
  <c r="I39" i="57"/>
  <c r="O21" i="41"/>
  <c r="O22" i="41" s="1"/>
  <c r="I513" i="57"/>
  <c r="J9" i="54"/>
  <c r="B8" i="54"/>
  <c r="F677" i="55"/>
  <c r="D13" i="45"/>
  <c r="Q10" i="54"/>
  <c r="D760" i="55"/>
  <c r="C476" i="55"/>
  <c r="O12" i="41"/>
  <c r="O13" i="41" s="1"/>
  <c r="G512" i="55"/>
  <c r="E30" i="55"/>
  <c r="I552" i="57"/>
  <c r="C634" i="55"/>
  <c r="J13" i="54"/>
  <c r="R10" i="54"/>
  <c r="V8" i="54"/>
  <c r="D681" i="55"/>
  <c r="F774" i="55"/>
  <c r="C547" i="55"/>
  <c r="J13" i="41"/>
  <c r="G712" i="55"/>
  <c r="E606" i="55"/>
  <c r="K9" i="41"/>
  <c r="K10" i="41" s="1"/>
  <c r="I113" i="57"/>
  <c r="F11" i="45"/>
  <c r="D484" i="55"/>
  <c r="D10" i="45"/>
  <c r="G759" i="55"/>
  <c r="C523" i="55"/>
  <c r="C499" i="55"/>
  <c r="G569" i="55"/>
  <c r="I44" i="57"/>
  <c r="U21" i="54"/>
  <c r="G454" i="55"/>
  <c r="M8" i="40"/>
  <c r="AB14" i="41"/>
  <c r="G673" i="55"/>
  <c r="I289" i="57"/>
  <c r="F479" i="55"/>
  <c r="I375" i="57"/>
  <c r="I354" i="57"/>
  <c r="E563" i="55"/>
  <c r="I271" i="57"/>
  <c r="E501" i="55"/>
  <c r="D458" i="55"/>
  <c r="F694" i="55"/>
  <c r="G21" i="41"/>
  <c r="G22" i="41" s="1"/>
  <c r="C760" i="55"/>
  <c r="K11" i="54"/>
  <c r="E617" i="55"/>
  <c r="D470" i="55"/>
  <c r="D656" i="55"/>
  <c r="C590" i="55"/>
  <c r="I296" i="57"/>
  <c r="D462" i="55"/>
  <c r="F493" i="55"/>
  <c r="I158" i="57"/>
  <c r="D574" i="55"/>
  <c r="C605" i="55"/>
  <c r="E27" i="55"/>
  <c r="I291" i="57"/>
  <c r="I453" i="57"/>
  <c r="E630" i="55"/>
  <c r="G726" i="55"/>
  <c r="G656" i="55"/>
  <c r="M21" i="54"/>
  <c r="F732" i="55"/>
  <c r="G698" i="55"/>
  <c r="I363" i="57"/>
  <c r="E462" i="55"/>
  <c r="G768" i="55"/>
  <c r="C704" i="55"/>
  <c r="C586" i="55"/>
  <c r="C755" i="55"/>
  <c r="D673" i="55"/>
  <c r="D562" i="55"/>
  <c r="R9" i="54"/>
  <c r="P20" i="54"/>
  <c r="I275" i="57"/>
  <c r="I294" i="57"/>
  <c r="F478" i="55"/>
  <c r="I405" i="57"/>
  <c r="D766" i="55"/>
  <c r="I36" i="57"/>
  <c r="G715" i="55"/>
  <c r="E760" i="55"/>
  <c r="F9" i="40"/>
  <c r="G9" i="40" s="1"/>
  <c r="E778" i="55"/>
  <c r="K21" i="41"/>
  <c r="K22" i="41" s="1"/>
  <c r="H715" i="55" l="1"/>
  <c r="U26" i="40"/>
  <c r="H698" i="55"/>
  <c r="I41" i="45"/>
  <c r="AA23" i="41"/>
  <c r="H540" i="55"/>
  <c r="G35" i="45"/>
  <c r="AB16" i="41"/>
  <c r="H562" i="55"/>
  <c r="H479" i="55"/>
  <c r="H638" i="55"/>
  <c r="H668" i="55"/>
  <c r="H16" i="41"/>
  <c r="H632" i="55"/>
  <c r="H554" i="55"/>
  <c r="H552" i="55"/>
  <c r="Z25" i="41"/>
  <c r="AB10" i="41"/>
  <c r="C8" i="44"/>
  <c r="H490" i="55"/>
  <c r="L13" i="41"/>
  <c r="H601" i="55"/>
  <c r="H681" i="55"/>
  <c r="H484" i="55"/>
  <c r="H696" i="55"/>
  <c r="H458" i="55"/>
  <c r="H716" i="55"/>
  <c r="H651" i="55"/>
  <c r="H556" i="55"/>
  <c r="H569" i="55"/>
  <c r="C44" i="44"/>
  <c r="H672" i="55"/>
  <c r="H513" i="55"/>
  <c r="C38" i="44"/>
  <c r="H712" i="55"/>
  <c r="G28" i="45"/>
  <c r="H758" i="55"/>
  <c r="X13" i="41"/>
  <c r="H763" i="55"/>
  <c r="U14" i="40"/>
  <c r="H740" i="55"/>
  <c r="H779" i="55"/>
  <c r="H663" i="55"/>
  <c r="H684" i="55"/>
  <c r="H459" i="55"/>
  <c r="U22" i="40"/>
  <c r="E27" i="45"/>
  <c r="D25" i="41"/>
  <c r="G11" i="45"/>
  <c r="H455" i="55"/>
  <c r="H497" i="55"/>
  <c r="H511" i="55"/>
  <c r="H729" i="55"/>
  <c r="G8" i="52"/>
  <c r="H742" i="55"/>
  <c r="H680" i="55"/>
  <c r="C33" i="45"/>
  <c r="R8" i="40"/>
  <c r="H606" i="55"/>
  <c r="H618" i="55"/>
  <c r="AA25" i="41"/>
  <c r="E10" i="41"/>
  <c r="AC10" i="41" s="1"/>
  <c r="C31" i="45"/>
  <c r="D8" i="52"/>
  <c r="H625" i="55"/>
  <c r="H463" i="55"/>
  <c r="H543" i="55"/>
  <c r="I21" i="45"/>
  <c r="X19" i="41"/>
  <c r="H701" i="55"/>
  <c r="T16" i="41"/>
  <c r="AB22" i="41"/>
  <c r="H711" i="55"/>
  <c r="H683" i="55"/>
  <c r="H673" i="55"/>
  <c r="H574" i="55"/>
  <c r="H460" i="55"/>
  <c r="H501" i="55"/>
  <c r="AA24" i="41"/>
  <c r="H647" i="55"/>
  <c r="H444" i="55"/>
  <c r="K23" i="41"/>
  <c r="H563" i="55"/>
  <c r="H527" i="55"/>
  <c r="H661" i="55"/>
  <c r="I12" i="45"/>
  <c r="H603" i="55"/>
  <c r="P10" i="41"/>
  <c r="H662" i="55"/>
  <c r="H480" i="55"/>
  <c r="H736" i="55"/>
  <c r="H470" i="55"/>
  <c r="H766" i="55"/>
  <c r="H620" i="55"/>
  <c r="H580" i="55"/>
  <c r="P19" i="41"/>
  <c r="W24" i="41"/>
  <c r="H671" i="55"/>
  <c r="H538" i="55"/>
  <c r="H612" i="55"/>
  <c r="P16" i="41"/>
  <c r="V25" i="41"/>
  <c r="D23" i="41"/>
  <c r="O25" i="41"/>
  <c r="H707" i="55"/>
  <c r="C30" i="45"/>
  <c r="H514" i="55"/>
  <c r="H546" i="55"/>
  <c r="E15" i="45"/>
  <c r="G13" i="52"/>
  <c r="I43" i="45"/>
  <c r="H451" i="55"/>
  <c r="H737" i="55"/>
  <c r="R9" i="40"/>
  <c r="H637" i="55"/>
  <c r="G37" i="45"/>
  <c r="H579" i="55"/>
  <c r="H644" i="55"/>
  <c r="H709" i="55"/>
  <c r="H631" i="55"/>
  <c r="H703" i="55"/>
  <c r="H674" i="55"/>
  <c r="H608" i="55"/>
  <c r="H510" i="55"/>
  <c r="H549" i="55"/>
  <c r="H761" i="55"/>
  <c r="H515" i="55"/>
  <c r="Q9" i="40"/>
  <c r="H678" i="55"/>
  <c r="S9" i="40"/>
  <c r="P22" i="41"/>
  <c r="H575" i="55"/>
  <c r="C23" i="41"/>
  <c r="H483" i="55"/>
  <c r="G40" i="45"/>
  <c r="H682" i="55"/>
  <c r="C25" i="41"/>
  <c r="H609" i="55"/>
  <c r="V23" i="41"/>
  <c r="V24" i="41"/>
  <c r="H462" i="55"/>
  <c r="C23" i="45"/>
  <c r="H636" i="55"/>
  <c r="H775" i="55"/>
  <c r="C34" i="45"/>
  <c r="G36" i="45"/>
  <c r="AB13" i="41"/>
  <c r="H481" i="55"/>
  <c r="H776" i="55"/>
  <c r="H450" i="55"/>
  <c r="S23" i="41"/>
  <c r="H589" i="55"/>
  <c r="H641" i="55"/>
  <c r="H24" i="55"/>
  <c r="H493" i="55"/>
  <c r="H746" i="55"/>
  <c r="H23" i="55"/>
  <c r="H676" i="55"/>
  <c r="L8" i="52"/>
  <c r="G24" i="41"/>
  <c r="H664" i="55"/>
  <c r="H550" i="55"/>
  <c r="H643" i="55"/>
  <c r="I42" i="45"/>
  <c r="H594" i="55"/>
  <c r="H486" i="55"/>
  <c r="H593" i="55"/>
  <c r="H604" i="55"/>
  <c r="H749" i="55"/>
  <c r="H489" i="55"/>
  <c r="E32" i="45"/>
  <c r="H557" i="55"/>
  <c r="U18" i="40"/>
  <c r="H445" i="55"/>
  <c r="H706" i="55"/>
  <c r="I39" i="45"/>
  <c r="H494" i="55"/>
  <c r="H679" i="55"/>
  <c r="T10" i="41"/>
  <c r="U10" i="41" s="1"/>
  <c r="H717" i="55"/>
  <c r="H702" i="55"/>
  <c r="G22" i="45"/>
  <c r="H573" i="55"/>
  <c r="I25" i="45"/>
  <c r="H733" i="55"/>
  <c r="H656" i="55"/>
  <c r="H726" i="55"/>
  <c r="H600" i="55"/>
  <c r="H583" i="55"/>
  <c r="H602" i="55"/>
  <c r="H741" i="55"/>
  <c r="H465" i="55"/>
  <c r="H10" i="41"/>
  <c r="I10" i="41" s="1"/>
  <c r="H760" i="55"/>
  <c r="H447" i="55"/>
  <c r="H512" i="55"/>
  <c r="H485" i="55"/>
  <c r="I14" i="45"/>
  <c r="I26" i="45"/>
  <c r="H639" i="55"/>
  <c r="H666" i="55"/>
  <c r="H616" i="55"/>
  <c r="G24" i="45"/>
  <c r="H524" i="55"/>
  <c r="H622" i="55"/>
  <c r="H576" i="55"/>
  <c r="H773" i="55"/>
  <c r="H558" i="55"/>
  <c r="H692" i="55"/>
  <c r="E29" i="45"/>
  <c r="AC17" i="41"/>
  <c r="AC18" i="41"/>
  <c r="Y21" i="41"/>
  <c r="Y20" i="41"/>
  <c r="O22" i="54"/>
  <c r="E36" i="45"/>
  <c r="H686" i="55"/>
  <c r="I22" i="54"/>
  <c r="H699" i="55"/>
  <c r="H611" i="55"/>
  <c r="H738" i="55"/>
  <c r="H587" i="55"/>
  <c r="I10" i="45"/>
  <c r="H17" i="45"/>
  <c r="U12" i="41"/>
  <c r="U11" i="41"/>
  <c r="E21" i="45"/>
  <c r="H730" i="55"/>
  <c r="H464" i="55"/>
  <c r="H34" i="55"/>
  <c r="H466" i="55"/>
  <c r="H522" i="55"/>
  <c r="H468" i="55"/>
  <c r="U10" i="40"/>
  <c r="I29" i="45"/>
  <c r="G21" i="45"/>
  <c r="T22" i="41"/>
  <c r="C27" i="44"/>
  <c r="D27" i="44"/>
  <c r="H570" i="55"/>
  <c r="C15" i="45"/>
  <c r="H725" i="55"/>
  <c r="H571" i="55"/>
  <c r="G33" i="45"/>
  <c r="Q8" i="40"/>
  <c r="H36" i="55"/>
  <c r="C46" i="44"/>
  <c r="H667" i="55"/>
  <c r="G12" i="45"/>
  <c r="G14" i="45"/>
  <c r="AC21" i="41"/>
  <c r="AC20" i="41"/>
  <c r="H523" i="55"/>
  <c r="C35" i="45"/>
  <c r="C10" i="44"/>
  <c r="H685" i="55"/>
  <c r="N22" i="54"/>
  <c r="H646" i="55"/>
  <c r="E30" i="45"/>
  <c r="H744" i="55"/>
  <c r="C21" i="45"/>
  <c r="H22" i="54"/>
  <c r="C7" i="44"/>
  <c r="D7" i="44"/>
  <c r="J22" i="54"/>
  <c r="H585" i="55"/>
  <c r="I20" i="41"/>
  <c r="I21" i="41"/>
  <c r="I13" i="52"/>
  <c r="I9" i="57"/>
  <c r="N10" i="57"/>
  <c r="O10" i="57" s="1"/>
  <c r="M9" i="57"/>
  <c r="N9" i="57"/>
  <c r="O9" i="57" s="1"/>
  <c r="M10" i="57"/>
  <c r="J23" i="41"/>
  <c r="U20" i="41"/>
  <c r="U21" i="41"/>
  <c r="H619" i="55"/>
  <c r="C37" i="44"/>
  <c r="E37" i="44" s="1"/>
  <c r="D37" i="44"/>
  <c r="U13" i="40"/>
  <c r="G10" i="40"/>
  <c r="H519" i="55"/>
  <c r="G38" i="45"/>
  <c r="C26" i="45"/>
  <c r="C16" i="45"/>
  <c r="H25" i="55"/>
  <c r="C45" i="44"/>
  <c r="D45" i="44"/>
  <c r="G26" i="45"/>
  <c r="C22" i="54"/>
  <c r="E28" i="45"/>
  <c r="D19" i="44"/>
  <c r="B13" i="44"/>
  <c r="C19" i="44"/>
  <c r="I32" i="45"/>
  <c r="H26" i="55"/>
  <c r="H768" i="55"/>
  <c r="H475" i="55"/>
  <c r="N19" i="57"/>
  <c r="M19" i="57"/>
  <c r="I15" i="45"/>
  <c r="H586" i="55"/>
  <c r="H456" i="55"/>
  <c r="I24" i="45"/>
  <c r="H630" i="55"/>
  <c r="C14" i="45"/>
  <c r="H623" i="55"/>
  <c r="P10" i="40"/>
  <c r="U25" i="40"/>
  <c r="H650" i="55"/>
  <c r="M20" i="57"/>
  <c r="N20" i="57"/>
  <c r="E42" i="45"/>
  <c r="C42" i="45"/>
  <c r="N21" i="57"/>
  <c r="M21" i="57"/>
  <c r="U18" i="41"/>
  <c r="U17" i="41"/>
  <c r="H695" i="55"/>
  <c r="H718" i="55"/>
  <c r="I38" i="45"/>
  <c r="H555" i="55"/>
  <c r="C24" i="45"/>
  <c r="H537" i="55"/>
  <c r="G10" i="45"/>
  <c r="F17" i="45"/>
  <c r="H652" i="55"/>
  <c r="L22" i="54"/>
  <c r="I8" i="52"/>
  <c r="L22" i="41"/>
  <c r="L25" i="41" s="1"/>
  <c r="H665" i="55"/>
  <c r="D33" i="44"/>
  <c r="C33" i="44"/>
  <c r="H592" i="55"/>
  <c r="H469" i="55"/>
  <c r="I34" i="45"/>
  <c r="E24" i="45"/>
  <c r="Y8" i="41"/>
  <c r="Y9" i="41"/>
  <c r="H453" i="55"/>
  <c r="H610" i="55"/>
  <c r="H541" i="55"/>
  <c r="H478" i="55"/>
  <c r="H745" i="55"/>
  <c r="H762" i="55"/>
  <c r="G32" i="45"/>
  <c r="H525" i="55"/>
  <c r="H615" i="55"/>
  <c r="I30" i="45"/>
  <c r="H774" i="55"/>
  <c r="H568" i="55"/>
  <c r="H31" i="55"/>
  <c r="H739" i="55"/>
  <c r="H507" i="55"/>
  <c r="H531" i="55"/>
  <c r="H529" i="55"/>
  <c r="D10" i="40"/>
  <c r="U9" i="40"/>
  <c r="H747" i="55"/>
  <c r="H640" i="55"/>
  <c r="H528" i="55"/>
  <c r="I13" i="45"/>
  <c r="H448" i="55"/>
  <c r="E22" i="54"/>
  <c r="H743" i="55"/>
  <c r="H734" i="55"/>
  <c r="E13" i="45"/>
  <c r="G13" i="45"/>
  <c r="G39" i="45"/>
  <c r="D39" i="44"/>
  <c r="C39" i="44"/>
  <c r="W25" i="41"/>
  <c r="C20" i="44"/>
  <c r="B14" i="44"/>
  <c r="P22" i="54"/>
  <c r="C40" i="44"/>
  <c r="H653" i="55"/>
  <c r="G23" i="41"/>
  <c r="H578" i="55"/>
  <c r="N15" i="57"/>
  <c r="M15" i="57"/>
  <c r="C32" i="45"/>
  <c r="H454" i="55"/>
  <c r="H518" i="55"/>
  <c r="H482" i="55"/>
  <c r="P13" i="41"/>
  <c r="G43" i="45"/>
  <c r="C29" i="45"/>
  <c r="H521" i="55"/>
  <c r="D22" i="54"/>
  <c r="K25" i="41"/>
  <c r="B15" i="44"/>
  <c r="D21" i="44"/>
  <c r="C21" i="44"/>
  <c r="H476" i="55"/>
  <c r="I23" i="45"/>
  <c r="Y15" i="41"/>
  <c r="Y14" i="41"/>
  <c r="R22" i="54"/>
  <c r="H457" i="55"/>
  <c r="H496" i="55"/>
  <c r="Y18" i="41"/>
  <c r="Y17" i="41"/>
  <c r="C43" i="44"/>
  <c r="E43" i="44" s="1"/>
  <c r="D43" i="44"/>
  <c r="N18" i="57"/>
  <c r="M18" i="57"/>
  <c r="H759" i="55"/>
  <c r="V22" i="54"/>
  <c r="H677" i="55"/>
  <c r="C13" i="45"/>
  <c r="F25" i="41"/>
  <c r="E22" i="45"/>
  <c r="K24" i="41"/>
  <c r="H500" i="55"/>
  <c r="Y11" i="41"/>
  <c r="Y12" i="41"/>
  <c r="N24" i="41"/>
  <c r="H508" i="55"/>
  <c r="AC11" i="41"/>
  <c r="AC12" i="41"/>
  <c r="H756" i="55"/>
  <c r="L10" i="41"/>
  <c r="M10" i="41" s="1"/>
  <c r="E22" i="41"/>
  <c r="H544" i="55"/>
  <c r="H22" i="55"/>
  <c r="H693" i="55"/>
  <c r="S24" i="41"/>
  <c r="G29" i="45"/>
  <c r="H590" i="55"/>
  <c r="H705" i="55"/>
  <c r="H526" i="55"/>
  <c r="H547" i="55"/>
  <c r="H649" i="55"/>
  <c r="K22" i="54"/>
  <c r="H499" i="55"/>
  <c r="Q10" i="41"/>
  <c r="Q9" i="41"/>
  <c r="Q8" i="41"/>
  <c r="H28" i="55"/>
  <c r="E34" i="45"/>
  <c r="I40" i="45"/>
  <c r="C40" i="45"/>
  <c r="E40" i="45"/>
  <c r="E23" i="45"/>
  <c r="G31" i="45"/>
  <c r="I31" i="45"/>
  <c r="X16" i="41"/>
  <c r="X23" i="41" s="1"/>
  <c r="G34" i="45"/>
  <c r="I27" i="45"/>
  <c r="H29" i="55"/>
  <c r="H731" i="55"/>
  <c r="H545" i="55"/>
  <c r="G25" i="45"/>
  <c r="S25" i="41"/>
  <c r="D24" i="41"/>
  <c r="H655" i="55"/>
  <c r="E10" i="45"/>
  <c r="D17" i="45"/>
  <c r="H588" i="55"/>
  <c r="M15" i="41"/>
  <c r="M14" i="41"/>
  <c r="I37" i="45"/>
  <c r="H648" i="55"/>
  <c r="C50" i="44"/>
  <c r="U8" i="41"/>
  <c r="U9" i="41"/>
  <c r="C28" i="44"/>
  <c r="H642" i="55"/>
  <c r="S22" i="54"/>
  <c r="H520" i="55"/>
  <c r="E39" i="45"/>
  <c r="C39" i="45"/>
  <c r="H735" i="55"/>
  <c r="N16" i="57"/>
  <c r="I16" i="45"/>
  <c r="E33" i="45"/>
  <c r="H530" i="55"/>
  <c r="U15" i="41"/>
  <c r="U14" i="41"/>
  <c r="R25" i="41"/>
  <c r="N25" i="41"/>
  <c r="H710" i="55"/>
  <c r="H765" i="55"/>
  <c r="C24" i="41"/>
  <c r="N17" i="57"/>
  <c r="M17" i="57"/>
  <c r="Q11" i="41"/>
  <c r="Q12" i="41"/>
  <c r="G23" i="45"/>
  <c r="W23" i="41"/>
  <c r="L16" i="41"/>
  <c r="L23" i="41" s="1"/>
  <c r="C32" i="44"/>
  <c r="T13" i="41"/>
  <c r="T23" i="41" s="1"/>
  <c r="H635" i="55"/>
  <c r="H778" i="55"/>
  <c r="H614" i="55"/>
  <c r="I17" i="41"/>
  <c r="I18" i="41"/>
  <c r="M18" i="41"/>
  <c r="M17" i="41"/>
  <c r="M8" i="41"/>
  <c r="M9" i="41"/>
  <c r="E31" i="45"/>
  <c r="C22" i="45"/>
  <c r="N12" i="57"/>
  <c r="O12" i="57" s="1"/>
  <c r="M12" i="57"/>
  <c r="C25" i="45"/>
  <c r="H449" i="55"/>
  <c r="E13" i="41"/>
  <c r="Y13" i="41" s="1"/>
  <c r="H584" i="55"/>
  <c r="B13" i="52"/>
  <c r="D13" i="52"/>
  <c r="E26" i="45"/>
  <c r="I35" i="45"/>
  <c r="E35" i="45"/>
  <c r="H634" i="55"/>
  <c r="AC14" i="41"/>
  <c r="AC15" i="41"/>
  <c r="G25" i="41"/>
  <c r="E14" i="45"/>
  <c r="H771" i="55"/>
  <c r="M22" i="54"/>
  <c r="H532" i="55"/>
  <c r="H561" i="55"/>
  <c r="G15" i="45"/>
  <c r="H517" i="55"/>
  <c r="G30" i="45"/>
  <c r="H633" i="55"/>
  <c r="C9" i="44"/>
  <c r="D9" i="44"/>
  <c r="N13" i="57"/>
  <c r="M13" i="57"/>
  <c r="H767" i="55"/>
  <c r="H769" i="55"/>
  <c r="Q15" i="41"/>
  <c r="Q14" i="41"/>
  <c r="H33" i="55"/>
  <c r="H582" i="55"/>
  <c r="H748" i="55"/>
  <c r="X22" i="41"/>
  <c r="X25" i="41" s="1"/>
  <c r="M11" i="57"/>
  <c r="N11" i="57"/>
  <c r="O11" i="57" s="1"/>
  <c r="G16" i="45"/>
  <c r="E16" i="45"/>
  <c r="H19" i="41"/>
  <c r="H560" i="55"/>
  <c r="H754" i="55"/>
  <c r="T19" i="41"/>
  <c r="C28" i="45"/>
  <c r="H572" i="55"/>
  <c r="H777" i="55"/>
  <c r="H591" i="55"/>
  <c r="R23" i="41"/>
  <c r="I33" i="45"/>
  <c r="H713" i="55"/>
  <c r="N23" i="57"/>
  <c r="M23" i="57"/>
  <c r="H755" i="55"/>
  <c r="H727" i="55"/>
  <c r="E16" i="41"/>
  <c r="U16" i="41" s="1"/>
  <c r="C27" i="45"/>
  <c r="H477" i="55"/>
  <c r="H551" i="55"/>
  <c r="C51" i="44"/>
  <c r="D51" i="44"/>
  <c r="H548" i="55"/>
  <c r="H488" i="55"/>
  <c r="H30" i="55"/>
  <c r="M16" i="57"/>
  <c r="H708" i="55"/>
  <c r="C22" i="44"/>
  <c r="B16" i="44"/>
  <c r="C25" i="44"/>
  <c r="D25" i="44"/>
  <c r="H621" i="55"/>
  <c r="F22" i="54"/>
  <c r="E37" i="45"/>
  <c r="C37" i="45"/>
  <c r="H732" i="55"/>
  <c r="H467" i="55"/>
  <c r="Q22" i="54"/>
  <c r="H675" i="55"/>
  <c r="H714" i="55"/>
  <c r="N24" i="57"/>
  <c r="M24" i="57"/>
  <c r="C11" i="45"/>
  <c r="T22" i="54"/>
  <c r="M21" i="41"/>
  <c r="M20" i="41"/>
  <c r="U17" i="40"/>
  <c r="J10" i="40"/>
  <c r="N8" i="52"/>
  <c r="H452" i="55"/>
  <c r="H772" i="55"/>
  <c r="E19" i="41"/>
  <c r="Q19" i="41" s="1"/>
  <c r="C26" i="44"/>
  <c r="H694" i="55"/>
  <c r="I28" i="45"/>
  <c r="E12" i="45"/>
  <c r="C41" i="45"/>
  <c r="E41" i="45"/>
  <c r="H654" i="55"/>
  <c r="C43" i="45"/>
  <c r="E43" i="45"/>
  <c r="H506" i="55"/>
  <c r="Z23" i="41"/>
  <c r="G41" i="45"/>
  <c r="C38" i="45"/>
  <c r="E38" i="45"/>
  <c r="AC9" i="41"/>
  <c r="AC8" i="41"/>
  <c r="I22" i="45"/>
  <c r="M12" i="41"/>
  <c r="M11" i="41"/>
  <c r="F24" i="41"/>
  <c r="I15" i="41"/>
  <c r="I14" i="41"/>
  <c r="C36" i="45"/>
  <c r="I36" i="45"/>
  <c r="H22" i="41"/>
  <c r="G27" i="45"/>
  <c r="L19" i="41"/>
  <c r="L24" i="41" s="1"/>
  <c r="H728" i="55"/>
  <c r="H492" i="55"/>
  <c r="U22" i="54"/>
  <c r="R24" i="41"/>
  <c r="H446" i="55"/>
  <c r="H32" i="55"/>
  <c r="X10" i="41"/>
  <c r="Y10" i="41" s="1"/>
  <c r="H645" i="55"/>
  <c r="H491" i="55"/>
  <c r="B8" i="52"/>
  <c r="M14" i="57"/>
  <c r="N14" i="57"/>
  <c r="G22" i="54"/>
  <c r="J25" i="41"/>
  <c r="H27" i="55"/>
  <c r="I11" i="45"/>
  <c r="G42" i="45"/>
  <c r="H687" i="55"/>
  <c r="H764" i="55"/>
  <c r="H697" i="55"/>
  <c r="H700" i="55"/>
  <c r="H723" i="55"/>
  <c r="H724" i="55"/>
  <c r="C12" i="45"/>
  <c r="H13" i="41"/>
  <c r="H487" i="55"/>
  <c r="H624" i="55"/>
  <c r="S8" i="40"/>
  <c r="O24" i="41"/>
  <c r="H780" i="55"/>
  <c r="Q18" i="41"/>
  <c r="Q17" i="41"/>
  <c r="H605" i="55"/>
  <c r="E25" i="45"/>
  <c r="E11" i="45"/>
  <c r="C49" i="44"/>
  <c r="D49" i="44"/>
  <c r="H498" i="55"/>
  <c r="H704" i="55"/>
  <c r="U21" i="40"/>
  <c r="M10" i="40"/>
  <c r="I8" i="41"/>
  <c r="I9" i="41"/>
  <c r="H670" i="55"/>
  <c r="H617" i="55"/>
  <c r="H669" i="55"/>
  <c r="B22" i="54"/>
  <c r="O23" i="41"/>
  <c r="H577" i="55"/>
  <c r="N23" i="41"/>
  <c r="C10" i="45"/>
  <c r="B17" i="45"/>
  <c r="H770" i="55"/>
  <c r="C52" i="44"/>
  <c r="H581" i="55"/>
  <c r="J24" i="41"/>
  <c r="H757" i="55"/>
  <c r="F23" i="41"/>
  <c r="H559" i="55"/>
  <c r="C34" i="44"/>
  <c r="C31" i="44"/>
  <c r="D31" i="44"/>
  <c r="H607" i="55"/>
  <c r="H599" i="55"/>
  <c r="I12" i="41"/>
  <c r="I11" i="41"/>
  <c r="H516" i="55"/>
  <c r="H553" i="55"/>
  <c r="N22" i="57"/>
  <c r="M22" i="57"/>
  <c r="H461" i="55"/>
  <c r="H495" i="55"/>
  <c r="AB19" i="41"/>
  <c r="AB24" i="41" s="1"/>
  <c r="H542" i="55"/>
  <c r="H539" i="55"/>
  <c r="H509" i="55"/>
  <c r="Q21" i="41"/>
  <c r="Q20" i="41"/>
  <c r="H613" i="55"/>
  <c r="P24" i="41" l="1"/>
  <c r="E7" i="44"/>
  <c r="X24" i="41"/>
  <c r="R10" i="40"/>
  <c r="M22" i="41"/>
  <c r="AB25" i="41"/>
  <c r="E9" i="44"/>
  <c r="C16" i="44"/>
  <c r="AB23" i="41"/>
  <c r="I13" i="41"/>
  <c r="M13" i="41"/>
  <c r="C17" i="45"/>
  <c r="E49" i="44"/>
  <c r="P25" i="41"/>
  <c r="E45" i="44"/>
  <c r="C14" i="44"/>
  <c r="K23" i="54"/>
  <c r="E25" i="44"/>
  <c r="H25" i="41"/>
  <c r="I16" i="41"/>
  <c r="Q10" i="40"/>
  <c r="S10" i="40"/>
  <c r="R23" i="54"/>
  <c r="Q16" i="41"/>
  <c r="E39" i="44"/>
  <c r="Q23" i="54"/>
  <c r="H24" i="41"/>
  <c r="F23" i="54"/>
  <c r="P23" i="54"/>
  <c r="C23" i="54"/>
  <c r="E23" i="41"/>
  <c r="U23" i="41" s="1"/>
  <c r="E17" i="45"/>
  <c r="AC16" i="41"/>
  <c r="I22" i="41"/>
  <c r="E33" i="44"/>
  <c r="U13" i="41"/>
  <c r="C15" i="44"/>
  <c r="E21" i="44"/>
  <c r="I17" i="45"/>
  <c r="U23" i="54"/>
  <c r="J23" i="54"/>
  <c r="D23" i="54"/>
  <c r="E31" i="44"/>
  <c r="L23" i="54"/>
  <c r="H23" i="54"/>
  <c r="M19" i="41"/>
  <c r="T24" i="41"/>
  <c r="I19" i="41"/>
  <c r="E24" i="41"/>
  <c r="E23" i="54"/>
  <c r="G17" i="45"/>
  <c r="M23" i="54"/>
  <c r="E27" i="44"/>
  <c r="V23" i="54"/>
  <c r="T25" i="41"/>
  <c r="I23" i="54"/>
  <c r="U22" i="41"/>
  <c r="N23" i="54"/>
  <c r="S23" i="54"/>
  <c r="Q22" i="41"/>
  <c r="E25" i="41"/>
  <c r="E51" i="44"/>
  <c r="O23" i="54"/>
  <c r="H23" i="41"/>
  <c r="U19" i="41"/>
  <c r="AC13" i="41"/>
  <c r="Y19" i="41"/>
  <c r="G23" i="54"/>
  <c r="P23" i="41"/>
  <c r="B23" i="54"/>
  <c r="Q13" i="41"/>
  <c r="AC22" i="41"/>
  <c r="Y22" i="41"/>
  <c r="T23" i="54"/>
  <c r="C13" i="44"/>
  <c r="E19" i="44"/>
  <c r="AC19" i="41"/>
  <c r="M16" i="41"/>
  <c r="Y16" i="41"/>
  <c r="I25" i="41" l="1"/>
  <c r="Q23" i="41"/>
  <c r="I23" i="41"/>
  <c r="AC25" i="41"/>
  <c r="Y25" i="41"/>
  <c r="M23" i="41"/>
  <c r="M25" i="41"/>
  <c r="AC23" i="41"/>
  <c r="Y23" i="41"/>
  <c r="Q25" i="41"/>
  <c r="U25" i="41"/>
  <c r="Q24" i="41"/>
  <c r="Y24" i="41"/>
  <c r="U24" i="41"/>
  <c r="M24" i="41"/>
  <c r="AC24" i="41"/>
  <c r="I24" i="4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<sst xmlns="http://schemas.openxmlformats.org/spreadsheetml/2006/main" count="1400" uniqueCount="336">
  <si>
    <t>School Reading and Writing Data</t>
  </si>
  <si>
    <t>Clicking on the links below will open the appropriate sheet(tab) for viewing and clicking back on this "Home" sheet(tab) will cause the opened sheet(tab) to become hidden again.</t>
  </si>
  <si>
    <t>This sheet must be opened in the desktop version of Excel in order for the coding to work to allow the links to open and close the linked tabs.  If you are stuck and unable to access the file through the desktop app, sheets can be unhidden and hidden again manually by right clicking on the "Home" tab at the bottom of the window.</t>
  </si>
  <si>
    <t>Input/View Data</t>
  </si>
  <si>
    <t>Category</t>
  </si>
  <si>
    <t>Worksheet Name</t>
  </si>
  <si>
    <t>Description</t>
  </si>
  <si>
    <t>Reading</t>
  </si>
  <si>
    <t>ELA Reading Data</t>
  </si>
  <si>
    <t>Enter or view individual reading data for  Students in English Language Arts</t>
  </si>
  <si>
    <t>FLA Reading Data</t>
  </si>
  <si>
    <t>Enter or view individual reading data for Students in French Language Arts</t>
  </si>
  <si>
    <t>Writing</t>
  </si>
  <si>
    <t>ELA Writing Data</t>
  </si>
  <si>
    <t>Enter or view individual writing data for  Students in English Language Arts</t>
  </si>
  <si>
    <t>FLA Writing Data</t>
  </si>
  <si>
    <t>Enter or view individual writing data for Students in French Language Arts</t>
  </si>
  <si>
    <t>Reports</t>
  </si>
  <si>
    <t>Reading Report Summary</t>
  </si>
  <si>
    <t>Table and pie chart summary of all of the year's pulls.</t>
  </si>
  <si>
    <t>Reading by Pull</t>
  </si>
  <si>
    <t>Disaggregated data in Table and pie graphs from a specific pull.</t>
  </si>
  <si>
    <t>School Pull Details</t>
  </si>
  <si>
    <t>Performance level counts by grade bands and homeroom.</t>
  </si>
  <si>
    <t>Reading All Pulls Compare</t>
  </si>
  <si>
    <t>Table displaying all data pulls and growth comparisons.</t>
  </si>
  <si>
    <t>Teacher Reading Pull Sheets</t>
  </si>
  <si>
    <t>New Report to generate homeroom sheets to collect reading levels for data pull and return data to teachers.</t>
  </si>
  <si>
    <t>Student and Homeroom Writing</t>
  </si>
  <si>
    <t>Table displaying individual student performance by pull along with homeroom summaries.</t>
  </si>
  <si>
    <t>Meeting Report by Pull</t>
  </si>
  <si>
    <t>Disaggregated simplified summary of performance by data pull.</t>
  </si>
  <si>
    <t>COIL Report by Pull</t>
  </si>
  <si>
    <t>Counts of performance in each category in a table and pie charts.</t>
  </si>
  <si>
    <t>Reading and Writing</t>
  </si>
  <si>
    <t>Student and Homeroom RW</t>
  </si>
  <si>
    <t>Report showing Students Reading and Writing Performance</t>
  </si>
  <si>
    <t>October</t>
  </si>
  <si>
    <t>November</t>
  </si>
  <si>
    <t>January</t>
  </si>
  <si>
    <t>February</t>
  </si>
  <si>
    <t>April</t>
  </si>
  <si>
    <t>May</t>
  </si>
  <si>
    <t>June</t>
  </si>
  <si>
    <t>Student Number</t>
  </si>
  <si>
    <t>Name</t>
  </si>
  <si>
    <t>School</t>
  </si>
  <si>
    <t>HomeRoom</t>
  </si>
  <si>
    <t>Literacy IPP</t>
  </si>
  <si>
    <t>Reading Level June of Previous School Year</t>
  </si>
  <si>
    <t>Min Expectation June of Previous School Year</t>
  </si>
  <si>
    <t>Max Expectation June of Previous School Year</t>
  </si>
  <si>
    <t>Starting Difference</t>
  </si>
  <si>
    <t>Grade</t>
  </si>
  <si>
    <t>Gender</t>
  </si>
  <si>
    <t>Self-Identified as African Descent</t>
  </si>
  <si>
    <t>Self-Identified as Indigenous</t>
  </si>
  <si>
    <t>Current IPP</t>
  </si>
  <si>
    <t>Current Adaptations</t>
  </si>
  <si>
    <t>Current Year</t>
  </si>
  <si>
    <t>Instructional Reading Level - Per 1</t>
  </si>
  <si>
    <t>Min Expectation - Per 1</t>
  </si>
  <si>
    <t>Max Expectation - Per 1</t>
  </si>
  <si>
    <t>Difference - Per 1</t>
  </si>
  <si>
    <t>Change from Prev June - Per 1</t>
  </si>
  <si>
    <t>Instructional Reading Level - Per 2</t>
  </si>
  <si>
    <t>Min Expectation - Per 2</t>
  </si>
  <si>
    <t>Max Expectation - Per 2</t>
  </si>
  <si>
    <t>Difference - Per 2</t>
  </si>
  <si>
    <t>Change from Prev June - Per 2</t>
  </si>
  <si>
    <t>Instructional Reading Level - Per 3</t>
  </si>
  <si>
    <t>Min Expectation - Per 3</t>
  </si>
  <si>
    <t>Max Expectation - Per 3</t>
  </si>
  <si>
    <t>Difference - Per 3</t>
  </si>
  <si>
    <t>Change from Prev June - Per 3</t>
  </si>
  <si>
    <t>Instructional Reading Level - Per 4</t>
  </si>
  <si>
    <t>Min Expectation - Per 4</t>
  </si>
  <si>
    <t>Max Expectation - Per 4</t>
  </si>
  <si>
    <t>Difference - Per 4</t>
  </si>
  <si>
    <t>Change from Prev June - Per 4</t>
  </si>
  <si>
    <t>Instructional Reading Level - Per 5</t>
  </si>
  <si>
    <t>Min Expectation - Per 5</t>
  </si>
  <si>
    <t>Max Expectation - Per 5</t>
  </si>
  <si>
    <t>Difference - Per 5</t>
  </si>
  <si>
    <t>Change from Prev June - Per 5</t>
  </si>
  <si>
    <t>Instructional Reading Level - Per 6</t>
  </si>
  <si>
    <t>Min Expectation - Per 6</t>
  </si>
  <si>
    <t>Max Expectation - Per 6</t>
  </si>
  <si>
    <t>Difference - Per 6</t>
  </si>
  <si>
    <t>Change from Prev June - Per 6</t>
  </si>
  <si>
    <t>Yarmouth Elementary School</t>
  </si>
  <si>
    <t>No</t>
  </si>
  <si>
    <t>E</t>
  </si>
  <si>
    <t>M</t>
  </si>
  <si>
    <t>N</t>
  </si>
  <si>
    <t>D</t>
  </si>
  <si>
    <t>G</t>
  </si>
  <si>
    <t>I</t>
  </si>
  <si>
    <t>J</t>
  </si>
  <si>
    <t>B</t>
  </si>
  <si>
    <t>F</t>
  </si>
  <si>
    <t>H</t>
  </si>
  <si>
    <t>C</t>
  </si>
  <si>
    <t>Yes</t>
  </si>
  <si>
    <t>P</t>
  </si>
  <si>
    <t>R</t>
  </si>
  <si>
    <t>A</t>
  </si>
  <si>
    <t>Y</t>
  </si>
  <si>
    <t>K</t>
  </si>
  <si>
    <t>DT</t>
  </si>
  <si>
    <t>L</t>
  </si>
  <si>
    <t>Q</t>
  </si>
  <si>
    <t>O</t>
  </si>
  <si>
    <t>S</t>
  </si>
  <si>
    <t>T</t>
  </si>
  <si>
    <t>U</t>
  </si>
  <si>
    <t>V</t>
  </si>
  <si>
    <t>W</t>
  </si>
  <si>
    <t>X</t>
  </si>
  <si>
    <t>Z</t>
  </si>
  <si>
    <t>LastFirst</t>
  </si>
  <si>
    <t>Homeroom</t>
  </si>
  <si>
    <t>Min Expectation June of Current School Year</t>
  </si>
  <si>
    <t>Max Expectation June of Current School Year</t>
  </si>
  <si>
    <t>Relative to End of June Target - Per 1</t>
  </si>
  <si>
    <t>Relative to End of June Target - Per 2</t>
  </si>
  <si>
    <t>Relative to End of June Target - Per 3</t>
  </si>
  <si>
    <t>Relative to End of June Target - Per 4</t>
  </si>
  <si>
    <t>Relative to End of June Target - Per 5</t>
  </si>
  <si>
    <t>Relative to End of June Target - Per 6</t>
  </si>
  <si>
    <t>TD</t>
  </si>
  <si>
    <t>March</t>
  </si>
  <si>
    <t>Conventions - Per 1</t>
  </si>
  <si>
    <t>Organization - Per 1</t>
  </si>
  <si>
    <t>Ideas - Per 1</t>
  </si>
  <si>
    <t>Language Use - Per 1</t>
  </si>
  <si>
    <t>Writing Average - Per 1</t>
  </si>
  <si>
    <t>Conventions - Per 2</t>
  </si>
  <si>
    <t>Organization - Per 2</t>
  </si>
  <si>
    <t>Ideas - Per 2</t>
  </si>
  <si>
    <t>Language Use - Per 2</t>
  </si>
  <si>
    <t>Writing Average - Per 2</t>
  </si>
  <si>
    <t>Writing Average Growth - Per 2</t>
  </si>
  <si>
    <t>Conventions - Per 3</t>
  </si>
  <si>
    <t>Organization - Per 3</t>
  </si>
  <si>
    <t>Ideas - Per 3</t>
  </si>
  <si>
    <t>Language Use - Per 3</t>
  </si>
  <si>
    <t>Writing Average - Per 3</t>
  </si>
  <si>
    <t>Writing Average Growth - Per 3</t>
  </si>
  <si>
    <t>Conventions - Per 4</t>
  </si>
  <si>
    <t>Organization - Per 4</t>
  </si>
  <si>
    <t>Ideas - Per 4</t>
  </si>
  <si>
    <t>Language Use - Per 4</t>
  </si>
  <si>
    <t>Writing Average - Per 4</t>
  </si>
  <si>
    <t>Writing Average Growth - Per 4</t>
  </si>
  <si>
    <t>Conventions - Per 5</t>
  </si>
  <si>
    <t>Organization - Per 5</t>
  </si>
  <si>
    <t>Ideas - Per 5</t>
  </si>
  <si>
    <t>Language Use - Per 5</t>
  </si>
  <si>
    <t>Writing Average - Per 5</t>
  </si>
  <si>
    <t>Writing Average Growth - Per 5</t>
  </si>
  <si>
    <t>Conventions - Per 6</t>
  </si>
  <si>
    <t>Organization - Per 6</t>
  </si>
  <si>
    <t>Ideas - Per 6</t>
  </si>
  <si>
    <t>Language Use - Per 6</t>
  </si>
  <si>
    <t>Writing Average - Per 6</t>
  </si>
  <si>
    <t>Writing Average Growth - Per 6</t>
  </si>
  <si>
    <t>ABS</t>
  </si>
  <si>
    <t>Scribed</t>
  </si>
  <si>
    <t>IPP</t>
  </si>
  <si>
    <t>EAL</t>
  </si>
  <si>
    <t>INS</t>
  </si>
  <si>
    <t>Student and Homeroom Writing Data</t>
  </si>
  <si>
    <t>School:</t>
  </si>
  <si>
    <t>Grade:</t>
  </si>
  <si>
    <t>All</t>
  </si>
  <si>
    <t>Data Set:</t>
  </si>
  <si>
    <t>Combined</t>
  </si>
  <si>
    <t>Writing Pull:</t>
  </si>
  <si>
    <t>Reading Pull:</t>
  </si>
  <si>
    <t>Current Date:</t>
  </si>
  <si>
    <t>Student #</t>
  </si>
  <si>
    <t>Conv.</t>
  </si>
  <si>
    <t>Org</t>
  </si>
  <si>
    <t>Ideas</t>
  </si>
  <si>
    <t>Lang. Use</t>
  </si>
  <si>
    <t>Average</t>
  </si>
  <si>
    <t># Meeting Writing</t>
  </si>
  <si>
    <t># Meeting Reading</t>
  </si>
  <si>
    <t># Meeting Both</t>
  </si>
  <si>
    <t>% of Group</t>
  </si>
  <si>
    <t>Data Pull:</t>
  </si>
  <si>
    <t># Meeting</t>
  </si>
  <si>
    <t>TCRCE</t>
  </si>
  <si>
    <t>ELA</t>
  </si>
  <si>
    <t>Whole School</t>
  </si>
  <si>
    <t>Non Self ID AFR and/or Indigenous</t>
  </si>
  <si>
    <t>Self ID AFR Only</t>
  </si>
  <si>
    <t>Meeting or Exceeding</t>
  </si>
  <si>
    <t>Not Yet Meeting</t>
  </si>
  <si>
    <t>#</t>
  </si>
  <si>
    <t>%</t>
  </si>
  <si>
    <t>Self ID Indigenous Only</t>
  </si>
  <si>
    <t>Self ID AFR and Indigenous</t>
  </si>
  <si>
    <t>Total</t>
  </si>
  <si>
    <t>TCRCE Reading Level Data</t>
  </si>
  <si>
    <t>Non AFR and Non Indigenous</t>
  </si>
  <si>
    <t>AFR but not Indigenous</t>
  </si>
  <si>
    <t>Indigenous but not AFR</t>
  </si>
  <si>
    <t>AFR and Indigenous</t>
  </si>
  <si>
    <t>Achievement Gap</t>
  </si>
  <si>
    <t># Meeting or Exceeding</t>
  </si>
  <si>
    <t># of Students</t>
  </si>
  <si>
    <t>% Meeting or Exceeding</t>
  </si>
  <si>
    <t># of Non Self ID AFR and Indigenous Students Meeting or Exceeding</t>
  </si>
  <si>
    <t># of Non Self ID AFR and Indigenous Students</t>
  </si>
  <si>
    <t>% of Non Self ID AFR and Indigenous Students Meeting or Exceeding</t>
  </si>
  <si>
    <t># of AFR only Students Meeting or Exceeding</t>
  </si>
  <si>
    <t>#of AFR only Students</t>
  </si>
  <si>
    <t>% of AFR only Students Meeting or Exceeding</t>
  </si>
  <si>
    <t># of Indigenous only Students Meeting or Exceeding</t>
  </si>
  <si>
    <t>#of Indigenous only Students</t>
  </si>
  <si>
    <t>% of Indigenous only Students Meeting or Exceeding</t>
  </si>
  <si>
    <t># of Self ID AFR and Indigenous Students Meeting or Exceeding</t>
  </si>
  <si>
    <t># of Self ID AFR and Indigenous Students</t>
  </si>
  <si>
    <t>% of Self ID AFR and Indigenous Students Meeting or Exceeding</t>
  </si>
  <si>
    <t>AFR Only vs Non Self ID AFR and/or Indigenous</t>
  </si>
  <si>
    <t>Indigenous Only vs Non Self ID AFR and/or Indigenous</t>
  </si>
  <si>
    <t>AFR and Indigenous vs Non Self ID AFR and/or Indigenous</t>
  </si>
  <si>
    <t>Overall</t>
  </si>
  <si>
    <t>FLA</t>
  </si>
  <si>
    <t>Non AFR and/or Indigenous</t>
  </si>
  <si>
    <t>AFR Only</t>
  </si>
  <si>
    <t>Indigenous Only</t>
  </si>
  <si>
    <t>Previous June</t>
  </si>
  <si>
    <t>Exceeding</t>
  </si>
  <si>
    <t>Meeting</t>
  </si>
  <si>
    <t>Approaching</t>
  </si>
  <si>
    <t>Difference from October</t>
  </si>
  <si>
    <t xml:space="preserve">Due Date: </t>
  </si>
  <si>
    <t>Print on Letter sized paper using Narrow Margins</t>
  </si>
  <si>
    <t>Homeroom:</t>
  </si>
  <si>
    <t>African Descent</t>
  </si>
  <si>
    <t>Indigenous Descent</t>
  </si>
  <si>
    <t>Both</t>
  </si>
  <si>
    <t>Student Name</t>
  </si>
  <si>
    <t>Prev Reading Level</t>
  </si>
  <si>
    <t>Reading Level</t>
  </si>
  <si>
    <t>Reading Level - Min Target</t>
  </si>
  <si>
    <t>Reading Level - Upper Target</t>
  </si>
  <si>
    <t>Difference from Target</t>
  </si>
  <si>
    <t>Change since last data pull</t>
  </si>
  <si>
    <t>Small Group (# of times per week)</t>
  </si>
  <si>
    <t>Additional Supports</t>
  </si>
  <si>
    <t>African Descent Descent</t>
  </si>
  <si>
    <t>Indigenous Descent descent</t>
  </si>
  <si>
    <t>AFR Descent</t>
  </si>
  <si>
    <t>Indigenous descent</t>
  </si>
  <si>
    <t>Whole School Change from Oct</t>
  </si>
  <si>
    <t>Grade Scale</t>
  </si>
  <si>
    <t>Count marks of</t>
  </si>
  <si>
    <t>and above as meeting</t>
  </si>
  <si>
    <t>Data Set</t>
  </si>
  <si>
    <t>Drop Down</t>
  </si>
  <si>
    <t>Value</t>
  </si>
  <si>
    <t>{"ELA","FLA"}</t>
  </si>
  <si>
    <t>Green Greater than or equal to</t>
  </si>
  <si>
    <t>Red less than</t>
  </si>
  <si>
    <t>Yellow Between</t>
  </si>
  <si>
    <t>Pull Names</t>
  </si>
  <si>
    <t>Conventions</t>
  </si>
  <si>
    <t>Organization</t>
  </si>
  <si>
    <t>Language Use</t>
  </si>
  <si>
    <t>Writing Average</t>
  </si>
  <si>
    <t>Barrington Municipal High School</t>
  </si>
  <si>
    <t>ANS</t>
  </si>
  <si>
    <t>Indigenous</t>
  </si>
  <si>
    <t>Carleton Consolidated Elementary School</t>
  </si>
  <si>
    <t>"=*"</t>
  </si>
  <si>
    <t>&gt;&lt;</t>
  </si>
  <si>
    <t>Clark's Harbour Elementary School</t>
  </si>
  <si>
    <t>Non Self ID Afr and/or Indigenous</t>
  </si>
  <si>
    <t>&lt;&gt;Yes</t>
  </si>
  <si>
    <t>&lt;&gt;1</t>
  </si>
  <si>
    <t>Digby Elementary School</t>
  </si>
  <si>
    <t>Self ID Afr Only</t>
  </si>
  <si>
    <t>Digby Neck Consolidated Elementary School</t>
  </si>
  <si>
    <t>Digby Regional High School</t>
  </si>
  <si>
    <t>Self ID Afr and Indigenous</t>
  </si>
  <si>
    <t>Drumlin Heights Consolidated School</t>
  </si>
  <si>
    <t>Evelyn Richardson Memorial Elementary School</t>
  </si>
  <si>
    <t>Forest Ridge Academy</t>
  </si>
  <si>
    <t>Hillcrest Academy</t>
  </si>
  <si>
    <t>Islands Consolidated School</t>
  </si>
  <si>
    <t>Lockeport Elementary School</t>
  </si>
  <si>
    <t>Grade Prev Year</t>
  </si>
  <si>
    <t>Lockeport Regional High School</t>
  </si>
  <si>
    <t>N/A</t>
  </si>
  <si>
    <t>September</t>
  </si>
  <si>
    <t>Maple Grove Education Centre</t>
  </si>
  <si>
    <t>Meadowfields Community School</t>
  </si>
  <si>
    <t>Plymouth School</t>
  </si>
  <si>
    <t>December</t>
  </si>
  <si>
    <t>Port Maitland Consolidated Elementary School</t>
  </si>
  <si>
    <t>Shelburne Regional High School</t>
  </si>
  <si>
    <t>St. Mary's Bay Academy</t>
  </si>
  <si>
    <t>Weymouth Consolidated School</t>
  </si>
  <si>
    <t>Yarmouth Consolidated Memorial High School</t>
  </si>
  <si>
    <t>Expected Min</t>
  </si>
  <si>
    <t>Sept</t>
  </si>
  <si>
    <t>Oct</t>
  </si>
  <si>
    <t>Nov</t>
  </si>
  <si>
    <t>Dec</t>
  </si>
  <si>
    <t>Jan</t>
  </si>
  <si>
    <t>Feb</t>
  </si>
  <si>
    <t>Apr</t>
  </si>
  <si>
    <t>Jun</t>
  </si>
  <si>
    <t>Actual</t>
  </si>
  <si>
    <t>Expected Max</t>
  </si>
  <si>
    <t>Difference</t>
  </si>
  <si>
    <t>30+</t>
  </si>
  <si>
    <t>Data Pull Filter</t>
  </si>
  <si>
    <t>Grade Filter</t>
  </si>
  <si>
    <t>&lt;&gt;</t>
  </si>
  <si>
    <t>Nov 20(P-6)</t>
  </si>
  <si>
    <t>Dec 5(7-9)</t>
  </si>
  <si>
    <t>Feb 12(P-6.7-9)</t>
  </si>
  <si>
    <t>Mar 26(10-12)</t>
  </si>
  <si>
    <t>Apr 16(P-6,7-9)</t>
  </si>
  <si>
    <t>May 7(10-12)</t>
  </si>
  <si>
    <t>Oct 30(P-6)</t>
  </si>
  <si>
    <t>Jan 15(P-6)</t>
  </si>
  <si>
    <t>Feb 12(7)</t>
  </si>
  <si>
    <t>Mar 26(P-6)</t>
  </si>
  <si>
    <t>May 7(P-6,7)</t>
  </si>
  <si>
    <t>June 29(P-6)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</si>
</sst>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800]dddd\,\ mmmm\ dd\,\ yyyy"/>
    <numFmt numFmtId="166" formatCode="mmmm"/>
    <numFmt numFmtId="167" formatCode="mmm\ dd\,\ yyyy"/>
  </numFmts>
  <fonts count="39" x14ac:knownFonts="1">
    <font>
      <sz val="11"/>
      <color theme="1"/>
      <name val="Aptos Narrow"/>
      <family val="2"/>
      <scheme val="minor"/>
    </font>
    <font>
      <sz val="11"/>
      <color theme="1"/>
      <name val="Aptos Narrow"/>
      <family val="2"/>
      <scheme val="minor"/>
    </font>
    <font>
      <sz val="11"/>
      <color theme="0"/>
      <name val="Aptos Narrow"/>
      <family val="2"/>
      <scheme val="minor"/>
    </font>
    <font>
      <sz val="11"/>
      <color rgb="FF000000"/>
      <name val="Calibri"/>
      <family val="2"/>
    </font>
    <font>
      <sz val="11"/>
      <color rgb="FFFFFFFF"/>
      <name val="Calibri"/>
      <family val="2"/>
    </font>
    <font>
      <sz val="18"/>
      <color theme="1"/>
      <name val="Aptos Narrow"/>
      <family val="2"/>
      <scheme val="minor"/>
    </font>
    <font>
      <sz val="8"/>
      <name val="Aptos Narrow"/>
      <family val="2"/>
      <scheme val="minor"/>
    </font>
    <font>
      <b/>
      <sz val="11"/>
      <color theme="1"/>
      <name val="Aptos Narrow"/>
      <family val="2"/>
      <scheme val="minor"/>
    </font>
    <font>
      <b/>
      <sz val="18"/>
      <color theme="1"/>
      <name val="Aptos Narrow"/>
      <family val="2"/>
      <scheme val="minor"/>
    </font>
    <font>
      <sz val="11"/>
      <color rgb="FF006100"/>
      <name val="Calibri"/>
      <family val="2"/>
    </font>
    <font>
      <sz val="11"/>
      <color rgb="FF9C5700"/>
      <name val="Calibri"/>
      <family val="2"/>
    </font>
    <font>
      <sz val="11"/>
      <color rgb="FF9C0006"/>
      <name val="Calibri"/>
      <family val="2"/>
    </font>
    <font>
      <sz val="11"/>
      <color rgb="FF006100"/>
      <name val="Aptos Narrow"/>
      <family val="2"/>
      <scheme val="minor"/>
    </font>
    <font>
      <sz val="11"/>
      <color rgb="FF9C0006"/>
      <name val="Aptos Narrow"/>
      <family val="2"/>
      <scheme val="minor"/>
    </font>
    <font>
      <sz val="11"/>
      <color rgb="FF9C5700"/>
      <name val="Aptos Narrow"/>
      <family val="2"/>
      <scheme val="minor"/>
    </font>
    <font>
      <u/>
      <sz val="11"/>
      <color theme="10"/>
      <name val="Aptos Narrow"/>
      <family val="2"/>
      <scheme val="minor"/>
    </font>
    <font>
      <sz val="11"/>
      <color rgb="FF444444"/>
      <name val="Calibri"/>
      <family val="2"/>
      <charset val="1"/>
    </font>
    <font>
      <b/>
      <sz val="24"/>
      <color theme="1"/>
      <name val="Aptos Narrow"/>
      <family val="2"/>
      <scheme val="minor"/>
    </font>
    <font>
      <b/>
      <sz val="16"/>
      <color theme="1"/>
      <name val="Aptos Narrow"/>
      <family val="2"/>
      <scheme val="minor"/>
    </font>
    <font>
      <sz val="16"/>
      <color theme="1"/>
      <name val="Aptos Narrow"/>
      <family val="2"/>
      <scheme val="minor"/>
    </font>
    <font>
      <u/>
      <sz val="16"/>
      <color theme="10"/>
      <name val="Aptos Narrow"/>
      <family val="2"/>
      <scheme val="minor"/>
    </font>
    <font>
      <sz val="10"/>
      <color theme="1"/>
      <name val="Aptos Narrow"/>
      <family val="2"/>
      <scheme val="minor"/>
    </font>
    <font>
      <sz val="10"/>
      <color rgb="FF9C0006"/>
      <name val="Aptos Narrow"/>
      <family val="2"/>
      <scheme val="minor"/>
    </font>
    <font>
      <sz val="10"/>
      <color theme="0"/>
      <name val="Aptos Narrow"/>
      <family val="2"/>
      <scheme val="minor"/>
    </font>
    <font>
      <b/>
      <sz val="10"/>
      <color theme="1"/>
      <name val="Aptos Narrow"/>
      <family val="2"/>
      <scheme val="minor"/>
    </font>
    <font>
      <b/>
      <sz val="10"/>
      <color rgb="FF000000"/>
      <name val="Comic Sans MS"/>
      <family val="4"/>
    </font>
    <font>
      <sz val="10"/>
      <color rgb="FF000000"/>
      <name val="Arial"/>
      <family val="2"/>
    </font>
    <font>
      <sz val="11"/>
      <color rgb="FFFF0000"/>
      <name val="Aptos Narrow"/>
      <family val="2"/>
      <scheme val="minor"/>
    </font>
    <font>
      <sz val="11"/>
      <color rgb="FF444444"/>
      <name val="Aptos Narrow"/>
      <family val="2"/>
      <scheme val="minor"/>
    </font>
    <font>
      <sz val="11"/>
      <name val="Aptos Narrow"/>
      <family val="2"/>
      <scheme val="minor"/>
    </font>
    <font>
      <b/>
      <sz val="11"/>
      <color rgb="FF000000"/>
      <name val="Aptos Display"/>
      <family val="2"/>
    </font>
    <font>
      <sz val="11"/>
      <color rgb="FF000000"/>
      <name val="Aptos Narrow"/>
      <family val="2"/>
      <scheme val="minor"/>
    </font>
    <font>
      <b/>
      <i/>
      <sz val="11"/>
      <color rgb="FF000000"/>
      <name val="Aptos Display"/>
      <family val="2"/>
    </font>
    <font>
      <b/>
      <sz val="11"/>
      <color rgb="FFFF0000"/>
      <name val="Aptos Narrow"/>
      <family val="2"/>
      <scheme val="minor"/>
    </font>
    <font>
      <sz val="11"/>
      <color rgb="FF000000"/>
      <name val="Aptos Display"/>
      <family val="2"/>
    </font>
    <font>
      <b/>
      <sz val="10"/>
      <color rgb="FF000000"/>
      <name val="Aptos Display"/>
      <family val="2"/>
    </font>
    <font>
      <sz val="9"/>
      <color rgb="FF000000"/>
      <name val="Aptos Narrow"/>
      <family val="2"/>
      <scheme val="minor"/>
    </font>
    <font>
      <b/>
      <sz val="8"/>
      <color rgb="FF000000"/>
      <name val="Aptos Display"/>
      <family val="2"/>
    </font>
    <font>
      <sz val="10"/>
      <color rgb="FF000000"/>
      <name val="Aptos Narrow"/>
      <family val="2"/>
      <scheme val="minor"/>
    </font>
  </fonts>
  <fills count="20">
    <fill>
      <patternFill patternType="none"/>
    </fill>
    <fill>
      <patternFill patternType="gray125"/>
    </fill>
    <fill>
      <patternFill patternType="solid">
        <fgColor rgb="FFFF6EC7"/>
        <bgColor indexed="64"/>
      </patternFill>
    </fill>
    <fill>
      <patternFill patternType="solid">
        <fgColor rgb="FF002060"/>
        <bgColor indexed="64"/>
      </patternFill>
    </fill>
    <fill>
      <patternFill patternType="solid">
        <fgColor rgb="FFFFFF00"/>
        <bgColor indexed="64"/>
      </patternFill>
    </fill>
    <fill>
      <patternFill patternType="solid">
        <fgColor rgb="FF92D050"/>
        <bgColor rgb="FF000000"/>
      </patternFill>
    </fill>
    <fill>
      <patternFill patternType="solid">
        <fgColor rgb="FFC6EFCE"/>
        <bgColor rgb="FF000000"/>
      </patternFill>
    </fill>
    <fill>
      <patternFill patternType="solid">
        <fgColor rgb="FFFFEB9C"/>
        <bgColor rgb="FF000000"/>
      </patternFill>
    </fill>
    <fill>
      <patternFill patternType="solid">
        <fgColor rgb="FFFFC7C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6EC7"/>
        <bgColor theme="4" tint="0.79998168889431442"/>
      </patternFill>
    </fill>
    <fill>
      <patternFill patternType="solid">
        <fgColor rgb="FF92D050"/>
        <bgColor indexed="64"/>
      </patternFill>
    </fill>
    <fill>
      <patternFill patternType="solid">
        <fgColor rgb="FFD9D9D9"/>
        <bgColor rgb="FFD9D9D9"/>
      </patternFill>
    </fill>
    <fill>
      <patternFill patternType="solid">
        <fgColor theme="4" tint="0.79998168889431442"/>
        <bgColor theme="4" tint="0.79998168889431442"/>
      </patternFill>
    </fill>
    <fill>
      <patternFill patternType="solid">
        <fgColor rgb="FFCAEDFB"/>
        <bgColor rgb="FF000000"/>
      </patternFill>
    </fill>
    <fill>
      <patternFill patternType="solid">
        <fgColor rgb="FFB5E6A2"/>
        <bgColor rgb="FF000000"/>
      </patternFill>
    </fill>
    <fill>
      <patternFill patternType="solid">
        <fgColor rgb="FFE49EDD"/>
        <bgColor rgb="FF000000"/>
      </patternFill>
    </fill>
    <fill>
      <patternFill patternType="solid">
        <fgColor rgb="FFF2CEEF"/>
        <bgColor rgb="FF000000"/>
      </patternFill>
    </fill>
  </fills>
  <borders count="86">
    <border>
      <left/>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thin">
        <color indexed="64"/>
      </left>
      <right style="thin">
        <color indexed="64"/>
      </right>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top style="thin">
        <color theme="4" tint="0.39997558519241921"/>
      </top>
      <bottom style="thin">
        <color theme="4" tint="0.39997558519241921"/>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thin">
        <color rgb="FF000000"/>
      </right>
      <top/>
      <bottom style="thin">
        <color rgb="FF000000"/>
      </bottom>
      <diagonal/>
    </border>
    <border>
      <left style="thin">
        <color rgb="FF000000"/>
      </left>
      <right style="medium">
        <color indexed="64"/>
      </right>
      <top/>
      <bottom style="thin">
        <color rgb="FF000000"/>
      </bottom>
      <diagonal/>
    </border>
    <border>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bottom style="medium">
        <color indexed="64"/>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right/>
      <top style="thin">
        <color indexed="64"/>
      </top>
      <bottom style="thin">
        <color indexed="64"/>
      </bottom>
      <diagonal/>
    </border>
    <border>
      <left/>
      <right style="thin">
        <color rgb="FF000000"/>
      </right>
      <top style="medium">
        <color indexed="64"/>
      </top>
      <bottom style="medium">
        <color indexed="64"/>
      </bottom>
      <diagonal/>
    </border>
    <border>
      <left/>
      <right style="thin">
        <color rgb="FF000000"/>
      </right>
      <top style="thin">
        <color rgb="FF000000"/>
      </top>
      <bottom style="thin">
        <color rgb="FF000000"/>
      </bottom>
      <diagonal/>
    </border>
    <border>
      <left style="medium">
        <color indexed="64"/>
      </left>
      <right style="thin">
        <color rgb="FF000000"/>
      </right>
      <top/>
      <bottom style="thin">
        <color rgb="FF000000"/>
      </bottom>
      <diagonal/>
    </border>
    <border>
      <left style="medium">
        <color indexed="64"/>
      </left>
      <right style="thin">
        <color rgb="FF000000"/>
      </right>
      <top/>
      <bottom style="medium">
        <color indexed="64"/>
      </bottom>
      <diagonal/>
    </border>
    <border>
      <left style="thin">
        <color rgb="FF000000"/>
      </left>
      <right/>
      <top style="thin">
        <color rgb="FF000000"/>
      </top>
      <bottom style="thin">
        <color rgb="FF000000"/>
      </bottom>
      <diagonal/>
    </border>
    <border>
      <left style="thin">
        <color rgb="FF000000"/>
      </left>
      <right style="thin">
        <color rgb="FF000000"/>
      </right>
      <top/>
      <bottom/>
      <diagonal/>
    </border>
    <border>
      <left/>
      <right/>
      <top style="thin">
        <color theme="4" tint="0.39997558519241921"/>
      </top>
      <bottom/>
      <diagonal/>
    </border>
    <border>
      <left style="medium">
        <color indexed="64"/>
      </left>
      <right style="thin">
        <color indexed="64"/>
      </right>
      <top/>
      <bottom/>
      <diagonal/>
    </border>
    <border>
      <left style="medium">
        <color indexed="64"/>
      </left>
      <right style="medium">
        <color indexed="64"/>
      </right>
      <top style="thin">
        <color rgb="FF000000"/>
      </top>
      <bottom/>
      <diagonal/>
    </border>
    <border>
      <left style="medium">
        <color indexed="64"/>
      </left>
      <right style="medium">
        <color indexed="64"/>
      </right>
      <top style="thin">
        <color indexed="64"/>
      </top>
      <bottom/>
      <diagonal/>
    </border>
    <border>
      <left style="medium">
        <color indexed="64"/>
      </left>
      <right style="thin">
        <color rgb="FF000000"/>
      </right>
      <top/>
      <bottom/>
      <diagonal/>
    </border>
    <border>
      <left/>
      <right style="thin">
        <color rgb="FF000000"/>
      </right>
      <top/>
      <bottom/>
      <diagonal/>
    </border>
    <border>
      <left style="thin">
        <color rgb="FF000000"/>
      </left>
      <right style="medium">
        <color indexed="64"/>
      </right>
      <top/>
      <bottom/>
      <diagonal/>
    </border>
    <border>
      <left/>
      <right style="thin">
        <color rgb="FF000000"/>
      </right>
      <top style="thin">
        <color rgb="FF000000"/>
      </top>
      <bottom/>
      <diagonal/>
    </border>
  </borders>
  <cellStyleXfs count="7">
    <xf numFmtId="0" fontId="0" fillId="0" borderId="0"/>
    <xf numFmtId="9" fontId="1" fillId="0" borderId="0" applyFont="0" applyFill="0" applyBorder="0" applyAlignment="0" applyProtection="0"/>
    <xf numFmtId="0" fontId="1" fillId="0" borderId="0"/>
    <xf numFmtId="0" fontId="12" fillId="9" borderId="0" applyNumberFormat="0" applyBorder="0" applyAlignment="0" applyProtection="0"/>
    <xf numFmtId="0" fontId="13" fillId="10" borderId="0" applyNumberFormat="0" applyBorder="0" applyAlignment="0" applyProtection="0"/>
    <xf numFmtId="0" fontId="14" fillId="11" borderId="0" applyNumberFormat="0" applyBorder="0" applyAlignment="0" applyProtection="0"/>
    <xf numFmtId="0" fontId="15" fillId="0" borderId="0" applyNumberFormat="0" applyFill="0" applyBorder="0" applyAlignment="0" applyProtection="0"/>
  </cellStyleXfs>
  <cellXfs count="375">
    <xf numFmtId="0" fontId="0" fillId="0" borderId="0" xfId="0"/>
    <xf numFmtId="0" fontId="0" fillId="0" borderId="0" xfId="0" applyAlignment="1">
      <alignment wrapText="1"/>
    </xf>
    <xf numFmtId="0" fontId="0" fillId="0" borderId="0" xfId="0" applyAlignment="1">
      <alignment horizontal="center" vertical="center" wrapText="1"/>
    </xf>
    <xf numFmtId="0" fontId="0" fillId="0" borderId="0" xfId="0" applyAlignment="1">
      <alignment textRotation="90" wrapText="1"/>
    </xf>
    <xf numFmtId="0" fontId="0" fillId="0" borderId="12" xfId="0" applyBorder="1" applyAlignment="1">
      <alignment horizontal="center" textRotation="90" wrapText="1"/>
    </xf>
    <xf numFmtId="0" fontId="0" fillId="0" borderId="13" xfId="0" applyBorder="1" applyAlignment="1">
      <alignment horizontal="center" textRotation="90" wrapText="1"/>
    </xf>
    <xf numFmtId="0" fontId="0" fillId="0" borderId="14" xfId="0" applyBorder="1" applyAlignment="1">
      <alignment horizontal="center" textRotation="90" wrapText="1"/>
    </xf>
    <xf numFmtId="0" fontId="0" fillId="0" borderId="15" xfId="0" applyBorder="1" applyAlignment="1">
      <alignment horizontal="center" textRotation="90" wrapText="1"/>
    </xf>
    <xf numFmtId="0" fontId="2" fillId="3" borderId="5" xfId="0" applyFont="1" applyFill="1" applyBorder="1" applyAlignment="1">
      <alignment textRotation="90" wrapText="1"/>
    </xf>
    <xf numFmtId="0" fontId="0" fillId="0" borderId="4" xfId="0" applyBorder="1" applyAlignment="1">
      <alignment textRotation="90" wrapText="1"/>
    </xf>
    <xf numFmtId="0" fontId="0" fillId="0" borderId="3" xfId="0" applyBorder="1" applyAlignment="1">
      <alignment textRotation="90" wrapText="1"/>
    </xf>
    <xf numFmtId="0" fontId="0" fillId="0" borderId="1" xfId="0" applyBorder="1" applyAlignment="1">
      <alignment textRotation="90" wrapText="1"/>
    </xf>
    <xf numFmtId="0" fontId="0" fillId="0" borderId="2" xfId="0" applyBorder="1" applyAlignment="1">
      <alignment textRotation="90" wrapText="1"/>
    </xf>
    <xf numFmtId="0" fontId="0" fillId="0" borderId="9" xfId="0" applyBorder="1"/>
    <xf numFmtId="0" fontId="0" fillId="0" borderId="25" xfId="0" applyBorder="1" applyAlignment="1">
      <alignment horizontal="center" textRotation="90" wrapText="1"/>
    </xf>
    <xf numFmtId="0" fontId="0" fillId="0" borderId="24" xfId="0" applyBorder="1" applyAlignment="1">
      <alignment horizontal="center" textRotation="90" wrapText="1"/>
    </xf>
    <xf numFmtId="0" fontId="0" fillId="0" borderId="4" xfId="0" applyBorder="1" applyAlignment="1">
      <alignment wrapText="1"/>
    </xf>
    <xf numFmtId="0" fontId="0" fillId="0" borderId="2" xfId="0" applyBorder="1" applyAlignment="1">
      <alignment wrapText="1"/>
    </xf>
    <xf numFmtId="0" fontId="0" fillId="0" borderId="26" xfId="0" applyBorder="1" applyAlignment="1">
      <alignment wrapText="1"/>
    </xf>
    <xf numFmtId="0" fontId="0" fillId="0" borderId="1" xfId="0" applyBorder="1" applyAlignment="1">
      <alignment wrapText="1"/>
    </xf>
    <xf numFmtId="164" fontId="0" fillId="0" borderId="9" xfId="0" applyNumberFormat="1" applyBorder="1"/>
    <xf numFmtId="164" fontId="0" fillId="0" borderId="24" xfId="0" applyNumberFormat="1" applyBorder="1"/>
    <xf numFmtId="164" fontId="0" fillId="0" borderId="24" xfId="1" applyNumberFormat="1" applyFont="1" applyBorder="1"/>
    <xf numFmtId="164" fontId="0" fillId="0" borderId="28" xfId="0" applyNumberFormat="1" applyBorder="1"/>
    <xf numFmtId="0" fontId="0" fillId="0" borderId="11" xfId="0" applyBorder="1"/>
    <xf numFmtId="0" fontId="0" fillId="0" borderId="10" xfId="0" applyBorder="1"/>
    <xf numFmtId="0" fontId="0" fillId="0" borderId="30" xfId="0" applyBorder="1" applyAlignment="1">
      <alignment textRotation="90" wrapText="1"/>
    </xf>
    <xf numFmtId="0" fontId="0" fillId="0" borderId="31" xfId="0" applyBorder="1" applyAlignment="1">
      <alignment textRotation="90" wrapText="1"/>
    </xf>
    <xf numFmtId="0" fontId="0" fillId="0" borderId="32" xfId="0" applyBorder="1" applyAlignment="1">
      <alignment textRotation="90" wrapText="1"/>
    </xf>
    <xf numFmtId="0" fontId="0" fillId="0" borderId="21" xfId="0" applyBorder="1"/>
    <xf numFmtId="0" fontId="0" fillId="0" borderId="1" xfId="0" applyBorder="1"/>
    <xf numFmtId="164" fontId="0" fillId="0" borderId="22" xfId="1" applyNumberFormat="1" applyFont="1" applyBorder="1"/>
    <xf numFmtId="164" fontId="0" fillId="0" borderId="21" xfId="0" applyNumberFormat="1" applyBorder="1"/>
    <xf numFmtId="164" fontId="0" fillId="0" borderId="1" xfId="0" applyNumberFormat="1" applyBorder="1"/>
    <xf numFmtId="164" fontId="0" fillId="0" borderId="22" xfId="0" applyNumberFormat="1" applyBorder="1"/>
    <xf numFmtId="0" fontId="0" fillId="0" borderId="31" xfId="0" applyBorder="1"/>
    <xf numFmtId="164" fontId="0" fillId="0" borderId="31" xfId="0" applyNumberFormat="1" applyBorder="1"/>
    <xf numFmtId="164" fontId="0" fillId="0" borderId="32" xfId="0" applyNumberFormat="1" applyBorder="1"/>
    <xf numFmtId="164" fontId="0" fillId="0" borderId="30" xfId="0" applyNumberFormat="1" applyBorder="1"/>
    <xf numFmtId="0" fontId="0" fillId="0" borderId="30" xfId="0" applyBorder="1"/>
    <xf numFmtId="164" fontId="0" fillId="0" borderId="32" xfId="1" applyNumberFormat="1" applyFont="1" applyBorder="1"/>
    <xf numFmtId="0" fontId="0" fillId="0" borderId="34" xfId="0" applyBorder="1"/>
    <xf numFmtId="0" fontId="0" fillId="4" borderId="0" xfId="0" applyFill="1"/>
    <xf numFmtId="165" fontId="0" fillId="0" borderId="0" xfId="0" applyNumberFormat="1"/>
    <xf numFmtId="0" fontId="0" fillId="0" borderId="29" xfId="2" applyFont="1" applyBorder="1"/>
    <xf numFmtId="0" fontId="0" fillId="4" borderId="0" xfId="0" applyFill="1" applyAlignment="1">
      <alignment horizontal="left"/>
    </xf>
    <xf numFmtId="0" fontId="7" fillId="0" borderId="0" xfId="0" applyFont="1" applyAlignment="1">
      <alignment horizontal="right"/>
    </xf>
    <xf numFmtId="0" fontId="0" fillId="0" borderId="33" xfId="2" applyFont="1" applyBorder="1"/>
    <xf numFmtId="0" fontId="0" fillId="0" borderId="34" xfId="2" applyFont="1" applyBorder="1"/>
    <xf numFmtId="0" fontId="0" fillId="0" borderId="9" xfId="0" applyBorder="1" applyAlignment="1">
      <alignment horizontal="center" vertical="center"/>
    </xf>
    <xf numFmtId="164" fontId="0" fillId="0" borderId="9" xfId="0" applyNumberFormat="1" applyBorder="1" applyAlignment="1">
      <alignment horizontal="center" vertical="center"/>
    </xf>
    <xf numFmtId="0" fontId="0" fillId="0" borderId="36" xfId="0" applyBorder="1" applyAlignment="1">
      <alignment wrapText="1"/>
    </xf>
    <xf numFmtId="0" fontId="0" fillId="0" borderId="28" xfId="0" applyBorder="1" applyAlignment="1">
      <alignment horizontal="center" vertical="center"/>
    </xf>
    <xf numFmtId="164" fontId="0" fillId="0" borderId="28" xfId="0" applyNumberFormat="1" applyBorder="1" applyAlignment="1">
      <alignment horizontal="center" vertical="center"/>
    </xf>
    <xf numFmtId="164" fontId="0" fillId="0" borderId="14" xfId="0" applyNumberFormat="1" applyBorder="1" applyAlignment="1">
      <alignment horizontal="center" vertical="center"/>
    </xf>
    <xf numFmtId="164" fontId="0" fillId="0" borderId="13" xfId="0" applyNumberFormat="1" applyBorder="1" applyAlignment="1">
      <alignment horizontal="center" vertical="center"/>
    </xf>
    <xf numFmtId="0" fontId="0" fillId="0" borderId="27" xfId="0" applyBorder="1" applyAlignment="1">
      <alignment wrapText="1"/>
    </xf>
    <xf numFmtId="0" fontId="0" fillId="0" borderId="6" xfId="0" applyBorder="1" applyAlignment="1">
      <alignment horizontal="center" vertical="center"/>
    </xf>
    <xf numFmtId="0" fontId="0" fillId="0" borderId="17" xfId="0" applyBorder="1" applyAlignment="1">
      <alignment horizontal="center" vertical="center"/>
    </xf>
    <xf numFmtId="0" fontId="0" fillId="0" borderId="12" xfId="0" applyBorder="1" applyAlignment="1">
      <alignment wrapText="1"/>
    </xf>
    <xf numFmtId="164" fontId="0" fillId="0" borderId="14" xfId="1" applyNumberFormat="1" applyFont="1" applyBorder="1" applyAlignment="1">
      <alignment horizontal="center" vertical="center"/>
    </xf>
    <xf numFmtId="164" fontId="0" fillId="0" borderId="13" xfId="1" applyNumberFormat="1" applyFont="1" applyBorder="1" applyAlignment="1">
      <alignment horizontal="center" vertical="center"/>
    </xf>
    <xf numFmtId="164" fontId="0" fillId="0" borderId="6" xfId="0" applyNumberFormat="1" applyBorder="1" applyAlignment="1">
      <alignment horizontal="center" vertical="center"/>
    </xf>
    <xf numFmtId="164" fontId="0" fillId="0" borderId="17" xfId="0" applyNumberFormat="1" applyBorder="1" applyAlignment="1">
      <alignment horizontal="center" vertical="center"/>
    </xf>
    <xf numFmtId="0" fontId="7" fillId="0" borderId="26" xfId="2" applyFont="1" applyBorder="1" applyAlignment="1">
      <alignment horizontal="center" vertical="center" wrapText="1"/>
    </xf>
    <xf numFmtId="0" fontId="7" fillId="0" borderId="4" xfId="2" applyFont="1" applyBorder="1" applyAlignment="1">
      <alignment horizontal="center" vertical="center" wrapText="1"/>
    </xf>
    <xf numFmtId="0" fontId="7" fillId="0" borderId="39" xfId="2" applyFont="1" applyBorder="1" applyAlignment="1">
      <alignment horizontal="center" vertical="center" wrapText="1"/>
    </xf>
    <xf numFmtId="0" fontId="0" fillId="0" borderId="27" xfId="0" applyBorder="1" applyAlignment="1">
      <alignment horizontal="center" vertical="center"/>
    </xf>
    <xf numFmtId="0" fontId="0" fillId="0" borderId="36" xfId="0" applyBorder="1" applyAlignment="1">
      <alignment horizontal="center" vertical="center"/>
    </xf>
    <xf numFmtId="164" fontId="0" fillId="0" borderId="12" xfId="1" applyNumberFormat="1" applyFont="1" applyBorder="1" applyAlignment="1">
      <alignment horizontal="center" vertical="center"/>
    </xf>
    <xf numFmtId="164" fontId="0" fillId="0" borderId="27" xfId="0" applyNumberFormat="1" applyBorder="1" applyAlignment="1">
      <alignment horizontal="center" vertical="center"/>
    </xf>
    <xf numFmtId="164" fontId="0" fillId="0" borderId="36" xfId="0" applyNumberFormat="1" applyBorder="1" applyAlignment="1">
      <alignment horizontal="center" vertical="center"/>
    </xf>
    <xf numFmtId="164" fontId="0" fillId="0" borderId="12" xfId="0" applyNumberFormat="1" applyBorder="1" applyAlignment="1">
      <alignment horizontal="center" vertical="center"/>
    </xf>
    <xf numFmtId="0" fontId="0" fillId="0" borderId="24" xfId="0" applyBorder="1"/>
    <xf numFmtId="0" fontId="0" fillId="0" borderId="15" xfId="0" applyBorder="1"/>
    <xf numFmtId="0" fontId="0" fillId="0" borderId="16" xfId="0" applyBorder="1"/>
    <xf numFmtId="0" fontId="7" fillId="0" borderId="3" xfId="2" applyFont="1" applyBorder="1" applyAlignment="1">
      <alignment horizontal="center" vertical="center" wrapText="1"/>
    </xf>
    <xf numFmtId="0" fontId="3" fillId="0" borderId="0" xfId="0" applyFont="1"/>
    <xf numFmtId="0" fontId="3" fillId="0" borderId="0" xfId="0" applyFont="1" applyAlignment="1">
      <alignment horizontal="center"/>
    </xf>
    <xf numFmtId="0" fontId="11" fillId="8" borderId="9" xfId="0" applyFont="1" applyFill="1" applyBorder="1" applyAlignment="1">
      <alignment horizontal="center"/>
    </xf>
    <xf numFmtId="0" fontId="10" fillId="7" borderId="9" xfId="0" applyFont="1" applyFill="1" applyBorder="1" applyAlignment="1">
      <alignment horizontal="center"/>
    </xf>
    <xf numFmtId="0" fontId="9" fillId="6" borderId="9" xfId="0" applyFont="1" applyFill="1" applyBorder="1" applyAlignment="1">
      <alignment horizontal="center"/>
    </xf>
    <xf numFmtId="0" fontId="4" fillId="5" borderId="9" xfId="0" applyFont="1" applyFill="1" applyBorder="1" applyAlignment="1">
      <alignment horizontal="center"/>
    </xf>
    <xf numFmtId="0" fontId="3" fillId="0" borderId="9" xfId="0" applyFont="1" applyBorder="1" applyAlignment="1">
      <alignment horizontal="center"/>
    </xf>
    <xf numFmtId="0" fontId="3" fillId="0" borderId="9" xfId="0" applyFont="1" applyBorder="1" applyAlignment="1">
      <alignment horizontal="center" vertical="center"/>
    </xf>
    <xf numFmtId="10" fontId="3" fillId="0" borderId="9" xfId="0" applyNumberFormat="1" applyFont="1" applyBorder="1" applyAlignment="1">
      <alignment horizontal="center" vertical="center"/>
    </xf>
    <xf numFmtId="0" fontId="7" fillId="0" borderId="0" xfId="0" applyFont="1"/>
    <xf numFmtId="165" fontId="0" fillId="0" borderId="0" xfId="0" applyNumberFormat="1" applyAlignment="1">
      <alignment horizontal="left"/>
    </xf>
    <xf numFmtId="0" fontId="0" fillId="0" borderId="0" xfId="0" applyAlignment="1">
      <alignment horizontal="center"/>
    </xf>
    <xf numFmtId="0" fontId="8" fillId="0" borderId="0" xfId="0" applyFont="1"/>
    <xf numFmtId="0" fontId="0" fillId="0" borderId="41" xfId="0" applyBorder="1"/>
    <xf numFmtId="0" fontId="16" fillId="0" borderId="0" xfId="0" applyFont="1"/>
    <xf numFmtId="0" fontId="0" fillId="12" borderId="9" xfId="0" applyFill="1" applyBorder="1" applyAlignment="1">
      <alignment horizontal="center" vertical="center" wrapText="1"/>
    </xf>
    <xf numFmtId="0" fontId="0" fillId="12" borderId="19" xfId="0" applyFill="1" applyBorder="1" applyAlignment="1">
      <alignment horizontal="center" vertical="center" wrapText="1"/>
    </xf>
    <xf numFmtId="0" fontId="0" fillId="12" borderId="1" xfId="0" applyFill="1" applyBorder="1" applyAlignment="1">
      <alignment horizontal="center" vertical="center" wrapText="1"/>
    </xf>
    <xf numFmtId="0" fontId="0" fillId="0" borderId="1" xfId="0" applyBorder="1" applyAlignment="1">
      <alignment horizontal="center" vertical="center" wrapText="1"/>
    </xf>
    <xf numFmtId="0" fontId="0" fillId="0" borderId="9" xfId="0" applyBorder="1" applyAlignment="1">
      <alignment horizontal="center" vertical="center" wrapText="1"/>
    </xf>
    <xf numFmtId="0" fontId="0" fillId="0" borderId="19" xfId="0" applyBorder="1" applyAlignment="1">
      <alignment horizontal="center" vertical="center" wrapText="1"/>
    </xf>
    <xf numFmtId="0" fontId="0" fillId="0" borderId="10" xfId="0" applyBorder="1" applyAlignment="1">
      <alignment horizontal="center" vertical="center" wrapText="1"/>
    </xf>
    <xf numFmtId="0" fontId="0" fillId="0" borderId="0" xfId="0" applyAlignment="1">
      <alignment horizontal="center" vertical="center"/>
    </xf>
    <xf numFmtId="0" fontId="2" fillId="3" borderId="35" xfId="0" applyFont="1" applyFill="1" applyBorder="1" applyAlignment="1">
      <alignment textRotation="90" wrapText="1"/>
    </xf>
    <xf numFmtId="0" fontId="0" fillId="0" borderId="42" xfId="0" applyBorder="1" applyAlignment="1">
      <alignment horizontal="center" wrapText="1"/>
    </xf>
    <xf numFmtId="0" fontId="0" fillId="0" borderId="10" xfId="0" applyBorder="1" applyAlignment="1">
      <alignment horizontal="center" wrapText="1"/>
    </xf>
    <xf numFmtId="0" fontId="0" fillId="0" borderId="10" xfId="0" applyBorder="1" applyAlignment="1">
      <alignment horizontal="center" textRotation="90" wrapText="1"/>
    </xf>
    <xf numFmtId="0" fontId="2" fillId="3" borderId="10" xfId="0" applyFont="1" applyFill="1" applyBorder="1" applyAlignment="1">
      <alignment textRotation="90" wrapText="1"/>
    </xf>
    <xf numFmtId="0" fontId="2" fillId="3" borderId="9" xfId="0" applyFont="1" applyFill="1" applyBorder="1" applyAlignment="1">
      <alignment horizontal="center" vertical="center" textRotation="90" wrapText="1"/>
    </xf>
    <xf numFmtId="0" fontId="2" fillId="3" borderId="1" xfId="0" applyFont="1" applyFill="1" applyBorder="1" applyAlignment="1">
      <alignment horizontal="center" vertical="center" textRotation="90" wrapText="1"/>
    </xf>
    <xf numFmtId="0" fontId="19" fillId="0" borderId="0" xfId="0" applyFont="1"/>
    <xf numFmtId="0" fontId="0" fillId="0" borderId="9" xfId="0" applyBorder="1" applyAlignment="1">
      <alignment horizontal="left"/>
    </xf>
    <xf numFmtId="0" fontId="0" fillId="0" borderId="9" xfId="0" applyBorder="1" applyAlignment="1">
      <alignment horizontal="center"/>
    </xf>
    <xf numFmtId="0" fontId="0" fillId="4" borderId="9" xfId="0" applyFill="1" applyBorder="1" applyAlignment="1">
      <alignment horizontal="center" vertical="center"/>
    </xf>
    <xf numFmtId="0" fontId="12" fillId="9" borderId="9" xfId="3" applyBorder="1"/>
    <xf numFmtId="0" fontId="13" fillId="10" borderId="9" xfId="4" applyBorder="1"/>
    <xf numFmtId="0" fontId="14" fillId="11" borderId="9" xfId="5" applyBorder="1"/>
    <xf numFmtId="0" fontId="1" fillId="0" borderId="9" xfId="2" applyBorder="1"/>
    <xf numFmtId="49" fontId="0" fillId="0" borderId="0" xfId="0" applyNumberFormat="1"/>
    <xf numFmtId="0" fontId="0" fillId="0" borderId="39" xfId="0" applyBorder="1" applyAlignment="1">
      <alignment textRotation="90" wrapText="1"/>
    </xf>
    <xf numFmtId="0" fontId="2" fillId="3" borderId="0" xfId="0" applyFont="1" applyFill="1" applyAlignment="1">
      <alignment textRotation="90" wrapText="1"/>
    </xf>
    <xf numFmtId="0" fontId="0" fillId="0" borderId="44" xfId="0" applyBorder="1" applyAlignment="1">
      <alignment horizontal="center"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2" fillId="3" borderId="1" xfId="0" applyFont="1" applyFill="1" applyBorder="1" applyAlignment="1">
      <alignment horizontal="center" vertical="center" wrapText="1"/>
    </xf>
    <xf numFmtId="0" fontId="7" fillId="0" borderId="0" xfId="0" applyFont="1" applyAlignment="1">
      <alignment horizontal="right" vertical="center"/>
    </xf>
    <xf numFmtId="0" fontId="0" fillId="4" borderId="0" xfId="0" applyFill="1" applyAlignment="1">
      <alignment horizontal="center"/>
    </xf>
    <xf numFmtId="0" fontId="7" fillId="0" borderId="0" xfId="0" applyFont="1" applyAlignment="1">
      <alignment vertical="center"/>
    </xf>
    <xf numFmtId="0" fontId="21" fillId="4" borderId="0" xfId="0" applyFont="1" applyFill="1" applyAlignment="1">
      <alignment vertical="center"/>
    </xf>
    <xf numFmtId="0" fontId="23" fillId="13" borderId="9" xfId="0" applyFont="1" applyFill="1" applyBorder="1" applyAlignment="1">
      <alignment horizontal="center"/>
    </xf>
    <xf numFmtId="0" fontId="21" fillId="0" borderId="0" xfId="0" applyFont="1"/>
    <xf numFmtId="0" fontId="22" fillId="10" borderId="9" xfId="4" applyFont="1" applyBorder="1" applyAlignment="1">
      <alignment horizontal="center"/>
    </xf>
    <xf numFmtId="0" fontId="21" fillId="0" borderId="9" xfId="0" applyFont="1" applyBorder="1" applyAlignment="1">
      <alignment horizontal="center" vertical="center"/>
    </xf>
    <xf numFmtId="164" fontId="21" fillId="0" borderId="9" xfId="1" applyNumberFormat="1" applyFont="1" applyBorder="1" applyAlignment="1">
      <alignment horizontal="center"/>
    </xf>
    <xf numFmtId="0" fontId="21" fillId="0" borderId="9" xfId="1" applyNumberFormat="1" applyFont="1" applyBorder="1" applyAlignment="1">
      <alignment horizontal="center" vertical="center"/>
    </xf>
    <xf numFmtId="0" fontId="25" fillId="14" borderId="46" xfId="0" applyFont="1" applyFill="1" applyBorder="1" applyAlignment="1">
      <alignment horizontal="center" vertical="center" wrapText="1"/>
    </xf>
    <xf numFmtId="0" fontId="25" fillId="14" borderId="47" xfId="0" applyFont="1" applyFill="1" applyBorder="1" applyAlignment="1">
      <alignment horizontal="center" vertical="center" wrapText="1"/>
    </xf>
    <xf numFmtId="10" fontId="0" fillId="0" borderId="9" xfId="1" applyNumberFormat="1" applyFont="1" applyBorder="1" applyAlignment="1">
      <alignment horizontal="center"/>
    </xf>
    <xf numFmtId="2" fontId="26" fillId="0" borderId="41" xfId="0" applyNumberFormat="1" applyFont="1" applyBorder="1" applyAlignment="1">
      <alignment horizontal="center" vertical="center"/>
    </xf>
    <xf numFmtId="0" fontId="26" fillId="0" borderId="0" xfId="0" applyFont="1" applyAlignment="1">
      <alignment horizontal="center" vertical="center"/>
    </xf>
    <xf numFmtId="0" fontId="26" fillId="14" borderId="41" xfId="0" applyFont="1" applyFill="1" applyBorder="1" applyAlignment="1">
      <alignment horizontal="center" vertical="center"/>
    </xf>
    <xf numFmtId="0" fontId="26" fillId="0" borderId="41" xfId="0" applyFont="1" applyBorder="1" applyAlignment="1">
      <alignment horizontal="center" vertical="center"/>
    </xf>
    <xf numFmtId="0" fontId="25" fillId="14" borderId="49" xfId="0" applyFont="1" applyFill="1" applyBorder="1" applyAlignment="1">
      <alignment horizontal="center" vertical="center" wrapText="1"/>
    </xf>
    <xf numFmtId="0" fontId="25" fillId="14" borderId="21" xfId="0" applyFont="1" applyFill="1" applyBorder="1" applyAlignment="1">
      <alignment horizontal="center" vertical="center" wrapText="1"/>
    </xf>
    <xf numFmtId="0" fontId="25" fillId="14" borderId="1" xfId="0" applyFont="1" applyFill="1" applyBorder="1" applyAlignment="1">
      <alignment horizontal="center" vertical="center" wrapText="1"/>
    </xf>
    <xf numFmtId="0" fontId="25" fillId="14" borderId="50" xfId="0" applyFont="1" applyFill="1" applyBorder="1" applyAlignment="1">
      <alignment horizontal="center" vertical="center" wrapText="1"/>
    </xf>
    <xf numFmtId="0" fontId="0" fillId="0" borderId="16" xfId="0" applyBorder="1" applyAlignment="1">
      <alignment horizontal="center" vertical="center"/>
    </xf>
    <xf numFmtId="0" fontId="0" fillId="0" borderId="48" xfId="0" applyBorder="1" applyAlignment="1">
      <alignment horizontal="center" vertical="center"/>
    </xf>
    <xf numFmtId="0" fontId="25" fillId="14" borderId="29" xfId="0" applyFont="1" applyFill="1" applyBorder="1" applyAlignment="1">
      <alignment horizontal="center" vertical="center" wrapText="1"/>
    </xf>
    <xf numFmtId="0" fontId="0" fillId="0" borderId="24" xfId="0" applyBorder="1" applyAlignment="1">
      <alignment horizontal="center" vertical="center"/>
    </xf>
    <xf numFmtId="0" fontId="0" fillId="0" borderId="40" xfId="0" applyBorder="1" applyAlignment="1">
      <alignment horizontal="center" vertical="center"/>
    </xf>
    <xf numFmtId="0" fontId="25" fillId="14" borderId="33" xfId="0" applyFont="1" applyFill="1" applyBorder="1" applyAlignment="1">
      <alignment horizontal="center"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25" fillId="14" borderId="34" xfId="0" applyFont="1" applyFill="1" applyBorder="1" applyAlignment="1">
      <alignment horizontal="center" vertical="center" wrapText="1"/>
    </xf>
    <xf numFmtId="0" fontId="0" fillId="0" borderId="26"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164" fontId="0" fillId="0" borderId="30" xfId="1" applyNumberFormat="1" applyFont="1" applyBorder="1" applyAlignment="1">
      <alignment horizontal="center" vertical="center"/>
    </xf>
    <xf numFmtId="164" fontId="0" fillId="0" borderId="31" xfId="1" applyNumberFormat="1" applyFont="1" applyBorder="1" applyAlignment="1">
      <alignment horizontal="center" vertical="center"/>
    </xf>
    <xf numFmtId="164" fontId="0" fillId="0" borderId="32" xfId="1" applyNumberFormat="1" applyFont="1" applyBorder="1" applyAlignment="1">
      <alignment horizontal="center" vertical="center"/>
    </xf>
    <xf numFmtId="0" fontId="3" fillId="0" borderId="9" xfId="0" applyFont="1" applyBorder="1"/>
    <xf numFmtId="0" fontId="4" fillId="5" borderId="9" xfId="0" applyFont="1" applyFill="1" applyBorder="1"/>
    <xf numFmtId="164" fontId="4" fillId="5" borderId="9" xfId="0" applyNumberFormat="1" applyFont="1" applyFill="1" applyBorder="1" applyAlignment="1">
      <alignment horizontal="center"/>
    </xf>
    <xf numFmtId="0" fontId="9" fillId="6" borderId="9" xfId="0" applyFont="1" applyFill="1" applyBorder="1"/>
    <xf numFmtId="164" fontId="9" fillId="6" borderId="9" xfId="0" applyNumberFormat="1" applyFont="1" applyFill="1" applyBorder="1" applyAlignment="1">
      <alignment horizontal="center"/>
    </xf>
    <xf numFmtId="0" fontId="10" fillId="7" borderId="9" xfId="0" applyFont="1" applyFill="1" applyBorder="1"/>
    <xf numFmtId="164" fontId="10" fillId="7" borderId="9" xfId="0" applyNumberFormat="1" applyFont="1" applyFill="1" applyBorder="1" applyAlignment="1">
      <alignment horizontal="center"/>
    </xf>
    <xf numFmtId="0" fontId="11" fillId="8" borderId="9" xfId="0" applyFont="1" applyFill="1" applyBorder="1"/>
    <xf numFmtId="164" fontId="11" fillId="8" borderId="9" xfId="0" applyNumberFormat="1" applyFont="1" applyFill="1" applyBorder="1" applyAlignment="1">
      <alignment horizontal="center"/>
    </xf>
    <xf numFmtId="164" fontId="4" fillId="5" borderId="9" xfId="1" applyNumberFormat="1" applyFont="1" applyFill="1" applyBorder="1" applyAlignment="1">
      <alignment horizontal="center"/>
    </xf>
    <xf numFmtId="164" fontId="9" fillId="6" borderId="9" xfId="1" applyNumberFormat="1" applyFont="1" applyFill="1" applyBorder="1" applyAlignment="1">
      <alignment horizontal="center"/>
    </xf>
    <xf numFmtId="164" fontId="10" fillId="7" borderId="9" xfId="1" applyNumberFormat="1" applyFont="1" applyFill="1" applyBorder="1" applyAlignment="1">
      <alignment horizontal="center"/>
    </xf>
    <xf numFmtId="164" fontId="11" fillId="8" borderId="9" xfId="1" applyNumberFormat="1" applyFont="1" applyFill="1" applyBorder="1" applyAlignment="1">
      <alignment horizontal="center"/>
    </xf>
    <xf numFmtId="166" fontId="0" fillId="4" borderId="9" xfId="0" applyNumberFormat="1" applyFill="1" applyBorder="1" applyAlignment="1">
      <alignment horizontal="left"/>
    </xf>
    <xf numFmtId="0" fontId="0" fillId="0" borderId="9" xfId="0" applyBorder="1" applyAlignment="1">
      <alignment vertical="center"/>
    </xf>
    <xf numFmtId="0" fontId="0" fillId="15" borderId="51" xfId="0" applyFill="1" applyBorder="1"/>
    <xf numFmtId="0" fontId="0" fillId="2" borderId="10" xfId="0" applyFill="1" applyBorder="1" applyAlignment="1">
      <alignment horizontal="center" vertical="center" wrapText="1"/>
    </xf>
    <xf numFmtId="0" fontId="0" fillId="0" borderId="51" xfId="0" applyBorder="1"/>
    <xf numFmtId="0" fontId="28" fillId="0" borderId="9" xfId="0" applyFont="1" applyBorder="1" applyAlignment="1">
      <alignment horizontal="center" vertical="center" wrapText="1"/>
    </xf>
    <xf numFmtId="0" fontId="29" fillId="0" borderId="9" xfId="0" applyFont="1" applyBorder="1" applyAlignment="1">
      <alignment horizontal="center" vertical="center" wrapText="1"/>
    </xf>
    <xf numFmtId="0" fontId="0" fillId="12" borderId="10" xfId="0" applyFill="1" applyBorder="1" applyAlignment="1">
      <alignment horizontal="center" vertical="center" wrapText="1"/>
    </xf>
    <xf numFmtId="0" fontId="29" fillId="0" borderId="10" xfId="0" applyFont="1" applyBorder="1" applyAlignment="1">
      <alignment horizontal="center" vertical="center" wrapText="1"/>
    </xf>
    <xf numFmtId="0" fontId="2" fillId="3" borderId="17" xfId="0" applyFont="1" applyFill="1" applyBorder="1" applyAlignment="1">
      <alignment textRotation="90" wrapText="1"/>
    </xf>
    <xf numFmtId="0" fontId="0" fillId="12" borderId="11" xfId="0" applyFill="1" applyBorder="1" applyAlignment="1">
      <alignment horizontal="center" vertical="center" wrapText="1"/>
    </xf>
    <xf numFmtId="0" fontId="0" fillId="2" borderId="9" xfId="0" applyFill="1" applyBorder="1" applyAlignment="1">
      <alignment horizontal="center" vertical="center" wrapText="1"/>
    </xf>
    <xf numFmtId="0" fontId="2" fillId="3" borderId="9" xfId="0" applyFont="1" applyFill="1" applyBorder="1" applyAlignment="1">
      <alignment horizontal="center" vertical="center" wrapText="1"/>
    </xf>
    <xf numFmtId="0" fontId="30" fillId="0" borderId="0" xfId="0" applyFont="1"/>
    <xf numFmtId="0" fontId="31" fillId="0" borderId="0" xfId="0" applyFont="1"/>
    <xf numFmtId="0" fontId="30" fillId="19" borderId="61" xfId="0" applyFont="1" applyFill="1" applyBorder="1" applyAlignment="1">
      <alignment horizontal="center" vertical="center" wrapText="1"/>
    </xf>
    <xf numFmtId="0" fontId="30" fillId="19" borderId="62" xfId="0" applyFont="1" applyFill="1" applyBorder="1" applyAlignment="1">
      <alignment horizontal="center" textRotation="90" wrapText="1"/>
    </xf>
    <xf numFmtId="0" fontId="32" fillId="19" borderId="62" xfId="0" applyFont="1" applyFill="1" applyBorder="1" applyAlignment="1">
      <alignment horizontal="center" textRotation="90" wrapText="1"/>
    </xf>
    <xf numFmtId="0" fontId="30" fillId="19" borderId="62" xfId="0" applyFont="1" applyFill="1" applyBorder="1" applyAlignment="1">
      <alignment horizontal="center" vertical="center" wrapText="1"/>
    </xf>
    <xf numFmtId="0" fontId="30" fillId="19" borderId="63" xfId="0" applyFont="1" applyFill="1" applyBorder="1" applyAlignment="1">
      <alignment horizontal="center" vertical="center" wrapText="1"/>
    </xf>
    <xf numFmtId="0" fontId="30" fillId="19" borderId="67" xfId="0" applyFont="1" applyFill="1" applyBorder="1" applyAlignment="1">
      <alignment horizontal="center" vertical="center" wrapText="1"/>
    </xf>
    <xf numFmtId="0" fontId="30" fillId="19" borderId="34" xfId="0" applyFont="1" applyFill="1" applyBorder="1" applyAlignment="1">
      <alignment horizontal="center" vertical="center" wrapText="1"/>
    </xf>
    <xf numFmtId="0" fontId="30" fillId="19" borderId="72" xfId="0" applyFont="1" applyFill="1" applyBorder="1" applyAlignment="1">
      <alignment horizontal="center" vertical="center" wrapText="1"/>
    </xf>
    <xf numFmtId="0" fontId="30" fillId="19" borderId="61" xfId="0" applyFont="1" applyFill="1" applyBorder="1" applyAlignment="1">
      <alignment horizontal="center" textRotation="90" wrapText="1"/>
    </xf>
    <xf numFmtId="0" fontId="32" fillId="19" borderId="63" xfId="0" applyFont="1" applyFill="1" applyBorder="1" applyAlignment="1">
      <alignment horizontal="center" textRotation="90" wrapText="1"/>
    </xf>
    <xf numFmtId="0" fontId="0" fillId="0" borderId="28" xfId="0" applyBorder="1"/>
    <xf numFmtId="0" fontId="0" fillId="0" borderId="14" xfId="0" applyBorder="1"/>
    <xf numFmtId="0" fontId="0" fillId="0" borderId="52" xfId="0" applyBorder="1"/>
    <xf numFmtId="0" fontId="30" fillId="19" borderId="30" xfId="0" applyFont="1" applyFill="1" applyBorder="1" applyAlignment="1">
      <alignment horizontal="center" textRotation="90" wrapText="1"/>
    </xf>
    <xf numFmtId="0" fontId="30" fillId="19" borderId="32" xfId="0" applyFont="1" applyFill="1" applyBorder="1" applyAlignment="1">
      <alignment horizontal="center" textRotation="90" wrapText="1"/>
    </xf>
    <xf numFmtId="0" fontId="30" fillId="19" borderId="58" xfId="0" applyFont="1" applyFill="1" applyBorder="1" applyAlignment="1">
      <alignment horizontal="center" vertical="center" wrapText="1"/>
    </xf>
    <xf numFmtId="0" fontId="30" fillId="0" borderId="74" xfId="0" applyFont="1" applyBorder="1" applyAlignment="1">
      <alignment horizontal="center" vertical="center"/>
    </xf>
    <xf numFmtId="0" fontId="30" fillId="0" borderId="55" xfId="0" applyFont="1" applyBorder="1" applyAlignment="1">
      <alignment horizontal="center" vertical="center"/>
    </xf>
    <xf numFmtId="0" fontId="30" fillId="0" borderId="47" xfId="0" applyFont="1" applyBorder="1" applyAlignment="1">
      <alignment horizontal="center" vertical="center"/>
    </xf>
    <xf numFmtId="0" fontId="30" fillId="0" borderId="56" xfId="0" applyFont="1" applyBorder="1" applyAlignment="1">
      <alignment horizontal="center" vertical="center"/>
    </xf>
    <xf numFmtId="0" fontId="31" fillId="0" borderId="73" xfId="0" applyFont="1" applyBorder="1" applyAlignment="1">
      <alignment horizontal="center" vertical="center"/>
    </xf>
    <xf numFmtId="0" fontId="30" fillId="0" borderId="75" xfId="0" applyFont="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vertical="center"/>
    </xf>
    <xf numFmtId="0" fontId="30" fillId="0" borderId="60" xfId="0" applyFont="1" applyBorder="1" applyAlignment="1">
      <alignment horizontal="center" vertical="center"/>
    </xf>
    <xf numFmtId="0" fontId="31" fillId="0" borderId="41" xfId="0" applyFont="1" applyBorder="1" applyAlignment="1">
      <alignment horizontal="center" vertical="center"/>
    </xf>
    <xf numFmtId="0" fontId="31" fillId="0" borderId="59" xfId="0" applyFont="1" applyBorder="1" applyAlignment="1">
      <alignment horizontal="center" vertical="center"/>
    </xf>
    <xf numFmtId="0" fontId="30" fillId="0" borderId="0" xfId="0" applyFont="1" applyAlignment="1">
      <alignment horizontal="center" vertical="center"/>
    </xf>
    <xf numFmtId="0" fontId="31" fillId="0" borderId="0" xfId="0" applyFont="1" applyAlignment="1">
      <alignment horizontal="center" vertical="center"/>
    </xf>
    <xf numFmtId="0" fontId="31" fillId="0" borderId="68" xfId="0" applyFont="1" applyBorder="1" applyAlignment="1">
      <alignment horizontal="center" vertical="center"/>
    </xf>
    <xf numFmtId="0" fontId="31" fillId="0" borderId="69" xfId="0" applyFont="1" applyBorder="1" applyAlignment="1">
      <alignment horizontal="center" vertical="center"/>
    </xf>
    <xf numFmtId="0" fontId="31" fillId="0" borderId="70" xfId="0" applyFont="1" applyBorder="1" applyAlignment="1">
      <alignment horizontal="center" vertical="center"/>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6" xfId="0" applyFont="1" applyBorder="1" applyAlignment="1">
      <alignment horizontal="left" vertical="center"/>
    </xf>
    <xf numFmtId="2" fontId="26" fillId="0" borderId="76" xfId="0" applyNumberFormat="1" applyFont="1" applyBorder="1" applyAlignment="1">
      <alignment horizontal="center" vertical="center"/>
    </xf>
    <xf numFmtId="0" fontId="26" fillId="0" borderId="76" xfId="0" applyFont="1" applyBorder="1" applyAlignment="1">
      <alignment horizontal="center" vertical="center"/>
    </xf>
    <xf numFmtId="0" fontId="26" fillId="0" borderId="9" xfId="0" applyFont="1" applyBorder="1" applyAlignment="1">
      <alignment horizontal="center" vertical="center"/>
    </xf>
    <xf numFmtId="2" fontId="26" fillId="0" borderId="9" xfId="0" applyNumberFormat="1" applyFont="1" applyBorder="1" applyAlignment="1">
      <alignment horizontal="center" vertical="center"/>
    </xf>
    <xf numFmtId="16" fontId="31" fillId="0" borderId="41" xfId="0" applyNumberFormat="1" applyFont="1" applyBorder="1" applyAlignment="1">
      <alignment horizontal="center" vertical="center"/>
    </xf>
    <xf numFmtId="0" fontId="34" fillId="0" borderId="47" xfId="0" applyFont="1" applyBorder="1" applyAlignment="1">
      <alignment horizontal="center" vertical="center"/>
    </xf>
    <xf numFmtId="0" fontId="0" fillId="0" borderId="51" xfId="0" applyBorder="1" applyAlignment="1">
      <alignment horizontal="right" wrapText="1"/>
    </xf>
    <xf numFmtId="0" fontId="0" fillId="0" borderId="51" xfId="0" applyBorder="1" applyAlignment="1">
      <alignment horizontal="left" wrapText="1"/>
    </xf>
    <xf numFmtId="0" fontId="35" fillId="0" borderId="56" xfId="0" applyFont="1" applyBorder="1" applyAlignment="1">
      <alignment horizontal="center" vertical="center"/>
    </xf>
    <xf numFmtId="0" fontId="28" fillId="0" borderId="51" xfId="0" applyFont="1" applyBorder="1"/>
    <xf numFmtId="0" fontId="0" fillId="2" borderId="42" xfId="0" applyFill="1" applyBorder="1" applyAlignment="1">
      <alignment horizontal="center" vertical="center" wrapText="1"/>
    </xf>
    <xf numFmtId="0" fontId="0" fillId="0" borderId="78" xfId="0" applyBorder="1"/>
    <xf numFmtId="0" fontId="0" fillId="15" borderId="0" xfId="0" applyFill="1"/>
    <xf numFmtId="0" fontId="34" fillId="0" borderId="55" xfId="0" applyFont="1" applyBorder="1" applyAlignment="1">
      <alignment horizontal="center" vertical="center"/>
    </xf>
    <xf numFmtId="0" fontId="0" fillId="0" borderId="9" xfId="0" applyBorder="1" applyAlignment="1">
      <alignment horizontal="left" vertical="center"/>
    </xf>
    <xf numFmtId="0" fontId="29" fillId="0" borderId="9" xfId="0" applyFont="1" applyBorder="1" applyAlignment="1">
      <alignment horizontal="center" vertical="center"/>
    </xf>
    <xf numFmtId="0" fontId="36" fillId="0" borderId="73" xfId="0" applyFont="1" applyBorder="1" applyAlignment="1">
      <alignment horizontal="center" vertical="center"/>
    </xf>
    <xf numFmtId="0" fontId="37" fillId="0" borderId="56" xfId="0" applyFont="1" applyBorder="1" applyAlignment="1">
      <alignment horizontal="center" vertical="center"/>
    </xf>
    <xf numFmtId="0" fontId="0" fillId="0" borderId="51" xfId="0" applyBorder="1" applyAlignment="1">
      <alignment horizontal="left" vertical="center" wrapText="1"/>
    </xf>
    <xf numFmtId="0" fontId="28" fillId="0" borderId="10" xfId="0" applyFont="1" applyBorder="1" applyAlignment="1">
      <alignment horizontal="center" vertical="center" wrapText="1"/>
    </xf>
    <xf numFmtId="0" fontId="2" fillId="3" borderId="4" xfId="0" applyFont="1" applyFill="1" applyBorder="1" applyAlignment="1">
      <alignment textRotation="90" wrapText="1"/>
    </xf>
    <xf numFmtId="0" fontId="0" fillId="12" borderId="79" xfId="0" applyFill="1" applyBorder="1" applyAlignment="1">
      <alignment horizontal="center" vertical="center" wrapText="1"/>
    </xf>
    <xf numFmtId="0" fontId="29" fillId="0" borderId="19" xfId="0" applyFont="1" applyBorder="1" applyAlignment="1">
      <alignment horizontal="center" vertical="center" wrapText="1"/>
    </xf>
    <xf numFmtId="0" fontId="0" fillId="0" borderId="9" xfId="0" applyBorder="1" applyAlignment="1">
      <alignment horizontal="right" vertical="center"/>
    </xf>
    <xf numFmtId="0" fontId="38" fillId="0" borderId="73" xfId="0" applyFont="1" applyBorder="1" applyAlignment="1">
      <alignment horizontal="center" vertical="center"/>
    </xf>
    <xf numFmtId="0" fontId="31" fillId="0" borderId="80" xfId="0" applyFont="1" applyBorder="1" applyAlignment="1">
      <alignment horizontal="center" vertical="center"/>
    </xf>
    <xf numFmtId="0" fontId="31" fillId="0" borderId="81" xfId="0" applyFont="1" applyBorder="1" applyAlignment="1">
      <alignment horizontal="left" vertical="center"/>
    </xf>
    <xf numFmtId="0" fontId="30" fillId="0" borderId="82" xfId="0" applyFont="1" applyBorder="1" applyAlignment="1">
      <alignment horizontal="center" vertical="center"/>
    </xf>
    <xf numFmtId="0" fontId="30" fillId="0" borderId="83" xfId="0" applyFont="1" applyBorder="1" applyAlignment="1">
      <alignment horizontal="center" vertical="center"/>
    </xf>
    <xf numFmtId="0" fontId="30" fillId="0" borderId="77" xfId="0" applyFont="1" applyBorder="1" applyAlignment="1">
      <alignment horizontal="center" vertical="center"/>
    </xf>
    <xf numFmtId="0" fontId="30" fillId="0" borderId="84" xfId="0" applyFont="1" applyBorder="1" applyAlignment="1">
      <alignment horizontal="center" vertical="center"/>
    </xf>
    <xf numFmtId="0" fontId="31" fillId="0" borderId="85" xfId="0" applyFont="1" applyBorder="1" applyAlignment="1">
      <alignment horizontal="center" vertical="center"/>
    </xf>
    <xf numFmtId="0" fontId="0" fillId="0" borderId="22" xfId="0" applyBorder="1"/>
    <xf numFmtId="0" fontId="0" fillId="0" borderId="9" xfId="0" applyBorder="1" applyAlignment="1">
      <alignment horizontal="right"/>
    </xf>
    <xf numFmtId="0" fontId="0" fillId="0" borderId="44" xfId="0" applyBorder="1"/>
    <xf numFmtId="0" fontId="0" fillId="0" borderId="25" xfId="0" applyBorder="1"/>
    <xf numFmtId="0" fontId="31" fillId="0" borderId="9" xfId="0" applyFont="1" applyBorder="1" applyAlignment="1">
      <alignment horizontal="center" vertical="center"/>
    </xf>
    <xf numFmtId="0" fontId="31" fillId="0" borderId="9" xfId="0" applyFont="1" applyBorder="1" applyAlignment="1">
      <alignment horizontal="left" vertical="center"/>
    </xf>
    <xf numFmtId="0" fontId="30" fillId="0" borderId="9" xfId="0" applyFont="1" applyBorder="1" applyAlignment="1">
      <alignment horizontal="center" vertical="center"/>
    </xf>
    <xf numFmtId="0" fontId="18" fillId="0" borderId="9" xfId="0" applyFont="1" applyBorder="1" applyAlignment="1">
      <alignment horizontal="center" vertical="center"/>
    </xf>
    <xf numFmtId="0" fontId="17" fillId="0" borderId="0" xfId="0" applyFont="1" applyAlignment="1">
      <alignment horizontal="center" vertical="center"/>
    </xf>
    <xf numFmtId="0" fontId="0" fillId="0" borderId="0" xfId="0" applyAlignment="1">
      <alignment horizontal="center" vertical="center" wrapText="1"/>
    </xf>
    <xf numFmtId="0" fontId="0" fillId="0" borderId="9" xfId="0" applyBorder="1" applyAlignment="1">
      <alignment horizontal="left" vertical="center" wrapText="1"/>
    </xf>
    <xf numFmtId="49" fontId="20" fillId="0" borderId="0" xfId="6" applyNumberFormat="1" applyFont="1" applyAlignment="1">
      <alignment horizontal="left" vertical="center"/>
    </xf>
    <xf numFmtId="49" fontId="20" fillId="0" borderId="9" xfId="6" applyNumberFormat="1" applyFont="1" applyBorder="1" applyAlignment="1">
      <alignment horizontal="left" vertical="center"/>
    </xf>
    <xf numFmtId="0" fontId="18" fillId="0" borderId="9" xfId="0" applyFont="1" applyBorder="1" applyAlignment="1">
      <alignment horizontal="center" vertical="center" wrapText="1"/>
    </xf>
    <xf numFmtId="49" fontId="20" fillId="0" borderId="9" xfId="6" applyNumberFormat="1" applyFont="1" applyBorder="1" applyAlignment="1">
      <alignment horizontal="left" vertical="center" wrapText="1"/>
    </xf>
    <xf numFmtId="49" fontId="20" fillId="0" borderId="9" xfId="6" quotePrefix="1" applyNumberFormat="1" applyFont="1" applyBorder="1" applyAlignment="1">
      <alignment horizontal="left" vertical="center" wrapText="1"/>
    </xf>
    <xf numFmtId="0" fontId="18" fillId="0" borderId="23" xfId="0" applyFont="1" applyBorder="1" applyAlignment="1">
      <alignment horizontal="center" vertical="center"/>
    </xf>
    <xf numFmtId="0" fontId="18" fillId="0" borderId="44" xfId="0" applyFont="1" applyBorder="1" applyAlignment="1">
      <alignment horizontal="center" vertical="center"/>
    </xf>
    <xf numFmtId="0" fontId="18" fillId="0" borderId="53" xfId="0" applyFont="1" applyBorder="1" applyAlignment="1">
      <alignment horizontal="center" vertical="center"/>
    </xf>
    <xf numFmtId="0" fontId="18" fillId="0" borderId="54" xfId="0" applyFont="1" applyBorder="1" applyAlignment="1">
      <alignment horizontal="center" vertical="center"/>
    </xf>
    <xf numFmtId="0" fontId="18" fillId="0" borderId="43" xfId="0" applyFont="1" applyBorder="1" applyAlignment="1">
      <alignment horizontal="center" vertical="center"/>
    </xf>
    <xf numFmtId="0" fontId="18" fillId="0" borderId="42" xfId="0" applyFont="1" applyBorder="1" applyAlignment="1">
      <alignment horizontal="center" vertical="center"/>
    </xf>
    <xf numFmtId="49" fontId="20" fillId="0" borderId="36" xfId="6" quotePrefix="1" applyNumberFormat="1" applyFont="1" applyBorder="1" applyAlignment="1">
      <alignment horizontal="left" vertical="center"/>
    </xf>
    <xf numFmtId="49" fontId="20" fillId="0" borderId="71" xfId="6" applyNumberFormat="1" applyFont="1" applyBorder="1" applyAlignment="1">
      <alignment horizontal="left" vertical="center"/>
    </xf>
    <xf numFmtId="49" fontId="20" fillId="0" borderId="40" xfId="6" applyNumberFormat="1" applyFont="1" applyBorder="1" applyAlignment="1">
      <alignment horizontal="left" vertical="center"/>
    </xf>
    <xf numFmtId="0" fontId="0" fillId="0" borderId="36" xfId="0" applyBorder="1" applyAlignment="1">
      <alignment horizontal="center" vertical="center" wrapText="1"/>
    </xf>
    <xf numFmtId="0" fontId="0" fillId="0" borderId="71" xfId="0" applyBorder="1" applyAlignment="1">
      <alignment horizontal="center" vertical="center" wrapText="1"/>
    </xf>
    <xf numFmtId="0" fontId="0" fillId="0" borderId="40" xfId="0" applyBorder="1" applyAlignment="1">
      <alignment horizontal="center" vertical="center" wrapText="1"/>
    </xf>
    <xf numFmtId="0" fontId="27" fillId="0" borderId="0" xfId="0" applyFont="1" applyAlignment="1">
      <alignment horizontal="center" vertical="center" wrapText="1"/>
    </xf>
    <xf numFmtId="0" fontId="20" fillId="0" borderId="9" xfId="6" applyFont="1" applyBorder="1" applyAlignment="1">
      <alignment horizontal="left" vertical="center"/>
    </xf>
    <xf numFmtId="0" fontId="0" fillId="0" borderId="9" xfId="0" applyBorder="1" applyAlignment="1">
      <alignment horizontal="center"/>
    </xf>
    <xf numFmtId="0" fontId="0" fillId="0" borderId="9" xfId="0" applyBorder="1" applyAlignment="1">
      <alignment horizontal="center" wrapText="1"/>
    </xf>
    <xf numFmtId="49" fontId="0" fillId="0" borderId="9" xfId="0" applyNumberFormat="1" applyBorder="1" applyAlignment="1">
      <alignment horizontal="left" vertical="center" wrapText="1"/>
    </xf>
    <xf numFmtId="0" fontId="5" fillId="2" borderId="9"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5" fillId="2" borderId="27"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5" fillId="2" borderId="37" xfId="0" applyFont="1" applyFill="1" applyBorder="1" applyAlignment="1">
      <alignment horizontal="center" vertical="center" wrapText="1"/>
    </xf>
    <xf numFmtId="0" fontId="5" fillId="2" borderId="38" xfId="0" applyFont="1" applyFill="1" applyBorder="1" applyAlignment="1">
      <alignment horizontal="center" vertical="center" wrapText="1"/>
    </xf>
    <xf numFmtId="0" fontId="5" fillId="2" borderId="18" xfId="0" applyFont="1" applyFill="1" applyBorder="1" applyAlignment="1">
      <alignment horizontal="center" vertical="center" wrapText="1"/>
    </xf>
    <xf numFmtId="0" fontId="5" fillId="2" borderId="35"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0" borderId="34"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20" xfId="0" applyFont="1" applyBorder="1" applyAlignment="1">
      <alignment horizontal="center" vertical="center" wrapText="1"/>
    </xf>
    <xf numFmtId="0" fontId="7" fillId="0" borderId="0" xfId="0" applyFont="1" applyAlignment="1">
      <alignment horizontal="right" vertical="center"/>
    </xf>
    <xf numFmtId="14" fontId="0" fillId="4" borderId="0" xfId="0" applyNumberFormat="1" applyFill="1" applyAlignment="1">
      <alignment horizontal="left"/>
    </xf>
    <xf numFmtId="0" fontId="0" fillId="4" borderId="0" xfId="0" applyFill="1" applyAlignment="1">
      <alignment horizontal="left"/>
    </xf>
    <xf numFmtId="0" fontId="25" fillId="14" borderId="46" xfId="0" applyFont="1" applyFill="1" applyBorder="1" applyAlignment="1">
      <alignment horizontal="center" vertical="center" wrapText="1"/>
    </xf>
    <xf numFmtId="0" fontId="25" fillId="14" borderId="77" xfId="0" applyFont="1" applyFill="1" applyBorder="1" applyAlignment="1">
      <alignment horizontal="center" vertical="center" wrapText="1"/>
    </xf>
    <xf numFmtId="0" fontId="5" fillId="0" borderId="0" xfId="0" applyFont="1" applyAlignment="1">
      <alignment horizontal="center"/>
    </xf>
    <xf numFmtId="165" fontId="0" fillId="4" borderId="0" xfId="0" applyNumberFormat="1" applyFill="1" applyAlignment="1">
      <alignment horizontal="left"/>
    </xf>
    <xf numFmtId="0" fontId="25" fillId="14" borderId="47" xfId="0" applyFont="1" applyFill="1" applyBorder="1" applyAlignment="1">
      <alignment horizontal="center" vertical="center" wrapText="1"/>
    </xf>
    <xf numFmtId="0" fontId="25" fillId="14" borderId="9" xfId="0" applyFont="1" applyFill="1" applyBorder="1" applyAlignment="1">
      <alignment horizontal="center" vertical="center" wrapText="1"/>
    </xf>
    <xf numFmtId="0" fontId="25" fillId="14" borderId="1" xfId="0" applyFont="1" applyFill="1" applyBorder="1" applyAlignment="1">
      <alignment horizontal="center" vertical="center" wrapText="1"/>
    </xf>
    <xf numFmtId="0" fontId="25" fillId="14" borderId="10" xfId="0" applyFont="1" applyFill="1" applyBorder="1" applyAlignment="1">
      <alignment horizontal="center" vertical="center" wrapText="1"/>
    </xf>
    <xf numFmtId="0" fontId="22" fillId="10" borderId="36" xfId="4" applyFont="1" applyBorder="1" applyAlignment="1">
      <alignment horizontal="center"/>
    </xf>
    <xf numFmtId="0" fontId="22" fillId="10" borderId="40" xfId="4" applyFont="1" applyBorder="1" applyAlignment="1">
      <alignment horizontal="center"/>
    </xf>
    <xf numFmtId="0" fontId="8" fillId="0" borderId="0" xfId="0" applyFont="1" applyAlignment="1">
      <alignment horizontal="center"/>
    </xf>
    <xf numFmtId="165" fontId="0" fillId="4" borderId="0" xfId="0" applyNumberFormat="1" applyFill="1" applyAlignment="1">
      <alignment horizontal="left" vertical="center"/>
    </xf>
    <xf numFmtId="0" fontId="7" fillId="0" borderId="45" xfId="0" applyFont="1" applyBorder="1" applyAlignment="1">
      <alignment horizontal="center"/>
    </xf>
    <xf numFmtId="0" fontId="23" fillId="13" borderId="9" xfId="0" applyFont="1" applyFill="1" applyBorder="1" applyAlignment="1">
      <alignment horizontal="center"/>
    </xf>
    <xf numFmtId="0" fontId="24" fillId="0" borderId="45" xfId="0" applyFont="1" applyBorder="1" applyAlignment="1">
      <alignment horizontal="center"/>
    </xf>
    <xf numFmtId="0" fontId="25" fillId="14" borderId="6" xfId="0" applyFont="1" applyFill="1" applyBorder="1" applyAlignment="1">
      <alignment horizontal="center" vertical="center" wrapText="1"/>
    </xf>
    <xf numFmtId="0" fontId="25" fillId="14" borderId="17" xfId="0" applyFont="1" applyFill="1" applyBorder="1" applyAlignment="1">
      <alignment horizontal="center" vertical="center" wrapText="1"/>
    </xf>
    <xf numFmtId="0" fontId="25" fillId="14" borderId="16" xfId="0" applyFont="1" applyFill="1" applyBorder="1" applyAlignment="1">
      <alignment horizontal="center" vertical="center" wrapText="1"/>
    </xf>
    <xf numFmtId="0" fontId="25" fillId="14" borderId="48" xfId="0" applyFont="1" applyFill="1" applyBorder="1" applyAlignment="1">
      <alignment horizontal="center" vertical="center" wrapText="1"/>
    </xf>
    <xf numFmtId="0" fontId="0" fillId="4" borderId="0" xfId="0" applyFill="1" applyAlignment="1">
      <alignment horizontal="left" vertical="center"/>
    </xf>
    <xf numFmtId="165" fontId="0" fillId="0" borderId="0" xfId="0" applyNumberFormat="1" applyAlignment="1">
      <alignment horizontal="left" vertical="center"/>
    </xf>
    <xf numFmtId="0" fontId="0" fillId="0" borderId="26" xfId="0" applyBorder="1" applyAlignment="1">
      <alignment horizontal="center"/>
    </xf>
    <xf numFmtId="0" fontId="0" fillId="0" borderId="4" xfId="0" applyBorder="1" applyAlignment="1">
      <alignment horizontal="center"/>
    </xf>
    <xf numFmtId="0" fontId="0" fillId="0" borderId="3" xfId="0" applyBorder="1" applyAlignment="1">
      <alignment horizontal="center"/>
    </xf>
    <xf numFmtId="0" fontId="7" fillId="0" borderId="0" xfId="0" applyFont="1" applyAlignment="1">
      <alignment horizontal="center"/>
    </xf>
    <xf numFmtId="0" fontId="7" fillId="0" borderId="0" xfId="0" applyFont="1" applyAlignment="1">
      <alignment horizontal="right"/>
    </xf>
    <xf numFmtId="165" fontId="0" fillId="0" borderId="0" xfId="0" applyNumberFormat="1" applyAlignment="1">
      <alignment horizontal="left"/>
    </xf>
    <xf numFmtId="0" fontId="11" fillId="8" borderId="9" xfId="0" applyFont="1" applyFill="1" applyBorder="1" applyAlignment="1">
      <alignment horizontal="center" vertical="center"/>
    </xf>
    <xf numFmtId="164" fontId="11" fillId="8" borderId="9" xfId="0" applyNumberFormat="1" applyFont="1" applyFill="1" applyBorder="1" applyAlignment="1">
      <alignment horizontal="center" vertical="center"/>
    </xf>
    <xf numFmtId="0" fontId="9" fillId="6" borderId="9" xfId="0" applyFont="1" applyFill="1" applyBorder="1" applyAlignment="1">
      <alignment horizontal="center" vertical="center"/>
    </xf>
    <xf numFmtId="164" fontId="9" fillId="6" borderId="9" xfId="0" applyNumberFormat="1" applyFont="1" applyFill="1" applyBorder="1" applyAlignment="1">
      <alignment horizontal="center" vertical="center"/>
    </xf>
    <xf numFmtId="9" fontId="9" fillId="6" borderId="9" xfId="0" applyNumberFormat="1" applyFont="1" applyFill="1" applyBorder="1" applyAlignment="1">
      <alignment horizontal="center" vertical="center"/>
    </xf>
    <xf numFmtId="9" fontId="11" fillId="8" borderId="9" xfId="0" applyNumberFormat="1" applyFont="1" applyFill="1" applyBorder="1" applyAlignment="1">
      <alignment horizontal="center" vertical="center"/>
    </xf>
    <xf numFmtId="0" fontId="11" fillId="8" borderId="36" xfId="0" applyFont="1" applyFill="1" applyBorder="1" applyAlignment="1">
      <alignment horizontal="center"/>
    </xf>
    <xf numFmtId="0" fontId="11" fillId="8" borderId="40" xfId="0" applyFont="1" applyFill="1" applyBorder="1" applyAlignment="1">
      <alignment horizontal="center"/>
    </xf>
    <xf numFmtId="0" fontId="10" fillId="7" borderId="36" xfId="0" applyFont="1" applyFill="1" applyBorder="1" applyAlignment="1">
      <alignment horizontal="center"/>
    </xf>
    <xf numFmtId="0" fontId="10" fillId="7" borderId="40" xfId="0" applyFont="1" applyFill="1" applyBorder="1" applyAlignment="1">
      <alignment horizontal="center"/>
    </xf>
    <xf numFmtId="0" fontId="9" fillId="6" borderId="36" xfId="0" applyFont="1" applyFill="1" applyBorder="1" applyAlignment="1">
      <alignment horizontal="center"/>
    </xf>
    <xf numFmtId="0" fontId="9" fillId="6" borderId="40" xfId="0" applyFont="1" applyFill="1" applyBorder="1" applyAlignment="1">
      <alignment horizontal="center"/>
    </xf>
    <xf numFmtId="0" fontId="4" fillId="5" borderId="36" xfId="0" applyFont="1" applyFill="1" applyBorder="1" applyAlignment="1">
      <alignment horizontal="center"/>
    </xf>
    <xf numFmtId="0" fontId="4" fillId="5" borderId="40" xfId="0" applyFont="1" applyFill="1" applyBorder="1" applyAlignment="1">
      <alignment horizontal="center"/>
    </xf>
    <xf numFmtId="0" fontId="3" fillId="0" borderId="0" xfId="0" applyFont="1" applyAlignment="1">
      <alignment horizontal="center"/>
    </xf>
    <xf numFmtId="0" fontId="31" fillId="18" borderId="14" xfId="0" applyFont="1" applyFill="1" applyBorder="1" applyAlignment="1">
      <alignment horizontal="center" vertical="center"/>
    </xf>
    <xf numFmtId="0" fontId="31" fillId="18" borderId="15" xfId="0" applyFont="1" applyFill="1" applyBorder="1" applyAlignment="1">
      <alignment horizontal="center" vertical="center"/>
    </xf>
    <xf numFmtId="0" fontId="31" fillId="16" borderId="6" xfId="0" applyFont="1" applyFill="1" applyBorder="1" applyAlignment="1">
      <alignment horizontal="center" vertical="center"/>
    </xf>
    <xf numFmtId="0" fontId="31" fillId="16" borderId="16" xfId="0" applyFont="1" applyFill="1" applyBorder="1" applyAlignment="1">
      <alignment horizontal="center" vertical="center"/>
    </xf>
    <xf numFmtId="0" fontId="31" fillId="17" borderId="28" xfId="0" applyFont="1" applyFill="1" applyBorder="1" applyAlignment="1">
      <alignment horizontal="center" vertical="center"/>
    </xf>
    <xf numFmtId="0" fontId="31" fillId="17" borderId="24" xfId="0" applyFont="1" applyFill="1" applyBorder="1" applyAlignment="1">
      <alignment horizontal="center" vertical="center"/>
    </xf>
    <xf numFmtId="167" fontId="0" fillId="4" borderId="0" xfId="0" applyNumberFormat="1" applyFill="1" applyAlignment="1">
      <alignment horizontal="left"/>
    </xf>
    <xf numFmtId="49" fontId="29" fillId="2" borderId="0" xfId="0" applyNumberFormat="1" applyFont="1" applyFill="1" applyAlignment="1">
      <alignment horizontal="left"/>
    </xf>
    <xf numFmtId="0" fontId="31" fillId="16" borderId="11" xfId="0" applyFont="1" applyFill="1" applyBorder="1" applyAlignment="1">
      <alignment horizontal="center" vertical="center"/>
    </xf>
    <xf numFmtId="0" fontId="31" fillId="16" borderId="52" xfId="0" applyFont="1" applyFill="1" applyBorder="1" applyAlignment="1">
      <alignment horizontal="center" vertical="center"/>
    </xf>
    <xf numFmtId="0" fontId="33" fillId="0" borderId="0" xfId="0" applyFont="1" applyAlignment="1">
      <alignment horizontal="center"/>
    </xf>
    <xf numFmtId="165" fontId="7" fillId="4" borderId="34" xfId="0" applyNumberFormat="1" applyFont="1" applyFill="1" applyBorder="1" applyAlignment="1">
      <alignment horizontal="center"/>
    </xf>
    <xf numFmtId="165" fontId="7" fillId="4" borderId="37" xfId="0" applyNumberFormat="1" applyFont="1" applyFill="1" applyBorder="1" applyAlignment="1">
      <alignment horizontal="center"/>
    </xf>
    <xf numFmtId="165" fontId="7" fillId="4" borderId="38" xfId="0" applyNumberFormat="1" applyFont="1" applyFill="1" applyBorder="1" applyAlignment="1">
      <alignment horizontal="center"/>
    </xf>
    <xf numFmtId="165" fontId="7" fillId="4" borderId="18" xfId="0" applyNumberFormat="1" applyFont="1" applyFill="1" applyBorder="1" applyAlignment="1">
      <alignment horizontal="center"/>
    </xf>
    <xf numFmtId="165" fontId="7" fillId="4" borderId="35" xfId="0" applyNumberFormat="1" applyFont="1" applyFill="1" applyBorder="1" applyAlignment="1">
      <alignment horizontal="center"/>
    </xf>
    <xf numFmtId="165" fontId="7" fillId="4" borderId="20" xfId="0" applyNumberFormat="1" applyFont="1" applyFill="1" applyBorder="1" applyAlignment="1">
      <alignment horizontal="center"/>
    </xf>
    <xf numFmtId="0" fontId="0" fillId="0" borderId="6" xfId="0" applyBorder="1" applyAlignment="1">
      <alignment horizontal="center" vertical="center" wrapText="1"/>
    </xf>
    <xf numFmtId="0" fontId="0" fillId="0" borderId="28" xfId="0" applyBorder="1" applyAlignment="1">
      <alignment horizontal="center" vertical="center" wrapText="1"/>
    </xf>
    <xf numFmtId="0" fontId="0" fillId="0" borderId="14" xfId="0" applyBorder="1" applyAlignment="1">
      <alignment horizontal="center" vertical="center" wrapText="1"/>
    </xf>
    <xf numFmtId="0" fontId="0" fillId="0" borderId="0" xfId="0" applyAlignment="1">
      <alignment horizontal="center"/>
    </xf>
    <xf numFmtId="0" fontId="0" fillId="0" borderId="41" xfId="0" applyBorder="1" applyAlignment="1">
      <alignment horizontal="center"/>
    </xf>
  </cellXfs>
  <cellStyles count="7">
    <cellStyle name="Bad" xfId="4" builtinId="27"/>
    <cellStyle name="Good" xfId="3" builtinId="26"/>
    <cellStyle name="Hyperlink" xfId="6" builtinId="8"/>
    <cellStyle name="Neutral" xfId="5" builtinId="28"/>
    <cellStyle name="Normal" xfId="0" builtinId="0"/>
    <cellStyle name="Normal 3" xfId="2" xr:uid="{96CA7BC8-8F6B-424B-B531-0F72E4548CC2}"/>
    <cellStyle name="Percent" xfId="1" builtinId="5"/>
  </cellStyles>
  <dxfs count="510">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ill>
        <patternFill>
          <bgColor rgb="FFCAEDFB"/>
        </patternFill>
      </fill>
    </dxf>
    <dxf>
      <fill>
        <patternFill>
          <bgColor rgb="FFB5E6A2"/>
        </patternFill>
      </fill>
    </dxf>
    <dxf>
      <fill>
        <patternFill>
          <bgColor rgb="FFE49EDD"/>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CAEDFB"/>
        </patternFill>
      </fill>
    </dxf>
    <dxf>
      <fill>
        <patternFill>
          <bgColor rgb="FFB5E6A2"/>
        </patternFill>
      </fill>
    </dxf>
    <dxf>
      <fill>
        <patternFill>
          <bgColor rgb="FFE49EDD"/>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color auto="1"/>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dxf>
    <dxf>
      <border>
        <bottom style="thin">
          <color rgb="FF000000"/>
        </bottom>
      </border>
    </dxf>
    <dxf>
      <alignment horizontal="center" vertical="bottom" textRotation="9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bottom style="thin">
          <color indexed="64"/>
        </bottom>
      </border>
    </dxf>
    <dxf>
      <alignment horizontal="center" vertical="bottom" textRotation="9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theme="4" tint="0.79998168889431442"/>
          <bgColor rgb="FFFF6EC7"/>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theme="4" tint="0.79998168889431442"/>
          <bgColor rgb="FFFF6EC7"/>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theme="4" tint="0.79998168889431442"/>
          <bgColor rgb="FFFF6EC7"/>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theme="4" tint="0.79998168889431442"/>
          <bgColor rgb="FFFF6EC7"/>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solid">
          <fgColor theme="4" tint="0.79998168889431442"/>
          <bgColor rgb="FFFF6EC7"/>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solid">
          <fgColor theme="4" tint="0.79998168889431442"/>
          <bgColor rgb="FFFF6EC7"/>
        </patternFill>
      </fill>
      <alignment horizontal="center" vertical="center" textRotation="0" wrapText="1" indent="0" justifyLastLine="0" shrinkToFit="0" readingOrder="0"/>
      <border diagonalUp="0" diagonalDown="0" outline="0">
        <left style="medium">
          <color indexed="64"/>
        </left>
        <right style="thin">
          <color indexed="64"/>
        </right>
        <top/>
        <bottom style="thin">
          <color indexed="64"/>
        </bottom>
      </border>
    </dxf>
    <dxf>
      <font>
        <b val="0"/>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general" vertical="bottom" textRotation="90" wrapText="1" indent="0" justifyLastLine="0" shrinkToFit="0" readingOrder="0"/>
      <border diagonalUp="0" diagonalDown="0" outline="0">
        <left style="thin">
          <color indexed="64"/>
        </left>
        <right style="thin">
          <color indexed="64"/>
        </right>
        <top style="medium">
          <color indexed="64"/>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auto="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border>
    </dxf>
    <dxf>
      <fill>
        <patternFill patternType="solid">
          <fgColor theme="4" tint="0.79998168889431442"/>
          <bgColor rgb="FFFF6EC7"/>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theme="4" tint="0.79998168889431442"/>
          <bgColor rgb="FFFF6EC7"/>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right style="medium">
          <color rgb="FF000000"/>
        </right>
        <bottom style="thin">
          <color rgb="FF000000"/>
        </bottom>
      </border>
    </dxf>
    <dxf>
      <alignment horizontal="center" vertical="center" textRotation="0" wrapText="1" indent="0" justifyLastLine="0" shrinkToFit="0" readingOrder="0"/>
    </dxf>
    <dxf>
      <alignment horizontal="center" vertical="bottom" textRotation="90" wrapText="1" indent="0" justifyLastLine="0" shrinkToFit="0" readingOrder="0"/>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theme="4" tint="0.79998168889431442"/>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theme="4" tint="0.79998168889431442"/>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theme="4" tint="0.79998168889431442"/>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theme="4" tint="0.79998168889431442"/>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theme="4" tint="0.79998168889431442"/>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theme="4" tint="0.79998168889431442"/>
          <bgColor rgb="FFFF6EC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center" vertical="center" textRotation="9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444444"/>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444444"/>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ill>
        <patternFill patternType="solid">
          <fgColor indexed="64"/>
          <bgColor rgb="FFFF6EC7"/>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bottom style="thin">
          <color indexed="64"/>
        </bottom>
      </border>
    </dxf>
    <dxf>
      <alignment horizontal="center" vertical="bottom" textRotation="9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92D05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Medium9"/>
  <colors>
    <mruColors>
      <color rgb="FFFF6EC7"/>
      <color rgb="FF92D050"/>
      <color rgb="FFE49EDD"/>
      <color rgb="FFB5E6A2"/>
      <color rgb="FFCAED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theme" Target="theme/them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'Meeting Report by Pull'!$A$5:$D$5</c:f>
              <c:strCache>
                <c:ptCount val="4"/>
                <c:pt idx="0">
                  <c:v>Whole School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0993-4072-9905-B1E7544D7560}"/>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0993-4072-9905-B1E7544D756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'Meeting Report by Pull'!$A$6:$D$6</c15:sqref>
                  </c15:fullRef>
                </c:ext>
              </c:extLst>
              <c:f>('Meeting Report by Pull'!$A$6,'Meeting Report by Pull'!$C$6)</c:f>
              <c:strCache>
                <c:ptCount val="2"/>
                <c:pt idx="0">
                  <c:v>Meeting or Exceeding</c:v>
                </c:pt>
                <c:pt idx="1">
                  <c:v>Not Yet Meeting</c:v>
                </c:pt>
              </c:strCache>
            </c:strRef>
          </c:cat>
          <c:val>
            <c:numRef>
              <c:extLst>
                <c:ext xmlns:c15="http://schemas.microsoft.com/office/drawing/2012/chart" uri="{02D57815-91ED-43cb-92C2-25804820EDAC}">
                  <c15:fullRef>
                    <c15:sqref>'Meeting Report by Pull'!$A$8:$D$8</c15:sqref>
                  </c15:fullRef>
                </c:ext>
              </c:extLst>
              <c:f>('Meeting Report by Pull'!$A$8,'Meeting Report by Pull'!$C$8)</c:f>
              <c:numCache>
                <c:formatCode>0.0%</c:formatCode>
                <c:ptCount val="2"/>
                <c:pt idx="0" formatCode="General">
                  <c:v>0</c:v>
                </c:pt>
                <c:pt idx="1" formatCode="General">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4-0993-4072-9905-B1E7544D7560}"/>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'Meeting Report by Pull'!$F$5:$I$5</c:f>
              <c:strCache>
                <c:ptCount val="4"/>
                <c:pt idx="0">
                  <c:v>Non Self ID AFR and/or Indigenous</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B3EC-4D16-A896-E05CF8280F34}"/>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B3EC-4D16-A896-E05CF8280F34}"/>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'Meeting Report by Pull'!$F$6:$I$6</c15:sqref>
                  </c15:fullRef>
                </c:ext>
              </c:extLst>
              <c:f>('Meeting Report by Pull'!$F$6,'Meeting Report by Pull'!$H$6)</c:f>
              <c:strCache>
                <c:ptCount val="2"/>
                <c:pt idx="0">
                  <c:v>Meeting or Exceeding</c:v>
                </c:pt>
                <c:pt idx="1">
                  <c:v>Not Yet Meeting</c:v>
                </c:pt>
              </c:strCache>
            </c:strRef>
          </c:cat>
          <c:val>
            <c:numRef>
              <c:extLst>
                <c:ext xmlns:c15="http://schemas.microsoft.com/office/drawing/2012/chart" uri="{02D57815-91ED-43cb-92C2-25804820EDAC}">
                  <c15:fullRef>
                    <c15:sqref>'Meeting Report by Pull'!$F$8:$I$8</c15:sqref>
                  </c15:fullRef>
                </c:ext>
              </c:extLst>
              <c:f>('Meeting Report by Pull'!$F$8,'Meeting Report by Pull'!$H$8)</c:f>
              <c:numCache>
                <c:formatCode>0.0%</c:formatCode>
                <c:ptCount val="2"/>
                <c:pt idx="0" formatCode="General">
                  <c:v>0</c:v>
                </c:pt>
                <c:pt idx="1" formatCode="General">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4-B3EC-4D16-A896-E05CF8280F34}"/>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'Meeting Report by Pull'!$K$5:$N$5</c:f>
              <c:strCache>
                <c:ptCount val="4"/>
                <c:pt idx="0">
                  <c:v>Self ID AFR Only</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2A9-4F5B-927D-B517534B1B89}"/>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2A9-4F5B-927D-B517534B1B8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'Meeting Report by Pull'!$K$6:$N$6</c15:sqref>
                  </c15:fullRef>
                </c:ext>
              </c:extLst>
              <c:f>('Meeting Report by Pull'!$K$6,'Meeting Report by Pull'!$M$6)</c:f>
              <c:strCache>
                <c:ptCount val="2"/>
                <c:pt idx="0">
                  <c:v>Meeting or Exceeding</c:v>
                </c:pt>
                <c:pt idx="1">
                  <c:v>Not Yet Meeting</c:v>
                </c:pt>
              </c:strCache>
            </c:strRef>
          </c:cat>
          <c:val>
            <c:numRef>
              <c:extLst>
                <c:ext xmlns:c15="http://schemas.microsoft.com/office/drawing/2012/chart" uri="{02D57815-91ED-43cb-92C2-25804820EDAC}">
                  <c15:fullRef>
                    <c15:sqref>'Meeting Report by Pull'!$K$8:$N$8</c15:sqref>
                  </c15:fullRef>
                </c:ext>
              </c:extLst>
              <c:f>('Meeting Report by Pull'!$K$8,'Meeting Report by Pull'!$M$8)</c:f>
              <c:numCache>
                <c:formatCode>0.0%</c:formatCode>
                <c:ptCount val="2"/>
                <c:pt idx="0" formatCode="General">
                  <c:v>0</c:v>
                </c:pt>
                <c:pt idx="1" formatCode="General">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4-42A9-4F5B-927D-B517534B1B8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'Meeting Report by Pull'!$A$10:$D$10</c:f>
              <c:strCache>
                <c:ptCount val="4"/>
                <c:pt idx="0">
                  <c:v>Self ID Indigenous Only</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C8F7-40B8-B72F-C4D21F6C5E13}"/>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C8F7-40B8-B72F-C4D21F6C5E13}"/>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'Meeting Report by Pull'!$A$11:$D$11</c15:sqref>
                  </c15:fullRef>
                </c:ext>
              </c:extLst>
              <c:f>('Meeting Report by Pull'!$A$11,'Meeting Report by Pull'!$C$11)</c:f>
              <c:strCache>
                <c:ptCount val="2"/>
                <c:pt idx="0">
                  <c:v>Meeting or Exceeding</c:v>
                </c:pt>
                <c:pt idx="1">
                  <c:v>Not Yet Meeting</c:v>
                </c:pt>
              </c:strCache>
            </c:strRef>
          </c:cat>
          <c:val>
            <c:numRef>
              <c:extLst>
                <c:ext xmlns:c15="http://schemas.microsoft.com/office/drawing/2012/chart" uri="{02D57815-91ED-43cb-92C2-25804820EDAC}">
                  <c15:fullRef>
                    <c15:sqref>'Meeting Report by Pull'!$A$13:$D$13</c15:sqref>
                  </c15:fullRef>
                </c:ext>
              </c:extLst>
              <c:f>('Meeting Report by Pull'!$A$13,'Meeting Report by Pull'!$C$13)</c:f>
              <c:numCache>
                <c:formatCode>0.0%</c:formatCode>
                <c:ptCount val="2"/>
                <c:pt idx="0" formatCode="General">
                  <c:v>0</c:v>
                </c:pt>
                <c:pt idx="1" formatCode="General">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4-C8F7-40B8-B72F-C4D21F6C5E13}"/>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'Meeting Report by Pull'!$F$10:$I$10</c:f>
              <c:strCache>
                <c:ptCount val="4"/>
                <c:pt idx="0">
                  <c:v>Self ID AFR and Indigenous</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9150-4CAD-9980-7FECFDC63535}"/>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9150-4CAD-9980-7FECFDC6353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'Meeting Report by Pull'!$F$11:$I$11</c15:sqref>
                  </c15:fullRef>
                </c:ext>
              </c:extLst>
              <c:f>('Meeting Report by Pull'!$F$11,'Meeting Report by Pull'!$H$11)</c:f>
              <c:strCache>
                <c:ptCount val="2"/>
                <c:pt idx="0">
                  <c:v>Meeting or Exceeding</c:v>
                </c:pt>
                <c:pt idx="1">
                  <c:v>Not Yet Meeting</c:v>
                </c:pt>
              </c:strCache>
            </c:strRef>
          </c:cat>
          <c:val>
            <c:numRef>
              <c:extLst>
                <c:ext xmlns:c15="http://schemas.microsoft.com/office/drawing/2012/chart" uri="{02D57815-91ED-43cb-92C2-25804820EDAC}">
                  <c15:fullRef>
                    <c15:sqref>'Meeting Report by Pull'!$F$13:$I$13</c15:sqref>
                  </c15:fullRef>
                </c:ext>
              </c:extLst>
              <c:f>('Meeting Report by Pull'!$F$13,'Meeting Report by Pull'!$H$13)</c:f>
              <c:numCache>
                <c:formatCode>0.0%</c:formatCode>
                <c:ptCount val="2"/>
                <c:pt idx="0" formatCode="General">
                  <c:v>0</c:v>
                </c:pt>
                <c:pt idx="1" formatCode="General">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4-9150-4CAD-9980-7FECFDC63535}"/>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Conventions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'COIL Report by Pull'!$B$6:$G$6</c:f>
              <c:strCache>
                <c:ptCount val="6"/>
                <c:pt idx="0">
                  <c:v>Conv.</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83-4CDC-B05E-BA0E36B5A5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83-4CDC-B05E-BA0E36B5A51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83-4CDC-B05E-BA0E36B5A51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83-4CDC-B05E-BA0E36B5A51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83-4CDC-B05E-BA0E36B5A5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'COIL Report by Pull'!$C$7:$G$7</c:f>
              <c:strCache>
                <c:ptCount val="5"/>
                <c:pt idx="0">
                  <c:v>4</c:v>
                </c:pt>
                <c:pt idx="1">
                  <c:v>3</c:v>
                </c:pt>
                <c:pt idx="2">
                  <c:v>2</c:v>
                </c:pt>
                <c:pt idx="3">
                  <c:v>1</c:v>
                </c:pt>
                <c:pt idx="4">
                  <c:v>INS</c:v>
                </c:pt>
              </c:strCache>
            </c:strRef>
          </c:cat>
          <c:val>
            <c:numRef>
              <c:f>'COIL Report by Pull'!$C$22:$G$22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F283-4CDC-B05E-BA0E36B5A516}"/>
            </c:ext>
          </c:extLst>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Organization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'COIL Report by Pull'!$H$6:$L$6</c:f>
              <c:strCache>
                <c:ptCount val="5"/>
                <c:pt idx="0">
                  <c:v>Org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60C-49E7-BB5A-856D2932DC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60C-49E7-BB5A-856D2932DC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60C-49E7-BB5A-856D2932DC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60C-49E7-BB5A-856D2932DC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60C-49E7-BB5A-856D2932DC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'COIL Report by Pull'!$H$7:$L$7</c:f>
              <c:strCache>
                <c:ptCount val="5"/>
                <c:pt idx="0">
                  <c:v>4</c:v>
                </c:pt>
                <c:pt idx="1">
                  <c:v>3</c:v>
                </c:pt>
                <c:pt idx="2">
                  <c:v>2</c:v>
                </c:pt>
                <c:pt idx="3">
                  <c:v>1</c:v>
                </c:pt>
                <c:pt idx="4">
                  <c:v>INS</c:v>
                </c:pt>
              </c:strCache>
            </c:strRef>
          </c:cat>
          <c:val>
            <c:numRef>
              <c:f>'COIL Report by Pull'!$H$22:$L$22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E60C-49E7-BB5A-856D2932DCC6}"/>
            </c:ext>
          </c:extLst>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Ideas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'COIL Report by Pull'!$M$6:$Q$6</c:f>
              <c:strCache>
                <c:ptCount val="5"/>
                <c:pt idx="0">
                  <c:v>Ideas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9B-46C5-A1D5-867291A4E0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9B-46C5-A1D5-867291A4E0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9B-46C5-A1D5-867291A4E00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B9B-46C5-A1D5-867291A4E00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B9B-46C5-A1D5-867291A4E00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'COIL Report by Pull'!$M$7:$Q$7</c:f>
              <c:strCache>
                <c:ptCount val="5"/>
                <c:pt idx="0">
                  <c:v>4</c:v>
                </c:pt>
                <c:pt idx="1">
                  <c:v>3</c:v>
                </c:pt>
                <c:pt idx="2">
                  <c:v>2</c:v>
                </c:pt>
                <c:pt idx="3">
                  <c:v>1</c:v>
                </c:pt>
                <c:pt idx="4">
                  <c:v>INS</c:v>
                </c:pt>
              </c:strCache>
            </c:strRef>
          </c:cat>
          <c:val>
            <c:numRef>
              <c:f>'COIL Report by Pull'!$M$22:$Q$22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7B9B-46C5-A1D5-867291A4E005}"/>
            </c:ext>
          </c:extLst>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Language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'COIL Report by Pull'!$R$6:$V$6</c:f>
              <c:strCache>
                <c:ptCount val="5"/>
                <c:pt idx="0">
                  <c:v>Lang. Use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31A-4F3F-8E99-D55CEF886F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31A-4F3F-8E99-D55CEF886F4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31A-4F3F-8E99-D55CEF886F4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31A-4F3F-8E99-D55CEF886F4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31A-4F3F-8E99-D55CEF886F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'COIL Report by Pull'!$R$7:$V$7</c:f>
              <c:strCache>
                <c:ptCount val="5"/>
                <c:pt idx="0">
                  <c:v>4</c:v>
                </c:pt>
                <c:pt idx="1">
                  <c:v>3</c:v>
                </c:pt>
                <c:pt idx="2">
                  <c:v>2</c:v>
                </c:pt>
                <c:pt idx="3">
                  <c:v>1</c:v>
                </c:pt>
                <c:pt idx="4">
                  <c:v>INS</c:v>
                </c:pt>
              </c:strCache>
            </c:strRef>
          </c:cat>
          <c:val>
            <c:numRef>
              <c:f>'COIL Report by Pull'!$R$22:$V$22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731A-4F3F-8E99-D55CEF886F4D}"/>
            </c:ext>
          </c:extLst>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'Reading by Pull'!$U$8</c:f>
              <c:strCache>
                <c:ptCount val="1"/>
                <c:pt idx="0">
                  <c:v>Overall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B005-449A-B54C-CE5DAE7DD2C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B005-449A-B54C-CE5DAE7DD2C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'Reading by Pull'!$T$9:$T$10</c:f>
              <c:strCache>
                <c:ptCount val="2"/>
                <c:pt idx="0">
                  <c:v>Meeting or Exceeding</c:v>
                </c:pt>
                <c:pt idx="1">
                  <c:v>Not Yet Meeting</c:v>
                </c:pt>
              </c:strCache>
            </c:strRef>
          </c:cat>
          <c:val>
            <c:numRef>
              <c:f>'Reading by Pull'!$U$9:$U$10</c:f>
              <c:numCache>
                <c:formatCode>General</c:formatCode>
                <c:ptCount val="2"/>
                <c:pt idx="0">
                  <c:v>0</c:v>
                </c:pt>
                <c:pt idx="1">
                  <c:v>0</c:v>
                </c:pt>
              </c:numCache>
            </c:numRef>
          </c:val>
          <c:extLst>
            <c:ext xmlns:c16="http://schemas.microsoft.com/office/drawing/2014/chart" uri="{C3380CC4-5D6E-409C-BE32-E72D297353CC}">
              <c16:uniqueId val="{00000004-B005-449A-B54C-CE5DAE7DD2CD}"/>
            </c:ext>
          </c:extLst>
        </c:ser>
        <c:dLbls>
          <c:dLblPos val="outEnd"/>
          <c:showLegendKey val="0"/>
          <c:showVal val="1"/>
          <c:showCatName val="0"/>
          <c:showSerName val="0"/>
          <c:showPercent val="0"/>
          <c:showBubbleSize val="0"/>
          <c:showLeaderLines val="0"/>
        </c:dLbls>
        <c:firstSliceAng val="0"/>
      </c:pieChart>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Non AFR and/or Indigenous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'Reading by Pull'!$U$12</c:f>
              <c:strCache>
                <c:ptCount val="1"/>
                <c:pt idx="0">
                  <c:v>Non AFR and/or Indigenous</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A6D9-458F-9C7A-3FA59CE412F6}"/>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A6D9-458F-9C7A-3FA59CE412F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'Reading by Pull'!$T$13:$T$14</c:f>
              <c:strCache>
                <c:ptCount val="2"/>
                <c:pt idx="0">
                  <c:v>Meeting or Exceeding</c:v>
                </c:pt>
                <c:pt idx="1">
                  <c:v>Not Yet Meeting</c:v>
                </c:pt>
              </c:strCache>
            </c:strRef>
          </c:cat>
          <c:val>
            <c:numRef>
              <c:f>'Reading by Pull'!$U$13:$U$14</c:f>
              <c:numCache>
                <c:formatCode>General</c:formatCode>
                <c:ptCount val="2"/>
                <c:pt idx="0">
                  <c:v>0</c:v>
                </c:pt>
                <c:pt idx="1">
                  <c:v>0</c:v>
                </c:pt>
              </c:numCache>
            </c:numRef>
          </c:val>
          <c:extLst>
            <c:ext xmlns:c16="http://schemas.microsoft.com/office/drawing/2014/chart" uri="{C3380CC4-5D6E-409C-BE32-E72D297353CC}">
              <c16:uniqueId val="{00000004-A6D9-458F-9C7A-3FA59CE412F6}"/>
            </c:ext>
          </c:extLst>
        </c:ser>
        <c:dLbls>
          <c:showLegendKey val="0"/>
          <c:showVal val="0"/>
          <c:showCatName val="0"/>
          <c:showSerName val="0"/>
          <c:showPercent val="0"/>
          <c:showBubbleSize val="0"/>
          <c:showLeaderLines val="0"/>
        </c:dLbls>
        <c:firstSliceAng val="0"/>
      </c:pieChart>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AFR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'Reading by Pull'!$U$16</c:f>
              <c:strCache>
                <c:ptCount val="1"/>
                <c:pt idx="0">
                  <c:v>AFR Only</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C5BB-4656-A6F2-8E98488F30D8}"/>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C5BB-4656-A6F2-8E98488F30D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'Reading by Pull'!$T$17:$T$18</c:f>
              <c:strCache>
                <c:ptCount val="2"/>
                <c:pt idx="0">
                  <c:v>Meeting or Exceeding</c:v>
                </c:pt>
                <c:pt idx="1">
                  <c:v>Not Yet Meeting</c:v>
                </c:pt>
              </c:strCache>
            </c:strRef>
          </c:cat>
          <c:val>
            <c:numRef>
              <c:f>'Reading by Pull'!$U$17:$U$18</c:f>
              <c:numCache>
                <c:formatCode>General</c:formatCode>
                <c:ptCount val="2"/>
                <c:pt idx="0">
                  <c:v>0</c:v>
                </c:pt>
                <c:pt idx="1">
                  <c:v>0</c:v>
                </c:pt>
              </c:numCache>
            </c:numRef>
          </c:val>
          <c:extLst>
            <c:ext xmlns:c16="http://schemas.microsoft.com/office/drawing/2014/chart" uri="{C3380CC4-5D6E-409C-BE32-E72D297353CC}">
              <c16:uniqueId val="{00000004-C5BB-4656-A6F2-8E98488F30D8}"/>
            </c:ext>
          </c:extLst>
        </c:ser>
        <c:dLbls>
          <c:showLegendKey val="0"/>
          <c:showVal val="0"/>
          <c:showCatName val="0"/>
          <c:showSerName val="0"/>
          <c:showPercent val="0"/>
          <c:showBubbleSize val="0"/>
          <c:showLeaderLines val="0"/>
        </c:dLbls>
        <c:firstSliceAng val="0"/>
      </c:pieChart>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'Reading by Pull'!$U$20</c:f>
              <c:strCache>
                <c:ptCount val="1"/>
                <c:pt idx="0">
                  <c:v>Indigenous Only</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F2ED-4339-9864-6D7FC2B92490}"/>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F2ED-4339-9864-6D7FC2B9249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'Reading by Pull'!$T$21:$T$22</c:f>
              <c:strCache>
                <c:ptCount val="2"/>
                <c:pt idx="0">
                  <c:v>Meeting or Exceeding</c:v>
                </c:pt>
                <c:pt idx="1">
                  <c:v>Not Yet Meeting</c:v>
                </c:pt>
              </c:strCache>
            </c:strRef>
          </c:cat>
          <c:val>
            <c:numRef>
              <c:f>'Reading by Pull'!$U$21:$U$22</c:f>
              <c:numCache>
                <c:formatCode>General</c:formatCode>
                <c:ptCount val="2"/>
                <c:pt idx="0">
                  <c:v>0</c:v>
                </c:pt>
                <c:pt idx="1">
                  <c:v>0</c:v>
                </c:pt>
              </c:numCache>
            </c:numRef>
          </c:val>
          <c:extLst>
            <c:ext xmlns:c16="http://schemas.microsoft.com/office/drawing/2014/chart" uri="{C3380CC4-5D6E-409C-BE32-E72D297353CC}">
              <c16:uniqueId val="{00000004-F2ED-4339-9864-6D7FC2B92490}"/>
            </c:ext>
          </c:extLst>
        </c:ser>
        <c:dLbls>
          <c:showLegendKey val="0"/>
          <c:showVal val="0"/>
          <c:showCatName val="0"/>
          <c:showSerName val="0"/>
          <c:showPercent val="0"/>
          <c:showBubbleSize val="0"/>
          <c:showLeaderLines val="0"/>
        </c:dLbls>
        <c:firstSliceAng val="0"/>
      </c:pieChart>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AFR and Indigenous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'Reading by Pull'!$U$24</c:f>
              <c:strCache>
                <c:ptCount val="1"/>
                <c:pt idx="0">
                  <c:v>AFR and Indigenous</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6B9C-44B7-8F37-A10BA5010487}"/>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6B9C-44B7-8F37-A10BA501048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'Reading by Pull'!$T$25:$T$26</c:f>
              <c:strCache>
                <c:ptCount val="2"/>
                <c:pt idx="0">
                  <c:v>Meeting or Exceeding</c:v>
                </c:pt>
                <c:pt idx="1">
                  <c:v>Not Yet Meeting</c:v>
                </c:pt>
              </c:strCache>
            </c:strRef>
          </c:cat>
          <c:val>
            <c:numRef>
              <c:f>'Reading by Pull'!$U$25:$U$26</c:f>
              <c:numCache>
                <c:formatCode>General</c:formatCode>
                <c:ptCount val="2"/>
                <c:pt idx="0">
                  <c:v>0</c:v>
                </c:pt>
                <c:pt idx="1">
                  <c:v>0</c:v>
                </c:pt>
              </c:numCache>
            </c:numRef>
          </c:val>
          <c:extLst>
            <c:ext xmlns:c16="http://schemas.microsoft.com/office/drawing/2014/chart" uri="{C3380CC4-5D6E-409C-BE32-E72D297353CC}">
              <c16:uniqueId val="{00000004-6B9C-44B7-8F37-A10BA5010487}"/>
            </c:ext>
          </c:extLst>
        </c:ser>
        <c:dLbls>
          <c:showLegendKey val="0"/>
          <c:showVal val="0"/>
          <c:showCatName val="0"/>
          <c:showSerName val="0"/>
          <c:showPercent val="0"/>
          <c:showBubbleSize val="0"/>
          <c:showLeaderLines val="0"/>
        </c:dLbls>
        <c:firstSliceAng val="0"/>
      </c:pieChart>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May 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F2-4C54-809E-56B9C314F4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F2-4C54-809E-56B9C314F47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F2-4C54-809E-56B9C314F47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F2-4C54-809E-56B9C314F47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'Reading Report Summary'!$A$43:$A$46</c:f>
              <c:strCache>
                <c:ptCount val="4"/>
                <c:pt idx="0">
                  <c:v>Exceeding</c:v>
                </c:pt>
                <c:pt idx="1">
                  <c:v>Meeting</c:v>
                </c:pt>
                <c:pt idx="2">
                  <c:v>Approaching</c:v>
                </c:pt>
                <c:pt idx="3">
                  <c:v>Not Yet Meeting</c:v>
                </c:pt>
              </c:strCache>
            </c:strRef>
          </c:cat>
          <c:val>
            <c:numRef>
              <c:f>'Reading Report Summary'!$B$43:$B$46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46F2-4C54-809E-56B9C314F47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June 29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FB-4749-843B-2FF86E7DAE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6FB-4749-843B-2FF86E7DAE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6FB-4749-843B-2FF86E7DAE8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6FB-4749-843B-2FF86E7DAE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'Reading Report Summary'!$A$49:$A$52</c:f>
              <c:strCache>
                <c:ptCount val="4"/>
                <c:pt idx="0">
                  <c:v>Exceeding</c:v>
                </c:pt>
                <c:pt idx="1">
                  <c:v>Meeting</c:v>
                </c:pt>
                <c:pt idx="2">
                  <c:v>Approaching</c:v>
                </c:pt>
                <c:pt idx="3">
                  <c:v>Not Yet Meeting</c:v>
                </c:pt>
              </c:strCache>
            </c:strRef>
          </c:cat>
          <c:val>
            <c:numRef>
              <c:f>'Reading Report Summary'!$B$49:$B$52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86FB-4749-843B-2FF86E7DAE8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Oct 30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61-4136-ABEC-4503EE7E779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61-4136-ABEC-4503EE7E779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61-4136-ABEC-4503EE7E779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561-4136-ABEC-4503EE7E77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'Reading Report Summary'!$A$19:$A$22</c:f>
              <c:strCache>
                <c:ptCount val="4"/>
                <c:pt idx="0">
                  <c:v>Exceeding</c:v>
                </c:pt>
                <c:pt idx="1">
                  <c:v>Meeting</c:v>
                </c:pt>
                <c:pt idx="2">
                  <c:v>Approaching</c:v>
                </c:pt>
                <c:pt idx="3">
                  <c:v>Not Yet Meeting</c:v>
                </c:pt>
              </c:strCache>
            </c:strRef>
          </c:cat>
          <c:val>
            <c:numRef>
              <c:f>'Reading Report Summary'!$B$19:$B$22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1561-4136-ABEC-4503EE7E779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Mar 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FE9-4533-95C4-03912FA1D92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FE9-4533-95C4-03912FA1D92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FE9-4533-95C4-03912FA1D92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FE9-4533-95C4-03912FA1D92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'Reading Report Summary'!$A$37:$A$40</c:f>
              <c:strCache>
                <c:ptCount val="4"/>
                <c:pt idx="0">
                  <c:v>Exceeding</c:v>
                </c:pt>
                <c:pt idx="1">
                  <c:v>Meeting</c:v>
                </c:pt>
                <c:pt idx="2">
                  <c:v>Approaching</c:v>
                </c:pt>
                <c:pt idx="3">
                  <c:v>Not Yet Meeting</c:v>
                </c:pt>
              </c:strCache>
            </c:strRef>
          </c:cat>
          <c:val>
            <c:numRef>
              <c:f>'Reading Report Summary'!$B$37:$B$40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BFE9-4533-95C4-03912FA1D92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Jan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11-44CC-A3EE-1D3831975C3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11-44CC-A3EE-1D3831975C3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11-44CC-A3EE-1D3831975C3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411-44CC-A3EE-1D3831975C3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'Reading Report Summary'!$A$25:$A$28</c:f>
              <c:strCache>
                <c:ptCount val="4"/>
                <c:pt idx="0">
                  <c:v>Exceeding</c:v>
                </c:pt>
                <c:pt idx="1">
                  <c:v>Meeting</c:v>
                </c:pt>
                <c:pt idx="2">
                  <c:v>Approaching</c:v>
                </c:pt>
                <c:pt idx="3">
                  <c:v>Not Yet Meeting</c:v>
                </c:pt>
              </c:strCache>
            </c:strRef>
          </c:cat>
          <c:val>
            <c:numRef>
              <c:f>'Reading Report Summary'!$B$25:$B$28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F411-44CC-A3EE-1D3831975C3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Feb 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50-4533-B4B0-C1D43594AB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50-4533-B4B0-C1D43594AB1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50-4533-B4B0-C1D43594AB1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50-4533-B4B0-C1D43594AB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'Reading Report Summary'!$A$31:$A$34</c:f>
              <c:strCache>
                <c:ptCount val="4"/>
                <c:pt idx="0">
                  <c:v>Exceeding</c:v>
                </c:pt>
                <c:pt idx="1">
                  <c:v>Meeting</c:v>
                </c:pt>
                <c:pt idx="2">
                  <c:v>Approaching</c:v>
                </c:pt>
                <c:pt idx="3">
                  <c:v>Not Yet Meeting</c:v>
                </c:pt>
              </c:strCache>
            </c:strRef>
          </c:cat>
          <c:val>
            <c:numRef>
              <c:f>'Reading Report Summary'!$B$31:$B$34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2350-4533-B4B0-C1D43594AB1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Previous June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424-418A-BE18-940E2F99DC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424-418A-BE18-940E2F99DC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424-418A-BE18-940E2F99DC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424-418A-BE18-940E2F99DC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'Reading Report Summary'!$A$7:$A$10</c:f>
              <c:strCache>
                <c:ptCount val="4"/>
                <c:pt idx="0">
                  <c:v>Exceeding</c:v>
                </c:pt>
                <c:pt idx="1">
                  <c:v>Meeting</c:v>
                </c:pt>
                <c:pt idx="2">
                  <c:v>Approaching</c:v>
                </c:pt>
                <c:pt idx="3">
                  <c:v>Not Yet Meeting</c:v>
                </c:pt>
              </c:strCache>
            </c:strRef>
          </c:cat>
          <c:val>
            <c:numRef>
              <c:f>'Reading Report Summary'!$B$7:$B$10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A424-418A-BE18-940E2F99DCC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Difference from October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1"/>
          <c:tx>
            <c:strRef>
              <c:f>'Reading Report Summary'!$C$12</c:f>
              <c:strCache>
                <c:ptCount val="1"/>
                <c:pt idx="0">
                  <c:v>%</c:v>
                </c:pt>
              </c:strCache>
            </c:strRef>
          </c:tx>
          <c:spPr>
            <a:solidFill>
              <a:schemeClr val="accent1"/>
            </a:solidFill>
            <a:ln>
              <a:noFill/>
            </a:ln>
            <a:effectLst/>
          </c:spPr>
          <c:invertIfNegative val="0"/>
          <c:cat>
            <c:strRef>
              <c:f>'Reading Report Summary'!$A$13:$A$16</c:f>
              <c:strCache>
                <c:ptCount val="4"/>
                <c:pt idx="0">
                  <c:v>Exceeding</c:v>
                </c:pt>
                <c:pt idx="1">
                  <c:v>Meeting</c:v>
                </c:pt>
                <c:pt idx="2">
                  <c:v>Approaching</c:v>
                </c:pt>
                <c:pt idx="3">
                  <c:v>Not Yet Meeting</c:v>
                </c:pt>
              </c:strCache>
            </c:strRef>
          </c:cat>
          <c:val>
            <c:numRef>
              <c:f>'Reading Report Summary'!$C$13:$C$16</c:f>
              <c:numCache>
                <c:formatCode>0.0%</c:formatCode>
                <c:ptCount val="4"/>
                <c:pt idx="0">
                  <c:v>0</c:v>
                </c:pt>
                <c:pt idx="1">
                  <c:v>0</c:v>
                </c:pt>
                <c:pt idx="2">
                  <c:v>0</c:v>
                </c:pt>
                <c:pt idx="3">
                  <c:v>0</c:v>
                </c:pt>
              </c:numCache>
            </c:numRef>
          </c:val>
          <c:extLst>
            <c:ext xmlns:c16="http://schemas.microsoft.com/office/drawing/2014/chart" uri="{C3380CC4-5D6E-409C-BE32-E72D297353CC}">
              <c16:uniqueId val="{00000014-BDA2-492E-9625-325F661D0153}"/>
            </c:ext>
          </c:extLst>
        </c:ser>
        <c:dLbls>
          <c:showLegendKey val="0"/>
          <c:showVal val="0"/>
          <c:showCatName val="0"/>
          <c:showSerName val="0"/>
          <c:showPercent val="0"/>
          <c:showBubbleSize val="0"/>
        </c:dLbls>
        <c:gapWidth val="219"/>
        <c:overlap val="-27"/>
        <c:axId val="1627379472"/>
        <c:axId val="1627380912"/>
        <c:extLst>
          <c:ext xmlns:c15="http://schemas.microsoft.com/office/drawing/2012/chart" uri="{02D57815-91ED-43cb-92C2-25804820EDAC}">
            <c15:filteredBarSeries>
              <c15:ser>
                <c:idx val="1"/>
                <c:order val="0"/>
                <c:tx>
                  <c:strRef>
                    <c:extLst>
                      <c:ext uri="{02D57815-91ED-43cb-92C2-25804820EDAC}">
                        <c15:formulaRef>
                          <c15:sqref>'Reading Report Summary'!$B$12</c15:sqref>
                        </c15:formulaRef>
                      </c:ext>
                    </c:extLst>
                    <c:strCache>
                      <c:ptCount val="1"/>
                      <c:pt idx="0">
                        <c:v>#</c:v>
                      </c:pt>
                    </c:strCache>
                  </c:strRef>
                </c:tx>
                <c:spPr>
                  <a:solidFill>
                    <a:schemeClr val="accent2"/>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2-0FC2-47A0-A74F-B49093A68B35}"/>
                    </c:ext>
                  </c:extLst>
                </c:dPt>
                <c:dPt>
                  <c:idx val="2"/>
                  <c:invertIfNegative val="0"/>
                  <c:bubble3D val="0"/>
                  <c:spPr>
                    <a:solidFill>
                      <a:srgbClr val="FFEB9C"/>
                    </a:solidFill>
                    <a:ln>
                      <a:noFill/>
                    </a:ln>
                    <a:effectLst/>
                  </c:spPr>
                  <c:extLst>
                    <c:ext xmlns:c16="http://schemas.microsoft.com/office/drawing/2014/chart" uri="{C3380CC4-5D6E-409C-BE32-E72D297353CC}">
                      <c16:uniqueId val="{00000003-0FC2-47A0-A74F-B49093A68B35}"/>
                    </c:ext>
                  </c:extLst>
                </c:dPt>
                <c:dPt>
                  <c:idx val="3"/>
                  <c:invertIfNegative val="0"/>
                  <c:bubble3D val="0"/>
                  <c:spPr>
                    <a:solidFill>
                      <a:srgbClr val="FFC7CE"/>
                    </a:solidFill>
                    <a:ln>
                      <a:noFill/>
                    </a:ln>
                    <a:effectLst/>
                  </c:spPr>
                  <c:extLst>
                    <c:ext xmlns:c16="http://schemas.microsoft.com/office/drawing/2014/chart" uri="{C3380CC4-5D6E-409C-BE32-E72D297353CC}">
                      <c16:uniqueId val="{00000004-0FC2-47A0-A74F-B49093A68B35}"/>
                    </c:ext>
                  </c:extLst>
                </c:dPt>
                <c:cat>
                  <c:strRef>
                    <c:extLst>
                      <c:ext uri="{02D57815-91ED-43cb-92C2-25804820EDAC}">
                        <c15:formulaRef>
                          <c15:sqref>'Reading Report Summary'!$A$13:$A$16</c15:sqref>
                        </c15:formulaRef>
                      </c:ext>
                    </c:extLst>
                    <c:strCache>
                      <c:ptCount val="4"/>
                      <c:pt idx="0">
                        <c:v>Exceeding</c:v>
                      </c:pt>
                      <c:pt idx="1">
                        <c:v>Meeting</c:v>
                      </c:pt>
                      <c:pt idx="2">
                        <c:v>Approaching</c:v>
                      </c:pt>
                      <c:pt idx="3">
                        <c:v>Not Yet Meeting</c:v>
                      </c:pt>
                    </c:strCache>
                  </c:strRef>
                </c:cat>
                <c:val>
                  <c:numRef>
                    <c:extLst>
                      <c:ext uri="{02D57815-91ED-43cb-92C2-25804820EDAC}">
                        <c15:formulaRef>
                          <c15:sqref>'Reading Report Summary'!$B$13:$B$16</c15:sqref>
                        </c15:formulaRef>
                      </c:ext>
                    </c:extLst>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0FC2-47A0-A74F-B49093A68B35}"/>
                  </c:ext>
                </c:extLst>
              </c15:ser>
            </c15:filteredBarSeries>
          </c:ext>
        </c:extLst>
      </c:barChart>
      <c:catAx>
        <c:axId val="162737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380912"/>
        <c:crosses val="autoZero"/>
        <c:auto val="1"/>
        <c:lblAlgn val="ctr"/>
        <c:lblOffset val="100"/>
        <c:noMultiLvlLbl val="0"/>
      </c:catAx>
      <c:valAx>
        <c:axId val="16273809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379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38100</xdr:colOff>
      <xdr:row>14</xdr:row>
      <xdr:rowOff>16193</xdr:rowOff>
    </xdr:from>
    <xdr:to>
      <xdr:col>4</xdr:col>
      <xdr:colOff>358140</xdr:colOff>
      <xdr:row>23</xdr:row>
      <xdr:rowOff>1</xdr:rowOff>
    </xdr:to>
    <xdr:graphicFrame macro="">
      <xdr:nvGraphicFramePr>
        <xdr:cNvPr id="2" name="Chart 1">
          <a:extLst>
            <a:ext uri="{FF2B5EF4-FFF2-40B4-BE49-F238E27FC236}">
              <a16:creationId xmlns:a16="http://schemas.microsoft.com/office/drawing/2014/main" id="{29AA0533-48DF-4E2D-A1CD-3B43ED03B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352425</xdr:colOff>
      <xdr:row>22</xdr:row>
      <xdr:rowOff>166688</xdr:rowOff>
    </xdr:to>
    <xdr:graphicFrame macro="">
      <xdr:nvGraphicFramePr>
        <xdr:cNvPr id="3" name="Chart 2">
          <a:extLst>
            <a:ext uri="{FF2B5EF4-FFF2-40B4-BE49-F238E27FC236}">
              <a16:creationId xmlns:a16="http://schemas.microsoft.com/office/drawing/2014/main" id="{1D3063BF-777A-4486-9384-B1348EEB30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14</xdr:row>
      <xdr:rowOff>0</xdr:rowOff>
    </xdr:from>
    <xdr:to>
      <xdr:col>14</xdr:col>
      <xdr:colOff>352425</xdr:colOff>
      <xdr:row>22</xdr:row>
      <xdr:rowOff>166688</xdr:rowOff>
    </xdr:to>
    <xdr:graphicFrame macro="">
      <xdr:nvGraphicFramePr>
        <xdr:cNvPr id="4" name="Chart 3">
          <a:extLst>
            <a:ext uri="{FF2B5EF4-FFF2-40B4-BE49-F238E27FC236}">
              <a16:creationId xmlns:a16="http://schemas.microsoft.com/office/drawing/2014/main" id="{876D9B7D-E25A-40A1-B084-4DD7515DAE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9525</xdr:colOff>
      <xdr:row>24</xdr:row>
      <xdr:rowOff>0</xdr:rowOff>
    </xdr:from>
    <xdr:to>
      <xdr:col>4</xdr:col>
      <xdr:colOff>323850</xdr:colOff>
      <xdr:row>32</xdr:row>
      <xdr:rowOff>166688</xdr:rowOff>
    </xdr:to>
    <xdr:graphicFrame macro="">
      <xdr:nvGraphicFramePr>
        <xdr:cNvPr id="5" name="Chart 4">
          <a:extLst>
            <a:ext uri="{FF2B5EF4-FFF2-40B4-BE49-F238E27FC236}">
              <a16:creationId xmlns:a16="http://schemas.microsoft.com/office/drawing/2014/main" id="{4B3FDE00-B1AE-4EFE-AA12-3A0B7504B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24</xdr:row>
      <xdr:rowOff>0</xdr:rowOff>
    </xdr:from>
    <xdr:to>
      <xdr:col>9</xdr:col>
      <xdr:colOff>352425</xdr:colOff>
      <xdr:row>32</xdr:row>
      <xdr:rowOff>166688</xdr:rowOff>
    </xdr:to>
    <xdr:graphicFrame macro="">
      <xdr:nvGraphicFramePr>
        <xdr:cNvPr id="6" name="Chart 5">
          <a:extLst>
            <a:ext uri="{FF2B5EF4-FFF2-40B4-BE49-F238E27FC236}">
              <a16:creationId xmlns:a16="http://schemas.microsoft.com/office/drawing/2014/main" id="{071741BC-F207-4E96-9392-54BF62934C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66676</xdr:colOff>
      <xdr:row>24</xdr:row>
      <xdr:rowOff>23812</xdr:rowOff>
    </xdr:from>
    <xdr:to>
      <xdr:col>8</xdr:col>
      <xdr:colOff>526</xdr:colOff>
      <xdr:row>39</xdr:row>
      <xdr:rowOff>52387</xdr:rowOff>
    </xdr:to>
    <xdr:graphicFrame macro="">
      <xdr:nvGraphicFramePr>
        <xdr:cNvPr id="2" name="Chart 1">
          <a:extLst>
            <a:ext uri="{FF2B5EF4-FFF2-40B4-BE49-F238E27FC236}">
              <a16:creationId xmlns:a16="http://schemas.microsoft.com/office/drawing/2014/main" id="{2F02BAF0-D1E5-4B94-8757-DC4C28F37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123825</xdr:colOff>
      <xdr:row>24</xdr:row>
      <xdr:rowOff>0</xdr:rowOff>
    </xdr:from>
    <xdr:to>
      <xdr:col>16</xdr:col>
      <xdr:colOff>267225</xdr:colOff>
      <xdr:row>39</xdr:row>
      <xdr:rowOff>28575</xdr:rowOff>
    </xdr:to>
    <xdr:graphicFrame macro="">
      <xdr:nvGraphicFramePr>
        <xdr:cNvPr id="3" name="Chart 2">
          <a:extLst>
            <a:ext uri="{FF2B5EF4-FFF2-40B4-BE49-F238E27FC236}">
              <a16:creationId xmlns:a16="http://schemas.microsoft.com/office/drawing/2014/main" id="{5A751AF4-4ABB-4947-94B2-2DF763AEE8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40</xdr:row>
      <xdr:rowOff>9525</xdr:rowOff>
    </xdr:from>
    <xdr:to>
      <xdr:col>7</xdr:col>
      <xdr:colOff>343425</xdr:colOff>
      <xdr:row>55</xdr:row>
      <xdr:rowOff>38100</xdr:rowOff>
    </xdr:to>
    <xdr:graphicFrame macro="">
      <xdr:nvGraphicFramePr>
        <xdr:cNvPr id="4" name="Chart 3">
          <a:extLst>
            <a:ext uri="{FF2B5EF4-FFF2-40B4-BE49-F238E27FC236}">
              <a16:creationId xmlns:a16="http://schemas.microsoft.com/office/drawing/2014/main" id="{A3434680-436F-4D03-B7CA-C00D56C1F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133350</xdr:colOff>
      <xdr:row>39</xdr:row>
      <xdr:rowOff>161925</xdr:rowOff>
    </xdr:from>
    <xdr:to>
      <xdr:col>16</xdr:col>
      <xdr:colOff>276750</xdr:colOff>
      <xdr:row>55</xdr:row>
      <xdr:rowOff>9525</xdr:rowOff>
    </xdr:to>
    <xdr:graphicFrame macro="">
      <xdr:nvGraphicFramePr>
        <xdr:cNvPr id="5" name="Chart 4">
          <a:extLst>
            <a:ext uri="{FF2B5EF4-FFF2-40B4-BE49-F238E27FC236}">
              <a16:creationId xmlns:a16="http://schemas.microsoft.com/office/drawing/2014/main" id="{21201C0A-2CDD-4BC5-8D50-EABE36C421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10</xdr:row>
      <xdr:rowOff>28575</xdr:rowOff>
    </xdr:from>
    <xdr:to>
      <xdr:col>3</xdr:col>
      <xdr:colOff>455700</xdr:colOff>
      <xdr:row>23</xdr:row>
      <xdr:rowOff>180075</xdr:rowOff>
    </xdr:to>
    <xdr:graphicFrame macro="">
      <xdr:nvGraphicFramePr>
        <xdr:cNvPr id="7" name="Chart 6">
          <a:extLst>
            <a:ext uri="{FF2B5EF4-FFF2-40B4-BE49-F238E27FC236}">
              <a16:creationId xmlns:a16="http://schemas.microsoft.com/office/drawing/2014/main" id="{EA705D3B-B669-49E2-B3C0-2D3EE93195F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119063</xdr:colOff>
      <xdr:row>10</xdr:row>
      <xdr:rowOff>33338</xdr:rowOff>
    </xdr:from>
    <xdr:to>
      <xdr:col>11</xdr:col>
      <xdr:colOff>231863</xdr:colOff>
      <xdr:row>23</xdr:row>
      <xdr:rowOff>184838</xdr:rowOff>
    </xdr:to>
    <xdr:graphicFrame macro="">
      <xdr:nvGraphicFramePr>
        <xdr:cNvPr id="8" name="Chart 7">
          <a:extLst>
            <a:ext uri="{FF2B5EF4-FFF2-40B4-BE49-F238E27FC236}">
              <a16:creationId xmlns:a16="http://schemas.microsoft.com/office/drawing/2014/main" id="{8E704405-5E35-46E6-B229-3949F336355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481013</xdr:colOff>
      <xdr:row>10</xdr:row>
      <xdr:rowOff>33338</xdr:rowOff>
    </xdr:from>
    <xdr:to>
      <xdr:col>18</xdr:col>
      <xdr:colOff>593813</xdr:colOff>
      <xdr:row>23</xdr:row>
      <xdr:rowOff>184838</xdr:rowOff>
    </xdr:to>
    <xdr:graphicFrame macro="">
      <xdr:nvGraphicFramePr>
        <xdr:cNvPr id="9" name="Chart 8">
          <a:extLst>
            <a:ext uri="{FF2B5EF4-FFF2-40B4-BE49-F238E27FC236}">
              <a16:creationId xmlns:a16="http://schemas.microsoft.com/office/drawing/2014/main" id="{EB460AE7-25F1-48F6-B651-D3DEB372D7E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2328863</xdr:colOff>
      <xdr:row>24</xdr:row>
      <xdr:rowOff>23813</xdr:rowOff>
    </xdr:from>
    <xdr:to>
      <xdr:col>7</xdr:col>
      <xdr:colOff>336638</xdr:colOff>
      <xdr:row>37</xdr:row>
      <xdr:rowOff>175313</xdr:rowOff>
    </xdr:to>
    <xdr:graphicFrame macro="">
      <xdr:nvGraphicFramePr>
        <xdr:cNvPr id="10" name="Chart 9">
          <a:extLst>
            <a:ext uri="{FF2B5EF4-FFF2-40B4-BE49-F238E27FC236}">
              <a16:creationId xmlns:a16="http://schemas.microsoft.com/office/drawing/2014/main" id="{BFFDB58A-8F5D-4879-B9A9-28D58A2701C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23813</xdr:colOff>
      <xdr:row>24</xdr:row>
      <xdr:rowOff>23813</xdr:rowOff>
    </xdr:from>
    <xdr:to>
      <xdr:col>15</xdr:col>
      <xdr:colOff>136613</xdr:colOff>
      <xdr:row>37</xdr:row>
      <xdr:rowOff>175313</xdr:rowOff>
    </xdr:to>
    <xdr:graphicFrame macro="">
      <xdr:nvGraphicFramePr>
        <xdr:cNvPr id="11" name="Chart 10">
          <a:extLst>
            <a:ext uri="{FF2B5EF4-FFF2-40B4-BE49-F238E27FC236}">
              <a16:creationId xmlns:a16="http://schemas.microsoft.com/office/drawing/2014/main" id="{1A3A6584-E65A-48B2-86C8-A8F35D59EF0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14287</xdr:colOff>
      <xdr:row>50</xdr:row>
      <xdr:rowOff>90487</xdr:rowOff>
    </xdr:from>
    <xdr:to>
      <xdr:col>13</xdr:col>
      <xdr:colOff>319087</xdr:colOff>
      <xdr:row>64</xdr:row>
      <xdr:rowOff>123825</xdr:rowOff>
    </xdr:to>
    <xdr:graphicFrame macro="">
      <xdr:nvGraphicFramePr>
        <xdr:cNvPr id="2" name="Chart 1">
          <a:extLst>
            <a:ext uri="{FF2B5EF4-FFF2-40B4-BE49-F238E27FC236}">
              <a16:creationId xmlns:a16="http://schemas.microsoft.com/office/drawing/2014/main" id="{3333B79C-1931-47B2-98F2-A004933EE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14287</xdr:colOff>
      <xdr:row>50</xdr:row>
      <xdr:rowOff>71437</xdr:rowOff>
    </xdr:from>
    <xdr:to>
      <xdr:col>21</xdr:col>
      <xdr:colOff>180975</xdr:colOff>
      <xdr:row>64</xdr:row>
      <xdr:rowOff>123825</xdr:rowOff>
    </xdr:to>
    <xdr:graphicFrame macro="">
      <xdr:nvGraphicFramePr>
        <xdr:cNvPr id="3" name="Chart 2">
          <a:extLst>
            <a:ext uri="{FF2B5EF4-FFF2-40B4-BE49-F238E27FC236}">
              <a16:creationId xmlns:a16="http://schemas.microsoft.com/office/drawing/2014/main" id="{979AD424-3582-48AA-96CE-D064DF2D812E}"/>
            </a:ext>
            <a:ext uri="{147F2762-F138-4A5C-976F-8EAC2B608ADB}">
              <a16:predDERef xmlns:a16="http://schemas.microsoft.com/office/drawing/2014/main" pred="{D32B1360-4FE6-4817-B642-B60805C757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20</xdr:row>
      <xdr:rowOff>52387</xdr:rowOff>
    </xdr:from>
    <xdr:to>
      <xdr:col>13</xdr:col>
      <xdr:colOff>304800</xdr:colOff>
      <xdr:row>34</xdr:row>
      <xdr:rowOff>128587</xdr:rowOff>
    </xdr:to>
    <xdr:graphicFrame macro="">
      <xdr:nvGraphicFramePr>
        <xdr:cNvPr id="4" name="Chart 3">
          <a:extLst>
            <a:ext uri="{FF2B5EF4-FFF2-40B4-BE49-F238E27FC236}">
              <a16:creationId xmlns:a16="http://schemas.microsoft.com/office/drawing/2014/main" id="{F5CA2259-0E9D-4EB4-9E89-6B472B149A6D}"/>
            </a:ext>
            <a:ext uri="{147F2762-F138-4A5C-976F-8EAC2B608ADB}">
              <a16:predDERef xmlns:a16="http://schemas.microsoft.com/office/drawing/2014/main" pred="{63849885-156E-4061-880B-60655A12FA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4762</xdr:colOff>
      <xdr:row>35</xdr:row>
      <xdr:rowOff>61912</xdr:rowOff>
    </xdr:from>
    <xdr:to>
      <xdr:col>21</xdr:col>
      <xdr:colOff>309562</xdr:colOff>
      <xdr:row>49</xdr:row>
      <xdr:rowOff>138112</xdr:rowOff>
    </xdr:to>
    <xdr:graphicFrame macro="">
      <xdr:nvGraphicFramePr>
        <xdr:cNvPr id="5" name="Chart 4">
          <a:extLst>
            <a:ext uri="{FF2B5EF4-FFF2-40B4-BE49-F238E27FC236}">
              <a16:creationId xmlns:a16="http://schemas.microsoft.com/office/drawing/2014/main" id="{BB1E2371-785C-407E-88D6-69AF4FFECF13}"/>
            </a:ext>
            <a:ext uri="{147F2762-F138-4A5C-976F-8EAC2B608ADB}">
              <a16:predDERef xmlns:a16="http://schemas.microsoft.com/office/drawing/2014/main" pred="{494FBF0B-7E1D-4DF8-8CFE-DFE872963B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4762</xdr:colOff>
      <xdr:row>20</xdr:row>
      <xdr:rowOff>52387</xdr:rowOff>
    </xdr:from>
    <xdr:to>
      <xdr:col>21</xdr:col>
      <xdr:colOff>309562</xdr:colOff>
      <xdr:row>34</xdr:row>
      <xdr:rowOff>128587</xdr:rowOff>
    </xdr:to>
    <xdr:graphicFrame macro="">
      <xdr:nvGraphicFramePr>
        <xdr:cNvPr id="6" name="Chart 5">
          <a:extLst>
            <a:ext uri="{FF2B5EF4-FFF2-40B4-BE49-F238E27FC236}">
              <a16:creationId xmlns:a16="http://schemas.microsoft.com/office/drawing/2014/main" id="{2C43BA7B-0B43-4130-82ED-DFFCEE004DA0}"/>
            </a:ext>
            <a:ext uri="{147F2762-F138-4A5C-976F-8EAC2B608ADB}">
              <a16:predDERef xmlns:a16="http://schemas.microsoft.com/office/drawing/2014/main" pred="{5E5B537C-CBA2-9375-6818-C5669608A6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14287</xdr:colOff>
      <xdr:row>35</xdr:row>
      <xdr:rowOff>42862</xdr:rowOff>
    </xdr:from>
    <xdr:to>
      <xdr:col>13</xdr:col>
      <xdr:colOff>319087</xdr:colOff>
      <xdr:row>49</xdr:row>
      <xdr:rowOff>119062</xdr:rowOff>
    </xdr:to>
    <xdr:graphicFrame macro="">
      <xdr:nvGraphicFramePr>
        <xdr:cNvPr id="7" name="Chart 6">
          <a:extLst>
            <a:ext uri="{FF2B5EF4-FFF2-40B4-BE49-F238E27FC236}">
              <a16:creationId xmlns:a16="http://schemas.microsoft.com/office/drawing/2014/main" id="{40B4C4C4-BDF9-4148-9D71-830A76E5FD86}"/>
            </a:ext>
            <a:ext uri="{147F2762-F138-4A5C-976F-8EAC2B608ADB}">
              <a16:predDERef xmlns:a16="http://schemas.microsoft.com/office/drawing/2014/main" pred="{FB8B30B4-A07E-84E3-4F76-D568E34D49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9525</xdr:colOff>
      <xdr:row>5</xdr:row>
      <xdr:rowOff>0</xdr:rowOff>
    </xdr:from>
    <xdr:to>
      <xdr:col>13</xdr:col>
      <xdr:colOff>304801</xdr:colOff>
      <xdr:row>19</xdr:row>
      <xdr:rowOff>95250</xdr:rowOff>
    </xdr:to>
    <xdr:graphicFrame macro="">
      <xdr:nvGraphicFramePr>
        <xdr:cNvPr id="8" name="Chart 7">
          <a:extLst>
            <a:ext uri="{FF2B5EF4-FFF2-40B4-BE49-F238E27FC236}">
              <a16:creationId xmlns:a16="http://schemas.microsoft.com/office/drawing/2014/main" id="{E54161F2-19EB-413D-AAFF-C7B9F7E2B4D1}"/>
            </a:ext>
            <a:ext uri="{147F2762-F138-4A5C-976F-8EAC2B608ADB}">
              <a16:predDERef xmlns:a16="http://schemas.microsoft.com/office/drawing/2014/main" pred="{B19FD567-1CDD-AE58-1D35-6BC5997FB3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0</xdr:colOff>
      <xdr:row>5</xdr:row>
      <xdr:rowOff>0</xdr:rowOff>
    </xdr:from>
    <xdr:to>
      <xdr:col>21</xdr:col>
      <xdr:colOff>304800</xdr:colOff>
      <xdr:row>19</xdr:row>
      <xdr:rowOff>76200</xdr:rowOff>
    </xdr:to>
    <xdr:graphicFrame macro="">
      <xdr:nvGraphicFramePr>
        <xdr:cNvPr id="12" name="Chart 11">
          <a:extLst>
            <a:ext uri="{FF2B5EF4-FFF2-40B4-BE49-F238E27FC236}">
              <a16:creationId xmlns:a16="http://schemas.microsoft.com/office/drawing/2014/main" id="{F9C285FA-6B3C-49E5-B146-6B87CA7BB9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257</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441B80F-71CB-4A96-9989-3ECACB918464}" name="YES_Reading_ELA" displayName="YES_Reading_ELA" ref="A2:AT219" totalsRowShown="0" headerRowDxfId="499" dataDxfId="497" headerRowBorderDxfId="498" tableBorderDxfId="496" totalsRowBorderDxfId="495">
  <sortState xmlns:xlrd2="http://schemas.microsoft.com/office/spreadsheetml/2017/richdata2" ref="A3:AT219">
    <sortCondition ref="D3:D219"/>
    <sortCondition ref="J3:J219"/>
    <sortCondition ref="B3:B219"/>
  </sortState>
  <tableColumns count="46">
    <tableColumn id="1" xr3:uid="{E74BADE9-F028-4807-A6CF-723F37235FAE}" name="Student Number" dataDxfId="494"/>
    <tableColumn id="2" xr3:uid="{76BAFF28-B45E-492B-8693-E6B24E2024B1}" name="Name" dataDxfId="493"/>
    <tableColumn id="3" xr3:uid="{48C90303-C43D-4110-ADD9-93718FC1D9A2}" name="School" dataDxfId="492"/>
    <tableColumn id="4" xr3:uid="{CC677277-412A-47BF-9F02-BE995004B2FC}" name="HomeRoom" dataDxfId="491"/>
    <tableColumn id="5" xr3:uid="{35CDC0B7-4E96-4FDE-99B7-636C85AD14A0}" name="Literacy IPP" dataDxfId="490"/>
    <tableColumn id="6" xr3:uid="{2CC86D19-8C5E-4F39-984B-4CD78EEC1669}" name="Reading Level June of Previous School Year" dataDxfId="489"/>
    <tableColumn id="7" xr3:uid="{49696271-DDDA-4A1F-A7E4-32D0A199D0CC}" name="Min Expectation June of Previous School Year" dataDxfId="488">
      <calculatedColumnFormula>IFERROR(IF($E3="Yes","IPP",VLOOKUP($J3,'ELA Reading Logic'!$A$3:$K$9,VLOOKUP("September",'ELA Reading Logic'!$J$22:$K$31,2,FALSE),FALSE)),"Set Grade")</calculatedColumnFormula>
    </tableColumn>
    <tableColumn id="8" xr3:uid="{DABD494A-FCFE-4AA8-B264-4F2C13B6A8CB}" name="Max Expectation June of Previous School Year" dataDxfId="487">
      <calculatedColumnFormula>IFERROR(IF($E3="Yes","IPP",VLOOKUP($J3,'ELA Reading Logic'!$A$13:$K$19,VLOOKUP("September",'ELA Reading Logic'!$J$22:$K$31,2,FALSE),FALSE)),"Set Grade")</calculatedColumnFormula>
    </tableColumn>
    <tableColumn id="9" xr3:uid="{90839BDA-4253-402C-A7D5-3EAB000607AB}" name="Starting Difference" dataDxfId="486">
      <calculatedColumnFormula>IF($E3="Yes","IPP",IFERROR(IF(AND(F3&gt;G3,F3&lt;H3),"0",(VLOOKUP(F3,'ELA Reading Logic'!$A$22:$B$48,2,FALSE))-(IF(VLOOKUP(F3,'ELA Reading Logic'!$A$22:$B$48,2,FALSE)&lt;=VLOOKUP(G3,'ELA Reading Logic'!$A$22:$B$48,2,FALSE),VLOOKUP(G3,'ELA Reading Logic'!$A$22:$B$48,2,FALSE),IF(VLOOKUP(F3,'ELA Reading Logic'!$A$22:$B$48,2,FALSE)&gt;=VLOOKUP(H3,'ELA Reading Logic'!$A$22:$B$48,2,FALSE),VLOOKUP(H3,'ELA Reading Logic'!$A$22:$B$48,2,FALSE),"No Score")))),"No Value"))</calculatedColumnFormula>
    </tableColumn>
    <tableColumn id="10" xr3:uid="{C6CE1521-73D1-4F68-BB46-4B8DBE9EA421}" name="Grade" dataDxfId="485"/>
    <tableColumn id="11" xr3:uid="{7770293B-4CF7-4605-A1E7-CE93FEFB6258}" name="Gender" dataDxfId="484"/>
    <tableColumn id="12" xr3:uid="{56ADEC5D-F235-4057-AFCB-070D9C03B9A5}" name="Self-Identified as African Descent" dataDxfId="483"/>
    <tableColumn id="13" xr3:uid="{B7BAC5B1-A628-4DD1-B63A-01B60B92AFA1}" name="Self-Identified as Indigenous" dataDxfId="482"/>
    <tableColumn id="14" xr3:uid="{58E4C552-D8D6-4FC1-B047-3906A72872CC}" name="Current IPP" dataDxfId="481"/>
    <tableColumn id="15" xr3:uid="{2DCF1B65-D3FA-4A4E-BE85-B11A000A9B99}" name="Current Adaptations" dataDxfId="480"/>
    <tableColumn id="16" xr3:uid="{251325D6-985E-4CDD-BCBB-6EB3A5174F46}" name="Current Year" dataDxfId="479"/>
    <tableColumn id="17" xr3:uid="{F763C674-7BA4-4937-AE5E-C2D7100A046A}" name="Instructional Reading Level - Per 1" dataDxfId="478"/>
    <tableColumn id="18" xr3:uid="{94E0741F-9155-4E82-95C7-1918FD2FB728}" name="Min Expectation - Per 1" dataDxfId="477">
      <calculatedColumnFormula>IFERROR(IF($E3="Yes","IPP",VLOOKUP($J3,'ELA Reading Logic'!$A$3:$K$9,VLOOKUP(Q$1,'ELA Reading Logic'!$J$22:$K$31,2,FALSE),FALSE)),"Set Grade")</calculatedColumnFormula>
    </tableColumn>
    <tableColumn id="19" xr3:uid="{1647D245-776B-4CBF-8989-40A10984580F}" name="Max Expectation - Per 1" dataDxfId="476">
      <calculatedColumnFormula>IFERROR(IF($E3="Yes","IPP",VLOOKUP($J3,'ELA Reading Logic'!$A$13:$K$19,VLOOKUP(Q$1,'ELA Reading Logic'!$J$22:$K$31,2,FALSE),FALSE)),"Set Grade")</calculatedColumnFormula>
    </tableColumn>
    <tableColumn id="20" xr3:uid="{56F215AA-646A-441F-AA00-1B97EFEB3C6C}" name="Difference - Per 1" dataDxfId="475">
      <calculatedColumnFormula>IF($E3="Yes","IPP",IFERROR(IF(AND(Q3&gt;R3,Q3&lt;S3),"0",(VLOOKUP(Q3,'ELA Reading Logic'!$A$22:$B$48,2,FALSE))-(IF(VLOOKUP(Q3,'ELA Reading Logic'!$A$22:$B$48,2,FALSE)&lt;=VLOOKUP(R3,'ELA Reading Logic'!$A$22:$B$48,2,FALSE),VLOOKUP(R3,'ELA Reading Logic'!$A$22:$B$48,2,FALSE),IF(VLOOKUP(Q3,'ELA Reading Logic'!$A$22:$B$48,2,FALSE)&gt;=VLOOKUP(S3,'ELA Reading Logic'!$A$22:$B$48,2,FALSE),VLOOKUP(S3,'ELA Reading Logic'!$A$22:$B$48,2,FALSE),"No Score")))),"No Value"))</calculatedColumnFormula>
    </tableColumn>
    <tableColumn id="21" xr3:uid="{058E9934-F371-4019-BAE0-635E443697CD}" name="Change from Prev June - Per 1" dataDxfId="474">
      <calculatedColumnFormula>IFERROR(VLOOKUP(Q3,'ELA Reading Logic'!$A$22:$B$48,2,FALSE)-VLOOKUP($F3,'ELA Reading Logic'!$A$22:$B$48,2,FALSE),"No Value")</calculatedColumnFormula>
    </tableColumn>
    <tableColumn id="22" xr3:uid="{F913067F-C22F-4F87-9EC8-1BA9BABD03B0}" name="Instructional Reading Level - Per 2" dataDxfId="473"/>
    <tableColumn id="23" xr3:uid="{705152C1-051E-40BE-8A75-270231BCEE15}" name="Min Expectation - Per 2" dataDxfId="472">
      <calculatedColumnFormula>IFERROR(IF($E3="Yes","IPP",VLOOKUP($J3,'ELA Reading Logic'!$A$3:$K$9,VLOOKUP(V$1,'ELA Reading Logic'!$J$22:$K$31,2,FALSE),FALSE)),"Set Grade")</calculatedColumnFormula>
    </tableColumn>
    <tableColumn id="24" xr3:uid="{59E3818D-45EF-45B6-852C-E3D489AC4A62}" name="Max Expectation - Per 2" dataDxfId="471">
      <calculatedColumnFormula>IFERROR(IF($E3="Yes","IPP",VLOOKUP($J3,'ELA Reading Logic'!$A$13:$K$19,VLOOKUP(V$1,'ELA Reading Logic'!$J$22:$K$31,2,FALSE),FALSE)),"Set Grade")</calculatedColumnFormula>
    </tableColumn>
    <tableColumn id="25" xr3:uid="{443048E9-39D8-4919-823D-56D743D51108}" name="Difference - Per 2" dataDxfId="470">
      <calculatedColumnFormula>IF($E3="Yes","IPP",IFERROR(IF(AND(V3&gt;W3,V3&lt;X3),"0",(VLOOKUP(V3,'ELA Reading Logic'!$A$22:$B$48,2,FALSE))-(IF(VLOOKUP(V3,'ELA Reading Logic'!$A$22:$B$48,2,FALSE)&lt;=VLOOKUP(W3,'ELA Reading Logic'!$A$22:$B$48,2,FALSE),VLOOKUP(W3,'ELA Reading Logic'!$A$22:$B$48,2,FALSE),IF(VLOOKUP(V3,'ELA Reading Logic'!$A$22:$B$48,2,FALSE)&gt;=VLOOKUP(X3,'ELA Reading Logic'!$A$22:$B$48,2,FALSE),VLOOKUP(X3,'ELA Reading Logic'!$A$22:$B$48,2,FALSE),"No Score")))),"No Value"))</calculatedColumnFormula>
    </tableColumn>
    <tableColumn id="26" xr3:uid="{DED31C15-367D-4301-A3D0-75FCC64B955A}" name="Change from Prev June - Per 2" dataDxfId="469">
      <calculatedColumnFormula>IFERROR(VLOOKUP(V3,'ELA Reading Logic'!$A$22:$B$48,2,FALSE)-VLOOKUP($F3,'ELA Reading Logic'!$A$22:$B$48,2,FALSE),"No Value")</calculatedColumnFormula>
    </tableColumn>
    <tableColumn id="27" xr3:uid="{58923E44-BB2D-4E2C-8341-7DBA928FE966}" name="Instructional Reading Level - Per 3" dataDxfId="468"/>
    <tableColumn id="28" xr3:uid="{3CABFEC6-8452-429D-B41C-CB6253FFF02A}" name="Min Expectation - Per 3" dataDxfId="467">
      <calculatedColumnFormula>IFERROR(IF($E3="Yes","IPP",VLOOKUP($J3,'ELA Reading Logic'!$A$3:$K$9,VLOOKUP(AA$1,'ELA Reading Logic'!$J$22:$K$31,2,FALSE),FALSE)),"Set Grade")</calculatedColumnFormula>
    </tableColumn>
    <tableColumn id="29" xr3:uid="{7048D1F4-568A-4444-AA7B-7A6FF74A1549}" name="Max Expectation - Per 3" dataDxfId="466">
      <calculatedColumnFormula>IFERROR(IF($E3="Yes","IPP",VLOOKUP($J3,'ELA Reading Logic'!$A$13:$K$19,VLOOKUP(AA$1,'ELA Reading Logic'!$J$22:$K$31,2,FALSE),FALSE)),"Set Grade")</calculatedColumnFormula>
    </tableColumn>
    <tableColumn id="30" xr3:uid="{0647150D-3987-4375-BD00-42E6230F726F}" name="Difference - Per 3" dataDxfId="465">
      <calculatedColumnFormula>IF($E3="Yes","IPP",IFERROR(IF(AND(AA3&gt;AB3,AA3&lt;AC3),"0",(VLOOKUP(AA3,'ELA Reading Logic'!$A$22:$B$48,2,FALSE))-(IF(VLOOKUP(AA3,'ELA Reading Logic'!$A$22:$B$48,2,FALSE)&lt;=VLOOKUP(AB3,'ELA Reading Logic'!$A$22:$B$48,2,FALSE),VLOOKUP(AB3,'ELA Reading Logic'!$A$22:$B$48,2,FALSE),IF(VLOOKUP(AA3,'ELA Reading Logic'!$A$22:$B$48,2,FALSE)&gt;=VLOOKUP(AC3,'ELA Reading Logic'!$A$22:$B$48,2,FALSE),VLOOKUP(AC3,'ELA Reading Logic'!$A$22:$B$48,2,FALSE),"No Score")))),"No Value"))</calculatedColumnFormula>
    </tableColumn>
    <tableColumn id="31" xr3:uid="{746DA9F3-81FC-41AD-9C47-9ADBDDD00065}" name="Change from Prev June - Per 3" dataDxfId="464">
      <calculatedColumnFormula>IFERROR(VLOOKUP(AA3,'ELA Reading Logic'!$A$22:$B$48,2,FALSE)-VLOOKUP($F3,'ELA Reading Logic'!$A$22:$B$48,2,FALSE),"No Value")</calculatedColumnFormula>
    </tableColumn>
    <tableColumn id="32" xr3:uid="{8F9BDD50-B116-4F74-B394-3FF4AD360FD3}" name="Instructional Reading Level - Per 4" dataDxfId="463"/>
    <tableColumn id="33" xr3:uid="{7C4FE5C1-9584-4C0E-9F16-C160B4622673}" name="Min Expectation - Per 4" dataDxfId="462">
      <calculatedColumnFormula>IFERROR(IF($E3="Yes","IPP",VLOOKUP($J3,'ELA Reading Logic'!$A$3:$K$9,VLOOKUP(AF$1,'ELA Reading Logic'!$J$22:$K$31,2,FALSE),FALSE)),"Set Grade")</calculatedColumnFormula>
    </tableColumn>
    <tableColumn id="34" xr3:uid="{A26D52F5-16B4-40EE-ACE6-5310CCB0D2DB}" name="Max Expectation - Per 4" dataDxfId="461">
      <calculatedColumnFormula>IFERROR(IF($E3="Yes","IPP",VLOOKUP($J3,'ELA Reading Logic'!$A$13:$K$19,VLOOKUP(AF$1,'ELA Reading Logic'!$J$22:$K$31,2,FALSE),FALSE)),"Set Grade")</calculatedColumnFormula>
    </tableColumn>
    <tableColumn id="35" xr3:uid="{4A37CE8F-6472-47AE-85F6-EEFAC9FA83E7}" name="Difference - Per 4" dataDxfId="460">
      <calculatedColumnFormula>IF($E3="Yes","IPP",IFERROR(IF(AND(AF3&gt;AG3,AF3&lt;AH3),"0",(VLOOKUP(AF3,'ELA Reading Logic'!$A$22:$B$48,2,FALSE))-(IF(VLOOKUP(AF3,'ELA Reading Logic'!$A$22:$B$48,2,FALSE)&lt;=VLOOKUP(AG3,'ELA Reading Logic'!$A$22:$B$48,2,FALSE),VLOOKUP(AG3,'ELA Reading Logic'!$A$22:$B$48,2,FALSE),IF(VLOOKUP(AF3,'ELA Reading Logic'!$A$22:$B$48,2,FALSE)&gt;=VLOOKUP(AH3,'ELA Reading Logic'!$A$22:$B$48,2,FALSE),VLOOKUP(AH3,'ELA Reading Logic'!$A$22:$B$48,2,FALSE),"No Score")))),"No Value"))</calculatedColumnFormula>
    </tableColumn>
    <tableColumn id="36" xr3:uid="{E4A53D75-9746-4BF6-B567-FDD09D7D8D32}" name="Change from Prev June - Per 4" dataDxfId="459">
      <calculatedColumnFormula>IFERROR(VLOOKUP(AF3,'ELA Reading Logic'!$A$22:$B$48,2,FALSE)-VLOOKUP($F3,'ELA Reading Logic'!$A$22:$B$48,2,FALSE),"No Value")</calculatedColumnFormula>
    </tableColumn>
    <tableColumn id="37" xr3:uid="{AAA2165E-9DBD-446E-8460-511363BCBA94}" name="Instructional Reading Level - Per 5" dataDxfId="458"/>
    <tableColumn id="38" xr3:uid="{14CDEF0C-031E-44D7-B7D0-CAE12584305E}" name="Min Expectation - Per 5" dataDxfId="457">
      <calculatedColumnFormula>IFERROR(IF($E3="Yes","IPP",VLOOKUP($J3,'ELA Reading Logic'!$A$3:$K$9,VLOOKUP(AK$1,'ELA Reading Logic'!$J$22:$K$31,2,FALSE),FALSE)),"Set Grade")</calculatedColumnFormula>
    </tableColumn>
    <tableColumn id="39" xr3:uid="{D199AE27-C1BF-482F-9373-2AA805F070BC}" name="Max Expectation - Per 5" dataDxfId="456">
      <calculatedColumnFormula>IFERROR(IF($E3="Yes","IPP",VLOOKUP($J3,'ELA Reading Logic'!$A$13:$K$19,VLOOKUP(AK$1,'ELA Reading Logic'!$J$22:$K$31,2,FALSE),FALSE)),"Set Grade")</calculatedColumnFormula>
    </tableColumn>
    <tableColumn id="40" xr3:uid="{D8108F43-E34B-4DFD-B8A7-8CDB6A031582}" name="Difference - Per 5" dataDxfId="455">
      <calculatedColumnFormula>IF($E3="Yes","IPP",IFERROR(IF(AND(AK3&gt;AL3,AK3&lt;AM3),"0",(VLOOKUP(AK3,'ELA Reading Logic'!$A$22:$B$48,2,FALSE))-(IF(VLOOKUP(AK3,'ELA Reading Logic'!$A$22:$B$48,2,FALSE)&lt;=VLOOKUP(AL3,'ELA Reading Logic'!$A$22:$B$48,2,FALSE),VLOOKUP(AL3,'ELA Reading Logic'!$A$22:$B$48,2,FALSE),IF(VLOOKUP(AK3,'ELA Reading Logic'!$A$22:$B$48,2,FALSE)&gt;=VLOOKUP(AM3,'ELA Reading Logic'!$A$22:$B$48,2,FALSE),VLOOKUP(AM3,'ELA Reading Logic'!$A$22:$B$48,2,FALSE),"No Score")))),"No Value"))</calculatedColumnFormula>
    </tableColumn>
    <tableColumn id="41" xr3:uid="{E53EA9F4-546E-4825-9FBE-4A2107570D09}" name="Change from Prev June - Per 5" dataDxfId="454">
      <calculatedColumnFormula>IFERROR(VLOOKUP(AK3,'ELA Reading Logic'!$A$22:$B$48,2,FALSE)-VLOOKUP($F3,'ELA Reading Logic'!$A$22:$B$48,2,FALSE),"No Value")</calculatedColumnFormula>
    </tableColumn>
    <tableColumn id="42" xr3:uid="{A8A9E5CA-0D05-46C0-AD62-29972A75AC5B}" name="Instructional Reading Level - Per 6" dataDxfId="453"/>
    <tableColumn id="43" xr3:uid="{4BDFB411-EC9E-43C2-82F7-76909D9495F9}" name="Min Expectation - Per 6" dataDxfId="452">
      <calculatedColumnFormula>IFERROR(IF($E3="Yes","IPP",VLOOKUP($J3,'ELA Reading Logic'!$A$3:$K$9,VLOOKUP(AP$1,'ELA Reading Logic'!$J$22:$K$31,2,FALSE),FALSE)),"Set Grade")</calculatedColumnFormula>
    </tableColumn>
    <tableColumn id="44" xr3:uid="{0AC59666-5CBC-47F6-A0D0-C44E23B3BA0C}" name="Max Expectation - Per 6" dataDxfId="451">
      <calculatedColumnFormula>IFERROR(IF($E3="Yes","IPP",VLOOKUP($J3,'ELA Reading Logic'!$A$13:$K$19,VLOOKUP(AP$1,'ELA Reading Logic'!$J$22:$K$31,2,FALSE),FALSE)),"Set Grade")</calculatedColumnFormula>
    </tableColumn>
    <tableColumn id="45" xr3:uid="{CD9052A7-799C-49D8-A24D-62915BDF02A0}" name="Difference - Per 6" dataDxfId="450">
      <calculatedColumnFormula>IF($E3="Yes","IPP",IFERROR(IF(AND(AP3&gt;AQ3,AP3&lt;AR3),"0",(VLOOKUP(AP3,'ELA Reading Logic'!$A$22:$B$48,2,FALSE))-(IF(VLOOKUP(AP3,'ELA Reading Logic'!$A$22:$B$48,2,FALSE)&lt;=VLOOKUP(AQ3,'ELA Reading Logic'!$A$22:$B$48,2,FALSE),VLOOKUP(AQ3,'ELA Reading Logic'!$A$22:$B$48,2,FALSE),IF(VLOOKUP(AP3,'ELA Reading Logic'!$A$22:$B$48,2,FALSE)&gt;=VLOOKUP(AR3,'ELA Reading Logic'!$A$22:$B$48,2,FALSE),VLOOKUP(AR3,'ELA Reading Logic'!$A$22:$B$48,2,FALSE),"No Score")))),"No Value"))</calculatedColumnFormula>
    </tableColumn>
    <tableColumn id="46" xr3:uid="{5AC73FE7-15F8-41C9-BE40-7FBCFEB89A74}" name="Change from Prev June - Per 6" dataDxfId="449">
      <calculatedColumnFormula>IFERROR(VLOOKUP(AP3,'ELA Reading Logic'!$A$22:$B$48,2,FALSE)-VLOOKUP($F3,'ELA Reading Logic'!$A$22:$B$48,2,FALSE),"No Value")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BB114E8-5B46-475F-B3C9-CF6E945A84BC}" name="YES_Reading_FLA" displayName="YES_Reading_FLA" ref="A2:BB43" totalsRowShown="0" headerRowDxfId="394" dataDxfId="393" tableBorderDxfId="392">
  <sortState xmlns:xlrd2="http://schemas.microsoft.com/office/spreadsheetml/2017/richdata2" ref="A3:BB43">
    <sortCondition ref="D3:D43"/>
    <sortCondition ref="L3:L43"/>
    <sortCondition ref="B3:B43"/>
  </sortState>
  <tableColumns count="54">
    <tableColumn id="1" xr3:uid="{780FFAB8-C4D7-4DD6-9D4A-A25F02C7F514}" name="Student Number" dataDxfId="391"/>
    <tableColumn id="2" xr3:uid="{FD8B386D-3914-4A35-BF62-E577272DBA90}" name="LastFirst" dataDxfId="390"/>
    <tableColumn id="3" xr3:uid="{2BF7857B-2D20-4F2C-84D5-DA47217E035D}" name="School" dataDxfId="389"/>
    <tableColumn id="4" xr3:uid="{1E6FA3B1-9F27-46CA-80CD-D1BBF6681F71}" name="Homeroom" dataDxfId="388"/>
    <tableColumn id="5" xr3:uid="{2E858AAB-1776-40EA-A841-22D41AA7CB09}" name="Literacy IPP" dataDxfId="387"/>
    <tableColumn id="6" xr3:uid="{9D45BA91-61A7-47E1-8C2B-B1E841FC817E}" name="Reading Level June of Previous School Year" dataDxfId="386"/>
    <tableColumn id="7" xr3:uid="{30FFA02D-3CE5-42C4-80B7-C68AE5352B65}" name="Min Expectation June of Previous School Year" dataDxfId="385">
      <calculatedColumnFormula>IFERROR(IF($E3="Yes","IPP",VLOOKUP($J3,'ELA Reading Logic'!$A$3:$K$9,VLOOKUP("September",'ELA Reading Logic'!$J$22:$K$31,2,FALSE),FALSE)),"Set Grade")</calculatedColumnFormula>
    </tableColumn>
    <tableColumn id="8" xr3:uid="{2F3082B7-E1EB-48DD-A0BB-F8DCC54C4FD7}" name="Max Expectation June of Previous School Year" dataDxfId="384">
      <calculatedColumnFormula>IFERROR(IF($E3="Yes","IPP",VLOOKUP($J3,'ELA Reading Logic'!$A$13:$K$19,VLOOKUP("September",'ELA Reading Logic'!$J$22:$K$31,2,FALSE),FALSE)),"Set Grade")</calculatedColumnFormula>
    </tableColumn>
    <tableColumn id="9" xr3:uid="{D1FC7612-5B94-410E-8DE5-D0E1E75D8DD9}" name="Starting Difference" dataDxfId="383">
      <calculatedColumnFormula>IF($E3="Yes","IPP",IFERROR(IF(AND(F3&gt;G3,F3&lt;H3),"0",(VLOOKUP(F3,'ELA Reading Logic'!$A$22:$B$48,2,FALSE))-(IF(VLOOKUP(F3,'ELA Reading Logic'!$A$22:$B$48,2,FALSE)&lt;=VLOOKUP(G3,'ELA Reading Logic'!$A$22:$B$48,2,FALSE),VLOOKUP(G3,'ELA Reading Logic'!$A$22:$B$48,2,FALSE),IF(VLOOKUP(F3,'ELA Reading Logic'!$A$22:$B$48,2,FALSE)&gt;=VLOOKUP(H3,'ELA Reading Logic'!$A$22:$B$48,2,FALSE),VLOOKUP(H3,'ELA Reading Logic'!$A$22:$B$48,2,FALSE),"No Score")))),"No Value"))</calculatedColumnFormula>
    </tableColumn>
    <tableColumn id="10" xr3:uid="{0C89B6D1-DB9F-47FF-9CEA-3280E98C5459}" name="Min Expectation June of Current School Year" dataDxfId="382">
      <calculatedColumnFormula>IFERROR(VLOOKUP($L3,'FLA Reading Logic'!$A$3:$K$9,11,FALSE),"Set Grade")</calculatedColumnFormula>
    </tableColumn>
    <tableColumn id="11" xr3:uid="{3FE85C2F-6F62-4196-A705-F77AA3E6A35F}" name="Max Expectation June of Current School Year" dataDxfId="381">
      <calculatedColumnFormula>IFERROR(VLOOKUP($L3,'FLA Reading Logic'!$A$13:$K$19,11,FALSE),"Set Grade")</calculatedColumnFormula>
    </tableColumn>
    <tableColumn id="12" xr3:uid="{F0562854-CE8D-4BE0-B739-C34A6D531753}" name="Grade" dataDxfId="380"/>
    <tableColumn id="13" xr3:uid="{6D554D2F-E8B6-4381-9A4C-55C8247A9C25}" name="Gender" dataDxfId="379"/>
    <tableColumn id="14" xr3:uid="{CF630772-D40C-4AD0-84D5-5FE895BB2A33}" name="Self-Identified as African Descent" dataDxfId="378"/>
    <tableColumn id="15" xr3:uid="{B264D691-9EDF-4BCD-8F48-200897C60F18}" name="Self-Identified as Indigenous" dataDxfId="377"/>
    <tableColumn id="16" xr3:uid="{E51EDAB2-91F9-4B99-A60A-012DF80343D1}" name="Current IPP" dataDxfId="376"/>
    <tableColumn id="17" xr3:uid="{49323FD2-E730-4F81-B51F-68F490BDF6B6}" name="Current Adaptations" dataDxfId="375"/>
    <tableColumn id="18" xr3:uid="{D9365477-A152-4652-AB32-133BE1CFEECD}" name="Current Year" dataDxfId="374"/>
    <tableColumn id="19" xr3:uid="{D89F373B-7604-4051-AA1D-6A6D1F848C2B}" name="Instructional Reading Level - Per 1" dataDxfId="373"/>
    <tableColumn id="20" xr3:uid="{94BF19CA-B77A-4CD3-93BA-FFE0E98E8935}" name="Min Expectation - Per 1" dataDxfId="372">
      <calculatedColumnFormula>IFERROR(IF($E3="Yes","IPP",VLOOKUP($L3,'FLA Reading Logic'!$A$3:$K$9,VLOOKUP(S$1,'FLA Reading Logic'!$J$22:$K$31,2,FALSE),FALSE)),"Set Grade")</calculatedColumnFormula>
    </tableColumn>
    <tableColumn id="21" xr3:uid="{2EBFAAB8-D28E-4E1F-A621-9FE9DF2ADF78}" name="Max Expectation - Per 1" dataDxfId="371">
      <calculatedColumnFormula>IFERROR(IF($E3="Yes","IPP",VLOOKUP($L3,'FLA Reading Logic'!$A$13:$K$19,VLOOKUP(S$1,'FLA Reading Logic'!$J$22:$K$31,2,FALSE),FALSE)),"Set Grade")</calculatedColumnFormula>
    </tableColumn>
    <tableColumn id="22" xr3:uid="{145EDDC3-8106-4C12-833E-03B02FC54C07}" name="Difference - Per 1" dataDxfId="370">
      <calculatedColumnFormula>IF($E3="Yes","IPP",IFERROR(IF(AND(S3&gt;T3,S3&lt;U3),"0",(VLOOKUP(S3,'FLA Reading Logic'!$A$22:$B$53,2,FALSE))-(IF(VLOOKUP(S3,'FLA Reading Logic'!$A$22:$B$53,2,FALSE)&lt;=VLOOKUP(T3,'FLA Reading Logic'!$A$22:$B$53,2,FALSE),VLOOKUP(T3,'FLA Reading Logic'!$A$22:$B$53,2,FALSE),IF(VLOOKUP(S3,'FLA Reading Logic'!$A$22:$B$53,2,FALSE)&gt;=VLOOKUP(U3,'FLA Reading Logic'!$A$22:$B$53,2,FALSE),VLOOKUP(U3,'FLA Reading Logic'!$A$22:$B$53,2,FALSE),"No Score")))),"No Value"))</calculatedColumnFormula>
    </tableColumn>
    <tableColumn id="23" xr3:uid="{922F056A-0672-4318-827A-AB9293998291}" name="Change from Prev June - Per 1" dataDxfId="369">
      <calculatedColumnFormula>IFERROR(VLOOKUP(S3,'FLA Reading Logic'!$A$22:$B$53,2,FALSE)-VLOOKUP($F3,'FLA Reading Logic'!$A$22:$B$53,2,FALSE),"No Value")</calculatedColumnFormula>
    </tableColumn>
    <tableColumn id="24" xr3:uid="{490226E8-4C47-41A0-9FCE-5C7A927EBE38}" name="Relative to End of June Target - Per 1" dataDxfId="368">
      <calculatedColumnFormula>IF($E3="Yes","IPP",IFERROR(IF(AND(S3&gt;$J3,S3&lt;$K3),"0",(VLOOKUP(S3,'FLA Reading Logic'!$A$22:$B$53,2,FALSE))-(IF(VLOOKUP(S3,'FLA Reading Logic'!$A$22:$B$53,2,FALSE)&lt;=VLOOKUP($J3,'FLA Reading Logic'!$A$22:$B$53,2,FALSE),VLOOKUP($J3,'FLA Reading Logic'!$A$22:$B$53,2,FALSE),IF(VLOOKUP(S3,'FLA Reading Logic'!$A$22:$B$53,2,FALSE)&gt;=VLOOKUP($K3,'FLA Reading Logic'!$A$22:$B$53,2,FALSE),VLOOKUP($K3,'FLA Reading Logic'!$A$22:$B$53,2,FALSE),"No Score")))),"No Value"))</calculatedColumnFormula>
    </tableColumn>
    <tableColumn id="25" xr3:uid="{A74CB0CB-1AB0-4360-9097-D1851A378D25}" name="Instructional Reading Level - Per 2" dataDxfId="367"/>
    <tableColumn id="26" xr3:uid="{DDDEEBD3-B8B5-437B-8D85-BDB34693C36D}" name="Min Expectation - Per 2" dataDxfId="366">
      <calculatedColumnFormula>IFERROR(IF($E3="Yes","IPP",VLOOKUP($L3,'FLA Reading Logic'!$A$3:$K$9,VLOOKUP(Y$1,'FLA Reading Logic'!$J$22:$K$31,2,FALSE),FALSE)),"Set Grade")</calculatedColumnFormula>
    </tableColumn>
    <tableColumn id="27" xr3:uid="{CDE1C797-A16F-40A1-8CE3-F96F843A1901}" name="Max Expectation - Per 2" dataDxfId="365">
      <calculatedColumnFormula>IFERROR(IF($E3="Yes","IPP",VLOOKUP($L3,'FLA Reading Logic'!$A$13:$K$19,VLOOKUP(Y$1,'FLA Reading Logic'!$J$22:$K$31,2,FALSE),FALSE)),"Set Grade")</calculatedColumnFormula>
    </tableColumn>
    <tableColumn id="28" xr3:uid="{17A24F2C-7932-43D0-AF05-9EBAADE8402A}" name="Difference - Per 2" dataDxfId="364">
      <calculatedColumnFormula>IF($E3="Yes","IPP",IFERROR(IF(AND(Y3&gt;Z3,Y3&lt;AA3),"0",(VLOOKUP(Y3,'FLA Reading Logic'!$A$22:$B$53,2,FALSE))-(IF(VLOOKUP(Y3,'FLA Reading Logic'!$A$22:$B$53,2,FALSE)&lt;=VLOOKUP(Z3,'FLA Reading Logic'!$A$22:$B$53,2,FALSE),VLOOKUP(Z3,'FLA Reading Logic'!$A$22:$B$53,2,FALSE),IF(VLOOKUP(Y3,'FLA Reading Logic'!$A$22:$B$53,2,FALSE)&gt;=VLOOKUP(AA3,'FLA Reading Logic'!$A$22:$B$53,2,FALSE),VLOOKUP(AA3,'FLA Reading Logic'!$A$22:$B$53,2,FALSE),"No Score")))),"No Value"))</calculatedColumnFormula>
    </tableColumn>
    <tableColumn id="29" xr3:uid="{B5D70C52-8573-4B81-83C6-57C4125EF038}" name="Change from Prev June - Per 2" dataDxfId="363">
      <calculatedColumnFormula>IFERROR(VLOOKUP(Y3,'FLA Reading Logic'!$A$22:$B$48,2,FALSE)-VLOOKUP($F3,'FLA Reading Logic'!$A$22:$B$48,2,FALSE),"No Value")</calculatedColumnFormula>
    </tableColumn>
    <tableColumn id="30" xr3:uid="{7B975AE4-1537-4C6F-B407-6273E22AB9DA}" name="Relative to End of June Target - Per 2" dataDxfId="362">
      <calculatedColumnFormula>IF($E3="Yes","IPP",IFERROR(IF(AND(Y3&gt;$J3,Y3&lt;$K3),"0",(VLOOKUP(Y3,'FLA Reading Logic'!$A$22:$B$53,2,FALSE))-(IF(VLOOKUP(Y3,'FLA Reading Logic'!$A$22:$B$53,2,FALSE)&lt;=VLOOKUP($J3,'FLA Reading Logic'!$A$22:$B$53,2,FALSE),VLOOKUP($J3,'FLA Reading Logic'!$A$22:$B$53,2,FALSE),IF(VLOOKUP(Y3,'FLA Reading Logic'!$A$22:$B$53,2,FALSE)&gt;=VLOOKUP($K3,'FLA Reading Logic'!$A$22:$B$53,2,FALSE),VLOOKUP($K3,'FLA Reading Logic'!$A$22:$B$53,2,FALSE),"No Score")))),"No Value"))</calculatedColumnFormula>
    </tableColumn>
    <tableColumn id="31" xr3:uid="{040BB260-FE8D-4C97-8511-98FB5BF8D436}" name="Instructional Reading Level - Per 3" dataDxfId="361"/>
    <tableColumn id="32" xr3:uid="{F90560C4-FF38-4C6D-B392-CBF3A264205E}" name="Min Expectation - Per 3" dataDxfId="360">
      <calculatedColumnFormula>IFERROR(IF($E3="Yes","IPP",VLOOKUP($L3,'FLA Reading Logic'!$A$3:$K$9,VLOOKUP(AE$1,'FLA Reading Logic'!$J$22:$K$31,2,FALSE),FALSE)),"Set Grade")</calculatedColumnFormula>
    </tableColumn>
    <tableColumn id="33" xr3:uid="{F47332E7-725D-4D80-9EAD-C473E6F678CE}" name="Max Expectation - Per 3" dataDxfId="359">
      <calculatedColumnFormula>IFERROR(IF($E3="Yes","IPP",VLOOKUP($L3,'FLA Reading Logic'!$A$13:$K$19,VLOOKUP(AE$1,'FLA Reading Logic'!$J$22:$K$31,2,FALSE),FALSE)),"Set Grade")</calculatedColumnFormula>
    </tableColumn>
    <tableColumn id="34" xr3:uid="{126DDFE2-11FA-4846-BE47-B1E4AB395698}" name="Difference - Per 3" dataDxfId="358">
      <calculatedColumnFormula>IF($E3="Yes","IPP",IFERROR(IF(AND(AE3&gt;AF3,AE3&lt;AG3),"0",(VLOOKUP(AE3,'FLA Reading Logic'!$A$22:$B$53,2,FALSE))-(IF(VLOOKUP(AE3,'FLA Reading Logic'!$A$22:$B$53,2,FALSE)&lt;=VLOOKUP(AF3,'FLA Reading Logic'!$A$22:$B$53,2,FALSE),VLOOKUP(AF3,'FLA Reading Logic'!$A$22:$B$53,2,FALSE),IF(VLOOKUP(AE3,'FLA Reading Logic'!$A$22:$B$53,2,FALSE)&gt;=VLOOKUP(AG3,'FLA Reading Logic'!$A$22:$B$53,2,FALSE),VLOOKUP(AG3,'FLA Reading Logic'!$A$22:$B$53,2,FALSE),"No Score")))),"No Value"))</calculatedColumnFormula>
    </tableColumn>
    <tableColumn id="35" xr3:uid="{6E23CB8C-598E-4390-8BF2-480D704AEAC6}" name="Change from Prev June - Per 3" dataDxfId="357">
      <calculatedColumnFormula>IFERROR(VLOOKUP(AE3,'FLA Reading Logic'!$A$22:$B$48,2,FALSE)-VLOOKUP($F3,'FLA Reading Logic'!$A$22:$B$48,2,FALSE),"No Value")</calculatedColumnFormula>
    </tableColumn>
    <tableColumn id="36" xr3:uid="{786FB135-41D0-46C6-B6B8-367FD32189FC}" name="Relative to End of June Target - Per 3" dataDxfId="356">
      <calculatedColumnFormula>IF($E3="Yes","IPP",IFERROR(IF(AND(AE3&gt;$J3,AE3&lt;$K3),"0",(VLOOKUP(AE3,'FLA Reading Logic'!$A$22:$B$53,2,FALSE))-(IF(VLOOKUP(AE3,'FLA Reading Logic'!$A$22:$B$53,2,FALSE)&lt;=VLOOKUP($J3,'FLA Reading Logic'!$A$22:$B$53,2,FALSE),VLOOKUP($J3,'FLA Reading Logic'!$A$22:$B$53,2,FALSE),IF(VLOOKUP(AE3,'FLA Reading Logic'!$A$22:$B$53,2,FALSE)&gt;=VLOOKUP($K3,'FLA Reading Logic'!$A$22:$B$53,2,FALSE),VLOOKUP($K3,'FLA Reading Logic'!$A$22:$B$53,2,FALSE),"No Score")))),"No Value"))</calculatedColumnFormula>
    </tableColumn>
    <tableColumn id="37" xr3:uid="{24A5C8C1-3B75-4455-9317-63977CB2329B}" name="Instructional Reading Level - Per 4" dataDxfId="355"/>
    <tableColumn id="38" xr3:uid="{58C7C0E9-29BA-47DC-A8EA-C823A7A96BF7}" name="Min Expectation - Per 4" dataDxfId="354">
      <calculatedColumnFormula>IFERROR(IF($E3="Yes","IPP",VLOOKUP($L3,'FLA Reading Logic'!$A$3:$K$9,VLOOKUP(AK$1,'FLA Reading Logic'!$J$22:$K$31,2,FALSE),FALSE)),"Set Grade")</calculatedColumnFormula>
    </tableColumn>
    <tableColumn id="39" xr3:uid="{3C309049-821C-4E79-BCAE-9853FA2244A6}" name="Max Expectation - Per 4" dataDxfId="353">
      <calculatedColumnFormula>IFERROR(IF($E3="Yes","IPP",VLOOKUP($L3,'FLA Reading Logic'!$A$13:$K$19,VLOOKUP(AK$1,'FLA Reading Logic'!$J$22:$K$31,2,FALSE),FALSE)),"Set Grade")</calculatedColumnFormula>
    </tableColumn>
    <tableColumn id="40" xr3:uid="{A4E4E625-93E3-4776-83CA-27716373D7A0}" name="Difference - Per 4" dataDxfId="352">
      <calculatedColumnFormula>IF($E3="Yes","IPP",IFERROR(IF(AND(AK3&gt;AL3,AK3&lt;AM3),"0",(VLOOKUP(AK3,'FLA Reading Logic'!$A$22:$B$53,2,FALSE))-(IF(VLOOKUP(AK3,'FLA Reading Logic'!$A$22:$B$53,2,FALSE)&lt;=VLOOKUP(AL3,'FLA Reading Logic'!$A$22:$B$53,2,FALSE),VLOOKUP(AL3,'FLA Reading Logic'!$A$22:$B$53,2,FALSE),IF(VLOOKUP(AK3,'FLA Reading Logic'!$A$22:$B$53,2,FALSE)&gt;=VLOOKUP(AM3,'FLA Reading Logic'!$A$22:$B$53,2,FALSE),VLOOKUP(AM3,'FLA Reading Logic'!$A$22:$B$53,2,FALSE),"No Score")))),"No Value"))</calculatedColumnFormula>
    </tableColumn>
    <tableColumn id="41" xr3:uid="{3A9B4E73-DE35-442B-9D2E-B61AC270A0ED}" name="Change from Prev June - Per 4" dataDxfId="351">
      <calculatedColumnFormula>IFERROR(VLOOKUP(AK3,'FLA Reading Logic'!$A$22:$B$48,2,FALSE)-VLOOKUP($F3,'FLA Reading Logic'!$A$22:$B$48,2,FALSE),"No Value")</calculatedColumnFormula>
    </tableColumn>
    <tableColumn id="42" xr3:uid="{F748EFCB-824B-4B46-BA7A-70EF901EE5D8}" name="Relative to End of June Target - Per 4" dataDxfId="350">
      <calculatedColumnFormula>IF($E3="Yes","IPP",IFERROR(IF(AND(AK3&gt;$J3,AK3&lt;$K3),"0",(VLOOKUP(AK3,'FLA Reading Logic'!$A$22:$B$53,2,FALSE))-(IF(VLOOKUP(AK3,'FLA Reading Logic'!$A$22:$B$53,2,FALSE)&lt;=VLOOKUP($J3,'FLA Reading Logic'!$A$22:$B$53,2,FALSE),VLOOKUP($J3,'FLA Reading Logic'!$A$22:$B$53,2,FALSE),IF(VLOOKUP(AK3,'FLA Reading Logic'!$A$22:$B$53,2,FALSE)&gt;=VLOOKUP($K3,'FLA Reading Logic'!$A$22:$B$53,2,FALSE),VLOOKUP($K3,'FLA Reading Logic'!$A$22:$B$53,2,FALSE),"No Score")))),"No Value"))</calculatedColumnFormula>
    </tableColumn>
    <tableColumn id="43" xr3:uid="{290B5FF6-C8BA-4B8F-B785-E9EB1EACF40B}" name="Instructional Reading Level - Per 5" dataDxfId="349"/>
    <tableColumn id="44" xr3:uid="{F04102B0-C028-436B-A7E9-9790C00B7F44}" name="Min Expectation - Per 5" dataDxfId="348">
      <calculatedColumnFormula>IFERROR(IF($E3="Yes","IPP",VLOOKUP($L3,'FLA Reading Logic'!$A$3:$K$9,VLOOKUP(AQ$1,'FLA Reading Logic'!$J$22:$K$31,2,FALSE),FALSE)),"Set Grade")</calculatedColumnFormula>
    </tableColumn>
    <tableColumn id="45" xr3:uid="{FEAB132F-E70B-447C-B98E-64D3D03661E8}" name="Max Expectation - Per 5" dataDxfId="347">
      <calculatedColumnFormula>IFERROR(IF($E3="Yes","IPP",VLOOKUP($L3,'FLA Reading Logic'!$A$13:$K$19,VLOOKUP(AQ$1,'FLA Reading Logic'!$J$22:$K$31,2,FALSE),FALSE)),"Set Grade")</calculatedColumnFormula>
    </tableColumn>
    <tableColumn id="46" xr3:uid="{6552F60E-11A9-4957-BB2E-D6E20BFF38FA}" name="Difference - Per 5" dataDxfId="346">
      <calculatedColumnFormula>IF($E3="Yes","IPP",IFERROR(IF(AND(AQ3&gt;AR3,AQ3&lt;AS3),"0",(VLOOKUP(AQ3,'FLA Reading Logic'!$A$22:$B$53,2,FALSE))-(IF(VLOOKUP(AQ3,'FLA Reading Logic'!$A$22:$B$53,2,FALSE)&lt;=VLOOKUP(AR3,'FLA Reading Logic'!$A$22:$B$53,2,FALSE),VLOOKUP(AR3,'FLA Reading Logic'!$A$22:$B$53,2,FALSE),IF(VLOOKUP(AQ3,'FLA Reading Logic'!$A$22:$B$53,2,FALSE)&gt;=VLOOKUP(AS3,'FLA Reading Logic'!$A$22:$B$53,2,FALSE),VLOOKUP(AS3,'FLA Reading Logic'!$A$22:$B$53,2,FALSE),"No Score")))),"No Value"))</calculatedColumnFormula>
    </tableColumn>
    <tableColumn id="47" xr3:uid="{ACCF945F-9150-4996-912B-CAC7CFEB925A}" name="Change from Prev June - Per 5" dataDxfId="345">
      <calculatedColumnFormula>IFERROR(VLOOKUP(AQ3,'FLA Reading Logic'!$A$22:$B$48,2,FALSE)-VLOOKUP($F3,'FLA Reading Logic'!$A$22:$B$48,2,FALSE),"No Value")</calculatedColumnFormula>
    </tableColumn>
    <tableColumn id="48" xr3:uid="{DA8188B3-00C7-4F2F-A900-A21E8E1E3370}" name="Relative to End of June Target - Per 5" dataDxfId="344">
      <calculatedColumnFormula>IF($E3="Yes","IPP",IFERROR(IF(AND(AQ3&gt;$J3,AQ3&lt;$K3),"0",(VLOOKUP(AQ3,'FLA Reading Logic'!$A$22:$B$53,2,FALSE))-(IF(VLOOKUP(AQ3,'FLA Reading Logic'!$A$22:$B$53,2,FALSE)&lt;=VLOOKUP($J3,'FLA Reading Logic'!$A$22:$B$53,2,FALSE),VLOOKUP($J3,'FLA Reading Logic'!$A$22:$B$53,2,FALSE),IF(VLOOKUP(AQ3,'FLA Reading Logic'!$A$22:$B$53,2,FALSE)&gt;=VLOOKUP($K3,'FLA Reading Logic'!$A$22:$B$53,2,FALSE),VLOOKUP($K3,'FLA Reading Logic'!$A$22:$B$53,2,FALSE),"No Score")))),"No Value"))</calculatedColumnFormula>
    </tableColumn>
    <tableColumn id="49" xr3:uid="{BA3D6F2D-AC60-4EBF-85F2-4415CC25DD58}" name="Instructional Reading Level - Per 6" dataDxfId="343"/>
    <tableColumn id="50" xr3:uid="{69C523EC-BF9E-4711-83F0-0B9D3CE1CA8E}" name="Min Expectation - Per 6" dataDxfId="342">
      <calculatedColumnFormula>IFERROR(IF($E3="Yes","IPP",VLOOKUP($L3,'FLA Reading Logic'!$A$3:$K$9,VLOOKUP(AW$1,'FLA Reading Logic'!$J$22:$K$31,2,FALSE),FALSE)),"Set Grade")</calculatedColumnFormula>
    </tableColumn>
    <tableColumn id="51" xr3:uid="{10217AD8-DD77-4187-AC0C-FEEAC7DB37E7}" name="Max Expectation - Per 6" dataDxfId="341">
      <calculatedColumnFormula>IFERROR(IF($E3="Yes","IPP",VLOOKUP($L3,'FLA Reading Logic'!$A$13:$K$19,VLOOKUP(AW$1,'FLA Reading Logic'!$J$22:$K$31,2,FALSE),FALSE)),"Set Grade")</calculatedColumnFormula>
    </tableColumn>
    <tableColumn id="52" xr3:uid="{1446B944-BE6C-4262-88C6-B7974CA1073F}" name="Difference - Per 6" dataDxfId="340">
      <calculatedColumnFormula>IF($E3="Yes","IPP",IFERROR(IF(AND(AW3&gt;AX3,AW3&lt;AY3),"0",(VLOOKUP(AW3,'FLA Reading Logic'!$A$22:$B$53,2,FALSE))-(IF(VLOOKUP(AW3,'FLA Reading Logic'!$A$22:$B$53,2,FALSE)&lt;=VLOOKUP(AX3,'FLA Reading Logic'!$A$22:$B$53,2,FALSE),VLOOKUP(AX3,'FLA Reading Logic'!$A$22:$B$53,2,FALSE),IF(VLOOKUP(AW3,'FLA Reading Logic'!$A$22:$B$53,2,FALSE)&gt;=VLOOKUP(AY3,'FLA Reading Logic'!$A$22:$B$53,2,FALSE),VLOOKUP(AY3,'FLA Reading Logic'!$A$22:$B$53,2,FALSE),"No Score")))),"No Value"))</calculatedColumnFormula>
    </tableColumn>
    <tableColumn id="53" xr3:uid="{E41697D5-941D-4886-BCFF-0D4ECC38BCD2}" name="Change from Prev June - Per 6" dataDxfId="339">
      <calculatedColumnFormula>IFERROR(VLOOKUP(AW3,'FLA Reading Logic'!$A$22:$B$48,2,FALSE)-VLOOKUP($F3,'FLA Reading Logic'!$A$22:$B$48,2,FALSE),"No Value")</calculatedColumnFormula>
    </tableColumn>
    <tableColumn id="54" xr3:uid="{AF248043-0D93-4580-9F3B-1E85E1E13F2B}" name="Relative to End of June Target - Per 6" dataDxfId="338">
      <calculatedColumnFormula>IF($E3="Yes","IPP",IFERROR(IF(AND(AW3&gt;$J3,AW3&lt;$K3),"0",(VLOOKUP(AW3,'FLA Reading Logic'!$A$22:$B$53,2,FALSE))-(IF(VLOOKUP(AW3,'FLA Reading Logic'!$A$22:$B$53,2,FALSE)&lt;=VLOOKUP($J3,'FLA Reading Logic'!$A$22:$B$53,2,FALSE),VLOOKUP($J3,'FLA Reading Logic'!$A$22:$B$53,2,FALSE),IF(VLOOKUP(AW3,'FLA Reading Logic'!$A$22:$B$53,2,FALSE)&gt;=VLOOKUP($K3,'FLA Reading Logic'!$A$22:$B$53,2,FALSE),VLOOKUP($K3,'FLA Reading Logic'!$A$22:$B$53,2,FALSE),"No Score")))),"No Value"))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FC85A0-4F73-49A2-87E3-A64C71F3EB20}" name="YES_Writing_ELA" displayName="YES_Writing_ELA" ref="A2:AU262" totalsRowShown="0" headerRowDxfId="327" dataDxfId="325" headerRowBorderDxfId="326" tableBorderDxfId="324" totalsRowBorderDxfId="323">
  <autoFilter ref="A2:AU262" xr:uid="{EAFC85A0-4F73-49A2-87E3-A64C71F3EB20}"/>
  <sortState xmlns:xlrd2="http://schemas.microsoft.com/office/spreadsheetml/2017/richdata2" ref="A3:AU262">
    <sortCondition ref="D3:D262"/>
    <sortCondition ref="E3:E262"/>
    <sortCondition ref="B3:B262"/>
  </sortState>
  <tableColumns count="47">
    <tableColumn id="1" xr3:uid="{83A12160-6AF2-4C5A-BE33-54BF0F32A954}" name="Student Number" dataDxfId="322"/>
    <tableColumn id="2" xr3:uid="{7223547E-9D26-4E45-BBAE-D454263A62DF}" name="Name" dataDxfId="321"/>
    <tableColumn id="3" xr3:uid="{1EE6CD53-4744-477A-A7BD-99DF7F3B7154}" name="School" dataDxfId="320"/>
    <tableColumn id="4" xr3:uid="{0C32036E-0C03-4035-91B4-1217BE798466}" name="HomeRoom" dataDxfId="319"/>
    <tableColumn id="5" xr3:uid="{446BBD34-D53E-4B64-A9F7-743EF9E6DC4A}" name="Grade" dataDxfId="318"/>
    <tableColumn id="6" xr3:uid="{5BF5CB23-81ED-4DE6-B3F4-F0B9D94BF462}" name="Gender" dataDxfId="317"/>
    <tableColumn id="7" xr3:uid="{C983199F-4F2C-4A80-BE87-1F7A4BE174F1}" name="Self-Identified as African Descent" dataDxfId="316"/>
    <tableColumn id="8" xr3:uid="{F5D0E7C8-BF66-4C94-89DB-4016B176D7E6}" name="Self-Identified as Indigenous" dataDxfId="315"/>
    <tableColumn id="9" xr3:uid="{1BA1F630-55DD-4A31-A04C-02B2EBF06E1C}" name="Current IPP" dataDxfId="314"/>
    <tableColumn id="10" xr3:uid="{E6E13DD1-D4B0-4245-BD5D-C9956F4B8919}" name="Current Adaptations" dataDxfId="313"/>
    <tableColumn id="11" xr3:uid="{D489EAE6-C88E-40A2-AA16-058880D610D0}" name="Literacy IPP" dataDxfId="312"/>
    <tableColumn id="12" xr3:uid="{B0B63A52-DBF5-46FF-A7FB-CF6EEDA8FD54}" name="Current Year" dataDxfId="311"/>
    <tableColumn id="13" xr3:uid="{4DAACB1F-CA6C-4126-B315-54416AA065E8}" name="Conventions - Per 1" dataDxfId="310"/>
    <tableColumn id="14" xr3:uid="{DFADBEE1-909B-4A9D-90F6-EE937C4001AB}" name="Organization - Per 1" dataDxfId="309"/>
    <tableColumn id="15" xr3:uid="{36B97EA4-D874-4178-950C-296186C07F84}" name="Ideas - Per 1" dataDxfId="308"/>
    <tableColumn id="16" xr3:uid="{3D6D3A0B-064F-4785-9D85-2D1FFC61DA13}" name="Language Use - Per 1" dataDxfId="307"/>
    <tableColumn id="17" xr3:uid="{2131870C-307C-4302-AFA1-DE741049DA58}" name="Writing Average - Per 1" dataDxfId="306">
      <calculatedColumnFormula>IFERROR(IF(YES_Writing_ELA[[#This Row],[Literacy IPP]]='Writing Logic'!$E$26,"IPP",IF(OR(M3="EAL",N3="EAL",O3="EAL",P3="EAL"),"EAL",IF(M3='Writing Logic'!$A$10,AVERAGE(VLOOKUP(N3,'Writing Logic'!$A$3:$B$7,2,FALSE),VLOOKUP(O3,'Writing Logic'!$A$3:$B$7,2,FALSE),VLOOKUP(P3,'Writing Logic'!$A$3:$B$7,2,FALSE)),AVERAGE(VLOOKUP(M3,'Writing Logic'!$A$3:$B$7,2,FALSE),VLOOKUP(N3,'Writing Logic'!$A$3:$B$7,2,FALSE),VLOOKUP(O3,'Writing Logic'!$A$3:$B$7,2,FALSE),VLOOKUP(P3,'Writing Logic'!$A$3:$B$7,2,FALSE))))),"Fill All 4")</calculatedColumnFormula>
    </tableColumn>
    <tableColumn id="18" xr3:uid="{C0F420AD-C2E3-4E2D-B72D-540AC5F616E4}" name="Conventions - Per 2" dataDxfId="305"/>
    <tableColumn id="19" xr3:uid="{C362835A-D6C3-4496-AB72-435A47009547}" name="Organization - Per 2" dataDxfId="304"/>
    <tableColumn id="20" xr3:uid="{7F9C09B2-0FBD-406A-BB09-741EAD1F8485}" name="Ideas - Per 2" dataDxfId="303"/>
    <tableColumn id="21" xr3:uid="{23B9BCA0-5A39-4FDF-A343-F197FA1A38C1}" name="Language Use - Per 2" dataDxfId="302"/>
    <tableColumn id="22" xr3:uid="{6DD0B1CF-33E6-4FA1-A24D-543AA5855D6C}" name="Writing Average - Per 2" dataDxfId="301">
      <calculatedColumnFormula>IFERROR(IF(YES_Writing_ELA[[#This Row],[Literacy IPP]]='Writing Logic'!$E$26,"IPP",IF(OR(R3="EAL",S3="EAL",T3="EAL",U3="EAL"),"EAL",IF(R3='Writing Logic'!$A$10,AVERAGE(VLOOKUP(S3,'Writing Logic'!$A$3:$B$7,2,FALSE),VLOOKUP(T3,'Writing Logic'!$A$3:$B$7,2,FALSE),VLOOKUP(U3,'Writing Logic'!$A$3:$B$7,2,FALSE)),AVERAGE(VLOOKUP(R3,'Writing Logic'!$A$3:$B$7,2,FALSE),VLOOKUP(S3,'Writing Logic'!$A$3:$B$7,2,FALSE),VLOOKUP(T3,'Writing Logic'!$A$3:$B$7,2,FALSE),VLOOKUP(U3,'Writing Logic'!$A$3:$B$7,2,FALSE))))),"Fill All 4")</calculatedColumnFormula>
    </tableColumn>
    <tableColumn id="23" xr3:uid="{81C2AE2C-A79F-427F-8D8F-BD94ADCF2EB0}" name="Writing Average Growth - Per 2" dataDxfId="300">
      <calculatedColumnFormula>IFERROR(V3-$Q3,"")</calculatedColumnFormula>
    </tableColumn>
    <tableColumn id="24" xr3:uid="{0F29E2C3-3859-460B-A2B7-E2603D3C4629}" name="Conventions - Per 3" dataDxfId="299"/>
    <tableColumn id="25" xr3:uid="{23135ADB-04D6-40A1-B33D-43AE1D0A62E6}" name="Organization - Per 3" dataDxfId="298"/>
    <tableColumn id="26" xr3:uid="{7B097032-6712-4A47-A0F0-ADBF896A0548}" name="Ideas - Per 3" dataDxfId="297"/>
    <tableColumn id="27" xr3:uid="{CA1F38D7-2E25-42B5-8252-66ADC18908A6}" name="Language Use - Per 3" dataDxfId="296"/>
    <tableColumn id="28" xr3:uid="{E3BDB4F3-BD8A-4580-B1BC-D9801654F7E5}" name="Writing Average - Per 3" dataDxfId="295">
      <calculatedColumnFormula>IFERROR(IF(YES_Writing_ELA[[#This Row],[Literacy IPP]]='Writing Logic'!$E$26,"IPP",IF(OR(X3="EAL",Y3="EAL",Z3="EAL",AA3="EAL"),"EAL",IF(X3='Writing Logic'!$A$10,AVERAGE(VLOOKUP(Y3,'Writing Logic'!$A$3:$B$7,2,FALSE),VLOOKUP(Z3,'Writing Logic'!$A$3:$B$7,2,FALSE),VLOOKUP(AA3,'Writing Logic'!$A$3:$B$7,2,FALSE)),AVERAGE(VLOOKUP(X3,'Writing Logic'!$A$3:$B$7,2,FALSE),VLOOKUP(Y3,'Writing Logic'!$A$3:$B$7,2,FALSE),VLOOKUP(Z3,'Writing Logic'!$A$3:$B$7,2,FALSE),VLOOKUP(AA3,'Writing Logic'!$A$3:$B$7,2,FALSE))))),"Fill All 4")</calculatedColumnFormula>
    </tableColumn>
    <tableColumn id="29" xr3:uid="{6796F98D-43A5-422F-ABA3-3F75415F60BF}" name="Writing Average Growth - Per 3" dataDxfId="294">
      <calculatedColumnFormula>IFERROR(AB3-$Q3,"")</calculatedColumnFormula>
    </tableColumn>
    <tableColumn id="30" xr3:uid="{DE338A3E-42DB-4389-900D-897AEE69B2F9}" name="Conventions - Per 4" dataDxfId="293"/>
    <tableColumn id="31" xr3:uid="{B4705825-B14D-46CC-822C-D5E1CE375728}" name="Organization - Per 4" dataDxfId="292"/>
    <tableColumn id="32" xr3:uid="{D4D9EA55-DFEA-48A6-B759-E55801327D5F}" name="Ideas - Per 4" dataDxfId="291"/>
    <tableColumn id="33" xr3:uid="{24EF974F-5CCA-4A73-905B-FE091AF39F74}" name="Language Use - Per 4" dataDxfId="290"/>
    <tableColumn id="34" xr3:uid="{05FEC2E9-1E79-4B8E-84E2-98A2A5582EF5}" name="Writing Average - Per 4" dataDxfId="289">
      <calculatedColumnFormula>IFERROR(IF(YES_Writing_ELA[[#This Row],[Literacy IPP]]='Writing Logic'!$E$26,"IPP",IF(OR(AD3="EAL",AE3="EAL",AF3="EAL",AG3="EAL"),"EAL",IF(AD3='Writing Logic'!$A$10,AVERAGE(VLOOKUP(AE3,'Writing Logic'!$A$3:$B$7,2,FALSE),VLOOKUP(AF3,'Writing Logic'!$A$3:$B$7,2,FALSE),VLOOKUP(AG3,'Writing Logic'!$A$3:$B$7,2,FALSE)),AVERAGE(VLOOKUP(AD3,'Writing Logic'!$A$3:$B$7,2,FALSE),VLOOKUP(AE3,'Writing Logic'!$A$3:$B$7,2,FALSE),VLOOKUP(AF3,'Writing Logic'!$A$3:$B$7,2,FALSE),VLOOKUP(AG3,'Writing Logic'!$A$3:$B$7,2,FALSE))))),"Fill All 4")</calculatedColumnFormula>
    </tableColumn>
    <tableColumn id="35" xr3:uid="{5453E8AD-FFA8-435A-86EF-20AA712C1B60}" name="Writing Average Growth - Per 4" dataDxfId="288">
      <calculatedColumnFormula>IFERROR(AH3-$Q3,"")</calculatedColumnFormula>
    </tableColumn>
    <tableColumn id="36" xr3:uid="{C0F8ADAB-983C-445E-ADA6-4AD522A45216}" name="Conventions - Per 5" dataDxfId="287"/>
    <tableColumn id="37" xr3:uid="{5167776D-1A88-4C83-990C-6B6033C01A08}" name="Organization - Per 5" dataDxfId="286"/>
    <tableColumn id="38" xr3:uid="{4E406FC9-D2FB-4448-9530-2001573BB29C}" name="Ideas - Per 5" dataDxfId="285"/>
    <tableColumn id="39" xr3:uid="{E4E005BA-6194-4420-AC4E-E6ADA9A2CE95}" name="Language Use - Per 5" dataDxfId="284"/>
    <tableColumn id="40" xr3:uid="{802B9DB9-4F24-4E65-A95B-993A34CC4EC2}" name="Writing Average - Per 5" dataDxfId="283">
      <calculatedColumnFormula>IFERROR(IF(YES_Writing_ELA[[#This Row],[Literacy IPP]]='Writing Logic'!$E$26,"IPP",IF(OR(AJ3="EAL",AK3="EAL",AL3="EAL",AM3="EAL"),"EAL",IF(AJ3='Writing Logic'!$A$10,AVERAGE(VLOOKUP(AK3,'Writing Logic'!$A$3:$B$7,2,FALSE),VLOOKUP(AL3,'Writing Logic'!$A$3:$B$7,2,FALSE),VLOOKUP(AM3,'Writing Logic'!$A$3:$B$7,2,FALSE)),AVERAGE(VLOOKUP(AJ3,'Writing Logic'!$A$3:$B$7,2,FALSE),VLOOKUP(AK3,'Writing Logic'!$A$3:$B$7,2,FALSE),VLOOKUP(AL3,'Writing Logic'!$A$3:$B$7,2,FALSE),VLOOKUP(AM3,'Writing Logic'!$A$3:$B$7,2,FALSE))))),"Fill All 4")</calculatedColumnFormula>
    </tableColumn>
    <tableColumn id="41" xr3:uid="{54CD9A3F-1A39-4B7E-84AF-8ABE3569428E}" name="Writing Average Growth - Per 5" dataDxfId="282">
      <calculatedColumnFormula>IFERROR(AN3-$Q3,"")</calculatedColumnFormula>
    </tableColumn>
    <tableColumn id="42" xr3:uid="{8C54B756-9EA1-496D-B0CF-2218F93A6478}" name="Conventions - Per 6" dataDxfId="281"/>
    <tableColumn id="43" xr3:uid="{FD3CF061-6E92-4C21-9104-1B81354CF390}" name="Organization - Per 6" dataDxfId="280"/>
    <tableColumn id="44" xr3:uid="{4D04EEC5-BB22-4B31-A2B8-97717188B5A2}" name="Ideas - Per 6" dataDxfId="279"/>
    <tableColumn id="45" xr3:uid="{5E7D0A21-DB19-4B70-B7D1-E2CAD2BC4214}" name="Language Use - Per 6" dataDxfId="278"/>
    <tableColumn id="46" xr3:uid="{FD09B884-754B-4B42-9067-5854226ABADB}" name="Writing Average - Per 6" dataDxfId="277">
      <calculatedColumnFormula>IFERROR(IF(YES_Writing_ELA[[#This Row],[Literacy IPP]]='Writing Logic'!$E$26,"IPP",IF(OR(AP3="EAL",AQ3="EAL",AR3="EAL",AS3="EAL"),"EAL",IF(AP3='Writing Logic'!$A$10,AVERAGE(VLOOKUP(AQ3,'Writing Logic'!$A$3:$B$7,2,FALSE),VLOOKUP(AR3,'Writing Logic'!$A$3:$B$7,2,FALSE),VLOOKUP(AS3,'Writing Logic'!$A$3:$B$7,2,FALSE)),AVERAGE(VLOOKUP(AP3,'Writing Logic'!$A$3:$B$7,2,FALSE),VLOOKUP(AQ3,'Writing Logic'!$A$3:$B$7,2,FALSE),VLOOKUP(AR3,'Writing Logic'!$A$3:$B$7,2,FALSE),VLOOKUP(AS3,'Writing Logic'!$A$3:$B$7,2,FALSE))))),"Fill All 4")</calculatedColumnFormula>
    </tableColumn>
    <tableColumn id="47" xr3:uid="{F53CF354-4DEA-4BAB-BD4E-CD44974A493B}" name="Writing Average Growth - Per 6" dataDxfId="276">
      <calculatedColumnFormula>IFERROR(AT3-$Q3,"")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C59A97-4D36-4C1B-8BFA-36F766525DCA}" name="YES_Writing_FLA" displayName="YES_Writing_FLA" ref="A2:AU42" totalsRowShown="0" headerRowDxfId="250" dataDxfId="248" headerRowBorderDxfId="249" tableBorderDxfId="247" totalsRowBorderDxfId="246">
  <autoFilter ref="A2:AU42" xr:uid="{71C59A97-4D36-4C1B-8BFA-36F766525DCA}"/>
  <tableColumns count="47">
    <tableColumn id="1" xr3:uid="{DA64E8D1-6DB8-477C-9B45-52D6449D2846}" name="Student Number" dataDxfId="245"/>
    <tableColumn id="2" xr3:uid="{86483F43-7B6A-4BCA-AF9E-9A2E471B924A}" name="Name" dataDxfId="244"/>
    <tableColumn id="3" xr3:uid="{4C4109EA-6600-483A-8AE0-697D93CB8102}" name="School" dataDxfId="243"/>
    <tableColumn id="4" xr3:uid="{F78272A5-9319-43BF-BB87-BBEC77E76661}" name="HomeRoom" dataDxfId="242"/>
    <tableColumn id="5" xr3:uid="{39E7AD80-E2A8-4392-AE2F-ECA7A6B1DF5C}" name="Grade" dataDxfId="241"/>
    <tableColumn id="6" xr3:uid="{7B328B0B-EF13-4DD6-9D76-0D367FC83355}" name="Gender" dataDxfId="240"/>
    <tableColumn id="7" xr3:uid="{A9955A01-38C6-4523-8D87-4A2D74305194}" name="Self-Identified as African Descent" dataDxfId="239"/>
    <tableColumn id="8" xr3:uid="{4758D516-B246-4AE6-B589-67BFCD5095E8}" name="Self-Identified as Indigenous" dataDxfId="238"/>
    <tableColumn id="9" xr3:uid="{552D688E-2639-46F1-8408-B97913617D9D}" name="Current IPP" dataDxfId="237"/>
    <tableColumn id="10" xr3:uid="{9A7860C8-6349-4A2D-A5F2-03DDB0C4D578}" name="Current Adaptations" dataDxfId="236"/>
    <tableColumn id="11" xr3:uid="{8515539A-C163-43BE-8176-DAA5FE99B516}" name="Literacy IPP" dataDxfId="235"/>
    <tableColumn id="12" xr3:uid="{1B5520C0-1373-4082-BE2D-C92FAB9D62DD}" name="Current Year" dataDxfId="234"/>
    <tableColumn id="13" xr3:uid="{7E728149-85B1-42E9-9D14-C4B7A751A532}" name="Conventions - Per 1" dataDxfId="233"/>
    <tableColumn id="14" xr3:uid="{36057D11-ED51-42D4-8943-F832BA204AB3}" name="Organization - Per 1" dataDxfId="232"/>
    <tableColumn id="15" xr3:uid="{2B982EBF-18C9-468E-90F4-5386E2D50C73}" name="Ideas - Per 1" dataDxfId="231"/>
    <tableColumn id="16" xr3:uid="{B7A8E90A-8C64-4C0A-A4E2-9715BF4EC428}" name="Language Use - Per 1" dataDxfId="230"/>
    <tableColumn id="17" xr3:uid="{6E05C1A8-9E08-4077-90B1-62C71F956B3A}" name="Writing Average - Per 1" dataDxfId="229">
      <calculatedColumnFormula>IFERROR(IF(YES_Writing_FLA[[#This Row],[Literacy IPP]]='Writing Logic'!$E$26,"IPP",IF(OR(M3="EAL",N3="EAL",O3="EAL",P3="EAL"),"EAL",IF(M3='Writing Logic'!$A$10,AVERAGE(VLOOKUP(N3,'Writing Logic'!$A$3:$B$7,2,FALSE),VLOOKUP(O3,'Writing Logic'!$A$3:$B$7,2,FALSE),VLOOKUP(P3,'Writing Logic'!$A$3:$B$7,2,FALSE)),AVERAGE(VLOOKUP(M3,'Writing Logic'!$A$3:$B$7,2,FALSE),VLOOKUP(N3,'Writing Logic'!$A$3:$B$7,2,FALSE),VLOOKUP(O3,'Writing Logic'!$A$3:$B$7,2,FALSE),VLOOKUP(P3,'Writing Logic'!$A$3:$B$7,2,FALSE))))),"Fill All 4")</calculatedColumnFormula>
    </tableColumn>
    <tableColumn id="18" xr3:uid="{554F5297-EB27-4C1C-A894-624A38DAEAB2}" name="Conventions - Per 2" dataDxfId="228"/>
    <tableColumn id="19" xr3:uid="{D4FB87B8-D408-4A37-B1BC-2B8B075AE492}" name="Organization - Per 2" dataDxfId="227"/>
    <tableColumn id="20" xr3:uid="{0285799B-2DA8-4E7D-9C3C-6DFA73D31792}" name="Ideas - Per 2" dataDxfId="226"/>
    <tableColumn id="21" xr3:uid="{EC5AD2EF-5343-4FCA-AFC6-F84F1AE28D1A}" name="Language Use - Per 2" dataDxfId="225"/>
    <tableColumn id="22" xr3:uid="{CBA08F80-90E6-4F61-8F77-B69ADAB41F3E}" name="Writing Average - Per 2" dataDxfId="224">
      <calculatedColumnFormula>IFERROR(IF(YES_Writing_FLA[[#This Row],[Literacy IPP]]='Writing Logic'!$E$26,"IPP",IF(OR(R3="EAL",S3="EAL",T3="EAL",U3="EAL"),"EAL",IF(R3='Writing Logic'!$A$10,AVERAGE(VLOOKUP(S3,'Writing Logic'!$A$3:$B$7,2,FALSE),VLOOKUP(T3,'Writing Logic'!$A$3:$B$7,2,FALSE),VLOOKUP(U3,'Writing Logic'!$A$3:$B$7,2,FALSE)),AVERAGE(VLOOKUP(R3,'Writing Logic'!$A$3:$B$7,2,FALSE),VLOOKUP(S3,'Writing Logic'!$A$3:$B$7,2,FALSE),VLOOKUP(T3,'Writing Logic'!$A$3:$B$7,2,FALSE),VLOOKUP(U3,'Writing Logic'!$A$3:$B$7,2,FALSE))))),"Fill All 4")</calculatedColumnFormula>
    </tableColumn>
    <tableColumn id="23" xr3:uid="{CD0B46B3-47DC-4E91-A0FD-0C6B943A3D6B}" name="Writing Average Growth - Per 2" dataDxfId="223">
      <calculatedColumnFormula>IFERROR(V3-$Q3,"")</calculatedColumnFormula>
    </tableColumn>
    <tableColumn id="24" xr3:uid="{87853D26-0963-4901-9AA9-3ADEEB5D64D7}" name="Conventions - Per 3" dataDxfId="222"/>
    <tableColumn id="25" xr3:uid="{B3A6E657-EA65-4DE4-9491-02B5D5052168}" name="Organization - Per 3" dataDxfId="221"/>
    <tableColumn id="26" xr3:uid="{41248E88-6A51-47D2-8C84-8644ABE3181F}" name="Ideas - Per 3" dataDxfId="220"/>
    <tableColumn id="27" xr3:uid="{7799BD9E-20A1-4BD4-84B1-E4F3CC9041E4}" name="Language Use - Per 3" dataDxfId="219"/>
    <tableColumn id="28" xr3:uid="{BC387926-FAAC-4D7F-9F9E-6E87994E04C3}" name="Writing Average - Per 3" dataDxfId="218"/>
    <tableColumn id="29" xr3:uid="{8208B60E-3FBD-4AC5-A254-7DAE36E00A99}" name="Writing Average Growth - Per 3" dataDxfId="217">
      <calculatedColumnFormula>IFERROR(AB3-$Q3,"")</calculatedColumnFormula>
    </tableColumn>
    <tableColumn id="30" xr3:uid="{98395222-D11A-4EA5-8D6C-A89FFC256A96}" name="Conventions - Per 4" dataDxfId="216"/>
    <tableColumn id="31" xr3:uid="{72CF8137-F3F8-495D-8BB4-A87ABF34BCB6}" name="Organization - Per 4" dataDxfId="215"/>
    <tableColumn id="32" xr3:uid="{FB80671A-2E79-42A5-8B68-0B624DDDDA00}" name="Ideas - Per 4" dataDxfId="214"/>
    <tableColumn id="33" xr3:uid="{FD4090A9-02AC-452F-81A6-170558B734E4}" name="Language Use - Per 4" dataDxfId="213"/>
    <tableColumn id="34" xr3:uid="{C091CDCA-3DDF-4137-AE3D-F7426CFB118E}" name="Writing Average - Per 4" dataDxfId="212"/>
    <tableColumn id="35" xr3:uid="{CF1BBB63-A08B-47CC-9A6C-861C048D52FF}" name="Writing Average Growth - Per 4" dataDxfId="211">
      <calculatedColumnFormula>IFERROR(AH3-$Q3,"")</calculatedColumnFormula>
    </tableColumn>
    <tableColumn id="36" xr3:uid="{D2942C1E-17DD-4137-8821-7E47D3DE182E}" name="Conventions - Per 5" dataDxfId="210"/>
    <tableColumn id="37" xr3:uid="{7B731313-7AC8-4726-B707-DDA0CC61EB64}" name="Organization - Per 5" dataDxfId="209"/>
    <tableColumn id="38" xr3:uid="{5475BEFF-FD3E-42FE-9898-A6AFD463CB0C}" name="Ideas - Per 5" dataDxfId="208"/>
    <tableColumn id="39" xr3:uid="{866E77E0-D288-4589-8C59-3E65B1E75CB3}" name="Language Use - Per 5" dataDxfId="207"/>
    <tableColumn id="40" xr3:uid="{AE84FDE1-2573-4D5A-8844-498329874A0B}" name="Writing Average - Per 5" dataDxfId="206"/>
    <tableColumn id="41" xr3:uid="{9AD072AD-3513-4F60-9795-C0851AA250C8}" name="Writing Average Growth - Per 5" dataDxfId="205">
      <calculatedColumnFormula>IFERROR(AN3-$Q3,"")</calculatedColumnFormula>
    </tableColumn>
    <tableColumn id="42" xr3:uid="{223A5EAA-2ED7-4653-96F3-F9594709F401}" name="Conventions - Per 6" dataDxfId="204"/>
    <tableColumn id="43" xr3:uid="{066BD309-7D7F-4EEB-AF46-5CE5895EDD46}" name="Organization - Per 6" dataDxfId="203"/>
    <tableColumn id="44" xr3:uid="{B4BE6177-8E6C-4D47-AF2E-D443F133D683}" name="Ideas - Per 6" dataDxfId="202"/>
    <tableColumn id="45" xr3:uid="{692E7434-CC1B-453C-AFA7-8F95226820C8}" name="Language Use - Per 6" dataDxfId="201"/>
    <tableColumn id="46" xr3:uid="{1240F2FC-56DF-4FD6-9CF2-C99B76C71A01}" name="Writing Average - Per 6" dataDxfId="200"/>
    <tableColumn id="47" xr3:uid="{44B01C62-8C9D-40CE-8635-A3B21B5A5DB0}" name="Writing Average Growth - Per 6" dataDxfId="199">
      <calculatedColumnFormula>IFERROR(AT3-$Q3,"")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ading Levels">
      <a:dk1>
        <a:sysClr val="windowText" lastClr="000000"/>
      </a:dk1>
      <a:lt1>
        <a:sysClr val="window" lastClr="FFFFFF"/>
      </a:lt1>
      <a:dk2>
        <a:srgbClr val="0E2841"/>
      </a:dk2>
      <a:lt2>
        <a:srgbClr val="E8E8E8"/>
      </a:lt2>
      <a:accent1>
        <a:srgbClr val="92D050"/>
      </a:accent1>
      <a:accent2>
        <a:srgbClr val="C6EFCE"/>
      </a:accent2>
      <a:accent3>
        <a:srgbClr val="FFEB9C"/>
      </a:accent3>
      <a:accent4>
        <a:srgbClr val="FFC7CE"/>
      </a:accent4>
      <a:accent5>
        <a:srgbClr val="FFC000"/>
      </a:accent5>
      <a:accent6>
        <a:srgbClr val="70AD47"/>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P-6 Reading Scheme">
    <a:dk1>
      <a:sysClr val="windowText" lastClr="000000"/>
    </a:dk1>
    <a:lt1>
      <a:sysClr val="window" lastClr="FFFFFF"/>
    </a:lt1>
    <a:dk2>
      <a:srgbClr val="44546A"/>
    </a:dk2>
    <a:lt2>
      <a:srgbClr val="E7E6E6"/>
    </a:lt2>
    <a:accent1>
      <a:srgbClr val="92D050"/>
    </a:accent1>
    <a:accent2>
      <a:srgbClr val="C6EFCE"/>
    </a:accent2>
    <a:accent3>
      <a:srgbClr val="FFEB9C"/>
    </a:accent3>
    <a:accent4>
      <a:srgbClr val="FFC7CE"/>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P-6 Reading Scheme">
    <a:dk1>
      <a:sysClr val="windowText" lastClr="000000"/>
    </a:dk1>
    <a:lt1>
      <a:sysClr val="window" lastClr="FFFFFF"/>
    </a:lt1>
    <a:dk2>
      <a:srgbClr val="44546A"/>
    </a:dk2>
    <a:lt2>
      <a:srgbClr val="E7E6E6"/>
    </a:lt2>
    <a:accent1>
      <a:srgbClr val="92D050"/>
    </a:accent1>
    <a:accent2>
      <a:srgbClr val="C6EFCE"/>
    </a:accent2>
    <a:accent3>
      <a:srgbClr val="FFEB9C"/>
    </a:accent3>
    <a:accent4>
      <a:srgbClr val="FFC7CE"/>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P-6 Reading Scheme">
    <a:dk1>
      <a:sysClr val="windowText" lastClr="000000"/>
    </a:dk1>
    <a:lt1>
      <a:sysClr val="window" lastClr="FFFFFF"/>
    </a:lt1>
    <a:dk2>
      <a:srgbClr val="44546A"/>
    </a:dk2>
    <a:lt2>
      <a:srgbClr val="E7E6E6"/>
    </a:lt2>
    <a:accent1>
      <a:srgbClr val="92D050"/>
    </a:accent1>
    <a:accent2>
      <a:srgbClr val="C6EFCE"/>
    </a:accent2>
    <a:accent3>
      <a:srgbClr val="FFEB9C"/>
    </a:accent3>
    <a:accent4>
      <a:srgbClr val="FFC7CE"/>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P-6 Reading Scheme">
    <a:dk1>
      <a:sysClr val="windowText" lastClr="000000"/>
    </a:dk1>
    <a:lt1>
      <a:sysClr val="window" lastClr="FFFFFF"/>
    </a:lt1>
    <a:dk2>
      <a:srgbClr val="44546A"/>
    </a:dk2>
    <a:lt2>
      <a:srgbClr val="E7E6E6"/>
    </a:lt2>
    <a:accent1>
      <a:srgbClr val="92D050"/>
    </a:accent1>
    <a:accent2>
      <a:srgbClr val="C6EFCE"/>
    </a:accent2>
    <a:accent3>
      <a:srgbClr val="FFEB9C"/>
    </a:accent3>
    <a:accent4>
      <a:srgbClr val="FFC7CE"/>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P-6 Reading Scheme">
    <a:dk1>
      <a:sysClr val="windowText" lastClr="000000"/>
    </a:dk1>
    <a:lt1>
      <a:sysClr val="window" lastClr="FFFFFF"/>
    </a:lt1>
    <a:dk2>
      <a:srgbClr val="44546A"/>
    </a:dk2>
    <a:lt2>
      <a:srgbClr val="E7E6E6"/>
    </a:lt2>
    <a:accent1>
      <a:srgbClr val="92D050"/>
    </a:accent1>
    <a:accent2>
      <a:srgbClr val="C6EFCE"/>
    </a:accent2>
    <a:accent3>
      <a:srgbClr val="FFEB9C"/>
    </a:accent3>
    <a:accent4>
      <a:srgbClr val="FFC7CE"/>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P-6 Reading Scheme">
    <a:dk1>
      <a:sysClr val="windowText" lastClr="000000"/>
    </a:dk1>
    <a:lt1>
      <a:sysClr val="window" lastClr="FFFFFF"/>
    </a:lt1>
    <a:dk2>
      <a:srgbClr val="44546A"/>
    </a:dk2>
    <a:lt2>
      <a:srgbClr val="E7E6E6"/>
    </a:lt2>
    <a:accent1>
      <a:srgbClr val="92D050"/>
    </a:accent1>
    <a:accent2>
      <a:srgbClr val="C6EFCE"/>
    </a:accent2>
    <a:accent3>
      <a:srgbClr val="FFEB9C"/>
    </a:accent3>
    <a:accent4>
      <a:srgbClr val="FFC7CE"/>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P-6 Reading Scheme">
    <a:dk1>
      <a:sysClr val="windowText" lastClr="000000"/>
    </a:dk1>
    <a:lt1>
      <a:sysClr val="window" lastClr="FFFFFF"/>
    </a:lt1>
    <a:dk2>
      <a:srgbClr val="44546A"/>
    </a:dk2>
    <a:lt2>
      <a:srgbClr val="E7E6E6"/>
    </a:lt2>
    <a:accent1>
      <a:srgbClr val="92D050"/>
    </a:accent1>
    <a:accent2>
      <a:srgbClr val="C6EFCE"/>
    </a:accent2>
    <a:accent3>
      <a:srgbClr val="FFEB9C"/>
    </a:accent3>
    <a:accent4>
      <a:srgbClr val="FFC7CE"/>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P-6 Reading Scheme">
    <a:dk1>
      <a:sysClr val="windowText" lastClr="000000"/>
    </a:dk1>
    <a:lt1>
      <a:sysClr val="window" lastClr="FFFFFF"/>
    </a:lt1>
    <a:dk2>
      <a:srgbClr val="44546A"/>
    </a:dk2>
    <a:lt2>
      <a:srgbClr val="E7E6E6"/>
    </a:lt2>
    <a:accent1>
      <a:srgbClr val="92D050"/>
    </a:accent1>
    <a:accent2>
      <a:srgbClr val="C6EFCE"/>
    </a:accent2>
    <a:accent3>
      <a:srgbClr val="FFEB9C"/>
    </a:accent3>
    <a:accent4>
      <a:srgbClr val="FFC7CE"/>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B203D-D945-46DF-8B8C-EDF3A93FE254}">
  <sheetPr codeName="Sheet3"/>
  <dimension ref="A1:J23"/>
  <sheetViews>
    <sheetView workbookViewId="0">
      <selection sqref="A1:J1"/>
    </sheetView>
  </sheetViews>
  <sheetFormatPr defaultRowHeight="15" x14ac:dyDescent="0.25"/>
  <cols>
    <col min="1" max="10" width="9" customWidth="1"/>
  </cols>
  <sheetData>
    <row r="1" spans="1:10" ht="31.5" x14ac:dyDescent="0.25">
      <c r="A1" s="262" t="s">
        <v>0</v>
      </c>
      <c r="B1" s="262"/>
      <c r="C1" s="262"/>
      <c r="D1" s="262"/>
      <c r="E1" s="262"/>
      <c r="F1" s="262"/>
      <c r="G1" s="262"/>
      <c r="H1" s="262"/>
      <c r="I1" s="262"/>
      <c r="J1" s="262"/>
    </row>
    <row r="2" spans="1:10" ht="45.75" customHeight="1" x14ac:dyDescent="0.25">
      <c r="A2" s="263" t="s">
        <v>1</v>
      </c>
      <c r="B2" s="263"/>
      <c r="C2" s="263"/>
      <c r="D2" s="263"/>
      <c r="E2" s="263"/>
      <c r="F2" s="263"/>
      <c r="G2" s="263"/>
      <c r="H2" s="263"/>
      <c r="I2" s="263"/>
      <c r="J2" s="263"/>
    </row>
    <row r="3" spans="1:10" ht="57" customHeight="1" x14ac:dyDescent="0.25">
      <c r="A3" s="282" t="s">
        <v>2</v>
      </c>
      <c r="B3" s="282"/>
      <c r="C3" s="282"/>
      <c r="D3" s="282"/>
      <c r="E3" s="282"/>
      <c r="F3" s="282"/>
      <c r="G3" s="282"/>
      <c r="H3" s="282"/>
      <c r="I3" s="282"/>
      <c r="J3" s="282"/>
    </row>
    <row r="4" spans="1:10" ht="9" customHeight="1" x14ac:dyDescent="0.25"/>
    <row r="5" spans="1:10" ht="21" x14ac:dyDescent="0.25">
      <c r="A5" s="261" t="s">
        <v>3</v>
      </c>
      <c r="B5" s="261"/>
      <c r="C5" s="261"/>
      <c r="D5" s="261"/>
      <c r="E5" s="261"/>
      <c r="F5" s="261"/>
      <c r="G5" s="261"/>
      <c r="H5" s="261"/>
      <c r="I5" s="261"/>
      <c r="J5" s="261"/>
    </row>
    <row r="6" spans="1:10" ht="21" x14ac:dyDescent="0.25">
      <c r="A6" s="261" t="s">
        <v>4</v>
      </c>
      <c r="B6" s="261"/>
      <c r="C6" s="261" t="s">
        <v>5</v>
      </c>
      <c r="D6" s="261"/>
      <c r="E6" s="261"/>
      <c r="F6" s="261"/>
      <c r="G6" s="261" t="s">
        <v>6</v>
      </c>
      <c r="H6" s="261"/>
      <c r="I6" s="261"/>
      <c r="J6" s="261"/>
    </row>
    <row r="7" spans="1:10" ht="30" customHeight="1" x14ac:dyDescent="0.25">
      <c r="A7" s="267" t="s">
        <v>7</v>
      </c>
      <c r="B7" s="267"/>
      <c r="C7" s="265" t="s">
        <v>8</v>
      </c>
      <c r="D7" s="265"/>
      <c r="E7" s="265"/>
      <c r="F7" s="265"/>
      <c r="G7" s="264" t="s">
        <v>9</v>
      </c>
      <c r="H7" s="264"/>
      <c r="I7" s="264"/>
      <c r="J7" s="264"/>
    </row>
    <row r="8" spans="1:10" ht="30" customHeight="1" x14ac:dyDescent="0.25">
      <c r="A8" s="267"/>
      <c r="B8" s="267"/>
      <c r="C8" s="266" t="s">
        <v>10</v>
      </c>
      <c r="D8" s="266"/>
      <c r="E8" s="266"/>
      <c r="F8" s="266"/>
      <c r="G8" s="264" t="s">
        <v>11</v>
      </c>
      <c r="H8" s="264"/>
      <c r="I8" s="264"/>
      <c r="J8" s="264"/>
    </row>
    <row r="9" spans="1:10" ht="30" customHeight="1" x14ac:dyDescent="0.25">
      <c r="A9" s="267" t="s">
        <v>12</v>
      </c>
      <c r="B9" s="267"/>
      <c r="C9" s="266" t="s">
        <v>13</v>
      </c>
      <c r="D9" s="266"/>
      <c r="E9" s="266"/>
      <c r="F9" s="266"/>
      <c r="G9" s="264" t="s">
        <v>14</v>
      </c>
      <c r="H9" s="264"/>
      <c r="I9" s="264"/>
      <c r="J9" s="264"/>
    </row>
    <row r="10" spans="1:10" ht="30" customHeight="1" x14ac:dyDescent="0.25">
      <c r="A10" s="267"/>
      <c r="B10" s="267"/>
      <c r="C10" s="266" t="s">
        <v>15</v>
      </c>
      <c r="D10" s="266"/>
      <c r="E10" s="266"/>
      <c r="F10" s="266"/>
      <c r="G10" s="264" t="s">
        <v>16</v>
      </c>
      <c r="H10" s="264"/>
      <c r="I10" s="264"/>
      <c r="J10" s="264"/>
    </row>
    <row r="11" spans="1:10" ht="21" x14ac:dyDescent="0.35">
      <c r="A11" s="107"/>
      <c r="C11" s="107"/>
    </row>
    <row r="12" spans="1:10" ht="21" x14ac:dyDescent="0.25">
      <c r="A12" s="261" t="s">
        <v>17</v>
      </c>
      <c r="B12" s="261"/>
      <c r="C12" s="261"/>
      <c r="D12" s="261"/>
      <c r="E12" s="261"/>
      <c r="F12" s="261"/>
      <c r="G12" s="261"/>
      <c r="H12" s="261"/>
      <c r="I12" s="261"/>
      <c r="J12" s="261"/>
    </row>
    <row r="13" spans="1:10" ht="21" x14ac:dyDescent="0.25">
      <c r="A13" s="261" t="s">
        <v>4</v>
      </c>
      <c r="B13" s="261"/>
      <c r="C13" s="261" t="s">
        <v>5</v>
      </c>
      <c r="D13" s="261"/>
      <c r="E13" s="261"/>
      <c r="F13" s="261"/>
      <c r="G13" s="261" t="s">
        <v>6</v>
      </c>
      <c r="H13" s="261"/>
      <c r="I13" s="261"/>
      <c r="J13" s="261"/>
    </row>
    <row r="14" spans="1:10" ht="30" customHeight="1" x14ac:dyDescent="0.25">
      <c r="A14" s="270" t="s">
        <v>7</v>
      </c>
      <c r="B14" s="271"/>
      <c r="C14" s="266" t="s">
        <v>18</v>
      </c>
      <c r="D14" s="266"/>
      <c r="E14" s="266"/>
      <c r="F14" s="266"/>
      <c r="G14" s="264" t="s">
        <v>19</v>
      </c>
      <c r="H14" s="264"/>
      <c r="I14" s="264"/>
      <c r="J14" s="264"/>
    </row>
    <row r="15" spans="1:10" ht="30" customHeight="1" x14ac:dyDescent="0.25">
      <c r="A15" s="272"/>
      <c r="B15" s="273"/>
      <c r="C15" s="266" t="s">
        <v>20</v>
      </c>
      <c r="D15" s="266"/>
      <c r="E15" s="266"/>
      <c r="F15" s="266"/>
      <c r="G15" s="264" t="s">
        <v>21</v>
      </c>
      <c r="H15" s="264"/>
      <c r="I15" s="264"/>
      <c r="J15" s="264"/>
    </row>
    <row r="16" spans="1:10" ht="30" customHeight="1" x14ac:dyDescent="0.25">
      <c r="A16" s="272"/>
      <c r="B16" s="273"/>
      <c r="C16" s="266" t="s">
        <v>22</v>
      </c>
      <c r="D16" s="266"/>
      <c r="E16" s="266"/>
      <c r="F16" s="266"/>
      <c r="G16" s="264" t="s">
        <v>23</v>
      </c>
      <c r="H16" s="264"/>
      <c r="I16" s="264"/>
      <c r="J16" s="264"/>
    </row>
    <row r="17" spans="1:10" ht="30" customHeight="1" x14ac:dyDescent="0.25">
      <c r="A17" s="272"/>
      <c r="B17" s="273"/>
      <c r="C17" s="266" t="s">
        <v>24</v>
      </c>
      <c r="D17" s="266"/>
      <c r="E17" s="266"/>
      <c r="F17" s="266"/>
      <c r="G17" s="264" t="s">
        <v>25</v>
      </c>
      <c r="H17" s="264"/>
      <c r="I17" s="264"/>
      <c r="J17" s="264"/>
    </row>
    <row r="18" spans="1:10" ht="42.6" customHeight="1" x14ac:dyDescent="0.25">
      <c r="A18" s="274"/>
      <c r="B18" s="275"/>
      <c r="C18" s="276" t="s">
        <v>26</v>
      </c>
      <c r="D18" s="277"/>
      <c r="E18" s="277"/>
      <c r="F18" s="278"/>
      <c r="G18" s="279" t="s">
        <v>27</v>
      </c>
      <c r="H18" s="280"/>
      <c r="I18" s="280"/>
      <c r="J18" s="281"/>
    </row>
    <row r="19" spans="1:10" ht="40.5" customHeight="1" x14ac:dyDescent="0.25">
      <c r="A19" s="261" t="s">
        <v>12</v>
      </c>
      <c r="B19" s="261"/>
      <c r="C19" s="268" t="s">
        <v>28</v>
      </c>
      <c r="D19" s="268"/>
      <c r="E19" s="268"/>
      <c r="F19" s="268"/>
      <c r="G19" s="286" t="s">
        <v>29</v>
      </c>
      <c r="H19" s="286"/>
      <c r="I19" s="286"/>
      <c r="J19" s="286"/>
    </row>
    <row r="20" spans="1:10" ht="40.5" customHeight="1" x14ac:dyDescent="0.25">
      <c r="A20" s="261"/>
      <c r="B20" s="261"/>
      <c r="C20" s="268" t="s">
        <v>30</v>
      </c>
      <c r="D20" s="268"/>
      <c r="E20" s="268"/>
      <c r="F20" s="268"/>
      <c r="G20" s="286" t="s">
        <v>31</v>
      </c>
      <c r="H20" s="286"/>
      <c r="I20" s="286"/>
      <c r="J20" s="286"/>
    </row>
    <row r="21" spans="1:10" ht="40.5" customHeight="1" x14ac:dyDescent="0.25">
      <c r="A21" s="261"/>
      <c r="B21" s="261"/>
      <c r="C21" s="269" t="s">
        <v>32</v>
      </c>
      <c r="D21" s="268"/>
      <c r="E21" s="268"/>
      <c r="F21" s="268"/>
      <c r="G21" s="286" t="s">
        <v>33</v>
      </c>
      <c r="H21" s="286"/>
      <c r="I21" s="286"/>
      <c r="J21" s="286"/>
    </row>
    <row r="22" spans="1:10" ht="30" customHeight="1" x14ac:dyDescent="0.25">
      <c r="A22" s="267" t="s">
        <v>34</v>
      </c>
      <c r="B22" s="267"/>
      <c r="C22" s="283" t="s">
        <v>35</v>
      </c>
      <c r="D22" s="283"/>
      <c r="E22" s="283"/>
      <c r="F22" s="283"/>
      <c r="G22" s="285" t="s">
        <v>36</v>
      </c>
      <c r="H22" s="285"/>
      <c r="I22" s="285"/>
      <c r="J22" s="285"/>
    </row>
    <row r="23" spans="1:10" ht="30" customHeight="1" x14ac:dyDescent="0.25">
      <c r="A23" s="267"/>
      <c r="B23" s="267"/>
      <c r="C23" s="284"/>
      <c r="D23" s="284"/>
      <c r="E23" s="284"/>
      <c r="F23" s="284"/>
      <c r="G23" s="284"/>
      <c r="H23" s="284"/>
      <c r="I23" s="284"/>
      <c r="J23" s="284"/>
    </row>
  </sheetData>
  <mergeCells count="44">
    <mergeCell ref="A3:J3"/>
    <mergeCell ref="A22:B23"/>
    <mergeCell ref="C22:F22"/>
    <mergeCell ref="C23:F23"/>
    <mergeCell ref="G22:J22"/>
    <mergeCell ref="G23:J23"/>
    <mergeCell ref="G20:J20"/>
    <mergeCell ref="G21:J21"/>
    <mergeCell ref="G16:J16"/>
    <mergeCell ref="G17:J17"/>
    <mergeCell ref="C16:F16"/>
    <mergeCell ref="C17:F17"/>
    <mergeCell ref="G19:J19"/>
    <mergeCell ref="G15:J15"/>
    <mergeCell ref="A19:B21"/>
    <mergeCell ref="C19:F19"/>
    <mergeCell ref="C20:F20"/>
    <mergeCell ref="C21:F21"/>
    <mergeCell ref="C15:F15"/>
    <mergeCell ref="A12:J12"/>
    <mergeCell ref="A13:B13"/>
    <mergeCell ref="C13:F13"/>
    <mergeCell ref="G13:J13"/>
    <mergeCell ref="G14:J14"/>
    <mergeCell ref="C14:F14"/>
    <mergeCell ref="A14:B18"/>
    <mergeCell ref="C18:F18"/>
    <mergeCell ref="G18:J18"/>
    <mergeCell ref="A5:J5"/>
    <mergeCell ref="A1:J1"/>
    <mergeCell ref="A2:J2"/>
    <mergeCell ref="G10:J10"/>
    <mergeCell ref="A6:B6"/>
    <mergeCell ref="C6:F6"/>
    <mergeCell ref="G6:J6"/>
    <mergeCell ref="G7:J7"/>
    <mergeCell ref="G8:J8"/>
    <mergeCell ref="G9:J9"/>
    <mergeCell ref="C7:F7"/>
    <mergeCell ref="C8:F8"/>
    <mergeCell ref="C9:F9"/>
    <mergeCell ref="C10:F10"/>
    <mergeCell ref="A7:B8"/>
    <mergeCell ref="A9:B10"/>
  </mergeCells>
  <hyperlinks>
    <hyperlink ref="C15" location="'Reading by Pull'!B3" display="Reading by Pull" xr:uid="{B458D6F2-B98D-485E-BEEE-99928EA319AD}"/>
    <hyperlink ref="C14" location="'Reading Report Summary'!A1" display="Reading Report Summary" xr:uid="{8F6BB983-90C1-4D49-BE0F-957A55237E16}"/>
    <hyperlink ref="C16" location="'School Pull Details'!A1" display="School Pull Details" xr:uid="{65BD2E45-EFFC-458C-B181-9F151F80FE60}"/>
    <hyperlink ref="C17" location="'Reading All Pulls Compare'!A1" display="Reading All Pulls Compare" xr:uid="{E2022438-4500-4DE4-8A41-926C20E87216}"/>
    <hyperlink ref="C8" location="'ELA Writing Data'!B2" display="FLA Reading Data" xr:uid="{15C8AB8A-7C0A-4407-AFDC-EA983C1E0858}"/>
    <hyperlink ref="C9" location="'ELA Writing Data'!B2" display="ELA Writing Data" xr:uid="{015C7B1A-55B9-4E05-8D1D-67F8D1AD6ECC}"/>
    <hyperlink ref="C10" location="'FLA Writing Data'!B2" display="FLA Writing Data" xr:uid="{5AC7C80B-CD77-478A-AF9F-48189438E833}"/>
    <hyperlink ref="C19:F19" location="'Student and Homeroom Writing'!A1" display="Student and Homeroom Writing" xr:uid="{3FD68ACA-32E0-4282-90F6-A6AAF455E62E}"/>
    <hyperlink ref="C20:F20" location="'Meeting Report by Pull'!B2" display="Meeting Report by Pull" xr:uid="{D2C19389-C4E0-4985-8836-A69114A499BE}"/>
    <hyperlink ref="C21:F21" location="'COIL Report by Pull'!A1" display="COIL Report by Pull" xr:uid="{94ECE98C-B3C7-4560-9C80-9ECBEF226DA7}"/>
    <hyperlink ref="C7:F7" location="'ELA Reading Data'!A1" display="ELA Reading Data" xr:uid="{226DBC91-8717-43E8-9C10-2178F44CCCF8}"/>
    <hyperlink ref="C8:F8" location="'FLA Reading Data'!B2" display="FLA Reading Data" xr:uid="{6417CC96-91F4-4153-A8B4-203FD17223B0}"/>
    <hyperlink ref="C9:F9" location="'ELA Writing Data'!B2" display="ELA Writing Data" xr:uid="{81ECEE18-DC44-4B75-8C3A-FBF1E9927DEF}"/>
    <hyperlink ref="C10:F10" location="'FLA Writing Data'!B2" display="FLA Writing Data" xr:uid="{AA27C009-2CAB-4F4D-9795-27F0DEA72433}"/>
    <hyperlink ref="C18:F18" location="'Teacher Reading Pull Sheets'!A1" display="Teacher Reading Pull Sheets" xr:uid="{FB65F056-54EF-43EF-B719-4491017839C0}"/>
    <hyperlink ref="C22:F22" location="'Student and Homeroom RW'!A1" display="Student and Homeroom RW" xr:uid="{A1249C2D-29B5-495B-BB22-459B48B09285}"/>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838A0-4806-40EF-A45C-32447C22E9EB}">
  <sheetPr codeName="Sheet1"/>
  <dimension ref="A1:AT219"/>
  <sheetViews>
    <sheetView zoomScaleNormal="100" workbookViewId="0">
      <pane xSplit="4" ySplit="2" topLeftCell="E3" activePane="bottomRight" state="frozen"/>
      <selection pane="topRight" activeCell="C7" sqref="C7:F7"/>
      <selection pane="bottomLeft" activeCell="C7" sqref="C7:F7"/>
      <selection pane="bottomRight" activeCell="Z2" sqref="V1:AJ1048576"/>
    </sheetView>
  </sheetViews>
  <sheetFormatPr defaultColWidth="8" defaultRowHeight="22.5" customHeight="1" x14ac:dyDescent="0.25"/>
  <cols>
    <col min="1" max="1" width="14.7109375" customWidth="1"/>
    <col min="2" max="2" width="30.7109375" customWidth="1"/>
    <col min="3" max="3" width="28.42578125" customWidth="1"/>
    <col min="4" max="4" width="14.42578125" customWidth="1"/>
    <col min="7" max="8" width="10" customWidth="1"/>
    <col min="16" max="16" width="5.140625" customWidth="1"/>
    <col min="17" max="17" width="8.140625" customWidth="1"/>
    <col min="18" max="19" width="8.42578125" bestFit="1" customWidth="1"/>
    <col min="23" max="24" width="8.42578125" bestFit="1" customWidth="1"/>
    <col min="27" max="27" width="8" customWidth="1"/>
    <col min="28" max="29" width="8.42578125" customWidth="1"/>
    <col min="30" max="31" width="8" customWidth="1"/>
    <col min="33" max="34" width="8.42578125" bestFit="1" customWidth="1"/>
    <col min="38" max="39" width="8.42578125" bestFit="1" customWidth="1"/>
    <col min="43" max="44" width="8.42578125" bestFit="1" customWidth="1"/>
  </cols>
  <sheetData>
    <row r="1" spans="1:46" s="1" customFormat="1" ht="22.35" customHeight="1" x14ac:dyDescent="0.25">
      <c r="A1"/>
      <c r="B1"/>
      <c r="C1"/>
      <c r="D1"/>
      <c r="E1"/>
      <c r="F1"/>
      <c r="G1"/>
      <c r="H1"/>
      <c r="I1"/>
      <c r="J1"/>
      <c r="K1"/>
      <c r="L1"/>
      <c r="M1"/>
      <c r="N1"/>
      <c r="O1"/>
      <c r="P1" s="100"/>
      <c r="Q1" s="287" t="s">
        <v>37</v>
      </c>
      <c r="R1" s="287"/>
      <c r="S1" s="287"/>
      <c r="T1" s="287"/>
      <c r="U1" s="287"/>
      <c r="V1" s="287" t="s">
        <v>39</v>
      </c>
      <c r="W1" s="287"/>
      <c r="X1" s="287"/>
      <c r="Y1" s="287"/>
      <c r="Z1" s="287"/>
      <c r="AA1" s="287" t="s">
        <v>40</v>
      </c>
      <c r="AB1" s="287"/>
      <c r="AC1" s="287"/>
      <c r="AD1" s="287"/>
      <c r="AE1" s="287"/>
      <c r="AF1" s="287" t="s">
        <v>131</v>
      </c>
      <c r="AG1" s="287"/>
      <c r="AH1" s="287"/>
      <c r="AI1" s="287"/>
      <c r="AJ1" s="287"/>
      <c r="AK1" s="287" t="s">
        <v>42</v>
      </c>
      <c r="AL1" s="287"/>
      <c r="AM1" s="287"/>
      <c r="AN1" s="287"/>
      <c r="AO1" s="287"/>
      <c r="AP1" s="287" t="s">
        <v>43</v>
      </c>
      <c r="AQ1" s="287"/>
      <c r="AR1" s="287"/>
      <c r="AS1" s="287"/>
      <c r="AT1" s="287"/>
    </row>
    <row r="2" spans="1:46" s="3" customFormat="1" ht="158.25" customHeight="1" x14ac:dyDescent="0.25">
      <c r="A2" s="101" t="s">
        <v>44</v>
      </c>
      <c r="B2" s="102" t="s">
        <v>45</v>
      </c>
      <c r="C2" s="102" t="s">
        <v>46</v>
      </c>
      <c r="D2" s="102" t="s">
        <v>47</v>
      </c>
      <c r="E2" s="103" t="s">
        <v>48</v>
      </c>
      <c r="F2" s="103" t="s">
        <v>49</v>
      </c>
      <c r="G2" s="103" t="s">
        <v>50</v>
      </c>
      <c r="H2" s="103" t="s">
        <v>51</v>
      </c>
      <c r="I2" s="103" t="s">
        <v>52</v>
      </c>
      <c r="J2" s="103" t="s">
        <v>53</v>
      </c>
      <c r="K2" s="103" t="s">
        <v>54</v>
      </c>
      <c r="L2" s="103" t="s">
        <v>55</v>
      </c>
      <c r="M2" s="103" t="s">
        <v>56</v>
      </c>
      <c r="N2" s="103" t="s">
        <v>57</v>
      </c>
      <c r="O2" s="103" t="s">
        <v>58</v>
      </c>
      <c r="P2" s="104" t="s">
        <v>59</v>
      </c>
      <c r="Q2" s="103" t="s">
        <v>60</v>
      </c>
      <c r="R2" s="103" t="s">
        <v>61</v>
      </c>
      <c r="S2" s="103" t="s">
        <v>62</v>
      </c>
      <c r="T2" s="103" t="s">
        <v>63</v>
      </c>
      <c r="U2" s="103" t="s">
        <v>64</v>
      </c>
      <c r="V2" s="103" t="s">
        <v>65</v>
      </c>
      <c r="W2" s="103" t="s">
        <v>66</v>
      </c>
      <c r="X2" s="103" t="s">
        <v>67</v>
      </c>
      <c r="Y2" s="103" t="s">
        <v>68</v>
      </c>
      <c r="Z2" s="103" t="s">
        <v>69</v>
      </c>
      <c r="AA2" s="103" t="s">
        <v>70</v>
      </c>
      <c r="AB2" s="103" t="s">
        <v>71</v>
      </c>
      <c r="AC2" s="103" t="s">
        <v>72</v>
      </c>
      <c r="AD2" s="103" t="s">
        <v>73</v>
      </c>
      <c r="AE2" s="103" t="s">
        <v>74</v>
      </c>
      <c r="AF2" s="103" t="s">
        <v>75</v>
      </c>
      <c r="AG2" s="103" t="s">
        <v>76</v>
      </c>
      <c r="AH2" s="103" t="s">
        <v>77</v>
      </c>
      <c r="AI2" s="103" t="s">
        <v>78</v>
      </c>
      <c r="AJ2" s="103" t="s">
        <v>79</v>
      </c>
      <c r="AK2" s="103" t="s">
        <v>80</v>
      </c>
      <c r="AL2" s="103" t="s">
        <v>81</v>
      </c>
      <c r="AM2" s="103" t="s">
        <v>82</v>
      </c>
      <c r="AN2" s="103" t="s">
        <v>83</v>
      </c>
      <c r="AO2" s="103" t="s">
        <v>84</v>
      </c>
      <c r="AP2" s="103" t="s">
        <v>85</v>
      </c>
      <c r="AQ2" s="103" t="s">
        <v>86</v>
      </c>
      <c r="AR2" s="103" t="s">
        <v>87</v>
      </c>
      <c r="AS2" s="103" t="s">
        <v>88</v>
      </c>
      <c r="AT2" s="103" t="s">
        <v>89</v>
      </c>
    </row>
    <row r="3" spans="1:46" s="2" customFormat="1" ht="29.25" customHeight="1" x14ac:dyDescent="0.25">
      <c r="A3" s="174"/>
      <c r="B3" s="174"/>
      <c r="C3" s="174"/>
      <c r="D3" s="174"/>
      <c r="E3" s="175"/>
      <c r="F3" s="175"/>
      <c r="G3" s="96" t="str">
        <f>IFERROR(IF($E3="Yes","IPP",VLOOKUP($J3,'ELA Reading Logic'!$A$3:$K$9,VLOOKUP("September",'ELA Reading Logic'!$J$22:$K$31,2,FALSE),FALSE)),"Set Grade")</f>
        <v>Set Grade</v>
      </c>
      <c r="H3" s="96" t="str">
        <f>IFERROR(IF($E3="Yes","IPP",VLOOKUP($J3,'ELA Reading Logic'!$A$13:$K$19,VLOOKUP("September",'ELA Reading Logic'!$J$22:$K$31,2,FALSE),FALSE)),"Set Grade")</f>
        <v>Set Grade</v>
      </c>
      <c r="I3" s="96" t="str">
        <f>IF($E3="Yes","IPP",IFERROR(IF(AND(F3&gt;G3,F3&lt;H3),"0",(VLOOKUP(F3,'ELA Reading Logic'!$A$22:$B$48,2,FALSE))-(IF(VLOOKUP(F3,'ELA Reading Logic'!$A$22:$B$48,2,FALSE)&lt;=VLOOKUP(G3,'ELA Reading Logic'!$A$22:$B$48,2,FALSE),VLOOKUP(G3,'ELA Reading Logic'!$A$22:$B$48,2,FALSE),IF(VLOOKUP(F3,'ELA Reading Logic'!$A$22:$B$48,2,FALSE)&gt;=VLOOKUP(H3,'ELA Reading Logic'!$A$22:$B$48,2,FALSE),VLOOKUP(H3,'ELA Reading Logic'!$A$22:$B$48,2,FALSE),"No Score")))),"No Value"))</f>
        <v>No Value</v>
      </c>
      <c r="J3" s="96"/>
      <c r="K3" s="96"/>
      <c r="L3" s="96"/>
      <c r="M3" s="96"/>
      <c r="N3" s="96"/>
      <c r="O3" s="96"/>
      <c r="P3" s="105"/>
      <c r="Q3" s="92"/>
      <c r="R3" s="96" t="str">
        <f>IFERROR(IF($E3="Yes","IPP",VLOOKUP($J3,'ELA Reading Logic'!$A$3:$K$9,VLOOKUP(Q$1,'ELA Reading Logic'!$J$22:$K$31,2,FALSE),FALSE)),"Set Grade")</f>
        <v>Set Grade</v>
      </c>
      <c r="S3" s="96" t="str">
        <f>IFERROR(IF($E3="Yes","IPP",VLOOKUP($J3,'ELA Reading Logic'!$A$13:$K$19,VLOOKUP(Q$1,'ELA Reading Logic'!$J$22:$K$31,2,FALSE),FALSE)),"Set Grade")</f>
        <v>Set Grade</v>
      </c>
      <c r="T3" s="96" t="str">
        <f>IF($E3="Yes","IPP",IFERROR(IF(AND(Q3&gt;R3,Q3&lt;S3),"0",(VLOOKUP(Q3,'ELA Reading Logic'!$A$22:$B$48,2,FALSE))-(IF(VLOOKUP(Q3,'ELA Reading Logic'!$A$22:$B$48,2,FALSE)&lt;=VLOOKUP(R3,'ELA Reading Logic'!$A$22:$B$48,2,FALSE),VLOOKUP(R3,'ELA Reading Logic'!$A$22:$B$48,2,FALSE),IF(VLOOKUP(Q3,'ELA Reading Logic'!$A$22:$B$48,2,FALSE)&gt;=VLOOKUP(S3,'ELA Reading Logic'!$A$22:$B$48,2,FALSE),VLOOKUP(S3,'ELA Reading Logic'!$A$22:$B$48,2,FALSE),"No Score")))),"No Value"))</f>
        <v>No Value</v>
      </c>
      <c r="U3" s="96" t="str">
        <f>IFERROR(VLOOKUP(Q3,'ELA Reading Logic'!$A$22:$B$48,2,FALSE)-VLOOKUP($F3,'ELA Reading Logic'!$A$22:$B$48,2,FALSE),"No Value")</f>
        <v>No Value</v>
      </c>
      <c r="V3" s="92"/>
      <c r="W3" s="96" t="str">
        <f>IFERROR(IF($E3="Yes","IPP",VLOOKUP($J3,'ELA Reading Logic'!$A$3:$K$9,VLOOKUP(V$1,'ELA Reading Logic'!$J$22:$K$31,2,FALSE),FALSE)),"Set Grade")</f>
        <v>Set Grade</v>
      </c>
      <c r="X3" s="96" t="str">
        <f>IFERROR(IF($E3="Yes","IPP",VLOOKUP($J3,'ELA Reading Logic'!$A$13:$K$19,VLOOKUP(V$1,'ELA Reading Logic'!$J$22:$K$31,2,FALSE),FALSE)),"Set Grade")</f>
        <v>Set Grade</v>
      </c>
      <c r="Y3" s="96" t="str">
        <f>IF($E3="Yes","IPP",IFERROR(IF(AND(V3&gt;W3,V3&lt;X3),"0",(VLOOKUP(V3,'ELA Reading Logic'!$A$22:$B$48,2,FALSE))-(IF(VLOOKUP(V3,'ELA Reading Logic'!$A$22:$B$48,2,FALSE)&lt;=VLOOKUP(W3,'ELA Reading Logic'!$A$22:$B$48,2,FALSE),VLOOKUP(W3,'ELA Reading Logic'!$A$22:$B$48,2,FALSE),IF(VLOOKUP(V3,'ELA Reading Logic'!$A$22:$B$48,2,FALSE)&gt;=VLOOKUP(X3,'ELA Reading Logic'!$A$22:$B$48,2,FALSE),VLOOKUP(X3,'ELA Reading Logic'!$A$22:$B$48,2,FALSE),"No Score")))),"No Value"))</f>
        <v>No Value</v>
      </c>
      <c r="Z3" s="96" t="str">
        <f>IFERROR(VLOOKUP(V3,'ELA Reading Logic'!$A$22:$B$48,2,FALSE)-VLOOKUP($F3,'ELA Reading Logic'!$A$22:$B$48,2,FALSE),"No Value")</f>
        <v>No Value</v>
      </c>
      <c r="AA3" s="92"/>
      <c r="AB3" s="96" t="str">
        <f>IFERROR(IF($E3="Yes","IPP",VLOOKUP($J3,'ELA Reading Logic'!$A$3:$K$9,VLOOKUP(AA$1,'ELA Reading Logic'!$J$22:$K$31,2,FALSE),FALSE)),"Set Grade")</f>
        <v>Set Grade</v>
      </c>
      <c r="AC3" s="96" t="str">
        <f>IFERROR(IF($E3="Yes","IPP",VLOOKUP($J3,'ELA Reading Logic'!$A$13:$K$19,VLOOKUP(AA$1,'ELA Reading Logic'!$J$22:$K$31,2,FALSE),FALSE)),"Set Grade")</f>
        <v>Set Grade</v>
      </c>
      <c r="AD3" s="96" t="str">
        <f>IF($E3="Yes","IPP",IFERROR(IF(AND(AA3&gt;AB3,AA3&lt;AC3),"0",(VLOOKUP(AA3,'ELA Reading Logic'!$A$22:$B$48,2,FALSE))-(IF(VLOOKUP(AA3,'ELA Reading Logic'!$A$22:$B$48,2,FALSE)&lt;=VLOOKUP(AB3,'ELA Reading Logic'!$A$22:$B$48,2,FALSE),VLOOKUP(AB3,'ELA Reading Logic'!$A$22:$B$48,2,FALSE),IF(VLOOKUP(AA3,'ELA Reading Logic'!$A$22:$B$48,2,FALSE)&gt;=VLOOKUP(AC3,'ELA Reading Logic'!$A$22:$B$48,2,FALSE),VLOOKUP(AC3,'ELA Reading Logic'!$A$22:$B$48,2,FALSE),"No Score")))),"No Value"))</f>
        <v>No Value</v>
      </c>
      <c r="AE3" s="96" t="str">
        <f>IFERROR(VLOOKUP(AA3,'ELA Reading Logic'!$A$22:$B$48,2,FALSE)-VLOOKUP($F3,'ELA Reading Logic'!$A$22:$B$48,2,FALSE),"No Value")</f>
        <v>No Value</v>
      </c>
      <c r="AF3" s="92"/>
      <c r="AG3" s="96" t="str">
        <f>IFERROR(IF($E3="Yes","IPP",VLOOKUP($J3,'ELA Reading Logic'!$A$3:$K$9,VLOOKUP(AF$1,'ELA Reading Logic'!$J$22:$K$31,2,FALSE),FALSE)),"Set Grade")</f>
        <v>Set Grade</v>
      </c>
      <c r="AH3" s="96" t="str">
        <f>IFERROR(IF($E3="Yes","IPP",VLOOKUP($J3,'ELA Reading Logic'!$A$13:$K$19,VLOOKUP(AF$1,'ELA Reading Logic'!$J$22:$K$31,2,FALSE),FALSE)),"Set Grade")</f>
        <v>Set Grade</v>
      </c>
      <c r="AI3" s="96" t="str">
        <f>IF($E3="Yes","IPP",IFERROR(IF(AND(AF3&gt;AG3,AF3&lt;AH3),"0",(VLOOKUP(AF3,'ELA Reading Logic'!$A$22:$B$48,2,FALSE))-(IF(VLOOKUP(AF3,'ELA Reading Logic'!$A$22:$B$48,2,FALSE)&lt;=VLOOKUP(AG3,'ELA Reading Logic'!$A$22:$B$48,2,FALSE),VLOOKUP(AG3,'ELA Reading Logic'!$A$22:$B$48,2,FALSE),IF(VLOOKUP(AF3,'ELA Reading Logic'!$A$22:$B$48,2,FALSE)&gt;=VLOOKUP(AH3,'ELA Reading Logic'!$A$22:$B$48,2,FALSE),VLOOKUP(AH3,'ELA Reading Logic'!$A$22:$B$48,2,FALSE),"No Score")))),"No Value"))</f>
        <v>No Value</v>
      </c>
      <c r="AJ3" s="96" t="str">
        <f>IFERROR(VLOOKUP(AF3,'ELA Reading Logic'!$A$22:$B$48,2,FALSE)-VLOOKUP($F3,'ELA Reading Logic'!$A$22:$B$48,2,FALSE),"No Value")</f>
        <v>No Value</v>
      </c>
      <c r="AK3" s="92"/>
      <c r="AL3" s="96" t="str">
        <f>IFERROR(IF($E3="Yes","IPP",VLOOKUP($J3,'ELA Reading Logic'!$A$3:$K$9,VLOOKUP(AK$1,'ELA Reading Logic'!$J$22:$K$31,2,FALSE),FALSE)),"Set Grade")</f>
        <v>Set Grade</v>
      </c>
      <c r="AM3" s="96" t="str">
        <f>IFERROR(IF($E3="Yes","IPP",VLOOKUP($J3,'ELA Reading Logic'!$A$13:$K$19,VLOOKUP(AK$1,'ELA Reading Logic'!$J$22:$K$31,2,FALSE),FALSE)),"Set Grade")</f>
        <v>Set Grade</v>
      </c>
      <c r="AN3" s="96" t="str">
        <f>IF($E3="Yes","IPP",IFERROR(IF(AND(AK3&gt;AL3,AK3&lt;AM3),"0",(VLOOKUP(AK3,'ELA Reading Logic'!$A$22:$B$48,2,FALSE))-(IF(VLOOKUP(AK3,'ELA Reading Logic'!$A$22:$B$48,2,FALSE)&lt;=VLOOKUP(AL3,'ELA Reading Logic'!$A$22:$B$48,2,FALSE),VLOOKUP(AL3,'ELA Reading Logic'!$A$22:$B$48,2,FALSE),IF(VLOOKUP(AK3,'ELA Reading Logic'!$A$22:$B$48,2,FALSE)&gt;=VLOOKUP(AM3,'ELA Reading Logic'!$A$22:$B$48,2,FALSE),VLOOKUP(AM3,'ELA Reading Logic'!$A$22:$B$48,2,FALSE),"No Score")))),"No Value"))</f>
        <v>No Value</v>
      </c>
      <c r="AO3" s="96" t="str">
        <f>IFERROR(VLOOKUP(AK3,'ELA Reading Logic'!$A$22:$B$48,2,FALSE)-VLOOKUP($F3,'ELA Reading Logic'!$A$22:$B$48,2,FALSE),"No Value")</f>
        <v>No Value</v>
      </c>
      <c r="AP3" s="92"/>
      <c r="AQ3" s="96" t="str">
        <f>IFERROR(IF($E3="Yes","IPP",VLOOKUP($J3,'ELA Reading Logic'!$A$3:$K$9,VLOOKUP(AP$1,'ELA Reading Logic'!$J$22:$K$31,2,FALSE),FALSE)),"Set Grade")</f>
        <v>Set Grade</v>
      </c>
      <c r="AR3" s="96" t="str">
        <f>IFERROR(IF($E3="Yes","IPP",VLOOKUP($J3,'ELA Reading Logic'!$A$13:$K$19,VLOOKUP(AP$1,'ELA Reading Logic'!$J$22:$K$31,2,FALSE),FALSE)),"Set Grade")</f>
        <v>Set Grade</v>
      </c>
      <c r="AS3" s="96" t="str">
        <f>IF($E3="Yes","IPP",IFERROR(IF(AND(AP3&gt;AQ3,AP3&lt;AR3),"0",(VLOOKUP(AP3,'ELA Reading Logic'!$A$22:$B$48,2,FALSE))-(IF(VLOOKUP(AP3,'ELA Reading Logic'!$A$22:$B$48,2,FALSE)&lt;=VLOOKUP(AQ3,'ELA Reading Logic'!$A$22:$B$48,2,FALSE),VLOOKUP(AQ3,'ELA Reading Logic'!$A$22:$B$48,2,FALSE),IF(VLOOKUP(AP3,'ELA Reading Logic'!$A$22:$B$48,2,FALSE)&gt;=VLOOKUP(AR3,'ELA Reading Logic'!$A$22:$B$48,2,FALSE),VLOOKUP(AR3,'ELA Reading Logic'!$A$22:$B$48,2,FALSE),"No Score")))),"No Value"))</f>
        <v>No Value</v>
      </c>
      <c r="AT3" s="96" t="str">
        <f>IFERROR(VLOOKUP(AP3,'ELA Reading Logic'!$A$22:$B$48,2,FALSE)-VLOOKUP($F3,'ELA Reading Logic'!$A$22:$B$48,2,FALSE),"No Value")</f>
        <v>No Value</v>
      </c>
    </row>
    <row r="4" spans="1:46" ht="29.25" customHeight="1" x14ac:dyDescent="0.25">
      <c r="A4" s="176"/>
      <c r="B4" s="176"/>
      <c r="C4" s="176"/>
      <c r="D4" s="176"/>
      <c r="E4" s="175"/>
      <c r="F4" s="175"/>
      <c r="G4" s="95" t="str">
        <f>IFERROR(IF($E4="Yes","IPP",VLOOKUP($J4,'ELA Reading Logic'!$A$3:$K$9,VLOOKUP("September",'ELA Reading Logic'!$J$22:$K$31,2,FALSE),FALSE)),"Set Grade")</f>
        <v>Set Grade</v>
      </c>
      <c r="H4" s="95" t="str">
        <f>IFERROR(IF($E4="Yes","IPP",VLOOKUP($J4,'ELA Reading Logic'!$A$13:$K$19,VLOOKUP("September",'ELA Reading Logic'!$J$22:$K$31,2,FALSE),FALSE)),"Set Grade")</f>
        <v>Set Grade</v>
      </c>
      <c r="I4" s="95" t="str">
        <f>IF($E4="Yes","IPP",IFERROR(IF(AND(F4&gt;G4,F4&lt;H4),"0",(VLOOKUP(F4,'ELA Reading Logic'!$A$22:$B$48,2,FALSE))-(IF(VLOOKUP(F4,'ELA Reading Logic'!$A$22:$B$48,2,FALSE)&lt;=VLOOKUP(G4,'ELA Reading Logic'!$A$22:$B$48,2,FALSE),VLOOKUP(G4,'ELA Reading Logic'!$A$22:$B$48,2,FALSE),IF(VLOOKUP(F4,'ELA Reading Logic'!$A$22:$B$48,2,FALSE)&gt;=VLOOKUP(H4,'ELA Reading Logic'!$A$22:$B$48,2,FALSE),VLOOKUP(H4,'ELA Reading Logic'!$A$22:$B$48,2,FALSE),"No Score")))),"No Value"))</f>
        <v>No Value</v>
      </c>
      <c r="J4" s="95"/>
      <c r="K4" s="95"/>
      <c r="L4" s="95"/>
      <c r="M4" s="95"/>
      <c r="N4" s="95"/>
      <c r="O4" s="95"/>
      <c r="P4" s="106"/>
      <c r="Q4" s="94"/>
      <c r="R4" s="95" t="str">
        <f>IFERROR(IF($E4="Yes","IPP",VLOOKUP($J4,'ELA Reading Logic'!$A$3:$K$9,VLOOKUP(Q$1,'ELA Reading Logic'!$J$22:$K$31,2,FALSE),FALSE)),"Set Grade")</f>
        <v>Set Grade</v>
      </c>
      <c r="S4" s="95" t="str">
        <f>IFERROR(IF($E4="Yes","IPP",VLOOKUP($J4,'ELA Reading Logic'!$A$13:$K$19,VLOOKUP(Q$1,'ELA Reading Logic'!$J$22:$K$31,2,FALSE),FALSE)),"Set Grade")</f>
        <v>Set Grade</v>
      </c>
      <c r="T4" s="95" t="str">
        <f>IF($E4="Yes","IPP",IFERROR(IF(AND(Q4&gt;R4,Q4&lt;S4),"0",(VLOOKUP(Q4,'ELA Reading Logic'!$A$22:$B$48,2,FALSE))-(IF(VLOOKUP(Q4,'ELA Reading Logic'!$A$22:$B$48,2,FALSE)&lt;=VLOOKUP(R4,'ELA Reading Logic'!$A$22:$B$48,2,FALSE),VLOOKUP(R4,'ELA Reading Logic'!$A$22:$B$48,2,FALSE),IF(VLOOKUP(Q4,'ELA Reading Logic'!$A$22:$B$48,2,FALSE)&gt;=VLOOKUP(S4,'ELA Reading Logic'!$A$22:$B$48,2,FALSE),VLOOKUP(S4,'ELA Reading Logic'!$A$22:$B$48,2,FALSE),"No Score")))),"No Value"))</f>
        <v>No Value</v>
      </c>
      <c r="U4" s="95" t="str">
        <f>IFERROR(VLOOKUP(Q4,'ELA Reading Logic'!$A$22:$B$48,2,FALSE)-VLOOKUP($F4,'ELA Reading Logic'!$A$22:$B$48,2,FALSE),"No Value")</f>
        <v>No Value</v>
      </c>
      <c r="V4" s="94"/>
      <c r="W4" s="95" t="str">
        <f>IFERROR(IF($E4="Yes","IPP",VLOOKUP($J4,'ELA Reading Logic'!$A$3:$K$9,VLOOKUP(V$1,'ELA Reading Logic'!$J$22:$K$31,2,FALSE),FALSE)),"Set Grade")</f>
        <v>Set Grade</v>
      </c>
      <c r="X4" s="95" t="str">
        <f>IFERROR(IF($E4="Yes","IPP",VLOOKUP($J4,'ELA Reading Logic'!$A$13:$K$19,VLOOKUP(V$1,'ELA Reading Logic'!$J$22:$K$31,2,FALSE),FALSE)),"Set Grade")</f>
        <v>Set Grade</v>
      </c>
      <c r="Y4" s="95" t="str">
        <f>IF($E4="Yes","IPP",IFERROR(IF(AND(V4&gt;W4,V4&lt;X4),"0",(VLOOKUP(V4,'ELA Reading Logic'!$A$22:$B$48,2,FALSE))-(IF(VLOOKUP(V4,'ELA Reading Logic'!$A$22:$B$48,2,FALSE)&lt;=VLOOKUP(W4,'ELA Reading Logic'!$A$22:$B$48,2,FALSE),VLOOKUP(W4,'ELA Reading Logic'!$A$22:$B$48,2,FALSE),IF(VLOOKUP(V4,'ELA Reading Logic'!$A$22:$B$48,2,FALSE)&gt;=VLOOKUP(X4,'ELA Reading Logic'!$A$22:$B$48,2,FALSE),VLOOKUP(X4,'ELA Reading Logic'!$A$22:$B$48,2,FALSE),"No Score")))),"No Value"))</f>
        <v>No Value</v>
      </c>
      <c r="Z4" s="95" t="str">
        <f>IFERROR(VLOOKUP(V4,'ELA Reading Logic'!$A$22:$B$48,2,FALSE)-VLOOKUP($F4,'ELA Reading Logic'!$A$22:$B$48,2,FALSE),"No Value")</f>
        <v>No Value</v>
      </c>
      <c r="AA4" s="94"/>
      <c r="AB4" s="95" t="str">
        <f>IFERROR(IF($E4="Yes","IPP",VLOOKUP($J4,'ELA Reading Logic'!$A$3:$K$9,VLOOKUP(AA$1,'ELA Reading Logic'!$J$22:$K$31,2,FALSE),FALSE)),"Set Grade")</f>
        <v>Set Grade</v>
      </c>
      <c r="AC4" s="95" t="str">
        <f>IFERROR(IF($E4="Yes","IPP",VLOOKUP($J4,'ELA Reading Logic'!$A$13:$K$19,VLOOKUP(AA$1,'ELA Reading Logic'!$J$22:$K$31,2,FALSE),FALSE)),"Set Grade")</f>
        <v>Set Grade</v>
      </c>
      <c r="AD4" s="95" t="str">
        <f>IF($E4="Yes","IPP",IFERROR(IF(AND(AA4&gt;AB4,AA4&lt;AC4),"0",(VLOOKUP(AA4,'ELA Reading Logic'!$A$22:$B$48,2,FALSE))-(IF(VLOOKUP(AA4,'ELA Reading Logic'!$A$22:$B$48,2,FALSE)&lt;=VLOOKUP(AB4,'ELA Reading Logic'!$A$22:$B$48,2,FALSE),VLOOKUP(AB4,'ELA Reading Logic'!$A$22:$B$48,2,FALSE),IF(VLOOKUP(AA4,'ELA Reading Logic'!$A$22:$B$48,2,FALSE)&gt;=VLOOKUP(AC4,'ELA Reading Logic'!$A$22:$B$48,2,FALSE),VLOOKUP(AC4,'ELA Reading Logic'!$A$22:$B$48,2,FALSE),"No Score")))),"No Value"))</f>
        <v>No Value</v>
      </c>
      <c r="AE4" s="95" t="str">
        <f>IFERROR(VLOOKUP(AA4,'ELA Reading Logic'!$A$22:$B$48,2,FALSE)-VLOOKUP($F4,'ELA Reading Logic'!$A$22:$B$48,2,FALSE),"No Value")</f>
        <v>No Value</v>
      </c>
      <c r="AF4" s="94"/>
      <c r="AG4" s="95" t="str">
        <f>IFERROR(IF($E4="Yes","IPP",VLOOKUP($J4,'ELA Reading Logic'!$A$3:$K$9,VLOOKUP(AF$1,'ELA Reading Logic'!$J$22:$K$31,2,FALSE),FALSE)),"Set Grade")</f>
        <v>Set Grade</v>
      </c>
      <c r="AH4" s="95" t="str">
        <f>IFERROR(IF($E4="Yes","IPP",VLOOKUP($J4,'ELA Reading Logic'!$A$13:$K$19,VLOOKUP(AF$1,'ELA Reading Logic'!$J$22:$K$31,2,FALSE),FALSE)),"Set Grade")</f>
        <v>Set Grade</v>
      </c>
      <c r="AI4" s="95" t="str">
        <f>IF($E4="Yes","IPP",IFERROR(IF(AND(AF4&gt;AG4,AF4&lt;AH4),"0",(VLOOKUP(AF4,'ELA Reading Logic'!$A$22:$B$48,2,FALSE))-(IF(VLOOKUP(AF4,'ELA Reading Logic'!$A$22:$B$48,2,FALSE)&lt;=VLOOKUP(AG4,'ELA Reading Logic'!$A$22:$B$48,2,FALSE),VLOOKUP(AG4,'ELA Reading Logic'!$A$22:$B$48,2,FALSE),IF(VLOOKUP(AF4,'ELA Reading Logic'!$A$22:$B$48,2,FALSE)&gt;=VLOOKUP(AH4,'ELA Reading Logic'!$A$22:$B$48,2,FALSE),VLOOKUP(AH4,'ELA Reading Logic'!$A$22:$B$48,2,FALSE),"No Score")))),"No Value"))</f>
        <v>No Value</v>
      </c>
      <c r="AJ4" s="95" t="str">
        <f>IFERROR(VLOOKUP(AF4,'ELA Reading Logic'!$A$22:$B$48,2,FALSE)-VLOOKUP($F4,'ELA Reading Logic'!$A$22:$B$48,2,FALSE),"No Value")</f>
        <v>No Value</v>
      </c>
      <c r="AK4" s="94"/>
      <c r="AL4" s="95" t="str">
        <f>IFERROR(IF($E4="Yes","IPP",VLOOKUP($J4,'ELA Reading Logic'!$A$3:$K$9,VLOOKUP(AK$1,'ELA Reading Logic'!$J$22:$K$31,2,FALSE),FALSE)),"Set Grade")</f>
        <v>Set Grade</v>
      </c>
      <c r="AM4" s="95" t="str">
        <f>IFERROR(IF($E4="Yes","IPP",VLOOKUP($J4,'ELA Reading Logic'!$A$13:$K$19,VLOOKUP(AK$1,'ELA Reading Logic'!$J$22:$K$31,2,FALSE),FALSE)),"Set Grade")</f>
        <v>Set Grade</v>
      </c>
      <c r="AN4" s="95" t="str">
        <f>IF($E4="Yes","IPP",IFERROR(IF(AND(AK4&gt;AL4,AK4&lt;AM4),"0",(VLOOKUP(AK4,'ELA Reading Logic'!$A$22:$B$48,2,FALSE))-(IF(VLOOKUP(AK4,'ELA Reading Logic'!$A$22:$B$48,2,FALSE)&lt;=VLOOKUP(AL4,'ELA Reading Logic'!$A$22:$B$48,2,FALSE),VLOOKUP(AL4,'ELA Reading Logic'!$A$22:$B$48,2,FALSE),IF(VLOOKUP(AK4,'ELA Reading Logic'!$A$22:$B$48,2,FALSE)&gt;=VLOOKUP(AM4,'ELA Reading Logic'!$A$22:$B$48,2,FALSE),VLOOKUP(AM4,'ELA Reading Logic'!$A$22:$B$48,2,FALSE),"No Score")))),"No Value"))</f>
        <v>No Value</v>
      </c>
      <c r="AO4" s="95" t="str">
        <f>IFERROR(VLOOKUP(AK4,'ELA Reading Logic'!$A$22:$B$48,2,FALSE)-VLOOKUP($F4,'ELA Reading Logic'!$A$22:$B$48,2,FALSE),"No Value")</f>
        <v>No Value</v>
      </c>
      <c r="AP4" s="94"/>
      <c r="AQ4" s="95" t="str">
        <f>IFERROR(IF($E4="Yes","IPP",VLOOKUP($J4,'ELA Reading Logic'!$A$3:$K$9,VLOOKUP(AP$1,'ELA Reading Logic'!$J$22:$K$31,2,FALSE),FALSE)),"Set Grade")</f>
        <v>Set Grade</v>
      </c>
      <c r="AR4" s="95" t="str">
        <f>IFERROR(IF($E4="Yes","IPP",VLOOKUP($J4,'ELA Reading Logic'!$A$13:$K$19,VLOOKUP(AP$1,'ELA Reading Logic'!$J$22:$K$31,2,FALSE),FALSE)),"Set Grade")</f>
        <v>Set Grade</v>
      </c>
      <c r="AS4" s="95" t="str">
        <f>IF($E4="Yes","IPP",IFERROR(IF(AND(AP4&gt;AQ4,AP4&lt;AR4),"0",(VLOOKUP(AP4,'ELA Reading Logic'!$A$22:$B$48,2,FALSE))-(IF(VLOOKUP(AP4,'ELA Reading Logic'!$A$22:$B$48,2,FALSE)&lt;=VLOOKUP(AQ4,'ELA Reading Logic'!$A$22:$B$48,2,FALSE),VLOOKUP(AQ4,'ELA Reading Logic'!$A$22:$B$48,2,FALSE),IF(VLOOKUP(AP4,'ELA Reading Logic'!$A$22:$B$48,2,FALSE)&gt;=VLOOKUP(AR4,'ELA Reading Logic'!$A$22:$B$48,2,FALSE),VLOOKUP(AR4,'ELA Reading Logic'!$A$22:$B$48,2,FALSE),"No Score")))),"No Value"))</f>
        <v>No Value</v>
      </c>
      <c r="AT4" s="95" t="str">
        <f>IFERROR(VLOOKUP(AP4,'ELA Reading Logic'!$A$22:$B$48,2,FALSE)-VLOOKUP($F4,'ELA Reading Logic'!$A$22:$B$48,2,FALSE),"No Value")</f>
        <v>No Value</v>
      </c>
    </row>
    <row r="5" spans="1:46" ht="22.5" customHeight="1" x14ac:dyDescent="0.25">
      <c r="A5" s="174"/>
      <c r="B5" s="174"/>
      <c r="C5" s="174"/>
      <c r="D5" s="174"/>
      <c r="E5" s="175"/>
      <c r="F5" s="175"/>
      <c r="G5" s="177" t="str">
        <f>IFERROR(IF($E5="Yes","IPP",VLOOKUP($J5,'ELA Reading Logic'!$A$3:$K$9,VLOOKUP("September",'ELA Reading Logic'!$J$22:$K$31,2,FALSE),FALSE)),"Set Grade")</f>
        <v>Set Grade</v>
      </c>
      <c r="H5" s="177" t="str">
        <f>IFERROR(IF($E5="Yes","IPP",VLOOKUP($J5,'ELA Reading Logic'!$A$13:$K$19,VLOOKUP("September",'ELA Reading Logic'!$J$22:$K$31,2,FALSE),FALSE)),"Set Grade")</f>
        <v>Set Grade</v>
      </c>
      <c r="I5" s="96" t="str">
        <f>IF($E5="Yes","IPP",IFERROR(IF(AND(F5&gt;G5,F5&lt;H5),"0",(VLOOKUP(F5,'ELA Reading Logic'!$A$22:$B$48,2,FALSE))-(IF(VLOOKUP(F5,'ELA Reading Logic'!$A$22:$B$48,2,FALSE)&lt;=VLOOKUP(G5,'ELA Reading Logic'!$A$22:$B$48,2,FALSE),VLOOKUP(G5,'ELA Reading Logic'!$A$22:$B$48,2,FALSE),IF(VLOOKUP(F5,'ELA Reading Logic'!$A$22:$B$48,2,FALSE)&gt;=VLOOKUP(H5,'ELA Reading Logic'!$A$22:$B$48,2,FALSE),VLOOKUP(H5,'ELA Reading Logic'!$A$22:$B$48,2,FALSE),"No Score")))),"No Value"))</f>
        <v>No Value</v>
      </c>
      <c r="J5" s="178"/>
      <c r="K5" s="96"/>
      <c r="L5" s="96"/>
      <c r="M5" s="96"/>
      <c r="N5" s="96"/>
      <c r="O5" s="96"/>
      <c r="P5" s="105"/>
      <c r="Q5" s="92"/>
      <c r="R5" s="96" t="str">
        <f>IFERROR(IF($E5="Yes","IPP",VLOOKUP($J5,'ELA Reading Logic'!$A$3:$K$9,VLOOKUP(Q$1,'ELA Reading Logic'!$J$22:$K$31,2,FALSE),FALSE)),"Set Grade")</f>
        <v>Set Grade</v>
      </c>
      <c r="S5" s="96" t="str">
        <f>IFERROR(IF($E5="Yes","IPP",VLOOKUP($J5,'ELA Reading Logic'!$A$13:$K$19,VLOOKUP(Q$1,'ELA Reading Logic'!$J$22:$K$31,2,FALSE),FALSE)),"Set Grade")</f>
        <v>Set Grade</v>
      </c>
      <c r="T5" s="96" t="str">
        <f>IF($E5="Yes","IPP",IFERROR(IF(AND(Q5&gt;R5,Q5&lt;S5),"0",(VLOOKUP(Q5,'ELA Reading Logic'!$A$22:$B$48,2,FALSE))-(IF(VLOOKUP(Q5,'ELA Reading Logic'!$A$22:$B$48,2,FALSE)&lt;=VLOOKUP(R5,'ELA Reading Logic'!$A$22:$B$48,2,FALSE),VLOOKUP(R5,'ELA Reading Logic'!$A$22:$B$48,2,FALSE),IF(VLOOKUP(Q5,'ELA Reading Logic'!$A$22:$B$48,2,FALSE)&gt;=VLOOKUP(S5,'ELA Reading Logic'!$A$22:$B$48,2,FALSE),VLOOKUP(S5,'ELA Reading Logic'!$A$22:$B$48,2,FALSE),"No Score")))),"No Value"))</f>
        <v>No Value</v>
      </c>
      <c r="U5" s="96" t="str">
        <f>IFERROR(VLOOKUP(Q5,'ELA Reading Logic'!$A$22:$B$48,2,FALSE)-VLOOKUP($F5,'ELA Reading Logic'!$A$22:$B$48,2,FALSE),"No Value")</f>
        <v>No Value</v>
      </c>
      <c r="V5" s="92"/>
      <c r="W5" s="96" t="str">
        <f>IFERROR(IF($E5="Yes","IPP",VLOOKUP($J5,'ELA Reading Logic'!$A$3:$K$9,VLOOKUP(V$1,'ELA Reading Logic'!$J$22:$K$31,2,FALSE),FALSE)),"Set Grade")</f>
        <v>Set Grade</v>
      </c>
      <c r="X5" s="96" t="str">
        <f>IFERROR(IF($E5="Yes","IPP",VLOOKUP($J5,'ELA Reading Logic'!$A$13:$K$19,VLOOKUP(V$1,'ELA Reading Logic'!$J$22:$K$31,2,FALSE),FALSE)),"Set Grade")</f>
        <v>Set Grade</v>
      </c>
      <c r="Y5" s="96" t="str">
        <f>IF($E5="Yes","IPP",IFERROR(IF(AND(V5&gt;W5,V5&lt;X5),"0",(VLOOKUP(V5,'ELA Reading Logic'!$A$22:$B$48,2,FALSE))-(IF(VLOOKUP(V5,'ELA Reading Logic'!$A$22:$B$48,2,FALSE)&lt;=VLOOKUP(W5,'ELA Reading Logic'!$A$22:$B$48,2,FALSE),VLOOKUP(W5,'ELA Reading Logic'!$A$22:$B$48,2,FALSE),IF(VLOOKUP(V5,'ELA Reading Logic'!$A$22:$B$48,2,FALSE)&gt;=VLOOKUP(X5,'ELA Reading Logic'!$A$22:$B$48,2,FALSE),VLOOKUP(X5,'ELA Reading Logic'!$A$22:$B$48,2,FALSE),"No Score")))),"No Value"))</f>
        <v>No Value</v>
      </c>
      <c r="Z5" s="96" t="str">
        <f>IFERROR(VLOOKUP(V5,'ELA Reading Logic'!$A$22:$B$48,2,FALSE)-VLOOKUP($F5,'ELA Reading Logic'!$A$22:$B$48,2,FALSE),"No Value")</f>
        <v>No Value</v>
      </c>
      <c r="AA5" s="92"/>
      <c r="AB5" s="96" t="str">
        <f>IFERROR(IF($E5="Yes","IPP",VLOOKUP($J5,'ELA Reading Logic'!$A$3:$K$9,VLOOKUP(AA$1,'ELA Reading Logic'!$J$22:$K$31,2,FALSE),FALSE)),"Set Grade")</f>
        <v>Set Grade</v>
      </c>
      <c r="AC5" s="96" t="str">
        <f>IFERROR(IF($E5="Yes","IPP",VLOOKUP($J5,'ELA Reading Logic'!$A$13:$K$19,VLOOKUP(AA$1,'ELA Reading Logic'!$J$22:$K$31,2,FALSE),FALSE)),"Set Grade")</f>
        <v>Set Grade</v>
      </c>
      <c r="AD5" s="96" t="str">
        <f>IF($E5="Yes","IPP",IFERROR(IF(AND(AA5&gt;AB5,AA5&lt;AC5),"0",(VLOOKUP(AA5,'ELA Reading Logic'!$A$22:$B$48,2,FALSE))-(IF(VLOOKUP(AA5,'ELA Reading Logic'!$A$22:$B$48,2,FALSE)&lt;=VLOOKUP(AB5,'ELA Reading Logic'!$A$22:$B$48,2,FALSE),VLOOKUP(AB5,'ELA Reading Logic'!$A$22:$B$48,2,FALSE),IF(VLOOKUP(AA5,'ELA Reading Logic'!$A$22:$B$48,2,FALSE)&gt;=VLOOKUP(AC5,'ELA Reading Logic'!$A$22:$B$48,2,FALSE),VLOOKUP(AC5,'ELA Reading Logic'!$A$22:$B$48,2,FALSE),"No Score")))),"No Value"))</f>
        <v>No Value</v>
      </c>
      <c r="AE5" s="96" t="str">
        <f>IFERROR(VLOOKUP(AA5,'ELA Reading Logic'!$A$22:$B$48,2,FALSE)-VLOOKUP($F5,'ELA Reading Logic'!$A$22:$B$48,2,FALSE),"No Value")</f>
        <v>No Value</v>
      </c>
      <c r="AF5" s="92"/>
      <c r="AG5" s="96" t="str">
        <f>IFERROR(IF($E5="Yes","IPP",VLOOKUP($J5,'ELA Reading Logic'!$A$3:$K$9,VLOOKUP(AF$1,'ELA Reading Logic'!$J$22:$K$31,2,FALSE),FALSE)),"Set Grade")</f>
        <v>Set Grade</v>
      </c>
      <c r="AH5" s="96" t="str">
        <f>IFERROR(IF($E5="Yes","IPP",VLOOKUP($J5,'ELA Reading Logic'!$A$13:$K$19,VLOOKUP(AF$1,'ELA Reading Logic'!$J$22:$K$31,2,FALSE),FALSE)),"Set Grade")</f>
        <v>Set Grade</v>
      </c>
      <c r="AI5" s="96" t="str">
        <f>IF($E5="Yes","IPP",IFERROR(IF(AND(AF5&gt;AG5,AF5&lt;AH5),"0",(VLOOKUP(AF5,'ELA Reading Logic'!$A$22:$B$48,2,FALSE))-(IF(VLOOKUP(AF5,'ELA Reading Logic'!$A$22:$B$48,2,FALSE)&lt;=VLOOKUP(AG5,'ELA Reading Logic'!$A$22:$B$48,2,FALSE),VLOOKUP(AG5,'ELA Reading Logic'!$A$22:$B$48,2,FALSE),IF(VLOOKUP(AF5,'ELA Reading Logic'!$A$22:$B$48,2,FALSE)&gt;=VLOOKUP(AH5,'ELA Reading Logic'!$A$22:$B$48,2,FALSE),VLOOKUP(AH5,'ELA Reading Logic'!$A$22:$B$48,2,FALSE),"No Score")))),"No Value"))</f>
        <v>No Value</v>
      </c>
      <c r="AJ5" s="96" t="str">
        <f>IFERROR(VLOOKUP(AF5,'ELA Reading Logic'!$A$22:$B$48,2,FALSE)-VLOOKUP($F5,'ELA Reading Logic'!$A$22:$B$48,2,FALSE),"No Value")</f>
        <v>No Value</v>
      </c>
      <c r="AK5" s="92"/>
      <c r="AL5" s="96" t="str">
        <f>IFERROR(IF($E5="Yes","IPP",VLOOKUP($J5,'ELA Reading Logic'!$A$3:$K$9,VLOOKUP(AK$1,'ELA Reading Logic'!$J$22:$K$31,2,FALSE),FALSE)),"Set Grade")</f>
        <v>Set Grade</v>
      </c>
      <c r="AM5" s="96" t="str">
        <f>IFERROR(IF($E5="Yes","IPP",VLOOKUP($J5,'ELA Reading Logic'!$A$13:$K$19,VLOOKUP(AK$1,'ELA Reading Logic'!$J$22:$K$31,2,FALSE),FALSE)),"Set Grade")</f>
        <v>Set Grade</v>
      </c>
      <c r="AN5" s="96" t="str">
        <f>IF($E5="Yes","IPP",IFERROR(IF(AND(AK5&gt;AL5,AK5&lt;AM5),"0",(VLOOKUP(AK5,'ELA Reading Logic'!$A$22:$B$48,2,FALSE))-(IF(VLOOKUP(AK5,'ELA Reading Logic'!$A$22:$B$48,2,FALSE)&lt;=VLOOKUP(AL5,'ELA Reading Logic'!$A$22:$B$48,2,FALSE),VLOOKUP(AL5,'ELA Reading Logic'!$A$22:$B$48,2,FALSE),IF(VLOOKUP(AK5,'ELA Reading Logic'!$A$22:$B$48,2,FALSE)&gt;=VLOOKUP(AM5,'ELA Reading Logic'!$A$22:$B$48,2,FALSE),VLOOKUP(AM5,'ELA Reading Logic'!$A$22:$B$48,2,FALSE),"No Score")))),"No Value"))</f>
        <v>No Value</v>
      </c>
      <c r="AO5" s="96" t="str">
        <f>IFERROR(VLOOKUP(AK5,'ELA Reading Logic'!$A$22:$B$48,2,FALSE)-VLOOKUP($F5,'ELA Reading Logic'!$A$22:$B$48,2,FALSE),"No Value")</f>
        <v>No Value</v>
      </c>
      <c r="AP5" s="92"/>
      <c r="AQ5" s="96" t="str">
        <f>IFERROR(IF($E5="Yes","IPP",VLOOKUP($J5,'ELA Reading Logic'!$A$3:$K$9,VLOOKUP(AP$1,'ELA Reading Logic'!$J$22:$K$31,2,FALSE),FALSE)),"Set Grade")</f>
        <v>Set Grade</v>
      </c>
      <c r="AR5" s="96" t="str">
        <f>IFERROR(IF($E5="Yes","IPP",VLOOKUP($J5,'ELA Reading Logic'!$A$13:$K$19,VLOOKUP(AP$1,'ELA Reading Logic'!$J$22:$K$31,2,FALSE),FALSE)),"Set Grade")</f>
        <v>Set Grade</v>
      </c>
      <c r="AS5" s="96" t="str">
        <f>IF($E5="Yes","IPP",IFERROR(IF(AND(AP5&gt;AQ5,AP5&lt;AR5),"0",(VLOOKUP(AP5,'ELA Reading Logic'!$A$22:$B$48,2,FALSE))-(IF(VLOOKUP(AP5,'ELA Reading Logic'!$A$22:$B$48,2,FALSE)&lt;=VLOOKUP(AQ5,'ELA Reading Logic'!$A$22:$B$48,2,FALSE),VLOOKUP(AQ5,'ELA Reading Logic'!$A$22:$B$48,2,FALSE),IF(VLOOKUP(AP5,'ELA Reading Logic'!$A$22:$B$48,2,FALSE)&gt;=VLOOKUP(AR5,'ELA Reading Logic'!$A$22:$B$48,2,FALSE),VLOOKUP(AR5,'ELA Reading Logic'!$A$22:$B$48,2,FALSE),"No Score")))),"No Value"))</f>
        <v>No Value</v>
      </c>
      <c r="AT5" s="96" t="str">
        <f>IFERROR(VLOOKUP(AP5,'ELA Reading Logic'!$A$22:$B$48,2,FALSE)-VLOOKUP($F5,'ELA Reading Logic'!$A$22:$B$48,2,FALSE),"No Value")</f>
        <v>No Value</v>
      </c>
    </row>
    <row r="6" spans="1:46" ht="22.5" customHeight="1" x14ac:dyDescent="0.25">
      <c r="A6" s="176"/>
      <c r="B6" s="176"/>
      <c r="C6" s="176"/>
      <c r="D6" s="176"/>
      <c r="E6" s="175"/>
      <c r="F6" s="175"/>
      <c r="G6" s="177" t="str">
        <f>IFERROR(IF($E6="Yes","IPP",VLOOKUP($J6,'ELA Reading Logic'!$A$3:$K$9,VLOOKUP("September",'ELA Reading Logic'!$J$22:$K$31,2,FALSE),FALSE)),"Set Grade")</f>
        <v>Set Grade</v>
      </c>
      <c r="H6" s="177" t="str">
        <f>IFERROR(IF($E6="Yes","IPP",VLOOKUP($J6,'ELA Reading Logic'!$A$13:$K$19,VLOOKUP("September",'ELA Reading Logic'!$J$22:$K$31,2,FALSE),FALSE)),"Set Grade")</f>
        <v>Set Grade</v>
      </c>
      <c r="I6" s="96" t="str">
        <f>IF($E6="Yes","IPP",IFERROR(IF(AND(F6&gt;G6,F6&lt;H6),"0",(VLOOKUP(F6,'ELA Reading Logic'!$A$22:$B$48,2,FALSE))-(IF(VLOOKUP(F6,'ELA Reading Logic'!$A$22:$B$48,2,FALSE)&lt;=VLOOKUP(G6,'ELA Reading Logic'!$A$22:$B$48,2,FALSE),VLOOKUP(G6,'ELA Reading Logic'!$A$22:$B$48,2,FALSE),IF(VLOOKUP(F6,'ELA Reading Logic'!$A$22:$B$48,2,FALSE)&gt;=VLOOKUP(H6,'ELA Reading Logic'!$A$22:$B$48,2,FALSE),VLOOKUP(H6,'ELA Reading Logic'!$A$22:$B$48,2,FALSE),"No Score")))),"No Value"))</f>
        <v>No Value</v>
      </c>
      <c r="J6" s="178"/>
      <c r="K6" s="96"/>
      <c r="L6" s="96"/>
      <c r="M6" s="96"/>
      <c r="N6" s="96"/>
      <c r="O6" s="96"/>
      <c r="P6" s="105"/>
      <c r="Q6" s="92"/>
      <c r="R6" s="96" t="str">
        <f>IFERROR(IF($E6="Yes","IPP",VLOOKUP($J6,'ELA Reading Logic'!$A$3:$K$9,VLOOKUP(Q$1,'ELA Reading Logic'!$J$22:$K$31,2,FALSE),FALSE)),"Set Grade")</f>
        <v>Set Grade</v>
      </c>
      <c r="S6" s="96" t="str">
        <f>IFERROR(IF($E6="Yes","IPP",VLOOKUP($J6,'ELA Reading Logic'!$A$13:$K$19,VLOOKUP(Q$1,'ELA Reading Logic'!$J$22:$K$31,2,FALSE),FALSE)),"Set Grade")</f>
        <v>Set Grade</v>
      </c>
      <c r="T6" s="96" t="str">
        <f>IF($E6="Yes","IPP",IFERROR(IF(AND(Q6&gt;R6,Q6&lt;S6),"0",(VLOOKUP(Q6,'ELA Reading Logic'!$A$22:$B$48,2,FALSE))-(IF(VLOOKUP(Q6,'ELA Reading Logic'!$A$22:$B$48,2,FALSE)&lt;=VLOOKUP(R6,'ELA Reading Logic'!$A$22:$B$48,2,FALSE),VLOOKUP(R6,'ELA Reading Logic'!$A$22:$B$48,2,FALSE),IF(VLOOKUP(Q6,'ELA Reading Logic'!$A$22:$B$48,2,FALSE)&gt;=VLOOKUP(S6,'ELA Reading Logic'!$A$22:$B$48,2,FALSE),VLOOKUP(S6,'ELA Reading Logic'!$A$22:$B$48,2,FALSE),"No Score")))),"No Value"))</f>
        <v>No Value</v>
      </c>
      <c r="U6" s="96" t="str">
        <f>IFERROR(VLOOKUP(Q6,'ELA Reading Logic'!$A$22:$B$48,2,FALSE)-VLOOKUP($F6,'ELA Reading Logic'!$A$22:$B$48,2,FALSE),"No Value")</f>
        <v>No Value</v>
      </c>
      <c r="V6" s="92"/>
      <c r="W6" s="96" t="str">
        <f>IFERROR(IF($E6="Yes","IPP",VLOOKUP($J6,'ELA Reading Logic'!$A$3:$K$9,VLOOKUP(V$1,'ELA Reading Logic'!$J$22:$K$31,2,FALSE),FALSE)),"Set Grade")</f>
        <v>Set Grade</v>
      </c>
      <c r="X6" s="96" t="str">
        <f>IFERROR(IF($E6="Yes","IPP",VLOOKUP($J6,'ELA Reading Logic'!$A$13:$K$19,VLOOKUP(V$1,'ELA Reading Logic'!$J$22:$K$31,2,FALSE),FALSE)),"Set Grade")</f>
        <v>Set Grade</v>
      </c>
      <c r="Y6" s="96" t="str">
        <f>IF($E6="Yes","IPP",IFERROR(IF(AND(V6&gt;W6,V6&lt;X6),"0",(VLOOKUP(V6,'ELA Reading Logic'!$A$22:$B$48,2,FALSE))-(IF(VLOOKUP(V6,'ELA Reading Logic'!$A$22:$B$48,2,FALSE)&lt;=VLOOKUP(W6,'ELA Reading Logic'!$A$22:$B$48,2,FALSE),VLOOKUP(W6,'ELA Reading Logic'!$A$22:$B$48,2,FALSE),IF(VLOOKUP(V6,'ELA Reading Logic'!$A$22:$B$48,2,FALSE)&gt;=VLOOKUP(X6,'ELA Reading Logic'!$A$22:$B$48,2,FALSE),VLOOKUP(X6,'ELA Reading Logic'!$A$22:$B$48,2,FALSE),"No Score")))),"No Value"))</f>
        <v>No Value</v>
      </c>
      <c r="Z6" s="96" t="str">
        <f>IFERROR(VLOOKUP(V6,'ELA Reading Logic'!$A$22:$B$48,2,FALSE)-VLOOKUP($F6,'ELA Reading Logic'!$A$22:$B$48,2,FALSE),"No Value")</f>
        <v>No Value</v>
      </c>
      <c r="AA6" s="92"/>
      <c r="AB6" s="96" t="str">
        <f>IFERROR(IF($E6="Yes","IPP",VLOOKUP($J6,'ELA Reading Logic'!$A$3:$K$9,VLOOKUP(AA$1,'ELA Reading Logic'!$J$22:$K$31,2,FALSE),FALSE)),"Set Grade")</f>
        <v>Set Grade</v>
      </c>
      <c r="AC6" s="96" t="str">
        <f>IFERROR(IF($E6="Yes","IPP",VLOOKUP($J6,'ELA Reading Logic'!$A$13:$K$19,VLOOKUP(AA$1,'ELA Reading Logic'!$J$22:$K$31,2,FALSE),FALSE)),"Set Grade")</f>
        <v>Set Grade</v>
      </c>
      <c r="AD6" s="96" t="str">
        <f>IF($E6="Yes","IPP",IFERROR(IF(AND(AA6&gt;AB6,AA6&lt;AC6),"0",(VLOOKUP(AA6,'ELA Reading Logic'!$A$22:$B$48,2,FALSE))-(IF(VLOOKUP(AA6,'ELA Reading Logic'!$A$22:$B$48,2,FALSE)&lt;=VLOOKUP(AB6,'ELA Reading Logic'!$A$22:$B$48,2,FALSE),VLOOKUP(AB6,'ELA Reading Logic'!$A$22:$B$48,2,FALSE),IF(VLOOKUP(AA6,'ELA Reading Logic'!$A$22:$B$48,2,FALSE)&gt;=VLOOKUP(AC6,'ELA Reading Logic'!$A$22:$B$48,2,FALSE),VLOOKUP(AC6,'ELA Reading Logic'!$A$22:$B$48,2,FALSE),"No Score")))),"No Value"))</f>
        <v>No Value</v>
      </c>
      <c r="AE6" s="96" t="str">
        <f>IFERROR(VLOOKUP(AA6,'ELA Reading Logic'!$A$22:$B$48,2,FALSE)-VLOOKUP($F6,'ELA Reading Logic'!$A$22:$B$48,2,FALSE),"No Value")</f>
        <v>No Value</v>
      </c>
      <c r="AF6" s="92"/>
      <c r="AG6" s="96" t="str">
        <f>IFERROR(IF($E6="Yes","IPP",VLOOKUP($J6,'ELA Reading Logic'!$A$3:$K$9,VLOOKUP(AF$1,'ELA Reading Logic'!$J$22:$K$31,2,FALSE),FALSE)),"Set Grade")</f>
        <v>Set Grade</v>
      </c>
      <c r="AH6" s="96" t="str">
        <f>IFERROR(IF($E6="Yes","IPP",VLOOKUP($J6,'ELA Reading Logic'!$A$13:$K$19,VLOOKUP(AF$1,'ELA Reading Logic'!$J$22:$K$31,2,FALSE),FALSE)),"Set Grade")</f>
        <v>Set Grade</v>
      </c>
      <c r="AI6" s="96" t="str">
        <f>IF($E6="Yes","IPP",IFERROR(IF(AND(AF6&gt;AG6,AF6&lt;AH6),"0",(VLOOKUP(AF6,'ELA Reading Logic'!$A$22:$B$48,2,FALSE))-(IF(VLOOKUP(AF6,'ELA Reading Logic'!$A$22:$B$48,2,FALSE)&lt;=VLOOKUP(AG6,'ELA Reading Logic'!$A$22:$B$48,2,FALSE),VLOOKUP(AG6,'ELA Reading Logic'!$A$22:$B$48,2,FALSE),IF(VLOOKUP(AF6,'ELA Reading Logic'!$A$22:$B$48,2,FALSE)&gt;=VLOOKUP(AH6,'ELA Reading Logic'!$A$22:$B$48,2,FALSE),VLOOKUP(AH6,'ELA Reading Logic'!$A$22:$B$48,2,FALSE),"No Score")))),"No Value"))</f>
        <v>No Value</v>
      </c>
      <c r="AJ6" s="96" t="str">
        <f>IFERROR(VLOOKUP(AF6,'ELA Reading Logic'!$A$22:$B$48,2,FALSE)-VLOOKUP($F6,'ELA Reading Logic'!$A$22:$B$48,2,FALSE),"No Value")</f>
        <v>No Value</v>
      </c>
      <c r="AK6" s="92"/>
      <c r="AL6" s="96" t="str">
        <f>IFERROR(IF($E6="Yes","IPP",VLOOKUP($J6,'ELA Reading Logic'!$A$3:$K$9,VLOOKUP(AK$1,'ELA Reading Logic'!$J$22:$K$31,2,FALSE),FALSE)),"Set Grade")</f>
        <v>Set Grade</v>
      </c>
      <c r="AM6" s="96" t="str">
        <f>IFERROR(IF($E6="Yes","IPP",VLOOKUP($J6,'ELA Reading Logic'!$A$13:$K$19,VLOOKUP(AK$1,'ELA Reading Logic'!$J$22:$K$31,2,FALSE),FALSE)),"Set Grade")</f>
        <v>Set Grade</v>
      </c>
      <c r="AN6" s="96" t="str">
        <f>IF($E6="Yes","IPP",IFERROR(IF(AND(AK6&gt;AL6,AK6&lt;AM6),"0",(VLOOKUP(AK6,'ELA Reading Logic'!$A$22:$B$48,2,FALSE))-(IF(VLOOKUP(AK6,'ELA Reading Logic'!$A$22:$B$48,2,FALSE)&lt;=VLOOKUP(AL6,'ELA Reading Logic'!$A$22:$B$48,2,FALSE),VLOOKUP(AL6,'ELA Reading Logic'!$A$22:$B$48,2,FALSE),IF(VLOOKUP(AK6,'ELA Reading Logic'!$A$22:$B$48,2,FALSE)&gt;=VLOOKUP(AM6,'ELA Reading Logic'!$A$22:$B$48,2,FALSE),VLOOKUP(AM6,'ELA Reading Logic'!$A$22:$B$48,2,FALSE),"No Score")))),"No Value"))</f>
        <v>No Value</v>
      </c>
      <c r="AO6" s="96" t="str">
        <f>IFERROR(VLOOKUP(AK6,'ELA Reading Logic'!$A$22:$B$48,2,FALSE)-VLOOKUP($F6,'ELA Reading Logic'!$A$22:$B$48,2,FALSE),"No Value")</f>
        <v>No Value</v>
      </c>
      <c r="AP6" s="92"/>
      <c r="AQ6" s="96" t="str">
        <f>IFERROR(IF($E6="Yes","IPP",VLOOKUP($J6,'ELA Reading Logic'!$A$3:$K$9,VLOOKUP(AP$1,'ELA Reading Logic'!$J$22:$K$31,2,FALSE),FALSE)),"Set Grade")</f>
        <v>Set Grade</v>
      </c>
      <c r="AR6" s="96" t="str">
        <f>IFERROR(IF($E6="Yes","IPP",VLOOKUP($J6,'ELA Reading Logic'!$A$13:$K$19,VLOOKUP(AP$1,'ELA Reading Logic'!$J$22:$K$31,2,FALSE),FALSE)),"Set Grade")</f>
        <v>Set Grade</v>
      </c>
      <c r="AS6" s="96" t="str">
        <f>IF($E6="Yes","IPP",IFERROR(IF(AND(AP6&gt;AQ6,AP6&lt;AR6),"0",(VLOOKUP(AP6,'ELA Reading Logic'!$A$22:$B$48,2,FALSE))-(IF(VLOOKUP(AP6,'ELA Reading Logic'!$A$22:$B$48,2,FALSE)&lt;=VLOOKUP(AQ6,'ELA Reading Logic'!$A$22:$B$48,2,FALSE),VLOOKUP(AQ6,'ELA Reading Logic'!$A$22:$B$48,2,FALSE),IF(VLOOKUP(AP6,'ELA Reading Logic'!$A$22:$B$48,2,FALSE)&gt;=VLOOKUP(AR6,'ELA Reading Logic'!$A$22:$B$48,2,FALSE),VLOOKUP(AR6,'ELA Reading Logic'!$A$22:$B$48,2,FALSE),"No Score")))),"No Value"))</f>
        <v>No Value</v>
      </c>
      <c r="AT6" s="96" t="str">
        <f>IFERROR(VLOOKUP(AP6,'ELA Reading Logic'!$A$22:$B$48,2,FALSE)-VLOOKUP($F6,'ELA Reading Logic'!$A$22:$B$48,2,FALSE),"No Value")</f>
        <v>No Value</v>
      </c>
    </row>
    <row r="7" spans="1:46" ht="22.5" customHeight="1" x14ac:dyDescent="0.25">
      <c r="A7" s="176"/>
      <c r="B7" s="176"/>
      <c r="C7" s="176"/>
      <c r="D7" s="176"/>
      <c r="E7" s="175"/>
      <c r="F7" s="175"/>
      <c r="G7" s="177" t="str">
        <f>IFERROR(IF($E7="Yes","IPP",VLOOKUP($J7,'ELA Reading Logic'!$A$3:$K$9,VLOOKUP("September",'ELA Reading Logic'!$J$22:$K$31,2,FALSE),FALSE)),"Set Grade")</f>
        <v>Set Grade</v>
      </c>
      <c r="H7" s="177" t="str">
        <f>IFERROR(IF($E7="Yes","IPP",VLOOKUP($J7,'ELA Reading Logic'!$A$13:$K$19,VLOOKUP("September",'ELA Reading Logic'!$J$22:$K$31,2,FALSE),FALSE)),"Set Grade")</f>
        <v>Set Grade</v>
      </c>
      <c r="I7" s="96" t="str">
        <f>IF($E7="Yes","IPP",IFERROR(IF(AND(F7&gt;G7,F7&lt;H7),"0",(VLOOKUP(F7,'ELA Reading Logic'!$A$22:$B$48,2,FALSE))-(IF(VLOOKUP(F7,'ELA Reading Logic'!$A$22:$B$48,2,FALSE)&lt;=VLOOKUP(G7,'ELA Reading Logic'!$A$22:$B$48,2,FALSE),VLOOKUP(G7,'ELA Reading Logic'!$A$22:$B$48,2,FALSE),IF(VLOOKUP(F7,'ELA Reading Logic'!$A$22:$B$48,2,FALSE)&gt;=VLOOKUP(H7,'ELA Reading Logic'!$A$22:$B$48,2,FALSE),VLOOKUP(H7,'ELA Reading Logic'!$A$22:$B$48,2,FALSE),"No Score")))),"No Value"))</f>
        <v>No Value</v>
      </c>
      <c r="J7" s="178"/>
      <c r="K7" s="96"/>
      <c r="L7" s="96"/>
      <c r="M7" s="96"/>
      <c r="N7" s="96"/>
      <c r="O7" s="96"/>
      <c r="P7" s="105"/>
      <c r="Q7" s="92"/>
      <c r="R7" s="96" t="str">
        <f>IFERROR(IF($E7="Yes","IPP",VLOOKUP($J7,'ELA Reading Logic'!$A$3:$K$9,VLOOKUP(Q$1,'ELA Reading Logic'!$J$22:$K$31,2,FALSE),FALSE)),"Set Grade")</f>
        <v>Set Grade</v>
      </c>
      <c r="S7" s="96" t="str">
        <f>IFERROR(IF($E7="Yes","IPP",VLOOKUP($J7,'ELA Reading Logic'!$A$13:$K$19,VLOOKUP(Q$1,'ELA Reading Logic'!$J$22:$K$31,2,FALSE),FALSE)),"Set Grade")</f>
        <v>Set Grade</v>
      </c>
      <c r="T7" s="96" t="str">
        <f>IF($E7="Yes","IPP",IFERROR(IF(AND(Q7&gt;R7,Q7&lt;S7),"0",(VLOOKUP(Q7,'ELA Reading Logic'!$A$22:$B$48,2,FALSE))-(IF(VLOOKUP(Q7,'ELA Reading Logic'!$A$22:$B$48,2,FALSE)&lt;=VLOOKUP(R7,'ELA Reading Logic'!$A$22:$B$48,2,FALSE),VLOOKUP(R7,'ELA Reading Logic'!$A$22:$B$48,2,FALSE),IF(VLOOKUP(Q7,'ELA Reading Logic'!$A$22:$B$48,2,FALSE)&gt;=VLOOKUP(S7,'ELA Reading Logic'!$A$22:$B$48,2,FALSE),VLOOKUP(S7,'ELA Reading Logic'!$A$22:$B$48,2,FALSE),"No Score")))),"No Value"))</f>
        <v>No Value</v>
      </c>
      <c r="U7" s="96" t="str">
        <f>IFERROR(VLOOKUP(Q7,'ELA Reading Logic'!$A$22:$B$48,2,FALSE)-VLOOKUP($F7,'ELA Reading Logic'!$A$22:$B$48,2,FALSE),"No Value")</f>
        <v>No Value</v>
      </c>
      <c r="V7" s="92"/>
      <c r="W7" s="96" t="str">
        <f>IFERROR(IF($E7="Yes","IPP",VLOOKUP($J7,'ELA Reading Logic'!$A$3:$K$9,VLOOKUP(V$1,'ELA Reading Logic'!$J$22:$K$31,2,FALSE),FALSE)),"Set Grade")</f>
        <v>Set Grade</v>
      </c>
      <c r="X7" s="96" t="str">
        <f>IFERROR(IF($E7="Yes","IPP",VLOOKUP($J7,'ELA Reading Logic'!$A$13:$K$19,VLOOKUP(V$1,'ELA Reading Logic'!$J$22:$K$31,2,FALSE),FALSE)),"Set Grade")</f>
        <v>Set Grade</v>
      </c>
      <c r="Y7" s="96" t="str">
        <f>IF($E7="Yes","IPP",IFERROR(IF(AND(V7&gt;W7,V7&lt;X7),"0",(VLOOKUP(V7,'ELA Reading Logic'!$A$22:$B$48,2,FALSE))-(IF(VLOOKUP(V7,'ELA Reading Logic'!$A$22:$B$48,2,FALSE)&lt;=VLOOKUP(W7,'ELA Reading Logic'!$A$22:$B$48,2,FALSE),VLOOKUP(W7,'ELA Reading Logic'!$A$22:$B$48,2,FALSE),IF(VLOOKUP(V7,'ELA Reading Logic'!$A$22:$B$48,2,FALSE)&gt;=VLOOKUP(X7,'ELA Reading Logic'!$A$22:$B$48,2,FALSE),VLOOKUP(X7,'ELA Reading Logic'!$A$22:$B$48,2,FALSE),"No Score")))),"No Value"))</f>
        <v>No Value</v>
      </c>
      <c r="Z7" s="96" t="str">
        <f>IFERROR(VLOOKUP(V7,'ELA Reading Logic'!$A$22:$B$48,2,FALSE)-VLOOKUP($F7,'ELA Reading Logic'!$A$22:$B$48,2,FALSE),"No Value")</f>
        <v>No Value</v>
      </c>
      <c r="AA7" s="92"/>
      <c r="AB7" s="96" t="str">
        <f>IFERROR(IF($E7="Yes","IPP",VLOOKUP($J7,'ELA Reading Logic'!$A$3:$K$9,VLOOKUP(AA$1,'ELA Reading Logic'!$J$22:$K$31,2,FALSE),FALSE)),"Set Grade")</f>
        <v>Set Grade</v>
      </c>
      <c r="AC7" s="96" t="str">
        <f>IFERROR(IF($E7="Yes","IPP",VLOOKUP($J7,'ELA Reading Logic'!$A$13:$K$19,VLOOKUP(AA$1,'ELA Reading Logic'!$J$22:$K$31,2,FALSE),FALSE)),"Set Grade")</f>
        <v>Set Grade</v>
      </c>
      <c r="AD7" s="96" t="str">
        <f>IF($E7="Yes","IPP",IFERROR(IF(AND(AA7&gt;AB7,AA7&lt;AC7),"0",(VLOOKUP(AA7,'ELA Reading Logic'!$A$22:$B$48,2,FALSE))-(IF(VLOOKUP(AA7,'ELA Reading Logic'!$A$22:$B$48,2,FALSE)&lt;=VLOOKUP(AB7,'ELA Reading Logic'!$A$22:$B$48,2,FALSE),VLOOKUP(AB7,'ELA Reading Logic'!$A$22:$B$48,2,FALSE),IF(VLOOKUP(AA7,'ELA Reading Logic'!$A$22:$B$48,2,FALSE)&gt;=VLOOKUP(AC7,'ELA Reading Logic'!$A$22:$B$48,2,FALSE),VLOOKUP(AC7,'ELA Reading Logic'!$A$22:$B$48,2,FALSE),"No Score")))),"No Value"))</f>
        <v>No Value</v>
      </c>
      <c r="AE7" s="96" t="str">
        <f>IFERROR(VLOOKUP(AA7,'ELA Reading Logic'!$A$22:$B$48,2,FALSE)-VLOOKUP($F7,'ELA Reading Logic'!$A$22:$B$48,2,FALSE),"No Value")</f>
        <v>No Value</v>
      </c>
      <c r="AF7" s="92"/>
      <c r="AG7" s="96" t="str">
        <f>IFERROR(IF($E7="Yes","IPP",VLOOKUP($J7,'ELA Reading Logic'!$A$3:$K$9,VLOOKUP(AF$1,'ELA Reading Logic'!$J$22:$K$31,2,FALSE),FALSE)),"Set Grade")</f>
        <v>Set Grade</v>
      </c>
      <c r="AH7" s="96" t="str">
        <f>IFERROR(IF($E7="Yes","IPP",VLOOKUP($J7,'ELA Reading Logic'!$A$13:$K$19,VLOOKUP(AF$1,'ELA Reading Logic'!$J$22:$K$31,2,FALSE),FALSE)),"Set Grade")</f>
        <v>Set Grade</v>
      </c>
      <c r="AI7" s="96" t="str">
        <f>IF($E7="Yes","IPP",IFERROR(IF(AND(AF7&gt;AG7,AF7&lt;AH7),"0",(VLOOKUP(AF7,'ELA Reading Logic'!$A$22:$B$48,2,FALSE))-(IF(VLOOKUP(AF7,'ELA Reading Logic'!$A$22:$B$48,2,FALSE)&lt;=VLOOKUP(AG7,'ELA Reading Logic'!$A$22:$B$48,2,FALSE),VLOOKUP(AG7,'ELA Reading Logic'!$A$22:$B$48,2,FALSE),IF(VLOOKUP(AF7,'ELA Reading Logic'!$A$22:$B$48,2,FALSE)&gt;=VLOOKUP(AH7,'ELA Reading Logic'!$A$22:$B$48,2,FALSE),VLOOKUP(AH7,'ELA Reading Logic'!$A$22:$B$48,2,FALSE),"No Score")))),"No Value"))</f>
        <v>No Value</v>
      </c>
      <c r="AJ7" s="96" t="str">
        <f>IFERROR(VLOOKUP(AF7,'ELA Reading Logic'!$A$22:$B$48,2,FALSE)-VLOOKUP($F7,'ELA Reading Logic'!$A$22:$B$48,2,FALSE),"No Value")</f>
        <v>No Value</v>
      </c>
      <c r="AK7" s="92"/>
      <c r="AL7" s="96" t="str">
        <f>IFERROR(IF($E7="Yes","IPP",VLOOKUP($J7,'ELA Reading Logic'!$A$3:$K$9,VLOOKUP(AK$1,'ELA Reading Logic'!$J$22:$K$31,2,FALSE),FALSE)),"Set Grade")</f>
        <v>Set Grade</v>
      </c>
      <c r="AM7" s="96" t="str">
        <f>IFERROR(IF($E7="Yes","IPP",VLOOKUP($J7,'ELA Reading Logic'!$A$13:$K$19,VLOOKUP(AK$1,'ELA Reading Logic'!$J$22:$K$31,2,FALSE),FALSE)),"Set Grade")</f>
        <v>Set Grade</v>
      </c>
      <c r="AN7" s="96" t="str">
        <f>IF($E7="Yes","IPP",IFERROR(IF(AND(AK7&gt;AL7,AK7&lt;AM7),"0",(VLOOKUP(AK7,'ELA Reading Logic'!$A$22:$B$48,2,FALSE))-(IF(VLOOKUP(AK7,'ELA Reading Logic'!$A$22:$B$48,2,FALSE)&lt;=VLOOKUP(AL7,'ELA Reading Logic'!$A$22:$B$48,2,FALSE),VLOOKUP(AL7,'ELA Reading Logic'!$A$22:$B$48,2,FALSE),IF(VLOOKUP(AK7,'ELA Reading Logic'!$A$22:$B$48,2,FALSE)&gt;=VLOOKUP(AM7,'ELA Reading Logic'!$A$22:$B$48,2,FALSE),VLOOKUP(AM7,'ELA Reading Logic'!$A$22:$B$48,2,FALSE),"No Score")))),"No Value"))</f>
        <v>No Value</v>
      </c>
      <c r="AO7" s="96" t="str">
        <f>IFERROR(VLOOKUP(AK7,'ELA Reading Logic'!$A$22:$B$48,2,FALSE)-VLOOKUP($F7,'ELA Reading Logic'!$A$22:$B$48,2,FALSE),"No Value")</f>
        <v>No Value</v>
      </c>
      <c r="AP7" s="92"/>
      <c r="AQ7" s="96" t="str">
        <f>IFERROR(IF($E7="Yes","IPP",VLOOKUP($J7,'ELA Reading Logic'!$A$3:$K$9,VLOOKUP(AP$1,'ELA Reading Logic'!$J$22:$K$31,2,FALSE),FALSE)),"Set Grade")</f>
        <v>Set Grade</v>
      </c>
      <c r="AR7" s="96" t="str">
        <f>IFERROR(IF($E7="Yes","IPP",VLOOKUP($J7,'ELA Reading Logic'!$A$13:$K$19,VLOOKUP(AP$1,'ELA Reading Logic'!$J$22:$K$31,2,FALSE),FALSE)),"Set Grade")</f>
        <v>Set Grade</v>
      </c>
      <c r="AS7" s="96" t="str">
        <f>IF($E7="Yes","IPP",IFERROR(IF(AND(AP7&gt;AQ7,AP7&lt;AR7),"0",(VLOOKUP(AP7,'ELA Reading Logic'!$A$22:$B$48,2,FALSE))-(IF(VLOOKUP(AP7,'ELA Reading Logic'!$A$22:$B$48,2,FALSE)&lt;=VLOOKUP(AQ7,'ELA Reading Logic'!$A$22:$B$48,2,FALSE),VLOOKUP(AQ7,'ELA Reading Logic'!$A$22:$B$48,2,FALSE),IF(VLOOKUP(AP7,'ELA Reading Logic'!$A$22:$B$48,2,FALSE)&gt;=VLOOKUP(AR7,'ELA Reading Logic'!$A$22:$B$48,2,FALSE),VLOOKUP(AR7,'ELA Reading Logic'!$A$22:$B$48,2,FALSE),"No Score")))),"No Value"))</f>
        <v>No Value</v>
      </c>
      <c r="AT7" s="96" t="str">
        <f>IFERROR(VLOOKUP(AP7,'ELA Reading Logic'!$A$22:$B$48,2,FALSE)-VLOOKUP($F7,'ELA Reading Logic'!$A$22:$B$48,2,FALSE),"No Value")</f>
        <v>No Value</v>
      </c>
    </row>
    <row r="8" spans="1:46" ht="22.5" customHeight="1" x14ac:dyDescent="0.25">
      <c r="A8" s="174"/>
      <c r="B8" s="174"/>
      <c r="C8" s="174"/>
      <c r="D8" s="174"/>
      <c r="E8" s="175"/>
      <c r="F8" s="175"/>
      <c r="G8" s="177" t="str">
        <f>IFERROR(IF($E8="Yes","IPP",VLOOKUP($J8,'ELA Reading Logic'!$A$3:$K$9,VLOOKUP("September",'ELA Reading Logic'!$J$22:$K$31,2,FALSE),FALSE)),"Set Grade")</f>
        <v>Set Grade</v>
      </c>
      <c r="H8" s="177" t="str">
        <f>IFERROR(IF($E8="Yes","IPP",VLOOKUP($J8,'ELA Reading Logic'!$A$13:$K$19,VLOOKUP("September",'ELA Reading Logic'!$J$22:$K$31,2,FALSE),FALSE)),"Set Grade")</f>
        <v>Set Grade</v>
      </c>
      <c r="I8" s="96" t="str">
        <f>IF($E8="Yes","IPP",IFERROR(IF(AND(F8&gt;G8,F8&lt;H8),"0",(VLOOKUP(F8,'ELA Reading Logic'!$A$22:$B$48,2,FALSE))-(IF(VLOOKUP(F8,'ELA Reading Logic'!$A$22:$B$48,2,FALSE)&lt;=VLOOKUP(G8,'ELA Reading Logic'!$A$22:$B$48,2,FALSE),VLOOKUP(G8,'ELA Reading Logic'!$A$22:$B$48,2,FALSE),IF(VLOOKUP(F8,'ELA Reading Logic'!$A$22:$B$48,2,FALSE)&gt;=VLOOKUP(H8,'ELA Reading Logic'!$A$22:$B$48,2,FALSE),VLOOKUP(H8,'ELA Reading Logic'!$A$22:$B$48,2,FALSE),"No Score")))),"No Value"))</f>
        <v>No Value</v>
      </c>
      <c r="J8" s="178"/>
      <c r="K8" s="96"/>
      <c r="L8" s="96"/>
      <c r="M8" s="96"/>
      <c r="N8" s="96"/>
      <c r="O8" s="96"/>
      <c r="P8" s="105"/>
      <c r="Q8" s="92"/>
      <c r="R8" s="96" t="str">
        <f>IFERROR(IF($E8="Yes","IPP",VLOOKUP($J8,'ELA Reading Logic'!$A$3:$K$9,VLOOKUP(Q$1,'ELA Reading Logic'!$J$22:$K$31,2,FALSE),FALSE)),"Set Grade")</f>
        <v>Set Grade</v>
      </c>
      <c r="S8" s="96" t="str">
        <f>IFERROR(IF($E8="Yes","IPP",VLOOKUP($J8,'ELA Reading Logic'!$A$13:$K$19,VLOOKUP(Q$1,'ELA Reading Logic'!$J$22:$K$31,2,FALSE),FALSE)),"Set Grade")</f>
        <v>Set Grade</v>
      </c>
      <c r="T8" s="96" t="str">
        <f>IF($E8="Yes","IPP",IFERROR(IF(AND(Q8&gt;R8,Q8&lt;S8),"0",(VLOOKUP(Q8,'ELA Reading Logic'!$A$22:$B$48,2,FALSE))-(IF(VLOOKUP(Q8,'ELA Reading Logic'!$A$22:$B$48,2,FALSE)&lt;=VLOOKUP(R8,'ELA Reading Logic'!$A$22:$B$48,2,FALSE),VLOOKUP(R8,'ELA Reading Logic'!$A$22:$B$48,2,FALSE),IF(VLOOKUP(Q8,'ELA Reading Logic'!$A$22:$B$48,2,FALSE)&gt;=VLOOKUP(S8,'ELA Reading Logic'!$A$22:$B$48,2,FALSE),VLOOKUP(S8,'ELA Reading Logic'!$A$22:$B$48,2,FALSE),"No Score")))),"No Value"))</f>
        <v>No Value</v>
      </c>
      <c r="U8" s="96" t="str">
        <f>IFERROR(VLOOKUP(Q8,'ELA Reading Logic'!$A$22:$B$48,2,FALSE)-VLOOKUP($F8,'ELA Reading Logic'!$A$22:$B$48,2,FALSE),"No Value")</f>
        <v>No Value</v>
      </c>
      <c r="V8" s="92"/>
      <c r="W8" s="96" t="str">
        <f>IFERROR(IF($E8="Yes","IPP",VLOOKUP($J8,'ELA Reading Logic'!$A$3:$K$9,VLOOKUP(V$1,'ELA Reading Logic'!$J$22:$K$31,2,FALSE),FALSE)),"Set Grade")</f>
        <v>Set Grade</v>
      </c>
      <c r="X8" s="96" t="str">
        <f>IFERROR(IF($E8="Yes","IPP",VLOOKUP($J8,'ELA Reading Logic'!$A$13:$K$19,VLOOKUP(V$1,'ELA Reading Logic'!$J$22:$K$31,2,FALSE),FALSE)),"Set Grade")</f>
        <v>Set Grade</v>
      </c>
      <c r="Y8" s="96" t="str">
        <f>IF($E8="Yes","IPP",IFERROR(IF(AND(V8&gt;W8,V8&lt;X8),"0",(VLOOKUP(V8,'ELA Reading Logic'!$A$22:$B$48,2,FALSE))-(IF(VLOOKUP(V8,'ELA Reading Logic'!$A$22:$B$48,2,FALSE)&lt;=VLOOKUP(W8,'ELA Reading Logic'!$A$22:$B$48,2,FALSE),VLOOKUP(W8,'ELA Reading Logic'!$A$22:$B$48,2,FALSE),IF(VLOOKUP(V8,'ELA Reading Logic'!$A$22:$B$48,2,FALSE)&gt;=VLOOKUP(X8,'ELA Reading Logic'!$A$22:$B$48,2,FALSE),VLOOKUP(X8,'ELA Reading Logic'!$A$22:$B$48,2,FALSE),"No Score")))),"No Value"))</f>
        <v>No Value</v>
      </c>
      <c r="Z8" s="96" t="str">
        <f>IFERROR(VLOOKUP(V8,'ELA Reading Logic'!$A$22:$B$48,2,FALSE)-VLOOKUP($F8,'ELA Reading Logic'!$A$22:$B$48,2,FALSE),"No Value")</f>
        <v>No Value</v>
      </c>
      <c r="AA8" s="92"/>
      <c r="AB8" s="96" t="str">
        <f>IFERROR(IF($E8="Yes","IPP",VLOOKUP($J8,'ELA Reading Logic'!$A$3:$K$9,VLOOKUP(AA$1,'ELA Reading Logic'!$J$22:$K$31,2,FALSE),FALSE)),"Set Grade")</f>
        <v>Set Grade</v>
      </c>
      <c r="AC8" s="96" t="str">
        <f>IFERROR(IF($E8="Yes","IPP",VLOOKUP($J8,'ELA Reading Logic'!$A$13:$K$19,VLOOKUP(AA$1,'ELA Reading Logic'!$J$22:$K$31,2,FALSE),FALSE)),"Set Grade")</f>
        <v>Set Grade</v>
      </c>
      <c r="AD8" s="96" t="str">
        <f>IF($E8="Yes","IPP",IFERROR(IF(AND(AA8&gt;AB8,AA8&lt;AC8),"0",(VLOOKUP(AA8,'ELA Reading Logic'!$A$22:$B$48,2,FALSE))-(IF(VLOOKUP(AA8,'ELA Reading Logic'!$A$22:$B$48,2,FALSE)&lt;=VLOOKUP(AB8,'ELA Reading Logic'!$A$22:$B$48,2,FALSE),VLOOKUP(AB8,'ELA Reading Logic'!$A$22:$B$48,2,FALSE),IF(VLOOKUP(AA8,'ELA Reading Logic'!$A$22:$B$48,2,FALSE)&gt;=VLOOKUP(AC8,'ELA Reading Logic'!$A$22:$B$48,2,FALSE),VLOOKUP(AC8,'ELA Reading Logic'!$A$22:$B$48,2,FALSE),"No Score")))),"No Value"))</f>
        <v>No Value</v>
      </c>
      <c r="AE8" s="96" t="str">
        <f>IFERROR(VLOOKUP(AA8,'ELA Reading Logic'!$A$22:$B$48,2,FALSE)-VLOOKUP($F8,'ELA Reading Logic'!$A$22:$B$48,2,FALSE),"No Value")</f>
        <v>No Value</v>
      </c>
      <c r="AF8" s="92"/>
      <c r="AG8" s="96" t="str">
        <f>IFERROR(IF($E8="Yes","IPP",VLOOKUP($J8,'ELA Reading Logic'!$A$3:$K$9,VLOOKUP(AF$1,'ELA Reading Logic'!$J$22:$K$31,2,FALSE),FALSE)),"Set Grade")</f>
        <v>Set Grade</v>
      </c>
      <c r="AH8" s="96" t="str">
        <f>IFERROR(IF($E8="Yes","IPP",VLOOKUP($J8,'ELA Reading Logic'!$A$13:$K$19,VLOOKUP(AF$1,'ELA Reading Logic'!$J$22:$K$31,2,FALSE),FALSE)),"Set Grade")</f>
        <v>Set Grade</v>
      </c>
      <c r="AI8" s="96" t="str">
        <f>IF($E8="Yes","IPP",IFERROR(IF(AND(AF8&gt;AG8,AF8&lt;AH8),"0",(VLOOKUP(AF8,'ELA Reading Logic'!$A$22:$B$48,2,FALSE))-(IF(VLOOKUP(AF8,'ELA Reading Logic'!$A$22:$B$48,2,FALSE)&lt;=VLOOKUP(AG8,'ELA Reading Logic'!$A$22:$B$48,2,FALSE),VLOOKUP(AG8,'ELA Reading Logic'!$A$22:$B$48,2,FALSE),IF(VLOOKUP(AF8,'ELA Reading Logic'!$A$22:$B$48,2,FALSE)&gt;=VLOOKUP(AH8,'ELA Reading Logic'!$A$22:$B$48,2,FALSE),VLOOKUP(AH8,'ELA Reading Logic'!$A$22:$B$48,2,FALSE),"No Score")))),"No Value"))</f>
        <v>No Value</v>
      </c>
      <c r="AJ8" s="96" t="str">
        <f>IFERROR(VLOOKUP(AF8,'ELA Reading Logic'!$A$22:$B$48,2,FALSE)-VLOOKUP($F8,'ELA Reading Logic'!$A$22:$B$48,2,FALSE),"No Value")</f>
        <v>No Value</v>
      </c>
      <c r="AK8" s="92"/>
      <c r="AL8" s="96" t="str">
        <f>IFERROR(IF($E8="Yes","IPP",VLOOKUP($J8,'ELA Reading Logic'!$A$3:$K$9,VLOOKUP(AK$1,'ELA Reading Logic'!$J$22:$K$31,2,FALSE),FALSE)),"Set Grade")</f>
        <v>Set Grade</v>
      </c>
      <c r="AM8" s="96" t="str">
        <f>IFERROR(IF($E8="Yes","IPP",VLOOKUP($J8,'ELA Reading Logic'!$A$13:$K$19,VLOOKUP(AK$1,'ELA Reading Logic'!$J$22:$K$31,2,FALSE),FALSE)),"Set Grade")</f>
        <v>Set Grade</v>
      </c>
      <c r="AN8" s="96" t="str">
        <f>IF($E8="Yes","IPP",IFERROR(IF(AND(AK8&gt;AL8,AK8&lt;AM8),"0",(VLOOKUP(AK8,'ELA Reading Logic'!$A$22:$B$48,2,FALSE))-(IF(VLOOKUP(AK8,'ELA Reading Logic'!$A$22:$B$48,2,FALSE)&lt;=VLOOKUP(AL8,'ELA Reading Logic'!$A$22:$B$48,2,FALSE),VLOOKUP(AL8,'ELA Reading Logic'!$A$22:$B$48,2,FALSE),IF(VLOOKUP(AK8,'ELA Reading Logic'!$A$22:$B$48,2,FALSE)&gt;=VLOOKUP(AM8,'ELA Reading Logic'!$A$22:$B$48,2,FALSE),VLOOKUP(AM8,'ELA Reading Logic'!$A$22:$B$48,2,FALSE),"No Score")))),"No Value"))</f>
        <v>No Value</v>
      </c>
      <c r="AO8" s="96" t="str">
        <f>IFERROR(VLOOKUP(AK8,'ELA Reading Logic'!$A$22:$B$48,2,FALSE)-VLOOKUP($F8,'ELA Reading Logic'!$A$22:$B$48,2,FALSE),"No Value")</f>
        <v>No Value</v>
      </c>
      <c r="AP8" s="92"/>
      <c r="AQ8" s="96" t="str">
        <f>IFERROR(IF($E8="Yes","IPP",VLOOKUP($J8,'ELA Reading Logic'!$A$3:$K$9,VLOOKUP(AP$1,'ELA Reading Logic'!$J$22:$K$31,2,FALSE),FALSE)),"Set Grade")</f>
        <v>Set Grade</v>
      </c>
      <c r="AR8" s="96" t="str">
        <f>IFERROR(IF($E8="Yes","IPP",VLOOKUP($J8,'ELA Reading Logic'!$A$13:$K$19,VLOOKUP(AP$1,'ELA Reading Logic'!$J$22:$K$31,2,FALSE),FALSE)),"Set Grade")</f>
        <v>Set Grade</v>
      </c>
      <c r="AS8" s="96" t="str">
        <f>IF($E8="Yes","IPP",IFERROR(IF(AND(AP8&gt;AQ8,AP8&lt;AR8),"0",(VLOOKUP(AP8,'ELA Reading Logic'!$A$22:$B$48,2,FALSE))-(IF(VLOOKUP(AP8,'ELA Reading Logic'!$A$22:$B$48,2,FALSE)&lt;=VLOOKUP(AQ8,'ELA Reading Logic'!$A$22:$B$48,2,FALSE),VLOOKUP(AQ8,'ELA Reading Logic'!$A$22:$B$48,2,FALSE),IF(VLOOKUP(AP8,'ELA Reading Logic'!$A$22:$B$48,2,FALSE)&gt;=VLOOKUP(AR8,'ELA Reading Logic'!$A$22:$B$48,2,FALSE),VLOOKUP(AR8,'ELA Reading Logic'!$A$22:$B$48,2,FALSE),"No Score")))),"No Value"))</f>
        <v>No Value</v>
      </c>
      <c r="AT8" s="96" t="str">
        <f>IFERROR(VLOOKUP(AP8,'ELA Reading Logic'!$A$22:$B$48,2,FALSE)-VLOOKUP($F8,'ELA Reading Logic'!$A$22:$B$48,2,FALSE),"No Value")</f>
        <v>No Value</v>
      </c>
    </row>
    <row r="9" spans="1:46" ht="22.5" customHeight="1" x14ac:dyDescent="0.25">
      <c r="A9" s="176"/>
      <c r="B9" s="176"/>
      <c r="C9" s="176"/>
      <c r="D9" s="176"/>
      <c r="E9" s="175"/>
      <c r="F9" s="175"/>
      <c r="G9" s="177" t="str">
        <f>IFERROR(IF($E9="Yes","IPP",VLOOKUP($J9,'ELA Reading Logic'!$A$3:$K$9,VLOOKUP("September",'ELA Reading Logic'!$J$22:$K$31,2,FALSE),FALSE)),"Set Grade")</f>
        <v>Set Grade</v>
      </c>
      <c r="H9" s="177" t="str">
        <f>IFERROR(IF($E9="Yes","IPP",VLOOKUP($J9,'ELA Reading Logic'!$A$13:$K$19,VLOOKUP("September",'ELA Reading Logic'!$J$22:$K$31,2,FALSE),FALSE)),"Set Grade")</f>
        <v>Set Grade</v>
      </c>
      <c r="I9" s="96" t="str">
        <f>IF($E9="Yes","IPP",IFERROR(IF(AND(F9&gt;G9,F9&lt;H9),"0",(VLOOKUP(F9,'ELA Reading Logic'!$A$22:$B$48,2,FALSE))-(IF(VLOOKUP(F9,'ELA Reading Logic'!$A$22:$B$48,2,FALSE)&lt;=VLOOKUP(G9,'ELA Reading Logic'!$A$22:$B$48,2,FALSE),VLOOKUP(G9,'ELA Reading Logic'!$A$22:$B$48,2,FALSE),IF(VLOOKUP(F9,'ELA Reading Logic'!$A$22:$B$48,2,FALSE)&gt;=VLOOKUP(H9,'ELA Reading Logic'!$A$22:$B$48,2,FALSE),VLOOKUP(H9,'ELA Reading Logic'!$A$22:$B$48,2,FALSE),"No Score")))),"No Value"))</f>
        <v>No Value</v>
      </c>
      <c r="J9" s="178"/>
      <c r="K9" s="96"/>
      <c r="L9" s="96"/>
      <c r="M9" s="96"/>
      <c r="N9" s="96"/>
      <c r="O9" s="96"/>
      <c r="P9" s="105"/>
      <c r="Q9" s="92"/>
      <c r="R9" s="96" t="str">
        <f>IFERROR(IF($E9="Yes","IPP",VLOOKUP($J9,'ELA Reading Logic'!$A$3:$K$9,VLOOKUP(Q$1,'ELA Reading Logic'!$J$22:$K$31,2,FALSE),FALSE)),"Set Grade")</f>
        <v>Set Grade</v>
      </c>
      <c r="S9" s="96" t="str">
        <f>IFERROR(IF($E9="Yes","IPP",VLOOKUP($J9,'ELA Reading Logic'!$A$13:$K$19,VLOOKUP(Q$1,'ELA Reading Logic'!$J$22:$K$31,2,FALSE),FALSE)),"Set Grade")</f>
        <v>Set Grade</v>
      </c>
      <c r="T9" s="96" t="str">
        <f>IF($E9="Yes","IPP",IFERROR(IF(AND(Q9&gt;R9,Q9&lt;S9),"0",(VLOOKUP(Q9,'ELA Reading Logic'!$A$22:$B$48,2,FALSE))-(IF(VLOOKUP(Q9,'ELA Reading Logic'!$A$22:$B$48,2,FALSE)&lt;=VLOOKUP(R9,'ELA Reading Logic'!$A$22:$B$48,2,FALSE),VLOOKUP(R9,'ELA Reading Logic'!$A$22:$B$48,2,FALSE),IF(VLOOKUP(Q9,'ELA Reading Logic'!$A$22:$B$48,2,FALSE)&gt;=VLOOKUP(S9,'ELA Reading Logic'!$A$22:$B$48,2,FALSE),VLOOKUP(S9,'ELA Reading Logic'!$A$22:$B$48,2,FALSE),"No Score")))),"No Value"))</f>
        <v>No Value</v>
      </c>
      <c r="U9" s="96" t="str">
        <f>IFERROR(VLOOKUP(Q9,'ELA Reading Logic'!$A$22:$B$48,2,FALSE)-VLOOKUP($F9,'ELA Reading Logic'!$A$22:$B$48,2,FALSE),"No Value")</f>
        <v>No Value</v>
      </c>
      <c r="V9" s="92"/>
      <c r="W9" s="96" t="str">
        <f>IFERROR(IF($E9="Yes","IPP",VLOOKUP($J9,'ELA Reading Logic'!$A$3:$K$9,VLOOKUP(V$1,'ELA Reading Logic'!$J$22:$K$31,2,FALSE),FALSE)),"Set Grade")</f>
        <v>Set Grade</v>
      </c>
      <c r="X9" s="96" t="str">
        <f>IFERROR(IF($E9="Yes","IPP",VLOOKUP($J9,'ELA Reading Logic'!$A$13:$K$19,VLOOKUP(V$1,'ELA Reading Logic'!$J$22:$K$31,2,FALSE),FALSE)),"Set Grade")</f>
        <v>Set Grade</v>
      </c>
      <c r="Y9" s="96" t="str">
        <f>IF($E9="Yes","IPP",IFERROR(IF(AND(V9&gt;W9,V9&lt;X9),"0",(VLOOKUP(V9,'ELA Reading Logic'!$A$22:$B$48,2,FALSE))-(IF(VLOOKUP(V9,'ELA Reading Logic'!$A$22:$B$48,2,FALSE)&lt;=VLOOKUP(W9,'ELA Reading Logic'!$A$22:$B$48,2,FALSE),VLOOKUP(W9,'ELA Reading Logic'!$A$22:$B$48,2,FALSE),IF(VLOOKUP(V9,'ELA Reading Logic'!$A$22:$B$48,2,FALSE)&gt;=VLOOKUP(X9,'ELA Reading Logic'!$A$22:$B$48,2,FALSE),VLOOKUP(X9,'ELA Reading Logic'!$A$22:$B$48,2,FALSE),"No Score")))),"No Value"))</f>
        <v>No Value</v>
      </c>
      <c r="Z9" s="96" t="str">
        <f>IFERROR(VLOOKUP(V9,'ELA Reading Logic'!$A$22:$B$48,2,FALSE)-VLOOKUP($F9,'ELA Reading Logic'!$A$22:$B$48,2,FALSE),"No Value")</f>
        <v>No Value</v>
      </c>
      <c r="AA9" s="92"/>
      <c r="AB9" s="96" t="str">
        <f>IFERROR(IF($E9="Yes","IPP",VLOOKUP($J9,'ELA Reading Logic'!$A$3:$K$9,VLOOKUP(AA$1,'ELA Reading Logic'!$J$22:$K$31,2,FALSE),FALSE)),"Set Grade")</f>
        <v>Set Grade</v>
      </c>
      <c r="AC9" s="96" t="str">
        <f>IFERROR(IF($E9="Yes","IPP",VLOOKUP($J9,'ELA Reading Logic'!$A$13:$K$19,VLOOKUP(AA$1,'ELA Reading Logic'!$J$22:$K$31,2,FALSE),FALSE)),"Set Grade")</f>
        <v>Set Grade</v>
      </c>
      <c r="AD9" s="96" t="str">
        <f>IF($E9="Yes","IPP",IFERROR(IF(AND(AA9&gt;AB9,AA9&lt;AC9),"0",(VLOOKUP(AA9,'ELA Reading Logic'!$A$22:$B$48,2,FALSE))-(IF(VLOOKUP(AA9,'ELA Reading Logic'!$A$22:$B$48,2,FALSE)&lt;=VLOOKUP(AB9,'ELA Reading Logic'!$A$22:$B$48,2,FALSE),VLOOKUP(AB9,'ELA Reading Logic'!$A$22:$B$48,2,FALSE),IF(VLOOKUP(AA9,'ELA Reading Logic'!$A$22:$B$48,2,FALSE)&gt;=VLOOKUP(AC9,'ELA Reading Logic'!$A$22:$B$48,2,FALSE),VLOOKUP(AC9,'ELA Reading Logic'!$A$22:$B$48,2,FALSE),"No Score")))),"No Value"))</f>
        <v>No Value</v>
      </c>
      <c r="AE9" s="96" t="str">
        <f>IFERROR(VLOOKUP(AA9,'ELA Reading Logic'!$A$22:$B$48,2,FALSE)-VLOOKUP($F9,'ELA Reading Logic'!$A$22:$B$48,2,FALSE),"No Value")</f>
        <v>No Value</v>
      </c>
      <c r="AF9" s="92"/>
      <c r="AG9" s="96" t="str">
        <f>IFERROR(IF($E9="Yes","IPP",VLOOKUP($J9,'ELA Reading Logic'!$A$3:$K$9,VLOOKUP(AF$1,'ELA Reading Logic'!$J$22:$K$31,2,FALSE),FALSE)),"Set Grade")</f>
        <v>Set Grade</v>
      </c>
      <c r="AH9" s="96" t="str">
        <f>IFERROR(IF($E9="Yes","IPP",VLOOKUP($J9,'ELA Reading Logic'!$A$13:$K$19,VLOOKUP(AF$1,'ELA Reading Logic'!$J$22:$K$31,2,FALSE),FALSE)),"Set Grade")</f>
        <v>Set Grade</v>
      </c>
      <c r="AI9" s="96" t="str">
        <f>IF($E9="Yes","IPP",IFERROR(IF(AND(AF9&gt;AG9,AF9&lt;AH9),"0",(VLOOKUP(AF9,'ELA Reading Logic'!$A$22:$B$48,2,FALSE))-(IF(VLOOKUP(AF9,'ELA Reading Logic'!$A$22:$B$48,2,FALSE)&lt;=VLOOKUP(AG9,'ELA Reading Logic'!$A$22:$B$48,2,FALSE),VLOOKUP(AG9,'ELA Reading Logic'!$A$22:$B$48,2,FALSE),IF(VLOOKUP(AF9,'ELA Reading Logic'!$A$22:$B$48,2,FALSE)&gt;=VLOOKUP(AH9,'ELA Reading Logic'!$A$22:$B$48,2,FALSE),VLOOKUP(AH9,'ELA Reading Logic'!$A$22:$B$48,2,FALSE),"No Score")))),"No Value"))</f>
        <v>No Value</v>
      </c>
      <c r="AJ9" s="96" t="str">
        <f>IFERROR(VLOOKUP(AF9,'ELA Reading Logic'!$A$22:$B$48,2,FALSE)-VLOOKUP($F9,'ELA Reading Logic'!$A$22:$B$48,2,FALSE),"No Value")</f>
        <v>No Value</v>
      </c>
      <c r="AK9" s="92"/>
      <c r="AL9" s="96" t="str">
        <f>IFERROR(IF($E9="Yes","IPP",VLOOKUP($J9,'ELA Reading Logic'!$A$3:$K$9,VLOOKUP(AK$1,'ELA Reading Logic'!$J$22:$K$31,2,FALSE),FALSE)),"Set Grade")</f>
        <v>Set Grade</v>
      </c>
      <c r="AM9" s="96" t="str">
        <f>IFERROR(IF($E9="Yes","IPP",VLOOKUP($J9,'ELA Reading Logic'!$A$13:$K$19,VLOOKUP(AK$1,'ELA Reading Logic'!$J$22:$K$31,2,FALSE),FALSE)),"Set Grade")</f>
        <v>Set Grade</v>
      </c>
      <c r="AN9" s="96" t="str">
        <f>IF($E9="Yes","IPP",IFERROR(IF(AND(AK9&gt;AL9,AK9&lt;AM9),"0",(VLOOKUP(AK9,'ELA Reading Logic'!$A$22:$B$48,2,FALSE))-(IF(VLOOKUP(AK9,'ELA Reading Logic'!$A$22:$B$48,2,FALSE)&lt;=VLOOKUP(AL9,'ELA Reading Logic'!$A$22:$B$48,2,FALSE),VLOOKUP(AL9,'ELA Reading Logic'!$A$22:$B$48,2,FALSE),IF(VLOOKUP(AK9,'ELA Reading Logic'!$A$22:$B$48,2,FALSE)&gt;=VLOOKUP(AM9,'ELA Reading Logic'!$A$22:$B$48,2,FALSE),VLOOKUP(AM9,'ELA Reading Logic'!$A$22:$B$48,2,FALSE),"No Score")))),"No Value"))</f>
        <v>No Value</v>
      </c>
      <c r="AO9" s="96" t="str">
        <f>IFERROR(VLOOKUP(AK9,'ELA Reading Logic'!$A$22:$B$48,2,FALSE)-VLOOKUP($F9,'ELA Reading Logic'!$A$22:$B$48,2,FALSE),"No Value")</f>
        <v>No Value</v>
      </c>
      <c r="AP9" s="92"/>
      <c r="AQ9" s="96" t="str">
        <f>IFERROR(IF($E9="Yes","IPP",VLOOKUP($J9,'ELA Reading Logic'!$A$3:$K$9,VLOOKUP(AP$1,'ELA Reading Logic'!$J$22:$K$31,2,FALSE),FALSE)),"Set Grade")</f>
        <v>Set Grade</v>
      </c>
      <c r="AR9" s="96" t="str">
        <f>IFERROR(IF($E9="Yes","IPP",VLOOKUP($J9,'ELA Reading Logic'!$A$13:$K$19,VLOOKUP(AP$1,'ELA Reading Logic'!$J$22:$K$31,2,FALSE),FALSE)),"Set Grade")</f>
        <v>Set Grade</v>
      </c>
      <c r="AS9" s="96" t="str">
        <f>IF($E9="Yes","IPP",IFERROR(IF(AND(AP9&gt;AQ9,AP9&lt;AR9),"0",(VLOOKUP(AP9,'ELA Reading Logic'!$A$22:$B$48,2,FALSE))-(IF(VLOOKUP(AP9,'ELA Reading Logic'!$A$22:$B$48,2,FALSE)&lt;=VLOOKUP(AQ9,'ELA Reading Logic'!$A$22:$B$48,2,FALSE),VLOOKUP(AQ9,'ELA Reading Logic'!$A$22:$B$48,2,FALSE),IF(VLOOKUP(AP9,'ELA Reading Logic'!$A$22:$B$48,2,FALSE)&gt;=VLOOKUP(AR9,'ELA Reading Logic'!$A$22:$B$48,2,FALSE),VLOOKUP(AR9,'ELA Reading Logic'!$A$22:$B$48,2,FALSE),"No Score")))),"No Value"))</f>
        <v>No Value</v>
      </c>
      <c r="AT9" s="96" t="str">
        <f>IFERROR(VLOOKUP(AP9,'ELA Reading Logic'!$A$22:$B$48,2,FALSE)-VLOOKUP($F9,'ELA Reading Logic'!$A$22:$B$48,2,FALSE),"No Value")</f>
        <v>No Value</v>
      </c>
    </row>
    <row r="10" spans="1:46" ht="22.5" customHeight="1" x14ac:dyDescent="0.25">
      <c r="A10" s="174"/>
      <c r="B10" s="174"/>
      <c r="C10" s="174"/>
      <c r="D10" s="174"/>
      <c r="E10" s="175"/>
      <c r="F10" s="175"/>
      <c r="G10" s="177" t="str">
        <f>IFERROR(IF($E10="Yes","IPP",VLOOKUP($J10,'ELA Reading Logic'!$A$3:$K$9,VLOOKUP("September",'ELA Reading Logic'!$J$22:$K$31,2,FALSE),FALSE)),"Set Grade")</f>
        <v>Set Grade</v>
      </c>
      <c r="H10" s="177" t="str">
        <f>IFERROR(IF($E10="Yes","IPP",VLOOKUP($J10,'ELA Reading Logic'!$A$13:$K$19,VLOOKUP("September",'ELA Reading Logic'!$J$22:$K$31,2,FALSE),FALSE)),"Set Grade")</f>
        <v>Set Grade</v>
      </c>
      <c r="I10" s="96" t="str">
        <f>IF($E10="Yes","IPP",IFERROR(IF(AND(F10&gt;G10,F10&lt;H10),"0",(VLOOKUP(F10,'ELA Reading Logic'!$A$22:$B$48,2,FALSE))-(IF(VLOOKUP(F10,'ELA Reading Logic'!$A$22:$B$48,2,FALSE)&lt;=VLOOKUP(G10,'ELA Reading Logic'!$A$22:$B$48,2,FALSE),VLOOKUP(G10,'ELA Reading Logic'!$A$22:$B$48,2,FALSE),IF(VLOOKUP(F10,'ELA Reading Logic'!$A$22:$B$48,2,FALSE)&gt;=VLOOKUP(H10,'ELA Reading Logic'!$A$22:$B$48,2,FALSE),VLOOKUP(H10,'ELA Reading Logic'!$A$22:$B$48,2,FALSE),"No Score")))),"No Value"))</f>
        <v>No Value</v>
      </c>
      <c r="J10" s="178"/>
      <c r="K10" s="96"/>
      <c r="L10" s="96"/>
      <c r="M10" s="96"/>
      <c r="N10" s="96"/>
      <c r="O10" s="96"/>
      <c r="P10" s="105"/>
      <c r="Q10" s="92"/>
      <c r="R10" s="96" t="str">
        <f>IFERROR(IF($E10="Yes","IPP",VLOOKUP($J10,'ELA Reading Logic'!$A$3:$K$9,VLOOKUP(Q$1,'ELA Reading Logic'!$J$22:$K$31,2,FALSE),FALSE)),"Set Grade")</f>
        <v>Set Grade</v>
      </c>
      <c r="S10" s="96" t="str">
        <f>IFERROR(IF($E10="Yes","IPP",VLOOKUP($J10,'ELA Reading Logic'!$A$13:$K$19,VLOOKUP(Q$1,'ELA Reading Logic'!$J$22:$K$31,2,FALSE),FALSE)),"Set Grade")</f>
        <v>Set Grade</v>
      </c>
      <c r="T10" s="96" t="str">
        <f>IF($E10="Yes","IPP",IFERROR(IF(AND(Q10&gt;R10,Q10&lt;S10),"0",(VLOOKUP(Q10,'ELA Reading Logic'!$A$22:$B$48,2,FALSE))-(IF(VLOOKUP(Q10,'ELA Reading Logic'!$A$22:$B$48,2,FALSE)&lt;=VLOOKUP(R10,'ELA Reading Logic'!$A$22:$B$48,2,FALSE),VLOOKUP(R10,'ELA Reading Logic'!$A$22:$B$48,2,FALSE),IF(VLOOKUP(Q10,'ELA Reading Logic'!$A$22:$B$48,2,FALSE)&gt;=VLOOKUP(S10,'ELA Reading Logic'!$A$22:$B$48,2,FALSE),VLOOKUP(S10,'ELA Reading Logic'!$A$22:$B$48,2,FALSE),"No Score")))),"No Value"))</f>
        <v>No Value</v>
      </c>
      <c r="U10" s="96" t="str">
        <f>IFERROR(VLOOKUP(Q10,'ELA Reading Logic'!$A$22:$B$48,2,FALSE)-VLOOKUP($F10,'ELA Reading Logic'!$A$22:$B$48,2,FALSE),"No Value")</f>
        <v>No Value</v>
      </c>
      <c r="V10" s="92"/>
      <c r="W10" s="96" t="str">
        <f>IFERROR(IF($E10="Yes","IPP",VLOOKUP($J10,'ELA Reading Logic'!$A$3:$K$9,VLOOKUP(V$1,'ELA Reading Logic'!$J$22:$K$31,2,FALSE),FALSE)),"Set Grade")</f>
        <v>Set Grade</v>
      </c>
      <c r="X10" s="96" t="str">
        <f>IFERROR(IF($E10="Yes","IPP",VLOOKUP($J10,'ELA Reading Logic'!$A$13:$K$19,VLOOKUP(V$1,'ELA Reading Logic'!$J$22:$K$31,2,FALSE),FALSE)),"Set Grade")</f>
        <v>Set Grade</v>
      </c>
      <c r="Y10" s="96" t="str">
        <f>IF($E10="Yes","IPP",IFERROR(IF(AND(V10&gt;W10,V10&lt;X10),"0",(VLOOKUP(V10,'ELA Reading Logic'!$A$22:$B$48,2,FALSE))-(IF(VLOOKUP(V10,'ELA Reading Logic'!$A$22:$B$48,2,FALSE)&lt;=VLOOKUP(W10,'ELA Reading Logic'!$A$22:$B$48,2,FALSE),VLOOKUP(W10,'ELA Reading Logic'!$A$22:$B$48,2,FALSE),IF(VLOOKUP(V10,'ELA Reading Logic'!$A$22:$B$48,2,FALSE)&gt;=VLOOKUP(X10,'ELA Reading Logic'!$A$22:$B$48,2,FALSE),VLOOKUP(X10,'ELA Reading Logic'!$A$22:$B$48,2,FALSE),"No Score")))),"No Value"))</f>
        <v>No Value</v>
      </c>
      <c r="Z10" s="96" t="str">
        <f>IFERROR(VLOOKUP(V10,'ELA Reading Logic'!$A$22:$B$48,2,FALSE)-VLOOKUP($F10,'ELA Reading Logic'!$A$22:$B$48,2,FALSE),"No Value")</f>
        <v>No Value</v>
      </c>
      <c r="AA10" s="92"/>
      <c r="AB10" s="96" t="str">
        <f>IFERROR(IF($E10="Yes","IPP",VLOOKUP($J10,'ELA Reading Logic'!$A$3:$K$9,VLOOKUP(AA$1,'ELA Reading Logic'!$J$22:$K$31,2,FALSE),FALSE)),"Set Grade")</f>
        <v>Set Grade</v>
      </c>
      <c r="AC10" s="96" t="str">
        <f>IFERROR(IF($E10="Yes","IPP",VLOOKUP($J10,'ELA Reading Logic'!$A$13:$K$19,VLOOKUP(AA$1,'ELA Reading Logic'!$J$22:$K$31,2,FALSE),FALSE)),"Set Grade")</f>
        <v>Set Grade</v>
      </c>
      <c r="AD10" s="96" t="str">
        <f>IF($E10="Yes","IPP",IFERROR(IF(AND(AA10&gt;AB10,AA10&lt;AC10),"0",(VLOOKUP(AA10,'ELA Reading Logic'!$A$22:$B$48,2,FALSE))-(IF(VLOOKUP(AA10,'ELA Reading Logic'!$A$22:$B$48,2,FALSE)&lt;=VLOOKUP(AB10,'ELA Reading Logic'!$A$22:$B$48,2,FALSE),VLOOKUP(AB10,'ELA Reading Logic'!$A$22:$B$48,2,FALSE),IF(VLOOKUP(AA10,'ELA Reading Logic'!$A$22:$B$48,2,FALSE)&gt;=VLOOKUP(AC10,'ELA Reading Logic'!$A$22:$B$48,2,FALSE),VLOOKUP(AC10,'ELA Reading Logic'!$A$22:$B$48,2,FALSE),"No Score")))),"No Value"))</f>
        <v>No Value</v>
      </c>
      <c r="AE10" s="96" t="str">
        <f>IFERROR(VLOOKUP(AA10,'ELA Reading Logic'!$A$22:$B$48,2,FALSE)-VLOOKUP($F10,'ELA Reading Logic'!$A$22:$B$48,2,FALSE),"No Value")</f>
        <v>No Value</v>
      </c>
      <c r="AF10" s="92"/>
      <c r="AG10" s="96" t="str">
        <f>IFERROR(IF($E10="Yes","IPP",VLOOKUP($J10,'ELA Reading Logic'!$A$3:$K$9,VLOOKUP(AF$1,'ELA Reading Logic'!$J$22:$K$31,2,FALSE),FALSE)),"Set Grade")</f>
        <v>Set Grade</v>
      </c>
      <c r="AH10" s="96" t="str">
        <f>IFERROR(IF($E10="Yes","IPP",VLOOKUP($J10,'ELA Reading Logic'!$A$13:$K$19,VLOOKUP(AF$1,'ELA Reading Logic'!$J$22:$K$31,2,FALSE),FALSE)),"Set Grade")</f>
        <v>Set Grade</v>
      </c>
      <c r="AI10" s="96" t="str">
        <f>IF($E10="Yes","IPP",IFERROR(IF(AND(AF10&gt;AG10,AF10&lt;AH10),"0",(VLOOKUP(AF10,'ELA Reading Logic'!$A$22:$B$48,2,FALSE))-(IF(VLOOKUP(AF10,'ELA Reading Logic'!$A$22:$B$48,2,FALSE)&lt;=VLOOKUP(AG10,'ELA Reading Logic'!$A$22:$B$48,2,FALSE),VLOOKUP(AG10,'ELA Reading Logic'!$A$22:$B$48,2,FALSE),IF(VLOOKUP(AF10,'ELA Reading Logic'!$A$22:$B$48,2,FALSE)&gt;=VLOOKUP(AH10,'ELA Reading Logic'!$A$22:$B$48,2,FALSE),VLOOKUP(AH10,'ELA Reading Logic'!$A$22:$B$48,2,FALSE),"No Score")))),"No Value"))</f>
        <v>No Value</v>
      </c>
      <c r="AJ10" s="96" t="str">
        <f>IFERROR(VLOOKUP(AF10,'ELA Reading Logic'!$A$22:$B$48,2,FALSE)-VLOOKUP($F10,'ELA Reading Logic'!$A$22:$B$48,2,FALSE),"No Value")</f>
        <v>No Value</v>
      </c>
      <c r="AK10" s="92"/>
      <c r="AL10" s="96" t="str">
        <f>IFERROR(IF($E10="Yes","IPP",VLOOKUP($J10,'ELA Reading Logic'!$A$3:$K$9,VLOOKUP(AK$1,'ELA Reading Logic'!$J$22:$K$31,2,FALSE),FALSE)),"Set Grade")</f>
        <v>Set Grade</v>
      </c>
      <c r="AM10" s="96" t="str">
        <f>IFERROR(IF($E10="Yes","IPP",VLOOKUP($J10,'ELA Reading Logic'!$A$13:$K$19,VLOOKUP(AK$1,'ELA Reading Logic'!$J$22:$K$31,2,FALSE),FALSE)),"Set Grade")</f>
        <v>Set Grade</v>
      </c>
      <c r="AN10" s="96" t="str">
        <f>IF($E10="Yes","IPP",IFERROR(IF(AND(AK10&gt;AL10,AK10&lt;AM10),"0",(VLOOKUP(AK10,'ELA Reading Logic'!$A$22:$B$48,2,FALSE))-(IF(VLOOKUP(AK10,'ELA Reading Logic'!$A$22:$B$48,2,FALSE)&lt;=VLOOKUP(AL10,'ELA Reading Logic'!$A$22:$B$48,2,FALSE),VLOOKUP(AL10,'ELA Reading Logic'!$A$22:$B$48,2,FALSE),IF(VLOOKUP(AK10,'ELA Reading Logic'!$A$22:$B$48,2,FALSE)&gt;=VLOOKUP(AM10,'ELA Reading Logic'!$A$22:$B$48,2,FALSE),VLOOKUP(AM10,'ELA Reading Logic'!$A$22:$B$48,2,FALSE),"No Score")))),"No Value"))</f>
        <v>No Value</v>
      </c>
      <c r="AO10" s="96" t="str">
        <f>IFERROR(VLOOKUP(AK10,'ELA Reading Logic'!$A$22:$B$48,2,FALSE)-VLOOKUP($F10,'ELA Reading Logic'!$A$22:$B$48,2,FALSE),"No Value")</f>
        <v>No Value</v>
      </c>
      <c r="AP10" s="92"/>
      <c r="AQ10" s="96" t="str">
        <f>IFERROR(IF($E10="Yes","IPP",VLOOKUP($J10,'ELA Reading Logic'!$A$3:$K$9,VLOOKUP(AP$1,'ELA Reading Logic'!$J$22:$K$31,2,FALSE),FALSE)),"Set Grade")</f>
        <v>Set Grade</v>
      </c>
      <c r="AR10" s="96" t="str">
        <f>IFERROR(IF($E10="Yes","IPP",VLOOKUP($J10,'ELA Reading Logic'!$A$13:$K$19,VLOOKUP(AP$1,'ELA Reading Logic'!$J$22:$K$31,2,FALSE),FALSE)),"Set Grade")</f>
        <v>Set Grade</v>
      </c>
      <c r="AS10" s="96" t="str">
        <f>IF($E10="Yes","IPP",IFERROR(IF(AND(AP10&gt;AQ10,AP10&lt;AR10),"0",(VLOOKUP(AP10,'ELA Reading Logic'!$A$22:$B$48,2,FALSE))-(IF(VLOOKUP(AP10,'ELA Reading Logic'!$A$22:$B$48,2,FALSE)&lt;=VLOOKUP(AQ10,'ELA Reading Logic'!$A$22:$B$48,2,FALSE),VLOOKUP(AQ10,'ELA Reading Logic'!$A$22:$B$48,2,FALSE),IF(VLOOKUP(AP10,'ELA Reading Logic'!$A$22:$B$48,2,FALSE)&gt;=VLOOKUP(AR10,'ELA Reading Logic'!$A$22:$B$48,2,FALSE),VLOOKUP(AR10,'ELA Reading Logic'!$A$22:$B$48,2,FALSE),"No Score")))),"No Value"))</f>
        <v>No Value</v>
      </c>
      <c r="AT10" s="96" t="str">
        <f>IFERROR(VLOOKUP(AP10,'ELA Reading Logic'!$A$22:$B$48,2,FALSE)-VLOOKUP($F10,'ELA Reading Logic'!$A$22:$B$48,2,FALSE),"No Value")</f>
        <v>No Value</v>
      </c>
    </row>
    <row r="11" spans="1:46" ht="22.5" customHeight="1" x14ac:dyDescent="0.25">
      <c r="A11" s="176"/>
      <c r="B11" s="176"/>
      <c r="C11" s="176"/>
      <c r="D11" s="176"/>
      <c r="E11" s="175"/>
      <c r="F11" s="175"/>
      <c r="G11" s="177" t="str">
        <f>IFERROR(IF($E11="Yes","IPP",VLOOKUP($J11,'ELA Reading Logic'!$A$3:$K$9,VLOOKUP("September",'ELA Reading Logic'!$J$22:$K$31,2,FALSE),FALSE)),"Set Grade")</f>
        <v>Set Grade</v>
      </c>
      <c r="H11" s="177" t="str">
        <f>IFERROR(IF($E11="Yes","IPP",VLOOKUP($J11,'ELA Reading Logic'!$A$13:$K$19,VLOOKUP("September",'ELA Reading Logic'!$J$22:$K$31,2,FALSE),FALSE)),"Set Grade")</f>
        <v>Set Grade</v>
      </c>
      <c r="I11" s="96" t="str">
        <f>IF($E11="Yes","IPP",IFERROR(IF(AND(F11&gt;G11,F11&lt;H11),"0",(VLOOKUP(F11,'ELA Reading Logic'!$A$22:$B$48,2,FALSE))-(IF(VLOOKUP(F11,'ELA Reading Logic'!$A$22:$B$48,2,FALSE)&lt;=VLOOKUP(G11,'ELA Reading Logic'!$A$22:$B$48,2,FALSE),VLOOKUP(G11,'ELA Reading Logic'!$A$22:$B$48,2,FALSE),IF(VLOOKUP(F11,'ELA Reading Logic'!$A$22:$B$48,2,FALSE)&gt;=VLOOKUP(H11,'ELA Reading Logic'!$A$22:$B$48,2,FALSE),VLOOKUP(H11,'ELA Reading Logic'!$A$22:$B$48,2,FALSE),"No Score")))),"No Value"))</f>
        <v>No Value</v>
      </c>
      <c r="J11" s="178"/>
      <c r="K11" s="96"/>
      <c r="L11" s="96"/>
      <c r="M11" s="96"/>
      <c r="N11" s="96"/>
      <c r="O11" s="96"/>
      <c r="P11" s="105"/>
      <c r="Q11" s="92"/>
      <c r="R11" s="96" t="str">
        <f>IFERROR(IF($E11="Yes","IPP",VLOOKUP($J11,'ELA Reading Logic'!$A$3:$K$9,VLOOKUP(Q$1,'ELA Reading Logic'!$J$22:$K$31,2,FALSE),FALSE)),"Set Grade")</f>
        <v>Set Grade</v>
      </c>
      <c r="S11" s="96" t="str">
        <f>IFERROR(IF($E11="Yes","IPP",VLOOKUP($J11,'ELA Reading Logic'!$A$13:$K$19,VLOOKUP(Q$1,'ELA Reading Logic'!$J$22:$K$31,2,FALSE),FALSE)),"Set Grade")</f>
        <v>Set Grade</v>
      </c>
      <c r="T11" s="96" t="str">
        <f>IF($E11="Yes","IPP",IFERROR(IF(AND(Q11&gt;R11,Q11&lt;S11),"0",(VLOOKUP(Q11,'ELA Reading Logic'!$A$22:$B$48,2,FALSE))-(IF(VLOOKUP(Q11,'ELA Reading Logic'!$A$22:$B$48,2,FALSE)&lt;=VLOOKUP(R11,'ELA Reading Logic'!$A$22:$B$48,2,FALSE),VLOOKUP(R11,'ELA Reading Logic'!$A$22:$B$48,2,FALSE),IF(VLOOKUP(Q11,'ELA Reading Logic'!$A$22:$B$48,2,FALSE)&gt;=VLOOKUP(S11,'ELA Reading Logic'!$A$22:$B$48,2,FALSE),VLOOKUP(S11,'ELA Reading Logic'!$A$22:$B$48,2,FALSE),"No Score")))),"No Value"))</f>
        <v>No Value</v>
      </c>
      <c r="U11" s="96" t="str">
        <f>IFERROR(VLOOKUP(Q11,'ELA Reading Logic'!$A$22:$B$48,2,FALSE)-VLOOKUP($F11,'ELA Reading Logic'!$A$22:$B$48,2,FALSE),"No Value")</f>
        <v>No Value</v>
      </c>
      <c r="V11" s="92"/>
      <c r="W11" s="96" t="str">
        <f>IFERROR(IF($E11="Yes","IPP",VLOOKUP($J11,'ELA Reading Logic'!$A$3:$K$9,VLOOKUP(V$1,'ELA Reading Logic'!$J$22:$K$31,2,FALSE),FALSE)),"Set Grade")</f>
        <v>Set Grade</v>
      </c>
      <c r="X11" s="96" t="str">
        <f>IFERROR(IF($E11="Yes","IPP",VLOOKUP($J11,'ELA Reading Logic'!$A$13:$K$19,VLOOKUP(V$1,'ELA Reading Logic'!$J$22:$K$31,2,FALSE),FALSE)),"Set Grade")</f>
        <v>Set Grade</v>
      </c>
      <c r="Y11" s="96" t="str">
        <f>IF($E11="Yes","IPP",IFERROR(IF(AND(V11&gt;W11,V11&lt;X11),"0",(VLOOKUP(V11,'ELA Reading Logic'!$A$22:$B$48,2,FALSE))-(IF(VLOOKUP(V11,'ELA Reading Logic'!$A$22:$B$48,2,FALSE)&lt;=VLOOKUP(W11,'ELA Reading Logic'!$A$22:$B$48,2,FALSE),VLOOKUP(W11,'ELA Reading Logic'!$A$22:$B$48,2,FALSE),IF(VLOOKUP(V11,'ELA Reading Logic'!$A$22:$B$48,2,FALSE)&gt;=VLOOKUP(X11,'ELA Reading Logic'!$A$22:$B$48,2,FALSE),VLOOKUP(X11,'ELA Reading Logic'!$A$22:$B$48,2,FALSE),"No Score")))),"No Value"))</f>
        <v>No Value</v>
      </c>
      <c r="Z11" s="96" t="str">
        <f>IFERROR(VLOOKUP(V11,'ELA Reading Logic'!$A$22:$B$48,2,FALSE)-VLOOKUP($F11,'ELA Reading Logic'!$A$22:$B$48,2,FALSE),"No Value")</f>
        <v>No Value</v>
      </c>
      <c r="AA11" s="92"/>
      <c r="AB11" s="96" t="str">
        <f>IFERROR(IF($E11="Yes","IPP",VLOOKUP($J11,'ELA Reading Logic'!$A$3:$K$9,VLOOKUP(AA$1,'ELA Reading Logic'!$J$22:$K$31,2,FALSE),FALSE)),"Set Grade")</f>
        <v>Set Grade</v>
      </c>
      <c r="AC11" s="96" t="str">
        <f>IFERROR(IF($E11="Yes","IPP",VLOOKUP($J11,'ELA Reading Logic'!$A$13:$K$19,VLOOKUP(AA$1,'ELA Reading Logic'!$J$22:$K$31,2,FALSE),FALSE)),"Set Grade")</f>
        <v>Set Grade</v>
      </c>
      <c r="AD11" s="96" t="str">
        <f>IF($E11="Yes","IPP",IFERROR(IF(AND(AA11&gt;AB11,AA11&lt;AC11),"0",(VLOOKUP(AA11,'ELA Reading Logic'!$A$22:$B$48,2,FALSE))-(IF(VLOOKUP(AA11,'ELA Reading Logic'!$A$22:$B$48,2,FALSE)&lt;=VLOOKUP(AB11,'ELA Reading Logic'!$A$22:$B$48,2,FALSE),VLOOKUP(AB11,'ELA Reading Logic'!$A$22:$B$48,2,FALSE),IF(VLOOKUP(AA11,'ELA Reading Logic'!$A$22:$B$48,2,FALSE)&gt;=VLOOKUP(AC11,'ELA Reading Logic'!$A$22:$B$48,2,FALSE),VLOOKUP(AC11,'ELA Reading Logic'!$A$22:$B$48,2,FALSE),"No Score")))),"No Value"))</f>
        <v>No Value</v>
      </c>
      <c r="AE11" s="96" t="str">
        <f>IFERROR(VLOOKUP(AA11,'ELA Reading Logic'!$A$22:$B$48,2,FALSE)-VLOOKUP($F11,'ELA Reading Logic'!$A$22:$B$48,2,FALSE),"No Value")</f>
        <v>No Value</v>
      </c>
      <c r="AF11" s="92"/>
      <c r="AG11" s="96" t="str">
        <f>IFERROR(IF($E11="Yes","IPP",VLOOKUP($J11,'ELA Reading Logic'!$A$3:$K$9,VLOOKUP(AF$1,'ELA Reading Logic'!$J$22:$K$31,2,FALSE),FALSE)),"Set Grade")</f>
        <v>Set Grade</v>
      </c>
      <c r="AH11" s="96" t="str">
        <f>IFERROR(IF($E11="Yes","IPP",VLOOKUP($J11,'ELA Reading Logic'!$A$13:$K$19,VLOOKUP(AF$1,'ELA Reading Logic'!$J$22:$K$31,2,FALSE),FALSE)),"Set Grade")</f>
        <v>Set Grade</v>
      </c>
      <c r="AI11" s="96" t="str">
        <f>IF($E11="Yes","IPP",IFERROR(IF(AND(AF11&gt;AG11,AF11&lt;AH11),"0",(VLOOKUP(AF11,'ELA Reading Logic'!$A$22:$B$48,2,FALSE))-(IF(VLOOKUP(AF11,'ELA Reading Logic'!$A$22:$B$48,2,FALSE)&lt;=VLOOKUP(AG11,'ELA Reading Logic'!$A$22:$B$48,2,FALSE),VLOOKUP(AG11,'ELA Reading Logic'!$A$22:$B$48,2,FALSE),IF(VLOOKUP(AF11,'ELA Reading Logic'!$A$22:$B$48,2,FALSE)&gt;=VLOOKUP(AH11,'ELA Reading Logic'!$A$22:$B$48,2,FALSE),VLOOKUP(AH11,'ELA Reading Logic'!$A$22:$B$48,2,FALSE),"No Score")))),"No Value"))</f>
        <v>No Value</v>
      </c>
      <c r="AJ11" s="96" t="str">
        <f>IFERROR(VLOOKUP(AF11,'ELA Reading Logic'!$A$22:$B$48,2,FALSE)-VLOOKUP($F11,'ELA Reading Logic'!$A$22:$B$48,2,FALSE),"No Value")</f>
        <v>No Value</v>
      </c>
      <c r="AK11" s="92"/>
      <c r="AL11" s="96" t="str">
        <f>IFERROR(IF($E11="Yes","IPP",VLOOKUP($J11,'ELA Reading Logic'!$A$3:$K$9,VLOOKUP(AK$1,'ELA Reading Logic'!$J$22:$K$31,2,FALSE),FALSE)),"Set Grade")</f>
        <v>Set Grade</v>
      </c>
      <c r="AM11" s="96" t="str">
        <f>IFERROR(IF($E11="Yes","IPP",VLOOKUP($J11,'ELA Reading Logic'!$A$13:$K$19,VLOOKUP(AK$1,'ELA Reading Logic'!$J$22:$K$31,2,FALSE),FALSE)),"Set Grade")</f>
        <v>Set Grade</v>
      </c>
      <c r="AN11" s="96" t="str">
        <f>IF($E11="Yes","IPP",IFERROR(IF(AND(AK11&gt;AL11,AK11&lt;AM11),"0",(VLOOKUP(AK11,'ELA Reading Logic'!$A$22:$B$48,2,FALSE))-(IF(VLOOKUP(AK11,'ELA Reading Logic'!$A$22:$B$48,2,FALSE)&lt;=VLOOKUP(AL11,'ELA Reading Logic'!$A$22:$B$48,2,FALSE),VLOOKUP(AL11,'ELA Reading Logic'!$A$22:$B$48,2,FALSE),IF(VLOOKUP(AK11,'ELA Reading Logic'!$A$22:$B$48,2,FALSE)&gt;=VLOOKUP(AM11,'ELA Reading Logic'!$A$22:$B$48,2,FALSE),VLOOKUP(AM11,'ELA Reading Logic'!$A$22:$B$48,2,FALSE),"No Score")))),"No Value"))</f>
        <v>No Value</v>
      </c>
      <c r="AO11" s="96" t="str">
        <f>IFERROR(VLOOKUP(AK11,'ELA Reading Logic'!$A$22:$B$48,2,FALSE)-VLOOKUP($F11,'ELA Reading Logic'!$A$22:$B$48,2,FALSE),"No Value")</f>
        <v>No Value</v>
      </c>
      <c r="AP11" s="92"/>
      <c r="AQ11" s="96" t="str">
        <f>IFERROR(IF($E11="Yes","IPP",VLOOKUP($J11,'ELA Reading Logic'!$A$3:$K$9,VLOOKUP(AP$1,'ELA Reading Logic'!$J$22:$K$31,2,FALSE),FALSE)),"Set Grade")</f>
        <v>Set Grade</v>
      </c>
      <c r="AR11" s="96" t="str">
        <f>IFERROR(IF($E11="Yes","IPP",VLOOKUP($J11,'ELA Reading Logic'!$A$13:$K$19,VLOOKUP(AP$1,'ELA Reading Logic'!$J$22:$K$31,2,FALSE),FALSE)),"Set Grade")</f>
        <v>Set Grade</v>
      </c>
      <c r="AS11" s="96" t="str">
        <f>IF($E11="Yes","IPP",IFERROR(IF(AND(AP11&gt;AQ11,AP11&lt;AR11),"0",(VLOOKUP(AP11,'ELA Reading Logic'!$A$22:$B$48,2,FALSE))-(IF(VLOOKUP(AP11,'ELA Reading Logic'!$A$22:$B$48,2,FALSE)&lt;=VLOOKUP(AQ11,'ELA Reading Logic'!$A$22:$B$48,2,FALSE),VLOOKUP(AQ11,'ELA Reading Logic'!$A$22:$B$48,2,FALSE),IF(VLOOKUP(AP11,'ELA Reading Logic'!$A$22:$B$48,2,FALSE)&gt;=VLOOKUP(AR11,'ELA Reading Logic'!$A$22:$B$48,2,FALSE),VLOOKUP(AR11,'ELA Reading Logic'!$A$22:$B$48,2,FALSE),"No Score")))),"No Value"))</f>
        <v>No Value</v>
      </c>
      <c r="AT11" s="96" t="str">
        <f>IFERROR(VLOOKUP(AP11,'ELA Reading Logic'!$A$22:$B$48,2,FALSE)-VLOOKUP($F11,'ELA Reading Logic'!$A$22:$B$48,2,FALSE),"No Value")</f>
        <v>No Value</v>
      </c>
    </row>
    <row r="12" spans="1:46" ht="22.5" customHeight="1" x14ac:dyDescent="0.25">
      <c r="A12" s="174"/>
      <c r="B12" s="174"/>
      <c r="C12" s="174"/>
      <c r="D12" s="174"/>
      <c r="E12" s="175"/>
      <c r="F12" s="175"/>
      <c r="G12" s="177" t="str">
        <f>IFERROR(IF($E12="Yes","IPP",VLOOKUP($J12,'ELA Reading Logic'!$A$3:$K$9,VLOOKUP("September",'ELA Reading Logic'!$J$22:$K$31,2,FALSE),FALSE)),"Set Grade")</f>
        <v>Set Grade</v>
      </c>
      <c r="H12" s="177" t="str">
        <f>IFERROR(IF($E12="Yes","IPP",VLOOKUP($J12,'ELA Reading Logic'!$A$13:$K$19,VLOOKUP("September",'ELA Reading Logic'!$J$22:$K$31,2,FALSE),FALSE)),"Set Grade")</f>
        <v>Set Grade</v>
      </c>
      <c r="I12" s="96" t="str">
        <f>IF($E12="Yes","IPP",IFERROR(IF(AND(F12&gt;G12,F12&lt;H12),"0",(VLOOKUP(F12,'ELA Reading Logic'!$A$22:$B$48,2,FALSE))-(IF(VLOOKUP(F12,'ELA Reading Logic'!$A$22:$B$48,2,FALSE)&lt;=VLOOKUP(G12,'ELA Reading Logic'!$A$22:$B$48,2,FALSE),VLOOKUP(G12,'ELA Reading Logic'!$A$22:$B$48,2,FALSE),IF(VLOOKUP(F12,'ELA Reading Logic'!$A$22:$B$48,2,FALSE)&gt;=VLOOKUP(H12,'ELA Reading Logic'!$A$22:$B$48,2,FALSE),VLOOKUP(H12,'ELA Reading Logic'!$A$22:$B$48,2,FALSE),"No Score")))),"No Value"))</f>
        <v>No Value</v>
      </c>
      <c r="J12" s="178"/>
      <c r="K12" s="96"/>
      <c r="L12" s="96"/>
      <c r="M12" s="96"/>
      <c r="N12" s="96"/>
      <c r="O12" s="96"/>
      <c r="P12" s="105"/>
      <c r="Q12" s="92"/>
      <c r="R12" s="96" t="str">
        <f>IFERROR(IF($E12="Yes","IPP",VLOOKUP($J12,'ELA Reading Logic'!$A$3:$K$9,VLOOKUP(Q$1,'ELA Reading Logic'!$J$22:$K$31,2,FALSE),FALSE)),"Set Grade")</f>
        <v>Set Grade</v>
      </c>
      <c r="S12" s="96" t="str">
        <f>IFERROR(IF($E12="Yes","IPP",VLOOKUP($J12,'ELA Reading Logic'!$A$13:$K$19,VLOOKUP(Q$1,'ELA Reading Logic'!$J$22:$K$31,2,FALSE),FALSE)),"Set Grade")</f>
        <v>Set Grade</v>
      </c>
      <c r="T12" s="96" t="str">
        <f>IF($E12="Yes","IPP",IFERROR(IF(AND(Q12&gt;R12,Q12&lt;S12),"0",(VLOOKUP(Q12,'ELA Reading Logic'!$A$22:$B$48,2,FALSE))-(IF(VLOOKUP(Q12,'ELA Reading Logic'!$A$22:$B$48,2,FALSE)&lt;=VLOOKUP(R12,'ELA Reading Logic'!$A$22:$B$48,2,FALSE),VLOOKUP(R12,'ELA Reading Logic'!$A$22:$B$48,2,FALSE),IF(VLOOKUP(Q12,'ELA Reading Logic'!$A$22:$B$48,2,FALSE)&gt;=VLOOKUP(S12,'ELA Reading Logic'!$A$22:$B$48,2,FALSE),VLOOKUP(S12,'ELA Reading Logic'!$A$22:$B$48,2,FALSE),"No Score")))),"No Value"))</f>
        <v>No Value</v>
      </c>
      <c r="U12" s="96" t="str">
        <f>IFERROR(VLOOKUP(Q12,'ELA Reading Logic'!$A$22:$B$48,2,FALSE)-VLOOKUP($F12,'ELA Reading Logic'!$A$22:$B$48,2,FALSE),"No Value")</f>
        <v>No Value</v>
      </c>
      <c r="V12" s="92"/>
      <c r="W12" s="96" t="str">
        <f>IFERROR(IF($E12="Yes","IPP",VLOOKUP($J12,'ELA Reading Logic'!$A$3:$K$9,VLOOKUP(V$1,'ELA Reading Logic'!$J$22:$K$31,2,FALSE),FALSE)),"Set Grade")</f>
        <v>Set Grade</v>
      </c>
      <c r="X12" s="96" t="str">
        <f>IFERROR(IF($E12="Yes","IPP",VLOOKUP($J12,'ELA Reading Logic'!$A$13:$K$19,VLOOKUP(V$1,'ELA Reading Logic'!$J$22:$K$31,2,FALSE),FALSE)),"Set Grade")</f>
        <v>Set Grade</v>
      </c>
      <c r="Y12" s="96" t="str">
        <f>IF($E12="Yes","IPP",IFERROR(IF(AND(V12&gt;W12,V12&lt;X12),"0",(VLOOKUP(V12,'ELA Reading Logic'!$A$22:$B$48,2,FALSE))-(IF(VLOOKUP(V12,'ELA Reading Logic'!$A$22:$B$48,2,FALSE)&lt;=VLOOKUP(W12,'ELA Reading Logic'!$A$22:$B$48,2,FALSE),VLOOKUP(W12,'ELA Reading Logic'!$A$22:$B$48,2,FALSE),IF(VLOOKUP(V12,'ELA Reading Logic'!$A$22:$B$48,2,FALSE)&gt;=VLOOKUP(X12,'ELA Reading Logic'!$A$22:$B$48,2,FALSE),VLOOKUP(X12,'ELA Reading Logic'!$A$22:$B$48,2,FALSE),"No Score")))),"No Value"))</f>
        <v>No Value</v>
      </c>
      <c r="Z12" s="96" t="str">
        <f>IFERROR(VLOOKUP(V12,'ELA Reading Logic'!$A$22:$B$48,2,FALSE)-VLOOKUP($F12,'ELA Reading Logic'!$A$22:$B$48,2,FALSE),"No Value")</f>
        <v>No Value</v>
      </c>
      <c r="AA12" s="92"/>
      <c r="AB12" s="96" t="str">
        <f>IFERROR(IF($E12="Yes","IPP",VLOOKUP($J12,'ELA Reading Logic'!$A$3:$K$9,VLOOKUP(AA$1,'ELA Reading Logic'!$J$22:$K$31,2,FALSE),FALSE)),"Set Grade")</f>
        <v>Set Grade</v>
      </c>
      <c r="AC12" s="96" t="str">
        <f>IFERROR(IF($E12="Yes","IPP",VLOOKUP($J12,'ELA Reading Logic'!$A$13:$K$19,VLOOKUP(AA$1,'ELA Reading Logic'!$J$22:$K$31,2,FALSE),FALSE)),"Set Grade")</f>
        <v>Set Grade</v>
      </c>
      <c r="AD12" s="96" t="str">
        <f>IF($E12="Yes","IPP",IFERROR(IF(AND(AA12&gt;AB12,AA12&lt;AC12),"0",(VLOOKUP(AA12,'ELA Reading Logic'!$A$22:$B$48,2,FALSE))-(IF(VLOOKUP(AA12,'ELA Reading Logic'!$A$22:$B$48,2,FALSE)&lt;=VLOOKUP(AB12,'ELA Reading Logic'!$A$22:$B$48,2,FALSE),VLOOKUP(AB12,'ELA Reading Logic'!$A$22:$B$48,2,FALSE),IF(VLOOKUP(AA12,'ELA Reading Logic'!$A$22:$B$48,2,FALSE)&gt;=VLOOKUP(AC12,'ELA Reading Logic'!$A$22:$B$48,2,FALSE),VLOOKUP(AC12,'ELA Reading Logic'!$A$22:$B$48,2,FALSE),"No Score")))),"No Value"))</f>
        <v>No Value</v>
      </c>
      <c r="AE12" s="96" t="str">
        <f>IFERROR(VLOOKUP(AA12,'ELA Reading Logic'!$A$22:$B$48,2,FALSE)-VLOOKUP($F12,'ELA Reading Logic'!$A$22:$B$48,2,FALSE),"No Value")</f>
        <v>No Value</v>
      </c>
      <c r="AF12" s="92"/>
      <c r="AG12" s="96" t="str">
        <f>IFERROR(IF($E12="Yes","IPP",VLOOKUP($J12,'ELA Reading Logic'!$A$3:$K$9,VLOOKUP(AF$1,'ELA Reading Logic'!$J$22:$K$31,2,FALSE),FALSE)),"Set Grade")</f>
        <v>Set Grade</v>
      </c>
      <c r="AH12" s="96" t="str">
        <f>IFERROR(IF($E12="Yes","IPP",VLOOKUP($J12,'ELA Reading Logic'!$A$13:$K$19,VLOOKUP(AF$1,'ELA Reading Logic'!$J$22:$K$31,2,FALSE),FALSE)),"Set Grade")</f>
        <v>Set Grade</v>
      </c>
      <c r="AI12" s="96" t="str">
        <f>IF($E12="Yes","IPP",IFERROR(IF(AND(AF12&gt;AG12,AF12&lt;AH12),"0",(VLOOKUP(AF12,'ELA Reading Logic'!$A$22:$B$48,2,FALSE))-(IF(VLOOKUP(AF12,'ELA Reading Logic'!$A$22:$B$48,2,FALSE)&lt;=VLOOKUP(AG12,'ELA Reading Logic'!$A$22:$B$48,2,FALSE),VLOOKUP(AG12,'ELA Reading Logic'!$A$22:$B$48,2,FALSE),IF(VLOOKUP(AF12,'ELA Reading Logic'!$A$22:$B$48,2,FALSE)&gt;=VLOOKUP(AH12,'ELA Reading Logic'!$A$22:$B$48,2,FALSE),VLOOKUP(AH12,'ELA Reading Logic'!$A$22:$B$48,2,FALSE),"No Score")))),"No Value"))</f>
        <v>No Value</v>
      </c>
      <c r="AJ12" s="96" t="str">
        <f>IFERROR(VLOOKUP(AF12,'ELA Reading Logic'!$A$22:$B$48,2,FALSE)-VLOOKUP($F12,'ELA Reading Logic'!$A$22:$B$48,2,FALSE),"No Value")</f>
        <v>No Value</v>
      </c>
      <c r="AK12" s="92"/>
      <c r="AL12" s="96" t="str">
        <f>IFERROR(IF($E12="Yes","IPP",VLOOKUP($J12,'ELA Reading Logic'!$A$3:$K$9,VLOOKUP(AK$1,'ELA Reading Logic'!$J$22:$K$31,2,FALSE),FALSE)),"Set Grade")</f>
        <v>Set Grade</v>
      </c>
      <c r="AM12" s="96" t="str">
        <f>IFERROR(IF($E12="Yes","IPP",VLOOKUP($J12,'ELA Reading Logic'!$A$13:$K$19,VLOOKUP(AK$1,'ELA Reading Logic'!$J$22:$K$31,2,FALSE),FALSE)),"Set Grade")</f>
        <v>Set Grade</v>
      </c>
      <c r="AN12" s="96" t="str">
        <f>IF($E12="Yes","IPP",IFERROR(IF(AND(AK12&gt;AL12,AK12&lt;AM12),"0",(VLOOKUP(AK12,'ELA Reading Logic'!$A$22:$B$48,2,FALSE))-(IF(VLOOKUP(AK12,'ELA Reading Logic'!$A$22:$B$48,2,FALSE)&lt;=VLOOKUP(AL12,'ELA Reading Logic'!$A$22:$B$48,2,FALSE),VLOOKUP(AL12,'ELA Reading Logic'!$A$22:$B$48,2,FALSE),IF(VLOOKUP(AK12,'ELA Reading Logic'!$A$22:$B$48,2,FALSE)&gt;=VLOOKUP(AM12,'ELA Reading Logic'!$A$22:$B$48,2,FALSE),VLOOKUP(AM12,'ELA Reading Logic'!$A$22:$B$48,2,FALSE),"No Score")))),"No Value"))</f>
        <v>No Value</v>
      </c>
      <c r="AO12" s="96" t="str">
        <f>IFERROR(VLOOKUP(AK12,'ELA Reading Logic'!$A$22:$B$48,2,FALSE)-VLOOKUP($F12,'ELA Reading Logic'!$A$22:$B$48,2,FALSE),"No Value")</f>
        <v>No Value</v>
      </c>
      <c r="AP12" s="92"/>
      <c r="AQ12" s="96" t="str">
        <f>IFERROR(IF($E12="Yes","IPP",VLOOKUP($J12,'ELA Reading Logic'!$A$3:$K$9,VLOOKUP(AP$1,'ELA Reading Logic'!$J$22:$K$31,2,FALSE),FALSE)),"Set Grade")</f>
        <v>Set Grade</v>
      </c>
      <c r="AR12" s="96" t="str">
        <f>IFERROR(IF($E12="Yes","IPP",VLOOKUP($J12,'ELA Reading Logic'!$A$13:$K$19,VLOOKUP(AP$1,'ELA Reading Logic'!$J$22:$K$31,2,FALSE),FALSE)),"Set Grade")</f>
        <v>Set Grade</v>
      </c>
      <c r="AS12" s="96" t="str">
        <f>IF($E12="Yes","IPP",IFERROR(IF(AND(AP12&gt;AQ12,AP12&lt;AR12),"0",(VLOOKUP(AP12,'ELA Reading Logic'!$A$22:$B$48,2,FALSE))-(IF(VLOOKUP(AP12,'ELA Reading Logic'!$A$22:$B$48,2,FALSE)&lt;=VLOOKUP(AQ12,'ELA Reading Logic'!$A$22:$B$48,2,FALSE),VLOOKUP(AQ12,'ELA Reading Logic'!$A$22:$B$48,2,FALSE),IF(VLOOKUP(AP12,'ELA Reading Logic'!$A$22:$B$48,2,FALSE)&gt;=VLOOKUP(AR12,'ELA Reading Logic'!$A$22:$B$48,2,FALSE),VLOOKUP(AR12,'ELA Reading Logic'!$A$22:$B$48,2,FALSE),"No Score")))),"No Value"))</f>
        <v>No Value</v>
      </c>
      <c r="AT12" s="96" t="str">
        <f>IFERROR(VLOOKUP(AP12,'ELA Reading Logic'!$A$22:$B$48,2,FALSE)-VLOOKUP($F12,'ELA Reading Logic'!$A$22:$B$48,2,FALSE),"No Value")</f>
        <v>No Value</v>
      </c>
    </row>
    <row r="13" spans="1:46" ht="22.5" customHeight="1" x14ac:dyDescent="0.25">
      <c r="A13" s="176"/>
      <c r="B13" s="176"/>
      <c r="C13" s="176"/>
      <c r="D13" s="176"/>
      <c r="E13" s="175"/>
      <c r="F13" s="175"/>
      <c r="G13" s="177" t="str">
        <f>IFERROR(IF($E13="Yes","IPP",VLOOKUP($J13,'ELA Reading Logic'!$A$3:$K$9,VLOOKUP("September",'ELA Reading Logic'!$J$22:$K$31,2,FALSE),FALSE)),"Set Grade")</f>
        <v>Set Grade</v>
      </c>
      <c r="H13" s="177" t="str">
        <f>IFERROR(IF($E13="Yes","IPP",VLOOKUP($J13,'ELA Reading Logic'!$A$13:$K$19,VLOOKUP("September",'ELA Reading Logic'!$J$22:$K$31,2,FALSE),FALSE)),"Set Grade")</f>
        <v>Set Grade</v>
      </c>
      <c r="I13" s="96" t="str">
        <f>IF($E13="Yes","IPP",IFERROR(IF(AND(F13&gt;G13,F13&lt;H13),"0",(VLOOKUP(F13,'ELA Reading Logic'!$A$22:$B$48,2,FALSE))-(IF(VLOOKUP(F13,'ELA Reading Logic'!$A$22:$B$48,2,FALSE)&lt;=VLOOKUP(G13,'ELA Reading Logic'!$A$22:$B$48,2,FALSE),VLOOKUP(G13,'ELA Reading Logic'!$A$22:$B$48,2,FALSE),IF(VLOOKUP(F13,'ELA Reading Logic'!$A$22:$B$48,2,FALSE)&gt;=VLOOKUP(H13,'ELA Reading Logic'!$A$22:$B$48,2,FALSE),VLOOKUP(H13,'ELA Reading Logic'!$A$22:$B$48,2,FALSE),"No Score")))),"No Value"))</f>
        <v>No Value</v>
      </c>
      <c r="J13" s="178"/>
      <c r="K13" s="96"/>
      <c r="L13" s="96"/>
      <c r="M13" s="96"/>
      <c r="N13" s="96"/>
      <c r="O13" s="96"/>
      <c r="P13" s="105"/>
      <c r="Q13" s="92"/>
      <c r="R13" s="96" t="str">
        <f>IFERROR(IF($E13="Yes","IPP",VLOOKUP($J13,'ELA Reading Logic'!$A$3:$K$9,VLOOKUP(Q$1,'ELA Reading Logic'!$J$22:$K$31,2,FALSE),FALSE)),"Set Grade")</f>
        <v>Set Grade</v>
      </c>
      <c r="S13" s="96" t="str">
        <f>IFERROR(IF($E13="Yes","IPP",VLOOKUP($J13,'ELA Reading Logic'!$A$13:$K$19,VLOOKUP(Q$1,'ELA Reading Logic'!$J$22:$K$31,2,FALSE),FALSE)),"Set Grade")</f>
        <v>Set Grade</v>
      </c>
      <c r="T13" s="96" t="str">
        <f>IF($E13="Yes","IPP",IFERROR(IF(AND(Q13&gt;R13,Q13&lt;S13),"0",(VLOOKUP(Q13,'ELA Reading Logic'!$A$22:$B$48,2,FALSE))-(IF(VLOOKUP(Q13,'ELA Reading Logic'!$A$22:$B$48,2,FALSE)&lt;=VLOOKUP(R13,'ELA Reading Logic'!$A$22:$B$48,2,FALSE),VLOOKUP(R13,'ELA Reading Logic'!$A$22:$B$48,2,FALSE),IF(VLOOKUP(Q13,'ELA Reading Logic'!$A$22:$B$48,2,FALSE)&gt;=VLOOKUP(S13,'ELA Reading Logic'!$A$22:$B$48,2,FALSE),VLOOKUP(S13,'ELA Reading Logic'!$A$22:$B$48,2,FALSE),"No Score")))),"No Value"))</f>
        <v>No Value</v>
      </c>
      <c r="U13" s="96" t="str">
        <f>IFERROR(VLOOKUP(Q13,'ELA Reading Logic'!$A$22:$B$48,2,FALSE)-VLOOKUP($F13,'ELA Reading Logic'!$A$22:$B$48,2,FALSE),"No Value")</f>
        <v>No Value</v>
      </c>
      <c r="V13" s="92"/>
      <c r="W13" s="96" t="str">
        <f>IFERROR(IF($E13="Yes","IPP",VLOOKUP($J13,'ELA Reading Logic'!$A$3:$K$9,VLOOKUP(V$1,'ELA Reading Logic'!$J$22:$K$31,2,FALSE),FALSE)),"Set Grade")</f>
        <v>Set Grade</v>
      </c>
      <c r="X13" s="96" t="str">
        <f>IFERROR(IF($E13="Yes","IPP",VLOOKUP($J13,'ELA Reading Logic'!$A$13:$K$19,VLOOKUP(V$1,'ELA Reading Logic'!$J$22:$K$31,2,FALSE),FALSE)),"Set Grade")</f>
        <v>Set Grade</v>
      </c>
      <c r="Y13" s="96" t="str">
        <f>IF($E13="Yes","IPP",IFERROR(IF(AND(V13&gt;W13,V13&lt;X13),"0",(VLOOKUP(V13,'ELA Reading Logic'!$A$22:$B$48,2,FALSE))-(IF(VLOOKUP(V13,'ELA Reading Logic'!$A$22:$B$48,2,FALSE)&lt;=VLOOKUP(W13,'ELA Reading Logic'!$A$22:$B$48,2,FALSE),VLOOKUP(W13,'ELA Reading Logic'!$A$22:$B$48,2,FALSE),IF(VLOOKUP(V13,'ELA Reading Logic'!$A$22:$B$48,2,FALSE)&gt;=VLOOKUP(X13,'ELA Reading Logic'!$A$22:$B$48,2,FALSE),VLOOKUP(X13,'ELA Reading Logic'!$A$22:$B$48,2,FALSE),"No Score")))),"No Value"))</f>
        <v>No Value</v>
      </c>
      <c r="Z13" s="96" t="str">
        <f>IFERROR(VLOOKUP(V13,'ELA Reading Logic'!$A$22:$B$48,2,FALSE)-VLOOKUP($F13,'ELA Reading Logic'!$A$22:$B$48,2,FALSE),"No Value")</f>
        <v>No Value</v>
      </c>
      <c r="AA13" s="92"/>
      <c r="AB13" s="96" t="str">
        <f>IFERROR(IF($E13="Yes","IPP",VLOOKUP($J13,'ELA Reading Logic'!$A$3:$K$9,VLOOKUP(AA$1,'ELA Reading Logic'!$J$22:$K$31,2,FALSE),FALSE)),"Set Grade")</f>
        <v>Set Grade</v>
      </c>
      <c r="AC13" s="96" t="str">
        <f>IFERROR(IF($E13="Yes","IPP",VLOOKUP($J13,'ELA Reading Logic'!$A$13:$K$19,VLOOKUP(AA$1,'ELA Reading Logic'!$J$22:$K$31,2,FALSE),FALSE)),"Set Grade")</f>
        <v>Set Grade</v>
      </c>
      <c r="AD13" s="96" t="str">
        <f>IF($E13="Yes","IPP",IFERROR(IF(AND(AA13&gt;AB13,AA13&lt;AC13),"0",(VLOOKUP(AA13,'ELA Reading Logic'!$A$22:$B$48,2,FALSE))-(IF(VLOOKUP(AA13,'ELA Reading Logic'!$A$22:$B$48,2,FALSE)&lt;=VLOOKUP(AB13,'ELA Reading Logic'!$A$22:$B$48,2,FALSE),VLOOKUP(AB13,'ELA Reading Logic'!$A$22:$B$48,2,FALSE),IF(VLOOKUP(AA13,'ELA Reading Logic'!$A$22:$B$48,2,FALSE)&gt;=VLOOKUP(AC13,'ELA Reading Logic'!$A$22:$B$48,2,FALSE),VLOOKUP(AC13,'ELA Reading Logic'!$A$22:$B$48,2,FALSE),"No Score")))),"No Value"))</f>
        <v>No Value</v>
      </c>
      <c r="AE13" s="96" t="str">
        <f>IFERROR(VLOOKUP(AA13,'ELA Reading Logic'!$A$22:$B$48,2,FALSE)-VLOOKUP($F13,'ELA Reading Logic'!$A$22:$B$48,2,FALSE),"No Value")</f>
        <v>No Value</v>
      </c>
      <c r="AF13" s="92"/>
      <c r="AG13" s="96" t="str">
        <f>IFERROR(IF($E13="Yes","IPP",VLOOKUP($J13,'ELA Reading Logic'!$A$3:$K$9,VLOOKUP(AF$1,'ELA Reading Logic'!$J$22:$K$31,2,FALSE),FALSE)),"Set Grade")</f>
        <v>Set Grade</v>
      </c>
      <c r="AH13" s="96" t="str">
        <f>IFERROR(IF($E13="Yes","IPP",VLOOKUP($J13,'ELA Reading Logic'!$A$13:$K$19,VLOOKUP(AF$1,'ELA Reading Logic'!$J$22:$K$31,2,FALSE),FALSE)),"Set Grade")</f>
        <v>Set Grade</v>
      </c>
      <c r="AI13" s="96" t="str">
        <f>IF($E13="Yes","IPP",IFERROR(IF(AND(AF13&gt;AG13,AF13&lt;AH13),"0",(VLOOKUP(AF13,'ELA Reading Logic'!$A$22:$B$48,2,FALSE))-(IF(VLOOKUP(AF13,'ELA Reading Logic'!$A$22:$B$48,2,FALSE)&lt;=VLOOKUP(AG13,'ELA Reading Logic'!$A$22:$B$48,2,FALSE),VLOOKUP(AG13,'ELA Reading Logic'!$A$22:$B$48,2,FALSE),IF(VLOOKUP(AF13,'ELA Reading Logic'!$A$22:$B$48,2,FALSE)&gt;=VLOOKUP(AH13,'ELA Reading Logic'!$A$22:$B$48,2,FALSE),VLOOKUP(AH13,'ELA Reading Logic'!$A$22:$B$48,2,FALSE),"No Score")))),"No Value"))</f>
        <v>No Value</v>
      </c>
      <c r="AJ13" s="96" t="str">
        <f>IFERROR(VLOOKUP(AF13,'ELA Reading Logic'!$A$22:$B$48,2,FALSE)-VLOOKUP($F13,'ELA Reading Logic'!$A$22:$B$48,2,FALSE),"No Value")</f>
        <v>No Value</v>
      </c>
      <c r="AK13" s="92"/>
      <c r="AL13" s="96" t="str">
        <f>IFERROR(IF($E13="Yes","IPP",VLOOKUP($J13,'ELA Reading Logic'!$A$3:$K$9,VLOOKUP(AK$1,'ELA Reading Logic'!$J$22:$K$31,2,FALSE),FALSE)),"Set Grade")</f>
        <v>Set Grade</v>
      </c>
      <c r="AM13" s="96" t="str">
        <f>IFERROR(IF($E13="Yes","IPP",VLOOKUP($J13,'ELA Reading Logic'!$A$13:$K$19,VLOOKUP(AK$1,'ELA Reading Logic'!$J$22:$K$31,2,FALSE),FALSE)),"Set Grade")</f>
        <v>Set Grade</v>
      </c>
      <c r="AN13" s="96" t="str">
        <f>IF($E13="Yes","IPP",IFERROR(IF(AND(AK13&gt;AL13,AK13&lt;AM13),"0",(VLOOKUP(AK13,'ELA Reading Logic'!$A$22:$B$48,2,FALSE))-(IF(VLOOKUP(AK13,'ELA Reading Logic'!$A$22:$B$48,2,FALSE)&lt;=VLOOKUP(AL13,'ELA Reading Logic'!$A$22:$B$48,2,FALSE),VLOOKUP(AL13,'ELA Reading Logic'!$A$22:$B$48,2,FALSE),IF(VLOOKUP(AK13,'ELA Reading Logic'!$A$22:$B$48,2,FALSE)&gt;=VLOOKUP(AM13,'ELA Reading Logic'!$A$22:$B$48,2,FALSE),VLOOKUP(AM13,'ELA Reading Logic'!$A$22:$B$48,2,FALSE),"No Score")))),"No Value"))</f>
        <v>No Value</v>
      </c>
      <c r="AO13" s="96" t="str">
        <f>IFERROR(VLOOKUP(AK13,'ELA Reading Logic'!$A$22:$B$48,2,FALSE)-VLOOKUP($F13,'ELA Reading Logic'!$A$22:$B$48,2,FALSE),"No Value")</f>
        <v>No Value</v>
      </c>
      <c r="AP13" s="92"/>
      <c r="AQ13" s="96" t="str">
        <f>IFERROR(IF($E13="Yes","IPP",VLOOKUP($J13,'ELA Reading Logic'!$A$3:$K$9,VLOOKUP(AP$1,'ELA Reading Logic'!$J$22:$K$31,2,FALSE),FALSE)),"Set Grade")</f>
        <v>Set Grade</v>
      </c>
      <c r="AR13" s="96" t="str">
        <f>IFERROR(IF($E13="Yes","IPP",VLOOKUP($J13,'ELA Reading Logic'!$A$13:$K$19,VLOOKUP(AP$1,'ELA Reading Logic'!$J$22:$K$31,2,FALSE),FALSE)),"Set Grade")</f>
        <v>Set Grade</v>
      </c>
      <c r="AS13" s="96" t="str">
        <f>IF($E13="Yes","IPP",IFERROR(IF(AND(AP13&gt;AQ13,AP13&lt;AR13),"0",(VLOOKUP(AP13,'ELA Reading Logic'!$A$22:$B$48,2,FALSE))-(IF(VLOOKUP(AP13,'ELA Reading Logic'!$A$22:$B$48,2,FALSE)&lt;=VLOOKUP(AQ13,'ELA Reading Logic'!$A$22:$B$48,2,FALSE),VLOOKUP(AQ13,'ELA Reading Logic'!$A$22:$B$48,2,FALSE),IF(VLOOKUP(AP13,'ELA Reading Logic'!$A$22:$B$48,2,FALSE)&gt;=VLOOKUP(AR13,'ELA Reading Logic'!$A$22:$B$48,2,FALSE),VLOOKUP(AR13,'ELA Reading Logic'!$A$22:$B$48,2,FALSE),"No Score")))),"No Value"))</f>
        <v>No Value</v>
      </c>
      <c r="AT13" s="96" t="str">
        <f>IFERROR(VLOOKUP(AP13,'ELA Reading Logic'!$A$22:$B$48,2,FALSE)-VLOOKUP($F13,'ELA Reading Logic'!$A$22:$B$48,2,FALSE),"No Value")</f>
        <v>No Value</v>
      </c>
    </row>
    <row r="14" spans="1:46" ht="22.5" customHeight="1" x14ac:dyDescent="0.25">
      <c r="A14" s="174"/>
      <c r="B14" s="174"/>
      <c r="C14" s="174"/>
      <c r="D14" s="174"/>
      <c r="E14" s="175"/>
      <c r="F14" s="175"/>
      <c r="G14" s="177" t="str">
        <f>IFERROR(IF($E14="Yes","IPP",VLOOKUP($J14,'ELA Reading Logic'!$A$3:$K$9,VLOOKUP("September",'ELA Reading Logic'!$J$22:$K$31,2,FALSE),FALSE)),"Set Grade")</f>
        <v>Set Grade</v>
      </c>
      <c r="H14" s="177" t="str">
        <f>IFERROR(IF($E14="Yes","IPP",VLOOKUP($J14,'ELA Reading Logic'!$A$13:$K$19,VLOOKUP("September",'ELA Reading Logic'!$J$22:$K$31,2,FALSE),FALSE)),"Set Grade")</f>
        <v>Set Grade</v>
      </c>
      <c r="I14" s="96" t="str">
        <f>IF($E14="Yes","IPP",IFERROR(IF(AND(F14&gt;G14,F14&lt;H14),"0",(VLOOKUP(F14,'ELA Reading Logic'!$A$22:$B$48,2,FALSE))-(IF(VLOOKUP(F14,'ELA Reading Logic'!$A$22:$B$48,2,FALSE)&lt;=VLOOKUP(G14,'ELA Reading Logic'!$A$22:$B$48,2,FALSE),VLOOKUP(G14,'ELA Reading Logic'!$A$22:$B$48,2,FALSE),IF(VLOOKUP(F14,'ELA Reading Logic'!$A$22:$B$48,2,FALSE)&gt;=VLOOKUP(H14,'ELA Reading Logic'!$A$22:$B$48,2,FALSE),VLOOKUP(H14,'ELA Reading Logic'!$A$22:$B$48,2,FALSE),"No Score")))),"No Value"))</f>
        <v>No Value</v>
      </c>
      <c r="J14" s="178"/>
      <c r="K14" s="96"/>
      <c r="L14" s="96"/>
      <c r="M14" s="96"/>
      <c r="N14" s="96"/>
      <c r="O14" s="96"/>
      <c r="P14" s="105"/>
      <c r="Q14" s="92"/>
      <c r="R14" s="96" t="str">
        <f>IFERROR(IF($E14="Yes","IPP",VLOOKUP($J14,'ELA Reading Logic'!$A$3:$K$9,VLOOKUP(Q$1,'ELA Reading Logic'!$J$22:$K$31,2,FALSE),FALSE)),"Set Grade")</f>
        <v>Set Grade</v>
      </c>
      <c r="S14" s="96" t="str">
        <f>IFERROR(IF($E14="Yes","IPP",VLOOKUP($J14,'ELA Reading Logic'!$A$13:$K$19,VLOOKUP(Q$1,'ELA Reading Logic'!$J$22:$K$31,2,FALSE),FALSE)),"Set Grade")</f>
        <v>Set Grade</v>
      </c>
      <c r="T14" s="96" t="str">
        <f>IF($E14="Yes","IPP",IFERROR(IF(AND(Q14&gt;R14,Q14&lt;S14),"0",(VLOOKUP(Q14,'ELA Reading Logic'!$A$22:$B$48,2,FALSE))-(IF(VLOOKUP(Q14,'ELA Reading Logic'!$A$22:$B$48,2,FALSE)&lt;=VLOOKUP(R14,'ELA Reading Logic'!$A$22:$B$48,2,FALSE),VLOOKUP(R14,'ELA Reading Logic'!$A$22:$B$48,2,FALSE),IF(VLOOKUP(Q14,'ELA Reading Logic'!$A$22:$B$48,2,FALSE)&gt;=VLOOKUP(S14,'ELA Reading Logic'!$A$22:$B$48,2,FALSE),VLOOKUP(S14,'ELA Reading Logic'!$A$22:$B$48,2,FALSE),"No Score")))),"No Value"))</f>
        <v>No Value</v>
      </c>
      <c r="U14" s="96" t="str">
        <f>IFERROR(VLOOKUP(Q14,'ELA Reading Logic'!$A$22:$B$48,2,FALSE)-VLOOKUP($F14,'ELA Reading Logic'!$A$22:$B$48,2,FALSE),"No Value")</f>
        <v>No Value</v>
      </c>
      <c r="V14" s="92"/>
      <c r="W14" s="96" t="str">
        <f>IFERROR(IF($E14="Yes","IPP",VLOOKUP($J14,'ELA Reading Logic'!$A$3:$K$9,VLOOKUP(V$1,'ELA Reading Logic'!$J$22:$K$31,2,FALSE),FALSE)),"Set Grade")</f>
        <v>Set Grade</v>
      </c>
      <c r="X14" s="96" t="str">
        <f>IFERROR(IF($E14="Yes","IPP",VLOOKUP($J14,'ELA Reading Logic'!$A$13:$K$19,VLOOKUP(V$1,'ELA Reading Logic'!$J$22:$K$31,2,FALSE),FALSE)),"Set Grade")</f>
        <v>Set Grade</v>
      </c>
      <c r="Y14" s="96" t="str">
        <f>IF($E14="Yes","IPP",IFERROR(IF(AND(V14&gt;W14,V14&lt;X14),"0",(VLOOKUP(V14,'ELA Reading Logic'!$A$22:$B$48,2,FALSE))-(IF(VLOOKUP(V14,'ELA Reading Logic'!$A$22:$B$48,2,FALSE)&lt;=VLOOKUP(W14,'ELA Reading Logic'!$A$22:$B$48,2,FALSE),VLOOKUP(W14,'ELA Reading Logic'!$A$22:$B$48,2,FALSE),IF(VLOOKUP(V14,'ELA Reading Logic'!$A$22:$B$48,2,FALSE)&gt;=VLOOKUP(X14,'ELA Reading Logic'!$A$22:$B$48,2,FALSE),VLOOKUP(X14,'ELA Reading Logic'!$A$22:$B$48,2,FALSE),"No Score")))),"No Value"))</f>
        <v>No Value</v>
      </c>
      <c r="Z14" s="96" t="str">
        <f>IFERROR(VLOOKUP(V14,'ELA Reading Logic'!$A$22:$B$48,2,FALSE)-VLOOKUP($F14,'ELA Reading Logic'!$A$22:$B$48,2,FALSE),"No Value")</f>
        <v>No Value</v>
      </c>
      <c r="AA14" s="92"/>
      <c r="AB14" s="96" t="str">
        <f>IFERROR(IF($E14="Yes","IPP",VLOOKUP($J14,'ELA Reading Logic'!$A$3:$K$9,VLOOKUP(AA$1,'ELA Reading Logic'!$J$22:$K$31,2,FALSE),FALSE)),"Set Grade")</f>
        <v>Set Grade</v>
      </c>
      <c r="AC14" s="96" t="str">
        <f>IFERROR(IF($E14="Yes","IPP",VLOOKUP($J14,'ELA Reading Logic'!$A$13:$K$19,VLOOKUP(AA$1,'ELA Reading Logic'!$J$22:$K$31,2,FALSE),FALSE)),"Set Grade")</f>
        <v>Set Grade</v>
      </c>
      <c r="AD14" s="96" t="str">
        <f>IF($E14="Yes","IPP",IFERROR(IF(AND(AA14&gt;AB14,AA14&lt;AC14),"0",(VLOOKUP(AA14,'ELA Reading Logic'!$A$22:$B$48,2,FALSE))-(IF(VLOOKUP(AA14,'ELA Reading Logic'!$A$22:$B$48,2,FALSE)&lt;=VLOOKUP(AB14,'ELA Reading Logic'!$A$22:$B$48,2,FALSE),VLOOKUP(AB14,'ELA Reading Logic'!$A$22:$B$48,2,FALSE),IF(VLOOKUP(AA14,'ELA Reading Logic'!$A$22:$B$48,2,FALSE)&gt;=VLOOKUP(AC14,'ELA Reading Logic'!$A$22:$B$48,2,FALSE),VLOOKUP(AC14,'ELA Reading Logic'!$A$22:$B$48,2,FALSE),"No Score")))),"No Value"))</f>
        <v>No Value</v>
      </c>
      <c r="AE14" s="96" t="str">
        <f>IFERROR(VLOOKUP(AA14,'ELA Reading Logic'!$A$22:$B$48,2,FALSE)-VLOOKUP($F14,'ELA Reading Logic'!$A$22:$B$48,2,FALSE),"No Value")</f>
        <v>No Value</v>
      </c>
      <c r="AF14" s="92"/>
      <c r="AG14" s="96" t="str">
        <f>IFERROR(IF($E14="Yes","IPP",VLOOKUP($J14,'ELA Reading Logic'!$A$3:$K$9,VLOOKUP(AF$1,'ELA Reading Logic'!$J$22:$K$31,2,FALSE),FALSE)),"Set Grade")</f>
        <v>Set Grade</v>
      </c>
      <c r="AH14" s="96" t="str">
        <f>IFERROR(IF($E14="Yes","IPP",VLOOKUP($J14,'ELA Reading Logic'!$A$13:$K$19,VLOOKUP(AF$1,'ELA Reading Logic'!$J$22:$K$31,2,FALSE),FALSE)),"Set Grade")</f>
        <v>Set Grade</v>
      </c>
      <c r="AI14" s="96" t="str">
        <f>IF($E14="Yes","IPP",IFERROR(IF(AND(AF14&gt;AG14,AF14&lt;AH14),"0",(VLOOKUP(AF14,'ELA Reading Logic'!$A$22:$B$48,2,FALSE))-(IF(VLOOKUP(AF14,'ELA Reading Logic'!$A$22:$B$48,2,FALSE)&lt;=VLOOKUP(AG14,'ELA Reading Logic'!$A$22:$B$48,2,FALSE),VLOOKUP(AG14,'ELA Reading Logic'!$A$22:$B$48,2,FALSE),IF(VLOOKUP(AF14,'ELA Reading Logic'!$A$22:$B$48,2,FALSE)&gt;=VLOOKUP(AH14,'ELA Reading Logic'!$A$22:$B$48,2,FALSE),VLOOKUP(AH14,'ELA Reading Logic'!$A$22:$B$48,2,FALSE),"No Score")))),"No Value"))</f>
        <v>No Value</v>
      </c>
      <c r="AJ14" s="96" t="str">
        <f>IFERROR(VLOOKUP(AF14,'ELA Reading Logic'!$A$22:$B$48,2,FALSE)-VLOOKUP($F14,'ELA Reading Logic'!$A$22:$B$48,2,FALSE),"No Value")</f>
        <v>No Value</v>
      </c>
      <c r="AK14" s="92"/>
      <c r="AL14" s="96" t="str">
        <f>IFERROR(IF($E14="Yes","IPP",VLOOKUP($J14,'ELA Reading Logic'!$A$3:$K$9,VLOOKUP(AK$1,'ELA Reading Logic'!$J$22:$K$31,2,FALSE),FALSE)),"Set Grade")</f>
        <v>Set Grade</v>
      </c>
      <c r="AM14" s="96" t="str">
        <f>IFERROR(IF($E14="Yes","IPP",VLOOKUP($J14,'ELA Reading Logic'!$A$13:$K$19,VLOOKUP(AK$1,'ELA Reading Logic'!$J$22:$K$31,2,FALSE),FALSE)),"Set Grade")</f>
        <v>Set Grade</v>
      </c>
      <c r="AN14" s="96" t="str">
        <f>IF($E14="Yes","IPP",IFERROR(IF(AND(AK14&gt;AL14,AK14&lt;AM14),"0",(VLOOKUP(AK14,'ELA Reading Logic'!$A$22:$B$48,2,FALSE))-(IF(VLOOKUP(AK14,'ELA Reading Logic'!$A$22:$B$48,2,FALSE)&lt;=VLOOKUP(AL14,'ELA Reading Logic'!$A$22:$B$48,2,FALSE),VLOOKUP(AL14,'ELA Reading Logic'!$A$22:$B$48,2,FALSE),IF(VLOOKUP(AK14,'ELA Reading Logic'!$A$22:$B$48,2,FALSE)&gt;=VLOOKUP(AM14,'ELA Reading Logic'!$A$22:$B$48,2,FALSE),VLOOKUP(AM14,'ELA Reading Logic'!$A$22:$B$48,2,FALSE),"No Score")))),"No Value"))</f>
        <v>No Value</v>
      </c>
      <c r="AO14" s="96" t="str">
        <f>IFERROR(VLOOKUP(AK14,'ELA Reading Logic'!$A$22:$B$48,2,FALSE)-VLOOKUP($F14,'ELA Reading Logic'!$A$22:$B$48,2,FALSE),"No Value")</f>
        <v>No Value</v>
      </c>
      <c r="AP14" s="92"/>
      <c r="AQ14" s="96" t="str">
        <f>IFERROR(IF($E14="Yes","IPP",VLOOKUP($J14,'ELA Reading Logic'!$A$3:$K$9,VLOOKUP(AP$1,'ELA Reading Logic'!$J$22:$K$31,2,FALSE),FALSE)),"Set Grade")</f>
        <v>Set Grade</v>
      </c>
      <c r="AR14" s="96" t="str">
        <f>IFERROR(IF($E14="Yes","IPP",VLOOKUP($J14,'ELA Reading Logic'!$A$13:$K$19,VLOOKUP(AP$1,'ELA Reading Logic'!$J$22:$K$31,2,FALSE),FALSE)),"Set Grade")</f>
        <v>Set Grade</v>
      </c>
      <c r="AS14" s="96" t="str">
        <f>IF($E14="Yes","IPP",IFERROR(IF(AND(AP14&gt;AQ14,AP14&lt;AR14),"0",(VLOOKUP(AP14,'ELA Reading Logic'!$A$22:$B$48,2,FALSE))-(IF(VLOOKUP(AP14,'ELA Reading Logic'!$A$22:$B$48,2,FALSE)&lt;=VLOOKUP(AQ14,'ELA Reading Logic'!$A$22:$B$48,2,FALSE),VLOOKUP(AQ14,'ELA Reading Logic'!$A$22:$B$48,2,FALSE),IF(VLOOKUP(AP14,'ELA Reading Logic'!$A$22:$B$48,2,FALSE)&gt;=VLOOKUP(AR14,'ELA Reading Logic'!$A$22:$B$48,2,FALSE),VLOOKUP(AR14,'ELA Reading Logic'!$A$22:$B$48,2,FALSE),"No Score")))),"No Value"))</f>
        <v>No Value</v>
      </c>
      <c r="AT14" s="96" t="str">
        <f>IFERROR(VLOOKUP(AP14,'ELA Reading Logic'!$A$22:$B$48,2,FALSE)-VLOOKUP($F14,'ELA Reading Logic'!$A$22:$B$48,2,FALSE),"No Value")</f>
        <v>No Value</v>
      </c>
    </row>
    <row r="15" spans="1:46" ht="22.5" customHeight="1" x14ac:dyDescent="0.25">
      <c r="A15" s="176"/>
      <c r="B15" s="176"/>
      <c r="C15" s="176"/>
      <c r="D15" s="176"/>
      <c r="E15" s="175"/>
      <c r="F15" s="175"/>
      <c r="G15" s="177" t="str">
        <f>IFERROR(IF($E15="Yes","IPP",VLOOKUP($J15,'ELA Reading Logic'!$A$3:$K$9,VLOOKUP("September",'ELA Reading Logic'!$J$22:$K$31,2,FALSE),FALSE)),"Set Grade")</f>
        <v>Set Grade</v>
      </c>
      <c r="H15" s="177" t="str">
        <f>IFERROR(IF($E15="Yes","IPP",VLOOKUP($J15,'ELA Reading Logic'!$A$13:$K$19,VLOOKUP("September",'ELA Reading Logic'!$J$22:$K$31,2,FALSE),FALSE)),"Set Grade")</f>
        <v>Set Grade</v>
      </c>
      <c r="I15" s="96" t="str">
        <f>IF($E15="Yes","IPP",IFERROR(IF(AND(F15&gt;G15,F15&lt;H15),"0",(VLOOKUP(F15,'ELA Reading Logic'!$A$22:$B$48,2,FALSE))-(IF(VLOOKUP(F15,'ELA Reading Logic'!$A$22:$B$48,2,FALSE)&lt;=VLOOKUP(G15,'ELA Reading Logic'!$A$22:$B$48,2,FALSE),VLOOKUP(G15,'ELA Reading Logic'!$A$22:$B$48,2,FALSE),IF(VLOOKUP(F15,'ELA Reading Logic'!$A$22:$B$48,2,FALSE)&gt;=VLOOKUP(H15,'ELA Reading Logic'!$A$22:$B$48,2,FALSE),VLOOKUP(H15,'ELA Reading Logic'!$A$22:$B$48,2,FALSE),"No Score")))),"No Value"))</f>
        <v>No Value</v>
      </c>
      <c r="J15" s="178"/>
      <c r="K15" s="96"/>
      <c r="L15" s="96"/>
      <c r="M15" s="96"/>
      <c r="N15" s="96"/>
      <c r="O15" s="96"/>
      <c r="P15" s="105"/>
      <c r="Q15" s="92"/>
      <c r="R15" s="96" t="str">
        <f>IFERROR(IF($E15="Yes","IPP",VLOOKUP($J15,'ELA Reading Logic'!$A$3:$K$9,VLOOKUP(Q$1,'ELA Reading Logic'!$J$22:$K$31,2,FALSE),FALSE)),"Set Grade")</f>
        <v>Set Grade</v>
      </c>
      <c r="S15" s="96" t="str">
        <f>IFERROR(IF($E15="Yes","IPP",VLOOKUP($J15,'ELA Reading Logic'!$A$13:$K$19,VLOOKUP(Q$1,'ELA Reading Logic'!$J$22:$K$31,2,FALSE),FALSE)),"Set Grade")</f>
        <v>Set Grade</v>
      </c>
      <c r="T15" s="96" t="str">
        <f>IF($E15="Yes","IPP",IFERROR(IF(AND(Q15&gt;R15,Q15&lt;S15),"0",(VLOOKUP(Q15,'ELA Reading Logic'!$A$22:$B$48,2,FALSE))-(IF(VLOOKUP(Q15,'ELA Reading Logic'!$A$22:$B$48,2,FALSE)&lt;=VLOOKUP(R15,'ELA Reading Logic'!$A$22:$B$48,2,FALSE),VLOOKUP(R15,'ELA Reading Logic'!$A$22:$B$48,2,FALSE),IF(VLOOKUP(Q15,'ELA Reading Logic'!$A$22:$B$48,2,FALSE)&gt;=VLOOKUP(S15,'ELA Reading Logic'!$A$22:$B$48,2,FALSE),VLOOKUP(S15,'ELA Reading Logic'!$A$22:$B$48,2,FALSE),"No Score")))),"No Value"))</f>
        <v>No Value</v>
      </c>
      <c r="U15" s="96" t="str">
        <f>IFERROR(VLOOKUP(Q15,'ELA Reading Logic'!$A$22:$B$48,2,FALSE)-VLOOKUP($F15,'ELA Reading Logic'!$A$22:$B$48,2,FALSE),"No Value")</f>
        <v>No Value</v>
      </c>
      <c r="V15" s="92"/>
      <c r="W15" s="96" t="str">
        <f>IFERROR(IF($E15="Yes","IPP",VLOOKUP($J15,'ELA Reading Logic'!$A$3:$K$9,VLOOKUP(V$1,'ELA Reading Logic'!$J$22:$K$31,2,FALSE),FALSE)),"Set Grade")</f>
        <v>Set Grade</v>
      </c>
      <c r="X15" s="96" t="str">
        <f>IFERROR(IF($E15="Yes","IPP",VLOOKUP($J15,'ELA Reading Logic'!$A$13:$K$19,VLOOKUP(V$1,'ELA Reading Logic'!$J$22:$K$31,2,FALSE),FALSE)),"Set Grade")</f>
        <v>Set Grade</v>
      </c>
      <c r="Y15" s="96" t="str">
        <f>IF($E15="Yes","IPP",IFERROR(IF(AND(V15&gt;W15,V15&lt;X15),"0",(VLOOKUP(V15,'ELA Reading Logic'!$A$22:$B$48,2,FALSE))-(IF(VLOOKUP(V15,'ELA Reading Logic'!$A$22:$B$48,2,FALSE)&lt;=VLOOKUP(W15,'ELA Reading Logic'!$A$22:$B$48,2,FALSE),VLOOKUP(W15,'ELA Reading Logic'!$A$22:$B$48,2,FALSE),IF(VLOOKUP(V15,'ELA Reading Logic'!$A$22:$B$48,2,FALSE)&gt;=VLOOKUP(X15,'ELA Reading Logic'!$A$22:$B$48,2,FALSE),VLOOKUP(X15,'ELA Reading Logic'!$A$22:$B$48,2,FALSE),"No Score")))),"No Value"))</f>
        <v>No Value</v>
      </c>
      <c r="Z15" s="96" t="str">
        <f>IFERROR(VLOOKUP(V15,'ELA Reading Logic'!$A$22:$B$48,2,FALSE)-VLOOKUP($F15,'ELA Reading Logic'!$A$22:$B$48,2,FALSE),"No Value")</f>
        <v>No Value</v>
      </c>
      <c r="AA15" s="92"/>
      <c r="AB15" s="96" t="str">
        <f>IFERROR(IF($E15="Yes","IPP",VLOOKUP($J15,'ELA Reading Logic'!$A$3:$K$9,VLOOKUP(AA$1,'ELA Reading Logic'!$J$22:$K$31,2,FALSE),FALSE)),"Set Grade")</f>
        <v>Set Grade</v>
      </c>
      <c r="AC15" s="96" t="str">
        <f>IFERROR(IF($E15="Yes","IPP",VLOOKUP($J15,'ELA Reading Logic'!$A$13:$K$19,VLOOKUP(AA$1,'ELA Reading Logic'!$J$22:$K$31,2,FALSE),FALSE)),"Set Grade")</f>
        <v>Set Grade</v>
      </c>
      <c r="AD15" s="96" t="str">
        <f>IF($E15="Yes","IPP",IFERROR(IF(AND(AA15&gt;AB15,AA15&lt;AC15),"0",(VLOOKUP(AA15,'ELA Reading Logic'!$A$22:$B$48,2,FALSE))-(IF(VLOOKUP(AA15,'ELA Reading Logic'!$A$22:$B$48,2,FALSE)&lt;=VLOOKUP(AB15,'ELA Reading Logic'!$A$22:$B$48,2,FALSE),VLOOKUP(AB15,'ELA Reading Logic'!$A$22:$B$48,2,FALSE),IF(VLOOKUP(AA15,'ELA Reading Logic'!$A$22:$B$48,2,FALSE)&gt;=VLOOKUP(AC15,'ELA Reading Logic'!$A$22:$B$48,2,FALSE),VLOOKUP(AC15,'ELA Reading Logic'!$A$22:$B$48,2,FALSE),"No Score")))),"No Value"))</f>
        <v>No Value</v>
      </c>
      <c r="AE15" s="96" t="str">
        <f>IFERROR(VLOOKUP(AA15,'ELA Reading Logic'!$A$22:$B$48,2,FALSE)-VLOOKUP($F15,'ELA Reading Logic'!$A$22:$B$48,2,FALSE),"No Value")</f>
        <v>No Value</v>
      </c>
      <c r="AF15" s="92"/>
      <c r="AG15" s="96" t="str">
        <f>IFERROR(IF($E15="Yes","IPP",VLOOKUP($J15,'ELA Reading Logic'!$A$3:$K$9,VLOOKUP(AF$1,'ELA Reading Logic'!$J$22:$K$31,2,FALSE),FALSE)),"Set Grade")</f>
        <v>Set Grade</v>
      </c>
      <c r="AH15" s="96" t="str">
        <f>IFERROR(IF($E15="Yes","IPP",VLOOKUP($J15,'ELA Reading Logic'!$A$13:$K$19,VLOOKUP(AF$1,'ELA Reading Logic'!$J$22:$K$31,2,FALSE),FALSE)),"Set Grade")</f>
        <v>Set Grade</v>
      </c>
      <c r="AI15" s="96" t="str">
        <f>IF($E15="Yes","IPP",IFERROR(IF(AND(AF15&gt;AG15,AF15&lt;AH15),"0",(VLOOKUP(AF15,'ELA Reading Logic'!$A$22:$B$48,2,FALSE))-(IF(VLOOKUP(AF15,'ELA Reading Logic'!$A$22:$B$48,2,FALSE)&lt;=VLOOKUP(AG15,'ELA Reading Logic'!$A$22:$B$48,2,FALSE),VLOOKUP(AG15,'ELA Reading Logic'!$A$22:$B$48,2,FALSE),IF(VLOOKUP(AF15,'ELA Reading Logic'!$A$22:$B$48,2,FALSE)&gt;=VLOOKUP(AH15,'ELA Reading Logic'!$A$22:$B$48,2,FALSE),VLOOKUP(AH15,'ELA Reading Logic'!$A$22:$B$48,2,FALSE),"No Score")))),"No Value"))</f>
        <v>No Value</v>
      </c>
      <c r="AJ15" s="96" t="str">
        <f>IFERROR(VLOOKUP(AF15,'ELA Reading Logic'!$A$22:$B$48,2,FALSE)-VLOOKUP($F15,'ELA Reading Logic'!$A$22:$B$48,2,FALSE),"No Value")</f>
        <v>No Value</v>
      </c>
      <c r="AK15" s="92"/>
      <c r="AL15" s="96" t="str">
        <f>IFERROR(IF($E15="Yes","IPP",VLOOKUP($J15,'ELA Reading Logic'!$A$3:$K$9,VLOOKUP(AK$1,'ELA Reading Logic'!$J$22:$K$31,2,FALSE),FALSE)),"Set Grade")</f>
        <v>Set Grade</v>
      </c>
      <c r="AM15" s="96" t="str">
        <f>IFERROR(IF($E15="Yes","IPP",VLOOKUP($J15,'ELA Reading Logic'!$A$13:$K$19,VLOOKUP(AK$1,'ELA Reading Logic'!$J$22:$K$31,2,FALSE),FALSE)),"Set Grade")</f>
        <v>Set Grade</v>
      </c>
      <c r="AN15" s="96" t="str">
        <f>IF($E15="Yes","IPP",IFERROR(IF(AND(AK15&gt;AL15,AK15&lt;AM15),"0",(VLOOKUP(AK15,'ELA Reading Logic'!$A$22:$B$48,2,FALSE))-(IF(VLOOKUP(AK15,'ELA Reading Logic'!$A$22:$B$48,2,FALSE)&lt;=VLOOKUP(AL15,'ELA Reading Logic'!$A$22:$B$48,2,FALSE),VLOOKUP(AL15,'ELA Reading Logic'!$A$22:$B$48,2,FALSE),IF(VLOOKUP(AK15,'ELA Reading Logic'!$A$22:$B$48,2,FALSE)&gt;=VLOOKUP(AM15,'ELA Reading Logic'!$A$22:$B$48,2,FALSE),VLOOKUP(AM15,'ELA Reading Logic'!$A$22:$B$48,2,FALSE),"No Score")))),"No Value"))</f>
        <v>No Value</v>
      </c>
      <c r="AO15" s="96" t="str">
        <f>IFERROR(VLOOKUP(AK15,'ELA Reading Logic'!$A$22:$B$48,2,FALSE)-VLOOKUP($F15,'ELA Reading Logic'!$A$22:$B$48,2,FALSE),"No Value")</f>
        <v>No Value</v>
      </c>
      <c r="AP15" s="92"/>
      <c r="AQ15" s="96" t="str">
        <f>IFERROR(IF($E15="Yes","IPP",VLOOKUP($J15,'ELA Reading Logic'!$A$3:$K$9,VLOOKUP(AP$1,'ELA Reading Logic'!$J$22:$K$31,2,FALSE),FALSE)),"Set Grade")</f>
        <v>Set Grade</v>
      </c>
      <c r="AR15" s="96" t="str">
        <f>IFERROR(IF($E15="Yes","IPP",VLOOKUP($J15,'ELA Reading Logic'!$A$13:$K$19,VLOOKUP(AP$1,'ELA Reading Logic'!$J$22:$K$31,2,FALSE),FALSE)),"Set Grade")</f>
        <v>Set Grade</v>
      </c>
      <c r="AS15" s="96" t="str">
        <f>IF($E15="Yes","IPP",IFERROR(IF(AND(AP15&gt;AQ15,AP15&lt;AR15),"0",(VLOOKUP(AP15,'ELA Reading Logic'!$A$22:$B$48,2,FALSE))-(IF(VLOOKUP(AP15,'ELA Reading Logic'!$A$22:$B$48,2,FALSE)&lt;=VLOOKUP(AQ15,'ELA Reading Logic'!$A$22:$B$48,2,FALSE),VLOOKUP(AQ15,'ELA Reading Logic'!$A$22:$B$48,2,FALSE),IF(VLOOKUP(AP15,'ELA Reading Logic'!$A$22:$B$48,2,FALSE)&gt;=VLOOKUP(AR15,'ELA Reading Logic'!$A$22:$B$48,2,FALSE),VLOOKUP(AR15,'ELA Reading Logic'!$A$22:$B$48,2,FALSE),"No Score")))),"No Value"))</f>
        <v>No Value</v>
      </c>
      <c r="AT15" s="96" t="str">
        <f>IFERROR(VLOOKUP(AP15,'ELA Reading Logic'!$A$22:$B$48,2,FALSE)-VLOOKUP($F15,'ELA Reading Logic'!$A$22:$B$48,2,FALSE),"No Value")</f>
        <v>No Value</v>
      </c>
    </row>
    <row r="16" spans="1:46" ht="22.5" customHeight="1" x14ac:dyDescent="0.25">
      <c r="A16" s="174"/>
      <c r="B16" s="174"/>
      <c r="C16" s="174"/>
      <c r="D16" s="174"/>
      <c r="E16" s="175"/>
      <c r="F16" s="175"/>
      <c r="G16" s="177" t="str">
        <f>IFERROR(IF($E16="Yes","IPP",VLOOKUP($J16,'ELA Reading Logic'!$A$3:$K$9,VLOOKUP("September",'ELA Reading Logic'!$J$22:$K$31,2,FALSE),FALSE)),"Set Grade")</f>
        <v>Set Grade</v>
      </c>
      <c r="H16" s="177" t="str">
        <f>IFERROR(IF($E16="Yes","IPP",VLOOKUP($J16,'ELA Reading Logic'!$A$13:$K$19,VLOOKUP("September",'ELA Reading Logic'!$J$22:$K$31,2,FALSE),FALSE)),"Set Grade")</f>
        <v>Set Grade</v>
      </c>
      <c r="I16" s="96" t="str">
        <f>IF($E16="Yes","IPP",IFERROR(IF(AND(F16&gt;G16,F16&lt;H16),"0",(VLOOKUP(F16,'ELA Reading Logic'!$A$22:$B$48,2,FALSE))-(IF(VLOOKUP(F16,'ELA Reading Logic'!$A$22:$B$48,2,FALSE)&lt;=VLOOKUP(G16,'ELA Reading Logic'!$A$22:$B$48,2,FALSE),VLOOKUP(G16,'ELA Reading Logic'!$A$22:$B$48,2,FALSE),IF(VLOOKUP(F16,'ELA Reading Logic'!$A$22:$B$48,2,FALSE)&gt;=VLOOKUP(H16,'ELA Reading Logic'!$A$22:$B$48,2,FALSE),VLOOKUP(H16,'ELA Reading Logic'!$A$22:$B$48,2,FALSE),"No Score")))),"No Value"))</f>
        <v>No Value</v>
      </c>
      <c r="J16" s="178"/>
      <c r="K16" s="96"/>
      <c r="L16" s="96"/>
      <c r="M16" s="96"/>
      <c r="N16" s="96"/>
      <c r="O16" s="96"/>
      <c r="P16" s="105"/>
      <c r="Q16" s="92"/>
      <c r="R16" s="96" t="str">
        <f>IFERROR(IF($E16="Yes","IPP",VLOOKUP($J16,'ELA Reading Logic'!$A$3:$K$9,VLOOKUP(Q$1,'ELA Reading Logic'!$J$22:$K$31,2,FALSE),FALSE)),"Set Grade")</f>
        <v>Set Grade</v>
      </c>
      <c r="S16" s="96" t="str">
        <f>IFERROR(IF($E16="Yes","IPP",VLOOKUP($J16,'ELA Reading Logic'!$A$13:$K$19,VLOOKUP(Q$1,'ELA Reading Logic'!$J$22:$K$31,2,FALSE),FALSE)),"Set Grade")</f>
        <v>Set Grade</v>
      </c>
      <c r="T16" s="96" t="str">
        <f>IF($E16="Yes","IPP",IFERROR(IF(AND(Q16&gt;R16,Q16&lt;S16),"0",(VLOOKUP(Q16,'ELA Reading Logic'!$A$22:$B$48,2,FALSE))-(IF(VLOOKUP(Q16,'ELA Reading Logic'!$A$22:$B$48,2,FALSE)&lt;=VLOOKUP(R16,'ELA Reading Logic'!$A$22:$B$48,2,FALSE),VLOOKUP(R16,'ELA Reading Logic'!$A$22:$B$48,2,FALSE),IF(VLOOKUP(Q16,'ELA Reading Logic'!$A$22:$B$48,2,FALSE)&gt;=VLOOKUP(S16,'ELA Reading Logic'!$A$22:$B$48,2,FALSE),VLOOKUP(S16,'ELA Reading Logic'!$A$22:$B$48,2,FALSE),"No Score")))),"No Value"))</f>
        <v>No Value</v>
      </c>
      <c r="U16" s="96" t="str">
        <f>IFERROR(VLOOKUP(Q16,'ELA Reading Logic'!$A$22:$B$48,2,FALSE)-VLOOKUP($F16,'ELA Reading Logic'!$A$22:$B$48,2,FALSE),"No Value")</f>
        <v>No Value</v>
      </c>
      <c r="V16" s="92"/>
      <c r="W16" s="96" t="str">
        <f>IFERROR(IF($E16="Yes","IPP",VLOOKUP($J16,'ELA Reading Logic'!$A$3:$K$9,VLOOKUP(V$1,'ELA Reading Logic'!$J$22:$K$31,2,FALSE),FALSE)),"Set Grade")</f>
        <v>Set Grade</v>
      </c>
      <c r="X16" s="96" t="str">
        <f>IFERROR(IF($E16="Yes","IPP",VLOOKUP($J16,'ELA Reading Logic'!$A$13:$K$19,VLOOKUP(V$1,'ELA Reading Logic'!$J$22:$K$31,2,FALSE),FALSE)),"Set Grade")</f>
        <v>Set Grade</v>
      </c>
      <c r="Y16" s="96" t="str">
        <f>IF($E16="Yes","IPP",IFERROR(IF(AND(V16&gt;W16,V16&lt;X16),"0",(VLOOKUP(V16,'ELA Reading Logic'!$A$22:$B$48,2,FALSE))-(IF(VLOOKUP(V16,'ELA Reading Logic'!$A$22:$B$48,2,FALSE)&lt;=VLOOKUP(W16,'ELA Reading Logic'!$A$22:$B$48,2,FALSE),VLOOKUP(W16,'ELA Reading Logic'!$A$22:$B$48,2,FALSE),IF(VLOOKUP(V16,'ELA Reading Logic'!$A$22:$B$48,2,FALSE)&gt;=VLOOKUP(X16,'ELA Reading Logic'!$A$22:$B$48,2,FALSE),VLOOKUP(X16,'ELA Reading Logic'!$A$22:$B$48,2,FALSE),"No Score")))),"No Value"))</f>
        <v>No Value</v>
      </c>
      <c r="Z16" s="96" t="str">
        <f>IFERROR(VLOOKUP(V16,'ELA Reading Logic'!$A$22:$B$48,2,FALSE)-VLOOKUP($F16,'ELA Reading Logic'!$A$22:$B$48,2,FALSE),"No Value")</f>
        <v>No Value</v>
      </c>
      <c r="AA16" s="92"/>
      <c r="AB16" s="96" t="str">
        <f>IFERROR(IF($E16="Yes","IPP",VLOOKUP($J16,'ELA Reading Logic'!$A$3:$K$9,VLOOKUP(AA$1,'ELA Reading Logic'!$J$22:$K$31,2,FALSE),FALSE)),"Set Grade")</f>
        <v>Set Grade</v>
      </c>
      <c r="AC16" s="96" t="str">
        <f>IFERROR(IF($E16="Yes","IPP",VLOOKUP($J16,'ELA Reading Logic'!$A$13:$K$19,VLOOKUP(AA$1,'ELA Reading Logic'!$J$22:$K$31,2,FALSE),FALSE)),"Set Grade")</f>
        <v>Set Grade</v>
      </c>
      <c r="AD16" s="96" t="str">
        <f>IF($E16="Yes","IPP",IFERROR(IF(AND(AA16&gt;AB16,AA16&lt;AC16),"0",(VLOOKUP(AA16,'ELA Reading Logic'!$A$22:$B$48,2,FALSE))-(IF(VLOOKUP(AA16,'ELA Reading Logic'!$A$22:$B$48,2,FALSE)&lt;=VLOOKUP(AB16,'ELA Reading Logic'!$A$22:$B$48,2,FALSE),VLOOKUP(AB16,'ELA Reading Logic'!$A$22:$B$48,2,FALSE),IF(VLOOKUP(AA16,'ELA Reading Logic'!$A$22:$B$48,2,FALSE)&gt;=VLOOKUP(AC16,'ELA Reading Logic'!$A$22:$B$48,2,FALSE),VLOOKUP(AC16,'ELA Reading Logic'!$A$22:$B$48,2,FALSE),"No Score")))),"No Value"))</f>
        <v>No Value</v>
      </c>
      <c r="AE16" s="96" t="str">
        <f>IFERROR(VLOOKUP(AA16,'ELA Reading Logic'!$A$22:$B$48,2,FALSE)-VLOOKUP($F16,'ELA Reading Logic'!$A$22:$B$48,2,FALSE),"No Value")</f>
        <v>No Value</v>
      </c>
      <c r="AF16" s="92"/>
      <c r="AG16" s="96" t="str">
        <f>IFERROR(IF($E16="Yes","IPP",VLOOKUP($J16,'ELA Reading Logic'!$A$3:$K$9,VLOOKUP(AF$1,'ELA Reading Logic'!$J$22:$K$31,2,FALSE),FALSE)),"Set Grade")</f>
        <v>Set Grade</v>
      </c>
      <c r="AH16" s="96" t="str">
        <f>IFERROR(IF($E16="Yes","IPP",VLOOKUP($J16,'ELA Reading Logic'!$A$13:$K$19,VLOOKUP(AF$1,'ELA Reading Logic'!$J$22:$K$31,2,FALSE),FALSE)),"Set Grade")</f>
        <v>Set Grade</v>
      </c>
      <c r="AI16" s="96" t="str">
        <f>IF($E16="Yes","IPP",IFERROR(IF(AND(AF16&gt;AG16,AF16&lt;AH16),"0",(VLOOKUP(AF16,'ELA Reading Logic'!$A$22:$B$48,2,FALSE))-(IF(VLOOKUP(AF16,'ELA Reading Logic'!$A$22:$B$48,2,FALSE)&lt;=VLOOKUP(AG16,'ELA Reading Logic'!$A$22:$B$48,2,FALSE),VLOOKUP(AG16,'ELA Reading Logic'!$A$22:$B$48,2,FALSE),IF(VLOOKUP(AF16,'ELA Reading Logic'!$A$22:$B$48,2,FALSE)&gt;=VLOOKUP(AH16,'ELA Reading Logic'!$A$22:$B$48,2,FALSE),VLOOKUP(AH16,'ELA Reading Logic'!$A$22:$B$48,2,FALSE),"No Score")))),"No Value"))</f>
        <v>No Value</v>
      </c>
      <c r="AJ16" s="96" t="str">
        <f>IFERROR(VLOOKUP(AF16,'ELA Reading Logic'!$A$22:$B$48,2,FALSE)-VLOOKUP($F16,'ELA Reading Logic'!$A$22:$B$48,2,FALSE),"No Value")</f>
        <v>No Value</v>
      </c>
      <c r="AK16" s="92"/>
      <c r="AL16" s="96" t="str">
        <f>IFERROR(IF($E16="Yes","IPP",VLOOKUP($J16,'ELA Reading Logic'!$A$3:$K$9,VLOOKUP(AK$1,'ELA Reading Logic'!$J$22:$K$31,2,FALSE),FALSE)),"Set Grade")</f>
        <v>Set Grade</v>
      </c>
      <c r="AM16" s="96" t="str">
        <f>IFERROR(IF($E16="Yes","IPP",VLOOKUP($J16,'ELA Reading Logic'!$A$13:$K$19,VLOOKUP(AK$1,'ELA Reading Logic'!$J$22:$K$31,2,FALSE),FALSE)),"Set Grade")</f>
        <v>Set Grade</v>
      </c>
      <c r="AN16" s="96" t="str">
        <f>IF($E16="Yes","IPP",IFERROR(IF(AND(AK16&gt;AL16,AK16&lt;AM16),"0",(VLOOKUP(AK16,'ELA Reading Logic'!$A$22:$B$48,2,FALSE))-(IF(VLOOKUP(AK16,'ELA Reading Logic'!$A$22:$B$48,2,FALSE)&lt;=VLOOKUP(AL16,'ELA Reading Logic'!$A$22:$B$48,2,FALSE),VLOOKUP(AL16,'ELA Reading Logic'!$A$22:$B$48,2,FALSE),IF(VLOOKUP(AK16,'ELA Reading Logic'!$A$22:$B$48,2,FALSE)&gt;=VLOOKUP(AM16,'ELA Reading Logic'!$A$22:$B$48,2,FALSE),VLOOKUP(AM16,'ELA Reading Logic'!$A$22:$B$48,2,FALSE),"No Score")))),"No Value"))</f>
        <v>No Value</v>
      </c>
      <c r="AO16" s="96" t="str">
        <f>IFERROR(VLOOKUP(AK16,'ELA Reading Logic'!$A$22:$B$48,2,FALSE)-VLOOKUP($F16,'ELA Reading Logic'!$A$22:$B$48,2,FALSE),"No Value")</f>
        <v>No Value</v>
      </c>
      <c r="AP16" s="92"/>
      <c r="AQ16" s="96" t="str">
        <f>IFERROR(IF($E16="Yes","IPP",VLOOKUP($J16,'ELA Reading Logic'!$A$3:$K$9,VLOOKUP(AP$1,'ELA Reading Logic'!$J$22:$K$31,2,FALSE),FALSE)),"Set Grade")</f>
        <v>Set Grade</v>
      </c>
      <c r="AR16" s="96" t="str">
        <f>IFERROR(IF($E16="Yes","IPP",VLOOKUP($J16,'ELA Reading Logic'!$A$13:$K$19,VLOOKUP(AP$1,'ELA Reading Logic'!$J$22:$K$31,2,FALSE),FALSE)),"Set Grade")</f>
        <v>Set Grade</v>
      </c>
      <c r="AS16" s="96" t="str">
        <f>IF($E16="Yes","IPP",IFERROR(IF(AND(AP16&gt;AQ16,AP16&lt;AR16),"0",(VLOOKUP(AP16,'ELA Reading Logic'!$A$22:$B$48,2,FALSE))-(IF(VLOOKUP(AP16,'ELA Reading Logic'!$A$22:$B$48,2,FALSE)&lt;=VLOOKUP(AQ16,'ELA Reading Logic'!$A$22:$B$48,2,FALSE),VLOOKUP(AQ16,'ELA Reading Logic'!$A$22:$B$48,2,FALSE),IF(VLOOKUP(AP16,'ELA Reading Logic'!$A$22:$B$48,2,FALSE)&gt;=VLOOKUP(AR16,'ELA Reading Logic'!$A$22:$B$48,2,FALSE),VLOOKUP(AR16,'ELA Reading Logic'!$A$22:$B$48,2,FALSE),"No Score")))),"No Value"))</f>
        <v>No Value</v>
      </c>
      <c r="AT16" s="96" t="str">
        <f>IFERROR(VLOOKUP(AP16,'ELA Reading Logic'!$A$22:$B$48,2,FALSE)-VLOOKUP($F16,'ELA Reading Logic'!$A$22:$B$48,2,FALSE),"No Value")</f>
        <v>No Value</v>
      </c>
    </row>
    <row r="17" spans="1:46" ht="22.5" customHeight="1" x14ac:dyDescent="0.25">
      <c r="A17" s="176"/>
      <c r="B17" s="176"/>
      <c r="C17" s="176"/>
      <c r="D17" s="176"/>
      <c r="E17" s="175"/>
      <c r="F17" s="175"/>
      <c r="G17" s="177" t="str">
        <f>IFERROR(IF($E17="Yes","IPP",VLOOKUP($J17,'ELA Reading Logic'!$A$3:$K$9,VLOOKUP("September",'ELA Reading Logic'!$J$22:$K$31,2,FALSE),FALSE)),"Set Grade")</f>
        <v>Set Grade</v>
      </c>
      <c r="H17" s="177" t="str">
        <f>IFERROR(IF($E17="Yes","IPP",VLOOKUP($J17,'ELA Reading Logic'!$A$13:$K$19,VLOOKUP("September",'ELA Reading Logic'!$J$22:$K$31,2,FALSE),FALSE)),"Set Grade")</f>
        <v>Set Grade</v>
      </c>
      <c r="I17" s="96" t="str">
        <f>IF($E17="Yes","IPP",IFERROR(IF(AND(F17&gt;G17,F17&lt;H17),"0",(VLOOKUP(F17,'ELA Reading Logic'!$A$22:$B$48,2,FALSE))-(IF(VLOOKUP(F17,'ELA Reading Logic'!$A$22:$B$48,2,FALSE)&lt;=VLOOKUP(G17,'ELA Reading Logic'!$A$22:$B$48,2,FALSE),VLOOKUP(G17,'ELA Reading Logic'!$A$22:$B$48,2,FALSE),IF(VLOOKUP(F17,'ELA Reading Logic'!$A$22:$B$48,2,FALSE)&gt;=VLOOKUP(H17,'ELA Reading Logic'!$A$22:$B$48,2,FALSE),VLOOKUP(H17,'ELA Reading Logic'!$A$22:$B$48,2,FALSE),"No Score")))),"No Value"))</f>
        <v>No Value</v>
      </c>
      <c r="J17" s="178"/>
      <c r="K17" s="96"/>
      <c r="L17" s="96"/>
      <c r="M17" s="96"/>
      <c r="N17" s="96"/>
      <c r="O17" s="96"/>
      <c r="P17" s="105"/>
      <c r="Q17" s="92"/>
      <c r="R17" s="96" t="str">
        <f>IFERROR(IF($E17="Yes","IPP",VLOOKUP($J17,'ELA Reading Logic'!$A$3:$K$9,VLOOKUP(Q$1,'ELA Reading Logic'!$J$22:$K$31,2,FALSE),FALSE)),"Set Grade")</f>
        <v>Set Grade</v>
      </c>
      <c r="S17" s="96" t="str">
        <f>IFERROR(IF($E17="Yes","IPP",VLOOKUP($J17,'ELA Reading Logic'!$A$13:$K$19,VLOOKUP(Q$1,'ELA Reading Logic'!$J$22:$K$31,2,FALSE),FALSE)),"Set Grade")</f>
        <v>Set Grade</v>
      </c>
      <c r="T17" s="96" t="str">
        <f>IF($E17="Yes","IPP",IFERROR(IF(AND(Q17&gt;R17,Q17&lt;S17),"0",(VLOOKUP(Q17,'ELA Reading Logic'!$A$22:$B$48,2,FALSE))-(IF(VLOOKUP(Q17,'ELA Reading Logic'!$A$22:$B$48,2,FALSE)&lt;=VLOOKUP(R17,'ELA Reading Logic'!$A$22:$B$48,2,FALSE),VLOOKUP(R17,'ELA Reading Logic'!$A$22:$B$48,2,FALSE),IF(VLOOKUP(Q17,'ELA Reading Logic'!$A$22:$B$48,2,FALSE)&gt;=VLOOKUP(S17,'ELA Reading Logic'!$A$22:$B$48,2,FALSE),VLOOKUP(S17,'ELA Reading Logic'!$A$22:$B$48,2,FALSE),"No Score")))),"No Value"))</f>
        <v>No Value</v>
      </c>
      <c r="U17" s="96" t="str">
        <f>IFERROR(VLOOKUP(Q17,'ELA Reading Logic'!$A$22:$B$48,2,FALSE)-VLOOKUP($F17,'ELA Reading Logic'!$A$22:$B$48,2,FALSE),"No Value")</f>
        <v>No Value</v>
      </c>
      <c r="V17" s="92"/>
      <c r="W17" s="96" t="str">
        <f>IFERROR(IF($E17="Yes","IPP",VLOOKUP($J17,'ELA Reading Logic'!$A$3:$K$9,VLOOKUP(V$1,'ELA Reading Logic'!$J$22:$K$31,2,FALSE),FALSE)),"Set Grade")</f>
        <v>Set Grade</v>
      </c>
      <c r="X17" s="96" t="str">
        <f>IFERROR(IF($E17="Yes","IPP",VLOOKUP($J17,'ELA Reading Logic'!$A$13:$K$19,VLOOKUP(V$1,'ELA Reading Logic'!$J$22:$K$31,2,FALSE),FALSE)),"Set Grade")</f>
        <v>Set Grade</v>
      </c>
      <c r="Y17" s="96" t="str">
        <f>IF($E17="Yes","IPP",IFERROR(IF(AND(V17&gt;W17,V17&lt;X17),"0",(VLOOKUP(V17,'ELA Reading Logic'!$A$22:$B$48,2,FALSE))-(IF(VLOOKUP(V17,'ELA Reading Logic'!$A$22:$B$48,2,FALSE)&lt;=VLOOKUP(W17,'ELA Reading Logic'!$A$22:$B$48,2,FALSE),VLOOKUP(W17,'ELA Reading Logic'!$A$22:$B$48,2,FALSE),IF(VLOOKUP(V17,'ELA Reading Logic'!$A$22:$B$48,2,FALSE)&gt;=VLOOKUP(X17,'ELA Reading Logic'!$A$22:$B$48,2,FALSE),VLOOKUP(X17,'ELA Reading Logic'!$A$22:$B$48,2,FALSE),"No Score")))),"No Value"))</f>
        <v>No Value</v>
      </c>
      <c r="Z17" s="96" t="str">
        <f>IFERROR(VLOOKUP(V17,'ELA Reading Logic'!$A$22:$B$48,2,FALSE)-VLOOKUP($F17,'ELA Reading Logic'!$A$22:$B$48,2,FALSE),"No Value")</f>
        <v>No Value</v>
      </c>
      <c r="AA17" s="92"/>
      <c r="AB17" s="96" t="str">
        <f>IFERROR(IF($E17="Yes","IPP",VLOOKUP($J17,'ELA Reading Logic'!$A$3:$K$9,VLOOKUP(AA$1,'ELA Reading Logic'!$J$22:$K$31,2,FALSE),FALSE)),"Set Grade")</f>
        <v>Set Grade</v>
      </c>
      <c r="AC17" s="96" t="str">
        <f>IFERROR(IF($E17="Yes","IPP",VLOOKUP($J17,'ELA Reading Logic'!$A$13:$K$19,VLOOKUP(AA$1,'ELA Reading Logic'!$J$22:$K$31,2,FALSE),FALSE)),"Set Grade")</f>
        <v>Set Grade</v>
      </c>
      <c r="AD17" s="96" t="str">
        <f>IF($E17="Yes","IPP",IFERROR(IF(AND(AA17&gt;AB17,AA17&lt;AC17),"0",(VLOOKUP(AA17,'ELA Reading Logic'!$A$22:$B$48,2,FALSE))-(IF(VLOOKUP(AA17,'ELA Reading Logic'!$A$22:$B$48,2,FALSE)&lt;=VLOOKUP(AB17,'ELA Reading Logic'!$A$22:$B$48,2,FALSE),VLOOKUP(AB17,'ELA Reading Logic'!$A$22:$B$48,2,FALSE),IF(VLOOKUP(AA17,'ELA Reading Logic'!$A$22:$B$48,2,FALSE)&gt;=VLOOKUP(AC17,'ELA Reading Logic'!$A$22:$B$48,2,FALSE),VLOOKUP(AC17,'ELA Reading Logic'!$A$22:$B$48,2,FALSE),"No Score")))),"No Value"))</f>
        <v>No Value</v>
      </c>
      <c r="AE17" s="96" t="str">
        <f>IFERROR(VLOOKUP(AA17,'ELA Reading Logic'!$A$22:$B$48,2,FALSE)-VLOOKUP($F17,'ELA Reading Logic'!$A$22:$B$48,2,FALSE),"No Value")</f>
        <v>No Value</v>
      </c>
      <c r="AF17" s="92"/>
      <c r="AG17" s="96" t="str">
        <f>IFERROR(IF($E17="Yes","IPP",VLOOKUP($J17,'ELA Reading Logic'!$A$3:$K$9,VLOOKUP(AF$1,'ELA Reading Logic'!$J$22:$K$31,2,FALSE),FALSE)),"Set Grade")</f>
        <v>Set Grade</v>
      </c>
      <c r="AH17" s="96" t="str">
        <f>IFERROR(IF($E17="Yes","IPP",VLOOKUP($J17,'ELA Reading Logic'!$A$13:$K$19,VLOOKUP(AF$1,'ELA Reading Logic'!$J$22:$K$31,2,FALSE),FALSE)),"Set Grade")</f>
        <v>Set Grade</v>
      </c>
      <c r="AI17" s="96" t="str">
        <f>IF($E17="Yes","IPP",IFERROR(IF(AND(AF17&gt;AG17,AF17&lt;AH17),"0",(VLOOKUP(AF17,'ELA Reading Logic'!$A$22:$B$48,2,FALSE))-(IF(VLOOKUP(AF17,'ELA Reading Logic'!$A$22:$B$48,2,FALSE)&lt;=VLOOKUP(AG17,'ELA Reading Logic'!$A$22:$B$48,2,FALSE),VLOOKUP(AG17,'ELA Reading Logic'!$A$22:$B$48,2,FALSE),IF(VLOOKUP(AF17,'ELA Reading Logic'!$A$22:$B$48,2,FALSE)&gt;=VLOOKUP(AH17,'ELA Reading Logic'!$A$22:$B$48,2,FALSE),VLOOKUP(AH17,'ELA Reading Logic'!$A$22:$B$48,2,FALSE),"No Score")))),"No Value"))</f>
        <v>No Value</v>
      </c>
      <c r="AJ17" s="96" t="str">
        <f>IFERROR(VLOOKUP(AF17,'ELA Reading Logic'!$A$22:$B$48,2,FALSE)-VLOOKUP($F17,'ELA Reading Logic'!$A$22:$B$48,2,FALSE),"No Value")</f>
        <v>No Value</v>
      </c>
      <c r="AK17" s="92"/>
      <c r="AL17" s="96" t="str">
        <f>IFERROR(IF($E17="Yes","IPP",VLOOKUP($J17,'ELA Reading Logic'!$A$3:$K$9,VLOOKUP(AK$1,'ELA Reading Logic'!$J$22:$K$31,2,FALSE),FALSE)),"Set Grade")</f>
        <v>Set Grade</v>
      </c>
      <c r="AM17" s="96" t="str">
        <f>IFERROR(IF($E17="Yes","IPP",VLOOKUP($J17,'ELA Reading Logic'!$A$13:$K$19,VLOOKUP(AK$1,'ELA Reading Logic'!$J$22:$K$31,2,FALSE),FALSE)),"Set Grade")</f>
        <v>Set Grade</v>
      </c>
      <c r="AN17" s="96" t="str">
        <f>IF($E17="Yes","IPP",IFERROR(IF(AND(AK17&gt;AL17,AK17&lt;AM17),"0",(VLOOKUP(AK17,'ELA Reading Logic'!$A$22:$B$48,2,FALSE))-(IF(VLOOKUP(AK17,'ELA Reading Logic'!$A$22:$B$48,2,FALSE)&lt;=VLOOKUP(AL17,'ELA Reading Logic'!$A$22:$B$48,2,FALSE),VLOOKUP(AL17,'ELA Reading Logic'!$A$22:$B$48,2,FALSE),IF(VLOOKUP(AK17,'ELA Reading Logic'!$A$22:$B$48,2,FALSE)&gt;=VLOOKUP(AM17,'ELA Reading Logic'!$A$22:$B$48,2,FALSE),VLOOKUP(AM17,'ELA Reading Logic'!$A$22:$B$48,2,FALSE),"No Score")))),"No Value"))</f>
        <v>No Value</v>
      </c>
      <c r="AO17" s="96" t="str">
        <f>IFERROR(VLOOKUP(AK17,'ELA Reading Logic'!$A$22:$B$48,2,FALSE)-VLOOKUP($F17,'ELA Reading Logic'!$A$22:$B$48,2,FALSE),"No Value")</f>
        <v>No Value</v>
      </c>
      <c r="AP17" s="92"/>
      <c r="AQ17" s="96" t="str">
        <f>IFERROR(IF($E17="Yes","IPP",VLOOKUP($J17,'ELA Reading Logic'!$A$3:$K$9,VLOOKUP(AP$1,'ELA Reading Logic'!$J$22:$K$31,2,FALSE),FALSE)),"Set Grade")</f>
        <v>Set Grade</v>
      </c>
      <c r="AR17" s="96" t="str">
        <f>IFERROR(IF($E17="Yes","IPP",VLOOKUP($J17,'ELA Reading Logic'!$A$13:$K$19,VLOOKUP(AP$1,'ELA Reading Logic'!$J$22:$K$31,2,FALSE),FALSE)),"Set Grade")</f>
        <v>Set Grade</v>
      </c>
      <c r="AS17" s="96" t="str">
        <f>IF($E17="Yes","IPP",IFERROR(IF(AND(AP17&gt;AQ17,AP17&lt;AR17),"0",(VLOOKUP(AP17,'ELA Reading Logic'!$A$22:$B$48,2,FALSE))-(IF(VLOOKUP(AP17,'ELA Reading Logic'!$A$22:$B$48,2,FALSE)&lt;=VLOOKUP(AQ17,'ELA Reading Logic'!$A$22:$B$48,2,FALSE),VLOOKUP(AQ17,'ELA Reading Logic'!$A$22:$B$48,2,FALSE),IF(VLOOKUP(AP17,'ELA Reading Logic'!$A$22:$B$48,2,FALSE)&gt;=VLOOKUP(AR17,'ELA Reading Logic'!$A$22:$B$48,2,FALSE),VLOOKUP(AR17,'ELA Reading Logic'!$A$22:$B$48,2,FALSE),"No Score")))),"No Value"))</f>
        <v>No Value</v>
      </c>
      <c r="AT17" s="96" t="str">
        <f>IFERROR(VLOOKUP(AP17,'ELA Reading Logic'!$A$22:$B$48,2,FALSE)-VLOOKUP($F17,'ELA Reading Logic'!$A$22:$B$48,2,FALSE),"No Value")</f>
        <v>No Value</v>
      </c>
    </row>
    <row r="18" spans="1:46" ht="22.5" customHeight="1" x14ac:dyDescent="0.25">
      <c r="A18" s="174"/>
      <c r="B18" s="174"/>
      <c r="C18" s="174"/>
      <c r="D18" s="174"/>
      <c r="E18" s="175"/>
      <c r="F18" s="175"/>
      <c r="G18" s="177" t="str">
        <f>IFERROR(IF($E18="Yes","IPP",VLOOKUP($J18,'ELA Reading Logic'!$A$3:$K$9,VLOOKUP("September",'ELA Reading Logic'!$J$22:$K$31,2,FALSE),FALSE)),"Set Grade")</f>
        <v>Set Grade</v>
      </c>
      <c r="H18" s="177" t="str">
        <f>IFERROR(IF($E18="Yes","IPP",VLOOKUP($J18,'ELA Reading Logic'!$A$13:$K$19,VLOOKUP("September",'ELA Reading Logic'!$J$22:$K$31,2,FALSE),FALSE)),"Set Grade")</f>
        <v>Set Grade</v>
      </c>
      <c r="I18" s="96" t="str">
        <f>IF($E18="Yes","IPP",IFERROR(IF(AND(F18&gt;G18,F18&lt;H18),"0",(VLOOKUP(F18,'ELA Reading Logic'!$A$22:$B$48,2,FALSE))-(IF(VLOOKUP(F18,'ELA Reading Logic'!$A$22:$B$48,2,FALSE)&lt;=VLOOKUP(G18,'ELA Reading Logic'!$A$22:$B$48,2,FALSE),VLOOKUP(G18,'ELA Reading Logic'!$A$22:$B$48,2,FALSE),IF(VLOOKUP(F18,'ELA Reading Logic'!$A$22:$B$48,2,FALSE)&gt;=VLOOKUP(H18,'ELA Reading Logic'!$A$22:$B$48,2,FALSE),VLOOKUP(H18,'ELA Reading Logic'!$A$22:$B$48,2,FALSE),"No Score")))),"No Value"))</f>
        <v>No Value</v>
      </c>
      <c r="J18" s="178"/>
      <c r="K18" s="96"/>
      <c r="L18" s="96"/>
      <c r="M18" s="96"/>
      <c r="N18" s="96"/>
      <c r="O18" s="96"/>
      <c r="P18" s="105"/>
      <c r="Q18" s="92"/>
      <c r="R18" s="96" t="str">
        <f>IFERROR(IF($E18="Yes","IPP",VLOOKUP($J18,'ELA Reading Logic'!$A$3:$K$9,VLOOKUP(Q$1,'ELA Reading Logic'!$J$22:$K$31,2,FALSE),FALSE)),"Set Grade")</f>
        <v>Set Grade</v>
      </c>
      <c r="S18" s="96" t="str">
        <f>IFERROR(IF($E18="Yes","IPP",VLOOKUP($J18,'ELA Reading Logic'!$A$13:$K$19,VLOOKUP(Q$1,'ELA Reading Logic'!$J$22:$K$31,2,FALSE),FALSE)),"Set Grade")</f>
        <v>Set Grade</v>
      </c>
      <c r="T18" s="96" t="str">
        <f>IF($E18="Yes","IPP",IFERROR(IF(AND(Q18&gt;R18,Q18&lt;S18),"0",(VLOOKUP(Q18,'ELA Reading Logic'!$A$22:$B$48,2,FALSE))-(IF(VLOOKUP(Q18,'ELA Reading Logic'!$A$22:$B$48,2,FALSE)&lt;=VLOOKUP(R18,'ELA Reading Logic'!$A$22:$B$48,2,FALSE),VLOOKUP(R18,'ELA Reading Logic'!$A$22:$B$48,2,FALSE),IF(VLOOKUP(Q18,'ELA Reading Logic'!$A$22:$B$48,2,FALSE)&gt;=VLOOKUP(S18,'ELA Reading Logic'!$A$22:$B$48,2,FALSE),VLOOKUP(S18,'ELA Reading Logic'!$A$22:$B$48,2,FALSE),"No Score")))),"No Value"))</f>
        <v>No Value</v>
      </c>
      <c r="U18" s="96" t="str">
        <f>IFERROR(VLOOKUP(Q18,'ELA Reading Logic'!$A$22:$B$48,2,FALSE)-VLOOKUP($F18,'ELA Reading Logic'!$A$22:$B$48,2,FALSE),"No Value")</f>
        <v>No Value</v>
      </c>
      <c r="V18" s="92"/>
      <c r="W18" s="96" t="str">
        <f>IFERROR(IF($E18="Yes","IPP",VLOOKUP($J18,'ELA Reading Logic'!$A$3:$K$9,VLOOKUP(V$1,'ELA Reading Logic'!$J$22:$K$31,2,FALSE),FALSE)),"Set Grade")</f>
        <v>Set Grade</v>
      </c>
      <c r="X18" s="96" t="str">
        <f>IFERROR(IF($E18="Yes","IPP",VLOOKUP($J18,'ELA Reading Logic'!$A$13:$K$19,VLOOKUP(V$1,'ELA Reading Logic'!$J$22:$K$31,2,FALSE),FALSE)),"Set Grade")</f>
        <v>Set Grade</v>
      </c>
      <c r="Y18" s="96" t="str">
        <f>IF($E18="Yes","IPP",IFERROR(IF(AND(V18&gt;W18,V18&lt;X18),"0",(VLOOKUP(V18,'ELA Reading Logic'!$A$22:$B$48,2,FALSE))-(IF(VLOOKUP(V18,'ELA Reading Logic'!$A$22:$B$48,2,FALSE)&lt;=VLOOKUP(W18,'ELA Reading Logic'!$A$22:$B$48,2,FALSE),VLOOKUP(W18,'ELA Reading Logic'!$A$22:$B$48,2,FALSE),IF(VLOOKUP(V18,'ELA Reading Logic'!$A$22:$B$48,2,FALSE)&gt;=VLOOKUP(X18,'ELA Reading Logic'!$A$22:$B$48,2,FALSE),VLOOKUP(X18,'ELA Reading Logic'!$A$22:$B$48,2,FALSE),"No Score")))),"No Value"))</f>
        <v>No Value</v>
      </c>
      <c r="Z18" s="96" t="str">
        <f>IFERROR(VLOOKUP(V18,'ELA Reading Logic'!$A$22:$B$48,2,FALSE)-VLOOKUP($F18,'ELA Reading Logic'!$A$22:$B$48,2,FALSE),"No Value")</f>
        <v>No Value</v>
      </c>
      <c r="AA18" s="92"/>
      <c r="AB18" s="96" t="str">
        <f>IFERROR(IF($E18="Yes","IPP",VLOOKUP($J18,'ELA Reading Logic'!$A$3:$K$9,VLOOKUP(AA$1,'ELA Reading Logic'!$J$22:$K$31,2,FALSE),FALSE)),"Set Grade")</f>
        <v>Set Grade</v>
      </c>
      <c r="AC18" s="96" t="str">
        <f>IFERROR(IF($E18="Yes","IPP",VLOOKUP($J18,'ELA Reading Logic'!$A$13:$K$19,VLOOKUP(AA$1,'ELA Reading Logic'!$J$22:$K$31,2,FALSE),FALSE)),"Set Grade")</f>
        <v>Set Grade</v>
      </c>
      <c r="AD18" s="96" t="str">
        <f>IF($E18="Yes","IPP",IFERROR(IF(AND(AA18&gt;AB18,AA18&lt;AC18),"0",(VLOOKUP(AA18,'ELA Reading Logic'!$A$22:$B$48,2,FALSE))-(IF(VLOOKUP(AA18,'ELA Reading Logic'!$A$22:$B$48,2,FALSE)&lt;=VLOOKUP(AB18,'ELA Reading Logic'!$A$22:$B$48,2,FALSE),VLOOKUP(AB18,'ELA Reading Logic'!$A$22:$B$48,2,FALSE),IF(VLOOKUP(AA18,'ELA Reading Logic'!$A$22:$B$48,2,FALSE)&gt;=VLOOKUP(AC18,'ELA Reading Logic'!$A$22:$B$48,2,FALSE),VLOOKUP(AC18,'ELA Reading Logic'!$A$22:$B$48,2,FALSE),"No Score")))),"No Value"))</f>
        <v>No Value</v>
      </c>
      <c r="AE18" s="96" t="str">
        <f>IFERROR(VLOOKUP(AA18,'ELA Reading Logic'!$A$22:$B$48,2,FALSE)-VLOOKUP($F18,'ELA Reading Logic'!$A$22:$B$48,2,FALSE),"No Value")</f>
        <v>No Value</v>
      </c>
      <c r="AF18" s="92"/>
      <c r="AG18" s="96" t="str">
        <f>IFERROR(IF($E18="Yes","IPP",VLOOKUP($J18,'ELA Reading Logic'!$A$3:$K$9,VLOOKUP(AF$1,'ELA Reading Logic'!$J$22:$K$31,2,FALSE),FALSE)),"Set Grade")</f>
        <v>Set Grade</v>
      </c>
      <c r="AH18" s="96" t="str">
        <f>IFERROR(IF($E18="Yes","IPP",VLOOKUP($J18,'ELA Reading Logic'!$A$13:$K$19,VLOOKUP(AF$1,'ELA Reading Logic'!$J$22:$K$31,2,FALSE),FALSE)),"Set Grade")</f>
        <v>Set Grade</v>
      </c>
      <c r="AI18" s="96" t="str">
        <f>IF($E18="Yes","IPP",IFERROR(IF(AND(AF18&gt;AG18,AF18&lt;AH18),"0",(VLOOKUP(AF18,'ELA Reading Logic'!$A$22:$B$48,2,FALSE))-(IF(VLOOKUP(AF18,'ELA Reading Logic'!$A$22:$B$48,2,FALSE)&lt;=VLOOKUP(AG18,'ELA Reading Logic'!$A$22:$B$48,2,FALSE),VLOOKUP(AG18,'ELA Reading Logic'!$A$22:$B$48,2,FALSE),IF(VLOOKUP(AF18,'ELA Reading Logic'!$A$22:$B$48,2,FALSE)&gt;=VLOOKUP(AH18,'ELA Reading Logic'!$A$22:$B$48,2,FALSE),VLOOKUP(AH18,'ELA Reading Logic'!$A$22:$B$48,2,FALSE),"No Score")))),"No Value"))</f>
        <v>No Value</v>
      </c>
      <c r="AJ18" s="96" t="str">
        <f>IFERROR(VLOOKUP(AF18,'ELA Reading Logic'!$A$22:$B$48,2,FALSE)-VLOOKUP($F18,'ELA Reading Logic'!$A$22:$B$48,2,FALSE),"No Value")</f>
        <v>No Value</v>
      </c>
      <c r="AK18" s="92"/>
      <c r="AL18" s="96" t="str">
        <f>IFERROR(IF($E18="Yes","IPP",VLOOKUP($J18,'ELA Reading Logic'!$A$3:$K$9,VLOOKUP(AK$1,'ELA Reading Logic'!$J$22:$K$31,2,FALSE),FALSE)),"Set Grade")</f>
        <v>Set Grade</v>
      </c>
      <c r="AM18" s="96" t="str">
        <f>IFERROR(IF($E18="Yes","IPP",VLOOKUP($J18,'ELA Reading Logic'!$A$13:$K$19,VLOOKUP(AK$1,'ELA Reading Logic'!$J$22:$K$31,2,FALSE),FALSE)),"Set Grade")</f>
        <v>Set Grade</v>
      </c>
      <c r="AN18" s="96" t="str">
        <f>IF($E18="Yes","IPP",IFERROR(IF(AND(AK18&gt;AL18,AK18&lt;AM18),"0",(VLOOKUP(AK18,'ELA Reading Logic'!$A$22:$B$48,2,FALSE))-(IF(VLOOKUP(AK18,'ELA Reading Logic'!$A$22:$B$48,2,FALSE)&lt;=VLOOKUP(AL18,'ELA Reading Logic'!$A$22:$B$48,2,FALSE),VLOOKUP(AL18,'ELA Reading Logic'!$A$22:$B$48,2,FALSE),IF(VLOOKUP(AK18,'ELA Reading Logic'!$A$22:$B$48,2,FALSE)&gt;=VLOOKUP(AM18,'ELA Reading Logic'!$A$22:$B$48,2,FALSE),VLOOKUP(AM18,'ELA Reading Logic'!$A$22:$B$48,2,FALSE),"No Score")))),"No Value"))</f>
        <v>No Value</v>
      </c>
      <c r="AO18" s="96" t="str">
        <f>IFERROR(VLOOKUP(AK18,'ELA Reading Logic'!$A$22:$B$48,2,FALSE)-VLOOKUP($F18,'ELA Reading Logic'!$A$22:$B$48,2,FALSE),"No Value")</f>
        <v>No Value</v>
      </c>
      <c r="AP18" s="92"/>
      <c r="AQ18" s="96" t="str">
        <f>IFERROR(IF($E18="Yes","IPP",VLOOKUP($J18,'ELA Reading Logic'!$A$3:$K$9,VLOOKUP(AP$1,'ELA Reading Logic'!$J$22:$K$31,2,FALSE),FALSE)),"Set Grade")</f>
        <v>Set Grade</v>
      </c>
      <c r="AR18" s="96" t="str">
        <f>IFERROR(IF($E18="Yes","IPP",VLOOKUP($J18,'ELA Reading Logic'!$A$13:$K$19,VLOOKUP(AP$1,'ELA Reading Logic'!$J$22:$K$31,2,FALSE),FALSE)),"Set Grade")</f>
        <v>Set Grade</v>
      </c>
      <c r="AS18" s="96" t="str">
        <f>IF($E18="Yes","IPP",IFERROR(IF(AND(AP18&gt;AQ18,AP18&lt;AR18),"0",(VLOOKUP(AP18,'ELA Reading Logic'!$A$22:$B$48,2,FALSE))-(IF(VLOOKUP(AP18,'ELA Reading Logic'!$A$22:$B$48,2,FALSE)&lt;=VLOOKUP(AQ18,'ELA Reading Logic'!$A$22:$B$48,2,FALSE),VLOOKUP(AQ18,'ELA Reading Logic'!$A$22:$B$48,2,FALSE),IF(VLOOKUP(AP18,'ELA Reading Logic'!$A$22:$B$48,2,FALSE)&gt;=VLOOKUP(AR18,'ELA Reading Logic'!$A$22:$B$48,2,FALSE),VLOOKUP(AR18,'ELA Reading Logic'!$A$22:$B$48,2,FALSE),"No Score")))),"No Value"))</f>
        <v>No Value</v>
      </c>
      <c r="AT18" s="96" t="str">
        <f>IFERROR(VLOOKUP(AP18,'ELA Reading Logic'!$A$22:$B$48,2,FALSE)-VLOOKUP($F18,'ELA Reading Logic'!$A$22:$B$48,2,FALSE),"No Value")</f>
        <v>No Value</v>
      </c>
    </row>
    <row r="19" spans="1:46" ht="22.5" customHeight="1" x14ac:dyDescent="0.25">
      <c r="A19" s="176"/>
      <c r="B19" s="176"/>
      <c r="C19" s="176"/>
      <c r="D19" s="176"/>
      <c r="E19" s="175"/>
      <c r="F19" s="175"/>
      <c r="G19" s="177" t="str">
        <f>IFERROR(IF($E19="Yes","IPP",VLOOKUP($J19,'ELA Reading Logic'!$A$3:$K$9,VLOOKUP("September",'ELA Reading Logic'!$J$22:$K$31,2,FALSE),FALSE)),"Set Grade")</f>
        <v>Set Grade</v>
      </c>
      <c r="H19" s="177" t="str">
        <f>IFERROR(IF($E19="Yes","IPP",VLOOKUP($J19,'ELA Reading Logic'!$A$13:$K$19,VLOOKUP("September",'ELA Reading Logic'!$J$22:$K$31,2,FALSE),FALSE)),"Set Grade")</f>
        <v>Set Grade</v>
      </c>
      <c r="I19" s="96" t="str">
        <f>IF($E19="Yes","IPP",IFERROR(IF(AND(F19&gt;G19,F19&lt;H19),"0",(VLOOKUP(F19,'ELA Reading Logic'!$A$22:$B$48,2,FALSE))-(IF(VLOOKUP(F19,'ELA Reading Logic'!$A$22:$B$48,2,FALSE)&lt;=VLOOKUP(G19,'ELA Reading Logic'!$A$22:$B$48,2,FALSE),VLOOKUP(G19,'ELA Reading Logic'!$A$22:$B$48,2,FALSE),IF(VLOOKUP(F19,'ELA Reading Logic'!$A$22:$B$48,2,FALSE)&gt;=VLOOKUP(H19,'ELA Reading Logic'!$A$22:$B$48,2,FALSE),VLOOKUP(H19,'ELA Reading Logic'!$A$22:$B$48,2,FALSE),"No Score")))),"No Value"))</f>
        <v>No Value</v>
      </c>
      <c r="J19" s="178"/>
      <c r="K19" s="96"/>
      <c r="L19" s="96"/>
      <c r="M19" s="96"/>
      <c r="N19" s="96"/>
      <c r="O19" s="96"/>
      <c r="P19" s="105"/>
      <c r="Q19" s="92"/>
      <c r="R19" s="96" t="str">
        <f>IFERROR(IF($E19="Yes","IPP",VLOOKUP($J19,'ELA Reading Logic'!$A$3:$K$9,VLOOKUP(Q$1,'ELA Reading Logic'!$J$22:$K$31,2,FALSE),FALSE)),"Set Grade")</f>
        <v>Set Grade</v>
      </c>
      <c r="S19" s="96" t="str">
        <f>IFERROR(IF($E19="Yes","IPP",VLOOKUP($J19,'ELA Reading Logic'!$A$13:$K$19,VLOOKUP(Q$1,'ELA Reading Logic'!$J$22:$K$31,2,FALSE),FALSE)),"Set Grade")</f>
        <v>Set Grade</v>
      </c>
      <c r="T19" s="96" t="str">
        <f>IF($E19="Yes","IPP",IFERROR(IF(AND(Q19&gt;R19,Q19&lt;S19),"0",(VLOOKUP(Q19,'ELA Reading Logic'!$A$22:$B$48,2,FALSE))-(IF(VLOOKUP(Q19,'ELA Reading Logic'!$A$22:$B$48,2,FALSE)&lt;=VLOOKUP(R19,'ELA Reading Logic'!$A$22:$B$48,2,FALSE),VLOOKUP(R19,'ELA Reading Logic'!$A$22:$B$48,2,FALSE),IF(VLOOKUP(Q19,'ELA Reading Logic'!$A$22:$B$48,2,FALSE)&gt;=VLOOKUP(S19,'ELA Reading Logic'!$A$22:$B$48,2,FALSE),VLOOKUP(S19,'ELA Reading Logic'!$A$22:$B$48,2,FALSE),"No Score")))),"No Value"))</f>
        <v>No Value</v>
      </c>
      <c r="U19" s="96" t="str">
        <f>IFERROR(VLOOKUP(Q19,'ELA Reading Logic'!$A$22:$B$48,2,FALSE)-VLOOKUP($F19,'ELA Reading Logic'!$A$22:$B$48,2,FALSE),"No Value")</f>
        <v>No Value</v>
      </c>
      <c r="V19" s="92"/>
      <c r="W19" s="96" t="str">
        <f>IFERROR(IF($E19="Yes","IPP",VLOOKUP($J19,'ELA Reading Logic'!$A$3:$K$9,VLOOKUP(V$1,'ELA Reading Logic'!$J$22:$K$31,2,FALSE),FALSE)),"Set Grade")</f>
        <v>Set Grade</v>
      </c>
      <c r="X19" s="96" t="str">
        <f>IFERROR(IF($E19="Yes","IPP",VLOOKUP($J19,'ELA Reading Logic'!$A$13:$K$19,VLOOKUP(V$1,'ELA Reading Logic'!$J$22:$K$31,2,FALSE),FALSE)),"Set Grade")</f>
        <v>Set Grade</v>
      </c>
      <c r="Y19" s="96" t="str">
        <f>IF($E19="Yes","IPP",IFERROR(IF(AND(V19&gt;W19,V19&lt;X19),"0",(VLOOKUP(V19,'ELA Reading Logic'!$A$22:$B$48,2,FALSE))-(IF(VLOOKUP(V19,'ELA Reading Logic'!$A$22:$B$48,2,FALSE)&lt;=VLOOKUP(W19,'ELA Reading Logic'!$A$22:$B$48,2,FALSE),VLOOKUP(W19,'ELA Reading Logic'!$A$22:$B$48,2,FALSE),IF(VLOOKUP(V19,'ELA Reading Logic'!$A$22:$B$48,2,FALSE)&gt;=VLOOKUP(X19,'ELA Reading Logic'!$A$22:$B$48,2,FALSE),VLOOKUP(X19,'ELA Reading Logic'!$A$22:$B$48,2,FALSE),"No Score")))),"No Value"))</f>
        <v>No Value</v>
      </c>
      <c r="Z19" s="96" t="str">
        <f>IFERROR(VLOOKUP(V19,'ELA Reading Logic'!$A$22:$B$48,2,FALSE)-VLOOKUP($F19,'ELA Reading Logic'!$A$22:$B$48,2,FALSE),"No Value")</f>
        <v>No Value</v>
      </c>
      <c r="AA19" s="92"/>
      <c r="AB19" s="96" t="str">
        <f>IFERROR(IF($E19="Yes","IPP",VLOOKUP($J19,'ELA Reading Logic'!$A$3:$K$9,VLOOKUP(AA$1,'ELA Reading Logic'!$J$22:$K$31,2,FALSE),FALSE)),"Set Grade")</f>
        <v>Set Grade</v>
      </c>
      <c r="AC19" s="96" t="str">
        <f>IFERROR(IF($E19="Yes","IPP",VLOOKUP($J19,'ELA Reading Logic'!$A$13:$K$19,VLOOKUP(AA$1,'ELA Reading Logic'!$J$22:$K$31,2,FALSE),FALSE)),"Set Grade")</f>
        <v>Set Grade</v>
      </c>
      <c r="AD19" s="96" t="str">
        <f>IF($E19="Yes","IPP",IFERROR(IF(AND(AA19&gt;AB19,AA19&lt;AC19),"0",(VLOOKUP(AA19,'ELA Reading Logic'!$A$22:$B$48,2,FALSE))-(IF(VLOOKUP(AA19,'ELA Reading Logic'!$A$22:$B$48,2,FALSE)&lt;=VLOOKUP(AB19,'ELA Reading Logic'!$A$22:$B$48,2,FALSE),VLOOKUP(AB19,'ELA Reading Logic'!$A$22:$B$48,2,FALSE),IF(VLOOKUP(AA19,'ELA Reading Logic'!$A$22:$B$48,2,FALSE)&gt;=VLOOKUP(AC19,'ELA Reading Logic'!$A$22:$B$48,2,FALSE),VLOOKUP(AC19,'ELA Reading Logic'!$A$22:$B$48,2,FALSE),"No Score")))),"No Value"))</f>
        <v>No Value</v>
      </c>
      <c r="AE19" s="96" t="str">
        <f>IFERROR(VLOOKUP(AA19,'ELA Reading Logic'!$A$22:$B$48,2,FALSE)-VLOOKUP($F19,'ELA Reading Logic'!$A$22:$B$48,2,FALSE),"No Value")</f>
        <v>No Value</v>
      </c>
      <c r="AF19" s="92"/>
      <c r="AG19" s="96" t="str">
        <f>IFERROR(IF($E19="Yes","IPP",VLOOKUP($J19,'ELA Reading Logic'!$A$3:$K$9,VLOOKUP(AF$1,'ELA Reading Logic'!$J$22:$K$31,2,FALSE),FALSE)),"Set Grade")</f>
        <v>Set Grade</v>
      </c>
      <c r="AH19" s="96" t="str">
        <f>IFERROR(IF($E19="Yes","IPP",VLOOKUP($J19,'ELA Reading Logic'!$A$13:$K$19,VLOOKUP(AF$1,'ELA Reading Logic'!$J$22:$K$31,2,FALSE),FALSE)),"Set Grade")</f>
        <v>Set Grade</v>
      </c>
      <c r="AI19" s="96" t="str">
        <f>IF($E19="Yes","IPP",IFERROR(IF(AND(AF19&gt;AG19,AF19&lt;AH19),"0",(VLOOKUP(AF19,'ELA Reading Logic'!$A$22:$B$48,2,FALSE))-(IF(VLOOKUP(AF19,'ELA Reading Logic'!$A$22:$B$48,2,FALSE)&lt;=VLOOKUP(AG19,'ELA Reading Logic'!$A$22:$B$48,2,FALSE),VLOOKUP(AG19,'ELA Reading Logic'!$A$22:$B$48,2,FALSE),IF(VLOOKUP(AF19,'ELA Reading Logic'!$A$22:$B$48,2,FALSE)&gt;=VLOOKUP(AH19,'ELA Reading Logic'!$A$22:$B$48,2,FALSE),VLOOKUP(AH19,'ELA Reading Logic'!$A$22:$B$48,2,FALSE),"No Score")))),"No Value"))</f>
        <v>No Value</v>
      </c>
      <c r="AJ19" s="96" t="str">
        <f>IFERROR(VLOOKUP(AF19,'ELA Reading Logic'!$A$22:$B$48,2,FALSE)-VLOOKUP($F19,'ELA Reading Logic'!$A$22:$B$48,2,FALSE),"No Value")</f>
        <v>No Value</v>
      </c>
      <c r="AK19" s="92"/>
      <c r="AL19" s="96" t="str">
        <f>IFERROR(IF($E19="Yes","IPP",VLOOKUP($J19,'ELA Reading Logic'!$A$3:$K$9,VLOOKUP(AK$1,'ELA Reading Logic'!$J$22:$K$31,2,FALSE),FALSE)),"Set Grade")</f>
        <v>Set Grade</v>
      </c>
      <c r="AM19" s="96" t="str">
        <f>IFERROR(IF($E19="Yes","IPP",VLOOKUP($J19,'ELA Reading Logic'!$A$13:$K$19,VLOOKUP(AK$1,'ELA Reading Logic'!$J$22:$K$31,2,FALSE),FALSE)),"Set Grade")</f>
        <v>Set Grade</v>
      </c>
      <c r="AN19" s="96" t="str">
        <f>IF($E19="Yes","IPP",IFERROR(IF(AND(AK19&gt;AL19,AK19&lt;AM19),"0",(VLOOKUP(AK19,'ELA Reading Logic'!$A$22:$B$48,2,FALSE))-(IF(VLOOKUP(AK19,'ELA Reading Logic'!$A$22:$B$48,2,FALSE)&lt;=VLOOKUP(AL19,'ELA Reading Logic'!$A$22:$B$48,2,FALSE),VLOOKUP(AL19,'ELA Reading Logic'!$A$22:$B$48,2,FALSE),IF(VLOOKUP(AK19,'ELA Reading Logic'!$A$22:$B$48,2,FALSE)&gt;=VLOOKUP(AM19,'ELA Reading Logic'!$A$22:$B$48,2,FALSE),VLOOKUP(AM19,'ELA Reading Logic'!$A$22:$B$48,2,FALSE),"No Score")))),"No Value"))</f>
        <v>No Value</v>
      </c>
      <c r="AO19" s="96" t="str">
        <f>IFERROR(VLOOKUP(AK19,'ELA Reading Logic'!$A$22:$B$48,2,FALSE)-VLOOKUP($F19,'ELA Reading Logic'!$A$22:$B$48,2,FALSE),"No Value")</f>
        <v>No Value</v>
      </c>
      <c r="AP19" s="92"/>
      <c r="AQ19" s="96" t="str">
        <f>IFERROR(IF($E19="Yes","IPP",VLOOKUP($J19,'ELA Reading Logic'!$A$3:$K$9,VLOOKUP(AP$1,'ELA Reading Logic'!$J$22:$K$31,2,FALSE),FALSE)),"Set Grade")</f>
        <v>Set Grade</v>
      </c>
      <c r="AR19" s="96" t="str">
        <f>IFERROR(IF($E19="Yes","IPP",VLOOKUP($J19,'ELA Reading Logic'!$A$13:$K$19,VLOOKUP(AP$1,'ELA Reading Logic'!$J$22:$K$31,2,FALSE),FALSE)),"Set Grade")</f>
        <v>Set Grade</v>
      </c>
      <c r="AS19" s="96" t="str">
        <f>IF($E19="Yes","IPP",IFERROR(IF(AND(AP19&gt;AQ19,AP19&lt;AR19),"0",(VLOOKUP(AP19,'ELA Reading Logic'!$A$22:$B$48,2,FALSE))-(IF(VLOOKUP(AP19,'ELA Reading Logic'!$A$22:$B$48,2,FALSE)&lt;=VLOOKUP(AQ19,'ELA Reading Logic'!$A$22:$B$48,2,FALSE),VLOOKUP(AQ19,'ELA Reading Logic'!$A$22:$B$48,2,FALSE),IF(VLOOKUP(AP19,'ELA Reading Logic'!$A$22:$B$48,2,FALSE)&gt;=VLOOKUP(AR19,'ELA Reading Logic'!$A$22:$B$48,2,FALSE),VLOOKUP(AR19,'ELA Reading Logic'!$A$22:$B$48,2,FALSE),"No Score")))),"No Value"))</f>
        <v>No Value</v>
      </c>
      <c r="AT19" s="96" t="str">
        <f>IFERROR(VLOOKUP(AP19,'ELA Reading Logic'!$A$22:$B$48,2,FALSE)-VLOOKUP($F19,'ELA Reading Logic'!$A$22:$B$48,2,FALSE),"No Value")</f>
        <v>No Value</v>
      </c>
    </row>
    <row r="20" spans="1:46" ht="22.5" customHeight="1" x14ac:dyDescent="0.25">
      <c r="A20" s="174"/>
      <c r="B20" s="174"/>
      <c r="C20" s="174"/>
      <c r="D20" s="174"/>
      <c r="E20" s="175"/>
      <c r="F20" s="175"/>
      <c r="G20" s="177" t="str">
        <f>IFERROR(IF($E20="Yes","IPP",VLOOKUP($J20,'ELA Reading Logic'!$A$3:$K$9,VLOOKUP("September",'ELA Reading Logic'!$J$22:$K$31,2,FALSE),FALSE)),"Set Grade")</f>
        <v>Set Grade</v>
      </c>
      <c r="H20" s="177" t="str">
        <f>IFERROR(IF($E20="Yes","IPP",VLOOKUP($J20,'ELA Reading Logic'!$A$13:$K$19,VLOOKUP("September",'ELA Reading Logic'!$J$22:$K$31,2,FALSE),FALSE)),"Set Grade")</f>
        <v>Set Grade</v>
      </c>
      <c r="I20" s="96" t="str">
        <f>IF($E20="Yes","IPP",IFERROR(IF(AND(F20&gt;G20,F20&lt;H20),"0",(VLOOKUP(F20,'ELA Reading Logic'!$A$22:$B$48,2,FALSE))-(IF(VLOOKUP(F20,'ELA Reading Logic'!$A$22:$B$48,2,FALSE)&lt;=VLOOKUP(G20,'ELA Reading Logic'!$A$22:$B$48,2,FALSE),VLOOKUP(G20,'ELA Reading Logic'!$A$22:$B$48,2,FALSE),IF(VLOOKUP(F20,'ELA Reading Logic'!$A$22:$B$48,2,FALSE)&gt;=VLOOKUP(H20,'ELA Reading Logic'!$A$22:$B$48,2,FALSE),VLOOKUP(H20,'ELA Reading Logic'!$A$22:$B$48,2,FALSE),"No Score")))),"No Value"))</f>
        <v>No Value</v>
      </c>
      <c r="J20" s="178"/>
      <c r="K20" s="96"/>
      <c r="L20" s="96"/>
      <c r="M20" s="96"/>
      <c r="N20" s="96"/>
      <c r="O20" s="96"/>
      <c r="P20" s="105"/>
      <c r="Q20" s="92"/>
      <c r="R20" s="96" t="str">
        <f>IFERROR(IF($E20="Yes","IPP",VLOOKUP($J20,'ELA Reading Logic'!$A$3:$K$9,VLOOKUP(Q$1,'ELA Reading Logic'!$J$22:$K$31,2,FALSE),FALSE)),"Set Grade")</f>
        <v>Set Grade</v>
      </c>
      <c r="S20" s="96" t="str">
        <f>IFERROR(IF($E20="Yes","IPP",VLOOKUP($J20,'ELA Reading Logic'!$A$13:$K$19,VLOOKUP(Q$1,'ELA Reading Logic'!$J$22:$K$31,2,FALSE),FALSE)),"Set Grade")</f>
        <v>Set Grade</v>
      </c>
      <c r="T20" s="96" t="str">
        <f>IF($E20="Yes","IPP",IFERROR(IF(AND(Q20&gt;R20,Q20&lt;S20),"0",(VLOOKUP(Q20,'ELA Reading Logic'!$A$22:$B$48,2,FALSE))-(IF(VLOOKUP(Q20,'ELA Reading Logic'!$A$22:$B$48,2,FALSE)&lt;=VLOOKUP(R20,'ELA Reading Logic'!$A$22:$B$48,2,FALSE),VLOOKUP(R20,'ELA Reading Logic'!$A$22:$B$48,2,FALSE),IF(VLOOKUP(Q20,'ELA Reading Logic'!$A$22:$B$48,2,FALSE)&gt;=VLOOKUP(S20,'ELA Reading Logic'!$A$22:$B$48,2,FALSE),VLOOKUP(S20,'ELA Reading Logic'!$A$22:$B$48,2,FALSE),"No Score")))),"No Value"))</f>
        <v>No Value</v>
      </c>
      <c r="U20" s="96" t="str">
        <f>IFERROR(VLOOKUP(Q20,'ELA Reading Logic'!$A$22:$B$48,2,FALSE)-VLOOKUP($F20,'ELA Reading Logic'!$A$22:$B$48,2,FALSE),"No Value")</f>
        <v>No Value</v>
      </c>
      <c r="V20" s="92"/>
      <c r="W20" s="96" t="str">
        <f>IFERROR(IF($E20="Yes","IPP",VLOOKUP($J20,'ELA Reading Logic'!$A$3:$K$9,VLOOKUP(V$1,'ELA Reading Logic'!$J$22:$K$31,2,FALSE),FALSE)),"Set Grade")</f>
        <v>Set Grade</v>
      </c>
      <c r="X20" s="96" t="str">
        <f>IFERROR(IF($E20="Yes","IPP",VLOOKUP($J20,'ELA Reading Logic'!$A$13:$K$19,VLOOKUP(V$1,'ELA Reading Logic'!$J$22:$K$31,2,FALSE),FALSE)),"Set Grade")</f>
        <v>Set Grade</v>
      </c>
      <c r="Y20" s="96" t="str">
        <f>IF($E20="Yes","IPP",IFERROR(IF(AND(V20&gt;W20,V20&lt;X20),"0",(VLOOKUP(V20,'ELA Reading Logic'!$A$22:$B$48,2,FALSE))-(IF(VLOOKUP(V20,'ELA Reading Logic'!$A$22:$B$48,2,FALSE)&lt;=VLOOKUP(W20,'ELA Reading Logic'!$A$22:$B$48,2,FALSE),VLOOKUP(W20,'ELA Reading Logic'!$A$22:$B$48,2,FALSE),IF(VLOOKUP(V20,'ELA Reading Logic'!$A$22:$B$48,2,FALSE)&gt;=VLOOKUP(X20,'ELA Reading Logic'!$A$22:$B$48,2,FALSE),VLOOKUP(X20,'ELA Reading Logic'!$A$22:$B$48,2,FALSE),"No Score")))),"No Value"))</f>
        <v>No Value</v>
      </c>
      <c r="Z20" s="96" t="str">
        <f>IFERROR(VLOOKUP(V20,'ELA Reading Logic'!$A$22:$B$48,2,FALSE)-VLOOKUP($F20,'ELA Reading Logic'!$A$22:$B$48,2,FALSE),"No Value")</f>
        <v>No Value</v>
      </c>
      <c r="AA20" s="92"/>
      <c r="AB20" s="96" t="str">
        <f>IFERROR(IF($E20="Yes","IPP",VLOOKUP($J20,'ELA Reading Logic'!$A$3:$K$9,VLOOKUP(AA$1,'ELA Reading Logic'!$J$22:$K$31,2,FALSE),FALSE)),"Set Grade")</f>
        <v>Set Grade</v>
      </c>
      <c r="AC20" s="96" t="str">
        <f>IFERROR(IF($E20="Yes","IPP",VLOOKUP($J20,'ELA Reading Logic'!$A$13:$K$19,VLOOKUP(AA$1,'ELA Reading Logic'!$J$22:$K$31,2,FALSE),FALSE)),"Set Grade")</f>
        <v>Set Grade</v>
      </c>
      <c r="AD20" s="96" t="str">
        <f>IF($E20="Yes","IPP",IFERROR(IF(AND(AA20&gt;AB20,AA20&lt;AC20),"0",(VLOOKUP(AA20,'ELA Reading Logic'!$A$22:$B$48,2,FALSE))-(IF(VLOOKUP(AA20,'ELA Reading Logic'!$A$22:$B$48,2,FALSE)&lt;=VLOOKUP(AB20,'ELA Reading Logic'!$A$22:$B$48,2,FALSE),VLOOKUP(AB20,'ELA Reading Logic'!$A$22:$B$48,2,FALSE),IF(VLOOKUP(AA20,'ELA Reading Logic'!$A$22:$B$48,2,FALSE)&gt;=VLOOKUP(AC20,'ELA Reading Logic'!$A$22:$B$48,2,FALSE),VLOOKUP(AC20,'ELA Reading Logic'!$A$22:$B$48,2,FALSE),"No Score")))),"No Value"))</f>
        <v>No Value</v>
      </c>
      <c r="AE20" s="96" t="str">
        <f>IFERROR(VLOOKUP(AA20,'ELA Reading Logic'!$A$22:$B$48,2,FALSE)-VLOOKUP($F20,'ELA Reading Logic'!$A$22:$B$48,2,FALSE),"No Value")</f>
        <v>No Value</v>
      </c>
      <c r="AF20" s="92"/>
      <c r="AG20" s="96" t="str">
        <f>IFERROR(IF($E20="Yes","IPP",VLOOKUP($J20,'ELA Reading Logic'!$A$3:$K$9,VLOOKUP(AF$1,'ELA Reading Logic'!$J$22:$K$31,2,FALSE),FALSE)),"Set Grade")</f>
        <v>Set Grade</v>
      </c>
      <c r="AH20" s="96" t="str">
        <f>IFERROR(IF($E20="Yes","IPP",VLOOKUP($J20,'ELA Reading Logic'!$A$13:$K$19,VLOOKUP(AF$1,'ELA Reading Logic'!$J$22:$K$31,2,FALSE),FALSE)),"Set Grade")</f>
        <v>Set Grade</v>
      </c>
      <c r="AI20" s="96" t="str">
        <f>IF($E20="Yes","IPP",IFERROR(IF(AND(AF20&gt;AG20,AF20&lt;AH20),"0",(VLOOKUP(AF20,'ELA Reading Logic'!$A$22:$B$48,2,FALSE))-(IF(VLOOKUP(AF20,'ELA Reading Logic'!$A$22:$B$48,2,FALSE)&lt;=VLOOKUP(AG20,'ELA Reading Logic'!$A$22:$B$48,2,FALSE),VLOOKUP(AG20,'ELA Reading Logic'!$A$22:$B$48,2,FALSE),IF(VLOOKUP(AF20,'ELA Reading Logic'!$A$22:$B$48,2,FALSE)&gt;=VLOOKUP(AH20,'ELA Reading Logic'!$A$22:$B$48,2,FALSE),VLOOKUP(AH20,'ELA Reading Logic'!$A$22:$B$48,2,FALSE),"No Score")))),"No Value"))</f>
        <v>No Value</v>
      </c>
      <c r="AJ20" s="96" t="str">
        <f>IFERROR(VLOOKUP(AF20,'ELA Reading Logic'!$A$22:$B$48,2,FALSE)-VLOOKUP($F20,'ELA Reading Logic'!$A$22:$B$48,2,FALSE),"No Value")</f>
        <v>No Value</v>
      </c>
      <c r="AK20" s="92"/>
      <c r="AL20" s="96" t="str">
        <f>IFERROR(IF($E20="Yes","IPP",VLOOKUP($J20,'ELA Reading Logic'!$A$3:$K$9,VLOOKUP(AK$1,'ELA Reading Logic'!$J$22:$K$31,2,FALSE),FALSE)),"Set Grade")</f>
        <v>Set Grade</v>
      </c>
      <c r="AM20" s="96" t="str">
        <f>IFERROR(IF($E20="Yes","IPP",VLOOKUP($J20,'ELA Reading Logic'!$A$13:$K$19,VLOOKUP(AK$1,'ELA Reading Logic'!$J$22:$K$31,2,FALSE),FALSE)),"Set Grade")</f>
        <v>Set Grade</v>
      </c>
      <c r="AN20" s="96" t="str">
        <f>IF($E20="Yes","IPP",IFERROR(IF(AND(AK20&gt;AL20,AK20&lt;AM20),"0",(VLOOKUP(AK20,'ELA Reading Logic'!$A$22:$B$48,2,FALSE))-(IF(VLOOKUP(AK20,'ELA Reading Logic'!$A$22:$B$48,2,FALSE)&lt;=VLOOKUP(AL20,'ELA Reading Logic'!$A$22:$B$48,2,FALSE),VLOOKUP(AL20,'ELA Reading Logic'!$A$22:$B$48,2,FALSE),IF(VLOOKUP(AK20,'ELA Reading Logic'!$A$22:$B$48,2,FALSE)&gt;=VLOOKUP(AM20,'ELA Reading Logic'!$A$22:$B$48,2,FALSE),VLOOKUP(AM20,'ELA Reading Logic'!$A$22:$B$48,2,FALSE),"No Score")))),"No Value"))</f>
        <v>No Value</v>
      </c>
      <c r="AO20" s="96" t="str">
        <f>IFERROR(VLOOKUP(AK20,'ELA Reading Logic'!$A$22:$B$48,2,FALSE)-VLOOKUP($F20,'ELA Reading Logic'!$A$22:$B$48,2,FALSE),"No Value")</f>
        <v>No Value</v>
      </c>
      <c r="AP20" s="92"/>
      <c r="AQ20" s="96" t="str">
        <f>IFERROR(IF($E20="Yes","IPP",VLOOKUP($J20,'ELA Reading Logic'!$A$3:$K$9,VLOOKUP(AP$1,'ELA Reading Logic'!$J$22:$K$31,2,FALSE),FALSE)),"Set Grade")</f>
        <v>Set Grade</v>
      </c>
      <c r="AR20" s="96" t="str">
        <f>IFERROR(IF($E20="Yes","IPP",VLOOKUP($J20,'ELA Reading Logic'!$A$13:$K$19,VLOOKUP(AP$1,'ELA Reading Logic'!$J$22:$K$31,2,FALSE),FALSE)),"Set Grade")</f>
        <v>Set Grade</v>
      </c>
      <c r="AS20" s="96" t="str">
        <f>IF($E20="Yes","IPP",IFERROR(IF(AND(AP20&gt;AQ20,AP20&lt;AR20),"0",(VLOOKUP(AP20,'ELA Reading Logic'!$A$22:$B$48,2,FALSE))-(IF(VLOOKUP(AP20,'ELA Reading Logic'!$A$22:$B$48,2,FALSE)&lt;=VLOOKUP(AQ20,'ELA Reading Logic'!$A$22:$B$48,2,FALSE),VLOOKUP(AQ20,'ELA Reading Logic'!$A$22:$B$48,2,FALSE),IF(VLOOKUP(AP20,'ELA Reading Logic'!$A$22:$B$48,2,FALSE)&gt;=VLOOKUP(AR20,'ELA Reading Logic'!$A$22:$B$48,2,FALSE),VLOOKUP(AR20,'ELA Reading Logic'!$A$22:$B$48,2,FALSE),"No Score")))),"No Value"))</f>
        <v>No Value</v>
      </c>
      <c r="AT20" s="96" t="str">
        <f>IFERROR(VLOOKUP(AP20,'ELA Reading Logic'!$A$22:$B$48,2,FALSE)-VLOOKUP($F20,'ELA Reading Logic'!$A$22:$B$48,2,FALSE),"No Value")</f>
        <v>No Value</v>
      </c>
    </row>
    <row r="21" spans="1:46" ht="22.5" customHeight="1" x14ac:dyDescent="0.25">
      <c r="A21" s="228"/>
      <c r="B21" s="229"/>
      <c r="C21" s="229"/>
      <c r="D21" s="229"/>
      <c r="E21" s="175"/>
      <c r="F21" s="175"/>
      <c r="G21" s="177" t="str">
        <f>IFERROR(IF($E21="Yes","IPP",VLOOKUP($J21,'ELA Reading Logic'!$A$3:$K$9,VLOOKUP("September",'ELA Reading Logic'!$J$22:$K$31,2,FALSE),FALSE)),"Set Grade")</f>
        <v>Set Grade</v>
      </c>
      <c r="H21" s="177" t="str">
        <f>IFERROR(IF($E21="Yes","IPP",VLOOKUP($J21,'ELA Reading Logic'!$A$13:$K$19,VLOOKUP("September",'ELA Reading Logic'!$J$22:$K$31,2,FALSE),FALSE)),"Set Grade")</f>
        <v>Set Grade</v>
      </c>
      <c r="I21" s="96" t="str">
        <f>IF($E21="Yes","IPP",IFERROR(IF(AND(F21&gt;G21,F21&lt;H21),"0",(VLOOKUP(F21,'ELA Reading Logic'!$A$22:$B$48,2,FALSE))-(IF(VLOOKUP(F21,'ELA Reading Logic'!$A$22:$B$48,2,FALSE)&lt;=VLOOKUP(G21,'ELA Reading Logic'!$A$22:$B$48,2,FALSE),VLOOKUP(G21,'ELA Reading Logic'!$A$22:$B$48,2,FALSE),IF(VLOOKUP(F21,'ELA Reading Logic'!$A$22:$B$48,2,FALSE)&gt;=VLOOKUP(H21,'ELA Reading Logic'!$A$22:$B$48,2,FALSE),VLOOKUP(H21,'ELA Reading Logic'!$A$22:$B$48,2,FALSE),"No Score")))),"No Value"))</f>
        <v>No Value</v>
      </c>
      <c r="J21" s="178"/>
      <c r="K21" s="96"/>
      <c r="L21" s="96"/>
      <c r="M21" s="96"/>
      <c r="N21" s="96"/>
      <c r="O21" s="96"/>
      <c r="P21" s="105"/>
      <c r="Q21" s="92"/>
      <c r="R21" s="96" t="str">
        <f>IFERROR(IF($E21="Yes","IPP",VLOOKUP($J21,'ELA Reading Logic'!$A$3:$K$9,VLOOKUP(Q$1,'ELA Reading Logic'!$J$22:$K$31,2,FALSE),FALSE)),"Set Grade")</f>
        <v>Set Grade</v>
      </c>
      <c r="S21" s="96" t="str">
        <f>IFERROR(IF($E21="Yes","IPP",VLOOKUP($J21,'ELA Reading Logic'!$A$13:$K$19,VLOOKUP(Q$1,'ELA Reading Logic'!$J$22:$K$31,2,FALSE),FALSE)),"Set Grade")</f>
        <v>Set Grade</v>
      </c>
      <c r="T21" s="96" t="str">
        <f>IF($E21="Yes","IPP",IFERROR(IF(AND(Q21&gt;R21,Q21&lt;S21),"0",(VLOOKUP(Q21,'ELA Reading Logic'!$A$22:$B$48,2,FALSE))-(IF(VLOOKUP(Q21,'ELA Reading Logic'!$A$22:$B$48,2,FALSE)&lt;=VLOOKUP(R21,'ELA Reading Logic'!$A$22:$B$48,2,FALSE),VLOOKUP(R21,'ELA Reading Logic'!$A$22:$B$48,2,FALSE),IF(VLOOKUP(Q21,'ELA Reading Logic'!$A$22:$B$48,2,FALSE)&gt;=VLOOKUP(S21,'ELA Reading Logic'!$A$22:$B$48,2,FALSE),VLOOKUP(S21,'ELA Reading Logic'!$A$22:$B$48,2,FALSE),"No Score")))),"No Value"))</f>
        <v>No Value</v>
      </c>
      <c r="U21" s="96" t="str">
        <f>IFERROR(VLOOKUP(Q21,'ELA Reading Logic'!$A$22:$B$48,2,FALSE)-VLOOKUP($F21,'ELA Reading Logic'!$A$22:$B$48,2,FALSE),"No Value")</f>
        <v>No Value</v>
      </c>
      <c r="V21" s="92"/>
      <c r="W21" s="96" t="str">
        <f>IFERROR(IF($E21="Yes","IPP",VLOOKUP($J21,'ELA Reading Logic'!$A$3:$K$9,VLOOKUP(V$1,'ELA Reading Logic'!$J$22:$K$31,2,FALSE),FALSE)),"Set Grade")</f>
        <v>Set Grade</v>
      </c>
      <c r="X21" s="96" t="str">
        <f>IFERROR(IF($E21="Yes","IPP",VLOOKUP($J21,'ELA Reading Logic'!$A$13:$K$19,VLOOKUP(V$1,'ELA Reading Logic'!$J$22:$K$31,2,FALSE),FALSE)),"Set Grade")</f>
        <v>Set Grade</v>
      </c>
      <c r="Y21" s="96" t="str">
        <f>IF($E21="Yes","IPP",IFERROR(IF(AND(V21&gt;W21,V21&lt;X21),"0",(VLOOKUP(V21,'ELA Reading Logic'!$A$22:$B$48,2,FALSE))-(IF(VLOOKUP(V21,'ELA Reading Logic'!$A$22:$B$48,2,FALSE)&lt;=VLOOKUP(W21,'ELA Reading Logic'!$A$22:$B$48,2,FALSE),VLOOKUP(W21,'ELA Reading Logic'!$A$22:$B$48,2,FALSE),IF(VLOOKUP(V21,'ELA Reading Logic'!$A$22:$B$48,2,FALSE)&gt;=VLOOKUP(X21,'ELA Reading Logic'!$A$22:$B$48,2,FALSE),VLOOKUP(X21,'ELA Reading Logic'!$A$22:$B$48,2,FALSE),"No Score")))),"No Value"))</f>
        <v>No Value</v>
      </c>
      <c r="Z21" s="96" t="str">
        <f>IFERROR(VLOOKUP(V21,'ELA Reading Logic'!$A$22:$B$48,2,FALSE)-VLOOKUP($F21,'ELA Reading Logic'!$A$22:$B$48,2,FALSE),"No Value")</f>
        <v>No Value</v>
      </c>
      <c r="AA21" s="92"/>
      <c r="AB21" s="96" t="str">
        <f>IFERROR(IF($E21="Yes","IPP",VLOOKUP($J21,'ELA Reading Logic'!$A$3:$K$9,VLOOKUP(AA$1,'ELA Reading Logic'!$J$22:$K$31,2,FALSE),FALSE)),"Set Grade")</f>
        <v>Set Grade</v>
      </c>
      <c r="AC21" s="96" t="str">
        <f>IFERROR(IF($E21="Yes","IPP",VLOOKUP($J21,'ELA Reading Logic'!$A$13:$K$19,VLOOKUP(AA$1,'ELA Reading Logic'!$J$22:$K$31,2,FALSE),FALSE)),"Set Grade")</f>
        <v>Set Grade</v>
      </c>
      <c r="AD21" s="96" t="str">
        <f>IF($E21="Yes","IPP",IFERROR(IF(AND(AA21&gt;AB21,AA21&lt;AC21),"0",(VLOOKUP(AA21,'ELA Reading Logic'!$A$22:$B$48,2,FALSE))-(IF(VLOOKUP(AA21,'ELA Reading Logic'!$A$22:$B$48,2,FALSE)&lt;=VLOOKUP(AB21,'ELA Reading Logic'!$A$22:$B$48,2,FALSE),VLOOKUP(AB21,'ELA Reading Logic'!$A$22:$B$48,2,FALSE),IF(VLOOKUP(AA21,'ELA Reading Logic'!$A$22:$B$48,2,FALSE)&gt;=VLOOKUP(AC21,'ELA Reading Logic'!$A$22:$B$48,2,FALSE),VLOOKUP(AC21,'ELA Reading Logic'!$A$22:$B$48,2,FALSE),"No Score")))),"No Value"))</f>
        <v>No Value</v>
      </c>
      <c r="AE21" s="96" t="str">
        <f>IFERROR(VLOOKUP(AA21,'ELA Reading Logic'!$A$22:$B$48,2,FALSE)-VLOOKUP($F21,'ELA Reading Logic'!$A$22:$B$48,2,FALSE),"No Value")</f>
        <v>No Value</v>
      </c>
      <c r="AF21" s="92"/>
      <c r="AG21" s="96" t="str">
        <f>IFERROR(IF($E21="Yes","IPP",VLOOKUP($J21,'ELA Reading Logic'!$A$3:$K$9,VLOOKUP(AF$1,'ELA Reading Logic'!$J$22:$K$31,2,FALSE),FALSE)),"Set Grade")</f>
        <v>Set Grade</v>
      </c>
      <c r="AH21" s="96" t="str">
        <f>IFERROR(IF($E21="Yes","IPP",VLOOKUP($J21,'ELA Reading Logic'!$A$13:$K$19,VLOOKUP(AF$1,'ELA Reading Logic'!$J$22:$K$31,2,FALSE),FALSE)),"Set Grade")</f>
        <v>Set Grade</v>
      </c>
      <c r="AI21" s="96" t="str">
        <f>IF($E21="Yes","IPP",IFERROR(IF(AND(AF21&gt;AG21,AF21&lt;AH21),"0",(VLOOKUP(AF21,'ELA Reading Logic'!$A$22:$B$48,2,FALSE))-(IF(VLOOKUP(AF21,'ELA Reading Logic'!$A$22:$B$48,2,FALSE)&lt;=VLOOKUP(AG21,'ELA Reading Logic'!$A$22:$B$48,2,FALSE),VLOOKUP(AG21,'ELA Reading Logic'!$A$22:$B$48,2,FALSE),IF(VLOOKUP(AF21,'ELA Reading Logic'!$A$22:$B$48,2,FALSE)&gt;=VLOOKUP(AH21,'ELA Reading Logic'!$A$22:$B$48,2,FALSE),VLOOKUP(AH21,'ELA Reading Logic'!$A$22:$B$48,2,FALSE),"No Score")))),"No Value"))</f>
        <v>No Value</v>
      </c>
      <c r="AJ21" s="96" t="str">
        <f>IFERROR(VLOOKUP(AF21,'ELA Reading Logic'!$A$22:$B$48,2,FALSE)-VLOOKUP($F21,'ELA Reading Logic'!$A$22:$B$48,2,FALSE),"No Value")</f>
        <v>No Value</v>
      </c>
      <c r="AK21" s="92"/>
      <c r="AL21" s="96" t="str">
        <f>IFERROR(IF($E21="Yes","IPP",VLOOKUP($J21,'ELA Reading Logic'!$A$3:$K$9,VLOOKUP(AK$1,'ELA Reading Logic'!$J$22:$K$31,2,FALSE),FALSE)),"Set Grade")</f>
        <v>Set Grade</v>
      </c>
      <c r="AM21" s="96" t="str">
        <f>IFERROR(IF($E21="Yes","IPP",VLOOKUP($J21,'ELA Reading Logic'!$A$13:$K$19,VLOOKUP(AK$1,'ELA Reading Logic'!$J$22:$K$31,2,FALSE),FALSE)),"Set Grade")</f>
        <v>Set Grade</v>
      </c>
      <c r="AN21" s="96" t="str">
        <f>IF($E21="Yes","IPP",IFERROR(IF(AND(AK21&gt;AL21,AK21&lt;AM21),"0",(VLOOKUP(AK21,'ELA Reading Logic'!$A$22:$B$48,2,FALSE))-(IF(VLOOKUP(AK21,'ELA Reading Logic'!$A$22:$B$48,2,FALSE)&lt;=VLOOKUP(AL21,'ELA Reading Logic'!$A$22:$B$48,2,FALSE),VLOOKUP(AL21,'ELA Reading Logic'!$A$22:$B$48,2,FALSE),IF(VLOOKUP(AK21,'ELA Reading Logic'!$A$22:$B$48,2,FALSE)&gt;=VLOOKUP(AM21,'ELA Reading Logic'!$A$22:$B$48,2,FALSE),VLOOKUP(AM21,'ELA Reading Logic'!$A$22:$B$48,2,FALSE),"No Score")))),"No Value"))</f>
        <v>No Value</v>
      </c>
      <c r="AO21" s="96" t="str">
        <f>IFERROR(VLOOKUP(AK21,'ELA Reading Logic'!$A$22:$B$48,2,FALSE)-VLOOKUP($F21,'ELA Reading Logic'!$A$22:$B$48,2,FALSE),"No Value")</f>
        <v>No Value</v>
      </c>
      <c r="AP21" s="92"/>
      <c r="AQ21" s="96" t="str">
        <f>IFERROR(IF($E21="Yes","IPP",VLOOKUP($J21,'ELA Reading Logic'!$A$3:$K$9,VLOOKUP(AP$1,'ELA Reading Logic'!$J$22:$K$31,2,FALSE),FALSE)),"Set Grade")</f>
        <v>Set Grade</v>
      </c>
      <c r="AR21" s="96" t="str">
        <f>IFERROR(IF($E21="Yes","IPP",VLOOKUP($J21,'ELA Reading Logic'!$A$13:$K$19,VLOOKUP(AP$1,'ELA Reading Logic'!$J$22:$K$31,2,FALSE),FALSE)),"Set Grade")</f>
        <v>Set Grade</v>
      </c>
      <c r="AS21" s="96" t="str">
        <f>IF($E21="Yes","IPP",IFERROR(IF(AND(AP21&gt;AQ21,AP21&lt;AR21),"0",(VLOOKUP(AP21,'ELA Reading Logic'!$A$22:$B$48,2,FALSE))-(IF(VLOOKUP(AP21,'ELA Reading Logic'!$A$22:$B$48,2,FALSE)&lt;=VLOOKUP(AQ21,'ELA Reading Logic'!$A$22:$B$48,2,FALSE),VLOOKUP(AQ21,'ELA Reading Logic'!$A$22:$B$48,2,FALSE),IF(VLOOKUP(AP21,'ELA Reading Logic'!$A$22:$B$48,2,FALSE)&gt;=VLOOKUP(AR21,'ELA Reading Logic'!$A$22:$B$48,2,FALSE),VLOOKUP(AR21,'ELA Reading Logic'!$A$22:$B$48,2,FALSE),"No Score")))),"No Value"))</f>
        <v>No Value</v>
      </c>
      <c r="AT21" s="96" t="str">
        <f>IFERROR(VLOOKUP(AP21,'ELA Reading Logic'!$A$22:$B$48,2,FALSE)-VLOOKUP($F21,'ELA Reading Logic'!$A$22:$B$48,2,FALSE),"No Value")</f>
        <v>No Value</v>
      </c>
    </row>
    <row r="22" spans="1:46" ht="22.5" customHeight="1" x14ac:dyDescent="0.25">
      <c r="A22" s="176"/>
      <c r="B22" s="176"/>
      <c r="C22" s="176"/>
      <c r="D22" s="176"/>
      <c r="E22" s="175"/>
      <c r="F22" s="175"/>
      <c r="G22" s="177" t="str">
        <f>IFERROR(IF($E22="Yes","IPP",VLOOKUP($J22,'ELA Reading Logic'!$A$3:$K$9,VLOOKUP("September",'ELA Reading Logic'!$J$22:$K$31,2,FALSE),FALSE)),"Set Grade")</f>
        <v>Set Grade</v>
      </c>
      <c r="H22" s="177" t="str">
        <f>IFERROR(IF($E22="Yes","IPP",VLOOKUP($J22,'ELA Reading Logic'!$A$13:$K$19,VLOOKUP("September",'ELA Reading Logic'!$J$22:$K$31,2,FALSE),FALSE)),"Set Grade")</f>
        <v>Set Grade</v>
      </c>
      <c r="I22" s="96" t="str">
        <f>IF($E22="Yes","IPP",IFERROR(IF(AND(F22&gt;G22,F22&lt;H22),"0",(VLOOKUP(F22,'ELA Reading Logic'!$A$22:$B$48,2,FALSE))-(IF(VLOOKUP(F22,'ELA Reading Logic'!$A$22:$B$48,2,FALSE)&lt;=VLOOKUP(G22,'ELA Reading Logic'!$A$22:$B$48,2,FALSE),VLOOKUP(G22,'ELA Reading Logic'!$A$22:$B$48,2,FALSE),IF(VLOOKUP(F22,'ELA Reading Logic'!$A$22:$B$48,2,FALSE)&gt;=VLOOKUP(H22,'ELA Reading Logic'!$A$22:$B$48,2,FALSE),VLOOKUP(H22,'ELA Reading Logic'!$A$22:$B$48,2,FALSE),"No Score")))),"No Value"))</f>
        <v>No Value</v>
      </c>
      <c r="J22" s="178"/>
      <c r="K22" s="96"/>
      <c r="L22" s="96"/>
      <c r="M22" s="96"/>
      <c r="N22" s="96"/>
      <c r="O22" s="96"/>
      <c r="P22" s="105"/>
      <c r="Q22" s="92"/>
      <c r="R22" s="96" t="str">
        <f>IFERROR(IF($E22="Yes","IPP",VLOOKUP($J22,'ELA Reading Logic'!$A$3:$K$9,VLOOKUP(Q$1,'ELA Reading Logic'!$J$22:$K$31,2,FALSE),FALSE)),"Set Grade")</f>
        <v>Set Grade</v>
      </c>
      <c r="S22" s="96" t="str">
        <f>IFERROR(IF($E22="Yes","IPP",VLOOKUP($J22,'ELA Reading Logic'!$A$13:$K$19,VLOOKUP(Q$1,'ELA Reading Logic'!$J$22:$K$31,2,FALSE),FALSE)),"Set Grade")</f>
        <v>Set Grade</v>
      </c>
      <c r="T22" s="96" t="str">
        <f>IF($E22="Yes","IPP",IFERROR(IF(AND(Q22&gt;R22,Q22&lt;S22),"0",(VLOOKUP(Q22,'ELA Reading Logic'!$A$22:$B$48,2,FALSE))-(IF(VLOOKUP(Q22,'ELA Reading Logic'!$A$22:$B$48,2,FALSE)&lt;=VLOOKUP(R22,'ELA Reading Logic'!$A$22:$B$48,2,FALSE),VLOOKUP(R22,'ELA Reading Logic'!$A$22:$B$48,2,FALSE),IF(VLOOKUP(Q22,'ELA Reading Logic'!$A$22:$B$48,2,FALSE)&gt;=VLOOKUP(S22,'ELA Reading Logic'!$A$22:$B$48,2,FALSE),VLOOKUP(S22,'ELA Reading Logic'!$A$22:$B$48,2,FALSE),"No Score")))),"No Value"))</f>
        <v>No Value</v>
      </c>
      <c r="U22" s="96" t="str">
        <f>IFERROR(VLOOKUP(Q22,'ELA Reading Logic'!$A$22:$B$48,2,FALSE)-VLOOKUP($F22,'ELA Reading Logic'!$A$22:$B$48,2,FALSE),"No Value")</f>
        <v>No Value</v>
      </c>
      <c r="V22" s="92"/>
      <c r="W22" s="96" t="str">
        <f>IFERROR(IF($E22="Yes","IPP",VLOOKUP($J22,'ELA Reading Logic'!$A$3:$K$9,VLOOKUP(V$1,'ELA Reading Logic'!$J$22:$K$31,2,FALSE),FALSE)),"Set Grade")</f>
        <v>Set Grade</v>
      </c>
      <c r="X22" s="96" t="str">
        <f>IFERROR(IF($E22="Yes","IPP",VLOOKUP($J22,'ELA Reading Logic'!$A$13:$K$19,VLOOKUP(V$1,'ELA Reading Logic'!$J$22:$K$31,2,FALSE),FALSE)),"Set Grade")</f>
        <v>Set Grade</v>
      </c>
      <c r="Y22" s="96" t="str">
        <f>IF($E22="Yes","IPP",IFERROR(IF(AND(V22&gt;W22,V22&lt;X22),"0",(VLOOKUP(V22,'ELA Reading Logic'!$A$22:$B$48,2,FALSE))-(IF(VLOOKUP(V22,'ELA Reading Logic'!$A$22:$B$48,2,FALSE)&lt;=VLOOKUP(W22,'ELA Reading Logic'!$A$22:$B$48,2,FALSE),VLOOKUP(W22,'ELA Reading Logic'!$A$22:$B$48,2,FALSE),IF(VLOOKUP(V22,'ELA Reading Logic'!$A$22:$B$48,2,FALSE)&gt;=VLOOKUP(X22,'ELA Reading Logic'!$A$22:$B$48,2,FALSE),VLOOKUP(X22,'ELA Reading Logic'!$A$22:$B$48,2,FALSE),"No Score")))),"No Value"))</f>
        <v>No Value</v>
      </c>
      <c r="Z22" s="96" t="str">
        <f>IFERROR(VLOOKUP(V22,'ELA Reading Logic'!$A$22:$B$48,2,FALSE)-VLOOKUP($F22,'ELA Reading Logic'!$A$22:$B$48,2,FALSE),"No Value")</f>
        <v>No Value</v>
      </c>
      <c r="AA22" s="92"/>
      <c r="AB22" s="96" t="str">
        <f>IFERROR(IF($E22="Yes","IPP",VLOOKUP($J22,'ELA Reading Logic'!$A$3:$K$9,VLOOKUP(AA$1,'ELA Reading Logic'!$J$22:$K$31,2,FALSE),FALSE)),"Set Grade")</f>
        <v>Set Grade</v>
      </c>
      <c r="AC22" s="96" t="str">
        <f>IFERROR(IF($E22="Yes","IPP",VLOOKUP($J22,'ELA Reading Logic'!$A$13:$K$19,VLOOKUP(AA$1,'ELA Reading Logic'!$J$22:$K$31,2,FALSE),FALSE)),"Set Grade")</f>
        <v>Set Grade</v>
      </c>
      <c r="AD22" s="96" t="str">
        <f>IF($E22="Yes","IPP",IFERROR(IF(AND(AA22&gt;AB22,AA22&lt;AC22),"0",(VLOOKUP(AA22,'ELA Reading Logic'!$A$22:$B$48,2,FALSE))-(IF(VLOOKUP(AA22,'ELA Reading Logic'!$A$22:$B$48,2,FALSE)&lt;=VLOOKUP(AB22,'ELA Reading Logic'!$A$22:$B$48,2,FALSE),VLOOKUP(AB22,'ELA Reading Logic'!$A$22:$B$48,2,FALSE),IF(VLOOKUP(AA22,'ELA Reading Logic'!$A$22:$B$48,2,FALSE)&gt;=VLOOKUP(AC22,'ELA Reading Logic'!$A$22:$B$48,2,FALSE),VLOOKUP(AC22,'ELA Reading Logic'!$A$22:$B$48,2,FALSE),"No Score")))),"No Value"))</f>
        <v>No Value</v>
      </c>
      <c r="AE22" s="96" t="str">
        <f>IFERROR(VLOOKUP(AA22,'ELA Reading Logic'!$A$22:$B$48,2,FALSE)-VLOOKUP($F22,'ELA Reading Logic'!$A$22:$B$48,2,FALSE),"No Value")</f>
        <v>No Value</v>
      </c>
      <c r="AF22" s="92"/>
      <c r="AG22" s="96" t="str">
        <f>IFERROR(IF($E22="Yes","IPP",VLOOKUP($J22,'ELA Reading Logic'!$A$3:$K$9,VLOOKUP(AF$1,'ELA Reading Logic'!$J$22:$K$31,2,FALSE),FALSE)),"Set Grade")</f>
        <v>Set Grade</v>
      </c>
      <c r="AH22" s="96" t="str">
        <f>IFERROR(IF($E22="Yes","IPP",VLOOKUP($J22,'ELA Reading Logic'!$A$13:$K$19,VLOOKUP(AF$1,'ELA Reading Logic'!$J$22:$K$31,2,FALSE),FALSE)),"Set Grade")</f>
        <v>Set Grade</v>
      </c>
      <c r="AI22" s="96" t="str">
        <f>IF($E22="Yes","IPP",IFERROR(IF(AND(AF22&gt;AG22,AF22&lt;AH22),"0",(VLOOKUP(AF22,'ELA Reading Logic'!$A$22:$B$48,2,FALSE))-(IF(VLOOKUP(AF22,'ELA Reading Logic'!$A$22:$B$48,2,FALSE)&lt;=VLOOKUP(AG22,'ELA Reading Logic'!$A$22:$B$48,2,FALSE),VLOOKUP(AG22,'ELA Reading Logic'!$A$22:$B$48,2,FALSE),IF(VLOOKUP(AF22,'ELA Reading Logic'!$A$22:$B$48,2,FALSE)&gt;=VLOOKUP(AH22,'ELA Reading Logic'!$A$22:$B$48,2,FALSE),VLOOKUP(AH22,'ELA Reading Logic'!$A$22:$B$48,2,FALSE),"No Score")))),"No Value"))</f>
        <v>No Value</v>
      </c>
      <c r="AJ22" s="96" t="str">
        <f>IFERROR(VLOOKUP(AF22,'ELA Reading Logic'!$A$22:$B$48,2,FALSE)-VLOOKUP($F22,'ELA Reading Logic'!$A$22:$B$48,2,FALSE),"No Value")</f>
        <v>No Value</v>
      </c>
      <c r="AK22" s="92"/>
      <c r="AL22" s="96" t="str">
        <f>IFERROR(IF($E22="Yes","IPP",VLOOKUP($J22,'ELA Reading Logic'!$A$3:$K$9,VLOOKUP(AK$1,'ELA Reading Logic'!$J$22:$K$31,2,FALSE),FALSE)),"Set Grade")</f>
        <v>Set Grade</v>
      </c>
      <c r="AM22" s="96" t="str">
        <f>IFERROR(IF($E22="Yes","IPP",VLOOKUP($J22,'ELA Reading Logic'!$A$13:$K$19,VLOOKUP(AK$1,'ELA Reading Logic'!$J$22:$K$31,2,FALSE),FALSE)),"Set Grade")</f>
        <v>Set Grade</v>
      </c>
      <c r="AN22" s="96" t="str">
        <f>IF($E22="Yes","IPP",IFERROR(IF(AND(AK22&gt;AL22,AK22&lt;AM22),"0",(VLOOKUP(AK22,'ELA Reading Logic'!$A$22:$B$48,2,FALSE))-(IF(VLOOKUP(AK22,'ELA Reading Logic'!$A$22:$B$48,2,FALSE)&lt;=VLOOKUP(AL22,'ELA Reading Logic'!$A$22:$B$48,2,FALSE),VLOOKUP(AL22,'ELA Reading Logic'!$A$22:$B$48,2,FALSE),IF(VLOOKUP(AK22,'ELA Reading Logic'!$A$22:$B$48,2,FALSE)&gt;=VLOOKUP(AM22,'ELA Reading Logic'!$A$22:$B$48,2,FALSE),VLOOKUP(AM22,'ELA Reading Logic'!$A$22:$B$48,2,FALSE),"No Score")))),"No Value"))</f>
        <v>No Value</v>
      </c>
      <c r="AO22" s="96" t="str">
        <f>IFERROR(VLOOKUP(AK22,'ELA Reading Logic'!$A$22:$B$48,2,FALSE)-VLOOKUP($F22,'ELA Reading Logic'!$A$22:$B$48,2,FALSE),"No Value")</f>
        <v>No Value</v>
      </c>
      <c r="AP22" s="92"/>
      <c r="AQ22" s="96" t="str">
        <f>IFERROR(IF($E22="Yes","IPP",VLOOKUP($J22,'ELA Reading Logic'!$A$3:$K$9,VLOOKUP(AP$1,'ELA Reading Logic'!$J$22:$K$31,2,FALSE),FALSE)),"Set Grade")</f>
        <v>Set Grade</v>
      </c>
      <c r="AR22" s="96" t="str">
        <f>IFERROR(IF($E22="Yes","IPP",VLOOKUP($J22,'ELA Reading Logic'!$A$13:$K$19,VLOOKUP(AP$1,'ELA Reading Logic'!$J$22:$K$31,2,FALSE),FALSE)),"Set Grade")</f>
        <v>Set Grade</v>
      </c>
      <c r="AS22" s="96" t="str">
        <f>IF($E22="Yes","IPP",IFERROR(IF(AND(AP22&gt;AQ22,AP22&lt;AR22),"0",(VLOOKUP(AP22,'ELA Reading Logic'!$A$22:$B$48,2,FALSE))-(IF(VLOOKUP(AP22,'ELA Reading Logic'!$A$22:$B$48,2,FALSE)&lt;=VLOOKUP(AQ22,'ELA Reading Logic'!$A$22:$B$48,2,FALSE),VLOOKUP(AQ22,'ELA Reading Logic'!$A$22:$B$48,2,FALSE),IF(VLOOKUP(AP22,'ELA Reading Logic'!$A$22:$B$48,2,FALSE)&gt;=VLOOKUP(AR22,'ELA Reading Logic'!$A$22:$B$48,2,FALSE),VLOOKUP(AR22,'ELA Reading Logic'!$A$22:$B$48,2,FALSE),"No Score")))),"No Value"))</f>
        <v>No Value</v>
      </c>
      <c r="AT22" s="96" t="str">
        <f>IFERROR(VLOOKUP(AP22,'ELA Reading Logic'!$A$22:$B$48,2,FALSE)-VLOOKUP($F22,'ELA Reading Logic'!$A$22:$B$48,2,FALSE),"No Value")</f>
        <v>No Value</v>
      </c>
    </row>
    <row r="23" spans="1:46" ht="22.5" customHeight="1" x14ac:dyDescent="0.25">
      <c r="A23" s="174"/>
      <c r="B23" s="174"/>
      <c r="C23" s="174"/>
      <c r="D23" s="174"/>
      <c r="E23" s="175"/>
      <c r="F23" s="175"/>
      <c r="G23" s="177" t="str">
        <f>IFERROR(IF($E23="Yes","IPP",VLOOKUP($J23,'ELA Reading Logic'!$A$3:$K$9,VLOOKUP("September",'ELA Reading Logic'!$J$22:$K$31,2,FALSE),FALSE)),"Set Grade")</f>
        <v>Set Grade</v>
      </c>
      <c r="H23" s="177" t="str">
        <f>IFERROR(IF($E23="Yes","IPP",VLOOKUP($J23,'ELA Reading Logic'!$A$13:$K$19,VLOOKUP("September",'ELA Reading Logic'!$J$22:$K$31,2,FALSE),FALSE)),"Set Grade")</f>
        <v>Set Grade</v>
      </c>
      <c r="I23" s="96" t="str">
        <f>IF($E23="Yes","IPP",IFERROR(IF(AND(F23&gt;G23,F23&lt;H23),"0",(VLOOKUP(F23,'ELA Reading Logic'!$A$22:$B$48,2,FALSE))-(IF(VLOOKUP(F23,'ELA Reading Logic'!$A$22:$B$48,2,FALSE)&lt;=VLOOKUP(G23,'ELA Reading Logic'!$A$22:$B$48,2,FALSE),VLOOKUP(G23,'ELA Reading Logic'!$A$22:$B$48,2,FALSE),IF(VLOOKUP(F23,'ELA Reading Logic'!$A$22:$B$48,2,FALSE)&gt;=VLOOKUP(H23,'ELA Reading Logic'!$A$22:$B$48,2,FALSE),VLOOKUP(H23,'ELA Reading Logic'!$A$22:$B$48,2,FALSE),"No Score")))),"No Value"))</f>
        <v>No Value</v>
      </c>
      <c r="J23" s="178"/>
      <c r="K23" s="96"/>
      <c r="L23" s="96"/>
      <c r="M23" s="96"/>
      <c r="N23" s="96"/>
      <c r="O23" s="96"/>
      <c r="P23" s="105"/>
      <c r="Q23" s="92"/>
      <c r="R23" s="96" t="str">
        <f>IFERROR(IF($E23="Yes","IPP",VLOOKUP($J23,'ELA Reading Logic'!$A$3:$K$9,VLOOKUP(Q$1,'ELA Reading Logic'!$J$22:$K$31,2,FALSE),FALSE)),"Set Grade")</f>
        <v>Set Grade</v>
      </c>
      <c r="S23" s="96" t="str">
        <f>IFERROR(IF($E23="Yes","IPP",VLOOKUP($J23,'ELA Reading Logic'!$A$13:$K$19,VLOOKUP(Q$1,'ELA Reading Logic'!$J$22:$K$31,2,FALSE),FALSE)),"Set Grade")</f>
        <v>Set Grade</v>
      </c>
      <c r="T23" s="96" t="str">
        <f>IF($E23="Yes","IPP",IFERROR(IF(AND(Q23&gt;R23,Q23&lt;S23),"0",(VLOOKUP(Q23,'ELA Reading Logic'!$A$22:$B$48,2,FALSE))-(IF(VLOOKUP(Q23,'ELA Reading Logic'!$A$22:$B$48,2,FALSE)&lt;=VLOOKUP(R23,'ELA Reading Logic'!$A$22:$B$48,2,FALSE),VLOOKUP(R23,'ELA Reading Logic'!$A$22:$B$48,2,FALSE),IF(VLOOKUP(Q23,'ELA Reading Logic'!$A$22:$B$48,2,FALSE)&gt;=VLOOKUP(S23,'ELA Reading Logic'!$A$22:$B$48,2,FALSE),VLOOKUP(S23,'ELA Reading Logic'!$A$22:$B$48,2,FALSE),"No Score")))),"No Value"))</f>
        <v>No Value</v>
      </c>
      <c r="U23" s="96" t="str">
        <f>IFERROR(VLOOKUP(Q23,'ELA Reading Logic'!$A$22:$B$48,2,FALSE)-VLOOKUP($F23,'ELA Reading Logic'!$A$22:$B$48,2,FALSE),"No Value")</f>
        <v>No Value</v>
      </c>
      <c r="V23" s="92"/>
      <c r="W23" s="96" t="str">
        <f>IFERROR(IF($E23="Yes","IPP",VLOOKUP($J23,'ELA Reading Logic'!$A$3:$K$9,VLOOKUP(V$1,'ELA Reading Logic'!$J$22:$K$31,2,FALSE),FALSE)),"Set Grade")</f>
        <v>Set Grade</v>
      </c>
      <c r="X23" s="96" t="str">
        <f>IFERROR(IF($E23="Yes","IPP",VLOOKUP($J23,'ELA Reading Logic'!$A$13:$K$19,VLOOKUP(V$1,'ELA Reading Logic'!$J$22:$K$31,2,FALSE),FALSE)),"Set Grade")</f>
        <v>Set Grade</v>
      </c>
      <c r="Y23" s="96" t="str">
        <f>IF($E23="Yes","IPP",IFERROR(IF(AND(V23&gt;W23,V23&lt;X23),"0",(VLOOKUP(V23,'ELA Reading Logic'!$A$22:$B$48,2,FALSE))-(IF(VLOOKUP(V23,'ELA Reading Logic'!$A$22:$B$48,2,FALSE)&lt;=VLOOKUP(W23,'ELA Reading Logic'!$A$22:$B$48,2,FALSE),VLOOKUP(W23,'ELA Reading Logic'!$A$22:$B$48,2,FALSE),IF(VLOOKUP(V23,'ELA Reading Logic'!$A$22:$B$48,2,FALSE)&gt;=VLOOKUP(X23,'ELA Reading Logic'!$A$22:$B$48,2,FALSE),VLOOKUP(X23,'ELA Reading Logic'!$A$22:$B$48,2,FALSE),"No Score")))),"No Value"))</f>
        <v>No Value</v>
      </c>
      <c r="Z23" s="96" t="str">
        <f>IFERROR(VLOOKUP(V23,'ELA Reading Logic'!$A$22:$B$48,2,FALSE)-VLOOKUP($F23,'ELA Reading Logic'!$A$22:$B$48,2,FALSE),"No Value")</f>
        <v>No Value</v>
      </c>
      <c r="AA23" s="92"/>
      <c r="AB23" s="96" t="str">
        <f>IFERROR(IF($E23="Yes","IPP",VLOOKUP($J23,'ELA Reading Logic'!$A$3:$K$9,VLOOKUP(AA$1,'ELA Reading Logic'!$J$22:$K$31,2,FALSE),FALSE)),"Set Grade")</f>
        <v>Set Grade</v>
      </c>
      <c r="AC23" s="96" t="str">
        <f>IFERROR(IF($E23="Yes","IPP",VLOOKUP($J23,'ELA Reading Logic'!$A$13:$K$19,VLOOKUP(AA$1,'ELA Reading Logic'!$J$22:$K$31,2,FALSE),FALSE)),"Set Grade")</f>
        <v>Set Grade</v>
      </c>
      <c r="AD23" s="96" t="str">
        <f>IF($E23="Yes","IPP",IFERROR(IF(AND(AA23&gt;AB23,AA23&lt;AC23),"0",(VLOOKUP(AA23,'ELA Reading Logic'!$A$22:$B$48,2,FALSE))-(IF(VLOOKUP(AA23,'ELA Reading Logic'!$A$22:$B$48,2,FALSE)&lt;=VLOOKUP(AB23,'ELA Reading Logic'!$A$22:$B$48,2,FALSE),VLOOKUP(AB23,'ELA Reading Logic'!$A$22:$B$48,2,FALSE),IF(VLOOKUP(AA23,'ELA Reading Logic'!$A$22:$B$48,2,FALSE)&gt;=VLOOKUP(AC23,'ELA Reading Logic'!$A$22:$B$48,2,FALSE),VLOOKUP(AC23,'ELA Reading Logic'!$A$22:$B$48,2,FALSE),"No Score")))),"No Value"))</f>
        <v>No Value</v>
      </c>
      <c r="AE23" s="96" t="str">
        <f>IFERROR(VLOOKUP(AA23,'ELA Reading Logic'!$A$22:$B$48,2,FALSE)-VLOOKUP($F23,'ELA Reading Logic'!$A$22:$B$48,2,FALSE),"No Value")</f>
        <v>No Value</v>
      </c>
      <c r="AF23" s="92"/>
      <c r="AG23" s="96" t="str">
        <f>IFERROR(IF($E23="Yes","IPP",VLOOKUP($J23,'ELA Reading Logic'!$A$3:$K$9,VLOOKUP(AF$1,'ELA Reading Logic'!$J$22:$K$31,2,FALSE),FALSE)),"Set Grade")</f>
        <v>Set Grade</v>
      </c>
      <c r="AH23" s="96" t="str">
        <f>IFERROR(IF($E23="Yes","IPP",VLOOKUP($J23,'ELA Reading Logic'!$A$13:$K$19,VLOOKUP(AF$1,'ELA Reading Logic'!$J$22:$K$31,2,FALSE),FALSE)),"Set Grade")</f>
        <v>Set Grade</v>
      </c>
      <c r="AI23" s="96" t="str">
        <f>IF($E23="Yes","IPP",IFERROR(IF(AND(AF23&gt;AG23,AF23&lt;AH23),"0",(VLOOKUP(AF23,'ELA Reading Logic'!$A$22:$B$48,2,FALSE))-(IF(VLOOKUP(AF23,'ELA Reading Logic'!$A$22:$B$48,2,FALSE)&lt;=VLOOKUP(AG23,'ELA Reading Logic'!$A$22:$B$48,2,FALSE),VLOOKUP(AG23,'ELA Reading Logic'!$A$22:$B$48,2,FALSE),IF(VLOOKUP(AF23,'ELA Reading Logic'!$A$22:$B$48,2,FALSE)&gt;=VLOOKUP(AH23,'ELA Reading Logic'!$A$22:$B$48,2,FALSE),VLOOKUP(AH23,'ELA Reading Logic'!$A$22:$B$48,2,FALSE),"No Score")))),"No Value"))</f>
        <v>No Value</v>
      </c>
      <c r="AJ23" s="96" t="str">
        <f>IFERROR(VLOOKUP(AF23,'ELA Reading Logic'!$A$22:$B$48,2,FALSE)-VLOOKUP($F23,'ELA Reading Logic'!$A$22:$B$48,2,FALSE),"No Value")</f>
        <v>No Value</v>
      </c>
      <c r="AK23" s="92"/>
      <c r="AL23" s="96" t="str">
        <f>IFERROR(IF($E23="Yes","IPP",VLOOKUP($J23,'ELA Reading Logic'!$A$3:$K$9,VLOOKUP(AK$1,'ELA Reading Logic'!$J$22:$K$31,2,FALSE),FALSE)),"Set Grade")</f>
        <v>Set Grade</v>
      </c>
      <c r="AM23" s="96" t="str">
        <f>IFERROR(IF($E23="Yes","IPP",VLOOKUP($J23,'ELA Reading Logic'!$A$13:$K$19,VLOOKUP(AK$1,'ELA Reading Logic'!$J$22:$K$31,2,FALSE),FALSE)),"Set Grade")</f>
        <v>Set Grade</v>
      </c>
      <c r="AN23" s="96" t="str">
        <f>IF($E23="Yes","IPP",IFERROR(IF(AND(AK23&gt;AL23,AK23&lt;AM23),"0",(VLOOKUP(AK23,'ELA Reading Logic'!$A$22:$B$48,2,FALSE))-(IF(VLOOKUP(AK23,'ELA Reading Logic'!$A$22:$B$48,2,FALSE)&lt;=VLOOKUP(AL23,'ELA Reading Logic'!$A$22:$B$48,2,FALSE),VLOOKUP(AL23,'ELA Reading Logic'!$A$22:$B$48,2,FALSE),IF(VLOOKUP(AK23,'ELA Reading Logic'!$A$22:$B$48,2,FALSE)&gt;=VLOOKUP(AM23,'ELA Reading Logic'!$A$22:$B$48,2,FALSE),VLOOKUP(AM23,'ELA Reading Logic'!$A$22:$B$48,2,FALSE),"No Score")))),"No Value"))</f>
        <v>No Value</v>
      </c>
      <c r="AO23" s="96" t="str">
        <f>IFERROR(VLOOKUP(AK23,'ELA Reading Logic'!$A$22:$B$48,2,FALSE)-VLOOKUP($F23,'ELA Reading Logic'!$A$22:$B$48,2,FALSE),"No Value")</f>
        <v>No Value</v>
      </c>
      <c r="AP23" s="92"/>
      <c r="AQ23" s="96" t="str">
        <f>IFERROR(IF($E23="Yes","IPP",VLOOKUP($J23,'ELA Reading Logic'!$A$3:$K$9,VLOOKUP(AP$1,'ELA Reading Logic'!$J$22:$K$31,2,FALSE),FALSE)),"Set Grade")</f>
        <v>Set Grade</v>
      </c>
      <c r="AR23" s="96" t="str">
        <f>IFERROR(IF($E23="Yes","IPP",VLOOKUP($J23,'ELA Reading Logic'!$A$13:$K$19,VLOOKUP(AP$1,'ELA Reading Logic'!$J$22:$K$31,2,FALSE),FALSE)),"Set Grade")</f>
        <v>Set Grade</v>
      </c>
      <c r="AS23" s="96" t="str">
        <f>IF($E23="Yes","IPP",IFERROR(IF(AND(AP23&gt;AQ23,AP23&lt;AR23),"0",(VLOOKUP(AP23,'ELA Reading Logic'!$A$22:$B$48,2,FALSE))-(IF(VLOOKUP(AP23,'ELA Reading Logic'!$A$22:$B$48,2,FALSE)&lt;=VLOOKUP(AQ23,'ELA Reading Logic'!$A$22:$B$48,2,FALSE),VLOOKUP(AQ23,'ELA Reading Logic'!$A$22:$B$48,2,FALSE),IF(VLOOKUP(AP23,'ELA Reading Logic'!$A$22:$B$48,2,FALSE)&gt;=VLOOKUP(AR23,'ELA Reading Logic'!$A$22:$B$48,2,FALSE),VLOOKUP(AR23,'ELA Reading Logic'!$A$22:$B$48,2,FALSE),"No Score")))),"No Value"))</f>
        <v>No Value</v>
      </c>
      <c r="AT23" s="96" t="str">
        <f>IFERROR(VLOOKUP(AP23,'ELA Reading Logic'!$A$22:$B$48,2,FALSE)-VLOOKUP($F23,'ELA Reading Logic'!$A$22:$B$48,2,FALSE),"No Value")</f>
        <v>No Value</v>
      </c>
    </row>
    <row r="24" spans="1:46" ht="22.5" customHeight="1" x14ac:dyDescent="0.25">
      <c r="A24" s="176"/>
      <c r="B24" s="176"/>
      <c r="C24" s="176"/>
      <c r="D24" s="176"/>
      <c r="E24" s="175"/>
      <c r="F24" s="175"/>
      <c r="G24" s="177" t="str">
        <f>IFERROR(IF($E24="Yes","IPP",VLOOKUP($J24,'ELA Reading Logic'!$A$3:$K$9,VLOOKUP("September",'ELA Reading Logic'!$J$22:$K$31,2,FALSE),FALSE)),"Set Grade")</f>
        <v>Set Grade</v>
      </c>
      <c r="H24" s="177" t="str">
        <f>IFERROR(IF($E24="Yes","IPP",VLOOKUP($J24,'ELA Reading Logic'!$A$13:$K$19,VLOOKUP("September",'ELA Reading Logic'!$J$22:$K$31,2,FALSE),FALSE)),"Set Grade")</f>
        <v>Set Grade</v>
      </c>
      <c r="I24" s="96" t="str">
        <f>IF($E24="Yes","IPP",IFERROR(IF(AND(F24&gt;G24,F24&lt;H24),"0",(VLOOKUP(F24,'ELA Reading Logic'!$A$22:$B$48,2,FALSE))-(IF(VLOOKUP(F24,'ELA Reading Logic'!$A$22:$B$48,2,FALSE)&lt;=VLOOKUP(G24,'ELA Reading Logic'!$A$22:$B$48,2,FALSE),VLOOKUP(G24,'ELA Reading Logic'!$A$22:$B$48,2,FALSE),IF(VLOOKUP(F24,'ELA Reading Logic'!$A$22:$B$48,2,FALSE)&gt;=VLOOKUP(H24,'ELA Reading Logic'!$A$22:$B$48,2,FALSE),VLOOKUP(H24,'ELA Reading Logic'!$A$22:$B$48,2,FALSE),"No Score")))),"No Value"))</f>
        <v>No Value</v>
      </c>
      <c r="J24" s="178"/>
      <c r="K24" s="96"/>
      <c r="L24" s="96"/>
      <c r="M24" s="96"/>
      <c r="N24" s="96"/>
      <c r="O24" s="96"/>
      <c r="P24" s="105"/>
      <c r="Q24" s="92"/>
      <c r="R24" s="96" t="str">
        <f>IFERROR(IF($E24="Yes","IPP",VLOOKUP($J24,'ELA Reading Logic'!$A$3:$K$9,VLOOKUP(Q$1,'ELA Reading Logic'!$J$22:$K$31,2,FALSE),FALSE)),"Set Grade")</f>
        <v>Set Grade</v>
      </c>
      <c r="S24" s="96" t="str">
        <f>IFERROR(IF($E24="Yes","IPP",VLOOKUP($J24,'ELA Reading Logic'!$A$13:$K$19,VLOOKUP(Q$1,'ELA Reading Logic'!$J$22:$K$31,2,FALSE),FALSE)),"Set Grade")</f>
        <v>Set Grade</v>
      </c>
      <c r="T24" s="96" t="str">
        <f>IF($E24="Yes","IPP",IFERROR(IF(AND(Q24&gt;R24,Q24&lt;S24),"0",(VLOOKUP(Q24,'ELA Reading Logic'!$A$22:$B$48,2,FALSE))-(IF(VLOOKUP(Q24,'ELA Reading Logic'!$A$22:$B$48,2,FALSE)&lt;=VLOOKUP(R24,'ELA Reading Logic'!$A$22:$B$48,2,FALSE),VLOOKUP(R24,'ELA Reading Logic'!$A$22:$B$48,2,FALSE),IF(VLOOKUP(Q24,'ELA Reading Logic'!$A$22:$B$48,2,FALSE)&gt;=VLOOKUP(S24,'ELA Reading Logic'!$A$22:$B$48,2,FALSE),VLOOKUP(S24,'ELA Reading Logic'!$A$22:$B$48,2,FALSE),"No Score")))),"No Value"))</f>
        <v>No Value</v>
      </c>
      <c r="U24" s="96" t="str">
        <f>IFERROR(VLOOKUP(Q24,'ELA Reading Logic'!$A$22:$B$48,2,FALSE)-VLOOKUP($F24,'ELA Reading Logic'!$A$22:$B$48,2,FALSE),"No Value")</f>
        <v>No Value</v>
      </c>
      <c r="V24" s="92"/>
      <c r="W24" s="96" t="str">
        <f>IFERROR(IF($E24="Yes","IPP",VLOOKUP($J24,'ELA Reading Logic'!$A$3:$K$9,VLOOKUP(V$1,'ELA Reading Logic'!$J$22:$K$31,2,FALSE),FALSE)),"Set Grade")</f>
        <v>Set Grade</v>
      </c>
      <c r="X24" s="96" t="str">
        <f>IFERROR(IF($E24="Yes","IPP",VLOOKUP($J24,'ELA Reading Logic'!$A$13:$K$19,VLOOKUP(V$1,'ELA Reading Logic'!$J$22:$K$31,2,FALSE),FALSE)),"Set Grade")</f>
        <v>Set Grade</v>
      </c>
      <c r="Y24" s="96" t="str">
        <f>IF($E24="Yes","IPP",IFERROR(IF(AND(V24&gt;W24,V24&lt;X24),"0",(VLOOKUP(V24,'ELA Reading Logic'!$A$22:$B$48,2,FALSE))-(IF(VLOOKUP(V24,'ELA Reading Logic'!$A$22:$B$48,2,FALSE)&lt;=VLOOKUP(W24,'ELA Reading Logic'!$A$22:$B$48,2,FALSE),VLOOKUP(W24,'ELA Reading Logic'!$A$22:$B$48,2,FALSE),IF(VLOOKUP(V24,'ELA Reading Logic'!$A$22:$B$48,2,FALSE)&gt;=VLOOKUP(X24,'ELA Reading Logic'!$A$22:$B$48,2,FALSE),VLOOKUP(X24,'ELA Reading Logic'!$A$22:$B$48,2,FALSE),"No Score")))),"No Value"))</f>
        <v>No Value</v>
      </c>
      <c r="Z24" s="96" t="str">
        <f>IFERROR(VLOOKUP(V24,'ELA Reading Logic'!$A$22:$B$48,2,FALSE)-VLOOKUP($F24,'ELA Reading Logic'!$A$22:$B$48,2,FALSE),"No Value")</f>
        <v>No Value</v>
      </c>
      <c r="AA24" s="92"/>
      <c r="AB24" s="96" t="str">
        <f>IFERROR(IF($E24="Yes","IPP",VLOOKUP($J24,'ELA Reading Logic'!$A$3:$K$9,VLOOKUP(AA$1,'ELA Reading Logic'!$J$22:$K$31,2,FALSE),FALSE)),"Set Grade")</f>
        <v>Set Grade</v>
      </c>
      <c r="AC24" s="96" t="str">
        <f>IFERROR(IF($E24="Yes","IPP",VLOOKUP($J24,'ELA Reading Logic'!$A$13:$K$19,VLOOKUP(AA$1,'ELA Reading Logic'!$J$22:$K$31,2,FALSE),FALSE)),"Set Grade")</f>
        <v>Set Grade</v>
      </c>
      <c r="AD24" s="96" t="str">
        <f>IF($E24="Yes","IPP",IFERROR(IF(AND(AA24&gt;AB24,AA24&lt;AC24),"0",(VLOOKUP(AA24,'ELA Reading Logic'!$A$22:$B$48,2,FALSE))-(IF(VLOOKUP(AA24,'ELA Reading Logic'!$A$22:$B$48,2,FALSE)&lt;=VLOOKUP(AB24,'ELA Reading Logic'!$A$22:$B$48,2,FALSE),VLOOKUP(AB24,'ELA Reading Logic'!$A$22:$B$48,2,FALSE),IF(VLOOKUP(AA24,'ELA Reading Logic'!$A$22:$B$48,2,FALSE)&gt;=VLOOKUP(AC24,'ELA Reading Logic'!$A$22:$B$48,2,FALSE),VLOOKUP(AC24,'ELA Reading Logic'!$A$22:$B$48,2,FALSE),"No Score")))),"No Value"))</f>
        <v>No Value</v>
      </c>
      <c r="AE24" s="96" t="str">
        <f>IFERROR(VLOOKUP(AA24,'ELA Reading Logic'!$A$22:$B$48,2,FALSE)-VLOOKUP($F24,'ELA Reading Logic'!$A$22:$B$48,2,FALSE),"No Value")</f>
        <v>No Value</v>
      </c>
      <c r="AF24" s="92"/>
      <c r="AG24" s="96" t="str">
        <f>IFERROR(IF($E24="Yes","IPP",VLOOKUP($J24,'ELA Reading Logic'!$A$3:$K$9,VLOOKUP(AF$1,'ELA Reading Logic'!$J$22:$K$31,2,FALSE),FALSE)),"Set Grade")</f>
        <v>Set Grade</v>
      </c>
      <c r="AH24" s="96" t="str">
        <f>IFERROR(IF($E24="Yes","IPP",VLOOKUP($J24,'ELA Reading Logic'!$A$13:$K$19,VLOOKUP(AF$1,'ELA Reading Logic'!$J$22:$K$31,2,FALSE),FALSE)),"Set Grade")</f>
        <v>Set Grade</v>
      </c>
      <c r="AI24" s="96" t="str">
        <f>IF($E24="Yes","IPP",IFERROR(IF(AND(AF24&gt;AG24,AF24&lt;AH24),"0",(VLOOKUP(AF24,'ELA Reading Logic'!$A$22:$B$48,2,FALSE))-(IF(VLOOKUP(AF24,'ELA Reading Logic'!$A$22:$B$48,2,FALSE)&lt;=VLOOKUP(AG24,'ELA Reading Logic'!$A$22:$B$48,2,FALSE),VLOOKUP(AG24,'ELA Reading Logic'!$A$22:$B$48,2,FALSE),IF(VLOOKUP(AF24,'ELA Reading Logic'!$A$22:$B$48,2,FALSE)&gt;=VLOOKUP(AH24,'ELA Reading Logic'!$A$22:$B$48,2,FALSE),VLOOKUP(AH24,'ELA Reading Logic'!$A$22:$B$48,2,FALSE),"No Score")))),"No Value"))</f>
        <v>No Value</v>
      </c>
      <c r="AJ24" s="96" t="str">
        <f>IFERROR(VLOOKUP(AF24,'ELA Reading Logic'!$A$22:$B$48,2,FALSE)-VLOOKUP($F24,'ELA Reading Logic'!$A$22:$B$48,2,FALSE),"No Value")</f>
        <v>No Value</v>
      </c>
      <c r="AK24" s="92"/>
      <c r="AL24" s="96" t="str">
        <f>IFERROR(IF($E24="Yes","IPP",VLOOKUP($J24,'ELA Reading Logic'!$A$3:$K$9,VLOOKUP(AK$1,'ELA Reading Logic'!$J$22:$K$31,2,FALSE),FALSE)),"Set Grade")</f>
        <v>Set Grade</v>
      </c>
      <c r="AM24" s="96" t="str">
        <f>IFERROR(IF($E24="Yes","IPP",VLOOKUP($J24,'ELA Reading Logic'!$A$13:$K$19,VLOOKUP(AK$1,'ELA Reading Logic'!$J$22:$K$31,2,FALSE),FALSE)),"Set Grade")</f>
        <v>Set Grade</v>
      </c>
      <c r="AN24" s="96" t="str">
        <f>IF($E24="Yes","IPP",IFERROR(IF(AND(AK24&gt;AL24,AK24&lt;AM24),"0",(VLOOKUP(AK24,'ELA Reading Logic'!$A$22:$B$48,2,FALSE))-(IF(VLOOKUP(AK24,'ELA Reading Logic'!$A$22:$B$48,2,FALSE)&lt;=VLOOKUP(AL24,'ELA Reading Logic'!$A$22:$B$48,2,FALSE),VLOOKUP(AL24,'ELA Reading Logic'!$A$22:$B$48,2,FALSE),IF(VLOOKUP(AK24,'ELA Reading Logic'!$A$22:$B$48,2,FALSE)&gt;=VLOOKUP(AM24,'ELA Reading Logic'!$A$22:$B$48,2,FALSE),VLOOKUP(AM24,'ELA Reading Logic'!$A$22:$B$48,2,FALSE),"No Score")))),"No Value"))</f>
        <v>No Value</v>
      </c>
      <c r="AO24" s="96" t="str">
        <f>IFERROR(VLOOKUP(AK24,'ELA Reading Logic'!$A$22:$B$48,2,FALSE)-VLOOKUP($F24,'ELA Reading Logic'!$A$22:$B$48,2,FALSE),"No Value")</f>
        <v>No Value</v>
      </c>
      <c r="AP24" s="92"/>
      <c r="AQ24" s="96" t="str">
        <f>IFERROR(IF($E24="Yes","IPP",VLOOKUP($J24,'ELA Reading Logic'!$A$3:$K$9,VLOOKUP(AP$1,'ELA Reading Logic'!$J$22:$K$31,2,FALSE),FALSE)),"Set Grade")</f>
        <v>Set Grade</v>
      </c>
      <c r="AR24" s="96" t="str">
        <f>IFERROR(IF($E24="Yes","IPP",VLOOKUP($J24,'ELA Reading Logic'!$A$13:$K$19,VLOOKUP(AP$1,'ELA Reading Logic'!$J$22:$K$31,2,FALSE),FALSE)),"Set Grade")</f>
        <v>Set Grade</v>
      </c>
      <c r="AS24" s="96" t="str">
        <f>IF($E24="Yes","IPP",IFERROR(IF(AND(AP24&gt;AQ24,AP24&lt;AR24),"0",(VLOOKUP(AP24,'ELA Reading Logic'!$A$22:$B$48,2,FALSE))-(IF(VLOOKUP(AP24,'ELA Reading Logic'!$A$22:$B$48,2,FALSE)&lt;=VLOOKUP(AQ24,'ELA Reading Logic'!$A$22:$B$48,2,FALSE),VLOOKUP(AQ24,'ELA Reading Logic'!$A$22:$B$48,2,FALSE),IF(VLOOKUP(AP24,'ELA Reading Logic'!$A$22:$B$48,2,FALSE)&gt;=VLOOKUP(AR24,'ELA Reading Logic'!$A$22:$B$48,2,FALSE),VLOOKUP(AR24,'ELA Reading Logic'!$A$22:$B$48,2,FALSE),"No Score")))),"No Value"))</f>
        <v>No Value</v>
      </c>
      <c r="AT24" s="96" t="str">
        <f>IFERROR(VLOOKUP(AP24,'ELA Reading Logic'!$A$22:$B$48,2,FALSE)-VLOOKUP($F24,'ELA Reading Logic'!$A$22:$B$48,2,FALSE),"No Value")</f>
        <v>No Value</v>
      </c>
    </row>
    <row r="25" spans="1:46" ht="22.5" customHeight="1" x14ac:dyDescent="0.25">
      <c r="A25" s="174"/>
      <c r="B25" s="174"/>
      <c r="C25" s="174"/>
      <c r="D25" s="174"/>
      <c r="E25" s="175"/>
      <c r="F25" s="175"/>
      <c r="G25" s="177" t="str">
        <f>IFERROR(IF($E25="Yes","IPP",VLOOKUP($J25,'ELA Reading Logic'!$A$3:$K$9,VLOOKUP("September",'ELA Reading Logic'!$J$22:$K$31,2,FALSE),FALSE)),"Set Grade")</f>
        <v>Set Grade</v>
      </c>
      <c r="H25" s="177" t="str">
        <f>IFERROR(IF($E25="Yes","IPP",VLOOKUP($J25,'ELA Reading Logic'!$A$13:$K$19,VLOOKUP("September",'ELA Reading Logic'!$J$22:$K$31,2,FALSE),FALSE)),"Set Grade")</f>
        <v>Set Grade</v>
      </c>
      <c r="I25" s="96" t="str">
        <f>IF($E25="Yes","IPP",IFERROR(IF(AND(F25&gt;G25,F25&lt;H25),"0",(VLOOKUP(F25,'ELA Reading Logic'!$A$22:$B$48,2,FALSE))-(IF(VLOOKUP(F25,'ELA Reading Logic'!$A$22:$B$48,2,FALSE)&lt;=VLOOKUP(G25,'ELA Reading Logic'!$A$22:$B$48,2,FALSE),VLOOKUP(G25,'ELA Reading Logic'!$A$22:$B$48,2,FALSE),IF(VLOOKUP(F25,'ELA Reading Logic'!$A$22:$B$48,2,FALSE)&gt;=VLOOKUP(H25,'ELA Reading Logic'!$A$22:$B$48,2,FALSE),VLOOKUP(H25,'ELA Reading Logic'!$A$22:$B$48,2,FALSE),"No Score")))),"No Value"))</f>
        <v>No Value</v>
      </c>
      <c r="J25" s="178"/>
      <c r="K25" s="96"/>
      <c r="L25" s="96"/>
      <c r="M25" s="96"/>
      <c r="N25" s="96"/>
      <c r="O25" s="96"/>
      <c r="P25" s="105"/>
      <c r="Q25" s="92"/>
      <c r="R25" s="96" t="str">
        <f>IFERROR(IF($E25="Yes","IPP",VLOOKUP($J25,'ELA Reading Logic'!$A$3:$K$9,VLOOKUP(Q$1,'ELA Reading Logic'!$J$22:$K$31,2,FALSE),FALSE)),"Set Grade")</f>
        <v>Set Grade</v>
      </c>
      <c r="S25" s="96" t="str">
        <f>IFERROR(IF($E25="Yes","IPP",VLOOKUP($J25,'ELA Reading Logic'!$A$13:$K$19,VLOOKUP(Q$1,'ELA Reading Logic'!$J$22:$K$31,2,FALSE),FALSE)),"Set Grade")</f>
        <v>Set Grade</v>
      </c>
      <c r="T25" s="96" t="str">
        <f>IF($E25="Yes","IPP",IFERROR(IF(AND(Q25&gt;R25,Q25&lt;S25),"0",(VLOOKUP(Q25,'ELA Reading Logic'!$A$22:$B$48,2,FALSE))-(IF(VLOOKUP(Q25,'ELA Reading Logic'!$A$22:$B$48,2,FALSE)&lt;=VLOOKUP(R25,'ELA Reading Logic'!$A$22:$B$48,2,FALSE),VLOOKUP(R25,'ELA Reading Logic'!$A$22:$B$48,2,FALSE),IF(VLOOKUP(Q25,'ELA Reading Logic'!$A$22:$B$48,2,FALSE)&gt;=VLOOKUP(S25,'ELA Reading Logic'!$A$22:$B$48,2,FALSE),VLOOKUP(S25,'ELA Reading Logic'!$A$22:$B$48,2,FALSE),"No Score")))),"No Value"))</f>
        <v>No Value</v>
      </c>
      <c r="U25" s="96" t="str">
        <f>IFERROR(VLOOKUP(Q25,'ELA Reading Logic'!$A$22:$B$48,2,FALSE)-VLOOKUP($F25,'ELA Reading Logic'!$A$22:$B$48,2,FALSE),"No Value")</f>
        <v>No Value</v>
      </c>
      <c r="V25" s="92"/>
      <c r="W25" s="96" t="str">
        <f>IFERROR(IF($E25="Yes","IPP",VLOOKUP($J25,'ELA Reading Logic'!$A$3:$K$9,VLOOKUP(V$1,'ELA Reading Logic'!$J$22:$K$31,2,FALSE),FALSE)),"Set Grade")</f>
        <v>Set Grade</v>
      </c>
      <c r="X25" s="96" t="str">
        <f>IFERROR(IF($E25="Yes","IPP",VLOOKUP($J25,'ELA Reading Logic'!$A$13:$K$19,VLOOKUP(V$1,'ELA Reading Logic'!$J$22:$K$31,2,FALSE),FALSE)),"Set Grade")</f>
        <v>Set Grade</v>
      </c>
      <c r="Y25" s="96" t="str">
        <f>IF($E25="Yes","IPP",IFERROR(IF(AND(V25&gt;W25,V25&lt;X25),"0",(VLOOKUP(V25,'ELA Reading Logic'!$A$22:$B$48,2,FALSE))-(IF(VLOOKUP(V25,'ELA Reading Logic'!$A$22:$B$48,2,FALSE)&lt;=VLOOKUP(W25,'ELA Reading Logic'!$A$22:$B$48,2,FALSE),VLOOKUP(W25,'ELA Reading Logic'!$A$22:$B$48,2,FALSE),IF(VLOOKUP(V25,'ELA Reading Logic'!$A$22:$B$48,2,FALSE)&gt;=VLOOKUP(X25,'ELA Reading Logic'!$A$22:$B$48,2,FALSE),VLOOKUP(X25,'ELA Reading Logic'!$A$22:$B$48,2,FALSE),"No Score")))),"No Value"))</f>
        <v>No Value</v>
      </c>
      <c r="Z25" s="96" t="str">
        <f>IFERROR(VLOOKUP(V25,'ELA Reading Logic'!$A$22:$B$48,2,FALSE)-VLOOKUP($F25,'ELA Reading Logic'!$A$22:$B$48,2,FALSE),"No Value")</f>
        <v>No Value</v>
      </c>
      <c r="AA25" s="92"/>
      <c r="AB25" s="96" t="str">
        <f>IFERROR(IF($E25="Yes","IPP",VLOOKUP($J25,'ELA Reading Logic'!$A$3:$K$9,VLOOKUP(AA$1,'ELA Reading Logic'!$J$22:$K$31,2,FALSE),FALSE)),"Set Grade")</f>
        <v>Set Grade</v>
      </c>
      <c r="AC25" s="96" t="str">
        <f>IFERROR(IF($E25="Yes","IPP",VLOOKUP($J25,'ELA Reading Logic'!$A$13:$K$19,VLOOKUP(AA$1,'ELA Reading Logic'!$J$22:$K$31,2,FALSE),FALSE)),"Set Grade")</f>
        <v>Set Grade</v>
      </c>
      <c r="AD25" s="96" t="str">
        <f>IF($E25="Yes","IPP",IFERROR(IF(AND(AA25&gt;AB25,AA25&lt;AC25),"0",(VLOOKUP(AA25,'ELA Reading Logic'!$A$22:$B$48,2,FALSE))-(IF(VLOOKUP(AA25,'ELA Reading Logic'!$A$22:$B$48,2,FALSE)&lt;=VLOOKUP(AB25,'ELA Reading Logic'!$A$22:$B$48,2,FALSE),VLOOKUP(AB25,'ELA Reading Logic'!$A$22:$B$48,2,FALSE),IF(VLOOKUP(AA25,'ELA Reading Logic'!$A$22:$B$48,2,FALSE)&gt;=VLOOKUP(AC25,'ELA Reading Logic'!$A$22:$B$48,2,FALSE),VLOOKUP(AC25,'ELA Reading Logic'!$A$22:$B$48,2,FALSE),"No Score")))),"No Value"))</f>
        <v>No Value</v>
      </c>
      <c r="AE25" s="96" t="str">
        <f>IFERROR(VLOOKUP(AA25,'ELA Reading Logic'!$A$22:$B$48,2,FALSE)-VLOOKUP($F25,'ELA Reading Logic'!$A$22:$B$48,2,FALSE),"No Value")</f>
        <v>No Value</v>
      </c>
      <c r="AF25" s="92"/>
      <c r="AG25" s="96" t="str">
        <f>IFERROR(IF($E25="Yes","IPP",VLOOKUP($J25,'ELA Reading Logic'!$A$3:$K$9,VLOOKUP(AF$1,'ELA Reading Logic'!$J$22:$K$31,2,FALSE),FALSE)),"Set Grade")</f>
        <v>Set Grade</v>
      </c>
      <c r="AH25" s="96" t="str">
        <f>IFERROR(IF($E25="Yes","IPP",VLOOKUP($J25,'ELA Reading Logic'!$A$13:$K$19,VLOOKUP(AF$1,'ELA Reading Logic'!$J$22:$K$31,2,FALSE),FALSE)),"Set Grade")</f>
        <v>Set Grade</v>
      </c>
      <c r="AI25" s="96" t="str">
        <f>IF($E25="Yes","IPP",IFERROR(IF(AND(AF25&gt;AG25,AF25&lt;AH25),"0",(VLOOKUP(AF25,'ELA Reading Logic'!$A$22:$B$48,2,FALSE))-(IF(VLOOKUP(AF25,'ELA Reading Logic'!$A$22:$B$48,2,FALSE)&lt;=VLOOKUP(AG25,'ELA Reading Logic'!$A$22:$B$48,2,FALSE),VLOOKUP(AG25,'ELA Reading Logic'!$A$22:$B$48,2,FALSE),IF(VLOOKUP(AF25,'ELA Reading Logic'!$A$22:$B$48,2,FALSE)&gt;=VLOOKUP(AH25,'ELA Reading Logic'!$A$22:$B$48,2,FALSE),VLOOKUP(AH25,'ELA Reading Logic'!$A$22:$B$48,2,FALSE),"No Score")))),"No Value"))</f>
        <v>No Value</v>
      </c>
      <c r="AJ25" s="96" t="str">
        <f>IFERROR(VLOOKUP(AF25,'ELA Reading Logic'!$A$22:$B$48,2,FALSE)-VLOOKUP($F25,'ELA Reading Logic'!$A$22:$B$48,2,FALSE),"No Value")</f>
        <v>No Value</v>
      </c>
      <c r="AK25" s="92"/>
      <c r="AL25" s="96" t="str">
        <f>IFERROR(IF($E25="Yes","IPP",VLOOKUP($J25,'ELA Reading Logic'!$A$3:$K$9,VLOOKUP(AK$1,'ELA Reading Logic'!$J$22:$K$31,2,FALSE),FALSE)),"Set Grade")</f>
        <v>Set Grade</v>
      </c>
      <c r="AM25" s="96" t="str">
        <f>IFERROR(IF($E25="Yes","IPP",VLOOKUP($J25,'ELA Reading Logic'!$A$13:$K$19,VLOOKUP(AK$1,'ELA Reading Logic'!$J$22:$K$31,2,FALSE),FALSE)),"Set Grade")</f>
        <v>Set Grade</v>
      </c>
      <c r="AN25" s="96" t="str">
        <f>IF($E25="Yes","IPP",IFERROR(IF(AND(AK25&gt;AL25,AK25&lt;AM25),"0",(VLOOKUP(AK25,'ELA Reading Logic'!$A$22:$B$48,2,FALSE))-(IF(VLOOKUP(AK25,'ELA Reading Logic'!$A$22:$B$48,2,FALSE)&lt;=VLOOKUP(AL25,'ELA Reading Logic'!$A$22:$B$48,2,FALSE),VLOOKUP(AL25,'ELA Reading Logic'!$A$22:$B$48,2,FALSE),IF(VLOOKUP(AK25,'ELA Reading Logic'!$A$22:$B$48,2,FALSE)&gt;=VLOOKUP(AM25,'ELA Reading Logic'!$A$22:$B$48,2,FALSE),VLOOKUP(AM25,'ELA Reading Logic'!$A$22:$B$48,2,FALSE),"No Score")))),"No Value"))</f>
        <v>No Value</v>
      </c>
      <c r="AO25" s="96" t="str">
        <f>IFERROR(VLOOKUP(AK25,'ELA Reading Logic'!$A$22:$B$48,2,FALSE)-VLOOKUP($F25,'ELA Reading Logic'!$A$22:$B$48,2,FALSE),"No Value")</f>
        <v>No Value</v>
      </c>
      <c r="AP25" s="92"/>
      <c r="AQ25" s="96" t="str">
        <f>IFERROR(IF($E25="Yes","IPP",VLOOKUP($J25,'ELA Reading Logic'!$A$3:$K$9,VLOOKUP(AP$1,'ELA Reading Logic'!$J$22:$K$31,2,FALSE),FALSE)),"Set Grade")</f>
        <v>Set Grade</v>
      </c>
      <c r="AR25" s="96" t="str">
        <f>IFERROR(IF($E25="Yes","IPP",VLOOKUP($J25,'ELA Reading Logic'!$A$13:$K$19,VLOOKUP(AP$1,'ELA Reading Logic'!$J$22:$K$31,2,FALSE),FALSE)),"Set Grade")</f>
        <v>Set Grade</v>
      </c>
      <c r="AS25" s="96" t="str">
        <f>IF($E25="Yes","IPP",IFERROR(IF(AND(AP25&gt;AQ25,AP25&lt;AR25),"0",(VLOOKUP(AP25,'ELA Reading Logic'!$A$22:$B$48,2,FALSE))-(IF(VLOOKUP(AP25,'ELA Reading Logic'!$A$22:$B$48,2,FALSE)&lt;=VLOOKUP(AQ25,'ELA Reading Logic'!$A$22:$B$48,2,FALSE),VLOOKUP(AQ25,'ELA Reading Logic'!$A$22:$B$48,2,FALSE),IF(VLOOKUP(AP25,'ELA Reading Logic'!$A$22:$B$48,2,FALSE)&gt;=VLOOKUP(AR25,'ELA Reading Logic'!$A$22:$B$48,2,FALSE),VLOOKUP(AR25,'ELA Reading Logic'!$A$22:$B$48,2,FALSE),"No Score")))),"No Value"))</f>
        <v>No Value</v>
      </c>
      <c r="AT25" s="96" t="str">
        <f>IFERROR(VLOOKUP(AP25,'ELA Reading Logic'!$A$22:$B$48,2,FALSE)-VLOOKUP($F25,'ELA Reading Logic'!$A$22:$B$48,2,FALSE),"No Value")</f>
        <v>No Value</v>
      </c>
    </row>
    <row r="26" spans="1:46" ht="22.5" customHeight="1" x14ac:dyDescent="0.25">
      <c r="A26" s="176"/>
      <c r="B26" s="176"/>
      <c r="C26" s="176"/>
      <c r="D26" s="176"/>
      <c r="E26" s="175"/>
      <c r="F26" s="175"/>
      <c r="G26" s="177" t="str">
        <f>IFERROR(IF($E26="Yes","IPP",VLOOKUP($J26,'ELA Reading Logic'!$A$3:$K$9,VLOOKUP("September",'ELA Reading Logic'!$J$22:$K$31,2,FALSE),FALSE)),"Set Grade")</f>
        <v>Set Grade</v>
      </c>
      <c r="H26" s="177" t="str">
        <f>IFERROR(IF($E26="Yes","IPP",VLOOKUP($J26,'ELA Reading Logic'!$A$13:$K$19,VLOOKUP("September",'ELA Reading Logic'!$J$22:$K$31,2,FALSE),FALSE)),"Set Grade")</f>
        <v>Set Grade</v>
      </c>
      <c r="I26" s="96" t="str">
        <f>IF($E26="Yes","IPP",IFERROR(IF(AND(F26&gt;G26,F26&lt;H26),"0",(VLOOKUP(F26,'ELA Reading Logic'!$A$22:$B$48,2,FALSE))-(IF(VLOOKUP(F26,'ELA Reading Logic'!$A$22:$B$48,2,FALSE)&lt;=VLOOKUP(G26,'ELA Reading Logic'!$A$22:$B$48,2,FALSE),VLOOKUP(G26,'ELA Reading Logic'!$A$22:$B$48,2,FALSE),IF(VLOOKUP(F26,'ELA Reading Logic'!$A$22:$B$48,2,FALSE)&gt;=VLOOKUP(H26,'ELA Reading Logic'!$A$22:$B$48,2,FALSE),VLOOKUP(H26,'ELA Reading Logic'!$A$22:$B$48,2,FALSE),"No Score")))),"No Value"))</f>
        <v>No Value</v>
      </c>
      <c r="J26" s="178"/>
      <c r="K26" s="96"/>
      <c r="L26" s="96"/>
      <c r="M26" s="96"/>
      <c r="N26" s="96"/>
      <c r="O26" s="96"/>
      <c r="P26" s="105"/>
      <c r="Q26" s="92"/>
      <c r="R26" s="96" t="str">
        <f>IFERROR(IF($E26="Yes","IPP",VLOOKUP($J26,'ELA Reading Logic'!$A$3:$K$9,VLOOKUP(Q$1,'ELA Reading Logic'!$J$22:$K$31,2,FALSE),FALSE)),"Set Grade")</f>
        <v>Set Grade</v>
      </c>
      <c r="S26" s="96" t="str">
        <f>IFERROR(IF($E26="Yes","IPP",VLOOKUP($J26,'ELA Reading Logic'!$A$13:$K$19,VLOOKUP(Q$1,'ELA Reading Logic'!$J$22:$K$31,2,FALSE),FALSE)),"Set Grade")</f>
        <v>Set Grade</v>
      </c>
      <c r="T26" s="96" t="str">
        <f>IF($E26="Yes","IPP",IFERROR(IF(AND(Q26&gt;R26,Q26&lt;S26),"0",(VLOOKUP(Q26,'ELA Reading Logic'!$A$22:$B$48,2,FALSE))-(IF(VLOOKUP(Q26,'ELA Reading Logic'!$A$22:$B$48,2,FALSE)&lt;=VLOOKUP(R26,'ELA Reading Logic'!$A$22:$B$48,2,FALSE),VLOOKUP(R26,'ELA Reading Logic'!$A$22:$B$48,2,FALSE),IF(VLOOKUP(Q26,'ELA Reading Logic'!$A$22:$B$48,2,FALSE)&gt;=VLOOKUP(S26,'ELA Reading Logic'!$A$22:$B$48,2,FALSE),VLOOKUP(S26,'ELA Reading Logic'!$A$22:$B$48,2,FALSE),"No Score")))),"No Value"))</f>
        <v>No Value</v>
      </c>
      <c r="U26" s="96" t="str">
        <f>IFERROR(VLOOKUP(Q26,'ELA Reading Logic'!$A$22:$B$48,2,FALSE)-VLOOKUP($F26,'ELA Reading Logic'!$A$22:$B$48,2,FALSE),"No Value")</f>
        <v>No Value</v>
      </c>
      <c r="V26" s="92"/>
      <c r="W26" s="96" t="str">
        <f>IFERROR(IF($E26="Yes","IPP",VLOOKUP($J26,'ELA Reading Logic'!$A$3:$K$9,VLOOKUP(V$1,'ELA Reading Logic'!$J$22:$K$31,2,FALSE),FALSE)),"Set Grade")</f>
        <v>Set Grade</v>
      </c>
      <c r="X26" s="96" t="str">
        <f>IFERROR(IF($E26="Yes","IPP",VLOOKUP($J26,'ELA Reading Logic'!$A$13:$K$19,VLOOKUP(V$1,'ELA Reading Logic'!$J$22:$K$31,2,FALSE),FALSE)),"Set Grade")</f>
        <v>Set Grade</v>
      </c>
      <c r="Y26" s="96" t="str">
        <f>IF($E26="Yes","IPP",IFERROR(IF(AND(V26&gt;W26,V26&lt;X26),"0",(VLOOKUP(V26,'ELA Reading Logic'!$A$22:$B$48,2,FALSE))-(IF(VLOOKUP(V26,'ELA Reading Logic'!$A$22:$B$48,2,FALSE)&lt;=VLOOKUP(W26,'ELA Reading Logic'!$A$22:$B$48,2,FALSE),VLOOKUP(W26,'ELA Reading Logic'!$A$22:$B$48,2,FALSE),IF(VLOOKUP(V26,'ELA Reading Logic'!$A$22:$B$48,2,FALSE)&gt;=VLOOKUP(X26,'ELA Reading Logic'!$A$22:$B$48,2,FALSE),VLOOKUP(X26,'ELA Reading Logic'!$A$22:$B$48,2,FALSE),"No Score")))),"No Value"))</f>
        <v>No Value</v>
      </c>
      <c r="Z26" s="96" t="str">
        <f>IFERROR(VLOOKUP(V26,'ELA Reading Logic'!$A$22:$B$48,2,FALSE)-VLOOKUP($F26,'ELA Reading Logic'!$A$22:$B$48,2,FALSE),"No Value")</f>
        <v>No Value</v>
      </c>
      <c r="AA26" s="92"/>
      <c r="AB26" s="96" t="str">
        <f>IFERROR(IF($E26="Yes","IPP",VLOOKUP($J26,'ELA Reading Logic'!$A$3:$K$9,VLOOKUP(AA$1,'ELA Reading Logic'!$J$22:$K$31,2,FALSE),FALSE)),"Set Grade")</f>
        <v>Set Grade</v>
      </c>
      <c r="AC26" s="96" t="str">
        <f>IFERROR(IF($E26="Yes","IPP",VLOOKUP($J26,'ELA Reading Logic'!$A$13:$K$19,VLOOKUP(AA$1,'ELA Reading Logic'!$J$22:$K$31,2,FALSE),FALSE)),"Set Grade")</f>
        <v>Set Grade</v>
      </c>
      <c r="AD26" s="96" t="str">
        <f>IF($E26="Yes","IPP",IFERROR(IF(AND(AA26&gt;AB26,AA26&lt;AC26),"0",(VLOOKUP(AA26,'ELA Reading Logic'!$A$22:$B$48,2,FALSE))-(IF(VLOOKUP(AA26,'ELA Reading Logic'!$A$22:$B$48,2,FALSE)&lt;=VLOOKUP(AB26,'ELA Reading Logic'!$A$22:$B$48,2,FALSE),VLOOKUP(AB26,'ELA Reading Logic'!$A$22:$B$48,2,FALSE),IF(VLOOKUP(AA26,'ELA Reading Logic'!$A$22:$B$48,2,FALSE)&gt;=VLOOKUP(AC26,'ELA Reading Logic'!$A$22:$B$48,2,FALSE),VLOOKUP(AC26,'ELA Reading Logic'!$A$22:$B$48,2,FALSE),"No Score")))),"No Value"))</f>
        <v>No Value</v>
      </c>
      <c r="AE26" s="96" t="str">
        <f>IFERROR(VLOOKUP(AA26,'ELA Reading Logic'!$A$22:$B$48,2,FALSE)-VLOOKUP($F26,'ELA Reading Logic'!$A$22:$B$48,2,FALSE),"No Value")</f>
        <v>No Value</v>
      </c>
      <c r="AF26" s="92"/>
      <c r="AG26" s="96" t="str">
        <f>IFERROR(IF($E26="Yes","IPP",VLOOKUP($J26,'ELA Reading Logic'!$A$3:$K$9,VLOOKUP(AF$1,'ELA Reading Logic'!$J$22:$K$31,2,FALSE),FALSE)),"Set Grade")</f>
        <v>Set Grade</v>
      </c>
      <c r="AH26" s="96" t="str">
        <f>IFERROR(IF($E26="Yes","IPP",VLOOKUP($J26,'ELA Reading Logic'!$A$13:$K$19,VLOOKUP(AF$1,'ELA Reading Logic'!$J$22:$K$31,2,FALSE),FALSE)),"Set Grade")</f>
        <v>Set Grade</v>
      </c>
      <c r="AI26" s="96" t="str">
        <f>IF($E26="Yes","IPP",IFERROR(IF(AND(AF26&gt;AG26,AF26&lt;AH26),"0",(VLOOKUP(AF26,'ELA Reading Logic'!$A$22:$B$48,2,FALSE))-(IF(VLOOKUP(AF26,'ELA Reading Logic'!$A$22:$B$48,2,FALSE)&lt;=VLOOKUP(AG26,'ELA Reading Logic'!$A$22:$B$48,2,FALSE),VLOOKUP(AG26,'ELA Reading Logic'!$A$22:$B$48,2,FALSE),IF(VLOOKUP(AF26,'ELA Reading Logic'!$A$22:$B$48,2,FALSE)&gt;=VLOOKUP(AH26,'ELA Reading Logic'!$A$22:$B$48,2,FALSE),VLOOKUP(AH26,'ELA Reading Logic'!$A$22:$B$48,2,FALSE),"No Score")))),"No Value"))</f>
        <v>No Value</v>
      </c>
      <c r="AJ26" s="96" t="str">
        <f>IFERROR(VLOOKUP(AF26,'ELA Reading Logic'!$A$22:$B$48,2,FALSE)-VLOOKUP($F26,'ELA Reading Logic'!$A$22:$B$48,2,FALSE),"No Value")</f>
        <v>No Value</v>
      </c>
      <c r="AK26" s="92"/>
      <c r="AL26" s="96" t="str">
        <f>IFERROR(IF($E26="Yes","IPP",VLOOKUP($J26,'ELA Reading Logic'!$A$3:$K$9,VLOOKUP(AK$1,'ELA Reading Logic'!$J$22:$K$31,2,FALSE),FALSE)),"Set Grade")</f>
        <v>Set Grade</v>
      </c>
      <c r="AM26" s="96" t="str">
        <f>IFERROR(IF($E26="Yes","IPP",VLOOKUP($J26,'ELA Reading Logic'!$A$13:$K$19,VLOOKUP(AK$1,'ELA Reading Logic'!$J$22:$K$31,2,FALSE),FALSE)),"Set Grade")</f>
        <v>Set Grade</v>
      </c>
      <c r="AN26" s="96" t="str">
        <f>IF($E26="Yes","IPP",IFERROR(IF(AND(AK26&gt;AL26,AK26&lt;AM26),"0",(VLOOKUP(AK26,'ELA Reading Logic'!$A$22:$B$48,2,FALSE))-(IF(VLOOKUP(AK26,'ELA Reading Logic'!$A$22:$B$48,2,FALSE)&lt;=VLOOKUP(AL26,'ELA Reading Logic'!$A$22:$B$48,2,FALSE),VLOOKUP(AL26,'ELA Reading Logic'!$A$22:$B$48,2,FALSE),IF(VLOOKUP(AK26,'ELA Reading Logic'!$A$22:$B$48,2,FALSE)&gt;=VLOOKUP(AM26,'ELA Reading Logic'!$A$22:$B$48,2,FALSE),VLOOKUP(AM26,'ELA Reading Logic'!$A$22:$B$48,2,FALSE),"No Score")))),"No Value"))</f>
        <v>No Value</v>
      </c>
      <c r="AO26" s="96" t="str">
        <f>IFERROR(VLOOKUP(AK26,'ELA Reading Logic'!$A$22:$B$48,2,FALSE)-VLOOKUP($F26,'ELA Reading Logic'!$A$22:$B$48,2,FALSE),"No Value")</f>
        <v>No Value</v>
      </c>
      <c r="AP26" s="92"/>
      <c r="AQ26" s="96" t="str">
        <f>IFERROR(IF($E26="Yes","IPP",VLOOKUP($J26,'ELA Reading Logic'!$A$3:$K$9,VLOOKUP(AP$1,'ELA Reading Logic'!$J$22:$K$31,2,FALSE),FALSE)),"Set Grade")</f>
        <v>Set Grade</v>
      </c>
      <c r="AR26" s="96" t="str">
        <f>IFERROR(IF($E26="Yes","IPP",VLOOKUP($J26,'ELA Reading Logic'!$A$13:$K$19,VLOOKUP(AP$1,'ELA Reading Logic'!$J$22:$K$31,2,FALSE),FALSE)),"Set Grade")</f>
        <v>Set Grade</v>
      </c>
      <c r="AS26" s="96" t="str">
        <f>IF($E26="Yes","IPP",IFERROR(IF(AND(AP26&gt;AQ26,AP26&lt;AR26),"0",(VLOOKUP(AP26,'ELA Reading Logic'!$A$22:$B$48,2,FALSE))-(IF(VLOOKUP(AP26,'ELA Reading Logic'!$A$22:$B$48,2,FALSE)&lt;=VLOOKUP(AQ26,'ELA Reading Logic'!$A$22:$B$48,2,FALSE),VLOOKUP(AQ26,'ELA Reading Logic'!$A$22:$B$48,2,FALSE),IF(VLOOKUP(AP26,'ELA Reading Logic'!$A$22:$B$48,2,FALSE)&gt;=VLOOKUP(AR26,'ELA Reading Logic'!$A$22:$B$48,2,FALSE),VLOOKUP(AR26,'ELA Reading Logic'!$A$22:$B$48,2,FALSE),"No Score")))),"No Value"))</f>
        <v>No Value</v>
      </c>
      <c r="AT26" s="96" t="str">
        <f>IFERROR(VLOOKUP(AP26,'ELA Reading Logic'!$A$22:$B$48,2,FALSE)-VLOOKUP($F26,'ELA Reading Logic'!$A$22:$B$48,2,FALSE),"No Value")</f>
        <v>No Value</v>
      </c>
    </row>
    <row r="27" spans="1:46" ht="22.5" customHeight="1" x14ac:dyDescent="0.25">
      <c r="A27" s="174"/>
      <c r="B27" s="174"/>
      <c r="C27" s="174"/>
      <c r="D27" s="174"/>
      <c r="E27" s="175"/>
      <c r="F27" s="175"/>
      <c r="G27" s="177" t="str">
        <f>IFERROR(IF($E27="Yes","IPP",VLOOKUP($J27,'ELA Reading Logic'!$A$3:$K$9,VLOOKUP("September",'ELA Reading Logic'!$J$22:$K$31,2,FALSE),FALSE)),"Set Grade")</f>
        <v>Set Grade</v>
      </c>
      <c r="H27" s="177" t="str">
        <f>IFERROR(IF($E27="Yes","IPP",VLOOKUP($J27,'ELA Reading Logic'!$A$13:$K$19,VLOOKUP("September",'ELA Reading Logic'!$J$22:$K$31,2,FALSE),FALSE)),"Set Grade")</f>
        <v>Set Grade</v>
      </c>
      <c r="I27" s="96" t="str">
        <f>IF($E27="Yes","IPP",IFERROR(IF(AND(F27&gt;G27,F27&lt;H27),"0",(VLOOKUP(F27,'ELA Reading Logic'!$A$22:$B$48,2,FALSE))-(IF(VLOOKUP(F27,'ELA Reading Logic'!$A$22:$B$48,2,FALSE)&lt;=VLOOKUP(G27,'ELA Reading Logic'!$A$22:$B$48,2,FALSE),VLOOKUP(G27,'ELA Reading Logic'!$A$22:$B$48,2,FALSE),IF(VLOOKUP(F27,'ELA Reading Logic'!$A$22:$B$48,2,FALSE)&gt;=VLOOKUP(H27,'ELA Reading Logic'!$A$22:$B$48,2,FALSE),VLOOKUP(H27,'ELA Reading Logic'!$A$22:$B$48,2,FALSE),"No Score")))),"No Value"))</f>
        <v>No Value</v>
      </c>
      <c r="J27" s="178"/>
      <c r="K27" s="96"/>
      <c r="L27" s="96"/>
      <c r="M27" s="96"/>
      <c r="N27" s="96"/>
      <c r="O27" s="96"/>
      <c r="P27" s="105"/>
      <c r="Q27" s="92"/>
      <c r="R27" s="96" t="str">
        <f>IFERROR(IF($E27="Yes","IPP",VLOOKUP($J27,'ELA Reading Logic'!$A$3:$K$9,VLOOKUP(Q$1,'ELA Reading Logic'!$J$22:$K$31,2,FALSE),FALSE)),"Set Grade")</f>
        <v>Set Grade</v>
      </c>
      <c r="S27" s="96" t="str">
        <f>IFERROR(IF($E27="Yes","IPP",VLOOKUP($J27,'ELA Reading Logic'!$A$13:$K$19,VLOOKUP(Q$1,'ELA Reading Logic'!$J$22:$K$31,2,FALSE),FALSE)),"Set Grade")</f>
        <v>Set Grade</v>
      </c>
      <c r="T27" s="96" t="str">
        <f>IF($E27="Yes","IPP",IFERROR(IF(AND(Q27&gt;R27,Q27&lt;S27),"0",(VLOOKUP(Q27,'ELA Reading Logic'!$A$22:$B$48,2,FALSE))-(IF(VLOOKUP(Q27,'ELA Reading Logic'!$A$22:$B$48,2,FALSE)&lt;=VLOOKUP(R27,'ELA Reading Logic'!$A$22:$B$48,2,FALSE),VLOOKUP(R27,'ELA Reading Logic'!$A$22:$B$48,2,FALSE),IF(VLOOKUP(Q27,'ELA Reading Logic'!$A$22:$B$48,2,FALSE)&gt;=VLOOKUP(S27,'ELA Reading Logic'!$A$22:$B$48,2,FALSE),VLOOKUP(S27,'ELA Reading Logic'!$A$22:$B$48,2,FALSE),"No Score")))),"No Value"))</f>
        <v>No Value</v>
      </c>
      <c r="U27" s="96" t="str">
        <f>IFERROR(VLOOKUP(Q27,'ELA Reading Logic'!$A$22:$B$48,2,FALSE)-VLOOKUP($F27,'ELA Reading Logic'!$A$22:$B$48,2,FALSE),"No Value")</f>
        <v>No Value</v>
      </c>
      <c r="V27" s="92"/>
      <c r="W27" s="96" t="str">
        <f>IFERROR(IF($E27="Yes","IPP",VLOOKUP($J27,'ELA Reading Logic'!$A$3:$K$9,VLOOKUP(V$1,'ELA Reading Logic'!$J$22:$K$31,2,FALSE),FALSE)),"Set Grade")</f>
        <v>Set Grade</v>
      </c>
      <c r="X27" s="96" t="str">
        <f>IFERROR(IF($E27="Yes","IPP",VLOOKUP($J27,'ELA Reading Logic'!$A$13:$K$19,VLOOKUP(V$1,'ELA Reading Logic'!$J$22:$K$31,2,FALSE),FALSE)),"Set Grade")</f>
        <v>Set Grade</v>
      </c>
      <c r="Y27" s="96" t="str">
        <f>IF($E27="Yes","IPP",IFERROR(IF(AND(V27&gt;W27,V27&lt;X27),"0",(VLOOKUP(V27,'ELA Reading Logic'!$A$22:$B$48,2,FALSE))-(IF(VLOOKUP(V27,'ELA Reading Logic'!$A$22:$B$48,2,FALSE)&lt;=VLOOKUP(W27,'ELA Reading Logic'!$A$22:$B$48,2,FALSE),VLOOKUP(W27,'ELA Reading Logic'!$A$22:$B$48,2,FALSE),IF(VLOOKUP(V27,'ELA Reading Logic'!$A$22:$B$48,2,FALSE)&gt;=VLOOKUP(X27,'ELA Reading Logic'!$A$22:$B$48,2,FALSE),VLOOKUP(X27,'ELA Reading Logic'!$A$22:$B$48,2,FALSE),"No Score")))),"No Value"))</f>
        <v>No Value</v>
      </c>
      <c r="Z27" s="96" t="str">
        <f>IFERROR(VLOOKUP(V27,'ELA Reading Logic'!$A$22:$B$48,2,FALSE)-VLOOKUP($F27,'ELA Reading Logic'!$A$22:$B$48,2,FALSE),"No Value")</f>
        <v>No Value</v>
      </c>
      <c r="AA27" s="92"/>
      <c r="AB27" s="96" t="str">
        <f>IFERROR(IF($E27="Yes","IPP",VLOOKUP($J27,'ELA Reading Logic'!$A$3:$K$9,VLOOKUP(AA$1,'ELA Reading Logic'!$J$22:$K$31,2,FALSE),FALSE)),"Set Grade")</f>
        <v>Set Grade</v>
      </c>
      <c r="AC27" s="96" t="str">
        <f>IFERROR(IF($E27="Yes","IPP",VLOOKUP($J27,'ELA Reading Logic'!$A$13:$K$19,VLOOKUP(AA$1,'ELA Reading Logic'!$J$22:$K$31,2,FALSE),FALSE)),"Set Grade")</f>
        <v>Set Grade</v>
      </c>
      <c r="AD27" s="96" t="str">
        <f>IF($E27="Yes","IPP",IFERROR(IF(AND(AA27&gt;AB27,AA27&lt;AC27),"0",(VLOOKUP(AA27,'ELA Reading Logic'!$A$22:$B$48,2,FALSE))-(IF(VLOOKUP(AA27,'ELA Reading Logic'!$A$22:$B$48,2,FALSE)&lt;=VLOOKUP(AB27,'ELA Reading Logic'!$A$22:$B$48,2,FALSE),VLOOKUP(AB27,'ELA Reading Logic'!$A$22:$B$48,2,FALSE),IF(VLOOKUP(AA27,'ELA Reading Logic'!$A$22:$B$48,2,FALSE)&gt;=VLOOKUP(AC27,'ELA Reading Logic'!$A$22:$B$48,2,FALSE),VLOOKUP(AC27,'ELA Reading Logic'!$A$22:$B$48,2,FALSE),"No Score")))),"No Value"))</f>
        <v>No Value</v>
      </c>
      <c r="AE27" s="96" t="str">
        <f>IFERROR(VLOOKUP(AA27,'ELA Reading Logic'!$A$22:$B$48,2,FALSE)-VLOOKUP($F27,'ELA Reading Logic'!$A$22:$B$48,2,FALSE),"No Value")</f>
        <v>No Value</v>
      </c>
      <c r="AF27" s="92"/>
      <c r="AG27" s="96" t="str">
        <f>IFERROR(IF($E27="Yes","IPP",VLOOKUP($J27,'ELA Reading Logic'!$A$3:$K$9,VLOOKUP(AF$1,'ELA Reading Logic'!$J$22:$K$31,2,FALSE),FALSE)),"Set Grade")</f>
        <v>Set Grade</v>
      </c>
      <c r="AH27" s="96" t="str">
        <f>IFERROR(IF($E27="Yes","IPP",VLOOKUP($J27,'ELA Reading Logic'!$A$13:$K$19,VLOOKUP(AF$1,'ELA Reading Logic'!$J$22:$K$31,2,FALSE),FALSE)),"Set Grade")</f>
        <v>Set Grade</v>
      </c>
      <c r="AI27" s="96" t="str">
        <f>IF($E27="Yes","IPP",IFERROR(IF(AND(AF27&gt;AG27,AF27&lt;AH27),"0",(VLOOKUP(AF27,'ELA Reading Logic'!$A$22:$B$48,2,FALSE))-(IF(VLOOKUP(AF27,'ELA Reading Logic'!$A$22:$B$48,2,FALSE)&lt;=VLOOKUP(AG27,'ELA Reading Logic'!$A$22:$B$48,2,FALSE),VLOOKUP(AG27,'ELA Reading Logic'!$A$22:$B$48,2,FALSE),IF(VLOOKUP(AF27,'ELA Reading Logic'!$A$22:$B$48,2,FALSE)&gt;=VLOOKUP(AH27,'ELA Reading Logic'!$A$22:$B$48,2,FALSE),VLOOKUP(AH27,'ELA Reading Logic'!$A$22:$B$48,2,FALSE),"No Score")))),"No Value"))</f>
        <v>No Value</v>
      </c>
      <c r="AJ27" s="96" t="str">
        <f>IFERROR(VLOOKUP(AF27,'ELA Reading Logic'!$A$22:$B$48,2,FALSE)-VLOOKUP($F27,'ELA Reading Logic'!$A$22:$B$48,2,FALSE),"No Value")</f>
        <v>No Value</v>
      </c>
      <c r="AK27" s="92"/>
      <c r="AL27" s="96" t="str">
        <f>IFERROR(IF($E27="Yes","IPP",VLOOKUP($J27,'ELA Reading Logic'!$A$3:$K$9,VLOOKUP(AK$1,'ELA Reading Logic'!$J$22:$K$31,2,FALSE),FALSE)),"Set Grade")</f>
        <v>Set Grade</v>
      </c>
      <c r="AM27" s="96" t="str">
        <f>IFERROR(IF($E27="Yes","IPP",VLOOKUP($J27,'ELA Reading Logic'!$A$13:$K$19,VLOOKUP(AK$1,'ELA Reading Logic'!$J$22:$K$31,2,FALSE),FALSE)),"Set Grade")</f>
        <v>Set Grade</v>
      </c>
      <c r="AN27" s="96" t="str">
        <f>IF($E27="Yes","IPP",IFERROR(IF(AND(AK27&gt;AL27,AK27&lt;AM27),"0",(VLOOKUP(AK27,'ELA Reading Logic'!$A$22:$B$48,2,FALSE))-(IF(VLOOKUP(AK27,'ELA Reading Logic'!$A$22:$B$48,2,FALSE)&lt;=VLOOKUP(AL27,'ELA Reading Logic'!$A$22:$B$48,2,FALSE),VLOOKUP(AL27,'ELA Reading Logic'!$A$22:$B$48,2,FALSE),IF(VLOOKUP(AK27,'ELA Reading Logic'!$A$22:$B$48,2,FALSE)&gt;=VLOOKUP(AM27,'ELA Reading Logic'!$A$22:$B$48,2,FALSE),VLOOKUP(AM27,'ELA Reading Logic'!$A$22:$B$48,2,FALSE),"No Score")))),"No Value"))</f>
        <v>No Value</v>
      </c>
      <c r="AO27" s="96" t="str">
        <f>IFERROR(VLOOKUP(AK27,'ELA Reading Logic'!$A$22:$B$48,2,FALSE)-VLOOKUP($F27,'ELA Reading Logic'!$A$22:$B$48,2,FALSE),"No Value")</f>
        <v>No Value</v>
      </c>
      <c r="AP27" s="92"/>
      <c r="AQ27" s="96" t="str">
        <f>IFERROR(IF($E27="Yes","IPP",VLOOKUP($J27,'ELA Reading Logic'!$A$3:$K$9,VLOOKUP(AP$1,'ELA Reading Logic'!$J$22:$K$31,2,FALSE),FALSE)),"Set Grade")</f>
        <v>Set Grade</v>
      </c>
      <c r="AR27" s="96" t="str">
        <f>IFERROR(IF($E27="Yes","IPP",VLOOKUP($J27,'ELA Reading Logic'!$A$13:$K$19,VLOOKUP(AP$1,'ELA Reading Logic'!$J$22:$K$31,2,FALSE),FALSE)),"Set Grade")</f>
        <v>Set Grade</v>
      </c>
      <c r="AS27" s="96" t="str">
        <f>IF($E27="Yes","IPP",IFERROR(IF(AND(AP27&gt;AQ27,AP27&lt;AR27),"0",(VLOOKUP(AP27,'ELA Reading Logic'!$A$22:$B$48,2,FALSE))-(IF(VLOOKUP(AP27,'ELA Reading Logic'!$A$22:$B$48,2,FALSE)&lt;=VLOOKUP(AQ27,'ELA Reading Logic'!$A$22:$B$48,2,FALSE),VLOOKUP(AQ27,'ELA Reading Logic'!$A$22:$B$48,2,FALSE),IF(VLOOKUP(AP27,'ELA Reading Logic'!$A$22:$B$48,2,FALSE)&gt;=VLOOKUP(AR27,'ELA Reading Logic'!$A$22:$B$48,2,FALSE),VLOOKUP(AR27,'ELA Reading Logic'!$A$22:$B$48,2,FALSE),"No Score")))),"No Value"))</f>
        <v>No Value</v>
      </c>
      <c r="AT27" s="96" t="str">
        <f>IFERROR(VLOOKUP(AP27,'ELA Reading Logic'!$A$22:$B$48,2,FALSE)-VLOOKUP($F27,'ELA Reading Logic'!$A$22:$B$48,2,FALSE),"No Value")</f>
        <v>No Value</v>
      </c>
    </row>
    <row r="28" spans="1:46" ht="22.5" customHeight="1" x14ac:dyDescent="0.25">
      <c r="A28" s="176"/>
      <c r="B28" s="176"/>
      <c r="C28" s="176"/>
      <c r="D28" s="176"/>
      <c r="E28" s="175"/>
      <c r="F28" s="175"/>
      <c r="G28" s="177" t="str">
        <f>IFERROR(IF($E28="Yes","IPP",VLOOKUP($J28,'ELA Reading Logic'!$A$3:$K$9,VLOOKUP("September",'ELA Reading Logic'!$J$22:$K$31,2,FALSE),FALSE)),"Set Grade")</f>
        <v>Set Grade</v>
      </c>
      <c r="H28" s="177" t="str">
        <f>IFERROR(IF($E28="Yes","IPP",VLOOKUP($J28,'ELA Reading Logic'!$A$13:$K$19,VLOOKUP("September",'ELA Reading Logic'!$J$22:$K$31,2,FALSE),FALSE)),"Set Grade")</f>
        <v>Set Grade</v>
      </c>
      <c r="I28" s="96" t="str">
        <f>IF($E28="Yes","IPP",IFERROR(IF(AND(F28&gt;G28,F28&lt;H28),"0",(VLOOKUP(F28,'ELA Reading Logic'!$A$22:$B$48,2,FALSE))-(IF(VLOOKUP(F28,'ELA Reading Logic'!$A$22:$B$48,2,FALSE)&lt;=VLOOKUP(G28,'ELA Reading Logic'!$A$22:$B$48,2,FALSE),VLOOKUP(G28,'ELA Reading Logic'!$A$22:$B$48,2,FALSE),IF(VLOOKUP(F28,'ELA Reading Logic'!$A$22:$B$48,2,FALSE)&gt;=VLOOKUP(H28,'ELA Reading Logic'!$A$22:$B$48,2,FALSE),VLOOKUP(H28,'ELA Reading Logic'!$A$22:$B$48,2,FALSE),"No Score")))),"No Value"))</f>
        <v>No Value</v>
      </c>
      <c r="J28" s="178"/>
      <c r="K28" s="96"/>
      <c r="L28" s="96"/>
      <c r="M28" s="96"/>
      <c r="N28" s="96"/>
      <c r="O28" s="96"/>
      <c r="P28" s="105"/>
      <c r="Q28" s="92"/>
      <c r="R28" s="96" t="str">
        <f>IFERROR(IF($E28="Yes","IPP",VLOOKUP($J28,'ELA Reading Logic'!$A$3:$K$9,VLOOKUP(Q$1,'ELA Reading Logic'!$J$22:$K$31,2,FALSE),FALSE)),"Set Grade")</f>
        <v>Set Grade</v>
      </c>
      <c r="S28" s="96" t="str">
        <f>IFERROR(IF($E28="Yes","IPP",VLOOKUP($J28,'ELA Reading Logic'!$A$13:$K$19,VLOOKUP(Q$1,'ELA Reading Logic'!$J$22:$K$31,2,FALSE),FALSE)),"Set Grade")</f>
        <v>Set Grade</v>
      </c>
      <c r="T28" s="96" t="str">
        <f>IF($E28="Yes","IPP",IFERROR(IF(AND(Q28&gt;R28,Q28&lt;S28),"0",(VLOOKUP(Q28,'ELA Reading Logic'!$A$22:$B$48,2,FALSE))-(IF(VLOOKUP(Q28,'ELA Reading Logic'!$A$22:$B$48,2,FALSE)&lt;=VLOOKUP(R28,'ELA Reading Logic'!$A$22:$B$48,2,FALSE),VLOOKUP(R28,'ELA Reading Logic'!$A$22:$B$48,2,FALSE),IF(VLOOKUP(Q28,'ELA Reading Logic'!$A$22:$B$48,2,FALSE)&gt;=VLOOKUP(S28,'ELA Reading Logic'!$A$22:$B$48,2,FALSE),VLOOKUP(S28,'ELA Reading Logic'!$A$22:$B$48,2,FALSE),"No Score")))),"No Value"))</f>
        <v>No Value</v>
      </c>
      <c r="U28" s="96" t="str">
        <f>IFERROR(VLOOKUP(Q28,'ELA Reading Logic'!$A$22:$B$48,2,FALSE)-VLOOKUP($F28,'ELA Reading Logic'!$A$22:$B$48,2,FALSE),"No Value")</f>
        <v>No Value</v>
      </c>
      <c r="V28" s="92"/>
      <c r="W28" s="96" t="str">
        <f>IFERROR(IF($E28="Yes","IPP",VLOOKUP($J28,'ELA Reading Logic'!$A$3:$K$9,VLOOKUP(V$1,'ELA Reading Logic'!$J$22:$K$31,2,FALSE),FALSE)),"Set Grade")</f>
        <v>Set Grade</v>
      </c>
      <c r="X28" s="96" t="str">
        <f>IFERROR(IF($E28="Yes","IPP",VLOOKUP($J28,'ELA Reading Logic'!$A$13:$K$19,VLOOKUP(V$1,'ELA Reading Logic'!$J$22:$K$31,2,FALSE),FALSE)),"Set Grade")</f>
        <v>Set Grade</v>
      </c>
      <c r="Y28" s="96" t="str">
        <f>IF($E28="Yes","IPP",IFERROR(IF(AND(V28&gt;W28,V28&lt;X28),"0",(VLOOKUP(V28,'ELA Reading Logic'!$A$22:$B$48,2,FALSE))-(IF(VLOOKUP(V28,'ELA Reading Logic'!$A$22:$B$48,2,FALSE)&lt;=VLOOKUP(W28,'ELA Reading Logic'!$A$22:$B$48,2,FALSE),VLOOKUP(W28,'ELA Reading Logic'!$A$22:$B$48,2,FALSE),IF(VLOOKUP(V28,'ELA Reading Logic'!$A$22:$B$48,2,FALSE)&gt;=VLOOKUP(X28,'ELA Reading Logic'!$A$22:$B$48,2,FALSE),VLOOKUP(X28,'ELA Reading Logic'!$A$22:$B$48,2,FALSE),"No Score")))),"No Value"))</f>
        <v>No Value</v>
      </c>
      <c r="Z28" s="96" t="str">
        <f>IFERROR(VLOOKUP(V28,'ELA Reading Logic'!$A$22:$B$48,2,FALSE)-VLOOKUP($F28,'ELA Reading Logic'!$A$22:$B$48,2,FALSE),"No Value")</f>
        <v>No Value</v>
      </c>
      <c r="AA28" s="92"/>
      <c r="AB28" s="96" t="str">
        <f>IFERROR(IF($E28="Yes","IPP",VLOOKUP($J28,'ELA Reading Logic'!$A$3:$K$9,VLOOKUP(AA$1,'ELA Reading Logic'!$J$22:$K$31,2,FALSE),FALSE)),"Set Grade")</f>
        <v>Set Grade</v>
      </c>
      <c r="AC28" s="96" t="str">
        <f>IFERROR(IF($E28="Yes","IPP",VLOOKUP($J28,'ELA Reading Logic'!$A$13:$K$19,VLOOKUP(AA$1,'ELA Reading Logic'!$J$22:$K$31,2,FALSE),FALSE)),"Set Grade")</f>
        <v>Set Grade</v>
      </c>
      <c r="AD28" s="96" t="str">
        <f>IF($E28="Yes","IPP",IFERROR(IF(AND(AA28&gt;AB28,AA28&lt;AC28),"0",(VLOOKUP(AA28,'ELA Reading Logic'!$A$22:$B$48,2,FALSE))-(IF(VLOOKUP(AA28,'ELA Reading Logic'!$A$22:$B$48,2,FALSE)&lt;=VLOOKUP(AB28,'ELA Reading Logic'!$A$22:$B$48,2,FALSE),VLOOKUP(AB28,'ELA Reading Logic'!$A$22:$B$48,2,FALSE),IF(VLOOKUP(AA28,'ELA Reading Logic'!$A$22:$B$48,2,FALSE)&gt;=VLOOKUP(AC28,'ELA Reading Logic'!$A$22:$B$48,2,FALSE),VLOOKUP(AC28,'ELA Reading Logic'!$A$22:$B$48,2,FALSE),"No Score")))),"No Value"))</f>
        <v>No Value</v>
      </c>
      <c r="AE28" s="96" t="str">
        <f>IFERROR(VLOOKUP(AA28,'ELA Reading Logic'!$A$22:$B$48,2,FALSE)-VLOOKUP($F28,'ELA Reading Logic'!$A$22:$B$48,2,FALSE),"No Value")</f>
        <v>No Value</v>
      </c>
      <c r="AF28" s="92"/>
      <c r="AG28" s="96" t="str">
        <f>IFERROR(IF($E28="Yes","IPP",VLOOKUP($J28,'ELA Reading Logic'!$A$3:$K$9,VLOOKUP(AF$1,'ELA Reading Logic'!$J$22:$K$31,2,FALSE),FALSE)),"Set Grade")</f>
        <v>Set Grade</v>
      </c>
      <c r="AH28" s="96" t="str">
        <f>IFERROR(IF($E28="Yes","IPP",VLOOKUP($J28,'ELA Reading Logic'!$A$13:$K$19,VLOOKUP(AF$1,'ELA Reading Logic'!$J$22:$K$31,2,FALSE),FALSE)),"Set Grade")</f>
        <v>Set Grade</v>
      </c>
      <c r="AI28" s="96" t="str">
        <f>IF($E28="Yes","IPP",IFERROR(IF(AND(AF28&gt;AG28,AF28&lt;AH28),"0",(VLOOKUP(AF28,'ELA Reading Logic'!$A$22:$B$48,2,FALSE))-(IF(VLOOKUP(AF28,'ELA Reading Logic'!$A$22:$B$48,2,FALSE)&lt;=VLOOKUP(AG28,'ELA Reading Logic'!$A$22:$B$48,2,FALSE),VLOOKUP(AG28,'ELA Reading Logic'!$A$22:$B$48,2,FALSE),IF(VLOOKUP(AF28,'ELA Reading Logic'!$A$22:$B$48,2,FALSE)&gt;=VLOOKUP(AH28,'ELA Reading Logic'!$A$22:$B$48,2,FALSE),VLOOKUP(AH28,'ELA Reading Logic'!$A$22:$B$48,2,FALSE),"No Score")))),"No Value"))</f>
        <v>No Value</v>
      </c>
      <c r="AJ28" s="96" t="str">
        <f>IFERROR(VLOOKUP(AF28,'ELA Reading Logic'!$A$22:$B$48,2,FALSE)-VLOOKUP($F28,'ELA Reading Logic'!$A$22:$B$48,2,FALSE),"No Value")</f>
        <v>No Value</v>
      </c>
      <c r="AK28" s="92"/>
      <c r="AL28" s="96" t="str">
        <f>IFERROR(IF($E28="Yes","IPP",VLOOKUP($J28,'ELA Reading Logic'!$A$3:$K$9,VLOOKUP(AK$1,'ELA Reading Logic'!$J$22:$K$31,2,FALSE),FALSE)),"Set Grade")</f>
        <v>Set Grade</v>
      </c>
      <c r="AM28" s="96" t="str">
        <f>IFERROR(IF($E28="Yes","IPP",VLOOKUP($J28,'ELA Reading Logic'!$A$13:$K$19,VLOOKUP(AK$1,'ELA Reading Logic'!$J$22:$K$31,2,FALSE),FALSE)),"Set Grade")</f>
        <v>Set Grade</v>
      </c>
      <c r="AN28" s="96" t="str">
        <f>IF($E28="Yes","IPP",IFERROR(IF(AND(AK28&gt;AL28,AK28&lt;AM28),"0",(VLOOKUP(AK28,'ELA Reading Logic'!$A$22:$B$48,2,FALSE))-(IF(VLOOKUP(AK28,'ELA Reading Logic'!$A$22:$B$48,2,FALSE)&lt;=VLOOKUP(AL28,'ELA Reading Logic'!$A$22:$B$48,2,FALSE),VLOOKUP(AL28,'ELA Reading Logic'!$A$22:$B$48,2,FALSE),IF(VLOOKUP(AK28,'ELA Reading Logic'!$A$22:$B$48,2,FALSE)&gt;=VLOOKUP(AM28,'ELA Reading Logic'!$A$22:$B$48,2,FALSE),VLOOKUP(AM28,'ELA Reading Logic'!$A$22:$B$48,2,FALSE),"No Score")))),"No Value"))</f>
        <v>No Value</v>
      </c>
      <c r="AO28" s="96" t="str">
        <f>IFERROR(VLOOKUP(AK28,'ELA Reading Logic'!$A$22:$B$48,2,FALSE)-VLOOKUP($F28,'ELA Reading Logic'!$A$22:$B$48,2,FALSE),"No Value")</f>
        <v>No Value</v>
      </c>
      <c r="AP28" s="92"/>
      <c r="AQ28" s="96" t="str">
        <f>IFERROR(IF($E28="Yes","IPP",VLOOKUP($J28,'ELA Reading Logic'!$A$3:$K$9,VLOOKUP(AP$1,'ELA Reading Logic'!$J$22:$K$31,2,FALSE),FALSE)),"Set Grade")</f>
        <v>Set Grade</v>
      </c>
      <c r="AR28" s="96" t="str">
        <f>IFERROR(IF($E28="Yes","IPP",VLOOKUP($J28,'ELA Reading Logic'!$A$13:$K$19,VLOOKUP(AP$1,'ELA Reading Logic'!$J$22:$K$31,2,FALSE),FALSE)),"Set Grade")</f>
        <v>Set Grade</v>
      </c>
      <c r="AS28" s="96" t="str">
        <f>IF($E28="Yes","IPP",IFERROR(IF(AND(AP28&gt;AQ28,AP28&lt;AR28),"0",(VLOOKUP(AP28,'ELA Reading Logic'!$A$22:$B$48,2,FALSE))-(IF(VLOOKUP(AP28,'ELA Reading Logic'!$A$22:$B$48,2,FALSE)&lt;=VLOOKUP(AQ28,'ELA Reading Logic'!$A$22:$B$48,2,FALSE),VLOOKUP(AQ28,'ELA Reading Logic'!$A$22:$B$48,2,FALSE),IF(VLOOKUP(AP28,'ELA Reading Logic'!$A$22:$B$48,2,FALSE)&gt;=VLOOKUP(AR28,'ELA Reading Logic'!$A$22:$B$48,2,FALSE),VLOOKUP(AR28,'ELA Reading Logic'!$A$22:$B$48,2,FALSE),"No Score")))),"No Value"))</f>
        <v>No Value</v>
      </c>
      <c r="AT28" s="96" t="str">
        <f>IFERROR(VLOOKUP(AP28,'ELA Reading Logic'!$A$22:$B$48,2,FALSE)-VLOOKUP($F28,'ELA Reading Logic'!$A$22:$B$48,2,FALSE),"No Value")</f>
        <v>No Value</v>
      </c>
    </row>
    <row r="29" spans="1:46" ht="22.5" customHeight="1" x14ac:dyDescent="0.25">
      <c r="A29" s="174"/>
      <c r="B29" s="174"/>
      <c r="C29" s="174"/>
      <c r="D29" s="174"/>
      <c r="E29" s="175"/>
      <c r="F29" s="175"/>
      <c r="G29" s="177" t="str">
        <f>IFERROR(IF($E29="Yes","IPP",VLOOKUP($J29,'ELA Reading Logic'!$A$3:$K$9,VLOOKUP("September",'ELA Reading Logic'!$J$22:$K$31,2,FALSE),FALSE)),"Set Grade")</f>
        <v>Set Grade</v>
      </c>
      <c r="H29" s="177" t="str">
        <f>IFERROR(IF($E29="Yes","IPP",VLOOKUP($J29,'ELA Reading Logic'!$A$13:$K$19,VLOOKUP("September",'ELA Reading Logic'!$J$22:$K$31,2,FALSE),FALSE)),"Set Grade")</f>
        <v>Set Grade</v>
      </c>
      <c r="I29" s="96" t="str">
        <f>IF($E29="Yes","IPP",IFERROR(IF(AND(F29&gt;G29,F29&lt;H29),"0",(VLOOKUP(F29,'ELA Reading Logic'!$A$22:$B$48,2,FALSE))-(IF(VLOOKUP(F29,'ELA Reading Logic'!$A$22:$B$48,2,FALSE)&lt;=VLOOKUP(G29,'ELA Reading Logic'!$A$22:$B$48,2,FALSE),VLOOKUP(G29,'ELA Reading Logic'!$A$22:$B$48,2,FALSE),IF(VLOOKUP(F29,'ELA Reading Logic'!$A$22:$B$48,2,FALSE)&gt;=VLOOKUP(H29,'ELA Reading Logic'!$A$22:$B$48,2,FALSE),VLOOKUP(H29,'ELA Reading Logic'!$A$22:$B$48,2,FALSE),"No Score")))),"No Value"))</f>
        <v>No Value</v>
      </c>
      <c r="J29" s="178"/>
      <c r="K29" s="96"/>
      <c r="L29" s="96"/>
      <c r="M29" s="96"/>
      <c r="N29" s="96"/>
      <c r="O29" s="96"/>
      <c r="P29" s="105"/>
      <c r="Q29" s="92"/>
      <c r="R29" s="96" t="str">
        <f>IFERROR(IF($E29="Yes","IPP",VLOOKUP($J29,'ELA Reading Logic'!$A$3:$K$9,VLOOKUP(Q$1,'ELA Reading Logic'!$J$22:$K$31,2,FALSE),FALSE)),"Set Grade")</f>
        <v>Set Grade</v>
      </c>
      <c r="S29" s="96" t="str">
        <f>IFERROR(IF($E29="Yes","IPP",VLOOKUP($J29,'ELA Reading Logic'!$A$13:$K$19,VLOOKUP(Q$1,'ELA Reading Logic'!$J$22:$K$31,2,FALSE),FALSE)),"Set Grade")</f>
        <v>Set Grade</v>
      </c>
      <c r="T29" s="96" t="str">
        <f>IF($E29="Yes","IPP",IFERROR(IF(AND(Q29&gt;R29,Q29&lt;S29),"0",(VLOOKUP(Q29,'ELA Reading Logic'!$A$22:$B$48,2,FALSE))-(IF(VLOOKUP(Q29,'ELA Reading Logic'!$A$22:$B$48,2,FALSE)&lt;=VLOOKUP(R29,'ELA Reading Logic'!$A$22:$B$48,2,FALSE),VLOOKUP(R29,'ELA Reading Logic'!$A$22:$B$48,2,FALSE),IF(VLOOKUP(Q29,'ELA Reading Logic'!$A$22:$B$48,2,FALSE)&gt;=VLOOKUP(S29,'ELA Reading Logic'!$A$22:$B$48,2,FALSE),VLOOKUP(S29,'ELA Reading Logic'!$A$22:$B$48,2,FALSE),"No Score")))),"No Value"))</f>
        <v>No Value</v>
      </c>
      <c r="U29" s="96" t="str">
        <f>IFERROR(VLOOKUP(Q29,'ELA Reading Logic'!$A$22:$B$48,2,FALSE)-VLOOKUP($F29,'ELA Reading Logic'!$A$22:$B$48,2,FALSE),"No Value")</f>
        <v>No Value</v>
      </c>
      <c r="V29" s="92"/>
      <c r="W29" s="96" t="str">
        <f>IFERROR(IF($E29="Yes","IPP",VLOOKUP($J29,'ELA Reading Logic'!$A$3:$K$9,VLOOKUP(V$1,'ELA Reading Logic'!$J$22:$K$31,2,FALSE),FALSE)),"Set Grade")</f>
        <v>Set Grade</v>
      </c>
      <c r="X29" s="96" t="str">
        <f>IFERROR(IF($E29="Yes","IPP",VLOOKUP($J29,'ELA Reading Logic'!$A$13:$K$19,VLOOKUP(V$1,'ELA Reading Logic'!$J$22:$K$31,2,FALSE),FALSE)),"Set Grade")</f>
        <v>Set Grade</v>
      </c>
      <c r="Y29" s="96" t="str">
        <f>IF($E29="Yes","IPP",IFERROR(IF(AND(V29&gt;W29,V29&lt;X29),"0",(VLOOKUP(V29,'ELA Reading Logic'!$A$22:$B$48,2,FALSE))-(IF(VLOOKUP(V29,'ELA Reading Logic'!$A$22:$B$48,2,FALSE)&lt;=VLOOKUP(W29,'ELA Reading Logic'!$A$22:$B$48,2,FALSE),VLOOKUP(W29,'ELA Reading Logic'!$A$22:$B$48,2,FALSE),IF(VLOOKUP(V29,'ELA Reading Logic'!$A$22:$B$48,2,FALSE)&gt;=VLOOKUP(X29,'ELA Reading Logic'!$A$22:$B$48,2,FALSE),VLOOKUP(X29,'ELA Reading Logic'!$A$22:$B$48,2,FALSE),"No Score")))),"No Value"))</f>
        <v>No Value</v>
      </c>
      <c r="Z29" s="96" t="str">
        <f>IFERROR(VLOOKUP(V29,'ELA Reading Logic'!$A$22:$B$48,2,FALSE)-VLOOKUP($F29,'ELA Reading Logic'!$A$22:$B$48,2,FALSE),"No Value")</f>
        <v>No Value</v>
      </c>
      <c r="AA29" s="92"/>
      <c r="AB29" s="96" t="str">
        <f>IFERROR(IF($E29="Yes","IPP",VLOOKUP($J29,'ELA Reading Logic'!$A$3:$K$9,VLOOKUP(AA$1,'ELA Reading Logic'!$J$22:$K$31,2,FALSE),FALSE)),"Set Grade")</f>
        <v>Set Grade</v>
      </c>
      <c r="AC29" s="96" t="str">
        <f>IFERROR(IF($E29="Yes","IPP",VLOOKUP($J29,'ELA Reading Logic'!$A$13:$K$19,VLOOKUP(AA$1,'ELA Reading Logic'!$J$22:$K$31,2,FALSE),FALSE)),"Set Grade")</f>
        <v>Set Grade</v>
      </c>
      <c r="AD29" s="96" t="str">
        <f>IF($E29="Yes","IPP",IFERROR(IF(AND(AA29&gt;AB29,AA29&lt;AC29),"0",(VLOOKUP(AA29,'ELA Reading Logic'!$A$22:$B$48,2,FALSE))-(IF(VLOOKUP(AA29,'ELA Reading Logic'!$A$22:$B$48,2,FALSE)&lt;=VLOOKUP(AB29,'ELA Reading Logic'!$A$22:$B$48,2,FALSE),VLOOKUP(AB29,'ELA Reading Logic'!$A$22:$B$48,2,FALSE),IF(VLOOKUP(AA29,'ELA Reading Logic'!$A$22:$B$48,2,FALSE)&gt;=VLOOKUP(AC29,'ELA Reading Logic'!$A$22:$B$48,2,FALSE),VLOOKUP(AC29,'ELA Reading Logic'!$A$22:$B$48,2,FALSE),"No Score")))),"No Value"))</f>
        <v>No Value</v>
      </c>
      <c r="AE29" s="96" t="str">
        <f>IFERROR(VLOOKUP(AA29,'ELA Reading Logic'!$A$22:$B$48,2,FALSE)-VLOOKUP($F29,'ELA Reading Logic'!$A$22:$B$48,2,FALSE),"No Value")</f>
        <v>No Value</v>
      </c>
      <c r="AF29" s="92"/>
      <c r="AG29" s="96" t="str">
        <f>IFERROR(IF($E29="Yes","IPP",VLOOKUP($J29,'ELA Reading Logic'!$A$3:$K$9,VLOOKUP(AF$1,'ELA Reading Logic'!$J$22:$K$31,2,FALSE),FALSE)),"Set Grade")</f>
        <v>Set Grade</v>
      </c>
      <c r="AH29" s="96" t="str">
        <f>IFERROR(IF($E29="Yes","IPP",VLOOKUP($J29,'ELA Reading Logic'!$A$13:$K$19,VLOOKUP(AF$1,'ELA Reading Logic'!$J$22:$K$31,2,FALSE),FALSE)),"Set Grade")</f>
        <v>Set Grade</v>
      </c>
      <c r="AI29" s="96" t="str">
        <f>IF($E29="Yes","IPP",IFERROR(IF(AND(AF29&gt;AG29,AF29&lt;AH29),"0",(VLOOKUP(AF29,'ELA Reading Logic'!$A$22:$B$48,2,FALSE))-(IF(VLOOKUP(AF29,'ELA Reading Logic'!$A$22:$B$48,2,FALSE)&lt;=VLOOKUP(AG29,'ELA Reading Logic'!$A$22:$B$48,2,FALSE),VLOOKUP(AG29,'ELA Reading Logic'!$A$22:$B$48,2,FALSE),IF(VLOOKUP(AF29,'ELA Reading Logic'!$A$22:$B$48,2,FALSE)&gt;=VLOOKUP(AH29,'ELA Reading Logic'!$A$22:$B$48,2,FALSE),VLOOKUP(AH29,'ELA Reading Logic'!$A$22:$B$48,2,FALSE),"No Score")))),"No Value"))</f>
        <v>No Value</v>
      </c>
      <c r="AJ29" s="96" t="str">
        <f>IFERROR(VLOOKUP(AF29,'ELA Reading Logic'!$A$22:$B$48,2,FALSE)-VLOOKUP($F29,'ELA Reading Logic'!$A$22:$B$48,2,FALSE),"No Value")</f>
        <v>No Value</v>
      </c>
      <c r="AK29" s="92"/>
      <c r="AL29" s="96" t="str">
        <f>IFERROR(IF($E29="Yes","IPP",VLOOKUP($J29,'ELA Reading Logic'!$A$3:$K$9,VLOOKUP(AK$1,'ELA Reading Logic'!$J$22:$K$31,2,FALSE),FALSE)),"Set Grade")</f>
        <v>Set Grade</v>
      </c>
      <c r="AM29" s="96" t="str">
        <f>IFERROR(IF($E29="Yes","IPP",VLOOKUP($J29,'ELA Reading Logic'!$A$13:$K$19,VLOOKUP(AK$1,'ELA Reading Logic'!$J$22:$K$31,2,FALSE),FALSE)),"Set Grade")</f>
        <v>Set Grade</v>
      </c>
      <c r="AN29" s="96" t="str">
        <f>IF($E29="Yes","IPP",IFERROR(IF(AND(AK29&gt;AL29,AK29&lt;AM29),"0",(VLOOKUP(AK29,'ELA Reading Logic'!$A$22:$B$48,2,FALSE))-(IF(VLOOKUP(AK29,'ELA Reading Logic'!$A$22:$B$48,2,FALSE)&lt;=VLOOKUP(AL29,'ELA Reading Logic'!$A$22:$B$48,2,FALSE),VLOOKUP(AL29,'ELA Reading Logic'!$A$22:$B$48,2,FALSE),IF(VLOOKUP(AK29,'ELA Reading Logic'!$A$22:$B$48,2,FALSE)&gt;=VLOOKUP(AM29,'ELA Reading Logic'!$A$22:$B$48,2,FALSE),VLOOKUP(AM29,'ELA Reading Logic'!$A$22:$B$48,2,FALSE),"No Score")))),"No Value"))</f>
        <v>No Value</v>
      </c>
      <c r="AO29" s="96" t="str">
        <f>IFERROR(VLOOKUP(AK29,'ELA Reading Logic'!$A$22:$B$48,2,FALSE)-VLOOKUP($F29,'ELA Reading Logic'!$A$22:$B$48,2,FALSE),"No Value")</f>
        <v>No Value</v>
      </c>
      <c r="AP29" s="92"/>
      <c r="AQ29" s="96" t="str">
        <f>IFERROR(IF($E29="Yes","IPP",VLOOKUP($J29,'ELA Reading Logic'!$A$3:$K$9,VLOOKUP(AP$1,'ELA Reading Logic'!$J$22:$K$31,2,FALSE),FALSE)),"Set Grade")</f>
        <v>Set Grade</v>
      </c>
      <c r="AR29" s="96" t="str">
        <f>IFERROR(IF($E29="Yes","IPP",VLOOKUP($J29,'ELA Reading Logic'!$A$13:$K$19,VLOOKUP(AP$1,'ELA Reading Logic'!$J$22:$K$31,2,FALSE),FALSE)),"Set Grade")</f>
        <v>Set Grade</v>
      </c>
      <c r="AS29" s="96" t="str">
        <f>IF($E29="Yes","IPP",IFERROR(IF(AND(AP29&gt;AQ29,AP29&lt;AR29),"0",(VLOOKUP(AP29,'ELA Reading Logic'!$A$22:$B$48,2,FALSE))-(IF(VLOOKUP(AP29,'ELA Reading Logic'!$A$22:$B$48,2,FALSE)&lt;=VLOOKUP(AQ29,'ELA Reading Logic'!$A$22:$B$48,2,FALSE),VLOOKUP(AQ29,'ELA Reading Logic'!$A$22:$B$48,2,FALSE),IF(VLOOKUP(AP29,'ELA Reading Logic'!$A$22:$B$48,2,FALSE)&gt;=VLOOKUP(AR29,'ELA Reading Logic'!$A$22:$B$48,2,FALSE),VLOOKUP(AR29,'ELA Reading Logic'!$A$22:$B$48,2,FALSE),"No Score")))),"No Value"))</f>
        <v>No Value</v>
      </c>
      <c r="AT29" s="96" t="str">
        <f>IFERROR(VLOOKUP(AP29,'ELA Reading Logic'!$A$22:$B$48,2,FALSE)-VLOOKUP($F29,'ELA Reading Logic'!$A$22:$B$48,2,FALSE),"No Value")</f>
        <v>No Value</v>
      </c>
    </row>
    <row r="30" spans="1:46" ht="22.5" customHeight="1" x14ac:dyDescent="0.25">
      <c r="A30" s="176"/>
      <c r="B30" s="176"/>
      <c r="C30" s="176"/>
      <c r="D30" s="176"/>
      <c r="E30" s="175"/>
      <c r="F30" s="175"/>
      <c r="G30" s="177" t="str">
        <f>IFERROR(IF($E30="Yes","IPP",VLOOKUP($J30,'ELA Reading Logic'!$A$3:$K$9,VLOOKUP("September",'ELA Reading Logic'!$J$22:$K$31,2,FALSE),FALSE)),"Set Grade")</f>
        <v>Set Grade</v>
      </c>
      <c r="H30" s="177" t="str">
        <f>IFERROR(IF($E30="Yes","IPP",VLOOKUP($J30,'ELA Reading Logic'!$A$13:$K$19,VLOOKUP("September",'ELA Reading Logic'!$J$22:$K$31,2,FALSE),FALSE)),"Set Grade")</f>
        <v>Set Grade</v>
      </c>
      <c r="I30" s="96" t="str">
        <f>IF($E30="Yes","IPP",IFERROR(IF(AND(F30&gt;G30,F30&lt;H30),"0",(VLOOKUP(F30,'ELA Reading Logic'!$A$22:$B$48,2,FALSE))-(IF(VLOOKUP(F30,'ELA Reading Logic'!$A$22:$B$48,2,FALSE)&lt;=VLOOKUP(G30,'ELA Reading Logic'!$A$22:$B$48,2,FALSE),VLOOKUP(G30,'ELA Reading Logic'!$A$22:$B$48,2,FALSE),IF(VLOOKUP(F30,'ELA Reading Logic'!$A$22:$B$48,2,FALSE)&gt;=VLOOKUP(H30,'ELA Reading Logic'!$A$22:$B$48,2,FALSE),VLOOKUP(H30,'ELA Reading Logic'!$A$22:$B$48,2,FALSE),"No Score")))),"No Value"))</f>
        <v>No Value</v>
      </c>
      <c r="J30" s="178"/>
      <c r="K30" s="96"/>
      <c r="L30" s="96"/>
      <c r="M30" s="96"/>
      <c r="N30" s="96"/>
      <c r="O30" s="96"/>
      <c r="P30" s="105"/>
      <c r="Q30" s="92"/>
      <c r="R30" s="96" t="str">
        <f>IFERROR(IF($E30="Yes","IPP",VLOOKUP($J30,'ELA Reading Logic'!$A$3:$K$9,VLOOKUP(Q$1,'ELA Reading Logic'!$J$22:$K$31,2,FALSE),FALSE)),"Set Grade")</f>
        <v>Set Grade</v>
      </c>
      <c r="S30" s="96" t="str">
        <f>IFERROR(IF($E30="Yes","IPP",VLOOKUP($J30,'ELA Reading Logic'!$A$13:$K$19,VLOOKUP(Q$1,'ELA Reading Logic'!$J$22:$K$31,2,FALSE),FALSE)),"Set Grade")</f>
        <v>Set Grade</v>
      </c>
      <c r="T30" s="96" t="str">
        <f>IF($E30="Yes","IPP",IFERROR(IF(AND(Q30&gt;R30,Q30&lt;S30),"0",(VLOOKUP(Q30,'ELA Reading Logic'!$A$22:$B$48,2,FALSE))-(IF(VLOOKUP(Q30,'ELA Reading Logic'!$A$22:$B$48,2,FALSE)&lt;=VLOOKUP(R30,'ELA Reading Logic'!$A$22:$B$48,2,FALSE),VLOOKUP(R30,'ELA Reading Logic'!$A$22:$B$48,2,FALSE),IF(VLOOKUP(Q30,'ELA Reading Logic'!$A$22:$B$48,2,FALSE)&gt;=VLOOKUP(S30,'ELA Reading Logic'!$A$22:$B$48,2,FALSE),VLOOKUP(S30,'ELA Reading Logic'!$A$22:$B$48,2,FALSE),"No Score")))),"No Value"))</f>
        <v>No Value</v>
      </c>
      <c r="U30" s="96" t="str">
        <f>IFERROR(VLOOKUP(Q30,'ELA Reading Logic'!$A$22:$B$48,2,FALSE)-VLOOKUP($F30,'ELA Reading Logic'!$A$22:$B$48,2,FALSE),"No Value")</f>
        <v>No Value</v>
      </c>
      <c r="V30" s="92"/>
      <c r="W30" s="96" t="str">
        <f>IFERROR(IF($E30="Yes","IPP",VLOOKUP($J30,'ELA Reading Logic'!$A$3:$K$9,VLOOKUP(V$1,'ELA Reading Logic'!$J$22:$K$31,2,FALSE),FALSE)),"Set Grade")</f>
        <v>Set Grade</v>
      </c>
      <c r="X30" s="96" t="str">
        <f>IFERROR(IF($E30="Yes","IPP",VLOOKUP($J30,'ELA Reading Logic'!$A$13:$K$19,VLOOKUP(V$1,'ELA Reading Logic'!$J$22:$K$31,2,FALSE),FALSE)),"Set Grade")</f>
        <v>Set Grade</v>
      </c>
      <c r="Y30" s="96" t="str">
        <f>IF($E30="Yes","IPP",IFERROR(IF(AND(V30&gt;W30,V30&lt;X30),"0",(VLOOKUP(V30,'ELA Reading Logic'!$A$22:$B$48,2,FALSE))-(IF(VLOOKUP(V30,'ELA Reading Logic'!$A$22:$B$48,2,FALSE)&lt;=VLOOKUP(W30,'ELA Reading Logic'!$A$22:$B$48,2,FALSE),VLOOKUP(W30,'ELA Reading Logic'!$A$22:$B$48,2,FALSE),IF(VLOOKUP(V30,'ELA Reading Logic'!$A$22:$B$48,2,FALSE)&gt;=VLOOKUP(X30,'ELA Reading Logic'!$A$22:$B$48,2,FALSE),VLOOKUP(X30,'ELA Reading Logic'!$A$22:$B$48,2,FALSE),"No Score")))),"No Value"))</f>
        <v>No Value</v>
      </c>
      <c r="Z30" s="96" t="str">
        <f>IFERROR(VLOOKUP(V30,'ELA Reading Logic'!$A$22:$B$48,2,FALSE)-VLOOKUP($F30,'ELA Reading Logic'!$A$22:$B$48,2,FALSE),"No Value")</f>
        <v>No Value</v>
      </c>
      <c r="AA30" s="92"/>
      <c r="AB30" s="96" t="str">
        <f>IFERROR(IF($E30="Yes","IPP",VLOOKUP($J30,'ELA Reading Logic'!$A$3:$K$9,VLOOKUP(AA$1,'ELA Reading Logic'!$J$22:$K$31,2,FALSE),FALSE)),"Set Grade")</f>
        <v>Set Grade</v>
      </c>
      <c r="AC30" s="96" t="str">
        <f>IFERROR(IF($E30="Yes","IPP",VLOOKUP($J30,'ELA Reading Logic'!$A$13:$K$19,VLOOKUP(AA$1,'ELA Reading Logic'!$J$22:$K$31,2,FALSE),FALSE)),"Set Grade")</f>
        <v>Set Grade</v>
      </c>
      <c r="AD30" s="96" t="str">
        <f>IF($E30="Yes","IPP",IFERROR(IF(AND(AA30&gt;AB30,AA30&lt;AC30),"0",(VLOOKUP(AA30,'ELA Reading Logic'!$A$22:$B$48,2,FALSE))-(IF(VLOOKUP(AA30,'ELA Reading Logic'!$A$22:$B$48,2,FALSE)&lt;=VLOOKUP(AB30,'ELA Reading Logic'!$A$22:$B$48,2,FALSE),VLOOKUP(AB30,'ELA Reading Logic'!$A$22:$B$48,2,FALSE),IF(VLOOKUP(AA30,'ELA Reading Logic'!$A$22:$B$48,2,FALSE)&gt;=VLOOKUP(AC30,'ELA Reading Logic'!$A$22:$B$48,2,FALSE),VLOOKUP(AC30,'ELA Reading Logic'!$A$22:$B$48,2,FALSE),"No Score")))),"No Value"))</f>
        <v>No Value</v>
      </c>
      <c r="AE30" s="96" t="str">
        <f>IFERROR(VLOOKUP(AA30,'ELA Reading Logic'!$A$22:$B$48,2,FALSE)-VLOOKUP($F30,'ELA Reading Logic'!$A$22:$B$48,2,FALSE),"No Value")</f>
        <v>No Value</v>
      </c>
      <c r="AF30" s="92"/>
      <c r="AG30" s="96" t="str">
        <f>IFERROR(IF($E30="Yes","IPP",VLOOKUP($J30,'ELA Reading Logic'!$A$3:$K$9,VLOOKUP(AF$1,'ELA Reading Logic'!$J$22:$K$31,2,FALSE),FALSE)),"Set Grade")</f>
        <v>Set Grade</v>
      </c>
      <c r="AH30" s="96" t="str">
        <f>IFERROR(IF($E30="Yes","IPP",VLOOKUP($J30,'ELA Reading Logic'!$A$13:$K$19,VLOOKUP(AF$1,'ELA Reading Logic'!$J$22:$K$31,2,FALSE),FALSE)),"Set Grade")</f>
        <v>Set Grade</v>
      </c>
      <c r="AI30" s="96" t="str">
        <f>IF($E30="Yes","IPP",IFERROR(IF(AND(AF30&gt;AG30,AF30&lt;AH30),"0",(VLOOKUP(AF30,'ELA Reading Logic'!$A$22:$B$48,2,FALSE))-(IF(VLOOKUP(AF30,'ELA Reading Logic'!$A$22:$B$48,2,FALSE)&lt;=VLOOKUP(AG30,'ELA Reading Logic'!$A$22:$B$48,2,FALSE),VLOOKUP(AG30,'ELA Reading Logic'!$A$22:$B$48,2,FALSE),IF(VLOOKUP(AF30,'ELA Reading Logic'!$A$22:$B$48,2,FALSE)&gt;=VLOOKUP(AH30,'ELA Reading Logic'!$A$22:$B$48,2,FALSE),VLOOKUP(AH30,'ELA Reading Logic'!$A$22:$B$48,2,FALSE),"No Score")))),"No Value"))</f>
        <v>No Value</v>
      </c>
      <c r="AJ30" s="96" t="str">
        <f>IFERROR(VLOOKUP(AF30,'ELA Reading Logic'!$A$22:$B$48,2,FALSE)-VLOOKUP($F30,'ELA Reading Logic'!$A$22:$B$48,2,FALSE),"No Value")</f>
        <v>No Value</v>
      </c>
      <c r="AK30" s="92"/>
      <c r="AL30" s="96" t="str">
        <f>IFERROR(IF($E30="Yes","IPP",VLOOKUP($J30,'ELA Reading Logic'!$A$3:$K$9,VLOOKUP(AK$1,'ELA Reading Logic'!$J$22:$K$31,2,FALSE),FALSE)),"Set Grade")</f>
        <v>Set Grade</v>
      </c>
      <c r="AM30" s="96" t="str">
        <f>IFERROR(IF($E30="Yes","IPP",VLOOKUP($J30,'ELA Reading Logic'!$A$13:$K$19,VLOOKUP(AK$1,'ELA Reading Logic'!$J$22:$K$31,2,FALSE),FALSE)),"Set Grade")</f>
        <v>Set Grade</v>
      </c>
      <c r="AN30" s="96" t="str">
        <f>IF($E30="Yes","IPP",IFERROR(IF(AND(AK30&gt;AL30,AK30&lt;AM30),"0",(VLOOKUP(AK30,'ELA Reading Logic'!$A$22:$B$48,2,FALSE))-(IF(VLOOKUP(AK30,'ELA Reading Logic'!$A$22:$B$48,2,FALSE)&lt;=VLOOKUP(AL30,'ELA Reading Logic'!$A$22:$B$48,2,FALSE),VLOOKUP(AL30,'ELA Reading Logic'!$A$22:$B$48,2,FALSE),IF(VLOOKUP(AK30,'ELA Reading Logic'!$A$22:$B$48,2,FALSE)&gt;=VLOOKUP(AM30,'ELA Reading Logic'!$A$22:$B$48,2,FALSE),VLOOKUP(AM30,'ELA Reading Logic'!$A$22:$B$48,2,FALSE),"No Score")))),"No Value"))</f>
        <v>No Value</v>
      </c>
      <c r="AO30" s="96" t="str">
        <f>IFERROR(VLOOKUP(AK30,'ELA Reading Logic'!$A$22:$B$48,2,FALSE)-VLOOKUP($F30,'ELA Reading Logic'!$A$22:$B$48,2,FALSE),"No Value")</f>
        <v>No Value</v>
      </c>
      <c r="AP30" s="92"/>
      <c r="AQ30" s="96" t="str">
        <f>IFERROR(IF($E30="Yes","IPP",VLOOKUP($J30,'ELA Reading Logic'!$A$3:$K$9,VLOOKUP(AP$1,'ELA Reading Logic'!$J$22:$K$31,2,FALSE),FALSE)),"Set Grade")</f>
        <v>Set Grade</v>
      </c>
      <c r="AR30" s="96" t="str">
        <f>IFERROR(IF($E30="Yes","IPP",VLOOKUP($J30,'ELA Reading Logic'!$A$13:$K$19,VLOOKUP(AP$1,'ELA Reading Logic'!$J$22:$K$31,2,FALSE),FALSE)),"Set Grade")</f>
        <v>Set Grade</v>
      </c>
      <c r="AS30" s="96" t="str">
        <f>IF($E30="Yes","IPP",IFERROR(IF(AND(AP30&gt;AQ30,AP30&lt;AR30),"0",(VLOOKUP(AP30,'ELA Reading Logic'!$A$22:$B$48,2,FALSE))-(IF(VLOOKUP(AP30,'ELA Reading Logic'!$A$22:$B$48,2,FALSE)&lt;=VLOOKUP(AQ30,'ELA Reading Logic'!$A$22:$B$48,2,FALSE),VLOOKUP(AQ30,'ELA Reading Logic'!$A$22:$B$48,2,FALSE),IF(VLOOKUP(AP30,'ELA Reading Logic'!$A$22:$B$48,2,FALSE)&gt;=VLOOKUP(AR30,'ELA Reading Logic'!$A$22:$B$48,2,FALSE),VLOOKUP(AR30,'ELA Reading Logic'!$A$22:$B$48,2,FALSE),"No Score")))),"No Value"))</f>
        <v>No Value</v>
      </c>
      <c r="AT30" s="96" t="str">
        <f>IFERROR(VLOOKUP(AP30,'ELA Reading Logic'!$A$22:$B$48,2,FALSE)-VLOOKUP($F30,'ELA Reading Logic'!$A$22:$B$48,2,FALSE),"No Value")</f>
        <v>No Value</v>
      </c>
    </row>
    <row r="31" spans="1:46" ht="22.5" customHeight="1" x14ac:dyDescent="0.25">
      <c r="A31" s="176"/>
      <c r="B31" s="176"/>
      <c r="C31" s="176"/>
      <c r="D31" s="176"/>
      <c r="E31" s="175"/>
      <c r="F31" s="175"/>
      <c r="G31" s="177" t="str">
        <f>IFERROR(IF($E31="Yes","IPP",VLOOKUP($J31,'ELA Reading Logic'!$A$3:$K$9,VLOOKUP("September",'ELA Reading Logic'!$J$22:$K$31,2,FALSE),FALSE)),"Set Grade")</f>
        <v>Set Grade</v>
      </c>
      <c r="H31" s="177" t="str">
        <f>IFERROR(IF($E31="Yes","IPP",VLOOKUP($J31,'ELA Reading Logic'!$A$13:$K$19,VLOOKUP("September",'ELA Reading Logic'!$J$22:$K$31,2,FALSE),FALSE)),"Set Grade")</f>
        <v>Set Grade</v>
      </c>
      <c r="I31" s="96" t="str">
        <f>IF($E31="Yes","IPP",IFERROR(IF(AND(F31&gt;G31,F31&lt;H31),"0",(VLOOKUP(F31,'ELA Reading Logic'!$A$22:$B$48,2,FALSE))-(IF(VLOOKUP(F31,'ELA Reading Logic'!$A$22:$B$48,2,FALSE)&lt;=VLOOKUP(G31,'ELA Reading Logic'!$A$22:$B$48,2,FALSE),VLOOKUP(G31,'ELA Reading Logic'!$A$22:$B$48,2,FALSE),IF(VLOOKUP(F31,'ELA Reading Logic'!$A$22:$B$48,2,FALSE)&gt;=VLOOKUP(H31,'ELA Reading Logic'!$A$22:$B$48,2,FALSE),VLOOKUP(H31,'ELA Reading Logic'!$A$22:$B$48,2,FALSE),"No Score")))),"No Value"))</f>
        <v>No Value</v>
      </c>
      <c r="J31" s="178"/>
      <c r="K31" s="96"/>
      <c r="L31" s="96"/>
      <c r="M31" s="96"/>
      <c r="N31" s="96"/>
      <c r="O31" s="96"/>
      <c r="P31" s="105"/>
      <c r="Q31" s="92"/>
      <c r="R31" s="96" t="str">
        <f>IFERROR(IF($E31="Yes","IPP",VLOOKUP($J31,'ELA Reading Logic'!$A$3:$K$9,VLOOKUP(Q$1,'ELA Reading Logic'!$J$22:$K$31,2,FALSE),FALSE)),"Set Grade")</f>
        <v>Set Grade</v>
      </c>
      <c r="S31" s="96" t="str">
        <f>IFERROR(IF($E31="Yes","IPP",VLOOKUP($J31,'ELA Reading Logic'!$A$13:$K$19,VLOOKUP(Q$1,'ELA Reading Logic'!$J$22:$K$31,2,FALSE),FALSE)),"Set Grade")</f>
        <v>Set Grade</v>
      </c>
      <c r="T31" s="96" t="str">
        <f>IF($E31="Yes","IPP",IFERROR(IF(AND(Q31&gt;R31,Q31&lt;S31),"0",(VLOOKUP(Q31,'ELA Reading Logic'!$A$22:$B$48,2,FALSE))-(IF(VLOOKUP(Q31,'ELA Reading Logic'!$A$22:$B$48,2,FALSE)&lt;=VLOOKUP(R31,'ELA Reading Logic'!$A$22:$B$48,2,FALSE),VLOOKUP(R31,'ELA Reading Logic'!$A$22:$B$48,2,FALSE),IF(VLOOKUP(Q31,'ELA Reading Logic'!$A$22:$B$48,2,FALSE)&gt;=VLOOKUP(S31,'ELA Reading Logic'!$A$22:$B$48,2,FALSE),VLOOKUP(S31,'ELA Reading Logic'!$A$22:$B$48,2,FALSE),"No Score")))),"No Value"))</f>
        <v>No Value</v>
      </c>
      <c r="U31" s="96" t="str">
        <f>IFERROR(VLOOKUP(Q31,'ELA Reading Logic'!$A$22:$B$48,2,FALSE)-VLOOKUP($F31,'ELA Reading Logic'!$A$22:$B$48,2,FALSE),"No Value")</f>
        <v>No Value</v>
      </c>
      <c r="V31" s="92"/>
      <c r="W31" s="96" t="str">
        <f>IFERROR(IF($E31="Yes","IPP",VLOOKUP($J31,'ELA Reading Logic'!$A$3:$K$9,VLOOKUP(V$1,'ELA Reading Logic'!$J$22:$K$31,2,FALSE),FALSE)),"Set Grade")</f>
        <v>Set Grade</v>
      </c>
      <c r="X31" s="96" t="str">
        <f>IFERROR(IF($E31="Yes","IPP",VLOOKUP($J31,'ELA Reading Logic'!$A$13:$K$19,VLOOKUP(V$1,'ELA Reading Logic'!$J$22:$K$31,2,FALSE),FALSE)),"Set Grade")</f>
        <v>Set Grade</v>
      </c>
      <c r="Y31" s="96" t="str">
        <f>IF($E31="Yes","IPP",IFERROR(IF(AND(V31&gt;W31,V31&lt;X31),"0",(VLOOKUP(V31,'ELA Reading Logic'!$A$22:$B$48,2,FALSE))-(IF(VLOOKUP(V31,'ELA Reading Logic'!$A$22:$B$48,2,FALSE)&lt;=VLOOKUP(W31,'ELA Reading Logic'!$A$22:$B$48,2,FALSE),VLOOKUP(W31,'ELA Reading Logic'!$A$22:$B$48,2,FALSE),IF(VLOOKUP(V31,'ELA Reading Logic'!$A$22:$B$48,2,FALSE)&gt;=VLOOKUP(X31,'ELA Reading Logic'!$A$22:$B$48,2,FALSE),VLOOKUP(X31,'ELA Reading Logic'!$A$22:$B$48,2,FALSE),"No Score")))),"No Value"))</f>
        <v>No Value</v>
      </c>
      <c r="Z31" s="96" t="str">
        <f>IFERROR(VLOOKUP(V31,'ELA Reading Logic'!$A$22:$B$48,2,FALSE)-VLOOKUP($F31,'ELA Reading Logic'!$A$22:$B$48,2,FALSE),"No Value")</f>
        <v>No Value</v>
      </c>
      <c r="AA31" s="92"/>
      <c r="AB31" s="96" t="str">
        <f>IFERROR(IF($E31="Yes","IPP",VLOOKUP($J31,'ELA Reading Logic'!$A$3:$K$9,VLOOKUP(AA$1,'ELA Reading Logic'!$J$22:$K$31,2,FALSE),FALSE)),"Set Grade")</f>
        <v>Set Grade</v>
      </c>
      <c r="AC31" s="96" t="str">
        <f>IFERROR(IF($E31="Yes","IPP",VLOOKUP($J31,'ELA Reading Logic'!$A$13:$K$19,VLOOKUP(AA$1,'ELA Reading Logic'!$J$22:$K$31,2,FALSE),FALSE)),"Set Grade")</f>
        <v>Set Grade</v>
      </c>
      <c r="AD31" s="96" t="str">
        <f>IF($E31="Yes","IPP",IFERROR(IF(AND(AA31&gt;AB31,AA31&lt;AC31),"0",(VLOOKUP(AA31,'ELA Reading Logic'!$A$22:$B$48,2,FALSE))-(IF(VLOOKUP(AA31,'ELA Reading Logic'!$A$22:$B$48,2,FALSE)&lt;=VLOOKUP(AB31,'ELA Reading Logic'!$A$22:$B$48,2,FALSE),VLOOKUP(AB31,'ELA Reading Logic'!$A$22:$B$48,2,FALSE),IF(VLOOKUP(AA31,'ELA Reading Logic'!$A$22:$B$48,2,FALSE)&gt;=VLOOKUP(AC31,'ELA Reading Logic'!$A$22:$B$48,2,FALSE),VLOOKUP(AC31,'ELA Reading Logic'!$A$22:$B$48,2,FALSE),"No Score")))),"No Value"))</f>
        <v>No Value</v>
      </c>
      <c r="AE31" s="96" t="str">
        <f>IFERROR(VLOOKUP(AA31,'ELA Reading Logic'!$A$22:$B$48,2,FALSE)-VLOOKUP($F31,'ELA Reading Logic'!$A$22:$B$48,2,FALSE),"No Value")</f>
        <v>No Value</v>
      </c>
      <c r="AF31" s="92"/>
      <c r="AG31" s="96" t="str">
        <f>IFERROR(IF($E31="Yes","IPP",VLOOKUP($J31,'ELA Reading Logic'!$A$3:$K$9,VLOOKUP(AF$1,'ELA Reading Logic'!$J$22:$K$31,2,FALSE),FALSE)),"Set Grade")</f>
        <v>Set Grade</v>
      </c>
      <c r="AH31" s="96" t="str">
        <f>IFERROR(IF($E31="Yes","IPP",VLOOKUP($J31,'ELA Reading Logic'!$A$13:$K$19,VLOOKUP(AF$1,'ELA Reading Logic'!$J$22:$K$31,2,FALSE),FALSE)),"Set Grade")</f>
        <v>Set Grade</v>
      </c>
      <c r="AI31" s="96" t="str">
        <f>IF($E31="Yes","IPP",IFERROR(IF(AND(AF31&gt;AG31,AF31&lt;AH31),"0",(VLOOKUP(AF31,'ELA Reading Logic'!$A$22:$B$48,2,FALSE))-(IF(VLOOKUP(AF31,'ELA Reading Logic'!$A$22:$B$48,2,FALSE)&lt;=VLOOKUP(AG31,'ELA Reading Logic'!$A$22:$B$48,2,FALSE),VLOOKUP(AG31,'ELA Reading Logic'!$A$22:$B$48,2,FALSE),IF(VLOOKUP(AF31,'ELA Reading Logic'!$A$22:$B$48,2,FALSE)&gt;=VLOOKUP(AH31,'ELA Reading Logic'!$A$22:$B$48,2,FALSE),VLOOKUP(AH31,'ELA Reading Logic'!$A$22:$B$48,2,FALSE),"No Score")))),"No Value"))</f>
        <v>No Value</v>
      </c>
      <c r="AJ31" s="96" t="str">
        <f>IFERROR(VLOOKUP(AF31,'ELA Reading Logic'!$A$22:$B$48,2,FALSE)-VLOOKUP($F31,'ELA Reading Logic'!$A$22:$B$48,2,FALSE),"No Value")</f>
        <v>No Value</v>
      </c>
      <c r="AK31" s="92"/>
      <c r="AL31" s="96" t="str">
        <f>IFERROR(IF($E31="Yes","IPP",VLOOKUP($J31,'ELA Reading Logic'!$A$3:$K$9,VLOOKUP(AK$1,'ELA Reading Logic'!$J$22:$K$31,2,FALSE),FALSE)),"Set Grade")</f>
        <v>Set Grade</v>
      </c>
      <c r="AM31" s="96" t="str">
        <f>IFERROR(IF($E31="Yes","IPP",VLOOKUP($J31,'ELA Reading Logic'!$A$13:$K$19,VLOOKUP(AK$1,'ELA Reading Logic'!$J$22:$K$31,2,FALSE),FALSE)),"Set Grade")</f>
        <v>Set Grade</v>
      </c>
      <c r="AN31" s="96" t="str">
        <f>IF($E31="Yes","IPP",IFERROR(IF(AND(AK31&gt;AL31,AK31&lt;AM31),"0",(VLOOKUP(AK31,'ELA Reading Logic'!$A$22:$B$48,2,FALSE))-(IF(VLOOKUP(AK31,'ELA Reading Logic'!$A$22:$B$48,2,FALSE)&lt;=VLOOKUP(AL31,'ELA Reading Logic'!$A$22:$B$48,2,FALSE),VLOOKUP(AL31,'ELA Reading Logic'!$A$22:$B$48,2,FALSE),IF(VLOOKUP(AK31,'ELA Reading Logic'!$A$22:$B$48,2,FALSE)&gt;=VLOOKUP(AM31,'ELA Reading Logic'!$A$22:$B$48,2,FALSE),VLOOKUP(AM31,'ELA Reading Logic'!$A$22:$B$48,2,FALSE),"No Score")))),"No Value"))</f>
        <v>No Value</v>
      </c>
      <c r="AO31" s="96" t="str">
        <f>IFERROR(VLOOKUP(AK31,'ELA Reading Logic'!$A$22:$B$48,2,FALSE)-VLOOKUP($F31,'ELA Reading Logic'!$A$22:$B$48,2,FALSE),"No Value")</f>
        <v>No Value</v>
      </c>
      <c r="AP31" s="92"/>
      <c r="AQ31" s="96" t="str">
        <f>IFERROR(IF($E31="Yes","IPP",VLOOKUP($J31,'ELA Reading Logic'!$A$3:$K$9,VLOOKUP(AP$1,'ELA Reading Logic'!$J$22:$K$31,2,FALSE),FALSE)),"Set Grade")</f>
        <v>Set Grade</v>
      </c>
      <c r="AR31" s="96" t="str">
        <f>IFERROR(IF($E31="Yes","IPP",VLOOKUP($J31,'ELA Reading Logic'!$A$13:$K$19,VLOOKUP(AP$1,'ELA Reading Logic'!$J$22:$K$31,2,FALSE),FALSE)),"Set Grade")</f>
        <v>Set Grade</v>
      </c>
      <c r="AS31" s="96" t="str">
        <f>IF($E31="Yes","IPP",IFERROR(IF(AND(AP31&gt;AQ31,AP31&lt;AR31),"0",(VLOOKUP(AP31,'ELA Reading Logic'!$A$22:$B$48,2,FALSE))-(IF(VLOOKUP(AP31,'ELA Reading Logic'!$A$22:$B$48,2,FALSE)&lt;=VLOOKUP(AQ31,'ELA Reading Logic'!$A$22:$B$48,2,FALSE),VLOOKUP(AQ31,'ELA Reading Logic'!$A$22:$B$48,2,FALSE),IF(VLOOKUP(AP31,'ELA Reading Logic'!$A$22:$B$48,2,FALSE)&gt;=VLOOKUP(AR31,'ELA Reading Logic'!$A$22:$B$48,2,FALSE),VLOOKUP(AR31,'ELA Reading Logic'!$A$22:$B$48,2,FALSE),"No Score")))),"No Value"))</f>
        <v>No Value</v>
      </c>
      <c r="AT31" s="96" t="str">
        <f>IFERROR(VLOOKUP(AP31,'ELA Reading Logic'!$A$22:$B$48,2,FALSE)-VLOOKUP($F31,'ELA Reading Logic'!$A$22:$B$48,2,FALSE),"No Value")</f>
        <v>No Value</v>
      </c>
    </row>
    <row r="32" spans="1:46" ht="22.5" customHeight="1" x14ac:dyDescent="0.25">
      <c r="A32" s="174"/>
      <c r="B32" s="174"/>
      <c r="C32" s="174"/>
      <c r="D32" s="174"/>
      <c r="E32" s="175"/>
      <c r="F32" s="175"/>
      <c r="G32" s="177" t="str">
        <f>IFERROR(IF($E32="Yes","IPP",VLOOKUP($J32,'ELA Reading Logic'!$A$3:$K$9,VLOOKUP("September",'ELA Reading Logic'!$J$22:$K$31,2,FALSE),FALSE)),"Set Grade")</f>
        <v>Set Grade</v>
      </c>
      <c r="H32" s="177" t="str">
        <f>IFERROR(IF($E32="Yes","IPP",VLOOKUP($J32,'ELA Reading Logic'!$A$13:$K$19,VLOOKUP("September",'ELA Reading Logic'!$J$22:$K$31,2,FALSE),FALSE)),"Set Grade")</f>
        <v>Set Grade</v>
      </c>
      <c r="I32" s="96" t="str">
        <f>IF($E32="Yes","IPP",IFERROR(IF(AND(F32&gt;G32,F32&lt;H32),"0",(VLOOKUP(F32,'ELA Reading Logic'!$A$22:$B$48,2,FALSE))-(IF(VLOOKUP(F32,'ELA Reading Logic'!$A$22:$B$48,2,FALSE)&lt;=VLOOKUP(G32,'ELA Reading Logic'!$A$22:$B$48,2,FALSE),VLOOKUP(G32,'ELA Reading Logic'!$A$22:$B$48,2,FALSE),IF(VLOOKUP(F32,'ELA Reading Logic'!$A$22:$B$48,2,FALSE)&gt;=VLOOKUP(H32,'ELA Reading Logic'!$A$22:$B$48,2,FALSE),VLOOKUP(H32,'ELA Reading Logic'!$A$22:$B$48,2,FALSE),"No Score")))),"No Value"))</f>
        <v>No Value</v>
      </c>
      <c r="J32" s="178"/>
      <c r="K32" s="96"/>
      <c r="L32" s="96"/>
      <c r="M32" s="96"/>
      <c r="N32" s="96"/>
      <c r="O32" s="96"/>
      <c r="P32" s="105"/>
      <c r="Q32" s="92"/>
      <c r="R32" s="96" t="str">
        <f>IFERROR(IF($E32="Yes","IPP",VLOOKUP($J32,'ELA Reading Logic'!$A$3:$K$9,VLOOKUP(Q$1,'ELA Reading Logic'!$J$22:$K$31,2,FALSE),FALSE)),"Set Grade")</f>
        <v>Set Grade</v>
      </c>
      <c r="S32" s="96" t="str">
        <f>IFERROR(IF($E32="Yes","IPP",VLOOKUP($J32,'ELA Reading Logic'!$A$13:$K$19,VLOOKUP(Q$1,'ELA Reading Logic'!$J$22:$K$31,2,FALSE),FALSE)),"Set Grade")</f>
        <v>Set Grade</v>
      </c>
      <c r="T32" s="96" t="str">
        <f>IF($E32="Yes","IPP",IFERROR(IF(AND(Q32&gt;R32,Q32&lt;S32),"0",(VLOOKUP(Q32,'ELA Reading Logic'!$A$22:$B$48,2,FALSE))-(IF(VLOOKUP(Q32,'ELA Reading Logic'!$A$22:$B$48,2,FALSE)&lt;=VLOOKUP(R32,'ELA Reading Logic'!$A$22:$B$48,2,FALSE),VLOOKUP(R32,'ELA Reading Logic'!$A$22:$B$48,2,FALSE),IF(VLOOKUP(Q32,'ELA Reading Logic'!$A$22:$B$48,2,FALSE)&gt;=VLOOKUP(S32,'ELA Reading Logic'!$A$22:$B$48,2,FALSE),VLOOKUP(S32,'ELA Reading Logic'!$A$22:$B$48,2,FALSE),"No Score")))),"No Value"))</f>
        <v>No Value</v>
      </c>
      <c r="U32" s="96" t="str">
        <f>IFERROR(VLOOKUP(Q32,'ELA Reading Logic'!$A$22:$B$48,2,FALSE)-VLOOKUP($F32,'ELA Reading Logic'!$A$22:$B$48,2,FALSE),"No Value")</f>
        <v>No Value</v>
      </c>
      <c r="V32" s="92"/>
      <c r="W32" s="96" t="str">
        <f>IFERROR(IF($E32="Yes","IPP",VLOOKUP($J32,'ELA Reading Logic'!$A$3:$K$9,VLOOKUP(V$1,'ELA Reading Logic'!$J$22:$K$31,2,FALSE),FALSE)),"Set Grade")</f>
        <v>Set Grade</v>
      </c>
      <c r="X32" s="96" t="str">
        <f>IFERROR(IF($E32="Yes","IPP",VLOOKUP($J32,'ELA Reading Logic'!$A$13:$K$19,VLOOKUP(V$1,'ELA Reading Logic'!$J$22:$K$31,2,FALSE),FALSE)),"Set Grade")</f>
        <v>Set Grade</v>
      </c>
      <c r="Y32" s="96" t="str">
        <f>IF($E32="Yes","IPP",IFERROR(IF(AND(V32&gt;W32,V32&lt;X32),"0",(VLOOKUP(V32,'ELA Reading Logic'!$A$22:$B$48,2,FALSE))-(IF(VLOOKUP(V32,'ELA Reading Logic'!$A$22:$B$48,2,FALSE)&lt;=VLOOKUP(W32,'ELA Reading Logic'!$A$22:$B$48,2,FALSE),VLOOKUP(W32,'ELA Reading Logic'!$A$22:$B$48,2,FALSE),IF(VLOOKUP(V32,'ELA Reading Logic'!$A$22:$B$48,2,FALSE)&gt;=VLOOKUP(X32,'ELA Reading Logic'!$A$22:$B$48,2,FALSE),VLOOKUP(X32,'ELA Reading Logic'!$A$22:$B$48,2,FALSE),"No Score")))),"No Value"))</f>
        <v>No Value</v>
      </c>
      <c r="Z32" s="96" t="str">
        <f>IFERROR(VLOOKUP(V32,'ELA Reading Logic'!$A$22:$B$48,2,FALSE)-VLOOKUP($F32,'ELA Reading Logic'!$A$22:$B$48,2,FALSE),"No Value")</f>
        <v>No Value</v>
      </c>
      <c r="AA32" s="92"/>
      <c r="AB32" s="96" t="str">
        <f>IFERROR(IF($E32="Yes","IPP",VLOOKUP($J32,'ELA Reading Logic'!$A$3:$K$9,VLOOKUP(AA$1,'ELA Reading Logic'!$J$22:$K$31,2,FALSE),FALSE)),"Set Grade")</f>
        <v>Set Grade</v>
      </c>
      <c r="AC32" s="96" t="str">
        <f>IFERROR(IF($E32="Yes","IPP",VLOOKUP($J32,'ELA Reading Logic'!$A$13:$K$19,VLOOKUP(AA$1,'ELA Reading Logic'!$J$22:$K$31,2,FALSE),FALSE)),"Set Grade")</f>
        <v>Set Grade</v>
      </c>
      <c r="AD32" s="96" t="str">
        <f>IF($E32="Yes","IPP",IFERROR(IF(AND(AA32&gt;AB32,AA32&lt;AC32),"0",(VLOOKUP(AA32,'ELA Reading Logic'!$A$22:$B$48,2,FALSE))-(IF(VLOOKUP(AA32,'ELA Reading Logic'!$A$22:$B$48,2,FALSE)&lt;=VLOOKUP(AB32,'ELA Reading Logic'!$A$22:$B$48,2,FALSE),VLOOKUP(AB32,'ELA Reading Logic'!$A$22:$B$48,2,FALSE),IF(VLOOKUP(AA32,'ELA Reading Logic'!$A$22:$B$48,2,FALSE)&gt;=VLOOKUP(AC32,'ELA Reading Logic'!$A$22:$B$48,2,FALSE),VLOOKUP(AC32,'ELA Reading Logic'!$A$22:$B$48,2,FALSE),"No Score")))),"No Value"))</f>
        <v>No Value</v>
      </c>
      <c r="AE32" s="96" t="str">
        <f>IFERROR(VLOOKUP(AA32,'ELA Reading Logic'!$A$22:$B$48,2,FALSE)-VLOOKUP($F32,'ELA Reading Logic'!$A$22:$B$48,2,FALSE),"No Value")</f>
        <v>No Value</v>
      </c>
      <c r="AF32" s="92"/>
      <c r="AG32" s="96" t="str">
        <f>IFERROR(IF($E32="Yes","IPP",VLOOKUP($J32,'ELA Reading Logic'!$A$3:$K$9,VLOOKUP(AF$1,'ELA Reading Logic'!$J$22:$K$31,2,FALSE),FALSE)),"Set Grade")</f>
        <v>Set Grade</v>
      </c>
      <c r="AH32" s="96" t="str">
        <f>IFERROR(IF($E32="Yes","IPP",VLOOKUP($J32,'ELA Reading Logic'!$A$13:$K$19,VLOOKUP(AF$1,'ELA Reading Logic'!$J$22:$K$31,2,FALSE),FALSE)),"Set Grade")</f>
        <v>Set Grade</v>
      </c>
      <c r="AI32" s="96" t="str">
        <f>IF($E32="Yes","IPP",IFERROR(IF(AND(AF32&gt;AG32,AF32&lt;AH32),"0",(VLOOKUP(AF32,'ELA Reading Logic'!$A$22:$B$48,2,FALSE))-(IF(VLOOKUP(AF32,'ELA Reading Logic'!$A$22:$B$48,2,FALSE)&lt;=VLOOKUP(AG32,'ELA Reading Logic'!$A$22:$B$48,2,FALSE),VLOOKUP(AG32,'ELA Reading Logic'!$A$22:$B$48,2,FALSE),IF(VLOOKUP(AF32,'ELA Reading Logic'!$A$22:$B$48,2,FALSE)&gt;=VLOOKUP(AH32,'ELA Reading Logic'!$A$22:$B$48,2,FALSE),VLOOKUP(AH32,'ELA Reading Logic'!$A$22:$B$48,2,FALSE),"No Score")))),"No Value"))</f>
        <v>No Value</v>
      </c>
      <c r="AJ32" s="96" t="str">
        <f>IFERROR(VLOOKUP(AF32,'ELA Reading Logic'!$A$22:$B$48,2,FALSE)-VLOOKUP($F32,'ELA Reading Logic'!$A$22:$B$48,2,FALSE),"No Value")</f>
        <v>No Value</v>
      </c>
      <c r="AK32" s="92"/>
      <c r="AL32" s="96" t="str">
        <f>IFERROR(IF($E32="Yes","IPP",VLOOKUP($J32,'ELA Reading Logic'!$A$3:$K$9,VLOOKUP(AK$1,'ELA Reading Logic'!$J$22:$K$31,2,FALSE),FALSE)),"Set Grade")</f>
        <v>Set Grade</v>
      </c>
      <c r="AM32" s="96" t="str">
        <f>IFERROR(IF($E32="Yes","IPP",VLOOKUP($J32,'ELA Reading Logic'!$A$13:$K$19,VLOOKUP(AK$1,'ELA Reading Logic'!$J$22:$K$31,2,FALSE),FALSE)),"Set Grade")</f>
        <v>Set Grade</v>
      </c>
      <c r="AN32" s="96" t="str">
        <f>IF($E32="Yes","IPP",IFERROR(IF(AND(AK32&gt;AL32,AK32&lt;AM32),"0",(VLOOKUP(AK32,'ELA Reading Logic'!$A$22:$B$48,2,FALSE))-(IF(VLOOKUP(AK32,'ELA Reading Logic'!$A$22:$B$48,2,FALSE)&lt;=VLOOKUP(AL32,'ELA Reading Logic'!$A$22:$B$48,2,FALSE),VLOOKUP(AL32,'ELA Reading Logic'!$A$22:$B$48,2,FALSE),IF(VLOOKUP(AK32,'ELA Reading Logic'!$A$22:$B$48,2,FALSE)&gt;=VLOOKUP(AM32,'ELA Reading Logic'!$A$22:$B$48,2,FALSE),VLOOKUP(AM32,'ELA Reading Logic'!$A$22:$B$48,2,FALSE),"No Score")))),"No Value"))</f>
        <v>No Value</v>
      </c>
      <c r="AO32" s="96" t="str">
        <f>IFERROR(VLOOKUP(AK32,'ELA Reading Logic'!$A$22:$B$48,2,FALSE)-VLOOKUP($F32,'ELA Reading Logic'!$A$22:$B$48,2,FALSE),"No Value")</f>
        <v>No Value</v>
      </c>
      <c r="AP32" s="92"/>
      <c r="AQ32" s="96" t="str">
        <f>IFERROR(IF($E32="Yes","IPP",VLOOKUP($J32,'ELA Reading Logic'!$A$3:$K$9,VLOOKUP(AP$1,'ELA Reading Logic'!$J$22:$K$31,2,FALSE),FALSE)),"Set Grade")</f>
        <v>Set Grade</v>
      </c>
      <c r="AR32" s="96" t="str">
        <f>IFERROR(IF($E32="Yes","IPP",VLOOKUP($J32,'ELA Reading Logic'!$A$13:$K$19,VLOOKUP(AP$1,'ELA Reading Logic'!$J$22:$K$31,2,FALSE),FALSE)),"Set Grade")</f>
        <v>Set Grade</v>
      </c>
      <c r="AS32" s="96" t="str">
        <f>IF($E32="Yes","IPP",IFERROR(IF(AND(AP32&gt;AQ32,AP32&lt;AR32),"0",(VLOOKUP(AP32,'ELA Reading Logic'!$A$22:$B$48,2,FALSE))-(IF(VLOOKUP(AP32,'ELA Reading Logic'!$A$22:$B$48,2,FALSE)&lt;=VLOOKUP(AQ32,'ELA Reading Logic'!$A$22:$B$48,2,FALSE),VLOOKUP(AQ32,'ELA Reading Logic'!$A$22:$B$48,2,FALSE),IF(VLOOKUP(AP32,'ELA Reading Logic'!$A$22:$B$48,2,FALSE)&gt;=VLOOKUP(AR32,'ELA Reading Logic'!$A$22:$B$48,2,FALSE),VLOOKUP(AR32,'ELA Reading Logic'!$A$22:$B$48,2,FALSE),"No Score")))),"No Value"))</f>
        <v>No Value</v>
      </c>
      <c r="AT32" s="96" t="str">
        <f>IFERROR(VLOOKUP(AP32,'ELA Reading Logic'!$A$22:$B$48,2,FALSE)-VLOOKUP($F32,'ELA Reading Logic'!$A$22:$B$48,2,FALSE),"No Value")</f>
        <v>No Value</v>
      </c>
    </row>
    <row r="33" spans="1:46" ht="22.5" customHeight="1" x14ac:dyDescent="0.25">
      <c r="A33" s="176"/>
      <c r="B33" s="176"/>
      <c r="C33" s="176"/>
      <c r="D33" s="176"/>
      <c r="E33" s="175"/>
      <c r="F33" s="175"/>
      <c r="G33" s="177" t="str">
        <f>IFERROR(IF($E33="Yes","IPP",VLOOKUP($J33,'ELA Reading Logic'!$A$3:$K$9,VLOOKUP("September",'ELA Reading Logic'!$J$22:$K$31,2,FALSE),FALSE)),"Set Grade")</f>
        <v>Set Grade</v>
      </c>
      <c r="H33" s="177" t="str">
        <f>IFERROR(IF($E33="Yes","IPP",VLOOKUP($J33,'ELA Reading Logic'!$A$13:$K$19,VLOOKUP("September",'ELA Reading Logic'!$J$22:$K$31,2,FALSE),FALSE)),"Set Grade")</f>
        <v>Set Grade</v>
      </c>
      <c r="I33" s="96" t="str">
        <f>IF($E33="Yes","IPP",IFERROR(IF(AND(F33&gt;G33,F33&lt;H33),"0",(VLOOKUP(F33,'ELA Reading Logic'!$A$22:$B$48,2,FALSE))-(IF(VLOOKUP(F33,'ELA Reading Logic'!$A$22:$B$48,2,FALSE)&lt;=VLOOKUP(G33,'ELA Reading Logic'!$A$22:$B$48,2,FALSE),VLOOKUP(G33,'ELA Reading Logic'!$A$22:$B$48,2,FALSE),IF(VLOOKUP(F33,'ELA Reading Logic'!$A$22:$B$48,2,FALSE)&gt;=VLOOKUP(H33,'ELA Reading Logic'!$A$22:$B$48,2,FALSE),VLOOKUP(H33,'ELA Reading Logic'!$A$22:$B$48,2,FALSE),"No Score")))),"No Value"))</f>
        <v>No Value</v>
      </c>
      <c r="J33" s="178"/>
      <c r="K33" s="96"/>
      <c r="L33" s="96"/>
      <c r="M33" s="96"/>
      <c r="N33" s="96"/>
      <c r="O33" s="96"/>
      <c r="P33" s="105"/>
      <c r="Q33" s="92"/>
      <c r="R33" s="96" t="str">
        <f>IFERROR(IF($E33="Yes","IPP",VLOOKUP($J33,'ELA Reading Logic'!$A$3:$K$9,VLOOKUP(Q$1,'ELA Reading Logic'!$J$22:$K$31,2,FALSE),FALSE)),"Set Grade")</f>
        <v>Set Grade</v>
      </c>
      <c r="S33" s="96" t="str">
        <f>IFERROR(IF($E33="Yes","IPP",VLOOKUP($J33,'ELA Reading Logic'!$A$13:$K$19,VLOOKUP(Q$1,'ELA Reading Logic'!$J$22:$K$31,2,FALSE),FALSE)),"Set Grade")</f>
        <v>Set Grade</v>
      </c>
      <c r="T33" s="96" t="str">
        <f>IF($E33="Yes","IPP",IFERROR(IF(AND(Q33&gt;R33,Q33&lt;S33),"0",(VLOOKUP(Q33,'ELA Reading Logic'!$A$22:$B$48,2,FALSE))-(IF(VLOOKUP(Q33,'ELA Reading Logic'!$A$22:$B$48,2,FALSE)&lt;=VLOOKUP(R33,'ELA Reading Logic'!$A$22:$B$48,2,FALSE),VLOOKUP(R33,'ELA Reading Logic'!$A$22:$B$48,2,FALSE),IF(VLOOKUP(Q33,'ELA Reading Logic'!$A$22:$B$48,2,FALSE)&gt;=VLOOKUP(S33,'ELA Reading Logic'!$A$22:$B$48,2,FALSE),VLOOKUP(S33,'ELA Reading Logic'!$A$22:$B$48,2,FALSE),"No Score")))),"No Value"))</f>
        <v>No Value</v>
      </c>
      <c r="U33" s="96" t="str">
        <f>IFERROR(VLOOKUP(Q33,'ELA Reading Logic'!$A$22:$B$48,2,FALSE)-VLOOKUP($F33,'ELA Reading Logic'!$A$22:$B$48,2,FALSE),"No Value")</f>
        <v>No Value</v>
      </c>
      <c r="V33" s="92"/>
      <c r="W33" s="96" t="str">
        <f>IFERROR(IF($E33="Yes","IPP",VLOOKUP($J33,'ELA Reading Logic'!$A$3:$K$9,VLOOKUP(V$1,'ELA Reading Logic'!$J$22:$K$31,2,FALSE),FALSE)),"Set Grade")</f>
        <v>Set Grade</v>
      </c>
      <c r="X33" s="96" t="str">
        <f>IFERROR(IF($E33="Yes","IPP",VLOOKUP($J33,'ELA Reading Logic'!$A$13:$K$19,VLOOKUP(V$1,'ELA Reading Logic'!$J$22:$K$31,2,FALSE),FALSE)),"Set Grade")</f>
        <v>Set Grade</v>
      </c>
      <c r="Y33" s="96" t="str">
        <f>IF($E33="Yes","IPP",IFERROR(IF(AND(V33&gt;W33,V33&lt;X33),"0",(VLOOKUP(V33,'ELA Reading Logic'!$A$22:$B$48,2,FALSE))-(IF(VLOOKUP(V33,'ELA Reading Logic'!$A$22:$B$48,2,FALSE)&lt;=VLOOKUP(W33,'ELA Reading Logic'!$A$22:$B$48,2,FALSE),VLOOKUP(W33,'ELA Reading Logic'!$A$22:$B$48,2,FALSE),IF(VLOOKUP(V33,'ELA Reading Logic'!$A$22:$B$48,2,FALSE)&gt;=VLOOKUP(X33,'ELA Reading Logic'!$A$22:$B$48,2,FALSE),VLOOKUP(X33,'ELA Reading Logic'!$A$22:$B$48,2,FALSE),"No Score")))),"No Value"))</f>
        <v>No Value</v>
      </c>
      <c r="Z33" s="96" t="str">
        <f>IFERROR(VLOOKUP(V33,'ELA Reading Logic'!$A$22:$B$48,2,FALSE)-VLOOKUP($F33,'ELA Reading Logic'!$A$22:$B$48,2,FALSE),"No Value")</f>
        <v>No Value</v>
      </c>
      <c r="AA33" s="92"/>
      <c r="AB33" s="96" t="str">
        <f>IFERROR(IF($E33="Yes","IPP",VLOOKUP($J33,'ELA Reading Logic'!$A$3:$K$9,VLOOKUP(AA$1,'ELA Reading Logic'!$J$22:$K$31,2,FALSE),FALSE)),"Set Grade")</f>
        <v>Set Grade</v>
      </c>
      <c r="AC33" s="96" t="str">
        <f>IFERROR(IF($E33="Yes","IPP",VLOOKUP($J33,'ELA Reading Logic'!$A$13:$K$19,VLOOKUP(AA$1,'ELA Reading Logic'!$J$22:$K$31,2,FALSE),FALSE)),"Set Grade")</f>
        <v>Set Grade</v>
      </c>
      <c r="AD33" s="96" t="str">
        <f>IF($E33="Yes","IPP",IFERROR(IF(AND(AA33&gt;AB33,AA33&lt;AC33),"0",(VLOOKUP(AA33,'ELA Reading Logic'!$A$22:$B$48,2,FALSE))-(IF(VLOOKUP(AA33,'ELA Reading Logic'!$A$22:$B$48,2,FALSE)&lt;=VLOOKUP(AB33,'ELA Reading Logic'!$A$22:$B$48,2,FALSE),VLOOKUP(AB33,'ELA Reading Logic'!$A$22:$B$48,2,FALSE),IF(VLOOKUP(AA33,'ELA Reading Logic'!$A$22:$B$48,2,FALSE)&gt;=VLOOKUP(AC33,'ELA Reading Logic'!$A$22:$B$48,2,FALSE),VLOOKUP(AC33,'ELA Reading Logic'!$A$22:$B$48,2,FALSE),"No Score")))),"No Value"))</f>
        <v>No Value</v>
      </c>
      <c r="AE33" s="96" t="str">
        <f>IFERROR(VLOOKUP(AA33,'ELA Reading Logic'!$A$22:$B$48,2,FALSE)-VLOOKUP($F33,'ELA Reading Logic'!$A$22:$B$48,2,FALSE),"No Value")</f>
        <v>No Value</v>
      </c>
      <c r="AF33" s="92"/>
      <c r="AG33" s="96" t="str">
        <f>IFERROR(IF($E33="Yes","IPP",VLOOKUP($J33,'ELA Reading Logic'!$A$3:$K$9,VLOOKUP(AF$1,'ELA Reading Logic'!$J$22:$K$31,2,FALSE),FALSE)),"Set Grade")</f>
        <v>Set Grade</v>
      </c>
      <c r="AH33" s="96" t="str">
        <f>IFERROR(IF($E33="Yes","IPP",VLOOKUP($J33,'ELA Reading Logic'!$A$13:$K$19,VLOOKUP(AF$1,'ELA Reading Logic'!$J$22:$K$31,2,FALSE),FALSE)),"Set Grade")</f>
        <v>Set Grade</v>
      </c>
      <c r="AI33" s="96" t="str">
        <f>IF($E33="Yes","IPP",IFERROR(IF(AND(AF33&gt;AG33,AF33&lt;AH33),"0",(VLOOKUP(AF33,'ELA Reading Logic'!$A$22:$B$48,2,FALSE))-(IF(VLOOKUP(AF33,'ELA Reading Logic'!$A$22:$B$48,2,FALSE)&lt;=VLOOKUP(AG33,'ELA Reading Logic'!$A$22:$B$48,2,FALSE),VLOOKUP(AG33,'ELA Reading Logic'!$A$22:$B$48,2,FALSE),IF(VLOOKUP(AF33,'ELA Reading Logic'!$A$22:$B$48,2,FALSE)&gt;=VLOOKUP(AH33,'ELA Reading Logic'!$A$22:$B$48,2,FALSE),VLOOKUP(AH33,'ELA Reading Logic'!$A$22:$B$48,2,FALSE),"No Score")))),"No Value"))</f>
        <v>No Value</v>
      </c>
      <c r="AJ33" s="96" t="str">
        <f>IFERROR(VLOOKUP(AF33,'ELA Reading Logic'!$A$22:$B$48,2,FALSE)-VLOOKUP($F33,'ELA Reading Logic'!$A$22:$B$48,2,FALSE),"No Value")</f>
        <v>No Value</v>
      </c>
      <c r="AK33" s="92"/>
      <c r="AL33" s="96" t="str">
        <f>IFERROR(IF($E33="Yes","IPP",VLOOKUP($J33,'ELA Reading Logic'!$A$3:$K$9,VLOOKUP(AK$1,'ELA Reading Logic'!$J$22:$K$31,2,FALSE),FALSE)),"Set Grade")</f>
        <v>Set Grade</v>
      </c>
      <c r="AM33" s="96" t="str">
        <f>IFERROR(IF($E33="Yes","IPP",VLOOKUP($J33,'ELA Reading Logic'!$A$13:$K$19,VLOOKUP(AK$1,'ELA Reading Logic'!$J$22:$K$31,2,FALSE),FALSE)),"Set Grade")</f>
        <v>Set Grade</v>
      </c>
      <c r="AN33" s="96" t="str">
        <f>IF($E33="Yes","IPP",IFERROR(IF(AND(AK33&gt;AL33,AK33&lt;AM33),"0",(VLOOKUP(AK33,'ELA Reading Logic'!$A$22:$B$48,2,FALSE))-(IF(VLOOKUP(AK33,'ELA Reading Logic'!$A$22:$B$48,2,FALSE)&lt;=VLOOKUP(AL33,'ELA Reading Logic'!$A$22:$B$48,2,FALSE),VLOOKUP(AL33,'ELA Reading Logic'!$A$22:$B$48,2,FALSE),IF(VLOOKUP(AK33,'ELA Reading Logic'!$A$22:$B$48,2,FALSE)&gt;=VLOOKUP(AM33,'ELA Reading Logic'!$A$22:$B$48,2,FALSE),VLOOKUP(AM33,'ELA Reading Logic'!$A$22:$B$48,2,FALSE),"No Score")))),"No Value"))</f>
        <v>No Value</v>
      </c>
      <c r="AO33" s="96" t="str">
        <f>IFERROR(VLOOKUP(AK33,'ELA Reading Logic'!$A$22:$B$48,2,FALSE)-VLOOKUP($F33,'ELA Reading Logic'!$A$22:$B$48,2,FALSE),"No Value")</f>
        <v>No Value</v>
      </c>
      <c r="AP33" s="92"/>
      <c r="AQ33" s="96" t="str">
        <f>IFERROR(IF($E33="Yes","IPP",VLOOKUP($J33,'ELA Reading Logic'!$A$3:$K$9,VLOOKUP(AP$1,'ELA Reading Logic'!$J$22:$K$31,2,FALSE),FALSE)),"Set Grade")</f>
        <v>Set Grade</v>
      </c>
      <c r="AR33" s="96" t="str">
        <f>IFERROR(IF($E33="Yes","IPP",VLOOKUP($J33,'ELA Reading Logic'!$A$13:$K$19,VLOOKUP(AP$1,'ELA Reading Logic'!$J$22:$K$31,2,FALSE),FALSE)),"Set Grade")</f>
        <v>Set Grade</v>
      </c>
      <c r="AS33" s="96" t="str">
        <f>IF($E33="Yes","IPP",IFERROR(IF(AND(AP33&gt;AQ33,AP33&lt;AR33),"0",(VLOOKUP(AP33,'ELA Reading Logic'!$A$22:$B$48,2,FALSE))-(IF(VLOOKUP(AP33,'ELA Reading Logic'!$A$22:$B$48,2,FALSE)&lt;=VLOOKUP(AQ33,'ELA Reading Logic'!$A$22:$B$48,2,FALSE),VLOOKUP(AQ33,'ELA Reading Logic'!$A$22:$B$48,2,FALSE),IF(VLOOKUP(AP33,'ELA Reading Logic'!$A$22:$B$48,2,FALSE)&gt;=VLOOKUP(AR33,'ELA Reading Logic'!$A$22:$B$48,2,FALSE),VLOOKUP(AR33,'ELA Reading Logic'!$A$22:$B$48,2,FALSE),"No Score")))),"No Value"))</f>
        <v>No Value</v>
      </c>
      <c r="AT33" s="96" t="str">
        <f>IFERROR(VLOOKUP(AP33,'ELA Reading Logic'!$A$22:$B$48,2,FALSE)-VLOOKUP($F33,'ELA Reading Logic'!$A$22:$B$48,2,FALSE),"No Value")</f>
        <v>No Value</v>
      </c>
    </row>
    <row r="34" spans="1:46" ht="22.5" customHeight="1" x14ac:dyDescent="0.25">
      <c r="A34" s="174"/>
      <c r="B34" s="174"/>
      <c r="C34" s="174"/>
      <c r="D34" s="174"/>
      <c r="E34" s="175"/>
      <c r="F34" s="175"/>
      <c r="G34" s="177" t="str">
        <f>IFERROR(IF($E34="Yes","IPP",VLOOKUP($J34,'ELA Reading Logic'!$A$3:$K$9,VLOOKUP("September",'ELA Reading Logic'!$J$22:$K$31,2,FALSE),FALSE)),"Set Grade")</f>
        <v>Set Grade</v>
      </c>
      <c r="H34" s="177" t="str">
        <f>IFERROR(IF($E34="Yes","IPP",VLOOKUP($J34,'ELA Reading Logic'!$A$13:$K$19,VLOOKUP("September",'ELA Reading Logic'!$J$22:$K$31,2,FALSE),FALSE)),"Set Grade")</f>
        <v>Set Grade</v>
      </c>
      <c r="I34" s="96" t="str">
        <f>IF($E34="Yes","IPP",IFERROR(IF(AND(F34&gt;G34,F34&lt;H34),"0",(VLOOKUP(F34,'ELA Reading Logic'!$A$22:$B$48,2,FALSE))-(IF(VLOOKUP(F34,'ELA Reading Logic'!$A$22:$B$48,2,FALSE)&lt;=VLOOKUP(G34,'ELA Reading Logic'!$A$22:$B$48,2,FALSE),VLOOKUP(G34,'ELA Reading Logic'!$A$22:$B$48,2,FALSE),IF(VLOOKUP(F34,'ELA Reading Logic'!$A$22:$B$48,2,FALSE)&gt;=VLOOKUP(H34,'ELA Reading Logic'!$A$22:$B$48,2,FALSE),VLOOKUP(H34,'ELA Reading Logic'!$A$22:$B$48,2,FALSE),"No Score")))),"No Value"))</f>
        <v>No Value</v>
      </c>
      <c r="J34" s="178"/>
      <c r="K34" s="96"/>
      <c r="L34" s="96"/>
      <c r="M34" s="96"/>
      <c r="N34" s="96"/>
      <c r="O34" s="96"/>
      <c r="P34" s="105"/>
      <c r="Q34" s="92"/>
      <c r="R34" s="96" t="str">
        <f>IFERROR(IF($E34="Yes","IPP",VLOOKUP($J34,'ELA Reading Logic'!$A$3:$K$9,VLOOKUP(Q$1,'ELA Reading Logic'!$J$22:$K$31,2,FALSE),FALSE)),"Set Grade")</f>
        <v>Set Grade</v>
      </c>
      <c r="S34" s="96" t="str">
        <f>IFERROR(IF($E34="Yes","IPP",VLOOKUP($J34,'ELA Reading Logic'!$A$13:$K$19,VLOOKUP(Q$1,'ELA Reading Logic'!$J$22:$K$31,2,FALSE),FALSE)),"Set Grade")</f>
        <v>Set Grade</v>
      </c>
      <c r="T34" s="96" t="str">
        <f>IF($E34="Yes","IPP",IFERROR(IF(AND(Q34&gt;R34,Q34&lt;S34),"0",(VLOOKUP(Q34,'ELA Reading Logic'!$A$22:$B$48,2,FALSE))-(IF(VLOOKUP(Q34,'ELA Reading Logic'!$A$22:$B$48,2,FALSE)&lt;=VLOOKUP(R34,'ELA Reading Logic'!$A$22:$B$48,2,FALSE),VLOOKUP(R34,'ELA Reading Logic'!$A$22:$B$48,2,FALSE),IF(VLOOKUP(Q34,'ELA Reading Logic'!$A$22:$B$48,2,FALSE)&gt;=VLOOKUP(S34,'ELA Reading Logic'!$A$22:$B$48,2,FALSE),VLOOKUP(S34,'ELA Reading Logic'!$A$22:$B$48,2,FALSE),"No Score")))),"No Value"))</f>
        <v>No Value</v>
      </c>
      <c r="U34" s="96" t="str">
        <f>IFERROR(VLOOKUP(Q34,'ELA Reading Logic'!$A$22:$B$48,2,FALSE)-VLOOKUP($F34,'ELA Reading Logic'!$A$22:$B$48,2,FALSE),"No Value")</f>
        <v>No Value</v>
      </c>
      <c r="V34" s="92"/>
      <c r="W34" s="96" t="str">
        <f>IFERROR(IF($E34="Yes","IPP",VLOOKUP($J34,'ELA Reading Logic'!$A$3:$K$9,VLOOKUP(V$1,'ELA Reading Logic'!$J$22:$K$31,2,FALSE),FALSE)),"Set Grade")</f>
        <v>Set Grade</v>
      </c>
      <c r="X34" s="96" t="str">
        <f>IFERROR(IF($E34="Yes","IPP",VLOOKUP($J34,'ELA Reading Logic'!$A$13:$K$19,VLOOKUP(V$1,'ELA Reading Logic'!$J$22:$K$31,2,FALSE),FALSE)),"Set Grade")</f>
        <v>Set Grade</v>
      </c>
      <c r="Y34" s="96" t="str">
        <f>IF($E34="Yes","IPP",IFERROR(IF(AND(V34&gt;W34,V34&lt;X34),"0",(VLOOKUP(V34,'ELA Reading Logic'!$A$22:$B$48,2,FALSE))-(IF(VLOOKUP(V34,'ELA Reading Logic'!$A$22:$B$48,2,FALSE)&lt;=VLOOKUP(W34,'ELA Reading Logic'!$A$22:$B$48,2,FALSE),VLOOKUP(W34,'ELA Reading Logic'!$A$22:$B$48,2,FALSE),IF(VLOOKUP(V34,'ELA Reading Logic'!$A$22:$B$48,2,FALSE)&gt;=VLOOKUP(X34,'ELA Reading Logic'!$A$22:$B$48,2,FALSE),VLOOKUP(X34,'ELA Reading Logic'!$A$22:$B$48,2,FALSE),"No Score")))),"No Value"))</f>
        <v>No Value</v>
      </c>
      <c r="Z34" s="96" t="str">
        <f>IFERROR(VLOOKUP(V34,'ELA Reading Logic'!$A$22:$B$48,2,FALSE)-VLOOKUP($F34,'ELA Reading Logic'!$A$22:$B$48,2,FALSE),"No Value")</f>
        <v>No Value</v>
      </c>
      <c r="AA34" s="92"/>
      <c r="AB34" s="96" t="str">
        <f>IFERROR(IF($E34="Yes","IPP",VLOOKUP($J34,'ELA Reading Logic'!$A$3:$K$9,VLOOKUP(AA$1,'ELA Reading Logic'!$J$22:$K$31,2,FALSE),FALSE)),"Set Grade")</f>
        <v>Set Grade</v>
      </c>
      <c r="AC34" s="96" t="str">
        <f>IFERROR(IF($E34="Yes","IPP",VLOOKUP($J34,'ELA Reading Logic'!$A$13:$K$19,VLOOKUP(AA$1,'ELA Reading Logic'!$J$22:$K$31,2,FALSE),FALSE)),"Set Grade")</f>
        <v>Set Grade</v>
      </c>
      <c r="AD34" s="96" t="str">
        <f>IF($E34="Yes","IPP",IFERROR(IF(AND(AA34&gt;AB34,AA34&lt;AC34),"0",(VLOOKUP(AA34,'ELA Reading Logic'!$A$22:$B$48,2,FALSE))-(IF(VLOOKUP(AA34,'ELA Reading Logic'!$A$22:$B$48,2,FALSE)&lt;=VLOOKUP(AB34,'ELA Reading Logic'!$A$22:$B$48,2,FALSE),VLOOKUP(AB34,'ELA Reading Logic'!$A$22:$B$48,2,FALSE),IF(VLOOKUP(AA34,'ELA Reading Logic'!$A$22:$B$48,2,FALSE)&gt;=VLOOKUP(AC34,'ELA Reading Logic'!$A$22:$B$48,2,FALSE),VLOOKUP(AC34,'ELA Reading Logic'!$A$22:$B$48,2,FALSE),"No Score")))),"No Value"))</f>
        <v>No Value</v>
      </c>
      <c r="AE34" s="96" t="str">
        <f>IFERROR(VLOOKUP(AA34,'ELA Reading Logic'!$A$22:$B$48,2,FALSE)-VLOOKUP($F34,'ELA Reading Logic'!$A$22:$B$48,2,FALSE),"No Value")</f>
        <v>No Value</v>
      </c>
      <c r="AF34" s="92"/>
      <c r="AG34" s="96" t="str">
        <f>IFERROR(IF($E34="Yes","IPP",VLOOKUP($J34,'ELA Reading Logic'!$A$3:$K$9,VLOOKUP(AF$1,'ELA Reading Logic'!$J$22:$K$31,2,FALSE),FALSE)),"Set Grade")</f>
        <v>Set Grade</v>
      </c>
      <c r="AH34" s="96" t="str">
        <f>IFERROR(IF($E34="Yes","IPP",VLOOKUP($J34,'ELA Reading Logic'!$A$13:$K$19,VLOOKUP(AF$1,'ELA Reading Logic'!$J$22:$K$31,2,FALSE),FALSE)),"Set Grade")</f>
        <v>Set Grade</v>
      </c>
      <c r="AI34" s="96" t="str">
        <f>IF($E34="Yes","IPP",IFERROR(IF(AND(AF34&gt;AG34,AF34&lt;AH34),"0",(VLOOKUP(AF34,'ELA Reading Logic'!$A$22:$B$48,2,FALSE))-(IF(VLOOKUP(AF34,'ELA Reading Logic'!$A$22:$B$48,2,FALSE)&lt;=VLOOKUP(AG34,'ELA Reading Logic'!$A$22:$B$48,2,FALSE),VLOOKUP(AG34,'ELA Reading Logic'!$A$22:$B$48,2,FALSE),IF(VLOOKUP(AF34,'ELA Reading Logic'!$A$22:$B$48,2,FALSE)&gt;=VLOOKUP(AH34,'ELA Reading Logic'!$A$22:$B$48,2,FALSE),VLOOKUP(AH34,'ELA Reading Logic'!$A$22:$B$48,2,FALSE),"No Score")))),"No Value"))</f>
        <v>No Value</v>
      </c>
      <c r="AJ34" s="96" t="str">
        <f>IFERROR(VLOOKUP(AF34,'ELA Reading Logic'!$A$22:$B$48,2,FALSE)-VLOOKUP($F34,'ELA Reading Logic'!$A$22:$B$48,2,FALSE),"No Value")</f>
        <v>No Value</v>
      </c>
      <c r="AK34" s="92"/>
      <c r="AL34" s="96" t="str">
        <f>IFERROR(IF($E34="Yes","IPP",VLOOKUP($J34,'ELA Reading Logic'!$A$3:$K$9,VLOOKUP(AK$1,'ELA Reading Logic'!$J$22:$K$31,2,FALSE),FALSE)),"Set Grade")</f>
        <v>Set Grade</v>
      </c>
      <c r="AM34" s="96" t="str">
        <f>IFERROR(IF($E34="Yes","IPP",VLOOKUP($J34,'ELA Reading Logic'!$A$13:$K$19,VLOOKUP(AK$1,'ELA Reading Logic'!$J$22:$K$31,2,FALSE),FALSE)),"Set Grade")</f>
        <v>Set Grade</v>
      </c>
      <c r="AN34" s="96" t="str">
        <f>IF($E34="Yes","IPP",IFERROR(IF(AND(AK34&gt;AL34,AK34&lt;AM34),"0",(VLOOKUP(AK34,'ELA Reading Logic'!$A$22:$B$48,2,FALSE))-(IF(VLOOKUP(AK34,'ELA Reading Logic'!$A$22:$B$48,2,FALSE)&lt;=VLOOKUP(AL34,'ELA Reading Logic'!$A$22:$B$48,2,FALSE),VLOOKUP(AL34,'ELA Reading Logic'!$A$22:$B$48,2,FALSE),IF(VLOOKUP(AK34,'ELA Reading Logic'!$A$22:$B$48,2,FALSE)&gt;=VLOOKUP(AM34,'ELA Reading Logic'!$A$22:$B$48,2,FALSE),VLOOKUP(AM34,'ELA Reading Logic'!$A$22:$B$48,2,FALSE),"No Score")))),"No Value"))</f>
        <v>No Value</v>
      </c>
      <c r="AO34" s="96" t="str">
        <f>IFERROR(VLOOKUP(AK34,'ELA Reading Logic'!$A$22:$B$48,2,FALSE)-VLOOKUP($F34,'ELA Reading Logic'!$A$22:$B$48,2,FALSE),"No Value")</f>
        <v>No Value</v>
      </c>
      <c r="AP34" s="92"/>
      <c r="AQ34" s="96" t="str">
        <f>IFERROR(IF($E34="Yes","IPP",VLOOKUP($J34,'ELA Reading Logic'!$A$3:$K$9,VLOOKUP(AP$1,'ELA Reading Logic'!$J$22:$K$31,2,FALSE),FALSE)),"Set Grade")</f>
        <v>Set Grade</v>
      </c>
      <c r="AR34" s="96" t="str">
        <f>IFERROR(IF($E34="Yes","IPP",VLOOKUP($J34,'ELA Reading Logic'!$A$13:$K$19,VLOOKUP(AP$1,'ELA Reading Logic'!$J$22:$K$31,2,FALSE),FALSE)),"Set Grade")</f>
        <v>Set Grade</v>
      </c>
      <c r="AS34" s="96" t="str">
        <f>IF($E34="Yes","IPP",IFERROR(IF(AND(AP34&gt;AQ34,AP34&lt;AR34),"0",(VLOOKUP(AP34,'ELA Reading Logic'!$A$22:$B$48,2,FALSE))-(IF(VLOOKUP(AP34,'ELA Reading Logic'!$A$22:$B$48,2,FALSE)&lt;=VLOOKUP(AQ34,'ELA Reading Logic'!$A$22:$B$48,2,FALSE),VLOOKUP(AQ34,'ELA Reading Logic'!$A$22:$B$48,2,FALSE),IF(VLOOKUP(AP34,'ELA Reading Logic'!$A$22:$B$48,2,FALSE)&gt;=VLOOKUP(AR34,'ELA Reading Logic'!$A$22:$B$48,2,FALSE),VLOOKUP(AR34,'ELA Reading Logic'!$A$22:$B$48,2,FALSE),"No Score")))),"No Value"))</f>
        <v>No Value</v>
      </c>
      <c r="AT34" s="96" t="str">
        <f>IFERROR(VLOOKUP(AP34,'ELA Reading Logic'!$A$22:$B$48,2,FALSE)-VLOOKUP($F34,'ELA Reading Logic'!$A$22:$B$48,2,FALSE),"No Value")</f>
        <v>No Value</v>
      </c>
    </row>
    <row r="35" spans="1:46" ht="22.5" customHeight="1" x14ac:dyDescent="0.25">
      <c r="A35" s="176"/>
      <c r="B35" s="176"/>
      <c r="C35" s="176"/>
      <c r="D35" s="176"/>
      <c r="E35" s="175"/>
      <c r="F35" s="175"/>
      <c r="G35" s="177" t="str">
        <f>IFERROR(IF($E35="Yes","IPP",VLOOKUP($J35,'ELA Reading Logic'!$A$3:$K$9,VLOOKUP("September",'ELA Reading Logic'!$J$22:$K$31,2,FALSE),FALSE)),"Set Grade")</f>
        <v>Set Grade</v>
      </c>
      <c r="H35" s="177" t="str">
        <f>IFERROR(IF($E35="Yes","IPP",VLOOKUP($J35,'ELA Reading Logic'!$A$13:$K$19,VLOOKUP("September",'ELA Reading Logic'!$J$22:$K$31,2,FALSE),FALSE)),"Set Grade")</f>
        <v>Set Grade</v>
      </c>
      <c r="I35" s="96" t="str">
        <f>IF($E35="Yes","IPP",IFERROR(IF(AND(F35&gt;G35,F35&lt;H35),"0",(VLOOKUP(F35,'ELA Reading Logic'!$A$22:$B$48,2,FALSE))-(IF(VLOOKUP(F35,'ELA Reading Logic'!$A$22:$B$48,2,FALSE)&lt;=VLOOKUP(G35,'ELA Reading Logic'!$A$22:$B$48,2,FALSE),VLOOKUP(G35,'ELA Reading Logic'!$A$22:$B$48,2,FALSE),IF(VLOOKUP(F35,'ELA Reading Logic'!$A$22:$B$48,2,FALSE)&gt;=VLOOKUP(H35,'ELA Reading Logic'!$A$22:$B$48,2,FALSE),VLOOKUP(H35,'ELA Reading Logic'!$A$22:$B$48,2,FALSE),"No Score")))),"No Value"))</f>
        <v>No Value</v>
      </c>
      <c r="J35" s="178"/>
      <c r="K35" s="96"/>
      <c r="L35" s="96"/>
      <c r="M35" s="96"/>
      <c r="N35" s="96"/>
      <c r="O35" s="96"/>
      <c r="P35" s="105"/>
      <c r="Q35" s="92"/>
      <c r="R35" s="96" t="str">
        <f>IFERROR(IF($E35="Yes","IPP",VLOOKUP($J35,'ELA Reading Logic'!$A$3:$K$9,VLOOKUP(Q$1,'ELA Reading Logic'!$J$22:$K$31,2,FALSE),FALSE)),"Set Grade")</f>
        <v>Set Grade</v>
      </c>
      <c r="S35" s="96" t="str">
        <f>IFERROR(IF($E35="Yes","IPP",VLOOKUP($J35,'ELA Reading Logic'!$A$13:$K$19,VLOOKUP(Q$1,'ELA Reading Logic'!$J$22:$K$31,2,FALSE),FALSE)),"Set Grade")</f>
        <v>Set Grade</v>
      </c>
      <c r="T35" s="96" t="str">
        <f>IF($E35="Yes","IPP",IFERROR(IF(AND(Q35&gt;R35,Q35&lt;S35),"0",(VLOOKUP(Q35,'ELA Reading Logic'!$A$22:$B$48,2,FALSE))-(IF(VLOOKUP(Q35,'ELA Reading Logic'!$A$22:$B$48,2,FALSE)&lt;=VLOOKUP(R35,'ELA Reading Logic'!$A$22:$B$48,2,FALSE),VLOOKUP(R35,'ELA Reading Logic'!$A$22:$B$48,2,FALSE),IF(VLOOKUP(Q35,'ELA Reading Logic'!$A$22:$B$48,2,FALSE)&gt;=VLOOKUP(S35,'ELA Reading Logic'!$A$22:$B$48,2,FALSE),VLOOKUP(S35,'ELA Reading Logic'!$A$22:$B$48,2,FALSE),"No Score")))),"No Value"))</f>
        <v>No Value</v>
      </c>
      <c r="U35" s="96" t="str">
        <f>IFERROR(VLOOKUP(Q35,'ELA Reading Logic'!$A$22:$B$48,2,FALSE)-VLOOKUP($F35,'ELA Reading Logic'!$A$22:$B$48,2,FALSE),"No Value")</f>
        <v>No Value</v>
      </c>
      <c r="V35" s="92"/>
      <c r="W35" s="96" t="str">
        <f>IFERROR(IF($E35="Yes","IPP",VLOOKUP($J35,'ELA Reading Logic'!$A$3:$K$9,VLOOKUP(V$1,'ELA Reading Logic'!$J$22:$K$31,2,FALSE),FALSE)),"Set Grade")</f>
        <v>Set Grade</v>
      </c>
      <c r="X35" s="96" t="str">
        <f>IFERROR(IF($E35="Yes","IPP",VLOOKUP($J35,'ELA Reading Logic'!$A$13:$K$19,VLOOKUP(V$1,'ELA Reading Logic'!$J$22:$K$31,2,FALSE),FALSE)),"Set Grade")</f>
        <v>Set Grade</v>
      </c>
      <c r="Y35" s="96" t="str">
        <f>IF($E35="Yes","IPP",IFERROR(IF(AND(V35&gt;W35,V35&lt;X35),"0",(VLOOKUP(V35,'ELA Reading Logic'!$A$22:$B$48,2,FALSE))-(IF(VLOOKUP(V35,'ELA Reading Logic'!$A$22:$B$48,2,FALSE)&lt;=VLOOKUP(W35,'ELA Reading Logic'!$A$22:$B$48,2,FALSE),VLOOKUP(W35,'ELA Reading Logic'!$A$22:$B$48,2,FALSE),IF(VLOOKUP(V35,'ELA Reading Logic'!$A$22:$B$48,2,FALSE)&gt;=VLOOKUP(X35,'ELA Reading Logic'!$A$22:$B$48,2,FALSE),VLOOKUP(X35,'ELA Reading Logic'!$A$22:$B$48,2,FALSE),"No Score")))),"No Value"))</f>
        <v>No Value</v>
      </c>
      <c r="Z35" s="96" t="str">
        <f>IFERROR(VLOOKUP(V35,'ELA Reading Logic'!$A$22:$B$48,2,FALSE)-VLOOKUP($F35,'ELA Reading Logic'!$A$22:$B$48,2,FALSE),"No Value")</f>
        <v>No Value</v>
      </c>
      <c r="AA35" s="92"/>
      <c r="AB35" s="96" t="str">
        <f>IFERROR(IF($E35="Yes","IPP",VLOOKUP($J35,'ELA Reading Logic'!$A$3:$K$9,VLOOKUP(AA$1,'ELA Reading Logic'!$J$22:$K$31,2,FALSE),FALSE)),"Set Grade")</f>
        <v>Set Grade</v>
      </c>
      <c r="AC35" s="96" t="str">
        <f>IFERROR(IF($E35="Yes","IPP",VLOOKUP($J35,'ELA Reading Logic'!$A$13:$K$19,VLOOKUP(AA$1,'ELA Reading Logic'!$J$22:$K$31,2,FALSE),FALSE)),"Set Grade")</f>
        <v>Set Grade</v>
      </c>
      <c r="AD35" s="96" t="str">
        <f>IF($E35="Yes","IPP",IFERROR(IF(AND(AA35&gt;AB35,AA35&lt;AC35),"0",(VLOOKUP(AA35,'ELA Reading Logic'!$A$22:$B$48,2,FALSE))-(IF(VLOOKUP(AA35,'ELA Reading Logic'!$A$22:$B$48,2,FALSE)&lt;=VLOOKUP(AB35,'ELA Reading Logic'!$A$22:$B$48,2,FALSE),VLOOKUP(AB35,'ELA Reading Logic'!$A$22:$B$48,2,FALSE),IF(VLOOKUP(AA35,'ELA Reading Logic'!$A$22:$B$48,2,FALSE)&gt;=VLOOKUP(AC35,'ELA Reading Logic'!$A$22:$B$48,2,FALSE),VLOOKUP(AC35,'ELA Reading Logic'!$A$22:$B$48,2,FALSE),"No Score")))),"No Value"))</f>
        <v>No Value</v>
      </c>
      <c r="AE35" s="96" t="str">
        <f>IFERROR(VLOOKUP(AA35,'ELA Reading Logic'!$A$22:$B$48,2,FALSE)-VLOOKUP($F35,'ELA Reading Logic'!$A$22:$B$48,2,FALSE),"No Value")</f>
        <v>No Value</v>
      </c>
      <c r="AF35" s="92"/>
      <c r="AG35" s="96" t="str">
        <f>IFERROR(IF($E35="Yes","IPP",VLOOKUP($J35,'ELA Reading Logic'!$A$3:$K$9,VLOOKUP(AF$1,'ELA Reading Logic'!$J$22:$K$31,2,FALSE),FALSE)),"Set Grade")</f>
        <v>Set Grade</v>
      </c>
      <c r="AH35" s="96" t="str">
        <f>IFERROR(IF($E35="Yes","IPP",VLOOKUP($J35,'ELA Reading Logic'!$A$13:$K$19,VLOOKUP(AF$1,'ELA Reading Logic'!$J$22:$K$31,2,FALSE),FALSE)),"Set Grade")</f>
        <v>Set Grade</v>
      </c>
      <c r="AI35" s="96" t="str">
        <f>IF($E35="Yes","IPP",IFERROR(IF(AND(AF35&gt;AG35,AF35&lt;AH35),"0",(VLOOKUP(AF35,'ELA Reading Logic'!$A$22:$B$48,2,FALSE))-(IF(VLOOKUP(AF35,'ELA Reading Logic'!$A$22:$B$48,2,FALSE)&lt;=VLOOKUP(AG35,'ELA Reading Logic'!$A$22:$B$48,2,FALSE),VLOOKUP(AG35,'ELA Reading Logic'!$A$22:$B$48,2,FALSE),IF(VLOOKUP(AF35,'ELA Reading Logic'!$A$22:$B$48,2,FALSE)&gt;=VLOOKUP(AH35,'ELA Reading Logic'!$A$22:$B$48,2,FALSE),VLOOKUP(AH35,'ELA Reading Logic'!$A$22:$B$48,2,FALSE),"No Score")))),"No Value"))</f>
        <v>No Value</v>
      </c>
      <c r="AJ35" s="96" t="str">
        <f>IFERROR(VLOOKUP(AF35,'ELA Reading Logic'!$A$22:$B$48,2,FALSE)-VLOOKUP($F35,'ELA Reading Logic'!$A$22:$B$48,2,FALSE),"No Value")</f>
        <v>No Value</v>
      </c>
      <c r="AK35" s="92"/>
      <c r="AL35" s="96" t="str">
        <f>IFERROR(IF($E35="Yes","IPP",VLOOKUP($J35,'ELA Reading Logic'!$A$3:$K$9,VLOOKUP(AK$1,'ELA Reading Logic'!$J$22:$K$31,2,FALSE),FALSE)),"Set Grade")</f>
        <v>Set Grade</v>
      </c>
      <c r="AM35" s="96" t="str">
        <f>IFERROR(IF($E35="Yes","IPP",VLOOKUP($J35,'ELA Reading Logic'!$A$13:$K$19,VLOOKUP(AK$1,'ELA Reading Logic'!$J$22:$K$31,2,FALSE),FALSE)),"Set Grade")</f>
        <v>Set Grade</v>
      </c>
      <c r="AN35" s="96" t="str">
        <f>IF($E35="Yes","IPP",IFERROR(IF(AND(AK35&gt;AL35,AK35&lt;AM35),"0",(VLOOKUP(AK35,'ELA Reading Logic'!$A$22:$B$48,2,FALSE))-(IF(VLOOKUP(AK35,'ELA Reading Logic'!$A$22:$B$48,2,FALSE)&lt;=VLOOKUP(AL35,'ELA Reading Logic'!$A$22:$B$48,2,FALSE),VLOOKUP(AL35,'ELA Reading Logic'!$A$22:$B$48,2,FALSE),IF(VLOOKUP(AK35,'ELA Reading Logic'!$A$22:$B$48,2,FALSE)&gt;=VLOOKUP(AM35,'ELA Reading Logic'!$A$22:$B$48,2,FALSE),VLOOKUP(AM35,'ELA Reading Logic'!$A$22:$B$48,2,FALSE),"No Score")))),"No Value"))</f>
        <v>No Value</v>
      </c>
      <c r="AO35" s="96" t="str">
        <f>IFERROR(VLOOKUP(AK35,'ELA Reading Logic'!$A$22:$B$48,2,FALSE)-VLOOKUP($F35,'ELA Reading Logic'!$A$22:$B$48,2,FALSE),"No Value")</f>
        <v>No Value</v>
      </c>
      <c r="AP35" s="92"/>
      <c r="AQ35" s="96" t="str">
        <f>IFERROR(IF($E35="Yes","IPP",VLOOKUP($J35,'ELA Reading Logic'!$A$3:$K$9,VLOOKUP(AP$1,'ELA Reading Logic'!$J$22:$K$31,2,FALSE),FALSE)),"Set Grade")</f>
        <v>Set Grade</v>
      </c>
      <c r="AR35" s="96" t="str">
        <f>IFERROR(IF($E35="Yes","IPP",VLOOKUP($J35,'ELA Reading Logic'!$A$13:$K$19,VLOOKUP(AP$1,'ELA Reading Logic'!$J$22:$K$31,2,FALSE),FALSE)),"Set Grade")</f>
        <v>Set Grade</v>
      </c>
      <c r="AS35" s="96" t="str">
        <f>IF($E35="Yes","IPP",IFERROR(IF(AND(AP35&gt;AQ35,AP35&lt;AR35),"0",(VLOOKUP(AP35,'ELA Reading Logic'!$A$22:$B$48,2,FALSE))-(IF(VLOOKUP(AP35,'ELA Reading Logic'!$A$22:$B$48,2,FALSE)&lt;=VLOOKUP(AQ35,'ELA Reading Logic'!$A$22:$B$48,2,FALSE),VLOOKUP(AQ35,'ELA Reading Logic'!$A$22:$B$48,2,FALSE),IF(VLOOKUP(AP35,'ELA Reading Logic'!$A$22:$B$48,2,FALSE)&gt;=VLOOKUP(AR35,'ELA Reading Logic'!$A$22:$B$48,2,FALSE),VLOOKUP(AR35,'ELA Reading Logic'!$A$22:$B$48,2,FALSE),"No Score")))),"No Value"))</f>
        <v>No Value</v>
      </c>
      <c r="AT35" s="96" t="str">
        <f>IFERROR(VLOOKUP(AP35,'ELA Reading Logic'!$A$22:$B$48,2,FALSE)-VLOOKUP($F35,'ELA Reading Logic'!$A$22:$B$48,2,FALSE),"No Value")</f>
        <v>No Value</v>
      </c>
    </row>
    <row r="36" spans="1:46" ht="22.5" customHeight="1" x14ac:dyDescent="0.25">
      <c r="A36" s="174"/>
      <c r="B36" s="174"/>
      <c r="C36" s="174"/>
      <c r="D36" s="174"/>
      <c r="E36" s="175"/>
      <c r="F36" s="175"/>
      <c r="G36" s="177" t="str">
        <f>IFERROR(IF($E36="Yes","IPP",VLOOKUP($J36,'ELA Reading Logic'!$A$3:$K$9,VLOOKUP("September",'ELA Reading Logic'!$J$22:$K$31,2,FALSE),FALSE)),"Set Grade")</f>
        <v>Set Grade</v>
      </c>
      <c r="H36" s="177" t="str">
        <f>IFERROR(IF($E36="Yes","IPP",VLOOKUP($J36,'ELA Reading Logic'!$A$13:$K$19,VLOOKUP("September",'ELA Reading Logic'!$J$22:$K$31,2,FALSE),FALSE)),"Set Grade")</f>
        <v>Set Grade</v>
      </c>
      <c r="I36" s="96" t="str">
        <f>IF($E36="Yes","IPP",IFERROR(IF(AND(F36&gt;G36,F36&lt;H36),"0",(VLOOKUP(F36,'ELA Reading Logic'!$A$22:$B$48,2,FALSE))-(IF(VLOOKUP(F36,'ELA Reading Logic'!$A$22:$B$48,2,FALSE)&lt;=VLOOKUP(G36,'ELA Reading Logic'!$A$22:$B$48,2,FALSE),VLOOKUP(G36,'ELA Reading Logic'!$A$22:$B$48,2,FALSE),IF(VLOOKUP(F36,'ELA Reading Logic'!$A$22:$B$48,2,FALSE)&gt;=VLOOKUP(H36,'ELA Reading Logic'!$A$22:$B$48,2,FALSE),VLOOKUP(H36,'ELA Reading Logic'!$A$22:$B$48,2,FALSE),"No Score")))),"No Value"))</f>
        <v>No Value</v>
      </c>
      <c r="J36" s="178"/>
      <c r="K36" s="96"/>
      <c r="L36" s="96"/>
      <c r="M36" s="96"/>
      <c r="N36" s="96"/>
      <c r="O36" s="96"/>
      <c r="P36" s="105"/>
      <c r="Q36" s="92"/>
      <c r="R36" s="96" t="str">
        <f>IFERROR(IF($E36="Yes","IPP",VLOOKUP($J36,'ELA Reading Logic'!$A$3:$K$9,VLOOKUP(Q$1,'ELA Reading Logic'!$J$22:$K$31,2,FALSE),FALSE)),"Set Grade")</f>
        <v>Set Grade</v>
      </c>
      <c r="S36" s="96" t="str">
        <f>IFERROR(IF($E36="Yes","IPP",VLOOKUP($J36,'ELA Reading Logic'!$A$13:$K$19,VLOOKUP(Q$1,'ELA Reading Logic'!$J$22:$K$31,2,FALSE),FALSE)),"Set Grade")</f>
        <v>Set Grade</v>
      </c>
      <c r="T36" s="96" t="str">
        <f>IF($E36="Yes","IPP",IFERROR(IF(AND(Q36&gt;R36,Q36&lt;S36),"0",(VLOOKUP(Q36,'ELA Reading Logic'!$A$22:$B$48,2,FALSE))-(IF(VLOOKUP(Q36,'ELA Reading Logic'!$A$22:$B$48,2,FALSE)&lt;=VLOOKUP(R36,'ELA Reading Logic'!$A$22:$B$48,2,FALSE),VLOOKUP(R36,'ELA Reading Logic'!$A$22:$B$48,2,FALSE),IF(VLOOKUP(Q36,'ELA Reading Logic'!$A$22:$B$48,2,FALSE)&gt;=VLOOKUP(S36,'ELA Reading Logic'!$A$22:$B$48,2,FALSE),VLOOKUP(S36,'ELA Reading Logic'!$A$22:$B$48,2,FALSE),"No Score")))),"No Value"))</f>
        <v>No Value</v>
      </c>
      <c r="U36" s="96" t="str">
        <f>IFERROR(VLOOKUP(Q36,'ELA Reading Logic'!$A$22:$B$48,2,FALSE)-VLOOKUP($F36,'ELA Reading Logic'!$A$22:$B$48,2,FALSE),"No Value")</f>
        <v>No Value</v>
      </c>
      <c r="V36" s="92"/>
      <c r="W36" s="96" t="str">
        <f>IFERROR(IF($E36="Yes","IPP",VLOOKUP($J36,'ELA Reading Logic'!$A$3:$K$9,VLOOKUP(V$1,'ELA Reading Logic'!$J$22:$K$31,2,FALSE),FALSE)),"Set Grade")</f>
        <v>Set Grade</v>
      </c>
      <c r="X36" s="96" t="str">
        <f>IFERROR(IF($E36="Yes","IPP",VLOOKUP($J36,'ELA Reading Logic'!$A$13:$K$19,VLOOKUP(V$1,'ELA Reading Logic'!$J$22:$K$31,2,FALSE),FALSE)),"Set Grade")</f>
        <v>Set Grade</v>
      </c>
      <c r="Y36" s="96" t="str">
        <f>IF($E36="Yes","IPP",IFERROR(IF(AND(V36&gt;W36,V36&lt;X36),"0",(VLOOKUP(V36,'ELA Reading Logic'!$A$22:$B$48,2,FALSE))-(IF(VLOOKUP(V36,'ELA Reading Logic'!$A$22:$B$48,2,FALSE)&lt;=VLOOKUP(W36,'ELA Reading Logic'!$A$22:$B$48,2,FALSE),VLOOKUP(W36,'ELA Reading Logic'!$A$22:$B$48,2,FALSE),IF(VLOOKUP(V36,'ELA Reading Logic'!$A$22:$B$48,2,FALSE)&gt;=VLOOKUP(X36,'ELA Reading Logic'!$A$22:$B$48,2,FALSE),VLOOKUP(X36,'ELA Reading Logic'!$A$22:$B$48,2,FALSE),"No Score")))),"No Value"))</f>
        <v>No Value</v>
      </c>
      <c r="Z36" s="96" t="str">
        <f>IFERROR(VLOOKUP(V36,'ELA Reading Logic'!$A$22:$B$48,2,FALSE)-VLOOKUP($F36,'ELA Reading Logic'!$A$22:$B$48,2,FALSE),"No Value")</f>
        <v>No Value</v>
      </c>
      <c r="AA36" s="92"/>
      <c r="AB36" s="96" t="str">
        <f>IFERROR(IF($E36="Yes","IPP",VLOOKUP($J36,'ELA Reading Logic'!$A$3:$K$9,VLOOKUP(AA$1,'ELA Reading Logic'!$J$22:$K$31,2,FALSE),FALSE)),"Set Grade")</f>
        <v>Set Grade</v>
      </c>
      <c r="AC36" s="96" t="str">
        <f>IFERROR(IF($E36="Yes","IPP",VLOOKUP($J36,'ELA Reading Logic'!$A$13:$K$19,VLOOKUP(AA$1,'ELA Reading Logic'!$J$22:$K$31,2,FALSE),FALSE)),"Set Grade")</f>
        <v>Set Grade</v>
      </c>
      <c r="AD36" s="96" t="str">
        <f>IF($E36="Yes","IPP",IFERROR(IF(AND(AA36&gt;AB36,AA36&lt;AC36),"0",(VLOOKUP(AA36,'ELA Reading Logic'!$A$22:$B$48,2,FALSE))-(IF(VLOOKUP(AA36,'ELA Reading Logic'!$A$22:$B$48,2,FALSE)&lt;=VLOOKUP(AB36,'ELA Reading Logic'!$A$22:$B$48,2,FALSE),VLOOKUP(AB36,'ELA Reading Logic'!$A$22:$B$48,2,FALSE),IF(VLOOKUP(AA36,'ELA Reading Logic'!$A$22:$B$48,2,FALSE)&gt;=VLOOKUP(AC36,'ELA Reading Logic'!$A$22:$B$48,2,FALSE),VLOOKUP(AC36,'ELA Reading Logic'!$A$22:$B$48,2,FALSE),"No Score")))),"No Value"))</f>
        <v>No Value</v>
      </c>
      <c r="AE36" s="96" t="str">
        <f>IFERROR(VLOOKUP(AA36,'ELA Reading Logic'!$A$22:$B$48,2,FALSE)-VLOOKUP($F36,'ELA Reading Logic'!$A$22:$B$48,2,FALSE),"No Value")</f>
        <v>No Value</v>
      </c>
      <c r="AF36" s="92"/>
      <c r="AG36" s="96" t="str">
        <f>IFERROR(IF($E36="Yes","IPP",VLOOKUP($J36,'ELA Reading Logic'!$A$3:$K$9,VLOOKUP(AF$1,'ELA Reading Logic'!$J$22:$K$31,2,FALSE),FALSE)),"Set Grade")</f>
        <v>Set Grade</v>
      </c>
      <c r="AH36" s="96" t="str">
        <f>IFERROR(IF($E36="Yes","IPP",VLOOKUP($J36,'ELA Reading Logic'!$A$13:$K$19,VLOOKUP(AF$1,'ELA Reading Logic'!$J$22:$K$31,2,FALSE),FALSE)),"Set Grade")</f>
        <v>Set Grade</v>
      </c>
      <c r="AI36" s="96" t="str">
        <f>IF($E36="Yes","IPP",IFERROR(IF(AND(AF36&gt;AG36,AF36&lt;AH36),"0",(VLOOKUP(AF36,'ELA Reading Logic'!$A$22:$B$48,2,FALSE))-(IF(VLOOKUP(AF36,'ELA Reading Logic'!$A$22:$B$48,2,FALSE)&lt;=VLOOKUP(AG36,'ELA Reading Logic'!$A$22:$B$48,2,FALSE),VLOOKUP(AG36,'ELA Reading Logic'!$A$22:$B$48,2,FALSE),IF(VLOOKUP(AF36,'ELA Reading Logic'!$A$22:$B$48,2,FALSE)&gt;=VLOOKUP(AH36,'ELA Reading Logic'!$A$22:$B$48,2,FALSE),VLOOKUP(AH36,'ELA Reading Logic'!$A$22:$B$48,2,FALSE),"No Score")))),"No Value"))</f>
        <v>No Value</v>
      </c>
      <c r="AJ36" s="96" t="str">
        <f>IFERROR(VLOOKUP(AF36,'ELA Reading Logic'!$A$22:$B$48,2,FALSE)-VLOOKUP($F36,'ELA Reading Logic'!$A$22:$B$48,2,FALSE),"No Value")</f>
        <v>No Value</v>
      </c>
      <c r="AK36" s="92"/>
      <c r="AL36" s="96" t="str">
        <f>IFERROR(IF($E36="Yes","IPP",VLOOKUP($J36,'ELA Reading Logic'!$A$3:$K$9,VLOOKUP(AK$1,'ELA Reading Logic'!$J$22:$K$31,2,FALSE),FALSE)),"Set Grade")</f>
        <v>Set Grade</v>
      </c>
      <c r="AM36" s="96" t="str">
        <f>IFERROR(IF($E36="Yes","IPP",VLOOKUP($J36,'ELA Reading Logic'!$A$13:$K$19,VLOOKUP(AK$1,'ELA Reading Logic'!$J$22:$K$31,2,FALSE),FALSE)),"Set Grade")</f>
        <v>Set Grade</v>
      </c>
      <c r="AN36" s="96" t="str">
        <f>IF($E36="Yes","IPP",IFERROR(IF(AND(AK36&gt;AL36,AK36&lt;AM36),"0",(VLOOKUP(AK36,'ELA Reading Logic'!$A$22:$B$48,2,FALSE))-(IF(VLOOKUP(AK36,'ELA Reading Logic'!$A$22:$B$48,2,FALSE)&lt;=VLOOKUP(AL36,'ELA Reading Logic'!$A$22:$B$48,2,FALSE),VLOOKUP(AL36,'ELA Reading Logic'!$A$22:$B$48,2,FALSE),IF(VLOOKUP(AK36,'ELA Reading Logic'!$A$22:$B$48,2,FALSE)&gt;=VLOOKUP(AM36,'ELA Reading Logic'!$A$22:$B$48,2,FALSE),VLOOKUP(AM36,'ELA Reading Logic'!$A$22:$B$48,2,FALSE),"No Score")))),"No Value"))</f>
        <v>No Value</v>
      </c>
      <c r="AO36" s="96" t="str">
        <f>IFERROR(VLOOKUP(AK36,'ELA Reading Logic'!$A$22:$B$48,2,FALSE)-VLOOKUP($F36,'ELA Reading Logic'!$A$22:$B$48,2,FALSE),"No Value")</f>
        <v>No Value</v>
      </c>
      <c r="AP36" s="92"/>
      <c r="AQ36" s="96" t="str">
        <f>IFERROR(IF($E36="Yes","IPP",VLOOKUP($J36,'ELA Reading Logic'!$A$3:$K$9,VLOOKUP(AP$1,'ELA Reading Logic'!$J$22:$K$31,2,FALSE),FALSE)),"Set Grade")</f>
        <v>Set Grade</v>
      </c>
      <c r="AR36" s="96" t="str">
        <f>IFERROR(IF($E36="Yes","IPP",VLOOKUP($J36,'ELA Reading Logic'!$A$13:$K$19,VLOOKUP(AP$1,'ELA Reading Logic'!$J$22:$K$31,2,FALSE),FALSE)),"Set Grade")</f>
        <v>Set Grade</v>
      </c>
      <c r="AS36" s="96" t="str">
        <f>IF($E36="Yes","IPP",IFERROR(IF(AND(AP36&gt;AQ36,AP36&lt;AR36),"0",(VLOOKUP(AP36,'ELA Reading Logic'!$A$22:$B$48,2,FALSE))-(IF(VLOOKUP(AP36,'ELA Reading Logic'!$A$22:$B$48,2,FALSE)&lt;=VLOOKUP(AQ36,'ELA Reading Logic'!$A$22:$B$48,2,FALSE),VLOOKUP(AQ36,'ELA Reading Logic'!$A$22:$B$48,2,FALSE),IF(VLOOKUP(AP36,'ELA Reading Logic'!$A$22:$B$48,2,FALSE)&gt;=VLOOKUP(AR36,'ELA Reading Logic'!$A$22:$B$48,2,FALSE),VLOOKUP(AR36,'ELA Reading Logic'!$A$22:$B$48,2,FALSE),"No Score")))),"No Value"))</f>
        <v>No Value</v>
      </c>
      <c r="AT36" s="96" t="str">
        <f>IFERROR(VLOOKUP(AP36,'ELA Reading Logic'!$A$22:$B$48,2,FALSE)-VLOOKUP($F36,'ELA Reading Logic'!$A$22:$B$48,2,FALSE),"No Value")</f>
        <v>No Value</v>
      </c>
    </row>
    <row r="37" spans="1:46" ht="22.5" customHeight="1" x14ac:dyDescent="0.25">
      <c r="A37" s="176"/>
      <c r="B37" s="176"/>
      <c r="C37" s="176"/>
      <c r="D37" s="176"/>
      <c r="E37" s="175"/>
      <c r="F37" s="175"/>
      <c r="G37" s="177" t="str">
        <f>IFERROR(IF($E37="Yes","IPP",VLOOKUP($J37,'ELA Reading Logic'!$A$3:$K$9,VLOOKUP("September",'ELA Reading Logic'!$J$22:$K$31,2,FALSE),FALSE)),"Set Grade")</f>
        <v>Set Grade</v>
      </c>
      <c r="H37" s="177" t="str">
        <f>IFERROR(IF($E37="Yes","IPP",VLOOKUP($J37,'ELA Reading Logic'!$A$13:$K$19,VLOOKUP("September",'ELA Reading Logic'!$J$22:$K$31,2,FALSE),FALSE)),"Set Grade")</f>
        <v>Set Grade</v>
      </c>
      <c r="I37" s="96" t="str">
        <f>IF($E37="Yes","IPP",IFERROR(IF(AND(F37&gt;G37,F37&lt;H37),"0",(VLOOKUP(F37,'ELA Reading Logic'!$A$22:$B$48,2,FALSE))-(IF(VLOOKUP(F37,'ELA Reading Logic'!$A$22:$B$48,2,FALSE)&lt;=VLOOKUP(G37,'ELA Reading Logic'!$A$22:$B$48,2,FALSE),VLOOKUP(G37,'ELA Reading Logic'!$A$22:$B$48,2,FALSE),IF(VLOOKUP(F37,'ELA Reading Logic'!$A$22:$B$48,2,FALSE)&gt;=VLOOKUP(H37,'ELA Reading Logic'!$A$22:$B$48,2,FALSE),VLOOKUP(H37,'ELA Reading Logic'!$A$22:$B$48,2,FALSE),"No Score")))),"No Value"))</f>
        <v>No Value</v>
      </c>
      <c r="J37" s="178"/>
      <c r="K37" s="96"/>
      <c r="L37" s="96"/>
      <c r="M37" s="96"/>
      <c r="N37" s="96"/>
      <c r="O37" s="96"/>
      <c r="P37" s="105"/>
      <c r="Q37" s="92"/>
      <c r="R37" s="96" t="str">
        <f>IFERROR(IF($E37="Yes","IPP",VLOOKUP($J37,'ELA Reading Logic'!$A$3:$K$9,VLOOKUP(Q$1,'ELA Reading Logic'!$J$22:$K$31,2,FALSE),FALSE)),"Set Grade")</f>
        <v>Set Grade</v>
      </c>
      <c r="S37" s="96" t="str">
        <f>IFERROR(IF($E37="Yes","IPP",VLOOKUP($J37,'ELA Reading Logic'!$A$13:$K$19,VLOOKUP(Q$1,'ELA Reading Logic'!$J$22:$K$31,2,FALSE),FALSE)),"Set Grade")</f>
        <v>Set Grade</v>
      </c>
      <c r="T37" s="96" t="str">
        <f>IF($E37="Yes","IPP",IFERROR(IF(AND(Q37&gt;R37,Q37&lt;S37),"0",(VLOOKUP(Q37,'ELA Reading Logic'!$A$22:$B$48,2,FALSE))-(IF(VLOOKUP(Q37,'ELA Reading Logic'!$A$22:$B$48,2,FALSE)&lt;=VLOOKUP(R37,'ELA Reading Logic'!$A$22:$B$48,2,FALSE),VLOOKUP(R37,'ELA Reading Logic'!$A$22:$B$48,2,FALSE),IF(VLOOKUP(Q37,'ELA Reading Logic'!$A$22:$B$48,2,FALSE)&gt;=VLOOKUP(S37,'ELA Reading Logic'!$A$22:$B$48,2,FALSE),VLOOKUP(S37,'ELA Reading Logic'!$A$22:$B$48,2,FALSE),"No Score")))),"No Value"))</f>
        <v>No Value</v>
      </c>
      <c r="U37" s="96" t="str">
        <f>IFERROR(VLOOKUP(Q37,'ELA Reading Logic'!$A$22:$B$48,2,FALSE)-VLOOKUP($F37,'ELA Reading Logic'!$A$22:$B$48,2,FALSE),"No Value")</f>
        <v>No Value</v>
      </c>
      <c r="V37" s="92"/>
      <c r="W37" s="96" t="str">
        <f>IFERROR(IF($E37="Yes","IPP",VLOOKUP($J37,'ELA Reading Logic'!$A$3:$K$9,VLOOKUP(V$1,'ELA Reading Logic'!$J$22:$K$31,2,FALSE),FALSE)),"Set Grade")</f>
        <v>Set Grade</v>
      </c>
      <c r="X37" s="96" t="str">
        <f>IFERROR(IF($E37="Yes","IPP",VLOOKUP($J37,'ELA Reading Logic'!$A$13:$K$19,VLOOKUP(V$1,'ELA Reading Logic'!$J$22:$K$31,2,FALSE),FALSE)),"Set Grade")</f>
        <v>Set Grade</v>
      </c>
      <c r="Y37" s="96" t="str">
        <f>IF($E37="Yes","IPP",IFERROR(IF(AND(V37&gt;W37,V37&lt;X37),"0",(VLOOKUP(V37,'ELA Reading Logic'!$A$22:$B$48,2,FALSE))-(IF(VLOOKUP(V37,'ELA Reading Logic'!$A$22:$B$48,2,FALSE)&lt;=VLOOKUP(W37,'ELA Reading Logic'!$A$22:$B$48,2,FALSE),VLOOKUP(W37,'ELA Reading Logic'!$A$22:$B$48,2,FALSE),IF(VLOOKUP(V37,'ELA Reading Logic'!$A$22:$B$48,2,FALSE)&gt;=VLOOKUP(X37,'ELA Reading Logic'!$A$22:$B$48,2,FALSE),VLOOKUP(X37,'ELA Reading Logic'!$A$22:$B$48,2,FALSE),"No Score")))),"No Value"))</f>
        <v>No Value</v>
      </c>
      <c r="Z37" s="96" t="str">
        <f>IFERROR(VLOOKUP(V37,'ELA Reading Logic'!$A$22:$B$48,2,FALSE)-VLOOKUP($F37,'ELA Reading Logic'!$A$22:$B$48,2,FALSE),"No Value")</f>
        <v>No Value</v>
      </c>
      <c r="AA37" s="92"/>
      <c r="AB37" s="96" t="str">
        <f>IFERROR(IF($E37="Yes","IPP",VLOOKUP($J37,'ELA Reading Logic'!$A$3:$K$9,VLOOKUP(AA$1,'ELA Reading Logic'!$J$22:$K$31,2,FALSE),FALSE)),"Set Grade")</f>
        <v>Set Grade</v>
      </c>
      <c r="AC37" s="96" t="str">
        <f>IFERROR(IF($E37="Yes","IPP",VLOOKUP($J37,'ELA Reading Logic'!$A$13:$K$19,VLOOKUP(AA$1,'ELA Reading Logic'!$J$22:$K$31,2,FALSE),FALSE)),"Set Grade")</f>
        <v>Set Grade</v>
      </c>
      <c r="AD37" s="96" t="str">
        <f>IF($E37="Yes","IPP",IFERROR(IF(AND(AA37&gt;AB37,AA37&lt;AC37),"0",(VLOOKUP(AA37,'ELA Reading Logic'!$A$22:$B$48,2,FALSE))-(IF(VLOOKUP(AA37,'ELA Reading Logic'!$A$22:$B$48,2,FALSE)&lt;=VLOOKUP(AB37,'ELA Reading Logic'!$A$22:$B$48,2,FALSE),VLOOKUP(AB37,'ELA Reading Logic'!$A$22:$B$48,2,FALSE),IF(VLOOKUP(AA37,'ELA Reading Logic'!$A$22:$B$48,2,FALSE)&gt;=VLOOKUP(AC37,'ELA Reading Logic'!$A$22:$B$48,2,FALSE),VLOOKUP(AC37,'ELA Reading Logic'!$A$22:$B$48,2,FALSE),"No Score")))),"No Value"))</f>
        <v>No Value</v>
      </c>
      <c r="AE37" s="96" t="str">
        <f>IFERROR(VLOOKUP(AA37,'ELA Reading Logic'!$A$22:$B$48,2,FALSE)-VLOOKUP($F37,'ELA Reading Logic'!$A$22:$B$48,2,FALSE),"No Value")</f>
        <v>No Value</v>
      </c>
      <c r="AF37" s="92"/>
      <c r="AG37" s="96" t="str">
        <f>IFERROR(IF($E37="Yes","IPP",VLOOKUP($J37,'ELA Reading Logic'!$A$3:$K$9,VLOOKUP(AF$1,'ELA Reading Logic'!$J$22:$K$31,2,FALSE),FALSE)),"Set Grade")</f>
        <v>Set Grade</v>
      </c>
      <c r="AH37" s="96" t="str">
        <f>IFERROR(IF($E37="Yes","IPP",VLOOKUP($J37,'ELA Reading Logic'!$A$13:$K$19,VLOOKUP(AF$1,'ELA Reading Logic'!$J$22:$K$31,2,FALSE),FALSE)),"Set Grade")</f>
        <v>Set Grade</v>
      </c>
      <c r="AI37" s="96" t="str">
        <f>IF($E37="Yes","IPP",IFERROR(IF(AND(AF37&gt;AG37,AF37&lt;AH37),"0",(VLOOKUP(AF37,'ELA Reading Logic'!$A$22:$B$48,2,FALSE))-(IF(VLOOKUP(AF37,'ELA Reading Logic'!$A$22:$B$48,2,FALSE)&lt;=VLOOKUP(AG37,'ELA Reading Logic'!$A$22:$B$48,2,FALSE),VLOOKUP(AG37,'ELA Reading Logic'!$A$22:$B$48,2,FALSE),IF(VLOOKUP(AF37,'ELA Reading Logic'!$A$22:$B$48,2,FALSE)&gt;=VLOOKUP(AH37,'ELA Reading Logic'!$A$22:$B$48,2,FALSE),VLOOKUP(AH37,'ELA Reading Logic'!$A$22:$B$48,2,FALSE),"No Score")))),"No Value"))</f>
        <v>No Value</v>
      </c>
      <c r="AJ37" s="96" t="str">
        <f>IFERROR(VLOOKUP(AF37,'ELA Reading Logic'!$A$22:$B$48,2,FALSE)-VLOOKUP($F37,'ELA Reading Logic'!$A$22:$B$48,2,FALSE),"No Value")</f>
        <v>No Value</v>
      </c>
      <c r="AK37" s="92"/>
      <c r="AL37" s="96" t="str">
        <f>IFERROR(IF($E37="Yes","IPP",VLOOKUP($J37,'ELA Reading Logic'!$A$3:$K$9,VLOOKUP(AK$1,'ELA Reading Logic'!$J$22:$K$31,2,FALSE),FALSE)),"Set Grade")</f>
        <v>Set Grade</v>
      </c>
      <c r="AM37" s="96" t="str">
        <f>IFERROR(IF($E37="Yes","IPP",VLOOKUP($J37,'ELA Reading Logic'!$A$13:$K$19,VLOOKUP(AK$1,'ELA Reading Logic'!$J$22:$K$31,2,FALSE),FALSE)),"Set Grade")</f>
        <v>Set Grade</v>
      </c>
      <c r="AN37" s="96" t="str">
        <f>IF($E37="Yes","IPP",IFERROR(IF(AND(AK37&gt;AL37,AK37&lt;AM37),"0",(VLOOKUP(AK37,'ELA Reading Logic'!$A$22:$B$48,2,FALSE))-(IF(VLOOKUP(AK37,'ELA Reading Logic'!$A$22:$B$48,2,FALSE)&lt;=VLOOKUP(AL37,'ELA Reading Logic'!$A$22:$B$48,2,FALSE),VLOOKUP(AL37,'ELA Reading Logic'!$A$22:$B$48,2,FALSE),IF(VLOOKUP(AK37,'ELA Reading Logic'!$A$22:$B$48,2,FALSE)&gt;=VLOOKUP(AM37,'ELA Reading Logic'!$A$22:$B$48,2,FALSE),VLOOKUP(AM37,'ELA Reading Logic'!$A$22:$B$48,2,FALSE),"No Score")))),"No Value"))</f>
        <v>No Value</v>
      </c>
      <c r="AO37" s="96" t="str">
        <f>IFERROR(VLOOKUP(AK37,'ELA Reading Logic'!$A$22:$B$48,2,FALSE)-VLOOKUP($F37,'ELA Reading Logic'!$A$22:$B$48,2,FALSE),"No Value")</f>
        <v>No Value</v>
      </c>
      <c r="AP37" s="92"/>
      <c r="AQ37" s="96" t="str">
        <f>IFERROR(IF($E37="Yes","IPP",VLOOKUP($J37,'ELA Reading Logic'!$A$3:$K$9,VLOOKUP(AP$1,'ELA Reading Logic'!$J$22:$K$31,2,FALSE),FALSE)),"Set Grade")</f>
        <v>Set Grade</v>
      </c>
      <c r="AR37" s="96" t="str">
        <f>IFERROR(IF($E37="Yes","IPP",VLOOKUP($J37,'ELA Reading Logic'!$A$13:$K$19,VLOOKUP(AP$1,'ELA Reading Logic'!$J$22:$K$31,2,FALSE),FALSE)),"Set Grade")</f>
        <v>Set Grade</v>
      </c>
      <c r="AS37" s="96" t="str">
        <f>IF($E37="Yes","IPP",IFERROR(IF(AND(AP37&gt;AQ37,AP37&lt;AR37),"0",(VLOOKUP(AP37,'ELA Reading Logic'!$A$22:$B$48,2,FALSE))-(IF(VLOOKUP(AP37,'ELA Reading Logic'!$A$22:$B$48,2,FALSE)&lt;=VLOOKUP(AQ37,'ELA Reading Logic'!$A$22:$B$48,2,FALSE),VLOOKUP(AQ37,'ELA Reading Logic'!$A$22:$B$48,2,FALSE),IF(VLOOKUP(AP37,'ELA Reading Logic'!$A$22:$B$48,2,FALSE)&gt;=VLOOKUP(AR37,'ELA Reading Logic'!$A$22:$B$48,2,FALSE),VLOOKUP(AR37,'ELA Reading Logic'!$A$22:$B$48,2,FALSE),"No Score")))),"No Value"))</f>
        <v>No Value</v>
      </c>
      <c r="AT37" s="96" t="str">
        <f>IFERROR(VLOOKUP(AP37,'ELA Reading Logic'!$A$22:$B$48,2,FALSE)-VLOOKUP($F37,'ELA Reading Logic'!$A$22:$B$48,2,FALSE),"No Value")</f>
        <v>No Value</v>
      </c>
    </row>
    <row r="38" spans="1:46" ht="22.5" customHeight="1" x14ac:dyDescent="0.25">
      <c r="A38" s="174"/>
      <c r="B38" s="174"/>
      <c r="C38" s="174"/>
      <c r="D38" s="174"/>
      <c r="E38" s="175"/>
      <c r="F38" s="175"/>
      <c r="G38" s="177" t="str">
        <f>IFERROR(IF($E38="Yes","IPP",VLOOKUP($J38,'ELA Reading Logic'!$A$3:$K$9,VLOOKUP("September",'ELA Reading Logic'!$J$22:$K$31,2,FALSE),FALSE)),"Set Grade")</f>
        <v>Set Grade</v>
      </c>
      <c r="H38" s="177" t="str">
        <f>IFERROR(IF($E38="Yes","IPP",VLOOKUP($J38,'ELA Reading Logic'!$A$13:$K$19,VLOOKUP("September",'ELA Reading Logic'!$J$22:$K$31,2,FALSE),FALSE)),"Set Grade")</f>
        <v>Set Grade</v>
      </c>
      <c r="I38" s="96" t="str">
        <f>IF($E38="Yes","IPP",IFERROR(IF(AND(F38&gt;G38,F38&lt;H38),"0",(VLOOKUP(F38,'ELA Reading Logic'!$A$22:$B$48,2,FALSE))-(IF(VLOOKUP(F38,'ELA Reading Logic'!$A$22:$B$48,2,FALSE)&lt;=VLOOKUP(G38,'ELA Reading Logic'!$A$22:$B$48,2,FALSE),VLOOKUP(G38,'ELA Reading Logic'!$A$22:$B$48,2,FALSE),IF(VLOOKUP(F38,'ELA Reading Logic'!$A$22:$B$48,2,FALSE)&gt;=VLOOKUP(H38,'ELA Reading Logic'!$A$22:$B$48,2,FALSE),VLOOKUP(H38,'ELA Reading Logic'!$A$22:$B$48,2,FALSE),"No Score")))),"No Value"))</f>
        <v>No Value</v>
      </c>
      <c r="J38" s="178"/>
      <c r="K38" s="96"/>
      <c r="L38" s="96"/>
      <c r="M38" s="96"/>
      <c r="N38" s="96"/>
      <c r="O38" s="96"/>
      <c r="P38" s="105"/>
      <c r="Q38" s="92"/>
      <c r="R38" s="96" t="str">
        <f>IFERROR(IF($E38="Yes","IPP",VLOOKUP($J38,'ELA Reading Logic'!$A$3:$K$9,VLOOKUP(Q$1,'ELA Reading Logic'!$J$22:$K$31,2,FALSE),FALSE)),"Set Grade")</f>
        <v>Set Grade</v>
      </c>
      <c r="S38" s="96" t="str">
        <f>IFERROR(IF($E38="Yes","IPP",VLOOKUP($J38,'ELA Reading Logic'!$A$13:$K$19,VLOOKUP(Q$1,'ELA Reading Logic'!$J$22:$K$31,2,FALSE),FALSE)),"Set Grade")</f>
        <v>Set Grade</v>
      </c>
      <c r="T38" s="96" t="str">
        <f>IF($E38="Yes","IPP",IFERROR(IF(AND(Q38&gt;R38,Q38&lt;S38),"0",(VLOOKUP(Q38,'ELA Reading Logic'!$A$22:$B$48,2,FALSE))-(IF(VLOOKUP(Q38,'ELA Reading Logic'!$A$22:$B$48,2,FALSE)&lt;=VLOOKUP(R38,'ELA Reading Logic'!$A$22:$B$48,2,FALSE),VLOOKUP(R38,'ELA Reading Logic'!$A$22:$B$48,2,FALSE),IF(VLOOKUP(Q38,'ELA Reading Logic'!$A$22:$B$48,2,FALSE)&gt;=VLOOKUP(S38,'ELA Reading Logic'!$A$22:$B$48,2,FALSE),VLOOKUP(S38,'ELA Reading Logic'!$A$22:$B$48,2,FALSE),"No Score")))),"No Value"))</f>
        <v>No Value</v>
      </c>
      <c r="U38" s="96" t="str">
        <f>IFERROR(VLOOKUP(Q38,'ELA Reading Logic'!$A$22:$B$48,2,FALSE)-VLOOKUP($F38,'ELA Reading Logic'!$A$22:$B$48,2,FALSE),"No Value")</f>
        <v>No Value</v>
      </c>
      <c r="V38" s="92"/>
      <c r="W38" s="96" t="str">
        <f>IFERROR(IF($E38="Yes","IPP",VLOOKUP($J38,'ELA Reading Logic'!$A$3:$K$9,VLOOKUP(V$1,'ELA Reading Logic'!$J$22:$K$31,2,FALSE),FALSE)),"Set Grade")</f>
        <v>Set Grade</v>
      </c>
      <c r="X38" s="96" t="str">
        <f>IFERROR(IF($E38="Yes","IPP",VLOOKUP($J38,'ELA Reading Logic'!$A$13:$K$19,VLOOKUP(V$1,'ELA Reading Logic'!$J$22:$K$31,2,FALSE),FALSE)),"Set Grade")</f>
        <v>Set Grade</v>
      </c>
      <c r="Y38" s="96" t="str">
        <f>IF($E38="Yes","IPP",IFERROR(IF(AND(V38&gt;W38,V38&lt;X38),"0",(VLOOKUP(V38,'ELA Reading Logic'!$A$22:$B$48,2,FALSE))-(IF(VLOOKUP(V38,'ELA Reading Logic'!$A$22:$B$48,2,FALSE)&lt;=VLOOKUP(W38,'ELA Reading Logic'!$A$22:$B$48,2,FALSE),VLOOKUP(W38,'ELA Reading Logic'!$A$22:$B$48,2,FALSE),IF(VLOOKUP(V38,'ELA Reading Logic'!$A$22:$B$48,2,FALSE)&gt;=VLOOKUP(X38,'ELA Reading Logic'!$A$22:$B$48,2,FALSE),VLOOKUP(X38,'ELA Reading Logic'!$A$22:$B$48,2,FALSE),"No Score")))),"No Value"))</f>
        <v>No Value</v>
      </c>
      <c r="Z38" s="96" t="str">
        <f>IFERROR(VLOOKUP(V38,'ELA Reading Logic'!$A$22:$B$48,2,FALSE)-VLOOKUP($F38,'ELA Reading Logic'!$A$22:$B$48,2,FALSE),"No Value")</f>
        <v>No Value</v>
      </c>
      <c r="AA38" s="92"/>
      <c r="AB38" s="96" t="str">
        <f>IFERROR(IF($E38="Yes","IPP",VLOOKUP($J38,'ELA Reading Logic'!$A$3:$K$9,VLOOKUP(AA$1,'ELA Reading Logic'!$J$22:$K$31,2,FALSE),FALSE)),"Set Grade")</f>
        <v>Set Grade</v>
      </c>
      <c r="AC38" s="96" t="str">
        <f>IFERROR(IF($E38="Yes","IPP",VLOOKUP($J38,'ELA Reading Logic'!$A$13:$K$19,VLOOKUP(AA$1,'ELA Reading Logic'!$J$22:$K$31,2,FALSE),FALSE)),"Set Grade")</f>
        <v>Set Grade</v>
      </c>
      <c r="AD38" s="96" t="str">
        <f>IF($E38="Yes","IPP",IFERROR(IF(AND(AA38&gt;AB38,AA38&lt;AC38),"0",(VLOOKUP(AA38,'ELA Reading Logic'!$A$22:$B$48,2,FALSE))-(IF(VLOOKUP(AA38,'ELA Reading Logic'!$A$22:$B$48,2,FALSE)&lt;=VLOOKUP(AB38,'ELA Reading Logic'!$A$22:$B$48,2,FALSE),VLOOKUP(AB38,'ELA Reading Logic'!$A$22:$B$48,2,FALSE),IF(VLOOKUP(AA38,'ELA Reading Logic'!$A$22:$B$48,2,FALSE)&gt;=VLOOKUP(AC38,'ELA Reading Logic'!$A$22:$B$48,2,FALSE),VLOOKUP(AC38,'ELA Reading Logic'!$A$22:$B$48,2,FALSE),"No Score")))),"No Value"))</f>
        <v>No Value</v>
      </c>
      <c r="AE38" s="96" t="str">
        <f>IFERROR(VLOOKUP(AA38,'ELA Reading Logic'!$A$22:$B$48,2,FALSE)-VLOOKUP($F38,'ELA Reading Logic'!$A$22:$B$48,2,FALSE),"No Value")</f>
        <v>No Value</v>
      </c>
      <c r="AF38" s="92"/>
      <c r="AG38" s="96" t="str">
        <f>IFERROR(IF($E38="Yes","IPP",VLOOKUP($J38,'ELA Reading Logic'!$A$3:$K$9,VLOOKUP(AF$1,'ELA Reading Logic'!$J$22:$K$31,2,FALSE),FALSE)),"Set Grade")</f>
        <v>Set Grade</v>
      </c>
      <c r="AH38" s="96" t="str">
        <f>IFERROR(IF($E38="Yes","IPP",VLOOKUP($J38,'ELA Reading Logic'!$A$13:$K$19,VLOOKUP(AF$1,'ELA Reading Logic'!$J$22:$K$31,2,FALSE),FALSE)),"Set Grade")</f>
        <v>Set Grade</v>
      </c>
      <c r="AI38" s="96" t="str">
        <f>IF($E38="Yes","IPP",IFERROR(IF(AND(AF38&gt;AG38,AF38&lt;AH38),"0",(VLOOKUP(AF38,'ELA Reading Logic'!$A$22:$B$48,2,FALSE))-(IF(VLOOKUP(AF38,'ELA Reading Logic'!$A$22:$B$48,2,FALSE)&lt;=VLOOKUP(AG38,'ELA Reading Logic'!$A$22:$B$48,2,FALSE),VLOOKUP(AG38,'ELA Reading Logic'!$A$22:$B$48,2,FALSE),IF(VLOOKUP(AF38,'ELA Reading Logic'!$A$22:$B$48,2,FALSE)&gt;=VLOOKUP(AH38,'ELA Reading Logic'!$A$22:$B$48,2,FALSE),VLOOKUP(AH38,'ELA Reading Logic'!$A$22:$B$48,2,FALSE),"No Score")))),"No Value"))</f>
        <v>No Value</v>
      </c>
      <c r="AJ38" s="96" t="str">
        <f>IFERROR(VLOOKUP(AF38,'ELA Reading Logic'!$A$22:$B$48,2,FALSE)-VLOOKUP($F38,'ELA Reading Logic'!$A$22:$B$48,2,FALSE),"No Value")</f>
        <v>No Value</v>
      </c>
      <c r="AK38" s="92"/>
      <c r="AL38" s="96" t="str">
        <f>IFERROR(IF($E38="Yes","IPP",VLOOKUP($J38,'ELA Reading Logic'!$A$3:$K$9,VLOOKUP(AK$1,'ELA Reading Logic'!$J$22:$K$31,2,FALSE),FALSE)),"Set Grade")</f>
        <v>Set Grade</v>
      </c>
      <c r="AM38" s="96" t="str">
        <f>IFERROR(IF($E38="Yes","IPP",VLOOKUP($J38,'ELA Reading Logic'!$A$13:$K$19,VLOOKUP(AK$1,'ELA Reading Logic'!$J$22:$K$31,2,FALSE),FALSE)),"Set Grade")</f>
        <v>Set Grade</v>
      </c>
      <c r="AN38" s="96" t="str">
        <f>IF($E38="Yes","IPP",IFERROR(IF(AND(AK38&gt;AL38,AK38&lt;AM38),"0",(VLOOKUP(AK38,'ELA Reading Logic'!$A$22:$B$48,2,FALSE))-(IF(VLOOKUP(AK38,'ELA Reading Logic'!$A$22:$B$48,2,FALSE)&lt;=VLOOKUP(AL38,'ELA Reading Logic'!$A$22:$B$48,2,FALSE),VLOOKUP(AL38,'ELA Reading Logic'!$A$22:$B$48,2,FALSE),IF(VLOOKUP(AK38,'ELA Reading Logic'!$A$22:$B$48,2,FALSE)&gt;=VLOOKUP(AM38,'ELA Reading Logic'!$A$22:$B$48,2,FALSE),VLOOKUP(AM38,'ELA Reading Logic'!$A$22:$B$48,2,FALSE),"No Score")))),"No Value"))</f>
        <v>No Value</v>
      </c>
      <c r="AO38" s="96" t="str">
        <f>IFERROR(VLOOKUP(AK38,'ELA Reading Logic'!$A$22:$B$48,2,FALSE)-VLOOKUP($F38,'ELA Reading Logic'!$A$22:$B$48,2,FALSE),"No Value")</f>
        <v>No Value</v>
      </c>
      <c r="AP38" s="92"/>
      <c r="AQ38" s="96" t="str">
        <f>IFERROR(IF($E38="Yes","IPP",VLOOKUP($J38,'ELA Reading Logic'!$A$3:$K$9,VLOOKUP(AP$1,'ELA Reading Logic'!$J$22:$K$31,2,FALSE),FALSE)),"Set Grade")</f>
        <v>Set Grade</v>
      </c>
      <c r="AR38" s="96" t="str">
        <f>IFERROR(IF($E38="Yes","IPP",VLOOKUP($J38,'ELA Reading Logic'!$A$13:$K$19,VLOOKUP(AP$1,'ELA Reading Logic'!$J$22:$K$31,2,FALSE),FALSE)),"Set Grade")</f>
        <v>Set Grade</v>
      </c>
      <c r="AS38" s="96" t="str">
        <f>IF($E38="Yes","IPP",IFERROR(IF(AND(AP38&gt;AQ38,AP38&lt;AR38),"0",(VLOOKUP(AP38,'ELA Reading Logic'!$A$22:$B$48,2,FALSE))-(IF(VLOOKUP(AP38,'ELA Reading Logic'!$A$22:$B$48,2,FALSE)&lt;=VLOOKUP(AQ38,'ELA Reading Logic'!$A$22:$B$48,2,FALSE),VLOOKUP(AQ38,'ELA Reading Logic'!$A$22:$B$48,2,FALSE),IF(VLOOKUP(AP38,'ELA Reading Logic'!$A$22:$B$48,2,FALSE)&gt;=VLOOKUP(AR38,'ELA Reading Logic'!$A$22:$B$48,2,FALSE),VLOOKUP(AR38,'ELA Reading Logic'!$A$22:$B$48,2,FALSE),"No Score")))),"No Value"))</f>
        <v>No Value</v>
      </c>
      <c r="AT38" s="96" t="str">
        <f>IFERROR(VLOOKUP(AP38,'ELA Reading Logic'!$A$22:$B$48,2,FALSE)-VLOOKUP($F38,'ELA Reading Logic'!$A$22:$B$48,2,FALSE),"No Value")</f>
        <v>No Value</v>
      </c>
    </row>
    <row r="39" spans="1:46" ht="22.5" customHeight="1" x14ac:dyDescent="0.25">
      <c r="A39" s="176"/>
      <c r="B39" s="176"/>
      <c r="C39" s="176"/>
      <c r="D39" s="176"/>
      <c r="E39" s="175"/>
      <c r="F39" s="175"/>
      <c r="G39" s="177" t="str">
        <f>IFERROR(IF($E39="Yes","IPP",VLOOKUP($J39,'ELA Reading Logic'!$A$3:$K$9,VLOOKUP("September",'ELA Reading Logic'!$J$22:$K$31,2,FALSE),FALSE)),"Set Grade")</f>
        <v>Set Grade</v>
      </c>
      <c r="H39" s="177" t="str">
        <f>IFERROR(IF($E39="Yes","IPP",VLOOKUP($J39,'ELA Reading Logic'!$A$13:$K$19,VLOOKUP("September",'ELA Reading Logic'!$J$22:$K$31,2,FALSE),FALSE)),"Set Grade")</f>
        <v>Set Grade</v>
      </c>
      <c r="I39" s="96" t="str">
        <f>IF($E39="Yes","IPP",IFERROR(IF(AND(F39&gt;G39,F39&lt;H39),"0",(VLOOKUP(F39,'ELA Reading Logic'!$A$22:$B$48,2,FALSE))-(IF(VLOOKUP(F39,'ELA Reading Logic'!$A$22:$B$48,2,FALSE)&lt;=VLOOKUP(G39,'ELA Reading Logic'!$A$22:$B$48,2,FALSE),VLOOKUP(G39,'ELA Reading Logic'!$A$22:$B$48,2,FALSE),IF(VLOOKUP(F39,'ELA Reading Logic'!$A$22:$B$48,2,FALSE)&gt;=VLOOKUP(H39,'ELA Reading Logic'!$A$22:$B$48,2,FALSE),VLOOKUP(H39,'ELA Reading Logic'!$A$22:$B$48,2,FALSE),"No Score")))),"No Value"))</f>
        <v>No Value</v>
      </c>
      <c r="J39" s="178"/>
      <c r="K39" s="96"/>
      <c r="L39" s="96"/>
      <c r="M39" s="96"/>
      <c r="N39" s="96"/>
      <c r="O39" s="96"/>
      <c r="P39" s="105"/>
      <c r="Q39" s="92"/>
      <c r="R39" s="96" t="str">
        <f>IFERROR(IF($E39="Yes","IPP",VLOOKUP($J39,'ELA Reading Logic'!$A$3:$K$9,VLOOKUP(Q$1,'ELA Reading Logic'!$J$22:$K$31,2,FALSE),FALSE)),"Set Grade")</f>
        <v>Set Grade</v>
      </c>
      <c r="S39" s="96" t="str">
        <f>IFERROR(IF($E39="Yes","IPP",VLOOKUP($J39,'ELA Reading Logic'!$A$13:$K$19,VLOOKUP(Q$1,'ELA Reading Logic'!$J$22:$K$31,2,FALSE),FALSE)),"Set Grade")</f>
        <v>Set Grade</v>
      </c>
      <c r="T39" s="96" t="str">
        <f>IF($E39="Yes","IPP",IFERROR(IF(AND(Q39&gt;R39,Q39&lt;S39),"0",(VLOOKUP(Q39,'ELA Reading Logic'!$A$22:$B$48,2,FALSE))-(IF(VLOOKUP(Q39,'ELA Reading Logic'!$A$22:$B$48,2,FALSE)&lt;=VLOOKUP(R39,'ELA Reading Logic'!$A$22:$B$48,2,FALSE),VLOOKUP(R39,'ELA Reading Logic'!$A$22:$B$48,2,FALSE),IF(VLOOKUP(Q39,'ELA Reading Logic'!$A$22:$B$48,2,FALSE)&gt;=VLOOKUP(S39,'ELA Reading Logic'!$A$22:$B$48,2,FALSE),VLOOKUP(S39,'ELA Reading Logic'!$A$22:$B$48,2,FALSE),"No Score")))),"No Value"))</f>
        <v>No Value</v>
      </c>
      <c r="U39" s="96" t="str">
        <f>IFERROR(VLOOKUP(Q39,'ELA Reading Logic'!$A$22:$B$48,2,FALSE)-VLOOKUP($F39,'ELA Reading Logic'!$A$22:$B$48,2,FALSE),"No Value")</f>
        <v>No Value</v>
      </c>
      <c r="V39" s="92"/>
      <c r="W39" s="96" t="str">
        <f>IFERROR(IF($E39="Yes","IPP",VLOOKUP($J39,'ELA Reading Logic'!$A$3:$K$9,VLOOKUP(V$1,'ELA Reading Logic'!$J$22:$K$31,2,FALSE),FALSE)),"Set Grade")</f>
        <v>Set Grade</v>
      </c>
      <c r="X39" s="96" t="str">
        <f>IFERROR(IF($E39="Yes","IPP",VLOOKUP($J39,'ELA Reading Logic'!$A$13:$K$19,VLOOKUP(V$1,'ELA Reading Logic'!$J$22:$K$31,2,FALSE),FALSE)),"Set Grade")</f>
        <v>Set Grade</v>
      </c>
      <c r="Y39" s="96" t="str">
        <f>IF($E39="Yes","IPP",IFERROR(IF(AND(V39&gt;W39,V39&lt;X39),"0",(VLOOKUP(V39,'ELA Reading Logic'!$A$22:$B$48,2,FALSE))-(IF(VLOOKUP(V39,'ELA Reading Logic'!$A$22:$B$48,2,FALSE)&lt;=VLOOKUP(W39,'ELA Reading Logic'!$A$22:$B$48,2,FALSE),VLOOKUP(W39,'ELA Reading Logic'!$A$22:$B$48,2,FALSE),IF(VLOOKUP(V39,'ELA Reading Logic'!$A$22:$B$48,2,FALSE)&gt;=VLOOKUP(X39,'ELA Reading Logic'!$A$22:$B$48,2,FALSE),VLOOKUP(X39,'ELA Reading Logic'!$A$22:$B$48,2,FALSE),"No Score")))),"No Value"))</f>
        <v>No Value</v>
      </c>
      <c r="Z39" s="96" t="str">
        <f>IFERROR(VLOOKUP(V39,'ELA Reading Logic'!$A$22:$B$48,2,FALSE)-VLOOKUP($F39,'ELA Reading Logic'!$A$22:$B$48,2,FALSE),"No Value")</f>
        <v>No Value</v>
      </c>
      <c r="AA39" s="92"/>
      <c r="AB39" s="96" t="str">
        <f>IFERROR(IF($E39="Yes","IPP",VLOOKUP($J39,'ELA Reading Logic'!$A$3:$K$9,VLOOKUP(AA$1,'ELA Reading Logic'!$J$22:$K$31,2,FALSE),FALSE)),"Set Grade")</f>
        <v>Set Grade</v>
      </c>
      <c r="AC39" s="96" t="str">
        <f>IFERROR(IF($E39="Yes","IPP",VLOOKUP($J39,'ELA Reading Logic'!$A$13:$K$19,VLOOKUP(AA$1,'ELA Reading Logic'!$J$22:$K$31,2,FALSE),FALSE)),"Set Grade")</f>
        <v>Set Grade</v>
      </c>
      <c r="AD39" s="96" t="str">
        <f>IF($E39="Yes","IPP",IFERROR(IF(AND(AA39&gt;AB39,AA39&lt;AC39),"0",(VLOOKUP(AA39,'ELA Reading Logic'!$A$22:$B$48,2,FALSE))-(IF(VLOOKUP(AA39,'ELA Reading Logic'!$A$22:$B$48,2,FALSE)&lt;=VLOOKUP(AB39,'ELA Reading Logic'!$A$22:$B$48,2,FALSE),VLOOKUP(AB39,'ELA Reading Logic'!$A$22:$B$48,2,FALSE),IF(VLOOKUP(AA39,'ELA Reading Logic'!$A$22:$B$48,2,FALSE)&gt;=VLOOKUP(AC39,'ELA Reading Logic'!$A$22:$B$48,2,FALSE),VLOOKUP(AC39,'ELA Reading Logic'!$A$22:$B$48,2,FALSE),"No Score")))),"No Value"))</f>
        <v>No Value</v>
      </c>
      <c r="AE39" s="96" t="str">
        <f>IFERROR(VLOOKUP(AA39,'ELA Reading Logic'!$A$22:$B$48,2,FALSE)-VLOOKUP($F39,'ELA Reading Logic'!$A$22:$B$48,2,FALSE),"No Value")</f>
        <v>No Value</v>
      </c>
      <c r="AF39" s="92"/>
      <c r="AG39" s="96" t="str">
        <f>IFERROR(IF($E39="Yes","IPP",VLOOKUP($J39,'ELA Reading Logic'!$A$3:$K$9,VLOOKUP(AF$1,'ELA Reading Logic'!$J$22:$K$31,2,FALSE),FALSE)),"Set Grade")</f>
        <v>Set Grade</v>
      </c>
      <c r="AH39" s="96" t="str">
        <f>IFERROR(IF($E39="Yes","IPP",VLOOKUP($J39,'ELA Reading Logic'!$A$13:$K$19,VLOOKUP(AF$1,'ELA Reading Logic'!$J$22:$K$31,2,FALSE),FALSE)),"Set Grade")</f>
        <v>Set Grade</v>
      </c>
      <c r="AI39" s="96" t="str">
        <f>IF($E39="Yes","IPP",IFERROR(IF(AND(AF39&gt;AG39,AF39&lt;AH39),"0",(VLOOKUP(AF39,'ELA Reading Logic'!$A$22:$B$48,2,FALSE))-(IF(VLOOKUP(AF39,'ELA Reading Logic'!$A$22:$B$48,2,FALSE)&lt;=VLOOKUP(AG39,'ELA Reading Logic'!$A$22:$B$48,2,FALSE),VLOOKUP(AG39,'ELA Reading Logic'!$A$22:$B$48,2,FALSE),IF(VLOOKUP(AF39,'ELA Reading Logic'!$A$22:$B$48,2,FALSE)&gt;=VLOOKUP(AH39,'ELA Reading Logic'!$A$22:$B$48,2,FALSE),VLOOKUP(AH39,'ELA Reading Logic'!$A$22:$B$48,2,FALSE),"No Score")))),"No Value"))</f>
        <v>No Value</v>
      </c>
      <c r="AJ39" s="96" t="str">
        <f>IFERROR(VLOOKUP(AF39,'ELA Reading Logic'!$A$22:$B$48,2,FALSE)-VLOOKUP($F39,'ELA Reading Logic'!$A$22:$B$48,2,FALSE),"No Value")</f>
        <v>No Value</v>
      </c>
      <c r="AK39" s="92"/>
      <c r="AL39" s="96" t="str">
        <f>IFERROR(IF($E39="Yes","IPP",VLOOKUP($J39,'ELA Reading Logic'!$A$3:$K$9,VLOOKUP(AK$1,'ELA Reading Logic'!$J$22:$K$31,2,FALSE),FALSE)),"Set Grade")</f>
        <v>Set Grade</v>
      </c>
      <c r="AM39" s="96" t="str">
        <f>IFERROR(IF($E39="Yes","IPP",VLOOKUP($J39,'ELA Reading Logic'!$A$13:$K$19,VLOOKUP(AK$1,'ELA Reading Logic'!$J$22:$K$31,2,FALSE),FALSE)),"Set Grade")</f>
        <v>Set Grade</v>
      </c>
      <c r="AN39" s="96" t="str">
        <f>IF($E39="Yes","IPP",IFERROR(IF(AND(AK39&gt;AL39,AK39&lt;AM39),"0",(VLOOKUP(AK39,'ELA Reading Logic'!$A$22:$B$48,2,FALSE))-(IF(VLOOKUP(AK39,'ELA Reading Logic'!$A$22:$B$48,2,FALSE)&lt;=VLOOKUP(AL39,'ELA Reading Logic'!$A$22:$B$48,2,FALSE),VLOOKUP(AL39,'ELA Reading Logic'!$A$22:$B$48,2,FALSE),IF(VLOOKUP(AK39,'ELA Reading Logic'!$A$22:$B$48,2,FALSE)&gt;=VLOOKUP(AM39,'ELA Reading Logic'!$A$22:$B$48,2,FALSE),VLOOKUP(AM39,'ELA Reading Logic'!$A$22:$B$48,2,FALSE),"No Score")))),"No Value"))</f>
        <v>No Value</v>
      </c>
      <c r="AO39" s="96" t="str">
        <f>IFERROR(VLOOKUP(AK39,'ELA Reading Logic'!$A$22:$B$48,2,FALSE)-VLOOKUP($F39,'ELA Reading Logic'!$A$22:$B$48,2,FALSE),"No Value")</f>
        <v>No Value</v>
      </c>
      <c r="AP39" s="92"/>
      <c r="AQ39" s="96" t="str">
        <f>IFERROR(IF($E39="Yes","IPP",VLOOKUP($J39,'ELA Reading Logic'!$A$3:$K$9,VLOOKUP(AP$1,'ELA Reading Logic'!$J$22:$K$31,2,FALSE),FALSE)),"Set Grade")</f>
        <v>Set Grade</v>
      </c>
      <c r="AR39" s="96" t="str">
        <f>IFERROR(IF($E39="Yes","IPP",VLOOKUP($J39,'ELA Reading Logic'!$A$13:$K$19,VLOOKUP(AP$1,'ELA Reading Logic'!$J$22:$K$31,2,FALSE),FALSE)),"Set Grade")</f>
        <v>Set Grade</v>
      </c>
      <c r="AS39" s="96" t="str">
        <f>IF($E39="Yes","IPP",IFERROR(IF(AND(AP39&gt;AQ39,AP39&lt;AR39),"0",(VLOOKUP(AP39,'ELA Reading Logic'!$A$22:$B$48,2,FALSE))-(IF(VLOOKUP(AP39,'ELA Reading Logic'!$A$22:$B$48,2,FALSE)&lt;=VLOOKUP(AQ39,'ELA Reading Logic'!$A$22:$B$48,2,FALSE),VLOOKUP(AQ39,'ELA Reading Logic'!$A$22:$B$48,2,FALSE),IF(VLOOKUP(AP39,'ELA Reading Logic'!$A$22:$B$48,2,FALSE)&gt;=VLOOKUP(AR39,'ELA Reading Logic'!$A$22:$B$48,2,FALSE),VLOOKUP(AR39,'ELA Reading Logic'!$A$22:$B$48,2,FALSE),"No Score")))),"No Value"))</f>
        <v>No Value</v>
      </c>
      <c r="AT39" s="96" t="str">
        <f>IFERROR(VLOOKUP(AP39,'ELA Reading Logic'!$A$22:$B$48,2,FALSE)-VLOOKUP($F39,'ELA Reading Logic'!$A$22:$B$48,2,FALSE),"No Value")</f>
        <v>No Value</v>
      </c>
    </row>
    <row r="40" spans="1:46" ht="22.5" customHeight="1" x14ac:dyDescent="0.25">
      <c r="A40" s="174"/>
      <c r="B40" s="174"/>
      <c r="C40" s="174"/>
      <c r="D40" s="174"/>
      <c r="E40" s="175"/>
      <c r="F40" s="175"/>
      <c r="G40" s="177" t="str">
        <f>IFERROR(IF($E40="Yes","IPP",VLOOKUP($J40,'ELA Reading Logic'!$A$3:$K$9,VLOOKUP("September",'ELA Reading Logic'!$J$22:$K$31,2,FALSE),FALSE)),"Set Grade")</f>
        <v>Set Grade</v>
      </c>
      <c r="H40" s="177" t="str">
        <f>IFERROR(IF($E40="Yes","IPP",VLOOKUP($J40,'ELA Reading Logic'!$A$13:$K$19,VLOOKUP("September",'ELA Reading Logic'!$J$22:$K$31,2,FALSE),FALSE)),"Set Grade")</f>
        <v>Set Grade</v>
      </c>
      <c r="I40" s="96" t="str">
        <f>IF($E40="Yes","IPP",IFERROR(IF(AND(F40&gt;G40,F40&lt;H40),"0",(VLOOKUP(F40,'ELA Reading Logic'!$A$22:$B$48,2,FALSE))-(IF(VLOOKUP(F40,'ELA Reading Logic'!$A$22:$B$48,2,FALSE)&lt;=VLOOKUP(G40,'ELA Reading Logic'!$A$22:$B$48,2,FALSE),VLOOKUP(G40,'ELA Reading Logic'!$A$22:$B$48,2,FALSE),IF(VLOOKUP(F40,'ELA Reading Logic'!$A$22:$B$48,2,FALSE)&gt;=VLOOKUP(H40,'ELA Reading Logic'!$A$22:$B$48,2,FALSE),VLOOKUP(H40,'ELA Reading Logic'!$A$22:$B$48,2,FALSE),"No Score")))),"No Value"))</f>
        <v>No Value</v>
      </c>
      <c r="J40" s="178"/>
      <c r="K40" s="96"/>
      <c r="L40" s="96"/>
      <c r="M40" s="96"/>
      <c r="N40" s="96"/>
      <c r="O40" s="96"/>
      <c r="P40" s="105"/>
      <c r="Q40" s="92"/>
      <c r="R40" s="96" t="str">
        <f>IFERROR(IF($E40="Yes","IPP",VLOOKUP($J40,'ELA Reading Logic'!$A$3:$K$9,VLOOKUP(Q$1,'ELA Reading Logic'!$J$22:$K$31,2,FALSE),FALSE)),"Set Grade")</f>
        <v>Set Grade</v>
      </c>
      <c r="S40" s="96" t="str">
        <f>IFERROR(IF($E40="Yes","IPP",VLOOKUP($J40,'ELA Reading Logic'!$A$13:$K$19,VLOOKUP(Q$1,'ELA Reading Logic'!$J$22:$K$31,2,FALSE),FALSE)),"Set Grade")</f>
        <v>Set Grade</v>
      </c>
      <c r="T40" s="96" t="str">
        <f>IF($E40="Yes","IPP",IFERROR(IF(AND(Q40&gt;R40,Q40&lt;S40),"0",(VLOOKUP(Q40,'ELA Reading Logic'!$A$22:$B$48,2,FALSE))-(IF(VLOOKUP(Q40,'ELA Reading Logic'!$A$22:$B$48,2,FALSE)&lt;=VLOOKUP(R40,'ELA Reading Logic'!$A$22:$B$48,2,FALSE),VLOOKUP(R40,'ELA Reading Logic'!$A$22:$B$48,2,FALSE),IF(VLOOKUP(Q40,'ELA Reading Logic'!$A$22:$B$48,2,FALSE)&gt;=VLOOKUP(S40,'ELA Reading Logic'!$A$22:$B$48,2,FALSE),VLOOKUP(S40,'ELA Reading Logic'!$A$22:$B$48,2,FALSE),"No Score")))),"No Value"))</f>
        <v>No Value</v>
      </c>
      <c r="U40" s="96" t="str">
        <f>IFERROR(VLOOKUP(Q40,'ELA Reading Logic'!$A$22:$B$48,2,FALSE)-VLOOKUP($F40,'ELA Reading Logic'!$A$22:$B$48,2,FALSE),"No Value")</f>
        <v>No Value</v>
      </c>
      <c r="V40" s="92"/>
      <c r="W40" s="96" t="str">
        <f>IFERROR(IF($E40="Yes","IPP",VLOOKUP($J40,'ELA Reading Logic'!$A$3:$K$9,VLOOKUP(V$1,'ELA Reading Logic'!$J$22:$K$31,2,FALSE),FALSE)),"Set Grade")</f>
        <v>Set Grade</v>
      </c>
      <c r="X40" s="96" t="str">
        <f>IFERROR(IF($E40="Yes","IPP",VLOOKUP($J40,'ELA Reading Logic'!$A$13:$K$19,VLOOKUP(V$1,'ELA Reading Logic'!$J$22:$K$31,2,FALSE),FALSE)),"Set Grade")</f>
        <v>Set Grade</v>
      </c>
      <c r="Y40" s="96" t="str">
        <f>IF($E40="Yes","IPP",IFERROR(IF(AND(V40&gt;W40,V40&lt;X40),"0",(VLOOKUP(V40,'ELA Reading Logic'!$A$22:$B$48,2,FALSE))-(IF(VLOOKUP(V40,'ELA Reading Logic'!$A$22:$B$48,2,FALSE)&lt;=VLOOKUP(W40,'ELA Reading Logic'!$A$22:$B$48,2,FALSE),VLOOKUP(W40,'ELA Reading Logic'!$A$22:$B$48,2,FALSE),IF(VLOOKUP(V40,'ELA Reading Logic'!$A$22:$B$48,2,FALSE)&gt;=VLOOKUP(X40,'ELA Reading Logic'!$A$22:$B$48,2,FALSE),VLOOKUP(X40,'ELA Reading Logic'!$A$22:$B$48,2,FALSE),"No Score")))),"No Value"))</f>
        <v>No Value</v>
      </c>
      <c r="Z40" s="96" t="str">
        <f>IFERROR(VLOOKUP(V40,'ELA Reading Logic'!$A$22:$B$48,2,FALSE)-VLOOKUP($F40,'ELA Reading Logic'!$A$22:$B$48,2,FALSE),"No Value")</f>
        <v>No Value</v>
      </c>
      <c r="AA40" s="92"/>
      <c r="AB40" s="96" t="str">
        <f>IFERROR(IF($E40="Yes","IPP",VLOOKUP($J40,'ELA Reading Logic'!$A$3:$K$9,VLOOKUP(AA$1,'ELA Reading Logic'!$J$22:$K$31,2,FALSE),FALSE)),"Set Grade")</f>
        <v>Set Grade</v>
      </c>
      <c r="AC40" s="96" t="str">
        <f>IFERROR(IF($E40="Yes","IPP",VLOOKUP($J40,'ELA Reading Logic'!$A$13:$K$19,VLOOKUP(AA$1,'ELA Reading Logic'!$J$22:$K$31,2,FALSE),FALSE)),"Set Grade")</f>
        <v>Set Grade</v>
      </c>
      <c r="AD40" s="96" t="str">
        <f>IF($E40="Yes","IPP",IFERROR(IF(AND(AA40&gt;AB40,AA40&lt;AC40),"0",(VLOOKUP(AA40,'ELA Reading Logic'!$A$22:$B$48,2,FALSE))-(IF(VLOOKUP(AA40,'ELA Reading Logic'!$A$22:$B$48,2,FALSE)&lt;=VLOOKUP(AB40,'ELA Reading Logic'!$A$22:$B$48,2,FALSE),VLOOKUP(AB40,'ELA Reading Logic'!$A$22:$B$48,2,FALSE),IF(VLOOKUP(AA40,'ELA Reading Logic'!$A$22:$B$48,2,FALSE)&gt;=VLOOKUP(AC40,'ELA Reading Logic'!$A$22:$B$48,2,FALSE),VLOOKUP(AC40,'ELA Reading Logic'!$A$22:$B$48,2,FALSE),"No Score")))),"No Value"))</f>
        <v>No Value</v>
      </c>
      <c r="AE40" s="96" t="str">
        <f>IFERROR(VLOOKUP(AA40,'ELA Reading Logic'!$A$22:$B$48,2,FALSE)-VLOOKUP($F40,'ELA Reading Logic'!$A$22:$B$48,2,FALSE),"No Value")</f>
        <v>No Value</v>
      </c>
      <c r="AF40" s="92"/>
      <c r="AG40" s="96" t="str">
        <f>IFERROR(IF($E40="Yes","IPP",VLOOKUP($J40,'ELA Reading Logic'!$A$3:$K$9,VLOOKUP(AF$1,'ELA Reading Logic'!$J$22:$K$31,2,FALSE),FALSE)),"Set Grade")</f>
        <v>Set Grade</v>
      </c>
      <c r="AH40" s="96" t="str">
        <f>IFERROR(IF($E40="Yes","IPP",VLOOKUP($J40,'ELA Reading Logic'!$A$13:$K$19,VLOOKUP(AF$1,'ELA Reading Logic'!$J$22:$K$31,2,FALSE),FALSE)),"Set Grade")</f>
        <v>Set Grade</v>
      </c>
      <c r="AI40" s="96" t="str">
        <f>IF($E40="Yes","IPP",IFERROR(IF(AND(AF40&gt;AG40,AF40&lt;AH40),"0",(VLOOKUP(AF40,'ELA Reading Logic'!$A$22:$B$48,2,FALSE))-(IF(VLOOKUP(AF40,'ELA Reading Logic'!$A$22:$B$48,2,FALSE)&lt;=VLOOKUP(AG40,'ELA Reading Logic'!$A$22:$B$48,2,FALSE),VLOOKUP(AG40,'ELA Reading Logic'!$A$22:$B$48,2,FALSE),IF(VLOOKUP(AF40,'ELA Reading Logic'!$A$22:$B$48,2,FALSE)&gt;=VLOOKUP(AH40,'ELA Reading Logic'!$A$22:$B$48,2,FALSE),VLOOKUP(AH40,'ELA Reading Logic'!$A$22:$B$48,2,FALSE),"No Score")))),"No Value"))</f>
        <v>No Value</v>
      </c>
      <c r="AJ40" s="96" t="str">
        <f>IFERROR(VLOOKUP(AF40,'ELA Reading Logic'!$A$22:$B$48,2,FALSE)-VLOOKUP($F40,'ELA Reading Logic'!$A$22:$B$48,2,FALSE),"No Value")</f>
        <v>No Value</v>
      </c>
      <c r="AK40" s="92"/>
      <c r="AL40" s="96" t="str">
        <f>IFERROR(IF($E40="Yes","IPP",VLOOKUP($J40,'ELA Reading Logic'!$A$3:$K$9,VLOOKUP(AK$1,'ELA Reading Logic'!$J$22:$K$31,2,FALSE),FALSE)),"Set Grade")</f>
        <v>Set Grade</v>
      </c>
      <c r="AM40" s="96" t="str">
        <f>IFERROR(IF($E40="Yes","IPP",VLOOKUP($J40,'ELA Reading Logic'!$A$13:$K$19,VLOOKUP(AK$1,'ELA Reading Logic'!$J$22:$K$31,2,FALSE),FALSE)),"Set Grade")</f>
        <v>Set Grade</v>
      </c>
      <c r="AN40" s="96" t="str">
        <f>IF($E40="Yes","IPP",IFERROR(IF(AND(AK40&gt;AL40,AK40&lt;AM40),"0",(VLOOKUP(AK40,'ELA Reading Logic'!$A$22:$B$48,2,FALSE))-(IF(VLOOKUP(AK40,'ELA Reading Logic'!$A$22:$B$48,2,FALSE)&lt;=VLOOKUP(AL40,'ELA Reading Logic'!$A$22:$B$48,2,FALSE),VLOOKUP(AL40,'ELA Reading Logic'!$A$22:$B$48,2,FALSE),IF(VLOOKUP(AK40,'ELA Reading Logic'!$A$22:$B$48,2,FALSE)&gt;=VLOOKUP(AM40,'ELA Reading Logic'!$A$22:$B$48,2,FALSE),VLOOKUP(AM40,'ELA Reading Logic'!$A$22:$B$48,2,FALSE),"No Score")))),"No Value"))</f>
        <v>No Value</v>
      </c>
      <c r="AO40" s="96" t="str">
        <f>IFERROR(VLOOKUP(AK40,'ELA Reading Logic'!$A$22:$B$48,2,FALSE)-VLOOKUP($F40,'ELA Reading Logic'!$A$22:$B$48,2,FALSE),"No Value")</f>
        <v>No Value</v>
      </c>
      <c r="AP40" s="92"/>
      <c r="AQ40" s="96" t="str">
        <f>IFERROR(IF($E40="Yes","IPP",VLOOKUP($J40,'ELA Reading Logic'!$A$3:$K$9,VLOOKUP(AP$1,'ELA Reading Logic'!$J$22:$K$31,2,FALSE),FALSE)),"Set Grade")</f>
        <v>Set Grade</v>
      </c>
      <c r="AR40" s="96" t="str">
        <f>IFERROR(IF($E40="Yes","IPP",VLOOKUP($J40,'ELA Reading Logic'!$A$13:$K$19,VLOOKUP(AP$1,'ELA Reading Logic'!$J$22:$K$31,2,FALSE),FALSE)),"Set Grade")</f>
        <v>Set Grade</v>
      </c>
      <c r="AS40" s="96" t="str">
        <f>IF($E40="Yes","IPP",IFERROR(IF(AND(AP40&gt;AQ40,AP40&lt;AR40),"0",(VLOOKUP(AP40,'ELA Reading Logic'!$A$22:$B$48,2,FALSE))-(IF(VLOOKUP(AP40,'ELA Reading Logic'!$A$22:$B$48,2,FALSE)&lt;=VLOOKUP(AQ40,'ELA Reading Logic'!$A$22:$B$48,2,FALSE),VLOOKUP(AQ40,'ELA Reading Logic'!$A$22:$B$48,2,FALSE),IF(VLOOKUP(AP40,'ELA Reading Logic'!$A$22:$B$48,2,FALSE)&gt;=VLOOKUP(AR40,'ELA Reading Logic'!$A$22:$B$48,2,FALSE),VLOOKUP(AR40,'ELA Reading Logic'!$A$22:$B$48,2,FALSE),"No Score")))),"No Value"))</f>
        <v>No Value</v>
      </c>
      <c r="AT40" s="96" t="str">
        <f>IFERROR(VLOOKUP(AP40,'ELA Reading Logic'!$A$22:$B$48,2,FALSE)-VLOOKUP($F40,'ELA Reading Logic'!$A$22:$B$48,2,FALSE),"No Value")</f>
        <v>No Value</v>
      </c>
    </row>
    <row r="41" spans="1:46" ht="22.5" customHeight="1" x14ac:dyDescent="0.25">
      <c r="A41" s="176"/>
      <c r="B41" s="176"/>
      <c r="C41" s="176"/>
      <c r="D41" s="176"/>
      <c r="E41" s="175"/>
      <c r="F41" s="175"/>
      <c r="G41" s="177" t="str">
        <f>IFERROR(IF($E41="Yes","IPP",VLOOKUP($J41,'ELA Reading Logic'!$A$3:$K$9,VLOOKUP("September",'ELA Reading Logic'!$J$22:$K$31,2,FALSE),FALSE)),"Set Grade")</f>
        <v>Set Grade</v>
      </c>
      <c r="H41" s="177" t="str">
        <f>IFERROR(IF($E41="Yes","IPP",VLOOKUP($J41,'ELA Reading Logic'!$A$13:$K$19,VLOOKUP("September",'ELA Reading Logic'!$J$22:$K$31,2,FALSE),FALSE)),"Set Grade")</f>
        <v>Set Grade</v>
      </c>
      <c r="I41" s="96" t="str">
        <f>IF($E41="Yes","IPP",IFERROR(IF(AND(F41&gt;G41,F41&lt;H41),"0",(VLOOKUP(F41,'ELA Reading Logic'!$A$22:$B$48,2,FALSE))-(IF(VLOOKUP(F41,'ELA Reading Logic'!$A$22:$B$48,2,FALSE)&lt;=VLOOKUP(G41,'ELA Reading Logic'!$A$22:$B$48,2,FALSE),VLOOKUP(G41,'ELA Reading Logic'!$A$22:$B$48,2,FALSE),IF(VLOOKUP(F41,'ELA Reading Logic'!$A$22:$B$48,2,FALSE)&gt;=VLOOKUP(H41,'ELA Reading Logic'!$A$22:$B$48,2,FALSE),VLOOKUP(H41,'ELA Reading Logic'!$A$22:$B$48,2,FALSE),"No Score")))),"No Value"))</f>
        <v>No Value</v>
      </c>
      <c r="J41" s="178"/>
      <c r="K41" s="96"/>
      <c r="L41" s="96"/>
      <c r="M41" s="96"/>
      <c r="N41" s="96"/>
      <c r="O41" s="96"/>
      <c r="P41" s="105"/>
      <c r="Q41" s="92"/>
      <c r="R41" s="96" t="str">
        <f>IFERROR(IF($E41="Yes","IPP",VLOOKUP($J41,'ELA Reading Logic'!$A$3:$K$9,VLOOKUP(Q$1,'ELA Reading Logic'!$J$22:$K$31,2,FALSE),FALSE)),"Set Grade")</f>
        <v>Set Grade</v>
      </c>
      <c r="S41" s="96" t="str">
        <f>IFERROR(IF($E41="Yes","IPP",VLOOKUP($J41,'ELA Reading Logic'!$A$13:$K$19,VLOOKUP(Q$1,'ELA Reading Logic'!$J$22:$K$31,2,FALSE),FALSE)),"Set Grade")</f>
        <v>Set Grade</v>
      </c>
      <c r="T41" s="96" t="str">
        <f>IF($E41="Yes","IPP",IFERROR(IF(AND(Q41&gt;R41,Q41&lt;S41),"0",(VLOOKUP(Q41,'ELA Reading Logic'!$A$22:$B$48,2,FALSE))-(IF(VLOOKUP(Q41,'ELA Reading Logic'!$A$22:$B$48,2,FALSE)&lt;=VLOOKUP(R41,'ELA Reading Logic'!$A$22:$B$48,2,FALSE),VLOOKUP(R41,'ELA Reading Logic'!$A$22:$B$48,2,FALSE),IF(VLOOKUP(Q41,'ELA Reading Logic'!$A$22:$B$48,2,FALSE)&gt;=VLOOKUP(S41,'ELA Reading Logic'!$A$22:$B$48,2,FALSE),VLOOKUP(S41,'ELA Reading Logic'!$A$22:$B$48,2,FALSE),"No Score")))),"No Value"))</f>
        <v>No Value</v>
      </c>
      <c r="U41" s="96" t="str">
        <f>IFERROR(VLOOKUP(Q41,'ELA Reading Logic'!$A$22:$B$48,2,FALSE)-VLOOKUP($F41,'ELA Reading Logic'!$A$22:$B$48,2,FALSE),"No Value")</f>
        <v>No Value</v>
      </c>
      <c r="V41" s="92"/>
      <c r="W41" s="96" t="str">
        <f>IFERROR(IF($E41="Yes","IPP",VLOOKUP($J41,'ELA Reading Logic'!$A$3:$K$9,VLOOKUP(V$1,'ELA Reading Logic'!$J$22:$K$31,2,FALSE),FALSE)),"Set Grade")</f>
        <v>Set Grade</v>
      </c>
      <c r="X41" s="96" t="str">
        <f>IFERROR(IF($E41="Yes","IPP",VLOOKUP($J41,'ELA Reading Logic'!$A$13:$K$19,VLOOKUP(V$1,'ELA Reading Logic'!$J$22:$K$31,2,FALSE),FALSE)),"Set Grade")</f>
        <v>Set Grade</v>
      </c>
      <c r="Y41" s="96" t="str">
        <f>IF($E41="Yes","IPP",IFERROR(IF(AND(V41&gt;W41,V41&lt;X41),"0",(VLOOKUP(V41,'ELA Reading Logic'!$A$22:$B$48,2,FALSE))-(IF(VLOOKUP(V41,'ELA Reading Logic'!$A$22:$B$48,2,FALSE)&lt;=VLOOKUP(W41,'ELA Reading Logic'!$A$22:$B$48,2,FALSE),VLOOKUP(W41,'ELA Reading Logic'!$A$22:$B$48,2,FALSE),IF(VLOOKUP(V41,'ELA Reading Logic'!$A$22:$B$48,2,FALSE)&gt;=VLOOKUP(X41,'ELA Reading Logic'!$A$22:$B$48,2,FALSE),VLOOKUP(X41,'ELA Reading Logic'!$A$22:$B$48,2,FALSE),"No Score")))),"No Value"))</f>
        <v>No Value</v>
      </c>
      <c r="Z41" s="96" t="str">
        <f>IFERROR(VLOOKUP(V41,'ELA Reading Logic'!$A$22:$B$48,2,FALSE)-VLOOKUP($F41,'ELA Reading Logic'!$A$22:$B$48,2,FALSE),"No Value")</f>
        <v>No Value</v>
      </c>
      <c r="AA41" s="92"/>
      <c r="AB41" s="96" t="str">
        <f>IFERROR(IF($E41="Yes","IPP",VLOOKUP($J41,'ELA Reading Logic'!$A$3:$K$9,VLOOKUP(AA$1,'ELA Reading Logic'!$J$22:$K$31,2,FALSE),FALSE)),"Set Grade")</f>
        <v>Set Grade</v>
      </c>
      <c r="AC41" s="96" t="str">
        <f>IFERROR(IF($E41="Yes","IPP",VLOOKUP($J41,'ELA Reading Logic'!$A$13:$K$19,VLOOKUP(AA$1,'ELA Reading Logic'!$J$22:$K$31,2,FALSE),FALSE)),"Set Grade")</f>
        <v>Set Grade</v>
      </c>
      <c r="AD41" s="96" t="str">
        <f>IF($E41="Yes","IPP",IFERROR(IF(AND(AA41&gt;AB41,AA41&lt;AC41),"0",(VLOOKUP(AA41,'ELA Reading Logic'!$A$22:$B$48,2,FALSE))-(IF(VLOOKUP(AA41,'ELA Reading Logic'!$A$22:$B$48,2,FALSE)&lt;=VLOOKUP(AB41,'ELA Reading Logic'!$A$22:$B$48,2,FALSE),VLOOKUP(AB41,'ELA Reading Logic'!$A$22:$B$48,2,FALSE),IF(VLOOKUP(AA41,'ELA Reading Logic'!$A$22:$B$48,2,FALSE)&gt;=VLOOKUP(AC41,'ELA Reading Logic'!$A$22:$B$48,2,FALSE),VLOOKUP(AC41,'ELA Reading Logic'!$A$22:$B$48,2,FALSE),"No Score")))),"No Value"))</f>
        <v>No Value</v>
      </c>
      <c r="AE41" s="96" t="str">
        <f>IFERROR(VLOOKUP(AA41,'ELA Reading Logic'!$A$22:$B$48,2,FALSE)-VLOOKUP($F41,'ELA Reading Logic'!$A$22:$B$48,2,FALSE),"No Value")</f>
        <v>No Value</v>
      </c>
      <c r="AF41" s="92"/>
      <c r="AG41" s="96" t="str">
        <f>IFERROR(IF($E41="Yes","IPP",VLOOKUP($J41,'ELA Reading Logic'!$A$3:$K$9,VLOOKUP(AF$1,'ELA Reading Logic'!$J$22:$K$31,2,FALSE),FALSE)),"Set Grade")</f>
        <v>Set Grade</v>
      </c>
      <c r="AH41" s="96" t="str">
        <f>IFERROR(IF($E41="Yes","IPP",VLOOKUP($J41,'ELA Reading Logic'!$A$13:$K$19,VLOOKUP(AF$1,'ELA Reading Logic'!$J$22:$K$31,2,FALSE),FALSE)),"Set Grade")</f>
        <v>Set Grade</v>
      </c>
      <c r="AI41" s="96" t="str">
        <f>IF($E41="Yes","IPP",IFERROR(IF(AND(AF41&gt;AG41,AF41&lt;AH41),"0",(VLOOKUP(AF41,'ELA Reading Logic'!$A$22:$B$48,2,FALSE))-(IF(VLOOKUP(AF41,'ELA Reading Logic'!$A$22:$B$48,2,FALSE)&lt;=VLOOKUP(AG41,'ELA Reading Logic'!$A$22:$B$48,2,FALSE),VLOOKUP(AG41,'ELA Reading Logic'!$A$22:$B$48,2,FALSE),IF(VLOOKUP(AF41,'ELA Reading Logic'!$A$22:$B$48,2,FALSE)&gt;=VLOOKUP(AH41,'ELA Reading Logic'!$A$22:$B$48,2,FALSE),VLOOKUP(AH41,'ELA Reading Logic'!$A$22:$B$48,2,FALSE),"No Score")))),"No Value"))</f>
        <v>No Value</v>
      </c>
      <c r="AJ41" s="96" t="str">
        <f>IFERROR(VLOOKUP(AF41,'ELA Reading Logic'!$A$22:$B$48,2,FALSE)-VLOOKUP($F41,'ELA Reading Logic'!$A$22:$B$48,2,FALSE),"No Value")</f>
        <v>No Value</v>
      </c>
      <c r="AK41" s="92"/>
      <c r="AL41" s="96" t="str">
        <f>IFERROR(IF($E41="Yes","IPP",VLOOKUP($J41,'ELA Reading Logic'!$A$3:$K$9,VLOOKUP(AK$1,'ELA Reading Logic'!$J$22:$K$31,2,FALSE),FALSE)),"Set Grade")</f>
        <v>Set Grade</v>
      </c>
      <c r="AM41" s="96" t="str">
        <f>IFERROR(IF($E41="Yes","IPP",VLOOKUP($J41,'ELA Reading Logic'!$A$13:$K$19,VLOOKUP(AK$1,'ELA Reading Logic'!$J$22:$K$31,2,FALSE),FALSE)),"Set Grade")</f>
        <v>Set Grade</v>
      </c>
      <c r="AN41" s="96" t="str">
        <f>IF($E41="Yes","IPP",IFERROR(IF(AND(AK41&gt;AL41,AK41&lt;AM41),"0",(VLOOKUP(AK41,'ELA Reading Logic'!$A$22:$B$48,2,FALSE))-(IF(VLOOKUP(AK41,'ELA Reading Logic'!$A$22:$B$48,2,FALSE)&lt;=VLOOKUP(AL41,'ELA Reading Logic'!$A$22:$B$48,2,FALSE),VLOOKUP(AL41,'ELA Reading Logic'!$A$22:$B$48,2,FALSE),IF(VLOOKUP(AK41,'ELA Reading Logic'!$A$22:$B$48,2,FALSE)&gt;=VLOOKUP(AM41,'ELA Reading Logic'!$A$22:$B$48,2,FALSE),VLOOKUP(AM41,'ELA Reading Logic'!$A$22:$B$48,2,FALSE),"No Score")))),"No Value"))</f>
        <v>No Value</v>
      </c>
      <c r="AO41" s="96" t="str">
        <f>IFERROR(VLOOKUP(AK41,'ELA Reading Logic'!$A$22:$B$48,2,FALSE)-VLOOKUP($F41,'ELA Reading Logic'!$A$22:$B$48,2,FALSE),"No Value")</f>
        <v>No Value</v>
      </c>
      <c r="AP41" s="92"/>
      <c r="AQ41" s="96" t="str">
        <f>IFERROR(IF($E41="Yes","IPP",VLOOKUP($J41,'ELA Reading Logic'!$A$3:$K$9,VLOOKUP(AP$1,'ELA Reading Logic'!$J$22:$K$31,2,FALSE),FALSE)),"Set Grade")</f>
        <v>Set Grade</v>
      </c>
      <c r="AR41" s="96" t="str">
        <f>IFERROR(IF($E41="Yes","IPP",VLOOKUP($J41,'ELA Reading Logic'!$A$13:$K$19,VLOOKUP(AP$1,'ELA Reading Logic'!$J$22:$K$31,2,FALSE),FALSE)),"Set Grade")</f>
        <v>Set Grade</v>
      </c>
      <c r="AS41" s="96" t="str">
        <f>IF($E41="Yes","IPP",IFERROR(IF(AND(AP41&gt;AQ41,AP41&lt;AR41),"0",(VLOOKUP(AP41,'ELA Reading Logic'!$A$22:$B$48,2,FALSE))-(IF(VLOOKUP(AP41,'ELA Reading Logic'!$A$22:$B$48,2,FALSE)&lt;=VLOOKUP(AQ41,'ELA Reading Logic'!$A$22:$B$48,2,FALSE),VLOOKUP(AQ41,'ELA Reading Logic'!$A$22:$B$48,2,FALSE),IF(VLOOKUP(AP41,'ELA Reading Logic'!$A$22:$B$48,2,FALSE)&gt;=VLOOKUP(AR41,'ELA Reading Logic'!$A$22:$B$48,2,FALSE),VLOOKUP(AR41,'ELA Reading Logic'!$A$22:$B$48,2,FALSE),"No Score")))),"No Value"))</f>
        <v>No Value</v>
      </c>
      <c r="AT41" s="96" t="str">
        <f>IFERROR(VLOOKUP(AP41,'ELA Reading Logic'!$A$22:$B$48,2,FALSE)-VLOOKUP($F41,'ELA Reading Logic'!$A$22:$B$48,2,FALSE),"No Value")</f>
        <v>No Value</v>
      </c>
    </row>
    <row r="42" spans="1:46" ht="22.5" customHeight="1" x14ac:dyDescent="0.25">
      <c r="A42" s="174"/>
      <c r="B42" s="174"/>
      <c r="C42" s="174"/>
      <c r="D42" s="174"/>
      <c r="E42" s="175"/>
      <c r="F42" s="175"/>
      <c r="G42" s="177" t="str">
        <f>IFERROR(IF($E42="Yes","IPP",VLOOKUP($J42,'ELA Reading Logic'!$A$3:$K$9,VLOOKUP("September",'ELA Reading Logic'!$J$22:$K$31,2,FALSE),FALSE)),"Set Grade")</f>
        <v>Set Grade</v>
      </c>
      <c r="H42" s="177" t="str">
        <f>IFERROR(IF($E42="Yes","IPP",VLOOKUP($J42,'ELA Reading Logic'!$A$13:$K$19,VLOOKUP("September",'ELA Reading Logic'!$J$22:$K$31,2,FALSE),FALSE)),"Set Grade")</f>
        <v>Set Grade</v>
      </c>
      <c r="I42" s="96" t="str">
        <f>IF($E42="Yes","IPP",IFERROR(IF(AND(F42&gt;G42,F42&lt;H42),"0",(VLOOKUP(F42,'ELA Reading Logic'!$A$22:$B$48,2,FALSE))-(IF(VLOOKUP(F42,'ELA Reading Logic'!$A$22:$B$48,2,FALSE)&lt;=VLOOKUP(G42,'ELA Reading Logic'!$A$22:$B$48,2,FALSE),VLOOKUP(G42,'ELA Reading Logic'!$A$22:$B$48,2,FALSE),IF(VLOOKUP(F42,'ELA Reading Logic'!$A$22:$B$48,2,FALSE)&gt;=VLOOKUP(H42,'ELA Reading Logic'!$A$22:$B$48,2,FALSE),VLOOKUP(H42,'ELA Reading Logic'!$A$22:$B$48,2,FALSE),"No Score")))),"No Value"))</f>
        <v>No Value</v>
      </c>
      <c r="J42" s="178"/>
      <c r="K42" s="96"/>
      <c r="L42" s="96"/>
      <c r="M42" s="96"/>
      <c r="N42" s="96"/>
      <c r="O42" s="96"/>
      <c r="P42" s="105"/>
      <c r="Q42" s="92"/>
      <c r="R42" s="96" t="str">
        <f>IFERROR(IF($E42="Yes","IPP",VLOOKUP($J42,'ELA Reading Logic'!$A$3:$K$9,VLOOKUP(Q$1,'ELA Reading Logic'!$J$22:$K$31,2,FALSE),FALSE)),"Set Grade")</f>
        <v>Set Grade</v>
      </c>
      <c r="S42" s="96" t="str">
        <f>IFERROR(IF($E42="Yes","IPP",VLOOKUP($J42,'ELA Reading Logic'!$A$13:$K$19,VLOOKUP(Q$1,'ELA Reading Logic'!$J$22:$K$31,2,FALSE),FALSE)),"Set Grade")</f>
        <v>Set Grade</v>
      </c>
      <c r="T42" s="96" t="str">
        <f>IF($E42="Yes","IPP",IFERROR(IF(AND(Q42&gt;R42,Q42&lt;S42),"0",(VLOOKUP(Q42,'ELA Reading Logic'!$A$22:$B$48,2,FALSE))-(IF(VLOOKUP(Q42,'ELA Reading Logic'!$A$22:$B$48,2,FALSE)&lt;=VLOOKUP(R42,'ELA Reading Logic'!$A$22:$B$48,2,FALSE),VLOOKUP(R42,'ELA Reading Logic'!$A$22:$B$48,2,FALSE),IF(VLOOKUP(Q42,'ELA Reading Logic'!$A$22:$B$48,2,FALSE)&gt;=VLOOKUP(S42,'ELA Reading Logic'!$A$22:$B$48,2,FALSE),VLOOKUP(S42,'ELA Reading Logic'!$A$22:$B$48,2,FALSE),"No Score")))),"No Value"))</f>
        <v>No Value</v>
      </c>
      <c r="U42" s="96" t="str">
        <f>IFERROR(VLOOKUP(Q42,'ELA Reading Logic'!$A$22:$B$48,2,FALSE)-VLOOKUP($F42,'ELA Reading Logic'!$A$22:$B$48,2,FALSE),"No Value")</f>
        <v>No Value</v>
      </c>
      <c r="V42" s="92"/>
      <c r="W42" s="96" t="str">
        <f>IFERROR(IF($E42="Yes","IPP",VLOOKUP($J42,'ELA Reading Logic'!$A$3:$K$9,VLOOKUP(V$1,'ELA Reading Logic'!$J$22:$K$31,2,FALSE),FALSE)),"Set Grade")</f>
        <v>Set Grade</v>
      </c>
      <c r="X42" s="96" t="str">
        <f>IFERROR(IF($E42="Yes","IPP",VLOOKUP($J42,'ELA Reading Logic'!$A$13:$K$19,VLOOKUP(V$1,'ELA Reading Logic'!$J$22:$K$31,2,FALSE),FALSE)),"Set Grade")</f>
        <v>Set Grade</v>
      </c>
      <c r="Y42" s="96" t="str">
        <f>IF($E42="Yes","IPP",IFERROR(IF(AND(V42&gt;W42,V42&lt;X42),"0",(VLOOKUP(V42,'ELA Reading Logic'!$A$22:$B$48,2,FALSE))-(IF(VLOOKUP(V42,'ELA Reading Logic'!$A$22:$B$48,2,FALSE)&lt;=VLOOKUP(W42,'ELA Reading Logic'!$A$22:$B$48,2,FALSE),VLOOKUP(W42,'ELA Reading Logic'!$A$22:$B$48,2,FALSE),IF(VLOOKUP(V42,'ELA Reading Logic'!$A$22:$B$48,2,FALSE)&gt;=VLOOKUP(X42,'ELA Reading Logic'!$A$22:$B$48,2,FALSE),VLOOKUP(X42,'ELA Reading Logic'!$A$22:$B$48,2,FALSE),"No Score")))),"No Value"))</f>
        <v>No Value</v>
      </c>
      <c r="Z42" s="96" t="str">
        <f>IFERROR(VLOOKUP(V42,'ELA Reading Logic'!$A$22:$B$48,2,FALSE)-VLOOKUP($F42,'ELA Reading Logic'!$A$22:$B$48,2,FALSE),"No Value")</f>
        <v>No Value</v>
      </c>
      <c r="AA42" s="92"/>
      <c r="AB42" s="96" t="str">
        <f>IFERROR(IF($E42="Yes","IPP",VLOOKUP($J42,'ELA Reading Logic'!$A$3:$K$9,VLOOKUP(AA$1,'ELA Reading Logic'!$J$22:$K$31,2,FALSE),FALSE)),"Set Grade")</f>
        <v>Set Grade</v>
      </c>
      <c r="AC42" s="96" t="str">
        <f>IFERROR(IF($E42="Yes","IPP",VLOOKUP($J42,'ELA Reading Logic'!$A$13:$K$19,VLOOKUP(AA$1,'ELA Reading Logic'!$J$22:$K$31,2,FALSE),FALSE)),"Set Grade")</f>
        <v>Set Grade</v>
      </c>
      <c r="AD42" s="96" t="str">
        <f>IF($E42="Yes","IPP",IFERROR(IF(AND(AA42&gt;AB42,AA42&lt;AC42),"0",(VLOOKUP(AA42,'ELA Reading Logic'!$A$22:$B$48,2,FALSE))-(IF(VLOOKUP(AA42,'ELA Reading Logic'!$A$22:$B$48,2,FALSE)&lt;=VLOOKUP(AB42,'ELA Reading Logic'!$A$22:$B$48,2,FALSE),VLOOKUP(AB42,'ELA Reading Logic'!$A$22:$B$48,2,FALSE),IF(VLOOKUP(AA42,'ELA Reading Logic'!$A$22:$B$48,2,FALSE)&gt;=VLOOKUP(AC42,'ELA Reading Logic'!$A$22:$B$48,2,FALSE),VLOOKUP(AC42,'ELA Reading Logic'!$A$22:$B$48,2,FALSE),"No Score")))),"No Value"))</f>
        <v>No Value</v>
      </c>
      <c r="AE42" s="96" t="str">
        <f>IFERROR(VLOOKUP(AA42,'ELA Reading Logic'!$A$22:$B$48,2,FALSE)-VLOOKUP($F42,'ELA Reading Logic'!$A$22:$B$48,2,FALSE),"No Value")</f>
        <v>No Value</v>
      </c>
      <c r="AF42" s="92"/>
      <c r="AG42" s="96" t="str">
        <f>IFERROR(IF($E42="Yes","IPP",VLOOKUP($J42,'ELA Reading Logic'!$A$3:$K$9,VLOOKUP(AF$1,'ELA Reading Logic'!$J$22:$K$31,2,FALSE),FALSE)),"Set Grade")</f>
        <v>Set Grade</v>
      </c>
      <c r="AH42" s="96" t="str">
        <f>IFERROR(IF($E42="Yes","IPP",VLOOKUP($J42,'ELA Reading Logic'!$A$13:$K$19,VLOOKUP(AF$1,'ELA Reading Logic'!$J$22:$K$31,2,FALSE),FALSE)),"Set Grade")</f>
        <v>Set Grade</v>
      </c>
      <c r="AI42" s="96" t="str">
        <f>IF($E42="Yes","IPP",IFERROR(IF(AND(AF42&gt;AG42,AF42&lt;AH42),"0",(VLOOKUP(AF42,'ELA Reading Logic'!$A$22:$B$48,2,FALSE))-(IF(VLOOKUP(AF42,'ELA Reading Logic'!$A$22:$B$48,2,FALSE)&lt;=VLOOKUP(AG42,'ELA Reading Logic'!$A$22:$B$48,2,FALSE),VLOOKUP(AG42,'ELA Reading Logic'!$A$22:$B$48,2,FALSE),IF(VLOOKUP(AF42,'ELA Reading Logic'!$A$22:$B$48,2,FALSE)&gt;=VLOOKUP(AH42,'ELA Reading Logic'!$A$22:$B$48,2,FALSE),VLOOKUP(AH42,'ELA Reading Logic'!$A$22:$B$48,2,FALSE),"No Score")))),"No Value"))</f>
        <v>No Value</v>
      </c>
      <c r="AJ42" s="96" t="str">
        <f>IFERROR(VLOOKUP(AF42,'ELA Reading Logic'!$A$22:$B$48,2,FALSE)-VLOOKUP($F42,'ELA Reading Logic'!$A$22:$B$48,2,FALSE),"No Value")</f>
        <v>No Value</v>
      </c>
      <c r="AK42" s="92"/>
      <c r="AL42" s="96" t="str">
        <f>IFERROR(IF($E42="Yes","IPP",VLOOKUP($J42,'ELA Reading Logic'!$A$3:$K$9,VLOOKUP(AK$1,'ELA Reading Logic'!$J$22:$K$31,2,FALSE),FALSE)),"Set Grade")</f>
        <v>Set Grade</v>
      </c>
      <c r="AM42" s="96" t="str">
        <f>IFERROR(IF($E42="Yes","IPP",VLOOKUP($J42,'ELA Reading Logic'!$A$13:$K$19,VLOOKUP(AK$1,'ELA Reading Logic'!$J$22:$K$31,2,FALSE),FALSE)),"Set Grade")</f>
        <v>Set Grade</v>
      </c>
      <c r="AN42" s="96" t="str">
        <f>IF($E42="Yes","IPP",IFERROR(IF(AND(AK42&gt;AL42,AK42&lt;AM42),"0",(VLOOKUP(AK42,'ELA Reading Logic'!$A$22:$B$48,2,FALSE))-(IF(VLOOKUP(AK42,'ELA Reading Logic'!$A$22:$B$48,2,FALSE)&lt;=VLOOKUP(AL42,'ELA Reading Logic'!$A$22:$B$48,2,FALSE),VLOOKUP(AL42,'ELA Reading Logic'!$A$22:$B$48,2,FALSE),IF(VLOOKUP(AK42,'ELA Reading Logic'!$A$22:$B$48,2,FALSE)&gt;=VLOOKUP(AM42,'ELA Reading Logic'!$A$22:$B$48,2,FALSE),VLOOKUP(AM42,'ELA Reading Logic'!$A$22:$B$48,2,FALSE),"No Score")))),"No Value"))</f>
        <v>No Value</v>
      </c>
      <c r="AO42" s="96" t="str">
        <f>IFERROR(VLOOKUP(AK42,'ELA Reading Logic'!$A$22:$B$48,2,FALSE)-VLOOKUP($F42,'ELA Reading Logic'!$A$22:$B$48,2,FALSE),"No Value")</f>
        <v>No Value</v>
      </c>
      <c r="AP42" s="92"/>
      <c r="AQ42" s="96" t="str">
        <f>IFERROR(IF($E42="Yes","IPP",VLOOKUP($J42,'ELA Reading Logic'!$A$3:$K$9,VLOOKUP(AP$1,'ELA Reading Logic'!$J$22:$K$31,2,FALSE),FALSE)),"Set Grade")</f>
        <v>Set Grade</v>
      </c>
      <c r="AR42" s="96" t="str">
        <f>IFERROR(IF($E42="Yes","IPP",VLOOKUP($J42,'ELA Reading Logic'!$A$13:$K$19,VLOOKUP(AP$1,'ELA Reading Logic'!$J$22:$K$31,2,FALSE),FALSE)),"Set Grade")</f>
        <v>Set Grade</v>
      </c>
      <c r="AS42" s="96" t="str">
        <f>IF($E42="Yes","IPP",IFERROR(IF(AND(AP42&gt;AQ42,AP42&lt;AR42),"0",(VLOOKUP(AP42,'ELA Reading Logic'!$A$22:$B$48,2,FALSE))-(IF(VLOOKUP(AP42,'ELA Reading Logic'!$A$22:$B$48,2,FALSE)&lt;=VLOOKUP(AQ42,'ELA Reading Logic'!$A$22:$B$48,2,FALSE),VLOOKUP(AQ42,'ELA Reading Logic'!$A$22:$B$48,2,FALSE),IF(VLOOKUP(AP42,'ELA Reading Logic'!$A$22:$B$48,2,FALSE)&gt;=VLOOKUP(AR42,'ELA Reading Logic'!$A$22:$B$48,2,FALSE),VLOOKUP(AR42,'ELA Reading Logic'!$A$22:$B$48,2,FALSE),"No Score")))),"No Value"))</f>
        <v>No Value</v>
      </c>
      <c r="AT42" s="96" t="str">
        <f>IFERROR(VLOOKUP(AP42,'ELA Reading Logic'!$A$22:$B$48,2,FALSE)-VLOOKUP($F42,'ELA Reading Logic'!$A$22:$B$48,2,FALSE),"No Value")</f>
        <v>No Value</v>
      </c>
    </row>
    <row r="43" spans="1:46" ht="22.5" customHeight="1" x14ac:dyDescent="0.25">
      <c r="A43" s="174"/>
      <c r="B43" s="174"/>
      <c r="C43" s="174"/>
      <c r="D43" s="174"/>
      <c r="E43" s="175"/>
      <c r="F43" s="175"/>
      <c r="G43" s="177" t="str">
        <f>IFERROR(IF($E43="Yes","IPP",VLOOKUP($J43,'ELA Reading Logic'!$A$3:$K$9,VLOOKUP("September",'ELA Reading Logic'!$J$22:$K$31,2,FALSE),FALSE)),"Set Grade")</f>
        <v>Set Grade</v>
      </c>
      <c r="H43" s="177" t="str">
        <f>IFERROR(IF($E43="Yes","IPP",VLOOKUP($J43,'ELA Reading Logic'!$A$13:$K$19,VLOOKUP("September",'ELA Reading Logic'!$J$22:$K$31,2,FALSE),FALSE)),"Set Grade")</f>
        <v>Set Grade</v>
      </c>
      <c r="I43" s="96" t="str">
        <f>IF($E43="Yes","IPP",IFERROR(IF(AND(F43&gt;G43,F43&lt;H43),"0",(VLOOKUP(F43,'ELA Reading Logic'!$A$22:$B$48,2,FALSE))-(IF(VLOOKUP(F43,'ELA Reading Logic'!$A$22:$B$48,2,FALSE)&lt;=VLOOKUP(G43,'ELA Reading Logic'!$A$22:$B$48,2,FALSE),VLOOKUP(G43,'ELA Reading Logic'!$A$22:$B$48,2,FALSE),IF(VLOOKUP(F43,'ELA Reading Logic'!$A$22:$B$48,2,FALSE)&gt;=VLOOKUP(H43,'ELA Reading Logic'!$A$22:$B$48,2,FALSE),VLOOKUP(H43,'ELA Reading Logic'!$A$22:$B$48,2,FALSE),"No Score")))),"No Value"))</f>
        <v>No Value</v>
      </c>
      <c r="J43" s="178"/>
      <c r="K43" s="96"/>
      <c r="L43" s="96"/>
      <c r="M43" s="96"/>
      <c r="N43" s="96"/>
      <c r="O43" s="96"/>
      <c r="P43" s="105"/>
      <c r="Q43" s="92"/>
      <c r="R43" s="96" t="str">
        <f>IFERROR(IF($E43="Yes","IPP",VLOOKUP($J43,'ELA Reading Logic'!$A$3:$K$9,VLOOKUP(Q$1,'ELA Reading Logic'!$J$22:$K$31,2,FALSE),FALSE)),"Set Grade")</f>
        <v>Set Grade</v>
      </c>
      <c r="S43" s="96" t="str">
        <f>IFERROR(IF($E43="Yes","IPP",VLOOKUP($J43,'ELA Reading Logic'!$A$13:$K$19,VLOOKUP(Q$1,'ELA Reading Logic'!$J$22:$K$31,2,FALSE),FALSE)),"Set Grade")</f>
        <v>Set Grade</v>
      </c>
      <c r="T43" s="96" t="str">
        <f>IF($E43="Yes","IPP",IFERROR(IF(AND(Q43&gt;R43,Q43&lt;S43),"0",(VLOOKUP(Q43,'ELA Reading Logic'!$A$22:$B$48,2,FALSE))-(IF(VLOOKUP(Q43,'ELA Reading Logic'!$A$22:$B$48,2,FALSE)&lt;=VLOOKUP(R43,'ELA Reading Logic'!$A$22:$B$48,2,FALSE),VLOOKUP(R43,'ELA Reading Logic'!$A$22:$B$48,2,FALSE),IF(VLOOKUP(Q43,'ELA Reading Logic'!$A$22:$B$48,2,FALSE)&gt;=VLOOKUP(S43,'ELA Reading Logic'!$A$22:$B$48,2,FALSE),VLOOKUP(S43,'ELA Reading Logic'!$A$22:$B$48,2,FALSE),"No Score")))),"No Value"))</f>
        <v>No Value</v>
      </c>
      <c r="U43" s="96" t="str">
        <f>IFERROR(VLOOKUP(Q43,'ELA Reading Logic'!$A$22:$B$48,2,FALSE)-VLOOKUP($F43,'ELA Reading Logic'!$A$22:$B$48,2,FALSE),"No Value")</f>
        <v>No Value</v>
      </c>
      <c r="V43" s="92"/>
      <c r="W43" s="96" t="str">
        <f>IFERROR(IF($E43="Yes","IPP",VLOOKUP($J43,'ELA Reading Logic'!$A$3:$K$9,VLOOKUP(V$1,'ELA Reading Logic'!$J$22:$K$31,2,FALSE),FALSE)),"Set Grade")</f>
        <v>Set Grade</v>
      </c>
      <c r="X43" s="96" t="str">
        <f>IFERROR(IF($E43="Yes","IPP",VLOOKUP($J43,'ELA Reading Logic'!$A$13:$K$19,VLOOKUP(V$1,'ELA Reading Logic'!$J$22:$K$31,2,FALSE),FALSE)),"Set Grade")</f>
        <v>Set Grade</v>
      </c>
      <c r="Y43" s="96" t="str">
        <f>IF($E43="Yes","IPP",IFERROR(IF(AND(V43&gt;W43,V43&lt;X43),"0",(VLOOKUP(V43,'ELA Reading Logic'!$A$22:$B$48,2,FALSE))-(IF(VLOOKUP(V43,'ELA Reading Logic'!$A$22:$B$48,2,FALSE)&lt;=VLOOKUP(W43,'ELA Reading Logic'!$A$22:$B$48,2,FALSE),VLOOKUP(W43,'ELA Reading Logic'!$A$22:$B$48,2,FALSE),IF(VLOOKUP(V43,'ELA Reading Logic'!$A$22:$B$48,2,FALSE)&gt;=VLOOKUP(X43,'ELA Reading Logic'!$A$22:$B$48,2,FALSE),VLOOKUP(X43,'ELA Reading Logic'!$A$22:$B$48,2,FALSE),"No Score")))),"No Value"))</f>
        <v>No Value</v>
      </c>
      <c r="Z43" s="96" t="str">
        <f>IFERROR(VLOOKUP(V43,'ELA Reading Logic'!$A$22:$B$48,2,FALSE)-VLOOKUP($F43,'ELA Reading Logic'!$A$22:$B$48,2,FALSE),"No Value")</f>
        <v>No Value</v>
      </c>
      <c r="AA43" s="92"/>
      <c r="AB43" s="96" t="str">
        <f>IFERROR(IF($E43="Yes","IPP",VLOOKUP($J43,'ELA Reading Logic'!$A$3:$K$9,VLOOKUP(AA$1,'ELA Reading Logic'!$J$22:$K$31,2,FALSE),FALSE)),"Set Grade")</f>
        <v>Set Grade</v>
      </c>
      <c r="AC43" s="96" t="str">
        <f>IFERROR(IF($E43="Yes","IPP",VLOOKUP($J43,'ELA Reading Logic'!$A$13:$K$19,VLOOKUP(AA$1,'ELA Reading Logic'!$J$22:$K$31,2,FALSE),FALSE)),"Set Grade")</f>
        <v>Set Grade</v>
      </c>
      <c r="AD43" s="96" t="str">
        <f>IF($E43="Yes","IPP",IFERROR(IF(AND(AA43&gt;AB43,AA43&lt;AC43),"0",(VLOOKUP(AA43,'ELA Reading Logic'!$A$22:$B$48,2,FALSE))-(IF(VLOOKUP(AA43,'ELA Reading Logic'!$A$22:$B$48,2,FALSE)&lt;=VLOOKUP(AB43,'ELA Reading Logic'!$A$22:$B$48,2,FALSE),VLOOKUP(AB43,'ELA Reading Logic'!$A$22:$B$48,2,FALSE),IF(VLOOKUP(AA43,'ELA Reading Logic'!$A$22:$B$48,2,FALSE)&gt;=VLOOKUP(AC43,'ELA Reading Logic'!$A$22:$B$48,2,FALSE),VLOOKUP(AC43,'ELA Reading Logic'!$A$22:$B$48,2,FALSE),"No Score")))),"No Value"))</f>
        <v>No Value</v>
      </c>
      <c r="AE43" s="96" t="str">
        <f>IFERROR(VLOOKUP(AA43,'ELA Reading Logic'!$A$22:$B$48,2,FALSE)-VLOOKUP($F43,'ELA Reading Logic'!$A$22:$B$48,2,FALSE),"No Value")</f>
        <v>No Value</v>
      </c>
      <c r="AF43" s="92"/>
      <c r="AG43" s="96" t="str">
        <f>IFERROR(IF($E43="Yes","IPP",VLOOKUP($J43,'ELA Reading Logic'!$A$3:$K$9,VLOOKUP(AF$1,'ELA Reading Logic'!$J$22:$K$31,2,FALSE),FALSE)),"Set Grade")</f>
        <v>Set Grade</v>
      </c>
      <c r="AH43" s="96" t="str">
        <f>IFERROR(IF($E43="Yes","IPP",VLOOKUP($J43,'ELA Reading Logic'!$A$13:$K$19,VLOOKUP(AF$1,'ELA Reading Logic'!$J$22:$K$31,2,FALSE),FALSE)),"Set Grade")</f>
        <v>Set Grade</v>
      </c>
      <c r="AI43" s="96" t="str">
        <f>IF($E43="Yes","IPP",IFERROR(IF(AND(AF43&gt;AG43,AF43&lt;AH43),"0",(VLOOKUP(AF43,'ELA Reading Logic'!$A$22:$B$48,2,FALSE))-(IF(VLOOKUP(AF43,'ELA Reading Logic'!$A$22:$B$48,2,FALSE)&lt;=VLOOKUP(AG43,'ELA Reading Logic'!$A$22:$B$48,2,FALSE),VLOOKUP(AG43,'ELA Reading Logic'!$A$22:$B$48,2,FALSE),IF(VLOOKUP(AF43,'ELA Reading Logic'!$A$22:$B$48,2,FALSE)&gt;=VLOOKUP(AH43,'ELA Reading Logic'!$A$22:$B$48,2,FALSE),VLOOKUP(AH43,'ELA Reading Logic'!$A$22:$B$48,2,FALSE),"No Score")))),"No Value"))</f>
        <v>No Value</v>
      </c>
      <c r="AJ43" s="96" t="str">
        <f>IFERROR(VLOOKUP(AF43,'ELA Reading Logic'!$A$22:$B$48,2,FALSE)-VLOOKUP($F43,'ELA Reading Logic'!$A$22:$B$48,2,FALSE),"No Value")</f>
        <v>No Value</v>
      </c>
      <c r="AK43" s="92"/>
      <c r="AL43" s="96" t="str">
        <f>IFERROR(IF($E43="Yes","IPP",VLOOKUP($J43,'ELA Reading Logic'!$A$3:$K$9,VLOOKUP(AK$1,'ELA Reading Logic'!$J$22:$K$31,2,FALSE),FALSE)),"Set Grade")</f>
        <v>Set Grade</v>
      </c>
      <c r="AM43" s="96" t="str">
        <f>IFERROR(IF($E43="Yes","IPP",VLOOKUP($J43,'ELA Reading Logic'!$A$13:$K$19,VLOOKUP(AK$1,'ELA Reading Logic'!$J$22:$K$31,2,FALSE),FALSE)),"Set Grade")</f>
        <v>Set Grade</v>
      </c>
      <c r="AN43" s="96" t="str">
        <f>IF($E43="Yes","IPP",IFERROR(IF(AND(AK43&gt;AL43,AK43&lt;AM43),"0",(VLOOKUP(AK43,'ELA Reading Logic'!$A$22:$B$48,2,FALSE))-(IF(VLOOKUP(AK43,'ELA Reading Logic'!$A$22:$B$48,2,FALSE)&lt;=VLOOKUP(AL43,'ELA Reading Logic'!$A$22:$B$48,2,FALSE),VLOOKUP(AL43,'ELA Reading Logic'!$A$22:$B$48,2,FALSE),IF(VLOOKUP(AK43,'ELA Reading Logic'!$A$22:$B$48,2,FALSE)&gt;=VLOOKUP(AM43,'ELA Reading Logic'!$A$22:$B$48,2,FALSE),VLOOKUP(AM43,'ELA Reading Logic'!$A$22:$B$48,2,FALSE),"No Score")))),"No Value"))</f>
        <v>No Value</v>
      </c>
      <c r="AO43" s="96" t="str">
        <f>IFERROR(VLOOKUP(AK43,'ELA Reading Logic'!$A$22:$B$48,2,FALSE)-VLOOKUP($F43,'ELA Reading Logic'!$A$22:$B$48,2,FALSE),"No Value")</f>
        <v>No Value</v>
      </c>
      <c r="AP43" s="92"/>
      <c r="AQ43" s="96" t="str">
        <f>IFERROR(IF($E43="Yes","IPP",VLOOKUP($J43,'ELA Reading Logic'!$A$3:$K$9,VLOOKUP(AP$1,'ELA Reading Logic'!$J$22:$K$31,2,FALSE),FALSE)),"Set Grade")</f>
        <v>Set Grade</v>
      </c>
      <c r="AR43" s="96" t="str">
        <f>IFERROR(IF($E43="Yes","IPP",VLOOKUP($J43,'ELA Reading Logic'!$A$13:$K$19,VLOOKUP(AP$1,'ELA Reading Logic'!$J$22:$K$31,2,FALSE),FALSE)),"Set Grade")</f>
        <v>Set Grade</v>
      </c>
      <c r="AS43" s="96" t="str">
        <f>IF($E43="Yes","IPP",IFERROR(IF(AND(AP43&gt;AQ43,AP43&lt;AR43),"0",(VLOOKUP(AP43,'ELA Reading Logic'!$A$22:$B$48,2,FALSE))-(IF(VLOOKUP(AP43,'ELA Reading Logic'!$A$22:$B$48,2,FALSE)&lt;=VLOOKUP(AQ43,'ELA Reading Logic'!$A$22:$B$48,2,FALSE),VLOOKUP(AQ43,'ELA Reading Logic'!$A$22:$B$48,2,FALSE),IF(VLOOKUP(AP43,'ELA Reading Logic'!$A$22:$B$48,2,FALSE)&gt;=VLOOKUP(AR43,'ELA Reading Logic'!$A$22:$B$48,2,FALSE),VLOOKUP(AR43,'ELA Reading Logic'!$A$22:$B$48,2,FALSE),"No Score")))),"No Value"))</f>
        <v>No Value</v>
      </c>
      <c r="AT43" s="96" t="str">
        <f>IFERROR(VLOOKUP(AP43,'ELA Reading Logic'!$A$22:$B$48,2,FALSE)-VLOOKUP($F43,'ELA Reading Logic'!$A$22:$B$48,2,FALSE),"No Value")</f>
        <v>No Value</v>
      </c>
    </row>
    <row r="44" spans="1:46" ht="22.5" customHeight="1" x14ac:dyDescent="0.25">
      <c r="A44" s="176"/>
      <c r="B44" s="176"/>
      <c r="C44" s="176"/>
      <c r="D44" s="176"/>
      <c r="E44" s="175"/>
      <c r="F44" s="175"/>
      <c r="G44" s="177" t="str">
        <f>IFERROR(IF($E44="Yes","IPP",VLOOKUP($J44,'ELA Reading Logic'!$A$3:$K$9,VLOOKUP("September",'ELA Reading Logic'!$J$22:$K$31,2,FALSE),FALSE)),"Set Grade")</f>
        <v>Set Grade</v>
      </c>
      <c r="H44" s="177" t="str">
        <f>IFERROR(IF($E44="Yes","IPP",VLOOKUP($J44,'ELA Reading Logic'!$A$13:$K$19,VLOOKUP("September",'ELA Reading Logic'!$J$22:$K$31,2,FALSE),FALSE)),"Set Grade")</f>
        <v>Set Grade</v>
      </c>
      <c r="I44" s="96" t="str">
        <f>IF($E44="Yes","IPP",IFERROR(IF(AND(F44&gt;G44,F44&lt;H44),"0",(VLOOKUP(F44,'ELA Reading Logic'!$A$22:$B$48,2,FALSE))-(IF(VLOOKUP(F44,'ELA Reading Logic'!$A$22:$B$48,2,FALSE)&lt;=VLOOKUP(G44,'ELA Reading Logic'!$A$22:$B$48,2,FALSE),VLOOKUP(G44,'ELA Reading Logic'!$A$22:$B$48,2,FALSE),IF(VLOOKUP(F44,'ELA Reading Logic'!$A$22:$B$48,2,FALSE)&gt;=VLOOKUP(H44,'ELA Reading Logic'!$A$22:$B$48,2,FALSE),VLOOKUP(H44,'ELA Reading Logic'!$A$22:$B$48,2,FALSE),"No Score")))),"No Value"))</f>
        <v>No Value</v>
      </c>
      <c r="J44" s="178"/>
      <c r="K44" s="96"/>
      <c r="L44" s="96"/>
      <c r="M44" s="96"/>
      <c r="N44" s="96"/>
      <c r="O44" s="96"/>
      <c r="P44" s="105"/>
      <c r="Q44" s="92"/>
      <c r="R44" s="96" t="str">
        <f>IFERROR(IF($E44="Yes","IPP",VLOOKUP($J44,'ELA Reading Logic'!$A$3:$K$9,VLOOKUP(Q$1,'ELA Reading Logic'!$J$22:$K$31,2,FALSE),FALSE)),"Set Grade")</f>
        <v>Set Grade</v>
      </c>
      <c r="S44" s="96" t="str">
        <f>IFERROR(IF($E44="Yes","IPP",VLOOKUP($J44,'ELA Reading Logic'!$A$13:$K$19,VLOOKUP(Q$1,'ELA Reading Logic'!$J$22:$K$31,2,FALSE),FALSE)),"Set Grade")</f>
        <v>Set Grade</v>
      </c>
      <c r="T44" s="96" t="str">
        <f>IF($E44="Yes","IPP",IFERROR(IF(AND(Q44&gt;R44,Q44&lt;S44),"0",(VLOOKUP(Q44,'ELA Reading Logic'!$A$22:$B$48,2,FALSE))-(IF(VLOOKUP(Q44,'ELA Reading Logic'!$A$22:$B$48,2,FALSE)&lt;=VLOOKUP(R44,'ELA Reading Logic'!$A$22:$B$48,2,FALSE),VLOOKUP(R44,'ELA Reading Logic'!$A$22:$B$48,2,FALSE),IF(VLOOKUP(Q44,'ELA Reading Logic'!$A$22:$B$48,2,FALSE)&gt;=VLOOKUP(S44,'ELA Reading Logic'!$A$22:$B$48,2,FALSE),VLOOKUP(S44,'ELA Reading Logic'!$A$22:$B$48,2,FALSE),"No Score")))),"No Value"))</f>
        <v>No Value</v>
      </c>
      <c r="U44" s="96" t="str">
        <f>IFERROR(VLOOKUP(Q44,'ELA Reading Logic'!$A$22:$B$48,2,FALSE)-VLOOKUP($F44,'ELA Reading Logic'!$A$22:$B$48,2,FALSE),"No Value")</f>
        <v>No Value</v>
      </c>
      <c r="V44" s="92"/>
      <c r="W44" s="96" t="str">
        <f>IFERROR(IF($E44="Yes","IPP",VLOOKUP($J44,'ELA Reading Logic'!$A$3:$K$9,VLOOKUP(V$1,'ELA Reading Logic'!$J$22:$K$31,2,FALSE),FALSE)),"Set Grade")</f>
        <v>Set Grade</v>
      </c>
      <c r="X44" s="96" t="str">
        <f>IFERROR(IF($E44="Yes","IPP",VLOOKUP($J44,'ELA Reading Logic'!$A$13:$K$19,VLOOKUP(V$1,'ELA Reading Logic'!$J$22:$K$31,2,FALSE),FALSE)),"Set Grade")</f>
        <v>Set Grade</v>
      </c>
      <c r="Y44" s="96" t="str">
        <f>IF($E44="Yes","IPP",IFERROR(IF(AND(V44&gt;W44,V44&lt;X44),"0",(VLOOKUP(V44,'ELA Reading Logic'!$A$22:$B$48,2,FALSE))-(IF(VLOOKUP(V44,'ELA Reading Logic'!$A$22:$B$48,2,FALSE)&lt;=VLOOKUP(W44,'ELA Reading Logic'!$A$22:$B$48,2,FALSE),VLOOKUP(W44,'ELA Reading Logic'!$A$22:$B$48,2,FALSE),IF(VLOOKUP(V44,'ELA Reading Logic'!$A$22:$B$48,2,FALSE)&gt;=VLOOKUP(X44,'ELA Reading Logic'!$A$22:$B$48,2,FALSE),VLOOKUP(X44,'ELA Reading Logic'!$A$22:$B$48,2,FALSE),"No Score")))),"No Value"))</f>
        <v>No Value</v>
      </c>
      <c r="Z44" s="96" t="str">
        <f>IFERROR(VLOOKUP(V44,'ELA Reading Logic'!$A$22:$B$48,2,FALSE)-VLOOKUP($F44,'ELA Reading Logic'!$A$22:$B$48,2,FALSE),"No Value")</f>
        <v>No Value</v>
      </c>
      <c r="AA44" s="92"/>
      <c r="AB44" s="96" t="str">
        <f>IFERROR(IF($E44="Yes","IPP",VLOOKUP($J44,'ELA Reading Logic'!$A$3:$K$9,VLOOKUP(AA$1,'ELA Reading Logic'!$J$22:$K$31,2,FALSE),FALSE)),"Set Grade")</f>
        <v>Set Grade</v>
      </c>
      <c r="AC44" s="96" t="str">
        <f>IFERROR(IF($E44="Yes","IPP",VLOOKUP($J44,'ELA Reading Logic'!$A$13:$K$19,VLOOKUP(AA$1,'ELA Reading Logic'!$J$22:$K$31,2,FALSE),FALSE)),"Set Grade")</f>
        <v>Set Grade</v>
      </c>
      <c r="AD44" s="96" t="str">
        <f>IF($E44="Yes","IPP",IFERROR(IF(AND(AA44&gt;AB44,AA44&lt;AC44),"0",(VLOOKUP(AA44,'ELA Reading Logic'!$A$22:$B$48,2,FALSE))-(IF(VLOOKUP(AA44,'ELA Reading Logic'!$A$22:$B$48,2,FALSE)&lt;=VLOOKUP(AB44,'ELA Reading Logic'!$A$22:$B$48,2,FALSE),VLOOKUP(AB44,'ELA Reading Logic'!$A$22:$B$48,2,FALSE),IF(VLOOKUP(AA44,'ELA Reading Logic'!$A$22:$B$48,2,FALSE)&gt;=VLOOKUP(AC44,'ELA Reading Logic'!$A$22:$B$48,2,FALSE),VLOOKUP(AC44,'ELA Reading Logic'!$A$22:$B$48,2,FALSE),"No Score")))),"No Value"))</f>
        <v>No Value</v>
      </c>
      <c r="AE44" s="96" t="str">
        <f>IFERROR(VLOOKUP(AA44,'ELA Reading Logic'!$A$22:$B$48,2,FALSE)-VLOOKUP($F44,'ELA Reading Logic'!$A$22:$B$48,2,FALSE),"No Value")</f>
        <v>No Value</v>
      </c>
      <c r="AF44" s="92"/>
      <c r="AG44" s="96" t="str">
        <f>IFERROR(IF($E44="Yes","IPP",VLOOKUP($J44,'ELA Reading Logic'!$A$3:$K$9,VLOOKUP(AF$1,'ELA Reading Logic'!$J$22:$K$31,2,FALSE),FALSE)),"Set Grade")</f>
        <v>Set Grade</v>
      </c>
      <c r="AH44" s="96" t="str">
        <f>IFERROR(IF($E44="Yes","IPP",VLOOKUP($J44,'ELA Reading Logic'!$A$13:$K$19,VLOOKUP(AF$1,'ELA Reading Logic'!$J$22:$K$31,2,FALSE),FALSE)),"Set Grade")</f>
        <v>Set Grade</v>
      </c>
      <c r="AI44" s="96" t="str">
        <f>IF($E44="Yes","IPP",IFERROR(IF(AND(AF44&gt;AG44,AF44&lt;AH44),"0",(VLOOKUP(AF44,'ELA Reading Logic'!$A$22:$B$48,2,FALSE))-(IF(VLOOKUP(AF44,'ELA Reading Logic'!$A$22:$B$48,2,FALSE)&lt;=VLOOKUP(AG44,'ELA Reading Logic'!$A$22:$B$48,2,FALSE),VLOOKUP(AG44,'ELA Reading Logic'!$A$22:$B$48,2,FALSE),IF(VLOOKUP(AF44,'ELA Reading Logic'!$A$22:$B$48,2,FALSE)&gt;=VLOOKUP(AH44,'ELA Reading Logic'!$A$22:$B$48,2,FALSE),VLOOKUP(AH44,'ELA Reading Logic'!$A$22:$B$48,2,FALSE),"No Score")))),"No Value"))</f>
        <v>No Value</v>
      </c>
      <c r="AJ44" s="96" t="str">
        <f>IFERROR(VLOOKUP(AF44,'ELA Reading Logic'!$A$22:$B$48,2,FALSE)-VLOOKUP($F44,'ELA Reading Logic'!$A$22:$B$48,2,FALSE),"No Value")</f>
        <v>No Value</v>
      </c>
      <c r="AK44" s="92"/>
      <c r="AL44" s="96" t="str">
        <f>IFERROR(IF($E44="Yes","IPP",VLOOKUP($J44,'ELA Reading Logic'!$A$3:$K$9,VLOOKUP(AK$1,'ELA Reading Logic'!$J$22:$K$31,2,FALSE),FALSE)),"Set Grade")</f>
        <v>Set Grade</v>
      </c>
      <c r="AM44" s="96" t="str">
        <f>IFERROR(IF($E44="Yes","IPP",VLOOKUP($J44,'ELA Reading Logic'!$A$13:$K$19,VLOOKUP(AK$1,'ELA Reading Logic'!$J$22:$K$31,2,FALSE),FALSE)),"Set Grade")</f>
        <v>Set Grade</v>
      </c>
      <c r="AN44" s="96" t="str">
        <f>IF($E44="Yes","IPP",IFERROR(IF(AND(AK44&gt;AL44,AK44&lt;AM44),"0",(VLOOKUP(AK44,'ELA Reading Logic'!$A$22:$B$48,2,FALSE))-(IF(VLOOKUP(AK44,'ELA Reading Logic'!$A$22:$B$48,2,FALSE)&lt;=VLOOKUP(AL44,'ELA Reading Logic'!$A$22:$B$48,2,FALSE),VLOOKUP(AL44,'ELA Reading Logic'!$A$22:$B$48,2,FALSE),IF(VLOOKUP(AK44,'ELA Reading Logic'!$A$22:$B$48,2,FALSE)&gt;=VLOOKUP(AM44,'ELA Reading Logic'!$A$22:$B$48,2,FALSE),VLOOKUP(AM44,'ELA Reading Logic'!$A$22:$B$48,2,FALSE),"No Score")))),"No Value"))</f>
        <v>No Value</v>
      </c>
      <c r="AO44" s="96" t="str">
        <f>IFERROR(VLOOKUP(AK44,'ELA Reading Logic'!$A$22:$B$48,2,FALSE)-VLOOKUP($F44,'ELA Reading Logic'!$A$22:$B$48,2,FALSE),"No Value")</f>
        <v>No Value</v>
      </c>
      <c r="AP44" s="92"/>
      <c r="AQ44" s="96" t="str">
        <f>IFERROR(IF($E44="Yes","IPP",VLOOKUP($J44,'ELA Reading Logic'!$A$3:$K$9,VLOOKUP(AP$1,'ELA Reading Logic'!$J$22:$K$31,2,FALSE),FALSE)),"Set Grade")</f>
        <v>Set Grade</v>
      </c>
      <c r="AR44" s="96" t="str">
        <f>IFERROR(IF($E44="Yes","IPP",VLOOKUP($J44,'ELA Reading Logic'!$A$13:$K$19,VLOOKUP(AP$1,'ELA Reading Logic'!$J$22:$K$31,2,FALSE),FALSE)),"Set Grade")</f>
        <v>Set Grade</v>
      </c>
      <c r="AS44" s="96" t="str">
        <f>IF($E44="Yes","IPP",IFERROR(IF(AND(AP44&gt;AQ44,AP44&lt;AR44),"0",(VLOOKUP(AP44,'ELA Reading Logic'!$A$22:$B$48,2,FALSE))-(IF(VLOOKUP(AP44,'ELA Reading Logic'!$A$22:$B$48,2,FALSE)&lt;=VLOOKUP(AQ44,'ELA Reading Logic'!$A$22:$B$48,2,FALSE),VLOOKUP(AQ44,'ELA Reading Logic'!$A$22:$B$48,2,FALSE),IF(VLOOKUP(AP44,'ELA Reading Logic'!$A$22:$B$48,2,FALSE)&gt;=VLOOKUP(AR44,'ELA Reading Logic'!$A$22:$B$48,2,FALSE),VLOOKUP(AR44,'ELA Reading Logic'!$A$22:$B$48,2,FALSE),"No Score")))),"No Value"))</f>
        <v>No Value</v>
      </c>
      <c r="AT44" s="96" t="str">
        <f>IFERROR(VLOOKUP(AP44,'ELA Reading Logic'!$A$22:$B$48,2,FALSE)-VLOOKUP($F44,'ELA Reading Logic'!$A$22:$B$48,2,FALSE),"No Value")</f>
        <v>No Value</v>
      </c>
    </row>
    <row r="45" spans="1:46" ht="22.5" customHeight="1" x14ac:dyDescent="0.25">
      <c r="A45" s="174"/>
      <c r="B45" s="174"/>
      <c r="C45" s="174"/>
      <c r="D45" s="174"/>
      <c r="E45" s="175"/>
      <c r="F45" s="175"/>
      <c r="G45" s="177" t="str">
        <f>IFERROR(IF($E45="Yes","IPP",VLOOKUP($J45,'ELA Reading Logic'!$A$3:$K$9,VLOOKUP("September",'ELA Reading Logic'!$J$22:$K$31,2,FALSE),FALSE)),"Set Grade")</f>
        <v>Set Grade</v>
      </c>
      <c r="H45" s="177" t="str">
        <f>IFERROR(IF($E45="Yes","IPP",VLOOKUP($J45,'ELA Reading Logic'!$A$13:$K$19,VLOOKUP("September",'ELA Reading Logic'!$J$22:$K$31,2,FALSE),FALSE)),"Set Grade")</f>
        <v>Set Grade</v>
      </c>
      <c r="I45" s="96" t="str">
        <f>IF($E45="Yes","IPP",IFERROR(IF(AND(F45&gt;G45,F45&lt;H45),"0",(VLOOKUP(F45,'ELA Reading Logic'!$A$22:$B$48,2,FALSE))-(IF(VLOOKUP(F45,'ELA Reading Logic'!$A$22:$B$48,2,FALSE)&lt;=VLOOKUP(G45,'ELA Reading Logic'!$A$22:$B$48,2,FALSE),VLOOKUP(G45,'ELA Reading Logic'!$A$22:$B$48,2,FALSE),IF(VLOOKUP(F45,'ELA Reading Logic'!$A$22:$B$48,2,FALSE)&gt;=VLOOKUP(H45,'ELA Reading Logic'!$A$22:$B$48,2,FALSE),VLOOKUP(H45,'ELA Reading Logic'!$A$22:$B$48,2,FALSE),"No Score")))),"No Value"))</f>
        <v>No Value</v>
      </c>
      <c r="J45" s="178"/>
      <c r="K45" s="96"/>
      <c r="L45" s="96"/>
      <c r="M45" s="96"/>
      <c r="N45" s="96"/>
      <c r="O45" s="96"/>
      <c r="P45" s="105"/>
      <c r="Q45" s="92"/>
      <c r="R45" s="96" t="str">
        <f>IFERROR(IF($E45="Yes","IPP",VLOOKUP($J45,'ELA Reading Logic'!$A$3:$K$9,VLOOKUP(Q$1,'ELA Reading Logic'!$J$22:$K$31,2,FALSE),FALSE)),"Set Grade")</f>
        <v>Set Grade</v>
      </c>
      <c r="S45" s="96" t="str">
        <f>IFERROR(IF($E45="Yes","IPP",VLOOKUP($J45,'ELA Reading Logic'!$A$13:$K$19,VLOOKUP(Q$1,'ELA Reading Logic'!$J$22:$K$31,2,FALSE),FALSE)),"Set Grade")</f>
        <v>Set Grade</v>
      </c>
      <c r="T45" s="96" t="str">
        <f>IF($E45="Yes","IPP",IFERROR(IF(AND(Q45&gt;R45,Q45&lt;S45),"0",(VLOOKUP(Q45,'ELA Reading Logic'!$A$22:$B$48,2,FALSE))-(IF(VLOOKUP(Q45,'ELA Reading Logic'!$A$22:$B$48,2,FALSE)&lt;=VLOOKUP(R45,'ELA Reading Logic'!$A$22:$B$48,2,FALSE),VLOOKUP(R45,'ELA Reading Logic'!$A$22:$B$48,2,FALSE),IF(VLOOKUP(Q45,'ELA Reading Logic'!$A$22:$B$48,2,FALSE)&gt;=VLOOKUP(S45,'ELA Reading Logic'!$A$22:$B$48,2,FALSE),VLOOKUP(S45,'ELA Reading Logic'!$A$22:$B$48,2,FALSE),"No Score")))),"No Value"))</f>
        <v>No Value</v>
      </c>
      <c r="U45" s="96" t="str">
        <f>IFERROR(VLOOKUP(Q45,'ELA Reading Logic'!$A$22:$B$48,2,FALSE)-VLOOKUP($F45,'ELA Reading Logic'!$A$22:$B$48,2,FALSE),"No Value")</f>
        <v>No Value</v>
      </c>
      <c r="V45" s="92"/>
      <c r="W45" s="96" t="str">
        <f>IFERROR(IF($E45="Yes","IPP",VLOOKUP($J45,'ELA Reading Logic'!$A$3:$K$9,VLOOKUP(V$1,'ELA Reading Logic'!$J$22:$K$31,2,FALSE),FALSE)),"Set Grade")</f>
        <v>Set Grade</v>
      </c>
      <c r="X45" s="96" t="str">
        <f>IFERROR(IF($E45="Yes","IPP",VLOOKUP($J45,'ELA Reading Logic'!$A$13:$K$19,VLOOKUP(V$1,'ELA Reading Logic'!$J$22:$K$31,2,FALSE),FALSE)),"Set Grade")</f>
        <v>Set Grade</v>
      </c>
      <c r="Y45" s="96" t="str">
        <f>IF($E45="Yes","IPP",IFERROR(IF(AND(V45&gt;W45,V45&lt;X45),"0",(VLOOKUP(V45,'ELA Reading Logic'!$A$22:$B$48,2,FALSE))-(IF(VLOOKUP(V45,'ELA Reading Logic'!$A$22:$B$48,2,FALSE)&lt;=VLOOKUP(W45,'ELA Reading Logic'!$A$22:$B$48,2,FALSE),VLOOKUP(W45,'ELA Reading Logic'!$A$22:$B$48,2,FALSE),IF(VLOOKUP(V45,'ELA Reading Logic'!$A$22:$B$48,2,FALSE)&gt;=VLOOKUP(X45,'ELA Reading Logic'!$A$22:$B$48,2,FALSE),VLOOKUP(X45,'ELA Reading Logic'!$A$22:$B$48,2,FALSE),"No Score")))),"No Value"))</f>
        <v>No Value</v>
      </c>
      <c r="Z45" s="96" t="str">
        <f>IFERROR(VLOOKUP(V45,'ELA Reading Logic'!$A$22:$B$48,2,FALSE)-VLOOKUP($F45,'ELA Reading Logic'!$A$22:$B$48,2,FALSE),"No Value")</f>
        <v>No Value</v>
      </c>
      <c r="AA45" s="92"/>
      <c r="AB45" s="96" t="str">
        <f>IFERROR(IF($E45="Yes","IPP",VLOOKUP($J45,'ELA Reading Logic'!$A$3:$K$9,VLOOKUP(AA$1,'ELA Reading Logic'!$J$22:$K$31,2,FALSE),FALSE)),"Set Grade")</f>
        <v>Set Grade</v>
      </c>
      <c r="AC45" s="96" t="str">
        <f>IFERROR(IF($E45="Yes","IPP",VLOOKUP($J45,'ELA Reading Logic'!$A$13:$K$19,VLOOKUP(AA$1,'ELA Reading Logic'!$J$22:$K$31,2,FALSE),FALSE)),"Set Grade")</f>
        <v>Set Grade</v>
      </c>
      <c r="AD45" s="96" t="str">
        <f>IF($E45="Yes","IPP",IFERROR(IF(AND(AA45&gt;AB45,AA45&lt;AC45),"0",(VLOOKUP(AA45,'ELA Reading Logic'!$A$22:$B$48,2,FALSE))-(IF(VLOOKUP(AA45,'ELA Reading Logic'!$A$22:$B$48,2,FALSE)&lt;=VLOOKUP(AB45,'ELA Reading Logic'!$A$22:$B$48,2,FALSE),VLOOKUP(AB45,'ELA Reading Logic'!$A$22:$B$48,2,FALSE),IF(VLOOKUP(AA45,'ELA Reading Logic'!$A$22:$B$48,2,FALSE)&gt;=VLOOKUP(AC45,'ELA Reading Logic'!$A$22:$B$48,2,FALSE),VLOOKUP(AC45,'ELA Reading Logic'!$A$22:$B$48,2,FALSE),"No Score")))),"No Value"))</f>
        <v>No Value</v>
      </c>
      <c r="AE45" s="96" t="str">
        <f>IFERROR(VLOOKUP(AA45,'ELA Reading Logic'!$A$22:$B$48,2,FALSE)-VLOOKUP($F45,'ELA Reading Logic'!$A$22:$B$48,2,FALSE),"No Value")</f>
        <v>No Value</v>
      </c>
      <c r="AF45" s="92"/>
      <c r="AG45" s="96" t="str">
        <f>IFERROR(IF($E45="Yes","IPP",VLOOKUP($J45,'ELA Reading Logic'!$A$3:$K$9,VLOOKUP(AF$1,'ELA Reading Logic'!$J$22:$K$31,2,FALSE),FALSE)),"Set Grade")</f>
        <v>Set Grade</v>
      </c>
      <c r="AH45" s="96" t="str">
        <f>IFERROR(IF($E45="Yes","IPP",VLOOKUP($J45,'ELA Reading Logic'!$A$13:$K$19,VLOOKUP(AF$1,'ELA Reading Logic'!$J$22:$K$31,2,FALSE),FALSE)),"Set Grade")</f>
        <v>Set Grade</v>
      </c>
      <c r="AI45" s="96" t="str">
        <f>IF($E45="Yes","IPP",IFERROR(IF(AND(AF45&gt;AG45,AF45&lt;AH45),"0",(VLOOKUP(AF45,'ELA Reading Logic'!$A$22:$B$48,2,FALSE))-(IF(VLOOKUP(AF45,'ELA Reading Logic'!$A$22:$B$48,2,FALSE)&lt;=VLOOKUP(AG45,'ELA Reading Logic'!$A$22:$B$48,2,FALSE),VLOOKUP(AG45,'ELA Reading Logic'!$A$22:$B$48,2,FALSE),IF(VLOOKUP(AF45,'ELA Reading Logic'!$A$22:$B$48,2,FALSE)&gt;=VLOOKUP(AH45,'ELA Reading Logic'!$A$22:$B$48,2,FALSE),VLOOKUP(AH45,'ELA Reading Logic'!$A$22:$B$48,2,FALSE),"No Score")))),"No Value"))</f>
        <v>No Value</v>
      </c>
      <c r="AJ45" s="96" t="str">
        <f>IFERROR(VLOOKUP(AF45,'ELA Reading Logic'!$A$22:$B$48,2,FALSE)-VLOOKUP($F45,'ELA Reading Logic'!$A$22:$B$48,2,FALSE),"No Value")</f>
        <v>No Value</v>
      </c>
      <c r="AK45" s="92"/>
      <c r="AL45" s="96" t="str">
        <f>IFERROR(IF($E45="Yes","IPP",VLOOKUP($J45,'ELA Reading Logic'!$A$3:$K$9,VLOOKUP(AK$1,'ELA Reading Logic'!$J$22:$K$31,2,FALSE),FALSE)),"Set Grade")</f>
        <v>Set Grade</v>
      </c>
      <c r="AM45" s="96" t="str">
        <f>IFERROR(IF($E45="Yes","IPP",VLOOKUP($J45,'ELA Reading Logic'!$A$13:$K$19,VLOOKUP(AK$1,'ELA Reading Logic'!$J$22:$K$31,2,FALSE),FALSE)),"Set Grade")</f>
        <v>Set Grade</v>
      </c>
      <c r="AN45" s="96" t="str">
        <f>IF($E45="Yes","IPP",IFERROR(IF(AND(AK45&gt;AL45,AK45&lt;AM45),"0",(VLOOKUP(AK45,'ELA Reading Logic'!$A$22:$B$48,2,FALSE))-(IF(VLOOKUP(AK45,'ELA Reading Logic'!$A$22:$B$48,2,FALSE)&lt;=VLOOKUP(AL45,'ELA Reading Logic'!$A$22:$B$48,2,FALSE),VLOOKUP(AL45,'ELA Reading Logic'!$A$22:$B$48,2,FALSE),IF(VLOOKUP(AK45,'ELA Reading Logic'!$A$22:$B$48,2,FALSE)&gt;=VLOOKUP(AM45,'ELA Reading Logic'!$A$22:$B$48,2,FALSE),VLOOKUP(AM45,'ELA Reading Logic'!$A$22:$B$48,2,FALSE),"No Score")))),"No Value"))</f>
        <v>No Value</v>
      </c>
      <c r="AO45" s="96" t="str">
        <f>IFERROR(VLOOKUP(AK45,'ELA Reading Logic'!$A$22:$B$48,2,FALSE)-VLOOKUP($F45,'ELA Reading Logic'!$A$22:$B$48,2,FALSE),"No Value")</f>
        <v>No Value</v>
      </c>
      <c r="AP45" s="92"/>
      <c r="AQ45" s="96" t="str">
        <f>IFERROR(IF($E45="Yes","IPP",VLOOKUP($J45,'ELA Reading Logic'!$A$3:$K$9,VLOOKUP(AP$1,'ELA Reading Logic'!$J$22:$K$31,2,FALSE),FALSE)),"Set Grade")</f>
        <v>Set Grade</v>
      </c>
      <c r="AR45" s="96" t="str">
        <f>IFERROR(IF($E45="Yes","IPP",VLOOKUP($J45,'ELA Reading Logic'!$A$13:$K$19,VLOOKUP(AP$1,'ELA Reading Logic'!$J$22:$K$31,2,FALSE),FALSE)),"Set Grade")</f>
        <v>Set Grade</v>
      </c>
      <c r="AS45" s="96" t="str">
        <f>IF($E45="Yes","IPP",IFERROR(IF(AND(AP45&gt;AQ45,AP45&lt;AR45),"0",(VLOOKUP(AP45,'ELA Reading Logic'!$A$22:$B$48,2,FALSE))-(IF(VLOOKUP(AP45,'ELA Reading Logic'!$A$22:$B$48,2,FALSE)&lt;=VLOOKUP(AQ45,'ELA Reading Logic'!$A$22:$B$48,2,FALSE),VLOOKUP(AQ45,'ELA Reading Logic'!$A$22:$B$48,2,FALSE),IF(VLOOKUP(AP45,'ELA Reading Logic'!$A$22:$B$48,2,FALSE)&gt;=VLOOKUP(AR45,'ELA Reading Logic'!$A$22:$B$48,2,FALSE),VLOOKUP(AR45,'ELA Reading Logic'!$A$22:$B$48,2,FALSE),"No Score")))),"No Value"))</f>
        <v>No Value</v>
      </c>
      <c r="AT45" s="96" t="str">
        <f>IFERROR(VLOOKUP(AP45,'ELA Reading Logic'!$A$22:$B$48,2,FALSE)-VLOOKUP($F45,'ELA Reading Logic'!$A$22:$B$48,2,FALSE),"No Value")</f>
        <v>No Value</v>
      </c>
    </row>
    <row r="46" spans="1:46" ht="22.5" customHeight="1" x14ac:dyDescent="0.25">
      <c r="A46" s="176"/>
      <c r="B46" s="176"/>
      <c r="C46" s="176"/>
      <c r="D46" s="176"/>
      <c r="E46" s="175"/>
      <c r="F46" s="175"/>
      <c r="G46" s="177" t="str">
        <f>IFERROR(IF($E46="Yes","IPP",VLOOKUP($J46,'ELA Reading Logic'!$A$3:$K$9,VLOOKUP("September",'ELA Reading Logic'!$J$22:$K$31,2,FALSE),FALSE)),"Set Grade")</f>
        <v>Set Grade</v>
      </c>
      <c r="H46" s="177" t="str">
        <f>IFERROR(IF($E46="Yes","IPP",VLOOKUP($J46,'ELA Reading Logic'!$A$13:$K$19,VLOOKUP("September",'ELA Reading Logic'!$J$22:$K$31,2,FALSE),FALSE)),"Set Grade")</f>
        <v>Set Grade</v>
      </c>
      <c r="I46" s="96" t="str">
        <f>IF($E46="Yes","IPP",IFERROR(IF(AND(F46&gt;G46,F46&lt;H46),"0",(VLOOKUP(F46,'ELA Reading Logic'!$A$22:$B$48,2,FALSE))-(IF(VLOOKUP(F46,'ELA Reading Logic'!$A$22:$B$48,2,FALSE)&lt;=VLOOKUP(G46,'ELA Reading Logic'!$A$22:$B$48,2,FALSE),VLOOKUP(G46,'ELA Reading Logic'!$A$22:$B$48,2,FALSE),IF(VLOOKUP(F46,'ELA Reading Logic'!$A$22:$B$48,2,FALSE)&gt;=VLOOKUP(H46,'ELA Reading Logic'!$A$22:$B$48,2,FALSE),VLOOKUP(H46,'ELA Reading Logic'!$A$22:$B$48,2,FALSE),"No Score")))),"No Value"))</f>
        <v>No Value</v>
      </c>
      <c r="J46" s="178"/>
      <c r="K46" s="96"/>
      <c r="L46" s="96"/>
      <c r="M46" s="96"/>
      <c r="N46" s="96"/>
      <c r="O46" s="96"/>
      <c r="P46" s="105"/>
      <c r="Q46" s="92"/>
      <c r="R46" s="96" t="str">
        <f>IFERROR(IF($E46="Yes","IPP",VLOOKUP($J46,'ELA Reading Logic'!$A$3:$K$9,VLOOKUP(Q$1,'ELA Reading Logic'!$J$22:$K$31,2,FALSE),FALSE)),"Set Grade")</f>
        <v>Set Grade</v>
      </c>
      <c r="S46" s="96" t="str">
        <f>IFERROR(IF($E46="Yes","IPP",VLOOKUP($J46,'ELA Reading Logic'!$A$13:$K$19,VLOOKUP(Q$1,'ELA Reading Logic'!$J$22:$K$31,2,FALSE),FALSE)),"Set Grade")</f>
        <v>Set Grade</v>
      </c>
      <c r="T46" s="96" t="str">
        <f>IF($E46="Yes","IPP",IFERROR(IF(AND(Q46&gt;R46,Q46&lt;S46),"0",(VLOOKUP(Q46,'ELA Reading Logic'!$A$22:$B$48,2,FALSE))-(IF(VLOOKUP(Q46,'ELA Reading Logic'!$A$22:$B$48,2,FALSE)&lt;=VLOOKUP(R46,'ELA Reading Logic'!$A$22:$B$48,2,FALSE),VLOOKUP(R46,'ELA Reading Logic'!$A$22:$B$48,2,FALSE),IF(VLOOKUP(Q46,'ELA Reading Logic'!$A$22:$B$48,2,FALSE)&gt;=VLOOKUP(S46,'ELA Reading Logic'!$A$22:$B$48,2,FALSE),VLOOKUP(S46,'ELA Reading Logic'!$A$22:$B$48,2,FALSE),"No Score")))),"No Value"))</f>
        <v>No Value</v>
      </c>
      <c r="U46" s="96" t="str">
        <f>IFERROR(VLOOKUP(Q46,'ELA Reading Logic'!$A$22:$B$48,2,FALSE)-VLOOKUP($F46,'ELA Reading Logic'!$A$22:$B$48,2,FALSE),"No Value")</f>
        <v>No Value</v>
      </c>
      <c r="V46" s="92"/>
      <c r="W46" s="96" t="str">
        <f>IFERROR(IF($E46="Yes","IPP",VLOOKUP($J46,'ELA Reading Logic'!$A$3:$K$9,VLOOKUP(V$1,'ELA Reading Logic'!$J$22:$K$31,2,FALSE),FALSE)),"Set Grade")</f>
        <v>Set Grade</v>
      </c>
      <c r="X46" s="96" t="str">
        <f>IFERROR(IF($E46="Yes","IPP",VLOOKUP($J46,'ELA Reading Logic'!$A$13:$K$19,VLOOKUP(V$1,'ELA Reading Logic'!$J$22:$K$31,2,FALSE),FALSE)),"Set Grade")</f>
        <v>Set Grade</v>
      </c>
      <c r="Y46" s="96" t="str">
        <f>IF($E46="Yes","IPP",IFERROR(IF(AND(V46&gt;W46,V46&lt;X46),"0",(VLOOKUP(V46,'ELA Reading Logic'!$A$22:$B$48,2,FALSE))-(IF(VLOOKUP(V46,'ELA Reading Logic'!$A$22:$B$48,2,FALSE)&lt;=VLOOKUP(W46,'ELA Reading Logic'!$A$22:$B$48,2,FALSE),VLOOKUP(W46,'ELA Reading Logic'!$A$22:$B$48,2,FALSE),IF(VLOOKUP(V46,'ELA Reading Logic'!$A$22:$B$48,2,FALSE)&gt;=VLOOKUP(X46,'ELA Reading Logic'!$A$22:$B$48,2,FALSE),VLOOKUP(X46,'ELA Reading Logic'!$A$22:$B$48,2,FALSE),"No Score")))),"No Value"))</f>
        <v>No Value</v>
      </c>
      <c r="Z46" s="96" t="str">
        <f>IFERROR(VLOOKUP(V46,'ELA Reading Logic'!$A$22:$B$48,2,FALSE)-VLOOKUP($F46,'ELA Reading Logic'!$A$22:$B$48,2,FALSE),"No Value")</f>
        <v>No Value</v>
      </c>
      <c r="AA46" s="92"/>
      <c r="AB46" s="96" t="str">
        <f>IFERROR(IF($E46="Yes","IPP",VLOOKUP($J46,'ELA Reading Logic'!$A$3:$K$9,VLOOKUP(AA$1,'ELA Reading Logic'!$J$22:$K$31,2,FALSE),FALSE)),"Set Grade")</f>
        <v>Set Grade</v>
      </c>
      <c r="AC46" s="96" t="str">
        <f>IFERROR(IF($E46="Yes","IPP",VLOOKUP($J46,'ELA Reading Logic'!$A$13:$K$19,VLOOKUP(AA$1,'ELA Reading Logic'!$J$22:$K$31,2,FALSE),FALSE)),"Set Grade")</f>
        <v>Set Grade</v>
      </c>
      <c r="AD46" s="96" t="str">
        <f>IF($E46="Yes","IPP",IFERROR(IF(AND(AA46&gt;AB46,AA46&lt;AC46),"0",(VLOOKUP(AA46,'ELA Reading Logic'!$A$22:$B$48,2,FALSE))-(IF(VLOOKUP(AA46,'ELA Reading Logic'!$A$22:$B$48,2,FALSE)&lt;=VLOOKUP(AB46,'ELA Reading Logic'!$A$22:$B$48,2,FALSE),VLOOKUP(AB46,'ELA Reading Logic'!$A$22:$B$48,2,FALSE),IF(VLOOKUP(AA46,'ELA Reading Logic'!$A$22:$B$48,2,FALSE)&gt;=VLOOKUP(AC46,'ELA Reading Logic'!$A$22:$B$48,2,FALSE),VLOOKUP(AC46,'ELA Reading Logic'!$A$22:$B$48,2,FALSE),"No Score")))),"No Value"))</f>
        <v>No Value</v>
      </c>
      <c r="AE46" s="96" t="str">
        <f>IFERROR(VLOOKUP(AA46,'ELA Reading Logic'!$A$22:$B$48,2,FALSE)-VLOOKUP($F46,'ELA Reading Logic'!$A$22:$B$48,2,FALSE),"No Value")</f>
        <v>No Value</v>
      </c>
      <c r="AF46" s="92"/>
      <c r="AG46" s="96" t="str">
        <f>IFERROR(IF($E46="Yes","IPP",VLOOKUP($J46,'ELA Reading Logic'!$A$3:$K$9,VLOOKUP(AF$1,'ELA Reading Logic'!$J$22:$K$31,2,FALSE),FALSE)),"Set Grade")</f>
        <v>Set Grade</v>
      </c>
      <c r="AH46" s="96" t="str">
        <f>IFERROR(IF($E46="Yes","IPP",VLOOKUP($J46,'ELA Reading Logic'!$A$13:$K$19,VLOOKUP(AF$1,'ELA Reading Logic'!$J$22:$K$31,2,FALSE),FALSE)),"Set Grade")</f>
        <v>Set Grade</v>
      </c>
      <c r="AI46" s="96" t="str">
        <f>IF($E46="Yes","IPP",IFERROR(IF(AND(AF46&gt;AG46,AF46&lt;AH46),"0",(VLOOKUP(AF46,'ELA Reading Logic'!$A$22:$B$48,2,FALSE))-(IF(VLOOKUP(AF46,'ELA Reading Logic'!$A$22:$B$48,2,FALSE)&lt;=VLOOKUP(AG46,'ELA Reading Logic'!$A$22:$B$48,2,FALSE),VLOOKUP(AG46,'ELA Reading Logic'!$A$22:$B$48,2,FALSE),IF(VLOOKUP(AF46,'ELA Reading Logic'!$A$22:$B$48,2,FALSE)&gt;=VLOOKUP(AH46,'ELA Reading Logic'!$A$22:$B$48,2,FALSE),VLOOKUP(AH46,'ELA Reading Logic'!$A$22:$B$48,2,FALSE),"No Score")))),"No Value"))</f>
        <v>No Value</v>
      </c>
      <c r="AJ46" s="96" t="str">
        <f>IFERROR(VLOOKUP(AF46,'ELA Reading Logic'!$A$22:$B$48,2,FALSE)-VLOOKUP($F46,'ELA Reading Logic'!$A$22:$B$48,2,FALSE),"No Value")</f>
        <v>No Value</v>
      </c>
      <c r="AK46" s="92"/>
      <c r="AL46" s="96" t="str">
        <f>IFERROR(IF($E46="Yes","IPP",VLOOKUP($J46,'ELA Reading Logic'!$A$3:$K$9,VLOOKUP(AK$1,'ELA Reading Logic'!$J$22:$K$31,2,FALSE),FALSE)),"Set Grade")</f>
        <v>Set Grade</v>
      </c>
      <c r="AM46" s="96" t="str">
        <f>IFERROR(IF($E46="Yes","IPP",VLOOKUP($J46,'ELA Reading Logic'!$A$13:$K$19,VLOOKUP(AK$1,'ELA Reading Logic'!$J$22:$K$31,2,FALSE),FALSE)),"Set Grade")</f>
        <v>Set Grade</v>
      </c>
      <c r="AN46" s="96" t="str">
        <f>IF($E46="Yes","IPP",IFERROR(IF(AND(AK46&gt;AL46,AK46&lt;AM46),"0",(VLOOKUP(AK46,'ELA Reading Logic'!$A$22:$B$48,2,FALSE))-(IF(VLOOKUP(AK46,'ELA Reading Logic'!$A$22:$B$48,2,FALSE)&lt;=VLOOKUP(AL46,'ELA Reading Logic'!$A$22:$B$48,2,FALSE),VLOOKUP(AL46,'ELA Reading Logic'!$A$22:$B$48,2,FALSE),IF(VLOOKUP(AK46,'ELA Reading Logic'!$A$22:$B$48,2,FALSE)&gt;=VLOOKUP(AM46,'ELA Reading Logic'!$A$22:$B$48,2,FALSE),VLOOKUP(AM46,'ELA Reading Logic'!$A$22:$B$48,2,FALSE),"No Score")))),"No Value"))</f>
        <v>No Value</v>
      </c>
      <c r="AO46" s="96" t="str">
        <f>IFERROR(VLOOKUP(AK46,'ELA Reading Logic'!$A$22:$B$48,2,FALSE)-VLOOKUP($F46,'ELA Reading Logic'!$A$22:$B$48,2,FALSE),"No Value")</f>
        <v>No Value</v>
      </c>
      <c r="AP46" s="92"/>
      <c r="AQ46" s="96" t="str">
        <f>IFERROR(IF($E46="Yes","IPP",VLOOKUP($J46,'ELA Reading Logic'!$A$3:$K$9,VLOOKUP(AP$1,'ELA Reading Logic'!$J$22:$K$31,2,FALSE),FALSE)),"Set Grade")</f>
        <v>Set Grade</v>
      </c>
      <c r="AR46" s="96" t="str">
        <f>IFERROR(IF($E46="Yes","IPP",VLOOKUP($J46,'ELA Reading Logic'!$A$13:$K$19,VLOOKUP(AP$1,'ELA Reading Logic'!$J$22:$K$31,2,FALSE),FALSE)),"Set Grade")</f>
        <v>Set Grade</v>
      </c>
      <c r="AS46" s="96" t="str">
        <f>IF($E46="Yes","IPP",IFERROR(IF(AND(AP46&gt;AQ46,AP46&lt;AR46),"0",(VLOOKUP(AP46,'ELA Reading Logic'!$A$22:$B$48,2,FALSE))-(IF(VLOOKUP(AP46,'ELA Reading Logic'!$A$22:$B$48,2,FALSE)&lt;=VLOOKUP(AQ46,'ELA Reading Logic'!$A$22:$B$48,2,FALSE),VLOOKUP(AQ46,'ELA Reading Logic'!$A$22:$B$48,2,FALSE),IF(VLOOKUP(AP46,'ELA Reading Logic'!$A$22:$B$48,2,FALSE)&gt;=VLOOKUP(AR46,'ELA Reading Logic'!$A$22:$B$48,2,FALSE),VLOOKUP(AR46,'ELA Reading Logic'!$A$22:$B$48,2,FALSE),"No Score")))),"No Value"))</f>
        <v>No Value</v>
      </c>
      <c r="AT46" s="96" t="str">
        <f>IFERROR(VLOOKUP(AP46,'ELA Reading Logic'!$A$22:$B$48,2,FALSE)-VLOOKUP($F46,'ELA Reading Logic'!$A$22:$B$48,2,FALSE),"No Value")</f>
        <v>No Value</v>
      </c>
    </row>
    <row r="47" spans="1:46" ht="22.5" customHeight="1" x14ac:dyDescent="0.25">
      <c r="A47" s="174"/>
      <c r="B47" s="174"/>
      <c r="C47" s="174"/>
      <c r="D47" s="174"/>
      <c r="E47" s="175"/>
      <c r="F47" s="175"/>
      <c r="G47" s="177" t="str">
        <f>IFERROR(IF($E47="Yes","IPP",VLOOKUP($J47,'ELA Reading Logic'!$A$3:$K$9,VLOOKUP("September",'ELA Reading Logic'!$J$22:$K$31,2,FALSE),FALSE)),"Set Grade")</f>
        <v>Set Grade</v>
      </c>
      <c r="H47" s="177" t="str">
        <f>IFERROR(IF($E47="Yes","IPP",VLOOKUP($J47,'ELA Reading Logic'!$A$13:$K$19,VLOOKUP("September",'ELA Reading Logic'!$J$22:$K$31,2,FALSE),FALSE)),"Set Grade")</f>
        <v>Set Grade</v>
      </c>
      <c r="I47" s="96" t="str">
        <f>IF($E47="Yes","IPP",IFERROR(IF(AND(F47&gt;G47,F47&lt;H47),"0",(VLOOKUP(F47,'ELA Reading Logic'!$A$22:$B$48,2,FALSE))-(IF(VLOOKUP(F47,'ELA Reading Logic'!$A$22:$B$48,2,FALSE)&lt;=VLOOKUP(G47,'ELA Reading Logic'!$A$22:$B$48,2,FALSE),VLOOKUP(G47,'ELA Reading Logic'!$A$22:$B$48,2,FALSE),IF(VLOOKUP(F47,'ELA Reading Logic'!$A$22:$B$48,2,FALSE)&gt;=VLOOKUP(H47,'ELA Reading Logic'!$A$22:$B$48,2,FALSE),VLOOKUP(H47,'ELA Reading Logic'!$A$22:$B$48,2,FALSE),"No Score")))),"No Value"))</f>
        <v>No Value</v>
      </c>
      <c r="J47" s="178"/>
      <c r="K47" s="96"/>
      <c r="L47" s="96"/>
      <c r="M47" s="96"/>
      <c r="N47" s="96"/>
      <c r="O47" s="96"/>
      <c r="P47" s="105"/>
      <c r="Q47" s="92"/>
      <c r="R47" s="96" t="str">
        <f>IFERROR(IF($E47="Yes","IPP",VLOOKUP($J47,'ELA Reading Logic'!$A$3:$K$9,VLOOKUP(Q$1,'ELA Reading Logic'!$J$22:$K$31,2,FALSE),FALSE)),"Set Grade")</f>
        <v>Set Grade</v>
      </c>
      <c r="S47" s="96" t="str">
        <f>IFERROR(IF($E47="Yes","IPP",VLOOKUP($J47,'ELA Reading Logic'!$A$13:$K$19,VLOOKUP(Q$1,'ELA Reading Logic'!$J$22:$K$31,2,FALSE),FALSE)),"Set Grade")</f>
        <v>Set Grade</v>
      </c>
      <c r="T47" s="96" t="str">
        <f>IF($E47="Yes","IPP",IFERROR(IF(AND(Q47&gt;R47,Q47&lt;S47),"0",(VLOOKUP(Q47,'ELA Reading Logic'!$A$22:$B$48,2,FALSE))-(IF(VLOOKUP(Q47,'ELA Reading Logic'!$A$22:$B$48,2,FALSE)&lt;=VLOOKUP(R47,'ELA Reading Logic'!$A$22:$B$48,2,FALSE),VLOOKUP(R47,'ELA Reading Logic'!$A$22:$B$48,2,FALSE),IF(VLOOKUP(Q47,'ELA Reading Logic'!$A$22:$B$48,2,FALSE)&gt;=VLOOKUP(S47,'ELA Reading Logic'!$A$22:$B$48,2,FALSE),VLOOKUP(S47,'ELA Reading Logic'!$A$22:$B$48,2,FALSE),"No Score")))),"No Value"))</f>
        <v>No Value</v>
      </c>
      <c r="U47" s="96" t="str">
        <f>IFERROR(VLOOKUP(Q47,'ELA Reading Logic'!$A$22:$B$48,2,FALSE)-VLOOKUP($F47,'ELA Reading Logic'!$A$22:$B$48,2,FALSE),"No Value")</f>
        <v>No Value</v>
      </c>
      <c r="V47" s="92"/>
      <c r="W47" s="96" t="str">
        <f>IFERROR(IF($E47="Yes","IPP",VLOOKUP($J47,'ELA Reading Logic'!$A$3:$K$9,VLOOKUP(V$1,'ELA Reading Logic'!$J$22:$K$31,2,FALSE),FALSE)),"Set Grade")</f>
        <v>Set Grade</v>
      </c>
      <c r="X47" s="96" t="str">
        <f>IFERROR(IF($E47="Yes","IPP",VLOOKUP($J47,'ELA Reading Logic'!$A$13:$K$19,VLOOKUP(V$1,'ELA Reading Logic'!$J$22:$K$31,2,FALSE),FALSE)),"Set Grade")</f>
        <v>Set Grade</v>
      </c>
      <c r="Y47" s="96" t="str">
        <f>IF($E47="Yes","IPP",IFERROR(IF(AND(V47&gt;W47,V47&lt;X47),"0",(VLOOKUP(V47,'ELA Reading Logic'!$A$22:$B$48,2,FALSE))-(IF(VLOOKUP(V47,'ELA Reading Logic'!$A$22:$B$48,2,FALSE)&lt;=VLOOKUP(W47,'ELA Reading Logic'!$A$22:$B$48,2,FALSE),VLOOKUP(W47,'ELA Reading Logic'!$A$22:$B$48,2,FALSE),IF(VLOOKUP(V47,'ELA Reading Logic'!$A$22:$B$48,2,FALSE)&gt;=VLOOKUP(X47,'ELA Reading Logic'!$A$22:$B$48,2,FALSE),VLOOKUP(X47,'ELA Reading Logic'!$A$22:$B$48,2,FALSE),"No Score")))),"No Value"))</f>
        <v>No Value</v>
      </c>
      <c r="Z47" s="96" t="str">
        <f>IFERROR(VLOOKUP(V47,'ELA Reading Logic'!$A$22:$B$48,2,FALSE)-VLOOKUP($F47,'ELA Reading Logic'!$A$22:$B$48,2,FALSE),"No Value")</f>
        <v>No Value</v>
      </c>
      <c r="AA47" s="92"/>
      <c r="AB47" s="96" t="str">
        <f>IFERROR(IF($E47="Yes","IPP",VLOOKUP($J47,'ELA Reading Logic'!$A$3:$K$9,VLOOKUP(AA$1,'ELA Reading Logic'!$J$22:$K$31,2,FALSE),FALSE)),"Set Grade")</f>
        <v>Set Grade</v>
      </c>
      <c r="AC47" s="96" t="str">
        <f>IFERROR(IF($E47="Yes","IPP",VLOOKUP($J47,'ELA Reading Logic'!$A$13:$K$19,VLOOKUP(AA$1,'ELA Reading Logic'!$J$22:$K$31,2,FALSE),FALSE)),"Set Grade")</f>
        <v>Set Grade</v>
      </c>
      <c r="AD47" s="96" t="str">
        <f>IF($E47="Yes","IPP",IFERROR(IF(AND(AA47&gt;AB47,AA47&lt;AC47),"0",(VLOOKUP(AA47,'ELA Reading Logic'!$A$22:$B$48,2,FALSE))-(IF(VLOOKUP(AA47,'ELA Reading Logic'!$A$22:$B$48,2,FALSE)&lt;=VLOOKUP(AB47,'ELA Reading Logic'!$A$22:$B$48,2,FALSE),VLOOKUP(AB47,'ELA Reading Logic'!$A$22:$B$48,2,FALSE),IF(VLOOKUP(AA47,'ELA Reading Logic'!$A$22:$B$48,2,FALSE)&gt;=VLOOKUP(AC47,'ELA Reading Logic'!$A$22:$B$48,2,FALSE),VLOOKUP(AC47,'ELA Reading Logic'!$A$22:$B$48,2,FALSE),"No Score")))),"No Value"))</f>
        <v>No Value</v>
      </c>
      <c r="AE47" s="96" t="str">
        <f>IFERROR(VLOOKUP(AA47,'ELA Reading Logic'!$A$22:$B$48,2,FALSE)-VLOOKUP($F47,'ELA Reading Logic'!$A$22:$B$48,2,FALSE),"No Value")</f>
        <v>No Value</v>
      </c>
      <c r="AF47" s="92"/>
      <c r="AG47" s="96" t="str">
        <f>IFERROR(IF($E47="Yes","IPP",VLOOKUP($J47,'ELA Reading Logic'!$A$3:$K$9,VLOOKUP(AF$1,'ELA Reading Logic'!$J$22:$K$31,2,FALSE),FALSE)),"Set Grade")</f>
        <v>Set Grade</v>
      </c>
      <c r="AH47" s="96" t="str">
        <f>IFERROR(IF($E47="Yes","IPP",VLOOKUP($J47,'ELA Reading Logic'!$A$13:$K$19,VLOOKUP(AF$1,'ELA Reading Logic'!$J$22:$K$31,2,FALSE),FALSE)),"Set Grade")</f>
        <v>Set Grade</v>
      </c>
      <c r="AI47" s="96" t="str">
        <f>IF($E47="Yes","IPP",IFERROR(IF(AND(AF47&gt;AG47,AF47&lt;AH47),"0",(VLOOKUP(AF47,'ELA Reading Logic'!$A$22:$B$48,2,FALSE))-(IF(VLOOKUP(AF47,'ELA Reading Logic'!$A$22:$B$48,2,FALSE)&lt;=VLOOKUP(AG47,'ELA Reading Logic'!$A$22:$B$48,2,FALSE),VLOOKUP(AG47,'ELA Reading Logic'!$A$22:$B$48,2,FALSE),IF(VLOOKUP(AF47,'ELA Reading Logic'!$A$22:$B$48,2,FALSE)&gt;=VLOOKUP(AH47,'ELA Reading Logic'!$A$22:$B$48,2,FALSE),VLOOKUP(AH47,'ELA Reading Logic'!$A$22:$B$48,2,FALSE),"No Score")))),"No Value"))</f>
        <v>No Value</v>
      </c>
      <c r="AJ47" s="96" t="str">
        <f>IFERROR(VLOOKUP(AF47,'ELA Reading Logic'!$A$22:$B$48,2,FALSE)-VLOOKUP($F47,'ELA Reading Logic'!$A$22:$B$48,2,FALSE),"No Value")</f>
        <v>No Value</v>
      </c>
      <c r="AK47" s="92"/>
      <c r="AL47" s="96" t="str">
        <f>IFERROR(IF($E47="Yes","IPP",VLOOKUP($J47,'ELA Reading Logic'!$A$3:$K$9,VLOOKUP(AK$1,'ELA Reading Logic'!$J$22:$K$31,2,FALSE),FALSE)),"Set Grade")</f>
        <v>Set Grade</v>
      </c>
      <c r="AM47" s="96" t="str">
        <f>IFERROR(IF($E47="Yes","IPP",VLOOKUP($J47,'ELA Reading Logic'!$A$13:$K$19,VLOOKUP(AK$1,'ELA Reading Logic'!$J$22:$K$31,2,FALSE),FALSE)),"Set Grade")</f>
        <v>Set Grade</v>
      </c>
      <c r="AN47" s="96" t="str">
        <f>IF($E47="Yes","IPP",IFERROR(IF(AND(AK47&gt;AL47,AK47&lt;AM47),"0",(VLOOKUP(AK47,'ELA Reading Logic'!$A$22:$B$48,2,FALSE))-(IF(VLOOKUP(AK47,'ELA Reading Logic'!$A$22:$B$48,2,FALSE)&lt;=VLOOKUP(AL47,'ELA Reading Logic'!$A$22:$B$48,2,FALSE),VLOOKUP(AL47,'ELA Reading Logic'!$A$22:$B$48,2,FALSE),IF(VLOOKUP(AK47,'ELA Reading Logic'!$A$22:$B$48,2,FALSE)&gt;=VLOOKUP(AM47,'ELA Reading Logic'!$A$22:$B$48,2,FALSE),VLOOKUP(AM47,'ELA Reading Logic'!$A$22:$B$48,2,FALSE),"No Score")))),"No Value"))</f>
        <v>No Value</v>
      </c>
      <c r="AO47" s="96" t="str">
        <f>IFERROR(VLOOKUP(AK47,'ELA Reading Logic'!$A$22:$B$48,2,FALSE)-VLOOKUP($F47,'ELA Reading Logic'!$A$22:$B$48,2,FALSE),"No Value")</f>
        <v>No Value</v>
      </c>
      <c r="AP47" s="92"/>
      <c r="AQ47" s="96" t="str">
        <f>IFERROR(IF($E47="Yes","IPP",VLOOKUP($J47,'ELA Reading Logic'!$A$3:$K$9,VLOOKUP(AP$1,'ELA Reading Logic'!$J$22:$K$31,2,FALSE),FALSE)),"Set Grade")</f>
        <v>Set Grade</v>
      </c>
      <c r="AR47" s="96" t="str">
        <f>IFERROR(IF($E47="Yes","IPP",VLOOKUP($J47,'ELA Reading Logic'!$A$13:$K$19,VLOOKUP(AP$1,'ELA Reading Logic'!$J$22:$K$31,2,FALSE),FALSE)),"Set Grade")</f>
        <v>Set Grade</v>
      </c>
      <c r="AS47" s="96" t="str">
        <f>IF($E47="Yes","IPP",IFERROR(IF(AND(AP47&gt;AQ47,AP47&lt;AR47),"0",(VLOOKUP(AP47,'ELA Reading Logic'!$A$22:$B$48,2,FALSE))-(IF(VLOOKUP(AP47,'ELA Reading Logic'!$A$22:$B$48,2,FALSE)&lt;=VLOOKUP(AQ47,'ELA Reading Logic'!$A$22:$B$48,2,FALSE),VLOOKUP(AQ47,'ELA Reading Logic'!$A$22:$B$48,2,FALSE),IF(VLOOKUP(AP47,'ELA Reading Logic'!$A$22:$B$48,2,FALSE)&gt;=VLOOKUP(AR47,'ELA Reading Logic'!$A$22:$B$48,2,FALSE),VLOOKUP(AR47,'ELA Reading Logic'!$A$22:$B$48,2,FALSE),"No Score")))),"No Value"))</f>
        <v>No Value</v>
      </c>
      <c r="AT47" s="96" t="str">
        <f>IFERROR(VLOOKUP(AP47,'ELA Reading Logic'!$A$22:$B$48,2,FALSE)-VLOOKUP($F47,'ELA Reading Logic'!$A$22:$B$48,2,FALSE),"No Value")</f>
        <v>No Value</v>
      </c>
    </row>
    <row r="48" spans="1:46" ht="22.5" customHeight="1" x14ac:dyDescent="0.25">
      <c r="A48" s="174"/>
      <c r="B48" s="174"/>
      <c r="C48" s="174"/>
      <c r="D48" s="176"/>
      <c r="E48" s="175"/>
      <c r="F48" s="175"/>
      <c r="G48" s="177" t="str">
        <f>IFERROR(IF($E48="Yes","IPP",VLOOKUP($J48,'ELA Reading Logic'!$A$3:$K$9,VLOOKUP("September",'ELA Reading Logic'!$J$22:$K$31,2,FALSE),FALSE)),"Set Grade")</f>
        <v>Set Grade</v>
      </c>
      <c r="H48" s="177" t="str">
        <f>IFERROR(IF($E48="Yes","IPP",VLOOKUP($J48,'ELA Reading Logic'!$A$13:$K$19,VLOOKUP("September",'ELA Reading Logic'!$J$22:$K$31,2,FALSE),FALSE)),"Set Grade")</f>
        <v>Set Grade</v>
      </c>
      <c r="I48" s="96" t="str">
        <f>IF($E48="Yes","IPP",IFERROR(IF(AND(F48&gt;G48,F48&lt;H48),"0",(VLOOKUP(F48,'ELA Reading Logic'!$A$22:$B$48,2,FALSE))-(IF(VLOOKUP(F48,'ELA Reading Logic'!$A$22:$B$48,2,FALSE)&lt;=VLOOKUP(G48,'ELA Reading Logic'!$A$22:$B$48,2,FALSE),VLOOKUP(G48,'ELA Reading Logic'!$A$22:$B$48,2,FALSE),IF(VLOOKUP(F48,'ELA Reading Logic'!$A$22:$B$48,2,FALSE)&gt;=VLOOKUP(H48,'ELA Reading Logic'!$A$22:$B$48,2,FALSE),VLOOKUP(H48,'ELA Reading Logic'!$A$22:$B$48,2,FALSE),"No Score")))),"No Value"))</f>
        <v>No Value</v>
      </c>
      <c r="J48" s="178"/>
      <c r="K48" s="96"/>
      <c r="L48" s="96"/>
      <c r="M48" s="96"/>
      <c r="N48" s="96"/>
      <c r="O48" s="96"/>
      <c r="P48" s="105"/>
      <c r="Q48" s="92"/>
      <c r="R48" s="96" t="str">
        <f>IFERROR(IF($E48="Yes","IPP",VLOOKUP($J48,'ELA Reading Logic'!$A$3:$K$9,VLOOKUP(Q$1,'ELA Reading Logic'!$J$22:$K$31,2,FALSE),FALSE)),"Set Grade")</f>
        <v>Set Grade</v>
      </c>
      <c r="S48" s="96" t="str">
        <f>IFERROR(IF($E48="Yes","IPP",VLOOKUP($J48,'ELA Reading Logic'!$A$13:$K$19,VLOOKUP(Q$1,'ELA Reading Logic'!$J$22:$K$31,2,FALSE),FALSE)),"Set Grade")</f>
        <v>Set Grade</v>
      </c>
      <c r="T48" s="96" t="str">
        <f>IF($E48="Yes","IPP",IFERROR(IF(AND(Q48&gt;R48,Q48&lt;S48),"0",(VLOOKUP(Q48,'ELA Reading Logic'!$A$22:$B$48,2,FALSE))-(IF(VLOOKUP(Q48,'ELA Reading Logic'!$A$22:$B$48,2,FALSE)&lt;=VLOOKUP(R48,'ELA Reading Logic'!$A$22:$B$48,2,FALSE),VLOOKUP(R48,'ELA Reading Logic'!$A$22:$B$48,2,FALSE),IF(VLOOKUP(Q48,'ELA Reading Logic'!$A$22:$B$48,2,FALSE)&gt;=VLOOKUP(S48,'ELA Reading Logic'!$A$22:$B$48,2,FALSE),VLOOKUP(S48,'ELA Reading Logic'!$A$22:$B$48,2,FALSE),"No Score")))),"No Value"))</f>
        <v>No Value</v>
      </c>
      <c r="U48" s="96" t="str">
        <f>IFERROR(VLOOKUP(Q48,'ELA Reading Logic'!$A$22:$B$48,2,FALSE)-VLOOKUP($F48,'ELA Reading Logic'!$A$22:$B$48,2,FALSE),"No Value")</f>
        <v>No Value</v>
      </c>
      <c r="V48" s="92"/>
      <c r="W48" s="96" t="str">
        <f>IFERROR(IF($E48="Yes","IPP",VLOOKUP($J48,'ELA Reading Logic'!$A$3:$K$9,VLOOKUP(V$1,'ELA Reading Logic'!$J$22:$K$31,2,FALSE),FALSE)),"Set Grade")</f>
        <v>Set Grade</v>
      </c>
      <c r="X48" s="96" t="str">
        <f>IFERROR(IF($E48="Yes","IPP",VLOOKUP($J48,'ELA Reading Logic'!$A$13:$K$19,VLOOKUP(V$1,'ELA Reading Logic'!$J$22:$K$31,2,FALSE),FALSE)),"Set Grade")</f>
        <v>Set Grade</v>
      </c>
      <c r="Y48" s="96" t="str">
        <f>IF($E48="Yes","IPP",IFERROR(IF(AND(V48&gt;W48,V48&lt;X48),"0",(VLOOKUP(V48,'ELA Reading Logic'!$A$22:$B$48,2,FALSE))-(IF(VLOOKUP(V48,'ELA Reading Logic'!$A$22:$B$48,2,FALSE)&lt;=VLOOKUP(W48,'ELA Reading Logic'!$A$22:$B$48,2,FALSE),VLOOKUP(W48,'ELA Reading Logic'!$A$22:$B$48,2,FALSE),IF(VLOOKUP(V48,'ELA Reading Logic'!$A$22:$B$48,2,FALSE)&gt;=VLOOKUP(X48,'ELA Reading Logic'!$A$22:$B$48,2,FALSE),VLOOKUP(X48,'ELA Reading Logic'!$A$22:$B$48,2,FALSE),"No Score")))),"No Value"))</f>
        <v>No Value</v>
      </c>
      <c r="Z48" s="96" t="str">
        <f>IFERROR(VLOOKUP(V48,'ELA Reading Logic'!$A$22:$B$48,2,FALSE)-VLOOKUP($F48,'ELA Reading Logic'!$A$22:$B$48,2,FALSE),"No Value")</f>
        <v>No Value</v>
      </c>
      <c r="AA48" s="92"/>
      <c r="AB48" s="96" t="str">
        <f>IFERROR(IF($E48="Yes","IPP",VLOOKUP($J48,'ELA Reading Logic'!$A$3:$K$9,VLOOKUP(AA$1,'ELA Reading Logic'!$J$22:$K$31,2,FALSE),FALSE)),"Set Grade")</f>
        <v>Set Grade</v>
      </c>
      <c r="AC48" s="96" t="str">
        <f>IFERROR(IF($E48="Yes","IPP",VLOOKUP($J48,'ELA Reading Logic'!$A$13:$K$19,VLOOKUP(AA$1,'ELA Reading Logic'!$J$22:$K$31,2,FALSE),FALSE)),"Set Grade")</f>
        <v>Set Grade</v>
      </c>
      <c r="AD48" s="96" t="str">
        <f>IF($E48="Yes","IPP",IFERROR(IF(AND(AA48&gt;AB48,AA48&lt;AC48),"0",(VLOOKUP(AA48,'ELA Reading Logic'!$A$22:$B$48,2,FALSE))-(IF(VLOOKUP(AA48,'ELA Reading Logic'!$A$22:$B$48,2,FALSE)&lt;=VLOOKUP(AB48,'ELA Reading Logic'!$A$22:$B$48,2,FALSE),VLOOKUP(AB48,'ELA Reading Logic'!$A$22:$B$48,2,FALSE),IF(VLOOKUP(AA48,'ELA Reading Logic'!$A$22:$B$48,2,FALSE)&gt;=VLOOKUP(AC48,'ELA Reading Logic'!$A$22:$B$48,2,FALSE),VLOOKUP(AC48,'ELA Reading Logic'!$A$22:$B$48,2,FALSE),"No Score")))),"No Value"))</f>
        <v>No Value</v>
      </c>
      <c r="AE48" s="96" t="str">
        <f>IFERROR(VLOOKUP(AA48,'ELA Reading Logic'!$A$22:$B$48,2,FALSE)-VLOOKUP($F48,'ELA Reading Logic'!$A$22:$B$48,2,FALSE),"No Value")</f>
        <v>No Value</v>
      </c>
      <c r="AF48" s="92"/>
      <c r="AG48" s="96" t="str">
        <f>IFERROR(IF($E48="Yes","IPP",VLOOKUP($J48,'ELA Reading Logic'!$A$3:$K$9,VLOOKUP(AF$1,'ELA Reading Logic'!$J$22:$K$31,2,FALSE),FALSE)),"Set Grade")</f>
        <v>Set Grade</v>
      </c>
      <c r="AH48" s="96" t="str">
        <f>IFERROR(IF($E48="Yes","IPP",VLOOKUP($J48,'ELA Reading Logic'!$A$13:$K$19,VLOOKUP(AF$1,'ELA Reading Logic'!$J$22:$K$31,2,FALSE),FALSE)),"Set Grade")</f>
        <v>Set Grade</v>
      </c>
      <c r="AI48" s="96" t="str">
        <f>IF($E48="Yes","IPP",IFERROR(IF(AND(AF48&gt;AG48,AF48&lt;AH48),"0",(VLOOKUP(AF48,'ELA Reading Logic'!$A$22:$B$48,2,FALSE))-(IF(VLOOKUP(AF48,'ELA Reading Logic'!$A$22:$B$48,2,FALSE)&lt;=VLOOKUP(AG48,'ELA Reading Logic'!$A$22:$B$48,2,FALSE),VLOOKUP(AG48,'ELA Reading Logic'!$A$22:$B$48,2,FALSE),IF(VLOOKUP(AF48,'ELA Reading Logic'!$A$22:$B$48,2,FALSE)&gt;=VLOOKUP(AH48,'ELA Reading Logic'!$A$22:$B$48,2,FALSE),VLOOKUP(AH48,'ELA Reading Logic'!$A$22:$B$48,2,FALSE),"No Score")))),"No Value"))</f>
        <v>No Value</v>
      </c>
      <c r="AJ48" s="96" t="str">
        <f>IFERROR(VLOOKUP(AF48,'ELA Reading Logic'!$A$22:$B$48,2,FALSE)-VLOOKUP($F48,'ELA Reading Logic'!$A$22:$B$48,2,FALSE),"No Value")</f>
        <v>No Value</v>
      </c>
      <c r="AK48" s="92"/>
      <c r="AL48" s="96" t="str">
        <f>IFERROR(IF($E48="Yes","IPP",VLOOKUP($J48,'ELA Reading Logic'!$A$3:$K$9,VLOOKUP(AK$1,'ELA Reading Logic'!$J$22:$K$31,2,FALSE),FALSE)),"Set Grade")</f>
        <v>Set Grade</v>
      </c>
      <c r="AM48" s="96" t="str">
        <f>IFERROR(IF($E48="Yes","IPP",VLOOKUP($J48,'ELA Reading Logic'!$A$13:$K$19,VLOOKUP(AK$1,'ELA Reading Logic'!$J$22:$K$31,2,FALSE),FALSE)),"Set Grade")</f>
        <v>Set Grade</v>
      </c>
      <c r="AN48" s="96" t="str">
        <f>IF($E48="Yes","IPP",IFERROR(IF(AND(AK48&gt;AL48,AK48&lt;AM48),"0",(VLOOKUP(AK48,'ELA Reading Logic'!$A$22:$B$48,2,FALSE))-(IF(VLOOKUP(AK48,'ELA Reading Logic'!$A$22:$B$48,2,FALSE)&lt;=VLOOKUP(AL48,'ELA Reading Logic'!$A$22:$B$48,2,FALSE),VLOOKUP(AL48,'ELA Reading Logic'!$A$22:$B$48,2,FALSE),IF(VLOOKUP(AK48,'ELA Reading Logic'!$A$22:$B$48,2,FALSE)&gt;=VLOOKUP(AM48,'ELA Reading Logic'!$A$22:$B$48,2,FALSE),VLOOKUP(AM48,'ELA Reading Logic'!$A$22:$B$48,2,FALSE),"No Score")))),"No Value"))</f>
        <v>No Value</v>
      </c>
      <c r="AO48" s="96" t="str">
        <f>IFERROR(VLOOKUP(AK48,'ELA Reading Logic'!$A$22:$B$48,2,FALSE)-VLOOKUP($F48,'ELA Reading Logic'!$A$22:$B$48,2,FALSE),"No Value")</f>
        <v>No Value</v>
      </c>
      <c r="AP48" s="92"/>
      <c r="AQ48" s="96" t="str">
        <f>IFERROR(IF($E48="Yes","IPP",VLOOKUP($J48,'ELA Reading Logic'!$A$3:$K$9,VLOOKUP(AP$1,'ELA Reading Logic'!$J$22:$K$31,2,FALSE),FALSE)),"Set Grade")</f>
        <v>Set Grade</v>
      </c>
      <c r="AR48" s="96" t="str">
        <f>IFERROR(IF($E48="Yes","IPP",VLOOKUP($J48,'ELA Reading Logic'!$A$13:$K$19,VLOOKUP(AP$1,'ELA Reading Logic'!$J$22:$K$31,2,FALSE),FALSE)),"Set Grade")</f>
        <v>Set Grade</v>
      </c>
      <c r="AS48" s="96" t="str">
        <f>IF($E48="Yes","IPP",IFERROR(IF(AND(AP48&gt;AQ48,AP48&lt;AR48),"0",(VLOOKUP(AP48,'ELA Reading Logic'!$A$22:$B$48,2,FALSE))-(IF(VLOOKUP(AP48,'ELA Reading Logic'!$A$22:$B$48,2,FALSE)&lt;=VLOOKUP(AQ48,'ELA Reading Logic'!$A$22:$B$48,2,FALSE),VLOOKUP(AQ48,'ELA Reading Logic'!$A$22:$B$48,2,FALSE),IF(VLOOKUP(AP48,'ELA Reading Logic'!$A$22:$B$48,2,FALSE)&gt;=VLOOKUP(AR48,'ELA Reading Logic'!$A$22:$B$48,2,FALSE),VLOOKUP(AR48,'ELA Reading Logic'!$A$22:$B$48,2,FALSE),"No Score")))),"No Value"))</f>
        <v>No Value</v>
      </c>
      <c r="AT48" s="96" t="str">
        <f>IFERROR(VLOOKUP(AP48,'ELA Reading Logic'!$A$22:$B$48,2,FALSE)-VLOOKUP($F48,'ELA Reading Logic'!$A$22:$B$48,2,FALSE),"No Value")</f>
        <v>No Value</v>
      </c>
    </row>
    <row r="49" spans="1:46" ht="22.5" customHeight="1" x14ac:dyDescent="0.25">
      <c r="A49" s="176"/>
      <c r="B49" s="176"/>
      <c r="C49" s="176"/>
      <c r="D49" s="176"/>
      <c r="E49" s="175"/>
      <c r="F49" s="175"/>
      <c r="G49" s="177" t="str">
        <f>IFERROR(IF($E49="Yes","IPP",VLOOKUP($J49,'ELA Reading Logic'!$A$3:$K$9,VLOOKUP("September",'ELA Reading Logic'!$J$22:$K$31,2,FALSE),FALSE)),"Set Grade")</f>
        <v>Set Grade</v>
      </c>
      <c r="H49" s="177" t="str">
        <f>IFERROR(IF($E49="Yes","IPP",VLOOKUP($J49,'ELA Reading Logic'!$A$13:$K$19,VLOOKUP("September",'ELA Reading Logic'!$J$22:$K$31,2,FALSE),FALSE)),"Set Grade")</f>
        <v>Set Grade</v>
      </c>
      <c r="I49" s="96" t="str">
        <f>IF($E49="Yes","IPP",IFERROR(IF(AND(F49&gt;G49,F49&lt;H49),"0",(VLOOKUP(F49,'ELA Reading Logic'!$A$22:$B$48,2,FALSE))-(IF(VLOOKUP(F49,'ELA Reading Logic'!$A$22:$B$48,2,FALSE)&lt;=VLOOKUP(G49,'ELA Reading Logic'!$A$22:$B$48,2,FALSE),VLOOKUP(G49,'ELA Reading Logic'!$A$22:$B$48,2,FALSE),IF(VLOOKUP(F49,'ELA Reading Logic'!$A$22:$B$48,2,FALSE)&gt;=VLOOKUP(H49,'ELA Reading Logic'!$A$22:$B$48,2,FALSE),VLOOKUP(H49,'ELA Reading Logic'!$A$22:$B$48,2,FALSE),"No Score")))),"No Value"))</f>
        <v>No Value</v>
      </c>
      <c r="J49" s="178"/>
      <c r="K49" s="96"/>
      <c r="L49" s="96"/>
      <c r="M49" s="96"/>
      <c r="N49" s="96"/>
      <c r="O49" s="96"/>
      <c r="P49" s="105"/>
      <c r="Q49" s="92"/>
      <c r="R49" s="96" t="str">
        <f>IFERROR(IF($E49="Yes","IPP",VLOOKUP($J49,'ELA Reading Logic'!$A$3:$K$9,VLOOKUP(Q$1,'ELA Reading Logic'!$J$22:$K$31,2,FALSE),FALSE)),"Set Grade")</f>
        <v>Set Grade</v>
      </c>
      <c r="S49" s="96" t="str">
        <f>IFERROR(IF($E49="Yes","IPP",VLOOKUP($J49,'ELA Reading Logic'!$A$13:$K$19,VLOOKUP(Q$1,'ELA Reading Logic'!$J$22:$K$31,2,FALSE),FALSE)),"Set Grade")</f>
        <v>Set Grade</v>
      </c>
      <c r="T49" s="96" t="str">
        <f>IF($E49="Yes","IPP",IFERROR(IF(AND(Q49&gt;R49,Q49&lt;S49),"0",(VLOOKUP(Q49,'ELA Reading Logic'!$A$22:$B$48,2,FALSE))-(IF(VLOOKUP(Q49,'ELA Reading Logic'!$A$22:$B$48,2,FALSE)&lt;=VLOOKUP(R49,'ELA Reading Logic'!$A$22:$B$48,2,FALSE),VLOOKUP(R49,'ELA Reading Logic'!$A$22:$B$48,2,FALSE),IF(VLOOKUP(Q49,'ELA Reading Logic'!$A$22:$B$48,2,FALSE)&gt;=VLOOKUP(S49,'ELA Reading Logic'!$A$22:$B$48,2,FALSE),VLOOKUP(S49,'ELA Reading Logic'!$A$22:$B$48,2,FALSE),"No Score")))),"No Value"))</f>
        <v>No Value</v>
      </c>
      <c r="U49" s="96" t="str">
        <f>IFERROR(VLOOKUP(Q49,'ELA Reading Logic'!$A$22:$B$48,2,FALSE)-VLOOKUP($F49,'ELA Reading Logic'!$A$22:$B$48,2,FALSE),"No Value")</f>
        <v>No Value</v>
      </c>
      <c r="V49" s="92"/>
      <c r="W49" s="96" t="str">
        <f>IFERROR(IF($E49="Yes","IPP",VLOOKUP($J49,'ELA Reading Logic'!$A$3:$K$9,VLOOKUP(V$1,'ELA Reading Logic'!$J$22:$K$31,2,FALSE),FALSE)),"Set Grade")</f>
        <v>Set Grade</v>
      </c>
      <c r="X49" s="96" t="str">
        <f>IFERROR(IF($E49="Yes","IPP",VLOOKUP($J49,'ELA Reading Logic'!$A$13:$K$19,VLOOKUP(V$1,'ELA Reading Logic'!$J$22:$K$31,2,FALSE),FALSE)),"Set Grade")</f>
        <v>Set Grade</v>
      </c>
      <c r="Y49" s="96" t="str">
        <f>IF($E49="Yes","IPP",IFERROR(IF(AND(V49&gt;W49,V49&lt;X49),"0",(VLOOKUP(V49,'ELA Reading Logic'!$A$22:$B$48,2,FALSE))-(IF(VLOOKUP(V49,'ELA Reading Logic'!$A$22:$B$48,2,FALSE)&lt;=VLOOKUP(W49,'ELA Reading Logic'!$A$22:$B$48,2,FALSE),VLOOKUP(W49,'ELA Reading Logic'!$A$22:$B$48,2,FALSE),IF(VLOOKUP(V49,'ELA Reading Logic'!$A$22:$B$48,2,FALSE)&gt;=VLOOKUP(X49,'ELA Reading Logic'!$A$22:$B$48,2,FALSE),VLOOKUP(X49,'ELA Reading Logic'!$A$22:$B$48,2,FALSE),"No Score")))),"No Value"))</f>
        <v>No Value</v>
      </c>
      <c r="Z49" s="96" t="str">
        <f>IFERROR(VLOOKUP(V49,'ELA Reading Logic'!$A$22:$B$48,2,FALSE)-VLOOKUP($F49,'ELA Reading Logic'!$A$22:$B$48,2,FALSE),"No Value")</f>
        <v>No Value</v>
      </c>
      <c r="AA49" s="92"/>
      <c r="AB49" s="96" t="str">
        <f>IFERROR(IF($E49="Yes","IPP",VLOOKUP($J49,'ELA Reading Logic'!$A$3:$K$9,VLOOKUP(AA$1,'ELA Reading Logic'!$J$22:$K$31,2,FALSE),FALSE)),"Set Grade")</f>
        <v>Set Grade</v>
      </c>
      <c r="AC49" s="96" t="str">
        <f>IFERROR(IF($E49="Yes","IPP",VLOOKUP($J49,'ELA Reading Logic'!$A$13:$K$19,VLOOKUP(AA$1,'ELA Reading Logic'!$J$22:$K$31,2,FALSE),FALSE)),"Set Grade")</f>
        <v>Set Grade</v>
      </c>
      <c r="AD49" s="96" t="str">
        <f>IF($E49="Yes","IPP",IFERROR(IF(AND(AA49&gt;AB49,AA49&lt;AC49),"0",(VLOOKUP(AA49,'ELA Reading Logic'!$A$22:$B$48,2,FALSE))-(IF(VLOOKUP(AA49,'ELA Reading Logic'!$A$22:$B$48,2,FALSE)&lt;=VLOOKUP(AB49,'ELA Reading Logic'!$A$22:$B$48,2,FALSE),VLOOKUP(AB49,'ELA Reading Logic'!$A$22:$B$48,2,FALSE),IF(VLOOKUP(AA49,'ELA Reading Logic'!$A$22:$B$48,2,FALSE)&gt;=VLOOKUP(AC49,'ELA Reading Logic'!$A$22:$B$48,2,FALSE),VLOOKUP(AC49,'ELA Reading Logic'!$A$22:$B$48,2,FALSE),"No Score")))),"No Value"))</f>
        <v>No Value</v>
      </c>
      <c r="AE49" s="96" t="str">
        <f>IFERROR(VLOOKUP(AA49,'ELA Reading Logic'!$A$22:$B$48,2,FALSE)-VLOOKUP($F49,'ELA Reading Logic'!$A$22:$B$48,2,FALSE),"No Value")</f>
        <v>No Value</v>
      </c>
      <c r="AF49" s="92"/>
      <c r="AG49" s="96" t="str">
        <f>IFERROR(IF($E49="Yes","IPP",VLOOKUP($J49,'ELA Reading Logic'!$A$3:$K$9,VLOOKUP(AF$1,'ELA Reading Logic'!$J$22:$K$31,2,FALSE),FALSE)),"Set Grade")</f>
        <v>Set Grade</v>
      </c>
      <c r="AH49" s="96" t="str">
        <f>IFERROR(IF($E49="Yes","IPP",VLOOKUP($J49,'ELA Reading Logic'!$A$13:$K$19,VLOOKUP(AF$1,'ELA Reading Logic'!$J$22:$K$31,2,FALSE),FALSE)),"Set Grade")</f>
        <v>Set Grade</v>
      </c>
      <c r="AI49" s="96" t="str">
        <f>IF($E49="Yes","IPP",IFERROR(IF(AND(AF49&gt;AG49,AF49&lt;AH49),"0",(VLOOKUP(AF49,'ELA Reading Logic'!$A$22:$B$48,2,FALSE))-(IF(VLOOKUP(AF49,'ELA Reading Logic'!$A$22:$B$48,2,FALSE)&lt;=VLOOKUP(AG49,'ELA Reading Logic'!$A$22:$B$48,2,FALSE),VLOOKUP(AG49,'ELA Reading Logic'!$A$22:$B$48,2,FALSE),IF(VLOOKUP(AF49,'ELA Reading Logic'!$A$22:$B$48,2,FALSE)&gt;=VLOOKUP(AH49,'ELA Reading Logic'!$A$22:$B$48,2,FALSE),VLOOKUP(AH49,'ELA Reading Logic'!$A$22:$B$48,2,FALSE),"No Score")))),"No Value"))</f>
        <v>No Value</v>
      </c>
      <c r="AJ49" s="96" t="str">
        <f>IFERROR(VLOOKUP(AF49,'ELA Reading Logic'!$A$22:$B$48,2,FALSE)-VLOOKUP($F49,'ELA Reading Logic'!$A$22:$B$48,2,FALSE),"No Value")</f>
        <v>No Value</v>
      </c>
      <c r="AK49" s="92"/>
      <c r="AL49" s="96" t="str">
        <f>IFERROR(IF($E49="Yes","IPP",VLOOKUP($J49,'ELA Reading Logic'!$A$3:$K$9,VLOOKUP(AK$1,'ELA Reading Logic'!$J$22:$K$31,2,FALSE),FALSE)),"Set Grade")</f>
        <v>Set Grade</v>
      </c>
      <c r="AM49" s="96" t="str">
        <f>IFERROR(IF($E49="Yes","IPP",VLOOKUP($J49,'ELA Reading Logic'!$A$13:$K$19,VLOOKUP(AK$1,'ELA Reading Logic'!$J$22:$K$31,2,FALSE),FALSE)),"Set Grade")</f>
        <v>Set Grade</v>
      </c>
      <c r="AN49" s="96" t="str">
        <f>IF($E49="Yes","IPP",IFERROR(IF(AND(AK49&gt;AL49,AK49&lt;AM49),"0",(VLOOKUP(AK49,'ELA Reading Logic'!$A$22:$B$48,2,FALSE))-(IF(VLOOKUP(AK49,'ELA Reading Logic'!$A$22:$B$48,2,FALSE)&lt;=VLOOKUP(AL49,'ELA Reading Logic'!$A$22:$B$48,2,FALSE),VLOOKUP(AL49,'ELA Reading Logic'!$A$22:$B$48,2,FALSE),IF(VLOOKUP(AK49,'ELA Reading Logic'!$A$22:$B$48,2,FALSE)&gt;=VLOOKUP(AM49,'ELA Reading Logic'!$A$22:$B$48,2,FALSE),VLOOKUP(AM49,'ELA Reading Logic'!$A$22:$B$48,2,FALSE),"No Score")))),"No Value"))</f>
        <v>No Value</v>
      </c>
      <c r="AO49" s="96" t="str">
        <f>IFERROR(VLOOKUP(AK49,'ELA Reading Logic'!$A$22:$B$48,2,FALSE)-VLOOKUP($F49,'ELA Reading Logic'!$A$22:$B$48,2,FALSE),"No Value")</f>
        <v>No Value</v>
      </c>
      <c r="AP49" s="92"/>
      <c r="AQ49" s="96" t="str">
        <f>IFERROR(IF($E49="Yes","IPP",VLOOKUP($J49,'ELA Reading Logic'!$A$3:$K$9,VLOOKUP(AP$1,'ELA Reading Logic'!$J$22:$K$31,2,FALSE),FALSE)),"Set Grade")</f>
        <v>Set Grade</v>
      </c>
      <c r="AR49" s="96" t="str">
        <f>IFERROR(IF($E49="Yes","IPP",VLOOKUP($J49,'ELA Reading Logic'!$A$13:$K$19,VLOOKUP(AP$1,'ELA Reading Logic'!$J$22:$K$31,2,FALSE),FALSE)),"Set Grade")</f>
        <v>Set Grade</v>
      </c>
      <c r="AS49" s="96" t="str">
        <f>IF($E49="Yes","IPP",IFERROR(IF(AND(AP49&gt;AQ49,AP49&lt;AR49),"0",(VLOOKUP(AP49,'ELA Reading Logic'!$A$22:$B$48,2,FALSE))-(IF(VLOOKUP(AP49,'ELA Reading Logic'!$A$22:$B$48,2,FALSE)&lt;=VLOOKUP(AQ49,'ELA Reading Logic'!$A$22:$B$48,2,FALSE),VLOOKUP(AQ49,'ELA Reading Logic'!$A$22:$B$48,2,FALSE),IF(VLOOKUP(AP49,'ELA Reading Logic'!$A$22:$B$48,2,FALSE)&gt;=VLOOKUP(AR49,'ELA Reading Logic'!$A$22:$B$48,2,FALSE),VLOOKUP(AR49,'ELA Reading Logic'!$A$22:$B$48,2,FALSE),"No Score")))),"No Value"))</f>
        <v>No Value</v>
      </c>
      <c r="AT49" s="96" t="str">
        <f>IFERROR(VLOOKUP(AP49,'ELA Reading Logic'!$A$22:$B$48,2,FALSE)-VLOOKUP($F49,'ELA Reading Logic'!$A$22:$B$48,2,FALSE),"No Value")</f>
        <v>No Value</v>
      </c>
    </row>
    <row r="50" spans="1:46" ht="22.5" customHeight="1" x14ac:dyDescent="0.25">
      <c r="A50" s="176"/>
      <c r="B50" s="176"/>
      <c r="C50" s="176"/>
      <c r="D50" s="176"/>
      <c r="E50" s="175"/>
      <c r="F50" s="175"/>
      <c r="G50" s="177" t="str">
        <f>IFERROR(IF($E50="Yes","IPP",VLOOKUP($J50,'ELA Reading Logic'!$A$3:$K$9,VLOOKUP("September",'ELA Reading Logic'!$J$22:$K$31,2,FALSE),FALSE)),"Set Grade")</f>
        <v>Set Grade</v>
      </c>
      <c r="H50" s="177" t="str">
        <f>IFERROR(IF($E50="Yes","IPP",VLOOKUP($J50,'ELA Reading Logic'!$A$13:$K$19,VLOOKUP("September",'ELA Reading Logic'!$J$22:$K$31,2,FALSE),FALSE)),"Set Grade")</f>
        <v>Set Grade</v>
      </c>
      <c r="I50" s="96" t="str">
        <f>IF($E50="Yes","IPP",IFERROR(IF(AND(F50&gt;G50,F50&lt;H50),"0",(VLOOKUP(F50,'ELA Reading Logic'!$A$22:$B$48,2,FALSE))-(IF(VLOOKUP(F50,'ELA Reading Logic'!$A$22:$B$48,2,FALSE)&lt;=VLOOKUP(G50,'ELA Reading Logic'!$A$22:$B$48,2,FALSE),VLOOKUP(G50,'ELA Reading Logic'!$A$22:$B$48,2,FALSE),IF(VLOOKUP(F50,'ELA Reading Logic'!$A$22:$B$48,2,FALSE)&gt;=VLOOKUP(H50,'ELA Reading Logic'!$A$22:$B$48,2,FALSE),VLOOKUP(H50,'ELA Reading Logic'!$A$22:$B$48,2,FALSE),"No Score")))),"No Value"))</f>
        <v>No Value</v>
      </c>
      <c r="J50" s="178"/>
      <c r="K50" s="96"/>
      <c r="L50" s="96"/>
      <c r="M50" s="96"/>
      <c r="N50" s="96"/>
      <c r="O50" s="96"/>
      <c r="P50" s="105"/>
      <c r="Q50" s="92"/>
      <c r="R50" s="96" t="str">
        <f>IFERROR(IF($E50="Yes","IPP",VLOOKUP($J50,'ELA Reading Logic'!$A$3:$K$9,VLOOKUP(Q$1,'ELA Reading Logic'!$J$22:$K$31,2,FALSE),FALSE)),"Set Grade")</f>
        <v>Set Grade</v>
      </c>
      <c r="S50" s="96" t="str">
        <f>IFERROR(IF($E50="Yes","IPP",VLOOKUP($J50,'ELA Reading Logic'!$A$13:$K$19,VLOOKUP(Q$1,'ELA Reading Logic'!$J$22:$K$31,2,FALSE),FALSE)),"Set Grade")</f>
        <v>Set Grade</v>
      </c>
      <c r="T50" s="96" t="str">
        <f>IF($E50="Yes","IPP",IFERROR(IF(AND(Q50&gt;R50,Q50&lt;S50),"0",(VLOOKUP(Q50,'ELA Reading Logic'!$A$22:$B$48,2,FALSE))-(IF(VLOOKUP(Q50,'ELA Reading Logic'!$A$22:$B$48,2,FALSE)&lt;=VLOOKUP(R50,'ELA Reading Logic'!$A$22:$B$48,2,FALSE),VLOOKUP(R50,'ELA Reading Logic'!$A$22:$B$48,2,FALSE),IF(VLOOKUP(Q50,'ELA Reading Logic'!$A$22:$B$48,2,FALSE)&gt;=VLOOKUP(S50,'ELA Reading Logic'!$A$22:$B$48,2,FALSE),VLOOKUP(S50,'ELA Reading Logic'!$A$22:$B$48,2,FALSE),"No Score")))),"No Value"))</f>
        <v>No Value</v>
      </c>
      <c r="U50" s="96" t="str">
        <f>IFERROR(VLOOKUP(Q50,'ELA Reading Logic'!$A$22:$B$48,2,FALSE)-VLOOKUP($F50,'ELA Reading Logic'!$A$22:$B$48,2,FALSE),"No Value")</f>
        <v>No Value</v>
      </c>
      <c r="V50" s="92"/>
      <c r="W50" s="96" t="str">
        <f>IFERROR(IF($E50="Yes","IPP",VLOOKUP($J50,'ELA Reading Logic'!$A$3:$K$9,VLOOKUP(V$1,'ELA Reading Logic'!$J$22:$K$31,2,FALSE),FALSE)),"Set Grade")</f>
        <v>Set Grade</v>
      </c>
      <c r="X50" s="96" t="str">
        <f>IFERROR(IF($E50="Yes","IPP",VLOOKUP($J50,'ELA Reading Logic'!$A$13:$K$19,VLOOKUP(V$1,'ELA Reading Logic'!$J$22:$K$31,2,FALSE),FALSE)),"Set Grade")</f>
        <v>Set Grade</v>
      </c>
      <c r="Y50" s="96" t="str">
        <f>IF($E50="Yes","IPP",IFERROR(IF(AND(V50&gt;W50,V50&lt;X50),"0",(VLOOKUP(V50,'ELA Reading Logic'!$A$22:$B$48,2,FALSE))-(IF(VLOOKUP(V50,'ELA Reading Logic'!$A$22:$B$48,2,FALSE)&lt;=VLOOKUP(W50,'ELA Reading Logic'!$A$22:$B$48,2,FALSE),VLOOKUP(W50,'ELA Reading Logic'!$A$22:$B$48,2,FALSE),IF(VLOOKUP(V50,'ELA Reading Logic'!$A$22:$B$48,2,FALSE)&gt;=VLOOKUP(X50,'ELA Reading Logic'!$A$22:$B$48,2,FALSE),VLOOKUP(X50,'ELA Reading Logic'!$A$22:$B$48,2,FALSE),"No Score")))),"No Value"))</f>
        <v>No Value</v>
      </c>
      <c r="Z50" s="96" t="str">
        <f>IFERROR(VLOOKUP(V50,'ELA Reading Logic'!$A$22:$B$48,2,FALSE)-VLOOKUP($F50,'ELA Reading Logic'!$A$22:$B$48,2,FALSE),"No Value")</f>
        <v>No Value</v>
      </c>
      <c r="AA50" s="92"/>
      <c r="AB50" s="96" t="str">
        <f>IFERROR(IF($E50="Yes","IPP",VLOOKUP($J50,'ELA Reading Logic'!$A$3:$K$9,VLOOKUP(AA$1,'ELA Reading Logic'!$J$22:$K$31,2,FALSE),FALSE)),"Set Grade")</f>
        <v>Set Grade</v>
      </c>
      <c r="AC50" s="96" t="str">
        <f>IFERROR(IF($E50="Yes","IPP",VLOOKUP($J50,'ELA Reading Logic'!$A$13:$K$19,VLOOKUP(AA$1,'ELA Reading Logic'!$J$22:$K$31,2,FALSE),FALSE)),"Set Grade")</f>
        <v>Set Grade</v>
      </c>
      <c r="AD50" s="96" t="str">
        <f>IF($E50="Yes","IPP",IFERROR(IF(AND(AA50&gt;AB50,AA50&lt;AC50),"0",(VLOOKUP(AA50,'ELA Reading Logic'!$A$22:$B$48,2,FALSE))-(IF(VLOOKUP(AA50,'ELA Reading Logic'!$A$22:$B$48,2,FALSE)&lt;=VLOOKUP(AB50,'ELA Reading Logic'!$A$22:$B$48,2,FALSE),VLOOKUP(AB50,'ELA Reading Logic'!$A$22:$B$48,2,FALSE),IF(VLOOKUP(AA50,'ELA Reading Logic'!$A$22:$B$48,2,FALSE)&gt;=VLOOKUP(AC50,'ELA Reading Logic'!$A$22:$B$48,2,FALSE),VLOOKUP(AC50,'ELA Reading Logic'!$A$22:$B$48,2,FALSE),"No Score")))),"No Value"))</f>
        <v>No Value</v>
      </c>
      <c r="AE50" s="96" t="str">
        <f>IFERROR(VLOOKUP(AA50,'ELA Reading Logic'!$A$22:$B$48,2,FALSE)-VLOOKUP($F50,'ELA Reading Logic'!$A$22:$B$48,2,FALSE),"No Value")</f>
        <v>No Value</v>
      </c>
      <c r="AF50" s="92"/>
      <c r="AG50" s="96" t="str">
        <f>IFERROR(IF($E50="Yes","IPP",VLOOKUP($J50,'ELA Reading Logic'!$A$3:$K$9,VLOOKUP(AF$1,'ELA Reading Logic'!$J$22:$K$31,2,FALSE),FALSE)),"Set Grade")</f>
        <v>Set Grade</v>
      </c>
      <c r="AH50" s="96" t="str">
        <f>IFERROR(IF($E50="Yes","IPP",VLOOKUP($J50,'ELA Reading Logic'!$A$13:$K$19,VLOOKUP(AF$1,'ELA Reading Logic'!$J$22:$K$31,2,FALSE),FALSE)),"Set Grade")</f>
        <v>Set Grade</v>
      </c>
      <c r="AI50" s="96" t="str">
        <f>IF($E50="Yes","IPP",IFERROR(IF(AND(AF50&gt;AG50,AF50&lt;AH50),"0",(VLOOKUP(AF50,'ELA Reading Logic'!$A$22:$B$48,2,FALSE))-(IF(VLOOKUP(AF50,'ELA Reading Logic'!$A$22:$B$48,2,FALSE)&lt;=VLOOKUP(AG50,'ELA Reading Logic'!$A$22:$B$48,2,FALSE),VLOOKUP(AG50,'ELA Reading Logic'!$A$22:$B$48,2,FALSE),IF(VLOOKUP(AF50,'ELA Reading Logic'!$A$22:$B$48,2,FALSE)&gt;=VLOOKUP(AH50,'ELA Reading Logic'!$A$22:$B$48,2,FALSE),VLOOKUP(AH50,'ELA Reading Logic'!$A$22:$B$48,2,FALSE),"No Score")))),"No Value"))</f>
        <v>No Value</v>
      </c>
      <c r="AJ50" s="96" t="str">
        <f>IFERROR(VLOOKUP(AF50,'ELA Reading Logic'!$A$22:$B$48,2,FALSE)-VLOOKUP($F50,'ELA Reading Logic'!$A$22:$B$48,2,FALSE),"No Value")</f>
        <v>No Value</v>
      </c>
      <c r="AK50" s="92"/>
      <c r="AL50" s="96" t="str">
        <f>IFERROR(IF($E50="Yes","IPP",VLOOKUP($J50,'ELA Reading Logic'!$A$3:$K$9,VLOOKUP(AK$1,'ELA Reading Logic'!$J$22:$K$31,2,FALSE),FALSE)),"Set Grade")</f>
        <v>Set Grade</v>
      </c>
      <c r="AM50" s="96" t="str">
        <f>IFERROR(IF($E50="Yes","IPP",VLOOKUP($J50,'ELA Reading Logic'!$A$13:$K$19,VLOOKUP(AK$1,'ELA Reading Logic'!$J$22:$K$31,2,FALSE),FALSE)),"Set Grade")</f>
        <v>Set Grade</v>
      </c>
      <c r="AN50" s="96" t="str">
        <f>IF($E50="Yes","IPP",IFERROR(IF(AND(AK50&gt;AL50,AK50&lt;AM50),"0",(VLOOKUP(AK50,'ELA Reading Logic'!$A$22:$B$48,2,FALSE))-(IF(VLOOKUP(AK50,'ELA Reading Logic'!$A$22:$B$48,2,FALSE)&lt;=VLOOKUP(AL50,'ELA Reading Logic'!$A$22:$B$48,2,FALSE),VLOOKUP(AL50,'ELA Reading Logic'!$A$22:$B$48,2,FALSE),IF(VLOOKUP(AK50,'ELA Reading Logic'!$A$22:$B$48,2,FALSE)&gt;=VLOOKUP(AM50,'ELA Reading Logic'!$A$22:$B$48,2,FALSE),VLOOKUP(AM50,'ELA Reading Logic'!$A$22:$B$48,2,FALSE),"No Score")))),"No Value"))</f>
        <v>No Value</v>
      </c>
      <c r="AO50" s="96" t="str">
        <f>IFERROR(VLOOKUP(AK50,'ELA Reading Logic'!$A$22:$B$48,2,FALSE)-VLOOKUP($F50,'ELA Reading Logic'!$A$22:$B$48,2,FALSE),"No Value")</f>
        <v>No Value</v>
      </c>
      <c r="AP50" s="92"/>
      <c r="AQ50" s="96" t="str">
        <f>IFERROR(IF($E50="Yes","IPP",VLOOKUP($J50,'ELA Reading Logic'!$A$3:$K$9,VLOOKUP(AP$1,'ELA Reading Logic'!$J$22:$K$31,2,FALSE),FALSE)),"Set Grade")</f>
        <v>Set Grade</v>
      </c>
      <c r="AR50" s="96" t="str">
        <f>IFERROR(IF($E50="Yes","IPP",VLOOKUP($J50,'ELA Reading Logic'!$A$13:$K$19,VLOOKUP(AP$1,'ELA Reading Logic'!$J$22:$K$31,2,FALSE),FALSE)),"Set Grade")</f>
        <v>Set Grade</v>
      </c>
      <c r="AS50" s="96" t="str">
        <f>IF($E50="Yes","IPP",IFERROR(IF(AND(AP50&gt;AQ50,AP50&lt;AR50),"0",(VLOOKUP(AP50,'ELA Reading Logic'!$A$22:$B$48,2,FALSE))-(IF(VLOOKUP(AP50,'ELA Reading Logic'!$A$22:$B$48,2,FALSE)&lt;=VLOOKUP(AQ50,'ELA Reading Logic'!$A$22:$B$48,2,FALSE),VLOOKUP(AQ50,'ELA Reading Logic'!$A$22:$B$48,2,FALSE),IF(VLOOKUP(AP50,'ELA Reading Logic'!$A$22:$B$48,2,FALSE)&gt;=VLOOKUP(AR50,'ELA Reading Logic'!$A$22:$B$48,2,FALSE),VLOOKUP(AR50,'ELA Reading Logic'!$A$22:$B$48,2,FALSE),"No Score")))),"No Value"))</f>
        <v>No Value</v>
      </c>
      <c r="AT50" s="96" t="str">
        <f>IFERROR(VLOOKUP(AP50,'ELA Reading Logic'!$A$22:$B$48,2,FALSE)-VLOOKUP($F50,'ELA Reading Logic'!$A$22:$B$48,2,FALSE),"No Value")</f>
        <v>No Value</v>
      </c>
    </row>
    <row r="51" spans="1:46" ht="22.5" customHeight="1" x14ac:dyDescent="0.25">
      <c r="A51" s="174"/>
      <c r="B51" s="174"/>
      <c r="C51" s="174"/>
      <c r="D51" s="174"/>
      <c r="E51" s="175"/>
      <c r="F51" s="175"/>
      <c r="G51" s="177" t="str">
        <f>IFERROR(IF($E51="Yes","IPP",VLOOKUP($J51,'ELA Reading Logic'!$A$3:$K$9,VLOOKUP("September",'ELA Reading Logic'!$J$22:$K$31,2,FALSE),FALSE)),"Set Grade")</f>
        <v>Set Grade</v>
      </c>
      <c r="H51" s="177" t="str">
        <f>IFERROR(IF($E51="Yes","IPP",VLOOKUP($J51,'ELA Reading Logic'!$A$13:$K$19,VLOOKUP("September",'ELA Reading Logic'!$J$22:$K$31,2,FALSE),FALSE)),"Set Grade")</f>
        <v>Set Grade</v>
      </c>
      <c r="I51" s="96" t="str">
        <f>IF($E51="Yes","IPP",IFERROR(IF(AND(F51&gt;G51,F51&lt;H51),"0",(VLOOKUP(F51,'ELA Reading Logic'!$A$22:$B$48,2,FALSE))-(IF(VLOOKUP(F51,'ELA Reading Logic'!$A$22:$B$48,2,FALSE)&lt;=VLOOKUP(G51,'ELA Reading Logic'!$A$22:$B$48,2,FALSE),VLOOKUP(G51,'ELA Reading Logic'!$A$22:$B$48,2,FALSE),IF(VLOOKUP(F51,'ELA Reading Logic'!$A$22:$B$48,2,FALSE)&gt;=VLOOKUP(H51,'ELA Reading Logic'!$A$22:$B$48,2,FALSE),VLOOKUP(H51,'ELA Reading Logic'!$A$22:$B$48,2,FALSE),"No Score")))),"No Value"))</f>
        <v>No Value</v>
      </c>
      <c r="J51" s="178"/>
      <c r="K51" s="96"/>
      <c r="L51" s="96"/>
      <c r="M51" s="96"/>
      <c r="N51" s="96"/>
      <c r="O51" s="96"/>
      <c r="P51" s="105"/>
      <c r="Q51" s="92"/>
      <c r="R51" s="96" t="str">
        <f>IFERROR(IF($E51="Yes","IPP",VLOOKUP($J51,'ELA Reading Logic'!$A$3:$K$9,VLOOKUP(Q$1,'ELA Reading Logic'!$J$22:$K$31,2,FALSE),FALSE)),"Set Grade")</f>
        <v>Set Grade</v>
      </c>
      <c r="S51" s="96" t="str">
        <f>IFERROR(IF($E51="Yes","IPP",VLOOKUP($J51,'ELA Reading Logic'!$A$13:$K$19,VLOOKUP(Q$1,'ELA Reading Logic'!$J$22:$K$31,2,FALSE),FALSE)),"Set Grade")</f>
        <v>Set Grade</v>
      </c>
      <c r="T51" s="96" t="str">
        <f>IF($E51="Yes","IPP",IFERROR(IF(AND(Q51&gt;R51,Q51&lt;S51),"0",(VLOOKUP(Q51,'ELA Reading Logic'!$A$22:$B$48,2,FALSE))-(IF(VLOOKUP(Q51,'ELA Reading Logic'!$A$22:$B$48,2,FALSE)&lt;=VLOOKUP(R51,'ELA Reading Logic'!$A$22:$B$48,2,FALSE),VLOOKUP(R51,'ELA Reading Logic'!$A$22:$B$48,2,FALSE),IF(VLOOKUP(Q51,'ELA Reading Logic'!$A$22:$B$48,2,FALSE)&gt;=VLOOKUP(S51,'ELA Reading Logic'!$A$22:$B$48,2,FALSE),VLOOKUP(S51,'ELA Reading Logic'!$A$22:$B$48,2,FALSE),"No Score")))),"No Value"))</f>
        <v>No Value</v>
      </c>
      <c r="U51" s="96" t="str">
        <f>IFERROR(VLOOKUP(Q51,'ELA Reading Logic'!$A$22:$B$48,2,FALSE)-VLOOKUP($F51,'ELA Reading Logic'!$A$22:$B$48,2,FALSE),"No Value")</f>
        <v>No Value</v>
      </c>
      <c r="V51" s="92"/>
      <c r="W51" s="96" t="str">
        <f>IFERROR(IF($E51="Yes","IPP",VLOOKUP($J51,'ELA Reading Logic'!$A$3:$K$9,VLOOKUP(V$1,'ELA Reading Logic'!$J$22:$K$31,2,FALSE),FALSE)),"Set Grade")</f>
        <v>Set Grade</v>
      </c>
      <c r="X51" s="96" t="str">
        <f>IFERROR(IF($E51="Yes","IPP",VLOOKUP($J51,'ELA Reading Logic'!$A$13:$K$19,VLOOKUP(V$1,'ELA Reading Logic'!$J$22:$K$31,2,FALSE),FALSE)),"Set Grade")</f>
        <v>Set Grade</v>
      </c>
      <c r="Y51" s="96" t="str">
        <f>IF($E51="Yes","IPP",IFERROR(IF(AND(V51&gt;W51,V51&lt;X51),"0",(VLOOKUP(V51,'ELA Reading Logic'!$A$22:$B$48,2,FALSE))-(IF(VLOOKUP(V51,'ELA Reading Logic'!$A$22:$B$48,2,FALSE)&lt;=VLOOKUP(W51,'ELA Reading Logic'!$A$22:$B$48,2,FALSE),VLOOKUP(W51,'ELA Reading Logic'!$A$22:$B$48,2,FALSE),IF(VLOOKUP(V51,'ELA Reading Logic'!$A$22:$B$48,2,FALSE)&gt;=VLOOKUP(X51,'ELA Reading Logic'!$A$22:$B$48,2,FALSE),VLOOKUP(X51,'ELA Reading Logic'!$A$22:$B$48,2,FALSE),"No Score")))),"No Value"))</f>
        <v>No Value</v>
      </c>
      <c r="Z51" s="96" t="str">
        <f>IFERROR(VLOOKUP(V51,'ELA Reading Logic'!$A$22:$B$48,2,FALSE)-VLOOKUP($F51,'ELA Reading Logic'!$A$22:$B$48,2,FALSE),"No Value")</f>
        <v>No Value</v>
      </c>
      <c r="AA51" s="92"/>
      <c r="AB51" s="96" t="str">
        <f>IFERROR(IF($E51="Yes","IPP",VLOOKUP($J51,'ELA Reading Logic'!$A$3:$K$9,VLOOKUP(AA$1,'ELA Reading Logic'!$J$22:$K$31,2,FALSE),FALSE)),"Set Grade")</f>
        <v>Set Grade</v>
      </c>
      <c r="AC51" s="96" t="str">
        <f>IFERROR(IF($E51="Yes","IPP",VLOOKUP($J51,'ELA Reading Logic'!$A$13:$K$19,VLOOKUP(AA$1,'ELA Reading Logic'!$J$22:$K$31,2,FALSE),FALSE)),"Set Grade")</f>
        <v>Set Grade</v>
      </c>
      <c r="AD51" s="96" t="str">
        <f>IF($E51="Yes","IPP",IFERROR(IF(AND(AA51&gt;AB51,AA51&lt;AC51),"0",(VLOOKUP(AA51,'ELA Reading Logic'!$A$22:$B$48,2,FALSE))-(IF(VLOOKUP(AA51,'ELA Reading Logic'!$A$22:$B$48,2,FALSE)&lt;=VLOOKUP(AB51,'ELA Reading Logic'!$A$22:$B$48,2,FALSE),VLOOKUP(AB51,'ELA Reading Logic'!$A$22:$B$48,2,FALSE),IF(VLOOKUP(AA51,'ELA Reading Logic'!$A$22:$B$48,2,FALSE)&gt;=VLOOKUP(AC51,'ELA Reading Logic'!$A$22:$B$48,2,FALSE),VLOOKUP(AC51,'ELA Reading Logic'!$A$22:$B$48,2,FALSE),"No Score")))),"No Value"))</f>
        <v>No Value</v>
      </c>
      <c r="AE51" s="96" t="str">
        <f>IFERROR(VLOOKUP(AA51,'ELA Reading Logic'!$A$22:$B$48,2,FALSE)-VLOOKUP($F51,'ELA Reading Logic'!$A$22:$B$48,2,FALSE),"No Value")</f>
        <v>No Value</v>
      </c>
      <c r="AF51" s="92"/>
      <c r="AG51" s="96" t="str">
        <f>IFERROR(IF($E51="Yes","IPP",VLOOKUP($J51,'ELA Reading Logic'!$A$3:$K$9,VLOOKUP(AF$1,'ELA Reading Logic'!$J$22:$K$31,2,FALSE),FALSE)),"Set Grade")</f>
        <v>Set Grade</v>
      </c>
      <c r="AH51" s="96" t="str">
        <f>IFERROR(IF($E51="Yes","IPP",VLOOKUP($J51,'ELA Reading Logic'!$A$13:$K$19,VLOOKUP(AF$1,'ELA Reading Logic'!$J$22:$K$31,2,FALSE),FALSE)),"Set Grade")</f>
        <v>Set Grade</v>
      </c>
      <c r="AI51" s="96" t="str">
        <f>IF($E51="Yes","IPP",IFERROR(IF(AND(AF51&gt;AG51,AF51&lt;AH51),"0",(VLOOKUP(AF51,'ELA Reading Logic'!$A$22:$B$48,2,FALSE))-(IF(VLOOKUP(AF51,'ELA Reading Logic'!$A$22:$B$48,2,FALSE)&lt;=VLOOKUP(AG51,'ELA Reading Logic'!$A$22:$B$48,2,FALSE),VLOOKUP(AG51,'ELA Reading Logic'!$A$22:$B$48,2,FALSE),IF(VLOOKUP(AF51,'ELA Reading Logic'!$A$22:$B$48,2,FALSE)&gt;=VLOOKUP(AH51,'ELA Reading Logic'!$A$22:$B$48,2,FALSE),VLOOKUP(AH51,'ELA Reading Logic'!$A$22:$B$48,2,FALSE),"No Score")))),"No Value"))</f>
        <v>No Value</v>
      </c>
      <c r="AJ51" s="96" t="str">
        <f>IFERROR(VLOOKUP(AF51,'ELA Reading Logic'!$A$22:$B$48,2,FALSE)-VLOOKUP($F51,'ELA Reading Logic'!$A$22:$B$48,2,FALSE),"No Value")</f>
        <v>No Value</v>
      </c>
      <c r="AK51" s="92"/>
      <c r="AL51" s="96" t="str">
        <f>IFERROR(IF($E51="Yes","IPP",VLOOKUP($J51,'ELA Reading Logic'!$A$3:$K$9,VLOOKUP(AK$1,'ELA Reading Logic'!$J$22:$K$31,2,FALSE),FALSE)),"Set Grade")</f>
        <v>Set Grade</v>
      </c>
      <c r="AM51" s="96" t="str">
        <f>IFERROR(IF($E51="Yes","IPP",VLOOKUP($J51,'ELA Reading Logic'!$A$13:$K$19,VLOOKUP(AK$1,'ELA Reading Logic'!$J$22:$K$31,2,FALSE),FALSE)),"Set Grade")</f>
        <v>Set Grade</v>
      </c>
      <c r="AN51" s="96" t="str">
        <f>IF($E51="Yes","IPP",IFERROR(IF(AND(AK51&gt;AL51,AK51&lt;AM51),"0",(VLOOKUP(AK51,'ELA Reading Logic'!$A$22:$B$48,2,FALSE))-(IF(VLOOKUP(AK51,'ELA Reading Logic'!$A$22:$B$48,2,FALSE)&lt;=VLOOKUP(AL51,'ELA Reading Logic'!$A$22:$B$48,2,FALSE),VLOOKUP(AL51,'ELA Reading Logic'!$A$22:$B$48,2,FALSE),IF(VLOOKUP(AK51,'ELA Reading Logic'!$A$22:$B$48,2,FALSE)&gt;=VLOOKUP(AM51,'ELA Reading Logic'!$A$22:$B$48,2,FALSE),VLOOKUP(AM51,'ELA Reading Logic'!$A$22:$B$48,2,FALSE),"No Score")))),"No Value"))</f>
        <v>No Value</v>
      </c>
      <c r="AO51" s="96" t="str">
        <f>IFERROR(VLOOKUP(AK51,'ELA Reading Logic'!$A$22:$B$48,2,FALSE)-VLOOKUP($F51,'ELA Reading Logic'!$A$22:$B$48,2,FALSE),"No Value")</f>
        <v>No Value</v>
      </c>
      <c r="AP51" s="92"/>
      <c r="AQ51" s="96" t="str">
        <f>IFERROR(IF($E51="Yes","IPP",VLOOKUP($J51,'ELA Reading Logic'!$A$3:$K$9,VLOOKUP(AP$1,'ELA Reading Logic'!$J$22:$K$31,2,FALSE),FALSE)),"Set Grade")</f>
        <v>Set Grade</v>
      </c>
      <c r="AR51" s="96" t="str">
        <f>IFERROR(IF($E51="Yes","IPP",VLOOKUP($J51,'ELA Reading Logic'!$A$13:$K$19,VLOOKUP(AP$1,'ELA Reading Logic'!$J$22:$K$31,2,FALSE),FALSE)),"Set Grade")</f>
        <v>Set Grade</v>
      </c>
      <c r="AS51" s="96" t="str">
        <f>IF($E51="Yes","IPP",IFERROR(IF(AND(AP51&gt;AQ51,AP51&lt;AR51),"0",(VLOOKUP(AP51,'ELA Reading Logic'!$A$22:$B$48,2,FALSE))-(IF(VLOOKUP(AP51,'ELA Reading Logic'!$A$22:$B$48,2,FALSE)&lt;=VLOOKUP(AQ51,'ELA Reading Logic'!$A$22:$B$48,2,FALSE),VLOOKUP(AQ51,'ELA Reading Logic'!$A$22:$B$48,2,FALSE),IF(VLOOKUP(AP51,'ELA Reading Logic'!$A$22:$B$48,2,FALSE)&gt;=VLOOKUP(AR51,'ELA Reading Logic'!$A$22:$B$48,2,FALSE),VLOOKUP(AR51,'ELA Reading Logic'!$A$22:$B$48,2,FALSE),"No Score")))),"No Value"))</f>
        <v>No Value</v>
      </c>
      <c r="AT51" s="96" t="str">
        <f>IFERROR(VLOOKUP(AP51,'ELA Reading Logic'!$A$22:$B$48,2,FALSE)-VLOOKUP($F51,'ELA Reading Logic'!$A$22:$B$48,2,FALSE),"No Value")</f>
        <v>No Value</v>
      </c>
    </row>
    <row r="52" spans="1:46" ht="22.5" customHeight="1" x14ac:dyDescent="0.25">
      <c r="A52" s="176"/>
      <c r="B52" s="176"/>
      <c r="C52" s="176"/>
      <c r="D52" s="176"/>
      <c r="E52" s="175"/>
      <c r="F52" s="175"/>
      <c r="G52" s="177" t="str">
        <f>IFERROR(IF($E52="Yes","IPP",VLOOKUP($J52,'ELA Reading Logic'!$A$3:$K$9,VLOOKUP("September",'ELA Reading Logic'!$J$22:$K$31,2,FALSE),FALSE)),"Set Grade")</f>
        <v>Set Grade</v>
      </c>
      <c r="H52" s="177" t="str">
        <f>IFERROR(IF($E52="Yes","IPP",VLOOKUP($J52,'ELA Reading Logic'!$A$13:$K$19,VLOOKUP("September",'ELA Reading Logic'!$J$22:$K$31,2,FALSE),FALSE)),"Set Grade")</f>
        <v>Set Grade</v>
      </c>
      <c r="I52" s="96" t="str">
        <f>IF($E52="Yes","IPP",IFERROR(IF(AND(F52&gt;G52,F52&lt;H52),"0",(VLOOKUP(F52,'ELA Reading Logic'!$A$22:$B$48,2,FALSE))-(IF(VLOOKUP(F52,'ELA Reading Logic'!$A$22:$B$48,2,FALSE)&lt;=VLOOKUP(G52,'ELA Reading Logic'!$A$22:$B$48,2,FALSE),VLOOKUP(G52,'ELA Reading Logic'!$A$22:$B$48,2,FALSE),IF(VLOOKUP(F52,'ELA Reading Logic'!$A$22:$B$48,2,FALSE)&gt;=VLOOKUP(H52,'ELA Reading Logic'!$A$22:$B$48,2,FALSE),VLOOKUP(H52,'ELA Reading Logic'!$A$22:$B$48,2,FALSE),"No Score")))),"No Value"))</f>
        <v>No Value</v>
      </c>
      <c r="J52" s="178"/>
      <c r="K52" s="96"/>
      <c r="L52" s="96"/>
      <c r="M52" s="96"/>
      <c r="N52" s="96"/>
      <c r="O52" s="96"/>
      <c r="P52" s="105"/>
      <c r="Q52" s="92"/>
      <c r="R52" s="96" t="str">
        <f>IFERROR(IF($E52="Yes","IPP",VLOOKUP($J52,'ELA Reading Logic'!$A$3:$K$9,VLOOKUP(Q$1,'ELA Reading Logic'!$J$22:$K$31,2,FALSE),FALSE)),"Set Grade")</f>
        <v>Set Grade</v>
      </c>
      <c r="S52" s="96" t="str">
        <f>IFERROR(IF($E52="Yes","IPP",VLOOKUP($J52,'ELA Reading Logic'!$A$13:$K$19,VLOOKUP(Q$1,'ELA Reading Logic'!$J$22:$K$31,2,FALSE),FALSE)),"Set Grade")</f>
        <v>Set Grade</v>
      </c>
      <c r="T52" s="96" t="str">
        <f>IF($E52="Yes","IPP",IFERROR(IF(AND(Q52&gt;R52,Q52&lt;S52),"0",(VLOOKUP(Q52,'ELA Reading Logic'!$A$22:$B$48,2,FALSE))-(IF(VLOOKUP(Q52,'ELA Reading Logic'!$A$22:$B$48,2,FALSE)&lt;=VLOOKUP(R52,'ELA Reading Logic'!$A$22:$B$48,2,FALSE),VLOOKUP(R52,'ELA Reading Logic'!$A$22:$B$48,2,FALSE),IF(VLOOKUP(Q52,'ELA Reading Logic'!$A$22:$B$48,2,FALSE)&gt;=VLOOKUP(S52,'ELA Reading Logic'!$A$22:$B$48,2,FALSE),VLOOKUP(S52,'ELA Reading Logic'!$A$22:$B$48,2,FALSE),"No Score")))),"No Value"))</f>
        <v>No Value</v>
      </c>
      <c r="U52" s="96" t="str">
        <f>IFERROR(VLOOKUP(Q52,'ELA Reading Logic'!$A$22:$B$48,2,FALSE)-VLOOKUP($F52,'ELA Reading Logic'!$A$22:$B$48,2,FALSE),"No Value")</f>
        <v>No Value</v>
      </c>
      <c r="V52" s="92"/>
      <c r="W52" s="96" t="str">
        <f>IFERROR(IF($E52="Yes","IPP",VLOOKUP($J52,'ELA Reading Logic'!$A$3:$K$9,VLOOKUP(V$1,'ELA Reading Logic'!$J$22:$K$31,2,FALSE),FALSE)),"Set Grade")</f>
        <v>Set Grade</v>
      </c>
      <c r="X52" s="96" t="str">
        <f>IFERROR(IF($E52="Yes","IPP",VLOOKUP($J52,'ELA Reading Logic'!$A$13:$K$19,VLOOKUP(V$1,'ELA Reading Logic'!$J$22:$K$31,2,FALSE),FALSE)),"Set Grade")</f>
        <v>Set Grade</v>
      </c>
      <c r="Y52" s="96" t="str">
        <f>IF($E52="Yes","IPP",IFERROR(IF(AND(V52&gt;W52,V52&lt;X52),"0",(VLOOKUP(V52,'ELA Reading Logic'!$A$22:$B$48,2,FALSE))-(IF(VLOOKUP(V52,'ELA Reading Logic'!$A$22:$B$48,2,FALSE)&lt;=VLOOKUP(W52,'ELA Reading Logic'!$A$22:$B$48,2,FALSE),VLOOKUP(W52,'ELA Reading Logic'!$A$22:$B$48,2,FALSE),IF(VLOOKUP(V52,'ELA Reading Logic'!$A$22:$B$48,2,FALSE)&gt;=VLOOKUP(X52,'ELA Reading Logic'!$A$22:$B$48,2,FALSE),VLOOKUP(X52,'ELA Reading Logic'!$A$22:$B$48,2,FALSE),"No Score")))),"No Value"))</f>
        <v>No Value</v>
      </c>
      <c r="Z52" s="96" t="str">
        <f>IFERROR(VLOOKUP(V52,'ELA Reading Logic'!$A$22:$B$48,2,FALSE)-VLOOKUP($F52,'ELA Reading Logic'!$A$22:$B$48,2,FALSE),"No Value")</f>
        <v>No Value</v>
      </c>
      <c r="AA52" s="92"/>
      <c r="AB52" s="96" t="str">
        <f>IFERROR(IF($E52="Yes","IPP",VLOOKUP($J52,'ELA Reading Logic'!$A$3:$K$9,VLOOKUP(AA$1,'ELA Reading Logic'!$J$22:$K$31,2,FALSE),FALSE)),"Set Grade")</f>
        <v>Set Grade</v>
      </c>
      <c r="AC52" s="96" t="str">
        <f>IFERROR(IF($E52="Yes","IPP",VLOOKUP($J52,'ELA Reading Logic'!$A$13:$K$19,VLOOKUP(AA$1,'ELA Reading Logic'!$J$22:$K$31,2,FALSE),FALSE)),"Set Grade")</f>
        <v>Set Grade</v>
      </c>
      <c r="AD52" s="96" t="str">
        <f>IF($E52="Yes","IPP",IFERROR(IF(AND(AA52&gt;AB52,AA52&lt;AC52),"0",(VLOOKUP(AA52,'ELA Reading Logic'!$A$22:$B$48,2,FALSE))-(IF(VLOOKUP(AA52,'ELA Reading Logic'!$A$22:$B$48,2,FALSE)&lt;=VLOOKUP(AB52,'ELA Reading Logic'!$A$22:$B$48,2,FALSE),VLOOKUP(AB52,'ELA Reading Logic'!$A$22:$B$48,2,FALSE),IF(VLOOKUP(AA52,'ELA Reading Logic'!$A$22:$B$48,2,FALSE)&gt;=VLOOKUP(AC52,'ELA Reading Logic'!$A$22:$B$48,2,FALSE),VLOOKUP(AC52,'ELA Reading Logic'!$A$22:$B$48,2,FALSE),"No Score")))),"No Value"))</f>
        <v>No Value</v>
      </c>
      <c r="AE52" s="96" t="str">
        <f>IFERROR(VLOOKUP(AA52,'ELA Reading Logic'!$A$22:$B$48,2,FALSE)-VLOOKUP($F52,'ELA Reading Logic'!$A$22:$B$48,2,FALSE),"No Value")</f>
        <v>No Value</v>
      </c>
      <c r="AF52" s="92"/>
      <c r="AG52" s="96" t="str">
        <f>IFERROR(IF($E52="Yes","IPP",VLOOKUP($J52,'ELA Reading Logic'!$A$3:$K$9,VLOOKUP(AF$1,'ELA Reading Logic'!$J$22:$K$31,2,FALSE),FALSE)),"Set Grade")</f>
        <v>Set Grade</v>
      </c>
      <c r="AH52" s="96" t="str">
        <f>IFERROR(IF($E52="Yes","IPP",VLOOKUP($J52,'ELA Reading Logic'!$A$13:$K$19,VLOOKUP(AF$1,'ELA Reading Logic'!$J$22:$K$31,2,FALSE),FALSE)),"Set Grade")</f>
        <v>Set Grade</v>
      </c>
      <c r="AI52" s="96" t="str">
        <f>IF($E52="Yes","IPP",IFERROR(IF(AND(AF52&gt;AG52,AF52&lt;AH52),"0",(VLOOKUP(AF52,'ELA Reading Logic'!$A$22:$B$48,2,FALSE))-(IF(VLOOKUP(AF52,'ELA Reading Logic'!$A$22:$B$48,2,FALSE)&lt;=VLOOKUP(AG52,'ELA Reading Logic'!$A$22:$B$48,2,FALSE),VLOOKUP(AG52,'ELA Reading Logic'!$A$22:$B$48,2,FALSE),IF(VLOOKUP(AF52,'ELA Reading Logic'!$A$22:$B$48,2,FALSE)&gt;=VLOOKUP(AH52,'ELA Reading Logic'!$A$22:$B$48,2,FALSE),VLOOKUP(AH52,'ELA Reading Logic'!$A$22:$B$48,2,FALSE),"No Score")))),"No Value"))</f>
        <v>No Value</v>
      </c>
      <c r="AJ52" s="96" t="str">
        <f>IFERROR(VLOOKUP(AF52,'ELA Reading Logic'!$A$22:$B$48,2,FALSE)-VLOOKUP($F52,'ELA Reading Logic'!$A$22:$B$48,2,FALSE),"No Value")</f>
        <v>No Value</v>
      </c>
      <c r="AK52" s="92"/>
      <c r="AL52" s="96" t="str">
        <f>IFERROR(IF($E52="Yes","IPP",VLOOKUP($J52,'ELA Reading Logic'!$A$3:$K$9,VLOOKUP(AK$1,'ELA Reading Logic'!$J$22:$K$31,2,FALSE),FALSE)),"Set Grade")</f>
        <v>Set Grade</v>
      </c>
      <c r="AM52" s="96" t="str">
        <f>IFERROR(IF($E52="Yes","IPP",VLOOKUP($J52,'ELA Reading Logic'!$A$13:$K$19,VLOOKUP(AK$1,'ELA Reading Logic'!$J$22:$K$31,2,FALSE),FALSE)),"Set Grade")</f>
        <v>Set Grade</v>
      </c>
      <c r="AN52" s="96" t="str">
        <f>IF($E52="Yes","IPP",IFERROR(IF(AND(AK52&gt;AL52,AK52&lt;AM52),"0",(VLOOKUP(AK52,'ELA Reading Logic'!$A$22:$B$48,2,FALSE))-(IF(VLOOKUP(AK52,'ELA Reading Logic'!$A$22:$B$48,2,FALSE)&lt;=VLOOKUP(AL52,'ELA Reading Logic'!$A$22:$B$48,2,FALSE),VLOOKUP(AL52,'ELA Reading Logic'!$A$22:$B$48,2,FALSE),IF(VLOOKUP(AK52,'ELA Reading Logic'!$A$22:$B$48,2,FALSE)&gt;=VLOOKUP(AM52,'ELA Reading Logic'!$A$22:$B$48,2,FALSE),VLOOKUP(AM52,'ELA Reading Logic'!$A$22:$B$48,2,FALSE),"No Score")))),"No Value"))</f>
        <v>No Value</v>
      </c>
      <c r="AO52" s="96" t="str">
        <f>IFERROR(VLOOKUP(AK52,'ELA Reading Logic'!$A$22:$B$48,2,FALSE)-VLOOKUP($F52,'ELA Reading Logic'!$A$22:$B$48,2,FALSE),"No Value")</f>
        <v>No Value</v>
      </c>
      <c r="AP52" s="92"/>
      <c r="AQ52" s="96" t="str">
        <f>IFERROR(IF($E52="Yes","IPP",VLOOKUP($J52,'ELA Reading Logic'!$A$3:$K$9,VLOOKUP(AP$1,'ELA Reading Logic'!$J$22:$K$31,2,FALSE),FALSE)),"Set Grade")</f>
        <v>Set Grade</v>
      </c>
      <c r="AR52" s="96" t="str">
        <f>IFERROR(IF($E52="Yes","IPP",VLOOKUP($J52,'ELA Reading Logic'!$A$13:$K$19,VLOOKUP(AP$1,'ELA Reading Logic'!$J$22:$K$31,2,FALSE),FALSE)),"Set Grade")</f>
        <v>Set Grade</v>
      </c>
      <c r="AS52" s="96" t="str">
        <f>IF($E52="Yes","IPP",IFERROR(IF(AND(AP52&gt;AQ52,AP52&lt;AR52),"0",(VLOOKUP(AP52,'ELA Reading Logic'!$A$22:$B$48,2,FALSE))-(IF(VLOOKUP(AP52,'ELA Reading Logic'!$A$22:$B$48,2,FALSE)&lt;=VLOOKUP(AQ52,'ELA Reading Logic'!$A$22:$B$48,2,FALSE),VLOOKUP(AQ52,'ELA Reading Logic'!$A$22:$B$48,2,FALSE),IF(VLOOKUP(AP52,'ELA Reading Logic'!$A$22:$B$48,2,FALSE)&gt;=VLOOKUP(AR52,'ELA Reading Logic'!$A$22:$B$48,2,FALSE),VLOOKUP(AR52,'ELA Reading Logic'!$A$22:$B$48,2,FALSE),"No Score")))),"No Value"))</f>
        <v>No Value</v>
      </c>
      <c r="AT52" s="96" t="str">
        <f>IFERROR(VLOOKUP(AP52,'ELA Reading Logic'!$A$22:$B$48,2,FALSE)-VLOOKUP($F52,'ELA Reading Logic'!$A$22:$B$48,2,FALSE),"No Value")</f>
        <v>No Value</v>
      </c>
    </row>
    <row r="53" spans="1:46" ht="22.5" customHeight="1" x14ac:dyDescent="0.25">
      <c r="A53" s="174"/>
      <c r="B53" s="174"/>
      <c r="C53" s="174"/>
      <c r="D53" s="174"/>
      <c r="E53" s="175"/>
      <c r="F53" s="175"/>
      <c r="G53" s="177" t="str">
        <f>IFERROR(IF($E53="Yes","IPP",VLOOKUP($J53,'ELA Reading Logic'!$A$3:$K$9,VLOOKUP("September",'ELA Reading Logic'!$J$22:$K$31,2,FALSE),FALSE)),"Set Grade")</f>
        <v>Set Grade</v>
      </c>
      <c r="H53" s="177" t="str">
        <f>IFERROR(IF($E53="Yes","IPP",VLOOKUP($J53,'ELA Reading Logic'!$A$13:$K$19,VLOOKUP("September",'ELA Reading Logic'!$J$22:$K$31,2,FALSE),FALSE)),"Set Grade")</f>
        <v>Set Grade</v>
      </c>
      <c r="I53" s="96" t="str">
        <f>IF($E53="Yes","IPP",IFERROR(IF(AND(F53&gt;G53,F53&lt;H53),"0",(VLOOKUP(F53,'ELA Reading Logic'!$A$22:$B$48,2,FALSE))-(IF(VLOOKUP(F53,'ELA Reading Logic'!$A$22:$B$48,2,FALSE)&lt;=VLOOKUP(G53,'ELA Reading Logic'!$A$22:$B$48,2,FALSE),VLOOKUP(G53,'ELA Reading Logic'!$A$22:$B$48,2,FALSE),IF(VLOOKUP(F53,'ELA Reading Logic'!$A$22:$B$48,2,FALSE)&gt;=VLOOKUP(H53,'ELA Reading Logic'!$A$22:$B$48,2,FALSE),VLOOKUP(H53,'ELA Reading Logic'!$A$22:$B$48,2,FALSE),"No Score")))),"No Value"))</f>
        <v>No Value</v>
      </c>
      <c r="J53" s="178"/>
      <c r="K53" s="96"/>
      <c r="L53" s="96"/>
      <c r="M53" s="96"/>
      <c r="N53" s="96"/>
      <c r="O53" s="96"/>
      <c r="P53" s="105"/>
      <c r="Q53" s="92"/>
      <c r="R53" s="96" t="str">
        <f>IFERROR(IF($E53="Yes","IPP",VLOOKUP($J53,'ELA Reading Logic'!$A$3:$K$9,VLOOKUP(Q$1,'ELA Reading Logic'!$J$22:$K$31,2,FALSE),FALSE)),"Set Grade")</f>
        <v>Set Grade</v>
      </c>
      <c r="S53" s="96" t="str">
        <f>IFERROR(IF($E53="Yes","IPP",VLOOKUP($J53,'ELA Reading Logic'!$A$13:$K$19,VLOOKUP(Q$1,'ELA Reading Logic'!$J$22:$K$31,2,FALSE),FALSE)),"Set Grade")</f>
        <v>Set Grade</v>
      </c>
      <c r="T53" s="96" t="str">
        <f>IF($E53="Yes","IPP",IFERROR(IF(AND(Q53&gt;R53,Q53&lt;S53),"0",(VLOOKUP(Q53,'ELA Reading Logic'!$A$22:$B$48,2,FALSE))-(IF(VLOOKUP(Q53,'ELA Reading Logic'!$A$22:$B$48,2,FALSE)&lt;=VLOOKUP(R53,'ELA Reading Logic'!$A$22:$B$48,2,FALSE),VLOOKUP(R53,'ELA Reading Logic'!$A$22:$B$48,2,FALSE),IF(VLOOKUP(Q53,'ELA Reading Logic'!$A$22:$B$48,2,FALSE)&gt;=VLOOKUP(S53,'ELA Reading Logic'!$A$22:$B$48,2,FALSE),VLOOKUP(S53,'ELA Reading Logic'!$A$22:$B$48,2,FALSE),"No Score")))),"No Value"))</f>
        <v>No Value</v>
      </c>
      <c r="U53" s="96" t="str">
        <f>IFERROR(VLOOKUP(Q53,'ELA Reading Logic'!$A$22:$B$48,2,FALSE)-VLOOKUP($F53,'ELA Reading Logic'!$A$22:$B$48,2,FALSE),"No Value")</f>
        <v>No Value</v>
      </c>
      <c r="V53" s="92"/>
      <c r="W53" s="96" t="str">
        <f>IFERROR(IF($E53="Yes","IPP",VLOOKUP($J53,'ELA Reading Logic'!$A$3:$K$9,VLOOKUP(V$1,'ELA Reading Logic'!$J$22:$K$31,2,FALSE),FALSE)),"Set Grade")</f>
        <v>Set Grade</v>
      </c>
      <c r="X53" s="96" t="str">
        <f>IFERROR(IF($E53="Yes","IPP",VLOOKUP($J53,'ELA Reading Logic'!$A$13:$K$19,VLOOKUP(V$1,'ELA Reading Logic'!$J$22:$K$31,2,FALSE),FALSE)),"Set Grade")</f>
        <v>Set Grade</v>
      </c>
      <c r="Y53" s="96" t="str">
        <f>IF($E53="Yes","IPP",IFERROR(IF(AND(V53&gt;W53,V53&lt;X53),"0",(VLOOKUP(V53,'ELA Reading Logic'!$A$22:$B$48,2,FALSE))-(IF(VLOOKUP(V53,'ELA Reading Logic'!$A$22:$B$48,2,FALSE)&lt;=VLOOKUP(W53,'ELA Reading Logic'!$A$22:$B$48,2,FALSE),VLOOKUP(W53,'ELA Reading Logic'!$A$22:$B$48,2,FALSE),IF(VLOOKUP(V53,'ELA Reading Logic'!$A$22:$B$48,2,FALSE)&gt;=VLOOKUP(X53,'ELA Reading Logic'!$A$22:$B$48,2,FALSE),VLOOKUP(X53,'ELA Reading Logic'!$A$22:$B$48,2,FALSE),"No Score")))),"No Value"))</f>
        <v>No Value</v>
      </c>
      <c r="Z53" s="96" t="str">
        <f>IFERROR(VLOOKUP(V53,'ELA Reading Logic'!$A$22:$B$48,2,FALSE)-VLOOKUP($F53,'ELA Reading Logic'!$A$22:$B$48,2,FALSE),"No Value")</f>
        <v>No Value</v>
      </c>
      <c r="AA53" s="92"/>
      <c r="AB53" s="96" t="str">
        <f>IFERROR(IF($E53="Yes","IPP",VLOOKUP($J53,'ELA Reading Logic'!$A$3:$K$9,VLOOKUP(AA$1,'ELA Reading Logic'!$J$22:$K$31,2,FALSE),FALSE)),"Set Grade")</f>
        <v>Set Grade</v>
      </c>
      <c r="AC53" s="96" t="str">
        <f>IFERROR(IF($E53="Yes","IPP",VLOOKUP($J53,'ELA Reading Logic'!$A$13:$K$19,VLOOKUP(AA$1,'ELA Reading Logic'!$J$22:$K$31,2,FALSE),FALSE)),"Set Grade")</f>
        <v>Set Grade</v>
      </c>
      <c r="AD53" s="96" t="str">
        <f>IF($E53="Yes","IPP",IFERROR(IF(AND(AA53&gt;AB53,AA53&lt;AC53),"0",(VLOOKUP(AA53,'ELA Reading Logic'!$A$22:$B$48,2,FALSE))-(IF(VLOOKUP(AA53,'ELA Reading Logic'!$A$22:$B$48,2,FALSE)&lt;=VLOOKUP(AB53,'ELA Reading Logic'!$A$22:$B$48,2,FALSE),VLOOKUP(AB53,'ELA Reading Logic'!$A$22:$B$48,2,FALSE),IF(VLOOKUP(AA53,'ELA Reading Logic'!$A$22:$B$48,2,FALSE)&gt;=VLOOKUP(AC53,'ELA Reading Logic'!$A$22:$B$48,2,FALSE),VLOOKUP(AC53,'ELA Reading Logic'!$A$22:$B$48,2,FALSE),"No Score")))),"No Value"))</f>
        <v>No Value</v>
      </c>
      <c r="AE53" s="96" t="str">
        <f>IFERROR(VLOOKUP(AA53,'ELA Reading Logic'!$A$22:$B$48,2,FALSE)-VLOOKUP($F53,'ELA Reading Logic'!$A$22:$B$48,2,FALSE),"No Value")</f>
        <v>No Value</v>
      </c>
      <c r="AF53" s="92"/>
      <c r="AG53" s="96" t="str">
        <f>IFERROR(IF($E53="Yes","IPP",VLOOKUP($J53,'ELA Reading Logic'!$A$3:$K$9,VLOOKUP(AF$1,'ELA Reading Logic'!$J$22:$K$31,2,FALSE),FALSE)),"Set Grade")</f>
        <v>Set Grade</v>
      </c>
      <c r="AH53" s="96" t="str">
        <f>IFERROR(IF($E53="Yes","IPP",VLOOKUP($J53,'ELA Reading Logic'!$A$13:$K$19,VLOOKUP(AF$1,'ELA Reading Logic'!$J$22:$K$31,2,FALSE),FALSE)),"Set Grade")</f>
        <v>Set Grade</v>
      </c>
      <c r="AI53" s="96" t="str">
        <f>IF($E53="Yes","IPP",IFERROR(IF(AND(AF53&gt;AG53,AF53&lt;AH53),"0",(VLOOKUP(AF53,'ELA Reading Logic'!$A$22:$B$48,2,FALSE))-(IF(VLOOKUP(AF53,'ELA Reading Logic'!$A$22:$B$48,2,FALSE)&lt;=VLOOKUP(AG53,'ELA Reading Logic'!$A$22:$B$48,2,FALSE),VLOOKUP(AG53,'ELA Reading Logic'!$A$22:$B$48,2,FALSE),IF(VLOOKUP(AF53,'ELA Reading Logic'!$A$22:$B$48,2,FALSE)&gt;=VLOOKUP(AH53,'ELA Reading Logic'!$A$22:$B$48,2,FALSE),VLOOKUP(AH53,'ELA Reading Logic'!$A$22:$B$48,2,FALSE),"No Score")))),"No Value"))</f>
        <v>No Value</v>
      </c>
      <c r="AJ53" s="96" t="str">
        <f>IFERROR(VLOOKUP(AF53,'ELA Reading Logic'!$A$22:$B$48,2,FALSE)-VLOOKUP($F53,'ELA Reading Logic'!$A$22:$B$48,2,FALSE),"No Value")</f>
        <v>No Value</v>
      </c>
      <c r="AK53" s="92"/>
      <c r="AL53" s="96" t="str">
        <f>IFERROR(IF($E53="Yes","IPP",VLOOKUP($J53,'ELA Reading Logic'!$A$3:$K$9,VLOOKUP(AK$1,'ELA Reading Logic'!$J$22:$K$31,2,FALSE),FALSE)),"Set Grade")</f>
        <v>Set Grade</v>
      </c>
      <c r="AM53" s="96" t="str">
        <f>IFERROR(IF($E53="Yes","IPP",VLOOKUP($J53,'ELA Reading Logic'!$A$13:$K$19,VLOOKUP(AK$1,'ELA Reading Logic'!$J$22:$K$31,2,FALSE),FALSE)),"Set Grade")</f>
        <v>Set Grade</v>
      </c>
      <c r="AN53" s="96" t="str">
        <f>IF($E53="Yes","IPP",IFERROR(IF(AND(AK53&gt;AL53,AK53&lt;AM53),"0",(VLOOKUP(AK53,'ELA Reading Logic'!$A$22:$B$48,2,FALSE))-(IF(VLOOKUP(AK53,'ELA Reading Logic'!$A$22:$B$48,2,FALSE)&lt;=VLOOKUP(AL53,'ELA Reading Logic'!$A$22:$B$48,2,FALSE),VLOOKUP(AL53,'ELA Reading Logic'!$A$22:$B$48,2,FALSE),IF(VLOOKUP(AK53,'ELA Reading Logic'!$A$22:$B$48,2,FALSE)&gt;=VLOOKUP(AM53,'ELA Reading Logic'!$A$22:$B$48,2,FALSE),VLOOKUP(AM53,'ELA Reading Logic'!$A$22:$B$48,2,FALSE),"No Score")))),"No Value"))</f>
        <v>No Value</v>
      </c>
      <c r="AO53" s="96" t="str">
        <f>IFERROR(VLOOKUP(AK53,'ELA Reading Logic'!$A$22:$B$48,2,FALSE)-VLOOKUP($F53,'ELA Reading Logic'!$A$22:$B$48,2,FALSE),"No Value")</f>
        <v>No Value</v>
      </c>
      <c r="AP53" s="92"/>
      <c r="AQ53" s="96" t="str">
        <f>IFERROR(IF($E53="Yes","IPP",VLOOKUP($J53,'ELA Reading Logic'!$A$3:$K$9,VLOOKUP(AP$1,'ELA Reading Logic'!$J$22:$K$31,2,FALSE),FALSE)),"Set Grade")</f>
        <v>Set Grade</v>
      </c>
      <c r="AR53" s="96" t="str">
        <f>IFERROR(IF($E53="Yes","IPP",VLOOKUP($J53,'ELA Reading Logic'!$A$13:$K$19,VLOOKUP(AP$1,'ELA Reading Logic'!$J$22:$K$31,2,FALSE),FALSE)),"Set Grade")</f>
        <v>Set Grade</v>
      </c>
      <c r="AS53" s="96" t="str">
        <f>IF($E53="Yes","IPP",IFERROR(IF(AND(AP53&gt;AQ53,AP53&lt;AR53),"0",(VLOOKUP(AP53,'ELA Reading Logic'!$A$22:$B$48,2,FALSE))-(IF(VLOOKUP(AP53,'ELA Reading Logic'!$A$22:$B$48,2,FALSE)&lt;=VLOOKUP(AQ53,'ELA Reading Logic'!$A$22:$B$48,2,FALSE),VLOOKUP(AQ53,'ELA Reading Logic'!$A$22:$B$48,2,FALSE),IF(VLOOKUP(AP53,'ELA Reading Logic'!$A$22:$B$48,2,FALSE)&gt;=VLOOKUP(AR53,'ELA Reading Logic'!$A$22:$B$48,2,FALSE),VLOOKUP(AR53,'ELA Reading Logic'!$A$22:$B$48,2,FALSE),"No Score")))),"No Value"))</f>
        <v>No Value</v>
      </c>
      <c r="AT53" s="96" t="str">
        <f>IFERROR(VLOOKUP(AP53,'ELA Reading Logic'!$A$22:$B$48,2,FALSE)-VLOOKUP($F53,'ELA Reading Logic'!$A$22:$B$48,2,FALSE),"No Value")</f>
        <v>No Value</v>
      </c>
    </row>
    <row r="54" spans="1:46" ht="22.5" customHeight="1" x14ac:dyDescent="0.25">
      <c r="A54" s="176"/>
      <c r="B54" s="176"/>
      <c r="C54" s="176"/>
      <c r="D54" s="176"/>
      <c r="E54" s="175"/>
      <c r="F54" s="175"/>
      <c r="G54" s="177" t="str">
        <f>IFERROR(IF($E54="Yes","IPP",VLOOKUP($J54,'ELA Reading Logic'!$A$3:$K$9,VLOOKUP("September",'ELA Reading Logic'!$J$22:$K$31,2,FALSE),FALSE)),"Set Grade")</f>
        <v>Set Grade</v>
      </c>
      <c r="H54" s="177" t="str">
        <f>IFERROR(IF($E54="Yes","IPP",VLOOKUP($J54,'ELA Reading Logic'!$A$13:$K$19,VLOOKUP("September",'ELA Reading Logic'!$J$22:$K$31,2,FALSE),FALSE)),"Set Grade")</f>
        <v>Set Grade</v>
      </c>
      <c r="I54" s="96" t="str">
        <f>IF($E54="Yes","IPP",IFERROR(IF(AND(F54&gt;G54,F54&lt;H54),"0",(VLOOKUP(F54,'ELA Reading Logic'!$A$22:$B$48,2,FALSE))-(IF(VLOOKUP(F54,'ELA Reading Logic'!$A$22:$B$48,2,FALSE)&lt;=VLOOKUP(G54,'ELA Reading Logic'!$A$22:$B$48,2,FALSE),VLOOKUP(G54,'ELA Reading Logic'!$A$22:$B$48,2,FALSE),IF(VLOOKUP(F54,'ELA Reading Logic'!$A$22:$B$48,2,FALSE)&gt;=VLOOKUP(H54,'ELA Reading Logic'!$A$22:$B$48,2,FALSE),VLOOKUP(H54,'ELA Reading Logic'!$A$22:$B$48,2,FALSE),"No Score")))),"No Value"))</f>
        <v>No Value</v>
      </c>
      <c r="J54" s="178"/>
      <c r="K54" s="96"/>
      <c r="L54" s="96"/>
      <c r="M54" s="96"/>
      <c r="N54" s="96"/>
      <c r="O54" s="96"/>
      <c r="P54" s="105"/>
      <c r="Q54" s="92"/>
      <c r="R54" s="96" t="str">
        <f>IFERROR(IF($E54="Yes","IPP",VLOOKUP($J54,'ELA Reading Logic'!$A$3:$K$9,VLOOKUP(Q$1,'ELA Reading Logic'!$J$22:$K$31,2,FALSE),FALSE)),"Set Grade")</f>
        <v>Set Grade</v>
      </c>
      <c r="S54" s="96" t="str">
        <f>IFERROR(IF($E54="Yes","IPP",VLOOKUP($J54,'ELA Reading Logic'!$A$13:$K$19,VLOOKUP(Q$1,'ELA Reading Logic'!$J$22:$K$31,2,FALSE),FALSE)),"Set Grade")</f>
        <v>Set Grade</v>
      </c>
      <c r="T54" s="96" t="str">
        <f>IF($E54="Yes","IPP",IFERROR(IF(AND(Q54&gt;R54,Q54&lt;S54),"0",(VLOOKUP(Q54,'ELA Reading Logic'!$A$22:$B$48,2,FALSE))-(IF(VLOOKUP(Q54,'ELA Reading Logic'!$A$22:$B$48,2,FALSE)&lt;=VLOOKUP(R54,'ELA Reading Logic'!$A$22:$B$48,2,FALSE),VLOOKUP(R54,'ELA Reading Logic'!$A$22:$B$48,2,FALSE),IF(VLOOKUP(Q54,'ELA Reading Logic'!$A$22:$B$48,2,FALSE)&gt;=VLOOKUP(S54,'ELA Reading Logic'!$A$22:$B$48,2,FALSE),VLOOKUP(S54,'ELA Reading Logic'!$A$22:$B$48,2,FALSE),"No Score")))),"No Value"))</f>
        <v>No Value</v>
      </c>
      <c r="U54" s="96" t="str">
        <f>IFERROR(VLOOKUP(Q54,'ELA Reading Logic'!$A$22:$B$48,2,FALSE)-VLOOKUP($F54,'ELA Reading Logic'!$A$22:$B$48,2,FALSE),"No Value")</f>
        <v>No Value</v>
      </c>
      <c r="V54" s="92"/>
      <c r="W54" s="96" t="str">
        <f>IFERROR(IF($E54="Yes","IPP",VLOOKUP($J54,'ELA Reading Logic'!$A$3:$K$9,VLOOKUP(V$1,'ELA Reading Logic'!$J$22:$K$31,2,FALSE),FALSE)),"Set Grade")</f>
        <v>Set Grade</v>
      </c>
      <c r="X54" s="96" t="str">
        <f>IFERROR(IF($E54="Yes","IPP",VLOOKUP($J54,'ELA Reading Logic'!$A$13:$K$19,VLOOKUP(V$1,'ELA Reading Logic'!$J$22:$K$31,2,FALSE),FALSE)),"Set Grade")</f>
        <v>Set Grade</v>
      </c>
      <c r="Y54" s="96" t="str">
        <f>IF($E54="Yes","IPP",IFERROR(IF(AND(V54&gt;W54,V54&lt;X54),"0",(VLOOKUP(V54,'ELA Reading Logic'!$A$22:$B$48,2,FALSE))-(IF(VLOOKUP(V54,'ELA Reading Logic'!$A$22:$B$48,2,FALSE)&lt;=VLOOKUP(W54,'ELA Reading Logic'!$A$22:$B$48,2,FALSE),VLOOKUP(W54,'ELA Reading Logic'!$A$22:$B$48,2,FALSE),IF(VLOOKUP(V54,'ELA Reading Logic'!$A$22:$B$48,2,FALSE)&gt;=VLOOKUP(X54,'ELA Reading Logic'!$A$22:$B$48,2,FALSE),VLOOKUP(X54,'ELA Reading Logic'!$A$22:$B$48,2,FALSE),"No Score")))),"No Value"))</f>
        <v>No Value</v>
      </c>
      <c r="Z54" s="96" t="str">
        <f>IFERROR(VLOOKUP(V54,'ELA Reading Logic'!$A$22:$B$48,2,FALSE)-VLOOKUP($F54,'ELA Reading Logic'!$A$22:$B$48,2,FALSE),"No Value")</f>
        <v>No Value</v>
      </c>
      <c r="AA54" s="92"/>
      <c r="AB54" s="96" t="str">
        <f>IFERROR(IF($E54="Yes","IPP",VLOOKUP($J54,'ELA Reading Logic'!$A$3:$K$9,VLOOKUP(AA$1,'ELA Reading Logic'!$J$22:$K$31,2,FALSE),FALSE)),"Set Grade")</f>
        <v>Set Grade</v>
      </c>
      <c r="AC54" s="96" t="str">
        <f>IFERROR(IF($E54="Yes","IPP",VLOOKUP($J54,'ELA Reading Logic'!$A$13:$K$19,VLOOKUP(AA$1,'ELA Reading Logic'!$J$22:$K$31,2,FALSE),FALSE)),"Set Grade")</f>
        <v>Set Grade</v>
      </c>
      <c r="AD54" s="96" t="str">
        <f>IF($E54="Yes","IPP",IFERROR(IF(AND(AA54&gt;AB54,AA54&lt;AC54),"0",(VLOOKUP(AA54,'ELA Reading Logic'!$A$22:$B$48,2,FALSE))-(IF(VLOOKUP(AA54,'ELA Reading Logic'!$A$22:$B$48,2,FALSE)&lt;=VLOOKUP(AB54,'ELA Reading Logic'!$A$22:$B$48,2,FALSE),VLOOKUP(AB54,'ELA Reading Logic'!$A$22:$B$48,2,FALSE),IF(VLOOKUP(AA54,'ELA Reading Logic'!$A$22:$B$48,2,FALSE)&gt;=VLOOKUP(AC54,'ELA Reading Logic'!$A$22:$B$48,2,FALSE),VLOOKUP(AC54,'ELA Reading Logic'!$A$22:$B$48,2,FALSE),"No Score")))),"No Value"))</f>
        <v>No Value</v>
      </c>
      <c r="AE54" s="96" t="str">
        <f>IFERROR(VLOOKUP(AA54,'ELA Reading Logic'!$A$22:$B$48,2,FALSE)-VLOOKUP($F54,'ELA Reading Logic'!$A$22:$B$48,2,FALSE),"No Value")</f>
        <v>No Value</v>
      </c>
      <c r="AF54" s="92"/>
      <c r="AG54" s="96" t="str">
        <f>IFERROR(IF($E54="Yes","IPP",VLOOKUP($J54,'ELA Reading Logic'!$A$3:$K$9,VLOOKUP(AF$1,'ELA Reading Logic'!$J$22:$K$31,2,FALSE),FALSE)),"Set Grade")</f>
        <v>Set Grade</v>
      </c>
      <c r="AH54" s="96" t="str">
        <f>IFERROR(IF($E54="Yes","IPP",VLOOKUP($J54,'ELA Reading Logic'!$A$13:$K$19,VLOOKUP(AF$1,'ELA Reading Logic'!$J$22:$K$31,2,FALSE),FALSE)),"Set Grade")</f>
        <v>Set Grade</v>
      </c>
      <c r="AI54" s="96" t="str">
        <f>IF($E54="Yes","IPP",IFERROR(IF(AND(AF54&gt;AG54,AF54&lt;AH54),"0",(VLOOKUP(AF54,'ELA Reading Logic'!$A$22:$B$48,2,FALSE))-(IF(VLOOKUP(AF54,'ELA Reading Logic'!$A$22:$B$48,2,FALSE)&lt;=VLOOKUP(AG54,'ELA Reading Logic'!$A$22:$B$48,2,FALSE),VLOOKUP(AG54,'ELA Reading Logic'!$A$22:$B$48,2,FALSE),IF(VLOOKUP(AF54,'ELA Reading Logic'!$A$22:$B$48,2,FALSE)&gt;=VLOOKUP(AH54,'ELA Reading Logic'!$A$22:$B$48,2,FALSE),VLOOKUP(AH54,'ELA Reading Logic'!$A$22:$B$48,2,FALSE),"No Score")))),"No Value"))</f>
        <v>No Value</v>
      </c>
      <c r="AJ54" s="96" t="str">
        <f>IFERROR(VLOOKUP(AF54,'ELA Reading Logic'!$A$22:$B$48,2,FALSE)-VLOOKUP($F54,'ELA Reading Logic'!$A$22:$B$48,2,FALSE),"No Value")</f>
        <v>No Value</v>
      </c>
      <c r="AK54" s="92"/>
      <c r="AL54" s="96" t="str">
        <f>IFERROR(IF($E54="Yes","IPP",VLOOKUP($J54,'ELA Reading Logic'!$A$3:$K$9,VLOOKUP(AK$1,'ELA Reading Logic'!$J$22:$K$31,2,FALSE),FALSE)),"Set Grade")</f>
        <v>Set Grade</v>
      </c>
      <c r="AM54" s="96" t="str">
        <f>IFERROR(IF($E54="Yes","IPP",VLOOKUP($J54,'ELA Reading Logic'!$A$13:$K$19,VLOOKUP(AK$1,'ELA Reading Logic'!$J$22:$K$31,2,FALSE),FALSE)),"Set Grade")</f>
        <v>Set Grade</v>
      </c>
      <c r="AN54" s="96" t="str">
        <f>IF($E54="Yes","IPP",IFERROR(IF(AND(AK54&gt;AL54,AK54&lt;AM54),"0",(VLOOKUP(AK54,'ELA Reading Logic'!$A$22:$B$48,2,FALSE))-(IF(VLOOKUP(AK54,'ELA Reading Logic'!$A$22:$B$48,2,FALSE)&lt;=VLOOKUP(AL54,'ELA Reading Logic'!$A$22:$B$48,2,FALSE),VLOOKUP(AL54,'ELA Reading Logic'!$A$22:$B$48,2,FALSE),IF(VLOOKUP(AK54,'ELA Reading Logic'!$A$22:$B$48,2,FALSE)&gt;=VLOOKUP(AM54,'ELA Reading Logic'!$A$22:$B$48,2,FALSE),VLOOKUP(AM54,'ELA Reading Logic'!$A$22:$B$48,2,FALSE),"No Score")))),"No Value"))</f>
        <v>No Value</v>
      </c>
      <c r="AO54" s="96" t="str">
        <f>IFERROR(VLOOKUP(AK54,'ELA Reading Logic'!$A$22:$B$48,2,FALSE)-VLOOKUP($F54,'ELA Reading Logic'!$A$22:$B$48,2,FALSE),"No Value")</f>
        <v>No Value</v>
      </c>
      <c r="AP54" s="92"/>
      <c r="AQ54" s="96" t="str">
        <f>IFERROR(IF($E54="Yes","IPP",VLOOKUP($J54,'ELA Reading Logic'!$A$3:$K$9,VLOOKUP(AP$1,'ELA Reading Logic'!$J$22:$K$31,2,FALSE),FALSE)),"Set Grade")</f>
        <v>Set Grade</v>
      </c>
      <c r="AR54" s="96" t="str">
        <f>IFERROR(IF($E54="Yes","IPP",VLOOKUP($J54,'ELA Reading Logic'!$A$13:$K$19,VLOOKUP(AP$1,'ELA Reading Logic'!$J$22:$K$31,2,FALSE),FALSE)),"Set Grade")</f>
        <v>Set Grade</v>
      </c>
      <c r="AS54" s="96" t="str">
        <f>IF($E54="Yes","IPP",IFERROR(IF(AND(AP54&gt;AQ54,AP54&lt;AR54),"0",(VLOOKUP(AP54,'ELA Reading Logic'!$A$22:$B$48,2,FALSE))-(IF(VLOOKUP(AP54,'ELA Reading Logic'!$A$22:$B$48,2,FALSE)&lt;=VLOOKUP(AQ54,'ELA Reading Logic'!$A$22:$B$48,2,FALSE),VLOOKUP(AQ54,'ELA Reading Logic'!$A$22:$B$48,2,FALSE),IF(VLOOKUP(AP54,'ELA Reading Logic'!$A$22:$B$48,2,FALSE)&gt;=VLOOKUP(AR54,'ELA Reading Logic'!$A$22:$B$48,2,FALSE),VLOOKUP(AR54,'ELA Reading Logic'!$A$22:$B$48,2,FALSE),"No Score")))),"No Value"))</f>
        <v>No Value</v>
      </c>
      <c r="AT54" s="96" t="str">
        <f>IFERROR(VLOOKUP(AP54,'ELA Reading Logic'!$A$22:$B$48,2,FALSE)-VLOOKUP($F54,'ELA Reading Logic'!$A$22:$B$48,2,FALSE),"No Value")</f>
        <v>No Value</v>
      </c>
    </row>
    <row r="55" spans="1:46" ht="22.5" customHeight="1" x14ac:dyDescent="0.25">
      <c r="A55" s="174"/>
      <c r="B55" s="174"/>
      <c r="C55" s="174"/>
      <c r="D55" s="174"/>
      <c r="E55" s="175"/>
      <c r="F55" s="175"/>
      <c r="G55" s="177" t="str">
        <f>IFERROR(IF($E55="Yes","IPP",VLOOKUP($J55,'ELA Reading Logic'!$A$3:$K$9,VLOOKUP("September",'ELA Reading Logic'!$J$22:$K$31,2,FALSE),FALSE)),"Set Grade")</f>
        <v>Set Grade</v>
      </c>
      <c r="H55" s="177" t="str">
        <f>IFERROR(IF($E55="Yes","IPP",VLOOKUP($J55,'ELA Reading Logic'!$A$13:$K$19,VLOOKUP("September",'ELA Reading Logic'!$J$22:$K$31,2,FALSE),FALSE)),"Set Grade")</f>
        <v>Set Grade</v>
      </c>
      <c r="I55" s="96" t="str">
        <f>IF($E55="Yes","IPP",IFERROR(IF(AND(F55&gt;G55,F55&lt;H55),"0",(VLOOKUP(F55,'ELA Reading Logic'!$A$22:$B$48,2,FALSE))-(IF(VLOOKUP(F55,'ELA Reading Logic'!$A$22:$B$48,2,FALSE)&lt;=VLOOKUP(G55,'ELA Reading Logic'!$A$22:$B$48,2,FALSE),VLOOKUP(G55,'ELA Reading Logic'!$A$22:$B$48,2,FALSE),IF(VLOOKUP(F55,'ELA Reading Logic'!$A$22:$B$48,2,FALSE)&gt;=VLOOKUP(H55,'ELA Reading Logic'!$A$22:$B$48,2,FALSE),VLOOKUP(H55,'ELA Reading Logic'!$A$22:$B$48,2,FALSE),"No Score")))),"No Value"))</f>
        <v>No Value</v>
      </c>
      <c r="J55" s="178"/>
      <c r="K55" s="96"/>
      <c r="L55" s="96"/>
      <c r="M55" s="96"/>
      <c r="N55" s="96"/>
      <c r="O55" s="96"/>
      <c r="P55" s="105"/>
      <c r="Q55" s="92"/>
      <c r="R55" s="96" t="str">
        <f>IFERROR(IF($E55="Yes","IPP",VLOOKUP($J55,'ELA Reading Logic'!$A$3:$K$9,VLOOKUP(Q$1,'ELA Reading Logic'!$J$22:$K$31,2,FALSE),FALSE)),"Set Grade")</f>
        <v>Set Grade</v>
      </c>
      <c r="S55" s="96" t="str">
        <f>IFERROR(IF($E55="Yes","IPP",VLOOKUP($J55,'ELA Reading Logic'!$A$13:$K$19,VLOOKUP(Q$1,'ELA Reading Logic'!$J$22:$K$31,2,FALSE),FALSE)),"Set Grade")</f>
        <v>Set Grade</v>
      </c>
      <c r="T55" s="96" t="str">
        <f>IF($E55="Yes","IPP",IFERROR(IF(AND(Q55&gt;R55,Q55&lt;S55),"0",(VLOOKUP(Q55,'ELA Reading Logic'!$A$22:$B$48,2,FALSE))-(IF(VLOOKUP(Q55,'ELA Reading Logic'!$A$22:$B$48,2,FALSE)&lt;=VLOOKUP(R55,'ELA Reading Logic'!$A$22:$B$48,2,FALSE),VLOOKUP(R55,'ELA Reading Logic'!$A$22:$B$48,2,FALSE),IF(VLOOKUP(Q55,'ELA Reading Logic'!$A$22:$B$48,2,FALSE)&gt;=VLOOKUP(S55,'ELA Reading Logic'!$A$22:$B$48,2,FALSE),VLOOKUP(S55,'ELA Reading Logic'!$A$22:$B$48,2,FALSE),"No Score")))),"No Value"))</f>
        <v>No Value</v>
      </c>
      <c r="U55" s="96" t="str">
        <f>IFERROR(VLOOKUP(Q55,'ELA Reading Logic'!$A$22:$B$48,2,FALSE)-VLOOKUP($F55,'ELA Reading Logic'!$A$22:$B$48,2,FALSE),"No Value")</f>
        <v>No Value</v>
      </c>
      <c r="V55" s="92"/>
      <c r="W55" s="96" t="str">
        <f>IFERROR(IF($E55="Yes","IPP",VLOOKUP($J55,'ELA Reading Logic'!$A$3:$K$9,VLOOKUP(V$1,'ELA Reading Logic'!$J$22:$K$31,2,FALSE),FALSE)),"Set Grade")</f>
        <v>Set Grade</v>
      </c>
      <c r="X55" s="96" t="str">
        <f>IFERROR(IF($E55="Yes","IPP",VLOOKUP($J55,'ELA Reading Logic'!$A$13:$K$19,VLOOKUP(V$1,'ELA Reading Logic'!$J$22:$K$31,2,FALSE),FALSE)),"Set Grade")</f>
        <v>Set Grade</v>
      </c>
      <c r="Y55" s="96" t="str">
        <f>IF($E55="Yes","IPP",IFERROR(IF(AND(V55&gt;W55,V55&lt;X55),"0",(VLOOKUP(V55,'ELA Reading Logic'!$A$22:$B$48,2,FALSE))-(IF(VLOOKUP(V55,'ELA Reading Logic'!$A$22:$B$48,2,FALSE)&lt;=VLOOKUP(W55,'ELA Reading Logic'!$A$22:$B$48,2,FALSE),VLOOKUP(W55,'ELA Reading Logic'!$A$22:$B$48,2,FALSE),IF(VLOOKUP(V55,'ELA Reading Logic'!$A$22:$B$48,2,FALSE)&gt;=VLOOKUP(X55,'ELA Reading Logic'!$A$22:$B$48,2,FALSE),VLOOKUP(X55,'ELA Reading Logic'!$A$22:$B$48,2,FALSE),"No Score")))),"No Value"))</f>
        <v>No Value</v>
      </c>
      <c r="Z55" s="96" t="str">
        <f>IFERROR(VLOOKUP(V55,'ELA Reading Logic'!$A$22:$B$48,2,FALSE)-VLOOKUP($F55,'ELA Reading Logic'!$A$22:$B$48,2,FALSE),"No Value")</f>
        <v>No Value</v>
      </c>
      <c r="AA55" s="92"/>
      <c r="AB55" s="96" t="str">
        <f>IFERROR(IF($E55="Yes","IPP",VLOOKUP($J55,'ELA Reading Logic'!$A$3:$K$9,VLOOKUP(AA$1,'ELA Reading Logic'!$J$22:$K$31,2,FALSE),FALSE)),"Set Grade")</f>
        <v>Set Grade</v>
      </c>
      <c r="AC55" s="96" t="str">
        <f>IFERROR(IF($E55="Yes","IPP",VLOOKUP($J55,'ELA Reading Logic'!$A$13:$K$19,VLOOKUP(AA$1,'ELA Reading Logic'!$J$22:$K$31,2,FALSE),FALSE)),"Set Grade")</f>
        <v>Set Grade</v>
      </c>
      <c r="AD55" s="96" t="str">
        <f>IF($E55="Yes","IPP",IFERROR(IF(AND(AA55&gt;AB55,AA55&lt;AC55),"0",(VLOOKUP(AA55,'ELA Reading Logic'!$A$22:$B$48,2,FALSE))-(IF(VLOOKUP(AA55,'ELA Reading Logic'!$A$22:$B$48,2,FALSE)&lt;=VLOOKUP(AB55,'ELA Reading Logic'!$A$22:$B$48,2,FALSE),VLOOKUP(AB55,'ELA Reading Logic'!$A$22:$B$48,2,FALSE),IF(VLOOKUP(AA55,'ELA Reading Logic'!$A$22:$B$48,2,FALSE)&gt;=VLOOKUP(AC55,'ELA Reading Logic'!$A$22:$B$48,2,FALSE),VLOOKUP(AC55,'ELA Reading Logic'!$A$22:$B$48,2,FALSE),"No Score")))),"No Value"))</f>
        <v>No Value</v>
      </c>
      <c r="AE55" s="96" t="str">
        <f>IFERROR(VLOOKUP(AA55,'ELA Reading Logic'!$A$22:$B$48,2,FALSE)-VLOOKUP($F55,'ELA Reading Logic'!$A$22:$B$48,2,FALSE),"No Value")</f>
        <v>No Value</v>
      </c>
      <c r="AF55" s="92"/>
      <c r="AG55" s="96" t="str">
        <f>IFERROR(IF($E55="Yes","IPP",VLOOKUP($J55,'ELA Reading Logic'!$A$3:$K$9,VLOOKUP(AF$1,'ELA Reading Logic'!$J$22:$K$31,2,FALSE),FALSE)),"Set Grade")</f>
        <v>Set Grade</v>
      </c>
      <c r="AH55" s="96" t="str">
        <f>IFERROR(IF($E55="Yes","IPP",VLOOKUP($J55,'ELA Reading Logic'!$A$13:$K$19,VLOOKUP(AF$1,'ELA Reading Logic'!$J$22:$K$31,2,FALSE),FALSE)),"Set Grade")</f>
        <v>Set Grade</v>
      </c>
      <c r="AI55" s="96" t="str">
        <f>IF($E55="Yes","IPP",IFERROR(IF(AND(AF55&gt;AG55,AF55&lt;AH55),"0",(VLOOKUP(AF55,'ELA Reading Logic'!$A$22:$B$48,2,FALSE))-(IF(VLOOKUP(AF55,'ELA Reading Logic'!$A$22:$B$48,2,FALSE)&lt;=VLOOKUP(AG55,'ELA Reading Logic'!$A$22:$B$48,2,FALSE),VLOOKUP(AG55,'ELA Reading Logic'!$A$22:$B$48,2,FALSE),IF(VLOOKUP(AF55,'ELA Reading Logic'!$A$22:$B$48,2,FALSE)&gt;=VLOOKUP(AH55,'ELA Reading Logic'!$A$22:$B$48,2,FALSE),VLOOKUP(AH55,'ELA Reading Logic'!$A$22:$B$48,2,FALSE),"No Score")))),"No Value"))</f>
        <v>No Value</v>
      </c>
      <c r="AJ55" s="96" t="str">
        <f>IFERROR(VLOOKUP(AF55,'ELA Reading Logic'!$A$22:$B$48,2,FALSE)-VLOOKUP($F55,'ELA Reading Logic'!$A$22:$B$48,2,FALSE),"No Value")</f>
        <v>No Value</v>
      </c>
      <c r="AK55" s="92"/>
      <c r="AL55" s="96" t="str">
        <f>IFERROR(IF($E55="Yes","IPP",VLOOKUP($J55,'ELA Reading Logic'!$A$3:$K$9,VLOOKUP(AK$1,'ELA Reading Logic'!$J$22:$K$31,2,FALSE),FALSE)),"Set Grade")</f>
        <v>Set Grade</v>
      </c>
      <c r="AM55" s="96" t="str">
        <f>IFERROR(IF($E55="Yes","IPP",VLOOKUP($J55,'ELA Reading Logic'!$A$13:$K$19,VLOOKUP(AK$1,'ELA Reading Logic'!$J$22:$K$31,2,FALSE),FALSE)),"Set Grade")</f>
        <v>Set Grade</v>
      </c>
      <c r="AN55" s="96" t="str">
        <f>IF($E55="Yes","IPP",IFERROR(IF(AND(AK55&gt;AL55,AK55&lt;AM55),"0",(VLOOKUP(AK55,'ELA Reading Logic'!$A$22:$B$48,2,FALSE))-(IF(VLOOKUP(AK55,'ELA Reading Logic'!$A$22:$B$48,2,FALSE)&lt;=VLOOKUP(AL55,'ELA Reading Logic'!$A$22:$B$48,2,FALSE),VLOOKUP(AL55,'ELA Reading Logic'!$A$22:$B$48,2,FALSE),IF(VLOOKUP(AK55,'ELA Reading Logic'!$A$22:$B$48,2,FALSE)&gt;=VLOOKUP(AM55,'ELA Reading Logic'!$A$22:$B$48,2,FALSE),VLOOKUP(AM55,'ELA Reading Logic'!$A$22:$B$48,2,FALSE),"No Score")))),"No Value"))</f>
        <v>No Value</v>
      </c>
      <c r="AO55" s="96" t="str">
        <f>IFERROR(VLOOKUP(AK55,'ELA Reading Logic'!$A$22:$B$48,2,FALSE)-VLOOKUP($F55,'ELA Reading Logic'!$A$22:$B$48,2,FALSE),"No Value")</f>
        <v>No Value</v>
      </c>
      <c r="AP55" s="92"/>
      <c r="AQ55" s="96" t="str">
        <f>IFERROR(IF($E55="Yes","IPP",VLOOKUP($J55,'ELA Reading Logic'!$A$3:$K$9,VLOOKUP(AP$1,'ELA Reading Logic'!$J$22:$K$31,2,FALSE),FALSE)),"Set Grade")</f>
        <v>Set Grade</v>
      </c>
      <c r="AR55" s="96" t="str">
        <f>IFERROR(IF($E55="Yes","IPP",VLOOKUP($J55,'ELA Reading Logic'!$A$13:$K$19,VLOOKUP(AP$1,'ELA Reading Logic'!$J$22:$K$31,2,FALSE),FALSE)),"Set Grade")</f>
        <v>Set Grade</v>
      </c>
      <c r="AS55" s="96" t="str">
        <f>IF($E55="Yes","IPP",IFERROR(IF(AND(AP55&gt;AQ55,AP55&lt;AR55),"0",(VLOOKUP(AP55,'ELA Reading Logic'!$A$22:$B$48,2,FALSE))-(IF(VLOOKUP(AP55,'ELA Reading Logic'!$A$22:$B$48,2,FALSE)&lt;=VLOOKUP(AQ55,'ELA Reading Logic'!$A$22:$B$48,2,FALSE),VLOOKUP(AQ55,'ELA Reading Logic'!$A$22:$B$48,2,FALSE),IF(VLOOKUP(AP55,'ELA Reading Logic'!$A$22:$B$48,2,FALSE)&gt;=VLOOKUP(AR55,'ELA Reading Logic'!$A$22:$B$48,2,FALSE),VLOOKUP(AR55,'ELA Reading Logic'!$A$22:$B$48,2,FALSE),"No Score")))),"No Value"))</f>
        <v>No Value</v>
      </c>
      <c r="AT55" s="96" t="str">
        <f>IFERROR(VLOOKUP(AP55,'ELA Reading Logic'!$A$22:$B$48,2,FALSE)-VLOOKUP($F55,'ELA Reading Logic'!$A$22:$B$48,2,FALSE),"No Value")</f>
        <v>No Value</v>
      </c>
    </row>
    <row r="56" spans="1:46" ht="22.5" customHeight="1" x14ac:dyDescent="0.25">
      <c r="A56" s="176"/>
      <c r="B56" s="176"/>
      <c r="C56" s="176"/>
      <c r="D56" s="176"/>
      <c r="E56" s="175"/>
      <c r="F56" s="175"/>
      <c r="G56" s="177" t="str">
        <f>IFERROR(IF($E56="Yes","IPP",VLOOKUP($J56,'ELA Reading Logic'!$A$3:$K$9,VLOOKUP("September",'ELA Reading Logic'!$J$22:$K$31,2,FALSE),FALSE)),"Set Grade")</f>
        <v>Set Grade</v>
      </c>
      <c r="H56" s="177" t="str">
        <f>IFERROR(IF($E56="Yes","IPP",VLOOKUP($J56,'ELA Reading Logic'!$A$13:$K$19,VLOOKUP("September",'ELA Reading Logic'!$J$22:$K$31,2,FALSE),FALSE)),"Set Grade")</f>
        <v>Set Grade</v>
      </c>
      <c r="I56" s="96" t="str">
        <f>IF($E56="Yes","IPP",IFERROR(IF(AND(F56&gt;G56,F56&lt;H56),"0",(VLOOKUP(F56,'ELA Reading Logic'!$A$22:$B$48,2,FALSE))-(IF(VLOOKUP(F56,'ELA Reading Logic'!$A$22:$B$48,2,FALSE)&lt;=VLOOKUP(G56,'ELA Reading Logic'!$A$22:$B$48,2,FALSE),VLOOKUP(G56,'ELA Reading Logic'!$A$22:$B$48,2,FALSE),IF(VLOOKUP(F56,'ELA Reading Logic'!$A$22:$B$48,2,FALSE)&gt;=VLOOKUP(H56,'ELA Reading Logic'!$A$22:$B$48,2,FALSE),VLOOKUP(H56,'ELA Reading Logic'!$A$22:$B$48,2,FALSE),"No Score")))),"No Value"))</f>
        <v>No Value</v>
      </c>
      <c r="J56" s="178"/>
      <c r="K56" s="96"/>
      <c r="L56" s="96"/>
      <c r="M56" s="96"/>
      <c r="N56" s="96"/>
      <c r="O56" s="96"/>
      <c r="P56" s="105"/>
      <c r="Q56" s="92"/>
      <c r="R56" s="96" t="str">
        <f>IFERROR(IF($E56="Yes","IPP",VLOOKUP($J56,'ELA Reading Logic'!$A$3:$K$9,VLOOKUP(Q$1,'ELA Reading Logic'!$J$22:$K$31,2,FALSE),FALSE)),"Set Grade")</f>
        <v>Set Grade</v>
      </c>
      <c r="S56" s="96" t="str">
        <f>IFERROR(IF($E56="Yes","IPP",VLOOKUP($J56,'ELA Reading Logic'!$A$13:$K$19,VLOOKUP(Q$1,'ELA Reading Logic'!$J$22:$K$31,2,FALSE),FALSE)),"Set Grade")</f>
        <v>Set Grade</v>
      </c>
      <c r="T56" s="96" t="str">
        <f>IF($E56="Yes","IPP",IFERROR(IF(AND(Q56&gt;R56,Q56&lt;S56),"0",(VLOOKUP(Q56,'ELA Reading Logic'!$A$22:$B$48,2,FALSE))-(IF(VLOOKUP(Q56,'ELA Reading Logic'!$A$22:$B$48,2,FALSE)&lt;=VLOOKUP(R56,'ELA Reading Logic'!$A$22:$B$48,2,FALSE),VLOOKUP(R56,'ELA Reading Logic'!$A$22:$B$48,2,FALSE),IF(VLOOKUP(Q56,'ELA Reading Logic'!$A$22:$B$48,2,FALSE)&gt;=VLOOKUP(S56,'ELA Reading Logic'!$A$22:$B$48,2,FALSE),VLOOKUP(S56,'ELA Reading Logic'!$A$22:$B$48,2,FALSE),"No Score")))),"No Value"))</f>
        <v>No Value</v>
      </c>
      <c r="U56" s="96" t="str">
        <f>IFERROR(VLOOKUP(Q56,'ELA Reading Logic'!$A$22:$B$48,2,FALSE)-VLOOKUP($F56,'ELA Reading Logic'!$A$22:$B$48,2,FALSE),"No Value")</f>
        <v>No Value</v>
      </c>
      <c r="V56" s="92"/>
      <c r="W56" s="96" t="str">
        <f>IFERROR(IF($E56="Yes","IPP",VLOOKUP($J56,'ELA Reading Logic'!$A$3:$K$9,VLOOKUP(V$1,'ELA Reading Logic'!$J$22:$K$31,2,FALSE),FALSE)),"Set Grade")</f>
        <v>Set Grade</v>
      </c>
      <c r="X56" s="96" t="str">
        <f>IFERROR(IF($E56="Yes","IPP",VLOOKUP($J56,'ELA Reading Logic'!$A$13:$K$19,VLOOKUP(V$1,'ELA Reading Logic'!$J$22:$K$31,2,FALSE),FALSE)),"Set Grade")</f>
        <v>Set Grade</v>
      </c>
      <c r="Y56" s="96" t="str">
        <f>IF($E56="Yes","IPP",IFERROR(IF(AND(V56&gt;W56,V56&lt;X56),"0",(VLOOKUP(V56,'ELA Reading Logic'!$A$22:$B$48,2,FALSE))-(IF(VLOOKUP(V56,'ELA Reading Logic'!$A$22:$B$48,2,FALSE)&lt;=VLOOKUP(W56,'ELA Reading Logic'!$A$22:$B$48,2,FALSE),VLOOKUP(W56,'ELA Reading Logic'!$A$22:$B$48,2,FALSE),IF(VLOOKUP(V56,'ELA Reading Logic'!$A$22:$B$48,2,FALSE)&gt;=VLOOKUP(X56,'ELA Reading Logic'!$A$22:$B$48,2,FALSE),VLOOKUP(X56,'ELA Reading Logic'!$A$22:$B$48,2,FALSE),"No Score")))),"No Value"))</f>
        <v>No Value</v>
      </c>
      <c r="Z56" s="96" t="str">
        <f>IFERROR(VLOOKUP(V56,'ELA Reading Logic'!$A$22:$B$48,2,FALSE)-VLOOKUP($F56,'ELA Reading Logic'!$A$22:$B$48,2,FALSE),"No Value")</f>
        <v>No Value</v>
      </c>
      <c r="AA56" s="92"/>
      <c r="AB56" s="96" t="str">
        <f>IFERROR(IF($E56="Yes","IPP",VLOOKUP($J56,'ELA Reading Logic'!$A$3:$K$9,VLOOKUP(AA$1,'ELA Reading Logic'!$J$22:$K$31,2,FALSE),FALSE)),"Set Grade")</f>
        <v>Set Grade</v>
      </c>
      <c r="AC56" s="96" t="str">
        <f>IFERROR(IF($E56="Yes","IPP",VLOOKUP($J56,'ELA Reading Logic'!$A$13:$K$19,VLOOKUP(AA$1,'ELA Reading Logic'!$J$22:$K$31,2,FALSE),FALSE)),"Set Grade")</f>
        <v>Set Grade</v>
      </c>
      <c r="AD56" s="96" t="str">
        <f>IF($E56="Yes","IPP",IFERROR(IF(AND(AA56&gt;AB56,AA56&lt;AC56),"0",(VLOOKUP(AA56,'ELA Reading Logic'!$A$22:$B$48,2,FALSE))-(IF(VLOOKUP(AA56,'ELA Reading Logic'!$A$22:$B$48,2,FALSE)&lt;=VLOOKUP(AB56,'ELA Reading Logic'!$A$22:$B$48,2,FALSE),VLOOKUP(AB56,'ELA Reading Logic'!$A$22:$B$48,2,FALSE),IF(VLOOKUP(AA56,'ELA Reading Logic'!$A$22:$B$48,2,FALSE)&gt;=VLOOKUP(AC56,'ELA Reading Logic'!$A$22:$B$48,2,FALSE),VLOOKUP(AC56,'ELA Reading Logic'!$A$22:$B$48,2,FALSE),"No Score")))),"No Value"))</f>
        <v>No Value</v>
      </c>
      <c r="AE56" s="96" t="str">
        <f>IFERROR(VLOOKUP(AA56,'ELA Reading Logic'!$A$22:$B$48,2,FALSE)-VLOOKUP($F56,'ELA Reading Logic'!$A$22:$B$48,2,FALSE),"No Value")</f>
        <v>No Value</v>
      </c>
      <c r="AF56" s="92"/>
      <c r="AG56" s="96" t="str">
        <f>IFERROR(IF($E56="Yes","IPP",VLOOKUP($J56,'ELA Reading Logic'!$A$3:$K$9,VLOOKUP(AF$1,'ELA Reading Logic'!$J$22:$K$31,2,FALSE),FALSE)),"Set Grade")</f>
        <v>Set Grade</v>
      </c>
      <c r="AH56" s="96" t="str">
        <f>IFERROR(IF($E56="Yes","IPP",VLOOKUP($J56,'ELA Reading Logic'!$A$13:$K$19,VLOOKUP(AF$1,'ELA Reading Logic'!$J$22:$K$31,2,FALSE),FALSE)),"Set Grade")</f>
        <v>Set Grade</v>
      </c>
      <c r="AI56" s="96" t="str">
        <f>IF($E56="Yes","IPP",IFERROR(IF(AND(AF56&gt;AG56,AF56&lt;AH56),"0",(VLOOKUP(AF56,'ELA Reading Logic'!$A$22:$B$48,2,FALSE))-(IF(VLOOKUP(AF56,'ELA Reading Logic'!$A$22:$B$48,2,FALSE)&lt;=VLOOKUP(AG56,'ELA Reading Logic'!$A$22:$B$48,2,FALSE),VLOOKUP(AG56,'ELA Reading Logic'!$A$22:$B$48,2,FALSE),IF(VLOOKUP(AF56,'ELA Reading Logic'!$A$22:$B$48,2,FALSE)&gt;=VLOOKUP(AH56,'ELA Reading Logic'!$A$22:$B$48,2,FALSE),VLOOKUP(AH56,'ELA Reading Logic'!$A$22:$B$48,2,FALSE),"No Score")))),"No Value"))</f>
        <v>No Value</v>
      </c>
      <c r="AJ56" s="96" t="str">
        <f>IFERROR(VLOOKUP(AF56,'ELA Reading Logic'!$A$22:$B$48,2,FALSE)-VLOOKUP($F56,'ELA Reading Logic'!$A$22:$B$48,2,FALSE),"No Value")</f>
        <v>No Value</v>
      </c>
      <c r="AK56" s="92"/>
      <c r="AL56" s="96" t="str">
        <f>IFERROR(IF($E56="Yes","IPP",VLOOKUP($J56,'ELA Reading Logic'!$A$3:$K$9,VLOOKUP(AK$1,'ELA Reading Logic'!$J$22:$K$31,2,FALSE),FALSE)),"Set Grade")</f>
        <v>Set Grade</v>
      </c>
      <c r="AM56" s="96" t="str">
        <f>IFERROR(IF($E56="Yes","IPP",VLOOKUP($J56,'ELA Reading Logic'!$A$13:$K$19,VLOOKUP(AK$1,'ELA Reading Logic'!$J$22:$K$31,2,FALSE),FALSE)),"Set Grade")</f>
        <v>Set Grade</v>
      </c>
      <c r="AN56" s="96" t="str">
        <f>IF($E56="Yes","IPP",IFERROR(IF(AND(AK56&gt;AL56,AK56&lt;AM56),"0",(VLOOKUP(AK56,'ELA Reading Logic'!$A$22:$B$48,2,FALSE))-(IF(VLOOKUP(AK56,'ELA Reading Logic'!$A$22:$B$48,2,FALSE)&lt;=VLOOKUP(AL56,'ELA Reading Logic'!$A$22:$B$48,2,FALSE),VLOOKUP(AL56,'ELA Reading Logic'!$A$22:$B$48,2,FALSE),IF(VLOOKUP(AK56,'ELA Reading Logic'!$A$22:$B$48,2,FALSE)&gt;=VLOOKUP(AM56,'ELA Reading Logic'!$A$22:$B$48,2,FALSE),VLOOKUP(AM56,'ELA Reading Logic'!$A$22:$B$48,2,FALSE),"No Score")))),"No Value"))</f>
        <v>No Value</v>
      </c>
      <c r="AO56" s="96" t="str">
        <f>IFERROR(VLOOKUP(AK56,'ELA Reading Logic'!$A$22:$B$48,2,FALSE)-VLOOKUP($F56,'ELA Reading Logic'!$A$22:$B$48,2,FALSE),"No Value")</f>
        <v>No Value</v>
      </c>
      <c r="AP56" s="92"/>
      <c r="AQ56" s="96" t="str">
        <f>IFERROR(IF($E56="Yes","IPP",VLOOKUP($J56,'ELA Reading Logic'!$A$3:$K$9,VLOOKUP(AP$1,'ELA Reading Logic'!$J$22:$K$31,2,FALSE),FALSE)),"Set Grade")</f>
        <v>Set Grade</v>
      </c>
      <c r="AR56" s="96" t="str">
        <f>IFERROR(IF($E56="Yes","IPP",VLOOKUP($J56,'ELA Reading Logic'!$A$13:$K$19,VLOOKUP(AP$1,'ELA Reading Logic'!$J$22:$K$31,2,FALSE),FALSE)),"Set Grade")</f>
        <v>Set Grade</v>
      </c>
      <c r="AS56" s="96" t="str">
        <f>IF($E56="Yes","IPP",IFERROR(IF(AND(AP56&gt;AQ56,AP56&lt;AR56),"0",(VLOOKUP(AP56,'ELA Reading Logic'!$A$22:$B$48,2,FALSE))-(IF(VLOOKUP(AP56,'ELA Reading Logic'!$A$22:$B$48,2,FALSE)&lt;=VLOOKUP(AQ56,'ELA Reading Logic'!$A$22:$B$48,2,FALSE),VLOOKUP(AQ56,'ELA Reading Logic'!$A$22:$B$48,2,FALSE),IF(VLOOKUP(AP56,'ELA Reading Logic'!$A$22:$B$48,2,FALSE)&gt;=VLOOKUP(AR56,'ELA Reading Logic'!$A$22:$B$48,2,FALSE),VLOOKUP(AR56,'ELA Reading Logic'!$A$22:$B$48,2,FALSE),"No Score")))),"No Value"))</f>
        <v>No Value</v>
      </c>
      <c r="AT56" s="96" t="str">
        <f>IFERROR(VLOOKUP(AP56,'ELA Reading Logic'!$A$22:$B$48,2,FALSE)-VLOOKUP($F56,'ELA Reading Logic'!$A$22:$B$48,2,FALSE),"No Value")</f>
        <v>No Value</v>
      </c>
    </row>
    <row r="57" spans="1:46" ht="22.5" customHeight="1" x14ac:dyDescent="0.25">
      <c r="A57" s="174"/>
      <c r="B57" s="174"/>
      <c r="C57" s="174"/>
      <c r="D57" s="174"/>
      <c r="E57" s="175"/>
      <c r="F57" s="175"/>
      <c r="G57" s="177" t="str">
        <f>IFERROR(IF($E57="Yes","IPP",VLOOKUP($J57,'ELA Reading Logic'!$A$3:$K$9,VLOOKUP("September",'ELA Reading Logic'!$J$22:$K$31,2,FALSE),FALSE)),"Set Grade")</f>
        <v>Set Grade</v>
      </c>
      <c r="H57" s="177" t="str">
        <f>IFERROR(IF($E57="Yes","IPP",VLOOKUP($J57,'ELA Reading Logic'!$A$13:$K$19,VLOOKUP("September",'ELA Reading Logic'!$J$22:$K$31,2,FALSE),FALSE)),"Set Grade")</f>
        <v>Set Grade</v>
      </c>
      <c r="I57" s="96" t="str">
        <f>IF($E57="Yes","IPP",IFERROR(IF(AND(F57&gt;G57,F57&lt;H57),"0",(VLOOKUP(F57,'ELA Reading Logic'!$A$22:$B$48,2,FALSE))-(IF(VLOOKUP(F57,'ELA Reading Logic'!$A$22:$B$48,2,FALSE)&lt;=VLOOKUP(G57,'ELA Reading Logic'!$A$22:$B$48,2,FALSE),VLOOKUP(G57,'ELA Reading Logic'!$A$22:$B$48,2,FALSE),IF(VLOOKUP(F57,'ELA Reading Logic'!$A$22:$B$48,2,FALSE)&gt;=VLOOKUP(H57,'ELA Reading Logic'!$A$22:$B$48,2,FALSE),VLOOKUP(H57,'ELA Reading Logic'!$A$22:$B$48,2,FALSE),"No Score")))),"No Value"))</f>
        <v>No Value</v>
      </c>
      <c r="J57" s="178"/>
      <c r="K57" s="96"/>
      <c r="L57" s="96"/>
      <c r="M57" s="96"/>
      <c r="N57" s="96"/>
      <c r="O57" s="96"/>
      <c r="P57" s="105"/>
      <c r="Q57" s="92"/>
      <c r="R57" s="96" t="str">
        <f>IFERROR(IF($E57="Yes","IPP",VLOOKUP($J57,'ELA Reading Logic'!$A$3:$K$9,VLOOKUP(Q$1,'ELA Reading Logic'!$J$22:$K$31,2,FALSE),FALSE)),"Set Grade")</f>
        <v>Set Grade</v>
      </c>
      <c r="S57" s="96" t="str">
        <f>IFERROR(IF($E57="Yes","IPP",VLOOKUP($J57,'ELA Reading Logic'!$A$13:$K$19,VLOOKUP(Q$1,'ELA Reading Logic'!$J$22:$K$31,2,FALSE),FALSE)),"Set Grade")</f>
        <v>Set Grade</v>
      </c>
      <c r="T57" s="96" t="str">
        <f>IF($E57="Yes","IPP",IFERROR(IF(AND(Q57&gt;R57,Q57&lt;S57),"0",(VLOOKUP(Q57,'ELA Reading Logic'!$A$22:$B$48,2,FALSE))-(IF(VLOOKUP(Q57,'ELA Reading Logic'!$A$22:$B$48,2,FALSE)&lt;=VLOOKUP(R57,'ELA Reading Logic'!$A$22:$B$48,2,FALSE),VLOOKUP(R57,'ELA Reading Logic'!$A$22:$B$48,2,FALSE),IF(VLOOKUP(Q57,'ELA Reading Logic'!$A$22:$B$48,2,FALSE)&gt;=VLOOKUP(S57,'ELA Reading Logic'!$A$22:$B$48,2,FALSE),VLOOKUP(S57,'ELA Reading Logic'!$A$22:$B$48,2,FALSE),"No Score")))),"No Value"))</f>
        <v>No Value</v>
      </c>
      <c r="U57" s="96" t="str">
        <f>IFERROR(VLOOKUP(Q57,'ELA Reading Logic'!$A$22:$B$48,2,FALSE)-VLOOKUP($F57,'ELA Reading Logic'!$A$22:$B$48,2,FALSE),"No Value")</f>
        <v>No Value</v>
      </c>
      <c r="V57" s="92"/>
      <c r="W57" s="96" t="str">
        <f>IFERROR(IF($E57="Yes","IPP",VLOOKUP($J57,'ELA Reading Logic'!$A$3:$K$9,VLOOKUP(V$1,'ELA Reading Logic'!$J$22:$K$31,2,FALSE),FALSE)),"Set Grade")</f>
        <v>Set Grade</v>
      </c>
      <c r="X57" s="96" t="str">
        <f>IFERROR(IF($E57="Yes","IPP",VLOOKUP($J57,'ELA Reading Logic'!$A$13:$K$19,VLOOKUP(V$1,'ELA Reading Logic'!$J$22:$K$31,2,FALSE),FALSE)),"Set Grade")</f>
        <v>Set Grade</v>
      </c>
      <c r="Y57" s="96" t="str">
        <f>IF($E57="Yes","IPP",IFERROR(IF(AND(V57&gt;W57,V57&lt;X57),"0",(VLOOKUP(V57,'ELA Reading Logic'!$A$22:$B$48,2,FALSE))-(IF(VLOOKUP(V57,'ELA Reading Logic'!$A$22:$B$48,2,FALSE)&lt;=VLOOKUP(W57,'ELA Reading Logic'!$A$22:$B$48,2,FALSE),VLOOKUP(W57,'ELA Reading Logic'!$A$22:$B$48,2,FALSE),IF(VLOOKUP(V57,'ELA Reading Logic'!$A$22:$B$48,2,FALSE)&gt;=VLOOKUP(X57,'ELA Reading Logic'!$A$22:$B$48,2,FALSE),VLOOKUP(X57,'ELA Reading Logic'!$A$22:$B$48,2,FALSE),"No Score")))),"No Value"))</f>
        <v>No Value</v>
      </c>
      <c r="Z57" s="96" t="str">
        <f>IFERROR(VLOOKUP(V57,'ELA Reading Logic'!$A$22:$B$48,2,FALSE)-VLOOKUP($F57,'ELA Reading Logic'!$A$22:$B$48,2,FALSE),"No Value")</f>
        <v>No Value</v>
      </c>
      <c r="AA57" s="92"/>
      <c r="AB57" s="96" t="str">
        <f>IFERROR(IF($E57="Yes","IPP",VLOOKUP($J57,'ELA Reading Logic'!$A$3:$K$9,VLOOKUP(AA$1,'ELA Reading Logic'!$J$22:$K$31,2,FALSE),FALSE)),"Set Grade")</f>
        <v>Set Grade</v>
      </c>
      <c r="AC57" s="96" t="str">
        <f>IFERROR(IF($E57="Yes","IPP",VLOOKUP($J57,'ELA Reading Logic'!$A$13:$K$19,VLOOKUP(AA$1,'ELA Reading Logic'!$J$22:$K$31,2,FALSE),FALSE)),"Set Grade")</f>
        <v>Set Grade</v>
      </c>
      <c r="AD57" s="96" t="str">
        <f>IF($E57="Yes","IPP",IFERROR(IF(AND(AA57&gt;AB57,AA57&lt;AC57),"0",(VLOOKUP(AA57,'ELA Reading Logic'!$A$22:$B$48,2,FALSE))-(IF(VLOOKUP(AA57,'ELA Reading Logic'!$A$22:$B$48,2,FALSE)&lt;=VLOOKUP(AB57,'ELA Reading Logic'!$A$22:$B$48,2,FALSE),VLOOKUP(AB57,'ELA Reading Logic'!$A$22:$B$48,2,FALSE),IF(VLOOKUP(AA57,'ELA Reading Logic'!$A$22:$B$48,2,FALSE)&gt;=VLOOKUP(AC57,'ELA Reading Logic'!$A$22:$B$48,2,FALSE),VLOOKUP(AC57,'ELA Reading Logic'!$A$22:$B$48,2,FALSE),"No Score")))),"No Value"))</f>
        <v>No Value</v>
      </c>
      <c r="AE57" s="96" t="str">
        <f>IFERROR(VLOOKUP(AA57,'ELA Reading Logic'!$A$22:$B$48,2,FALSE)-VLOOKUP($F57,'ELA Reading Logic'!$A$22:$B$48,2,FALSE),"No Value")</f>
        <v>No Value</v>
      </c>
      <c r="AF57" s="92"/>
      <c r="AG57" s="96" t="str">
        <f>IFERROR(IF($E57="Yes","IPP",VLOOKUP($J57,'ELA Reading Logic'!$A$3:$K$9,VLOOKUP(AF$1,'ELA Reading Logic'!$J$22:$K$31,2,FALSE),FALSE)),"Set Grade")</f>
        <v>Set Grade</v>
      </c>
      <c r="AH57" s="96" t="str">
        <f>IFERROR(IF($E57="Yes","IPP",VLOOKUP($J57,'ELA Reading Logic'!$A$13:$K$19,VLOOKUP(AF$1,'ELA Reading Logic'!$J$22:$K$31,2,FALSE),FALSE)),"Set Grade")</f>
        <v>Set Grade</v>
      </c>
      <c r="AI57" s="96" t="str">
        <f>IF($E57="Yes","IPP",IFERROR(IF(AND(AF57&gt;AG57,AF57&lt;AH57),"0",(VLOOKUP(AF57,'ELA Reading Logic'!$A$22:$B$48,2,FALSE))-(IF(VLOOKUP(AF57,'ELA Reading Logic'!$A$22:$B$48,2,FALSE)&lt;=VLOOKUP(AG57,'ELA Reading Logic'!$A$22:$B$48,2,FALSE),VLOOKUP(AG57,'ELA Reading Logic'!$A$22:$B$48,2,FALSE),IF(VLOOKUP(AF57,'ELA Reading Logic'!$A$22:$B$48,2,FALSE)&gt;=VLOOKUP(AH57,'ELA Reading Logic'!$A$22:$B$48,2,FALSE),VLOOKUP(AH57,'ELA Reading Logic'!$A$22:$B$48,2,FALSE),"No Score")))),"No Value"))</f>
        <v>No Value</v>
      </c>
      <c r="AJ57" s="96" t="str">
        <f>IFERROR(VLOOKUP(AF57,'ELA Reading Logic'!$A$22:$B$48,2,FALSE)-VLOOKUP($F57,'ELA Reading Logic'!$A$22:$B$48,2,FALSE),"No Value")</f>
        <v>No Value</v>
      </c>
      <c r="AK57" s="92"/>
      <c r="AL57" s="96" t="str">
        <f>IFERROR(IF($E57="Yes","IPP",VLOOKUP($J57,'ELA Reading Logic'!$A$3:$K$9,VLOOKUP(AK$1,'ELA Reading Logic'!$J$22:$K$31,2,FALSE),FALSE)),"Set Grade")</f>
        <v>Set Grade</v>
      </c>
      <c r="AM57" s="96" t="str">
        <f>IFERROR(IF($E57="Yes","IPP",VLOOKUP($J57,'ELA Reading Logic'!$A$13:$K$19,VLOOKUP(AK$1,'ELA Reading Logic'!$J$22:$K$31,2,FALSE),FALSE)),"Set Grade")</f>
        <v>Set Grade</v>
      </c>
      <c r="AN57" s="96" t="str">
        <f>IF($E57="Yes","IPP",IFERROR(IF(AND(AK57&gt;AL57,AK57&lt;AM57),"0",(VLOOKUP(AK57,'ELA Reading Logic'!$A$22:$B$48,2,FALSE))-(IF(VLOOKUP(AK57,'ELA Reading Logic'!$A$22:$B$48,2,FALSE)&lt;=VLOOKUP(AL57,'ELA Reading Logic'!$A$22:$B$48,2,FALSE),VLOOKUP(AL57,'ELA Reading Logic'!$A$22:$B$48,2,FALSE),IF(VLOOKUP(AK57,'ELA Reading Logic'!$A$22:$B$48,2,FALSE)&gt;=VLOOKUP(AM57,'ELA Reading Logic'!$A$22:$B$48,2,FALSE),VLOOKUP(AM57,'ELA Reading Logic'!$A$22:$B$48,2,FALSE),"No Score")))),"No Value"))</f>
        <v>No Value</v>
      </c>
      <c r="AO57" s="96" t="str">
        <f>IFERROR(VLOOKUP(AK57,'ELA Reading Logic'!$A$22:$B$48,2,FALSE)-VLOOKUP($F57,'ELA Reading Logic'!$A$22:$B$48,2,FALSE),"No Value")</f>
        <v>No Value</v>
      </c>
      <c r="AP57" s="92"/>
      <c r="AQ57" s="96" t="str">
        <f>IFERROR(IF($E57="Yes","IPP",VLOOKUP($J57,'ELA Reading Logic'!$A$3:$K$9,VLOOKUP(AP$1,'ELA Reading Logic'!$J$22:$K$31,2,FALSE),FALSE)),"Set Grade")</f>
        <v>Set Grade</v>
      </c>
      <c r="AR57" s="96" t="str">
        <f>IFERROR(IF($E57="Yes","IPP",VLOOKUP($J57,'ELA Reading Logic'!$A$13:$K$19,VLOOKUP(AP$1,'ELA Reading Logic'!$J$22:$K$31,2,FALSE),FALSE)),"Set Grade")</f>
        <v>Set Grade</v>
      </c>
      <c r="AS57" s="96" t="str">
        <f>IF($E57="Yes","IPP",IFERROR(IF(AND(AP57&gt;AQ57,AP57&lt;AR57),"0",(VLOOKUP(AP57,'ELA Reading Logic'!$A$22:$B$48,2,FALSE))-(IF(VLOOKUP(AP57,'ELA Reading Logic'!$A$22:$B$48,2,FALSE)&lt;=VLOOKUP(AQ57,'ELA Reading Logic'!$A$22:$B$48,2,FALSE),VLOOKUP(AQ57,'ELA Reading Logic'!$A$22:$B$48,2,FALSE),IF(VLOOKUP(AP57,'ELA Reading Logic'!$A$22:$B$48,2,FALSE)&gt;=VLOOKUP(AR57,'ELA Reading Logic'!$A$22:$B$48,2,FALSE),VLOOKUP(AR57,'ELA Reading Logic'!$A$22:$B$48,2,FALSE),"No Score")))),"No Value"))</f>
        <v>No Value</v>
      </c>
      <c r="AT57" s="96" t="str">
        <f>IFERROR(VLOOKUP(AP57,'ELA Reading Logic'!$A$22:$B$48,2,FALSE)-VLOOKUP($F57,'ELA Reading Logic'!$A$22:$B$48,2,FALSE),"No Value")</f>
        <v>No Value</v>
      </c>
    </row>
    <row r="58" spans="1:46" ht="22.5" customHeight="1" x14ac:dyDescent="0.25">
      <c r="A58" s="176"/>
      <c r="B58" s="176"/>
      <c r="C58" s="176"/>
      <c r="D58" s="176"/>
      <c r="E58" s="175"/>
      <c r="F58" s="175"/>
      <c r="G58" s="177" t="str">
        <f>IFERROR(IF($E58="Yes","IPP",VLOOKUP($J58,'ELA Reading Logic'!$A$3:$K$9,VLOOKUP("September",'ELA Reading Logic'!$J$22:$K$31,2,FALSE),FALSE)),"Set Grade")</f>
        <v>Set Grade</v>
      </c>
      <c r="H58" s="177" t="str">
        <f>IFERROR(IF($E58="Yes","IPP",VLOOKUP($J58,'ELA Reading Logic'!$A$13:$K$19,VLOOKUP("September",'ELA Reading Logic'!$J$22:$K$31,2,FALSE),FALSE)),"Set Grade")</f>
        <v>Set Grade</v>
      </c>
      <c r="I58" s="96" t="str">
        <f>IF($E58="Yes","IPP",IFERROR(IF(AND(F58&gt;G58,F58&lt;H58),"0",(VLOOKUP(F58,'ELA Reading Logic'!$A$22:$B$48,2,FALSE))-(IF(VLOOKUP(F58,'ELA Reading Logic'!$A$22:$B$48,2,FALSE)&lt;=VLOOKUP(G58,'ELA Reading Logic'!$A$22:$B$48,2,FALSE),VLOOKUP(G58,'ELA Reading Logic'!$A$22:$B$48,2,FALSE),IF(VLOOKUP(F58,'ELA Reading Logic'!$A$22:$B$48,2,FALSE)&gt;=VLOOKUP(H58,'ELA Reading Logic'!$A$22:$B$48,2,FALSE),VLOOKUP(H58,'ELA Reading Logic'!$A$22:$B$48,2,FALSE),"No Score")))),"No Value"))</f>
        <v>No Value</v>
      </c>
      <c r="J58" s="178"/>
      <c r="K58" s="96"/>
      <c r="L58" s="96"/>
      <c r="M58" s="96"/>
      <c r="N58" s="96"/>
      <c r="O58" s="96"/>
      <c r="P58" s="105"/>
      <c r="Q58" s="92"/>
      <c r="R58" s="96" t="str">
        <f>IFERROR(IF($E58="Yes","IPP",VLOOKUP($J58,'ELA Reading Logic'!$A$3:$K$9,VLOOKUP(Q$1,'ELA Reading Logic'!$J$22:$K$31,2,FALSE),FALSE)),"Set Grade")</f>
        <v>Set Grade</v>
      </c>
      <c r="S58" s="96" t="str">
        <f>IFERROR(IF($E58="Yes","IPP",VLOOKUP($J58,'ELA Reading Logic'!$A$13:$K$19,VLOOKUP(Q$1,'ELA Reading Logic'!$J$22:$K$31,2,FALSE),FALSE)),"Set Grade")</f>
        <v>Set Grade</v>
      </c>
      <c r="T58" s="96" t="str">
        <f>IF($E58="Yes","IPP",IFERROR(IF(AND(Q58&gt;R58,Q58&lt;S58),"0",(VLOOKUP(Q58,'ELA Reading Logic'!$A$22:$B$48,2,FALSE))-(IF(VLOOKUP(Q58,'ELA Reading Logic'!$A$22:$B$48,2,FALSE)&lt;=VLOOKUP(R58,'ELA Reading Logic'!$A$22:$B$48,2,FALSE),VLOOKUP(R58,'ELA Reading Logic'!$A$22:$B$48,2,FALSE),IF(VLOOKUP(Q58,'ELA Reading Logic'!$A$22:$B$48,2,FALSE)&gt;=VLOOKUP(S58,'ELA Reading Logic'!$A$22:$B$48,2,FALSE),VLOOKUP(S58,'ELA Reading Logic'!$A$22:$B$48,2,FALSE),"No Score")))),"No Value"))</f>
        <v>No Value</v>
      </c>
      <c r="U58" s="96" t="str">
        <f>IFERROR(VLOOKUP(Q58,'ELA Reading Logic'!$A$22:$B$48,2,FALSE)-VLOOKUP($F58,'ELA Reading Logic'!$A$22:$B$48,2,FALSE),"No Value")</f>
        <v>No Value</v>
      </c>
      <c r="V58" s="92"/>
      <c r="W58" s="96" t="str">
        <f>IFERROR(IF($E58="Yes","IPP",VLOOKUP($J58,'ELA Reading Logic'!$A$3:$K$9,VLOOKUP(V$1,'ELA Reading Logic'!$J$22:$K$31,2,FALSE),FALSE)),"Set Grade")</f>
        <v>Set Grade</v>
      </c>
      <c r="X58" s="96" t="str">
        <f>IFERROR(IF($E58="Yes","IPP",VLOOKUP($J58,'ELA Reading Logic'!$A$13:$K$19,VLOOKUP(V$1,'ELA Reading Logic'!$J$22:$K$31,2,FALSE),FALSE)),"Set Grade")</f>
        <v>Set Grade</v>
      </c>
      <c r="Y58" s="96" t="str">
        <f>IF($E58="Yes","IPP",IFERROR(IF(AND(V58&gt;W58,V58&lt;X58),"0",(VLOOKUP(V58,'ELA Reading Logic'!$A$22:$B$48,2,FALSE))-(IF(VLOOKUP(V58,'ELA Reading Logic'!$A$22:$B$48,2,FALSE)&lt;=VLOOKUP(W58,'ELA Reading Logic'!$A$22:$B$48,2,FALSE),VLOOKUP(W58,'ELA Reading Logic'!$A$22:$B$48,2,FALSE),IF(VLOOKUP(V58,'ELA Reading Logic'!$A$22:$B$48,2,FALSE)&gt;=VLOOKUP(X58,'ELA Reading Logic'!$A$22:$B$48,2,FALSE),VLOOKUP(X58,'ELA Reading Logic'!$A$22:$B$48,2,FALSE),"No Score")))),"No Value"))</f>
        <v>No Value</v>
      </c>
      <c r="Z58" s="96" t="str">
        <f>IFERROR(VLOOKUP(V58,'ELA Reading Logic'!$A$22:$B$48,2,FALSE)-VLOOKUP($F58,'ELA Reading Logic'!$A$22:$B$48,2,FALSE),"No Value")</f>
        <v>No Value</v>
      </c>
      <c r="AA58" s="92"/>
      <c r="AB58" s="96" t="str">
        <f>IFERROR(IF($E58="Yes","IPP",VLOOKUP($J58,'ELA Reading Logic'!$A$3:$K$9,VLOOKUP(AA$1,'ELA Reading Logic'!$J$22:$K$31,2,FALSE),FALSE)),"Set Grade")</f>
        <v>Set Grade</v>
      </c>
      <c r="AC58" s="96" t="str">
        <f>IFERROR(IF($E58="Yes","IPP",VLOOKUP($J58,'ELA Reading Logic'!$A$13:$K$19,VLOOKUP(AA$1,'ELA Reading Logic'!$J$22:$K$31,2,FALSE),FALSE)),"Set Grade")</f>
        <v>Set Grade</v>
      </c>
      <c r="AD58" s="96" t="str">
        <f>IF($E58="Yes","IPP",IFERROR(IF(AND(AA58&gt;AB58,AA58&lt;AC58),"0",(VLOOKUP(AA58,'ELA Reading Logic'!$A$22:$B$48,2,FALSE))-(IF(VLOOKUP(AA58,'ELA Reading Logic'!$A$22:$B$48,2,FALSE)&lt;=VLOOKUP(AB58,'ELA Reading Logic'!$A$22:$B$48,2,FALSE),VLOOKUP(AB58,'ELA Reading Logic'!$A$22:$B$48,2,FALSE),IF(VLOOKUP(AA58,'ELA Reading Logic'!$A$22:$B$48,2,FALSE)&gt;=VLOOKUP(AC58,'ELA Reading Logic'!$A$22:$B$48,2,FALSE),VLOOKUP(AC58,'ELA Reading Logic'!$A$22:$B$48,2,FALSE),"No Score")))),"No Value"))</f>
        <v>No Value</v>
      </c>
      <c r="AE58" s="96" t="str">
        <f>IFERROR(VLOOKUP(AA58,'ELA Reading Logic'!$A$22:$B$48,2,FALSE)-VLOOKUP($F58,'ELA Reading Logic'!$A$22:$B$48,2,FALSE),"No Value")</f>
        <v>No Value</v>
      </c>
      <c r="AF58" s="92"/>
      <c r="AG58" s="96" t="str">
        <f>IFERROR(IF($E58="Yes","IPP",VLOOKUP($J58,'ELA Reading Logic'!$A$3:$K$9,VLOOKUP(AF$1,'ELA Reading Logic'!$J$22:$K$31,2,FALSE),FALSE)),"Set Grade")</f>
        <v>Set Grade</v>
      </c>
      <c r="AH58" s="96" t="str">
        <f>IFERROR(IF($E58="Yes","IPP",VLOOKUP($J58,'ELA Reading Logic'!$A$13:$K$19,VLOOKUP(AF$1,'ELA Reading Logic'!$J$22:$K$31,2,FALSE),FALSE)),"Set Grade")</f>
        <v>Set Grade</v>
      </c>
      <c r="AI58" s="96" t="str">
        <f>IF($E58="Yes","IPP",IFERROR(IF(AND(AF58&gt;AG58,AF58&lt;AH58),"0",(VLOOKUP(AF58,'ELA Reading Logic'!$A$22:$B$48,2,FALSE))-(IF(VLOOKUP(AF58,'ELA Reading Logic'!$A$22:$B$48,2,FALSE)&lt;=VLOOKUP(AG58,'ELA Reading Logic'!$A$22:$B$48,2,FALSE),VLOOKUP(AG58,'ELA Reading Logic'!$A$22:$B$48,2,FALSE),IF(VLOOKUP(AF58,'ELA Reading Logic'!$A$22:$B$48,2,FALSE)&gt;=VLOOKUP(AH58,'ELA Reading Logic'!$A$22:$B$48,2,FALSE),VLOOKUP(AH58,'ELA Reading Logic'!$A$22:$B$48,2,FALSE),"No Score")))),"No Value"))</f>
        <v>No Value</v>
      </c>
      <c r="AJ58" s="96" t="str">
        <f>IFERROR(VLOOKUP(AF58,'ELA Reading Logic'!$A$22:$B$48,2,FALSE)-VLOOKUP($F58,'ELA Reading Logic'!$A$22:$B$48,2,FALSE),"No Value")</f>
        <v>No Value</v>
      </c>
      <c r="AK58" s="92"/>
      <c r="AL58" s="96" t="str">
        <f>IFERROR(IF($E58="Yes","IPP",VLOOKUP($J58,'ELA Reading Logic'!$A$3:$K$9,VLOOKUP(AK$1,'ELA Reading Logic'!$J$22:$K$31,2,FALSE),FALSE)),"Set Grade")</f>
        <v>Set Grade</v>
      </c>
      <c r="AM58" s="96" t="str">
        <f>IFERROR(IF($E58="Yes","IPP",VLOOKUP($J58,'ELA Reading Logic'!$A$13:$K$19,VLOOKUP(AK$1,'ELA Reading Logic'!$J$22:$K$31,2,FALSE),FALSE)),"Set Grade")</f>
        <v>Set Grade</v>
      </c>
      <c r="AN58" s="96" t="str">
        <f>IF($E58="Yes","IPP",IFERROR(IF(AND(AK58&gt;AL58,AK58&lt;AM58),"0",(VLOOKUP(AK58,'ELA Reading Logic'!$A$22:$B$48,2,FALSE))-(IF(VLOOKUP(AK58,'ELA Reading Logic'!$A$22:$B$48,2,FALSE)&lt;=VLOOKUP(AL58,'ELA Reading Logic'!$A$22:$B$48,2,FALSE),VLOOKUP(AL58,'ELA Reading Logic'!$A$22:$B$48,2,FALSE),IF(VLOOKUP(AK58,'ELA Reading Logic'!$A$22:$B$48,2,FALSE)&gt;=VLOOKUP(AM58,'ELA Reading Logic'!$A$22:$B$48,2,FALSE),VLOOKUP(AM58,'ELA Reading Logic'!$A$22:$B$48,2,FALSE),"No Score")))),"No Value"))</f>
        <v>No Value</v>
      </c>
      <c r="AO58" s="96" t="str">
        <f>IFERROR(VLOOKUP(AK58,'ELA Reading Logic'!$A$22:$B$48,2,FALSE)-VLOOKUP($F58,'ELA Reading Logic'!$A$22:$B$48,2,FALSE),"No Value")</f>
        <v>No Value</v>
      </c>
      <c r="AP58" s="92"/>
      <c r="AQ58" s="96" t="str">
        <f>IFERROR(IF($E58="Yes","IPP",VLOOKUP($J58,'ELA Reading Logic'!$A$3:$K$9,VLOOKUP(AP$1,'ELA Reading Logic'!$J$22:$K$31,2,FALSE),FALSE)),"Set Grade")</f>
        <v>Set Grade</v>
      </c>
      <c r="AR58" s="96" t="str">
        <f>IFERROR(IF($E58="Yes","IPP",VLOOKUP($J58,'ELA Reading Logic'!$A$13:$K$19,VLOOKUP(AP$1,'ELA Reading Logic'!$J$22:$K$31,2,FALSE),FALSE)),"Set Grade")</f>
        <v>Set Grade</v>
      </c>
      <c r="AS58" s="96" t="str">
        <f>IF($E58="Yes","IPP",IFERROR(IF(AND(AP58&gt;AQ58,AP58&lt;AR58),"0",(VLOOKUP(AP58,'ELA Reading Logic'!$A$22:$B$48,2,FALSE))-(IF(VLOOKUP(AP58,'ELA Reading Logic'!$A$22:$B$48,2,FALSE)&lt;=VLOOKUP(AQ58,'ELA Reading Logic'!$A$22:$B$48,2,FALSE),VLOOKUP(AQ58,'ELA Reading Logic'!$A$22:$B$48,2,FALSE),IF(VLOOKUP(AP58,'ELA Reading Logic'!$A$22:$B$48,2,FALSE)&gt;=VLOOKUP(AR58,'ELA Reading Logic'!$A$22:$B$48,2,FALSE),VLOOKUP(AR58,'ELA Reading Logic'!$A$22:$B$48,2,FALSE),"No Score")))),"No Value"))</f>
        <v>No Value</v>
      </c>
      <c r="AT58" s="96" t="str">
        <f>IFERROR(VLOOKUP(AP58,'ELA Reading Logic'!$A$22:$B$48,2,FALSE)-VLOOKUP($F58,'ELA Reading Logic'!$A$22:$B$48,2,FALSE),"No Value")</f>
        <v>No Value</v>
      </c>
    </row>
    <row r="59" spans="1:46" ht="22.5" customHeight="1" x14ac:dyDescent="0.25">
      <c r="A59" s="174"/>
      <c r="B59" s="174"/>
      <c r="C59" s="174"/>
      <c r="D59" s="174"/>
      <c r="E59" s="175"/>
      <c r="F59" s="175"/>
      <c r="G59" s="177" t="str">
        <f>IFERROR(IF($E59="Yes","IPP",VLOOKUP($J59,'ELA Reading Logic'!$A$3:$K$9,VLOOKUP("September",'ELA Reading Logic'!$J$22:$K$31,2,FALSE),FALSE)),"Set Grade")</f>
        <v>Set Grade</v>
      </c>
      <c r="H59" s="177" t="str">
        <f>IFERROR(IF($E59="Yes","IPP",VLOOKUP($J59,'ELA Reading Logic'!$A$13:$K$19,VLOOKUP("September",'ELA Reading Logic'!$J$22:$K$31,2,FALSE),FALSE)),"Set Grade")</f>
        <v>Set Grade</v>
      </c>
      <c r="I59" s="96" t="str">
        <f>IF($E59="Yes","IPP",IFERROR(IF(AND(F59&gt;G59,F59&lt;H59),"0",(VLOOKUP(F59,'ELA Reading Logic'!$A$22:$B$48,2,FALSE))-(IF(VLOOKUP(F59,'ELA Reading Logic'!$A$22:$B$48,2,FALSE)&lt;=VLOOKUP(G59,'ELA Reading Logic'!$A$22:$B$48,2,FALSE),VLOOKUP(G59,'ELA Reading Logic'!$A$22:$B$48,2,FALSE),IF(VLOOKUP(F59,'ELA Reading Logic'!$A$22:$B$48,2,FALSE)&gt;=VLOOKUP(H59,'ELA Reading Logic'!$A$22:$B$48,2,FALSE),VLOOKUP(H59,'ELA Reading Logic'!$A$22:$B$48,2,FALSE),"No Score")))),"No Value"))</f>
        <v>No Value</v>
      </c>
      <c r="J59" s="178"/>
      <c r="K59" s="96"/>
      <c r="L59" s="96"/>
      <c r="M59" s="96"/>
      <c r="N59" s="96"/>
      <c r="O59" s="96"/>
      <c r="P59" s="105"/>
      <c r="Q59" s="92"/>
      <c r="R59" s="96" t="str">
        <f>IFERROR(IF($E59="Yes","IPP",VLOOKUP($J59,'ELA Reading Logic'!$A$3:$K$9,VLOOKUP(Q$1,'ELA Reading Logic'!$J$22:$K$31,2,FALSE),FALSE)),"Set Grade")</f>
        <v>Set Grade</v>
      </c>
      <c r="S59" s="96" t="str">
        <f>IFERROR(IF($E59="Yes","IPP",VLOOKUP($J59,'ELA Reading Logic'!$A$13:$K$19,VLOOKUP(Q$1,'ELA Reading Logic'!$J$22:$K$31,2,FALSE),FALSE)),"Set Grade")</f>
        <v>Set Grade</v>
      </c>
      <c r="T59" s="96" t="str">
        <f>IF($E59="Yes","IPP",IFERROR(IF(AND(Q59&gt;R59,Q59&lt;S59),"0",(VLOOKUP(Q59,'ELA Reading Logic'!$A$22:$B$48,2,FALSE))-(IF(VLOOKUP(Q59,'ELA Reading Logic'!$A$22:$B$48,2,FALSE)&lt;=VLOOKUP(R59,'ELA Reading Logic'!$A$22:$B$48,2,FALSE),VLOOKUP(R59,'ELA Reading Logic'!$A$22:$B$48,2,FALSE),IF(VLOOKUP(Q59,'ELA Reading Logic'!$A$22:$B$48,2,FALSE)&gt;=VLOOKUP(S59,'ELA Reading Logic'!$A$22:$B$48,2,FALSE),VLOOKUP(S59,'ELA Reading Logic'!$A$22:$B$48,2,FALSE),"No Score")))),"No Value"))</f>
        <v>No Value</v>
      </c>
      <c r="U59" s="96" t="str">
        <f>IFERROR(VLOOKUP(Q59,'ELA Reading Logic'!$A$22:$B$48,2,FALSE)-VLOOKUP($F59,'ELA Reading Logic'!$A$22:$B$48,2,FALSE),"No Value")</f>
        <v>No Value</v>
      </c>
      <c r="V59" s="92"/>
      <c r="W59" s="96" t="str">
        <f>IFERROR(IF($E59="Yes","IPP",VLOOKUP($J59,'ELA Reading Logic'!$A$3:$K$9,VLOOKUP(V$1,'ELA Reading Logic'!$J$22:$K$31,2,FALSE),FALSE)),"Set Grade")</f>
        <v>Set Grade</v>
      </c>
      <c r="X59" s="96" t="str">
        <f>IFERROR(IF($E59="Yes","IPP",VLOOKUP($J59,'ELA Reading Logic'!$A$13:$K$19,VLOOKUP(V$1,'ELA Reading Logic'!$J$22:$K$31,2,FALSE),FALSE)),"Set Grade")</f>
        <v>Set Grade</v>
      </c>
      <c r="Y59" s="96" t="str">
        <f>IF($E59="Yes","IPP",IFERROR(IF(AND(V59&gt;W59,V59&lt;X59),"0",(VLOOKUP(V59,'ELA Reading Logic'!$A$22:$B$48,2,FALSE))-(IF(VLOOKUP(V59,'ELA Reading Logic'!$A$22:$B$48,2,FALSE)&lt;=VLOOKUP(W59,'ELA Reading Logic'!$A$22:$B$48,2,FALSE),VLOOKUP(W59,'ELA Reading Logic'!$A$22:$B$48,2,FALSE),IF(VLOOKUP(V59,'ELA Reading Logic'!$A$22:$B$48,2,FALSE)&gt;=VLOOKUP(X59,'ELA Reading Logic'!$A$22:$B$48,2,FALSE),VLOOKUP(X59,'ELA Reading Logic'!$A$22:$B$48,2,FALSE),"No Score")))),"No Value"))</f>
        <v>No Value</v>
      </c>
      <c r="Z59" s="96" t="str">
        <f>IFERROR(VLOOKUP(V59,'ELA Reading Logic'!$A$22:$B$48,2,FALSE)-VLOOKUP($F59,'ELA Reading Logic'!$A$22:$B$48,2,FALSE),"No Value")</f>
        <v>No Value</v>
      </c>
      <c r="AA59" s="92"/>
      <c r="AB59" s="96" t="str">
        <f>IFERROR(IF($E59="Yes","IPP",VLOOKUP($J59,'ELA Reading Logic'!$A$3:$K$9,VLOOKUP(AA$1,'ELA Reading Logic'!$J$22:$K$31,2,FALSE),FALSE)),"Set Grade")</f>
        <v>Set Grade</v>
      </c>
      <c r="AC59" s="96" t="str">
        <f>IFERROR(IF($E59="Yes","IPP",VLOOKUP($J59,'ELA Reading Logic'!$A$13:$K$19,VLOOKUP(AA$1,'ELA Reading Logic'!$J$22:$K$31,2,FALSE),FALSE)),"Set Grade")</f>
        <v>Set Grade</v>
      </c>
      <c r="AD59" s="96" t="str">
        <f>IF($E59="Yes","IPP",IFERROR(IF(AND(AA59&gt;AB59,AA59&lt;AC59),"0",(VLOOKUP(AA59,'ELA Reading Logic'!$A$22:$B$48,2,FALSE))-(IF(VLOOKUP(AA59,'ELA Reading Logic'!$A$22:$B$48,2,FALSE)&lt;=VLOOKUP(AB59,'ELA Reading Logic'!$A$22:$B$48,2,FALSE),VLOOKUP(AB59,'ELA Reading Logic'!$A$22:$B$48,2,FALSE),IF(VLOOKUP(AA59,'ELA Reading Logic'!$A$22:$B$48,2,FALSE)&gt;=VLOOKUP(AC59,'ELA Reading Logic'!$A$22:$B$48,2,FALSE),VLOOKUP(AC59,'ELA Reading Logic'!$A$22:$B$48,2,FALSE),"No Score")))),"No Value"))</f>
        <v>No Value</v>
      </c>
      <c r="AE59" s="96" t="str">
        <f>IFERROR(VLOOKUP(AA59,'ELA Reading Logic'!$A$22:$B$48,2,FALSE)-VLOOKUP($F59,'ELA Reading Logic'!$A$22:$B$48,2,FALSE),"No Value")</f>
        <v>No Value</v>
      </c>
      <c r="AF59" s="92"/>
      <c r="AG59" s="96" t="str">
        <f>IFERROR(IF($E59="Yes","IPP",VLOOKUP($J59,'ELA Reading Logic'!$A$3:$K$9,VLOOKUP(AF$1,'ELA Reading Logic'!$J$22:$K$31,2,FALSE),FALSE)),"Set Grade")</f>
        <v>Set Grade</v>
      </c>
      <c r="AH59" s="96" t="str">
        <f>IFERROR(IF($E59="Yes","IPP",VLOOKUP($J59,'ELA Reading Logic'!$A$13:$K$19,VLOOKUP(AF$1,'ELA Reading Logic'!$J$22:$K$31,2,FALSE),FALSE)),"Set Grade")</f>
        <v>Set Grade</v>
      </c>
      <c r="AI59" s="96" t="str">
        <f>IF($E59="Yes","IPP",IFERROR(IF(AND(AF59&gt;AG59,AF59&lt;AH59),"0",(VLOOKUP(AF59,'ELA Reading Logic'!$A$22:$B$48,2,FALSE))-(IF(VLOOKUP(AF59,'ELA Reading Logic'!$A$22:$B$48,2,FALSE)&lt;=VLOOKUP(AG59,'ELA Reading Logic'!$A$22:$B$48,2,FALSE),VLOOKUP(AG59,'ELA Reading Logic'!$A$22:$B$48,2,FALSE),IF(VLOOKUP(AF59,'ELA Reading Logic'!$A$22:$B$48,2,FALSE)&gt;=VLOOKUP(AH59,'ELA Reading Logic'!$A$22:$B$48,2,FALSE),VLOOKUP(AH59,'ELA Reading Logic'!$A$22:$B$48,2,FALSE),"No Score")))),"No Value"))</f>
        <v>No Value</v>
      </c>
      <c r="AJ59" s="96" t="str">
        <f>IFERROR(VLOOKUP(AF59,'ELA Reading Logic'!$A$22:$B$48,2,FALSE)-VLOOKUP($F59,'ELA Reading Logic'!$A$22:$B$48,2,FALSE),"No Value")</f>
        <v>No Value</v>
      </c>
      <c r="AK59" s="92"/>
      <c r="AL59" s="96" t="str">
        <f>IFERROR(IF($E59="Yes","IPP",VLOOKUP($J59,'ELA Reading Logic'!$A$3:$K$9,VLOOKUP(AK$1,'ELA Reading Logic'!$J$22:$K$31,2,FALSE),FALSE)),"Set Grade")</f>
        <v>Set Grade</v>
      </c>
      <c r="AM59" s="96" t="str">
        <f>IFERROR(IF($E59="Yes","IPP",VLOOKUP($J59,'ELA Reading Logic'!$A$13:$K$19,VLOOKUP(AK$1,'ELA Reading Logic'!$J$22:$K$31,2,FALSE),FALSE)),"Set Grade")</f>
        <v>Set Grade</v>
      </c>
      <c r="AN59" s="96" t="str">
        <f>IF($E59="Yes","IPP",IFERROR(IF(AND(AK59&gt;AL59,AK59&lt;AM59),"0",(VLOOKUP(AK59,'ELA Reading Logic'!$A$22:$B$48,2,FALSE))-(IF(VLOOKUP(AK59,'ELA Reading Logic'!$A$22:$B$48,2,FALSE)&lt;=VLOOKUP(AL59,'ELA Reading Logic'!$A$22:$B$48,2,FALSE),VLOOKUP(AL59,'ELA Reading Logic'!$A$22:$B$48,2,FALSE),IF(VLOOKUP(AK59,'ELA Reading Logic'!$A$22:$B$48,2,FALSE)&gt;=VLOOKUP(AM59,'ELA Reading Logic'!$A$22:$B$48,2,FALSE),VLOOKUP(AM59,'ELA Reading Logic'!$A$22:$B$48,2,FALSE),"No Score")))),"No Value"))</f>
        <v>No Value</v>
      </c>
      <c r="AO59" s="96" t="str">
        <f>IFERROR(VLOOKUP(AK59,'ELA Reading Logic'!$A$22:$B$48,2,FALSE)-VLOOKUP($F59,'ELA Reading Logic'!$A$22:$B$48,2,FALSE),"No Value")</f>
        <v>No Value</v>
      </c>
      <c r="AP59" s="92"/>
      <c r="AQ59" s="96" t="str">
        <f>IFERROR(IF($E59="Yes","IPP",VLOOKUP($J59,'ELA Reading Logic'!$A$3:$K$9,VLOOKUP(AP$1,'ELA Reading Logic'!$J$22:$K$31,2,FALSE),FALSE)),"Set Grade")</f>
        <v>Set Grade</v>
      </c>
      <c r="AR59" s="96" t="str">
        <f>IFERROR(IF($E59="Yes","IPP",VLOOKUP($J59,'ELA Reading Logic'!$A$13:$K$19,VLOOKUP(AP$1,'ELA Reading Logic'!$J$22:$K$31,2,FALSE),FALSE)),"Set Grade")</f>
        <v>Set Grade</v>
      </c>
      <c r="AS59" s="96" t="str">
        <f>IF($E59="Yes","IPP",IFERROR(IF(AND(AP59&gt;AQ59,AP59&lt;AR59),"0",(VLOOKUP(AP59,'ELA Reading Logic'!$A$22:$B$48,2,FALSE))-(IF(VLOOKUP(AP59,'ELA Reading Logic'!$A$22:$B$48,2,FALSE)&lt;=VLOOKUP(AQ59,'ELA Reading Logic'!$A$22:$B$48,2,FALSE),VLOOKUP(AQ59,'ELA Reading Logic'!$A$22:$B$48,2,FALSE),IF(VLOOKUP(AP59,'ELA Reading Logic'!$A$22:$B$48,2,FALSE)&gt;=VLOOKUP(AR59,'ELA Reading Logic'!$A$22:$B$48,2,FALSE),VLOOKUP(AR59,'ELA Reading Logic'!$A$22:$B$48,2,FALSE),"No Score")))),"No Value"))</f>
        <v>No Value</v>
      </c>
      <c r="AT59" s="96" t="str">
        <f>IFERROR(VLOOKUP(AP59,'ELA Reading Logic'!$A$22:$B$48,2,FALSE)-VLOOKUP($F59,'ELA Reading Logic'!$A$22:$B$48,2,FALSE),"No Value")</f>
        <v>No Value</v>
      </c>
    </row>
    <row r="60" spans="1:46" ht="22.5" customHeight="1" x14ac:dyDescent="0.25">
      <c r="A60" s="176"/>
      <c r="B60" s="176"/>
      <c r="C60" s="176"/>
      <c r="D60" s="176"/>
      <c r="E60" s="175"/>
      <c r="F60" s="175"/>
      <c r="G60" s="177" t="str">
        <f>IFERROR(IF($E60="Yes","IPP",VLOOKUP($J60,'ELA Reading Logic'!$A$3:$K$9,VLOOKUP("September",'ELA Reading Logic'!$J$22:$K$31,2,FALSE),FALSE)),"Set Grade")</f>
        <v>Set Grade</v>
      </c>
      <c r="H60" s="177" t="str">
        <f>IFERROR(IF($E60="Yes","IPP",VLOOKUP($J60,'ELA Reading Logic'!$A$13:$K$19,VLOOKUP("September",'ELA Reading Logic'!$J$22:$K$31,2,FALSE),FALSE)),"Set Grade")</f>
        <v>Set Grade</v>
      </c>
      <c r="I60" s="96" t="str">
        <f>IF($E60="Yes","IPP",IFERROR(IF(AND(F60&gt;G60,F60&lt;H60),"0",(VLOOKUP(F60,'ELA Reading Logic'!$A$22:$B$48,2,FALSE))-(IF(VLOOKUP(F60,'ELA Reading Logic'!$A$22:$B$48,2,FALSE)&lt;=VLOOKUP(G60,'ELA Reading Logic'!$A$22:$B$48,2,FALSE),VLOOKUP(G60,'ELA Reading Logic'!$A$22:$B$48,2,FALSE),IF(VLOOKUP(F60,'ELA Reading Logic'!$A$22:$B$48,2,FALSE)&gt;=VLOOKUP(H60,'ELA Reading Logic'!$A$22:$B$48,2,FALSE),VLOOKUP(H60,'ELA Reading Logic'!$A$22:$B$48,2,FALSE),"No Score")))),"No Value"))</f>
        <v>No Value</v>
      </c>
      <c r="J60" s="178"/>
      <c r="K60" s="96"/>
      <c r="L60" s="96"/>
      <c r="M60" s="96"/>
      <c r="N60" s="96"/>
      <c r="O60" s="96"/>
      <c r="P60" s="105"/>
      <c r="Q60" s="92"/>
      <c r="R60" s="96" t="str">
        <f>IFERROR(IF($E60="Yes","IPP",VLOOKUP($J60,'ELA Reading Logic'!$A$3:$K$9,VLOOKUP(Q$1,'ELA Reading Logic'!$J$22:$K$31,2,FALSE),FALSE)),"Set Grade")</f>
        <v>Set Grade</v>
      </c>
      <c r="S60" s="96" t="str">
        <f>IFERROR(IF($E60="Yes","IPP",VLOOKUP($J60,'ELA Reading Logic'!$A$13:$K$19,VLOOKUP(Q$1,'ELA Reading Logic'!$J$22:$K$31,2,FALSE),FALSE)),"Set Grade")</f>
        <v>Set Grade</v>
      </c>
      <c r="T60" s="96" t="str">
        <f>IF($E60="Yes","IPP",IFERROR(IF(AND(Q60&gt;R60,Q60&lt;S60),"0",(VLOOKUP(Q60,'ELA Reading Logic'!$A$22:$B$48,2,FALSE))-(IF(VLOOKUP(Q60,'ELA Reading Logic'!$A$22:$B$48,2,FALSE)&lt;=VLOOKUP(R60,'ELA Reading Logic'!$A$22:$B$48,2,FALSE),VLOOKUP(R60,'ELA Reading Logic'!$A$22:$B$48,2,FALSE),IF(VLOOKUP(Q60,'ELA Reading Logic'!$A$22:$B$48,2,FALSE)&gt;=VLOOKUP(S60,'ELA Reading Logic'!$A$22:$B$48,2,FALSE),VLOOKUP(S60,'ELA Reading Logic'!$A$22:$B$48,2,FALSE),"No Score")))),"No Value"))</f>
        <v>No Value</v>
      </c>
      <c r="U60" s="96" t="str">
        <f>IFERROR(VLOOKUP(Q60,'ELA Reading Logic'!$A$22:$B$48,2,FALSE)-VLOOKUP($F60,'ELA Reading Logic'!$A$22:$B$48,2,FALSE),"No Value")</f>
        <v>No Value</v>
      </c>
      <c r="V60" s="92"/>
      <c r="W60" s="96" t="str">
        <f>IFERROR(IF($E60="Yes","IPP",VLOOKUP($J60,'ELA Reading Logic'!$A$3:$K$9,VLOOKUP(V$1,'ELA Reading Logic'!$J$22:$K$31,2,FALSE),FALSE)),"Set Grade")</f>
        <v>Set Grade</v>
      </c>
      <c r="X60" s="96" t="str">
        <f>IFERROR(IF($E60="Yes","IPP",VLOOKUP($J60,'ELA Reading Logic'!$A$13:$K$19,VLOOKUP(V$1,'ELA Reading Logic'!$J$22:$K$31,2,FALSE),FALSE)),"Set Grade")</f>
        <v>Set Grade</v>
      </c>
      <c r="Y60" s="96" t="str">
        <f>IF($E60="Yes","IPP",IFERROR(IF(AND(V60&gt;W60,V60&lt;X60),"0",(VLOOKUP(V60,'ELA Reading Logic'!$A$22:$B$48,2,FALSE))-(IF(VLOOKUP(V60,'ELA Reading Logic'!$A$22:$B$48,2,FALSE)&lt;=VLOOKUP(W60,'ELA Reading Logic'!$A$22:$B$48,2,FALSE),VLOOKUP(W60,'ELA Reading Logic'!$A$22:$B$48,2,FALSE),IF(VLOOKUP(V60,'ELA Reading Logic'!$A$22:$B$48,2,FALSE)&gt;=VLOOKUP(X60,'ELA Reading Logic'!$A$22:$B$48,2,FALSE),VLOOKUP(X60,'ELA Reading Logic'!$A$22:$B$48,2,FALSE),"No Score")))),"No Value"))</f>
        <v>No Value</v>
      </c>
      <c r="Z60" s="96" t="str">
        <f>IFERROR(VLOOKUP(V60,'ELA Reading Logic'!$A$22:$B$48,2,FALSE)-VLOOKUP($F60,'ELA Reading Logic'!$A$22:$B$48,2,FALSE),"No Value")</f>
        <v>No Value</v>
      </c>
      <c r="AA60" s="92"/>
      <c r="AB60" s="96" t="str">
        <f>IFERROR(IF($E60="Yes","IPP",VLOOKUP($J60,'ELA Reading Logic'!$A$3:$K$9,VLOOKUP(AA$1,'ELA Reading Logic'!$J$22:$K$31,2,FALSE),FALSE)),"Set Grade")</f>
        <v>Set Grade</v>
      </c>
      <c r="AC60" s="96" t="str">
        <f>IFERROR(IF($E60="Yes","IPP",VLOOKUP($J60,'ELA Reading Logic'!$A$13:$K$19,VLOOKUP(AA$1,'ELA Reading Logic'!$J$22:$K$31,2,FALSE),FALSE)),"Set Grade")</f>
        <v>Set Grade</v>
      </c>
      <c r="AD60" s="96" t="str">
        <f>IF($E60="Yes","IPP",IFERROR(IF(AND(AA60&gt;AB60,AA60&lt;AC60),"0",(VLOOKUP(AA60,'ELA Reading Logic'!$A$22:$B$48,2,FALSE))-(IF(VLOOKUP(AA60,'ELA Reading Logic'!$A$22:$B$48,2,FALSE)&lt;=VLOOKUP(AB60,'ELA Reading Logic'!$A$22:$B$48,2,FALSE),VLOOKUP(AB60,'ELA Reading Logic'!$A$22:$B$48,2,FALSE),IF(VLOOKUP(AA60,'ELA Reading Logic'!$A$22:$B$48,2,FALSE)&gt;=VLOOKUP(AC60,'ELA Reading Logic'!$A$22:$B$48,2,FALSE),VLOOKUP(AC60,'ELA Reading Logic'!$A$22:$B$48,2,FALSE),"No Score")))),"No Value"))</f>
        <v>No Value</v>
      </c>
      <c r="AE60" s="96" t="str">
        <f>IFERROR(VLOOKUP(AA60,'ELA Reading Logic'!$A$22:$B$48,2,FALSE)-VLOOKUP($F60,'ELA Reading Logic'!$A$22:$B$48,2,FALSE),"No Value")</f>
        <v>No Value</v>
      </c>
      <c r="AF60" s="92"/>
      <c r="AG60" s="96" t="str">
        <f>IFERROR(IF($E60="Yes","IPP",VLOOKUP($J60,'ELA Reading Logic'!$A$3:$K$9,VLOOKUP(AF$1,'ELA Reading Logic'!$J$22:$K$31,2,FALSE),FALSE)),"Set Grade")</f>
        <v>Set Grade</v>
      </c>
      <c r="AH60" s="96" t="str">
        <f>IFERROR(IF($E60="Yes","IPP",VLOOKUP($J60,'ELA Reading Logic'!$A$13:$K$19,VLOOKUP(AF$1,'ELA Reading Logic'!$J$22:$K$31,2,FALSE),FALSE)),"Set Grade")</f>
        <v>Set Grade</v>
      </c>
      <c r="AI60" s="96" t="str">
        <f>IF($E60="Yes","IPP",IFERROR(IF(AND(AF60&gt;AG60,AF60&lt;AH60),"0",(VLOOKUP(AF60,'ELA Reading Logic'!$A$22:$B$48,2,FALSE))-(IF(VLOOKUP(AF60,'ELA Reading Logic'!$A$22:$B$48,2,FALSE)&lt;=VLOOKUP(AG60,'ELA Reading Logic'!$A$22:$B$48,2,FALSE),VLOOKUP(AG60,'ELA Reading Logic'!$A$22:$B$48,2,FALSE),IF(VLOOKUP(AF60,'ELA Reading Logic'!$A$22:$B$48,2,FALSE)&gt;=VLOOKUP(AH60,'ELA Reading Logic'!$A$22:$B$48,2,FALSE),VLOOKUP(AH60,'ELA Reading Logic'!$A$22:$B$48,2,FALSE),"No Score")))),"No Value"))</f>
        <v>No Value</v>
      </c>
      <c r="AJ60" s="96" t="str">
        <f>IFERROR(VLOOKUP(AF60,'ELA Reading Logic'!$A$22:$B$48,2,FALSE)-VLOOKUP($F60,'ELA Reading Logic'!$A$22:$B$48,2,FALSE),"No Value")</f>
        <v>No Value</v>
      </c>
      <c r="AK60" s="92"/>
      <c r="AL60" s="96" t="str">
        <f>IFERROR(IF($E60="Yes","IPP",VLOOKUP($J60,'ELA Reading Logic'!$A$3:$K$9,VLOOKUP(AK$1,'ELA Reading Logic'!$J$22:$K$31,2,FALSE),FALSE)),"Set Grade")</f>
        <v>Set Grade</v>
      </c>
      <c r="AM60" s="96" t="str">
        <f>IFERROR(IF($E60="Yes","IPP",VLOOKUP($J60,'ELA Reading Logic'!$A$13:$K$19,VLOOKUP(AK$1,'ELA Reading Logic'!$J$22:$K$31,2,FALSE),FALSE)),"Set Grade")</f>
        <v>Set Grade</v>
      </c>
      <c r="AN60" s="96" t="str">
        <f>IF($E60="Yes","IPP",IFERROR(IF(AND(AK60&gt;AL60,AK60&lt;AM60),"0",(VLOOKUP(AK60,'ELA Reading Logic'!$A$22:$B$48,2,FALSE))-(IF(VLOOKUP(AK60,'ELA Reading Logic'!$A$22:$B$48,2,FALSE)&lt;=VLOOKUP(AL60,'ELA Reading Logic'!$A$22:$B$48,2,FALSE),VLOOKUP(AL60,'ELA Reading Logic'!$A$22:$B$48,2,FALSE),IF(VLOOKUP(AK60,'ELA Reading Logic'!$A$22:$B$48,2,FALSE)&gt;=VLOOKUP(AM60,'ELA Reading Logic'!$A$22:$B$48,2,FALSE),VLOOKUP(AM60,'ELA Reading Logic'!$A$22:$B$48,2,FALSE),"No Score")))),"No Value"))</f>
        <v>No Value</v>
      </c>
      <c r="AO60" s="96" t="str">
        <f>IFERROR(VLOOKUP(AK60,'ELA Reading Logic'!$A$22:$B$48,2,FALSE)-VLOOKUP($F60,'ELA Reading Logic'!$A$22:$B$48,2,FALSE),"No Value")</f>
        <v>No Value</v>
      </c>
      <c r="AP60" s="92"/>
      <c r="AQ60" s="96" t="str">
        <f>IFERROR(IF($E60="Yes","IPP",VLOOKUP($J60,'ELA Reading Logic'!$A$3:$K$9,VLOOKUP(AP$1,'ELA Reading Logic'!$J$22:$K$31,2,FALSE),FALSE)),"Set Grade")</f>
        <v>Set Grade</v>
      </c>
      <c r="AR60" s="96" t="str">
        <f>IFERROR(IF($E60="Yes","IPP",VLOOKUP($J60,'ELA Reading Logic'!$A$13:$K$19,VLOOKUP(AP$1,'ELA Reading Logic'!$J$22:$K$31,2,FALSE),FALSE)),"Set Grade")</f>
        <v>Set Grade</v>
      </c>
      <c r="AS60" s="96" t="str">
        <f>IF($E60="Yes","IPP",IFERROR(IF(AND(AP60&gt;AQ60,AP60&lt;AR60),"0",(VLOOKUP(AP60,'ELA Reading Logic'!$A$22:$B$48,2,FALSE))-(IF(VLOOKUP(AP60,'ELA Reading Logic'!$A$22:$B$48,2,FALSE)&lt;=VLOOKUP(AQ60,'ELA Reading Logic'!$A$22:$B$48,2,FALSE),VLOOKUP(AQ60,'ELA Reading Logic'!$A$22:$B$48,2,FALSE),IF(VLOOKUP(AP60,'ELA Reading Logic'!$A$22:$B$48,2,FALSE)&gt;=VLOOKUP(AR60,'ELA Reading Logic'!$A$22:$B$48,2,FALSE),VLOOKUP(AR60,'ELA Reading Logic'!$A$22:$B$48,2,FALSE),"No Score")))),"No Value"))</f>
        <v>No Value</v>
      </c>
      <c r="AT60" s="96" t="str">
        <f>IFERROR(VLOOKUP(AP60,'ELA Reading Logic'!$A$22:$B$48,2,FALSE)-VLOOKUP($F60,'ELA Reading Logic'!$A$22:$B$48,2,FALSE),"No Value")</f>
        <v>No Value</v>
      </c>
    </row>
    <row r="61" spans="1:46" ht="22.5" customHeight="1" x14ac:dyDescent="0.25">
      <c r="A61" s="174"/>
      <c r="B61" s="174"/>
      <c r="C61" s="174"/>
      <c r="D61" s="174"/>
      <c r="E61" s="175"/>
      <c r="F61" s="175"/>
      <c r="G61" s="177" t="str">
        <f>IFERROR(IF($E61="Yes","IPP",VLOOKUP($J61,'ELA Reading Logic'!$A$3:$K$9,VLOOKUP("September",'ELA Reading Logic'!$J$22:$K$31,2,FALSE),FALSE)),"Set Grade")</f>
        <v>Set Grade</v>
      </c>
      <c r="H61" s="177" t="str">
        <f>IFERROR(IF($E61="Yes","IPP",VLOOKUP($J61,'ELA Reading Logic'!$A$13:$K$19,VLOOKUP("September",'ELA Reading Logic'!$J$22:$K$31,2,FALSE),FALSE)),"Set Grade")</f>
        <v>Set Grade</v>
      </c>
      <c r="I61" s="96" t="str">
        <f>IF($E61="Yes","IPP",IFERROR(IF(AND(F61&gt;G61,F61&lt;H61),"0",(VLOOKUP(F61,'ELA Reading Logic'!$A$22:$B$48,2,FALSE))-(IF(VLOOKUP(F61,'ELA Reading Logic'!$A$22:$B$48,2,FALSE)&lt;=VLOOKUP(G61,'ELA Reading Logic'!$A$22:$B$48,2,FALSE),VLOOKUP(G61,'ELA Reading Logic'!$A$22:$B$48,2,FALSE),IF(VLOOKUP(F61,'ELA Reading Logic'!$A$22:$B$48,2,FALSE)&gt;=VLOOKUP(H61,'ELA Reading Logic'!$A$22:$B$48,2,FALSE),VLOOKUP(H61,'ELA Reading Logic'!$A$22:$B$48,2,FALSE),"No Score")))),"No Value"))</f>
        <v>No Value</v>
      </c>
      <c r="J61" s="178"/>
      <c r="K61" s="96"/>
      <c r="L61" s="96"/>
      <c r="M61" s="96"/>
      <c r="N61" s="96"/>
      <c r="O61" s="96"/>
      <c r="P61" s="105"/>
      <c r="Q61" s="92"/>
      <c r="R61" s="96" t="str">
        <f>IFERROR(IF($E61="Yes","IPP",VLOOKUP($J61,'ELA Reading Logic'!$A$3:$K$9,VLOOKUP(Q$1,'ELA Reading Logic'!$J$22:$K$31,2,FALSE),FALSE)),"Set Grade")</f>
        <v>Set Grade</v>
      </c>
      <c r="S61" s="96" t="str">
        <f>IFERROR(IF($E61="Yes","IPP",VLOOKUP($J61,'ELA Reading Logic'!$A$13:$K$19,VLOOKUP(Q$1,'ELA Reading Logic'!$J$22:$K$31,2,FALSE),FALSE)),"Set Grade")</f>
        <v>Set Grade</v>
      </c>
      <c r="T61" s="96" t="str">
        <f>IF($E61="Yes","IPP",IFERROR(IF(AND(Q61&gt;R61,Q61&lt;S61),"0",(VLOOKUP(Q61,'ELA Reading Logic'!$A$22:$B$48,2,FALSE))-(IF(VLOOKUP(Q61,'ELA Reading Logic'!$A$22:$B$48,2,FALSE)&lt;=VLOOKUP(R61,'ELA Reading Logic'!$A$22:$B$48,2,FALSE),VLOOKUP(R61,'ELA Reading Logic'!$A$22:$B$48,2,FALSE),IF(VLOOKUP(Q61,'ELA Reading Logic'!$A$22:$B$48,2,FALSE)&gt;=VLOOKUP(S61,'ELA Reading Logic'!$A$22:$B$48,2,FALSE),VLOOKUP(S61,'ELA Reading Logic'!$A$22:$B$48,2,FALSE),"No Score")))),"No Value"))</f>
        <v>No Value</v>
      </c>
      <c r="U61" s="96" t="str">
        <f>IFERROR(VLOOKUP(Q61,'ELA Reading Logic'!$A$22:$B$48,2,FALSE)-VLOOKUP($F61,'ELA Reading Logic'!$A$22:$B$48,2,FALSE),"No Value")</f>
        <v>No Value</v>
      </c>
      <c r="V61" s="92"/>
      <c r="W61" s="96" t="str">
        <f>IFERROR(IF($E61="Yes","IPP",VLOOKUP($J61,'ELA Reading Logic'!$A$3:$K$9,VLOOKUP(V$1,'ELA Reading Logic'!$J$22:$K$31,2,FALSE),FALSE)),"Set Grade")</f>
        <v>Set Grade</v>
      </c>
      <c r="X61" s="96" t="str">
        <f>IFERROR(IF($E61="Yes","IPP",VLOOKUP($J61,'ELA Reading Logic'!$A$13:$K$19,VLOOKUP(V$1,'ELA Reading Logic'!$J$22:$K$31,2,FALSE),FALSE)),"Set Grade")</f>
        <v>Set Grade</v>
      </c>
      <c r="Y61" s="96" t="str">
        <f>IF($E61="Yes","IPP",IFERROR(IF(AND(V61&gt;W61,V61&lt;X61),"0",(VLOOKUP(V61,'ELA Reading Logic'!$A$22:$B$48,2,FALSE))-(IF(VLOOKUP(V61,'ELA Reading Logic'!$A$22:$B$48,2,FALSE)&lt;=VLOOKUP(W61,'ELA Reading Logic'!$A$22:$B$48,2,FALSE),VLOOKUP(W61,'ELA Reading Logic'!$A$22:$B$48,2,FALSE),IF(VLOOKUP(V61,'ELA Reading Logic'!$A$22:$B$48,2,FALSE)&gt;=VLOOKUP(X61,'ELA Reading Logic'!$A$22:$B$48,2,FALSE),VLOOKUP(X61,'ELA Reading Logic'!$A$22:$B$48,2,FALSE),"No Score")))),"No Value"))</f>
        <v>No Value</v>
      </c>
      <c r="Z61" s="96" t="str">
        <f>IFERROR(VLOOKUP(V61,'ELA Reading Logic'!$A$22:$B$48,2,FALSE)-VLOOKUP($F61,'ELA Reading Logic'!$A$22:$B$48,2,FALSE),"No Value")</f>
        <v>No Value</v>
      </c>
      <c r="AA61" s="92"/>
      <c r="AB61" s="96" t="str">
        <f>IFERROR(IF($E61="Yes","IPP",VLOOKUP($J61,'ELA Reading Logic'!$A$3:$K$9,VLOOKUP(AA$1,'ELA Reading Logic'!$J$22:$K$31,2,FALSE),FALSE)),"Set Grade")</f>
        <v>Set Grade</v>
      </c>
      <c r="AC61" s="96" t="str">
        <f>IFERROR(IF($E61="Yes","IPP",VLOOKUP($J61,'ELA Reading Logic'!$A$13:$K$19,VLOOKUP(AA$1,'ELA Reading Logic'!$J$22:$K$31,2,FALSE),FALSE)),"Set Grade")</f>
        <v>Set Grade</v>
      </c>
      <c r="AD61" s="96" t="str">
        <f>IF($E61="Yes","IPP",IFERROR(IF(AND(AA61&gt;AB61,AA61&lt;AC61),"0",(VLOOKUP(AA61,'ELA Reading Logic'!$A$22:$B$48,2,FALSE))-(IF(VLOOKUP(AA61,'ELA Reading Logic'!$A$22:$B$48,2,FALSE)&lt;=VLOOKUP(AB61,'ELA Reading Logic'!$A$22:$B$48,2,FALSE),VLOOKUP(AB61,'ELA Reading Logic'!$A$22:$B$48,2,FALSE),IF(VLOOKUP(AA61,'ELA Reading Logic'!$A$22:$B$48,2,FALSE)&gt;=VLOOKUP(AC61,'ELA Reading Logic'!$A$22:$B$48,2,FALSE),VLOOKUP(AC61,'ELA Reading Logic'!$A$22:$B$48,2,FALSE),"No Score")))),"No Value"))</f>
        <v>No Value</v>
      </c>
      <c r="AE61" s="96" t="str">
        <f>IFERROR(VLOOKUP(AA61,'ELA Reading Logic'!$A$22:$B$48,2,FALSE)-VLOOKUP($F61,'ELA Reading Logic'!$A$22:$B$48,2,FALSE),"No Value")</f>
        <v>No Value</v>
      </c>
      <c r="AF61" s="92"/>
      <c r="AG61" s="96" t="str">
        <f>IFERROR(IF($E61="Yes","IPP",VLOOKUP($J61,'ELA Reading Logic'!$A$3:$K$9,VLOOKUP(AF$1,'ELA Reading Logic'!$J$22:$K$31,2,FALSE),FALSE)),"Set Grade")</f>
        <v>Set Grade</v>
      </c>
      <c r="AH61" s="96" t="str">
        <f>IFERROR(IF($E61="Yes","IPP",VLOOKUP($J61,'ELA Reading Logic'!$A$13:$K$19,VLOOKUP(AF$1,'ELA Reading Logic'!$J$22:$K$31,2,FALSE),FALSE)),"Set Grade")</f>
        <v>Set Grade</v>
      </c>
      <c r="AI61" s="96" t="str">
        <f>IF($E61="Yes","IPP",IFERROR(IF(AND(AF61&gt;AG61,AF61&lt;AH61),"0",(VLOOKUP(AF61,'ELA Reading Logic'!$A$22:$B$48,2,FALSE))-(IF(VLOOKUP(AF61,'ELA Reading Logic'!$A$22:$B$48,2,FALSE)&lt;=VLOOKUP(AG61,'ELA Reading Logic'!$A$22:$B$48,2,FALSE),VLOOKUP(AG61,'ELA Reading Logic'!$A$22:$B$48,2,FALSE),IF(VLOOKUP(AF61,'ELA Reading Logic'!$A$22:$B$48,2,FALSE)&gt;=VLOOKUP(AH61,'ELA Reading Logic'!$A$22:$B$48,2,FALSE),VLOOKUP(AH61,'ELA Reading Logic'!$A$22:$B$48,2,FALSE),"No Score")))),"No Value"))</f>
        <v>No Value</v>
      </c>
      <c r="AJ61" s="96" t="str">
        <f>IFERROR(VLOOKUP(AF61,'ELA Reading Logic'!$A$22:$B$48,2,FALSE)-VLOOKUP($F61,'ELA Reading Logic'!$A$22:$B$48,2,FALSE),"No Value")</f>
        <v>No Value</v>
      </c>
      <c r="AK61" s="92"/>
      <c r="AL61" s="96" t="str">
        <f>IFERROR(IF($E61="Yes","IPP",VLOOKUP($J61,'ELA Reading Logic'!$A$3:$K$9,VLOOKUP(AK$1,'ELA Reading Logic'!$J$22:$K$31,2,FALSE),FALSE)),"Set Grade")</f>
        <v>Set Grade</v>
      </c>
      <c r="AM61" s="96" t="str">
        <f>IFERROR(IF($E61="Yes","IPP",VLOOKUP($J61,'ELA Reading Logic'!$A$13:$K$19,VLOOKUP(AK$1,'ELA Reading Logic'!$J$22:$K$31,2,FALSE),FALSE)),"Set Grade")</f>
        <v>Set Grade</v>
      </c>
      <c r="AN61" s="96" t="str">
        <f>IF($E61="Yes","IPP",IFERROR(IF(AND(AK61&gt;AL61,AK61&lt;AM61),"0",(VLOOKUP(AK61,'ELA Reading Logic'!$A$22:$B$48,2,FALSE))-(IF(VLOOKUP(AK61,'ELA Reading Logic'!$A$22:$B$48,2,FALSE)&lt;=VLOOKUP(AL61,'ELA Reading Logic'!$A$22:$B$48,2,FALSE),VLOOKUP(AL61,'ELA Reading Logic'!$A$22:$B$48,2,FALSE),IF(VLOOKUP(AK61,'ELA Reading Logic'!$A$22:$B$48,2,FALSE)&gt;=VLOOKUP(AM61,'ELA Reading Logic'!$A$22:$B$48,2,FALSE),VLOOKUP(AM61,'ELA Reading Logic'!$A$22:$B$48,2,FALSE),"No Score")))),"No Value"))</f>
        <v>No Value</v>
      </c>
      <c r="AO61" s="96" t="str">
        <f>IFERROR(VLOOKUP(AK61,'ELA Reading Logic'!$A$22:$B$48,2,FALSE)-VLOOKUP($F61,'ELA Reading Logic'!$A$22:$B$48,2,FALSE),"No Value")</f>
        <v>No Value</v>
      </c>
      <c r="AP61" s="92"/>
      <c r="AQ61" s="96" t="str">
        <f>IFERROR(IF($E61="Yes","IPP",VLOOKUP($J61,'ELA Reading Logic'!$A$3:$K$9,VLOOKUP(AP$1,'ELA Reading Logic'!$J$22:$K$31,2,FALSE),FALSE)),"Set Grade")</f>
        <v>Set Grade</v>
      </c>
      <c r="AR61" s="96" t="str">
        <f>IFERROR(IF($E61="Yes","IPP",VLOOKUP($J61,'ELA Reading Logic'!$A$13:$K$19,VLOOKUP(AP$1,'ELA Reading Logic'!$J$22:$K$31,2,FALSE),FALSE)),"Set Grade")</f>
        <v>Set Grade</v>
      </c>
      <c r="AS61" s="96" t="str">
        <f>IF($E61="Yes","IPP",IFERROR(IF(AND(AP61&gt;AQ61,AP61&lt;AR61),"0",(VLOOKUP(AP61,'ELA Reading Logic'!$A$22:$B$48,2,FALSE))-(IF(VLOOKUP(AP61,'ELA Reading Logic'!$A$22:$B$48,2,FALSE)&lt;=VLOOKUP(AQ61,'ELA Reading Logic'!$A$22:$B$48,2,FALSE),VLOOKUP(AQ61,'ELA Reading Logic'!$A$22:$B$48,2,FALSE),IF(VLOOKUP(AP61,'ELA Reading Logic'!$A$22:$B$48,2,FALSE)&gt;=VLOOKUP(AR61,'ELA Reading Logic'!$A$22:$B$48,2,FALSE),VLOOKUP(AR61,'ELA Reading Logic'!$A$22:$B$48,2,FALSE),"No Score")))),"No Value"))</f>
        <v>No Value</v>
      </c>
      <c r="AT61" s="96" t="str">
        <f>IFERROR(VLOOKUP(AP61,'ELA Reading Logic'!$A$22:$B$48,2,FALSE)-VLOOKUP($F61,'ELA Reading Logic'!$A$22:$B$48,2,FALSE),"No Value")</f>
        <v>No Value</v>
      </c>
    </row>
    <row r="62" spans="1:46" ht="22.5" customHeight="1" x14ac:dyDescent="0.25">
      <c r="A62" s="176"/>
      <c r="B62" s="176"/>
      <c r="C62" s="176"/>
      <c r="D62" s="176"/>
      <c r="E62" s="175"/>
      <c r="F62" s="175"/>
      <c r="G62" s="177" t="str">
        <f>IFERROR(IF($E62="Yes","IPP",VLOOKUP($J62,'ELA Reading Logic'!$A$3:$K$9,VLOOKUP("September",'ELA Reading Logic'!$J$22:$K$31,2,FALSE),FALSE)),"Set Grade")</f>
        <v>Set Grade</v>
      </c>
      <c r="H62" s="177" t="str">
        <f>IFERROR(IF($E62="Yes","IPP",VLOOKUP($J62,'ELA Reading Logic'!$A$13:$K$19,VLOOKUP("September",'ELA Reading Logic'!$J$22:$K$31,2,FALSE),FALSE)),"Set Grade")</f>
        <v>Set Grade</v>
      </c>
      <c r="I62" s="96" t="str">
        <f>IF($E62="Yes","IPP",IFERROR(IF(AND(F62&gt;G62,F62&lt;H62),"0",(VLOOKUP(F62,'ELA Reading Logic'!$A$22:$B$48,2,FALSE))-(IF(VLOOKUP(F62,'ELA Reading Logic'!$A$22:$B$48,2,FALSE)&lt;=VLOOKUP(G62,'ELA Reading Logic'!$A$22:$B$48,2,FALSE),VLOOKUP(G62,'ELA Reading Logic'!$A$22:$B$48,2,FALSE),IF(VLOOKUP(F62,'ELA Reading Logic'!$A$22:$B$48,2,FALSE)&gt;=VLOOKUP(H62,'ELA Reading Logic'!$A$22:$B$48,2,FALSE),VLOOKUP(H62,'ELA Reading Logic'!$A$22:$B$48,2,FALSE),"No Score")))),"No Value"))</f>
        <v>No Value</v>
      </c>
      <c r="J62" s="178"/>
      <c r="K62" s="96"/>
      <c r="L62" s="96"/>
      <c r="M62" s="96"/>
      <c r="N62" s="96"/>
      <c r="O62" s="96"/>
      <c r="P62" s="105"/>
      <c r="Q62" s="92"/>
      <c r="R62" s="96" t="str">
        <f>IFERROR(IF($E62="Yes","IPP",VLOOKUP($J62,'ELA Reading Logic'!$A$3:$K$9,VLOOKUP(Q$1,'ELA Reading Logic'!$J$22:$K$31,2,FALSE),FALSE)),"Set Grade")</f>
        <v>Set Grade</v>
      </c>
      <c r="S62" s="96" t="str">
        <f>IFERROR(IF($E62="Yes","IPP",VLOOKUP($J62,'ELA Reading Logic'!$A$13:$K$19,VLOOKUP(Q$1,'ELA Reading Logic'!$J$22:$K$31,2,FALSE),FALSE)),"Set Grade")</f>
        <v>Set Grade</v>
      </c>
      <c r="T62" s="96" t="str">
        <f>IF($E62="Yes","IPP",IFERROR(IF(AND(Q62&gt;R62,Q62&lt;S62),"0",(VLOOKUP(Q62,'ELA Reading Logic'!$A$22:$B$48,2,FALSE))-(IF(VLOOKUP(Q62,'ELA Reading Logic'!$A$22:$B$48,2,FALSE)&lt;=VLOOKUP(R62,'ELA Reading Logic'!$A$22:$B$48,2,FALSE),VLOOKUP(R62,'ELA Reading Logic'!$A$22:$B$48,2,FALSE),IF(VLOOKUP(Q62,'ELA Reading Logic'!$A$22:$B$48,2,FALSE)&gt;=VLOOKUP(S62,'ELA Reading Logic'!$A$22:$B$48,2,FALSE),VLOOKUP(S62,'ELA Reading Logic'!$A$22:$B$48,2,FALSE),"No Score")))),"No Value"))</f>
        <v>No Value</v>
      </c>
      <c r="U62" s="96" t="str">
        <f>IFERROR(VLOOKUP(Q62,'ELA Reading Logic'!$A$22:$B$48,2,FALSE)-VLOOKUP($F62,'ELA Reading Logic'!$A$22:$B$48,2,FALSE),"No Value")</f>
        <v>No Value</v>
      </c>
      <c r="V62" s="92"/>
      <c r="W62" s="96" t="str">
        <f>IFERROR(IF($E62="Yes","IPP",VLOOKUP($J62,'ELA Reading Logic'!$A$3:$K$9,VLOOKUP(V$1,'ELA Reading Logic'!$J$22:$K$31,2,FALSE),FALSE)),"Set Grade")</f>
        <v>Set Grade</v>
      </c>
      <c r="X62" s="96" t="str">
        <f>IFERROR(IF($E62="Yes","IPP",VLOOKUP($J62,'ELA Reading Logic'!$A$13:$K$19,VLOOKUP(V$1,'ELA Reading Logic'!$J$22:$K$31,2,FALSE),FALSE)),"Set Grade")</f>
        <v>Set Grade</v>
      </c>
      <c r="Y62" s="96" t="str">
        <f>IF($E62="Yes","IPP",IFERROR(IF(AND(V62&gt;W62,V62&lt;X62),"0",(VLOOKUP(V62,'ELA Reading Logic'!$A$22:$B$48,2,FALSE))-(IF(VLOOKUP(V62,'ELA Reading Logic'!$A$22:$B$48,2,FALSE)&lt;=VLOOKUP(W62,'ELA Reading Logic'!$A$22:$B$48,2,FALSE),VLOOKUP(W62,'ELA Reading Logic'!$A$22:$B$48,2,FALSE),IF(VLOOKUP(V62,'ELA Reading Logic'!$A$22:$B$48,2,FALSE)&gt;=VLOOKUP(X62,'ELA Reading Logic'!$A$22:$B$48,2,FALSE),VLOOKUP(X62,'ELA Reading Logic'!$A$22:$B$48,2,FALSE),"No Score")))),"No Value"))</f>
        <v>No Value</v>
      </c>
      <c r="Z62" s="96" t="str">
        <f>IFERROR(VLOOKUP(V62,'ELA Reading Logic'!$A$22:$B$48,2,FALSE)-VLOOKUP($F62,'ELA Reading Logic'!$A$22:$B$48,2,FALSE),"No Value")</f>
        <v>No Value</v>
      </c>
      <c r="AA62" s="92"/>
      <c r="AB62" s="96" t="str">
        <f>IFERROR(IF($E62="Yes","IPP",VLOOKUP($J62,'ELA Reading Logic'!$A$3:$K$9,VLOOKUP(AA$1,'ELA Reading Logic'!$J$22:$K$31,2,FALSE),FALSE)),"Set Grade")</f>
        <v>Set Grade</v>
      </c>
      <c r="AC62" s="96" t="str">
        <f>IFERROR(IF($E62="Yes","IPP",VLOOKUP($J62,'ELA Reading Logic'!$A$13:$K$19,VLOOKUP(AA$1,'ELA Reading Logic'!$J$22:$K$31,2,FALSE),FALSE)),"Set Grade")</f>
        <v>Set Grade</v>
      </c>
      <c r="AD62" s="96" t="str">
        <f>IF($E62="Yes","IPP",IFERROR(IF(AND(AA62&gt;AB62,AA62&lt;AC62),"0",(VLOOKUP(AA62,'ELA Reading Logic'!$A$22:$B$48,2,FALSE))-(IF(VLOOKUP(AA62,'ELA Reading Logic'!$A$22:$B$48,2,FALSE)&lt;=VLOOKUP(AB62,'ELA Reading Logic'!$A$22:$B$48,2,FALSE),VLOOKUP(AB62,'ELA Reading Logic'!$A$22:$B$48,2,FALSE),IF(VLOOKUP(AA62,'ELA Reading Logic'!$A$22:$B$48,2,FALSE)&gt;=VLOOKUP(AC62,'ELA Reading Logic'!$A$22:$B$48,2,FALSE),VLOOKUP(AC62,'ELA Reading Logic'!$A$22:$B$48,2,FALSE),"No Score")))),"No Value"))</f>
        <v>No Value</v>
      </c>
      <c r="AE62" s="96" t="str">
        <f>IFERROR(VLOOKUP(AA62,'ELA Reading Logic'!$A$22:$B$48,2,FALSE)-VLOOKUP($F62,'ELA Reading Logic'!$A$22:$B$48,2,FALSE),"No Value")</f>
        <v>No Value</v>
      </c>
      <c r="AF62" s="92"/>
      <c r="AG62" s="96" t="str">
        <f>IFERROR(IF($E62="Yes","IPP",VLOOKUP($J62,'ELA Reading Logic'!$A$3:$K$9,VLOOKUP(AF$1,'ELA Reading Logic'!$J$22:$K$31,2,FALSE),FALSE)),"Set Grade")</f>
        <v>Set Grade</v>
      </c>
      <c r="AH62" s="96" t="str">
        <f>IFERROR(IF($E62="Yes","IPP",VLOOKUP($J62,'ELA Reading Logic'!$A$13:$K$19,VLOOKUP(AF$1,'ELA Reading Logic'!$J$22:$K$31,2,FALSE),FALSE)),"Set Grade")</f>
        <v>Set Grade</v>
      </c>
      <c r="AI62" s="96" t="str">
        <f>IF($E62="Yes","IPP",IFERROR(IF(AND(AF62&gt;AG62,AF62&lt;AH62),"0",(VLOOKUP(AF62,'ELA Reading Logic'!$A$22:$B$48,2,FALSE))-(IF(VLOOKUP(AF62,'ELA Reading Logic'!$A$22:$B$48,2,FALSE)&lt;=VLOOKUP(AG62,'ELA Reading Logic'!$A$22:$B$48,2,FALSE),VLOOKUP(AG62,'ELA Reading Logic'!$A$22:$B$48,2,FALSE),IF(VLOOKUP(AF62,'ELA Reading Logic'!$A$22:$B$48,2,FALSE)&gt;=VLOOKUP(AH62,'ELA Reading Logic'!$A$22:$B$48,2,FALSE),VLOOKUP(AH62,'ELA Reading Logic'!$A$22:$B$48,2,FALSE),"No Score")))),"No Value"))</f>
        <v>No Value</v>
      </c>
      <c r="AJ62" s="96" t="str">
        <f>IFERROR(VLOOKUP(AF62,'ELA Reading Logic'!$A$22:$B$48,2,FALSE)-VLOOKUP($F62,'ELA Reading Logic'!$A$22:$B$48,2,FALSE),"No Value")</f>
        <v>No Value</v>
      </c>
      <c r="AK62" s="92"/>
      <c r="AL62" s="96" t="str">
        <f>IFERROR(IF($E62="Yes","IPP",VLOOKUP($J62,'ELA Reading Logic'!$A$3:$K$9,VLOOKUP(AK$1,'ELA Reading Logic'!$J$22:$K$31,2,FALSE),FALSE)),"Set Grade")</f>
        <v>Set Grade</v>
      </c>
      <c r="AM62" s="96" t="str">
        <f>IFERROR(IF($E62="Yes","IPP",VLOOKUP($J62,'ELA Reading Logic'!$A$13:$K$19,VLOOKUP(AK$1,'ELA Reading Logic'!$J$22:$K$31,2,FALSE),FALSE)),"Set Grade")</f>
        <v>Set Grade</v>
      </c>
      <c r="AN62" s="96" t="str">
        <f>IF($E62="Yes","IPP",IFERROR(IF(AND(AK62&gt;AL62,AK62&lt;AM62),"0",(VLOOKUP(AK62,'ELA Reading Logic'!$A$22:$B$48,2,FALSE))-(IF(VLOOKUP(AK62,'ELA Reading Logic'!$A$22:$B$48,2,FALSE)&lt;=VLOOKUP(AL62,'ELA Reading Logic'!$A$22:$B$48,2,FALSE),VLOOKUP(AL62,'ELA Reading Logic'!$A$22:$B$48,2,FALSE),IF(VLOOKUP(AK62,'ELA Reading Logic'!$A$22:$B$48,2,FALSE)&gt;=VLOOKUP(AM62,'ELA Reading Logic'!$A$22:$B$48,2,FALSE),VLOOKUP(AM62,'ELA Reading Logic'!$A$22:$B$48,2,FALSE),"No Score")))),"No Value"))</f>
        <v>No Value</v>
      </c>
      <c r="AO62" s="96" t="str">
        <f>IFERROR(VLOOKUP(AK62,'ELA Reading Logic'!$A$22:$B$48,2,FALSE)-VLOOKUP($F62,'ELA Reading Logic'!$A$22:$B$48,2,FALSE),"No Value")</f>
        <v>No Value</v>
      </c>
      <c r="AP62" s="92"/>
      <c r="AQ62" s="96" t="str">
        <f>IFERROR(IF($E62="Yes","IPP",VLOOKUP($J62,'ELA Reading Logic'!$A$3:$K$9,VLOOKUP(AP$1,'ELA Reading Logic'!$J$22:$K$31,2,FALSE),FALSE)),"Set Grade")</f>
        <v>Set Grade</v>
      </c>
      <c r="AR62" s="96" t="str">
        <f>IFERROR(IF($E62="Yes","IPP",VLOOKUP($J62,'ELA Reading Logic'!$A$13:$K$19,VLOOKUP(AP$1,'ELA Reading Logic'!$J$22:$K$31,2,FALSE),FALSE)),"Set Grade")</f>
        <v>Set Grade</v>
      </c>
      <c r="AS62" s="96" t="str">
        <f>IF($E62="Yes","IPP",IFERROR(IF(AND(AP62&gt;AQ62,AP62&lt;AR62),"0",(VLOOKUP(AP62,'ELA Reading Logic'!$A$22:$B$48,2,FALSE))-(IF(VLOOKUP(AP62,'ELA Reading Logic'!$A$22:$B$48,2,FALSE)&lt;=VLOOKUP(AQ62,'ELA Reading Logic'!$A$22:$B$48,2,FALSE),VLOOKUP(AQ62,'ELA Reading Logic'!$A$22:$B$48,2,FALSE),IF(VLOOKUP(AP62,'ELA Reading Logic'!$A$22:$B$48,2,FALSE)&gt;=VLOOKUP(AR62,'ELA Reading Logic'!$A$22:$B$48,2,FALSE),VLOOKUP(AR62,'ELA Reading Logic'!$A$22:$B$48,2,FALSE),"No Score")))),"No Value"))</f>
        <v>No Value</v>
      </c>
      <c r="AT62" s="96" t="str">
        <f>IFERROR(VLOOKUP(AP62,'ELA Reading Logic'!$A$22:$B$48,2,FALSE)-VLOOKUP($F62,'ELA Reading Logic'!$A$22:$B$48,2,FALSE),"No Value")</f>
        <v>No Value</v>
      </c>
    </row>
    <row r="63" spans="1:46" ht="22.5" customHeight="1" x14ac:dyDescent="0.25">
      <c r="A63" s="174"/>
      <c r="B63" s="174"/>
      <c r="C63" s="174"/>
      <c r="D63" s="174"/>
      <c r="E63" s="175"/>
      <c r="F63" s="175"/>
      <c r="G63" s="177" t="str">
        <f>IFERROR(IF($E63="Yes","IPP",VLOOKUP($J63,'ELA Reading Logic'!$A$3:$K$9,VLOOKUP("September",'ELA Reading Logic'!$J$22:$K$31,2,FALSE),FALSE)),"Set Grade")</f>
        <v>Set Grade</v>
      </c>
      <c r="H63" s="177" t="str">
        <f>IFERROR(IF($E63="Yes","IPP",VLOOKUP($J63,'ELA Reading Logic'!$A$13:$K$19,VLOOKUP("September",'ELA Reading Logic'!$J$22:$K$31,2,FALSE),FALSE)),"Set Grade")</f>
        <v>Set Grade</v>
      </c>
      <c r="I63" s="96" t="str">
        <f>IF($E63="Yes","IPP",IFERROR(IF(AND(F63&gt;G63,F63&lt;H63),"0",(VLOOKUP(F63,'ELA Reading Logic'!$A$22:$B$48,2,FALSE))-(IF(VLOOKUP(F63,'ELA Reading Logic'!$A$22:$B$48,2,FALSE)&lt;=VLOOKUP(G63,'ELA Reading Logic'!$A$22:$B$48,2,FALSE),VLOOKUP(G63,'ELA Reading Logic'!$A$22:$B$48,2,FALSE),IF(VLOOKUP(F63,'ELA Reading Logic'!$A$22:$B$48,2,FALSE)&gt;=VLOOKUP(H63,'ELA Reading Logic'!$A$22:$B$48,2,FALSE),VLOOKUP(H63,'ELA Reading Logic'!$A$22:$B$48,2,FALSE),"No Score")))),"No Value"))</f>
        <v>No Value</v>
      </c>
      <c r="J63" s="178"/>
      <c r="K63" s="96"/>
      <c r="L63" s="96"/>
      <c r="M63" s="96"/>
      <c r="N63" s="96"/>
      <c r="O63" s="96"/>
      <c r="P63" s="105"/>
      <c r="Q63" s="92"/>
      <c r="R63" s="96" t="str">
        <f>IFERROR(IF($E63="Yes","IPP",VLOOKUP($J63,'ELA Reading Logic'!$A$3:$K$9,VLOOKUP(Q$1,'ELA Reading Logic'!$J$22:$K$31,2,FALSE),FALSE)),"Set Grade")</f>
        <v>Set Grade</v>
      </c>
      <c r="S63" s="96" t="str">
        <f>IFERROR(IF($E63="Yes","IPP",VLOOKUP($J63,'ELA Reading Logic'!$A$13:$K$19,VLOOKUP(Q$1,'ELA Reading Logic'!$J$22:$K$31,2,FALSE),FALSE)),"Set Grade")</f>
        <v>Set Grade</v>
      </c>
      <c r="T63" s="96" t="str">
        <f>IF($E63="Yes","IPP",IFERROR(IF(AND(Q63&gt;R63,Q63&lt;S63),"0",(VLOOKUP(Q63,'ELA Reading Logic'!$A$22:$B$48,2,FALSE))-(IF(VLOOKUP(Q63,'ELA Reading Logic'!$A$22:$B$48,2,FALSE)&lt;=VLOOKUP(R63,'ELA Reading Logic'!$A$22:$B$48,2,FALSE),VLOOKUP(R63,'ELA Reading Logic'!$A$22:$B$48,2,FALSE),IF(VLOOKUP(Q63,'ELA Reading Logic'!$A$22:$B$48,2,FALSE)&gt;=VLOOKUP(S63,'ELA Reading Logic'!$A$22:$B$48,2,FALSE),VLOOKUP(S63,'ELA Reading Logic'!$A$22:$B$48,2,FALSE),"No Score")))),"No Value"))</f>
        <v>No Value</v>
      </c>
      <c r="U63" s="96" t="str">
        <f>IFERROR(VLOOKUP(Q63,'ELA Reading Logic'!$A$22:$B$48,2,FALSE)-VLOOKUP($F63,'ELA Reading Logic'!$A$22:$B$48,2,FALSE),"No Value")</f>
        <v>No Value</v>
      </c>
      <c r="V63" s="92"/>
      <c r="W63" s="96" t="str">
        <f>IFERROR(IF($E63="Yes","IPP",VLOOKUP($J63,'ELA Reading Logic'!$A$3:$K$9,VLOOKUP(V$1,'ELA Reading Logic'!$J$22:$K$31,2,FALSE),FALSE)),"Set Grade")</f>
        <v>Set Grade</v>
      </c>
      <c r="X63" s="96" t="str">
        <f>IFERROR(IF($E63="Yes","IPP",VLOOKUP($J63,'ELA Reading Logic'!$A$13:$K$19,VLOOKUP(V$1,'ELA Reading Logic'!$J$22:$K$31,2,FALSE),FALSE)),"Set Grade")</f>
        <v>Set Grade</v>
      </c>
      <c r="Y63" s="96" t="str">
        <f>IF($E63="Yes","IPP",IFERROR(IF(AND(V63&gt;W63,V63&lt;X63),"0",(VLOOKUP(V63,'ELA Reading Logic'!$A$22:$B$48,2,FALSE))-(IF(VLOOKUP(V63,'ELA Reading Logic'!$A$22:$B$48,2,FALSE)&lt;=VLOOKUP(W63,'ELA Reading Logic'!$A$22:$B$48,2,FALSE),VLOOKUP(W63,'ELA Reading Logic'!$A$22:$B$48,2,FALSE),IF(VLOOKUP(V63,'ELA Reading Logic'!$A$22:$B$48,2,FALSE)&gt;=VLOOKUP(X63,'ELA Reading Logic'!$A$22:$B$48,2,FALSE),VLOOKUP(X63,'ELA Reading Logic'!$A$22:$B$48,2,FALSE),"No Score")))),"No Value"))</f>
        <v>No Value</v>
      </c>
      <c r="Z63" s="96" t="str">
        <f>IFERROR(VLOOKUP(V63,'ELA Reading Logic'!$A$22:$B$48,2,FALSE)-VLOOKUP($F63,'ELA Reading Logic'!$A$22:$B$48,2,FALSE),"No Value")</f>
        <v>No Value</v>
      </c>
      <c r="AA63" s="92"/>
      <c r="AB63" s="96" t="str">
        <f>IFERROR(IF($E63="Yes","IPP",VLOOKUP($J63,'ELA Reading Logic'!$A$3:$K$9,VLOOKUP(AA$1,'ELA Reading Logic'!$J$22:$K$31,2,FALSE),FALSE)),"Set Grade")</f>
        <v>Set Grade</v>
      </c>
      <c r="AC63" s="96" t="str">
        <f>IFERROR(IF($E63="Yes","IPP",VLOOKUP($J63,'ELA Reading Logic'!$A$13:$K$19,VLOOKUP(AA$1,'ELA Reading Logic'!$J$22:$K$31,2,FALSE),FALSE)),"Set Grade")</f>
        <v>Set Grade</v>
      </c>
      <c r="AD63" s="96" t="str">
        <f>IF($E63="Yes","IPP",IFERROR(IF(AND(AA63&gt;AB63,AA63&lt;AC63),"0",(VLOOKUP(AA63,'ELA Reading Logic'!$A$22:$B$48,2,FALSE))-(IF(VLOOKUP(AA63,'ELA Reading Logic'!$A$22:$B$48,2,FALSE)&lt;=VLOOKUP(AB63,'ELA Reading Logic'!$A$22:$B$48,2,FALSE),VLOOKUP(AB63,'ELA Reading Logic'!$A$22:$B$48,2,FALSE),IF(VLOOKUP(AA63,'ELA Reading Logic'!$A$22:$B$48,2,FALSE)&gt;=VLOOKUP(AC63,'ELA Reading Logic'!$A$22:$B$48,2,FALSE),VLOOKUP(AC63,'ELA Reading Logic'!$A$22:$B$48,2,FALSE),"No Score")))),"No Value"))</f>
        <v>No Value</v>
      </c>
      <c r="AE63" s="96" t="str">
        <f>IFERROR(VLOOKUP(AA63,'ELA Reading Logic'!$A$22:$B$48,2,FALSE)-VLOOKUP($F63,'ELA Reading Logic'!$A$22:$B$48,2,FALSE),"No Value")</f>
        <v>No Value</v>
      </c>
      <c r="AF63" s="92"/>
      <c r="AG63" s="96" t="str">
        <f>IFERROR(IF($E63="Yes","IPP",VLOOKUP($J63,'ELA Reading Logic'!$A$3:$K$9,VLOOKUP(AF$1,'ELA Reading Logic'!$J$22:$K$31,2,FALSE),FALSE)),"Set Grade")</f>
        <v>Set Grade</v>
      </c>
      <c r="AH63" s="96" t="str">
        <f>IFERROR(IF($E63="Yes","IPP",VLOOKUP($J63,'ELA Reading Logic'!$A$13:$K$19,VLOOKUP(AF$1,'ELA Reading Logic'!$J$22:$K$31,2,FALSE),FALSE)),"Set Grade")</f>
        <v>Set Grade</v>
      </c>
      <c r="AI63" s="96" t="str">
        <f>IF($E63="Yes","IPP",IFERROR(IF(AND(AF63&gt;AG63,AF63&lt;AH63),"0",(VLOOKUP(AF63,'ELA Reading Logic'!$A$22:$B$48,2,FALSE))-(IF(VLOOKUP(AF63,'ELA Reading Logic'!$A$22:$B$48,2,FALSE)&lt;=VLOOKUP(AG63,'ELA Reading Logic'!$A$22:$B$48,2,FALSE),VLOOKUP(AG63,'ELA Reading Logic'!$A$22:$B$48,2,FALSE),IF(VLOOKUP(AF63,'ELA Reading Logic'!$A$22:$B$48,2,FALSE)&gt;=VLOOKUP(AH63,'ELA Reading Logic'!$A$22:$B$48,2,FALSE),VLOOKUP(AH63,'ELA Reading Logic'!$A$22:$B$48,2,FALSE),"No Score")))),"No Value"))</f>
        <v>No Value</v>
      </c>
      <c r="AJ63" s="96" t="str">
        <f>IFERROR(VLOOKUP(AF63,'ELA Reading Logic'!$A$22:$B$48,2,FALSE)-VLOOKUP($F63,'ELA Reading Logic'!$A$22:$B$48,2,FALSE),"No Value")</f>
        <v>No Value</v>
      </c>
      <c r="AK63" s="92"/>
      <c r="AL63" s="96" t="str">
        <f>IFERROR(IF($E63="Yes","IPP",VLOOKUP($J63,'ELA Reading Logic'!$A$3:$K$9,VLOOKUP(AK$1,'ELA Reading Logic'!$J$22:$K$31,2,FALSE),FALSE)),"Set Grade")</f>
        <v>Set Grade</v>
      </c>
      <c r="AM63" s="96" t="str">
        <f>IFERROR(IF($E63="Yes","IPP",VLOOKUP($J63,'ELA Reading Logic'!$A$13:$K$19,VLOOKUP(AK$1,'ELA Reading Logic'!$J$22:$K$31,2,FALSE),FALSE)),"Set Grade")</f>
        <v>Set Grade</v>
      </c>
      <c r="AN63" s="96" t="str">
        <f>IF($E63="Yes","IPP",IFERROR(IF(AND(AK63&gt;AL63,AK63&lt;AM63),"0",(VLOOKUP(AK63,'ELA Reading Logic'!$A$22:$B$48,2,FALSE))-(IF(VLOOKUP(AK63,'ELA Reading Logic'!$A$22:$B$48,2,FALSE)&lt;=VLOOKUP(AL63,'ELA Reading Logic'!$A$22:$B$48,2,FALSE),VLOOKUP(AL63,'ELA Reading Logic'!$A$22:$B$48,2,FALSE),IF(VLOOKUP(AK63,'ELA Reading Logic'!$A$22:$B$48,2,FALSE)&gt;=VLOOKUP(AM63,'ELA Reading Logic'!$A$22:$B$48,2,FALSE),VLOOKUP(AM63,'ELA Reading Logic'!$A$22:$B$48,2,FALSE),"No Score")))),"No Value"))</f>
        <v>No Value</v>
      </c>
      <c r="AO63" s="96" t="str">
        <f>IFERROR(VLOOKUP(AK63,'ELA Reading Logic'!$A$22:$B$48,2,FALSE)-VLOOKUP($F63,'ELA Reading Logic'!$A$22:$B$48,2,FALSE),"No Value")</f>
        <v>No Value</v>
      </c>
      <c r="AP63" s="92"/>
      <c r="AQ63" s="96" t="str">
        <f>IFERROR(IF($E63="Yes","IPP",VLOOKUP($J63,'ELA Reading Logic'!$A$3:$K$9,VLOOKUP(AP$1,'ELA Reading Logic'!$J$22:$K$31,2,FALSE),FALSE)),"Set Grade")</f>
        <v>Set Grade</v>
      </c>
      <c r="AR63" s="96" t="str">
        <f>IFERROR(IF($E63="Yes","IPP",VLOOKUP($J63,'ELA Reading Logic'!$A$13:$K$19,VLOOKUP(AP$1,'ELA Reading Logic'!$J$22:$K$31,2,FALSE),FALSE)),"Set Grade")</f>
        <v>Set Grade</v>
      </c>
      <c r="AS63" s="96" t="str">
        <f>IF($E63="Yes","IPP",IFERROR(IF(AND(AP63&gt;AQ63,AP63&lt;AR63),"0",(VLOOKUP(AP63,'ELA Reading Logic'!$A$22:$B$48,2,FALSE))-(IF(VLOOKUP(AP63,'ELA Reading Logic'!$A$22:$B$48,2,FALSE)&lt;=VLOOKUP(AQ63,'ELA Reading Logic'!$A$22:$B$48,2,FALSE),VLOOKUP(AQ63,'ELA Reading Logic'!$A$22:$B$48,2,FALSE),IF(VLOOKUP(AP63,'ELA Reading Logic'!$A$22:$B$48,2,FALSE)&gt;=VLOOKUP(AR63,'ELA Reading Logic'!$A$22:$B$48,2,FALSE),VLOOKUP(AR63,'ELA Reading Logic'!$A$22:$B$48,2,FALSE),"No Score")))),"No Value"))</f>
        <v>No Value</v>
      </c>
      <c r="AT63" s="96" t="str">
        <f>IFERROR(VLOOKUP(AP63,'ELA Reading Logic'!$A$22:$B$48,2,FALSE)-VLOOKUP($F63,'ELA Reading Logic'!$A$22:$B$48,2,FALSE),"No Value")</f>
        <v>No Value</v>
      </c>
    </row>
    <row r="64" spans="1:46" ht="22.5" customHeight="1" x14ac:dyDescent="0.25">
      <c r="A64" s="176"/>
      <c r="B64" s="176"/>
      <c r="C64" s="176"/>
      <c r="D64" s="176"/>
      <c r="E64" s="175"/>
      <c r="F64" s="175"/>
      <c r="G64" s="177" t="str">
        <f>IFERROR(IF($E64="Yes","IPP",VLOOKUP($J64,'ELA Reading Logic'!$A$3:$K$9,VLOOKUP("September",'ELA Reading Logic'!$J$22:$K$31,2,FALSE),FALSE)),"Set Grade")</f>
        <v>Set Grade</v>
      </c>
      <c r="H64" s="177" t="str">
        <f>IFERROR(IF($E64="Yes","IPP",VLOOKUP($J64,'ELA Reading Logic'!$A$13:$K$19,VLOOKUP("September",'ELA Reading Logic'!$J$22:$K$31,2,FALSE),FALSE)),"Set Grade")</f>
        <v>Set Grade</v>
      </c>
      <c r="I64" s="96" t="str">
        <f>IF($E64="Yes","IPP",IFERROR(IF(AND(F64&gt;G64,F64&lt;H64),"0",(VLOOKUP(F64,'ELA Reading Logic'!$A$22:$B$48,2,FALSE))-(IF(VLOOKUP(F64,'ELA Reading Logic'!$A$22:$B$48,2,FALSE)&lt;=VLOOKUP(G64,'ELA Reading Logic'!$A$22:$B$48,2,FALSE),VLOOKUP(G64,'ELA Reading Logic'!$A$22:$B$48,2,FALSE),IF(VLOOKUP(F64,'ELA Reading Logic'!$A$22:$B$48,2,FALSE)&gt;=VLOOKUP(H64,'ELA Reading Logic'!$A$22:$B$48,2,FALSE),VLOOKUP(H64,'ELA Reading Logic'!$A$22:$B$48,2,FALSE),"No Score")))),"No Value"))</f>
        <v>No Value</v>
      </c>
      <c r="J64" s="178"/>
      <c r="K64" s="96"/>
      <c r="L64" s="96"/>
      <c r="M64" s="96"/>
      <c r="N64" s="96"/>
      <c r="O64" s="96"/>
      <c r="P64" s="105"/>
      <c r="Q64" s="92"/>
      <c r="R64" s="96" t="str">
        <f>IFERROR(IF($E64="Yes","IPP",VLOOKUP($J64,'ELA Reading Logic'!$A$3:$K$9,VLOOKUP(Q$1,'ELA Reading Logic'!$J$22:$K$31,2,FALSE),FALSE)),"Set Grade")</f>
        <v>Set Grade</v>
      </c>
      <c r="S64" s="96" t="str">
        <f>IFERROR(IF($E64="Yes","IPP",VLOOKUP($J64,'ELA Reading Logic'!$A$13:$K$19,VLOOKUP(Q$1,'ELA Reading Logic'!$J$22:$K$31,2,FALSE),FALSE)),"Set Grade")</f>
        <v>Set Grade</v>
      </c>
      <c r="T64" s="96" t="str">
        <f>IF($E64="Yes","IPP",IFERROR(IF(AND(Q64&gt;R64,Q64&lt;S64),"0",(VLOOKUP(Q64,'ELA Reading Logic'!$A$22:$B$48,2,FALSE))-(IF(VLOOKUP(Q64,'ELA Reading Logic'!$A$22:$B$48,2,FALSE)&lt;=VLOOKUP(R64,'ELA Reading Logic'!$A$22:$B$48,2,FALSE),VLOOKUP(R64,'ELA Reading Logic'!$A$22:$B$48,2,FALSE),IF(VLOOKUP(Q64,'ELA Reading Logic'!$A$22:$B$48,2,FALSE)&gt;=VLOOKUP(S64,'ELA Reading Logic'!$A$22:$B$48,2,FALSE),VLOOKUP(S64,'ELA Reading Logic'!$A$22:$B$48,2,FALSE),"No Score")))),"No Value"))</f>
        <v>No Value</v>
      </c>
      <c r="U64" s="96" t="str">
        <f>IFERROR(VLOOKUP(Q64,'ELA Reading Logic'!$A$22:$B$48,2,FALSE)-VLOOKUP($F64,'ELA Reading Logic'!$A$22:$B$48,2,FALSE),"No Value")</f>
        <v>No Value</v>
      </c>
      <c r="V64" s="92"/>
      <c r="W64" s="96" t="str">
        <f>IFERROR(IF($E64="Yes","IPP",VLOOKUP($J64,'ELA Reading Logic'!$A$3:$K$9,VLOOKUP(V$1,'ELA Reading Logic'!$J$22:$K$31,2,FALSE),FALSE)),"Set Grade")</f>
        <v>Set Grade</v>
      </c>
      <c r="X64" s="96" t="str">
        <f>IFERROR(IF($E64="Yes","IPP",VLOOKUP($J64,'ELA Reading Logic'!$A$13:$K$19,VLOOKUP(V$1,'ELA Reading Logic'!$J$22:$K$31,2,FALSE),FALSE)),"Set Grade")</f>
        <v>Set Grade</v>
      </c>
      <c r="Y64" s="96" t="str">
        <f>IF($E64="Yes","IPP",IFERROR(IF(AND(V64&gt;W64,V64&lt;X64),"0",(VLOOKUP(V64,'ELA Reading Logic'!$A$22:$B$48,2,FALSE))-(IF(VLOOKUP(V64,'ELA Reading Logic'!$A$22:$B$48,2,FALSE)&lt;=VLOOKUP(W64,'ELA Reading Logic'!$A$22:$B$48,2,FALSE),VLOOKUP(W64,'ELA Reading Logic'!$A$22:$B$48,2,FALSE),IF(VLOOKUP(V64,'ELA Reading Logic'!$A$22:$B$48,2,FALSE)&gt;=VLOOKUP(X64,'ELA Reading Logic'!$A$22:$B$48,2,FALSE),VLOOKUP(X64,'ELA Reading Logic'!$A$22:$B$48,2,FALSE),"No Score")))),"No Value"))</f>
        <v>No Value</v>
      </c>
      <c r="Z64" s="96" t="str">
        <f>IFERROR(VLOOKUP(V64,'ELA Reading Logic'!$A$22:$B$48,2,FALSE)-VLOOKUP($F64,'ELA Reading Logic'!$A$22:$B$48,2,FALSE),"No Value")</f>
        <v>No Value</v>
      </c>
      <c r="AA64" s="92"/>
      <c r="AB64" s="96" t="str">
        <f>IFERROR(IF($E64="Yes","IPP",VLOOKUP($J64,'ELA Reading Logic'!$A$3:$K$9,VLOOKUP(AA$1,'ELA Reading Logic'!$J$22:$K$31,2,FALSE),FALSE)),"Set Grade")</f>
        <v>Set Grade</v>
      </c>
      <c r="AC64" s="96" t="str">
        <f>IFERROR(IF($E64="Yes","IPP",VLOOKUP($J64,'ELA Reading Logic'!$A$13:$K$19,VLOOKUP(AA$1,'ELA Reading Logic'!$J$22:$K$31,2,FALSE),FALSE)),"Set Grade")</f>
        <v>Set Grade</v>
      </c>
      <c r="AD64" s="96" t="str">
        <f>IF($E64="Yes","IPP",IFERROR(IF(AND(AA64&gt;AB64,AA64&lt;AC64),"0",(VLOOKUP(AA64,'ELA Reading Logic'!$A$22:$B$48,2,FALSE))-(IF(VLOOKUP(AA64,'ELA Reading Logic'!$A$22:$B$48,2,FALSE)&lt;=VLOOKUP(AB64,'ELA Reading Logic'!$A$22:$B$48,2,FALSE),VLOOKUP(AB64,'ELA Reading Logic'!$A$22:$B$48,2,FALSE),IF(VLOOKUP(AA64,'ELA Reading Logic'!$A$22:$B$48,2,FALSE)&gt;=VLOOKUP(AC64,'ELA Reading Logic'!$A$22:$B$48,2,FALSE),VLOOKUP(AC64,'ELA Reading Logic'!$A$22:$B$48,2,FALSE),"No Score")))),"No Value"))</f>
        <v>No Value</v>
      </c>
      <c r="AE64" s="96" t="str">
        <f>IFERROR(VLOOKUP(AA64,'ELA Reading Logic'!$A$22:$B$48,2,FALSE)-VLOOKUP($F64,'ELA Reading Logic'!$A$22:$B$48,2,FALSE),"No Value")</f>
        <v>No Value</v>
      </c>
      <c r="AF64" s="92"/>
      <c r="AG64" s="96" t="str">
        <f>IFERROR(IF($E64="Yes","IPP",VLOOKUP($J64,'ELA Reading Logic'!$A$3:$K$9,VLOOKUP(AF$1,'ELA Reading Logic'!$J$22:$K$31,2,FALSE),FALSE)),"Set Grade")</f>
        <v>Set Grade</v>
      </c>
      <c r="AH64" s="96" t="str">
        <f>IFERROR(IF($E64="Yes","IPP",VLOOKUP($J64,'ELA Reading Logic'!$A$13:$K$19,VLOOKUP(AF$1,'ELA Reading Logic'!$J$22:$K$31,2,FALSE),FALSE)),"Set Grade")</f>
        <v>Set Grade</v>
      </c>
      <c r="AI64" s="96" t="str">
        <f>IF($E64="Yes","IPP",IFERROR(IF(AND(AF64&gt;AG64,AF64&lt;AH64),"0",(VLOOKUP(AF64,'ELA Reading Logic'!$A$22:$B$48,2,FALSE))-(IF(VLOOKUP(AF64,'ELA Reading Logic'!$A$22:$B$48,2,FALSE)&lt;=VLOOKUP(AG64,'ELA Reading Logic'!$A$22:$B$48,2,FALSE),VLOOKUP(AG64,'ELA Reading Logic'!$A$22:$B$48,2,FALSE),IF(VLOOKUP(AF64,'ELA Reading Logic'!$A$22:$B$48,2,FALSE)&gt;=VLOOKUP(AH64,'ELA Reading Logic'!$A$22:$B$48,2,FALSE),VLOOKUP(AH64,'ELA Reading Logic'!$A$22:$B$48,2,FALSE),"No Score")))),"No Value"))</f>
        <v>No Value</v>
      </c>
      <c r="AJ64" s="96" t="str">
        <f>IFERROR(VLOOKUP(AF64,'ELA Reading Logic'!$A$22:$B$48,2,FALSE)-VLOOKUP($F64,'ELA Reading Logic'!$A$22:$B$48,2,FALSE),"No Value")</f>
        <v>No Value</v>
      </c>
      <c r="AK64" s="92"/>
      <c r="AL64" s="96" t="str">
        <f>IFERROR(IF($E64="Yes","IPP",VLOOKUP($J64,'ELA Reading Logic'!$A$3:$K$9,VLOOKUP(AK$1,'ELA Reading Logic'!$J$22:$K$31,2,FALSE),FALSE)),"Set Grade")</f>
        <v>Set Grade</v>
      </c>
      <c r="AM64" s="96" t="str">
        <f>IFERROR(IF($E64="Yes","IPP",VLOOKUP($J64,'ELA Reading Logic'!$A$13:$K$19,VLOOKUP(AK$1,'ELA Reading Logic'!$J$22:$K$31,2,FALSE),FALSE)),"Set Grade")</f>
        <v>Set Grade</v>
      </c>
      <c r="AN64" s="96" t="str">
        <f>IF($E64="Yes","IPP",IFERROR(IF(AND(AK64&gt;AL64,AK64&lt;AM64),"0",(VLOOKUP(AK64,'ELA Reading Logic'!$A$22:$B$48,2,FALSE))-(IF(VLOOKUP(AK64,'ELA Reading Logic'!$A$22:$B$48,2,FALSE)&lt;=VLOOKUP(AL64,'ELA Reading Logic'!$A$22:$B$48,2,FALSE),VLOOKUP(AL64,'ELA Reading Logic'!$A$22:$B$48,2,FALSE),IF(VLOOKUP(AK64,'ELA Reading Logic'!$A$22:$B$48,2,FALSE)&gt;=VLOOKUP(AM64,'ELA Reading Logic'!$A$22:$B$48,2,FALSE),VLOOKUP(AM64,'ELA Reading Logic'!$A$22:$B$48,2,FALSE),"No Score")))),"No Value"))</f>
        <v>No Value</v>
      </c>
      <c r="AO64" s="96" t="str">
        <f>IFERROR(VLOOKUP(AK64,'ELA Reading Logic'!$A$22:$B$48,2,FALSE)-VLOOKUP($F64,'ELA Reading Logic'!$A$22:$B$48,2,FALSE),"No Value")</f>
        <v>No Value</v>
      </c>
      <c r="AP64" s="92"/>
      <c r="AQ64" s="96" t="str">
        <f>IFERROR(IF($E64="Yes","IPP",VLOOKUP($J64,'ELA Reading Logic'!$A$3:$K$9,VLOOKUP(AP$1,'ELA Reading Logic'!$J$22:$K$31,2,FALSE),FALSE)),"Set Grade")</f>
        <v>Set Grade</v>
      </c>
      <c r="AR64" s="96" t="str">
        <f>IFERROR(IF($E64="Yes","IPP",VLOOKUP($J64,'ELA Reading Logic'!$A$13:$K$19,VLOOKUP(AP$1,'ELA Reading Logic'!$J$22:$K$31,2,FALSE),FALSE)),"Set Grade")</f>
        <v>Set Grade</v>
      </c>
      <c r="AS64" s="96" t="str">
        <f>IF($E64="Yes","IPP",IFERROR(IF(AND(AP64&gt;AQ64,AP64&lt;AR64),"0",(VLOOKUP(AP64,'ELA Reading Logic'!$A$22:$B$48,2,FALSE))-(IF(VLOOKUP(AP64,'ELA Reading Logic'!$A$22:$B$48,2,FALSE)&lt;=VLOOKUP(AQ64,'ELA Reading Logic'!$A$22:$B$48,2,FALSE),VLOOKUP(AQ64,'ELA Reading Logic'!$A$22:$B$48,2,FALSE),IF(VLOOKUP(AP64,'ELA Reading Logic'!$A$22:$B$48,2,FALSE)&gt;=VLOOKUP(AR64,'ELA Reading Logic'!$A$22:$B$48,2,FALSE),VLOOKUP(AR64,'ELA Reading Logic'!$A$22:$B$48,2,FALSE),"No Score")))),"No Value"))</f>
        <v>No Value</v>
      </c>
      <c r="AT64" s="96" t="str">
        <f>IFERROR(VLOOKUP(AP64,'ELA Reading Logic'!$A$22:$B$48,2,FALSE)-VLOOKUP($F64,'ELA Reading Logic'!$A$22:$B$48,2,FALSE),"No Value")</f>
        <v>No Value</v>
      </c>
    </row>
    <row r="65" spans="1:46" ht="22.5" customHeight="1" x14ac:dyDescent="0.25">
      <c r="A65" s="174"/>
      <c r="B65" s="174"/>
      <c r="C65" s="174"/>
      <c r="D65" s="174"/>
      <c r="E65" s="175"/>
      <c r="F65" s="175"/>
      <c r="G65" s="177" t="str">
        <f>IFERROR(IF($E65="Yes","IPP",VLOOKUP($J65,'ELA Reading Logic'!$A$3:$K$9,VLOOKUP("September",'ELA Reading Logic'!$J$22:$K$31,2,FALSE),FALSE)),"Set Grade")</f>
        <v>Set Grade</v>
      </c>
      <c r="H65" s="177" t="str">
        <f>IFERROR(IF($E65="Yes","IPP",VLOOKUP($J65,'ELA Reading Logic'!$A$13:$K$19,VLOOKUP("September",'ELA Reading Logic'!$J$22:$K$31,2,FALSE),FALSE)),"Set Grade")</f>
        <v>Set Grade</v>
      </c>
      <c r="I65" s="96" t="str">
        <f>IF($E65="Yes","IPP",IFERROR(IF(AND(F65&gt;G65,F65&lt;H65),"0",(VLOOKUP(F65,'ELA Reading Logic'!$A$22:$B$48,2,FALSE))-(IF(VLOOKUP(F65,'ELA Reading Logic'!$A$22:$B$48,2,FALSE)&lt;=VLOOKUP(G65,'ELA Reading Logic'!$A$22:$B$48,2,FALSE),VLOOKUP(G65,'ELA Reading Logic'!$A$22:$B$48,2,FALSE),IF(VLOOKUP(F65,'ELA Reading Logic'!$A$22:$B$48,2,FALSE)&gt;=VLOOKUP(H65,'ELA Reading Logic'!$A$22:$B$48,2,FALSE),VLOOKUP(H65,'ELA Reading Logic'!$A$22:$B$48,2,FALSE),"No Score")))),"No Value"))</f>
        <v>No Value</v>
      </c>
      <c r="J65" s="178"/>
      <c r="K65" s="96"/>
      <c r="L65" s="96"/>
      <c r="M65" s="96"/>
      <c r="N65" s="96"/>
      <c r="O65" s="96"/>
      <c r="P65" s="105"/>
      <c r="Q65" s="92"/>
      <c r="R65" s="96" t="str">
        <f>IFERROR(IF($E65="Yes","IPP",VLOOKUP($J65,'ELA Reading Logic'!$A$3:$K$9,VLOOKUP(Q$1,'ELA Reading Logic'!$J$22:$K$31,2,FALSE),FALSE)),"Set Grade")</f>
        <v>Set Grade</v>
      </c>
      <c r="S65" s="96" t="str">
        <f>IFERROR(IF($E65="Yes","IPP",VLOOKUP($J65,'ELA Reading Logic'!$A$13:$K$19,VLOOKUP(Q$1,'ELA Reading Logic'!$J$22:$K$31,2,FALSE),FALSE)),"Set Grade")</f>
        <v>Set Grade</v>
      </c>
      <c r="T65" s="96" t="str">
        <f>IF($E65="Yes","IPP",IFERROR(IF(AND(Q65&gt;R65,Q65&lt;S65),"0",(VLOOKUP(Q65,'ELA Reading Logic'!$A$22:$B$48,2,FALSE))-(IF(VLOOKUP(Q65,'ELA Reading Logic'!$A$22:$B$48,2,FALSE)&lt;=VLOOKUP(R65,'ELA Reading Logic'!$A$22:$B$48,2,FALSE),VLOOKUP(R65,'ELA Reading Logic'!$A$22:$B$48,2,FALSE),IF(VLOOKUP(Q65,'ELA Reading Logic'!$A$22:$B$48,2,FALSE)&gt;=VLOOKUP(S65,'ELA Reading Logic'!$A$22:$B$48,2,FALSE),VLOOKUP(S65,'ELA Reading Logic'!$A$22:$B$48,2,FALSE),"No Score")))),"No Value"))</f>
        <v>No Value</v>
      </c>
      <c r="U65" s="96" t="str">
        <f>IFERROR(VLOOKUP(Q65,'ELA Reading Logic'!$A$22:$B$48,2,FALSE)-VLOOKUP($F65,'ELA Reading Logic'!$A$22:$B$48,2,FALSE),"No Value")</f>
        <v>No Value</v>
      </c>
      <c r="V65" s="92"/>
      <c r="W65" s="96" t="str">
        <f>IFERROR(IF($E65="Yes","IPP",VLOOKUP($J65,'ELA Reading Logic'!$A$3:$K$9,VLOOKUP(V$1,'ELA Reading Logic'!$J$22:$K$31,2,FALSE),FALSE)),"Set Grade")</f>
        <v>Set Grade</v>
      </c>
      <c r="X65" s="96" t="str">
        <f>IFERROR(IF($E65="Yes","IPP",VLOOKUP($J65,'ELA Reading Logic'!$A$13:$K$19,VLOOKUP(V$1,'ELA Reading Logic'!$J$22:$K$31,2,FALSE),FALSE)),"Set Grade")</f>
        <v>Set Grade</v>
      </c>
      <c r="Y65" s="96" t="str">
        <f>IF($E65="Yes","IPP",IFERROR(IF(AND(V65&gt;W65,V65&lt;X65),"0",(VLOOKUP(V65,'ELA Reading Logic'!$A$22:$B$48,2,FALSE))-(IF(VLOOKUP(V65,'ELA Reading Logic'!$A$22:$B$48,2,FALSE)&lt;=VLOOKUP(W65,'ELA Reading Logic'!$A$22:$B$48,2,FALSE),VLOOKUP(W65,'ELA Reading Logic'!$A$22:$B$48,2,FALSE),IF(VLOOKUP(V65,'ELA Reading Logic'!$A$22:$B$48,2,FALSE)&gt;=VLOOKUP(X65,'ELA Reading Logic'!$A$22:$B$48,2,FALSE),VLOOKUP(X65,'ELA Reading Logic'!$A$22:$B$48,2,FALSE),"No Score")))),"No Value"))</f>
        <v>No Value</v>
      </c>
      <c r="Z65" s="96" t="str">
        <f>IFERROR(VLOOKUP(V65,'ELA Reading Logic'!$A$22:$B$48,2,FALSE)-VLOOKUP($F65,'ELA Reading Logic'!$A$22:$B$48,2,FALSE),"No Value")</f>
        <v>No Value</v>
      </c>
      <c r="AA65" s="92"/>
      <c r="AB65" s="96" t="str">
        <f>IFERROR(IF($E65="Yes","IPP",VLOOKUP($J65,'ELA Reading Logic'!$A$3:$K$9,VLOOKUP(AA$1,'ELA Reading Logic'!$J$22:$K$31,2,FALSE),FALSE)),"Set Grade")</f>
        <v>Set Grade</v>
      </c>
      <c r="AC65" s="96" t="str">
        <f>IFERROR(IF($E65="Yes","IPP",VLOOKUP($J65,'ELA Reading Logic'!$A$13:$K$19,VLOOKUP(AA$1,'ELA Reading Logic'!$J$22:$K$31,2,FALSE),FALSE)),"Set Grade")</f>
        <v>Set Grade</v>
      </c>
      <c r="AD65" s="96" t="str">
        <f>IF($E65="Yes","IPP",IFERROR(IF(AND(AA65&gt;AB65,AA65&lt;AC65),"0",(VLOOKUP(AA65,'ELA Reading Logic'!$A$22:$B$48,2,FALSE))-(IF(VLOOKUP(AA65,'ELA Reading Logic'!$A$22:$B$48,2,FALSE)&lt;=VLOOKUP(AB65,'ELA Reading Logic'!$A$22:$B$48,2,FALSE),VLOOKUP(AB65,'ELA Reading Logic'!$A$22:$B$48,2,FALSE),IF(VLOOKUP(AA65,'ELA Reading Logic'!$A$22:$B$48,2,FALSE)&gt;=VLOOKUP(AC65,'ELA Reading Logic'!$A$22:$B$48,2,FALSE),VLOOKUP(AC65,'ELA Reading Logic'!$A$22:$B$48,2,FALSE),"No Score")))),"No Value"))</f>
        <v>No Value</v>
      </c>
      <c r="AE65" s="96" t="str">
        <f>IFERROR(VLOOKUP(AA65,'ELA Reading Logic'!$A$22:$B$48,2,FALSE)-VLOOKUP($F65,'ELA Reading Logic'!$A$22:$B$48,2,FALSE),"No Value")</f>
        <v>No Value</v>
      </c>
      <c r="AF65" s="92"/>
      <c r="AG65" s="96" t="str">
        <f>IFERROR(IF($E65="Yes","IPP",VLOOKUP($J65,'ELA Reading Logic'!$A$3:$K$9,VLOOKUP(AF$1,'ELA Reading Logic'!$J$22:$K$31,2,FALSE),FALSE)),"Set Grade")</f>
        <v>Set Grade</v>
      </c>
      <c r="AH65" s="96" t="str">
        <f>IFERROR(IF($E65="Yes","IPP",VLOOKUP($J65,'ELA Reading Logic'!$A$13:$K$19,VLOOKUP(AF$1,'ELA Reading Logic'!$J$22:$K$31,2,FALSE),FALSE)),"Set Grade")</f>
        <v>Set Grade</v>
      </c>
      <c r="AI65" s="96" t="str">
        <f>IF($E65="Yes","IPP",IFERROR(IF(AND(AF65&gt;AG65,AF65&lt;AH65),"0",(VLOOKUP(AF65,'ELA Reading Logic'!$A$22:$B$48,2,FALSE))-(IF(VLOOKUP(AF65,'ELA Reading Logic'!$A$22:$B$48,2,FALSE)&lt;=VLOOKUP(AG65,'ELA Reading Logic'!$A$22:$B$48,2,FALSE),VLOOKUP(AG65,'ELA Reading Logic'!$A$22:$B$48,2,FALSE),IF(VLOOKUP(AF65,'ELA Reading Logic'!$A$22:$B$48,2,FALSE)&gt;=VLOOKUP(AH65,'ELA Reading Logic'!$A$22:$B$48,2,FALSE),VLOOKUP(AH65,'ELA Reading Logic'!$A$22:$B$48,2,FALSE),"No Score")))),"No Value"))</f>
        <v>No Value</v>
      </c>
      <c r="AJ65" s="96" t="str">
        <f>IFERROR(VLOOKUP(AF65,'ELA Reading Logic'!$A$22:$B$48,2,FALSE)-VLOOKUP($F65,'ELA Reading Logic'!$A$22:$B$48,2,FALSE),"No Value")</f>
        <v>No Value</v>
      </c>
      <c r="AK65" s="92"/>
      <c r="AL65" s="96" t="str">
        <f>IFERROR(IF($E65="Yes","IPP",VLOOKUP($J65,'ELA Reading Logic'!$A$3:$K$9,VLOOKUP(AK$1,'ELA Reading Logic'!$J$22:$K$31,2,FALSE),FALSE)),"Set Grade")</f>
        <v>Set Grade</v>
      </c>
      <c r="AM65" s="96" t="str">
        <f>IFERROR(IF($E65="Yes","IPP",VLOOKUP($J65,'ELA Reading Logic'!$A$13:$K$19,VLOOKUP(AK$1,'ELA Reading Logic'!$J$22:$K$31,2,FALSE),FALSE)),"Set Grade")</f>
        <v>Set Grade</v>
      </c>
      <c r="AN65" s="96" t="str">
        <f>IF($E65="Yes","IPP",IFERROR(IF(AND(AK65&gt;AL65,AK65&lt;AM65),"0",(VLOOKUP(AK65,'ELA Reading Logic'!$A$22:$B$48,2,FALSE))-(IF(VLOOKUP(AK65,'ELA Reading Logic'!$A$22:$B$48,2,FALSE)&lt;=VLOOKUP(AL65,'ELA Reading Logic'!$A$22:$B$48,2,FALSE),VLOOKUP(AL65,'ELA Reading Logic'!$A$22:$B$48,2,FALSE),IF(VLOOKUP(AK65,'ELA Reading Logic'!$A$22:$B$48,2,FALSE)&gt;=VLOOKUP(AM65,'ELA Reading Logic'!$A$22:$B$48,2,FALSE),VLOOKUP(AM65,'ELA Reading Logic'!$A$22:$B$48,2,FALSE),"No Score")))),"No Value"))</f>
        <v>No Value</v>
      </c>
      <c r="AO65" s="96" t="str">
        <f>IFERROR(VLOOKUP(AK65,'ELA Reading Logic'!$A$22:$B$48,2,FALSE)-VLOOKUP($F65,'ELA Reading Logic'!$A$22:$B$48,2,FALSE),"No Value")</f>
        <v>No Value</v>
      </c>
      <c r="AP65" s="92"/>
      <c r="AQ65" s="96" t="str">
        <f>IFERROR(IF($E65="Yes","IPP",VLOOKUP($J65,'ELA Reading Logic'!$A$3:$K$9,VLOOKUP(AP$1,'ELA Reading Logic'!$J$22:$K$31,2,FALSE),FALSE)),"Set Grade")</f>
        <v>Set Grade</v>
      </c>
      <c r="AR65" s="96" t="str">
        <f>IFERROR(IF($E65="Yes","IPP",VLOOKUP($J65,'ELA Reading Logic'!$A$13:$K$19,VLOOKUP(AP$1,'ELA Reading Logic'!$J$22:$K$31,2,FALSE),FALSE)),"Set Grade")</f>
        <v>Set Grade</v>
      </c>
      <c r="AS65" s="96" t="str">
        <f>IF($E65="Yes","IPP",IFERROR(IF(AND(AP65&gt;AQ65,AP65&lt;AR65),"0",(VLOOKUP(AP65,'ELA Reading Logic'!$A$22:$B$48,2,FALSE))-(IF(VLOOKUP(AP65,'ELA Reading Logic'!$A$22:$B$48,2,FALSE)&lt;=VLOOKUP(AQ65,'ELA Reading Logic'!$A$22:$B$48,2,FALSE),VLOOKUP(AQ65,'ELA Reading Logic'!$A$22:$B$48,2,FALSE),IF(VLOOKUP(AP65,'ELA Reading Logic'!$A$22:$B$48,2,FALSE)&gt;=VLOOKUP(AR65,'ELA Reading Logic'!$A$22:$B$48,2,FALSE),VLOOKUP(AR65,'ELA Reading Logic'!$A$22:$B$48,2,FALSE),"No Score")))),"No Value"))</f>
        <v>No Value</v>
      </c>
      <c r="AT65" s="96" t="str">
        <f>IFERROR(VLOOKUP(AP65,'ELA Reading Logic'!$A$22:$B$48,2,FALSE)-VLOOKUP($F65,'ELA Reading Logic'!$A$22:$B$48,2,FALSE),"No Value")</f>
        <v>No Value</v>
      </c>
    </row>
    <row r="66" spans="1:46" ht="22.5" customHeight="1" x14ac:dyDescent="0.25">
      <c r="A66" s="176"/>
      <c r="B66" s="176"/>
      <c r="C66" s="176"/>
      <c r="D66" s="176"/>
      <c r="E66" s="175"/>
      <c r="F66" s="175"/>
      <c r="G66" s="177" t="str">
        <f>IFERROR(IF($E66="Yes","IPP",VLOOKUP($J66,'ELA Reading Logic'!$A$3:$K$9,VLOOKUP("September",'ELA Reading Logic'!$J$22:$K$31,2,FALSE),FALSE)),"Set Grade")</f>
        <v>Set Grade</v>
      </c>
      <c r="H66" s="177" t="str">
        <f>IFERROR(IF($E66="Yes","IPP",VLOOKUP($J66,'ELA Reading Logic'!$A$13:$K$19,VLOOKUP("September",'ELA Reading Logic'!$J$22:$K$31,2,FALSE),FALSE)),"Set Grade")</f>
        <v>Set Grade</v>
      </c>
      <c r="I66" s="96" t="str">
        <f>IF($E66="Yes","IPP",IFERROR(IF(AND(F66&gt;G66,F66&lt;H66),"0",(VLOOKUP(F66,'ELA Reading Logic'!$A$22:$B$48,2,FALSE))-(IF(VLOOKUP(F66,'ELA Reading Logic'!$A$22:$B$48,2,FALSE)&lt;=VLOOKUP(G66,'ELA Reading Logic'!$A$22:$B$48,2,FALSE),VLOOKUP(G66,'ELA Reading Logic'!$A$22:$B$48,2,FALSE),IF(VLOOKUP(F66,'ELA Reading Logic'!$A$22:$B$48,2,FALSE)&gt;=VLOOKUP(H66,'ELA Reading Logic'!$A$22:$B$48,2,FALSE),VLOOKUP(H66,'ELA Reading Logic'!$A$22:$B$48,2,FALSE),"No Score")))),"No Value"))</f>
        <v>No Value</v>
      </c>
      <c r="J66" s="178"/>
      <c r="K66" s="96"/>
      <c r="L66" s="96"/>
      <c r="M66" s="96"/>
      <c r="N66" s="96"/>
      <c r="O66" s="96"/>
      <c r="P66" s="105"/>
      <c r="Q66" s="92"/>
      <c r="R66" s="96" t="str">
        <f>IFERROR(IF($E66="Yes","IPP",VLOOKUP($J66,'ELA Reading Logic'!$A$3:$K$9,VLOOKUP(Q$1,'ELA Reading Logic'!$J$22:$K$31,2,FALSE),FALSE)),"Set Grade")</f>
        <v>Set Grade</v>
      </c>
      <c r="S66" s="96" t="str">
        <f>IFERROR(IF($E66="Yes","IPP",VLOOKUP($J66,'ELA Reading Logic'!$A$13:$K$19,VLOOKUP(Q$1,'ELA Reading Logic'!$J$22:$K$31,2,FALSE),FALSE)),"Set Grade")</f>
        <v>Set Grade</v>
      </c>
      <c r="T66" s="96" t="str">
        <f>IF($E66="Yes","IPP",IFERROR(IF(AND(Q66&gt;R66,Q66&lt;S66),"0",(VLOOKUP(Q66,'ELA Reading Logic'!$A$22:$B$48,2,FALSE))-(IF(VLOOKUP(Q66,'ELA Reading Logic'!$A$22:$B$48,2,FALSE)&lt;=VLOOKUP(R66,'ELA Reading Logic'!$A$22:$B$48,2,FALSE),VLOOKUP(R66,'ELA Reading Logic'!$A$22:$B$48,2,FALSE),IF(VLOOKUP(Q66,'ELA Reading Logic'!$A$22:$B$48,2,FALSE)&gt;=VLOOKUP(S66,'ELA Reading Logic'!$A$22:$B$48,2,FALSE),VLOOKUP(S66,'ELA Reading Logic'!$A$22:$B$48,2,FALSE),"No Score")))),"No Value"))</f>
        <v>No Value</v>
      </c>
      <c r="U66" s="96" t="str">
        <f>IFERROR(VLOOKUP(Q66,'ELA Reading Logic'!$A$22:$B$48,2,FALSE)-VLOOKUP($F66,'ELA Reading Logic'!$A$22:$B$48,2,FALSE),"No Value")</f>
        <v>No Value</v>
      </c>
      <c r="V66" s="92"/>
      <c r="W66" s="96" t="str">
        <f>IFERROR(IF($E66="Yes","IPP",VLOOKUP($J66,'ELA Reading Logic'!$A$3:$K$9,VLOOKUP(V$1,'ELA Reading Logic'!$J$22:$K$31,2,FALSE),FALSE)),"Set Grade")</f>
        <v>Set Grade</v>
      </c>
      <c r="X66" s="96" t="str">
        <f>IFERROR(IF($E66="Yes","IPP",VLOOKUP($J66,'ELA Reading Logic'!$A$13:$K$19,VLOOKUP(V$1,'ELA Reading Logic'!$J$22:$K$31,2,FALSE),FALSE)),"Set Grade")</f>
        <v>Set Grade</v>
      </c>
      <c r="Y66" s="96" t="str">
        <f>IF($E66="Yes","IPP",IFERROR(IF(AND(V66&gt;W66,V66&lt;X66),"0",(VLOOKUP(V66,'ELA Reading Logic'!$A$22:$B$48,2,FALSE))-(IF(VLOOKUP(V66,'ELA Reading Logic'!$A$22:$B$48,2,FALSE)&lt;=VLOOKUP(W66,'ELA Reading Logic'!$A$22:$B$48,2,FALSE),VLOOKUP(W66,'ELA Reading Logic'!$A$22:$B$48,2,FALSE),IF(VLOOKUP(V66,'ELA Reading Logic'!$A$22:$B$48,2,FALSE)&gt;=VLOOKUP(X66,'ELA Reading Logic'!$A$22:$B$48,2,FALSE),VLOOKUP(X66,'ELA Reading Logic'!$A$22:$B$48,2,FALSE),"No Score")))),"No Value"))</f>
        <v>No Value</v>
      </c>
      <c r="Z66" s="96" t="str">
        <f>IFERROR(VLOOKUP(V66,'ELA Reading Logic'!$A$22:$B$48,2,FALSE)-VLOOKUP($F66,'ELA Reading Logic'!$A$22:$B$48,2,FALSE),"No Value")</f>
        <v>No Value</v>
      </c>
      <c r="AA66" s="92"/>
      <c r="AB66" s="96" t="str">
        <f>IFERROR(IF($E66="Yes","IPP",VLOOKUP($J66,'ELA Reading Logic'!$A$3:$K$9,VLOOKUP(AA$1,'ELA Reading Logic'!$J$22:$K$31,2,FALSE),FALSE)),"Set Grade")</f>
        <v>Set Grade</v>
      </c>
      <c r="AC66" s="96" t="str">
        <f>IFERROR(IF($E66="Yes","IPP",VLOOKUP($J66,'ELA Reading Logic'!$A$13:$K$19,VLOOKUP(AA$1,'ELA Reading Logic'!$J$22:$K$31,2,FALSE),FALSE)),"Set Grade")</f>
        <v>Set Grade</v>
      </c>
      <c r="AD66" s="96" t="str">
        <f>IF($E66="Yes","IPP",IFERROR(IF(AND(AA66&gt;AB66,AA66&lt;AC66),"0",(VLOOKUP(AA66,'ELA Reading Logic'!$A$22:$B$48,2,FALSE))-(IF(VLOOKUP(AA66,'ELA Reading Logic'!$A$22:$B$48,2,FALSE)&lt;=VLOOKUP(AB66,'ELA Reading Logic'!$A$22:$B$48,2,FALSE),VLOOKUP(AB66,'ELA Reading Logic'!$A$22:$B$48,2,FALSE),IF(VLOOKUP(AA66,'ELA Reading Logic'!$A$22:$B$48,2,FALSE)&gt;=VLOOKUP(AC66,'ELA Reading Logic'!$A$22:$B$48,2,FALSE),VLOOKUP(AC66,'ELA Reading Logic'!$A$22:$B$48,2,FALSE),"No Score")))),"No Value"))</f>
        <v>No Value</v>
      </c>
      <c r="AE66" s="96" t="str">
        <f>IFERROR(VLOOKUP(AA66,'ELA Reading Logic'!$A$22:$B$48,2,FALSE)-VLOOKUP($F66,'ELA Reading Logic'!$A$22:$B$48,2,FALSE),"No Value")</f>
        <v>No Value</v>
      </c>
      <c r="AF66" s="92"/>
      <c r="AG66" s="96" t="str">
        <f>IFERROR(IF($E66="Yes","IPP",VLOOKUP($J66,'ELA Reading Logic'!$A$3:$K$9,VLOOKUP(AF$1,'ELA Reading Logic'!$J$22:$K$31,2,FALSE),FALSE)),"Set Grade")</f>
        <v>Set Grade</v>
      </c>
      <c r="AH66" s="96" t="str">
        <f>IFERROR(IF($E66="Yes","IPP",VLOOKUP($J66,'ELA Reading Logic'!$A$13:$K$19,VLOOKUP(AF$1,'ELA Reading Logic'!$J$22:$K$31,2,FALSE),FALSE)),"Set Grade")</f>
        <v>Set Grade</v>
      </c>
      <c r="AI66" s="96" t="str">
        <f>IF($E66="Yes","IPP",IFERROR(IF(AND(AF66&gt;AG66,AF66&lt;AH66),"0",(VLOOKUP(AF66,'ELA Reading Logic'!$A$22:$B$48,2,FALSE))-(IF(VLOOKUP(AF66,'ELA Reading Logic'!$A$22:$B$48,2,FALSE)&lt;=VLOOKUP(AG66,'ELA Reading Logic'!$A$22:$B$48,2,FALSE),VLOOKUP(AG66,'ELA Reading Logic'!$A$22:$B$48,2,FALSE),IF(VLOOKUP(AF66,'ELA Reading Logic'!$A$22:$B$48,2,FALSE)&gt;=VLOOKUP(AH66,'ELA Reading Logic'!$A$22:$B$48,2,FALSE),VLOOKUP(AH66,'ELA Reading Logic'!$A$22:$B$48,2,FALSE),"No Score")))),"No Value"))</f>
        <v>No Value</v>
      </c>
      <c r="AJ66" s="96" t="str">
        <f>IFERROR(VLOOKUP(AF66,'ELA Reading Logic'!$A$22:$B$48,2,FALSE)-VLOOKUP($F66,'ELA Reading Logic'!$A$22:$B$48,2,FALSE),"No Value")</f>
        <v>No Value</v>
      </c>
      <c r="AK66" s="92"/>
      <c r="AL66" s="96" t="str">
        <f>IFERROR(IF($E66="Yes","IPP",VLOOKUP($J66,'ELA Reading Logic'!$A$3:$K$9,VLOOKUP(AK$1,'ELA Reading Logic'!$J$22:$K$31,2,FALSE),FALSE)),"Set Grade")</f>
        <v>Set Grade</v>
      </c>
      <c r="AM66" s="96" t="str">
        <f>IFERROR(IF($E66="Yes","IPP",VLOOKUP($J66,'ELA Reading Logic'!$A$13:$K$19,VLOOKUP(AK$1,'ELA Reading Logic'!$J$22:$K$31,2,FALSE),FALSE)),"Set Grade")</f>
        <v>Set Grade</v>
      </c>
      <c r="AN66" s="96" t="str">
        <f>IF($E66="Yes","IPP",IFERROR(IF(AND(AK66&gt;AL66,AK66&lt;AM66),"0",(VLOOKUP(AK66,'ELA Reading Logic'!$A$22:$B$48,2,FALSE))-(IF(VLOOKUP(AK66,'ELA Reading Logic'!$A$22:$B$48,2,FALSE)&lt;=VLOOKUP(AL66,'ELA Reading Logic'!$A$22:$B$48,2,FALSE),VLOOKUP(AL66,'ELA Reading Logic'!$A$22:$B$48,2,FALSE),IF(VLOOKUP(AK66,'ELA Reading Logic'!$A$22:$B$48,2,FALSE)&gt;=VLOOKUP(AM66,'ELA Reading Logic'!$A$22:$B$48,2,FALSE),VLOOKUP(AM66,'ELA Reading Logic'!$A$22:$B$48,2,FALSE),"No Score")))),"No Value"))</f>
        <v>No Value</v>
      </c>
      <c r="AO66" s="96" t="str">
        <f>IFERROR(VLOOKUP(AK66,'ELA Reading Logic'!$A$22:$B$48,2,FALSE)-VLOOKUP($F66,'ELA Reading Logic'!$A$22:$B$48,2,FALSE),"No Value")</f>
        <v>No Value</v>
      </c>
      <c r="AP66" s="92"/>
      <c r="AQ66" s="96" t="str">
        <f>IFERROR(IF($E66="Yes","IPP",VLOOKUP($J66,'ELA Reading Logic'!$A$3:$K$9,VLOOKUP(AP$1,'ELA Reading Logic'!$J$22:$K$31,2,FALSE),FALSE)),"Set Grade")</f>
        <v>Set Grade</v>
      </c>
      <c r="AR66" s="96" t="str">
        <f>IFERROR(IF($E66="Yes","IPP",VLOOKUP($J66,'ELA Reading Logic'!$A$13:$K$19,VLOOKUP(AP$1,'ELA Reading Logic'!$J$22:$K$31,2,FALSE),FALSE)),"Set Grade")</f>
        <v>Set Grade</v>
      </c>
      <c r="AS66" s="96" t="str">
        <f>IF($E66="Yes","IPP",IFERROR(IF(AND(AP66&gt;AQ66,AP66&lt;AR66),"0",(VLOOKUP(AP66,'ELA Reading Logic'!$A$22:$B$48,2,FALSE))-(IF(VLOOKUP(AP66,'ELA Reading Logic'!$A$22:$B$48,2,FALSE)&lt;=VLOOKUP(AQ66,'ELA Reading Logic'!$A$22:$B$48,2,FALSE),VLOOKUP(AQ66,'ELA Reading Logic'!$A$22:$B$48,2,FALSE),IF(VLOOKUP(AP66,'ELA Reading Logic'!$A$22:$B$48,2,FALSE)&gt;=VLOOKUP(AR66,'ELA Reading Logic'!$A$22:$B$48,2,FALSE),VLOOKUP(AR66,'ELA Reading Logic'!$A$22:$B$48,2,FALSE),"No Score")))),"No Value"))</f>
        <v>No Value</v>
      </c>
      <c r="AT66" s="96" t="str">
        <f>IFERROR(VLOOKUP(AP66,'ELA Reading Logic'!$A$22:$B$48,2,FALSE)-VLOOKUP($F66,'ELA Reading Logic'!$A$22:$B$48,2,FALSE),"No Value")</f>
        <v>No Value</v>
      </c>
    </row>
    <row r="67" spans="1:46" ht="22.5" customHeight="1" x14ac:dyDescent="0.25">
      <c r="A67" s="174"/>
      <c r="B67" s="174"/>
      <c r="C67" s="174"/>
      <c r="D67" s="174"/>
      <c r="E67" s="175"/>
      <c r="F67" s="175"/>
      <c r="G67" s="177" t="str">
        <f>IFERROR(IF($E67="Yes","IPP",VLOOKUP($J67,'ELA Reading Logic'!$A$3:$K$9,VLOOKUP("September",'ELA Reading Logic'!$J$22:$K$31,2,FALSE),FALSE)),"Set Grade")</f>
        <v>Set Grade</v>
      </c>
      <c r="H67" s="177" t="str">
        <f>IFERROR(IF($E67="Yes","IPP",VLOOKUP($J67,'ELA Reading Logic'!$A$13:$K$19,VLOOKUP("September",'ELA Reading Logic'!$J$22:$K$31,2,FALSE),FALSE)),"Set Grade")</f>
        <v>Set Grade</v>
      </c>
      <c r="I67" s="96" t="str">
        <f>IF($E67="Yes","IPP",IFERROR(IF(AND(F67&gt;G67,F67&lt;H67),"0",(VLOOKUP(F67,'ELA Reading Logic'!$A$22:$B$48,2,FALSE))-(IF(VLOOKUP(F67,'ELA Reading Logic'!$A$22:$B$48,2,FALSE)&lt;=VLOOKUP(G67,'ELA Reading Logic'!$A$22:$B$48,2,FALSE),VLOOKUP(G67,'ELA Reading Logic'!$A$22:$B$48,2,FALSE),IF(VLOOKUP(F67,'ELA Reading Logic'!$A$22:$B$48,2,FALSE)&gt;=VLOOKUP(H67,'ELA Reading Logic'!$A$22:$B$48,2,FALSE),VLOOKUP(H67,'ELA Reading Logic'!$A$22:$B$48,2,FALSE),"No Score")))),"No Value"))</f>
        <v>No Value</v>
      </c>
      <c r="J67" s="178"/>
      <c r="K67" s="96"/>
      <c r="L67" s="96"/>
      <c r="M67" s="96"/>
      <c r="N67" s="96"/>
      <c r="O67" s="96"/>
      <c r="P67" s="105"/>
      <c r="Q67" s="92"/>
      <c r="R67" s="96" t="str">
        <f>IFERROR(IF($E67="Yes","IPP",VLOOKUP($J67,'ELA Reading Logic'!$A$3:$K$9,VLOOKUP(Q$1,'ELA Reading Logic'!$J$22:$K$31,2,FALSE),FALSE)),"Set Grade")</f>
        <v>Set Grade</v>
      </c>
      <c r="S67" s="96" t="str">
        <f>IFERROR(IF($E67="Yes","IPP",VLOOKUP($J67,'ELA Reading Logic'!$A$13:$K$19,VLOOKUP(Q$1,'ELA Reading Logic'!$J$22:$K$31,2,FALSE),FALSE)),"Set Grade")</f>
        <v>Set Grade</v>
      </c>
      <c r="T67" s="96" t="str">
        <f>IF($E67="Yes","IPP",IFERROR(IF(AND(Q67&gt;R67,Q67&lt;S67),"0",(VLOOKUP(Q67,'ELA Reading Logic'!$A$22:$B$48,2,FALSE))-(IF(VLOOKUP(Q67,'ELA Reading Logic'!$A$22:$B$48,2,FALSE)&lt;=VLOOKUP(R67,'ELA Reading Logic'!$A$22:$B$48,2,FALSE),VLOOKUP(R67,'ELA Reading Logic'!$A$22:$B$48,2,FALSE),IF(VLOOKUP(Q67,'ELA Reading Logic'!$A$22:$B$48,2,FALSE)&gt;=VLOOKUP(S67,'ELA Reading Logic'!$A$22:$B$48,2,FALSE),VLOOKUP(S67,'ELA Reading Logic'!$A$22:$B$48,2,FALSE),"No Score")))),"No Value"))</f>
        <v>No Value</v>
      </c>
      <c r="U67" s="96" t="str">
        <f>IFERROR(VLOOKUP(Q67,'ELA Reading Logic'!$A$22:$B$48,2,FALSE)-VLOOKUP($F67,'ELA Reading Logic'!$A$22:$B$48,2,FALSE),"No Value")</f>
        <v>No Value</v>
      </c>
      <c r="V67" s="92"/>
      <c r="W67" s="96" t="str">
        <f>IFERROR(IF($E67="Yes","IPP",VLOOKUP($J67,'ELA Reading Logic'!$A$3:$K$9,VLOOKUP(V$1,'ELA Reading Logic'!$J$22:$K$31,2,FALSE),FALSE)),"Set Grade")</f>
        <v>Set Grade</v>
      </c>
      <c r="X67" s="96" t="str">
        <f>IFERROR(IF($E67="Yes","IPP",VLOOKUP($J67,'ELA Reading Logic'!$A$13:$K$19,VLOOKUP(V$1,'ELA Reading Logic'!$J$22:$K$31,2,FALSE),FALSE)),"Set Grade")</f>
        <v>Set Grade</v>
      </c>
      <c r="Y67" s="96" t="str">
        <f>IF($E67="Yes","IPP",IFERROR(IF(AND(V67&gt;W67,V67&lt;X67),"0",(VLOOKUP(V67,'ELA Reading Logic'!$A$22:$B$48,2,FALSE))-(IF(VLOOKUP(V67,'ELA Reading Logic'!$A$22:$B$48,2,FALSE)&lt;=VLOOKUP(W67,'ELA Reading Logic'!$A$22:$B$48,2,FALSE),VLOOKUP(W67,'ELA Reading Logic'!$A$22:$B$48,2,FALSE),IF(VLOOKUP(V67,'ELA Reading Logic'!$A$22:$B$48,2,FALSE)&gt;=VLOOKUP(X67,'ELA Reading Logic'!$A$22:$B$48,2,FALSE),VLOOKUP(X67,'ELA Reading Logic'!$A$22:$B$48,2,FALSE),"No Score")))),"No Value"))</f>
        <v>No Value</v>
      </c>
      <c r="Z67" s="96" t="str">
        <f>IFERROR(VLOOKUP(V67,'ELA Reading Logic'!$A$22:$B$48,2,FALSE)-VLOOKUP($F67,'ELA Reading Logic'!$A$22:$B$48,2,FALSE),"No Value")</f>
        <v>No Value</v>
      </c>
      <c r="AA67" s="92"/>
      <c r="AB67" s="96" t="str">
        <f>IFERROR(IF($E67="Yes","IPP",VLOOKUP($J67,'ELA Reading Logic'!$A$3:$K$9,VLOOKUP(AA$1,'ELA Reading Logic'!$J$22:$K$31,2,FALSE),FALSE)),"Set Grade")</f>
        <v>Set Grade</v>
      </c>
      <c r="AC67" s="96" t="str">
        <f>IFERROR(IF($E67="Yes","IPP",VLOOKUP($J67,'ELA Reading Logic'!$A$13:$K$19,VLOOKUP(AA$1,'ELA Reading Logic'!$J$22:$K$31,2,FALSE),FALSE)),"Set Grade")</f>
        <v>Set Grade</v>
      </c>
      <c r="AD67" s="96" t="str">
        <f>IF($E67="Yes","IPP",IFERROR(IF(AND(AA67&gt;AB67,AA67&lt;AC67),"0",(VLOOKUP(AA67,'ELA Reading Logic'!$A$22:$B$48,2,FALSE))-(IF(VLOOKUP(AA67,'ELA Reading Logic'!$A$22:$B$48,2,FALSE)&lt;=VLOOKUP(AB67,'ELA Reading Logic'!$A$22:$B$48,2,FALSE),VLOOKUP(AB67,'ELA Reading Logic'!$A$22:$B$48,2,FALSE),IF(VLOOKUP(AA67,'ELA Reading Logic'!$A$22:$B$48,2,FALSE)&gt;=VLOOKUP(AC67,'ELA Reading Logic'!$A$22:$B$48,2,FALSE),VLOOKUP(AC67,'ELA Reading Logic'!$A$22:$B$48,2,FALSE),"No Score")))),"No Value"))</f>
        <v>No Value</v>
      </c>
      <c r="AE67" s="96" t="str">
        <f>IFERROR(VLOOKUP(AA67,'ELA Reading Logic'!$A$22:$B$48,2,FALSE)-VLOOKUP($F67,'ELA Reading Logic'!$A$22:$B$48,2,FALSE),"No Value")</f>
        <v>No Value</v>
      </c>
      <c r="AF67" s="92"/>
      <c r="AG67" s="96" t="str">
        <f>IFERROR(IF($E67="Yes","IPP",VLOOKUP($J67,'ELA Reading Logic'!$A$3:$K$9,VLOOKUP(AF$1,'ELA Reading Logic'!$J$22:$K$31,2,FALSE),FALSE)),"Set Grade")</f>
        <v>Set Grade</v>
      </c>
      <c r="AH67" s="96" t="str">
        <f>IFERROR(IF($E67="Yes","IPP",VLOOKUP($J67,'ELA Reading Logic'!$A$13:$K$19,VLOOKUP(AF$1,'ELA Reading Logic'!$J$22:$K$31,2,FALSE),FALSE)),"Set Grade")</f>
        <v>Set Grade</v>
      </c>
      <c r="AI67" s="96" t="str">
        <f>IF($E67="Yes","IPP",IFERROR(IF(AND(AF67&gt;AG67,AF67&lt;AH67),"0",(VLOOKUP(AF67,'ELA Reading Logic'!$A$22:$B$48,2,FALSE))-(IF(VLOOKUP(AF67,'ELA Reading Logic'!$A$22:$B$48,2,FALSE)&lt;=VLOOKUP(AG67,'ELA Reading Logic'!$A$22:$B$48,2,FALSE),VLOOKUP(AG67,'ELA Reading Logic'!$A$22:$B$48,2,FALSE),IF(VLOOKUP(AF67,'ELA Reading Logic'!$A$22:$B$48,2,FALSE)&gt;=VLOOKUP(AH67,'ELA Reading Logic'!$A$22:$B$48,2,FALSE),VLOOKUP(AH67,'ELA Reading Logic'!$A$22:$B$48,2,FALSE),"No Score")))),"No Value"))</f>
        <v>No Value</v>
      </c>
      <c r="AJ67" s="96" t="str">
        <f>IFERROR(VLOOKUP(AF67,'ELA Reading Logic'!$A$22:$B$48,2,FALSE)-VLOOKUP($F67,'ELA Reading Logic'!$A$22:$B$48,2,FALSE),"No Value")</f>
        <v>No Value</v>
      </c>
      <c r="AK67" s="92"/>
      <c r="AL67" s="96" t="str">
        <f>IFERROR(IF($E67="Yes","IPP",VLOOKUP($J67,'ELA Reading Logic'!$A$3:$K$9,VLOOKUP(AK$1,'ELA Reading Logic'!$J$22:$K$31,2,FALSE),FALSE)),"Set Grade")</f>
        <v>Set Grade</v>
      </c>
      <c r="AM67" s="96" t="str">
        <f>IFERROR(IF($E67="Yes","IPP",VLOOKUP($J67,'ELA Reading Logic'!$A$13:$K$19,VLOOKUP(AK$1,'ELA Reading Logic'!$J$22:$K$31,2,FALSE),FALSE)),"Set Grade")</f>
        <v>Set Grade</v>
      </c>
      <c r="AN67" s="96" t="str">
        <f>IF($E67="Yes","IPP",IFERROR(IF(AND(AK67&gt;AL67,AK67&lt;AM67),"0",(VLOOKUP(AK67,'ELA Reading Logic'!$A$22:$B$48,2,FALSE))-(IF(VLOOKUP(AK67,'ELA Reading Logic'!$A$22:$B$48,2,FALSE)&lt;=VLOOKUP(AL67,'ELA Reading Logic'!$A$22:$B$48,2,FALSE),VLOOKUP(AL67,'ELA Reading Logic'!$A$22:$B$48,2,FALSE),IF(VLOOKUP(AK67,'ELA Reading Logic'!$A$22:$B$48,2,FALSE)&gt;=VLOOKUP(AM67,'ELA Reading Logic'!$A$22:$B$48,2,FALSE),VLOOKUP(AM67,'ELA Reading Logic'!$A$22:$B$48,2,FALSE),"No Score")))),"No Value"))</f>
        <v>No Value</v>
      </c>
      <c r="AO67" s="96" t="str">
        <f>IFERROR(VLOOKUP(AK67,'ELA Reading Logic'!$A$22:$B$48,2,FALSE)-VLOOKUP($F67,'ELA Reading Logic'!$A$22:$B$48,2,FALSE),"No Value")</f>
        <v>No Value</v>
      </c>
      <c r="AP67" s="92"/>
      <c r="AQ67" s="96" t="str">
        <f>IFERROR(IF($E67="Yes","IPP",VLOOKUP($J67,'ELA Reading Logic'!$A$3:$K$9,VLOOKUP(AP$1,'ELA Reading Logic'!$J$22:$K$31,2,FALSE),FALSE)),"Set Grade")</f>
        <v>Set Grade</v>
      </c>
      <c r="AR67" s="96" t="str">
        <f>IFERROR(IF($E67="Yes","IPP",VLOOKUP($J67,'ELA Reading Logic'!$A$13:$K$19,VLOOKUP(AP$1,'ELA Reading Logic'!$J$22:$K$31,2,FALSE),FALSE)),"Set Grade")</f>
        <v>Set Grade</v>
      </c>
      <c r="AS67" s="96" t="str">
        <f>IF($E67="Yes","IPP",IFERROR(IF(AND(AP67&gt;AQ67,AP67&lt;AR67),"0",(VLOOKUP(AP67,'ELA Reading Logic'!$A$22:$B$48,2,FALSE))-(IF(VLOOKUP(AP67,'ELA Reading Logic'!$A$22:$B$48,2,FALSE)&lt;=VLOOKUP(AQ67,'ELA Reading Logic'!$A$22:$B$48,2,FALSE),VLOOKUP(AQ67,'ELA Reading Logic'!$A$22:$B$48,2,FALSE),IF(VLOOKUP(AP67,'ELA Reading Logic'!$A$22:$B$48,2,FALSE)&gt;=VLOOKUP(AR67,'ELA Reading Logic'!$A$22:$B$48,2,FALSE),VLOOKUP(AR67,'ELA Reading Logic'!$A$22:$B$48,2,FALSE),"No Score")))),"No Value"))</f>
        <v>No Value</v>
      </c>
      <c r="AT67" s="96" t="str">
        <f>IFERROR(VLOOKUP(AP67,'ELA Reading Logic'!$A$22:$B$48,2,FALSE)-VLOOKUP($F67,'ELA Reading Logic'!$A$22:$B$48,2,FALSE),"No Value")</f>
        <v>No Value</v>
      </c>
    </row>
    <row r="68" spans="1:46" ht="22.5" customHeight="1" x14ac:dyDescent="0.25">
      <c r="A68" s="176"/>
      <c r="B68" s="176"/>
      <c r="C68" s="176"/>
      <c r="D68" s="176"/>
      <c r="E68" s="175"/>
      <c r="F68" s="175"/>
      <c r="G68" s="177" t="str">
        <f>IFERROR(IF($E68="Yes","IPP",VLOOKUP($J68,'ELA Reading Logic'!$A$3:$K$9,VLOOKUP("September",'ELA Reading Logic'!$J$22:$K$31,2,FALSE),FALSE)),"Set Grade")</f>
        <v>Set Grade</v>
      </c>
      <c r="H68" s="177" t="str">
        <f>IFERROR(IF($E68="Yes","IPP",VLOOKUP($J68,'ELA Reading Logic'!$A$13:$K$19,VLOOKUP("September",'ELA Reading Logic'!$J$22:$K$31,2,FALSE),FALSE)),"Set Grade")</f>
        <v>Set Grade</v>
      </c>
      <c r="I68" s="96" t="str">
        <f>IF($E68="Yes","IPP",IFERROR(IF(AND(F68&gt;G68,F68&lt;H68),"0",(VLOOKUP(F68,'ELA Reading Logic'!$A$22:$B$48,2,FALSE))-(IF(VLOOKUP(F68,'ELA Reading Logic'!$A$22:$B$48,2,FALSE)&lt;=VLOOKUP(G68,'ELA Reading Logic'!$A$22:$B$48,2,FALSE),VLOOKUP(G68,'ELA Reading Logic'!$A$22:$B$48,2,FALSE),IF(VLOOKUP(F68,'ELA Reading Logic'!$A$22:$B$48,2,FALSE)&gt;=VLOOKUP(H68,'ELA Reading Logic'!$A$22:$B$48,2,FALSE),VLOOKUP(H68,'ELA Reading Logic'!$A$22:$B$48,2,FALSE),"No Score")))),"No Value"))</f>
        <v>No Value</v>
      </c>
      <c r="J68" s="178"/>
      <c r="K68" s="96"/>
      <c r="L68" s="96"/>
      <c r="M68" s="96"/>
      <c r="N68" s="96"/>
      <c r="O68" s="96"/>
      <c r="P68" s="105"/>
      <c r="Q68" s="92"/>
      <c r="R68" s="96" t="str">
        <f>IFERROR(IF($E68="Yes","IPP",VLOOKUP($J68,'ELA Reading Logic'!$A$3:$K$9,VLOOKUP(Q$1,'ELA Reading Logic'!$J$22:$K$31,2,FALSE),FALSE)),"Set Grade")</f>
        <v>Set Grade</v>
      </c>
      <c r="S68" s="96" t="str">
        <f>IFERROR(IF($E68="Yes","IPP",VLOOKUP($J68,'ELA Reading Logic'!$A$13:$K$19,VLOOKUP(Q$1,'ELA Reading Logic'!$J$22:$K$31,2,FALSE),FALSE)),"Set Grade")</f>
        <v>Set Grade</v>
      </c>
      <c r="T68" s="96" t="str">
        <f>IF($E68="Yes","IPP",IFERROR(IF(AND(Q68&gt;R68,Q68&lt;S68),"0",(VLOOKUP(Q68,'ELA Reading Logic'!$A$22:$B$48,2,FALSE))-(IF(VLOOKUP(Q68,'ELA Reading Logic'!$A$22:$B$48,2,FALSE)&lt;=VLOOKUP(R68,'ELA Reading Logic'!$A$22:$B$48,2,FALSE),VLOOKUP(R68,'ELA Reading Logic'!$A$22:$B$48,2,FALSE),IF(VLOOKUP(Q68,'ELA Reading Logic'!$A$22:$B$48,2,FALSE)&gt;=VLOOKUP(S68,'ELA Reading Logic'!$A$22:$B$48,2,FALSE),VLOOKUP(S68,'ELA Reading Logic'!$A$22:$B$48,2,FALSE),"No Score")))),"No Value"))</f>
        <v>No Value</v>
      </c>
      <c r="U68" s="96" t="str">
        <f>IFERROR(VLOOKUP(Q68,'ELA Reading Logic'!$A$22:$B$48,2,FALSE)-VLOOKUP($F68,'ELA Reading Logic'!$A$22:$B$48,2,FALSE),"No Value")</f>
        <v>No Value</v>
      </c>
      <c r="V68" s="92"/>
      <c r="W68" s="96" t="str">
        <f>IFERROR(IF($E68="Yes","IPP",VLOOKUP($J68,'ELA Reading Logic'!$A$3:$K$9,VLOOKUP(V$1,'ELA Reading Logic'!$J$22:$K$31,2,FALSE),FALSE)),"Set Grade")</f>
        <v>Set Grade</v>
      </c>
      <c r="X68" s="96" t="str">
        <f>IFERROR(IF($E68="Yes","IPP",VLOOKUP($J68,'ELA Reading Logic'!$A$13:$K$19,VLOOKUP(V$1,'ELA Reading Logic'!$J$22:$K$31,2,FALSE),FALSE)),"Set Grade")</f>
        <v>Set Grade</v>
      </c>
      <c r="Y68" s="96" t="str">
        <f>IF($E68="Yes","IPP",IFERROR(IF(AND(V68&gt;W68,V68&lt;X68),"0",(VLOOKUP(V68,'ELA Reading Logic'!$A$22:$B$48,2,FALSE))-(IF(VLOOKUP(V68,'ELA Reading Logic'!$A$22:$B$48,2,FALSE)&lt;=VLOOKUP(W68,'ELA Reading Logic'!$A$22:$B$48,2,FALSE),VLOOKUP(W68,'ELA Reading Logic'!$A$22:$B$48,2,FALSE),IF(VLOOKUP(V68,'ELA Reading Logic'!$A$22:$B$48,2,FALSE)&gt;=VLOOKUP(X68,'ELA Reading Logic'!$A$22:$B$48,2,FALSE),VLOOKUP(X68,'ELA Reading Logic'!$A$22:$B$48,2,FALSE),"No Score")))),"No Value"))</f>
        <v>No Value</v>
      </c>
      <c r="Z68" s="96" t="str">
        <f>IFERROR(VLOOKUP(V68,'ELA Reading Logic'!$A$22:$B$48,2,FALSE)-VLOOKUP($F68,'ELA Reading Logic'!$A$22:$B$48,2,FALSE),"No Value")</f>
        <v>No Value</v>
      </c>
      <c r="AA68" s="92"/>
      <c r="AB68" s="96" t="str">
        <f>IFERROR(IF($E68="Yes","IPP",VLOOKUP($J68,'ELA Reading Logic'!$A$3:$K$9,VLOOKUP(AA$1,'ELA Reading Logic'!$J$22:$K$31,2,FALSE),FALSE)),"Set Grade")</f>
        <v>Set Grade</v>
      </c>
      <c r="AC68" s="96" t="str">
        <f>IFERROR(IF($E68="Yes","IPP",VLOOKUP($J68,'ELA Reading Logic'!$A$13:$K$19,VLOOKUP(AA$1,'ELA Reading Logic'!$J$22:$K$31,2,FALSE),FALSE)),"Set Grade")</f>
        <v>Set Grade</v>
      </c>
      <c r="AD68" s="96" t="str">
        <f>IF($E68="Yes","IPP",IFERROR(IF(AND(AA68&gt;AB68,AA68&lt;AC68),"0",(VLOOKUP(AA68,'ELA Reading Logic'!$A$22:$B$48,2,FALSE))-(IF(VLOOKUP(AA68,'ELA Reading Logic'!$A$22:$B$48,2,FALSE)&lt;=VLOOKUP(AB68,'ELA Reading Logic'!$A$22:$B$48,2,FALSE),VLOOKUP(AB68,'ELA Reading Logic'!$A$22:$B$48,2,FALSE),IF(VLOOKUP(AA68,'ELA Reading Logic'!$A$22:$B$48,2,FALSE)&gt;=VLOOKUP(AC68,'ELA Reading Logic'!$A$22:$B$48,2,FALSE),VLOOKUP(AC68,'ELA Reading Logic'!$A$22:$B$48,2,FALSE),"No Score")))),"No Value"))</f>
        <v>No Value</v>
      </c>
      <c r="AE68" s="96" t="str">
        <f>IFERROR(VLOOKUP(AA68,'ELA Reading Logic'!$A$22:$B$48,2,FALSE)-VLOOKUP($F68,'ELA Reading Logic'!$A$22:$B$48,2,FALSE),"No Value")</f>
        <v>No Value</v>
      </c>
      <c r="AF68" s="92"/>
      <c r="AG68" s="96" t="str">
        <f>IFERROR(IF($E68="Yes","IPP",VLOOKUP($J68,'ELA Reading Logic'!$A$3:$K$9,VLOOKUP(AF$1,'ELA Reading Logic'!$J$22:$K$31,2,FALSE),FALSE)),"Set Grade")</f>
        <v>Set Grade</v>
      </c>
      <c r="AH68" s="96" t="str">
        <f>IFERROR(IF($E68="Yes","IPP",VLOOKUP($J68,'ELA Reading Logic'!$A$13:$K$19,VLOOKUP(AF$1,'ELA Reading Logic'!$J$22:$K$31,2,FALSE),FALSE)),"Set Grade")</f>
        <v>Set Grade</v>
      </c>
      <c r="AI68" s="96" t="str">
        <f>IF($E68="Yes","IPP",IFERROR(IF(AND(AF68&gt;AG68,AF68&lt;AH68),"0",(VLOOKUP(AF68,'ELA Reading Logic'!$A$22:$B$48,2,FALSE))-(IF(VLOOKUP(AF68,'ELA Reading Logic'!$A$22:$B$48,2,FALSE)&lt;=VLOOKUP(AG68,'ELA Reading Logic'!$A$22:$B$48,2,FALSE),VLOOKUP(AG68,'ELA Reading Logic'!$A$22:$B$48,2,FALSE),IF(VLOOKUP(AF68,'ELA Reading Logic'!$A$22:$B$48,2,FALSE)&gt;=VLOOKUP(AH68,'ELA Reading Logic'!$A$22:$B$48,2,FALSE),VLOOKUP(AH68,'ELA Reading Logic'!$A$22:$B$48,2,FALSE),"No Score")))),"No Value"))</f>
        <v>No Value</v>
      </c>
      <c r="AJ68" s="96" t="str">
        <f>IFERROR(VLOOKUP(AF68,'ELA Reading Logic'!$A$22:$B$48,2,FALSE)-VLOOKUP($F68,'ELA Reading Logic'!$A$22:$B$48,2,FALSE),"No Value")</f>
        <v>No Value</v>
      </c>
      <c r="AK68" s="92"/>
      <c r="AL68" s="96" t="str">
        <f>IFERROR(IF($E68="Yes","IPP",VLOOKUP($J68,'ELA Reading Logic'!$A$3:$K$9,VLOOKUP(AK$1,'ELA Reading Logic'!$J$22:$K$31,2,FALSE),FALSE)),"Set Grade")</f>
        <v>Set Grade</v>
      </c>
      <c r="AM68" s="96" t="str">
        <f>IFERROR(IF($E68="Yes","IPP",VLOOKUP($J68,'ELA Reading Logic'!$A$13:$K$19,VLOOKUP(AK$1,'ELA Reading Logic'!$J$22:$K$31,2,FALSE),FALSE)),"Set Grade")</f>
        <v>Set Grade</v>
      </c>
      <c r="AN68" s="96" t="str">
        <f>IF($E68="Yes","IPP",IFERROR(IF(AND(AK68&gt;AL68,AK68&lt;AM68),"0",(VLOOKUP(AK68,'ELA Reading Logic'!$A$22:$B$48,2,FALSE))-(IF(VLOOKUP(AK68,'ELA Reading Logic'!$A$22:$B$48,2,FALSE)&lt;=VLOOKUP(AL68,'ELA Reading Logic'!$A$22:$B$48,2,FALSE),VLOOKUP(AL68,'ELA Reading Logic'!$A$22:$B$48,2,FALSE),IF(VLOOKUP(AK68,'ELA Reading Logic'!$A$22:$B$48,2,FALSE)&gt;=VLOOKUP(AM68,'ELA Reading Logic'!$A$22:$B$48,2,FALSE),VLOOKUP(AM68,'ELA Reading Logic'!$A$22:$B$48,2,FALSE),"No Score")))),"No Value"))</f>
        <v>No Value</v>
      </c>
      <c r="AO68" s="96" t="str">
        <f>IFERROR(VLOOKUP(AK68,'ELA Reading Logic'!$A$22:$B$48,2,FALSE)-VLOOKUP($F68,'ELA Reading Logic'!$A$22:$B$48,2,FALSE),"No Value")</f>
        <v>No Value</v>
      </c>
      <c r="AP68" s="92"/>
      <c r="AQ68" s="96" t="str">
        <f>IFERROR(IF($E68="Yes","IPP",VLOOKUP($J68,'ELA Reading Logic'!$A$3:$K$9,VLOOKUP(AP$1,'ELA Reading Logic'!$J$22:$K$31,2,FALSE),FALSE)),"Set Grade")</f>
        <v>Set Grade</v>
      </c>
      <c r="AR68" s="96" t="str">
        <f>IFERROR(IF($E68="Yes","IPP",VLOOKUP($J68,'ELA Reading Logic'!$A$13:$K$19,VLOOKUP(AP$1,'ELA Reading Logic'!$J$22:$K$31,2,FALSE),FALSE)),"Set Grade")</f>
        <v>Set Grade</v>
      </c>
      <c r="AS68" s="96" t="str">
        <f>IF($E68="Yes","IPP",IFERROR(IF(AND(AP68&gt;AQ68,AP68&lt;AR68),"0",(VLOOKUP(AP68,'ELA Reading Logic'!$A$22:$B$48,2,FALSE))-(IF(VLOOKUP(AP68,'ELA Reading Logic'!$A$22:$B$48,2,FALSE)&lt;=VLOOKUP(AQ68,'ELA Reading Logic'!$A$22:$B$48,2,FALSE),VLOOKUP(AQ68,'ELA Reading Logic'!$A$22:$B$48,2,FALSE),IF(VLOOKUP(AP68,'ELA Reading Logic'!$A$22:$B$48,2,FALSE)&gt;=VLOOKUP(AR68,'ELA Reading Logic'!$A$22:$B$48,2,FALSE),VLOOKUP(AR68,'ELA Reading Logic'!$A$22:$B$48,2,FALSE),"No Score")))),"No Value"))</f>
        <v>No Value</v>
      </c>
      <c r="AT68" s="96" t="str">
        <f>IFERROR(VLOOKUP(AP68,'ELA Reading Logic'!$A$22:$B$48,2,FALSE)-VLOOKUP($F68,'ELA Reading Logic'!$A$22:$B$48,2,FALSE),"No Value")</f>
        <v>No Value</v>
      </c>
    </row>
    <row r="69" spans="1:46" ht="22.5" customHeight="1" x14ac:dyDescent="0.25">
      <c r="A69" s="174"/>
      <c r="B69" s="174"/>
      <c r="C69" s="174"/>
      <c r="D69" s="174"/>
      <c r="E69" s="175"/>
      <c r="F69" s="175"/>
      <c r="G69" s="177" t="str">
        <f>IFERROR(IF($E69="Yes","IPP",VLOOKUP($J69,'ELA Reading Logic'!$A$3:$K$9,VLOOKUP("September",'ELA Reading Logic'!$J$22:$K$31,2,FALSE),FALSE)),"Set Grade")</f>
        <v>Set Grade</v>
      </c>
      <c r="H69" s="177" t="str">
        <f>IFERROR(IF($E69="Yes","IPP",VLOOKUP($J69,'ELA Reading Logic'!$A$13:$K$19,VLOOKUP("September",'ELA Reading Logic'!$J$22:$K$31,2,FALSE),FALSE)),"Set Grade")</f>
        <v>Set Grade</v>
      </c>
      <c r="I69" s="96" t="str">
        <f>IF($E69="Yes","IPP",IFERROR(IF(AND(F69&gt;G69,F69&lt;H69),"0",(VLOOKUP(F69,'ELA Reading Logic'!$A$22:$B$48,2,FALSE))-(IF(VLOOKUP(F69,'ELA Reading Logic'!$A$22:$B$48,2,FALSE)&lt;=VLOOKUP(G69,'ELA Reading Logic'!$A$22:$B$48,2,FALSE),VLOOKUP(G69,'ELA Reading Logic'!$A$22:$B$48,2,FALSE),IF(VLOOKUP(F69,'ELA Reading Logic'!$A$22:$B$48,2,FALSE)&gt;=VLOOKUP(H69,'ELA Reading Logic'!$A$22:$B$48,2,FALSE),VLOOKUP(H69,'ELA Reading Logic'!$A$22:$B$48,2,FALSE),"No Score")))),"No Value"))</f>
        <v>No Value</v>
      </c>
      <c r="J69" s="178"/>
      <c r="K69" s="96"/>
      <c r="L69" s="96"/>
      <c r="M69" s="96"/>
      <c r="N69" s="96"/>
      <c r="O69" s="96"/>
      <c r="P69" s="105"/>
      <c r="Q69" s="92"/>
      <c r="R69" s="96" t="str">
        <f>IFERROR(IF($E69="Yes","IPP",VLOOKUP($J69,'ELA Reading Logic'!$A$3:$K$9,VLOOKUP(Q$1,'ELA Reading Logic'!$J$22:$K$31,2,FALSE),FALSE)),"Set Grade")</f>
        <v>Set Grade</v>
      </c>
      <c r="S69" s="96" t="str">
        <f>IFERROR(IF($E69="Yes","IPP",VLOOKUP($J69,'ELA Reading Logic'!$A$13:$K$19,VLOOKUP(Q$1,'ELA Reading Logic'!$J$22:$K$31,2,FALSE),FALSE)),"Set Grade")</f>
        <v>Set Grade</v>
      </c>
      <c r="T69" s="96" t="str">
        <f>IF($E69="Yes","IPP",IFERROR(IF(AND(Q69&gt;R69,Q69&lt;S69),"0",(VLOOKUP(Q69,'ELA Reading Logic'!$A$22:$B$48,2,FALSE))-(IF(VLOOKUP(Q69,'ELA Reading Logic'!$A$22:$B$48,2,FALSE)&lt;=VLOOKUP(R69,'ELA Reading Logic'!$A$22:$B$48,2,FALSE),VLOOKUP(R69,'ELA Reading Logic'!$A$22:$B$48,2,FALSE),IF(VLOOKUP(Q69,'ELA Reading Logic'!$A$22:$B$48,2,FALSE)&gt;=VLOOKUP(S69,'ELA Reading Logic'!$A$22:$B$48,2,FALSE),VLOOKUP(S69,'ELA Reading Logic'!$A$22:$B$48,2,FALSE),"No Score")))),"No Value"))</f>
        <v>No Value</v>
      </c>
      <c r="U69" s="96" t="str">
        <f>IFERROR(VLOOKUP(Q69,'ELA Reading Logic'!$A$22:$B$48,2,FALSE)-VLOOKUP($F69,'ELA Reading Logic'!$A$22:$B$48,2,FALSE),"No Value")</f>
        <v>No Value</v>
      </c>
      <c r="V69" s="92"/>
      <c r="W69" s="96" t="str">
        <f>IFERROR(IF($E69="Yes","IPP",VLOOKUP($J69,'ELA Reading Logic'!$A$3:$K$9,VLOOKUP(V$1,'ELA Reading Logic'!$J$22:$K$31,2,FALSE),FALSE)),"Set Grade")</f>
        <v>Set Grade</v>
      </c>
      <c r="X69" s="96" t="str">
        <f>IFERROR(IF($E69="Yes","IPP",VLOOKUP($J69,'ELA Reading Logic'!$A$13:$K$19,VLOOKUP(V$1,'ELA Reading Logic'!$J$22:$K$31,2,FALSE),FALSE)),"Set Grade")</f>
        <v>Set Grade</v>
      </c>
      <c r="Y69" s="96" t="str">
        <f>IF($E69="Yes","IPP",IFERROR(IF(AND(V69&gt;W69,V69&lt;X69),"0",(VLOOKUP(V69,'ELA Reading Logic'!$A$22:$B$48,2,FALSE))-(IF(VLOOKUP(V69,'ELA Reading Logic'!$A$22:$B$48,2,FALSE)&lt;=VLOOKUP(W69,'ELA Reading Logic'!$A$22:$B$48,2,FALSE),VLOOKUP(W69,'ELA Reading Logic'!$A$22:$B$48,2,FALSE),IF(VLOOKUP(V69,'ELA Reading Logic'!$A$22:$B$48,2,FALSE)&gt;=VLOOKUP(X69,'ELA Reading Logic'!$A$22:$B$48,2,FALSE),VLOOKUP(X69,'ELA Reading Logic'!$A$22:$B$48,2,FALSE),"No Score")))),"No Value"))</f>
        <v>No Value</v>
      </c>
      <c r="Z69" s="96" t="str">
        <f>IFERROR(VLOOKUP(V69,'ELA Reading Logic'!$A$22:$B$48,2,FALSE)-VLOOKUP($F69,'ELA Reading Logic'!$A$22:$B$48,2,FALSE),"No Value")</f>
        <v>No Value</v>
      </c>
      <c r="AA69" s="92"/>
      <c r="AB69" s="96" t="str">
        <f>IFERROR(IF($E69="Yes","IPP",VLOOKUP($J69,'ELA Reading Logic'!$A$3:$K$9,VLOOKUP(AA$1,'ELA Reading Logic'!$J$22:$K$31,2,FALSE),FALSE)),"Set Grade")</f>
        <v>Set Grade</v>
      </c>
      <c r="AC69" s="96" t="str">
        <f>IFERROR(IF($E69="Yes","IPP",VLOOKUP($J69,'ELA Reading Logic'!$A$13:$K$19,VLOOKUP(AA$1,'ELA Reading Logic'!$J$22:$K$31,2,FALSE),FALSE)),"Set Grade")</f>
        <v>Set Grade</v>
      </c>
      <c r="AD69" s="96" t="str">
        <f>IF($E69="Yes","IPP",IFERROR(IF(AND(AA69&gt;AB69,AA69&lt;AC69),"0",(VLOOKUP(AA69,'ELA Reading Logic'!$A$22:$B$48,2,FALSE))-(IF(VLOOKUP(AA69,'ELA Reading Logic'!$A$22:$B$48,2,FALSE)&lt;=VLOOKUP(AB69,'ELA Reading Logic'!$A$22:$B$48,2,FALSE),VLOOKUP(AB69,'ELA Reading Logic'!$A$22:$B$48,2,FALSE),IF(VLOOKUP(AA69,'ELA Reading Logic'!$A$22:$B$48,2,FALSE)&gt;=VLOOKUP(AC69,'ELA Reading Logic'!$A$22:$B$48,2,FALSE),VLOOKUP(AC69,'ELA Reading Logic'!$A$22:$B$48,2,FALSE),"No Score")))),"No Value"))</f>
        <v>No Value</v>
      </c>
      <c r="AE69" s="96" t="str">
        <f>IFERROR(VLOOKUP(AA69,'ELA Reading Logic'!$A$22:$B$48,2,FALSE)-VLOOKUP($F69,'ELA Reading Logic'!$A$22:$B$48,2,FALSE),"No Value")</f>
        <v>No Value</v>
      </c>
      <c r="AF69" s="92"/>
      <c r="AG69" s="96" t="str">
        <f>IFERROR(IF($E69="Yes","IPP",VLOOKUP($J69,'ELA Reading Logic'!$A$3:$K$9,VLOOKUP(AF$1,'ELA Reading Logic'!$J$22:$K$31,2,FALSE),FALSE)),"Set Grade")</f>
        <v>Set Grade</v>
      </c>
      <c r="AH69" s="96" t="str">
        <f>IFERROR(IF($E69="Yes","IPP",VLOOKUP($J69,'ELA Reading Logic'!$A$13:$K$19,VLOOKUP(AF$1,'ELA Reading Logic'!$J$22:$K$31,2,FALSE),FALSE)),"Set Grade")</f>
        <v>Set Grade</v>
      </c>
      <c r="AI69" s="96" t="str">
        <f>IF($E69="Yes","IPP",IFERROR(IF(AND(AF69&gt;AG69,AF69&lt;AH69),"0",(VLOOKUP(AF69,'ELA Reading Logic'!$A$22:$B$48,2,FALSE))-(IF(VLOOKUP(AF69,'ELA Reading Logic'!$A$22:$B$48,2,FALSE)&lt;=VLOOKUP(AG69,'ELA Reading Logic'!$A$22:$B$48,2,FALSE),VLOOKUP(AG69,'ELA Reading Logic'!$A$22:$B$48,2,FALSE),IF(VLOOKUP(AF69,'ELA Reading Logic'!$A$22:$B$48,2,FALSE)&gt;=VLOOKUP(AH69,'ELA Reading Logic'!$A$22:$B$48,2,FALSE),VLOOKUP(AH69,'ELA Reading Logic'!$A$22:$B$48,2,FALSE),"No Score")))),"No Value"))</f>
        <v>No Value</v>
      </c>
      <c r="AJ69" s="96" t="str">
        <f>IFERROR(VLOOKUP(AF69,'ELA Reading Logic'!$A$22:$B$48,2,FALSE)-VLOOKUP($F69,'ELA Reading Logic'!$A$22:$B$48,2,FALSE),"No Value")</f>
        <v>No Value</v>
      </c>
      <c r="AK69" s="92"/>
      <c r="AL69" s="96" t="str">
        <f>IFERROR(IF($E69="Yes","IPP",VLOOKUP($J69,'ELA Reading Logic'!$A$3:$K$9,VLOOKUP(AK$1,'ELA Reading Logic'!$J$22:$K$31,2,FALSE),FALSE)),"Set Grade")</f>
        <v>Set Grade</v>
      </c>
      <c r="AM69" s="96" t="str">
        <f>IFERROR(IF($E69="Yes","IPP",VLOOKUP($J69,'ELA Reading Logic'!$A$13:$K$19,VLOOKUP(AK$1,'ELA Reading Logic'!$J$22:$K$31,2,FALSE),FALSE)),"Set Grade")</f>
        <v>Set Grade</v>
      </c>
      <c r="AN69" s="96" t="str">
        <f>IF($E69="Yes","IPP",IFERROR(IF(AND(AK69&gt;AL69,AK69&lt;AM69),"0",(VLOOKUP(AK69,'ELA Reading Logic'!$A$22:$B$48,2,FALSE))-(IF(VLOOKUP(AK69,'ELA Reading Logic'!$A$22:$B$48,2,FALSE)&lt;=VLOOKUP(AL69,'ELA Reading Logic'!$A$22:$B$48,2,FALSE),VLOOKUP(AL69,'ELA Reading Logic'!$A$22:$B$48,2,FALSE),IF(VLOOKUP(AK69,'ELA Reading Logic'!$A$22:$B$48,2,FALSE)&gt;=VLOOKUP(AM69,'ELA Reading Logic'!$A$22:$B$48,2,FALSE),VLOOKUP(AM69,'ELA Reading Logic'!$A$22:$B$48,2,FALSE),"No Score")))),"No Value"))</f>
        <v>No Value</v>
      </c>
      <c r="AO69" s="96" t="str">
        <f>IFERROR(VLOOKUP(AK69,'ELA Reading Logic'!$A$22:$B$48,2,FALSE)-VLOOKUP($F69,'ELA Reading Logic'!$A$22:$B$48,2,FALSE),"No Value")</f>
        <v>No Value</v>
      </c>
      <c r="AP69" s="92"/>
      <c r="AQ69" s="96" t="str">
        <f>IFERROR(IF($E69="Yes","IPP",VLOOKUP($J69,'ELA Reading Logic'!$A$3:$K$9,VLOOKUP(AP$1,'ELA Reading Logic'!$J$22:$K$31,2,FALSE),FALSE)),"Set Grade")</f>
        <v>Set Grade</v>
      </c>
      <c r="AR69" s="96" t="str">
        <f>IFERROR(IF($E69="Yes","IPP",VLOOKUP($J69,'ELA Reading Logic'!$A$13:$K$19,VLOOKUP(AP$1,'ELA Reading Logic'!$J$22:$K$31,2,FALSE),FALSE)),"Set Grade")</f>
        <v>Set Grade</v>
      </c>
      <c r="AS69" s="96" t="str">
        <f>IF($E69="Yes","IPP",IFERROR(IF(AND(AP69&gt;AQ69,AP69&lt;AR69),"0",(VLOOKUP(AP69,'ELA Reading Logic'!$A$22:$B$48,2,FALSE))-(IF(VLOOKUP(AP69,'ELA Reading Logic'!$A$22:$B$48,2,FALSE)&lt;=VLOOKUP(AQ69,'ELA Reading Logic'!$A$22:$B$48,2,FALSE),VLOOKUP(AQ69,'ELA Reading Logic'!$A$22:$B$48,2,FALSE),IF(VLOOKUP(AP69,'ELA Reading Logic'!$A$22:$B$48,2,FALSE)&gt;=VLOOKUP(AR69,'ELA Reading Logic'!$A$22:$B$48,2,FALSE),VLOOKUP(AR69,'ELA Reading Logic'!$A$22:$B$48,2,FALSE),"No Score")))),"No Value"))</f>
        <v>No Value</v>
      </c>
      <c r="AT69" s="96" t="str">
        <f>IFERROR(VLOOKUP(AP69,'ELA Reading Logic'!$A$22:$B$48,2,FALSE)-VLOOKUP($F69,'ELA Reading Logic'!$A$22:$B$48,2,FALSE),"No Value")</f>
        <v>No Value</v>
      </c>
    </row>
    <row r="70" spans="1:46" ht="22.5" customHeight="1" x14ac:dyDescent="0.25">
      <c r="A70" s="176"/>
      <c r="B70" s="176"/>
      <c r="C70" s="176"/>
      <c r="D70" s="176"/>
      <c r="E70" s="175"/>
      <c r="F70" s="175"/>
      <c r="G70" s="177" t="str">
        <f>IFERROR(IF($E70="Yes","IPP",VLOOKUP($J70,'ELA Reading Logic'!$A$3:$K$9,VLOOKUP("September",'ELA Reading Logic'!$J$22:$K$31,2,FALSE),FALSE)),"Set Grade")</f>
        <v>Set Grade</v>
      </c>
      <c r="H70" s="177" t="str">
        <f>IFERROR(IF($E70="Yes","IPP",VLOOKUP($J70,'ELA Reading Logic'!$A$13:$K$19,VLOOKUP("September",'ELA Reading Logic'!$J$22:$K$31,2,FALSE),FALSE)),"Set Grade")</f>
        <v>Set Grade</v>
      </c>
      <c r="I70" s="96" t="str">
        <f>IF($E70="Yes","IPP",IFERROR(IF(AND(F70&gt;G70,F70&lt;H70),"0",(VLOOKUP(F70,'ELA Reading Logic'!$A$22:$B$48,2,FALSE))-(IF(VLOOKUP(F70,'ELA Reading Logic'!$A$22:$B$48,2,FALSE)&lt;=VLOOKUP(G70,'ELA Reading Logic'!$A$22:$B$48,2,FALSE),VLOOKUP(G70,'ELA Reading Logic'!$A$22:$B$48,2,FALSE),IF(VLOOKUP(F70,'ELA Reading Logic'!$A$22:$B$48,2,FALSE)&gt;=VLOOKUP(H70,'ELA Reading Logic'!$A$22:$B$48,2,FALSE),VLOOKUP(H70,'ELA Reading Logic'!$A$22:$B$48,2,FALSE),"No Score")))),"No Value"))</f>
        <v>No Value</v>
      </c>
      <c r="J70" s="178"/>
      <c r="K70" s="96"/>
      <c r="L70" s="96"/>
      <c r="M70" s="96"/>
      <c r="N70" s="96"/>
      <c r="O70" s="96"/>
      <c r="P70" s="105"/>
      <c r="Q70" s="92"/>
      <c r="R70" s="96" t="str">
        <f>IFERROR(IF($E70="Yes","IPP",VLOOKUP($J70,'ELA Reading Logic'!$A$3:$K$9,VLOOKUP(Q$1,'ELA Reading Logic'!$J$22:$K$31,2,FALSE),FALSE)),"Set Grade")</f>
        <v>Set Grade</v>
      </c>
      <c r="S70" s="96" t="str">
        <f>IFERROR(IF($E70="Yes","IPP",VLOOKUP($J70,'ELA Reading Logic'!$A$13:$K$19,VLOOKUP(Q$1,'ELA Reading Logic'!$J$22:$K$31,2,FALSE),FALSE)),"Set Grade")</f>
        <v>Set Grade</v>
      </c>
      <c r="T70" s="96" t="str">
        <f>IF($E70="Yes","IPP",IFERROR(IF(AND(Q70&gt;R70,Q70&lt;S70),"0",(VLOOKUP(Q70,'ELA Reading Logic'!$A$22:$B$48,2,FALSE))-(IF(VLOOKUP(Q70,'ELA Reading Logic'!$A$22:$B$48,2,FALSE)&lt;=VLOOKUP(R70,'ELA Reading Logic'!$A$22:$B$48,2,FALSE),VLOOKUP(R70,'ELA Reading Logic'!$A$22:$B$48,2,FALSE),IF(VLOOKUP(Q70,'ELA Reading Logic'!$A$22:$B$48,2,FALSE)&gt;=VLOOKUP(S70,'ELA Reading Logic'!$A$22:$B$48,2,FALSE),VLOOKUP(S70,'ELA Reading Logic'!$A$22:$B$48,2,FALSE),"No Score")))),"No Value"))</f>
        <v>No Value</v>
      </c>
      <c r="U70" s="96" t="str">
        <f>IFERROR(VLOOKUP(Q70,'ELA Reading Logic'!$A$22:$B$48,2,FALSE)-VLOOKUP($F70,'ELA Reading Logic'!$A$22:$B$48,2,FALSE),"No Value")</f>
        <v>No Value</v>
      </c>
      <c r="V70" s="92"/>
      <c r="W70" s="96" t="str">
        <f>IFERROR(IF($E70="Yes","IPP",VLOOKUP($J70,'ELA Reading Logic'!$A$3:$K$9,VLOOKUP(V$1,'ELA Reading Logic'!$J$22:$K$31,2,FALSE),FALSE)),"Set Grade")</f>
        <v>Set Grade</v>
      </c>
      <c r="X70" s="96" t="str">
        <f>IFERROR(IF($E70="Yes","IPP",VLOOKUP($J70,'ELA Reading Logic'!$A$13:$K$19,VLOOKUP(V$1,'ELA Reading Logic'!$J$22:$K$31,2,FALSE),FALSE)),"Set Grade")</f>
        <v>Set Grade</v>
      </c>
      <c r="Y70" s="96" t="str">
        <f>IF($E70="Yes","IPP",IFERROR(IF(AND(V70&gt;W70,V70&lt;X70),"0",(VLOOKUP(V70,'ELA Reading Logic'!$A$22:$B$48,2,FALSE))-(IF(VLOOKUP(V70,'ELA Reading Logic'!$A$22:$B$48,2,FALSE)&lt;=VLOOKUP(W70,'ELA Reading Logic'!$A$22:$B$48,2,FALSE),VLOOKUP(W70,'ELA Reading Logic'!$A$22:$B$48,2,FALSE),IF(VLOOKUP(V70,'ELA Reading Logic'!$A$22:$B$48,2,FALSE)&gt;=VLOOKUP(X70,'ELA Reading Logic'!$A$22:$B$48,2,FALSE),VLOOKUP(X70,'ELA Reading Logic'!$A$22:$B$48,2,FALSE),"No Score")))),"No Value"))</f>
        <v>No Value</v>
      </c>
      <c r="Z70" s="96" t="str">
        <f>IFERROR(VLOOKUP(V70,'ELA Reading Logic'!$A$22:$B$48,2,FALSE)-VLOOKUP($F70,'ELA Reading Logic'!$A$22:$B$48,2,FALSE),"No Value")</f>
        <v>No Value</v>
      </c>
      <c r="AA70" s="92"/>
      <c r="AB70" s="96" t="str">
        <f>IFERROR(IF($E70="Yes","IPP",VLOOKUP($J70,'ELA Reading Logic'!$A$3:$K$9,VLOOKUP(AA$1,'ELA Reading Logic'!$J$22:$K$31,2,FALSE),FALSE)),"Set Grade")</f>
        <v>Set Grade</v>
      </c>
      <c r="AC70" s="96" t="str">
        <f>IFERROR(IF($E70="Yes","IPP",VLOOKUP($J70,'ELA Reading Logic'!$A$13:$K$19,VLOOKUP(AA$1,'ELA Reading Logic'!$J$22:$K$31,2,FALSE),FALSE)),"Set Grade")</f>
        <v>Set Grade</v>
      </c>
      <c r="AD70" s="96" t="str">
        <f>IF($E70="Yes","IPP",IFERROR(IF(AND(AA70&gt;AB70,AA70&lt;AC70),"0",(VLOOKUP(AA70,'ELA Reading Logic'!$A$22:$B$48,2,FALSE))-(IF(VLOOKUP(AA70,'ELA Reading Logic'!$A$22:$B$48,2,FALSE)&lt;=VLOOKUP(AB70,'ELA Reading Logic'!$A$22:$B$48,2,FALSE),VLOOKUP(AB70,'ELA Reading Logic'!$A$22:$B$48,2,FALSE),IF(VLOOKUP(AA70,'ELA Reading Logic'!$A$22:$B$48,2,FALSE)&gt;=VLOOKUP(AC70,'ELA Reading Logic'!$A$22:$B$48,2,FALSE),VLOOKUP(AC70,'ELA Reading Logic'!$A$22:$B$48,2,FALSE),"No Score")))),"No Value"))</f>
        <v>No Value</v>
      </c>
      <c r="AE70" s="96" t="str">
        <f>IFERROR(VLOOKUP(AA70,'ELA Reading Logic'!$A$22:$B$48,2,FALSE)-VLOOKUP($F70,'ELA Reading Logic'!$A$22:$B$48,2,FALSE),"No Value")</f>
        <v>No Value</v>
      </c>
      <c r="AF70" s="92"/>
      <c r="AG70" s="96" t="str">
        <f>IFERROR(IF($E70="Yes","IPP",VLOOKUP($J70,'ELA Reading Logic'!$A$3:$K$9,VLOOKUP(AF$1,'ELA Reading Logic'!$J$22:$K$31,2,FALSE),FALSE)),"Set Grade")</f>
        <v>Set Grade</v>
      </c>
      <c r="AH70" s="96" t="str">
        <f>IFERROR(IF($E70="Yes","IPP",VLOOKUP($J70,'ELA Reading Logic'!$A$13:$K$19,VLOOKUP(AF$1,'ELA Reading Logic'!$J$22:$K$31,2,FALSE),FALSE)),"Set Grade")</f>
        <v>Set Grade</v>
      </c>
      <c r="AI70" s="96" t="str">
        <f>IF($E70="Yes","IPP",IFERROR(IF(AND(AF70&gt;AG70,AF70&lt;AH70),"0",(VLOOKUP(AF70,'ELA Reading Logic'!$A$22:$B$48,2,FALSE))-(IF(VLOOKUP(AF70,'ELA Reading Logic'!$A$22:$B$48,2,FALSE)&lt;=VLOOKUP(AG70,'ELA Reading Logic'!$A$22:$B$48,2,FALSE),VLOOKUP(AG70,'ELA Reading Logic'!$A$22:$B$48,2,FALSE),IF(VLOOKUP(AF70,'ELA Reading Logic'!$A$22:$B$48,2,FALSE)&gt;=VLOOKUP(AH70,'ELA Reading Logic'!$A$22:$B$48,2,FALSE),VLOOKUP(AH70,'ELA Reading Logic'!$A$22:$B$48,2,FALSE),"No Score")))),"No Value"))</f>
        <v>No Value</v>
      </c>
      <c r="AJ70" s="96" t="str">
        <f>IFERROR(VLOOKUP(AF70,'ELA Reading Logic'!$A$22:$B$48,2,FALSE)-VLOOKUP($F70,'ELA Reading Logic'!$A$22:$B$48,2,FALSE),"No Value")</f>
        <v>No Value</v>
      </c>
      <c r="AK70" s="92"/>
      <c r="AL70" s="96" t="str">
        <f>IFERROR(IF($E70="Yes","IPP",VLOOKUP($J70,'ELA Reading Logic'!$A$3:$K$9,VLOOKUP(AK$1,'ELA Reading Logic'!$J$22:$K$31,2,FALSE),FALSE)),"Set Grade")</f>
        <v>Set Grade</v>
      </c>
      <c r="AM70" s="96" t="str">
        <f>IFERROR(IF($E70="Yes","IPP",VLOOKUP($J70,'ELA Reading Logic'!$A$13:$K$19,VLOOKUP(AK$1,'ELA Reading Logic'!$J$22:$K$31,2,FALSE),FALSE)),"Set Grade")</f>
        <v>Set Grade</v>
      </c>
      <c r="AN70" s="96" t="str">
        <f>IF($E70="Yes","IPP",IFERROR(IF(AND(AK70&gt;AL70,AK70&lt;AM70),"0",(VLOOKUP(AK70,'ELA Reading Logic'!$A$22:$B$48,2,FALSE))-(IF(VLOOKUP(AK70,'ELA Reading Logic'!$A$22:$B$48,2,FALSE)&lt;=VLOOKUP(AL70,'ELA Reading Logic'!$A$22:$B$48,2,FALSE),VLOOKUP(AL70,'ELA Reading Logic'!$A$22:$B$48,2,FALSE),IF(VLOOKUP(AK70,'ELA Reading Logic'!$A$22:$B$48,2,FALSE)&gt;=VLOOKUP(AM70,'ELA Reading Logic'!$A$22:$B$48,2,FALSE),VLOOKUP(AM70,'ELA Reading Logic'!$A$22:$B$48,2,FALSE),"No Score")))),"No Value"))</f>
        <v>No Value</v>
      </c>
      <c r="AO70" s="96" t="str">
        <f>IFERROR(VLOOKUP(AK70,'ELA Reading Logic'!$A$22:$B$48,2,FALSE)-VLOOKUP($F70,'ELA Reading Logic'!$A$22:$B$48,2,FALSE),"No Value")</f>
        <v>No Value</v>
      </c>
      <c r="AP70" s="92"/>
      <c r="AQ70" s="96" t="str">
        <f>IFERROR(IF($E70="Yes","IPP",VLOOKUP($J70,'ELA Reading Logic'!$A$3:$K$9,VLOOKUP(AP$1,'ELA Reading Logic'!$J$22:$K$31,2,FALSE),FALSE)),"Set Grade")</f>
        <v>Set Grade</v>
      </c>
      <c r="AR70" s="96" t="str">
        <f>IFERROR(IF($E70="Yes","IPP",VLOOKUP($J70,'ELA Reading Logic'!$A$13:$K$19,VLOOKUP(AP$1,'ELA Reading Logic'!$J$22:$K$31,2,FALSE),FALSE)),"Set Grade")</f>
        <v>Set Grade</v>
      </c>
      <c r="AS70" s="96" t="str">
        <f>IF($E70="Yes","IPP",IFERROR(IF(AND(AP70&gt;AQ70,AP70&lt;AR70),"0",(VLOOKUP(AP70,'ELA Reading Logic'!$A$22:$B$48,2,FALSE))-(IF(VLOOKUP(AP70,'ELA Reading Logic'!$A$22:$B$48,2,FALSE)&lt;=VLOOKUP(AQ70,'ELA Reading Logic'!$A$22:$B$48,2,FALSE),VLOOKUP(AQ70,'ELA Reading Logic'!$A$22:$B$48,2,FALSE),IF(VLOOKUP(AP70,'ELA Reading Logic'!$A$22:$B$48,2,FALSE)&gt;=VLOOKUP(AR70,'ELA Reading Logic'!$A$22:$B$48,2,FALSE),VLOOKUP(AR70,'ELA Reading Logic'!$A$22:$B$48,2,FALSE),"No Score")))),"No Value"))</f>
        <v>No Value</v>
      </c>
      <c r="AT70" s="96" t="str">
        <f>IFERROR(VLOOKUP(AP70,'ELA Reading Logic'!$A$22:$B$48,2,FALSE)-VLOOKUP($F70,'ELA Reading Logic'!$A$22:$B$48,2,FALSE),"No Value")</f>
        <v>No Value</v>
      </c>
    </row>
    <row r="71" spans="1:46" ht="22.5" customHeight="1" x14ac:dyDescent="0.25">
      <c r="A71" s="228"/>
      <c r="B71" s="229"/>
      <c r="C71" s="240"/>
      <c r="D71" s="229"/>
      <c r="E71" s="175"/>
      <c r="F71" s="175"/>
      <c r="G71" s="177" t="str">
        <f>IFERROR(IF($E71="Yes","IPP",VLOOKUP($J71,'ELA Reading Logic'!$A$3:$K$9,VLOOKUP("September",'ELA Reading Logic'!$J$22:$K$31,2,FALSE),FALSE)),"Set Grade")</f>
        <v>Set Grade</v>
      </c>
      <c r="H71" s="177" t="str">
        <f>IFERROR(IF($E71="Yes","IPP",VLOOKUP($J71,'ELA Reading Logic'!$A$13:$K$19,VLOOKUP("September",'ELA Reading Logic'!$J$22:$K$31,2,FALSE),FALSE)),"Set Grade")</f>
        <v>Set Grade</v>
      </c>
      <c r="I71" s="96" t="str">
        <f>IF($E71="Yes","IPP",IFERROR(IF(AND(F71&gt;G71,F71&lt;H71),"0",(VLOOKUP(F71,'ELA Reading Logic'!$A$22:$B$48,2,FALSE))-(IF(VLOOKUP(F71,'ELA Reading Logic'!$A$22:$B$48,2,FALSE)&lt;=VLOOKUP(G71,'ELA Reading Logic'!$A$22:$B$48,2,FALSE),VLOOKUP(G71,'ELA Reading Logic'!$A$22:$B$48,2,FALSE),IF(VLOOKUP(F71,'ELA Reading Logic'!$A$22:$B$48,2,FALSE)&gt;=VLOOKUP(H71,'ELA Reading Logic'!$A$22:$B$48,2,FALSE),VLOOKUP(H71,'ELA Reading Logic'!$A$22:$B$48,2,FALSE),"No Score")))),"No Value"))</f>
        <v>No Value</v>
      </c>
      <c r="J71" s="178"/>
      <c r="K71" s="96"/>
      <c r="L71" s="96"/>
      <c r="M71" s="96"/>
      <c r="N71" s="96"/>
      <c r="O71" s="96"/>
      <c r="P71" s="105"/>
      <c r="Q71" s="92"/>
      <c r="R71" s="96" t="str">
        <f>IFERROR(IF($E71="Yes","IPP",VLOOKUP($J71,'ELA Reading Logic'!$A$3:$K$9,VLOOKUP(Q$1,'ELA Reading Logic'!$J$22:$K$31,2,FALSE),FALSE)),"Set Grade")</f>
        <v>Set Grade</v>
      </c>
      <c r="S71" s="96" t="str">
        <f>IFERROR(IF($E71="Yes","IPP",VLOOKUP($J71,'ELA Reading Logic'!$A$13:$K$19,VLOOKUP(Q$1,'ELA Reading Logic'!$J$22:$K$31,2,FALSE),FALSE)),"Set Grade")</f>
        <v>Set Grade</v>
      </c>
      <c r="T71" s="96" t="str">
        <f>IF($E71="Yes","IPP",IFERROR(IF(AND(Q71&gt;R71,Q71&lt;S71),"0",(VLOOKUP(Q71,'ELA Reading Logic'!$A$22:$B$48,2,FALSE))-(IF(VLOOKUP(Q71,'ELA Reading Logic'!$A$22:$B$48,2,FALSE)&lt;=VLOOKUP(R71,'ELA Reading Logic'!$A$22:$B$48,2,FALSE),VLOOKUP(R71,'ELA Reading Logic'!$A$22:$B$48,2,FALSE),IF(VLOOKUP(Q71,'ELA Reading Logic'!$A$22:$B$48,2,FALSE)&gt;=VLOOKUP(S71,'ELA Reading Logic'!$A$22:$B$48,2,FALSE),VLOOKUP(S71,'ELA Reading Logic'!$A$22:$B$48,2,FALSE),"No Score")))),"No Value"))</f>
        <v>No Value</v>
      </c>
      <c r="U71" s="96" t="str">
        <f>IFERROR(VLOOKUP(Q71,'ELA Reading Logic'!$A$22:$B$48,2,FALSE)-VLOOKUP($F71,'ELA Reading Logic'!$A$22:$B$48,2,FALSE),"No Value")</f>
        <v>No Value</v>
      </c>
      <c r="V71" s="92"/>
      <c r="W71" s="96" t="str">
        <f>IFERROR(IF($E71="Yes","IPP",VLOOKUP($J71,'ELA Reading Logic'!$A$3:$K$9,VLOOKUP(V$1,'ELA Reading Logic'!$J$22:$K$31,2,FALSE),FALSE)),"Set Grade")</f>
        <v>Set Grade</v>
      </c>
      <c r="X71" s="96" t="str">
        <f>IFERROR(IF($E71="Yes","IPP",VLOOKUP($J71,'ELA Reading Logic'!$A$13:$K$19,VLOOKUP(V$1,'ELA Reading Logic'!$J$22:$K$31,2,FALSE),FALSE)),"Set Grade")</f>
        <v>Set Grade</v>
      </c>
      <c r="Y71" s="96" t="str">
        <f>IF($E71="Yes","IPP",IFERROR(IF(AND(V71&gt;W71,V71&lt;X71),"0",(VLOOKUP(V71,'ELA Reading Logic'!$A$22:$B$48,2,FALSE))-(IF(VLOOKUP(V71,'ELA Reading Logic'!$A$22:$B$48,2,FALSE)&lt;=VLOOKUP(W71,'ELA Reading Logic'!$A$22:$B$48,2,FALSE),VLOOKUP(W71,'ELA Reading Logic'!$A$22:$B$48,2,FALSE),IF(VLOOKUP(V71,'ELA Reading Logic'!$A$22:$B$48,2,FALSE)&gt;=VLOOKUP(X71,'ELA Reading Logic'!$A$22:$B$48,2,FALSE),VLOOKUP(X71,'ELA Reading Logic'!$A$22:$B$48,2,FALSE),"No Score")))),"No Value"))</f>
        <v>No Value</v>
      </c>
      <c r="Z71" s="96" t="str">
        <f>IFERROR(VLOOKUP(V71,'ELA Reading Logic'!$A$22:$B$48,2,FALSE)-VLOOKUP($F71,'ELA Reading Logic'!$A$22:$B$48,2,FALSE),"No Value")</f>
        <v>No Value</v>
      </c>
      <c r="AA71" s="92"/>
      <c r="AB71" s="96" t="str">
        <f>IFERROR(IF($E71="Yes","IPP",VLOOKUP($J71,'ELA Reading Logic'!$A$3:$K$9,VLOOKUP(AA$1,'ELA Reading Logic'!$J$22:$K$31,2,FALSE),FALSE)),"Set Grade")</f>
        <v>Set Grade</v>
      </c>
      <c r="AC71" s="96" t="str">
        <f>IFERROR(IF($E71="Yes","IPP",VLOOKUP($J71,'ELA Reading Logic'!$A$13:$K$19,VLOOKUP(AA$1,'ELA Reading Logic'!$J$22:$K$31,2,FALSE),FALSE)),"Set Grade")</f>
        <v>Set Grade</v>
      </c>
      <c r="AD71" s="96" t="str">
        <f>IF($E71="Yes","IPP",IFERROR(IF(AND(AA71&gt;AB71,AA71&lt;AC71),"0",(VLOOKUP(AA71,'ELA Reading Logic'!$A$22:$B$48,2,FALSE))-(IF(VLOOKUP(AA71,'ELA Reading Logic'!$A$22:$B$48,2,FALSE)&lt;=VLOOKUP(AB71,'ELA Reading Logic'!$A$22:$B$48,2,FALSE),VLOOKUP(AB71,'ELA Reading Logic'!$A$22:$B$48,2,FALSE),IF(VLOOKUP(AA71,'ELA Reading Logic'!$A$22:$B$48,2,FALSE)&gt;=VLOOKUP(AC71,'ELA Reading Logic'!$A$22:$B$48,2,FALSE),VLOOKUP(AC71,'ELA Reading Logic'!$A$22:$B$48,2,FALSE),"No Score")))),"No Value"))</f>
        <v>No Value</v>
      </c>
      <c r="AE71" s="96" t="str">
        <f>IFERROR(VLOOKUP(AA71,'ELA Reading Logic'!$A$22:$B$48,2,FALSE)-VLOOKUP($F71,'ELA Reading Logic'!$A$22:$B$48,2,FALSE),"No Value")</f>
        <v>No Value</v>
      </c>
      <c r="AF71" s="92"/>
      <c r="AG71" s="96" t="str">
        <f>IFERROR(IF($E71="Yes","IPP",VLOOKUP($J71,'ELA Reading Logic'!$A$3:$K$9,VLOOKUP(AF$1,'ELA Reading Logic'!$J$22:$K$31,2,FALSE),FALSE)),"Set Grade")</f>
        <v>Set Grade</v>
      </c>
      <c r="AH71" s="96" t="str">
        <f>IFERROR(IF($E71="Yes","IPP",VLOOKUP($J71,'ELA Reading Logic'!$A$13:$K$19,VLOOKUP(AF$1,'ELA Reading Logic'!$J$22:$K$31,2,FALSE),FALSE)),"Set Grade")</f>
        <v>Set Grade</v>
      </c>
      <c r="AI71" s="96" t="str">
        <f>IF($E71="Yes","IPP",IFERROR(IF(AND(AF71&gt;AG71,AF71&lt;AH71),"0",(VLOOKUP(AF71,'ELA Reading Logic'!$A$22:$B$48,2,FALSE))-(IF(VLOOKUP(AF71,'ELA Reading Logic'!$A$22:$B$48,2,FALSE)&lt;=VLOOKUP(AG71,'ELA Reading Logic'!$A$22:$B$48,2,FALSE),VLOOKUP(AG71,'ELA Reading Logic'!$A$22:$B$48,2,FALSE),IF(VLOOKUP(AF71,'ELA Reading Logic'!$A$22:$B$48,2,FALSE)&gt;=VLOOKUP(AH71,'ELA Reading Logic'!$A$22:$B$48,2,FALSE),VLOOKUP(AH71,'ELA Reading Logic'!$A$22:$B$48,2,FALSE),"No Score")))),"No Value"))</f>
        <v>No Value</v>
      </c>
      <c r="AJ71" s="96" t="str">
        <f>IFERROR(VLOOKUP(AF71,'ELA Reading Logic'!$A$22:$B$48,2,FALSE)-VLOOKUP($F71,'ELA Reading Logic'!$A$22:$B$48,2,FALSE),"No Value")</f>
        <v>No Value</v>
      </c>
      <c r="AK71" s="92"/>
      <c r="AL71" s="96" t="str">
        <f>IFERROR(IF($E71="Yes","IPP",VLOOKUP($J71,'ELA Reading Logic'!$A$3:$K$9,VLOOKUP(AK$1,'ELA Reading Logic'!$J$22:$K$31,2,FALSE),FALSE)),"Set Grade")</f>
        <v>Set Grade</v>
      </c>
      <c r="AM71" s="96" t="str">
        <f>IFERROR(IF($E71="Yes","IPP",VLOOKUP($J71,'ELA Reading Logic'!$A$13:$K$19,VLOOKUP(AK$1,'ELA Reading Logic'!$J$22:$K$31,2,FALSE),FALSE)),"Set Grade")</f>
        <v>Set Grade</v>
      </c>
      <c r="AN71" s="96" t="str">
        <f>IF($E71="Yes","IPP",IFERROR(IF(AND(AK71&gt;AL71,AK71&lt;AM71),"0",(VLOOKUP(AK71,'ELA Reading Logic'!$A$22:$B$48,2,FALSE))-(IF(VLOOKUP(AK71,'ELA Reading Logic'!$A$22:$B$48,2,FALSE)&lt;=VLOOKUP(AL71,'ELA Reading Logic'!$A$22:$B$48,2,FALSE),VLOOKUP(AL71,'ELA Reading Logic'!$A$22:$B$48,2,FALSE),IF(VLOOKUP(AK71,'ELA Reading Logic'!$A$22:$B$48,2,FALSE)&gt;=VLOOKUP(AM71,'ELA Reading Logic'!$A$22:$B$48,2,FALSE),VLOOKUP(AM71,'ELA Reading Logic'!$A$22:$B$48,2,FALSE),"No Score")))),"No Value"))</f>
        <v>No Value</v>
      </c>
      <c r="AO71" s="96" t="str">
        <f>IFERROR(VLOOKUP(AK71,'ELA Reading Logic'!$A$22:$B$48,2,FALSE)-VLOOKUP($F71,'ELA Reading Logic'!$A$22:$B$48,2,FALSE),"No Value")</f>
        <v>No Value</v>
      </c>
      <c r="AP71" s="92"/>
      <c r="AQ71" s="96" t="str">
        <f>IFERROR(IF($E71="Yes","IPP",VLOOKUP($J71,'ELA Reading Logic'!$A$3:$K$9,VLOOKUP(AP$1,'ELA Reading Logic'!$J$22:$K$31,2,FALSE),FALSE)),"Set Grade")</f>
        <v>Set Grade</v>
      </c>
      <c r="AR71" s="96" t="str">
        <f>IFERROR(IF($E71="Yes","IPP",VLOOKUP($J71,'ELA Reading Logic'!$A$13:$K$19,VLOOKUP(AP$1,'ELA Reading Logic'!$J$22:$K$31,2,FALSE),FALSE)),"Set Grade")</f>
        <v>Set Grade</v>
      </c>
      <c r="AS71" s="96" t="str">
        <f>IF($E71="Yes","IPP",IFERROR(IF(AND(AP71&gt;AQ71,AP71&lt;AR71),"0",(VLOOKUP(AP71,'ELA Reading Logic'!$A$22:$B$48,2,FALSE))-(IF(VLOOKUP(AP71,'ELA Reading Logic'!$A$22:$B$48,2,FALSE)&lt;=VLOOKUP(AQ71,'ELA Reading Logic'!$A$22:$B$48,2,FALSE),VLOOKUP(AQ71,'ELA Reading Logic'!$A$22:$B$48,2,FALSE),IF(VLOOKUP(AP71,'ELA Reading Logic'!$A$22:$B$48,2,FALSE)&gt;=VLOOKUP(AR71,'ELA Reading Logic'!$A$22:$B$48,2,FALSE),VLOOKUP(AR71,'ELA Reading Logic'!$A$22:$B$48,2,FALSE),"No Score")))),"No Value"))</f>
        <v>No Value</v>
      </c>
      <c r="AT71" s="96" t="str">
        <f>IFERROR(VLOOKUP(AP71,'ELA Reading Logic'!$A$22:$B$48,2,FALSE)-VLOOKUP($F71,'ELA Reading Logic'!$A$22:$B$48,2,FALSE),"No Value")</f>
        <v>No Value</v>
      </c>
    </row>
    <row r="72" spans="1:46" ht="22.5" customHeight="1" x14ac:dyDescent="0.25">
      <c r="A72" s="174"/>
      <c r="B72" s="174"/>
      <c r="C72" s="174"/>
      <c r="D72" s="174"/>
      <c r="E72" s="175"/>
      <c r="F72" s="175"/>
      <c r="G72" s="177" t="str">
        <f>IFERROR(IF($E72="Yes","IPP",VLOOKUP($J72,'ELA Reading Logic'!$A$3:$K$9,VLOOKUP("September",'ELA Reading Logic'!$J$22:$K$31,2,FALSE),FALSE)),"Set Grade")</f>
        <v>Set Grade</v>
      </c>
      <c r="H72" s="177" t="str">
        <f>IFERROR(IF($E72="Yes","IPP",VLOOKUP($J72,'ELA Reading Logic'!$A$13:$K$19,VLOOKUP("September",'ELA Reading Logic'!$J$22:$K$31,2,FALSE),FALSE)),"Set Grade")</f>
        <v>Set Grade</v>
      </c>
      <c r="I72" s="96" t="str">
        <f>IF($E72="Yes","IPP",IFERROR(IF(AND(F72&gt;G72,F72&lt;H72),"0",(VLOOKUP(F72,'ELA Reading Logic'!$A$22:$B$48,2,FALSE))-(IF(VLOOKUP(F72,'ELA Reading Logic'!$A$22:$B$48,2,FALSE)&lt;=VLOOKUP(G72,'ELA Reading Logic'!$A$22:$B$48,2,FALSE),VLOOKUP(G72,'ELA Reading Logic'!$A$22:$B$48,2,FALSE),IF(VLOOKUP(F72,'ELA Reading Logic'!$A$22:$B$48,2,FALSE)&gt;=VLOOKUP(H72,'ELA Reading Logic'!$A$22:$B$48,2,FALSE),VLOOKUP(H72,'ELA Reading Logic'!$A$22:$B$48,2,FALSE),"No Score")))),"No Value"))</f>
        <v>No Value</v>
      </c>
      <c r="J72" s="178"/>
      <c r="K72" s="96"/>
      <c r="L72" s="96"/>
      <c r="M72" s="96"/>
      <c r="N72" s="96"/>
      <c r="O72" s="96"/>
      <c r="P72" s="105"/>
      <c r="Q72" s="92"/>
      <c r="R72" s="96" t="str">
        <f>IFERROR(IF($E72="Yes","IPP",VLOOKUP($J72,'ELA Reading Logic'!$A$3:$K$9,VLOOKUP(Q$1,'ELA Reading Logic'!$J$22:$K$31,2,FALSE),FALSE)),"Set Grade")</f>
        <v>Set Grade</v>
      </c>
      <c r="S72" s="96" t="str">
        <f>IFERROR(IF($E72="Yes","IPP",VLOOKUP($J72,'ELA Reading Logic'!$A$13:$K$19,VLOOKUP(Q$1,'ELA Reading Logic'!$J$22:$K$31,2,FALSE),FALSE)),"Set Grade")</f>
        <v>Set Grade</v>
      </c>
      <c r="T72" s="96" t="str">
        <f>IF($E72="Yes","IPP",IFERROR(IF(AND(Q72&gt;R72,Q72&lt;S72),"0",(VLOOKUP(Q72,'ELA Reading Logic'!$A$22:$B$48,2,FALSE))-(IF(VLOOKUP(Q72,'ELA Reading Logic'!$A$22:$B$48,2,FALSE)&lt;=VLOOKUP(R72,'ELA Reading Logic'!$A$22:$B$48,2,FALSE),VLOOKUP(R72,'ELA Reading Logic'!$A$22:$B$48,2,FALSE),IF(VLOOKUP(Q72,'ELA Reading Logic'!$A$22:$B$48,2,FALSE)&gt;=VLOOKUP(S72,'ELA Reading Logic'!$A$22:$B$48,2,FALSE),VLOOKUP(S72,'ELA Reading Logic'!$A$22:$B$48,2,FALSE),"No Score")))),"No Value"))</f>
        <v>No Value</v>
      </c>
      <c r="U72" s="96" t="str">
        <f>IFERROR(VLOOKUP(Q72,'ELA Reading Logic'!$A$22:$B$48,2,FALSE)-VLOOKUP($F72,'ELA Reading Logic'!$A$22:$B$48,2,FALSE),"No Value")</f>
        <v>No Value</v>
      </c>
      <c r="V72" s="92"/>
      <c r="W72" s="96" t="str">
        <f>IFERROR(IF($E72="Yes","IPP",VLOOKUP($J72,'ELA Reading Logic'!$A$3:$K$9,VLOOKUP(V$1,'ELA Reading Logic'!$J$22:$K$31,2,FALSE),FALSE)),"Set Grade")</f>
        <v>Set Grade</v>
      </c>
      <c r="X72" s="96" t="str">
        <f>IFERROR(IF($E72="Yes","IPP",VLOOKUP($J72,'ELA Reading Logic'!$A$13:$K$19,VLOOKUP(V$1,'ELA Reading Logic'!$J$22:$K$31,2,FALSE),FALSE)),"Set Grade")</f>
        <v>Set Grade</v>
      </c>
      <c r="Y72" s="96" t="str">
        <f>IF($E72="Yes","IPP",IFERROR(IF(AND(V72&gt;W72,V72&lt;X72),"0",(VLOOKUP(V72,'ELA Reading Logic'!$A$22:$B$48,2,FALSE))-(IF(VLOOKUP(V72,'ELA Reading Logic'!$A$22:$B$48,2,FALSE)&lt;=VLOOKUP(W72,'ELA Reading Logic'!$A$22:$B$48,2,FALSE),VLOOKUP(W72,'ELA Reading Logic'!$A$22:$B$48,2,FALSE),IF(VLOOKUP(V72,'ELA Reading Logic'!$A$22:$B$48,2,FALSE)&gt;=VLOOKUP(X72,'ELA Reading Logic'!$A$22:$B$48,2,FALSE),VLOOKUP(X72,'ELA Reading Logic'!$A$22:$B$48,2,FALSE),"No Score")))),"No Value"))</f>
        <v>No Value</v>
      </c>
      <c r="Z72" s="96" t="str">
        <f>IFERROR(VLOOKUP(V72,'ELA Reading Logic'!$A$22:$B$48,2,FALSE)-VLOOKUP($F72,'ELA Reading Logic'!$A$22:$B$48,2,FALSE),"No Value")</f>
        <v>No Value</v>
      </c>
      <c r="AA72" s="92"/>
      <c r="AB72" s="96" t="str">
        <f>IFERROR(IF($E72="Yes","IPP",VLOOKUP($J72,'ELA Reading Logic'!$A$3:$K$9,VLOOKUP(AA$1,'ELA Reading Logic'!$J$22:$K$31,2,FALSE),FALSE)),"Set Grade")</f>
        <v>Set Grade</v>
      </c>
      <c r="AC72" s="96" t="str">
        <f>IFERROR(IF($E72="Yes","IPP",VLOOKUP($J72,'ELA Reading Logic'!$A$13:$K$19,VLOOKUP(AA$1,'ELA Reading Logic'!$J$22:$K$31,2,FALSE),FALSE)),"Set Grade")</f>
        <v>Set Grade</v>
      </c>
      <c r="AD72" s="96" t="str">
        <f>IF($E72="Yes","IPP",IFERROR(IF(AND(AA72&gt;AB72,AA72&lt;AC72),"0",(VLOOKUP(AA72,'ELA Reading Logic'!$A$22:$B$48,2,FALSE))-(IF(VLOOKUP(AA72,'ELA Reading Logic'!$A$22:$B$48,2,FALSE)&lt;=VLOOKUP(AB72,'ELA Reading Logic'!$A$22:$B$48,2,FALSE),VLOOKUP(AB72,'ELA Reading Logic'!$A$22:$B$48,2,FALSE),IF(VLOOKUP(AA72,'ELA Reading Logic'!$A$22:$B$48,2,FALSE)&gt;=VLOOKUP(AC72,'ELA Reading Logic'!$A$22:$B$48,2,FALSE),VLOOKUP(AC72,'ELA Reading Logic'!$A$22:$B$48,2,FALSE),"No Score")))),"No Value"))</f>
        <v>No Value</v>
      </c>
      <c r="AE72" s="96" t="str">
        <f>IFERROR(VLOOKUP(AA72,'ELA Reading Logic'!$A$22:$B$48,2,FALSE)-VLOOKUP($F72,'ELA Reading Logic'!$A$22:$B$48,2,FALSE),"No Value")</f>
        <v>No Value</v>
      </c>
      <c r="AF72" s="92"/>
      <c r="AG72" s="96" t="str">
        <f>IFERROR(IF($E72="Yes","IPP",VLOOKUP($J72,'ELA Reading Logic'!$A$3:$K$9,VLOOKUP(AF$1,'ELA Reading Logic'!$J$22:$K$31,2,FALSE),FALSE)),"Set Grade")</f>
        <v>Set Grade</v>
      </c>
      <c r="AH72" s="96" t="str">
        <f>IFERROR(IF($E72="Yes","IPP",VLOOKUP($J72,'ELA Reading Logic'!$A$13:$K$19,VLOOKUP(AF$1,'ELA Reading Logic'!$J$22:$K$31,2,FALSE),FALSE)),"Set Grade")</f>
        <v>Set Grade</v>
      </c>
      <c r="AI72" s="96" t="str">
        <f>IF($E72="Yes","IPP",IFERROR(IF(AND(AF72&gt;AG72,AF72&lt;AH72),"0",(VLOOKUP(AF72,'ELA Reading Logic'!$A$22:$B$48,2,FALSE))-(IF(VLOOKUP(AF72,'ELA Reading Logic'!$A$22:$B$48,2,FALSE)&lt;=VLOOKUP(AG72,'ELA Reading Logic'!$A$22:$B$48,2,FALSE),VLOOKUP(AG72,'ELA Reading Logic'!$A$22:$B$48,2,FALSE),IF(VLOOKUP(AF72,'ELA Reading Logic'!$A$22:$B$48,2,FALSE)&gt;=VLOOKUP(AH72,'ELA Reading Logic'!$A$22:$B$48,2,FALSE),VLOOKUP(AH72,'ELA Reading Logic'!$A$22:$B$48,2,FALSE),"No Score")))),"No Value"))</f>
        <v>No Value</v>
      </c>
      <c r="AJ72" s="96" t="str">
        <f>IFERROR(VLOOKUP(AF72,'ELA Reading Logic'!$A$22:$B$48,2,FALSE)-VLOOKUP($F72,'ELA Reading Logic'!$A$22:$B$48,2,FALSE),"No Value")</f>
        <v>No Value</v>
      </c>
      <c r="AK72" s="92"/>
      <c r="AL72" s="96" t="str">
        <f>IFERROR(IF($E72="Yes","IPP",VLOOKUP($J72,'ELA Reading Logic'!$A$3:$K$9,VLOOKUP(AK$1,'ELA Reading Logic'!$J$22:$K$31,2,FALSE),FALSE)),"Set Grade")</f>
        <v>Set Grade</v>
      </c>
      <c r="AM72" s="96" t="str">
        <f>IFERROR(IF($E72="Yes","IPP",VLOOKUP($J72,'ELA Reading Logic'!$A$13:$K$19,VLOOKUP(AK$1,'ELA Reading Logic'!$J$22:$K$31,2,FALSE),FALSE)),"Set Grade")</f>
        <v>Set Grade</v>
      </c>
      <c r="AN72" s="96" t="str">
        <f>IF($E72="Yes","IPP",IFERROR(IF(AND(AK72&gt;AL72,AK72&lt;AM72),"0",(VLOOKUP(AK72,'ELA Reading Logic'!$A$22:$B$48,2,FALSE))-(IF(VLOOKUP(AK72,'ELA Reading Logic'!$A$22:$B$48,2,FALSE)&lt;=VLOOKUP(AL72,'ELA Reading Logic'!$A$22:$B$48,2,FALSE),VLOOKUP(AL72,'ELA Reading Logic'!$A$22:$B$48,2,FALSE),IF(VLOOKUP(AK72,'ELA Reading Logic'!$A$22:$B$48,2,FALSE)&gt;=VLOOKUP(AM72,'ELA Reading Logic'!$A$22:$B$48,2,FALSE),VLOOKUP(AM72,'ELA Reading Logic'!$A$22:$B$48,2,FALSE),"No Score")))),"No Value"))</f>
        <v>No Value</v>
      </c>
      <c r="AO72" s="96" t="str">
        <f>IFERROR(VLOOKUP(AK72,'ELA Reading Logic'!$A$22:$B$48,2,FALSE)-VLOOKUP($F72,'ELA Reading Logic'!$A$22:$B$48,2,FALSE),"No Value")</f>
        <v>No Value</v>
      </c>
      <c r="AP72" s="92"/>
      <c r="AQ72" s="96" t="str">
        <f>IFERROR(IF($E72="Yes","IPP",VLOOKUP($J72,'ELA Reading Logic'!$A$3:$K$9,VLOOKUP(AP$1,'ELA Reading Logic'!$J$22:$K$31,2,FALSE),FALSE)),"Set Grade")</f>
        <v>Set Grade</v>
      </c>
      <c r="AR72" s="96" t="str">
        <f>IFERROR(IF($E72="Yes","IPP",VLOOKUP($J72,'ELA Reading Logic'!$A$13:$K$19,VLOOKUP(AP$1,'ELA Reading Logic'!$J$22:$K$31,2,FALSE),FALSE)),"Set Grade")</f>
        <v>Set Grade</v>
      </c>
      <c r="AS72" s="96" t="str">
        <f>IF($E72="Yes","IPP",IFERROR(IF(AND(AP72&gt;AQ72,AP72&lt;AR72),"0",(VLOOKUP(AP72,'ELA Reading Logic'!$A$22:$B$48,2,FALSE))-(IF(VLOOKUP(AP72,'ELA Reading Logic'!$A$22:$B$48,2,FALSE)&lt;=VLOOKUP(AQ72,'ELA Reading Logic'!$A$22:$B$48,2,FALSE),VLOOKUP(AQ72,'ELA Reading Logic'!$A$22:$B$48,2,FALSE),IF(VLOOKUP(AP72,'ELA Reading Logic'!$A$22:$B$48,2,FALSE)&gt;=VLOOKUP(AR72,'ELA Reading Logic'!$A$22:$B$48,2,FALSE),VLOOKUP(AR72,'ELA Reading Logic'!$A$22:$B$48,2,FALSE),"No Score")))),"No Value"))</f>
        <v>No Value</v>
      </c>
      <c r="AT72" s="96" t="str">
        <f>IFERROR(VLOOKUP(AP72,'ELA Reading Logic'!$A$22:$B$48,2,FALSE)-VLOOKUP($F72,'ELA Reading Logic'!$A$22:$B$48,2,FALSE),"No Value")</f>
        <v>No Value</v>
      </c>
    </row>
    <row r="73" spans="1:46" ht="22.5" customHeight="1" x14ac:dyDescent="0.25">
      <c r="A73" s="176"/>
      <c r="B73" s="176"/>
      <c r="C73" s="176"/>
      <c r="D73" s="176"/>
      <c r="E73" s="175"/>
      <c r="F73" s="175"/>
      <c r="G73" s="177" t="str">
        <f>IFERROR(IF($E73="Yes","IPP",VLOOKUP($J73,'ELA Reading Logic'!$A$3:$K$9,VLOOKUP("September",'ELA Reading Logic'!$J$22:$K$31,2,FALSE),FALSE)),"Set Grade")</f>
        <v>Set Grade</v>
      </c>
      <c r="H73" s="177" t="str">
        <f>IFERROR(IF($E73="Yes","IPP",VLOOKUP($J73,'ELA Reading Logic'!$A$13:$K$19,VLOOKUP("September",'ELA Reading Logic'!$J$22:$K$31,2,FALSE),FALSE)),"Set Grade")</f>
        <v>Set Grade</v>
      </c>
      <c r="I73" s="96" t="str">
        <f>IF($E73="Yes","IPP",IFERROR(IF(AND(F73&gt;G73,F73&lt;H73),"0",(VLOOKUP(F73,'ELA Reading Logic'!$A$22:$B$48,2,FALSE))-(IF(VLOOKUP(F73,'ELA Reading Logic'!$A$22:$B$48,2,FALSE)&lt;=VLOOKUP(G73,'ELA Reading Logic'!$A$22:$B$48,2,FALSE),VLOOKUP(G73,'ELA Reading Logic'!$A$22:$B$48,2,FALSE),IF(VLOOKUP(F73,'ELA Reading Logic'!$A$22:$B$48,2,FALSE)&gt;=VLOOKUP(H73,'ELA Reading Logic'!$A$22:$B$48,2,FALSE),VLOOKUP(H73,'ELA Reading Logic'!$A$22:$B$48,2,FALSE),"No Score")))),"No Value"))</f>
        <v>No Value</v>
      </c>
      <c r="J73" s="178"/>
      <c r="K73" s="96"/>
      <c r="L73" s="96"/>
      <c r="M73" s="96"/>
      <c r="N73" s="96"/>
      <c r="O73" s="96"/>
      <c r="P73" s="105"/>
      <c r="Q73" s="92"/>
      <c r="R73" s="96" t="str">
        <f>IFERROR(IF($E73="Yes","IPP",VLOOKUP($J73,'ELA Reading Logic'!$A$3:$K$9,VLOOKUP(Q$1,'ELA Reading Logic'!$J$22:$K$31,2,FALSE),FALSE)),"Set Grade")</f>
        <v>Set Grade</v>
      </c>
      <c r="S73" s="96" t="str">
        <f>IFERROR(IF($E73="Yes","IPP",VLOOKUP($J73,'ELA Reading Logic'!$A$13:$K$19,VLOOKUP(Q$1,'ELA Reading Logic'!$J$22:$K$31,2,FALSE),FALSE)),"Set Grade")</f>
        <v>Set Grade</v>
      </c>
      <c r="T73" s="96" t="str">
        <f>IF($E73="Yes","IPP",IFERROR(IF(AND(Q73&gt;R73,Q73&lt;S73),"0",(VLOOKUP(Q73,'ELA Reading Logic'!$A$22:$B$48,2,FALSE))-(IF(VLOOKUP(Q73,'ELA Reading Logic'!$A$22:$B$48,2,FALSE)&lt;=VLOOKUP(R73,'ELA Reading Logic'!$A$22:$B$48,2,FALSE),VLOOKUP(R73,'ELA Reading Logic'!$A$22:$B$48,2,FALSE),IF(VLOOKUP(Q73,'ELA Reading Logic'!$A$22:$B$48,2,FALSE)&gt;=VLOOKUP(S73,'ELA Reading Logic'!$A$22:$B$48,2,FALSE),VLOOKUP(S73,'ELA Reading Logic'!$A$22:$B$48,2,FALSE),"No Score")))),"No Value"))</f>
        <v>No Value</v>
      </c>
      <c r="U73" s="96" t="str">
        <f>IFERROR(VLOOKUP(Q73,'ELA Reading Logic'!$A$22:$B$48,2,FALSE)-VLOOKUP($F73,'ELA Reading Logic'!$A$22:$B$48,2,FALSE),"No Value")</f>
        <v>No Value</v>
      </c>
      <c r="V73" s="92"/>
      <c r="W73" s="96" t="str">
        <f>IFERROR(IF($E73="Yes","IPP",VLOOKUP($J73,'ELA Reading Logic'!$A$3:$K$9,VLOOKUP(V$1,'ELA Reading Logic'!$J$22:$K$31,2,FALSE),FALSE)),"Set Grade")</f>
        <v>Set Grade</v>
      </c>
      <c r="X73" s="96" t="str">
        <f>IFERROR(IF($E73="Yes","IPP",VLOOKUP($J73,'ELA Reading Logic'!$A$13:$K$19,VLOOKUP(V$1,'ELA Reading Logic'!$J$22:$K$31,2,FALSE),FALSE)),"Set Grade")</f>
        <v>Set Grade</v>
      </c>
      <c r="Y73" s="96" t="str">
        <f>IF($E73="Yes","IPP",IFERROR(IF(AND(V73&gt;W73,V73&lt;X73),"0",(VLOOKUP(V73,'ELA Reading Logic'!$A$22:$B$48,2,FALSE))-(IF(VLOOKUP(V73,'ELA Reading Logic'!$A$22:$B$48,2,FALSE)&lt;=VLOOKUP(W73,'ELA Reading Logic'!$A$22:$B$48,2,FALSE),VLOOKUP(W73,'ELA Reading Logic'!$A$22:$B$48,2,FALSE),IF(VLOOKUP(V73,'ELA Reading Logic'!$A$22:$B$48,2,FALSE)&gt;=VLOOKUP(X73,'ELA Reading Logic'!$A$22:$B$48,2,FALSE),VLOOKUP(X73,'ELA Reading Logic'!$A$22:$B$48,2,FALSE),"No Score")))),"No Value"))</f>
        <v>No Value</v>
      </c>
      <c r="Z73" s="96" t="str">
        <f>IFERROR(VLOOKUP(V73,'ELA Reading Logic'!$A$22:$B$48,2,FALSE)-VLOOKUP($F73,'ELA Reading Logic'!$A$22:$B$48,2,FALSE),"No Value")</f>
        <v>No Value</v>
      </c>
      <c r="AA73" s="92"/>
      <c r="AB73" s="96" t="str">
        <f>IFERROR(IF($E73="Yes","IPP",VLOOKUP($J73,'ELA Reading Logic'!$A$3:$K$9,VLOOKUP(AA$1,'ELA Reading Logic'!$J$22:$K$31,2,FALSE),FALSE)),"Set Grade")</f>
        <v>Set Grade</v>
      </c>
      <c r="AC73" s="96" t="str">
        <f>IFERROR(IF($E73="Yes","IPP",VLOOKUP($J73,'ELA Reading Logic'!$A$13:$K$19,VLOOKUP(AA$1,'ELA Reading Logic'!$J$22:$K$31,2,FALSE),FALSE)),"Set Grade")</f>
        <v>Set Grade</v>
      </c>
      <c r="AD73" s="96" t="str">
        <f>IF($E73="Yes","IPP",IFERROR(IF(AND(AA73&gt;AB73,AA73&lt;AC73),"0",(VLOOKUP(AA73,'ELA Reading Logic'!$A$22:$B$48,2,FALSE))-(IF(VLOOKUP(AA73,'ELA Reading Logic'!$A$22:$B$48,2,FALSE)&lt;=VLOOKUP(AB73,'ELA Reading Logic'!$A$22:$B$48,2,FALSE),VLOOKUP(AB73,'ELA Reading Logic'!$A$22:$B$48,2,FALSE),IF(VLOOKUP(AA73,'ELA Reading Logic'!$A$22:$B$48,2,FALSE)&gt;=VLOOKUP(AC73,'ELA Reading Logic'!$A$22:$B$48,2,FALSE),VLOOKUP(AC73,'ELA Reading Logic'!$A$22:$B$48,2,FALSE),"No Score")))),"No Value"))</f>
        <v>No Value</v>
      </c>
      <c r="AE73" s="96" t="str">
        <f>IFERROR(VLOOKUP(AA73,'ELA Reading Logic'!$A$22:$B$48,2,FALSE)-VLOOKUP($F73,'ELA Reading Logic'!$A$22:$B$48,2,FALSE),"No Value")</f>
        <v>No Value</v>
      </c>
      <c r="AF73" s="92"/>
      <c r="AG73" s="96" t="str">
        <f>IFERROR(IF($E73="Yes","IPP",VLOOKUP($J73,'ELA Reading Logic'!$A$3:$K$9,VLOOKUP(AF$1,'ELA Reading Logic'!$J$22:$K$31,2,FALSE),FALSE)),"Set Grade")</f>
        <v>Set Grade</v>
      </c>
      <c r="AH73" s="96" t="str">
        <f>IFERROR(IF($E73="Yes","IPP",VLOOKUP($J73,'ELA Reading Logic'!$A$13:$K$19,VLOOKUP(AF$1,'ELA Reading Logic'!$J$22:$K$31,2,FALSE),FALSE)),"Set Grade")</f>
        <v>Set Grade</v>
      </c>
      <c r="AI73" s="96" t="str">
        <f>IF($E73="Yes","IPP",IFERROR(IF(AND(AF73&gt;AG73,AF73&lt;AH73),"0",(VLOOKUP(AF73,'ELA Reading Logic'!$A$22:$B$48,2,FALSE))-(IF(VLOOKUP(AF73,'ELA Reading Logic'!$A$22:$B$48,2,FALSE)&lt;=VLOOKUP(AG73,'ELA Reading Logic'!$A$22:$B$48,2,FALSE),VLOOKUP(AG73,'ELA Reading Logic'!$A$22:$B$48,2,FALSE),IF(VLOOKUP(AF73,'ELA Reading Logic'!$A$22:$B$48,2,FALSE)&gt;=VLOOKUP(AH73,'ELA Reading Logic'!$A$22:$B$48,2,FALSE),VLOOKUP(AH73,'ELA Reading Logic'!$A$22:$B$48,2,FALSE),"No Score")))),"No Value"))</f>
        <v>No Value</v>
      </c>
      <c r="AJ73" s="96" t="str">
        <f>IFERROR(VLOOKUP(AF73,'ELA Reading Logic'!$A$22:$B$48,2,FALSE)-VLOOKUP($F73,'ELA Reading Logic'!$A$22:$B$48,2,FALSE),"No Value")</f>
        <v>No Value</v>
      </c>
      <c r="AK73" s="92"/>
      <c r="AL73" s="96" t="str">
        <f>IFERROR(IF($E73="Yes","IPP",VLOOKUP($J73,'ELA Reading Logic'!$A$3:$K$9,VLOOKUP(AK$1,'ELA Reading Logic'!$J$22:$K$31,2,FALSE),FALSE)),"Set Grade")</f>
        <v>Set Grade</v>
      </c>
      <c r="AM73" s="96" t="str">
        <f>IFERROR(IF($E73="Yes","IPP",VLOOKUP($J73,'ELA Reading Logic'!$A$13:$K$19,VLOOKUP(AK$1,'ELA Reading Logic'!$J$22:$K$31,2,FALSE),FALSE)),"Set Grade")</f>
        <v>Set Grade</v>
      </c>
      <c r="AN73" s="96" t="str">
        <f>IF($E73="Yes","IPP",IFERROR(IF(AND(AK73&gt;AL73,AK73&lt;AM73),"0",(VLOOKUP(AK73,'ELA Reading Logic'!$A$22:$B$48,2,FALSE))-(IF(VLOOKUP(AK73,'ELA Reading Logic'!$A$22:$B$48,2,FALSE)&lt;=VLOOKUP(AL73,'ELA Reading Logic'!$A$22:$B$48,2,FALSE),VLOOKUP(AL73,'ELA Reading Logic'!$A$22:$B$48,2,FALSE),IF(VLOOKUP(AK73,'ELA Reading Logic'!$A$22:$B$48,2,FALSE)&gt;=VLOOKUP(AM73,'ELA Reading Logic'!$A$22:$B$48,2,FALSE),VLOOKUP(AM73,'ELA Reading Logic'!$A$22:$B$48,2,FALSE),"No Score")))),"No Value"))</f>
        <v>No Value</v>
      </c>
      <c r="AO73" s="96" t="str">
        <f>IFERROR(VLOOKUP(AK73,'ELA Reading Logic'!$A$22:$B$48,2,FALSE)-VLOOKUP($F73,'ELA Reading Logic'!$A$22:$B$48,2,FALSE),"No Value")</f>
        <v>No Value</v>
      </c>
      <c r="AP73" s="92"/>
      <c r="AQ73" s="96" t="str">
        <f>IFERROR(IF($E73="Yes","IPP",VLOOKUP($J73,'ELA Reading Logic'!$A$3:$K$9,VLOOKUP(AP$1,'ELA Reading Logic'!$J$22:$K$31,2,FALSE),FALSE)),"Set Grade")</f>
        <v>Set Grade</v>
      </c>
      <c r="AR73" s="96" t="str">
        <f>IFERROR(IF($E73="Yes","IPP",VLOOKUP($J73,'ELA Reading Logic'!$A$13:$K$19,VLOOKUP(AP$1,'ELA Reading Logic'!$J$22:$K$31,2,FALSE),FALSE)),"Set Grade")</f>
        <v>Set Grade</v>
      </c>
      <c r="AS73" s="96" t="str">
        <f>IF($E73="Yes","IPP",IFERROR(IF(AND(AP73&gt;AQ73,AP73&lt;AR73),"0",(VLOOKUP(AP73,'ELA Reading Logic'!$A$22:$B$48,2,FALSE))-(IF(VLOOKUP(AP73,'ELA Reading Logic'!$A$22:$B$48,2,FALSE)&lt;=VLOOKUP(AQ73,'ELA Reading Logic'!$A$22:$B$48,2,FALSE),VLOOKUP(AQ73,'ELA Reading Logic'!$A$22:$B$48,2,FALSE),IF(VLOOKUP(AP73,'ELA Reading Logic'!$A$22:$B$48,2,FALSE)&gt;=VLOOKUP(AR73,'ELA Reading Logic'!$A$22:$B$48,2,FALSE),VLOOKUP(AR73,'ELA Reading Logic'!$A$22:$B$48,2,FALSE),"No Score")))),"No Value"))</f>
        <v>No Value</v>
      </c>
      <c r="AT73" s="96" t="str">
        <f>IFERROR(VLOOKUP(AP73,'ELA Reading Logic'!$A$22:$B$48,2,FALSE)-VLOOKUP($F73,'ELA Reading Logic'!$A$22:$B$48,2,FALSE),"No Value")</f>
        <v>No Value</v>
      </c>
    </row>
    <row r="74" spans="1:46" ht="22.5" customHeight="1" x14ac:dyDescent="0.25">
      <c r="A74" s="174"/>
      <c r="B74" s="174"/>
      <c r="C74" s="174"/>
      <c r="D74" s="174"/>
      <c r="E74" s="175"/>
      <c r="F74" s="175"/>
      <c r="G74" s="177" t="str">
        <f>IFERROR(IF($E74="Yes","IPP",VLOOKUP($J74,'ELA Reading Logic'!$A$3:$K$9,VLOOKUP("September",'ELA Reading Logic'!$J$22:$K$31,2,FALSE),FALSE)),"Set Grade")</f>
        <v>Set Grade</v>
      </c>
      <c r="H74" s="177" t="str">
        <f>IFERROR(IF($E74="Yes","IPP",VLOOKUP($J74,'ELA Reading Logic'!$A$13:$K$19,VLOOKUP("September",'ELA Reading Logic'!$J$22:$K$31,2,FALSE),FALSE)),"Set Grade")</f>
        <v>Set Grade</v>
      </c>
      <c r="I74" s="96" t="str">
        <f>IF($E74="Yes","IPP",IFERROR(IF(AND(F74&gt;G74,F74&lt;H74),"0",(VLOOKUP(F74,'ELA Reading Logic'!$A$22:$B$48,2,FALSE))-(IF(VLOOKUP(F74,'ELA Reading Logic'!$A$22:$B$48,2,FALSE)&lt;=VLOOKUP(G74,'ELA Reading Logic'!$A$22:$B$48,2,FALSE),VLOOKUP(G74,'ELA Reading Logic'!$A$22:$B$48,2,FALSE),IF(VLOOKUP(F74,'ELA Reading Logic'!$A$22:$B$48,2,FALSE)&gt;=VLOOKUP(H74,'ELA Reading Logic'!$A$22:$B$48,2,FALSE),VLOOKUP(H74,'ELA Reading Logic'!$A$22:$B$48,2,FALSE),"No Score")))),"No Value"))</f>
        <v>No Value</v>
      </c>
      <c r="J74" s="178"/>
      <c r="K74" s="96"/>
      <c r="L74" s="96"/>
      <c r="M74" s="96"/>
      <c r="N74" s="96"/>
      <c r="O74" s="96"/>
      <c r="P74" s="105"/>
      <c r="Q74" s="92"/>
      <c r="R74" s="96" t="str">
        <f>IFERROR(IF($E74="Yes","IPP",VLOOKUP($J74,'ELA Reading Logic'!$A$3:$K$9,VLOOKUP(Q$1,'ELA Reading Logic'!$J$22:$K$31,2,FALSE),FALSE)),"Set Grade")</f>
        <v>Set Grade</v>
      </c>
      <c r="S74" s="96" t="str">
        <f>IFERROR(IF($E74="Yes","IPP",VLOOKUP($J74,'ELA Reading Logic'!$A$13:$K$19,VLOOKUP(Q$1,'ELA Reading Logic'!$J$22:$K$31,2,FALSE),FALSE)),"Set Grade")</f>
        <v>Set Grade</v>
      </c>
      <c r="T74" s="96" t="str">
        <f>IF($E74="Yes","IPP",IFERROR(IF(AND(Q74&gt;R74,Q74&lt;S74),"0",(VLOOKUP(Q74,'ELA Reading Logic'!$A$22:$B$48,2,FALSE))-(IF(VLOOKUP(Q74,'ELA Reading Logic'!$A$22:$B$48,2,FALSE)&lt;=VLOOKUP(R74,'ELA Reading Logic'!$A$22:$B$48,2,FALSE),VLOOKUP(R74,'ELA Reading Logic'!$A$22:$B$48,2,FALSE),IF(VLOOKUP(Q74,'ELA Reading Logic'!$A$22:$B$48,2,FALSE)&gt;=VLOOKUP(S74,'ELA Reading Logic'!$A$22:$B$48,2,FALSE),VLOOKUP(S74,'ELA Reading Logic'!$A$22:$B$48,2,FALSE),"No Score")))),"No Value"))</f>
        <v>No Value</v>
      </c>
      <c r="U74" s="96" t="str">
        <f>IFERROR(VLOOKUP(Q74,'ELA Reading Logic'!$A$22:$B$48,2,FALSE)-VLOOKUP($F74,'ELA Reading Logic'!$A$22:$B$48,2,FALSE),"No Value")</f>
        <v>No Value</v>
      </c>
      <c r="V74" s="92"/>
      <c r="W74" s="96" t="str">
        <f>IFERROR(IF($E74="Yes","IPP",VLOOKUP($J74,'ELA Reading Logic'!$A$3:$K$9,VLOOKUP(V$1,'ELA Reading Logic'!$J$22:$K$31,2,FALSE),FALSE)),"Set Grade")</f>
        <v>Set Grade</v>
      </c>
      <c r="X74" s="96" t="str">
        <f>IFERROR(IF($E74="Yes","IPP",VLOOKUP($J74,'ELA Reading Logic'!$A$13:$K$19,VLOOKUP(V$1,'ELA Reading Logic'!$J$22:$K$31,2,FALSE),FALSE)),"Set Grade")</f>
        <v>Set Grade</v>
      </c>
      <c r="Y74" s="96" t="str">
        <f>IF($E74="Yes","IPP",IFERROR(IF(AND(V74&gt;W74,V74&lt;X74),"0",(VLOOKUP(V74,'ELA Reading Logic'!$A$22:$B$48,2,FALSE))-(IF(VLOOKUP(V74,'ELA Reading Logic'!$A$22:$B$48,2,FALSE)&lt;=VLOOKUP(W74,'ELA Reading Logic'!$A$22:$B$48,2,FALSE),VLOOKUP(W74,'ELA Reading Logic'!$A$22:$B$48,2,FALSE),IF(VLOOKUP(V74,'ELA Reading Logic'!$A$22:$B$48,2,FALSE)&gt;=VLOOKUP(X74,'ELA Reading Logic'!$A$22:$B$48,2,FALSE),VLOOKUP(X74,'ELA Reading Logic'!$A$22:$B$48,2,FALSE),"No Score")))),"No Value"))</f>
        <v>No Value</v>
      </c>
      <c r="Z74" s="96" t="str">
        <f>IFERROR(VLOOKUP(V74,'ELA Reading Logic'!$A$22:$B$48,2,FALSE)-VLOOKUP($F74,'ELA Reading Logic'!$A$22:$B$48,2,FALSE),"No Value")</f>
        <v>No Value</v>
      </c>
      <c r="AA74" s="92"/>
      <c r="AB74" s="96" t="str">
        <f>IFERROR(IF($E74="Yes","IPP",VLOOKUP($J74,'ELA Reading Logic'!$A$3:$K$9,VLOOKUP(AA$1,'ELA Reading Logic'!$J$22:$K$31,2,FALSE),FALSE)),"Set Grade")</f>
        <v>Set Grade</v>
      </c>
      <c r="AC74" s="96" t="str">
        <f>IFERROR(IF($E74="Yes","IPP",VLOOKUP($J74,'ELA Reading Logic'!$A$13:$K$19,VLOOKUP(AA$1,'ELA Reading Logic'!$J$22:$K$31,2,FALSE),FALSE)),"Set Grade")</f>
        <v>Set Grade</v>
      </c>
      <c r="AD74" s="96" t="str">
        <f>IF($E74="Yes","IPP",IFERROR(IF(AND(AA74&gt;AB74,AA74&lt;AC74),"0",(VLOOKUP(AA74,'ELA Reading Logic'!$A$22:$B$48,2,FALSE))-(IF(VLOOKUP(AA74,'ELA Reading Logic'!$A$22:$B$48,2,FALSE)&lt;=VLOOKUP(AB74,'ELA Reading Logic'!$A$22:$B$48,2,FALSE),VLOOKUP(AB74,'ELA Reading Logic'!$A$22:$B$48,2,FALSE),IF(VLOOKUP(AA74,'ELA Reading Logic'!$A$22:$B$48,2,FALSE)&gt;=VLOOKUP(AC74,'ELA Reading Logic'!$A$22:$B$48,2,FALSE),VLOOKUP(AC74,'ELA Reading Logic'!$A$22:$B$48,2,FALSE),"No Score")))),"No Value"))</f>
        <v>No Value</v>
      </c>
      <c r="AE74" s="96" t="str">
        <f>IFERROR(VLOOKUP(AA74,'ELA Reading Logic'!$A$22:$B$48,2,FALSE)-VLOOKUP($F74,'ELA Reading Logic'!$A$22:$B$48,2,FALSE),"No Value")</f>
        <v>No Value</v>
      </c>
      <c r="AF74" s="92"/>
      <c r="AG74" s="96" t="str">
        <f>IFERROR(IF($E74="Yes","IPP",VLOOKUP($J74,'ELA Reading Logic'!$A$3:$K$9,VLOOKUP(AF$1,'ELA Reading Logic'!$J$22:$K$31,2,FALSE),FALSE)),"Set Grade")</f>
        <v>Set Grade</v>
      </c>
      <c r="AH74" s="96" t="str">
        <f>IFERROR(IF($E74="Yes","IPP",VLOOKUP($J74,'ELA Reading Logic'!$A$13:$K$19,VLOOKUP(AF$1,'ELA Reading Logic'!$J$22:$K$31,2,FALSE),FALSE)),"Set Grade")</f>
        <v>Set Grade</v>
      </c>
      <c r="AI74" s="96" t="str">
        <f>IF($E74="Yes","IPP",IFERROR(IF(AND(AF74&gt;AG74,AF74&lt;AH74),"0",(VLOOKUP(AF74,'ELA Reading Logic'!$A$22:$B$48,2,FALSE))-(IF(VLOOKUP(AF74,'ELA Reading Logic'!$A$22:$B$48,2,FALSE)&lt;=VLOOKUP(AG74,'ELA Reading Logic'!$A$22:$B$48,2,FALSE),VLOOKUP(AG74,'ELA Reading Logic'!$A$22:$B$48,2,FALSE),IF(VLOOKUP(AF74,'ELA Reading Logic'!$A$22:$B$48,2,FALSE)&gt;=VLOOKUP(AH74,'ELA Reading Logic'!$A$22:$B$48,2,FALSE),VLOOKUP(AH74,'ELA Reading Logic'!$A$22:$B$48,2,FALSE),"No Score")))),"No Value"))</f>
        <v>No Value</v>
      </c>
      <c r="AJ74" s="96" t="str">
        <f>IFERROR(VLOOKUP(AF74,'ELA Reading Logic'!$A$22:$B$48,2,FALSE)-VLOOKUP($F74,'ELA Reading Logic'!$A$22:$B$48,2,FALSE),"No Value")</f>
        <v>No Value</v>
      </c>
      <c r="AK74" s="92"/>
      <c r="AL74" s="96" t="str">
        <f>IFERROR(IF($E74="Yes","IPP",VLOOKUP($J74,'ELA Reading Logic'!$A$3:$K$9,VLOOKUP(AK$1,'ELA Reading Logic'!$J$22:$K$31,2,FALSE),FALSE)),"Set Grade")</f>
        <v>Set Grade</v>
      </c>
      <c r="AM74" s="96" t="str">
        <f>IFERROR(IF($E74="Yes","IPP",VLOOKUP($J74,'ELA Reading Logic'!$A$13:$K$19,VLOOKUP(AK$1,'ELA Reading Logic'!$J$22:$K$31,2,FALSE),FALSE)),"Set Grade")</f>
        <v>Set Grade</v>
      </c>
      <c r="AN74" s="96" t="str">
        <f>IF($E74="Yes","IPP",IFERROR(IF(AND(AK74&gt;AL74,AK74&lt;AM74),"0",(VLOOKUP(AK74,'ELA Reading Logic'!$A$22:$B$48,2,FALSE))-(IF(VLOOKUP(AK74,'ELA Reading Logic'!$A$22:$B$48,2,FALSE)&lt;=VLOOKUP(AL74,'ELA Reading Logic'!$A$22:$B$48,2,FALSE),VLOOKUP(AL74,'ELA Reading Logic'!$A$22:$B$48,2,FALSE),IF(VLOOKUP(AK74,'ELA Reading Logic'!$A$22:$B$48,2,FALSE)&gt;=VLOOKUP(AM74,'ELA Reading Logic'!$A$22:$B$48,2,FALSE),VLOOKUP(AM74,'ELA Reading Logic'!$A$22:$B$48,2,FALSE),"No Score")))),"No Value"))</f>
        <v>No Value</v>
      </c>
      <c r="AO74" s="96" t="str">
        <f>IFERROR(VLOOKUP(AK74,'ELA Reading Logic'!$A$22:$B$48,2,FALSE)-VLOOKUP($F74,'ELA Reading Logic'!$A$22:$B$48,2,FALSE),"No Value")</f>
        <v>No Value</v>
      </c>
      <c r="AP74" s="92"/>
      <c r="AQ74" s="96" t="str">
        <f>IFERROR(IF($E74="Yes","IPP",VLOOKUP($J74,'ELA Reading Logic'!$A$3:$K$9,VLOOKUP(AP$1,'ELA Reading Logic'!$J$22:$K$31,2,FALSE),FALSE)),"Set Grade")</f>
        <v>Set Grade</v>
      </c>
      <c r="AR74" s="96" t="str">
        <f>IFERROR(IF($E74="Yes","IPP",VLOOKUP($J74,'ELA Reading Logic'!$A$13:$K$19,VLOOKUP(AP$1,'ELA Reading Logic'!$J$22:$K$31,2,FALSE),FALSE)),"Set Grade")</f>
        <v>Set Grade</v>
      </c>
      <c r="AS74" s="96" t="str">
        <f>IF($E74="Yes","IPP",IFERROR(IF(AND(AP74&gt;AQ74,AP74&lt;AR74),"0",(VLOOKUP(AP74,'ELA Reading Logic'!$A$22:$B$48,2,FALSE))-(IF(VLOOKUP(AP74,'ELA Reading Logic'!$A$22:$B$48,2,FALSE)&lt;=VLOOKUP(AQ74,'ELA Reading Logic'!$A$22:$B$48,2,FALSE),VLOOKUP(AQ74,'ELA Reading Logic'!$A$22:$B$48,2,FALSE),IF(VLOOKUP(AP74,'ELA Reading Logic'!$A$22:$B$48,2,FALSE)&gt;=VLOOKUP(AR74,'ELA Reading Logic'!$A$22:$B$48,2,FALSE),VLOOKUP(AR74,'ELA Reading Logic'!$A$22:$B$48,2,FALSE),"No Score")))),"No Value"))</f>
        <v>No Value</v>
      </c>
      <c r="AT74" s="96" t="str">
        <f>IFERROR(VLOOKUP(AP74,'ELA Reading Logic'!$A$22:$B$48,2,FALSE)-VLOOKUP($F74,'ELA Reading Logic'!$A$22:$B$48,2,FALSE),"No Value")</f>
        <v>No Value</v>
      </c>
    </row>
    <row r="75" spans="1:46" ht="22.5" customHeight="1" x14ac:dyDescent="0.25">
      <c r="A75" s="176"/>
      <c r="B75" s="176"/>
      <c r="C75" s="176"/>
      <c r="D75" s="176"/>
      <c r="E75" s="175"/>
      <c r="F75" s="175"/>
      <c r="G75" s="177" t="str">
        <f>IFERROR(IF($E75="Yes","IPP",VLOOKUP($J75,'ELA Reading Logic'!$A$3:$K$9,VLOOKUP("September",'ELA Reading Logic'!$J$22:$K$31,2,FALSE),FALSE)),"Set Grade")</f>
        <v>Set Grade</v>
      </c>
      <c r="H75" s="177" t="str">
        <f>IFERROR(IF($E75="Yes","IPP",VLOOKUP($J75,'ELA Reading Logic'!$A$13:$K$19,VLOOKUP("September",'ELA Reading Logic'!$J$22:$K$31,2,FALSE),FALSE)),"Set Grade")</f>
        <v>Set Grade</v>
      </c>
      <c r="I75" s="96" t="str">
        <f>IF($E75="Yes","IPP",IFERROR(IF(AND(F75&gt;G75,F75&lt;H75),"0",(VLOOKUP(F75,'ELA Reading Logic'!$A$22:$B$48,2,FALSE))-(IF(VLOOKUP(F75,'ELA Reading Logic'!$A$22:$B$48,2,FALSE)&lt;=VLOOKUP(G75,'ELA Reading Logic'!$A$22:$B$48,2,FALSE),VLOOKUP(G75,'ELA Reading Logic'!$A$22:$B$48,2,FALSE),IF(VLOOKUP(F75,'ELA Reading Logic'!$A$22:$B$48,2,FALSE)&gt;=VLOOKUP(H75,'ELA Reading Logic'!$A$22:$B$48,2,FALSE),VLOOKUP(H75,'ELA Reading Logic'!$A$22:$B$48,2,FALSE),"No Score")))),"No Value"))</f>
        <v>No Value</v>
      </c>
      <c r="J75" s="178"/>
      <c r="K75" s="96"/>
      <c r="L75" s="96"/>
      <c r="M75" s="96"/>
      <c r="N75" s="96"/>
      <c r="O75" s="96"/>
      <c r="P75" s="105"/>
      <c r="Q75" s="92"/>
      <c r="R75" s="96" t="str">
        <f>IFERROR(IF($E75="Yes","IPP",VLOOKUP($J75,'ELA Reading Logic'!$A$3:$K$9,VLOOKUP(Q$1,'ELA Reading Logic'!$J$22:$K$31,2,FALSE),FALSE)),"Set Grade")</f>
        <v>Set Grade</v>
      </c>
      <c r="S75" s="96" t="str">
        <f>IFERROR(IF($E75="Yes","IPP",VLOOKUP($J75,'ELA Reading Logic'!$A$13:$K$19,VLOOKUP(Q$1,'ELA Reading Logic'!$J$22:$K$31,2,FALSE),FALSE)),"Set Grade")</f>
        <v>Set Grade</v>
      </c>
      <c r="T75" s="96" t="str">
        <f>IF($E75="Yes","IPP",IFERROR(IF(AND(Q75&gt;R75,Q75&lt;S75),"0",(VLOOKUP(Q75,'ELA Reading Logic'!$A$22:$B$48,2,FALSE))-(IF(VLOOKUP(Q75,'ELA Reading Logic'!$A$22:$B$48,2,FALSE)&lt;=VLOOKUP(R75,'ELA Reading Logic'!$A$22:$B$48,2,FALSE),VLOOKUP(R75,'ELA Reading Logic'!$A$22:$B$48,2,FALSE),IF(VLOOKUP(Q75,'ELA Reading Logic'!$A$22:$B$48,2,FALSE)&gt;=VLOOKUP(S75,'ELA Reading Logic'!$A$22:$B$48,2,FALSE),VLOOKUP(S75,'ELA Reading Logic'!$A$22:$B$48,2,FALSE),"No Score")))),"No Value"))</f>
        <v>No Value</v>
      </c>
      <c r="U75" s="96" t="str">
        <f>IFERROR(VLOOKUP(Q75,'ELA Reading Logic'!$A$22:$B$48,2,FALSE)-VLOOKUP($F75,'ELA Reading Logic'!$A$22:$B$48,2,FALSE),"No Value")</f>
        <v>No Value</v>
      </c>
      <c r="V75" s="92"/>
      <c r="W75" s="96" t="str">
        <f>IFERROR(IF($E75="Yes","IPP",VLOOKUP($J75,'ELA Reading Logic'!$A$3:$K$9,VLOOKUP(V$1,'ELA Reading Logic'!$J$22:$K$31,2,FALSE),FALSE)),"Set Grade")</f>
        <v>Set Grade</v>
      </c>
      <c r="X75" s="96" t="str">
        <f>IFERROR(IF($E75="Yes","IPP",VLOOKUP($J75,'ELA Reading Logic'!$A$13:$K$19,VLOOKUP(V$1,'ELA Reading Logic'!$J$22:$K$31,2,FALSE),FALSE)),"Set Grade")</f>
        <v>Set Grade</v>
      </c>
      <c r="Y75" s="96" t="str">
        <f>IF($E75="Yes","IPP",IFERROR(IF(AND(V75&gt;W75,V75&lt;X75),"0",(VLOOKUP(V75,'ELA Reading Logic'!$A$22:$B$48,2,FALSE))-(IF(VLOOKUP(V75,'ELA Reading Logic'!$A$22:$B$48,2,FALSE)&lt;=VLOOKUP(W75,'ELA Reading Logic'!$A$22:$B$48,2,FALSE),VLOOKUP(W75,'ELA Reading Logic'!$A$22:$B$48,2,FALSE),IF(VLOOKUP(V75,'ELA Reading Logic'!$A$22:$B$48,2,FALSE)&gt;=VLOOKUP(X75,'ELA Reading Logic'!$A$22:$B$48,2,FALSE),VLOOKUP(X75,'ELA Reading Logic'!$A$22:$B$48,2,FALSE),"No Score")))),"No Value"))</f>
        <v>No Value</v>
      </c>
      <c r="Z75" s="96" t="str">
        <f>IFERROR(VLOOKUP(V75,'ELA Reading Logic'!$A$22:$B$48,2,FALSE)-VLOOKUP($F75,'ELA Reading Logic'!$A$22:$B$48,2,FALSE),"No Value")</f>
        <v>No Value</v>
      </c>
      <c r="AA75" s="92"/>
      <c r="AB75" s="96" t="str">
        <f>IFERROR(IF($E75="Yes","IPP",VLOOKUP($J75,'ELA Reading Logic'!$A$3:$K$9,VLOOKUP(AA$1,'ELA Reading Logic'!$J$22:$K$31,2,FALSE),FALSE)),"Set Grade")</f>
        <v>Set Grade</v>
      </c>
      <c r="AC75" s="96" t="str">
        <f>IFERROR(IF($E75="Yes","IPP",VLOOKUP($J75,'ELA Reading Logic'!$A$13:$K$19,VLOOKUP(AA$1,'ELA Reading Logic'!$J$22:$K$31,2,FALSE),FALSE)),"Set Grade")</f>
        <v>Set Grade</v>
      </c>
      <c r="AD75" s="96" t="str">
        <f>IF($E75="Yes","IPP",IFERROR(IF(AND(AA75&gt;AB75,AA75&lt;AC75),"0",(VLOOKUP(AA75,'ELA Reading Logic'!$A$22:$B$48,2,FALSE))-(IF(VLOOKUP(AA75,'ELA Reading Logic'!$A$22:$B$48,2,FALSE)&lt;=VLOOKUP(AB75,'ELA Reading Logic'!$A$22:$B$48,2,FALSE),VLOOKUP(AB75,'ELA Reading Logic'!$A$22:$B$48,2,FALSE),IF(VLOOKUP(AA75,'ELA Reading Logic'!$A$22:$B$48,2,FALSE)&gt;=VLOOKUP(AC75,'ELA Reading Logic'!$A$22:$B$48,2,FALSE),VLOOKUP(AC75,'ELA Reading Logic'!$A$22:$B$48,2,FALSE),"No Score")))),"No Value"))</f>
        <v>No Value</v>
      </c>
      <c r="AE75" s="96" t="str">
        <f>IFERROR(VLOOKUP(AA75,'ELA Reading Logic'!$A$22:$B$48,2,FALSE)-VLOOKUP($F75,'ELA Reading Logic'!$A$22:$B$48,2,FALSE),"No Value")</f>
        <v>No Value</v>
      </c>
      <c r="AF75" s="92"/>
      <c r="AG75" s="96" t="str">
        <f>IFERROR(IF($E75="Yes","IPP",VLOOKUP($J75,'ELA Reading Logic'!$A$3:$K$9,VLOOKUP(AF$1,'ELA Reading Logic'!$J$22:$K$31,2,FALSE),FALSE)),"Set Grade")</f>
        <v>Set Grade</v>
      </c>
      <c r="AH75" s="96" t="str">
        <f>IFERROR(IF($E75="Yes","IPP",VLOOKUP($J75,'ELA Reading Logic'!$A$13:$K$19,VLOOKUP(AF$1,'ELA Reading Logic'!$J$22:$K$31,2,FALSE),FALSE)),"Set Grade")</f>
        <v>Set Grade</v>
      </c>
      <c r="AI75" s="96" t="str">
        <f>IF($E75="Yes","IPP",IFERROR(IF(AND(AF75&gt;AG75,AF75&lt;AH75),"0",(VLOOKUP(AF75,'ELA Reading Logic'!$A$22:$B$48,2,FALSE))-(IF(VLOOKUP(AF75,'ELA Reading Logic'!$A$22:$B$48,2,FALSE)&lt;=VLOOKUP(AG75,'ELA Reading Logic'!$A$22:$B$48,2,FALSE),VLOOKUP(AG75,'ELA Reading Logic'!$A$22:$B$48,2,FALSE),IF(VLOOKUP(AF75,'ELA Reading Logic'!$A$22:$B$48,2,FALSE)&gt;=VLOOKUP(AH75,'ELA Reading Logic'!$A$22:$B$48,2,FALSE),VLOOKUP(AH75,'ELA Reading Logic'!$A$22:$B$48,2,FALSE),"No Score")))),"No Value"))</f>
        <v>No Value</v>
      </c>
      <c r="AJ75" s="96" t="str">
        <f>IFERROR(VLOOKUP(AF75,'ELA Reading Logic'!$A$22:$B$48,2,FALSE)-VLOOKUP($F75,'ELA Reading Logic'!$A$22:$B$48,2,FALSE),"No Value")</f>
        <v>No Value</v>
      </c>
      <c r="AK75" s="92"/>
      <c r="AL75" s="96" t="str">
        <f>IFERROR(IF($E75="Yes","IPP",VLOOKUP($J75,'ELA Reading Logic'!$A$3:$K$9,VLOOKUP(AK$1,'ELA Reading Logic'!$J$22:$K$31,2,FALSE),FALSE)),"Set Grade")</f>
        <v>Set Grade</v>
      </c>
      <c r="AM75" s="96" t="str">
        <f>IFERROR(IF($E75="Yes","IPP",VLOOKUP($J75,'ELA Reading Logic'!$A$13:$K$19,VLOOKUP(AK$1,'ELA Reading Logic'!$J$22:$K$31,2,FALSE),FALSE)),"Set Grade")</f>
        <v>Set Grade</v>
      </c>
      <c r="AN75" s="96" t="str">
        <f>IF($E75="Yes","IPP",IFERROR(IF(AND(AK75&gt;AL75,AK75&lt;AM75),"0",(VLOOKUP(AK75,'ELA Reading Logic'!$A$22:$B$48,2,FALSE))-(IF(VLOOKUP(AK75,'ELA Reading Logic'!$A$22:$B$48,2,FALSE)&lt;=VLOOKUP(AL75,'ELA Reading Logic'!$A$22:$B$48,2,FALSE),VLOOKUP(AL75,'ELA Reading Logic'!$A$22:$B$48,2,FALSE),IF(VLOOKUP(AK75,'ELA Reading Logic'!$A$22:$B$48,2,FALSE)&gt;=VLOOKUP(AM75,'ELA Reading Logic'!$A$22:$B$48,2,FALSE),VLOOKUP(AM75,'ELA Reading Logic'!$A$22:$B$48,2,FALSE),"No Score")))),"No Value"))</f>
        <v>No Value</v>
      </c>
      <c r="AO75" s="96" t="str">
        <f>IFERROR(VLOOKUP(AK75,'ELA Reading Logic'!$A$22:$B$48,2,FALSE)-VLOOKUP($F75,'ELA Reading Logic'!$A$22:$B$48,2,FALSE),"No Value")</f>
        <v>No Value</v>
      </c>
      <c r="AP75" s="92"/>
      <c r="AQ75" s="96" t="str">
        <f>IFERROR(IF($E75="Yes","IPP",VLOOKUP($J75,'ELA Reading Logic'!$A$3:$K$9,VLOOKUP(AP$1,'ELA Reading Logic'!$J$22:$K$31,2,FALSE),FALSE)),"Set Grade")</f>
        <v>Set Grade</v>
      </c>
      <c r="AR75" s="96" t="str">
        <f>IFERROR(IF($E75="Yes","IPP",VLOOKUP($J75,'ELA Reading Logic'!$A$13:$K$19,VLOOKUP(AP$1,'ELA Reading Logic'!$J$22:$K$31,2,FALSE),FALSE)),"Set Grade")</f>
        <v>Set Grade</v>
      </c>
      <c r="AS75" s="96" t="str">
        <f>IF($E75="Yes","IPP",IFERROR(IF(AND(AP75&gt;AQ75,AP75&lt;AR75),"0",(VLOOKUP(AP75,'ELA Reading Logic'!$A$22:$B$48,2,FALSE))-(IF(VLOOKUP(AP75,'ELA Reading Logic'!$A$22:$B$48,2,FALSE)&lt;=VLOOKUP(AQ75,'ELA Reading Logic'!$A$22:$B$48,2,FALSE),VLOOKUP(AQ75,'ELA Reading Logic'!$A$22:$B$48,2,FALSE),IF(VLOOKUP(AP75,'ELA Reading Logic'!$A$22:$B$48,2,FALSE)&gt;=VLOOKUP(AR75,'ELA Reading Logic'!$A$22:$B$48,2,FALSE),VLOOKUP(AR75,'ELA Reading Logic'!$A$22:$B$48,2,FALSE),"No Score")))),"No Value"))</f>
        <v>No Value</v>
      </c>
      <c r="AT75" s="96" t="str">
        <f>IFERROR(VLOOKUP(AP75,'ELA Reading Logic'!$A$22:$B$48,2,FALSE)-VLOOKUP($F75,'ELA Reading Logic'!$A$22:$B$48,2,FALSE),"No Value")</f>
        <v>No Value</v>
      </c>
    </row>
    <row r="76" spans="1:46" ht="22.5" customHeight="1" x14ac:dyDescent="0.25">
      <c r="A76" s="174"/>
      <c r="B76" s="174"/>
      <c r="C76" s="174"/>
      <c r="D76" s="174"/>
      <c r="E76" s="175"/>
      <c r="F76" s="175"/>
      <c r="G76" s="177" t="str">
        <f>IFERROR(IF($E76="Yes","IPP",VLOOKUP($J76,'ELA Reading Logic'!$A$3:$K$9,VLOOKUP("September",'ELA Reading Logic'!$J$22:$K$31,2,FALSE),FALSE)),"Set Grade")</f>
        <v>Set Grade</v>
      </c>
      <c r="H76" s="177" t="str">
        <f>IFERROR(IF($E76="Yes","IPP",VLOOKUP($J76,'ELA Reading Logic'!$A$13:$K$19,VLOOKUP("September",'ELA Reading Logic'!$J$22:$K$31,2,FALSE),FALSE)),"Set Grade")</f>
        <v>Set Grade</v>
      </c>
      <c r="I76" s="96" t="str">
        <f>IF($E76="Yes","IPP",IFERROR(IF(AND(F76&gt;G76,F76&lt;H76),"0",(VLOOKUP(F76,'ELA Reading Logic'!$A$22:$B$48,2,FALSE))-(IF(VLOOKUP(F76,'ELA Reading Logic'!$A$22:$B$48,2,FALSE)&lt;=VLOOKUP(G76,'ELA Reading Logic'!$A$22:$B$48,2,FALSE),VLOOKUP(G76,'ELA Reading Logic'!$A$22:$B$48,2,FALSE),IF(VLOOKUP(F76,'ELA Reading Logic'!$A$22:$B$48,2,FALSE)&gt;=VLOOKUP(H76,'ELA Reading Logic'!$A$22:$B$48,2,FALSE),VLOOKUP(H76,'ELA Reading Logic'!$A$22:$B$48,2,FALSE),"No Score")))),"No Value"))</f>
        <v>No Value</v>
      </c>
      <c r="J76" s="178"/>
      <c r="K76" s="96"/>
      <c r="L76" s="96"/>
      <c r="M76" s="96"/>
      <c r="N76" s="96"/>
      <c r="O76" s="96"/>
      <c r="P76" s="105"/>
      <c r="Q76" s="92"/>
      <c r="R76" s="96" t="str">
        <f>IFERROR(IF($E76="Yes","IPP",VLOOKUP($J76,'ELA Reading Logic'!$A$3:$K$9,VLOOKUP(Q$1,'ELA Reading Logic'!$J$22:$K$31,2,FALSE),FALSE)),"Set Grade")</f>
        <v>Set Grade</v>
      </c>
      <c r="S76" s="96" t="str">
        <f>IFERROR(IF($E76="Yes","IPP",VLOOKUP($J76,'ELA Reading Logic'!$A$13:$K$19,VLOOKUP(Q$1,'ELA Reading Logic'!$J$22:$K$31,2,FALSE),FALSE)),"Set Grade")</f>
        <v>Set Grade</v>
      </c>
      <c r="T76" s="96" t="str">
        <f>IF($E76="Yes","IPP",IFERROR(IF(AND(Q76&gt;R76,Q76&lt;S76),"0",(VLOOKUP(Q76,'ELA Reading Logic'!$A$22:$B$48,2,FALSE))-(IF(VLOOKUP(Q76,'ELA Reading Logic'!$A$22:$B$48,2,FALSE)&lt;=VLOOKUP(R76,'ELA Reading Logic'!$A$22:$B$48,2,FALSE),VLOOKUP(R76,'ELA Reading Logic'!$A$22:$B$48,2,FALSE),IF(VLOOKUP(Q76,'ELA Reading Logic'!$A$22:$B$48,2,FALSE)&gt;=VLOOKUP(S76,'ELA Reading Logic'!$A$22:$B$48,2,FALSE),VLOOKUP(S76,'ELA Reading Logic'!$A$22:$B$48,2,FALSE),"No Score")))),"No Value"))</f>
        <v>No Value</v>
      </c>
      <c r="U76" s="96" t="str">
        <f>IFERROR(VLOOKUP(Q76,'ELA Reading Logic'!$A$22:$B$48,2,FALSE)-VLOOKUP($F76,'ELA Reading Logic'!$A$22:$B$48,2,FALSE),"No Value")</f>
        <v>No Value</v>
      </c>
      <c r="V76" s="92"/>
      <c r="W76" s="96" t="str">
        <f>IFERROR(IF($E76="Yes","IPP",VLOOKUP($J76,'ELA Reading Logic'!$A$3:$K$9,VLOOKUP(V$1,'ELA Reading Logic'!$J$22:$K$31,2,FALSE),FALSE)),"Set Grade")</f>
        <v>Set Grade</v>
      </c>
      <c r="X76" s="96" t="str">
        <f>IFERROR(IF($E76="Yes","IPP",VLOOKUP($J76,'ELA Reading Logic'!$A$13:$K$19,VLOOKUP(V$1,'ELA Reading Logic'!$J$22:$K$31,2,FALSE),FALSE)),"Set Grade")</f>
        <v>Set Grade</v>
      </c>
      <c r="Y76" s="96" t="str">
        <f>IF($E76="Yes","IPP",IFERROR(IF(AND(V76&gt;W76,V76&lt;X76),"0",(VLOOKUP(V76,'ELA Reading Logic'!$A$22:$B$48,2,FALSE))-(IF(VLOOKUP(V76,'ELA Reading Logic'!$A$22:$B$48,2,FALSE)&lt;=VLOOKUP(W76,'ELA Reading Logic'!$A$22:$B$48,2,FALSE),VLOOKUP(W76,'ELA Reading Logic'!$A$22:$B$48,2,FALSE),IF(VLOOKUP(V76,'ELA Reading Logic'!$A$22:$B$48,2,FALSE)&gt;=VLOOKUP(X76,'ELA Reading Logic'!$A$22:$B$48,2,FALSE),VLOOKUP(X76,'ELA Reading Logic'!$A$22:$B$48,2,FALSE),"No Score")))),"No Value"))</f>
        <v>No Value</v>
      </c>
      <c r="Z76" s="96" t="str">
        <f>IFERROR(VLOOKUP(V76,'ELA Reading Logic'!$A$22:$B$48,2,FALSE)-VLOOKUP($F76,'ELA Reading Logic'!$A$22:$B$48,2,FALSE),"No Value")</f>
        <v>No Value</v>
      </c>
      <c r="AA76" s="92"/>
      <c r="AB76" s="96" t="str">
        <f>IFERROR(IF($E76="Yes","IPP",VLOOKUP($J76,'ELA Reading Logic'!$A$3:$K$9,VLOOKUP(AA$1,'ELA Reading Logic'!$J$22:$K$31,2,FALSE),FALSE)),"Set Grade")</f>
        <v>Set Grade</v>
      </c>
      <c r="AC76" s="96" t="str">
        <f>IFERROR(IF($E76="Yes","IPP",VLOOKUP($J76,'ELA Reading Logic'!$A$13:$K$19,VLOOKUP(AA$1,'ELA Reading Logic'!$J$22:$K$31,2,FALSE),FALSE)),"Set Grade")</f>
        <v>Set Grade</v>
      </c>
      <c r="AD76" s="96" t="str">
        <f>IF($E76="Yes","IPP",IFERROR(IF(AND(AA76&gt;AB76,AA76&lt;AC76),"0",(VLOOKUP(AA76,'ELA Reading Logic'!$A$22:$B$48,2,FALSE))-(IF(VLOOKUP(AA76,'ELA Reading Logic'!$A$22:$B$48,2,FALSE)&lt;=VLOOKUP(AB76,'ELA Reading Logic'!$A$22:$B$48,2,FALSE),VLOOKUP(AB76,'ELA Reading Logic'!$A$22:$B$48,2,FALSE),IF(VLOOKUP(AA76,'ELA Reading Logic'!$A$22:$B$48,2,FALSE)&gt;=VLOOKUP(AC76,'ELA Reading Logic'!$A$22:$B$48,2,FALSE),VLOOKUP(AC76,'ELA Reading Logic'!$A$22:$B$48,2,FALSE),"No Score")))),"No Value"))</f>
        <v>No Value</v>
      </c>
      <c r="AE76" s="96" t="str">
        <f>IFERROR(VLOOKUP(AA76,'ELA Reading Logic'!$A$22:$B$48,2,FALSE)-VLOOKUP($F76,'ELA Reading Logic'!$A$22:$B$48,2,FALSE),"No Value")</f>
        <v>No Value</v>
      </c>
      <c r="AF76" s="92"/>
      <c r="AG76" s="96" t="str">
        <f>IFERROR(IF($E76="Yes","IPP",VLOOKUP($J76,'ELA Reading Logic'!$A$3:$K$9,VLOOKUP(AF$1,'ELA Reading Logic'!$J$22:$K$31,2,FALSE),FALSE)),"Set Grade")</f>
        <v>Set Grade</v>
      </c>
      <c r="AH76" s="96" t="str">
        <f>IFERROR(IF($E76="Yes","IPP",VLOOKUP($J76,'ELA Reading Logic'!$A$13:$K$19,VLOOKUP(AF$1,'ELA Reading Logic'!$J$22:$K$31,2,FALSE),FALSE)),"Set Grade")</f>
        <v>Set Grade</v>
      </c>
      <c r="AI76" s="96" t="str">
        <f>IF($E76="Yes","IPP",IFERROR(IF(AND(AF76&gt;AG76,AF76&lt;AH76),"0",(VLOOKUP(AF76,'ELA Reading Logic'!$A$22:$B$48,2,FALSE))-(IF(VLOOKUP(AF76,'ELA Reading Logic'!$A$22:$B$48,2,FALSE)&lt;=VLOOKUP(AG76,'ELA Reading Logic'!$A$22:$B$48,2,FALSE),VLOOKUP(AG76,'ELA Reading Logic'!$A$22:$B$48,2,FALSE),IF(VLOOKUP(AF76,'ELA Reading Logic'!$A$22:$B$48,2,FALSE)&gt;=VLOOKUP(AH76,'ELA Reading Logic'!$A$22:$B$48,2,FALSE),VLOOKUP(AH76,'ELA Reading Logic'!$A$22:$B$48,2,FALSE),"No Score")))),"No Value"))</f>
        <v>No Value</v>
      </c>
      <c r="AJ76" s="96" t="str">
        <f>IFERROR(VLOOKUP(AF76,'ELA Reading Logic'!$A$22:$B$48,2,FALSE)-VLOOKUP($F76,'ELA Reading Logic'!$A$22:$B$48,2,FALSE),"No Value")</f>
        <v>No Value</v>
      </c>
      <c r="AK76" s="92"/>
      <c r="AL76" s="96" t="str">
        <f>IFERROR(IF($E76="Yes","IPP",VLOOKUP($J76,'ELA Reading Logic'!$A$3:$K$9,VLOOKUP(AK$1,'ELA Reading Logic'!$J$22:$K$31,2,FALSE),FALSE)),"Set Grade")</f>
        <v>Set Grade</v>
      </c>
      <c r="AM76" s="96" t="str">
        <f>IFERROR(IF($E76="Yes","IPP",VLOOKUP($J76,'ELA Reading Logic'!$A$13:$K$19,VLOOKUP(AK$1,'ELA Reading Logic'!$J$22:$K$31,2,FALSE),FALSE)),"Set Grade")</f>
        <v>Set Grade</v>
      </c>
      <c r="AN76" s="96" t="str">
        <f>IF($E76="Yes","IPP",IFERROR(IF(AND(AK76&gt;AL76,AK76&lt;AM76),"0",(VLOOKUP(AK76,'ELA Reading Logic'!$A$22:$B$48,2,FALSE))-(IF(VLOOKUP(AK76,'ELA Reading Logic'!$A$22:$B$48,2,FALSE)&lt;=VLOOKUP(AL76,'ELA Reading Logic'!$A$22:$B$48,2,FALSE),VLOOKUP(AL76,'ELA Reading Logic'!$A$22:$B$48,2,FALSE),IF(VLOOKUP(AK76,'ELA Reading Logic'!$A$22:$B$48,2,FALSE)&gt;=VLOOKUP(AM76,'ELA Reading Logic'!$A$22:$B$48,2,FALSE),VLOOKUP(AM76,'ELA Reading Logic'!$A$22:$B$48,2,FALSE),"No Score")))),"No Value"))</f>
        <v>No Value</v>
      </c>
      <c r="AO76" s="96" t="str">
        <f>IFERROR(VLOOKUP(AK76,'ELA Reading Logic'!$A$22:$B$48,2,FALSE)-VLOOKUP($F76,'ELA Reading Logic'!$A$22:$B$48,2,FALSE),"No Value")</f>
        <v>No Value</v>
      </c>
      <c r="AP76" s="92"/>
      <c r="AQ76" s="96" t="str">
        <f>IFERROR(IF($E76="Yes","IPP",VLOOKUP($J76,'ELA Reading Logic'!$A$3:$K$9,VLOOKUP(AP$1,'ELA Reading Logic'!$J$22:$K$31,2,FALSE),FALSE)),"Set Grade")</f>
        <v>Set Grade</v>
      </c>
      <c r="AR76" s="96" t="str">
        <f>IFERROR(IF($E76="Yes","IPP",VLOOKUP($J76,'ELA Reading Logic'!$A$13:$K$19,VLOOKUP(AP$1,'ELA Reading Logic'!$J$22:$K$31,2,FALSE),FALSE)),"Set Grade")</f>
        <v>Set Grade</v>
      </c>
      <c r="AS76" s="96" t="str">
        <f>IF($E76="Yes","IPP",IFERROR(IF(AND(AP76&gt;AQ76,AP76&lt;AR76),"0",(VLOOKUP(AP76,'ELA Reading Logic'!$A$22:$B$48,2,FALSE))-(IF(VLOOKUP(AP76,'ELA Reading Logic'!$A$22:$B$48,2,FALSE)&lt;=VLOOKUP(AQ76,'ELA Reading Logic'!$A$22:$B$48,2,FALSE),VLOOKUP(AQ76,'ELA Reading Logic'!$A$22:$B$48,2,FALSE),IF(VLOOKUP(AP76,'ELA Reading Logic'!$A$22:$B$48,2,FALSE)&gt;=VLOOKUP(AR76,'ELA Reading Logic'!$A$22:$B$48,2,FALSE),VLOOKUP(AR76,'ELA Reading Logic'!$A$22:$B$48,2,FALSE),"No Score")))),"No Value"))</f>
        <v>No Value</v>
      </c>
      <c r="AT76" s="96" t="str">
        <f>IFERROR(VLOOKUP(AP76,'ELA Reading Logic'!$A$22:$B$48,2,FALSE)-VLOOKUP($F76,'ELA Reading Logic'!$A$22:$B$48,2,FALSE),"No Value")</f>
        <v>No Value</v>
      </c>
    </row>
    <row r="77" spans="1:46" ht="22.5" customHeight="1" x14ac:dyDescent="0.25">
      <c r="A77" s="176"/>
      <c r="B77" s="176"/>
      <c r="C77" s="176"/>
      <c r="D77" s="176"/>
      <c r="E77" s="175"/>
      <c r="F77" s="175"/>
      <c r="G77" s="177" t="str">
        <f>IFERROR(IF($E77="Yes","IPP",VLOOKUP($J77,'ELA Reading Logic'!$A$3:$K$9,VLOOKUP("September",'ELA Reading Logic'!$J$22:$K$31,2,FALSE),FALSE)),"Set Grade")</f>
        <v>Set Grade</v>
      </c>
      <c r="H77" s="177" t="str">
        <f>IFERROR(IF($E77="Yes","IPP",VLOOKUP($J77,'ELA Reading Logic'!$A$13:$K$19,VLOOKUP("September",'ELA Reading Logic'!$J$22:$K$31,2,FALSE),FALSE)),"Set Grade")</f>
        <v>Set Grade</v>
      </c>
      <c r="I77" s="96" t="str">
        <f>IF($E77="Yes","IPP",IFERROR(IF(AND(F77&gt;G77,F77&lt;H77),"0",(VLOOKUP(F77,'ELA Reading Logic'!$A$22:$B$48,2,FALSE))-(IF(VLOOKUP(F77,'ELA Reading Logic'!$A$22:$B$48,2,FALSE)&lt;=VLOOKUP(G77,'ELA Reading Logic'!$A$22:$B$48,2,FALSE),VLOOKUP(G77,'ELA Reading Logic'!$A$22:$B$48,2,FALSE),IF(VLOOKUP(F77,'ELA Reading Logic'!$A$22:$B$48,2,FALSE)&gt;=VLOOKUP(H77,'ELA Reading Logic'!$A$22:$B$48,2,FALSE),VLOOKUP(H77,'ELA Reading Logic'!$A$22:$B$48,2,FALSE),"No Score")))),"No Value"))</f>
        <v>No Value</v>
      </c>
      <c r="J77" s="178"/>
      <c r="K77" s="96"/>
      <c r="L77" s="96"/>
      <c r="M77" s="96"/>
      <c r="N77" s="96"/>
      <c r="O77" s="96"/>
      <c r="P77" s="105"/>
      <c r="Q77" s="92"/>
      <c r="R77" s="96" t="str">
        <f>IFERROR(IF($E77="Yes","IPP",VLOOKUP($J77,'ELA Reading Logic'!$A$3:$K$9,VLOOKUP(Q$1,'ELA Reading Logic'!$J$22:$K$31,2,FALSE),FALSE)),"Set Grade")</f>
        <v>Set Grade</v>
      </c>
      <c r="S77" s="96" t="str">
        <f>IFERROR(IF($E77="Yes","IPP",VLOOKUP($J77,'ELA Reading Logic'!$A$13:$K$19,VLOOKUP(Q$1,'ELA Reading Logic'!$J$22:$K$31,2,FALSE),FALSE)),"Set Grade")</f>
        <v>Set Grade</v>
      </c>
      <c r="T77" s="96" t="str">
        <f>IF($E77="Yes","IPP",IFERROR(IF(AND(Q77&gt;R77,Q77&lt;S77),"0",(VLOOKUP(Q77,'ELA Reading Logic'!$A$22:$B$48,2,FALSE))-(IF(VLOOKUP(Q77,'ELA Reading Logic'!$A$22:$B$48,2,FALSE)&lt;=VLOOKUP(R77,'ELA Reading Logic'!$A$22:$B$48,2,FALSE),VLOOKUP(R77,'ELA Reading Logic'!$A$22:$B$48,2,FALSE),IF(VLOOKUP(Q77,'ELA Reading Logic'!$A$22:$B$48,2,FALSE)&gt;=VLOOKUP(S77,'ELA Reading Logic'!$A$22:$B$48,2,FALSE),VLOOKUP(S77,'ELA Reading Logic'!$A$22:$B$48,2,FALSE),"No Score")))),"No Value"))</f>
        <v>No Value</v>
      </c>
      <c r="U77" s="96" t="str">
        <f>IFERROR(VLOOKUP(Q77,'ELA Reading Logic'!$A$22:$B$48,2,FALSE)-VLOOKUP($F77,'ELA Reading Logic'!$A$22:$B$48,2,FALSE),"No Value")</f>
        <v>No Value</v>
      </c>
      <c r="V77" s="92"/>
      <c r="W77" s="96" t="str">
        <f>IFERROR(IF($E77="Yes","IPP",VLOOKUP($J77,'ELA Reading Logic'!$A$3:$K$9,VLOOKUP(V$1,'ELA Reading Logic'!$J$22:$K$31,2,FALSE),FALSE)),"Set Grade")</f>
        <v>Set Grade</v>
      </c>
      <c r="X77" s="96" t="str">
        <f>IFERROR(IF($E77="Yes","IPP",VLOOKUP($J77,'ELA Reading Logic'!$A$13:$K$19,VLOOKUP(V$1,'ELA Reading Logic'!$J$22:$K$31,2,FALSE),FALSE)),"Set Grade")</f>
        <v>Set Grade</v>
      </c>
      <c r="Y77" s="96" t="str">
        <f>IF($E77="Yes","IPP",IFERROR(IF(AND(V77&gt;W77,V77&lt;X77),"0",(VLOOKUP(V77,'ELA Reading Logic'!$A$22:$B$48,2,FALSE))-(IF(VLOOKUP(V77,'ELA Reading Logic'!$A$22:$B$48,2,FALSE)&lt;=VLOOKUP(W77,'ELA Reading Logic'!$A$22:$B$48,2,FALSE),VLOOKUP(W77,'ELA Reading Logic'!$A$22:$B$48,2,FALSE),IF(VLOOKUP(V77,'ELA Reading Logic'!$A$22:$B$48,2,FALSE)&gt;=VLOOKUP(X77,'ELA Reading Logic'!$A$22:$B$48,2,FALSE),VLOOKUP(X77,'ELA Reading Logic'!$A$22:$B$48,2,FALSE),"No Score")))),"No Value"))</f>
        <v>No Value</v>
      </c>
      <c r="Z77" s="96" t="str">
        <f>IFERROR(VLOOKUP(V77,'ELA Reading Logic'!$A$22:$B$48,2,FALSE)-VLOOKUP($F77,'ELA Reading Logic'!$A$22:$B$48,2,FALSE),"No Value")</f>
        <v>No Value</v>
      </c>
      <c r="AA77" s="92"/>
      <c r="AB77" s="96" t="str">
        <f>IFERROR(IF($E77="Yes","IPP",VLOOKUP($J77,'ELA Reading Logic'!$A$3:$K$9,VLOOKUP(AA$1,'ELA Reading Logic'!$J$22:$K$31,2,FALSE),FALSE)),"Set Grade")</f>
        <v>Set Grade</v>
      </c>
      <c r="AC77" s="96" t="str">
        <f>IFERROR(IF($E77="Yes","IPP",VLOOKUP($J77,'ELA Reading Logic'!$A$13:$K$19,VLOOKUP(AA$1,'ELA Reading Logic'!$J$22:$K$31,2,FALSE),FALSE)),"Set Grade")</f>
        <v>Set Grade</v>
      </c>
      <c r="AD77" s="96" t="str">
        <f>IF($E77="Yes","IPP",IFERROR(IF(AND(AA77&gt;AB77,AA77&lt;AC77),"0",(VLOOKUP(AA77,'ELA Reading Logic'!$A$22:$B$48,2,FALSE))-(IF(VLOOKUP(AA77,'ELA Reading Logic'!$A$22:$B$48,2,FALSE)&lt;=VLOOKUP(AB77,'ELA Reading Logic'!$A$22:$B$48,2,FALSE),VLOOKUP(AB77,'ELA Reading Logic'!$A$22:$B$48,2,FALSE),IF(VLOOKUP(AA77,'ELA Reading Logic'!$A$22:$B$48,2,FALSE)&gt;=VLOOKUP(AC77,'ELA Reading Logic'!$A$22:$B$48,2,FALSE),VLOOKUP(AC77,'ELA Reading Logic'!$A$22:$B$48,2,FALSE),"No Score")))),"No Value"))</f>
        <v>No Value</v>
      </c>
      <c r="AE77" s="96" t="str">
        <f>IFERROR(VLOOKUP(AA77,'ELA Reading Logic'!$A$22:$B$48,2,FALSE)-VLOOKUP($F77,'ELA Reading Logic'!$A$22:$B$48,2,FALSE),"No Value")</f>
        <v>No Value</v>
      </c>
      <c r="AF77" s="92"/>
      <c r="AG77" s="96" t="str">
        <f>IFERROR(IF($E77="Yes","IPP",VLOOKUP($J77,'ELA Reading Logic'!$A$3:$K$9,VLOOKUP(AF$1,'ELA Reading Logic'!$J$22:$K$31,2,FALSE),FALSE)),"Set Grade")</f>
        <v>Set Grade</v>
      </c>
      <c r="AH77" s="96" t="str">
        <f>IFERROR(IF($E77="Yes","IPP",VLOOKUP($J77,'ELA Reading Logic'!$A$13:$K$19,VLOOKUP(AF$1,'ELA Reading Logic'!$J$22:$K$31,2,FALSE),FALSE)),"Set Grade")</f>
        <v>Set Grade</v>
      </c>
      <c r="AI77" s="96" t="str">
        <f>IF($E77="Yes","IPP",IFERROR(IF(AND(AF77&gt;AG77,AF77&lt;AH77),"0",(VLOOKUP(AF77,'ELA Reading Logic'!$A$22:$B$48,2,FALSE))-(IF(VLOOKUP(AF77,'ELA Reading Logic'!$A$22:$B$48,2,FALSE)&lt;=VLOOKUP(AG77,'ELA Reading Logic'!$A$22:$B$48,2,FALSE),VLOOKUP(AG77,'ELA Reading Logic'!$A$22:$B$48,2,FALSE),IF(VLOOKUP(AF77,'ELA Reading Logic'!$A$22:$B$48,2,FALSE)&gt;=VLOOKUP(AH77,'ELA Reading Logic'!$A$22:$B$48,2,FALSE),VLOOKUP(AH77,'ELA Reading Logic'!$A$22:$B$48,2,FALSE),"No Score")))),"No Value"))</f>
        <v>No Value</v>
      </c>
      <c r="AJ77" s="96" t="str">
        <f>IFERROR(VLOOKUP(AF77,'ELA Reading Logic'!$A$22:$B$48,2,FALSE)-VLOOKUP($F77,'ELA Reading Logic'!$A$22:$B$48,2,FALSE),"No Value")</f>
        <v>No Value</v>
      </c>
      <c r="AK77" s="92"/>
      <c r="AL77" s="96" t="str">
        <f>IFERROR(IF($E77="Yes","IPP",VLOOKUP($J77,'ELA Reading Logic'!$A$3:$K$9,VLOOKUP(AK$1,'ELA Reading Logic'!$J$22:$K$31,2,FALSE),FALSE)),"Set Grade")</f>
        <v>Set Grade</v>
      </c>
      <c r="AM77" s="96" t="str">
        <f>IFERROR(IF($E77="Yes","IPP",VLOOKUP($J77,'ELA Reading Logic'!$A$13:$K$19,VLOOKUP(AK$1,'ELA Reading Logic'!$J$22:$K$31,2,FALSE),FALSE)),"Set Grade")</f>
        <v>Set Grade</v>
      </c>
      <c r="AN77" s="96" t="str">
        <f>IF($E77="Yes","IPP",IFERROR(IF(AND(AK77&gt;AL77,AK77&lt;AM77),"0",(VLOOKUP(AK77,'ELA Reading Logic'!$A$22:$B$48,2,FALSE))-(IF(VLOOKUP(AK77,'ELA Reading Logic'!$A$22:$B$48,2,FALSE)&lt;=VLOOKUP(AL77,'ELA Reading Logic'!$A$22:$B$48,2,FALSE),VLOOKUP(AL77,'ELA Reading Logic'!$A$22:$B$48,2,FALSE),IF(VLOOKUP(AK77,'ELA Reading Logic'!$A$22:$B$48,2,FALSE)&gt;=VLOOKUP(AM77,'ELA Reading Logic'!$A$22:$B$48,2,FALSE),VLOOKUP(AM77,'ELA Reading Logic'!$A$22:$B$48,2,FALSE),"No Score")))),"No Value"))</f>
        <v>No Value</v>
      </c>
      <c r="AO77" s="96" t="str">
        <f>IFERROR(VLOOKUP(AK77,'ELA Reading Logic'!$A$22:$B$48,2,FALSE)-VLOOKUP($F77,'ELA Reading Logic'!$A$22:$B$48,2,FALSE),"No Value")</f>
        <v>No Value</v>
      </c>
      <c r="AP77" s="92"/>
      <c r="AQ77" s="96" t="str">
        <f>IFERROR(IF($E77="Yes","IPP",VLOOKUP($J77,'ELA Reading Logic'!$A$3:$K$9,VLOOKUP(AP$1,'ELA Reading Logic'!$J$22:$K$31,2,FALSE),FALSE)),"Set Grade")</f>
        <v>Set Grade</v>
      </c>
      <c r="AR77" s="96" t="str">
        <f>IFERROR(IF($E77="Yes","IPP",VLOOKUP($J77,'ELA Reading Logic'!$A$13:$K$19,VLOOKUP(AP$1,'ELA Reading Logic'!$J$22:$K$31,2,FALSE),FALSE)),"Set Grade")</f>
        <v>Set Grade</v>
      </c>
      <c r="AS77" s="96" t="str">
        <f>IF($E77="Yes","IPP",IFERROR(IF(AND(AP77&gt;AQ77,AP77&lt;AR77),"0",(VLOOKUP(AP77,'ELA Reading Logic'!$A$22:$B$48,2,FALSE))-(IF(VLOOKUP(AP77,'ELA Reading Logic'!$A$22:$B$48,2,FALSE)&lt;=VLOOKUP(AQ77,'ELA Reading Logic'!$A$22:$B$48,2,FALSE),VLOOKUP(AQ77,'ELA Reading Logic'!$A$22:$B$48,2,FALSE),IF(VLOOKUP(AP77,'ELA Reading Logic'!$A$22:$B$48,2,FALSE)&gt;=VLOOKUP(AR77,'ELA Reading Logic'!$A$22:$B$48,2,FALSE),VLOOKUP(AR77,'ELA Reading Logic'!$A$22:$B$48,2,FALSE),"No Score")))),"No Value"))</f>
        <v>No Value</v>
      </c>
      <c r="AT77" s="96" t="str">
        <f>IFERROR(VLOOKUP(AP77,'ELA Reading Logic'!$A$22:$B$48,2,FALSE)-VLOOKUP($F77,'ELA Reading Logic'!$A$22:$B$48,2,FALSE),"No Value")</f>
        <v>No Value</v>
      </c>
    </row>
    <row r="78" spans="1:46" ht="22.5" customHeight="1" x14ac:dyDescent="0.25">
      <c r="A78" s="174"/>
      <c r="B78" s="174"/>
      <c r="C78" s="174"/>
      <c r="D78" s="174"/>
      <c r="E78" s="175"/>
      <c r="F78" s="175"/>
      <c r="G78" s="177" t="str">
        <f>IFERROR(IF($E78="Yes","IPP",VLOOKUP($J78,'ELA Reading Logic'!$A$3:$K$9,VLOOKUP("September",'ELA Reading Logic'!$J$22:$K$31,2,FALSE),FALSE)),"Set Grade")</f>
        <v>Set Grade</v>
      </c>
      <c r="H78" s="177" t="str">
        <f>IFERROR(IF($E78="Yes","IPP",VLOOKUP($J78,'ELA Reading Logic'!$A$13:$K$19,VLOOKUP("September",'ELA Reading Logic'!$J$22:$K$31,2,FALSE),FALSE)),"Set Grade")</f>
        <v>Set Grade</v>
      </c>
      <c r="I78" s="96" t="str">
        <f>IF($E78="Yes","IPP",IFERROR(IF(AND(F78&gt;G78,F78&lt;H78),"0",(VLOOKUP(F78,'ELA Reading Logic'!$A$22:$B$48,2,FALSE))-(IF(VLOOKUP(F78,'ELA Reading Logic'!$A$22:$B$48,2,FALSE)&lt;=VLOOKUP(G78,'ELA Reading Logic'!$A$22:$B$48,2,FALSE),VLOOKUP(G78,'ELA Reading Logic'!$A$22:$B$48,2,FALSE),IF(VLOOKUP(F78,'ELA Reading Logic'!$A$22:$B$48,2,FALSE)&gt;=VLOOKUP(H78,'ELA Reading Logic'!$A$22:$B$48,2,FALSE),VLOOKUP(H78,'ELA Reading Logic'!$A$22:$B$48,2,FALSE),"No Score")))),"No Value"))</f>
        <v>No Value</v>
      </c>
      <c r="J78" s="178"/>
      <c r="K78" s="96"/>
      <c r="L78" s="96"/>
      <c r="M78" s="96"/>
      <c r="N78" s="96"/>
      <c r="O78" s="96"/>
      <c r="P78" s="105"/>
      <c r="Q78" s="92"/>
      <c r="R78" s="96" t="str">
        <f>IFERROR(IF($E78="Yes","IPP",VLOOKUP($J78,'ELA Reading Logic'!$A$3:$K$9,VLOOKUP(Q$1,'ELA Reading Logic'!$J$22:$K$31,2,FALSE),FALSE)),"Set Grade")</f>
        <v>Set Grade</v>
      </c>
      <c r="S78" s="96" t="str">
        <f>IFERROR(IF($E78="Yes","IPP",VLOOKUP($J78,'ELA Reading Logic'!$A$13:$K$19,VLOOKUP(Q$1,'ELA Reading Logic'!$J$22:$K$31,2,FALSE),FALSE)),"Set Grade")</f>
        <v>Set Grade</v>
      </c>
      <c r="T78" s="96" t="str">
        <f>IF($E78="Yes","IPP",IFERROR(IF(AND(Q78&gt;R78,Q78&lt;S78),"0",(VLOOKUP(Q78,'ELA Reading Logic'!$A$22:$B$48,2,FALSE))-(IF(VLOOKUP(Q78,'ELA Reading Logic'!$A$22:$B$48,2,FALSE)&lt;=VLOOKUP(R78,'ELA Reading Logic'!$A$22:$B$48,2,FALSE),VLOOKUP(R78,'ELA Reading Logic'!$A$22:$B$48,2,FALSE),IF(VLOOKUP(Q78,'ELA Reading Logic'!$A$22:$B$48,2,FALSE)&gt;=VLOOKUP(S78,'ELA Reading Logic'!$A$22:$B$48,2,FALSE),VLOOKUP(S78,'ELA Reading Logic'!$A$22:$B$48,2,FALSE),"No Score")))),"No Value"))</f>
        <v>No Value</v>
      </c>
      <c r="U78" s="96" t="str">
        <f>IFERROR(VLOOKUP(Q78,'ELA Reading Logic'!$A$22:$B$48,2,FALSE)-VLOOKUP($F78,'ELA Reading Logic'!$A$22:$B$48,2,FALSE),"No Value")</f>
        <v>No Value</v>
      </c>
      <c r="V78" s="92"/>
      <c r="W78" s="96" t="str">
        <f>IFERROR(IF($E78="Yes","IPP",VLOOKUP($J78,'ELA Reading Logic'!$A$3:$K$9,VLOOKUP(V$1,'ELA Reading Logic'!$J$22:$K$31,2,FALSE),FALSE)),"Set Grade")</f>
        <v>Set Grade</v>
      </c>
      <c r="X78" s="96" t="str">
        <f>IFERROR(IF($E78="Yes","IPP",VLOOKUP($J78,'ELA Reading Logic'!$A$13:$K$19,VLOOKUP(V$1,'ELA Reading Logic'!$J$22:$K$31,2,FALSE),FALSE)),"Set Grade")</f>
        <v>Set Grade</v>
      </c>
      <c r="Y78" s="96" t="str">
        <f>IF($E78="Yes","IPP",IFERROR(IF(AND(V78&gt;W78,V78&lt;X78),"0",(VLOOKUP(V78,'ELA Reading Logic'!$A$22:$B$48,2,FALSE))-(IF(VLOOKUP(V78,'ELA Reading Logic'!$A$22:$B$48,2,FALSE)&lt;=VLOOKUP(W78,'ELA Reading Logic'!$A$22:$B$48,2,FALSE),VLOOKUP(W78,'ELA Reading Logic'!$A$22:$B$48,2,FALSE),IF(VLOOKUP(V78,'ELA Reading Logic'!$A$22:$B$48,2,FALSE)&gt;=VLOOKUP(X78,'ELA Reading Logic'!$A$22:$B$48,2,FALSE),VLOOKUP(X78,'ELA Reading Logic'!$A$22:$B$48,2,FALSE),"No Score")))),"No Value"))</f>
        <v>No Value</v>
      </c>
      <c r="Z78" s="96" t="str">
        <f>IFERROR(VLOOKUP(V78,'ELA Reading Logic'!$A$22:$B$48,2,FALSE)-VLOOKUP($F78,'ELA Reading Logic'!$A$22:$B$48,2,FALSE),"No Value")</f>
        <v>No Value</v>
      </c>
      <c r="AA78" s="92"/>
      <c r="AB78" s="96" t="str">
        <f>IFERROR(IF($E78="Yes","IPP",VLOOKUP($J78,'ELA Reading Logic'!$A$3:$K$9,VLOOKUP(AA$1,'ELA Reading Logic'!$J$22:$K$31,2,FALSE),FALSE)),"Set Grade")</f>
        <v>Set Grade</v>
      </c>
      <c r="AC78" s="96" t="str">
        <f>IFERROR(IF($E78="Yes","IPP",VLOOKUP($J78,'ELA Reading Logic'!$A$13:$K$19,VLOOKUP(AA$1,'ELA Reading Logic'!$J$22:$K$31,2,FALSE),FALSE)),"Set Grade")</f>
        <v>Set Grade</v>
      </c>
      <c r="AD78" s="96" t="str">
        <f>IF($E78="Yes","IPP",IFERROR(IF(AND(AA78&gt;AB78,AA78&lt;AC78),"0",(VLOOKUP(AA78,'ELA Reading Logic'!$A$22:$B$48,2,FALSE))-(IF(VLOOKUP(AA78,'ELA Reading Logic'!$A$22:$B$48,2,FALSE)&lt;=VLOOKUP(AB78,'ELA Reading Logic'!$A$22:$B$48,2,FALSE),VLOOKUP(AB78,'ELA Reading Logic'!$A$22:$B$48,2,FALSE),IF(VLOOKUP(AA78,'ELA Reading Logic'!$A$22:$B$48,2,FALSE)&gt;=VLOOKUP(AC78,'ELA Reading Logic'!$A$22:$B$48,2,FALSE),VLOOKUP(AC78,'ELA Reading Logic'!$A$22:$B$48,2,FALSE),"No Score")))),"No Value"))</f>
        <v>No Value</v>
      </c>
      <c r="AE78" s="96" t="str">
        <f>IFERROR(VLOOKUP(AA78,'ELA Reading Logic'!$A$22:$B$48,2,FALSE)-VLOOKUP($F78,'ELA Reading Logic'!$A$22:$B$48,2,FALSE),"No Value")</f>
        <v>No Value</v>
      </c>
      <c r="AF78" s="92"/>
      <c r="AG78" s="96" t="str">
        <f>IFERROR(IF($E78="Yes","IPP",VLOOKUP($J78,'ELA Reading Logic'!$A$3:$K$9,VLOOKUP(AF$1,'ELA Reading Logic'!$J$22:$K$31,2,FALSE),FALSE)),"Set Grade")</f>
        <v>Set Grade</v>
      </c>
      <c r="AH78" s="96" t="str">
        <f>IFERROR(IF($E78="Yes","IPP",VLOOKUP($J78,'ELA Reading Logic'!$A$13:$K$19,VLOOKUP(AF$1,'ELA Reading Logic'!$J$22:$K$31,2,FALSE),FALSE)),"Set Grade")</f>
        <v>Set Grade</v>
      </c>
      <c r="AI78" s="96" t="str">
        <f>IF($E78="Yes","IPP",IFERROR(IF(AND(AF78&gt;AG78,AF78&lt;AH78),"0",(VLOOKUP(AF78,'ELA Reading Logic'!$A$22:$B$48,2,FALSE))-(IF(VLOOKUP(AF78,'ELA Reading Logic'!$A$22:$B$48,2,FALSE)&lt;=VLOOKUP(AG78,'ELA Reading Logic'!$A$22:$B$48,2,FALSE),VLOOKUP(AG78,'ELA Reading Logic'!$A$22:$B$48,2,FALSE),IF(VLOOKUP(AF78,'ELA Reading Logic'!$A$22:$B$48,2,FALSE)&gt;=VLOOKUP(AH78,'ELA Reading Logic'!$A$22:$B$48,2,FALSE),VLOOKUP(AH78,'ELA Reading Logic'!$A$22:$B$48,2,FALSE),"No Score")))),"No Value"))</f>
        <v>No Value</v>
      </c>
      <c r="AJ78" s="96" t="str">
        <f>IFERROR(VLOOKUP(AF78,'ELA Reading Logic'!$A$22:$B$48,2,FALSE)-VLOOKUP($F78,'ELA Reading Logic'!$A$22:$B$48,2,FALSE),"No Value")</f>
        <v>No Value</v>
      </c>
      <c r="AK78" s="92"/>
      <c r="AL78" s="96" t="str">
        <f>IFERROR(IF($E78="Yes","IPP",VLOOKUP($J78,'ELA Reading Logic'!$A$3:$K$9,VLOOKUP(AK$1,'ELA Reading Logic'!$J$22:$K$31,2,FALSE),FALSE)),"Set Grade")</f>
        <v>Set Grade</v>
      </c>
      <c r="AM78" s="96" t="str">
        <f>IFERROR(IF($E78="Yes","IPP",VLOOKUP($J78,'ELA Reading Logic'!$A$13:$K$19,VLOOKUP(AK$1,'ELA Reading Logic'!$J$22:$K$31,2,FALSE),FALSE)),"Set Grade")</f>
        <v>Set Grade</v>
      </c>
      <c r="AN78" s="96" t="str">
        <f>IF($E78="Yes","IPP",IFERROR(IF(AND(AK78&gt;AL78,AK78&lt;AM78),"0",(VLOOKUP(AK78,'ELA Reading Logic'!$A$22:$B$48,2,FALSE))-(IF(VLOOKUP(AK78,'ELA Reading Logic'!$A$22:$B$48,2,FALSE)&lt;=VLOOKUP(AL78,'ELA Reading Logic'!$A$22:$B$48,2,FALSE),VLOOKUP(AL78,'ELA Reading Logic'!$A$22:$B$48,2,FALSE),IF(VLOOKUP(AK78,'ELA Reading Logic'!$A$22:$B$48,2,FALSE)&gt;=VLOOKUP(AM78,'ELA Reading Logic'!$A$22:$B$48,2,FALSE),VLOOKUP(AM78,'ELA Reading Logic'!$A$22:$B$48,2,FALSE),"No Score")))),"No Value"))</f>
        <v>No Value</v>
      </c>
      <c r="AO78" s="96" t="str">
        <f>IFERROR(VLOOKUP(AK78,'ELA Reading Logic'!$A$22:$B$48,2,FALSE)-VLOOKUP($F78,'ELA Reading Logic'!$A$22:$B$48,2,FALSE),"No Value")</f>
        <v>No Value</v>
      </c>
      <c r="AP78" s="92"/>
      <c r="AQ78" s="96" t="str">
        <f>IFERROR(IF($E78="Yes","IPP",VLOOKUP($J78,'ELA Reading Logic'!$A$3:$K$9,VLOOKUP(AP$1,'ELA Reading Logic'!$J$22:$K$31,2,FALSE),FALSE)),"Set Grade")</f>
        <v>Set Grade</v>
      </c>
      <c r="AR78" s="96" t="str">
        <f>IFERROR(IF($E78="Yes","IPP",VLOOKUP($J78,'ELA Reading Logic'!$A$13:$K$19,VLOOKUP(AP$1,'ELA Reading Logic'!$J$22:$K$31,2,FALSE),FALSE)),"Set Grade")</f>
        <v>Set Grade</v>
      </c>
      <c r="AS78" s="96" t="str">
        <f>IF($E78="Yes","IPP",IFERROR(IF(AND(AP78&gt;AQ78,AP78&lt;AR78),"0",(VLOOKUP(AP78,'ELA Reading Logic'!$A$22:$B$48,2,FALSE))-(IF(VLOOKUP(AP78,'ELA Reading Logic'!$A$22:$B$48,2,FALSE)&lt;=VLOOKUP(AQ78,'ELA Reading Logic'!$A$22:$B$48,2,FALSE),VLOOKUP(AQ78,'ELA Reading Logic'!$A$22:$B$48,2,FALSE),IF(VLOOKUP(AP78,'ELA Reading Logic'!$A$22:$B$48,2,FALSE)&gt;=VLOOKUP(AR78,'ELA Reading Logic'!$A$22:$B$48,2,FALSE),VLOOKUP(AR78,'ELA Reading Logic'!$A$22:$B$48,2,FALSE),"No Score")))),"No Value"))</f>
        <v>No Value</v>
      </c>
      <c r="AT78" s="96" t="str">
        <f>IFERROR(VLOOKUP(AP78,'ELA Reading Logic'!$A$22:$B$48,2,FALSE)-VLOOKUP($F78,'ELA Reading Logic'!$A$22:$B$48,2,FALSE),"No Value")</f>
        <v>No Value</v>
      </c>
    </row>
    <row r="79" spans="1:46" ht="22.5" customHeight="1" x14ac:dyDescent="0.25">
      <c r="A79" s="176"/>
      <c r="B79" s="176"/>
      <c r="C79" s="176"/>
      <c r="D79" s="176"/>
      <c r="E79" s="175"/>
      <c r="F79" s="175"/>
      <c r="G79" s="177" t="str">
        <f>IFERROR(IF($E79="Yes","IPP",VLOOKUP($J79,'ELA Reading Logic'!$A$3:$K$9,VLOOKUP("September",'ELA Reading Logic'!$J$22:$K$31,2,FALSE),FALSE)),"Set Grade")</f>
        <v>Set Grade</v>
      </c>
      <c r="H79" s="177" t="str">
        <f>IFERROR(IF($E79="Yes","IPP",VLOOKUP($J79,'ELA Reading Logic'!$A$13:$K$19,VLOOKUP("September",'ELA Reading Logic'!$J$22:$K$31,2,FALSE),FALSE)),"Set Grade")</f>
        <v>Set Grade</v>
      </c>
      <c r="I79" s="96" t="str">
        <f>IF($E79="Yes","IPP",IFERROR(IF(AND(F79&gt;G79,F79&lt;H79),"0",(VLOOKUP(F79,'ELA Reading Logic'!$A$22:$B$48,2,FALSE))-(IF(VLOOKUP(F79,'ELA Reading Logic'!$A$22:$B$48,2,FALSE)&lt;=VLOOKUP(G79,'ELA Reading Logic'!$A$22:$B$48,2,FALSE),VLOOKUP(G79,'ELA Reading Logic'!$A$22:$B$48,2,FALSE),IF(VLOOKUP(F79,'ELA Reading Logic'!$A$22:$B$48,2,FALSE)&gt;=VLOOKUP(H79,'ELA Reading Logic'!$A$22:$B$48,2,FALSE),VLOOKUP(H79,'ELA Reading Logic'!$A$22:$B$48,2,FALSE),"No Score")))),"No Value"))</f>
        <v>No Value</v>
      </c>
      <c r="J79" s="178"/>
      <c r="K79" s="96"/>
      <c r="L79" s="96"/>
      <c r="M79" s="96"/>
      <c r="N79" s="96"/>
      <c r="O79" s="96"/>
      <c r="P79" s="105"/>
      <c r="Q79" s="92"/>
      <c r="R79" s="96" t="str">
        <f>IFERROR(IF($E79="Yes","IPP",VLOOKUP($J79,'ELA Reading Logic'!$A$3:$K$9,VLOOKUP(Q$1,'ELA Reading Logic'!$J$22:$K$31,2,FALSE),FALSE)),"Set Grade")</f>
        <v>Set Grade</v>
      </c>
      <c r="S79" s="96" t="str">
        <f>IFERROR(IF($E79="Yes","IPP",VLOOKUP($J79,'ELA Reading Logic'!$A$13:$K$19,VLOOKUP(Q$1,'ELA Reading Logic'!$J$22:$K$31,2,FALSE),FALSE)),"Set Grade")</f>
        <v>Set Grade</v>
      </c>
      <c r="T79" s="96" t="str">
        <f>IF($E79="Yes","IPP",IFERROR(IF(AND(Q79&gt;R79,Q79&lt;S79),"0",(VLOOKUP(Q79,'ELA Reading Logic'!$A$22:$B$48,2,FALSE))-(IF(VLOOKUP(Q79,'ELA Reading Logic'!$A$22:$B$48,2,FALSE)&lt;=VLOOKUP(R79,'ELA Reading Logic'!$A$22:$B$48,2,FALSE),VLOOKUP(R79,'ELA Reading Logic'!$A$22:$B$48,2,FALSE),IF(VLOOKUP(Q79,'ELA Reading Logic'!$A$22:$B$48,2,FALSE)&gt;=VLOOKUP(S79,'ELA Reading Logic'!$A$22:$B$48,2,FALSE),VLOOKUP(S79,'ELA Reading Logic'!$A$22:$B$48,2,FALSE),"No Score")))),"No Value"))</f>
        <v>No Value</v>
      </c>
      <c r="U79" s="96" t="str">
        <f>IFERROR(VLOOKUP(Q79,'ELA Reading Logic'!$A$22:$B$48,2,FALSE)-VLOOKUP($F79,'ELA Reading Logic'!$A$22:$B$48,2,FALSE),"No Value")</f>
        <v>No Value</v>
      </c>
      <c r="V79" s="92"/>
      <c r="W79" s="96" t="str">
        <f>IFERROR(IF($E79="Yes","IPP",VLOOKUP($J79,'ELA Reading Logic'!$A$3:$K$9,VLOOKUP(V$1,'ELA Reading Logic'!$J$22:$K$31,2,FALSE),FALSE)),"Set Grade")</f>
        <v>Set Grade</v>
      </c>
      <c r="X79" s="96" t="str">
        <f>IFERROR(IF($E79="Yes","IPP",VLOOKUP($J79,'ELA Reading Logic'!$A$13:$K$19,VLOOKUP(V$1,'ELA Reading Logic'!$J$22:$K$31,2,FALSE),FALSE)),"Set Grade")</f>
        <v>Set Grade</v>
      </c>
      <c r="Y79" s="96" t="str">
        <f>IF($E79="Yes","IPP",IFERROR(IF(AND(V79&gt;W79,V79&lt;X79),"0",(VLOOKUP(V79,'ELA Reading Logic'!$A$22:$B$48,2,FALSE))-(IF(VLOOKUP(V79,'ELA Reading Logic'!$A$22:$B$48,2,FALSE)&lt;=VLOOKUP(W79,'ELA Reading Logic'!$A$22:$B$48,2,FALSE),VLOOKUP(W79,'ELA Reading Logic'!$A$22:$B$48,2,FALSE),IF(VLOOKUP(V79,'ELA Reading Logic'!$A$22:$B$48,2,FALSE)&gt;=VLOOKUP(X79,'ELA Reading Logic'!$A$22:$B$48,2,FALSE),VLOOKUP(X79,'ELA Reading Logic'!$A$22:$B$48,2,FALSE),"No Score")))),"No Value"))</f>
        <v>No Value</v>
      </c>
      <c r="Z79" s="96" t="str">
        <f>IFERROR(VLOOKUP(V79,'ELA Reading Logic'!$A$22:$B$48,2,FALSE)-VLOOKUP($F79,'ELA Reading Logic'!$A$22:$B$48,2,FALSE),"No Value")</f>
        <v>No Value</v>
      </c>
      <c r="AA79" s="92"/>
      <c r="AB79" s="96" t="str">
        <f>IFERROR(IF($E79="Yes","IPP",VLOOKUP($J79,'ELA Reading Logic'!$A$3:$K$9,VLOOKUP(AA$1,'ELA Reading Logic'!$J$22:$K$31,2,FALSE),FALSE)),"Set Grade")</f>
        <v>Set Grade</v>
      </c>
      <c r="AC79" s="96" t="str">
        <f>IFERROR(IF($E79="Yes","IPP",VLOOKUP($J79,'ELA Reading Logic'!$A$13:$K$19,VLOOKUP(AA$1,'ELA Reading Logic'!$J$22:$K$31,2,FALSE),FALSE)),"Set Grade")</f>
        <v>Set Grade</v>
      </c>
      <c r="AD79" s="96" t="str">
        <f>IF($E79="Yes","IPP",IFERROR(IF(AND(AA79&gt;AB79,AA79&lt;AC79),"0",(VLOOKUP(AA79,'ELA Reading Logic'!$A$22:$B$48,2,FALSE))-(IF(VLOOKUP(AA79,'ELA Reading Logic'!$A$22:$B$48,2,FALSE)&lt;=VLOOKUP(AB79,'ELA Reading Logic'!$A$22:$B$48,2,FALSE),VLOOKUP(AB79,'ELA Reading Logic'!$A$22:$B$48,2,FALSE),IF(VLOOKUP(AA79,'ELA Reading Logic'!$A$22:$B$48,2,FALSE)&gt;=VLOOKUP(AC79,'ELA Reading Logic'!$A$22:$B$48,2,FALSE),VLOOKUP(AC79,'ELA Reading Logic'!$A$22:$B$48,2,FALSE),"No Score")))),"No Value"))</f>
        <v>No Value</v>
      </c>
      <c r="AE79" s="96" t="str">
        <f>IFERROR(VLOOKUP(AA79,'ELA Reading Logic'!$A$22:$B$48,2,FALSE)-VLOOKUP($F79,'ELA Reading Logic'!$A$22:$B$48,2,FALSE),"No Value")</f>
        <v>No Value</v>
      </c>
      <c r="AF79" s="92"/>
      <c r="AG79" s="96" t="str">
        <f>IFERROR(IF($E79="Yes","IPP",VLOOKUP($J79,'ELA Reading Logic'!$A$3:$K$9,VLOOKUP(AF$1,'ELA Reading Logic'!$J$22:$K$31,2,FALSE),FALSE)),"Set Grade")</f>
        <v>Set Grade</v>
      </c>
      <c r="AH79" s="96" t="str">
        <f>IFERROR(IF($E79="Yes","IPP",VLOOKUP($J79,'ELA Reading Logic'!$A$13:$K$19,VLOOKUP(AF$1,'ELA Reading Logic'!$J$22:$K$31,2,FALSE),FALSE)),"Set Grade")</f>
        <v>Set Grade</v>
      </c>
      <c r="AI79" s="96" t="str">
        <f>IF($E79="Yes","IPP",IFERROR(IF(AND(AF79&gt;AG79,AF79&lt;AH79),"0",(VLOOKUP(AF79,'ELA Reading Logic'!$A$22:$B$48,2,FALSE))-(IF(VLOOKUP(AF79,'ELA Reading Logic'!$A$22:$B$48,2,FALSE)&lt;=VLOOKUP(AG79,'ELA Reading Logic'!$A$22:$B$48,2,FALSE),VLOOKUP(AG79,'ELA Reading Logic'!$A$22:$B$48,2,FALSE),IF(VLOOKUP(AF79,'ELA Reading Logic'!$A$22:$B$48,2,FALSE)&gt;=VLOOKUP(AH79,'ELA Reading Logic'!$A$22:$B$48,2,FALSE),VLOOKUP(AH79,'ELA Reading Logic'!$A$22:$B$48,2,FALSE),"No Score")))),"No Value"))</f>
        <v>No Value</v>
      </c>
      <c r="AJ79" s="96" t="str">
        <f>IFERROR(VLOOKUP(AF79,'ELA Reading Logic'!$A$22:$B$48,2,FALSE)-VLOOKUP($F79,'ELA Reading Logic'!$A$22:$B$48,2,FALSE),"No Value")</f>
        <v>No Value</v>
      </c>
      <c r="AK79" s="92"/>
      <c r="AL79" s="96" t="str">
        <f>IFERROR(IF($E79="Yes","IPP",VLOOKUP($J79,'ELA Reading Logic'!$A$3:$K$9,VLOOKUP(AK$1,'ELA Reading Logic'!$J$22:$K$31,2,FALSE),FALSE)),"Set Grade")</f>
        <v>Set Grade</v>
      </c>
      <c r="AM79" s="96" t="str">
        <f>IFERROR(IF($E79="Yes","IPP",VLOOKUP($J79,'ELA Reading Logic'!$A$13:$K$19,VLOOKUP(AK$1,'ELA Reading Logic'!$J$22:$K$31,2,FALSE),FALSE)),"Set Grade")</f>
        <v>Set Grade</v>
      </c>
      <c r="AN79" s="96" t="str">
        <f>IF($E79="Yes","IPP",IFERROR(IF(AND(AK79&gt;AL79,AK79&lt;AM79),"0",(VLOOKUP(AK79,'ELA Reading Logic'!$A$22:$B$48,2,FALSE))-(IF(VLOOKUP(AK79,'ELA Reading Logic'!$A$22:$B$48,2,FALSE)&lt;=VLOOKUP(AL79,'ELA Reading Logic'!$A$22:$B$48,2,FALSE),VLOOKUP(AL79,'ELA Reading Logic'!$A$22:$B$48,2,FALSE),IF(VLOOKUP(AK79,'ELA Reading Logic'!$A$22:$B$48,2,FALSE)&gt;=VLOOKUP(AM79,'ELA Reading Logic'!$A$22:$B$48,2,FALSE),VLOOKUP(AM79,'ELA Reading Logic'!$A$22:$B$48,2,FALSE),"No Score")))),"No Value"))</f>
        <v>No Value</v>
      </c>
      <c r="AO79" s="96" t="str">
        <f>IFERROR(VLOOKUP(AK79,'ELA Reading Logic'!$A$22:$B$48,2,FALSE)-VLOOKUP($F79,'ELA Reading Logic'!$A$22:$B$48,2,FALSE),"No Value")</f>
        <v>No Value</v>
      </c>
      <c r="AP79" s="92"/>
      <c r="AQ79" s="96" t="str">
        <f>IFERROR(IF($E79="Yes","IPP",VLOOKUP($J79,'ELA Reading Logic'!$A$3:$K$9,VLOOKUP(AP$1,'ELA Reading Logic'!$J$22:$K$31,2,FALSE),FALSE)),"Set Grade")</f>
        <v>Set Grade</v>
      </c>
      <c r="AR79" s="96" t="str">
        <f>IFERROR(IF($E79="Yes","IPP",VLOOKUP($J79,'ELA Reading Logic'!$A$13:$K$19,VLOOKUP(AP$1,'ELA Reading Logic'!$J$22:$K$31,2,FALSE),FALSE)),"Set Grade")</f>
        <v>Set Grade</v>
      </c>
      <c r="AS79" s="96" t="str">
        <f>IF($E79="Yes","IPP",IFERROR(IF(AND(AP79&gt;AQ79,AP79&lt;AR79),"0",(VLOOKUP(AP79,'ELA Reading Logic'!$A$22:$B$48,2,FALSE))-(IF(VLOOKUP(AP79,'ELA Reading Logic'!$A$22:$B$48,2,FALSE)&lt;=VLOOKUP(AQ79,'ELA Reading Logic'!$A$22:$B$48,2,FALSE),VLOOKUP(AQ79,'ELA Reading Logic'!$A$22:$B$48,2,FALSE),IF(VLOOKUP(AP79,'ELA Reading Logic'!$A$22:$B$48,2,FALSE)&gt;=VLOOKUP(AR79,'ELA Reading Logic'!$A$22:$B$48,2,FALSE),VLOOKUP(AR79,'ELA Reading Logic'!$A$22:$B$48,2,FALSE),"No Score")))),"No Value"))</f>
        <v>No Value</v>
      </c>
      <c r="AT79" s="96" t="str">
        <f>IFERROR(VLOOKUP(AP79,'ELA Reading Logic'!$A$22:$B$48,2,FALSE)-VLOOKUP($F79,'ELA Reading Logic'!$A$22:$B$48,2,FALSE),"No Value")</f>
        <v>No Value</v>
      </c>
    </row>
    <row r="80" spans="1:46" ht="22.5" customHeight="1" x14ac:dyDescent="0.25">
      <c r="A80" s="174"/>
      <c r="B80" s="174"/>
      <c r="C80" s="174"/>
      <c r="D80" s="174"/>
      <c r="E80" s="175"/>
      <c r="F80" s="175"/>
      <c r="G80" s="177" t="str">
        <f>IFERROR(IF($E80="Yes","IPP",VLOOKUP($J80,'ELA Reading Logic'!$A$3:$K$9,VLOOKUP("September",'ELA Reading Logic'!$J$22:$K$31,2,FALSE),FALSE)),"Set Grade")</f>
        <v>Set Grade</v>
      </c>
      <c r="H80" s="177" t="str">
        <f>IFERROR(IF($E80="Yes","IPP",VLOOKUP($J80,'ELA Reading Logic'!$A$13:$K$19,VLOOKUP("September",'ELA Reading Logic'!$J$22:$K$31,2,FALSE),FALSE)),"Set Grade")</f>
        <v>Set Grade</v>
      </c>
      <c r="I80" s="96" t="str">
        <f>IF($E80="Yes","IPP",IFERROR(IF(AND(F80&gt;G80,F80&lt;H80),"0",(VLOOKUP(F80,'ELA Reading Logic'!$A$22:$B$48,2,FALSE))-(IF(VLOOKUP(F80,'ELA Reading Logic'!$A$22:$B$48,2,FALSE)&lt;=VLOOKUP(G80,'ELA Reading Logic'!$A$22:$B$48,2,FALSE),VLOOKUP(G80,'ELA Reading Logic'!$A$22:$B$48,2,FALSE),IF(VLOOKUP(F80,'ELA Reading Logic'!$A$22:$B$48,2,FALSE)&gt;=VLOOKUP(H80,'ELA Reading Logic'!$A$22:$B$48,2,FALSE),VLOOKUP(H80,'ELA Reading Logic'!$A$22:$B$48,2,FALSE),"No Score")))),"No Value"))</f>
        <v>No Value</v>
      </c>
      <c r="J80" s="178"/>
      <c r="K80" s="96"/>
      <c r="L80" s="96"/>
      <c r="M80" s="96"/>
      <c r="N80" s="96"/>
      <c r="O80" s="96"/>
      <c r="P80" s="105"/>
      <c r="Q80" s="92"/>
      <c r="R80" s="96" t="str">
        <f>IFERROR(IF($E80="Yes","IPP",VLOOKUP($J80,'ELA Reading Logic'!$A$3:$K$9,VLOOKUP(Q$1,'ELA Reading Logic'!$J$22:$K$31,2,FALSE),FALSE)),"Set Grade")</f>
        <v>Set Grade</v>
      </c>
      <c r="S80" s="96" t="str">
        <f>IFERROR(IF($E80="Yes","IPP",VLOOKUP($J80,'ELA Reading Logic'!$A$13:$K$19,VLOOKUP(Q$1,'ELA Reading Logic'!$J$22:$K$31,2,FALSE),FALSE)),"Set Grade")</f>
        <v>Set Grade</v>
      </c>
      <c r="T80" s="96" t="str">
        <f>IF($E80="Yes","IPP",IFERROR(IF(AND(Q80&gt;R80,Q80&lt;S80),"0",(VLOOKUP(Q80,'ELA Reading Logic'!$A$22:$B$48,2,FALSE))-(IF(VLOOKUP(Q80,'ELA Reading Logic'!$A$22:$B$48,2,FALSE)&lt;=VLOOKUP(R80,'ELA Reading Logic'!$A$22:$B$48,2,FALSE),VLOOKUP(R80,'ELA Reading Logic'!$A$22:$B$48,2,FALSE),IF(VLOOKUP(Q80,'ELA Reading Logic'!$A$22:$B$48,2,FALSE)&gt;=VLOOKUP(S80,'ELA Reading Logic'!$A$22:$B$48,2,FALSE),VLOOKUP(S80,'ELA Reading Logic'!$A$22:$B$48,2,FALSE),"No Score")))),"No Value"))</f>
        <v>No Value</v>
      </c>
      <c r="U80" s="96" t="str">
        <f>IFERROR(VLOOKUP(Q80,'ELA Reading Logic'!$A$22:$B$48,2,FALSE)-VLOOKUP($F80,'ELA Reading Logic'!$A$22:$B$48,2,FALSE),"No Value")</f>
        <v>No Value</v>
      </c>
      <c r="V80" s="92"/>
      <c r="W80" s="96" t="str">
        <f>IFERROR(IF($E80="Yes","IPP",VLOOKUP($J80,'ELA Reading Logic'!$A$3:$K$9,VLOOKUP(V$1,'ELA Reading Logic'!$J$22:$K$31,2,FALSE),FALSE)),"Set Grade")</f>
        <v>Set Grade</v>
      </c>
      <c r="X80" s="96" t="str">
        <f>IFERROR(IF($E80="Yes","IPP",VLOOKUP($J80,'ELA Reading Logic'!$A$13:$K$19,VLOOKUP(V$1,'ELA Reading Logic'!$J$22:$K$31,2,FALSE),FALSE)),"Set Grade")</f>
        <v>Set Grade</v>
      </c>
      <c r="Y80" s="96" t="str">
        <f>IF($E80="Yes","IPP",IFERROR(IF(AND(V80&gt;W80,V80&lt;X80),"0",(VLOOKUP(V80,'ELA Reading Logic'!$A$22:$B$48,2,FALSE))-(IF(VLOOKUP(V80,'ELA Reading Logic'!$A$22:$B$48,2,FALSE)&lt;=VLOOKUP(W80,'ELA Reading Logic'!$A$22:$B$48,2,FALSE),VLOOKUP(W80,'ELA Reading Logic'!$A$22:$B$48,2,FALSE),IF(VLOOKUP(V80,'ELA Reading Logic'!$A$22:$B$48,2,FALSE)&gt;=VLOOKUP(X80,'ELA Reading Logic'!$A$22:$B$48,2,FALSE),VLOOKUP(X80,'ELA Reading Logic'!$A$22:$B$48,2,FALSE),"No Score")))),"No Value"))</f>
        <v>No Value</v>
      </c>
      <c r="Z80" s="96" t="str">
        <f>IFERROR(VLOOKUP(V80,'ELA Reading Logic'!$A$22:$B$48,2,FALSE)-VLOOKUP($F80,'ELA Reading Logic'!$A$22:$B$48,2,FALSE),"No Value")</f>
        <v>No Value</v>
      </c>
      <c r="AA80" s="92"/>
      <c r="AB80" s="96" t="str">
        <f>IFERROR(IF($E80="Yes","IPP",VLOOKUP($J80,'ELA Reading Logic'!$A$3:$K$9,VLOOKUP(AA$1,'ELA Reading Logic'!$J$22:$K$31,2,FALSE),FALSE)),"Set Grade")</f>
        <v>Set Grade</v>
      </c>
      <c r="AC80" s="96" t="str">
        <f>IFERROR(IF($E80="Yes","IPP",VLOOKUP($J80,'ELA Reading Logic'!$A$13:$K$19,VLOOKUP(AA$1,'ELA Reading Logic'!$J$22:$K$31,2,FALSE),FALSE)),"Set Grade")</f>
        <v>Set Grade</v>
      </c>
      <c r="AD80" s="96" t="str">
        <f>IF($E80="Yes","IPP",IFERROR(IF(AND(AA80&gt;AB80,AA80&lt;AC80),"0",(VLOOKUP(AA80,'ELA Reading Logic'!$A$22:$B$48,2,FALSE))-(IF(VLOOKUP(AA80,'ELA Reading Logic'!$A$22:$B$48,2,FALSE)&lt;=VLOOKUP(AB80,'ELA Reading Logic'!$A$22:$B$48,2,FALSE),VLOOKUP(AB80,'ELA Reading Logic'!$A$22:$B$48,2,FALSE),IF(VLOOKUP(AA80,'ELA Reading Logic'!$A$22:$B$48,2,FALSE)&gt;=VLOOKUP(AC80,'ELA Reading Logic'!$A$22:$B$48,2,FALSE),VLOOKUP(AC80,'ELA Reading Logic'!$A$22:$B$48,2,FALSE),"No Score")))),"No Value"))</f>
        <v>No Value</v>
      </c>
      <c r="AE80" s="96" t="str">
        <f>IFERROR(VLOOKUP(AA80,'ELA Reading Logic'!$A$22:$B$48,2,FALSE)-VLOOKUP($F80,'ELA Reading Logic'!$A$22:$B$48,2,FALSE),"No Value")</f>
        <v>No Value</v>
      </c>
      <c r="AF80" s="92"/>
      <c r="AG80" s="96" t="str">
        <f>IFERROR(IF($E80="Yes","IPP",VLOOKUP($J80,'ELA Reading Logic'!$A$3:$K$9,VLOOKUP(AF$1,'ELA Reading Logic'!$J$22:$K$31,2,FALSE),FALSE)),"Set Grade")</f>
        <v>Set Grade</v>
      </c>
      <c r="AH80" s="96" t="str">
        <f>IFERROR(IF($E80="Yes","IPP",VLOOKUP($J80,'ELA Reading Logic'!$A$13:$K$19,VLOOKUP(AF$1,'ELA Reading Logic'!$J$22:$K$31,2,FALSE),FALSE)),"Set Grade")</f>
        <v>Set Grade</v>
      </c>
      <c r="AI80" s="96" t="str">
        <f>IF($E80="Yes","IPP",IFERROR(IF(AND(AF80&gt;AG80,AF80&lt;AH80),"0",(VLOOKUP(AF80,'ELA Reading Logic'!$A$22:$B$48,2,FALSE))-(IF(VLOOKUP(AF80,'ELA Reading Logic'!$A$22:$B$48,2,FALSE)&lt;=VLOOKUP(AG80,'ELA Reading Logic'!$A$22:$B$48,2,FALSE),VLOOKUP(AG80,'ELA Reading Logic'!$A$22:$B$48,2,FALSE),IF(VLOOKUP(AF80,'ELA Reading Logic'!$A$22:$B$48,2,FALSE)&gt;=VLOOKUP(AH80,'ELA Reading Logic'!$A$22:$B$48,2,FALSE),VLOOKUP(AH80,'ELA Reading Logic'!$A$22:$B$48,2,FALSE),"No Score")))),"No Value"))</f>
        <v>No Value</v>
      </c>
      <c r="AJ80" s="96" t="str">
        <f>IFERROR(VLOOKUP(AF80,'ELA Reading Logic'!$A$22:$B$48,2,FALSE)-VLOOKUP($F80,'ELA Reading Logic'!$A$22:$B$48,2,FALSE),"No Value")</f>
        <v>No Value</v>
      </c>
      <c r="AK80" s="92"/>
      <c r="AL80" s="96" t="str">
        <f>IFERROR(IF($E80="Yes","IPP",VLOOKUP($J80,'ELA Reading Logic'!$A$3:$K$9,VLOOKUP(AK$1,'ELA Reading Logic'!$J$22:$K$31,2,FALSE),FALSE)),"Set Grade")</f>
        <v>Set Grade</v>
      </c>
      <c r="AM80" s="96" t="str">
        <f>IFERROR(IF($E80="Yes","IPP",VLOOKUP($J80,'ELA Reading Logic'!$A$13:$K$19,VLOOKUP(AK$1,'ELA Reading Logic'!$J$22:$K$31,2,FALSE),FALSE)),"Set Grade")</f>
        <v>Set Grade</v>
      </c>
      <c r="AN80" s="96" t="str">
        <f>IF($E80="Yes","IPP",IFERROR(IF(AND(AK80&gt;AL80,AK80&lt;AM80),"0",(VLOOKUP(AK80,'ELA Reading Logic'!$A$22:$B$48,2,FALSE))-(IF(VLOOKUP(AK80,'ELA Reading Logic'!$A$22:$B$48,2,FALSE)&lt;=VLOOKUP(AL80,'ELA Reading Logic'!$A$22:$B$48,2,FALSE),VLOOKUP(AL80,'ELA Reading Logic'!$A$22:$B$48,2,FALSE),IF(VLOOKUP(AK80,'ELA Reading Logic'!$A$22:$B$48,2,FALSE)&gt;=VLOOKUP(AM80,'ELA Reading Logic'!$A$22:$B$48,2,FALSE),VLOOKUP(AM80,'ELA Reading Logic'!$A$22:$B$48,2,FALSE),"No Score")))),"No Value"))</f>
        <v>No Value</v>
      </c>
      <c r="AO80" s="96" t="str">
        <f>IFERROR(VLOOKUP(AK80,'ELA Reading Logic'!$A$22:$B$48,2,FALSE)-VLOOKUP($F80,'ELA Reading Logic'!$A$22:$B$48,2,FALSE),"No Value")</f>
        <v>No Value</v>
      </c>
      <c r="AP80" s="92"/>
      <c r="AQ80" s="96" t="str">
        <f>IFERROR(IF($E80="Yes","IPP",VLOOKUP($J80,'ELA Reading Logic'!$A$3:$K$9,VLOOKUP(AP$1,'ELA Reading Logic'!$J$22:$K$31,2,FALSE),FALSE)),"Set Grade")</f>
        <v>Set Grade</v>
      </c>
      <c r="AR80" s="96" t="str">
        <f>IFERROR(IF($E80="Yes","IPP",VLOOKUP($J80,'ELA Reading Logic'!$A$13:$K$19,VLOOKUP(AP$1,'ELA Reading Logic'!$J$22:$K$31,2,FALSE),FALSE)),"Set Grade")</f>
        <v>Set Grade</v>
      </c>
      <c r="AS80" s="96" t="str">
        <f>IF($E80="Yes","IPP",IFERROR(IF(AND(AP80&gt;AQ80,AP80&lt;AR80),"0",(VLOOKUP(AP80,'ELA Reading Logic'!$A$22:$B$48,2,FALSE))-(IF(VLOOKUP(AP80,'ELA Reading Logic'!$A$22:$B$48,2,FALSE)&lt;=VLOOKUP(AQ80,'ELA Reading Logic'!$A$22:$B$48,2,FALSE),VLOOKUP(AQ80,'ELA Reading Logic'!$A$22:$B$48,2,FALSE),IF(VLOOKUP(AP80,'ELA Reading Logic'!$A$22:$B$48,2,FALSE)&gt;=VLOOKUP(AR80,'ELA Reading Logic'!$A$22:$B$48,2,FALSE),VLOOKUP(AR80,'ELA Reading Logic'!$A$22:$B$48,2,FALSE),"No Score")))),"No Value"))</f>
        <v>No Value</v>
      </c>
      <c r="AT80" s="96" t="str">
        <f>IFERROR(VLOOKUP(AP80,'ELA Reading Logic'!$A$22:$B$48,2,FALSE)-VLOOKUP($F80,'ELA Reading Logic'!$A$22:$B$48,2,FALSE),"No Value")</f>
        <v>No Value</v>
      </c>
    </row>
    <row r="81" spans="1:46" ht="22.5" customHeight="1" x14ac:dyDescent="0.25">
      <c r="A81" s="176"/>
      <c r="B81" s="176"/>
      <c r="C81" s="176"/>
      <c r="D81" s="176"/>
      <c r="E81" s="175"/>
      <c r="F81" s="175"/>
      <c r="G81" s="177" t="str">
        <f>IFERROR(IF($E81="Yes","IPP",VLOOKUP($J81,'ELA Reading Logic'!$A$3:$K$9,VLOOKUP("September",'ELA Reading Logic'!$J$22:$K$31,2,FALSE),FALSE)),"Set Grade")</f>
        <v>Set Grade</v>
      </c>
      <c r="H81" s="177" t="str">
        <f>IFERROR(IF($E81="Yes","IPP",VLOOKUP($J81,'ELA Reading Logic'!$A$13:$K$19,VLOOKUP("September",'ELA Reading Logic'!$J$22:$K$31,2,FALSE),FALSE)),"Set Grade")</f>
        <v>Set Grade</v>
      </c>
      <c r="I81" s="96" t="str">
        <f>IF($E81="Yes","IPP",IFERROR(IF(AND(F81&gt;G81,F81&lt;H81),"0",(VLOOKUP(F81,'ELA Reading Logic'!$A$22:$B$48,2,FALSE))-(IF(VLOOKUP(F81,'ELA Reading Logic'!$A$22:$B$48,2,FALSE)&lt;=VLOOKUP(G81,'ELA Reading Logic'!$A$22:$B$48,2,FALSE),VLOOKUP(G81,'ELA Reading Logic'!$A$22:$B$48,2,FALSE),IF(VLOOKUP(F81,'ELA Reading Logic'!$A$22:$B$48,2,FALSE)&gt;=VLOOKUP(H81,'ELA Reading Logic'!$A$22:$B$48,2,FALSE),VLOOKUP(H81,'ELA Reading Logic'!$A$22:$B$48,2,FALSE),"No Score")))),"No Value"))</f>
        <v>No Value</v>
      </c>
      <c r="J81" s="178"/>
      <c r="K81" s="96"/>
      <c r="L81" s="96"/>
      <c r="M81" s="96"/>
      <c r="N81" s="96"/>
      <c r="O81" s="96"/>
      <c r="P81" s="105"/>
      <c r="Q81" s="92"/>
      <c r="R81" s="96" t="str">
        <f>IFERROR(IF($E81="Yes","IPP",VLOOKUP($J81,'ELA Reading Logic'!$A$3:$K$9,VLOOKUP(Q$1,'ELA Reading Logic'!$J$22:$K$31,2,FALSE),FALSE)),"Set Grade")</f>
        <v>Set Grade</v>
      </c>
      <c r="S81" s="96" t="str">
        <f>IFERROR(IF($E81="Yes","IPP",VLOOKUP($J81,'ELA Reading Logic'!$A$13:$K$19,VLOOKUP(Q$1,'ELA Reading Logic'!$J$22:$K$31,2,FALSE),FALSE)),"Set Grade")</f>
        <v>Set Grade</v>
      </c>
      <c r="T81" s="96" t="str">
        <f>IF($E81="Yes","IPP",IFERROR(IF(AND(Q81&gt;R81,Q81&lt;S81),"0",(VLOOKUP(Q81,'ELA Reading Logic'!$A$22:$B$48,2,FALSE))-(IF(VLOOKUP(Q81,'ELA Reading Logic'!$A$22:$B$48,2,FALSE)&lt;=VLOOKUP(R81,'ELA Reading Logic'!$A$22:$B$48,2,FALSE),VLOOKUP(R81,'ELA Reading Logic'!$A$22:$B$48,2,FALSE),IF(VLOOKUP(Q81,'ELA Reading Logic'!$A$22:$B$48,2,FALSE)&gt;=VLOOKUP(S81,'ELA Reading Logic'!$A$22:$B$48,2,FALSE),VLOOKUP(S81,'ELA Reading Logic'!$A$22:$B$48,2,FALSE),"No Score")))),"No Value"))</f>
        <v>No Value</v>
      </c>
      <c r="U81" s="96" t="str">
        <f>IFERROR(VLOOKUP(Q81,'ELA Reading Logic'!$A$22:$B$48,2,FALSE)-VLOOKUP($F81,'ELA Reading Logic'!$A$22:$B$48,2,FALSE),"No Value")</f>
        <v>No Value</v>
      </c>
      <c r="V81" s="92"/>
      <c r="W81" s="96" t="str">
        <f>IFERROR(IF($E81="Yes","IPP",VLOOKUP($J81,'ELA Reading Logic'!$A$3:$K$9,VLOOKUP(V$1,'ELA Reading Logic'!$J$22:$K$31,2,FALSE),FALSE)),"Set Grade")</f>
        <v>Set Grade</v>
      </c>
      <c r="X81" s="96" t="str">
        <f>IFERROR(IF($E81="Yes","IPP",VLOOKUP($J81,'ELA Reading Logic'!$A$13:$K$19,VLOOKUP(V$1,'ELA Reading Logic'!$J$22:$K$31,2,FALSE),FALSE)),"Set Grade")</f>
        <v>Set Grade</v>
      </c>
      <c r="Y81" s="96" t="str">
        <f>IF($E81="Yes","IPP",IFERROR(IF(AND(V81&gt;W81,V81&lt;X81),"0",(VLOOKUP(V81,'ELA Reading Logic'!$A$22:$B$48,2,FALSE))-(IF(VLOOKUP(V81,'ELA Reading Logic'!$A$22:$B$48,2,FALSE)&lt;=VLOOKUP(W81,'ELA Reading Logic'!$A$22:$B$48,2,FALSE),VLOOKUP(W81,'ELA Reading Logic'!$A$22:$B$48,2,FALSE),IF(VLOOKUP(V81,'ELA Reading Logic'!$A$22:$B$48,2,FALSE)&gt;=VLOOKUP(X81,'ELA Reading Logic'!$A$22:$B$48,2,FALSE),VLOOKUP(X81,'ELA Reading Logic'!$A$22:$B$48,2,FALSE),"No Score")))),"No Value"))</f>
        <v>No Value</v>
      </c>
      <c r="Z81" s="96" t="str">
        <f>IFERROR(VLOOKUP(V81,'ELA Reading Logic'!$A$22:$B$48,2,FALSE)-VLOOKUP($F81,'ELA Reading Logic'!$A$22:$B$48,2,FALSE),"No Value")</f>
        <v>No Value</v>
      </c>
      <c r="AA81" s="92"/>
      <c r="AB81" s="96" t="str">
        <f>IFERROR(IF($E81="Yes","IPP",VLOOKUP($J81,'ELA Reading Logic'!$A$3:$K$9,VLOOKUP(AA$1,'ELA Reading Logic'!$J$22:$K$31,2,FALSE),FALSE)),"Set Grade")</f>
        <v>Set Grade</v>
      </c>
      <c r="AC81" s="96" t="str">
        <f>IFERROR(IF($E81="Yes","IPP",VLOOKUP($J81,'ELA Reading Logic'!$A$13:$K$19,VLOOKUP(AA$1,'ELA Reading Logic'!$J$22:$K$31,2,FALSE),FALSE)),"Set Grade")</f>
        <v>Set Grade</v>
      </c>
      <c r="AD81" s="96" t="str">
        <f>IF($E81="Yes","IPP",IFERROR(IF(AND(AA81&gt;AB81,AA81&lt;AC81),"0",(VLOOKUP(AA81,'ELA Reading Logic'!$A$22:$B$48,2,FALSE))-(IF(VLOOKUP(AA81,'ELA Reading Logic'!$A$22:$B$48,2,FALSE)&lt;=VLOOKUP(AB81,'ELA Reading Logic'!$A$22:$B$48,2,FALSE),VLOOKUP(AB81,'ELA Reading Logic'!$A$22:$B$48,2,FALSE),IF(VLOOKUP(AA81,'ELA Reading Logic'!$A$22:$B$48,2,FALSE)&gt;=VLOOKUP(AC81,'ELA Reading Logic'!$A$22:$B$48,2,FALSE),VLOOKUP(AC81,'ELA Reading Logic'!$A$22:$B$48,2,FALSE),"No Score")))),"No Value"))</f>
        <v>No Value</v>
      </c>
      <c r="AE81" s="96" t="str">
        <f>IFERROR(VLOOKUP(AA81,'ELA Reading Logic'!$A$22:$B$48,2,FALSE)-VLOOKUP($F81,'ELA Reading Logic'!$A$22:$B$48,2,FALSE),"No Value")</f>
        <v>No Value</v>
      </c>
      <c r="AF81" s="92"/>
      <c r="AG81" s="96" t="str">
        <f>IFERROR(IF($E81="Yes","IPP",VLOOKUP($J81,'ELA Reading Logic'!$A$3:$K$9,VLOOKUP(AF$1,'ELA Reading Logic'!$J$22:$K$31,2,FALSE),FALSE)),"Set Grade")</f>
        <v>Set Grade</v>
      </c>
      <c r="AH81" s="96" t="str">
        <f>IFERROR(IF($E81="Yes","IPP",VLOOKUP($J81,'ELA Reading Logic'!$A$13:$K$19,VLOOKUP(AF$1,'ELA Reading Logic'!$J$22:$K$31,2,FALSE),FALSE)),"Set Grade")</f>
        <v>Set Grade</v>
      </c>
      <c r="AI81" s="96" t="str">
        <f>IF($E81="Yes","IPP",IFERROR(IF(AND(AF81&gt;AG81,AF81&lt;AH81),"0",(VLOOKUP(AF81,'ELA Reading Logic'!$A$22:$B$48,2,FALSE))-(IF(VLOOKUP(AF81,'ELA Reading Logic'!$A$22:$B$48,2,FALSE)&lt;=VLOOKUP(AG81,'ELA Reading Logic'!$A$22:$B$48,2,FALSE),VLOOKUP(AG81,'ELA Reading Logic'!$A$22:$B$48,2,FALSE),IF(VLOOKUP(AF81,'ELA Reading Logic'!$A$22:$B$48,2,FALSE)&gt;=VLOOKUP(AH81,'ELA Reading Logic'!$A$22:$B$48,2,FALSE),VLOOKUP(AH81,'ELA Reading Logic'!$A$22:$B$48,2,FALSE),"No Score")))),"No Value"))</f>
        <v>No Value</v>
      </c>
      <c r="AJ81" s="96" t="str">
        <f>IFERROR(VLOOKUP(AF81,'ELA Reading Logic'!$A$22:$B$48,2,FALSE)-VLOOKUP($F81,'ELA Reading Logic'!$A$22:$B$48,2,FALSE),"No Value")</f>
        <v>No Value</v>
      </c>
      <c r="AK81" s="92"/>
      <c r="AL81" s="96" t="str">
        <f>IFERROR(IF($E81="Yes","IPP",VLOOKUP($J81,'ELA Reading Logic'!$A$3:$K$9,VLOOKUP(AK$1,'ELA Reading Logic'!$J$22:$K$31,2,FALSE),FALSE)),"Set Grade")</f>
        <v>Set Grade</v>
      </c>
      <c r="AM81" s="96" t="str">
        <f>IFERROR(IF($E81="Yes","IPP",VLOOKUP($J81,'ELA Reading Logic'!$A$13:$K$19,VLOOKUP(AK$1,'ELA Reading Logic'!$J$22:$K$31,2,FALSE),FALSE)),"Set Grade")</f>
        <v>Set Grade</v>
      </c>
      <c r="AN81" s="96" t="str">
        <f>IF($E81="Yes","IPP",IFERROR(IF(AND(AK81&gt;AL81,AK81&lt;AM81),"0",(VLOOKUP(AK81,'ELA Reading Logic'!$A$22:$B$48,2,FALSE))-(IF(VLOOKUP(AK81,'ELA Reading Logic'!$A$22:$B$48,2,FALSE)&lt;=VLOOKUP(AL81,'ELA Reading Logic'!$A$22:$B$48,2,FALSE),VLOOKUP(AL81,'ELA Reading Logic'!$A$22:$B$48,2,FALSE),IF(VLOOKUP(AK81,'ELA Reading Logic'!$A$22:$B$48,2,FALSE)&gt;=VLOOKUP(AM81,'ELA Reading Logic'!$A$22:$B$48,2,FALSE),VLOOKUP(AM81,'ELA Reading Logic'!$A$22:$B$48,2,FALSE),"No Score")))),"No Value"))</f>
        <v>No Value</v>
      </c>
      <c r="AO81" s="96" t="str">
        <f>IFERROR(VLOOKUP(AK81,'ELA Reading Logic'!$A$22:$B$48,2,FALSE)-VLOOKUP($F81,'ELA Reading Logic'!$A$22:$B$48,2,FALSE),"No Value")</f>
        <v>No Value</v>
      </c>
      <c r="AP81" s="92"/>
      <c r="AQ81" s="96" t="str">
        <f>IFERROR(IF($E81="Yes","IPP",VLOOKUP($J81,'ELA Reading Logic'!$A$3:$K$9,VLOOKUP(AP$1,'ELA Reading Logic'!$J$22:$K$31,2,FALSE),FALSE)),"Set Grade")</f>
        <v>Set Grade</v>
      </c>
      <c r="AR81" s="96" t="str">
        <f>IFERROR(IF($E81="Yes","IPP",VLOOKUP($J81,'ELA Reading Logic'!$A$13:$K$19,VLOOKUP(AP$1,'ELA Reading Logic'!$J$22:$K$31,2,FALSE),FALSE)),"Set Grade")</f>
        <v>Set Grade</v>
      </c>
      <c r="AS81" s="96" t="str">
        <f>IF($E81="Yes","IPP",IFERROR(IF(AND(AP81&gt;AQ81,AP81&lt;AR81),"0",(VLOOKUP(AP81,'ELA Reading Logic'!$A$22:$B$48,2,FALSE))-(IF(VLOOKUP(AP81,'ELA Reading Logic'!$A$22:$B$48,2,FALSE)&lt;=VLOOKUP(AQ81,'ELA Reading Logic'!$A$22:$B$48,2,FALSE),VLOOKUP(AQ81,'ELA Reading Logic'!$A$22:$B$48,2,FALSE),IF(VLOOKUP(AP81,'ELA Reading Logic'!$A$22:$B$48,2,FALSE)&gt;=VLOOKUP(AR81,'ELA Reading Logic'!$A$22:$B$48,2,FALSE),VLOOKUP(AR81,'ELA Reading Logic'!$A$22:$B$48,2,FALSE),"No Score")))),"No Value"))</f>
        <v>No Value</v>
      </c>
      <c r="AT81" s="96" t="str">
        <f>IFERROR(VLOOKUP(AP81,'ELA Reading Logic'!$A$22:$B$48,2,FALSE)-VLOOKUP($F81,'ELA Reading Logic'!$A$22:$B$48,2,FALSE),"No Value")</f>
        <v>No Value</v>
      </c>
    </row>
    <row r="82" spans="1:46" ht="22.5" customHeight="1" x14ac:dyDescent="0.25">
      <c r="A82" s="174"/>
      <c r="B82" s="174"/>
      <c r="C82" s="174"/>
      <c r="D82" s="174"/>
      <c r="E82" s="175"/>
      <c r="F82" s="175"/>
      <c r="G82" s="177" t="str">
        <f>IFERROR(IF($E82="Yes","IPP",VLOOKUP($J82,'ELA Reading Logic'!$A$3:$K$9,VLOOKUP("September",'ELA Reading Logic'!$J$22:$K$31,2,FALSE),FALSE)),"Set Grade")</f>
        <v>Set Grade</v>
      </c>
      <c r="H82" s="177" t="str">
        <f>IFERROR(IF($E82="Yes","IPP",VLOOKUP($J82,'ELA Reading Logic'!$A$13:$K$19,VLOOKUP("September",'ELA Reading Logic'!$J$22:$K$31,2,FALSE),FALSE)),"Set Grade")</f>
        <v>Set Grade</v>
      </c>
      <c r="I82" s="96" t="str">
        <f>IF($E82="Yes","IPP",IFERROR(IF(AND(F82&gt;G82,F82&lt;H82),"0",(VLOOKUP(F82,'ELA Reading Logic'!$A$22:$B$48,2,FALSE))-(IF(VLOOKUP(F82,'ELA Reading Logic'!$A$22:$B$48,2,FALSE)&lt;=VLOOKUP(G82,'ELA Reading Logic'!$A$22:$B$48,2,FALSE),VLOOKUP(G82,'ELA Reading Logic'!$A$22:$B$48,2,FALSE),IF(VLOOKUP(F82,'ELA Reading Logic'!$A$22:$B$48,2,FALSE)&gt;=VLOOKUP(H82,'ELA Reading Logic'!$A$22:$B$48,2,FALSE),VLOOKUP(H82,'ELA Reading Logic'!$A$22:$B$48,2,FALSE),"No Score")))),"No Value"))</f>
        <v>No Value</v>
      </c>
      <c r="J82" s="178"/>
      <c r="K82" s="96"/>
      <c r="L82" s="96"/>
      <c r="M82" s="96"/>
      <c r="N82" s="96"/>
      <c r="O82" s="96"/>
      <c r="P82" s="105"/>
      <c r="Q82" s="92"/>
      <c r="R82" s="96" t="str">
        <f>IFERROR(IF($E82="Yes","IPP",VLOOKUP($J82,'ELA Reading Logic'!$A$3:$K$9,VLOOKUP(Q$1,'ELA Reading Logic'!$J$22:$K$31,2,FALSE),FALSE)),"Set Grade")</f>
        <v>Set Grade</v>
      </c>
      <c r="S82" s="96" t="str">
        <f>IFERROR(IF($E82="Yes","IPP",VLOOKUP($J82,'ELA Reading Logic'!$A$13:$K$19,VLOOKUP(Q$1,'ELA Reading Logic'!$J$22:$K$31,2,FALSE),FALSE)),"Set Grade")</f>
        <v>Set Grade</v>
      </c>
      <c r="T82" s="96" t="str">
        <f>IF($E82="Yes","IPP",IFERROR(IF(AND(Q82&gt;R82,Q82&lt;S82),"0",(VLOOKUP(Q82,'ELA Reading Logic'!$A$22:$B$48,2,FALSE))-(IF(VLOOKUP(Q82,'ELA Reading Logic'!$A$22:$B$48,2,FALSE)&lt;=VLOOKUP(R82,'ELA Reading Logic'!$A$22:$B$48,2,FALSE),VLOOKUP(R82,'ELA Reading Logic'!$A$22:$B$48,2,FALSE),IF(VLOOKUP(Q82,'ELA Reading Logic'!$A$22:$B$48,2,FALSE)&gt;=VLOOKUP(S82,'ELA Reading Logic'!$A$22:$B$48,2,FALSE),VLOOKUP(S82,'ELA Reading Logic'!$A$22:$B$48,2,FALSE),"No Score")))),"No Value"))</f>
        <v>No Value</v>
      </c>
      <c r="U82" s="96" t="str">
        <f>IFERROR(VLOOKUP(Q82,'ELA Reading Logic'!$A$22:$B$48,2,FALSE)-VLOOKUP($F82,'ELA Reading Logic'!$A$22:$B$48,2,FALSE),"No Value")</f>
        <v>No Value</v>
      </c>
      <c r="V82" s="92"/>
      <c r="W82" s="96" t="str">
        <f>IFERROR(IF($E82="Yes","IPP",VLOOKUP($J82,'ELA Reading Logic'!$A$3:$K$9,VLOOKUP(V$1,'ELA Reading Logic'!$J$22:$K$31,2,FALSE),FALSE)),"Set Grade")</f>
        <v>Set Grade</v>
      </c>
      <c r="X82" s="96" t="str">
        <f>IFERROR(IF($E82="Yes","IPP",VLOOKUP($J82,'ELA Reading Logic'!$A$13:$K$19,VLOOKUP(V$1,'ELA Reading Logic'!$J$22:$K$31,2,FALSE),FALSE)),"Set Grade")</f>
        <v>Set Grade</v>
      </c>
      <c r="Y82" s="96" t="str">
        <f>IF($E82="Yes","IPP",IFERROR(IF(AND(V82&gt;W82,V82&lt;X82),"0",(VLOOKUP(V82,'ELA Reading Logic'!$A$22:$B$48,2,FALSE))-(IF(VLOOKUP(V82,'ELA Reading Logic'!$A$22:$B$48,2,FALSE)&lt;=VLOOKUP(W82,'ELA Reading Logic'!$A$22:$B$48,2,FALSE),VLOOKUP(W82,'ELA Reading Logic'!$A$22:$B$48,2,FALSE),IF(VLOOKUP(V82,'ELA Reading Logic'!$A$22:$B$48,2,FALSE)&gt;=VLOOKUP(X82,'ELA Reading Logic'!$A$22:$B$48,2,FALSE),VLOOKUP(X82,'ELA Reading Logic'!$A$22:$B$48,2,FALSE),"No Score")))),"No Value"))</f>
        <v>No Value</v>
      </c>
      <c r="Z82" s="96" t="str">
        <f>IFERROR(VLOOKUP(V82,'ELA Reading Logic'!$A$22:$B$48,2,FALSE)-VLOOKUP($F82,'ELA Reading Logic'!$A$22:$B$48,2,FALSE),"No Value")</f>
        <v>No Value</v>
      </c>
      <c r="AA82" s="92"/>
      <c r="AB82" s="96" t="str">
        <f>IFERROR(IF($E82="Yes","IPP",VLOOKUP($J82,'ELA Reading Logic'!$A$3:$K$9,VLOOKUP(AA$1,'ELA Reading Logic'!$J$22:$K$31,2,FALSE),FALSE)),"Set Grade")</f>
        <v>Set Grade</v>
      </c>
      <c r="AC82" s="96" t="str">
        <f>IFERROR(IF($E82="Yes","IPP",VLOOKUP($J82,'ELA Reading Logic'!$A$13:$K$19,VLOOKUP(AA$1,'ELA Reading Logic'!$J$22:$K$31,2,FALSE),FALSE)),"Set Grade")</f>
        <v>Set Grade</v>
      </c>
      <c r="AD82" s="96" t="str">
        <f>IF($E82="Yes","IPP",IFERROR(IF(AND(AA82&gt;AB82,AA82&lt;AC82),"0",(VLOOKUP(AA82,'ELA Reading Logic'!$A$22:$B$48,2,FALSE))-(IF(VLOOKUP(AA82,'ELA Reading Logic'!$A$22:$B$48,2,FALSE)&lt;=VLOOKUP(AB82,'ELA Reading Logic'!$A$22:$B$48,2,FALSE),VLOOKUP(AB82,'ELA Reading Logic'!$A$22:$B$48,2,FALSE),IF(VLOOKUP(AA82,'ELA Reading Logic'!$A$22:$B$48,2,FALSE)&gt;=VLOOKUP(AC82,'ELA Reading Logic'!$A$22:$B$48,2,FALSE),VLOOKUP(AC82,'ELA Reading Logic'!$A$22:$B$48,2,FALSE),"No Score")))),"No Value"))</f>
        <v>No Value</v>
      </c>
      <c r="AE82" s="96" t="str">
        <f>IFERROR(VLOOKUP(AA82,'ELA Reading Logic'!$A$22:$B$48,2,FALSE)-VLOOKUP($F82,'ELA Reading Logic'!$A$22:$B$48,2,FALSE),"No Value")</f>
        <v>No Value</v>
      </c>
      <c r="AF82" s="92"/>
      <c r="AG82" s="96" t="str">
        <f>IFERROR(IF($E82="Yes","IPP",VLOOKUP($J82,'ELA Reading Logic'!$A$3:$K$9,VLOOKUP(AF$1,'ELA Reading Logic'!$J$22:$K$31,2,FALSE),FALSE)),"Set Grade")</f>
        <v>Set Grade</v>
      </c>
      <c r="AH82" s="96" t="str">
        <f>IFERROR(IF($E82="Yes","IPP",VLOOKUP($J82,'ELA Reading Logic'!$A$13:$K$19,VLOOKUP(AF$1,'ELA Reading Logic'!$J$22:$K$31,2,FALSE),FALSE)),"Set Grade")</f>
        <v>Set Grade</v>
      </c>
      <c r="AI82" s="96" t="str">
        <f>IF($E82="Yes","IPP",IFERROR(IF(AND(AF82&gt;AG82,AF82&lt;AH82),"0",(VLOOKUP(AF82,'ELA Reading Logic'!$A$22:$B$48,2,FALSE))-(IF(VLOOKUP(AF82,'ELA Reading Logic'!$A$22:$B$48,2,FALSE)&lt;=VLOOKUP(AG82,'ELA Reading Logic'!$A$22:$B$48,2,FALSE),VLOOKUP(AG82,'ELA Reading Logic'!$A$22:$B$48,2,FALSE),IF(VLOOKUP(AF82,'ELA Reading Logic'!$A$22:$B$48,2,FALSE)&gt;=VLOOKUP(AH82,'ELA Reading Logic'!$A$22:$B$48,2,FALSE),VLOOKUP(AH82,'ELA Reading Logic'!$A$22:$B$48,2,FALSE),"No Score")))),"No Value"))</f>
        <v>No Value</v>
      </c>
      <c r="AJ82" s="96" t="str">
        <f>IFERROR(VLOOKUP(AF82,'ELA Reading Logic'!$A$22:$B$48,2,FALSE)-VLOOKUP($F82,'ELA Reading Logic'!$A$22:$B$48,2,FALSE),"No Value")</f>
        <v>No Value</v>
      </c>
      <c r="AK82" s="92"/>
      <c r="AL82" s="96" t="str">
        <f>IFERROR(IF($E82="Yes","IPP",VLOOKUP($J82,'ELA Reading Logic'!$A$3:$K$9,VLOOKUP(AK$1,'ELA Reading Logic'!$J$22:$K$31,2,FALSE),FALSE)),"Set Grade")</f>
        <v>Set Grade</v>
      </c>
      <c r="AM82" s="96" t="str">
        <f>IFERROR(IF($E82="Yes","IPP",VLOOKUP($J82,'ELA Reading Logic'!$A$13:$K$19,VLOOKUP(AK$1,'ELA Reading Logic'!$J$22:$K$31,2,FALSE),FALSE)),"Set Grade")</f>
        <v>Set Grade</v>
      </c>
      <c r="AN82" s="96" t="str">
        <f>IF($E82="Yes","IPP",IFERROR(IF(AND(AK82&gt;AL82,AK82&lt;AM82),"0",(VLOOKUP(AK82,'ELA Reading Logic'!$A$22:$B$48,2,FALSE))-(IF(VLOOKUP(AK82,'ELA Reading Logic'!$A$22:$B$48,2,FALSE)&lt;=VLOOKUP(AL82,'ELA Reading Logic'!$A$22:$B$48,2,FALSE),VLOOKUP(AL82,'ELA Reading Logic'!$A$22:$B$48,2,FALSE),IF(VLOOKUP(AK82,'ELA Reading Logic'!$A$22:$B$48,2,FALSE)&gt;=VLOOKUP(AM82,'ELA Reading Logic'!$A$22:$B$48,2,FALSE),VLOOKUP(AM82,'ELA Reading Logic'!$A$22:$B$48,2,FALSE),"No Score")))),"No Value"))</f>
        <v>No Value</v>
      </c>
      <c r="AO82" s="96" t="str">
        <f>IFERROR(VLOOKUP(AK82,'ELA Reading Logic'!$A$22:$B$48,2,FALSE)-VLOOKUP($F82,'ELA Reading Logic'!$A$22:$B$48,2,FALSE),"No Value")</f>
        <v>No Value</v>
      </c>
      <c r="AP82" s="92"/>
      <c r="AQ82" s="96" t="str">
        <f>IFERROR(IF($E82="Yes","IPP",VLOOKUP($J82,'ELA Reading Logic'!$A$3:$K$9,VLOOKUP(AP$1,'ELA Reading Logic'!$J$22:$K$31,2,FALSE),FALSE)),"Set Grade")</f>
        <v>Set Grade</v>
      </c>
      <c r="AR82" s="96" t="str">
        <f>IFERROR(IF($E82="Yes","IPP",VLOOKUP($J82,'ELA Reading Logic'!$A$13:$K$19,VLOOKUP(AP$1,'ELA Reading Logic'!$J$22:$K$31,2,FALSE),FALSE)),"Set Grade")</f>
        <v>Set Grade</v>
      </c>
      <c r="AS82" s="96" t="str">
        <f>IF($E82="Yes","IPP",IFERROR(IF(AND(AP82&gt;AQ82,AP82&lt;AR82),"0",(VLOOKUP(AP82,'ELA Reading Logic'!$A$22:$B$48,2,FALSE))-(IF(VLOOKUP(AP82,'ELA Reading Logic'!$A$22:$B$48,2,FALSE)&lt;=VLOOKUP(AQ82,'ELA Reading Logic'!$A$22:$B$48,2,FALSE),VLOOKUP(AQ82,'ELA Reading Logic'!$A$22:$B$48,2,FALSE),IF(VLOOKUP(AP82,'ELA Reading Logic'!$A$22:$B$48,2,FALSE)&gt;=VLOOKUP(AR82,'ELA Reading Logic'!$A$22:$B$48,2,FALSE),VLOOKUP(AR82,'ELA Reading Logic'!$A$22:$B$48,2,FALSE),"No Score")))),"No Value"))</f>
        <v>No Value</v>
      </c>
      <c r="AT82" s="96" t="str">
        <f>IFERROR(VLOOKUP(AP82,'ELA Reading Logic'!$A$22:$B$48,2,FALSE)-VLOOKUP($F82,'ELA Reading Logic'!$A$22:$B$48,2,FALSE),"No Value")</f>
        <v>No Value</v>
      </c>
    </row>
    <row r="83" spans="1:46" ht="22.5" customHeight="1" x14ac:dyDescent="0.25">
      <c r="A83" s="176"/>
      <c r="B83" s="176"/>
      <c r="C83" s="176"/>
      <c r="D83" s="176"/>
      <c r="E83" s="175"/>
      <c r="F83" s="175"/>
      <c r="G83" s="177" t="str">
        <f>IFERROR(IF($E83="Yes","IPP",VLOOKUP($J83,'ELA Reading Logic'!$A$3:$K$9,VLOOKUP("September",'ELA Reading Logic'!$J$22:$K$31,2,FALSE),FALSE)),"Set Grade")</f>
        <v>Set Grade</v>
      </c>
      <c r="H83" s="177" t="str">
        <f>IFERROR(IF($E83="Yes","IPP",VLOOKUP($J83,'ELA Reading Logic'!$A$13:$K$19,VLOOKUP("September",'ELA Reading Logic'!$J$22:$K$31,2,FALSE),FALSE)),"Set Grade")</f>
        <v>Set Grade</v>
      </c>
      <c r="I83" s="96" t="str">
        <f>IF($E83="Yes","IPP",IFERROR(IF(AND(F83&gt;G83,F83&lt;H83),"0",(VLOOKUP(F83,'ELA Reading Logic'!$A$22:$B$48,2,FALSE))-(IF(VLOOKUP(F83,'ELA Reading Logic'!$A$22:$B$48,2,FALSE)&lt;=VLOOKUP(G83,'ELA Reading Logic'!$A$22:$B$48,2,FALSE),VLOOKUP(G83,'ELA Reading Logic'!$A$22:$B$48,2,FALSE),IF(VLOOKUP(F83,'ELA Reading Logic'!$A$22:$B$48,2,FALSE)&gt;=VLOOKUP(H83,'ELA Reading Logic'!$A$22:$B$48,2,FALSE),VLOOKUP(H83,'ELA Reading Logic'!$A$22:$B$48,2,FALSE),"No Score")))),"No Value"))</f>
        <v>No Value</v>
      </c>
      <c r="J83" s="178"/>
      <c r="K83" s="96"/>
      <c r="L83" s="96"/>
      <c r="M83" s="96"/>
      <c r="N83" s="96"/>
      <c r="O83" s="96"/>
      <c r="P83" s="105"/>
      <c r="Q83" s="92"/>
      <c r="R83" s="96" t="str">
        <f>IFERROR(IF($E83="Yes","IPP",VLOOKUP($J83,'ELA Reading Logic'!$A$3:$K$9,VLOOKUP(Q$1,'ELA Reading Logic'!$J$22:$K$31,2,FALSE),FALSE)),"Set Grade")</f>
        <v>Set Grade</v>
      </c>
      <c r="S83" s="96" t="str">
        <f>IFERROR(IF($E83="Yes","IPP",VLOOKUP($J83,'ELA Reading Logic'!$A$13:$K$19,VLOOKUP(Q$1,'ELA Reading Logic'!$J$22:$K$31,2,FALSE),FALSE)),"Set Grade")</f>
        <v>Set Grade</v>
      </c>
      <c r="T83" s="96" t="str">
        <f>IF($E83="Yes","IPP",IFERROR(IF(AND(Q83&gt;R83,Q83&lt;S83),"0",(VLOOKUP(Q83,'ELA Reading Logic'!$A$22:$B$48,2,FALSE))-(IF(VLOOKUP(Q83,'ELA Reading Logic'!$A$22:$B$48,2,FALSE)&lt;=VLOOKUP(R83,'ELA Reading Logic'!$A$22:$B$48,2,FALSE),VLOOKUP(R83,'ELA Reading Logic'!$A$22:$B$48,2,FALSE),IF(VLOOKUP(Q83,'ELA Reading Logic'!$A$22:$B$48,2,FALSE)&gt;=VLOOKUP(S83,'ELA Reading Logic'!$A$22:$B$48,2,FALSE),VLOOKUP(S83,'ELA Reading Logic'!$A$22:$B$48,2,FALSE),"No Score")))),"No Value"))</f>
        <v>No Value</v>
      </c>
      <c r="U83" s="96" t="str">
        <f>IFERROR(VLOOKUP(Q83,'ELA Reading Logic'!$A$22:$B$48,2,FALSE)-VLOOKUP($F83,'ELA Reading Logic'!$A$22:$B$48,2,FALSE),"No Value")</f>
        <v>No Value</v>
      </c>
      <c r="V83" s="92"/>
      <c r="W83" s="96" t="str">
        <f>IFERROR(IF($E83="Yes","IPP",VLOOKUP($J83,'ELA Reading Logic'!$A$3:$K$9,VLOOKUP(V$1,'ELA Reading Logic'!$J$22:$K$31,2,FALSE),FALSE)),"Set Grade")</f>
        <v>Set Grade</v>
      </c>
      <c r="X83" s="96" t="str">
        <f>IFERROR(IF($E83="Yes","IPP",VLOOKUP($J83,'ELA Reading Logic'!$A$13:$K$19,VLOOKUP(V$1,'ELA Reading Logic'!$J$22:$K$31,2,FALSE),FALSE)),"Set Grade")</f>
        <v>Set Grade</v>
      </c>
      <c r="Y83" s="96" t="str">
        <f>IF($E83="Yes","IPP",IFERROR(IF(AND(V83&gt;W83,V83&lt;X83),"0",(VLOOKUP(V83,'ELA Reading Logic'!$A$22:$B$48,2,FALSE))-(IF(VLOOKUP(V83,'ELA Reading Logic'!$A$22:$B$48,2,FALSE)&lt;=VLOOKUP(W83,'ELA Reading Logic'!$A$22:$B$48,2,FALSE),VLOOKUP(W83,'ELA Reading Logic'!$A$22:$B$48,2,FALSE),IF(VLOOKUP(V83,'ELA Reading Logic'!$A$22:$B$48,2,FALSE)&gt;=VLOOKUP(X83,'ELA Reading Logic'!$A$22:$B$48,2,FALSE),VLOOKUP(X83,'ELA Reading Logic'!$A$22:$B$48,2,FALSE),"No Score")))),"No Value"))</f>
        <v>No Value</v>
      </c>
      <c r="Z83" s="96" t="str">
        <f>IFERROR(VLOOKUP(V83,'ELA Reading Logic'!$A$22:$B$48,2,FALSE)-VLOOKUP($F83,'ELA Reading Logic'!$A$22:$B$48,2,FALSE),"No Value")</f>
        <v>No Value</v>
      </c>
      <c r="AA83" s="92"/>
      <c r="AB83" s="96" t="str">
        <f>IFERROR(IF($E83="Yes","IPP",VLOOKUP($J83,'ELA Reading Logic'!$A$3:$K$9,VLOOKUP(AA$1,'ELA Reading Logic'!$J$22:$K$31,2,FALSE),FALSE)),"Set Grade")</f>
        <v>Set Grade</v>
      </c>
      <c r="AC83" s="96" t="str">
        <f>IFERROR(IF($E83="Yes","IPP",VLOOKUP($J83,'ELA Reading Logic'!$A$13:$K$19,VLOOKUP(AA$1,'ELA Reading Logic'!$J$22:$K$31,2,FALSE),FALSE)),"Set Grade")</f>
        <v>Set Grade</v>
      </c>
      <c r="AD83" s="96" t="str">
        <f>IF($E83="Yes","IPP",IFERROR(IF(AND(AA83&gt;AB83,AA83&lt;AC83),"0",(VLOOKUP(AA83,'ELA Reading Logic'!$A$22:$B$48,2,FALSE))-(IF(VLOOKUP(AA83,'ELA Reading Logic'!$A$22:$B$48,2,FALSE)&lt;=VLOOKUP(AB83,'ELA Reading Logic'!$A$22:$B$48,2,FALSE),VLOOKUP(AB83,'ELA Reading Logic'!$A$22:$B$48,2,FALSE),IF(VLOOKUP(AA83,'ELA Reading Logic'!$A$22:$B$48,2,FALSE)&gt;=VLOOKUP(AC83,'ELA Reading Logic'!$A$22:$B$48,2,FALSE),VLOOKUP(AC83,'ELA Reading Logic'!$A$22:$B$48,2,FALSE),"No Score")))),"No Value"))</f>
        <v>No Value</v>
      </c>
      <c r="AE83" s="96" t="str">
        <f>IFERROR(VLOOKUP(AA83,'ELA Reading Logic'!$A$22:$B$48,2,FALSE)-VLOOKUP($F83,'ELA Reading Logic'!$A$22:$B$48,2,FALSE),"No Value")</f>
        <v>No Value</v>
      </c>
      <c r="AF83" s="92"/>
      <c r="AG83" s="96" t="str">
        <f>IFERROR(IF($E83="Yes","IPP",VLOOKUP($J83,'ELA Reading Logic'!$A$3:$K$9,VLOOKUP(AF$1,'ELA Reading Logic'!$J$22:$K$31,2,FALSE),FALSE)),"Set Grade")</f>
        <v>Set Grade</v>
      </c>
      <c r="AH83" s="96" t="str">
        <f>IFERROR(IF($E83="Yes","IPP",VLOOKUP($J83,'ELA Reading Logic'!$A$13:$K$19,VLOOKUP(AF$1,'ELA Reading Logic'!$J$22:$K$31,2,FALSE),FALSE)),"Set Grade")</f>
        <v>Set Grade</v>
      </c>
      <c r="AI83" s="96" t="str">
        <f>IF($E83="Yes","IPP",IFERROR(IF(AND(AF83&gt;AG83,AF83&lt;AH83),"0",(VLOOKUP(AF83,'ELA Reading Logic'!$A$22:$B$48,2,FALSE))-(IF(VLOOKUP(AF83,'ELA Reading Logic'!$A$22:$B$48,2,FALSE)&lt;=VLOOKUP(AG83,'ELA Reading Logic'!$A$22:$B$48,2,FALSE),VLOOKUP(AG83,'ELA Reading Logic'!$A$22:$B$48,2,FALSE),IF(VLOOKUP(AF83,'ELA Reading Logic'!$A$22:$B$48,2,FALSE)&gt;=VLOOKUP(AH83,'ELA Reading Logic'!$A$22:$B$48,2,FALSE),VLOOKUP(AH83,'ELA Reading Logic'!$A$22:$B$48,2,FALSE),"No Score")))),"No Value"))</f>
        <v>No Value</v>
      </c>
      <c r="AJ83" s="96" t="str">
        <f>IFERROR(VLOOKUP(AF83,'ELA Reading Logic'!$A$22:$B$48,2,FALSE)-VLOOKUP($F83,'ELA Reading Logic'!$A$22:$B$48,2,FALSE),"No Value")</f>
        <v>No Value</v>
      </c>
      <c r="AK83" s="92"/>
      <c r="AL83" s="96" t="str">
        <f>IFERROR(IF($E83="Yes","IPP",VLOOKUP($J83,'ELA Reading Logic'!$A$3:$K$9,VLOOKUP(AK$1,'ELA Reading Logic'!$J$22:$K$31,2,FALSE),FALSE)),"Set Grade")</f>
        <v>Set Grade</v>
      </c>
      <c r="AM83" s="96" t="str">
        <f>IFERROR(IF($E83="Yes","IPP",VLOOKUP($J83,'ELA Reading Logic'!$A$13:$K$19,VLOOKUP(AK$1,'ELA Reading Logic'!$J$22:$K$31,2,FALSE),FALSE)),"Set Grade")</f>
        <v>Set Grade</v>
      </c>
      <c r="AN83" s="96" t="str">
        <f>IF($E83="Yes","IPP",IFERROR(IF(AND(AK83&gt;AL83,AK83&lt;AM83),"0",(VLOOKUP(AK83,'ELA Reading Logic'!$A$22:$B$48,2,FALSE))-(IF(VLOOKUP(AK83,'ELA Reading Logic'!$A$22:$B$48,2,FALSE)&lt;=VLOOKUP(AL83,'ELA Reading Logic'!$A$22:$B$48,2,FALSE),VLOOKUP(AL83,'ELA Reading Logic'!$A$22:$B$48,2,FALSE),IF(VLOOKUP(AK83,'ELA Reading Logic'!$A$22:$B$48,2,FALSE)&gt;=VLOOKUP(AM83,'ELA Reading Logic'!$A$22:$B$48,2,FALSE),VLOOKUP(AM83,'ELA Reading Logic'!$A$22:$B$48,2,FALSE),"No Score")))),"No Value"))</f>
        <v>No Value</v>
      </c>
      <c r="AO83" s="96" t="str">
        <f>IFERROR(VLOOKUP(AK83,'ELA Reading Logic'!$A$22:$B$48,2,FALSE)-VLOOKUP($F83,'ELA Reading Logic'!$A$22:$B$48,2,FALSE),"No Value")</f>
        <v>No Value</v>
      </c>
      <c r="AP83" s="92"/>
      <c r="AQ83" s="96" t="str">
        <f>IFERROR(IF($E83="Yes","IPP",VLOOKUP($J83,'ELA Reading Logic'!$A$3:$K$9,VLOOKUP(AP$1,'ELA Reading Logic'!$J$22:$K$31,2,FALSE),FALSE)),"Set Grade")</f>
        <v>Set Grade</v>
      </c>
      <c r="AR83" s="96" t="str">
        <f>IFERROR(IF($E83="Yes","IPP",VLOOKUP($J83,'ELA Reading Logic'!$A$13:$K$19,VLOOKUP(AP$1,'ELA Reading Logic'!$J$22:$K$31,2,FALSE),FALSE)),"Set Grade")</f>
        <v>Set Grade</v>
      </c>
      <c r="AS83" s="96" t="str">
        <f>IF($E83="Yes","IPP",IFERROR(IF(AND(AP83&gt;AQ83,AP83&lt;AR83),"0",(VLOOKUP(AP83,'ELA Reading Logic'!$A$22:$B$48,2,FALSE))-(IF(VLOOKUP(AP83,'ELA Reading Logic'!$A$22:$B$48,2,FALSE)&lt;=VLOOKUP(AQ83,'ELA Reading Logic'!$A$22:$B$48,2,FALSE),VLOOKUP(AQ83,'ELA Reading Logic'!$A$22:$B$48,2,FALSE),IF(VLOOKUP(AP83,'ELA Reading Logic'!$A$22:$B$48,2,FALSE)&gt;=VLOOKUP(AR83,'ELA Reading Logic'!$A$22:$B$48,2,FALSE),VLOOKUP(AR83,'ELA Reading Logic'!$A$22:$B$48,2,FALSE),"No Score")))),"No Value"))</f>
        <v>No Value</v>
      </c>
      <c r="AT83" s="96" t="str">
        <f>IFERROR(VLOOKUP(AP83,'ELA Reading Logic'!$A$22:$B$48,2,FALSE)-VLOOKUP($F83,'ELA Reading Logic'!$A$22:$B$48,2,FALSE),"No Value")</f>
        <v>No Value</v>
      </c>
    </row>
    <row r="84" spans="1:46" ht="22.5" customHeight="1" x14ac:dyDescent="0.25">
      <c r="A84" s="174"/>
      <c r="B84" s="174"/>
      <c r="C84" s="174"/>
      <c r="D84" s="174"/>
      <c r="E84" s="175"/>
      <c r="F84" s="175"/>
      <c r="G84" s="177" t="str">
        <f>IFERROR(IF($E84="Yes","IPP",VLOOKUP($J84,'ELA Reading Logic'!$A$3:$K$9,VLOOKUP("September",'ELA Reading Logic'!$J$22:$K$31,2,FALSE),FALSE)),"Set Grade")</f>
        <v>Set Grade</v>
      </c>
      <c r="H84" s="177" t="str">
        <f>IFERROR(IF($E84="Yes","IPP",VLOOKUP($J84,'ELA Reading Logic'!$A$13:$K$19,VLOOKUP("September",'ELA Reading Logic'!$J$22:$K$31,2,FALSE),FALSE)),"Set Grade")</f>
        <v>Set Grade</v>
      </c>
      <c r="I84" s="96" t="str">
        <f>IF($E84="Yes","IPP",IFERROR(IF(AND(F84&gt;G84,F84&lt;H84),"0",(VLOOKUP(F84,'ELA Reading Logic'!$A$22:$B$48,2,FALSE))-(IF(VLOOKUP(F84,'ELA Reading Logic'!$A$22:$B$48,2,FALSE)&lt;=VLOOKUP(G84,'ELA Reading Logic'!$A$22:$B$48,2,FALSE),VLOOKUP(G84,'ELA Reading Logic'!$A$22:$B$48,2,FALSE),IF(VLOOKUP(F84,'ELA Reading Logic'!$A$22:$B$48,2,FALSE)&gt;=VLOOKUP(H84,'ELA Reading Logic'!$A$22:$B$48,2,FALSE),VLOOKUP(H84,'ELA Reading Logic'!$A$22:$B$48,2,FALSE),"No Score")))),"No Value"))</f>
        <v>No Value</v>
      </c>
      <c r="J84" s="178"/>
      <c r="K84" s="96"/>
      <c r="L84" s="96"/>
      <c r="M84" s="96"/>
      <c r="N84" s="96"/>
      <c r="O84" s="96"/>
      <c r="P84" s="105"/>
      <c r="Q84" s="92"/>
      <c r="R84" s="96" t="str">
        <f>IFERROR(IF($E84="Yes","IPP",VLOOKUP($J84,'ELA Reading Logic'!$A$3:$K$9,VLOOKUP(Q$1,'ELA Reading Logic'!$J$22:$K$31,2,FALSE),FALSE)),"Set Grade")</f>
        <v>Set Grade</v>
      </c>
      <c r="S84" s="96" t="str">
        <f>IFERROR(IF($E84="Yes","IPP",VLOOKUP($J84,'ELA Reading Logic'!$A$13:$K$19,VLOOKUP(Q$1,'ELA Reading Logic'!$J$22:$K$31,2,FALSE),FALSE)),"Set Grade")</f>
        <v>Set Grade</v>
      </c>
      <c r="T84" s="96" t="str">
        <f>IF($E84="Yes","IPP",IFERROR(IF(AND(Q84&gt;R84,Q84&lt;S84),"0",(VLOOKUP(Q84,'ELA Reading Logic'!$A$22:$B$48,2,FALSE))-(IF(VLOOKUP(Q84,'ELA Reading Logic'!$A$22:$B$48,2,FALSE)&lt;=VLOOKUP(R84,'ELA Reading Logic'!$A$22:$B$48,2,FALSE),VLOOKUP(R84,'ELA Reading Logic'!$A$22:$B$48,2,FALSE),IF(VLOOKUP(Q84,'ELA Reading Logic'!$A$22:$B$48,2,FALSE)&gt;=VLOOKUP(S84,'ELA Reading Logic'!$A$22:$B$48,2,FALSE),VLOOKUP(S84,'ELA Reading Logic'!$A$22:$B$48,2,FALSE),"No Score")))),"No Value"))</f>
        <v>No Value</v>
      </c>
      <c r="U84" s="96" t="str">
        <f>IFERROR(VLOOKUP(Q84,'ELA Reading Logic'!$A$22:$B$48,2,FALSE)-VLOOKUP($F84,'ELA Reading Logic'!$A$22:$B$48,2,FALSE),"No Value")</f>
        <v>No Value</v>
      </c>
      <c r="V84" s="92"/>
      <c r="W84" s="96" t="str">
        <f>IFERROR(IF($E84="Yes","IPP",VLOOKUP($J84,'ELA Reading Logic'!$A$3:$K$9,VLOOKUP(V$1,'ELA Reading Logic'!$J$22:$K$31,2,FALSE),FALSE)),"Set Grade")</f>
        <v>Set Grade</v>
      </c>
      <c r="X84" s="96" t="str">
        <f>IFERROR(IF($E84="Yes","IPP",VLOOKUP($J84,'ELA Reading Logic'!$A$13:$K$19,VLOOKUP(V$1,'ELA Reading Logic'!$J$22:$K$31,2,FALSE),FALSE)),"Set Grade")</f>
        <v>Set Grade</v>
      </c>
      <c r="Y84" s="96" t="str">
        <f>IF($E84="Yes","IPP",IFERROR(IF(AND(V84&gt;W84,V84&lt;X84),"0",(VLOOKUP(V84,'ELA Reading Logic'!$A$22:$B$48,2,FALSE))-(IF(VLOOKUP(V84,'ELA Reading Logic'!$A$22:$B$48,2,FALSE)&lt;=VLOOKUP(W84,'ELA Reading Logic'!$A$22:$B$48,2,FALSE),VLOOKUP(W84,'ELA Reading Logic'!$A$22:$B$48,2,FALSE),IF(VLOOKUP(V84,'ELA Reading Logic'!$A$22:$B$48,2,FALSE)&gt;=VLOOKUP(X84,'ELA Reading Logic'!$A$22:$B$48,2,FALSE),VLOOKUP(X84,'ELA Reading Logic'!$A$22:$B$48,2,FALSE),"No Score")))),"No Value"))</f>
        <v>No Value</v>
      </c>
      <c r="Z84" s="96" t="str">
        <f>IFERROR(VLOOKUP(V84,'ELA Reading Logic'!$A$22:$B$48,2,FALSE)-VLOOKUP($F84,'ELA Reading Logic'!$A$22:$B$48,2,FALSE),"No Value")</f>
        <v>No Value</v>
      </c>
      <c r="AA84" s="92"/>
      <c r="AB84" s="96" t="str">
        <f>IFERROR(IF($E84="Yes","IPP",VLOOKUP($J84,'ELA Reading Logic'!$A$3:$K$9,VLOOKUP(AA$1,'ELA Reading Logic'!$J$22:$K$31,2,FALSE),FALSE)),"Set Grade")</f>
        <v>Set Grade</v>
      </c>
      <c r="AC84" s="96" t="str">
        <f>IFERROR(IF($E84="Yes","IPP",VLOOKUP($J84,'ELA Reading Logic'!$A$13:$K$19,VLOOKUP(AA$1,'ELA Reading Logic'!$J$22:$K$31,2,FALSE),FALSE)),"Set Grade")</f>
        <v>Set Grade</v>
      </c>
      <c r="AD84" s="96" t="str">
        <f>IF($E84="Yes","IPP",IFERROR(IF(AND(AA84&gt;AB84,AA84&lt;AC84),"0",(VLOOKUP(AA84,'ELA Reading Logic'!$A$22:$B$48,2,FALSE))-(IF(VLOOKUP(AA84,'ELA Reading Logic'!$A$22:$B$48,2,FALSE)&lt;=VLOOKUP(AB84,'ELA Reading Logic'!$A$22:$B$48,2,FALSE),VLOOKUP(AB84,'ELA Reading Logic'!$A$22:$B$48,2,FALSE),IF(VLOOKUP(AA84,'ELA Reading Logic'!$A$22:$B$48,2,FALSE)&gt;=VLOOKUP(AC84,'ELA Reading Logic'!$A$22:$B$48,2,FALSE),VLOOKUP(AC84,'ELA Reading Logic'!$A$22:$B$48,2,FALSE),"No Score")))),"No Value"))</f>
        <v>No Value</v>
      </c>
      <c r="AE84" s="96" t="str">
        <f>IFERROR(VLOOKUP(AA84,'ELA Reading Logic'!$A$22:$B$48,2,FALSE)-VLOOKUP($F84,'ELA Reading Logic'!$A$22:$B$48,2,FALSE),"No Value")</f>
        <v>No Value</v>
      </c>
      <c r="AF84" s="92"/>
      <c r="AG84" s="96" t="str">
        <f>IFERROR(IF($E84="Yes","IPP",VLOOKUP($J84,'ELA Reading Logic'!$A$3:$K$9,VLOOKUP(AF$1,'ELA Reading Logic'!$J$22:$K$31,2,FALSE),FALSE)),"Set Grade")</f>
        <v>Set Grade</v>
      </c>
      <c r="AH84" s="96" t="str">
        <f>IFERROR(IF($E84="Yes","IPP",VLOOKUP($J84,'ELA Reading Logic'!$A$13:$K$19,VLOOKUP(AF$1,'ELA Reading Logic'!$J$22:$K$31,2,FALSE),FALSE)),"Set Grade")</f>
        <v>Set Grade</v>
      </c>
      <c r="AI84" s="96" t="str">
        <f>IF($E84="Yes","IPP",IFERROR(IF(AND(AF84&gt;AG84,AF84&lt;AH84),"0",(VLOOKUP(AF84,'ELA Reading Logic'!$A$22:$B$48,2,FALSE))-(IF(VLOOKUP(AF84,'ELA Reading Logic'!$A$22:$B$48,2,FALSE)&lt;=VLOOKUP(AG84,'ELA Reading Logic'!$A$22:$B$48,2,FALSE),VLOOKUP(AG84,'ELA Reading Logic'!$A$22:$B$48,2,FALSE),IF(VLOOKUP(AF84,'ELA Reading Logic'!$A$22:$B$48,2,FALSE)&gt;=VLOOKUP(AH84,'ELA Reading Logic'!$A$22:$B$48,2,FALSE),VLOOKUP(AH84,'ELA Reading Logic'!$A$22:$B$48,2,FALSE),"No Score")))),"No Value"))</f>
        <v>No Value</v>
      </c>
      <c r="AJ84" s="96" t="str">
        <f>IFERROR(VLOOKUP(AF84,'ELA Reading Logic'!$A$22:$B$48,2,FALSE)-VLOOKUP($F84,'ELA Reading Logic'!$A$22:$B$48,2,FALSE),"No Value")</f>
        <v>No Value</v>
      </c>
      <c r="AK84" s="92"/>
      <c r="AL84" s="96" t="str">
        <f>IFERROR(IF($E84="Yes","IPP",VLOOKUP($J84,'ELA Reading Logic'!$A$3:$K$9,VLOOKUP(AK$1,'ELA Reading Logic'!$J$22:$K$31,2,FALSE),FALSE)),"Set Grade")</f>
        <v>Set Grade</v>
      </c>
      <c r="AM84" s="96" t="str">
        <f>IFERROR(IF($E84="Yes","IPP",VLOOKUP($J84,'ELA Reading Logic'!$A$13:$K$19,VLOOKUP(AK$1,'ELA Reading Logic'!$J$22:$K$31,2,FALSE),FALSE)),"Set Grade")</f>
        <v>Set Grade</v>
      </c>
      <c r="AN84" s="96" t="str">
        <f>IF($E84="Yes","IPP",IFERROR(IF(AND(AK84&gt;AL84,AK84&lt;AM84),"0",(VLOOKUP(AK84,'ELA Reading Logic'!$A$22:$B$48,2,FALSE))-(IF(VLOOKUP(AK84,'ELA Reading Logic'!$A$22:$B$48,2,FALSE)&lt;=VLOOKUP(AL84,'ELA Reading Logic'!$A$22:$B$48,2,FALSE),VLOOKUP(AL84,'ELA Reading Logic'!$A$22:$B$48,2,FALSE),IF(VLOOKUP(AK84,'ELA Reading Logic'!$A$22:$B$48,2,FALSE)&gt;=VLOOKUP(AM84,'ELA Reading Logic'!$A$22:$B$48,2,FALSE),VLOOKUP(AM84,'ELA Reading Logic'!$A$22:$B$48,2,FALSE),"No Score")))),"No Value"))</f>
        <v>No Value</v>
      </c>
      <c r="AO84" s="96" t="str">
        <f>IFERROR(VLOOKUP(AK84,'ELA Reading Logic'!$A$22:$B$48,2,FALSE)-VLOOKUP($F84,'ELA Reading Logic'!$A$22:$B$48,2,FALSE),"No Value")</f>
        <v>No Value</v>
      </c>
      <c r="AP84" s="92"/>
      <c r="AQ84" s="96" t="str">
        <f>IFERROR(IF($E84="Yes","IPP",VLOOKUP($J84,'ELA Reading Logic'!$A$3:$K$9,VLOOKUP(AP$1,'ELA Reading Logic'!$J$22:$K$31,2,FALSE),FALSE)),"Set Grade")</f>
        <v>Set Grade</v>
      </c>
      <c r="AR84" s="96" t="str">
        <f>IFERROR(IF($E84="Yes","IPP",VLOOKUP($J84,'ELA Reading Logic'!$A$13:$K$19,VLOOKUP(AP$1,'ELA Reading Logic'!$J$22:$K$31,2,FALSE),FALSE)),"Set Grade")</f>
        <v>Set Grade</v>
      </c>
      <c r="AS84" s="96" t="str">
        <f>IF($E84="Yes","IPP",IFERROR(IF(AND(AP84&gt;AQ84,AP84&lt;AR84),"0",(VLOOKUP(AP84,'ELA Reading Logic'!$A$22:$B$48,2,FALSE))-(IF(VLOOKUP(AP84,'ELA Reading Logic'!$A$22:$B$48,2,FALSE)&lt;=VLOOKUP(AQ84,'ELA Reading Logic'!$A$22:$B$48,2,FALSE),VLOOKUP(AQ84,'ELA Reading Logic'!$A$22:$B$48,2,FALSE),IF(VLOOKUP(AP84,'ELA Reading Logic'!$A$22:$B$48,2,FALSE)&gt;=VLOOKUP(AR84,'ELA Reading Logic'!$A$22:$B$48,2,FALSE),VLOOKUP(AR84,'ELA Reading Logic'!$A$22:$B$48,2,FALSE),"No Score")))),"No Value"))</f>
        <v>No Value</v>
      </c>
      <c r="AT84" s="96" t="str">
        <f>IFERROR(VLOOKUP(AP84,'ELA Reading Logic'!$A$22:$B$48,2,FALSE)-VLOOKUP($F84,'ELA Reading Logic'!$A$22:$B$48,2,FALSE),"No Value")</f>
        <v>No Value</v>
      </c>
    </row>
    <row r="85" spans="1:46" ht="22.5" customHeight="1" x14ac:dyDescent="0.25">
      <c r="A85" s="176"/>
      <c r="B85" s="176"/>
      <c r="C85" s="176"/>
      <c r="D85" s="176"/>
      <c r="E85" s="175"/>
      <c r="F85" s="175"/>
      <c r="G85" s="177" t="str">
        <f>IFERROR(IF($E85="Yes","IPP",VLOOKUP($J85,'ELA Reading Logic'!$A$3:$K$9,VLOOKUP("September",'ELA Reading Logic'!$J$22:$K$31,2,FALSE),FALSE)),"Set Grade")</f>
        <v>Set Grade</v>
      </c>
      <c r="H85" s="177" t="str">
        <f>IFERROR(IF($E85="Yes","IPP",VLOOKUP($J85,'ELA Reading Logic'!$A$13:$K$19,VLOOKUP("September",'ELA Reading Logic'!$J$22:$K$31,2,FALSE),FALSE)),"Set Grade")</f>
        <v>Set Grade</v>
      </c>
      <c r="I85" s="96" t="str">
        <f>IF($E85="Yes","IPP",IFERROR(IF(AND(F85&gt;G85,F85&lt;H85),"0",(VLOOKUP(F85,'ELA Reading Logic'!$A$22:$B$48,2,FALSE))-(IF(VLOOKUP(F85,'ELA Reading Logic'!$A$22:$B$48,2,FALSE)&lt;=VLOOKUP(G85,'ELA Reading Logic'!$A$22:$B$48,2,FALSE),VLOOKUP(G85,'ELA Reading Logic'!$A$22:$B$48,2,FALSE),IF(VLOOKUP(F85,'ELA Reading Logic'!$A$22:$B$48,2,FALSE)&gt;=VLOOKUP(H85,'ELA Reading Logic'!$A$22:$B$48,2,FALSE),VLOOKUP(H85,'ELA Reading Logic'!$A$22:$B$48,2,FALSE),"No Score")))),"No Value"))</f>
        <v>No Value</v>
      </c>
      <c r="J85" s="178"/>
      <c r="K85" s="96"/>
      <c r="L85" s="96"/>
      <c r="M85" s="96"/>
      <c r="N85" s="96"/>
      <c r="O85" s="96"/>
      <c r="P85" s="105"/>
      <c r="Q85" s="92"/>
      <c r="R85" s="96" t="str">
        <f>IFERROR(IF($E85="Yes","IPP",VLOOKUP($J85,'ELA Reading Logic'!$A$3:$K$9,VLOOKUP(Q$1,'ELA Reading Logic'!$J$22:$K$31,2,FALSE),FALSE)),"Set Grade")</f>
        <v>Set Grade</v>
      </c>
      <c r="S85" s="96" t="str">
        <f>IFERROR(IF($E85="Yes","IPP",VLOOKUP($J85,'ELA Reading Logic'!$A$13:$K$19,VLOOKUP(Q$1,'ELA Reading Logic'!$J$22:$K$31,2,FALSE),FALSE)),"Set Grade")</f>
        <v>Set Grade</v>
      </c>
      <c r="T85" s="96" t="str">
        <f>IF($E85="Yes","IPP",IFERROR(IF(AND(Q85&gt;R85,Q85&lt;S85),"0",(VLOOKUP(Q85,'ELA Reading Logic'!$A$22:$B$48,2,FALSE))-(IF(VLOOKUP(Q85,'ELA Reading Logic'!$A$22:$B$48,2,FALSE)&lt;=VLOOKUP(R85,'ELA Reading Logic'!$A$22:$B$48,2,FALSE),VLOOKUP(R85,'ELA Reading Logic'!$A$22:$B$48,2,FALSE),IF(VLOOKUP(Q85,'ELA Reading Logic'!$A$22:$B$48,2,FALSE)&gt;=VLOOKUP(S85,'ELA Reading Logic'!$A$22:$B$48,2,FALSE),VLOOKUP(S85,'ELA Reading Logic'!$A$22:$B$48,2,FALSE),"No Score")))),"No Value"))</f>
        <v>No Value</v>
      </c>
      <c r="U85" s="96" t="str">
        <f>IFERROR(VLOOKUP(Q85,'ELA Reading Logic'!$A$22:$B$48,2,FALSE)-VLOOKUP($F85,'ELA Reading Logic'!$A$22:$B$48,2,FALSE),"No Value")</f>
        <v>No Value</v>
      </c>
      <c r="V85" s="92"/>
      <c r="W85" s="96" t="str">
        <f>IFERROR(IF($E85="Yes","IPP",VLOOKUP($J85,'ELA Reading Logic'!$A$3:$K$9,VLOOKUP(V$1,'ELA Reading Logic'!$J$22:$K$31,2,FALSE),FALSE)),"Set Grade")</f>
        <v>Set Grade</v>
      </c>
      <c r="X85" s="96" t="str">
        <f>IFERROR(IF($E85="Yes","IPP",VLOOKUP($J85,'ELA Reading Logic'!$A$13:$K$19,VLOOKUP(V$1,'ELA Reading Logic'!$J$22:$K$31,2,FALSE),FALSE)),"Set Grade")</f>
        <v>Set Grade</v>
      </c>
      <c r="Y85" s="96" t="str">
        <f>IF($E85="Yes","IPP",IFERROR(IF(AND(V85&gt;W85,V85&lt;X85),"0",(VLOOKUP(V85,'ELA Reading Logic'!$A$22:$B$48,2,FALSE))-(IF(VLOOKUP(V85,'ELA Reading Logic'!$A$22:$B$48,2,FALSE)&lt;=VLOOKUP(W85,'ELA Reading Logic'!$A$22:$B$48,2,FALSE),VLOOKUP(W85,'ELA Reading Logic'!$A$22:$B$48,2,FALSE),IF(VLOOKUP(V85,'ELA Reading Logic'!$A$22:$B$48,2,FALSE)&gt;=VLOOKUP(X85,'ELA Reading Logic'!$A$22:$B$48,2,FALSE),VLOOKUP(X85,'ELA Reading Logic'!$A$22:$B$48,2,FALSE),"No Score")))),"No Value"))</f>
        <v>No Value</v>
      </c>
      <c r="Z85" s="96" t="str">
        <f>IFERROR(VLOOKUP(V85,'ELA Reading Logic'!$A$22:$B$48,2,FALSE)-VLOOKUP($F85,'ELA Reading Logic'!$A$22:$B$48,2,FALSE),"No Value")</f>
        <v>No Value</v>
      </c>
      <c r="AA85" s="92"/>
      <c r="AB85" s="96" t="str">
        <f>IFERROR(IF($E85="Yes","IPP",VLOOKUP($J85,'ELA Reading Logic'!$A$3:$K$9,VLOOKUP(AA$1,'ELA Reading Logic'!$J$22:$K$31,2,FALSE),FALSE)),"Set Grade")</f>
        <v>Set Grade</v>
      </c>
      <c r="AC85" s="96" t="str">
        <f>IFERROR(IF($E85="Yes","IPP",VLOOKUP($J85,'ELA Reading Logic'!$A$13:$K$19,VLOOKUP(AA$1,'ELA Reading Logic'!$J$22:$K$31,2,FALSE),FALSE)),"Set Grade")</f>
        <v>Set Grade</v>
      </c>
      <c r="AD85" s="96" t="str">
        <f>IF($E85="Yes","IPP",IFERROR(IF(AND(AA85&gt;AB85,AA85&lt;AC85),"0",(VLOOKUP(AA85,'ELA Reading Logic'!$A$22:$B$48,2,FALSE))-(IF(VLOOKUP(AA85,'ELA Reading Logic'!$A$22:$B$48,2,FALSE)&lt;=VLOOKUP(AB85,'ELA Reading Logic'!$A$22:$B$48,2,FALSE),VLOOKUP(AB85,'ELA Reading Logic'!$A$22:$B$48,2,FALSE),IF(VLOOKUP(AA85,'ELA Reading Logic'!$A$22:$B$48,2,FALSE)&gt;=VLOOKUP(AC85,'ELA Reading Logic'!$A$22:$B$48,2,FALSE),VLOOKUP(AC85,'ELA Reading Logic'!$A$22:$B$48,2,FALSE),"No Score")))),"No Value"))</f>
        <v>No Value</v>
      </c>
      <c r="AE85" s="96" t="str">
        <f>IFERROR(VLOOKUP(AA85,'ELA Reading Logic'!$A$22:$B$48,2,FALSE)-VLOOKUP($F85,'ELA Reading Logic'!$A$22:$B$48,2,FALSE),"No Value")</f>
        <v>No Value</v>
      </c>
      <c r="AF85" s="92"/>
      <c r="AG85" s="96" t="str">
        <f>IFERROR(IF($E85="Yes","IPP",VLOOKUP($J85,'ELA Reading Logic'!$A$3:$K$9,VLOOKUP(AF$1,'ELA Reading Logic'!$J$22:$K$31,2,FALSE),FALSE)),"Set Grade")</f>
        <v>Set Grade</v>
      </c>
      <c r="AH85" s="96" t="str">
        <f>IFERROR(IF($E85="Yes","IPP",VLOOKUP($J85,'ELA Reading Logic'!$A$13:$K$19,VLOOKUP(AF$1,'ELA Reading Logic'!$J$22:$K$31,2,FALSE),FALSE)),"Set Grade")</f>
        <v>Set Grade</v>
      </c>
      <c r="AI85" s="96" t="str">
        <f>IF($E85="Yes","IPP",IFERROR(IF(AND(AF85&gt;AG85,AF85&lt;AH85),"0",(VLOOKUP(AF85,'ELA Reading Logic'!$A$22:$B$48,2,FALSE))-(IF(VLOOKUP(AF85,'ELA Reading Logic'!$A$22:$B$48,2,FALSE)&lt;=VLOOKUP(AG85,'ELA Reading Logic'!$A$22:$B$48,2,FALSE),VLOOKUP(AG85,'ELA Reading Logic'!$A$22:$B$48,2,FALSE),IF(VLOOKUP(AF85,'ELA Reading Logic'!$A$22:$B$48,2,FALSE)&gt;=VLOOKUP(AH85,'ELA Reading Logic'!$A$22:$B$48,2,FALSE),VLOOKUP(AH85,'ELA Reading Logic'!$A$22:$B$48,2,FALSE),"No Score")))),"No Value"))</f>
        <v>No Value</v>
      </c>
      <c r="AJ85" s="96" t="str">
        <f>IFERROR(VLOOKUP(AF85,'ELA Reading Logic'!$A$22:$B$48,2,FALSE)-VLOOKUP($F85,'ELA Reading Logic'!$A$22:$B$48,2,FALSE),"No Value")</f>
        <v>No Value</v>
      </c>
      <c r="AK85" s="92"/>
      <c r="AL85" s="96" t="str">
        <f>IFERROR(IF($E85="Yes","IPP",VLOOKUP($J85,'ELA Reading Logic'!$A$3:$K$9,VLOOKUP(AK$1,'ELA Reading Logic'!$J$22:$K$31,2,FALSE),FALSE)),"Set Grade")</f>
        <v>Set Grade</v>
      </c>
      <c r="AM85" s="96" t="str">
        <f>IFERROR(IF($E85="Yes","IPP",VLOOKUP($J85,'ELA Reading Logic'!$A$13:$K$19,VLOOKUP(AK$1,'ELA Reading Logic'!$J$22:$K$31,2,FALSE),FALSE)),"Set Grade")</f>
        <v>Set Grade</v>
      </c>
      <c r="AN85" s="96" t="str">
        <f>IF($E85="Yes","IPP",IFERROR(IF(AND(AK85&gt;AL85,AK85&lt;AM85),"0",(VLOOKUP(AK85,'ELA Reading Logic'!$A$22:$B$48,2,FALSE))-(IF(VLOOKUP(AK85,'ELA Reading Logic'!$A$22:$B$48,2,FALSE)&lt;=VLOOKUP(AL85,'ELA Reading Logic'!$A$22:$B$48,2,FALSE),VLOOKUP(AL85,'ELA Reading Logic'!$A$22:$B$48,2,FALSE),IF(VLOOKUP(AK85,'ELA Reading Logic'!$A$22:$B$48,2,FALSE)&gt;=VLOOKUP(AM85,'ELA Reading Logic'!$A$22:$B$48,2,FALSE),VLOOKUP(AM85,'ELA Reading Logic'!$A$22:$B$48,2,FALSE),"No Score")))),"No Value"))</f>
        <v>No Value</v>
      </c>
      <c r="AO85" s="96" t="str">
        <f>IFERROR(VLOOKUP(AK85,'ELA Reading Logic'!$A$22:$B$48,2,FALSE)-VLOOKUP($F85,'ELA Reading Logic'!$A$22:$B$48,2,FALSE),"No Value")</f>
        <v>No Value</v>
      </c>
      <c r="AP85" s="92"/>
      <c r="AQ85" s="96" t="str">
        <f>IFERROR(IF($E85="Yes","IPP",VLOOKUP($J85,'ELA Reading Logic'!$A$3:$K$9,VLOOKUP(AP$1,'ELA Reading Logic'!$J$22:$K$31,2,FALSE),FALSE)),"Set Grade")</f>
        <v>Set Grade</v>
      </c>
      <c r="AR85" s="96" t="str">
        <f>IFERROR(IF($E85="Yes","IPP",VLOOKUP($J85,'ELA Reading Logic'!$A$13:$K$19,VLOOKUP(AP$1,'ELA Reading Logic'!$J$22:$K$31,2,FALSE),FALSE)),"Set Grade")</f>
        <v>Set Grade</v>
      </c>
      <c r="AS85" s="96" t="str">
        <f>IF($E85="Yes","IPP",IFERROR(IF(AND(AP85&gt;AQ85,AP85&lt;AR85),"0",(VLOOKUP(AP85,'ELA Reading Logic'!$A$22:$B$48,2,FALSE))-(IF(VLOOKUP(AP85,'ELA Reading Logic'!$A$22:$B$48,2,FALSE)&lt;=VLOOKUP(AQ85,'ELA Reading Logic'!$A$22:$B$48,2,FALSE),VLOOKUP(AQ85,'ELA Reading Logic'!$A$22:$B$48,2,FALSE),IF(VLOOKUP(AP85,'ELA Reading Logic'!$A$22:$B$48,2,FALSE)&gt;=VLOOKUP(AR85,'ELA Reading Logic'!$A$22:$B$48,2,FALSE),VLOOKUP(AR85,'ELA Reading Logic'!$A$22:$B$48,2,FALSE),"No Score")))),"No Value"))</f>
        <v>No Value</v>
      </c>
      <c r="AT85" s="96" t="str">
        <f>IFERROR(VLOOKUP(AP85,'ELA Reading Logic'!$A$22:$B$48,2,FALSE)-VLOOKUP($F85,'ELA Reading Logic'!$A$22:$B$48,2,FALSE),"No Value")</f>
        <v>No Value</v>
      </c>
    </row>
    <row r="86" spans="1:46" ht="22.5" customHeight="1" x14ac:dyDescent="0.25">
      <c r="A86" s="174"/>
      <c r="B86" s="174"/>
      <c r="C86" s="174"/>
      <c r="D86" s="174"/>
      <c r="E86" s="175"/>
      <c r="F86" s="175"/>
      <c r="G86" s="177" t="str">
        <f>IFERROR(IF($E86="Yes","IPP",VLOOKUP($J86,'ELA Reading Logic'!$A$3:$K$9,VLOOKUP("September",'ELA Reading Logic'!$J$22:$K$31,2,FALSE),FALSE)),"Set Grade")</f>
        <v>Set Grade</v>
      </c>
      <c r="H86" s="177" t="str">
        <f>IFERROR(IF($E86="Yes","IPP",VLOOKUP($J86,'ELA Reading Logic'!$A$13:$K$19,VLOOKUP("September",'ELA Reading Logic'!$J$22:$K$31,2,FALSE),FALSE)),"Set Grade")</f>
        <v>Set Grade</v>
      </c>
      <c r="I86" s="96" t="str">
        <f>IF($E86="Yes","IPP",IFERROR(IF(AND(F86&gt;G86,F86&lt;H86),"0",(VLOOKUP(F86,'ELA Reading Logic'!$A$22:$B$48,2,FALSE))-(IF(VLOOKUP(F86,'ELA Reading Logic'!$A$22:$B$48,2,FALSE)&lt;=VLOOKUP(G86,'ELA Reading Logic'!$A$22:$B$48,2,FALSE),VLOOKUP(G86,'ELA Reading Logic'!$A$22:$B$48,2,FALSE),IF(VLOOKUP(F86,'ELA Reading Logic'!$A$22:$B$48,2,FALSE)&gt;=VLOOKUP(H86,'ELA Reading Logic'!$A$22:$B$48,2,FALSE),VLOOKUP(H86,'ELA Reading Logic'!$A$22:$B$48,2,FALSE),"No Score")))),"No Value"))</f>
        <v>No Value</v>
      </c>
      <c r="J86" s="178"/>
      <c r="K86" s="96"/>
      <c r="L86" s="96"/>
      <c r="M86" s="96"/>
      <c r="N86" s="96"/>
      <c r="O86" s="96"/>
      <c r="P86" s="105"/>
      <c r="Q86" s="92"/>
      <c r="R86" s="96" t="str">
        <f>IFERROR(IF($E86="Yes","IPP",VLOOKUP($J86,'ELA Reading Logic'!$A$3:$K$9,VLOOKUP(Q$1,'ELA Reading Logic'!$J$22:$K$31,2,FALSE),FALSE)),"Set Grade")</f>
        <v>Set Grade</v>
      </c>
      <c r="S86" s="96" t="str">
        <f>IFERROR(IF($E86="Yes","IPP",VLOOKUP($J86,'ELA Reading Logic'!$A$13:$K$19,VLOOKUP(Q$1,'ELA Reading Logic'!$J$22:$K$31,2,FALSE),FALSE)),"Set Grade")</f>
        <v>Set Grade</v>
      </c>
      <c r="T86" s="96" t="str">
        <f>IF($E86="Yes","IPP",IFERROR(IF(AND(Q86&gt;R86,Q86&lt;S86),"0",(VLOOKUP(Q86,'ELA Reading Logic'!$A$22:$B$48,2,FALSE))-(IF(VLOOKUP(Q86,'ELA Reading Logic'!$A$22:$B$48,2,FALSE)&lt;=VLOOKUP(R86,'ELA Reading Logic'!$A$22:$B$48,2,FALSE),VLOOKUP(R86,'ELA Reading Logic'!$A$22:$B$48,2,FALSE),IF(VLOOKUP(Q86,'ELA Reading Logic'!$A$22:$B$48,2,FALSE)&gt;=VLOOKUP(S86,'ELA Reading Logic'!$A$22:$B$48,2,FALSE),VLOOKUP(S86,'ELA Reading Logic'!$A$22:$B$48,2,FALSE),"No Score")))),"No Value"))</f>
        <v>No Value</v>
      </c>
      <c r="U86" s="96" t="str">
        <f>IFERROR(VLOOKUP(Q86,'ELA Reading Logic'!$A$22:$B$48,2,FALSE)-VLOOKUP($F86,'ELA Reading Logic'!$A$22:$B$48,2,FALSE),"No Value")</f>
        <v>No Value</v>
      </c>
      <c r="V86" s="92"/>
      <c r="W86" s="96" t="str">
        <f>IFERROR(IF($E86="Yes","IPP",VLOOKUP($J86,'ELA Reading Logic'!$A$3:$K$9,VLOOKUP(V$1,'ELA Reading Logic'!$J$22:$K$31,2,FALSE),FALSE)),"Set Grade")</f>
        <v>Set Grade</v>
      </c>
      <c r="X86" s="96" t="str">
        <f>IFERROR(IF($E86="Yes","IPP",VLOOKUP($J86,'ELA Reading Logic'!$A$13:$K$19,VLOOKUP(V$1,'ELA Reading Logic'!$J$22:$K$31,2,FALSE),FALSE)),"Set Grade")</f>
        <v>Set Grade</v>
      </c>
      <c r="Y86" s="96" t="str">
        <f>IF($E86="Yes","IPP",IFERROR(IF(AND(V86&gt;W86,V86&lt;X86),"0",(VLOOKUP(V86,'ELA Reading Logic'!$A$22:$B$48,2,FALSE))-(IF(VLOOKUP(V86,'ELA Reading Logic'!$A$22:$B$48,2,FALSE)&lt;=VLOOKUP(W86,'ELA Reading Logic'!$A$22:$B$48,2,FALSE),VLOOKUP(W86,'ELA Reading Logic'!$A$22:$B$48,2,FALSE),IF(VLOOKUP(V86,'ELA Reading Logic'!$A$22:$B$48,2,FALSE)&gt;=VLOOKUP(X86,'ELA Reading Logic'!$A$22:$B$48,2,FALSE),VLOOKUP(X86,'ELA Reading Logic'!$A$22:$B$48,2,FALSE),"No Score")))),"No Value"))</f>
        <v>No Value</v>
      </c>
      <c r="Z86" s="96" t="str">
        <f>IFERROR(VLOOKUP(V86,'ELA Reading Logic'!$A$22:$B$48,2,FALSE)-VLOOKUP($F86,'ELA Reading Logic'!$A$22:$B$48,2,FALSE),"No Value")</f>
        <v>No Value</v>
      </c>
      <c r="AA86" s="92"/>
      <c r="AB86" s="96" t="str">
        <f>IFERROR(IF($E86="Yes","IPP",VLOOKUP($J86,'ELA Reading Logic'!$A$3:$K$9,VLOOKUP(AA$1,'ELA Reading Logic'!$J$22:$K$31,2,FALSE),FALSE)),"Set Grade")</f>
        <v>Set Grade</v>
      </c>
      <c r="AC86" s="96" t="str">
        <f>IFERROR(IF($E86="Yes","IPP",VLOOKUP($J86,'ELA Reading Logic'!$A$13:$K$19,VLOOKUP(AA$1,'ELA Reading Logic'!$J$22:$K$31,2,FALSE),FALSE)),"Set Grade")</f>
        <v>Set Grade</v>
      </c>
      <c r="AD86" s="96" t="str">
        <f>IF($E86="Yes","IPP",IFERROR(IF(AND(AA86&gt;AB86,AA86&lt;AC86),"0",(VLOOKUP(AA86,'ELA Reading Logic'!$A$22:$B$48,2,FALSE))-(IF(VLOOKUP(AA86,'ELA Reading Logic'!$A$22:$B$48,2,FALSE)&lt;=VLOOKUP(AB86,'ELA Reading Logic'!$A$22:$B$48,2,FALSE),VLOOKUP(AB86,'ELA Reading Logic'!$A$22:$B$48,2,FALSE),IF(VLOOKUP(AA86,'ELA Reading Logic'!$A$22:$B$48,2,FALSE)&gt;=VLOOKUP(AC86,'ELA Reading Logic'!$A$22:$B$48,2,FALSE),VLOOKUP(AC86,'ELA Reading Logic'!$A$22:$B$48,2,FALSE),"No Score")))),"No Value"))</f>
        <v>No Value</v>
      </c>
      <c r="AE86" s="96" t="str">
        <f>IFERROR(VLOOKUP(AA86,'ELA Reading Logic'!$A$22:$B$48,2,FALSE)-VLOOKUP($F86,'ELA Reading Logic'!$A$22:$B$48,2,FALSE),"No Value")</f>
        <v>No Value</v>
      </c>
      <c r="AF86" s="92"/>
      <c r="AG86" s="96" t="str">
        <f>IFERROR(IF($E86="Yes","IPP",VLOOKUP($J86,'ELA Reading Logic'!$A$3:$K$9,VLOOKUP(AF$1,'ELA Reading Logic'!$J$22:$K$31,2,FALSE),FALSE)),"Set Grade")</f>
        <v>Set Grade</v>
      </c>
      <c r="AH86" s="96" t="str">
        <f>IFERROR(IF($E86="Yes","IPP",VLOOKUP($J86,'ELA Reading Logic'!$A$13:$K$19,VLOOKUP(AF$1,'ELA Reading Logic'!$J$22:$K$31,2,FALSE),FALSE)),"Set Grade")</f>
        <v>Set Grade</v>
      </c>
      <c r="AI86" s="96" t="str">
        <f>IF($E86="Yes","IPP",IFERROR(IF(AND(AF86&gt;AG86,AF86&lt;AH86),"0",(VLOOKUP(AF86,'ELA Reading Logic'!$A$22:$B$48,2,FALSE))-(IF(VLOOKUP(AF86,'ELA Reading Logic'!$A$22:$B$48,2,FALSE)&lt;=VLOOKUP(AG86,'ELA Reading Logic'!$A$22:$B$48,2,FALSE),VLOOKUP(AG86,'ELA Reading Logic'!$A$22:$B$48,2,FALSE),IF(VLOOKUP(AF86,'ELA Reading Logic'!$A$22:$B$48,2,FALSE)&gt;=VLOOKUP(AH86,'ELA Reading Logic'!$A$22:$B$48,2,FALSE),VLOOKUP(AH86,'ELA Reading Logic'!$A$22:$B$48,2,FALSE),"No Score")))),"No Value"))</f>
        <v>No Value</v>
      </c>
      <c r="AJ86" s="96" t="str">
        <f>IFERROR(VLOOKUP(AF86,'ELA Reading Logic'!$A$22:$B$48,2,FALSE)-VLOOKUP($F86,'ELA Reading Logic'!$A$22:$B$48,2,FALSE),"No Value")</f>
        <v>No Value</v>
      </c>
      <c r="AK86" s="92"/>
      <c r="AL86" s="96" t="str">
        <f>IFERROR(IF($E86="Yes","IPP",VLOOKUP($J86,'ELA Reading Logic'!$A$3:$K$9,VLOOKUP(AK$1,'ELA Reading Logic'!$J$22:$K$31,2,FALSE),FALSE)),"Set Grade")</f>
        <v>Set Grade</v>
      </c>
      <c r="AM86" s="96" t="str">
        <f>IFERROR(IF($E86="Yes","IPP",VLOOKUP($J86,'ELA Reading Logic'!$A$13:$K$19,VLOOKUP(AK$1,'ELA Reading Logic'!$J$22:$K$31,2,FALSE),FALSE)),"Set Grade")</f>
        <v>Set Grade</v>
      </c>
      <c r="AN86" s="96" t="str">
        <f>IF($E86="Yes","IPP",IFERROR(IF(AND(AK86&gt;AL86,AK86&lt;AM86),"0",(VLOOKUP(AK86,'ELA Reading Logic'!$A$22:$B$48,2,FALSE))-(IF(VLOOKUP(AK86,'ELA Reading Logic'!$A$22:$B$48,2,FALSE)&lt;=VLOOKUP(AL86,'ELA Reading Logic'!$A$22:$B$48,2,FALSE),VLOOKUP(AL86,'ELA Reading Logic'!$A$22:$B$48,2,FALSE),IF(VLOOKUP(AK86,'ELA Reading Logic'!$A$22:$B$48,2,FALSE)&gt;=VLOOKUP(AM86,'ELA Reading Logic'!$A$22:$B$48,2,FALSE),VLOOKUP(AM86,'ELA Reading Logic'!$A$22:$B$48,2,FALSE),"No Score")))),"No Value"))</f>
        <v>No Value</v>
      </c>
      <c r="AO86" s="96" t="str">
        <f>IFERROR(VLOOKUP(AK86,'ELA Reading Logic'!$A$22:$B$48,2,FALSE)-VLOOKUP($F86,'ELA Reading Logic'!$A$22:$B$48,2,FALSE),"No Value")</f>
        <v>No Value</v>
      </c>
      <c r="AP86" s="92"/>
      <c r="AQ86" s="96" t="str">
        <f>IFERROR(IF($E86="Yes","IPP",VLOOKUP($J86,'ELA Reading Logic'!$A$3:$K$9,VLOOKUP(AP$1,'ELA Reading Logic'!$J$22:$K$31,2,FALSE),FALSE)),"Set Grade")</f>
        <v>Set Grade</v>
      </c>
      <c r="AR86" s="96" t="str">
        <f>IFERROR(IF($E86="Yes","IPP",VLOOKUP($J86,'ELA Reading Logic'!$A$13:$K$19,VLOOKUP(AP$1,'ELA Reading Logic'!$J$22:$K$31,2,FALSE),FALSE)),"Set Grade")</f>
        <v>Set Grade</v>
      </c>
      <c r="AS86" s="96" t="str">
        <f>IF($E86="Yes","IPP",IFERROR(IF(AND(AP86&gt;AQ86,AP86&lt;AR86),"0",(VLOOKUP(AP86,'ELA Reading Logic'!$A$22:$B$48,2,FALSE))-(IF(VLOOKUP(AP86,'ELA Reading Logic'!$A$22:$B$48,2,FALSE)&lt;=VLOOKUP(AQ86,'ELA Reading Logic'!$A$22:$B$48,2,FALSE),VLOOKUP(AQ86,'ELA Reading Logic'!$A$22:$B$48,2,FALSE),IF(VLOOKUP(AP86,'ELA Reading Logic'!$A$22:$B$48,2,FALSE)&gt;=VLOOKUP(AR86,'ELA Reading Logic'!$A$22:$B$48,2,FALSE),VLOOKUP(AR86,'ELA Reading Logic'!$A$22:$B$48,2,FALSE),"No Score")))),"No Value"))</f>
        <v>No Value</v>
      </c>
      <c r="AT86" s="96" t="str">
        <f>IFERROR(VLOOKUP(AP86,'ELA Reading Logic'!$A$22:$B$48,2,FALSE)-VLOOKUP($F86,'ELA Reading Logic'!$A$22:$B$48,2,FALSE),"No Value")</f>
        <v>No Value</v>
      </c>
    </row>
    <row r="87" spans="1:46" ht="22.5" customHeight="1" x14ac:dyDescent="0.25">
      <c r="A87" s="176"/>
      <c r="B87" s="176"/>
      <c r="C87" s="176"/>
      <c r="D87" s="176"/>
      <c r="E87" s="175"/>
      <c r="F87" s="175"/>
      <c r="G87" s="177" t="str">
        <f>IFERROR(IF($E87="Yes","IPP",VLOOKUP($J87,'ELA Reading Logic'!$A$3:$K$9,VLOOKUP("September",'ELA Reading Logic'!$J$22:$K$31,2,FALSE),FALSE)),"Set Grade")</f>
        <v>Set Grade</v>
      </c>
      <c r="H87" s="177" t="str">
        <f>IFERROR(IF($E87="Yes","IPP",VLOOKUP($J87,'ELA Reading Logic'!$A$13:$K$19,VLOOKUP("September",'ELA Reading Logic'!$J$22:$K$31,2,FALSE),FALSE)),"Set Grade")</f>
        <v>Set Grade</v>
      </c>
      <c r="I87" s="96" t="str">
        <f>IF($E87="Yes","IPP",IFERROR(IF(AND(F87&gt;G87,F87&lt;H87),"0",(VLOOKUP(F87,'ELA Reading Logic'!$A$22:$B$48,2,FALSE))-(IF(VLOOKUP(F87,'ELA Reading Logic'!$A$22:$B$48,2,FALSE)&lt;=VLOOKUP(G87,'ELA Reading Logic'!$A$22:$B$48,2,FALSE),VLOOKUP(G87,'ELA Reading Logic'!$A$22:$B$48,2,FALSE),IF(VLOOKUP(F87,'ELA Reading Logic'!$A$22:$B$48,2,FALSE)&gt;=VLOOKUP(H87,'ELA Reading Logic'!$A$22:$B$48,2,FALSE),VLOOKUP(H87,'ELA Reading Logic'!$A$22:$B$48,2,FALSE),"No Score")))),"No Value"))</f>
        <v>No Value</v>
      </c>
      <c r="J87" s="178"/>
      <c r="K87" s="96"/>
      <c r="L87" s="96"/>
      <c r="M87" s="96"/>
      <c r="N87" s="96"/>
      <c r="O87" s="96"/>
      <c r="P87" s="105"/>
      <c r="Q87" s="92"/>
      <c r="R87" s="96" t="str">
        <f>IFERROR(IF($E87="Yes","IPP",VLOOKUP($J87,'ELA Reading Logic'!$A$3:$K$9,VLOOKUP(Q$1,'ELA Reading Logic'!$J$22:$K$31,2,FALSE),FALSE)),"Set Grade")</f>
        <v>Set Grade</v>
      </c>
      <c r="S87" s="96" t="str">
        <f>IFERROR(IF($E87="Yes","IPP",VLOOKUP($J87,'ELA Reading Logic'!$A$13:$K$19,VLOOKUP(Q$1,'ELA Reading Logic'!$J$22:$K$31,2,FALSE),FALSE)),"Set Grade")</f>
        <v>Set Grade</v>
      </c>
      <c r="T87" s="96" t="str">
        <f>IF($E87="Yes","IPP",IFERROR(IF(AND(Q87&gt;R87,Q87&lt;S87),"0",(VLOOKUP(Q87,'ELA Reading Logic'!$A$22:$B$48,2,FALSE))-(IF(VLOOKUP(Q87,'ELA Reading Logic'!$A$22:$B$48,2,FALSE)&lt;=VLOOKUP(R87,'ELA Reading Logic'!$A$22:$B$48,2,FALSE),VLOOKUP(R87,'ELA Reading Logic'!$A$22:$B$48,2,FALSE),IF(VLOOKUP(Q87,'ELA Reading Logic'!$A$22:$B$48,2,FALSE)&gt;=VLOOKUP(S87,'ELA Reading Logic'!$A$22:$B$48,2,FALSE),VLOOKUP(S87,'ELA Reading Logic'!$A$22:$B$48,2,FALSE),"No Score")))),"No Value"))</f>
        <v>No Value</v>
      </c>
      <c r="U87" s="96" t="str">
        <f>IFERROR(VLOOKUP(Q87,'ELA Reading Logic'!$A$22:$B$48,2,FALSE)-VLOOKUP($F87,'ELA Reading Logic'!$A$22:$B$48,2,FALSE),"No Value")</f>
        <v>No Value</v>
      </c>
      <c r="V87" s="92"/>
      <c r="W87" s="96" t="str">
        <f>IFERROR(IF($E87="Yes","IPP",VLOOKUP($J87,'ELA Reading Logic'!$A$3:$K$9,VLOOKUP(V$1,'ELA Reading Logic'!$J$22:$K$31,2,FALSE),FALSE)),"Set Grade")</f>
        <v>Set Grade</v>
      </c>
      <c r="X87" s="96" t="str">
        <f>IFERROR(IF($E87="Yes","IPP",VLOOKUP($J87,'ELA Reading Logic'!$A$13:$K$19,VLOOKUP(V$1,'ELA Reading Logic'!$J$22:$K$31,2,FALSE),FALSE)),"Set Grade")</f>
        <v>Set Grade</v>
      </c>
      <c r="Y87" s="96" t="str">
        <f>IF($E87="Yes","IPP",IFERROR(IF(AND(V87&gt;W87,V87&lt;X87),"0",(VLOOKUP(V87,'ELA Reading Logic'!$A$22:$B$48,2,FALSE))-(IF(VLOOKUP(V87,'ELA Reading Logic'!$A$22:$B$48,2,FALSE)&lt;=VLOOKUP(W87,'ELA Reading Logic'!$A$22:$B$48,2,FALSE),VLOOKUP(W87,'ELA Reading Logic'!$A$22:$B$48,2,FALSE),IF(VLOOKUP(V87,'ELA Reading Logic'!$A$22:$B$48,2,FALSE)&gt;=VLOOKUP(X87,'ELA Reading Logic'!$A$22:$B$48,2,FALSE),VLOOKUP(X87,'ELA Reading Logic'!$A$22:$B$48,2,FALSE),"No Score")))),"No Value"))</f>
        <v>No Value</v>
      </c>
      <c r="Z87" s="96" t="str">
        <f>IFERROR(VLOOKUP(V87,'ELA Reading Logic'!$A$22:$B$48,2,FALSE)-VLOOKUP($F87,'ELA Reading Logic'!$A$22:$B$48,2,FALSE),"No Value")</f>
        <v>No Value</v>
      </c>
      <c r="AA87" s="92"/>
      <c r="AB87" s="96" t="str">
        <f>IFERROR(IF($E87="Yes","IPP",VLOOKUP($J87,'ELA Reading Logic'!$A$3:$K$9,VLOOKUP(AA$1,'ELA Reading Logic'!$J$22:$K$31,2,FALSE),FALSE)),"Set Grade")</f>
        <v>Set Grade</v>
      </c>
      <c r="AC87" s="96" t="str">
        <f>IFERROR(IF($E87="Yes","IPP",VLOOKUP($J87,'ELA Reading Logic'!$A$13:$K$19,VLOOKUP(AA$1,'ELA Reading Logic'!$J$22:$K$31,2,FALSE),FALSE)),"Set Grade")</f>
        <v>Set Grade</v>
      </c>
      <c r="AD87" s="96" t="str">
        <f>IF($E87="Yes","IPP",IFERROR(IF(AND(AA87&gt;AB87,AA87&lt;AC87),"0",(VLOOKUP(AA87,'ELA Reading Logic'!$A$22:$B$48,2,FALSE))-(IF(VLOOKUP(AA87,'ELA Reading Logic'!$A$22:$B$48,2,FALSE)&lt;=VLOOKUP(AB87,'ELA Reading Logic'!$A$22:$B$48,2,FALSE),VLOOKUP(AB87,'ELA Reading Logic'!$A$22:$B$48,2,FALSE),IF(VLOOKUP(AA87,'ELA Reading Logic'!$A$22:$B$48,2,FALSE)&gt;=VLOOKUP(AC87,'ELA Reading Logic'!$A$22:$B$48,2,FALSE),VLOOKUP(AC87,'ELA Reading Logic'!$A$22:$B$48,2,FALSE),"No Score")))),"No Value"))</f>
        <v>No Value</v>
      </c>
      <c r="AE87" s="96" t="str">
        <f>IFERROR(VLOOKUP(AA87,'ELA Reading Logic'!$A$22:$B$48,2,FALSE)-VLOOKUP($F87,'ELA Reading Logic'!$A$22:$B$48,2,FALSE),"No Value")</f>
        <v>No Value</v>
      </c>
      <c r="AF87" s="92"/>
      <c r="AG87" s="96" t="str">
        <f>IFERROR(IF($E87="Yes","IPP",VLOOKUP($J87,'ELA Reading Logic'!$A$3:$K$9,VLOOKUP(AF$1,'ELA Reading Logic'!$J$22:$K$31,2,FALSE),FALSE)),"Set Grade")</f>
        <v>Set Grade</v>
      </c>
      <c r="AH87" s="96" t="str">
        <f>IFERROR(IF($E87="Yes","IPP",VLOOKUP($J87,'ELA Reading Logic'!$A$13:$K$19,VLOOKUP(AF$1,'ELA Reading Logic'!$J$22:$K$31,2,FALSE),FALSE)),"Set Grade")</f>
        <v>Set Grade</v>
      </c>
      <c r="AI87" s="96" t="str">
        <f>IF($E87="Yes","IPP",IFERROR(IF(AND(AF87&gt;AG87,AF87&lt;AH87),"0",(VLOOKUP(AF87,'ELA Reading Logic'!$A$22:$B$48,2,FALSE))-(IF(VLOOKUP(AF87,'ELA Reading Logic'!$A$22:$B$48,2,FALSE)&lt;=VLOOKUP(AG87,'ELA Reading Logic'!$A$22:$B$48,2,FALSE),VLOOKUP(AG87,'ELA Reading Logic'!$A$22:$B$48,2,FALSE),IF(VLOOKUP(AF87,'ELA Reading Logic'!$A$22:$B$48,2,FALSE)&gt;=VLOOKUP(AH87,'ELA Reading Logic'!$A$22:$B$48,2,FALSE),VLOOKUP(AH87,'ELA Reading Logic'!$A$22:$B$48,2,FALSE),"No Score")))),"No Value"))</f>
        <v>No Value</v>
      </c>
      <c r="AJ87" s="96" t="str">
        <f>IFERROR(VLOOKUP(AF87,'ELA Reading Logic'!$A$22:$B$48,2,FALSE)-VLOOKUP($F87,'ELA Reading Logic'!$A$22:$B$48,2,FALSE),"No Value")</f>
        <v>No Value</v>
      </c>
      <c r="AK87" s="92"/>
      <c r="AL87" s="96" t="str">
        <f>IFERROR(IF($E87="Yes","IPP",VLOOKUP($J87,'ELA Reading Logic'!$A$3:$K$9,VLOOKUP(AK$1,'ELA Reading Logic'!$J$22:$K$31,2,FALSE),FALSE)),"Set Grade")</f>
        <v>Set Grade</v>
      </c>
      <c r="AM87" s="96" t="str">
        <f>IFERROR(IF($E87="Yes","IPP",VLOOKUP($J87,'ELA Reading Logic'!$A$13:$K$19,VLOOKUP(AK$1,'ELA Reading Logic'!$J$22:$K$31,2,FALSE),FALSE)),"Set Grade")</f>
        <v>Set Grade</v>
      </c>
      <c r="AN87" s="96" t="str">
        <f>IF($E87="Yes","IPP",IFERROR(IF(AND(AK87&gt;AL87,AK87&lt;AM87),"0",(VLOOKUP(AK87,'ELA Reading Logic'!$A$22:$B$48,2,FALSE))-(IF(VLOOKUP(AK87,'ELA Reading Logic'!$A$22:$B$48,2,FALSE)&lt;=VLOOKUP(AL87,'ELA Reading Logic'!$A$22:$B$48,2,FALSE),VLOOKUP(AL87,'ELA Reading Logic'!$A$22:$B$48,2,FALSE),IF(VLOOKUP(AK87,'ELA Reading Logic'!$A$22:$B$48,2,FALSE)&gt;=VLOOKUP(AM87,'ELA Reading Logic'!$A$22:$B$48,2,FALSE),VLOOKUP(AM87,'ELA Reading Logic'!$A$22:$B$48,2,FALSE),"No Score")))),"No Value"))</f>
        <v>No Value</v>
      </c>
      <c r="AO87" s="96" t="str">
        <f>IFERROR(VLOOKUP(AK87,'ELA Reading Logic'!$A$22:$B$48,2,FALSE)-VLOOKUP($F87,'ELA Reading Logic'!$A$22:$B$48,2,FALSE),"No Value")</f>
        <v>No Value</v>
      </c>
      <c r="AP87" s="92"/>
      <c r="AQ87" s="96" t="str">
        <f>IFERROR(IF($E87="Yes","IPP",VLOOKUP($J87,'ELA Reading Logic'!$A$3:$K$9,VLOOKUP(AP$1,'ELA Reading Logic'!$J$22:$K$31,2,FALSE),FALSE)),"Set Grade")</f>
        <v>Set Grade</v>
      </c>
      <c r="AR87" s="96" t="str">
        <f>IFERROR(IF($E87="Yes","IPP",VLOOKUP($J87,'ELA Reading Logic'!$A$13:$K$19,VLOOKUP(AP$1,'ELA Reading Logic'!$J$22:$K$31,2,FALSE),FALSE)),"Set Grade")</f>
        <v>Set Grade</v>
      </c>
      <c r="AS87" s="96" t="str">
        <f>IF($E87="Yes","IPP",IFERROR(IF(AND(AP87&gt;AQ87,AP87&lt;AR87),"0",(VLOOKUP(AP87,'ELA Reading Logic'!$A$22:$B$48,2,FALSE))-(IF(VLOOKUP(AP87,'ELA Reading Logic'!$A$22:$B$48,2,FALSE)&lt;=VLOOKUP(AQ87,'ELA Reading Logic'!$A$22:$B$48,2,FALSE),VLOOKUP(AQ87,'ELA Reading Logic'!$A$22:$B$48,2,FALSE),IF(VLOOKUP(AP87,'ELA Reading Logic'!$A$22:$B$48,2,FALSE)&gt;=VLOOKUP(AR87,'ELA Reading Logic'!$A$22:$B$48,2,FALSE),VLOOKUP(AR87,'ELA Reading Logic'!$A$22:$B$48,2,FALSE),"No Score")))),"No Value"))</f>
        <v>No Value</v>
      </c>
      <c r="AT87" s="96" t="str">
        <f>IFERROR(VLOOKUP(AP87,'ELA Reading Logic'!$A$22:$B$48,2,FALSE)-VLOOKUP($F87,'ELA Reading Logic'!$A$22:$B$48,2,FALSE),"No Value")</f>
        <v>No Value</v>
      </c>
    </row>
    <row r="88" spans="1:46" ht="22.5" customHeight="1" x14ac:dyDescent="0.25">
      <c r="A88" s="174"/>
      <c r="B88" s="174"/>
      <c r="C88" s="174"/>
      <c r="D88" s="174"/>
      <c r="E88" s="175"/>
      <c r="F88" s="175"/>
      <c r="G88" s="177" t="str">
        <f>IFERROR(IF($E88="Yes","IPP",VLOOKUP($J88,'ELA Reading Logic'!$A$3:$K$9,VLOOKUP("September",'ELA Reading Logic'!$J$22:$K$31,2,FALSE),FALSE)),"Set Grade")</f>
        <v>Set Grade</v>
      </c>
      <c r="H88" s="177" t="str">
        <f>IFERROR(IF($E88="Yes","IPP",VLOOKUP($J88,'ELA Reading Logic'!$A$13:$K$19,VLOOKUP("September",'ELA Reading Logic'!$J$22:$K$31,2,FALSE),FALSE)),"Set Grade")</f>
        <v>Set Grade</v>
      </c>
      <c r="I88" s="96" t="str">
        <f>IF($E88="Yes","IPP",IFERROR(IF(AND(F88&gt;G88,F88&lt;H88),"0",(VLOOKUP(F88,'ELA Reading Logic'!$A$22:$B$48,2,FALSE))-(IF(VLOOKUP(F88,'ELA Reading Logic'!$A$22:$B$48,2,FALSE)&lt;=VLOOKUP(G88,'ELA Reading Logic'!$A$22:$B$48,2,FALSE),VLOOKUP(G88,'ELA Reading Logic'!$A$22:$B$48,2,FALSE),IF(VLOOKUP(F88,'ELA Reading Logic'!$A$22:$B$48,2,FALSE)&gt;=VLOOKUP(H88,'ELA Reading Logic'!$A$22:$B$48,2,FALSE),VLOOKUP(H88,'ELA Reading Logic'!$A$22:$B$48,2,FALSE),"No Score")))),"No Value"))</f>
        <v>No Value</v>
      </c>
      <c r="J88" s="178"/>
      <c r="K88" s="96"/>
      <c r="L88" s="96"/>
      <c r="M88" s="96"/>
      <c r="N88" s="96"/>
      <c r="O88" s="96"/>
      <c r="P88" s="105"/>
      <c r="Q88" s="92"/>
      <c r="R88" s="96" t="str">
        <f>IFERROR(IF($E88="Yes","IPP",VLOOKUP($J88,'ELA Reading Logic'!$A$3:$K$9,VLOOKUP(Q$1,'ELA Reading Logic'!$J$22:$K$31,2,FALSE),FALSE)),"Set Grade")</f>
        <v>Set Grade</v>
      </c>
      <c r="S88" s="96" t="str">
        <f>IFERROR(IF($E88="Yes","IPP",VLOOKUP($J88,'ELA Reading Logic'!$A$13:$K$19,VLOOKUP(Q$1,'ELA Reading Logic'!$J$22:$K$31,2,FALSE),FALSE)),"Set Grade")</f>
        <v>Set Grade</v>
      </c>
      <c r="T88" s="96" t="str">
        <f>IF($E88="Yes","IPP",IFERROR(IF(AND(Q88&gt;R88,Q88&lt;S88),"0",(VLOOKUP(Q88,'ELA Reading Logic'!$A$22:$B$48,2,FALSE))-(IF(VLOOKUP(Q88,'ELA Reading Logic'!$A$22:$B$48,2,FALSE)&lt;=VLOOKUP(R88,'ELA Reading Logic'!$A$22:$B$48,2,FALSE),VLOOKUP(R88,'ELA Reading Logic'!$A$22:$B$48,2,FALSE),IF(VLOOKUP(Q88,'ELA Reading Logic'!$A$22:$B$48,2,FALSE)&gt;=VLOOKUP(S88,'ELA Reading Logic'!$A$22:$B$48,2,FALSE),VLOOKUP(S88,'ELA Reading Logic'!$A$22:$B$48,2,FALSE),"No Score")))),"No Value"))</f>
        <v>No Value</v>
      </c>
      <c r="U88" s="96" t="str">
        <f>IFERROR(VLOOKUP(Q88,'ELA Reading Logic'!$A$22:$B$48,2,FALSE)-VLOOKUP($F88,'ELA Reading Logic'!$A$22:$B$48,2,FALSE),"No Value")</f>
        <v>No Value</v>
      </c>
      <c r="V88" s="92"/>
      <c r="W88" s="96" t="str">
        <f>IFERROR(IF($E88="Yes","IPP",VLOOKUP($J88,'ELA Reading Logic'!$A$3:$K$9,VLOOKUP(V$1,'ELA Reading Logic'!$J$22:$K$31,2,FALSE),FALSE)),"Set Grade")</f>
        <v>Set Grade</v>
      </c>
      <c r="X88" s="96" t="str">
        <f>IFERROR(IF($E88="Yes","IPP",VLOOKUP($J88,'ELA Reading Logic'!$A$13:$K$19,VLOOKUP(V$1,'ELA Reading Logic'!$J$22:$K$31,2,FALSE),FALSE)),"Set Grade")</f>
        <v>Set Grade</v>
      </c>
      <c r="Y88" s="96" t="str">
        <f>IF($E88="Yes","IPP",IFERROR(IF(AND(V88&gt;W88,V88&lt;X88),"0",(VLOOKUP(V88,'ELA Reading Logic'!$A$22:$B$48,2,FALSE))-(IF(VLOOKUP(V88,'ELA Reading Logic'!$A$22:$B$48,2,FALSE)&lt;=VLOOKUP(W88,'ELA Reading Logic'!$A$22:$B$48,2,FALSE),VLOOKUP(W88,'ELA Reading Logic'!$A$22:$B$48,2,FALSE),IF(VLOOKUP(V88,'ELA Reading Logic'!$A$22:$B$48,2,FALSE)&gt;=VLOOKUP(X88,'ELA Reading Logic'!$A$22:$B$48,2,FALSE),VLOOKUP(X88,'ELA Reading Logic'!$A$22:$B$48,2,FALSE),"No Score")))),"No Value"))</f>
        <v>No Value</v>
      </c>
      <c r="Z88" s="96" t="str">
        <f>IFERROR(VLOOKUP(V88,'ELA Reading Logic'!$A$22:$B$48,2,FALSE)-VLOOKUP($F88,'ELA Reading Logic'!$A$22:$B$48,2,FALSE),"No Value")</f>
        <v>No Value</v>
      </c>
      <c r="AA88" s="92"/>
      <c r="AB88" s="96" t="str">
        <f>IFERROR(IF($E88="Yes","IPP",VLOOKUP($J88,'ELA Reading Logic'!$A$3:$K$9,VLOOKUP(AA$1,'ELA Reading Logic'!$J$22:$K$31,2,FALSE),FALSE)),"Set Grade")</f>
        <v>Set Grade</v>
      </c>
      <c r="AC88" s="96" t="str">
        <f>IFERROR(IF($E88="Yes","IPP",VLOOKUP($J88,'ELA Reading Logic'!$A$13:$K$19,VLOOKUP(AA$1,'ELA Reading Logic'!$J$22:$K$31,2,FALSE),FALSE)),"Set Grade")</f>
        <v>Set Grade</v>
      </c>
      <c r="AD88" s="96" t="str">
        <f>IF($E88="Yes","IPP",IFERROR(IF(AND(AA88&gt;AB88,AA88&lt;AC88),"0",(VLOOKUP(AA88,'ELA Reading Logic'!$A$22:$B$48,2,FALSE))-(IF(VLOOKUP(AA88,'ELA Reading Logic'!$A$22:$B$48,2,FALSE)&lt;=VLOOKUP(AB88,'ELA Reading Logic'!$A$22:$B$48,2,FALSE),VLOOKUP(AB88,'ELA Reading Logic'!$A$22:$B$48,2,FALSE),IF(VLOOKUP(AA88,'ELA Reading Logic'!$A$22:$B$48,2,FALSE)&gt;=VLOOKUP(AC88,'ELA Reading Logic'!$A$22:$B$48,2,FALSE),VLOOKUP(AC88,'ELA Reading Logic'!$A$22:$B$48,2,FALSE),"No Score")))),"No Value"))</f>
        <v>No Value</v>
      </c>
      <c r="AE88" s="96" t="str">
        <f>IFERROR(VLOOKUP(AA88,'ELA Reading Logic'!$A$22:$B$48,2,FALSE)-VLOOKUP($F88,'ELA Reading Logic'!$A$22:$B$48,2,FALSE),"No Value")</f>
        <v>No Value</v>
      </c>
      <c r="AF88" s="92"/>
      <c r="AG88" s="96" t="str">
        <f>IFERROR(IF($E88="Yes","IPP",VLOOKUP($J88,'ELA Reading Logic'!$A$3:$K$9,VLOOKUP(AF$1,'ELA Reading Logic'!$J$22:$K$31,2,FALSE),FALSE)),"Set Grade")</f>
        <v>Set Grade</v>
      </c>
      <c r="AH88" s="96" t="str">
        <f>IFERROR(IF($E88="Yes","IPP",VLOOKUP($J88,'ELA Reading Logic'!$A$13:$K$19,VLOOKUP(AF$1,'ELA Reading Logic'!$J$22:$K$31,2,FALSE),FALSE)),"Set Grade")</f>
        <v>Set Grade</v>
      </c>
      <c r="AI88" s="96" t="str">
        <f>IF($E88="Yes","IPP",IFERROR(IF(AND(AF88&gt;AG88,AF88&lt;AH88),"0",(VLOOKUP(AF88,'ELA Reading Logic'!$A$22:$B$48,2,FALSE))-(IF(VLOOKUP(AF88,'ELA Reading Logic'!$A$22:$B$48,2,FALSE)&lt;=VLOOKUP(AG88,'ELA Reading Logic'!$A$22:$B$48,2,FALSE),VLOOKUP(AG88,'ELA Reading Logic'!$A$22:$B$48,2,FALSE),IF(VLOOKUP(AF88,'ELA Reading Logic'!$A$22:$B$48,2,FALSE)&gt;=VLOOKUP(AH88,'ELA Reading Logic'!$A$22:$B$48,2,FALSE),VLOOKUP(AH88,'ELA Reading Logic'!$A$22:$B$48,2,FALSE),"No Score")))),"No Value"))</f>
        <v>No Value</v>
      </c>
      <c r="AJ88" s="96" t="str">
        <f>IFERROR(VLOOKUP(AF88,'ELA Reading Logic'!$A$22:$B$48,2,FALSE)-VLOOKUP($F88,'ELA Reading Logic'!$A$22:$B$48,2,FALSE),"No Value")</f>
        <v>No Value</v>
      </c>
      <c r="AK88" s="92"/>
      <c r="AL88" s="96" t="str">
        <f>IFERROR(IF($E88="Yes","IPP",VLOOKUP($J88,'ELA Reading Logic'!$A$3:$K$9,VLOOKUP(AK$1,'ELA Reading Logic'!$J$22:$K$31,2,FALSE),FALSE)),"Set Grade")</f>
        <v>Set Grade</v>
      </c>
      <c r="AM88" s="96" t="str">
        <f>IFERROR(IF($E88="Yes","IPP",VLOOKUP($J88,'ELA Reading Logic'!$A$13:$K$19,VLOOKUP(AK$1,'ELA Reading Logic'!$J$22:$K$31,2,FALSE),FALSE)),"Set Grade")</f>
        <v>Set Grade</v>
      </c>
      <c r="AN88" s="96" t="str">
        <f>IF($E88="Yes","IPP",IFERROR(IF(AND(AK88&gt;AL88,AK88&lt;AM88),"0",(VLOOKUP(AK88,'ELA Reading Logic'!$A$22:$B$48,2,FALSE))-(IF(VLOOKUP(AK88,'ELA Reading Logic'!$A$22:$B$48,2,FALSE)&lt;=VLOOKUP(AL88,'ELA Reading Logic'!$A$22:$B$48,2,FALSE),VLOOKUP(AL88,'ELA Reading Logic'!$A$22:$B$48,2,FALSE),IF(VLOOKUP(AK88,'ELA Reading Logic'!$A$22:$B$48,2,FALSE)&gt;=VLOOKUP(AM88,'ELA Reading Logic'!$A$22:$B$48,2,FALSE),VLOOKUP(AM88,'ELA Reading Logic'!$A$22:$B$48,2,FALSE),"No Score")))),"No Value"))</f>
        <v>No Value</v>
      </c>
      <c r="AO88" s="96" t="str">
        <f>IFERROR(VLOOKUP(AK88,'ELA Reading Logic'!$A$22:$B$48,2,FALSE)-VLOOKUP($F88,'ELA Reading Logic'!$A$22:$B$48,2,FALSE),"No Value")</f>
        <v>No Value</v>
      </c>
      <c r="AP88" s="92"/>
      <c r="AQ88" s="96" t="str">
        <f>IFERROR(IF($E88="Yes","IPP",VLOOKUP($J88,'ELA Reading Logic'!$A$3:$K$9,VLOOKUP(AP$1,'ELA Reading Logic'!$J$22:$K$31,2,FALSE),FALSE)),"Set Grade")</f>
        <v>Set Grade</v>
      </c>
      <c r="AR88" s="96" t="str">
        <f>IFERROR(IF($E88="Yes","IPP",VLOOKUP($J88,'ELA Reading Logic'!$A$13:$K$19,VLOOKUP(AP$1,'ELA Reading Logic'!$J$22:$K$31,2,FALSE),FALSE)),"Set Grade")</f>
        <v>Set Grade</v>
      </c>
      <c r="AS88" s="96" t="str">
        <f>IF($E88="Yes","IPP",IFERROR(IF(AND(AP88&gt;AQ88,AP88&lt;AR88),"0",(VLOOKUP(AP88,'ELA Reading Logic'!$A$22:$B$48,2,FALSE))-(IF(VLOOKUP(AP88,'ELA Reading Logic'!$A$22:$B$48,2,FALSE)&lt;=VLOOKUP(AQ88,'ELA Reading Logic'!$A$22:$B$48,2,FALSE),VLOOKUP(AQ88,'ELA Reading Logic'!$A$22:$B$48,2,FALSE),IF(VLOOKUP(AP88,'ELA Reading Logic'!$A$22:$B$48,2,FALSE)&gt;=VLOOKUP(AR88,'ELA Reading Logic'!$A$22:$B$48,2,FALSE),VLOOKUP(AR88,'ELA Reading Logic'!$A$22:$B$48,2,FALSE),"No Score")))),"No Value"))</f>
        <v>No Value</v>
      </c>
      <c r="AT88" s="96" t="str">
        <f>IFERROR(VLOOKUP(AP88,'ELA Reading Logic'!$A$22:$B$48,2,FALSE)-VLOOKUP($F88,'ELA Reading Logic'!$A$22:$B$48,2,FALSE),"No Value")</f>
        <v>No Value</v>
      </c>
    </row>
    <row r="89" spans="1:46" ht="22.5" customHeight="1" x14ac:dyDescent="0.25">
      <c r="A89" s="176"/>
      <c r="B89" s="176"/>
      <c r="C89" s="176"/>
      <c r="D89" s="176"/>
      <c r="E89" s="175"/>
      <c r="F89" s="175"/>
      <c r="G89" s="177" t="str">
        <f>IFERROR(IF($E89="Yes","IPP",VLOOKUP($J89,'ELA Reading Logic'!$A$3:$K$9,VLOOKUP("September",'ELA Reading Logic'!$J$22:$K$31,2,FALSE),FALSE)),"Set Grade")</f>
        <v>Set Grade</v>
      </c>
      <c r="H89" s="177" t="str">
        <f>IFERROR(IF($E89="Yes","IPP",VLOOKUP($J89,'ELA Reading Logic'!$A$13:$K$19,VLOOKUP("September",'ELA Reading Logic'!$J$22:$K$31,2,FALSE),FALSE)),"Set Grade")</f>
        <v>Set Grade</v>
      </c>
      <c r="I89" s="96" t="str">
        <f>IF($E89="Yes","IPP",IFERROR(IF(AND(F89&gt;G89,F89&lt;H89),"0",(VLOOKUP(F89,'ELA Reading Logic'!$A$22:$B$48,2,FALSE))-(IF(VLOOKUP(F89,'ELA Reading Logic'!$A$22:$B$48,2,FALSE)&lt;=VLOOKUP(G89,'ELA Reading Logic'!$A$22:$B$48,2,FALSE),VLOOKUP(G89,'ELA Reading Logic'!$A$22:$B$48,2,FALSE),IF(VLOOKUP(F89,'ELA Reading Logic'!$A$22:$B$48,2,FALSE)&gt;=VLOOKUP(H89,'ELA Reading Logic'!$A$22:$B$48,2,FALSE),VLOOKUP(H89,'ELA Reading Logic'!$A$22:$B$48,2,FALSE),"No Score")))),"No Value"))</f>
        <v>No Value</v>
      </c>
      <c r="J89" s="178"/>
      <c r="K89" s="96"/>
      <c r="L89" s="96"/>
      <c r="M89" s="96"/>
      <c r="N89" s="96"/>
      <c r="O89" s="96"/>
      <c r="P89" s="105"/>
      <c r="Q89" s="92"/>
      <c r="R89" s="96" t="str">
        <f>IFERROR(IF($E89="Yes","IPP",VLOOKUP($J89,'ELA Reading Logic'!$A$3:$K$9,VLOOKUP(Q$1,'ELA Reading Logic'!$J$22:$K$31,2,FALSE),FALSE)),"Set Grade")</f>
        <v>Set Grade</v>
      </c>
      <c r="S89" s="96" t="str">
        <f>IFERROR(IF($E89="Yes","IPP",VLOOKUP($J89,'ELA Reading Logic'!$A$13:$K$19,VLOOKUP(Q$1,'ELA Reading Logic'!$J$22:$K$31,2,FALSE),FALSE)),"Set Grade")</f>
        <v>Set Grade</v>
      </c>
      <c r="T89" s="96" t="str">
        <f>IF($E89="Yes","IPP",IFERROR(IF(AND(Q89&gt;R89,Q89&lt;S89),"0",(VLOOKUP(Q89,'ELA Reading Logic'!$A$22:$B$48,2,FALSE))-(IF(VLOOKUP(Q89,'ELA Reading Logic'!$A$22:$B$48,2,FALSE)&lt;=VLOOKUP(R89,'ELA Reading Logic'!$A$22:$B$48,2,FALSE),VLOOKUP(R89,'ELA Reading Logic'!$A$22:$B$48,2,FALSE),IF(VLOOKUP(Q89,'ELA Reading Logic'!$A$22:$B$48,2,FALSE)&gt;=VLOOKUP(S89,'ELA Reading Logic'!$A$22:$B$48,2,FALSE),VLOOKUP(S89,'ELA Reading Logic'!$A$22:$B$48,2,FALSE),"No Score")))),"No Value"))</f>
        <v>No Value</v>
      </c>
      <c r="U89" s="96" t="str">
        <f>IFERROR(VLOOKUP(Q89,'ELA Reading Logic'!$A$22:$B$48,2,FALSE)-VLOOKUP($F89,'ELA Reading Logic'!$A$22:$B$48,2,FALSE),"No Value")</f>
        <v>No Value</v>
      </c>
      <c r="V89" s="92"/>
      <c r="W89" s="96" t="str">
        <f>IFERROR(IF($E89="Yes","IPP",VLOOKUP($J89,'ELA Reading Logic'!$A$3:$K$9,VLOOKUP(V$1,'ELA Reading Logic'!$J$22:$K$31,2,FALSE),FALSE)),"Set Grade")</f>
        <v>Set Grade</v>
      </c>
      <c r="X89" s="96" t="str">
        <f>IFERROR(IF($E89="Yes","IPP",VLOOKUP($J89,'ELA Reading Logic'!$A$13:$K$19,VLOOKUP(V$1,'ELA Reading Logic'!$J$22:$K$31,2,FALSE),FALSE)),"Set Grade")</f>
        <v>Set Grade</v>
      </c>
      <c r="Y89" s="96" t="str">
        <f>IF($E89="Yes","IPP",IFERROR(IF(AND(V89&gt;W89,V89&lt;X89),"0",(VLOOKUP(V89,'ELA Reading Logic'!$A$22:$B$48,2,FALSE))-(IF(VLOOKUP(V89,'ELA Reading Logic'!$A$22:$B$48,2,FALSE)&lt;=VLOOKUP(W89,'ELA Reading Logic'!$A$22:$B$48,2,FALSE),VLOOKUP(W89,'ELA Reading Logic'!$A$22:$B$48,2,FALSE),IF(VLOOKUP(V89,'ELA Reading Logic'!$A$22:$B$48,2,FALSE)&gt;=VLOOKUP(X89,'ELA Reading Logic'!$A$22:$B$48,2,FALSE),VLOOKUP(X89,'ELA Reading Logic'!$A$22:$B$48,2,FALSE),"No Score")))),"No Value"))</f>
        <v>No Value</v>
      </c>
      <c r="Z89" s="96" t="str">
        <f>IFERROR(VLOOKUP(V89,'ELA Reading Logic'!$A$22:$B$48,2,FALSE)-VLOOKUP($F89,'ELA Reading Logic'!$A$22:$B$48,2,FALSE),"No Value")</f>
        <v>No Value</v>
      </c>
      <c r="AA89" s="92"/>
      <c r="AB89" s="96" t="str">
        <f>IFERROR(IF($E89="Yes","IPP",VLOOKUP($J89,'ELA Reading Logic'!$A$3:$K$9,VLOOKUP(AA$1,'ELA Reading Logic'!$J$22:$K$31,2,FALSE),FALSE)),"Set Grade")</f>
        <v>Set Grade</v>
      </c>
      <c r="AC89" s="96" t="str">
        <f>IFERROR(IF($E89="Yes","IPP",VLOOKUP($J89,'ELA Reading Logic'!$A$13:$K$19,VLOOKUP(AA$1,'ELA Reading Logic'!$J$22:$K$31,2,FALSE),FALSE)),"Set Grade")</f>
        <v>Set Grade</v>
      </c>
      <c r="AD89" s="96" t="str">
        <f>IF($E89="Yes","IPP",IFERROR(IF(AND(AA89&gt;AB89,AA89&lt;AC89),"0",(VLOOKUP(AA89,'ELA Reading Logic'!$A$22:$B$48,2,FALSE))-(IF(VLOOKUP(AA89,'ELA Reading Logic'!$A$22:$B$48,2,FALSE)&lt;=VLOOKUP(AB89,'ELA Reading Logic'!$A$22:$B$48,2,FALSE),VLOOKUP(AB89,'ELA Reading Logic'!$A$22:$B$48,2,FALSE),IF(VLOOKUP(AA89,'ELA Reading Logic'!$A$22:$B$48,2,FALSE)&gt;=VLOOKUP(AC89,'ELA Reading Logic'!$A$22:$B$48,2,FALSE),VLOOKUP(AC89,'ELA Reading Logic'!$A$22:$B$48,2,FALSE),"No Score")))),"No Value"))</f>
        <v>No Value</v>
      </c>
      <c r="AE89" s="96" t="str">
        <f>IFERROR(VLOOKUP(AA89,'ELA Reading Logic'!$A$22:$B$48,2,FALSE)-VLOOKUP($F89,'ELA Reading Logic'!$A$22:$B$48,2,FALSE),"No Value")</f>
        <v>No Value</v>
      </c>
      <c r="AF89" s="92"/>
      <c r="AG89" s="96" t="str">
        <f>IFERROR(IF($E89="Yes","IPP",VLOOKUP($J89,'ELA Reading Logic'!$A$3:$K$9,VLOOKUP(AF$1,'ELA Reading Logic'!$J$22:$K$31,2,FALSE),FALSE)),"Set Grade")</f>
        <v>Set Grade</v>
      </c>
      <c r="AH89" s="96" t="str">
        <f>IFERROR(IF($E89="Yes","IPP",VLOOKUP($J89,'ELA Reading Logic'!$A$13:$K$19,VLOOKUP(AF$1,'ELA Reading Logic'!$J$22:$K$31,2,FALSE),FALSE)),"Set Grade")</f>
        <v>Set Grade</v>
      </c>
      <c r="AI89" s="96" t="str">
        <f>IF($E89="Yes","IPP",IFERROR(IF(AND(AF89&gt;AG89,AF89&lt;AH89),"0",(VLOOKUP(AF89,'ELA Reading Logic'!$A$22:$B$48,2,FALSE))-(IF(VLOOKUP(AF89,'ELA Reading Logic'!$A$22:$B$48,2,FALSE)&lt;=VLOOKUP(AG89,'ELA Reading Logic'!$A$22:$B$48,2,FALSE),VLOOKUP(AG89,'ELA Reading Logic'!$A$22:$B$48,2,FALSE),IF(VLOOKUP(AF89,'ELA Reading Logic'!$A$22:$B$48,2,FALSE)&gt;=VLOOKUP(AH89,'ELA Reading Logic'!$A$22:$B$48,2,FALSE),VLOOKUP(AH89,'ELA Reading Logic'!$A$22:$B$48,2,FALSE),"No Score")))),"No Value"))</f>
        <v>No Value</v>
      </c>
      <c r="AJ89" s="96" t="str">
        <f>IFERROR(VLOOKUP(AF89,'ELA Reading Logic'!$A$22:$B$48,2,FALSE)-VLOOKUP($F89,'ELA Reading Logic'!$A$22:$B$48,2,FALSE),"No Value")</f>
        <v>No Value</v>
      </c>
      <c r="AK89" s="92"/>
      <c r="AL89" s="96" t="str">
        <f>IFERROR(IF($E89="Yes","IPP",VLOOKUP($J89,'ELA Reading Logic'!$A$3:$K$9,VLOOKUP(AK$1,'ELA Reading Logic'!$J$22:$K$31,2,FALSE),FALSE)),"Set Grade")</f>
        <v>Set Grade</v>
      </c>
      <c r="AM89" s="96" t="str">
        <f>IFERROR(IF($E89="Yes","IPP",VLOOKUP($J89,'ELA Reading Logic'!$A$13:$K$19,VLOOKUP(AK$1,'ELA Reading Logic'!$J$22:$K$31,2,FALSE),FALSE)),"Set Grade")</f>
        <v>Set Grade</v>
      </c>
      <c r="AN89" s="96" t="str">
        <f>IF($E89="Yes","IPP",IFERROR(IF(AND(AK89&gt;AL89,AK89&lt;AM89),"0",(VLOOKUP(AK89,'ELA Reading Logic'!$A$22:$B$48,2,FALSE))-(IF(VLOOKUP(AK89,'ELA Reading Logic'!$A$22:$B$48,2,FALSE)&lt;=VLOOKUP(AL89,'ELA Reading Logic'!$A$22:$B$48,2,FALSE),VLOOKUP(AL89,'ELA Reading Logic'!$A$22:$B$48,2,FALSE),IF(VLOOKUP(AK89,'ELA Reading Logic'!$A$22:$B$48,2,FALSE)&gt;=VLOOKUP(AM89,'ELA Reading Logic'!$A$22:$B$48,2,FALSE),VLOOKUP(AM89,'ELA Reading Logic'!$A$22:$B$48,2,FALSE),"No Score")))),"No Value"))</f>
        <v>No Value</v>
      </c>
      <c r="AO89" s="96" t="str">
        <f>IFERROR(VLOOKUP(AK89,'ELA Reading Logic'!$A$22:$B$48,2,FALSE)-VLOOKUP($F89,'ELA Reading Logic'!$A$22:$B$48,2,FALSE),"No Value")</f>
        <v>No Value</v>
      </c>
      <c r="AP89" s="92"/>
      <c r="AQ89" s="96" t="str">
        <f>IFERROR(IF($E89="Yes","IPP",VLOOKUP($J89,'ELA Reading Logic'!$A$3:$K$9,VLOOKUP(AP$1,'ELA Reading Logic'!$J$22:$K$31,2,FALSE),FALSE)),"Set Grade")</f>
        <v>Set Grade</v>
      </c>
      <c r="AR89" s="96" t="str">
        <f>IFERROR(IF($E89="Yes","IPP",VLOOKUP($J89,'ELA Reading Logic'!$A$13:$K$19,VLOOKUP(AP$1,'ELA Reading Logic'!$J$22:$K$31,2,FALSE),FALSE)),"Set Grade")</f>
        <v>Set Grade</v>
      </c>
      <c r="AS89" s="96" t="str">
        <f>IF($E89="Yes","IPP",IFERROR(IF(AND(AP89&gt;AQ89,AP89&lt;AR89),"0",(VLOOKUP(AP89,'ELA Reading Logic'!$A$22:$B$48,2,FALSE))-(IF(VLOOKUP(AP89,'ELA Reading Logic'!$A$22:$B$48,2,FALSE)&lt;=VLOOKUP(AQ89,'ELA Reading Logic'!$A$22:$B$48,2,FALSE),VLOOKUP(AQ89,'ELA Reading Logic'!$A$22:$B$48,2,FALSE),IF(VLOOKUP(AP89,'ELA Reading Logic'!$A$22:$B$48,2,FALSE)&gt;=VLOOKUP(AR89,'ELA Reading Logic'!$A$22:$B$48,2,FALSE),VLOOKUP(AR89,'ELA Reading Logic'!$A$22:$B$48,2,FALSE),"No Score")))),"No Value"))</f>
        <v>No Value</v>
      </c>
      <c r="AT89" s="96" t="str">
        <f>IFERROR(VLOOKUP(AP89,'ELA Reading Logic'!$A$22:$B$48,2,FALSE)-VLOOKUP($F89,'ELA Reading Logic'!$A$22:$B$48,2,FALSE),"No Value")</f>
        <v>No Value</v>
      </c>
    </row>
    <row r="90" spans="1:46" ht="22.5" customHeight="1" x14ac:dyDescent="0.25">
      <c r="A90" s="176"/>
      <c r="B90" s="176"/>
      <c r="C90" s="176"/>
      <c r="D90" s="176"/>
      <c r="E90" s="175"/>
      <c r="F90" s="175"/>
      <c r="G90" s="177" t="str">
        <f>IFERROR(IF($E90="Yes","IPP",VLOOKUP($J90,'ELA Reading Logic'!$A$3:$K$9,VLOOKUP("September",'ELA Reading Logic'!$J$22:$K$31,2,FALSE),FALSE)),"Set Grade")</f>
        <v>Set Grade</v>
      </c>
      <c r="H90" s="177" t="str">
        <f>IFERROR(IF($E90="Yes","IPP",VLOOKUP($J90,'ELA Reading Logic'!$A$13:$K$19,VLOOKUP("September",'ELA Reading Logic'!$J$22:$K$31,2,FALSE),FALSE)),"Set Grade")</f>
        <v>Set Grade</v>
      </c>
      <c r="I90" s="96" t="str">
        <f>IF($E90="Yes","IPP",IFERROR(IF(AND(F90&gt;G90,F90&lt;H90),"0",(VLOOKUP(F90,'ELA Reading Logic'!$A$22:$B$48,2,FALSE))-(IF(VLOOKUP(F90,'ELA Reading Logic'!$A$22:$B$48,2,FALSE)&lt;=VLOOKUP(G90,'ELA Reading Logic'!$A$22:$B$48,2,FALSE),VLOOKUP(G90,'ELA Reading Logic'!$A$22:$B$48,2,FALSE),IF(VLOOKUP(F90,'ELA Reading Logic'!$A$22:$B$48,2,FALSE)&gt;=VLOOKUP(H90,'ELA Reading Logic'!$A$22:$B$48,2,FALSE),VLOOKUP(H90,'ELA Reading Logic'!$A$22:$B$48,2,FALSE),"No Score")))),"No Value"))</f>
        <v>No Value</v>
      </c>
      <c r="J90" s="178"/>
      <c r="K90" s="96"/>
      <c r="L90" s="96"/>
      <c r="M90" s="96"/>
      <c r="N90" s="96"/>
      <c r="O90" s="96"/>
      <c r="P90" s="105"/>
      <c r="Q90" s="92"/>
      <c r="R90" s="96" t="str">
        <f>IFERROR(IF($E90="Yes","IPP",VLOOKUP($J90,'ELA Reading Logic'!$A$3:$K$9,VLOOKUP(Q$1,'ELA Reading Logic'!$J$22:$K$31,2,FALSE),FALSE)),"Set Grade")</f>
        <v>Set Grade</v>
      </c>
      <c r="S90" s="96" t="str">
        <f>IFERROR(IF($E90="Yes","IPP",VLOOKUP($J90,'ELA Reading Logic'!$A$13:$K$19,VLOOKUP(Q$1,'ELA Reading Logic'!$J$22:$K$31,2,FALSE),FALSE)),"Set Grade")</f>
        <v>Set Grade</v>
      </c>
      <c r="T90" s="96" t="str">
        <f>IF($E90="Yes","IPP",IFERROR(IF(AND(Q90&gt;R90,Q90&lt;S90),"0",(VLOOKUP(Q90,'ELA Reading Logic'!$A$22:$B$48,2,FALSE))-(IF(VLOOKUP(Q90,'ELA Reading Logic'!$A$22:$B$48,2,FALSE)&lt;=VLOOKUP(R90,'ELA Reading Logic'!$A$22:$B$48,2,FALSE),VLOOKUP(R90,'ELA Reading Logic'!$A$22:$B$48,2,FALSE),IF(VLOOKUP(Q90,'ELA Reading Logic'!$A$22:$B$48,2,FALSE)&gt;=VLOOKUP(S90,'ELA Reading Logic'!$A$22:$B$48,2,FALSE),VLOOKUP(S90,'ELA Reading Logic'!$A$22:$B$48,2,FALSE),"No Score")))),"No Value"))</f>
        <v>No Value</v>
      </c>
      <c r="U90" s="96" t="str">
        <f>IFERROR(VLOOKUP(Q90,'ELA Reading Logic'!$A$22:$B$48,2,FALSE)-VLOOKUP($F90,'ELA Reading Logic'!$A$22:$B$48,2,FALSE),"No Value")</f>
        <v>No Value</v>
      </c>
      <c r="V90" s="92"/>
      <c r="W90" s="96" t="str">
        <f>IFERROR(IF($E90="Yes","IPP",VLOOKUP($J90,'ELA Reading Logic'!$A$3:$K$9,VLOOKUP(V$1,'ELA Reading Logic'!$J$22:$K$31,2,FALSE),FALSE)),"Set Grade")</f>
        <v>Set Grade</v>
      </c>
      <c r="X90" s="96" t="str">
        <f>IFERROR(IF($E90="Yes","IPP",VLOOKUP($J90,'ELA Reading Logic'!$A$13:$K$19,VLOOKUP(V$1,'ELA Reading Logic'!$J$22:$K$31,2,FALSE),FALSE)),"Set Grade")</f>
        <v>Set Grade</v>
      </c>
      <c r="Y90" s="96" t="str">
        <f>IF($E90="Yes","IPP",IFERROR(IF(AND(V90&gt;W90,V90&lt;X90),"0",(VLOOKUP(V90,'ELA Reading Logic'!$A$22:$B$48,2,FALSE))-(IF(VLOOKUP(V90,'ELA Reading Logic'!$A$22:$B$48,2,FALSE)&lt;=VLOOKUP(W90,'ELA Reading Logic'!$A$22:$B$48,2,FALSE),VLOOKUP(W90,'ELA Reading Logic'!$A$22:$B$48,2,FALSE),IF(VLOOKUP(V90,'ELA Reading Logic'!$A$22:$B$48,2,FALSE)&gt;=VLOOKUP(X90,'ELA Reading Logic'!$A$22:$B$48,2,FALSE),VLOOKUP(X90,'ELA Reading Logic'!$A$22:$B$48,2,FALSE),"No Score")))),"No Value"))</f>
        <v>No Value</v>
      </c>
      <c r="Z90" s="96" t="str">
        <f>IFERROR(VLOOKUP(V90,'ELA Reading Logic'!$A$22:$B$48,2,FALSE)-VLOOKUP($F90,'ELA Reading Logic'!$A$22:$B$48,2,FALSE),"No Value")</f>
        <v>No Value</v>
      </c>
      <c r="AA90" s="92"/>
      <c r="AB90" s="96" t="str">
        <f>IFERROR(IF($E90="Yes","IPP",VLOOKUP($J90,'ELA Reading Logic'!$A$3:$K$9,VLOOKUP(AA$1,'ELA Reading Logic'!$J$22:$K$31,2,FALSE),FALSE)),"Set Grade")</f>
        <v>Set Grade</v>
      </c>
      <c r="AC90" s="96" t="str">
        <f>IFERROR(IF($E90="Yes","IPP",VLOOKUP($J90,'ELA Reading Logic'!$A$13:$K$19,VLOOKUP(AA$1,'ELA Reading Logic'!$J$22:$K$31,2,FALSE),FALSE)),"Set Grade")</f>
        <v>Set Grade</v>
      </c>
      <c r="AD90" s="96" t="str">
        <f>IF($E90="Yes","IPP",IFERROR(IF(AND(AA90&gt;AB90,AA90&lt;AC90),"0",(VLOOKUP(AA90,'ELA Reading Logic'!$A$22:$B$48,2,FALSE))-(IF(VLOOKUP(AA90,'ELA Reading Logic'!$A$22:$B$48,2,FALSE)&lt;=VLOOKUP(AB90,'ELA Reading Logic'!$A$22:$B$48,2,FALSE),VLOOKUP(AB90,'ELA Reading Logic'!$A$22:$B$48,2,FALSE),IF(VLOOKUP(AA90,'ELA Reading Logic'!$A$22:$B$48,2,FALSE)&gt;=VLOOKUP(AC90,'ELA Reading Logic'!$A$22:$B$48,2,FALSE),VLOOKUP(AC90,'ELA Reading Logic'!$A$22:$B$48,2,FALSE),"No Score")))),"No Value"))</f>
        <v>No Value</v>
      </c>
      <c r="AE90" s="96" t="str">
        <f>IFERROR(VLOOKUP(AA90,'ELA Reading Logic'!$A$22:$B$48,2,FALSE)-VLOOKUP($F90,'ELA Reading Logic'!$A$22:$B$48,2,FALSE),"No Value")</f>
        <v>No Value</v>
      </c>
      <c r="AF90" s="92"/>
      <c r="AG90" s="96" t="str">
        <f>IFERROR(IF($E90="Yes","IPP",VLOOKUP($J90,'ELA Reading Logic'!$A$3:$K$9,VLOOKUP(AF$1,'ELA Reading Logic'!$J$22:$K$31,2,FALSE),FALSE)),"Set Grade")</f>
        <v>Set Grade</v>
      </c>
      <c r="AH90" s="96" t="str">
        <f>IFERROR(IF($E90="Yes","IPP",VLOOKUP($J90,'ELA Reading Logic'!$A$13:$K$19,VLOOKUP(AF$1,'ELA Reading Logic'!$J$22:$K$31,2,FALSE),FALSE)),"Set Grade")</f>
        <v>Set Grade</v>
      </c>
      <c r="AI90" s="96" t="str">
        <f>IF($E90="Yes","IPP",IFERROR(IF(AND(AF90&gt;AG90,AF90&lt;AH90),"0",(VLOOKUP(AF90,'ELA Reading Logic'!$A$22:$B$48,2,FALSE))-(IF(VLOOKUP(AF90,'ELA Reading Logic'!$A$22:$B$48,2,FALSE)&lt;=VLOOKUP(AG90,'ELA Reading Logic'!$A$22:$B$48,2,FALSE),VLOOKUP(AG90,'ELA Reading Logic'!$A$22:$B$48,2,FALSE),IF(VLOOKUP(AF90,'ELA Reading Logic'!$A$22:$B$48,2,FALSE)&gt;=VLOOKUP(AH90,'ELA Reading Logic'!$A$22:$B$48,2,FALSE),VLOOKUP(AH90,'ELA Reading Logic'!$A$22:$B$48,2,FALSE),"No Score")))),"No Value"))</f>
        <v>No Value</v>
      </c>
      <c r="AJ90" s="96" t="str">
        <f>IFERROR(VLOOKUP(AF90,'ELA Reading Logic'!$A$22:$B$48,2,FALSE)-VLOOKUP($F90,'ELA Reading Logic'!$A$22:$B$48,2,FALSE),"No Value")</f>
        <v>No Value</v>
      </c>
      <c r="AK90" s="92"/>
      <c r="AL90" s="96" t="str">
        <f>IFERROR(IF($E90="Yes","IPP",VLOOKUP($J90,'ELA Reading Logic'!$A$3:$K$9,VLOOKUP(AK$1,'ELA Reading Logic'!$J$22:$K$31,2,FALSE),FALSE)),"Set Grade")</f>
        <v>Set Grade</v>
      </c>
      <c r="AM90" s="96" t="str">
        <f>IFERROR(IF($E90="Yes","IPP",VLOOKUP($J90,'ELA Reading Logic'!$A$13:$K$19,VLOOKUP(AK$1,'ELA Reading Logic'!$J$22:$K$31,2,FALSE),FALSE)),"Set Grade")</f>
        <v>Set Grade</v>
      </c>
      <c r="AN90" s="96" t="str">
        <f>IF($E90="Yes","IPP",IFERROR(IF(AND(AK90&gt;AL90,AK90&lt;AM90),"0",(VLOOKUP(AK90,'ELA Reading Logic'!$A$22:$B$48,2,FALSE))-(IF(VLOOKUP(AK90,'ELA Reading Logic'!$A$22:$B$48,2,FALSE)&lt;=VLOOKUP(AL90,'ELA Reading Logic'!$A$22:$B$48,2,FALSE),VLOOKUP(AL90,'ELA Reading Logic'!$A$22:$B$48,2,FALSE),IF(VLOOKUP(AK90,'ELA Reading Logic'!$A$22:$B$48,2,FALSE)&gt;=VLOOKUP(AM90,'ELA Reading Logic'!$A$22:$B$48,2,FALSE),VLOOKUP(AM90,'ELA Reading Logic'!$A$22:$B$48,2,FALSE),"No Score")))),"No Value"))</f>
        <v>No Value</v>
      </c>
      <c r="AO90" s="96" t="str">
        <f>IFERROR(VLOOKUP(AK90,'ELA Reading Logic'!$A$22:$B$48,2,FALSE)-VLOOKUP($F90,'ELA Reading Logic'!$A$22:$B$48,2,FALSE),"No Value")</f>
        <v>No Value</v>
      </c>
      <c r="AP90" s="92"/>
      <c r="AQ90" s="96" t="str">
        <f>IFERROR(IF($E90="Yes","IPP",VLOOKUP($J90,'ELA Reading Logic'!$A$3:$K$9,VLOOKUP(AP$1,'ELA Reading Logic'!$J$22:$K$31,2,FALSE),FALSE)),"Set Grade")</f>
        <v>Set Grade</v>
      </c>
      <c r="AR90" s="96" t="str">
        <f>IFERROR(IF($E90="Yes","IPP",VLOOKUP($J90,'ELA Reading Logic'!$A$13:$K$19,VLOOKUP(AP$1,'ELA Reading Logic'!$J$22:$K$31,2,FALSE),FALSE)),"Set Grade")</f>
        <v>Set Grade</v>
      </c>
      <c r="AS90" s="96" t="str">
        <f>IF($E90="Yes","IPP",IFERROR(IF(AND(AP90&gt;AQ90,AP90&lt;AR90),"0",(VLOOKUP(AP90,'ELA Reading Logic'!$A$22:$B$48,2,FALSE))-(IF(VLOOKUP(AP90,'ELA Reading Logic'!$A$22:$B$48,2,FALSE)&lt;=VLOOKUP(AQ90,'ELA Reading Logic'!$A$22:$B$48,2,FALSE),VLOOKUP(AQ90,'ELA Reading Logic'!$A$22:$B$48,2,FALSE),IF(VLOOKUP(AP90,'ELA Reading Logic'!$A$22:$B$48,2,FALSE)&gt;=VLOOKUP(AR90,'ELA Reading Logic'!$A$22:$B$48,2,FALSE),VLOOKUP(AR90,'ELA Reading Logic'!$A$22:$B$48,2,FALSE),"No Score")))),"No Value"))</f>
        <v>No Value</v>
      </c>
      <c r="AT90" s="96" t="str">
        <f>IFERROR(VLOOKUP(AP90,'ELA Reading Logic'!$A$22:$B$48,2,FALSE)-VLOOKUP($F90,'ELA Reading Logic'!$A$22:$B$48,2,FALSE),"No Value")</f>
        <v>No Value</v>
      </c>
    </row>
    <row r="91" spans="1:46" ht="22.5" customHeight="1" x14ac:dyDescent="0.25">
      <c r="A91" s="174"/>
      <c r="B91" s="174"/>
      <c r="C91" s="174"/>
      <c r="D91" s="174"/>
      <c r="E91" s="175"/>
      <c r="F91" s="175"/>
      <c r="G91" s="177" t="str">
        <f>IFERROR(IF($E91="Yes","IPP",VLOOKUP($J91,'ELA Reading Logic'!$A$3:$K$9,VLOOKUP("September",'ELA Reading Logic'!$J$22:$K$31,2,FALSE),FALSE)),"Set Grade")</f>
        <v>Set Grade</v>
      </c>
      <c r="H91" s="177" t="str">
        <f>IFERROR(IF($E91="Yes","IPP",VLOOKUP($J91,'ELA Reading Logic'!$A$13:$K$19,VLOOKUP("September",'ELA Reading Logic'!$J$22:$K$31,2,FALSE),FALSE)),"Set Grade")</f>
        <v>Set Grade</v>
      </c>
      <c r="I91" s="96" t="str">
        <f>IF($E91="Yes","IPP",IFERROR(IF(AND(F91&gt;G91,F91&lt;H91),"0",(VLOOKUP(F91,'ELA Reading Logic'!$A$22:$B$48,2,FALSE))-(IF(VLOOKUP(F91,'ELA Reading Logic'!$A$22:$B$48,2,FALSE)&lt;=VLOOKUP(G91,'ELA Reading Logic'!$A$22:$B$48,2,FALSE),VLOOKUP(G91,'ELA Reading Logic'!$A$22:$B$48,2,FALSE),IF(VLOOKUP(F91,'ELA Reading Logic'!$A$22:$B$48,2,FALSE)&gt;=VLOOKUP(H91,'ELA Reading Logic'!$A$22:$B$48,2,FALSE),VLOOKUP(H91,'ELA Reading Logic'!$A$22:$B$48,2,FALSE),"No Score")))),"No Value"))</f>
        <v>No Value</v>
      </c>
      <c r="J91" s="178"/>
      <c r="K91" s="96"/>
      <c r="L91" s="96"/>
      <c r="M91" s="96"/>
      <c r="N91" s="96"/>
      <c r="O91" s="96"/>
      <c r="P91" s="105"/>
      <c r="Q91" s="92"/>
      <c r="R91" s="96" t="str">
        <f>IFERROR(IF($E91="Yes","IPP",VLOOKUP($J91,'ELA Reading Logic'!$A$3:$K$9,VLOOKUP(Q$1,'ELA Reading Logic'!$J$22:$K$31,2,FALSE),FALSE)),"Set Grade")</f>
        <v>Set Grade</v>
      </c>
      <c r="S91" s="96" t="str">
        <f>IFERROR(IF($E91="Yes","IPP",VLOOKUP($J91,'ELA Reading Logic'!$A$13:$K$19,VLOOKUP(Q$1,'ELA Reading Logic'!$J$22:$K$31,2,FALSE),FALSE)),"Set Grade")</f>
        <v>Set Grade</v>
      </c>
      <c r="T91" s="96" t="str">
        <f>IF($E91="Yes","IPP",IFERROR(IF(AND(Q91&gt;R91,Q91&lt;S91),"0",(VLOOKUP(Q91,'ELA Reading Logic'!$A$22:$B$48,2,FALSE))-(IF(VLOOKUP(Q91,'ELA Reading Logic'!$A$22:$B$48,2,FALSE)&lt;=VLOOKUP(R91,'ELA Reading Logic'!$A$22:$B$48,2,FALSE),VLOOKUP(R91,'ELA Reading Logic'!$A$22:$B$48,2,FALSE),IF(VLOOKUP(Q91,'ELA Reading Logic'!$A$22:$B$48,2,FALSE)&gt;=VLOOKUP(S91,'ELA Reading Logic'!$A$22:$B$48,2,FALSE),VLOOKUP(S91,'ELA Reading Logic'!$A$22:$B$48,2,FALSE),"No Score")))),"No Value"))</f>
        <v>No Value</v>
      </c>
      <c r="U91" s="96" t="str">
        <f>IFERROR(VLOOKUP(Q91,'ELA Reading Logic'!$A$22:$B$48,2,FALSE)-VLOOKUP($F91,'ELA Reading Logic'!$A$22:$B$48,2,FALSE),"No Value")</f>
        <v>No Value</v>
      </c>
      <c r="V91" s="92"/>
      <c r="W91" s="96" t="str">
        <f>IFERROR(IF($E91="Yes","IPP",VLOOKUP($J91,'ELA Reading Logic'!$A$3:$K$9,VLOOKUP(V$1,'ELA Reading Logic'!$J$22:$K$31,2,FALSE),FALSE)),"Set Grade")</f>
        <v>Set Grade</v>
      </c>
      <c r="X91" s="96" t="str">
        <f>IFERROR(IF($E91="Yes","IPP",VLOOKUP($J91,'ELA Reading Logic'!$A$13:$K$19,VLOOKUP(V$1,'ELA Reading Logic'!$J$22:$K$31,2,FALSE),FALSE)),"Set Grade")</f>
        <v>Set Grade</v>
      </c>
      <c r="Y91" s="96" t="str">
        <f>IF($E91="Yes","IPP",IFERROR(IF(AND(V91&gt;W91,V91&lt;X91),"0",(VLOOKUP(V91,'ELA Reading Logic'!$A$22:$B$48,2,FALSE))-(IF(VLOOKUP(V91,'ELA Reading Logic'!$A$22:$B$48,2,FALSE)&lt;=VLOOKUP(W91,'ELA Reading Logic'!$A$22:$B$48,2,FALSE),VLOOKUP(W91,'ELA Reading Logic'!$A$22:$B$48,2,FALSE),IF(VLOOKUP(V91,'ELA Reading Logic'!$A$22:$B$48,2,FALSE)&gt;=VLOOKUP(X91,'ELA Reading Logic'!$A$22:$B$48,2,FALSE),VLOOKUP(X91,'ELA Reading Logic'!$A$22:$B$48,2,FALSE),"No Score")))),"No Value"))</f>
        <v>No Value</v>
      </c>
      <c r="Z91" s="96" t="str">
        <f>IFERROR(VLOOKUP(V91,'ELA Reading Logic'!$A$22:$B$48,2,FALSE)-VLOOKUP($F91,'ELA Reading Logic'!$A$22:$B$48,2,FALSE),"No Value")</f>
        <v>No Value</v>
      </c>
      <c r="AA91" s="92"/>
      <c r="AB91" s="96" t="str">
        <f>IFERROR(IF($E91="Yes","IPP",VLOOKUP($J91,'ELA Reading Logic'!$A$3:$K$9,VLOOKUP(AA$1,'ELA Reading Logic'!$J$22:$K$31,2,FALSE),FALSE)),"Set Grade")</f>
        <v>Set Grade</v>
      </c>
      <c r="AC91" s="96" t="str">
        <f>IFERROR(IF($E91="Yes","IPP",VLOOKUP($J91,'ELA Reading Logic'!$A$13:$K$19,VLOOKUP(AA$1,'ELA Reading Logic'!$J$22:$K$31,2,FALSE),FALSE)),"Set Grade")</f>
        <v>Set Grade</v>
      </c>
      <c r="AD91" s="96" t="str">
        <f>IF($E91="Yes","IPP",IFERROR(IF(AND(AA91&gt;AB91,AA91&lt;AC91),"0",(VLOOKUP(AA91,'ELA Reading Logic'!$A$22:$B$48,2,FALSE))-(IF(VLOOKUP(AA91,'ELA Reading Logic'!$A$22:$B$48,2,FALSE)&lt;=VLOOKUP(AB91,'ELA Reading Logic'!$A$22:$B$48,2,FALSE),VLOOKUP(AB91,'ELA Reading Logic'!$A$22:$B$48,2,FALSE),IF(VLOOKUP(AA91,'ELA Reading Logic'!$A$22:$B$48,2,FALSE)&gt;=VLOOKUP(AC91,'ELA Reading Logic'!$A$22:$B$48,2,FALSE),VLOOKUP(AC91,'ELA Reading Logic'!$A$22:$B$48,2,FALSE),"No Score")))),"No Value"))</f>
        <v>No Value</v>
      </c>
      <c r="AE91" s="96" t="str">
        <f>IFERROR(VLOOKUP(AA91,'ELA Reading Logic'!$A$22:$B$48,2,FALSE)-VLOOKUP($F91,'ELA Reading Logic'!$A$22:$B$48,2,FALSE),"No Value")</f>
        <v>No Value</v>
      </c>
      <c r="AF91" s="92"/>
      <c r="AG91" s="96" t="str">
        <f>IFERROR(IF($E91="Yes","IPP",VLOOKUP($J91,'ELA Reading Logic'!$A$3:$K$9,VLOOKUP(AF$1,'ELA Reading Logic'!$J$22:$K$31,2,FALSE),FALSE)),"Set Grade")</f>
        <v>Set Grade</v>
      </c>
      <c r="AH91" s="96" t="str">
        <f>IFERROR(IF($E91="Yes","IPP",VLOOKUP($J91,'ELA Reading Logic'!$A$13:$K$19,VLOOKUP(AF$1,'ELA Reading Logic'!$J$22:$K$31,2,FALSE),FALSE)),"Set Grade")</f>
        <v>Set Grade</v>
      </c>
      <c r="AI91" s="96" t="str">
        <f>IF($E91="Yes","IPP",IFERROR(IF(AND(AF91&gt;AG91,AF91&lt;AH91),"0",(VLOOKUP(AF91,'ELA Reading Logic'!$A$22:$B$48,2,FALSE))-(IF(VLOOKUP(AF91,'ELA Reading Logic'!$A$22:$B$48,2,FALSE)&lt;=VLOOKUP(AG91,'ELA Reading Logic'!$A$22:$B$48,2,FALSE),VLOOKUP(AG91,'ELA Reading Logic'!$A$22:$B$48,2,FALSE),IF(VLOOKUP(AF91,'ELA Reading Logic'!$A$22:$B$48,2,FALSE)&gt;=VLOOKUP(AH91,'ELA Reading Logic'!$A$22:$B$48,2,FALSE),VLOOKUP(AH91,'ELA Reading Logic'!$A$22:$B$48,2,FALSE),"No Score")))),"No Value"))</f>
        <v>No Value</v>
      </c>
      <c r="AJ91" s="96" t="str">
        <f>IFERROR(VLOOKUP(AF91,'ELA Reading Logic'!$A$22:$B$48,2,FALSE)-VLOOKUP($F91,'ELA Reading Logic'!$A$22:$B$48,2,FALSE),"No Value")</f>
        <v>No Value</v>
      </c>
      <c r="AK91" s="92"/>
      <c r="AL91" s="96" t="str">
        <f>IFERROR(IF($E91="Yes","IPP",VLOOKUP($J91,'ELA Reading Logic'!$A$3:$K$9,VLOOKUP(AK$1,'ELA Reading Logic'!$J$22:$K$31,2,FALSE),FALSE)),"Set Grade")</f>
        <v>Set Grade</v>
      </c>
      <c r="AM91" s="96" t="str">
        <f>IFERROR(IF($E91="Yes","IPP",VLOOKUP($J91,'ELA Reading Logic'!$A$13:$K$19,VLOOKUP(AK$1,'ELA Reading Logic'!$J$22:$K$31,2,FALSE),FALSE)),"Set Grade")</f>
        <v>Set Grade</v>
      </c>
      <c r="AN91" s="96" t="str">
        <f>IF($E91="Yes","IPP",IFERROR(IF(AND(AK91&gt;AL91,AK91&lt;AM91),"0",(VLOOKUP(AK91,'ELA Reading Logic'!$A$22:$B$48,2,FALSE))-(IF(VLOOKUP(AK91,'ELA Reading Logic'!$A$22:$B$48,2,FALSE)&lt;=VLOOKUP(AL91,'ELA Reading Logic'!$A$22:$B$48,2,FALSE),VLOOKUP(AL91,'ELA Reading Logic'!$A$22:$B$48,2,FALSE),IF(VLOOKUP(AK91,'ELA Reading Logic'!$A$22:$B$48,2,FALSE)&gt;=VLOOKUP(AM91,'ELA Reading Logic'!$A$22:$B$48,2,FALSE),VLOOKUP(AM91,'ELA Reading Logic'!$A$22:$B$48,2,FALSE),"No Score")))),"No Value"))</f>
        <v>No Value</v>
      </c>
      <c r="AO91" s="96" t="str">
        <f>IFERROR(VLOOKUP(AK91,'ELA Reading Logic'!$A$22:$B$48,2,FALSE)-VLOOKUP($F91,'ELA Reading Logic'!$A$22:$B$48,2,FALSE),"No Value")</f>
        <v>No Value</v>
      </c>
      <c r="AP91" s="92"/>
      <c r="AQ91" s="96" t="str">
        <f>IFERROR(IF($E91="Yes","IPP",VLOOKUP($J91,'ELA Reading Logic'!$A$3:$K$9,VLOOKUP(AP$1,'ELA Reading Logic'!$J$22:$K$31,2,FALSE),FALSE)),"Set Grade")</f>
        <v>Set Grade</v>
      </c>
      <c r="AR91" s="96" t="str">
        <f>IFERROR(IF($E91="Yes","IPP",VLOOKUP($J91,'ELA Reading Logic'!$A$13:$K$19,VLOOKUP(AP$1,'ELA Reading Logic'!$J$22:$K$31,2,FALSE),FALSE)),"Set Grade")</f>
        <v>Set Grade</v>
      </c>
      <c r="AS91" s="96" t="str">
        <f>IF($E91="Yes","IPP",IFERROR(IF(AND(AP91&gt;AQ91,AP91&lt;AR91),"0",(VLOOKUP(AP91,'ELA Reading Logic'!$A$22:$B$48,2,FALSE))-(IF(VLOOKUP(AP91,'ELA Reading Logic'!$A$22:$B$48,2,FALSE)&lt;=VLOOKUP(AQ91,'ELA Reading Logic'!$A$22:$B$48,2,FALSE),VLOOKUP(AQ91,'ELA Reading Logic'!$A$22:$B$48,2,FALSE),IF(VLOOKUP(AP91,'ELA Reading Logic'!$A$22:$B$48,2,FALSE)&gt;=VLOOKUP(AR91,'ELA Reading Logic'!$A$22:$B$48,2,FALSE),VLOOKUP(AR91,'ELA Reading Logic'!$A$22:$B$48,2,FALSE),"No Score")))),"No Value"))</f>
        <v>No Value</v>
      </c>
      <c r="AT91" s="96" t="str">
        <f>IFERROR(VLOOKUP(AP91,'ELA Reading Logic'!$A$22:$B$48,2,FALSE)-VLOOKUP($F91,'ELA Reading Logic'!$A$22:$B$48,2,FALSE),"No Value")</f>
        <v>No Value</v>
      </c>
    </row>
    <row r="92" spans="1:46" ht="22.5" customHeight="1" x14ac:dyDescent="0.25">
      <c r="A92" s="176"/>
      <c r="B92" s="176"/>
      <c r="C92" s="176"/>
      <c r="D92" s="176"/>
      <c r="E92" s="175"/>
      <c r="F92" s="175"/>
      <c r="G92" s="177" t="str">
        <f>IFERROR(IF($E92="Yes","IPP",VLOOKUP($J92,'ELA Reading Logic'!$A$3:$K$9,VLOOKUP("September",'ELA Reading Logic'!$J$22:$K$31,2,FALSE),FALSE)),"Set Grade")</f>
        <v>Set Grade</v>
      </c>
      <c r="H92" s="177" t="str">
        <f>IFERROR(IF($E92="Yes","IPP",VLOOKUP($J92,'ELA Reading Logic'!$A$13:$K$19,VLOOKUP("September",'ELA Reading Logic'!$J$22:$K$31,2,FALSE),FALSE)),"Set Grade")</f>
        <v>Set Grade</v>
      </c>
      <c r="I92" s="96" t="str">
        <f>IF($E92="Yes","IPP",IFERROR(IF(AND(F92&gt;G92,F92&lt;H92),"0",(VLOOKUP(F92,'ELA Reading Logic'!$A$22:$B$48,2,FALSE))-(IF(VLOOKUP(F92,'ELA Reading Logic'!$A$22:$B$48,2,FALSE)&lt;=VLOOKUP(G92,'ELA Reading Logic'!$A$22:$B$48,2,FALSE),VLOOKUP(G92,'ELA Reading Logic'!$A$22:$B$48,2,FALSE),IF(VLOOKUP(F92,'ELA Reading Logic'!$A$22:$B$48,2,FALSE)&gt;=VLOOKUP(H92,'ELA Reading Logic'!$A$22:$B$48,2,FALSE),VLOOKUP(H92,'ELA Reading Logic'!$A$22:$B$48,2,FALSE),"No Score")))),"No Value"))</f>
        <v>No Value</v>
      </c>
      <c r="J92" s="178"/>
      <c r="K92" s="96"/>
      <c r="L92" s="96"/>
      <c r="M92" s="96"/>
      <c r="N92" s="96"/>
      <c r="O92" s="96"/>
      <c r="P92" s="105"/>
      <c r="Q92" s="92"/>
      <c r="R92" s="96" t="str">
        <f>IFERROR(IF($E92="Yes","IPP",VLOOKUP($J92,'ELA Reading Logic'!$A$3:$K$9,VLOOKUP(Q$1,'ELA Reading Logic'!$J$22:$K$31,2,FALSE),FALSE)),"Set Grade")</f>
        <v>Set Grade</v>
      </c>
      <c r="S92" s="96" t="str">
        <f>IFERROR(IF($E92="Yes","IPP",VLOOKUP($J92,'ELA Reading Logic'!$A$13:$K$19,VLOOKUP(Q$1,'ELA Reading Logic'!$J$22:$K$31,2,FALSE),FALSE)),"Set Grade")</f>
        <v>Set Grade</v>
      </c>
      <c r="T92" s="96" t="str">
        <f>IF($E92="Yes","IPP",IFERROR(IF(AND(Q92&gt;R92,Q92&lt;S92),"0",(VLOOKUP(Q92,'ELA Reading Logic'!$A$22:$B$48,2,FALSE))-(IF(VLOOKUP(Q92,'ELA Reading Logic'!$A$22:$B$48,2,FALSE)&lt;=VLOOKUP(R92,'ELA Reading Logic'!$A$22:$B$48,2,FALSE),VLOOKUP(R92,'ELA Reading Logic'!$A$22:$B$48,2,FALSE),IF(VLOOKUP(Q92,'ELA Reading Logic'!$A$22:$B$48,2,FALSE)&gt;=VLOOKUP(S92,'ELA Reading Logic'!$A$22:$B$48,2,FALSE),VLOOKUP(S92,'ELA Reading Logic'!$A$22:$B$48,2,FALSE),"No Score")))),"No Value"))</f>
        <v>No Value</v>
      </c>
      <c r="U92" s="96" t="str">
        <f>IFERROR(VLOOKUP(Q92,'ELA Reading Logic'!$A$22:$B$48,2,FALSE)-VLOOKUP($F92,'ELA Reading Logic'!$A$22:$B$48,2,FALSE),"No Value")</f>
        <v>No Value</v>
      </c>
      <c r="V92" s="92"/>
      <c r="W92" s="96" t="str">
        <f>IFERROR(IF($E92="Yes","IPP",VLOOKUP($J92,'ELA Reading Logic'!$A$3:$K$9,VLOOKUP(V$1,'ELA Reading Logic'!$J$22:$K$31,2,FALSE),FALSE)),"Set Grade")</f>
        <v>Set Grade</v>
      </c>
      <c r="X92" s="96" t="str">
        <f>IFERROR(IF($E92="Yes","IPP",VLOOKUP($J92,'ELA Reading Logic'!$A$13:$K$19,VLOOKUP(V$1,'ELA Reading Logic'!$J$22:$K$31,2,FALSE),FALSE)),"Set Grade")</f>
        <v>Set Grade</v>
      </c>
      <c r="Y92" s="96" t="str">
        <f>IF($E92="Yes","IPP",IFERROR(IF(AND(V92&gt;W92,V92&lt;X92),"0",(VLOOKUP(V92,'ELA Reading Logic'!$A$22:$B$48,2,FALSE))-(IF(VLOOKUP(V92,'ELA Reading Logic'!$A$22:$B$48,2,FALSE)&lt;=VLOOKUP(W92,'ELA Reading Logic'!$A$22:$B$48,2,FALSE),VLOOKUP(W92,'ELA Reading Logic'!$A$22:$B$48,2,FALSE),IF(VLOOKUP(V92,'ELA Reading Logic'!$A$22:$B$48,2,FALSE)&gt;=VLOOKUP(X92,'ELA Reading Logic'!$A$22:$B$48,2,FALSE),VLOOKUP(X92,'ELA Reading Logic'!$A$22:$B$48,2,FALSE),"No Score")))),"No Value"))</f>
        <v>No Value</v>
      </c>
      <c r="Z92" s="96" t="str">
        <f>IFERROR(VLOOKUP(V92,'ELA Reading Logic'!$A$22:$B$48,2,FALSE)-VLOOKUP($F92,'ELA Reading Logic'!$A$22:$B$48,2,FALSE),"No Value")</f>
        <v>No Value</v>
      </c>
      <c r="AA92" s="92"/>
      <c r="AB92" s="96" t="str">
        <f>IFERROR(IF($E92="Yes","IPP",VLOOKUP($J92,'ELA Reading Logic'!$A$3:$K$9,VLOOKUP(AA$1,'ELA Reading Logic'!$J$22:$K$31,2,FALSE),FALSE)),"Set Grade")</f>
        <v>Set Grade</v>
      </c>
      <c r="AC92" s="96" t="str">
        <f>IFERROR(IF($E92="Yes","IPP",VLOOKUP($J92,'ELA Reading Logic'!$A$13:$K$19,VLOOKUP(AA$1,'ELA Reading Logic'!$J$22:$K$31,2,FALSE),FALSE)),"Set Grade")</f>
        <v>Set Grade</v>
      </c>
      <c r="AD92" s="96" t="str">
        <f>IF($E92="Yes","IPP",IFERROR(IF(AND(AA92&gt;AB92,AA92&lt;AC92),"0",(VLOOKUP(AA92,'ELA Reading Logic'!$A$22:$B$48,2,FALSE))-(IF(VLOOKUP(AA92,'ELA Reading Logic'!$A$22:$B$48,2,FALSE)&lt;=VLOOKUP(AB92,'ELA Reading Logic'!$A$22:$B$48,2,FALSE),VLOOKUP(AB92,'ELA Reading Logic'!$A$22:$B$48,2,FALSE),IF(VLOOKUP(AA92,'ELA Reading Logic'!$A$22:$B$48,2,FALSE)&gt;=VLOOKUP(AC92,'ELA Reading Logic'!$A$22:$B$48,2,FALSE),VLOOKUP(AC92,'ELA Reading Logic'!$A$22:$B$48,2,FALSE),"No Score")))),"No Value"))</f>
        <v>No Value</v>
      </c>
      <c r="AE92" s="96" t="str">
        <f>IFERROR(VLOOKUP(AA92,'ELA Reading Logic'!$A$22:$B$48,2,FALSE)-VLOOKUP($F92,'ELA Reading Logic'!$A$22:$B$48,2,FALSE),"No Value")</f>
        <v>No Value</v>
      </c>
      <c r="AF92" s="92"/>
      <c r="AG92" s="96" t="str">
        <f>IFERROR(IF($E92="Yes","IPP",VLOOKUP($J92,'ELA Reading Logic'!$A$3:$K$9,VLOOKUP(AF$1,'ELA Reading Logic'!$J$22:$K$31,2,FALSE),FALSE)),"Set Grade")</f>
        <v>Set Grade</v>
      </c>
      <c r="AH92" s="96" t="str">
        <f>IFERROR(IF($E92="Yes","IPP",VLOOKUP($J92,'ELA Reading Logic'!$A$13:$K$19,VLOOKUP(AF$1,'ELA Reading Logic'!$J$22:$K$31,2,FALSE),FALSE)),"Set Grade")</f>
        <v>Set Grade</v>
      </c>
      <c r="AI92" s="96" t="str">
        <f>IF($E92="Yes","IPP",IFERROR(IF(AND(AF92&gt;AG92,AF92&lt;AH92),"0",(VLOOKUP(AF92,'ELA Reading Logic'!$A$22:$B$48,2,FALSE))-(IF(VLOOKUP(AF92,'ELA Reading Logic'!$A$22:$B$48,2,FALSE)&lt;=VLOOKUP(AG92,'ELA Reading Logic'!$A$22:$B$48,2,FALSE),VLOOKUP(AG92,'ELA Reading Logic'!$A$22:$B$48,2,FALSE),IF(VLOOKUP(AF92,'ELA Reading Logic'!$A$22:$B$48,2,FALSE)&gt;=VLOOKUP(AH92,'ELA Reading Logic'!$A$22:$B$48,2,FALSE),VLOOKUP(AH92,'ELA Reading Logic'!$A$22:$B$48,2,FALSE),"No Score")))),"No Value"))</f>
        <v>No Value</v>
      </c>
      <c r="AJ92" s="96" t="str">
        <f>IFERROR(VLOOKUP(AF92,'ELA Reading Logic'!$A$22:$B$48,2,FALSE)-VLOOKUP($F92,'ELA Reading Logic'!$A$22:$B$48,2,FALSE),"No Value")</f>
        <v>No Value</v>
      </c>
      <c r="AK92" s="92"/>
      <c r="AL92" s="96" t="str">
        <f>IFERROR(IF($E92="Yes","IPP",VLOOKUP($J92,'ELA Reading Logic'!$A$3:$K$9,VLOOKUP(AK$1,'ELA Reading Logic'!$J$22:$K$31,2,FALSE),FALSE)),"Set Grade")</f>
        <v>Set Grade</v>
      </c>
      <c r="AM92" s="96" t="str">
        <f>IFERROR(IF($E92="Yes","IPP",VLOOKUP($J92,'ELA Reading Logic'!$A$13:$K$19,VLOOKUP(AK$1,'ELA Reading Logic'!$J$22:$K$31,2,FALSE),FALSE)),"Set Grade")</f>
        <v>Set Grade</v>
      </c>
      <c r="AN92" s="96" t="str">
        <f>IF($E92="Yes","IPP",IFERROR(IF(AND(AK92&gt;AL92,AK92&lt;AM92),"0",(VLOOKUP(AK92,'ELA Reading Logic'!$A$22:$B$48,2,FALSE))-(IF(VLOOKUP(AK92,'ELA Reading Logic'!$A$22:$B$48,2,FALSE)&lt;=VLOOKUP(AL92,'ELA Reading Logic'!$A$22:$B$48,2,FALSE),VLOOKUP(AL92,'ELA Reading Logic'!$A$22:$B$48,2,FALSE),IF(VLOOKUP(AK92,'ELA Reading Logic'!$A$22:$B$48,2,FALSE)&gt;=VLOOKUP(AM92,'ELA Reading Logic'!$A$22:$B$48,2,FALSE),VLOOKUP(AM92,'ELA Reading Logic'!$A$22:$B$48,2,FALSE),"No Score")))),"No Value"))</f>
        <v>No Value</v>
      </c>
      <c r="AO92" s="96" t="str">
        <f>IFERROR(VLOOKUP(AK92,'ELA Reading Logic'!$A$22:$B$48,2,FALSE)-VLOOKUP($F92,'ELA Reading Logic'!$A$22:$B$48,2,FALSE),"No Value")</f>
        <v>No Value</v>
      </c>
      <c r="AP92" s="92"/>
      <c r="AQ92" s="96" t="str">
        <f>IFERROR(IF($E92="Yes","IPP",VLOOKUP($J92,'ELA Reading Logic'!$A$3:$K$9,VLOOKUP(AP$1,'ELA Reading Logic'!$J$22:$K$31,2,FALSE),FALSE)),"Set Grade")</f>
        <v>Set Grade</v>
      </c>
      <c r="AR92" s="96" t="str">
        <f>IFERROR(IF($E92="Yes","IPP",VLOOKUP($J92,'ELA Reading Logic'!$A$13:$K$19,VLOOKUP(AP$1,'ELA Reading Logic'!$J$22:$K$31,2,FALSE),FALSE)),"Set Grade")</f>
        <v>Set Grade</v>
      </c>
      <c r="AS92" s="96" t="str">
        <f>IF($E92="Yes","IPP",IFERROR(IF(AND(AP92&gt;AQ92,AP92&lt;AR92),"0",(VLOOKUP(AP92,'ELA Reading Logic'!$A$22:$B$48,2,FALSE))-(IF(VLOOKUP(AP92,'ELA Reading Logic'!$A$22:$B$48,2,FALSE)&lt;=VLOOKUP(AQ92,'ELA Reading Logic'!$A$22:$B$48,2,FALSE),VLOOKUP(AQ92,'ELA Reading Logic'!$A$22:$B$48,2,FALSE),IF(VLOOKUP(AP92,'ELA Reading Logic'!$A$22:$B$48,2,FALSE)&gt;=VLOOKUP(AR92,'ELA Reading Logic'!$A$22:$B$48,2,FALSE),VLOOKUP(AR92,'ELA Reading Logic'!$A$22:$B$48,2,FALSE),"No Score")))),"No Value"))</f>
        <v>No Value</v>
      </c>
      <c r="AT92" s="96" t="str">
        <f>IFERROR(VLOOKUP(AP92,'ELA Reading Logic'!$A$22:$B$48,2,FALSE)-VLOOKUP($F92,'ELA Reading Logic'!$A$22:$B$48,2,FALSE),"No Value")</f>
        <v>No Value</v>
      </c>
    </row>
    <row r="93" spans="1:46" ht="22.5" customHeight="1" x14ac:dyDescent="0.25">
      <c r="A93" s="174"/>
      <c r="B93" s="174"/>
      <c r="C93" s="174"/>
      <c r="D93" s="174"/>
      <c r="E93" s="175"/>
      <c r="F93" s="175"/>
      <c r="G93" s="177" t="str">
        <f>IFERROR(IF($E93="Yes","IPP",VLOOKUP($J93,'ELA Reading Logic'!$A$3:$K$9,VLOOKUP("September",'ELA Reading Logic'!$J$22:$K$31,2,FALSE),FALSE)),"Set Grade")</f>
        <v>Set Grade</v>
      </c>
      <c r="H93" s="177" t="str">
        <f>IFERROR(IF($E93="Yes","IPP",VLOOKUP($J93,'ELA Reading Logic'!$A$13:$K$19,VLOOKUP("September",'ELA Reading Logic'!$J$22:$K$31,2,FALSE),FALSE)),"Set Grade")</f>
        <v>Set Grade</v>
      </c>
      <c r="I93" s="96" t="str">
        <f>IF($E93="Yes","IPP",IFERROR(IF(AND(F93&gt;G93,F93&lt;H93),"0",(VLOOKUP(F93,'ELA Reading Logic'!$A$22:$B$48,2,FALSE))-(IF(VLOOKUP(F93,'ELA Reading Logic'!$A$22:$B$48,2,FALSE)&lt;=VLOOKUP(G93,'ELA Reading Logic'!$A$22:$B$48,2,FALSE),VLOOKUP(G93,'ELA Reading Logic'!$A$22:$B$48,2,FALSE),IF(VLOOKUP(F93,'ELA Reading Logic'!$A$22:$B$48,2,FALSE)&gt;=VLOOKUP(H93,'ELA Reading Logic'!$A$22:$B$48,2,FALSE),VLOOKUP(H93,'ELA Reading Logic'!$A$22:$B$48,2,FALSE),"No Score")))),"No Value"))</f>
        <v>No Value</v>
      </c>
      <c r="J93" s="178"/>
      <c r="K93" s="96"/>
      <c r="L93" s="96"/>
      <c r="M93" s="96"/>
      <c r="N93" s="96"/>
      <c r="O93" s="96"/>
      <c r="P93" s="105"/>
      <c r="Q93" s="92"/>
      <c r="R93" s="96" t="str">
        <f>IFERROR(IF($E93="Yes","IPP",VLOOKUP($J93,'ELA Reading Logic'!$A$3:$K$9,VLOOKUP(Q$1,'ELA Reading Logic'!$J$22:$K$31,2,FALSE),FALSE)),"Set Grade")</f>
        <v>Set Grade</v>
      </c>
      <c r="S93" s="96" t="str">
        <f>IFERROR(IF($E93="Yes","IPP",VLOOKUP($J93,'ELA Reading Logic'!$A$13:$K$19,VLOOKUP(Q$1,'ELA Reading Logic'!$J$22:$K$31,2,FALSE),FALSE)),"Set Grade")</f>
        <v>Set Grade</v>
      </c>
      <c r="T93" s="96" t="str">
        <f>IF($E93="Yes","IPP",IFERROR(IF(AND(Q93&gt;R93,Q93&lt;S93),"0",(VLOOKUP(Q93,'ELA Reading Logic'!$A$22:$B$48,2,FALSE))-(IF(VLOOKUP(Q93,'ELA Reading Logic'!$A$22:$B$48,2,FALSE)&lt;=VLOOKUP(R93,'ELA Reading Logic'!$A$22:$B$48,2,FALSE),VLOOKUP(R93,'ELA Reading Logic'!$A$22:$B$48,2,FALSE),IF(VLOOKUP(Q93,'ELA Reading Logic'!$A$22:$B$48,2,FALSE)&gt;=VLOOKUP(S93,'ELA Reading Logic'!$A$22:$B$48,2,FALSE),VLOOKUP(S93,'ELA Reading Logic'!$A$22:$B$48,2,FALSE),"No Score")))),"No Value"))</f>
        <v>No Value</v>
      </c>
      <c r="U93" s="96" t="str">
        <f>IFERROR(VLOOKUP(Q93,'ELA Reading Logic'!$A$22:$B$48,2,FALSE)-VLOOKUP($F93,'ELA Reading Logic'!$A$22:$B$48,2,FALSE),"No Value")</f>
        <v>No Value</v>
      </c>
      <c r="V93" s="92"/>
      <c r="W93" s="96" t="str">
        <f>IFERROR(IF($E93="Yes","IPP",VLOOKUP($J93,'ELA Reading Logic'!$A$3:$K$9,VLOOKUP(V$1,'ELA Reading Logic'!$J$22:$K$31,2,FALSE),FALSE)),"Set Grade")</f>
        <v>Set Grade</v>
      </c>
      <c r="X93" s="96" t="str">
        <f>IFERROR(IF($E93="Yes","IPP",VLOOKUP($J93,'ELA Reading Logic'!$A$13:$K$19,VLOOKUP(V$1,'ELA Reading Logic'!$J$22:$K$31,2,FALSE),FALSE)),"Set Grade")</f>
        <v>Set Grade</v>
      </c>
      <c r="Y93" s="96" t="str">
        <f>IF($E93="Yes","IPP",IFERROR(IF(AND(V93&gt;W93,V93&lt;X93),"0",(VLOOKUP(V93,'ELA Reading Logic'!$A$22:$B$48,2,FALSE))-(IF(VLOOKUP(V93,'ELA Reading Logic'!$A$22:$B$48,2,FALSE)&lt;=VLOOKUP(W93,'ELA Reading Logic'!$A$22:$B$48,2,FALSE),VLOOKUP(W93,'ELA Reading Logic'!$A$22:$B$48,2,FALSE),IF(VLOOKUP(V93,'ELA Reading Logic'!$A$22:$B$48,2,FALSE)&gt;=VLOOKUP(X93,'ELA Reading Logic'!$A$22:$B$48,2,FALSE),VLOOKUP(X93,'ELA Reading Logic'!$A$22:$B$48,2,FALSE),"No Score")))),"No Value"))</f>
        <v>No Value</v>
      </c>
      <c r="Z93" s="96" t="str">
        <f>IFERROR(VLOOKUP(V93,'ELA Reading Logic'!$A$22:$B$48,2,FALSE)-VLOOKUP($F93,'ELA Reading Logic'!$A$22:$B$48,2,FALSE),"No Value")</f>
        <v>No Value</v>
      </c>
      <c r="AA93" s="92"/>
      <c r="AB93" s="96" t="str">
        <f>IFERROR(IF($E93="Yes","IPP",VLOOKUP($J93,'ELA Reading Logic'!$A$3:$K$9,VLOOKUP(AA$1,'ELA Reading Logic'!$J$22:$K$31,2,FALSE),FALSE)),"Set Grade")</f>
        <v>Set Grade</v>
      </c>
      <c r="AC93" s="96" t="str">
        <f>IFERROR(IF($E93="Yes","IPP",VLOOKUP($J93,'ELA Reading Logic'!$A$13:$K$19,VLOOKUP(AA$1,'ELA Reading Logic'!$J$22:$K$31,2,FALSE),FALSE)),"Set Grade")</f>
        <v>Set Grade</v>
      </c>
      <c r="AD93" s="96" t="str">
        <f>IF($E93="Yes","IPP",IFERROR(IF(AND(AA93&gt;AB93,AA93&lt;AC93),"0",(VLOOKUP(AA93,'ELA Reading Logic'!$A$22:$B$48,2,FALSE))-(IF(VLOOKUP(AA93,'ELA Reading Logic'!$A$22:$B$48,2,FALSE)&lt;=VLOOKUP(AB93,'ELA Reading Logic'!$A$22:$B$48,2,FALSE),VLOOKUP(AB93,'ELA Reading Logic'!$A$22:$B$48,2,FALSE),IF(VLOOKUP(AA93,'ELA Reading Logic'!$A$22:$B$48,2,FALSE)&gt;=VLOOKUP(AC93,'ELA Reading Logic'!$A$22:$B$48,2,FALSE),VLOOKUP(AC93,'ELA Reading Logic'!$A$22:$B$48,2,FALSE),"No Score")))),"No Value"))</f>
        <v>No Value</v>
      </c>
      <c r="AE93" s="96" t="str">
        <f>IFERROR(VLOOKUP(AA93,'ELA Reading Logic'!$A$22:$B$48,2,FALSE)-VLOOKUP($F93,'ELA Reading Logic'!$A$22:$B$48,2,FALSE),"No Value")</f>
        <v>No Value</v>
      </c>
      <c r="AF93" s="92"/>
      <c r="AG93" s="96" t="str">
        <f>IFERROR(IF($E93="Yes","IPP",VLOOKUP($J93,'ELA Reading Logic'!$A$3:$K$9,VLOOKUP(AF$1,'ELA Reading Logic'!$J$22:$K$31,2,FALSE),FALSE)),"Set Grade")</f>
        <v>Set Grade</v>
      </c>
      <c r="AH93" s="96" t="str">
        <f>IFERROR(IF($E93="Yes","IPP",VLOOKUP($J93,'ELA Reading Logic'!$A$13:$K$19,VLOOKUP(AF$1,'ELA Reading Logic'!$J$22:$K$31,2,FALSE),FALSE)),"Set Grade")</f>
        <v>Set Grade</v>
      </c>
      <c r="AI93" s="96" t="str">
        <f>IF($E93="Yes","IPP",IFERROR(IF(AND(AF93&gt;AG93,AF93&lt;AH93),"0",(VLOOKUP(AF93,'ELA Reading Logic'!$A$22:$B$48,2,FALSE))-(IF(VLOOKUP(AF93,'ELA Reading Logic'!$A$22:$B$48,2,FALSE)&lt;=VLOOKUP(AG93,'ELA Reading Logic'!$A$22:$B$48,2,FALSE),VLOOKUP(AG93,'ELA Reading Logic'!$A$22:$B$48,2,FALSE),IF(VLOOKUP(AF93,'ELA Reading Logic'!$A$22:$B$48,2,FALSE)&gt;=VLOOKUP(AH93,'ELA Reading Logic'!$A$22:$B$48,2,FALSE),VLOOKUP(AH93,'ELA Reading Logic'!$A$22:$B$48,2,FALSE),"No Score")))),"No Value"))</f>
        <v>No Value</v>
      </c>
      <c r="AJ93" s="96" t="str">
        <f>IFERROR(VLOOKUP(AF93,'ELA Reading Logic'!$A$22:$B$48,2,FALSE)-VLOOKUP($F93,'ELA Reading Logic'!$A$22:$B$48,2,FALSE),"No Value")</f>
        <v>No Value</v>
      </c>
      <c r="AK93" s="92"/>
      <c r="AL93" s="96" t="str">
        <f>IFERROR(IF($E93="Yes","IPP",VLOOKUP($J93,'ELA Reading Logic'!$A$3:$K$9,VLOOKUP(AK$1,'ELA Reading Logic'!$J$22:$K$31,2,FALSE),FALSE)),"Set Grade")</f>
        <v>Set Grade</v>
      </c>
      <c r="AM93" s="96" t="str">
        <f>IFERROR(IF($E93="Yes","IPP",VLOOKUP($J93,'ELA Reading Logic'!$A$13:$K$19,VLOOKUP(AK$1,'ELA Reading Logic'!$J$22:$K$31,2,FALSE),FALSE)),"Set Grade")</f>
        <v>Set Grade</v>
      </c>
      <c r="AN93" s="96" t="str">
        <f>IF($E93="Yes","IPP",IFERROR(IF(AND(AK93&gt;AL93,AK93&lt;AM93),"0",(VLOOKUP(AK93,'ELA Reading Logic'!$A$22:$B$48,2,FALSE))-(IF(VLOOKUP(AK93,'ELA Reading Logic'!$A$22:$B$48,2,FALSE)&lt;=VLOOKUP(AL93,'ELA Reading Logic'!$A$22:$B$48,2,FALSE),VLOOKUP(AL93,'ELA Reading Logic'!$A$22:$B$48,2,FALSE),IF(VLOOKUP(AK93,'ELA Reading Logic'!$A$22:$B$48,2,FALSE)&gt;=VLOOKUP(AM93,'ELA Reading Logic'!$A$22:$B$48,2,FALSE),VLOOKUP(AM93,'ELA Reading Logic'!$A$22:$B$48,2,FALSE),"No Score")))),"No Value"))</f>
        <v>No Value</v>
      </c>
      <c r="AO93" s="96" t="str">
        <f>IFERROR(VLOOKUP(AK93,'ELA Reading Logic'!$A$22:$B$48,2,FALSE)-VLOOKUP($F93,'ELA Reading Logic'!$A$22:$B$48,2,FALSE),"No Value")</f>
        <v>No Value</v>
      </c>
      <c r="AP93" s="92"/>
      <c r="AQ93" s="96" t="str">
        <f>IFERROR(IF($E93="Yes","IPP",VLOOKUP($J93,'ELA Reading Logic'!$A$3:$K$9,VLOOKUP(AP$1,'ELA Reading Logic'!$J$22:$K$31,2,FALSE),FALSE)),"Set Grade")</f>
        <v>Set Grade</v>
      </c>
      <c r="AR93" s="96" t="str">
        <f>IFERROR(IF($E93="Yes","IPP",VLOOKUP($J93,'ELA Reading Logic'!$A$13:$K$19,VLOOKUP(AP$1,'ELA Reading Logic'!$J$22:$K$31,2,FALSE),FALSE)),"Set Grade")</f>
        <v>Set Grade</v>
      </c>
      <c r="AS93" s="96" t="str">
        <f>IF($E93="Yes","IPP",IFERROR(IF(AND(AP93&gt;AQ93,AP93&lt;AR93),"0",(VLOOKUP(AP93,'ELA Reading Logic'!$A$22:$B$48,2,FALSE))-(IF(VLOOKUP(AP93,'ELA Reading Logic'!$A$22:$B$48,2,FALSE)&lt;=VLOOKUP(AQ93,'ELA Reading Logic'!$A$22:$B$48,2,FALSE),VLOOKUP(AQ93,'ELA Reading Logic'!$A$22:$B$48,2,FALSE),IF(VLOOKUP(AP93,'ELA Reading Logic'!$A$22:$B$48,2,FALSE)&gt;=VLOOKUP(AR93,'ELA Reading Logic'!$A$22:$B$48,2,FALSE),VLOOKUP(AR93,'ELA Reading Logic'!$A$22:$B$48,2,FALSE),"No Score")))),"No Value"))</f>
        <v>No Value</v>
      </c>
      <c r="AT93" s="96" t="str">
        <f>IFERROR(VLOOKUP(AP93,'ELA Reading Logic'!$A$22:$B$48,2,FALSE)-VLOOKUP($F93,'ELA Reading Logic'!$A$22:$B$48,2,FALSE),"No Value")</f>
        <v>No Value</v>
      </c>
    </row>
    <row r="94" spans="1:46" ht="22.5" customHeight="1" x14ac:dyDescent="0.25">
      <c r="A94" s="176"/>
      <c r="B94" s="176"/>
      <c r="C94" s="176"/>
      <c r="D94" s="176"/>
      <c r="E94" s="175"/>
      <c r="F94" s="175"/>
      <c r="G94" s="177" t="str">
        <f>IFERROR(IF($E94="Yes","IPP",VLOOKUP($J94,'ELA Reading Logic'!$A$3:$K$9,VLOOKUP("September",'ELA Reading Logic'!$J$22:$K$31,2,FALSE),FALSE)),"Set Grade")</f>
        <v>Set Grade</v>
      </c>
      <c r="H94" s="177" t="str">
        <f>IFERROR(IF($E94="Yes","IPP",VLOOKUP($J94,'ELA Reading Logic'!$A$13:$K$19,VLOOKUP("September",'ELA Reading Logic'!$J$22:$K$31,2,FALSE),FALSE)),"Set Grade")</f>
        <v>Set Grade</v>
      </c>
      <c r="I94" s="96" t="str">
        <f>IF($E94="Yes","IPP",IFERROR(IF(AND(F94&gt;G94,F94&lt;H94),"0",(VLOOKUP(F94,'ELA Reading Logic'!$A$22:$B$48,2,FALSE))-(IF(VLOOKUP(F94,'ELA Reading Logic'!$A$22:$B$48,2,FALSE)&lt;=VLOOKUP(G94,'ELA Reading Logic'!$A$22:$B$48,2,FALSE),VLOOKUP(G94,'ELA Reading Logic'!$A$22:$B$48,2,FALSE),IF(VLOOKUP(F94,'ELA Reading Logic'!$A$22:$B$48,2,FALSE)&gt;=VLOOKUP(H94,'ELA Reading Logic'!$A$22:$B$48,2,FALSE),VLOOKUP(H94,'ELA Reading Logic'!$A$22:$B$48,2,FALSE),"No Score")))),"No Value"))</f>
        <v>No Value</v>
      </c>
      <c r="J94" s="178"/>
      <c r="K94" s="96"/>
      <c r="L94" s="96"/>
      <c r="M94" s="96"/>
      <c r="N94" s="96"/>
      <c r="O94" s="96"/>
      <c r="P94" s="105"/>
      <c r="Q94" s="92"/>
      <c r="R94" s="96" t="str">
        <f>IFERROR(IF($E94="Yes","IPP",VLOOKUP($J94,'ELA Reading Logic'!$A$3:$K$9,VLOOKUP(Q$1,'ELA Reading Logic'!$J$22:$K$31,2,FALSE),FALSE)),"Set Grade")</f>
        <v>Set Grade</v>
      </c>
      <c r="S94" s="96" t="str">
        <f>IFERROR(IF($E94="Yes","IPP",VLOOKUP($J94,'ELA Reading Logic'!$A$13:$K$19,VLOOKUP(Q$1,'ELA Reading Logic'!$J$22:$K$31,2,FALSE),FALSE)),"Set Grade")</f>
        <v>Set Grade</v>
      </c>
      <c r="T94" s="96" t="str">
        <f>IF($E94="Yes","IPP",IFERROR(IF(AND(Q94&gt;R94,Q94&lt;S94),"0",(VLOOKUP(Q94,'ELA Reading Logic'!$A$22:$B$48,2,FALSE))-(IF(VLOOKUP(Q94,'ELA Reading Logic'!$A$22:$B$48,2,FALSE)&lt;=VLOOKUP(R94,'ELA Reading Logic'!$A$22:$B$48,2,FALSE),VLOOKUP(R94,'ELA Reading Logic'!$A$22:$B$48,2,FALSE),IF(VLOOKUP(Q94,'ELA Reading Logic'!$A$22:$B$48,2,FALSE)&gt;=VLOOKUP(S94,'ELA Reading Logic'!$A$22:$B$48,2,FALSE),VLOOKUP(S94,'ELA Reading Logic'!$A$22:$B$48,2,FALSE),"No Score")))),"No Value"))</f>
        <v>No Value</v>
      </c>
      <c r="U94" s="96" t="str">
        <f>IFERROR(VLOOKUP(Q94,'ELA Reading Logic'!$A$22:$B$48,2,FALSE)-VLOOKUP($F94,'ELA Reading Logic'!$A$22:$B$48,2,FALSE),"No Value")</f>
        <v>No Value</v>
      </c>
      <c r="V94" s="92"/>
      <c r="W94" s="96" t="str">
        <f>IFERROR(IF($E94="Yes","IPP",VLOOKUP($J94,'ELA Reading Logic'!$A$3:$K$9,VLOOKUP(V$1,'ELA Reading Logic'!$J$22:$K$31,2,FALSE),FALSE)),"Set Grade")</f>
        <v>Set Grade</v>
      </c>
      <c r="X94" s="96" t="str">
        <f>IFERROR(IF($E94="Yes","IPP",VLOOKUP($J94,'ELA Reading Logic'!$A$13:$K$19,VLOOKUP(V$1,'ELA Reading Logic'!$J$22:$K$31,2,FALSE),FALSE)),"Set Grade")</f>
        <v>Set Grade</v>
      </c>
      <c r="Y94" s="96" t="str">
        <f>IF($E94="Yes","IPP",IFERROR(IF(AND(V94&gt;W94,V94&lt;X94),"0",(VLOOKUP(V94,'ELA Reading Logic'!$A$22:$B$48,2,FALSE))-(IF(VLOOKUP(V94,'ELA Reading Logic'!$A$22:$B$48,2,FALSE)&lt;=VLOOKUP(W94,'ELA Reading Logic'!$A$22:$B$48,2,FALSE),VLOOKUP(W94,'ELA Reading Logic'!$A$22:$B$48,2,FALSE),IF(VLOOKUP(V94,'ELA Reading Logic'!$A$22:$B$48,2,FALSE)&gt;=VLOOKUP(X94,'ELA Reading Logic'!$A$22:$B$48,2,FALSE),VLOOKUP(X94,'ELA Reading Logic'!$A$22:$B$48,2,FALSE),"No Score")))),"No Value"))</f>
        <v>No Value</v>
      </c>
      <c r="Z94" s="96" t="str">
        <f>IFERROR(VLOOKUP(V94,'ELA Reading Logic'!$A$22:$B$48,2,FALSE)-VLOOKUP($F94,'ELA Reading Logic'!$A$22:$B$48,2,FALSE),"No Value")</f>
        <v>No Value</v>
      </c>
      <c r="AA94" s="92"/>
      <c r="AB94" s="96" t="str">
        <f>IFERROR(IF($E94="Yes","IPP",VLOOKUP($J94,'ELA Reading Logic'!$A$3:$K$9,VLOOKUP(AA$1,'ELA Reading Logic'!$J$22:$K$31,2,FALSE),FALSE)),"Set Grade")</f>
        <v>Set Grade</v>
      </c>
      <c r="AC94" s="96" t="str">
        <f>IFERROR(IF($E94="Yes","IPP",VLOOKUP($J94,'ELA Reading Logic'!$A$13:$K$19,VLOOKUP(AA$1,'ELA Reading Logic'!$J$22:$K$31,2,FALSE),FALSE)),"Set Grade")</f>
        <v>Set Grade</v>
      </c>
      <c r="AD94" s="96" t="str">
        <f>IF($E94="Yes","IPP",IFERROR(IF(AND(AA94&gt;AB94,AA94&lt;AC94),"0",(VLOOKUP(AA94,'ELA Reading Logic'!$A$22:$B$48,2,FALSE))-(IF(VLOOKUP(AA94,'ELA Reading Logic'!$A$22:$B$48,2,FALSE)&lt;=VLOOKUP(AB94,'ELA Reading Logic'!$A$22:$B$48,2,FALSE),VLOOKUP(AB94,'ELA Reading Logic'!$A$22:$B$48,2,FALSE),IF(VLOOKUP(AA94,'ELA Reading Logic'!$A$22:$B$48,2,FALSE)&gt;=VLOOKUP(AC94,'ELA Reading Logic'!$A$22:$B$48,2,FALSE),VLOOKUP(AC94,'ELA Reading Logic'!$A$22:$B$48,2,FALSE),"No Score")))),"No Value"))</f>
        <v>No Value</v>
      </c>
      <c r="AE94" s="96" t="str">
        <f>IFERROR(VLOOKUP(AA94,'ELA Reading Logic'!$A$22:$B$48,2,FALSE)-VLOOKUP($F94,'ELA Reading Logic'!$A$22:$B$48,2,FALSE),"No Value")</f>
        <v>No Value</v>
      </c>
      <c r="AF94" s="92"/>
      <c r="AG94" s="96" t="str">
        <f>IFERROR(IF($E94="Yes","IPP",VLOOKUP($J94,'ELA Reading Logic'!$A$3:$K$9,VLOOKUP(AF$1,'ELA Reading Logic'!$J$22:$K$31,2,FALSE),FALSE)),"Set Grade")</f>
        <v>Set Grade</v>
      </c>
      <c r="AH94" s="96" t="str">
        <f>IFERROR(IF($E94="Yes","IPP",VLOOKUP($J94,'ELA Reading Logic'!$A$13:$K$19,VLOOKUP(AF$1,'ELA Reading Logic'!$J$22:$K$31,2,FALSE),FALSE)),"Set Grade")</f>
        <v>Set Grade</v>
      </c>
      <c r="AI94" s="96" t="str">
        <f>IF($E94="Yes","IPP",IFERROR(IF(AND(AF94&gt;AG94,AF94&lt;AH94),"0",(VLOOKUP(AF94,'ELA Reading Logic'!$A$22:$B$48,2,FALSE))-(IF(VLOOKUP(AF94,'ELA Reading Logic'!$A$22:$B$48,2,FALSE)&lt;=VLOOKUP(AG94,'ELA Reading Logic'!$A$22:$B$48,2,FALSE),VLOOKUP(AG94,'ELA Reading Logic'!$A$22:$B$48,2,FALSE),IF(VLOOKUP(AF94,'ELA Reading Logic'!$A$22:$B$48,2,FALSE)&gt;=VLOOKUP(AH94,'ELA Reading Logic'!$A$22:$B$48,2,FALSE),VLOOKUP(AH94,'ELA Reading Logic'!$A$22:$B$48,2,FALSE),"No Score")))),"No Value"))</f>
        <v>No Value</v>
      </c>
      <c r="AJ94" s="96" t="str">
        <f>IFERROR(VLOOKUP(AF94,'ELA Reading Logic'!$A$22:$B$48,2,FALSE)-VLOOKUP($F94,'ELA Reading Logic'!$A$22:$B$48,2,FALSE),"No Value")</f>
        <v>No Value</v>
      </c>
      <c r="AK94" s="92"/>
      <c r="AL94" s="96" t="str">
        <f>IFERROR(IF($E94="Yes","IPP",VLOOKUP($J94,'ELA Reading Logic'!$A$3:$K$9,VLOOKUP(AK$1,'ELA Reading Logic'!$J$22:$K$31,2,FALSE),FALSE)),"Set Grade")</f>
        <v>Set Grade</v>
      </c>
      <c r="AM94" s="96" t="str">
        <f>IFERROR(IF($E94="Yes","IPP",VLOOKUP($J94,'ELA Reading Logic'!$A$13:$K$19,VLOOKUP(AK$1,'ELA Reading Logic'!$J$22:$K$31,2,FALSE),FALSE)),"Set Grade")</f>
        <v>Set Grade</v>
      </c>
      <c r="AN94" s="96" t="str">
        <f>IF($E94="Yes","IPP",IFERROR(IF(AND(AK94&gt;AL94,AK94&lt;AM94),"0",(VLOOKUP(AK94,'ELA Reading Logic'!$A$22:$B$48,2,FALSE))-(IF(VLOOKUP(AK94,'ELA Reading Logic'!$A$22:$B$48,2,FALSE)&lt;=VLOOKUP(AL94,'ELA Reading Logic'!$A$22:$B$48,2,FALSE),VLOOKUP(AL94,'ELA Reading Logic'!$A$22:$B$48,2,FALSE),IF(VLOOKUP(AK94,'ELA Reading Logic'!$A$22:$B$48,2,FALSE)&gt;=VLOOKUP(AM94,'ELA Reading Logic'!$A$22:$B$48,2,FALSE),VLOOKUP(AM94,'ELA Reading Logic'!$A$22:$B$48,2,FALSE),"No Score")))),"No Value"))</f>
        <v>No Value</v>
      </c>
      <c r="AO94" s="96" t="str">
        <f>IFERROR(VLOOKUP(AK94,'ELA Reading Logic'!$A$22:$B$48,2,FALSE)-VLOOKUP($F94,'ELA Reading Logic'!$A$22:$B$48,2,FALSE),"No Value")</f>
        <v>No Value</v>
      </c>
      <c r="AP94" s="92"/>
      <c r="AQ94" s="96" t="str">
        <f>IFERROR(IF($E94="Yes","IPP",VLOOKUP($J94,'ELA Reading Logic'!$A$3:$K$9,VLOOKUP(AP$1,'ELA Reading Logic'!$J$22:$K$31,2,FALSE),FALSE)),"Set Grade")</f>
        <v>Set Grade</v>
      </c>
      <c r="AR94" s="96" t="str">
        <f>IFERROR(IF($E94="Yes","IPP",VLOOKUP($J94,'ELA Reading Logic'!$A$13:$K$19,VLOOKUP(AP$1,'ELA Reading Logic'!$J$22:$K$31,2,FALSE),FALSE)),"Set Grade")</f>
        <v>Set Grade</v>
      </c>
      <c r="AS94" s="96" t="str">
        <f>IF($E94="Yes","IPP",IFERROR(IF(AND(AP94&gt;AQ94,AP94&lt;AR94),"0",(VLOOKUP(AP94,'ELA Reading Logic'!$A$22:$B$48,2,FALSE))-(IF(VLOOKUP(AP94,'ELA Reading Logic'!$A$22:$B$48,2,FALSE)&lt;=VLOOKUP(AQ94,'ELA Reading Logic'!$A$22:$B$48,2,FALSE),VLOOKUP(AQ94,'ELA Reading Logic'!$A$22:$B$48,2,FALSE),IF(VLOOKUP(AP94,'ELA Reading Logic'!$A$22:$B$48,2,FALSE)&gt;=VLOOKUP(AR94,'ELA Reading Logic'!$A$22:$B$48,2,FALSE),VLOOKUP(AR94,'ELA Reading Logic'!$A$22:$B$48,2,FALSE),"No Score")))),"No Value"))</f>
        <v>No Value</v>
      </c>
      <c r="AT94" s="96" t="str">
        <f>IFERROR(VLOOKUP(AP94,'ELA Reading Logic'!$A$22:$B$48,2,FALSE)-VLOOKUP($F94,'ELA Reading Logic'!$A$22:$B$48,2,FALSE),"No Value")</f>
        <v>No Value</v>
      </c>
    </row>
    <row r="95" spans="1:46" ht="22.5" customHeight="1" x14ac:dyDescent="0.25">
      <c r="A95" s="174"/>
      <c r="B95" s="174"/>
      <c r="C95" s="174"/>
      <c r="D95" s="174"/>
      <c r="E95" s="175"/>
      <c r="F95" s="175"/>
      <c r="G95" s="177" t="str">
        <f>IFERROR(IF($E95="Yes","IPP",VLOOKUP($J95,'ELA Reading Logic'!$A$3:$K$9,VLOOKUP("September",'ELA Reading Logic'!$J$22:$K$31,2,FALSE),FALSE)),"Set Grade")</f>
        <v>Set Grade</v>
      </c>
      <c r="H95" s="177" t="str">
        <f>IFERROR(IF($E95="Yes","IPP",VLOOKUP($J95,'ELA Reading Logic'!$A$13:$K$19,VLOOKUP("September",'ELA Reading Logic'!$J$22:$K$31,2,FALSE),FALSE)),"Set Grade")</f>
        <v>Set Grade</v>
      </c>
      <c r="I95" s="96" t="str">
        <f>IF($E95="Yes","IPP",IFERROR(IF(AND(F95&gt;G95,F95&lt;H95),"0",(VLOOKUP(F95,'ELA Reading Logic'!$A$22:$B$48,2,FALSE))-(IF(VLOOKUP(F95,'ELA Reading Logic'!$A$22:$B$48,2,FALSE)&lt;=VLOOKUP(G95,'ELA Reading Logic'!$A$22:$B$48,2,FALSE),VLOOKUP(G95,'ELA Reading Logic'!$A$22:$B$48,2,FALSE),IF(VLOOKUP(F95,'ELA Reading Logic'!$A$22:$B$48,2,FALSE)&gt;=VLOOKUP(H95,'ELA Reading Logic'!$A$22:$B$48,2,FALSE),VLOOKUP(H95,'ELA Reading Logic'!$A$22:$B$48,2,FALSE),"No Score")))),"No Value"))</f>
        <v>No Value</v>
      </c>
      <c r="J95" s="178"/>
      <c r="K95" s="96"/>
      <c r="L95" s="96"/>
      <c r="M95" s="96"/>
      <c r="N95" s="96"/>
      <c r="O95" s="96"/>
      <c r="P95" s="105"/>
      <c r="Q95" s="92"/>
      <c r="R95" s="96" t="str">
        <f>IFERROR(IF($E95="Yes","IPP",VLOOKUP($J95,'ELA Reading Logic'!$A$3:$K$9,VLOOKUP(Q$1,'ELA Reading Logic'!$J$22:$K$31,2,FALSE),FALSE)),"Set Grade")</f>
        <v>Set Grade</v>
      </c>
      <c r="S95" s="96" t="str">
        <f>IFERROR(IF($E95="Yes","IPP",VLOOKUP($J95,'ELA Reading Logic'!$A$13:$K$19,VLOOKUP(Q$1,'ELA Reading Logic'!$J$22:$K$31,2,FALSE),FALSE)),"Set Grade")</f>
        <v>Set Grade</v>
      </c>
      <c r="T95" s="96" t="str">
        <f>IF($E95="Yes","IPP",IFERROR(IF(AND(Q95&gt;R95,Q95&lt;S95),"0",(VLOOKUP(Q95,'ELA Reading Logic'!$A$22:$B$48,2,FALSE))-(IF(VLOOKUP(Q95,'ELA Reading Logic'!$A$22:$B$48,2,FALSE)&lt;=VLOOKUP(R95,'ELA Reading Logic'!$A$22:$B$48,2,FALSE),VLOOKUP(R95,'ELA Reading Logic'!$A$22:$B$48,2,FALSE),IF(VLOOKUP(Q95,'ELA Reading Logic'!$A$22:$B$48,2,FALSE)&gt;=VLOOKUP(S95,'ELA Reading Logic'!$A$22:$B$48,2,FALSE),VLOOKUP(S95,'ELA Reading Logic'!$A$22:$B$48,2,FALSE),"No Score")))),"No Value"))</f>
        <v>No Value</v>
      </c>
      <c r="U95" s="96" t="str">
        <f>IFERROR(VLOOKUP(Q95,'ELA Reading Logic'!$A$22:$B$48,2,FALSE)-VLOOKUP($F95,'ELA Reading Logic'!$A$22:$B$48,2,FALSE),"No Value")</f>
        <v>No Value</v>
      </c>
      <c r="V95" s="92"/>
      <c r="W95" s="96" t="str">
        <f>IFERROR(IF($E95="Yes","IPP",VLOOKUP($J95,'ELA Reading Logic'!$A$3:$K$9,VLOOKUP(V$1,'ELA Reading Logic'!$J$22:$K$31,2,FALSE),FALSE)),"Set Grade")</f>
        <v>Set Grade</v>
      </c>
      <c r="X95" s="96" t="str">
        <f>IFERROR(IF($E95="Yes","IPP",VLOOKUP($J95,'ELA Reading Logic'!$A$13:$K$19,VLOOKUP(V$1,'ELA Reading Logic'!$J$22:$K$31,2,FALSE),FALSE)),"Set Grade")</f>
        <v>Set Grade</v>
      </c>
      <c r="Y95" s="96" t="str">
        <f>IF($E95="Yes","IPP",IFERROR(IF(AND(V95&gt;W95,V95&lt;X95),"0",(VLOOKUP(V95,'ELA Reading Logic'!$A$22:$B$48,2,FALSE))-(IF(VLOOKUP(V95,'ELA Reading Logic'!$A$22:$B$48,2,FALSE)&lt;=VLOOKUP(W95,'ELA Reading Logic'!$A$22:$B$48,2,FALSE),VLOOKUP(W95,'ELA Reading Logic'!$A$22:$B$48,2,FALSE),IF(VLOOKUP(V95,'ELA Reading Logic'!$A$22:$B$48,2,FALSE)&gt;=VLOOKUP(X95,'ELA Reading Logic'!$A$22:$B$48,2,FALSE),VLOOKUP(X95,'ELA Reading Logic'!$A$22:$B$48,2,FALSE),"No Score")))),"No Value"))</f>
        <v>No Value</v>
      </c>
      <c r="Z95" s="96" t="str">
        <f>IFERROR(VLOOKUP(V95,'ELA Reading Logic'!$A$22:$B$48,2,FALSE)-VLOOKUP($F95,'ELA Reading Logic'!$A$22:$B$48,2,FALSE),"No Value")</f>
        <v>No Value</v>
      </c>
      <c r="AA95" s="92"/>
      <c r="AB95" s="96" t="str">
        <f>IFERROR(IF($E95="Yes","IPP",VLOOKUP($J95,'ELA Reading Logic'!$A$3:$K$9,VLOOKUP(AA$1,'ELA Reading Logic'!$J$22:$K$31,2,FALSE),FALSE)),"Set Grade")</f>
        <v>Set Grade</v>
      </c>
      <c r="AC95" s="96" t="str">
        <f>IFERROR(IF($E95="Yes","IPP",VLOOKUP($J95,'ELA Reading Logic'!$A$13:$K$19,VLOOKUP(AA$1,'ELA Reading Logic'!$J$22:$K$31,2,FALSE),FALSE)),"Set Grade")</f>
        <v>Set Grade</v>
      </c>
      <c r="AD95" s="96" t="str">
        <f>IF($E95="Yes","IPP",IFERROR(IF(AND(AA95&gt;AB95,AA95&lt;AC95),"0",(VLOOKUP(AA95,'ELA Reading Logic'!$A$22:$B$48,2,FALSE))-(IF(VLOOKUP(AA95,'ELA Reading Logic'!$A$22:$B$48,2,FALSE)&lt;=VLOOKUP(AB95,'ELA Reading Logic'!$A$22:$B$48,2,FALSE),VLOOKUP(AB95,'ELA Reading Logic'!$A$22:$B$48,2,FALSE),IF(VLOOKUP(AA95,'ELA Reading Logic'!$A$22:$B$48,2,FALSE)&gt;=VLOOKUP(AC95,'ELA Reading Logic'!$A$22:$B$48,2,FALSE),VLOOKUP(AC95,'ELA Reading Logic'!$A$22:$B$48,2,FALSE),"No Score")))),"No Value"))</f>
        <v>No Value</v>
      </c>
      <c r="AE95" s="96" t="str">
        <f>IFERROR(VLOOKUP(AA95,'ELA Reading Logic'!$A$22:$B$48,2,FALSE)-VLOOKUP($F95,'ELA Reading Logic'!$A$22:$B$48,2,FALSE),"No Value")</f>
        <v>No Value</v>
      </c>
      <c r="AF95" s="92"/>
      <c r="AG95" s="96" t="str">
        <f>IFERROR(IF($E95="Yes","IPP",VLOOKUP($J95,'ELA Reading Logic'!$A$3:$K$9,VLOOKUP(AF$1,'ELA Reading Logic'!$J$22:$K$31,2,FALSE),FALSE)),"Set Grade")</f>
        <v>Set Grade</v>
      </c>
      <c r="AH95" s="96" t="str">
        <f>IFERROR(IF($E95="Yes","IPP",VLOOKUP($J95,'ELA Reading Logic'!$A$13:$K$19,VLOOKUP(AF$1,'ELA Reading Logic'!$J$22:$K$31,2,FALSE),FALSE)),"Set Grade")</f>
        <v>Set Grade</v>
      </c>
      <c r="AI95" s="96" t="str">
        <f>IF($E95="Yes","IPP",IFERROR(IF(AND(AF95&gt;AG95,AF95&lt;AH95),"0",(VLOOKUP(AF95,'ELA Reading Logic'!$A$22:$B$48,2,FALSE))-(IF(VLOOKUP(AF95,'ELA Reading Logic'!$A$22:$B$48,2,FALSE)&lt;=VLOOKUP(AG95,'ELA Reading Logic'!$A$22:$B$48,2,FALSE),VLOOKUP(AG95,'ELA Reading Logic'!$A$22:$B$48,2,FALSE),IF(VLOOKUP(AF95,'ELA Reading Logic'!$A$22:$B$48,2,FALSE)&gt;=VLOOKUP(AH95,'ELA Reading Logic'!$A$22:$B$48,2,FALSE),VLOOKUP(AH95,'ELA Reading Logic'!$A$22:$B$48,2,FALSE),"No Score")))),"No Value"))</f>
        <v>No Value</v>
      </c>
      <c r="AJ95" s="96" t="str">
        <f>IFERROR(VLOOKUP(AF95,'ELA Reading Logic'!$A$22:$B$48,2,FALSE)-VLOOKUP($F95,'ELA Reading Logic'!$A$22:$B$48,2,FALSE),"No Value")</f>
        <v>No Value</v>
      </c>
      <c r="AK95" s="92"/>
      <c r="AL95" s="96" t="str">
        <f>IFERROR(IF($E95="Yes","IPP",VLOOKUP($J95,'ELA Reading Logic'!$A$3:$K$9,VLOOKUP(AK$1,'ELA Reading Logic'!$J$22:$K$31,2,FALSE),FALSE)),"Set Grade")</f>
        <v>Set Grade</v>
      </c>
      <c r="AM95" s="96" t="str">
        <f>IFERROR(IF($E95="Yes","IPP",VLOOKUP($J95,'ELA Reading Logic'!$A$13:$K$19,VLOOKUP(AK$1,'ELA Reading Logic'!$J$22:$K$31,2,FALSE),FALSE)),"Set Grade")</f>
        <v>Set Grade</v>
      </c>
      <c r="AN95" s="96" t="str">
        <f>IF($E95="Yes","IPP",IFERROR(IF(AND(AK95&gt;AL95,AK95&lt;AM95),"0",(VLOOKUP(AK95,'ELA Reading Logic'!$A$22:$B$48,2,FALSE))-(IF(VLOOKUP(AK95,'ELA Reading Logic'!$A$22:$B$48,2,FALSE)&lt;=VLOOKUP(AL95,'ELA Reading Logic'!$A$22:$B$48,2,FALSE),VLOOKUP(AL95,'ELA Reading Logic'!$A$22:$B$48,2,FALSE),IF(VLOOKUP(AK95,'ELA Reading Logic'!$A$22:$B$48,2,FALSE)&gt;=VLOOKUP(AM95,'ELA Reading Logic'!$A$22:$B$48,2,FALSE),VLOOKUP(AM95,'ELA Reading Logic'!$A$22:$B$48,2,FALSE),"No Score")))),"No Value"))</f>
        <v>No Value</v>
      </c>
      <c r="AO95" s="96" t="str">
        <f>IFERROR(VLOOKUP(AK95,'ELA Reading Logic'!$A$22:$B$48,2,FALSE)-VLOOKUP($F95,'ELA Reading Logic'!$A$22:$B$48,2,FALSE),"No Value")</f>
        <v>No Value</v>
      </c>
      <c r="AP95" s="92"/>
      <c r="AQ95" s="96" t="str">
        <f>IFERROR(IF($E95="Yes","IPP",VLOOKUP($J95,'ELA Reading Logic'!$A$3:$K$9,VLOOKUP(AP$1,'ELA Reading Logic'!$J$22:$K$31,2,FALSE),FALSE)),"Set Grade")</f>
        <v>Set Grade</v>
      </c>
      <c r="AR95" s="96" t="str">
        <f>IFERROR(IF($E95="Yes","IPP",VLOOKUP($J95,'ELA Reading Logic'!$A$13:$K$19,VLOOKUP(AP$1,'ELA Reading Logic'!$J$22:$K$31,2,FALSE),FALSE)),"Set Grade")</f>
        <v>Set Grade</v>
      </c>
      <c r="AS95" s="96" t="str">
        <f>IF($E95="Yes","IPP",IFERROR(IF(AND(AP95&gt;AQ95,AP95&lt;AR95),"0",(VLOOKUP(AP95,'ELA Reading Logic'!$A$22:$B$48,2,FALSE))-(IF(VLOOKUP(AP95,'ELA Reading Logic'!$A$22:$B$48,2,FALSE)&lt;=VLOOKUP(AQ95,'ELA Reading Logic'!$A$22:$B$48,2,FALSE),VLOOKUP(AQ95,'ELA Reading Logic'!$A$22:$B$48,2,FALSE),IF(VLOOKUP(AP95,'ELA Reading Logic'!$A$22:$B$48,2,FALSE)&gt;=VLOOKUP(AR95,'ELA Reading Logic'!$A$22:$B$48,2,FALSE),VLOOKUP(AR95,'ELA Reading Logic'!$A$22:$B$48,2,FALSE),"No Score")))),"No Value"))</f>
        <v>No Value</v>
      </c>
      <c r="AT95" s="96" t="str">
        <f>IFERROR(VLOOKUP(AP95,'ELA Reading Logic'!$A$22:$B$48,2,FALSE)-VLOOKUP($F95,'ELA Reading Logic'!$A$22:$B$48,2,FALSE),"No Value")</f>
        <v>No Value</v>
      </c>
    </row>
    <row r="96" spans="1:46" ht="22.5" customHeight="1" x14ac:dyDescent="0.25">
      <c r="A96" s="176"/>
      <c r="B96" s="176"/>
      <c r="C96" s="176"/>
      <c r="D96" s="176"/>
      <c r="E96" s="175"/>
      <c r="F96" s="175"/>
      <c r="G96" s="177" t="str">
        <f>IFERROR(IF($E96="Yes","IPP",VLOOKUP($J96,'ELA Reading Logic'!$A$3:$K$9,VLOOKUP("September",'ELA Reading Logic'!$J$22:$K$31,2,FALSE),FALSE)),"Set Grade")</f>
        <v>Set Grade</v>
      </c>
      <c r="H96" s="177" t="str">
        <f>IFERROR(IF($E96="Yes","IPP",VLOOKUP($J96,'ELA Reading Logic'!$A$13:$K$19,VLOOKUP("September",'ELA Reading Logic'!$J$22:$K$31,2,FALSE),FALSE)),"Set Grade")</f>
        <v>Set Grade</v>
      </c>
      <c r="I96" s="96" t="str">
        <f>IF($E96="Yes","IPP",IFERROR(IF(AND(F96&gt;G96,F96&lt;H96),"0",(VLOOKUP(F96,'ELA Reading Logic'!$A$22:$B$48,2,FALSE))-(IF(VLOOKUP(F96,'ELA Reading Logic'!$A$22:$B$48,2,FALSE)&lt;=VLOOKUP(G96,'ELA Reading Logic'!$A$22:$B$48,2,FALSE),VLOOKUP(G96,'ELA Reading Logic'!$A$22:$B$48,2,FALSE),IF(VLOOKUP(F96,'ELA Reading Logic'!$A$22:$B$48,2,FALSE)&gt;=VLOOKUP(H96,'ELA Reading Logic'!$A$22:$B$48,2,FALSE),VLOOKUP(H96,'ELA Reading Logic'!$A$22:$B$48,2,FALSE),"No Score")))),"No Value"))</f>
        <v>No Value</v>
      </c>
      <c r="J96" s="178"/>
      <c r="K96" s="96"/>
      <c r="L96" s="96"/>
      <c r="M96" s="96"/>
      <c r="N96" s="96"/>
      <c r="O96" s="96"/>
      <c r="P96" s="105"/>
      <c r="Q96" s="92"/>
      <c r="R96" s="96" t="str">
        <f>IFERROR(IF($E96="Yes","IPP",VLOOKUP($J96,'ELA Reading Logic'!$A$3:$K$9,VLOOKUP(Q$1,'ELA Reading Logic'!$J$22:$K$31,2,FALSE),FALSE)),"Set Grade")</f>
        <v>Set Grade</v>
      </c>
      <c r="S96" s="96" t="str">
        <f>IFERROR(IF($E96="Yes","IPP",VLOOKUP($J96,'ELA Reading Logic'!$A$13:$K$19,VLOOKUP(Q$1,'ELA Reading Logic'!$J$22:$K$31,2,FALSE),FALSE)),"Set Grade")</f>
        <v>Set Grade</v>
      </c>
      <c r="T96" s="96" t="str">
        <f>IF($E96="Yes","IPP",IFERROR(IF(AND(Q96&gt;R96,Q96&lt;S96),"0",(VLOOKUP(Q96,'ELA Reading Logic'!$A$22:$B$48,2,FALSE))-(IF(VLOOKUP(Q96,'ELA Reading Logic'!$A$22:$B$48,2,FALSE)&lt;=VLOOKUP(R96,'ELA Reading Logic'!$A$22:$B$48,2,FALSE),VLOOKUP(R96,'ELA Reading Logic'!$A$22:$B$48,2,FALSE),IF(VLOOKUP(Q96,'ELA Reading Logic'!$A$22:$B$48,2,FALSE)&gt;=VLOOKUP(S96,'ELA Reading Logic'!$A$22:$B$48,2,FALSE),VLOOKUP(S96,'ELA Reading Logic'!$A$22:$B$48,2,FALSE),"No Score")))),"No Value"))</f>
        <v>No Value</v>
      </c>
      <c r="U96" s="96" t="str">
        <f>IFERROR(VLOOKUP(Q96,'ELA Reading Logic'!$A$22:$B$48,2,FALSE)-VLOOKUP($F96,'ELA Reading Logic'!$A$22:$B$48,2,FALSE),"No Value")</f>
        <v>No Value</v>
      </c>
      <c r="V96" s="92"/>
      <c r="W96" s="96" t="str">
        <f>IFERROR(IF($E96="Yes","IPP",VLOOKUP($J96,'ELA Reading Logic'!$A$3:$K$9,VLOOKUP(V$1,'ELA Reading Logic'!$J$22:$K$31,2,FALSE),FALSE)),"Set Grade")</f>
        <v>Set Grade</v>
      </c>
      <c r="X96" s="96" t="str">
        <f>IFERROR(IF($E96="Yes","IPP",VLOOKUP($J96,'ELA Reading Logic'!$A$13:$K$19,VLOOKUP(V$1,'ELA Reading Logic'!$J$22:$K$31,2,FALSE),FALSE)),"Set Grade")</f>
        <v>Set Grade</v>
      </c>
      <c r="Y96" s="96" t="str">
        <f>IF($E96="Yes","IPP",IFERROR(IF(AND(V96&gt;W96,V96&lt;X96),"0",(VLOOKUP(V96,'ELA Reading Logic'!$A$22:$B$48,2,FALSE))-(IF(VLOOKUP(V96,'ELA Reading Logic'!$A$22:$B$48,2,FALSE)&lt;=VLOOKUP(W96,'ELA Reading Logic'!$A$22:$B$48,2,FALSE),VLOOKUP(W96,'ELA Reading Logic'!$A$22:$B$48,2,FALSE),IF(VLOOKUP(V96,'ELA Reading Logic'!$A$22:$B$48,2,FALSE)&gt;=VLOOKUP(X96,'ELA Reading Logic'!$A$22:$B$48,2,FALSE),VLOOKUP(X96,'ELA Reading Logic'!$A$22:$B$48,2,FALSE),"No Score")))),"No Value"))</f>
        <v>No Value</v>
      </c>
      <c r="Z96" s="96" t="str">
        <f>IFERROR(VLOOKUP(V96,'ELA Reading Logic'!$A$22:$B$48,2,FALSE)-VLOOKUP($F96,'ELA Reading Logic'!$A$22:$B$48,2,FALSE),"No Value")</f>
        <v>No Value</v>
      </c>
      <c r="AA96" s="92"/>
      <c r="AB96" s="96" t="str">
        <f>IFERROR(IF($E96="Yes","IPP",VLOOKUP($J96,'ELA Reading Logic'!$A$3:$K$9,VLOOKUP(AA$1,'ELA Reading Logic'!$J$22:$K$31,2,FALSE),FALSE)),"Set Grade")</f>
        <v>Set Grade</v>
      </c>
      <c r="AC96" s="96" t="str">
        <f>IFERROR(IF($E96="Yes","IPP",VLOOKUP($J96,'ELA Reading Logic'!$A$13:$K$19,VLOOKUP(AA$1,'ELA Reading Logic'!$J$22:$K$31,2,FALSE),FALSE)),"Set Grade")</f>
        <v>Set Grade</v>
      </c>
      <c r="AD96" s="96" t="str">
        <f>IF($E96="Yes","IPP",IFERROR(IF(AND(AA96&gt;AB96,AA96&lt;AC96),"0",(VLOOKUP(AA96,'ELA Reading Logic'!$A$22:$B$48,2,FALSE))-(IF(VLOOKUP(AA96,'ELA Reading Logic'!$A$22:$B$48,2,FALSE)&lt;=VLOOKUP(AB96,'ELA Reading Logic'!$A$22:$B$48,2,FALSE),VLOOKUP(AB96,'ELA Reading Logic'!$A$22:$B$48,2,FALSE),IF(VLOOKUP(AA96,'ELA Reading Logic'!$A$22:$B$48,2,FALSE)&gt;=VLOOKUP(AC96,'ELA Reading Logic'!$A$22:$B$48,2,FALSE),VLOOKUP(AC96,'ELA Reading Logic'!$A$22:$B$48,2,FALSE),"No Score")))),"No Value"))</f>
        <v>No Value</v>
      </c>
      <c r="AE96" s="96" t="str">
        <f>IFERROR(VLOOKUP(AA96,'ELA Reading Logic'!$A$22:$B$48,2,FALSE)-VLOOKUP($F96,'ELA Reading Logic'!$A$22:$B$48,2,FALSE),"No Value")</f>
        <v>No Value</v>
      </c>
      <c r="AF96" s="92"/>
      <c r="AG96" s="96" t="str">
        <f>IFERROR(IF($E96="Yes","IPP",VLOOKUP($J96,'ELA Reading Logic'!$A$3:$K$9,VLOOKUP(AF$1,'ELA Reading Logic'!$J$22:$K$31,2,FALSE),FALSE)),"Set Grade")</f>
        <v>Set Grade</v>
      </c>
      <c r="AH96" s="96" t="str">
        <f>IFERROR(IF($E96="Yes","IPP",VLOOKUP($J96,'ELA Reading Logic'!$A$13:$K$19,VLOOKUP(AF$1,'ELA Reading Logic'!$J$22:$K$31,2,FALSE),FALSE)),"Set Grade")</f>
        <v>Set Grade</v>
      </c>
      <c r="AI96" s="96" t="str">
        <f>IF($E96="Yes","IPP",IFERROR(IF(AND(AF96&gt;AG96,AF96&lt;AH96),"0",(VLOOKUP(AF96,'ELA Reading Logic'!$A$22:$B$48,2,FALSE))-(IF(VLOOKUP(AF96,'ELA Reading Logic'!$A$22:$B$48,2,FALSE)&lt;=VLOOKUP(AG96,'ELA Reading Logic'!$A$22:$B$48,2,FALSE),VLOOKUP(AG96,'ELA Reading Logic'!$A$22:$B$48,2,FALSE),IF(VLOOKUP(AF96,'ELA Reading Logic'!$A$22:$B$48,2,FALSE)&gt;=VLOOKUP(AH96,'ELA Reading Logic'!$A$22:$B$48,2,FALSE),VLOOKUP(AH96,'ELA Reading Logic'!$A$22:$B$48,2,FALSE),"No Score")))),"No Value"))</f>
        <v>No Value</v>
      </c>
      <c r="AJ96" s="96" t="str">
        <f>IFERROR(VLOOKUP(AF96,'ELA Reading Logic'!$A$22:$B$48,2,FALSE)-VLOOKUP($F96,'ELA Reading Logic'!$A$22:$B$48,2,FALSE),"No Value")</f>
        <v>No Value</v>
      </c>
      <c r="AK96" s="92"/>
      <c r="AL96" s="96" t="str">
        <f>IFERROR(IF($E96="Yes","IPP",VLOOKUP($J96,'ELA Reading Logic'!$A$3:$K$9,VLOOKUP(AK$1,'ELA Reading Logic'!$J$22:$K$31,2,FALSE),FALSE)),"Set Grade")</f>
        <v>Set Grade</v>
      </c>
      <c r="AM96" s="96" t="str">
        <f>IFERROR(IF($E96="Yes","IPP",VLOOKUP($J96,'ELA Reading Logic'!$A$13:$K$19,VLOOKUP(AK$1,'ELA Reading Logic'!$J$22:$K$31,2,FALSE),FALSE)),"Set Grade")</f>
        <v>Set Grade</v>
      </c>
      <c r="AN96" s="96" t="str">
        <f>IF($E96="Yes","IPP",IFERROR(IF(AND(AK96&gt;AL96,AK96&lt;AM96),"0",(VLOOKUP(AK96,'ELA Reading Logic'!$A$22:$B$48,2,FALSE))-(IF(VLOOKUP(AK96,'ELA Reading Logic'!$A$22:$B$48,2,FALSE)&lt;=VLOOKUP(AL96,'ELA Reading Logic'!$A$22:$B$48,2,FALSE),VLOOKUP(AL96,'ELA Reading Logic'!$A$22:$B$48,2,FALSE),IF(VLOOKUP(AK96,'ELA Reading Logic'!$A$22:$B$48,2,FALSE)&gt;=VLOOKUP(AM96,'ELA Reading Logic'!$A$22:$B$48,2,FALSE),VLOOKUP(AM96,'ELA Reading Logic'!$A$22:$B$48,2,FALSE),"No Score")))),"No Value"))</f>
        <v>No Value</v>
      </c>
      <c r="AO96" s="96" t="str">
        <f>IFERROR(VLOOKUP(AK96,'ELA Reading Logic'!$A$22:$B$48,2,FALSE)-VLOOKUP($F96,'ELA Reading Logic'!$A$22:$B$48,2,FALSE),"No Value")</f>
        <v>No Value</v>
      </c>
      <c r="AP96" s="92"/>
      <c r="AQ96" s="96" t="str">
        <f>IFERROR(IF($E96="Yes","IPP",VLOOKUP($J96,'ELA Reading Logic'!$A$3:$K$9,VLOOKUP(AP$1,'ELA Reading Logic'!$J$22:$K$31,2,FALSE),FALSE)),"Set Grade")</f>
        <v>Set Grade</v>
      </c>
      <c r="AR96" s="96" t="str">
        <f>IFERROR(IF($E96="Yes","IPP",VLOOKUP($J96,'ELA Reading Logic'!$A$13:$K$19,VLOOKUP(AP$1,'ELA Reading Logic'!$J$22:$K$31,2,FALSE),FALSE)),"Set Grade")</f>
        <v>Set Grade</v>
      </c>
      <c r="AS96" s="96" t="str">
        <f>IF($E96="Yes","IPP",IFERROR(IF(AND(AP96&gt;AQ96,AP96&lt;AR96),"0",(VLOOKUP(AP96,'ELA Reading Logic'!$A$22:$B$48,2,FALSE))-(IF(VLOOKUP(AP96,'ELA Reading Logic'!$A$22:$B$48,2,FALSE)&lt;=VLOOKUP(AQ96,'ELA Reading Logic'!$A$22:$B$48,2,FALSE),VLOOKUP(AQ96,'ELA Reading Logic'!$A$22:$B$48,2,FALSE),IF(VLOOKUP(AP96,'ELA Reading Logic'!$A$22:$B$48,2,FALSE)&gt;=VLOOKUP(AR96,'ELA Reading Logic'!$A$22:$B$48,2,FALSE),VLOOKUP(AR96,'ELA Reading Logic'!$A$22:$B$48,2,FALSE),"No Score")))),"No Value"))</f>
        <v>No Value</v>
      </c>
      <c r="AT96" s="96" t="str">
        <f>IFERROR(VLOOKUP(AP96,'ELA Reading Logic'!$A$22:$B$48,2,FALSE)-VLOOKUP($F96,'ELA Reading Logic'!$A$22:$B$48,2,FALSE),"No Value")</f>
        <v>No Value</v>
      </c>
    </row>
    <row r="97" spans="1:46" ht="22.5" customHeight="1" x14ac:dyDescent="0.25">
      <c r="A97" s="174"/>
      <c r="B97" s="174"/>
      <c r="C97" s="174"/>
      <c r="D97" s="174"/>
      <c r="E97" s="175"/>
      <c r="F97" s="175"/>
      <c r="G97" s="177" t="str">
        <f>IFERROR(IF($E97="Yes","IPP",VLOOKUP($J97,'ELA Reading Logic'!$A$3:$K$9,VLOOKUP("September",'ELA Reading Logic'!$J$22:$K$31,2,FALSE),FALSE)),"Set Grade")</f>
        <v>Set Grade</v>
      </c>
      <c r="H97" s="177" t="str">
        <f>IFERROR(IF($E97="Yes","IPP",VLOOKUP($J97,'ELA Reading Logic'!$A$13:$K$19,VLOOKUP("September",'ELA Reading Logic'!$J$22:$K$31,2,FALSE),FALSE)),"Set Grade")</f>
        <v>Set Grade</v>
      </c>
      <c r="I97" s="96" t="str">
        <f>IF($E97="Yes","IPP",IFERROR(IF(AND(F97&gt;G97,F97&lt;H97),"0",(VLOOKUP(F97,'ELA Reading Logic'!$A$22:$B$48,2,FALSE))-(IF(VLOOKUP(F97,'ELA Reading Logic'!$A$22:$B$48,2,FALSE)&lt;=VLOOKUP(G97,'ELA Reading Logic'!$A$22:$B$48,2,FALSE),VLOOKUP(G97,'ELA Reading Logic'!$A$22:$B$48,2,FALSE),IF(VLOOKUP(F97,'ELA Reading Logic'!$A$22:$B$48,2,FALSE)&gt;=VLOOKUP(H97,'ELA Reading Logic'!$A$22:$B$48,2,FALSE),VLOOKUP(H97,'ELA Reading Logic'!$A$22:$B$48,2,FALSE),"No Score")))),"No Value"))</f>
        <v>No Value</v>
      </c>
      <c r="J97" s="178"/>
      <c r="K97" s="96"/>
      <c r="L97" s="96"/>
      <c r="M97" s="96"/>
      <c r="N97" s="96"/>
      <c r="O97" s="96"/>
      <c r="P97" s="105"/>
      <c r="Q97" s="92"/>
      <c r="R97" s="96" t="str">
        <f>IFERROR(IF($E97="Yes","IPP",VLOOKUP($J97,'ELA Reading Logic'!$A$3:$K$9,VLOOKUP(Q$1,'ELA Reading Logic'!$J$22:$K$31,2,FALSE),FALSE)),"Set Grade")</f>
        <v>Set Grade</v>
      </c>
      <c r="S97" s="96" t="str">
        <f>IFERROR(IF($E97="Yes","IPP",VLOOKUP($J97,'ELA Reading Logic'!$A$13:$K$19,VLOOKUP(Q$1,'ELA Reading Logic'!$J$22:$K$31,2,FALSE),FALSE)),"Set Grade")</f>
        <v>Set Grade</v>
      </c>
      <c r="T97" s="96" t="str">
        <f>IF($E97="Yes","IPP",IFERROR(IF(AND(Q97&gt;R97,Q97&lt;S97),"0",(VLOOKUP(Q97,'ELA Reading Logic'!$A$22:$B$48,2,FALSE))-(IF(VLOOKUP(Q97,'ELA Reading Logic'!$A$22:$B$48,2,FALSE)&lt;=VLOOKUP(R97,'ELA Reading Logic'!$A$22:$B$48,2,FALSE),VLOOKUP(R97,'ELA Reading Logic'!$A$22:$B$48,2,FALSE),IF(VLOOKUP(Q97,'ELA Reading Logic'!$A$22:$B$48,2,FALSE)&gt;=VLOOKUP(S97,'ELA Reading Logic'!$A$22:$B$48,2,FALSE),VLOOKUP(S97,'ELA Reading Logic'!$A$22:$B$48,2,FALSE),"No Score")))),"No Value"))</f>
        <v>No Value</v>
      </c>
      <c r="U97" s="96" t="str">
        <f>IFERROR(VLOOKUP(Q97,'ELA Reading Logic'!$A$22:$B$48,2,FALSE)-VLOOKUP($F97,'ELA Reading Logic'!$A$22:$B$48,2,FALSE),"No Value")</f>
        <v>No Value</v>
      </c>
      <c r="V97" s="92"/>
      <c r="W97" s="96" t="str">
        <f>IFERROR(IF($E97="Yes","IPP",VLOOKUP($J97,'ELA Reading Logic'!$A$3:$K$9,VLOOKUP(V$1,'ELA Reading Logic'!$J$22:$K$31,2,FALSE),FALSE)),"Set Grade")</f>
        <v>Set Grade</v>
      </c>
      <c r="X97" s="96" t="str">
        <f>IFERROR(IF($E97="Yes","IPP",VLOOKUP($J97,'ELA Reading Logic'!$A$13:$K$19,VLOOKUP(V$1,'ELA Reading Logic'!$J$22:$K$31,2,FALSE),FALSE)),"Set Grade")</f>
        <v>Set Grade</v>
      </c>
      <c r="Y97" s="96" t="str">
        <f>IF($E97="Yes","IPP",IFERROR(IF(AND(V97&gt;W97,V97&lt;X97),"0",(VLOOKUP(V97,'ELA Reading Logic'!$A$22:$B$48,2,FALSE))-(IF(VLOOKUP(V97,'ELA Reading Logic'!$A$22:$B$48,2,FALSE)&lt;=VLOOKUP(W97,'ELA Reading Logic'!$A$22:$B$48,2,FALSE),VLOOKUP(W97,'ELA Reading Logic'!$A$22:$B$48,2,FALSE),IF(VLOOKUP(V97,'ELA Reading Logic'!$A$22:$B$48,2,FALSE)&gt;=VLOOKUP(X97,'ELA Reading Logic'!$A$22:$B$48,2,FALSE),VLOOKUP(X97,'ELA Reading Logic'!$A$22:$B$48,2,FALSE),"No Score")))),"No Value"))</f>
        <v>No Value</v>
      </c>
      <c r="Z97" s="96" t="str">
        <f>IFERROR(VLOOKUP(V97,'ELA Reading Logic'!$A$22:$B$48,2,FALSE)-VLOOKUP($F97,'ELA Reading Logic'!$A$22:$B$48,2,FALSE),"No Value")</f>
        <v>No Value</v>
      </c>
      <c r="AA97" s="92"/>
      <c r="AB97" s="96" t="str">
        <f>IFERROR(IF($E97="Yes","IPP",VLOOKUP($J97,'ELA Reading Logic'!$A$3:$K$9,VLOOKUP(AA$1,'ELA Reading Logic'!$J$22:$K$31,2,FALSE),FALSE)),"Set Grade")</f>
        <v>Set Grade</v>
      </c>
      <c r="AC97" s="96" t="str">
        <f>IFERROR(IF($E97="Yes","IPP",VLOOKUP($J97,'ELA Reading Logic'!$A$13:$K$19,VLOOKUP(AA$1,'ELA Reading Logic'!$J$22:$K$31,2,FALSE),FALSE)),"Set Grade")</f>
        <v>Set Grade</v>
      </c>
      <c r="AD97" s="96" t="str">
        <f>IF($E97="Yes","IPP",IFERROR(IF(AND(AA97&gt;AB97,AA97&lt;AC97),"0",(VLOOKUP(AA97,'ELA Reading Logic'!$A$22:$B$48,2,FALSE))-(IF(VLOOKUP(AA97,'ELA Reading Logic'!$A$22:$B$48,2,FALSE)&lt;=VLOOKUP(AB97,'ELA Reading Logic'!$A$22:$B$48,2,FALSE),VLOOKUP(AB97,'ELA Reading Logic'!$A$22:$B$48,2,FALSE),IF(VLOOKUP(AA97,'ELA Reading Logic'!$A$22:$B$48,2,FALSE)&gt;=VLOOKUP(AC97,'ELA Reading Logic'!$A$22:$B$48,2,FALSE),VLOOKUP(AC97,'ELA Reading Logic'!$A$22:$B$48,2,FALSE),"No Score")))),"No Value"))</f>
        <v>No Value</v>
      </c>
      <c r="AE97" s="96" t="str">
        <f>IFERROR(VLOOKUP(AA97,'ELA Reading Logic'!$A$22:$B$48,2,FALSE)-VLOOKUP($F97,'ELA Reading Logic'!$A$22:$B$48,2,FALSE),"No Value")</f>
        <v>No Value</v>
      </c>
      <c r="AF97" s="92"/>
      <c r="AG97" s="96" t="str">
        <f>IFERROR(IF($E97="Yes","IPP",VLOOKUP($J97,'ELA Reading Logic'!$A$3:$K$9,VLOOKUP(AF$1,'ELA Reading Logic'!$J$22:$K$31,2,FALSE),FALSE)),"Set Grade")</f>
        <v>Set Grade</v>
      </c>
      <c r="AH97" s="96" t="str">
        <f>IFERROR(IF($E97="Yes","IPP",VLOOKUP($J97,'ELA Reading Logic'!$A$13:$K$19,VLOOKUP(AF$1,'ELA Reading Logic'!$J$22:$K$31,2,FALSE),FALSE)),"Set Grade")</f>
        <v>Set Grade</v>
      </c>
      <c r="AI97" s="96" t="str">
        <f>IF($E97="Yes","IPP",IFERROR(IF(AND(AF97&gt;AG97,AF97&lt;AH97),"0",(VLOOKUP(AF97,'ELA Reading Logic'!$A$22:$B$48,2,FALSE))-(IF(VLOOKUP(AF97,'ELA Reading Logic'!$A$22:$B$48,2,FALSE)&lt;=VLOOKUP(AG97,'ELA Reading Logic'!$A$22:$B$48,2,FALSE),VLOOKUP(AG97,'ELA Reading Logic'!$A$22:$B$48,2,FALSE),IF(VLOOKUP(AF97,'ELA Reading Logic'!$A$22:$B$48,2,FALSE)&gt;=VLOOKUP(AH97,'ELA Reading Logic'!$A$22:$B$48,2,FALSE),VLOOKUP(AH97,'ELA Reading Logic'!$A$22:$B$48,2,FALSE),"No Score")))),"No Value"))</f>
        <v>No Value</v>
      </c>
      <c r="AJ97" s="96" t="str">
        <f>IFERROR(VLOOKUP(AF97,'ELA Reading Logic'!$A$22:$B$48,2,FALSE)-VLOOKUP($F97,'ELA Reading Logic'!$A$22:$B$48,2,FALSE),"No Value")</f>
        <v>No Value</v>
      </c>
      <c r="AK97" s="92"/>
      <c r="AL97" s="96" t="str">
        <f>IFERROR(IF($E97="Yes","IPP",VLOOKUP($J97,'ELA Reading Logic'!$A$3:$K$9,VLOOKUP(AK$1,'ELA Reading Logic'!$J$22:$K$31,2,FALSE),FALSE)),"Set Grade")</f>
        <v>Set Grade</v>
      </c>
      <c r="AM97" s="96" t="str">
        <f>IFERROR(IF($E97="Yes","IPP",VLOOKUP($J97,'ELA Reading Logic'!$A$13:$K$19,VLOOKUP(AK$1,'ELA Reading Logic'!$J$22:$K$31,2,FALSE),FALSE)),"Set Grade")</f>
        <v>Set Grade</v>
      </c>
      <c r="AN97" s="96" t="str">
        <f>IF($E97="Yes","IPP",IFERROR(IF(AND(AK97&gt;AL97,AK97&lt;AM97),"0",(VLOOKUP(AK97,'ELA Reading Logic'!$A$22:$B$48,2,FALSE))-(IF(VLOOKUP(AK97,'ELA Reading Logic'!$A$22:$B$48,2,FALSE)&lt;=VLOOKUP(AL97,'ELA Reading Logic'!$A$22:$B$48,2,FALSE),VLOOKUP(AL97,'ELA Reading Logic'!$A$22:$B$48,2,FALSE),IF(VLOOKUP(AK97,'ELA Reading Logic'!$A$22:$B$48,2,FALSE)&gt;=VLOOKUP(AM97,'ELA Reading Logic'!$A$22:$B$48,2,FALSE),VLOOKUP(AM97,'ELA Reading Logic'!$A$22:$B$48,2,FALSE),"No Score")))),"No Value"))</f>
        <v>No Value</v>
      </c>
      <c r="AO97" s="96" t="str">
        <f>IFERROR(VLOOKUP(AK97,'ELA Reading Logic'!$A$22:$B$48,2,FALSE)-VLOOKUP($F97,'ELA Reading Logic'!$A$22:$B$48,2,FALSE),"No Value")</f>
        <v>No Value</v>
      </c>
      <c r="AP97" s="92"/>
      <c r="AQ97" s="96" t="str">
        <f>IFERROR(IF($E97="Yes","IPP",VLOOKUP($J97,'ELA Reading Logic'!$A$3:$K$9,VLOOKUP(AP$1,'ELA Reading Logic'!$J$22:$K$31,2,FALSE),FALSE)),"Set Grade")</f>
        <v>Set Grade</v>
      </c>
      <c r="AR97" s="96" t="str">
        <f>IFERROR(IF($E97="Yes","IPP",VLOOKUP($J97,'ELA Reading Logic'!$A$13:$K$19,VLOOKUP(AP$1,'ELA Reading Logic'!$J$22:$K$31,2,FALSE),FALSE)),"Set Grade")</f>
        <v>Set Grade</v>
      </c>
      <c r="AS97" s="96" t="str">
        <f>IF($E97="Yes","IPP",IFERROR(IF(AND(AP97&gt;AQ97,AP97&lt;AR97),"0",(VLOOKUP(AP97,'ELA Reading Logic'!$A$22:$B$48,2,FALSE))-(IF(VLOOKUP(AP97,'ELA Reading Logic'!$A$22:$B$48,2,FALSE)&lt;=VLOOKUP(AQ97,'ELA Reading Logic'!$A$22:$B$48,2,FALSE),VLOOKUP(AQ97,'ELA Reading Logic'!$A$22:$B$48,2,FALSE),IF(VLOOKUP(AP97,'ELA Reading Logic'!$A$22:$B$48,2,FALSE)&gt;=VLOOKUP(AR97,'ELA Reading Logic'!$A$22:$B$48,2,FALSE),VLOOKUP(AR97,'ELA Reading Logic'!$A$22:$B$48,2,FALSE),"No Score")))),"No Value"))</f>
        <v>No Value</v>
      </c>
      <c r="AT97" s="96" t="str">
        <f>IFERROR(VLOOKUP(AP97,'ELA Reading Logic'!$A$22:$B$48,2,FALSE)-VLOOKUP($F97,'ELA Reading Logic'!$A$22:$B$48,2,FALSE),"No Value")</f>
        <v>No Value</v>
      </c>
    </row>
    <row r="98" spans="1:46" ht="22.5" customHeight="1" x14ac:dyDescent="0.25">
      <c r="A98" s="176"/>
      <c r="B98" s="176"/>
      <c r="C98" s="176"/>
      <c r="D98" s="176"/>
      <c r="E98" s="175"/>
      <c r="F98" s="175"/>
      <c r="G98" s="177" t="str">
        <f>IFERROR(IF($E98="Yes","IPP",VLOOKUP($J98,'ELA Reading Logic'!$A$3:$K$9,VLOOKUP("September",'ELA Reading Logic'!$J$22:$K$31,2,FALSE),FALSE)),"Set Grade")</f>
        <v>Set Grade</v>
      </c>
      <c r="H98" s="177" t="str">
        <f>IFERROR(IF($E98="Yes","IPP",VLOOKUP($J98,'ELA Reading Logic'!$A$13:$K$19,VLOOKUP("September",'ELA Reading Logic'!$J$22:$K$31,2,FALSE),FALSE)),"Set Grade")</f>
        <v>Set Grade</v>
      </c>
      <c r="I98" s="96" t="str">
        <f>IF($E98="Yes","IPP",IFERROR(IF(AND(F98&gt;G98,F98&lt;H98),"0",(VLOOKUP(F98,'ELA Reading Logic'!$A$22:$B$48,2,FALSE))-(IF(VLOOKUP(F98,'ELA Reading Logic'!$A$22:$B$48,2,FALSE)&lt;=VLOOKUP(G98,'ELA Reading Logic'!$A$22:$B$48,2,FALSE),VLOOKUP(G98,'ELA Reading Logic'!$A$22:$B$48,2,FALSE),IF(VLOOKUP(F98,'ELA Reading Logic'!$A$22:$B$48,2,FALSE)&gt;=VLOOKUP(H98,'ELA Reading Logic'!$A$22:$B$48,2,FALSE),VLOOKUP(H98,'ELA Reading Logic'!$A$22:$B$48,2,FALSE),"No Score")))),"No Value"))</f>
        <v>No Value</v>
      </c>
      <c r="J98" s="178"/>
      <c r="K98" s="96"/>
      <c r="L98" s="96"/>
      <c r="M98" s="96"/>
      <c r="N98" s="96"/>
      <c r="O98" s="96"/>
      <c r="P98" s="105"/>
      <c r="Q98" s="92"/>
      <c r="R98" s="96" t="str">
        <f>IFERROR(IF($E98="Yes","IPP",VLOOKUP($J98,'ELA Reading Logic'!$A$3:$K$9,VLOOKUP(Q$1,'ELA Reading Logic'!$J$22:$K$31,2,FALSE),FALSE)),"Set Grade")</f>
        <v>Set Grade</v>
      </c>
      <c r="S98" s="96" t="str">
        <f>IFERROR(IF($E98="Yes","IPP",VLOOKUP($J98,'ELA Reading Logic'!$A$13:$K$19,VLOOKUP(Q$1,'ELA Reading Logic'!$J$22:$K$31,2,FALSE),FALSE)),"Set Grade")</f>
        <v>Set Grade</v>
      </c>
      <c r="T98" s="96" t="str">
        <f>IF($E98="Yes","IPP",IFERROR(IF(AND(Q98&gt;R98,Q98&lt;S98),"0",(VLOOKUP(Q98,'ELA Reading Logic'!$A$22:$B$48,2,FALSE))-(IF(VLOOKUP(Q98,'ELA Reading Logic'!$A$22:$B$48,2,FALSE)&lt;=VLOOKUP(R98,'ELA Reading Logic'!$A$22:$B$48,2,FALSE),VLOOKUP(R98,'ELA Reading Logic'!$A$22:$B$48,2,FALSE),IF(VLOOKUP(Q98,'ELA Reading Logic'!$A$22:$B$48,2,FALSE)&gt;=VLOOKUP(S98,'ELA Reading Logic'!$A$22:$B$48,2,FALSE),VLOOKUP(S98,'ELA Reading Logic'!$A$22:$B$48,2,FALSE),"No Score")))),"No Value"))</f>
        <v>No Value</v>
      </c>
      <c r="U98" s="96" t="str">
        <f>IFERROR(VLOOKUP(Q98,'ELA Reading Logic'!$A$22:$B$48,2,FALSE)-VLOOKUP($F98,'ELA Reading Logic'!$A$22:$B$48,2,FALSE),"No Value")</f>
        <v>No Value</v>
      </c>
      <c r="V98" s="92"/>
      <c r="W98" s="96" t="str">
        <f>IFERROR(IF($E98="Yes","IPP",VLOOKUP($J98,'ELA Reading Logic'!$A$3:$K$9,VLOOKUP(V$1,'ELA Reading Logic'!$J$22:$K$31,2,FALSE),FALSE)),"Set Grade")</f>
        <v>Set Grade</v>
      </c>
      <c r="X98" s="96" t="str">
        <f>IFERROR(IF($E98="Yes","IPP",VLOOKUP($J98,'ELA Reading Logic'!$A$13:$K$19,VLOOKUP(V$1,'ELA Reading Logic'!$J$22:$K$31,2,FALSE),FALSE)),"Set Grade")</f>
        <v>Set Grade</v>
      </c>
      <c r="Y98" s="96" t="str">
        <f>IF($E98="Yes","IPP",IFERROR(IF(AND(V98&gt;W98,V98&lt;X98),"0",(VLOOKUP(V98,'ELA Reading Logic'!$A$22:$B$48,2,FALSE))-(IF(VLOOKUP(V98,'ELA Reading Logic'!$A$22:$B$48,2,FALSE)&lt;=VLOOKUP(W98,'ELA Reading Logic'!$A$22:$B$48,2,FALSE),VLOOKUP(W98,'ELA Reading Logic'!$A$22:$B$48,2,FALSE),IF(VLOOKUP(V98,'ELA Reading Logic'!$A$22:$B$48,2,FALSE)&gt;=VLOOKUP(X98,'ELA Reading Logic'!$A$22:$B$48,2,FALSE),VLOOKUP(X98,'ELA Reading Logic'!$A$22:$B$48,2,FALSE),"No Score")))),"No Value"))</f>
        <v>No Value</v>
      </c>
      <c r="Z98" s="96" t="str">
        <f>IFERROR(VLOOKUP(V98,'ELA Reading Logic'!$A$22:$B$48,2,FALSE)-VLOOKUP($F98,'ELA Reading Logic'!$A$22:$B$48,2,FALSE),"No Value")</f>
        <v>No Value</v>
      </c>
      <c r="AA98" s="92"/>
      <c r="AB98" s="96" t="str">
        <f>IFERROR(IF($E98="Yes","IPP",VLOOKUP($J98,'ELA Reading Logic'!$A$3:$K$9,VLOOKUP(AA$1,'ELA Reading Logic'!$J$22:$K$31,2,FALSE),FALSE)),"Set Grade")</f>
        <v>Set Grade</v>
      </c>
      <c r="AC98" s="96" t="str">
        <f>IFERROR(IF($E98="Yes","IPP",VLOOKUP($J98,'ELA Reading Logic'!$A$13:$K$19,VLOOKUP(AA$1,'ELA Reading Logic'!$J$22:$K$31,2,FALSE),FALSE)),"Set Grade")</f>
        <v>Set Grade</v>
      </c>
      <c r="AD98" s="96" t="str">
        <f>IF($E98="Yes","IPP",IFERROR(IF(AND(AA98&gt;AB98,AA98&lt;AC98),"0",(VLOOKUP(AA98,'ELA Reading Logic'!$A$22:$B$48,2,FALSE))-(IF(VLOOKUP(AA98,'ELA Reading Logic'!$A$22:$B$48,2,FALSE)&lt;=VLOOKUP(AB98,'ELA Reading Logic'!$A$22:$B$48,2,FALSE),VLOOKUP(AB98,'ELA Reading Logic'!$A$22:$B$48,2,FALSE),IF(VLOOKUP(AA98,'ELA Reading Logic'!$A$22:$B$48,2,FALSE)&gt;=VLOOKUP(AC98,'ELA Reading Logic'!$A$22:$B$48,2,FALSE),VLOOKUP(AC98,'ELA Reading Logic'!$A$22:$B$48,2,FALSE),"No Score")))),"No Value"))</f>
        <v>No Value</v>
      </c>
      <c r="AE98" s="96" t="str">
        <f>IFERROR(VLOOKUP(AA98,'ELA Reading Logic'!$A$22:$B$48,2,FALSE)-VLOOKUP($F98,'ELA Reading Logic'!$A$22:$B$48,2,FALSE),"No Value")</f>
        <v>No Value</v>
      </c>
      <c r="AF98" s="92"/>
      <c r="AG98" s="96" t="str">
        <f>IFERROR(IF($E98="Yes","IPP",VLOOKUP($J98,'ELA Reading Logic'!$A$3:$K$9,VLOOKUP(AF$1,'ELA Reading Logic'!$J$22:$K$31,2,FALSE),FALSE)),"Set Grade")</f>
        <v>Set Grade</v>
      </c>
      <c r="AH98" s="96" t="str">
        <f>IFERROR(IF($E98="Yes","IPP",VLOOKUP($J98,'ELA Reading Logic'!$A$13:$K$19,VLOOKUP(AF$1,'ELA Reading Logic'!$J$22:$K$31,2,FALSE),FALSE)),"Set Grade")</f>
        <v>Set Grade</v>
      </c>
      <c r="AI98" s="96" t="str">
        <f>IF($E98="Yes","IPP",IFERROR(IF(AND(AF98&gt;AG98,AF98&lt;AH98),"0",(VLOOKUP(AF98,'ELA Reading Logic'!$A$22:$B$48,2,FALSE))-(IF(VLOOKUP(AF98,'ELA Reading Logic'!$A$22:$B$48,2,FALSE)&lt;=VLOOKUP(AG98,'ELA Reading Logic'!$A$22:$B$48,2,FALSE),VLOOKUP(AG98,'ELA Reading Logic'!$A$22:$B$48,2,FALSE),IF(VLOOKUP(AF98,'ELA Reading Logic'!$A$22:$B$48,2,FALSE)&gt;=VLOOKUP(AH98,'ELA Reading Logic'!$A$22:$B$48,2,FALSE),VLOOKUP(AH98,'ELA Reading Logic'!$A$22:$B$48,2,FALSE),"No Score")))),"No Value"))</f>
        <v>No Value</v>
      </c>
      <c r="AJ98" s="96" t="str">
        <f>IFERROR(VLOOKUP(AF98,'ELA Reading Logic'!$A$22:$B$48,2,FALSE)-VLOOKUP($F98,'ELA Reading Logic'!$A$22:$B$48,2,FALSE),"No Value")</f>
        <v>No Value</v>
      </c>
      <c r="AK98" s="92"/>
      <c r="AL98" s="96" t="str">
        <f>IFERROR(IF($E98="Yes","IPP",VLOOKUP($J98,'ELA Reading Logic'!$A$3:$K$9,VLOOKUP(AK$1,'ELA Reading Logic'!$J$22:$K$31,2,FALSE),FALSE)),"Set Grade")</f>
        <v>Set Grade</v>
      </c>
      <c r="AM98" s="96" t="str">
        <f>IFERROR(IF($E98="Yes","IPP",VLOOKUP($J98,'ELA Reading Logic'!$A$13:$K$19,VLOOKUP(AK$1,'ELA Reading Logic'!$J$22:$K$31,2,FALSE),FALSE)),"Set Grade")</f>
        <v>Set Grade</v>
      </c>
      <c r="AN98" s="96" t="str">
        <f>IF($E98="Yes","IPP",IFERROR(IF(AND(AK98&gt;AL98,AK98&lt;AM98),"0",(VLOOKUP(AK98,'ELA Reading Logic'!$A$22:$B$48,2,FALSE))-(IF(VLOOKUP(AK98,'ELA Reading Logic'!$A$22:$B$48,2,FALSE)&lt;=VLOOKUP(AL98,'ELA Reading Logic'!$A$22:$B$48,2,FALSE),VLOOKUP(AL98,'ELA Reading Logic'!$A$22:$B$48,2,FALSE),IF(VLOOKUP(AK98,'ELA Reading Logic'!$A$22:$B$48,2,FALSE)&gt;=VLOOKUP(AM98,'ELA Reading Logic'!$A$22:$B$48,2,FALSE),VLOOKUP(AM98,'ELA Reading Logic'!$A$22:$B$48,2,FALSE),"No Score")))),"No Value"))</f>
        <v>No Value</v>
      </c>
      <c r="AO98" s="96" t="str">
        <f>IFERROR(VLOOKUP(AK98,'ELA Reading Logic'!$A$22:$B$48,2,FALSE)-VLOOKUP($F98,'ELA Reading Logic'!$A$22:$B$48,2,FALSE),"No Value")</f>
        <v>No Value</v>
      </c>
      <c r="AP98" s="92"/>
      <c r="AQ98" s="96" t="str">
        <f>IFERROR(IF($E98="Yes","IPP",VLOOKUP($J98,'ELA Reading Logic'!$A$3:$K$9,VLOOKUP(AP$1,'ELA Reading Logic'!$J$22:$K$31,2,FALSE),FALSE)),"Set Grade")</f>
        <v>Set Grade</v>
      </c>
      <c r="AR98" s="96" t="str">
        <f>IFERROR(IF($E98="Yes","IPP",VLOOKUP($J98,'ELA Reading Logic'!$A$13:$K$19,VLOOKUP(AP$1,'ELA Reading Logic'!$J$22:$K$31,2,FALSE),FALSE)),"Set Grade")</f>
        <v>Set Grade</v>
      </c>
      <c r="AS98" s="96" t="str">
        <f>IF($E98="Yes","IPP",IFERROR(IF(AND(AP98&gt;AQ98,AP98&lt;AR98),"0",(VLOOKUP(AP98,'ELA Reading Logic'!$A$22:$B$48,2,FALSE))-(IF(VLOOKUP(AP98,'ELA Reading Logic'!$A$22:$B$48,2,FALSE)&lt;=VLOOKUP(AQ98,'ELA Reading Logic'!$A$22:$B$48,2,FALSE),VLOOKUP(AQ98,'ELA Reading Logic'!$A$22:$B$48,2,FALSE),IF(VLOOKUP(AP98,'ELA Reading Logic'!$A$22:$B$48,2,FALSE)&gt;=VLOOKUP(AR98,'ELA Reading Logic'!$A$22:$B$48,2,FALSE),VLOOKUP(AR98,'ELA Reading Logic'!$A$22:$B$48,2,FALSE),"No Score")))),"No Value"))</f>
        <v>No Value</v>
      </c>
      <c r="AT98" s="96" t="str">
        <f>IFERROR(VLOOKUP(AP98,'ELA Reading Logic'!$A$22:$B$48,2,FALSE)-VLOOKUP($F98,'ELA Reading Logic'!$A$22:$B$48,2,FALSE),"No Value")</f>
        <v>No Value</v>
      </c>
    </row>
    <row r="99" spans="1:46" ht="22.5" customHeight="1" x14ac:dyDescent="0.25">
      <c r="A99" s="174"/>
      <c r="B99" s="174"/>
      <c r="C99" s="174"/>
      <c r="D99" s="174"/>
      <c r="E99" s="175"/>
      <c r="F99" s="175"/>
      <c r="G99" s="177" t="str">
        <f>IFERROR(IF($E99="Yes","IPP",VLOOKUP($J99,'ELA Reading Logic'!$A$3:$K$9,VLOOKUP("September",'ELA Reading Logic'!$J$22:$K$31,2,FALSE),FALSE)),"Set Grade")</f>
        <v>Set Grade</v>
      </c>
      <c r="H99" s="177" t="str">
        <f>IFERROR(IF($E99="Yes","IPP",VLOOKUP($J99,'ELA Reading Logic'!$A$13:$K$19,VLOOKUP("September",'ELA Reading Logic'!$J$22:$K$31,2,FALSE),FALSE)),"Set Grade")</f>
        <v>Set Grade</v>
      </c>
      <c r="I99" s="96" t="str">
        <f>IF($E99="Yes","IPP",IFERROR(IF(AND(F99&gt;G99,F99&lt;H99),"0",(VLOOKUP(F99,'ELA Reading Logic'!$A$22:$B$48,2,FALSE))-(IF(VLOOKUP(F99,'ELA Reading Logic'!$A$22:$B$48,2,FALSE)&lt;=VLOOKUP(G99,'ELA Reading Logic'!$A$22:$B$48,2,FALSE),VLOOKUP(G99,'ELA Reading Logic'!$A$22:$B$48,2,FALSE),IF(VLOOKUP(F99,'ELA Reading Logic'!$A$22:$B$48,2,FALSE)&gt;=VLOOKUP(H99,'ELA Reading Logic'!$A$22:$B$48,2,FALSE),VLOOKUP(H99,'ELA Reading Logic'!$A$22:$B$48,2,FALSE),"No Score")))),"No Value"))</f>
        <v>No Value</v>
      </c>
      <c r="J99" s="178"/>
      <c r="K99" s="96"/>
      <c r="L99" s="96"/>
      <c r="M99" s="96"/>
      <c r="N99" s="96"/>
      <c r="O99" s="96"/>
      <c r="P99" s="105"/>
      <c r="Q99" s="92"/>
      <c r="R99" s="96" t="str">
        <f>IFERROR(IF($E99="Yes","IPP",VLOOKUP($J99,'ELA Reading Logic'!$A$3:$K$9,VLOOKUP(Q$1,'ELA Reading Logic'!$J$22:$K$31,2,FALSE),FALSE)),"Set Grade")</f>
        <v>Set Grade</v>
      </c>
      <c r="S99" s="96" t="str">
        <f>IFERROR(IF($E99="Yes","IPP",VLOOKUP($J99,'ELA Reading Logic'!$A$13:$K$19,VLOOKUP(Q$1,'ELA Reading Logic'!$J$22:$K$31,2,FALSE),FALSE)),"Set Grade")</f>
        <v>Set Grade</v>
      </c>
      <c r="T99" s="96" t="str">
        <f>IF($E99="Yes","IPP",IFERROR(IF(AND(Q99&gt;R99,Q99&lt;S99),"0",(VLOOKUP(Q99,'ELA Reading Logic'!$A$22:$B$48,2,FALSE))-(IF(VLOOKUP(Q99,'ELA Reading Logic'!$A$22:$B$48,2,FALSE)&lt;=VLOOKUP(R99,'ELA Reading Logic'!$A$22:$B$48,2,FALSE),VLOOKUP(R99,'ELA Reading Logic'!$A$22:$B$48,2,FALSE),IF(VLOOKUP(Q99,'ELA Reading Logic'!$A$22:$B$48,2,FALSE)&gt;=VLOOKUP(S99,'ELA Reading Logic'!$A$22:$B$48,2,FALSE),VLOOKUP(S99,'ELA Reading Logic'!$A$22:$B$48,2,FALSE),"No Score")))),"No Value"))</f>
        <v>No Value</v>
      </c>
      <c r="U99" s="96" t="str">
        <f>IFERROR(VLOOKUP(Q99,'ELA Reading Logic'!$A$22:$B$48,2,FALSE)-VLOOKUP($F99,'ELA Reading Logic'!$A$22:$B$48,2,FALSE),"No Value")</f>
        <v>No Value</v>
      </c>
      <c r="V99" s="92"/>
      <c r="W99" s="96" t="str">
        <f>IFERROR(IF($E99="Yes","IPP",VLOOKUP($J99,'ELA Reading Logic'!$A$3:$K$9,VLOOKUP(V$1,'ELA Reading Logic'!$J$22:$K$31,2,FALSE),FALSE)),"Set Grade")</f>
        <v>Set Grade</v>
      </c>
      <c r="X99" s="96" t="str">
        <f>IFERROR(IF($E99="Yes","IPP",VLOOKUP($J99,'ELA Reading Logic'!$A$13:$K$19,VLOOKUP(V$1,'ELA Reading Logic'!$J$22:$K$31,2,FALSE),FALSE)),"Set Grade")</f>
        <v>Set Grade</v>
      </c>
      <c r="Y99" s="96" t="str">
        <f>IF($E99="Yes","IPP",IFERROR(IF(AND(V99&gt;W99,V99&lt;X99),"0",(VLOOKUP(V99,'ELA Reading Logic'!$A$22:$B$48,2,FALSE))-(IF(VLOOKUP(V99,'ELA Reading Logic'!$A$22:$B$48,2,FALSE)&lt;=VLOOKUP(W99,'ELA Reading Logic'!$A$22:$B$48,2,FALSE),VLOOKUP(W99,'ELA Reading Logic'!$A$22:$B$48,2,FALSE),IF(VLOOKUP(V99,'ELA Reading Logic'!$A$22:$B$48,2,FALSE)&gt;=VLOOKUP(X99,'ELA Reading Logic'!$A$22:$B$48,2,FALSE),VLOOKUP(X99,'ELA Reading Logic'!$A$22:$B$48,2,FALSE),"No Score")))),"No Value"))</f>
        <v>No Value</v>
      </c>
      <c r="Z99" s="96" t="str">
        <f>IFERROR(VLOOKUP(V99,'ELA Reading Logic'!$A$22:$B$48,2,FALSE)-VLOOKUP($F99,'ELA Reading Logic'!$A$22:$B$48,2,FALSE),"No Value")</f>
        <v>No Value</v>
      </c>
      <c r="AA99" s="92"/>
      <c r="AB99" s="96" t="str">
        <f>IFERROR(IF($E99="Yes","IPP",VLOOKUP($J99,'ELA Reading Logic'!$A$3:$K$9,VLOOKUP(AA$1,'ELA Reading Logic'!$J$22:$K$31,2,FALSE),FALSE)),"Set Grade")</f>
        <v>Set Grade</v>
      </c>
      <c r="AC99" s="96" t="str">
        <f>IFERROR(IF($E99="Yes","IPP",VLOOKUP($J99,'ELA Reading Logic'!$A$13:$K$19,VLOOKUP(AA$1,'ELA Reading Logic'!$J$22:$K$31,2,FALSE),FALSE)),"Set Grade")</f>
        <v>Set Grade</v>
      </c>
      <c r="AD99" s="96" t="str">
        <f>IF($E99="Yes","IPP",IFERROR(IF(AND(AA99&gt;AB99,AA99&lt;AC99),"0",(VLOOKUP(AA99,'ELA Reading Logic'!$A$22:$B$48,2,FALSE))-(IF(VLOOKUP(AA99,'ELA Reading Logic'!$A$22:$B$48,2,FALSE)&lt;=VLOOKUP(AB99,'ELA Reading Logic'!$A$22:$B$48,2,FALSE),VLOOKUP(AB99,'ELA Reading Logic'!$A$22:$B$48,2,FALSE),IF(VLOOKUP(AA99,'ELA Reading Logic'!$A$22:$B$48,2,FALSE)&gt;=VLOOKUP(AC99,'ELA Reading Logic'!$A$22:$B$48,2,FALSE),VLOOKUP(AC99,'ELA Reading Logic'!$A$22:$B$48,2,FALSE),"No Score")))),"No Value"))</f>
        <v>No Value</v>
      </c>
      <c r="AE99" s="96" t="str">
        <f>IFERROR(VLOOKUP(AA99,'ELA Reading Logic'!$A$22:$B$48,2,FALSE)-VLOOKUP($F99,'ELA Reading Logic'!$A$22:$B$48,2,FALSE),"No Value")</f>
        <v>No Value</v>
      </c>
      <c r="AF99" s="92"/>
      <c r="AG99" s="96" t="str">
        <f>IFERROR(IF($E99="Yes","IPP",VLOOKUP($J99,'ELA Reading Logic'!$A$3:$K$9,VLOOKUP(AF$1,'ELA Reading Logic'!$J$22:$K$31,2,FALSE),FALSE)),"Set Grade")</f>
        <v>Set Grade</v>
      </c>
      <c r="AH99" s="96" t="str">
        <f>IFERROR(IF($E99="Yes","IPP",VLOOKUP($J99,'ELA Reading Logic'!$A$13:$K$19,VLOOKUP(AF$1,'ELA Reading Logic'!$J$22:$K$31,2,FALSE),FALSE)),"Set Grade")</f>
        <v>Set Grade</v>
      </c>
      <c r="AI99" s="96" t="str">
        <f>IF($E99="Yes","IPP",IFERROR(IF(AND(AF99&gt;AG99,AF99&lt;AH99),"0",(VLOOKUP(AF99,'ELA Reading Logic'!$A$22:$B$48,2,FALSE))-(IF(VLOOKUP(AF99,'ELA Reading Logic'!$A$22:$B$48,2,FALSE)&lt;=VLOOKUP(AG99,'ELA Reading Logic'!$A$22:$B$48,2,FALSE),VLOOKUP(AG99,'ELA Reading Logic'!$A$22:$B$48,2,FALSE),IF(VLOOKUP(AF99,'ELA Reading Logic'!$A$22:$B$48,2,FALSE)&gt;=VLOOKUP(AH99,'ELA Reading Logic'!$A$22:$B$48,2,FALSE),VLOOKUP(AH99,'ELA Reading Logic'!$A$22:$B$48,2,FALSE),"No Score")))),"No Value"))</f>
        <v>No Value</v>
      </c>
      <c r="AJ99" s="96" t="str">
        <f>IFERROR(VLOOKUP(AF99,'ELA Reading Logic'!$A$22:$B$48,2,FALSE)-VLOOKUP($F99,'ELA Reading Logic'!$A$22:$B$48,2,FALSE),"No Value")</f>
        <v>No Value</v>
      </c>
      <c r="AK99" s="92"/>
      <c r="AL99" s="96" t="str">
        <f>IFERROR(IF($E99="Yes","IPP",VLOOKUP($J99,'ELA Reading Logic'!$A$3:$K$9,VLOOKUP(AK$1,'ELA Reading Logic'!$J$22:$K$31,2,FALSE),FALSE)),"Set Grade")</f>
        <v>Set Grade</v>
      </c>
      <c r="AM99" s="96" t="str">
        <f>IFERROR(IF($E99="Yes","IPP",VLOOKUP($J99,'ELA Reading Logic'!$A$13:$K$19,VLOOKUP(AK$1,'ELA Reading Logic'!$J$22:$K$31,2,FALSE),FALSE)),"Set Grade")</f>
        <v>Set Grade</v>
      </c>
      <c r="AN99" s="96" t="str">
        <f>IF($E99="Yes","IPP",IFERROR(IF(AND(AK99&gt;AL99,AK99&lt;AM99),"0",(VLOOKUP(AK99,'ELA Reading Logic'!$A$22:$B$48,2,FALSE))-(IF(VLOOKUP(AK99,'ELA Reading Logic'!$A$22:$B$48,2,FALSE)&lt;=VLOOKUP(AL99,'ELA Reading Logic'!$A$22:$B$48,2,FALSE),VLOOKUP(AL99,'ELA Reading Logic'!$A$22:$B$48,2,FALSE),IF(VLOOKUP(AK99,'ELA Reading Logic'!$A$22:$B$48,2,FALSE)&gt;=VLOOKUP(AM99,'ELA Reading Logic'!$A$22:$B$48,2,FALSE),VLOOKUP(AM99,'ELA Reading Logic'!$A$22:$B$48,2,FALSE),"No Score")))),"No Value"))</f>
        <v>No Value</v>
      </c>
      <c r="AO99" s="96" t="str">
        <f>IFERROR(VLOOKUP(AK99,'ELA Reading Logic'!$A$22:$B$48,2,FALSE)-VLOOKUP($F99,'ELA Reading Logic'!$A$22:$B$48,2,FALSE),"No Value")</f>
        <v>No Value</v>
      </c>
      <c r="AP99" s="92"/>
      <c r="AQ99" s="96" t="str">
        <f>IFERROR(IF($E99="Yes","IPP",VLOOKUP($J99,'ELA Reading Logic'!$A$3:$K$9,VLOOKUP(AP$1,'ELA Reading Logic'!$J$22:$K$31,2,FALSE),FALSE)),"Set Grade")</f>
        <v>Set Grade</v>
      </c>
      <c r="AR99" s="96" t="str">
        <f>IFERROR(IF($E99="Yes","IPP",VLOOKUP($J99,'ELA Reading Logic'!$A$13:$K$19,VLOOKUP(AP$1,'ELA Reading Logic'!$J$22:$K$31,2,FALSE),FALSE)),"Set Grade")</f>
        <v>Set Grade</v>
      </c>
      <c r="AS99" s="96" t="str">
        <f>IF($E99="Yes","IPP",IFERROR(IF(AND(AP99&gt;AQ99,AP99&lt;AR99),"0",(VLOOKUP(AP99,'ELA Reading Logic'!$A$22:$B$48,2,FALSE))-(IF(VLOOKUP(AP99,'ELA Reading Logic'!$A$22:$B$48,2,FALSE)&lt;=VLOOKUP(AQ99,'ELA Reading Logic'!$A$22:$B$48,2,FALSE),VLOOKUP(AQ99,'ELA Reading Logic'!$A$22:$B$48,2,FALSE),IF(VLOOKUP(AP99,'ELA Reading Logic'!$A$22:$B$48,2,FALSE)&gt;=VLOOKUP(AR99,'ELA Reading Logic'!$A$22:$B$48,2,FALSE),VLOOKUP(AR99,'ELA Reading Logic'!$A$22:$B$48,2,FALSE),"No Score")))),"No Value"))</f>
        <v>No Value</v>
      </c>
      <c r="AT99" s="96" t="str">
        <f>IFERROR(VLOOKUP(AP99,'ELA Reading Logic'!$A$22:$B$48,2,FALSE)-VLOOKUP($F99,'ELA Reading Logic'!$A$22:$B$48,2,FALSE),"No Value")</f>
        <v>No Value</v>
      </c>
    </row>
    <row r="100" spans="1:46" ht="22.5" customHeight="1" x14ac:dyDescent="0.25">
      <c r="A100" s="176"/>
      <c r="B100" s="176"/>
      <c r="C100" s="176"/>
      <c r="D100" s="176"/>
      <c r="E100" s="175"/>
      <c r="F100" s="175"/>
      <c r="G100" s="177" t="str">
        <f>IFERROR(IF($E100="Yes","IPP",VLOOKUP($J100,'ELA Reading Logic'!$A$3:$K$9,VLOOKUP("September",'ELA Reading Logic'!$J$22:$K$31,2,FALSE),FALSE)),"Set Grade")</f>
        <v>Set Grade</v>
      </c>
      <c r="H100" s="177" t="str">
        <f>IFERROR(IF($E100="Yes","IPP",VLOOKUP($J100,'ELA Reading Logic'!$A$13:$K$19,VLOOKUP("September",'ELA Reading Logic'!$J$22:$K$31,2,FALSE),FALSE)),"Set Grade")</f>
        <v>Set Grade</v>
      </c>
      <c r="I100" s="96" t="str">
        <f>IF($E100="Yes","IPP",IFERROR(IF(AND(F100&gt;G100,F100&lt;H100),"0",(VLOOKUP(F100,'ELA Reading Logic'!$A$22:$B$48,2,FALSE))-(IF(VLOOKUP(F100,'ELA Reading Logic'!$A$22:$B$48,2,FALSE)&lt;=VLOOKUP(G100,'ELA Reading Logic'!$A$22:$B$48,2,FALSE),VLOOKUP(G100,'ELA Reading Logic'!$A$22:$B$48,2,FALSE),IF(VLOOKUP(F100,'ELA Reading Logic'!$A$22:$B$48,2,FALSE)&gt;=VLOOKUP(H100,'ELA Reading Logic'!$A$22:$B$48,2,FALSE),VLOOKUP(H100,'ELA Reading Logic'!$A$22:$B$48,2,FALSE),"No Score")))),"No Value"))</f>
        <v>No Value</v>
      </c>
      <c r="J100" s="178"/>
      <c r="K100" s="96"/>
      <c r="L100" s="96"/>
      <c r="M100" s="96"/>
      <c r="N100" s="96"/>
      <c r="O100" s="96"/>
      <c r="P100" s="105"/>
      <c r="Q100" s="92"/>
      <c r="R100" s="96" t="str">
        <f>IFERROR(IF($E100="Yes","IPP",VLOOKUP($J100,'ELA Reading Logic'!$A$3:$K$9,VLOOKUP(Q$1,'ELA Reading Logic'!$J$22:$K$31,2,FALSE),FALSE)),"Set Grade")</f>
        <v>Set Grade</v>
      </c>
      <c r="S100" s="96" t="str">
        <f>IFERROR(IF($E100="Yes","IPP",VLOOKUP($J100,'ELA Reading Logic'!$A$13:$K$19,VLOOKUP(Q$1,'ELA Reading Logic'!$J$22:$K$31,2,FALSE),FALSE)),"Set Grade")</f>
        <v>Set Grade</v>
      </c>
      <c r="T100" s="96" t="str">
        <f>IF($E100="Yes","IPP",IFERROR(IF(AND(Q100&gt;R100,Q100&lt;S100),"0",(VLOOKUP(Q100,'ELA Reading Logic'!$A$22:$B$48,2,FALSE))-(IF(VLOOKUP(Q100,'ELA Reading Logic'!$A$22:$B$48,2,FALSE)&lt;=VLOOKUP(R100,'ELA Reading Logic'!$A$22:$B$48,2,FALSE),VLOOKUP(R100,'ELA Reading Logic'!$A$22:$B$48,2,FALSE),IF(VLOOKUP(Q100,'ELA Reading Logic'!$A$22:$B$48,2,FALSE)&gt;=VLOOKUP(S100,'ELA Reading Logic'!$A$22:$B$48,2,FALSE),VLOOKUP(S100,'ELA Reading Logic'!$A$22:$B$48,2,FALSE),"No Score")))),"No Value"))</f>
        <v>No Value</v>
      </c>
      <c r="U100" s="96" t="str">
        <f>IFERROR(VLOOKUP(Q100,'ELA Reading Logic'!$A$22:$B$48,2,FALSE)-VLOOKUP($F100,'ELA Reading Logic'!$A$22:$B$48,2,FALSE),"No Value")</f>
        <v>No Value</v>
      </c>
      <c r="V100" s="92"/>
      <c r="W100" s="96" t="str">
        <f>IFERROR(IF($E100="Yes","IPP",VLOOKUP($J100,'ELA Reading Logic'!$A$3:$K$9,VLOOKUP(V$1,'ELA Reading Logic'!$J$22:$K$31,2,FALSE),FALSE)),"Set Grade")</f>
        <v>Set Grade</v>
      </c>
      <c r="X100" s="96" t="str">
        <f>IFERROR(IF($E100="Yes","IPP",VLOOKUP($J100,'ELA Reading Logic'!$A$13:$K$19,VLOOKUP(V$1,'ELA Reading Logic'!$J$22:$K$31,2,FALSE),FALSE)),"Set Grade")</f>
        <v>Set Grade</v>
      </c>
      <c r="Y100" s="96" t="str">
        <f>IF($E100="Yes","IPP",IFERROR(IF(AND(V100&gt;W100,V100&lt;X100),"0",(VLOOKUP(V100,'ELA Reading Logic'!$A$22:$B$48,2,FALSE))-(IF(VLOOKUP(V100,'ELA Reading Logic'!$A$22:$B$48,2,FALSE)&lt;=VLOOKUP(W100,'ELA Reading Logic'!$A$22:$B$48,2,FALSE),VLOOKUP(W100,'ELA Reading Logic'!$A$22:$B$48,2,FALSE),IF(VLOOKUP(V100,'ELA Reading Logic'!$A$22:$B$48,2,FALSE)&gt;=VLOOKUP(X100,'ELA Reading Logic'!$A$22:$B$48,2,FALSE),VLOOKUP(X100,'ELA Reading Logic'!$A$22:$B$48,2,FALSE),"No Score")))),"No Value"))</f>
        <v>No Value</v>
      </c>
      <c r="Z100" s="96" t="str">
        <f>IFERROR(VLOOKUP(V100,'ELA Reading Logic'!$A$22:$B$48,2,FALSE)-VLOOKUP($F100,'ELA Reading Logic'!$A$22:$B$48,2,FALSE),"No Value")</f>
        <v>No Value</v>
      </c>
      <c r="AA100" s="92"/>
      <c r="AB100" s="96" t="str">
        <f>IFERROR(IF($E100="Yes","IPP",VLOOKUP($J100,'ELA Reading Logic'!$A$3:$K$9,VLOOKUP(AA$1,'ELA Reading Logic'!$J$22:$K$31,2,FALSE),FALSE)),"Set Grade")</f>
        <v>Set Grade</v>
      </c>
      <c r="AC100" s="96" t="str">
        <f>IFERROR(IF($E100="Yes","IPP",VLOOKUP($J100,'ELA Reading Logic'!$A$13:$K$19,VLOOKUP(AA$1,'ELA Reading Logic'!$J$22:$K$31,2,FALSE),FALSE)),"Set Grade")</f>
        <v>Set Grade</v>
      </c>
      <c r="AD100" s="96" t="str">
        <f>IF($E100="Yes","IPP",IFERROR(IF(AND(AA100&gt;AB100,AA100&lt;AC100),"0",(VLOOKUP(AA100,'ELA Reading Logic'!$A$22:$B$48,2,FALSE))-(IF(VLOOKUP(AA100,'ELA Reading Logic'!$A$22:$B$48,2,FALSE)&lt;=VLOOKUP(AB100,'ELA Reading Logic'!$A$22:$B$48,2,FALSE),VLOOKUP(AB100,'ELA Reading Logic'!$A$22:$B$48,2,FALSE),IF(VLOOKUP(AA100,'ELA Reading Logic'!$A$22:$B$48,2,FALSE)&gt;=VLOOKUP(AC100,'ELA Reading Logic'!$A$22:$B$48,2,FALSE),VLOOKUP(AC100,'ELA Reading Logic'!$A$22:$B$48,2,FALSE),"No Score")))),"No Value"))</f>
        <v>No Value</v>
      </c>
      <c r="AE100" s="96" t="str">
        <f>IFERROR(VLOOKUP(AA100,'ELA Reading Logic'!$A$22:$B$48,2,FALSE)-VLOOKUP($F100,'ELA Reading Logic'!$A$22:$B$48,2,FALSE),"No Value")</f>
        <v>No Value</v>
      </c>
      <c r="AF100" s="92"/>
      <c r="AG100" s="96" t="str">
        <f>IFERROR(IF($E100="Yes","IPP",VLOOKUP($J100,'ELA Reading Logic'!$A$3:$K$9,VLOOKUP(AF$1,'ELA Reading Logic'!$J$22:$K$31,2,FALSE),FALSE)),"Set Grade")</f>
        <v>Set Grade</v>
      </c>
      <c r="AH100" s="96" t="str">
        <f>IFERROR(IF($E100="Yes","IPP",VLOOKUP($J100,'ELA Reading Logic'!$A$13:$K$19,VLOOKUP(AF$1,'ELA Reading Logic'!$J$22:$K$31,2,FALSE),FALSE)),"Set Grade")</f>
        <v>Set Grade</v>
      </c>
      <c r="AI100" s="96" t="str">
        <f>IF($E100="Yes","IPP",IFERROR(IF(AND(AF100&gt;AG100,AF100&lt;AH100),"0",(VLOOKUP(AF100,'ELA Reading Logic'!$A$22:$B$48,2,FALSE))-(IF(VLOOKUP(AF100,'ELA Reading Logic'!$A$22:$B$48,2,FALSE)&lt;=VLOOKUP(AG100,'ELA Reading Logic'!$A$22:$B$48,2,FALSE),VLOOKUP(AG100,'ELA Reading Logic'!$A$22:$B$48,2,FALSE),IF(VLOOKUP(AF100,'ELA Reading Logic'!$A$22:$B$48,2,FALSE)&gt;=VLOOKUP(AH100,'ELA Reading Logic'!$A$22:$B$48,2,FALSE),VLOOKUP(AH100,'ELA Reading Logic'!$A$22:$B$48,2,FALSE),"No Score")))),"No Value"))</f>
        <v>No Value</v>
      </c>
      <c r="AJ100" s="96" t="str">
        <f>IFERROR(VLOOKUP(AF100,'ELA Reading Logic'!$A$22:$B$48,2,FALSE)-VLOOKUP($F100,'ELA Reading Logic'!$A$22:$B$48,2,FALSE),"No Value")</f>
        <v>No Value</v>
      </c>
      <c r="AK100" s="92"/>
      <c r="AL100" s="96" t="str">
        <f>IFERROR(IF($E100="Yes","IPP",VLOOKUP($J100,'ELA Reading Logic'!$A$3:$K$9,VLOOKUP(AK$1,'ELA Reading Logic'!$J$22:$K$31,2,FALSE),FALSE)),"Set Grade")</f>
        <v>Set Grade</v>
      </c>
      <c r="AM100" s="96" t="str">
        <f>IFERROR(IF($E100="Yes","IPP",VLOOKUP($J100,'ELA Reading Logic'!$A$13:$K$19,VLOOKUP(AK$1,'ELA Reading Logic'!$J$22:$K$31,2,FALSE),FALSE)),"Set Grade")</f>
        <v>Set Grade</v>
      </c>
      <c r="AN100" s="96" t="str">
        <f>IF($E100="Yes","IPP",IFERROR(IF(AND(AK100&gt;AL100,AK100&lt;AM100),"0",(VLOOKUP(AK100,'ELA Reading Logic'!$A$22:$B$48,2,FALSE))-(IF(VLOOKUP(AK100,'ELA Reading Logic'!$A$22:$B$48,2,FALSE)&lt;=VLOOKUP(AL100,'ELA Reading Logic'!$A$22:$B$48,2,FALSE),VLOOKUP(AL100,'ELA Reading Logic'!$A$22:$B$48,2,FALSE),IF(VLOOKUP(AK100,'ELA Reading Logic'!$A$22:$B$48,2,FALSE)&gt;=VLOOKUP(AM100,'ELA Reading Logic'!$A$22:$B$48,2,FALSE),VLOOKUP(AM100,'ELA Reading Logic'!$A$22:$B$48,2,FALSE),"No Score")))),"No Value"))</f>
        <v>No Value</v>
      </c>
      <c r="AO100" s="96" t="str">
        <f>IFERROR(VLOOKUP(AK100,'ELA Reading Logic'!$A$22:$B$48,2,FALSE)-VLOOKUP($F100,'ELA Reading Logic'!$A$22:$B$48,2,FALSE),"No Value")</f>
        <v>No Value</v>
      </c>
      <c r="AP100" s="92"/>
      <c r="AQ100" s="96" t="str">
        <f>IFERROR(IF($E100="Yes","IPP",VLOOKUP($J100,'ELA Reading Logic'!$A$3:$K$9,VLOOKUP(AP$1,'ELA Reading Logic'!$J$22:$K$31,2,FALSE),FALSE)),"Set Grade")</f>
        <v>Set Grade</v>
      </c>
      <c r="AR100" s="96" t="str">
        <f>IFERROR(IF($E100="Yes","IPP",VLOOKUP($J100,'ELA Reading Logic'!$A$13:$K$19,VLOOKUP(AP$1,'ELA Reading Logic'!$J$22:$K$31,2,FALSE),FALSE)),"Set Grade")</f>
        <v>Set Grade</v>
      </c>
      <c r="AS100" s="96" t="str">
        <f>IF($E100="Yes","IPP",IFERROR(IF(AND(AP100&gt;AQ100,AP100&lt;AR100),"0",(VLOOKUP(AP100,'ELA Reading Logic'!$A$22:$B$48,2,FALSE))-(IF(VLOOKUP(AP100,'ELA Reading Logic'!$A$22:$B$48,2,FALSE)&lt;=VLOOKUP(AQ100,'ELA Reading Logic'!$A$22:$B$48,2,FALSE),VLOOKUP(AQ100,'ELA Reading Logic'!$A$22:$B$48,2,FALSE),IF(VLOOKUP(AP100,'ELA Reading Logic'!$A$22:$B$48,2,FALSE)&gt;=VLOOKUP(AR100,'ELA Reading Logic'!$A$22:$B$48,2,FALSE),VLOOKUP(AR100,'ELA Reading Logic'!$A$22:$B$48,2,FALSE),"No Score")))),"No Value"))</f>
        <v>No Value</v>
      </c>
      <c r="AT100" s="96" t="str">
        <f>IFERROR(VLOOKUP(AP100,'ELA Reading Logic'!$A$22:$B$48,2,FALSE)-VLOOKUP($F100,'ELA Reading Logic'!$A$22:$B$48,2,FALSE),"No Value")</f>
        <v>No Value</v>
      </c>
    </row>
    <row r="101" spans="1:46" ht="22.5" customHeight="1" x14ac:dyDescent="0.25">
      <c r="A101" s="174"/>
      <c r="B101" s="174"/>
      <c r="C101" s="174"/>
      <c r="D101" s="174"/>
      <c r="E101" s="175"/>
      <c r="F101" s="175"/>
      <c r="G101" s="177" t="str">
        <f>IFERROR(IF($E101="Yes","IPP",VLOOKUP($J101,'ELA Reading Logic'!$A$3:$K$9,VLOOKUP("September",'ELA Reading Logic'!$J$22:$K$31,2,FALSE),FALSE)),"Set Grade")</f>
        <v>Set Grade</v>
      </c>
      <c r="H101" s="177" t="str">
        <f>IFERROR(IF($E101="Yes","IPP",VLOOKUP($J101,'ELA Reading Logic'!$A$13:$K$19,VLOOKUP("September",'ELA Reading Logic'!$J$22:$K$31,2,FALSE),FALSE)),"Set Grade")</f>
        <v>Set Grade</v>
      </c>
      <c r="I101" s="96" t="str">
        <f>IF($E101="Yes","IPP",IFERROR(IF(AND(F101&gt;G101,F101&lt;H101),"0",(VLOOKUP(F101,'ELA Reading Logic'!$A$22:$B$48,2,FALSE))-(IF(VLOOKUP(F101,'ELA Reading Logic'!$A$22:$B$48,2,FALSE)&lt;=VLOOKUP(G101,'ELA Reading Logic'!$A$22:$B$48,2,FALSE),VLOOKUP(G101,'ELA Reading Logic'!$A$22:$B$48,2,FALSE),IF(VLOOKUP(F101,'ELA Reading Logic'!$A$22:$B$48,2,FALSE)&gt;=VLOOKUP(H101,'ELA Reading Logic'!$A$22:$B$48,2,FALSE),VLOOKUP(H101,'ELA Reading Logic'!$A$22:$B$48,2,FALSE),"No Score")))),"No Value"))</f>
        <v>No Value</v>
      </c>
      <c r="J101" s="178"/>
      <c r="K101" s="96"/>
      <c r="L101" s="96"/>
      <c r="M101" s="96"/>
      <c r="N101" s="96"/>
      <c r="O101" s="96"/>
      <c r="P101" s="105"/>
      <c r="Q101" s="92"/>
      <c r="R101" s="96" t="str">
        <f>IFERROR(IF($E101="Yes","IPP",VLOOKUP($J101,'ELA Reading Logic'!$A$3:$K$9,VLOOKUP(Q$1,'ELA Reading Logic'!$J$22:$K$31,2,FALSE),FALSE)),"Set Grade")</f>
        <v>Set Grade</v>
      </c>
      <c r="S101" s="96" t="str">
        <f>IFERROR(IF($E101="Yes","IPP",VLOOKUP($J101,'ELA Reading Logic'!$A$13:$K$19,VLOOKUP(Q$1,'ELA Reading Logic'!$J$22:$K$31,2,FALSE),FALSE)),"Set Grade")</f>
        <v>Set Grade</v>
      </c>
      <c r="T101" s="96" t="str">
        <f>IF($E101="Yes","IPP",IFERROR(IF(AND(Q101&gt;R101,Q101&lt;S101),"0",(VLOOKUP(Q101,'ELA Reading Logic'!$A$22:$B$48,2,FALSE))-(IF(VLOOKUP(Q101,'ELA Reading Logic'!$A$22:$B$48,2,FALSE)&lt;=VLOOKUP(R101,'ELA Reading Logic'!$A$22:$B$48,2,FALSE),VLOOKUP(R101,'ELA Reading Logic'!$A$22:$B$48,2,FALSE),IF(VLOOKUP(Q101,'ELA Reading Logic'!$A$22:$B$48,2,FALSE)&gt;=VLOOKUP(S101,'ELA Reading Logic'!$A$22:$B$48,2,FALSE),VLOOKUP(S101,'ELA Reading Logic'!$A$22:$B$48,2,FALSE),"No Score")))),"No Value"))</f>
        <v>No Value</v>
      </c>
      <c r="U101" s="96" t="str">
        <f>IFERROR(VLOOKUP(Q101,'ELA Reading Logic'!$A$22:$B$48,2,FALSE)-VLOOKUP($F101,'ELA Reading Logic'!$A$22:$B$48,2,FALSE),"No Value")</f>
        <v>No Value</v>
      </c>
      <c r="V101" s="92"/>
      <c r="W101" s="96" t="str">
        <f>IFERROR(IF($E101="Yes","IPP",VLOOKUP($J101,'ELA Reading Logic'!$A$3:$K$9,VLOOKUP(V$1,'ELA Reading Logic'!$J$22:$K$31,2,FALSE),FALSE)),"Set Grade")</f>
        <v>Set Grade</v>
      </c>
      <c r="X101" s="96" t="str">
        <f>IFERROR(IF($E101="Yes","IPP",VLOOKUP($J101,'ELA Reading Logic'!$A$13:$K$19,VLOOKUP(V$1,'ELA Reading Logic'!$J$22:$K$31,2,FALSE),FALSE)),"Set Grade")</f>
        <v>Set Grade</v>
      </c>
      <c r="Y101" s="96" t="str">
        <f>IF($E101="Yes","IPP",IFERROR(IF(AND(V101&gt;W101,V101&lt;X101),"0",(VLOOKUP(V101,'ELA Reading Logic'!$A$22:$B$48,2,FALSE))-(IF(VLOOKUP(V101,'ELA Reading Logic'!$A$22:$B$48,2,FALSE)&lt;=VLOOKUP(W101,'ELA Reading Logic'!$A$22:$B$48,2,FALSE),VLOOKUP(W101,'ELA Reading Logic'!$A$22:$B$48,2,FALSE),IF(VLOOKUP(V101,'ELA Reading Logic'!$A$22:$B$48,2,FALSE)&gt;=VLOOKUP(X101,'ELA Reading Logic'!$A$22:$B$48,2,FALSE),VLOOKUP(X101,'ELA Reading Logic'!$A$22:$B$48,2,FALSE),"No Score")))),"No Value"))</f>
        <v>No Value</v>
      </c>
      <c r="Z101" s="96" t="str">
        <f>IFERROR(VLOOKUP(V101,'ELA Reading Logic'!$A$22:$B$48,2,FALSE)-VLOOKUP($F101,'ELA Reading Logic'!$A$22:$B$48,2,FALSE),"No Value")</f>
        <v>No Value</v>
      </c>
      <c r="AA101" s="92"/>
      <c r="AB101" s="96" t="str">
        <f>IFERROR(IF($E101="Yes","IPP",VLOOKUP($J101,'ELA Reading Logic'!$A$3:$K$9,VLOOKUP(AA$1,'ELA Reading Logic'!$J$22:$K$31,2,FALSE),FALSE)),"Set Grade")</f>
        <v>Set Grade</v>
      </c>
      <c r="AC101" s="96" t="str">
        <f>IFERROR(IF($E101="Yes","IPP",VLOOKUP($J101,'ELA Reading Logic'!$A$13:$K$19,VLOOKUP(AA$1,'ELA Reading Logic'!$J$22:$K$31,2,FALSE),FALSE)),"Set Grade")</f>
        <v>Set Grade</v>
      </c>
      <c r="AD101" s="96" t="str">
        <f>IF($E101="Yes","IPP",IFERROR(IF(AND(AA101&gt;AB101,AA101&lt;AC101),"0",(VLOOKUP(AA101,'ELA Reading Logic'!$A$22:$B$48,2,FALSE))-(IF(VLOOKUP(AA101,'ELA Reading Logic'!$A$22:$B$48,2,FALSE)&lt;=VLOOKUP(AB101,'ELA Reading Logic'!$A$22:$B$48,2,FALSE),VLOOKUP(AB101,'ELA Reading Logic'!$A$22:$B$48,2,FALSE),IF(VLOOKUP(AA101,'ELA Reading Logic'!$A$22:$B$48,2,FALSE)&gt;=VLOOKUP(AC101,'ELA Reading Logic'!$A$22:$B$48,2,FALSE),VLOOKUP(AC101,'ELA Reading Logic'!$A$22:$B$48,2,FALSE),"No Score")))),"No Value"))</f>
        <v>No Value</v>
      </c>
      <c r="AE101" s="96" t="str">
        <f>IFERROR(VLOOKUP(AA101,'ELA Reading Logic'!$A$22:$B$48,2,FALSE)-VLOOKUP($F101,'ELA Reading Logic'!$A$22:$B$48,2,FALSE),"No Value")</f>
        <v>No Value</v>
      </c>
      <c r="AF101" s="92"/>
      <c r="AG101" s="96" t="str">
        <f>IFERROR(IF($E101="Yes","IPP",VLOOKUP($J101,'ELA Reading Logic'!$A$3:$K$9,VLOOKUP(AF$1,'ELA Reading Logic'!$J$22:$K$31,2,FALSE),FALSE)),"Set Grade")</f>
        <v>Set Grade</v>
      </c>
      <c r="AH101" s="96" t="str">
        <f>IFERROR(IF($E101="Yes","IPP",VLOOKUP($J101,'ELA Reading Logic'!$A$13:$K$19,VLOOKUP(AF$1,'ELA Reading Logic'!$J$22:$K$31,2,FALSE),FALSE)),"Set Grade")</f>
        <v>Set Grade</v>
      </c>
      <c r="AI101" s="96" t="str">
        <f>IF($E101="Yes","IPP",IFERROR(IF(AND(AF101&gt;AG101,AF101&lt;AH101),"0",(VLOOKUP(AF101,'ELA Reading Logic'!$A$22:$B$48,2,FALSE))-(IF(VLOOKUP(AF101,'ELA Reading Logic'!$A$22:$B$48,2,FALSE)&lt;=VLOOKUP(AG101,'ELA Reading Logic'!$A$22:$B$48,2,FALSE),VLOOKUP(AG101,'ELA Reading Logic'!$A$22:$B$48,2,FALSE),IF(VLOOKUP(AF101,'ELA Reading Logic'!$A$22:$B$48,2,FALSE)&gt;=VLOOKUP(AH101,'ELA Reading Logic'!$A$22:$B$48,2,FALSE),VLOOKUP(AH101,'ELA Reading Logic'!$A$22:$B$48,2,FALSE),"No Score")))),"No Value"))</f>
        <v>No Value</v>
      </c>
      <c r="AJ101" s="96" t="str">
        <f>IFERROR(VLOOKUP(AF101,'ELA Reading Logic'!$A$22:$B$48,2,FALSE)-VLOOKUP($F101,'ELA Reading Logic'!$A$22:$B$48,2,FALSE),"No Value")</f>
        <v>No Value</v>
      </c>
      <c r="AK101" s="92"/>
      <c r="AL101" s="96" t="str">
        <f>IFERROR(IF($E101="Yes","IPP",VLOOKUP($J101,'ELA Reading Logic'!$A$3:$K$9,VLOOKUP(AK$1,'ELA Reading Logic'!$J$22:$K$31,2,FALSE),FALSE)),"Set Grade")</f>
        <v>Set Grade</v>
      </c>
      <c r="AM101" s="96" t="str">
        <f>IFERROR(IF($E101="Yes","IPP",VLOOKUP($J101,'ELA Reading Logic'!$A$13:$K$19,VLOOKUP(AK$1,'ELA Reading Logic'!$J$22:$K$31,2,FALSE),FALSE)),"Set Grade")</f>
        <v>Set Grade</v>
      </c>
      <c r="AN101" s="96" t="str">
        <f>IF($E101="Yes","IPP",IFERROR(IF(AND(AK101&gt;AL101,AK101&lt;AM101),"0",(VLOOKUP(AK101,'ELA Reading Logic'!$A$22:$B$48,2,FALSE))-(IF(VLOOKUP(AK101,'ELA Reading Logic'!$A$22:$B$48,2,FALSE)&lt;=VLOOKUP(AL101,'ELA Reading Logic'!$A$22:$B$48,2,FALSE),VLOOKUP(AL101,'ELA Reading Logic'!$A$22:$B$48,2,FALSE),IF(VLOOKUP(AK101,'ELA Reading Logic'!$A$22:$B$48,2,FALSE)&gt;=VLOOKUP(AM101,'ELA Reading Logic'!$A$22:$B$48,2,FALSE),VLOOKUP(AM101,'ELA Reading Logic'!$A$22:$B$48,2,FALSE),"No Score")))),"No Value"))</f>
        <v>No Value</v>
      </c>
      <c r="AO101" s="96" t="str">
        <f>IFERROR(VLOOKUP(AK101,'ELA Reading Logic'!$A$22:$B$48,2,FALSE)-VLOOKUP($F101,'ELA Reading Logic'!$A$22:$B$48,2,FALSE),"No Value")</f>
        <v>No Value</v>
      </c>
      <c r="AP101" s="92"/>
      <c r="AQ101" s="96" t="str">
        <f>IFERROR(IF($E101="Yes","IPP",VLOOKUP($J101,'ELA Reading Logic'!$A$3:$K$9,VLOOKUP(AP$1,'ELA Reading Logic'!$J$22:$K$31,2,FALSE),FALSE)),"Set Grade")</f>
        <v>Set Grade</v>
      </c>
      <c r="AR101" s="96" t="str">
        <f>IFERROR(IF($E101="Yes","IPP",VLOOKUP($J101,'ELA Reading Logic'!$A$13:$K$19,VLOOKUP(AP$1,'ELA Reading Logic'!$J$22:$K$31,2,FALSE),FALSE)),"Set Grade")</f>
        <v>Set Grade</v>
      </c>
      <c r="AS101" s="96" t="str">
        <f>IF($E101="Yes","IPP",IFERROR(IF(AND(AP101&gt;AQ101,AP101&lt;AR101),"0",(VLOOKUP(AP101,'ELA Reading Logic'!$A$22:$B$48,2,FALSE))-(IF(VLOOKUP(AP101,'ELA Reading Logic'!$A$22:$B$48,2,FALSE)&lt;=VLOOKUP(AQ101,'ELA Reading Logic'!$A$22:$B$48,2,FALSE),VLOOKUP(AQ101,'ELA Reading Logic'!$A$22:$B$48,2,FALSE),IF(VLOOKUP(AP101,'ELA Reading Logic'!$A$22:$B$48,2,FALSE)&gt;=VLOOKUP(AR101,'ELA Reading Logic'!$A$22:$B$48,2,FALSE),VLOOKUP(AR101,'ELA Reading Logic'!$A$22:$B$48,2,FALSE),"No Score")))),"No Value"))</f>
        <v>No Value</v>
      </c>
      <c r="AT101" s="96" t="str">
        <f>IFERROR(VLOOKUP(AP101,'ELA Reading Logic'!$A$22:$B$48,2,FALSE)-VLOOKUP($F101,'ELA Reading Logic'!$A$22:$B$48,2,FALSE),"No Value")</f>
        <v>No Value</v>
      </c>
    </row>
    <row r="102" spans="1:46" ht="22.5" customHeight="1" x14ac:dyDescent="0.25">
      <c r="A102" s="176"/>
      <c r="B102" s="176"/>
      <c r="C102" s="176"/>
      <c r="D102" s="176"/>
      <c r="E102" s="175"/>
      <c r="F102" s="175"/>
      <c r="G102" s="177" t="str">
        <f>IFERROR(IF($E102="Yes","IPP",VLOOKUP($J102,'ELA Reading Logic'!$A$3:$K$9,VLOOKUP("September",'ELA Reading Logic'!$J$22:$K$31,2,FALSE),FALSE)),"Set Grade")</f>
        <v>Set Grade</v>
      </c>
      <c r="H102" s="177" t="str">
        <f>IFERROR(IF($E102="Yes","IPP",VLOOKUP($J102,'ELA Reading Logic'!$A$13:$K$19,VLOOKUP("September",'ELA Reading Logic'!$J$22:$K$31,2,FALSE),FALSE)),"Set Grade")</f>
        <v>Set Grade</v>
      </c>
      <c r="I102" s="96" t="str">
        <f>IF($E102="Yes","IPP",IFERROR(IF(AND(F102&gt;G102,F102&lt;H102),"0",(VLOOKUP(F102,'ELA Reading Logic'!$A$22:$B$48,2,FALSE))-(IF(VLOOKUP(F102,'ELA Reading Logic'!$A$22:$B$48,2,FALSE)&lt;=VLOOKUP(G102,'ELA Reading Logic'!$A$22:$B$48,2,FALSE),VLOOKUP(G102,'ELA Reading Logic'!$A$22:$B$48,2,FALSE),IF(VLOOKUP(F102,'ELA Reading Logic'!$A$22:$B$48,2,FALSE)&gt;=VLOOKUP(H102,'ELA Reading Logic'!$A$22:$B$48,2,FALSE),VLOOKUP(H102,'ELA Reading Logic'!$A$22:$B$48,2,FALSE),"No Score")))),"No Value"))</f>
        <v>No Value</v>
      </c>
      <c r="J102" s="178"/>
      <c r="K102" s="96"/>
      <c r="L102" s="96"/>
      <c r="M102" s="96"/>
      <c r="N102" s="96"/>
      <c r="O102" s="96"/>
      <c r="P102" s="105"/>
      <c r="Q102" s="92"/>
      <c r="R102" s="96" t="str">
        <f>IFERROR(IF($E102="Yes","IPP",VLOOKUP($J102,'ELA Reading Logic'!$A$3:$K$9,VLOOKUP(Q$1,'ELA Reading Logic'!$J$22:$K$31,2,FALSE),FALSE)),"Set Grade")</f>
        <v>Set Grade</v>
      </c>
      <c r="S102" s="96" t="str">
        <f>IFERROR(IF($E102="Yes","IPP",VLOOKUP($J102,'ELA Reading Logic'!$A$13:$K$19,VLOOKUP(Q$1,'ELA Reading Logic'!$J$22:$K$31,2,FALSE),FALSE)),"Set Grade")</f>
        <v>Set Grade</v>
      </c>
      <c r="T102" s="96" t="str">
        <f>IF($E102="Yes","IPP",IFERROR(IF(AND(Q102&gt;R102,Q102&lt;S102),"0",(VLOOKUP(Q102,'ELA Reading Logic'!$A$22:$B$48,2,FALSE))-(IF(VLOOKUP(Q102,'ELA Reading Logic'!$A$22:$B$48,2,FALSE)&lt;=VLOOKUP(R102,'ELA Reading Logic'!$A$22:$B$48,2,FALSE),VLOOKUP(R102,'ELA Reading Logic'!$A$22:$B$48,2,FALSE),IF(VLOOKUP(Q102,'ELA Reading Logic'!$A$22:$B$48,2,FALSE)&gt;=VLOOKUP(S102,'ELA Reading Logic'!$A$22:$B$48,2,FALSE),VLOOKUP(S102,'ELA Reading Logic'!$A$22:$B$48,2,FALSE),"No Score")))),"No Value"))</f>
        <v>No Value</v>
      </c>
      <c r="U102" s="96" t="str">
        <f>IFERROR(VLOOKUP(Q102,'ELA Reading Logic'!$A$22:$B$48,2,FALSE)-VLOOKUP($F102,'ELA Reading Logic'!$A$22:$B$48,2,FALSE),"No Value")</f>
        <v>No Value</v>
      </c>
      <c r="V102" s="92"/>
      <c r="W102" s="96" t="str">
        <f>IFERROR(IF($E102="Yes","IPP",VLOOKUP($J102,'ELA Reading Logic'!$A$3:$K$9,VLOOKUP(V$1,'ELA Reading Logic'!$J$22:$K$31,2,FALSE),FALSE)),"Set Grade")</f>
        <v>Set Grade</v>
      </c>
      <c r="X102" s="96" t="str">
        <f>IFERROR(IF($E102="Yes","IPP",VLOOKUP($J102,'ELA Reading Logic'!$A$13:$K$19,VLOOKUP(V$1,'ELA Reading Logic'!$J$22:$K$31,2,FALSE),FALSE)),"Set Grade")</f>
        <v>Set Grade</v>
      </c>
      <c r="Y102" s="96" t="str">
        <f>IF($E102="Yes","IPP",IFERROR(IF(AND(V102&gt;W102,V102&lt;X102),"0",(VLOOKUP(V102,'ELA Reading Logic'!$A$22:$B$48,2,FALSE))-(IF(VLOOKUP(V102,'ELA Reading Logic'!$A$22:$B$48,2,FALSE)&lt;=VLOOKUP(W102,'ELA Reading Logic'!$A$22:$B$48,2,FALSE),VLOOKUP(W102,'ELA Reading Logic'!$A$22:$B$48,2,FALSE),IF(VLOOKUP(V102,'ELA Reading Logic'!$A$22:$B$48,2,FALSE)&gt;=VLOOKUP(X102,'ELA Reading Logic'!$A$22:$B$48,2,FALSE),VLOOKUP(X102,'ELA Reading Logic'!$A$22:$B$48,2,FALSE),"No Score")))),"No Value"))</f>
        <v>No Value</v>
      </c>
      <c r="Z102" s="96" t="str">
        <f>IFERROR(VLOOKUP(V102,'ELA Reading Logic'!$A$22:$B$48,2,FALSE)-VLOOKUP($F102,'ELA Reading Logic'!$A$22:$B$48,2,FALSE),"No Value")</f>
        <v>No Value</v>
      </c>
      <c r="AA102" s="92"/>
      <c r="AB102" s="96" t="str">
        <f>IFERROR(IF($E102="Yes","IPP",VLOOKUP($J102,'ELA Reading Logic'!$A$3:$K$9,VLOOKUP(AA$1,'ELA Reading Logic'!$J$22:$K$31,2,FALSE),FALSE)),"Set Grade")</f>
        <v>Set Grade</v>
      </c>
      <c r="AC102" s="96" t="str">
        <f>IFERROR(IF($E102="Yes","IPP",VLOOKUP($J102,'ELA Reading Logic'!$A$13:$K$19,VLOOKUP(AA$1,'ELA Reading Logic'!$J$22:$K$31,2,FALSE),FALSE)),"Set Grade")</f>
        <v>Set Grade</v>
      </c>
      <c r="AD102" s="96" t="str">
        <f>IF($E102="Yes","IPP",IFERROR(IF(AND(AA102&gt;AB102,AA102&lt;AC102),"0",(VLOOKUP(AA102,'ELA Reading Logic'!$A$22:$B$48,2,FALSE))-(IF(VLOOKUP(AA102,'ELA Reading Logic'!$A$22:$B$48,2,FALSE)&lt;=VLOOKUP(AB102,'ELA Reading Logic'!$A$22:$B$48,2,FALSE),VLOOKUP(AB102,'ELA Reading Logic'!$A$22:$B$48,2,FALSE),IF(VLOOKUP(AA102,'ELA Reading Logic'!$A$22:$B$48,2,FALSE)&gt;=VLOOKUP(AC102,'ELA Reading Logic'!$A$22:$B$48,2,FALSE),VLOOKUP(AC102,'ELA Reading Logic'!$A$22:$B$48,2,FALSE),"No Score")))),"No Value"))</f>
        <v>No Value</v>
      </c>
      <c r="AE102" s="96" t="str">
        <f>IFERROR(VLOOKUP(AA102,'ELA Reading Logic'!$A$22:$B$48,2,FALSE)-VLOOKUP($F102,'ELA Reading Logic'!$A$22:$B$48,2,FALSE),"No Value")</f>
        <v>No Value</v>
      </c>
      <c r="AF102" s="92"/>
      <c r="AG102" s="96" t="str">
        <f>IFERROR(IF($E102="Yes","IPP",VLOOKUP($J102,'ELA Reading Logic'!$A$3:$K$9,VLOOKUP(AF$1,'ELA Reading Logic'!$J$22:$K$31,2,FALSE),FALSE)),"Set Grade")</f>
        <v>Set Grade</v>
      </c>
      <c r="AH102" s="96" t="str">
        <f>IFERROR(IF($E102="Yes","IPP",VLOOKUP($J102,'ELA Reading Logic'!$A$13:$K$19,VLOOKUP(AF$1,'ELA Reading Logic'!$J$22:$K$31,2,FALSE),FALSE)),"Set Grade")</f>
        <v>Set Grade</v>
      </c>
      <c r="AI102" s="96" t="str">
        <f>IF($E102="Yes","IPP",IFERROR(IF(AND(AF102&gt;AG102,AF102&lt;AH102),"0",(VLOOKUP(AF102,'ELA Reading Logic'!$A$22:$B$48,2,FALSE))-(IF(VLOOKUP(AF102,'ELA Reading Logic'!$A$22:$B$48,2,FALSE)&lt;=VLOOKUP(AG102,'ELA Reading Logic'!$A$22:$B$48,2,FALSE),VLOOKUP(AG102,'ELA Reading Logic'!$A$22:$B$48,2,FALSE),IF(VLOOKUP(AF102,'ELA Reading Logic'!$A$22:$B$48,2,FALSE)&gt;=VLOOKUP(AH102,'ELA Reading Logic'!$A$22:$B$48,2,FALSE),VLOOKUP(AH102,'ELA Reading Logic'!$A$22:$B$48,2,FALSE),"No Score")))),"No Value"))</f>
        <v>No Value</v>
      </c>
      <c r="AJ102" s="96" t="str">
        <f>IFERROR(VLOOKUP(AF102,'ELA Reading Logic'!$A$22:$B$48,2,FALSE)-VLOOKUP($F102,'ELA Reading Logic'!$A$22:$B$48,2,FALSE),"No Value")</f>
        <v>No Value</v>
      </c>
      <c r="AK102" s="92"/>
      <c r="AL102" s="96" t="str">
        <f>IFERROR(IF($E102="Yes","IPP",VLOOKUP($J102,'ELA Reading Logic'!$A$3:$K$9,VLOOKUP(AK$1,'ELA Reading Logic'!$J$22:$K$31,2,FALSE),FALSE)),"Set Grade")</f>
        <v>Set Grade</v>
      </c>
      <c r="AM102" s="96" t="str">
        <f>IFERROR(IF($E102="Yes","IPP",VLOOKUP($J102,'ELA Reading Logic'!$A$13:$K$19,VLOOKUP(AK$1,'ELA Reading Logic'!$J$22:$K$31,2,FALSE),FALSE)),"Set Grade")</f>
        <v>Set Grade</v>
      </c>
      <c r="AN102" s="96" t="str">
        <f>IF($E102="Yes","IPP",IFERROR(IF(AND(AK102&gt;AL102,AK102&lt;AM102),"0",(VLOOKUP(AK102,'ELA Reading Logic'!$A$22:$B$48,2,FALSE))-(IF(VLOOKUP(AK102,'ELA Reading Logic'!$A$22:$B$48,2,FALSE)&lt;=VLOOKUP(AL102,'ELA Reading Logic'!$A$22:$B$48,2,FALSE),VLOOKUP(AL102,'ELA Reading Logic'!$A$22:$B$48,2,FALSE),IF(VLOOKUP(AK102,'ELA Reading Logic'!$A$22:$B$48,2,FALSE)&gt;=VLOOKUP(AM102,'ELA Reading Logic'!$A$22:$B$48,2,FALSE),VLOOKUP(AM102,'ELA Reading Logic'!$A$22:$B$48,2,FALSE),"No Score")))),"No Value"))</f>
        <v>No Value</v>
      </c>
      <c r="AO102" s="96" t="str">
        <f>IFERROR(VLOOKUP(AK102,'ELA Reading Logic'!$A$22:$B$48,2,FALSE)-VLOOKUP($F102,'ELA Reading Logic'!$A$22:$B$48,2,FALSE),"No Value")</f>
        <v>No Value</v>
      </c>
      <c r="AP102" s="92"/>
      <c r="AQ102" s="96" t="str">
        <f>IFERROR(IF($E102="Yes","IPP",VLOOKUP($J102,'ELA Reading Logic'!$A$3:$K$9,VLOOKUP(AP$1,'ELA Reading Logic'!$J$22:$K$31,2,FALSE),FALSE)),"Set Grade")</f>
        <v>Set Grade</v>
      </c>
      <c r="AR102" s="96" t="str">
        <f>IFERROR(IF($E102="Yes","IPP",VLOOKUP($J102,'ELA Reading Logic'!$A$13:$K$19,VLOOKUP(AP$1,'ELA Reading Logic'!$J$22:$K$31,2,FALSE),FALSE)),"Set Grade")</f>
        <v>Set Grade</v>
      </c>
      <c r="AS102" s="96" t="str">
        <f>IF($E102="Yes","IPP",IFERROR(IF(AND(AP102&gt;AQ102,AP102&lt;AR102),"0",(VLOOKUP(AP102,'ELA Reading Logic'!$A$22:$B$48,2,FALSE))-(IF(VLOOKUP(AP102,'ELA Reading Logic'!$A$22:$B$48,2,FALSE)&lt;=VLOOKUP(AQ102,'ELA Reading Logic'!$A$22:$B$48,2,FALSE),VLOOKUP(AQ102,'ELA Reading Logic'!$A$22:$B$48,2,FALSE),IF(VLOOKUP(AP102,'ELA Reading Logic'!$A$22:$B$48,2,FALSE)&gt;=VLOOKUP(AR102,'ELA Reading Logic'!$A$22:$B$48,2,FALSE),VLOOKUP(AR102,'ELA Reading Logic'!$A$22:$B$48,2,FALSE),"No Score")))),"No Value"))</f>
        <v>No Value</v>
      </c>
      <c r="AT102" s="96" t="str">
        <f>IFERROR(VLOOKUP(AP102,'ELA Reading Logic'!$A$22:$B$48,2,FALSE)-VLOOKUP($F102,'ELA Reading Logic'!$A$22:$B$48,2,FALSE),"No Value")</f>
        <v>No Value</v>
      </c>
    </row>
    <row r="103" spans="1:46" ht="22.5" customHeight="1" x14ac:dyDescent="0.25">
      <c r="A103" s="174"/>
      <c r="B103" s="174"/>
      <c r="C103" s="174"/>
      <c r="D103" s="174"/>
      <c r="E103" s="175"/>
      <c r="F103" s="175"/>
      <c r="G103" s="177" t="str">
        <f>IFERROR(IF($E103="Yes","IPP",VLOOKUP($J103,'ELA Reading Logic'!$A$3:$K$9,VLOOKUP("September",'ELA Reading Logic'!$J$22:$K$31,2,FALSE),FALSE)),"Set Grade")</f>
        <v>Set Grade</v>
      </c>
      <c r="H103" s="177" t="str">
        <f>IFERROR(IF($E103="Yes","IPP",VLOOKUP($J103,'ELA Reading Logic'!$A$13:$K$19,VLOOKUP("September",'ELA Reading Logic'!$J$22:$K$31,2,FALSE),FALSE)),"Set Grade")</f>
        <v>Set Grade</v>
      </c>
      <c r="I103" s="96" t="str">
        <f>IF($E103="Yes","IPP",IFERROR(IF(AND(F103&gt;G103,F103&lt;H103),"0",(VLOOKUP(F103,'ELA Reading Logic'!$A$22:$B$48,2,FALSE))-(IF(VLOOKUP(F103,'ELA Reading Logic'!$A$22:$B$48,2,FALSE)&lt;=VLOOKUP(G103,'ELA Reading Logic'!$A$22:$B$48,2,FALSE),VLOOKUP(G103,'ELA Reading Logic'!$A$22:$B$48,2,FALSE),IF(VLOOKUP(F103,'ELA Reading Logic'!$A$22:$B$48,2,FALSE)&gt;=VLOOKUP(H103,'ELA Reading Logic'!$A$22:$B$48,2,FALSE),VLOOKUP(H103,'ELA Reading Logic'!$A$22:$B$48,2,FALSE),"No Score")))),"No Value"))</f>
        <v>No Value</v>
      </c>
      <c r="J103" s="178"/>
      <c r="K103" s="96"/>
      <c r="L103" s="96"/>
      <c r="M103" s="96"/>
      <c r="N103" s="96"/>
      <c r="O103" s="96"/>
      <c r="P103" s="105"/>
      <c r="Q103" s="92"/>
      <c r="R103" s="96" t="str">
        <f>IFERROR(IF($E103="Yes","IPP",VLOOKUP($J103,'ELA Reading Logic'!$A$3:$K$9,VLOOKUP(Q$1,'ELA Reading Logic'!$J$22:$K$31,2,FALSE),FALSE)),"Set Grade")</f>
        <v>Set Grade</v>
      </c>
      <c r="S103" s="96" t="str">
        <f>IFERROR(IF($E103="Yes","IPP",VLOOKUP($J103,'ELA Reading Logic'!$A$13:$K$19,VLOOKUP(Q$1,'ELA Reading Logic'!$J$22:$K$31,2,FALSE),FALSE)),"Set Grade")</f>
        <v>Set Grade</v>
      </c>
      <c r="T103" s="96" t="str">
        <f>IF($E103="Yes","IPP",IFERROR(IF(AND(Q103&gt;R103,Q103&lt;S103),"0",(VLOOKUP(Q103,'ELA Reading Logic'!$A$22:$B$48,2,FALSE))-(IF(VLOOKUP(Q103,'ELA Reading Logic'!$A$22:$B$48,2,FALSE)&lt;=VLOOKUP(R103,'ELA Reading Logic'!$A$22:$B$48,2,FALSE),VLOOKUP(R103,'ELA Reading Logic'!$A$22:$B$48,2,FALSE),IF(VLOOKUP(Q103,'ELA Reading Logic'!$A$22:$B$48,2,FALSE)&gt;=VLOOKUP(S103,'ELA Reading Logic'!$A$22:$B$48,2,FALSE),VLOOKUP(S103,'ELA Reading Logic'!$A$22:$B$48,2,FALSE),"No Score")))),"No Value"))</f>
        <v>No Value</v>
      </c>
      <c r="U103" s="96" t="str">
        <f>IFERROR(VLOOKUP(Q103,'ELA Reading Logic'!$A$22:$B$48,2,FALSE)-VLOOKUP($F103,'ELA Reading Logic'!$A$22:$B$48,2,FALSE),"No Value")</f>
        <v>No Value</v>
      </c>
      <c r="V103" s="92"/>
      <c r="W103" s="96" t="str">
        <f>IFERROR(IF($E103="Yes","IPP",VLOOKUP($J103,'ELA Reading Logic'!$A$3:$K$9,VLOOKUP(V$1,'ELA Reading Logic'!$J$22:$K$31,2,FALSE),FALSE)),"Set Grade")</f>
        <v>Set Grade</v>
      </c>
      <c r="X103" s="96" t="str">
        <f>IFERROR(IF($E103="Yes","IPP",VLOOKUP($J103,'ELA Reading Logic'!$A$13:$K$19,VLOOKUP(V$1,'ELA Reading Logic'!$J$22:$K$31,2,FALSE),FALSE)),"Set Grade")</f>
        <v>Set Grade</v>
      </c>
      <c r="Y103" s="96" t="str">
        <f>IF($E103="Yes","IPP",IFERROR(IF(AND(V103&gt;W103,V103&lt;X103),"0",(VLOOKUP(V103,'ELA Reading Logic'!$A$22:$B$48,2,FALSE))-(IF(VLOOKUP(V103,'ELA Reading Logic'!$A$22:$B$48,2,FALSE)&lt;=VLOOKUP(W103,'ELA Reading Logic'!$A$22:$B$48,2,FALSE),VLOOKUP(W103,'ELA Reading Logic'!$A$22:$B$48,2,FALSE),IF(VLOOKUP(V103,'ELA Reading Logic'!$A$22:$B$48,2,FALSE)&gt;=VLOOKUP(X103,'ELA Reading Logic'!$A$22:$B$48,2,FALSE),VLOOKUP(X103,'ELA Reading Logic'!$A$22:$B$48,2,FALSE),"No Score")))),"No Value"))</f>
        <v>No Value</v>
      </c>
      <c r="Z103" s="96" t="str">
        <f>IFERROR(VLOOKUP(V103,'ELA Reading Logic'!$A$22:$B$48,2,FALSE)-VLOOKUP($F103,'ELA Reading Logic'!$A$22:$B$48,2,FALSE),"No Value")</f>
        <v>No Value</v>
      </c>
      <c r="AA103" s="92"/>
      <c r="AB103" s="96" t="str">
        <f>IFERROR(IF($E103="Yes","IPP",VLOOKUP($J103,'ELA Reading Logic'!$A$3:$K$9,VLOOKUP(AA$1,'ELA Reading Logic'!$J$22:$K$31,2,FALSE),FALSE)),"Set Grade")</f>
        <v>Set Grade</v>
      </c>
      <c r="AC103" s="96" t="str">
        <f>IFERROR(IF($E103="Yes","IPP",VLOOKUP($J103,'ELA Reading Logic'!$A$13:$K$19,VLOOKUP(AA$1,'ELA Reading Logic'!$J$22:$K$31,2,FALSE),FALSE)),"Set Grade")</f>
        <v>Set Grade</v>
      </c>
      <c r="AD103" s="96" t="str">
        <f>IF($E103="Yes","IPP",IFERROR(IF(AND(AA103&gt;AB103,AA103&lt;AC103),"0",(VLOOKUP(AA103,'ELA Reading Logic'!$A$22:$B$48,2,FALSE))-(IF(VLOOKUP(AA103,'ELA Reading Logic'!$A$22:$B$48,2,FALSE)&lt;=VLOOKUP(AB103,'ELA Reading Logic'!$A$22:$B$48,2,FALSE),VLOOKUP(AB103,'ELA Reading Logic'!$A$22:$B$48,2,FALSE),IF(VLOOKUP(AA103,'ELA Reading Logic'!$A$22:$B$48,2,FALSE)&gt;=VLOOKUP(AC103,'ELA Reading Logic'!$A$22:$B$48,2,FALSE),VLOOKUP(AC103,'ELA Reading Logic'!$A$22:$B$48,2,FALSE),"No Score")))),"No Value"))</f>
        <v>No Value</v>
      </c>
      <c r="AE103" s="96" t="str">
        <f>IFERROR(VLOOKUP(AA103,'ELA Reading Logic'!$A$22:$B$48,2,FALSE)-VLOOKUP($F103,'ELA Reading Logic'!$A$22:$B$48,2,FALSE),"No Value")</f>
        <v>No Value</v>
      </c>
      <c r="AF103" s="92"/>
      <c r="AG103" s="96" t="str">
        <f>IFERROR(IF($E103="Yes","IPP",VLOOKUP($J103,'ELA Reading Logic'!$A$3:$K$9,VLOOKUP(AF$1,'ELA Reading Logic'!$J$22:$K$31,2,FALSE),FALSE)),"Set Grade")</f>
        <v>Set Grade</v>
      </c>
      <c r="AH103" s="96" t="str">
        <f>IFERROR(IF($E103="Yes","IPP",VLOOKUP($J103,'ELA Reading Logic'!$A$13:$K$19,VLOOKUP(AF$1,'ELA Reading Logic'!$J$22:$K$31,2,FALSE),FALSE)),"Set Grade")</f>
        <v>Set Grade</v>
      </c>
      <c r="AI103" s="96" t="str">
        <f>IF($E103="Yes","IPP",IFERROR(IF(AND(AF103&gt;AG103,AF103&lt;AH103),"0",(VLOOKUP(AF103,'ELA Reading Logic'!$A$22:$B$48,2,FALSE))-(IF(VLOOKUP(AF103,'ELA Reading Logic'!$A$22:$B$48,2,FALSE)&lt;=VLOOKUP(AG103,'ELA Reading Logic'!$A$22:$B$48,2,FALSE),VLOOKUP(AG103,'ELA Reading Logic'!$A$22:$B$48,2,FALSE),IF(VLOOKUP(AF103,'ELA Reading Logic'!$A$22:$B$48,2,FALSE)&gt;=VLOOKUP(AH103,'ELA Reading Logic'!$A$22:$B$48,2,FALSE),VLOOKUP(AH103,'ELA Reading Logic'!$A$22:$B$48,2,FALSE),"No Score")))),"No Value"))</f>
        <v>No Value</v>
      </c>
      <c r="AJ103" s="96" t="str">
        <f>IFERROR(VLOOKUP(AF103,'ELA Reading Logic'!$A$22:$B$48,2,FALSE)-VLOOKUP($F103,'ELA Reading Logic'!$A$22:$B$48,2,FALSE),"No Value")</f>
        <v>No Value</v>
      </c>
      <c r="AK103" s="92"/>
      <c r="AL103" s="96" t="str">
        <f>IFERROR(IF($E103="Yes","IPP",VLOOKUP($J103,'ELA Reading Logic'!$A$3:$K$9,VLOOKUP(AK$1,'ELA Reading Logic'!$J$22:$K$31,2,FALSE),FALSE)),"Set Grade")</f>
        <v>Set Grade</v>
      </c>
      <c r="AM103" s="96" t="str">
        <f>IFERROR(IF($E103="Yes","IPP",VLOOKUP($J103,'ELA Reading Logic'!$A$13:$K$19,VLOOKUP(AK$1,'ELA Reading Logic'!$J$22:$K$31,2,FALSE),FALSE)),"Set Grade")</f>
        <v>Set Grade</v>
      </c>
      <c r="AN103" s="96" t="str">
        <f>IF($E103="Yes","IPP",IFERROR(IF(AND(AK103&gt;AL103,AK103&lt;AM103),"0",(VLOOKUP(AK103,'ELA Reading Logic'!$A$22:$B$48,2,FALSE))-(IF(VLOOKUP(AK103,'ELA Reading Logic'!$A$22:$B$48,2,FALSE)&lt;=VLOOKUP(AL103,'ELA Reading Logic'!$A$22:$B$48,2,FALSE),VLOOKUP(AL103,'ELA Reading Logic'!$A$22:$B$48,2,FALSE),IF(VLOOKUP(AK103,'ELA Reading Logic'!$A$22:$B$48,2,FALSE)&gt;=VLOOKUP(AM103,'ELA Reading Logic'!$A$22:$B$48,2,FALSE),VLOOKUP(AM103,'ELA Reading Logic'!$A$22:$B$48,2,FALSE),"No Score")))),"No Value"))</f>
        <v>No Value</v>
      </c>
      <c r="AO103" s="96" t="str">
        <f>IFERROR(VLOOKUP(AK103,'ELA Reading Logic'!$A$22:$B$48,2,FALSE)-VLOOKUP($F103,'ELA Reading Logic'!$A$22:$B$48,2,FALSE),"No Value")</f>
        <v>No Value</v>
      </c>
      <c r="AP103" s="92"/>
      <c r="AQ103" s="96" t="str">
        <f>IFERROR(IF($E103="Yes","IPP",VLOOKUP($J103,'ELA Reading Logic'!$A$3:$K$9,VLOOKUP(AP$1,'ELA Reading Logic'!$J$22:$K$31,2,FALSE),FALSE)),"Set Grade")</f>
        <v>Set Grade</v>
      </c>
      <c r="AR103" s="96" t="str">
        <f>IFERROR(IF($E103="Yes","IPP",VLOOKUP($J103,'ELA Reading Logic'!$A$13:$K$19,VLOOKUP(AP$1,'ELA Reading Logic'!$J$22:$K$31,2,FALSE),FALSE)),"Set Grade")</f>
        <v>Set Grade</v>
      </c>
      <c r="AS103" s="96" t="str">
        <f>IF($E103="Yes","IPP",IFERROR(IF(AND(AP103&gt;AQ103,AP103&lt;AR103),"0",(VLOOKUP(AP103,'ELA Reading Logic'!$A$22:$B$48,2,FALSE))-(IF(VLOOKUP(AP103,'ELA Reading Logic'!$A$22:$B$48,2,FALSE)&lt;=VLOOKUP(AQ103,'ELA Reading Logic'!$A$22:$B$48,2,FALSE),VLOOKUP(AQ103,'ELA Reading Logic'!$A$22:$B$48,2,FALSE),IF(VLOOKUP(AP103,'ELA Reading Logic'!$A$22:$B$48,2,FALSE)&gt;=VLOOKUP(AR103,'ELA Reading Logic'!$A$22:$B$48,2,FALSE),VLOOKUP(AR103,'ELA Reading Logic'!$A$22:$B$48,2,FALSE),"No Score")))),"No Value"))</f>
        <v>No Value</v>
      </c>
      <c r="AT103" s="96" t="str">
        <f>IFERROR(VLOOKUP(AP103,'ELA Reading Logic'!$A$22:$B$48,2,FALSE)-VLOOKUP($F103,'ELA Reading Logic'!$A$22:$B$48,2,FALSE),"No Value")</f>
        <v>No Value</v>
      </c>
    </row>
    <row r="104" spans="1:46" ht="22.5" customHeight="1" x14ac:dyDescent="0.25">
      <c r="A104" s="176"/>
      <c r="B104" s="176"/>
      <c r="C104" s="176"/>
      <c r="D104" s="176"/>
      <c r="E104" s="175"/>
      <c r="F104" s="175"/>
      <c r="G104" s="177" t="str">
        <f>IFERROR(IF($E104="Yes","IPP",VLOOKUP($J104,'ELA Reading Logic'!$A$3:$K$9,VLOOKUP("September",'ELA Reading Logic'!$J$22:$K$31,2,FALSE),FALSE)),"Set Grade")</f>
        <v>Set Grade</v>
      </c>
      <c r="H104" s="177" t="str">
        <f>IFERROR(IF($E104="Yes","IPP",VLOOKUP($J104,'ELA Reading Logic'!$A$13:$K$19,VLOOKUP("September",'ELA Reading Logic'!$J$22:$K$31,2,FALSE),FALSE)),"Set Grade")</f>
        <v>Set Grade</v>
      </c>
      <c r="I104" s="96" t="str">
        <f>IF($E104="Yes","IPP",IFERROR(IF(AND(F104&gt;G104,F104&lt;H104),"0",(VLOOKUP(F104,'ELA Reading Logic'!$A$22:$B$48,2,FALSE))-(IF(VLOOKUP(F104,'ELA Reading Logic'!$A$22:$B$48,2,FALSE)&lt;=VLOOKUP(G104,'ELA Reading Logic'!$A$22:$B$48,2,FALSE),VLOOKUP(G104,'ELA Reading Logic'!$A$22:$B$48,2,FALSE),IF(VLOOKUP(F104,'ELA Reading Logic'!$A$22:$B$48,2,FALSE)&gt;=VLOOKUP(H104,'ELA Reading Logic'!$A$22:$B$48,2,FALSE),VLOOKUP(H104,'ELA Reading Logic'!$A$22:$B$48,2,FALSE),"No Score")))),"No Value"))</f>
        <v>No Value</v>
      </c>
      <c r="J104" s="178"/>
      <c r="K104" s="96"/>
      <c r="L104" s="96"/>
      <c r="M104" s="96"/>
      <c r="N104" s="96"/>
      <c r="O104" s="96"/>
      <c r="P104" s="105"/>
      <c r="Q104" s="92"/>
      <c r="R104" s="96" t="str">
        <f>IFERROR(IF($E104="Yes","IPP",VLOOKUP($J104,'ELA Reading Logic'!$A$3:$K$9,VLOOKUP(Q$1,'ELA Reading Logic'!$J$22:$K$31,2,FALSE),FALSE)),"Set Grade")</f>
        <v>Set Grade</v>
      </c>
      <c r="S104" s="96" t="str">
        <f>IFERROR(IF($E104="Yes","IPP",VLOOKUP($J104,'ELA Reading Logic'!$A$13:$K$19,VLOOKUP(Q$1,'ELA Reading Logic'!$J$22:$K$31,2,FALSE),FALSE)),"Set Grade")</f>
        <v>Set Grade</v>
      </c>
      <c r="T104" s="96" t="str">
        <f>IF($E104="Yes","IPP",IFERROR(IF(AND(Q104&gt;R104,Q104&lt;S104),"0",(VLOOKUP(Q104,'ELA Reading Logic'!$A$22:$B$48,2,FALSE))-(IF(VLOOKUP(Q104,'ELA Reading Logic'!$A$22:$B$48,2,FALSE)&lt;=VLOOKUP(R104,'ELA Reading Logic'!$A$22:$B$48,2,FALSE),VLOOKUP(R104,'ELA Reading Logic'!$A$22:$B$48,2,FALSE),IF(VLOOKUP(Q104,'ELA Reading Logic'!$A$22:$B$48,2,FALSE)&gt;=VLOOKUP(S104,'ELA Reading Logic'!$A$22:$B$48,2,FALSE),VLOOKUP(S104,'ELA Reading Logic'!$A$22:$B$48,2,FALSE),"No Score")))),"No Value"))</f>
        <v>No Value</v>
      </c>
      <c r="U104" s="96" t="str">
        <f>IFERROR(VLOOKUP(Q104,'ELA Reading Logic'!$A$22:$B$48,2,FALSE)-VLOOKUP($F104,'ELA Reading Logic'!$A$22:$B$48,2,FALSE),"No Value")</f>
        <v>No Value</v>
      </c>
      <c r="V104" s="92"/>
      <c r="W104" s="96" t="str">
        <f>IFERROR(IF($E104="Yes","IPP",VLOOKUP($J104,'ELA Reading Logic'!$A$3:$K$9,VLOOKUP(V$1,'ELA Reading Logic'!$J$22:$K$31,2,FALSE),FALSE)),"Set Grade")</f>
        <v>Set Grade</v>
      </c>
      <c r="X104" s="96" t="str">
        <f>IFERROR(IF($E104="Yes","IPP",VLOOKUP($J104,'ELA Reading Logic'!$A$13:$K$19,VLOOKUP(V$1,'ELA Reading Logic'!$J$22:$K$31,2,FALSE),FALSE)),"Set Grade")</f>
        <v>Set Grade</v>
      </c>
      <c r="Y104" s="96" t="str">
        <f>IF($E104="Yes","IPP",IFERROR(IF(AND(V104&gt;W104,V104&lt;X104),"0",(VLOOKUP(V104,'ELA Reading Logic'!$A$22:$B$48,2,FALSE))-(IF(VLOOKUP(V104,'ELA Reading Logic'!$A$22:$B$48,2,FALSE)&lt;=VLOOKUP(W104,'ELA Reading Logic'!$A$22:$B$48,2,FALSE),VLOOKUP(W104,'ELA Reading Logic'!$A$22:$B$48,2,FALSE),IF(VLOOKUP(V104,'ELA Reading Logic'!$A$22:$B$48,2,FALSE)&gt;=VLOOKUP(X104,'ELA Reading Logic'!$A$22:$B$48,2,FALSE),VLOOKUP(X104,'ELA Reading Logic'!$A$22:$B$48,2,FALSE),"No Score")))),"No Value"))</f>
        <v>No Value</v>
      </c>
      <c r="Z104" s="96" t="str">
        <f>IFERROR(VLOOKUP(V104,'ELA Reading Logic'!$A$22:$B$48,2,FALSE)-VLOOKUP($F104,'ELA Reading Logic'!$A$22:$B$48,2,FALSE),"No Value")</f>
        <v>No Value</v>
      </c>
      <c r="AA104" s="92"/>
      <c r="AB104" s="96" t="str">
        <f>IFERROR(IF($E104="Yes","IPP",VLOOKUP($J104,'ELA Reading Logic'!$A$3:$K$9,VLOOKUP(AA$1,'ELA Reading Logic'!$J$22:$K$31,2,FALSE),FALSE)),"Set Grade")</f>
        <v>Set Grade</v>
      </c>
      <c r="AC104" s="96" t="str">
        <f>IFERROR(IF($E104="Yes","IPP",VLOOKUP($J104,'ELA Reading Logic'!$A$13:$K$19,VLOOKUP(AA$1,'ELA Reading Logic'!$J$22:$K$31,2,FALSE),FALSE)),"Set Grade")</f>
        <v>Set Grade</v>
      </c>
      <c r="AD104" s="96" t="str">
        <f>IF($E104="Yes","IPP",IFERROR(IF(AND(AA104&gt;AB104,AA104&lt;AC104),"0",(VLOOKUP(AA104,'ELA Reading Logic'!$A$22:$B$48,2,FALSE))-(IF(VLOOKUP(AA104,'ELA Reading Logic'!$A$22:$B$48,2,FALSE)&lt;=VLOOKUP(AB104,'ELA Reading Logic'!$A$22:$B$48,2,FALSE),VLOOKUP(AB104,'ELA Reading Logic'!$A$22:$B$48,2,FALSE),IF(VLOOKUP(AA104,'ELA Reading Logic'!$A$22:$B$48,2,FALSE)&gt;=VLOOKUP(AC104,'ELA Reading Logic'!$A$22:$B$48,2,FALSE),VLOOKUP(AC104,'ELA Reading Logic'!$A$22:$B$48,2,FALSE),"No Score")))),"No Value"))</f>
        <v>No Value</v>
      </c>
      <c r="AE104" s="96" t="str">
        <f>IFERROR(VLOOKUP(AA104,'ELA Reading Logic'!$A$22:$B$48,2,FALSE)-VLOOKUP($F104,'ELA Reading Logic'!$A$22:$B$48,2,FALSE),"No Value")</f>
        <v>No Value</v>
      </c>
      <c r="AF104" s="92"/>
      <c r="AG104" s="96" t="str">
        <f>IFERROR(IF($E104="Yes","IPP",VLOOKUP($J104,'ELA Reading Logic'!$A$3:$K$9,VLOOKUP(AF$1,'ELA Reading Logic'!$J$22:$K$31,2,FALSE),FALSE)),"Set Grade")</f>
        <v>Set Grade</v>
      </c>
      <c r="AH104" s="96" t="str">
        <f>IFERROR(IF($E104="Yes","IPP",VLOOKUP($J104,'ELA Reading Logic'!$A$13:$K$19,VLOOKUP(AF$1,'ELA Reading Logic'!$J$22:$K$31,2,FALSE),FALSE)),"Set Grade")</f>
        <v>Set Grade</v>
      </c>
      <c r="AI104" s="96" t="str">
        <f>IF($E104="Yes","IPP",IFERROR(IF(AND(AF104&gt;AG104,AF104&lt;AH104),"0",(VLOOKUP(AF104,'ELA Reading Logic'!$A$22:$B$48,2,FALSE))-(IF(VLOOKUP(AF104,'ELA Reading Logic'!$A$22:$B$48,2,FALSE)&lt;=VLOOKUP(AG104,'ELA Reading Logic'!$A$22:$B$48,2,FALSE),VLOOKUP(AG104,'ELA Reading Logic'!$A$22:$B$48,2,FALSE),IF(VLOOKUP(AF104,'ELA Reading Logic'!$A$22:$B$48,2,FALSE)&gt;=VLOOKUP(AH104,'ELA Reading Logic'!$A$22:$B$48,2,FALSE),VLOOKUP(AH104,'ELA Reading Logic'!$A$22:$B$48,2,FALSE),"No Score")))),"No Value"))</f>
        <v>No Value</v>
      </c>
      <c r="AJ104" s="96" t="str">
        <f>IFERROR(VLOOKUP(AF104,'ELA Reading Logic'!$A$22:$B$48,2,FALSE)-VLOOKUP($F104,'ELA Reading Logic'!$A$22:$B$48,2,FALSE),"No Value")</f>
        <v>No Value</v>
      </c>
      <c r="AK104" s="92"/>
      <c r="AL104" s="96" t="str">
        <f>IFERROR(IF($E104="Yes","IPP",VLOOKUP($J104,'ELA Reading Logic'!$A$3:$K$9,VLOOKUP(AK$1,'ELA Reading Logic'!$J$22:$K$31,2,FALSE),FALSE)),"Set Grade")</f>
        <v>Set Grade</v>
      </c>
      <c r="AM104" s="96" t="str">
        <f>IFERROR(IF($E104="Yes","IPP",VLOOKUP($J104,'ELA Reading Logic'!$A$13:$K$19,VLOOKUP(AK$1,'ELA Reading Logic'!$J$22:$K$31,2,FALSE),FALSE)),"Set Grade")</f>
        <v>Set Grade</v>
      </c>
      <c r="AN104" s="96" t="str">
        <f>IF($E104="Yes","IPP",IFERROR(IF(AND(AK104&gt;AL104,AK104&lt;AM104),"0",(VLOOKUP(AK104,'ELA Reading Logic'!$A$22:$B$48,2,FALSE))-(IF(VLOOKUP(AK104,'ELA Reading Logic'!$A$22:$B$48,2,FALSE)&lt;=VLOOKUP(AL104,'ELA Reading Logic'!$A$22:$B$48,2,FALSE),VLOOKUP(AL104,'ELA Reading Logic'!$A$22:$B$48,2,FALSE),IF(VLOOKUP(AK104,'ELA Reading Logic'!$A$22:$B$48,2,FALSE)&gt;=VLOOKUP(AM104,'ELA Reading Logic'!$A$22:$B$48,2,FALSE),VLOOKUP(AM104,'ELA Reading Logic'!$A$22:$B$48,2,FALSE),"No Score")))),"No Value"))</f>
        <v>No Value</v>
      </c>
      <c r="AO104" s="96" t="str">
        <f>IFERROR(VLOOKUP(AK104,'ELA Reading Logic'!$A$22:$B$48,2,FALSE)-VLOOKUP($F104,'ELA Reading Logic'!$A$22:$B$48,2,FALSE),"No Value")</f>
        <v>No Value</v>
      </c>
      <c r="AP104" s="92"/>
      <c r="AQ104" s="96" t="str">
        <f>IFERROR(IF($E104="Yes","IPP",VLOOKUP($J104,'ELA Reading Logic'!$A$3:$K$9,VLOOKUP(AP$1,'ELA Reading Logic'!$J$22:$K$31,2,FALSE),FALSE)),"Set Grade")</f>
        <v>Set Grade</v>
      </c>
      <c r="AR104" s="96" t="str">
        <f>IFERROR(IF($E104="Yes","IPP",VLOOKUP($J104,'ELA Reading Logic'!$A$13:$K$19,VLOOKUP(AP$1,'ELA Reading Logic'!$J$22:$K$31,2,FALSE),FALSE)),"Set Grade")</f>
        <v>Set Grade</v>
      </c>
      <c r="AS104" s="96" t="str">
        <f>IF($E104="Yes","IPP",IFERROR(IF(AND(AP104&gt;AQ104,AP104&lt;AR104),"0",(VLOOKUP(AP104,'ELA Reading Logic'!$A$22:$B$48,2,FALSE))-(IF(VLOOKUP(AP104,'ELA Reading Logic'!$A$22:$B$48,2,FALSE)&lt;=VLOOKUP(AQ104,'ELA Reading Logic'!$A$22:$B$48,2,FALSE),VLOOKUP(AQ104,'ELA Reading Logic'!$A$22:$B$48,2,FALSE),IF(VLOOKUP(AP104,'ELA Reading Logic'!$A$22:$B$48,2,FALSE)&gt;=VLOOKUP(AR104,'ELA Reading Logic'!$A$22:$B$48,2,FALSE),VLOOKUP(AR104,'ELA Reading Logic'!$A$22:$B$48,2,FALSE),"No Score")))),"No Value"))</f>
        <v>No Value</v>
      </c>
      <c r="AT104" s="96" t="str">
        <f>IFERROR(VLOOKUP(AP104,'ELA Reading Logic'!$A$22:$B$48,2,FALSE)-VLOOKUP($F104,'ELA Reading Logic'!$A$22:$B$48,2,FALSE),"No Value")</f>
        <v>No Value</v>
      </c>
    </row>
    <row r="105" spans="1:46" ht="22.5" customHeight="1" x14ac:dyDescent="0.25">
      <c r="A105" s="174"/>
      <c r="B105" s="174"/>
      <c r="C105" s="174"/>
      <c r="D105" s="174"/>
      <c r="E105" s="175"/>
      <c r="F105" s="175"/>
      <c r="G105" s="177" t="str">
        <f>IFERROR(IF($E105="Yes","IPP",VLOOKUP($J105,'ELA Reading Logic'!$A$3:$K$9,VLOOKUP("September",'ELA Reading Logic'!$J$22:$K$31,2,FALSE),FALSE)),"Set Grade")</f>
        <v>Set Grade</v>
      </c>
      <c r="H105" s="177" t="str">
        <f>IFERROR(IF($E105="Yes","IPP",VLOOKUP($J105,'ELA Reading Logic'!$A$13:$K$19,VLOOKUP("September",'ELA Reading Logic'!$J$22:$K$31,2,FALSE),FALSE)),"Set Grade")</f>
        <v>Set Grade</v>
      </c>
      <c r="I105" s="96" t="str">
        <f>IF($E105="Yes","IPP",IFERROR(IF(AND(F105&gt;G105,F105&lt;H105),"0",(VLOOKUP(F105,'ELA Reading Logic'!$A$22:$B$48,2,FALSE))-(IF(VLOOKUP(F105,'ELA Reading Logic'!$A$22:$B$48,2,FALSE)&lt;=VLOOKUP(G105,'ELA Reading Logic'!$A$22:$B$48,2,FALSE),VLOOKUP(G105,'ELA Reading Logic'!$A$22:$B$48,2,FALSE),IF(VLOOKUP(F105,'ELA Reading Logic'!$A$22:$B$48,2,FALSE)&gt;=VLOOKUP(H105,'ELA Reading Logic'!$A$22:$B$48,2,FALSE),VLOOKUP(H105,'ELA Reading Logic'!$A$22:$B$48,2,FALSE),"No Score")))),"No Value"))</f>
        <v>No Value</v>
      </c>
      <c r="J105" s="178"/>
      <c r="K105" s="96"/>
      <c r="L105" s="96"/>
      <c r="M105" s="96"/>
      <c r="N105" s="96"/>
      <c r="O105" s="96"/>
      <c r="P105" s="105"/>
      <c r="Q105" s="92"/>
      <c r="R105" s="96" t="str">
        <f>IFERROR(IF($E105="Yes","IPP",VLOOKUP($J105,'ELA Reading Logic'!$A$3:$K$9,VLOOKUP(Q$1,'ELA Reading Logic'!$J$22:$K$31,2,FALSE),FALSE)),"Set Grade")</f>
        <v>Set Grade</v>
      </c>
      <c r="S105" s="96" t="str">
        <f>IFERROR(IF($E105="Yes","IPP",VLOOKUP($J105,'ELA Reading Logic'!$A$13:$K$19,VLOOKUP(Q$1,'ELA Reading Logic'!$J$22:$K$31,2,FALSE),FALSE)),"Set Grade")</f>
        <v>Set Grade</v>
      </c>
      <c r="T105" s="96" t="str">
        <f>IF($E105="Yes","IPP",IFERROR(IF(AND(Q105&gt;R105,Q105&lt;S105),"0",(VLOOKUP(Q105,'ELA Reading Logic'!$A$22:$B$48,2,FALSE))-(IF(VLOOKUP(Q105,'ELA Reading Logic'!$A$22:$B$48,2,FALSE)&lt;=VLOOKUP(R105,'ELA Reading Logic'!$A$22:$B$48,2,FALSE),VLOOKUP(R105,'ELA Reading Logic'!$A$22:$B$48,2,FALSE),IF(VLOOKUP(Q105,'ELA Reading Logic'!$A$22:$B$48,2,FALSE)&gt;=VLOOKUP(S105,'ELA Reading Logic'!$A$22:$B$48,2,FALSE),VLOOKUP(S105,'ELA Reading Logic'!$A$22:$B$48,2,FALSE),"No Score")))),"No Value"))</f>
        <v>No Value</v>
      </c>
      <c r="U105" s="96" t="str">
        <f>IFERROR(VLOOKUP(Q105,'ELA Reading Logic'!$A$22:$B$48,2,FALSE)-VLOOKUP($F105,'ELA Reading Logic'!$A$22:$B$48,2,FALSE),"No Value")</f>
        <v>No Value</v>
      </c>
      <c r="V105" s="92"/>
      <c r="W105" s="96" t="str">
        <f>IFERROR(IF($E105="Yes","IPP",VLOOKUP($J105,'ELA Reading Logic'!$A$3:$K$9,VLOOKUP(V$1,'ELA Reading Logic'!$J$22:$K$31,2,FALSE),FALSE)),"Set Grade")</f>
        <v>Set Grade</v>
      </c>
      <c r="X105" s="96" t="str">
        <f>IFERROR(IF($E105="Yes","IPP",VLOOKUP($J105,'ELA Reading Logic'!$A$13:$K$19,VLOOKUP(V$1,'ELA Reading Logic'!$J$22:$K$31,2,FALSE),FALSE)),"Set Grade")</f>
        <v>Set Grade</v>
      </c>
      <c r="Y105" s="96" t="str">
        <f>IF($E105="Yes","IPP",IFERROR(IF(AND(V105&gt;W105,V105&lt;X105),"0",(VLOOKUP(V105,'ELA Reading Logic'!$A$22:$B$48,2,FALSE))-(IF(VLOOKUP(V105,'ELA Reading Logic'!$A$22:$B$48,2,FALSE)&lt;=VLOOKUP(W105,'ELA Reading Logic'!$A$22:$B$48,2,FALSE),VLOOKUP(W105,'ELA Reading Logic'!$A$22:$B$48,2,FALSE),IF(VLOOKUP(V105,'ELA Reading Logic'!$A$22:$B$48,2,FALSE)&gt;=VLOOKUP(X105,'ELA Reading Logic'!$A$22:$B$48,2,FALSE),VLOOKUP(X105,'ELA Reading Logic'!$A$22:$B$48,2,FALSE),"No Score")))),"No Value"))</f>
        <v>No Value</v>
      </c>
      <c r="Z105" s="96" t="str">
        <f>IFERROR(VLOOKUP(V105,'ELA Reading Logic'!$A$22:$B$48,2,FALSE)-VLOOKUP($F105,'ELA Reading Logic'!$A$22:$B$48,2,FALSE),"No Value")</f>
        <v>No Value</v>
      </c>
      <c r="AA105" s="92"/>
      <c r="AB105" s="96" t="str">
        <f>IFERROR(IF($E105="Yes","IPP",VLOOKUP($J105,'ELA Reading Logic'!$A$3:$K$9,VLOOKUP(AA$1,'ELA Reading Logic'!$J$22:$K$31,2,FALSE),FALSE)),"Set Grade")</f>
        <v>Set Grade</v>
      </c>
      <c r="AC105" s="96" t="str">
        <f>IFERROR(IF($E105="Yes","IPP",VLOOKUP($J105,'ELA Reading Logic'!$A$13:$K$19,VLOOKUP(AA$1,'ELA Reading Logic'!$J$22:$K$31,2,FALSE),FALSE)),"Set Grade")</f>
        <v>Set Grade</v>
      </c>
      <c r="AD105" s="96" t="str">
        <f>IF($E105="Yes","IPP",IFERROR(IF(AND(AA105&gt;AB105,AA105&lt;AC105),"0",(VLOOKUP(AA105,'ELA Reading Logic'!$A$22:$B$48,2,FALSE))-(IF(VLOOKUP(AA105,'ELA Reading Logic'!$A$22:$B$48,2,FALSE)&lt;=VLOOKUP(AB105,'ELA Reading Logic'!$A$22:$B$48,2,FALSE),VLOOKUP(AB105,'ELA Reading Logic'!$A$22:$B$48,2,FALSE),IF(VLOOKUP(AA105,'ELA Reading Logic'!$A$22:$B$48,2,FALSE)&gt;=VLOOKUP(AC105,'ELA Reading Logic'!$A$22:$B$48,2,FALSE),VLOOKUP(AC105,'ELA Reading Logic'!$A$22:$B$48,2,FALSE),"No Score")))),"No Value"))</f>
        <v>No Value</v>
      </c>
      <c r="AE105" s="96" t="str">
        <f>IFERROR(VLOOKUP(AA105,'ELA Reading Logic'!$A$22:$B$48,2,FALSE)-VLOOKUP($F105,'ELA Reading Logic'!$A$22:$B$48,2,FALSE),"No Value")</f>
        <v>No Value</v>
      </c>
      <c r="AF105" s="92"/>
      <c r="AG105" s="96" t="str">
        <f>IFERROR(IF($E105="Yes","IPP",VLOOKUP($J105,'ELA Reading Logic'!$A$3:$K$9,VLOOKUP(AF$1,'ELA Reading Logic'!$J$22:$K$31,2,FALSE),FALSE)),"Set Grade")</f>
        <v>Set Grade</v>
      </c>
      <c r="AH105" s="96" t="str">
        <f>IFERROR(IF($E105="Yes","IPP",VLOOKUP($J105,'ELA Reading Logic'!$A$13:$K$19,VLOOKUP(AF$1,'ELA Reading Logic'!$J$22:$K$31,2,FALSE),FALSE)),"Set Grade")</f>
        <v>Set Grade</v>
      </c>
      <c r="AI105" s="96" t="str">
        <f>IF($E105="Yes","IPP",IFERROR(IF(AND(AF105&gt;AG105,AF105&lt;AH105),"0",(VLOOKUP(AF105,'ELA Reading Logic'!$A$22:$B$48,2,FALSE))-(IF(VLOOKUP(AF105,'ELA Reading Logic'!$A$22:$B$48,2,FALSE)&lt;=VLOOKUP(AG105,'ELA Reading Logic'!$A$22:$B$48,2,FALSE),VLOOKUP(AG105,'ELA Reading Logic'!$A$22:$B$48,2,FALSE),IF(VLOOKUP(AF105,'ELA Reading Logic'!$A$22:$B$48,2,FALSE)&gt;=VLOOKUP(AH105,'ELA Reading Logic'!$A$22:$B$48,2,FALSE),VLOOKUP(AH105,'ELA Reading Logic'!$A$22:$B$48,2,FALSE),"No Score")))),"No Value"))</f>
        <v>No Value</v>
      </c>
      <c r="AJ105" s="96" t="str">
        <f>IFERROR(VLOOKUP(AF105,'ELA Reading Logic'!$A$22:$B$48,2,FALSE)-VLOOKUP($F105,'ELA Reading Logic'!$A$22:$B$48,2,FALSE),"No Value")</f>
        <v>No Value</v>
      </c>
      <c r="AK105" s="92"/>
      <c r="AL105" s="96" t="str">
        <f>IFERROR(IF($E105="Yes","IPP",VLOOKUP($J105,'ELA Reading Logic'!$A$3:$K$9,VLOOKUP(AK$1,'ELA Reading Logic'!$J$22:$K$31,2,FALSE),FALSE)),"Set Grade")</f>
        <v>Set Grade</v>
      </c>
      <c r="AM105" s="96" t="str">
        <f>IFERROR(IF($E105="Yes","IPP",VLOOKUP($J105,'ELA Reading Logic'!$A$13:$K$19,VLOOKUP(AK$1,'ELA Reading Logic'!$J$22:$K$31,2,FALSE),FALSE)),"Set Grade")</f>
        <v>Set Grade</v>
      </c>
      <c r="AN105" s="96" t="str">
        <f>IF($E105="Yes","IPP",IFERROR(IF(AND(AK105&gt;AL105,AK105&lt;AM105),"0",(VLOOKUP(AK105,'ELA Reading Logic'!$A$22:$B$48,2,FALSE))-(IF(VLOOKUP(AK105,'ELA Reading Logic'!$A$22:$B$48,2,FALSE)&lt;=VLOOKUP(AL105,'ELA Reading Logic'!$A$22:$B$48,2,FALSE),VLOOKUP(AL105,'ELA Reading Logic'!$A$22:$B$48,2,FALSE),IF(VLOOKUP(AK105,'ELA Reading Logic'!$A$22:$B$48,2,FALSE)&gt;=VLOOKUP(AM105,'ELA Reading Logic'!$A$22:$B$48,2,FALSE),VLOOKUP(AM105,'ELA Reading Logic'!$A$22:$B$48,2,FALSE),"No Score")))),"No Value"))</f>
        <v>No Value</v>
      </c>
      <c r="AO105" s="96" t="str">
        <f>IFERROR(VLOOKUP(AK105,'ELA Reading Logic'!$A$22:$B$48,2,FALSE)-VLOOKUP($F105,'ELA Reading Logic'!$A$22:$B$48,2,FALSE),"No Value")</f>
        <v>No Value</v>
      </c>
      <c r="AP105" s="92"/>
      <c r="AQ105" s="96" t="str">
        <f>IFERROR(IF($E105="Yes","IPP",VLOOKUP($J105,'ELA Reading Logic'!$A$3:$K$9,VLOOKUP(AP$1,'ELA Reading Logic'!$J$22:$K$31,2,FALSE),FALSE)),"Set Grade")</f>
        <v>Set Grade</v>
      </c>
      <c r="AR105" s="96" t="str">
        <f>IFERROR(IF($E105="Yes","IPP",VLOOKUP($J105,'ELA Reading Logic'!$A$13:$K$19,VLOOKUP(AP$1,'ELA Reading Logic'!$J$22:$K$31,2,FALSE),FALSE)),"Set Grade")</f>
        <v>Set Grade</v>
      </c>
      <c r="AS105" s="96" t="str">
        <f>IF($E105="Yes","IPP",IFERROR(IF(AND(AP105&gt;AQ105,AP105&lt;AR105),"0",(VLOOKUP(AP105,'ELA Reading Logic'!$A$22:$B$48,2,FALSE))-(IF(VLOOKUP(AP105,'ELA Reading Logic'!$A$22:$B$48,2,FALSE)&lt;=VLOOKUP(AQ105,'ELA Reading Logic'!$A$22:$B$48,2,FALSE),VLOOKUP(AQ105,'ELA Reading Logic'!$A$22:$B$48,2,FALSE),IF(VLOOKUP(AP105,'ELA Reading Logic'!$A$22:$B$48,2,FALSE)&gt;=VLOOKUP(AR105,'ELA Reading Logic'!$A$22:$B$48,2,FALSE),VLOOKUP(AR105,'ELA Reading Logic'!$A$22:$B$48,2,FALSE),"No Score")))),"No Value"))</f>
        <v>No Value</v>
      </c>
      <c r="AT105" s="96" t="str">
        <f>IFERROR(VLOOKUP(AP105,'ELA Reading Logic'!$A$22:$B$48,2,FALSE)-VLOOKUP($F105,'ELA Reading Logic'!$A$22:$B$48,2,FALSE),"No Value")</f>
        <v>No Value</v>
      </c>
    </row>
    <row r="106" spans="1:46" ht="22.5" customHeight="1" x14ac:dyDescent="0.25">
      <c r="A106" s="176"/>
      <c r="B106" s="176"/>
      <c r="C106" s="176"/>
      <c r="D106" s="176"/>
      <c r="E106" s="175"/>
      <c r="F106" s="175"/>
      <c r="G106" s="177" t="str">
        <f>IFERROR(IF($E106="Yes","IPP",VLOOKUP($J106,'ELA Reading Logic'!$A$3:$K$9,VLOOKUP("September",'ELA Reading Logic'!$J$22:$K$31,2,FALSE),FALSE)),"Set Grade")</f>
        <v>Set Grade</v>
      </c>
      <c r="H106" s="177" t="str">
        <f>IFERROR(IF($E106="Yes","IPP",VLOOKUP($J106,'ELA Reading Logic'!$A$13:$K$19,VLOOKUP("September",'ELA Reading Logic'!$J$22:$K$31,2,FALSE),FALSE)),"Set Grade")</f>
        <v>Set Grade</v>
      </c>
      <c r="I106" s="96" t="str">
        <f>IF($E106="Yes","IPP",IFERROR(IF(AND(F106&gt;G106,F106&lt;H106),"0",(VLOOKUP(F106,'ELA Reading Logic'!$A$22:$B$48,2,FALSE))-(IF(VLOOKUP(F106,'ELA Reading Logic'!$A$22:$B$48,2,FALSE)&lt;=VLOOKUP(G106,'ELA Reading Logic'!$A$22:$B$48,2,FALSE),VLOOKUP(G106,'ELA Reading Logic'!$A$22:$B$48,2,FALSE),IF(VLOOKUP(F106,'ELA Reading Logic'!$A$22:$B$48,2,FALSE)&gt;=VLOOKUP(H106,'ELA Reading Logic'!$A$22:$B$48,2,FALSE),VLOOKUP(H106,'ELA Reading Logic'!$A$22:$B$48,2,FALSE),"No Score")))),"No Value"))</f>
        <v>No Value</v>
      </c>
      <c r="J106" s="178"/>
      <c r="K106" s="96"/>
      <c r="L106" s="96"/>
      <c r="M106" s="96"/>
      <c r="N106" s="96"/>
      <c r="O106" s="96"/>
      <c r="P106" s="105"/>
      <c r="Q106" s="92"/>
      <c r="R106" s="96" t="str">
        <f>IFERROR(IF($E106="Yes","IPP",VLOOKUP($J106,'ELA Reading Logic'!$A$3:$K$9,VLOOKUP(Q$1,'ELA Reading Logic'!$J$22:$K$31,2,FALSE),FALSE)),"Set Grade")</f>
        <v>Set Grade</v>
      </c>
      <c r="S106" s="96" t="str">
        <f>IFERROR(IF($E106="Yes","IPP",VLOOKUP($J106,'ELA Reading Logic'!$A$13:$K$19,VLOOKUP(Q$1,'ELA Reading Logic'!$J$22:$K$31,2,FALSE),FALSE)),"Set Grade")</f>
        <v>Set Grade</v>
      </c>
      <c r="T106" s="96" t="str">
        <f>IF($E106="Yes","IPP",IFERROR(IF(AND(Q106&gt;R106,Q106&lt;S106),"0",(VLOOKUP(Q106,'ELA Reading Logic'!$A$22:$B$48,2,FALSE))-(IF(VLOOKUP(Q106,'ELA Reading Logic'!$A$22:$B$48,2,FALSE)&lt;=VLOOKUP(R106,'ELA Reading Logic'!$A$22:$B$48,2,FALSE),VLOOKUP(R106,'ELA Reading Logic'!$A$22:$B$48,2,FALSE),IF(VLOOKUP(Q106,'ELA Reading Logic'!$A$22:$B$48,2,FALSE)&gt;=VLOOKUP(S106,'ELA Reading Logic'!$A$22:$B$48,2,FALSE),VLOOKUP(S106,'ELA Reading Logic'!$A$22:$B$48,2,FALSE),"No Score")))),"No Value"))</f>
        <v>No Value</v>
      </c>
      <c r="U106" s="96" t="str">
        <f>IFERROR(VLOOKUP(Q106,'ELA Reading Logic'!$A$22:$B$48,2,FALSE)-VLOOKUP($F106,'ELA Reading Logic'!$A$22:$B$48,2,FALSE),"No Value")</f>
        <v>No Value</v>
      </c>
      <c r="V106" s="92"/>
      <c r="W106" s="96" t="str">
        <f>IFERROR(IF($E106="Yes","IPP",VLOOKUP($J106,'ELA Reading Logic'!$A$3:$K$9,VLOOKUP(V$1,'ELA Reading Logic'!$J$22:$K$31,2,FALSE),FALSE)),"Set Grade")</f>
        <v>Set Grade</v>
      </c>
      <c r="X106" s="96" t="str">
        <f>IFERROR(IF($E106="Yes","IPP",VLOOKUP($J106,'ELA Reading Logic'!$A$13:$K$19,VLOOKUP(V$1,'ELA Reading Logic'!$J$22:$K$31,2,FALSE),FALSE)),"Set Grade")</f>
        <v>Set Grade</v>
      </c>
      <c r="Y106" s="96" t="str">
        <f>IF($E106="Yes","IPP",IFERROR(IF(AND(V106&gt;W106,V106&lt;X106),"0",(VLOOKUP(V106,'ELA Reading Logic'!$A$22:$B$48,2,FALSE))-(IF(VLOOKUP(V106,'ELA Reading Logic'!$A$22:$B$48,2,FALSE)&lt;=VLOOKUP(W106,'ELA Reading Logic'!$A$22:$B$48,2,FALSE),VLOOKUP(W106,'ELA Reading Logic'!$A$22:$B$48,2,FALSE),IF(VLOOKUP(V106,'ELA Reading Logic'!$A$22:$B$48,2,FALSE)&gt;=VLOOKUP(X106,'ELA Reading Logic'!$A$22:$B$48,2,FALSE),VLOOKUP(X106,'ELA Reading Logic'!$A$22:$B$48,2,FALSE),"No Score")))),"No Value"))</f>
        <v>No Value</v>
      </c>
      <c r="Z106" s="96" t="str">
        <f>IFERROR(VLOOKUP(V106,'ELA Reading Logic'!$A$22:$B$48,2,FALSE)-VLOOKUP($F106,'ELA Reading Logic'!$A$22:$B$48,2,FALSE),"No Value")</f>
        <v>No Value</v>
      </c>
      <c r="AA106" s="92"/>
      <c r="AB106" s="96" t="str">
        <f>IFERROR(IF($E106="Yes","IPP",VLOOKUP($J106,'ELA Reading Logic'!$A$3:$K$9,VLOOKUP(AA$1,'ELA Reading Logic'!$J$22:$K$31,2,FALSE),FALSE)),"Set Grade")</f>
        <v>Set Grade</v>
      </c>
      <c r="AC106" s="96" t="str">
        <f>IFERROR(IF($E106="Yes","IPP",VLOOKUP($J106,'ELA Reading Logic'!$A$13:$K$19,VLOOKUP(AA$1,'ELA Reading Logic'!$J$22:$K$31,2,FALSE),FALSE)),"Set Grade")</f>
        <v>Set Grade</v>
      </c>
      <c r="AD106" s="96" t="str">
        <f>IF($E106="Yes","IPP",IFERROR(IF(AND(AA106&gt;AB106,AA106&lt;AC106),"0",(VLOOKUP(AA106,'ELA Reading Logic'!$A$22:$B$48,2,FALSE))-(IF(VLOOKUP(AA106,'ELA Reading Logic'!$A$22:$B$48,2,FALSE)&lt;=VLOOKUP(AB106,'ELA Reading Logic'!$A$22:$B$48,2,FALSE),VLOOKUP(AB106,'ELA Reading Logic'!$A$22:$B$48,2,FALSE),IF(VLOOKUP(AA106,'ELA Reading Logic'!$A$22:$B$48,2,FALSE)&gt;=VLOOKUP(AC106,'ELA Reading Logic'!$A$22:$B$48,2,FALSE),VLOOKUP(AC106,'ELA Reading Logic'!$A$22:$B$48,2,FALSE),"No Score")))),"No Value"))</f>
        <v>No Value</v>
      </c>
      <c r="AE106" s="96" t="str">
        <f>IFERROR(VLOOKUP(AA106,'ELA Reading Logic'!$A$22:$B$48,2,FALSE)-VLOOKUP($F106,'ELA Reading Logic'!$A$22:$B$48,2,FALSE),"No Value")</f>
        <v>No Value</v>
      </c>
      <c r="AF106" s="92"/>
      <c r="AG106" s="96" t="str">
        <f>IFERROR(IF($E106="Yes","IPP",VLOOKUP($J106,'ELA Reading Logic'!$A$3:$K$9,VLOOKUP(AF$1,'ELA Reading Logic'!$J$22:$K$31,2,FALSE),FALSE)),"Set Grade")</f>
        <v>Set Grade</v>
      </c>
      <c r="AH106" s="96" t="str">
        <f>IFERROR(IF($E106="Yes","IPP",VLOOKUP($J106,'ELA Reading Logic'!$A$13:$K$19,VLOOKUP(AF$1,'ELA Reading Logic'!$J$22:$K$31,2,FALSE),FALSE)),"Set Grade")</f>
        <v>Set Grade</v>
      </c>
      <c r="AI106" s="96" t="str">
        <f>IF($E106="Yes","IPP",IFERROR(IF(AND(AF106&gt;AG106,AF106&lt;AH106),"0",(VLOOKUP(AF106,'ELA Reading Logic'!$A$22:$B$48,2,FALSE))-(IF(VLOOKUP(AF106,'ELA Reading Logic'!$A$22:$B$48,2,FALSE)&lt;=VLOOKUP(AG106,'ELA Reading Logic'!$A$22:$B$48,2,FALSE),VLOOKUP(AG106,'ELA Reading Logic'!$A$22:$B$48,2,FALSE),IF(VLOOKUP(AF106,'ELA Reading Logic'!$A$22:$B$48,2,FALSE)&gt;=VLOOKUP(AH106,'ELA Reading Logic'!$A$22:$B$48,2,FALSE),VLOOKUP(AH106,'ELA Reading Logic'!$A$22:$B$48,2,FALSE),"No Score")))),"No Value"))</f>
        <v>No Value</v>
      </c>
      <c r="AJ106" s="96" t="str">
        <f>IFERROR(VLOOKUP(AF106,'ELA Reading Logic'!$A$22:$B$48,2,FALSE)-VLOOKUP($F106,'ELA Reading Logic'!$A$22:$B$48,2,FALSE),"No Value")</f>
        <v>No Value</v>
      </c>
      <c r="AK106" s="92"/>
      <c r="AL106" s="96" t="str">
        <f>IFERROR(IF($E106="Yes","IPP",VLOOKUP($J106,'ELA Reading Logic'!$A$3:$K$9,VLOOKUP(AK$1,'ELA Reading Logic'!$J$22:$K$31,2,FALSE),FALSE)),"Set Grade")</f>
        <v>Set Grade</v>
      </c>
      <c r="AM106" s="96" t="str">
        <f>IFERROR(IF($E106="Yes","IPP",VLOOKUP($J106,'ELA Reading Logic'!$A$13:$K$19,VLOOKUP(AK$1,'ELA Reading Logic'!$J$22:$K$31,2,FALSE),FALSE)),"Set Grade")</f>
        <v>Set Grade</v>
      </c>
      <c r="AN106" s="96" t="str">
        <f>IF($E106="Yes","IPP",IFERROR(IF(AND(AK106&gt;AL106,AK106&lt;AM106),"0",(VLOOKUP(AK106,'ELA Reading Logic'!$A$22:$B$48,2,FALSE))-(IF(VLOOKUP(AK106,'ELA Reading Logic'!$A$22:$B$48,2,FALSE)&lt;=VLOOKUP(AL106,'ELA Reading Logic'!$A$22:$B$48,2,FALSE),VLOOKUP(AL106,'ELA Reading Logic'!$A$22:$B$48,2,FALSE),IF(VLOOKUP(AK106,'ELA Reading Logic'!$A$22:$B$48,2,FALSE)&gt;=VLOOKUP(AM106,'ELA Reading Logic'!$A$22:$B$48,2,FALSE),VLOOKUP(AM106,'ELA Reading Logic'!$A$22:$B$48,2,FALSE),"No Score")))),"No Value"))</f>
        <v>No Value</v>
      </c>
      <c r="AO106" s="96" t="str">
        <f>IFERROR(VLOOKUP(AK106,'ELA Reading Logic'!$A$22:$B$48,2,FALSE)-VLOOKUP($F106,'ELA Reading Logic'!$A$22:$B$48,2,FALSE),"No Value")</f>
        <v>No Value</v>
      </c>
      <c r="AP106" s="92"/>
      <c r="AQ106" s="96" t="str">
        <f>IFERROR(IF($E106="Yes","IPP",VLOOKUP($J106,'ELA Reading Logic'!$A$3:$K$9,VLOOKUP(AP$1,'ELA Reading Logic'!$J$22:$K$31,2,FALSE),FALSE)),"Set Grade")</f>
        <v>Set Grade</v>
      </c>
      <c r="AR106" s="96" t="str">
        <f>IFERROR(IF($E106="Yes","IPP",VLOOKUP($J106,'ELA Reading Logic'!$A$13:$K$19,VLOOKUP(AP$1,'ELA Reading Logic'!$J$22:$K$31,2,FALSE),FALSE)),"Set Grade")</f>
        <v>Set Grade</v>
      </c>
      <c r="AS106" s="96" t="str">
        <f>IF($E106="Yes","IPP",IFERROR(IF(AND(AP106&gt;AQ106,AP106&lt;AR106),"0",(VLOOKUP(AP106,'ELA Reading Logic'!$A$22:$B$48,2,FALSE))-(IF(VLOOKUP(AP106,'ELA Reading Logic'!$A$22:$B$48,2,FALSE)&lt;=VLOOKUP(AQ106,'ELA Reading Logic'!$A$22:$B$48,2,FALSE),VLOOKUP(AQ106,'ELA Reading Logic'!$A$22:$B$48,2,FALSE),IF(VLOOKUP(AP106,'ELA Reading Logic'!$A$22:$B$48,2,FALSE)&gt;=VLOOKUP(AR106,'ELA Reading Logic'!$A$22:$B$48,2,FALSE),VLOOKUP(AR106,'ELA Reading Logic'!$A$22:$B$48,2,FALSE),"No Score")))),"No Value"))</f>
        <v>No Value</v>
      </c>
      <c r="AT106" s="96" t="str">
        <f>IFERROR(VLOOKUP(AP106,'ELA Reading Logic'!$A$22:$B$48,2,FALSE)-VLOOKUP($F106,'ELA Reading Logic'!$A$22:$B$48,2,FALSE),"No Value")</f>
        <v>No Value</v>
      </c>
    </row>
    <row r="107" spans="1:46" ht="22.5" customHeight="1" x14ac:dyDescent="0.25">
      <c r="A107" s="174"/>
      <c r="B107" s="174"/>
      <c r="C107" s="174"/>
      <c r="D107" s="174"/>
      <c r="E107" s="175"/>
      <c r="F107" s="175"/>
      <c r="G107" s="177" t="str">
        <f>IFERROR(IF($E107="Yes","IPP",VLOOKUP($J107,'ELA Reading Logic'!$A$3:$K$9,VLOOKUP("September",'ELA Reading Logic'!$J$22:$K$31,2,FALSE),FALSE)),"Set Grade")</f>
        <v>Set Grade</v>
      </c>
      <c r="H107" s="177" t="str">
        <f>IFERROR(IF($E107="Yes","IPP",VLOOKUP($J107,'ELA Reading Logic'!$A$13:$K$19,VLOOKUP("September",'ELA Reading Logic'!$J$22:$K$31,2,FALSE),FALSE)),"Set Grade")</f>
        <v>Set Grade</v>
      </c>
      <c r="I107" s="96" t="str">
        <f>IF($E107="Yes","IPP",IFERROR(IF(AND(F107&gt;G107,F107&lt;H107),"0",(VLOOKUP(F107,'ELA Reading Logic'!$A$22:$B$48,2,FALSE))-(IF(VLOOKUP(F107,'ELA Reading Logic'!$A$22:$B$48,2,FALSE)&lt;=VLOOKUP(G107,'ELA Reading Logic'!$A$22:$B$48,2,FALSE),VLOOKUP(G107,'ELA Reading Logic'!$A$22:$B$48,2,FALSE),IF(VLOOKUP(F107,'ELA Reading Logic'!$A$22:$B$48,2,FALSE)&gt;=VLOOKUP(H107,'ELA Reading Logic'!$A$22:$B$48,2,FALSE),VLOOKUP(H107,'ELA Reading Logic'!$A$22:$B$48,2,FALSE),"No Score")))),"No Value"))</f>
        <v>No Value</v>
      </c>
      <c r="J107" s="178"/>
      <c r="K107" s="96"/>
      <c r="L107" s="96"/>
      <c r="M107" s="96"/>
      <c r="N107" s="96"/>
      <c r="O107" s="96"/>
      <c r="P107" s="105"/>
      <c r="Q107" s="92"/>
      <c r="R107" s="96" t="str">
        <f>IFERROR(IF($E107="Yes","IPP",VLOOKUP($J107,'ELA Reading Logic'!$A$3:$K$9,VLOOKUP(Q$1,'ELA Reading Logic'!$J$22:$K$31,2,FALSE),FALSE)),"Set Grade")</f>
        <v>Set Grade</v>
      </c>
      <c r="S107" s="96" t="str">
        <f>IFERROR(IF($E107="Yes","IPP",VLOOKUP($J107,'ELA Reading Logic'!$A$13:$K$19,VLOOKUP(Q$1,'ELA Reading Logic'!$J$22:$K$31,2,FALSE),FALSE)),"Set Grade")</f>
        <v>Set Grade</v>
      </c>
      <c r="T107" s="96" t="str">
        <f>IF($E107="Yes","IPP",IFERROR(IF(AND(Q107&gt;R107,Q107&lt;S107),"0",(VLOOKUP(Q107,'ELA Reading Logic'!$A$22:$B$48,2,FALSE))-(IF(VLOOKUP(Q107,'ELA Reading Logic'!$A$22:$B$48,2,FALSE)&lt;=VLOOKUP(R107,'ELA Reading Logic'!$A$22:$B$48,2,FALSE),VLOOKUP(R107,'ELA Reading Logic'!$A$22:$B$48,2,FALSE),IF(VLOOKUP(Q107,'ELA Reading Logic'!$A$22:$B$48,2,FALSE)&gt;=VLOOKUP(S107,'ELA Reading Logic'!$A$22:$B$48,2,FALSE),VLOOKUP(S107,'ELA Reading Logic'!$A$22:$B$48,2,FALSE),"No Score")))),"No Value"))</f>
        <v>No Value</v>
      </c>
      <c r="U107" s="96" t="str">
        <f>IFERROR(VLOOKUP(Q107,'ELA Reading Logic'!$A$22:$B$48,2,FALSE)-VLOOKUP($F107,'ELA Reading Logic'!$A$22:$B$48,2,FALSE),"No Value")</f>
        <v>No Value</v>
      </c>
      <c r="V107" s="92"/>
      <c r="W107" s="96" t="str">
        <f>IFERROR(IF($E107="Yes","IPP",VLOOKUP($J107,'ELA Reading Logic'!$A$3:$K$9,VLOOKUP(V$1,'ELA Reading Logic'!$J$22:$K$31,2,FALSE),FALSE)),"Set Grade")</f>
        <v>Set Grade</v>
      </c>
      <c r="X107" s="96" t="str">
        <f>IFERROR(IF($E107="Yes","IPP",VLOOKUP($J107,'ELA Reading Logic'!$A$13:$K$19,VLOOKUP(V$1,'ELA Reading Logic'!$J$22:$K$31,2,FALSE),FALSE)),"Set Grade")</f>
        <v>Set Grade</v>
      </c>
      <c r="Y107" s="96" t="str">
        <f>IF($E107="Yes","IPP",IFERROR(IF(AND(V107&gt;W107,V107&lt;X107),"0",(VLOOKUP(V107,'ELA Reading Logic'!$A$22:$B$48,2,FALSE))-(IF(VLOOKUP(V107,'ELA Reading Logic'!$A$22:$B$48,2,FALSE)&lt;=VLOOKUP(W107,'ELA Reading Logic'!$A$22:$B$48,2,FALSE),VLOOKUP(W107,'ELA Reading Logic'!$A$22:$B$48,2,FALSE),IF(VLOOKUP(V107,'ELA Reading Logic'!$A$22:$B$48,2,FALSE)&gt;=VLOOKUP(X107,'ELA Reading Logic'!$A$22:$B$48,2,FALSE),VLOOKUP(X107,'ELA Reading Logic'!$A$22:$B$48,2,FALSE),"No Score")))),"No Value"))</f>
        <v>No Value</v>
      </c>
      <c r="Z107" s="96" t="str">
        <f>IFERROR(VLOOKUP(V107,'ELA Reading Logic'!$A$22:$B$48,2,FALSE)-VLOOKUP($F107,'ELA Reading Logic'!$A$22:$B$48,2,FALSE),"No Value")</f>
        <v>No Value</v>
      </c>
      <c r="AA107" s="92"/>
      <c r="AB107" s="96" t="str">
        <f>IFERROR(IF($E107="Yes","IPP",VLOOKUP($J107,'ELA Reading Logic'!$A$3:$K$9,VLOOKUP(AA$1,'ELA Reading Logic'!$J$22:$K$31,2,FALSE),FALSE)),"Set Grade")</f>
        <v>Set Grade</v>
      </c>
      <c r="AC107" s="96" t="str">
        <f>IFERROR(IF($E107="Yes","IPP",VLOOKUP($J107,'ELA Reading Logic'!$A$13:$K$19,VLOOKUP(AA$1,'ELA Reading Logic'!$J$22:$K$31,2,FALSE),FALSE)),"Set Grade")</f>
        <v>Set Grade</v>
      </c>
      <c r="AD107" s="96" t="str">
        <f>IF($E107="Yes","IPP",IFERROR(IF(AND(AA107&gt;AB107,AA107&lt;AC107),"0",(VLOOKUP(AA107,'ELA Reading Logic'!$A$22:$B$48,2,FALSE))-(IF(VLOOKUP(AA107,'ELA Reading Logic'!$A$22:$B$48,2,FALSE)&lt;=VLOOKUP(AB107,'ELA Reading Logic'!$A$22:$B$48,2,FALSE),VLOOKUP(AB107,'ELA Reading Logic'!$A$22:$B$48,2,FALSE),IF(VLOOKUP(AA107,'ELA Reading Logic'!$A$22:$B$48,2,FALSE)&gt;=VLOOKUP(AC107,'ELA Reading Logic'!$A$22:$B$48,2,FALSE),VLOOKUP(AC107,'ELA Reading Logic'!$A$22:$B$48,2,FALSE),"No Score")))),"No Value"))</f>
        <v>No Value</v>
      </c>
      <c r="AE107" s="96" t="str">
        <f>IFERROR(VLOOKUP(AA107,'ELA Reading Logic'!$A$22:$B$48,2,FALSE)-VLOOKUP($F107,'ELA Reading Logic'!$A$22:$B$48,2,FALSE),"No Value")</f>
        <v>No Value</v>
      </c>
      <c r="AF107" s="92"/>
      <c r="AG107" s="96" t="str">
        <f>IFERROR(IF($E107="Yes","IPP",VLOOKUP($J107,'ELA Reading Logic'!$A$3:$K$9,VLOOKUP(AF$1,'ELA Reading Logic'!$J$22:$K$31,2,FALSE),FALSE)),"Set Grade")</f>
        <v>Set Grade</v>
      </c>
      <c r="AH107" s="96" t="str">
        <f>IFERROR(IF($E107="Yes","IPP",VLOOKUP($J107,'ELA Reading Logic'!$A$13:$K$19,VLOOKUP(AF$1,'ELA Reading Logic'!$J$22:$K$31,2,FALSE),FALSE)),"Set Grade")</f>
        <v>Set Grade</v>
      </c>
      <c r="AI107" s="96" t="str">
        <f>IF($E107="Yes","IPP",IFERROR(IF(AND(AF107&gt;AG107,AF107&lt;AH107),"0",(VLOOKUP(AF107,'ELA Reading Logic'!$A$22:$B$48,2,FALSE))-(IF(VLOOKUP(AF107,'ELA Reading Logic'!$A$22:$B$48,2,FALSE)&lt;=VLOOKUP(AG107,'ELA Reading Logic'!$A$22:$B$48,2,FALSE),VLOOKUP(AG107,'ELA Reading Logic'!$A$22:$B$48,2,FALSE),IF(VLOOKUP(AF107,'ELA Reading Logic'!$A$22:$B$48,2,FALSE)&gt;=VLOOKUP(AH107,'ELA Reading Logic'!$A$22:$B$48,2,FALSE),VLOOKUP(AH107,'ELA Reading Logic'!$A$22:$B$48,2,FALSE),"No Score")))),"No Value"))</f>
        <v>No Value</v>
      </c>
      <c r="AJ107" s="96" t="str">
        <f>IFERROR(VLOOKUP(AF107,'ELA Reading Logic'!$A$22:$B$48,2,FALSE)-VLOOKUP($F107,'ELA Reading Logic'!$A$22:$B$48,2,FALSE),"No Value")</f>
        <v>No Value</v>
      </c>
      <c r="AK107" s="92"/>
      <c r="AL107" s="96" t="str">
        <f>IFERROR(IF($E107="Yes","IPP",VLOOKUP($J107,'ELA Reading Logic'!$A$3:$K$9,VLOOKUP(AK$1,'ELA Reading Logic'!$J$22:$K$31,2,FALSE),FALSE)),"Set Grade")</f>
        <v>Set Grade</v>
      </c>
      <c r="AM107" s="96" t="str">
        <f>IFERROR(IF($E107="Yes","IPP",VLOOKUP($J107,'ELA Reading Logic'!$A$13:$K$19,VLOOKUP(AK$1,'ELA Reading Logic'!$J$22:$K$31,2,FALSE),FALSE)),"Set Grade")</f>
        <v>Set Grade</v>
      </c>
      <c r="AN107" s="96" t="str">
        <f>IF($E107="Yes","IPP",IFERROR(IF(AND(AK107&gt;AL107,AK107&lt;AM107),"0",(VLOOKUP(AK107,'ELA Reading Logic'!$A$22:$B$48,2,FALSE))-(IF(VLOOKUP(AK107,'ELA Reading Logic'!$A$22:$B$48,2,FALSE)&lt;=VLOOKUP(AL107,'ELA Reading Logic'!$A$22:$B$48,2,FALSE),VLOOKUP(AL107,'ELA Reading Logic'!$A$22:$B$48,2,FALSE),IF(VLOOKUP(AK107,'ELA Reading Logic'!$A$22:$B$48,2,FALSE)&gt;=VLOOKUP(AM107,'ELA Reading Logic'!$A$22:$B$48,2,FALSE),VLOOKUP(AM107,'ELA Reading Logic'!$A$22:$B$48,2,FALSE),"No Score")))),"No Value"))</f>
        <v>No Value</v>
      </c>
      <c r="AO107" s="96" t="str">
        <f>IFERROR(VLOOKUP(AK107,'ELA Reading Logic'!$A$22:$B$48,2,FALSE)-VLOOKUP($F107,'ELA Reading Logic'!$A$22:$B$48,2,FALSE),"No Value")</f>
        <v>No Value</v>
      </c>
      <c r="AP107" s="92"/>
      <c r="AQ107" s="96" t="str">
        <f>IFERROR(IF($E107="Yes","IPP",VLOOKUP($J107,'ELA Reading Logic'!$A$3:$K$9,VLOOKUP(AP$1,'ELA Reading Logic'!$J$22:$K$31,2,FALSE),FALSE)),"Set Grade")</f>
        <v>Set Grade</v>
      </c>
      <c r="AR107" s="96" t="str">
        <f>IFERROR(IF($E107="Yes","IPP",VLOOKUP($J107,'ELA Reading Logic'!$A$13:$K$19,VLOOKUP(AP$1,'ELA Reading Logic'!$J$22:$K$31,2,FALSE),FALSE)),"Set Grade")</f>
        <v>Set Grade</v>
      </c>
      <c r="AS107" s="96" t="str">
        <f>IF($E107="Yes","IPP",IFERROR(IF(AND(AP107&gt;AQ107,AP107&lt;AR107),"0",(VLOOKUP(AP107,'ELA Reading Logic'!$A$22:$B$48,2,FALSE))-(IF(VLOOKUP(AP107,'ELA Reading Logic'!$A$22:$B$48,2,FALSE)&lt;=VLOOKUP(AQ107,'ELA Reading Logic'!$A$22:$B$48,2,FALSE),VLOOKUP(AQ107,'ELA Reading Logic'!$A$22:$B$48,2,FALSE),IF(VLOOKUP(AP107,'ELA Reading Logic'!$A$22:$B$48,2,FALSE)&gt;=VLOOKUP(AR107,'ELA Reading Logic'!$A$22:$B$48,2,FALSE),VLOOKUP(AR107,'ELA Reading Logic'!$A$22:$B$48,2,FALSE),"No Score")))),"No Value"))</f>
        <v>No Value</v>
      </c>
      <c r="AT107" s="96" t="str">
        <f>IFERROR(VLOOKUP(AP107,'ELA Reading Logic'!$A$22:$B$48,2,FALSE)-VLOOKUP($F107,'ELA Reading Logic'!$A$22:$B$48,2,FALSE),"No Value")</f>
        <v>No Value</v>
      </c>
    </row>
    <row r="108" spans="1:46" ht="22.5" customHeight="1" x14ac:dyDescent="0.25">
      <c r="A108" s="176"/>
      <c r="B108" s="176"/>
      <c r="C108" s="176"/>
      <c r="D108" s="176"/>
      <c r="E108" s="175"/>
      <c r="F108" s="175"/>
      <c r="G108" s="177" t="str">
        <f>IFERROR(IF($E108="Yes","IPP",VLOOKUP($J108,'ELA Reading Logic'!$A$3:$K$9,VLOOKUP("September",'ELA Reading Logic'!$J$22:$K$31,2,FALSE),FALSE)),"Set Grade")</f>
        <v>Set Grade</v>
      </c>
      <c r="H108" s="177" t="str">
        <f>IFERROR(IF($E108="Yes","IPP",VLOOKUP($J108,'ELA Reading Logic'!$A$13:$K$19,VLOOKUP("September",'ELA Reading Logic'!$J$22:$K$31,2,FALSE),FALSE)),"Set Grade")</f>
        <v>Set Grade</v>
      </c>
      <c r="I108" s="96" t="str">
        <f>IF($E108="Yes","IPP",IFERROR(IF(AND(F108&gt;G108,F108&lt;H108),"0",(VLOOKUP(F108,'ELA Reading Logic'!$A$22:$B$48,2,FALSE))-(IF(VLOOKUP(F108,'ELA Reading Logic'!$A$22:$B$48,2,FALSE)&lt;=VLOOKUP(G108,'ELA Reading Logic'!$A$22:$B$48,2,FALSE),VLOOKUP(G108,'ELA Reading Logic'!$A$22:$B$48,2,FALSE),IF(VLOOKUP(F108,'ELA Reading Logic'!$A$22:$B$48,2,FALSE)&gt;=VLOOKUP(H108,'ELA Reading Logic'!$A$22:$B$48,2,FALSE),VLOOKUP(H108,'ELA Reading Logic'!$A$22:$B$48,2,FALSE),"No Score")))),"No Value"))</f>
        <v>No Value</v>
      </c>
      <c r="J108" s="178"/>
      <c r="K108" s="96"/>
      <c r="L108" s="96"/>
      <c r="M108" s="96"/>
      <c r="N108" s="96"/>
      <c r="O108" s="96"/>
      <c r="P108" s="105"/>
      <c r="Q108" s="92"/>
      <c r="R108" s="96" t="str">
        <f>IFERROR(IF($E108="Yes","IPP",VLOOKUP($J108,'ELA Reading Logic'!$A$3:$K$9,VLOOKUP(Q$1,'ELA Reading Logic'!$J$22:$K$31,2,FALSE),FALSE)),"Set Grade")</f>
        <v>Set Grade</v>
      </c>
      <c r="S108" s="96" t="str">
        <f>IFERROR(IF($E108="Yes","IPP",VLOOKUP($J108,'ELA Reading Logic'!$A$13:$K$19,VLOOKUP(Q$1,'ELA Reading Logic'!$J$22:$K$31,2,FALSE),FALSE)),"Set Grade")</f>
        <v>Set Grade</v>
      </c>
      <c r="T108" s="96" t="str">
        <f>IF($E108="Yes","IPP",IFERROR(IF(AND(Q108&gt;R108,Q108&lt;S108),"0",(VLOOKUP(Q108,'ELA Reading Logic'!$A$22:$B$48,2,FALSE))-(IF(VLOOKUP(Q108,'ELA Reading Logic'!$A$22:$B$48,2,FALSE)&lt;=VLOOKUP(R108,'ELA Reading Logic'!$A$22:$B$48,2,FALSE),VLOOKUP(R108,'ELA Reading Logic'!$A$22:$B$48,2,FALSE),IF(VLOOKUP(Q108,'ELA Reading Logic'!$A$22:$B$48,2,FALSE)&gt;=VLOOKUP(S108,'ELA Reading Logic'!$A$22:$B$48,2,FALSE),VLOOKUP(S108,'ELA Reading Logic'!$A$22:$B$48,2,FALSE),"No Score")))),"No Value"))</f>
        <v>No Value</v>
      </c>
      <c r="U108" s="96" t="str">
        <f>IFERROR(VLOOKUP(Q108,'ELA Reading Logic'!$A$22:$B$48,2,FALSE)-VLOOKUP($F108,'ELA Reading Logic'!$A$22:$B$48,2,FALSE),"No Value")</f>
        <v>No Value</v>
      </c>
      <c r="V108" s="92"/>
      <c r="W108" s="96" t="str">
        <f>IFERROR(IF($E108="Yes","IPP",VLOOKUP($J108,'ELA Reading Logic'!$A$3:$K$9,VLOOKUP(V$1,'ELA Reading Logic'!$J$22:$K$31,2,FALSE),FALSE)),"Set Grade")</f>
        <v>Set Grade</v>
      </c>
      <c r="X108" s="96" t="str">
        <f>IFERROR(IF($E108="Yes","IPP",VLOOKUP($J108,'ELA Reading Logic'!$A$13:$K$19,VLOOKUP(V$1,'ELA Reading Logic'!$J$22:$K$31,2,FALSE),FALSE)),"Set Grade")</f>
        <v>Set Grade</v>
      </c>
      <c r="Y108" s="96" t="str">
        <f>IF($E108="Yes","IPP",IFERROR(IF(AND(V108&gt;W108,V108&lt;X108),"0",(VLOOKUP(V108,'ELA Reading Logic'!$A$22:$B$48,2,FALSE))-(IF(VLOOKUP(V108,'ELA Reading Logic'!$A$22:$B$48,2,FALSE)&lt;=VLOOKUP(W108,'ELA Reading Logic'!$A$22:$B$48,2,FALSE),VLOOKUP(W108,'ELA Reading Logic'!$A$22:$B$48,2,FALSE),IF(VLOOKUP(V108,'ELA Reading Logic'!$A$22:$B$48,2,FALSE)&gt;=VLOOKUP(X108,'ELA Reading Logic'!$A$22:$B$48,2,FALSE),VLOOKUP(X108,'ELA Reading Logic'!$A$22:$B$48,2,FALSE),"No Score")))),"No Value"))</f>
        <v>No Value</v>
      </c>
      <c r="Z108" s="96" t="str">
        <f>IFERROR(VLOOKUP(V108,'ELA Reading Logic'!$A$22:$B$48,2,FALSE)-VLOOKUP($F108,'ELA Reading Logic'!$A$22:$B$48,2,FALSE),"No Value")</f>
        <v>No Value</v>
      </c>
      <c r="AA108" s="92"/>
      <c r="AB108" s="96" t="str">
        <f>IFERROR(IF($E108="Yes","IPP",VLOOKUP($J108,'ELA Reading Logic'!$A$3:$K$9,VLOOKUP(AA$1,'ELA Reading Logic'!$J$22:$K$31,2,FALSE),FALSE)),"Set Grade")</f>
        <v>Set Grade</v>
      </c>
      <c r="AC108" s="96" t="str">
        <f>IFERROR(IF($E108="Yes","IPP",VLOOKUP($J108,'ELA Reading Logic'!$A$13:$K$19,VLOOKUP(AA$1,'ELA Reading Logic'!$J$22:$K$31,2,FALSE),FALSE)),"Set Grade")</f>
        <v>Set Grade</v>
      </c>
      <c r="AD108" s="96" t="str">
        <f>IF($E108="Yes","IPP",IFERROR(IF(AND(AA108&gt;AB108,AA108&lt;AC108),"0",(VLOOKUP(AA108,'ELA Reading Logic'!$A$22:$B$48,2,FALSE))-(IF(VLOOKUP(AA108,'ELA Reading Logic'!$A$22:$B$48,2,FALSE)&lt;=VLOOKUP(AB108,'ELA Reading Logic'!$A$22:$B$48,2,FALSE),VLOOKUP(AB108,'ELA Reading Logic'!$A$22:$B$48,2,FALSE),IF(VLOOKUP(AA108,'ELA Reading Logic'!$A$22:$B$48,2,FALSE)&gt;=VLOOKUP(AC108,'ELA Reading Logic'!$A$22:$B$48,2,FALSE),VLOOKUP(AC108,'ELA Reading Logic'!$A$22:$B$48,2,FALSE),"No Score")))),"No Value"))</f>
        <v>No Value</v>
      </c>
      <c r="AE108" s="96" t="str">
        <f>IFERROR(VLOOKUP(AA108,'ELA Reading Logic'!$A$22:$B$48,2,FALSE)-VLOOKUP($F108,'ELA Reading Logic'!$A$22:$B$48,2,FALSE),"No Value")</f>
        <v>No Value</v>
      </c>
      <c r="AF108" s="92"/>
      <c r="AG108" s="96" t="str">
        <f>IFERROR(IF($E108="Yes","IPP",VLOOKUP($J108,'ELA Reading Logic'!$A$3:$K$9,VLOOKUP(AF$1,'ELA Reading Logic'!$J$22:$K$31,2,FALSE),FALSE)),"Set Grade")</f>
        <v>Set Grade</v>
      </c>
      <c r="AH108" s="96" t="str">
        <f>IFERROR(IF($E108="Yes","IPP",VLOOKUP($J108,'ELA Reading Logic'!$A$13:$K$19,VLOOKUP(AF$1,'ELA Reading Logic'!$J$22:$K$31,2,FALSE),FALSE)),"Set Grade")</f>
        <v>Set Grade</v>
      </c>
      <c r="AI108" s="96" t="str">
        <f>IF($E108="Yes","IPP",IFERROR(IF(AND(AF108&gt;AG108,AF108&lt;AH108),"0",(VLOOKUP(AF108,'ELA Reading Logic'!$A$22:$B$48,2,FALSE))-(IF(VLOOKUP(AF108,'ELA Reading Logic'!$A$22:$B$48,2,FALSE)&lt;=VLOOKUP(AG108,'ELA Reading Logic'!$A$22:$B$48,2,FALSE),VLOOKUP(AG108,'ELA Reading Logic'!$A$22:$B$48,2,FALSE),IF(VLOOKUP(AF108,'ELA Reading Logic'!$A$22:$B$48,2,FALSE)&gt;=VLOOKUP(AH108,'ELA Reading Logic'!$A$22:$B$48,2,FALSE),VLOOKUP(AH108,'ELA Reading Logic'!$A$22:$B$48,2,FALSE),"No Score")))),"No Value"))</f>
        <v>No Value</v>
      </c>
      <c r="AJ108" s="96" t="str">
        <f>IFERROR(VLOOKUP(AF108,'ELA Reading Logic'!$A$22:$B$48,2,FALSE)-VLOOKUP($F108,'ELA Reading Logic'!$A$22:$B$48,2,FALSE),"No Value")</f>
        <v>No Value</v>
      </c>
      <c r="AK108" s="92"/>
      <c r="AL108" s="96" t="str">
        <f>IFERROR(IF($E108="Yes","IPP",VLOOKUP($J108,'ELA Reading Logic'!$A$3:$K$9,VLOOKUP(AK$1,'ELA Reading Logic'!$J$22:$K$31,2,FALSE),FALSE)),"Set Grade")</f>
        <v>Set Grade</v>
      </c>
      <c r="AM108" s="96" t="str">
        <f>IFERROR(IF($E108="Yes","IPP",VLOOKUP($J108,'ELA Reading Logic'!$A$13:$K$19,VLOOKUP(AK$1,'ELA Reading Logic'!$J$22:$K$31,2,FALSE),FALSE)),"Set Grade")</f>
        <v>Set Grade</v>
      </c>
      <c r="AN108" s="96" t="str">
        <f>IF($E108="Yes","IPP",IFERROR(IF(AND(AK108&gt;AL108,AK108&lt;AM108),"0",(VLOOKUP(AK108,'ELA Reading Logic'!$A$22:$B$48,2,FALSE))-(IF(VLOOKUP(AK108,'ELA Reading Logic'!$A$22:$B$48,2,FALSE)&lt;=VLOOKUP(AL108,'ELA Reading Logic'!$A$22:$B$48,2,FALSE),VLOOKUP(AL108,'ELA Reading Logic'!$A$22:$B$48,2,FALSE),IF(VLOOKUP(AK108,'ELA Reading Logic'!$A$22:$B$48,2,FALSE)&gt;=VLOOKUP(AM108,'ELA Reading Logic'!$A$22:$B$48,2,FALSE),VLOOKUP(AM108,'ELA Reading Logic'!$A$22:$B$48,2,FALSE),"No Score")))),"No Value"))</f>
        <v>No Value</v>
      </c>
      <c r="AO108" s="96" t="str">
        <f>IFERROR(VLOOKUP(AK108,'ELA Reading Logic'!$A$22:$B$48,2,FALSE)-VLOOKUP($F108,'ELA Reading Logic'!$A$22:$B$48,2,FALSE),"No Value")</f>
        <v>No Value</v>
      </c>
      <c r="AP108" s="92"/>
      <c r="AQ108" s="96" t="str">
        <f>IFERROR(IF($E108="Yes","IPP",VLOOKUP($J108,'ELA Reading Logic'!$A$3:$K$9,VLOOKUP(AP$1,'ELA Reading Logic'!$J$22:$K$31,2,FALSE),FALSE)),"Set Grade")</f>
        <v>Set Grade</v>
      </c>
      <c r="AR108" s="96" t="str">
        <f>IFERROR(IF($E108="Yes","IPP",VLOOKUP($J108,'ELA Reading Logic'!$A$13:$K$19,VLOOKUP(AP$1,'ELA Reading Logic'!$J$22:$K$31,2,FALSE),FALSE)),"Set Grade")</f>
        <v>Set Grade</v>
      </c>
      <c r="AS108" s="96" t="str">
        <f>IF($E108="Yes","IPP",IFERROR(IF(AND(AP108&gt;AQ108,AP108&lt;AR108),"0",(VLOOKUP(AP108,'ELA Reading Logic'!$A$22:$B$48,2,FALSE))-(IF(VLOOKUP(AP108,'ELA Reading Logic'!$A$22:$B$48,2,FALSE)&lt;=VLOOKUP(AQ108,'ELA Reading Logic'!$A$22:$B$48,2,FALSE),VLOOKUP(AQ108,'ELA Reading Logic'!$A$22:$B$48,2,FALSE),IF(VLOOKUP(AP108,'ELA Reading Logic'!$A$22:$B$48,2,FALSE)&gt;=VLOOKUP(AR108,'ELA Reading Logic'!$A$22:$B$48,2,FALSE),VLOOKUP(AR108,'ELA Reading Logic'!$A$22:$B$48,2,FALSE),"No Score")))),"No Value"))</f>
        <v>No Value</v>
      </c>
      <c r="AT108" s="96" t="str">
        <f>IFERROR(VLOOKUP(AP108,'ELA Reading Logic'!$A$22:$B$48,2,FALSE)-VLOOKUP($F108,'ELA Reading Logic'!$A$22:$B$48,2,FALSE),"No Value")</f>
        <v>No Value</v>
      </c>
    </row>
    <row r="109" spans="1:46" ht="22.5" customHeight="1" x14ac:dyDescent="0.25">
      <c r="A109" s="174"/>
      <c r="B109" s="174"/>
      <c r="C109" s="174"/>
      <c r="D109" s="174"/>
      <c r="E109" s="175"/>
      <c r="F109" s="175"/>
      <c r="G109" s="177" t="str">
        <f>IFERROR(IF($E109="Yes","IPP",VLOOKUP($J109,'ELA Reading Logic'!$A$3:$K$9,VLOOKUP("September",'ELA Reading Logic'!$J$22:$K$31,2,FALSE),FALSE)),"Set Grade")</f>
        <v>Set Grade</v>
      </c>
      <c r="H109" s="177" t="str">
        <f>IFERROR(IF($E109="Yes","IPP",VLOOKUP($J109,'ELA Reading Logic'!$A$13:$K$19,VLOOKUP("September",'ELA Reading Logic'!$J$22:$K$31,2,FALSE),FALSE)),"Set Grade")</f>
        <v>Set Grade</v>
      </c>
      <c r="I109" s="96" t="str">
        <f>IF($E109="Yes","IPP",IFERROR(IF(AND(F109&gt;G109,F109&lt;H109),"0",(VLOOKUP(F109,'ELA Reading Logic'!$A$22:$B$48,2,FALSE))-(IF(VLOOKUP(F109,'ELA Reading Logic'!$A$22:$B$48,2,FALSE)&lt;=VLOOKUP(G109,'ELA Reading Logic'!$A$22:$B$48,2,FALSE),VLOOKUP(G109,'ELA Reading Logic'!$A$22:$B$48,2,FALSE),IF(VLOOKUP(F109,'ELA Reading Logic'!$A$22:$B$48,2,FALSE)&gt;=VLOOKUP(H109,'ELA Reading Logic'!$A$22:$B$48,2,FALSE),VLOOKUP(H109,'ELA Reading Logic'!$A$22:$B$48,2,FALSE),"No Score")))),"No Value"))</f>
        <v>No Value</v>
      </c>
      <c r="J109" s="178"/>
      <c r="K109" s="96"/>
      <c r="L109" s="96"/>
      <c r="M109" s="96"/>
      <c r="N109" s="96"/>
      <c r="O109" s="96"/>
      <c r="P109" s="105"/>
      <c r="Q109" s="92"/>
      <c r="R109" s="96" t="str">
        <f>IFERROR(IF($E109="Yes","IPP",VLOOKUP($J109,'ELA Reading Logic'!$A$3:$K$9,VLOOKUP(Q$1,'ELA Reading Logic'!$J$22:$K$31,2,FALSE),FALSE)),"Set Grade")</f>
        <v>Set Grade</v>
      </c>
      <c r="S109" s="96" t="str">
        <f>IFERROR(IF($E109="Yes","IPP",VLOOKUP($J109,'ELA Reading Logic'!$A$13:$K$19,VLOOKUP(Q$1,'ELA Reading Logic'!$J$22:$K$31,2,FALSE),FALSE)),"Set Grade")</f>
        <v>Set Grade</v>
      </c>
      <c r="T109" s="96" t="str">
        <f>IF($E109="Yes","IPP",IFERROR(IF(AND(Q109&gt;R109,Q109&lt;S109),"0",(VLOOKUP(Q109,'ELA Reading Logic'!$A$22:$B$48,2,FALSE))-(IF(VLOOKUP(Q109,'ELA Reading Logic'!$A$22:$B$48,2,FALSE)&lt;=VLOOKUP(R109,'ELA Reading Logic'!$A$22:$B$48,2,FALSE),VLOOKUP(R109,'ELA Reading Logic'!$A$22:$B$48,2,FALSE),IF(VLOOKUP(Q109,'ELA Reading Logic'!$A$22:$B$48,2,FALSE)&gt;=VLOOKUP(S109,'ELA Reading Logic'!$A$22:$B$48,2,FALSE),VLOOKUP(S109,'ELA Reading Logic'!$A$22:$B$48,2,FALSE),"No Score")))),"No Value"))</f>
        <v>No Value</v>
      </c>
      <c r="U109" s="96" t="str">
        <f>IFERROR(VLOOKUP(Q109,'ELA Reading Logic'!$A$22:$B$48,2,FALSE)-VLOOKUP($F109,'ELA Reading Logic'!$A$22:$B$48,2,FALSE),"No Value")</f>
        <v>No Value</v>
      </c>
      <c r="V109" s="92"/>
      <c r="W109" s="96" t="str">
        <f>IFERROR(IF($E109="Yes","IPP",VLOOKUP($J109,'ELA Reading Logic'!$A$3:$K$9,VLOOKUP(V$1,'ELA Reading Logic'!$J$22:$K$31,2,FALSE),FALSE)),"Set Grade")</f>
        <v>Set Grade</v>
      </c>
      <c r="X109" s="96" t="str">
        <f>IFERROR(IF($E109="Yes","IPP",VLOOKUP($J109,'ELA Reading Logic'!$A$13:$K$19,VLOOKUP(V$1,'ELA Reading Logic'!$J$22:$K$31,2,FALSE),FALSE)),"Set Grade")</f>
        <v>Set Grade</v>
      </c>
      <c r="Y109" s="96" t="str">
        <f>IF($E109="Yes","IPP",IFERROR(IF(AND(V109&gt;W109,V109&lt;X109),"0",(VLOOKUP(V109,'ELA Reading Logic'!$A$22:$B$48,2,FALSE))-(IF(VLOOKUP(V109,'ELA Reading Logic'!$A$22:$B$48,2,FALSE)&lt;=VLOOKUP(W109,'ELA Reading Logic'!$A$22:$B$48,2,FALSE),VLOOKUP(W109,'ELA Reading Logic'!$A$22:$B$48,2,FALSE),IF(VLOOKUP(V109,'ELA Reading Logic'!$A$22:$B$48,2,FALSE)&gt;=VLOOKUP(X109,'ELA Reading Logic'!$A$22:$B$48,2,FALSE),VLOOKUP(X109,'ELA Reading Logic'!$A$22:$B$48,2,FALSE),"No Score")))),"No Value"))</f>
        <v>No Value</v>
      </c>
      <c r="Z109" s="96" t="str">
        <f>IFERROR(VLOOKUP(V109,'ELA Reading Logic'!$A$22:$B$48,2,FALSE)-VLOOKUP($F109,'ELA Reading Logic'!$A$22:$B$48,2,FALSE),"No Value")</f>
        <v>No Value</v>
      </c>
      <c r="AA109" s="92"/>
      <c r="AB109" s="96" t="str">
        <f>IFERROR(IF($E109="Yes","IPP",VLOOKUP($J109,'ELA Reading Logic'!$A$3:$K$9,VLOOKUP(AA$1,'ELA Reading Logic'!$J$22:$K$31,2,FALSE),FALSE)),"Set Grade")</f>
        <v>Set Grade</v>
      </c>
      <c r="AC109" s="96" t="str">
        <f>IFERROR(IF($E109="Yes","IPP",VLOOKUP($J109,'ELA Reading Logic'!$A$13:$K$19,VLOOKUP(AA$1,'ELA Reading Logic'!$J$22:$K$31,2,FALSE),FALSE)),"Set Grade")</f>
        <v>Set Grade</v>
      </c>
      <c r="AD109" s="96" t="str">
        <f>IF($E109="Yes","IPP",IFERROR(IF(AND(AA109&gt;AB109,AA109&lt;AC109),"0",(VLOOKUP(AA109,'ELA Reading Logic'!$A$22:$B$48,2,FALSE))-(IF(VLOOKUP(AA109,'ELA Reading Logic'!$A$22:$B$48,2,FALSE)&lt;=VLOOKUP(AB109,'ELA Reading Logic'!$A$22:$B$48,2,FALSE),VLOOKUP(AB109,'ELA Reading Logic'!$A$22:$B$48,2,FALSE),IF(VLOOKUP(AA109,'ELA Reading Logic'!$A$22:$B$48,2,FALSE)&gt;=VLOOKUP(AC109,'ELA Reading Logic'!$A$22:$B$48,2,FALSE),VLOOKUP(AC109,'ELA Reading Logic'!$A$22:$B$48,2,FALSE),"No Score")))),"No Value"))</f>
        <v>No Value</v>
      </c>
      <c r="AE109" s="96" t="str">
        <f>IFERROR(VLOOKUP(AA109,'ELA Reading Logic'!$A$22:$B$48,2,FALSE)-VLOOKUP($F109,'ELA Reading Logic'!$A$22:$B$48,2,FALSE),"No Value")</f>
        <v>No Value</v>
      </c>
      <c r="AF109" s="92"/>
      <c r="AG109" s="96" t="str">
        <f>IFERROR(IF($E109="Yes","IPP",VLOOKUP($J109,'ELA Reading Logic'!$A$3:$K$9,VLOOKUP(AF$1,'ELA Reading Logic'!$J$22:$K$31,2,FALSE),FALSE)),"Set Grade")</f>
        <v>Set Grade</v>
      </c>
      <c r="AH109" s="96" t="str">
        <f>IFERROR(IF($E109="Yes","IPP",VLOOKUP($J109,'ELA Reading Logic'!$A$13:$K$19,VLOOKUP(AF$1,'ELA Reading Logic'!$J$22:$K$31,2,FALSE),FALSE)),"Set Grade")</f>
        <v>Set Grade</v>
      </c>
      <c r="AI109" s="96" t="str">
        <f>IF($E109="Yes","IPP",IFERROR(IF(AND(AF109&gt;AG109,AF109&lt;AH109),"0",(VLOOKUP(AF109,'ELA Reading Logic'!$A$22:$B$48,2,FALSE))-(IF(VLOOKUP(AF109,'ELA Reading Logic'!$A$22:$B$48,2,FALSE)&lt;=VLOOKUP(AG109,'ELA Reading Logic'!$A$22:$B$48,2,FALSE),VLOOKUP(AG109,'ELA Reading Logic'!$A$22:$B$48,2,FALSE),IF(VLOOKUP(AF109,'ELA Reading Logic'!$A$22:$B$48,2,FALSE)&gt;=VLOOKUP(AH109,'ELA Reading Logic'!$A$22:$B$48,2,FALSE),VLOOKUP(AH109,'ELA Reading Logic'!$A$22:$B$48,2,FALSE),"No Score")))),"No Value"))</f>
        <v>No Value</v>
      </c>
      <c r="AJ109" s="96" t="str">
        <f>IFERROR(VLOOKUP(AF109,'ELA Reading Logic'!$A$22:$B$48,2,FALSE)-VLOOKUP($F109,'ELA Reading Logic'!$A$22:$B$48,2,FALSE),"No Value")</f>
        <v>No Value</v>
      </c>
      <c r="AK109" s="92"/>
      <c r="AL109" s="96" t="str">
        <f>IFERROR(IF($E109="Yes","IPP",VLOOKUP($J109,'ELA Reading Logic'!$A$3:$K$9,VLOOKUP(AK$1,'ELA Reading Logic'!$J$22:$K$31,2,FALSE),FALSE)),"Set Grade")</f>
        <v>Set Grade</v>
      </c>
      <c r="AM109" s="96" t="str">
        <f>IFERROR(IF($E109="Yes","IPP",VLOOKUP($J109,'ELA Reading Logic'!$A$13:$K$19,VLOOKUP(AK$1,'ELA Reading Logic'!$J$22:$K$31,2,FALSE),FALSE)),"Set Grade")</f>
        <v>Set Grade</v>
      </c>
      <c r="AN109" s="96" t="str">
        <f>IF($E109="Yes","IPP",IFERROR(IF(AND(AK109&gt;AL109,AK109&lt;AM109),"0",(VLOOKUP(AK109,'ELA Reading Logic'!$A$22:$B$48,2,FALSE))-(IF(VLOOKUP(AK109,'ELA Reading Logic'!$A$22:$B$48,2,FALSE)&lt;=VLOOKUP(AL109,'ELA Reading Logic'!$A$22:$B$48,2,FALSE),VLOOKUP(AL109,'ELA Reading Logic'!$A$22:$B$48,2,FALSE),IF(VLOOKUP(AK109,'ELA Reading Logic'!$A$22:$B$48,2,FALSE)&gt;=VLOOKUP(AM109,'ELA Reading Logic'!$A$22:$B$48,2,FALSE),VLOOKUP(AM109,'ELA Reading Logic'!$A$22:$B$48,2,FALSE),"No Score")))),"No Value"))</f>
        <v>No Value</v>
      </c>
      <c r="AO109" s="96" t="str">
        <f>IFERROR(VLOOKUP(AK109,'ELA Reading Logic'!$A$22:$B$48,2,FALSE)-VLOOKUP($F109,'ELA Reading Logic'!$A$22:$B$48,2,FALSE),"No Value")</f>
        <v>No Value</v>
      </c>
      <c r="AP109" s="92"/>
      <c r="AQ109" s="96" t="str">
        <f>IFERROR(IF($E109="Yes","IPP",VLOOKUP($J109,'ELA Reading Logic'!$A$3:$K$9,VLOOKUP(AP$1,'ELA Reading Logic'!$J$22:$K$31,2,FALSE),FALSE)),"Set Grade")</f>
        <v>Set Grade</v>
      </c>
      <c r="AR109" s="96" t="str">
        <f>IFERROR(IF($E109="Yes","IPP",VLOOKUP($J109,'ELA Reading Logic'!$A$13:$K$19,VLOOKUP(AP$1,'ELA Reading Logic'!$J$22:$K$31,2,FALSE),FALSE)),"Set Grade")</f>
        <v>Set Grade</v>
      </c>
      <c r="AS109" s="96" t="str">
        <f>IF($E109="Yes","IPP",IFERROR(IF(AND(AP109&gt;AQ109,AP109&lt;AR109),"0",(VLOOKUP(AP109,'ELA Reading Logic'!$A$22:$B$48,2,FALSE))-(IF(VLOOKUP(AP109,'ELA Reading Logic'!$A$22:$B$48,2,FALSE)&lt;=VLOOKUP(AQ109,'ELA Reading Logic'!$A$22:$B$48,2,FALSE),VLOOKUP(AQ109,'ELA Reading Logic'!$A$22:$B$48,2,FALSE),IF(VLOOKUP(AP109,'ELA Reading Logic'!$A$22:$B$48,2,FALSE)&gt;=VLOOKUP(AR109,'ELA Reading Logic'!$A$22:$B$48,2,FALSE),VLOOKUP(AR109,'ELA Reading Logic'!$A$22:$B$48,2,FALSE),"No Score")))),"No Value"))</f>
        <v>No Value</v>
      </c>
      <c r="AT109" s="96" t="str">
        <f>IFERROR(VLOOKUP(AP109,'ELA Reading Logic'!$A$22:$B$48,2,FALSE)-VLOOKUP($F109,'ELA Reading Logic'!$A$22:$B$48,2,FALSE),"No Value")</f>
        <v>No Value</v>
      </c>
    </row>
    <row r="110" spans="1:46" ht="22.5" customHeight="1" x14ac:dyDescent="0.25">
      <c r="A110" s="176"/>
      <c r="B110" s="176"/>
      <c r="C110" s="176"/>
      <c r="D110" s="176"/>
      <c r="E110" s="175"/>
      <c r="F110" s="175"/>
      <c r="G110" s="177" t="str">
        <f>IFERROR(IF($E110="Yes","IPP",VLOOKUP($J110,'ELA Reading Logic'!$A$3:$K$9,VLOOKUP("September",'ELA Reading Logic'!$J$22:$K$31,2,FALSE),FALSE)),"Set Grade")</f>
        <v>Set Grade</v>
      </c>
      <c r="H110" s="177" t="str">
        <f>IFERROR(IF($E110="Yes","IPP",VLOOKUP($J110,'ELA Reading Logic'!$A$13:$K$19,VLOOKUP("September",'ELA Reading Logic'!$J$22:$K$31,2,FALSE),FALSE)),"Set Grade")</f>
        <v>Set Grade</v>
      </c>
      <c r="I110" s="96" t="str">
        <f>IF($E110="Yes","IPP",IFERROR(IF(AND(F110&gt;G110,F110&lt;H110),"0",(VLOOKUP(F110,'ELA Reading Logic'!$A$22:$B$48,2,FALSE))-(IF(VLOOKUP(F110,'ELA Reading Logic'!$A$22:$B$48,2,FALSE)&lt;=VLOOKUP(G110,'ELA Reading Logic'!$A$22:$B$48,2,FALSE),VLOOKUP(G110,'ELA Reading Logic'!$A$22:$B$48,2,FALSE),IF(VLOOKUP(F110,'ELA Reading Logic'!$A$22:$B$48,2,FALSE)&gt;=VLOOKUP(H110,'ELA Reading Logic'!$A$22:$B$48,2,FALSE),VLOOKUP(H110,'ELA Reading Logic'!$A$22:$B$48,2,FALSE),"No Score")))),"No Value"))</f>
        <v>No Value</v>
      </c>
      <c r="J110" s="178"/>
      <c r="K110" s="96"/>
      <c r="L110" s="96"/>
      <c r="M110" s="96"/>
      <c r="N110" s="96"/>
      <c r="O110" s="96"/>
      <c r="P110" s="105"/>
      <c r="Q110" s="92"/>
      <c r="R110" s="96" t="str">
        <f>IFERROR(IF($E110="Yes","IPP",VLOOKUP($J110,'ELA Reading Logic'!$A$3:$K$9,VLOOKUP(Q$1,'ELA Reading Logic'!$J$22:$K$31,2,FALSE),FALSE)),"Set Grade")</f>
        <v>Set Grade</v>
      </c>
      <c r="S110" s="96" t="str">
        <f>IFERROR(IF($E110="Yes","IPP",VLOOKUP($J110,'ELA Reading Logic'!$A$13:$K$19,VLOOKUP(Q$1,'ELA Reading Logic'!$J$22:$K$31,2,FALSE),FALSE)),"Set Grade")</f>
        <v>Set Grade</v>
      </c>
      <c r="T110" s="96" t="str">
        <f>IF($E110="Yes","IPP",IFERROR(IF(AND(Q110&gt;R110,Q110&lt;S110),"0",(VLOOKUP(Q110,'ELA Reading Logic'!$A$22:$B$48,2,FALSE))-(IF(VLOOKUP(Q110,'ELA Reading Logic'!$A$22:$B$48,2,FALSE)&lt;=VLOOKUP(R110,'ELA Reading Logic'!$A$22:$B$48,2,FALSE),VLOOKUP(R110,'ELA Reading Logic'!$A$22:$B$48,2,FALSE),IF(VLOOKUP(Q110,'ELA Reading Logic'!$A$22:$B$48,2,FALSE)&gt;=VLOOKUP(S110,'ELA Reading Logic'!$A$22:$B$48,2,FALSE),VLOOKUP(S110,'ELA Reading Logic'!$A$22:$B$48,2,FALSE),"No Score")))),"No Value"))</f>
        <v>No Value</v>
      </c>
      <c r="U110" s="96" t="str">
        <f>IFERROR(VLOOKUP(Q110,'ELA Reading Logic'!$A$22:$B$48,2,FALSE)-VLOOKUP($F110,'ELA Reading Logic'!$A$22:$B$48,2,FALSE),"No Value")</f>
        <v>No Value</v>
      </c>
      <c r="V110" s="92"/>
      <c r="W110" s="96" t="str">
        <f>IFERROR(IF($E110="Yes","IPP",VLOOKUP($J110,'ELA Reading Logic'!$A$3:$K$9,VLOOKUP(V$1,'ELA Reading Logic'!$J$22:$K$31,2,FALSE),FALSE)),"Set Grade")</f>
        <v>Set Grade</v>
      </c>
      <c r="X110" s="96" t="str">
        <f>IFERROR(IF($E110="Yes","IPP",VLOOKUP($J110,'ELA Reading Logic'!$A$13:$K$19,VLOOKUP(V$1,'ELA Reading Logic'!$J$22:$K$31,2,FALSE),FALSE)),"Set Grade")</f>
        <v>Set Grade</v>
      </c>
      <c r="Y110" s="96" t="str">
        <f>IF($E110="Yes","IPP",IFERROR(IF(AND(V110&gt;W110,V110&lt;X110),"0",(VLOOKUP(V110,'ELA Reading Logic'!$A$22:$B$48,2,FALSE))-(IF(VLOOKUP(V110,'ELA Reading Logic'!$A$22:$B$48,2,FALSE)&lt;=VLOOKUP(W110,'ELA Reading Logic'!$A$22:$B$48,2,FALSE),VLOOKUP(W110,'ELA Reading Logic'!$A$22:$B$48,2,FALSE),IF(VLOOKUP(V110,'ELA Reading Logic'!$A$22:$B$48,2,FALSE)&gt;=VLOOKUP(X110,'ELA Reading Logic'!$A$22:$B$48,2,FALSE),VLOOKUP(X110,'ELA Reading Logic'!$A$22:$B$48,2,FALSE),"No Score")))),"No Value"))</f>
        <v>No Value</v>
      </c>
      <c r="Z110" s="96" t="str">
        <f>IFERROR(VLOOKUP(V110,'ELA Reading Logic'!$A$22:$B$48,2,FALSE)-VLOOKUP($F110,'ELA Reading Logic'!$A$22:$B$48,2,FALSE),"No Value")</f>
        <v>No Value</v>
      </c>
      <c r="AA110" s="92"/>
      <c r="AB110" s="96" t="str">
        <f>IFERROR(IF($E110="Yes","IPP",VLOOKUP($J110,'ELA Reading Logic'!$A$3:$K$9,VLOOKUP(AA$1,'ELA Reading Logic'!$J$22:$K$31,2,FALSE),FALSE)),"Set Grade")</f>
        <v>Set Grade</v>
      </c>
      <c r="AC110" s="96" t="str">
        <f>IFERROR(IF($E110="Yes","IPP",VLOOKUP($J110,'ELA Reading Logic'!$A$13:$K$19,VLOOKUP(AA$1,'ELA Reading Logic'!$J$22:$K$31,2,FALSE),FALSE)),"Set Grade")</f>
        <v>Set Grade</v>
      </c>
      <c r="AD110" s="96" t="str">
        <f>IF($E110="Yes","IPP",IFERROR(IF(AND(AA110&gt;AB110,AA110&lt;AC110),"0",(VLOOKUP(AA110,'ELA Reading Logic'!$A$22:$B$48,2,FALSE))-(IF(VLOOKUP(AA110,'ELA Reading Logic'!$A$22:$B$48,2,FALSE)&lt;=VLOOKUP(AB110,'ELA Reading Logic'!$A$22:$B$48,2,FALSE),VLOOKUP(AB110,'ELA Reading Logic'!$A$22:$B$48,2,FALSE),IF(VLOOKUP(AA110,'ELA Reading Logic'!$A$22:$B$48,2,FALSE)&gt;=VLOOKUP(AC110,'ELA Reading Logic'!$A$22:$B$48,2,FALSE),VLOOKUP(AC110,'ELA Reading Logic'!$A$22:$B$48,2,FALSE),"No Score")))),"No Value"))</f>
        <v>No Value</v>
      </c>
      <c r="AE110" s="96" t="str">
        <f>IFERROR(VLOOKUP(AA110,'ELA Reading Logic'!$A$22:$B$48,2,FALSE)-VLOOKUP($F110,'ELA Reading Logic'!$A$22:$B$48,2,FALSE),"No Value")</f>
        <v>No Value</v>
      </c>
      <c r="AF110" s="92"/>
      <c r="AG110" s="96" t="str">
        <f>IFERROR(IF($E110="Yes","IPP",VLOOKUP($J110,'ELA Reading Logic'!$A$3:$K$9,VLOOKUP(AF$1,'ELA Reading Logic'!$J$22:$K$31,2,FALSE),FALSE)),"Set Grade")</f>
        <v>Set Grade</v>
      </c>
      <c r="AH110" s="96" t="str">
        <f>IFERROR(IF($E110="Yes","IPP",VLOOKUP($J110,'ELA Reading Logic'!$A$13:$K$19,VLOOKUP(AF$1,'ELA Reading Logic'!$J$22:$K$31,2,FALSE),FALSE)),"Set Grade")</f>
        <v>Set Grade</v>
      </c>
      <c r="AI110" s="96" t="str">
        <f>IF($E110="Yes","IPP",IFERROR(IF(AND(AF110&gt;AG110,AF110&lt;AH110),"0",(VLOOKUP(AF110,'ELA Reading Logic'!$A$22:$B$48,2,FALSE))-(IF(VLOOKUP(AF110,'ELA Reading Logic'!$A$22:$B$48,2,FALSE)&lt;=VLOOKUP(AG110,'ELA Reading Logic'!$A$22:$B$48,2,FALSE),VLOOKUP(AG110,'ELA Reading Logic'!$A$22:$B$48,2,FALSE),IF(VLOOKUP(AF110,'ELA Reading Logic'!$A$22:$B$48,2,FALSE)&gt;=VLOOKUP(AH110,'ELA Reading Logic'!$A$22:$B$48,2,FALSE),VLOOKUP(AH110,'ELA Reading Logic'!$A$22:$B$48,2,FALSE),"No Score")))),"No Value"))</f>
        <v>No Value</v>
      </c>
      <c r="AJ110" s="96" t="str">
        <f>IFERROR(VLOOKUP(AF110,'ELA Reading Logic'!$A$22:$B$48,2,FALSE)-VLOOKUP($F110,'ELA Reading Logic'!$A$22:$B$48,2,FALSE),"No Value")</f>
        <v>No Value</v>
      </c>
      <c r="AK110" s="92"/>
      <c r="AL110" s="96" t="str">
        <f>IFERROR(IF($E110="Yes","IPP",VLOOKUP($J110,'ELA Reading Logic'!$A$3:$K$9,VLOOKUP(AK$1,'ELA Reading Logic'!$J$22:$K$31,2,FALSE),FALSE)),"Set Grade")</f>
        <v>Set Grade</v>
      </c>
      <c r="AM110" s="96" t="str">
        <f>IFERROR(IF($E110="Yes","IPP",VLOOKUP($J110,'ELA Reading Logic'!$A$13:$K$19,VLOOKUP(AK$1,'ELA Reading Logic'!$J$22:$K$31,2,FALSE),FALSE)),"Set Grade")</f>
        <v>Set Grade</v>
      </c>
      <c r="AN110" s="96" t="str">
        <f>IF($E110="Yes","IPP",IFERROR(IF(AND(AK110&gt;AL110,AK110&lt;AM110),"0",(VLOOKUP(AK110,'ELA Reading Logic'!$A$22:$B$48,2,FALSE))-(IF(VLOOKUP(AK110,'ELA Reading Logic'!$A$22:$B$48,2,FALSE)&lt;=VLOOKUP(AL110,'ELA Reading Logic'!$A$22:$B$48,2,FALSE),VLOOKUP(AL110,'ELA Reading Logic'!$A$22:$B$48,2,FALSE),IF(VLOOKUP(AK110,'ELA Reading Logic'!$A$22:$B$48,2,FALSE)&gt;=VLOOKUP(AM110,'ELA Reading Logic'!$A$22:$B$48,2,FALSE),VLOOKUP(AM110,'ELA Reading Logic'!$A$22:$B$48,2,FALSE),"No Score")))),"No Value"))</f>
        <v>No Value</v>
      </c>
      <c r="AO110" s="96" t="str">
        <f>IFERROR(VLOOKUP(AK110,'ELA Reading Logic'!$A$22:$B$48,2,FALSE)-VLOOKUP($F110,'ELA Reading Logic'!$A$22:$B$48,2,FALSE),"No Value")</f>
        <v>No Value</v>
      </c>
      <c r="AP110" s="92"/>
      <c r="AQ110" s="96" t="str">
        <f>IFERROR(IF($E110="Yes","IPP",VLOOKUP($J110,'ELA Reading Logic'!$A$3:$K$9,VLOOKUP(AP$1,'ELA Reading Logic'!$J$22:$K$31,2,FALSE),FALSE)),"Set Grade")</f>
        <v>Set Grade</v>
      </c>
      <c r="AR110" s="96" t="str">
        <f>IFERROR(IF($E110="Yes","IPP",VLOOKUP($J110,'ELA Reading Logic'!$A$13:$K$19,VLOOKUP(AP$1,'ELA Reading Logic'!$J$22:$K$31,2,FALSE),FALSE)),"Set Grade")</f>
        <v>Set Grade</v>
      </c>
      <c r="AS110" s="96" t="str">
        <f>IF($E110="Yes","IPP",IFERROR(IF(AND(AP110&gt;AQ110,AP110&lt;AR110),"0",(VLOOKUP(AP110,'ELA Reading Logic'!$A$22:$B$48,2,FALSE))-(IF(VLOOKUP(AP110,'ELA Reading Logic'!$A$22:$B$48,2,FALSE)&lt;=VLOOKUP(AQ110,'ELA Reading Logic'!$A$22:$B$48,2,FALSE),VLOOKUP(AQ110,'ELA Reading Logic'!$A$22:$B$48,2,FALSE),IF(VLOOKUP(AP110,'ELA Reading Logic'!$A$22:$B$48,2,FALSE)&gt;=VLOOKUP(AR110,'ELA Reading Logic'!$A$22:$B$48,2,FALSE),VLOOKUP(AR110,'ELA Reading Logic'!$A$22:$B$48,2,FALSE),"No Score")))),"No Value"))</f>
        <v>No Value</v>
      </c>
      <c r="AT110" s="96" t="str">
        <f>IFERROR(VLOOKUP(AP110,'ELA Reading Logic'!$A$22:$B$48,2,FALSE)-VLOOKUP($F110,'ELA Reading Logic'!$A$22:$B$48,2,FALSE),"No Value")</f>
        <v>No Value</v>
      </c>
    </row>
    <row r="111" spans="1:46" ht="22.5" customHeight="1" x14ac:dyDescent="0.25">
      <c r="A111" s="174"/>
      <c r="B111" s="174"/>
      <c r="C111" s="174"/>
      <c r="D111" s="174"/>
      <c r="E111" s="175"/>
      <c r="F111" s="175"/>
      <c r="G111" s="177" t="str">
        <f>IFERROR(IF($E111="Yes","IPP",VLOOKUP($J111,'ELA Reading Logic'!$A$3:$K$9,VLOOKUP("September",'ELA Reading Logic'!$J$22:$K$31,2,FALSE),FALSE)),"Set Grade")</f>
        <v>Set Grade</v>
      </c>
      <c r="H111" s="177" t="str">
        <f>IFERROR(IF($E111="Yes","IPP",VLOOKUP($J111,'ELA Reading Logic'!$A$13:$K$19,VLOOKUP("September",'ELA Reading Logic'!$J$22:$K$31,2,FALSE),FALSE)),"Set Grade")</f>
        <v>Set Grade</v>
      </c>
      <c r="I111" s="96" t="str">
        <f>IF($E111="Yes","IPP",IFERROR(IF(AND(F111&gt;G111,F111&lt;H111),"0",(VLOOKUP(F111,'ELA Reading Logic'!$A$22:$B$48,2,FALSE))-(IF(VLOOKUP(F111,'ELA Reading Logic'!$A$22:$B$48,2,FALSE)&lt;=VLOOKUP(G111,'ELA Reading Logic'!$A$22:$B$48,2,FALSE),VLOOKUP(G111,'ELA Reading Logic'!$A$22:$B$48,2,FALSE),IF(VLOOKUP(F111,'ELA Reading Logic'!$A$22:$B$48,2,FALSE)&gt;=VLOOKUP(H111,'ELA Reading Logic'!$A$22:$B$48,2,FALSE),VLOOKUP(H111,'ELA Reading Logic'!$A$22:$B$48,2,FALSE),"No Score")))),"No Value"))</f>
        <v>No Value</v>
      </c>
      <c r="J111" s="178"/>
      <c r="K111" s="96"/>
      <c r="L111" s="96"/>
      <c r="M111" s="96"/>
      <c r="N111" s="96"/>
      <c r="O111" s="96"/>
      <c r="P111" s="105"/>
      <c r="Q111" s="92"/>
      <c r="R111" s="96" t="str">
        <f>IFERROR(IF($E111="Yes","IPP",VLOOKUP($J111,'ELA Reading Logic'!$A$3:$K$9,VLOOKUP(Q$1,'ELA Reading Logic'!$J$22:$K$31,2,FALSE),FALSE)),"Set Grade")</f>
        <v>Set Grade</v>
      </c>
      <c r="S111" s="96" t="str">
        <f>IFERROR(IF($E111="Yes","IPP",VLOOKUP($J111,'ELA Reading Logic'!$A$13:$K$19,VLOOKUP(Q$1,'ELA Reading Logic'!$J$22:$K$31,2,FALSE),FALSE)),"Set Grade")</f>
        <v>Set Grade</v>
      </c>
      <c r="T111" s="96" t="str">
        <f>IF($E111="Yes","IPP",IFERROR(IF(AND(Q111&gt;R111,Q111&lt;S111),"0",(VLOOKUP(Q111,'ELA Reading Logic'!$A$22:$B$48,2,FALSE))-(IF(VLOOKUP(Q111,'ELA Reading Logic'!$A$22:$B$48,2,FALSE)&lt;=VLOOKUP(R111,'ELA Reading Logic'!$A$22:$B$48,2,FALSE),VLOOKUP(R111,'ELA Reading Logic'!$A$22:$B$48,2,FALSE),IF(VLOOKUP(Q111,'ELA Reading Logic'!$A$22:$B$48,2,FALSE)&gt;=VLOOKUP(S111,'ELA Reading Logic'!$A$22:$B$48,2,FALSE),VLOOKUP(S111,'ELA Reading Logic'!$A$22:$B$48,2,FALSE),"No Score")))),"No Value"))</f>
        <v>No Value</v>
      </c>
      <c r="U111" s="96" t="str">
        <f>IFERROR(VLOOKUP(Q111,'ELA Reading Logic'!$A$22:$B$48,2,FALSE)-VLOOKUP($F111,'ELA Reading Logic'!$A$22:$B$48,2,FALSE),"No Value")</f>
        <v>No Value</v>
      </c>
      <c r="V111" s="92"/>
      <c r="W111" s="96" t="str">
        <f>IFERROR(IF($E111="Yes","IPP",VLOOKUP($J111,'ELA Reading Logic'!$A$3:$K$9,VLOOKUP(V$1,'ELA Reading Logic'!$J$22:$K$31,2,FALSE),FALSE)),"Set Grade")</f>
        <v>Set Grade</v>
      </c>
      <c r="X111" s="96" t="str">
        <f>IFERROR(IF($E111="Yes","IPP",VLOOKUP($J111,'ELA Reading Logic'!$A$13:$K$19,VLOOKUP(V$1,'ELA Reading Logic'!$J$22:$K$31,2,FALSE),FALSE)),"Set Grade")</f>
        <v>Set Grade</v>
      </c>
      <c r="Y111" s="96" t="str">
        <f>IF($E111="Yes","IPP",IFERROR(IF(AND(V111&gt;W111,V111&lt;X111),"0",(VLOOKUP(V111,'ELA Reading Logic'!$A$22:$B$48,2,FALSE))-(IF(VLOOKUP(V111,'ELA Reading Logic'!$A$22:$B$48,2,FALSE)&lt;=VLOOKUP(W111,'ELA Reading Logic'!$A$22:$B$48,2,FALSE),VLOOKUP(W111,'ELA Reading Logic'!$A$22:$B$48,2,FALSE),IF(VLOOKUP(V111,'ELA Reading Logic'!$A$22:$B$48,2,FALSE)&gt;=VLOOKUP(X111,'ELA Reading Logic'!$A$22:$B$48,2,FALSE),VLOOKUP(X111,'ELA Reading Logic'!$A$22:$B$48,2,FALSE),"No Score")))),"No Value"))</f>
        <v>No Value</v>
      </c>
      <c r="Z111" s="96" t="str">
        <f>IFERROR(VLOOKUP(V111,'ELA Reading Logic'!$A$22:$B$48,2,FALSE)-VLOOKUP($F111,'ELA Reading Logic'!$A$22:$B$48,2,FALSE),"No Value")</f>
        <v>No Value</v>
      </c>
      <c r="AA111" s="92"/>
      <c r="AB111" s="96" t="str">
        <f>IFERROR(IF($E111="Yes","IPP",VLOOKUP($J111,'ELA Reading Logic'!$A$3:$K$9,VLOOKUP(AA$1,'ELA Reading Logic'!$J$22:$K$31,2,FALSE),FALSE)),"Set Grade")</f>
        <v>Set Grade</v>
      </c>
      <c r="AC111" s="96" t="str">
        <f>IFERROR(IF($E111="Yes","IPP",VLOOKUP($J111,'ELA Reading Logic'!$A$13:$K$19,VLOOKUP(AA$1,'ELA Reading Logic'!$J$22:$K$31,2,FALSE),FALSE)),"Set Grade")</f>
        <v>Set Grade</v>
      </c>
      <c r="AD111" s="96" t="str">
        <f>IF($E111="Yes","IPP",IFERROR(IF(AND(AA111&gt;AB111,AA111&lt;AC111),"0",(VLOOKUP(AA111,'ELA Reading Logic'!$A$22:$B$48,2,FALSE))-(IF(VLOOKUP(AA111,'ELA Reading Logic'!$A$22:$B$48,2,FALSE)&lt;=VLOOKUP(AB111,'ELA Reading Logic'!$A$22:$B$48,2,FALSE),VLOOKUP(AB111,'ELA Reading Logic'!$A$22:$B$48,2,FALSE),IF(VLOOKUP(AA111,'ELA Reading Logic'!$A$22:$B$48,2,FALSE)&gt;=VLOOKUP(AC111,'ELA Reading Logic'!$A$22:$B$48,2,FALSE),VLOOKUP(AC111,'ELA Reading Logic'!$A$22:$B$48,2,FALSE),"No Score")))),"No Value"))</f>
        <v>No Value</v>
      </c>
      <c r="AE111" s="96" t="str">
        <f>IFERROR(VLOOKUP(AA111,'ELA Reading Logic'!$A$22:$B$48,2,FALSE)-VLOOKUP($F111,'ELA Reading Logic'!$A$22:$B$48,2,FALSE),"No Value")</f>
        <v>No Value</v>
      </c>
      <c r="AF111" s="92"/>
      <c r="AG111" s="96" t="str">
        <f>IFERROR(IF($E111="Yes","IPP",VLOOKUP($J111,'ELA Reading Logic'!$A$3:$K$9,VLOOKUP(AF$1,'ELA Reading Logic'!$J$22:$K$31,2,FALSE),FALSE)),"Set Grade")</f>
        <v>Set Grade</v>
      </c>
      <c r="AH111" s="96" t="str">
        <f>IFERROR(IF($E111="Yes","IPP",VLOOKUP($J111,'ELA Reading Logic'!$A$13:$K$19,VLOOKUP(AF$1,'ELA Reading Logic'!$J$22:$K$31,2,FALSE),FALSE)),"Set Grade")</f>
        <v>Set Grade</v>
      </c>
      <c r="AI111" s="96" t="str">
        <f>IF($E111="Yes","IPP",IFERROR(IF(AND(AF111&gt;AG111,AF111&lt;AH111),"0",(VLOOKUP(AF111,'ELA Reading Logic'!$A$22:$B$48,2,FALSE))-(IF(VLOOKUP(AF111,'ELA Reading Logic'!$A$22:$B$48,2,FALSE)&lt;=VLOOKUP(AG111,'ELA Reading Logic'!$A$22:$B$48,2,FALSE),VLOOKUP(AG111,'ELA Reading Logic'!$A$22:$B$48,2,FALSE),IF(VLOOKUP(AF111,'ELA Reading Logic'!$A$22:$B$48,2,FALSE)&gt;=VLOOKUP(AH111,'ELA Reading Logic'!$A$22:$B$48,2,FALSE),VLOOKUP(AH111,'ELA Reading Logic'!$A$22:$B$48,2,FALSE),"No Score")))),"No Value"))</f>
        <v>No Value</v>
      </c>
      <c r="AJ111" s="96" t="str">
        <f>IFERROR(VLOOKUP(AF111,'ELA Reading Logic'!$A$22:$B$48,2,FALSE)-VLOOKUP($F111,'ELA Reading Logic'!$A$22:$B$48,2,FALSE),"No Value")</f>
        <v>No Value</v>
      </c>
      <c r="AK111" s="92"/>
      <c r="AL111" s="96" t="str">
        <f>IFERROR(IF($E111="Yes","IPP",VLOOKUP($J111,'ELA Reading Logic'!$A$3:$K$9,VLOOKUP(AK$1,'ELA Reading Logic'!$J$22:$K$31,2,FALSE),FALSE)),"Set Grade")</f>
        <v>Set Grade</v>
      </c>
      <c r="AM111" s="96" t="str">
        <f>IFERROR(IF($E111="Yes","IPP",VLOOKUP($J111,'ELA Reading Logic'!$A$13:$K$19,VLOOKUP(AK$1,'ELA Reading Logic'!$J$22:$K$31,2,FALSE),FALSE)),"Set Grade")</f>
        <v>Set Grade</v>
      </c>
      <c r="AN111" s="96" t="str">
        <f>IF($E111="Yes","IPP",IFERROR(IF(AND(AK111&gt;AL111,AK111&lt;AM111),"0",(VLOOKUP(AK111,'ELA Reading Logic'!$A$22:$B$48,2,FALSE))-(IF(VLOOKUP(AK111,'ELA Reading Logic'!$A$22:$B$48,2,FALSE)&lt;=VLOOKUP(AL111,'ELA Reading Logic'!$A$22:$B$48,2,FALSE),VLOOKUP(AL111,'ELA Reading Logic'!$A$22:$B$48,2,FALSE),IF(VLOOKUP(AK111,'ELA Reading Logic'!$A$22:$B$48,2,FALSE)&gt;=VLOOKUP(AM111,'ELA Reading Logic'!$A$22:$B$48,2,FALSE),VLOOKUP(AM111,'ELA Reading Logic'!$A$22:$B$48,2,FALSE),"No Score")))),"No Value"))</f>
        <v>No Value</v>
      </c>
      <c r="AO111" s="96" t="str">
        <f>IFERROR(VLOOKUP(AK111,'ELA Reading Logic'!$A$22:$B$48,2,FALSE)-VLOOKUP($F111,'ELA Reading Logic'!$A$22:$B$48,2,FALSE),"No Value")</f>
        <v>No Value</v>
      </c>
      <c r="AP111" s="92"/>
      <c r="AQ111" s="96" t="str">
        <f>IFERROR(IF($E111="Yes","IPP",VLOOKUP($J111,'ELA Reading Logic'!$A$3:$K$9,VLOOKUP(AP$1,'ELA Reading Logic'!$J$22:$K$31,2,FALSE),FALSE)),"Set Grade")</f>
        <v>Set Grade</v>
      </c>
      <c r="AR111" s="96" t="str">
        <f>IFERROR(IF($E111="Yes","IPP",VLOOKUP($J111,'ELA Reading Logic'!$A$13:$K$19,VLOOKUP(AP$1,'ELA Reading Logic'!$J$22:$K$31,2,FALSE),FALSE)),"Set Grade")</f>
        <v>Set Grade</v>
      </c>
      <c r="AS111" s="96" t="str">
        <f>IF($E111="Yes","IPP",IFERROR(IF(AND(AP111&gt;AQ111,AP111&lt;AR111),"0",(VLOOKUP(AP111,'ELA Reading Logic'!$A$22:$B$48,2,FALSE))-(IF(VLOOKUP(AP111,'ELA Reading Logic'!$A$22:$B$48,2,FALSE)&lt;=VLOOKUP(AQ111,'ELA Reading Logic'!$A$22:$B$48,2,FALSE),VLOOKUP(AQ111,'ELA Reading Logic'!$A$22:$B$48,2,FALSE),IF(VLOOKUP(AP111,'ELA Reading Logic'!$A$22:$B$48,2,FALSE)&gt;=VLOOKUP(AR111,'ELA Reading Logic'!$A$22:$B$48,2,FALSE),VLOOKUP(AR111,'ELA Reading Logic'!$A$22:$B$48,2,FALSE),"No Score")))),"No Value"))</f>
        <v>No Value</v>
      </c>
      <c r="AT111" s="96" t="str">
        <f>IFERROR(VLOOKUP(AP111,'ELA Reading Logic'!$A$22:$B$48,2,FALSE)-VLOOKUP($F111,'ELA Reading Logic'!$A$22:$B$48,2,FALSE),"No Value")</f>
        <v>No Value</v>
      </c>
    </row>
    <row r="112" spans="1:46" ht="22.5" customHeight="1" x14ac:dyDescent="0.25">
      <c r="A112" s="176"/>
      <c r="B112" s="176"/>
      <c r="C112" s="176"/>
      <c r="D112" s="176"/>
      <c r="E112" s="175"/>
      <c r="F112" s="175"/>
      <c r="G112" s="177" t="str">
        <f>IFERROR(IF($E112="Yes","IPP",VLOOKUP($J112,'ELA Reading Logic'!$A$3:$K$9,VLOOKUP("September",'ELA Reading Logic'!$J$22:$K$31,2,FALSE),FALSE)),"Set Grade")</f>
        <v>Set Grade</v>
      </c>
      <c r="H112" s="177" t="str">
        <f>IFERROR(IF($E112="Yes","IPP",VLOOKUP($J112,'ELA Reading Logic'!$A$13:$K$19,VLOOKUP("September",'ELA Reading Logic'!$J$22:$K$31,2,FALSE),FALSE)),"Set Grade")</f>
        <v>Set Grade</v>
      </c>
      <c r="I112" s="96" t="str">
        <f>IF($E112="Yes","IPP",IFERROR(IF(AND(F112&gt;G112,F112&lt;H112),"0",(VLOOKUP(F112,'ELA Reading Logic'!$A$22:$B$48,2,FALSE))-(IF(VLOOKUP(F112,'ELA Reading Logic'!$A$22:$B$48,2,FALSE)&lt;=VLOOKUP(G112,'ELA Reading Logic'!$A$22:$B$48,2,FALSE),VLOOKUP(G112,'ELA Reading Logic'!$A$22:$B$48,2,FALSE),IF(VLOOKUP(F112,'ELA Reading Logic'!$A$22:$B$48,2,FALSE)&gt;=VLOOKUP(H112,'ELA Reading Logic'!$A$22:$B$48,2,FALSE),VLOOKUP(H112,'ELA Reading Logic'!$A$22:$B$48,2,FALSE),"No Score")))),"No Value"))</f>
        <v>No Value</v>
      </c>
      <c r="J112" s="178"/>
      <c r="K112" s="96"/>
      <c r="L112" s="96"/>
      <c r="M112" s="96"/>
      <c r="N112" s="96"/>
      <c r="O112" s="96"/>
      <c r="P112" s="105"/>
      <c r="Q112" s="92"/>
      <c r="R112" s="96" t="str">
        <f>IFERROR(IF($E112="Yes","IPP",VLOOKUP($J112,'ELA Reading Logic'!$A$3:$K$9,VLOOKUP(Q$1,'ELA Reading Logic'!$J$22:$K$31,2,FALSE),FALSE)),"Set Grade")</f>
        <v>Set Grade</v>
      </c>
      <c r="S112" s="96" t="str">
        <f>IFERROR(IF($E112="Yes","IPP",VLOOKUP($J112,'ELA Reading Logic'!$A$13:$K$19,VLOOKUP(Q$1,'ELA Reading Logic'!$J$22:$K$31,2,FALSE),FALSE)),"Set Grade")</f>
        <v>Set Grade</v>
      </c>
      <c r="T112" s="96" t="str">
        <f>IF($E112="Yes","IPP",IFERROR(IF(AND(Q112&gt;R112,Q112&lt;S112),"0",(VLOOKUP(Q112,'ELA Reading Logic'!$A$22:$B$48,2,FALSE))-(IF(VLOOKUP(Q112,'ELA Reading Logic'!$A$22:$B$48,2,FALSE)&lt;=VLOOKUP(R112,'ELA Reading Logic'!$A$22:$B$48,2,FALSE),VLOOKUP(R112,'ELA Reading Logic'!$A$22:$B$48,2,FALSE),IF(VLOOKUP(Q112,'ELA Reading Logic'!$A$22:$B$48,2,FALSE)&gt;=VLOOKUP(S112,'ELA Reading Logic'!$A$22:$B$48,2,FALSE),VLOOKUP(S112,'ELA Reading Logic'!$A$22:$B$48,2,FALSE),"No Score")))),"No Value"))</f>
        <v>No Value</v>
      </c>
      <c r="U112" s="96" t="str">
        <f>IFERROR(VLOOKUP(Q112,'ELA Reading Logic'!$A$22:$B$48,2,FALSE)-VLOOKUP($F112,'ELA Reading Logic'!$A$22:$B$48,2,FALSE),"No Value")</f>
        <v>No Value</v>
      </c>
      <c r="V112" s="92"/>
      <c r="W112" s="96" t="str">
        <f>IFERROR(IF($E112="Yes","IPP",VLOOKUP($J112,'ELA Reading Logic'!$A$3:$K$9,VLOOKUP(V$1,'ELA Reading Logic'!$J$22:$K$31,2,FALSE),FALSE)),"Set Grade")</f>
        <v>Set Grade</v>
      </c>
      <c r="X112" s="96" t="str">
        <f>IFERROR(IF($E112="Yes","IPP",VLOOKUP($J112,'ELA Reading Logic'!$A$13:$K$19,VLOOKUP(V$1,'ELA Reading Logic'!$J$22:$K$31,2,FALSE),FALSE)),"Set Grade")</f>
        <v>Set Grade</v>
      </c>
      <c r="Y112" s="96" t="str">
        <f>IF($E112="Yes","IPP",IFERROR(IF(AND(V112&gt;W112,V112&lt;X112),"0",(VLOOKUP(V112,'ELA Reading Logic'!$A$22:$B$48,2,FALSE))-(IF(VLOOKUP(V112,'ELA Reading Logic'!$A$22:$B$48,2,FALSE)&lt;=VLOOKUP(W112,'ELA Reading Logic'!$A$22:$B$48,2,FALSE),VLOOKUP(W112,'ELA Reading Logic'!$A$22:$B$48,2,FALSE),IF(VLOOKUP(V112,'ELA Reading Logic'!$A$22:$B$48,2,FALSE)&gt;=VLOOKUP(X112,'ELA Reading Logic'!$A$22:$B$48,2,FALSE),VLOOKUP(X112,'ELA Reading Logic'!$A$22:$B$48,2,FALSE),"No Score")))),"No Value"))</f>
        <v>No Value</v>
      </c>
      <c r="Z112" s="96" t="str">
        <f>IFERROR(VLOOKUP(V112,'ELA Reading Logic'!$A$22:$B$48,2,FALSE)-VLOOKUP($F112,'ELA Reading Logic'!$A$22:$B$48,2,FALSE),"No Value")</f>
        <v>No Value</v>
      </c>
      <c r="AA112" s="92"/>
      <c r="AB112" s="96" t="str">
        <f>IFERROR(IF($E112="Yes","IPP",VLOOKUP($J112,'ELA Reading Logic'!$A$3:$K$9,VLOOKUP(AA$1,'ELA Reading Logic'!$J$22:$K$31,2,FALSE),FALSE)),"Set Grade")</f>
        <v>Set Grade</v>
      </c>
      <c r="AC112" s="96" t="str">
        <f>IFERROR(IF($E112="Yes","IPP",VLOOKUP($J112,'ELA Reading Logic'!$A$13:$K$19,VLOOKUP(AA$1,'ELA Reading Logic'!$J$22:$K$31,2,FALSE),FALSE)),"Set Grade")</f>
        <v>Set Grade</v>
      </c>
      <c r="AD112" s="96" t="str">
        <f>IF($E112="Yes","IPP",IFERROR(IF(AND(AA112&gt;AB112,AA112&lt;AC112),"0",(VLOOKUP(AA112,'ELA Reading Logic'!$A$22:$B$48,2,FALSE))-(IF(VLOOKUP(AA112,'ELA Reading Logic'!$A$22:$B$48,2,FALSE)&lt;=VLOOKUP(AB112,'ELA Reading Logic'!$A$22:$B$48,2,FALSE),VLOOKUP(AB112,'ELA Reading Logic'!$A$22:$B$48,2,FALSE),IF(VLOOKUP(AA112,'ELA Reading Logic'!$A$22:$B$48,2,FALSE)&gt;=VLOOKUP(AC112,'ELA Reading Logic'!$A$22:$B$48,2,FALSE),VLOOKUP(AC112,'ELA Reading Logic'!$A$22:$B$48,2,FALSE),"No Score")))),"No Value"))</f>
        <v>No Value</v>
      </c>
      <c r="AE112" s="96" t="str">
        <f>IFERROR(VLOOKUP(AA112,'ELA Reading Logic'!$A$22:$B$48,2,FALSE)-VLOOKUP($F112,'ELA Reading Logic'!$A$22:$B$48,2,FALSE),"No Value")</f>
        <v>No Value</v>
      </c>
      <c r="AF112" s="92"/>
      <c r="AG112" s="96" t="str">
        <f>IFERROR(IF($E112="Yes","IPP",VLOOKUP($J112,'ELA Reading Logic'!$A$3:$K$9,VLOOKUP(AF$1,'ELA Reading Logic'!$J$22:$K$31,2,FALSE),FALSE)),"Set Grade")</f>
        <v>Set Grade</v>
      </c>
      <c r="AH112" s="96" t="str">
        <f>IFERROR(IF($E112="Yes","IPP",VLOOKUP($J112,'ELA Reading Logic'!$A$13:$K$19,VLOOKUP(AF$1,'ELA Reading Logic'!$J$22:$K$31,2,FALSE),FALSE)),"Set Grade")</f>
        <v>Set Grade</v>
      </c>
      <c r="AI112" s="96" t="str">
        <f>IF($E112="Yes","IPP",IFERROR(IF(AND(AF112&gt;AG112,AF112&lt;AH112),"0",(VLOOKUP(AF112,'ELA Reading Logic'!$A$22:$B$48,2,FALSE))-(IF(VLOOKUP(AF112,'ELA Reading Logic'!$A$22:$B$48,2,FALSE)&lt;=VLOOKUP(AG112,'ELA Reading Logic'!$A$22:$B$48,2,FALSE),VLOOKUP(AG112,'ELA Reading Logic'!$A$22:$B$48,2,FALSE),IF(VLOOKUP(AF112,'ELA Reading Logic'!$A$22:$B$48,2,FALSE)&gt;=VLOOKUP(AH112,'ELA Reading Logic'!$A$22:$B$48,2,FALSE),VLOOKUP(AH112,'ELA Reading Logic'!$A$22:$B$48,2,FALSE),"No Score")))),"No Value"))</f>
        <v>No Value</v>
      </c>
      <c r="AJ112" s="96" t="str">
        <f>IFERROR(VLOOKUP(AF112,'ELA Reading Logic'!$A$22:$B$48,2,FALSE)-VLOOKUP($F112,'ELA Reading Logic'!$A$22:$B$48,2,FALSE),"No Value")</f>
        <v>No Value</v>
      </c>
      <c r="AK112" s="92"/>
      <c r="AL112" s="96" t="str">
        <f>IFERROR(IF($E112="Yes","IPP",VLOOKUP($J112,'ELA Reading Logic'!$A$3:$K$9,VLOOKUP(AK$1,'ELA Reading Logic'!$J$22:$K$31,2,FALSE),FALSE)),"Set Grade")</f>
        <v>Set Grade</v>
      </c>
      <c r="AM112" s="96" t="str">
        <f>IFERROR(IF($E112="Yes","IPP",VLOOKUP($J112,'ELA Reading Logic'!$A$13:$K$19,VLOOKUP(AK$1,'ELA Reading Logic'!$J$22:$K$31,2,FALSE),FALSE)),"Set Grade")</f>
        <v>Set Grade</v>
      </c>
      <c r="AN112" s="96" t="str">
        <f>IF($E112="Yes","IPP",IFERROR(IF(AND(AK112&gt;AL112,AK112&lt;AM112),"0",(VLOOKUP(AK112,'ELA Reading Logic'!$A$22:$B$48,2,FALSE))-(IF(VLOOKUP(AK112,'ELA Reading Logic'!$A$22:$B$48,2,FALSE)&lt;=VLOOKUP(AL112,'ELA Reading Logic'!$A$22:$B$48,2,FALSE),VLOOKUP(AL112,'ELA Reading Logic'!$A$22:$B$48,2,FALSE),IF(VLOOKUP(AK112,'ELA Reading Logic'!$A$22:$B$48,2,FALSE)&gt;=VLOOKUP(AM112,'ELA Reading Logic'!$A$22:$B$48,2,FALSE),VLOOKUP(AM112,'ELA Reading Logic'!$A$22:$B$48,2,FALSE),"No Score")))),"No Value"))</f>
        <v>No Value</v>
      </c>
      <c r="AO112" s="96" t="str">
        <f>IFERROR(VLOOKUP(AK112,'ELA Reading Logic'!$A$22:$B$48,2,FALSE)-VLOOKUP($F112,'ELA Reading Logic'!$A$22:$B$48,2,FALSE),"No Value")</f>
        <v>No Value</v>
      </c>
      <c r="AP112" s="92"/>
      <c r="AQ112" s="96" t="str">
        <f>IFERROR(IF($E112="Yes","IPP",VLOOKUP($J112,'ELA Reading Logic'!$A$3:$K$9,VLOOKUP(AP$1,'ELA Reading Logic'!$J$22:$K$31,2,FALSE),FALSE)),"Set Grade")</f>
        <v>Set Grade</v>
      </c>
      <c r="AR112" s="96" t="str">
        <f>IFERROR(IF($E112="Yes","IPP",VLOOKUP($J112,'ELA Reading Logic'!$A$13:$K$19,VLOOKUP(AP$1,'ELA Reading Logic'!$J$22:$K$31,2,FALSE),FALSE)),"Set Grade")</f>
        <v>Set Grade</v>
      </c>
      <c r="AS112" s="96" t="str">
        <f>IF($E112="Yes","IPP",IFERROR(IF(AND(AP112&gt;AQ112,AP112&lt;AR112),"0",(VLOOKUP(AP112,'ELA Reading Logic'!$A$22:$B$48,2,FALSE))-(IF(VLOOKUP(AP112,'ELA Reading Logic'!$A$22:$B$48,2,FALSE)&lt;=VLOOKUP(AQ112,'ELA Reading Logic'!$A$22:$B$48,2,FALSE),VLOOKUP(AQ112,'ELA Reading Logic'!$A$22:$B$48,2,FALSE),IF(VLOOKUP(AP112,'ELA Reading Logic'!$A$22:$B$48,2,FALSE)&gt;=VLOOKUP(AR112,'ELA Reading Logic'!$A$22:$B$48,2,FALSE),VLOOKUP(AR112,'ELA Reading Logic'!$A$22:$B$48,2,FALSE),"No Score")))),"No Value"))</f>
        <v>No Value</v>
      </c>
      <c r="AT112" s="96" t="str">
        <f>IFERROR(VLOOKUP(AP112,'ELA Reading Logic'!$A$22:$B$48,2,FALSE)-VLOOKUP($F112,'ELA Reading Logic'!$A$22:$B$48,2,FALSE),"No Value")</f>
        <v>No Value</v>
      </c>
    </row>
    <row r="113" spans="1:46" ht="22.5" customHeight="1" x14ac:dyDescent="0.25">
      <c r="A113" s="174"/>
      <c r="B113" s="174"/>
      <c r="C113" s="174"/>
      <c r="D113" s="174"/>
      <c r="E113" s="175"/>
      <c r="F113" s="175"/>
      <c r="G113" s="177" t="str">
        <f>IFERROR(IF($E113="Yes","IPP",VLOOKUP($J113,'ELA Reading Logic'!$A$3:$K$9,VLOOKUP("September",'ELA Reading Logic'!$J$22:$K$31,2,FALSE),FALSE)),"Set Grade")</f>
        <v>Set Grade</v>
      </c>
      <c r="H113" s="177" t="str">
        <f>IFERROR(IF($E113="Yes","IPP",VLOOKUP($J113,'ELA Reading Logic'!$A$13:$K$19,VLOOKUP("September",'ELA Reading Logic'!$J$22:$K$31,2,FALSE),FALSE)),"Set Grade")</f>
        <v>Set Grade</v>
      </c>
      <c r="I113" s="96" t="str">
        <f>IF($E113="Yes","IPP",IFERROR(IF(AND(F113&gt;G113,F113&lt;H113),"0",(VLOOKUP(F113,'ELA Reading Logic'!$A$22:$B$48,2,FALSE))-(IF(VLOOKUP(F113,'ELA Reading Logic'!$A$22:$B$48,2,FALSE)&lt;=VLOOKUP(G113,'ELA Reading Logic'!$A$22:$B$48,2,FALSE),VLOOKUP(G113,'ELA Reading Logic'!$A$22:$B$48,2,FALSE),IF(VLOOKUP(F113,'ELA Reading Logic'!$A$22:$B$48,2,FALSE)&gt;=VLOOKUP(H113,'ELA Reading Logic'!$A$22:$B$48,2,FALSE),VLOOKUP(H113,'ELA Reading Logic'!$A$22:$B$48,2,FALSE),"No Score")))),"No Value"))</f>
        <v>No Value</v>
      </c>
      <c r="J113" s="178"/>
      <c r="K113" s="96"/>
      <c r="L113" s="96"/>
      <c r="M113" s="96"/>
      <c r="N113" s="96"/>
      <c r="O113" s="96"/>
      <c r="P113" s="105"/>
      <c r="Q113" s="92"/>
      <c r="R113" s="96" t="str">
        <f>IFERROR(IF($E113="Yes","IPP",VLOOKUP($J113,'ELA Reading Logic'!$A$3:$K$9,VLOOKUP(Q$1,'ELA Reading Logic'!$J$22:$K$31,2,FALSE),FALSE)),"Set Grade")</f>
        <v>Set Grade</v>
      </c>
      <c r="S113" s="96" t="str">
        <f>IFERROR(IF($E113="Yes","IPP",VLOOKUP($J113,'ELA Reading Logic'!$A$13:$K$19,VLOOKUP(Q$1,'ELA Reading Logic'!$J$22:$K$31,2,FALSE),FALSE)),"Set Grade")</f>
        <v>Set Grade</v>
      </c>
      <c r="T113" s="96" t="str">
        <f>IF($E113="Yes","IPP",IFERROR(IF(AND(Q113&gt;R113,Q113&lt;S113),"0",(VLOOKUP(Q113,'ELA Reading Logic'!$A$22:$B$48,2,FALSE))-(IF(VLOOKUP(Q113,'ELA Reading Logic'!$A$22:$B$48,2,FALSE)&lt;=VLOOKUP(R113,'ELA Reading Logic'!$A$22:$B$48,2,FALSE),VLOOKUP(R113,'ELA Reading Logic'!$A$22:$B$48,2,FALSE),IF(VLOOKUP(Q113,'ELA Reading Logic'!$A$22:$B$48,2,FALSE)&gt;=VLOOKUP(S113,'ELA Reading Logic'!$A$22:$B$48,2,FALSE),VLOOKUP(S113,'ELA Reading Logic'!$A$22:$B$48,2,FALSE),"No Score")))),"No Value"))</f>
        <v>No Value</v>
      </c>
      <c r="U113" s="96" t="str">
        <f>IFERROR(VLOOKUP(Q113,'ELA Reading Logic'!$A$22:$B$48,2,FALSE)-VLOOKUP($F113,'ELA Reading Logic'!$A$22:$B$48,2,FALSE),"No Value")</f>
        <v>No Value</v>
      </c>
      <c r="V113" s="92"/>
      <c r="W113" s="96" t="str">
        <f>IFERROR(IF($E113="Yes","IPP",VLOOKUP($J113,'ELA Reading Logic'!$A$3:$K$9,VLOOKUP(V$1,'ELA Reading Logic'!$J$22:$K$31,2,FALSE),FALSE)),"Set Grade")</f>
        <v>Set Grade</v>
      </c>
      <c r="X113" s="96" t="str">
        <f>IFERROR(IF($E113="Yes","IPP",VLOOKUP($J113,'ELA Reading Logic'!$A$13:$K$19,VLOOKUP(V$1,'ELA Reading Logic'!$J$22:$K$31,2,FALSE),FALSE)),"Set Grade")</f>
        <v>Set Grade</v>
      </c>
      <c r="Y113" s="96" t="str">
        <f>IF($E113="Yes","IPP",IFERROR(IF(AND(V113&gt;W113,V113&lt;X113),"0",(VLOOKUP(V113,'ELA Reading Logic'!$A$22:$B$48,2,FALSE))-(IF(VLOOKUP(V113,'ELA Reading Logic'!$A$22:$B$48,2,FALSE)&lt;=VLOOKUP(W113,'ELA Reading Logic'!$A$22:$B$48,2,FALSE),VLOOKUP(W113,'ELA Reading Logic'!$A$22:$B$48,2,FALSE),IF(VLOOKUP(V113,'ELA Reading Logic'!$A$22:$B$48,2,FALSE)&gt;=VLOOKUP(X113,'ELA Reading Logic'!$A$22:$B$48,2,FALSE),VLOOKUP(X113,'ELA Reading Logic'!$A$22:$B$48,2,FALSE),"No Score")))),"No Value"))</f>
        <v>No Value</v>
      </c>
      <c r="Z113" s="96" t="str">
        <f>IFERROR(VLOOKUP(V113,'ELA Reading Logic'!$A$22:$B$48,2,FALSE)-VLOOKUP($F113,'ELA Reading Logic'!$A$22:$B$48,2,FALSE),"No Value")</f>
        <v>No Value</v>
      </c>
      <c r="AA113" s="92"/>
      <c r="AB113" s="96" t="str">
        <f>IFERROR(IF($E113="Yes","IPP",VLOOKUP($J113,'ELA Reading Logic'!$A$3:$K$9,VLOOKUP(AA$1,'ELA Reading Logic'!$J$22:$K$31,2,FALSE),FALSE)),"Set Grade")</f>
        <v>Set Grade</v>
      </c>
      <c r="AC113" s="96" t="str">
        <f>IFERROR(IF($E113="Yes","IPP",VLOOKUP($J113,'ELA Reading Logic'!$A$13:$K$19,VLOOKUP(AA$1,'ELA Reading Logic'!$J$22:$K$31,2,FALSE),FALSE)),"Set Grade")</f>
        <v>Set Grade</v>
      </c>
      <c r="AD113" s="96" t="str">
        <f>IF($E113="Yes","IPP",IFERROR(IF(AND(AA113&gt;AB113,AA113&lt;AC113),"0",(VLOOKUP(AA113,'ELA Reading Logic'!$A$22:$B$48,2,FALSE))-(IF(VLOOKUP(AA113,'ELA Reading Logic'!$A$22:$B$48,2,FALSE)&lt;=VLOOKUP(AB113,'ELA Reading Logic'!$A$22:$B$48,2,FALSE),VLOOKUP(AB113,'ELA Reading Logic'!$A$22:$B$48,2,FALSE),IF(VLOOKUP(AA113,'ELA Reading Logic'!$A$22:$B$48,2,FALSE)&gt;=VLOOKUP(AC113,'ELA Reading Logic'!$A$22:$B$48,2,FALSE),VLOOKUP(AC113,'ELA Reading Logic'!$A$22:$B$48,2,FALSE),"No Score")))),"No Value"))</f>
        <v>No Value</v>
      </c>
      <c r="AE113" s="96" t="str">
        <f>IFERROR(VLOOKUP(AA113,'ELA Reading Logic'!$A$22:$B$48,2,FALSE)-VLOOKUP($F113,'ELA Reading Logic'!$A$22:$B$48,2,FALSE),"No Value")</f>
        <v>No Value</v>
      </c>
      <c r="AF113" s="92"/>
      <c r="AG113" s="96" t="str">
        <f>IFERROR(IF($E113="Yes","IPP",VLOOKUP($J113,'ELA Reading Logic'!$A$3:$K$9,VLOOKUP(AF$1,'ELA Reading Logic'!$J$22:$K$31,2,FALSE),FALSE)),"Set Grade")</f>
        <v>Set Grade</v>
      </c>
      <c r="AH113" s="96" t="str">
        <f>IFERROR(IF($E113="Yes","IPP",VLOOKUP($J113,'ELA Reading Logic'!$A$13:$K$19,VLOOKUP(AF$1,'ELA Reading Logic'!$J$22:$K$31,2,FALSE),FALSE)),"Set Grade")</f>
        <v>Set Grade</v>
      </c>
      <c r="AI113" s="96" t="str">
        <f>IF($E113="Yes","IPP",IFERROR(IF(AND(AF113&gt;AG113,AF113&lt;AH113),"0",(VLOOKUP(AF113,'ELA Reading Logic'!$A$22:$B$48,2,FALSE))-(IF(VLOOKUP(AF113,'ELA Reading Logic'!$A$22:$B$48,2,FALSE)&lt;=VLOOKUP(AG113,'ELA Reading Logic'!$A$22:$B$48,2,FALSE),VLOOKUP(AG113,'ELA Reading Logic'!$A$22:$B$48,2,FALSE),IF(VLOOKUP(AF113,'ELA Reading Logic'!$A$22:$B$48,2,FALSE)&gt;=VLOOKUP(AH113,'ELA Reading Logic'!$A$22:$B$48,2,FALSE),VLOOKUP(AH113,'ELA Reading Logic'!$A$22:$B$48,2,FALSE),"No Score")))),"No Value"))</f>
        <v>No Value</v>
      </c>
      <c r="AJ113" s="96" t="str">
        <f>IFERROR(VLOOKUP(AF113,'ELA Reading Logic'!$A$22:$B$48,2,FALSE)-VLOOKUP($F113,'ELA Reading Logic'!$A$22:$B$48,2,FALSE),"No Value")</f>
        <v>No Value</v>
      </c>
      <c r="AK113" s="92"/>
      <c r="AL113" s="96" t="str">
        <f>IFERROR(IF($E113="Yes","IPP",VLOOKUP($J113,'ELA Reading Logic'!$A$3:$K$9,VLOOKUP(AK$1,'ELA Reading Logic'!$J$22:$K$31,2,FALSE),FALSE)),"Set Grade")</f>
        <v>Set Grade</v>
      </c>
      <c r="AM113" s="96" t="str">
        <f>IFERROR(IF($E113="Yes","IPP",VLOOKUP($J113,'ELA Reading Logic'!$A$13:$K$19,VLOOKUP(AK$1,'ELA Reading Logic'!$J$22:$K$31,2,FALSE),FALSE)),"Set Grade")</f>
        <v>Set Grade</v>
      </c>
      <c r="AN113" s="96" t="str">
        <f>IF($E113="Yes","IPP",IFERROR(IF(AND(AK113&gt;AL113,AK113&lt;AM113),"0",(VLOOKUP(AK113,'ELA Reading Logic'!$A$22:$B$48,2,FALSE))-(IF(VLOOKUP(AK113,'ELA Reading Logic'!$A$22:$B$48,2,FALSE)&lt;=VLOOKUP(AL113,'ELA Reading Logic'!$A$22:$B$48,2,FALSE),VLOOKUP(AL113,'ELA Reading Logic'!$A$22:$B$48,2,FALSE),IF(VLOOKUP(AK113,'ELA Reading Logic'!$A$22:$B$48,2,FALSE)&gt;=VLOOKUP(AM113,'ELA Reading Logic'!$A$22:$B$48,2,FALSE),VLOOKUP(AM113,'ELA Reading Logic'!$A$22:$B$48,2,FALSE),"No Score")))),"No Value"))</f>
        <v>No Value</v>
      </c>
      <c r="AO113" s="96" t="str">
        <f>IFERROR(VLOOKUP(AK113,'ELA Reading Logic'!$A$22:$B$48,2,FALSE)-VLOOKUP($F113,'ELA Reading Logic'!$A$22:$B$48,2,FALSE),"No Value")</f>
        <v>No Value</v>
      </c>
      <c r="AP113" s="92"/>
      <c r="AQ113" s="96" t="str">
        <f>IFERROR(IF($E113="Yes","IPP",VLOOKUP($J113,'ELA Reading Logic'!$A$3:$K$9,VLOOKUP(AP$1,'ELA Reading Logic'!$J$22:$K$31,2,FALSE),FALSE)),"Set Grade")</f>
        <v>Set Grade</v>
      </c>
      <c r="AR113" s="96" t="str">
        <f>IFERROR(IF($E113="Yes","IPP",VLOOKUP($J113,'ELA Reading Logic'!$A$13:$K$19,VLOOKUP(AP$1,'ELA Reading Logic'!$J$22:$K$31,2,FALSE),FALSE)),"Set Grade")</f>
        <v>Set Grade</v>
      </c>
      <c r="AS113" s="96" t="str">
        <f>IF($E113="Yes","IPP",IFERROR(IF(AND(AP113&gt;AQ113,AP113&lt;AR113),"0",(VLOOKUP(AP113,'ELA Reading Logic'!$A$22:$B$48,2,FALSE))-(IF(VLOOKUP(AP113,'ELA Reading Logic'!$A$22:$B$48,2,FALSE)&lt;=VLOOKUP(AQ113,'ELA Reading Logic'!$A$22:$B$48,2,FALSE),VLOOKUP(AQ113,'ELA Reading Logic'!$A$22:$B$48,2,FALSE),IF(VLOOKUP(AP113,'ELA Reading Logic'!$A$22:$B$48,2,FALSE)&gt;=VLOOKUP(AR113,'ELA Reading Logic'!$A$22:$B$48,2,FALSE),VLOOKUP(AR113,'ELA Reading Logic'!$A$22:$B$48,2,FALSE),"No Score")))),"No Value"))</f>
        <v>No Value</v>
      </c>
      <c r="AT113" s="96" t="str">
        <f>IFERROR(VLOOKUP(AP113,'ELA Reading Logic'!$A$22:$B$48,2,FALSE)-VLOOKUP($F113,'ELA Reading Logic'!$A$22:$B$48,2,FALSE),"No Value")</f>
        <v>No Value</v>
      </c>
    </row>
    <row r="114" spans="1:46" ht="22.5" customHeight="1" x14ac:dyDescent="0.25">
      <c r="A114" s="176"/>
      <c r="B114" s="176"/>
      <c r="C114" s="176"/>
      <c r="D114" s="176"/>
      <c r="E114" s="175"/>
      <c r="F114" s="175"/>
      <c r="G114" s="177" t="str">
        <f>IFERROR(IF($E114="Yes","IPP",VLOOKUP($J114,'ELA Reading Logic'!$A$3:$K$9,VLOOKUP("September",'ELA Reading Logic'!$J$22:$K$31,2,FALSE),FALSE)),"Set Grade")</f>
        <v>Set Grade</v>
      </c>
      <c r="H114" s="177" t="str">
        <f>IFERROR(IF($E114="Yes","IPP",VLOOKUP($J114,'ELA Reading Logic'!$A$13:$K$19,VLOOKUP("September",'ELA Reading Logic'!$J$22:$K$31,2,FALSE),FALSE)),"Set Grade")</f>
        <v>Set Grade</v>
      </c>
      <c r="I114" s="96" t="str">
        <f>IF($E114="Yes","IPP",IFERROR(IF(AND(F114&gt;G114,F114&lt;H114),"0",(VLOOKUP(F114,'ELA Reading Logic'!$A$22:$B$48,2,FALSE))-(IF(VLOOKUP(F114,'ELA Reading Logic'!$A$22:$B$48,2,FALSE)&lt;=VLOOKUP(G114,'ELA Reading Logic'!$A$22:$B$48,2,FALSE),VLOOKUP(G114,'ELA Reading Logic'!$A$22:$B$48,2,FALSE),IF(VLOOKUP(F114,'ELA Reading Logic'!$A$22:$B$48,2,FALSE)&gt;=VLOOKUP(H114,'ELA Reading Logic'!$A$22:$B$48,2,FALSE),VLOOKUP(H114,'ELA Reading Logic'!$A$22:$B$48,2,FALSE),"No Score")))),"No Value"))</f>
        <v>No Value</v>
      </c>
      <c r="J114" s="178"/>
      <c r="K114" s="96"/>
      <c r="L114" s="96"/>
      <c r="M114" s="96"/>
      <c r="N114" s="96"/>
      <c r="O114" s="96"/>
      <c r="P114" s="105"/>
      <c r="Q114" s="92"/>
      <c r="R114" s="96" t="str">
        <f>IFERROR(IF($E114="Yes","IPP",VLOOKUP($J114,'ELA Reading Logic'!$A$3:$K$9,VLOOKUP(Q$1,'ELA Reading Logic'!$J$22:$K$31,2,FALSE),FALSE)),"Set Grade")</f>
        <v>Set Grade</v>
      </c>
      <c r="S114" s="96" t="str">
        <f>IFERROR(IF($E114="Yes","IPP",VLOOKUP($J114,'ELA Reading Logic'!$A$13:$K$19,VLOOKUP(Q$1,'ELA Reading Logic'!$J$22:$K$31,2,FALSE),FALSE)),"Set Grade")</f>
        <v>Set Grade</v>
      </c>
      <c r="T114" s="96" t="str">
        <f>IF($E114="Yes","IPP",IFERROR(IF(AND(Q114&gt;R114,Q114&lt;S114),"0",(VLOOKUP(Q114,'ELA Reading Logic'!$A$22:$B$48,2,FALSE))-(IF(VLOOKUP(Q114,'ELA Reading Logic'!$A$22:$B$48,2,FALSE)&lt;=VLOOKUP(R114,'ELA Reading Logic'!$A$22:$B$48,2,FALSE),VLOOKUP(R114,'ELA Reading Logic'!$A$22:$B$48,2,FALSE),IF(VLOOKUP(Q114,'ELA Reading Logic'!$A$22:$B$48,2,FALSE)&gt;=VLOOKUP(S114,'ELA Reading Logic'!$A$22:$B$48,2,FALSE),VLOOKUP(S114,'ELA Reading Logic'!$A$22:$B$48,2,FALSE),"No Score")))),"No Value"))</f>
        <v>No Value</v>
      </c>
      <c r="U114" s="96" t="str">
        <f>IFERROR(VLOOKUP(Q114,'ELA Reading Logic'!$A$22:$B$48,2,FALSE)-VLOOKUP($F114,'ELA Reading Logic'!$A$22:$B$48,2,FALSE),"No Value")</f>
        <v>No Value</v>
      </c>
      <c r="V114" s="92"/>
      <c r="W114" s="96" t="str">
        <f>IFERROR(IF($E114="Yes","IPP",VLOOKUP($J114,'ELA Reading Logic'!$A$3:$K$9,VLOOKUP(V$1,'ELA Reading Logic'!$J$22:$K$31,2,FALSE),FALSE)),"Set Grade")</f>
        <v>Set Grade</v>
      </c>
      <c r="X114" s="96" t="str">
        <f>IFERROR(IF($E114="Yes","IPP",VLOOKUP($J114,'ELA Reading Logic'!$A$13:$K$19,VLOOKUP(V$1,'ELA Reading Logic'!$J$22:$K$31,2,FALSE),FALSE)),"Set Grade")</f>
        <v>Set Grade</v>
      </c>
      <c r="Y114" s="96" t="str">
        <f>IF($E114="Yes","IPP",IFERROR(IF(AND(V114&gt;W114,V114&lt;X114),"0",(VLOOKUP(V114,'ELA Reading Logic'!$A$22:$B$48,2,FALSE))-(IF(VLOOKUP(V114,'ELA Reading Logic'!$A$22:$B$48,2,FALSE)&lt;=VLOOKUP(W114,'ELA Reading Logic'!$A$22:$B$48,2,FALSE),VLOOKUP(W114,'ELA Reading Logic'!$A$22:$B$48,2,FALSE),IF(VLOOKUP(V114,'ELA Reading Logic'!$A$22:$B$48,2,FALSE)&gt;=VLOOKUP(X114,'ELA Reading Logic'!$A$22:$B$48,2,FALSE),VLOOKUP(X114,'ELA Reading Logic'!$A$22:$B$48,2,FALSE),"No Score")))),"No Value"))</f>
        <v>No Value</v>
      </c>
      <c r="Z114" s="96" t="str">
        <f>IFERROR(VLOOKUP(V114,'ELA Reading Logic'!$A$22:$B$48,2,FALSE)-VLOOKUP($F114,'ELA Reading Logic'!$A$22:$B$48,2,FALSE),"No Value")</f>
        <v>No Value</v>
      </c>
      <c r="AA114" s="92"/>
      <c r="AB114" s="96" t="str">
        <f>IFERROR(IF($E114="Yes","IPP",VLOOKUP($J114,'ELA Reading Logic'!$A$3:$K$9,VLOOKUP(AA$1,'ELA Reading Logic'!$J$22:$K$31,2,FALSE),FALSE)),"Set Grade")</f>
        <v>Set Grade</v>
      </c>
      <c r="AC114" s="96" t="str">
        <f>IFERROR(IF($E114="Yes","IPP",VLOOKUP($J114,'ELA Reading Logic'!$A$13:$K$19,VLOOKUP(AA$1,'ELA Reading Logic'!$J$22:$K$31,2,FALSE),FALSE)),"Set Grade")</f>
        <v>Set Grade</v>
      </c>
      <c r="AD114" s="96" t="str">
        <f>IF($E114="Yes","IPP",IFERROR(IF(AND(AA114&gt;AB114,AA114&lt;AC114),"0",(VLOOKUP(AA114,'ELA Reading Logic'!$A$22:$B$48,2,FALSE))-(IF(VLOOKUP(AA114,'ELA Reading Logic'!$A$22:$B$48,2,FALSE)&lt;=VLOOKUP(AB114,'ELA Reading Logic'!$A$22:$B$48,2,FALSE),VLOOKUP(AB114,'ELA Reading Logic'!$A$22:$B$48,2,FALSE),IF(VLOOKUP(AA114,'ELA Reading Logic'!$A$22:$B$48,2,FALSE)&gt;=VLOOKUP(AC114,'ELA Reading Logic'!$A$22:$B$48,2,FALSE),VLOOKUP(AC114,'ELA Reading Logic'!$A$22:$B$48,2,FALSE),"No Score")))),"No Value"))</f>
        <v>No Value</v>
      </c>
      <c r="AE114" s="96" t="str">
        <f>IFERROR(VLOOKUP(AA114,'ELA Reading Logic'!$A$22:$B$48,2,FALSE)-VLOOKUP($F114,'ELA Reading Logic'!$A$22:$B$48,2,FALSE),"No Value")</f>
        <v>No Value</v>
      </c>
      <c r="AF114" s="92"/>
      <c r="AG114" s="96" t="str">
        <f>IFERROR(IF($E114="Yes","IPP",VLOOKUP($J114,'ELA Reading Logic'!$A$3:$K$9,VLOOKUP(AF$1,'ELA Reading Logic'!$J$22:$K$31,2,FALSE),FALSE)),"Set Grade")</f>
        <v>Set Grade</v>
      </c>
      <c r="AH114" s="96" t="str">
        <f>IFERROR(IF($E114="Yes","IPP",VLOOKUP($J114,'ELA Reading Logic'!$A$13:$K$19,VLOOKUP(AF$1,'ELA Reading Logic'!$J$22:$K$31,2,FALSE),FALSE)),"Set Grade")</f>
        <v>Set Grade</v>
      </c>
      <c r="AI114" s="96" t="str">
        <f>IF($E114="Yes","IPP",IFERROR(IF(AND(AF114&gt;AG114,AF114&lt;AH114),"0",(VLOOKUP(AF114,'ELA Reading Logic'!$A$22:$B$48,2,FALSE))-(IF(VLOOKUP(AF114,'ELA Reading Logic'!$A$22:$B$48,2,FALSE)&lt;=VLOOKUP(AG114,'ELA Reading Logic'!$A$22:$B$48,2,FALSE),VLOOKUP(AG114,'ELA Reading Logic'!$A$22:$B$48,2,FALSE),IF(VLOOKUP(AF114,'ELA Reading Logic'!$A$22:$B$48,2,FALSE)&gt;=VLOOKUP(AH114,'ELA Reading Logic'!$A$22:$B$48,2,FALSE),VLOOKUP(AH114,'ELA Reading Logic'!$A$22:$B$48,2,FALSE),"No Score")))),"No Value"))</f>
        <v>No Value</v>
      </c>
      <c r="AJ114" s="96" t="str">
        <f>IFERROR(VLOOKUP(AF114,'ELA Reading Logic'!$A$22:$B$48,2,FALSE)-VLOOKUP($F114,'ELA Reading Logic'!$A$22:$B$48,2,FALSE),"No Value")</f>
        <v>No Value</v>
      </c>
      <c r="AK114" s="92"/>
      <c r="AL114" s="96" t="str">
        <f>IFERROR(IF($E114="Yes","IPP",VLOOKUP($J114,'ELA Reading Logic'!$A$3:$K$9,VLOOKUP(AK$1,'ELA Reading Logic'!$J$22:$K$31,2,FALSE),FALSE)),"Set Grade")</f>
        <v>Set Grade</v>
      </c>
      <c r="AM114" s="96" t="str">
        <f>IFERROR(IF($E114="Yes","IPP",VLOOKUP($J114,'ELA Reading Logic'!$A$13:$K$19,VLOOKUP(AK$1,'ELA Reading Logic'!$J$22:$K$31,2,FALSE),FALSE)),"Set Grade")</f>
        <v>Set Grade</v>
      </c>
      <c r="AN114" s="96" t="str">
        <f>IF($E114="Yes","IPP",IFERROR(IF(AND(AK114&gt;AL114,AK114&lt;AM114),"0",(VLOOKUP(AK114,'ELA Reading Logic'!$A$22:$B$48,2,FALSE))-(IF(VLOOKUP(AK114,'ELA Reading Logic'!$A$22:$B$48,2,FALSE)&lt;=VLOOKUP(AL114,'ELA Reading Logic'!$A$22:$B$48,2,FALSE),VLOOKUP(AL114,'ELA Reading Logic'!$A$22:$B$48,2,FALSE),IF(VLOOKUP(AK114,'ELA Reading Logic'!$A$22:$B$48,2,FALSE)&gt;=VLOOKUP(AM114,'ELA Reading Logic'!$A$22:$B$48,2,FALSE),VLOOKUP(AM114,'ELA Reading Logic'!$A$22:$B$48,2,FALSE),"No Score")))),"No Value"))</f>
        <v>No Value</v>
      </c>
      <c r="AO114" s="96" t="str">
        <f>IFERROR(VLOOKUP(AK114,'ELA Reading Logic'!$A$22:$B$48,2,FALSE)-VLOOKUP($F114,'ELA Reading Logic'!$A$22:$B$48,2,FALSE),"No Value")</f>
        <v>No Value</v>
      </c>
      <c r="AP114" s="92"/>
      <c r="AQ114" s="96" t="str">
        <f>IFERROR(IF($E114="Yes","IPP",VLOOKUP($J114,'ELA Reading Logic'!$A$3:$K$9,VLOOKUP(AP$1,'ELA Reading Logic'!$J$22:$K$31,2,FALSE),FALSE)),"Set Grade")</f>
        <v>Set Grade</v>
      </c>
      <c r="AR114" s="96" t="str">
        <f>IFERROR(IF($E114="Yes","IPP",VLOOKUP($J114,'ELA Reading Logic'!$A$13:$K$19,VLOOKUP(AP$1,'ELA Reading Logic'!$J$22:$K$31,2,FALSE),FALSE)),"Set Grade")</f>
        <v>Set Grade</v>
      </c>
      <c r="AS114" s="96" t="str">
        <f>IF($E114="Yes","IPP",IFERROR(IF(AND(AP114&gt;AQ114,AP114&lt;AR114),"0",(VLOOKUP(AP114,'ELA Reading Logic'!$A$22:$B$48,2,FALSE))-(IF(VLOOKUP(AP114,'ELA Reading Logic'!$A$22:$B$48,2,FALSE)&lt;=VLOOKUP(AQ114,'ELA Reading Logic'!$A$22:$B$48,2,FALSE),VLOOKUP(AQ114,'ELA Reading Logic'!$A$22:$B$48,2,FALSE),IF(VLOOKUP(AP114,'ELA Reading Logic'!$A$22:$B$48,2,FALSE)&gt;=VLOOKUP(AR114,'ELA Reading Logic'!$A$22:$B$48,2,FALSE),VLOOKUP(AR114,'ELA Reading Logic'!$A$22:$B$48,2,FALSE),"No Score")))),"No Value"))</f>
        <v>No Value</v>
      </c>
      <c r="AT114" s="96" t="str">
        <f>IFERROR(VLOOKUP(AP114,'ELA Reading Logic'!$A$22:$B$48,2,FALSE)-VLOOKUP($F114,'ELA Reading Logic'!$A$22:$B$48,2,FALSE),"No Value")</f>
        <v>No Value</v>
      </c>
    </row>
    <row r="115" spans="1:46" ht="22.5" customHeight="1" x14ac:dyDescent="0.25">
      <c r="A115" s="174"/>
      <c r="B115" s="174"/>
      <c r="C115" s="174"/>
      <c r="D115" s="174"/>
      <c r="E115" s="175"/>
      <c r="F115" s="175"/>
      <c r="G115" s="177" t="str">
        <f>IFERROR(IF($E115="Yes","IPP",VLOOKUP($J115,'ELA Reading Logic'!$A$3:$K$9,VLOOKUP("September",'ELA Reading Logic'!$J$22:$K$31,2,FALSE),FALSE)),"Set Grade")</f>
        <v>Set Grade</v>
      </c>
      <c r="H115" s="177" t="str">
        <f>IFERROR(IF($E115="Yes","IPP",VLOOKUP($J115,'ELA Reading Logic'!$A$13:$K$19,VLOOKUP("September",'ELA Reading Logic'!$J$22:$K$31,2,FALSE),FALSE)),"Set Grade")</f>
        <v>Set Grade</v>
      </c>
      <c r="I115" s="96" t="str">
        <f>IF($E115="Yes","IPP",IFERROR(IF(AND(F115&gt;G115,F115&lt;H115),"0",(VLOOKUP(F115,'ELA Reading Logic'!$A$22:$B$48,2,FALSE))-(IF(VLOOKUP(F115,'ELA Reading Logic'!$A$22:$B$48,2,FALSE)&lt;=VLOOKUP(G115,'ELA Reading Logic'!$A$22:$B$48,2,FALSE),VLOOKUP(G115,'ELA Reading Logic'!$A$22:$B$48,2,FALSE),IF(VLOOKUP(F115,'ELA Reading Logic'!$A$22:$B$48,2,FALSE)&gt;=VLOOKUP(H115,'ELA Reading Logic'!$A$22:$B$48,2,FALSE),VLOOKUP(H115,'ELA Reading Logic'!$A$22:$B$48,2,FALSE),"No Score")))),"No Value"))</f>
        <v>No Value</v>
      </c>
      <c r="J115" s="178"/>
      <c r="K115" s="96"/>
      <c r="L115" s="96"/>
      <c r="M115" s="96"/>
      <c r="N115" s="96"/>
      <c r="O115" s="96"/>
      <c r="P115" s="105"/>
      <c r="Q115" s="92"/>
      <c r="R115" s="96" t="str">
        <f>IFERROR(IF($E115="Yes","IPP",VLOOKUP($J115,'ELA Reading Logic'!$A$3:$K$9,VLOOKUP(Q$1,'ELA Reading Logic'!$J$22:$K$31,2,FALSE),FALSE)),"Set Grade")</f>
        <v>Set Grade</v>
      </c>
      <c r="S115" s="96" t="str">
        <f>IFERROR(IF($E115="Yes","IPP",VLOOKUP($J115,'ELA Reading Logic'!$A$13:$K$19,VLOOKUP(Q$1,'ELA Reading Logic'!$J$22:$K$31,2,FALSE),FALSE)),"Set Grade")</f>
        <v>Set Grade</v>
      </c>
      <c r="T115" s="96" t="str">
        <f>IF($E115="Yes","IPP",IFERROR(IF(AND(Q115&gt;R115,Q115&lt;S115),"0",(VLOOKUP(Q115,'ELA Reading Logic'!$A$22:$B$48,2,FALSE))-(IF(VLOOKUP(Q115,'ELA Reading Logic'!$A$22:$B$48,2,FALSE)&lt;=VLOOKUP(R115,'ELA Reading Logic'!$A$22:$B$48,2,FALSE),VLOOKUP(R115,'ELA Reading Logic'!$A$22:$B$48,2,FALSE),IF(VLOOKUP(Q115,'ELA Reading Logic'!$A$22:$B$48,2,FALSE)&gt;=VLOOKUP(S115,'ELA Reading Logic'!$A$22:$B$48,2,FALSE),VLOOKUP(S115,'ELA Reading Logic'!$A$22:$B$48,2,FALSE),"No Score")))),"No Value"))</f>
        <v>No Value</v>
      </c>
      <c r="U115" s="96" t="str">
        <f>IFERROR(VLOOKUP(Q115,'ELA Reading Logic'!$A$22:$B$48,2,FALSE)-VLOOKUP($F115,'ELA Reading Logic'!$A$22:$B$48,2,FALSE),"No Value")</f>
        <v>No Value</v>
      </c>
      <c r="V115" s="92"/>
      <c r="W115" s="96" t="str">
        <f>IFERROR(IF($E115="Yes","IPP",VLOOKUP($J115,'ELA Reading Logic'!$A$3:$K$9,VLOOKUP(V$1,'ELA Reading Logic'!$J$22:$K$31,2,FALSE),FALSE)),"Set Grade")</f>
        <v>Set Grade</v>
      </c>
      <c r="X115" s="96" t="str">
        <f>IFERROR(IF($E115="Yes","IPP",VLOOKUP($J115,'ELA Reading Logic'!$A$13:$K$19,VLOOKUP(V$1,'ELA Reading Logic'!$J$22:$K$31,2,FALSE),FALSE)),"Set Grade")</f>
        <v>Set Grade</v>
      </c>
      <c r="Y115" s="96" t="str">
        <f>IF($E115="Yes","IPP",IFERROR(IF(AND(V115&gt;W115,V115&lt;X115),"0",(VLOOKUP(V115,'ELA Reading Logic'!$A$22:$B$48,2,FALSE))-(IF(VLOOKUP(V115,'ELA Reading Logic'!$A$22:$B$48,2,FALSE)&lt;=VLOOKUP(W115,'ELA Reading Logic'!$A$22:$B$48,2,FALSE),VLOOKUP(W115,'ELA Reading Logic'!$A$22:$B$48,2,FALSE),IF(VLOOKUP(V115,'ELA Reading Logic'!$A$22:$B$48,2,FALSE)&gt;=VLOOKUP(X115,'ELA Reading Logic'!$A$22:$B$48,2,FALSE),VLOOKUP(X115,'ELA Reading Logic'!$A$22:$B$48,2,FALSE),"No Score")))),"No Value"))</f>
        <v>No Value</v>
      </c>
      <c r="Z115" s="96" t="str">
        <f>IFERROR(VLOOKUP(V115,'ELA Reading Logic'!$A$22:$B$48,2,FALSE)-VLOOKUP($F115,'ELA Reading Logic'!$A$22:$B$48,2,FALSE),"No Value")</f>
        <v>No Value</v>
      </c>
      <c r="AA115" s="92"/>
      <c r="AB115" s="96" t="str">
        <f>IFERROR(IF($E115="Yes","IPP",VLOOKUP($J115,'ELA Reading Logic'!$A$3:$K$9,VLOOKUP(AA$1,'ELA Reading Logic'!$J$22:$K$31,2,FALSE),FALSE)),"Set Grade")</f>
        <v>Set Grade</v>
      </c>
      <c r="AC115" s="96" t="str">
        <f>IFERROR(IF($E115="Yes","IPP",VLOOKUP($J115,'ELA Reading Logic'!$A$13:$K$19,VLOOKUP(AA$1,'ELA Reading Logic'!$J$22:$K$31,2,FALSE),FALSE)),"Set Grade")</f>
        <v>Set Grade</v>
      </c>
      <c r="AD115" s="96" t="str">
        <f>IF($E115="Yes","IPP",IFERROR(IF(AND(AA115&gt;AB115,AA115&lt;AC115),"0",(VLOOKUP(AA115,'ELA Reading Logic'!$A$22:$B$48,2,FALSE))-(IF(VLOOKUP(AA115,'ELA Reading Logic'!$A$22:$B$48,2,FALSE)&lt;=VLOOKUP(AB115,'ELA Reading Logic'!$A$22:$B$48,2,FALSE),VLOOKUP(AB115,'ELA Reading Logic'!$A$22:$B$48,2,FALSE),IF(VLOOKUP(AA115,'ELA Reading Logic'!$A$22:$B$48,2,FALSE)&gt;=VLOOKUP(AC115,'ELA Reading Logic'!$A$22:$B$48,2,FALSE),VLOOKUP(AC115,'ELA Reading Logic'!$A$22:$B$48,2,FALSE),"No Score")))),"No Value"))</f>
        <v>No Value</v>
      </c>
      <c r="AE115" s="96" t="str">
        <f>IFERROR(VLOOKUP(AA115,'ELA Reading Logic'!$A$22:$B$48,2,FALSE)-VLOOKUP($F115,'ELA Reading Logic'!$A$22:$B$48,2,FALSE),"No Value")</f>
        <v>No Value</v>
      </c>
      <c r="AF115" s="92"/>
      <c r="AG115" s="96" t="str">
        <f>IFERROR(IF($E115="Yes","IPP",VLOOKUP($J115,'ELA Reading Logic'!$A$3:$K$9,VLOOKUP(AF$1,'ELA Reading Logic'!$J$22:$K$31,2,FALSE),FALSE)),"Set Grade")</f>
        <v>Set Grade</v>
      </c>
      <c r="AH115" s="96" t="str">
        <f>IFERROR(IF($E115="Yes","IPP",VLOOKUP($J115,'ELA Reading Logic'!$A$13:$K$19,VLOOKUP(AF$1,'ELA Reading Logic'!$J$22:$K$31,2,FALSE),FALSE)),"Set Grade")</f>
        <v>Set Grade</v>
      </c>
      <c r="AI115" s="96" t="str">
        <f>IF($E115="Yes","IPP",IFERROR(IF(AND(AF115&gt;AG115,AF115&lt;AH115),"0",(VLOOKUP(AF115,'ELA Reading Logic'!$A$22:$B$48,2,FALSE))-(IF(VLOOKUP(AF115,'ELA Reading Logic'!$A$22:$B$48,2,FALSE)&lt;=VLOOKUP(AG115,'ELA Reading Logic'!$A$22:$B$48,2,FALSE),VLOOKUP(AG115,'ELA Reading Logic'!$A$22:$B$48,2,FALSE),IF(VLOOKUP(AF115,'ELA Reading Logic'!$A$22:$B$48,2,FALSE)&gt;=VLOOKUP(AH115,'ELA Reading Logic'!$A$22:$B$48,2,FALSE),VLOOKUP(AH115,'ELA Reading Logic'!$A$22:$B$48,2,FALSE),"No Score")))),"No Value"))</f>
        <v>No Value</v>
      </c>
      <c r="AJ115" s="96" t="str">
        <f>IFERROR(VLOOKUP(AF115,'ELA Reading Logic'!$A$22:$B$48,2,FALSE)-VLOOKUP($F115,'ELA Reading Logic'!$A$22:$B$48,2,FALSE),"No Value")</f>
        <v>No Value</v>
      </c>
      <c r="AK115" s="92"/>
      <c r="AL115" s="96" t="str">
        <f>IFERROR(IF($E115="Yes","IPP",VLOOKUP($J115,'ELA Reading Logic'!$A$3:$K$9,VLOOKUP(AK$1,'ELA Reading Logic'!$J$22:$K$31,2,FALSE),FALSE)),"Set Grade")</f>
        <v>Set Grade</v>
      </c>
      <c r="AM115" s="96" t="str">
        <f>IFERROR(IF($E115="Yes","IPP",VLOOKUP($J115,'ELA Reading Logic'!$A$13:$K$19,VLOOKUP(AK$1,'ELA Reading Logic'!$J$22:$K$31,2,FALSE),FALSE)),"Set Grade")</f>
        <v>Set Grade</v>
      </c>
      <c r="AN115" s="96" t="str">
        <f>IF($E115="Yes","IPP",IFERROR(IF(AND(AK115&gt;AL115,AK115&lt;AM115),"0",(VLOOKUP(AK115,'ELA Reading Logic'!$A$22:$B$48,2,FALSE))-(IF(VLOOKUP(AK115,'ELA Reading Logic'!$A$22:$B$48,2,FALSE)&lt;=VLOOKUP(AL115,'ELA Reading Logic'!$A$22:$B$48,2,FALSE),VLOOKUP(AL115,'ELA Reading Logic'!$A$22:$B$48,2,FALSE),IF(VLOOKUP(AK115,'ELA Reading Logic'!$A$22:$B$48,2,FALSE)&gt;=VLOOKUP(AM115,'ELA Reading Logic'!$A$22:$B$48,2,FALSE),VLOOKUP(AM115,'ELA Reading Logic'!$A$22:$B$48,2,FALSE),"No Score")))),"No Value"))</f>
        <v>No Value</v>
      </c>
      <c r="AO115" s="96" t="str">
        <f>IFERROR(VLOOKUP(AK115,'ELA Reading Logic'!$A$22:$B$48,2,FALSE)-VLOOKUP($F115,'ELA Reading Logic'!$A$22:$B$48,2,FALSE),"No Value")</f>
        <v>No Value</v>
      </c>
      <c r="AP115" s="92"/>
      <c r="AQ115" s="96" t="str">
        <f>IFERROR(IF($E115="Yes","IPP",VLOOKUP($J115,'ELA Reading Logic'!$A$3:$K$9,VLOOKUP(AP$1,'ELA Reading Logic'!$J$22:$K$31,2,FALSE),FALSE)),"Set Grade")</f>
        <v>Set Grade</v>
      </c>
      <c r="AR115" s="96" t="str">
        <f>IFERROR(IF($E115="Yes","IPP",VLOOKUP($J115,'ELA Reading Logic'!$A$13:$K$19,VLOOKUP(AP$1,'ELA Reading Logic'!$J$22:$K$31,2,FALSE),FALSE)),"Set Grade")</f>
        <v>Set Grade</v>
      </c>
      <c r="AS115" s="96" t="str">
        <f>IF($E115="Yes","IPP",IFERROR(IF(AND(AP115&gt;AQ115,AP115&lt;AR115),"0",(VLOOKUP(AP115,'ELA Reading Logic'!$A$22:$B$48,2,FALSE))-(IF(VLOOKUP(AP115,'ELA Reading Logic'!$A$22:$B$48,2,FALSE)&lt;=VLOOKUP(AQ115,'ELA Reading Logic'!$A$22:$B$48,2,FALSE),VLOOKUP(AQ115,'ELA Reading Logic'!$A$22:$B$48,2,FALSE),IF(VLOOKUP(AP115,'ELA Reading Logic'!$A$22:$B$48,2,FALSE)&gt;=VLOOKUP(AR115,'ELA Reading Logic'!$A$22:$B$48,2,FALSE),VLOOKUP(AR115,'ELA Reading Logic'!$A$22:$B$48,2,FALSE),"No Score")))),"No Value"))</f>
        <v>No Value</v>
      </c>
      <c r="AT115" s="96" t="str">
        <f>IFERROR(VLOOKUP(AP115,'ELA Reading Logic'!$A$22:$B$48,2,FALSE)-VLOOKUP($F115,'ELA Reading Logic'!$A$22:$B$48,2,FALSE),"No Value")</f>
        <v>No Value</v>
      </c>
    </row>
    <row r="116" spans="1:46" ht="22.5" customHeight="1" x14ac:dyDescent="0.25">
      <c r="A116" s="176"/>
      <c r="B116" s="176"/>
      <c r="C116" s="176"/>
      <c r="D116" s="176"/>
      <c r="E116" s="175"/>
      <c r="F116" s="175"/>
      <c r="G116" s="177" t="str">
        <f>IFERROR(IF($E116="Yes","IPP",VLOOKUP($J116,'ELA Reading Logic'!$A$3:$K$9,VLOOKUP("September",'ELA Reading Logic'!$J$22:$K$31,2,FALSE),FALSE)),"Set Grade")</f>
        <v>Set Grade</v>
      </c>
      <c r="H116" s="177" t="str">
        <f>IFERROR(IF($E116="Yes","IPP",VLOOKUP($J116,'ELA Reading Logic'!$A$13:$K$19,VLOOKUP("September",'ELA Reading Logic'!$J$22:$K$31,2,FALSE),FALSE)),"Set Grade")</f>
        <v>Set Grade</v>
      </c>
      <c r="I116" s="96" t="str">
        <f>IF($E116="Yes","IPP",IFERROR(IF(AND(F116&gt;G116,F116&lt;H116),"0",(VLOOKUP(F116,'ELA Reading Logic'!$A$22:$B$48,2,FALSE))-(IF(VLOOKUP(F116,'ELA Reading Logic'!$A$22:$B$48,2,FALSE)&lt;=VLOOKUP(G116,'ELA Reading Logic'!$A$22:$B$48,2,FALSE),VLOOKUP(G116,'ELA Reading Logic'!$A$22:$B$48,2,FALSE),IF(VLOOKUP(F116,'ELA Reading Logic'!$A$22:$B$48,2,FALSE)&gt;=VLOOKUP(H116,'ELA Reading Logic'!$A$22:$B$48,2,FALSE),VLOOKUP(H116,'ELA Reading Logic'!$A$22:$B$48,2,FALSE),"No Score")))),"No Value"))</f>
        <v>No Value</v>
      </c>
      <c r="J116" s="178"/>
      <c r="K116" s="96"/>
      <c r="L116" s="96"/>
      <c r="M116" s="96"/>
      <c r="N116" s="96"/>
      <c r="O116" s="96"/>
      <c r="P116" s="105"/>
      <c r="Q116" s="92"/>
      <c r="R116" s="96" t="str">
        <f>IFERROR(IF($E116="Yes","IPP",VLOOKUP($J116,'ELA Reading Logic'!$A$3:$K$9,VLOOKUP(Q$1,'ELA Reading Logic'!$J$22:$K$31,2,FALSE),FALSE)),"Set Grade")</f>
        <v>Set Grade</v>
      </c>
      <c r="S116" s="96" t="str">
        <f>IFERROR(IF($E116="Yes","IPP",VLOOKUP($J116,'ELA Reading Logic'!$A$13:$K$19,VLOOKUP(Q$1,'ELA Reading Logic'!$J$22:$K$31,2,FALSE),FALSE)),"Set Grade")</f>
        <v>Set Grade</v>
      </c>
      <c r="T116" s="96" t="str">
        <f>IF($E116="Yes","IPP",IFERROR(IF(AND(Q116&gt;R116,Q116&lt;S116),"0",(VLOOKUP(Q116,'ELA Reading Logic'!$A$22:$B$48,2,FALSE))-(IF(VLOOKUP(Q116,'ELA Reading Logic'!$A$22:$B$48,2,FALSE)&lt;=VLOOKUP(R116,'ELA Reading Logic'!$A$22:$B$48,2,FALSE),VLOOKUP(R116,'ELA Reading Logic'!$A$22:$B$48,2,FALSE),IF(VLOOKUP(Q116,'ELA Reading Logic'!$A$22:$B$48,2,FALSE)&gt;=VLOOKUP(S116,'ELA Reading Logic'!$A$22:$B$48,2,FALSE),VLOOKUP(S116,'ELA Reading Logic'!$A$22:$B$48,2,FALSE),"No Score")))),"No Value"))</f>
        <v>No Value</v>
      </c>
      <c r="U116" s="96" t="str">
        <f>IFERROR(VLOOKUP(Q116,'ELA Reading Logic'!$A$22:$B$48,2,FALSE)-VLOOKUP($F116,'ELA Reading Logic'!$A$22:$B$48,2,FALSE),"No Value")</f>
        <v>No Value</v>
      </c>
      <c r="V116" s="92"/>
      <c r="W116" s="96" t="str">
        <f>IFERROR(IF($E116="Yes","IPP",VLOOKUP($J116,'ELA Reading Logic'!$A$3:$K$9,VLOOKUP(V$1,'ELA Reading Logic'!$J$22:$K$31,2,FALSE),FALSE)),"Set Grade")</f>
        <v>Set Grade</v>
      </c>
      <c r="X116" s="96" t="str">
        <f>IFERROR(IF($E116="Yes","IPP",VLOOKUP($J116,'ELA Reading Logic'!$A$13:$K$19,VLOOKUP(V$1,'ELA Reading Logic'!$J$22:$K$31,2,FALSE),FALSE)),"Set Grade")</f>
        <v>Set Grade</v>
      </c>
      <c r="Y116" s="96" t="str">
        <f>IF($E116="Yes","IPP",IFERROR(IF(AND(V116&gt;W116,V116&lt;X116),"0",(VLOOKUP(V116,'ELA Reading Logic'!$A$22:$B$48,2,FALSE))-(IF(VLOOKUP(V116,'ELA Reading Logic'!$A$22:$B$48,2,FALSE)&lt;=VLOOKUP(W116,'ELA Reading Logic'!$A$22:$B$48,2,FALSE),VLOOKUP(W116,'ELA Reading Logic'!$A$22:$B$48,2,FALSE),IF(VLOOKUP(V116,'ELA Reading Logic'!$A$22:$B$48,2,FALSE)&gt;=VLOOKUP(X116,'ELA Reading Logic'!$A$22:$B$48,2,FALSE),VLOOKUP(X116,'ELA Reading Logic'!$A$22:$B$48,2,FALSE),"No Score")))),"No Value"))</f>
        <v>No Value</v>
      </c>
      <c r="Z116" s="96" t="str">
        <f>IFERROR(VLOOKUP(V116,'ELA Reading Logic'!$A$22:$B$48,2,FALSE)-VLOOKUP($F116,'ELA Reading Logic'!$A$22:$B$48,2,FALSE),"No Value")</f>
        <v>No Value</v>
      </c>
      <c r="AA116" s="92"/>
      <c r="AB116" s="96" t="str">
        <f>IFERROR(IF($E116="Yes","IPP",VLOOKUP($J116,'ELA Reading Logic'!$A$3:$K$9,VLOOKUP(AA$1,'ELA Reading Logic'!$J$22:$K$31,2,FALSE),FALSE)),"Set Grade")</f>
        <v>Set Grade</v>
      </c>
      <c r="AC116" s="96" t="str">
        <f>IFERROR(IF($E116="Yes","IPP",VLOOKUP($J116,'ELA Reading Logic'!$A$13:$K$19,VLOOKUP(AA$1,'ELA Reading Logic'!$J$22:$K$31,2,FALSE),FALSE)),"Set Grade")</f>
        <v>Set Grade</v>
      </c>
      <c r="AD116" s="96" t="str">
        <f>IF($E116="Yes","IPP",IFERROR(IF(AND(AA116&gt;AB116,AA116&lt;AC116),"0",(VLOOKUP(AA116,'ELA Reading Logic'!$A$22:$B$48,2,FALSE))-(IF(VLOOKUP(AA116,'ELA Reading Logic'!$A$22:$B$48,2,FALSE)&lt;=VLOOKUP(AB116,'ELA Reading Logic'!$A$22:$B$48,2,FALSE),VLOOKUP(AB116,'ELA Reading Logic'!$A$22:$B$48,2,FALSE),IF(VLOOKUP(AA116,'ELA Reading Logic'!$A$22:$B$48,2,FALSE)&gt;=VLOOKUP(AC116,'ELA Reading Logic'!$A$22:$B$48,2,FALSE),VLOOKUP(AC116,'ELA Reading Logic'!$A$22:$B$48,2,FALSE),"No Score")))),"No Value"))</f>
        <v>No Value</v>
      </c>
      <c r="AE116" s="96" t="str">
        <f>IFERROR(VLOOKUP(AA116,'ELA Reading Logic'!$A$22:$B$48,2,FALSE)-VLOOKUP($F116,'ELA Reading Logic'!$A$22:$B$48,2,FALSE),"No Value")</f>
        <v>No Value</v>
      </c>
      <c r="AF116" s="92"/>
      <c r="AG116" s="96" t="str">
        <f>IFERROR(IF($E116="Yes","IPP",VLOOKUP($J116,'ELA Reading Logic'!$A$3:$K$9,VLOOKUP(AF$1,'ELA Reading Logic'!$J$22:$K$31,2,FALSE),FALSE)),"Set Grade")</f>
        <v>Set Grade</v>
      </c>
      <c r="AH116" s="96" t="str">
        <f>IFERROR(IF($E116="Yes","IPP",VLOOKUP($J116,'ELA Reading Logic'!$A$13:$K$19,VLOOKUP(AF$1,'ELA Reading Logic'!$J$22:$K$31,2,FALSE),FALSE)),"Set Grade")</f>
        <v>Set Grade</v>
      </c>
      <c r="AI116" s="96" t="str">
        <f>IF($E116="Yes","IPP",IFERROR(IF(AND(AF116&gt;AG116,AF116&lt;AH116),"0",(VLOOKUP(AF116,'ELA Reading Logic'!$A$22:$B$48,2,FALSE))-(IF(VLOOKUP(AF116,'ELA Reading Logic'!$A$22:$B$48,2,FALSE)&lt;=VLOOKUP(AG116,'ELA Reading Logic'!$A$22:$B$48,2,FALSE),VLOOKUP(AG116,'ELA Reading Logic'!$A$22:$B$48,2,FALSE),IF(VLOOKUP(AF116,'ELA Reading Logic'!$A$22:$B$48,2,FALSE)&gt;=VLOOKUP(AH116,'ELA Reading Logic'!$A$22:$B$48,2,FALSE),VLOOKUP(AH116,'ELA Reading Logic'!$A$22:$B$48,2,FALSE),"No Score")))),"No Value"))</f>
        <v>No Value</v>
      </c>
      <c r="AJ116" s="96" t="str">
        <f>IFERROR(VLOOKUP(AF116,'ELA Reading Logic'!$A$22:$B$48,2,FALSE)-VLOOKUP($F116,'ELA Reading Logic'!$A$22:$B$48,2,FALSE),"No Value")</f>
        <v>No Value</v>
      </c>
      <c r="AK116" s="92"/>
      <c r="AL116" s="96" t="str">
        <f>IFERROR(IF($E116="Yes","IPP",VLOOKUP($J116,'ELA Reading Logic'!$A$3:$K$9,VLOOKUP(AK$1,'ELA Reading Logic'!$J$22:$K$31,2,FALSE),FALSE)),"Set Grade")</f>
        <v>Set Grade</v>
      </c>
      <c r="AM116" s="96" t="str">
        <f>IFERROR(IF($E116="Yes","IPP",VLOOKUP($J116,'ELA Reading Logic'!$A$13:$K$19,VLOOKUP(AK$1,'ELA Reading Logic'!$J$22:$K$31,2,FALSE),FALSE)),"Set Grade")</f>
        <v>Set Grade</v>
      </c>
      <c r="AN116" s="96" t="str">
        <f>IF($E116="Yes","IPP",IFERROR(IF(AND(AK116&gt;AL116,AK116&lt;AM116),"0",(VLOOKUP(AK116,'ELA Reading Logic'!$A$22:$B$48,2,FALSE))-(IF(VLOOKUP(AK116,'ELA Reading Logic'!$A$22:$B$48,2,FALSE)&lt;=VLOOKUP(AL116,'ELA Reading Logic'!$A$22:$B$48,2,FALSE),VLOOKUP(AL116,'ELA Reading Logic'!$A$22:$B$48,2,FALSE),IF(VLOOKUP(AK116,'ELA Reading Logic'!$A$22:$B$48,2,FALSE)&gt;=VLOOKUP(AM116,'ELA Reading Logic'!$A$22:$B$48,2,FALSE),VLOOKUP(AM116,'ELA Reading Logic'!$A$22:$B$48,2,FALSE),"No Score")))),"No Value"))</f>
        <v>No Value</v>
      </c>
      <c r="AO116" s="96" t="str">
        <f>IFERROR(VLOOKUP(AK116,'ELA Reading Logic'!$A$22:$B$48,2,FALSE)-VLOOKUP($F116,'ELA Reading Logic'!$A$22:$B$48,2,FALSE),"No Value")</f>
        <v>No Value</v>
      </c>
      <c r="AP116" s="92"/>
      <c r="AQ116" s="96" t="str">
        <f>IFERROR(IF($E116="Yes","IPP",VLOOKUP($J116,'ELA Reading Logic'!$A$3:$K$9,VLOOKUP(AP$1,'ELA Reading Logic'!$J$22:$K$31,2,FALSE),FALSE)),"Set Grade")</f>
        <v>Set Grade</v>
      </c>
      <c r="AR116" s="96" t="str">
        <f>IFERROR(IF($E116="Yes","IPP",VLOOKUP($J116,'ELA Reading Logic'!$A$13:$K$19,VLOOKUP(AP$1,'ELA Reading Logic'!$J$22:$K$31,2,FALSE),FALSE)),"Set Grade")</f>
        <v>Set Grade</v>
      </c>
      <c r="AS116" s="96" t="str">
        <f>IF($E116="Yes","IPP",IFERROR(IF(AND(AP116&gt;AQ116,AP116&lt;AR116),"0",(VLOOKUP(AP116,'ELA Reading Logic'!$A$22:$B$48,2,FALSE))-(IF(VLOOKUP(AP116,'ELA Reading Logic'!$A$22:$B$48,2,FALSE)&lt;=VLOOKUP(AQ116,'ELA Reading Logic'!$A$22:$B$48,2,FALSE),VLOOKUP(AQ116,'ELA Reading Logic'!$A$22:$B$48,2,FALSE),IF(VLOOKUP(AP116,'ELA Reading Logic'!$A$22:$B$48,2,FALSE)&gt;=VLOOKUP(AR116,'ELA Reading Logic'!$A$22:$B$48,2,FALSE),VLOOKUP(AR116,'ELA Reading Logic'!$A$22:$B$48,2,FALSE),"No Score")))),"No Value"))</f>
        <v>No Value</v>
      </c>
      <c r="AT116" s="96" t="str">
        <f>IFERROR(VLOOKUP(AP116,'ELA Reading Logic'!$A$22:$B$48,2,FALSE)-VLOOKUP($F116,'ELA Reading Logic'!$A$22:$B$48,2,FALSE),"No Value")</f>
        <v>No Value</v>
      </c>
    </row>
    <row r="117" spans="1:46" ht="22.5" customHeight="1" x14ac:dyDescent="0.25">
      <c r="A117" s="174"/>
      <c r="B117" s="174"/>
      <c r="C117" s="174"/>
      <c r="D117" s="174"/>
      <c r="E117" s="175"/>
      <c r="F117" s="175"/>
      <c r="G117" s="177" t="str">
        <f>IFERROR(IF($E117="Yes","IPP",VLOOKUP($J117,'ELA Reading Logic'!$A$3:$K$9,VLOOKUP("September",'ELA Reading Logic'!$J$22:$K$31,2,FALSE),FALSE)),"Set Grade")</f>
        <v>Set Grade</v>
      </c>
      <c r="H117" s="177" t="str">
        <f>IFERROR(IF($E117="Yes","IPP",VLOOKUP($J117,'ELA Reading Logic'!$A$13:$K$19,VLOOKUP("September",'ELA Reading Logic'!$J$22:$K$31,2,FALSE),FALSE)),"Set Grade")</f>
        <v>Set Grade</v>
      </c>
      <c r="I117" s="96" t="str">
        <f>IF($E117="Yes","IPP",IFERROR(IF(AND(F117&gt;G117,F117&lt;H117),"0",(VLOOKUP(F117,'ELA Reading Logic'!$A$22:$B$48,2,FALSE))-(IF(VLOOKUP(F117,'ELA Reading Logic'!$A$22:$B$48,2,FALSE)&lt;=VLOOKUP(G117,'ELA Reading Logic'!$A$22:$B$48,2,FALSE),VLOOKUP(G117,'ELA Reading Logic'!$A$22:$B$48,2,FALSE),IF(VLOOKUP(F117,'ELA Reading Logic'!$A$22:$B$48,2,FALSE)&gt;=VLOOKUP(H117,'ELA Reading Logic'!$A$22:$B$48,2,FALSE),VLOOKUP(H117,'ELA Reading Logic'!$A$22:$B$48,2,FALSE),"No Score")))),"No Value"))</f>
        <v>No Value</v>
      </c>
      <c r="J117" s="178"/>
      <c r="K117" s="96"/>
      <c r="L117" s="96"/>
      <c r="M117" s="96"/>
      <c r="N117" s="96"/>
      <c r="O117" s="96"/>
      <c r="P117" s="105"/>
      <c r="Q117" s="92"/>
      <c r="R117" s="96" t="str">
        <f>IFERROR(IF($E117="Yes","IPP",VLOOKUP($J117,'ELA Reading Logic'!$A$3:$K$9,VLOOKUP(Q$1,'ELA Reading Logic'!$J$22:$K$31,2,FALSE),FALSE)),"Set Grade")</f>
        <v>Set Grade</v>
      </c>
      <c r="S117" s="96" t="str">
        <f>IFERROR(IF($E117="Yes","IPP",VLOOKUP($J117,'ELA Reading Logic'!$A$13:$K$19,VLOOKUP(Q$1,'ELA Reading Logic'!$J$22:$K$31,2,FALSE),FALSE)),"Set Grade")</f>
        <v>Set Grade</v>
      </c>
      <c r="T117" s="96" t="str">
        <f>IF($E117="Yes","IPP",IFERROR(IF(AND(Q117&gt;R117,Q117&lt;S117),"0",(VLOOKUP(Q117,'ELA Reading Logic'!$A$22:$B$48,2,FALSE))-(IF(VLOOKUP(Q117,'ELA Reading Logic'!$A$22:$B$48,2,FALSE)&lt;=VLOOKUP(R117,'ELA Reading Logic'!$A$22:$B$48,2,FALSE),VLOOKUP(R117,'ELA Reading Logic'!$A$22:$B$48,2,FALSE),IF(VLOOKUP(Q117,'ELA Reading Logic'!$A$22:$B$48,2,FALSE)&gt;=VLOOKUP(S117,'ELA Reading Logic'!$A$22:$B$48,2,FALSE),VLOOKUP(S117,'ELA Reading Logic'!$A$22:$B$48,2,FALSE),"No Score")))),"No Value"))</f>
        <v>No Value</v>
      </c>
      <c r="U117" s="96" t="str">
        <f>IFERROR(VLOOKUP(Q117,'ELA Reading Logic'!$A$22:$B$48,2,FALSE)-VLOOKUP($F117,'ELA Reading Logic'!$A$22:$B$48,2,FALSE),"No Value")</f>
        <v>No Value</v>
      </c>
      <c r="V117" s="92"/>
      <c r="W117" s="96" t="str">
        <f>IFERROR(IF($E117="Yes","IPP",VLOOKUP($J117,'ELA Reading Logic'!$A$3:$K$9,VLOOKUP(V$1,'ELA Reading Logic'!$J$22:$K$31,2,FALSE),FALSE)),"Set Grade")</f>
        <v>Set Grade</v>
      </c>
      <c r="X117" s="96" t="str">
        <f>IFERROR(IF($E117="Yes","IPP",VLOOKUP($J117,'ELA Reading Logic'!$A$13:$K$19,VLOOKUP(V$1,'ELA Reading Logic'!$J$22:$K$31,2,FALSE),FALSE)),"Set Grade")</f>
        <v>Set Grade</v>
      </c>
      <c r="Y117" s="96" t="str">
        <f>IF($E117="Yes","IPP",IFERROR(IF(AND(V117&gt;W117,V117&lt;X117),"0",(VLOOKUP(V117,'ELA Reading Logic'!$A$22:$B$48,2,FALSE))-(IF(VLOOKUP(V117,'ELA Reading Logic'!$A$22:$B$48,2,FALSE)&lt;=VLOOKUP(W117,'ELA Reading Logic'!$A$22:$B$48,2,FALSE),VLOOKUP(W117,'ELA Reading Logic'!$A$22:$B$48,2,FALSE),IF(VLOOKUP(V117,'ELA Reading Logic'!$A$22:$B$48,2,FALSE)&gt;=VLOOKUP(X117,'ELA Reading Logic'!$A$22:$B$48,2,FALSE),VLOOKUP(X117,'ELA Reading Logic'!$A$22:$B$48,2,FALSE),"No Score")))),"No Value"))</f>
        <v>No Value</v>
      </c>
      <c r="Z117" s="96" t="str">
        <f>IFERROR(VLOOKUP(V117,'ELA Reading Logic'!$A$22:$B$48,2,FALSE)-VLOOKUP($F117,'ELA Reading Logic'!$A$22:$B$48,2,FALSE),"No Value")</f>
        <v>No Value</v>
      </c>
      <c r="AA117" s="92"/>
      <c r="AB117" s="96" t="str">
        <f>IFERROR(IF($E117="Yes","IPP",VLOOKUP($J117,'ELA Reading Logic'!$A$3:$K$9,VLOOKUP(AA$1,'ELA Reading Logic'!$J$22:$K$31,2,FALSE),FALSE)),"Set Grade")</f>
        <v>Set Grade</v>
      </c>
      <c r="AC117" s="96" t="str">
        <f>IFERROR(IF($E117="Yes","IPP",VLOOKUP($J117,'ELA Reading Logic'!$A$13:$K$19,VLOOKUP(AA$1,'ELA Reading Logic'!$J$22:$K$31,2,FALSE),FALSE)),"Set Grade")</f>
        <v>Set Grade</v>
      </c>
      <c r="AD117" s="96" t="str">
        <f>IF($E117="Yes","IPP",IFERROR(IF(AND(AA117&gt;AB117,AA117&lt;AC117),"0",(VLOOKUP(AA117,'ELA Reading Logic'!$A$22:$B$48,2,FALSE))-(IF(VLOOKUP(AA117,'ELA Reading Logic'!$A$22:$B$48,2,FALSE)&lt;=VLOOKUP(AB117,'ELA Reading Logic'!$A$22:$B$48,2,FALSE),VLOOKUP(AB117,'ELA Reading Logic'!$A$22:$B$48,2,FALSE),IF(VLOOKUP(AA117,'ELA Reading Logic'!$A$22:$B$48,2,FALSE)&gt;=VLOOKUP(AC117,'ELA Reading Logic'!$A$22:$B$48,2,FALSE),VLOOKUP(AC117,'ELA Reading Logic'!$A$22:$B$48,2,FALSE),"No Score")))),"No Value"))</f>
        <v>No Value</v>
      </c>
      <c r="AE117" s="96" t="str">
        <f>IFERROR(VLOOKUP(AA117,'ELA Reading Logic'!$A$22:$B$48,2,FALSE)-VLOOKUP($F117,'ELA Reading Logic'!$A$22:$B$48,2,FALSE),"No Value")</f>
        <v>No Value</v>
      </c>
      <c r="AF117" s="92"/>
      <c r="AG117" s="96" t="str">
        <f>IFERROR(IF($E117="Yes","IPP",VLOOKUP($J117,'ELA Reading Logic'!$A$3:$K$9,VLOOKUP(AF$1,'ELA Reading Logic'!$J$22:$K$31,2,FALSE),FALSE)),"Set Grade")</f>
        <v>Set Grade</v>
      </c>
      <c r="AH117" s="96" t="str">
        <f>IFERROR(IF($E117="Yes","IPP",VLOOKUP($J117,'ELA Reading Logic'!$A$13:$K$19,VLOOKUP(AF$1,'ELA Reading Logic'!$J$22:$K$31,2,FALSE),FALSE)),"Set Grade")</f>
        <v>Set Grade</v>
      </c>
      <c r="AI117" s="96" t="str">
        <f>IF($E117="Yes","IPP",IFERROR(IF(AND(AF117&gt;AG117,AF117&lt;AH117),"0",(VLOOKUP(AF117,'ELA Reading Logic'!$A$22:$B$48,2,FALSE))-(IF(VLOOKUP(AF117,'ELA Reading Logic'!$A$22:$B$48,2,FALSE)&lt;=VLOOKUP(AG117,'ELA Reading Logic'!$A$22:$B$48,2,FALSE),VLOOKUP(AG117,'ELA Reading Logic'!$A$22:$B$48,2,FALSE),IF(VLOOKUP(AF117,'ELA Reading Logic'!$A$22:$B$48,2,FALSE)&gt;=VLOOKUP(AH117,'ELA Reading Logic'!$A$22:$B$48,2,FALSE),VLOOKUP(AH117,'ELA Reading Logic'!$A$22:$B$48,2,FALSE),"No Score")))),"No Value"))</f>
        <v>No Value</v>
      </c>
      <c r="AJ117" s="96" t="str">
        <f>IFERROR(VLOOKUP(AF117,'ELA Reading Logic'!$A$22:$B$48,2,FALSE)-VLOOKUP($F117,'ELA Reading Logic'!$A$22:$B$48,2,FALSE),"No Value")</f>
        <v>No Value</v>
      </c>
      <c r="AK117" s="92"/>
      <c r="AL117" s="96" t="str">
        <f>IFERROR(IF($E117="Yes","IPP",VLOOKUP($J117,'ELA Reading Logic'!$A$3:$K$9,VLOOKUP(AK$1,'ELA Reading Logic'!$J$22:$K$31,2,FALSE),FALSE)),"Set Grade")</f>
        <v>Set Grade</v>
      </c>
      <c r="AM117" s="96" t="str">
        <f>IFERROR(IF($E117="Yes","IPP",VLOOKUP($J117,'ELA Reading Logic'!$A$13:$K$19,VLOOKUP(AK$1,'ELA Reading Logic'!$J$22:$K$31,2,FALSE),FALSE)),"Set Grade")</f>
        <v>Set Grade</v>
      </c>
      <c r="AN117" s="96" t="str">
        <f>IF($E117="Yes","IPP",IFERROR(IF(AND(AK117&gt;AL117,AK117&lt;AM117),"0",(VLOOKUP(AK117,'ELA Reading Logic'!$A$22:$B$48,2,FALSE))-(IF(VLOOKUP(AK117,'ELA Reading Logic'!$A$22:$B$48,2,FALSE)&lt;=VLOOKUP(AL117,'ELA Reading Logic'!$A$22:$B$48,2,FALSE),VLOOKUP(AL117,'ELA Reading Logic'!$A$22:$B$48,2,FALSE),IF(VLOOKUP(AK117,'ELA Reading Logic'!$A$22:$B$48,2,FALSE)&gt;=VLOOKUP(AM117,'ELA Reading Logic'!$A$22:$B$48,2,FALSE),VLOOKUP(AM117,'ELA Reading Logic'!$A$22:$B$48,2,FALSE),"No Score")))),"No Value"))</f>
        <v>No Value</v>
      </c>
      <c r="AO117" s="96" t="str">
        <f>IFERROR(VLOOKUP(AK117,'ELA Reading Logic'!$A$22:$B$48,2,FALSE)-VLOOKUP($F117,'ELA Reading Logic'!$A$22:$B$48,2,FALSE),"No Value")</f>
        <v>No Value</v>
      </c>
      <c r="AP117" s="92"/>
      <c r="AQ117" s="96" t="str">
        <f>IFERROR(IF($E117="Yes","IPP",VLOOKUP($J117,'ELA Reading Logic'!$A$3:$K$9,VLOOKUP(AP$1,'ELA Reading Logic'!$J$22:$K$31,2,FALSE),FALSE)),"Set Grade")</f>
        <v>Set Grade</v>
      </c>
      <c r="AR117" s="96" t="str">
        <f>IFERROR(IF($E117="Yes","IPP",VLOOKUP($J117,'ELA Reading Logic'!$A$13:$K$19,VLOOKUP(AP$1,'ELA Reading Logic'!$J$22:$K$31,2,FALSE),FALSE)),"Set Grade")</f>
        <v>Set Grade</v>
      </c>
      <c r="AS117" s="96" t="str">
        <f>IF($E117="Yes","IPP",IFERROR(IF(AND(AP117&gt;AQ117,AP117&lt;AR117),"0",(VLOOKUP(AP117,'ELA Reading Logic'!$A$22:$B$48,2,FALSE))-(IF(VLOOKUP(AP117,'ELA Reading Logic'!$A$22:$B$48,2,FALSE)&lt;=VLOOKUP(AQ117,'ELA Reading Logic'!$A$22:$B$48,2,FALSE),VLOOKUP(AQ117,'ELA Reading Logic'!$A$22:$B$48,2,FALSE),IF(VLOOKUP(AP117,'ELA Reading Logic'!$A$22:$B$48,2,FALSE)&gt;=VLOOKUP(AR117,'ELA Reading Logic'!$A$22:$B$48,2,FALSE),VLOOKUP(AR117,'ELA Reading Logic'!$A$22:$B$48,2,FALSE),"No Score")))),"No Value"))</f>
        <v>No Value</v>
      </c>
      <c r="AT117" s="96" t="str">
        <f>IFERROR(VLOOKUP(AP117,'ELA Reading Logic'!$A$22:$B$48,2,FALSE)-VLOOKUP($F117,'ELA Reading Logic'!$A$22:$B$48,2,FALSE),"No Value")</f>
        <v>No Value</v>
      </c>
    </row>
    <row r="118" spans="1:46" ht="22.5" customHeight="1" x14ac:dyDescent="0.25">
      <c r="A118" s="176"/>
      <c r="B118" s="176"/>
      <c r="C118" s="176"/>
      <c r="D118" s="176"/>
      <c r="E118" s="175"/>
      <c r="F118" s="175"/>
      <c r="G118" s="177" t="str">
        <f>IFERROR(IF($E118="Yes","IPP",VLOOKUP($J118,'ELA Reading Logic'!$A$3:$K$9,VLOOKUP("September",'ELA Reading Logic'!$J$22:$K$31,2,FALSE),FALSE)),"Set Grade")</f>
        <v>Set Grade</v>
      </c>
      <c r="H118" s="177" t="str">
        <f>IFERROR(IF($E118="Yes","IPP",VLOOKUP($J118,'ELA Reading Logic'!$A$13:$K$19,VLOOKUP("September",'ELA Reading Logic'!$J$22:$K$31,2,FALSE),FALSE)),"Set Grade")</f>
        <v>Set Grade</v>
      </c>
      <c r="I118" s="96" t="str">
        <f>IF($E118="Yes","IPP",IFERROR(IF(AND(F118&gt;G118,F118&lt;H118),"0",(VLOOKUP(F118,'ELA Reading Logic'!$A$22:$B$48,2,FALSE))-(IF(VLOOKUP(F118,'ELA Reading Logic'!$A$22:$B$48,2,FALSE)&lt;=VLOOKUP(G118,'ELA Reading Logic'!$A$22:$B$48,2,FALSE),VLOOKUP(G118,'ELA Reading Logic'!$A$22:$B$48,2,FALSE),IF(VLOOKUP(F118,'ELA Reading Logic'!$A$22:$B$48,2,FALSE)&gt;=VLOOKUP(H118,'ELA Reading Logic'!$A$22:$B$48,2,FALSE),VLOOKUP(H118,'ELA Reading Logic'!$A$22:$B$48,2,FALSE),"No Score")))),"No Value"))</f>
        <v>No Value</v>
      </c>
      <c r="J118" s="178"/>
      <c r="K118" s="96"/>
      <c r="L118" s="96"/>
      <c r="M118" s="96"/>
      <c r="N118" s="96"/>
      <c r="O118" s="96"/>
      <c r="P118" s="105"/>
      <c r="Q118" s="92"/>
      <c r="R118" s="96" t="str">
        <f>IFERROR(IF($E118="Yes","IPP",VLOOKUP($J118,'ELA Reading Logic'!$A$3:$K$9,VLOOKUP(Q$1,'ELA Reading Logic'!$J$22:$K$31,2,FALSE),FALSE)),"Set Grade")</f>
        <v>Set Grade</v>
      </c>
      <c r="S118" s="96" t="str">
        <f>IFERROR(IF($E118="Yes","IPP",VLOOKUP($J118,'ELA Reading Logic'!$A$13:$K$19,VLOOKUP(Q$1,'ELA Reading Logic'!$J$22:$K$31,2,FALSE),FALSE)),"Set Grade")</f>
        <v>Set Grade</v>
      </c>
      <c r="T118" s="96" t="str">
        <f>IF($E118="Yes","IPP",IFERROR(IF(AND(Q118&gt;R118,Q118&lt;S118),"0",(VLOOKUP(Q118,'ELA Reading Logic'!$A$22:$B$48,2,FALSE))-(IF(VLOOKUP(Q118,'ELA Reading Logic'!$A$22:$B$48,2,FALSE)&lt;=VLOOKUP(R118,'ELA Reading Logic'!$A$22:$B$48,2,FALSE),VLOOKUP(R118,'ELA Reading Logic'!$A$22:$B$48,2,FALSE),IF(VLOOKUP(Q118,'ELA Reading Logic'!$A$22:$B$48,2,FALSE)&gt;=VLOOKUP(S118,'ELA Reading Logic'!$A$22:$B$48,2,FALSE),VLOOKUP(S118,'ELA Reading Logic'!$A$22:$B$48,2,FALSE),"No Score")))),"No Value"))</f>
        <v>No Value</v>
      </c>
      <c r="U118" s="96" t="str">
        <f>IFERROR(VLOOKUP(Q118,'ELA Reading Logic'!$A$22:$B$48,2,FALSE)-VLOOKUP($F118,'ELA Reading Logic'!$A$22:$B$48,2,FALSE),"No Value")</f>
        <v>No Value</v>
      </c>
      <c r="V118" s="92"/>
      <c r="W118" s="96" t="str">
        <f>IFERROR(IF($E118="Yes","IPP",VLOOKUP($J118,'ELA Reading Logic'!$A$3:$K$9,VLOOKUP(V$1,'ELA Reading Logic'!$J$22:$K$31,2,FALSE),FALSE)),"Set Grade")</f>
        <v>Set Grade</v>
      </c>
      <c r="X118" s="96" t="str">
        <f>IFERROR(IF($E118="Yes","IPP",VLOOKUP($J118,'ELA Reading Logic'!$A$13:$K$19,VLOOKUP(V$1,'ELA Reading Logic'!$J$22:$K$31,2,FALSE),FALSE)),"Set Grade")</f>
        <v>Set Grade</v>
      </c>
      <c r="Y118" s="96" t="str">
        <f>IF($E118="Yes","IPP",IFERROR(IF(AND(V118&gt;W118,V118&lt;X118),"0",(VLOOKUP(V118,'ELA Reading Logic'!$A$22:$B$48,2,FALSE))-(IF(VLOOKUP(V118,'ELA Reading Logic'!$A$22:$B$48,2,FALSE)&lt;=VLOOKUP(W118,'ELA Reading Logic'!$A$22:$B$48,2,FALSE),VLOOKUP(W118,'ELA Reading Logic'!$A$22:$B$48,2,FALSE),IF(VLOOKUP(V118,'ELA Reading Logic'!$A$22:$B$48,2,FALSE)&gt;=VLOOKUP(X118,'ELA Reading Logic'!$A$22:$B$48,2,FALSE),VLOOKUP(X118,'ELA Reading Logic'!$A$22:$B$48,2,FALSE),"No Score")))),"No Value"))</f>
        <v>No Value</v>
      </c>
      <c r="Z118" s="96" t="str">
        <f>IFERROR(VLOOKUP(V118,'ELA Reading Logic'!$A$22:$B$48,2,FALSE)-VLOOKUP($F118,'ELA Reading Logic'!$A$22:$B$48,2,FALSE),"No Value")</f>
        <v>No Value</v>
      </c>
      <c r="AA118" s="92"/>
      <c r="AB118" s="96" t="str">
        <f>IFERROR(IF($E118="Yes","IPP",VLOOKUP($J118,'ELA Reading Logic'!$A$3:$K$9,VLOOKUP(AA$1,'ELA Reading Logic'!$J$22:$K$31,2,FALSE),FALSE)),"Set Grade")</f>
        <v>Set Grade</v>
      </c>
      <c r="AC118" s="96" t="str">
        <f>IFERROR(IF($E118="Yes","IPP",VLOOKUP($J118,'ELA Reading Logic'!$A$13:$K$19,VLOOKUP(AA$1,'ELA Reading Logic'!$J$22:$K$31,2,FALSE),FALSE)),"Set Grade")</f>
        <v>Set Grade</v>
      </c>
      <c r="AD118" s="96" t="str">
        <f>IF($E118="Yes","IPP",IFERROR(IF(AND(AA118&gt;AB118,AA118&lt;AC118),"0",(VLOOKUP(AA118,'ELA Reading Logic'!$A$22:$B$48,2,FALSE))-(IF(VLOOKUP(AA118,'ELA Reading Logic'!$A$22:$B$48,2,FALSE)&lt;=VLOOKUP(AB118,'ELA Reading Logic'!$A$22:$B$48,2,FALSE),VLOOKUP(AB118,'ELA Reading Logic'!$A$22:$B$48,2,FALSE),IF(VLOOKUP(AA118,'ELA Reading Logic'!$A$22:$B$48,2,FALSE)&gt;=VLOOKUP(AC118,'ELA Reading Logic'!$A$22:$B$48,2,FALSE),VLOOKUP(AC118,'ELA Reading Logic'!$A$22:$B$48,2,FALSE),"No Score")))),"No Value"))</f>
        <v>No Value</v>
      </c>
      <c r="AE118" s="96" t="str">
        <f>IFERROR(VLOOKUP(AA118,'ELA Reading Logic'!$A$22:$B$48,2,FALSE)-VLOOKUP($F118,'ELA Reading Logic'!$A$22:$B$48,2,FALSE),"No Value")</f>
        <v>No Value</v>
      </c>
      <c r="AF118" s="92"/>
      <c r="AG118" s="96" t="str">
        <f>IFERROR(IF($E118="Yes","IPP",VLOOKUP($J118,'ELA Reading Logic'!$A$3:$K$9,VLOOKUP(AF$1,'ELA Reading Logic'!$J$22:$K$31,2,FALSE),FALSE)),"Set Grade")</f>
        <v>Set Grade</v>
      </c>
      <c r="AH118" s="96" t="str">
        <f>IFERROR(IF($E118="Yes","IPP",VLOOKUP($J118,'ELA Reading Logic'!$A$13:$K$19,VLOOKUP(AF$1,'ELA Reading Logic'!$J$22:$K$31,2,FALSE),FALSE)),"Set Grade")</f>
        <v>Set Grade</v>
      </c>
      <c r="AI118" s="96" t="str">
        <f>IF($E118="Yes","IPP",IFERROR(IF(AND(AF118&gt;AG118,AF118&lt;AH118),"0",(VLOOKUP(AF118,'ELA Reading Logic'!$A$22:$B$48,2,FALSE))-(IF(VLOOKUP(AF118,'ELA Reading Logic'!$A$22:$B$48,2,FALSE)&lt;=VLOOKUP(AG118,'ELA Reading Logic'!$A$22:$B$48,2,FALSE),VLOOKUP(AG118,'ELA Reading Logic'!$A$22:$B$48,2,FALSE),IF(VLOOKUP(AF118,'ELA Reading Logic'!$A$22:$B$48,2,FALSE)&gt;=VLOOKUP(AH118,'ELA Reading Logic'!$A$22:$B$48,2,FALSE),VLOOKUP(AH118,'ELA Reading Logic'!$A$22:$B$48,2,FALSE),"No Score")))),"No Value"))</f>
        <v>No Value</v>
      </c>
      <c r="AJ118" s="96" t="str">
        <f>IFERROR(VLOOKUP(AF118,'ELA Reading Logic'!$A$22:$B$48,2,FALSE)-VLOOKUP($F118,'ELA Reading Logic'!$A$22:$B$48,2,FALSE),"No Value")</f>
        <v>No Value</v>
      </c>
      <c r="AK118" s="92"/>
      <c r="AL118" s="96" t="str">
        <f>IFERROR(IF($E118="Yes","IPP",VLOOKUP($J118,'ELA Reading Logic'!$A$3:$K$9,VLOOKUP(AK$1,'ELA Reading Logic'!$J$22:$K$31,2,FALSE),FALSE)),"Set Grade")</f>
        <v>Set Grade</v>
      </c>
      <c r="AM118" s="96" t="str">
        <f>IFERROR(IF($E118="Yes","IPP",VLOOKUP($J118,'ELA Reading Logic'!$A$13:$K$19,VLOOKUP(AK$1,'ELA Reading Logic'!$J$22:$K$31,2,FALSE),FALSE)),"Set Grade")</f>
        <v>Set Grade</v>
      </c>
      <c r="AN118" s="96" t="str">
        <f>IF($E118="Yes","IPP",IFERROR(IF(AND(AK118&gt;AL118,AK118&lt;AM118),"0",(VLOOKUP(AK118,'ELA Reading Logic'!$A$22:$B$48,2,FALSE))-(IF(VLOOKUP(AK118,'ELA Reading Logic'!$A$22:$B$48,2,FALSE)&lt;=VLOOKUP(AL118,'ELA Reading Logic'!$A$22:$B$48,2,FALSE),VLOOKUP(AL118,'ELA Reading Logic'!$A$22:$B$48,2,FALSE),IF(VLOOKUP(AK118,'ELA Reading Logic'!$A$22:$B$48,2,FALSE)&gt;=VLOOKUP(AM118,'ELA Reading Logic'!$A$22:$B$48,2,FALSE),VLOOKUP(AM118,'ELA Reading Logic'!$A$22:$B$48,2,FALSE),"No Score")))),"No Value"))</f>
        <v>No Value</v>
      </c>
      <c r="AO118" s="96" t="str">
        <f>IFERROR(VLOOKUP(AK118,'ELA Reading Logic'!$A$22:$B$48,2,FALSE)-VLOOKUP($F118,'ELA Reading Logic'!$A$22:$B$48,2,FALSE),"No Value")</f>
        <v>No Value</v>
      </c>
      <c r="AP118" s="92"/>
      <c r="AQ118" s="96" t="str">
        <f>IFERROR(IF($E118="Yes","IPP",VLOOKUP($J118,'ELA Reading Logic'!$A$3:$K$9,VLOOKUP(AP$1,'ELA Reading Logic'!$J$22:$K$31,2,FALSE),FALSE)),"Set Grade")</f>
        <v>Set Grade</v>
      </c>
      <c r="AR118" s="96" t="str">
        <f>IFERROR(IF($E118="Yes","IPP",VLOOKUP($J118,'ELA Reading Logic'!$A$13:$K$19,VLOOKUP(AP$1,'ELA Reading Logic'!$J$22:$K$31,2,FALSE),FALSE)),"Set Grade")</f>
        <v>Set Grade</v>
      </c>
      <c r="AS118" s="96" t="str">
        <f>IF($E118="Yes","IPP",IFERROR(IF(AND(AP118&gt;AQ118,AP118&lt;AR118),"0",(VLOOKUP(AP118,'ELA Reading Logic'!$A$22:$B$48,2,FALSE))-(IF(VLOOKUP(AP118,'ELA Reading Logic'!$A$22:$B$48,2,FALSE)&lt;=VLOOKUP(AQ118,'ELA Reading Logic'!$A$22:$B$48,2,FALSE),VLOOKUP(AQ118,'ELA Reading Logic'!$A$22:$B$48,2,FALSE),IF(VLOOKUP(AP118,'ELA Reading Logic'!$A$22:$B$48,2,FALSE)&gt;=VLOOKUP(AR118,'ELA Reading Logic'!$A$22:$B$48,2,FALSE),VLOOKUP(AR118,'ELA Reading Logic'!$A$22:$B$48,2,FALSE),"No Score")))),"No Value"))</f>
        <v>No Value</v>
      </c>
      <c r="AT118" s="96" t="str">
        <f>IFERROR(VLOOKUP(AP118,'ELA Reading Logic'!$A$22:$B$48,2,FALSE)-VLOOKUP($F118,'ELA Reading Logic'!$A$22:$B$48,2,FALSE),"No Value")</f>
        <v>No Value</v>
      </c>
    </row>
    <row r="119" spans="1:46" ht="22.5" customHeight="1" x14ac:dyDescent="0.25">
      <c r="A119" s="176"/>
      <c r="B119" s="176"/>
      <c r="C119" s="176"/>
      <c r="D119" s="176"/>
      <c r="E119" s="175"/>
      <c r="F119" s="175"/>
      <c r="G119" s="177" t="str">
        <f>IFERROR(IF($E119="Yes","IPP",VLOOKUP($J119,'ELA Reading Logic'!$A$3:$K$9,VLOOKUP("September",'ELA Reading Logic'!$J$22:$K$31,2,FALSE),FALSE)),"Set Grade")</f>
        <v>Set Grade</v>
      </c>
      <c r="H119" s="177" t="str">
        <f>IFERROR(IF($E119="Yes","IPP",VLOOKUP($J119,'ELA Reading Logic'!$A$13:$K$19,VLOOKUP("September",'ELA Reading Logic'!$J$22:$K$31,2,FALSE),FALSE)),"Set Grade")</f>
        <v>Set Grade</v>
      </c>
      <c r="I119" s="96" t="str">
        <f>IF($E119="Yes","IPP",IFERROR(IF(AND(F119&gt;G119,F119&lt;H119),"0",(VLOOKUP(F119,'ELA Reading Logic'!$A$22:$B$48,2,FALSE))-(IF(VLOOKUP(F119,'ELA Reading Logic'!$A$22:$B$48,2,FALSE)&lt;=VLOOKUP(G119,'ELA Reading Logic'!$A$22:$B$48,2,FALSE),VLOOKUP(G119,'ELA Reading Logic'!$A$22:$B$48,2,FALSE),IF(VLOOKUP(F119,'ELA Reading Logic'!$A$22:$B$48,2,FALSE)&gt;=VLOOKUP(H119,'ELA Reading Logic'!$A$22:$B$48,2,FALSE),VLOOKUP(H119,'ELA Reading Logic'!$A$22:$B$48,2,FALSE),"No Score")))),"No Value"))</f>
        <v>No Value</v>
      </c>
      <c r="J119" s="178"/>
      <c r="K119" s="96"/>
      <c r="L119" s="96"/>
      <c r="M119" s="96"/>
      <c r="N119" s="96"/>
      <c r="O119" s="96"/>
      <c r="P119" s="105"/>
      <c r="Q119" s="92"/>
      <c r="R119" s="96" t="str">
        <f>IFERROR(IF($E119="Yes","IPP",VLOOKUP($J119,'ELA Reading Logic'!$A$3:$K$9,VLOOKUP(Q$1,'ELA Reading Logic'!$J$22:$K$31,2,FALSE),FALSE)),"Set Grade")</f>
        <v>Set Grade</v>
      </c>
      <c r="S119" s="96" t="str">
        <f>IFERROR(IF($E119="Yes","IPP",VLOOKUP($J119,'ELA Reading Logic'!$A$13:$K$19,VLOOKUP(Q$1,'ELA Reading Logic'!$J$22:$K$31,2,FALSE),FALSE)),"Set Grade")</f>
        <v>Set Grade</v>
      </c>
      <c r="T119" s="96" t="str">
        <f>IF($E119="Yes","IPP",IFERROR(IF(AND(Q119&gt;R119,Q119&lt;S119),"0",(VLOOKUP(Q119,'ELA Reading Logic'!$A$22:$B$48,2,FALSE))-(IF(VLOOKUP(Q119,'ELA Reading Logic'!$A$22:$B$48,2,FALSE)&lt;=VLOOKUP(R119,'ELA Reading Logic'!$A$22:$B$48,2,FALSE),VLOOKUP(R119,'ELA Reading Logic'!$A$22:$B$48,2,FALSE),IF(VLOOKUP(Q119,'ELA Reading Logic'!$A$22:$B$48,2,FALSE)&gt;=VLOOKUP(S119,'ELA Reading Logic'!$A$22:$B$48,2,FALSE),VLOOKUP(S119,'ELA Reading Logic'!$A$22:$B$48,2,FALSE),"No Score")))),"No Value"))</f>
        <v>No Value</v>
      </c>
      <c r="U119" s="96" t="str">
        <f>IFERROR(VLOOKUP(Q119,'ELA Reading Logic'!$A$22:$B$48,2,FALSE)-VLOOKUP($F119,'ELA Reading Logic'!$A$22:$B$48,2,FALSE),"No Value")</f>
        <v>No Value</v>
      </c>
      <c r="V119" s="92"/>
      <c r="W119" s="96" t="str">
        <f>IFERROR(IF($E119="Yes","IPP",VLOOKUP($J119,'ELA Reading Logic'!$A$3:$K$9,VLOOKUP(V$1,'ELA Reading Logic'!$J$22:$K$31,2,FALSE),FALSE)),"Set Grade")</f>
        <v>Set Grade</v>
      </c>
      <c r="X119" s="96" t="str">
        <f>IFERROR(IF($E119="Yes","IPP",VLOOKUP($J119,'ELA Reading Logic'!$A$13:$K$19,VLOOKUP(V$1,'ELA Reading Logic'!$J$22:$K$31,2,FALSE),FALSE)),"Set Grade")</f>
        <v>Set Grade</v>
      </c>
      <c r="Y119" s="96" t="str">
        <f>IF($E119="Yes","IPP",IFERROR(IF(AND(V119&gt;W119,V119&lt;X119),"0",(VLOOKUP(V119,'ELA Reading Logic'!$A$22:$B$48,2,FALSE))-(IF(VLOOKUP(V119,'ELA Reading Logic'!$A$22:$B$48,2,FALSE)&lt;=VLOOKUP(W119,'ELA Reading Logic'!$A$22:$B$48,2,FALSE),VLOOKUP(W119,'ELA Reading Logic'!$A$22:$B$48,2,FALSE),IF(VLOOKUP(V119,'ELA Reading Logic'!$A$22:$B$48,2,FALSE)&gt;=VLOOKUP(X119,'ELA Reading Logic'!$A$22:$B$48,2,FALSE),VLOOKUP(X119,'ELA Reading Logic'!$A$22:$B$48,2,FALSE),"No Score")))),"No Value"))</f>
        <v>No Value</v>
      </c>
      <c r="Z119" s="96" t="str">
        <f>IFERROR(VLOOKUP(V119,'ELA Reading Logic'!$A$22:$B$48,2,FALSE)-VLOOKUP($F119,'ELA Reading Logic'!$A$22:$B$48,2,FALSE),"No Value")</f>
        <v>No Value</v>
      </c>
      <c r="AA119" s="92"/>
      <c r="AB119" s="96" t="str">
        <f>IFERROR(IF($E119="Yes","IPP",VLOOKUP($J119,'ELA Reading Logic'!$A$3:$K$9,VLOOKUP(AA$1,'ELA Reading Logic'!$J$22:$K$31,2,FALSE),FALSE)),"Set Grade")</f>
        <v>Set Grade</v>
      </c>
      <c r="AC119" s="96" t="str">
        <f>IFERROR(IF($E119="Yes","IPP",VLOOKUP($J119,'ELA Reading Logic'!$A$13:$K$19,VLOOKUP(AA$1,'ELA Reading Logic'!$J$22:$K$31,2,FALSE),FALSE)),"Set Grade")</f>
        <v>Set Grade</v>
      </c>
      <c r="AD119" s="96" t="str">
        <f>IF($E119="Yes","IPP",IFERROR(IF(AND(AA119&gt;AB119,AA119&lt;AC119),"0",(VLOOKUP(AA119,'ELA Reading Logic'!$A$22:$B$48,2,FALSE))-(IF(VLOOKUP(AA119,'ELA Reading Logic'!$A$22:$B$48,2,FALSE)&lt;=VLOOKUP(AB119,'ELA Reading Logic'!$A$22:$B$48,2,FALSE),VLOOKUP(AB119,'ELA Reading Logic'!$A$22:$B$48,2,FALSE),IF(VLOOKUP(AA119,'ELA Reading Logic'!$A$22:$B$48,2,FALSE)&gt;=VLOOKUP(AC119,'ELA Reading Logic'!$A$22:$B$48,2,FALSE),VLOOKUP(AC119,'ELA Reading Logic'!$A$22:$B$48,2,FALSE),"No Score")))),"No Value"))</f>
        <v>No Value</v>
      </c>
      <c r="AE119" s="96" t="str">
        <f>IFERROR(VLOOKUP(AA119,'ELA Reading Logic'!$A$22:$B$48,2,FALSE)-VLOOKUP($F119,'ELA Reading Logic'!$A$22:$B$48,2,FALSE),"No Value")</f>
        <v>No Value</v>
      </c>
      <c r="AF119" s="92"/>
      <c r="AG119" s="96" t="str">
        <f>IFERROR(IF($E119="Yes","IPP",VLOOKUP($J119,'ELA Reading Logic'!$A$3:$K$9,VLOOKUP(AF$1,'ELA Reading Logic'!$J$22:$K$31,2,FALSE),FALSE)),"Set Grade")</f>
        <v>Set Grade</v>
      </c>
      <c r="AH119" s="96" t="str">
        <f>IFERROR(IF($E119="Yes","IPP",VLOOKUP($J119,'ELA Reading Logic'!$A$13:$K$19,VLOOKUP(AF$1,'ELA Reading Logic'!$J$22:$K$31,2,FALSE),FALSE)),"Set Grade")</f>
        <v>Set Grade</v>
      </c>
      <c r="AI119" s="96" t="str">
        <f>IF($E119="Yes","IPP",IFERROR(IF(AND(AF119&gt;AG119,AF119&lt;AH119),"0",(VLOOKUP(AF119,'ELA Reading Logic'!$A$22:$B$48,2,FALSE))-(IF(VLOOKUP(AF119,'ELA Reading Logic'!$A$22:$B$48,2,FALSE)&lt;=VLOOKUP(AG119,'ELA Reading Logic'!$A$22:$B$48,2,FALSE),VLOOKUP(AG119,'ELA Reading Logic'!$A$22:$B$48,2,FALSE),IF(VLOOKUP(AF119,'ELA Reading Logic'!$A$22:$B$48,2,FALSE)&gt;=VLOOKUP(AH119,'ELA Reading Logic'!$A$22:$B$48,2,FALSE),VLOOKUP(AH119,'ELA Reading Logic'!$A$22:$B$48,2,FALSE),"No Score")))),"No Value"))</f>
        <v>No Value</v>
      </c>
      <c r="AJ119" s="96" t="str">
        <f>IFERROR(VLOOKUP(AF119,'ELA Reading Logic'!$A$22:$B$48,2,FALSE)-VLOOKUP($F119,'ELA Reading Logic'!$A$22:$B$48,2,FALSE),"No Value")</f>
        <v>No Value</v>
      </c>
      <c r="AK119" s="92"/>
      <c r="AL119" s="96" t="str">
        <f>IFERROR(IF($E119="Yes","IPP",VLOOKUP($J119,'ELA Reading Logic'!$A$3:$K$9,VLOOKUP(AK$1,'ELA Reading Logic'!$J$22:$K$31,2,FALSE),FALSE)),"Set Grade")</f>
        <v>Set Grade</v>
      </c>
      <c r="AM119" s="96" t="str">
        <f>IFERROR(IF($E119="Yes","IPP",VLOOKUP($J119,'ELA Reading Logic'!$A$13:$K$19,VLOOKUP(AK$1,'ELA Reading Logic'!$J$22:$K$31,2,FALSE),FALSE)),"Set Grade")</f>
        <v>Set Grade</v>
      </c>
      <c r="AN119" s="96" t="str">
        <f>IF($E119="Yes","IPP",IFERROR(IF(AND(AK119&gt;AL119,AK119&lt;AM119),"0",(VLOOKUP(AK119,'ELA Reading Logic'!$A$22:$B$48,2,FALSE))-(IF(VLOOKUP(AK119,'ELA Reading Logic'!$A$22:$B$48,2,FALSE)&lt;=VLOOKUP(AL119,'ELA Reading Logic'!$A$22:$B$48,2,FALSE),VLOOKUP(AL119,'ELA Reading Logic'!$A$22:$B$48,2,FALSE),IF(VLOOKUP(AK119,'ELA Reading Logic'!$A$22:$B$48,2,FALSE)&gt;=VLOOKUP(AM119,'ELA Reading Logic'!$A$22:$B$48,2,FALSE),VLOOKUP(AM119,'ELA Reading Logic'!$A$22:$B$48,2,FALSE),"No Score")))),"No Value"))</f>
        <v>No Value</v>
      </c>
      <c r="AO119" s="96" t="str">
        <f>IFERROR(VLOOKUP(AK119,'ELA Reading Logic'!$A$22:$B$48,2,FALSE)-VLOOKUP($F119,'ELA Reading Logic'!$A$22:$B$48,2,FALSE),"No Value")</f>
        <v>No Value</v>
      </c>
      <c r="AP119" s="92"/>
      <c r="AQ119" s="96" t="str">
        <f>IFERROR(IF($E119="Yes","IPP",VLOOKUP($J119,'ELA Reading Logic'!$A$3:$K$9,VLOOKUP(AP$1,'ELA Reading Logic'!$J$22:$K$31,2,FALSE),FALSE)),"Set Grade")</f>
        <v>Set Grade</v>
      </c>
      <c r="AR119" s="96" t="str">
        <f>IFERROR(IF($E119="Yes","IPP",VLOOKUP($J119,'ELA Reading Logic'!$A$13:$K$19,VLOOKUP(AP$1,'ELA Reading Logic'!$J$22:$K$31,2,FALSE),FALSE)),"Set Grade")</f>
        <v>Set Grade</v>
      </c>
      <c r="AS119" s="96" t="str">
        <f>IF($E119="Yes","IPP",IFERROR(IF(AND(AP119&gt;AQ119,AP119&lt;AR119),"0",(VLOOKUP(AP119,'ELA Reading Logic'!$A$22:$B$48,2,FALSE))-(IF(VLOOKUP(AP119,'ELA Reading Logic'!$A$22:$B$48,2,FALSE)&lt;=VLOOKUP(AQ119,'ELA Reading Logic'!$A$22:$B$48,2,FALSE),VLOOKUP(AQ119,'ELA Reading Logic'!$A$22:$B$48,2,FALSE),IF(VLOOKUP(AP119,'ELA Reading Logic'!$A$22:$B$48,2,FALSE)&gt;=VLOOKUP(AR119,'ELA Reading Logic'!$A$22:$B$48,2,FALSE),VLOOKUP(AR119,'ELA Reading Logic'!$A$22:$B$48,2,FALSE),"No Score")))),"No Value"))</f>
        <v>No Value</v>
      </c>
      <c r="AT119" s="96" t="str">
        <f>IFERROR(VLOOKUP(AP119,'ELA Reading Logic'!$A$22:$B$48,2,FALSE)-VLOOKUP($F119,'ELA Reading Logic'!$A$22:$B$48,2,FALSE),"No Value")</f>
        <v>No Value</v>
      </c>
    </row>
    <row r="120" spans="1:46" ht="22.5" customHeight="1" x14ac:dyDescent="0.25">
      <c r="A120" s="174"/>
      <c r="B120" s="174"/>
      <c r="C120" s="174"/>
      <c r="D120" s="174"/>
      <c r="E120" s="175"/>
      <c r="F120" s="175"/>
      <c r="G120" s="177" t="str">
        <f>IFERROR(IF($E120="Yes","IPP",VLOOKUP($J120,'ELA Reading Logic'!$A$3:$K$9,VLOOKUP("September",'ELA Reading Logic'!$J$22:$K$31,2,FALSE),FALSE)),"Set Grade")</f>
        <v>Set Grade</v>
      </c>
      <c r="H120" s="177" t="str">
        <f>IFERROR(IF($E120="Yes","IPP",VLOOKUP($J120,'ELA Reading Logic'!$A$13:$K$19,VLOOKUP("September",'ELA Reading Logic'!$J$22:$K$31,2,FALSE),FALSE)),"Set Grade")</f>
        <v>Set Grade</v>
      </c>
      <c r="I120" s="96" t="str">
        <f>IF($E120="Yes","IPP",IFERROR(IF(AND(F120&gt;G120,F120&lt;H120),"0",(VLOOKUP(F120,'ELA Reading Logic'!$A$22:$B$48,2,FALSE))-(IF(VLOOKUP(F120,'ELA Reading Logic'!$A$22:$B$48,2,FALSE)&lt;=VLOOKUP(G120,'ELA Reading Logic'!$A$22:$B$48,2,FALSE),VLOOKUP(G120,'ELA Reading Logic'!$A$22:$B$48,2,FALSE),IF(VLOOKUP(F120,'ELA Reading Logic'!$A$22:$B$48,2,FALSE)&gt;=VLOOKUP(H120,'ELA Reading Logic'!$A$22:$B$48,2,FALSE),VLOOKUP(H120,'ELA Reading Logic'!$A$22:$B$48,2,FALSE),"No Score")))),"No Value"))</f>
        <v>No Value</v>
      </c>
      <c r="J120" s="178"/>
      <c r="K120" s="96"/>
      <c r="L120" s="96"/>
      <c r="M120" s="96"/>
      <c r="N120" s="96"/>
      <c r="O120" s="96"/>
      <c r="P120" s="105"/>
      <c r="Q120" s="92"/>
      <c r="R120" s="96" t="str">
        <f>IFERROR(IF($E120="Yes","IPP",VLOOKUP($J120,'ELA Reading Logic'!$A$3:$K$9,VLOOKUP(Q$1,'ELA Reading Logic'!$J$22:$K$31,2,FALSE),FALSE)),"Set Grade")</f>
        <v>Set Grade</v>
      </c>
      <c r="S120" s="96" t="str">
        <f>IFERROR(IF($E120="Yes","IPP",VLOOKUP($J120,'ELA Reading Logic'!$A$13:$K$19,VLOOKUP(Q$1,'ELA Reading Logic'!$J$22:$K$31,2,FALSE),FALSE)),"Set Grade")</f>
        <v>Set Grade</v>
      </c>
      <c r="T120" s="96" t="str">
        <f>IF($E120="Yes","IPP",IFERROR(IF(AND(Q120&gt;R120,Q120&lt;S120),"0",(VLOOKUP(Q120,'ELA Reading Logic'!$A$22:$B$48,2,FALSE))-(IF(VLOOKUP(Q120,'ELA Reading Logic'!$A$22:$B$48,2,FALSE)&lt;=VLOOKUP(R120,'ELA Reading Logic'!$A$22:$B$48,2,FALSE),VLOOKUP(R120,'ELA Reading Logic'!$A$22:$B$48,2,FALSE),IF(VLOOKUP(Q120,'ELA Reading Logic'!$A$22:$B$48,2,FALSE)&gt;=VLOOKUP(S120,'ELA Reading Logic'!$A$22:$B$48,2,FALSE),VLOOKUP(S120,'ELA Reading Logic'!$A$22:$B$48,2,FALSE),"No Score")))),"No Value"))</f>
        <v>No Value</v>
      </c>
      <c r="U120" s="96" t="str">
        <f>IFERROR(VLOOKUP(Q120,'ELA Reading Logic'!$A$22:$B$48,2,FALSE)-VLOOKUP($F120,'ELA Reading Logic'!$A$22:$B$48,2,FALSE),"No Value")</f>
        <v>No Value</v>
      </c>
      <c r="V120" s="92"/>
      <c r="W120" s="96" t="str">
        <f>IFERROR(IF($E120="Yes","IPP",VLOOKUP($J120,'ELA Reading Logic'!$A$3:$K$9,VLOOKUP(V$1,'ELA Reading Logic'!$J$22:$K$31,2,FALSE),FALSE)),"Set Grade")</f>
        <v>Set Grade</v>
      </c>
      <c r="X120" s="96" t="str">
        <f>IFERROR(IF($E120="Yes","IPP",VLOOKUP($J120,'ELA Reading Logic'!$A$13:$K$19,VLOOKUP(V$1,'ELA Reading Logic'!$J$22:$K$31,2,FALSE),FALSE)),"Set Grade")</f>
        <v>Set Grade</v>
      </c>
      <c r="Y120" s="96" t="str">
        <f>IF($E120="Yes","IPP",IFERROR(IF(AND(V120&gt;W120,V120&lt;X120),"0",(VLOOKUP(V120,'ELA Reading Logic'!$A$22:$B$48,2,FALSE))-(IF(VLOOKUP(V120,'ELA Reading Logic'!$A$22:$B$48,2,FALSE)&lt;=VLOOKUP(W120,'ELA Reading Logic'!$A$22:$B$48,2,FALSE),VLOOKUP(W120,'ELA Reading Logic'!$A$22:$B$48,2,FALSE),IF(VLOOKUP(V120,'ELA Reading Logic'!$A$22:$B$48,2,FALSE)&gt;=VLOOKUP(X120,'ELA Reading Logic'!$A$22:$B$48,2,FALSE),VLOOKUP(X120,'ELA Reading Logic'!$A$22:$B$48,2,FALSE),"No Score")))),"No Value"))</f>
        <v>No Value</v>
      </c>
      <c r="Z120" s="96" t="str">
        <f>IFERROR(VLOOKUP(V120,'ELA Reading Logic'!$A$22:$B$48,2,FALSE)-VLOOKUP($F120,'ELA Reading Logic'!$A$22:$B$48,2,FALSE),"No Value")</f>
        <v>No Value</v>
      </c>
      <c r="AA120" s="92"/>
      <c r="AB120" s="96" t="str">
        <f>IFERROR(IF($E120="Yes","IPP",VLOOKUP($J120,'ELA Reading Logic'!$A$3:$K$9,VLOOKUP(AA$1,'ELA Reading Logic'!$J$22:$K$31,2,FALSE),FALSE)),"Set Grade")</f>
        <v>Set Grade</v>
      </c>
      <c r="AC120" s="96" t="str">
        <f>IFERROR(IF($E120="Yes","IPP",VLOOKUP($J120,'ELA Reading Logic'!$A$13:$K$19,VLOOKUP(AA$1,'ELA Reading Logic'!$J$22:$K$31,2,FALSE),FALSE)),"Set Grade")</f>
        <v>Set Grade</v>
      </c>
      <c r="AD120" s="96" t="str">
        <f>IF($E120="Yes","IPP",IFERROR(IF(AND(AA120&gt;AB120,AA120&lt;AC120),"0",(VLOOKUP(AA120,'ELA Reading Logic'!$A$22:$B$48,2,FALSE))-(IF(VLOOKUP(AA120,'ELA Reading Logic'!$A$22:$B$48,2,FALSE)&lt;=VLOOKUP(AB120,'ELA Reading Logic'!$A$22:$B$48,2,FALSE),VLOOKUP(AB120,'ELA Reading Logic'!$A$22:$B$48,2,FALSE),IF(VLOOKUP(AA120,'ELA Reading Logic'!$A$22:$B$48,2,FALSE)&gt;=VLOOKUP(AC120,'ELA Reading Logic'!$A$22:$B$48,2,FALSE),VLOOKUP(AC120,'ELA Reading Logic'!$A$22:$B$48,2,FALSE),"No Score")))),"No Value"))</f>
        <v>No Value</v>
      </c>
      <c r="AE120" s="96" t="str">
        <f>IFERROR(VLOOKUP(AA120,'ELA Reading Logic'!$A$22:$B$48,2,FALSE)-VLOOKUP($F120,'ELA Reading Logic'!$A$22:$B$48,2,FALSE),"No Value")</f>
        <v>No Value</v>
      </c>
      <c r="AF120" s="92"/>
      <c r="AG120" s="96" t="str">
        <f>IFERROR(IF($E120="Yes","IPP",VLOOKUP($J120,'ELA Reading Logic'!$A$3:$K$9,VLOOKUP(AF$1,'ELA Reading Logic'!$J$22:$K$31,2,FALSE),FALSE)),"Set Grade")</f>
        <v>Set Grade</v>
      </c>
      <c r="AH120" s="96" t="str">
        <f>IFERROR(IF($E120="Yes","IPP",VLOOKUP($J120,'ELA Reading Logic'!$A$13:$K$19,VLOOKUP(AF$1,'ELA Reading Logic'!$J$22:$K$31,2,FALSE),FALSE)),"Set Grade")</f>
        <v>Set Grade</v>
      </c>
      <c r="AI120" s="96" t="str">
        <f>IF($E120="Yes","IPP",IFERROR(IF(AND(AF120&gt;AG120,AF120&lt;AH120),"0",(VLOOKUP(AF120,'ELA Reading Logic'!$A$22:$B$48,2,FALSE))-(IF(VLOOKUP(AF120,'ELA Reading Logic'!$A$22:$B$48,2,FALSE)&lt;=VLOOKUP(AG120,'ELA Reading Logic'!$A$22:$B$48,2,FALSE),VLOOKUP(AG120,'ELA Reading Logic'!$A$22:$B$48,2,FALSE),IF(VLOOKUP(AF120,'ELA Reading Logic'!$A$22:$B$48,2,FALSE)&gt;=VLOOKUP(AH120,'ELA Reading Logic'!$A$22:$B$48,2,FALSE),VLOOKUP(AH120,'ELA Reading Logic'!$A$22:$B$48,2,FALSE),"No Score")))),"No Value"))</f>
        <v>No Value</v>
      </c>
      <c r="AJ120" s="96" t="str">
        <f>IFERROR(VLOOKUP(AF120,'ELA Reading Logic'!$A$22:$B$48,2,FALSE)-VLOOKUP($F120,'ELA Reading Logic'!$A$22:$B$48,2,FALSE),"No Value")</f>
        <v>No Value</v>
      </c>
      <c r="AK120" s="92"/>
      <c r="AL120" s="96" t="str">
        <f>IFERROR(IF($E120="Yes","IPP",VLOOKUP($J120,'ELA Reading Logic'!$A$3:$K$9,VLOOKUP(AK$1,'ELA Reading Logic'!$J$22:$K$31,2,FALSE),FALSE)),"Set Grade")</f>
        <v>Set Grade</v>
      </c>
      <c r="AM120" s="96" t="str">
        <f>IFERROR(IF($E120="Yes","IPP",VLOOKUP($J120,'ELA Reading Logic'!$A$13:$K$19,VLOOKUP(AK$1,'ELA Reading Logic'!$J$22:$K$31,2,FALSE),FALSE)),"Set Grade")</f>
        <v>Set Grade</v>
      </c>
      <c r="AN120" s="96" t="str">
        <f>IF($E120="Yes","IPP",IFERROR(IF(AND(AK120&gt;AL120,AK120&lt;AM120),"0",(VLOOKUP(AK120,'ELA Reading Logic'!$A$22:$B$48,2,FALSE))-(IF(VLOOKUP(AK120,'ELA Reading Logic'!$A$22:$B$48,2,FALSE)&lt;=VLOOKUP(AL120,'ELA Reading Logic'!$A$22:$B$48,2,FALSE),VLOOKUP(AL120,'ELA Reading Logic'!$A$22:$B$48,2,FALSE),IF(VLOOKUP(AK120,'ELA Reading Logic'!$A$22:$B$48,2,FALSE)&gt;=VLOOKUP(AM120,'ELA Reading Logic'!$A$22:$B$48,2,FALSE),VLOOKUP(AM120,'ELA Reading Logic'!$A$22:$B$48,2,FALSE),"No Score")))),"No Value"))</f>
        <v>No Value</v>
      </c>
      <c r="AO120" s="96" t="str">
        <f>IFERROR(VLOOKUP(AK120,'ELA Reading Logic'!$A$22:$B$48,2,FALSE)-VLOOKUP($F120,'ELA Reading Logic'!$A$22:$B$48,2,FALSE),"No Value")</f>
        <v>No Value</v>
      </c>
      <c r="AP120" s="92"/>
      <c r="AQ120" s="96" t="str">
        <f>IFERROR(IF($E120="Yes","IPP",VLOOKUP($J120,'ELA Reading Logic'!$A$3:$K$9,VLOOKUP(AP$1,'ELA Reading Logic'!$J$22:$K$31,2,FALSE),FALSE)),"Set Grade")</f>
        <v>Set Grade</v>
      </c>
      <c r="AR120" s="96" t="str">
        <f>IFERROR(IF($E120="Yes","IPP",VLOOKUP($J120,'ELA Reading Logic'!$A$13:$K$19,VLOOKUP(AP$1,'ELA Reading Logic'!$J$22:$K$31,2,FALSE),FALSE)),"Set Grade")</f>
        <v>Set Grade</v>
      </c>
      <c r="AS120" s="96" t="str">
        <f>IF($E120="Yes","IPP",IFERROR(IF(AND(AP120&gt;AQ120,AP120&lt;AR120),"0",(VLOOKUP(AP120,'ELA Reading Logic'!$A$22:$B$48,2,FALSE))-(IF(VLOOKUP(AP120,'ELA Reading Logic'!$A$22:$B$48,2,FALSE)&lt;=VLOOKUP(AQ120,'ELA Reading Logic'!$A$22:$B$48,2,FALSE),VLOOKUP(AQ120,'ELA Reading Logic'!$A$22:$B$48,2,FALSE),IF(VLOOKUP(AP120,'ELA Reading Logic'!$A$22:$B$48,2,FALSE)&gt;=VLOOKUP(AR120,'ELA Reading Logic'!$A$22:$B$48,2,FALSE),VLOOKUP(AR120,'ELA Reading Logic'!$A$22:$B$48,2,FALSE),"No Score")))),"No Value"))</f>
        <v>No Value</v>
      </c>
      <c r="AT120" s="96" t="str">
        <f>IFERROR(VLOOKUP(AP120,'ELA Reading Logic'!$A$22:$B$48,2,FALSE)-VLOOKUP($F120,'ELA Reading Logic'!$A$22:$B$48,2,FALSE),"No Value")</f>
        <v>No Value</v>
      </c>
    </row>
    <row r="121" spans="1:46" ht="22.5" customHeight="1" x14ac:dyDescent="0.25">
      <c r="A121" s="176"/>
      <c r="B121" s="176"/>
      <c r="C121" s="176"/>
      <c r="D121" s="176"/>
      <c r="E121" s="175"/>
      <c r="F121" s="175"/>
      <c r="G121" s="177" t="str">
        <f>IFERROR(IF($E121="Yes","IPP",VLOOKUP($J121,'ELA Reading Logic'!$A$3:$K$9,VLOOKUP("September",'ELA Reading Logic'!$J$22:$K$31,2,FALSE),FALSE)),"Set Grade")</f>
        <v>Set Grade</v>
      </c>
      <c r="H121" s="177" t="str">
        <f>IFERROR(IF($E121="Yes","IPP",VLOOKUP($J121,'ELA Reading Logic'!$A$13:$K$19,VLOOKUP("September",'ELA Reading Logic'!$J$22:$K$31,2,FALSE),FALSE)),"Set Grade")</f>
        <v>Set Grade</v>
      </c>
      <c r="I121" s="96" t="str">
        <f>IF($E121="Yes","IPP",IFERROR(IF(AND(F121&gt;G121,F121&lt;H121),"0",(VLOOKUP(F121,'ELA Reading Logic'!$A$22:$B$48,2,FALSE))-(IF(VLOOKUP(F121,'ELA Reading Logic'!$A$22:$B$48,2,FALSE)&lt;=VLOOKUP(G121,'ELA Reading Logic'!$A$22:$B$48,2,FALSE),VLOOKUP(G121,'ELA Reading Logic'!$A$22:$B$48,2,FALSE),IF(VLOOKUP(F121,'ELA Reading Logic'!$A$22:$B$48,2,FALSE)&gt;=VLOOKUP(H121,'ELA Reading Logic'!$A$22:$B$48,2,FALSE),VLOOKUP(H121,'ELA Reading Logic'!$A$22:$B$48,2,FALSE),"No Score")))),"No Value"))</f>
        <v>No Value</v>
      </c>
      <c r="J121" s="178"/>
      <c r="K121" s="96"/>
      <c r="L121" s="96"/>
      <c r="M121" s="96"/>
      <c r="N121" s="96"/>
      <c r="O121" s="96"/>
      <c r="P121" s="105"/>
      <c r="Q121" s="92"/>
      <c r="R121" s="96" t="str">
        <f>IFERROR(IF($E121="Yes","IPP",VLOOKUP($J121,'ELA Reading Logic'!$A$3:$K$9,VLOOKUP(Q$1,'ELA Reading Logic'!$J$22:$K$31,2,FALSE),FALSE)),"Set Grade")</f>
        <v>Set Grade</v>
      </c>
      <c r="S121" s="96" t="str">
        <f>IFERROR(IF($E121="Yes","IPP",VLOOKUP($J121,'ELA Reading Logic'!$A$13:$K$19,VLOOKUP(Q$1,'ELA Reading Logic'!$J$22:$K$31,2,FALSE),FALSE)),"Set Grade")</f>
        <v>Set Grade</v>
      </c>
      <c r="T121" s="96" t="str">
        <f>IF($E121="Yes","IPP",IFERROR(IF(AND(Q121&gt;R121,Q121&lt;S121),"0",(VLOOKUP(Q121,'ELA Reading Logic'!$A$22:$B$48,2,FALSE))-(IF(VLOOKUP(Q121,'ELA Reading Logic'!$A$22:$B$48,2,FALSE)&lt;=VLOOKUP(R121,'ELA Reading Logic'!$A$22:$B$48,2,FALSE),VLOOKUP(R121,'ELA Reading Logic'!$A$22:$B$48,2,FALSE),IF(VLOOKUP(Q121,'ELA Reading Logic'!$A$22:$B$48,2,FALSE)&gt;=VLOOKUP(S121,'ELA Reading Logic'!$A$22:$B$48,2,FALSE),VLOOKUP(S121,'ELA Reading Logic'!$A$22:$B$48,2,FALSE),"No Score")))),"No Value"))</f>
        <v>No Value</v>
      </c>
      <c r="U121" s="96" t="str">
        <f>IFERROR(VLOOKUP(Q121,'ELA Reading Logic'!$A$22:$B$48,2,FALSE)-VLOOKUP($F121,'ELA Reading Logic'!$A$22:$B$48,2,FALSE),"No Value")</f>
        <v>No Value</v>
      </c>
      <c r="V121" s="92"/>
      <c r="W121" s="96" t="str">
        <f>IFERROR(IF($E121="Yes","IPP",VLOOKUP($J121,'ELA Reading Logic'!$A$3:$K$9,VLOOKUP(V$1,'ELA Reading Logic'!$J$22:$K$31,2,FALSE),FALSE)),"Set Grade")</f>
        <v>Set Grade</v>
      </c>
      <c r="X121" s="96" t="str">
        <f>IFERROR(IF($E121="Yes","IPP",VLOOKUP($J121,'ELA Reading Logic'!$A$13:$K$19,VLOOKUP(V$1,'ELA Reading Logic'!$J$22:$K$31,2,FALSE),FALSE)),"Set Grade")</f>
        <v>Set Grade</v>
      </c>
      <c r="Y121" s="96" t="str">
        <f>IF($E121="Yes","IPP",IFERROR(IF(AND(V121&gt;W121,V121&lt;X121),"0",(VLOOKUP(V121,'ELA Reading Logic'!$A$22:$B$48,2,FALSE))-(IF(VLOOKUP(V121,'ELA Reading Logic'!$A$22:$B$48,2,FALSE)&lt;=VLOOKUP(W121,'ELA Reading Logic'!$A$22:$B$48,2,FALSE),VLOOKUP(W121,'ELA Reading Logic'!$A$22:$B$48,2,FALSE),IF(VLOOKUP(V121,'ELA Reading Logic'!$A$22:$B$48,2,FALSE)&gt;=VLOOKUP(X121,'ELA Reading Logic'!$A$22:$B$48,2,FALSE),VLOOKUP(X121,'ELA Reading Logic'!$A$22:$B$48,2,FALSE),"No Score")))),"No Value"))</f>
        <v>No Value</v>
      </c>
      <c r="Z121" s="96" t="str">
        <f>IFERROR(VLOOKUP(V121,'ELA Reading Logic'!$A$22:$B$48,2,FALSE)-VLOOKUP($F121,'ELA Reading Logic'!$A$22:$B$48,2,FALSE),"No Value")</f>
        <v>No Value</v>
      </c>
      <c r="AA121" s="92"/>
      <c r="AB121" s="96" t="str">
        <f>IFERROR(IF($E121="Yes","IPP",VLOOKUP($J121,'ELA Reading Logic'!$A$3:$K$9,VLOOKUP(AA$1,'ELA Reading Logic'!$J$22:$K$31,2,FALSE),FALSE)),"Set Grade")</f>
        <v>Set Grade</v>
      </c>
      <c r="AC121" s="96" t="str">
        <f>IFERROR(IF($E121="Yes","IPP",VLOOKUP($J121,'ELA Reading Logic'!$A$13:$K$19,VLOOKUP(AA$1,'ELA Reading Logic'!$J$22:$K$31,2,FALSE),FALSE)),"Set Grade")</f>
        <v>Set Grade</v>
      </c>
      <c r="AD121" s="96" t="str">
        <f>IF($E121="Yes","IPP",IFERROR(IF(AND(AA121&gt;AB121,AA121&lt;AC121),"0",(VLOOKUP(AA121,'ELA Reading Logic'!$A$22:$B$48,2,FALSE))-(IF(VLOOKUP(AA121,'ELA Reading Logic'!$A$22:$B$48,2,FALSE)&lt;=VLOOKUP(AB121,'ELA Reading Logic'!$A$22:$B$48,2,FALSE),VLOOKUP(AB121,'ELA Reading Logic'!$A$22:$B$48,2,FALSE),IF(VLOOKUP(AA121,'ELA Reading Logic'!$A$22:$B$48,2,FALSE)&gt;=VLOOKUP(AC121,'ELA Reading Logic'!$A$22:$B$48,2,FALSE),VLOOKUP(AC121,'ELA Reading Logic'!$A$22:$B$48,2,FALSE),"No Score")))),"No Value"))</f>
        <v>No Value</v>
      </c>
      <c r="AE121" s="96" t="str">
        <f>IFERROR(VLOOKUP(AA121,'ELA Reading Logic'!$A$22:$B$48,2,FALSE)-VLOOKUP($F121,'ELA Reading Logic'!$A$22:$B$48,2,FALSE),"No Value")</f>
        <v>No Value</v>
      </c>
      <c r="AF121" s="92"/>
      <c r="AG121" s="96" t="str">
        <f>IFERROR(IF($E121="Yes","IPP",VLOOKUP($J121,'ELA Reading Logic'!$A$3:$K$9,VLOOKUP(AF$1,'ELA Reading Logic'!$J$22:$K$31,2,FALSE),FALSE)),"Set Grade")</f>
        <v>Set Grade</v>
      </c>
      <c r="AH121" s="96" t="str">
        <f>IFERROR(IF($E121="Yes","IPP",VLOOKUP($J121,'ELA Reading Logic'!$A$13:$K$19,VLOOKUP(AF$1,'ELA Reading Logic'!$J$22:$K$31,2,FALSE),FALSE)),"Set Grade")</f>
        <v>Set Grade</v>
      </c>
      <c r="AI121" s="96" t="str">
        <f>IF($E121="Yes","IPP",IFERROR(IF(AND(AF121&gt;AG121,AF121&lt;AH121),"0",(VLOOKUP(AF121,'ELA Reading Logic'!$A$22:$B$48,2,FALSE))-(IF(VLOOKUP(AF121,'ELA Reading Logic'!$A$22:$B$48,2,FALSE)&lt;=VLOOKUP(AG121,'ELA Reading Logic'!$A$22:$B$48,2,FALSE),VLOOKUP(AG121,'ELA Reading Logic'!$A$22:$B$48,2,FALSE),IF(VLOOKUP(AF121,'ELA Reading Logic'!$A$22:$B$48,2,FALSE)&gt;=VLOOKUP(AH121,'ELA Reading Logic'!$A$22:$B$48,2,FALSE),VLOOKUP(AH121,'ELA Reading Logic'!$A$22:$B$48,2,FALSE),"No Score")))),"No Value"))</f>
        <v>No Value</v>
      </c>
      <c r="AJ121" s="96" t="str">
        <f>IFERROR(VLOOKUP(AF121,'ELA Reading Logic'!$A$22:$B$48,2,FALSE)-VLOOKUP($F121,'ELA Reading Logic'!$A$22:$B$48,2,FALSE),"No Value")</f>
        <v>No Value</v>
      </c>
      <c r="AK121" s="92"/>
      <c r="AL121" s="96" t="str">
        <f>IFERROR(IF($E121="Yes","IPP",VLOOKUP($J121,'ELA Reading Logic'!$A$3:$K$9,VLOOKUP(AK$1,'ELA Reading Logic'!$J$22:$K$31,2,FALSE),FALSE)),"Set Grade")</f>
        <v>Set Grade</v>
      </c>
      <c r="AM121" s="96" t="str">
        <f>IFERROR(IF($E121="Yes","IPP",VLOOKUP($J121,'ELA Reading Logic'!$A$13:$K$19,VLOOKUP(AK$1,'ELA Reading Logic'!$J$22:$K$31,2,FALSE),FALSE)),"Set Grade")</f>
        <v>Set Grade</v>
      </c>
      <c r="AN121" s="96" t="str">
        <f>IF($E121="Yes","IPP",IFERROR(IF(AND(AK121&gt;AL121,AK121&lt;AM121),"0",(VLOOKUP(AK121,'ELA Reading Logic'!$A$22:$B$48,2,FALSE))-(IF(VLOOKUP(AK121,'ELA Reading Logic'!$A$22:$B$48,2,FALSE)&lt;=VLOOKUP(AL121,'ELA Reading Logic'!$A$22:$B$48,2,FALSE),VLOOKUP(AL121,'ELA Reading Logic'!$A$22:$B$48,2,FALSE),IF(VLOOKUP(AK121,'ELA Reading Logic'!$A$22:$B$48,2,FALSE)&gt;=VLOOKUP(AM121,'ELA Reading Logic'!$A$22:$B$48,2,FALSE),VLOOKUP(AM121,'ELA Reading Logic'!$A$22:$B$48,2,FALSE),"No Score")))),"No Value"))</f>
        <v>No Value</v>
      </c>
      <c r="AO121" s="96" t="str">
        <f>IFERROR(VLOOKUP(AK121,'ELA Reading Logic'!$A$22:$B$48,2,FALSE)-VLOOKUP($F121,'ELA Reading Logic'!$A$22:$B$48,2,FALSE),"No Value")</f>
        <v>No Value</v>
      </c>
      <c r="AP121" s="92"/>
      <c r="AQ121" s="96" t="str">
        <f>IFERROR(IF($E121="Yes","IPP",VLOOKUP($J121,'ELA Reading Logic'!$A$3:$K$9,VLOOKUP(AP$1,'ELA Reading Logic'!$J$22:$K$31,2,FALSE),FALSE)),"Set Grade")</f>
        <v>Set Grade</v>
      </c>
      <c r="AR121" s="96" t="str">
        <f>IFERROR(IF($E121="Yes","IPP",VLOOKUP($J121,'ELA Reading Logic'!$A$13:$K$19,VLOOKUP(AP$1,'ELA Reading Logic'!$J$22:$K$31,2,FALSE),FALSE)),"Set Grade")</f>
        <v>Set Grade</v>
      </c>
      <c r="AS121" s="96" t="str">
        <f>IF($E121="Yes","IPP",IFERROR(IF(AND(AP121&gt;AQ121,AP121&lt;AR121),"0",(VLOOKUP(AP121,'ELA Reading Logic'!$A$22:$B$48,2,FALSE))-(IF(VLOOKUP(AP121,'ELA Reading Logic'!$A$22:$B$48,2,FALSE)&lt;=VLOOKUP(AQ121,'ELA Reading Logic'!$A$22:$B$48,2,FALSE),VLOOKUP(AQ121,'ELA Reading Logic'!$A$22:$B$48,2,FALSE),IF(VLOOKUP(AP121,'ELA Reading Logic'!$A$22:$B$48,2,FALSE)&gt;=VLOOKUP(AR121,'ELA Reading Logic'!$A$22:$B$48,2,FALSE),VLOOKUP(AR121,'ELA Reading Logic'!$A$22:$B$48,2,FALSE),"No Score")))),"No Value"))</f>
        <v>No Value</v>
      </c>
      <c r="AT121" s="96" t="str">
        <f>IFERROR(VLOOKUP(AP121,'ELA Reading Logic'!$A$22:$B$48,2,FALSE)-VLOOKUP($F121,'ELA Reading Logic'!$A$22:$B$48,2,FALSE),"No Value")</f>
        <v>No Value</v>
      </c>
    </row>
    <row r="122" spans="1:46" ht="22.5" customHeight="1" x14ac:dyDescent="0.25">
      <c r="A122" s="174"/>
      <c r="B122" s="174"/>
      <c r="C122" s="174"/>
      <c r="D122" s="174"/>
      <c r="E122" s="175"/>
      <c r="F122" s="175"/>
      <c r="G122" s="177" t="str">
        <f>IFERROR(IF($E122="Yes","IPP",VLOOKUP($J122,'ELA Reading Logic'!$A$3:$K$9,VLOOKUP("September",'ELA Reading Logic'!$J$22:$K$31,2,FALSE),FALSE)),"Set Grade")</f>
        <v>Set Grade</v>
      </c>
      <c r="H122" s="177" t="str">
        <f>IFERROR(IF($E122="Yes","IPP",VLOOKUP($J122,'ELA Reading Logic'!$A$13:$K$19,VLOOKUP("September",'ELA Reading Logic'!$J$22:$K$31,2,FALSE),FALSE)),"Set Grade")</f>
        <v>Set Grade</v>
      </c>
      <c r="I122" s="96" t="str">
        <f>IF($E122="Yes","IPP",IFERROR(IF(AND(F122&gt;G122,F122&lt;H122),"0",(VLOOKUP(F122,'ELA Reading Logic'!$A$22:$B$48,2,FALSE))-(IF(VLOOKUP(F122,'ELA Reading Logic'!$A$22:$B$48,2,FALSE)&lt;=VLOOKUP(G122,'ELA Reading Logic'!$A$22:$B$48,2,FALSE),VLOOKUP(G122,'ELA Reading Logic'!$A$22:$B$48,2,FALSE),IF(VLOOKUP(F122,'ELA Reading Logic'!$A$22:$B$48,2,FALSE)&gt;=VLOOKUP(H122,'ELA Reading Logic'!$A$22:$B$48,2,FALSE),VLOOKUP(H122,'ELA Reading Logic'!$A$22:$B$48,2,FALSE),"No Score")))),"No Value"))</f>
        <v>No Value</v>
      </c>
      <c r="J122" s="178"/>
      <c r="K122" s="96"/>
      <c r="L122" s="96"/>
      <c r="M122" s="96"/>
      <c r="N122" s="96"/>
      <c r="O122" s="96"/>
      <c r="P122" s="105"/>
      <c r="Q122" s="92"/>
      <c r="R122" s="96" t="str">
        <f>IFERROR(IF($E122="Yes","IPP",VLOOKUP($J122,'ELA Reading Logic'!$A$3:$K$9,VLOOKUP(Q$1,'ELA Reading Logic'!$J$22:$K$31,2,FALSE),FALSE)),"Set Grade")</f>
        <v>Set Grade</v>
      </c>
      <c r="S122" s="96" t="str">
        <f>IFERROR(IF($E122="Yes","IPP",VLOOKUP($J122,'ELA Reading Logic'!$A$13:$K$19,VLOOKUP(Q$1,'ELA Reading Logic'!$J$22:$K$31,2,FALSE),FALSE)),"Set Grade")</f>
        <v>Set Grade</v>
      </c>
      <c r="T122" s="96" t="str">
        <f>IF($E122="Yes","IPP",IFERROR(IF(AND(Q122&gt;R122,Q122&lt;S122),"0",(VLOOKUP(Q122,'ELA Reading Logic'!$A$22:$B$48,2,FALSE))-(IF(VLOOKUP(Q122,'ELA Reading Logic'!$A$22:$B$48,2,FALSE)&lt;=VLOOKUP(R122,'ELA Reading Logic'!$A$22:$B$48,2,FALSE),VLOOKUP(R122,'ELA Reading Logic'!$A$22:$B$48,2,FALSE),IF(VLOOKUP(Q122,'ELA Reading Logic'!$A$22:$B$48,2,FALSE)&gt;=VLOOKUP(S122,'ELA Reading Logic'!$A$22:$B$48,2,FALSE),VLOOKUP(S122,'ELA Reading Logic'!$A$22:$B$48,2,FALSE),"No Score")))),"No Value"))</f>
        <v>No Value</v>
      </c>
      <c r="U122" s="96" t="str">
        <f>IFERROR(VLOOKUP(Q122,'ELA Reading Logic'!$A$22:$B$48,2,FALSE)-VLOOKUP($F122,'ELA Reading Logic'!$A$22:$B$48,2,FALSE),"No Value")</f>
        <v>No Value</v>
      </c>
      <c r="V122" s="92"/>
      <c r="W122" s="96" t="str">
        <f>IFERROR(IF($E122="Yes","IPP",VLOOKUP($J122,'ELA Reading Logic'!$A$3:$K$9,VLOOKUP(V$1,'ELA Reading Logic'!$J$22:$K$31,2,FALSE),FALSE)),"Set Grade")</f>
        <v>Set Grade</v>
      </c>
      <c r="X122" s="96" t="str">
        <f>IFERROR(IF($E122="Yes","IPP",VLOOKUP($J122,'ELA Reading Logic'!$A$13:$K$19,VLOOKUP(V$1,'ELA Reading Logic'!$J$22:$K$31,2,FALSE),FALSE)),"Set Grade")</f>
        <v>Set Grade</v>
      </c>
      <c r="Y122" s="96" t="str">
        <f>IF($E122="Yes","IPP",IFERROR(IF(AND(V122&gt;W122,V122&lt;X122),"0",(VLOOKUP(V122,'ELA Reading Logic'!$A$22:$B$48,2,FALSE))-(IF(VLOOKUP(V122,'ELA Reading Logic'!$A$22:$B$48,2,FALSE)&lt;=VLOOKUP(W122,'ELA Reading Logic'!$A$22:$B$48,2,FALSE),VLOOKUP(W122,'ELA Reading Logic'!$A$22:$B$48,2,FALSE),IF(VLOOKUP(V122,'ELA Reading Logic'!$A$22:$B$48,2,FALSE)&gt;=VLOOKUP(X122,'ELA Reading Logic'!$A$22:$B$48,2,FALSE),VLOOKUP(X122,'ELA Reading Logic'!$A$22:$B$48,2,FALSE),"No Score")))),"No Value"))</f>
        <v>No Value</v>
      </c>
      <c r="Z122" s="96" t="str">
        <f>IFERROR(VLOOKUP(V122,'ELA Reading Logic'!$A$22:$B$48,2,FALSE)-VLOOKUP($F122,'ELA Reading Logic'!$A$22:$B$48,2,FALSE),"No Value")</f>
        <v>No Value</v>
      </c>
      <c r="AA122" s="92"/>
      <c r="AB122" s="96" t="str">
        <f>IFERROR(IF($E122="Yes","IPP",VLOOKUP($J122,'ELA Reading Logic'!$A$3:$K$9,VLOOKUP(AA$1,'ELA Reading Logic'!$J$22:$K$31,2,FALSE),FALSE)),"Set Grade")</f>
        <v>Set Grade</v>
      </c>
      <c r="AC122" s="96" t="str">
        <f>IFERROR(IF($E122="Yes","IPP",VLOOKUP($J122,'ELA Reading Logic'!$A$13:$K$19,VLOOKUP(AA$1,'ELA Reading Logic'!$J$22:$K$31,2,FALSE),FALSE)),"Set Grade")</f>
        <v>Set Grade</v>
      </c>
      <c r="AD122" s="96" t="str">
        <f>IF($E122="Yes","IPP",IFERROR(IF(AND(AA122&gt;AB122,AA122&lt;AC122),"0",(VLOOKUP(AA122,'ELA Reading Logic'!$A$22:$B$48,2,FALSE))-(IF(VLOOKUP(AA122,'ELA Reading Logic'!$A$22:$B$48,2,FALSE)&lt;=VLOOKUP(AB122,'ELA Reading Logic'!$A$22:$B$48,2,FALSE),VLOOKUP(AB122,'ELA Reading Logic'!$A$22:$B$48,2,FALSE),IF(VLOOKUP(AA122,'ELA Reading Logic'!$A$22:$B$48,2,FALSE)&gt;=VLOOKUP(AC122,'ELA Reading Logic'!$A$22:$B$48,2,FALSE),VLOOKUP(AC122,'ELA Reading Logic'!$A$22:$B$48,2,FALSE),"No Score")))),"No Value"))</f>
        <v>No Value</v>
      </c>
      <c r="AE122" s="96" t="str">
        <f>IFERROR(VLOOKUP(AA122,'ELA Reading Logic'!$A$22:$B$48,2,FALSE)-VLOOKUP($F122,'ELA Reading Logic'!$A$22:$B$48,2,FALSE),"No Value")</f>
        <v>No Value</v>
      </c>
      <c r="AF122" s="92"/>
      <c r="AG122" s="96" t="str">
        <f>IFERROR(IF($E122="Yes","IPP",VLOOKUP($J122,'ELA Reading Logic'!$A$3:$K$9,VLOOKUP(AF$1,'ELA Reading Logic'!$J$22:$K$31,2,FALSE),FALSE)),"Set Grade")</f>
        <v>Set Grade</v>
      </c>
      <c r="AH122" s="96" t="str">
        <f>IFERROR(IF($E122="Yes","IPP",VLOOKUP($J122,'ELA Reading Logic'!$A$13:$K$19,VLOOKUP(AF$1,'ELA Reading Logic'!$J$22:$K$31,2,FALSE),FALSE)),"Set Grade")</f>
        <v>Set Grade</v>
      </c>
      <c r="AI122" s="96" t="str">
        <f>IF($E122="Yes","IPP",IFERROR(IF(AND(AF122&gt;AG122,AF122&lt;AH122),"0",(VLOOKUP(AF122,'ELA Reading Logic'!$A$22:$B$48,2,FALSE))-(IF(VLOOKUP(AF122,'ELA Reading Logic'!$A$22:$B$48,2,FALSE)&lt;=VLOOKUP(AG122,'ELA Reading Logic'!$A$22:$B$48,2,FALSE),VLOOKUP(AG122,'ELA Reading Logic'!$A$22:$B$48,2,FALSE),IF(VLOOKUP(AF122,'ELA Reading Logic'!$A$22:$B$48,2,FALSE)&gt;=VLOOKUP(AH122,'ELA Reading Logic'!$A$22:$B$48,2,FALSE),VLOOKUP(AH122,'ELA Reading Logic'!$A$22:$B$48,2,FALSE),"No Score")))),"No Value"))</f>
        <v>No Value</v>
      </c>
      <c r="AJ122" s="96" t="str">
        <f>IFERROR(VLOOKUP(AF122,'ELA Reading Logic'!$A$22:$B$48,2,FALSE)-VLOOKUP($F122,'ELA Reading Logic'!$A$22:$B$48,2,FALSE),"No Value")</f>
        <v>No Value</v>
      </c>
      <c r="AK122" s="92"/>
      <c r="AL122" s="96" t="str">
        <f>IFERROR(IF($E122="Yes","IPP",VLOOKUP($J122,'ELA Reading Logic'!$A$3:$K$9,VLOOKUP(AK$1,'ELA Reading Logic'!$J$22:$K$31,2,FALSE),FALSE)),"Set Grade")</f>
        <v>Set Grade</v>
      </c>
      <c r="AM122" s="96" t="str">
        <f>IFERROR(IF($E122="Yes","IPP",VLOOKUP($J122,'ELA Reading Logic'!$A$13:$K$19,VLOOKUP(AK$1,'ELA Reading Logic'!$J$22:$K$31,2,FALSE),FALSE)),"Set Grade")</f>
        <v>Set Grade</v>
      </c>
      <c r="AN122" s="96" t="str">
        <f>IF($E122="Yes","IPP",IFERROR(IF(AND(AK122&gt;AL122,AK122&lt;AM122),"0",(VLOOKUP(AK122,'ELA Reading Logic'!$A$22:$B$48,2,FALSE))-(IF(VLOOKUP(AK122,'ELA Reading Logic'!$A$22:$B$48,2,FALSE)&lt;=VLOOKUP(AL122,'ELA Reading Logic'!$A$22:$B$48,2,FALSE),VLOOKUP(AL122,'ELA Reading Logic'!$A$22:$B$48,2,FALSE),IF(VLOOKUP(AK122,'ELA Reading Logic'!$A$22:$B$48,2,FALSE)&gt;=VLOOKUP(AM122,'ELA Reading Logic'!$A$22:$B$48,2,FALSE),VLOOKUP(AM122,'ELA Reading Logic'!$A$22:$B$48,2,FALSE),"No Score")))),"No Value"))</f>
        <v>No Value</v>
      </c>
      <c r="AO122" s="96" t="str">
        <f>IFERROR(VLOOKUP(AK122,'ELA Reading Logic'!$A$22:$B$48,2,FALSE)-VLOOKUP($F122,'ELA Reading Logic'!$A$22:$B$48,2,FALSE),"No Value")</f>
        <v>No Value</v>
      </c>
      <c r="AP122" s="92"/>
      <c r="AQ122" s="96" t="str">
        <f>IFERROR(IF($E122="Yes","IPP",VLOOKUP($J122,'ELA Reading Logic'!$A$3:$K$9,VLOOKUP(AP$1,'ELA Reading Logic'!$J$22:$K$31,2,FALSE),FALSE)),"Set Grade")</f>
        <v>Set Grade</v>
      </c>
      <c r="AR122" s="96" t="str">
        <f>IFERROR(IF($E122="Yes","IPP",VLOOKUP($J122,'ELA Reading Logic'!$A$13:$K$19,VLOOKUP(AP$1,'ELA Reading Logic'!$J$22:$K$31,2,FALSE),FALSE)),"Set Grade")</f>
        <v>Set Grade</v>
      </c>
      <c r="AS122" s="96" t="str">
        <f>IF($E122="Yes","IPP",IFERROR(IF(AND(AP122&gt;AQ122,AP122&lt;AR122),"0",(VLOOKUP(AP122,'ELA Reading Logic'!$A$22:$B$48,2,FALSE))-(IF(VLOOKUP(AP122,'ELA Reading Logic'!$A$22:$B$48,2,FALSE)&lt;=VLOOKUP(AQ122,'ELA Reading Logic'!$A$22:$B$48,2,FALSE),VLOOKUP(AQ122,'ELA Reading Logic'!$A$22:$B$48,2,FALSE),IF(VLOOKUP(AP122,'ELA Reading Logic'!$A$22:$B$48,2,FALSE)&gt;=VLOOKUP(AR122,'ELA Reading Logic'!$A$22:$B$48,2,FALSE),VLOOKUP(AR122,'ELA Reading Logic'!$A$22:$B$48,2,FALSE),"No Score")))),"No Value"))</f>
        <v>No Value</v>
      </c>
      <c r="AT122" s="96" t="str">
        <f>IFERROR(VLOOKUP(AP122,'ELA Reading Logic'!$A$22:$B$48,2,FALSE)-VLOOKUP($F122,'ELA Reading Logic'!$A$22:$B$48,2,FALSE),"No Value")</f>
        <v>No Value</v>
      </c>
    </row>
    <row r="123" spans="1:46" ht="22.5" customHeight="1" x14ac:dyDescent="0.25">
      <c r="A123" s="176"/>
      <c r="B123" s="176"/>
      <c r="C123" s="176"/>
      <c r="D123" s="176"/>
      <c r="E123" s="175"/>
      <c r="F123" s="175"/>
      <c r="G123" s="177" t="str">
        <f>IFERROR(IF($E123="Yes","IPP",VLOOKUP($J123,'ELA Reading Logic'!$A$3:$K$9,VLOOKUP("September",'ELA Reading Logic'!$J$22:$K$31,2,FALSE),FALSE)),"Set Grade")</f>
        <v>Set Grade</v>
      </c>
      <c r="H123" s="177" t="str">
        <f>IFERROR(IF($E123="Yes","IPP",VLOOKUP($J123,'ELA Reading Logic'!$A$13:$K$19,VLOOKUP("September",'ELA Reading Logic'!$J$22:$K$31,2,FALSE),FALSE)),"Set Grade")</f>
        <v>Set Grade</v>
      </c>
      <c r="I123" s="96" t="str">
        <f>IF($E123="Yes","IPP",IFERROR(IF(AND(F123&gt;G123,F123&lt;H123),"0",(VLOOKUP(F123,'ELA Reading Logic'!$A$22:$B$48,2,FALSE))-(IF(VLOOKUP(F123,'ELA Reading Logic'!$A$22:$B$48,2,FALSE)&lt;=VLOOKUP(G123,'ELA Reading Logic'!$A$22:$B$48,2,FALSE),VLOOKUP(G123,'ELA Reading Logic'!$A$22:$B$48,2,FALSE),IF(VLOOKUP(F123,'ELA Reading Logic'!$A$22:$B$48,2,FALSE)&gt;=VLOOKUP(H123,'ELA Reading Logic'!$A$22:$B$48,2,FALSE),VLOOKUP(H123,'ELA Reading Logic'!$A$22:$B$48,2,FALSE),"No Score")))),"No Value"))</f>
        <v>No Value</v>
      </c>
      <c r="J123" s="178"/>
      <c r="K123" s="96"/>
      <c r="L123" s="96"/>
      <c r="M123" s="96"/>
      <c r="N123" s="96"/>
      <c r="O123" s="96"/>
      <c r="P123" s="105"/>
      <c r="Q123" s="92"/>
      <c r="R123" s="96" t="str">
        <f>IFERROR(IF($E123="Yes","IPP",VLOOKUP($J123,'ELA Reading Logic'!$A$3:$K$9,VLOOKUP(Q$1,'ELA Reading Logic'!$J$22:$K$31,2,FALSE),FALSE)),"Set Grade")</f>
        <v>Set Grade</v>
      </c>
      <c r="S123" s="96" t="str">
        <f>IFERROR(IF($E123="Yes","IPP",VLOOKUP($J123,'ELA Reading Logic'!$A$13:$K$19,VLOOKUP(Q$1,'ELA Reading Logic'!$J$22:$K$31,2,FALSE),FALSE)),"Set Grade")</f>
        <v>Set Grade</v>
      </c>
      <c r="T123" s="96" t="str">
        <f>IF($E123="Yes","IPP",IFERROR(IF(AND(Q123&gt;R123,Q123&lt;S123),"0",(VLOOKUP(Q123,'ELA Reading Logic'!$A$22:$B$48,2,FALSE))-(IF(VLOOKUP(Q123,'ELA Reading Logic'!$A$22:$B$48,2,FALSE)&lt;=VLOOKUP(R123,'ELA Reading Logic'!$A$22:$B$48,2,FALSE),VLOOKUP(R123,'ELA Reading Logic'!$A$22:$B$48,2,FALSE),IF(VLOOKUP(Q123,'ELA Reading Logic'!$A$22:$B$48,2,FALSE)&gt;=VLOOKUP(S123,'ELA Reading Logic'!$A$22:$B$48,2,FALSE),VLOOKUP(S123,'ELA Reading Logic'!$A$22:$B$48,2,FALSE),"No Score")))),"No Value"))</f>
        <v>No Value</v>
      </c>
      <c r="U123" s="96" t="str">
        <f>IFERROR(VLOOKUP(Q123,'ELA Reading Logic'!$A$22:$B$48,2,FALSE)-VLOOKUP($F123,'ELA Reading Logic'!$A$22:$B$48,2,FALSE),"No Value")</f>
        <v>No Value</v>
      </c>
      <c r="V123" s="92"/>
      <c r="W123" s="96" t="str">
        <f>IFERROR(IF($E123="Yes","IPP",VLOOKUP($J123,'ELA Reading Logic'!$A$3:$K$9,VLOOKUP(V$1,'ELA Reading Logic'!$J$22:$K$31,2,FALSE),FALSE)),"Set Grade")</f>
        <v>Set Grade</v>
      </c>
      <c r="X123" s="96" t="str">
        <f>IFERROR(IF($E123="Yes","IPP",VLOOKUP($J123,'ELA Reading Logic'!$A$13:$K$19,VLOOKUP(V$1,'ELA Reading Logic'!$J$22:$K$31,2,FALSE),FALSE)),"Set Grade")</f>
        <v>Set Grade</v>
      </c>
      <c r="Y123" s="96" t="str">
        <f>IF($E123="Yes","IPP",IFERROR(IF(AND(V123&gt;W123,V123&lt;X123),"0",(VLOOKUP(V123,'ELA Reading Logic'!$A$22:$B$48,2,FALSE))-(IF(VLOOKUP(V123,'ELA Reading Logic'!$A$22:$B$48,2,FALSE)&lt;=VLOOKUP(W123,'ELA Reading Logic'!$A$22:$B$48,2,FALSE),VLOOKUP(W123,'ELA Reading Logic'!$A$22:$B$48,2,FALSE),IF(VLOOKUP(V123,'ELA Reading Logic'!$A$22:$B$48,2,FALSE)&gt;=VLOOKUP(X123,'ELA Reading Logic'!$A$22:$B$48,2,FALSE),VLOOKUP(X123,'ELA Reading Logic'!$A$22:$B$48,2,FALSE),"No Score")))),"No Value"))</f>
        <v>No Value</v>
      </c>
      <c r="Z123" s="96" t="str">
        <f>IFERROR(VLOOKUP(V123,'ELA Reading Logic'!$A$22:$B$48,2,FALSE)-VLOOKUP($F123,'ELA Reading Logic'!$A$22:$B$48,2,FALSE),"No Value")</f>
        <v>No Value</v>
      </c>
      <c r="AA123" s="92"/>
      <c r="AB123" s="96" t="str">
        <f>IFERROR(IF($E123="Yes","IPP",VLOOKUP($J123,'ELA Reading Logic'!$A$3:$K$9,VLOOKUP(AA$1,'ELA Reading Logic'!$J$22:$K$31,2,FALSE),FALSE)),"Set Grade")</f>
        <v>Set Grade</v>
      </c>
      <c r="AC123" s="96" t="str">
        <f>IFERROR(IF($E123="Yes","IPP",VLOOKUP($J123,'ELA Reading Logic'!$A$13:$K$19,VLOOKUP(AA$1,'ELA Reading Logic'!$J$22:$K$31,2,FALSE),FALSE)),"Set Grade")</f>
        <v>Set Grade</v>
      </c>
      <c r="AD123" s="96" t="str">
        <f>IF($E123="Yes","IPP",IFERROR(IF(AND(AA123&gt;AB123,AA123&lt;AC123),"0",(VLOOKUP(AA123,'ELA Reading Logic'!$A$22:$B$48,2,FALSE))-(IF(VLOOKUP(AA123,'ELA Reading Logic'!$A$22:$B$48,2,FALSE)&lt;=VLOOKUP(AB123,'ELA Reading Logic'!$A$22:$B$48,2,FALSE),VLOOKUP(AB123,'ELA Reading Logic'!$A$22:$B$48,2,FALSE),IF(VLOOKUP(AA123,'ELA Reading Logic'!$A$22:$B$48,2,FALSE)&gt;=VLOOKUP(AC123,'ELA Reading Logic'!$A$22:$B$48,2,FALSE),VLOOKUP(AC123,'ELA Reading Logic'!$A$22:$B$48,2,FALSE),"No Score")))),"No Value"))</f>
        <v>No Value</v>
      </c>
      <c r="AE123" s="96" t="str">
        <f>IFERROR(VLOOKUP(AA123,'ELA Reading Logic'!$A$22:$B$48,2,FALSE)-VLOOKUP($F123,'ELA Reading Logic'!$A$22:$B$48,2,FALSE),"No Value")</f>
        <v>No Value</v>
      </c>
      <c r="AF123" s="92"/>
      <c r="AG123" s="96" t="str">
        <f>IFERROR(IF($E123="Yes","IPP",VLOOKUP($J123,'ELA Reading Logic'!$A$3:$K$9,VLOOKUP(AF$1,'ELA Reading Logic'!$J$22:$K$31,2,FALSE),FALSE)),"Set Grade")</f>
        <v>Set Grade</v>
      </c>
      <c r="AH123" s="96" t="str">
        <f>IFERROR(IF($E123="Yes","IPP",VLOOKUP($J123,'ELA Reading Logic'!$A$13:$K$19,VLOOKUP(AF$1,'ELA Reading Logic'!$J$22:$K$31,2,FALSE),FALSE)),"Set Grade")</f>
        <v>Set Grade</v>
      </c>
      <c r="AI123" s="96" t="str">
        <f>IF($E123="Yes","IPP",IFERROR(IF(AND(AF123&gt;AG123,AF123&lt;AH123),"0",(VLOOKUP(AF123,'ELA Reading Logic'!$A$22:$B$48,2,FALSE))-(IF(VLOOKUP(AF123,'ELA Reading Logic'!$A$22:$B$48,2,FALSE)&lt;=VLOOKUP(AG123,'ELA Reading Logic'!$A$22:$B$48,2,FALSE),VLOOKUP(AG123,'ELA Reading Logic'!$A$22:$B$48,2,FALSE),IF(VLOOKUP(AF123,'ELA Reading Logic'!$A$22:$B$48,2,FALSE)&gt;=VLOOKUP(AH123,'ELA Reading Logic'!$A$22:$B$48,2,FALSE),VLOOKUP(AH123,'ELA Reading Logic'!$A$22:$B$48,2,FALSE),"No Score")))),"No Value"))</f>
        <v>No Value</v>
      </c>
      <c r="AJ123" s="96" t="str">
        <f>IFERROR(VLOOKUP(AF123,'ELA Reading Logic'!$A$22:$B$48,2,FALSE)-VLOOKUP($F123,'ELA Reading Logic'!$A$22:$B$48,2,FALSE),"No Value")</f>
        <v>No Value</v>
      </c>
      <c r="AK123" s="92"/>
      <c r="AL123" s="96" t="str">
        <f>IFERROR(IF($E123="Yes","IPP",VLOOKUP($J123,'ELA Reading Logic'!$A$3:$K$9,VLOOKUP(AK$1,'ELA Reading Logic'!$J$22:$K$31,2,FALSE),FALSE)),"Set Grade")</f>
        <v>Set Grade</v>
      </c>
      <c r="AM123" s="96" t="str">
        <f>IFERROR(IF($E123="Yes","IPP",VLOOKUP($J123,'ELA Reading Logic'!$A$13:$K$19,VLOOKUP(AK$1,'ELA Reading Logic'!$J$22:$K$31,2,FALSE),FALSE)),"Set Grade")</f>
        <v>Set Grade</v>
      </c>
      <c r="AN123" s="96" t="str">
        <f>IF($E123="Yes","IPP",IFERROR(IF(AND(AK123&gt;AL123,AK123&lt;AM123),"0",(VLOOKUP(AK123,'ELA Reading Logic'!$A$22:$B$48,2,FALSE))-(IF(VLOOKUP(AK123,'ELA Reading Logic'!$A$22:$B$48,2,FALSE)&lt;=VLOOKUP(AL123,'ELA Reading Logic'!$A$22:$B$48,2,FALSE),VLOOKUP(AL123,'ELA Reading Logic'!$A$22:$B$48,2,FALSE),IF(VLOOKUP(AK123,'ELA Reading Logic'!$A$22:$B$48,2,FALSE)&gt;=VLOOKUP(AM123,'ELA Reading Logic'!$A$22:$B$48,2,FALSE),VLOOKUP(AM123,'ELA Reading Logic'!$A$22:$B$48,2,FALSE),"No Score")))),"No Value"))</f>
        <v>No Value</v>
      </c>
      <c r="AO123" s="96" t="str">
        <f>IFERROR(VLOOKUP(AK123,'ELA Reading Logic'!$A$22:$B$48,2,FALSE)-VLOOKUP($F123,'ELA Reading Logic'!$A$22:$B$48,2,FALSE),"No Value")</f>
        <v>No Value</v>
      </c>
      <c r="AP123" s="92"/>
      <c r="AQ123" s="96" t="str">
        <f>IFERROR(IF($E123="Yes","IPP",VLOOKUP($J123,'ELA Reading Logic'!$A$3:$K$9,VLOOKUP(AP$1,'ELA Reading Logic'!$J$22:$K$31,2,FALSE),FALSE)),"Set Grade")</f>
        <v>Set Grade</v>
      </c>
      <c r="AR123" s="96" t="str">
        <f>IFERROR(IF($E123="Yes","IPP",VLOOKUP($J123,'ELA Reading Logic'!$A$13:$K$19,VLOOKUP(AP$1,'ELA Reading Logic'!$J$22:$K$31,2,FALSE),FALSE)),"Set Grade")</f>
        <v>Set Grade</v>
      </c>
      <c r="AS123" s="96" t="str">
        <f>IF($E123="Yes","IPP",IFERROR(IF(AND(AP123&gt;AQ123,AP123&lt;AR123),"0",(VLOOKUP(AP123,'ELA Reading Logic'!$A$22:$B$48,2,FALSE))-(IF(VLOOKUP(AP123,'ELA Reading Logic'!$A$22:$B$48,2,FALSE)&lt;=VLOOKUP(AQ123,'ELA Reading Logic'!$A$22:$B$48,2,FALSE),VLOOKUP(AQ123,'ELA Reading Logic'!$A$22:$B$48,2,FALSE),IF(VLOOKUP(AP123,'ELA Reading Logic'!$A$22:$B$48,2,FALSE)&gt;=VLOOKUP(AR123,'ELA Reading Logic'!$A$22:$B$48,2,FALSE),VLOOKUP(AR123,'ELA Reading Logic'!$A$22:$B$48,2,FALSE),"No Score")))),"No Value"))</f>
        <v>No Value</v>
      </c>
      <c r="AT123" s="96" t="str">
        <f>IFERROR(VLOOKUP(AP123,'ELA Reading Logic'!$A$22:$B$48,2,FALSE)-VLOOKUP($F123,'ELA Reading Logic'!$A$22:$B$48,2,FALSE),"No Value")</f>
        <v>No Value</v>
      </c>
    </row>
    <row r="124" spans="1:46" ht="22.5" customHeight="1" x14ac:dyDescent="0.25">
      <c r="A124" s="174"/>
      <c r="B124" s="174"/>
      <c r="C124" s="174"/>
      <c r="D124" s="174"/>
      <c r="E124" s="175"/>
      <c r="F124" s="175"/>
      <c r="G124" s="177" t="str">
        <f>IFERROR(IF($E124="Yes","IPP",VLOOKUP($J124,'ELA Reading Logic'!$A$3:$K$9,VLOOKUP("September",'ELA Reading Logic'!$J$22:$K$31,2,FALSE),FALSE)),"Set Grade")</f>
        <v>Set Grade</v>
      </c>
      <c r="H124" s="177" t="str">
        <f>IFERROR(IF($E124="Yes","IPP",VLOOKUP($J124,'ELA Reading Logic'!$A$13:$K$19,VLOOKUP("September",'ELA Reading Logic'!$J$22:$K$31,2,FALSE),FALSE)),"Set Grade")</f>
        <v>Set Grade</v>
      </c>
      <c r="I124" s="96" t="str">
        <f>IF($E124="Yes","IPP",IFERROR(IF(AND(F124&gt;G124,F124&lt;H124),"0",(VLOOKUP(F124,'ELA Reading Logic'!$A$22:$B$48,2,FALSE))-(IF(VLOOKUP(F124,'ELA Reading Logic'!$A$22:$B$48,2,FALSE)&lt;=VLOOKUP(G124,'ELA Reading Logic'!$A$22:$B$48,2,FALSE),VLOOKUP(G124,'ELA Reading Logic'!$A$22:$B$48,2,FALSE),IF(VLOOKUP(F124,'ELA Reading Logic'!$A$22:$B$48,2,FALSE)&gt;=VLOOKUP(H124,'ELA Reading Logic'!$A$22:$B$48,2,FALSE),VLOOKUP(H124,'ELA Reading Logic'!$A$22:$B$48,2,FALSE),"No Score")))),"No Value"))</f>
        <v>No Value</v>
      </c>
      <c r="J124" s="178"/>
      <c r="K124" s="96"/>
      <c r="L124" s="96"/>
      <c r="M124" s="96"/>
      <c r="N124" s="96"/>
      <c r="O124" s="96"/>
      <c r="P124" s="105"/>
      <c r="Q124" s="92"/>
      <c r="R124" s="96" t="str">
        <f>IFERROR(IF($E124="Yes","IPP",VLOOKUP($J124,'ELA Reading Logic'!$A$3:$K$9,VLOOKUP(Q$1,'ELA Reading Logic'!$J$22:$K$31,2,FALSE),FALSE)),"Set Grade")</f>
        <v>Set Grade</v>
      </c>
      <c r="S124" s="96" t="str">
        <f>IFERROR(IF($E124="Yes","IPP",VLOOKUP($J124,'ELA Reading Logic'!$A$13:$K$19,VLOOKUP(Q$1,'ELA Reading Logic'!$J$22:$K$31,2,FALSE),FALSE)),"Set Grade")</f>
        <v>Set Grade</v>
      </c>
      <c r="T124" s="96" t="str">
        <f>IF($E124="Yes","IPP",IFERROR(IF(AND(Q124&gt;R124,Q124&lt;S124),"0",(VLOOKUP(Q124,'ELA Reading Logic'!$A$22:$B$48,2,FALSE))-(IF(VLOOKUP(Q124,'ELA Reading Logic'!$A$22:$B$48,2,FALSE)&lt;=VLOOKUP(R124,'ELA Reading Logic'!$A$22:$B$48,2,FALSE),VLOOKUP(R124,'ELA Reading Logic'!$A$22:$B$48,2,FALSE),IF(VLOOKUP(Q124,'ELA Reading Logic'!$A$22:$B$48,2,FALSE)&gt;=VLOOKUP(S124,'ELA Reading Logic'!$A$22:$B$48,2,FALSE),VLOOKUP(S124,'ELA Reading Logic'!$A$22:$B$48,2,FALSE),"No Score")))),"No Value"))</f>
        <v>No Value</v>
      </c>
      <c r="U124" s="96" t="str">
        <f>IFERROR(VLOOKUP(Q124,'ELA Reading Logic'!$A$22:$B$48,2,FALSE)-VLOOKUP($F124,'ELA Reading Logic'!$A$22:$B$48,2,FALSE),"No Value")</f>
        <v>No Value</v>
      </c>
      <c r="V124" s="92"/>
      <c r="W124" s="96" t="str">
        <f>IFERROR(IF($E124="Yes","IPP",VLOOKUP($J124,'ELA Reading Logic'!$A$3:$K$9,VLOOKUP(V$1,'ELA Reading Logic'!$J$22:$K$31,2,FALSE),FALSE)),"Set Grade")</f>
        <v>Set Grade</v>
      </c>
      <c r="X124" s="96" t="str">
        <f>IFERROR(IF($E124="Yes","IPP",VLOOKUP($J124,'ELA Reading Logic'!$A$13:$K$19,VLOOKUP(V$1,'ELA Reading Logic'!$J$22:$K$31,2,FALSE),FALSE)),"Set Grade")</f>
        <v>Set Grade</v>
      </c>
      <c r="Y124" s="96" t="str">
        <f>IF($E124="Yes","IPP",IFERROR(IF(AND(V124&gt;W124,V124&lt;X124),"0",(VLOOKUP(V124,'ELA Reading Logic'!$A$22:$B$48,2,FALSE))-(IF(VLOOKUP(V124,'ELA Reading Logic'!$A$22:$B$48,2,FALSE)&lt;=VLOOKUP(W124,'ELA Reading Logic'!$A$22:$B$48,2,FALSE),VLOOKUP(W124,'ELA Reading Logic'!$A$22:$B$48,2,FALSE),IF(VLOOKUP(V124,'ELA Reading Logic'!$A$22:$B$48,2,FALSE)&gt;=VLOOKUP(X124,'ELA Reading Logic'!$A$22:$B$48,2,FALSE),VLOOKUP(X124,'ELA Reading Logic'!$A$22:$B$48,2,FALSE),"No Score")))),"No Value"))</f>
        <v>No Value</v>
      </c>
      <c r="Z124" s="96" t="str">
        <f>IFERROR(VLOOKUP(V124,'ELA Reading Logic'!$A$22:$B$48,2,FALSE)-VLOOKUP($F124,'ELA Reading Logic'!$A$22:$B$48,2,FALSE),"No Value")</f>
        <v>No Value</v>
      </c>
      <c r="AA124" s="92"/>
      <c r="AB124" s="96" t="str">
        <f>IFERROR(IF($E124="Yes","IPP",VLOOKUP($J124,'ELA Reading Logic'!$A$3:$K$9,VLOOKUP(AA$1,'ELA Reading Logic'!$J$22:$K$31,2,FALSE),FALSE)),"Set Grade")</f>
        <v>Set Grade</v>
      </c>
      <c r="AC124" s="96" t="str">
        <f>IFERROR(IF($E124="Yes","IPP",VLOOKUP($J124,'ELA Reading Logic'!$A$13:$K$19,VLOOKUP(AA$1,'ELA Reading Logic'!$J$22:$K$31,2,FALSE),FALSE)),"Set Grade")</f>
        <v>Set Grade</v>
      </c>
      <c r="AD124" s="96" t="str">
        <f>IF($E124="Yes","IPP",IFERROR(IF(AND(AA124&gt;AB124,AA124&lt;AC124),"0",(VLOOKUP(AA124,'ELA Reading Logic'!$A$22:$B$48,2,FALSE))-(IF(VLOOKUP(AA124,'ELA Reading Logic'!$A$22:$B$48,2,FALSE)&lt;=VLOOKUP(AB124,'ELA Reading Logic'!$A$22:$B$48,2,FALSE),VLOOKUP(AB124,'ELA Reading Logic'!$A$22:$B$48,2,FALSE),IF(VLOOKUP(AA124,'ELA Reading Logic'!$A$22:$B$48,2,FALSE)&gt;=VLOOKUP(AC124,'ELA Reading Logic'!$A$22:$B$48,2,FALSE),VLOOKUP(AC124,'ELA Reading Logic'!$A$22:$B$48,2,FALSE),"No Score")))),"No Value"))</f>
        <v>No Value</v>
      </c>
      <c r="AE124" s="96" t="str">
        <f>IFERROR(VLOOKUP(AA124,'ELA Reading Logic'!$A$22:$B$48,2,FALSE)-VLOOKUP($F124,'ELA Reading Logic'!$A$22:$B$48,2,FALSE),"No Value")</f>
        <v>No Value</v>
      </c>
      <c r="AF124" s="92"/>
      <c r="AG124" s="96" t="str">
        <f>IFERROR(IF($E124="Yes","IPP",VLOOKUP($J124,'ELA Reading Logic'!$A$3:$K$9,VLOOKUP(AF$1,'ELA Reading Logic'!$J$22:$K$31,2,FALSE),FALSE)),"Set Grade")</f>
        <v>Set Grade</v>
      </c>
      <c r="AH124" s="96" t="str">
        <f>IFERROR(IF($E124="Yes","IPP",VLOOKUP($J124,'ELA Reading Logic'!$A$13:$K$19,VLOOKUP(AF$1,'ELA Reading Logic'!$J$22:$K$31,2,FALSE),FALSE)),"Set Grade")</f>
        <v>Set Grade</v>
      </c>
      <c r="AI124" s="96" t="str">
        <f>IF($E124="Yes","IPP",IFERROR(IF(AND(AF124&gt;AG124,AF124&lt;AH124),"0",(VLOOKUP(AF124,'ELA Reading Logic'!$A$22:$B$48,2,FALSE))-(IF(VLOOKUP(AF124,'ELA Reading Logic'!$A$22:$B$48,2,FALSE)&lt;=VLOOKUP(AG124,'ELA Reading Logic'!$A$22:$B$48,2,FALSE),VLOOKUP(AG124,'ELA Reading Logic'!$A$22:$B$48,2,FALSE),IF(VLOOKUP(AF124,'ELA Reading Logic'!$A$22:$B$48,2,FALSE)&gt;=VLOOKUP(AH124,'ELA Reading Logic'!$A$22:$B$48,2,FALSE),VLOOKUP(AH124,'ELA Reading Logic'!$A$22:$B$48,2,FALSE),"No Score")))),"No Value"))</f>
        <v>No Value</v>
      </c>
      <c r="AJ124" s="96" t="str">
        <f>IFERROR(VLOOKUP(AF124,'ELA Reading Logic'!$A$22:$B$48,2,FALSE)-VLOOKUP($F124,'ELA Reading Logic'!$A$22:$B$48,2,FALSE),"No Value")</f>
        <v>No Value</v>
      </c>
      <c r="AK124" s="92"/>
      <c r="AL124" s="96" t="str">
        <f>IFERROR(IF($E124="Yes","IPP",VLOOKUP($J124,'ELA Reading Logic'!$A$3:$K$9,VLOOKUP(AK$1,'ELA Reading Logic'!$J$22:$K$31,2,FALSE),FALSE)),"Set Grade")</f>
        <v>Set Grade</v>
      </c>
      <c r="AM124" s="96" t="str">
        <f>IFERROR(IF($E124="Yes","IPP",VLOOKUP($J124,'ELA Reading Logic'!$A$13:$K$19,VLOOKUP(AK$1,'ELA Reading Logic'!$J$22:$K$31,2,FALSE),FALSE)),"Set Grade")</f>
        <v>Set Grade</v>
      </c>
      <c r="AN124" s="96" t="str">
        <f>IF($E124="Yes","IPP",IFERROR(IF(AND(AK124&gt;AL124,AK124&lt;AM124),"0",(VLOOKUP(AK124,'ELA Reading Logic'!$A$22:$B$48,2,FALSE))-(IF(VLOOKUP(AK124,'ELA Reading Logic'!$A$22:$B$48,2,FALSE)&lt;=VLOOKUP(AL124,'ELA Reading Logic'!$A$22:$B$48,2,FALSE),VLOOKUP(AL124,'ELA Reading Logic'!$A$22:$B$48,2,FALSE),IF(VLOOKUP(AK124,'ELA Reading Logic'!$A$22:$B$48,2,FALSE)&gt;=VLOOKUP(AM124,'ELA Reading Logic'!$A$22:$B$48,2,FALSE),VLOOKUP(AM124,'ELA Reading Logic'!$A$22:$B$48,2,FALSE),"No Score")))),"No Value"))</f>
        <v>No Value</v>
      </c>
      <c r="AO124" s="96" t="str">
        <f>IFERROR(VLOOKUP(AK124,'ELA Reading Logic'!$A$22:$B$48,2,FALSE)-VLOOKUP($F124,'ELA Reading Logic'!$A$22:$B$48,2,FALSE),"No Value")</f>
        <v>No Value</v>
      </c>
      <c r="AP124" s="92"/>
      <c r="AQ124" s="96" t="str">
        <f>IFERROR(IF($E124="Yes","IPP",VLOOKUP($J124,'ELA Reading Logic'!$A$3:$K$9,VLOOKUP(AP$1,'ELA Reading Logic'!$J$22:$K$31,2,FALSE),FALSE)),"Set Grade")</f>
        <v>Set Grade</v>
      </c>
      <c r="AR124" s="96" t="str">
        <f>IFERROR(IF($E124="Yes","IPP",VLOOKUP($J124,'ELA Reading Logic'!$A$13:$K$19,VLOOKUP(AP$1,'ELA Reading Logic'!$J$22:$K$31,2,FALSE),FALSE)),"Set Grade")</f>
        <v>Set Grade</v>
      </c>
      <c r="AS124" s="96" t="str">
        <f>IF($E124="Yes","IPP",IFERROR(IF(AND(AP124&gt;AQ124,AP124&lt;AR124),"0",(VLOOKUP(AP124,'ELA Reading Logic'!$A$22:$B$48,2,FALSE))-(IF(VLOOKUP(AP124,'ELA Reading Logic'!$A$22:$B$48,2,FALSE)&lt;=VLOOKUP(AQ124,'ELA Reading Logic'!$A$22:$B$48,2,FALSE),VLOOKUP(AQ124,'ELA Reading Logic'!$A$22:$B$48,2,FALSE),IF(VLOOKUP(AP124,'ELA Reading Logic'!$A$22:$B$48,2,FALSE)&gt;=VLOOKUP(AR124,'ELA Reading Logic'!$A$22:$B$48,2,FALSE),VLOOKUP(AR124,'ELA Reading Logic'!$A$22:$B$48,2,FALSE),"No Score")))),"No Value"))</f>
        <v>No Value</v>
      </c>
      <c r="AT124" s="96" t="str">
        <f>IFERROR(VLOOKUP(AP124,'ELA Reading Logic'!$A$22:$B$48,2,FALSE)-VLOOKUP($F124,'ELA Reading Logic'!$A$22:$B$48,2,FALSE),"No Value")</f>
        <v>No Value</v>
      </c>
    </row>
    <row r="125" spans="1:46" ht="22.5" customHeight="1" x14ac:dyDescent="0.25">
      <c r="A125" s="176"/>
      <c r="B125" s="176"/>
      <c r="C125" s="176"/>
      <c r="D125" s="176"/>
      <c r="E125" s="175"/>
      <c r="F125" s="175"/>
      <c r="G125" s="177" t="str">
        <f>IFERROR(IF($E125="Yes","IPP",VLOOKUP($J125,'ELA Reading Logic'!$A$3:$K$9,VLOOKUP("September",'ELA Reading Logic'!$J$22:$K$31,2,FALSE),FALSE)),"Set Grade")</f>
        <v>Set Grade</v>
      </c>
      <c r="H125" s="177" t="str">
        <f>IFERROR(IF($E125="Yes","IPP",VLOOKUP($J125,'ELA Reading Logic'!$A$13:$K$19,VLOOKUP("September",'ELA Reading Logic'!$J$22:$K$31,2,FALSE),FALSE)),"Set Grade")</f>
        <v>Set Grade</v>
      </c>
      <c r="I125" s="96" t="str">
        <f>IF($E125="Yes","IPP",IFERROR(IF(AND(F125&gt;G125,F125&lt;H125),"0",(VLOOKUP(F125,'ELA Reading Logic'!$A$22:$B$48,2,FALSE))-(IF(VLOOKUP(F125,'ELA Reading Logic'!$A$22:$B$48,2,FALSE)&lt;=VLOOKUP(G125,'ELA Reading Logic'!$A$22:$B$48,2,FALSE),VLOOKUP(G125,'ELA Reading Logic'!$A$22:$B$48,2,FALSE),IF(VLOOKUP(F125,'ELA Reading Logic'!$A$22:$B$48,2,FALSE)&gt;=VLOOKUP(H125,'ELA Reading Logic'!$A$22:$B$48,2,FALSE),VLOOKUP(H125,'ELA Reading Logic'!$A$22:$B$48,2,FALSE),"No Score")))),"No Value"))</f>
        <v>No Value</v>
      </c>
      <c r="J125" s="178"/>
      <c r="K125" s="96"/>
      <c r="L125" s="96"/>
      <c r="M125" s="96"/>
      <c r="N125" s="96"/>
      <c r="O125" s="96"/>
      <c r="P125" s="105"/>
      <c r="Q125" s="92"/>
      <c r="R125" s="96" t="str">
        <f>IFERROR(IF($E125="Yes","IPP",VLOOKUP($J125,'ELA Reading Logic'!$A$3:$K$9,VLOOKUP(Q$1,'ELA Reading Logic'!$J$22:$K$31,2,FALSE),FALSE)),"Set Grade")</f>
        <v>Set Grade</v>
      </c>
      <c r="S125" s="96" t="str">
        <f>IFERROR(IF($E125="Yes","IPP",VLOOKUP($J125,'ELA Reading Logic'!$A$13:$K$19,VLOOKUP(Q$1,'ELA Reading Logic'!$J$22:$K$31,2,FALSE),FALSE)),"Set Grade")</f>
        <v>Set Grade</v>
      </c>
      <c r="T125" s="96" t="str">
        <f>IF($E125="Yes","IPP",IFERROR(IF(AND(Q125&gt;R125,Q125&lt;S125),"0",(VLOOKUP(Q125,'ELA Reading Logic'!$A$22:$B$48,2,FALSE))-(IF(VLOOKUP(Q125,'ELA Reading Logic'!$A$22:$B$48,2,FALSE)&lt;=VLOOKUP(R125,'ELA Reading Logic'!$A$22:$B$48,2,FALSE),VLOOKUP(R125,'ELA Reading Logic'!$A$22:$B$48,2,FALSE),IF(VLOOKUP(Q125,'ELA Reading Logic'!$A$22:$B$48,2,FALSE)&gt;=VLOOKUP(S125,'ELA Reading Logic'!$A$22:$B$48,2,FALSE),VLOOKUP(S125,'ELA Reading Logic'!$A$22:$B$48,2,FALSE),"No Score")))),"No Value"))</f>
        <v>No Value</v>
      </c>
      <c r="U125" s="96" t="str">
        <f>IFERROR(VLOOKUP(Q125,'ELA Reading Logic'!$A$22:$B$48,2,FALSE)-VLOOKUP($F125,'ELA Reading Logic'!$A$22:$B$48,2,FALSE),"No Value")</f>
        <v>No Value</v>
      </c>
      <c r="V125" s="92"/>
      <c r="W125" s="96" t="str">
        <f>IFERROR(IF($E125="Yes","IPP",VLOOKUP($J125,'ELA Reading Logic'!$A$3:$K$9,VLOOKUP(V$1,'ELA Reading Logic'!$J$22:$K$31,2,FALSE),FALSE)),"Set Grade")</f>
        <v>Set Grade</v>
      </c>
      <c r="X125" s="96" t="str">
        <f>IFERROR(IF($E125="Yes","IPP",VLOOKUP($J125,'ELA Reading Logic'!$A$13:$K$19,VLOOKUP(V$1,'ELA Reading Logic'!$J$22:$K$31,2,FALSE),FALSE)),"Set Grade")</f>
        <v>Set Grade</v>
      </c>
      <c r="Y125" s="96" t="str">
        <f>IF($E125="Yes","IPP",IFERROR(IF(AND(V125&gt;W125,V125&lt;X125),"0",(VLOOKUP(V125,'ELA Reading Logic'!$A$22:$B$48,2,FALSE))-(IF(VLOOKUP(V125,'ELA Reading Logic'!$A$22:$B$48,2,FALSE)&lt;=VLOOKUP(W125,'ELA Reading Logic'!$A$22:$B$48,2,FALSE),VLOOKUP(W125,'ELA Reading Logic'!$A$22:$B$48,2,FALSE),IF(VLOOKUP(V125,'ELA Reading Logic'!$A$22:$B$48,2,FALSE)&gt;=VLOOKUP(X125,'ELA Reading Logic'!$A$22:$B$48,2,FALSE),VLOOKUP(X125,'ELA Reading Logic'!$A$22:$B$48,2,FALSE),"No Score")))),"No Value"))</f>
        <v>No Value</v>
      </c>
      <c r="Z125" s="96" t="str">
        <f>IFERROR(VLOOKUP(V125,'ELA Reading Logic'!$A$22:$B$48,2,FALSE)-VLOOKUP($F125,'ELA Reading Logic'!$A$22:$B$48,2,FALSE),"No Value")</f>
        <v>No Value</v>
      </c>
      <c r="AA125" s="92"/>
      <c r="AB125" s="96" t="str">
        <f>IFERROR(IF($E125="Yes","IPP",VLOOKUP($J125,'ELA Reading Logic'!$A$3:$K$9,VLOOKUP(AA$1,'ELA Reading Logic'!$J$22:$K$31,2,FALSE),FALSE)),"Set Grade")</f>
        <v>Set Grade</v>
      </c>
      <c r="AC125" s="96" t="str">
        <f>IFERROR(IF($E125="Yes","IPP",VLOOKUP($J125,'ELA Reading Logic'!$A$13:$K$19,VLOOKUP(AA$1,'ELA Reading Logic'!$J$22:$K$31,2,FALSE),FALSE)),"Set Grade")</f>
        <v>Set Grade</v>
      </c>
      <c r="AD125" s="96" t="str">
        <f>IF($E125="Yes","IPP",IFERROR(IF(AND(AA125&gt;AB125,AA125&lt;AC125),"0",(VLOOKUP(AA125,'ELA Reading Logic'!$A$22:$B$48,2,FALSE))-(IF(VLOOKUP(AA125,'ELA Reading Logic'!$A$22:$B$48,2,FALSE)&lt;=VLOOKUP(AB125,'ELA Reading Logic'!$A$22:$B$48,2,FALSE),VLOOKUP(AB125,'ELA Reading Logic'!$A$22:$B$48,2,FALSE),IF(VLOOKUP(AA125,'ELA Reading Logic'!$A$22:$B$48,2,FALSE)&gt;=VLOOKUP(AC125,'ELA Reading Logic'!$A$22:$B$48,2,FALSE),VLOOKUP(AC125,'ELA Reading Logic'!$A$22:$B$48,2,FALSE),"No Score")))),"No Value"))</f>
        <v>No Value</v>
      </c>
      <c r="AE125" s="96" t="str">
        <f>IFERROR(VLOOKUP(AA125,'ELA Reading Logic'!$A$22:$B$48,2,FALSE)-VLOOKUP($F125,'ELA Reading Logic'!$A$22:$B$48,2,FALSE),"No Value")</f>
        <v>No Value</v>
      </c>
      <c r="AF125" s="92"/>
      <c r="AG125" s="96" t="str">
        <f>IFERROR(IF($E125="Yes","IPP",VLOOKUP($J125,'ELA Reading Logic'!$A$3:$K$9,VLOOKUP(AF$1,'ELA Reading Logic'!$J$22:$K$31,2,FALSE),FALSE)),"Set Grade")</f>
        <v>Set Grade</v>
      </c>
      <c r="AH125" s="96" t="str">
        <f>IFERROR(IF($E125="Yes","IPP",VLOOKUP($J125,'ELA Reading Logic'!$A$13:$K$19,VLOOKUP(AF$1,'ELA Reading Logic'!$J$22:$K$31,2,FALSE),FALSE)),"Set Grade")</f>
        <v>Set Grade</v>
      </c>
      <c r="AI125" s="96" t="str">
        <f>IF($E125="Yes","IPP",IFERROR(IF(AND(AF125&gt;AG125,AF125&lt;AH125),"0",(VLOOKUP(AF125,'ELA Reading Logic'!$A$22:$B$48,2,FALSE))-(IF(VLOOKUP(AF125,'ELA Reading Logic'!$A$22:$B$48,2,FALSE)&lt;=VLOOKUP(AG125,'ELA Reading Logic'!$A$22:$B$48,2,FALSE),VLOOKUP(AG125,'ELA Reading Logic'!$A$22:$B$48,2,FALSE),IF(VLOOKUP(AF125,'ELA Reading Logic'!$A$22:$B$48,2,FALSE)&gt;=VLOOKUP(AH125,'ELA Reading Logic'!$A$22:$B$48,2,FALSE),VLOOKUP(AH125,'ELA Reading Logic'!$A$22:$B$48,2,FALSE),"No Score")))),"No Value"))</f>
        <v>No Value</v>
      </c>
      <c r="AJ125" s="96" t="str">
        <f>IFERROR(VLOOKUP(AF125,'ELA Reading Logic'!$A$22:$B$48,2,FALSE)-VLOOKUP($F125,'ELA Reading Logic'!$A$22:$B$48,2,FALSE),"No Value")</f>
        <v>No Value</v>
      </c>
      <c r="AK125" s="92"/>
      <c r="AL125" s="96" t="str">
        <f>IFERROR(IF($E125="Yes","IPP",VLOOKUP($J125,'ELA Reading Logic'!$A$3:$K$9,VLOOKUP(AK$1,'ELA Reading Logic'!$J$22:$K$31,2,FALSE),FALSE)),"Set Grade")</f>
        <v>Set Grade</v>
      </c>
      <c r="AM125" s="96" t="str">
        <f>IFERROR(IF($E125="Yes","IPP",VLOOKUP($J125,'ELA Reading Logic'!$A$13:$K$19,VLOOKUP(AK$1,'ELA Reading Logic'!$J$22:$K$31,2,FALSE),FALSE)),"Set Grade")</f>
        <v>Set Grade</v>
      </c>
      <c r="AN125" s="96" t="str">
        <f>IF($E125="Yes","IPP",IFERROR(IF(AND(AK125&gt;AL125,AK125&lt;AM125),"0",(VLOOKUP(AK125,'ELA Reading Logic'!$A$22:$B$48,2,FALSE))-(IF(VLOOKUP(AK125,'ELA Reading Logic'!$A$22:$B$48,2,FALSE)&lt;=VLOOKUP(AL125,'ELA Reading Logic'!$A$22:$B$48,2,FALSE),VLOOKUP(AL125,'ELA Reading Logic'!$A$22:$B$48,2,FALSE),IF(VLOOKUP(AK125,'ELA Reading Logic'!$A$22:$B$48,2,FALSE)&gt;=VLOOKUP(AM125,'ELA Reading Logic'!$A$22:$B$48,2,FALSE),VLOOKUP(AM125,'ELA Reading Logic'!$A$22:$B$48,2,FALSE),"No Score")))),"No Value"))</f>
        <v>No Value</v>
      </c>
      <c r="AO125" s="96" t="str">
        <f>IFERROR(VLOOKUP(AK125,'ELA Reading Logic'!$A$22:$B$48,2,FALSE)-VLOOKUP($F125,'ELA Reading Logic'!$A$22:$B$48,2,FALSE),"No Value")</f>
        <v>No Value</v>
      </c>
      <c r="AP125" s="92"/>
      <c r="AQ125" s="96" t="str">
        <f>IFERROR(IF($E125="Yes","IPP",VLOOKUP($J125,'ELA Reading Logic'!$A$3:$K$9,VLOOKUP(AP$1,'ELA Reading Logic'!$J$22:$K$31,2,FALSE),FALSE)),"Set Grade")</f>
        <v>Set Grade</v>
      </c>
      <c r="AR125" s="96" t="str">
        <f>IFERROR(IF($E125="Yes","IPP",VLOOKUP($J125,'ELA Reading Logic'!$A$13:$K$19,VLOOKUP(AP$1,'ELA Reading Logic'!$J$22:$K$31,2,FALSE),FALSE)),"Set Grade")</f>
        <v>Set Grade</v>
      </c>
      <c r="AS125" s="96" t="str">
        <f>IF($E125="Yes","IPP",IFERROR(IF(AND(AP125&gt;AQ125,AP125&lt;AR125),"0",(VLOOKUP(AP125,'ELA Reading Logic'!$A$22:$B$48,2,FALSE))-(IF(VLOOKUP(AP125,'ELA Reading Logic'!$A$22:$B$48,2,FALSE)&lt;=VLOOKUP(AQ125,'ELA Reading Logic'!$A$22:$B$48,2,FALSE),VLOOKUP(AQ125,'ELA Reading Logic'!$A$22:$B$48,2,FALSE),IF(VLOOKUP(AP125,'ELA Reading Logic'!$A$22:$B$48,2,FALSE)&gt;=VLOOKUP(AR125,'ELA Reading Logic'!$A$22:$B$48,2,FALSE),VLOOKUP(AR125,'ELA Reading Logic'!$A$22:$B$48,2,FALSE),"No Score")))),"No Value"))</f>
        <v>No Value</v>
      </c>
      <c r="AT125" s="96" t="str">
        <f>IFERROR(VLOOKUP(AP125,'ELA Reading Logic'!$A$22:$B$48,2,FALSE)-VLOOKUP($F125,'ELA Reading Logic'!$A$22:$B$48,2,FALSE),"No Value")</f>
        <v>No Value</v>
      </c>
    </row>
    <row r="126" spans="1:46" ht="22.5" customHeight="1" x14ac:dyDescent="0.25">
      <c r="A126" s="174"/>
      <c r="B126" s="174"/>
      <c r="C126" s="174"/>
      <c r="D126" s="174"/>
      <c r="E126" s="175"/>
      <c r="F126" s="175"/>
      <c r="G126" s="177" t="str">
        <f>IFERROR(IF($E126="Yes","IPP",VLOOKUP($J126,'ELA Reading Logic'!$A$3:$K$9,VLOOKUP("September",'ELA Reading Logic'!$J$22:$K$31,2,FALSE),FALSE)),"Set Grade")</f>
        <v>Set Grade</v>
      </c>
      <c r="H126" s="177" t="str">
        <f>IFERROR(IF($E126="Yes","IPP",VLOOKUP($J126,'ELA Reading Logic'!$A$13:$K$19,VLOOKUP("September",'ELA Reading Logic'!$J$22:$K$31,2,FALSE),FALSE)),"Set Grade")</f>
        <v>Set Grade</v>
      </c>
      <c r="I126" s="96" t="str">
        <f>IF($E126="Yes","IPP",IFERROR(IF(AND(F126&gt;G126,F126&lt;H126),"0",(VLOOKUP(F126,'ELA Reading Logic'!$A$22:$B$48,2,FALSE))-(IF(VLOOKUP(F126,'ELA Reading Logic'!$A$22:$B$48,2,FALSE)&lt;=VLOOKUP(G126,'ELA Reading Logic'!$A$22:$B$48,2,FALSE),VLOOKUP(G126,'ELA Reading Logic'!$A$22:$B$48,2,FALSE),IF(VLOOKUP(F126,'ELA Reading Logic'!$A$22:$B$48,2,FALSE)&gt;=VLOOKUP(H126,'ELA Reading Logic'!$A$22:$B$48,2,FALSE),VLOOKUP(H126,'ELA Reading Logic'!$A$22:$B$48,2,FALSE),"No Score")))),"No Value"))</f>
        <v>No Value</v>
      </c>
      <c r="J126" s="178"/>
      <c r="K126" s="96"/>
      <c r="L126" s="96"/>
      <c r="M126" s="96"/>
      <c r="N126" s="96"/>
      <c r="O126" s="96"/>
      <c r="P126" s="105"/>
      <c r="Q126" s="92"/>
      <c r="R126" s="96" t="str">
        <f>IFERROR(IF($E126="Yes","IPP",VLOOKUP($J126,'ELA Reading Logic'!$A$3:$K$9,VLOOKUP(Q$1,'ELA Reading Logic'!$J$22:$K$31,2,FALSE),FALSE)),"Set Grade")</f>
        <v>Set Grade</v>
      </c>
      <c r="S126" s="96" t="str">
        <f>IFERROR(IF($E126="Yes","IPP",VLOOKUP($J126,'ELA Reading Logic'!$A$13:$K$19,VLOOKUP(Q$1,'ELA Reading Logic'!$J$22:$K$31,2,FALSE),FALSE)),"Set Grade")</f>
        <v>Set Grade</v>
      </c>
      <c r="T126" s="96" t="str">
        <f>IF($E126="Yes","IPP",IFERROR(IF(AND(Q126&gt;R126,Q126&lt;S126),"0",(VLOOKUP(Q126,'ELA Reading Logic'!$A$22:$B$48,2,FALSE))-(IF(VLOOKUP(Q126,'ELA Reading Logic'!$A$22:$B$48,2,FALSE)&lt;=VLOOKUP(R126,'ELA Reading Logic'!$A$22:$B$48,2,FALSE),VLOOKUP(R126,'ELA Reading Logic'!$A$22:$B$48,2,FALSE),IF(VLOOKUP(Q126,'ELA Reading Logic'!$A$22:$B$48,2,FALSE)&gt;=VLOOKUP(S126,'ELA Reading Logic'!$A$22:$B$48,2,FALSE),VLOOKUP(S126,'ELA Reading Logic'!$A$22:$B$48,2,FALSE),"No Score")))),"No Value"))</f>
        <v>No Value</v>
      </c>
      <c r="U126" s="96" t="str">
        <f>IFERROR(VLOOKUP(Q126,'ELA Reading Logic'!$A$22:$B$48,2,FALSE)-VLOOKUP($F126,'ELA Reading Logic'!$A$22:$B$48,2,FALSE),"No Value")</f>
        <v>No Value</v>
      </c>
      <c r="V126" s="92"/>
      <c r="W126" s="96" t="str">
        <f>IFERROR(IF($E126="Yes","IPP",VLOOKUP($J126,'ELA Reading Logic'!$A$3:$K$9,VLOOKUP(V$1,'ELA Reading Logic'!$J$22:$K$31,2,FALSE),FALSE)),"Set Grade")</f>
        <v>Set Grade</v>
      </c>
      <c r="X126" s="96" t="str">
        <f>IFERROR(IF($E126="Yes","IPP",VLOOKUP($J126,'ELA Reading Logic'!$A$13:$K$19,VLOOKUP(V$1,'ELA Reading Logic'!$J$22:$K$31,2,FALSE),FALSE)),"Set Grade")</f>
        <v>Set Grade</v>
      </c>
      <c r="Y126" s="96" t="str">
        <f>IF($E126="Yes","IPP",IFERROR(IF(AND(V126&gt;W126,V126&lt;X126),"0",(VLOOKUP(V126,'ELA Reading Logic'!$A$22:$B$48,2,FALSE))-(IF(VLOOKUP(V126,'ELA Reading Logic'!$A$22:$B$48,2,FALSE)&lt;=VLOOKUP(W126,'ELA Reading Logic'!$A$22:$B$48,2,FALSE),VLOOKUP(W126,'ELA Reading Logic'!$A$22:$B$48,2,FALSE),IF(VLOOKUP(V126,'ELA Reading Logic'!$A$22:$B$48,2,FALSE)&gt;=VLOOKUP(X126,'ELA Reading Logic'!$A$22:$B$48,2,FALSE),VLOOKUP(X126,'ELA Reading Logic'!$A$22:$B$48,2,FALSE),"No Score")))),"No Value"))</f>
        <v>No Value</v>
      </c>
      <c r="Z126" s="96" t="str">
        <f>IFERROR(VLOOKUP(V126,'ELA Reading Logic'!$A$22:$B$48,2,FALSE)-VLOOKUP($F126,'ELA Reading Logic'!$A$22:$B$48,2,FALSE),"No Value")</f>
        <v>No Value</v>
      </c>
      <c r="AA126" s="92"/>
      <c r="AB126" s="96" t="str">
        <f>IFERROR(IF($E126="Yes","IPP",VLOOKUP($J126,'ELA Reading Logic'!$A$3:$K$9,VLOOKUP(AA$1,'ELA Reading Logic'!$J$22:$K$31,2,FALSE),FALSE)),"Set Grade")</f>
        <v>Set Grade</v>
      </c>
      <c r="AC126" s="96" t="str">
        <f>IFERROR(IF($E126="Yes","IPP",VLOOKUP($J126,'ELA Reading Logic'!$A$13:$K$19,VLOOKUP(AA$1,'ELA Reading Logic'!$J$22:$K$31,2,FALSE),FALSE)),"Set Grade")</f>
        <v>Set Grade</v>
      </c>
      <c r="AD126" s="96" t="str">
        <f>IF($E126="Yes","IPP",IFERROR(IF(AND(AA126&gt;AB126,AA126&lt;AC126),"0",(VLOOKUP(AA126,'ELA Reading Logic'!$A$22:$B$48,2,FALSE))-(IF(VLOOKUP(AA126,'ELA Reading Logic'!$A$22:$B$48,2,FALSE)&lt;=VLOOKUP(AB126,'ELA Reading Logic'!$A$22:$B$48,2,FALSE),VLOOKUP(AB126,'ELA Reading Logic'!$A$22:$B$48,2,FALSE),IF(VLOOKUP(AA126,'ELA Reading Logic'!$A$22:$B$48,2,FALSE)&gt;=VLOOKUP(AC126,'ELA Reading Logic'!$A$22:$B$48,2,FALSE),VLOOKUP(AC126,'ELA Reading Logic'!$A$22:$B$48,2,FALSE),"No Score")))),"No Value"))</f>
        <v>No Value</v>
      </c>
      <c r="AE126" s="96" t="str">
        <f>IFERROR(VLOOKUP(AA126,'ELA Reading Logic'!$A$22:$B$48,2,FALSE)-VLOOKUP($F126,'ELA Reading Logic'!$A$22:$B$48,2,FALSE),"No Value")</f>
        <v>No Value</v>
      </c>
      <c r="AF126" s="92"/>
      <c r="AG126" s="96" t="str">
        <f>IFERROR(IF($E126="Yes","IPP",VLOOKUP($J126,'ELA Reading Logic'!$A$3:$K$9,VLOOKUP(AF$1,'ELA Reading Logic'!$J$22:$K$31,2,FALSE),FALSE)),"Set Grade")</f>
        <v>Set Grade</v>
      </c>
      <c r="AH126" s="96" t="str">
        <f>IFERROR(IF($E126="Yes","IPP",VLOOKUP($J126,'ELA Reading Logic'!$A$13:$K$19,VLOOKUP(AF$1,'ELA Reading Logic'!$J$22:$K$31,2,FALSE),FALSE)),"Set Grade")</f>
        <v>Set Grade</v>
      </c>
      <c r="AI126" s="96" t="str">
        <f>IF($E126="Yes","IPP",IFERROR(IF(AND(AF126&gt;AG126,AF126&lt;AH126),"0",(VLOOKUP(AF126,'ELA Reading Logic'!$A$22:$B$48,2,FALSE))-(IF(VLOOKUP(AF126,'ELA Reading Logic'!$A$22:$B$48,2,FALSE)&lt;=VLOOKUP(AG126,'ELA Reading Logic'!$A$22:$B$48,2,FALSE),VLOOKUP(AG126,'ELA Reading Logic'!$A$22:$B$48,2,FALSE),IF(VLOOKUP(AF126,'ELA Reading Logic'!$A$22:$B$48,2,FALSE)&gt;=VLOOKUP(AH126,'ELA Reading Logic'!$A$22:$B$48,2,FALSE),VLOOKUP(AH126,'ELA Reading Logic'!$A$22:$B$48,2,FALSE),"No Score")))),"No Value"))</f>
        <v>No Value</v>
      </c>
      <c r="AJ126" s="96" t="str">
        <f>IFERROR(VLOOKUP(AF126,'ELA Reading Logic'!$A$22:$B$48,2,FALSE)-VLOOKUP($F126,'ELA Reading Logic'!$A$22:$B$48,2,FALSE),"No Value")</f>
        <v>No Value</v>
      </c>
      <c r="AK126" s="92"/>
      <c r="AL126" s="96" t="str">
        <f>IFERROR(IF($E126="Yes","IPP",VLOOKUP($J126,'ELA Reading Logic'!$A$3:$K$9,VLOOKUP(AK$1,'ELA Reading Logic'!$J$22:$K$31,2,FALSE),FALSE)),"Set Grade")</f>
        <v>Set Grade</v>
      </c>
      <c r="AM126" s="96" t="str">
        <f>IFERROR(IF($E126="Yes","IPP",VLOOKUP($J126,'ELA Reading Logic'!$A$13:$K$19,VLOOKUP(AK$1,'ELA Reading Logic'!$J$22:$K$31,2,FALSE),FALSE)),"Set Grade")</f>
        <v>Set Grade</v>
      </c>
      <c r="AN126" s="96" t="str">
        <f>IF($E126="Yes","IPP",IFERROR(IF(AND(AK126&gt;AL126,AK126&lt;AM126),"0",(VLOOKUP(AK126,'ELA Reading Logic'!$A$22:$B$48,2,FALSE))-(IF(VLOOKUP(AK126,'ELA Reading Logic'!$A$22:$B$48,2,FALSE)&lt;=VLOOKUP(AL126,'ELA Reading Logic'!$A$22:$B$48,2,FALSE),VLOOKUP(AL126,'ELA Reading Logic'!$A$22:$B$48,2,FALSE),IF(VLOOKUP(AK126,'ELA Reading Logic'!$A$22:$B$48,2,FALSE)&gt;=VLOOKUP(AM126,'ELA Reading Logic'!$A$22:$B$48,2,FALSE),VLOOKUP(AM126,'ELA Reading Logic'!$A$22:$B$48,2,FALSE),"No Score")))),"No Value"))</f>
        <v>No Value</v>
      </c>
      <c r="AO126" s="96" t="str">
        <f>IFERROR(VLOOKUP(AK126,'ELA Reading Logic'!$A$22:$B$48,2,FALSE)-VLOOKUP($F126,'ELA Reading Logic'!$A$22:$B$48,2,FALSE),"No Value")</f>
        <v>No Value</v>
      </c>
      <c r="AP126" s="92"/>
      <c r="AQ126" s="96" t="str">
        <f>IFERROR(IF($E126="Yes","IPP",VLOOKUP($J126,'ELA Reading Logic'!$A$3:$K$9,VLOOKUP(AP$1,'ELA Reading Logic'!$J$22:$K$31,2,FALSE),FALSE)),"Set Grade")</f>
        <v>Set Grade</v>
      </c>
      <c r="AR126" s="96" t="str">
        <f>IFERROR(IF($E126="Yes","IPP",VLOOKUP($J126,'ELA Reading Logic'!$A$13:$K$19,VLOOKUP(AP$1,'ELA Reading Logic'!$J$22:$K$31,2,FALSE),FALSE)),"Set Grade")</f>
        <v>Set Grade</v>
      </c>
      <c r="AS126" s="96" t="str">
        <f>IF($E126="Yes","IPP",IFERROR(IF(AND(AP126&gt;AQ126,AP126&lt;AR126),"0",(VLOOKUP(AP126,'ELA Reading Logic'!$A$22:$B$48,2,FALSE))-(IF(VLOOKUP(AP126,'ELA Reading Logic'!$A$22:$B$48,2,FALSE)&lt;=VLOOKUP(AQ126,'ELA Reading Logic'!$A$22:$B$48,2,FALSE),VLOOKUP(AQ126,'ELA Reading Logic'!$A$22:$B$48,2,FALSE),IF(VLOOKUP(AP126,'ELA Reading Logic'!$A$22:$B$48,2,FALSE)&gt;=VLOOKUP(AR126,'ELA Reading Logic'!$A$22:$B$48,2,FALSE),VLOOKUP(AR126,'ELA Reading Logic'!$A$22:$B$48,2,FALSE),"No Score")))),"No Value"))</f>
        <v>No Value</v>
      </c>
      <c r="AT126" s="96" t="str">
        <f>IFERROR(VLOOKUP(AP126,'ELA Reading Logic'!$A$22:$B$48,2,FALSE)-VLOOKUP($F126,'ELA Reading Logic'!$A$22:$B$48,2,FALSE),"No Value")</f>
        <v>No Value</v>
      </c>
    </row>
    <row r="127" spans="1:46" ht="22.5" customHeight="1" x14ac:dyDescent="0.25">
      <c r="A127" s="176"/>
      <c r="B127" s="176"/>
      <c r="C127" s="176"/>
      <c r="D127" s="176"/>
      <c r="E127" s="175"/>
      <c r="F127" s="175"/>
      <c r="G127" s="177" t="str">
        <f>IFERROR(IF($E127="Yes","IPP",VLOOKUP($J127,'ELA Reading Logic'!$A$3:$K$9,VLOOKUP("September",'ELA Reading Logic'!$J$22:$K$31,2,FALSE),FALSE)),"Set Grade")</f>
        <v>Set Grade</v>
      </c>
      <c r="H127" s="177" t="str">
        <f>IFERROR(IF($E127="Yes","IPP",VLOOKUP($J127,'ELA Reading Logic'!$A$13:$K$19,VLOOKUP("September",'ELA Reading Logic'!$J$22:$K$31,2,FALSE),FALSE)),"Set Grade")</f>
        <v>Set Grade</v>
      </c>
      <c r="I127" s="96" t="str">
        <f>IF($E127="Yes","IPP",IFERROR(IF(AND(F127&gt;G127,F127&lt;H127),"0",(VLOOKUP(F127,'ELA Reading Logic'!$A$22:$B$48,2,FALSE))-(IF(VLOOKUP(F127,'ELA Reading Logic'!$A$22:$B$48,2,FALSE)&lt;=VLOOKUP(G127,'ELA Reading Logic'!$A$22:$B$48,2,FALSE),VLOOKUP(G127,'ELA Reading Logic'!$A$22:$B$48,2,FALSE),IF(VLOOKUP(F127,'ELA Reading Logic'!$A$22:$B$48,2,FALSE)&gt;=VLOOKUP(H127,'ELA Reading Logic'!$A$22:$B$48,2,FALSE),VLOOKUP(H127,'ELA Reading Logic'!$A$22:$B$48,2,FALSE),"No Score")))),"No Value"))</f>
        <v>No Value</v>
      </c>
      <c r="J127" s="178"/>
      <c r="K127" s="96"/>
      <c r="L127" s="96"/>
      <c r="M127" s="96"/>
      <c r="N127" s="96"/>
      <c r="O127" s="96"/>
      <c r="P127" s="105"/>
      <c r="Q127" s="92"/>
      <c r="R127" s="96" t="str">
        <f>IFERROR(IF($E127="Yes","IPP",VLOOKUP($J127,'ELA Reading Logic'!$A$3:$K$9,VLOOKUP(Q$1,'ELA Reading Logic'!$J$22:$K$31,2,FALSE),FALSE)),"Set Grade")</f>
        <v>Set Grade</v>
      </c>
      <c r="S127" s="96" t="str">
        <f>IFERROR(IF($E127="Yes","IPP",VLOOKUP($J127,'ELA Reading Logic'!$A$13:$K$19,VLOOKUP(Q$1,'ELA Reading Logic'!$J$22:$K$31,2,FALSE),FALSE)),"Set Grade")</f>
        <v>Set Grade</v>
      </c>
      <c r="T127" s="96" t="str">
        <f>IF($E127="Yes","IPP",IFERROR(IF(AND(Q127&gt;R127,Q127&lt;S127),"0",(VLOOKUP(Q127,'ELA Reading Logic'!$A$22:$B$48,2,FALSE))-(IF(VLOOKUP(Q127,'ELA Reading Logic'!$A$22:$B$48,2,FALSE)&lt;=VLOOKUP(R127,'ELA Reading Logic'!$A$22:$B$48,2,FALSE),VLOOKUP(R127,'ELA Reading Logic'!$A$22:$B$48,2,FALSE),IF(VLOOKUP(Q127,'ELA Reading Logic'!$A$22:$B$48,2,FALSE)&gt;=VLOOKUP(S127,'ELA Reading Logic'!$A$22:$B$48,2,FALSE),VLOOKUP(S127,'ELA Reading Logic'!$A$22:$B$48,2,FALSE),"No Score")))),"No Value"))</f>
        <v>No Value</v>
      </c>
      <c r="U127" s="96" t="str">
        <f>IFERROR(VLOOKUP(Q127,'ELA Reading Logic'!$A$22:$B$48,2,FALSE)-VLOOKUP($F127,'ELA Reading Logic'!$A$22:$B$48,2,FALSE),"No Value")</f>
        <v>No Value</v>
      </c>
      <c r="V127" s="92"/>
      <c r="W127" s="96" t="str">
        <f>IFERROR(IF($E127="Yes","IPP",VLOOKUP($J127,'ELA Reading Logic'!$A$3:$K$9,VLOOKUP(V$1,'ELA Reading Logic'!$J$22:$K$31,2,FALSE),FALSE)),"Set Grade")</f>
        <v>Set Grade</v>
      </c>
      <c r="X127" s="96" t="str">
        <f>IFERROR(IF($E127="Yes","IPP",VLOOKUP($J127,'ELA Reading Logic'!$A$13:$K$19,VLOOKUP(V$1,'ELA Reading Logic'!$J$22:$K$31,2,FALSE),FALSE)),"Set Grade")</f>
        <v>Set Grade</v>
      </c>
      <c r="Y127" s="96" t="str">
        <f>IF($E127="Yes","IPP",IFERROR(IF(AND(V127&gt;W127,V127&lt;X127),"0",(VLOOKUP(V127,'ELA Reading Logic'!$A$22:$B$48,2,FALSE))-(IF(VLOOKUP(V127,'ELA Reading Logic'!$A$22:$B$48,2,FALSE)&lt;=VLOOKUP(W127,'ELA Reading Logic'!$A$22:$B$48,2,FALSE),VLOOKUP(W127,'ELA Reading Logic'!$A$22:$B$48,2,FALSE),IF(VLOOKUP(V127,'ELA Reading Logic'!$A$22:$B$48,2,FALSE)&gt;=VLOOKUP(X127,'ELA Reading Logic'!$A$22:$B$48,2,FALSE),VLOOKUP(X127,'ELA Reading Logic'!$A$22:$B$48,2,FALSE),"No Score")))),"No Value"))</f>
        <v>No Value</v>
      </c>
      <c r="Z127" s="96" t="str">
        <f>IFERROR(VLOOKUP(V127,'ELA Reading Logic'!$A$22:$B$48,2,FALSE)-VLOOKUP($F127,'ELA Reading Logic'!$A$22:$B$48,2,FALSE),"No Value")</f>
        <v>No Value</v>
      </c>
      <c r="AA127" s="92"/>
      <c r="AB127" s="96" t="str">
        <f>IFERROR(IF($E127="Yes","IPP",VLOOKUP($J127,'ELA Reading Logic'!$A$3:$K$9,VLOOKUP(AA$1,'ELA Reading Logic'!$J$22:$K$31,2,FALSE),FALSE)),"Set Grade")</f>
        <v>Set Grade</v>
      </c>
      <c r="AC127" s="96" t="str">
        <f>IFERROR(IF($E127="Yes","IPP",VLOOKUP($J127,'ELA Reading Logic'!$A$13:$K$19,VLOOKUP(AA$1,'ELA Reading Logic'!$J$22:$K$31,2,FALSE),FALSE)),"Set Grade")</f>
        <v>Set Grade</v>
      </c>
      <c r="AD127" s="96" t="str">
        <f>IF($E127="Yes","IPP",IFERROR(IF(AND(AA127&gt;AB127,AA127&lt;AC127),"0",(VLOOKUP(AA127,'ELA Reading Logic'!$A$22:$B$48,2,FALSE))-(IF(VLOOKUP(AA127,'ELA Reading Logic'!$A$22:$B$48,2,FALSE)&lt;=VLOOKUP(AB127,'ELA Reading Logic'!$A$22:$B$48,2,FALSE),VLOOKUP(AB127,'ELA Reading Logic'!$A$22:$B$48,2,FALSE),IF(VLOOKUP(AA127,'ELA Reading Logic'!$A$22:$B$48,2,FALSE)&gt;=VLOOKUP(AC127,'ELA Reading Logic'!$A$22:$B$48,2,FALSE),VLOOKUP(AC127,'ELA Reading Logic'!$A$22:$B$48,2,FALSE),"No Score")))),"No Value"))</f>
        <v>No Value</v>
      </c>
      <c r="AE127" s="96" t="str">
        <f>IFERROR(VLOOKUP(AA127,'ELA Reading Logic'!$A$22:$B$48,2,FALSE)-VLOOKUP($F127,'ELA Reading Logic'!$A$22:$B$48,2,FALSE),"No Value")</f>
        <v>No Value</v>
      </c>
      <c r="AF127" s="92"/>
      <c r="AG127" s="96" t="str">
        <f>IFERROR(IF($E127="Yes","IPP",VLOOKUP($J127,'ELA Reading Logic'!$A$3:$K$9,VLOOKUP(AF$1,'ELA Reading Logic'!$J$22:$K$31,2,FALSE),FALSE)),"Set Grade")</f>
        <v>Set Grade</v>
      </c>
      <c r="AH127" s="96" t="str">
        <f>IFERROR(IF($E127="Yes","IPP",VLOOKUP($J127,'ELA Reading Logic'!$A$13:$K$19,VLOOKUP(AF$1,'ELA Reading Logic'!$J$22:$K$31,2,FALSE),FALSE)),"Set Grade")</f>
        <v>Set Grade</v>
      </c>
      <c r="AI127" s="96" t="str">
        <f>IF($E127="Yes","IPP",IFERROR(IF(AND(AF127&gt;AG127,AF127&lt;AH127),"0",(VLOOKUP(AF127,'ELA Reading Logic'!$A$22:$B$48,2,FALSE))-(IF(VLOOKUP(AF127,'ELA Reading Logic'!$A$22:$B$48,2,FALSE)&lt;=VLOOKUP(AG127,'ELA Reading Logic'!$A$22:$B$48,2,FALSE),VLOOKUP(AG127,'ELA Reading Logic'!$A$22:$B$48,2,FALSE),IF(VLOOKUP(AF127,'ELA Reading Logic'!$A$22:$B$48,2,FALSE)&gt;=VLOOKUP(AH127,'ELA Reading Logic'!$A$22:$B$48,2,FALSE),VLOOKUP(AH127,'ELA Reading Logic'!$A$22:$B$48,2,FALSE),"No Score")))),"No Value"))</f>
        <v>No Value</v>
      </c>
      <c r="AJ127" s="96" t="str">
        <f>IFERROR(VLOOKUP(AF127,'ELA Reading Logic'!$A$22:$B$48,2,FALSE)-VLOOKUP($F127,'ELA Reading Logic'!$A$22:$B$48,2,FALSE),"No Value")</f>
        <v>No Value</v>
      </c>
      <c r="AK127" s="92"/>
      <c r="AL127" s="96" t="str">
        <f>IFERROR(IF($E127="Yes","IPP",VLOOKUP($J127,'ELA Reading Logic'!$A$3:$K$9,VLOOKUP(AK$1,'ELA Reading Logic'!$J$22:$K$31,2,FALSE),FALSE)),"Set Grade")</f>
        <v>Set Grade</v>
      </c>
      <c r="AM127" s="96" t="str">
        <f>IFERROR(IF($E127="Yes","IPP",VLOOKUP($J127,'ELA Reading Logic'!$A$13:$K$19,VLOOKUP(AK$1,'ELA Reading Logic'!$J$22:$K$31,2,FALSE),FALSE)),"Set Grade")</f>
        <v>Set Grade</v>
      </c>
      <c r="AN127" s="96" t="str">
        <f>IF($E127="Yes","IPP",IFERROR(IF(AND(AK127&gt;AL127,AK127&lt;AM127),"0",(VLOOKUP(AK127,'ELA Reading Logic'!$A$22:$B$48,2,FALSE))-(IF(VLOOKUP(AK127,'ELA Reading Logic'!$A$22:$B$48,2,FALSE)&lt;=VLOOKUP(AL127,'ELA Reading Logic'!$A$22:$B$48,2,FALSE),VLOOKUP(AL127,'ELA Reading Logic'!$A$22:$B$48,2,FALSE),IF(VLOOKUP(AK127,'ELA Reading Logic'!$A$22:$B$48,2,FALSE)&gt;=VLOOKUP(AM127,'ELA Reading Logic'!$A$22:$B$48,2,FALSE),VLOOKUP(AM127,'ELA Reading Logic'!$A$22:$B$48,2,FALSE),"No Score")))),"No Value"))</f>
        <v>No Value</v>
      </c>
      <c r="AO127" s="96" t="str">
        <f>IFERROR(VLOOKUP(AK127,'ELA Reading Logic'!$A$22:$B$48,2,FALSE)-VLOOKUP($F127,'ELA Reading Logic'!$A$22:$B$48,2,FALSE),"No Value")</f>
        <v>No Value</v>
      </c>
      <c r="AP127" s="92"/>
      <c r="AQ127" s="96" t="str">
        <f>IFERROR(IF($E127="Yes","IPP",VLOOKUP($J127,'ELA Reading Logic'!$A$3:$K$9,VLOOKUP(AP$1,'ELA Reading Logic'!$J$22:$K$31,2,FALSE),FALSE)),"Set Grade")</f>
        <v>Set Grade</v>
      </c>
      <c r="AR127" s="96" t="str">
        <f>IFERROR(IF($E127="Yes","IPP",VLOOKUP($J127,'ELA Reading Logic'!$A$13:$K$19,VLOOKUP(AP$1,'ELA Reading Logic'!$J$22:$K$31,2,FALSE),FALSE)),"Set Grade")</f>
        <v>Set Grade</v>
      </c>
      <c r="AS127" s="96" t="str">
        <f>IF($E127="Yes","IPP",IFERROR(IF(AND(AP127&gt;AQ127,AP127&lt;AR127),"0",(VLOOKUP(AP127,'ELA Reading Logic'!$A$22:$B$48,2,FALSE))-(IF(VLOOKUP(AP127,'ELA Reading Logic'!$A$22:$B$48,2,FALSE)&lt;=VLOOKUP(AQ127,'ELA Reading Logic'!$A$22:$B$48,2,FALSE),VLOOKUP(AQ127,'ELA Reading Logic'!$A$22:$B$48,2,FALSE),IF(VLOOKUP(AP127,'ELA Reading Logic'!$A$22:$B$48,2,FALSE)&gt;=VLOOKUP(AR127,'ELA Reading Logic'!$A$22:$B$48,2,FALSE),VLOOKUP(AR127,'ELA Reading Logic'!$A$22:$B$48,2,FALSE),"No Score")))),"No Value"))</f>
        <v>No Value</v>
      </c>
      <c r="AT127" s="96" t="str">
        <f>IFERROR(VLOOKUP(AP127,'ELA Reading Logic'!$A$22:$B$48,2,FALSE)-VLOOKUP($F127,'ELA Reading Logic'!$A$22:$B$48,2,FALSE),"No Value")</f>
        <v>No Value</v>
      </c>
    </row>
    <row r="128" spans="1:46" ht="22.5" customHeight="1" x14ac:dyDescent="0.25">
      <c r="A128" s="174"/>
      <c r="B128" s="174"/>
      <c r="C128" s="174"/>
      <c r="D128" s="174"/>
      <c r="E128" s="175"/>
      <c r="F128" s="175"/>
      <c r="G128" s="177" t="str">
        <f>IFERROR(IF($E128="Yes","IPP",VLOOKUP($J128,'ELA Reading Logic'!$A$3:$K$9,VLOOKUP("September",'ELA Reading Logic'!$J$22:$K$31,2,FALSE),FALSE)),"Set Grade")</f>
        <v>Set Grade</v>
      </c>
      <c r="H128" s="177" t="str">
        <f>IFERROR(IF($E128="Yes","IPP",VLOOKUP($J128,'ELA Reading Logic'!$A$13:$K$19,VLOOKUP("September",'ELA Reading Logic'!$J$22:$K$31,2,FALSE),FALSE)),"Set Grade")</f>
        <v>Set Grade</v>
      </c>
      <c r="I128" s="96" t="str">
        <f>IF($E128="Yes","IPP",IFERROR(IF(AND(F128&gt;G128,F128&lt;H128),"0",(VLOOKUP(F128,'ELA Reading Logic'!$A$22:$B$48,2,FALSE))-(IF(VLOOKUP(F128,'ELA Reading Logic'!$A$22:$B$48,2,FALSE)&lt;=VLOOKUP(G128,'ELA Reading Logic'!$A$22:$B$48,2,FALSE),VLOOKUP(G128,'ELA Reading Logic'!$A$22:$B$48,2,FALSE),IF(VLOOKUP(F128,'ELA Reading Logic'!$A$22:$B$48,2,FALSE)&gt;=VLOOKUP(H128,'ELA Reading Logic'!$A$22:$B$48,2,FALSE),VLOOKUP(H128,'ELA Reading Logic'!$A$22:$B$48,2,FALSE),"No Score")))),"No Value"))</f>
        <v>No Value</v>
      </c>
      <c r="J128" s="178"/>
      <c r="K128" s="96"/>
      <c r="L128" s="96"/>
      <c r="M128" s="96"/>
      <c r="N128" s="96"/>
      <c r="O128" s="96"/>
      <c r="P128" s="105"/>
      <c r="Q128" s="92"/>
      <c r="R128" s="96" t="str">
        <f>IFERROR(IF($E128="Yes","IPP",VLOOKUP($J128,'ELA Reading Logic'!$A$3:$K$9,VLOOKUP(Q$1,'ELA Reading Logic'!$J$22:$K$31,2,FALSE),FALSE)),"Set Grade")</f>
        <v>Set Grade</v>
      </c>
      <c r="S128" s="96" t="str">
        <f>IFERROR(IF($E128="Yes","IPP",VLOOKUP($J128,'ELA Reading Logic'!$A$13:$K$19,VLOOKUP(Q$1,'ELA Reading Logic'!$J$22:$K$31,2,FALSE),FALSE)),"Set Grade")</f>
        <v>Set Grade</v>
      </c>
      <c r="T128" s="96" t="str">
        <f>IF($E128="Yes","IPP",IFERROR(IF(AND(Q128&gt;R128,Q128&lt;S128),"0",(VLOOKUP(Q128,'ELA Reading Logic'!$A$22:$B$48,2,FALSE))-(IF(VLOOKUP(Q128,'ELA Reading Logic'!$A$22:$B$48,2,FALSE)&lt;=VLOOKUP(R128,'ELA Reading Logic'!$A$22:$B$48,2,FALSE),VLOOKUP(R128,'ELA Reading Logic'!$A$22:$B$48,2,FALSE),IF(VLOOKUP(Q128,'ELA Reading Logic'!$A$22:$B$48,2,FALSE)&gt;=VLOOKUP(S128,'ELA Reading Logic'!$A$22:$B$48,2,FALSE),VLOOKUP(S128,'ELA Reading Logic'!$A$22:$B$48,2,FALSE),"No Score")))),"No Value"))</f>
        <v>No Value</v>
      </c>
      <c r="U128" s="96" t="str">
        <f>IFERROR(VLOOKUP(Q128,'ELA Reading Logic'!$A$22:$B$48,2,FALSE)-VLOOKUP($F128,'ELA Reading Logic'!$A$22:$B$48,2,FALSE),"No Value")</f>
        <v>No Value</v>
      </c>
      <c r="V128" s="92"/>
      <c r="W128" s="96" t="str">
        <f>IFERROR(IF($E128="Yes","IPP",VLOOKUP($J128,'ELA Reading Logic'!$A$3:$K$9,VLOOKUP(V$1,'ELA Reading Logic'!$J$22:$K$31,2,FALSE),FALSE)),"Set Grade")</f>
        <v>Set Grade</v>
      </c>
      <c r="X128" s="96" t="str">
        <f>IFERROR(IF($E128="Yes","IPP",VLOOKUP($J128,'ELA Reading Logic'!$A$13:$K$19,VLOOKUP(V$1,'ELA Reading Logic'!$J$22:$K$31,2,FALSE),FALSE)),"Set Grade")</f>
        <v>Set Grade</v>
      </c>
      <c r="Y128" s="96" t="str">
        <f>IF($E128="Yes","IPP",IFERROR(IF(AND(V128&gt;W128,V128&lt;X128),"0",(VLOOKUP(V128,'ELA Reading Logic'!$A$22:$B$48,2,FALSE))-(IF(VLOOKUP(V128,'ELA Reading Logic'!$A$22:$B$48,2,FALSE)&lt;=VLOOKUP(W128,'ELA Reading Logic'!$A$22:$B$48,2,FALSE),VLOOKUP(W128,'ELA Reading Logic'!$A$22:$B$48,2,FALSE),IF(VLOOKUP(V128,'ELA Reading Logic'!$A$22:$B$48,2,FALSE)&gt;=VLOOKUP(X128,'ELA Reading Logic'!$A$22:$B$48,2,FALSE),VLOOKUP(X128,'ELA Reading Logic'!$A$22:$B$48,2,FALSE),"No Score")))),"No Value"))</f>
        <v>No Value</v>
      </c>
      <c r="Z128" s="96" t="str">
        <f>IFERROR(VLOOKUP(V128,'ELA Reading Logic'!$A$22:$B$48,2,FALSE)-VLOOKUP($F128,'ELA Reading Logic'!$A$22:$B$48,2,FALSE),"No Value")</f>
        <v>No Value</v>
      </c>
      <c r="AA128" s="92"/>
      <c r="AB128" s="96" t="str">
        <f>IFERROR(IF($E128="Yes","IPP",VLOOKUP($J128,'ELA Reading Logic'!$A$3:$K$9,VLOOKUP(AA$1,'ELA Reading Logic'!$J$22:$K$31,2,FALSE),FALSE)),"Set Grade")</f>
        <v>Set Grade</v>
      </c>
      <c r="AC128" s="96" t="str">
        <f>IFERROR(IF($E128="Yes","IPP",VLOOKUP($J128,'ELA Reading Logic'!$A$13:$K$19,VLOOKUP(AA$1,'ELA Reading Logic'!$J$22:$K$31,2,FALSE),FALSE)),"Set Grade")</f>
        <v>Set Grade</v>
      </c>
      <c r="AD128" s="96" t="str">
        <f>IF($E128="Yes","IPP",IFERROR(IF(AND(AA128&gt;AB128,AA128&lt;AC128),"0",(VLOOKUP(AA128,'ELA Reading Logic'!$A$22:$B$48,2,FALSE))-(IF(VLOOKUP(AA128,'ELA Reading Logic'!$A$22:$B$48,2,FALSE)&lt;=VLOOKUP(AB128,'ELA Reading Logic'!$A$22:$B$48,2,FALSE),VLOOKUP(AB128,'ELA Reading Logic'!$A$22:$B$48,2,FALSE),IF(VLOOKUP(AA128,'ELA Reading Logic'!$A$22:$B$48,2,FALSE)&gt;=VLOOKUP(AC128,'ELA Reading Logic'!$A$22:$B$48,2,FALSE),VLOOKUP(AC128,'ELA Reading Logic'!$A$22:$B$48,2,FALSE),"No Score")))),"No Value"))</f>
        <v>No Value</v>
      </c>
      <c r="AE128" s="96" t="str">
        <f>IFERROR(VLOOKUP(AA128,'ELA Reading Logic'!$A$22:$B$48,2,FALSE)-VLOOKUP($F128,'ELA Reading Logic'!$A$22:$B$48,2,FALSE),"No Value")</f>
        <v>No Value</v>
      </c>
      <c r="AF128" s="92"/>
      <c r="AG128" s="96" t="str">
        <f>IFERROR(IF($E128="Yes","IPP",VLOOKUP($J128,'ELA Reading Logic'!$A$3:$K$9,VLOOKUP(AF$1,'ELA Reading Logic'!$J$22:$K$31,2,FALSE),FALSE)),"Set Grade")</f>
        <v>Set Grade</v>
      </c>
      <c r="AH128" s="96" t="str">
        <f>IFERROR(IF($E128="Yes","IPP",VLOOKUP($J128,'ELA Reading Logic'!$A$13:$K$19,VLOOKUP(AF$1,'ELA Reading Logic'!$J$22:$K$31,2,FALSE),FALSE)),"Set Grade")</f>
        <v>Set Grade</v>
      </c>
      <c r="AI128" s="96" t="str">
        <f>IF($E128="Yes","IPP",IFERROR(IF(AND(AF128&gt;AG128,AF128&lt;AH128),"0",(VLOOKUP(AF128,'ELA Reading Logic'!$A$22:$B$48,2,FALSE))-(IF(VLOOKUP(AF128,'ELA Reading Logic'!$A$22:$B$48,2,FALSE)&lt;=VLOOKUP(AG128,'ELA Reading Logic'!$A$22:$B$48,2,FALSE),VLOOKUP(AG128,'ELA Reading Logic'!$A$22:$B$48,2,FALSE),IF(VLOOKUP(AF128,'ELA Reading Logic'!$A$22:$B$48,2,FALSE)&gt;=VLOOKUP(AH128,'ELA Reading Logic'!$A$22:$B$48,2,FALSE),VLOOKUP(AH128,'ELA Reading Logic'!$A$22:$B$48,2,FALSE),"No Score")))),"No Value"))</f>
        <v>No Value</v>
      </c>
      <c r="AJ128" s="96" t="str">
        <f>IFERROR(VLOOKUP(AF128,'ELA Reading Logic'!$A$22:$B$48,2,FALSE)-VLOOKUP($F128,'ELA Reading Logic'!$A$22:$B$48,2,FALSE),"No Value")</f>
        <v>No Value</v>
      </c>
      <c r="AK128" s="92"/>
      <c r="AL128" s="96" t="str">
        <f>IFERROR(IF($E128="Yes","IPP",VLOOKUP($J128,'ELA Reading Logic'!$A$3:$K$9,VLOOKUP(AK$1,'ELA Reading Logic'!$J$22:$K$31,2,FALSE),FALSE)),"Set Grade")</f>
        <v>Set Grade</v>
      </c>
      <c r="AM128" s="96" t="str">
        <f>IFERROR(IF($E128="Yes","IPP",VLOOKUP($J128,'ELA Reading Logic'!$A$13:$K$19,VLOOKUP(AK$1,'ELA Reading Logic'!$J$22:$K$31,2,FALSE),FALSE)),"Set Grade")</f>
        <v>Set Grade</v>
      </c>
      <c r="AN128" s="96" t="str">
        <f>IF($E128="Yes","IPP",IFERROR(IF(AND(AK128&gt;AL128,AK128&lt;AM128),"0",(VLOOKUP(AK128,'ELA Reading Logic'!$A$22:$B$48,2,FALSE))-(IF(VLOOKUP(AK128,'ELA Reading Logic'!$A$22:$B$48,2,FALSE)&lt;=VLOOKUP(AL128,'ELA Reading Logic'!$A$22:$B$48,2,FALSE),VLOOKUP(AL128,'ELA Reading Logic'!$A$22:$B$48,2,FALSE),IF(VLOOKUP(AK128,'ELA Reading Logic'!$A$22:$B$48,2,FALSE)&gt;=VLOOKUP(AM128,'ELA Reading Logic'!$A$22:$B$48,2,FALSE),VLOOKUP(AM128,'ELA Reading Logic'!$A$22:$B$48,2,FALSE),"No Score")))),"No Value"))</f>
        <v>No Value</v>
      </c>
      <c r="AO128" s="96" t="str">
        <f>IFERROR(VLOOKUP(AK128,'ELA Reading Logic'!$A$22:$B$48,2,FALSE)-VLOOKUP($F128,'ELA Reading Logic'!$A$22:$B$48,2,FALSE),"No Value")</f>
        <v>No Value</v>
      </c>
      <c r="AP128" s="92"/>
      <c r="AQ128" s="96" t="str">
        <f>IFERROR(IF($E128="Yes","IPP",VLOOKUP($J128,'ELA Reading Logic'!$A$3:$K$9,VLOOKUP(AP$1,'ELA Reading Logic'!$J$22:$K$31,2,FALSE),FALSE)),"Set Grade")</f>
        <v>Set Grade</v>
      </c>
      <c r="AR128" s="96" t="str">
        <f>IFERROR(IF($E128="Yes","IPP",VLOOKUP($J128,'ELA Reading Logic'!$A$13:$K$19,VLOOKUP(AP$1,'ELA Reading Logic'!$J$22:$K$31,2,FALSE),FALSE)),"Set Grade")</f>
        <v>Set Grade</v>
      </c>
      <c r="AS128" s="96" t="str">
        <f>IF($E128="Yes","IPP",IFERROR(IF(AND(AP128&gt;AQ128,AP128&lt;AR128),"0",(VLOOKUP(AP128,'ELA Reading Logic'!$A$22:$B$48,2,FALSE))-(IF(VLOOKUP(AP128,'ELA Reading Logic'!$A$22:$B$48,2,FALSE)&lt;=VLOOKUP(AQ128,'ELA Reading Logic'!$A$22:$B$48,2,FALSE),VLOOKUP(AQ128,'ELA Reading Logic'!$A$22:$B$48,2,FALSE),IF(VLOOKUP(AP128,'ELA Reading Logic'!$A$22:$B$48,2,FALSE)&gt;=VLOOKUP(AR128,'ELA Reading Logic'!$A$22:$B$48,2,FALSE),VLOOKUP(AR128,'ELA Reading Logic'!$A$22:$B$48,2,FALSE),"No Score")))),"No Value"))</f>
        <v>No Value</v>
      </c>
      <c r="AT128" s="96" t="str">
        <f>IFERROR(VLOOKUP(AP128,'ELA Reading Logic'!$A$22:$B$48,2,FALSE)-VLOOKUP($F128,'ELA Reading Logic'!$A$22:$B$48,2,FALSE),"No Value")</f>
        <v>No Value</v>
      </c>
    </row>
    <row r="129" spans="1:46" ht="22.5" customHeight="1" x14ac:dyDescent="0.25">
      <c r="A129" s="176"/>
      <c r="B129" s="176"/>
      <c r="C129" s="176"/>
      <c r="D129" s="176"/>
      <c r="E129" s="175"/>
      <c r="F129" s="175"/>
      <c r="G129" s="177" t="str">
        <f>IFERROR(IF($E129="Yes","IPP",VLOOKUP($J129,'ELA Reading Logic'!$A$3:$K$9,VLOOKUP("September",'ELA Reading Logic'!$J$22:$K$31,2,FALSE),FALSE)),"Set Grade")</f>
        <v>Set Grade</v>
      </c>
      <c r="H129" s="177" t="str">
        <f>IFERROR(IF($E129="Yes","IPP",VLOOKUP($J129,'ELA Reading Logic'!$A$13:$K$19,VLOOKUP("September",'ELA Reading Logic'!$J$22:$K$31,2,FALSE),FALSE)),"Set Grade")</f>
        <v>Set Grade</v>
      </c>
      <c r="I129" s="96" t="str">
        <f>IF($E129="Yes","IPP",IFERROR(IF(AND(F129&gt;G129,F129&lt;H129),"0",(VLOOKUP(F129,'ELA Reading Logic'!$A$22:$B$48,2,FALSE))-(IF(VLOOKUP(F129,'ELA Reading Logic'!$A$22:$B$48,2,FALSE)&lt;=VLOOKUP(G129,'ELA Reading Logic'!$A$22:$B$48,2,FALSE),VLOOKUP(G129,'ELA Reading Logic'!$A$22:$B$48,2,FALSE),IF(VLOOKUP(F129,'ELA Reading Logic'!$A$22:$B$48,2,FALSE)&gt;=VLOOKUP(H129,'ELA Reading Logic'!$A$22:$B$48,2,FALSE),VLOOKUP(H129,'ELA Reading Logic'!$A$22:$B$48,2,FALSE),"No Score")))),"No Value"))</f>
        <v>No Value</v>
      </c>
      <c r="J129" s="178"/>
      <c r="K129" s="96"/>
      <c r="L129" s="96"/>
      <c r="M129" s="96"/>
      <c r="N129" s="96"/>
      <c r="O129" s="96"/>
      <c r="P129" s="105"/>
      <c r="Q129" s="92"/>
      <c r="R129" s="96" t="str">
        <f>IFERROR(IF($E129="Yes","IPP",VLOOKUP($J129,'ELA Reading Logic'!$A$3:$K$9,VLOOKUP(Q$1,'ELA Reading Logic'!$J$22:$K$31,2,FALSE),FALSE)),"Set Grade")</f>
        <v>Set Grade</v>
      </c>
      <c r="S129" s="96" t="str">
        <f>IFERROR(IF($E129="Yes","IPP",VLOOKUP($J129,'ELA Reading Logic'!$A$13:$K$19,VLOOKUP(Q$1,'ELA Reading Logic'!$J$22:$K$31,2,FALSE),FALSE)),"Set Grade")</f>
        <v>Set Grade</v>
      </c>
      <c r="T129" s="96" t="str">
        <f>IF($E129="Yes","IPP",IFERROR(IF(AND(Q129&gt;R129,Q129&lt;S129),"0",(VLOOKUP(Q129,'ELA Reading Logic'!$A$22:$B$48,2,FALSE))-(IF(VLOOKUP(Q129,'ELA Reading Logic'!$A$22:$B$48,2,FALSE)&lt;=VLOOKUP(R129,'ELA Reading Logic'!$A$22:$B$48,2,FALSE),VLOOKUP(R129,'ELA Reading Logic'!$A$22:$B$48,2,FALSE),IF(VLOOKUP(Q129,'ELA Reading Logic'!$A$22:$B$48,2,FALSE)&gt;=VLOOKUP(S129,'ELA Reading Logic'!$A$22:$B$48,2,FALSE),VLOOKUP(S129,'ELA Reading Logic'!$A$22:$B$48,2,FALSE),"No Score")))),"No Value"))</f>
        <v>No Value</v>
      </c>
      <c r="U129" s="96" t="str">
        <f>IFERROR(VLOOKUP(Q129,'ELA Reading Logic'!$A$22:$B$48,2,FALSE)-VLOOKUP($F129,'ELA Reading Logic'!$A$22:$B$48,2,FALSE),"No Value")</f>
        <v>No Value</v>
      </c>
      <c r="V129" s="92"/>
      <c r="W129" s="96" t="str">
        <f>IFERROR(IF($E129="Yes","IPP",VLOOKUP($J129,'ELA Reading Logic'!$A$3:$K$9,VLOOKUP(V$1,'ELA Reading Logic'!$J$22:$K$31,2,FALSE),FALSE)),"Set Grade")</f>
        <v>Set Grade</v>
      </c>
      <c r="X129" s="96" t="str">
        <f>IFERROR(IF($E129="Yes","IPP",VLOOKUP($J129,'ELA Reading Logic'!$A$13:$K$19,VLOOKUP(V$1,'ELA Reading Logic'!$J$22:$K$31,2,FALSE),FALSE)),"Set Grade")</f>
        <v>Set Grade</v>
      </c>
      <c r="Y129" s="96" t="str">
        <f>IF($E129="Yes","IPP",IFERROR(IF(AND(V129&gt;W129,V129&lt;X129),"0",(VLOOKUP(V129,'ELA Reading Logic'!$A$22:$B$48,2,FALSE))-(IF(VLOOKUP(V129,'ELA Reading Logic'!$A$22:$B$48,2,FALSE)&lt;=VLOOKUP(W129,'ELA Reading Logic'!$A$22:$B$48,2,FALSE),VLOOKUP(W129,'ELA Reading Logic'!$A$22:$B$48,2,FALSE),IF(VLOOKUP(V129,'ELA Reading Logic'!$A$22:$B$48,2,FALSE)&gt;=VLOOKUP(X129,'ELA Reading Logic'!$A$22:$B$48,2,FALSE),VLOOKUP(X129,'ELA Reading Logic'!$A$22:$B$48,2,FALSE),"No Score")))),"No Value"))</f>
        <v>No Value</v>
      </c>
      <c r="Z129" s="96" t="str">
        <f>IFERROR(VLOOKUP(V129,'ELA Reading Logic'!$A$22:$B$48,2,FALSE)-VLOOKUP($F129,'ELA Reading Logic'!$A$22:$B$48,2,FALSE),"No Value")</f>
        <v>No Value</v>
      </c>
      <c r="AA129" s="92"/>
      <c r="AB129" s="96" t="str">
        <f>IFERROR(IF($E129="Yes","IPP",VLOOKUP($J129,'ELA Reading Logic'!$A$3:$K$9,VLOOKUP(AA$1,'ELA Reading Logic'!$J$22:$K$31,2,FALSE),FALSE)),"Set Grade")</f>
        <v>Set Grade</v>
      </c>
      <c r="AC129" s="96" t="str">
        <f>IFERROR(IF($E129="Yes","IPP",VLOOKUP($J129,'ELA Reading Logic'!$A$13:$K$19,VLOOKUP(AA$1,'ELA Reading Logic'!$J$22:$K$31,2,FALSE),FALSE)),"Set Grade")</f>
        <v>Set Grade</v>
      </c>
      <c r="AD129" s="96" t="str">
        <f>IF($E129="Yes","IPP",IFERROR(IF(AND(AA129&gt;AB129,AA129&lt;AC129),"0",(VLOOKUP(AA129,'ELA Reading Logic'!$A$22:$B$48,2,FALSE))-(IF(VLOOKUP(AA129,'ELA Reading Logic'!$A$22:$B$48,2,FALSE)&lt;=VLOOKUP(AB129,'ELA Reading Logic'!$A$22:$B$48,2,FALSE),VLOOKUP(AB129,'ELA Reading Logic'!$A$22:$B$48,2,FALSE),IF(VLOOKUP(AA129,'ELA Reading Logic'!$A$22:$B$48,2,FALSE)&gt;=VLOOKUP(AC129,'ELA Reading Logic'!$A$22:$B$48,2,FALSE),VLOOKUP(AC129,'ELA Reading Logic'!$A$22:$B$48,2,FALSE),"No Score")))),"No Value"))</f>
        <v>No Value</v>
      </c>
      <c r="AE129" s="96" t="str">
        <f>IFERROR(VLOOKUP(AA129,'ELA Reading Logic'!$A$22:$B$48,2,FALSE)-VLOOKUP($F129,'ELA Reading Logic'!$A$22:$B$48,2,FALSE),"No Value")</f>
        <v>No Value</v>
      </c>
      <c r="AF129" s="92"/>
      <c r="AG129" s="96" t="str">
        <f>IFERROR(IF($E129="Yes","IPP",VLOOKUP($J129,'ELA Reading Logic'!$A$3:$K$9,VLOOKUP(AF$1,'ELA Reading Logic'!$J$22:$K$31,2,FALSE),FALSE)),"Set Grade")</f>
        <v>Set Grade</v>
      </c>
      <c r="AH129" s="96" t="str">
        <f>IFERROR(IF($E129="Yes","IPP",VLOOKUP($J129,'ELA Reading Logic'!$A$13:$K$19,VLOOKUP(AF$1,'ELA Reading Logic'!$J$22:$K$31,2,FALSE),FALSE)),"Set Grade")</f>
        <v>Set Grade</v>
      </c>
      <c r="AI129" s="96" t="str">
        <f>IF($E129="Yes","IPP",IFERROR(IF(AND(AF129&gt;AG129,AF129&lt;AH129),"0",(VLOOKUP(AF129,'ELA Reading Logic'!$A$22:$B$48,2,FALSE))-(IF(VLOOKUP(AF129,'ELA Reading Logic'!$A$22:$B$48,2,FALSE)&lt;=VLOOKUP(AG129,'ELA Reading Logic'!$A$22:$B$48,2,FALSE),VLOOKUP(AG129,'ELA Reading Logic'!$A$22:$B$48,2,FALSE),IF(VLOOKUP(AF129,'ELA Reading Logic'!$A$22:$B$48,2,FALSE)&gt;=VLOOKUP(AH129,'ELA Reading Logic'!$A$22:$B$48,2,FALSE),VLOOKUP(AH129,'ELA Reading Logic'!$A$22:$B$48,2,FALSE),"No Score")))),"No Value"))</f>
        <v>No Value</v>
      </c>
      <c r="AJ129" s="96" t="str">
        <f>IFERROR(VLOOKUP(AF129,'ELA Reading Logic'!$A$22:$B$48,2,FALSE)-VLOOKUP($F129,'ELA Reading Logic'!$A$22:$B$48,2,FALSE),"No Value")</f>
        <v>No Value</v>
      </c>
      <c r="AK129" s="92"/>
      <c r="AL129" s="96" t="str">
        <f>IFERROR(IF($E129="Yes","IPP",VLOOKUP($J129,'ELA Reading Logic'!$A$3:$K$9,VLOOKUP(AK$1,'ELA Reading Logic'!$J$22:$K$31,2,FALSE),FALSE)),"Set Grade")</f>
        <v>Set Grade</v>
      </c>
      <c r="AM129" s="96" t="str">
        <f>IFERROR(IF($E129="Yes","IPP",VLOOKUP($J129,'ELA Reading Logic'!$A$13:$K$19,VLOOKUP(AK$1,'ELA Reading Logic'!$J$22:$K$31,2,FALSE),FALSE)),"Set Grade")</f>
        <v>Set Grade</v>
      </c>
      <c r="AN129" s="96" t="str">
        <f>IF($E129="Yes","IPP",IFERROR(IF(AND(AK129&gt;AL129,AK129&lt;AM129),"0",(VLOOKUP(AK129,'ELA Reading Logic'!$A$22:$B$48,2,FALSE))-(IF(VLOOKUP(AK129,'ELA Reading Logic'!$A$22:$B$48,2,FALSE)&lt;=VLOOKUP(AL129,'ELA Reading Logic'!$A$22:$B$48,2,FALSE),VLOOKUP(AL129,'ELA Reading Logic'!$A$22:$B$48,2,FALSE),IF(VLOOKUP(AK129,'ELA Reading Logic'!$A$22:$B$48,2,FALSE)&gt;=VLOOKUP(AM129,'ELA Reading Logic'!$A$22:$B$48,2,FALSE),VLOOKUP(AM129,'ELA Reading Logic'!$A$22:$B$48,2,FALSE),"No Score")))),"No Value"))</f>
        <v>No Value</v>
      </c>
      <c r="AO129" s="96" t="str">
        <f>IFERROR(VLOOKUP(AK129,'ELA Reading Logic'!$A$22:$B$48,2,FALSE)-VLOOKUP($F129,'ELA Reading Logic'!$A$22:$B$48,2,FALSE),"No Value")</f>
        <v>No Value</v>
      </c>
      <c r="AP129" s="92"/>
      <c r="AQ129" s="96" t="str">
        <f>IFERROR(IF($E129="Yes","IPP",VLOOKUP($J129,'ELA Reading Logic'!$A$3:$K$9,VLOOKUP(AP$1,'ELA Reading Logic'!$J$22:$K$31,2,FALSE),FALSE)),"Set Grade")</f>
        <v>Set Grade</v>
      </c>
      <c r="AR129" s="96" t="str">
        <f>IFERROR(IF($E129="Yes","IPP",VLOOKUP($J129,'ELA Reading Logic'!$A$13:$K$19,VLOOKUP(AP$1,'ELA Reading Logic'!$J$22:$K$31,2,FALSE),FALSE)),"Set Grade")</f>
        <v>Set Grade</v>
      </c>
      <c r="AS129" s="96" t="str">
        <f>IF($E129="Yes","IPP",IFERROR(IF(AND(AP129&gt;AQ129,AP129&lt;AR129),"0",(VLOOKUP(AP129,'ELA Reading Logic'!$A$22:$B$48,2,FALSE))-(IF(VLOOKUP(AP129,'ELA Reading Logic'!$A$22:$B$48,2,FALSE)&lt;=VLOOKUP(AQ129,'ELA Reading Logic'!$A$22:$B$48,2,FALSE),VLOOKUP(AQ129,'ELA Reading Logic'!$A$22:$B$48,2,FALSE),IF(VLOOKUP(AP129,'ELA Reading Logic'!$A$22:$B$48,2,FALSE)&gt;=VLOOKUP(AR129,'ELA Reading Logic'!$A$22:$B$48,2,FALSE),VLOOKUP(AR129,'ELA Reading Logic'!$A$22:$B$48,2,FALSE),"No Score")))),"No Value"))</f>
        <v>No Value</v>
      </c>
      <c r="AT129" s="96" t="str">
        <f>IFERROR(VLOOKUP(AP129,'ELA Reading Logic'!$A$22:$B$48,2,FALSE)-VLOOKUP($F129,'ELA Reading Logic'!$A$22:$B$48,2,FALSE),"No Value")</f>
        <v>No Value</v>
      </c>
    </row>
    <row r="130" spans="1:46" ht="22.5" customHeight="1" x14ac:dyDescent="0.25">
      <c r="A130" s="174"/>
      <c r="B130" s="174"/>
      <c r="C130" s="174"/>
      <c r="D130" s="174"/>
      <c r="E130" s="175"/>
      <c r="F130" s="175"/>
      <c r="G130" s="177" t="str">
        <f>IFERROR(IF($E130="Yes","IPP",VLOOKUP($J130,'ELA Reading Logic'!$A$3:$K$9,VLOOKUP("September",'ELA Reading Logic'!$J$22:$K$31,2,FALSE),FALSE)),"Set Grade")</f>
        <v>Set Grade</v>
      </c>
      <c r="H130" s="177" t="str">
        <f>IFERROR(IF($E130="Yes","IPP",VLOOKUP($J130,'ELA Reading Logic'!$A$13:$K$19,VLOOKUP("September",'ELA Reading Logic'!$J$22:$K$31,2,FALSE),FALSE)),"Set Grade")</f>
        <v>Set Grade</v>
      </c>
      <c r="I130" s="96" t="str">
        <f>IF($E130="Yes","IPP",IFERROR(IF(AND(F130&gt;G130,F130&lt;H130),"0",(VLOOKUP(F130,'ELA Reading Logic'!$A$22:$B$48,2,FALSE))-(IF(VLOOKUP(F130,'ELA Reading Logic'!$A$22:$B$48,2,FALSE)&lt;=VLOOKUP(G130,'ELA Reading Logic'!$A$22:$B$48,2,FALSE),VLOOKUP(G130,'ELA Reading Logic'!$A$22:$B$48,2,FALSE),IF(VLOOKUP(F130,'ELA Reading Logic'!$A$22:$B$48,2,FALSE)&gt;=VLOOKUP(H130,'ELA Reading Logic'!$A$22:$B$48,2,FALSE),VLOOKUP(H130,'ELA Reading Logic'!$A$22:$B$48,2,FALSE),"No Score")))),"No Value"))</f>
        <v>No Value</v>
      </c>
      <c r="J130" s="178"/>
      <c r="K130" s="96"/>
      <c r="L130" s="96"/>
      <c r="M130" s="96"/>
      <c r="N130" s="96"/>
      <c r="O130" s="96"/>
      <c r="P130" s="105"/>
      <c r="Q130" s="92"/>
      <c r="R130" s="96" t="str">
        <f>IFERROR(IF($E130="Yes","IPP",VLOOKUP($J130,'ELA Reading Logic'!$A$3:$K$9,VLOOKUP(Q$1,'ELA Reading Logic'!$J$22:$K$31,2,FALSE),FALSE)),"Set Grade")</f>
        <v>Set Grade</v>
      </c>
      <c r="S130" s="96" t="str">
        <f>IFERROR(IF($E130="Yes","IPP",VLOOKUP($J130,'ELA Reading Logic'!$A$13:$K$19,VLOOKUP(Q$1,'ELA Reading Logic'!$J$22:$K$31,2,FALSE),FALSE)),"Set Grade")</f>
        <v>Set Grade</v>
      </c>
      <c r="T130" s="96" t="str">
        <f>IF($E130="Yes","IPP",IFERROR(IF(AND(Q130&gt;R130,Q130&lt;S130),"0",(VLOOKUP(Q130,'ELA Reading Logic'!$A$22:$B$48,2,FALSE))-(IF(VLOOKUP(Q130,'ELA Reading Logic'!$A$22:$B$48,2,FALSE)&lt;=VLOOKUP(R130,'ELA Reading Logic'!$A$22:$B$48,2,FALSE),VLOOKUP(R130,'ELA Reading Logic'!$A$22:$B$48,2,FALSE),IF(VLOOKUP(Q130,'ELA Reading Logic'!$A$22:$B$48,2,FALSE)&gt;=VLOOKUP(S130,'ELA Reading Logic'!$A$22:$B$48,2,FALSE),VLOOKUP(S130,'ELA Reading Logic'!$A$22:$B$48,2,FALSE),"No Score")))),"No Value"))</f>
        <v>No Value</v>
      </c>
      <c r="U130" s="96" t="str">
        <f>IFERROR(VLOOKUP(Q130,'ELA Reading Logic'!$A$22:$B$48,2,FALSE)-VLOOKUP($F130,'ELA Reading Logic'!$A$22:$B$48,2,FALSE),"No Value")</f>
        <v>No Value</v>
      </c>
      <c r="V130" s="92"/>
      <c r="W130" s="96" t="str">
        <f>IFERROR(IF($E130="Yes","IPP",VLOOKUP($J130,'ELA Reading Logic'!$A$3:$K$9,VLOOKUP(V$1,'ELA Reading Logic'!$J$22:$K$31,2,FALSE),FALSE)),"Set Grade")</f>
        <v>Set Grade</v>
      </c>
      <c r="X130" s="96" t="str">
        <f>IFERROR(IF($E130="Yes","IPP",VLOOKUP($J130,'ELA Reading Logic'!$A$13:$K$19,VLOOKUP(V$1,'ELA Reading Logic'!$J$22:$K$31,2,FALSE),FALSE)),"Set Grade")</f>
        <v>Set Grade</v>
      </c>
      <c r="Y130" s="96" t="str">
        <f>IF($E130="Yes","IPP",IFERROR(IF(AND(V130&gt;W130,V130&lt;X130),"0",(VLOOKUP(V130,'ELA Reading Logic'!$A$22:$B$48,2,FALSE))-(IF(VLOOKUP(V130,'ELA Reading Logic'!$A$22:$B$48,2,FALSE)&lt;=VLOOKUP(W130,'ELA Reading Logic'!$A$22:$B$48,2,FALSE),VLOOKUP(W130,'ELA Reading Logic'!$A$22:$B$48,2,FALSE),IF(VLOOKUP(V130,'ELA Reading Logic'!$A$22:$B$48,2,FALSE)&gt;=VLOOKUP(X130,'ELA Reading Logic'!$A$22:$B$48,2,FALSE),VLOOKUP(X130,'ELA Reading Logic'!$A$22:$B$48,2,FALSE),"No Score")))),"No Value"))</f>
        <v>No Value</v>
      </c>
      <c r="Z130" s="96" t="str">
        <f>IFERROR(VLOOKUP(V130,'ELA Reading Logic'!$A$22:$B$48,2,FALSE)-VLOOKUP($F130,'ELA Reading Logic'!$A$22:$B$48,2,FALSE),"No Value")</f>
        <v>No Value</v>
      </c>
      <c r="AA130" s="92"/>
      <c r="AB130" s="96" t="str">
        <f>IFERROR(IF($E130="Yes","IPP",VLOOKUP($J130,'ELA Reading Logic'!$A$3:$K$9,VLOOKUP(AA$1,'ELA Reading Logic'!$J$22:$K$31,2,FALSE),FALSE)),"Set Grade")</f>
        <v>Set Grade</v>
      </c>
      <c r="AC130" s="96" t="str">
        <f>IFERROR(IF($E130="Yes","IPP",VLOOKUP($J130,'ELA Reading Logic'!$A$13:$K$19,VLOOKUP(AA$1,'ELA Reading Logic'!$J$22:$K$31,2,FALSE),FALSE)),"Set Grade")</f>
        <v>Set Grade</v>
      </c>
      <c r="AD130" s="96" t="str">
        <f>IF($E130="Yes","IPP",IFERROR(IF(AND(AA130&gt;AB130,AA130&lt;AC130),"0",(VLOOKUP(AA130,'ELA Reading Logic'!$A$22:$B$48,2,FALSE))-(IF(VLOOKUP(AA130,'ELA Reading Logic'!$A$22:$B$48,2,FALSE)&lt;=VLOOKUP(AB130,'ELA Reading Logic'!$A$22:$B$48,2,FALSE),VLOOKUP(AB130,'ELA Reading Logic'!$A$22:$B$48,2,FALSE),IF(VLOOKUP(AA130,'ELA Reading Logic'!$A$22:$B$48,2,FALSE)&gt;=VLOOKUP(AC130,'ELA Reading Logic'!$A$22:$B$48,2,FALSE),VLOOKUP(AC130,'ELA Reading Logic'!$A$22:$B$48,2,FALSE),"No Score")))),"No Value"))</f>
        <v>No Value</v>
      </c>
      <c r="AE130" s="96" t="str">
        <f>IFERROR(VLOOKUP(AA130,'ELA Reading Logic'!$A$22:$B$48,2,FALSE)-VLOOKUP($F130,'ELA Reading Logic'!$A$22:$B$48,2,FALSE),"No Value")</f>
        <v>No Value</v>
      </c>
      <c r="AF130" s="92"/>
      <c r="AG130" s="96" t="str">
        <f>IFERROR(IF($E130="Yes","IPP",VLOOKUP($J130,'ELA Reading Logic'!$A$3:$K$9,VLOOKUP(AF$1,'ELA Reading Logic'!$J$22:$K$31,2,FALSE),FALSE)),"Set Grade")</f>
        <v>Set Grade</v>
      </c>
      <c r="AH130" s="96" t="str">
        <f>IFERROR(IF($E130="Yes","IPP",VLOOKUP($J130,'ELA Reading Logic'!$A$13:$K$19,VLOOKUP(AF$1,'ELA Reading Logic'!$J$22:$K$31,2,FALSE),FALSE)),"Set Grade")</f>
        <v>Set Grade</v>
      </c>
      <c r="AI130" s="96" t="str">
        <f>IF($E130="Yes","IPP",IFERROR(IF(AND(AF130&gt;AG130,AF130&lt;AH130),"0",(VLOOKUP(AF130,'ELA Reading Logic'!$A$22:$B$48,2,FALSE))-(IF(VLOOKUP(AF130,'ELA Reading Logic'!$A$22:$B$48,2,FALSE)&lt;=VLOOKUP(AG130,'ELA Reading Logic'!$A$22:$B$48,2,FALSE),VLOOKUP(AG130,'ELA Reading Logic'!$A$22:$B$48,2,FALSE),IF(VLOOKUP(AF130,'ELA Reading Logic'!$A$22:$B$48,2,FALSE)&gt;=VLOOKUP(AH130,'ELA Reading Logic'!$A$22:$B$48,2,FALSE),VLOOKUP(AH130,'ELA Reading Logic'!$A$22:$B$48,2,FALSE),"No Score")))),"No Value"))</f>
        <v>No Value</v>
      </c>
      <c r="AJ130" s="96" t="str">
        <f>IFERROR(VLOOKUP(AF130,'ELA Reading Logic'!$A$22:$B$48,2,FALSE)-VLOOKUP($F130,'ELA Reading Logic'!$A$22:$B$48,2,FALSE),"No Value")</f>
        <v>No Value</v>
      </c>
      <c r="AK130" s="92"/>
      <c r="AL130" s="96" t="str">
        <f>IFERROR(IF($E130="Yes","IPP",VLOOKUP($J130,'ELA Reading Logic'!$A$3:$K$9,VLOOKUP(AK$1,'ELA Reading Logic'!$J$22:$K$31,2,FALSE),FALSE)),"Set Grade")</f>
        <v>Set Grade</v>
      </c>
      <c r="AM130" s="96" t="str">
        <f>IFERROR(IF($E130="Yes","IPP",VLOOKUP($J130,'ELA Reading Logic'!$A$13:$K$19,VLOOKUP(AK$1,'ELA Reading Logic'!$J$22:$K$31,2,FALSE),FALSE)),"Set Grade")</f>
        <v>Set Grade</v>
      </c>
      <c r="AN130" s="96" t="str">
        <f>IF($E130="Yes","IPP",IFERROR(IF(AND(AK130&gt;AL130,AK130&lt;AM130),"0",(VLOOKUP(AK130,'ELA Reading Logic'!$A$22:$B$48,2,FALSE))-(IF(VLOOKUP(AK130,'ELA Reading Logic'!$A$22:$B$48,2,FALSE)&lt;=VLOOKUP(AL130,'ELA Reading Logic'!$A$22:$B$48,2,FALSE),VLOOKUP(AL130,'ELA Reading Logic'!$A$22:$B$48,2,FALSE),IF(VLOOKUP(AK130,'ELA Reading Logic'!$A$22:$B$48,2,FALSE)&gt;=VLOOKUP(AM130,'ELA Reading Logic'!$A$22:$B$48,2,FALSE),VLOOKUP(AM130,'ELA Reading Logic'!$A$22:$B$48,2,FALSE),"No Score")))),"No Value"))</f>
        <v>No Value</v>
      </c>
      <c r="AO130" s="96" t="str">
        <f>IFERROR(VLOOKUP(AK130,'ELA Reading Logic'!$A$22:$B$48,2,FALSE)-VLOOKUP($F130,'ELA Reading Logic'!$A$22:$B$48,2,FALSE),"No Value")</f>
        <v>No Value</v>
      </c>
      <c r="AP130" s="92"/>
      <c r="AQ130" s="96" t="str">
        <f>IFERROR(IF($E130="Yes","IPP",VLOOKUP($J130,'ELA Reading Logic'!$A$3:$K$9,VLOOKUP(AP$1,'ELA Reading Logic'!$J$22:$K$31,2,FALSE),FALSE)),"Set Grade")</f>
        <v>Set Grade</v>
      </c>
      <c r="AR130" s="96" t="str">
        <f>IFERROR(IF($E130="Yes","IPP",VLOOKUP($J130,'ELA Reading Logic'!$A$13:$K$19,VLOOKUP(AP$1,'ELA Reading Logic'!$J$22:$K$31,2,FALSE),FALSE)),"Set Grade")</f>
        <v>Set Grade</v>
      </c>
      <c r="AS130" s="96" t="str">
        <f>IF($E130="Yes","IPP",IFERROR(IF(AND(AP130&gt;AQ130,AP130&lt;AR130),"0",(VLOOKUP(AP130,'ELA Reading Logic'!$A$22:$B$48,2,FALSE))-(IF(VLOOKUP(AP130,'ELA Reading Logic'!$A$22:$B$48,2,FALSE)&lt;=VLOOKUP(AQ130,'ELA Reading Logic'!$A$22:$B$48,2,FALSE),VLOOKUP(AQ130,'ELA Reading Logic'!$A$22:$B$48,2,FALSE),IF(VLOOKUP(AP130,'ELA Reading Logic'!$A$22:$B$48,2,FALSE)&gt;=VLOOKUP(AR130,'ELA Reading Logic'!$A$22:$B$48,2,FALSE),VLOOKUP(AR130,'ELA Reading Logic'!$A$22:$B$48,2,FALSE),"No Score")))),"No Value"))</f>
        <v>No Value</v>
      </c>
      <c r="AT130" s="96" t="str">
        <f>IFERROR(VLOOKUP(AP130,'ELA Reading Logic'!$A$22:$B$48,2,FALSE)-VLOOKUP($F130,'ELA Reading Logic'!$A$22:$B$48,2,FALSE),"No Value")</f>
        <v>No Value</v>
      </c>
    </row>
    <row r="131" spans="1:46" ht="22.5" customHeight="1" x14ac:dyDescent="0.25">
      <c r="A131" s="176"/>
      <c r="B131" s="176"/>
      <c r="C131" s="176"/>
      <c r="D131" s="176"/>
      <c r="E131" s="175"/>
      <c r="F131" s="175"/>
      <c r="G131" s="177" t="str">
        <f>IFERROR(IF($E131="Yes","IPP",VLOOKUP($J131,'ELA Reading Logic'!$A$3:$K$9,VLOOKUP("September",'ELA Reading Logic'!$J$22:$K$31,2,FALSE),FALSE)),"Set Grade")</f>
        <v>Set Grade</v>
      </c>
      <c r="H131" s="177" t="str">
        <f>IFERROR(IF($E131="Yes","IPP",VLOOKUP($J131,'ELA Reading Logic'!$A$13:$K$19,VLOOKUP("September",'ELA Reading Logic'!$J$22:$K$31,2,FALSE),FALSE)),"Set Grade")</f>
        <v>Set Grade</v>
      </c>
      <c r="I131" s="96" t="str">
        <f>IF($E131="Yes","IPP",IFERROR(IF(AND(F131&gt;G131,F131&lt;H131),"0",(VLOOKUP(F131,'ELA Reading Logic'!$A$22:$B$48,2,FALSE))-(IF(VLOOKUP(F131,'ELA Reading Logic'!$A$22:$B$48,2,FALSE)&lt;=VLOOKUP(G131,'ELA Reading Logic'!$A$22:$B$48,2,FALSE),VLOOKUP(G131,'ELA Reading Logic'!$A$22:$B$48,2,FALSE),IF(VLOOKUP(F131,'ELA Reading Logic'!$A$22:$B$48,2,FALSE)&gt;=VLOOKUP(H131,'ELA Reading Logic'!$A$22:$B$48,2,FALSE),VLOOKUP(H131,'ELA Reading Logic'!$A$22:$B$48,2,FALSE),"No Score")))),"No Value"))</f>
        <v>No Value</v>
      </c>
      <c r="J131" s="178"/>
      <c r="K131" s="96"/>
      <c r="L131" s="96"/>
      <c r="M131" s="96"/>
      <c r="N131" s="96"/>
      <c r="O131" s="96"/>
      <c r="P131" s="105"/>
      <c r="Q131" s="92"/>
      <c r="R131" s="96" t="str">
        <f>IFERROR(IF($E131="Yes","IPP",VLOOKUP($J131,'ELA Reading Logic'!$A$3:$K$9,VLOOKUP(Q$1,'ELA Reading Logic'!$J$22:$K$31,2,FALSE),FALSE)),"Set Grade")</f>
        <v>Set Grade</v>
      </c>
      <c r="S131" s="96" t="str">
        <f>IFERROR(IF($E131="Yes","IPP",VLOOKUP($J131,'ELA Reading Logic'!$A$13:$K$19,VLOOKUP(Q$1,'ELA Reading Logic'!$J$22:$K$31,2,FALSE),FALSE)),"Set Grade")</f>
        <v>Set Grade</v>
      </c>
      <c r="T131" s="96" t="str">
        <f>IF($E131="Yes","IPP",IFERROR(IF(AND(Q131&gt;R131,Q131&lt;S131),"0",(VLOOKUP(Q131,'ELA Reading Logic'!$A$22:$B$48,2,FALSE))-(IF(VLOOKUP(Q131,'ELA Reading Logic'!$A$22:$B$48,2,FALSE)&lt;=VLOOKUP(R131,'ELA Reading Logic'!$A$22:$B$48,2,FALSE),VLOOKUP(R131,'ELA Reading Logic'!$A$22:$B$48,2,FALSE),IF(VLOOKUP(Q131,'ELA Reading Logic'!$A$22:$B$48,2,FALSE)&gt;=VLOOKUP(S131,'ELA Reading Logic'!$A$22:$B$48,2,FALSE),VLOOKUP(S131,'ELA Reading Logic'!$A$22:$B$48,2,FALSE),"No Score")))),"No Value"))</f>
        <v>No Value</v>
      </c>
      <c r="U131" s="96" t="str">
        <f>IFERROR(VLOOKUP(Q131,'ELA Reading Logic'!$A$22:$B$48,2,FALSE)-VLOOKUP($F131,'ELA Reading Logic'!$A$22:$B$48,2,FALSE),"No Value")</f>
        <v>No Value</v>
      </c>
      <c r="V131" s="92"/>
      <c r="W131" s="96" t="str">
        <f>IFERROR(IF($E131="Yes","IPP",VLOOKUP($J131,'ELA Reading Logic'!$A$3:$K$9,VLOOKUP(V$1,'ELA Reading Logic'!$J$22:$K$31,2,FALSE),FALSE)),"Set Grade")</f>
        <v>Set Grade</v>
      </c>
      <c r="X131" s="96" t="str">
        <f>IFERROR(IF($E131="Yes","IPP",VLOOKUP($J131,'ELA Reading Logic'!$A$13:$K$19,VLOOKUP(V$1,'ELA Reading Logic'!$J$22:$K$31,2,FALSE),FALSE)),"Set Grade")</f>
        <v>Set Grade</v>
      </c>
      <c r="Y131" s="96" t="str">
        <f>IF($E131="Yes","IPP",IFERROR(IF(AND(V131&gt;W131,V131&lt;X131),"0",(VLOOKUP(V131,'ELA Reading Logic'!$A$22:$B$48,2,FALSE))-(IF(VLOOKUP(V131,'ELA Reading Logic'!$A$22:$B$48,2,FALSE)&lt;=VLOOKUP(W131,'ELA Reading Logic'!$A$22:$B$48,2,FALSE),VLOOKUP(W131,'ELA Reading Logic'!$A$22:$B$48,2,FALSE),IF(VLOOKUP(V131,'ELA Reading Logic'!$A$22:$B$48,2,FALSE)&gt;=VLOOKUP(X131,'ELA Reading Logic'!$A$22:$B$48,2,FALSE),VLOOKUP(X131,'ELA Reading Logic'!$A$22:$B$48,2,FALSE),"No Score")))),"No Value"))</f>
        <v>No Value</v>
      </c>
      <c r="Z131" s="96" t="str">
        <f>IFERROR(VLOOKUP(V131,'ELA Reading Logic'!$A$22:$B$48,2,FALSE)-VLOOKUP($F131,'ELA Reading Logic'!$A$22:$B$48,2,FALSE),"No Value")</f>
        <v>No Value</v>
      </c>
      <c r="AA131" s="92"/>
      <c r="AB131" s="96" t="str">
        <f>IFERROR(IF($E131="Yes","IPP",VLOOKUP($J131,'ELA Reading Logic'!$A$3:$K$9,VLOOKUP(AA$1,'ELA Reading Logic'!$J$22:$K$31,2,FALSE),FALSE)),"Set Grade")</f>
        <v>Set Grade</v>
      </c>
      <c r="AC131" s="96" t="str">
        <f>IFERROR(IF($E131="Yes","IPP",VLOOKUP($J131,'ELA Reading Logic'!$A$13:$K$19,VLOOKUP(AA$1,'ELA Reading Logic'!$J$22:$K$31,2,FALSE),FALSE)),"Set Grade")</f>
        <v>Set Grade</v>
      </c>
      <c r="AD131" s="96" t="str">
        <f>IF($E131="Yes","IPP",IFERROR(IF(AND(AA131&gt;AB131,AA131&lt;AC131),"0",(VLOOKUP(AA131,'ELA Reading Logic'!$A$22:$B$48,2,FALSE))-(IF(VLOOKUP(AA131,'ELA Reading Logic'!$A$22:$B$48,2,FALSE)&lt;=VLOOKUP(AB131,'ELA Reading Logic'!$A$22:$B$48,2,FALSE),VLOOKUP(AB131,'ELA Reading Logic'!$A$22:$B$48,2,FALSE),IF(VLOOKUP(AA131,'ELA Reading Logic'!$A$22:$B$48,2,FALSE)&gt;=VLOOKUP(AC131,'ELA Reading Logic'!$A$22:$B$48,2,FALSE),VLOOKUP(AC131,'ELA Reading Logic'!$A$22:$B$48,2,FALSE),"No Score")))),"No Value"))</f>
        <v>No Value</v>
      </c>
      <c r="AE131" s="96" t="str">
        <f>IFERROR(VLOOKUP(AA131,'ELA Reading Logic'!$A$22:$B$48,2,FALSE)-VLOOKUP($F131,'ELA Reading Logic'!$A$22:$B$48,2,FALSE),"No Value")</f>
        <v>No Value</v>
      </c>
      <c r="AF131" s="92"/>
      <c r="AG131" s="96" t="str">
        <f>IFERROR(IF($E131="Yes","IPP",VLOOKUP($J131,'ELA Reading Logic'!$A$3:$K$9,VLOOKUP(AF$1,'ELA Reading Logic'!$J$22:$K$31,2,FALSE),FALSE)),"Set Grade")</f>
        <v>Set Grade</v>
      </c>
      <c r="AH131" s="96" t="str">
        <f>IFERROR(IF($E131="Yes","IPP",VLOOKUP($J131,'ELA Reading Logic'!$A$13:$K$19,VLOOKUP(AF$1,'ELA Reading Logic'!$J$22:$K$31,2,FALSE),FALSE)),"Set Grade")</f>
        <v>Set Grade</v>
      </c>
      <c r="AI131" s="96" t="str">
        <f>IF($E131="Yes","IPP",IFERROR(IF(AND(AF131&gt;AG131,AF131&lt;AH131),"0",(VLOOKUP(AF131,'ELA Reading Logic'!$A$22:$B$48,2,FALSE))-(IF(VLOOKUP(AF131,'ELA Reading Logic'!$A$22:$B$48,2,FALSE)&lt;=VLOOKUP(AG131,'ELA Reading Logic'!$A$22:$B$48,2,FALSE),VLOOKUP(AG131,'ELA Reading Logic'!$A$22:$B$48,2,FALSE),IF(VLOOKUP(AF131,'ELA Reading Logic'!$A$22:$B$48,2,FALSE)&gt;=VLOOKUP(AH131,'ELA Reading Logic'!$A$22:$B$48,2,FALSE),VLOOKUP(AH131,'ELA Reading Logic'!$A$22:$B$48,2,FALSE),"No Score")))),"No Value"))</f>
        <v>No Value</v>
      </c>
      <c r="AJ131" s="96" t="str">
        <f>IFERROR(VLOOKUP(AF131,'ELA Reading Logic'!$A$22:$B$48,2,FALSE)-VLOOKUP($F131,'ELA Reading Logic'!$A$22:$B$48,2,FALSE),"No Value")</f>
        <v>No Value</v>
      </c>
      <c r="AK131" s="92"/>
      <c r="AL131" s="96" t="str">
        <f>IFERROR(IF($E131="Yes","IPP",VLOOKUP($J131,'ELA Reading Logic'!$A$3:$K$9,VLOOKUP(AK$1,'ELA Reading Logic'!$J$22:$K$31,2,FALSE),FALSE)),"Set Grade")</f>
        <v>Set Grade</v>
      </c>
      <c r="AM131" s="96" t="str">
        <f>IFERROR(IF($E131="Yes","IPP",VLOOKUP($J131,'ELA Reading Logic'!$A$13:$K$19,VLOOKUP(AK$1,'ELA Reading Logic'!$J$22:$K$31,2,FALSE),FALSE)),"Set Grade")</f>
        <v>Set Grade</v>
      </c>
      <c r="AN131" s="96" t="str">
        <f>IF($E131="Yes","IPP",IFERROR(IF(AND(AK131&gt;AL131,AK131&lt;AM131),"0",(VLOOKUP(AK131,'ELA Reading Logic'!$A$22:$B$48,2,FALSE))-(IF(VLOOKUP(AK131,'ELA Reading Logic'!$A$22:$B$48,2,FALSE)&lt;=VLOOKUP(AL131,'ELA Reading Logic'!$A$22:$B$48,2,FALSE),VLOOKUP(AL131,'ELA Reading Logic'!$A$22:$B$48,2,FALSE),IF(VLOOKUP(AK131,'ELA Reading Logic'!$A$22:$B$48,2,FALSE)&gt;=VLOOKUP(AM131,'ELA Reading Logic'!$A$22:$B$48,2,FALSE),VLOOKUP(AM131,'ELA Reading Logic'!$A$22:$B$48,2,FALSE),"No Score")))),"No Value"))</f>
        <v>No Value</v>
      </c>
      <c r="AO131" s="96" t="str">
        <f>IFERROR(VLOOKUP(AK131,'ELA Reading Logic'!$A$22:$B$48,2,FALSE)-VLOOKUP($F131,'ELA Reading Logic'!$A$22:$B$48,2,FALSE),"No Value")</f>
        <v>No Value</v>
      </c>
      <c r="AP131" s="92"/>
      <c r="AQ131" s="96" t="str">
        <f>IFERROR(IF($E131="Yes","IPP",VLOOKUP($J131,'ELA Reading Logic'!$A$3:$K$9,VLOOKUP(AP$1,'ELA Reading Logic'!$J$22:$K$31,2,FALSE),FALSE)),"Set Grade")</f>
        <v>Set Grade</v>
      </c>
      <c r="AR131" s="96" t="str">
        <f>IFERROR(IF($E131="Yes","IPP",VLOOKUP($J131,'ELA Reading Logic'!$A$13:$K$19,VLOOKUP(AP$1,'ELA Reading Logic'!$J$22:$K$31,2,FALSE),FALSE)),"Set Grade")</f>
        <v>Set Grade</v>
      </c>
      <c r="AS131" s="96" t="str">
        <f>IF($E131="Yes","IPP",IFERROR(IF(AND(AP131&gt;AQ131,AP131&lt;AR131),"0",(VLOOKUP(AP131,'ELA Reading Logic'!$A$22:$B$48,2,FALSE))-(IF(VLOOKUP(AP131,'ELA Reading Logic'!$A$22:$B$48,2,FALSE)&lt;=VLOOKUP(AQ131,'ELA Reading Logic'!$A$22:$B$48,2,FALSE),VLOOKUP(AQ131,'ELA Reading Logic'!$A$22:$B$48,2,FALSE),IF(VLOOKUP(AP131,'ELA Reading Logic'!$A$22:$B$48,2,FALSE)&gt;=VLOOKUP(AR131,'ELA Reading Logic'!$A$22:$B$48,2,FALSE),VLOOKUP(AR131,'ELA Reading Logic'!$A$22:$B$48,2,FALSE),"No Score")))),"No Value"))</f>
        <v>No Value</v>
      </c>
      <c r="AT131" s="96" t="str">
        <f>IFERROR(VLOOKUP(AP131,'ELA Reading Logic'!$A$22:$B$48,2,FALSE)-VLOOKUP($F131,'ELA Reading Logic'!$A$22:$B$48,2,FALSE),"No Value")</f>
        <v>No Value</v>
      </c>
    </row>
    <row r="132" spans="1:46" ht="22.5" customHeight="1" x14ac:dyDescent="0.25">
      <c r="A132" s="174"/>
      <c r="B132" s="174"/>
      <c r="C132" s="174"/>
      <c r="D132" s="174"/>
      <c r="E132" s="175"/>
      <c r="F132" s="175"/>
      <c r="G132" s="177" t="str">
        <f>IFERROR(IF($E132="Yes","IPP",VLOOKUP($J132,'ELA Reading Logic'!$A$3:$K$9,VLOOKUP("September",'ELA Reading Logic'!$J$22:$K$31,2,FALSE),FALSE)),"Set Grade")</f>
        <v>Set Grade</v>
      </c>
      <c r="H132" s="177" t="str">
        <f>IFERROR(IF($E132="Yes","IPP",VLOOKUP($J132,'ELA Reading Logic'!$A$13:$K$19,VLOOKUP("September",'ELA Reading Logic'!$J$22:$K$31,2,FALSE),FALSE)),"Set Grade")</f>
        <v>Set Grade</v>
      </c>
      <c r="I132" s="96" t="str">
        <f>IF($E132="Yes","IPP",IFERROR(IF(AND(F132&gt;G132,F132&lt;H132),"0",(VLOOKUP(F132,'ELA Reading Logic'!$A$22:$B$48,2,FALSE))-(IF(VLOOKUP(F132,'ELA Reading Logic'!$A$22:$B$48,2,FALSE)&lt;=VLOOKUP(G132,'ELA Reading Logic'!$A$22:$B$48,2,FALSE),VLOOKUP(G132,'ELA Reading Logic'!$A$22:$B$48,2,FALSE),IF(VLOOKUP(F132,'ELA Reading Logic'!$A$22:$B$48,2,FALSE)&gt;=VLOOKUP(H132,'ELA Reading Logic'!$A$22:$B$48,2,FALSE),VLOOKUP(H132,'ELA Reading Logic'!$A$22:$B$48,2,FALSE),"No Score")))),"No Value"))</f>
        <v>No Value</v>
      </c>
      <c r="J132" s="178"/>
      <c r="K132" s="96"/>
      <c r="L132" s="96"/>
      <c r="M132" s="96"/>
      <c r="N132" s="96"/>
      <c r="O132" s="96"/>
      <c r="P132" s="105"/>
      <c r="Q132" s="92"/>
      <c r="R132" s="96" t="str">
        <f>IFERROR(IF($E132="Yes","IPP",VLOOKUP($J132,'ELA Reading Logic'!$A$3:$K$9,VLOOKUP(Q$1,'ELA Reading Logic'!$J$22:$K$31,2,FALSE),FALSE)),"Set Grade")</f>
        <v>Set Grade</v>
      </c>
      <c r="S132" s="96" t="str">
        <f>IFERROR(IF($E132="Yes","IPP",VLOOKUP($J132,'ELA Reading Logic'!$A$13:$K$19,VLOOKUP(Q$1,'ELA Reading Logic'!$J$22:$K$31,2,FALSE),FALSE)),"Set Grade")</f>
        <v>Set Grade</v>
      </c>
      <c r="T132" s="96" t="str">
        <f>IF($E132="Yes","IPP",IFERROR(IF(AND(Q132&gt;R132,Q132&lt;S132),"0",(VLOOKUP(Q132,'ELA Reading Logic'!$A$22:$B$48,2,FALSE))-(IF(VLOOKUP(Q132,'ELA Reading Logic'!$A$22:$B$48,2,FALSE)&lt;=VLOOKUP(R132,'ELA Reading Logic'!$A$22:$B$48,2,FALSE),VLOOKUP(R132,'ELA Reading Logic'!$A$22:$B$48,2,FALSE),IF(VLOOKUP(Q132,'ELA Reading Logic'!$A$22:$B$48,2,FALSE)&gt;=VLOOKUP(S132,'ELA Reading Logic'!$A$22:$B$48,2,FALSE),VLOOKUP(S132,'ELA Reading Logic'!$A$22:$B$48,2,FALSE),"No Score")))),"No Value"))</f>
        <v>No Value</v>
      </c>
      <c r="U132" s="96" t="str">
        <f>IFERROR(VLOOKUP(Q132,'ELA Reading Logic'!$A$22:$B$48,2,FALSE)-VLOOKUP($F132,'ELA Reading Logic'!$A$22:$B$48,2,FALSE),"No Value")</f>
        <v>No Value</v>
      </c>
      <c r="V132" s="92"/>
      <c r="W132" s="96" t="str">
        <f>IFERROR(IF($E132="Yes","IPP",VLOOKUP($J132,'ELA Reading Logic'!$A$3:$K$9,VLOOKUP(V$1,'ELA Reading Logic'!$J$22:$K$31,2,FALSE),FALSE)),"Set Grade")</f>
        <v>Set Grade</v>
      </c>
      <c r="X132" s="96" t="str">
        <f>IFERROR(IF($E132="Yes","IPP",VLOOKUP($J132,'ELA Reading Logic'!$A$13:$K$19,VLOOKUP(V$1,'ELA Reading Logic'!$J$22:$K$31,2,FALSE),FALSE)),"Set Grade")</f>
        <v>Set Grade</v>
      </c>
      <c r="Y132" s="96" t="str">
        <f>IF($E132="Yes","IPP",IFERROR(IF(AND(V132&gt;W132,V132&lt;X132),"0",(VLOOKUP(V132,'ELA Reading Logic'!$A$22:$B$48,2,FALSE))-(IF(VLOOKUP(V132,'ELA Reading Logic'!$A$22:$B$48,2,FALSE)&lt;=VLOOKUP(W132,'ELA Reading Logic'!$A$22:$B$48,2,FALSE),VLOOKUP(W132,'ELA Reading Logic'!$A$22:$B$48,2,FALSE),IF(VLOOKUP(V132,'ELA Reading Logic'!$A$22:$B$48,2,FALSE)&gt;=VLOOKUP(X132,'ELA Reading Logic'!$A$22:$B$48,2,FALSE),VLOOKUP(X132,'ELA Reading Logic'!$A$22:$B$48,2,FALSE),"No Score")))),"No Value"))</f>
        <v>No Value</v>
      </c>
      <c r="Z132" s="96" t="str">
        <f>IFERROR(VLOOKUP(V132,'ELA Reading Logic'!$A$22:$B$48,2,FALSE)-VLOOKUP($F132,'ELA Reading Logic'!$A$22:$B$48,2,FALSE),"No Value")</f>
        <v>No Value</v>
      </c>
      <c r="AA132" s="92"/>
      <c r="AB132" s="96" t="str">
        <f>IFERROR(IF($E132="Yes","IPP",VLOOKUP($J132,'ELA Reading Logic'!$A$3:$K$9,VLOOKUP(AA$1,'ELA Reading Logic'!$J$22:$K$31,2,FALSE),FALSE)),"Set Grade")</f>
        <v>Set Grade</v>
      </c>
      <c r="AC132" s="96" t="str">
        <f>IFERROR(IF($E132="Yes","IPP",VLOOKUP($J132,'ELA Reading Logic'!$A$13:$K$19,VLOOKUP(AA$1,'ELA Reading Logic'!$J$22:$K$31,2,FALSE),FALSE)),"Set Grade")</f>
        <v>Set Grade</v>
      </c>
      <c r="AD132" s="96" t="str">
        <f>IF($E132="Yes","IPP",IFERROR(IF(AND(AA132&gt;AB132,AA132&lt;AC132),"0",(VLOOKUP(AA132,'ELA Reading Logic'!$A$22:$B$48,2,FALSE))-(IF(VLOOKUP(AA132,'ELA Reading Logic'!$A$22:$B$48,2,FALSE)&lt;=VLOOKUP(AB132,'ELA Reading Logic'!$A$22:$B$48,2,FALSE),VLOOKUP(AB132,'ELA Reading Logic'!$A$22:$B$48,2,FALSE),IF(VLOOKUP(AA132,'ELA Reading Logic'!$A$22:$B$48,2,FALSE)&gt;=VLOOKUP(AC132,'ELA Reading Logic'!$A$22:$B$48,2,FALSE),VLOOKUP(AC132,'ELA Reading Logic'!$A$22:$B$48,2,FALSE),"No Score")))),"No Value"))</f>
        <v>No Value</v>
      </c>
      <c r="AE132" s="96" t="str">
        <f>IFERROR(VLOOKUP(AA132,'ELA Reading Logic'!$A$22:$B$48,2,FALSE)-VLOOKUP($F132,'ELA Reading Logic'!$A$22:$B$48,2,FALSE),"No Value")</f>
        <v>No Value</v>
      </c>
      <c r="AF132" s="92"/>
      <c r="AG132" s="96" t="str">
        <f>IFERROR(IF($E132="Yes","IPP",VLOOKUP($J132,'ELA Reading Logic'!$A$3:$K$9,VLOOKUP(AF$1,'ELA Reading Logic'!$J$22:$K$31,2,FALSE),FALSE)),"Set Grade")</f>
        <v>Set Grade</v>
      </c>
      <c r="AH132" s="96" t="str">
        <f>IFERROR(IF($E132="Yes","IPP",VLOOKUP($J132,'ELA Reading Logic'!$A$13:$K$19,VLOOKUP(AF$1,'ELA Reading Logic'!$J$22:$K$31,2,FALSE),FALSE)),"Set Grade")</f>
        <v>Set Grade</v>
      </c>
      <c r="AI132" s="96" t="str">
        <f>IF($E132="Yes","IPP",IFERROR(IF(AND(AF132&gt;AG132,AF132&lt;AH132),"0",(VLOOKUP(AF132,'ELA Reading Logic'!$A$22:$B$48,2,FALSE))-(IF(VLOOKUP(AF132,'ELA Reading Logic'!$A$22:$B$48,2,FALSE)&lt;=VLOOKUP(AG132,'ELA Reading Logic'!$A$22:$B$48,2,FALSE),VLOOKUP(AG132,'ELA Reading Logic'!$A$22:$B$48,2,FALSE),IF(VLOOKUP(AF132,'ELA Reading Logic'!$A$22:$B$48,2,FALSE)&gt;=VLOOKUP(AH132,'ELA Reading Logic'!$A$22:$B$48,2,FALSE),VLOOKUP(AH132,'ELA Reading Logic'!$A$22:$B$48,2,FALSE),"No Score")))),"No Value"))</f>
        <v>No Value</v>
      </c>
      <c r="AJ132" s="96" t="str">
        <f>IFERROR(VLOOKUP(AF132,'ELA Reading Logic'!$A$22:$B$48,2,FALSE)-VLOOKUP($F132,'ELA Reading Logic'!$A$22:$B$48,2,FALSE),"No Value")</f>
        <v>No Value</v>
      </c>
      <c r="AK132" s="92"/>
      <c r="AL132" s="96" t="str">
        <f>IFERROR(IF($E132="Yes","IPP",VLOOKUP($J132,'ELA Reading Logic'!$A$3:$K$9,VLOOKUP(AK$1,'ELA Reading Logic'!$J$22:$K$31,2,FALSE),FALSE)),"Set Grade")</f>
        <v>Set Grade</v>
      </c>
      <c r="AM132" s="96" t="str">
        <f>IFERROR(IF($E132="Yes","IPP",VLOOKUP($J132,'ELA Reading Logic'!$A$13:$K$19,VLOOKUP(AK$1,'ELA Reading Logic'!$J$22:$K$31,2,FALSE),FALSE)),"Set Grade")</f>
        <v>Set Grade</v>
      </c>
      <c r="AN132" s="96" t="str">
        <f>IF($E132="Yes","IPP",IFERROR(IF(AND(AK132&gt;AL132,AK132&lt;AM132),"0",(VLOOKUP(AK132,'ELA Reading Logic'!$A$22:$B$48,2,FALSE))-(IF(VLOOKUP(AK132,'ELA Reading Logic'!$A$22:$B$48,2,FALSE)&lt;=VLOOKUP(AL132,'ELA Reading Logic'!$A$22:$B$48,2,FALSE),VLOOKUP(AL132,'ELA Reading Logic'!$A$22:$B$48,2,FALSE),IF(VLOOKUP(AK132,'ELA Reading Logic'!$A$22:$B$48,2,FALSE)&gt;=VLOOKUP(AM132,'ELA Reading Logic'!$A$22:$B$48,2,FALSE),VLOOKUP(AM132,'ELA Reading Logic'!$A$22:$B$48,2,FALSE),"No Score")))),"No Value"))</f>
        <v>No Value</v>
      </c>
      <c r="AO132" s="96" t="str">
        <f>IFERROR(VLOOKUP(AK132,'ELA Reading Logic'!$A$22:$B$48,2,FALSE)-VLOOKUP($F132,'ELA Reading Logic'!$A$22:$B$48,2,FALSE),"No Value")</f>
        <v>No Value</v>
      </c>
      <c r="AP132" s="92"/>
      <c r="AQ132" s="96" t="str">
        <f>IFERROR(IF($E132="Yes","IPP",VLOOKUP($J132,'ELA Reading Logic'!$A$3:$K$9,VLOOKUP(AP$1,'ELA Reading Logic'!$J$22:$K$31,2,FALSE),FALSE)),"Set Grade")</f>
        <v>Set Grade</v>
      </c>
      <c r="AR132" s="96" t="str">
        <f>IFERROR(IF($E132="Yes","IPP",VLOOKUP($J132,'ELA Reading Logic'!$A$13:$K$19,VLOOKUP(AP$1,'ELA Reading Logic'!$J$22:$K$31,2,FALSE),FALSE)),"Set Grade")</f>
        <v>Set Grade</v>
      </c>
      <c r="AS132" s="96" t="str">
        <f>IF($E132="Yes","IPP",IFERROR(IF(AND(AP132&gt;AQ132,AP132&lt;AR132),"0",(VLOOKUP(AP132,'ELA Reading Logic'!$A$22:$B$48,2,FALSE))-(IF(VLOOKUP(AP132,'ELA Reading Logic'!$A$22:$B$48,2,FALSE)&lt;=VLOOKUP(AQ132,'ELA Reading Logic'!$A$22:$B$48,2,FALSE),VLOOKUP(AQ132,'ELA Reading Logic'!$A$22:$B$48,2,FALSE),IF(VLOOKUP(AP132,'ELA Reading Logic'!$A$22:$B$48,2,FALSE)&gt;=VLOOKUP(AR132,'ELA Reading Logic'!$A$22:$B$48,2,FALSE),VLOOKUP(AR132,'ELA Reading Logic'!$A$22:$B$48,2,FALSE),"No Score")))),"No Value"))</f>
        <v>No Value</v>
      </c>
      <c r="AT132" s="96" t="str">
        <f>IFERROR(VLOOKUP(AP132,'ELA Reading Logic'!$A$22:$B$48,2,FALSE)-VLOOKUP($F132,'ELA Reading Logic'!$A$22:$B$48,2,FALSE),"No Value")</f>
        <v>No Value</v>
      </c>
    </row>
    <row r="133" spans="1:46" ht="22.5" customHeight="1" x14ac:dyDescent="0.25">
      <c r="A133" s="176"/>
      <c r="B133" s="176"/>
      <c r="C133" s="176"/>
      <c r="D133" s="176"/>
      <c r="E133" s="175"/>
      <c r="F133" s="175"/>
      <c r="G133" s="177" t="str">
        <f>IFERROR(IF($E133="Yes","IPP",VLOOKUP($J133,'ELA Reading Logic'!$A$3:$K$9,VLOOKUP("September",'ELA Reading Logic'!$J$22:$K$31,2,FALSE),FALSE)),"Set Grade")</f>
        <v>Set Grade</v>
      </c>
      <c r="H133" s="177" t="str">
        <f>IFERROR(IF($E133="Yes","IPP",VLOOKUP($J133,'ELA Reading Logic'!$A$13:$K$19,VLOOKUP("September",'ELA Reading Logic'!$J$22:$K$31,2,FALSE),FALSE)),"Set Grade")</f>
        <v>Set Grade</v>
      </c>
      <c r="I133" s="96" t="str">
        <f>IF($E133="Yes","IPP",IFERROR(IF(AND(F133&gt;G133,F133&lt;H133),"0",(VLOOKUP(F133,'ELA Reading Logic'!$A$22:$B$48,2,FALSE))-(IF(VLOOKUP(F133,'ELA Reading Logic'!$A$22:$B$48,2,FALSE)&lt;=VLOOKUP(G133,'ELA Reading Logic'!$A$22:$B$48,2,FALSE),VLOOKUP(G133,'ELA Reading Logic'!$A$22:$B$48,2,FALSE),IF(VLOOKUP(F133,'ELA Reading Logic'!$A$22:$B$48,2,FALSE)&gt;=VLOOKUP(H133,'ELA Reading Logic'!$A$22:$B$48,2,FALSE),VLOOKUP(H133,'ELA Reading Logic'!$A$22:$B$48,2,FALSE),"No Score")))),"No Value"))</f>
        <v>No Value</v>
      </c>
      <c r="J133" s="178"/>
      <c r="K133" s="96"/>
      <c r="L133" s="96"/>
      <c r="M133" s="96"/>
      <c r="N133" s="96"/>
      <c r="O133" s="96"/>
      <c r="P133" s="105"/>
      <c r="Q133" s="92"/>
      <c r="R133" s="96" t="str">
        <f>IFERROR(IF($E133="Yes","IPP",VLOOKUP($J133,'ELA Reading Logic'!$A$3:$K$9,VLOOKUP(Q$1,'ELA Reading Logic'!$J$22:$K$31,2,FALSE),FALSE)),"Set Grade")</f>
        <v>Set Grade</v>
      </c>
      <c r="S133" s="96" t="str">
        <f>IFERROR(IF($E133="Yes","IPP",VLOOKUP($J133,'ELA Reading Logic'!$A$13:$K$19,VLOOKUP(Q$1,'ELA Reading Logic'!$J$22:$K$31,2,FALSE),FALSE)),"Set Grade")</f>
        <v>Set Grade</v>
      </c>
      <c r="T133" s="96" t="str">
        <f>IF($E133="Yes","IPP",IFERROR(IF(AND(Q133&gt;R133,Q133&lt;S133),"0",(VLOOKUP(Q133,'ELA Reading Logic'!$A$22:$B$48,2,FALSE))-(IF(VLOOKUP(Q133,'ELA Reading Logic'!$A$22:$B$48,2,FALSE)&lt;=VLOOKUP(R133,'ELA Reading Logic'!$A$22:$B$48,2,FALSE),VLOOKUP(R133,'ELA Reading Logic'!$A$22:$B$48,2,FALSE),IF(VLOOKUP(Q133,'ELA Reading Logic'!$A$22:$B$48,2,FALSE)&gt;=VLOOKUP(S133,'ELA Reading Logic'!$A$22:$B$48,2,FALSE),VLOOKUP(S133,'ELA Reading Logic'!$A$22:$B$48,2,FALSE),"No Score")))),"No Value"))</f>
        <v>No Value</v>
      </c>
      <c r="U133" s="96" t="str">
        <f>IFERROR(VLOOKUP(Q133,'ELA Reading Logic'!$A$22:$B$48,2,FALSE)-VLOOKUP($F133,'ELA Reading Logic'!$A$22:$B$48,2,FALSE),"No Value")</f>
        <v>No Value</v>
      </c>
      <c r="V133" s="92"/>
      <c r="W133" s="96" t="str">
        <f>IFERROR(IF($E133="Yes","IPP",VLOOKUP($J133,'ELA Reading Logic'!$A$3:$K$9,VLOOKUP(V$1,'ELA Reading Logic'!$J$22:$K$31,2,FALSE),FALSE)),"Set Grade")</f>
        <v>Set Grade</v>
      </c>
      <c r="X133" s="96" t="str">
        <f>IFERROR(IF($E133="Yes","IPP",VLOOKUP($J133,'ELA Reading Logic'!$A$13:$K$19,VLOOKUP(V$1,'ELA Reading Logic'!$J$22:$K$31,2,FALSE),FALSE)),"Set Grade")</f>
        <v>Set Grade</v>
      </c>
      <c r="Y133" s="96" t="str">
        <f>IF($E133="Yes","IPP",IFERROR(IF(AND(V133&gt;W133,V133&lt;X133),"0",(VLOOKUP(V133,'ELA Reading Logic'!$A$22:$B$48,2,FALSE))-(IF(VLOOKUP(V133,'ELA Reading Logic'!$A$22:$B$48,2,FALSE)&lt;=VLOOKUP(W133,'ELA Reading Logic'!$A$22:$B$48,2,FALSE),VLOOKUP(W133,'ELA Reading Logic'!$A$22:$B$48,2,FALSE),IF(VLOOKUP(V133,'ELA Reading Logic'!$A$22:$B$48,2,FALSE)&gt;=VLOOKUP(X133,'ELA Reading Logic'!$A$22:$B$48,2,FALSE),VLOOKUP(X133,'ELA Reading Logic'!$A$22:$B$48,2,FALSE),"No Score")))),"No Value"))</f>
        <v>No Value</v>
      </c>
      <c r="Z133" s="96" t="str">
        <f>IFERROR(VLOOKUP(V133,'ELA Reading Logic'!$A$22:$B$48,2,FALSE)-VLOOKUP($F133,'ELA Reading Logic'!$A$22:$B$48,2,FALSE),"No Value")</f>
        <v>No Value</v>
      </c>
      <c r="AA133" s="92"/>
      <c r="AB133" s="96" t="str">
        <f>IFERROR(IF($E133="Yes","IPP",VLOOKUP($J133,'ELA Reading Logic'!$A$3:$K$9,VLOOKUP(AA$1,'ELA Reading Logic'!$J$22:$K$31,2,FALSE),FALSE)),"Set Grade")</f>
        <v>Set Grade</v>
      </c>
      <c r="AC133" s="96" t="str">
        <f>IFERROR(IF($E133="Yes","IPP",VLOOKUP($J133,'ELA Reading Logic'!$A$13:$K$19,VLOOKUP(AA$1,'ELA Reading Logic'!$J$22:$K$31,2,FALSE),FALSE)),"Set Grade")</f>
        <v>Set Grade</v>
      </c>
      <c r="AD133" s="96" t="str">
        <f>IF($E133="Yes","IPP",IFERROR(IF(AND(AA133&gt;AB133,AA133&lt;AC133),"0",(VLOOKUP(AA133,'ELA Reading Logic'!$A$22:$B$48,2,FALSE))-(IF(VLOOKUP(AA133,'ELA Reading Logic'!$A$22:$B$48,2,FALSE)&lt;=VLOOKUP(AB133,'ELA Reading Logic'!$A$22:$B$48,2,FALSE),VLOOKUP(AB133,'ELA Reading Logic'!$A$22:$B$48,2,FALSE),IF(VLOOKUP(AA133,'ELA Reading Logic'!$A$22:$B$48,2,FALSE)&gt;=VLOOKUP(AC133,'ELA Reading Logic'!$A$22:$B$48,2,FALSE),VLOOKUP(AC133,'ELA Reading Logic'!$A$22:$B$48,2,FALSE),"No Score")))),"No Value"))</f>
        <v>No Value</v>
      </c>
      <c r="AE133" s="96" t="str">
        <f>IFERROR(VLOOKUP(AA133,'ELA Reading Logic'!$A$22:$B$48,2,FALSE)-VLOOKUP($F133,'ELA Reading Logic'!$A$22:$B$48,2,FALSE),"No Value")</f>
        <v>No Value</v>
      </c>
      <c r="AF133" s="92"/>
      <c r="AG133" s="96" t="str">
        <f>IFERROR(IF($E133="Yes","IPP",VLOOKUP($J133,'ELA Reading Logic'!$A$3:$K$9,VLOOKUP(AF$1,'ELA Reading Logic'!$J$22:$K$31,2,FALSE),FALSE)),"Set Grade")</f>
        <v>Set Grade</v>
      </c>
      <c r="AH133" s="96" t="str">
        <f>IFERROR(IF($E133="Yes","IPP",VLOOKUP($J133,'ELA Reading Logic'!$A$13:$K$19,VLOOKUP(AF$1,'ELA Reading Logic'!$J$22:$K$31,2,FALSE),FALSE)),"Set Grade")</f>
        <v>Set Grade</v>
      </c>
      <c r="AI133" s="96" t="str">
        <f>IF($E133="Yes","IPP",IFERROR(IF(AND(AF133&gt;AG133,AF133&lt;AH133),"0",(VLOOKUP(AF133,'ELA Reading Logic'!$A$22:$B$48,2,FALSE))-(IF(VLOOKUP(AF133,'ELA Reading Logic'!$A$22:$B$48,2,FALSE)&lt;=VLOOKUP(AG133,'ELA Reading Logic'!$A$22:$B$48,2,FALSE),VLOOKUP(AG133,'ELA Reading Logic'!$A$22:$B$48,2,FALSE),IF(VLOOKUP(AF133,'ELA Reading Logic'!$A$22:$B$48,2,FALSE)&gt;=VLOOKUP(AH133,'ELA Reading Logic'!$A$22:$B$48,2,FALSE),VLOOKUP(AH133,'ELA Reading Logic'!$A$22:$B$48,2,FALSE),"No Score")))),"No Value"))</f>
        <v>No Value</v>
      </c>
      <c r="AJ133" s="96" t="str">
        <f>IFERROR(VLOOKUP(AF133,'ELA Reading Logic'!$A$22:$B$48,2,FALSE)-VLOOKUP($F133,'ELA Reading Logic'!$A$22:$B$48,2,FALSE),"No Value")</f>
        <v>No Value</v>
      </c>
      <c r="AK133" s="92"/>
      <c r="AL133" s="96" t="str">
        <f>IFERROR(IF($E133="Yes","IPP",VLOOKUP($J133,'ELA Reading Logic'!$A$3:$K$9,VLOOKUP(AK$1,'ELA Reading Logic'!$J$22:$K$31,2,FALSE),FALSE)),"Set Grade")</f>
        <v>Set Grade</v>
      </c>
      <c r="AM133" s="96" t="str">
        <f>IFERROR(IF($E133="Yes","IPP",VLOOKUP($J133,'ELA Reading Logic'!$A$13:$K$19,VLOOKUP(AK$1,'ELA Reading Logic'!$J$22:$K$31,2,FALSE),FALSE)),"Set Grade")</f>
        <v>Set Grade</v>
      </c>
      <c r="AN133" s="96" t="str">
        <f>IF($E133="Yes","IPP",IFERROR(IF(AND(AK133&gt;AL133,AK133&lt;AM133),"0",(VLOOKUP(AK133,'ELA Reading Logic'!$A$22:$B$48,2,FALSE))-(IF(VLOOKUP(AK133,'ELA Reading Logic'!$A$22:$B$48,2,FALSE)&lt;=VLOOKUP(AL133,'ELA Reading Logic'!$A$22:$B$48,2,FALSE),VLOOKUP(AL133,'ELA Reading Logic'!$A$22:$B$48,2,FALSE),IF(VLOOKUP(AK133,'ELA Reading Logic'!$A$22:$B$48,2,FALSE)&gt;=VLOOKUP(AM133,'ELA Reading Logic'!$A$22:$B$48,2,FALSE),VLOOKUP(AM133,'ELA Reading Logic'!$A$22:$B$48,2,FALSE),"No Score")))),"No Value"))</f>
        <v>No Value</v>
      </c>
      <c r="AO133" s="96" t="str">
        <f>IFERROR(VLOOKUP(AK133,'ELA Reading Logic'!$A$22:$B$48,2,FALSE)-VLOOKUP($F133,'ELA Reading Logic'!$A$22:$B$48,2,FALSE),"No Value")</f>
        <v>No Value</v>
      </c>
      <c r="AP133" s="92"/>
      <c r="AQ133" s="96" t="str">
        <f>IFERROR(IF($E133="Yes","IPP",VLOOKUP($J133,'ELA Reading Logic'!$A$3:$K$9,VLOOKUP(AP$1,'ELA Reading Logic'!$J$22:$K$31,2,FALSE),FALSE)),"Set Grade")</f>
        <v>Set Grade</v>
      </c>
      <c r="AR133" s="96" t="str">
        <f>IFERROR(IF($E133="Yes","IPP",VLOOKUP($J133,'ELA Reading Logic'!$A$13:$K$19,VLOOKUP(AP$1,'ELA Reading Logic'!$J$22:$K$31,2,FALSE),FALSE)),"Set Grade")</f>
        <v>Set Grade</v>
      </c>
      <c r="AS133" s="96" t="str">
        <f>IF($E133="Yes","IPP",IFERROR(IF(AND(AP133&gt;AQ133,AP133&lt;AR133),"0",(VLOOKUP(AP133,'ELA Reading Logic'!$A$22:$B$48,2,FALSE))-(IF(VLOOKUP(AP133,'ELA Reading Logic'!$A$22:$B$48,2,FALSE)&lt;=VLOOKUP(AQ133,'ELA Reading Logic'!$A$22:$B$48,2,FALSE),VLOOKUP(AQ133,'ELA Reading Logic'!$A$22:$B$48,2,FALSE),IF(VLOOKUP(AP133,'ELA Reading Logic'!$A$22:$B$48,2,FALSE)&gt;=VLOOKUP(AR133,'ELA Reading Logic'!$A$22:$B$48,2,FALSE),VLOOKUP(AR133,'ELA Reading Logic'!$A$22:$B$48,2,FALSE),"No Score")))),"No Value"))</f>
        <v>No Value</v>
      </c>
      <c r="AT133" s="96" t="str">
        <f>IFERROR(VLOOKUP(AP133,'ELA Reading Logic'!$A$22:$B$48,2,FALSE)-VLOOKUP($F133,'ELA Reading Logic'!$A$22:$B$48,2,FALSE),"No Value")</f>
        <v>No Value</v>
      </c>
    </row>
    <row r="134" spans="1:46" ht="22.5" customHeight="1" x14ac:dyDescent="0.25">
      <c r="A134" s="228"/>
      <c r="B134" s="229"/>
      <c r="C134" s="229"/>
      <c r="D134" s="229"/>
      <c r="E134" s="175"/>
      <c r="F134" s="175"/>
      <c r="G134" s="177" t="str">
        <f>IFERROR(IF($E134="Yes","IPP",VLOOKUP($J134,'ELA Reading Logic'!$A$3:$K$9,VLOOKUP("September",'ELA Reading Logic'!$J$22:$K$31,2,FALSE),FALSE)),"Set Grade")</f>
        <v>Set Grade</v>
      </c>
      <c r="H134" s="177" t="str">
        <f>IFERROR(IF($E134="Yes","IPP",VLOOKUP($J134,'ELA Reading Logic'!$A$13:$K$19,VLOOKUP("September",'ELA Reading Logic'!$J$22:$K$31,2,FALSE),FALSE)),"Set Grade")</f>
        <v>Set Grade</v>
      </c>
      <c r="I134" s="96" t="str">
        <f>IF($E134="Yes","IPP",IFERROR(IF(AND(F134&gt;G134,F134&lt;H134),"0",(VLOOKUP(F134,'ELA Reading Logic'!$A$22:$B$48,2,FALSE))-(IF(VLOOKUP(F134,'ELA Reading Logic'!$A$22:$B$48,2,FALSE)&lt;=VLOOKUP(G134,'ELA Reading Logic'!$A$22:$B$48,2,FALSE),VLOOKUP(G134,'ELA Reading Logic'!$A$22:$B$48,2,FALSE),IF(VLOOKUP(F134,'ELA Reading Logic'!$A$22:$B$48,2,FALSE)&gt;=VLOOKUP(H134,'ELA Reading Logic'!$A$22:$B$48,2,FALSE),VLOOKUP(H134,'ELA Reading Logic'!$A$22:$B$48,2,FALSE),"No Score")))),"No Value"))</f>
        <v>No Value</v>
      </c>
      <c r="J134" s="178"/>
      <c r="K134" s="96"/>
      <c r="L134" s="96"/>
      <c r="M134" s="96"/>
      <c r="N134" s="96"/>
      <c r="O134" s="96"/>
      <c r="P134" s="105"/>
      <c r="Q134" s="92"/>
      <c r="R134" s="96" t="str">
        <f>IFERROR(IF($E134="Yes","IPP",VLOOKUP($J134,'ELA Reading Logic'!$A$3:$K$9,VLOOKUP(Q$1,'ELA Reading Logic'!$J$22:$K$31,2,FALSE),FALSE)),"Set Grade")</f>
        <v>Set Grade</v>
      </c>
      <c r="S134" s="96" t="str">
        <f>IFERROR(IF($E134="Yes","IPP",VLOOKUP($J134,'ELA Reading Logic'!$A$13:$K$19,VLOOKUP(Q$1,'ELA Reading Logic'!$J$22:$K$31,2,FALSE),FALSE)),"Set Grade")</f>
        <v>Set Grade</v>
      </c>
      <c r="T134" s="96" t="str">
        <f>IF($E134="Yes","IPP",IFERROR(IF(AND(Q134&gt;R134,Q134&lt;S134),"0",(VLOOKUP(Q134,'ELA Reading Logic'!$A$22:$B$48,2,FALSE))-(IF(VLOOKUP(Q134,'ELA Reading Logic'!$A$22:$B$48,2,FALSE)&lt;=VLOOKUP(R134,'ELA Reading Logic'!$A$22:$B$48,2,FALSE),VLOOKUP(R134,'ELA Reading Logic'!$A$22:$B$48,2,FALSE),IF(VLOOKUP(Q134,'ELA Reading Logic'!$A$22:$B$48,2,FALSE)&gt;=VLOOKUP(S134,'ELA Reading Logic'!$A$22:$B$48,2,FALSE),VLOOKUP(S134,'ELA Reading Logic'!$A$22:$B$48,2,FALSE),"No Score")))),"No Value"))</f>
        <v>No Value</v>
      </c>
      <c r="U134" s="96" t="str">
        <f>IFERROR(VLOOKUP(Q134,'ELA Reading Logic'!$A$22:$B$48,2,FALSE)-VLOOKUP($F134,'ELA Reading Logic'!$A$22:$B$48,2,FALSE),"No Value")</f>
        <v>No Value</v>
      </c>
      <c r="V134" s="92"/>
      <c r="W134" s="96" t="str">
        <f>IFERROR(IF($E134="Yes","IPP",VLOOKUP($J134,'ELA Reading Logic'!$A$3:$K$9,VLOOKUP(V$1,'ELA Reading Logic'!$J$22:$K$31,2,FALSE),FALSE)),"Set Grade")</f>
        <v>Set Grade</v>
      </c>
      <c r="X134" s="96" t="str">
        <f>IFERROR(IF($E134="Yes","IPP",VLOOKUP($J134,'ELA Reading Logic'!$A$13:$K$19,VLOOKUP(V$1,'ELA Reading Logic'!$J$22:$K$31,2,FALSE),FALSE)),"Set Grade")</f>
        <v>Set Grade</v>
      </c>
      <c r="Y134" s="96" t="str">
        <f>IF($E134="Yes","IPP",IFERROR(IF(AND(V134&gt;W134,V134&lt;X134),"0",(VLOOKUP(V134,'ELA Reading Logic'!$A$22:$B$48,2,FALSE))-(IF(VLOOKUP(V134,'ELA Reading Logic'!$A$22:$B$48,2,FALSE)&lt;=VLOOKUP(W134,'ELA Reading Logic'!$A$22:$B$48,2,FALSE),VLOOKUP(W134,'ELA Reading Logic'!$A$22:$B$48,2,FALSE),IF(VLOOKUP(V134,'ELA Reading Logic'!$A$22:$B$48,2,FALSE)&gt;=VLOOKUP(X134,'ELA Reading Logic'!$A$22:$B$48,2,FALSE),VLOOKUP(X134,'ELA Reading Logic'!$A$22:$B$48,2,FALSE),"No Score")))),"No Value"))</f>
        <v>No Value</v>
      </c>
      <c r="Z134" s="96" t="str">
        <f>IFERROR(VLOOKUP(V134,'ELA Reading Logic'!$A$22:$B$48,2,FALSE)-VLOOKUP($F134,'ELA Reading Logic'!$A$22:$B$48,2,FALSE),"No Value")</f>
        <v>No Value</v>
      </c>
      <c r="AA134" s="92"/>
      <c r="AB134" s="96" t="str">
        <f>IFERROR(IF($E134="Yes","IPP",VLOOKUP($J134,'ELA Reading Logic'!$A$3:$K$9,VLOOKUP(AA$1,'ELA Reading Logic'!$J$22:$K$31,2,FALSE),FALSE)),"Set Grade")</f>
        <v>Set Grade</v>
      </c>
      <c r="AC134" s="96" t="str">
        <f>IFERROR(IF($E134="Yes","IPP",VLOOKUP($J134,'ELA Reading Logic'!$A$13:$K$19,VLOOKUP(AA$1,'ELA Reading Logic'!$J$22:$K$31,2,FALSE),FALSE)),"Set Grade")</f>
        <v>Set Grade</v>
      </c>
      <c r="AD134" s="96" t="str">
        <f>IF($E134="Yes","IPP",IFERROR(IF(AND(AA134&gt;AB134,AA134&lt;AC134),"0",(VLOOKUP(AA134,'ELA Reading Logic'!$A$22:$B$48,2,FALSE))-(IF(VLOOKUP(AA134,'ELA Reading Logic'!$A$22:$B$48,2,FALSE)&lt;=VLOOKUP(AB134,'ELA Reading Logic'!$A$22:$B$48,2,FALSE),VLOOKUP(AB134,'ELA Reading Logic'!$A$22:$B$48,2,FALSE),IF(VLOOKUP(AA134,'ELA Reading Logic'!$A$22:$B$48,2,FALSE)&gt;=VLOOKUP(AC134,'ELA Reading Logic'!$A$22:$B$48,2,FALSE),VLOOKUP(AC134,'ELA Reading Logic'!$A$22:$B$48,2,FALSE),"No Score")))),"No Value"))</f>
        <v>No Value</v>
      </c>
      <c r="AE134" s="96" t="str">
        <f>IFERROR(VLOOKUP(AA134,'ELA Reading Logic'!$A$22:$B$48,2,FALSE)-VLOOKUP($F134,'ELA Reading Logic'!$A$22:$B$48,2,FALSE),"No Value")</f>
        <v>No Value</v>
      </c>
      <c r="AF134" s="92"/>
      <c r="AG134" s="96" t="str">
        <f>IFERROR(IF($E134="Yes","IPP",VLOOKUP($J134,'ELA Reading Logic'!$A$3:$K$9,VLOOKUP(AF$1,'ELA Reading Logic'!$J$22:$K$31,2,FALSE),FALSE)),"Set Grade")</f>
        <v>Set Grade</v>
      </c>
      <c r="AH134" s="96" t="str">
        <f>IFERROR(IF($E134="Yes","IPP",VLOOKUP($J134,'ELA Reading Logic'!$A$13:$K$19,VLOOKUP(AF$1,'ELA Reading Logic'!$J$22:$K$31,2,FALSE),FALSE)),"Set Grade")</f>
        <v>Set Grade</v>
      </c>
      <c r="AI134" s="96" t="str">
        <f>IF($E134="Yes","IPP",IFERROR(IF(AND(AF134&gt;AG134,AF134&lt;AH134),"0",(VLOOKUP(AF134,'ELA Reading Logic'!$A$22:$B$48,2,FALSE))-(IF(VLOOKUP(AF134,'ELA Reading Logic'!$A$22:$B$48,2,FALSE)&lt;=VLOOKUP(AG134,'ELA Reading Logic'!$A$22:$B$48,2,FALSE),VLOOKUP(AG134,'ELA Reading Logic'!$A$22:$B$48,2,FALSE),IF(VLOOKUP(AF134,'ELA Reading Logic'!$A$22:$B$48,2,FALSE)&gt;=VLOOKUP(AH134,'ELA Reading Logic'!$A$22:$B$48,2,FALSE),VLOOKUP(AH134,'ELA Reading Logic'!$A$22:$B$48,2,FALSE),"No Score")))),"No Value"))</f>
        <v>No Value</v>
      </c>
      <c r="AJ134" s="96" t="str">
        <f>IFERROR(VLOOKUP(AF134,'ELA Reading Logic'!$A$22:$B$48,2,FALSE)-VLOOKUP($F134,'ELA Reading Logic'!$A$22:$B$48,2,FALSE),"No Value")</f>
        <v>No Value</v>
      </c>
      <c r="AK134" s="92"/>
      <c r="AL134" s="96" t="str">
        <f>IFERROR(IF($E134="Yes","IPP",VLOOKUP($J134,'ELA Reading Logic'!$A$3:$K$9,VLOOKUP(AK$1,'ELA Reading Logic'!$J$22:$K$31,2,FALSE),FALSE)),"Set Grade")</f>
        <v>Set Grade</v>
      </c>
      <c r="AM134" s="96" t="str">
        <f>IFERROR(IF($E134="Yes","IPP",VLOOKUP($J134,'ELA Reading Logic'!$A$13:$K$19,VLOOKUP(AK$1,'ELA Reading Logic'!$J$22:$K$31,2,FALSE),FALSE)),"Set Grade")</f>
        <v>Set Grade</v>
      </c>
      <c r="AN134" s="96" t="str">
        <f>IF($E134="Yes","IPP",IFERROR(IF(AND(AK134&gt;AL134,AK134&lt;AM134),"0",(VLOOKUP(AK134,'ELA Reading Logic'!$A$22:$B$48,2,FALSE))-(IF(VLOOKUP(AK134,'ELA Reading Logic'!$A$22:$B$48,2,FALSE)&lt;=VLOOKUP(AL134,'ELA Reading Logic'!$A$22:$B$48,2,FALSE),VLOOKUP(AL134,'ELA Reading Logic'!$A$22:$B$48,2,FALSE),IF(VLOOKUP(AK134,'ELA Reading Logic'!$A$22:$B$48,2,FALSE)&gt;=VLOOKUP(AM134,'ELA Reading Logic'!$A$22:$B$48,2,FALSE),VLOOKUP(AM134,'ELA Reading Logic'!$A$22:$B$48,2,FALSE),"No Score")))),"No Value"))</f>
        <v>No Value</v>
      </c>
      <c r="AO134" s="96" t="str">
        <f>IFERROR(VLOOKUP(AK134,'ELA Reading Logic'!$A$22:$B$48,2,FALSE)-VLOOKUP($F134,'ELA Reading Logic'!$A$22:$B$48,2,FALSE),"No Value")</f>
        <v>No Value</v>
      </c>
      <c r="AP134" s="92"/>
      <c r="AQ134" s="96" t="str">
        <f>IFERROR(IF($E134="Yes","IPP",VLOOKUP($J134,'ELA Reading Logic'!$A$3:$K$9,VLOOKUP(AP$1,'ELA Reading Logic'!$J$22:$K$31,2,FALSE),FALSE)),"Set Grade")</f>
        <v>Set Grade</v>
      </c>
      <c r="AR134" s="96" t="str">
        <f>IFERROR(IF($E134="Yes","IPP",VLOOKUP($J134,'ELA Reading Logic'!$A$13:$K$19,VLOOKUP(AP$1,'ELA Reading Logic'!$J$22:$K$31,2,FALSE),FALSE)),"Set Grade")</f>
        <v>Set Grade</v>
      </c>
      <c r="AS134" s="96" t="str">
        <f>IF($E134="Yes","IPP",IFERROR(IF(AND(AP134&gt;AQ134,AP134&lt;AR134),"0",(VLOOKUP(AP134,'ELA Reading Logic'!$A$22:$B$48,2,FALSE))-(IF(VLOOKUP(AP134,'ELA Reading Logic'!$A$22:$B$48,2,FALSE)&lt;=VLOOKUP(AQ134,'ELA Reading Logic'!$A$22:$B$48,2,FALSE),VLOOKUP(AQ134,'ELA Reading Logic'!$A$22:$B$48,2,FALSE),IF(VLOOKUP(AP134,'ELA Reading Logic'!$A$22:$B$48,2,FALSE)&gt;=VLOOKUP(AR134,'ELA Reading Logic'!$A$22:$B$48,2,FALSE),VLOOKUP(AR134,'ELA Reading Logic'!$A$22:$B$48,2,FALSE),"No Score")))),"No Value"))</f>
        <v>No Value</v>
      </c>
      <c r="AT134" s="96" t="str">
        <f>IFERROR(VLOOKUP(AP134,'ELA Reading Logic'!$A$22:$B$48,2,FALSE)-VLOOKUP($F134,'ELA Reading Logic'!$A$22:$B$48,2,FALSE),"No Value")</f>
        <v>No Value</v>
      </c>
    </row>
    <row r="135" spans="1:46" ht="22.5" customHeight="1" x14ac:dyDescent="0.25">
      <c r="A135" s="176"/>
      <c r="B135" s="176"/>
      <c r="C135" s="176"/>
      <c r="D135" s="176"/>
      <c r="E135" s="175"/>
      <c r="F135" s="175"/>
      <c r="G135" s="177" t="str">
        <f>IFERROR(IF($E135="Yes","IPP",VLOOKUP($J135,'ELA Reading Logic'!$A$3:$K$9,VLOOKUP("September",'ELA Reading Logic'!$J$22:$K$31,2,FALSE),FALSE)),"Set Grade")</f>
        <v>Set Grade</v>
      </c>
      <c r="H135" s="177" t="str">
        <f>IFERROR(IF($E135="Yes","IPP",VLOOKUP($J135,'ELA Reading Logic'!$A$13:$K$19,VLOOKUP("September",'ELA Reading Logic'!$J$22:$K$31,2,FALSE),FALSE)),"Set Grade")</f>
        <v>Set Grade</v>
      </c>
      <c r="I135" s="96" t="str">
        <f>IF($E135="Yes","IPP",IFERROR(IF(AND(F135&gt;G135,F135&lt;H135),"0",(VLOOKUP(F135,'ELA Reading Logic'!$A$22:$B$48,2,FALSE))-(IF(VLOOKUP(F135,'ELA Reading Logic'!$A$22:$B$48,2,FALSE)&lt;=VLOOKUP(G135,'ELA Reading Logic'!$A$22:$B$48,2,FALSE),VLOOKUP(G135,'ELA Reading Logic'!$A$22:$B$48,2,FALSE),IF(VLOOKUP(F135,'ELA Reading Logic'!$A$22:$B$48,2,FALSE)&gt;=VLOOKUP(H135,'ELA Reading Logic'!$A$22:$B$48,2,FALSE),VLOOKUP(H135,'ELA Reading Logic'!$A$22:$B$48,2,FALSE),"No Score")))),"No Value"))</f>
        <v>No Value</v>
      </c>
      <c r="J135" s="178"/>
      <c r="K135" s="96"/>
      <c r="L135" s="96"/>
      <c r="M135" s="96"/>
      <c r="N135" s="96"/>
      <c r="O135" s="96"/>
      <c r="P135" s="105"/>
      <c r="Q135" s="92"/>
      <c r="R135" s="96" t="str">
        <f>IFERROR(IF($E135="Yes","IPP",VLOOKUP($J135,'ELA Reading Logic'!$A$3:$K$9,VLOOKUP(Q$1,'ELA Reading Logic'!$J$22:$K$31,2,FALSE),FALSE)),"Set Grade")</f>
        <v>Set Grade</v>
      </c>
      <c r="S135" s="96" t="str">
        <f>IFERROR(IF($E135="Yes","IPP",VLOOKUP($J135,'ELA Reading Logic'!$A$13:$K$19,VLOOKUP(Q$1,'ELA Reading Logic'!$J$22:$K$31,2,FALSE),FALSE)),"Set Grade")</f>
        <v>Set Grade</v>
      </c>
      <c r="T135" s="96" t="str">
        <f>IF($E135="Yes","IPP",IFERROR(IF(AND(Q135&gt;R135,Q135&lt;S135),"0",(VLOOKUP(Q135,'ELA Reading Logic'!$A$22:$B$48,2,FALSE))-(IF(VLOOKUP(Q135,'ELA Reading Logic'!$A$22:$B$48,2,FALSE)&lt;=VLOOKUP(R135,'ELA Reading Logic'!$A$22:$B$48,2,FALSE),VLOOKUP(R135,'ELA Reading Logic'!$A$22:$B$48,2,FALSE),IF(VLOOKUP(Q135,'ELA Reading Logic'!$A$22:$B$48,2,FALSE)&gt;=VLOOKUP(S135,'ELA Reading Logic'!$A$22:$B$48,2,FALSE),VLOOKUP(S135,'ELA Reading Logic'!$A$22:$B$48,2,FALSE),"No Score")))),"No Value"))</f>
        <v>No Value</v>
      </c>
      <c r="U135" s="96" t="str">
        <f>IFERROR(VLOOKUP(Q135,'ELA Reading Logic'!$A$22:$B$48,2,FALSE)-VLOOKUP($F135,'ELA Reading Logic'!$A$22:$B$48,2,FALSE),"No Value")</f>
        <v>No Value</v>
      </c>
      <c r="V135" s="92"/>
      <c r="W135" s="96" t="str">
        <f>IFERROR(IF($E135="Yes","IPP",VLOOKUP($J135,'ELA Reading Logic'!$A$3:$K$9,VLOOKUP(V$1,'ELA Reading Logic'!$J$22:$K$31,2,FALSE),FALSE)),"Set Grade")</f>
        <v>Set Grade</v>
      </c>
      <c r="X135" s="96" t="str">
        <f>IFERROR(IF($E135="Yes","IPP",VLOOKUP($J135,'ELA Reading Logic'!$A$13:$K$19,VLOOKUP(V$1,'ELA Reading Logic'!$J$22:$K$31,2,FALSE),FALSE)),"Set Grade")</f>
        <v>Set Grade</v>
      </c>
      <c r="Y135" s="96" t="str">
        <f>IF($E135="Yes","IPP",IFERROR(IF(AND(V135&gt;W135,V135&lt;X135),"0",(VLOOKUP(V135,'ELA Reading Logic'!$A$22:$B$48,2,FALSE))-(IF(VLOOKUP(V135,'ELA Reading Logic'!$A$22:$B$48,2,FALSE)&lt;=VLOOKUP(W135,'ELA Reading Logic'!$A$22:$B$48,2,FALSE),VLOOKUP(W135,'ELA Reading Logic'!$A$22:$B$48,2,FALSE),IF(VLOOKUP(V135,'ELA Reading Logic'!$A$22:$B$48,2,FALSE)&gt;=VLOOKUP(X135,'ELA Reading Logic'!$A$22:$B$48,2,FALSE),VLOOKUP(X135,'ELA Reading Logic'!$A$22:$B$48,2,FALSE),"No Score")))),"No Value"))</f>
        <v>No Value</v>
      </c>
      <c r="Z135" s="96" t="str">
        <f>IFERROR(VLOOKUP(V135,'ELA Reading Logic'!$A$22:$B$48,2,FALSE)-VLOOKUP($F135,'ELA Reading Logic'!$A$22:$B$48,2,FALSE),"No Value")</f>
        <v>No Value</v>
      </c>
      <c r="AA135" s="92"/>
      <c r="AB135" s="96" t="str">
        <f>IFERROR(IF($E135="Yes","IPP",VLOOKUP($J135,'ELA Reading Logic'!$A$3:$K$9,VLOOKUP(AA$1,'ELA Reading Logic'!$J$22:$K$31,2,FALSE),FALSE)),"Set Grade")</f>
        <v>Set Grade</v>
      </c>
      <c r="AC135" s="96" t="str">
        <f>IFERROR(IF($E135="Yes","IPP",VLOOKUP($J135,'ELA Reading Logic'!$A$13:$K$19,VLOOKUP(AA$1,'ELA Reading Logic'!$J$22:$K$31,2,FALSE),FALSE)),"Set Grade")</f>
        <v>Set Grade</v>
      </c>
      <c r="AD135" s="96" t="str">
        <f>IF($E135="Yes","IPP",IFERROR(IF(AND(AA135&gt;AB135,AA135&lt;AC135),"0",(VLOOKUP(AA135,'ELA Reading Logic'!$A$22:$B$48,2,FALSE))-(IF(VLOOKUP(AA135,'ELA Reading Logic'!$A$22:$B$48,2,FALSE)&lt;=VLOOKUP(AB135,'ELA Reading Logic'!$A$22:$B$48,2,FALSE),VLOOKUP(AB135,'ELA Reading Logic'!$A$22:$B$48,2,FALSE),IF(VLOOKUP(AA135,'ELA Reading Logic'!$A$22:$B$48,2,FALSE)&gt;=VLOOKUP(AC135,'ELA Reading Logic'!$A$22:$B$48,2,FALSE),VLOOKUP(AC135,'ELA Reading Logic'!$A$22:$B$48,2,FALSE),"No Score")))),"No Value"))</f>
        <v>No Value</v>
      </c>
      <c r="AE135" s="96" t="str">
        <f>IFERROR(VLOOKUP(AA135,'ELA Reading Logic'!$A$22:$B$48,2,FALSE)-VLOOKUP($F135,'ELA Reading Logic'!$A$22:$B$48,2,FALSE),"No Value")</f>
        <v>No Value</v>
      </c>
      <c r="AF135" s="92"/>
      <c r="AG135" s="96" t="str">
        <f>IFERROR(IF($E135="Yes","IPP",VLOOKUP($J135,'ELA Reading Logic'!$A$3:$K$9,VLOOKUP(AF$1,'ELA Reading Logic'!$J$22:$K$31,2,FALSE),FALSE)),"Set Grade")</f>
        <v>Set Grade</v>
      </c>
      <c r="AH135" s="96" t="str">
        <f>IFERROR(IF($E135="Yes","IPP",VLOOKUP($J135,'ELA Reading Logic'!$A$13:$K$19,VLOOKUP(AF$1,'ELA Reading Logic'!$J$22:$K$31,2,FALSE),FALSE)),"Set Grade")</f>
        <v>Set Grade</v>
      </c>
      <c r="AI135" s="96" t="str">
        <f>IF($E135="Yes","IPP",IFERROR(IF(AND(AF135&gt;AG135,AF135&lt;AH135),"0",(VLOOKUP(AF135,'ELA Reading Logic'!$A$22:$B$48,2,FALSE))-(IF(VLOOKUP(AF135,'ELA Reading Logic'!$A$22:$B$48,2,FALSE)&lt;=VLOOKUP(AG135,'ELA Reading Logic'!$A$22:$B$48,2,FALSE),VLOOKUP(AG135,'ELA Reading Logic'!$A$22:$B$48,2,FALSE),IF(VLOOKUP(AF135,'ELA Reading Logic'!$A$22:$B$48,2,FALSE)&gt;=VLOOKUP(AH135,'ELA Reading Logic'!$A$22:$B$48,2,FALSE),VLOOKUP(AH135,'ELA Reading Logic'!$A$22:$B$48,2,FALSE),"No Score")))),"No Value"))</f>
        <v>No Value</v>
      </c>
      <c r="AJ135" s="96" t="str">
        <f>IFERROR(VLOOKUP(AF135,'ELA Reading Logic'!$A$22:$B$48,2,FALSE)-VLOOKUP($F135,'ELA Reading Logic'!$A$22:$B$48,2,FALSE),"No Value")</f>
        <v>No Value</v>
      </c>
      <c r="AK135" s="92"/>
      <c r="AL135" s="96" t="str">
        <f>IFERROR(IF($E135="Yes","IPP",VLOOKUP($J135,'ELA Reading Logic'!$A$3:$K$9,VLOOKUP(AK$1,'ELA Reading Logic'!$J$22:$K$31,2,FALSE),FALSE)),"Set Grade")</f>
        <v>Set Grade</v>
      </c>
      <c r="AM135" s="96" t="str">
        <f>IFERROR(IF($E135="Yes","IPP",VLOOKUP($J135,'ELA Reading Logic'!$A$13:$K$19,VLOOKUP(AK$1,'ELA Reading Logic'!$J$22:$K$31,2,FALSE),FALSE)),"Set Grade")</f>
        <v>Set Grade</v>
      </c>
      <c r="AN135" s="96" t="str">
        <f>IF($E135="Yes","IPP",IFERROR(IF(AND(AK135&gt;AL135,AK135&lt;AM135),"0",(VLOOKUP(AK135,'ELA Reading Logic'!$A$22:$B$48,2,FALSE))-(IF(VLOOKUP(AK135,'ELA Reading Logic'!$A$22:$B$48,2,FALSE)&lt;=VLOOKUP(AL135,'ELA Reading Logic'!$A$22:$B$48,2,FALSE),VLOOKUP(AL135,'ELA Reading Logic'!$A$22:$B$48,2,FALSE),IF(VLOOKUP(AK135,'ELA Reading Logic'!$A$22:$B$48,2,FALSE)&gt;=VLOOKUP(AM135,'ELA Reading Logic'!$A$22:$B$48,2,FALSE),VLOOKUP(AM135,'ELA Reading Logic'!$A$22:$B$48,2,FALSE),"No Score")))),"No Value"))</f>
        <v>No Value</v>
      </c>
      <c r="AO135" s="96" t="str">
        <f>IFERROR(VLOOKUP(AK135,'ELA Reading Logic'!$A$22:$B$48,2,FALSE)-VLOOKUP($F135,'ELA Reading Logic'!$A$22:$B$48,2,FALSE),"No Value")</f>
        <v>No Value</v>
      </c>
      <c r="AP135" s="92"/>
      <c r="AQ135" s="96" t="str">
        <f>IFERROR(IF($E135="Yes","IPP",VLOOKUP($J135,'ELA Reading Logic'!$A$3:$K$9,VLOOKUP(AP$1,'ELA Reading Logic'!$J$22:$K$31,2,FALSE),FALSE)),"Set Grade")</f>
        <v>Set Grade</v>
      </c>
      <c r="AR135" s="96" t="str">
        <f>IFERROR(IF($E135="Yes","IPP",VLOOKUP($J135,'ELA Reading Logic'!$A$13:$K$19,VLOOKUP(AP$1,'ELA Reading Logic'!$J$22:$K$31,2,FALSE),FALSE)),"Set Grade")</f>
        <v>Set Grade</v>
      </c>
      <c r="AS135" s="96" t="str">
        <f>IF($E135="Yes","IPP",IFERROR(IF(AND(AP135&gt;AQ135,AP135&lt;AR135),"0",(VLOOKUP(AP135,'ELA Reading Logic'!$A$22:$B$48,2,FALSE))-(IF(VLOOKUP(AP135,'ELA Reading Logic'!$A$22:$B$48,2,FALSE)&lt;=VLOOKUP(AQ135,'ELA Reading Logic'!$A$22:$B$48,2,FALSE),VLOOKUP(AQ135,'ELA Reading Logic'!$A$22:$B$48,2,FALSE),IF(VLOOKUP(AP135,'ELA Reading Logic'!$A$22:$B$48,2,FALSE)&gt;=VLOOKUP(AR135,'ELA Reading Logic'!$A$22:$B$48,2,FALSE),VLOOKUP(AR135,'ELA Reading Logic'!$A$22:$B$48,2,FALSE),"No Score")))),"No Value"))</f>
        <v>No Value</v>
      </c>
      <c r="AT135" s="96" t="str">
        <f>IFERROR(VLOOKUP(AP135,'ELA Reading Logic'!$A$22:$B$48,2,FALSE)-VLOOKUP($F135,'ELA Reading Logic'!$A$22:$B$48,2,FALSE),"No Value")</f>
        <v>No Value</v>
      </c>
    </row>
    <row r="136" spans="1:46" ht="22.5" customHeight="1" x14ac:dyDescent="0.25">
      <c r="A136" s="174"/>
      <c r="B136" s="174"/>
      <c r="C136" s="174"/>
      <c r="D136" s="174"/>
      <c r="E136" s="175"/>
      <c r="F136" s="175"/>
      <c r="G136" s="177" t="str">
        <f>IFERROR(IF($E136="Yes","IPP",VLOOKUP($J136,'ELA Reading Logic'!$A$3:$K$9,VLOOKUP("September",'ELA Reading Logic'!$J$22:$K$31,2,FALSE),FALSE)),"Set Grade")</f>
        <v>Set Grade</v>
      </c>
      <c r="H136" s="177" t="str">
        <f>IFERROR(IF($E136="Yes","IPP",VLOOKUP($J136,'ELA Reading Logic'!$A$13:$K$19,VLOOKUP("September",'ELA Reading Logic'!$J$22:$K$31,2,FALSE),FALSE)),"Set Grade")</f>
        <v>Set Grade</v>
      </c>
      <c r="I136" s="96" t="str">
        <f>IF($E136="Yes","IPP",IFERROR(IF(AND(F136&gt;G136,F136&lt;H136),"0",(VLOOKUP(F136,'ELA Reading Logic'!$A$22:$B$48,2,FALSE))-(IF(VLOOKUP(F136,'ELA Reading Logic'!$A$22:$B$48,2,FALSE)&lt;=VLOOKUP(G136,'ELA Reading Logic'!$A$22:$B$48,2,FALSE),VLOOKUP(G136,'ELA Reading Logic'!$A$22:$B$48,2,FALSE),IF(VLOOKUP(F136,'ELA Reading Logic'!$A$22:$B$48,2,FALSE)&gt;=VLOOKUP(H136,'ELA Reading Logic'!$A$22:$B$48,2,FALSE),VLOOKUP(H136,'ELA Reading Logic'!$A$22:$B$48,2,FALSE),"No Score")))),"No Value"))</f>
        <v>No Value</v>
      </c>
      <c r="J136" s="178"/>
      <c r="K136" s="96"/>
      <c r="L136" s="96"/>
      <c r="M136" s="96"/>
      <c r="N136" s="96"/>
      <c r="O136" s="96"/>
      <c r="P136" s="105"/>
      <c r="Q136" s="92"/>
      <c r="R136" s="96" t="str">
        <f>IFERROR(IF($E136="Yes","IPP",VLOOKUP($J136,'ELA Reading Logic'!$A$3:$K$9,VLOOKUP(Q$1,'ELA Reading Logic'!$J$22:$K$31,2,FALSE),FALSE)),"Set Grade")</f>
        <v>Set Grade</v>
      </c>
      <c r="S136" s="96" t="str">
        <f>IFERROR(IF($E136="Yes","IPP",VLOOKUP($J136,'ELA Reading Logic'!$A$13:$K$19,VLOOKUP(Q$1,'ELA Reading Logic'!$J$22:$K$31,2,FALSE),FALSE)),"Set Grade")</f>
        <v>Set Grade</v>
      </c>
      <c r="T136" s="96" t="str">
        <f>IF($E136="Yes","IPP",IFERROR(IF(AND(Q136&gt;R136,Q136&lt;S136),"0",(VLOOKUP(Q136,'ELA Reading Logic'!$A$22:$B$48,2,FALSE))-(IF(VLOOKUP(Q136,'ELA Reading Logic'!$A$22:$B$48,2,FALSE)&lt;=VLOOKUP(R136,'ELA Reading Logic'!$A$22:$B$48,2,FALSE),VLOOKUP(R136,'ELA Reading Logic'!$A$22:$B$48,2,FALSE),IF(VLOOKUP(Q136,'ELA Reading Logic'!$A$22:$B$48,2,FALSE)&gt;=VLOOKUP(S136,'ELA Reading Logic'!$A$22:$B$48,2,FALSE),VLOOKUP(S136,'ELA Reading Logic'!$A$22:$B$48,2,FALSE),"No Score")))),"No Value"))</f>
        <v>No Value</v>
      </c>
      <c r="U136" s="96" t="str">
        <f>IFERROR(VLOOKUP(Q136,'ELA Reading Logic'!$A$22:$B$48,2,FALSE)-VLOOKUP($F136,'ELA Reading Logic'!$A$22:$B$48,2,FALSE),"No Value")</f>
        <v>No Value</v>
      </c>
      <c r="V136" s="92"/>
      <c r="W136" s="96" t="str">
        <f>IFERROR(IF($E136="Yes","IPP",VLOOKUP($J136,'ELA Reading Logic'!$A$3:$K$9,VLOOKUP(V$1,'ELA Reading Logic'!$J$22:$K$31,2,FALSE),FALSE)),"Set Grade")</f>
        <v>Set Grade</v>
      </c>
      <c r="X136" s="96" t="str">
        <f>IFERROR(IF($E136="Yes","IPP",VLOOKUP($J136,'ELA Reading Logic'!$A$13:$K$19,VLOOKUP(V$1,'ELA Reading Logic'!$J$22:$K$31,2,FALSE),FALSE)),"Set Grade")</f>
        <v>Set Grade</v>
      </c>
      <c r="Y136" s="96" t="str">
        <f>IF($E136="Yes","IPP",IFERROR(IF(AND(V136&gt;W136,V136&lt;X136),"0",(VLOOKUP(V136,'ELA Reading Logic'!$A$22:$B$48,2,FALSE))-(IF(VLOOKUP(V136,'ELA Reading Logic'!$A$22:$B$48,2,FALSE)&lt;=VLOOKUP(W136,'ELA Reading Logic'!$A$22:$B$48,2,FALSE),VLOOKUP(W136,'ELA Reading Logic'!$A$22:$B$48,2,FALSE),IF(VLOOKUP(V136,'ELA Reading Logic'!$A$22:$B$48,2,FALSE)&gt;=VLOOKUP(X136,'ELA Reading Logic'!$A$22:$B$48,2,FALSE),VLOOKUP(X136,'ELA Reading Logic'!$A$22:$B$48,2,FALSE),"No Score")))),"No Value"))</f>
        <v>No Value</v>
      </c>
      <c r="Z136" s="96" t="str">
        <f>IFERROR(VLOOKUP(V136,'ELA Reading Logic'!$A$22:$B$48,2,FALSE)-VLOOKUP($F136,'ELA Reading Logic'!$A$22:$B$48,2,FALSE),"No Value")</f>
        <v>No Value</v>
      </c>
      <c r="AA136" s="92"/>
      <c r="AB136" s="96" t="str">
        <f>IFERROR(IF($E136="Yes","IPP",VLOOKUP($J136,'ELA Reading Logic'!$A$3:$K$9,VLOOKUP(AA$1,'ELA Reading Logic'!$J$22:$K$31,2,FALSE),FALSE)),"Set Grade")</f>
        <v>Set Grade</v>
      </c>
      <c r="AC136" s="96" t="str">
        <f>IFERROR(IF($E136="Yes","IPP",VLOOKUP($J136,'ELA Reading Logic'!$A$13:$K$19,VLOOKUP(AA$1,'ELA Reading Logic'!$J$22:$K$31,2,FALSE),FALSE)),"Set Grade")</f>
        <v>Set Grade</v>
      </c>
      <c r="AD136" s="96" t="str">
        <f>IF($E136="Yes","IPP",IFERROR(IF(AND(AA136&gt;AB136,AA136&lt;AC136),"0",(VLOOKUP(AA136,'ELA Reading Logic'!$A$22:$B$48,2,FALSE))-(IF(VLOOKUP(AA136,'ELA Reading Logic'!$A$22:$B$48,2,FALSE)&lt;=VLOOKUP(AB136,'ELA Reading Logic'!$A$22:$B$48,2,FALSE),VLOOKUP(AB136,'ELA Reading Logic'!$A$22:$B$48,2,FALSE),IF(VLOOKUP(AA136,'ELA Reading Logic'!$A$22:$B$48,2,FALSE)&gt;=VLOOKUP(AC136,'ELA Reading Logic'!$A$22:$B$48,2,FALSE),VLOOKUP(AC136,'ELA Reading Logic'!$A$22:$B$48,2,FALSE),"No Score")))),"No Value"))</f>
        <v>No Value</v>
      </c>
      <c r="AE136" s="96" t="str">
        <f>IFERROR(VLOOKUP(AA136,'ELA Reading Logic'!$A$22:$B$48,2,FALSE)-VLOOKUP($F136,'ELA Reading Logic'!$A$22:$B$48,2,FALSE),"No Value")</f>
        <v>No Value</v>
      </c>
      <c r="AF136" s="92"/>
      <c r="AG136" s="96" t="str">
        <f>IFERROR(IF($E136="Yes","IPP",VLOOKUP($J136,'ELA Reading Logic'!$A$3:$K$9,VLOOKUP(AF$1,'ELA Reading Logic'!$J$22:$K$31,2,FALSE),FALSE)),"Set Grade")</f>
        <v>Set Grade</v>
      </c>
      <c r="AH136" s="96" t="str">
        <f>IFERROR(IF($E136="Yes","IPP",VLOOKUP($J136,'ELA Reading Logic'!$A$13:$K$19,VLOOKUP(AF$1,'ELA Reading Logic'!$J$22:$K$31,2,FALSE),FALSE)),"Set Grade")</f>
        <v>Set Grade</v>
      </c>
      <c r="AI136" s="96" t="str">
        <f>IF($E136="Yes","IPP",IFERROR(IF(AND(AF136&gt;AG136,AF136&lt;AH136),"0",(VLOOKUP(AF136,'ELA Reading Logic'!$A$22:$B$48,2,FALSE))-(IF(VLOOKUP(AF136,'ELA Reading Logic'!$A$22:$B$48,2,FALSE)&lt;=VLOOKUP(AG136,'ELA Reading Logic'!$A$22:$B$48,2,FALSE),VLOOKUP(AG136,'ELA Reading Logic'!$A$22:$B$48,2,FALSE),IF(VLOOKUP(AF136,'ELA Reading Logic'!$A$22:$B$48,2,FALSE)&gt;=VLOOKUP(AH136,'ELA Reading Logic'!$A$22:$B$48,2,FALSE),VLOOKUP(AH136,'ELA Reading Logic'!$A$22:$B$48,2,FALSE),"No Score")))),"No Value"))</f>
        <v>No Value</v>
      </c>
      <c r="AJ136" s="96" t="str">
        <f>IFERROR(VLOOKUP(AF136,'ELA Reading Logic'!$A$22:$B$48,2,FALSE)-VLOOKUP($F136,'ELA Reading Logic'!$A$22:$B$48,2,FALSE),"No Value")</f>
        <v>No Value</v>
      </c>
      <c r="AK136" s="92"/>
      <c r="AL136" s="96" t="str">
        <f>IFERROR(IF($E136="Yes","IPP",VLOOKUP($J136,'ELA Reading Logic'!$A$3:$K$9,VLOOKUP(AK$1,'ELA Reading Logic'!$J$22:$K$31,2,FALSE),FALSE)),"Set Grade")</f>
        <v>Set Grade</v>
      </c>
      <c r="AM136" s="96" t="str">
        <f>IFERROR(IF($E136="Yes","IPP",VLOOKUP($J136,'ELA Reading Logic'!$A$13:$K$19,VLOOKUP(AK$1,'ELA Reading Logic'!$J$22:$K$31,2,FALSE),FALSE)),"Set Grade")</f>
        <v>Set Grade</v>
      </c>
      <c r="AN136" s="96" t="str">
        <f>IF($E136="Yes","IPP",IFERROR(IF(AND(AK136&gt;AL136,AK136&lt;AM136),"0",(VLOOKUP(AK136,'ELA Reading Logic'!$A$22:$B$48,2,FALSE))-(IF(VLOOKUP(AK136,'ELA Reading Logic'!$A$22:$B$48,2,FALSE)&lt;=VLOOKUP(AL136,'ELA Reading Logic'!$A$22:$B$48,2,FALSE),VLOOKUP(AL136,'ELA Reading Logic'!$A$22:$B$48,2,FALSE),IF(VLOOKUP(AK136,'ELA Reading Logic'!$A$22:$B$48,2,FALSE)&gt;=VLOOKUP(AM136,'ELA Reading Logic'!$A$22:$B$48,2,FALSE),VLOOKUP(AM136,'ELA Reading Logic'!$A$22:$B$48,2,FALSE),"No Score")))),"No Value"))</f>
        <v>No Value</v>
      </c>
      <c r="AO136" s="96" t="str">
        <f>IFERROR(VLOOKUP(AK136,'ELA Reading Logic'!$A$22:$B$48,2,FALSE)-VLOOKUP($F136,'ELA Reading Logic'!$A$22:$B$48,2,FALSE),"No Value")</f>
        <v>No Value</v>
      </c>
      <c r="AP136" s="92"/>
      <c r="AQ136" s="96" t="str">
        <f>IFERROR(IF($E136="Yes","IPP",VLOOKUP($J136,'ELA Reading Logic'!$A$3:$K$9,VLOOKUP(AP$1,'ELA Reading Logic'!$J$22:$K$31,2,FALSE),FALSE)),"Set Grade")</f>
        <v>Set Grade</v>
      </c>
      <c r="AR136" s="96" t="str">
        <f>IFERROR(IF($E136="Yes","IPP",VLOOKUP($J136,'ELA Reading Logic'!$A$13:$K$19,VLOOKUP(AP$1,'ELA Reading Logic'!$J$22:$K$31,2,FALSE),FALSE)),"Set Grade")</f>
        <v>Set Grade</v>
      </c>
      <c r="AS136" s="96" t="str">
        <f>IF($E136="Yes","IPP",IFERROR(IF(AND(AP136&gt;AQ136,AP136&lt;AR136),"0",(VLOOKUP(AP136,'ELA Reading Logic'!$A$22:$B$48,2,FALSE))-(IF(VLOOKUP(AP136,'ELA Reading Logic'!$A$22:$B$48,2,FALSE)&lt;=VLOOKUP(AQ136,'ELA Reading Logic'!$A$22:$B$48,2,FALSE),VLOOKUP(AQ136,'ELA Reading Logic'!$A$22:$B$48,2,FALSE),IF(VLOOKUP(AP136,'ELA Reading Logic'!$A$22:$B$48,2,FALSE)&gt;=VLOOKUP(AR136,'ELA Reading Logic'!$A$22:$B$48,2,FALSE),VLOOKUP(AR136,'ELA Reading Logic'!$A$22:$B$48,2,FALSE),"No Score")))),"No Value"))</f>
        <v>No Value</v>
      </c>
      <c r="AT136" s="96" t="str">
        <f>IFERROR(VLOOKUP(AP136,'ELA Reading Logic'!$A$22:$B$48,2,FALSE)-VLOOKUP($F136,'ELA Reading Logic'!$A$22:$B$48,2,FALSE),"No Value")</f>
        <v>No Value</v>
      </c>
    </row>
    <row r="137" spans="1:46" ht="22.5" customHeight="1" x14ac:dyDescent="0.25">
      <c r="A137" s="174"/>
      <c r="B137" s="174"/>
      <c r="C137" s="174"/>
      <c r="D137" s="174"/>
      <c r="E137" s="175"/>
      <c r="F137" s="175"/>
      <c r="G137" s="177" t="str">
        <f>IFERROR(IF($E137="Yes","IPP",VLOOKUP($J137,'ELA Reading Logic'!$A$3:$K$9,VLOOKUP("September",'ELA Reading Logic'!$J$22:$K$31,2,FALSE),FALSE)),"Set Grade")</f>
        <v>Set Grade</v>
      </c>
      <c r="H137" s="177" t="str">
        <f>IFERROR(IF($E137="Yes","IPP",VLOOKUP($J137,'ELA Reading Logic'!$A$13:$K$19,VLOOKUP("September",'ELA Reading Logic'!$J$22:$K$31,2,FALSE),FALSE)),"Set Grade")</f>
        <v>Set Grade</v>
      </c>
      <c r="I137" s="96" t="str">
        <f>IF($E137="Yes","IPP",IFERROR(IF(AND(F137&gt;G137,F137&lt;H137),"0",(VLOOKUP(F137,'ELA Reading Logic'!$A$22:$B$48,2,FALSE))-(IF(VLOOKUP(F137,'ELA Reading Logic'!$A$22:$B$48,2,FALSE)&lt;=VLOOKUP(G137,'ELA Reading Logic'!$A$22:$B$48,2,FALSE),VLOOKUP(G137,'ELA Reading Logic'!$A$22:$B$48,2,FALSE),IF(VLOOKUP(F137,'ELA Reading Logic'!$A$22:$B$48,2,FALSE)&gt;=VLOOKUP(H137,'ELA Reading Logic'!$A$22:$B$48,2,FALSE),VLOOKUP(H137,'ELA Reading Logic'!$A$22:$B$48,2,FALSE),"No Score")))),"No Value"))</f>
        <v>No Value</v>
      </c>
      <c r="J137" s="178"/>
      <c r="K137" s="96"/>
      <c r="L137" s="96"/>
      <c r="M137" s="96"/>
      <c r="N137" s="96"/>
      <c r="O137" s="96"/>
      <c r="P137" s="105"/>
      <c r="Q137" s="92"/>
      <c r="R137" s="96" t="str">
        <f>IFERROR(IF($E137="Yes","IPP",VLOOKUP($J137,'ELA Reading Logic'!$A$3:$K$9,VLOOKUP(Q$1,'ELA Reading Logic'!$J$22:$K$31,2,FALSE),FALSE)),"Set Grade")</f>
        <v>Set Grade</v>
      </c>
      <c r="S137" s="96" t="str">
        <f>IFERROR(IF($E137="Yes","IPP",VLOOKUP($J137,'ELA Reading Logic'!$A$13:$K$19,VLOOKUP(Q$1,'ELA Reading Logic'!$J$22:$K$31,2,FALSE),FALSE)),"Set Grade")</f>
        <v>Set Grade</v>
      </c>
      <c r="T137" s="96" t="str">
        <f>IF($E137="Yes","IPP",IFERROR(IF(AND(Q137&gt;R137,Q137&lt;S137),"0",(VLOOKUP(Q137,'ELA Reading Logic'!$A$22:$B$48,2,FALSE))-(IF(VLOOKUP(Q137,'ELA Reading Logic'!$A$22:$B$48,2,FALSE)&lt;=VLOOKUP(R137,'ELA Reading Logic'!$A$22:$B$48,2,FALSE),VLOOKUP(R137,'ELA Reading Logic'!$A$22:$B$48,2,FALSE),IF(VLOOKUP(Q137,'ELA Reading Logic'!$A$22:$B$48,2,FALSE)&gt;=VLOOKUP(S137,'ELA Reading Logic'!$A$22:$B$48,2,FALSE),VLOOKUP(S137,'ELA Reading Logic'!$A$22:$B$48,2,FALSE),"No Score")))),"No Value"))</f>
        <v>No Value</v>
      </c>
      <c r="U137" s="96" t="str">
        <f>IFERROR(VLOOKUP(Q137,'ELA Reading Logic'!$A$22:$B$48,2,FALSE)-VLOOKUP($F137,'ELA Reading Logic'!$A$22:$B$48,2,FALSE),"No Value")</f>
        <v>No Value</v>
      </c>
      <c r="V137" s="92"/>
      <c r="W137" s="96" t="str">
        <f>IFERROR(IF($E137="Yes","IPP",VLOOKUP($J137,'ELA Reading Logic'!$A$3:$K$9,VLOOKUP(V$1,'ELA Reading Logic'!$J$22:$K$31,2,FALSE),FALSE)),"Set Grade")</f>
        <v>Set Grade</v>
      </c>
      <c r="X137" s="96" t="str">
        <f>IFERROR(IF($E137="Yes","IPP",VLOOKUP($J137,'ELA Reading Logic'!$A$13:$K$19,VLOOKUP(V$1,'ELA Reading Logic'!$J$22:$K$31,2,FALSE),FALSE)),"Set Grade")</f>
        <v>Set Grade</v>
      </c>
      <c r="Y137" s="96" t="str">
        <f>IF($E137="Yes","IPP",IFERROR(IF(AND(V137&gt;W137,V137&lt;X137),"0",(VLOOKUP(V137,'ELA Reading Logic'!$A$22:$B$48,2,FALSE))-(IF(VLOOKUP(V137,'ELA Reading Logic'!$A$22:$B$48,2,FALSE)&lt;=VLOOKUP(W137,'ELA Reading Logic'!$A$22:$B$48,2,FALSE),VLOOKUP(W137,'ELA Reading Logic'!$A$22:$B$48,2,FALSE),IF(VLOOKUP(V137,'ELA Reading Logic'!$A$22:$B$48,2,FALSE)&gt;=VLOOKUP(X137,'ELA Reading Logic'!$A$22:$B$48,2,FALSE),VLOOKUP(X137,'ELA Reading Logic'!$A$22:$B$48,2,FALSE),"No Score")))),"No Value"))</f>
        <v>No Value</v>
      </c>
      <c r="Z137" s="96" t="str">
        <f>IFERROR(VLOOKUP(V137,'ELA Reading Logic'!$A$22:$B$48,2,FALSE)-VLOOKUP($F137,'ELA Reading Logic'!$A$22:$B$48,2,FALSE),"No Value")</f>
        <v>No Value</v>
      </c>
      <c r="AA137" s="92"/>
      <c r="AB137" s="96" t="str">
        <f>IFERROR(IF($E137="Yes","IPP",VLOOKUP($J137,'ELA Reading Logic'!$A$3:$K$9,VLOOKUP(AA$1,'ELA Reading Logic'!$J$22:$K$31,2,FALSE),FALSE)),"Set Grade")</f>
        <v>Set Grade</v>
      </c>
      <c r="AC137" s="96" t="str">
        <f>IFERROR(IF($E137="Yes","IPP",VLOOKUP($J137,'ELA Reading Logic'!$A$13:$K$19,VLOOKUP(AA$1,'ELA Reading Logic'!$J$22:$K$31,2,FALSE),FALSE)),"Set Grade")</f>
        <v>Set Grade</v>
      </c>
      <c r="AD137" s="96" t="str">
        <f>IF($E137="Yes","IPP",IFERROR(IF(AND(AA137&gt;AB137,AA137&lt;AC137),"0",(VLOOKUP(AA137,'ELA Reading Logic'!$A$22:$B$48,2,FALSE))-(IF(VLOOKUP(AA137,'ELA Reading Logic'!$A$22:$B$48,2,FALSE)&lt;=VLOOKUP(AB137,'ELA Reading Logic'!$A$22:$B$48,2,FALSE),VLOOKUP(AB137,'ELA Reading Logic'!$A$22:$B$48,2,FALSE),IF(VLOOKUP(AA137,'ELA Reading Logic'!$A$22:$B$48,2,FALSE)&gt;=VLOOKUP(AC137,'ELA Reading Logic'!$A$22:$B$48,2,FALSE),VLOOKUP(AC137,'ELA Reading Logic'!$A$22:$B$48,2,FALSE),"No Score")))),"No Value"))</f>
        <v>No Value</v>
      </c>
      <c r="AE137" s="96" t="str">
        <f>IFERROR(VLOOKUP(AA137,'ELA Reading Logic'!$A$22:$B$48,2,FALSE)-VLOOKUP($F137,'ELA Reading Logic'!$A$22:$B$48,2,FALSE),"No Value")</f>
        <v>No Value</v>
      </c>
      <c r="AF137" s="92"/>
      <c r="AG137" s="96" t="str">
        <f>IFERROR(IF($E137="Yes","IPP",VLOOKUP($J137,'ELA Reading Logic'!$A$3:$K$9,VLOOKUP(AF$1,'ELA Reading Logic'!$J$22:$K$31,2,FALSE),FALSE)),"Set Grade")</f>
        <v>Set Grade</v>
      </c>
      <c r="AH137" s="96" t="str">
        <f>IFERROR(IF($E137="Yes","IPP",VLOOKUP($J137,'ELA Reading Logic'!$A$13:$K$19,VLOOKUP(AF$1,'ELA Reading Logic'!$J$22:$K$31,2,FALSE),FALSE)),"Set Grade")</f>
        <v>Set Grade</v>
      </c>
      <c r="AI137" s="96" t="str">
        <f>IF($E137="Yes","IPP",IFERROR(IF(AND(AF137&gt;AG137,AF137&lt;AH137),"0",(VLOOKUP(AF137,'ELA Reading Logic'!$A$22:$B$48,2,FALSE))-(IF(VLOOKUP(AF137,'ELA Reading Logic'!$A$22:$B$48,2,FALSE)&lt;=VLOOKUP(AG137,'ELA Reading Logic'!$A$22:$B$48,2,FALSE),VLOOKUP(AG137,'ELA Reading Logic'!$A$22:$B$48,2,FALSE),IF(VLOOKUP(AF137,'ELA Reading Logic'!$A$22:$B$48,2,FALSE)&gt;=VLOOKUP(AH137,'ELA Reading Logic'!$A$22:$B$48,2,FALSE),VLOOKUP(AH137,'ELA Reading Logic'!$A$22:$B$48,2,FALSE),"No Score")))),"No Value"))</f>
        <v>No Value</v>
      </c>
      <c r="AJ137" s="96" t="str">
        <f>IFERROR(VLOOKUP(AF137,'ELA Reading Logic'!$A$22:$B$48,2,FALSE)-VLOOKUP($F137,'ELA Reading Logic'!$A$22:$B$48,2,FALSE),"No Value")</f>
        <v>No Value</v>
      </c>
      <c r="AK137" s="92"/>
      <c r="AL137" s="96" t="str">
        <f>IFERROR(IF($E137="Yes","IPP",VLOOKUP($J137,'ELA Reading Logic'!$A$3:$K$9,VLOOKUP(AK$1,'ELA Reading Logic'!$J$22:$K$31,2,FALSE),FALSE)),"Set Grade")</f>
        <v>Set Grade</v>
      </c>
      <c r="AM137" s="96" t="str">
        <f>IFERROR(IF($E137="Yes","IPP",VLOOKUP($J137,'ELA Reading Logic'!$A$13:$K$19,VLOOKUP(AK$1,'ELA Reading Logic'!$J$22:$K$31,2,FALSE),FALSE)),"Set Grade")</f>
        <v>Set Grade</v>
      </c>
      <c r="AN137" s="96" t="str">
        <f>IF($E137="Yes","IPP",IFERROR(IF(AND(AK137&gt;AL137,AK137&lt;AM137),"0",(VLOOKUP(AK137,'ELA Reading Logic'!$A$22:$B$48,2,FALSE))-(IF(VLOOKUP(AK137,'ELA Reading Logic'!$A$22:$B$48,2,FALSE)&lt;=VLOOKUP(AL137,'ELA Reading Logic'!$A$22:$B$48,2,FALSE),VLOOKUP(AL137,'ELA Reading Logic'!$A$22:$B$48,2,FALSE),IF(VLOOKUP(AK137,'ELA Reading Logic'!$A$22:$B$48,2,FALSE)&gt;=VLOOKUP(AM137,'ELA Reading Logic'!$A$22:$B$48,2,FALSE),VLOOKUP(AM137,'ELA Reading Logic'!$A$22:$B$48,2,FALSE),"No Score")))),"No Value"))</f>
        <v>No Value</v>
      </c>
      <c r="AO137" s="96" t="str">
        <f>IFERROR(VLOOKUP(AK137,'ELA Reading Logic'!$A$22:$B$48,2,FALSE)-VLOOKUP($F137,'ELA Reading Logic'!$A$22:$B$48,2,FALSE),"No Value")</f>
        <v>No Value</v>
      </c>
      <c r="AP137" s="92"/>
      <c r="AQ137" s="96" t="str">
        <f>IFERROR(IF($E137="Yes","IPP",VLOOKUP($J137,'ELA Reading Logic'!$A$3:$K$9,VLOOKUP(AP$1,'ELA Reading Logic'!$J$22:$K$31,2,FALSE),FALSE)),"Set Grade")</f>
        <v>Set Grade</v>
      </c>
      <c r="AR137" s="96" t="str">
        <f>IFERROR(IF($E137="Yes","IPP",VLOOKUP($J137,'ELA Reading Logic'!$A$13:$K$19,VLOOKUP(AP$1,'ELA Reading Logic'!$J$22:$K$31,2,FALSE),FALSE)),"Set Grade")</f>
        <v>Set Grade</v>
      </c>
      <c r="AS137" s="96" t="str">
        <f>IF($E137="Yes","IPP",IFERROR(IF(AND(AP137&gt;AQ137,AP137&lt;AR137),"0",(VLOOKUP(AP137,'ELA Reading Logic'!$A$22:$B$48,2,FALSE))-(IF(VLOOKUP(AP137,'ELA Reading Logic'!$A$22:$B$48,2,FALSE)&lt;=VLOOKUP(AQ137,'ELA Reading Logic'!$A$22:$B$48,2,FALSE),VLOOKUP(AQ137,'ELA Reading Logic'!$A$22:$B$48,2,FALSE),IF(VLOOKUP(AP137,'ELA Reading Logic'!$A$22:$B$48,2,FALSE)&gt;=VLOOKUP(AR137,'ELA Reading Logic'!$A$22:$B$48,2,FALSE),VLOOKUP(AR137,'ELA Reading Logic'!$A$22:$B$48,2,FALSE),"No Score")))),"No Value"))</f>
        <v>No Value</v>
      </c>
      <c r="AT137" s="96" t="str">
        <f>IFERROR(VLOOKUP(AP137,'ELA Reading Logic'!$A$22:$B$48,2,FALSE)-VLOOKUP($F137,'ELA Reading Logic'!$A$22:$B$48,2,FALSE),"No Value")</f>
        <v>No Value</v>
      </c>
    </row>
    <row r="138" spans="1:46" ht="22.5" customHeight="1" x14ac:dyDescent="0.25">
      <c r="A138" s="174"/>
      <c r="B138" s="174"/>
      <c r="C138" s="174"/>
      <c r="D138" s="174"/>
      <c r="E138" s="175"/>
      <c r="F138" s="175"/>
      <c r="G138" s="177" t="str">
        <f>IFERROR(IF($E138="Yes","IPP",VLOOKUP($J138,'ELA Reading Logic'!$A$3:$K$9,VLOOKUP("September",'ELA Reading Logic'!$J$22:$K$31,2,FALSE),FALSE)),"Set Grade")</f>
        <v>Set Grade</v>
      </c>
      <c r="H138" s="177" t="str">
        <f>IFERROR(IF($E138="Yes","IPP",VLOOKUP($J138,'ELA Reading Logic'!$A$13:$K$19,VLOOKUP("September",'ELA Reading Logic'!$J$22:$K$31,2,FALSE),FALSE)),"Set Grade")</f>
        <v>Set Grade</v>
      </c>
      <c r="I138" s="96" t="str">
        <f>IF($E138="Yes","IPP",IFERROR(IF(AND(F138&gt;G138,F138&lt;H138),"0",(VLOOKUP(F138,'ELA Reading Logic'!$A$22:$B$48,2,FALSE))-(IF(VLOOKUP(F138,'ELA Reading Logic'!$A$22:$B$48,2,FALSE)&lt;=VLOOKUP(G138,'ELA Reading Logic'!$A$22:$B$48,2,FALSE),VLOOKUP(G138,'ELA Reading Logic'!$A$22:$B$48,2,FALSE),IF(VLOOKUP(F138,'ELA Reading Logic'!$A$22:$B$48,2,FALSE)&gt;=VLOOKUP(H138,'ELA Reading Logic'!$A$22:$B$48,2,FALSE),VLOOKUP(H138,'ELA Reading Logic'!$A$22:$B$48,2,FALSE),"No Score")))),"No Value"))</f>
        <v>No Value</v>
      </c>
      <c r="J138" s="178"/>
      <c r="K138" s="96"/>
      <c r="L138" s="96"/>
      <c r="M138" s="96"/>
      <c r="N138" s="96"/>
      <c r="O138" s="96"/>
      <c r="P138" s="105"/>
      <c r="Q138" s="92"/>
      <c r="R138" s="96" t="str">
        <f>IFERROR(IF($E138="Yes","IPP",VLOOKUP($J138,'ELA Reading Logic'!$A$3:$K$9,VLOOKUP(Q$1,'ELA Reading Logic'!$J$22:$K$31,2,FALSE),FALSE)),"Set Grade")</f>
        <v>Set Grade</v>
      </c>
      <c r="S138" s="96" t="str">
        <f>IFERROR(IF($E138="Yes","IPP",VLOOKUP($J138,'ELA Reading Logic'!$A$13:$K$19,VLOOKUP(Q$1,'ELA Reading Logic'!$J$22:$K$31,2,FALSE),FALSE)),"Set Grade")</f>
        <v>Set Grade</v>
      </c>
      <c r="T138" s="96" t="str">
        <f>IF($E138="Yes","IPP",IFERROR(IF(AND(Q138&gt;R138,Q138&lt;S138),"0",(VLOOKUP(Q138,'ELA Reading Logic'!$A$22:$B$48,2,FALSE))-(IF(VLOOKUP(Q138,'ELA Reading Logic'!$A$22:$B$48,2,FALSE)&lt;=VLOOKUP(R138,'ELA Reading Logic'!$A$22:$B$48,2,FALSE),VLOOKUP(R138,'ELA Reading Logic'!$A$22:$B$48,2,FALSE),IF(VLOOKUP(Q138,'ELA Reading Logic'!$A$22:$B$48,2,FALSE)&gt;=VLOOKUP(S138,'ELA Reading Logic'!$A$22:$B$48,2,FALSE),VLOOKUP(S138,'ELA Reading Logic'!$A$22:$B$48,2,FALSE),"No Score")))),"No Value"))</f>
        <v>No Value</v>
      </c>
      <c r="U138" s="96" t="str">
        <f>IFERROR(VLOOKUP(Q138,'ELA Reading Logic'!$A$22:$B$48,2,FALSE)-VLOOKUP($F138,'ELA Reading Logic'!$A$22:$B$48,2,FALSE),"No Value")</f>
        <v>No Value</v>
      </c>
      <c r="V138" s="92"/>
      <c r="W138" s="96" t="str">
        <f>IFERROR(IF($E138="Yes","IPP",VLOOKUP($J138,'ELA Reading Logic'!$A$3:$K$9,VLOOKUP(V$1,'ELA Reading Logic'!$J$22:$K$31,2,FALSE),FALSE)),"Set Grade")</f>
        <v>Set Grade</v>
      </c>
      <c r="X138" s="96" t="str">
        <f>IFERROR(IF($E138="Yes","IPP",VLOOKUP($J138,'ELA Reading Logic'!$A$13:$K$19,VLOOKUP(V$1,'ELA Reading Logic'!$J$22:$K$31,2,FALSE),FALSE)),"Set Grade")</f>
        <v>Set Grade</v>
      </c>
      <c r="Y138" s="96" t="str">
        <f>IF($E138="Yes","IPP",IFERROR(IF(AND(V138&gt;W138,V138&lt;X138),"0",(VLOOKUP(V138,'ELA Reading Logic'!$A$22:$B$48,2,FALSE))-(IF(VLOOKUP(V138,'ELA Reading Logic'!$A$22:$B$48,2,FALSE)&lt;=VLOOKUP(W138,'ELA Reading Logic'!$A$22:$B$48,2,FALSE),VLOOKUP(W138,'ELA Reading Logic'!$A$22:$B$48,2,FALSE),IF(VLOOKUP(V138,'ELA Reading Logic'!$A$22:$B$48,2,FALSE)&gt;=VLOOKUP(X138,'ELA Reading Logic'!$A$22:$B$48,2,FALSE),VLOOKUP(X138,'ELA Reading Logic'!$A$22:$B$48,2,FALSE),"No Score")))),"No Value"))</f>
        <v>No Value</v>
      </c>
      <c r="Z138" s="96" t="str">
        <f>IFERROR(VLOOKUP(V138,'ELA Reading Logic'!$A$22:$B$48,2,FALSE)-VLOOKUP($F138,'ELA Reading Logic'!$A$22:$B$48,2,FALSE),"No Value")</f>
        <v>No Value</v>
      </c>
      <c r="AA138" s="92"/>
      <c r="AB138" s="96" t="str">
        <f>IFERROR(IF($E138="Yes","IPP",VLOOKUP($J138,'ELA Reading Logic'!$A$3:$K$9,VLOOKUP(AA$1,'ELA Reading Logic'!$J$22:$K$31,2,FALSE),FALSE)),"Set Grade")</f>
        <v>Set Grade</v>
      </c>
      <c r="AC138" s="96" t="str">
        <f>IFERROR(IF($E138="Yes","IPP",VLOOKUP($J138,'ELA Reading Logic'!$A$13:$K$19,VLOOKUP(AA$1,'ELA Reading Logic'!$J$22:$K$31,2,FALSE),FALSE)),"Set Grade")</f>
        <v>Set Grade</v>
      </c>
      <c r="AD138" s="96" t="str">
        <f>IF($E138="Yes","IPP",IFERROR(IF(AND(AA138&gt;AB138,AA138&lt;AC138),"0",(VLOOKUP(AA138,'ELA Reading Logic'!$A$22:$B$48,2,FALSE))-(IF(VLOOKUP(AA138,'ELA Reading Logic'!$A$22:$B$48,2,FALSE)&lt;=VLOOKUP(AB138,'ELA Reading Logic'!$A$22:$B$48,2,FALSE),VLOOKUP(AB138,'ELA Reading Logic'!$A$22:$B$48,2,FALSE),IF(VLOOKUP(AA138,'ELA Reading Logic'!$A$22:$B$48,2,FALSE)&gt;=VLOOKUP(AC138,'ELA Reading Logic'!$A$22:$B$48,2,FALSE),VLOOKUP(AC138,'ELA Reading Logic'!$A$22:$B$48,2,FALSE),"No Score")))),"No Value"))</f>
        <v>No Value</v>
      </c>
      <c r="AE138" s="96" t="str">
        <f>IFERROR(VLOOKUP(AA138,'ELA Reading Logic'!$A$22:$B$48,2,FALSE)-VLOOKUP($F138,'ELA Reading Logic'!$A$22:$B$48,2,FALSE),"No Value")</f>
        <v>No Value</v>
      </c>
      <c r="AF138" s="92"/>
      <c r="AG138" s="96" t="str">
        <f>IFERROR(IF($E138="Yes","IPP",VLOOKUP($J138,'ELA Reading Logic'!$A$3:$K$9,VLOOKUP(AF$1,'ELA Reading Logic'!$J$22:$K$31,2,FALSE),FALSE)),"Set Grade")</f>
        <v>Set Grade</v>
      </c>
      <c r="AH138" s="96" t="str">
        <f>IFERROR(IF($E138="Yes","IPP",VLOOKUP($J138,'ELA Reading Logic'!$A$13:$K$19,VLOOKUP(AF$1,'ELA Reading Logic'!$J$22:$K$31,2,FALSE),FALSE)),"Set Grade")</f>
        <v>Set Grade</v>
      </c>
      <c r="AI138" s="96" t="str">
        <f>IF($E138="Yes","IPP",IFERROR(IF(AND(AF138&gt;AG138,AF138&lt;AH138),"0",(VLOOKUP(AF138,'ELA Reading Logic'!$A$22:$B$48,2,FALSE))-(IF(VLOOKUP(AF138,'ELA Reading Logic'!$A$22:$B$48,2,FALSE)&lt;=VLOOKUP(AG138,'ELA Reading Logic'!$A$22:$B$48,2,FALSE),VLOOKUP(AG138,'ELA Reading Logic'!$A$22:$B$48,2,FALSE),IF(VLOOKUP(AF138,'ELA Reading Logic'!$A$22:$B$48,2,FALSE)&gt;=VLOOKUP(AH138,'ELA Reading Logic'!$A$22:$B$48,2,FALSE),VLOOKUP(AH138,'ELA Reading Logic'!$A$22:$B$48,2,FALSE),"No Score")))),"No Value"))</f>
        <v>No Value</v>
      </c>
      <c r="AJ138" s="96" t="str">
        <f>IFERROR(VLOOKUP(AF138,'ELA Reading Logic'!$A$22:$B$48,2,FALSE)-VLOOKUP($F138,'ELA Reading Logic'!$A$22:$B$48,2,FALSE),"No Value")</f>
        <v>No Value</v>
      </c>
      <c r="AK138" s="92"/>
      <c r="AL138" s="96" t="str">
        <f>IFERROR(IF($E138="Yes","IPP",VLOOKUP($J138,'ELA Reading Logic'!$A$3:$K$9,VLOOKUP(AK$1,'ELA Reading Logic'!$J$22:$K$31,2,FALSE),FALSE)),"Set Grade")</f>
        <v>Set Grade</v>
      </c>
      <c r="AM138" s="96" t="str">
        <f>IFERROR(IF($E138="Yes","IPP",VLOOKUP($J138,'ELA Reading Logic'!$A$13:$K$19,VLOOKUP(AK$1,'ELA Reading Logic'!$J$22:$K$31,2,FALSE),FALSE)),"Set Grade")</f>
        <v>Set Grade</v>
      </c>
      <c r="AN138" s="96" t="str">
        <f>IF($E138="Yes","IPP",IFERROR(IF(AND(AK138&gt;AL138,AK138&lt;AM138),"0",(VLOOKUP(AK138,'ELA Reading Logic'!$A$22:$B$48,2,FALSE))-(IF(VLOOKUP(AK138,'ELA Reading Logic'!$A$22:$B$48,2,FALSE)&lt;=VLOOKUP(AL138,'ELA Reading Logic'!$A$22:$B$48,2,FALSE),VLOOKUP(AL138,'ELA Reading Logic'!$A$22:$B$48,2,FALSE),IF(VLOOKUP(AK138,'ELA Reading Logic'!$A$22:$B$48,2,FALSE)&gt;=VLOOKUP(AM138,'ELA Reading Logic'!$A$22:$B$48,2,FALSE),VLOOKUP(AM138,'ELA Reading Logic'!$A$22:$B$48,2,FALSE),"No Score")))),"No Value"))</f>
        <v>No Value</v>
      </c>
      <c r="AO138" s="96" t="str">
        <f>IFERROR(VLOOKUP(AK138,'ELA Reading Logic'!$A$22:$B$48,2,FALSE)-VLOOKUP($F138,'ELA Reading Logic'!$A$22:$B$48,2,FALSE),"No Value")</f>
        <v>No Value</v>
      </c>
      <c r="AP138" s="92"/>
      <c r="AQ138" s="96" t="str">
        <f>IFERROR(IF($E138="Yes","IPP",VLOOKUP($J138,'ELA Reading Logic'!$A$3:$K$9,VLOOKUP(AP$1,'ELA Reading Logic'!$J$22:$K$31,2,FALSE),FALSE)),"Set Grade")</f>
        <v>Set Grade</v>
      </c>
      <c r="AR138" s="96" t="str">
        <f>IFERROR(IF($E138="Yes","IPP",VLOOKUP($J138,'ELA Reading Logic'!$A$13:$K$19,VLOOKUP(AP$1,'ELA Reading Logic'!$J$22:$K$31,2,FALSE),FALSE)),"Set Grade")</f>
        <v>Set Grade</v>
      </c>
      <c r="AS138" s="96" t="str">
        <f>IF($E138="Yes","IPP",IFERROR(IF(AND(AP138&gt;AQ138,AP138&lt;AR138),"0",(VLOOKUP(AP138,'ELA Reading Logic'!$A$22:$B$48,2,FALSE))-(IF(VLOOKUP(AP138,'ELA Reading Logic'!$A$22:$B$48,2,FALSE)&lt;=VLOOKUP(AQ138,'ELA Reading Logic'!$A$22:$B$48,2,FALSE),VLOOKUP(AQ138,'ELA Reading Logic'!$A$22:$B$48,2,FALSE),IF(VLOOKUP(AP138,'ELA Reading Logic'!$A$22:$B$48,2,FALSE)&gt;=VLOOKUP(AR138,'ELA Reading Logic'!$A$22:$B$48,2,FALSE),VLOOKUP(AR138,'ELA Reading Logic'!$A$22:$B$48,2,FALSE),"No Score")))),"No Value"))</f>
        <v>No Value</v>
      </c>
      <c r="AT138" s="96" t="str">
        <f>IFERROR(VLOOKUP(AP138,'ELA Reading Logic'!$A$22:$B$48,2,FALSE)-VLOOKUP($F138,'ELA Reading Logic'!$A$22:$B$48,2,FALSE),"No Value")</f>
        <v>No Value</v>
      </c>
    </row>
    <row r="139" spans="1:46" ht="22.5" customHeight="1" x14ac:dyDescent="0.25">
      <c r="A139" s="174"/>
      <c r="B139" s="174"/>
      <c r="C139" s="174"/>
      <c r="D139" s="174"/>
      <c r="E139" s="175"/>
      <c r="F139" s="175"/>
      <c r="G139" s="177" t="str">
        <f>IFERROR(IF($E139="Yes","IPP",VLOOKUP($J139,'ELA Reading Logic'!$A$3:$K$9,VLOOKUP("September",'ELA Reading Logic'!$J$22:$K$31,2,FALSE),FALSE)),"Set Grade")</f>
        <v>Set Grade</v>
      </c>
      <c r="H139" s="177" t="str">
        <f>IFERROR(IF($E139="Yes","IPP",VLOOKUP($J139,'ELA Reading Logic'!$A$13:$K$19,VLOOKUP("September",'ELA Reading Logic'!$J$22:$K$31,2,FALSE),FALSE)),"Set Grade")</f>
        <v>Set Grade</v>
      </c>
      <c r="I139" s="96" t="str">
        <f>IF($E139="Yes","IPP",IFERROR(IF(AND(F139&gt;G139,F139&lt;H139),"0",(VLOOKUP(F139,'ELA Reading Logic'!$A$22:$B$48,2,FALSE))-(IF(VLOOKUP(F139,'ELA Reading Logic'!$A$22:$B$48,2,FALSE)&lt;=VLOOKUP(G139,'ELA Reading Logic'!$A$22:$B$48,2,FALSE),VLOOKUP(G139,'ELA Reading Logic'!$A$22:$B$48,2,FALSE),IF(VLOOKUP(F139,'ELA Reading Logic'!$A$22:$B$48,2,FALSE)&gt;=VLOOKUP(H139,'ELA Reading Logic'!$A$22:$B$48,2,FALSE),VLOOKUP(H139,'ELA Reading Logic'!$A$22:$B$48,2,FALSE),"No Score")))),"No Value"))</f>
        <v>No Value</v>
      </c>
      <c r="J139" s="178"/>
      <c r="K139" s="96"/>
      <c r="L139" s="96"/>
      <c r="M139" s="96"/>
      <c r="N139" s="96"/>
      <c r="O139" s="96"/>
      <c r="P139" s="105"/>
      <c r="Q139" s="92"/>
      <c r="R139" s="96" t="str">
        <f>IFERROR(IF($E139="Yes","IPP",VLOOKUP($J139,'ELA Reading Logic'!$A$3:$K$9,VLOOKUP(Q$1,'ELA Reading Logic'!$J$22:$K$31,2,FALSE),FALSE)),"Set Grade")</f>
        <v>Set Grade</v>
      </c>
      <c r="S139" s="96" t="str">
        <f>IFERROR(IF($E139="Yes","IPP",VLOOKUP($J139,'ELA Reading Logic'!$A$13:$K$19,VLOOKUP(Q$1,'ELA Reading Logic'!$J$22:$K$31,2,FALSE),FALSE)),"Set Grade")</f>
        <v>Set Grade</v>
      </c>
      <c r="T139" s="96" t="str">
        <f>IF($E139="Yes","IPP",IFERROR(IF(AND(Q139&gt;R139,Q139&lt;S139),"0",(VLOOKUP(Q139,'ELA Reading Logic'!$A$22:$B$48,2,FALSE))-(IF(VLOOKUP(Q139,'ELA Reading Logic'!$A$22:$B$48,2,FALSE)&lt;=VLOOKUP(R139,'ELA Reading Logic'!$A$22:$B$48,2,FALSE),VLOOKUP(R139,'ELA Reading Logic'!$A$22:$B$48,2,FALSE),IF(VLOOKUP(Q139,'ELA Reading Logic'!$A$22:$B$48,2,FALSE)&gt;=VLOOKUP(S139,'ELA Reading Logic'!$A$22:$B$48,2,FALSE),VLOOKUP(S139,'ELA Reading Logic'!$A$22:$B$48,2,FALSE),"No Score")))),"No Value"))</f>
        <v>No Value</v>
      </c>
      <c r="U139" s="96" t="str">
        <f>IFERROR(VLOOKUP(Q139,'ELA Reading Logic'!$A$22:$B$48,2,FALSE)-VLOOKUP($F139,'ELA Reading Logic'!$A$22:$B$48,2,FALSE),"No Value")</f>
        <v>No Value</v>
      </c>
      <c r="V139" s="92"/>
      <c r="W139" s="96" t="str">
        <f>IFERROR(IF($E139="Yes","IPP",VLOOKUP($J139,'ELA Reading Logic'!$A$3:$K$9,VLOOKUP(V$1,'ELA Reading Logic'!$J$22:$K$31,2,FALSE),FALSE)),"Set Grade")</f>
        <v>Set Grade</v>
      </c>
      <c r="X139" s="96" t="str">
        <f>IFERROR(IF($E139="Yes","IPP",VLOOKUP($J139,'ELA Reading Logic'!$A$13:$K$19,VLOOKUP(V$1,'ELA Reading Logic'!$J$22:$K$31,2,FALSE),FALSE)),"Set Grade")</f>
        <v>Set Grade</v>
      </c>
      <c r="Y139" s="96" t="str">
        <f>IF($E139="Yes","IPP",IFERROR(IF(AND(V139&gt;W139,V139&lt;X139),"0",(VLOOKUP(V139,'ELA Reading Logic'!$A$22:$B$48,2,FALSE))-(IF(VLOOKUP(V139,'ELA Reading Logic'!$A$22:$B$48,2,FALSE)&lt;=VLOOKUP(W139,'ELA Reading Logic'!$A$22:$B$48,2,FALSE),VLOOKUP(W139,'ELA Reading Logic'!$A$22:$B$48,2,FALSE),IF(VLOOKUP(V139,'ELA Reading Logic'!$A$22:$B$48,2,FALSE)&gt;=VLOOKUP(X139,'ELA Reading Logic'!$A$22:$B$48,2,FALSE),VLOOKUP(X139,'ELA Reading Logic'!$A$22:$B$48,2,FALSE),"No Score")))),"No Value"))</f>
        <v>No Value</v>
      </c>
      <c r="Z139" s="96" t="str">
        <f>IFERROR(VLOOKUP(V139,'ELA Reading Logic'!$A$22:$B$48,2,FALSE)-VLOOKUP($F139,'ELA Reading Logic'!$A$22:$B$48,2,FALSE),"No Value")</f>
        <v>No Value</v>
      </c>
      <c r="AA139" s="92"/>
      <c r="AB139" s="96" t="str">
        <f>IFERROR(IF($E139="Yes","IPP",VLOOKUP($J139,'ELA Reading Logic'!$A$3:$K$9,VLOOKUP(AA$1,'ELA Reading Logic'!$J$22:$K$31,2,FALSE),FALSE)),"Set Grade")</f>
        <v>Set Grade</v>
      </c>
      <c r="AC139" s="96" t="str">
        <f>IFERROR(IF($E139="Yes","IPP",VLOOKUP($J139,'ELA Reading Logic'!$A$13:$K$19,VLOOKUP(AA$1,'ELA Reading Logic'!$J$22:$K$31,2,FALSE),FALSE)),"Set Grade")</f>
        <v>Set Grade</v>
      </c>
      <c r="AD139" s="96" t="str">
        <f>IF($E139="Yes","IPP",IFERROR(IF(AND(AA139&gt;AB139,AA139&lt;AC139),"0",(VLOOKUP(AA139,'ELA Reading Logic'!$A$22:$B$48,2,FALSE))-(IF(VLOOKUP(AA139,'ELA Reading Logic'!$A$22:$B$48,2,FALSE)&lt;=VLOOKUP(AB139,'ELA Reading Logic'!$A$22:$B$48,2,FALSE),VLOOKUP(AB139,'ELA Reading Logic'!$A$22:$B$48,2,FALSE),IF(VLOOKUP(AA139,'ELA Reading Logic'!$A$22:$B$48,2,FALSE)&gt;=VLOOKUP(AC139,'ELA Reading Logic'!$A$22:$B$48,2,FALSE),VLOOKUP(AC139,'ELA Reading Logic'!$A$22:$B$48,2,FALSE),"No Score")))),"No Value"))</f>
        <v>No Value</v>
      </c>
      <c r="AE139" s="96" t="str">
        <f>IFERROR(VLOOKUP(AA139,'ELA Reading Logic'!$A$22:$B$48,2,FALSE)-VLOOKUP($F139,'ELA Reading Logic'!$A$22:$B$48,2,FALSE),"No Value")</f>
        <v>No Value</v>
      </c>
      <c r="AF139" s="92"/>
      <c r="AG139" s="96" t="str">
        <f>IFERROR(IF($E139="Yes","IPP",VLOOKUP($J139,'ELA Reading Logic'!$A$3:$K$9,VLOOKUP(AF$1,'ELA Reading Logic'!$J$22:$K$31,2,FALSE),FALSE)),"Set Grade")</f>
        <v>Set Grade</v>
      </c>
      <c r="AH139" s="96" t="str">
        <f>IFERROR(IF($E139="Yes","IPP",VLOOKUP($J139,'ELA Reading Logic'!$A$13:$K$19,VLOOKUP(AF$1,'ELA Reading Logic'!$J$22:$K$31,2,FALSE),FALSE)),"Set Grade")</f>
        <v>Set Grade</v>
      </c>
      <c r="AI139" s="96" t="str">
        <f>IF($E139="Yes","IPP",IFERROR(IF(AND(AF139&gt;AG139,AF139&lt;AH139),"0",(VLOOKUP(AF139,'ELA Reading Logic'!$A$22:$B$48,2,FALSE))-(IF(VLOOKUP(AF139,'ELA Reading Logic'!$A$22:$B$48,2,FALSE)&lt;=VLOOKUP(AG139,'ELA Reading Logic'!$A$22:$B$48,2,FALSE),VLOOKUP(AG139,'ELA Reading Logic'!$A$22:$B$48,2,FALSE),IF(VLOOKUP(AF139,'ELA Reading Logic'!$A$22:$B$48,2,FALSE)&gt;=VLOOKUP(AH139,'ELA Reading Logic'!$A$22:$B$48,2,FALSE),VLOOKUP(AH139,'ELA Reading Logic'!$A$22:$B$48,2,FALSE),"No Score")))),"No Value"))</f>
        <v>No Value</v>
      </c>
      <c r="AJ139" s="96" t="str">
        <f>IFERROR(VLOOKUP(AF139,'ELA Reading Logic'!$A$22:$B$48,2,FALSE)-VLOOKUP($F139,'ELA Reading Logic'!$A$22:$B$48,2,FALSE),"No Value")</f>
        <v>No Value</v>
      </c>
      <c r="AK139" s="92"/>
      <c r="AL139" s="96" t="str">
        <f>IFERROR(IF($E139="Yes","IPP",VLOOKUP($J139,'ELA Reading Logic'!$A$3:$K$9,VLOOKUP(AK$1,'ELA Reading Logic'!$J$22:$K$31,2,FALSE),FALSE)),"Set Grade")</f>
        <v>Set Grade</v>
      </c>
      <c r="AM139" s="96" t="str">
        <f>IFERROR(IF($E139="Yes","IPP",VLOOKUP($J139,'ELA Reading Logic'!$A$13:$K$19,VLOOKUP(AK$1,'ELA Reading Logic'!$J$22:$K$31,2,FALSE),FALSE)),"Set Grade")</f>
        <v>Set Grade</v>
      </c>
      <c r="AN139" s="96" t="str">
        <f>IF($E139="Yes","IPP",IFERROR(IF(AND(AK139&gt;AL139,AK139&lt;AM139),"0",(VLOOKUP(AK139,'ELA Reading Logic'!$A$22:$B$48,2,FALSE))-(IF(VLOOKUP(AK139,'ELA Reading Logic'!$A$22:$B$48,2,FALSE)&lt;=VLOOKUP(AL139,'ELA Reading Logic'!$A$22:$B$48,2,FALSE),VLOOKUP(AL139,'ELA Reading Logic'!$A$22:$B$48,2,FALSE),IF(VLOOKUP(AK139,'ELA Reading Logic'!$A$22:$B$48,2,FALSE)&gt;=VLOOKUP(AM139,'ELA Reading Logic'!$A$22:$B$48,2,FALSE),VLOOKUP(AM139,'ELA Reading Logic'!$A$22:$B$48,2,FALSE),"No Score")))),"No Value"))</f>
        <v>No Value</v>
      </c>
      <c r="AO139" s="96" t="str">
        <f>IFERROR(VLOOKUP(AK139,'ELA Reading Logic'!$A$22:$B$48,2,FALSE)-VLOOKUP($F139,'ELA Reading Logic'!$A$22:$B$48,2,FALSE),"No Value")</f>
        <v>No Value</v>
      </c>
      <c r="AP139" s="92"/>
      <c r="AQ139" s="96" t="str">
        <f>IFERROR(IF($E139="Yes","IPP",VLOOKUP($J139,'ELA Reading Logic'!$A$3:$K$9,VLOOKUP(AP$1,'ELA Reading Logic'!$J$22:$K$31,2,FALSE),FALSE)),"Set Grade")</f>
        <v>Set Grade</v>
      </c>
      <c r="AR139" s="96" t="str">
        <f>IFERROR(IF($E139="Yes","IPP",VLOOKUP($J139,'ELA Reading Logic'!$A$13:$K$19,VLOOKUP(AP$1,'ELA Reading Logic'!$J$22:$K$31,2,FALSE),FALSE)),"Set Grade")</f>
        <v>Set Grade</v>
      </c>
      <c r="AS139" s="96" t="str">
        <f>IF($E139="Yes","IPP",IFERROR(IF(AND(AP139&gt;AQ139,AP139&lt;AR139),"0",(VLOOKUP(AP139,'ELA Reading Logic'!$A$22:$B$48,2,FALSE))-(IF(VLOOKUP(AP139,'ELA Reading Logic'!$A$22:$B$48,2,FALSE)&lt;=VLOOKUP(AQ139,'ELA Reading Logic'!$A$22:$B$48,2,FALSE),VLOOKUP(AQ139,'ELA Reading Logic'!$A$22:$B$48,2,FALSE),IF(VLOOKUP(AP139,'ELA Reading Logic'!$A$22:$B$48,2,FALSE)&gt;=VLOOKUP(AR139,'ELA Reading Logic'!$A$22:$B$48,2,FALSE),VLOOKUP(AR139,'ELA Reading Logic'!$A$22:$B$48,2,FALSE),"No Score")))),"No Value"))</f>
        <v>No Value</v>
      </c>
      <c r="AT139" s="96" t="str">
        <f>IFERROR(VLOOKUP(AP139,'ELA Reading Logic'!$A$22:$B$48,2,FALSE)-VLOOKUP($F139,'ELA Reading Logic'!$A$22:$B$48,2,FALSE),"No Value")</f>
        <v>No Value</v>
      </c>
    </row>
    <row r="140" spans="1:46" ht="22.5" customHeight="1" x14ac:dyDescent="0.25">
      <c r="A140" s="174"/>
      <c r="B140" s="174"/>
      <c r="C140" s="174"/>
      <c r="D140" s="174"/>
      <c r="E140" s="175"/>
      <c r="F140" s="175"/>
      <c r="G140" s="177" t="str">
        <f>IFERROR(IF($E140="Yes","IPP",VLOOKUP($J140,'ELA Reading Logic'!$A$3:$K$9,VLOOKUP("September",'ELA Reading Logic'!$J$22:$K$31,2,FALSE),FALSE)),"Set Grade")</f>
        <v>Set Grade</v>
      </c>
      <c r="H140" s="177" t="str">
        <f>IFERROR(IF($E140="Yes","IPP",VLOOKUP($J140,'ELA Reading Logic'!$A$13:$K$19,VLOOKUP("September",'ELA Reading Logic'!$J$22:$K$31,2,FALSE),FALSE)),"Set Grade")</f>
        <v>Set Grade</v>
      </c>
      <c r="I140" s="96" t="str">
        <f>IF($E140="Yes","IPP",IFERROR(IF(AND(F140&gt;G140,F140&lt;H140),"0",(VLOOKUP(F140,'ELA Reading Logic'!$A$22:$B$48,2,FALSE))-(IF(VLOOKUP(F140,'ELA Reading Logic'!$A$22:$B$48,2,FALSE)&lt;=VLOOKUP(G140,'ELA Reading Logic'!$A$22:$B$48,2,FALSE),VLOOKUP(G140,'ELA Reading Logic'!$A$22:$B$48,2,FALSE),IF(VLOOKUP(F140,'ELA Reading Logic'!$A$22:$B$48,2,FALSE)&gt;=VLOOKUP(H140,'ELA Reading Logic'!$A$22:$B$48,2,FALSE),VLOOKUP(H140,'ELA Reading Logic'!$A$22:$B$48,2,FALSE),"No Score")))),"No Value"))</f>
        <v>No Value</v>
      </c>
      <c r="J140" s="178"/>
      <c r="K140" s="96"/>
      <c r="L140" s="96"/>
      <c r="M140" s="96"/>
      <c r="N140" s="96"/>
      <c r="O140" s="96"/>
      <c r="P140" s="105"/>
      <c r="Q140" s="92"/>
      <c r="R140" s="96" t="str">
        <f>IFERROR(IF($E140="Yes","IPP",VLOOKUP($J140,'ELA Reading Logic'!$A$3:$K$9,VLOOKUP(Q$1,'ELA Reading Logic'!$J$22:$K$31,2,FALSE),FALSE)),"Set Grade")</f>
        <v>Set Grade</v>
      </c>
      <c r="S140" s="96" t="str">
        <f>IFERROR(IF($E140="Yes","IPP",VLOOKUP($J140,'ELA Reading Logic'!$A$13:$K$19,VLOOKUP(Q$1,'ELA Reading Logic'!$J$22:$K$31,2,FALSE),FALSE)),"Set Grade")</f>
        <v>Set Grade</v>
      </c>
      <c r="T140" s="96" t="str">
        <f>IF($E140="Yes","IPP",IFERROR(IF(AND(Q140&gt;R140,Q140&lt;S140),"0",(VLOOKUP(Q140,'ELA Reading Logic'!$A$22:$B$48,2,FALSE))-(IF(VLOOKUP(Q140,'ELA Reading Logic'!$A$22:$B$48,2,FALSE)&lt;=VLOOKUP(R140,'ELA Reading Logic'!$A$22:$B$48,2,FALSE),VLOOKUP(R140,'ELA Reading Logic'!$A$22:$B$48,2,FALSE),IF(VLOOKUP(Q140,'ELA Reading Logic'!$A$22:$B$48,2,FALSE)&gt;=VLOOKUP(S140,'ELA Reading Logic'!$A$22:$B$48,2,FALSE),VLOOKUP(S140,'ELA Reading Logic'!$A$22:$B$48,2,FALSE),"No Score")))),"No Value"))</f>
        <v>No Value</v>
      </c>
      <c r="U140" s="96" t="str">
        <f>IFERROR(VLOOKUP(Q140,'ELA Reading Logic'!$A$22:$B$48,2,FALSE)-VLOOKUP($F140,'ELA Reading Logic'!$A$22:$B$48,2,FALSE),"No Value")</f>
        <v>No Value</v>
      </c>
      <c r="V140" s="92"/>
      <c r="W140" s="96" t="str">
        <f>IFERROR(IF($E140="Yes","IPP",VLOOKUP($J140,'ELA Reading Logic'!$A$3:$K$9,VLOOKUP(V$1,'ELA Reading Logic'!$J$22:$K$31,2,FALSE),FALSE)),"Set Grade")</f>
        <v>Set Grade</v>
      </c>
      <c r="X140" s="96" t="str">
        <f>IFERROR(IF($E140="Yes","IPP",VLOOKUP($J140,'ELA Reading Logic'!$A$13:$K$19,VLOOKUP(V$1,'ELA Reading Logic'!$J$22:$K$31,2,FALSE),FALSE)),"Set Grade")</f>
        <v>Set Grade</v>
      </c>
      <c r="Y140" s="96" t="str">
        <f>IF($E140="Yes","IPP",IFERROR(IF(AND(V140&gt;W140,V140&lt;X140),"0",(VLOOKUP(V140,'ELA Reading Logic'!$A$22:$B$48,2,FALSE))-(IF(VLOOKUP(V140,'ELA Reading Logic'!$A$22:$B$48,2,FALSE)&lt;=VLOOKUP(W140,'ELA Reading Logic'!$A$22:$B$48,2,FALSE),VLOOKUP(W140,'ELA Reading Logic'!$A$22:$B$48,2,FALSE),IF(VLOOKUP(V140,'ELA Reading Logic'!$A$22:$B$48,2,FALSE)&gt;=VLOOKUP(X140,'ELA Reading Logic'!$A$22:$B$48,2,FALSE),VLOOKUP(X140,'ELA Reading Logic'!$A$22:$B$48,2,FALSE),"No Score")))),"No Value"))</f>
        <v>No Value</v>
      </c>
      <c r="Z140" s="96" t="str">
        <f>IFERROR(VLOOKUP(V140,'ELA Reading Logic'!$A$22:$B$48,2,FALSE)-VLOOKUP($F140,'ELA Reading Logic'!$A$22:$B$48,2,FALSE),"No Value")</f>
        <v>No Value</v>
      </c>
      <c r="AA140" s="92"/>
      <c r="AB140" s="96" t="str">
        <f>IFERROR(IF($E140="Yes","IPP",VLOOKUP($J140,'ELA Reading Logic'!$A$3:$K$9,VLOOKUP(AA$1,'ELA Reading Logic'!$J$22:$K$31,2,FALSE),FALSE)),"Set Grade")</f>
        <v>Set Grade</v>
      </c>
      <c r="AC140" s="96" t="str">
        <f>IFERROR(IF($E140="Yes","IPP",VLOOKUP($J140,'ELA Reading Logic'!$A$13:$K$19,VLOOKUP(AA$1,'ELA Reading Logic'!$J$22:$K$31,2,FALSE),FALSE)),"Set Grade")</f>
        <v>Set Grade</v>
      </c>
      <c r="AD140" s="96" t="str">
        <f>IF($E140="Yes","IPP",IFERROR(IF(AND(AA140&gt;AB140,AA140&lt;AC140),"0",(VLOOKUP(AA140,'ELA Reading Logic'!$A$22:$B$48,2,FALSE))-(IF(VLOOKUP(AA140,'ELA Reading Logic'!$A$22:$B$48,2,FALSE)&lt;=VLOOKUP(AB140,'ELA Reading Logic'!$A$22:$B$48,2,FALSE),VLOOKUP(AB140,'ELA Reading Logic'!$A$22:$B$48,2,FALSE),IF(VLOOKUP(AA140,'ELA Reading Logic'!$A$22:$B$48,2,FALSE)&gt;=VLOOKUP(AC140,'ELA Reading Logic'!$A$22:$B$48,2,FALSE),VLOOKUP(AC140,'ELA Reading Logic'!$A$22:$B$48,2,FALSE),"No Score")))),"No Value"))</f>
        <v>No Value</v>
      </c>
      <c r="AE140" s="96" t="str">
        <f>IFERROR(VLOOKUP(AA140,'ELA Reading Logic'!$A$22:$B$48,2,FALSE)-VLOOKUP($F140,'ELA Reading Logic'!$A$22:$B$48,2,FALSE),"No Value")</f>
        <v>No Value</v>
      </c>
      <c r="AF140" s="92"/>
      <c r="AG140" s="96" t="str">
        <f>IFERROR(IF($E140="Yes","IPP",VLOOKUP($J140,'ELA Reading Logic'!$A$3:$K$9,VLOOKUP(AF$1,'ELA Reading Logic'!$J$22:$K$31,2,FALSE),FALSE)),"Set Grade")</f>
        <v>Set Grade</v>
      </c>
      <c r="AH140" s="96" t="str">
        <f>IFERROR(IF($E140="Yes","IPP",VLOOKUP($J140,'ELA Reading Logic'!$A$13:$K$19,VLOOKUP(AF$1,'ELA Reading Logic'!$J$22:$K$31,2,FALSE),FALSE)),"Set Grade")</f>
        <v>Set Grade</v>
      </c>
      <c r="AI140" s="96" t="str">
        <f>IF($E140="Yes","IPP",IFERROR(IF(AND(AF140&gt;AG140,AF140&lt;AH140),"0",(VLOOKUP(AF140,'ELA Reading Logic'!$A$22:$B$48,2,FALSE))-(IF(VLOOKUP(AF140,'ELA Reading Logic'!$A$22:$B$48,2,FALSE)&lt;=VLOOKUP(AG140,'ELA Reading Logic'!$A$22:$B$48,2,FALSE),VLOOKUP(AG140,'ELA Reading Logic'!$A$22:$B$48,2,FALSE),IF(VLOOKUP(AF140,'ELA Reading Logic'!$A$22:$B$48,2,FALSE)&gt;=VLOOKUP(AH140,'ELA Reading Logic'!$A$22:$B$48,2,FALSE),VLOOKUP(AH140,'ELA Reading Logic'!$A$22:$B$48,2,FALSE),"No Score")))),"No Value"))</f>
        <v>No Value</v>
      </c>
      <c r="AJ140" s="96" t="str">
        <f>IFERROR(VLOOKUP(AF140,'ELA Reading Logic'!$A$22:$B$48,2,FALSE)-VLOOKUP($F140,'ELA Reading Logic'!$A$22:$B$48,2,FALSE),"No Value")</f>
        <v>No Value</v>
      </c>
      <c r="AK140" s="92"/>
      <c r="AL140" s="96" t="str">
        <f>IFERROR(IF($E140="Yes","IPP",VLOOKUP($J140,'ELA Reading Logic'!$A$3:$K$9,VLOOKUP(AK$1,'ELA Reading Logic'!$J$22:$K$31,2,FALSE),FALSE)),"Set Grade")</f>
        <v>Set Grade</v>
      </c>
      <c r="AM140" s="96" t="str">
        <f>IFERROR(IF($E140="Yes","IPP",VLOOKUP($J140,'ELA Reading Logic'!$A$13:$K$19,VLOOKUP(AK$1,'ELA Reading Logic'!$J$22:$K$31,2,FALSE),FALSE)),"Set Grade")</f>
        <v>Set Grade</v>
      </c>
      <c r="AN140" s="96" t="str">
        <f>IF($E140="Yes","IPP",IFERROR(IF(AND(AK140&gt;AL140,AK140&lt;AM140),"0",(VLOOKUP(AK140,'ELA Reading Logic'!$A$22:$B$48,2,FALSE))-(IF(VLOOKUP(AK140,'ELA Reading Logic'!$A$22:$B$48,2,FALSE)&lt;=VLOOKUP(AL140,'ELA Reading Logic'!$A$22:$B$48,2,FALSE),VLOOKUP(AL140,'ELA Reading Logic'!$A$22:$B$48,2,FALSE),IF(VLOOKUP(AK140,'ELA Reading Logic'!$A$22:$B$48,2,FALSE)&gt;=VLOOKUP(AM140,'ELA Reading Logic'!$A$22:$B$48,2,FALSE),VLOOKUP(AM140,'ELA Reading Logic'!$A$22:$B$48,2,FALSE),"No Score")))),"No Value"))</f>
        <v>No Value</v>
      </c>
      <c r="AO140" s="96" t="str">
        <f>IFERROR(VLOOKUP(AK140,'ELA Reading Logic'!$A$22:$B$48,2,FALSE)-VLOOKUP($F140,'ELA Reading Logic'!$A$22:$B$48,2,FALSE),"No Value")</f>
        <v>No Value</v>
      </c>
      <c r="AP140" s="92"/>
      <c r="AQ140" s="96" t="str">
        <f>IFERROR(IF($E140="Yes","IPP",VLOOKUP($J140,'ELA Reading Logic'!$A$3:$K$9,VLOOKUP(AP$1,'ELA Reading Logic'!$J$22:$K$31,2,FALSE),FALSE)),"Set Grade")</f>
        <v>Set Grade</v>
      </c>
      <c r="AR140" s="96" t="str">
        <f>IFERROR(IF($E140="Yes","IPP",VLOOKUP($J140,'ELA Reading Logic'!$A$13:$K$19,VLOOKUP(AP$1,'ELA Reading Logic'!$J$22:$K$31,2,FALSE),FALSE)),"Set Grade")</f>
        <v>Set Grade</v>
      </c>
      <c r="AS140" s="96" t="str">
        <f>IF($E140="Yes","IPP",IFERROR(IF(AND(AP140&gt;AQ140,AP140&lt;AR140),"0",(VLOOKUP(AP140,'ELA Reading Logic'!$A$22:$B$48,2,FALSE))-(IF(VLOOKUP(AP140,'ELA Reading Logic'!$A$22:$B$48,2,FALSE)&lt;=VLOOKUP(AQ140,'ELA Reading Logic'!$A$22:$B$48,2,FALSE),VLOOKUP(AQ140,'ELA Reading Logic'!$A$22:$B$48,2,FALSE),IF(VLOOKUP(AP140,'ELA Reading Logic'!$A$22:$B$48,2,FALSE)&gt;=VLOOKUP(AR140,'ELA Reading Logic'!$A$22:$B$48,2,FALSE),VLOOKUP(AR140,'ELA Reading Logic'!$A$22:$B$48,2,FALSE),"No Score")))),"No Value"))</f>
        <v>No Value</v>
      </c>
      <c r="AT140" s="96" t="str">
        <f>IFERROR(VLOOKUP(AP140,'ELA Reading Logic'!$A$22:$B$48,2,FALSE)-VLOOKUP($F140,'ELA Reading Logic'!$A$22:$B$48,2,FALSE),"No Value")</f>
        <v>No Value</v>
      </c>
    </row>
    <row r="141" spans="1:46" ht="22.5" customHeight="1" x14ac:dyDescent="0.25">
      <c r="A141" s="176"/>
      <c r="B141" s="176"/>
      <c r="C141" s="176"/>
      <c r="D141" s="176"/>
      <c r="E141" s="175"/>
      <c r="F141" s="175"/>
      <c r="G141" s="177" t="str">
        <f>IFERROR(IF($E141="Yes","IPP",VLOOKUP($J141,'ELA Reading Logic'!$A$3:$K$9,VLOOKUP("September",'ELA Reading Logic'!$J$22:$K$31,2,FALSE),FALSE)),"Set Grade")</f>
        <v>Set Grade</v>
      </c>
      <c r="H141" s="177" t="str">
        <f>IFERROR(IF($E141="Yes","IPP",VLOOKUP($J141,'ELA Reading Logic'!$A$13:$K$19,VLOOKUP("September",'ELA Reading Logic'!$J$22:$K$31,2,FALSE),FALSE)),"Set Grade")</f>
        <v>Set Grade</v>
      </c>
      <c r="I141" s="96" t="str">
        <f>IF($E141="Yes","IPP",IFERROR(IF(AND(F141&gt;G141,F141&lt;H141),"0",(VLOOKUP(F141,'ELA Reading Logic'!$A$22:$B$48,2,FALSE))-(IF(VLOOKUP(F141,'ELA Reading Logic'!$A$22:$B$48,2,FALSE)&lt;=VLOOKUP(G141,'ELA Reading Logic'!$A$22:$B$48,2,FALSE),VLOOKUP(G141,'ELA Reading Logic'!$A$22:$B$48,2,FALSE),IF(VLOOKUP(F141,'ELA Reading Logic'!$A$22:$B$48,2,FALSE)&gt;=VLOOKUP(H141,'ELA Reading Logic'!$A$22:$B$48,2,FALSE),VLOOKUP(H141,'ELA Reading Logic'!$A$22:$B$48,2,FALSE),"No Score")))),"No Value"))</f>
        <v>No Value</v>
      </c>
      <c r="J141" s="178"/>
      <c r="K141" s="96"/>
      <c r="L141" s="96"/>
      <c r="M141" s="96"/>
      <c r="N141" s="96"/>
      <c r="O141" s="96"/>
      <c r="P141" s="105"/>
      <c r="Q141" s="92"/>
      <c r="R141" s="96" t="str">
        <f>IFERROR(IF($E141="Yes","IPP",VLOOKUP($J141,'ELA Reading Logic'!$A$3:$K$9,VLOOKUP(Q$1,'ELA Reading Logic'!$J$22:$K$31,2,FALSE),FALSE)),"Set Grade")</f>
        <v>Set Grade</v>
      </c>
      <c r="S141" s="96" t="str">
        <f>IFERROR(IF($E141="Yes","IPP",VLOOKUP($J141,'ELA Reading Logic'!$A$13:$K$19,VLOOKUP(Q$1,'ELA Reading Logic'!$J$22:$K$31,2,FALSE),FALSE)),"Set Grade")</f>
        <v>Set Grade</v>
      </c>
      <c r="T141" s="96" t="str">
        <f>IF($E141="Yes","IPP",IFERROR(IF(AND(Q141&gt;R141,Q141&lt;S141),"0",(VLOOKUP(Q141,'ELA Reading Logic'!$A$22:$B$48,2,FALSE))-(IF(VLOOKUP(Q141,'ELA Reading Logic'!$A$22:$B$48,2,FALSE)&lt;=VLOOKUP(R141,'ELA Reading Logic'!$A$22:$B$48,2,FALSE),VLOOKUP(R141,'ELA Reading Logic'!$A$22:$B$48,2,FALSE),IF(VLOOKUP(Q141,'ELA Reading Logic'!$A$22:$B$48,2,FALSE)&gt;=VLOOKUP(S141,'ELA Reading Logic'!$A$22:$B$48,2,FALSE),VLOOKUP(S141,'ELA Reading Logic'!$A$22:$B$48,2,FALSE),"No Score")))),"No Value"))</f>
        <v>No Value</v>
      </c>
      <c r="U141" s="96" t="str">
        <f>IFERROR(VLOOKUP(Q141,'ELA Reading Logic'!$A$22:$B$48,2,FALSE)-VLOOKUP($F141,'ELA Reading Logic'!$A$22:$B$48,2,FALSE),"No Value")</f>
        <v>No Value</v>
      </c>
      <c r="V141" s="92"/>
      <c r="W141" s="96" t="str">
        <f>IFERROR(IF($E141="Yes","IPP",VLOOKUP($J141,'ELA Reading Logic'!$A$3:$K$9,VLOOKUP(V$1,'ELA Reading Logic'!$J$22:$K$31,2,FALSE),FALSE)),"Set Grade")</f>
        <v>Set Grade</v>
      </c>
      <c r="X141" s="96" t="str">
        <f>IFERROR(IF($E141="Yes","IPP",VLOOKUP($J141,'ELA Reading Logic'!$A$13:$K$19,VLOOKUP(V$1,'ELA Reading Logic'!$J$22:$K$31,2,FALSE),FALSE)),"Set Grade")</f>
        <v>Set Grade</v>
      </c>
      <c r="Y141" s="96" t="str">
        <f>IF($E141="Yes","IPP",IFERROR(IF(AND(V141&gt;W141,V141&lt;X141),"0",(VLOOKUP(V141,'ELA Reading Logic'!$A$22:$B$48,2,FALSE))-(IF(VLOOKUP(V141,'ELA Reading Logic'!$A$22:$B$48,2,FALSE)&lt;=VLOOKUP(W141,'ELA Reading Logic'!$A$22:$B$48,2,FALSE),VLOOKUP(W141,'ELA Reading Logic'!$A$22:$B$48,2,FALSE),IF(VLOOKUP(V141,'ELA Reading Logic'!$A$22:$B$48,2,FALSE)&gt;=VLOOKUP(X141,'ELA Reading Logic'!$A$22:$B$48,2,FALSE),VLOOKUP(X141,'ELA Reading Logic'!$A$22:$B$48,2,FALSE),"No Score")))),"No Value"))</f>
        <v>No Value</v>
      </c>
      <c r="Z141" s="96" t="str">
        <f>IFERROR(VLOOKUP(V141,'ELA Reading Logic'!$A$22:$B$48,2,FALSE)-VLOOKUP($F141,'ELA Reading Logic'!$A$22:$B$48,2,FALSE),"No Value")</f>
        <v>No Value</v>
      </c>
      <c r="AA141" s="92"/>
      <c r="AB141" s="96" t="str">
        <f>IFERROR(IF($E141="Yes","IPP",VLOOKUP($J141,'ELA Reading Logic'!$A$3:$K$9,VLOOKUP(AA$1,'ELA Reading Logic'!$J$22:$K$31,2,FALSE),FALSE)),"Set Grade")</f>
        <v>Set Grade</v>
      </c>
      <c r="AC141" s="96" t="str">
        <f>IFERROR(IF($E141="Yes","IPP",VLOOKUP($J141,'ELA Reading Logic'!$A$13:$K$19,VLOOKUP(AA$1,'ELA Reading Logic'!$J$22:$K$31,2,FALSE),FALSE)),"Set Grade")</f>
        <v>Set Grade</v>
      </c>
      <c r="AD141" s="96" t="str">
        <f>IF($E141="Yes","IPP",IFERROR(IF(AND(AA141&gt;AB141,AA141&lt;AC141),"0",(VLOOKUP(AA141,'ELA Reading Logic'!$A$22:$B$48,2,FALSE))-(IF(VLOOKUP(AA141,'ELA Reading Logic'!$A$22:$B$48,2,FALSE)&lt;=VLOOKUP(AB141,'ELA Reading Logic'!$A$22:$B$48,2,FALSE),VLOOKUP(AB141,'ELA Reading Logic'!$A$22:$B$48,2,FALSE),IF(VLOOKUP(AA141,'ELA Reading Logic'!$A$22:$B$48,2,FALSE)&gt;=VLOOKUP(AC141,'ELA Reading Logic'!$A$22:$B$48,2,FALSE),VLOOKUP(AC141,'ELA Reading Logic'!$A$22:$B$48,2,FALSE),"No Score")))),"No Value"))</f>
        <v>No Value</v>
      </c>
      <c r="AE141" s="96" t="str">
        <f>IFERROR(VLOOKUP(AA141,'ELA Reading Logic'!$A$22:$B$48,2,FALSE)-VLOOKUP($F141,'ELA Reading Logic'!$A$22:$B$48,2,FALSE),"No Value")</f>
        <v>No Value</v>
      </c>
      <c r="AF141" s="92"/>
      <c r="AG141" s="96" t="str">
        <f>IFERROR(IF($E141="Yes","IPP",VLOOKUP($J141,'ELA Reading Logic'!$A$3:$K$9,VLOOKUP(AF$1,'ELA Reading Logic'!$J$22:$K$31,2,FALSE),FALSE)),"Set Grade")</f>
        <v>Set Grade</v>
      </c>
      <c r="AH141" s="96" t="str">
        <f>IFERROR(IF($E141="Yes","IPP",VLOOKUP($J141,'ELA Reading Logic'!$A$13:$K$19,VLOOKUP(AF$1,'ELA Reading Logic'!$J$22:$K$31,2,FALSE),FALSE)),"Set Grade")</f>
        <v>Set Grade</v>
      </c>
      <c r="AI141" s="96" t="str">
        <f>IF($E141="Yes","IPP",IFERROR(IF(AND(AF141&gt;AG141,AF141&lt;AH141),"0",(VLOOKUP(AF141,'ELA Reading Logic'!$A$22:$B$48,2,FALSE))-(IF(VLOOKUP(AF141,'ELA Reading Logic'!$A$22:$B$48,2,FALSE)&lt;=VLOOKUP(AG141,'ELA Reading Logic'!$A$22:$B$48,2,FALSE),VLOOKUP(AG141,'ELA Reading Logic'!$A$22:$B$48,2,FALSE),IF(VLOOKUP(AF141,'ELA Reading Logic'!$A$22:$B$48,2,FALSE)&gt;=VLOOKUP(AH141,'ELA Reading Logic'!$A$22:$B$48,2,FALSE),VLOOKUP(AH141,'ELA Reading Logic'!$A$22:$B$48,2,FALSE),"No Score")))),"No Value"))</f>
        <v>No Value</v>
      </c>
      <c r="AJ141" s="96" t="str">
        <f>IFERROR(VLOOKUP(AF141,'ELA Reading Logic'!$A$22:$B$48,2,FALSE)-VLOOKUP($F141,'ELA Reading Logic'!$A$22:$B$48,2,FALSE),"No Value")</f>
        <v>No Value</v>
      </c>
      <c r="AK141" s="92"/>
      <c r="AL141" s="96" t="str">
        <f>IFERROR(IF($E141="Yes","IPP",VLOOKUP($J141,'ELA Reading Logic'!$A$3:$K$9,VLOOKUP(AK$1,'ELA Reading Logic'!$J$22:$K$31,2,FALSE),FALSE)),"Set Grade")</f>
        <v>Set Grade</v>
      </c>
      <c r="AM141" s="96" t="str">
        <f>IFERROR(IF($E141="Yes","IPP",VLOOKUP($J141,'ELA Reading Logic'!$A$13:$K$19,VLOOKUP(AK$1,'ELA Reading Logic'!$J$22:$K$31,2,FALSE),FALSE)),"Set Grade")</f>
        <v>Set Grade</v>
      </c>
      <c r="AN141" s="96" t="str">
        <f>IF($E141="Yes","IPP",IFERROR(IF(AND(AK141&gt;AL141,AK141&lt;AM141),"0",(VLOOKUP(AK141,'ELA Reading Logic'!$A$22:$B$48,2,FALSE))-(IF(VLOOKUP(AK141,'ELA Reading Logic'!$A$22:$B$48,2,FALSE)&lt;=VLOOKUP(AL141,'ELA Reading Logic'!$A$22:$B$48,2,FALSE),VLOOKUP(AL141,'ELA Reading Logic'!$A$22:$B$48,2,FALSE),IF(VLOOKUP(AK141,'ELA Reading Logic'!$A$22:$B$48,2,FALSE)&gt;=VLOOKUP(AM141,'ELA Reading Logic'!$A$22:$B$48,2,FALSE),VLOOKUP(AM141,'ELA Reading Logic'!$A$22:$B$48,2,FALSE),"No Score")))),"No Value"))</f>
        <v>No Value</v>
      </c>
      <c r="AO141" s="96" t="str">
        <f>IFERROR(VLOOKUP(AK141,'ELA Reading Logic'!$A$22:$B$48,2,FALSE)-VLOOKUP($F141,'ELA Reading Logic'!$A$22:$B$48,2,FALSE),"No Value")</f>
        <v>No Value</v>
      </c>
      <c r="AP141" s="92"/>
      <c r="AQ141" s="96" t="str">
        <f>IFERROR(IF($E141="Yes","IPP",VLOOKUP($J141,'ELA Reading Logic'!$A$3:$K$9,VLOOKUP(AP$1,'ELA Reading Logic'!$J$22:$K$31,2,FALSE),FALSE)),"Set Grade")</f>
        <v>Set Grade</v>
      </c>
      <c r="AR141" s="96" t="str">
        <f>IFERROR(IF($E141="Yes","IPP",VLOOKUP($J141,'ELA Reading Logic'!$A$13:$K$19,VLOOKUP(AP$1,'ELA Reading Logic'!$J$22:$K$31,2,FALSE),FALSE)),"Set Grade")</f>
        <v>Set Grade</v>
      </c>
      <c r="AS141" s="96" t="str">
        <f>IF($E141="Yes","IPP",IFERROR(IF(AND(AP141&gt;AQ141,AP141&lt;AR141),"0",(VLOOKUP(AP141,'ELA Reading Logic'!$A$22:$B$48,2,FALSE))-(IF(VLOOKUP(AP141,'ELA Reading Logic'!$A$22:$B$48,2,FALSE)&lt;=VLOOKUP(AQ141,'ELA Reading Logic'!$A$22:$B$48,2,FALSE),VLOOKUP(AQ141,'ELA Reading Logic'!$A$22:$B$48,2,FALSE),IF(VLOOKUP(AP141,'ELA Reading Logic'!$A$22:$B$48,2,FALSE)&gt;=VLOOKUP(AR141,'ELA Reading Logic'!$A$22:$B$48,2,FALSE),VLOOKUP(AR141,'ELA Reading Logic'!$A$22:$B$48,2,FALSE),"No Score")))),"No Value"))</f>
        <v>No Value</v>
      </c>
      <c r="AT141" s="96" t="str">
        <f>IFERROR(VLOOKUP(AP141,'ELA Reading Logic'!$A$22:$B$48,2,FALSE)-VLOOKUP($F141,'ELA Reading Logic'!$A$22:$B$48,2,FALSE),"No Value")</f>
        <v>No Value</v>
      </c>
    </row>
    <row r="142" spans="1:46" ht="22.5" customHeight="1" x14ac:dyDescent="0.25">
      <c r="A142" s="176"/>
      <c r="B142" s="176"/>
      <c r="C142" s="176"/>
      <c r="D142" s="176"/>
      <c r="E142" s="175"/>
      <c r="F142" s="175"/>
      <c r="G142" s="177" t="str">
        <f>IFERROR(IF($E142="Yes","IPP",VLOOKUP($J142,'ELA Reading Logic'!$A$3:$K$9,VLOOKUP("September",'ELA Reading Logic'!$J$22:$K$31,2,FALSE),FALSE)),"Set Grade")</f>
        <v>Set Grade</v>
      </c>
      <c r="H142" s="177" t="str">
        <f>IFERROR(IF($E142="Yes","IPP",VLOOKUP($J142,'ELA Reading Logic'!$A$13:$K$19,VLOOKUP("September",'ELA Reading Logic'!$J$22:$K$31,2,FALSE),FALSE)),"Set Grade")</f>
        <v>Set Grade</v>
      </c>
      <c r="I142" s="96" t="str">
        <f>IF($E142="Yes","IPP",IFERROR(IF(AND(F142&gt;G142,F142&lt;H142),"0",(VLOOKUP(F142,'ELA Reading Logic'!$A$22:$B$48,2,FALSE))-(IF(VLOOKUP(F142,'ELA Reading Logic'!$A$22:$B$48,2,FALSE)&lt;=VLOOKUP(G142,'ELA Reading Logic'!$A$22:$B$48,2,FALSE),VLOOKUP(G142,'ELA Reading Logic'!$A$22:$B$48,2,FALSE),IF(VLOOKUP(F142,'ELA Reading Logic'!$A$22:$B$48,2,FALSE)&gt;=VLOOKUP(H142,'ELA Reading Logic'!$A$22:$B$48,2,FALSE),VLOOKUP(H142,'ELA Reading Logic'!$A$22:$B$48,2,FALSE),"No Score")))),"No Value"))</f>
        <v>No Value</v>
      </c>
      <c r="J142" s="178"/>
      <c r="K142" s="96"/>
      <c r="L142" s="96"/>
      <c r="M142" s="96"/>
      <c r="N142" s="96"/>
      <c r="O142" s="96"/>
      <c r="P142" s="105"/>
      <c r="Q142" s="92"/>
      <c r="R142" s="96" t="str">
        <f>IFERROR(IF($E142="Yes","IPP",VLOOKUP($J142,'ELA Reading Logic'!$A$3:$K$9,VLOOKUP(Q$1,'ELA Reading Logic'!$J$22:$K$31,2,FALSE),FALSE)),"Set Grade")</f>
        <v>Set Grade</v>
      </c>
      <c r="S142" s="96" t="str">
        <f>IFERROR(IF($E142="Yes","IPP",VLOOKUP($J142,'ELA Reading Logic'!$A$13:$K$19,VLOOKUP(Q$1,'ELA Reading Logic'!$J$22:$K$31,2,FALSE),FALSE)),"Set Grade")</f>
        <v>Set Grade</v>
      </c>
      <c r="T142" s="96" t="str">
        <f>IF($E142="Yes","IPP",IFERROR(IF(AND(Q142&gt;R142,Q142&lt;S142),"0",(VLOOKUP(Q142,'ELA Reading Logic'!$A$22:$B$48,2,FALSE))-(IF(VLOOKUP(Q142,'ELA Reading Logic'!$A$22:$B$48,2,FALSE)&lt;=VLOOKUP(R142,'ELA Reading Logic'!$A$22:$B$48,2,FALSE),VLOOKUP(R142,'ELA Reading Logic'!$A$22:$B$48,2,FALSE),IF(VLOOKUP(Q142,'ELA Reading Logic'!$A$22:$B$48,2,FALSE)&gt;=VLOOKUP(S142,'ELA Reading Logic'!$A$22:$B$48,2,FALSE),VLOOKUP(S142,'ELA Reading Logic'!$A$22:$B$48,2,FALSE),"No Score")))),"No Value"))</f>
        <v>No Value</v>
      </c>
      <c r="U142" s="96" t="str">
        <f>IFERROR(VLOOKUP(Q142,'ELA Reading Logic'!$A$22:$B$48,2,FALSE)-VLOOKUP($F142,'ELA Reading Logic'!$A$22:$B$48,2,FALSE),"No Value")</f>
        <v>No Value</v>
      </c>
      <c r="V142" s="92"/>
      <c r="W142" s="96" t="str">
        <f>IFERROR(IF($E142="Yes","IPP",VLOOKUP($J142,'ELA Reading Logic'!$A$3:$K$9,VLOOKUP(V$1,'ELA Reading Logic'!$J$22:$K$31,2,FALSE),FALSE)),"Set Grade")</f>
        <v>Set Grade</v>
      </c>
      <c r="X142" s="96" t="str">
        <f>IFERROR(IF($E142="Yes","IPP",VLOOKUP($J142,'ELA Reading Logic'!$A$13:$K$19,VLOOKUP(V$1,'ELA Reading Logic'!$J$22:$K$31,2,FALSE),FALSE)),"Set Grade")</f>
        <v>Set Grade</v>
      </c>
      <c r="Y142" s="96" t="str">
        <f>IF($E142="Yes","IPP",IFERROR(IF(AND(V142&gt;W142,V142&lt;X142),"0",(VLOOKUP(V142,'ELA Reading Logic'!$A$22:$B$48,2,FALSE))-(IF(VLOOKUP(V142,'ELA Reading Logic'!$A$22:$B$48,2,FALSE)&lt;=VLOOKUP(W142,'ELA Reading Logic'!$A$22:$B$48,2,FALSE),VLOOKUP(W142,'ELA Reading Logic'!$A$22:$B$48,2,FALSE),IF(VLOOKUP(V142,'ELA Reading Logic'!$A$22:$B$48,2,FALSE)&gt;=VLOOKUP(X142,'ELA Reading Logic'!$A$22:$B$48,2,FALSE),VLOOKUP(X142,'ELA Reading Logic'!$A$22:$B$48,2,FALSE),"No Score")))),"No Value"))</f>
        <v>No Value</v>
      </c>
      <c r="Z142" s="96" t="str">
        <f>IFERROR(VLOOKUP(V142,'ELA Reading Logic'!$A$22:$B$48,2,FALSE)-VLOOKUP($F142,'ELA Reading Logic'!$A$22:$B$48,2,FALSE),"No Value")</f>
        <v>No Value</v>
      </c>
      <c r="AA142" s="92"/>
      <c r="AB142" s="96" t="str">
        <f>IFERROR(IF($E142="Yes","IPP",VLOOKUP($J142,'ELA Reading Logic'!$A$3:$K$9,VLOOKUP(AA$1,'ELA Reading Logic'!$J$22:$K$31,2,FALSE),FALSE)),"Set Grade")</f>
        <v>Set Grade</v>
      </c>
      <c r="AC142" s="96" t="str">
        <f>IFERROR(IF($E142="Yes","IPP",VLOOKUP($J142,'ELA Reading Logic'!$A$13:$K$19,VLOOKUP(AA$1,'ELA Reading Logic'!$J$22:$K$31,2,FALSE),FALSE)),"Set Grade")</f>
        <v>Set Grade</v>
      </c>
      <c r="AD142" s="96" t="str">
        <f>IF($E142="Yes","IPP",IFERROR(IF(AND(AA142&gt;AB142,AA142&lt;AC142),"0",(VLOOKUP(AA142,'ELA Reading Logic'!$A$22:$B$48,2,FALSE))-(IF(VLOOKUP(AA142,'ELA Reading Logic'!$A$22:$B$48,2,FALSE)&lt;=VLOOKUP(AB142,'ELA Reading Logic'!$A$22:$B$48,2,FALSE),VLOOKUP(AB142,'ELA Reading Logic'!$A$22:$B$48,2,FALSE),IF(VLOOKUP(AA142,'ELA Reading Logic'!$A$22:$B$48,2,FALSE)&gt;=VLOOKUP(AC142,'ELA Reading Logic'!$A$22:$B$48,2,FALSE),VLOOKUP(AC142,'ELA Reading Logic'!$A$22:$B$48,2,FALSE),"No Score")))),"No Value"))</f>
        <v>No Value</v>
      </c>
      <c r="AE142" s="96" t="str">
        <f>IFERROR(VLOOKUP(AA142,'ELA Reading Logic'!$A$22:$B$48,2,FALSE)-VLOOKUP($F142,'ELA Reading Logic'!$A$22:$B$48,2,FALSE),"No Value")</f>
        <v>No Value</v>
      </c>
      <c r="AF142" s="92"/>
      <c r="AG142" s="96" t="str">
        <f>IFERROR(IF($E142="Yes","IPP",VLOOKUP($J142,'ELA Reading Logic'!$A$3:$K$9,VLOOKUP(AF$1,'ELA Reading Logic'!$J$22:$K$31,2,FALSE),FALSE)),"Set Grade")</f>
        <v>Set Grade</v>
      </c>
      <c r="AH142" s="96" t="str">
        <f>IFERROR(IF($E142="Yes","IPP",VLOOKUP($J142,'ELA Reading Logic'!$A$13:$K$19,VLOOKUP(AF$1,'ELA Reading Logic'!$J$22:$K$31,2,FALSE),FALSE)),"Set Grade")</f>
        <v>Set Grade</v>
      </c>
      <c r="AI142" s="96" t="str">
        <f>IF($E142="Yes","IPP",IFERROR(IF(AND(AF142&gt;AG142,AF142&lt;AH142),"0",(VLOOKUP(AF142,'ELA Reading Logic'!$A$22:$B$48,2,FALSE))-(IF(VLOOKUP(AF142,'ELA Reading Logic'!$A$22:$B$48,2,FALSE)&lt;=VLOOKUP(AG142,'ELA Reading Logic'!$A$22:$B$48,2,FALSE),VLOOKUP(AG142,'ELA Reading Logic'!$A$22:$B$48,2,FALSE),IF(VLOOKUP(AF142,'ELA Reading Logic'!$A$22:$B$48,2,FALSE)&gt;=VLOOKUP(AH142,'ELA Reading Logic'!$A$22:$B$48,2,FALSE),VLOOKUP(AH142,'ELA Reading Logic'!$A$22:$B$48,2,FALSE),"No Score")))),"No Value"))</f>
        <v>No Value</v>
      </c>
      <c r="AJ142" s="96" t="str">
        <f>IFERROR(VLOOKUP(AF142,'ELA Reading Logic'!$A$22:$B$48,2,FALSE)-VLOOKUP($F142,'ELA Reading Logic'!$A$22:$B$48,2,FALSE),"No Value")</f>
        <v>No Value</v>
      </c>
      <c r="AK142" s="92"/>
      <c r="AL142" s="96" t="str">
        <f>IFERROR(IF($E142="Yes","IPP",VLOOKUP($J142,'ELA Reading Logic'!$A$3:$K$9,VLOOKUP(AK$1,'ELA Reading Logic'!$J$22:$K$31,2,FALSE),FALSE)),"Set Grade")</f>
        <v>Set Grade</v>
      </c>
      <c r="AM142" s="96" t="str">
        <f>IFERROR(IF($E142="Yes","IPP",VLOOKUP($J142,'ELA Reading Logic'!$A$13:$K$19,VLOOKUP(AK$1,'ELA Reading Logic'!$J$22:$K$31,2,FALSE),FALSE)),"Set Grade")</f>
        <v>Set Grade</v>
      </c>
      <c r="AN142" s="96" t="str">
        <f>IF($E142="Yes","IPP",IFERROR(IF(AND(AK142&gt;AL142,AK142&lt;AM142),"0",(VLOOKUP(AK142,'ELA Reading Logic'!$A$22:$B$48,2,FALSE))-(IF(VLOOKUP(AK142,'ELA Reading Logic'!$A$22:$B$48,2,FALSE)&lt;=VLOOKUP(AL142,'ELA Reading Logic'!$A$22:$B$48,2,FALSE),VLOOKUP(AL142,'ELA Reading Logic'!$A$22:$B$48,2,FALSE),IF(VLOOKUP(AK142,'ELA Reading Logic'!$A$22:$B$48,2,FALSE)&gt;=VLOOKUP(AM142,'ELA Reading Logic'!$A$22:$B$48,2,FALSE),VLOOKUP(AM142,'ELA Reading Logic'!$A$22:$B$48,2,FALSE),"No Score")))),"No Value"))</f>
        <v>No Value</v>
      </c>
      <c r="AO142" s="96" t="str">
        <f>IFERROR(VLOOKUP(AK142,'ELA Reading Logic'!$A$22:$B$48,2,FALSE)-VLOOKUP($F142,'ELA Reading Logic'!$A$22:$B$48,2,FALSE),"No Value")</f>
        <v>No Value</v>
      </c>
      <c r="AP142" s="92"/>
      <c r="AQ142" s="96" t="str">
        <f>IFERROR(IF($E142="Yes","IPP",VLOOKUP($J142,'ELA Reading Logic'!$A$3:$K$9,VLOOKUP(AP$1,'ELA Reading Logic'!$J$22:$K$31,2,FALSE),FALSE)),"Set Grade")</f>
        <v>Set Grade</v>
      </c>
      <c r="AR142" s="96" t="str">
        <f>IFERROR(IF($E142="Yes","IPP",VLOOKUP($J142,'ELA Reading Logic'!$A$13:$K$19,VLOOKUP(AP$1,'ELA Reading Logic'!$J$22:$K$31,2,FALSE),FALSE)),"Set Grade")</f>
        <v>Set Grade</v>
      </c>
      <c r="AS142" s="96" t="str">
        <f>IF($E142="Yes","IPP",IFERROR(IF(AND(AP142&gt;AQ142,AP142&lt;AR142),"0",(VLOOKUP(AP142,'ELA Reading Logic'!$A$22:$B$48,2,FALSE))-(IF(VLOOKUP(AP142,'ELA Reading Logic'!$A$22:$B$48,2,FALSE)&lt;=VLOOKUP(AQ142,'ELA Reading Logic'!$A$22:$B$48,2,FALSE),VLOOKUP(AQ142,'ELA Reading Logic'!$A$22:$B$48,2,FALSE),IF(VLOOKUP(AP142,'ELA Reading Logic'!$A$22:$B$48,2,FALSE)&gt;=VLOOKUP(AR142,'ELA Reading Logic'!$A$22:$B$48,2,FALSE),VLOOKUP(AR142,'ELA Reading Logic'!$A$22:$B$48,2,FALSE),"No Score")))),"No Value"))</f>
        <v>No Value</v>
      </c>
      <c r="AT142" s="96" t="str">
        <f>IFERROR(VLOOKUP(AP142,'ELA Reading Logic'!$A$22:$B$48,2,FALSE)-VLOOKUP($F142,'ELA Reading Logic'!$A$22:$B$48,2,FALSE),"No Value")</f>
        <v>No Value</v>
      </c>
    </row>
    <row r="143" spans="1:46" ht="22.5" customHeight="1" x14ac:dyDescent="0.25">
      <c r="A143" s="176"/>
      <c r="B143" s="176"/>
      <c r="C143" s="176"/>
      <c r="D143" s="176"/>
      <c r="E143" s="175"/>
      <c r="F143" s="175"/>
      <c r="G143" s="177" t="str">
        <f>IFERROR(IF($E143="Yes","IPP",VLOOKUP($J143,'ELA Reading Logic'!$A$3:$K$9,VLOOKUP("September",'ELA Reading Logic'!$J$22:$K$31,2,FALSE),FALSE)),"Set Grade")</f>
        <v>Set Grade</v>
      </c>
      <c r="H143" s="177" t="str">
        <f>IFERROR(IF($E143="Yes","IPP",VLOOKUP($J143,'ELA Reading Logic'!$A$13:$K$19,VLOOKUP("September",'ELA Reading Logic'!$J$22:$K$31,2,FALSE),FALSE)),"Set Grade")</f>
        <v>Set Grade</v>
      </c>
      <c r="I143" s="96" t="str">
        <f>IF($E143="Yes","IPP",IFERROR(IF(AND(F143&gt;G143,F143&lt;H143),"0",(VLOOKUP(F143,'ELA Reading Logic'!$A$22:$B$48,2,FALSE))-(IF(VLOOKUP(F143,'ELA Reading Logic'!$A$22:$B$48,2,FALSE)&lt;=VLOOKUP(G143,'ELA Reading Logic'!$A$22:$B$48,2,FALSE),VLOOKUP(G143,'ELA Reading Logic'!$A$22:$B$48,2,FALSE),IF(VLOOKUP(F143,'ELA Reading Logic'!$A$22:$B$48,2,FALSE)&gt;=VLOOKUP(H143,'ELA Reading Logic'!$A$22:$B$48,2,FALSE),VLOOKUP(H143,'ELA Reading Logic'!$A$22:$B$48,2,FALSE),"No Score")))),"No Value"))</f>
        <v>No Value</v>
      </c>
      <c r="J143" s="178"/>
      <c r="K143" s="96"/>
      <c r="L143" s="96"/>
      <c r="M143" s="96"/>
      <c r="N143" s="96"/>
      <c r="O143" s="96"/>
      <c r="P143" s="105"/>
      <c r="Q143" s="92"/>
      <c r="R143" s="96" t="str">
        <f>IFERROR(IF($E143="Yes","IPP",VLOOKUP($J143,'ELA Reading Logic'!$A$3:$K$9,VLOOKUP(Q$1,'ELA Reading Logic'!$J$22:$K$31,2,FALSE),FALSE)),"Set Grade")</f>
        <v>Set Grade</v>
      </c>
      <c r="S143" s="96" t="str">
        <f>IFERROR(IF($E143="Yes","IPP",VLOOKUP($J143,'ELA Reading Logic'!$A$13:$K$19,VLOOKUP(Q$1,'ELA Reading Logic'!$J$22:$K$31,2,FALSE),FALSE)),"Set Grade")</f>
        <v>Set Grade</v>
      </c>
      <c r="T143" s="96" t="str">
        <f>IF($E143="Yes","IPP",IFERROR(IF(AND(Q143&gt;R143,Q143&lt;S143),"0",(VLOOKUP(Q143,'ELA Reading Logic'!$A$22:$B$48,2,FALSE))-(IF(VLOOKUP(Q143,'ELA Reading Logic'!$A$22:$B$48,2,FALSE)&lt;=VLOOKUP(R143,'ELA Reading Logic'!$A$22:$B$48,2,FALSE),VLOOKUP(R143,'ELA Reading Logic'!$A$22:$B$48,2,FALSE),IF(VLOOKUP(Q143,'ELA Reading Logic'!$A$22:$B$48,2,FALSE)&gt;=VLOOKUP(S143,'ELA Reading Logic'!$A$22:$B$48,2,FALSE),VLOOKUP(S143,'ELA Reading Logic'!$A$22:$B$48,2,FALSE),"No Score")))),"No Value"))</f>
        <v>No Value</v>
      </c>
      <c r="U143" s="96" t="str">
        <f>IFERROR(VLOOKUP(Q143,'ELA Reading Logic'!$A$22:$B$48,2,FALSE)-VLOOKUP($F143,'ELA Reading Logic'!$A$22:$B$48,2,FALSE),"No Value")</f>
        <v>No Value</v>
      </c>
      <c r="V143" s="92"/>
      <c r="W143" s="96" t="str">
        <f>IFERROR(IF($E143="Yes","IPP",VLOOKUP($J143,'ELA Reading Logic'!$A$3:$K$9,VLOOKUP(V$1,'ELA Reading Logic'!$J$22:$K$31,2,FALSE),FALSE)),"Set Grade")</f>
        <v>Set Grade</v>
      </c>
      <c r="X143" s="96" t="str">
        <f>IFERROR(IF($E143="Yes","IPP",VLOOKUP($J143,'ELA Reading Logic'!$A$13:$K$19,VLOOKUP(V$1,'ELA Reading Logic'!$J$22:$K$31,2,FALSE),FALSE)),"Set Grade")</f>
        <v>Set Grade</v>
      </c>
      <c r="Y143" s="96" t="str">
        <f>IF($E143="Yes","IPP",IFERROR(IF(AND(V143&gt;W143,V143&lt;X143),"0",(VLOOKUP(V143,'ELA Reading Logic'!$A$22:$B$48,2,FALSE))-(IF(VLOOKUP(V143,'ELA Reading Logic'!$A$22:$B$48,2,FALSE)&lt;=VLOOKUP(W143,'ELA Reading Logic'!$A$22:$B$48,2,FALSE),VLOOKUP(W143,'ELA Reading Logic'!$A$22:$B$48,2,FALSE),IF(VLOOKUP(V143,'ELA Reading Logic'!$A$22:$B$48,2,FALSE)&gt;=VLOOKUP(X143,'ELA Reading Logic'!$A$22:$B$48,2,FALSE),VLOOKUP(X143,'ELA Reading Logic'!$A$22:$B$48,2,FALSE),"No Score")))),"No Value"))</f>
        <v>No Value</v>
      </c>
      <c r="Z143" s="96" t="str">
        <f>IFERROR(VLOOKUP(V143,'ELA Reading Logic'!$A$22:$B$48,2,FALSE)-VLOOKUP($F143,'ELA Reading Logic'!$A$22:$B$48,2,FALSE),"No Value")</f>
        <v>No Value</v>
      </c>
      <c r="AA143" s="92"/>
      <c r="AB143" s="96" t="str">
        <f>IFERROR(IF($E143="Yes","IPP",VLOOKUP($J143,'ELA Reading Logic'!$A$3:$K$9,VLOOKUP(AA$1,'ELA Reading Logic'!$J$22:$K$31,2,FALSE),FALSE)),"Set Grade")</f>
        <v>Set Grade</v>
      </c>
      <c r="AC143" s="96" t="str">
        <f>IFERROR(IF($E143="Yes","IPP",VLOOKUP($J143,'ELA Reading Logic'!$A$13:$K$19,VLOOKUP(AA$1,'ELA Reading Logic'!$J$22:$K$31,2,FALSE),FALSE)),"Set Grade")</f>
        <v>Set Grade</v>
      </c>
      <c r="AD143" s="96" t="str">
        <f>IF($E143="Yes","IPP",IFERROR(IF(AND(AA143&gt;AB143,AA143&lt;AC143),"0",(VLOOKUP(AA143,'ELA Reading Logic'!$A$22:$B$48,2,FALSE))-(IF(VLOOKUP(AA143,'ELA Reading Logic'!$A$22:$B$48,2,FALSE)&lt;=VLOOKUP(AB143,'ELA Reading Logic'!$A$22:$B$48,2,FALSE),VLOOKUP(AB143,'ELA Reading Logic'!$A$22:$B$48,2,FALSE),IF(VLOOKUP(AA143,'ELA Reading Logic'!$A$22:$B$48,2,FALSE)&gt;=VLOOKUP(AC143,'ELA Reading Logic'!$A$22:$B$48,2,FALSE),VLOOKUP(AC143,'ELA Reading Logic'!$A$22:$B$48,2,FALSE),"No Score")))),"No Value"))</f>
        <v>No Value</v>
      </c>
      <c r="AE143" s="96" t="str">
        <f>IFERROR(VLOOKUP(AA143,'ELA Reading Logic'!$A$22:$B$48,2,FALSE)-VLOOKUP($F143,'ELA Reading Logic'!$A$22:$B$48,2,FALSE),"No Value")</f>
        <v>No Value</v>
      </c>
      <c r="AF143" s="92"/>
      <c r="AG143" s="96" t="str">
        <f>IFERROR(IF($E143="Yes","IPP",VLOOKUP($J143,'ELA Reading Logic'!$A$3:$K$9,VLOOKUP(AF$1,'ELA Reading Logic'!$J$22:$K$31,2,FALSE),FALSE)),"Set Grade")</f>
        <v>Set Grade</v>
      </c>
      <c r="AH143" s="96" t="str">
        <f>IFERROR(IF($E143="Yes","IPP",VLOOKUP($J143,'ELA Reading Logic'!$A$13:$K$19,VLOOKUP(AF$1,'ELA Reading Logic'!$J$22:$K$31,2,FALSE),FALSE)),"Set Grade")</f>
        <v>Set Grade</v>
      </c>
      <c r="AI143" s="96" t="str">
        <f>IF($E143="Yes","IPP",IFERROR(IF(AND(AF143&gt;AG143,AF143&lt;AH143),"0",(VLOOKUP(AF143,'ELA Reading Logic'!$A$22:$B$48,2,FALSE))-(IF(VLOOKUP(AF143,'ELA Reading Logic'!$A$22:$B$48,2,FALSE)&lt;=VLOOKUP(AG143,'ELA Reading Logic'!$A$22:$B$48,2,FALSE),VLOOKUP(AG143,'ELA Reading Logic'!$A$22:$B$48,2,FALSE),IF(VLOOKUP(AF143,'ELA Reading Logic'!$A$22:$B$48,2,FALSE)&gt;=VLOOKUP(AH143,'ELA Reading Logic'!$A$22:$B$48,2,FALSE),VLOOKUP(AH143,'ELA Reading Logic'!$A$22:$B$48,2,FALSE),"No Score")))),"No Value"))</f>
        <v>No Value</v>
      </c>
      <c r="AJ143" s="96" t="str">
        <f>IFERROR(VLOOKUP(AF143,'ELA Reading Logic'!$A$22:$B$48,2,FALSE)-VLOOKUP($F143,'ELA Reading Logic'!$A$22:$B$48,2,FALSE),"No Value")</f>
        <v>No Value</v>
      </c>
      <c r="AK143" s="92"/>
      <c r="AL143" s="96" t="str">
        <f>IFERROR(IF($E143="Yes","IPP",VLOOKUP($J143,'ELA Reading Logic'!$A$3:$K$9,VLOOKUP(AK$1,'ELA Reading Logic'!$J$22:$K$31,2,FALSE),FALSE)),"Set Grade")</f>
        <v>Set Grade</v>
      </c>
      <c r="AM143" s="96" t="str">
        <f>IFERROR(IF($E143="Yes","IPP",VLOOKUP($J143,'ELA Reading Logic'!$A$13:$K$19,VLOOKUP(AK$1,'ELA Reading Logic'!$J$22:$K$31,2,FALSE),FALSE)),"Set Grade")</f>
        <v>Set Grade</v>
      </c>
      <c r="AN143" s="96" t="str">
        <f>IF($E143="Yes","IPP",IFERROR(IF(AND(AK143&gt;AL143,AK143&lt;AM143),"0",(VLOOKUP(AK143,'ELA Reading Logic'!$A$22:$B$48,2,FALSE))-(IF(VLOOKUP(AK143,'ELA Reading Logic'!$A$22:$B$48,2,FALSE)&lt;=VLOOKUP(AL143,'ELA Reading Logic'!$A$22:$B$48,2,FALSE),VLOOKUP(AL143,'ELA Reading Logic'!$A$22:$B$48,2,FALSE),IF(VLOOKUP(AK143,'ELA Reading Logic'!$A$22:$B$48,2,FALSE)&gt;=VLOOKUP(AM143,'ELA Reading Logic'!$A$22:$B$48,2,FALSE),VLOOKUP(AM143,'ELA Reading Logic'!$A$22:$B$48,2,FALSE),"No Score")))),"No Value"))</f>
        <v>No Value</v>
      </c>
      <c r="AO143" s="96" t="str">
        <f>IFERROR(VLOOKUP(AK143,'ELA Reading Logic'!$A$22:$B$48,2,FALSE)-VLOOKUP($F143,'ELA Reading Logic'!$A$22:$B$48,2,FALSE),"No Value")</f>
        <v>No Value</v>
      </c>
      <c r="AP143" s="92"/>
      <c r="AQ143" s="96" t="str">
        <f>IFERROR(IF($E143="Yes","IPP",VLOOKUP($J143,'ELA Reading Logic'!$A$3:$K$9,VLOOKUP(AP$1,'ELA Reading Logic'!$J$22:$K$31,2,FALSE),FALSE)),"Set Grade")</f>
        <v>Set Grade</v>
      </c>
      <c r="AR143" s="96" t="str">
        <f>IFERROR(IF($E143="Yes","IPP",VLOOKUP($J143,'ELA Reading Logic'!$A$13:$K$19,VLOOKUP(AP$1,'ELA Reading Logic'!$J$22:$K$31,2,FALSE),FALSE)),"Set Grade")</f>
        <v>Set Grade</v>
      </c>
      <c r="AS143" s="96" t="str">
        <f>IF($E143="Yes","IPP",IFERROR(IF(AND(AP143&gt;AQ143,AP143&lt;AR143),"0",(VLOOKUP(AP143,'ELA Reading Logic'!$A$22:$B$48,2,FALSE))-(IF(VLOOKUP(AP143,'ELA Reading Logic'!$A$22:$B$48,2,FALSE)&lt;=VLOOKUP(AQ143,'ELA Reading Logic'!$A$22:$B$48,2,FALSE),VLOOKUP(AQ143,'ELA Reading Logic'!$A$22:$B$48,2,FALSE),IF(VLOOKUP(AP143,'ELA Reading Logic'!$A$22:$B$48,2,FALSE)&gt;=VLOOKUP(AR143,'ELA Reading Logic'!$A$22:$B$48,2,FALSE),VLOOKUP(AR143,'ELA Reading Logic'!$A$22:$B$48,2,FALSE),"No Score")))),"No Value"))</f>
        <v>No Value</v>
      </c>
      <c r="AT143" s="96" t="str">
        <f>IFERROR(VLOOKUP(AP143,'ELA Reading Logic'!$A$22:$B$48,2,FALSE)-VLOOKUP($F143,'ELA Reading Logic'!$A$22:$B$48,2,FALSE),"No Value")</f>
        <v>No Value</v>
      </c>
    </row>
    <row r="144" spans="1:46" ht="22.5" customHeight="1" x14ac:dyDescent="0.25">
      <c r="A144" s="176"/>
      <c r="B144" s="176"/>
      <c r="C144" s="176"/>
      <c r="D144" s="176"/>
      <c r="E144" s="175"/>
      <c r="F144" s="175"/>
      <c r="G144" s="177" t="str">
        <f>IFERROR(IF($E144="Yes","IPP",VLOOKUP($J144,'ELA Reading Logic'!$A$3:$K$9,VLOOKUP("September",'ELA Reading Logic'!$J$22:$K$31,2,FALSE),FALSE)),"Set Grade")</f>
        <v>Set Grade</v>
      </c>
      <c r="H144" s="177" t="str">
        <f>IFERROR(IF($E144="Yes","IPP",VLOOKUP($J144,'ELA Reading Logic'!$A$13:$K$19,VLOOKUP("September",'ELA Reading Logic'!$J$22:$K$31,2,FALSE),FALSE)),"Set Grade")</f>
        <v>Set Grade</v>
      </c>
      <c r="I144" s="96" t="str">
        <f>IF($E144="Yes","IPP",IFERROR(IF(AND(F144&gt;G144,F144&lt;H144),"0",(VLOOKUP(F144,'ELA Reading Logic'!$A$22:$B$48,2,FALSE))-(IF(VLOOKUP(F144,'ELA Reading Logic'!$A$22:$B$48,2,FALSE)&lt;=VLOOKUP(G144,'ELA Reading Logic'!$A$22:$B$48,2,FALSE),VLOOKUP(G144,'ELA Reading Logic'!$A$22:$B$48,2,FALSE),IF(VLOOKUP(F144,'ELA Reading Logic'!$A$22:$B$48,2,FALSE)&gt;=VLOOKUP(H144,'ELA Reading Logic'!$A$22:$B$48,2,FALSE),VLOOKUP(H144,'ELA Reading Logic'!$A$22:$B$48,2,FALSE),"No Score")))),"No Value"))</f>
        <v>No Value</v>
      </c>
      <c r="J144" s="178"/>
      <c r="K144" s="96"/>
      <c r="L144" s="96"/>
      <c r="M144" s="96"/>
      <c r="N144" s="96"/>
      <c r="O144" s="96"/>
      <c r="P144" s="105"/>
      <c r="Q144" s="92"/>
      <c r="R144" s="96" t="str">
        <f>IFERROR(IF($E144="Yes","IPP",VLOOKUP($J144,'ELA Reading Logic'!$A$3:$K$9,VLOOKUP(Q$1,'ELA Reading Logic'!$J$22:$K$31,2,FALSE),FALSE)),"Set Grade")</f>
        <v>Set Grade</v>
      </c>
      <c r="S144" s="96" t="str">
        <f>IFERROR(IF($E144="Yes","IPP",VLOOKUP($J144,'ELA Reading Logic'!$A$13:$K$19,VLOOKUP(Q$1,'ELA Reading Logic'!$J$22:$K$31,2,FALSE),FALSE)),"Set Grade")</f>
        <v>Set Grade</v>
      </c>
      <c r="T144" s="96" t="str">
        <f>IF($E144="Yes","IPP",IFERROR(IF(AND(Q144&gt;R144,Q144&lt;S144),"0",(VLOOKUP(Q144,'ELA Reading Logic'!$A$22:$B$48,2,FALSE))-(IF(VLOOKUP(Q144,'ELA Reading Logic'!$A$22:$B$48,2,FALSE)&lt;=VLOOKUP(R144,'ELA Reading Logic'!$A$22:$B$48,2,FALSE),VLOOKUP(R144,'ELA Reading Logic'!$A$22:$B$48,2,FALSE),IF(VLOOKUP(Q144,'ELA Reading Logic'!$A$22:$B$48,2,FALSE)&gt;=VLOOKUP(S144,'ELA Reading Logic'!$A$22:$B$48,2,FALSE),VLOOKUP(S144,'ELA Reading Logic'!$A$22:$B$48,2,FALSE),"No Score")))),"No Value"))</f>
        <v>No Value</v>
      </c>
      <c r="U144" s="96" t="str">
        <f>IFERROR(VLOOKUP(Q144,'ELA Reading Logic'!$A$22:$B$48,2,FALSE)-VLOOKUP($F144,'ELA Reading Logic'!$A$22:$B$48,2,FALSE),"No Value")</f>
        <v>No Value</v>
      </c>
      <c r="V144" s="92"/>
      <c r="W144" s="96" t="str">
        <f>IFERROR(IF($E144="Yes","IPP",VLOOKUP($J144,'ELA Reading Logic'!$A$3:$K$9,VLOOKUP(V$1,'ELA Reading Logic'!$J$22:$K$31,2,FALSE),FALSE)),"Set Grade")</f>
        <v>Set Grade</v>
      </c>
      <c r="X144" s="96" t="str">
        <f>IFERROR(IF($E144="Yes","IPP",VLOOKUP($J144,'ELA Reading Logic'!$A$13:$K$19,VLOOKUP(V$1,'ELA Reading Logic'!$J$22:$K$31,2,FALSE),FALSE)),"Set Grade")</f>
        <v>Set Grade</v>
      </c>
      <c r="Y144" s="96" t="str">
        <f>IF($E144="Yes","IPP",IFERROR(IF(AND(V144&gt;W144,V144&lt;X144),"0",(VLOOKUP(V144,'ELA Reading Logic'!$A$22:$B$48,2,FALSE))-(IF(VLOOKUP(V144,'ELA Reading Logic'!$A$22:$B$48,2,FALSE)&lt;=VLOOKUP(W144,'ELA Reading Logic'!$A$22:$B$48,2,FALSE),VLOOKUP(W144,'ELA Reading Logic'!$A$22:$B$48,2,FALSE),IF(VLOOKUP(V144,'ELA Reading Logic'!$A$22:$B$48,2,FALSE)&gt;=VLOOKUP(X144,'ELA Reading Logic'!$A$22:$B$48,2,FALSE),VLOOKUP(X144,'ELA Reading Logic'!$A$22:$B$48,2,FALSE),"No Score")))),"No Value"))</f>
        <v>No Value</v>
      </c>
      <c r="Z144" s="96" t="str">
        <f>IFERROR(VLOOKUP(V144,'ELA Reading Logic'!$A$22:$B$48,2,FALSE)-VLOOKUP($F144,'ELA Reading Logic'!$A$22:$B$48,2,FALSE),"No Value")</f>
        <v>No Value</v>
      </c>
      <c r="AA144" s="92"/>
      <c r="AB144" s="96" t="str">
        <f>IFERROR(IF($E144="Yes","IPP",VLOOKUP($J144,'ELA Reading Logic'!$A$3:$K$9,VLOOKUP(AA$1,'ELA Reading Logic'!$J$22:$K$31,2,FALSE),FALSE)),"Set Grade")</f>
        <v>Set Grade</v>
      </c>
      <c r="AC144" s="96" t="str">
        <f>IFERROR(IF($E144="Yes","IPP",VLOOKUP($J144,'ELA Reading Logic'!$A$13:$K$19,VLOOKUP(AA$1,'ELA Reading Logic'!$J$22:$K$31,2,FALSE),FALSE)),"Set Grade")</f>
        <v>Set Grade</v>
      </c>
      <c r="AD144" s="96" t="str">
        <f>IF($E144="Yes","IPP",IFERROR(IF(AND(AA144&gt;AB144,AA144&lt;AC144),"0",(VLOOKUP(AA144,'ELA Reading Logic'!$A$22:$B$48,2,FALSE))-(IF(VLOOKUP(AA144,'ELA Reading Logic'!$A$22:$B$48,2,FALSE)&lt;=VLOOKUP(AB144,'ELA Reading Logic'!$A$22:$B$48,2,FALSE),VLOOKUP(AB144,'ELA Reading Logic'!$A$22:$B$48,2,FALSE),IF(VLOOKUP(AA144,'ELA Reading Logic'!$A$22:$B$48,2,FALSE)&gt;=VLOOKUP(AC144,'ELA Reading Logic'!$A$22:$B$48,2,FALSE),VLOOKUP(AC144,'ELA Reading Logic'!$A$22:$B$48,2,FALSE),"No Score")))),"No Value"))</f>
        <v>No Value</v>
      </c>
      <c r="AE144" s="96" t="str">
        <f>IFERROR(VLOOKUP(AA144,'ELA Reading Logic'!$A$22:$B$48,2,FALSE)-VLOOKUP($F144,'ELA Reading Logic'!$A$22:$B$48,2,FALSE),"No Value")</f>
        <v>No Value</v>
      </c>
      <c r="AF144" s="92"/>
      <c r="AG144" s="96" t="str">
        <f>IFERROR(IF($E144="Yes","IPP",VLOOKUP($J144,'ELA Reading Logic'!$A$3:$K$9,VLOOKUP(AF$1,'ELA Reading Logic'!$J$22:$K$31,2,FALSE),FALSE)),"Set Grade")</f>
        <v>Set Grade</v>
      </c>
      <c r="AH144" s="96" t="str">
        <f>IFERROR(IF($E144="Yes","IPP",VLOOKUP($J144,'ELA Reading Logic'!$A$13:$K$19,VLOOKUP(AF$1,'ELA Reading Logic'!$J$22:$K$31,2,FALSE),FALSE)),"Set Grade")</f>
        <v>Set Grade</v>
      </c>
      <c r="AI144" s="96" t="str">
        <f>IF($E144="Yes","IPP",IFERROR(IF(AND(AF144&gt;AG144,AF144&lt;AH144),"0",(VLOOKUP(AF144,'ELA Reading Logic'!$A$22:$B$48,2,FALSE))-(IF(VLOOKUP(AF144,'ELA Reading Logic'!$A$22:$B$48,2,FALSE)&lt;=VLOOKUP(AG144,'ELA Reading Logic'!$A$22:$B$48,2,FALSE),VLOOKUP(AG144,'ELA Reading Logic'!$A$22:$B$48,2,FALSE),IF(VLOOKUP(AF144,'ELA Reading Logic'!$A$22:$B$48,2,FALSE)&gt;=VLOOKUP(AH144,'ELA Reading Logic'!$A$22:$B$48,2,FALSE),VLOOKUP(AH144,'ELA Reading Logic'!$A$22:$B$48,2,FALSE),"No Score")))),"No Value"))</f>
        <v>No Value</v>
      </c>
      <c r="AJ144" s="96" t="str">
        <f>IFERROR(VLOOKUP(AF144,'ELA Reading Logic'!$A$22:$B$48,2,FALSE)-VLOOKUP($F144,'ELA Reading Logic'!$A$22:$B$48,2,FALSE),"No Value")</f>
        <v>No Value</v>
      </c>
      <c r="AK144" s="92"/>
      <c r="AL144" s="96" t="str">
        <f>IFERROR(IF($E144="Yes","IPP",VLOOKUP($J144,'ELA Reading Logic'!$A$3:$K$9,VLOOKUP(AK$1,'ELA Reading Logic'!$J$22:$K$31,2,FALSE),FALSE)),"Set Grade")</f>
        <v>Set Grade</v>
      </c>
      <c r="AM144" s="96" t="str">
        <f>IFERROR(IF($E144="Yes","IPP",VLOOKUP($J144,'ELA Reading Logic'!$A$13:$K$19,VLOOKUP(AK$1,'ELA Reading Logic'!$J$22:$K$31,2,FALSE),FALSE)),"Set Grade")</f>
        <v>Set Grade</v>
      </c>
      <c r="AN144" s="96" t="str">
        <f>IF($E144="Yes","IPP",IFERROR(IF(AND(AK144&gt;AL144,AK144&lt;AM144),"0",(VLOOKUP(AK144,'ELA Reading Logic'!$A$22:$B$48,2,FALSE))-(IF(VLOOKUP(AK144,'ELA Reading Logic'!$A$22:$B$48,2,FALSE)&lt;=VLOOKUP(AL144,'ELA Reading Logic'!$A$22:$B$48,2,FALSE),VLOOKUP(AL144,'ELA Reading Logic'!$A$22:$B$48,2,FALSE),IF(VLOOKUP(AK144,'ELA Reading Logic'!$A$22:$B$48,2,FALSE)&gt;=VLOOKUP(AM144,'ELA Reading Logic'!$A$22:$B$48,2,FALSE),VLOOKUP(AM144,'ELA Reading Logic'!$A$22:$B$48,2,FALSE),"No Score")))),"No Value"))</f>
        <v>No Value</v>
      </c>
      <c r="AO144" s="96" t="str">
        <f>IFERROR(VLOOKUP(AK144,'ELA Reading Logic'!$A$22:$B$48,2,FALSE)-VLOOKUP($F144,'ELA Reading Logic'!$A$22:$B$48,2,FALSE),"No Value")</f>
        <v>No Value</v>
      </c>
      <c r="AP144" s="92"/>
      <c r="AQ144" s="96" t="str">
        <f>IFERROR(IF($E144="Yes","IPP",VLOOKUP($J144,'ELA Reading Logic'!$A$3:$K$9,VLOOKUP(AP$1,'ELA Reading Logic'!$J$22:$K$31,2,FALSE),FALSE)),"Set Grade")</f>
        <v>Set Grade</v>
      </c>
      <c r="AR144" s="96" t="str">
        <f>IFERROR(IF($E144="Yes","IPP",VLOOKUP($J144,'ELA Reading Logic'!$A$13:$K$19,VLOOKUP(AP$1,'ELA Reading Logic'!$J$22:$K$31,2,FALSE),FALSE)),"Set Grade")</f>
        <v>Set Grade</v>
      </c>
      <c r="AS144" s="96" t="str">
        <f>IF($E144="Yes","IPP",IFERROR(IF(AND(AP144&gt;AQ144,AP144&lt;AR144),"0",(VLOOKUP(AP144,'ELA Reading Logic'!$A$22:$B$48,2,FALSE))-(IF(VLOOKUP(AP144,'ELA Reading Logic'!$A$22:$B$48,2,FALSE)&lt;=VLOOKUP(AQ144,'ELA Reading Logic'!$A$22:$B$48,2,FALSE),VLOOKUP(AQ144,'ELA Reading Logic'!$A$22:$B$48,2,FALSE),IF(VLOOKUP(AP144,'ELA Reading Logic'!$A$22:$B$48,2,FALSE)&gt;=VLOOKUP(AR144,'ELA Reading Logic'!$A$22:$B$48,2,FALSE),VLOOKUP(AR144,'ELA Reading Logic'!$A$22:$B$48,2,FALSE),"No Score")))),"No Value"))</f>
        <v>No Value</v>
      </c>
      <c r="AT144" s="96" t="str">
        <f>IFERROR(VLOOKUP(AP144,'ELA Reading Logic'!$A$22:$B$48,2,FALSE)-VLOOKUP($F144,'ELA Reading Logic'!$A$22:$B$48,2,FALSE),"No Value")</f>
        <v>No Value</v>
      </c>
    </row>
    <row r="145" spans="1:46" ht="22.5" customHeight="1" x14ac:dyDescent="0.25">
      <c r="A145" s="176"/>
      <c r="B145" s="176"/>
      <c r="C145" s="176"/>
      <c r="D145" s="176"/>
      <c r="E145" s="175"/>
      <c r="F145" s="175"/>
      <c r="G145" s="177" t="str">
        <f>IFERROR(IF($E145="Yes","IPP",VLOOKUP($J145,'ELA Reading Logic'!$A$3:$K$9,VLOOKUP("September",'ELA Reading Logic'!$J$22:$K$31,2,FALSE),FALSE)),"Set Grade")</f>
        <v>Set Grade</v>
      </c>
      <c r="H145" s="177" t="str">
        <f>IFERROR(IF($E145="Yes","IPP",VLOOKUP($J145,'ELA Reading Logic'!$A$13:$K$19,VLOOKUP("September",'ELA Reading Logic'!$J$22:$K$31,2,FALSE),FALSE)),"Set Grade")</f>
        <v>Set Grade</v>
      </c>
      <c r="I145" s="96" t="str">
        <f>IF($E145="Yes","IPP",IFERROR(IF(AND(F145&gt;G145,F145&lt;H145),"0",(VLOOKUP(F145,'ELA Reading Logic'!$A$22:$B$48,2,FALSE))-(IF(VLOOKUP(F145,'ELA Reading Logic'!$A$22:$B$48,2,FALSE)&lt;=VLOOKUP(G145,'ELA Reading Logic'!$A$22:$B$48,2,FALSE),VLOOKUP(G145,'ELA Reading Logic'!$A$22:$B$48,2,FALSE),IF(VLOOKUP(F145,'ELA Reading Logic'!$A$22:$B$48,2,FALSE)&gt;=VLOOKUP(H145,'ELA Reading Logic'!$A$22:$B$48,2,FALSE),VLOOKUP(H145,'ELA Reading Logic'!$A$22:$B$48,2,FALSE),"No Score")))),"No Value"))</f>
        <v>No Value</v>
      </c>
      <c r="J145" s="178"/>
      <c r="K145" s="96"/>
      <c r="L145" s="96"/>
      <c r="M145" s="96"/>
      <c r="N145" s="96"/>
      <c r="O145" s="96"/>
      <c r="P145" s="105"/>
      <c r="Q145" s="92"/>
      <c r="R145" s="96" t="str">
        <f>IFERROR(IF($E145="Yes","IPP",VLOOKUP($J145,'ELA Reading Logic'!$A$3:$K$9,VLOOKUP(Q$1,'ELA Reading Logic'!$J$22:$K$31,2,FALSE),FALSE)),"Set Grade")</f>
        <v>Set Grade</v>
      </c>
      <c r="S145" s="96" t="str">
        <f>IFERROR(IF($E145="Yes","IPP",VLOOKUP($J145,'ELA Reading Logic'!$A$13:$K$19,VLOOKUP(Q$1,'ELA Reading Logic'!$J$22:$K$31,2,FALSE),FALSE)),"Set Grade")</f>
        <v>Set Grade</v>
      </c>
      <c r="T145" s="96" t="str">
        <f>IF($E145="Yes","IPP",IFERROR(IF(AND(Q145&gt;R145,Q145&lt;S145),"0",(VLOOKUP(Q145,'ELA Reading Logic'!$A$22:$B$48,2,FALSE))-(IF(VLOOKUP(Q145,'ELA Reading Logic'!$A$22:$B$48,2,FALSE)&lt;=VLOOKUP(R145,'ELA Reading Logic'!$A$22:$B$48,2,FALSE),VLOOKUP(R145,'ELA Reading Logic'!$A$22:$B$48,2,FALSE),IF(VLOOKUP(Q145,'ELA Reading Logic'!$A$22:$B$48,2,FALSE)&gt;=VLOOKUP(S145,'ELA Reading Logic'!$A$22:$B$48,2,FALSE),VLOOKUP(S145,'ELA Reading Logic'!$A$22:$B$48,2,FALSE),"No Score")))),"No Value"))</f>
        <v>No Value</v>
      </c>
      <c r="U145" s="96" t="str">
        <f>IFERROR(VLOOKUP(Q145,'ELA Reading Logic'!$A$22:$B$48,2,FALSE)-VLOOKUP($F145,'ELA Reading Logic'!$A$22:$B$48,2,FALSE),"No Value")</f>
        <v>No Value</v>
      </c>
      <c r="V145" s="92"/>
      <c r="W145" s="96" t="str">
        <f>IFERROR(IF($E145="Yes","IPP",VLOOKUP($J145,'ELA Reading Logic'!$A$3:$K$9,VLOOKUP(V$1,'ELA Reading Logic'!$J$22:$K$31,2,FALSE),FALSE)),"Set Grade")</f>
        <v>Set Grade</v>
      </c>
      <c r="X145" s="96" t="str">
        <f>IFERROR(IF($E145="Yes","IPP",VLOOKUP($J145,'ELA Reading Logic'!$A$13:$K$19,VLOOKUP(V$1,'ELA Reading Logic'!$J$22:$K$31,2,FALSE),FALSE)),"Set Grade")</f>
        <v>Set Grade</v>
      </c>
      <c r="Y145" s="96" t="str">
        <f>IF($E145="Yes","IPP",IFERROR(IF(AND(V145&gt;W145,V145&lt;X145),"0",(VLOOKUP(V145,'ELA Reading Logic'!$A$22:$B$48,2,FALSE))-(IF(VLOOKUP(V145,'ELA Reading Logic'!$A$22:$B$48,2,FALSE)&lt;=VLOOKUP(W145,'ELA Reading Logic'!$A$22:$B$48,2,FALSE),VLOOKUP(W145,'ELA Reading Logic'!$A$22:$B$48,2,FALSE),IF(VLOOKUP(V145,'ELA Reading Logic'!$A$22:$B$48,2,FALSE)&gt;=VLOOKUP(X145,'ELA Reading Logic'!$A$22:$B$48,2,FALSE),VLOOKUP(X145,'ELA Reading Logic'!$A$22:$B$48,2,FALSE),"No Score")))),"No Value"))</f>
        <v>No Value</v>
      </c>
      <c r="Z145" s="96" t="str">
        <f>IFERROR(VLOOKUP(V145,'ELA Reading Logic'!$A$22:$B$48,2,FALSE)-VLOOKUP($F145,'ELA Reading Logic'!$A$22:$B$48,2,FALSE),"No Value")</f>
        <v>No Value</v>
      </c>
      <c r="AA145" s="92"/>
      <c r="AB145" s="96" t="str">
        <f>IFERROR(IF($E145="Yes","IPP",VLOOKUP($J145,'ELA Reading Logic'!$A$3:$K$9,VLOOKUP(AA$1,'ELA Reading Logic'!$J$22:$K$31,2,FALSE),FALSE)),"Set Grade")</f>
        <v>Set Grade</v>
      </c>
      <c r="AC145" s="96" t="str">
        <f>IFERROR(IF($E145="Yes","IPP",VLOOKUP($J145,'ELA Reading Logic'!$A$13:$K$19,VLOOKUP(AA$1,'ELA Reading Logic'!$J$22:$K$31,2,FALSE),FALSE)),"Set Grade")</f>
        <v>Set Grade</v>
      </c>
      <c r="AD145" s="96" t="str">
        <f>IF($E145="Yes","IPP",IFERROR(IF(AND(AA145&gt;AB145,AA145&lt;AC145),"0",(VLOOKUP(AA145,'ELA Reading Logic'!$A$22:$B$48,2,FALSE))-(IF(VLOOKUP(AA145,'ELA Reading Logic'!$A$22:$B$48,2,FALSE)&lt;=VLOOKUP(AB145,'ELA Reading Logic'!$A$22:$B$48,2,FALSE),VLOOKUP(AB145,'ELA Reading Logic'!$A$22:$B$48,2,FALSE),IF(VLOOKUP(AA145,'ELA Reading Logic'!$A$22:$B$48,2,FALSE)&gt;=VLOOKUP(AC145,'ELA Reading Logic'!$A$22:$B$48,2,FALSE),VLOOKUP(AC145,'ELA Reading Logic'!$A$22:$B$48,2,FALSE),"No Score")))),"No Value"))</f>
        <v>No Value</v>
      </c>
      <c r="AE145" s="96" t="str">
        <f>IFERROR(VLOOKUP(AA145,'ELA Reading Logic'!$A$22:$B$48,2,FALSE)-VLOOKUP($F145,'ELA Reading Logic'!$A$22:$B$48,2,FALSE),"No Value")</f>
        <v>No Value</v>
      </c>
      <c r="AF145" s="92"/>
      <c r="AG145" s="96" t="str">
        <f>IFERROR(IF($E145="Yes","IPP",VLOOKUP($J145,'ELA Reading Logic'!$A$3:$K$9,VLOOKUP(AF$1,'ELA Reading Logic'!$J$22:$K$31,2,FALSE),FALSE)),"Set Grade")</f>
        <v>Set Grade</v>
      </c>
      <c r="AH145" s="96" t="str">
        <f>IFERROR(IF($E145="Yes","IPP",VLOOKUP($J145,'ELA Reading Logic'!$A$13:$K$19,VLOOKUP(AF$1,'ELA Reading Logic'!$J$22:$K$31,2,FALSE),FALSE)),"Set Grade")</f>
        <v>Set Grade</v>
      </c>
      <c r="AI145" s="96" t="str">
        <f>IF($E145="Yes","IPP",IFERROR(IF(AND(AF145&gt;AG145,AF145&lt;AH145),"0",(VLOOKUP(AF145,'ELA Reading Logic'!$A$22:$B$48,2,FALSE))-(IF(VLOOKUP(AF145,'ELA Reading Logic'!$A$22:$B$48,2,FALSE)&lt;=VLOOKUP(AG145,'ELA Reading Logic'!$A$22:$B$48,2,FALSE),VLOOKUP(AG145,'ELA Reading Logic'!$A$22:$B$48,2,FALSE),IF(VLOOKUP(AF145,'ELA Reading Logic'!$A$22:$B$48,2,FALSE)&gt;=VLOOKUP(AH145,'ELA Reading Logic'!$A$22:$B$48,2,FALSE),VLOOKUP(AH145,'ELA Reading Logic'!$A$22:$B$48,2,FALSE),"No Score")))),"No Value"))</f>
        <v>No Value</v>
      </c>
      <c r="AJ145" s="96" t="str">
        <f>IFERROR(VLOOKUP(AF145,'ELA Reading Logic'!$A$22:$B$48,2,FALSE)-VLOOKUP($F145,'ELA Reading Logic'!$A$22:$B$48,2,FALSE),"No Value")</f>
        <v>No Value</v>
      </c>
      <c r="AK145" s="92"/>
      <c r="AL145" s="96" t="str">
        <f>IFERROR(IF($E145="Yes","IPP",VLOOKUP($J145,'ELA Reading Logic'!$A$3:$K$9,VLOOKUP(AK$1,'ELA Reading Logic'!$J$22:$K$31,2,FALSE),FALSE)),"Set Grade")</f>
        <v>Set Grade</v>
      </c>
      <c r="AM145" s="96" t="str">
        <f>IFERROR(IF($E145="Yes","IPP",VLOOKUP($J145,'ELA Reading Logic'!$A$13:$K$19,VLOOKUP(AK$1,'ELA Reading Logic'!$J$22:$K$31,2,FALSE),FALSE)),"Set Grade")</f>
        <v>Set Grade</v>
      </c>
      <c r="AN145" s="96" t="str">
        <f>IF($E145="Yes","IPP",IFERROR(IF(AND(AK145&gt;AL145,AK145&lt;AM145),"0",(VLOOKUP(AK145,'ELA Reading Logic'!$A$22:$B$48,2,FALSE))-(IF(VLOOKUP(AK145,'ELA Reading Logic'!$A$22:$B$48,2,FALSE)&lt;=VLOOKUP(AL145,'ELA Reading Logic'!$A$22:$B$48,2,FALSE),VLOOKUP(AL145,'ELA Reading Logic'!$A$22:$B$48,2,FALSE),IF(VLOOKUP(AK145,'ELA Reading Logic'!$A$22:$B$48,2,FALSE)&gt;=VLOOKUP(AM145,'ELA Reading Logic'!$A$22:$B$48,2,FALSE),VLOOKUP(AM145,'ELA Reading Logic'!$A$22:$B$48,2,FALSE),"No Score")))),"No Value"))</f>
        <v>No Value</v>
      </c>
      <c r="AO145" s="96" t="str">
        <f>IFERROR(VLOOKUP(AK145,'ELA Reading Logic'!$A$22:$B$48,2,FALSE)-VLOOKUP($F145,'ELA Reading Logic'!$A$22:$B$48,2,FALSE),"No Value")</f>
        <v>No Value</v>
      </c>
      <c r="AP145" s="92"/>
      <c r="AQ145" s="96" t="str">
        <f>IFERROR(IF($E145="Yes","IPP",VLOOKUP($J145,'ELA Reading Logic'!$A$3:$K$9,VLOOKUP(AP$1,'ELA Reading Logic'!$J$22:$K$31,2,FALSE),FALSE)),"Set Grade")</f>
        <v>Set Grade</v>
      </c>
      <c r="AR145" s="96" t="str">
        <f>IFERROR(IF($E145="Yes","IPP",VLOOKUP($J145,'ELA Reading Logic'!$A$13:$K$19,VLOOKUP(AP$1,'ELA Reading Logic'!$J$22:$K$31,2,FALSE),FALSE)),"Set Grade")</f>
        <v>Set Grade</v>
      </c>
      <c r="AS145" s="96" t="str">
        <f>IF($E145="Yes","IPP",IFERROR(IF(AND(AP145&gt;AQ145,AP145&lt;AR145),"0",(VLOOKUP(AP145,'ELA Reading Logic'!$A$22:$B$48,2,FALSE))-(IF(VLOOKUP(AP145,'ELA Reading Logic'!$A$22:$B$48,2,FALSE)&lt;=VLOOKUP(AQ145,'ELA Reading Logic'!$A$22:$B$48,2,FALSE),VLOOKUP(AQ145,'ELA Reading Logic'!$A$22:$B$48,2,FALSE),IF(VLOOKUP(AP145,'ELA Reading Logic'!$A$22:$B$48,2,FALSE)&gt;=VLOOKUP(AR145,'ELA Reading Logic'!$A$22:$B$48,2,FALSE),VLOOKUP(AR145,'ELA Reading Logic'!$A$22:$B$48,2,FALSE),"No Score")))),"No Value"))</f>
        <v>No Value</v>
      </c>
      <c r="AT145" s="96" t="str">
        <f>IFERROR(VLOOKUP(AP145,'ELA Reading Logic'!$A$22:$B$48,2,FALSE)-VLOOKUP($F145,'ELA Reading Logic'!$A$22:$B$48,2,FALSE),"No Value")</f>
        <v>No Value</v>
      </c>
    </row>
    <row r="146" spans="1:46" ht="22.5" customHeight="1" x14ac:dyDescent="0.25">
      <c r="A146" s="176"/>
      <c r="B146" s="176"/>
      <c r="C146" s="176"/>
      <c r="D146" s="176"/>
      <c r="E146" s="175"/>
      <c r="F146" s="175"/>
      <c r="G146" s="177" t="str">
        <f>IFERROR(IF($E146="Yes","IPP",VLOOKUP($J146,'ELA Reading Logic'!$A$3:$K$9,VLOOKUP("September",'ELA Reading Logic'!$J$22:$K$31,2,FALSE),FALSE)),"Set Grade")</f>
        <v>Set Grade</v>
      </c>
      <c r="H146" s="177" t="str">
        <f>IFERROR(IF($E146="Yes","IPP",VLOOKUP($J146,'ELA Reading Logic'!$A$13:$K$19,VLOOKUP("September",'ELA Reading Logic'!$J$22:$K$31,2,FALSE),FALSE)),"Set Grade")</f>
        <v>Set Grade</v>
      </c>
      <c r="I146" s="96" t="str">
        <f>IF($E146="Yes","IPP",IFERROR(IF(AND(F146&gt;G146,F146&lt;H146),"0",(VLOOKUP(F146,'ELA Reading Logic'!$A$22:$B$48,2,FALSE))-(IF(VLOOKUP(F146,'ELA Reading Logic'!$A$22:$B$48,2,FALSE)&lt;=VLOOKUP(G146,'ELA Reading Logic'!$A$22:$B$48,2,FALSE),VLOOKUP(G146,'ELA Reading Logic'!$A$22:$B$48,2,FALSE),IF(VLOOKUP(F146,'ELA Reading Logic'!$A$22:$B$48,2,FALSE)&gt;=VLOOKUP(H146,'ELA Reading Logic'!$A$22:$B$48,2,FALSE),VLOOKUP(H146,'ELA Reading Logic'!$A$22:$B$48,2,FALSE),"No Score")))),"No Value"))</f>
        <v>No Value</v>
      </c>
      <c r="J146" s="178"/>
      <c r="K146" s="96"/>
      <c r="L146" s="96"/>
      <c r="M146" s="96"/>
      <c r="N146" s="96"/>
      <c r="O146" s="96"/>
      <c r="P146" s="105"/>
      <c r="Q146" s="92"/>
      <c r="R146" s="96" t="str">
        <f>IFERROR(IF($E146="Yes","IPP",VLOOKUP($J146,'ELA Reading Logic'!$A$3:$K$9,VLOOKUP(Q$1,'ELA Reading Logic'!$J$22:$K$31,2,FALSE),FALSE)),"Set Grade")</f>
        <v>Set Grade</v>
      </c>
      <c r="S146" s="96" t="str">
        <f>IFERROR(IF($E146="Yes","IPP",VLOOKUP($J146,'ELA Reading Logic'!$A$13:$K$19,VLOOKUP(Q$1,'ELA Reading Logic'!$J$22:$K$31,2,FALSE),FALSE)),"Set Grade")</f>
        <v>Set Grade</v>
      </c>
      <c r="T146" s="96" t="str">
        <f>IF($E146="Yes","IPP",IFERROR(IF(AND(Q146&gt;R146,Q146&lt;S146),"0",(VLOOKUP(Q146,'ELA Reading Logic'!$A$22:$B$48,2,FALSE))-(IF(VLOOKUP(Q146,'ELA Reading Logic'!$A$22:$B$48,2,FALSE)&lt;=VLOOKUP(R146,'ELA Reading Logic'!$A$22:$B$48,2,FALSE),VLOOKUP(R146,'ELA Reading Logic'!$A$22:$B$48,2,FALSE),IF(VLOOKUP(Q146,'ELA Reading Logic'!$A$22:$B$48,2,FALSE)&gt;=VLOOKUP(S146,'ELA Reading Logic'!$A$22:$B$48,2,FALSE),VLOOKUP(S146,'ELA Reading Logic'!$A$22:$B$48,2,FALSE),"No Score")))),"No Value"))</f>
        <v>No Value</v>
      </c>
      <c r="U146" s="96" t="str">
        <f>IFERROR(VLOOKUP(Q146,'ELA Reading Logic'!$A$22:$B$48,2,FALSE)-VLOOKUP($F146,'ELA Reading Logic'!$A$22:$B$48,2,FALSE),"No Value")</f>
        <v>No Value</v>
      </c>
      <c r="V146" s="92"/>
      <c r="W146" s="96" t="str">
        <f>IFERROR(IF($E146="Yes","IPP",VLOOKUP($J146,'ELA Reading Logic'!$A$3:$K$9,VLOOKUP(V$1,'ELA Reading Logic'!$J$22:$K$31,2,FALSE),FALSE)),"Set Grade")</f>
        <v>Set Grade</v>
      </c>
      <c r="X146" s="96" t="str">
        <f>IFERROR(IF($E146="Yes","IPP",VLOOKUP($J146,'ELA Reading Logic'!$A$13:$K$19,VLOOKUP(V$1,'ELA Reading Logic'!$J$22:$K$31,2,FALSE),FALSE)),"Set Grade")</f>
        <v>Set Grade</v>
      </c>
      <c r="Y146" s="96" t="str">
        <f>IF($E146="Yes","IPP",IFERROR(IF(AND(V146&gt;W146,V146&lt;X146),"0",(VLOOKUP(V146,'ELA Reading Logic'!$A$22:$B$48,2,FALSE))-(IF(VLOOKUP(V146,'ELA Reading Logic'!$A$22:$B$48,2,FALSE)&lt;=VLOOKUP(W146,'ELA Reading Logic'!$A$22:$B$48,2,FALSE),VLOOKUP(W146,'ELA Reading Logic'!$A$22:$B$48,2,FALSE),IF(VLOOKUP(V146,'ELA Reading Logic'!$A$22:$B$48,2,FALSE)&gt;=VLOOKUP(X146,'ELA Reading Logic'!$A$22:$B$48,2,FALSE),VLOOKUP(X146,'ELA Reading Logic'!$A$22:$B$48,2,FALSE),"No Score")))),"No Value"))</f>
        <v>No Value</v>
      </c>
      <c r="Z146" s="96" t="str">
        <f>IFERROR(VLOOKUP(V146,'ELA Reading Logic'!$A$22:$B$48,2,FALSE)-VLOOKUP($F146,'ELA Reading Logic'!$A$22:$B$48,2,FALSE),"No Value")</f>
        <v>No Value</v>
      </c>
      <c r="AA146" s="92"/>
      <c r="AB146" s="96" t="str">
        <f>IFERROR(IF($E146="Yes","IPP",VLOOKUP($J146,'ELA Reading Logic'!$A$3:$K$9,VLOOKUP(AA$1,'ELA Reading Logic'!$J$22:$K$31,2,FALSE),FALSE)),"Set Grade")</f>
        <v>Set Grade</v>
      </c>
      <c r="AC146" s="96" t="str">
        <f>IFERROR(IF($E146="Yes","IPP",VLOOKUP($J146,'ELA Reading Logic'!$A$13:$K$19,VLOOKUP(AA$1,'ELA Reading Logic'!$J$22:$K$31,2,FALSE),FALSE)),"Set Grade")</f>
        <v>Set Grade</v>
      </c>
      <c r="AD146" s="96" t="str">
        <f>IF($E146="Yes","IPP",IFERROR(IF(AND(AA146&gt;AB146,AA146&lt;AC146),"0",(VLOOKUP(AA146,'ELA Reading Logic'!$A$22:$B$48,2,FALSE))-(IF(VLOOKUP(AA146,'ELA Reading Logic'!$A$22:$B$48,2,FALSE)&lt;=VLOOKUP(AB146,'ELA Reading Logic'!$A$22:$B$48,2,FALSE),VLOOKUP(AB146,'ELA Reading Logic'!$A$22:$B$48,2,FALSE),IF(VLOOKUP(AA146,'ELA Reading Logic'!$A$22:$B$48,2,FALSE)&gt;=VLOOKUP(AC146,'ELA Reading Logic'!$A$22:$B$48,2,FALSE),VLOOKUP(AC146,'ELA Reading Logic'!$A$22:$B$48,2,FALSE),"No Score")))),"No Value"))</f>
        <v>No Value</v>
      </c>
      <c r="AE146" s="96" t="str">
        <f>IFERROR(VLOOKUP(AA146,'ELA Reading Logic'!$A$22:$B$48,2,FALSE)-VLOOKUP($F146,'ELA Reading Logic'!$A$22:$B$48,2,FALSE),"No Value")</f>
        <v>No Value</v>
      </c>
      <c r="AF146" s="92"/>
      <c r="AG146" s="96" t="str">
        <f>IFERROR(IF($E146="Yes","IPP",VLOOKUP($J146,'ELA Reading Logic'!$A$3:$K$9,VLOOKUP(AF$1,'ELA Reading Logic'!$J$22:$K$31,2,FALSE),FALSE)),"Set Grade")</f>
        <v>Set Grade</v>
      </c>
      <c r="AH146" s="96" t="str">
        <f>IFERROR(IF($E146="Yes","IPP",VLOOKUP($J146,'ELA Reading Logic'!$A$13:$K$19,VLOOKUP(AF$1,'ELA Reading Logic'!$J$22:$K$31,2,FALSE),FALSE)),"Set Grade")</f>
        <v>Set Grade</v>
      </c>
      <c r="AI146" s="96" t="str">
        <f>IF($E146="Yes","IPP",IFERROR(IF(AND(AF146&gt;AG146,AF146&lt;AH146),"0",(VLOOKUP(AF146,'ELA Reading Logic'!$A$22:$B$48,2,FALSE))-(IF(VLOOKUP(AF146,'ELA Reading Logic'!$A$22:$B$48,2,FALSE)&lt;=VLOOKUP(AG146,'ELA Reading Logic'!$A$22:$B$48,2,FALSE),VLOOKUP(AG146,'ELA Reading Logic'!$A$22:$B$48,2,FALSE),IF(VLOOKUP(AF146,'ELA Reading Logic'!$A$22:$B$48,2,FALSE)&gt;=VLOOKUP(AH146,'ELA Reading Logic'!$A$22:$B$48,2,FALSE),VLOOKUP(AH146,'ELA Reading Logic'!$A$22:$B$48,2,FALSE),"No Score")))),"No Value"))</f>
        <v>No Value</v>
      </c>
      <c r="AJ146" s="96" t="str">
        <f>IFERROR(VLOOKUP(AF146,'ELA Reading Logic'!$A$22:$B$48,2,FALSE)-VLOOKUP($F146,'ELA Reading Logic'!$A$22:$B$48,2,FALSE),"No Value")</f>
        <v>No Value</v>
      </c>
      <c r="AK146" s="92"/>
      <c r="AL146" s="96" t="str">
        <f>IFERROR(IF($E146="Yes","IPP",VLOOKUP($J146,'ELA Reading Logic'!$A$3:$K$9,VLOOKUP(AK$1,'ELA Reading Logic'!$J$22:$K$31,2,FALSE),FALSE)),"Set Grade")</f>
        <v>Set Grade</v>
      </c>
      <c r="AM146" s="96" t="str">
        <f>IFERROR(IF($E146="Yes","IPP",VLOOKUP($J146,'ELA Reading Logic'!$A$13:$K$19,VLOOKUP(AK$1,'ELA Reading Logic'!$J$22:$K$31,2,FALSE),FALSE)),"Set Grade")</f>
        <v>Set Grade</v>
      </c>
      <c r="AN146" s="96" t="str">
        <f>IF($E146="Yes","IPP",IFERROR(IF(AND(AK146&gt;AL146,AK146&lt;AM146),"0",(VLOOKUP(AK146,'ELA Reading Logic'!$A$22:$B$48,2,FALSE))-(IF(VLOOKUP(AK146,'ELA Reading Logic'!$A$22:$B$48,2,FALSE)&lt;=VLOOKUP(AL146,'ELA Reading Logic'!$A$22:$B$48,2,FALSE),VLOOKUP(AL146,'ELA Reading Logic'!$A$22:$B$48,2,FALSE),IF(VLOOKUP(AK146,'ELA Reading Logic'!$A$22:$B$48,2,FALSE)&gt;=VLOOKUP(AM146,'ELA Reading Logic'!$A$22:$B$48,2,FALSE),VLOOKUP(AM146,'ELA Reading Logic'!$A$22:$B$48,2,FALSE),"No Score")))),"No Value"))</f>
        <v>No Value</v>
      </c>
      <c r="AO146" s="96" t="str">
        <f>IFERROR(VLOOKUP(AK146,'ELA Reading Logic'!$A$22:$B$48,2,FALSE)-VLOOKUP($F146,'ELA Reading Logic'!$A$22:$B$48,2,FALSE),"No Value")</f>
        <v>No Value</v>
      </c>
      <c r="AP146" s="92"/>
      <c r="AQ146" s="96" t="str">
        <f>IFERROR(IF($E146="Yes","IPP",VLOOKUP($J146,'ELA Reading Logic'!$A$3:$K$9,VLOOKUP(AP$1,'ELA Reading Logic'!$J$22:$K$31,2,FALSE),FALSE)),"Set Grade")</f>
        <v>Set Grade</v>
      </c>
      <c r="AR146" s="96" t="str">
        <f>IFERROR(IF($E146="Yes","IPP",VLOOKUP($J146,'ELA Reading Logic'!$A$13:$K$19,VLOOKUP(AP$1,'ELA Reading Logic'!$J$22:$K$31,2,FALSE),FALSE)),"Set Grade")</f>
        <v>Set Grade</v>
      </c>
      <c r="AS146" s="96" t="str">
        <f>IF($E146="Yes","IPP",IFERROR(IF(AND(AP146&gt;AQ146,AP146&lt;AR146),"0",(VLOOKUP(AP146,'ELA Reading Logic'!$A$22:$B$48,2,FALSE))-(IF(VLOOKUP(AP146,'ELA Reading Logic'!$A$22:$B$48,2,FALSE)&lt;=VLOOKUP(AQ146,'ELA Reading Logic'!$A$22:$B$48,2,FALSE),VLOOKUP(AQ146,'ELA Reading Logic'!$A$22:$B$48,2,FALSE),IF(VLOOKUP(AP146,'ELA Reading Logic'!$A$22:$B$48,2,FALSE)&gt;=VLOOKUP(AR146,'ELA Reading Logic'!$A$22:$B$48,2,FALSE),VLOOKUP(AR146,'ELA Reading Logic'!$A$22:$B$48,2,FALSE),"No Score")))),"No Value"))</f>
        <v>No Value</v>
      </c>
      <c r="AT146" s="96" t="str">
        <f>IFERROR(VLOOKUP(AP146,'ELA Reading Logic'!$A$22:$B$48,2,FALSE)-VLOOKUP($F146,'ELA Reading Logic'!$A$22:$B$48,2,FALSE),"No Value")</f>
        <v>No Value</v>
      </c>
    </row>
    <row r="147" spans="1:46" ht="22.5" customHeight="1" x14ac:dyDescent="0.25">
      <c r="A147" s="174"/>
      <c r="B147" s="174"/>
      <c r="C147" s="174"/>
      <c r="D147" s="174"/>
      <c r="E147" s="175"/>
      <c r="F147" s="175"/>
      <c r="G147" s="177" t="str">
        <f>IFERROR(IF($E147="Yes","IPP",VLOOKUP($J147,'ELA Reading Logic'!$A$3:$K$9,VLOOKUP("September",'ELA Reading Logic'!$J$22:$K$31,2,FALSE),FALSE)),"Set Grade")</f>
        <v>Set Grade</v>
      </c>
      <c r="H147" s="177" t="str">
        <f>IFERROR(IF($E147="Yes","IPP",VLOOKUP($J147,'ELA Reading Logic'!$A$13:$K$19,VLOOKUP("September",'ELA Reading Logic'!$J$22:$K$31,2,FALSE),FALSE)),"Set Grade")</f>
        <v>Set Grade</v>
      </c>
      <c r="I147" s="96" t="str">
        <f>IF($E147="Yes","IPP",IFERROR(IF(AND(F147&gt;G147,F147&lt;H147),"0",(VLOOKUP(F147,'ELA Reading Logic'!$A$22:$B$48,2,FALSE))-(IF(VLOOKUP(F147,'ELA Reading Logic'!$A$22:$B$48,2,FALSE)&lt;=VLOOKUP(G147,'ELA Reading Logic'!$A$22:$B$48,2,FALSE),VLOOKUP(G147,'ELA Reading Logic'!$A$22:$B$48,2,FALSE),IF(VLOOKUP(F147,'ELA Reading Logic'!$A$22:$B$48,2,FALSE)&gt;=VLOOKUP(H147,'ELA Reading Logic'!$A$22:$B$48,2,FALSE),VLOOKUP(H147,'ELA Reading Logic'!$A$22:$B$48,2,FALSE),"No Score")))),"No Value"))</f>
        <v>No Value</v>
      </c>
      <c r="J147" s="178"/>
      <c r="K147" s="96"/>
      <c r="L147" s="96"/>
      <c r="M147" s="96"/>
      <c r="N147" s="96"/>
      <c r="O147" s="96"/>
      <c r="P147" s="105"/>
      <c r="Q147" s="92"/>
      <c r="R147" s="96" t="str">
        <f>IFERROR(IF($E147="Yes","IPP",VLOOKUP($J147,'ELA Reading Logic'!$A$3:$K$9,VLOOKUP(Q$1,'ELA Reading Logic'!$J$22:$K$31,2,FALSE),FALSE)),"Set Grade")</f>
        <v>Set Grade</v>
      </c>
      <c r="S147" s="96" t="str">
        <f>IFERROR(IF($E147="Yes","IPP",VLOOKUP($J147,'ELA Reading Logic'!$A$13:$K$19,VLOOKUP(Q$1,'ELA Reading Logic'!$J$22:$K$31,2,FALSE),FALSE)),"Set Grade")</f>
        <v>Set Grade</v>
      </c>
      <c r="T147" s="96" t="str">
        <f>IF($E147="Yes","IPP",IFERROR(IF(AND(Q147&gt;R147,Q147&lt;S147),"0",(VLOOKUP(Q147,'ELA Reading Logic'!$A$22:$B$48,2,FALSE))-(IF(VLOOKUP(Q147,'ELA Reading Logic'!$A$22:$B$48,2,FALSE)&lt;=VLOOKUP(R147,'ELA Reading Logic'!$A$22:$B$48,2,FALSE),VLOOKUP(R147,'ELA Reading Logic'!$A$22:$B$48,2,FALSE),IF(VLOOKUP(Q147,'ELA Reading Logic'!$A$22:$B$48,2,FALSE)&gt;=VLOOKUP(S147,'ELA Reading Logic'!$A$22:$B$48,2,FALSE),VLOOKUP(S147,'ELA Reading Logic'!$A$22:$B$48,2,FALSE),"No Score")))),"No Value"))</f>
        <v>No Value</v>
      </c>
      <c r="U147" s="96" t="str">
        <f>IFERROR(VLOOKUP(Q147,'ELA Reading Logic'!$A$22:$B$48,2,FALSE)-VLOOKUP($F147,'ELA Reading Logic'!$A$22:$B$48,2,FALSE),"No Value")</f>
        <v>No Value</v>
      </c>
      <c r="V147" s="92"/>
      <c r="W147" s="96" t="str">
        <f>IFERROR(IF($E147="Yes","IPP",VLOOKUP($J147,'ELA Reading Logic'!$A$3:$K$9,VLOOKUP(V$1,'ELA Reading Logic'!$J$22:$K$31,2,FALSE),FALSE)),"Set Grade")</f>
        <v>Set Grade</v>
      </c>
      <c r="X147" s="96" t="str">
        <f>IFERROR(IF($E147="Yes","IPP",VLOOKUP($J147,'ELA Reading Logic'!$A$13:$K$19,VLOOKUP(V$1,'ELA Reading Logic'!$J$22:$K$31,2,FALSE),FALSE)),"Set Grade")</f>
        <v>Set Grade</v>
      </c>
      <c r="Y147" s="96" t="str">
        <f>IF($E147="Yes","IPP",IFERROR(IF(AND(V147&gt;W147,V147&lt;X147),"0",(VLOOKUP(V147,'ELA Reading Logic'!$A$22:$B$48,2,FALSE))-(IF(VLOOKUP(V147,'ELA Reading Logic'!$A$22:$B$48,2,FALSE)&lt;=VLOOKUP(W147,'ELA Reading Logic'!$A$22:$B$48,2,FALSE),VLOOKUP(W147,'ELA Reading Logic'!$A$22:$B$48,2,FALSE),IF(VLOOKUP(V147,'ELA Reading Logic'!$A$22:$B$48,2,FALSE)&gt;=VLOOKUP(X147,'ELA Reading Logic'!$A$22:$B$48,2,FALSE),VLOOKUP(X147,'ELA Reading Logic'!$A$22:$B$48,2,FALSE),"No Score")))),"No Value"))</f>
        <v>No Value</v>
      </c>
      <c r="Z147" s="96" t="str">
        <f>IFERROR(VLOOKUP(V147,'ELA Reading Logic'!$A$22:$B$48,2,FALSE)-VLOOKUP($F147,'ELA Reading Logic'!$A$22:$B$48,2,FALSE),"No Value")</f>
        <v>No Value</v>
      </c>
      <c r="AA147" s="92"/>
      <c r="AB147" s="96" t="str">
        <f>IFERROR(IF($E147="Yes","IPP",VLOOKUP($J147,'ELA Reading Logic'!$A$3:$K$9,VLOOKUP(AA$1,'ELA Reading Logic'!$J$22:$K$31,2,FALSE),FALSE)),"Set Grade")</f>
        <v>Set Grade</v>
      </c>
      <c r="AC147" s="96" t="str">
        <f>IFERROR(IF($E147="Yes","IPP",VLOOKUP($J147,'ELA Reading Logic'!$A$13:$K$19,VLOOKUP(AA$1,'ELA Reading Logic'!$J$22:$K$31,2,FALSE),FALSE)),"Set Grade")</f>
        <v>Set Grade</v>
      </c>
      <c r="AD147" s="96" t="str">
        <f>IF($E147="Yes","IPP",IFERROR(IF(AND(AA147&gt;AB147,AA147&lt;AC147),"0",(VLOOKUP(AA147,'ELA Reading Logic'!$A$22:$B$48,2,FALSE))-(IF(VLOOKUP(AA147,'ELA Reading Logic'!$A$22:$B$48,2,FALSE)&lt;=VLOOKUP(AB147,'ELA Reading Logic'!$A$22:$B$48,2,FALSE),VLOOKUP(AB147,'ELA Reading Logic'!$A$22:$B$48,2,FALSE),IF(VLOOKUP(AA147,'ELA Reading Logic'!$A$22:$B$48,2,FALSE)&gt;=VLOOKUP(AC147,'ELA Reading Logic'!$A$22:$B$48,2,FALSE),VLOOKUP(AC147,'ELA Reading Logic'!$A$22:$B$48,2,FALSE),"No Score")))),"No Value"))</f>
        <v>No Value</v>
      </c>
      <c r="AE147" s="96" t="str">
        <f>IFERROR(VLOOKUP(AA147,'ELA Reading Logic'!$A$22:$B$48,2,FALSE)-VLOOKUP($F147,'ELA Reading Logic'!$A$22:$B$48,2,FALSE),"No Value")</f>
        <v>No Value</v>
      </c>
      <c r="AF147" s="92"/>
      <c r="AG147" s="96" t="str">
        <f>IFERROR(IF($E147="Yes","IPP",VLOOKUP($J147,'ELA Reading Logic'!$A$3:$K$9,VLOOKUP(AF$1,'ELA Reading Logic'!$J$22:$K$31,2,FALSE),FALSE)),"Set Grade")</f>
        <v>Set Grade</v>
      </c>
      <c r="AH147" s="96" t="str">
        <f>IFERROR(IF($E147="Yes","IPP",VLOOKUP($J147,'ELA Reading Logic'!$A$13:$K$19,VLOOKUP(AF$1,'ELA Reading Logic'!$J$22:$K$31,2,FALSE),FALSE)),"Set Grade")</f>
        <v>Set Grade</v>
      </c>
      <c r="AI147" s="96" t="str">
        <f>IF($E147="Yes","IPP",IFERROR(IF(AND(AF147&gt;AG147,AF147&lt;AH147),"0",(VLOOKUP(AF147,'ELA Reading Logic'!$A$22:$B$48,2,FALSE))-(IF(VLOOKUP(AF147,'ELA Reading Logic'!$A$22:$B$48,2,FALSE)&lt;=VLOOKUP(AG147,'ELA Reading Logic'!$A$22:$B$48,2,FALSE),VLOOKUP(AG147,'ELA Reading Logic'!$A$22:$B$48,2,FALSE),IF(VLOOKUP(AF147,'ELA Reading Logic'!$A$22:$B$48,2,FALSE)&gt;=VLOOKUP(AH147,'ELA Reading Logic'!$A$22:$B$48,2,FALSE),VLOOKUP(AH147,'ELA Reading Logic'!$A$22:$B$48,2,FALSE),"No Score")))),"No Value"))</f>
        <v>No Value</v>
      </c>
      <c r="AJ147" s="96" t="str">
        <f>IFERROR(VLOOKUP(AF147,'ELA Reading Logic'!$A$22:$B$48,2,FALSE)-VLOOKUP($F147,'ELA Reading Logic'!$A$22:$B$48,2,FALSE),"No Value")</f>
        <v>No Value</v>
      </c>
      <c r="AK147" s="92"/>
      <c r="AL147" s="96" t="str">
        <f>IFERROR(IF($E147="Yes","IPP",VLOOKUP($J147,'ELA Reading Logic'!$A$3:$K$9,VLOOKUP(AK$1,'ELA Reading Logic'!$J$22:$K$31,2,FALSE),FALSE)),"Set Grade")</f>
        <v>Set Grade</v>
      </c>
      <c r="AM147" s="96" t="str">
        <f>IFERROR(IF($E147="Yes","IPP",VLOOKUP($J147,'ELA Reading Logic'!$A$13:$K$19,VLOOKUP(AK$1,'ELA Reading Logic'!$J$22:$K$31,2,FALSE),FALSE)),"Set Grade")</f>
        <v>Set Grade</v>
      </c>
      <c r="AN147" s="96" t="str">
        <f>IF($E147="Yes","IPP",IFERROR(IF(AND(AK147&gt;AL147,AK147&lt;AM147),"0",(VLOOKUP(AK147,'ELA Reading Logic'!$A$22:$B$48,2,FALSE))-(IF(VLOOKUP(AK147,'ELA Reading Logic'!$A$22:$B$48,2,FALSE)&lt;=VLOOKUP(AL147,'ELA Reading Logic'!$A$22:$B$48,2,FALSE),VLOOKUP(AL147,'ELA Reading Logic'!$A$22:$B$48,2,FALSE),IF(VLOOKUP(AK147,'ELA Reading Logic'!$A$22:$B$48,2,FALSE)&gt;=VLOOKUP(AM147,'ELA Reading Logic'!$A$22:$B$48,2,FALSE),VLOOKUP(AM147,'ELA Reading Logic'!$A$22:$B$48,2,FALSE),"No Score")))),"No Value"))</f>
        <v>No Value</v>
      </c>
      <c r="AO147" s="96" t="str">
        <f>IFERROR(VLOOKUP(AK147,'ELA Reading Logic'!$A$22:$B$48,2,FALSE)-VLOOKUP($F147,'ELA Reading Logic'!$A$22:$B$48,2,FALSE),"No Value")</f>
        <v>No Value</v>
      </c>
      <c r="AP147" s="92"/>
      <c r="AQ147" s="96" t="str">
        <f>IFERROR(IF($E147="Yes","IPP",VLOOKUP($J147,'ELA Reading Logic'!$A$3:$K$9,VLOOKUP(AP$1,'ELA Reading Logic'!$J$22:$K$31,2,FALSE),FALSE)),"Set Grade")</f>
        <v>Set Grade</v>
      </c>
      <c r="AR147" s="96" t="str">
        <f>IFERROR(IF($E147="Yes","IPP",VLOOKUP($J147,'ELA Reading Logic'!$A$13:$K$19,VLOOKUP(AP$1,'ELA Reading Logic'!$J$22:$K$31,2,FALSE),FALSE)),"Set Grade")</f>
        <v>Set Grade</v>
      </c>
      <c r="AS147" s="96" t="str">
        <f>IF($E147="Yes","IPP",IFERROR(IF(AND(AP147&gt;AQ147,AP147&lt;AR147),"0",(VLOOKUP(AP147,'ELA Reading Logic'!$A$22:$B$48,2,FALSE))-(IF(VLOOKUP(AP147,'ELA Reading Logic'!$A$22:$B$48,2,FALSE)&lt;=VLOOKUP(AQ147,'ELA Reading Logic'!$A$22:$B$48,2,FALSE),VLOOKUP(AQ147,'ELA Reading Logic'!$A$22:$B$48,2,FALSE),IF(VLOOKUP(AP147,'ELA Reading Logic'!$A$22:$B$48,2,FALSE)&gt;=VLOOKUP(AR147,'ELA Reading Logic'!$A$22:$B$48,2,FALSE),VLOOKUP(AR147,'ELA Reading Logic'!$A$22:$B$48,2,FALSE),"No Score")))),"No Value"))</f>
        <v>No Value</v>
      </c>
      <c r="AT147" s="96" t="str">
        <f>IFERROR(VLOOKUP(AP147,'ELA Reading Logic'!$A$22:$B$48,2,FALSE)-VLOOKUP($F147,'ELA Reading Logic'!$A$22:$B$48,2,FALSE),"No Value")</f>
        <v>No Value</v>
      </c>
    </row>
    <row r="148" spans="1:46" ht="22.5" customHeight="1" x14ac:dyDescent="0.25">
      <c r="A148" s="174"/>
      <c r="B148" s="174"/>
      <c r="C148" s="174"/>
      <c r="D148" s="174"/>
      <c r="E148" s="175"/>
      <c r="F148" s="175"/>
      <c r="G148" s="177" t="str">
        <f>IFERROR(IF($E148="Yes","IPP",VLOOKUP($J148,'ELA Reading Logic'!$A$3:$K$9,VLOOKUP("September",'ELA Reading Logic'!$J$22:$K$31,2,FALSE),FALSE)),"Set Grade")</f>
        <v>Set Grade</v>
      </c>
      <c r="H148" s="177" t="str">
        <f>IFERROR(IF($E148="Yes","IPP",VLOOKUP($J148,'ELA Reading Logic'!$A$13:$K$19,VLOOKUP("September",'ELA Reading Logic'!$J$22:$K$31,2,FALSE),FALSE)),"Set Grade")</f>
        <v>Set Grade</v>
      </c>
      <c r="I148" s="96" t="str">
        <f>IF($E148="Yes","IPP",IFERROR(IF(AND(F148&gt;G148,F148&lt;H148),"0",(VLOOKUP(F148,'ELA Reading Logic'!$A$22:$B$48,2,FALSE))-(IF(VLOOKUP(F148,'ELA Reading Logic'!$A$22:$B$48,2,FALSE)&lt;=VLOOKUP(G148,'ELA Reading Logic'!$A$22:$B$48,2,FALSE),VLOOKUP(G148,'ELA Reading Logic'!$A$22:$B$48,2,FALSE),IF(VLOOKUP(F148,'ELA Reading Logic'!$A$22:$B$48,2,FALSE)&gt;=VLOOKUP(H148,'ELA Reading Logic'!$A$22:$B$48,2,FALSE),VLOOKUP(H148,'ELA Reading Logic'!$A$22:$B$48,2,FALSE),"No Score")))),"No Value"))</f>
        <v>No Value</v>
      </c>
      <c r="J148" s="178"/>
      <c r="K148" s="96"/>
      <c r="L148" s="96"/>
      <c r="M148" s="96"/>
      <c r="N148" s="96"/>
      <c r="O148" s="96"/>
      <c r="P148" s="105"/>
      <c r="Q148" s="92"/>
      <c r="R148" s="96" t="str">
        <f>IFERROR(IF($E148="Yes","IPP",VLOOKUP($J148,'ELA Reading Logic'!$A$3:$K$9,VLOOKUP(Q$1,'ELA Reading Logic'!$J$22:$K$31,2,FALSE),FALSE)),"Set Grade")</f>
        <v>Set Grade</v>
      </c>
      <c r="S148" s="96" t="str">
        <f>IFERROR(IF($E148="Yes","IPP",VLOOKUP($J148,'ELA Reading Logic'!$A$13:$K$19,VLOOKUP(Q$1,'ELA Reading Logic'!$J$22:$K$31,2,FALSE),FALSE)),"Set Grade")</f>
        <v>Set Grade</v>
      </c>
      <c r="T148" s="96" t="str">
        <f>IF($E148="Yes","IPP",IFERROR(IF(AND(Q148&gt;R148,Q148&lt;S148),"0",(VLOOKUP(Q148,'ELA Reading Logic'!$A$22:$B$48,2,FALSE))-(IF(VLOOKUP(Q148,'ELA Reading Logic'!$A$22:$B$48,2,FALSE)&lt;=VLOOKUP(R148,'ELA Reading Logic'!$A$22:$B$48,2,FALSE),VLOOKUP(R148,'ELA Reading Logic'!$A$22:$B$48,2,FALSE),IF(VLOOKUP(Q148,'ELA Reading Logic'!$A$22:$B$48,2,FALSE)&gt;=VLOOKUP(S148,'ELA Reading Logic'!$A$22:$B$48,2,FALSE),VLOOKUP(S148,'ELA Reading Logic'!$A$22:$B$48,2,FALSE),"No Score")))),"No Value"))</f>
        <v>No Value</v>
      </c>
      <c r="U148" s="96" t="str">
        <f>IFERROR(VLOOKUP(Q148,'ELA Reading Logic'!$A$22:$B$48,2,FALSE)-VLOOKUP($F148,'ELA Reading Logic'!$A$22:$B$48,2,FALSE),"No Value")</f>
        <v>No Value</v>
      </c>
      <c r="V148" s="92"/>
      <c r="W148" s="96" t="str">
        <f>IFERROR(IF($E148="Yes","IPP",VLOOKUP($J148,'ELA Reading Logic'!$A$3:$K$9,VLOOKUP(V$1,'ELA Reading Logic'!$J$22:$K$31,2,FALSE),FALSE)),"Set Grade")</f>
        <v>Set Grade</v>
      </c>
      <c r="X148" s="96" t="str">
        <f>IFERROR(IF($E148="Yes","IPP",VLOOKUP($J148,'ELA Reading Logic'!$A$13:$K$19,VLOOKUP(V$1,'ELA Reading Logic'!$J$22:$K$31,2,FALSE),FALSE)),"Set Grade")</f>
        <v>Set Grade</v>
      </c>
      <c r="Y148" s="96" t="str">
        <f>IF($E148="Yes","IPP",IFERROR(IF(AND(V148&gt;W148,V148&lt;X148),"0",(VLOOKUP(V148,'ELA Reading Logic'!$A$22:$B$48,2,FALSE))-(IF(VLOOKUP(V148,'ELA Reading Logic'!$A$22:$B$48,2,FALSE)&lt;=VLOOKUP(W148,'ELA Reading Logic'!$A$22:$B$48,2,FALSE),VLOOKUP(W148,'ELA Reading Logic'!$A$22:$B$48,2,FALSE),IF(VLOOKUP(V148,'ELA Reading Logic'!$A$22:$B$48,2,FALSE)&gt;=VLOOKUP(X148,'ELA Reading Logic'!$A$22:$B$48,2,FALSE),VLOOKUP(X148,'ELA Reading Logic'!$A$22:$B$48,2,FALSE),"No Score")))),"No Value"))</f>
        <v>No Value</v>
      </c>
      <c r="Z148" s="96" t="str">
        <f>IFERROR(VLOOKUP(V148,'ELA Reading Logic'!$A$22:$B$48,2,FALSE)-VLOOKUP($F148,'ELA Reading Logic'!$A$22:$B$48,2,FALSE),"No Value")</f>
        <v>No Value</v>
      </c>
      <c r="AA148" s="92"/>
      <c r="AB148" s="96" t="str">
        <f>IFERROR(IF($E148="Yes","IPP",VLOOKUP($J148,'ELA Reading Logic'!$A$3:$K$9,VLOOKUP(AA$1,'ELA Reading Logic'!$J$22:$K$31,2,FALSE),FALSE)),"Set Grade")</f>
        <v>Set Grade</v>
      </c>
      <c r="AC148" s="96" t="str">
        <f>IFERROR(IF($E148="Yes","IPP",VLOOKUP($J148,'ELA Reading Logic'!$A$13:$K$19,VLOOKUP(AA$1,'ELA Reading Logic'!$J$22:$K$31,2,FALSE),FALSE)),"Set Grade")</f>
        <v>Set Grade</v>
      </c>
      <c r="AD148" s="96" t="str">
        <f>IF($E148="Yes","IPP",IFERROR(IF(AND(AA148&gt;AB148,AA148&lt;AC148),"0",(VLOOKUP(AA148,'ELA Reading Logic'!$A$22:$B$48,2,FALSE))-(IF(VLOOKUP(AA148,'ELA Reading Logic'!$A$22:$B$48,2,FALSE)&lt;=VLOOKUP(AB148,'ELA Reading Logic'!$A$22:$B$48,2,FALSE),VLOOKUP(AB148,'ELA Reading Logic'!$A$22:$B$48,2,FALSE),IF(VLOOKUP(AA148,'ELA Reading Logic'!$A$22:$B$48,2,FALSE)&gt;=VLOOKUP(AC148,'ELA Reading Logic'!$A$22:$B$48,2,FALSE),VLOOKUP(AC148,'ELA Reading Logic'!$A$22:$B$48,2,FALSE),"No Score")))),"No Value"))</f>
        <v>No Value</v>
      </c>
      <c r="AE148" s="96" t="str">
        <f>IFERROR(VLOOKUP(AA148,'ELA Reading Logic'!$A$22:$B$48,2,FALSE)-VLOOKUP($F148,'ELA Reading Logic'!$A$22:$B$48,2,FALSE),"No Value")</f>
        <v>No Value</v>
      </c>
      <c r="AF148" s="92"/>
      <c r="AG148" s="96" t="str">
        <f>IFERROR(IF($E148="Yes","IPP",VLOOKUP($J148,'ELA Reading Logic'!$A$3:$K$9,VLOOKUP(AF$1,'ELA Reading Logic'!$J$22:$K$31,2,FALSE),FALSE)),"Set Grade")</f>
        <v>Set Grade</v>
      </c>
      <c r="AH148" s="96" t="str">
        <f>IFERROR(IF($E148="Yes","IPP",VLOOKUP($J148,'ELA Reading Logic'!$A$13:$K$19,VLOOKUP(AF$1,'ELA Reading Logic'!$J$22:$K$31,2,FALSE),FALSE)),"Set Grade")</f>
        <v>Set Grade</v>
      </c>
      <c r="AI148" s="96" t="str">
        <f>IF($E148="Yes","IPP",IFERROR(IF(AND(AF148&gt;AG148,AF148&lt;AH148),"0",(VLOOKUP(AF148,'ELA Reading Logic'!$A$22:$B$48,2,FALSE))-(IF(VLOOKUP(AF148,'ELA Reading Logic'!$A$22:$B$48,2,FALSE)&lt;=VLOOKUP(AG148,'ELA Reading Logic'!$A$22:$B$48,2,FALSE),VLOOKUP(AG148,'ELA Reading Logic'!$A$22:$B$48,2,FALSE),IF(VLOOKUP(AF148,'ELA Reading Logic'!$A$22:$B$48,2,FALSE)&gt;=VLOOKUP(AH148,'ELA Reading Logic'!$A$22:$B$48,2,FALSE),VLOOKUP(AH148,'ELA Reading Logic'!$A$22:$B$48,2,FALSE),"No Score")))),"No Value"))</f>
        <v>No Value</v>
      </c>
      <c r="AJ148" s="96" t="str">
        <f>IFERROR(VLOOKUP(AF148,'ELA Reading Logic'!$A$22:$B$48,2,FALSE)-VLOOKUP($F148,'ELA Reading Logic'!$A$22:$B$48,2,FALSE),"No Value")</f>
        <v>No Value</v>
      </c>
      <c r="AK148" s="92"/>
      <c r="AL148" s="96" t="str">
        <f>IFERROR(IF($E148="Yes","IPP",VLOOKUP($J148,'ELA Reading Logic'!$A$3:$K$9,VLOOKUP(AK$1,'ELA Reading Logic'!$J$22:$K$31,2,FALSE),FALSE)),"Set Grade")</f>
        <v>Set Grade</v>
      </c>
      <c r="AM148" s="96" t="str">
        <f>IFERROR(IF($E148="Yes","IPP",VLOOKUP($J148,'ELA Reading Logic'!$A$13:$K$19,VLOOKUP(AK$1,'ELA Reading Logic'!$J$22:$K$31,2,FALSE),FALSE)),"Set Grade")</f>
        <v>Set Grade</v>
      </c>
      <c r="AN148" s="96" t="str">
        <f>IF($E148="Yes","IPP",IFERROR(IF(AND(AK148&gt;AL148,AK148&lt;AM148),"0",(VLOOKUP(AK148,'ELA Reading Logic'!$A$22:$B$48,2,FALSE))-(IF(VLOOKUP(AK148,'ELA Reading Logic'!$A$22:$B$48,2,FALSE)&lt;=VLOOKUP(AL148,'ELA Reading Logic'!$A$22:$B$48,2,FALSE),VLOOKUP(AL148,'ELA Reading Logic'!$A$22:$B$48,2,FALSE),IF(VLOOKUP(AK148,'ELA Reading Logic'!$A$22:$B$48,2,FALSE)&gt;=VLOOKUP(AM148,'ELA Reading Logic'!$A$22:$B$48,2,FALSE),VLOOKUP(AM148,'ELA Reading Logic'!$A$22:$B$48,2,FALSE),"No Score")))),"No Value"))</f>
        <v>No Value</v>
      </c>
      <c r="AO148" s="96" t="str">
        <f>IFERROR(VLOOKUP(AK148,'ELA Reading Logic'!$A$22:$B$48,2,FALSE)-VLOOKUP($F148,'ELA Reading Logic'!$A$22:$B$48,2,FALSE),"No Value")</f>
        <v>No Value</v>
      </c>
      <c r="AP148" s="92"/>
      <c r="AQ148" s="96" t="str">
        <f>IFERROR(IF($E148="Yes","IPP",VLOOKUP($J148,'ELA Reading Logic'!$A$3:$K$9,VLOOKUP(AP$1,'ELA Reading Logic'!$J$22:$K$31,2,FALSE),FALSE)),"Set Grade")</f>
        <v>Set Grade</v>
      </c>
      <c r="AR148" s="96" t="str">
        <f>IFERROR(IF($E148="Yes","IPP",VLOOKUP($J148,'ELA Reading Logic'!$A$13:$K$19,VLOOKUP(AP$1,'ELA Reading Logic'!$J$22:$K$31,2,FALSE),FALSE)),"Set Grade")</f>
        <v>Set Grade</v>
      </c>
      <c r="AS148" s="96" t="str">
        <f>IF($E148="Yes","IPP",IFERROR(IF(AND(AP148&gt;AQ148,AP148&lt;AR148),"0",(VLOOKUP(AP148,'ELA Reading Logic'!$A$22:$B$48,2,FALSE))-(IF(VLOOKUP(AP148,'ELA Reading Logic'!$A$22:$B$48,2,FALSE)&lt;=VLOOKUP(AQ148,'ELA Reading Logic'!$A$22:$B$48,2,FALSE),VLOOKUP(AQ148,'ELA Reading Logic'!$A$22:$B$48,2,FALSE),IF(VLOOKUP(AP148,'ELA Reading Logic'!$A$22:$B$48,2,FALSE)&gt;=VLOOKUP(AR148,'ELA Reading Logic'!$A$22:$B$48,2,FALSE),VLOOKUP(AR148,'ELA Reading Logic'!$A$22:$B$48,2,FALSE),"No Score")))),"No Value"))</f>
        <v>No Value</v>
      </c>
      <c r="AT148" s="96" t="str">
        <f>IFERROR(VLOOKUP(AP148,'ELA Reading Logic'!$A$22:$B$48,2,FALSE)-VLOOKUP($F148,'ELA Reading Logic'!$A$22:$B$48,2,FALSE),"No Value")</f>
        <v>No Value</v>
      </c>
    </row>
    <row r="149" spans="1:46" ht="22.5" customHeight="1" x14ac:dyDescent="0.25">
      <c r="A149" s="176"/>
      <c r="B149" s="176"/>
      <c r="C149" s="176"/>
      <c r="D149" s="176"/>
      <c r="E149" s="175"/>
      <c r="F149" s="175"/>
      <c r="G149" s="177" t="str">
        <f>IFERROR(IF($E149="Yes","IPP",VLOOKUP($J149,'ELA Reading Logic'!$A$3:$K$9,VLOOKUP("September",'ELA Reading Logic'!$J$22:$K$31,2,FALSE),FALSE)),"Set Grade")</f>
        <v>Set Grade</v>
      </c>
      <c r="H149" s="177" t="str">
        <f>IFERROR(IF($E149="Yes","IPP",VLOOKUP($J149,'ELA Reading Logic'!$A$13:$K$19,VLOOKUP("September",'ELA Reading Logic'!$J$22:$K$31,2,FALSE),FALSE)),"Set Grade")</f>
        <v>Set Grade</v>
      </c>
      <c r="I149" s="96" t="str">
        <f>IF($E149="Yes","IPP",IFERROR(IF(AND(F149&gt;G149,F149&lt;H149),"0",(VLOOKUP(F149,'ELA Reading Logic'!$A$22:$B$48,2,FALSE))-(IF(VLOOKUP(F149,'ELA Reading Logic'!$A$22:$B$48,2,FALSE)&lt;=VLOOKUP(G149,'ELA Reading Logic'!$A$22:$B$48,2,FALSE),VLOOKUP(G149,'ELA Reading Logic'!$A$22:$B$48,2,FALSE),IF(VLOOKUP(F149,'ELA Reading Logic'!$A$22:$B$48,2,FALSE)&gt;=VLOOKUP(H149,'ELA Reading Logic'!$A$22:$B$48,2,FALSE),VLOOKUP(H149,'ELA Reading Logic'!$A$22:$B$48,2,FALSE),"No Score")))),"No Value"))</f>
        <v>No Value</v>
      </c>
      <c r="J149" s="178"/>
      <c r="K149" s="96"/>
      <c r="L149" s="96"/>
      <c r="M149" s="96"/>
      <c r="N149" s="96"/>
      <c r="O149" s="96"/>
      <c r="P149" s="105"/>
      <c r="Q149" s="92"/>
      <c r="R149" s="96" t="str">
        <f>IFERROR(IF($E149="Yes","IPP",VLOOKUP($J149,'ELA Reading Logic'!$A$3:$K$9,VLOOKUP(Q$1,'ELA Reading Logic'!$J$22:$K$31,2,FALSE),FALSE)),"Set Grade")</f>
        <v>Set Grade</v>
      </c>
      <c r="S149" s="96" t="str">
        <f>IFERROR(IF($E149="Yes","IPP",VLOOKUP($J149,'ELA Reading Logic'!$A$13:$K$19,VLOOKUP(Q$1,'ELA Reading Logic'!$J$22:$K$31,2,FALSE),FALSE)),"Set Grade")</f>
        <v>Set Grade</v>
      </c>
      <c r="T149" s="96" t="str">
        <f>IF($E149="Yes","IPP",IFERROR(IF(AND(Q149&gt;R149,Q149&lt;S149),"0",(VLOOKUP(Q149,'ELA Reading Logic'!$A$22:$B$48,2,FALSE))-(IF(VLOOKUP(Q149,'ELA Reading Logic'!$A$22:$B$48,2,FALSE)&lt;=VLOOKUP(R149,'ELA Reading Logic'!$A$22:$B$48,2,FALSE),VLOOKUP(R149,'ELA Reading Logic'!$A$22:$B$48,2,FALSE),IF(VLOOKUP(Q149,'ELA Reading Logic'!$A$22:$B$48,2,FALSE)&gt;=VLOOKUP(S149,'ELA Reading Logic'!$A$22:$B$48,2,FALSE),VLOOKUP(S149,'ELA Reading Logic'!$A$22:$B$48,2,FALSE),"No Score")))),"No Value"))</f>
        <v>No Value</v>
      </c>
      <c r="U149" s="96" t="str">
        <f>IFERROR(VLOOKUP(Q149,'ELA Reading Logic'!$A$22:$B$48,2,FALSE)-VLOOKUP($F149,'ELA Reading Logic'!$A$22:$B$48,2,FALSE),"No Value")</f>
        <v>No Value</v>
      </c>
      <c r="V149" s="92"/>
      <c r="W149" s="96" t="str">
        <f>IFERROR(IF($E149="Yes","IPP",VLOOKUP($J149,'ELA Reading Logic'!$A$3:$K$9,VLOOKUP(V$1,'ELA Reading Logic'!$J$22:$K$31,2,FALSE),FALSE)),"Set Grade")</f>
        <v>Set Grade</v>
      </c>
      <c r="X149" s="96" t="str">
        <f>IFERROR(IF($E149="Yes","IPP",VLOOKUP($J149,'ELA Reading Logic'!$A$13:$K$19,VLOOKUP(V$1,'ELA Reading Logic'!$J$22:$K$31,2,FALSE),FALSE)),"Set Grade")</f>
        <v>Set Grade</v>
      </c>
      <c r="Y149" s="96" t="str">
        <f>IF($E149="Yes","IPP",IFERROR(IF(AND(V149&gt;W149,V149&lt;X149),"0",(VLOOKUP(V149,'ELA Reading Logic'!$A$22:$B$48,2,FALSE))-(IF(VLOOKUP(V149,'ELA Reading Logic'!$A$22:$B$48,2,FALSE)&lt;=VLOOKUP(W149,'ELA Reading Logic'!$A$22:$B$48,2,FALSE),VLOOKUP(W149,'ELA Reading Logic'!$A$22:$B$48,2,FALSE),IF(VLOOKUP(V149,'ELA Reading Logic'!$A$22:$B$48,2,FALSE)&gt;=VLOOKUP(X149,'ELA Reading Logic'!$A$22:$B$48,2,FALSE),VLOOKUP(X149,'ELA Reading Logic'!$A$22:$B$48,2,FALSE),"No Score")))),"No Value"))</f>
        <v>No Value</v>
      </c>
      <c r="Z149" s="96" t="str">
        <f>IFERROR(VLOOKUP(V149,'ELA Reading Logic'!$A$22:$B$48,2,FALSE)-VLOOKUP($F149,'ELA Reading Logic'!$A$22:$B$48,2,FALSE),"No Value")</f>
        <v>No Value</v>
      </c>
      <c r="AA149" s="92"/>
      <c r="AB149" s="96" t="str">
        <f>IFERROR(IF($E149="Yes","IPP",VLOOKUP($J149,'ELA Reading Logic'!$A$3:$K$9,VLOOKUP(AA$1,'ELA Reading Logic'!$J$22:$K$31,2,FALSE),FALSE)),"Set Grade")</f>
        <v>Set Grade</v>
      </c>
      <c r="AC149" s="96" t="str">
        <f>IFERROR(IF($E149="Yes","IPP",VLOOKUP($J149,'ELA Reading Logic'!$A$13:$K$19,VLOOKUP(AA$1,'ELA Reading Logic'!$J$22:$K$31,2,FALSE),FALSE)),"Set Grade")</f>
        <v>Set Grade</v>
      </c>
      <c r="AD149" s="96" t="str">
        <f>IF($E149="Yes","IPP",IFERROR(IF(AND(AA149&gt;AB149,AA149&lt;AC149),"0",(VLOOKUP(AA149,'ELA Reading Logic'!$A$22:$B$48,2,FALSE))-(IF(VLOOKUP(AA149,'ELA Reading Logic'!$A$22:$B$48,2,FALSE)&lt;=VLOOKUP(AB149,'ELA Reading Logic'!$A$22:$B$48,2,FALSE),VLOOKUP(AB149,'ELA Reading Logic'!$A$22:$B$48,2,FALSE),IF(VLOOKUP(AA149,'ELA Reading Logic'!$A$22:$B$48,2,FALSE)&gt;=VLOOKUP(AC149,'ELA Reading Logic'!$A$22:$B$48,2,FALSE),VLOOKUP(AC149,'ELA Reading Logic'!$A$22:$B$48,2,FALSE),"No Score")))),"No Value"))</f>
        <v>No Value</v>
      </c>
      <c r="AE149" s="96" t="str">
        <f>IFERROR(VLOOKUP(AA149,'ELA Reading Logic'!$A$22:$B$48,2,FALSE)-VLOOKUP($F149,'ELA Reading Logic'!$A$22:$B$48,2,FALSE),"No Value")</f>
        <v>No Value</v>
      </c>
      <c r="AF149" s="92"/>
      <c r="AG149" s="96" t="str">
        <f>IFERROR(IF($E149="Yes","IPP",VLOOKUP($J149,'ELA Reading Logic'!$A$3:$K$9,VLOOKUP(AF$1,'ELA Reading Logic'!$J$22:$K$31,2,FALSE),FALSE)),"Set Grade")</f>
        <v>Set Grade</v>
      </c>
      <c r="AH149" s="96" t="str">
        <f>IFERROR(IF($E149="Yes","IPP",VLOOKUP($J149,'ELA Reading Logic'!$A$13:$K$19,VLOOKUP(AF$1,'ELA Reading Logic'!$J$22:$K$31,2,FALSE),FALSE)),"Set Grade")</f>
        <v>Set Grade</v>
      </c>
      <c r="AI149" s="96" t="str">
        <f>IF($E149="Yes","IPP",IFERROR(IF(AND(AF149&gt;AG149,AF149&lt;AH149),"0",(VLOOKUP(AF149,'ELA Reading Logic'!$A$22:$B$48,2,FALSE))-(IF(VLOOKUP(AF149,'ELA Reading Logic'!$A$22:$B$48,2,FALSE)&lt;=VLOOKUP(AG149,'ELA Reading Logic'!$A$22:$B$48,2,FALSE),VLOOKUP(AG149,'ELA Reading Logic'!$A$22:$B$48,2,FALSE),IF(VLOOKUP(AF149,'ELA Reading Logic'!$A$22:$B$48,2,FALSE)&gt;=VLOOKUP(AH149,'ELA Reading Logic'!$A$22:$B$48,2,FALSE),VLOOKUP(AH149,'ELA Reading Logic'!$A$22:$B$48,2,FALSE),"No Score")))),"No Value"))</f>
        <v>No Value</v>
      </c>
      <c r="AJ149" s="96" t="str">
        <f>IFERROR(VLOOKUP(AF149,'ELA Reading Logic'!$A$22:$B$48,2,FALSE)-VLOOKUP($F149,'ELA Reading Logic'!$A$22:$B$48,2,FALSE),"No Value")</f>
        <v>No Value</v>
      </c>
      <c r="AK149" s="92"/>
      <c r="AL149" s="96" t="str">
        <f>IFERROR(IF($E149="Yes","IPP",VLOOKUP($J149,'ELA Reading Logic'!$A$3:$K$9,VLOOKUP(AK$1,'ELA Reading Logic'!$J$22:$K$31,2,FALSE),FALSE)),"Set Grade")</f>
        <v>Set Grade</v>
      </c>
      <c r="AM149" s="96" t="str">
        <f>IFERROR(IF($E149="Yes","IPP",VLOOKUP($J149,'ELA Reading Logic'!$A$13:$K$19,VLOOKUP(AK$1,'ELA Reading Logic'!$J$22:$K$31,2,FALSE),FALSE)),"Set Grade")</f>
        <v>Set Grade</v>
      </c>
      <c r="AN149" s="96" t="str">
        <f>IF($E149="Yes","IPP",IFERROR(IF(AND(AK149&gt;AL149,AK149&lt;AM149),"0",(VLOOKUP(AK149,'ELA Reading Logic'!$A$22:$B$48,2,FALSE))-(IF(VLOOKUP(AK149,'ELA Reading Logic'!$A$22:$B$48,2,FALSE)&lt;=VLOOKUP(AL149,'ELA Reading Logic'!$A$22:$B$48,2,FALSE),VLOOKUP(AL149,'ELA Reading Logic'!$A$22:$B$48,2,FALSE),IF(VLOOKUP(AK149,'ELA Reading Logic'!$A$22:$B$48,2,FALSE)&gt;=VLOOKUP(AM149,'ELA Reading Logic'!$A$22:$B$48,2,FALSE),VLOOKUP(AM149,'ELA Reading Logic'!$A$22:$B$48,2,FALSE),"No Score")))),"No Value"))</f>
        <v>No Value</v>
      </c>
      <c r="AO149" s="96" t="str">
        <f>IFERROR(VLOOKUP(AK149,'ELA Reading Logic'!$A$22:$B$48,2,FALSE)-VLOOKUP($F149,'ELA Reading Logic'!$A$22:$B$48,2,FALSE),"No Value")</f>
        <v>No Value</v>
      </c>
      <c r="AP149" s="92"/>
      <c r="AQ149" s="96" t="str">
        <f>IFERROR(IF($E149="Yes","IPP",VLOOKUP($J149,'ELA Reading Logic'!$A$3:$K$9,VLOOKUP(AP$1,'ELA Reading Logic'!$J$22:$K$31,2,FALSE),FALSE)),"Set Grade")</f>
        <v>Set Grade</v>
      </c>
      <c r="AR149" s="96" t="str">
        <f>IFERROR(IF($E149="Yes","IPP",VLOOKUP($J149,'ELA Reading Logic'!$A$13:$K$19,VLOOKUP(AP$1,'ELA Reading Logic'!$J$22:$K$31,2,FALSE),FALSE)),"Set Grade")</f>
        <v>Set Grade</v>
      </c>
      <c r="AS149" s="96" t="str">
        <f>IF($E149="Yes","IPP",IFERROR(IF(AND(AP149&gt;AQ149,AP149&lt;AR149),"0",(VLOOKUP(AP149,'ELA Reading Logic'!$A$22:$B$48,2,FALSE))-(IF(VLOOKUP(AP149,'ELA Reading Logic'!$A$22:$B$48,2,FALSE)&lt;=VLOOKUP(AQ149,'ELA Reading Logic'!$A$22:$B$48,2,FALSE),VLOOKUP(AQ149,'ELA Reading Logic'!$A$22:$B$48,2,FALSE),IF(VLOOKUP(AP149,'ELA Reading Logic'!$A$22:$B$48,2,FALSE)&gt;=VLOOKUP(AR149,'ELA Reading Logic'!$A$22:$B$48,2,FALSE),VLOOKUP(AR149,'ELA Reading Logic'!$A$22:$B$48,2,FALSE),"No Score")))),"No Value"))</f>
        <v>No Value</v>
      </c>
      <c r="AT149" s="96" t="str">
        <f>IFERROR(VLOOKUP(AP149,'ELA Reading Logic'!$A$22:$B$48,2,FALSE)-VLOOKUP($F149,'ELA Reading Logic'!$A$22:$B$48,2,FALSE),"No Value")</f>
        <v>No Value</v>
      </c>
    </row>
    <row r="150" spans="1:46" ht="22.5" customHeight="1" x14ac:dyDescent="0.25">
      <c r="A150" s="174"/>
      <c r="B150" s="174"/>
      <c r="C150" s="174"/>
      <c r="D150" s="174"/>
      <c r="E150" s="175"/>
      <c r="F150" s="175"/>
      <c r="G150" s="177" t="str">
        <f>IFERROR(IF($E150="Yes","IPP",VLOOKUP($J150,'ELA Reading Logic'!$A$3:$K$9,VLOOKUP("September",'ELA Reading Logic'!$J$22:$K$31,2,FALSE),FALSE)),"Set Grade")</f>
        <v>Set Grade</v>
      </c>
      <c r="H150" s="177" t="str">
        <f>IFERROR(IF($E150="Yes","IPP",VLOOKUP($J150,'ELA Reading Logic'!$A$13:$K$19,VLOOKUP("September",'ELA Reading Logic'!$J$22:$K$31,2,FALSE),FALSE)),"Set Grade")</f>
        <v>Set Grade</v>
      </c>
      <c r="I150" s="96" t="str">
        <f>IF($E150="Yes","IPP",IFERROR(IF(AND(F150&gt;G150,F150&lt;H150),"0",(VLOOKUP(F150,'ELA Reading Logic'!$A$22:$B$48,2,FALSE))-(IF(VLOOKUP(F150,'ELA Reading Logic'!$A$22:$B$48,2,FALSE)&lt;=VLOOKUP(G150,'ELA Reading Logic'!$A$22:$B$48,2,FALSE),VLOOKUP(G150,'ELA Reading Logic'!$A$22:$B$48,2,FALSE),IF(VLOOKUP(F150,'ELA Reading Logic'!$A$22:$B$48,2,FALSE)&gt;=VLOOKUP(H150,'ELA Reading Logic'!$A$22:$B$48,2,FALSE),VLOOKUP(H150,'ELA Reading Logic'!$A$22:$B$48,2,FALSE),"No Score")))),"No Value"))</f>
        <v>No Value</v>
      </c>
      <c r="J150" s="178"/>
      <c r="K150" s="96"/>
      <c r="L150" s="96"/>
      <c r="M150" s="96"/>
      <c r="N150" s="96"/>
      <c r="O150" s="96"/>
      <c r="P150" s="105"/>
      <c r="Q150" s="92"/>
      <c r="R150" s="96" t="str">
        <f>IFERROR(IF($E150="Yes","IPP",VLOOKUP($J150,'ELA Reading Logic'!$A$3:$K$9,VLOOKUP(Q$1,'ELA Reading Logic'!$J$22:$K$31,2,FALSE),FALSE)),"Set Grade")</f>
        <v>Set Grade</v>
      </c>
      <c r="S150" s="96" t="str">
        <f>IFERROR(IF($E150="Yes","IPP",VLOOKUP($J150,'ELA Reading Logic'!$A$13:$K$19,VLOOKUP(Q$1,'ELA Reading Logic'!$J$22:$K$31,2,FALSE),FALSE)),"Set Grade")</f>
        <v>Set Grade</v>
      </c>
      <c r="T150" s="96" t="str">
        <f>IF($E150="Yes","IPP",IFERROR(IF(AND(Q150&gt;R150,Q150&lt;S150),"0",(VLOOKUP(Q150,'ELA Reading Logic'!$A$22:$B$48,2,FALSE))-(IF(VLOOKUP(Q150,'ELA Reading Logic'!$A$22:$B$48,2,FALSE)&lt;=VLOOKUP(R150,'ELA Reading Logic'!$A$22:$B$48,2,FALSE),VLOOKUP(R150,'ELA Reading Logic'!$A$22:$B$48,2,FALSE),IF(VLOOKUP(Q150,'ELA Reading Logic'!$A$22:$B$48,2,FALSE)&gt;=VLOOKUP(S150,'ELA Reading Logic'!$A$22:$B$48,2,FALSE),VLOOKUP(S150,'ELA Reading Logic'!$A$22:$B$48,2,FALSE),"No Score")))),"No Value"))</f>
        <v>No Value</v>
      </c>
      <c r="U150" s="96" t="str">
        <f>IFERROR(VLOOKUP(Q150,'ELA Reading Logic'!$A$22:$B$48,2,FALSE)-VLOOKUP($F150,'ELA Reading Logic'!$A$22:$B$48,2,FALSE),"No Value")</f>
        <v>No Value</v>
      </c>
      <c r="V150" s="92"/>
      <c r="W150" s="96" t="str">
        <f>IFERROR(IF($E150="Yes","IPP",VLOOKUP($J150,'ELA Reading Logic'!$A$3:$K$9,VLOOKUP(V$1,'ELA Reading Logic'!$J$22:$K$31,2,FALSE),FALSE)),"Set Grade")</f>
        <v>Set Grade</v>
      </c>
      <c r="X150" s="96" t="str">
        <f>IFERROR(IF($E150="Yes","IPP",VLOOKUP($J150,'ELA Reading Logic'!$A$13:$K$19,VLOOKUP(V$1,'ELA Reading Logic'!$J$22:$K$31,2,FALSE),FALSE)),"Set Grade")</f>
        <v>Set Grade</v>
      </c>
      <c r="Y150" s="96" t="str">
        <f>IF($E150="Yes","IPP",IFERROR(IF(AND(V150&gt;W150,V150&lt;X150),"0",(VLOOKUP(V150,'ELA Reading Logic'!$A$22:$B$48,2,FALSE))-(IF(VLOOKUP(V150,'ELA Reading Logic'!$A$22:$B$48,2,FALSE)&lt;=VLOOKUP(W150,'ELA Reading Logic'!$A$22:$B$48,2,FALSE),VLOOKUP(W150,'ELA Reading Logic'!$A$22:$B$48,2,FALSE),IF(VLOOKUP(V150,'ELA Reading Logic'!$A$22:$B$48,2,FALSE)&gt;=VLOOKUP(X150,'ELA Reading Logic'!$A$22:$B$48,2,FALSE),VLOOKUP(X150,'ELA Reading Logic'!$A$22:$B$48,2,FALSE),"No Score")))),"No Value"))</f>
        <v>No Value</v>
      </c>
      <c r="Z150" s="96" t="str">
        <f>IFERROR(VLOOKUP(V150,'ELA Reading Logic'!$A$22:$B$48,2,FALSE)-VLOOKUP($F150,'ELA Reading Logic'!$A$22:$B$48,2,FALSE),"No Value")</f>
        <v>No Value</v>
      </c>
      <c r="AA150" s="92"/>
      <c r="AB150" s="96" t="str">
        <f>IFERROR(IF($E150="Yes","IPP",VLOOKUP($J150,'ELA Reading Logic'!$A$3:$K$9,VLOOKUP(AA$1,'ELA Reading Logic'!$J$22:$K$31,2,FALSE),FALSE)),"Set Grade")</f>
        <v>Set Grade</v>
      </c>
      <c r="AC150" s="96" t="str">
        <f>IFERROR(IF($E150="Yes","IPP",VLOOKUP($J150,'ELA Reading Logic'!$A$13:$K$19,VLOOKUP(AA$1,'ELA Reading Logic'!$J$22:$K$31,2,FALSE),FALSE)),"Set Grade")</f>
        <v>Set Grade</v>
      </c>
      <c r="AD150" s="96" t="str">
        <f>IF($E150="Yes","IPP",IFERROR(IF(AND(AA150&gt;AB150,AA150&lt;AC150),"0",(VLOOKUP(AA150,'ELA Reading Logic'!$A$22:$B$48,2,FALSE))-(IF(VLOOKUP(AA150,'ELA Reading Logic'!$A$22:$B$48,2,FALSE)&lt;=VLOOKUP(AB150,'ELA Reading Logic'!$A$22:$B$48,2,FALSE),VLOOKUP(AB150,'ELA Reading Logic'!$A$22:$B$48,2,FALSE),IF(VLOOKUP(AA150,'ELA Reading Logic'!$A$22:$B$48,2,FALSE)&gt;=VLOOKUP(AC150,'ELA Reading Logic'!$A$22:$B$48,2,FALSE),VLOOKUP(AC150,'ELA Reading Logic'!$A$22:$B$48,2,FALSE),"No Score")))),"No Value"))</f>
        <v>No Value</v>
      </c>
      <c r="AE150" s="96" t="str">
        <f>IFERROR(VLOOKUP(AA150,'ELA Reading Logic'!$A$22:$B$48,2,FALSE)-VLOOKUP($F150,'ELA Reading Logic'!$A$22:$B$48,2,FALSE),"No Value")</f>
        <v>No Value</v>
      </c>
      <c r="AF150" s="92"/>
      <c r="AG150" s="96" t="str">
        <f>IFERROR(IF($E150="Yes","IPP",VLOOKUP($J150,'ELA Reading Logic'!$A$3:$K$9,VLOOKUP(AF$1,'ELA Reading Logic'!$J$22:$K$31,2,FALSE),FALSE)),"Set Grade")</f>
        <v>Set Grade</v>
      </c>
      <c r="AH150" s="96" t="str">
        <f>IFERROR(IF($E150="Yes","IPP",VLOOKUP($J150,'ELA Reading Logic'!$A$13:$K$19,VLOOKUP(AF$1,'ELA Reading Logic'!$J$22:$K$31,2,FALSE),FALSE)),"Set Grade")</f>
        <v>Set Grade</v>
      </c>
      <c r="AI150" s="96" t="str">
        <f>IF($E150="Yes","IPP",IFERROR(IF(AND(AF150&gt;AG150,AF150&lt;AH150),"0",(VLOOKUP(AF150,'ELA Reading Logic'!$A$22:$B$48,2,FALSE))-(IF(VLOOKUP(AF150,'ELA Reading Logic'!$A$22:$B$48,2,FALSE)&lt;=VLOOKUP(AG150,'ELA Reading Logic'!$A$22:$B$48,2,FALSE),VLOOKUP(AG150,'ELA Reading Logic'!$A$22:$B$48,2,FALSE),IF(VLOOKUP(AF150,'ELA Reading Logic'!$A$22:$B$48,2,FALSE)&gt;=VLOOKUP(AH150,'ELA Reading Logic'!$A$22:$B$48,2,FALSE),VLOOKUP(AH150,'ELA Reading Logic'!$A$22:$B$48,2,FALSE),"No Score")))),"No Value"))</f>
        <v>No Value</v>
      </c>
      <c r="AJ150" s="96" t="str">
        <f>IFERROR(VLOOKUP(AF150,'ELA Reading Logic'!$A$22:$B$48,2,FALSE)-VLOOKUP($F150,'ELA Reading Logic'!$A$22:$B$48,2,FALSE),"No Value")</f>
        <v>No Value</v>
      </c>
      <c r="AK150" s="92"/>
      <c r="AL150" s="96" t="str">
        <f>IFERROR(IF($E150="Yes","IPP",VLOOKUP($J150,'ELA Reading Logic'!$A$3:$K$9,VLOOKUP(AK$1,'ELA Reading Logic'!$J$22:$K$31,2,FALSE),FALSE)),"Set Grade")</f>
        <v>Set Grade</v>
      </c>
      <c r="AM150" s="96" t="str">
        <f>IFERROR(IF($E150="Yes","IPP",VLOOKUP($J150,'ELA Reading Logic'!$A$13:$K$19,VLOOKUP(AK$1,'ELA Reading Logic'!$J$22:$K$31,2,FALSE),FALSE)),"Set Grade")</f>
        <v>Set Grade</v>
      </c>
      <c r="AN150" s="96" t="str">
        <f>IF($E150="Yes","IPP",IFERROR(IF(AND(AK150&gt;AL150,AK150&lt;AM150),"0",(VLOOKUP(AK150,'ELA Reading Logic'!$A$22:$B$48,2,FALSE))-(IF(VLOOKUP(AK150,'ELA Reading Logic'!$A$22:$B$48,2,FALSE)&lt;=VLOOKUP(AL150,'ELA Reading Logic'!$A$22:$B$48,2,FALSE),VLOOKUP(AL150,'ELA Reading Logic'!$A$22:$B$48,2,FALSE),IF(VLOOKUP(AK150,'ELA Reading Logic'!$A$22:$B$48,2,FALSE)&gt;=VLOOKUP(AM150,'ELA Reading Logic'!$A$22:$B$48,2,FALSE),VLOOKUP(AM150,'ELA Reading Logic'!$A$22:$B$48,2,FALSE),"No Score")))),"No Value"))</f>
        <v>No Value</v>
      </c>
      <c r="AO150" s="96" t="str">
        <f>IFERROR(VLOOKUP(AK150,'ELA Reading Logic'!$A$22:$B$48,2,FALSE)-VLOOKUP($F150,'ELA Reading Logic'!$A$22:$B$48,2,FALSE),"No Value")</f>
        <v>No Value</v>
      </c>
      <c r="AP150" s="92"/>
      <c r="AQ150" s="96" t="str">
        <f>IFERROR(IF($E150="Yes","IPP",VLOOKUP($J150,'ELA Reading Logic'!$A$3:$K$9,VLOOKUP(AP$1,'ELA Reading Logic'!$J$22:$K$31,2,FALSE),FALSE)),"Set Grade")</f>
        <v>Set Grade</v>
      </c>
      <c r="AR150" s="96" t="str">
        <f>IFERROR(IF($E150="Yes","IPP",VLOOKUP($J150,'ELA Reading Logic'!$A$13:$K$19,VLOOKUP(AP$1,'ELA Reading Logic'!$J$22:$K$31,2,FALSE),FALSE)),"Set Grade")</f>
        <v>Set Grade</v>
      </c>
      <c r="AS150" s="96" t="str">
        <f>IF($E150="Yes","IPP",IFERROR(IF(AND(AP150&gt;AQ150,AP150&lt;AR150),"0",(VLOOKUP(AP150,'ELA Reading Logic'!$A$22:$B$48,2,FALSE))-(IF(VLOOKUP(AP150,'ELA Reading Logic'!$A$22:$B$48,2,FALSE)&lt;=VLOOKUP(AQ150,'ELA Reading Logic'!$A$22:$B$48,2,FALSE),VLOOKUP(AQ150,'ELA Reading Logic'!$A$22:$B$48,2,FALSE),IF(VLOOKUP(AP150,'ELA Reading Logic'!$A$22:$B$48,2,FALSE)&gt;=VLOOKUP(AR150,'ELA Reading Logic'!$A$22:$B$48,2,FALSE),VLOOKUP(AR150,'ELA Reading Logic'!$A$22:$B$48,2,FALSE),"No Score")))),"No Value"))</f>
        <v>No Value</v>
      </c>
      <c r="AT150" s="96" t="str">
        <f>IFERROR(VLOOKUP(AP150,'ELA Reading Logic'!$A$22:$B$48,2,FALSE)-VLOOKUP($F150,'ELA Reading Logic'!$A$22:$B$48,2,FALSE),"No Value")</f>
        <v>No Value</v>
      </c>
    </row>
    <row r="151" spans="1:46" ht="22.5" customHeight="1" x14ac:dyDescent="0.25">
      <c r="A151" s="176"/>
      <c r="B151" s="176"/>
      <c r="C151" s="176"/>
      <c r="D151" s="176"/>
      <c r="E151" s="175"/>
      <c r="F151" s="175"/>
      <c r="G151" s="177" t="str">
        <f>IFERROR(IF($E151="Yes","IPP",VLOOKUP($J151,'ELA Reading Logic'!$A$3:$K$9,VLOOKUP("September",'ELA Reading Logic'!$J$22:$K$31,2,FALSE),FALSE)),"Set Grade")</f>
        <v>Set Grade</v>
      </c>
      <c r="H151" s="177" t="str">
        <f>IFERROR(IF($E151="Yes","IPP",VLOOKUP($J151,'ELA Reading Logic'!$A$13:$K$19,VLOOKUP("September",'ELA Reading Logic'!$J$22:$K$31,2,FALSE),FALSE)),"Set Grade")</f>
        <v>Set Grade</v>
      </c>
      <c r="I151" s="96" t="str">
        <f>IF($E151="Yes","IPP",IFERROR(IF(AND(F151&gt;G151,F151&lt;H151),"0",(VLOOKUP(F151,'ELA Reading Logic'!$A$22:$B$48,2,FALSE))-(IF(VLOOKUP(F151,'ELA Reading Logic'!$A$22:$B$48,2,FALSE)&lt;=VLOOKUP(G151,'ELA Reading Logic'!$A$22:$B$48,2,FALSE),VLOOKUP(G151,'ELA Reading Logic'!$A$22:$B$48,2,FALSE),IF(VLOOKUP(F151,'ELA Reading Logic'!$A$22:$B$48,2,FALSE)&gt;=VLOOKUP(H151,'ELA Reading Logic'!$A$22:$B$48,2,FALSE),VLOOKUP(H151,'ELA Reading Logic'!$A$22:$B$48,2,FALSE),"No Score")))),"No Value"))</f>
        <v>No Value</v>
      </c>
      <c r="J151" s="178"/>
      <c r="K151" s="96"/>
      <c r="L151" s="96"/>
      <c r="M151" s="96"/>
      <c r="N151" s="96"/>
      <c r="O151" s="96"/>
      <c r="P151" s="105"/>
      <c r="Q151" s="92"/>
      <c r="R151" s="96" t="str">
        <f>IFERROR(IF($E151="Yes","IPP",VLOOKUP($J151,'ELA Reading Logic'!$A$3:$K$9,VLOOKUP(Q$1,'ELA Reading Logic'!$J$22:$K$31,2,FALSE),FALSE)),"Set Grade")</f>
        <v>Set Grade</v>
      </c>
      <c r="S151" s="96" t="str">
        <f>IFERROR(IF($E151="Yes","IPP",VLOOKUP($J151,'ELA Reading Logic'!$A$13:$K$19,VLOOKUP(Q$1,'ELA Reading Logic'!$J$22:$K$31,2,FALSE),FALSE)),"Set Grade")</f>
        <v>Set Grade</v>
      </c>
      <c r="T151" s="96" t="str">
        <f>IF($E151="Yes","IPP",IFERROR(IF(AND(Q151&gt;R151,Q151&lt;S151),"0",(VLOOKUP(Q151,'ELA Reading Logic'!$A$22:$B$48,2,FALSE))-(IF(VLOOKUP(Q151,'ELA Reading Logic'!$A$22:$B$48,2,FALSE)&lt;=VLOOKUP(R151,'ELA Reading Logic'!$A$22:$B$48,2,FALSE),VLOOKUP(R151,'ELA Reading Logic'!$A$22:$B$48,2,FALSE),IF(VLOOKUP(Q151,'ELA Reading Logic'!$A$22:$B$48,2,FALSE)&gt;=VLOOKUP(S151,'ELA Reading Logic'!$A$22:$B$48,2,FALSE),VLOOKUP(S151,'ELA Reading Logic'!$A$22:$B$48,2,FALSE),"No Score")))),"No Value"))</f>
        <v>No Value</v>
      </c>
      <c r="U151" s="96" t="str">
        <f>IFERROR(VLOOKUP(Q151,'ELA Reading Logic'!$A$22:$B$48,2,FALSE)-VLOOKUP($F151,'ELA Reading Logic'!$A$22:$B$48,2,FALSE),"No Value")</f>
        <v>No Value</v>
      </c>
      <c r="V151" s="92"/>
      <c r="W151" s="96" t="str">
        <f>IFERROR(IF($E151="Yes","IPP",VLOOKUP($J151,'ELA Reading Logic'!$A$3:$K$9,VLOOKUP(V$1,'ELA Reading Logic'!$J$22:$K$31,2,FALSE),FALSE)),"Set Grade")</f>
        <v>Set Grade</v>
      </c>
      <c r="X151" s="96" t="str">
        <f>IFERROR(IF($E151="Yes","IPP",VLOOKUP($J151,'ELA Reading Logic'!$A$13:$K$19,VLOOKUP(V$1,'ELA Reading Logic'!$J$22:$K$31,2,FALSE),FALSE)),"Set Grade")</f>
        <v>Set Grade</v>
      </c>
      <c r="Y151" s="96" t="str">
        <f>IF($E151="Yes","IPP",IFERROR(IF(AND(V151&gt;W151,V151&lt;X151),"0",(VLOOKUP(V151,'ELA Reading Logic'!$A$22:$B$48,2,FALSE))-(IF(VLOOKUP(V151,'ELA Reading Logic'!$A$22:$B$48,2,FALSE)&lt;=VLOOKUP(W151,'ELA Reading Logic'!$A$22:$B$48,2,FALSE),VLOOKUP(W151,'ELA Reading Logic'!$A$22:$B$48,2,FALSE),IF(VLOOKUP(V151,'ELA Reading Logic'!$A$22:$B$48,2,FALSE)&gt;=VLOOKUP(X151,'ELA Reading Logic'!$A$22:$B$48,2,FALSE),VLOOKUP(X151,'ELA Reading Logic'!$A$22:$B$48,2,FALSE),"No Score")))),"No Value"))</f>
        <v>No Value</v>
      </c>
      <c r="Z151" s="96" t="str">
        <f>IFERROR(VLOOKUP(V151,'ELA Reading Logic'!$A$22:$B$48,2,FALSE)-VLOOKUP($F151,'ELA Reading Logic'!$A$22:$B$48,2,FALSE),"No Value")</f>
        <v>No Value</v>
      </c>
      <c r="AA151" s="92"/>
      <c r="AB151" s="96" t="str">
        <f>IFERROR(IF($E151="Yes","IPP",VLOOKUP($J151,'ELA Reading Logic'!$A$3:$K$9,VLOOKUP(AA$1,'ELA Reading Logic'!$J$22:$K$31,2,FALSE),FALSE)),"Set Grade")</f>
        <v>Set Grade</v>
      </c>
      <c r="AC151" s="96" t="str">
        <f>IFERROR(IF($E151="Yes","IPP",VLOOKUP($J151,'ELA Reading Logic'!$A$13:$K$19,VLOOKUP(AA$1,'ELA Reading Logic'!$J$22:$K$31,2,FALSE),FALSE)),"Set Grade")</f>
        <v>Set Grade</v>
      </c>
      <c r="AD151" s="96" t="str">
        <f>IF($E151="Yes","IPP",IFERROR(IF(AND(AA151&gt;AB151,AA151&lt;AC151),"0",(VLOOKUP(AA151,'ELA Reading Logic'!$A$22:$B$48,2,FALSE))-(IF(VLOOKUP(AA151,'ELA Reading Logic'!$A$22:$B$48,2,FALSE)&lt;=VLOOKUP(AB151,'ELA Reading Logic'!$A$22:$B$48,2,FALSE),VLOOKUP(AB151,'ELA Reading Logic'!$A$22:$B$48,2,FALSE),IF(VLOOKUP(AA151,'ELA Reading Logic'!$A$22:$B$48,2,FALSE)&gt;=VLOOKUP(AC151,'ELA Reading Logic'!$A$22:$B$48,2,FALSE),VLOOKUP(AC151,'ELA Reading Logic'!$A$22:$B$48,2,FALSE),"No Score")))),"No Value"))</f>
        <v>No Value</v>
      </c>
      <c r="AE151" s="96" t="str">
        <f>IFERROR(VLOOKUP(AA151,'ELA Reading Logic'!$A$22:$B$48,2,FALSE)-VLOOKUP($F151,'ELA Reading Logic'!$A$22:$B$48,2,FALSE),"No Value")</f>
        <v>No Value</v>
      </c>
      <c r="AF151" s="92"/>
      <c r="AG151" s="96" t="str">
        <f>IFERROR(IF($E151="Yes","IPP",VLOOKUP($J151,'ELA Reading Logic'!$A$3:$K$9,VLOOKUP(AF$1,'ELA Reading Logic'!$J$22:$K$31,2,FALSE),FALSE)),"Set Grade")</f>
        <v>Set Grade</v>
      </c>
      <c r="AH151" s="96" t="str">
        <f>IFERROR(IF($E151="Yes","IPP",VLOOKUP($J151,'ELA Reading Logic'!$A$13:$K$19,VLOOKUP(AF$1,'ELA Reading Logic'!$J$22:$K$31,2,FALSE),FALSE)),"Set Grade")</f>
        <v>Set Grade</v>
      </c>
      <c r="AI151" s="96" t="str">
        <f>IF($E151="Yes","IPP",IFERROR(IF(AND(AF151&gt;AG151,AF151&lt;AH151),"0",(VLOOKUP(AF151,'ELA Reading Logic'!$A$22:$B$48,2,FALSE))-(IF(VLOOKUP(AF151,'ELA Reading Logic'!$A$22:$B$48,2,FALSE)&lt;=VLOOKUP(AG151,'ELA Reading Logic'!$A$22:$B$48,2,FALSE),VLOOKUP(AG151,'ELA Reading Logic'!$A$22:$B$48,2,FALSE),IF(VLOOKUP(AF151,'ELA Reading Logic'!$A$22:$B$48,2,FALSE)&gt;=VLOOKUP(AH151,'ELA Reading Logic'!$A$22:$B$48,2,FALSE),VLOOKUP(AH151,'ELA Reading Logic'!$A$22:$B$48,2,FALSE),"No Score")))),"No Value"))</f>
        <v>No Value</v>
      </c>
      <c r="AJ151" s="96" t="str">
        <f>IFERROR(VLOOKUP(AF151,'ELA Reading Logic'!$A$22:$B$48,2,FALSE)-VLOOKUP($F151,'ELA Reading Logic'!$A$22:$B$48,2,FALSE),"No Value")</f>
        <v>No Value</v>
      </c>
      <c r="AK151" s="92"/>
      <c r="AL151" s="96" t="str">
        <f>IFERROR(IF($E151="Yes","IPP",VLOOKUP($J151,'ELA Reading Logic'!$A$3:$K$9,VLOOKUP(AK$1,'ELA Reading Logic'!$J$22:$K$31,2,FALSE),FALSE)),"Set Grade")</f>
        <v>Set Grade</v>
      </c>
      <c r="AM151" s="96" t="str">
        <f>IFERROR(IF($E151="Yes","IPP",VLOOKUP($J151,'ELA Reading Logic'!$A$13:$K$19,VLOOKUP(AK$1,'ELA Reading Logic'!$J$22:$K$31,2,FALSE),FALSE)),"Set Grade")</f>
        <v>Set Grade</v>
      </c>
      <c r="AN151" s="96" t="str">
        <f>IF($E151="Yes","IPP",IFERROR(IF(AND(AK151&gt;AL151,AK151&lt;AM151),"0",(VLOOKUP(AK151,'ELA Reading Logic'!$A$22:$B$48,2,FALSE))-(IF(VLOOKUP(AK151,'ELA Reading Logic'!$A$22:$B$48,2,FALSE)&lt;=VLOOKUP(AL151,'ELA Reading Logic'!$A$22:$B$48,2,FALSE),VLOOKUP(AL151,'ELA Reading Logic'!$A$22:$B$48,2,FALSE),IF(VLOOKUP(AK151,'ELA Reading Logic'!$A$22:$B$48,2,FALSE)&gt;=VLOOKUP(AM151,'ELA Reading Logic'!$A$22:$B$48,2,FALSE),VLOOKUP(AM151,'ELA Reading Logic'!$A$22:$B$48,2,FALSE),"No Score")))),"No Value"))</f>
        <v>No Value</v>
      </c>
      <c r="AO151" s="96" t="str">
        <f>IFERROR(VLOOKUP(AK151,'ELA Reading Logic'!$A$22:$B$48,2,FALSE)-VLOOKUP($F151,'ELA Reading Logic'!$A$22:$B$48,2,FALSE),"No Value")</f>
        <v>No Value</v>
      </c>
      <c r="AP151" s="92"/>
      <c r="AQ151" s="96" t="str">
        <f>IFERROR(IF($E151="Yes","IPP",VLOOKUP($J151,'ELA Reading Logic'!$A$3:$K$9,VLOOKUP(AP$1,'ELA Reading Logic'!$J$22:$K$31,2,FALSE),FALSE)),"Set Grade")</f>
        <v>Set Grade</v>
      </c>
      <c r="AR151" s="96" t="str">
        <f>IFERROR(IF($E151="Yes","IPP",VLOOKUP($J151,'ELA Reading Logic'!$A$13:$K$19,VLOOKUP(AP$1,'ELA Reading Logic'!$J$22:$K$31,2,FALSE),FALSE)),"Set Grade")</f>
        <v>Set Grade</v>
      </c>
      <c r="AS151" s="96" t="str">
        <f>IF($E151="Yes","IPP",IFERROR(IF(AND(AP151&gt;AQ151,AP151&lt;AR151),"0",(VLOOKUP(AP151,'ELA Reading Logic'!$A$22:$B$48,2,FALSE))-(IF(VLOOKUP(AP151,'ELA Reading Logic'!$A$22:$B$48,2,FALSE)&lt;=VLOOKUP(AQ151,'ELA Reading Logic'!$A$22:$B$48,2,FALSE),VLOOKUP(AQ151,'ELA Reading Logic'!$A$22:$B$48,2,FALSE),IF(VLOOKUP(AP151,'ELA Reading Logic'!$A$22:$B$48,2,FALSE)&gt;=VLOOKUP(AR151,'ELA Reading Logic'!$A$22:$B$48,2,FALSE),VLOOKUP(AR151,'ELA Reading Logic'!$A$22:$B$48,2,FALSE),"No Score")))),"No Value"))</f>
        <v>No Value</v>
      </c>
      <c r="AT151" s="96" t="str">
        <f>IFERROR(VLOOKUP(AP151,'ELA Reading Logic'!$A$22:$B$48,2,FALSE)-VLOOKUP($F151,'ELA Reading Logic'!$A$22:$B$48,2,FALSE),"No Value")</f>
        <v>No Value</v>
      </c>
    </row>
    <row r="152" spans="1:46" ht="22.5" customHeight="1" x14ac:dyDescent="0.25">
      <c r="A152" s="174"/>
      <c r="B152" s="174"/>
      <c r="C152" s="174"/>
      <c r="D152" s="174"/>
      <c r="E152" s="175"/>
      <c r="F152" s="175"/>
      <c r="G152" s="177" t="str">
        <f>IFERROR(IF($E152="Yes","IPP",VLOOKUP($J152,'ELA Reading Logic'!$A$3:$K$9,VLOOKUP("September",'ELA Reading Logic'!$J$22:$K$31,2,FALSE),FALSE)),"Set Grade")</f>
        <v>Set Grade</v>
      </c>
      <c r="H152" s="177" t="str">
        <f>IFERROR(IF($E152="Yes","IPP",VLOOKUP($J152,'ELA Reading Logic'!$A$13:$K$19,VLOOKUP("September",'ELA Reading Logic'!$J$22:$K$31,2,FALSE),FALSE)),"Set Grade")</f>
        <v>Set Grade</v>
      </c>
      <c r="I152" s="96" t="str">
        <f>IF($E152="Yes","IPP",IFERROR(IF(AND(F152&gt;G152,F152&lt;H152),"0",(VLOOKUP(F152,'ELA Reading Logic'!$A$22:$B$48,2,FALSE))-(IF(VLOOKUP(F152,'ELA Reading Logic'!$A$22:$B$48,2,FALSE)&lt;=VLOOKUP(G152,'ELA Reading Logic'!$A$22:$B$48,2,FALSE),VLOOKUP(G152,'ELA Reading Logic'!$A$22:$B$48,2,FALSE),IF(VLOOKUP(F152,'ELA Reading Logic'!$A$22:$B$48,2,FALSE)&gt;=VLOOKUP(H152,'ELA Reading Logic'!$A$22:$B$48,2,FALSE),VLOOKUP(H152,'ELA Reading Logic'!$A$22:$B$48,2,FALSE),"No Score")))),"No Value"))</f>
        <v>No Value</v>
      </c>
      <c r="J152" s="178"/>
      <c r="K152" s="96"/>
      <c r="L152" s="96"/>
      <c r="M152" s="96"/>
      <c r="N152" s="96"/>
      <c r="O152" s="96"/>
      <c r="P152" s="105"/>
      <c r="Q152" s="92"/>
      <c r="R152" s="96" t="str">
        <f>IFERROR(IF($E152="Yes","IPP",VLOOKUP($J152,'ELA Reading Logic'!$A$3:$K$9,VLOOKUP(Q$1,'ELA Reading Logic'!$J$22:$K$31,2,FALSE),FALSE)),"Set Grade")</f>
        <v>Set Grade</v>
      </c>
      <c r="S152" s="96" t="str">
        <f>IFERROR(IF($E152="Yes","IPP",VLOOKUP($J152,'ELA Reading Logic'!$A$13:$K$19,VLOOKUP(Q$1,'ELA Reading Logic'!$J$22:$K$31,2,FALSE),FALSE)),"Set Grade")</f>
        <v>Set Grade</v>
      </c>
      <c r="T152" s="96" t="str">
        <f>IF($E152="Yes","IPP",IFERROR(IF(AND(Q152&gt;R152,Q152&lt;S152),"0",(VLOOKUP(Q152,'ELA Reading Logic'!$A$22:$B$48,2,FALSE))-(IF(VLOOKUP(Q152,'ELA Reading Logic'!$A$22:$B$48,2,FALSE)&lt;=VLOOKUP(R152,'ELA Reading Logic'!$A$22:$B$48,2,FALSE),VLOOKUP(R152,'ELA Reading Logic'!$A$22:$B$48,2,FALSE),IF(VLOOKUP(Q152,'ELA Reading Logic'!$A$22:$B$48,2,FALSE)&gt;=VLOOKUP(S152,'ELA Reading Logic'!$A$22:$B$48,2,FALSE),VLOOKUP(S152,'ELA Reading Logic'!$A$22:$B$48,2,FALSE),"No Score")))),"No Value"))</f>
        <v>No Value</v>
      </c>
      <c r="U152" s="96" t="str">
        <f>IFERROR(VLOOKUP(Q152,'ELA Reading Logic'!$A$22:$B$48,2,FALSE)-VLOOKUP($F152,'ELA Reading Logic'!$A$22:$B$48,2,FALSE),"No Value")</f>
        <v>No Value</v>
      </c>
      <c r="V152" s="92"/>
      <c r="W152" s="96" t="str">
        <f>IFERROR(IF($E152="Yes","IPP",VLOOKUP($J152,'ELA Reading Logic'!$A$3:$K$9,VLOOKUP(V$1,'ELA Reading Logic'!$J$22:$K$31,2,FALSE),FALSE)),"Set Grade")</f>
        <v>Set Grade</v>
      </c>
      <c r="X152" s="96" t="str">
        <f>IFERROR(IF($E152="Yes","IPP",VLOOKUP($J152,'ELA Reading Logic'!$A$13:$K$19,VLOOKUP(V$1,'ELA Reading Logic'!$J$22:$K$31,2,FALSE),FALSE)),"Set Grade")</f>
        <v>Set Grade</v>
      </c>
      <c r="Y152" s="96" t="str">
        <f>IF($E152="Yes","IPP",IFERROR(IF(AND(V152&gt;W152,V152&lt;X152),"0",(VLOOKUP(V152,'ELA Reading Logic'!$A$22:$B$48,2,FALSE))-(IF(VLOOKUP(V152,'ELA Reading Logic'!$A$22:$B$48,2,FALSE)&lt;=VLOOKUP(W152,'ELA Reading Logic'!$A$22:$B$48,2,FALSE),VLOOKUP(W152,'ELA Reading Logic'!$A$22:$B$48,2,FALSE),IF(VLOOKUP(V152,'ELA Reading Logic'!$A$22:$B$48,2,FALSE)&gt;=VLOOKUP(X152,'ELA Reading Logic'!$A$22:$B$48,2,FALSE),VLOOKUP(X152,'ELA Reading Logic'!$A$22:$B$48,2,FALSE),"No Score")))),"No Value"))</f>
        <v>No Value</v>
      </c>
      <c r="Z152" s="96" t="str">
        <f>IFERROR(VLOOKUP(V152,'ELA Reading Logic'!$A$22:$B$48,2,FALSE)-VLOOKUP($F152,'ELA Reading Logic'!$A$22:$B$48,2,FALSE),"No Value")</f>
        <v>No Value</v>
      </c>
      <c r="AA152" s="92"/>
      <c r="AB152" s="96" t="str">
        <f>IFERROR(IF($E152="Yes","IPP",VLOOKUP($J152,'ELA Reading Logic'!$A$3:$K$9,VLOOKUP(AA$1,'ELA Reading Logic'!$J$22:$K$31,2,FALSE),FALSE)),"Set Grade")</f>
        <v>Set Grade</v>
      </c>
      <c r="AC152" s="96" t="str">
        <f>IFERROR(IF($E152="Yes","IPP",VLOOKUP($J152,'ELA Reading Logic'!$A$13:$K$19,VLOOKUP(AA$1,'ELA Reading Logic'!$J$22:$K$31,2,FALSE),FALSE)),"Set Grade")</f>
        <v>Set Grade</v>
      </c>
      <c r="AD152" s="96" t="str">
        <f>IF($E152="Yes","IPP",IFERROR(IF(AND(AA152&gt;AB152,AA152&lt;AC152),"0",(VLOOKUP(AA152,'ELA Reading Logic'!$A$22:$B$48,2,FALSE))-(IF(VLOOKUP(AA152,'ELA Reading Logic'!$A$22:$B$48,2,FALSE)&lt;=VLOOKUP(AB152,'ELA Reading Logic'!$A$22:$B$48,2,FALSE),VLOOKUP(AB152,'ELA Reading Logic'!$A$22:$B$48,2,FALSE),IF(VLOOKUP(AA152,'ELA Reading Logic'!$A$22:$B$48,2,FALSE)&gt;=VLOOKUP(AC152,'ELA Reading Logic'!$A$22:$B$48,2,FALSE),VLOOKUP(AC152,'ELA Reading Logic'!$A$22:$B$48,2,FALSE),"No Score")))),"No Value"))</f>
        <v>No Value</v>
      </c>
      <c r="AE152" s="96" t="str">
        <f>IFERROR(VLOOKUP(AA152,'ELA Reading Logic'!$A$22:$B$48,2,FALSE)-VLOOKUP($F152,'ELA Reading Logic'!$A$22:$B$48,2,FALSE),"No Value")</f>
        <v>No Value</v>
      </c>
      <c r="AF152" s="92"/>
      <c r="AG152" s="96" t="str">
        <f>IFERROR(IF($E152="Yes","IPP",VLOOKUP($J152,'ELA Reading Logic'!$A$3:$K$9,VLOOKUP(AF$1,'ELA Reading Logic'!$J$22:$K$31,2,FALSE),FALSE)),"Set Grade")</f>
        <v>Set Grade</v>
      </c>
      <c r="AH152" s="96" t="str">
        <f>IFERROR(IF($E152="Yes","IPP",VLOOKUP($J152,'ELA Reading Logic'!$A$13:$K$19,VLOOKUP(AF$1,'ELA Reading Logic'!$J$22:$K$31,2,FALSE),FALSE)),"Set Grade")</f>
        <v>Set Grade</v>
      </c>
      <c r="AI152" s="96" t="str">
        <f>IF($E152="Yes","IPP",IFERROR(IF(AND(AF152&gt;AG152,AF152&lt;AH152),"0",(VLOOKUP(AF152,'ELA Reading Logic'!$A$22:$B$48,2,FALSE))-(IF(VLOOKUP(AF152,'ELA Reading Logic'!$A$22:$B$48,2,FALSE)&lt;=VLOOKUP(AG152,'ELA Reading Logic'!$A$22:$B$48,2,FALSE),VLOOKUP(AG152,'ELA Reading Logic'!$A$22:$B$48,2,FALSE),IF(VLOOKUP(AF152,'ELA Reading Logic'!$A$22:$B$48,2,FALSE)&gt;=VLOOKUP(AH152,'ELA Reading Logic'!$A$22:$B$48,2,FALSE),VLOOKUP(AH152,'ELA Reading Logic'!$A$22:$B$48,2,FALSE),"No Score")))),"No Value"))</f>
        <v>No Value</v>
      </c>
      <c r="AJ152" s="96" t="str">
        <f>IFERROR(VLOOKUP(AF152,'ELA Reading Logic'!$A$22:$B$48,2,FALSE)-VLOOKUP($F152,'ELA Reading Logic'!$A$22:$B$48,2,FALSE),"No Value")</f>
        <v>No Value</v>
      </c>
      <c r="AK152" s="92"/>
      <c r="AL152" s="96" t="str">
        <f>IFERROR(IF($E152="Yes","IPP",VLOOKUP($J152,'ELA Reading Logic'!$A$3:$K$9,VLOOKUP(AK$1,'ELA Reading Logic'!$J$22:$K$31,2,FALSE),FALSE)),"Set Grade")</f>
        <v>Set Grade</v>
      </c>
      <c r="AM152" s="96" t="str">
        <f>IFERROR(IF($E152="Yes","IPP",VLOOKUP($J152,'ELA Reading Logic'!$A$13:$K$19,VLOOKUP(AK$1,'ELA Reading Logic'!$J$22:$K$31,2,FALSE),FALSE)),"Set Grade")</f>
        <v>Set Grade</v>
      </c>
      <c r="AN152" s="96" t="str">
        <f>IF($E152="Yes","IPP",IFERROR(IF(AND(AK152&gt;AL152,AK152&lt;AM152),"0",(VLOOKUP(AK152,'ELA Reading Logic'!$A$22:$B$48,2,FALSE))-(IF(VLOOKUP(AK152,'ELA Reading Logic'!$A$22:$B$48,2,FALSE)&lt;=VLOOKUP(AL152,'ELA Reading Logic'!$A$22:$B$48,2,FALSE),VLOOKUP(AL152,'ELA Reading Logic'!$A$22:$B$48,2,FALSE),IF(VLOOKUP(AK152,'ELA Reading Logic'!$A$22:$B$48,2,FALSE)&gt;=VLOOKUP(AM152,'ELA Reading Logic'!$A$22:$B$48,2,FALSE),VLOOKUP(AM152,'ELA Reading Logic'!$A$22:$B$48,2,FALSE),"No Score")))),"No Value"))</f>
        <v>No Value</v>
      </c>
      <c r="AO152" s="96" t="str">
        <f>IFERROR(VLOOKUP(AK152,'ELA Reading Logic'!$A$22:$B$48,2,FALSE)-VLOOKUP($F152,'ELA Reading Logic'!$A$22:$B$48,2,FALSE),"No Value")</f>
        <v>No Value</v>
      </c>
      <c r="AP152" s="92"/>
      <c r="AQ152" s="96" t="str">
        <f>IFERROR(IF($E152="Yes","IPP",VLOOKUP($J152,'ELA Reading Logic'!$A$3:$K$9,VLOOKUP(AP$1,'ELA Reading Logic'!$J$22:$K$31,2,FALSE),FALSE)),"Set Grade")</f>
        <v>Set Grade</v>
      </c>
      <c r="AR152" s="96" t="str">
        <f>IFERROR(IF($E152="Yes","IPP",VLOOKUP($J152,'ELA Reading Logic'!$A$13:$K$19,VLOOKUP(AP$1,'ELA Reading Logic'!$J$22:$K$31,2,FALSE),FALSE)),"Set Grade")</f>
        <v>Set Grade</v>
      </c>
      <c r="AS152" s="96" t="str">
        <f>IF($E152="Yes","IPP",IFERROR(IF(AND(AP152&gt;AQ152,AP152&lt;AR152),"0",(VLOOKUP(AP152,'ELA Reading Logic'!$A$22:$B$48,2,FALSE))-(IF(VLOOKUP(AP152,'ELA Reading Logic'!$A$22:$B$48,2,FALSE)&lt;=VLOOKUP(AQ152,'ELA Reading Logic'!$A$22:$B$48,2,FALSE),VLOOKUP(AQ152,'ELA Reading Logic'!$A$22:$B$48,2,FALSE),IF(VLOOKUP(AP152,'ELA Reading Logic'!$A$22:$B$48,2,FALSE)&gt;=VLOOKUP(AR152,'ELA Reading Logic'!$A$22:$B$48,2,FALSE),VLOOKUP(AR152,'ELA Reading Logic'!$A$22:$B$48,2,FALSE),"No Score")))),"No Value"))</f>
        <v>No Value</v>
      </c>
      <c r="AT152" s="96" t="str">
        <f>IFERROR(VLOOKUP(AP152,'ELA Reading Logic'!$A$22:$B$48,2,FALSE)-VLOOKUP($F152,'ELA Reading Logic'!$A$22:$B$48,2,FALSE),"No Value")</f>
        <v>No Value</v>
      </c>
    </row>
    <row r="153" spans="1:46" ht="22.5" customHeight="1" x14ac:dyDescent="0.25">
      <c r="A153" s="174"/>
      <c r="B153" s="174"/>
      <c r="C153" s="174"/>
      <c r="D153" s="174"/>
      <c r="E153" s="175"/>
      <c r="F153" s="175"/>
      <c r="G153" s="177" t="str">
        <f>IFERROR(IF($E153="Yes","IPP",VLOOKUP($J153,'ELA Reading Logic'!$A$3:$K$9,VLOOKUP("September",'ELA Reading Logic'!$J$22:$K$31,2,FALSE),FALSE)),"Set Grade")</f>
        <v>Set Grade</v>
      </c>
      <c r="H153" s="177" t="str">
        <f>IFERROR(IF($E153="Yes","IPP",VLOOKUP($J153,'ELA Reading Logic'!$A$13:$K$19,VLOOKUP("September",'ELA Reading Logic'!$J$22:$K$31,2,FALSE),FALSE)),"Set Grade")</f>
        <v>Set Grade</v>
      </c>
      <c r="I153" s="96" t="str">
        <f>IF($E153="Yes","IPP",IFERROR(IF(AND(F153&gt;G153,F153&lt;H153),"0",(VLOOKUP(F153,'ELA Reading Logic'!$A$22:$B$48,2,FALSE))-(IF(VLOOKUP(F153,'ELA Reading Logic'!$A$22:$B$48,2,FALSE)&lt;=VLOOKUP(G153,'ELA Reading Logic'!$A$22:$B$48,2,FALSE),VLOOKUP(G153,'ELA Reading Logic'!$A$22:$B$48,2,FALSE),IF(VLOOKUP(F153,'ELA Reading Logic'!$A$22:$B$48,2,FALSE)&gt;=VLOOKUP(H153,'ELA Reading Logic'!$A$22:$B$48,2,FALSE),VLOOKUP(H153,'ELA Reading Logic'!$A$22:$B$48,2,FALSE),"No Score")))),"No Value"))</f>
        <v>No Value</v>
      </c>
      <c r="J153" s="178"/>
      <c r="K153" s="96"/>
      <c r="L153" s="96"/>
      <c r="M153" s="96"/>
      <c r="N153" s="96"/>
      <c r="O153" s="96"/>
      <c r="P153" s="105"/>
      <c r="Q153" s="92"/>
      <c r="R153" s="96" t="str">
        <f>IFERROR(IF($E153="Yes","IPP",VLOOKUP($J153,'ELA Reading Logic'!$A$3:$K$9,VLOOKUP(Q$1,'ELA Reading Logic'!$J$22:$K$31,2,FALSE),FALSE)),"Set Grade")</f>
        <v>Set Grade</v>
      </c>
      <c r="S153" s="96" t="str">
        <f>IFERROR(IF($E153="Yes","IPP",VLOOKUP($J153,'ELA Reading Logic'!$A$13:$K$19,VLOOKUP(Q$1,'ELA Reading Logic'!$J$22:$K$31,2,FALSE),FALSE)),"Set Grade")</f>
        <v>Set Grade</v>
      </c>
      <c r="T153" s="96" t="str">
        <f>IF($E153="Yes","IPP",IFERROR(IF(AND(Q153&gt;R153,Q153&lt;S153),"0",(VLOOKUP(Q153,'ELA Reading Logic'!$A$22:$B$48,2,FALSE))-(IF(VLOOKUP(Q153,'ELA Reading Logic'!$A$22:$B$48,2,FALSE)&lt;=VLOOKUP(R153,'ELA Reading Logic'!$A$22:$B$48,2,FALSE),VLOOKUP(R153,'ELA Reading Logic'!$A$22:$B$48,2,FALSE),IF(VLOOKUP(Q153,'ELA Reading Logic'!$A$22:$B$48,2,FALSE)&gt;=VLOOKUP(S153,'ELA Reading Logic'!$A$22:$B$48,2,FALSE),VLOOKUP(S153,'ELA Reading Logic'!$A$22:$B$48,2,FALSE),"No Score")))),"No Value"))</f>
        <v>No Value</v>
      </c>
      <c r="U153" s="96" t="str">
        <f>IFERROR(VLOOKUP(Q153,'ELA Reading Logic'!$A$22:$B$48,2,FALSE)-VLOOKUP($F153,'ELA Reading Logic'!$A$22:$B$48,2,FALSE),"No Value")</f>
        <v>No Value</v>
      </c>
      <c r="V153" s="92"/>
      <c r="W153" s="96" t="str">
        <f>IFERROR(IF($E153="Yes","IPP",VLOOKUP($J153,'ELA Reading Logic'!$A$3:$K$9,VLOOKUP(V$1,'ELA Reading Logic'!$J$22:$K$31,2,FALSE),FALSE)),"Set Grade")</f>
        <v>Set Grade</v>
      </c>
      <c r="X153" s="96" t="str">
        <f>IFERROR(IF($E153="Yes","IPP",VLOOKUP($J153,'ELA Reading Logic'!$A$13:$K$19,VLOOKUP(V$1,'ELA Reading Logic'!$J$22:$K$31,2,FALSE),FALSE)),"Set Grade")</f>
        <v>Set Grade</v>
      </c>
      <c r="Y153" s="96" t="str">
        <f>IF($E153="Yes","IPP",IFERROR(IF(AND(V153&gt;W153,V153&lt;X153),"0",(VLOOKUP(V153,'ELA Reading Logic'!$A$22:$B$48,2,FALSE))-(IF(VLOOKUP(V153,'ELA Reading Logic'!$A$22:$B$48,2,FALSE)&lt;=VLOOKUP(W153,'ELA Reading Logic'!$A$22:$B$48,2,FALSE),VLOOKUP(W153,'ELA Reading Logic'!$A$22:$B$48,2,FALSE),IF(VLOOKUP(V153,'ELA Reading Logic'!$A$22:$B$48,2,FALSE)&gt;=VLOOKUP(X153,'ELA Reading Logic'!$A$22:$B$48,2,FALSE),VLOOKUP(X153,'ELA Reading Logic'!$A$22:$B$48,2,FALSE),"No Score")))),"No Value"))</f>
        <v>No Value</v>
      </c>
      <c r="Z153" s="96" t="str">
        <f>IFERROR(VLOOKUP(V153,'ELA Reading Logic'!$A$22:$B$48,2,FALSE)-VLOOKUP($F153,'ELA Reading Logic'!$A$22:$B$48,2,FALSE),"No Value")</f>
        <v>No Value</v>
      </c>
      <c r="AA153" s="92"/>
      <c r="AB153" s="96" t="str">
        <f>IFERROR(IF($E153="Yes","IPP",VLOOKUP($J153,'ELA Reading Logic'!$A$3:$K$9,VLOOKUP(AA$1,'ELA Reading Logic'!$J$22:$K$31,2,FALSE),FALSE)),"Set Grade")</f>
        <v>Set Grade</v>
      </c>
      <c r="AC153" s="96" t="str">
        <f>IFERROR(IF($E153="Yes","IPP",VLOOKUP($J153,'ELA Reading Logic'!$A$13:$K$19,VLOOKUP(AA$1,'ELA Reading Logic'!$J$22:$K$31,2,FALSE),FALSE)),"Set Grade")</f>
        <v>Set Grade</v>
      </c>
      <c r="AD153" s="96" t="str">
        <f>IF($E153="Yes","IPP",IFERROR(IF(AND(AA153&gt;AB153,AA153&lt;AC153),"0",(VLOOKUP(AA153,'ELA Reading Logic'!$A$22:$B$48,2,FALSE))-(IF(VLOOKUP(AA153,'ELA Reading Logic'!$A$22:$B$48,2,FALSE)&lt;=VLOOKUP(AB153,'ELA Reading Logic'!$A$22:$B$48,2,FALSE),VLOOKUP(AB153,'ELA Reading Logic'!$A$22:$B$48,2,FALSE),IF(VLOOKUP(AA153,'ELA Reading Logic'!$A$22:$B$48,2,FALSE)&gt;=VLOOKUP(AC153,'ELA Reading Logic'!$A$22:$B$48,2,FALSE),VLOOKUP(AC153,'ELA Reading Logic'!$A$22:$B$48,2,FALSE),"No Score")))),"No Value"))</f>
        <v>No Value</v>
      </c>
      <c r="AE153" s="96" t="str">
        <f>IFERROR(VLOOKUP(AA153,'ELA Reading Logic'!$A$22:$B$48,2,FALSE)-VLOOKUP($F153,'ELA Reading Logic'!$A$22:$B$48,2,FALSE),"No Value")</f>
        <v>No Value</v>
      </c>
      <c r="AF153" s="92"/>
      <c r="AG153" s="96" t="str">
        <f>IFERROR(IF($E153="Yes","IPP",VLOOKUP($J153,'ELA Reading Logic'!$A$3:$K$9,VLOOKUP(AF$1,'ELA Reading Logic'!$J$22:$K$31,2,FALSE),FALSE)),"Set Grade")</f>
        <v>Set Grade</v>
      </c>
      <c r="AH153" s="96" t="str">
        <f>IFERROR(IF($E153="Yes","IPP",VLOOKUP($J153,'ELA Reading Logic'!$A$13:$K$19,VLOOKUP(AF$1,'ELA Reading Logic'!$J$22:$K$31,2,FALSE),FALSE)),"Set Grade")</f>
        <v>Set Grade</v>
      </c>
      <c r="AI153" s="96" t="str">
        <f>IF($E153="Yes","IPP",IFERROR(IF(AND(AF153&gt;AG153,AF153&lt;AH153),"0",(VLOOKUP(AF153,'ELA Reading Logic'!$A$22:$B$48,2,FALSE))-(IF(VLOOKUP(AF153,'ELA Reading Logic'!$A$22:$B$48,2,FALSE)&lt;=VLOOKUP(AG153,'ELA Reading Logic'!$A$22:$B$48,2,FALSE),VLOOKUP(AG153,'ELA Reading Logic'!$A$22:$B$48,2,FALSE),IF(VLOOKUP(AF153,'ELA Reading Logic'!$A$22:$B$48,2,FALSE)&gt;=VLOOKUP(AH153,'ELA Reading Logic'!$A$22:$B$48,2,FALSE),VLOOKUP(AH153,'ELA Reading Logic'!$A$22:$B$48,2,FALSE),"No Score")))),"No Value"))</f>
        <v>No Value</v>
      </c>
      <c r="AJ153" s="96" t="str">
        <f>IFERROR(VLOOKUP(AF153,'ELA Reading Logic'!$A$22:$B$48,2,FALSE)-VLOOKUP($F153,'ELA Reading Logic'!$A$22:$B$48,2,FALSE),"No Value")</f>
        <v>No Value</v>
      </c>
      <c r="AK153" s="92"/>
      <c r="AL153" s="96" t="str">
        <f>IFERROR(IF($E153="Yes","IPP",VLOOKUP($J153,'ELA Reading Logic'!$A$3:$K$9,VLOOKUP(AK$1,'ELA Reading Logic'!$J$22:$K$31,2,FALSE),FALSE)),"Set Grade")</f>
        <v>Set Grade</v>
      </c>
      <c r="AM153" s="96" t="str">
        <f>IFERROR(IF($E153="Yes","IPP",VLOOKUP($J153,'ELA Reading Logic'!$A$13:$K$19,VLOOKUP(AK$1,'ELA Reading Logic'!$J$22:$K$31,2,FALSE),FALSE)),"Set Grade")</f>
        <v>Set Grade</v>
      </c>
      <c r="AN153" s="96" t="str">
        <f>IF($E153="Yes","IPP",IFERROR(IF(AND(AK153&gt;AL153,AK153&lt;AM153),"0",(VLOOKUP(AK153,'ELA Reading Logic'!$A$22:$B$48,2,FALSE))-(IF(VLOOKUP(AK153,'ELA Reading Logic'!$A$22:$B$48,2,FALSE)&lt;=VLOOKUP(AL153,'ELA Reading Logic'!$A$22:$B$48,2,FALSE),VLOOKUP(AL153,'ELA Reading Logic'!$A$22:$B$48,2,FALSE),IF(VLOOKUP(AK153,'ELA Reading Logic'!$A$22:$B$48,2,FALSE)&gt;=VLOOKUP(AM153,'ELA Reading Logic'!$A$22:$B$48,2,FALSE),VLOOKUP(AM153,'ELA Reading Logic'!$A$22:$B$48,2,FALSE),"No Score")))),"No Value"))</f>
        <v>No Value</v>
      </c>
      <c r="AO153" s="96" t="str">
        <f>IFERROR(VLOOKUP(AK153,'ELA Reading Logic'!$A$22:$B$48,2,FALSE)-VLOOKUP($F153,'ELA Reading Logic'!$A$22:$B$48,2,FALSE),"No Value")</f>
        <v>No Value</v>
      </c>
      <c r="AP153" s="92"/>
      <c r="AQ153" s="96" t="str">
        <f>IFERROR(IF($E153="Yes","IPP",VLOOKUP($J153,'ELA Reading Logic'!$A$3:$K$9,VLOOKUP(AP$1,'ELA Reading Logic'!$J$22:$K$31,2,FALSE),FALSE)),"Set Grade")</f>
        <v>Set Grade</v>
      </c>
      <c r="AR153" s="96" t="str">
        <f>IFERROR(IF($E153="Yes","IPP",VLOOKUP($J153,'ELA Reading Logic'!$A$13:$K$19,VLOOKUP(AP$1,'ELA Reading Logic'!$J$22:$K$31,2,FALSE),FALSE)),"Set Grade")</f>
        <v>Set Grade</v>
      </c>
      <c r="AS153" s="96" t="str">
        <f>IF($E153="Yes","IPP",IFERROR(IF(AND(AP153&gt;AQ153,AP153&lt;AR153),"0",(VLOOKUP(AP153,'ELA Reading Logic'!$A$22:$B$48,2,FALSE))-(IF(VLOOKUP(AP153,'ELA Reading Logic'!$A$22:$B$48,2,FALSE)&lt;=VLOOKUP(AQ153,'ELA Reading Logic'!$A$22:$B$48,2,FALSE),VLOOKUP(AQ153,'ELA Reading Logic'!$A$22:$B$48,2,FALSE),IF(VLOOKUP(AP153,'ELA Reading Logic'!$A$22:$B$48,2,FALSE)&gt;=VLOOKUP(AR153,'ELA Reading Logic'!$A$22:$B$48,2,FALSE),VLOOKUP(AR153,'ELA Reading Logic'!$A$22:$B$48,2,FALSE),"No Score")))),"No Value"))</f>
        <v>No Value</v>
      </c>
      <c r="AT153" s="96" t="str">
        <f>IFERROR(VLOOKUP(AP153,'ELA Reading Logic'!$A$22:$B$48,2,FALSE)-VLOOKUP($F153,'ELA Reading Logic'!$A$22:$B$48,2,FALSE),"No Value")</f>
        <v>No Value</v>
      </c>
    </row>
    <row r="154" spans="1:46" ht="22.5" customHeight="1" x14ac:dyDescent="0.25">
      <c r="A154" s="176"/>
      <c r="B154" s="176"/>
      <c r="C154" s="176"/>
      <c r="D154" s="176"/>
      <c r="E154" s="175"/>
      <c r="F154" s="175"/>
      <c r="G154" s="177" t="str">
        <f>IFERROR(IF($E154="Yes","IPP",VLOOKUP($J154,'ELA Reading Logic'!$A$3:$K$9,VLOOKUP("September",'ELA Reading Logic'!$J$22:$K$31,2,FALSE),FALSE)),"Set Grade")</f>
        <v>Set Grade</v>
      </c>
      <c r="H154" s="177" t="str">
        <f>IFERROR(IF($E154="Yes","IPP",VLOOKUP($J154,'ELA Reading Logic'!$A$13:$K$19,VLOOKUP("September",'ELA Reading Logic'!$J$22:$K$31,2,FALSE),FALSE)),"Set Grade")</f>
        <v>Set Grade</v>
      </c>
      <c r="I154" s="96" t="str">
        <f>IF($E154="Yes","IPP",IFERROR(IF(AND(F154&gt;G154,F154&lt;H154),"0",(VLOOKUP(F154,'ELA Reading Logic'!$A$22:$B$48,2,FALSE))-(IF(VLOOKUP(F154,'ELA Reading Logic'!$A$22:$B$48,2,FALSE)&lt;=VLOOKUP(G154,'ELA Reading Logic'!$A$22:$B$48,2,FALSE),VLOOKUP(G154,'ELA Reading Logic'!$A$22:$B$48,2,FALSE),IF(VLOOKUP(F154,'ELA Reading Logic'!$A$22:$B$48,2,FALSE)&gt;=VLOOKUP(H154,'ELA Reading Logic'!$A$22:$B$48,2,FALSE),VLOOKUP(H154,'ELA Reading Logic'!$A$22:$B$48,2,FALSE),"No Score")))),"No Value"))</f>
        <v>No Value</v>
      </c>
      <c r="J154" s="178"/>
      <c r="K154" s="96"/>
      <c r="L154" s="96"/>
      <c r="M154" s="96"/>
      <c r="N154" s="96"/>
      <c r="O154" s="96"/>
      <c r="P154" s="105"/>
      <c r="Q154" s="92"/>
      <c r="R154" s="96" t="str">
        <f>IFERROR(IF($E154="Yes","IPP",VLOOKUP($J154,'ELA Reading Logic'!$A$3:$K$9,VLOOKUP(Q$1,'ELA Reading Logic'!$J$22:$K$31,2,FALSE),FALSE)),"Set Grade")</f>
        <v>Set Grade</v>
      </c>
      <c r="S154" s="96" t="str">
        <f>IFERROR(IF($E154="Yes","IPP",VLOOKUP($J154,'ELA Reading Logic'!$A$13:$K$19,VLOOKUP(Q$1,'ELA Reading Logic'!$J$22:$K$31,2,FALSE),FALSE)),"Set Grade")</f>
        <v>Set Grade</v>
      </c>
      <c r="T154" s="96" t="str">
        <f>IF($E154="Yes","IPP",IFERROR(IF(AND(Q154&gt;R154,Q154&lt;S154),"0",(VLOOKUP(Q154,'ELA Reading Logic'!$A$22:$B$48,2,FALSE))-(IF(VLOOKUP(Q154,'ELA Reading Logic'!$A$22:$B$48,2,FALSE)&lt;=VLOOKUP(R154,'ELA Reading Logic'!$A$22:$B$48,2,FALSE),VLOOKUP(R154,'ELA Reading Logic'!$A$22:$B$48,2,FALSE),IF(VLOOKUP(Q154,'ELA Reading Logic'!$A$22:$B$48,2,FALSE)&gt;=VLOOKUP(S154,'ELA Reading Logic'!$A$22:$B$48,2,FALSE),VLOOKUP(S154,'ELA Reading Logic'!$A$22:$B$48,2,FALSE),"No Score")))),"No Value"))</f>
        <v>No Value</v>
      </c>
      <c r="U154" s="96" t="str">
        <f>IFERROR(VLOOKUP(Q154,'ELA Reading Logic'!$A$22:$B$48,2,FALSE)-VLOOKUP($F154,'ELA Reading Logic'!$A$22:$B$48,2,FALSE),"No Value")</f>
        <v>No Value</v>
      </c>
      <c r="V154" s="92"/>
      <c r="W154" s="96" t="str">
        <f>IFERROR(IF($E154="Yes","IPP",VLOOKUP($J154,'ELA Reading Logic'!$A$3:$K$9,VLOOKUP(V$1,'ELA Reading Logic'!$J$22:$K$31,2,FALSE),FALSE)),"Set Grade")</f>
        <v>Set Grade</v>
      </c>
      <c r="X154" s="96" t="str">
        <f>IFERROR(IF($E154="Yes","IPP",VLOOKUP($J154,'ELA Reading Logic'!$A$13:$K$19,VLOOKUP(V$1,'ELA Reading Logic'!$J$22:$K$31,2,FALSE),FALSE)),"Set Grade")</f>
        <v>Set Grade</v>
      </c>
      <c r="Y154" s="96" t="str">
        <f>IF($E154="Yes","IPP",IFERROR(IF(AND(V154&gt;W154,V154&lt;X154),"0",(VLOOKUP(V154,'ELA Reading Logic'!$A$22:$B$48,2,FALSE))-(IF(VLOOKUP(V154,'ELA Reading Logic'!$A$22:$B$48,2,FALSE)&lt;=VLOOKUP(W154,'ELA Reading Logic'!$A$22:$B$48,2,FALSE),VLOOKUP(W154,'ELA Reading Logic'!$A$22:$B$48,2,FALSE),IF(VLOOKUP(V154,'ELA Reading Logic'!$A$22:$B$48,2,FALSE)&gt;=VLOOKUP(X154,'ELA Reading Logic'!$A$22:$B$48,2,FALSE),VLOOKUP(X154,'ELA Reading Logic'!$A$22:$B$48,2,FALSE),"No Score")))),"No Value"))</f>
        <v>No Value</v>
      </c>
      <c r="Z154" s="96" t="str">
        <f>IFERROR(VLOOKUP(V154,'ELA Reading Logic'!$A$22:$B$48,2,FALSE)-VLOOKUP($F154,'ELA Reading Logic'!$A$22:$B$48,2,FALSE),"No Value")</f>
        <v>No Value</v>
      </c>
      <c r="AA154" s="92"/>
      <c r="AB154" s="96" t="str">
        <f>IFERROR(IF($E154="Yes","IPP",VLOOKUP($J154,'ELA Reading Logic'!$A$3:$K$9,VLOOKUP(AA$1,'ELA Reading Logic'!$J$22:$K$31,2,FALSE),FALSE)),"Set Grade")</f>
        <v>Set Grade</v>
      </c>
      <c r="AC154" s="96" t="str">
        <f>IFERROR(IF($E154="Yes","IPP",VLOOKUP($J154,'ELA Reading Logic'!$A$13:$K$19,VLOOKUP(AA$1,'ELA Reading Logic'!$J$22:$K$31,2,FALSE),FALSE)),"Set Grade")</f>
        <v>Set Grade</v>
      </c>
      <c r="AD154" s="96" t="str">
        <f>IF($E154="Yes","IPP",IFERROR(IF(AND(AA154&gt;AB154,AA154&lt;AC154),"0",(VLOOKUP(AA154,'ELA Reading Logic'!$A$22:$B$48,2,FALSE))-(IF(VLOOKUP(AA154,'ELA Reading Logic'!$A$22:$B$48,2,FALSE)&lt;=VLOOKUP(AB154,'ELA Reading Logic'!$A$22:$B$48,2,FALSE),VLOOKUP(AB154,'ELA Reading Logic'!$A$22:$B$48,2,FALSE),IF(VLOOKUP(AA154,'ELA Reading Logic'!$A$22:$B$48,2,FALSE)&gt;=VLOOKUP(AC154,'ELA Reading Logic'!$A$22:$B$48,2,FALSE),VLOOKUP(AC154,'ELA Reading Logic'!$A$22:$B$48,2,FALSE),"No Score")))),"No Value"))</f>
        <v>No Value</v>
      </c>
      <c r="AE154" s="96" t="str">
        <f>IFERROR(VLOOKUP(AA154,'ELA Reading Logic'!$A$22:$B$48,2,FALSE)-VLOOKUP($F154,'ELA Reading Logic'!$A$22:$B$48,2,FALSE),"No Value")</f>
        <v>No Value</v>
      </c>
      <c r="AF154" s="92"/>
      <c r="AG154" s="96" t="str">
        <f>IFERROR(IF($E154="Yes","IPP",VLOOKUP($J154,'ELA Reading Logic'!$A$3:$K$9,VLOOKUP(AF$1,'ELA Reading Logic'!$J$22:$K$31,2,FALSE),FALSE)),"Set Grade")</f>
        <v>Set Grade</v>
      </c>
      <c r="AH154" s="96" t="str">
        <f>IFERROR(IF($E154="Yes","IPP",VLOOKUP($J154,'ELA Reading Logic'!$A$13:$K$19,VLOOKUP(AF$1,'ELA Reading Logic'!$J$22:$K$31,2,FALSE),FALSE)),"Set Grade")</f>
        <v>Set Grade</v>
      </c>
      <c r="AI154" s="96" t="str">
        <f>IF($E154="Yes","IPP",IFERROR(IF(AND(AF154&gt;AG154,AF154&lt;AH154),"0",(VLOOKUP(AF154,'ELA Reading Logic'!$A$22:$B$48,2,FALSE))-(IF(VLOOKUP(AF154,'ELA Reading Logic'!$A$22:$B$48,2,FALSE)&lt;=VLOOKUP(AG154,'ELA Reading Logic'!$A$22:$B$48,2,FALSE),VLOOKUP(AG154,'ELA Reading Logic'!$A$22:$B$48,2,FALSE),IF(VLOOKUP(AF154,'ELA Reading Logic'!$A$22:$B$48,2,FALSE)&gt;=VLOOKUP(AH154,'ELA Reading Logic'!$A$22:$B$48,2,FALSE),VLOOKUP(AH154,'ELA Reading Logic'!$A$22:$B$48,2,FALSE),"No Score")))),"No Value"))</f>
        <v>No Value</v>
      </c>
      <c r="AJ154" s="96" t="str">
        <f>IFERROR(VLOOKUP(AF154,'ELA Reading Logic'!$A$22:$B$48,2,FALSE)-VLOOKUP($F154,'ELA Reading Logic'!$A$22:$B$48,2,FALSE),"No Value")</f>
        <v>No Value</v>
      </c>
      <c r="AK154" s="92"/>
      <c r="AL154" s="96" t="str">
        <f>IFERROR(IF($E154="Yes","IPP",VLOOKUP($J154,'ELA Reading Logic'!$A$3:$K$9,VLOOKUP(AK$1,'ELA Reading Logic'!$J$22:$K$31,2,FALSE),FALSE)),"Set Grade")</f>
        <v>Set Grade</v>
      </c>
      <c r="AM154" s="96" t="str">
        <f>IFERROR(IF($E154="Yes","IPP",VLOOKUP($J154,'ELA Reading Logic'!$A$13:$K$19,VLOOKUP(AK$1,'ELA Reading Logic'!$J$22:$K$31,2,FALSE),FALSE)),"Set Grade")</f>
        <v>Set Grade</v>
      </c>
      <c r="AN154" s="96" t="str">
        <f>IF($E154="Yes","IPP",IFERROR(IF(AND(AK154&gt;AL154,AK154&lt;AM154),"0",(VLOOKUP(AK154,'ELA Reading Logic'!$A$22:$B$48,2,FALSE))-(IF(VLOOKUP(AK154,'ELA Reading Logic'!$A$22:$B$48,2,FALSE)&lt;=VLOOKUP(AL154,'ELA Reading Logic'!$A$22:$B$48,2,FALSE),VLOOKUP(AL154,'ELA Reading Logic'!$A$22:$B$48,2,FALSE),IF(VLOOKUP(AK154,'ELA Reading Logic'!$A$22:$B$48,2,FALSE)&gt;=VLOOKUP(AM154,'ELA Reading Logic'!$A$22:$B$48,2,FALSE),VLOOKUP(AM154,'ELA Reading Logic'!$A$22:$B$48,2,FALSE),"No Score")))),"No Value"))</f>
        <v>No Value</v>
      </c>
      <c r="AO154" s="96" t="str">
        <f>IFERROR(VLOOKUP(AK154,'ELA Reading Logic'!$A$22:$B$48,2,FALSE)-VLOOKUP($F154,'ELA Reading Logic'!$A$22:$B$48,2,FALSE),"No Value")</f>
        <v>No Value</v>
      </c>
      <c r="AP154" s="92"/>
      <c r="AQ154" s="96" t="str">
        <f>IFERROR(IF($E154="Yes","IPP",VLOOKUP($J154,'ELA Reading Logic'!$A$3:$K$9,VLOOKUP(AP$1,'ELA Reading Logic'!$J$22:$K$31,2,FALSE),FALSE)),"Set Grade")</f>
        <v>Set Grade</v>
      </c>
      <c r="AR154" s="96" t="str">
        <f>IFERROR(IF($E154="Yes","IPP",VLOOKUP($J154,'ELA Reading Logic'!$A$13:$K$19,VLOOKUP(AP$1,'ELA Reading Logic'!$J$22:$K$31,2,FALSE),FALSE)),"Set Grade")</f>
        <v>Set Grade</v>
      </c>
      <c r="AS154" s="96" t="str">
        <f>IF($E154="Yes","IPP",IFERROR(IF(AND(AP154&gt;AQ154,AP154&lt;AR154),"0",(VLOOKUP(AP154,'ELA Reading Logic'!$A$22:$B$48,2,FALSE))-(IF(VLOOKUP(AP154,'ELA Reading Logic'!$A$22:$B$48,2,FALSE)&lt;=VLOOKUP(AQ154,'ELA Reading Logic'!$A$22:$B$48,2,FALSE),VLOOKUP(AQ154,'ELA Reading Logic'!$A$22:$B$48,2,FALSE),IF(VLOOKUP(AP154,'ELA Reading Logic'!$A$22:$B$48,2,FALSE)&gt;=VLOOKUP(AR154,'ELA Reading Logic'!$A$22:$B$48,2,FALSE),VLOOKUP(AR154,'ELA Reading Logic'!$A$22:$B$48,2,FALSE),"No Score")))),"No Value"))</f>
        <v>No Value</v>
      </c>
      <c r="AT154" s="96" t="str">
        <f>IFERROR(VLOOKUP(AP154,'ELA Reading Logic'!$A$22:$B$48,2,FALSE)-VLOOKUP($F154,'ELA Reading Logic'!$A$22:$B$48,2,FALSE),"No Value")</f>
        <v>No Value</v>
      </c>
    </row>
    <row r="155" spans="1:46" ht="22.5" customHeight="1" x14ac:dyDescent="0.25">
      <c r="A155" s="174"/>
      <c r="B155" s="174"/>
      <c r="C155" s="174"/>
      <c r="D155" s="174"/>
      <c r="E155" s="175"/>
      <c r="F155" s="175"/>
      <c r="G155" s="177" t="str">
        <f>IFERROR(IF($E155="Yes","IPP",VLOOKUP($J155,'ELA Reading Logic'!$A$3:$K$9,VLOOKUP("September",'ELA Reading Logic'!$J$22:$K$31,2,FALSE),FALSE)),"Set Grade")</f>
        <v>Set Grade</v>
      </c>
      <c r="H155" s="177" t="str">
        <f>IFERROR(IF($E155="Yes","IPP",VLOOKUP($J155,'ELA Reading Logic'!$A$13:$K$19,VLOOKUP("September",'ELA Reading Logic'!$J$22:$K$31,2,FALSE),FALSE)),"Set Grade")</f>
        <v>Set Grade</v>
      </c>
      <c r="I155" s="96" t="str">
        <f>IF($E155="Yes","IPP",IFERROR(IF(AND(F155&gt;G155,F155&lt;H155),"0",(VLOOKUP(F155,'ELA Reading Logic'!$A$22:$B$48,2,FALSE))-(IF(VLOOKUP(F155,'ELA Reading Logic'!$A$22:$B$48,2,FALSE)&lt;=VLOOKUP(G155,'ELA Reading Logic'!$A$22:$B$48,2,FALSE),VLOOKUP(G155,'ELA Reading Logic'!$A$22:$B$48,2,FALSE),IF(VLOOKUP(F155,'ELA Reading Logic'!$A$22:$B$48,2,FALSE)&gt;=VLOOKUP(H155,'ELA Reading Logic'!$A$22:$B$48,2,FALSE),VLOOKUP(H155,'ELA Reading Logic'!$A$22:$B$48,2,FALSE),"No Score")))),"No Value"))</f>
        <v>No Value</v>
      </c>
      <c r="J155" s="178"/>
      <c r="K155" s="96"/>
      <c r="L155" s="96"/>
      <c r="M155" s="96"/>
      <c r="N155" s="96"/>
      <c r="O155" s="96"/>
      <c r="P155" s="105"/>
      <c r="Q155" s="92"/>
      <c r="R155" s="96" t="str">
        <f>IFERROR(IF($E155="Yes","IPP",VLOOKUP($J155,'ELA Reading Logic'!$A$3:$K$9,VLOOKUP(Q$1,'ELA Reading Logic'!$J$22:$K$31,2,FALSE),FALSE)),"Set Grade")</f>
        <v>Set Grade</v>
      </c>
      <c r="S155" s="96" t="str">
        <f>IFERROR(IF($E155="Yes","IPP",VLOOKUP($J155,'ELA Reading Logic'!$A$13:$K$19,VLOOKUP(Q$1,'ELA Reading Logic'!$J$22:$K$31,2,FALSE),FALSE)),"Set Grade")</f>
        <v>Set Grade</v>
      </c>
      <c r="T155" s="96" t="str">
        <f>IF($E155="Yes","IPP",IFERROR(IF(AND(Q155&gt;R155,Q155&lt;S155),"0",(VLOOKUP(Q155,'ELA Reading Logic'!$A$22:$B$48,2,FALSE))-(IF(VLOOKUP(Q155,'ELA Reading Logic'!$A$22:$B$48,2,FALSE)&lt;=VLOOKUP(R155,'ELA Reading Logic'!$A$22:$B$48,2,FALSE),VLOOKUP(R155,'ELA Reading Logic'!$A$22:$B$48,2,FALSE),IF(VLOOKUP(Q155,'ELA Reading Logic'!$A$22:$B$48,2,FALSE)&gt;=VLOOKUP(S155,'ELA Reading Logic'!$A$22:$B$48,2,FALSE),VLOOKUP(S155,'ELA Reading Logic'!$A$22:$B$48,2,FALSE),"No Score")))),"No Value"))</f>
        <v>No Value</v>
      </c>
      <c r="U155" s="96" t="str">
        <f>IFERROR(VLOOKUP(Q155,'ELA Reading Logic'!$A$22:$B$48,2,FALSE)-VLOOKUP($F155,'ELA Reading Logic'!$A$22:$B$48,2,FALSE),"No Value")</f>
        <v>No Value</v>
      </c>
      <c r="V155" s="92"/>
      <c r="W155" s="96" t="str">
        <f>IFERROR(IF($E155="Yes","IPP",VLOOKUP($J155,'ELA Reading Logic'!$A$3:$K$9,VLOOKUP(V$1,'ELA Reading Logic'!$J$22:$K$31,2,FALSE),FALSE)),"Set Grade")</f>
        <v>Set Grade</v>
      </c>
      <c r="X155" s="96" t="str">
        <f>IFERROR(IF($E155="Yes","IPP",VLOOKUP($J155,'ELA Reading Logic'!$A$13:$K$19,VLOOKUP(V$1,'ELA Reading Logic'!$J$22:$K$31,2,FALSE),FALSE)),"Set Grade")</f>
        <v>Set Grade</v>
      </c>
      <c r="Y155" s="96" t="str">
        <f>IF($E155="Yes","IPP",IFERROR(IF(AND(V155&gt;W155,V155&lt;X155),"0",(VLOOKUP(V155,'ELA Reading Logic'!$A$22:$B$48,2,FALSE))-(IF(VLOOKUP(V155,'ELA Reading Logic'!$A$22:$B$48,2,FALSE)&lt;=VLOOKUP(W155,'ELA Reading Logic'!$A$22:$B$48,2,FALSE),VLOOKUP(W155,'ELA Reading Logic'!$A$22:$B$48,2,FALSE),IF(VLOOKUP(V155,'ELA Reading Logic'!$A$22:$B$48,2,FALSE)&gt;=VLOOKUP(X155,'ELA Reading Logic'!$A$22:$B$48,2,FALSE),VLOOKUP(X155,'ELA Reading Logic'!$A$22:$B$48,2,FALSE),"No Score")))),"No Value"))</f>
        <v>No Value</v>
      </c>
      <c r="Z155" s="96" t="str">
        <f>IFERROR(VLOOKUP(V155,'ELA Reading Logic'!$A$22:$B$48,2,FALSE)-VLOOKUP($F155,'ELA Reading Logic'!$A$22:$B$48,2,FALSE),"No Value")</f>
        <v>No Value</v>
      </c>
      <c r="AA155" s="92"/>
      <c r="AB155" s="96" t="str">
        <f>IFERROR(IF($E155="Yes","IPP",VLOOKUP($J155,'ELA Reading Logic'!$A$3:$K$9,VLOOKUP(AA$1,'ELA Reading Logic'!$J$22:$K$31,2,FALSE),FALSE)),"Set Grade")</f>
        <v>Set Grade</v>
      </c>
      <c r="AC155" s="96" t="str">
        <f>IFERROR(IF($E155="Yes","IPP",VLOOKUP($J155,'ELA Reading Logic'!$A$13:$K$19,VLOOKUP(AA$1,'ELA Reading Logic'!$J$22:$K$31,2,FALSE),FALSE)),"Set Grade")</f>
        <v>Set Grade</v>
      </c>
      <c r="AD155" s="96" t="str">
        <f>IF($E155="Yes","IPP",IFERROR(IF(AND(AA155&gt;AB155,AA155&lt;AC155),"0",(VLOOKUP(AA155,'ELA Reading Logic'!$A$22:$B$48,2,FALSE))-(IF(VLOOKUP(AA155,'ELA Reading Logic'!$A$22:$B$48,2,FALSE)&lt;=VLOOKUP(AB155,'ELA Reading Logic'!$A$22:$B$48,2,FALSE),VLOOKUP(AB155,'ELA Reading Logic'!$A$22:$B$48,2,FALSE),IF(VLOOKUP(AA155,'ELA Reading Logic'!$A$22:$B$48,2,FALSE)&gt;=VLOOKUP(AC155,'ELA Reading Logic'!$A$22:$B$48,2,FALSE),VLOOKUP(AC155,'ELA Reading Logic'!$A$22:$B$48,2,FALSE),"No Score")))),"No Value"))</f>
        <v>No Value</v>
      </c>
      <c r="AE155" s="96" t="str">
        <f>IFERROR(VLOOKUP(AA155,'ELA Reading Logic'!$A$22:$B$48,2,FALSE)-VLOOKUP($F155,'ELA Reading Logic'!$A$22:$B$48,2,FALSE),"No Value")</f>
        <v>No Value</v>
      </c>
      <c r="AF155" s="92"/>
      <c r="AG155" s="96" t="str">
        <f>IFERROR(IF($E155="Yes","IPP",VLOOKUP($J155,'ELA Reading Logic'!$A$3:$K$9,VLOOKUP(AF$1,'ELA Reading Logic'!$J$22:$K$31,2,FALSE),FALSE)),"Set Grade")</f>
        <v>Set Grade</v>
      </c>
      <c r="AH155" s="96" t="str">
        <f>IFERROR(IF($E155="Yes","IPP",VLOOKUP($J155,'ELA Reading Logic'!$A$13:$K$19,VLOOKUP(AF$1,'ELA Reading Logic'!$J$22:$K$31,2,FALSE),FALSE)),"Set Grade")</f>
        <v>Set Grade</v>
      </c>
      <c r="AI155" s="96" t="str">
        <f>IF($E155="Yes","IPP",IFERROR(IF(AND(AF155&gt;AG155,AF155&lt;AH155),"0",(VLOOKUP(AF155,'ELA Reading Logic'!$A$22:$B$48,2,FALSE))-(IF(VLOOKUP(AF155,'ELA Reading Logic'!$A$22:$B$48,2,FALSE)&lt;=VLOOKUP(AG155,'ELA Reading Logic'!$A$22:$B$48,2,FALSE),VLOOKUP(AG155,'ELA Reading Logic'!$A$22:$B$48,2,FALSE),IF(VLOOKUP(AF155,'ELA Reading Logic'!$A$22:$B$48,2,FALSE)&gt;=VLOOKUP(AH155,'ELA Reading Logic'!$A$22:$B$48,2,FALSE),VLOOKUP(AH155,'ELA Reading Logic'!$A$22:$B$48,2,FALSE),"No Score")))),"No Value"))</f>
        <v>No Value</v>
      </c>
      <c r="AJ155" s="96" t="str">
        <f>IFERROR(VLOOKUP(AF155,'ELA Reading Logic'!$A$22:$B$48,2,FALSE)-VLOOKUP($F155,'ELA Reading Logic'!$A$22:$B$48,2,FALSE),"No Value")</f>
        <v>No Value</v>
      </c>
      <c r="AK155" s="92"/>
      <c r="AL155" s="96" t="str">
        <f>IFERROR(IF($E155="Yes","IPP",VLOOKUP($J155,'ELA Reading Logic'!$A$3:$K$9,VLOOKUP(AK$1,'ELA Reading Logic'!$J$22:$K$31,2,FALSE),FALSE)),"Set Grade")</f>
        <v>Set Grade</v>
      </c>
      <c r="AM155" s="96" t="str">
        <f>IFERROR(IF($E155="Yes","IPP",VLOOKUP($J155,'ELA Reading Logic'!$A$13:$K$19,VLOOKUP(AK$1,'ELA Reading Logic'!$J$22:$K$31,2,FALSE),FALSE)),"Set Grade")</f>
        <v>Set Grade</v>
      </c>
      <c r="AN155" s="96" t="str">
        <f>IF($E155="Yes","IPP",IFERROR(IF(AND(AK155&gt;AL155,AK155&lt;AM155),"0",(VLOOKUP(AK155,'ELA Reading Logic'!$A$22:$B$48,2,FALSE))-(IF(VLOOKUP(AK155,'ELA Reading Logic'!$A$22:$B$48,2,FALSE)&lt;=VLOOKUP(AL155,'ELA Reading Logic'!$A$22:$B$48,2,FALSE),VLOOKUP(AL155,'ELA Reading Logic'!$A$22:$B$48,2,FALSE),IF(VLOOKUP(AK155,'ELA Reading Logic'!$A$22:$B$48,2,FALSE)&gt;=VLOOKUP(AM155,'ELA Reading Logic'!$A$22:$B$48,2,FALSE),VLOOKUP(AM155,'ELA Reading Logic'!$A$22:$B$48,2,FALSE),"No Score")))),"No Value"))</f>
        <v>No Value</v>
      </c>
      <c r="AO155" s="96" t="str">
        <f>IFERROR(VLOOKUP(AK155,'ELA Reading Logic'!$A$22:$B$48,2,FALSE)-VLOOKUP($F155,'ELA Reading Logic'!$A$22:$B$48,2,FALSE),"No Value")</f>
        <v>No Value</v>
      </c>
      <c r="AP155" s="92"/>
      <c r="AQ155" s="96" t="str">
        <f>IFERROR(IF($E155="Yes","IPP",VLOOKUP($J155,'ELA Reading Logic'!$A$3:$K$9,VLOOKUP(AP$1,'ELA Reading Logic'!$J$22:$K$31,2,FALSE),FALSE)),"Set Grade")</f>
        <v>Set Grade</v>
      </c>
      <c r="AR155" s="96" t="str">
        <f>IFERROR(IF($E155="Yes","IPP",VLOOKUP($J155,'ELA Reading Logic'!$A$13:$K$19,VLOOKUP(AP$1,'ELA Reading Logic'!$J$22:$K$31,2,FALSE),FALSE)),"Set Grade")</f>
        <v>Set Grade</v>
      </c>
      <c r="AS155" s="96" t="str">
        <f>IF($E155="Yes","IPP",IFERROR(IF(AND(AP155&gt;AQ155,AP155&lt;AR155),"0",(VLOOKUP(AP155,'ELA Reading Logic'!$A$22:$B$48,2,FALSE))-(IF(VLOOKUP(AP155,'ELA Reading Logic'!$A$22:$B$48,2,FALSE)&lt;=VLOOKUP(AQ155,'ELA Reading Logic'!$A$22:$B$48,2,FALSE),VLOOKUP(AQ155,'ELA Reading Logic'!$A$22:$B$48,2,FALSE),IF(VLOOKUP(AP155,'ELA Reading Logic'!$A$22:$B$48,2,FALSE)&gt;=VLOOKUP(AR155,'ELA Reading Logic'!$A$22:$B$48,2,FALSE),VLOOKUP(AR155,'ELA Reading Logic'!$A$22:$B$48,2,FALSE),"No Score")))),"No Value"))</f>
        <v>No Value</v>
      </c>
      <c r="AT155" s="96" t="str">
        <f>IFERROR(VLOOKUP(AP155,'ELA Reading Logic'!$A$22:$B$48,2,FALSE)-VLOOKUP($F155,'ELA Reading Logic'!$A$22:$B$48,2,FALSE),"No Value")</f>
        <v>No Value</v>
      </c>
    </row>
    <row r="156" spans="1:46" ht="22.5" customHeight="1" x14ac:dyDescent="0.25">
      <c r="A156" s="176"/>
      <c r="B156" s="176"/>
      <c r="C156" s="176"/>
      <c r="D156" s="176"/>
      <c r="E156" s="175"/>
      <c r="F156" s="175"/>
      <c r="G156" s="177" t="str">
        <f>IFERROR(IF($E156="Yes","IPP",VLOOKUP($J156,'ELA Reading Logic'!$A$3:$K$9,VLOOKUP("September",'ELA Reading Logic'!$J$22:$K$31,2,FALSE),FALSE)),"Set Grade")</f>
        <v>Set Grade</v>
      </c>
      <c r="H156" s="177" t="str">
        <f>IFERROR(IF($E156="Yes","IPP",VLOOKUP($J156,'ELA Reading Logic'!$A$13:$K$19,VLOOKUP("September",'ELA Reading Logic'!$J$22:$K$31,2,FALSE),FALSE)),"Set Grade")</f>
        <v>Set Grade</v>
      </c>
      <c r="I156" s="96" t="str">
        <f>IF($E156="Yes","IPP",IFERROR(IF(AND(F156&gt;G156,F156&lt;H156),"0",(VLOOKUP(F156,'ELA Reading Logic'!$A$22:$B$48,2,FALSE))-(IF(VLOOKUP(F156,'ELA Reading Logic'!$A$22:$B$48,2,FALSE)&lt;=VLOOKUP(G156,'ELA Reading Logic'!$A$22:$B$48,2,FALSE),VLOOKUP(G156,'ELA Reading Logic'!$A$22:$B$48,2,FALSE),IF(VLOOKUP(F156,'ELA Reading Logic'!$A$22:$B$48,2,FALSE)&gt;=VLOOKUP(H156,'ELA Reading Logic'!$A$22:$B$48,2,FALSE),VLOOKUP(H156,'ELA Reading Logic'!$A$22:$B$48,2,FALSE),"No Score")))),"No Value"))</f>
        <v>No Value</v>
      </c>
      <c r="J156" s="178"/>
      <c r="K156" s="96"/>
      <c r="L156" s="96"/>
      <c r="M156" s="96"/>
      <c r="N156" s="96"/>
      <c r="O156" s="96"/>
      <c r="P156" s="105"/>
      <c r="Q156" s="92"/>
      <c r="R156" s="96" t="str">
        <f>IFERROR(IF($E156="Yes","IPP",VLOOKUP($J156,'ELA Reading Logic'!$A$3:$K$9,VLOOKUP(Q$1,'ELA Reading Logic'!$J$22:$K$31,2,FALSE),FALSE)),"Set Grade")</f>
        <v>Set Grade</v>
      </c>
      <c r="S156" s="96" t="str">
        <f>IFERROR(IF($E156="Yes","IPP",VLOOKUP($J156,'ELA Reading Logic'!$A$13:$K$19,VLOOKUP(Q$1,'ELA Reading Logic'!$J$22:$K$31,2,FALSE),FALSE)),"Set Grade")</f>
        <v>Set Grade</v>
      </c>
      <c r="T156" s="96" t="str">
        <f>IF($E156="Yes","IPP",IFERROR(IF(AND(Q156&gt;R156,Q156&lt;S156),"0",(VLOOKUP(Q156,'ELA Reading Logic'!$A$22:$B$48,2,FALSE))-(IF(VLOOKUP(Q156,'ELA Reading Logic'!$A$22:$B$48,2,FALSE)&lt;=VLOOKUP(R156,'ELA Reading Logic'!$A$22:$B$48,2,FALSE),VLOOKUP(R156,'ELA Reading Logic'!$A$22:$B$48,2,FALSE),IF(VLOOKUP(Q156,'ELA Reading Logic'!$A$22:$B$48,2,FALSE)&gt;=VLOOKUP(S156,'ELA Reading Logic'!$A$22:$B$48,2,FALSE),VLOOKUP(S156,'ELA Reading Logic'!$A$22:$B$48,2,FALSE),"No Score")))),"No Value"))</f>
        <v>No Value</v>
      </c>
      <c r="U156" s="96" t="str">
        <f>IFERROR(VLOOKUP(Q156,'ELA Reading Logic'!$A$22:$B$48,2,FALSE)-VLOOKUP($F156,'ELA Reading Logic'!$A$22:$B$48,2,FALSE),"No Value")</f>
        <v>No Value</v>
      </c>
      <c r="V156" s="92"/>
      <c r="W156" s="96" t="str">
        <f>IFERROR(IF($E156="Yes","IPP",VLOOKUP($J156,'ELA Reading Logic'!$A$3:$K$9,VLOOKUP(V$1,'ELA Reading Logic'!$J$22:$K$31,2,FALSE),FALSE)),"Set Grade")</f>
        <v>Set Grade</v>
      </c>
      <c r="X156" s="96" t="str">
        <f>IFERROR(IF($E156="Yes","IPP",VLOOKUP($J156,'ELA Reading Logic'!$A$13:$K$19,VLOOKUP(V$1,'ELA Reading Logic'!$J$22:$K$31,2,FALSE),FALSE)),"Set Grade")</f>
        <v>Set Grade</v>
      </c>
      <c r="Y156" s="96" t="str">
        <f>IF($E156="Yes","IPP",IFERROR(IF(AND(V156&gt;W156,V156&lt;X156),"0",(VLOOKUP(V156,'ELA Reading Logic'!$A$22:$B$48,2,FALSE))-(IF(VLOOKUP(V156,'ELA Reading Logic'!$A$22:$B$48,2,FALSE)&lt;=VLOOKUP(W156,'ELA Reading Logic'!$A$22:$B$48,2,FALSE),VLOOKUP(W156,'ELA Reading Logic'!$A$22:$B$48,2,FALSE),IF(VLOOKUP(V156,'ELA Reading Logic'!$A$22:$B$48,2,FALSE)&gt;=VLOOKUP(X156,'ELA Reading Logic'!$A$22:$B$48,2,FALSE),VLOOKUP(X156,'ELA Reading Logic'!$A$22:$B$48,2,FALSE),"No Score")))),"No Value"))</f>
        <v>No Value</v>
      </c>
      <c r="Z156" s="96" t="str">
        <f>IFERROR(VLOOKUP(V156,'ELA Reading Logic'!$A$22:$B$48,2,FALSE)-VLOOKUP($F156,'ELA Reading Logic'!$A$22:$B$48,2,FALSE),"No Value")</f>
        <v>No Value</v>
      </c>
      <c r="AA156" s="92"/>
      <c r="AB156" s="96" t="str">
        <f>IFERROR(IF($E156="Yes","IPP",VLOOKUP($J156,'ELA Reading Logic'!$A$3:$K$9,VLOOKUP(AA$1,'ELA Reading Logic'!$J$22:$K$31,2,FALSE),FALSE)),"Set Grade")</f>
        <v>Set Grade</v>
      </c>
      <c r="AC156" s="96" t="str">
        <f>IFERROR(IF($E156="Yes","IPP",VLOOKUP($J156,'ELA Reading Logic'!$A$13:$K$19,VLOOKUP(AA$1,'ELA Reading Logic'!$J$22:$K$31,2,FALSE),FALSE)),"Set Grade")</f>
        <v>Set Grade</v>
      </c>
      <c r="AD156" s="96" t="str">
        <f>IF($E156="Yes","IPP",IFERROR(IF(AND(AA156&gt;AB156,AA156&lt;AC156),"0",(VLOOKUP(AA156,'ELA Reading Logic'!$A$22:$B$48,2,FALSE))-(IF(VLOOKUP(AA156,'ELA Reading Logic'!$A$22:$B$48,2,FALSE)&lt;=VLOOKUP(AB156,'ELA Reading Logic'!$A$22:$B$48,2,FALSE),VLOOKUP(AB156,'ELA Reading Logic'!$A$22:$B$48,2,FALSE),IF(VLOOKUP(AA156,'ELA Reading Logic'!$A$22:$B$48,2,FALSE)&gt;=VLOOKUP(AC156,'ELA Reading Logic'!$A$22:$B$48,2,FALSE),VLOOKUP(AC156,'ELA Reading Logic'!$A$22:$B$48,2,FALSE),"No Score")))),"No Value"))</f>
        <v>No Value</v>
      </c>
      <c r="AE156" s="96" t="str">
        <f>IFERROR(VLOOKUP(AA156,'ELA Reading Logic'!$A$22:$B$48,2,FALSE)-VLOOKUP($F156,'ELA Reading Logic'!$A$22:$B$48,2,FALSE),"No Value")</f>
        <v>No Value</v>
      </c>
      <c r="AF156" s="92"/>
      <c r="AG156" s="96" t="str">
        <f>IFERROR(IF($E156="Yes","IPP",VLOOKUP($J156,'ELA Reading Logic'!$A$3:$K$9,VLOOKUP(AF$1,'ELA Reading Logic'!$J$22:$K$31,2,FALSE),FALSE)),"Set Grade")</f>
        <v>Set Grade</v>
      </c>
      <c r="AH156" s="96" t="str">
        <f>IFERROR(IF($E156="Yes","IPP",VLOOKUP($J156,'ELA Reading Logic'!$A$13:$K$19,VLOOKUP(AF$1,'ELA Reading Logic'!$J$22:$K$31,2,FALSE),FALSE)),"Set Grade")</f>
        <v>Set Grade</v>
      </c>
      <c r="AI156" s="96" t="str">
        <f>IF($E156="Yes","IPP",IFERROR(IF(AND(AF156&gt;AG156,AF156&lt;AH156),"0",(VLOOKUP(AF156,'ELA Reading Logic'!$A$22:$B$48,2,FALSE))-(IF(VLOOKUP(AF156,'ELA Reading Logic'!$A$22:$B$48,2,FALSE)&lt;=VLOOKUP(AG156,'ELA Reading Logic'!$A$22:$B$48,2,FALSE),VLOOKUP(AG156,'ELA Reading Logic'!$A$22:$B$48,2,FALSE),IF(VLOOKUP(AF156,'ELA Reading Logic'!$A$22:$B$48,2,FALSE)&gt;=VLOOKUP(AH156,'ELA Reading Logic'!$A$22:$B$48,2,FALSE),VLOOKUP(AH156,'ELA Reading Logic'!$A$22:$B$48,2,FALSE),"No Score")))),"No Value"))</f>
        <v>No Value</v>
      </c>
      <c r="AJ156" s="96" t="str">
        <f>IFERROR(VLOOKUP(AF156,'ELA Reading Logic'!$A$22:$B$48,2,FALSE)-VLOOKUP($F156,'ELA Reading Logic'!$A$22:$B$48,2,FALSE),"No Value")</f>
        <v>No Value</v>
      </c>
      <c r="AK156" s="92"/>
      <c r="AL156" s="96" t="str">
        <f>IFERROR(IF($E156="Yes","IPP",VLOOKUP($J156,'ELA Reading Logic'!$A$3:$K$9,VLOOKUP(AK$1,'ELA Reading Logic'!$J$22:$K$31,2,FALSE),FALSE)),"Set Grade")</f>
        <v>Set Grade</v>
      </c>
      <c r="AM156" s="96" t="str">
        <f>IFERROR(IF($E156="Yes","IPP",VLOOKUP($J156,'ELA Reading Logic'!$A$13:$K$19,VLOOKUP(AK$1,'ELA Reading Logic'!$J$22:$K$31,2,FALSE),FALSE)),"Set Grade")</f>
        <v>Set Grade</v>
      </c>
      <c r="AN156" s="96" t="str">
        <f>IF($E156="Yes","IPP",IFERROR(IF(AND(AK156&gt;AL156,AK156&lt;AM156),"0",(VLOOKUP(AK156,'ELA Reading Logic'!$A$22:$B$48,2,FALSE))-(IF(VLOOKUP(AK156,'ELA Reading Logic'!$A$22:$B$48,2,FALSE)&lt;=VLOOKUP(AL156,'ELA Reading Logic'!$A$22:$B$48,2,FALSE),VLOOKUP(AL156,'ELA Reading Logic'!$A$22:$B$48,2,FALSE),IF(VLOOKUP(AK156,'ELA Reading Logic'!$A$22:$B$48,2,FALSE)&gt;=VLOOKUP(AM156,'ELA Reading Logic'!$A$22:$B$48,2,FALSE),VLOOKUP(AM156,'ELA Reading Logic'!$A$22:$B$48,2,FALSE),"No Score")))),"No Value"))</f>
        <v>No Value</v>
      </c>
      <c r="AO156" s="96" t="str">
        <f>IFERROR(VLOOKUP(AK156,'ELA Reading Logic'!$A$22:$B$48,2,FALSE)-VLOOKUP($F156,'ELA Reading Logic'!$A$22:$B$48,2,FALSE),"No Value")</f>
        <v>No Value</v>
      </c>
      <c r="AP156" s="92"/>
      <c r="AQ156" s="96" t="str">
        <f>IFERROR(IF($E156="Yes","IPP",VLOOKUP($J156,'ELA Reading Logic'!$A$3:$K$9,VLOOKUP(AP$1,'ELA Reading Logic'!$J$22:$K$31,2,FALSE),FALSE)),"Set Grade")</f>
        <v>Set Grade</v>
      </c>
      <c r="AR156" s="96" t="str">
        <f>IFERROR(IF($E156="Yes","IPP",VLOOKUP($J156,'ELA Reading Logic'!$A$13:$K$19,VLOOKUP(AP$1,'ELA Reading Logic'!$J$22:$K$31,2,FALSE),FALSE)),"Set Grade")</f>
        <v>Set Grade</v>
      </c>
      <c r="AS156" s="96" t="str">
        <f>IF($E156="Yes","IPP",IFERROR(IF(AND(AP156&gt;AQ156,AP156&lt;AR156),"0",(VLOOKUP(AP156,'ELA Reading Logic'!$A$22:$B$48,2,FALSE))-(IF(VLOOKUP(AP156,'ELA Reading Logic'!$A$22:$B$48,2,FALSE)&lt;=VLOOKUP(AQ156,'ELA Reading Logic'!$A$22:$B$48,2,FALSE),VLOOKUP(AQ156,'ELA Reading Logic'!$A$22:$B$48,2,FALSE),IF(VLOOKUP(AP156,'ELA Reading Logic'!$A$22:$B$48,2,FALSE)&gt;=VLOOKUP(AR156,'ELA Reading Logic'!$A$22:$B$48,2,FALSE),VLOOKUP(AR156,'ELA Reading Logic'!$A$22:$B$48,2,FALSE),"No Score")))),"No Value"))</f>
        <v>No Value</v>
      </c>
      <c r="AT156" s="96" t="str">
        <f>IFERROR(VLOOKUP(AP156,'ELA Reading Logic'!$A$22:$B$48,2,FALSE)-VLOOKUP($F156,'ELA Reading Logic'!$A$22:$B$48,2,FALSE),"No Value")</f>
        <v>No Value</v>
      </c>
    </row>
    <row r="157" spans="1:46" ht="22.5" customHeight="1" x14ac:dyDescent="0.25">
      <c r="A157" s="174"/>
      <c r="B157" s="174"/>
      <c r="C157" s="174"/>
      <c r="D157" s="174"/>
      <c r="E157" s="175"/>
      <c r="F157" s="175"/>
      <c r="G157" s="177" t="str">
        <f>IFERROR(IF($E157="Yes","IPP",VLOOKUP($J157,'ELA Reading Logic'!$A$3:$K$9,VLOOKUP("September",'ELA Reading Logic'!$J$22:$K$31,2,FALSE),FALSE)),"Set Grade")</f>
        <v>Set Grade</v>
      </c>
      <c r="H157" s="177" t="str">
        <f>IFERROR(IF($E157="Yes","IPP",VLOOKUP($J157,'ELA Reading Logic'!$A$13:$K$19,VLOOKUP("September",'ELA Reading Logic'!$J$22:$K$31,2,FALSE),FALSE)),"Set Grade")</f>
        <v>Set Grade</v>
      </c>
      <c r="I157" s="96" t="str">
        <f>IF($E157="Yes","IPP",IFERROR(IF(AND(F157&gt;G157,F157&lt;H157),"0",(VLOOKUP(F157,'ELA Reading Logic'!$A$22:$B$48,2,FALSE))-(IF(VLOOKUP(F157,'ELA Reading Logic'!$A$22:$B$48,2,FALSE)&lt;=VLOOKUP(G157,'ELA Reading Logic'!$A$22:$B$48,2,FALSE),VLOOKUP(G157,'ELA Reading Logic'!$A$22:$B$48,2,FALSE),IF(VLOOKUP(F157,'ELA Reading Logic'!$A$22:$B$48,2,FALSE)&gt;=VLOOKUP(H157,'ELA Reading Logic'!$A$22:$B$48,2,FALSE),VLOOKUP(H157,'ELA Reading Logic'!$A$22:$B$48,2,FALSE),"No Score")))),"No Value"))</f>
        <v>No Value</v>
      </c>
      <c r="J157" s="178"/>
      <c r="K157" s="96"/>
      <c r="L157" s="96"/>
      <c r="M157" s="96"/>
      <c r="N157" s="96"/>
      <c r="O157" s="96"/>
      <c r="P157" s="105"/>
      <c r="Q157" s="92"/>
      <c r="R157" s="96" t="str">
        <f>IFERROR(IF($E157="Yes","IPP",VLOOKUP($J157,'ELA Reading Logic'!$A$3:$K$9,VLOOKUP(Q$1,'ELA Reading Logic'!$J$22:$K$31,2,FALSE),FALSE)),"Set Grade")</f>
        <v>Set Grade</v>
      </c>
      <c r="S157" s="96" t="str">
        <f>IFERROR(IF($E157="Yes","IPP",VLOOKUP($J157,'ELA Reading Logic'!$A$13:$K$19,VLOOKUP(Q$1,'ELA Reading Logic'!$J$22:$K$31,2,FALSE),FALSE)),"Set Grade")</f>
        <v>Set Grade</v>
      </c>
      <c r="T157" s="96" t="str">
        <f>IF($E157="Yes","IPP",IFERROR(IF(AND(Q157&gt;R157,Q157&lt;S157),"0",(VLOOKUP(Q157,'ELA Reading Logic'!$A$22:$B$48,2,FALSE))-(IF(VLOOKUP(Q157,'ELA Reading Logic'!$A$22:$B$48,2,FALSE)&lt;=VLOOKUP(R157,'ELA Reading Logic'!$A$22:$B$48,2,FALSE),VLOOKUP(R157,'ELA Reading Logic'!$A$22:$B$48,2,FALSE),IF(VLOOKUP(Q157,'ELA Reading Logic'!$A$22:$B$48,2,FALSE)&gt;=VLOOKUP(S157,'ELA Reading Logic'!$A$22:$B$48,2,FALSE),VLOOKUP(S157,'ELA Reading Logic'!$A$22:$B$48,2,FALSE),"No Score")))),"No Value"))</f>
        <v>No Value</v>
      </c>
      <c r="U157" s="96" t="str">
        <f>IFERROR(VLOOKUP(Q157,'ELA Reading Logic'!$A$22:$B$48,2,FALSE)-VLOOKUP($F157,'ELA Reading Logic'!$A$22:$B$48,2,FALSE),"No Value")</f>
        <v>No Value</v>
      </c>
      <c r="V157" s="92"/>
      <c r="W157" s="96" t="str">
        <f>IFERROR(IF($E157="Yes","IPP",VLOOKUP($J157,'ELA Reading Logic'!$A$3:$K$9,VLOOKUP(V$1,'ELA Reading Logic'!$J$22:$K$31,2,FALSE),FALSE)),"Set Grade")</f>
        <v>Set Grade</v>
      </c>
      <c r="X157" s="96" t="str">
        <f>IFERROR(IF($E157="Yes","IPP",VLOOKUP($J157,'ELA Reading Logic'!$A$13:$K$19,VLOOKUP(V$1,'ELA Reading Logic'!$J$22:$K$31,2,FALSE),FALSE)),"Set Grade")</f>
        <v>Set Grade</v>
      </c>
      <c r="Y157" s="96" t="str">
        <f>IF($E157="Yes","IPP",IFERROR(IF(AND(V157&gt;W157,V157&lt;X157),"0",(VLOOKUP(V157,'ELA Reading Logic'!$A$22:$B$48,2,FALSE))-(IF(VLOOKUP(V157,'ELA Reading Logic'!$A$22:$B$48,2,FALSE)&lt;=VLOOKUP(W157,'ELA Reading Logic'!$A$22:$B$48,2,FALSE),VLOOKUP(W157,'ELA Reading Logic'!$A$22:$B$48,2,FALSE),IF(VLOOKUP(V157,'ELA Reading Logic'!$A$22:$B$48,2,FALSE)&gt;=VLOOKUP(X157,'ELA Reading Logic'!$A$22:$B$48,2,FALSE),VLOOKUP(X157,'ELA Reading Logic'!$A$22:$B$48,2,FALSE),"No Score")))),"No Value"))</f>
        <v>No Value</v>
      </c>
      <c r="Z157" s="96" t="str">
        <f>IFERROR(VLOOKUP(V157,'ELA Reading Logic'!$A$22:$B$48,2,FALSE)-VLOOKUP($F157,'ELA Reading Logic'!$A$22:$B$48,2,FALSE),"No Value")</f>
        <v>No Value</v>
      </c>
      <c r="AA157" s="92"/>
      <c r="AB157" s="96" t="str">
        <f>IFERROR(IF($E157="Yes","IPP",VLOOKUP($J157,'ELA Reading Logic'!$A$3:$K$9,VLOOKUP(AA$1,'ELA Reading Logic'!$J$22:$K$31,2,FALSE),FALSE)),"Set Grade")</f>
        <v>Set Grade</v>
      </c>
      <c r="AC157" s="96" t="str">
        <f>IFERROR(IF($E157="Yes","IPP",VLOOKUP($J157,'ELA Reading Logic'!$A$13:$K$19,VLOOKUP(AA$1,'ELA Reading Logic'!$J$22:$K$31,2,FALSE),FALSE)),"Set Grade")</f>
        <v>Set Grade</v>
      </c>
      <c r="AD157" s="96" t="str">
        <f>IF($E157="Yes","IPP",IFERROR(IF(AND(AA157&gt;AB157,AA157&lt;AC157),"0",(VLOOKUP(AA157,'ELA Reading Logic'!$A$22:$B$48,2,FALSE))-(IF(VLOOKUP(AA157,'ELA Reading Logic'!$A$22:$B$48,2,FALSE)&lt;=VLOOKUP(AB157,'ELA Reading Logic'!$A$22:$B$48,2,FALSE),VLOOKUP(AB157,'ELA Reading Logic'!$A$22:$B$48,2,FALSE),IF(VLOOKUP(AA157,'ELA Reading Logic'!$A$22:$B$48,2,FALSE)&gt;=VLOOKUP(AC157,'ELA Reading Logic'!$A$22:$B$48,2,FALSE),VLOOKUP(AC157,'ELA Reading Logic'!$A$22:$B$48,2,FALSE),"No Score")))),"No Value"))</f>
        <v>No Value</v>
      </c>
      <c r="AE157" s="96" t="str">
        <f>IFERROR(VLOOKUP(AA157,'ELA Reading Logic'!$A$22:$B$48,2,FALSE)-VLOOKUP($F157,'ELA Reading Logic'!$A$22:$B$48,2,FALSE),"No Value")</f>
        <v>No Value</v>
      </c>
      <c r="AF157" s="92"/>
      <c r="AG157" s="96" t="str">
        <f>IFERROR(IF($E157="Yes","IPP",VLOOKUP($J157,'ELA Reading Logic'!$A$3:$K$9,VLOOKUP(AF$1,'ELA Reading Logic'!$J$22:$K$31,2,FALSE),FALSE)),"Set Grade")</f>
        <v>Set Grade</v>
      </c>
      <c r="AH157" s="96" t="str">
        <f>IFERROR(IF($E157="Yes","IPP",VLOOKUP($J157,'ELA Reading Logic'!$A$13:$K$19,VLOOKUP(AF$1,'ELA Reading Logic'!$J$22:$K$31,2,FALSE),FALSE)),"Set Grade")</f>
        <v>Set Grade</v>
      </c>
      <c r="AI157" s="96" t="str">
        <f>IF($E157="Yes","IPP",IFERROR(IF(AND(AF157&gt;AG157,AF157&lt;AH157),"0",(VLOOKUP(AF157,'ELA Reading Logic'!$A$22:$B$48,2,FALSE))-(IF(VLOOKUP(AF157,'ELA Reading Logic'!$A$22:$B$48,2,FALSE)&lt;=VLOOKUP(AG157,'ELA Reading Logic'!$A$22:$B$48,2,FALSE),VLOOKUP(AG157,'ELA Reading Logic'!$A$22:$B$48,2,FALSE),IF(VLOOKUP(AF157,'ELA Reading Logic'!$A$22:$B$48,2,FALSE)&gt;=VLOOKUP(AH157,'ELA Reading Logic'!$A$22:$B$48,2,FALSE),VLOOKUP(AH157,'ELA Reading Logic'!$A$22:$B$48,2,FALSE),"No Score")))),"No Value"))</f>
        <v>No Value</v>
      </c>
      <c r="AJ157" s="96" t="str">
        <f>IFERROR(VLOOKUP(AF157,'ELA Reading Logic'!$A$22:$B$48,2,FALSE)-VLOOKUP($F157,'ELA Reading Logic'!$A$22:$B$48,2,FALSE),"No Value")</f>
        <v>No Value</v>
      </c>
      <c r="AK157" s="92"/>
      <c r="AL157" s="96" t="str">
        <f>IFERROR(IF($E157="Yes","IPP",VLOOKUP($J157,'ELA Reading Logic'!$A$3:$K$9,VLOOKUP(AK$1,'ELA Reading Logic'!$J$22:$K$31,2,FALSE),FALSE)),"Set Grade")</f>
        <v>Set Grade</v>
      </c>
      <c r="AM157" s="96" t="str">
        <f>IFERROR(IF($E157="Yes","IPP",VLOOKUP($J157,'ELA Reading Logic'!$A$13:$K$19,VLOOKUP(AK$1,'ELA Reading Logic'!$J$22:$K$31,2,FALSE),FALSE)),"Set Grade")</f>
        <v>Set Grade</v>
      </c>
      <c r="AN157" s="96" t="str">
        <f>IF($E157="Yes","IPP",IFERROR(IF(AND(AK157&gt;AL157,AK157&lt;AM157),"0",(VLOOKUP(AK157,'ELA Reading Logic'!$A$22:$B$48,2,FALSE))-(IF(VLOOKUP(AK157,'ELA Reading Logic'!$A$22:$B$48,2,FALSE)&lt;=VLOOKUP(AL157,'ELA Reading Logic'!$A$22:$B$48,2,FALSE),VLOOKUP(AL157,'ELA Reading Logic'!$A$22:$B$48,2,FALSE),IF(VLOOKUP(AK157,'ELA Reading Logic'!$A$22:$B$48,2,FALSE)&gt;=VLOOKUP(AM157,'ELA Reading Logic'!$A$22:$B$48,2,FALSE),VLOOKUP(AM157,'ELA Reading Logic'!$A$22:$B$48,2,FALSE),"No Score")))),"No Value"))</f>
        <v>No Value</v>
      </c>
      <c r="AO157" s="96" t="str">
        <f>IFERROR(VLOOKUP(AK157,'ELA Reading Logic'!$A$22:$B$48,2,FALSE)-VLOOKUP($F157,'ELA Reading Logic'!$A$22:$B$48,2,FALSE),"No Value")</f>
        <v>No Value</v>
      </c>
      <c r="AP157" s="92"/>
      <c r="AQ157" s="96" t="str">
        <f>IFERROR(IF($E157="Yes","IPP",VLOOKUP($J157,'ELA Reading Logic'!$A$3:$K$9,VLOOKUP(AP$1,'ELA Reading Logic'!$J$22:$K$31,2,FALSE),FALSE)),"Set Grade")</f>
        <v>Set Grade</v>
      </c>
      <c r="AR157" s="96" t="str">
        <f>IFERROR(IF($E157="Yes","IPP",VLOOKUP($J157,'ELA Reading Logic'!$A$13:$K$19,VLOOKUP(AP$1,'ELA Reading Logic'!$J$22:$K$31,2,FALSE),FALSE)),"Set Grade")</f>
        <v>Set Grade</v>
      </c>
      <c r="AS157" s="96" t="str">
        <f>IF($E157="Yes","IPP",IFERROR(IF(AND(AP157&gt;AQ157,AP157&lt;AR157),"0",(VLOOKUP(AP157,'ELA Reading Logic'!$A$22:$B$48,2,FALSE))-(IF(VLOOKUP(AP157,'ELA Reading Logic'!$A$22:$B$48,2,FALSE)&lt;=VLOOKUP(AQ157,'ELA Reading Logic'!$A$22:$B$48,2,FALSE),VLOOKUP(AQ157,'ELA Reading Logic'!$A$22:$B$48,2,FALSE),IF(VLOOKUP(AP157,'ELA Reading Logic'!$A$22:$B$48,2,FALSE)&gt;=VLOOKUP(AR157,'ELA Reading Logic'!$A$22:$B$48,2,FALSE),VLOOKUP(AR157,'ELA Reading Logic'!$A$22:$B$48,2,FALSE),"No Score")))),"No Value"))</f>
        <v>No Value</v>
      </c>
      <c r="AT157" s="96" t="str">
        <f>IFERROR(VLOOKUP(AP157,'ELA Reading Logic'!$A$22:$B$48,2,FALSE)-VLOOKUP($F157,'ELA Reading Logic'!$A$22:$B$48,2,FALSE),"No Value")</f>
        <v>No Value</v>
      </c>
    </row>
    <row r="158" spans="1:46" ht="22.5" customHeight="1" x14ac:dyDescent="0.25">
      <c r="A158" s="176"/>
      <c r="B158" s="176"/>
      <c r="C158" s="176"/>
      <c r="D158" s="176"/>
      <c r="E158" s="175"/>
      <c r="F158" s="175"/>
      <c r="G158" s="177" t="str">
        <f>IFERROR(IF($E158="Yes","IPP",VLOOKUP($J158,'ELA Reading Logic'!$A$3:$K$9,VLOOKUP("September",'ELA Reading Logic'!$J$22:$K$31,2,FALSE),FALSE)),"Set Grade")</f>
        <v>Set Grade</v>
      </c>
      <c r="H158" s="177" t="str">
        <f>IFERROR(IF($E158="Yes","IPP",VLOOKUP($J158,'ELA Reading Logic'!$A$13:$K$19,VLOOKUP("September",'ELA Reading Logic'!$J$22:$K$31,2,FALSE),FALSE)),"Set Grade")</f>
        <v>Set Grade</v>
      </c>
      <c r="I158" s="96" t="str">
        <f>IF($E158="Yes","IPP",IFERROR(IF(AND(F158&gt;G158,F158&lt;H158),"0",(VLOOKUP(F158,'ELA Reading Logic'!$A$22:$B$48,2,FALSE))-(IF(VLOOKUP(F158,'ELA Reading Logic'!$A$22:$B$48,2,FALSE)&lt;=VLOOKUP(G158,'ELA Reading Logic'!$A$22:$B$48,2,FALSE),VLOOKUP(G158,'ELA Reading Logic'!$A$22:$B$48,2,FALSE),IF(VLOOKUP(F158,'ELA Reading Logic'!$A$22:$B$48,2,FALSE)&gt;=VLOOKUP(H158,'ELA Reading Logic'!$A$22:$B$48,2,FALSE),VLOOKUP(H158,'ELA Reading Logic'!$A$22:$B$48,2,FALSE),"No Score")))),"No Value"))</f>
        <v>No Value</v>
      </c>
      <c r="J158" s="178"/>
      <c r="K158" s="96"/>
      <c r="L158" s="96"/>
      <c r="M158" s="96"/>
      <c r="N158" s="96"/>
      <c r="O158" s="96"/>
      <c r="P158" s="105"/>
      <c r="Q158" s="92"/>
      <c r="R158" s="96" t="str">
        <f>IFERROR(IF($E158="Yes","IPP",VLOOKUP($J158,'ELA Reading Logic'!$A$3:$K$9,VLOOKUP(Q$1,'ELA Reading Logic'!$J$22:$K$31,2,FALSE),FALSE)),"Set Grade")</f>
        <v>Set Grade</v>
      </c>
      <c r="S158" s="96" t="str">
        <f>IFERROR(IF($E158="Yes","IPP",VLOOKUP($J158,'ELA Reading Logic'!$A$13:$K$19,VLOOKUP(Q$1,'ELA Reading Logic'!$J$22:$K$31,2,FALSE),FALSE)),"Set Grade")</f>
        <v>Set Grade</v>
      </c>
      <c r="T158" s="96" t="str">
        <f>IF($E158="Yes","IPP",IFERROR(IF(AND(Q158&gt;R158,Q158&lt;S158),"0",(VLOOKUP(Q158,'ELA Reading Logic'!$A$22:$B$48,2,FALSE))-(IF(VLOOKUP(Q158,'ELA Reading Logic'!$A$22:$B$48,2,FALSE)&lt;=VLOOKUP(R158,'ELA Reading Logic'!$A$22:$B$48,2,FALSE),VLOOKUP(R158,'ELA Reading Logic'!$A$22:$B$48,2,FALSE),IF(VLOOKUP(Q158,'ELA Reading Logic'!$A$22:$B$48,2,FALSE)&gt;=VLOOKUP(S158,'ELA Reading Logic'!$A$22:$B$48,2,FALSE),VLOOKUP(S158,'ELA Reading Logic'!$A$22:$B$48,2,FALSE),"No Score")))),"No Value"))</f>
        <v>No Value</v>
      </c>
      <c r="U158" s="96" t="str">
        <f>IFERROR(VLOOKUP(Q158,'ELA Reading Logic'!$A$22:$B$48,2,FALSE)-VLOOKUP($F158,'ELA Reading Logic'!$A$22:$B$48,2,FALSE),"No Value")</f>
        <v>No Value</v>
      </c>
      <c r="V158" s="92"/>
      <c r="W158" s="96" t="str">
        <f>IFERROR(IF($E158="Yes","IPP",VLOOKUP($J158,'ELA Reading Logic'!$A$3:$K$9,VLOOKUP(V$1,'ELA Reading Logic'!$J$22:$K$31,2,FALSE),FALSE)),"Set Grade")</f>
        <v>Set Grade</v>
      </c>
      <c r="X158" s="96" t="str">
        <f>IFERROR(IF($E158="Yes","IPP",VLOOKUP($J158,'ELA Reading Logic'!$A$13:$K$19,VLOOKUP(V$1,'ELA Reading Logic'!$J$22:$K$31,2,FALSE),FALSE)),"Set Grade")</f>
        <v>Set Grade</v>
      </c>
      <c r="Y158" s="96" t="str">
        <f>IF($E158="Yes","IPP",IFERROR(IF(AND(V158&gt;W158,V158&lt;X158),"0",(VLOOKUP(V158,'ELA Reading Logic'!$A$22:$B$48,2,FALSE))-(IF(VLOOKUP(V158,'ELA Reading Logic'!$A$22:$B$48,2,FALSE)&lt;=VLOOKUP(W158,'ELA Reading Logic'!$A$22:$B$48,2,FALSE),VLOOKUP(W158,'ELA Reading Logic'!$A$22:$B$48,2,FALSE),IF(VLOOKUP(V158,'ELA Reading Logic'!$A$22:$B$48,2,FALSE)&gt;=VLOOKUP(X158,'ELA Reading Logic'!$A$22:$B$48,2,FALSE),VLOOKUP(X158,'ELA Reading Logic'!$A$22:$B$48,2,FALSE),"No Score")))),"No Value"))</f>
        <v>No Value</v>
      </c>
      <c r="Z158" s="96" t="str">
        <f>IFERROR(VLOOKUP(V158,'ELA Reading Logic'!$A$22:$B$48,2,FALSE)-VLOOKUP($F158,'ELA Reading Logic'!$A$22:$B$48,2,FALSE),"No Value")</f>
        <v>No Value</v>
      </c>
      <c r="AA158" s="92"/>
      <c r="AB158" s="96" t="str">
        <f>IFERROR(IF($E158="Yes","IPP",VLOOKUP($J158,'ELA Reading Logic'!$A$3:$K$9,VLOOKUP(AA$1,'ELA Reading Logic'!$J$22:$K$31,2,FALSE),FALSE)),"Set Grade")</f>
        <v>Set Grade</v>
      </c>
      <c r="AC158" s="96" t="str">
        <f>IFERROR(IF($E158="Yes","IPP",VLOOKUP($J158,'ELA Reading Logic'!$A$13:$K$19,VLOOKUP(AA$1,'ELA Reading Logic'!$J$22:$K$31,2,FALSE),FALSE)),"Set Grade")</f>
        <v>Set Grade</v>
      </c>
      <c r="AD158" s="96" t="str">
        <f>IF($E158="Yes","IPP",IFERROR(IF(AND(AA158&gt;AB158,AA158&lt;AC158),"0",(VLOOKUP(AA158,'ELA Reading Logic'!$A$22:$B$48,2,FALSE))-(IF(VLOOKUP(AA158,'ELA Reading Logic'!$A$22:$B$48,2,FALSE)&lt;=VLOOKUP(AB158,'ELA Reading Logic'!$A$22:$B$48,2,FALSE),VLOOKUP(AB158,'ELA Reading Logic'!$A$22:$B$48,2,FALSE),IF(VLOOKUP(AA158,'ELA Reading Logic'!$A$22:$B$48,2,FALSE)&gt;=VLOOKUP(AC158,'ELA Reading Logic'!$A$22:$B$48,2,FALSE),VLOOKUP(AC158,'ELA Reading Logic'!$A$22:$B$48,2,FALSE),"No Score")))),"No Value"))</f>
        <v>No Value</v>
      </c>
      <c r="AE158" s="96" t="str">
        <f>IFERROR(VLOOKUP(AA158,'ELA Reading Logic'!$A$22:$B$48,2,FALSE)-VLOOKUP($F158,'ELA Reading Logic'!$A$22:$B$48,2,FALSE),"No Value")</f>
        <v>No Value</v>
      </c>
      <c r="AF158" s="92"/>
      <c r="AG158" s="96" t="str">
        <f>IFERROR(IF($E158="Yes","IPP",VLOOKUP($J158,'ELA Reading Logic'!$A$3:$K$9,VLOOKUP(AF$1,'ELA Reading Logic'!$J$22:$K$31,2,FALSE),FALSE)),"Set Grade")</f>
        <v>Set Grade</v>
      </c>
      <c r="AH158" s="96" t="str">
        <f>IFERROR(IF($E158="Yes","IPP",VLOOKUP($J158,'ELA Reading Logic'!$A$13:$K$19,VLOOKUP(AF$1,'ELA Reading Logic'!$J$22:$K$31,2,FALSE),FALSE)),"Set Grade")</f>
        <v>Set Grade</v>
      </c>
      <c r="AI158" s="96" t="str">
        <f>IF($E158="Yes","IPP",IFERROR(IF(AND(AF158&gt;AG158,AF158&lt;AH158),"0",(VLOOKUP(AF158,'ELA Reading Logic'!$A$22:$B$48,2,FALSE))-(IF(VLOOKUP(AF158,'ELA Reading Logic'!$A$22:$B$48,2,FALSE)&lt;=VLOOKUP(AG158,'ELA Reading Logic'!$A$22:$B$48,2,FALSE),VLOOKUP(AG158,'ELA Reading Logic'!$A$22:$B$48,2,FALSE),IF(VLOOKUP(AF158,'ELA Reading Logic'!$A$22:$B$48,2,FALSE)&gt;=VLOOKUP(AH158,'ELA Reading Logic'!$A$22:$B$48,2,FALSE),VLOOKUP(AH158,'ELA Reading Logic'!$A$22:$B$48,2,FALSE),"No Score")))),"No Value"))</f>
        <v>No Value</v>
      </c>
      <c r="AJ158" s="96" t="str">
        <f>IFERROR(VLOOKUP(AF158,'ELA Reading Logic'!$A$22:$B$48,2,FALSE)-VLOOKUP($F158,'ELA Reading Logic'!$A$22:$B$48,2,FALSE),"No Value")</f>
        <v>No Value</v>
      </c>
      <c r="AK158" s="92"/>
      <c r="AL158" s="96" t="str">
        <f>IFERROR(IF($E158="Yes","IPP",VLOOKUP($J158,'ELA Reading Logic'!$A$3:$K$9,VLOOKUP(AK$1,'ELA Reading Logic'!$J$22:$K$31,2,FALSE),FALSE)),"Set Grade")</f>
        <v>Set Grade</v>
      </c>
      <c r="AM158" s="96" t="str">
        <f>IFERROR(IF($E158="Yes","IPP",VLOOKUP($J158,'ELA Reading Logic'!$A$13:$K$19,VLOOKUP(AK$1,'ELA Reading Logic'!$J$22:$K$31,2,FALSE),FALSE)),"Set Grade")</f>
        <v>Set Grade</v>
      </c>
      <c r="AN158" s="96" t="str">
        <f>IF($E158="Yes","IPP",IFERROR(IF(AND(AK158&gt;AL158,AK158&lt;AM158),"0",(VLOOKUP(AK158,'ELA Reading Logic'!$A$22:$B$48,2,FALSE))-(IF(VLOOKUP(AK158,'ELA Reading Logic'!$A$22:$B$48,2,FALSE)&lt;=VLOOKUP(AL158,'ELA Reading Logic'!$A$22:$B$48,2,FALSE),VLOOKUP(AL158,'ELA Reading Logic'!$A$22:$B$48,2,FALSE),IF(VLOOKUP(AK158,'ELA Reading Logic'!$A$22:$B$48,2,FALSE)&gt;=VLOOKUP(AM158,'ELA Reading Logic'!$A$22:$B$48,2,FALSE),VLOOKUP(AM158,'ELA Reading Logic'!$A$22:$B$48,2,FALSE),"No Score")))),"No Value"))</f>
        <v>No Value</v>
      </c>
      <c r="AO158" s="96" t="str">
        <f>IFERROR(VLOOKUP(AK158,'ELA Reading Logic'!$A$22:$B$48,2,FALSE)-VLOOKUP($F158,'ELA Reading Logic'!$A$22:$B$48,2,FALSE),"No Value")</f>
        <v>No Value</v>
      </c>
      <c r="AP158" s="92"/>
      <c r="AQ158" s="96" t="str">
        <f>IFERROR(IF($E158="Yes","IPP",VLOOKUP($J158,'ELA Reading Logic'!$A$3:$K$9,VLOOKUP(AP$1,'ELA Reading Logic'!$J$22:$K$31,2,FALSE),FALSE)),"Set Grade")</f>
        <v>Set Grade</v>
      </c>
      <c r="AR158" s="96" t="str">
        <f>IFERROR(IF($E158="Yes","IPP",VLOOKUP($J158,'ELA Reading Logic'!$A$13:$K$19,VLOOKUP(AP$1,'ELA Reading Logic'!$J$22:$K$31,2,FALSE),FALSE)),"Set Grade")</f>
        <v>Set Grade</v>
      </c>
      <c r="AS158" s="96" t="str">
        <f>IF($E158="Yes","IPP",IFERROR(IF(AND(AP158&gt;AQ158,AP158&lt;AR158),"0",(VLOOKUP(AP158,'ELA Reading Logic'!$A$22:$B$48,2,FALSE))-(IF(VLOOKUP(AP158,'ELA Reading Logic'!$A$22:$B$48,2,FALSE)&lt;=VLOOKUP(AQ158,'ELA Reading Logic'!$A$22:$B$48,2,FALSE),VLOOKUP(AQ158,'ELA Reading Logic'!$A$22:$B$48,2,FALSE),IF(VLOOKUP(AP158,'ELA Reading Logic'!$A$22:$B$48,2,FALSE)&gt;=VLOOKUP(AR158,'ELA Reading Logic'!$A$22:$B$48,2,FALSE),VLOOKUP(AR158,'ELA Reading Logic'!$A$22:$B$48,2,FALSE),"No Score")))),"No Value"))</f>
        <v>No Value</v>
      </c>
      <c r="AT158" s="96" t="str">
        <f>IFERROR(VLOOKUP(AP158,'ELA Reading Logic'!$A$22:$B$48,2,FALSE)-VLOOKUP($F158,'ELA Reading Logic'!$A$22:$B$48,2,FALSE),"No Value")</f>
        <v>No Value</v>
      </c>
    </row>
    <row r="159" spans="1:46" ht="22.5" customHeight="1" x14ac:dyDescent="0.25">
      <c r="A159" s="174"/>
      <c r="B159" s="174"/>
      <c r="C159" s="174"/>
      <c r="D159" s="174"/>
      <c r="E159" s="175"/>
      <c r="F159" s="175"/>
      <c r="G159" s="177" t="str">
        <f>IFERROR(IF($E159="Yes","IPP",VLOOKUP($J159,'ELA Reading Logic'!$A$3:$K$9,VLOOKUP("September",'ELA Reading Logic'!$J$22:$K$31,2,FALSE),FALSE)),"Set Grade")</f>
        <v>Set Grade</v>
      </c>
      <c r="H159" s="177" t="str">
        <f>IFERROR(IF($E159="Yes","IPP",VLOOKUP($J159,'ELA Reading Logic'!$A$13:$K$19,VLOOKUP("September",'ELA Reading Logic'!$J$22:$K$31,2,FALSE),FALSE)),"Set Grade")</f>
        <v>Set Grade</v>
      </c>
      <c r="I159" s="96" t="str">
        <f>IF($E159="Yes","IPP",IFERROR(IF(AND(F159&gt;G159,F159&lt;H159),"0",(VLOOKUP(F159,'ELA Reading Logic'!$A$22:$B$48,2,FALSE))-(IF(VLOOKUP(F159,'ELA Reading Logic'!$A$22:$B$48,2,FALSE)&lt;=VLOOKUP(G159,'ELA Reading Logic'!$A$22:$B$48,2,FALSE),VLOOKUP(G159,'ELA Reading Logic'!$A$22:$B$48,2,FALSE),IF(VLOOKUP(F159,'ELA Reading Logic'!$A$22:$B$48,2,FALSE)&gt;=VLOOKUP(H159,'ELA Reading Logic'!$A$22:$B$48,2,FALSE),VLOOKUP(H159,'ELA Reading Logic'!$A$22:$B$48,2,FALSE),"No Score")))),"No Value"))</f>
        <v>No Value</v>
      </c>
      <c r="J159" s="178"/>
      <c r="K159" s="96"/>
      <c r="L159" s="96"/>
      <c r="M159" s="96"/>
      <c r="N159" s="96"/>
      <c r="O159" s="96"/>
      <c r="P159" s="105"/>
      <c r="Q159" s="92"/>
      <c r="R159" s="96" t="str">
        <f>IFERROR(IF($E159="Yes","IPP",VLOOKUP($J159,'ELA Reading Logic'!$A$3:$K$9,VLOOKUP(Q$1,'ELA Reading Logic'!$J$22:$K$31,2,FALSE),FALSE)),"Set Grade")</f>
        <v>Set Grade</v>
      </c>
      <c r="S159" s="96" t="str">
        <f>IFERROR(IF($E159="Yes","IPP",VLOOKUP($J159,'ELA Reading Logic'!$A$13:$K$19,VLOOKUP(Q$1,'ELA Reading Logic'!$J$22:$K$31,2,FALSE),FALSE)),"Set Grade")</f>
        <v>Set Grade</v>
      </c>
      <c r="T159" s="96" t="str">
        <f>IF($E159="Yes","IPP",IFERROR(IF(AND(Q159&gt;R159,Q159&lt;S159),"0",(VLOOKUP(Q159,'ELA Reading Logic'!$A$22:$B$48,2,FALSE))-(IF(VLOOKUP(Q159,'ELA Reading Logic'!$A$22:$B$48,2,FALSE)&lt;=VLOOKUP(R159,'ELA Reading Logic'!$A$22:$B$48,2,FALSE),VLOOKUP(R159,'ELA Reading Logic'!$A$22:$B$48,2,FALSE),IF(VLOOKUP(Q159,'ELA Reading Logic'!$A$22:$B$48,2,FALSE)&gt;=VLOOKUP(S159,'ELA Reading Logic'!$A$22:$B$48,2,FALSE),VLOOKUP(S159,'ELA Reading Logic'!$A$22:$B$48,2,FALSE),"No Score")))),"No Value"))</f>
        <v>No Value</v>
      </c>
      <c r="U159" s="96" t="str">
        <f>IFERROR(VLOOKUP(Q159,'ELA Reading Logic'!$A$22:$B$48,2,FALSE)-VLOOKUP($F159,'ELA Reading Logic'!$A$22:$B$48,2,FALSE),"No Value")</f>
        <v>No Value</v>
      </c>
      <c r="V159" s="92"/>
      <c r="W159" s="96" t="str">
        <f>IFERROR(IF($E159="Yes","IPP",VLOOKUP($J159,'ELA Reading Logic'!$A$3:$K$9,VLOOKUP(V$1,'ELA Reading Logic'!$J$22:$K$31,2,FALSE),FALSE)),"Set Grade")</f>
        <v>Set Grade</v>
      </c>
      <c r="X159" s="96" t="str">
        <f>IFERROR(IF($E159="Yes","IPP",VLOOKUP($J159,'ELA Reading Logic'!$A$13:$K$19,VLOOKUP(V$1,'ELA Reading Logic'!$J$22:$K$31,2,FALSE),FALSE)),"Set Grade")</f>
        <v>Set Grade</v>
      </c>
      <c r="Y159" s="96" t="str">
        <f>IF($E159="Yes","IPP",IFERROR(IF(AND(V159&gt;W159,V159&lt;X159),"0",(VLOOKUP(V159,'ELA Reading Logic'!$A$22:$B$48,2,FALSE))-(IF(VLOOKUP(V159,'ELA Reading Logic'!$A$22:$B$48,2,FALSE)&lt;=VLOOKUP(W159,'ELA Reading Logic'!$A$22:$B$48,2,FALSE),VLOOKUP(W159,'ELA Reading Logic'!$A$22:$B$48,2,FALSE),IF(VLOOKUP(V159,'ELA Reading Logic'!$A$22:$B$48,2,FALSE)&gt;=VLOOKUP(X159,'ELA Reading Logic'!$A$22:$B$48,2,FALSE),VLOOKUP(X159,'ELA Reading Logic'!$A$22:$B$48,2,FALSE),"No Score")))),"No Value"))</f>
        <v>No Value</v>
      </c>
      <c r="Z159" s="96" t="str">
        <f>IFERROR(VLOOKUP(V159,'ELA Reading Logic'!$A$22:$B$48,2,FALSE)-VLOOKUP($F159,'ELA Reading Logic'!$A$22:$B$48,2,FALSE),"No Value")</f>
        <v>No Value</v>
      </c>
      <c r="AA159" s="92"/>
      <c r="AB159" s="96" t="str">
        <f>IFERROR(IF($E159="Yes","IPP",VLOOKUP($J159,'ELA Reading Logic'!$A$3:$K$9,VLOOKUP(AA$1,'ELA Reading Logic'!$J$22:$K$31,2,FALSE),FALSE)),"Set Grade")</f>
        <v>Set Grade</v>
      </c>
      <c r="AC159" s="96" t="str">
        <f>IFERROR(IF($E159="Yes","IPP",VLOOKUP($J159,'ELA Reading Logic'!$A$13:$K$19,VLOOKUP(AA$1,'ELA Reading Logic'!$J$22:$K$31,2,FALSE),FALSE)),"Set Grade")</f>
        <v>Set Grade</v>
      </c>
      <c r="AD159" s="96" t="str">
        <f>IF($E159="Yes","IPP",IFERROR(IF(AND(AA159&gt;AB159,AA159&lt;AC159),"0",(VLOOKUP(AA159,'ELA Reading Logic'!$A$22:$B$48,2,FALSE))-(IF(VLOOKUP(AA159,'ELA Reading Logic'!$A$22:$B$48,2,FALSE)&lt;=VLOOKUP(AB159,'ELA Reading Logic'!$A$22:$B$48,2,FALSE),VLOOKUP(AB159,'ELA Reading Logic'!$A$22:$B$48,2,FALSE),IF(VLOOKUP(AA159,'ELA Reading Logic'!$A$22:$B$48,2,FALSE)&gt;=VLOOKUP(AC159,'ELA Reading Logic'!$A$22:$B$48,2,FALSE),VLOOKUP(AC159,'ELA Reading Logic'!$A$22:$B$48,2,FALSE),"No Score")))),"No Value"))</f>
        <v>No Value</v>
      </c>
      <c r="AE159" s="96" t="str">
        <f>IFERROR(VLOOKUP(AA159,'ELA Reading Logic'!$A$22:$B$48,2,FALSE)-VLOOKUP($F159,'ELA Reading Logic'!$A$22:$B$48,2,FALSE),"No Value")</f>
        <v>No Value</v>
      </c>
      <c r="AF159" s="92"/>
      <c r="AG159" s="96" t="str">
        <f>IFERROR(IF($E159="Yes","IPP",VLOOKUP($J159,'ELA Reading Logic'!$A$3:$K$9,VLOOKUP(AF$1,'ELA Reading Logic'!$J$22:$K$31,2,FALSE),FALSE)),"Set Grade")</f>
        <v>Set Grade</v>
      </c>
      <c r="AH159" s="96" t="str">
        <f>IFERROR(IF($E159="Yes","IPP",VLOOKUP($J159,'ELA Reading Logic'!$A$13:$K$19,VLOOKUP(AF$1,'ELA Reading Logic'!$J$22:$K$31,2,FALSE),FALSE)),"Set Grade")</f>
        <v>Set Grade</v>
      </c>
      <c r="AI159" s="96" t="str">
        <f>IF($E159="Yes","IPP",IFERROR(IF(AND(AF159&gt;AG159,AF159&lt;AH159),"0",(VLOOKUP(AF159,'ELA Reading Logic'!$A$22:$B$48,2,FALSE))-(IF(VLOOKUP(AF159,'ELA Reading Logic'!$A$22:$B$48,2,FALSE)&lt;=VLOOKUP(AG159,'ELA Reading Logic'!$A$22:$B$48,2,FALSE),VLOOKUP(AG159,'ELA Reading Logic'!$A$22:$B$48,2,FALSE),IF(VLOOKUP(AF159,'ELA Reading Logic'!$A$22:$B$48,2,FALSE)&gt;=VLOOKUP(AH159,'ELA Reading Logic'!$A$22:$B$48,2,FALSE),VLOOKUP(AH159,'ELA Reading Logic'!$A$22:$B$48,2,FALSE),"No Score")))),"No Value"))</f>
        <v>No Value</v>
      </c>
      <c r="AJ159" s="96" t="str">
        <f>IFERROR(VLOOKUP(AF159,'ELA Reading Logic'!$A$22:$B$48,2,FALSE)-VLOOKUP($F159,'ELA Reading Logic'!$A$22:$B$48,2,FALSE),"No Value")</f>
        <v>No Value</v>
      </c>
      <c r="AK159" s="92"/>
      <c r="AL159" s="96" t="str">
        <f>IFERROR(IF($E159="Yes","IPP",VLOOKUP($J159,'ELA Reading Logic'!$A$3:$K$9,VLOOKUP(AK$1,'ELA Reading Logic'!$J$22:$K$31,2,FALSE),FALSE)),"Set Grade")</f>
        <v>Set Grade</v>
      </c>
      <c r="AM159" s="96" t="str">
        <f>IFERROR(IF($E159="Yes","IPP",VLOOKUP($J159,'ELA Reading Logic'!$A$13:$K$19,VLOOKUP(AK$1,'ELA Reading Logic'!$J$22:$K$31,2,FALSE),FALSE)),"Set Grade")</f>
        <v>Set Grade</v>
      </c>
      <c r="AN159" s="96" t="str">
        <f>IF($E159="Yes","IPP",IFERROR(IF(AND(AK159&gt;AL159,AK159&lt;AM159),"0",(VLOOKUP(AK159,'ELA Reading Logic'!$A$22:$B$48,2,FALSE))-(IF(VLOOKUP(AK159,'ELA Reading Logic'!$A$22:$B$48,2,FALSE)&lt;=VLOOKUP(AL159,'ELA Reading Logic'!$A$22:$B$48,2,FALSE),VLOOKUP(AL159,'ELA Reading Logic'!$A$22:$B$48,2,FALSE),IF(VLOOKUP(AK159,'ELA Reading Logic'!$A$22:$B$48,2,FALSE)&gt;=VLOOKUP(AM159,'ELA Reading Logic'!$A$22:$B$48,2,FALSE),VLOOKUP(AM159,'ELA Reading Logic'!$A$22:$B$48,2,FALSE),"No Score")))),"No Value"))</f>
        <v>No Value</v>
      </c>
      <c r="AO159" s="96" t="str">
        <f>IFERROR(VLOOKUP(AK159,'ELA Reading Logic'!$A$22:$B$48,2,FALSE)-VLOOKUP($F159,'ELA Reading Logic'!$A$22:$B$48,2,FALSE),"No Value")</f>
        <v>No Value</v>
      </c>
      <c r="AP159" s="92"/>
      <c r="AQ159" s="96" t="str">
        <f>IFERROR(IF($E159="Yes","IPP",VLOOKUP($J159,'ELA Reading Logic'!$A$3:$K$9,VLOOKUP(AP$1,'ELA Reading Logic'!$J$22:$K$31,2,FALSE),FALSE)),"Set Grade")</f>
        <v>Set Grade</v>
      </c>
      <c r="AR159" s="96" t="str">
        <f>IFERROR(IF($E159="Yes","IPP",VLOOKUP($J159,'ELA Reading Logic'!$A$13:$K$19,VLOOKUP(AP$1,'ELA Reading Logic'!$J$22:$K$31,2,FALSE),FALSE)),"Set Grade")</f>
        <v>Set Grade</v>
      </c>
      <c r="AS159" s="96" t="str">
        <f>IF($E159="Yes","IPP",IFERROR(IF(AND(AP159&gt;AQ159,AP159&lt;AR159),"0",(VLOOKUP(AP159,'ELA Reading Logic'!$A$22:$B$48,2,FALSE))-(IF(VLOOKUP(AP159,'ELA Reading Logic'!$A$22:$B$48,2,FALSE)&lt;=VLOOKUP(AQ159,'ELA Reading Logic'!$A$22:$B$48,2,FALSE),VLOOKUP(AQ159,'ELA Reading Logic'!$A$22:$B$48,2,FALSE),IF(VLOOKUP(AP159,'ELA Reading Logic'!$A$22:$B$48,2,FALSE)&gt;=VLOOKUP(AR159,'ELA Reading Logic'!$A$22:$B$48,2,FALSE),VLOOKUP(AR159,'ELA Reading Logic'!$A$22:$B$48,2,FALSE),"No Score")))),"No Value"))</f>
        <v>No Value</v>
      </c>
      <c r="AT159" s="96" t="str">
        <f>IFERROR(VLOOKUP(AP159,'ELA Reading Logic'!$A$22:$B$48,2,FALSE)-VLOOKUP($F159,'ELA Reading Logic'!$A$22:$B$48,2,FALSE),"No Value")</f>
        <v>No Value</v>
      </c>
    </row>
    <row r="160" spans="1:46" ht="22.5" customHeight="1" x14ac:dyDescent="0.25">
      <c r="A160" s="176"/>
      <c r="B160" s="176"/>
      <c r="C160" s="176"/>
      <c r="D160" s="176"/>
      <c r="E160" s="175"/>
      <c r="F160" s="175"/>
      <c r="G160" s="177" t="str">
        <f>IFERROR(IF($E160="Yes","IPP",VLOOKUP($J160,'ELA Reading Logic'!$A$3:$K$9,VLOOKUP("September",'ELA Reading Logic'!$J$22:$K$31,2,FALSE),FALSE)),"Set Grade")</f>
        <v>Set Grade</v>
      </c>
      <c r="H160" s="177" t="str">
        <f>IFERROR(IF($E160="Yes","IPP",VLOOKUP($J160,'ELA Reading Logic'!$A$13:$K$19,VLOOKUP("September",'ELA Reading Logic'!$J$22:$K$31,2,FALSE),FALSE)),"Set Grade")</f>
        <v>Set Grade</v>
      </c>
      <c r="I160" s="96" t="str">
        <f>IF($E160="Yes","IPP",IFERROR(IF(AND(F160&gt;G160,F160&lt;H160),"0",(VLOOKUP(F160,'ELA Reading Logic'!$A$22:$B$48,2,FALSE))-(IF(VLOOKUP(F160,'ELA Reading Logic'!$A$22:$B$48,2,FALSE)&lt;=VLOOKUP(G160,'ELA Reading Logic'!$A$22:$B$48,2,FALSE),VLOOKUP(G160,'ELA Reading Logic'!$A$22:$B$48,2,FALSE),IF(VLOOKUP(F160,'ELA Reading Logic'!$A$22:$B$48,2,FALSE)&gt;=VLOOKUP(H160,'ELA Reading Logic'!$A$22:$B$48,2,FALSE),VLOOKUP(H160,'ELA Reading Logic'!$A$22:$B$48,2,FALSE),"No Score")))),"No Value"))</f>
        <v>No Value</v>
      </c>
      <c r="J160" s="178"/>
      <c r="K160" s="96"/>
      <c r="L160" s="96"/>
      <c r="M160" s="96"/>
      <c r="N160" s="96"/>
      <c r="O160" s="96"/>
      <c r="P160" s="105"/>
      <c r="Q160" s="92"/>
      <c r="R160" s="96" t="str">
        <f>IFERROR(IF($E160="Yes","IPP",VLOOKUP($J160,'ELA Reading Logic'!$A$3:$K$9,VLOOKUP(Q$1,'ELA Reading Logic'!$J$22:$K$31,2,FALSE),FALSE)),"Set Grade")</f>
        <v>Set Grade</v>
      </c>
      <c r="S160" s="96" t="str">
        <f>IFERROR(IF($E160="Yes","IPP",VLOOKUP($J160,'ELA Reading Logic'!$A$13:$K$19,VLOOKUP(Q$1,'ELA Reading Logic'!$J$22:$K$31,2,FALSE),FALSE)),"Set Grade")</f>
        <v>Set Grade</v>
      </c>
      <c r="T160" s="96" t="str">
        <f>IF($E160="Yes","IPP",IFERROR(IF(AND(Q160&gt;R160,Q160&lt;S160),"0",(VLOOKUP(Q160,'ELA Reading Logic'!$A$22:$B$48,2,FALSE))-(IF(VLOOKUP(Q160,'ELA Reading Logic'!$A$22:$B$48,2,FALSE)&lt;=VLOOKUP(R160,'ELA Reading Logic'!$A$22:$B$48,2,FALSE),VLOOKUP(R160,'ELA Reading Logic'!$A$22:$B$48,2,FALSE),IF(VLOOKUP(Q160,'ELA Reading Logic'!$A$22:$B$48,2,FALSE)&gt;=VLOOKUP(S160,'ELA Reading Logic'!$A$22:$B$48,2,FALSE),VLOOKUP(S160,'ELA Reading Logic'!$A$22:$B$48,2,FALSE),"No Score")))),"No Value"))</f>
        <v>No Value</v>
      </c>
      <c r="U160" s="96" t="str">
        <f>IFERROR(VLOOKUP(Q160,'ELA Reading Logic'!$A$22:$B$48,2,FALSE)-VLOOKUP($F160,'ELA Reading Logic'!$A$22:$B$48,2,FALSE),"No Value")</f>
        <v>No Value</v>
      </c>
      <c r="V160" s="92"/>
      <c r="W160" s="96" t="str">
        <f>IFERROR(IF($E160="Yes","IPP",VLOOKUP($J160,'ELA Reading Logic'!$A$3:$K$9,VLOOKUP(V$1,'ELA Reading Logic'!$J$22:$K$31,2,FALSE),FALSE)),"Set Grade")</f>
        <v>Set Grade</v>
      </c>
      <c r="X160" s="96" t="str">
        <f>IFERROR(IF($E160="Yes","IPP",VLOOKUP($J160,'ELA Reading Logic'!$A$13:$K$19,VLOOKUP(V$1,'ELA Reading Logic'!$J$22:$K$31,2,FALSE),FALSE)),"Set Grade")</f>
        <v>Set Grade</v>
      </c>
      <c r="Y160" s="96" t="str">
        <f>IF($E160="Yes","IPP",IFERROR(IF(AND(V160&gt;W160,V160&lt;X160),"0",(VLOOKUP(V160,'ELA Reading Logic'!$A$22:$B$48,2,FALSE))-(IF(VLOOKUP(V160,'ELA Reading Logic'!$A$22:$B$48,2,FALSE)&lt;=VLOOKUP(W160,'ELA Reading Logic'!$A$22:$B$48,2,FALSE),VLOOKUP(W160,'ELA Reading Logic'!$A$22:$B$48,2,FALSE),IF(VLOOKUP(V160,'ELA Reading Logic'!$A$22:$B$48,2,FALSE)&gt;=VLOOKUP(X160,'ELA Reading Logic'!$A$22:$B$48,2,FALSE),VLOOKUP(X160,'ELA Reading Logic'!$A$22:$B$48,2,FALSE),"No Score")))),"No Value"))</f>
        <v>No Value</v>
      </c>
      <c r="Z160" s="96" t="str">
        <f>IFERROR(VLOOKUP(V160,'ELA Reading Logic'!$A$22:$B$48,2,FALSE)-VLOOKUP($F160,'ELA Reading Logic'!$A$22:$B$48,2,FALSE),"No Value")</f>
        <v>No Value</v>
      </c>
      <c r="AA160" s="92"/>
      <c r="AB160" s="96" t="str">
        <f>IFERROR(IF($E160="Yes","IPP",VLOOKUP($J160,'ELA Reading Logic'!$A$3:$K$9,VLOOKUP(AA$1,'ELA Reading Logic'!$J$22:$K$31,2,FALSE),FALSE)),"Set Grade")</f>
        <v>Set Grade</v>
      </c>
      <c r="AC160" s="96" t="str">
        <f>IFERROR(IF($E160="Yes","IPP",VLOOKUP($J160,'ELA Reading Logic'!$A$13:$K$19,VLOOKUP(AA$1,'ELA Reading Logic'!$J$22:$K$31,2,FALSE),FALSE)),"Set Grade")</f>
        <v>Set Grade</v>
      </c>
      <c r="AD160" s="96" t="str">
        <f>IF($E160="Yes","IPP",IFERROR(IF(AND(AA160&gt;AB160,AA160&lt;AC160),"0",(VLOOKUP(AA160,'ELA Reading Logic'!$A$22:$B$48,2,FALSE))-(IF(VLOOKUP(AA160,'ELA Reading Logic'!$A$22:$B$48,2,FALSE)&lt;=VLOOKUP(AB160,'ELA Reading Logic'!$A$22:$B$48,2,FALSE),VLOOKUP(AB160,'ELA Reading Logic'!$A$22:$B$48,2,FALSE),IF(VLOOKUP(AA160,'ELA Reading Logic'!$A$22:$B$48,2,FALSE)&gt;=VLOOKUP(AC160,'ELA Reading Logic'!$A$22:$B$48,2,FALSE),VLOOKUP(AC160,'ELA Reading Logic'!$A$22:$B$48,2,FALSE),"No Score")))),"No Value"))</f>
        <v>No Value</v>
      </c>
      <c r="AE160" s="96" t="str">
        <f>IFERROR(VLOOKUP(AA160,'ELA Reading Logic'!$A$22:$B$48,2,FALSE)-VLOOKUP($F160,'ELA Reading Logic'!$A$22:$B$48,2,FALSE),"No Value")</f>
        <v>No Value</v>
      </c>
      <c r="AF160" s="92"/>
      <c r="AG160" s="96" t="str">
        <f>IFERROR(IF($E160="Yes","IPP",VLOOKUP($J160,'ELA Reading Logic'!$A$3:$K$9,VLOOKUP(AF$1,'ELA Reading Logic'!$J$22:$K$31,2,FALSE),FALSE)),"Set Grade")</f>
        <v>Set Grade</v>
      </c>
      <c r="AH160" s="96" t="str">
        <f>IFERROR(IF($E160="Yes","IPP",VLOOKUP($J160,'ELA Reading Logic'!$A$13:$K$19,VLOOKUP(AF$1,'ELA Reading Logic'!$J$22:$K$31,2,FALSE),FALSE)),"Set Grade")</f>
        <v>Set Grade</v>
      </c>
      <c r="AI160" s="96" t="str">
        <f>IF($E160="Yes","IPP",IFERROR(IF(AND(AF160&gt;AG160,AF160&lt;AH160),"0",(VLOOKUP(AF160,'ELA Reading Logic'!$A$22:$B$48,2,FALSE))-(IF(VLOOKUP(AF160,'ELA Reading Logic'!$A$22:$B$48,2,FALSE)&lt;=VLOOKUP(AG160,'ELA Reading Logic'!$A$22:$B$48,2,FALSE),VLOOKUP(AG160,'ELA Reading Logic'!$A$22:$B$48,2,FALSE),IF(VLOOKUP(AF160,'ELA Reading Logic'!$A$22:$B$48,2,FALSE)&gt;=VLOOKUP(AH160,'ELA Reading Logic'!$A$22:$B$48,2,FALSE),VLOOKUP(AH160,'ELA Reading Logic'!$A$22:$B$48,2,FALSE),"No Score")))),"No Value"))</f>
        <v>No Value</v>
      </c>
      <c r="AJ160" s="96" t="str">
        <f>IFERROR(VLOOKUP(AF160,'ELA Reading Logic'!$A$22:$B$48,2,FALSE)-VLOOKUP($F160,'ELA Reading Logic'!$A$22:$B$48,2,FALSE),"No Value")</f>
        <v>No Value</v>
      </c>
      <c r="AK160" s="92"/>
      <c r="AL160" s="96" t="str">
        <f>IFERROR(IF($E160="Yes","IPP",VLOOKUP($J160,'ELA Reading Logic'!$A$3:$K$9,VLOOKUP(AK$1,'ELA Reading Logic'!$J$22:$K$31,2,FALSE),FALSE)),"Set Grade")</f>
        <v>Set Grade</v>
      </c>
      <c r="AM160" s="96" t="str">
        <f>IFERROR(IF($E160="Yes","IPP",VLOOKUP($J160,'ELA Reading Logic'!$A$13:$K$19,VLOOKUP(AK$1,'ELA Reading Logic'!$J$22:$K$31,2,FALSE),FALSE)),"Set Grade")</f>
        <v>Set Grade</v>
      </c>
      <c r="AN160" s="96" t="str">
        <f>IF($E160="Yes","IPP",IFERROR(IF(AND(AK160&gt;AL160,AK160&lt;AM160),"0",(VLOOKUP(AK160,'ELA Reading Logic'!$A$22:$B$48,2,FALSE))-(IF(VLOOKUP(AK160,'ELA Reading Logic'!$A$22:$B$48,2,FALSE)&lt;=VLOOKUP(AL160,'ELA Reading Logic'!$A$22:$B$48,2,FALSE),VLOOKUP(AL160,'ELA Reading Logic'!$A$22:$B$48,2,FALSE),IF(VLOOKUP(AK160,'ELA Reading Logic'!$A$22:$B$48,2,FALSE)&gt;=VLOOKUP(AM160,'ELA Reading Logic'!$A$22:$B$48,2,FALSE),VLOOKUP(AM160,'ELA Reading Logic'!$A$22:$B$48,2,FALSE),"No Score")))),"No Value"))</f>
        <v>No Value</v>
      </c>
      <c r="AO160" s="96" t="str">
        <f>IFERROR(VLOOKUP(AK160,'ELA Reading Logic'!$A$22:$B$48,2,FALSE)-VLOOKUP($F160,'ELA Reading Logic'!$A$22:$B$48,2,FALSE),"No Value")</f>
        <v>No Value</v>
      </c>
      <c r="AP160" s="92"/>
      <c r="AQ160" s="96" t="str">
        <f>IFERROR(IF($E160="Yes","IPP",VLOOKUP($J160,'ELA Reading Logic'!$A$3:$K$9,VLOOKUP(AP$1,'ELA Reading Logic'!$J$22:$K$31,2,FALSE),FALSE)),"Set Grade")</f>
        <v>Set Grade</v>
      </c>
      <c r="AR160" s="96" t="str">
        <f>IFERROR(IF($E160="Yes","IPP",VLOOKUP($J160,'ELA Reading Logic'!$A$13:$K$19,VLOOKUP(AP$1,'ELA Reading Logic'!$J$22:$K$31,2,FALSE),FALSE)),"Set Grade")</f>
        <v>Set Grade</v>
      </c>
      <c r="AS160" s="96" t="str">
        <f>IF($E160="Yes","IPP",IFERROR(IF(AND(AP160&gt;AQ160,AP160&lt;AR160),"0",(VLOOKUP(AP160,'ELA Reading Logic'!$A$22:$B$48,2,FALSE))-(IF(VLOOKUP(AP160,'ELA Reading Logic'!$A$22:$B$48,2,FALSE)&lt;=VLOOKUP(AQ160,'ELA Reading Logic'!$A$22:$B$48,2,FALSE),VLOOKUP(AQ160,'ELA Reading Logic'!$A$22:$B$48,2,FALSE),IF(VLOOKUP(AP160,'ELA Reading Logic'!$A$22:$B$48,2,FALSE)&gt;=VLOOKUP(AR160,'ELA Reading Logic'!$A$22:$B$48,2,FALSE),VLOOKUP(AR160,'ELA Reading Logic'!$A$22:$B$48,2,FALSE),"No Score")))),"No Value"))</f>
        <v>No Value</v>
      </c>
      <c r="AT160" s="96" t="str">
        <f>IFERROR(VLOOKUP(AP160,'ELA Reading Logic'!$A$22:$B$48,2,FALSE)-VLOOKUP($F160,'ELA Reading Logic'!$A$22:$B$48,2,FALSE),"No Value")</f>
        <v>No Value</v>
      </c>
    </row>
    <row r="161" spans="1:46" ht="22.5" customHeight="1" x14ac:dyDescent="0.25">
      <c r="A161" s="174"/>
      <c r="B161" s="174"/>
      <c r="C161" s="174"/>
      <c r="D161" s="174"/>
      <c r="E161" s="175"/>
      <c r="F161" s="175"/>
      <c r="G161" s="177" t="str">
        <f>IFERROR(IF($E161="Yes","IPP",VLOOKUP($J161,'ELA Reading Logic'!$A$3:$K$9,VLOOKUP("September",'ELA Reading Logic'!$J$22:$K$31,2,FALSE),FALSE)),"Set Grade")</f>
        <v>Set Grade</v>
      </c>
      <c r="H161" s="177" t="str">
        <f>IFERROR(IF($E161="Yes","IPP",VLOOKUP($J161,'ELA Reading Logic'!$A$13:$K$19,VLOOKUP("September",'ELA Reading Logic'!$J$22:$K$31,2,FALSE),FALSE)),"Set Grade")</f>
        <v>Set Grade</v>
      </c>
      <c r="I161" s="96" t="str">
        <f>IF($E161="Yes","IPP",IFERROR(IF(AND(F161&gt;G161,F161&lt;H161),"0",(VLOOKUP(F161,'ELA Reading Logic'!$A$22:$B$48,2,FALSE))-(IF(VLOOKUP(F161,'ELA Reading Logic'!$A$22:$B$48,2,FALSE)&lt;=VLOOKUP(G161,'ELA Reading Logic'!$A$22:$B$48,2,FALSE),VLOOKUP(G161,'ELA Reading Logic'!$A$22:$B$48,2,FALSE),IF(VLOOKUP(F161,'ELA Reading Logic'!$A$22:$B$48,2,FALSE)&gt;=VLOOKUP(H161,'ELA Reading Logic'!$A$22:$B$48,2,FALSE),VLOOKUP(H161,'ELA Reading Logic'!$A$22:$B$48,2,FALSE),"No Score")))),"No Value"))</f>
        <v>No Value</v>
      </c>
      <c r="J161" s="178"/>
      <c r="K161" s="96"/>
      <c r="L161" s="96"/>
      <c r="M161" s="96"/>
      <c r="N161" s="96"/>
      <c r="O161" s="96"/>
      <c r="P161" s="105"/>
      <c r="Q161" s="92"/>
      <c r="R161" s="96" t="str">
        <f>IFERROR(IF($E161="Yes","IPP",VLOOKUP($J161,'ELA Reading Logic'!$A$3:$K$9,VLOOKUP(Q$1,'ELA Reading Logic'!$J$22:$K$31,2,FALSE),FALSE)),"Set Grade")</f>
        <v>Set Grade</v>
      </c>
      <c r="S161" s="96" t="str">
        <f>IFERROR(IF($E161="Yes","IPP",VLOOKUP($J161,'ELA Reading Logic'!$A$13:$K$19,VLOOKUP(Q$1,'ELA Reading Logic'!$J$22:$K$31,2,FALSE),FALSE)),"Set Grade")</f>
        <v>Set Grade</v>
      </c>
      <c r="T161" s="96" t="str">
        <f>IF($E161="Yes","IPP",IFERROR(IF(AND(Q161&gt;R161,Q161&lt;S161),"0",(VLOOKUP(Q161,'ELA Reading Logic'!$A$22:$B$48,2,FALSE))-(IF(VLOOKUP(Q161,'ELA Reading Logic'!$A$22:$B$48,2,FALSE)&lt;=VLOOKUP(R161,'ELA Reading Logic'!$A$22:$B$48,2,FALSE),VLOOKUP(R161,'ELA Reading Logic'!$A$22:$B$48,2,FALSE),IF(VLOOKUP(Q161,'ELA Reading Logic'!$A$22:$B$48,2,FALSE)&gt;=VLOOKUP(S161,'ELA Reading Logic'!$A$22:$B$48,2,FALSE),VLOOKUP(S161,'ELA Reading Logic'!$A$22:$B$48,2,FALSE),"No Score")))),"No Value"))</f>
        <v>No Value</v>
      </c>
      <c r="U161" s="96" t="str">
        <f>IFERROR(VLOOKUP(Q161,'ELA Reading Logic'!$A$22:$B$48,2,FALSE)-VLOOKUP($F161,'ELA Reading Logic'!$A$22:$B$48,2,FALSE),"No Value")</f>
        <v>No Value</v>
      </c>
      <c r="V161" s="92"/>
      <c r="W161" s="96" t="str">
        <f>IFERROR(IF($E161="Yes","IPP",VLOOKUP($J161,'ELA Reading Logic'!$A$3:$K$9,VLOOKUP(V$1,'ELA Reading Logic'!$J$22:$K$31,2,FALSE),FALSE)),"Set Grade")</f>
        <v>Set Grade</v>
      </c>
      <c r="X161" s="96" t="str">
        <f>IFERROR(IF($E161="Yes","IPP",VLOOKUP($J161,'ELA Reading Logic'!$A$13:$K$19,VLOOKUP(V$1,'ELA Reading Logic'!$J$22:$K$31,2,FALSE),FALSE)),"Set Grade")</f>
        <v>Set Grade</v>
      </c>
      <c r="Y161" s="96" t="str">
        <f>IF($E161="Yes","IPP",IFERROR(IF(AND(V161&gt;W161,V161&lt;X161),"0",(VLOOKUP(V161,'ELA Reading Logic'!$A$22:$B$48,2,FALSE))-(IF(VLOOKUP(V161,'ELA Reading Logic'!$A$22:$B$48,2,FALSE)&lt;=VLOOKUP(W161,'ELA Reading Logic'!$A$22:$B$48,2,FALSE),VLOOKUP(W161,'ELA Reading Logic'!$A$22:$B$48,2,FALSE),IF(VLOOKUP(V161,'ELA Reading Logic'!$A$22:$B$48,2,FALSE)&gt;=VLOOKUP(X161,'ELA Reading Logic'!$A$22:$B$48,2,FALSE),VLOOKUP(X161,'ELA Reading Logic'!$A$22:$B$48,2,FALSE),"No Score")))),"No Value"))</f>
        <v>No Value</v>
      </c>
      <c r="Z161" s="96" t="str">
        <f>IFERROR(VLOOKUP(V161,'ELA Reading Logic'!$A$22:$B$48,2,FALSE)-VLOOKUP($F161,'ELA Reading Logic'!$A$22:$B$48,2,FALSE),"No Value")</f>
        <v>No Value</v>
      </c>
      <c r="AA161" s="92"/>
      <c r="AB161" s="96" t="str">
        <f>IFERROR(IF($E161="Yes","IPP",VLOOKUP($J161,'ELA Reading Logic'!$A$3:$K$9,VLOOKUP(AA$1,'ELA Reading Logic'!$J$22:$K$31,2,FALSE),FALSE)),"Set Grade")</f>
        <v>Set Grade</v>
      </c>
      <c r="AC161" s="96" t="str">
        <f>IFERROR(IF($E161="Yes","IPP",VLOOKUP($J161,'ELA Reading Logic'!$A$13:$K$19,VLOOKUP(AA$1,'ELA Reading Logic'!$J$22:$K$31,2,FALSE),FALSE)),"Set Grade")</f>
        <v>Set Grade</v>
      </c>
      <c r="AD161" s="96" t="str">
        <f>IF($E161="Yes","IPP",IFERROR(IF(AND(AA161&gt;AB161,AA161&lt;AC161),"0",(VLOOKUP(AA161,'ELA Reading Logic'!$A$22:$B$48,2,FALSE))-(IF(VLOOKUP(AA161,'ELA Reading Logic'!$A$22:$B$48,2,FALSE)&lt;=VLOOKUP(AB161,'ELA Reading Logic'!$A$22:$B$48,2,FALSE),VLOOKUP(AB161,'ELA Reading Logic'!$A$22:$B$48,2,FALSE),IF(VLOOKUP(AA161,'ELA Reading Logic'!$A$22:$B$48,2,FALSE)&gt;=VLOOKUP(AC161,'ELA Reading Logic'!$A$22:$B$48,2,FALSE),VLOOKUP(AC161,'ELA Reading Logic'!$A$22:$B$48,2,FALSE),"No Score")))),"No Value"))</f>
        <v>No Value</v>
      </c>
      <c r="AE161" s="96" t="str">
        <f>IFERROR(VLOOKUP(AA161,'ELA Reading Logic'!$A$22:$B$48,2,FALSE)-VLOOKUP($F161,'ELA Reading Logic'!$A$22:$B$48,2,FALSE),"No Value")</f>
        <v>No Value</v>
      </c>
      <c r="AF161" s="92"/>
      <c r="AG161" s="96" t="str">
        <f>IFERROR(IF($E161="Yes","IPP",VLOOKUP($J161,'ELA Reading Logic'!$A$3:$K$9,VLOOKUP(AF$1,'ELA Reading Logic'!$J$22:$K$31,2,FALSE),FALSE)),"Set Grade")</f>
        <v>Set Grade</v>
      </c>
      <c r="AH161" s="96" t="str">
        <f>IFERROR(IF($E161="Yes","IPP",VLOOKUP($J161,'ELA Reading Logic'!$A$13:$K$19,VLOOKUP(AF$1,'ELA Reading Logic'!$J$22:$K$31,2,FALSE),FALSE)),"Set Grade")</f>
        <v>Set Grade</v>
      </c>
      <c r="AI161" s="96" t="str">
        <f>IF($E161="Yes","IPP",IFERROR(IF(AND(AF161&gt;AG161,AF161&lt;AH161),"0",(VLOOKUP(AF161,'ELA Reading Logic'!$A$22:$B$48,2,FALSE))-(IF(VLOOKUP(AF161,'ELA Reading Logic'!$A$22:$B$48,2,FALSE)&lt;=VLOOKUP(AG161,'ELA Reading Logic'!$A$22:$B$48,2,FALSE),VLOOKUP(AG161,'ELA Reading Logic'!$A$22:$B$48,2,FALSE),IF(VLOOKUP(AF161,'ELA Reading Logic'!$A$22:$B$48,2,FALSE)&gt;=VLOOKUP(AH161,'ELA Reading Logic'!$A$22:$B$48,2,FALSE),VLOOKUP(AH161,'ELA Reading Logic'!$A$22:$B$48,2,FALSE),"No Score")))),"No Value"))</f>
        <v>No Value</v>
      </c>
      <c r="AJ161" s="96" t="str">
        <f>IFERROR(VLOOKUP(AF161,'ELA Reading Logic'!$A$22:$B$48,2,FALSE)-VLOOKUP($F161,'ELA Reading Logic'!$A$22:$B$48,2,FALSE),"No Value")</f>
        <v>No Value</v>
      </c>
      <c r="AK161" s="92"/>
      <c r="AL161" s="96" t="str">
        <f>IFERROR(IF($E161="Yes","IPP",VLOOKUP($J161,'ELA Reading Logic'!$A$3:$K$9,VLOOKUP(AK$1,'ELA Reading Logic'!$J$22:$K$31,2,FALSE),FALSE)),"Set Grade")</f>
        <v>Set Grade</v>
      </c>
      <c r="AM161" s="96" t="str">
        <f>IFERROR(IF($E161="Yes","IPP",VLOOKUP($J161,'ELA Reading Logic'!$A$13:$K$19,VLOOKUP(AK$1,'ELA Reading Logic'!$J$22:$K$31,2,FALSE),FALSE)),"Set Grade")</f>
        <v>Set Grade</v>
      </c>
      <c r="AN161" s="96" t="str">
        <f>IF($E161="Yes","IPP",IFERROR(IF(AND(AK161&gt;AL161,AK161&lt;AM161),"0",(VLOOKUP(AK161,'ELA Reading Logic'!$A$22:$B$48,2,FALSE))-(IF(VLOOKUP(AK161,'ELA Reading Logic'!$A$22:$B$48,2,FALSE)&lt;=VLOOKUP(AL161,'ELA Reading Logic'!$A$22:$B$48,2,FALSE),VLOOKUP(AL161,'ELA Reading Logic'!$A$22:$B$48,2,FALSE),IF(VLOOKUP(AK161,'ELA Reading Logic'!$A$22:$B$48,2,FALSE)&gt;=VLOOKUP(AM161,'ELA Reading Logic'!$A$22:$B$48,2,FALSE),VLOOKUP(AM161,'ELA Reading Logic'!$A$22:$B$48,2,FALSE),"No Score")))),"No Value"))</f>
        <v>No Value</v>
      </c>
      <c r="AO161" s="96" t="str">
        <f>IFERROR(VLOOKUP(AK161,'ELA Reading Logic'!$A$22:$B$48,2,FALSE)-VLOOKUP($F161,'ELA Reading Logic'!$A$22:$B$48,2,FALSE),"No Value")</f>
        <v>No Value</v>
      </c>
      <c r="AP161" s="92"/>
      <c r="AQ161" s="96" t="str">
        <f>IFERROR(IF($E161="Yes","IPP",VLOOKUP($J161,'ELA Reading Logic'!$A$3:$K$9,VLOOKUP(AP$1,'ELA Reading Logic'!$J$22:$K$31,2,FALSE),FALSE)),"Set Grade")</f>
        <v>Set Grade</v>
      </c>
      <c r="AR161" s="96" t="str">
        <f>IFERROR(IF($E161="Yes","IPP",VLOOKUP($J161,'ELA Reading Logic'!$A$13:$K$19,VLOOKUP(AP$1,'ELA Reading Logic'!$J$22:$K$31,2,FALSE),FALSE)),"Set Grade")</f>
        <v>Set Grade</v>
      </c>
      <c r="AS161" s="96" t="str">
        <f>IF($E161="Yes","IPP",IFERROR(IF(AND(AP161&gt;AQ161,AP161&lt;AR161),"0",(VLOOKUP(AP161,'ELA Reading Logic'!$A$22:$B$48,2,FALSE))-(IF(VLOOKUP(AP161,'ELA Reading Logic'!$A$22:$B$48,2,FALSE)&lt;=VLOOKUP(AQ161,'ELA Reading Logic'!$A$22:$B$48,2,FALSE),VLOOKUP(AQ161,'ELA Reading Logic'!$A$22:$B$48,2,FALSE),IF(VLOOKUP(AP161,'ELA Reading Logic'!$A$22:$B$48,2,FALSE)&gt;=VLOOKUP(AR161,'ELA Reading Logic'!$A$22:$B$48,2,FALSE),VLOOKUP(AR161,'ELA Reading Logic'!$A$22:$B$48,2,FALSE),"No Score")))),"No Value"))</f>
        <v>No Value</v>
      </c>
      <c r="AT161" s="96" t="str">
        <f>IFERROR(VLOOKUP(AP161,'ELA Reading Logic'!$A$22:$B$48,2,FALSE)-VLOOKUP($F161,'ELA Reading Logic'!$A$22:$B$48,2,FALSE),"No Value")</f>
        <v>No Value</v>
      </c>
    </row>
    <row r="162" spans="1:46" ht="22.5" customHeight="1" x14ac:dyDescent="0.25">
      <c r="A162" s="176"/>
      <c r="B162" s="176"/>
      <c r="C162" s="176"/>
      <c r="D162" s="176"/>
      <c r="E162" s="175"/>
      <c r="F162" s="175"/>
      <c r="G162" s="177" t="str">
        <f>IFERROR(IF($E162="Yes","IPP",VLOOKUP($J162,'ELA Reading Logic'!$A$3:$K$9,VLOOKUP("September",'ELA Reading Logic'!$J$22:$K$31,2,FALSE),FALSE)),"Set Grade")</f>
        <v>Set Grade</v>
      </c>
      <c r="H162" s="177" t="str">
        <f>IFERROR(IF($E162="Yes","IPP",VLOOKUP($J162,'ELA Reading Logic'!$A$13:$K$19,VLOOKUP("September",'ELA Reading Logic'!$J$22:$K$31,2,FALSE),FALSE)),"Set Grade")</f>
        <v>Set Grade</v>
      </c>
      <c r="I162" s="96" t="str">
        <f>IF($E162="Yes","IPP",IFERROR(IF(AND(F162&gt;G162,F162&lt;H162),"0",(VLOOKUP(F162,'ELA Reading Logic'!$A$22:$B$48,2,FALSE))-(IF(VLOOKUP(F162,'ELA Reading Logic'!$A$22:$B$48,2,FALSE)&lt;=VLOOKUP(G162,'ELA Reading Logic'!$A$22:$B$48,2,FALSE),VLOOKUP(G162,'ELA Reading Logic'!$A$22:$B$48,2,FALSE),IF(VLOOKUP(F162,'ELA Reading Logic'!$A$22:$B$48,2,FALSE)&gt;=VLOOKUP(H162,'ELA Reading Logic'!$A$22:$B$48,2,FALSE),VLOOKUP(H162,'ELA Reading Logic'!$A$22:$B$48,2,FALSE),"No Score")))),"No Value"))</f>
        <v>No Value</v>
      </c>
      <c r="J162" s="178"/>
      <c r="K162" s="96"/>
      <c r="L162" s="96"/>
      <c r="M162" s="96"/>
      <c r="N162" s="96"/>
      <c r="O162" s="96"/>
      <c r="P162" s="105"/>
      <c r="Q162" s="92"/>
      <c r="R162" s="96" t="str">
        <f>IFERROR(IF($E162="Yes","IPP",VLOOKUP($J162,'ELA Reading Logic'!$A$3:$K$9,VLOOKUP(Q$1,'ELA Reading Logic'!$J$22:$K$31,2,FALSE),FALSE)),"Set Grade")</f>
        <v>Set Grade</v>
      </c>
      <c r="S162" s="96" t="str">
        <f>IFERROR(IF($E162="Yes","IPP",VLOOKUP($J162,'ELA Reading Logic'!$A$13:$K$19,VLOOKUP(Q$1,'ELA Reading Logic'!$J$22:$K$31,2,FALSE),FALSE)),"Set Grade")</f>
        <v>Set Grade</v>
      </c>
      <c r="T162" s="96" t="str">
        <f>IF($E162="Yes","IPP",IFERROR(IF(AND(Q162&gt;R162,Q162&lt;S162),"0",(VLOOKUP(Q162,'ELA Reading Logic'!$A$22:$B$48,2,FALSE))-(IF(VLOOKUP(Q162,'ELA Reading Logic'!$A$22:$B$48,2,FALSE)&lt;=VLOOKUP(R162,'ELA Reading Logic'!$A$22:$B$48,2,FALSE),VLOOKUP(R162,'ELA Reading Logic'!$A$22:$B$48,2,FALSE),IF(VLOOKUP(Q162,'ELA Reading Logic'!$A$22:$B$48,2,FALSE)&gt;=VLOOKUP(S162,'ELA Reading Logic'!$A$22:$B$48,2,FALSE),VLOOKUP(S162,'ELA Reading Logic'!$A$22:$B$48,2,FALSE),"No Score")))),"No Value"))</f>
        <v>No Value</v>
      </c>
      <c r="U162" s="96" t="str">
        <f>IFERROR(VLOOKUP(Q162,'ELA Reading Logic'!$A$22:$B$48,2,FALSE)-VLOOKUP($F162,'ELA Reading Logic'!$A$22:$B$48,2,FALSE),"No Value")</f>
        <v>No Value</v>
      </c>
      <c r="V162" s="92"/>
      <c r="W162" s="96" t="str">
        <f>IFERROR(IF($E162="Yes","IPP",VLOOKUP($J162,'ELA Reading Logic'!$A$3:$K$9,VLOOKUP(V$1,'ELA Reading Logic'!$J$22:$K$31,2,FALSE),FALSE)),"Set Grade")</f>
        <v>Set Grade</v>
      </c>
      <c r="X162" s="96" t="str">
        <f>IFERROR(IF($E162="Yes","IPP",VLOOKUP($J162,'ELA Reading Logic'!$A$13:$K$19,VLOOKUP(V$1,'ELA Reading Logic'!$J$22:$K$31,2,FALSE),FALSE)),"Set Grade")</f>
        <v>Set Grade</v>
      </c>
      <c r="Y162" s="96" t="str">
        <f>IF($E162="Yes","IPP",IFERROR(IF(AND(V162&gt;W162,V162&lt;X162),"0",(VLOOKUP(V162,'ELA Reading Logic'!$A$22:$B$48,2,FALSE))-(IF(VLOOKUP(V162,'ELA Reading Logic'!$A$22:$B$48,2,FALSE)&lt;=VLOOKUP(W162,'ELA Reading Logic'!$A$22:$B$48,2,FALSE),VLOOKUP(W162,'ELA Reading Logic'!$A$22:$B$48,2,FALSE),IF(VLOOKUP(V162,'ELA Reading Logic'!$A$22:$B$48,2,FALSE)&gt;=VLOOKUP(X162,'ELA Reading Logic'!$A$22:$B$48,2,FALSE),VLOOKUP(X162,'ELA Reading Logic'!$A$22:$B$48,2,FALSE),"No Score")))),"No Value"))</f>
        <v>No Value</v>
      </c>
      <c r="Z162" s="96" t="str">
        <f>IFERROR(VLOOKUP(V162,'ELA Reading Logic'!$A$22:$B$48,2,FALSE)-VLOOKUP($F162,'ELA Reading Logic'!$A$22:$B$48,2,FALSE),"No Value")</f>
        <v>No Value</v>
      </c>
      <c r="AA162" s="92"/>
      <c r="AB162" s="96" t="str">
        <f>IFERROR(IF($E162="Yes","IPP",VLOOKUP($J162,'ELA Reading Logic'!$A$3:$K$9,VLOOKUP(AA$1,'ELA Reading Logic'!$J$22:$K$31,2,FALSE),FALSE)),"Set Grade")</f>
        <v>Set Grade</v>
      </c>
      <c r="AC162" s="96" t="str">
        <f>IFERROR(IF($E162="Yes","IPP",VLOOKUP($J162,'ELA Reading Logic'!$A$13:$K$19,VLOOKUP(AA$1,'ELA Reading Logic'!$J$22:$K$31,2,FALSE),FALSE)),"Set Grade")</f>
        <v>Set Grade</v>
      </c>
      <c r="AD162" s="96" t="str">
        <f>IF($E162="Yes","IPP",IFERROR(IF(AND(AA162&gt;AB162,AA162&lt;AC162),"0",(VLOOKUP(AA162,'ELA Reading Logic'!$A$22:$B$48,2,FALSE))-(IF(VLOOKUP(AA162,'ELA Reading Logic'!$A$22:$B$48,2,FALSE)&lt;=VLOOKUP(AB162,'ELA Reading Logic'!$A$22:$B$48,2,FALSE),VLOOKUP(AB162,'ELA Reading Logic'!$A$22:$B$48,2,FALSE),IF(VLOOKUP(AA162,'ELA Reading Logic'!$A$22:$B$48,2,FALSE)&gt;=VLOOKUP(AC162,'ELA Reading Logic'!$A$22:$B$48,2,FALSE),VLOOKUP(AC162,'ELA Reading Logic'!$A$22:$B$48,2,FALSE),"No Score")))),"No Value"))</f>
        <v>No Value</v>
      </c>
      <c r="AE162" s="96" t="str">
        <f>IFERROR(VLOOKUP(AA162,'ELA Reading Logic'!$A$22:$B$48,2,FALSE)-VLOOKUP($F162,'ELA Reading Logic'!$A$22:$B$48,2,FALSE),"No Value")</f>
        <v>No Value</v>
      </c>
      <c r="AF162" s="92"/>
      <c r="AG162" s="96" t="str">
        <f>IFERROR(IF($E162="Yes","IPP",VLOOKUP($J162,'ELA Reading Logic'!$A$3:$K$9,VLOOKUP(AF$1,'ELA Reading Logic'!$J$22:$K$31,2,FALSE),FALSE)),"Set Grade")</f>
        <v>Set Grade</v>
      </c>
      <c r="AH162" s="96" t="str">
        <f>IFERROR(IF($E162="Yes","IPP",VLOOKUP($J162,'ELA Reading Logic'!$A$13:$K$19,VLOOKUP(AF$1,'ELA Reading Logic'!$J$22:$K$31,2,FALSE),FALSE)),"Set Grade")</f>
        <v>Set Grade</v>
      </c>
      <c r="AI162" s="96" t="str">
        <f>IF($E162="Yes","IPP",IFERROR(IF(AND(AF162&gt;AG162,AF162&lt;AH162),"0",(VLOOKUP(AF162,'ELA Reading Logic'!$A$22:$B$48,2,FALSE))-(IF(VLOOKUP(AF162,'ELA Reading Logic'!$A$22:$B$48,2,FALSE)&lt;=VLOOKUP(AG162,'ELA Reading Logic'!$A$22:$B$48,2,FALSE),VLOOKUP(AG162,'ELA Reading Logic'!$A$22:$B$48,2,FALSE),IF(VLOOKUP(AF162,'ELA Reading Logic'!$A$22:$B$48,2,FALSE)&gt;=VLOOKUP(AH162,'ELA Reading Logic'!$A$22:$B$48,2,FALSE),VLOOKUP(AH162,'ELA Reading Logic'!$A$22:$B$48,2,FALSE),"No Score")))),"No Value"))</f>
        <v>No Value</v>
      </c>
      <c r="AJ162" s="96" t="str">
        <f>IFERROR(VLOOKUP(AF162,'ELA Reading Logic'!$A$22:$B$48,2,FALSE)-VLOOKUP($F162,'ELA Reading Logic'!$A$22:$B$48,2,FALSE),"No Value")</f>
        <v>No Value</v>
      </c>
      <c r="AK162" s="92"/>
      <c r="AL162" s="96" t="str">
        <f>IFERROR(IF($E162="Yes","IPP",VLOOKUP($J162,'ELA Reading Logic'!$A$3:$K$9,VLOOKUP(AK$1,'ELA Reading Logic'!$J$22:$K$31,2,FALSE),FALSE)),"Set Grade")</f>
        <v>Set Grade</v>
      </c>
      <c r="AM162" s="96" t="str">
        <f>IFERROR(IF($E162="Yes","IPP",VLOOKUP($J162,'ELA Reading Logic'!$A$13:$K$19,VLOOKUP(AK$1,'ELA Reading Logic'!$J$22:$K$31,2,FALSE),FALSE)),"Set Grade")</f>
        <v>Set Grade</v>
      </c>
      <c r="AN162" s="96" t="str">
        <f>IF($E162="Yes","IPP",IFERROR(IF(AND(AK162&gt;AL162,AK162&lt;AM162),"0",(VLOOKUP(AK162,'ELA Reading Logic'!$A$22:$B$48,2,FALSE))-(IF(VLOOKUP(AK162,'ELA Reading Logic'!$A$22:$B$48,2,FALSE)&lt;=VLOOKUP(AL162,'ELA Reading Logic'!$A$22:$B$48,2,FALSE),VLOOKUP(AL162,'ELA Reading Logic'!$A$22:$B$48,2,FALSE),IF(VLOOKUP(AK162,'ELA Reading Logic'!$A$22:$B$48,2,FALSE)&gt;=VLOOKUP(AM162,'ELA Reading Logic'!$A$22:$B$48,2,FALSE),VLOOKUP(AM162,'ELA Reading Logic'!$A$22:$B$48,2,FALSE),"No Score")))),"No Value"))</f>
        <v>No Value</v>
      </c>
      <c r="AO162" s="96" t="str">
        <f>IFERROR(VLOOKUP(AK162,'ELA Reading Logic'!$A$22:$B$48,2,FALSE)-VLOOKUP($F162,'ELA Reading Logic'!$A$22:$B$48,2,FALSE),"No Value")</f>
        <v>No Value</v>
      </c>
      <c r="AP162" s="92"/>
      <c r="AQ162" s="96" t="str">
        <f>IFERROR(IF($E162="Yes","IPP",VLOOKUP($J162,'ELA Reading Logic'!$A$3:$K$9,VLOOKUP(AP$1,'ELA Reading Logic'!$J$22:$K$31,2,FALSE),FALSE)),"Set Grade")</f>
        <v>Set Grade</v>
      </c>
      <c r="AR162" s="96" t="str">
        <f>IFERROR(IF($E162="Yes","IPP",VLOOKUP($J162,'ELA Reading Logic'!$A$13:$K$19,VLOOKUP(AP$1,'ELA Reading Logic'!$J$22:$K$31,2,FALSE),FALSE)),"Set Grade")</f>
        <v>Set Grade</v>
      </c>
      <c r="AS162" s="96" t="str">
        <f>IF($E162="Yes","IPP",IFERROR(IF(AND(AP162&gt;AQ162,AP162&lt;AR162),"0",(VLOOKUP(AP162,'ELA Reading Logic'!$A$22:$B$48,2,FALSE))-(IF(VLOOKUP(AP162,'ELA Reading Logic'!$A$22:$B$48,2,FALSE)&lt;=VLOOKUP(AQ162,'ELA Reading Logic'!$A$22:$B$48,2,FALSE),VLOOKUP(AQ162,'ELA Reading Logic'!$A$22:$B$48,2,FALSE),IF(VLOOKUP(AP162,'ELA Reading Logic'!$A$22:$B$48,2,FALSE)&gt;=VLOOKUP(AR162,'ELA Reading Logic'!$A$22:$B$48,2,FALSE),VLOOKUP(AR162,'ELA Reading Logic'!$A$22:$B$48,2,FALSE),"No Score")))),"No Value"))</f>
        <v>No Value</v>
      </c>
      <c r="AT162" s="96" t="str">
        <f>IFERROR(VLOOKUP(AP162,'ELA Reading Logic'!$A$22:$B$48,2,FALSE)-VLOOKUP($F162,'ELA Reading Logic'!$A$22:$B$48,2,FALSE),"No Value")</f>
        <v>No Value</v>
      </c>
    </row>
    <row r="163" spans="1:46" ht="22.5" customHeight="1" x14ac:dyDescent="0.25">
      <c r="A163" s="174"/>
      <c r="B163" s="174"/>
      <c r="C163" s="174"/>
      <c r="D163" s="174"/>
      <c r="E163" s="175"/>
      <c r="F163" s="175"/>
      <c r="G163" s="177" t="str">
        <f>IFERROR(IF($E163="Yes","IPP",VLOOKUP($J163,'ELA Reading Logic'!$A$3:$K$9,VLOOKUP("September",'ELA Reading Logic'!$J$22:$K$31,2,FALSE),FALSE)),"Set Grade")</f>
        <v>Set Grade</v>
      </c>
      <c r="H163" s="177" t="str">
        <f>IFERROR(IF($E163="Yes","IPP",VLOOKUP($J163,'ELA Reading Logic'!$A$13:$K$19,VLOOKUP("September",'ELA Reading Logic'!$J$22:$K$31,2,FALSE),FALSE)),"Set Grade")</f>
        <v>Set Grade</v>
      </c>
      <c r="I163" s="96" t="str">
        <f>IF($E163="Yes","IPP",IFERROR(IF(AND(F163&gt;G163,F163&lt;H163),"0",(VLOOKUP(F163,'ELA Reading Logic'!$A$22:$B$48,2,FALSE))-(IF(VLOOKUP(F163,'ELA Reading Logic'!$A$22:$B$48,2,FALSE)&lt;=VLOOKUP(G163,'ELA Reading Logic'!$A$22:$B$48,2,FALSE),VLOOKUP(G163,'ELA Reading Logic'!$A$22:$B$48,2,FALSE),IF(VLOOKUP(F163,'ELA Reading Logic'!$A$22:$B$48,2,FALSE)&gt;=VLOOKUP(H163,'ELA Reading Logic'!$A$22:$B$48,2,FALSE),VLOOKUP(H163,'ELA Reading Logic'!$A$22:$B$48,2,FALSE),"No Score")))),"No Value"))</f>
        <v>No Value</v>
      </c>
      <c r="J163" s="178"/>
      <c r="K163" s="96"/>
      <c r="L163" s="96"/>
      <c r="M163" s="96"/>
      <c r="N163" s="96"/>
      <c r="O163" s="96"/>
      <c r="P163" s="105"/>
      <c r="Q163" s="92"/>
      <c r="R163" s="96" t="str">
        <f>IFERROR(IF($E163="Yes","IPP",VLOOKUP($J163,'ELA Reading Logic'!$A$3:$K$9,VLOOKUP(Q$1,'ELA Reading Logic'!$J$22:$K$31,2,FALSE),FALSE)),"Set Grade")</f>
        <v>Set Grade</v>
      </c>
      <c r="S163" s="96" t="str">
        <f>IFERROR(IF($E163="Yes","IPP",VLOOKUP($J163,'ELA Reading Logic'!$A$13:$K$19,VLOOKUP(Q$1,'ELA Reading Logic'!$J$22:$K$31,2,FALSE),FALSE)),"Set Grade")</f>
        <v>Set Grade</v>
      </c>
      <c r="T163" s="96" t="str">
        <f>IF($E163="Yes","IPP",IFERROR(IF(AND(Q163&gt;R163,Q163&lt;S163),"0",(VLOOKUP(Q163,'ELA Reading Logic'!$A$22:$B$48,2,FALSE))-(IF(VLOOKUP(Q163,'ELA Reading Logic'!$A$22:$B$48,2,FALSE)&lt;=VLOOKUP(R163,'ELA Reading Logic'!$A$22:$B$48,2,FALSE),VLOOKUP(R163,'ELA Reading Logic'!$A$22:$B$48,2,FALSE),IF(VLOOKUP(Q163,'ELA Reading Logic'!$A$22:$B$48,2,FALSE)&gt;=VLOOKUP(S163,'ELA Reading Logic'!$A$22:$B$48,2,FALSE),VLOOKUP(S163,'ELA Reading Logic'!$A$22:$B$48,2,FALSE),"No Score")))),"No Value"))</f>
        <v>No Value</v>
      </c>
      <c r="U163" s="96" t="str">
        <f>IFERROR(VLOOKUP(Q163,'ELA Reading Logic'!$A$22:$B$48,2,FALSE)-VLOOKUP($F163,'ELA Reading Logic'!$A$22:$B$48,2,FALSE),"No Value")</f>
        <v>No Value</v>
      </c>
      <c r="V163" s="92"/>
      <c r="W163" s="96" t="str">
        <f>IFERROR(IF($E163="Yes","IPP",VLOOKUP($J163,'ELA Reading Logic'!$A$3:$K$9,VLOOKUP(V$1,'ELA Reading Logic'!$J$22:$K$31,2,FALSE),FALSE)),"Set Grade")</f>
        <v>Set Grade</v>
      </c>
      <c r="X163" s="96" t="str">
        <f>IFERROR(IF($E163="Yes","IPP",VLOOKUP($J163,'ELA Reading Logic'!$A$13:$K$19,VLOOKUP(V$1,'ELA Reading Logic'!$J$22:$K$31,2,FALSE),FALSE)),"Set Grade")</f>
        <v>Set Grade</v>
      </c>
      <c r="Y163" s="96" t="str">
        <f>IF($E163="Yes","IPP",IFERROR(IF(AND(V163&gt;W163,V163&lt;X163),"0",(VLOOKUP(V163,'ELA Reading Logic'!$A$22:$B$48,2,FALSE))-(IF(VLOOKUP(V163,'ELA Reading Logic'!$A$22:$B$48,2,FALSE)&lt;=VLOOKUP(W163,'ELA Reading Logic'!$A$22:$B$48,2,FALSE),VLOOKUP(W163,'ELA Reading Logic'!$A$22:$B$48,2,FALSE),IF(VLOOKUP(V163,'ELA Reading Logic'!$A$22:$B$48,2,FALSE)&gt;=VLOOKUP(X163,'ELA Reading Logic'!$A$22:$B$48,2,FALSE),VLOOKUP(X163,'ELA Reading Logic'!$A$22:$B$48,2,FALSE),"No Score")))),"No Value"))</f>
        <v>No Value</v>
      </c>
      <c r="Z163" s="96" t="str">
        <f>IFERROR(VLOOKUP(V163,'ELA Reading Logic'!$A$22:$B$48,2,FALSE)-VLOOKUP($F163,'ELA Reading Logic'!$A$22:$B$48,2,FALSE),"No Value")</f>
        <v>No Value</v>
      </c>
      <c r="AA163" s="92"/>
      <c r="AB163" s="96" t="str">
        <f>IFERROR(IF($E163="Yes","IPP",VLOOKUP($J163,'ELA Reading Logic'!$A$3:$K$9,VLOOKUP(AA$1,'ELA Reading Logic'!$J$22:$K$31,2,FALSE),FALSE)),"Set Grade")</f>
        <v>Set Grade</v>
      </c>
      <c r="AC163" s="96" t="str">
        <f>IFERROR(IF($E163="Yes","IPP",VLOOKUP($J163,'ELA Reading Logic'!$A$13:$K$19,VLOOKUP(AA$1,'ELA Reading Logic'!$J$22:$K$31,2,FALSE),FALSE)),"Set Grade")</f>
        <v>Set Grade</v>
      </c>
      <c r="AD163" s="96" t="str">
        <f>IF($E163="Yes","IPP",IFERROR(IF(AND(AA163&gt;AB163,AA163&lt;AC163),"0",(VLOOKUP(AA163,'ELA Reading Logic'!$A$22:$B$48,2,FALSE))-(IF(VLOOKUP(AA163,'ELA Reading Logic'!$A$22:$B$48,2,FALSE)&lt;=VLOOKUP(AB163,'ELA Reading Logic'!$A$22:$B$48,2,FALSE),VLOOKUP(AB163,'ELA Reading Logic'!$A$22:$B$48,2,FALSE),IF(VLOOKUP(AA163,'ELA Reading Logic'!$A$22:$B$48,2,FALSE)&gt;=VLOOKUP(AC163,'ELA Reading Logic'!$A$22:$B$48,2,FALSE),VLOOKUP(AC163,'ELA Reading Logic'!$A$22:$B$48,2,FALSE),"No Score")))),"No Value"))</f>
        <v>No Value</v>
      </c>
      <c r="AE163" s="96" t="str">
        <f>IFERROR(VLOOKUP(AA163,'ELA Reading Logic'!$A$22:$B$48,2,FALSE)-VLOOKUP($F163,'ELA Reading Logic'!$A$22:$B$48,2,FALSE),"No Value")</f>
        <v>No Value</v>
      </c>
      <c r="AF163" s="92"/>
      <c r="AG163" s="96" t="str">
        <f>IFERROR(IF($E163="Yes","IPP",VLOOKUP($J163,'ELA Reading Logic'!$A$3:$K$9,VLOOKUP(AF$1,'ELA Reading Logic'!$J$22:$K$31,2,FALSE),FALSE)),"Set Grade")</f>
        <v>Set Grade</v>
      </c>
      <c r="AH163" s="96" t="str">
        <f>IFERROR(IF($E163="Yes","IPP",VLOOKUP($J163,'ELA Reading Logic'!$A$13:$K$19,VLOOKUP(AF$1,'ELA Reading Logic'!$J$22:$K$31,2,FALSE),FALSE)),"Set Grade")</f>
        <v>Set Grade</v>
      </c>
      <c r="AI163" s="96" t="str">
        <f>IF($E163="Yes","IPP",IFERROR(IF(AND(AF163&gt;AG163,AF163&lt;AH163),"0",(VLOOKUP(AF163,'ELA Reading Logic'!$A$22:$B$48,2,FALSE))-(IF(VLOOKUP(AF163,'ELA Reading Logic'!$A$22:$B$48,2,FALSE)&lt;=VLOOKUP(AG163,'ELA Reading Logic'!$A$22:$B$48,2,FALSE),VLOOKUP(AG163,'ELA Reading Logic'!$A$22:$B$48,2,FALSE),IF(VLOOKUP(AF163,'ELA Reading Logic'!$A$22:$B$48,2,FALSE)&gt;=VLOOKUP(AH163,'ELA Reading Logic'!$A$22:$B$48,2,FALSE),VLOOKUP(AH163,'ELA Reading Logic'!$A$22:$B$48,2,FALSE),"No Score")))),"No Value"))</f>
        <v>No Value</v>
      </c>
      <c r="AJ163" s="96" t="str">
        <f>IFERROR(VLOOKUP(AF163,'ELA Reading Logic'!$A$22:$B$48,2,FALSE)-VLOOKUP($F163,'ELA Reading Logic'!$A$22:$B$48,2,FALSE),"No Value")</f>
        <v>No Value</v>
      </c>
      <c r="AK163" s="92"/>
      <c r="AL163" s="96" t="str">
        <f>IFERROR(IF($E163="Yes","IPP",VLOOKUP($J163,'ELA Reading Logic'!$A$3:$K$9,VLOOKUP(AK$1,'ELA Reading Logic'!$J$22:$K$31,2,FALSE),FALSE)),"Set Grade")</f>
        <v>Set Grade</v>
      </c>
      <c r="AM163" s="96" t="str">
        <f>IFERROR(IF($E163="Yes","IPP",VLOOKUP($J163,'ELA Reading Logic'!$A$13:$K$19,VLOOKUP(AK$1,'ELA Reading Logic'!$J$22:$K$31,2,FALSE),FALSE)),"Set Grade")</f>
        <v>Set Grade</v>
      </c>
      <c r="AN163" s="96" t="str">
        <f>IF($E163="Yes","IPP",IFERROR(IF(AND(AK163&gt;AL163,AK163&lt;AM163),"0",(VLOOKUP(AK163,'ELA Reading Logic'!$A$22:$B$48,2,FALSE))-(IF(VLOOKUP(AK163,'ELA Reading Logic'!$A$22:$B$48,2,FALSE)&lt;=VLOOKUP(AL163,'ELA Reading Logic'!$A$22:$B$48,2,FALSE),VLOOKUP(AL163,'ELA Reading Logic'!$A$22:$B$48,2,FALSE),IF(VLOOKUP(AK163,'ELA Reading Logic'!$A$22:$B$48,2,FALSE)&gt;=VLOOKUP(AM163,'ELA Reading Logic'!$A$22:$B$48,2,FALSE),VLOOKUP(AM163,'ELA Reading Logic'!$A$22:$B$48,2,FALSE),"No Score")))),"No Value"))</f>
        <v>No Value</v>
      </c>
      <c r="AO163" s="96" t="str">
        <f>IFERROR(VLOOKUP(AK163,'ELA Reading Logic'!$A$22:$B$48,2,FALSE)-VLOOKUP($F163,'ELA Reading Logic'!$A$22:$B$48,2,FALSE),"No Value")</f>
        <v>No Value</v>
      </c>
      <c r="AP163" s="92"/>
      <c r="AQ163" s="96" t="str">
        <f>IFERROR(IF($E163="Yes","IPP",VLOOKUP($J163,'ELA Reading Logic'!$A$3:$K$9,VLOOKUP(AP$1,'ELA Reading Logic'!$J$22:$K$31,2,FALSE),FALSE)),"Set Grade")</f>
        <v>Set Grade</v>
      </c>
      <c r="AR163" s="96" t="str">
        <f>IFERROR(IF($E163="Yes","IPP",VLOOKUP($J163,'ELA Reading Logic'!$A$13:$K$19,VLOOKUP(AP$1,'ELA Reading Logic'!$J$22:$K$31,2,FALSE),FALSE)),"Set Grade")</f>
        <v>Set Grade</v>
      </c>
      <c r="AS163" s="96" t="str">
        <f>IF($E163="Yes","IPP",IFERROR(IF(AND(AP163&gt;AQ163,AP163&lt;AR163),"0",(VLOOKUP(AP163,'ELA Reading Logic'!$A$22:$B$48,2,FALSE))-(IF(VLOOKUP(AP163,'ELA Reading Logic'!$A$22:$B$48,2,FALSE)&lt;=VLOOKUP(AQ163,'ELA Reading Logic'!$A$22:$B$48,2,FALSE),VLOOKUP(AQ163,'ELA Reading Logic'!$A$22:$B$48,2,FALSE),IF(VLOOKUP(AP163,'ELA Reading Logic'!$A$22:$B$48,2,FALSE)&gt;=VLOOKUP(AR163,'ELA Reading Logic'!$A$22:$B$48,2,FALSE),VLOOKUP(AR163,'ELA Reading Logic'!$A$22:$B$48,2,FALSE),"No Score")))),"No Value"))</f>
        <v>No Value</v>
      </c>
      <c r="AT163" s="96" t="str">
        <f>IFERROR(VLOOKUP(AP163,'ELA Reading Logic'!$A$22:$B$48,2,FALSE)-VLOOKUP($F163,'ELA Reading Logic'!$A$22:$B$48,2,FALSE),"No Value")</f>
        <v>No Value</v>
      </c>
    </row>
    <row r="164" spans="1:46" ht="22.5" customHeight="1" x14ac:dyDescent="0.25">
      <c r="A164" s="228"/>
      <c r="B164" s="229"/>
      <c r="C164" s="229"/>
      <c r="D164" s="229"/>
      <c r="E164" s="175"/>
      <c r="F164" s="175"/>
      <c r="G164" s="177" t="str">
        <f>IFERROR(IF($E164="Yes","IPP",VLOOKUP($J164,'ELA Reading Logic'!$A$3:$K$9,VLOOKUP("September",'ELA Reading Logic'!$J$22:$K$31,2,FALSE),FALSE)),"Set Grade")</f>
        <v>Set Grade</v>
      </c>
      <c r="H164" s="177" t="str">
        <f>IFERROR(IF($E164="Yes","IPP",VLOOKUP($J164,'ELA Reading Logic'!$A$13:$K$19,VLOOKUP("September",'ELA Reading Logic'!$J$22:$K$31,2,FALSE),FALSE)),"Set Grade")</f>
        <v>Set Grade</v>
      </c>
      <c r="I164" s="96" t="str">
        <f>IF($E164="Yes","IPP",IFERROR(IF(AND(F164&gt;G164,F164&lt;H164),"0",(VLOOKUP(F164,'ELA Reading Logic'!$A$22:$B$48,2,FALSE))-(IF(VLOOKUP(F164,'ELA Reading Logic'!$A$22:$B$48,2,FALSE)&lt;=VLOOKUP(G164,'ELA Reading Logic'!$A$22:$B$48,2,FALSE),VLOOKUP(G164,'ELA Reading Logic'!$A$22:$B$48,2,FALSE),IF(VLOOKUP(F164,'ELA Reading Logic'!$A$22:$B$48,2,FALSE)&gt;=VLOOKUP(H164,'ELA Reading Logic'!$A$22:$B$48,2,FALSE),VLOOKUP(H164,'ELA Reading Logic'!$A$22:$B$48,2,FALSE),"No Score")))),"No Value"))</f>
        <v>No Value</v>
      </c>
      <c r="J164" s="178"/>
      <c r="K164" s="96"/>
      <c r="L164" s="96"/>
      <c r="M164" s="96"/>
      <c r="N164" s="96"/>
      <c r="O164" s="96"/>
      <c r="P164" s="105"/>
      <c r="Q164" s="92"/>
      <c r="R164" s="96" t="str">
        <f>IFERROR(IF($E164="Yes","IPP",VLOOKUP($J164,'ELA Reading Logic'!$A$3:$K$9,VLOOKUP(Q$1,'ELA Reading Logic'!$J$22:$K$31,2,FALSE),FALSE)),"Set Grade")</f>
        <v>Set Grade</v>
      </c>
      <c r="S164" s="96" t="str">
        <f>IFERROR(IF($E164="Yes","IPP",VLOOKUP($J164,'ELA Reading Logic'!$A$13:$K$19,VLOOKUP(Q$1,'ELA Reading Logic'!$J$22:$K$31,2,FALSE),FALSE)),"Set Grade")</f>
        <v>Set Grade</v>
      </c>
      <c r="T164" s="96" t="str">
        <f>IF($E164="Yes","IPP",IFERROR(IF(AND(Q164&gt;R164,Q164&lt;S164),"0",(VLOOKUP(Q164,'ELA Reading Logic'!$A$22:$B$48,2,FALSE))-(IF(VLOOKUP(Q164,'ELA Reading Logic'!$A$22:$B$48,2,FALSE)&lt;=VLOOKUP(R164,'ELA Reading Logic'!$A$22:$B$48,2,FALSE),VLOOKUP(R164,'ELA Reading Logic'!$A$22:$B$48,2,FALSE),IF(VLOOKUP(Q164,'ELA Reading Logic'!$A$22:$B$48,2,FALSE)&gt;=VLOOKUP(S164,'ELA Reading Logic'!$A$22:$B$48,2,FALSE),VLOOKUP(S164,'ELA Reading Logic'!$A$22:$B$48,2,FALSE),"No Score")))),"No Value"))</f>
        <v>No Value</v>
      </c>
      <c r="U164" s="96" t="str">
        <f>IFERROR(VLOOKUP(Q164,'ELA Reading Logic'!$A$22:$B$48,2,FALSE)-VLOOKUP($F164,'ELA Reading Logic'!$A$22:$B$48,2,FALSE),"No Value")</f>
        <v>No Value</v>
      </c>
      <c r="V164" s="92"/>
      <c r="W164" s="96" t="str">
        <f>IFERROR(IF($E164="Yes","IPP",VLOOKUP($J164,'ELA Reading Logic'!$A$3:$K$9,VLOOKUP(V$1,'ELA Reading Logic'!$J$22:$K$31,2,FALSE),FALSE)),"Set Grade")</f>
        <v>Set Grade</v>
      </c>
      <c r="X164" s="96" t="str">
        <f>IFERROR(IF($E164="Yes","IPP",VLOOKUP($J164,'ELA Reading Logic'!$A$13:$K$19,VLOOKUP(V$1,'ELA Reading Logic'!$J$22:$K$31,2,FALSE),FALSE)),"Set Grade")</f>
        <v>Set Grade</v>
      </c>
      <c r="Y164" s="96" t="str">
        <f>IF($E164="Yes","IPP",IFERROR(IF(AND(V164&gt;W164,V164&lt;X164),"0",(VLOOKUP(V164,'ELA Reading Logic'!$A$22:$B$48,2,FALSE))-(IF(VLOOKUP(V164,'ELA Reading Logic'!$A$22:$B$48,2,FALSE)&lt;=VLOOKUP(W164,'ELA Reading Logic'!$A$22:$B$48,2,FALSE),VLOOKUP(W164,'ELA Reading Logic'!$A$22:$B$48,2,FALSE),IF(VLOOKUP(V164,'ELA Reading Logic'!$A$22:$B$48,2,FALSE)&gt;=VLOOKUP(X164,'ELA Reading Logic'!$A$22:$B$48,2,FALSE),VLOOKUP(X164,'ELA Reading Logic'!$A$22:$B$48,2,FALSE),"No Score")))),"No Value"))</f>
        <v>No Value</v>
      </c>
      <c r="Z164" s="96" t="str">
        <f>IFERROR(VLOOKUP(V164,'ELA Reading Logic'!$A$22:$B$48,2,FALSE)-VLOOKUP($F164,'ELA Reading Logic'!$A$22:$B$48,2,FALSE),"No Value")</f>
        <v>No Value</v>
      </c>
      <c r="AA164" s="92"/>
      <c r="AB164" s="96" t="str">
        <f>IFERROR(IF($E164="Yes","IPP",VLOOKUP($J164,'ELA Reading Logic'!$A$3:$K$9,VLOOKUP(AA$1,'ELA Reading Logic'!$J$22:$K$31,2,FALSE),FALSE)),"Set Grade")</f>
        <v>Set Grade</v>
      </c>
      <c r="AC164" s="96" t="str">
        <f>IFERROR(IF($E164="Yes","IPP",VLOOKUP($J164,'ELA Reading Logic'!$A$13:$K$19,VLOOKUP(AA$1,'ELA Reading Logic'!$J$22:$K$31,2,FALSE),FALSE)),"Set Grade")</f>
        <v>Set Grade</v>
      </c>
      <c r="AD164" s="96" t="str">
        <f>IF($E164="Yes","IPP",IFERROR(IF(AND(AA164&gt;AB164,AA164&lt;AC164),"0",(VLOOKUP(AA164,'ELA Reading Logic'!$A$22:$B$48,2,FALSE))-(IF(VLOOKUP(AA164,'ELA Reading Logic'!$A$22:$B$48,2,FALSE)&lt;=VLOOKUP(AB164,'ELA Reading Logic'!$A$22:$B$48,2,FALSE),VLOOKUP(AB164,'ELA Reading Logic'!$A$22:$B$48,2,FALSE),IF(VLOOKUP(AA164,'ELA Reading Logic'!$A$22:$B$48,2,FALSE)&gt;=VLOOKUP(AC164,'ELA Reading Logic'!$A$22:$B$48,2,FALSE),VLOOKUP(AC164,'ELA Reading Logic'!$A$22:$B$48,2,FALSE),"No Score")))),"No Value"))</f>
        <v>No Value</v>
      </c>
      <c r="AE164" s="96" t="str">
        <f>IFERROR(VLOOKUP(AA164,'ELA Reading Logic'!$A$22:$B$48,2,FALSE)-VLOOKUP($F164,'ELA Reading Logic'!$A$22:$B$48,2,FALSE),"No Value")</f>
        <v>No Value</v>
      </c>
      <c r="AF164" s="92"/>
      <c r="AG164" s="96" t="str">
        <f>IFERROR(IF($E164="Yes","IPP",VLOOKUP($J164,'ELA Reading Logic'!$A$3:$K$9,VLOOKUP(AF$1,'ELA Reading Logic'!$J$22:$K$31,2,FALSE),FALSE)),"Set Grade")</f>
        <v>Set Grade</v>
      </c>
      <c r="AH164" s="96" t="str">
        <f>IFERROR(IF($E164="Yes","IPP",VLOOKUP($J164,'ELA Reading Logic'!$A$13:$K$19,VLOOKUP(AF$1,'ELA Reading Logic'!$J$22:$K$31,2,FALSE),FALSE)),"Set Grade")</f>
        <v>Set Grade</v>
      </c>
      <c r="AI164" s="96" t="str">
        <f>IF($E164="Yes","IPP",IFERROR(IF(AND(AF164&gt;AG164,AF164&lt;AH164),"0",(VLOOKUP(AF164,'ELA Reading Logic'!$A$22:$B$48,2,FALSE))-(IF(VLOOKUP(AF164,'ELA Reading Logic'!$A$22:$B$48,2,FALSE)&lt;=VLOOKUP(AG164,'ELA Reading Logic'!$A$22:$B$48,2,FALSE),VLOOKUP(AG164,'ELA Reading Logic'!$A$22:$B$48,2,FALSE),IF(VLOOKUP(AF164,'ELA Reading Logic'!$A$22:$B$48,2,FALSE)&gt;=VLOOKUP(AH164,'ELA Reading Logic'!$A$22:$B$48,2,FALSE),VLOOKUP(AH164,'ELA Reading Logic'!$A$22:$B$48,2,FALSE),"No Score")))),"No Value"))</f>
        <v>No Value</v>
      </c>
      <c r="AJ164" s="96" t="str">
        <f>IFERROR(VLOOKUP(AF164,'ELA Reading Logic'!$A$22:$B$48,2,FALSE)-VLOOKUP($F164,'ELA Reading Logic'!$A$22:$B$48,2,FALSE),"No Value")</f>
        <v>No Value</v>
      </c>
      <c r="AK164" s="92"/>
      <c r="AL164" s="96" t="str">
        <f>IFERROR(IF($E164="Yes","IPP",VLOOKUP($J164,'ELA Reading Logic'!$A$3:$K$9,VLOOKUP(AK$1,'ELA Reading Logic'!$J$22:$K$31,2,FALSE),FALSE)),"Set Grade")</f>
        <v>Set Grade</v>
      </c>
      <c r="AM164" s="96" t="str">
        <f>IFERROR(IF($E164="Yes","IPP",VLOOKUP($J164,'ELA Reading Logic'!$A$13:$K$19,VLOOKUP(AK$1,'ELA Reading Logic'!$J$22:$K$31,2,FALSE),FALSE)),"Set Grade")</f>
        <v>Set Grade</v>
      </c>
      <c r="AN164" s="96" t="str">
        <f>IF($E164="Yes","IPP",IFERROR(IF(AND(AK164&gt;AL164,AK164&lt;AM164),"0",(VLOOKUP(AK164,'ELA Reading Logic'!$A$22:$B$48,2,FALSE))-(IF(VLOOKUP(AK164,'ELA Reading Logic'!$A$22:$B$48,2,FALSE)&lt;=VLOOKUP(AL164,'ELA Reading Logic'!$A$22:$B$48,2,FALSE),VLOOKUP(AL164,'ELA Reading Logic'!$A$22:$B$48,2,FALSE),IF(VLOOKUP(AK164,'ELA Reading Logic'!$A$22:$B$48,2,FALSE)&gt;=VLOOKUP(AM164,'ELA Reading Logic'!$A$22:$B$48,2,FALSE),VLOOKUP(AM164,'ELA Reading Logic'!$A$22:$B$48,2,FALSE),"No Score")))),"No Value"))</f>
        <v>No Value</v>
      </c>
      <c r="AO164" s="96" t="str">
        <f>IFERROR(VLOOKUP(AK164,'ELA Reading Logic'!$A$22:$B$48,2,FALSE)-VLOOKUP($F164,'ELA Reading Logic'!$A$22:$B$48,2,FALSE),"No Value")</f>
        <v>No Value</v>
      </c>
      <c r="AP164" s="92"/>
      <c r="AQ164" s="96" t="str">
        <f>IFERROR(IF($E164="Yes","IPP",VLOOKUP($J164,'ELA Reading Logic'!$A$3:$K$9,VLOOKUP(AP$1,'ELA Reading Logic'!$J$22:$K$31,2,FALSE),FALSE)),"Set Grade")</f>
        <v>Set Grade</v>
      </c>
      <c r="AR164" s="96" t="str">
        <f>IFERROR(IF($E164="Yes","IPP",VLOOKUP($J164,'ELA Reading Logic'!$A$13:$K$19,VLOOKUP(AP$1,'ELA Reading Logic'!$J$22:$K$31,2,FALSE),FALSE)),"Set Grade")</f>
        <v>Set Grade</v>
      </c>
      <c r="AS164" s="96" t="str">
        <f>IF($E164="Yes","IPP",IFERROR(IF(AND(AP164&gt;AQ164,AP164&lt;AR164),"0",(VLOOKUP(AP164,'ELA Reading Logic'!$A$22:$B$48,2,FALSE))-(IF(VLOOKUP(AP164,'ELA Reading Logic'!$A$22:$B$48,2,FALSE)&lt;=VLOOKUP(AQ164,'ELA Reading Logic'!$A$22:$B$48,2,FALSE),VLOOKUP(AQ164,'ELA Reading Logic'!$A$22:$B$48,2,FALSE),IF(VLOOKUP(AP164,'ELA Reading Logic'!$A$22:$B$48,2,FALSE)&gt;=VLOOKUP(AR164,'ELA Reading Logic'!$A$22:$B$48,2,FALSE),VLOOKUP(AR164,'ELA Reading Logic'!$A$22:$B$48,2,FALSE),"No Score")))),"No Value"))</f>
        <v>No Value</v>
      </c>
      <c r="AT164" s="96" t="str">
        <f>IFERROR(VLOOKUP(AP164,'ELA Reading Logic'!$A$22:$B$48,2,FALSE)-VLOOKUP($F164,'ELA Reading Logic'!$A$22:$B$48,2,FALSE),"No Value")</f>
        <v>No Value</v>
      </c>
    </row>
    <row r="165" spans="1:46" ht="22.5" customHeight="1" x14ac:dyDescent="0.25">
      <c r="A165" s="231"/>
      <c r="B165" s="229"/>
      <c r="C165" s="229"/>
      <c r="D165" s="229"/>
      <c r="E165" s="175"/>
      <c r="F165" s="175"/>
      <c r="G165" s="177" t="str">
        <f>IFERROR(IF($E165="Yes","IPP",VLOOKUP($J165,'ELA Reading Logic'!$A$3:$K$9,VLOOKUP("September",'ELA Reading Logic'!$J$22:$K$31,2,FALSE),FALSE)),"Set Grade")</f>
        <v>Set Grade</v>
      </c>
      <c r="H165" s="177" t="str">
        <f>IFERROR(IF($E165="Yes","IPP",VLOOKUP($J165,'ELA Reading Logic'!$A$13:$K$19,VLOOKUP("September",'ELA Reading Logic'!$J$22:$K$31,2,FALSE),FALSE)),"Set Grade")</f>
        <v>Set Grade</v>
      </c>
      <c r="I165" s="96" t="str">
        <f>IF($E165="Yes","IPP",IFERROR(IF(AND(F165&gt;G165,F165&lt;H165),"0",(VLOOKUP(F165,'ELA Reading Logic'!$A$22:$B$48,2,FALSE))-(IF(VLOOKUP(F165,'ELA Reading Logic'!$A$22:$B$48,2,FALSE)&lt;=VLOOKUP(G165,'ELA Reading Logic'!$A$22:$B$48,2,FALSE),VLOOKUP(G165,'ELA Reading Logic'!$A$22:$B$48,2,FALSE),IF(VLOOKUP(F165,'ELA Reading Logic'!$A$22:$B$48,2,FALSE)&gt;=VLOOKUP(H165,'ELA Reading Logic'!$A$22:$B$48,2,FALSE),VLOOKUP(H165,'ELA Reading Logic'!$A$22:$B$48,2,FALSE),"No Score")))),"No Value"))</f>
        <v>No Value</v>
      </c>
      <c r="J165" s="178"/>
      <c r="K165" s="96"/>
      <c r="L165" s="96"/>
      <c r="M165" s="96"/>
      <c r="N165" s="96"/>
      <c r="O165" s="96"/>
      <c r="P165" s="105"/>
      <c r="Q165" s="92"/>
      <c r="R165" s="96" t="str">
        <f>IFERROR(IF($E165="Yes","IPP",VLOOKUP($J165,'ELA Reading Logic'!$A$3:$K$9,VLOOKUP(Q$1,'ELA Reading Logic'!$J$22:$K$31,2,FALSE),FALSE)),"Set Grade")</f>
        <v>Set Grade</v>
      </c>
      <c r="S165" s="96" t="str">
        <f>IFERROR(IF($E165="Yes","IPP",VLOOKUP($J165,'ELA Reading Logic'!$A$13:$K$19,VLOOKUP(Q$1,'ELA Reading Logic'!$J$22:$K$31,2,FALSE),FALSE)),"Set Grade")</f>
        <v>Set Grade</v>
      </c>
      <c r="T165" s="96" t="str">
        <f>IF($E165="Yes","IPP",IFERROR(IF(AND(Q165&gt;R165,Q165&lt;S165),"0",(VLOOKUP(Q165,'ELA Reading Logic'!$A$22:$B$48,2,FALSE))-(IF(VLOOKUP(Q165,'ELA Reading Logic'!$A$22:$B$48,2,FALSE)&lt;=VLOOKUP(R165,'ELA Reading Logic'!$A$22:$B$48,2,FALSE),VLOOKUP(R165,'ELA Reading Logic'!$A$22:$B$48,2,FALSE),IF(VLOOKUP(Q165,'ELA Reading Logic'!$A$22:$B$48,2,FALSE)&gt;=VLOOKUP(S165,'ELA Reading Logic'!$A$22:$B$48,2,FALSE),VLOOKUP(S165,'ELA Reading Logic'!$A$22:$B$48,2,FALSE),"No Score")))),"No Value"))</f>
        <v>No Value</v>
      </c>
      <c r="U165" s="96" t="str">
        <f>IFERROR(VLOOKUP(Q165,'ELA Reading Logic'!$A$22:$B$48,2,FALSE)-VLOOKUP($F165,'ELA Reading Logic'!$A$22:$B$48,2,FALSE),"No Value")</f>
        <v>No Value</v>
      </c>
      <c r="V165" s="92"/>
      <c r="W165" s="96" t="str">
        <f>IFERROR(IF($E165="Yes","IPP",VLOOKUP($J165,'ELA Reading Logic'!$A$3:$K$9,VLOOKUP(V$1,'ELA Reading Logic'!$J$22:$K$31,2,FALSE),FALSE)),"Set Grade")</f>
        <v>Set Grade</v>
      </c>
      <c r="X165" s="96" t="str">
        <f>IFERROR(IF($E165="Yes","IPP",VLOOKUP($J165,'ELA Reading Logic'!$A$13:$K$19,VLOOKUP(V$1,'ELA Reading Logic'!$J$22:$K$31,2,FALSE),FALSE)),"Set Grade")</f>
        <v>Set Grade</v>
      </c>
      <c r="Y165" s="96" t="str">
        <f>IF($E165="Yes","IPP",IFERROR(IF(AND(V165&gt;W165,V165&lt;X165),"0",(VLOOKUP(V165,'ELA Reading Logic'!$A$22:$B$48,2,FALSE))-(IF(VLOOKUP(V165,'ELA Reading Logic'!$A$22:$B$48,2,FALSE)&lt;=VLOOKUP(W165,'ELA Reading Logic'!$A$22:$B$48,2,FALSE),VLOOKUP(W165,'ELA Reading Logic'!$A$22:$B$48,2,FALSE),IF(VLOOKUP(V165,'ELA Reading Logic'!$A$22:$B$48,2,FALSE)&gt;=VLOOKUP(X165,'ELA Reading Logic'!$A$22:$B$48,2,FALSE),VLOOKUP(X165,'ELA Reading Logic'!$A$22:$B$48,2,FALSE),"No Score")))),"No Value"))</f>
        <v>No Value</v>
      </c>
      <c r="Z165" s="96" t="str">
        <f>IFERROR(VLOOKUP(V165,'ELA Reading Logic'!$A$22:$B$48,2,FALSE)-VLOOKUP($F165,'ELA Reading Logic'!$A$22:$B$48,2,FALSE),"No Value")</f>
        <v>No Value</v>
      </c>
      <c r="AA165" s="92"/>
      <c r="AB165" s="96" t="str">
        <f>IFERROR(IF($E165="Yes","IPP",VLOOKUP($J165,'ELA Reading Logic'!$A$3:$K$9,VLOOKUP(AA$1,'ELA Reading Logic'!$J$22:$K$31,2,FALSE),FALSE)),"Set Grade")</f>
        <v>Set Grade</v>
      </c>
      <c r="AC165" s="96" t="str">
        <f>IFERROR(IF($E165="Yes","IPP",VLOOKUP($J165,'ELA Reading Logic'!$A$13:$K$19,VLOOKUP(AA$1,'ELA Reading Logic'!$J$22:$K$31,2,FALSE),FALSE)),"Set Grade")</f>
        <v>Set Grade</v>
      </c>
      <c r="AD165" s="96" t="str">
        <f>IF($E165="Yes","IPP",IFERROR(IF(AND(AA165&gt;AB165,AA165&lt;AC165),"0",(VLOOKUP(AA165,'ELA Reading Logic'!$A$22:$B$48,2,FALSE))-(IF(VLOOKUP(AA165,'ELA Reading Logic'!$A$22:$B$48,2,FALSE)&lt;=VLOOKUP(AB165,'ELA Reading Logic'!$A$22:$B$48,2,FALSE),VLOOKUP(AB165,'ELA Reading Logic'!$A$22:$B$48,2,FALSE),IF(VLOOKUP(AA165,'ELA Reading Logic'!$A$22:$B$48,2,FALSE)&gt;=VLOOKUP(AC165,'ELA Reading Logic'!$A$22:$B$48,2,FALSE),VLOOKUP(AC165,'ELA Reading Logic'!$A$22:$B$48,2,FALSE),"No Score")))),"No Value"))</f>
        <v>No Value</v>
      </c>
      <c r="AE165" s="96" t="str">
        <f>IFERROR(VLOOKUP(AA165,'ELA Reading Logic'!$A$22:$B$48,2,FALSE)-VLOOKUP($F165,'ELA Reading Logic'!$A$22:$B$48,2,FALSE),"No Value")</f>
        <v>No Value</v>
      </c>
      <c r="AF165" s="92"/>
      <c r="AG165" s="96" t="str">
        <f>IFERROR(IF($E165="Yes","IPP",VLOOKUP($J165,'ELA Reading Logic'!$A$3:$K$9,VLOOKUP(AF$1,'ELA Reading Logic'!$J$22:$K$31,2,FALSE),FALSE)),"Set Grade")</f>
        <v>Set Grade</v>
      </c>
      <c r="AH165" s="96" t="str">
        <f>IFERROR(IF($E165="Yes","IPP",VLOOKUP($J165,'ELA Reading Logic'!$A$13:$K$19,VLOOKUP(AF$1,'ELA Reading Logic'!$J$22:$K$31,2,FALSE),FALSE)),"Set Grade")</f>
        <v>Set Grade</v>
      </c>
      <c r="AI165" s="96" t="str">
        <f>IF($E165="Yes","IPP",IFERROR(IF(AND(AF165&gt;AG165,AF165&lt;AH165),"0",(VLOOKUP(AF165,'ELA Reading Logic'!$A$22:$B$48,2,FALSE))-(IF(VLOOKUP(AF165,'ELA Reading Logic'!$A$22:$B$48,2,FALSE)&lt;=VLOOKUP(AG165,'ELA Reading Logic'!$A$22:$B$48,2,FALSE),VLOOKUP(AG165,'ELA Reading Logic'!$A$22:$B$48,2,FALSE),IF(VLOOKUP(AF165,'ELA Reading Logic'!$A$22:$B$48,2,FALSE)&gt;=VLOOKUP(AH165,'ELA Reading Logic'!$A$22:$B$48,2,FALSE),VLOOKUP(AH165,'ELA Reading Logic'!$A$22:$B$48,2,FALSE),"No Score")))),"No Value"))</f>
        <v>No Value</v>
      </c>
      <c r="AJ165" s="96" t="str">
        <f>IFERROR(VLOOKUP(AF165,'ELA Reading Logic'!$A$22:$B$48,2,FALSE)-VLOOKUP($F165,'ELA Reading Logic'!$A$22:$B$48,2,FALSE),"No Value")</f>
        <v>No Value</v>
      </c>
      <c r="AK165" s="92"/>
      <c r="AL165" s="96" t="str">
        <f>IFERROR(IF($E165="Yes","IPP",VLOOKUP($J165,'ELA Reading Logic'!$A$3:$K$9,VLOOKUP(AK$1,'ELA Reading Logic'!$J$22:$K$31,2,FALSE),FALSE)),"Set Grade")</f>
        <v>Set Grade</v>
      </c>
      <c r="AM165" s="96" t="str">
        <f>IFERROR(IF($E165="Yes","IPP",VLOOKUP($J165,'ELA Reading Logic'!$A$13:$K$19,VLOOKUP(AK$1,'ELA Reading Logic'!$J$22:$K$31,2,FALSE),FALSE)),"Set Grade")</f>
        <v>Set Grade</v>
      </c>
      <c r="AN165" s="96" t="str">
        <f>IF($E165="Yes","IPP",IFERROR(IF(AND(AK165&gt;AL165,AK165&lt;AM165),"0",(VLOOKUP(AK165,'ELA Reading Logic'!$A$22:$B$48,2,FALSE))-(IF(VLOOKUP(AK165,'ELA Reading Logic'!$A$22:$B$48,2,FALSE)&lt;=VLOOKUP(AL165,'ELA Reading Logic'!$A$22:$B$48,2,FALSE),VLOOKUP(AL165,'ELA Reading Logic'!$A$22:$B$48,2,FALSE),IF(VLOOKUP(AK165,'ELA Reading Logic'!$A$22:$B$48,2,FALSE)&gt;=VLOOKUP(AM165,'ELA Reading Logic'!$A$22:$B$48,2,FALSE),VLOOKUP(AM165,'ELA Reading Logic'!$A$22:$B$48,2,FALSE),"No Score")))),"No Value"))</f>
        <v>No Value</v>
      </c>
      <c r="AO165" s="96" t="str">
        <f>IFERROR(VLOOKUP(AK165,'ELA Reading Logic'!$A$22:$B$48,2,FALSE)-VLOOKUP($F165,'ELA Reading Logic'!$A$22:$B$48,2,FALSE),"No Value")</f>
        <v>No Value</v>
      </c>
      <c r="AP165" s="92"/>
      <c r="AQ165" s="96" t="str">
        <f>IFERROR(IF($E165="Yes","IPP",VLOOKUP($J165,'ELA Reading Logic'!$A$3:$K$9,VLOOKUP(AP$1,'ELA Reading Logic'!$J$22:$K$31,2,FALSE),FALSE)),"Set Grade")</f>
        <v>Set Grade</v>
      </c>
      <c r="AR165" s="96" t="str">
        <f>IFERROR(IF($E165="Yes","IPP",VLOOKUP($J165,'ELA Reading Logic'!$A$13:$K$19,VLOOKUP(AP$1,'ELA Reading Logic'!$J$22:$K$31,2,FALSE),FALSE)),"Set Grade")</f>
        <v>Set Grade</v>
      </c>
      <c r="AS165" s="96" t="str">
        <f>IF($E165="Yes","IPP",IFERROR(IF(AND(AP165&gt;AQ165,AP165&lt;AR165),"0",(VLOOKUP(AP165,'ELA Reading Logic'!$A$22:$B$48,2,FALSE))-(IF(VLOOKUP(AP165,'ELA Reading Logic'!$A$22:$B$48,2,FALSE)&lt;=VLOOKUP(AQ165,'ELA Reading Logic'!$A$22:$B$48,2,FALSE),VLOOKUP(AQ165,'ELA Reading Logic'!$A$22:$B$48,2,FALSE),IF(VLOOKUP(AP165,'ELA Reading Logic'!$A$22:$B$48,2,FALSE)&gt;=VLOOKUP(AR165,'ELA Reading Logic'!$A$22:$B$48,2,FALSE),VLOOKUP(AR165,'ELA Reading Logic'!$A$22:$B$48,2,FALSE),"No Score")))),"No Value"))</f>
        <v>No Value</v>
      </c>
      <c r="AT165" s="96" t="str">
        <f>IFERROR(VLOOKUP(AP165,'ELA Reading Logic'!$A$22:$B$48,2,FALSE)-VLOOKUP($F165,'ELA Reading Logic'!$A$22:$B$48,2,FALSE),"No Value")</f>
        <v>No Value</v>
      </c>
    </row>
    <row r="166" spans="1:46" ht="22.5" customHeight="1" x14ac:dyDescent="0.25">
      <c r="A166" s="174"/>
      <c r="B166" s="174"/>
      <c r="C166" s="174"/>
      <c r="D166" s="174"/>
      <c r="E166" s="175"/>
      <c r="F166" s="175"/>
      <c r="G166" s="177" t="str">
        <f>IFERROR(IF($E166="Yes","IPP",VLOOKUP($J166,'ELA Reading Logic'!$A$3:$K$9,VLOOKUP("September",'ELA Reading Logic'!$J$22:$K$31,2,FALSE),FALSE)),"Set Grade")</f>
        <v>Set Grade</v>
      </c>
      <c r="H166" s="177" t="str">
        <f>IFERROR(IF($E166="Yes","IPP",VLOOKUP($J166,'ELA Reading Logic'!$A$13:$K$19,VLOOKUP("September",'ELA Reading Logic'!$J$22:$K$31,2,FALSE),FALSE)),"Set Grade")</f>
        <v>Set Grade</v>
      </c>
      <c r="I166" s="96" t="str">
        <f>IF($E166="Yes","IPP",IFERROR(IF(AND(F166&gt;G166,F166&lt;H166),"0",(VLOOKUP(F166,'ELA Reading Logic'!$A$22:$B$48,2,FALSE))-(IF(VLOOKUP(F166,'ELA Reading Logic'!$A$22:$B$48,2,FALSE)&lt;=VLOOKUP(G166,'ELA Reading Logic'!$A$22:$B$48,2,FALSE),VLOOKUP(G166,'ELA Reading Logic'!$A$22:$B$48,2,FALSE),IF(VLOOKUP(F166,'ELA Reading Logic'!$A$22:$B$48,2,FALSE)&gt;=VLOOKUP(H166,'ELA Reading Logic'!$A$22:$B$48,2,FALSE),VLOOKUP(H166,'ELA Reading Logic'!$A$22:$B$48,2,FALSE),"No Score")))),"No Value"))</f>
        <v>No Value</v>
      </c>
      <c r="J166" s="178"/>
      <c r="K166" s="96"/>
      <c r="L166" s="96"/>
      <c r="M166" s="96"/>
      <c r="N166" s="96"/>
      <c r="O166" s="96"/>
      <c r="P166" s="105"/>
      <c r="Q166" s="92"/>
      <c r="R166" s="96" t="str">
        <f>IFERROR(IF($E166="Yes","IPP",VLOOKUP($J166,'ELA Reading Logic'!$A$3:$K$9,VLOOKUP(Q$1,'ELA Reading Logic'!$J$22:$K$31,2,FALSE),FALSE)),"Set Grade")</f>
        <v>Set Grade</v>
      </c>
      <c r="S166" s="96" t="str">
        <f>IFERROR(IF($E166="Yes","IPP",VLOOKUP($J166,'ELA Reading Logic'!$A$13:$K$19,VLOOKUP(Q$1,'ELA Reading Logic'!$J$22:$K$31,2,FALSE),FALSE)),"Set Grade")</f>
        <v>Set Grade</v>
      </c>
      <c r="T166" s="96" t="str">
        <f>IF($E166="Yes","IPP",IFERROR(IF(AND(Q166&gt;R166,Q166&lt;S166),"0",(VLOOKUP(Q166,'ELA Reading Logic'!$A$22:$B$48,2,FALSE))-(IF(VLOOKUP(Q166,'ELA Reading Logic'!$A$22:$B$48,2,FALSE)&lt;=VLOOKUP(R166,'ELA Reading Logic'!$A$22:$B$48,2,FALSE),VLOOKUP(R166,'ELA Reading Logic'!$A$22:$B$48,2,FALSE),IF(VLOOKUP(Q166,'ELA Reading Logic'!$A$22:$B$48,2,FALSE)&gt;=VLOOKUP(S166,'ELA Reading Logic'!$A$22:$B$48,2,FALSE),VLOOKUP(S166,'ELA Reading Logic'!$A$22:$B$48,2,FALSE),"No Score")))),"No Value"))</f>
        <v>No Value</v>
      </c>
      <c r="U166" s="96" t="str">
        <f>IFERROR(VLOOKUP(Q166,'ELA Reading Logic'!$A$22:$B$48,2,FALSE)-VLOOKUP($F166,'ELA Reading Logic'!$A$22:$B$48,2,FALSE),"No Value")</f>
        <v>No Value</v>
      </c>
      <c r="V166" s="92"/>
      <c r="W166" s="96" t="str">
        <f>IFERROR(IF($E166="Yes","IPP",VLOOKUP($J166,'ELA Reading Logic'!$A$3:$K$9,VLOOKUP(V$1,'ELA Reading Logic'!$J$22:$K$31,2,FALSE),FALSE)),"Set Grade")</f>
        <v>Set Grade</v>
      </c>
      <c r="X166" s="96" t="str">
        <f>IFERROR(IF($E166="Yes","IPP",VLOOKUP($J166,'ELA Reading Logic'!$A$13:$K$19,VLOOKUP(V$1,'ELA Reading Logic'!$J$22:$K$31,2,FALSE),FALSE)),"Set Grade")</f>
        <v>Set Grade</v>
      </c>
      <c r="Y166" s="96" t="str">
        <f>IF($E166="Yes","IPP",IFERROR(IF(AND(V166&gt;W166,V166&lt;X166),"0",(VLOOKUP(V166,'ELA Reading Logic'!$A$22:$B$48,2,FALSE))-(IF(VLOOKUP(V166,'ELA Reading Logic'!$A$22:$B$48,2,FALSE)&lt;=VLOOKUP(W166,'ELA Reading Logic'!$A$22:$B$48,2,FALSE),VLOOKUP(W166,'ELA Reading Logic'!$A$22:$B$48,2,FALSE),IF(VLOOKUP(V166,'ELA Reading Logic'!$A$22:$B$48,2,FALSE)&gt;=VLOOKUP(X166,'ELA Reading Logic'!$A$22:$B$48,2,FALSE),VLOOKUP(X166,'ELA Reading Logic'!$A$22:$B$48,2,FALSE),"No Score")))),"No Value"))</f>
        <v>No Value</v>
      </c>
      <c r="Z166" s="96" t="str">
        <f>IFERROR(VLOOKUP(V166,'ELA Reading Logic'!$A$22:$B$48,2,FALSE)-VLOOKUP($F166,'ELA Reading Logic'!$A$22:$B$48,2,FALSE),"No Value")</f>
        <v>No Value</v>
      </c>
      <c r="AA166" s="92"/>
      <c r="AB166" s="96" t="str">
        <f>IFERROR(IF($E166="Yes","IPP",VLOOKUP($J166,'ELA Reading Logic'!$A$3:$K$9,VLOOKUP(AA$1,'ELA Reading Logic'!$J$22:$K$31,2,FALSE),FALSE)),"Set Grade")</f>
        <v>Set Grade</v>
      </c>
      <c r="AC166" s="96" t="str">
        <f>IFERROR(IF($E166="Yes","IPP",VLOOKUP($J166,'ELA Reading Logic'!$A$13:$K$19,VLOOKUP(AA$1,'ELA Reading Logic'!$J$22:$K$31,2,FALSE),FALSE)),"Set Grade")</f>
        <v>Set Grade</v>
      </c>
      <c r="AD166" s="96" t="str">
        <f>IF($E166="Yes","IPP",IFERROR(IF(AND(AA166&gt;AB166,AA166&lt;AC166),"0",(VLOOKUP(AA166,'ELA Reading Logic'!$A$22:$B$48,2,FALSE))-(IF(VLOOKUP(AA166,'ELA Reading Logic'!$A$22:$B$48,2,FALSE)&lt;=VLOOKUP(AB166,'ELA Reading Logic'!$A$22:$B$48,2,FALSE),VLOOKUP(AB166,'ELA Reading Logic'!$A$22:$B$48,2,FALSE),IF(VLOOKUP(AA166,'ELA Reading Logic'!$A$22:$B$48,2,FALSE)&gt;=VLOOKUP(AC166,'ELA Reading Logic'!$A$22:$B$48,2,FALSE),VLOOKUP(AC166,'ELA Reading Logic'!$A$22:$B$48,2,FALSE),"No Score")))),"No Value"))</f>
        <v>No Value</v>
      </c>
      <c r="AE166" s="96" t="str">
        <f>IFERROR(VLOOKUP(AA166,'ELA Reading Logic'!$A$22:$B$48,2,FALSE)-VLOOKUP($F166,'ELA Reading Logic'!$A$22:$B$48,2,FALSE),"No Value")</f>
        <v>No Value</v>
      </c>
      <c r="AF166" s="92"/>
      <c r="AG166" s="96" t="str">
        <f>IFERROR(IF($E166="Yes","IPP",VLOOKUP($J166,'ELA Reading Logic'!$A$3:$K$9,VLOOKUP(AF$1,'ELA Reading Logic'!$J$22:$K$31,2,FALSE),FALSE)),"Set Grade")</f>
        <v>Set Grade</v>
      </c>
      <c r="AH166" s="96" t="str">
        <f>IFERROR(IF($E166="Yes","IPP",VLOOKUP($J166,'ELA Reading Logic'!$A$13:$K$19,VLOOKUP(AF$1,'ELA Reading Logic'!$J$22:$K$31,2,FALSE),FALSE)),"Set Grade")</f>
        <v>Set Grade</v>
      </c>
      <c r="AI166" s="96" t="str">
        <f>IF($E166="Yes","IPP",IFERROR(IF(AND(AF166&gt;AG166,AF166&lt;AH166),"0",(VLOOKUP(AF166,'ELA Reading Logic'!$A$22:$B$48,2,FALSE))-(IF(VLOOKUP(AF166,'ELA Reading Logic'!$A$22:$B$48,2,FALSE)&lt;=VLOOKUP(AG166,'ELA Reading Logic'!$A$22:$B$48,2,FALSE),VLOOKUP(AG166,'ELA Reading Logic'!$A$22:$B$48,2,FALSE),IF(VLOOKUP(AF166,'ELA Reading Logic'!$A$22:$B$48,2,FALSE)&gt;=VLOOKUP(AH166,'ELA Reading Logic'!$A$22:$B$48,2,FALSE),VLOOKUP(AH166,'ELA Reading Logic'!$A$22:$B$48,2,FALSE),"No Score")))),"No Value"))</f>
        <v>No Value</v>
      </c>
      <c r="AJ166" s="96" t="str">
        <f>IFERROR(VLOOKUP(AF166,'ELA Reading Logic'!$A$22:$B$48,2,FALSE)-VLOOKUP($F166,'ELA Reading Logic'!$A$22:$B$48,2,FALSE),"No Value")</f>
        <v>No Value</v>
      </c>
      <c r="AK166" s="92"/>
      <c r="AL166" s="96" t="str">
        <f>IFERROR(IF($E166="Yes","IPP",VLOOKUP($J166,'ELA Reading Logic'!$A$3:$K$9,VLOOKUP(AK$1,'ELA Reading Logic'!$J$22:$K$31,2,FALSE),FALSE)),"Set Grade")</f>
        <v>Set Grade</v>
      </c>
      <c r="AM166" s="96" t="str">
        <f>IFERROR(IF($E166="Yes","IPP",VLOOKUP($J166,'ELA Reading Logic'!$A$13:$K$19,VLOOKUP(AK$1,'ELA Reading Logic'!$J$22:$K$31,2,FALSE),FALSE)),"Set Grade")</f>
        <v>Set Grade</v>
      </c>
      <c r="AN166" s="96" t="str">
        <f>IF($E166="Yes","IPP",IFERROR(IF(AND(AK166&gt;AL166,AK166&lt;AM166),"0",(VLOOKUP(AK166,'ELA Reading Logic'!$A$22:$B$48,2,FALSE))-(IF(VLOOKUP(AK166,'ELA Reading Logic'!$A$22:$B$48,2,FALSE)&lt;=VLOOKUP(AL166,'ELA Reading Logic'!$A$22:$B$48,2,FALSE),VLOOKUP(AL166,'ELA Reading Logic'!$A$22:$B$48,2,FALSE),IF(VLOOKUP(AK166,'ELA Reading Logic'!$A$22:$B$48,2,FALSE)&gt;=VLOOKUP(AM166,'ELA Reading Logic'!$A$22:$B$48,2,FALSE),VLOOKUP(AM166,'ELA Reading Logic'!$A$22:$B$48,2,FALSE),"No Score")))),"No Value"))</f>
        <v>No Value</v>
      </c>
      <c r="AO166" s="96" t="str">
        <f>IFERROR(VLOOKUP(AK166,'ELA Reading Logic'!$A$22:$B$48,2,FALSE)-VLOOKUP($F166,'ELA Reading Logic'!$A$22:$B$48,2,FALSE),"No Value")</f>
        <v>No Value</v>
      </c>
      <c r="AP166" s="92"/>
      <c r="AQ166" s="96" t="str">
        <f>IFERROR(IF($E166="Yes","IPP",VLOOKUP($J166,'ELA Reading Logic'!$A$3:$K$9,VLOOKUP(AP$1,'ELA Reading Logic'!$J$22:$K$31,2,FALSE),FALSE)),"Set Grade")</f>
        <v>Set Grade</v>
      </c>
      <c r="AR166" s="96" t="str">
        <f>IFERROR(IF($E166="Yes","IPP",VLOOKUP($J166,'ELA Reading Logic'!$A$13:$K$19,VLOOKUP(AP$1,'ELA Reading Logic'!$J$22:$K$31,2,FALSE),FALSE)),"Set Grade")</f>
        <v>Set Grade</v>
      </c>
      <c r="AS166" s="96" t="str">
        <f>IF($E166="Yes","IPP",IFERROR(IF(AND(AP166&gt;AQ166,AP166&lt;AR166),"0",(VLOOKUP(AP166,'ELA Reading Logic'!$A$22:$B$48,2,FALSE))-(IF(VLOOKUP(AP166,'ELA Reading Logic'!$A$22:$B$48,2,FALSE)&lt;=VLOOKUP(AQ166,'ELA Reading Logic'!$A$22:$B$48,2,FALSE),VLOOKUP(AQ166,'ELA Reading Logic'!$A$22:$B$48,2,FALSE),IF(VLOOKUP(AP166,'ELA Reading Logic'!$A$22:$B$48,2,FALSE)&gt;=VLOOKUP(AR166,'ELA Reading Logic'!$A$22:$B$48,2,FALSE),VLOOKUP(AR166,'ELA Reading Logic'!$A$22:$B$48,2,FALSE),"No Score")))),"No Value"))</f>
        <v>No Value</v>
      </c>
      <c r="AT166" s="96" t="str">
        <f>IFERROR(VLOOKUP(AP166,'ELA Reading Logic'!$A$22:$B$48,2,FALSE)-VLOOKUP($F166,'ELA Reading Logic'!$A$22:$B$48,2,FALSE),"No Value")</f>
        <v>No Value</v>
      </c>
    </row>
    <row r="167" spans="1:46" ht="22.5" customHeight="1" x14ac:dyDescent="0.25">
      <c r="A167" s="174"/>
      <c r="B167" s="174"/>
      <c r="C167" s="174"/>
      <c r="D167" s="174"/>
      <c r="E167" s="175"/>
      <c r="F167" s="175"/>
      <c r="G167" s="177" t="str">
        <f>IFERROR(IF($E167="Yes","IPP",VLOOKUP($J167,'ELA Reading Logic'!$A$3:$K$9,VLOOKUP("September",'ELA Reading Logic'!$J$22:$K$31,2,FALSE),FALSE)),"Set Grade")</f>
        <v>Set Grade</v>
      </c>
      <c r="H167" s="177" t="str">
        <f>IFERROR(IF($E167="Yes","IPP",VLOOKUP($J167,'ELA Reading Logic'!$A$13:$K$19,VLOOKUP("September",'ELA Reading Logic'!$J$22:$K$31,2,FALSE),FALSE)),"Set Grade")</f>
        <v>Set Grade</v>
      </c>
      <c r="I167" s="96" t="str">
        <f>IF($E167="Yes","IPP",IFERROR(IF(AND(F167&gt;G167,F167&lt;H167),"0",(VLOOKUP(F167,'ELA Reading Logic'!$A$22:$B$48,2,FALSE))-(IF(VLOOKUP(F167,'ELA Reading Logic'!$A$22:$B$48,2,FALSE)&lt;=VLOOKUP(G167,'ELA Reading Logic'!$A$22:$B$48,2,FALSE),VLOOKUP(G167,'ELA Reading Logic'!$A$22:$B$48,2,FALSE),IF(VLOOKUP(F167,'ELA Reading Logic'!$A$22:$B$48,2,FALSE)&gt;=VLOOKUP(H167,'ELA Reading Logic'!$A$22:$B$48,2,FALSE),VLOOKUP(H167,'ELA Reading Logic'!$A$22:$B$48,2,FALSE),"No Score")))),"No Value"))</f>
        <v>No Value</v>
      </c>
      <c r="J167" s="178"/>
      <c r="K167" s="96"/>
      <c r="L167" s="96"/>
      <c r="M167" s="96"/>
      <c r="N167" s="96"/>
      <c r="O167" s="96"/>
      <c r="P167" s="105"/>
      <c r="Q167" s="92"/>
      <c r="R167" s="96" t="str">
        <f>IFERROR(IF($E167="Yes","IPP",VLOOKUP($J167,'ELA Reading Logic'!$A$3:$K$9,VLOOKUP(Q$1,'ELA Reading Logic'!$J$22:$K$31,2,FALSE),FALSE)),"Set Grade")</f>
        <v>Set Grade</v>
      </c>
      <c r="S167" s="96" t="str">
        <f>IFERROR(IF($E167="Yes","IPP",VLOOKUP($J167,'ELA Reading Logic'!$A$13:$K$19,VLOOKUP(Q$1,'ELA Reading Logic'!$J$22:$K$31,2,FALSE),FALSE)),"Set Grade")</f>
        <v>Set Grade</v>
      </c>
      <c r="T167" s="96" t="str">
        <f>IF($E167="Yes","IPP",IFERROR(IF(AND(Q167&gt;R167,Q167&lt;S167),"0",(VLOOKUP(Q167,'ELA Reading Logic'!$A$22:$B$48,2,FALSE))-(IF(VLOOKUP(Q167,'ELA Reading Logic'!$A$22:$B$48,2,FALSE)&lt;=VLOOKUP(R167,'ELA Reading Logic'!$A$22:$B$48,2,FALSE),VLOOKUP(R167,'ELA Reading Logic'!$A$22:$B$48,2,FALSE),IF(VLOOKUP(Q167,'ELA Reading Logic'!$A$22:$B$48,2,FALSE)&gt;=VLOOKUP(S167,'ELA Reading Logic'!$A$22:$B$48,2,FALSE),VLOOKUP(S167,'ELA Reading Logic'!$A$22:$B$48,2,FALSE),"No Score")))),"No Value"))</f>
        <v>No Value</v>
      </c>
      <c r="U167" s="96" t="str">
        <f>IFERROR(VLOOKUP(Q167,'ELA Reading Logic'!$A$22:$B$48,2,FALSE)-VLOOKUP($F167,'ELA Reading Logic'!$A$22:$B$48,2,FALSE),"No Value")</f>
        <v>No Value</v>
      </c>
      <c r="V167" s="92"/>
      <c r="W167" s="96" t="str">
        <f>IFERROR(IF($E167="Yes","IPP",VLOOKUP($J167,'ELA Reading Logic'!$A$3:$K$9,VLOOKUP(V$1,'ELA Reading Logic'!$J$22:$K$31,2,FALSE),FALSE)),"Set Grade")</f>
        <v>Set Grade</v>
      </c>
      <c r="X167" s="96" t="str">
        <f>IFERROR(IF($E167="Yes","IPP",VLOOKUP($J167,'ELA Reading Logic'!$A$13:$K$19,VLOOKUP(V$1,'ELA Reading Logic'!$J$22:$K$31,2,FALSE),FALSE)),"Set Grade")</f>
        <v>Set Grade</v>
      </c>
      <c r="Y167" s="96" t="str">
        <f>IF($E167="Yes","IPP",IFERROR(IF(AND(V167&gt;W167,V167&lt;X167),"0",(VLOOKUP(V167,'ELA Reading Logic'!$A$22:$B$48,2,FALSE))-(IF(VLOOKUP(V167,'ELA Reading Logic'!$A$22:$B$48,2,FALSE)&lt;=VLOOKUP(W167,'ELA Reading Logic'!$A$22:$B$48,2,FALSE),VLOOKUP(W167,'ELA Reading Logic'!$A$22:$B$48,2,FALSE),IF(VLOOKUP(V167,'ELA Reading Logic'!$A$22:$B$48,2,FALSE)&gt;=VLOOKUP(X167,'ELA Reading Logic'!$A$22:$B$48,2,FALSE),VLOOKUP(X167,'ELA Reading Logic'!$A$22:$B$48,2,FALSE),"No Score")))),"No Value"))</f>
        <v>No Value</v>
      </c>
      <c r="Z167" s="96" t="str">
        <f>IFERROR(VLOOKUP(V167,'ELA Reading Logic'!$A$22:$B$48,2,FALSE)-VLOOKUP($F167,'ELA Reading Logic'!$A$22:$B$48,2,FALSE),"No Value")</f>
        <v>No Value</v>
      </c>
      <c r="AA167" s="92"/>
      <c r="AB167" s="96" t="str">
        <f>IFERROR(IF($E167="Yes","IPP",VLOOKUP($J167,'ELA Reading Logic'!$A$3:$K$9,VLOOKUP(AA$1,'ELA Reading Logic'!$J$22:$K$31,2,FALSE),FALSE)),"Set Grade")</f>
        <v>Set Grade</v>
      </c>
      <c r="AC167" s="96" t="str">
        <f>IFERROR(IF($E167="Yes","IPP",VLOOKUP($J167,'ELA Reading Logic'!$A$13:$K$19,VLOOKUP(AA$1,'ELA Reading Logic'!$J$22:$K$31,2,FALSE),FALSE)),"Set Grade")</f>
        <v>Set Grade</v>
      </c>
      <c r="AD167" s="96" t="str">
        <f>IF($E167="Yes","IPP",IFERROR(IF(AND(AA167&gt;AB167,AA167&lt;AC167),"0",(VLOOKUP(AA167,'ELA Reading Logic'!$A$22:$B$48,2,FALSE))-(IF(VLOOKUP(AA167,'ELA Reading Logic'!$A$22:$B$48,2,FALSE)&lt;=VLOOKUP(AB167,'ELA Reading Logic'!$A$22:$B$48,2,FALSE),VLOOKUP(AB167,'ELA Reading Logic'!$A$22:$B$48,2,FALSE),IF(VLOOKUP(AA167,'ELA Reading Logic'!$A$22:$B$48,2,FALSE)&gt;=VLOOKUP(AC167,'ELA Reading Logic'!$A$22:$B$48,2,FALSE),VLOOKUP(AC167,'ELA Reading Logic'!$A$22:$B$48,2,FALSE),"No Score")))),"No Value"))</f>
        <v>No Value</v>
      </c>
      <c r="AE167" s="96" t="str">
        <f>IFERROR(VLOOKUP(AA167,'ELA Reading Logic'!$A$22:$B$48,2,FALSE)-VLOOKUP($F167,'ELA Reading Logic'!$A$22:$B$48,2,FALSE),"No Value")</f>
        <v>No Value</v>
      </c>
      <c r="AF167" s="92"/>
      <c r="AG167" s="96" t="str">
        <f>IFERROR(IF($E167="Yes","IPP",VLOOKUP($J167,'ELA Reading Logic'!$A$3:$K$9,VLOOKUP(AF$1,'ELA Reading Logic'!$J$22:$K$31,2,FALSE),FALSE)),"Set Grade")</f>
        <v>Set Grade</v>
      </c>
      <c r="AH167" s="96" t="str">
        <f>IFERROR(IF($E167="Yes","IPP",VLOOKUP($J167,'ELA Reading Logic'!$A$13:$K$19,VLOOKUP(AF$1,'ELA Reading Logic'!$J$22:$K$31,2,FALSE),FALSE)),"Set Grade")</f>
        <v>Set Grade</v>
      </c>
      <c r="AI167" s="96" t="str">
        <f>IF($E167="Yes","IPP",IFERROR(IF(AND(AF167&gt;AG167,AF167&lt;AH167),"0",(VLOOKUP(AF167,'ELA Reading Logic'!$A$22:$B$48,2,FALSE))-(IF(VLOOKUP(AF167,'ELA Reading Logic'!$A$22:$B$48,2,FALSE)&lt;=VLOOKUP(AG167,'ELA Reading Logic'!$A$22:$B$48,2,FALSE),VLOOKUP(AG167,'ELA Reading Logic'!$A$22:$B$48,2,FALSE),IF(VLOOKUP(AF167,'ELA Reading Logic'!$A$22:$B$48,2,FALSE)&gt;=VLOOKUP(AH167,'ELA Reading Logic'!$A$22:$B$48,2,FALSE),VLOOKUP(AH167,'ELA Reading Logic'!$A$22:$B$48,2,FALSE),"No Score")))),"No Value"))</f>
        <v>No Value</v>
      </c>
      <c r="AJ167" s="96" t="str">
        <f>IFERROR(VLOOKUP(AF167,'ELA Reading Logic'!$A$22:$B$48,2,FALSE)-VLOOKUP($F167,'ELA Reading Logic'!$A$22:$B$48,2,FALSE),"No Value")</f>
        <v>No Value</v>
      </c>
      <c r="AK167" s="92"/>
      <c r="AL167" s="96" t="str">
        <f>IFERROR(IF($E167="Yes","IPP",VLOOKUP($J167,'ELA Reading Logic'!$A$3:$K$9,VLOOKUP(AK$1,'ELA Reading Logic'!$J$22:$K$31,2,FALSE),FALSE)),"Set Grade")</f>
        <v>Set Grade</v>
      </c>
      <c r="AM167" s="96" t="str">
        <f>IFERROR(IF($E167="Yes","IPP",VLOOKUP($J167,'ELA Reading Logic'!$A$13:$K$19,VLOOKUP(AK$1,'ELA Reading Logic'!$J$22:$K$31,2,FALSE),FALSE)),"Set Grade")</f>
        <v>Set Grade</v>
      </c>
      <c r="AN167" s="96" t="str">
        <f>IF($E167="Yes","IPP",IFERROR(IF(AND(AK167&gt;AL167,AK167&lt;AM167),"0",(VLOOKUP(AK167,'ELA Reading Logic'!$A$22:$B$48,2,FALSE))-(IF(VLOOKUP(AK167,'ELA Reading Logic'!$A$22:$B$48,2,FALSE)&lt;=VLOOKUP(AL167,'ELA Reading Logic'!$A$22:$B$48,2,FALSE),VLOOKUP(AL167,'ELA Reading Logic'!$A$22:$B$48,2,FALSE),IF(VLOOKUP(AK167,'ELA Reading Logic'!$A$22:$B$48,2,FALSE)&gt;=VLOOKUP(AM167,'ELA Reading Logic'!$A$22:$B$48,2,FALSE),VLOOKUP(AM167,'ELA Reading Logic'!$A$22:$B$48,2,FALSE),"No Score")))),"No Value"))</f>
        <v>No Value</v>
      </c>
      <c r="AO167" s="96" t="str">
        <f>IFERROR(VLOOKUP(AK167,'ELA Reading Logic'!$A$22:$B$48,2,FALSE)-VLOOKUP($F167,'ELA Reading Logic'!$A$22:$B$48,2,FALSE),"No Value")</f>
        <v>No Value</v>
      </c>
      <c r="AP167" s="92"/>
      <c r="AQ167" s="96" t="str">
        <f>IFERROR(IF($E167="Yes","IPP",VLOOKUP($J167,'ELA Reading Logic'!$A$3:$K$9,VLOOKUP(AP$1,'ELA Reading Logic'!$J$22:$K$31,2,FALSE),FALSE)),"Set Grade")</f>
        <v>Set Grade</v>
      </c>
      <c r="AR167" s="96" t="str">
        <f>IFERROR(IF($E167="Yes","IPP",VLOOKUP($J167,'ELA Reading Logic'!$A$13:$K$19,VLOOKUP(AP$1,'ELA Reading Logic'!$J$22:$K$31,2,FALSE),FALSE)),"Set Grade")</f>
        <v>Set Grade</v>
      </c>
      <c r="AS167" s="96" t="str">
        <f>IF($E167="Yes","IPP",IFERROR(IF(AND(AP167&gt;AQ167,AP167&lt;AR167),"0",(VLOOKUP(AP167,'ELA Reading Logic'!$A$22:$B$48,2,FALSE))-(IF(VLOOKUP(AP167,'ELA Reading Logic'!$A$22:$B$48,2,FALSE)&lt;=VLOOKUP(AQ167,'ELA Reading Logic'!$A$22:$B$48,2,FALSE),VLOOKUP(AQ167,'ELA Reading Logic'!$A$22:$B$48,2,FALSE),IF(VLOOKUP(AP167,'ELA Reading Logic'!$A$22:$B$48,2,FALSE)&gt;=VLOOKUP(AR167,'ELA Reading Logic'!$A$22:$B$48,2,FALSE),VLOOKUP(AR167,'ELA Reading Logic'!$A$22:$B$48,2,FALSE),"No Score")))),"No Value"))</f>
        <v>No Value</v>
      </c>
      <c r="AT167" s="96" t="str">
        <f>IFERROR(VLOOKUP(AP167,'ELA Reading Logic'!$A$22:$B$48,2,FALSE)-VLOOKUP($F167,'ELA Reading Logic'!$A$22:$B$48,2,FALSE),"No Value")</f>
        <v>No Value</v>
      </c>
    </row>
    <row r="168" spans="1:46" ht="22.5" customHeight="1" x14ac:dyDescent="0.25">
      <c r="A168" s="176"/>
      <c r="B168" s="176"/>
      <c r="C168" s="176"/>
      <c r="D168" s="176"/>
      <c r="E168" s="175"/>
      <c r="F168" s="175"/>
      <c r="G168" s="177" t="str">
        <f>IFERROR(IF($E168="Yes","IPP",VLOOKUP($J168,'ELA Reading Logic'!$A$3:$K$9,VLOOKUP("September",'ELA Reading Logic'!$J$22:$K$31,2,FALSE),FALSE)),"Set Grade")</f>
        <v>Set Grade</v>
      </c>
      <c r="H168" s="177" t="str">
        <f>IFERROR(IF($E168="Yes","IPP",VLOOKUP($J168,'ELA Reading Logic'!$A$13:$K$19,VLOOKUP("September",'ELA Reading Logic'!$J$22:$K$31,2,FALSE),FALSE)),"Set Grade")</f>
        <v>Set Grade</v>
      </c>
      <c r="I168" s="96" t="str">
        <f>IF($E168="Yes","IPP",IFERROR(IF(AND(F168&gt;G168,F168&lt;H168),"0",(VLOOKUP(F168,'ELA Reading Logic'!$A$22:$B$48,2,FALSE))-(IF(VLOOKUP(F168,'ELA Reading Logic'!$A$22:$B$48,2,FALSE)&lt;=VLOOKUP(G168,'ELA Reading Logic'!$A$22:$B$48,2,FALSE),VLOOKUP(G168,'ELA Reading Logic'!$A$22:$B$48,2,FALSE),IF(VLOOKUP(F168,'ELA Reading Logic'!$A$22:$B$48,2,FALSE)&gt;=VLOOKUP(H168,'ELA Reading Logic'!$A$22:$B$48,2,FALSE),VLOOKUP(H168,'ELA Reading Logic'!$A$22:$B$48,2,FALSE),"No Score")))),"No Value"))</f>
        <v>No Value</v>
      </c>
      <c r="J168" s="178"/>
      <c r="K168" s="96"/>
      <c r="L168" s="96"/>
      <c r="M168" s="96"/>
      <c r="N168" s="96"/>
      <c r="O168" s="96"/>
      <c r="P168" s="105"/>
      <c r="Q168" s="92"/>
      <c r="R168" s="96" t="str">
        <f>IFERROR(IF($E168="Yes","IPP",VLOOKUP($J168,'ELA Reading Logic'!$A$3:$K$9,VLOOKUP(Q$1,'ELA Reading Logic'!$J$22:$K$31,2,FALSE),FALSE)),"Set Grade")</f>
        <v>Set Grade</v>
      </c>
      <c r="S168" s="96" t="str">
        <f>IFERROR(IF($E168="Yes","IPP",VLOOKUP($J168,'ELA Reading Logic'!$A$13:$K$19,VLOOKUP(Q$1,'ELA Reading Logic'!$J$22:$K$31,2,FALSE),FALSE)),"Set Grade")</f>
        <v>Set Grade</v>
      </c>
      <c r="T168" s="96" t="str">
        <f>IF($E168="Yes","IPP",IFERROR(IF(AND(Q168&gt;R168,Q168&lt;S168),"0",(VLOOKUP(Q168,'ELA Reading Logic'!$A$22:$B$48,2,FALSE))-(IF(VLOOKUP(Q168,'ELA Reading Logic'!$A$22:$B$48,2,FALSE)&lt;=VLOOKUP(R168,'ELA Reading Logic'!$A$22:$B$48,2,FALSE),VLOOKUP(R168,'ELA Reading Logic'!$A$22:$B$48,2,FALSE),IF(VLOOKUP(Q168,'ELA Reading Logic'!$A$22:$B$48,2,FALSE)&gt;=VLOOKUP(S168,'ELA Reading Logic'!$A$22:$B$48,2,FALSE),VLOOKUP(S168,'ELA Reading Logic'!$A$22:$B$48,2,FALSE),"No Score")))),"No Value"))</f>
        <v>No Value</v>
      </c>
      <c r="U168" s="96" t="str">
        <f>IFERROR(VLOOKUP(Q168,'ELA Reading Logic'!$A$22:$B$48,2,FALSE)-VLOOKUP($F168,'ELA Reading Logic'!$A$22:$B$48,2,FALSE),"No Value")</f>
        <v>No Value</v>
      </c>
      <c r="V168" s="92"/>
      <c r="W168" s="96" t="str">
        <f>IFERROR(IF($E168="Yes","IPP",VLOOKUP($J168,'ELA Reading Logic'!$A$3:$K$9,VLOOKUP(V$1,'ELA Reading Logic'!$J$22:$K$31,2,FALSE),FALSE)),"Set Grade")</f>
        <v>Set Grade</v>
      </c>
      <c r="X168" s="96" t="str">
        <f>IFERROR(IF($E168="Yes","IPP",VLOOKUP($J168,'ELA Reading Logic'!$A$13:$K$19,VLOOKUP(V$1,'ELA Reading Logic'!$J$22:$K$31,2,FALSE),FALSE)),"Set Grade")</f>
        <v>Set Grade</v>
      </c>
      <c r="Y168" s="96" t="str">
        <f>IF($E168="Yes","IPP",IFERROR(IF(AND(V168&gt;W168,V168&lt;X168),"0",(VLOOKUP(V168,'ELA Reading Logic'!$A$22:$B$48,2,FALSE))-(IF(VLOOKUP(V168,'ELA Reading Logic'!$A$22:$B$48,2,FALSE)&lt;=VLOOKUP(W168,'ELA Reading Logic'!$A$22:$B$48,2,FALSE),VLOOKUP(W168,'ELA Reading Logic'!$A$22:$B$48,2,FALSE),IF(VLOOKUP(V168,'ELA Reading Logic'!$A$22:$B$48,2,FALSE)&gt;=VLOOKUP(X168,'ELA Reading Logic'!$A$22:$B$48,2,FALSE),VLOOKUP(X168,'ELA Reading Logic'!$A$22:$B$48,2,FALSE),"No Score")))),"No Value"))</f>
        <v>No Value</v>
      </c>
      <c r="Z168" s="96" t="str">
        <f>IFERROR(VLOOKUP(V168,'ELA Reading Logic'!$A$22:$B$48,2,FALSE)-VLOOKUP($F168,'ELA Reading Logic'!$A$22:$B$48,2,FALSE),"No Value")</f>
        <v>No Value</v>
      </c>
      <c r="AA168" s="92"/>
      <c r="AB168" s="96" t="str">
        <f>IFERROR(IF($E168="Yes","IPP",VLOOKUP($J168,'ELA Reading Logic'!$A$3:$K$9,VLOOKUP(AA$1,'ELA Reading Logic'!$J$22:$K$31,2,FALSE),FALSE)),"Set Grade")</f>
        <v>Set Grade</v>
      </c>
      <c r="AC168" s="96" t="str">
        <f>IFERROR(IF($E168="Yes","IPP",VLOOKUP($J168,'ELA Reading Logic'!$A$13:$K$19,VLOOKUP(AA$1,'ELA Reading Logic'!$J$22:$K$31,2,FALSE),FALSE)),"Set Grade")</f>
        <v>Set Grade</v>
      </c>
      <c r="AD168" s="96" t="str">
        <f>IF($E168="Yes","IPP",IFERROR(IF(AND(AA168&gt;AB168,AA168&lt;AC168),"0",(VLOOKUP(AA168,'ELA Reading Logic'!$A$22:$B$48,2,FALSE))-(IF(VLOOKUP(AA168,'ELA Reading Logic'!$A$22:$B$48,2,FALSE)&lt;=VLOOKUP(AB168,'ELA Reading Logic'!$A$22:$B$48,2,FALSE),VLOOKUP(AB168,'ELA Reading Logic'!$A$22:$B$48,2,FALSE),IF(VLOOKUP(AA168,'ELA Reading Logic'!$A$22:$B$48,2,FALSE)&gt;=VLOOKUP(AC168,'ELA Reading Logic'!$A$22:$B$48,2,FALSE),VLOOKUP(AC168,'ELA Reading Logic'!$A$22:$B$48,2,FALSE),"No Score")))),"No Value"))</f>
        <v>No Value</v>
      </c>
      <c r="AE168" s="96" t="str">
        <f>IFERROR(VLOOKUP(AA168,'ELA Reading Logic'!$A$22:$B$48,2,FALSE)-VLOOKUP($F168,'ELA Reading Logic'!$A$22:$B$48,2,FALSE),"No Value")</f>
        <v>No Value</v>
      </c>
      <c r="AF168" s="92"/>
      <c r="AG168" s="96" t="str">
        <f>IFERROR(IF($E168="Yes","IPP",VLOOKUP($J168,'ELA Reading Logic'!$A$3:$K$9,VLOOKUP(AF$1,'ELA Reading Logic'!$J$22:$K$31,2,FALSE),FALSE)),"Set Grade")</f>
        <v>Set Grade</v>
      </c>
      <c r="AH168" s="96" t="str">
        <f>IFERROR(IF($E168="Yes","IPP",VLOOKUP($J168,'ELA Reading Logic'!$A$13:$K$19,VLOOKUP(AF$1,'ELA Reading Logic'!$J$22:$K$31,2,FALSE),FALSE)),"Set Grade")</f>
        <v>Set Grade</v>
      </c>
      <c r="AI168" s="96" t="str">
        <f>IF($E168="Yes","IPP",IFERROR(IF(AND(AF168&gt;AG168,AF168&lt;AH168),"0",(VLOOKUP(AF168,'ELA Reading Logic'!$A$22:$B$48,2,FALSE))-(IF(VLOOKUP(AF168,'ELA Reading Logic'!$A$22:$B$48,2,FALSE)&lt;=VLOOKUP(AG168,'ELA Reading Logic'!$A$22:$B$48,2,FALSE),VLOOKUP(AG168,'ELA Reading Logic'!$A$22:$B$48,2,FALSE),IF(VLOOKUP(AF168,'ELA Reading Logic'!$A$22:$B$48,2,FALSE)&gt;=VLOOKUP(AH168,'ELA Reading Logic'!$A$22:$B$48,2,FALSE),VLOOKUP(AH168,'ELA Reading Logic'!$A$22:$B$48,2,FALSE),"No Score")))),"No Value"))</f>
        <v>No Value</v>
      </c>
      <c r="AJ168" s="96" t="str">
        <f>IFERROR(VLOOKUP(AF168,'ELA Reading Logic'!$A$22:$B$48,2,FALSE)-VLOOKUP($F168,'ELA Reading Logic'!$A$22:$B$48,2,FALSE),"No Value")</f>
        <v>No Value</v>
      </c>
      <c r="AK168" s="92"/>
      <c r="AL168" s="96" t="str">
        <f>IFERROR(IF($E168="Yes","IPP",VLOOKUP($J168,'ELA Reading Logic'!$A$3:$K$9,VLOOKUP(AK$1,'ELA Reading Logic'!$J$22:$K$31,2,FALSE),FALSE)),"Set Grade")</f>
        <v>Set Grade</v>
      </c>
      <c r="AM168" s="96" t="str">
        <f>IFERROR(IF($E168="Yes","IPP",VLOOKUP($J168,'ELA Reading Logic'!$A$13:$K$19,VLOOKUP(AK$1,'ELA Reading Logic'!$J$22:$K$31,2,FALSE),FALSE)),"Set Grade")</f>
        <v>Set Grade</v>
      </c>
      <c r="AN168" s="96" t="str">
        <f>IF($E168="Yes","IPP",IFERROR(IF(AND(AK168&gt;AL168,AK168&lt;AM168),"0",(VLOOKUP(AK168,'ELA Reading Logic'!$A$22:$B$48,2,FALSE))-(IF(VLOOKUP(AK168,'ELA Reading Logic'!$A$22:$B$48,2,FALSE)&lt;=VLOOKUP(AL168,'ELA Reading Logic'!$A$22:$B$48,2,FALSE),VLOOKUP(AL168,'ELA Reading Logic'!$A$22:$B$48,2,FALSE),IF(VLOOKUP(AK168,'ELA Reading Logic'!$A$22:$B$48,2,FALSE)&gt;=VLOOKUP(AM168,'ELA Reading Logic'!$A$22:$B$48,2,FALSE),VLOOKUP(AM168,'ELA Reading Logic'!$A$22:$B$48,2,FALSE),"No Score")))),"No Value"))</f>
        <v>No Value</v>
      </c>
      <c r="AO168" s="96" t="str">
        <f>IFERROR(VLOOKUP(AK168,'ELA Reading Logic'!$A$22:$B$48,2,FALSE)-VLOOKUP($F168,'ELA Reading Logic'!$A$22:$B$48,2,FALSE),"No Value")</f>
        <v>No Value</v>
      </c>
      <c r="AP168" s="92"/>
      <c r="AQ168" s="96" t="str">
        <f>IFERROR(IF($E168="Yes","IPP",VLOOKUP($J168,'ELA Reading Logic'!$A$3:$K$9,VLOOKUP(AP$1,'ELA Reading Logic'!$J$22:$K$31,2,FALSE),FALSE)),"Set Grade")</f>
        <v>Set Grade</v>
      </c>
      <c r="AR168" s="96" t="str">
        <f>IFERROR(IF($E168="Yes","IPP",VLOOKUP($J168,'ELA Reading Logic'!$A$13:$K$19,VLOOKUP(AP$1,'ELA Reading Logic'!$J$22:$K$31,2,FALSE),FALSE)),"Set Grade")</f>
        <v>Set Grade</v>
      </c>
      <c r="AS168" s="96" t="str">
        <f>IF($E168="Yes","IPP",IFERROR(IF(AND(AP168&gt;AQ168,AP168&lt;AR168),"0",(VLOOKUP(AP168,'ELA Reading Logic'!$A$22:$B$48,2,FALSE))-(IF(VLOOKUP(AP168,'ELA Reading Logic'!$A$22:$B$48,2,FALSE)&lt;=VLOOKUP(AQ168,'ELA Reading Logic'!$A$22:$B$48,2,FALSE),VLOOKUP(AQ168,'ELA Reading Logic'!$A$22:$B$48,2,FALSE),IF(VLOOKUP(AP168,'ELA Reading Logic'!$A$22:$B$48,2,FALSE)&gt;=VLOOKUP(AR168,'ELA Reading Logic'!$A$22:$B$48,2,FALSE),VLOOKUP(AR168,'ELA Reading Logic'!$A$22:$B$48,2,FALSE),"No Score")))),"No Value"))</f>
        <v>No Value</v>
      </c>
      <c r="AT168" s="96" t="str">
        <f>IFERROR(VLOOKUP(AP168,'ELA Reading Logic'!$A$22:$B$48,2,FALSE)-VLOOKUP($F168,'ELA Reading Logic'!$A$22:$B$48,2,FALSE),"No Value")</f>
        <v>No Value</v>
      </c>
    </row>
    <row r="169" spans="1:46" ht="22.5" customHeight="1" x14ac:dyDescent="0.25">
      <c r="A169" s="174"/>
      <c r="B169" s="174"/>
      <c r="C169" s="174"/>
      <c r="D169" s="174"/>
      <c r="E169" s="175"/>
      <c r="F169" s="175"/>
      <c r="G169" s="177" t="str">
        <f>IFERROR(IF($E169="Yes","IPP",VLOOKUP($J169,'ELA Reading Logic'!$A$3:$K$9,VLOOKUP("September",'ELA Reading Logic'!$J$22:$K$31,2,FALSE),FALSE)),"Set Grade")</f>
        <v>Set Grade</v>
      </c>
      <c r="H169" s="177" t="str">
        <f>IFERROR(IF($E169="Yes","IPP",VLOOKUP($J169,'ELA Reading Logic'!$A$13:$K$19,VLOOKUP("September",'ELA Reading Logic'!$J$22:$K$31,2,FALSE),FALSE)),"Set Grade")</f>
        <v>Set Grade</v>
      </c>
      <c r="I169" s="96" t="str">
        <f>IF($E169="Yes","IPP",IFERROR(IF(AND(F169&gt;G169,F169&lt;H169),"0",(VLOOKUP(F169,'ELA Reading Logic'!$A$22:$B$48,2,FALSE))-(IF(VLOOKUP(F169,'ELA Reading Logic'!$A$22:$B$48,2,FALSE)&lt;=VLOOKUP(G169,'ELA Reading Logic'!$A$22:$B$48,2,FALSE),VLOOKUP(G169,'ELA Reading Logic'!$A$22:$B$48,2,FALSE),IF(VLOOKUP(F169,'ELA Reading Logic'!$A$22:$B$48,2,FALSE)&gt;=VLOOKUP(H169,'ELA Reading Logic'!$A$22:$B$48,2,FALSE),VLOOKUP(H169,'ELA Reading Logic'!$A$22:$B$48,2,FALSE),"No Score")))),"No Value"))</f>
        <v>No Value</v>
      </c>
      <c r="J169" s="178"/>
      <c r="K169" s="96"/>
      <c r="L169" s="96"/>
      <c r="M169" s="96"/>
      <c r="N169" s="96"/>
      <c r="O169" s="96"/>
      <c r="P169" s="105"/>
      <c r="Q169" s="92"/>
      <c r="R169" s="96" t="str">
        <f>IFERROR(IF($E169="Yes","IPP",VLOOKUP($J169,'ELA Reading Logic'!$A$3:$K$9,VLOOKUP(Q$1,'ELA Reading Logic'!$J$22:$K$31,2,FALSE),FALSE)),"Set Grade")</f>
        <v>Set Grade</v>
      </c>
      <c r="S169" s="96" t="str">
        <f>IFERROR(IF($E169="Yes","IPP",VLOOKUP($J169,'ELA Reading Logic'!$A$13:$K$19,VLOOKUP(Q$1,'ELA Reading Logic'!$J$22:$K$31,2,FALSE),FALSE)),"Set Grade")</f>
        <v>Set Grade</v>
      </c>
      <c r="T169" s="96" t="str">
        <f>IF($E169="Yes","IPP",IFERROR(IF(AND(Q169&gt;R169,Q169&lt;S169),"0",(VLOOKUP(Q169,'ELA Reading Logic'!$A$22:$B$48,2,FALSE))-(IF(VLOOKUP(Q169,'ELA Reading Logic'!$A$22:$B$48,2,FALSE)&lt;=VLOOKUP(R169,'ELA Reading Logic'!$A$22:$B$48,2,FALSE),VLOOKUP(R169,'ELA Reading Logic'!$A$22:$B$48,2,FALSE),IF(VLOOKUP(Q169,'ELA Reading Logic'!$A$22:$B$48,2,FALSE)&gt;=VLOOKUP(S169,'ELA Reading Logic'!$A$22:$B$48,2,FALSE),VLOOKUP(S169,'ELA Reading Logic'!$A$22:$B$48,2,FALSE),"No Score")))),"No Value"))</f>
        <v>No Value</v>
      </c>
      <c r="U169" s="96" t="str">
        <f>IFERROR(VLOOKUP(Q169,'ELA Reading Logic'!$A$22:$B$48,2,FALSE)-VLOOKUP($F169,'ELA Reading Logic'!$A$22:$B$48,2,FALSE),"No Value")</f>
        <v>No Value</v>
      </c>
      <c r="V169" s="92"/>
      <c r="W169" s="96" t="str">
        <f>IFERROR(IF($E169="Yes","IPP",VLOOKUP($J169,'ELA Reading Logic'!$A$3:$K$9,VLOOKUP(V$1,'ELA Reading Logic'!$J$22:$K$31,2,FALSE),FALSE)),"Set Grade")</f>
        <v>Set Grade</v>
      </c>
      <c r="X169" s="96" t="str">
        <f>IFERROR(IF($E169="Yes","IPP",VLOOKUP($J169,'ELA Reading Logic'!$A$13:$K$19,VLOOKUP(V$1,'ELA Reading Logic'!$J$22:$K$31,2,FALSE),FALSE)),"Set Grade")</f>
        <v>Set Grade</v>
      </c>
      <c r="Y169" s="96" t="str">
        <f>IF($E169="Yes","IPP",IFERROR(IF(AND(V169&gt;W169,V169&lt;X169),"0",(VLOOKUP(V169,'ELA Reading Logic'!$A$22:$B$48,2,FALSE))-(IF(VLOOKUP(V169,'ELA Reading Logic'!$A$22:$B$48,2,FALSE)&lt;=VLOOKUP(W169,'ELA Reading Logic'!$A$22:$B$48,2,FALSE),VLOOKUP(W169,'ELA Reading Logic'!$A$22:$B$48,2,FALSE),IF(VLOOKUP(V169,'ELA Reading Logic'!$A$22:$B$48,2,FALSE)&gt;=VLOOKUP(X169,'ELA Reading Logic'!$A$22:$B$48,2,FALSE),VLOOKUP(X169,'ELA Reading Logic'!$A$22:$B$48,2,FALSE),"No Score")))),"No Value"))</f>
        <v>No Value</v>
      </c>
      <c r="Z169" s="96" t="str">
        <f>IFERROR(VLOOKUP(V169,'ELA Reading Logic'!$A$22:$B$48,2,FALSE)-VLOOKUP($F169,'ELA Reading Logic'!$A$22:$B$48,2,FALSE),"No Value")</f>
        <v>No Value</v>
      </c>
      <c r="AA169" s="92"/>
      <c r="AB169" s="96" t="str">
        <f>IFERROR(IF($E169="Yes","IPP",VLOOKUP($J169,'ELA Reading Logic'!$A$3:$K$9,VLOOKUP(AA$1,'ELA Reading Logic'!$J$22:$K$31,2,FALSE),FALSE)),"Set Grade")</f>
        <v>Set Grade</v>
      </c>
      <c r="AC169" s="96" t="str">
        <f>IFERROR(IF($E169="Yes","IPP",VLOOKUP($J169,'ELA Reading Logic'!$A$13:$K$19,VLOOKUP(AA$1,'ELA Reading Logic'!$J$22:$K$31,2,FALSE),FALSE)),"Set Grade")</f>
        <v>Set Grade</v>
      </c>
      <c r="AD169" s="96" t="str">
        <f>IF($E169="Yes","IPP",IFERROR(IF(AND(AA169&gt;AB169,AA169&lt;AC169),"0",(VLOOKUP(AA169,'ELA Reading Logic'!$A$22:$B$48,2,FALSE))-(IF(VLOOKUP(AA169,'ELA Reading Logic'!$A$22:$B$48,2,FALSE)&lt;=VLOOKUP(AB169,'ELA Reading Logic'!$A$22:$B$48,2,FALSE),VLOOKUP(AB169,'ELA Reading Logic'!$A$22:$B$48,2,FALSE),IF(VLOOKUP(AA169,'ELA Reading Logic'!$A$22:$B$48,2,FALSE)&gt;=VLOOKUP(AC169,'ELA Reading Logic'!$A$22:$B$48,2,FALSE),VLOOKUP(AC169,'ELA Reading Logic'!$A$22:$B$48,2,FALSE),"No Score")))),"No Value"))</f>
        <v>No Value</v>
      </c>
      <c r="AE169" s="96" t="str">
        <f>IFERROR(VLOOKUP(AA169,'ELA Reading Logic'!$A$22:$B$48,2,FALSE)-VLOOKUP($F169,'ELA Reading Logic'!$A$22:$B$48,2,FALSE),"No Value")</f>
        <v>No Value</v>
      </c>
      <c r="AF169" s="92"/>
      <c r="AG169" s="96" t="str">
        <f>IFERROR(IF($E169="Yes","IPP",VLOOKUP($J169,'ELA Reading Logic'!$A$3:$K$9,VLOOKUP(AF$1,'ELA Reading Logic'!$J$22:$K$31,2,FALSE),FALSE)),"Set Grade")</f>
        <v>Set Grade</v>
      </c>
      <c r="AH169" s="96" t="str">
        <f>IFERROR(IF($E169="Yes","IPP",VLOOKUP($J169,'ELA Reading Logic'!$A$13:$K$19,VLOOKUP(AF$1,'ELA Reading Logic'!$J$22:$K$31,2,FALSE),FALSE)),"Set Grade")</f>
        <v>Set Grade</v>
      </c>
      <c r="AI169" s="96" t="str">
        <f>IF($E169="Yes","IPP",IFERROR(IF(AND(AF169&gt;AG169,AF169&lt;AH169),"0",(VLOOKUP(AF169,'ELA Reading Logic'!$A$22:$B$48,2,FALSE))-(IF(VLOOKUP(AF169,'ELA Reading Logic'!$A$22:$B$48,2,FALSE)&lt;=VLOOKUP(AG169,'ELA Reading Logic'!$A$22:$B$48,2,FALSE),VLOOKUP(AG169,'ELA Reading Logic'!$A$22:$B$48,2,FALSE),IF(VLOOKUP(AF169,'ELA Reading Logic'!$A$22:$B$48,2,FALSE)&gt;=VLOOKUP(AH169,'ELA Reading Logic'!$A$22:$B$48,2,FALSE),VLOOKUP(AH169,'ELA Reading Logic'!$A$22:$B$48,2,FALSE),"No Score")))),"No Value"))</f>
        <v>No Value</v>
      </c>
      <c r="AJ169" s="96" t="str">
        <f>IFERROR(VLOOKUP(AF169,'ELA Reading Logic'!$A$22:$B$48,2,FALSE)-VLOOKUP($F169,'ELA Reading Logic'!$A$22:$B$48,2,FALSE),"No Value")</f>
        <v>No Value</v>
      </c>
      <c r="AK169" s="92"/>
      <c r="AL169" s="96" t="str">
        <f>IFERROR(IF($E169="Yes","IPP",VLOOKUP($J169,'ELA Reading Logic'!$A$3:$K$9,VLOOKUP(AK$1,'ELA Reading Logic'!$J$22:$K$31,2,FALSE),FALSE)),"Set Grade")</f>
        <v>Set Grade</v>
      </c>
      <c r="AM169" s="96" t="str">
        <f>IFERROR(IF($E169="Yes","IPP",VLOOKUP($J169,'ELA Reading Logic'!$A$13:$K$19,VLOOKUP(AK$1,'ELA Reading Logic'!$J$22:$K$31,2,FALSE),FALSE)),"Set Grade")</f>
        <v>Set Grade</v>
      </c>
      <c r="AN169" s="96" t="str">
        <f>IF($E169="Yes","IPP",IFERROR(IF(AND(AK169&gt;AL169,AK169&lt;AM169),"0",(VLOOKUP(AK169,'ELA Reading Logic'!$A$22:$B$48,2,FALSE))-(IF(VLOOKUP(AK169,'ELA Reading Logic'!$A$22:$B$48,2,FALSE)&lt;=VLOOKUP(AL169,'ELA Reading Logic'!$A$22:$B$48,2,FALSE),VLOOKUP(AL169,'ELA Reading Logic'!$A$22:$B$48,2,FALSE),IF(VLOOKUP(AK169,'ELA Reading Logic'!$A$22:$B$48,2,FALSE)&gt;=VLOOKUP(AM169,'ELA Reading Logic'!$A$22:$B$48,2,FALSE),VLOOKUP(AM169,'ELA Reading Logic'!$A$22:$B$48,2,FALSE),"No Score")))),"No Value"))</f>
        <v>No Value</v>
      </c>
      <c r="AO169" s="96" t="str">
        <f>IFERROR(VLOOKUP(AK169,'ELA Reading Logic'!$A$22:$B$48,2,FALSE)-VLOOKUP($F169,'ELA Reading Logic'!$A$22:$B$48,2,FALSE),"No Value")</f>
        <v>No Value</v>
      </c>
      <c r="AP169" s="92"/>
      <c r="AQ169" s="96" t="str">
        <f>IFERROR(IF($E169="Yes","IPP",VLOOKUP($J169,'ELA Reading Logic'!$A$3:$K$9,VLOOKUP(AP$1,'ELA Reading Logic'!$J$22:$K$31,2,FALSE),FALSE)),"Set Grade")</f>
        <v>Set Grade</v>
      </c>
      <c r="AR169" s="96" t="str">
        <f>IFERROR(IF($E169="Yes","IPP",VLOOKUP($J169,'ELA Reading Logic'!$A$13:$K$19,VLOOKUP(AP$1,'ELA Reading Logic'!$J$22:$K$31,2,FALSE),FALSE)),"Set Grade")</f>
        <v>Set Grade</v>
      </c>
      <c r="AS169" s="96" t="str">
        <f>IF($E169="Yes","IPP",IFERROR(IF(AND(AP169&gt;AQ169,AP169&lt;AR169),"0",(VLOOKUP(AP169,'ELA Reading Logic'!$A$22:$B$48,2,FALSE))-(IF(VLOOKUP(AP169,'ELA Reading Logic'!$A$22:$B$48,2,FALSE)&lt;=VLOOKUP(AQ169,'ELA Reading Logic'!$A$22:$B$48,2,FALSE),VLOOKUP(AQ169,'ELA Reading Logic'!$A$22:$B$48,2,FALSE),IF(VLOOKUP(AP169,'ELA Reading Logic'!$A$22:$B$48,2,FALSE)&gt;=VLOOKUP(AR169,'ELA Reading Logic'!$A$22:$B$48,2,FALSE),VLOOKUP(AR169,'ELA Reading Logic'!$A$22:$B$48,2,FALSE),"No Score")))),"No Value"))</f>
        <v>No Value</v>
      </c>
      <c r="AT169" s="96" t="str">
        <f>IFERROR(VLOOKUP(AP169,'ELA Reading Logic'!$A$22:$B$48,2,FALSE)-VLOOKUP($F169,'ELA Reading Logic'!$A$22:$B$48,2,FALSE),"No Value")</f>
        <v>No Value</v>
      </c>
    </row>
    <row r="170" spans="1:46" ht="22.5" customHeight="1" x14ac:dyDescent="0.25">
      <c r="A170" s="176"/>
      <c r="B170" s="176"/>
      <c r="C170" s="176"/>
      <c r="D170" s="176"/>
      <c r="E170" s="175"/>
      <c r="F170" s="175"/>
      <c r="G170" s="177" t="str">
        <f>IFERROR(IF($E170="Yes","IPP",VLOOKUP($J170,'ELA Reading Logic'!$A$3:$K$9,VLOOKUP("September",'ELA Reading Logic'!$J$22:$K$31,2,FALSE),FALSE)),"Set Grade")</f>
        <v>Set Grade</v>
      </c>
      <c r="H170" s="177" t="str">
        <f>IFERROR(IF($E170="Yes","IPP",VLOOKUP($J170,'ELA Reading Logic'!$A$13:$K$19,VLOOKUP("September",'ELA Reading Logic'!$J$22:$K$31,2,FALSE),FALSE)),"Set Grade")</f>
        <v>Set Grade</v>
      </c>
      <c r="I170" s="96" t="str">
        <f>IF($E170="Yes","IPP",IFERROR(IF(AND(F170&gt;G170,F170&lt;H170),"0",(VLOOKUP(F170,'ELA Reading Logic'!$A$22:$B$48,2,FALSE))-(IF(VLOOKUP(F170,'ELA Reading Logic'!$A$22:$B$48,2,FALSE)&lt;=VLOOKUP(G170,'ELA Reading Logic'!$A$22:$B$48,2,FALSE),VLOOKUP(G170,'ELA Reading Logic'!$A$22:$B$48,2,FALSE),IF(VLOOKUP(F170,'ELA Reading Logic'!$A$22:$B$48,2,FALSE)&gt;=VLOOKUP(H170,'ELA Reading Logic'!$A$22:$B$48,2,FALSE),VLOOKUP(H170,'ELA Reading Logic'!$A$22:$B$48,2,FALSE),"No Score")))),"No Value"))</f>
        <v>No Value</v>
      </c>
      <c r="J170" s="178"/>
      <c r="K170" s="96"/>
      <c r="L170" s="96"/>
      <c r="M170" s="96"/>
      <c r="N170" s="96"/>
      <c r="O170" s="96"/>
      <c r="P170" s="105"/>
      <c r="Q170" s="92"/>
      <c r="R170" s="96" t="str">
        <f>IFERROR(IF($E170="Yes","IPP",VLOOKUP($J170,'ELA Reading Logic'!$A$3:$K$9,VLOOKUP(Q$1,'ELA Reading Logic'!$J$22:$K$31,2,FALSE),FALSE)),"Set Grade")</f>
        <v>Set Grade</v>
      </c>
      <c r="S170" s="96" t="str">
        <f>IFERROR(IF($E170="Yes","IPP",VLOOKUP($J170,'ELA Reading Logic'!$A$13:$K$19,VLOOKUP(Q$1,'ELA Reading Logic'!$J$22:$K$31,2,FALSE),FALSE)),"Set Grade")</f>
        <v>Set Grade</v>
      </c>
      <c r="T170" s="96" t="str">
        <f>IF($E170="Yes","IPP",IFERROR(IF(AND(Q170&gt;R170,Q170&lt;S170),"0",(VLOOKUP(Q170,'ELA Reading Logic'!$A$22:$B$48,2,FALSE))-(IF(VLOOKUP(Q170,'ELA Reading Logic'!$A$22:$B$48,2,FALSE)&lt;=VLOOKUP(R170,'ELA Reading Logic'!$A$22:$B$48,2,FALSE),VLOOKUP(R170,'ELA Reading Logic'!$A$22:$B$48,2,FALSE),IF(VLOOKUP(Q170,'ELA Reading Logic'!$A$22:$B$48,2,FALSE)&gt;=VLOOKUP(S170,'ELA Reading Logic'!$A$22:$B$48,2,FALSE),VLOOKUP(S170,'ELA Reading Logic'!$A$22:$B$48,2,FALSE),"No Score")))),"No Value"))</f>
        <v>No Value</v>
      </c>
      <c r="U170" s="96" t="str">
        <f>IFERROR(VLOOKUP(Q170,'ELA Reading Logic'!$A$22:$B$48,2,FALSE)-VLOOKUP($F170,'ELA Reading Logic'!$A$22:$B$48,2,FALSE),"No Value")</f>
        <v>No Value</v>
      </c>
      <c r="V170" s="92"/>
      <c r="W170" s="96" t="str">
        <f>IFERROR(IF($E170="Yes","IPP",VLOOKUP($J170,'ELA Reading Logic'!$A$3:$K$9,VLOOKUP(V$1,'ELA Reading Logic'!$J$22:$K$31,2,FALSE),FALSE)),"Set Grade")</f>
        <v>Set Grade</v>
      </c>
      <c r="X170" s="96" t="str">
        <f>IFERROR(IF($E170="Yes","IPP",VLOOKUP($J170,'ELA Reading Logic'!$A$13:$K$19,VLOOKUP(V$1,'ELA Reading Logic'!$J$22:$K$31,2,FALSE),FALSE)),"Set Grade")</f>
        <v>Set Grade</v>
      </c>
      <c r="Y170" s="96" t="str">
        <f>IF($E170="Yes","IPP",IFERROR(IF(AND(V170&gt;W170,V170&lt;X170),"0",(VLOOKUP(V170,'ELA Reading Logic'!$A$22:$B$48,2,FALSE))-(IF(VLOOKUP(V170,'ELA Reading Logic'!$A$22:$B$48,2,FALSE)&lt;=VLOOKUP(W170,'ELA Reading Logic'!$A$22:$B$48,2,FALSE),VLOOKUP(W170,'ELA Reading Logic'!$A$22:$B$48,2,FALSE),IF(VLOOKUP(V170,'ELA Reading Logic'!$A$22:$B$48,2,FALSE)&gt;=VLOOKUP(X170,'ELA Reading Logic'!$A$22:$B$48,2,FALSE),VLOOKUP(X170,'ELA Reading Logic'!$A$22:$B$48,2,FALSE),"No Score")))),"No Value"))</f>
        <v>No Value</v>
      </c>
      <c r="Z170" s="96" t="str">
        <f>IFERROR(VLOOKUP(V170,'ELA Reading Logic'!$A$22:$B$48,2,FALSE)-VLOOKUP($F170,'ELA Reading Logic'!$A$22:$B$48,2,FALSE),"No Value")</f>
        <v>No Value</v>
      </c>
      <c r="AA170" s="92"/>
      <c r="AB170" s="96" t="str">
        <f>IFERROR(IF($E170="Yes","IPP",VLOOKUP($J170,'ELA Reading Logic'!$A$3:$K$9,VLOOKUP(AA$1,'ELA Reading Logic'!$J$22:$K$31,2,FALSE),FALSE)),"Set Grade")</f>
        <v>Set Grade</v>
      </c>
      <c r="AC170" s="96" t="str">
        <f>IFERROR(IF($E170="Yes","IPP",VLOOKUP($J170,'ELA Reading Logic'!$A$13:$K$19,VLOOKUP(AA$1,'ELA Reading Logic'!$J$22:$K$31,2,FALSE),FALSE)),"Set Grade")</f>
        <v>Set Grade</v>
      </c>
      <c r="AD170" s="96" t="str">
        <f>IF($E170="Yes","IPP",IFERROR(IF(AND(AA170&gt;AB170,AA170&lt;AC170),"0",(VLOOKUP(AA170,'ELA Reading Logic'!$A$22:$B$48,2,FALSE))-(IF(VLOOKUP(AA170,'ELA Reading Logic'!$A$22:$B$48,2,FALSE)&lt;=VLOOKUP(AB170,'ELA Reading Logic'!$A$22:$B$48,2,FALSE),VLOOKUP(AB170,'ELA Reading Logic'!$A$22:$B$48,2,FALSE),IF(VLOOKUP(AA170,'ELA Reading Logic'!$A$22:$B$48,2,FALSE)&gt;=VLOOKUP(AC170,'ELA Reading Logic'!$A$22:$B$48,2,FALSE),VLOOKUP(AC170,'ELA Reading Logic'!$A$22:$B$48,2,FALSE),"No Score")))),"No Value"))</f>
        <v>No Value</v>
      </c>
      <c r="AE170" s="96" t="str">
        <f>IFERROR(VLOOKUP(AA170,'ELA Reading Logic'!$A$22:$B$48,2,FALSE)-VLOOKUP($F170,'ELA Reading Logic'!$A$22:$B$48,2,FALSE),"No Value")</f>
        <v>No Value</v>
      </c>
      <c r="AF170" s="92"/>
      <c r="AG170" s="96" t="str">
        <f>IFERROR(IF($E170="Yes","IPP",VLOOKUP($J170,'ELA Reading Logic'!$A$3:$K$9,VLOOKUP(AF$1,'ELA Reading Logic'!$J$22:$K$31,2,FALSE),FALSE)),"Set Grade")</f>
        <v>Set Grade</v>
      </c>
      <c r="AH170" s="96" t="str">
        <f>IFERROR(IF($E170="Yes","IPP",VLOOKUP($J170,'ELA Reading Logic'!$A$13:$K$19,VLOOKUP(AF$1,'ELA Reading Logic'!$J$22:$K$31,2,FALSE),FALSE)),"Set Grade")</f>
        <v>Set Grade</v>
      </c>
      <c r="AI170" s="96" t="str">
        <f>IF($E170="Yes","IPP",IFERROR(IF(AND(AF170&gt;AG170,AF170&lt;AH170),"0",(VLOOKUP(AF170,'ELA Reading Logic'!$A$22:$B$48,2,FALSE))-(IF(VLOOKUP(AF170,'ELA Reading Logic'!$A$22:$B$48,2,FALSE)&lt;=VLOOKUP(AG170,'ELA Reading Logic'!$A$22:$B$48,2,FALSE),VLOOKUP(AG170,'ELA Reading Logic'!$A$22:$B$48,2,FALSE),IF(VLOOKUP(AF170,'ELA Reading Logic'!$A$22:$B$48,2,FALSE)&gt;=VLOOKUP(AH170,'ELA Reading Logic'!$A$22:$B$48,2,FALSE),VLOOKUP(AH170,'ELA Reading Logic'!$A$22:$B$48,2,FALSE),"No Score")))),"No Value"))</f>
        <v>No Value</v>
      </c>
      <c r="AJ170" s="96" t="str">
        <f>IFERROR(VLOOKUP(AF170,'ELA Reading Logic'!$A$22:$B$48,2,FALSE)-VLOOKUP($F170,'ELA Reading Logic'!$A$22:$B$48,2,FALSE),"No Value")</f>
        <v>No Value</v>
      </c>
      <c r="AK170" s="92"/>
      <c r="AL170" s="96" t="str">
        <f>IFERROR(IF($E170="Yes","IPP",VLOOKUP($J170,'ELA Reading Logic'!$A$3:$K$9,VLOOKUP(AK$1,'ELA Reading Logic'!$J$22:$K$31,2,FALSE),FALSE)),"Set Grade")</f>
        <v>Set Grade</v>
      </c>
      <c r="AM170" s="96" t="str">
        <f>IFERROR(IF($E170="Yes","IPP",VLOOKUP($J170,'ELA Reading Logic'!$A$13:$K$19,VLOOKUP(AK$1,'ELA Reading Logic'!$J$22:$K$31,2,FALSE),FALSE)),"Set Grade")</f>
        <v>Set Grade</v>
      </c>
      <c r="AN170" s="96" t="str">
        <f>IF($E170="Yes","IPP",IFERROR(IF(AND(AK170&gt;AL170,AK170&lt;AM170),"0",(VLOOKUP(AK170,'ELA Reading Logic'!$A$22:$B$48,2,FALSE))-(IF(VLOOKUP(AK170,'ELA Reading Logic'!$A$22:$B$48,2,FALSE)&lt;=VLOOKUP(AL170,'ELA Reading Logic'!$A$22:$B$48,2,FALSE),VLOOKUP(AL170,'ELA Reading Logic'!$A$22:$B$48,2,FALSE),IF(VLOOKUP(AK170,'ELA Reading Logic'!$A$22:$B$48,2,FALSE)&gt;=VLOOKUP(AM170,'ELA Reading Logic'!$A$22:$B$48,2,FALSE),VLOOKUP(AM170,'ELA Reading Logic'!$A$22:$B$48,2,FALSE),"No Score")))),"No Value"))</f>
        <v>No Value</v>
      </c>
      <c r="AO170" s="96" t="str">
        <f>IFERROR(VLOOKUP(AK170,'ELA Reading Logic'!$A$22:$B$48,2,FALSE)-VLOOKUP($F170,'ELA Reading Logic'!$A$22:$B$48,2,FALSE),"No Value")</f>
        <v>No Value</v>
      </c>
      <c r="AP170" s="92"/>
      <c r="AQ170" s="96" t="str">
        <f>IFERROR(IF($E170="Yes","IPP",VLOOKUP($J170,'ELA Reading Logic'!$A$3:$K$9,VLOOKUP(AP$1,'ELA Reading Logic'!$J$22:$K$31,2,FALSE),FALSE)),"Set Grade")</f>
        <v>Set Grade</v>
      </c>
      <c r="AR170" s="96" t="str">
        <f>IFERROR(IF($E170="Yes","IPP",VLOOKUP($J170,'ELA Reading Logic'!$A$13:$K$19,VLOOKUP(AP$1,'ELA Reading Logic'!$J$22:$K$31,2,FALSE),FALSE)),"Set Grade")</f>
        <v>Set Grade</v>
      </c>
      <c r="AS170" s="96" t="str">
        <f>IF($E170="Yes","IPP",IFERROR(IF(AND(AP170&gt;AQ170,AP170&lt;AR170),"0",(VLOOKUP(AP170,'ELA Reading Logic'!$A$22:$B$48,2,FALSE))-(IF(VLOOKUP(AP170,'ELA Reading Logic'!$A$22:$B$48,2,FALSE)&lt;=VLOOKUP(AQ170,'ELA Reading Logic'!$A$22:$B$48,2,FALSE),VLOOKUP(AQ170,'ELA Reading Logic'!$A$22:$B$48,2,FALSE),IF(VLOOKUP(AP170,'ELA Reading Logic'!$A$22:$B$48,2,FALSE)&gt;=VLOOKUP(AR170,'ELA Reading Logic'!$A$22:$B$48,2,FALSE),VLOOKUP(AR170,'ELA Reading Logic'!$A$22:$B$48,2,FALSE),"No Score")))),"No Value"))</f>
        <v>No Value</v>
      </c>
      <c r="AT170" s="96" t="str">
        <f>IFERROR(VLOOKUP(AP170,'ELA Reading Logic'!$A$22:$B$48,2,FALSE)-VLOOKUP($F170,'ELA Reading Logic'!$A$22:$B$48,2,FALSE),"No Value")</f>
        <v>No Value</v>
      </c>
    </row>
    <row r="171" spans="1:46" ht="22.5" customHeight="1" x14ac:dyDescent="0.25">
      <c r="A171" s="174"/>
      <c r="B171" s="174"/>
      <c r="C171" s="174"/>
      <c r="D171" s="174"/>
      <c r="E171" s="175"/>
      <c r="F171" s="175"/>
      <c r="G171" s="177" t="str">
        <f>IFERROR(IF($E171="Yes","IPP",VLOOKUP($J171,'ELA Reading Logic'!$A$3:$K$9,VLOOKUP("September",'ELA Reading Logic'!$J$22:$K$31,2,FALSE),FALSE)),"Set Grade")</f>
        <v>Set Grade</v>
      </c>
      <c r="H171" s="177" t="str">
        <f>IFERROR(IF($E171="Yes","IPP",VLOOKUP($J171,'ELA Reading Logic'!$A$13:$K$19,VLOOKUP("September",'ELA Reading Logic'!$J$22:$K$31,2,FALSE),FALSE)),"Set Grade")</f>
        <v>Set Grade</v>
      </c>
      <c r="I171" s="96" t="str">
        <f>IF($E171="Yes","IPP",IFERROR(IF(AND(F171&gt;G171,F171&lt;H171),"0",(VLOOKUP(F171,'ELA Reading Logic'!$A$22:$B$48,2,FALSE))-(IF(VLOOKUP(F171,'ELA Reading Logic'!$A$22:$B$48,2,FALSE)&lt;=VLOOKUP(G171,'ELA Reading Logic'!$A$22:$B$48,2,FALSE),VLOOKUP(G171,'ELA Reading Logic'!$A$22:$B$48,2,FALSE),IF(VLOOKUP(F171,'ELA Reading Logic'!$A$22:$B$48,2,FALSE)&gt;=VLOOKUP(H171,'ELA Reading Logic'!$A$22:$B$48,2,FALSE),VLOOKUP(H171,'ELA Reading Logic'!$A$22:$B$48,2,FALSE),"No Score")))),"No Value"))</f>
        <v>No Value</v>
      </c>
      <c r="J171" s="178"/>
      <c r="K171" s="96"/>
      <c r="L171" s="96"/>
      <c r="M171" s="96"/>
      <c r="N171" s="96"/>
      <c r="O171" s="96"/>
      <c r="P171" s="105"/>
      <c r="Q171" s="92"/>
      <c r="R171" s="96" t="str">
        <f>IFERROR(IF($E171="Yes","IPP",VLOOKUP($J171,'ELA Reading Logic'!$A$3:$K$9,VLOOKUP(Q$1,'ELA Reading Logic'!$J$22:$K$31,2,FALSE),FALSE)),"Set Grade")</f>
        <v>Set Grade</v>
      </c>
      <c r="S171" s="96" t="str">
        <f>IFERROR(IF($E171="Yes","IPP",VLOOKUP($J171,'ELA Reading Logic'!$A$13:$K$19,VLOOKUP(Q$1,'ELA Reading Logic'!$J$22:$K$31,2,FALSE),FALSE)),"Set Grade")</f>
        <v>Set Grade</v>
      </c>
      <c r="T171" s="96" t="str">
        <f>IF($E171="Yes","IPP",IFERROR(IF(AND(Q171&gt;R171,Q171&lt;S171),"0",(VLOOKUP(Q171,'ELA Reading Logic'!$A$22:$B$48,2,FALSE))-(IF(VLOOKUP(Q171,'ELA Reading Logic'!$A$22:$B$48,2,FALSE)&lt;=VLOOKUP(R171,'ELA Reading Logic'!$A$22:$B$48,2,FALSE),VLOOKUP(R171,'ELA Reading Logic'!$A$22:$B$48,2,FALSE),IF(VLOOKUP(Q171,'ELA Reading Logic'!$A$22:$B$48,2,FALSE)&gt;=VLOOKUP(S171,'ELA Reading Logic'!$A$22:$B$48,2,FALSE),VLOOKUP(S171,'ELA Reading Logic'!$A$22:$B$48,2,FALSE),"No Score")))),"No Value"))</f>
        <v>No Value</v>
      </c>
      <c r="U171" s="96" t="str">
        <f>IFERROR(VLOOKUP(Q171,'ELA Reading Logic'!$A$22:$B$48,2,FALSE)-VLOOKUP($F171,'ELA Reading Logic'!$A$22:$B$48,2,FALSE),"No Value")</f>
        <v>No Value</v>
      </c>
      <c r="V171" s="92"/>
      <c r="W171" s="96" t="str">
        <f>IFERROR(IF($E171="Yes","IPP",VLOOKUP($J171,'ELA Reading Logic'!$A$3:$K$9,VLOOKUP(V$1,'ELA Reading Logic'!$J$22:$K$31,2,FALSE),FALSE)),"Set Grade")</f>
        <v>Set Grade</v>
      </c>
      <c r="X171" s="96" t="str">
        <f>IFERROR(IF($E171="Yes","IPP",VLOOKUP($J171,'ELA Reading Logic'!$A$13:$K$19,VLOOKUP(V$1,'ELA Reading Logic'!$J$22:$K$31,2,FALSE),FALSE)),"Set Grade")</f>
        <v>Set Grade</v>
      </c>
      <c r="Y171" s="96" t="str">
        <f>IF($E171="Yes","IPP",IFERROR(IF(AND(V171&gt;W171,V171&lt;X171),"0",(VLOOKUP(V171,'ELA Reading Logic'!$A$22:$B$48,2,FALSE))-(IF(VLOOKUP(V171,'ELA Reading Logic'!$A$22:$B$48,2,FALSE)&lt;=VLOOKUP(W171,'ELA Reading Logic'!$A$22:$B$48,2,FALSE),VLOOKUP(W171,'ELA Reading Logic'!$A$22:$B$48,2,FALSE),IF(VLOOKUP(V171,'ELA Reading Logic'!$A$22:$B$48,2,FALSE)&gt;=VLOOKUP(X171,'ELA Reading Logic'!$A$22:$B$48,2,FALSE),VLOOKUP(X171,'ELA Reading Logic'!$A$22:$B$48,2,FALSE),"No Score")))),"No Value"))</f>
        <v>No Value</v>
      </c>
      <c r="Z171" s="96" t="str">
        <f>IFERROR(VLOOKUP(V171,'ELA Reading Logic'!$A$22:$B$48,2,FALSE)-VLOOKUP($F171,'ELA Reading Logic'!$A$22:$B$48,2,FALSE),"No Value")</f>
        <v>No Value</v>
      </c>
      <c r="AA171" s="92"/>
      <c r="AB171" s="96" t="str">
        <f>IFERROR(IF($E171="Yes","IPP",VLOOKUP($J171,'ELA Reading Logic'!$A$3:$K$9,VLOOKUP(AA$1,'ELA Reading Logic'!$J$22:$K$31,2,FALSE),FALSE)),"Set Grade")</f>
        <v>Set Grade</v>
      </c>
      <c r="AC171" s="96" t="str">
        <f>IFERROR(IF($E171="Yes","IPP",VLOOKUP($J171,'ELA Reading Logic'!$A$13:$K$19,VLOOKUP(AA$1,'ELA Reading Logic'!$J$22:$K$31,2,FALSE),FALSE)),"Set Grade")</f>
        <v>Set Grade</v>
      </c>
      <c r="AD171" s="96" t="str">
        <f>IF($E171="Yes","IPP",IFERROR(IF(AND(AA171&gt;AB171,AA171&lt;AC171),"0",(VLOOKUP(AA171,'ELA Reading Logic'!$A$22:$B$48,2,FALSE))-(IF(VLOOKUP(AA171,'ELA Reading Logic'!$A$22:$B$48,2,FALSE)&lt;=VLOOKUP(AB171,'ELA Reading Logic'!$A$22:$B$48,2,FALSE),VLOOKUP(AB171,'ELA Reading Logic'!$A$22:$B$48,2,FALSE),IF(VLOOKUP(AA171,'ELA Reading Logic'!$A$22:$B$48,2,FALSE)&gt;=VLOOKUP(AC171,'ELA Reading Logic'!$A$22:$B$48,2,FALSE),VLOOKUP(AC171,'ELA Reading Logic'!$A$22:$B$48,2,FALSE),"No Score")))),"No Value"))</f>
        <v>No Value</v>
      </c>
      <c r="AE171" s="96" t="str">
        <f>IFERROR(VLOOKUP(AA171,'ELA Reading Logic'!$A$22:$B$48,2,FALSE)-VLOOKUP($F171,'ELA Reading Logic'!$A$22:$B$48,2,FALSE),"No Value")</f>
        <v>No Value</v>
      </c>
      <c r="AF171" s="92"/>
      <c r="AG171" s="96" t="str">
        <f>IFERROR(IF($E171="Yes","IPP",VLOOKUP($J171,'ELA Reading Logic'!$A$3:$K$9,VLOOKUP(AF$1,'ELA Reading Logic'!$J$22:$K$31,2,FALSE),FALSE)),"Set Grade")</f>
        <v>Set Grade</v>
      </c>
      <c r="AH171" s="96" t="str">
        <f>IFERROR(IF($E171="Yes","IPP",VLOOKUP($J171,'ELA Reading Logic'!$A$13:$K$19,VLOOKUP(AF$1,'ELA Reading Logic'!$J$22:$K$31,2,FALSE),FALSE)),"Set Grade")</f>
        <v>Set Grade</v>
      </c>
      <c r="AI171" s="96" t="str">
        <f>IF($E171="Yes","IPP",IFERROR(IF(AND(AF171&gt;AG171,AF171&lt;AH171),"0",(VLOOKUP(AF171,'ELA Reading Logic'!$A$22:$B$48,2,FALSE))-(IF(VLOOKUP(AF171,'ELA Reading Logic'!$A$22:$B$48,2,FALSE)&lt;=VLOOKUP(AG171,'ELA Reading Logic'!$A$22:$B$48,2,FALSE),VLOOKUP(AG171,'ELA Reading Logic'!$A$22:$B$48,2,FALSE),IF(VLOOKUP(AF171,'ELA Reading Logic'!$A$22:$B$48,2,FALSE)&gt;=VLOOKUP(AH171,'ELA Reading Logic'!$A$22:$B$48,2,FALSE),VLOOKUP(AH171,'ELA Reading Logic'!$A$22:$B$48,2,FALSE),"No Score")))),"No Value"))</f>
        <v>No Value</v>
      </c>
      <c r="AJ171" s="96" t="str">
        <f>IFERROR(VLOOKUP(AF171,'ELA Reading Logic'!$A$22:$B$48,2,FALSE)-VLOOKUP($F171,'ELA Reading Logic'!$A$22:$B$48,2,FALSE),"No Value")</f>
        <v>No Value</v>
      </c>
      <c r="AK171" s="92"/>
      <c r="AL171" s="96" t="str">
        <f>IFERROR(IF($E171="Yes","IPP",VLOOKUP($J171,'ELA Reading Logic'!$A$3:$K$9,VLOOKUP(AK$1,'ELA Reading Logic'!$J$22:$K$31,2,FALSE),FALSE)),"Set Grade")</f>
        <v>Set Grade</v>
      </c>
      <c r="AM171" s="96" t="str">
        <f>IFERROR(IF($E171="Yes","IPP",VLOOKUP($J171,'ELA Reading Logic'!$A$13:$K$19,VLOOKUP(AK$1,'ELA Reading Logic'!$J$22:$K$31,2,FALSE),FALSE)),"Set Grade")</f>
        <v>Set Grade</v>
      </c>
      <c r="AN171" s="96" t="str">
        <f>IF($E171="Yes","IPP",IFERROR(IF(AND(AK171&gt;AL171,AK171&lt;AM171),"0",(VLOOKUP(AK171,'ELA Reading Logic'!$A$22:$B$48,2,FALSE))-(IF(VLOOKUP(AK171,'ELA Reading Logic'!$A$22:$B$48,2,FALSE)&lt;=VLOOKUP(AL171,'ELA Reading Logic'!$A$22:$B$48,2,FALSE),VLOOKUP(AL171,'ELA Reading Logic'!$A$22:$B$48,2,FALSE),IF(VLOOKUP(AK171,'ELA Reading Logic'!$A$22:$B$48,2,FALSE)&gt;=VLOOKUP(AM171,'ELA Reading Logic'!$A$22:$B$48,2,FALSE),VLOOKUP(AM171,'ELA Reading Logic'!$A$22:$B$48,2,FALSE),"No Score")))),"No Value"))</f>
        <v>No Value</v>
      </c>
      <c r="AO171" s="96" t="str">
        <f>IFERROR(VLOOKUP(AK171,'ELA Reading Logic'!$A$22:$B$48,2,FALSE)-VLOOKUP($F171,'ELA Reading Logic'!$A$22:$B$48,2,FALSE),"No Value")</f>
        <v>No Value</v>
      </c>
      <c r="AP171" s="92"/>
      <c r="AQ171" s="96" t="str">
        <f>IFERROR(IF($E171="Yes","IPP",VLOOKUP($J171,'ELA Reading Logic'!$A$3:$K$9,VLOOKUP(AP$1,'ELA Reading Logic'!$J$22:$K$31,2,FALSE),FALSE)),"Set Grade")</f>
        <v>Set Grade</v>
      </c>
      <c r="AR171" s="96" t="str">
        <f>IFERROR(IF($E171="Yes","IPP",VLOOKUP($J171,'ELA Reading Logic'!$A$13:$K$19,VLOOKUP(AP$1,'ELA Reading Logic'!$J$22:$K$31,2,FALSE),FALSE)),"Set Grade")</f>
        <v>Set Grade</v>
      </c>
      <c r="AS171" s="96" t="str">
        <f>IF($E171="Yes","IPP",IFERROR(IF(AND(AP171&gt;AQ171,AP171&lt;AR171),"0",(VLOOKUP(AP171,'ELA Reading Logic'!$A$22:$B$48,2,FALSE))-(IF(VLOOKUP(AP171,'ELA Reading Logic'!$A$22:$B$48,2,FALSE)&lt;=VLOOKUP(AQ171,'ELA Reading Logic'!$A$22:$B$48,2,FALSE),VLOOKUP(AQ171,'ELA Reading Logic'!$A$22:$B$48,2,FALSE),IF(VLOOKUP(AP171,'ELA Reading Logic'!$A$22:$B$48,2,FALSE)&gt;=VLOOKUP(AR171,'ELA Reading Logic'!$A$22:$B$48,2,FALSE),VLOOKUP(AR171,'ELA Reading Logic'!$A$22:$B$48,2,FALSE),"No Score")))),"No Value"))</f>
        <v>No Value</v>
      </c>
      <c r="AT171" s="96" t="str">
        <f>IFERROR(VLOOKUP(AP171,'ELA Reading Logic'!$A$22:$B$48,2,FALSE)-VLOOKUP($F171,'ELA Reading Logic'!$A$22:$B$48,2,FALSE),"No Value")</f>
        <v>No Value</v>
      </c>
    </row>
    <row r="172" spans="1:46" ht="22.5" customHeight="1" x14ac:dyDescent="0.25">
      <c r="A172" s="176"/>
      <c r="B172" s="176"/>
      <c r="C172" s="176"/>
      <c r="D172" s="176"/>
      <c r="E172" s="175"/>
      <c r="F172" s="175"/>
      <c r="G172" s="177" t="str">
        <f>IFERROR(IF($E172="Yes","IPP",VLOOKUP($J172,'ELA Reading Logic'!$A$3:$K$9,VLOOKUP("September",'ELA Reading Logic'!$J$22:$K$31,2,FALSE),FALSE)),"Set Grade")</f>
        <v>Set Grade</v>
      </c>
      <c r="H172" s="177" t="str">
        <f>IFERROR(IF($E172="Yes","IPP",VLOOKUP($J172,'ELA Reading Logic'!$A$13:$K$19,VLOOKUP("September",'ELA Reading Logic'!$J$22:$K$31,2,FALSE),FALSE)),"Set Grade")</f>
        <v>Set Grade</v>
      </c>
      <c r="I172" s="96" t="str">
        <f>IF($E172="Yes","IPP",IFERROR(IF(AND(F172&gt;G172,F172&lt;H172),"0",(VLOOKUP(F172,'ELA Reading Logic'!$A$22:$B$48,2,FALSE))-(IF(VLOOKUP(F172,'ELA Reading Logic'!$A$22:$B$48,2,FALSE)&lt;=VLOOKUP(G172,'ELA Reading Logic'!$A$22:$B$48,2,FALSE),VLOOKUP(G172,'ELA Reading Logic'!$A$22:$B$48,2,FALSE),IF(VLOOKUP(F172,'ELA Reading Logic'!$A$22:$B$48,2,FALSE)&gt;=VLOOKUP(H172,'ELA Reading Logic'!$A$22:$B$48,2,FALSE),VLOOKUP(H172,'ELA Reading Logic'!$A$22:$B$48,2,FALSE),"No Score")))),"No Value"))</f>
        <v>No Value</v>
      </c>
      <c r="J172" s="178"/>
      <c r="K172" s="96"/>
      <c r="L172" s="96"/>
      <c r="M172" s="96"/>
      <c r="N172" s="96"/>
      <c r="O172" s="96"/>
      <c r="P172" s="105"/>
      <c r="Q172" s="92"/>
      <c r="R172" s="96" t="str">
        <f>IFERROR(IF($E172="Yes","IPP",VLOOKUP($J172,'ELA Reading Logic'!$A$3:$K$9,VLOOKUP(Q$1,'ELA Reading Logic'!$J$22:$K$31,2,FALSE),FALSE)),"Set Grade")</f>
        <v>Set Grade</v>
      </c>
      <c r="S172" s="96" t="str">
        <f>IFERROR(IF($E172="Yes","IPP",VLOOKUP($J172,'ELA Reading Logic'!$A$13:$K$19,VLOOKUP(Q$1,'ELA Reading Logic'!$J$22:$K$31,2,FALSE),FALSE)),"Set Grade")</f>
        <v>Set Grade</v>
      </c>
      <c r="T172" s="96" t="str">
        <f>IF($E172="Yes","IPP",IFERROR(IF(AND(Q172&gt;R172,Q172&lt;S172),"0",(VLOOKUP(Q172,'ELA Reading Logic'!$A$22:$B$48,2,FALSE))-(IF(VLOOKUP(Q172,'ELA Reading Logic'!$A$22:$B$48,2,FALSE)&lt;=VLOOKUP(R172,'ELA Reading Logic'!$A$22:$B$48,2,FALSE),VLOOKUP(R172,'ELA Reading Logic'!$A$22:$B$48,2,FALSE),IF(VLOOKUP(Q172,'ELA Reading Logic'!$A$22:$B$48,2,FALSE)&gt;=VLOOKUP(S172,'ELA Reading Logic'!$A$22:$B$48,2,FALSE),VLOOKUP(S172,'ELA Reading Logic'!$A$22:$B$48,2,FALSE),"No Score")))),"No Value"))</f>
        <v>No Value</v>
      </c>
      <c r="U172" s="96" t="str">
        <f>IFERROR(VLOOKUP(Q172,'ELA Reading Logic'!$A$22:$B$48,2,FALSE)-VLOOKUP($F172,'ELA Reading Logic'!$A$22:$B$48,2,FALSE),"No Value")</f>
        <v>No Value</v>
      </c>
      <c r="V172" s="92"/>
      <c r="W172" s="96" t="str">
        <f>IFERROR(IF($E172="Yes","IPP",VLOOKUP($J172,'ELA Reading Logic'!$A$3:$K$9,VLOOKUP(V$1,'ELA Reading Logic'!$J$22:$K$31,2,FALSE),FALSE)),"Set Grade")</f>
        <v>Set Grade</v>
      </c>
      <c r="X172" s="96" t="str">
        <f>IFERROR(IF($E172="Yes","IPP",VLOOKUP($J172,'ELA Reading Logic'!$A$13:$K$19,VLOOKUP(V$1,'ELA Reading Logic'!$J$22:$K$31,2,FALSE),FALSE)),"Set Grade")</f>
        <v>Set Grade</v>
      </c>
      <c r="Y172" s="96" t="str">
        <f>IF($E172="Yes","IPP",IFERROR(IF(AND(V172&gt;W172,V172&lt;X172),"0",(VLOOKUP(V172,'ELA Reading Logic'!$A$22:$B$48,2,FALSE))-(IF(VLOOKUP(V172,'ELA Reading Logic'!$A$22:$B$48,2,FALSE)&lt;=VLOOKUP(W172,'ELA Reading Logic'!$A$22:$B$48,2,FALSE),VLOOKUP(W172,'ELA Reading Logic'!$A$22:$B$48,2,FALSE),IF(VLOOKUP(V172,'ELA Reading Logic'!$A$22:$B$48,2,FALSE)&gt;=VLOOKUP(X172,'ELA Reading Logic'!$A$22:$B$48,2,FALSE),VLOOKUP(X172,'ELA Reading Logic'!$A$22:$B$48,2,FALSE),"No Score")))),"No Value"))</f>
        <v>No Value</v>
      </c>
      <c r="Z172" s="96" t="str">
        <f>IFERROR(VLOOKUP(V172,'ELA Reading Logic'!$A$22:$B$48,2,FALSE)-VLOOKUP($F172,'ELA Reading Logic'!$A$22:$B$48,2,FALSE),"No Value")</f>
        <v>No Value</v>
      </c>
      <c r="AA172" s="92"/>
      <c r="AB172" s="96" t="str">
        <f>IFERROR(IF($E172="Yes","IPP",VLOOKUP($J172,'ELA Reading Logic'!$A$3:$K$9,VLOOKUP(AA$1,'ELA Reading Logic'!$J$22:$K$31,2,FALSE),FALSE)),"Set Grade")</f>
        <v>Set Grade</v>
      </c>
      <c r="AC172" s="96" t="str">
        <f>IFERROR(IF($E172="Yes","IPP",VLOOKUP($J172,'ELA Reading Logic'!$A$13:$K$19,VLOOKUP(AA$1,'ELA Reading Logic'!$J$22:$K$31,2,FALSE),FALSE)),"Set Grade")</f>
        <v>Set Grade</v>
      </c>
      <c r="AD172" s="96" t="str">
        <f>IF($E172="Yes","IPP",IFERROR(IF(AND(AA172&gt;AB172,AA172&lt;AC172),"0",(VLOOKUP(AA172,'ELA Reading Logic'!$A$22:$B$48,2,FALSE))-(IF(VLOOKUP(AA172,'ELA Reading Logic'!$A$22:$B$48,2,FALSE)&lt;=VLOOKUP(AB172,'ELA Reading Logic'!$A$22:$B$48,2,FALSE),VLOOKUP(AB172,'ELA Reading Logic'!$A$22:$B$48,2,FALSE),IF(VLOOKUP(AA172,'ELA Reading Logic'!$A$22:$B$48,2,FALSE)&gt;=VLOOKUP(AC172,'ELA Reading Logic'!$A$22:$B$48,2,FALSE),VLOOKUP(AC172,'ELA Reading Logic'!$A$22:$B$48,2,FALSE),"No Score")))),"No Value"))</f>
        <v>No Value</v>
      </c>
      <c r="AE172" s="96" t="str">
        <f>IFERROR(VLOOKUP(AA172,'ELA Reading Logic'!$A$22:$B$48,2,FALSE)-VLOOKUP($F172,'ELA Reading Logic'!$A$22:$B$48,2,FALSE),"No Value")</f>
        <v>No Value</v>
      </c>
      <c r="AF172" s="92"/>
      <c r="AG172" s="96" t="str">
        <f>IFERROR(IF($E172="Yes","IPP",VLOOKUP($J172,'ELA Reading Logic'!$A$3:$K$9,VLOOKUP(AF$1,'ELA Reading Logic'!$J$22:$K$31,2,FALSE),FALSE)),"Set Grade")</f>
        <v>Set Grade</v>
      </c>
      <c r="AH172" s="96" t="str">
        <f>IFERROR(IF($E172="Yes","IPP",VLOOKUP($J172,'ELA Reading Logic'!$A$13:$K$19,VLOOKUP(AF$1,'ELA Reading Logic'!$J$22:$K$31,2,FALSE),FALSE)),"Set Grade")</f>
        <v>Set Grade</v>
      </c>
      <c r="AI172" s="96" t="str">
        <f>IF($E172="Yes","IPP",IFERROR(IF(AND(AF172&gt;AG172,AF172&lt;AH172),"0",(VLOOKUP(AF172,'ELA Reading Logic'!$A$22:$B$48,2,FALSE))-(IF(VLOOKUP(AF172,'ELA Reading Logic'!$A$22:$B$48,2,FALSE)&lt;=VLOOKUP(AG172,'ELA Reading Logic'!$A$22:$B$48,2,FALSE),VLOOKUP(AG172,'ELA Reading Logic'!$A$22:$B$48,2,FALSE),IF(VLOOKUP(AF172,'ELA Reading Logic'!$A$22:$B$48,2,FALSE)&gt;=VLOOKUP(AH172,'ELA Reading Logic'!$A$22:$B$48,2,FALSE),VLOOKUP(AH172,'ELA Reading Logic'!$A$22:$B$48,2,FALSE),"No Score")))),"No Value"))</f>
        <v>No Value</v>
      </c>
      <c r="AJ172" s="96" t="str">
        <f>IFERROR(VLOOKUP(AF172,'ELA Reading Logic'!$A$22:$B$48,2,FALSE)-VLOOKUP($F172,'ELA Reading Logic'!$A$22:$B$48,2,FALSE),"No Value")</f>
        <v>No Value</v>
      </c>
      <c r="AK172" s="92"/>
      <c r="AL172" s="96" t="str">
        <f>IFERROR(IF($E172="Yes","IPP",VLOOKUP($J172,'ELA Reading Logic'!$A$3:$K$9,VLOOKUP(AK$1,'ELA Reading Logic'!$J$22:$K$31,2,FALSE),FALSE)),"Set Grade")</f>
        <v>Set Grade</v>
      </c>
      <c r="AM172" s="96" t="str">
        <f>IFERROR(IF($E172="Yes","IPP",VLOOKUP($J172,'ELA Reading Logic'!$A$13:$K$19,VLOOKUP(AK$1,'ELA Reading Logic'!$J$22:$K$31,2,FALSE),FALSE)),"Set Grade")</f>
        <v>Set Grade</v>
      </c>
      <c r="AN172" s="96" t="str">
        <f>IF($E172="Yes","IPP",IFERROR(IF(AND(AK172&gt;AL172,AK172&lt;AM172),"0",(VLOOKUP(AK172,'ELA Reading Logic'!$A$22:$B$48,2,FALSE))-(IF(VLOOKUP(AK172,'ELA Reading Logic'!$A$22:$B$48,2,FALSE)&lt;=VLOOKUP(AL172,'ELA Reading Logic'!$A$22:$B$48,2,FALSE),VLOOKUP(AL172,'ELA Reading Logic'!$A$22:$B$48,2,FALSE),IF(VLOOKUP(AK172,'ELA Reading Logic'!$A$22:$B$48,2,FALSE)&gt;=VLOOKUP(AM172,'ELA Reading Logic'!$A$22:$B$48,2,FALSE),VLOOKUP(AM172,'ELA Reading Logic'!$A$22:$B$48,2,FALSE),"No Score")))),"No Value"))</f>
        <v>No Value</v>
      </c>
      <c r="AO172" s="96" t="str">
        <f>IFERROR(VLOOKUP(AK172,'ELA Reading Logic'!$A$22:$B$48,2,FALSE)-VLOOKUP($F172,'ELA Reading Logic'!$A$22:$B$48,2,FALSE),"No Value")</f>
        <v>No Value</v>
      </c>
      <c r="AP172" s="92"/>
      <c r="AQ172" s="96" t="str">
        <f>IFERROR(IF($E172="Yes","IPP",VLOOKUP($J172,'ELA Reading Logic'!$A$3:$K$9,VLOOKUP(AP$1,'ELA Reading Logic'!$J$22:$K$31,2,FALSE),FALSE)),"Set Grade")</f>
        <v>Set Grade</v>
      </c>
      <c r="AR172" s="96" t="str">
        <f>IFERROR(IF($E172="Yes","IPP",VLOOKUP($J172,'ELA Reading Logic'!$A$13:$K$19,VLOOKUP(AP$1,'ELA Reading Logic'!$J$22:$K$31,2,FALSE),FALSE)),"Set Grade")</f>
        <v>Set Grade</v>
      </c>
      <c r="AS172" s="96" t="str">
        <f>IF($E172="Yes","IPP",IFERROR(IF(AND(AP172&gt;AQ172,AP172&lt;AR172),"0",(VLOOKUP(AP172,'ELA Reading Logic'!$A$22:$B$48,2,FALSE))-(IF(VLOOKUP(AP172,'ELA Reading Logic'!$A$22:$B$48,2,FALSE)&lt;=VLOOKUP(AQ172,'ELA Reading Logic'!$A$22:$B$48,2,FALSE),VLOOKUP(AQ172,'ELA Reading Logic'!$A$22:$B$48,2,FALSE),IF(VLOOKUP(AP172,'ELA Reading Logic'!$A$22:$B$48,2,FALSE)&gt;=VLOOKUP(AR172,'ELA Reading Logic'!$A$22:$B$48,2,FALSE),VLOOKUP(AR172,'ELA Reading Logic'!$A$22:$B$48,2,FALSE),"No Score")))),"No Value"))</f>
        <v>No Value</v>
      </c>
      <c r="AT172" s="96" t="str">
        <f>IFERROR(VLOOKUP(AP172,'ELA Reading Logic'!$A$22:$B$48,2,FALSE)-VLOOKUP($F172,'ELA Reading Logic'!$A$22:$B$48,2,FALSE),"No Value")</f>
        <v>No Value</v>
      </c>
    </row>
    <row r="173" spans="1:46" ht="22.5" customHeight="1" x14ac:dyDescent="0.25">
      <c r="A173" s="174"/>
      <c r="B173" s="174"/>
      <c r="C173" s="174"/>
      <c r="D173" s="174"/>
      <c r="E173" s="175"/>
      <c r="F173" s="175"/>
      <c r="G173" s="177" t="str">
        <f>IFERROR(IF($E173="Yes","IPP",VLOOKUP($J173,'ELA Reading Logic'!$A$3:$K$9,VLOOKUP("September",'ELA Reading Logic'!$J$22:$K$31,2,FALSE),FALSE)),"Set Grade")</f>
        <v>Set Grade</v>
      </c>
      <c r="H173" s="177" t="str">
        <f>IFERROR(IF($E173="Yes","IPP",VLOOKUP($J173,'ELA Reading Logic'!$A$13:$K$19,VLOOKUP("September",'ELA Reading Logic'!$J$22:$K$31,2,FALSE),FALSE)),"Set Grade")</f>
        <v>Set Grade</v>
      </c>
      <c r="I173" s="96" t="str">
        <f>IF($E173="Yes","IPP",IFERROR(IF(AND(F173&gt;G173,F173&lt;H173),"0",(VLOOKUP(F173,'ELA Reading Logic'!$A$22:$B$48,2,FALSE))-(IF(VLOOKUP(F173,'ELA Reading Logic'!$A$22:$B$48,2,FALSE)&lt;=VLOOKUP(G173,'ELA Reading Logic'!$A$22:$B$48,2,FALSE),VLOOKUP(G173,'ELA Reading Logic'!$A$22:$B$48,2,FALSE),IF(VLOOKUP(F173,'ELA Reading Logic'!$A$22:$B$48,2,FALSE)&gt;=VLOOKUP(H173,'ELA Reading Logic'!$A$22:$B$48,2,FALSE),VLOOKUP(H173,'ELA Reading Logic'!$A$22:$B$48,2,FALSE),"No Score")))),"No Value"))</f>
        <v>No Value</v>
      </c>
      <c r="J173" s="178"/>
      <c r="K173" s="96"/>
      <c r="L173" s="96"/>
      <c r="M173" s="96"/>
      <c r="N173" s="96"/>
      <c r="O173" s="96"/>
      <c r="P173" s="105"/>
      <c r="Q173" s="92"/>
      <c r="R173" s="96" t="str">
        <f>IFERROR(IF($E173="Yes","IPP",VLOOKUP($J173,'ELA Reading Logic'!$A$3:$K$9,VLOOKUP(Q$1,'ELA Reading Logic'!$J$22:$K$31,2,FALSE),FALSE)),"Set Grade")</f>
        <v>Set Grade</v>
      </c>
      <c r="S173" s="96" t="str">
        <f>IFERROR(IF($E173="Yes","IPP",VLOOKUP($J173,'ELA Reading Logic'!$A$13:$K$19,VLOOKUP(Q$1,'ELA Reading Logic'!$J$22:$K$31,2,FALSE),FALSE)),"Set Grade")</f>
        <v>Set Grade</v>
      </c>
      <c r="T173" s="96" t="str">
        <f>IF($E173="Yes","IPP",IFERROR(IF(AND(Q173&gt;R173,Q173&lt;S173),"0",(VLOOKUP(Q173,'ELA Reading Logic'!$A$22:$B$48,2,FALSE))-(IF(VLOOKUP(Q173,'ELA Reading Logic'!$A$22:$B$48,2,FALSE)&lt;=VLOOKUP(R173,'ELA Reading Logic'!$A$22:$B$48,2,FALSE),VLOOKUP(R173,'ELA Reading Logic'!$A$22:$B$48,2,FALSE),IF(VLOOKUP(Q173,'ELA Reading Logic'!$A$22:$B$48,2,FALSE)&gt;=VLOOKUP(S173,'ELA Reading Logic'!$A$22:$B$48,2,FALSE),VLOOKUP(S173,'ELA Reading Logic'!$A$22:$B$48,2,FALSE),"No Score")))),"No Value"))</f>
        <v>No Value</v>
      </c>
      <c r="U173" s="96" t="str">
        <f>IFERROR(VLOOKUP(Q173,'ELA Reading Logic'!$A$22:$B$48,2,FALSE)-VLOOKUP($F173,'ELA Reading Logic'!$A$22:$B$48,2,FALSE),"No Value")</f>
        <v>No Value</v>
      </c>
      <c r="V173" s="92"/>
      <c r="W173" s="96" t="str">
        <f>IFERROR(IF($E173="Yes","IPP",VLOOKUP($J173,'ELA Reading Logic'!$A$3:$K$9,VLOOKUP(V$1,'ELA Reading Logic'!$J$22:$K$31,2,FALSE),FALSE)),"Set Grade")</f>
        <v>Set Grade</v>
      </c>
      <c r="X173" s="96" t="str">
        <f>IFERROR(IF($E173="Yes","IPP",VLOOKUP($J173,'ELA Reading Logic'!$A$13:$K$19,VLOOKUP(V$1,'ELA Reading Logic'!$J$22:$K$31,2,FALSE),FALSE)),"Set Grade")</f>
        <v>Set Grade</v>
      </c>
      <c r="Y173" s="96" t="str">
        <f>IF($E173="Yes","IPP",IFERROR(IF(AND(V173&gt;W173,V173&lt;X173),"0",(VLOOKUP(V173,'ELA Reading Logic'!$A$22:$B$48,2,FALSE))-(IF(VLOOKUP(V173,'ELA Reading Logic'!$A$22:$B$48,2,FALSE)&lt;=VLOOKUP(W173,'ELA Reading Logic'!$A$22:$B$48,2,FALSE),VLOOKUP(W173,'ELA Reading Logic'!$A$22:$B$48,2,FALSE),IF(VLOOKUP(V173,'ELA Reading Logic'!$A$22:$B$48,2,FALSE)&gt;=VLOOKUP(X173,'ELA Reading Logic'!$A$22:$B$48,2,FALSE),VLOOKUP(X173,'ELA Reading Logic'!$A$22:$B$48,2,FALSE),"No Score")))),"No Value"))</f>
        <v>No Value</v>
      </c>
      <c r="Z173" s="96" t="str">
        <f>IFERROR(VLOOKUP(V173,'ELA Reading Logic'!$A$22:$B$48,2,FALSE)-VLOOKUP($F173,'ELA Reading Logic'!$A$22:$B$48,2,FALSE),"No Value")</f>
        <v>No Value</v>
      </c>
      <c r="AA173" s="92"/>
      <c r="AB173" s="96" t="str">
        <f>IFERROR(IF($E173="Yes","IPP",VLOOKUP($J173,'ELA Reading Logic'!$A$3:$K$9,VLOOKUP(AA$1,'ELA Reading Logic'!$J$22:$K$31,2,FALSE),FALSE)),"Set Grade")</f>
        <v>Set Grade</v>
      </c>
      <c r="AC173" s="96" t="str">
        <f>IFERROR(IF($E173="Yes","IPP",VLOOKUP($J173,'ELA Reading Logic'!$A$13:$K$19,VLOOKUP(AA$1,'ELA Reading Logic'!$J$22:$K$31,2,FALSE),FALSE)),"Set Grade")</f>
        <v>Set Grade</v>
      </c>
      <c r="AD173" s="96" t="str">
        <f>IF($E173="Yes","IPP",IFERROR(IF(AND(AA173&gt;AB173,AA173&lt;AC173),"0",(VLOOKUP(AA173,'ELA Reading Logic'!$A$22:$B$48,2,FALSE))-(IF(VLOOKUP(AA173,'ELA Reading Logic'!$A$22:$B$48,2,FALSE)&lt;=VLOOKUP(AB173,'ELA Reading Logic'!$A$22:$B$48,2,FALSE),VLOOKUP(AB173,'ELA Reading Logic'!$A$22:$B$48,2,FALSE),IF(VLOOKUP(AA173,'ELA Reading Logic'!$A$22:$B$48,2,FALSE)&gt;=VLOOKUP(AC173,'ELA Reading Logic'!$A$22:$B$48,2,FALSE),VLOOKUP(AC173,'ELA Reading Logic'!$A$22:$B$48,2,FALSE),"No Score")))),"No Value"))</f>
        <v>No Value</v>
      </c>
      <c r="AE173" s="96" t="str">
        <f>IFERROR(VLOOKUP(AA173,'ELA Reading Logic'!$A$22:$B$48,2,FALSE)-VLOOKUP($F173,'ELA Reading Logic'!$A$22:$B$48,2,FALSE),"No Value")</f>
        <v>No Value</v>
      </c>
      <c r="AF173" s="92"/>
      <c r="AG173" s="96" t="str">
        <f>IFERROR(IF($E173="Yes","IPP",VLOOKUP($J173,'ELA Reading Logic'!$A$3:$K$9,VLOOKUP(AF$1,'ELA Reading Logic'!$J$22:$K$31,2,FALSE),FALSE)),"Set Grade")</f>
        <v>Set Grade</v>
      </c>
      <c r="AH173" s="96" t="str">
        <f>IFERROR(IF($E173="Yes","IPP",VLOOKUP($J173,'ELA Reading Logic'!$A$13:$K$19,VLOOKUP(AF$1,'ELA Reading Logic'!$J$22:$K$31,2,FALSE),FALSE)),"Set Grade")</f>
        <v>Set Grade</v>
      </c>
      <c r="AI173" s="96" t="str">
        <f>IF($E173="Yes","IPP",IFERROR(IF(AND(AF173&gt;AG173,AF173&lt;AH173),"0",(VLOOKUP(AF173,'ELA Reading Logic'!$A$22:$B$48,2,FALSE))-(IF(VLOOKUP(AF173,'ELA Reading Logic'!$A$22:$B$48,2,FALSE)&lt;=VLOOKUP(AG173,'ELA Reading Logic'!$A$22:$B$48,2,FALSE),VLOOKUP(AG173,'ELA Reading Logic'!$A$22:$B$48,2,FALSE),IF(VLOOKUP(AF173,'ELA Reading Logic'!$A$22:$B$48,2,FALSE)&gt;=VLOOKUP(AH173,'ELA Reading Logic'!$A$22:$B$48,2,FALSE),VLOOKUP(AH173,'ELA Reading Logic'!$A$22:$B$48,2,FALSE),"No Score")))),"No Value"))</f>
        <v>No Value</v>
      </c>
      <c r="AJ173" s="96" t="str">
        <f>IFERROR(VLOOKUP(AF173,'ELA Reading Logic'!$A$22:$B$48,2,FALSE)-VLOOKUP($F173,'ELA Reading Logic'!$A$22:$B$48,2,FALSE),"No Value")</f>
        <v>No Value</v>
      </c>
      <c r="AK173" s="92"/>
      <c r="AL173" s="96" t="str">
        <f>IFERROR(IF($E173="Yes","IPP",VLOOKUP($J173,'ELA Reading Logic'!$A$3:$K$9,VLOOKUP(AK$1,'ELA Reading Logic'!$J$22:$K$31,2,FALSE),FALSE)),"Set Grade")</f>
        <v>Set Grade</v>
      </c>
      <c r="AM173" s="96" t="str">
        <f>IFERROR(IF($E173="Yes","IPP",VLOOKUP($J173,'ELA Reading Logic'!$A$13:$K$19,VLOOKUP(AK$1,'ELA Reading Logic'!$J$22:$K$31,2,FALSE),FALSE)),"Set Grade")</f>
        <v>Set Grade</v>
      </c>
      <c r="AN173" s="96" t="str">
        <f>IF($E173="Yes","IPP",IFERROR(IF(AND(AK173&gt;AL173,AK173&lt;AM173),"0",(VLOOKUP(AK173,'ELA Reading Logic'!$A$22:$B$48,2,FALSE))-(IF(VLOOKUP(AK173,'ELA Reading Logic'!$A$22:$B$48,2,FALSE)&lt;=VLOOKUP(AL173,'ELA Reading Logic'!$A$22:$B$48,2,FALSE),VLOOKUP(AL173,'ELA Reading Logic'!$A$22:$B$48,2,FALSE),IF(VLOOKUP(AK173,'ELA Reading Logic'!$A$22:$B$48,2,FALSE)&gt;=VLOOKUP(AM173,'ELA Reading Logic'!$A$22:$B$48,2,FALSE),VLOOKUP(AM173,'ELA Reading Logic'!$A$22:$B$48,2,FALSE),"No Score")))),"No Value"))</f>
        <v>No Value</v>
      </c>
      <c r="AO173" s="96" t="str">
        <f>IFERROR(VLOOKUP(AK173,'ELA Reading Logic'!$A$22:$B$48,2,FALSE)-VLOOKUP($F173,'ELA Reading Logic'!$A$22:$B$48,2,FALSE),"No Value")</f>
        <v>No Value</v>
      </c>
      <c r="AP173" s="92"/>
      <c r="AQ173" s="96" t="str">
        <f>IFERROR(IF($E173="Yes","IPP",VLOOKUP($J173,'ELA Reading Logic'!$A$3:$K$9,VLOOKUP(AP$1,'ELA Reading Logic'!$J$22:$K$31,2,FALSE),FALSE)),"Set Grade")</f>
        <v>Set Grade</v>
      </c>
      <c r="AR173" s="96" t="str">
        <f>IFERROR(IF($E173="Yes","IPP",VLOOKUP($J173,'ELA Reading Logic'!$A$13:$K$19,VLOOKUP(AP$1,'ELA Reading Logic'!$J$22:$K$31,2,FALSE),FALSE)),"Set Grade")</f>
        <v>Set Grade</v>
      </c>
      <c r="AS173" s="96" t="str">
        <f>IF($E173="Yes","IPP",IFERROR(IF(AND(AP173&gt;AQ173,AP173&lt;AR173),"0",(VLOOKUP(AP173,'ELA Reading Logic'!$A$22:$B$48,2,FALSE))-(IF(VLOOKUP(AP173,'ELA Reading Logic'!$A$22:$B$48,2,FALSE)&lt;=VLOOKUP(AQ173,'ELA Reading Logic'!$A$22:$B$48,2,FALSE),VLOOKUP(AQ173,'ELA Reading Logic'!$A$22:$B$48,2,FALSE),IF(VLOOKUP(AP173,'ELA Reading Logic'!$A$22:$B$48,2,FALSE)&gt;=VLOOKUP(AR173,'ELA Reading Logic'!$A$22:$B$48,2,FALSE),VLOOKUP(AR173,'ELA Reading Logic'!$A$22:$B$48,2,FALSE),"No Score")))),"No Value"))</f>
        <v>No Value</v>
      </c>
      <c r="AT173" s="96" t="str">
        <f>IFERROR(VLOOKUP(AP173,'ELA Reading Logic'!$A$22:$B$48,2,FALSE)-VLOOKUP($F173,'ELA Reading Logic'!$A$22:$B$48,2,FALSE),"No Value")</f>
        <v>No Value</v>
      </c>
    </row>
    <row r="174" spans="1:46" ht="22.5" customHeight="1" x14ac:dyDescent="0.25">
      <c r="A174" s="176"/>
      <c r="B174" s="176"/>
      <c r="C174" s="176"/>
      <c r="D174" s="176"/>
      <c r="E174" s="175"/>
      <c r="F174" s="175"/>
      <c r="G174" s="177" t="str">
        <f>IFERROR(IF($E174="Yes","IPP",VLOOKUP($J174,'ELA Reading Logic'!$A$3:$K$9,VLOOKUP("September",'ELA Reading Logic'!$J$22:$K$31,2,FALSE),FALSE)),"Set Grade")</f>
        <v>Set Grade</v>
      </c>
      <c r="H174" s="177" t="str">
        <f>IFERROR(IF($E174="Yes","IPP",VLOOKUP($J174,'ELA Reading Logic'!$A$13:$K$19,VLOOKUP("September",'ELA Reading Logic'!$J$22:$K$31,2,FALSE),FALSE)),"Set Grade")</f>
        <v>Set Grade</v>
      </c>
      <c r="I174" s="96" t="str">
        <f>IF($E174="Yes","IPP",IFERROR(IF(AND(F174&gt;G174,F174&lt;H174),"0",(VLOOKUP(F174,'ELA Reading Logic'!$A$22:$B$48,2,FALSE))-(IF(VLOOKUP(F174,'ELA Reading Logic'!$A$22:$B$48,2,FALSE)&lt;=VLOOKUP(G174,'ELA Reading Logic'!$A$22:$B$48,2,FALSE),VLOOKUP(G174,'ELA Reading Logic'!$A$22:$B$48,2,FALSE),IF(VLOOKUP(F174,'ELA Reading Logic'!$A$22:$B$48,2,FALSE)&gt;=VLOOKUP(H174,'ELA Reading Logic'!$A$22:$B$48,2,FALSE),VLOOKUP(H174,'ELA Reading Logic'!$A$22:$B$48,2,FALSE),"No Score")))),"No Value"))</f>
        <v>No Value</v>
      </c>
      <c r="J174" s="178"/>
      <c r="K174" s="96"/>
      <c r="L174" s="96"/>
      <c r="M174" s="96"/>
      <c r="N174" s="96"/>
      <c r="O174" s="96"/>
      <c r="P174" s="105"/>
      <c r="Q174" s="92"/>
      <c r="R174" s="96" t="str">
        <f>IFERROR(IF($E174="Yes","IPP",VLOOKUP($J174,'ELA Reading Logic'!$A$3:$K$9,VLOOKUP(Q$1,'ELA Reading Logic'!$J$22:$K$31,2,FALSE),FALSE)),"Set Grade")</f>
        <v>Set Grade</v>
      </c>
      <c r="S174" s="96" t="str">
        <f>IFERROR(IF($E174="Yes","IPP",VLOOKUP($J174,'ELA Reading Logic'!$A$13:$K$19,VLOOKUP(Q$1,'ELA Reading Logic'!$J$22:$K$31,2,FALSE),FALSE)),"Set Grade")</f>
        <v>Set Grade</v>
      </c>
      <c r="T174" s="96" t="str">
        <f>IF($E174="Yes","IPP",IFERROR(IF(AND(Q174&gt;R174,Q174&lt;S174),"0",(VLOOKUP(Q174,'ELA Reading Logic'!$A$22:$B$48,2,FALSE))-(IF(VLOOKUP(Q174,'ELA Reading Logic'!$A$22:$B$48,2,FALSE)&lt;=VLOOKUP(R174,'ELA Reading Logic'!$A$22:$B$48,2,FALSE),VLOOKUP(R174,'ELA Reading Logic'!$A$22:$B$48,2,FALSE),IF(VLOOKUP(Q174,'ELA Reading Logic'!$A$22:$B$48,2,FALSE)&gt;=VLOOKUP(S174,'ELA Reading Logic'!$A$22:$B$48,2,FALSE),VLOOKUP(S174,'ELA Reading Logic'!$A$22:$B$48,2,FALSE),"No Score")))),"No Value"))</f>
        <v>No Value</v>
      </c>
      <c r="U174" s="96" t="str">
        <f>IFERROR(VLOOKUP(Q174,'ELA Reading Logic'!$A$22:$B$48,2,FALSE)-VLOOKUP($F174,'ELA Reading Logic'!$A$22:$B$48,2,FALSE),"No Value")</f>
        <v>No Value</v>
      </c>
      <c r="V174" s="92"/>
      <c r="W174" s="96" t="str">
        <f>IFERROR(IF($E174="Yes","IPP",VLOOKUP($J174,'ELA Reading Logic'!$A$3:$K$9,VLOOKUP(V$1,'ELA Reading Logic'!$J$22:$K$31,2,FALSE),FALSE)),"Set Grade")</f>
        <v>Set Grade</v>
      </c>
      <c r="X174" s="96" t="str">
        <f>IFERROR(IF($E174="Yes","IPP",VLOOKUP($J174,'ELA Reading Logic'!$A$13:$K$19,VLOOKUP(V$1,'ELA Reading Logic'!$J$22:$K$31,2,FALSE),FALSE)),"Set Grade")</f>
        <v>Set Grade</v>
      </c>
      <c r="Y174" s="96" t="str">
        <f>IF($E174="Yes","IPP",IFERROR(IF(AND(V174&gt;W174,V174&lt;X174),"0",(VLOOKUP(V174,'ELA Reading Logic'!$A$22:$B$48,2,FALSE))-(IF(VLOOKUP(V174,'ELA Reading Logic'!$A$22:$B$48,2,FALSE)&lt;=VLOOKUP(W174,'ELA Reading Logic'!$A$22:$B$48,2,FALSE),VLOOKUP(W174,'ELA Reading Logic'!$A$22:$B$48,2,FALSE),IF(VLOOKUP(V174,'ELA Reading Logic'!$A$22:$B$48,2,FALSE)&gt;=VLOOKUP(X174,'ELA Reading Logic'!$A$22:$B$48,2,FALSE),VLOOKUP(X174,'ELA Reading Logic'!$A$22:$B$48,2,FALSE),"No Score")))),"No Value"))</f>
        <v>No Value</v>
      </c>
      <c r="Z174" s="96" t="str">
        <f>IFERROR(VLOOKUP(V174,'ELA Reading Logic'!$A$22:$B$48,2,FALSE)-VLOOKUP($F174,'ELA Reading Logic'!$A$22:$B$48,2,FALSE),"No Value")</f>
        <v>No Value</v>
      </c>
      <c r="AA174" s="92"/>
      <c r="AB174" s="96" t="str">
        <f>IFERROR(IF($E174="Yes","IPP",VLOOKUP($J174,'ELA Reading Logic'!$A$3:$K$9,VLOOKUP(AA$1,'ELA Reading Logic'!$J$22:$K$31,2,FALSE),FALSE)),"Set Grade")</f>
        <v>Set Grade</v>
      </c>
      <c r="AC174" s="96" t="str">
        <f>IFERROR(IF($E174="Yes","IPP",VLOOKUP($J174,'ELA Reading Logic'!$A$13:$K$19,VLOOKUP(AA$1,'ELA Reading Logic'!$J$22:$K$31,2,FALSE),FALSE)),"Set Grade")</f>
        <v>Set Grade</v>
      </c>
      <c r="AD174" s="96" t="str">
        <f>IF($E174="Yes","IPP",IFERROR(IF(AND(AA174&gt;AB174,AA174&lt;AC174),"0",(VLOOKUP(AA174,'ELA Reading Logic'!$A$22:$B$48,2,FALSE))-(IF(VLOOKUP(AA174,'ELA Reading Logic'!$A$22:$B$48,2,FALSE)&lt;=VLOOKUP(AB174,'ELA Reading Logic'!$A$22:$B$48,2,FALSE),VLOOKUP(AB174,'ELA Reading Logic'!$A$22:$B$48,2,FALSE),IF(VLOOKUP(AA174,'ELA Reading Logic'!$A$22:$B$48,2,FALSE)&gt;=VLOOKUP(AC174,'ELA Reading Logic'!$A$22:$B$48,2,FALSE),VLOOKUP(AC174,'ELA Reading Logic'!$A$22:$B$48,2,FALSE),"No Score")))),"No Value"))</f>
        <v>No Value</v>
      </c>
      <c r="AE174" s="96" t="str">
        <f>IFERROR(VLOOKUP(AA174,'ELA Reading Logic'!$A$22:$B$48,2,FALSE)-VLOOKUP($F174,'ELA Reading Logic'!$A$22:$B$48,2,FALSE),"No Value")</f>
        <v>No Value</v>
      </c>
      <c r="AF174" s="92"/>
      <c r="AG174" s="96" t="str">
        <f>IFERROR(IF($E174="Yes","IPP",VLOOKUP($J174,'ELA Reading Logic'!$A$3:$K$9,VLOOKUP(AF$1,'ELA Reading Logic'!$J$22:$K$31,2,FALSE),FALSE)),"Set Grade")</f>
        <v>Set Grade</v>
      </c>
      <c r="AH174" s="96" t="str">
        <f>IFERROR(IF($E174="Yes","IPP",VLOOKUP($J174,'ELA Reading Logic'!$A$13:$K$19,VLOOKUP(AF$1,'ELA Reading Logic'!$J$22:$K$31,2,FALSE),FALSE)),"Set Grade")</f>
        <v>Set Grade</v>
      </c>
      <c r="AI174" s="96" t="str">
        <f>IF($E174="Yes","IPP",IFERROR(IF(AND(AF174&gt;AG174,AF174&lt;AH174),"0",(VLOOKUP(AF174,'ELA Reading Logic'!$A$22:$B$48,2,FALSE))-(IF(VLOOKUP(AF174,'ELA Reading Logic'!$A$22:$B$48,2,FALSE)&lt;=VLOOKUP(AG174,'ELA Reading Logic'!$A$22:$B$48,2,FALSE),VLOOKUP(AG174,'ELA Reading Logic'!$A$22:$B$48,2,FALSE),IF(VLOOKUP(AF174,'ELA Reading Logic'!$A$22:$B$48,2,FALSE)&gt;=VLOOKUP(AH174,'ELA Reading Logic'!$A$22:$B$48,2,FALSE),VLOOKUP(AH174,'ELA Reading Logic'!$A$22:$B$48,2,FALSE),"No Score")))),"No Value"))</f>
        <v>No Value</v>
      </c>
      <c r="AJ174" s="96" t="str">
        <f>IFERROR(VLOOKUP(AF174,'ELA Reading Logic'!$A$22:$B$48,2,FALSE)-VLOOKUP($F174,'ELA Reading Logic'!$A$22:$B$48,2,FALSE),"No Value")</f>
        <v>No Value</v>
      </c>
      <c r="AK174" s="92"/>
      <c r="AL174" s="96" t="str">
        <f>IFERROR(IF($E174="Yes","IPP",VLOOKUP($J174,'ELA Reading Logic'!$A$3:$K$9,VLOOKUP(AK$1,'ELA Reading Logic'!$J$22:$K$31,2,FALSE),FALSE)),"Set Grade")</f>
        <v>Set Grade</v>
      </c>
      <c r="AM174" s="96" t="str">
        <f>IFERROR(IF($E174="Yes","IPP",VLOOKUP($J174,'ELA Reading Logic'!$A$13:$K$19,VLOOKUP(AK$1,'ELA Reading Logic'!$J$22:$K$31,2,FALSE),FALSE)),"Set Grade")</f>
        <v>Set Grade</v>
      </c>
      <c r="AN174" s="96" t="str">
        <f>IF($E174="Yes","IPP",IFERROR(IF(AND(AK174&gt;AL174,AK174&lt;AM174),"0",(VLOOKUP(AK174,'ELA Reading Logic'!$A$22:$B$48,2,FALSE))-(IF(VLOOKUP(AK174,'ELA Reading Logic'!$A$22:$B$48,2,FALSE)&lt;=VLOOKUP(AL174,'ELA Reading Logic'!$A$22:$B$48,2,FALSE),VLOOKUP(AL174,'ELA Reading Logic'!$A$22:$B$48,2,FALSE),IF(VLOOKUP(AK174,'ELA Reading Logic'!$A$22:$B$48,2,FALSE)&gt;=VLOOKUP(AM174,'ELA Reading Logic'!$A$22:$B$48,2,FALSE),VLOOKUP(AM174,'ELA Reading Logic'!$A$22:$B$48,2,FALSE),"No Score")))),"No Value"))</f>
        <v>No Value</v>
      </c>
      <c r="AO174" s="96" t="str">
        <f>IFERROR(VLOOKUP(AK174,'ELA Reading Logic'!$A$22:$B$48,2,FALSE)-VLOOKUP($F174,'ELA Reading Logic'!$A$22:$B$48,2,FALSE),"No Value")</f>
        <v>No Value</v>
      </c>
      <c r="AP174" s="92"/>
      <c r="AQ174" s="96" t="str">
        <f>IFERROR(IF($E174="Yes","IPP",VLOOKUP($J174,'ELA Reading Logic'!$A$3:$K$9,VLOOKUP(AP$1,'ELA Reading Logic'!$J$22:$K$31,2,FALSE),FALSE)),"Set Grade")</f>
        <v>Set Grade</v>
      </c>
      <c r="AR174" s="96" t="str">
        <f>IFERROR(IF($E174="Yes","IPP",VLOOKUP($J174,'ELA Reading Logic'!$A$13:$K$19,VLOOKUP(AP$1,'ELA Reading Logic'!$J$22:$K$31,2,FALSE),FALSE)),"Set Grade")</f>
        <v>Set Grade</v>
      </c>
      <c r="AS174" s="96" t="str">
        <f>IF($E174="Yes","IPP",IFERROR(IF(AND(AP174&gt;AQ174,AP174&lt;AR174),"0",(VLOOKUP(AP174,'ELA Reading Logic'!$A$22:$B$48,2,FALSE))-(IF(VLOOKUP(AP174,'ELA Reading Logic'!$A$22:$B$48,2,FALSE)&lt;=VLOOKUP(AQ174,'ELA Reading Logic'!$A$22:$B$48,2,FALSE),VLOOKUP(AQ174,'ELA Reading Logic'!$A$22:$B$48,2,FALSE),IF(VLOOKUP(AP174,'ELA Reading Logic'!$A$22:$B$48,2,FALSE)&gt;=VLOOKUP(AR174,'ELA Reading Logic'!$A$22:$B$48,2,FALSE),VLOOKUP(AR174,'ELA Reading Logic'!$A$22:$B$48,2,FALSE),"No Score")))),"No Value"))</f>
        <v>No Value</v>
      </c>
      <c r="AT174" s="96" t="str">
        <f>IFERROR(VLOOKUP(AP174,'ELA Reading Logic'!$A$22:$B$48,2,FALSE)-VLOOKUP($F174,'ELA Reading Logic'!$A$22:$B$48,2,FALSE),"No Value")</f>
        <v>No Value</v>
      </c>
    </row>
    <row r="175" spans="1:46" ht="22.5" customHeight="1" x14ac:dyDescent="0.25">
      <c r="A175" s="176"/>
      <c r="B175" s="176"/>
      <c r="C175" s="176"/>
      <c r="D175" s="176"/>
      <c r="E175" s="175"/>
      <c r="F175" s="175"/>
      <c r="G175" s="177" t="str">
        <f>IFERROR(IF($E175="Yes","IPP",VLOOKUP($J175,'ELA Reading Logic'!$A$3:$K$9,VLOOKUP("September",'ELA Reading Logic'!$J$22:$K$31,2,FALSE),FALSE)),"Set Grade")</f>
        <v>Set Grade</v>
      </c>
      <c r="H175" s="177" t="str">
        <f>IFERROR(IF($E175="Yes","IPP",VLOOKUP($J175,'ELA Reading Logic'!$A$13:$K$19,VLOOKUP("September",'ELA Reading Logic'!$J$22:$K$31,2,FALSE),FALSE)),"Set Grade")</f>
        <v>Set Grade</v>
      </c>
      <c r="I175" s="96" t="str">
        <f>IF($E175="Yes","IPP",IFERROR(IF(AND(F175&gt;G175,F175&lt;H175),"0",(VLOOKUP(F175,'ELA Reading Logic'!$A$22:$B$48,2,FALSE))-(IF(VLOOKUP(F175,'ELA Reading Logic'!$A$22:$B$48,2,FALSE)&lt;=VLOOKUP(G175,'ELA Reading Logic'!$A$22:$B$48,2,FALSE),VLOOKUP(G175,'ELA Reading Logic'!$A$22:$B$48,2,FALSE),IF(VLOOKUP(F175,'ELA Reading Logic'!$A$22:$B$48,2,FALSE)&gt;=VLOOKUP(H175,'ELA Reading Logic'!$A$22:$B$48,2,FALSE),VLOOKUP(H175,'ELA Reading Logic'!$A$22:$B$48,2,FALSE),"No Score")))),"No Value"))</f>
        <v>No Value</v>
      </c>
      <c r="J175" s="178"/>
      <c r="K175" s="96"/>
      <c r="L175" s="96"/>
      <c r="M175" s="96"/>
      <c r="N175" s="96"/>
      <c r="O175" s="96"/>
      <c r="P175" s="105"/>
      <c r="Q175" s="92"/>
      <c r="R175" s="96" t="str">
        <f>IFERROR(IF($E175="Yes","IPP",VLOOKUP($J175,'ELA Reading Logic'!$A$3:$K$9,VLOOKUP(Q$1,'ELA Reading Logic'!$J$22:$K$31,2,FALSE),FALSE)),"Set Grade")</f>
        <v>Set Grade</v>
      </c>
      <c r="S175" s="96" t="str">
        <f>IFERROR(IF($E175="Yes","IPP",VLOOKUP($J175,'ELA Reading Logic'!$A$13:$K$19,VLOOKUP(Q$1,'ELA Reading Logic'!$J$22:$K$31,2,FALSE),FALSE)),"Set Grade")</f>
        <v>Set Grade</v>
      </c>
      <c r="T175" s="96" t="str">
        <f>IF($E175="Yes","IPP",IFERROR(IF(AND(Q175&gt;R175,Q175&lt;S175),"0",(VLOOKUP(Q175,'ELA Reading Logic'!$A$22:$B$48,2,FALSE))-(IF(VLOOKUP(Q175,'ELA Reading Logic'!$A$22:$B$48,2,FALSE)&lt;=VLOOKUP(R175,'ELA Reading Logic'!$A$22:$B$48,2,FALSE),VLOOKUP(R175,'ELA Reading Logic'!$A$22:$B$48,2,FALSE),IF(VLOOKUP(Q175,'ELA Reading Logic'!$A$22:$B$48,2,FALSE)&gt;=VLOOKUP(S175,'ELA Reading Logic'!$A$22:$B$48,2,FALSE),VLOOKUP(S175,'ELA Reading Logic'!$A$22:$B$48,2,FALSE),"No Score")))),"No Value"))</f>
        <v>No Value</v>
      </c>
      <c r="U175" s="96" t="str">
        <f>IFERROR(VLOOKUP(Q175,'ELA Reading Logic'!$A$22:$B$48,2,FALSE)-VLOOKUP($F175,'ELA Reading Logic'!$A$22:$B$48,2,FALSE),"No Value")</f>
        <v>No Value</v>
      </c>
      <c r="V175" s="92"/>
      <c r="W175" s="96" t="str">
        <f>IFERROR(IF($E175="Yes","IPP",VLOOKUP($J175,'ELA Reading Logic'!$A$3:$K$9,VLOOKUP(V$1,'ELA Reading Logic'!$J$22:$K$31,2,FALSE),FALSE)),"Set Grade")</f>
        <v>Set Grade</v>
      </c>
      <c r="X175" s="96" t="str">
        <f>IFERROR(IF($E175="Yes","IPP",VLOOKUP($J175,'ELA Reading Logic'!$A$13:$K$19,VLOOKUP(V$1,'ELA Reading Logic'!$J$22:$K$31,2,FALSE),FALSE)),"Set Grade")</f>
        <v>Set Grade</v>
      </c>
      <c r="Y175" s="96" t="str">
        <f>IF($E175="Yes","IPP",IFERROR(IF(AND(V175&gt;W175,V175&lt;X175),"0",(VLOOKUP(V175,'ELA Reading Logic'!$A$22:$B$48,2,FALSE))-(IF(VLOOKUP(V175,'ELA Reading Logic'!$A$22:$B$48,2,FALSE)&lt;=VLOOKUP(W175,'ELA Reading Logic'!$A$22:$B$48,2,FALSE),VLOOKUP(W175,'ELA Reading Logic'!$A$22:$B$48,2,FALSE),IF(VLOOKUP(V175,'ELA Reading Logic'!$A$22:$B$48,2,FALSE)&gt;=VLOOKUP(X175,'ELA Reading Logic'!$A$22:$B$48,2,FALSE),VLOOKUP(X175,'ELA Reading Logic'!$A$22:$B$48,2,FALSE),"No Score")))),"No Value"))</f>
        <v>No Value</v>
      </c>
      <c r="Z175" s="96" t="str">
        <f>IFERROR(VLOOKUP(V175,'ELA Reading Logic'!$A$22:$B$48,2,FALSE)-VLOOKUP($F175,'ELA Reading Logic'!$A$22:$B$48,2,FALSE),"No Value")</f>
        <v>No Value</v>
      </c>
      <c r="AA175" s="92"/>
      <c r="AB175" s="96" t="str">
        <f>IFERROR(IF($E175="Yes","IPP",VLOOKUP($J175,'ELA Reading Logic'!$A$3:$K$9,VLOOKUP(AA$1,'ELA Reading Logic'!$J$22:$K$31,2,FALSE),FALSE)),"Set Grade")</f>
        <v>Set Grade</v>
      </c>
      <c r="AC175" s="96" t="str">
        <f>IFERROR(IF($E175="Yes","IPP",VLOOKUP($J175,'ELA Reading Logic'!$A$13:$K$19,VLOOKUP(AA$1,'ELA Reading Logic'!$J$22:$K$31,2,FALSE),FALSE)),"Set Grade")</f>
        <v>Set Grade</v>
      </c>
      <c r="AD175" s="96" t="str">
        <f>IF($E175="Yes","IPP",IFERROR(IF(AND(AA175&gt;AB175,AA175&lt;AC175),"0",(VLOOKUP(AA175,'ELA Reading Logic'!$A$22:$B$48,2,FALSE))-(IF(VLOOKUP(AA175,'ELA Reading Logic'!$A$22:$B$48,2,FALSE)&lt;=VLOOKUP(AB175,'ELA Reading Logic'!$A$22:$B$48,2,FALSE),VLOOKUP(AB175,'ELA Reading Logic'!$A$22:$B$48,2,FALSE),IF(VLOOKUP(AA175,'ELA Reading Logic'!$A$22:$B$48,2,FALSE)&gt;=VLOOKUP(AC175,'ELA Reading Logic'!$A$22:$B$48,2,FALSE),VLOOKUP(AC175,'ELA Reading Logic'!$A$22:$B$48,2,FALSE),"No Score")))),"No Value"))</f>
        <v>No Value</v>
      </c>
      <c r="AE175" s="96" t="str">
        <f>IFERROR(VLOOKUP(AA175,'ELA Reading Logic'!$A$22:$B$48,2,FALSE)-VLOOKUP($F175,'ELA Reading Logic'!$A$22:$B$48,2,FALSE),"No Value")</f>
        <v>No Value</v>
      </c>
      <c r="AF175" s="92"/>
      <c r="AG175" s="96" t="str">
        <f>IFERROR(IF($E175="Yes","IPP",VLOOKUP($J175,'ELA Reading Logic'!$A$3:$K$9,VLOOKUP(AF$1,'ELA Reading Logic'!$J$22:$K$31,2,FALSE),FALSE)),"Set Grade")</f>
        <v>Set Grade</v>
      </c>
      <c r="AH175" s="96" t="str">
        <f>IFERROR(IF($E175="Yes","IPP",VLOOKUP($J175,'ELA Reading Logic'!$A$13:$K$19,VLOOKUP(AF$1,'ELA Reading Logic'!$J$22:$K$31,2,FALSE),FALSE)),"Set Grade")</f>
        <v>Set Grade</v>
      </c>
      <c r="AI175" s="96" t="str">
        <f>IF($E175="Yes","IPP",IFERROR(IF(AND(AF175&gt;AG175,AF175&lt;AH175),"0",(VLOOKUP(AF175,'ELA Reading Logic'!$A$22:$B$48,2,FALSE))-(IF(VLOOKUP(AF175,'ELA Reading Logic'!$A$22:$B$48,2,FALSE)&lt;=VLOOKUP(AG175,'ELA Reading Logic'!$A$22:$B$48,2,FALSE),VLOOKUP(AG175,'ELA Reading Logic'!$A$22:$B$48,2,FALSE),IF(VLOOKUP(AF175,'ELA Reading Logic'!$A$22:$B$48,2,FALSE)&gt;=VLOOKUP(AH175,'ELA Reading Logic'!$A$22:$B$48,2,FALSE),VLOOKUP(AH175,'ELA Reading Logic'!$A$22:$B$48,2,FALSE),"No Score")))),"No Value"))</f>
        <v>No Value</v>
      </c>
      <c r="AJ175" s="96" t="str">
        <f>IFERROR(VLOOKUP(AF175,'ELA Reading Logic'!$A$22:$B$48,2,FALSE)-VLOOKUP($F175,'ELA Reading Logic'!$A$22:$B$48,2,FALSE),"No Value")</f>
        <v>No Value</v>
      </c>
      <c r="AK175" s="92"/>
      <c r="AL175" s="96" t="str">
        <f>IFERROR(IF($E175="Yes","IPP",VLOOKUP($J175,'ELA Reading Logic'!$A$3:$K$9,VLOOKUP(AK$1,'ELA Reading Logic'!$J$22:$K$31,2,FALSE),FALSE)),"Set Grade")</f>
        <v>Set Grade</v>
      </c>
      <c r="AM175" s="96" t="str">
        <f>IFERROR(IF($E175="Yes","IPP",VLOOKUP($J175,'ELA Reading Logic'!$A$13:$K$19,VLOOKUP(AK$1,'ELA Reading Logic'!$J$22:$K$31,2,FALSE),FALSE)),"Set Grade")</f>
        <v>Set Grade</v>
      </c>
      <c r="AN175" s="96" t="str">
        <f>IF($E175="Yes","IPP",IFERROR(IF(AND(AK175&gt;AL175,AK175&lt;AM175),"0",(VLOOKUP(AK175,'ELA Reading Logic'!$A$22:$B$48,2,FALSE))-(IF(VLOOKUP(AK175,'ELA Reading Logic'!$A$22:$B$48,2,FALSE)&lt;=VLOOKUP(AL175,'ELA Reading Logic'!$A$22:$B$48,2,FALSE),VLOOKUP(AL175,'ELA Reading Logic'!$A$22:$B$48,2,FALSE),IF(VLOOKUP(AK175,'ELA Reading Logic'!$A$22:$B$48,2,FALSE)&gt;=VLOOKUP(AM175,'ELA Reading Logic'!$A$22:$B$48,2,FALSE),VLOOKUP(AM175,'ELA Reading Logic'!$A$22:$B$48,2,FALSE),"No Score")))),"No Value"))</f>
        <v>No Value</v>
      </c>
      <c r="AO175" s="96" t="str">
        <f>IFERROR(VLOOKUP(AK175,'ELA Reading Logic'!$A$22:$B$48,2,FALSE)-VLOOKUP($F175,'ELA Reading Logic'!$A$22:$B$48,2,FALSE),"No Value")</f>
        <v>No Value</v>
      </c>
      <c r="AP175" s="92"/>
      <c r="AQ175" s="96" t="str">
        <f>IFERROR(IF($E175="Yes","IPP",VLOOKUP($J175,'ELA Reading Logic'!$A$3:$K$9,VLOOKUP(AP$1,'ELA Reading Logic'!$J$22:$K$31,2,FALSE),FALSE)),"Set Grade")</f>
        <v>Set Grade</v>
      </c>
      <c r="AR175" s="96" t="str">
        <f>IFERROR(IF($E175="Yes","IPP",VLOOKUP($J175,'ELA Reading Logic'!$A$13:$K$19,VLOOKUP(AP$1,'ELA Reading Logic'!$J$22:$K$31,2,FALSE),FALSE)),"Set Grade")</f>
        <v>Set Grade</v>
      </c>
      <c r="AS175" s="96" t="str">
        <f>IF($E175="Yes","IPP",IFERROR(IF(AND(AP175&gt;AQ175,AP175&lt;AR175),"0",(VLOOKUP(AP175,'ELA Reading Logic'!$A$22:$B$48,2,FALSE))-(IF(VLOOKUP(AP175,'ELA Reading Logic'!$A$22:$B$48,2,FALSE)&lt;=VLOOKUP(AQ175,'ELA Reading Logic'!$A$22:$B$48,2,FALSE),VLOOKUP(AQ175,'ELA Reading Logic'!$A$22:$B$48,2,FALSE),IF(VLOOKUP(AP175,'ELA Reading Logic'!$A$22:$B$48,2,FALSE)&gt;=VLOOKUP(AR175,'ELA Reading Logic'!$A$22:$B$48,2,FALSE),VLOOKUP(AR175,'ELA Reading Logic'!$A$22:$B$48,2,FALSE),"No Score")))),"No Value"))</f>
        <v>No Value</v>
      </c>
      <c r="AT175" s="96" t="str">
        <f>IFERROR(VLOOKUP(AP175,'ELA Reading Logic'!$A$22:$B$48,2,FALSE)-VLOOKUP($F175,'ELA Reading Logic'!$A$22:$B$48,2,FALSE),"No Value")</f>
        <v>No Value</v>
      </c>
    </row>
    <row r="176" spans="1:46" ht="22.5" customHeight="1" x14ac:dyDescent="0.25">
      <c r="A176" s="176"/>
      <c r="B176" s="176"/>
      <c r="C176" s="176"/>
      <c r="D176" s="176"/>
      <c r="E176" s="175"/>
      <c r="F176" s="175"/>
      <c r="G176" s="177" t="str">
        <f>IFERROR(IF($E176="Yes","IPP",VLOOKUP($J176,'ELA Reading Logic'!$A$3:$K$9,VLOOKUP("September",'ELA Reading Logic'!$J$22:$K$31,2,FALSE),FALSE)),"Set Grade")</f>
        <v>Set Grade</v>
      </c>
      <c r="H176" s="177" t="str">
        <f>IFERROR(IF($E176="Yes","IPP",VLOOKUP($J176,'ELA Reading Logic'!$A$13:$K$19,VLOOKUP("September",'ELA Reading Logic'!$J$22:$K$31,2,FALSE),FALSE)),"Set Grade")</f>
        <v>Set Grade</v>
      </c>
      <c r="I176" s="96" t="str">
        <f>IF($E176="Yes","IPP",IFERROR(IF(AND(F176&gt;G176,F176&lt;H176),"0",(VLOOKUP(F176,'ELA Reading Logic'!$A$22:$B$48,2,FALSE))-(IF(VLOOKUP(F176,'ELA Reading Logic'!$A$22:$B$48,2,FALSE)&lt;=VLOOKUP(G176,'ELA Reading Logic'!$A$22:$B$48,2,FALSE),VLOOKUP(G176,'ELA Reading Logic'!$A$22:$B$48,2,FALSE),IF(VLOOKUP(F176,'ELA Reading Logic'!$A$22:$B$48,2,FALSE)&gt;=VLOOKUP(H176,'ELA Reading Logic'!$A$22:$B$48,2,FALSE),VLOOKUP(H176,'ELA Reading Logic'!$A$22:$B$48,2,FALSE),"No Score")))),"No Value"))</f>
        <v>No Value</v>
      </c>
      <c r="J176" s="178"/>
      <c r="K176" s="96"/>
      <c r="L176" s="96"/>
      <c r="M176" s="96"/>
      <c r="N176" s="96"/>
      <c r="O176" s="96"/>
      <c r="P176" s="105"/>
      <c r="Q176" s="92"/>
      <c r="R176" s="96" t="str">
        <f>IFERROR(IF($E176="Yes","IPP",VLOOKUP($J176,'ELA Reading Logic'!$A$3:$K$9,VLOOKUP(Q$1,'ELA Reading Logic'!$J$22:$K$31,2,FALSE),FALSE)),"Set Grade")</f>
        <v>Set Grade</v>
      </c>
      <c r="S176" s="96" t="str">
        <f>IFERROR(IF($E176="Yes","IPP",VLOOKUP($J176,'ELA Reading Logic'!$A$13:$K$19,VLOOKUP(Q$1,'ELA Reading Logic'!$J$22:$K$31,2,FALSE),FALSE)),"Set Grade")</f>
        <v>Set Grade</v>
      </c>
      <c r="T176" s="96" t="str">
        <f>IF($E176="Yes","IPP",IFERROR(IF(AND(Q176&gt;R176,Q176&lt;S176),"0",(VLOOKUP(Q176,'ELA Reading Logic'!$A$22:$B$48,2,FALSE))-(IF(VLOOKUP(Q176,'ELA Reading Logic'!$A$22:$B$48,2,FALSE)&lt;=VLOOKUP(R176,'ELA Reading Logic'!$A$22:$B$48,2,FALSE),VLOOKUP(R176,'ELA Reading Logic'!$A$22:$B$48,2,FALSE),IF(VLOOKUP(Q176,'ELA Reading Logic'!$A$22:$B$48,2,FALSE)&gt;=VLOOKUP(S176,'ELA Reading Logic'!$A$22:$B$48,2,FALSE),VLOOKUP(S176,'ELA Reading Logic'!$A$22:$B$48,2,FALSE),"No Score")))),"No Value"))</f>
        <v>No Value</v>
      </c>
      <c r="U176" s="96" t="str">
        <f>IFERROR(VLOOKUP(Q176,'ELA Reading Logic'!$A$22:$B$48,2,FALSE)-VLOOKUP($F176,'ELA Reading Logic'!$A$22:$B$48,2,FALSE),"No Value")</f>
        <v>No Value</v>
      </c>
      <c r="V176" s="92"/>
      <c r="W176" s="96" t="str">
        <f>IFERROR(IF($E176="Yes","IPP",VLOOKUP($J176,'ELA Reading Logic'!$A$3:$K$9,VLOOKUP(V$1,'ELA Reading Logic'!$J$22:$K$31,2,FALSE),FALSE)),"Set Grade")</f>
        <v>Set Grade</v>
      </c>
      <c r="X176" s="96" t="str">
        <f>IFERROR(IF($E176="Yes","IPP",VLOOKUP($J176,'ELA Reading Logic'!$A$13:$K$19,VLOOKUP(V$1,'ELA Reading Logic'!$J$22:$K$31,2,FALSE),FALSE)),"Set Grade")</f>
        <v>Set Grade</v>
      </c>
      <c r="Y176" s="96" t="str">
        <f>IF($E176="Yes","IPP",IFERROR(IF(AND(V176&gt;W176,V176&lt;X176),"0",(VLOOKUP(V176,'ELA Reading Logic'!$A$22:$B$48,2,FALSE))-(IF(VLOOKUP(V176,'ELA Reading Logic'!$A$22:$B$48,2,FALSE)&lt;=VLOOKUP(W176,'ELA Reading Logic'!$A$22:$B$48,2,FALSE),VLOOKUP(W176,'ELA Reading Logic'!$A$22:$B$48,2,FALSE),IF(VLOOKUP(V176,'ELA Reading Logic'!$A$22:$B$48,2,FALSE)&gt;=VLOOKUP(X176,'ELA Reading Logic'!$A$22:$B$48,2,FALSE),VLOOKUP(X176,'ELA Reading Logic'!$A$22:$B$48,2,FALSE),"No Score")))),"No Value"))</f>
        <v>No Value</v>
      </c>
      <c r="Z176" s="96" t="str">
        <f>IFERROR(VLOOKUP(V176,'ELA Reading Logic'!$A$22:$B$48,2,FALSE)-VLOOKUP($F176,'ELA Reading Logic'!$A$22:$B$48,2,FALSE),"No Value")</f>
        <v>No Value</v>
      </c>
      <c r="AA176" s="92"/>
      <c r="AB176" s="96" t="str">
        <f>IFERROR(IF($E176="Yes","IPP",VLOOKUP($J176,'ELA Reading Logic'!$A$3:$K$9,VLOOKUP(AA$1,'ELA Reading Logic'!$J$22:$K$31,2,FALSE),FALSE)),"Set Grade")</f>
        <v>Set Grade</v>
      </c>
      <c r="AC176" s="96" t="str">
        <f>IFERROR(IF($E176="Yes","IPP",VLOOKUP($J176,'ELA Reading Logic'!$A$13:$K$19,VLOOKUP(AA$1,'ELA Reading Logic'!$J$22:$K$31,2,FALSE),FALSE)),"Set Grade")</f>
        <v>Set Grade</v>
      </c>
      <c r="AD176" s="96" t="str">
        <f>IF($E176="Yes","IPP",IFERROR(IF(AND(AA176&gt;AB176,AA176&lt;AC176),"0",(VLOOKUP(AA176,'ELA Reading Logic'!$A$22:$B$48,2,FALSE))-(IF(VLOOKUP(AA176,'ELA Reading Logic'!$A$22:$B$48,2,FALSE)&lt;=VLOOKUP(AB176,'ELA Reading Logic'!$A$22:$B$48,2,FALSE),VLOOKUP(AB176,'ELA Reading Logic'!$A$22:$B$48,2,FALSE),IF(VLOOKUP(AA176,'ELA Reading Logic'!$A$22:$B$48,2,FALSE)&gt;=VLOOKUP(AC176,'ELA Reading Logic'!$A$22:$B$48,2,FALSE),VLOOKUP(AC176,'ELA Reading Logic'!$A$22:$B$48,2,FALSE),"No Score")))),"No Value"))</f>
        <v>No Value</v>
      </c>
      <c r="AE176" s="96" t="str">
        <f>IFERROR(VLOOKUP(AA176,'ELA Reading Logic'!$A$22:$B$48,2,FALSE)-VLOOKUP($F176,'ELA Reading Logic'!$A$22:$B$48,2,FALSE),"No Value")</f>
        <v>No Value</v>
      </c>
      <c r="AF176" s="92"/>
      <c r="AG176" s="96" t="str">
        <f>IFERROR(IF($E176="Yes","IPP",VLOOKUP($J176,'ELA Reading Logic'!$A$3:$K$9,VLOOKUP(AF$1,'ELA Reading Logic'!$J$22:$K$31,2,FALSE),FALSE)),"Set Grade")</f>
        <v>Set Grade</v>
      </c>
      <c r="AH176" s="96" t="str">
        <f>IFERROR(IF($E176="Yes","IPP",VLOOKUP($J176,'ELA Reading Logic'!$A$13:$K$19,VLOOKUP(AF$1,'ELA Reading Logic'!$J$22:$K$31,2,FALSE),FALSE)),"Set Grade")</f>
        <v>Set Grade</v>
      </c>
      <c r="AI176" s="96" t="str">
        <f>IF($E176="Yes","IPP",IFERROR(IF(AND(AF176&gt;AG176,AF176&lt;AH176),"0",(VLOOKUP(AF176,'ELA Reading Logic'!$A$22:$B$48,2,FALSE))-(IF(VLOOKUP(AF176,'ELA Reading Logic'!$A$22:$B$48,2,FALSE)&lt;=VLOOKUP(AG176,'ELA Reading Logic'!$A$22:$B$48,2,FALSE),VLOOKUP(AG176,'ELA Reading Logic'!$A$22:$B$48,2,FALSE),IF(VLOOKUP(AF176,'ELA Reading Logic'!$A$22:$B$48,2,FALSE)&gt;=VLOOKUP(AH176,'ELA Reading Logic'!$A$22:$B$48,2,FALSE),VLOOKUP(AH176,'ELA Reading Logic'!$A$22:$B$48,2,FALSE),"No Score")))),"No Value"))</f>
        <v>No Value</v>
      </c>
      <c r="AJ176" s="96" t="str">
        <f>IFERROR(VLOOKUP(AF176,'ELA Reading Logic'!$A$22:$B$48,2,FALSE)-VLOOKUP($F176,'ELA Reading Logic'!$A$22:$B$48,2,FALSE),"No Value")</f>
        <v>No Value</v>
      </c>
      <c r="AK176" s="92"/>
      <c r="AL176" s="96" t="str">
        <f>IFERROR(IF($E176="Yes","IPP",VLOOKUP($J176,'ELA Reading Logic'!$A$3:$K$9,VLOOKUP(AK$1,'ELA Reading Logic'!$J$22:$K$31,2,FALSE),FALSE)),"Set Grade")</f>
        <v>Set Grade</v>
      </c>
      <c r="AM176" s="96" t="str">
        <f>IFERROR(IF($E176="Yes","IPP",VLOOKUP($J176,'ELA Reading Logic'!$A$13:$K$19,VLOOKUP(AK$1,'ELA Reading Logic'!$J$22:$K$31,2,FALSE),FALSE)),"Set Grade")</f>
        <v>Set Grade</v>
      </c>
      <c r="AN176" s="96" t="str">
        <f>IF($E176="Yes","IPP",IFERROR(IF(AND(AK176&gt;AL176,AK176&lt;AM176),"0",(VLOOKUP(AK176,'ELA Reading Logic'!$A$22:$B$48,2,FALSE))-(IF(VLOOKUP(AK176,'ELA Reading Logic'!$A$22:$B$48,2,FALSE)&lt;=VLOOKUP(AL176,'ELA Reading Logic'!$A$22:$B$48,2,FALSE),VLOOKUP(AL176,'ELA Reading Logic'!$A$22:$B$48,2,FALSE),IF(VLOOKUP(AK176,'ELA Reading Logic'!$A$22:$B$48,2,FALSE)&gt;=VLOOKUP(AM176,'ELA Reading Logic'!$A$22:$B$48,2,FALSE),VLOOKUP(AM176,'ELA Reading Logic'!$A$22:$B$48,2,FALSE),"No Score")))),"No Value"))</f>
        <v>No Value</v>
      </c>
      <c r="AO176" s="96" t="str">
        <f>IFERROR(VLOOKUP(AK176,'ELA Reading Logic'!$A$22:$B$48,2,FALSE)-VLOOKUP($F176,'ELA Reading Logic'!$A$22:$B$48,2,FALSE),"No Value")</f>
        <v>No Value</v>
      </c>
      <c r="AP176" s="92"/>
      <c r="AQ176" s="96" t="str">
        <f>IFERROR(IF($E176="Yes","IPP",VLOOKUP($J176,'ELA Reading Logic'!$A$3:$K$9,VLOOKUP(AP$1,'ELA Reading Logic'!$J$22:$K$31,2,FALSE),FALSE)),"Set Grade")</f>
        <v>Set Grade</v>
      </c>
      <c r="AR176" s="96" t="str">
        <f>IFERROR(IF($E176="Yes","IPP",VLOOKUP($J176,'ELA Reading Logic'!$A$13:$K$19,VLOOKUP(AP$1,'ELA Reading Logic'!$J$22:$K$31,2,FALSE),FALSE)),"Set Grade")</f>
        <v>Set Grade</v>
      </c>
      <c r="AS176" s="96" t="str">
        <f>IF($E176="Yes","IPP",IFERROR(IF(AND(AP176&gt;AQ176,AP176&lt;AR176),"0",(VLOOKUP(AP176,'ELA Reading Logic'!$A$22:$B$48,2,FALSE))-(IF(VLOOKUP(AP176,'ELA Reading Logic'!$A$22:$B$48,2,FALSE)&lt;=VLOOKUP(AQ176,'ELA Reading Logic'!$A$22:$B$48,2,FALSE),VLOOKUP(AQ176,'ELA Reading Logic'!$A$22:$B$48,2,FALSE),IF(VLOOKUP(AP176,'ELA Reading Logic'!$A$22:$B$48,2,FALSE)&gt;=VLOOKUP(AR176,'ELA Reading Logic'!$A$22:$B$48,2,FALSE),VLOOKUP(AR176,'ELA Reading Logic'!$A$22:$B$48,2,FALSE),"No Score")))),"No Value"))</f>
        <v>No Value</v>
      </c>
      <c r="AT176" s="96" t="str">
        <f>IFERROR(VLOOKUP(AP176,'ELA Reading Logic'!$A$22:$B$48,2,FALSE)-VLOOKUP($F176,'ELA Reading Logic'!$A$22:$B$48,2,FALSE),"No Value")</f>
        <v>No Value</v>
      </c>
    </row>
    <row r="177" spans="1:46" ht="22.5" customHeight="1" x14ac:dyDescent="0.25">
      <c r="A177" s="174"/>
      <c r="B177" s="174"/>
      <c r="C177" s="174"/>
      <c r="D177" s="174"/>
      <c r="E177" s="175"/>
      <c r="F177" s="175"/>
      <c r="G177" s="177" t="str">
        <f>IFERROR(IF($E177="Yes","IPP",VLOOKUP($J177,'ELA Reading Logic'!$A$3:$K$9,VLOOKUP("September",'ELA Reading Logic'!$J$22:$K$31,2,FALSE),FALSE)),"Set Grade")</f>
        <v>Set Grade</v>
      </c>
      <c r="H177" s="177" t="str">
        <f>IFERROR(IF($E177="Yes","IPP",VLOOKUP($J177,'ELA Reading Logic'!$A$13:$K$19,VLOOKUP("September",'ELA Reading Logic'!$J$22:$K$31,2,FALSE),FALSE)),"Set Grade")</f>
        <v>Set Grade</v>
      </c>
      <c r="I177" s="96" t="str">
        <f>IF($E177="Yes","IPP",IFERROR(IF(AND(F177&gt;G177,F177&lt;H177),"0",(VLOOKUP(F177,'ELA Reading Logic'!$A$22:$B$48,2,FALSE))-(IF(VLOOKUP(F177,'ELA Reading Logic'!$A$22:$B$48,2,FALSE)&lt;=VLOOKUP(G177,'ELA Reading Logic'!$A$22:$B$48,2,FALSE),VLOOKUP(G177,'ELA Reading Logic'!$A$22:$B$48,2,FALSE),IF(VLOOKUP(F177,'ELA Reading Logic'!$A$22:$B$48,2,FALSE)&gt;=VLOOKUP(H177,'ELA Reading Logic'!$A$22:$B$48,2,FALSE),VLOOKUP(H177,'ELA Reading Logic'!$A$22:$B$48,2,FALSE),"No Score")))),"No Value"))</f>
        <v>No Value</v>
      </c>
      <c r="J177" s="178"/>
      <c r="K177" s="96"/>
      <c r="L177" s="96"/>
      <c r="M177" s="96"/>
      <c r="N177" s="96"/>
      <c r="O177" s="96"/>
      <c r="P177" s="105"/>
      <c r="Q177" s="92"/>
      <c r="R177" s="96" t="str">
        <f>IFERROR(IF($E177="Yes","IPP",VLOOKUP($J177,'ELA Reading Logic'!$A$3:$K$9,VLOOKUP(Q$1,'ELA Reading Logic'!$J$22:$K$31,2,FALSE),FALSE)),"Set Grade")</f>
        <v>Set Grade</v>
      </c>
      <c r="S177" s="96" t="str">
        <f>IFERROR(IF($E177="Yes","IPP",VLOOKUP($J177,'ELA Reading Logic'!$A$13:$K$19,VLOOKUP(Q$1,'ELA Reading Logic'!$J$22:$K$31,2,FALSE),FALSE)),"Set Grade")</f>
        <v>Set Grade</v>
      </c>
      <c r="T177" s="96" t="str">
        <f>IF($E177="Yes","IPP",IFERROR(IF(AND(Q177&gt;R177,Q177&lt;S177),"0",(VLOOKUP(Q177,'ELA Reading Logic'!$A$22:$B$48,2,FALSE))-(IF(VLOOKUP(Q177,'ELA Reading Logic'!$A$22:$B$48,2,FALSE)&lt;=VLOOKUP(R177,'ELA Reading Logic'!$A$22:$B$48,2,FALSE),VLOOKUP(R177,'ELA Reading Logic'!$A$22:$B$48,2,FALSE),IF(VLOOKUP(Q177,'ELA Reading Logic'!$A$22:$B$48,2,FALSE)&gt;=VLOOKUP(S177,'ELA Reading Logic'!$A$22:$B$48,2,FALSE),VLOOKUP(S177,'ELA Reading Logic'!$A$22:$B$48,2,FALSE),"No Score")))),"No Value"))</f>
        <v>No Value</v>
      </c>
      <c r="U177" s="96" t="str">
        <f>IFERROR(VLOOKUP(Q177,'ELA Reading Logic'!$A$22:$B$48,2,FALSE)-VLOOKUP($F177,'ELA Reading Logic'!$A$22:$B$48,2,FALSE),"No Value")</f>
        <v>No Value</v>
      </c>
      <c r="V177" s="92"/>
      <c r="W177" s="96" t="str">
        <f>IFERROR(IF($E177="Yes","IPP",VLOOKUP($J177,'ELA Reading Logic'!$A$3:$K$9,VLOOKUP(V$1,'ELA Reading Logic'!$J$22:$K$31,2,FALSE),FALSE)),"Set Grade")</f>
        <v>Set Grade</v>
      </c>
      <c r="X177" s="96" t="str">
        <f>IFERROR(IF($E177="Yes","IPP",VLOOKUP($J177,'ELA Reading Logic'!$A$13:$K$19,VLOOKUP(V$1,'ELA Reading Logic'!$J$22:$K$31,2,FALSE),FALSE)),"Set Grade")</f>
        <v>Set Grade</v>
      </c>
      <c r="Y177" s="96" t="str">
        <f>IF($E177="Yes","IPP",IFERROR(IF(AND(V177&gt;W177,V177&lt;X177),"0",(VLOOKUP(V177,'ELA Reading Logic'!$A$22:$B$48,2,FALSE))-(IF(VLOOKUP(V177,'ELA Reading Logic'!$A$22:$B$48,2,FALSE)&lt;=VLOOKUP(W177,'ELA Reading Logic'!$A$22:$B$48,2,FALSE),VLOOKUP(W177,'ELA Reading Logic'!$A$22:$B$48,2,FALSE),IF(VLOOKUP(V177,'ELA Reading Logic'!$A$22:$B$48,2,FALSE)&gt;=VLOOKUP(X177,'ELA Reading Logic'!$A$22:$B$48,2,FALSE),VLOOKUP(X177,'ELA Reading Logic'!$A$22:$B$48,2,FALSE),"No Score")))),"No Value"))</f>
        <v>No Value</v>
      </c>
      <c r="Z177" s="96" t="str">
        <f>IFERROR(VLOOKUP(V177,'ELA Reading Logic'!$A$22:$B$48,2,FALSE)-VLOOKUP($F177,'ELA Reading Logic'!$A$22:$B$48,2,FALSE),"No Value")</f>
        <v>No Value</v>
      </c>
      <c r="AA177" s="92"/>
      <c r="AB177" s="96" t="str">
        <f>IFERROR(IF($E177="Yes","IPP",VLOOKUP($J177,'ELA Reading Logic'!$A$3:$K$9,VLOOKUP(AA$1,'ELA Reading Logic'!$J$22:$K$31,2,FALSE),FALSE)),"Set Grade")</f>
        <v>Set Grade</v>
      </c>
      <c r="AC177" s="96" t="str">
        <f>IFERROR(IF($E177="Yes","IPP",VLOOKUP($J177,'ELA Reading Logic'!$A$13:$K$19,VLOOKUP(AA$1,'ELA Reading Logic'!$J$22:$K$31,2,FALSE),FALSE)),"Set Grade")</f>
        <v>Set Grade</v>
      </c>
      <c r="AD177" s="96" t="str">
        <f>IF($E177="Yes","IPP",IFERROR(IF(AND(AA177&gt;AB177,AA177&lt;AC177),"0",(VLOOKUP(AA177,'ELA Reading Logic'!$A$22:$B$48,2,FALSE))-(IF(VLOOKUP(AA177,'ELA Reading Logic'!$A$22:$B$48,2,FALSE)&lt;=VLOOKUP(AB177,'ELA Reading Logic'!$A$22:$B$48,2,FALSE),VLOOKUP(AB177,'ELA Reading Logic'!$A$22:$B$48,2,FALSE),IF(VLOOKUP(AA177,'ELA Reading Logic'!$A$22:$B$48,2,FALSE)&gt;=VLOOKUP(AC177,'ELA Reading Logic'!$A$22:$B$48,2,FALSE),VLOOKUP(AC177,'ELA Reading Logic'!$A$22:$B$48,2,FALSE),"No Score")))),"No Value"))</f>
        <v>No Value</v>
      </c>
      <c r="AE177" s="96" t="str">
        <f>IFERROR(VLOOKUP(AA177,'ELA Reading Logic'!$A$22:$B$48,2,FALSE)-VLOOKUP($F177,'ELA Reading Logic'!$A$22:$B$48,2,FALSE),"No Value")</f>
        <v>No Value</v>
      </c>
      <c r="AF177" s="92"/>
      <c r="AG177" s="96" t="str">
        <f>IFERROR(IF($E177="Yes","IPP",VLOOKUP($J177,'ELA Reading Logic'!$A$3:$K$9,VLOOKUP(AF$1,'ELA Reading Logic'!$J$22:$K$31,2,FALSE),FALSE)),"Set Grade")</f>
        <v>Set Grade</v>
      </c>
      <c r="AH177" s="96" t="str">
        <f>IFERROR(IF($E177="Yes","IPP",VLOOKUP($J177,'ELA Reading Logic'!$A$13:$K$19,VLOOKUP(AF$1,'ELA Reading Logic'!$J$22:$K$31,2,FALSE),FALSE)),"Set Grade")</f>
        <v>Set Grade</v>
      </c>
      <c r="AI177" s="96" t="str">
        <f>IF($E177="Yes","IPP",IFERROR(IF(AND(AF177&gt;AG177,AF177&lt;AH177),"0",(VLOOKUP(AF177,'ELA Reading Logic'!$A$22:$B$48,2,FALSE))-(IF(VLOOKUP(AF177,'ELA Reading Logic'!$A$22:$B$48,2,FALSE)&lt;=VLOOKUP(AG177,'ELA Reading Logic'!$A$22:$B$48,2,FALSE),VLOOKUP(AG177,'ELA Reading Logic'!$A$22:$B$48,2,FALSE),IF(VLOOKUP(AF177,'ELA Reading Logic'!$A$22:$B$48,2,FALSE)&gt;=VLOOKUP(AH177,'ELA Reading Logic'!$A$22:$B$48,2,FALSE),VLOOKUP(AH177,'ELA Reading Logic'!$A$22:$B$48,2,FALSE),"No Score")))),"No Value"))</f>
        <v>No Value</v>
      </c>
      <c r="AJ177" s="96" t="str">
        <f>IFERROR(VLOOKUP(AF177,'ELA Reading Logic'!$A$22:$B$48,2,FALSE)-VLOOKUP($F177,'ELA Reading Logic'!$A$22:$B$48,2,FALSE),"No Value")</f>
        <v>No Value</v>
      </c>
      <c r="AK177" s="92"/>
      <c r="AL177" s="96" t="str">
        <f>IFERROR(IF($E177="Yes","IPP",VLOOKUP($J177,'ELA Reading Logic'!$A$3:$K$9,VLOOKUP(AK$1,'ELA Reading Logic'!$J$22:$K$31,2,FALSE),FALSE)),"Set Grade")</f>
        <v>Set Grade</v>
      </c>
      <c r="AM177" s="96" t="str">
        <f>IFERROR(IF($E177="Yes","IPP",VLOOKUP($J177,'ELA Reading Logic'!$A$13:$K$19,VLOOKUP(AK$1,'ELA Reading Logic'!$J$22:$K$31,2,FALSE),FALSE)),"Set Grade")</f>
        <v>Set Grade</v>
      </c>
      <c r="AN177" s="96" t="str">
        <f>IF($E177="Yes","IPP",IFERROR(IF(AND(AK177&gt;AL177,AK177&lt;AM177),"0",(VLOOKUP(AK177,'ELA Reading Logic'!$A$22:$B$48,2,FALSE))-(IF(VLOOKUP(AK177,'ELA Reading Logic'!$A$22:$B$48,2,FALSE)&lt;=VLOOKUP(AL177,'ELA Reading Logic'!$A$22:$B$48,2,FALSE),VLOOKUP(AL177,'ELA Reading Logic'!$A$22:$B$48,2,FALSE),IF(VLOOKUP(AK177,'ELA Reading Logic'!$A$22:$B$48,2,FALSE)&gt;=VLOOKUP(AM177,'ELA Reading Logic'!$A$22:$B$48,2,FALSE),VLOOKUP(AM177,'ELA Reading Logic'!$A$22:$B$48,2,FALSE),"No Score")))),"No Value"))</f>
        <v>No Value</v>
      </c>
      <c r="AO177" s="96" t="str">
        <f>IFERROR(VLOOKUP(AK177,'ELA Reading Logic'!$A$22:$B$48,2,FALSE)-VLOOKUP($F177,'ELA Reading Logic'!$A$22:$B$48,2,FALSE),"No Value")</f>
        <v>No Value</v>
      </c>
      <c r="AP177" s="92"/>
      <c r="AQ177" s="96" t="str">
        <f>IFERROR(IF($E177="Yes","IPP",VLOOKUP($J177,'ELA Reading Logic'!$A$3:$K$9,VLOOKUP(AP$1,'ELA Reading Logic'!$J$22:$K$31,2,FALSE),FALSE)),"Set Grade")</f>
        <v>Set Grade</v>
      </c>
      <c r="AR177" s="96" t="str">
        <f>IFERROR(IF($E177="Yes","IPP",VLOOKUP($J177,'ELA Reading Logic'!$A$13:$K$19,VLOOKUP(AP$1,'ELA Reading Logic'!$J$22:$K$31,2,FALSE),FALSE)),"Set Grade")</f>
        <v>Set Grade</v>
      </c>
      <c r="AS177" s="96" t="str">
        <f>IF($E177="Yes","IPP",IFERROR(IF(AND(AP177&gt;AQ177,AP177&lt;AR177),"0",(VLOOKUP(AP177,'ELA Reading Logic'!$A$22:$B$48,2,FALSE))-(IF(VLOOKUP(AP177,'ELA Reading Logic'!$A$22:$B$48,2,FALSE)&lt;=VLOOKUP(AQ177,'ELA Reading Logic'!$A$22:$B$48,2,FALSE),VLOOKUP(AQ177,'ELA Reading Logic'!$A$22:$B$48,2,FALSE),IF(VLOOKUP(AP177,'ELA Reading Logic'!$A$22:$B$48,2,FALSE)&gt;=VLOOKUP(AR177,'ELA Reading Logic'!$A$22:$B$48,2,FALSE),VLOOKUP(AR177,'ELA Reading Logic'!$A$22:$B$48,2,FALSE),"No Score")))),"No Value"))</f>
        <v>No Value</v>
      </c>
      <c r="AT177" s="96" t="str">
        <f>IFERROR(VLOOKUP(AP177,'ELA Reading Logic'!$A$22:$B$48,2,FALSE)-VLOOKUP($F177,'ELA Reading Logic'!$A$22:$B$48,2,FALSE),"No Value")</f>
        <v>No Value</v>
      </c>
    </row>
    <row r="178" spans="1:46" ht="22.5" customHeight="1" x14ac:dyDescent="0.25">
      <c r="A178" s="176"/>
      <c r="B178" s="176"/>
      <c r="C178" s="176"/>
      <c r="D178" s="176"/>
      <c r="E178" s="175"/>
      <c r="F178" s="175"/>
      <c r="G178" s="177" t="str">
        <f>IFERROR(IF($E178="Yes","IPP",VLOOKUP($J178,'ELA Reading Logic'!$A$3:$K$9,VLOOKUP("September",'ELA Reading Logic'!$J$22:$K$31,2,FALSE),FALSE)),"Set Grade")</f>
        <v>Set Grade</v>
      </c>
      <c r="H178" s="177" t="str">
        <f>IFERROR(IF($E178="Yes","IPP",VLOOKUP($J178,'ELA Reading Logic'!$A$13:$K$19,VLOOKUP("September",'ELA Reading Logic'!$J$22:$K$31,2,FALSE),FALSE)),"Set Grade")</f>
        <v>Set Grade</v>
      </c>
      <c r="I178" s="96" t="str">
        <f>IF($E178="Yes","IPP",IFERROR(IF(AND(F178&gt;G178,F178&lt;H178),"0",(VLOOKUP(F178,'ELA Reading Logic'!$A$22:$B$48,2,FALSE))-(IF(VLOOKUP(F178,'ELA Reading Logic'!$A$22:$B$48,2,FALSE)&lt;=VLOOKUP(G178,'ELA Reading Logic'!$A$22:$B$48,2,FALSE),VLOOKUP(G178,'ELA Reading Logic'!$A$22:$B$48,2,FALSE),IF(VLOOKUP(F178,'ELA Reading Logic'!$A$22:$B$48,2,FALSE)&gt;=VLOOKUP(H178,'ELA Reading Logic'!$A$22:$B$48,2,FALSE),VLOOKUP(H178,'ELA Reading Logic'!$A$22:$B$48,2,FALSE),"No Score")))),"No Value"))</f>
        <v>No Value</v>
      </c>
      <c r="J178" s="178"/>
      <c r="K178" s="96"/>
      <c r="L178" s="96"/>
      <c r="M178" s="96"/>
      <c r="N178" s="96"/>
      <c r="O178" s="96"/>
      <c r="P178" s="105"/>
      <c r="Q178" s="92"/>
      <c r="R178" s="96" t="str">
        <f>IFERROR(IF($E178="Yes","IPP",VLOOKUP($J178,'ELA Reading Logic'!$A$3:$K$9,VLOOKUP(Q$1,'ELA Reading Logic'!$J$22:$K$31,2,FALSE),FALSE)),"Set Grade")</f>
        <v>Set Grade</v>
      </c>
      <c r="S178" s="96" t="str">
        <f>IFERROR(IF($E178="Yes","IPP",VLOOKUP($J178,'ELA Reading Logic'!$A$13:$K$19,VLOOKUP(Q$1,'ELA Reading Logic'!$J$22:$K$31,2,FALSE),FALSE)),"Set Grade")</f>
        <v>Set Grade</v>
      </c>
      <c r="T178" s="96" t="str">
        <f>IF($E178="Yes","IPP",IFERROR(IF(AND(Q178&gt;R178,Q178&lt;S178),"0",(VLOOKUP(Q178,'ELA Reading Logic'!$A$22:$B$48,2,FALSE))-(IF(VLOOKUP(Q178,'ELA Reading Logic'!$A$22:$B$48,2,FALSE)&lt;=VLOOKUP(R178,'ELA Reading Logic'!$A$22:$B$48,2,FALSE),VLOOKUP(R178,'ELA Reading Logic'!$A$22:$B$48,2,FALSE),IF(VLOOKUP(Q178,'ELA Reading Logic'!$A$22:$B$48,2,FALSE)&gt;=VLOOKUP(S178,'ELA Reading Logic'!$A$22:$B$48,2,FALSE),VLOOKUP(S178,'ELA Reading Logic'!$A$22:$B$48,2,FALSE),"No Score")))),"No Value"))</f>
        <v>No Value</v>
      </c>
      <c r="U178" s="96" t="str">
        <f>IFERROR(VLOOKUP(Q178,'ELA Reading Logic'!$A$22:$B$48,2,FALSE)-VLOOKUP($F178,'ELA Reading Logic'!$A$22:$B$48,2,FALSE),"No Value")</f>
        <v>No Value</v>
      </c>
      <c r="V178" s="92"/>
      <c r="W178" s="96" t="str">
        <f>IFERROR(IF($E178="Yes","IPP",VLOOKUP($J178,'ELA Reading Logic'!$A$3:$K$9,VLOOKUP(V$1,'ELA Reading Logic'!$J$22:$K$31,2,FALSE),FALSE)),"Set Grade")</f>
        <v>Set Grade</v>
      </c>
      <c r="X178" s="96" t="str">
        <f>IFERROR(IF($E178="Yes","IPP",VLOOKUP($J178,'ELA Reading Logic'!$A$13:$K$19,VLOOKUP(V$1,'ELA Reading Logic'!$J$22:$K$31,2,FALSE),FALSE)),"Set Grade")</f>
        <v>Set Grade</v>
      </c>
      <c r="Y178" s="96" t="str">
        <f>IF($E178="Yes","IPP",IFERROR(IF(AND(V178&gt;W178,V178&lt;X178),"0",(VLOOKUP(V178,'ELA Reading Logic'!$A$22:$B$48,2,FALSE))-(IF(VLOOKUP(V178,'ELA Reading Logic'!$A$22:$B$48,2,FALSE)&lt;=VLOOKUP(W178,'ELA Reading Logic'!$A$22:$B$48,2,FALSE),VLOOKUP(W178,'ELA Reading Logic'!$A$22:$B$48,2,FALSE),IF(VLOOKUP(V178,'ELA Reading Logic'!$A$22:$B$48,2,FALSE)&gt;=VLOOKUP(X178,'ELA Reading Logic'!$A$22:$B$48,2,FALSE),VLOOKUP(X178,'ELA Reading Logic'!$A$22:$B$48,2,FALSE),"No Score")))),"No Value"))</f>
        <v>No Value</v>
      </c>
      <c r="Z178" s="96" t="str">
        <f>IFERROR(VLOOKUP(V178,'ELA Reading Logic'!$A$22:$B$48,2,FALSE)-VLOOKUP($F178,'ELA Reading Logic'!$A$22:$B$48,2,FALSE),"No Value")</f>
        <v>No Value</v>
      </c>
      <c r="AA178" s="92"/>
      <c r="AB178" s="96" t="str">
        <f>IFERROR(IF($E178="Yes","IPP",VLOOKUP($J178,'ELA Reading Logic'!$A$3:$K$9,VLOOKUP(AA$1,'ELA Reading Logic'!$J$22:$K$31,2,FALSE),FALSE)),"Set Grade")</f>
        <v>Set Grade</v>
      </c>
      <c r="AC178" s="96" t="str">
        <f>IFERROR(IF($E178="Yes","IPP",VLOOKUP($J178,'ELA Reading Logic'!$A$13:$K$19,VLOOKUP(AA$1,'ELA Reading Logic'!$J$22:$K$31,2,FALSE),FALSE)),"Set Grade")</f>
        <v>Set Grade</v>
      </c>
      <c r="AD178" s="96" t="str">
        <f>IF($E178="Yes","IPP",IFERROR(IF(AND(AA178&gt;AB178,AA178&lt;AC178),"0",(VLOOKUP(AA178,'ELA Reading Logic'!$A$22:$B$48,2,FALSE))-(IF(VLOOKUP(AA178,'ELA Reading Logic'!$A$22:$B$48,2,FALSE)&lt;=VLOOKUP(AB178,'ELA Reading Logic'!$A$22:$B$48,2,FALSE),VLOOKUP(AB178,'ELA Reading Logic'!$A$22:$B$48,2,FALSE),IF(VLOOKUP(AA178,'ELA Reading Logic'!$A$22:$B$48,2,FALSE)&gt;=VLOOKUP(AC178,'ELA Reading Logic'!$A$22:$B$48,2,FALSE),VLOOKUP(AC178,'ELA Reading Logic'!$A$22:$B$48,2,FALSE),"No Score")))),"No Value"))</f>
        <v>No Value</v>
      </c>
      <c r="AE178" s="96" t="str">
        <f>IFERROR(VLOOKUP(AA178,'ELA Reading Logic'!$A$22:$B$48,2,FALSE)-VLOOKUP($F178,'ELA Reading Logic'!$A$22:$B$48,2,FALSE),"No Value")</f>
        <v>No Value</v>
      </c>
      <c r="AF178" s="92"/>
      <c r="AG178" s="96" t="str">
        <f>IFERROR(IF($E178="Yes","IPP",VLOOKUP($J178,'ELA Reading Logic'!$A$3:$K$9,VLOOKUP(AF$1,'ELA Reading Logic'!$J$22:$K$31,2,FALSE),FALSE)),"Set Grade")</f>
        <v>Set Grade</v>
      </c>
      <c r="AH178" s="96" t="str">
        <f>IFERROR(IF($E178="Yes","IPP",VLOOKUP($J178,'ELA Reading Logic'!$A$13:$K$19,VLOOKUP(AF$1,'ELA Reading Logic'!$J$22:$K$31,2,FALSE),FALSE)),"Set Grade")</f>
        <v>Set Grade</v>
      </c>
      <c r="AI178" s="96" t="str">
        <f>IF($E178="Yes","IPP",IFERROR(IF(AND(AF178&gt;AG178,AF178&lt;AH178),"0",(VLOOKUP(AF178,'ELA Reading Logic'!$A$22:$B$48,2,FALSE))-(IF(VLOOKUP(AF178,'ELA Reading Logic'!$A$22:$B$48,2,FALSE)&lt;=VLOOKUP(AG178,'ELA Reading Logic'!$A$22:$B$48,2,FALSE),VLOOKUP(AG178,'ELA Reading Logic'!$A$22:$B$48,2,FALSE),IF(VLOOKUP(AF178,'ELA Reading Logic'!$A$22:$B$48,2,FALSE)&gt;=VLOOKUP(AH178,'ELA Reading Logic'!$A$22:$B$48,2,FALSE),VLOOKUP(AH178,'ELA Reading Logic'!$A$22:$B$48,2,FALSE),"No Score")))),"No Value"))</f>
        <v>No Value</v>
      </c>
      <c r="AJ178" s="96" t="str">
        <f>IFERROR(VLOOKUP(AF178,'ELA Reading Logic'!$A$22:$B$48,2,FALSE)-VLOOKUP($F178,'ELA Reading Logic'!$A$22:$B$48,2,FALSE),"No Value")</f>
        <v>No Value</v>
      </c>
      <c r="AK178" s="92"/>
      <c r="AL178" s="96" t="str">
        <f>IFERROR(IF($E178="Yes","IPP",VLOOKUP($J178,'ELA Reading Logic'!$A$3:$K$9,VLOOKUP(AK$1,'ELA Reading Logic'!$J$22:$K$31,2,FALSE),FALSE)),"Set Grade")</f>
        <v>Set Grade</v>
      </c>
      <c r="AM178" s="96" t="str">
        <f>IFERROR(IF($E178="Yes","IPP",VLOOKUP($J178,'ELA Reading Logic'!$A$13:$K$19,VLOOKUP(AK$1,'ELA Reading Logic'!$J$22:$K$31,2,FALSE),FALSE)),"Set Grade")</f>
        <v>Set Grade</v>
      </c>
      <c r="AN178" s="96" t="str">
        <f>IF($E178="Yes","IPP",IFERROR(IF(AND(AK178&gt;AL178,AK178&lt;AM178),"0",(VLOOKUP(AK178,'ELA Reading Logic'!$A$22:$B$48,2,FALSE))-(IF(VLOOKUP(AK178,'ELA Reading Logic'!$A$22:$B$48,2,FALSE)&lt;=VLOOKUP(AL178,'ELA Reading Logic'!$A$22:$B$48,2,FALSE),VLOOKUP(AL178,'ELA Reading Logic'!$A$22:$B$48,2,FALSE),IF(VLOOKUP(AK178,'ELA Reading Logic'!$A$22:$B$48,2,FALSE)&gt;=VLOOKUP(AM178,'ELA Reading Logic'!$A$22:$B$48,2,FALSE),VLOOKUP(AM178,'ELA Reading Logic'!$A$22:$B$48,2,FALSE),"No Score")))),"No Value"))</f>
        <v>No Value</v>
      </c>
      <c r="AO178" s="96" t="str">
        <f>IFERROR(VLOOKUP(AK178,'ELA Reading Logic'!$A$22:$B$48,2,FALSE)-VLOOKUP($F178,'ELA Reading Logic'!$A$22:$B$48,2,FALSE),"No Value")</f>
        <v>No Value</v>
      </c>
      <c r="AP178" s="92"/>
      <c r="AQ178" s="96" t="str">
        <f>IFERROR(IF($E178="Yes","IPP",VLOOKUP($J178,'ELA Reading Logic'!$A$3:$K$9,VLOOKUP(AP$1,'ELA Reading Logic'!$J$22:$K$31,2,FALSE),FALSE)),"Set Grade")</f>
        <v>Set Grade</v>
      </c>
      <c r="AR178" s="96" t="str">
        <f>IFERROR(IF($E178="Yes","IPP",VLOOKUP($J178,'ELA Reading Logic'!$A$13:$K$19,VLOOKUP(AP$1,'ELA Reading Logic'!$J$22:$K$31,2,FALSE),FALSE)),"Set Grade")</f>
        <v>Set Grade</v>
      </c>
      <c r="AS178" s="96" t="str">
        <f>IF($E178="Yes","IPP",IFERROR(IF(AND(AP178&gt;AQ178,AP178&lt;AR178),"0",(VLOOKUP(AP178,'ELA Reading Logic'!$A$22:$B$48,2,FALSE))-(IF(VLOOKUP(AP178,'ELA Reading Logic'!$A$22:$B$48,2,FALSE)&lt;=VLOOKUP(AQ178,'ELA Reading Logic'!$A$22:$B$48,2,FALSE),VLOOKUP(AQ178,'ELA Reading Logic'!$A$22:$B$48,2,FALSE),IF(VLOOKUP(AP178,'ELA Reading Logic'!$A$22:$B$48,2,FALSE)&gt;=VLOOKUP(AR178,'ELA Reading Logic'!$A$22:$B$48,2,FALSE),VLOOKUP(AR178,'ELA Reading Logic'!$A$22:$B$48,2,FALSE),"No Score")))),"No Value"))</f>
        <v>No Value</v>
      </c>
      <c r="AT178" s="96" t="str">
        <f>IFERROR(VLOOKUP(AP178,'ELA Reading Logic'!$A$22:$B$48,2,FALSE)-VLOOKUP($F178,'ELA Reading Logic'!$A$22:$B$48,2,FALSE),"No Value")</f>
        <v>No Value</v>
      </c>
    </row>
    <row r="179" spans="1:46" ht="22.5" customHeight="1" x14ac:dyDescent="0.25">
      <c r="A179" s="174"/>
      <c r="B179" s="174"/>
      <c r="C179" s="174"/>
      <c r="D179" s="174"/>
      <c r="E179" s="175"/>
      <c r="F179" s="175"/>
      <c r="G179" s="177" t="str">
        <f>IFERROR(IF($E179="Yes","IPP",VLOOKUP($J179,'ELA Reading Logic'!$A$3:$K$9,VLOOKUP("September",'ELA Reading Logic'!$J$22:$K$31,2,FALSE),FALSE)),"Set Grade")</f>
        <v>Set Grade</v>
      </c>
      <c r="H179" s="177" t="str">
        <f>IFERROR(IF($E179="Yes","IPP",VLOOKUP($J179,'ELA Reading Logic'!$A$13:$K$19,VLOOKUP("September",'ELA Reading Logic'!$J$22:$K$31,2,FALSE),FALSE)),"Set Grade")</f>
        <v>Set Grade</v>
      </c>
      <c r="I179" s="96" t="str">
        <f>IF($E179="Yes","IPP",IFERROR(IF(AND(F179&gt;G179,F179&lt;H179),"0",(VLOOKUP(F179,'ELA Reading Logic'!$A$22:$B$48,2,FALSE))-(IF(VLOOKUP(F179,'ELA Reading Logic'!$A$22:$B$48,2,FALSE)&lt;=VLOOKUP(G179,'ELA Reading Logic'!$A$22:$B$48,2,FALSE),VLOOKUP(G179,'ELA Reading Logic'!$A$22:$B$48,2,FALSE),IF(VLOOKUP(F179,'ELA Reading Logic'!$A$22:$B$48,2,FALSE)&gt;=VLOOKUP(H179,'ELA Reading Logic'!$A$22:$B$48,2,FALSE),VLOOKUP(H179,'ELA Reading Logic'!$A$22:$B$48,2,FALSE),"No Score")))),"No Value"))</f>
        <v>No Value</v>
      </c>
      <c r="J179" s="178"/>
      <c r="K179" s="96"/>
      <c r="L179" s="96"/>
      <c r="M179" s="96"/>
      <c r="N179" s="96"/>
      <c r="O179" s="96"/>
      <c r="P179" s="105"/>
      <c r="Q179" s="92"/>
      <c r="R179" s="96" t="str">
        <f>IFERROR(IF($E179="Yes","IPP",VLOOKUP($J179,'ELA Reading Logic'!$A$3:$K$9,VLOOKUP(Q$1,'ELA Reading Logic'!$J$22:$K$31,2,FALSE),FALSE)),"Set Grade")</f>
        <v>Set Grade</v>
      </c>
      <c r="S179" s="96" t="str">
        <f>IFERROR(IF($E179="Yes","IPP",VLOOKUP($J179,'ELA Reading Logic'!$A$13:$K$19,VLOOKUP(Q$1,'ELA Reading Logic'!$J$22:$K$31,2,FALSE),FALSE)),"Set Grade")</f>
        <v>Set Grade</v>
      </c>
      <c r="T179" s="96" t="str">
        <f>IF($E179="Yes","IPP",IFERROR(IF(AND(Q179&gt;R179,Q179&lt;S179),"0",(VLOOKUP(Q179,'ELA Reading Logic'!$A$22:$B$48,2,FALSE))-(IF(VLOOKUP(Q179,'ELA Reading Logic'!$A$22:$B$48,2,FALSE)&lt;=VLOOKUP(R179,'ELA Reading Logic'!$A$22:$B$48,2,FALSE),VLOOKUP(R179,'ELA Reading Logic'!$A$22:$B$48,2,FALSE),IF(VLOOKUP(Q179,'ELA Reading Logic'!$A$22:$B$48,2,FALSE)&gt;=VLOOKUP(S179,'ELA Reading Logic'!$A$22:$B$48,2,FALSE),VLOOKUP(S179,'ELA Reading Logic'!$A$22:$B$48,2,FALSE),"No Score")))),"No Value"))</f>
        <v>No Value</v>
      </c>
      <c r="U179" s="96" t="str">
        <f>IFERROR(VLOOKUP(Q179,'ELA Reading Logic'!$A$22:$B$48,2,FALSE)-VLOOKUP($F179,'ELA Reading Logic'!$A$22:$B$48,2,FALSE),"No Value")</f>
        <v>No Value</v>
      </c>
      <c r="V179" s="92"/>
      <c r="W179" s="96" t="str">
        <f>IFERROR(IF($E179="Yes","IPP",VLOOKUP($J179,'ELA Reading Logic'!$A$3:$K$9,VLOOKUP(V$1,'ELA Reading Logic'!$J$22:$K$31,2,FALSE),FALSE)),"Set Grade")</f>
        <v>Set Grade</v>
      </c>
      <c r="X179" s="96" t="str">
        <f>IFERROR(IF($E179="Yes","IPP",VLOOKUP($J179,'ELA Reading Logic'!$A$13:$K$19,VLOOKUP(V$1,'ELA Reading Logic'!$J$22:$K$31,2,FALSE),FALSE)),"Set Grade")</f>
        <v>Set Grade</v>
      </c>
      <c r="Y179" s="96" t="str">
        <f>IF($E179="Yes","IPP",IFERROR(IF(AND(V179&gt;W179,V179&lt;X179),"0",(VLOOKUP(V179,'ELA Reading Logic'!$A$22:$B$48,2,FALSE))-(IF(VLOOKUP(V179,'ELA Reading Logic'!$A$22:$B$48,2,FALSE)&lt;=VLOOKUP(W179,'ELA Reading Logic'!$A$22:$B$48,2,FALSE),VLOOKUP(W179,'ELA Reading Logic'!$A$22:$B$48,2,FALSE),IF(VLOOKUP(V179,'ELA Reading Logic'!$A$22:$B$48,2,FALSE)&gt;=VLOOKUP(X179,'ELA Reading Logic'!$A$22:$B$48,2,FALSE),VLOOKUP(X179,'ELA Reading Logic'!$A$22:$B$48,2,FALSE),"No Score")))),"No Value"))</f>
        <v>No Value</v>
      </c>
      <c r="Z179" s="96" t="str">
        <f>IFERROR(VLOOKUP(V179,'ELA Reading Logic'!$A$22:$B$48,2,FALSE)-VLOOKUP($F179,'ELA Reading Logic'!$A$22:$B$48,2,FALSE),"No Value")</f>
        <v>No Value</v>
      </c>
      <c r="AA179" s="92"/>
      <c r="AB179" s="96" t="str">
        <f>IFERROR(IF($E179="Yes","IPP",VLOOKUP($J179,'ELA Reading Logic'!$A$3:$K$9,VLOOKUP(AA$1,'ELA Reading Logic'!$J$22:$K$31,2,FALSE),FALSE)),"Set Grade")</f>
        <v>Set Grade</v>
      </c>
      <c r="AC179" s="96" t="str">
        <f>IFERROR(IF($E179="Yes","IPP",VLOOKUP($J179,'ELA Reading Logic'!$A$13:$K$19,VLOOKUP(AA$1,'ELA Reading Logic'!$J$22:$K$31,2,FALSE),FALSE)),"Set Grade")</f>
        <v>Set Grade</v>
      </c>
      <c r="AD179" s="96" t="str">
        <f>IF($E179="Yes","IPP",IFERROR(IF(AND(AA179&gt;AB179,AA179&lt;AC179),"0",(VLOOKUP(AA179,'ELA Reading Logic'!$A$22:$B$48,2,FALSE))-(IF(VLOOKUP(AA179,'ELA Reading Logic'!$A$22:$B$48,2,FALSE)&lt;=VLOOKUP(AB179,'ELA Reading Logic'!$A$22:$B$48,2,FALSE),VLOOKUP(AB179,'ELA Reading Logic'!$A$22:$B$48,2,FALSE),IF(VLOOKUP(AA179,'ELA Reading Logic'!$A$22:$B$48,2,FALSE)&gt;=VLOOKUP(AC179,'ELA Reading Logic'!$A$22:$B$48,2,FALSE),VLOOKUP(AC179,'ELA Reading Logic'!$A$22:$B$48,2,FALSE),"No Score")))),"No Value"))</f>
        <v>No Value</v>
      </c>
      <c r="AE179" s="96" t="str">
        <f>IFERROR(VLOOKUP(AA179,'ELA Reading Logic'!$A$22:$B$48,2,FALSE)-VLOOKUP($F179,'ELA Reading Logic'!$A$22:$B$48,2,FALSE),"No Value")</f>
        <v>No Value</v>
      </c>
      <c r="AF179" s="92"/>
      <c r="AG179" s="96" t="str">
        <f>IFERROR(IF($E179="Yes","IPP",VLOOKUP($J179,'ELA Reading Logic'!$A$3:$K$9,VLOOKUP(AF$1,'ELA Reading Logic'!$J$22:$K$31,2,FALSE),FALSE)),"Set Grade")</f>
        <v>Set Grade</v>
      </c>
      <c r="AH179" s="96" t="str">
        <f>IFERROR(IF($E179="Yes","IPP",VLOOKUP($J179,'ELA Reading Logic'!$A$13:$K$19,VLOOKUP(AF$1,'ELA Reading Logic'!$J$22:$K$31,2,FALSE),FALSE)),"Set Grade")</f>
        <v>Set Grade</v>
      </c>
      <c r="AI179" s="96" t="str">
        <f>IF($E179="Yes","IPP",IFERROR(IF(AND(AF179&gt;AG179,AF179&lt;AH179),"0",(VLOOKUP(AF179,'ELA Reading Logic'!$A$22:$B$48,2,FALSE))-(IF(VLOOKUP(AF179,'ELA Reading Logic'!$A$22:$B$48,2,FALSE)&lt;=VLOOKUP(AG179,'ELA Reading Logic'!$A$22:$B$48,2,FALSE),VLOOKUP(AG179,'ELA Reading Logic'!$A$22:$B$48,2,FALSE),IF(VLOOKUP(AF179,'ELA Reading Logic'!$A$22:$B$48,2,FALSE)&gt;=VLOOKUP(AH179,'ELA Reading Logic'!$A$22:$B$48,2,FALSE),VLOOKUP(AH179,'ELA Reading Logic'!$A$22:$B$48,2,FALSE),"No Score")))),"No Value"))</f>
        <v>No Value</v>
      </c>
      <c r="AJ179" s="96" t="str">
        <f>IFERROR(VLOOKUP(AF179,'ELA Reading Logic'!$A$22:$B$48,2,FALSE)-VLOOKUP($F179,'ELA Reading Logic'!$A$22:$B$48,2,FALSE),"No Value")</f>
        <v>No Value</v>
      </c>
      <c r="AK179" s="92"/>
      <c r="AL179" s="96" t="str">
        <f>IFERROR(IF($E179="Yes","IPP",VLOOKUP($J179,'ELA Reading Logic'!$A$3:$K$9,VLOOKUP(AK$1,'ELA Reading Logic'!$J$22:$K$31,2,FALSE),FALSE)),"Set Grade")</f>
        <v>Set Grade</v>
      </c>
      <c r="AM179" s="96" t="str">
        <f>IFERROR(IF($E179="Yes","IPP",VLOOKUP($J179,'ELA Reading Logic'!$A$13:$K$19,VLOOKUP(AK$1,'ELA Reading Logic'!$J$22:$K$31,2,FALSE),FALSE)),"Set Grade")</f>
        <v>Set Grade</v>
      </c>
      <c r="AN179" s="96" t="str">
        <f>IF($E179="Yes","IPP",IFERROR(IF(AND(AK179&gt;AL179,AK179&lt;AM179),"0",(VLOOKUP(AK179,'ELA Reading Logic'!$A$22:$B$48,2,FALSE))-(IF(VLOOKUP(AK179,'ELA Reading Logic'!$A$22:$B$48,2,FALSE)&lt;=VLOOKUP(AL179,'ELA Reading Logic'!$A$22:$B$48,2,FALSE),VLOOKUP(AL179,'ELA Reading Logic'!$A$22:$B$48,2,FALSE),IF(VLOOKUP(AK179,'ELA Reading Logic'!$A$22:$B$48,2,FALSE)&gt;=VLOOKUP(AM179,'ELA Reading Logic'!$A$22:$B$48,2,FALSE),VLOOKUP(AM179,'ELA Reading Logic'!$A$22:$B$48,2,FALSE),"No Score")))),"No Value"))</f>
        <v>No Value</v>
      </c>
      <c r="AO179" s="96" t="str">
        <f>IFERROR(VLOOKUP(AK179,'ELA Reading Logic'!$A$22:$B$48,2,FALSE)-VLOOKUP($F179,'ELA Reading Logic'!$A$22:$B$48,2,FALSE),"No Value")</f>
        <v>No Value</v>
      </c>
      <c r="AP179" s="92"/>
      <c r="AQ179" s="96" t="str">
        <f>IFERROR(IF($E179="Yes","IPP",VLOOKUP($J179,'ELA Reading Logic'!$A$3:$K$9,VLOOKUP(AP$1,'ELA Reading Logic'!$J$22:$K$31,2,FALSE),FALSE)),"Set Grade")</f>
        <v>Set Grade</v>
      </c>
      <c r="AR179" s="96" t="str">
        <f>IFERROR(IF($E179="Yes","IPP",VLOOKUP($J179,'ELA Reading Logic'!$A$13:$K$19,VLOOKUP(AP$1,'ELA Reading Logic'!$J$22:$K$31,2,FALSE),FALSE)),"Set Grade")</f>
        <v>Set Grade</v>
      </c>
      <c r="AS179" s="96" t="str">
        <f>IF($E179="Yes","IPP",IFERROR(IF(AND(AP179&gt;AQ179,AP179&lt;AR179),"0",(VLOOKUP(AP179,'ELA Reading Logic'!$A$22:$B$48,2,FALSE))-(IF(VLOOKUP(AP179,'ELA Reading Logic'!$A$22:$B$48,2,FALSE)&lt;=VLOOKUP(AQ179,'ELA Reading Logic'!$A$22:$B$48,2,FALSE),VLOOKUP(AQ179,'ELA Reading Logic'!$A$22:$B$48,2,FALSE),IF(VLOOKUP(AP179,'ELA Reading Logic'!$A$22:$B$48,2,FALSE)&gt;=VLOOKUP(AR179,'ELA Reading Logic'!$A$22:$B$48,2,FALSE),VLOOKUP(AR179,'ELA Reading Logic'!$A$22:$B$48,2,FALSE),"No Score")))),"No Value"))</f>
        <v>No Value</v>
      </c>
      <c r="AT179" s="96" t="str">
        <f>IFERROR(VLOOKUP(AP179,'ELA Reading Logic'!$A$22:$B$48,2,FALSE)-VLOOKUP($F179,'ELA Reading Logic'!$A$22:$B$48,2,FALSE),"No Value")</f>
        <v>No Value</v>
      </c>
    </row>
    <row r="180" spans="1:46" ht="22.5" customHeight="1" x14ac:dyDescent="0.25">
      <c r="A180" s="176"/>
      <c r="B180" s="176"/>
      <c r="C180" s="176"/>
      <c r="D180" s="176"/>
      <c r="E180" s="175"/>
      <c r="F180" s="175"/>
      <c r="G180" s="177" t="str">
        <f>IFERROR(IF($E180="Yes","IPP",VLOOKUP($J180,'ELA Reading Logic'!$A$3:$K$9,VLOOKUP("September",'ELA Reading Logic'!$J$22:$K$31,2,FALSE),FALSE)),"Set Grade")</f>
        <v>Set Grade</v>
      </c>
      <c r="H180" s="177" t="str">
        <f>IFERROR(IF($E180="Yes","IPP",VLOOKUP($J180,'ELA Reading Logic'!$A$13:$K$19,VLOOKUP("September",'ELA Reading Logic'!$J$22:$K$31,2,FALSE),FALSE)),"Set Grade")</f>
        <v>Set Grade</v>
      </c>
      <c r="I180" s="96" t="str">
        <f>IF($E180="Yes","IPP",IFERROR(IF(AND(F180&gt;G180,F180&lt;H180),"0",(VLOOKUP(F180,'ELA Reading Logic'!$A$22:$B$48,2,FALSE))-(IF(VLOOKUP(F180,'ELA Reading Logic'!$A$22:$B$48,2,FALSE)&lt;=VLOOKUP(G180,'ELA Reading Logic'!$A$22:$B$48,2,FALSE),VLOOKUP(G180,'ELA Reading Logic'!$A$22:$B$48,2,FALSE),IF(VLOOKUP(F180,'ELA Reading Logic'!$A$22:$B$48,2,FALSE)&gt;=VLOOKUP(H180,'ELA Reading Logic'!$A$22:$B$48,2,FALSE),VLOOKUP(H180,'ELA Reading Logic'!$A$22:$B$48,2,FALSE),"No Score")))),"No Value"))</f>
        <v>No Value</v>
      </c>
      <c r="J180" s="178"/>
      <c r="K180" s="96"/>
      <c r="L180" s="96"/>
      <c r="M180" s="96"/>
      <c r="N180" s="96"/>
      <c r="O180" s="96"/>
      <c r="P180" s="105"/>
      <c r="Q180" s="92"/>
      <c r="R180" s="96" t="str">
        <f>IFERROR(IF($E180="Yes","IPP",VLOOKUP($J180,'ELA Reading Logic'!$A$3:$K$9,VLOOKUP(Q$1,'ELA Reading Logic'!$J$22:$K$31,2,FALSE),FALSE)),"Set Grade")</f>
        <v>Set Grade</v>
      </c>
      <c r="S180" s="96" t="str">
        <f>IFERROR(IF($E180="Yes","IPP",VLOOKUP($J180,'ELA Reading Logic'!$A$13:$K$19,VLOOKUP(Q$1,'ELA Reading Logic'!$J$22:$K$31,2,FALSE),FALSE)),"Set Grade")</f>
        <v>Set Grade</v>
      </c>
      <c r="T180" s="96" t="str">
        <f>IF($E180="Yes","IPP",IFERROR(IF(AND(Q180&gt;R180,Q180&lt;S180),"0",(VLOOKUP(Q180,'ELA Reading Logic'!$A$22:$B$48,2,FALSE))-(IF(VLOOKUP(Q180,'ELA Reading Logic'!$A$22:$B$48,2,FALSE)&lt;=VLOOKUP(R180,'ELA Reading Logic'!$A$22:$B$48,2,FALSE),VLOOKUP(R180,'ELA Reading Logic'!$A$22:$B$48,2,FALSE),IF(VLOOKUP(Q180,'ELA Reading Logic'!$A$22:$B$48,2,FALSE)&gt;=VLOOKUP(S180,'ELA Reading Logic'!$A$22:$B$48,2,FALSE),VLOOKUP(S180,'ELA Reading Logic'!$A$22:$B$48,2,FALSE),"No Score")))),"No Value"))</f>
        <v>No Value</v>
      </c>
      <c r="U180" s="96" t="str">
        <f>IFERROR(VLOOKUP(Q180,'ELA Reading Logic'!$A$22:$B$48,2,FALSE)-VLOOKUP($F180,'ELA Reading Logic'!$A$22:$B$48,2,FALSE),"No Value")</f>
        <v>No Value</v>
      </c>
      <c r="V180" s="92"/>
      <c r="W180" s="96" t="str">
        <f>IFERROR(IF($E180="Yes","IPP",VLOOKUP($J180,'ELA Reading Logic'!$A$3:$K$9,VLOOKUP(V$1,'ELA Reading Logic'!$J$22:$K$31,2,FALSE),FALSE)),"Set Grade")</f>
        <v>Set Grade</v>
      </c>
      <c r="X180" s="96" t="str">
        <f>IFERROR(IF($E180="Yes","IPP",VLOOKUP($J180,'ELA Reading Logic'!$A$13:$K$19,VLOOKUP(V$1,'ELA Reading Logic'!$J$22:$K$31,2,FALSE),FALSE)),"Set Grade")</f>
        <v>Set Grade</v>
      </c>
      <c r="Y180" s="96" t="str">
        <f>IF($E180="Yes","IPP",IFERROR(IF(AND(V180&gt;W180,V180&lt;X180),"0",(VLOOKUP(V180,'ELA Reading Logic'!$A$22:$B$48,2,FALSE))-(IF(VLOOKUP(V180,'ELA Reading Logic'!$A$22:$B$48,2,FALSE)&lt;=VLOOKUP(W180,'ELA Reading Logic'!$A$22:$B$48,2,FALSE),VLOOKUP(W180,'ELA Reading Logic'!$A$22:$B$48,2,FALSE),IF(VLOOKUP(V180,'ELA Reading Logic'!$A$22:$B$48,2,FALSE)&gt;=VLOOKUP(X180,'ELA Reading Logic'!$A$22:$B$48,2,FALSE),VLOOKUP(X180,'ELA Reading Logic'!$A$22:$B$48,2,FALSE),"No Score")))),"No Value"))</f>
        <v>No Value</v>
      </c>
      <c r="Z180" s="96" t="str">
        <f>IFERROR(VLOOKUP(V180,'ELA Reading Logic'!$A$22:$B$48,2,FALSE)-VLOOKUP($F180,'ELA Reading Logic'!$A$22:$B$48,2,FALSE),"No Value")</f>
        <v>No Value</v>
      </c>
      <c r="AA180" s="92"/>
      <c r="AB180" s="96" t="str">
        <f>IFERROR(IF($E180="Yes","IPP",VLOOKUP($J180,'ELA Reading Logic'!$A$3:$K$9,VLOOKUP(AA$1,'ELA Reading Logic'!$J$22:$K$31,2,FALSE),FALSE)),"Set Grade")</f>
        <v>Set Grade</v>
      </c>
      <c r="AC180" s="96" t="str">
        <f>IFERROR(IF($E180="Yes","IPP",VLOOKUP($J180,'ELA Reading Logic'!$A$13:$K$19,VLOOKUP(AA$1,'ELA Reading Logic'!$J$22:$K$31,2,FALSE),FALSE)),"Set Grade")</f>
        <v>Set Grade</v>
      </c>
      <c r="AD180" s="96" t="str">
        <f>IF($E180="Yes","IPP",IFERROR(IF(AND(AA180&gt;AB180,AA180&lt;AC180),"0",(VLOOKUP(AA180,'ELA Reading Logic'!$A$22:$B$48,2,FALSE))-(IF(VLOOKUP(AA180,'ELA Reading Logic'!$A$22:$B$48,2,FALSE)&lt;=VLOOKUP(AB180,'ELA Reading Logic'!$A$22:$B$48,2,FALSE),VLOOKUP(AB180,'ELA Reading Logic'!$A$22:$B$48,2,FALSE),IF(VLOOKUP(AA180,'ELA Reading Logic'!$A$22:$B$48,2,FALSE)&gt;=VLOOKUP(AC180,'ELA Reading Logic'!$A$22:$B$48,2,FALSE),VLOOKUP(AC180,'ELA Reading Logic'!$A$22:$B$48,2,FALSE),"No Score")))),"No Value"))</f>
        <v>No Value</v>
      </c>
      <c r="AE180" s="96" t="str">
        <f>IFERROR(VLOOKUP(AA180,'ELA Reading Logic'!$A$22:$B$48,2,FALSE)-VLOOKUP($F180,'ELA Reading Logic'!$A$22:$B$48,2,FALSE),"No Value")</f>
        <v>No Value</v>
      </c>
      <c r="AF180" s="92"/>
      <c r="AG180" s="96" t="str">
        <f>IFERROR(IF($E180="Yes","IPP",VLOOKUP($J180,'ELA Reading Logic'!$A$3:$K$9,VLOOKUP(AF$1,'ELA Reading Logic'!$J$22:$K$31,2,FALSE),FALSE)),"Set Grade")</f>
        <v>Set Grade</v>
      </c>
      <c r="AH180" s="96" t="str">
        <f>IFERROR(IF($E180="Yes","IPP",VLOOKUP($J180,'ELA Reading Logic'!$A$13:$K$19,VLOOKUP(AF$1,'ELA Reading Logic'!$J$22:$K$31,2,FALSE),FALSE)),"Set Grade")</f>
        <v>Set Grade</v>
      </c>
      <c r="AI180" s="96" t="str">
        <f>IF($E180="Yes","IPP",IFERROR(IF(AND(AF180&gt;AG180,AF180&lt;AH180),"0",(VLOOKUP(AF180,'ELA Reading Logic'!$A$22:$B$48,2,FALSE))-(IF(VLOOKUP(AF180,'ELA Reading Logic'!$A$22:$B$48,2,FALSE)&lt;=VLOOKUP(AG180,'ELA Reading Logic'!$A$22:$B$48,2,FALSE),VLOOKUP(AG180,'ELA Reading Logic'!$A$22:$B$48,2,FALSE),IF(VLOOKUP(AF180,'ELA Reading Logic'!$A$22:$B$48,2,FALSE)&gt;=VLOOKUP(AH180,'ELA Reading Logic'!$A$22:$B$48,2,FALSE),VLOOKUP(AH180,'ELA Reading Logic'!$A$22:$B$48,2,FALSE),"No Score")))),"No Value"))</f>
        <v>No Value</v>
      </c>
      <c r="AJ180" s="96" t="str">
        <f>IFERROR(VLOOKUP(AF180,'ELA Reading Logic'!$A$22:$B$48,2,FALSE)-VLOOKUP($F180,'ELA Reading Logic'!$A$22:$B$48,2,FALSE),"No Value")</f>
        <v>No Value</v>
      </c>
      <c r="AK180" s="92"/>
      <c r="AL180" s="96" t="str">
        <f>IFERROR(IF($E180="Yes","IPP",VLOOKUP($J180,'ELA Reading Logic'!$A$3:$K$9,VLOOKUP(AK$1,'ELA Reading Logic'!$J$22:$K$31,2,FALSE),FALSE)),"Set Grade")</f>
        <v>Set Grade</v>
      </c>
      <c r="AM180" s="96" t="str">
        <f>IFERROR(IF($E180="Yes","IPP",VLOOKUP($J180,'ELA Reading Logic'!$A$13:$K$19,VLOOKUP(AK$1,'ELA Reading Logic'!$J$22:$K$31,2,FALSE),FALSE)),"Set Grade")</f>
        <v>Set Grade</v>
      </c>
      <c r="AN180" s="96" t="str">
        <f>IF($E180="Yes","IPP",IFERROR(IF(AND(AK180&gt;AL180,AK180&lt;AM180),"0",(VLOOKUP(AK180,'ELA Reading Logic'!$A$22:$B$48,2,FALSE))-(IF(VLOOKUP(AK180,'ELA Reading Logic'!$A$22:$B$48,2,FALSE)&lt;=VLOOKUP(AL180,'ELA Reading Logic'!$A$22:$B$48,2,FALSE),VLOOKUP(AL180,'ELA Reading Logic'!$A$22:$B$48,2,FALSE),IF(VLOOKUP(AK180,'ELA Reading Logic'!$A$22:$B$48,2,FALSE)&gt;=VLOOKUP(AM180,'ELA Reading Logic'!$A$22:$B$48,2,FALSE),VLOOKUP(AM180,'ELA Reading Logic'!$A$22:$B$48,2,FALSE),"No Score")))),"No Value"))</f>
        <v>No Value</v>
      </c>
      <c r="AO180" s="96" t="str">
        <f>IFERROR(VLOOKUP(AK180,'ELA Reading Logic'!$A$22:$B$48,2,FALSE)-VLOOKUP($F180,'ELA Reading Logic'!$A$22:$B$48,2,FALSE),"No Value")</f>
        <v>No Value</v>
      </c>
      <c r="AP180" s="92"/>
      <c r="AQ180" s="96" t="str">
        <f>IFERROR(IF($E180="Yes","IPP",VLOOKUP($J180,'ELA Reading Logic'!$A$3:$K$9,VLOOKUP(AP$1,'ELA Reading Logic'!$J$22:$K$31,2,FALSE),FALSE)),"Set Grade")</f>
        <v>Set Grade</v>
      </c>
      <c r="AR180" s="96" t="str">
        <f>IFERROR(IF($E180="Yes","IPP",VLOOKUP($J180,'ELA Reading Logic'!$A$13:$K$19,VLOOKUP(AP$1,'ELA Reading Logic'!$J$22:$K$31,2,FALSE),FALSE)),"Set Grade")</f>
        <v>Set Grade</v>
      </c>
      <c r="AS180" s="96" t="str">
        <f>IF($E180="Yes","IPP",IFERROR(IF(AND(AP180&gt;AQ180,AP180&lt;AR180),"0",(VLOOKUP(AP180,'ELA Reading Logic'!$A$22:$B$48,2,FALSE))-(IF(VLOOKUP(AP180,'ELA Reading Logic'!$A$22:$B$48,2,FALSE)&lt;=VLOOKUP(AQ180,'ELA Reading Logic'!$A$22:$B$48,2,FALSE),VLOOKUP(AQ180,'ELA Reading Logic'!$A$22:$B$48,2,FALSE),IF(VLOOKUP(AP180,'ELA Reading Logic'!$A$22:$B$48,2,FALSE)&gt;=VLOOKUP(AR180,'ELA Reading Logic'!$A$22:$B$48,2,FALSE),VLOOKUP(AR180,'ELA Reading Logic'!$A$22:$B$48,2,FALSE),"No Score")))),"No Value"))</f>
        <v>No Value</v>
      </c>
      <c r="AT180" s="96" t="str">
        <f>IFERROR(VLOOKUP(AP180,'ELA Reading Logic'!$A$22:$B$48,2,FALSE)-VLOOKUP($F180,'ELA Reading Logic'!$A$22:$B$48,2,FALSE),"No Value")</f>
        <v>No Value</v>
      </c>
    </row>
    <row r="181" spans="1:46" ht="22.5" customHeight="1" x14ac:dyDescent="0.25">
      <c r="A181" s="174"/>
      <c r="B181" s="174"/>
      <c r="C181" s="174"/>
      <c r="D181" s="174"/>
      <c r="E181" s="175"/>
      <c r="F181" s="175"/>
      <c r="G181" s="177" t="str">
        <f>IFERROR(IF($E181="Yes","IPP",VLOOKUP($J181,'ELA Reading Logic'!$A$3:$K$9,VLOOKUP("September",'ELA Reading Logic'!$J$22:$K$31,2,FALSE),FALSE)),"Set Grade")</f>
        <v>Set Grade</v>
      </c>
      <c r="H181" s="177" t="str">
        <f>IFERROR(IF($E181="Yes","IPP",VLOOKUP($J181,'ELA Reading Logic'!$A$13:$K$19,VLOOKUP("September",'ELA Reading Logic'!$J$22:$K$31,2,FALSE),FALSE)),"Set Grade")</f>
        <v>Set Grade</v>
      </c>
      <c r="I181" s="96" t="str">
        <f>IF($E181="Yes","IPP",IFERROR(IF(AND(F181&gt;G181,F181&lt;H181),"0",(VLOOKUP(F181,'ELA Reading Logic'!$A$22:$B$48,2,FALSE))-(IF(VLOOKUP(F181,'ELA Reading Logic'!$A$22:$B$48,2,FALSE)&lt;=VLOOKUP(G181,'ELA Reading Logic'!$A$22:$B$48,2,FALSE),VLOOKUP(G181,'ELA Reading Logic'!$A$22:$B$48,2,FALSE),IF(VLOOKUP(F181,'ELA Reading Logic'!$A$22:$B$48,2,FALSE)&gt;=VLOOKUP(H181,'ELA Reading Logic'!$A$22:$B$48,2,FALSE),VLOOKUP(H181,'ELA Reading Logic'!$A$22:$B$48,2,FALSE),"No Score")))),"No Value"))</f>
        <v>No Value</v>
      </c>
      <c r="J181" s="178"/>
      <c r="K181" s="96"/>
      <c r="L181" s="96"/>
      <c r="M181" s="96"/>
      <c r="N181" s="96"/>
      <c r="O181" s="96"/>
      <c r="P181" s="105"/>
      <c r="Q181" s="92"/>
      <c r="R181" s="96" t="str">
        <f>IFERROR(IF($E181="Yes","IPP",VLOOKUP($J181,'ELA Reading Logic'!$A$3:$K$9,VLOOKUP(Q$1,'ELA Reading Logic'!$J$22:$K$31,2,FALSE),FALSE)),"Set Grade")</f>
        <v>Set Grade</v>
      </c>
      <c r="S181" s="96" t="str">
        <f>IFERROR(IF($E181="Yes","IPP",VLOOKUP($J181,'ELA Reading Logic'!$A$13:$K$19,VLOOKUP(Q$1,'ELA Reading Logic'!$J$22:$K$31,2,FALSE),FALSE)),"Set Grade")</f>
        <v>Set Grade</v>
      </c>
      <c r="T181" s="96" t="str">
        <f>IF($E181="Yes","IPP",IFERROR(IF(AND(Q181&gt;R181,Q181&lt;S181),"0",(VLOOKUP(Q181,'ELA Reading Logic'!$A$22:$B$48,2,FALSE))-(IF(VLOOKUP(Q181,'ELA Reading Logic'!$A$22:$B$48,2,FALSE)&lt;=VLOOKUP(R181,'ELA Reading Logic'!$A$22:$B$48,2,FALSE),VLOOKUP(R181,'ELA Reading Logic'!$A$22:$B$48,2,FALSE),IF(VLOOKUP(Q181,'ELA Reading Logic'!$A$22:$B$48,2,FALSE)&gt;=VLOOKUP(S181,'ELA Reading Logic'!$A$22:$B$48,2,FALSE),VLOOKUP(S181,'ELA Reading Logic'!$A$22:$B$48,2,FALSE),"No Score")))),"No Value"))</f>
        <v>No Value</v>
      </c>
      <c r="U181" s="96" t="str">
        <f>IFERROR(VLOOKUP(Q181,'ELA Reading Logic'!$A$22:$B$48,2,FALSE)-VLOOKUP($F181,'ELA Reading Logic'!$A$22:$B$48,2,FALSE),"No Value")</f>
        <v>No Value</v>
      </c>
      <c r="V181" s="92"/>
      <c r="W181" s="96" t="str">
        <f>IFERROR(IF($E181="Yes","IPP",VLOOKUP($J181,'ELA Reading Logic'!$A$3:$K$9,VLOOKUP(V$1,'ELA Reading Logic'!$J$22:$K$31,2,FALSE),FALSE)),"Set Grade")</f>
        <v>Set Grade</v>
      </c>
      <c r="X181" s="96" t="str">
        <f>IFERROR(IF($E181="Yes","IPP",VLOOKUP($J181,'ELA Reading Logic'!$A$13:$K$19,VLOOKUP(V$1,'ELA Reading Logic'!$J$22:$K$31,2,FALSE),FALSE)),"Set Grade")</f>
        <v>Set Grade</v>
      </c>
      <c r="Y181" s="96" t="str">
        <f>IF($E181="Yes","IPP",IFERROR(IF(AND(V181&gt;W181,V181&lt;X181),"0",(VLOOKUP(V181,'ELA Reading Logic'!$A$22:$B$48,2,FALSE))-(IF(VLOOKUP(V181,'ELA Reading Logic'!$A$22:$B$48,2,FALSE)&lt;=VLOOKUP(W181,'ELA Reading Logic'!$A$22:$B$48,2,FALSE),VLOOKUP(W181,'ELA Reading Logic'!$A$22:$B$48,2,FALSE),IF(VLOOKUP(V181,'ELA Reading Logic'!$A$22:$B$48,2,FALSE)&gt;=VLOOKUP(X181,'ELA Reading Logic'!$A$22:$B$48,2,FALSE),VLOOKUP(X181,'ELA Reading Logic'!$A$22:$B$48,2,FALSE),"No Score")))),"No Value"))</f>
        <v>No Value</v>
      </c>
      <c r="Z181" s="96" t="str">
        <f>IFERROR(VLOOKUP(V181,'ELA Reading Logic'!$A$22:$B$48,2,FALSE)-VLOOKUP($F181,'ELA Reading Logic'!$A$22:$B$48,2,FALSE),"No Value")</f>
        <v>No Value</v>
      </c>
      <c r="AA181" s="92"/>
      <c r="AB181" s="96" t="str">
        <f>IFERROR(IF($E181="Yes","IPP",VLOOKUP($J181,'ELA Reading Logic'!$A$3:$K$9,VLOOKUP(AA$1,'ELA Reading Logic'!$J$22:$K$31,2,FALSE),FALSE)),"Set Grade")</f>
        <v>Set Grade</v>
      </c>
      <c r="AC181" s="96" t="str">
        <f>IFERROR(IF($E181="Yes","IPP",VLOOKUP($J181,'ELA Reading Logic'!$A$13:$K$19,VLOOKUP(AA$1,'ELA Reading Logic'!$J$22:$K$31,2,FALSE),FALSE)),"Set Grade")</f>
        <v>Set Grade</v>
      </c>
      <c r="AD181" s="96" t="str">
        <f>IF($E181="Yes","IPP",IFERROR(IF(AND(AA181&gt;AB181,AA181&lt;AC181),"0",(VLOOKUP(AA181,'ELA Reading Logic'!$A$22:$B$48,2,FALSE))-(IF(VLOOKUP(AA181,'ELA Reading Logic'!$A$22:$B$48,2,FALSE)&lt;=VLOOKUP(AB181,'ELA Reading Logic'!$A$22:$B$48,2,FALSE),VLOOKUP(AB181,'ELA Reading Logic'!$A$22:$B$48,2,FALSE),IF(VLOOKUP(AA181,'ELA Reading Logic'!$A$22:$B$48,2,FALSE)&gt;=VLOOKUP(AC181,'ELA Reading Logic'!$A$22:$B$48,2,FALSE),VLOOKUP(AC181,'ELA Reading Logic'!$A$22:$B$48,2,FALSE),"No Score")))),"No Value"))</f>
        <v>No Value</v>
      </c>
      <c r="AE181" s="96" t="str">
        <f>IFERROR(VLOOKUP(AA181,'ELA Reading Logic'!$A$22:$B$48,2,FALSE)-VLOOKUP($F181,'ELA Reading Logic'!$A$22:$B$48,2,FALSE),"No Value")</f>
        <v>No Value</v>
      </c>
      <c r="AF181" s="92"/>
      <c r="AG181" s="96" t="str">
        <f>IFERROR(IF($E181="Yes","IPP",VLOOKUP($J181,'ELA Reading Logic'!$A$3:$K$9,VLOOKUP(AF$1,'ELA Reading Logic'!$J$22:$K$31,2,FALSE),FALSE)),"Set Grade")</f>
        <v>Set Grade</v>
      </c>
      <c r="AH181" s="96" t="str">
        <f>IFERROR(IF($E181="Yes","IPP",VLOOKUP($J181,'ELA Reading Logic'!$A$13:$K$19,VLOOKUP(AF$1,'ELA Reading Logic'!$J$22:$K$31,2,FALSE),FALSE)),"Set Grade")</f>
        <v>Set Grade</v>
      </c>
      <c r="AI181" s="96" t="str">
        <f>IF($E181="Yes","IPP",IFERROR(IF(AND(AF181&gt;AG181,AF181&lt;AH181),"0",(VLOOKUP(AF181,'ELA Reading Logic'!$A$22:$B$48,2,FALSE))-(IF(VLOOKUP(AF181,'ELA Reading Logic'!$A$22:$B$48,2,FALSE)&lt;=VLOOKUP(AG181,'ELA Reading Logic'!$A$22:$B$48,2,FALSE),VLOOKUP(AG181,'ELA Reading Logic'!$A$22:$B$48,2,FALSE),IF(VLOOKUP(AF181,'ELA Reading Logic'!$A$22:$B$48,2,FALSE)&gt;=VLOOKUP(AH181,'ELA Reading Logic'!$A$22:$B$48,2,FALSE),VLOOKUP(AH181,'ELA Reading Logic'!$A$22:$B$48,2,FALSE),"No Score")))),"No Value"))</f>
        <v>No Value</v>
      </c>
      <c r="AJ181" s="96" t="str">
        <f>IFERROR(VLOOKUP(AF181,'ELA Reading Logic'!$A$22:$B$48,2,FALSE)-VLOOKUP($F181,'ELA Reading Logic'!$A$22:$B$48,2,FALSE),"No Value")</f>
        <v>No Value</v>
      </c>
      <c r="AK181" s="92"/>
      <c r="AL181" s="96" t="str">
        <f>IFERROR(IF($E181="Yes","IPP",VLOOKUP($J181,'ELA Reading Logic'!$A$3:$K$9,VLOOKUP(AK$1,'ELA Reading Logic'!$J$22:$K$31,2,FALSE),FALSE)),"Set Grade")</f>
        <v>Set Grade</v>
      </c>
      <c r="AM181" s="96" t="str">
        <f>IFERROR(IF($E181="Yes","IPP",VLOOKUP($J181,'ELA Reading Logic'!$A$13:$K$19,VLOOKUP(AK$1,'ELA Reading Logic'!$J$22:$K$31,2,FALSE),FALSE)),"Set Grade")</f>
        <v>Set Grade</v>
      </c>
      <c r="AN181" s="96" t="str">
        <f>IF($E181="Yes","IPP",IFERROR(IF(AND(AK181&gt;AL181,AK181&lt;AM181),"0",(VLOOKUP(AK181,'ELA Reading Logic'!$A$22:$B$48,2,FALSE))-(IF(VLOOKUP(AK181,'ELA Reading Logic'!$A$22:$B$48,2,FALSE)&lt;=VLOOKUP(AL181,'ELA Reading Logic'!$A$22:$B$48,2,FALSE),VLOOKUP(AL181,'ELA Reading Logic'!$A$22:$B$48,2,FALSE),IF(VLOOKUP(AK181,'ELA Reading Logic'!$A$22:$B$48,2,FALSE)&gt;=VLOOKUP(AM181,'ELA Reading Logic'!$A$22:$B$48,2,FALSE),VLOOKUP(AM181,'ELA Reading Logic'!$A$22:$B$48,2,FALSE),"No Score")))),"No Value"))</f>
        <v>No Value</v>
      </c>
      <c r="AO181" s="96" t="str">
        <f>IFERROR(VLOOKUP(AK181,'ELA Reading Logic'!$A$22:$B$48,2,FALSE)-VLOOKUP($F181,'ELA Reading Logic'!$A$22:$B$48,2,FALSE),"No Value")</f>
        <v>No Value</v>
      </c>
      <c r="AP181" s="92"/>
      <c r="AQ181" s="96" t="str">
        <f>IFERROR(IF($E181="Yes","IPP",VLOOKUP($J181,'ELA Reading Logic'!$A$3:$K$9,VLOOKUP(AP$1,'ELA Reading Logic'!$J$22:$K$31,2,FALSE),FALSE)),"Set Grade")</f>
        <v>Set Grade</v>
      </c>
      <c r="AR181" s="96" t="str">
        <f>IFERROR(IF($E181="Yes","IPP",VLOOKUP($J181,'ELA Reading Logic'!$A$13:$K$19,VLOOKUP(AP$1,'ELA Reading Logic'!$J$22:$K$31,2,FALSE),FALSE)),"Set Grade")</f>
        <v>Set Grade</v>
      </c>
      <c r="AS181" s="96" t="str">
        <f>IF($E181="Yes","IPP",IFERROR(IF(AND(AP181&gt;AQ181,AP181&lt;AR181),"0",(VLOOKUP(AP181,'ELA Reading Logic'!$A$22:$B$48,2,FALSE))-(IF(VLOOKUP(AP181,'ELA Reading Logic'!$A$22:$B$48,2,FALSE)&lt;=VLOOKUP(AQ181,'ELA Reading Logic'!$A$22:$B$48,2,FALSE),VLOOKUP(AQ181,'ELA Reading Logic'!$A$22:$B$48,2,FALSE),IF(VLOOKUP(AP181,'ELA Reading Logic'!$A$22:$B$48,2,FALSE)&gt;=VLOOKUP(AR181,'ELA Reading Logic'!$A$22:$B$48,2,FALSE),VLOOKUP(AR181,'ELA Reading Logic'!$A$22:$B$48,2,FALSE),"No Score")))),"No Value"))</f>
        <v>No Value</v>
      </c>
      <c r="AT181" s="96" t="str">
        <f>IFERROR(VLOOKUP(AP181,'ELA Reading Logic'!$A$22:$B$48,2,FALSE)-VLOOKUP($F181,'ELA Reading Logic'!$A$22:$B$48,2,FALSE),"No Value")</f>
        <v>No Value</v>
      </c>
    </row>
    <row r="182" spans="1:46" ht="22.5" customHeight="1" x14ac:dyDescent="0.25">
      <c r="A182" s="176"/>
      <c r="B182" s="176"/>
      <c r="C182" s="176"/>
      <c r="D182" s="176"/>
      <c r="E182" s="175"/>
      <c r="F182" s="175"/>
      <c r="G182" s="177" t="str">
        <f>IFERROR(IF($E182="Yes","IPP",VLOOKUP($J182,'ELA Reading Logic'!$A$3:$K$9,VLOOKUP("September",'ELA Reading Logic'!$J$22:$K$31,2,FALSE),FALSE)),"Set Grade")</f>
        <v>Set Grade</v>
      </c>
      <c r="H182" s="177" t="str">
        <f>IFERROR(IF($E182="Yes","IPP",VLOOKUP($J182,'ELA Reading Logic'!$A$13:$K$19,VLOOKUP("September",'ELA Reading Logic'!$J$22:$K$31,2,FALSE),FALSE)),"Set Grade")</f>
        <v>Set Grade</v>
      </c>
      <c r="I182" s="96" t="str">
        <f>IF($E182="Yes","IPP",IFERROR(IF(AND(F182&gt;G182,F182&lt;H182),"0",(VLOOKUP(F182,'ELA Reading Logic'!$A$22:$B$48,2,FALSE))-(IF(VLOOKUP(F182,'ELA Reading Logic'!$A$22:$B$48,2,FALSE)&lt;=VLOOKUP(G182,'ELA Reading Logic'!$A$22:$B$48,2,FALSE),VLOOKUP(G182,'ELA Reading Logic'!$A$22:$B$48,2,FALSE),IF(VLOOKUP(F182,'ELA Reading Logic'!$A$22:$B$48,2,FALSE)&gt;=VLOOKUP(H182,'ELA Reading Logic'!$A$22:$B$48,2,FALSE),VLOOKUP(H182,'ELA Reading Logic'!$A$22:$B$48,2,FALSE),"No Score")))),"No Value"))</f>
        <v>No Value</v>
      </c>
      <c r="J182" s="178"/>
      <c r="K182" s="96"/>
      <c r="L182" s="96"/>
      <c r="M182" s="96"/>
      <c r="N182" s="96"/>
      <c r="O182" s="96"/>
      <c r="P182" s="105"/>
      <c r="Q182" s="92"/>
      <c r="R182" s="96" t="str">
        <f>IFERROR(IF($E182="Yes","IPP",VLOOKUP($J182,'ELA Reading Logic'!$A$3:$K$9,VLOOKUP(Q$1,'ELA Reading Logic'!$J$22:$K$31,2,FALSE),FALSE)),"Set Grade")</f>
        <v>Set Grade</v>
      </c>
      <c r="S182" s="96" t="str">
        <f>IFERROR(IF($E182="Yes","IPP",VLOOKUP($J182,'ELA Reading Logic'!$A$13:$K$19,VLOOKUP(Q$1,'ELA Reading Logic'!$J$22:$K$31,2,FALSE),FALSE)),"Set Grade")</f>
        <v>Set Grade</v>
      </c>
      <c r="T182" s="96" t="str">
        <f>IF($E182="Yes","IPP",IFERROR(IF(AND(Q182&gt;R182,Q182&lt;S182),"0",(VLOOKUP(Q182,'ELA Reading Logic'!$A$22:$B$48,2,FALSE))-(IF(VLOOKUP(Q182,'ELA Reading Logic'!$A$22:$B$48,2,FALSE)&lt;=VLOOKUP(R182,'ELA Reading Logic'!$A$22:$B$48,2,FALSE),VLOOKUP(R182,'ELA Reading Logic'!$A$22:$B$48,2,FALSE),IF(VLOOKUP(Q182,'ELA Reading Logic'!$A$22:$B$48,2,FALSE)&gt;=VLOOKUP(S182,'ELA Reading Logic'!$A$22:$B$48,2,FALSE),VLOOKUP(S182,'ELA Reading Logic'!$A$22:$B$48,2,FALSE),"No Score")))),"No Value"))</f>
        <v>No Value</v>
      </c>
      <c r="U182" s="96" t="str">
        <f>IFERROR(VLOOKUP(Q182,'ELA Reading Logic'!$A$22:$B$48,2,FALSE)-VLOOKUP($F182,'ELA Reading Logic'!$A$22:$B$48,2,FALSE),"No Value")</f>
        <v>No Value</v>
      </c>
      <c r="V182" s="92"/>
      <c r="W182" s="96" t="str">
        <f>IFERROR(IF($E182="Yes","IPP",VLOOKUP($J182,'ELA Reading Logic'!$A$3:$K$9,VLOOKUP(V$1,'ELA Reading Logic'!$J$22:$K$31,2,FALSE),FALSE)),"Set Grade")</f>
        <v>Set Grade</v>
      </c>
      <c r="X182" s="96" t="str">
        <f>IFERROR(IF($E182="Yes","IPP",VLOOKUP($J182,'ELA Reading Logic'!$A$13:$K$19,VLOOKUP(V$1,'ELA Reading Logic'!$J$22:$K$31,2,FALSE),FALSE)),"Set Grade")</f>
        <v>Set Grade</v>
      </c>
      <c r="Y182" s="96" t="str">
        <f>IF($E182="Yes","IPP",IFERROR(IF(AND(V182&gt;W182,V182&lt;X182),"0",(VLOOKUP(V182,'ELA Reading Logic'!$A$22:$B$48,2,FALSE))-(IF(VLOOKUP(V182,'ELA Reading Logic'!$A$22:$B$48,2,FALSE)&lt;=VLOOKUP(W182,'ELA Reading Logic'!$A$22:$B$48,2,FALSE),VLOOKUP(W182,'ELA Reading Logic'!$A$22:$B$48,2,FALSE),IF(VLOOKUP(V182,'ELA Reading Logic'!$A$22:$B$48,2,FALSE)&gt;=VLOOKUP(X182,'ELA Reading Logic'!$A$22:$B$48,2,FALSE),VLOOKUP(X182,'ELA Reading Logic'!$A$22:$B$48,2,FALSE),"No Score")))),"No Value"))</f>
        <v>No Value</v>
      </c>
      <c r="Z182" s="96" t="str">
        <f>IFERROR(VLOOKUP(V182,'ELA Reading Logic'!$A$22:$B$48,2,FALSE)-VLOOKUP($F182,'ELA Reading Logic'!$A$22:$B$48,2,FALSE),"No Value")</f>
        <v>No Value</v>
      </c>
      <c r="AA182" s="92"/>
      <c r="AB182" s="96" t="str">
        <f>IFERROR(IF($E182="Yes","IPP",VLOOKUP($J182,'ELA Reading Logic'!$A$3:$K$9,VLOOKUP(AA$1,'ELA Reading Logic'!$J$22:$K$31,2,FALSE),FALSE)),"Set Grade")</f>
        <v>Set Grade</v>
      </c>
      <c r="AC182" s="96" t="str">
        <f>IFERROR(IF($E182="Yes","IPP",VLOOKUP($J182,'ELA Reading Logic'!$A$13:$K$19,VLOOKUP(AA$1,'ELA Reading Logic'!$J$22:$K$31,2,FALSE),FALSE)),"Set Grade")</f>
        <v>Set Grade</v>
      </c>
      <c r="AD182" s="96" t="str">
        <f>IF($E182="Yes","IPP",IFERROR(IF(AND(AA182&gt;AB182,AA182&lt;AC182),"0",(VLOOKUP(AA182,'ELA Reading Logic'!$A$22:$B$48,2,FALSE))-(IF(VLOOKUP(AA182,'ELA Reading Logic'!$A$22:$B$48,2,FALSE)&lt;=VLOOKUP(AB182,'ELA Reading Logic'!$A$22:$B$48,2,FALSE),VLOOKUP(AB182,'ELA Reading Logic'!$A$22:$B$48,2,FALSE),IF(VLOOKUP(AA182,'ELA Reading Logic'!$A$22:$B$48,2,FALSE)&gt;=VLOOKUP(AC182,'ELA Reading Logic'!$A$22:$B$48,2,FALSE),VLOOKUP(AC182,'ELA Reading Logic'!$A$22:$B$48,2,FALSE),"No Score")))),"No Value"))</f>
        <v>No Value</v>
      </c>
      <c r="AE182" s="96" t="str">
        <f>IFERROR(VLOOKUP(AA182,'ELA Reading Logic'!$A$22:$B$48,2,FALSE)-VLOOKUP($F182,'ELA Reading Logic'!$A$22:$B$48,2,FALSE),"No Value")</f>
        <v>No Value</v>
      </c>
      <c r="AF182" s="92"/>
      <c r="AG182" s="96" t="str">
        <f>IFERROR(IF($E182="Yes","IPP",VLOOKUP($J182,'ELA Reading Logic'!$A$3:$K$9,VLOOKUP(AF$1,'ELA Reading Logic'!$J$22:$K$31,2,FALSE),FALSE)),"Set Grade")</f>
        <v>Set Grade</v>
      </c>
      <c r="AH182" s="96" t="str">
        <f>IFERROR(IF($E182="Yes","IPP",VLOOKUP($J182,'ELA Reading Logic'!$A$13:$K$19,VLOOKUP(AF$1,'ELA Reading Logic'!$J$22:$K$31,2,FALSE),FALSE)),"Set Grade")</f>
        <v>Set Grade</v>
      </c>
      <c r="AI182" s="96" t="str">
        <f>IF($E182="Yes","IPP",IFERROR(IF(AND(AF182&gt;AG182,AF182&lt;AH182),"0",(VLOOKUP(AF182,'ELA Reading Logic'!$A$22:$B$48,2,FALSE))-(IF(VLOOKUP(AF182,'ELA Reading Logic'!$A$22:$B$48,2,FALSE)&lt;=VLOOKUP(AG182,'ELA Reading Logic'!$A$22:$B$48,2,FALSE),VLOOKUP(AG182,'ELA Reading Logic'!$A$22:$B$48,2,FALSE),IF(VLOOKUP(AF182,'ELA Reading Logic'!$A$22:$B$48,2,FALSE)&gt;=VLOOKUP(AH182,'ELA Reading Logic'!$A$22:$B$48,2,FALSE),VLOOKUP(AH182,'ELA Reading Logic'!$A$22:$B$48,2,FALSE),"No Score")))),"No Value"))</f>
        <v>No Value</v>
      </c>
      <c r="AJ182" s="96" t="str">
        <f>IFERROR(VLOOKUP(AF182,'ELA Reading Logic'!$A$22:$B$48,2,FALSE)-VLOOKUP($F182,'ELA Reading Logic'!$A$22:$B$48,2,FALSE),"No Value")</f>
        <v>No Value</v>
      </c>
      <c r="AK182" s="92"/>
      <c r="AL182" s="96" t="str">
        <f>IFERROR(IF($E182="Yes","IPP",VLOOKUP($J182,'ELA Reading Logic'!$A$3:$K$9,VLOOKUP(AK$1,'ELA Reading Logic'!$J$22:$K$31,2,FALSE),FALSE)),"Set Grade")</f>
        <v>Set Grade</v>
      </c>
      <c r="AM182" s="96" t="str">
        <f>IFERROR(IF($E182="Yes","IPP",VLOOKUP($J182,'ELA Reading Logic'!$A$13:$K$19,VLOOKUP(AK$1,'ELA Reading Logic'!$J$22:$K$31,2,FALSE),FALSE)),"Set Grade")</f>
        <v>Set Grade</v>
      </c>
      <c r="AN182" s="96" t="str">
        <f>IF($E182="Yes","IPP",IFERROR(IF(AND(AK182&gt;AL182,AK182&lt;AM182),"0",(VLOOKUP(AK182,'ELA Reading Logic'!$A$22:$B$48,2,FALSE))-(IF(VLOOKUP(AK182,'ELA Reading Logic'!$A$22:$B$48,2,FALSE)&lt;=VLOOKUP(AL182,'ELA Reading Logic'!$A$22:$B$48,2,FALSE),VLOOKUP(AL182,'ELA Reading Logic'!$A$22:$B$48,2,FALSE),IF(VLOOKUP(AK182,'ELA Reading Logic'!$A$22:$B$48,2,FALSE)&gt;=VLOOKUP(AM182,'ELA Reading Logic'!$A$22:$B$48,2,FALSE),VLOOKUP(AM182,'ELA Reading Logic'!$A$22:$B$48,2,FALSE),"No Score")))),"No Value"))</f>
        <v>No Value</v>
      </c>
      <c r="AO182" s="96" t="str">
        <f>IFERROR(VLOOKUP(AK182,'ELA Reading Logic'!$A$22:$B$48,2,FALSE)-VLOOKUP($F182,'ELA Reading Logic'!$A$22:$B$48,2,FALSE),"No Value")</f>
        <v>No Value</v>
      </c>
      <c r="AP182" s="92"/>
      <c r="AQ182" s="96" t="str">
        <f>IFERROR(IF($E182="Yes","IPP",VLOOKUP($J182,'ELA Reading Logic'!$A$3:$K$9,VLOOKUP(AP$1,'ELA Reading Logic'!$J$22:$K$31,2,FALSE),FALSE)),"Set Grade")</f>
        <v>Set Grade</v>
      </c>
      <c r="AR182" s="96" t="str">
        <f>IFERROR(IF($E182="Yes","IPP",VLOOKUP($J182,'ELA Reading Logic'!$A$13:$K$19,VLOOKUP(AP$1,'ELA Reading Logic'!$J$22:$K$31,2,FALSE),FALSE)),"Set Grade")</f>
        <v>Set Grade</v>
      </c>
      <c r="AS182" s="96" t="str">
        <f>IF($E182="Yes","IPP",IFERROR(IF(AND(AP182&gt;AQ182,AP182&lt;AR182),"0",(VLOOKUP(AP182,'ELA Reading Logic'!$A$22:$B$48,2,FALSE))-(IF(VLOOKUP(AP182,'ELA Reading Logic'!$A$22:$B$48,2,FALSE)&lt;=VLOOKUP(AQ182,'ELA Reading Logic'!$A$22:$B$48,2,FALSE),VLOOKUP(AQ182,'ELA Reading Logic'!$A$22:$B$48,2,FALSE),IF(VLOOKUP(AP182,'ELA Reading Logic'!$A$22:$B$48,2,FALSE)&gt;=VLOOKUP(AR182,'ELA Reading Logic'!$A$22:$B$48,2,FALSE),VLOOKUP(AR182,'ELA Reading Logic'!$A$22:$B$48,2,FALSE),"No Score")))),"No Value"))</f>
        <v>No Value</v>
      </c>
      <c r="AT182" s="96" t="str">
        <f>IFERROR(VLOOKUP(AP182,'ELA Reading Logic'!$A$22:$B$48,2,FALSE)-VLOOKUP($F182,'ELA Reading Logic'!$A$22:$B$48,2,FALSE),"No Value")</f>
        <v>No Value</v>
      </c>
    </row>
    <row r="183" spans="1:46" ht="22.5" customHeight="1" x14ac:dyDescent="0.25">
      <c r="A183" s="174"/>
      <c r="B183" s="174"/>
      <c r="C183" s="174"/>
      <c r="D183" s="174"/>
      <c r="E183" s="175"/>
      <c r="F183" s="175"/>
      <c r="G183" s="177" t="str">
        <f>IFERROR(IF($E183="Yes","IPP",VLOOKUP($J183,'ELA Reading Logic'!$A$3:$K$9,VLOOKUP("September",'ELA Reading Logic'!$J$22:$K$31,2,FALSE),FALSE)),"Set Grade")</f>
        <v>Set Grade</v>
      </c>
      <c r="H183" s="177" t="str">
        <f>IFERROR(IF($E183="Yes","IPP",VLOOKUP($J183,'ELA Reading Logic'!$A$13:$K$19,VLOOKUP("September",'ELA Reading Logic'!$J$22:$K$31,2,FALSE),FALSE)),"Set Grade")</f>
        <v>Set Grade</v>
      </c>
      <c r="I183" s="96" t="str">
        <f>IF($E183="Yes","IPP",IFERROR(IF(AND(F183&gt;G183,F183&lt;H183),"0",(VLOOKUP(F183,'ELA Reading Logic'!$A$22:$B$48,2,FALSE))-(IF(VLOOKUP(F183,'ELA Reading Logic'!$A$22:$B$48,2,FALSE)&lt;=VLOOKUP(G183,'ELA Reading Logic'!$A$22:$B$48,2,FALSE),VLOOKUP(G183,'ELA Reading Logic'!$A$22:$B$48,2,FALSE),IF(VLOOKUP(F183,'ELA Reading Logic'!$A$22:$B$48,2,FALSE)&gt;=VLOOKUP(H183,'ELA Reading Logic'!$A$22:$B$48,2,FALSE),VLOOKUP(H183,'ELA Reading Logic'!$A$22:$B$48,2,FALSE),"No Score")))),"No Value"))</f>
        <v>No Value</v>
      </c>
      <c r="J183" s="178"/>
      <c r="K183" s="96"/>
      <c r="L183" s="96"/>
      <c r="M183" s="96"/>
      <c r="N183" s="96"/>
      <c r="O183" s="96"/>
      <c r="P183" s="105"/>
      <c r="Q183" s="92"/>
      <c r="R183" s="96" t="str">
        <f>IFERROR(IF($E183="Yes","IPP",VLOOKUP($J183,'ELA Reading Logic'!$A$3:$K$9,VLOOKUP(Q$1,'ELA Reading Logic'!$J$22:$K$31,2,FALSE),FALSE)),"Set Grade")</f>
        <v>Set Grade</v>
      </c>
      <c r="S183" s="96" t="str">
        <f>IFERROR(IF($E183="Yes","IPP",VLOOKUP($J183,'ELA Reading Logic'!$A$13:$K$19,VLOOKUP(Q$1,'ELA Reading Logic'!$J$22:$K$31,2,FALSE),FALSE)),"Set Grade")</f>
        <v>Set Grade</v>
      </c>
      <c r="T183" s="96" t="str">
        <f>IF($E183="Yes","IPP",IFERROR(IF(AND(Q183&gt;R183,Q183&lt;S183),"0",(VLOOKUP(Q183,'ELA Reading Logic'!$A$22:$B$48,2,FALSE))-(IF(VLOOKUP(Q183,'ELA Reading Logic'!$A$22:$B$48,2,FALSE)&lt;=VLOOKUP(R183,'ELA Reading Logic'!$A$22:$B$48,2,FALSE),VLOOKUP(R183,'ELA Reading Logic'!$A$22:$B$48,2,FALSE),IF(VLOOKUP(Q183,'ELA Reading Logic'!$A$22:$B$48,2,FALSE)&gt;=VLOOKUP(S183,'ELA Reading Logic'!$A$22:$B$48,2,FALSE),VLOOKUP(S183,'ELA Reading Logic'!$A$22:$B$48,2,FALSE),"No Score")))),"No Value"))</f>
        <v>No Value</v>
      </c>
      <c r="U183" s="96" t="str">
        <f>IFERROR(VLOOKUP(Q183,'ELA Reading Logic'!$A$22:$B$48,2,FALSE)-VLOOKUP($F183,'ELA Reading Logic'!$A$22:$B$48,2,FALSE),"No Value")</f>
        <v>No Value</v>
      </c>
      <c r="V183" s="92"/>
      <c r="W183" s="96" t="str">
        <f>IFERROR(IF($E183="Yes","IPP",VLOOKUP($J183,'ELA Reading Logic'!$A$3:$K$9,VLOOKUP(V$1,'ELA Reading Logic'!$J$22:$K$31,2,FALSE),FALSE)),"Set Grade")</f>
        <v>Set Grade</v>
      </c>
      <c r="X183" s="96" t="str">
        <f>IFERROR(IF($E183="Yes","IPP",VLOOKUP($J183,'ELA Reading Logic'!$A$13:$K$19,VLOOKUP(V$1,'ELA Reading Logic'!$J$22:$K$31,2,FALSE),FALSE)),"Set Grade")</f>
        <v>Set Grade</v>
      </c>
      <c r="Y183" s="96" t="str">
        <f>IF($E183="Yes","IPP",IFERROR(IF(AND(V183&gt;W183,V183&lt;X183),"0",(VLOOKUP(V183,'ELA Reading Logic'!$A$22:$B$48,2,FALSE))-(IF(VLOOKUP(V183,'ELA Reading Logic'!$A$22:$B$48,2,FALSE)&lt;=VLOOKUP(W183,'ELA Reading Logic'!$A$22:$B$48,2,FALSE),VLOOKUP(W183,'ELA Reading Logic'!$A$22:$B$48,2,FALSE),IF(VLOOKUP(V183,'ELA Reading Logic'!$A$22:$B$48,2,FALSE)&gt;=VLOOKUP(X183,'ELA Reading Logic'!$A$22:$B$48,2,FALSE),VLOOKUP(X183,'ELA Reading Logic'!$A$22:$B$48,2,FALSE),"No Score")))),"No Value"))</f>
        <v>No Value</v>
      </c>
      <c r="Z183" s="96" t="str">
        <f>IFERROR(VLOOKUP(V183,'ELA Reading Logic'!$A$22:$B$48,2,FALSE)-VLOOKUP($F183,'ELA Reading Logic'!$A$22:$B$48,2,FALSE),"No Value")</f>
        <v>No Value</v>
      </c>
      <c r="AA183" s="92"/>
      <c r="AB183" s="96" t="str">
        <f>IFERROR(IF($E183="Yes","IPP",VLOOKUP($J183,'ELA Reading Logic'!$A$3:$K$9,VLOOKUP(AA$1,'ELA Reading Logic'!$J$22:$K$31,2,FALSE),FALSE)),"Set Grade")</f>
        <v>Set Grade</v>
      </c>
      <c r="AC183" s="96" t="str">
        <f>IFERROR(IF($E183="Yes","IPP",VLOOKUP($J183,'ELA Reading Logic'!$A$13:$K$19,VLOOKUP(AA$1,'ELA Reading Logic'!$J$22:$K$31,2,FALSE),FALSE)),"Set Grade")</f>
        <v>Set Grade</v>
      </c>
      <c r="AD183" s="96" t="str">
        <f>IF($E183="Yes","IPP",IFERROR(IF(AND(AA183&gt;AB183,AA183&lt;AC183),"0",(VLOOKUP(AA183,'ELA Reading Logic'!$A$22:$B$48,2,FALSE))-(IF(VLOOKUP(AA183,'ELA Reading Logic'!$A$22:$B$48,2,FALSE)&lt;=VLOOKUP(AB183,'ELA Reading Logic'!$A$22:$B$48,2,FALSE),VLOOKUP(AB183,'ELA Reading Logic'!$A$22:$B$48,2,FALSE),IF(VLOOKUP(AA183,'ELA Reading Logic'!$A$22:$B$48,2,FALSE)&gt;=VLOOKUP(AC183,'ELA Reading Logic'!$A$22:$B$48,2,FALSE),VLOOKUP(AC183,'ELA Reading Logic'!$A$22:$B$48,2,FALSE),"No Score")))),"No Value"))</f>
        <v>No Value</v>
      </c>
      <c r="AE183" s="96" t="str">
        <f>IFERROR(VLOOKUP(AA183,'ELA Reading Logic'!$A$22:$B$48,2,FALSE)-VLOOKUP($F183,'ELA Reading Logic'!$A$22:$B$48,2,FALSE),"No Value")</f>
        <v>No Value</v>
      </c>
      <c r="AF183" s="92"/>
      <c r="AG183" s="96" t="str">
        <f>IFERROR(IF($E183="Yes","IPP",VLOOKUP($J183,'ELA Reading Logic'!$A$3:$K$9,VLOOKUP(AF$1,'ELA Reading Logic'!$J$22:$K$31,2,FALSE),FALSE)),"Set Grade")</f>
        <v>Set Grade</v>
      </c>
      <c r="AH183" s="96" t="str">
        <f>IFERROR(IF($E183="Yes","IPP",VLOOKUP($J183,'ELA Reading Logic'!$A$13:$K$19,VLOOKUP(AF$1,'ELA Reading Logic'!$J$22:$K$31,2,FALSE),FALSE)),"Set Grade")</f>
        <v>Set Grade</v>
      </c>
      <c r="AI183" s="96" t="str">
        <f>IF($E183="Yes","IPP",IFERROR(IF(AND(AF183&gt;AG183,AF183&lt;AH183),"0",(VLOOKUP(AF183,'ELA Reading Logic'!$A$22:$B$48,2,FALSE))-(IF(VLOOKUP(AF183,'ELA Reading Logic'!$A$22:$B$48,2,FALSE)&lt;=VLOOKUP(AG183,'ELA Reading Logic'!$A$22:$B$48,2,FALSE),VLOOKUP(AG183,'ELA Reading Logic'!$A$22:$B$48,2,FALSE),IF(VLOOKUP(AF183,'ELA Reading Logic'!$A$22:$B$48,2,FALSE)&gt;=VLOOKUP(AH183,'ELA Reading Logic'!$A$22:$B$48,2,FALSE),VLOOKUP(AH183,'ELA Reading Logic'!$A$22:$B$48,2,FALSE),"No Score")))),"No Value"))</f>
        <v>No Value</v>
      </c>
      <c r="AJ183" s="96" t="str">
        <f>IFERROR(VLOOKUP(AF183,'ELA Reading Logic'!$A$22:$B$48,2,FALSE)-VLOOKUP($F183,'ELA Reading Logic'!$A$22:$B$48,2,FALSE),"No Value")</f>
        <v>No Value</v>
      </c>
      <c r="AK183" s="92"/>
      <c r="AL183" s="96" t="str">
        <f>IFERROR(IF($E183="Yes","IPP",VLOOKUP($J183,'ELA Reading Logic'!$A$3:$K$9,VLOOKUP(AK$1,'ELA Reading Logic'!$J$22:$K$31,2,FALSE),FALSE)),"Set Grade")</f>
        <v>Set Grade</v>
      </c>
      <c r="AM183" s="96" t="str">
        <f>IFERROR(IF($E183="Yes","IPP",VLOOKUP($J183,'ELA Reading Logic'!$A$13:$K$19,VLOOKUP(AK$1,'ELA Reading Logic'!$J$22:$K$31,2,FALSE),FALSE)),"Set Grade")</f>
        <v>Set Grade</v>
      </c>
      <c r="AN183" s="96" t="str">
        <f>IF($E183="Yes","IPP",IFERROR(IF(AND(AK183&gt;AL183,AK183&lt;AM183),"0",(VLOOKUP(AK183,'ELA Reading Logic'!$A$22:$B$48,2,FALSE))-(IF(VLOOKUP(AK183,'ELA Reading Logic'!$A$22:$B$48,2,FALSE)&lt;=VLOOKUP(AL183,'ELA Reading Logic'!$A$22:$B$48,2,FALSE),VLOOKUP(AL183,'ELA Reading Logic'!$A$22:$B$48,2,FALSE),IF(VLOOKUP(AK183,'ELA Reading Logic'!$A$22:$B$48,2,FALSE)&gt;=VLOOKUP(AM183,'ELA Reading Logic'!$A$22:$B$48,2,FALSE),VLOOKUP(AM183,'ELA Reading Logic'!$A$22:$B$48,2,FALSE),"No Score")))),"No Value"))</f>
        <v>No Value</v>
      </c>
      <c r="AO183" s="96" t="str">
        <f>IFERROR(VLOOKUP(AK183,'ELA Reading Logic'!$A$22:$B$48,2,FALSE)-VLOOKUP($F183,'ELA Reading Logic'!$A$22:$B$48,2,FALSE),"No Value")</f>
        <v>No Value</v>
      </c>
      <c r="AP183" s="92"/>
      <c r="AQ183" s="96" t="str">
        <f>IFERROR(IF($E183="Yes","IPP",VLOOKUP($J183,'ELA Reading Logic'!$A$3:$K$9,VLOOKUP(AP$1,'ELA Reading Logic'!$J$22:$K$31,2,FALSE),FALSE)),"Set Grade")</f>
        <v>Set Grade</v>
      </c>
      <c r="AR183" s="96" t="str">
        <f>IFERROR(IF($E183="Yes","IPP",VLOOKUP($J183,'ELA Reading Logic'!$A$13:$K$19,VLOOKUP(AP$1,'ELA Reading Logic'!$J$22:$K$31,2,FALSE),FALSE)),"Set Grade")</f>
        <v>Set Grade</v>
      </c>
      <c r="AS183" s="96" t="str">
        <f>IF($E183="Yes","IPP",IFERROR(IF(AND(AP183&gt;AQ183,AP183&lt;AR183),"0",(VLOOKUP(AP183,'ELA Reading Logic'!$A$22:$B$48,2,FALSE))-(IF(VLOOKUP(AP183,'ELA Reading Logic'!$A$22:$B$48,2,FALSE)&lt;=VLOOKUP(AQ183,'ELA Reading Logic'!$A$22:$B$48,2,FALSE),VLOOKUP(AQ183,'ELA Reading Logic'!$A$22:$B$48,2,FALSE),IF(VLOOKUP(AP183,'ELA Reading Logic'!$A$22:$B$48,2,FALSE)&gt;=VLOOKUP(AR183,'ELA Reading Logic'!$A$22:$B$48,2,FALSE),VLOOKUP(AR183,'ELA Reading Logic'!$A$22:$B$48,2,FALSE),"No Score")))),"No Value"))</f>
        <v>No Value</v>
      </c>
      <c r="AT183" s="96" t="str">
        <f>IFERROR(VLOOKUP(AP183,'ELA Reading Logic'!$A$22:$B$48,2,FALSE)-VLOOKUP($F183,'ELA Reading Logic'!$A$22:$B$48,2,FALSE),"No Value")</f>
        <v>No Value</v>
      </c>
    </row>
    <row r="184" spans="1:46" ht="22.5" customHeight="1" x14ac:dyDescent="0.25">
      <c r="A184" s="174"/>
      <c r="B184" s="174"/>
      <c r="C184" s="174"/>
      <c r="D184" s="174"/>
      <c r="E184" s="175"/>
      <c r="F184" s="175"/>
      <c r="G184" s="177" t="str">
        <f>IFERROR(IF($E184="Yes","IPP",VLOOKUP($J184,'ELA Reading Logic'!$A$3:$K$9,VLOOKUP("September",'ELA Reading Logic'!$J$22:$K$31,2,FALSE),FALSE)),"Set Grade")</f>
        <v>Set Grade</v>
      </c>
      <c r="H184" s="177" t="str">
        <f>IFERROR(IF($E184="Yes","IPP",VLOOKUP($J184,'ELA Reading Logic'!$A$13:$K$19,VLOOKUP("September",'ELA Reading Logic'!$J$22:$K$31,2,FALSE),FALSE)),"Set Grade")</f>
        <v>Set Grade</v>
      </c>
      <c r="I184" s="96" t="str">
        <f>IF($E184="Yes","IPP",IFERROR(IF(AND(F184&gt;G184,F184&lt;H184),"0",(VLOOKUP(F184,'ELA Reading Logic'!$A$22:$B$48,2,FALSE))-(IF(VLOOKUP(F184,'ELA Reading Logic'!$A$22:$B$48,2,FALSE)&lt;=VLOOKUP(G184,'ELA Reading Logic'!$A$22:$B$48,2,FALSE),VLOOKUP(G184,'ELA Reading Logic'!$A$22:$B$48,2,FALSE),IF(VLOOKUP(F184,'ELA Reading Logic'!$A$22:$B$48,2,FALSE)&gt;=VLOOKUP(H184,'ELA Reading Logic'!$A$22:$B$48,2,FALSE),VLOOKUP(H184,'ELA Reading Logic'!$A$22:$B$48,2,FALSE),"No Score")))),"No Value"))</f>
        <v>No Value</v>
      </c>
      <c r="J184" s="178"/>
      <c r="K184" s="96"/>
      <c r="L184" s="96"/>
      <c r="M184" s="96"/>
      <c r="N184" s="96"/>
      <c r="O184" s="96"/>
      <c r="P184" s="105"/>
      <c r="Q184" s="92"/>
      <c r="R184" s="96" t="str">
        <f>IFERROR(IF($E184="Yes","IPP",VLOOKUP($J184,'ELA Reading Logic'!$A$3:$K$9,VLOOKUP(Q$1,'ELA Reading Logic'!$J$22:$K$31,2,FALSE),FALSE)),"Set Grade")</f>
        <v>Set Grade</v>
      </c>
      <c r="S184" s="96" t="str">
        <f>IFERROR(IF($E184="Yes","IPP",VLOOKUP($J184,'ELA Reading Logic'!$A$13:$K$19,VLOOKUP(Q$1,'ELA Reading Logic'!$J$22:$K$31,2,FALSE),FALSE)),"Set Grade")</f>
        <v>Set Grade</v>
      </c>
      <c r="T184" s="96" t="str">
        <f>IF($E184="Yes","IPP",IFERROR(IF(AND(Q184&gt;R184,Q184&lt;S184),"0",(VLOOKUP(Q184,'ELA Reading Logic'!$A$22:$B$48,2,FALSE))-(IF(VLOOKUP(Q184,'ELA Reading Logic'!$A$22:$B$48,2,FALSE)&lt;=VLOOKUP(R184,'ELA Reading Logic'!$A$22:$B$48,2,FALSE),VLOOKUP(R184,'ELA Reading Logic'!$A$22:$B$48,2,FALSE),IF(VLOOKUP(Q184,'ELA Reading Logic'!$A$22:$B$48,2,FALSE)&gt;=VLOOKUP(S184,'ELA Reading Logic'!$A$22:$B$48,2,FALSE),VLOOKUP(S184,'ELA Reading Logic'!$A$22:$B$48,2,FALSE),"No Score")))),"No Value"))</f>
        <v>No Value</v>
      </c>
      <c r="U184" s="96" t="str">
        <f>IFERROR(VLOOKUP(Q184,'ELA Reading Logic'!$A$22:$B$48,2,FALSE)-VLOOKUP($F184,'ELA Reading Logic'!$A$22:$B$48,2,FALSE),"No Value")</f>
        <v>No Value</v>
      </c>
      <c r="V184" s="92"/>
      <c r="W184" s="96" t="str">
        <f>IFERROR(IF($E184="Yes","IPP",VLOOKUP($J184,'ELA Reading Logic'!$A$3:$K$9,VLOOKUP(V$1,'ELA Reading Logic'!$J$22:$K$31,2,FALSE),FALSE)),"Set Grade")</f>
        <v>Set Grade</v>
      </c>
      <c r="X184" s="96" t="str">
        <f>IFERROR(IF($E184="Yes","IPP",VLOOKUP($J184,'ELA Reading Logic'!$A$13:$K$19,VLOOKUP(V$1,'ELA Reading Logic'!$J$22:$K$31,2,FALSE),FALSE)),"Set Grade")</f>
        <v>Set Grade</v>
      </c>
      <c r="Y184" s="96" t="str">
        <f>IF($E184="Yes","IPP",IFERROR(IF(AND(V184&gt;W184,V184&lt;X184),"0",(VLOOKUP(V184,'ELA Reading Logic'!$A$22:$B$48,2,FALSE))-(IF(VLOOKUP(V184,'ELA Reading Logic'!$A$22:$B$48,2,FALSE)&lt;=VLOOKUP(W184,'ELA Reading Logic'!$A$22:$B$48,2,FALSE),VLOOKUP(W184,'ELA Reading Logic'!$A$22:$B$48,2,FALSE),IF(VLOOKUP(V184,'ELA Reading Logic'!$A$22:$B$48,2,FALSE)&gt;=VLOOKUP(X184,'ELA Reading Logic'!$A$22:$B$48,2,FALSE),VLOOKUP(X184,'ELA Reading Logic'!$A$22:$B$48,2,FALSE),"No Score")))),"No Value"))</f>
        <v>No Value</v>
      </c>
      <c r="Z184" s="96" t="str">
        <f>IFERROR(VLOOKUP(V184,'ELA Reading Logic'!$A$22:$B$48,2,FALSE)-VLOOKUP($F184,'ELA Reading Logic'!$A$22:$B$48,2,FALSE),"No Value")</f>
        <v>No Value</v>
      </c>
      <c r="AA184" s="92"/>
      <c r="AB184" s="96" t="str">
        <f>IFERROR(IF($E184="Yes","IPP",VLOOKUP($J184,'ELA Reading Logic'!$A$3:$K$9,VLOOKUP(AA$1,'ELA Reading Logic'!$J$22:$K$31,2,FALSE),FALSE)),"Set Grade")</f>
        <v>Set Grade</v>
      </c>
      <c r="AC184" s="96" t="str">
        <f>IFERROR(IF($E184="Yes","IPP",VLOOKUP($J184,'ELA Reading Logic'!$A$13:$K$19,VLOOKUP(AA$1,'ELA Reading Logic'!$J$22:$K$31,2,FALSE),FALSE)),"Set Grade")</f>
        <v>Set Grade</v>
      </c>
      <c r="AD184" s="96" t="str">
        <f>IF($E184="Yes","IPP",IFERROR(IF(AND(AA184&gt;AB184,AA184&lt;AC184),"0",(VLOOKUP(AA184,'ELA Reading Logic'!$A$22:$B$48,2,FALSE))-(IF(VLOOKUP(AA184,'ELA Reading Logic'!$A$22:$B$48,2,FALSE)&lt;=VLOOKUP(AB184,'ELA Reading Logic'!$A$22:$B$48,2,FALSE),VLOOKUP(AB184,'ELA Reading Logic'!$A$22:$B$48,2,FALSE),IF(VLOOKUP(AA184,'ELA Reading Logic'!$A$22:$B$48,2,FALSE)&gt;=VLOOKUP(AC184,'ELA Reading Logic'!$A$22:$B$48,2,FALSE),VLOOKUP(AC184,'ELA Reading Logic'!$A$22:$B$48,2,FALSE),"No Score")))),"No Value"))</f>
        <v>No Value</v>
      </c>
      <c r="AE184" s="96" t="str">
        <f>IFERROR(VLOOKUP(AA184,'ELA Reading Logic'!$A$22:$B$48,2,FALSE)-VLOOKUP($F184,'ELA Reading Logic'!$A$22:$B$48,2,FALSE),"No Value")</f>
        <v>No Value</v>
      </c>
      <c r="AF184" s="92"/>
      <c r="AG184" s="96" t="str">
        <f>IFERROR(IF($E184="Yes","IPP",VLOOKUP($J184,'ELA Reading Logic'!$A$3:$K$9,VLOOKUP(AF$1,'ELA Reading Logic'!$J$22:$K$31,2,FALSE),FALSE)),"Set Grade")</f>
        <v>Set Grade</v>
      </c>
      <c r="AH184" s="96" t="str">
        <f>IFERROR(IF($E184="Yes","IPP",VLOOKUP($J184,'ELA Reading Logic'!$A$13:$K$19,VLOOKUP(AF$1,'ELA Reading Logic'!$J$22:$K$31,2,FALSE),FALSE)),"Set Grade")</f>
        <v>Set Grade</v>
      </c>
      <c r="AI184" s="96" t="str">
        <f>IF($E184="Yes","IPP",IFERROR(IF(AND(AF184&gt;AG184,AF184&lt;AH184),"0",(VLOOKUP(AF184,'ELA Reading Logic'!$A$22:$B$48,2,FALSE))-(IF(VLOOKUP(AF184,'ELA Reading Logic'!$A$22:$B$48,2,FALSE)&lt;=VLOOKUP(AG184,'ELA Reading Logic'!$A$22:$B$48,2,FALSE),VLOOKUP(AG184,'ELA Reading Logic'!$A$22:$B$48,2,FALSE),IF(VLOOKUP(AF184,'ELA Reading Logic'!$A$22:$B$48,2,FALSE)&gt;=VLOOKUP(AH184,'ELA Reading Logic'!$A$22:$B$48,2,FALSE),VLOOKUP(AH184,'ELA Reading Logic'!$A$22:$B$48,2,FALSE),"No Score")))),"No Value"))</f>
        <v>No Value</v>
      </c>
      <c r="AJ184" s="96" t="str">
        <f>IFERROR(VLOOKUP(AF184,'ELA Reading Logic'!$A$22:$B$48,2,FALSE)-VLOOKUP($F184,'ELA Reading Logic'!$A$22:$B$48,2,FALSE),"No Value")</f>
        <v>No Value</v>
      </c>
      <c r="AK184" s="92"/>
      <c r="AL184" s="96" t="str">
        <f>IFERROR(IF($E184="Yes","IPP",VLOOKUP($J184,'ELA Reading Logic'!$A$3:$K$9,VLOOKUP(AK$1,'ELA Reading Logic'!$J$22:$K$31,2,FALSE),FALSE)),"Set Grade")</f>
        <v>Set Grade</v>
      </c>
      <c r="AM184" s="96" t="str">
        <f>IFERROR(IF($E184="Yes","IPP",VLOOKUP($J184,'ELA Reading Logic'!$A$13:$K$19,VLOOKUP(AK$1,'ELA Reading Logic'!$J$22:$K$31,2,FALSE),FALSE)),"Set Grade")</f>
        <v>Set Grade</v>
      </c>
      <c r="AN184" s="96" t="str">
        <f>IF($E184="Yes","IPP",IFERROR(IF(AND(AK184&gt;AL184,AK184&lt;AM184),"0",(VLOOKUP(AK184,'ELA Reading Logic'!$A$22:$B$48,2,FALSE))-(IF(VLOOKUP(AK184,'ELA Reading Logic'!$A$22:$B$48,2,FALSE)&lt;=VLOOKUP(AL184,'ELA Reading Logic'!$A$22:$B$48,2,FALSE),VLOOKUP(AL184,'ELA Reading Logic'!$A$22:$B$48,2,FALSE),IF(VLOOKUP(AK184,'ELA Reading Logic'!$A$22:$B$48,2,FALSE)&gt;=VLOOKUP(AM184,'ELA Reading Logic'!$A$22:$B$48,2,FALSE),VLOOKUP(AM184,'ELA Reading Logic'!$A$22:$B$48,2,FALSE),"No Score")))),"No Value"))</f>
        <v>No Value</v>
      </c>
      <c r="AO184" s="96" t="str">
        <f>IFERROR(VLOOKUP(AK184,'ELA Reading Logic'!$A$22:$B$48,2,FALSE)-VLOOKUP($F184,'ELA Reading Logic'!$A$22:$B$48,2,FALSE),"No Value")</f>
        <v>No Value</v>
      </c>
      <c r="AP184" s="92"/>
      <c r="AQ184" s="96" t="str">
        <f>IFERROR(IF($E184="Yes","IPP",VLOOKUP($J184,'ELA Reading Logic'!$A$3:$K$9,VLOOKUP(AP$1,'ELA Reading Logic'!$J$22:$K$31,2,FALSE),FALSE)),"Set Grade")</f>
        <v>Set Grade</v>
      </c>
      <c r="AR184" s="96" t="str">
        <f>IFERROR(IF($E184="Yes","IPP",VLOOKUP($J184,'ELA Reading Logic'!$A$13:$K$19,VLOOKUP(AP$1,'ELA Reading Logic'!$J$22:$K$31,2,FALSE),FALSE)),"Set Grade")</f>
        <v>Set Grade</v>
      </c>
      <c r="AS184" s="96" t="str">
        <f>IF($E184="Yes","IPP",IFERROR(IF(AND(AP184&gt;AQ184,AP184&lt;AR184),"0",(VLOOKUP(AP184,'ELA Reading Logic'!$A$22:$B$48,2,FALSE))-(IF(VLOOKUP(AP184,'ELA Reading Logic'!$A$22:$B$48,2,FALSE)&lt;=VLOOKUP(AQ184,'ELA Reading Logic'!$A$22:$B$48,2,FALSE),VLOOKUP(AQ184,'ELA Reading Logic'!$A$22:$B$48,2,FALSE),IF(VLOOKUP(AP184,'ELA Reading Logic'!$A$22:$B$48,2,FALSE)&gt;=VLOOKUP(AR184,'ELA Reading Logic'!$A$22:$B$48,2,FALSE),VLOOKUP(AR184,'ELA Reading Logic'!$A$22:$B$48,2,FALSE),"No Score")))),"No Value"))</f>
        <v>No Value</v>
      </c>
      <c r="AT184" s="96" t="str">
        <f>IFERROR(VLOOKUP(AP184,'ELA Reading Logic'!$A$22:$B$48,2,FALSE)-VLOOKUP($F184,'ELA Reading Logic'!$A$22:$B$48,2,FALSE),"No Value")</f>
        <v>No Value</v>
      </c>
    </row>
    <row r="185" spans="1:46" ht="22.5" customHeight="1" x14ac:dyDescent="0.25">
      <c r="A185" s="176"/>
      <c r="B185" s="176"/>
      <c r="C185" s="176"/>
      <c r="D185" s="176"/>
      <c r="E185" s="175"/>
      <c r="F185" s="175"/>
      <c r="G185" s="177" t="str">
        <f>IFERROR(IF($E185="Yes","IPP",VLOOKUP($J185,'ELA Reading Logic'!$A$3:$K$9,VLOOKUP("September",'ELA Reading Logic'!$J$22:$K$31,2,FALSE),FALSE)),"Set Grade")</f>
        <v>Set Grade</v>
      </c>
      <c r="H185" s="177" t="str">
        <f>IFERROR(IF($E185="Yes","IPP",VLOOKUP($J185,'ELA Reading Logic'!$A$13:$K$19,VLOOKUP("September",'ELA Reading Logic'!$J$22:$K$31,2,FALSE),FALSE)),"Set Grade")</f>
        <v>Set Grade</v>
      </c>
      <c r="I185" s="96" t="str">
        <f>IF($E185="Yes","IPP",IFERROR(IF(AND(F185&gt;G185,F185&lt;H185),"0",(VLOOKUP(F185,'ELA Reading Logic'!$A$22:$B$48,2,FALSE))-(IF(VLOOKUP(F185,'ELA Reading Logic'!$A$22:$B$48,2,FALSE)&lt;=VLOOKUP(G185,'ELA Reading Logic'!$A$22:$B$48,2,FALSE),VLOOKUP(G185,'ELA Reading Logic'!$A$22:$B$48,2,FALSE),IF(VLOOKUP(F185,'ELA Reading Logic'!$A$22:$B$48,2,FALSE)&gt;=VLOOKUP(H185,'ELA Reading Logic'!$A$22:$B$48,2,FALSE),VLOOKUP(H185,'ELA Reading Logic'!$A$22:$B$48,2,FALSE),"No Score")))),"No Value"))</f>
        <v>No Value</v>
      </c>
      <c r="J185" s="178"/>
      <c r="K185" s="96"/>
      <c r="L185" s="96"/>
      <c r="M185" s="96"/>
      <c r="N185" s="96"/>
      <c r="O185" s="96"/>
      <c r="P185" s="105"/>
      <c r="Q185" s="92"/>
      <c r="R185" s="96" t="str">
        <f>IFERROR(IF($E185="Yes","IPP",VLOOKUP($J185,'ELA Reading Logic'!$A$3:$K$9,VLOOKUP(Q$1,'ELA Reading Logic'!$J$22:$K$31,2,FALSE),FALSE)),"Set Grade")</f>
        <v>Set Grade</v>
      </c>
      <c r="S185" s="96" t="str">
        <f>IFERROR(IF($E185="Yes","IPP",VLOOKUP($J185,'ELA Reading Logic'!$A$13:$K$19,VLOOKUP(Q$1,'ELA Reading Logic'!$J$22:$K$31,2,FALSE),FALSE)),"Set Grade")</f>
        <v>Set Grade</v>
      </c>
      <c r="T185" s="96" t="str">
        <f>IF($E185="Yes","IPP",IFERROR(IF(AND(Q185&gt;R185,Q185&lt;S185),"0",(VLOOKUP(Q185,'ELA Reading Logic'!$A$22:$B$48,2,FALSE))-(IF(VLOOKUP(Q185,'ELA Reading Logic'!$A$22:$B$48,2,FALSE)&lt;=VLOOKUP(R185,'ELA Reading Logic'!$A$22:$B$48,2,FALSE),VLOOKUP(R185,'ELA Reading Logic'!$A$22:$B$48,2,FALSE),IF(VLOOKUP(Q185,'ELA Reading Logic'!$A$22:$B$48,2,FALSE)&gt;=VLOOKUP(S185,'ELA Reading Logic'!$A$22:$B$48,2,FALSE),VLOOKUP(S185,'ELA Reading Logic'!$A$22:$B$48,2,FALSE),"No Score")))),"No Value"))</f>
        <v>No Value</v>
      </c>
      <c r="U185" s="96" t="str">
        <f>IFERROR(VLOOKUP(Q185,'ELA Reading Logic'!$A$22:$B$48,2,FALSE)-VLOOKUP($F185,'ELA Reading Logic'!$A$22:$B$48,2,FALSE),"No Value")</f>
        <v>No Value</v>
      </c>
      <c r="V185" s="92"/>
      <c r="W185" s="96" t="str">
        <f>IFERROR(IF($E185="Yes","IPP",VLOOKUP($J185,'ELA Reading Logic'!$A$3:$K$9,VLOOKUP(V$1,'ELA Reading Logic'!$J$22:$K$31,2,FALSE),FALSE)),"Set Grade")</f>
        <v>Set Grade</v>
      </c>
      <c r="X185" s="96" t="str">
        <f>IFERROR(IF($E185="Yes","IPP",VLOOKUP($J185,'ELA Reading Logic'!$A$13:$K$19,VLOOKUP(V$1,'ELA Reading Logic'!$J$22:$K$31,2,FALSE),FALSE)),"Set Grade")</f>
        <v>Set Grade</v>
      </c>
      <c r="Y185" s="96" t="str">
        <f>IF($E185="Yes","IPP",IFERROR(IF(AND(V185&gt;W185,V185&lt;X185),"0",(VLOOKUP(V185,'ELA Reading Logic'!$A$22:$B$48,2,FALSE))-(IF(VLOOKUP(V185,'ELA Reading Logic'!$A$22:$B$48,2,FALSE)&lt;=VLOOKUP(W185,'ELA Reading Logic'!$A$22:$B$48,2,FALSE),VLOOKUP(W185,'ELA Reading Logic'!$A$22:$B$48,2,FALSE),IF(VLOOKUP(V185,'ELA Reading Logic'!$A$22:$B$48,2,FALSE)&gt;=VLOOKUP(X185,'ELA Reading Logic'!$A$22:$B$48,2,FALSE),VLOOKUP(X185,'ELA Reading Logic'!$A$22:$B$48,2,FALSE),"No Score")))),"No Value"))</f>
        <v>No Value</v>
      </c>
      <c r="Z185" s="96" t="str">
        <f>IFERROR(VLOOKUP(V185,'ELA Reading Logic'!$A$22:$B$48,2,FALSE)-VLOOKUP($F185,'ELA Reading Logic'!$A$22:$B$48,2,FALSE),"No Value")</f>
        <v>No Value</v>
      </c>
      <c r="AA185" s="92"/>
      <c r="AB185" s="96" t="str">
        <f>IFERROR(IF($E185="Yes","IPP",VLOOKUP($J185,'ELA Reading Logic'!$A$3:$K$9,VLOOKUP(AA$1,'ELA Reading Logic'!$J$22:$K$31,2,FALSE),FALSE)),"Set Grade")</f>
        <v>Set Grade</v>
      </c>
      <c r="AC185" s="96" t="str">
        <f>IFERROR(IF($E185="Yes","IPP",VLOOKUP($J185,'ELA Reading Logic'!$A$13:$K$19,VLOOKUP(AA$1,'ELA Reading Logic'!$J$22:$K$31,2,FALSE),FALSE)),"Set Grade")</f>
        <v>Set Grade</v>
      </c>
      <c r="AD185" s="96" t="str">
        <f>IF($E185="Yes","IPP",IFERROR(IF(AND(AA185&gt;AB185,AA185&lt;AC185),"0",(VLOOKUP(AA185,'ELA Reading Logic'!$A$22:$B$48,2,FALSE))-(IF(VLOOKUP(AA185,'ELA Reading Logic'!$A$22:$B$48,2,FALSE)&lt;=VLOOKUP(AB185,'ELA Reading Logic'!$A$22:$B$48,2,FALSE),VLOOKUP(AB185,'ELA Reading Logic'!$A$22:$B$48,2,FALSE),IF(VLOOKUP(AA185,'ELA Reading Logic'!$A$22:$B$48,2,FALSE)&gt;=VLOOKUP(AC185,'ELA Reading Logic'!$A$22:$B$48,2,FALSE),VLOOKUP(AC185,'ELA Reading Logic'!$A$22:$B$48,2,FALSE),"No Score")))),"No Value"))</f>
        <v>No Value</v>
      </c>
      <c r="AE185" s="96" t="str">
        <f>IFERROR(VLOOKUP(AA185,'ELA Reading Logic'!$A$22:$B$48,2,FALSE)-VLOOKUP($F185,'ELA Reading Logic'!$A$22:$B$48,2,FALSE),"No Value")</f>
        <v>No Value</v>
      </c>
      <c r="AF185" s="92"/>
      <c r="AG185" s="96" t="str">
        <f>IFERROR(IF($E185="Yes","IPP",VLOOKUP($J185,'ELA Reading Logic'!$A$3:$K$9,VLOOKUP(AF$1,'ELA Reading Logic'!$J$22:$K$31,2,FALSE),FALSE)),"Set Grade")</f>
        <v>Set Grade</v>
      </c>
      <c r="AH185" s="96" t="str">
        <f>IFERROR(IF($E185="Yes","IPP",VLOOKUP($J185,'ELA Reading Logic'!$A$13:$K$19,VLOOKUP(AF$1,'ELA Reading Logic'!$J$22:$K$31,2,FALSE),FALSE)),"Set Grade")</f>
        <v>Set Grade</v>
      </c>
      <c r="AI185" s="96" t="str">
        <f>IF($E185="Yes","IPP",IFERROR(IF(AND(AF185&gt;AG185,AF185&lt;AH185),"0",(VLOOKUP(AF185,'ELA Reading Logic'!$A$22:$B$48,2,FALSE))-(IF(VLOOKUP(AF185,'ELA Reading Logic'!$A$22:$B$48,2,FALSE)&lt;=VLOOKUP(AG185,'ELA Reading Logic'!$A$22:$B$48,2,FALSE),VLOOKUP(AG185,'ELA Reading Logic'!$A$22:$B$48,2,FALSE),IF(VLOOKUP(AF185,'ELA Reading Logic'!$A$22:$B$48,2,FALSE)&gt;=VLOOKUP(AH185,'ELA Reading Logic'!$A$22:$B$48,2,FALSE),VLOOKUP(AH185,'ELA Reading Logic'!$A$22:$B$48,2,FALSE),"No Score")))),"No Value"))</f>
        <v>No Value</v>
      </c>
      <c r="AJ185" s="96" t="str">
        <f>IFERROR(VLOOKUP(AF185,'ELA Reading Logic'!$A$22:$B$48,2,FALSE)-VLOOKUP($F185,'ELA Reading Logic'!$A$22:$B$48,2,FALSE),"No Value")</f>
        <v>No Value</v>
      </c>
      <c r="AK185" s="92"/>
      <c r="AL185" s="96" t="str">
        <f>IFERROR(IF($E185="Yes","IPP",VLOOKUP($J185,'ELA Reading Logic'!$A$3:$K$9,VLOOKUP(AK$1,'ELA Reading Logic'!$J$22:$K$31,2,FALSE),FALSE)),"Set Grade")</f>
        <v>Set Grade</v>
      </c>
      <c r="AM185" s="96" t="str">
        <f>IFERROR(IF($E185="Yes","IPP",VLOOKUP($J185,'ELA Reading Logic'!$A$13:$K$19,VLOOKUP(AK$1,'ELA Reading Logic'!$J$22:$K$31,2,FALSE),FALSE)),"Set Grade")</f>
        <v>Set Grade</v>
      </c>
      <c r="AN185" s="96" t="str">
        <f>IF($E185="Yes","IPP",IFERROR(IF(AND(AK185&gt;AL185,AK185&lt;AM185),"0",(VLOOKUP(AK185,'ELA Reading Logic'!$A$22:$B$48,2,FALSE))-(IF(VLOOKUP(AK185,'ELA Reading Logic'!$A$22:$B$48,2,FALSE)&lt;=VLOOKUP(AL185,'ELA Reading Logic'!$A$22:$B$48,2,FALSE),VLOOKUP(AL185,'ELA Reading Logic'!$A$22:$B$48,2,FALSE),IF(VLOOKUP(AK185,'ELA Reading Logic'!$A$22:$B$48,2,FALSE)&gt;=VLOOKUP(AM185,'ELA Reading Logic'!$A$22:$B$48,2,FALSE),VLOOKUP(AM185,'ELA Reading Logic'!$A$22:$B$48,2,FALSE),"No Score")))),"No Value"))</f>
        <v>No Value</v>
      </c>
      <c r="AO185" s="96" t="str">
        <f>IFERROR(VLOOKUP(AK185,'ELA Reading Logic'!$A$22:$B$48,2,FALSE)-VLOOKUP($F185,'ELA Reading Logic'!$A$22:$B$48,2,FALSE),"No Value")</f>
        <v>No Value</v>
      </c>
      <c r="AP185" s="92"/>
      <c r="AQ185" s="96" t="str">
        <f>IFERROR(IF($E185="Yes","IPP",VLOOKUP($J185,'ELA Reading Logic'!$A$3:$K$9,VLOOKUP(AP$1,'ELA Reading Logic'!$J$22:$K$31,2,FALSE),FALSE)),"Set Grade")</f>
        <v>Set Grade</v>
      </c>
      <c r="AR185" s="96" t="str">
        <f>IFERROR(IF($E185="Yes","IPP",VLOOKUP($J185,'ELA Reading Logic'!$A$13:$K$19,VLOOKUP(AP$1,'ELA Reading Logic'!$J$22:$K$31,2,FALSE),FALSE)),"Set Grade")</f>
        <v>Set Grade</v>
      </c>
      <c r="AS185" s="96" t="str">
        <f>IF($E185="Yes","IPP",IFERROR(IF(AND(AP185&gt;AQ185,AP185&lt;AR185),"0",(VLOOKUP(AP185,'ELA Reading Logic'!$A$22:$B$48,2,FALSE))-(IF(VLOOKUP(AP185,'ELA Reading Logic'!$A$22:$B$48,2,FALSE)&lt;=VLOOKUP(AQ185,'ELA Reading Logic'!$A$22:$B$48,2,FALSE),VLOOKUP(AQ185,'ELA Reading Logic'!$A$22:$B$48,2,FALSE),IF(VLOOKUP(AP185,'ELA Reading Logic'!$A$22:$B$48,2,FALSE)&gt;=VLOOKUP(AR185,'ELA Reading Logic'!$A$22:$B$48,2,FALSE),VLOOKUP(AR185,'ELA Reading Logic'!$A$22:$B$48,2,FALSE),"No Score")))),"No Value"))</f>
        <v>No Value</v>
      </c>
      <c r="AT185" s="96" t="str">
        <f>IFERROR(VLOOKUP(AP185,'ELA Reading Logic'!$A$22:$B$48,2,FALSE)-VLOOKUP($F185,'ELA Reading Logic'!$A$22:$B$48,2,FALSE),"No Value")</f>
        <v>No Value</v>
      </c>
    </row>
    <row r="186" spans="1:46" ht="22.5" customHeight="1" x14ac:dyDescent="0.25">
      <c r="A186" s="174"/>
      <c r="B186" s="174"/>
      <c r="C186" s="174"/>
      <c r="D186" s="174"/>
      <c r="E186" s="175"/>
      <c r="F186" s="175"/>
      <c r="G186" s="177" t="str">
        <f>IFERROR(IF($E186="Yes","IPP",VLOOKUP($J186,'ELA Reading Logic'!$A$3:$K$9,VLOOKUP("September",'ELA Reading Logic'!$J$22:$K$31,2,FALSE),FALSE)),"Set Grade")</f>
        <v>Set Grade</v>
      </c>
      <c r="H186" s="177" t="str">
        <f>IFERROR(IF($E186="Yes","IPP",VLOOKUP($J186,'ELA Reading Logic'!$A$13:$K$19,VLOOKUP("September",'ELA Reading Logic'!$J$22:$K$31,2,FALSE),FALSE)),"Set Grade")</f>
        <v>Set Grade</v>
      </c>
      <c r="I186" s="96" t="str">
        <f>IF($E186="Yes","IPP",IFERROR(IF(AND(F186&gt;G186,F186&lt;H186),"0",(VLOOKUP(F186,'ELA Reading Logic'!$A$22:$B$48,2,FALSE))-(IF(VLOOKUP(F186,'ELA Reading Logic'!$A$22:$B$48,2,FALSE)&lt;=VLOOKUP(G186,'ELA Reading Logic'!$A$22:$B$48,2,FALSE),VLOOKUP(G186,'ELA Reading Logic'!$A$22:$B$48,2,FALSE),IF(VLOOKUP(F186,'ELA Reading Logic'!$A$22:$B$48,2,FALSE)&gt;=VLOOKUP(H186,'ELA Reading Logic'!$A$22:$B$48,2,FALSE),VLOOKUP(H186,'ELA Reading Logic'!$A$22:$B$48,2,FALSE),"No Score")))),"No Value"))</f>
        <v>No Value</v>
      </c>
      <c r="J186" s="178"/>
      <c r="K186" s="96"/>
      <c r="L186" s="96"/>
      <c r="M186" s="96"/>
      <c r="N186" s="96"/>
      <c r="O186" s="96"/>
      <c r="P186" s="105"/>
      <c r="Q186" s="92"/>
      <c r="R186" s="96" t="str">
        <f>IFERROR(IF($E186="Yes","IPP",VLOOKUP($J186,'ELA Reading Logic'!$A$3:$K$9,VLOOKUP(Q$1,'ELA Reading Logic'!$J$22:$K$31,2,FALSE),FALSE)),"Set Grade")</f>
        <v>Set Grade</v>
      </c>
      <c r="S186" s="96" t="str">
        <f>IFERROR(IF($E186="Yes","IPP",VLOOKUP($J186,'ELA Reading Logic'!$A$13:$K$19,VLOOKUP(Q$1,'ELA Reading Logic'!$J$22:$K$31,2,FALSE),FALSE)),"Set Grade")</f>
        <v>Set Grade</v>
      </c>
      <c r="T186" s="96" t="str">
        <f>IF($E186="Yes","IPP",IFERROR(IF(AND(Q186&gt;R186,Q186&lt;S186),"0",(VLOOKUP(Q186,'ELA Reading Logic'!$A$22:$B$48,2,FALSE))-(IF(VLOOKUP(Q186,'ELA Reading Logic'!$A$22:$B$48,2,FALSE)&lt;=VLOOKUP(R186,'ELA Reading Logic'!$A$22:$B$48,2,FALSE),VLOOKUP(R186,'ELA Reading Logic'!$A$22:$B$48,2,FALSE),IF(VLOOKUP(Q186,'ELA Reading Logic'!$A$22:$B$48,2,FALSE)&gt;=VLOOKUP(S186,'ELA Reading Logic'!$A$22:$B$48,2,FALSE),VLOOKUP(S186,'ELA Reading Logic'!$A$22:$B$48,2,FALSE),"No Score")))),"No Value"))</f>
        <v>No Value</v>
      </c>
      <c r="U186" s="96" t="str">
        <f>IFERROR(VLOOKUP(Q186,'ELA Reading Logic'!$A$22:$B$48,2,FALSE)-VLOOKUP($F186,'ELA Reading Logic'!$A$22:$B$48,2,FALSE),"No Value")</f>
        <v>No Value</v>
      </c>
      <c r="V186" s="92"/>
      <c r="W186" s="96" t="str">
        <f>IFERROR(IF($E186="Yes","IPP",VLOOKUP($J186,'ELA Reading Logic'!$A$3:$K$9,VLOOKUP(V$1,'ELA Reading Logic'!$J$22:$K$31,2,FALSE),FALSE)),"Set Grade")</f>
        <v>Set Grade</v>
      </c>
      <c r="X186" s="96" t="str">
        <f>IFERROR(IF($E186="Yes","IPP",VLOOKUP($J186,'ELA Reading Logic'!$A$13:$K$19,VLOOKUP(V$1,'ELA Reading Logic'!$J$22:$K$31,2,FALSE),FALSE)),"Set Grade")</f>
        <v>Set Grade</v>
      </c>
      <c r="Y186" s="96" t="str">
        <f>IF($E186="Yes","IPP",IFERROR(IF(AND(V186&gt;W186,V186&lt;X186),"0",(VLOOKUP(V186,'ELA Reading Logic'!$A$22:$B$48,2,FALSE))-(IF(VLOOKUP(V186,'ELA Reading Logic'!$A$22:$B$48,2,FALSE)&lt;=VLOOKUP(W186,'ELA Reading Logic'!$A$22:$B$48,2,FALSE),VLOOKUP(W186,'ELA Reading Logic'!$A$22:$B$48,2,FALSE),IF(VLOOKUP(V186,'ELA Reading Logic'!$A$22:$B$48,2,FALSE)&gt;=VLOOKUP(X186,'ELA Reading Logic'!$A$22:$B$48,2,FALSE),VLOOKUP(X186,'ELA Reading Logic'!$A$22:$B$48,2,FALSE),"No Score")))),"No Value"))</f>
        <v>No Value</v>
      </c>
      <c r="Z186" s="96" t="str">
        <f>IFERROR(VLOOKUP(V186,'ELA Reading Logic'!$A$22:$B$48,2,FALSE)-VLOOKUP($F186,'ELA Reading Logic'!$A$22:$B$48,2,FALSE),"No Value")</f>
        <v>No Value</v>
      </c>
      <c r="AA186" s="92"/>
      <c r="AB186" s="96" t="str">
        <f>IFERROR(IF($E186="Yes","IPP",VLOOKUP($J186,'ELA Reading Logic'!$A$3:$K$9,VLOOKUP(AA$1,'ELA Reading Logic'!$J$22:$K$31,2,FALSE),FALSE)),"Set Grade")</f>
        <v>Set Grade</v>
      </c>
      <c r="AC186" s="96" t="str">
        <f>IFERROR(IF($E186="Yes","IPP",VLOOKUP($J186,'ELA Reading Logic'!$A$13:$K$19,VLOOKUP(AA$1,'ELA Reading Logic'!$J$22:$K$31,2,FALSE),FALSE)),"Set Grade")</f>
        <v>Set Grade</v>
      </c>
      <c r="AD186" s="96" t="str">
        <f>IF($E186="Yes","IPP",IFERROR(IF(AND(AA186&gt;AB186,AA186&lt;AC186),"0",(VLOOKUP(AA186,'ELA Reading Logic'!$A$22:$B$48,2,FALSE))-(IF(VLOOKUP(AA186,'ELA Reading Logic'!$A$22:$B$48,2,FALSE)&lt;=VLOOKUP(AB186,'ELA Reading Logic'!$A$22:$B$48,2,FALSE),VLOOKUP(AB186,'ELA Reading Logic'!$A$22:$B$48,2,FALSE),IF(VLOOKUP(AA186,'ELA Reading Logic'!$A$22:$B$48,2,FALSE)&gt;=VLOOKUP(AC186,'ELA Reading Logic'!$A$22:$B$48,2,FALSE),VLOOKUP(AC186,'ELA Reading Logic'!$A$22:$B$48,2,FALSE),"No Score")))),"No Value"))</f>
        <v>No Value</v>
      </c>
      <c r="AE186" s="96" t="str">
        <f>IFERROR(VLOOKUP(AA186,'ELA Reading Logic'!$A$22:$B$48,2,FALSE)-VLOOKUP($F186,'ELA Reading Logic'!$A$22:$B$48,2,FALSE),"No Value")</f>
        <v>No Value</v>
      </c>
      <c r="AF186" s="92"/>
      <c r="AG186" s="96" t="str">
        <f>IFERROR(IF($E186="Yes","IPP",VLOOKUP($J186,'ELA Reading Logic'!$A$3:$K$9,VLOOKUP(AF$1,'ELA Reading Logic'!$J$22:$K$31,2,FALSE),FALSE)),"Set Grade")</f>
        <v>Set Grade</v>
      </c>
      <c r="AH186" s="96" t="str">
        <f>IFERROR(IF($E186="Yes","IPP",VLOOKUP($J186,'ELA Reading Logic'!$A$13:$K$19,VLOOKUP(AF$1,'ELA Reading Logic'!$J$22:$K$31,2,FALSE),FALSE)),"Set Grade")</f>
        <v>Set Grade</v>
      </c>
      <c r="AI186" s="96" t="str">
        <f>IF($E186="Yes","IPP",IFERROR(IF(AND(AF186&gt;AG186,AF186&lt;AH186),"0",(VLOOKUP(AF186,'ELA Reading Logic'!$A$22:$B$48,2,FALSE))-(IF(VLOOKUP(AF186,'ELA Reading Logic'!$A$22:$B$48,2,FALSE)&lt;=VLOOKUP(AG186,'ELA Reading Logic'!$A$22:$B$48,2,FALSE),VLOOKUP(AG186,'ELA Reading Logic'!$A$22:$B$48,2,FALSE),IF(VLOOKUP(AF186,'ELA Reading Logic'!$A$22:$B$48,2,FALSE)&gt;=VLOOKUP(AH186,'ELA Reading Logic'!$A$22:$B$48,2,FALSE),VLOOKUP(AH186,'ELA Reading Logic'!$A$22:$B$48,2,FALSE),"No Score")))),"No Value"))</f>
        <v>No Value</v>
      </c>
      <c r="AJ186" s="96" t="str">
        <f>IFERROR(VLOOKUP(AF186,'ELA Reading Logic'!$A$22:$B$48,2,FALSE)-VLOOKUP($F186,'ELA Reading Logic'!$A$22:$B$48,2,FALSE),"No Value")</f>
        <v>No Value</v>
      </c>
      <c r="AK186" s="92"/>
      <c r="AL186" s="96" t="str">
        <f>IFERROR(IF($E186="Yes","IPP",VLOOKUP($J186,'ELA Reading Logic'!$A$3:$K$9,VLOOKUP(AK$1,'ELA Reading Logic'!$J$22:$K$31,2,FALSE),FALSE)),"Set Grade")</f>
        <v>Set Grade</v>
      </c>
      <c r="AM186" s="96" t="str">
        <f>IFERROR(IF($E186="Yes","IPP",VLOOKUP($J186,'ELA Reading Logic'!$A$13:$K$19,VLOOKUP(AK$1,'ELA Reading Logic'!$J$22:$K$31,2,FALSE),FALSE)),"Set Grade")</f>
        <v>Set Grade</v>
      </c>
      <c r="AN186" s="96" t="str">
        <f>IF($E186="Yes","IPP",IFERROR(IF(AND(AK186&gt;AL186,AK186&lt;AM186),"0",(VLOOKUP(AK186,'ELA Reading Logic'!$A$22:$B$48,2,FALSE))-(IF(VLOOKUP(AK186,'ELA Reading Logic'!$A$22:$B$48,2,FALSE)&lt;=VLOOKUP(AL186,'ELA Reading Logic'!$A$22:$B$48,2,FALSE),VLOOKUP(AL186,'ELA Reading Logic'!$A$22:$B$48,2,FALSE),IF(VLOOKUP(AK186,'ELA Reading Logic'!$A$22:$B$48,2,FALSE)&gt;=VLOOKUP(AM186,'ELA Reading Logic'!$A$22:$B$48,2,FALSE),VLOOKUP(AM186,'ELA Reading Logic'!$A$22:$B$48,2,FALSE),"No Score")))),"No Value"))</f>
        <v>No Value</v>
      </c>
      <c r="AO186" s="96" t="str">
        <f>IFERROR(VLOOKUP(AK186,'ELA Reading Logic'!$A$22:$B$48,2,FALSE)-VLOOKUP($F186,'ELA Reading Logic'!$A$22:$B$48,2,FALSE),"No Value")</f>
        <v>No Value</v>
      </c>
      <c r="AP186" s="92"/>
      <c r="AQ186" s="96" t="str">
        <f>IFERROR(IF($E186="Yes","IPP",VLOOKUP($J186,'ELA Reading Logic'!$A$3:$K$9,VLOOKUP(AP$1,'ELA Reading Logic'!$J$22:$K$31,2,FALSE),FALSE)),"Set Grade")</f>
        <v>Set Grade</v>
      </c>
      <c r="AR186" s="96" t="str">
        <f>IFERROR(IF($E186="Yes","IPP",VLOOKUP($J186,'ELA Reading Logic'!$A$13:$K$19,VLOOKUP(AP$1,'ELA Reading Logic'!$J$22:$K$31,2,FALSE),FALSE)),"Set Grade")</f>
        <v>Set Grade</v>
      </c>
      <c r="AS186" s="96" t="str">
        <f>IF($E186="Yes","IPP",IFERROR(IF(AND(AP186&gt;AQ186,AP186&lt;AR186),"0",(VLOOKUP(AP186,'ELA Reading Logic'!$A$22:$B$48,2,FALSE))-(IF(VLOOKUP(AP186,'ELA Reading Logic'!$A$22:$B$48,2,FALSE)&lt;=VLOOKUP(AQ186,'ELA Reading Logic'!$A$22:$B$48,2,FALSE),VLOOKUP(AQ186,'ELA Reading Logic'!$A$22:$B$48,2,FALSE),IF(VLOOKUP(AP186,'ELA Reading Logic'!$A$22:$B$48,2,FALSE)&gt;=VLOOKUP(AR186,'ELA Reading Logic'!$A$22:$B$48,2,FALSE),VLOOKUP(AR186,'ELA Reading Logic'!$A$22:$B$48,2,FALSE),"No Score")))),"No Value"))</f>
        <v>No Value</v>
      </c>
      <c r="AT186" s="96" t="str">
        <f>IFERROR(VLOOKUP(AP186,'ELA Reading Logic'!$A$22:$B$48,2,FALSE)-VLOOKUP($F186,'ELA Reading Logic'!$A$22:$B$48,2,FALSE),"No Value")</f>
        <v>No Value</v>
      </c>
    </row>
    <row r="187" spans="1:46" ht="22.5" customHeight="1" x14ac:dyDescent="0.25">
      <c r="A187" s="174"/>
      <c r="B187" s="174"/>
      <c r="C187" s="174"/>
      <c r="D187" s="174"/>
      <c r="E187" s="175"/>
      <c r="F187" s="175"/>
      <c r="G187" s="177" t="str">
        <f>IFERROR(IF($E187="Yes","IPP",VLOOKUP($J187,'ELA Reading Logic'!$A$3:$K$9,VLOOKUP("September",'ELA Reading Logic'!$J$22:$K$31,2,FALSE),FALSE)),"Set Grade")</f>
        <v>Set Grade</v>
      </c>
      <c r="H187" s="177" t="str">
        <f>IFERROR(IF($E187="Yes","IPP",VLOOKUP($J187,'ELA Reading Logic'!$A$13:$K$19,VLOOKUP("September",'ELA Reading Logic'!$J$22:$K$31,2,FALSE),FALSE)),"Set Grade")</f>
        <v>Set Grade</v>
      </c>
      <c r="I187" s="96" t="str">
        <f>IF($E187="Yes","IPP",IFERROR(IF(AND(F187&gt;G187,F187&lt;H187),"0",(VLOOKUP(F187,'ELA Reading Logic'!$A$22:$B$48,2,FALSE))-(IF(VLOOKUP(F187,'ELA Reading Logic'!$A$22:$B$48,2,FALSE)&lt;=VLOOKUP(G187,'ELA Reading Logic'!$A$22:$B$48,2,FALSE),VLOOKUP(G187,'ELA Reading Logic'!$A$22:$B$48,2,FALSE),IF(VLOOKUP(F187,'ELA Reading Logic'!$A$22:$B$48,2,FALSE)&gt;=VLOOKUP(H187,'ELA Reading Logic'!$A$22:$B$48,2,FALSE),VLOOKUP(H187,'ELA Reading Logic'!$A$22:$B$48,2,FALSE),"No Score")))),"No Value"))</f>
        <v>No Value</v>
      </c>
      <c r="J187" s="178"/>
      <c r="K187" s="96"/>
      <c r="L187" s="96"/>
      <c r="M187" s="96"/>
      <c r="N187" s="96"/>
      <c r="O187" s="96"/>
      <c r="P187" s="105"/>
      <c r="Q187" s="92"/>
      <c r="R187" s="96" t="str">
        <f>IFERROR(IF($E187="Yes","IPP",VLOOKUP($J187,'ELA Reading Logic'!$A$3:$K$9,VLOOKUP(Q$1,'ELA Reading Logic'!$J$22:$K$31,2,FALSE),FALSE)),"Set Grade")</f>
        <v>Set Grade</v>
      </c>
      <c r="S187" s="96" t="str">
        <f>IFERROR(IF($E187="Yes","IPP",VLOOKUP($J187,'ELA Reading Logic'!$A$13:$K$19,VLOOKUP(Q$1,'ELA Reading Logic'!$J$22:$K$31,2,FALSE),FALSE)),"Set Grade")</f>
        <v>Set Grade</v>
      </c>
      <c r="T187" s="96" t="str">
        <f>IF($E187="Yes","IPP",IFERROR(IF(AND(Q187&gt;R187,Q187&lt;S187),"0",(VLOOKUP(Q187,'ELA Reading Logic'!$A$22:$B$48,2,FALSE))-(IF(VLOOKUP(Q187,'ELA Reading Logic'!$A$22:$B$48,2,FALSE)&lt;=VLOOKUP(R187,'ELA Reading Logic'!$A$22:$B$48,2,FALSE),VLOOKUP(R187,'ELA Reading Logic'!$A$22:$B$48,2,FALSE),IF(VLOOKUP(Q187,'ELA Reading Logic'!$A$22:$B$48,2,FALSE)&gt;=VLOOKUP(S187,'ELA Reading Logic'!$A$22:$B$48,2,FALSE),VLOOKUP(S187,'ELA Reading Logic'!$A$22:$B$48,2,FALSE),"No Score")))),"No Value"))</f>
        <v>No Value</v>
      </c>
      <c r="U187" s="96" t="str">
        <f>IFERROR(VLOOKUP(Q187,'ELA Reading Logic'!$A$22:$B$48,2,FALSE)-VLOOKUP($F187,'ELA Reading Logic'!$A$22:$B$48,2,FALSE),"No Value")</f>
        <v>No Value</v>
      </c>
      <c r="V187" s="92"/>
      <c r="W187" s="96" t="str">
        <f>IFERROR(IF($E187="Yes","IPP",VLOOKUP($J187,'ELA Reading Logic'!$A$3:$K$9,VLOOKUP(V$1,'ELA Reading Logic'!$J$22:$K$31,2,FALSE),FALSE)),"Set Grade")</f>
        <v>Set Grade</v>
      </c>
      <c r="X187" s="96" t="str">
        <f>IFERROR(IF($E187="Yes","IPP",VLOOKUP($J187,'ELA Reading Logic'!$A$13:$K$19,VLOOKUP(V$1,'ELA Reading Logic'!$J$22:$K$31,2,FALSE),FALSE)),"Set Grade")</f>
        <v>Set Grade</v>
      </c>
      <c r="Y187" s="96" t="str">
        <f>IF($E187="Yes","IPP",IFERROR(IF(AND(V187&gt;W187,V187&lt;X187),"0",(VLOOKUP(V187,'ELA Reading Logic'!$A$22:$B$48,2,FALSE))-(IF(VLOOKUP(V187,'ELA Reading Logic'!$A$22:$B$48,2,FALSE)&lt;=VLOOKUP(W187,'ELA Reading Logic'!$A$22:$B$48,2,FALSE),VLOOKUP(W187,'ELA Reading Logic'!$A$22:$B$48,2,FALSE),IF(VLOOKUP(V187,'ELA Reading Logic'!$A$22:$B$48,2,FALSE)&gt;=VLOOKUP(X187,'ELA Reading Logic'!$A$22:$B$48,2,FALSE),VLOOKUP(X187,'ELA Reading Logic'!$A$22:$B$48,2,FALSE),"No Score")))),"No Value"))</f>
        <v>No Value</v>
      </c>
      <c r="Z187" s="96" t="str">
        <f>IFERROR(VLOOKUP(V187,'ELA Reading Logic'!$A$22:$B$48,2,FALSE)-VLOOKUP($F187,'ELA Reading Logic'!$A$22:$B$48,2,FALSE),"No Value")</f>
        <v>No Value</v>
      </c>
      <c r="AA187" s="92"/>
      <c r="AB187" s="96" t="str">
        <f>IFERROR(IF($E187="Yes","IPP",VLOOKUP($J187,'ELA Reading Logic'!$A$3:$K$9,VLOOKUP(AA$1,'ELA Reading Logic'!$J$22:$K$31,2,FALSE),FALSE)),"Set Grade")</f>
        <v>Set Grade</v>
      </c>
      <c r="AC187" s="96" t="str">
        <f>IFERROR(IF($E187="Yes","IPP",VLOOKUP($J187,'ELA Reading Logic'!$A$13:$K$19,VLOOKUP(AA$1,'ELA Reading Logic'!$J$22:$K$31,2,FALSE),FALSE)),"Set Grade")</f>
        <v>Set Grade</v>
      </c>
      <c r="AD187" s="96" t="str">
        <f>IF($E187="Yes","IPP",IFERROR(IF(AND(AA187&gt;AB187,AA187&lt;AC187),"0",(VLOOKUP(AA187,'ELA Reading Logic'!$A$22:$B$48,2,FALSE))-(IF(VLOOKUP(AA187,'ELA Reading Logic'!$A$22:$B$48,2,FALSE)&lt;=VLOOKUP(AB187,'ELA Reading Logic'!$A$22:$B$48,2,FALSE),VLOOKUP(AB187,'ELA Reading Logic'!$A$22:$B$48,2,FALSE),IF(VLOOKUP(AA187,'ELA Reading Logic'!$A$22:$B$48,2,FALSE)&gt;=VLOOKUP(AC187,'ELA Reading Logic'!$A$22:$B$48,2,FALSE),VLOOKUP(AC187,'ELA Reading Logic'!$A$22:$B$48,2,FALSE),"No Score")))),"No Value"))</f>
        <v>No Value</v>
      </c>
      <c r="AE187" s="96" t="str">
        <f>IFERROR(VLOOKUP(AA187,'ELA Reading Logic'!$A$22:$B$48,2,FALSE)-VLOOKUP($F187,'ELA Reading Logic'!$A$22:$B$48,2,FALSE),"No Value")</f>
        <v>No Value</v>
      </c>
      <c r="AF187" s="92"/>
      <c r="AG187" s="96" t="str">
        <f>IFERROR(IF($E187="Yes","IPP",VLOOKUP($J187,'ELA Reading Logic'!$A$3:$K$9,VLOOKUP(AF$1,'ELA Reading Logic'!$J$22:$K$31,2,FALSE),FALSE)),"Set Grade")</f>
        <v>Set Grade</v>
      </c>
      <c r="AH187" s="96" t="str">
        <f>IFERROR(IF($E187="Yes","IPP",VLOOKUP($J187,'ELA Reading Logic'!$A$13:$K$19,VLOOKUP(AF$1,'ELA Reading Logic'!$J$22:$K$31,2,FALSE),FALSE)),"Set Grade")</f>
        <v>Set Grade</v>
      </c>
      <c r="AI187" s="96" t="str">
        <f>IF($E187="Yes","IPP",IFERROR(IF(AND(AF187&gt;AG187,AF187&lt;AH187),"0",(VLOOKUP(AF187,'ELA Reading Logic'!$A$22:$B$48,2,FALSE))-(IF(VLOOKUP(AF187,'ELA Reading Logic'!$A$22:$B$48,2,FALSE)&lt;=VLOOKUP(AG187,'ELA Reading Logic'!$A$22:$B$48,2,FALSE),VLOOKUP(AG187,'ELA Reading Logic'!$A$22:$B$48,2,FALSE),IF(VLOOKUP(AF187,'ELA Reading Logic'!$A$22:$B$48,2,FALSE)&gt;=VLOOKUP(AH187,'ELA Reading Logic'!$A$22:$B$48,2,FALSE),VLOOKUP(AH187,'ELA Reading Logic'!$A$22:$B$48,2,FALSE),"No Score")))),"No Value"))</f>
        <v>No Value</v>
      </c>
      <c r="AJ187" s="96" t="str">
        <f>IFERROR(VLOOKUP(AF187,'ELA Reading Logic'!$A$22:$B$48,2,FALSE)-VLOOKUP($F187,'ELA Reading Logic'!$A$22:$B$48,2,FALSE),"No Value")</f>
        <v>No Value</v>
      </c>
      <c r="AK187" s="92"/>
      <c r="AL187" s="96" t="str">
        <f>IFERROR(IF($E187="Yes","IPP",VLOOKUP($J187,'ELA Reading Logic'!$A$3:$K$9,VLOOKUP(AK$1,'ELA Reading Logic'!$J$22:$K$31,2,FALSE),FALSE)),"Set Grade")</f>
        <v>Set Grade</v>
      </c>
      <c r="AM187" s="96" t="str">
        <f>IFERROR(IF($E187="Yes","IPP",VLOOKUP($J187,'ELA Reading Logic'!$A$13:$K$19,VLOOKUP(AK$1,'ELA Reading Logic'!$J$22:$K$31,2,FALSE),FALSE)),"Set Grade")</f>
        <v>Set Grade</v>
      </c>
      <c r="AN187" s="96" t="str">
        <f>IF($E187="Yes","IPP",IFERROR(IF(AND(AK187&gt;AL187,AK187&lt;AM187),"0",(VLOOKUP(AK187,'ELA Reading Logic'!$A$22:$B$48,2,FALSE))-(IF(VLOOKUP(AK187,'ELA Reading Logic'!$A$22:$B$48,2,FALSE)&lt;=VLOOKUP(AL187,'ELA Reading Logic'!$A$22:$B$48,2,FALSE),VLOOKUP(AL187,'ELA Reading Logic'!$A$22:$B$48,2,FALSE),IF(VLOOKUP(AK187,'ELA Reading Logic'!$A$22:$B$48,2,FALSE)&gt;=VLOOKUP(AM187,'ELA Reading Logic'!$A$22:$B$48,2,FALSE),VLOOKUP(AM187,'ELA Reading Logic'!$A$22:$B$48,2,FALSE),"No Score")))),"No Value"))</f>
        <v>No Value</v>
      </c>
      <c r="AO187" s="96" t="str">
        <f>IFERROR(VLOOKUP(AK187,'ELA Reading Logic'!$A$22:$B$48,2,FALSE)-VLOOKUP($F187,'ELA Reading Logic'!$A$22:$B$48,2,FALSE),"No Value")</f>
        <v>No Value</v>
      </c>
      <c r="AP187" s="92"/>
      <c r="AQ187" s="96" t="str">
        <f>IFERROR(IF($E187="Yes","IPP",VLOOKUP($J187,'ELA Reading Logic'!$A$3:$K$9,VLOOKUP(AP$1,'ELA Reading Logic'!$J$22:$K$31,2,FALSE),FALSE)),"Set Grade")</f>
        <v>Set Grade</v>
      </c>
      <c r="AR187" s="96" t="str">
        <f>IFERROR(IF($E187="Yes","IPP",VLOOKUP($J187,'ELA Reading Logic'!$A$13:$K$19,VLOOKUP(AP$1,'ELA Reading Logic'!$J$22:$K$31,2,FALSE),FALSE)),"Set Grade")</f>
        <v>Set Grade</v>
      </c>
      <c r="AS187" s="96" t="str">
        <f>IF($E187="Yes","IPP",IFERROR(IF(AND(AP187&gt;AQ187,AP187&lt;AR187),"0",(VLOOKUP(AP187,'ELA Reading Logic'!$A$22:$B$48,2,FALSE))-(IF(VLOOKUP(AP187,'ELA Reading Logic'!$A$22:$B$48,2,FALSE)&lt;=VLOOKUP(AQ187,'ELA Reading Logic'!$A$22:$B$48,2,FALSE),VLOOKUP(AQ187,'ELA Reading Logic'!$A$22:$B$48,2,FALSE),IF(VLOOKUP(AP187,'ELA Reading Logic'!$A$22:$B$48,2,FALSE)&gt;=VLOOKUP(AR187,'ELA Reading Logic'!$A$22:$B$48,2,FALSE),VLOOKUP(AR187,'ELA Reading Logic'!$A$22:$B$48,2,FALSE),"No Score")))),"No Value"))</f>
        <v>No Value</v>
      </c>
      <c r="AT187" s="96" t="str">
        <f>IFERROR(VLOOKUP(AP187,'ELA Reading Logic'!$A$22:$B$48,2,FALSE)-VLOOKUP($F187,'ELA Reading Logic'!$A$22:$B$48,2,FALSE),"No Value")</f>
        <v>No Value</v>
      </c>
    </row>
    <row r="188" spans="1:46" ht="22.5" customHeight="1" x14ac:dyDescent="0.25">
      <c r="A188" s="176"/>
      <c r="B188" s="176"/>
      <c r="C188" s="176"/>
      <c r="D188" s="176"/>
      <c r="E188" s="175"/>
      <c r="F188" s="175"/>
      <c r="G188" s="177" t="str">
        <f>IFERROR(IF($E188="Yes","IPP",VLOOKUP($J188,'ELA Reading Logic'!$A$3:$K$9,VLOOKUP("September",'ELA Reading Logic'!$J$22:$K$31,2,FALSE),FALSE)),"Set Grade")</f>
        <v>Set Grade</v>
      </c>
      <c r="H188" s="177" t="str">
        <f>IFERROR(IF($E188="Yes","IPP",VLOOKUP($J188,'ELA Reading Logic'!$A$13:$K$19,VLOOKUP("September",'ELA Reading Logic'!$J$22:$K$31,2,FALSE),FALSE)),"Set Grade")</f>
        <v>Set Grade</v>
      </c>
      <c r="I188" s="96" t="str">
        <f>IF($E188="Yes","IPP",IFERROR(IF(AND(F188&gt;G188,F188&lt;H188),"0",(VLOOKUP(F188,'ELA Reading Logic'!$A$22:$B$48,2,FALSE))-(IF(VLOOKUP(F188,'ELA Reading Logic'!$A$22:$B$48,2,FALSE)&lt;=VLOOKUP(G188,'ELA Reading Logic'!$A$22:$B$48,2,FALSE),VLOOKUP(G188,'ELA Reading Logic'!$A$22:$B$48,2,FALSE),IF(VLOOKUP(F188,'ELA Reading Logic'!$A$22:$B$48,2,FALSE)&gt;=VLOOKUP(H188,'ELA Reading Logic'!$A$22:$B$48,2,FALSE),VLOOKUP(H188,'ELA Reading Logic'!$A$22:$B$48,2,FALSE),"No Score")))),"No Value"))</f>
        <v>No Value</v>
      </c>
      <c r="J188" s="178"/>
      <c r="K188" s="96"/>
      <c r="L188" s="96"/>
      <c r="M188" s="96"/>
      <c r="N188" s="96"/>
      <c r="O188" s="96"/>
      <c r="P188" s="105"/>
      <c r="Q188" s="92"/>
      <c r="R188" s="96" t="str">
        <f>IFERROR(IF($E188="Yes","IPP",VLOOKUP($J188,'ELA Reading Logic'!$A$3:$K$9,VLOOKUP(Q$1,'ELA Reading Logic'!$J$22:$K$31,2,FALSE),FALSE)),"Set Grade")</f>
        <v>Set Grade</v>
      </c>
      <c r="S188" s="96" t="str">
        <f>IFERROR(IF($E188="Yes","IPP",VLOOKUP($J188,'ELA Reading Logic'!$A$13:$K$19,VLOOKUP(Q$1,'ELA Reading Logic'!$J$22:$K$31,2,FALSE),FALSE)),"Set Grade")</f>
        <v>Set Grade</v>
      </c>
      <c r="T188" s="96" t="str">
        <f>IF($E188="Yes","IPP",IFERROR(IF(AND(Q188&gt;R188,Q188&lt;S188),"0",(VLOOKUP(Q188,'ELA Reading Logic'!$A$22:$B$48,2,FALSE))-(IF(VLOOKUP(Q188,'ELA Reading Logic'!$A$22:$B$48,2,FALSE)&lt;=VLOOKUP(R188,'ELA Reading Logic'!$A$22:$B$48,2,FALSE),VLOOKUP(R188,'ELA Reading Logic'!$A$22:$B$48,2,FALSE),IF(VLOOKUP(Q188,'ELA Reading Logic'!$A$22:$B$48,2,FALSE)&gt;=VLOOKUP(S188,'ELA Reading Logic'!$A$22:$B$48,2,FALSE),VLOOKUP(S188,'ELA Reading Logic'!$A$22:$B$48,2,FALSE),"No Score")))),"No Value"))</f>
        <v>No Value</v>
      </c>
      <c r="U188" s="96" t="str">
        <f>IFERROR(VLOOKUP(Q188,'ELA Reading Logic'!$A$22:$B$48,2,FALSE)-VLOOKUP($F188,'ELA Reading Logic'!$A$22:$B$48,2,FALSE),"No Value")</f>
        <v>No Value</v>
      </c>
      <c r="V188" s="92"/>
      <c r="W188" s="96" t="str">
        <f>IFERROR(IF($E188="Yes","IPP",VLOOKUP($J188,'ELA Reading Logic'!$A$3:$K$9,VLOOKUP(V$1,'ELA Reading Logic'!$J$22:$K$31,2,FALSE),FALSE)),"Set Grade")</f>
        <v>Set Grade</v>
      </c>
      <c r="X188" s="96" t="str">
        <f>IFERROR(IF($E188="Yes","IPP",VLOOKUP($J188,'ELA Reading Logic'!$A$13:$K$19,VLOOKUP(V$1,'ELA Reading Logic'!$J$22:$K$31,2,FALSE),FALSE)),"Set Grade")</f>
        <v>Set Grade</v>
      </c>
      <c r="Y188" s="96" t="str">
        <f>IF($E188="Yes","IPP",IFERROR(IF(AND(V188&gt;W188,V188&lt;X188),"0",(VLOOKUP(V188,'ELA Reading Logic'!$A$22:$B$48,2,FALSE))-(IF(VLOOKUP(V188,'ELA Reading Logic'!$A$22:$B$48,2,FALSE)&lt;=VLOOKUP(W188,'ELA Reading Logic'!$A$22:$B$48,2,FALSE),VLOOKUP(W188,'ELA Reading Logic'!$A$22:$B$48,2,FALSE),IF(VLOOKUP(V188,'ELA Reading Logic'!$A$22:$B$48,2,FALSE)&gt;=VLOOKUP(X188,'ELA Reading Logic'!$A$22:$B$48,2,FALSE),VLOOKUP(X188,'ELA Reading Logic'!$A$22:$B$48,2,FALSE),"No Score")))),"No Value"))</f>
        <v>No Value</v>
      </c>
      <c r="Z188" s="96" t="str">
        <f>IFERROR(VLOOKUP(V188,'ELA Reading Logic'!$A$22:$B$48,2,FALSE)-VLOOKUP($F188,'ELA Reading Logic'!$A$22:$B$48,2,FALSE),"No Value")</f>
        <v>No Value</v>
      </c>
      <c r="AA188" s="92"/>
      <c r="AB188" s="96" t="str">
        <f>IFERROR(IF($E188="Yes","IPP",VLOOKUP($J188,'ELA Reading Logic'!$A$3:$K$9,VLOOKUP(AA$1,'ELA Reading Logic'!$J$22:$K$31,2,FALSE),FALSE)),"Set Grade")</f>
        <v>Set Grade</v>
      </c>
      <c r="AC188" s="96" t="str">
        <f>IFERROR(IF($E188="Yes","IPP",VLOOKUP($J188,'ELA Reading Logic'!$A$13:$K$19,VLOOKUP(AA$1,'ELA Reading Logic'!$J$22:$K$31,2,FALSE),FALSE)),"Set Grade")</f>
        <v>Set Grade</v>
      </c>
      <c r="AD188" s="96" t="str">
        <f>IF($E188="Yes","IPP",IFERROR(IF(AND(AA188&gt;AB188,AA188&lt;AC188),"0",(VLOOKUP(AA188,'ELA Reading Logic'!$A$22:$B$48,2,FALSE))-(IF(VLOOKUP(AA188,'ELA Reading Logic'!$A$22:$B$48,2,FALSE)&lt;=VLOOKUP(AB188,'ELA Reading Logic'!$A$22:$B$48,2,FALSE),VLOOKUP(AB188,'ELA Reading Logic'!$A$22:$B$48,2,FALSE),IF(VLOOKUP(AA188,'ELA Reading Logic'!$A$22:$B$48,2,FALSE)&gt;=VLOOKUP(AC188,'ELA Reading Logic'!$A$22:$B$48,2,FALSE),VLOOKUP(AC188,'ELA Reading Logic'!$A$22:$B$48,2,FALSE),"No Score")))),"No Value"))</f>
        <v>No Value</v>
      </c>
      <c r="AE188" s="96" t="str">
        <f>IFERROR(VLOOKUP(AA188,'ELA Reading Logic'!$A$22:$B$48,2,FALSE)-VLOOKUP($F188,'ELA Reading Logic'!$A$22:$B$48,2,FALSE),"No Value")</f>
        <v>No Value</v>
      </c>
      <c r="AF188" s="92"/>
      <c r="AG188" s="96" t="str">
        <f>IFERROR(IF($E188="Yes","IPP",VLOOKUP($J188,'ELA Reading Logic'!$A$3:$K$9,VLOOKUP(AF$1,'ELA Reading Logic'!$J$22:$K$31,2,FALSE),FALSE)),"Set Grade")</f>
        <v>Set Grade</v>
      </c>
      <c r="AH188" s="96" t="str">
        <f>IFERROR(IF($E188="Yes","IPP",VLOOKUP($J188,'ELA Reading Logic'!$A$13:$K$19,VLOOKUP(AF$1,'ELA Reading Logic'!$J$22:$K$31,2,FALSE),FALSE)),"Set Grade")</f>
        <v>Set Grade</v>
      </c>
      <c r="AI188" s="96" t="str">
        <f>IF($E188="Yes","IPP",IFERROR(IF(AND(AF188&gt;AG188,AF188&lt;AH188),"0",(VLOOKUP(AF188,'ELA Reading Logic'!$A$22:$B$48,2,FALSE))-(IF(VLOOKUP(AF188,'ELA Reading Logic'!$A$22:$B$48,2,FALSE)&lt;=VLOOKUP(AG188,'ELA Reading Logic'!$A$22:$B$48,2,FALSE),VLOOKUP(AG188,'ELA Reading Logic'!$A$22:$B$48,2,FALSE),IF(VLOOKUP(AF188,'ELA Reading Logic'!$A$22:$B$48,2,FALSE)&gt;=VLOOKUP(AH188,'ELA Reading Logic'!$A$22:$B$48,2,FALSE),VLOOKUP(AH188,'ELA Reading Logic'!$A$22:$B$48,2,FALSE),"No Score")))),"No Value"))</f>
        <v>No Value</v>
      </c>
      <c r="AJ188" s="96" t="str">
        <f>IFERROR(VLOOKUP(AF188,'ELA Reading Logic'!$A$22:$B$48,2,FALSE)-VLOOKUP($F188,'ELA Reading Logic'!$A$22:$B$48,2,FALSE),"No Value")</f>
        <v>No Value</v>
      </c>
      <c r="AK188" s="92"/>
      <c r="AL188" s="96" t="str">
        <f>IFERROR(IF($E188="Yes","IPP",VLOOKUP($J188,'ELA Reading Logic'!$A$3:$K$9,VLOOKUP(AK$1,'ELA Reading Logic'!$J$22:$K$31,2,FALSE),FALSE)),"Set Grade")</f>
        <v>Set Grade</v>
      </c>
      <c r="AM188" s="96" t="str">
        <f>IFERROR(IF($E188="Yes","IPP",VLOOKUP($J188,'ELA Reading Logic'!$A$13:$K$19,VLOOKUP(AK$1,'ELA Reading Logic'!$J$22:$K$31,2,FALSE),FALSE)),"Set Grade")</f>
        <v>Set Grade</v>
      </c>
      <c r="AN188" s="96" t="str">
        <f>IF($E188="Yes","IPP",IFERROR(IF(AND(AK188&gt;AL188,AK188&lt;AM188),"0",(VLOOKUP(AK188,'ELA Reading Logic'!$A$22:$B$48,2,FALSE))-(IF(VLOOKUP(AK188,'ELA Reading Logic'!$A$22:$B$48,2,FALSE)&lt;=VLOOKUP(AL188,'ELA Reading Logic'!$A$22:$B$48,2,FALSE),VLOOKUP(AL188,'ELA Reading Logic'!$A$22:$B$48,2,FALSE),IF(VLOOKUP(AK188,'ELA Reading Logic'!$A$22:$B$48,2,FALSE)&gt;=VLOOKUP(AM188,'ELA Reading Logic'!$A$22:$B$48,2,FALSE),VLOOKUP(AM188,'ELA Reading Logic'!$A$22:$B$48,2,FALSE),"No Score")))),"No Value"))</f>
        <v>No Value</v>
      </c>
      <c r="AO188" s="96" t="str">
        <f>IFERROR(VLOOKUP(AK188,'ELA Reading Logic'!$A$22:$B$48,2,FALSE)-VLOOKUP($F188,'ELA Reading Logic'!$A$22:$B$48,2,FALSE),"No Value")</f>
        <v>No Value</v>
      </c>
      <c r="AP188" s="92"/>
      <c r="AQ188" s="96" t="str">
        <f>IFERROR(IF($E188="Yes","IPP",VLOOKUP($J188,'ELA Reading Logic'!$A$3:$K$9,VLOOKUP(AP$1,'ELA Reading Logic'!$J$22:$K$31,2,FALSE),FALSE)),"Set Grade")</f>
        <v>Set Grade</v>
      </c>
      <c r="AR188" s="96" t="str">
        <f>IFERROR(IF($E188="Yes","IPP",VLOOKUP($J188,'ELA Reading Logic'!$A$13:$K$19,VLOOKUP(AP$1,'ELA Reading Logic'!$J$22:$K$31,2,FALSE),FALSE)),"Set Grade")</f>
        <v>Set Grade</v>
      </c>
      <c r="AS188" s="96" t="str">
        <f>IF($E188="Yes","IPP",IFERROR(IF(AND(AP188&gt;AQ188,AP188&lt;AR188),"0",(VLOOKUP(AP188,'ELA Reading Logic'!$A$22:$B$48,2,FALSE))-(IF(VLOOKUP(AP188,'ELA Reading Logic'!$A$22:$B$48,2,FALSE)&lt;=VLOOKUP(AQ188,'ELA Reading Logic'!$A$22:$B$48,2,FALSE),VLOOKUP(AQ188,'ELA Reading Logic'!$A$22:$B$48,2,FALSE),IF(VLOOKUP(AP188,'ELA Reading Logic'!$A$22:$B$48,2,FALSE)&gt;=VLOOKUP(AR188,'ELA Reading Logic'!$A$22:$B$48,2,FALSE),VLOOKUP(AR188,'ELA Reading Logic'!$A$22:$B$48,2,FALSE),"No Score")))),"No Value"))</f>
        <v>No Value</v>
      </c>
      <c r="AT188" s="96" t="str">
        <f>IFERROR(VLOOKUP(AP188,'ELA Reading Logic'!$A$22:$B$48,2,FALSE)-VLOOKUP($F188,'ELA Reading Logic'!$A$22:$B$48,2,FALSE),"No Value")</f>
        <v>No Value</v>
      </c>
    </row>
    <row r="189" spans="1:46" ht="22.5" customHeight="1" x14ac:dyDescent="0.25">
      <c r="A189" s="174"/>
      <c r="B189" s="174"/>
      <c r="C189" s="174"/>
      <c r="D189" s="174"/>
      <c r="E189" s="175"/>
      <c r="F189" s="175"/>
      <c r="G189" s="177" t="str">
        <f>IFERROR(IF($E189="Yes","IPP",VLOOKUP($J189,'ELA Reading Logic'!$A$3:$K$9,VLOOKUP("September",'ELA Reading Logic'!$J$22:$K$31,2,FALSE),FALSE)),"Set Grade")</f>
        <v>Set Grade</v>
      </c>
      <c r="H189" s="177" t="str">
        <f>IFERROR(IF($E189="Yes","IPP",VLOOKUP($J189,'ELA Reading Logic'!$A$13:$K$19,VLOOKUP("September",'ELA Reading Logic'!$J$22:$K$31,2,FALSE),FALSE)),"Set Grade")</f>
        <v>Set Grade</v>
      </c>
      <c r="I189" s="96" t="str">
        <f>IF($E189="Yes","IPP",IFERROR(IF(AND(F189&gt;G189,F189&lt;H189),"0",(VLOOKUP(F189,'ELA Reading Logic'!$A$22:$B$48,2,FALSE))-(IF(VLOOKUP(F189,'ELA Reading Logic'!$A$22:$B$48,2,FALSE)&lt;=VLOOKUP(G189,'ELA Reading Logic'!$A$22:$B$48,2,FALSE),VLOOKUP(G189,'ELA Reading Logic'!$A$22:$B$48,2,FALSE),IF(VLOOKUP(F189,'ELA Reading Logic'!$A$22:$B$48,2,FALSE)&gt;=VLOOKUP(H189,'ELA Reading Logic'!$A$22:$B$48,2,FALSE),VLOOKUP(H189,'ELA Reading Logic'!$A$22:$B$48,2,FALSE),"No Score")))),"No Value"))</f>
        <v>No Value</v>
      </c>
      <c r="J189" s="178"/>
      <c r="K189" s="96"/>
      <c r="L189" s="96"/>
      <c r="M189" s="96"/>
      <c r="N189" s="96"/>
      <c r="O189" s="96"/>
      <c r="P189" s="105"/>
      <c r="Q189" s="92"/>
      <c r="R189" s="96" t="str">
        <f>IFERROR(IF($E189="Yes","IPP",VLOOKUP($J189,'ELA Reading Logic'!$A$3:$K$9,VLOOKUP(Q$1,'ELA Reading Logic'!$J$22:$K$31,2,FALSE),FALSE)),"Set Grade")</f>
        <v>Set Grade</v>
      </c>
      <c r="S189" s="96" t="str">
        <f>IFERROR(IF($E189="Yes","IPP",VLOOKUP($J189,'ELA Reading Logic'!$A$13:$K$19,VLOOKUP(Q$1,'ELA Reading Logic'!$J$22:$K$31,2,FALSE),FALSE)),"Set Grade")</f>
        <v>Set Grade</v>
      </c>
      <c r="T189" s="96" t="str">
        <f>IF($E189="Yes","IPP",IFERROR(IF(AND(Q189&gt;R189,Q189&lt;S189),"0",(VLOOKUP(Q189,'ELA Reading Logic'!$A$22:$B$48,2,FALSE))-(IF(VLOOKUP(Q189,'ELA Reading Logic'!$A$22:$B$48,2,FALSE)&lt;=VLOOKUP(R189,'ELA Reading Logic'!$A$22:$B$48,2,FALSE),VLOOKUP(R189,'ELA Reading Logic'!$A$22:$B$48,2,FALSE),IF(VLOOKUP(Q189,'ELA Reading Logic'!$A$22:$B$48,2,FALSE)&gt;=VLOOKUP(S189,'ELA Reading Logic'!$A$22:$B$48,2,FALSE),VLOOKUP(S189,'ELA Reading Logic'!$A$22:$B$48,2,FALSE),"No Score")))),"No Value"))</f>
        <v>No Value</v>
      </c>
      <c r="U189" s="96" t="str">
        <f>IFERROR(VLOOKUP(Q189,'ELA Reading Logic'!$A$22:$B$48,2,FALSE)-VLOOKUP($F189,'ELA Reading Logic'!$A$22:$B$48,2,FALSE),"No Value")</f>
        <v>No Value</v>
      </c>
      <c r="V189" s="92"/>
      <c r="W189" s="96" t="str">
        <f>IFERROR(IF($E189="Yes","IPP",VLOOKUP($J189,'ELA Reading Logic'!$A$3:$K$9,VLOOKUP(V$1,'ELA Reading Logic'!$J$22:$K$31,2,FALSE),FALSE)),"Set Grade")</f>
        <v>Set Grade</v>
      </c>
      <c r="X189" s="96" t="str">
        <f>IFERROR(IF($E189="Yes","IPP",VLOOKUP($J189,'ELA Reading Logic'!$A$13:$K$19,VLOOKUP(V$1,'ELA Reading Logic'!$J$22:$K$31,2,FALSE),FALSE)),"Set Grade")</f>
        <v>Set Grade</v>
      </c>
      <c r="Y189" s="96" t="str">
        <f>IF($E189="Yes","IPP",IFERROR(IF(AND(V189&gt;W189,V189&lt;X189),"0",(VLOOKUP(V189,'ELA Reading Logic'!$A$22:$B$48,2,FALSE))-(IF(VLOOKUP(V189,'ELA Reading Logic'!$A$22:$B$48,2,FALSE)&lt;=VLOOKUP(W189,'ELA Reading Logic'!$A$22:$B$48,2,FALSE),VLOOKUP(W189,'ELA Reading Logic'!$A$22:$B$48,2,FALSE),IF(VLOOKUP(V189,'ELA Reading Logic'!$A$22:$B$48,2,FALSE)&gt;=VLOOKUP(X189,'ELA Reading Logic'!$A$22:$B$48,2,FALSE),VLOOKUP(X189,'ELA Reading Logic'!$A$22:$B$48,2,FALSE),"No Score")))),"No Value"))</f>
        <v>No Value</v>
      </c>
      <c r="Z189" s="96" t="str">
        <f>IFERROR(VLOOKUP(V189,'ELA Reading Logic'!$A$22:$B$48,2,FALSE)-VLOOKUP($F189,'ELA Reading Logic'!$A$22:$B$48,2,FALSE),"No Value")</f>
        <v>No Value</v>
      </c>
      <c r="AA189" s="92"/>
      <c r="AB189" s="96" t="str">
        <f>IFERROR(IF($E189="Yes","IPP",VLOOKUP($J189,'ELA Reading Logic'!$A$3:$K$9,VLOOKUP(AA$1,'ELA Reading Logic'!$J$22:$K$31,2,FALSE),FALSE)),"Set Grade")</f>
        <v>Set Grade</v>
      </c>
      <c r="AC189" s="96" t="str">
        <f>IFERROR(IF($E189="Yes","IPP",VLOOKUP($J189,'ELA Reading Logic'!$A$13:$K$19,VLOOKUP(AA$1,'ELA Reading Logic'!$J$22:$K$31,2,FALSE),FALSE)),"Set Grade")</f>
        <v>Set Grade</v>
      </c>
      <c r="AD189" s="96" t="str">
        <f>IF($E189="Yes","IPP",IFERROR(IF(AND(AA189&gt;AB189,AA189&lt;AC189),"0",(VLOOKUP(AA189,'ELA Reading Logic'!$A$22:$B$48,2,FALSE))-(IF(VLOOKUP(AA189,'ELA Reading Logic'!$A$22:$B$48,2,FALSE)&lt;=VLOOKUP(AB189,'ELA Reading Logic'!$A$22:$B$48,2,FALSE),VLOOKUP(AB189,'ELA Reading Logic'!$A$22:$B$48,2,FALSE),IF(VLOOKUP(AA189,'ELA Reading Logic'!$A$22:$B$48,2,FALSE)&gt;=VLOOKUP(AC189,'ELA Reading Logic'!$A$22:$B$48,2,FALSE),VLOOKUP(AC189,'ELA Reading Logic'!$A$22:$B$48,2,FALSE),"No Score")))),"No Value"))</f>
        <v>No Value</v>
      </c>
      <c r="AE189" s="96" t="str">
        <f>IFERROR(VLOOKUP(AA189,'ELA Reading Logic'!$A$22:$B$48,2,FALSE)-VLOOKUP($F189,'ELA Reading Logic'!$A$22:$B$48,2,FALSE),"No Value")</f>
        <v>No Value</v>
      </c>
      <c r="AF189" s="92"/>
      <c r="AG189" s="96" t="str">
        <f>IFERROR(IF($E189="Yes","IPP",VLOOKUP($J189,'ELA Reading Logic'!$A$3:$K$9,VLOOKUP(AF$1,'ELA Reading Logic'!$J$22:$K$31,2,FALSE),FALSE)),"Set Grade")</f>
        <v>Set Grade</v>
      </c>
      <c r="AH189" s="96" t="str">
        <f>IFERROR(IF($E189="Yes","IPP",VLOOKUP($J189,'ELA Reading Logic'!$A$13:$K$19,VLOOKUP(AF$1,'ELA Reading Logic'!$J$22:$K$31,2,FALSE),FALSE)),"Set Grade")</f>
        <v>Set Grade</v>
      </c>
      <c r="AI189" s="96" t="str">
        <f>IF($E189="Yes","IPP",IFERROR(IF(AND(AF189&gt;AG189,AF189&lt;AH189),"0",(VLOOKUP(AF189,'ELA Reading Logic'!$A$22:$B$48,2,FALSE))-(IF(VLOOKUP(AF189,'ELA Reading Logic'!$A$22:$B$48,2,FALSE)&lt;=VLOOKUP(AG189,'ELA Reading Logic'!$A$22:$B$48,2,FALSE),VLOOKUP(AG189,'ELA Reading Logic'!$A$22:$B$48,2,FALSE),IF(VLOOKUP(AF189,'ELA Reading Logic'!$A$22:$B$48,2,FALSE)&gt;=VLOOKUP(AH189,'ELA Reading Logic'!$A$22:$B$48,2,FALSE),VLOOKUP(AH189,'ELA Reading Logic'!$A$22:$B$48,2,FALSE),"No Score")))),"No Value"))</f>
        <v>No Value</v>
      </c>
      <c r="AJ189" s="96" t="str">
        <f>IFERROR(VLOOKUP(AF189,'ELA Reading Logic'!$A$22:$B$48,2,FALSE)-VLOOKUP($F189,'ELA Reading Logic'!$A$22:$B$48,2,FALSE),"No Value")</f>
        <v>No Value</v>
      </c>
      <c r="AK189" s="92"/>
      <c r="AL189" s="96" t="str">
        <f>IFERROR(IF($E189="Yes","IPP",VLOOKUP($J189,'ELA Reading Logic'!$A$3:$K$9,VLOOKUP(AK$1,'ELA Reading Logic'!$J$22:$K$31,2,FALSE),FALSE)),"Set Grade")</f>
        <v>Set Grade</v>
      </c>
      <c r="AM189" s="96" t="str">
        <f>IFERROR(IF($E189="Yes","IPP",VLOOKUP($J189,'ELA Reading Logic'!$A$13:$K$19,VLOOKUP(AK$1,'ELA Reading Logic'!$J$22:$K$31,2,FALSE),FALSE)),"Set Grade")</f>
        <v>Set Grade</v>
      </c>
      <c r="AN189" s="96" t="str">
        <f>IF($E189="Yes","IPP",IFERROR(IF(AND(AK189&gt;AL189,AK189&lt;AM189),"0",(VLOOKUP(AK189,'ELA Reading Logic'!$A$22:$B$48,2,FALSE))-(IF(VLOOKUP(AK189,'ELA Reading Logic'!$A$22:$B$48,2,FALSE)&lt;=VLOOKUP(AL189,'ELA Reading Logic'!$A$22:$B$48,2,FALSE),VLOOKUP(AL189,'ELA Reading Logic'!$A$22:$B$48,2,FALSE),IF(VLOOKUP(AK189,'ELA Reading Logic'!$A$22:$B$48,2,FALSE)&gt;=VLOOKUP(AM189,'ELA Reading Logic'!$A$22:$B$48,2,FALSE),VLOOKUP(AM189,'ELA Reading Logic'!$A$22:$B$48,2,FALSE),"No Score")))),"No Value"))</f>
        <v>No Value</v>
      </c>
      <c r="AO189" s="96" t="str">
        <f>IFERROR(VLOOKUP(AK189,'ELA Reading Logic'!$A$22:$B$48,2,FALSE)-VLOOKUP($F189,'ELA Reading Logic'!$A$22:$B$48,2,FALSE),"No Value")</f>
        <v>No Value</v>
      </c>
      <c r="AP189" s="92"/>
      <c r="AQ189" s="96" t="str">
        <f>IFERROR(IF($E189="Yes","IPP",VLOOKUP($J189,'ELA Reading Logic'!$A$3:$K$9,VLOOKUP(AP$1,'ELA Reading Logic'!$J$22:$K$31,2,FALSE),FALSE)),"Set Grade")</f>
        <v>Set Grade</v>
      </c>
      <c r="AR189" s="96" t="str">
        <f>IFERROR(IF($E189="Yes","IPP",VLOOKUP($J189,'ELA Reading Logic'!$A$13:$K$19,VLOOKUP(AP$1,'ELA Reading Logic'!$J$22:$K$31,2,FALSE),FALSE)),"Set Grade")</f>
        <v>Set Grade</v>
      </c>
      <c r="AS189" s="96" t="str">
        <f>IF($E189="Yes","IPP",IFERROR(IF(AND(AP189&gt;AQ189,AP189&lt;AR189),"0",(VLOOKUP(AP189,'ELA Reading Logic'!$A$22:$B$48,2,FALSE))-(IF(VLOOKUP(AP189,'ELA Reading Logic'!$A$22:$B$48,2,FALSE)&lt;=VLOOKUP(AQ189,'ELA Reading Logic'!$A$22:$B$48,2,FALSE),VLOOKUP(AQ189,'ELA Reading Logic'!$A$22:$B$48,2,FALSE),IF(VLOOKUP(AP189,'ELA Reading Logic'!$A$22:$B$48,2,FALSE)&gt;=VLOOKUP(AR189,'ELA Reading Logic'!$A$22:$B$48,2,FALSE),VLOOKUP(AR189,'ELA Reading Logic'!$A$22:$B$48,2,FALSE),"No Score")))),"No Value"))</f>
        <v>No Value</v>
      </c>
      <c r="AT189" s="96" t="str">
        <f>IFERROR(VLOOKUP(AP189,'ELA Reading Logic'!$A$22:$B$48,2,FALSE)-VLOOKUP($F189,'ELA Reading Logic'!$A$22:$B$48,2,FALSE),"No Value")</f>
        <v>No Value</v>
      </c>
    </row>
    <row r="190" spans="1:46" ht="22.5" customHeight="1" x14ac:dyDescent="0.25">
      <c r="A190" s="176"/>
      <c r="B190" s="176"/>
      <c r="C190" s="176"/>
      <c r="D190" s="176"/>
      <c r="E190" s="175"/>
      <c r="F190" s="175"/>
      <c r="G190" s="177" t="str">
        <f>IFERROR(IF($E190="Yes","IPP",VLOOKUP($J190,'ELA Reading Logic'!$A$3:$K$9,VLOOKUP("September",'ELA Reading Logic'!$J$22:$K$31,2,FALSE),FALSE)),"Set Grade")</f>
        <v>Set Grade</v>
      </c>
      <c r="H190" s="177" t="str">
        <f>IFERROR(IF($E190="Yes","IPP",VLOOKUP($J190,'ELA Reading Logic'!$A$13:$K$19,VLOOKUP("September",'ELA Reading Logic'!$J$22:$K$31,2,FALSE),FALSE)),"Set Grade")</f>
        <v>Set Grade</v>
      </c>
      <c r="I190" s="96" t="str">
        <f>IF($E190="Yes","IPP",IFERROR(IF(AND(F190&gt;G190,F190&lt;H190),"0",(VLOOKUP(F190,'ELA Reading Logic'!$A$22:$B$48,2,FALSE))-(IF(VLOOKUP(F190,'ELA Reading Logic'!$A$22:$B$48,2,FALSE)&lt;=VLOOKUP(G190,'ELA Reading Logic'!$A$22:$B$48,2,FALSE),VLOOKUP(G190,'ELA Reading Logic'!$A$22:$B$48,2,FALSE),IF(VLOOKUP(F190,'ELA Reading Logic'!$A$22:$B$48,2,FALSE)&gt;=VLOOKUP(H190,'ELA Reading Logic'!$A$22:$B$48,2,FALSE),VLOOKUP(H190,'ELA Reading Logic'!$A$22:$B$48,2,FALSE),"No Score")))),"No Value"))</f>
        <v>No Value</v>
      </c>
      <c r="J190" s="178"/>
      <c r="K190" s="96"/>
      <c r="L190" s="96"/>
      <c r="M190" s="96"/>
      <c r="N190" s="96"/>
      <c r="O190" s="96"/>
      <c r="P190" s="105"/>
      <c r="Q190" s="92"/>
      <c r="R190" s="96" t="str">
        <f>IFERROR(IF($E190="Yes","IPP",VLOOKUP($J190,'ELA Reading Logic'!$A$3:$K$9,VLOOKUP(Q$1,'ELA Reading Logic'!$J$22:$K$31,2,FALSE),FALSE)),"Set Grade")</f>
        <v>Set Grade</v>
      </c>
      <c r="S190" s="96" t="str">
        <f>IFERROR(IF($E190="Yes","IPP",VLOOKUP($J190,'ELA Reading Logic'!$A$13:$K$19,VLOOKUP(Q$1,'ELA Reading Logic'!$J$22:$K$31,2,FALSE),FALSE)),"Set Grade")</f>
        <v>Set Grade</v>
      </c>
      <c r="T190" s="96" t="str">
        <f>IF($E190="Yes","IPP",IFERROR(IF(AND(Q190&gt;R190,Q190&lt;S190),"0",(VLOOKUP(Q190,'ELA Reading Logic'!$A$22:$B$48,2,FALSE))-(IF(VLOOKUP(Q190,'ELA Reading Logic'!$A$22:$B$48,2,FALSE)&lt;=VLOOKUP(R190,'ELA Reading Logic'!$A$22:$B$48,2,FALSE),VLOOKUP(R190,'ELA Reading Logic'!$A$22:$B$48,2,FALSE),IF(VLOOKUP(Q190,'ELA Reading Logic'!$A$22:$B$48,2,FALSE)&gt;=VLOOKUP(S190,'ELA Reading Logic'!$A$22:$B$48,2,FALSE),VLOOKUP(S190,'ELA Reading Logic'!$A$22:$B$48,2,FALSE),"No Score")))),"No Value"))</f>
        <v>No Value</v>
      </c>
      <c r="U190" s="96" t="str">
        <f>IFERROR(VLOOKUP(Q190,'ELA Reading Logic'!$A$22:$B$48,2,FALSE)-VLOOKUP($F190,'ELA Reading Logic'!$A$22:$B$48,2,FALSE),"No Value")</f>
        <v>No Value</v>
      </c>
      <c r="V190" s="92"/>
      <c r="W190" s="96" t="str">
        <f>IFERROR(IF($E190="Yes","IPP",VLOOKUP($J190,'ELA Reading Logic'!$A$3:$K$9,VLOOKUP(V$1,'ELA Reading Logic'!$J$22:$K$31,2,FALSE),FALSE)),"Set Grade")</f>
        <v>Set Grade</v>
      </c>
      <c r="X190" s="96" t="str">
        <f>IFERROR(IF($E190="Yes","IPP",VLOOKUP($J190,'ELA Reading Logic'!$A$13:$K$19,VLOOKUP(V$1,'ELA Reading Logic'!$J$22:$K$31,2,FALSE),FALSE)),"Set Grade")</f>
        <v>Set Grade</v>
      </c>
      <c r="Y190" s="96" t="str">
        <f>IF($E190="Yes","IPP",IFERROR(IF(AND(V190&gt;W190,V190&lt;X190),"0",(VLOOKUP(V190,'ELA Reading Logic'!$A$22:$B$48,2,FALSE))-(IF(VLOOKUP(V190,'ELA Reading Logic'!$A$22:$B$48,2,FALSE)&lt;=VLOOKUP(W190,'ELA Reading Logic'!$A$22:$B$48,2,FALSE),VLOOKUP(W190,'ELA Reading Logic'!$A$22:$B$48,2,FALSE),IF(VLOOKUP(V190,'ELA Reading Logic'!$A$22:$B$48,2,FALSE)&gt;=VLOOKUP(X190,'ELA Reading Logic'!$A$22:$B$48,2,FALSE),VLOOKUP(X190,'ELA Reading Logic'!$A$22:$B$48,2,FALSE),"No Score")))),"No Value"))</f>
        <v>No Value</v>
      </c>
      <c r="Z190" s="96" t="str">
        <f>IFERROR(VLOOKUP(V190,'ELA Reading Logic'!$A$22:$B$48,2,FALSE)-VLOOKUP($F190,'ELA Reading Logic'!$A$22:$B$48,2,FALSE),"No Value")</f>
        <v>No Value</v>
      </c>
      <c r="AA190" s="92"/>
      <c r="AB190" s="96" t="str">
        <f>IFERROR(IF($E190="Yes","IPP",VLOOKUP($J190,'ELA Reading Logic'!$A$3:$K$9,VLOOKUP(AA$1,'ELA Reading Logic'!$J$22:$K$31,2,FALSE),FALSE)),"Set Grade")</f>
        <v>Set Grade</v>
      </c>
      <c r="AC190" s="96" t="str">
        <f>IFERROR(IF($E190="Yes","IPP",VLOOKUP($J190,'ELA Reading Logic'!$A$13:$K$19,VLOOKUP(AA$1,'ELA Reading Logic'!$J$22:$K$31,2,FALSE),FALSE)),"Set Grade")</f>
        <v>Set Grade</v>
      </c>
      <c r="AD190" s="96" t="str">
        <f>IF($E190="Yes","IPP",IFERROR(IF(AND(AA190&gt;AB190,AA190&lt;AC190),"0",(VLOOKUP(AA190,'ELA Reading Logic'!$A$22:$B$48,2,FALSE))-(IF(VLOOKUP(AA190,'ELA Reading Logic'!$A$22:$B$48,2,FALSE)&lt;=VLOOKUP(AB190,'ELA Reading Logic'!$A$22:$B$48,2,FALSE),VLOOKUP(AB190,'ELA Reading Logic'!$A$22:$B$48,2,FALSE),IF(VLOOKUP(AA190,'ELA Reading Logic'!$A$22:$B$48,2,FALSE)&gt;=VLOOKUP(AC190,'ELA Reading Logic'!$A$22:$B$48,2,FALSE),VLOOKUP(AC190,'ELA Reading Logic'!$A$22:$B$48,2,FALSE),"No Score")))),"No Value"))</f>
        <v>No Value</v>
      </c>
      <c r="AE190" s="96" t="str">
        <f>IFERROR(VLOOKUP(AA190,'ELA Reading Logic'!$A$22:$B$48,2,FALSE)-VLOOKUP($F190,'ELA Reading Logic'!$A$22:$B$48,2,FALSE),"No Value")</f>
        <v>No Value</v>
      </c>
      <c r="AF190" s="92"/>
      <c r="AG190" s="96" t="str">
        <f>IFERROR(IF($E190="Yes","IPP",VLOOKUP($J190,'ELA Reading Logic'!$A$3:$K$9,VLOOKUP(AF$1,'ELA Reading Logic'!$J$22:$K$31,2,FALSE),FALSE)),"Set Grade")</f>
        <v>Set Grade</v>
      </c>
      <c r="AH190" s="96" t="str">
        <f>IFERROR(IF($E190="Yes","IPP",VLOOKUP($J190,'ELA Reading Logic'!$A$13:$K$19,VLOOKUP(AF$1,'ELA Reading Logic'!$J$22:$K$31,2,FALSE),FALSE)),"Set Grade")</f>
        <v>Set Grade</v>
      </c>
      <c r="AI190" s="96" t="str">
        <f>IF($E190="Yes","IPP",IFERROR(IF(AND(AF190&gt;AG190,AF190&lt;AH190),"0",(VLOOKUP(AF190,'ELA Reading Logic'!$A$22:$B$48,2,FALSE))-(IF(VLOOKUP(AF190,'ELA Reading Logic'!$A$22:$B$48,2,FALSE)&lt;=VLOOKUP(AG190,'ELA Reading Logic'!$A$22:$B$48,2,FALSE),VLOOKUP(AG190,'ELA Reading Logic'!$A$22:$B$48,2,FALSE),IF(VLOOKUP(AF190,'ELA Reading Logic'!$A$22:$B$48,2,FALSE)&gt;=VLOOKUP(AH190,'ELA Reading Logic'!$A$22:$B$48,2,FALSE),VLOOKUP(AH190,'ELA Reading Logic'!$A$22:$B$48,2,FALSE),"No Score")))),"No Value"))</f>
        <v>No Value</v>
      </c>
      <c r="AJ190" s="96" t="str">
        <f>IFERROR(VLOOKUP(AF190,'ELA Reading Logic'!$A$22:$B$48,2,FALSE)-VLOOKUP($F190,'ELA Reading Logic'!$A$22:$B$48,2,FALSE),"No Value")</f>
        <v>No Value</v>
      </c>
      <c r="AK190" s="92"/>
      <c r="AL190" s="96" t="str">
        <f>IFERROR(IF($E190="Yes","IPP",VLOOKUP($J190,'ELA Reading Logic'!$A$3:$K$9,VLOOKUP(AK$1,'ELA Reading Logic'!$J$22:$K$31,2,FALSE),FALSE)),"Set Grade")</f>
        <v>Set Grade</v>
      </c>
      <c r="AM190" s="96" t="str">
        <f>IFERROR(IF($E190="Yes","IPP",VLOOKUP($J190,'ELA Reading Logic'!$A$13:$K$19,VLOOKUP(AK$1,'ELA Reading Logic'!$J$22:$K$31,2,FALSE),FALSE)),"Set Grade")</f>
        <v>Set Grade</v>
      </c>
      <c r="AN190" s="96" t="str">
        <f>IF($E190="Yes","IPP",IFERROR(IF(AND(AK190&gt;AL190,AK190&lt;AM190),"0",(VLOOKUP(AK190,'ELA Reading Logic'!$A$22:$B$48,2,FALSE))-(IF(VLOOKUP(AK190,'ELA Reading Logic'!$A$22:$B$48,2,FALSE)&lt;=VLOOKUP(AL190,'ELA Reading Logic'!$A$22:$B$48,2,FALSE),VLOOKUP(AL190,'ELA Reading Logic'!$A$22:$B$48,2,FALSE),IF(VLOOKUP(AK190,'ELA Reading Logic'!$A$22:$B$48,2,FALSE)&gt;=VLOOKUP(AM190,'ELA Reading Logic'!$A$22:$B$48,2,FALSE),VLOOKUP(AM190,'ELA Reading Logic'!$A$22:$B$48,2,FALSE),"No Score")))),"No Value"))</f>
        <v>No Value</v>
      </c>
      <c r="AO190" s="96" t="str">
        <f>IFERROR(VLOOKUP(AK190,'ELA Reading Logic'!$A$22:$B$48,2,FALSE)-VLOOKUP($F190,'ELA Reading Logic'!$A$22:$B$48,2,FALSE),"No Value")</f>
        <v>No Value</v>
      </c>
      <c r="AP190" s="92"/>
      <c r="AQ190" s="96" t="str">
        <f>IFERROR(IF($E190="Yes","IPP",VLOOKUP($J190,'ELA Reading Logic'!$A$3:$K$9,VLOOKUP(AP$1,'ELA Reading Logic'!$J$22:$K$31,2,FALSE),FALSE)),"Set Grade")</f>
        <v>Set Grade</v>
      </c>
      <c r="AR190" s="96" t="str">
        <f>IFERROR(IF($E190="Yes","IPP",VLOOKUP($J190,'ELA Reading Logic'!$A$13:$K$19,VLOOKUP(AP$1,'ELA Reading Logic'!$J$22:$K$31,2,FALSE),FALSE)),"Set Grade")</f>
        <v>Set Grade</v>
      </c>
      <c r="AS190" s="96" t="str">
        <f>IF($E190="Yes","IPP",IFERROR(IF(AND(AP190&gt;AQ190,AP190&lt;AR190),"0",(VLOOKUP(AP190,'ELA Reading Logic'!$A$22:$B$48,2,FALSE))-(IF(VLOOKUP(AP190,'ELA Reading Logic'!$A$22:$B$48,2,FALSE)&lt;=VLOOKUP(AQ190,'ELA Reading Logic'!$A$22:$B$48,2,FALSE),VLOOKUP(AQ190,'ELA Reading Logic'!$A$22:$B$48,2,FALSE),IF(VLOOKUP(AP190,'ELA Reading Logic'!$A$22:$B$48,2,FALSE)&gt;=VLOOKUP(AR190,'ELA Reading Logic'!$A$22:$B$48,2,FALSE),VLOOKUP(AR190,'ELA Reading Logic'!$A$22:$B$48,2,FALSE),"No Score")))),"No Value"))</f>
        <v>No Value</v>
      </c>
      <c r="AT190" s="96" t="str">
        <f>IFERROR(VLOOKUP(AP190,'ELA Reading Logic'!$A$22:$B$48,2,FALSE)-VLOOKUP($F190,'ELA Reading Logic'!$A$22:$B$48,2,FALSE),"No Value")</f>
        <v>No Value</v>
      </c>
    </row>
    <row r="191" spans="1:46" ht="22.5" customHeight="1" x14ac:dyDescent="0.25">
      <c r="A191" s="174"/>
      <c r="B191" s="174"/>
      <c r="C191" s="174"/>
      <c r="D191" s="174"/>
      <c r="E191" s="175"/>
      <c r="F191" s="175"/>
      <c r="G191" s="177" t="str">
        <f>IFERROR(IF($E191="Yes","IPP",VLOOKUP($J191,'ELA Reading Logic'!$A$3:$K$9,VLOOKUP("September",'ELA Reading Logic'!$J$22:$K$31,2,FALSE),FALSE)),"Set Grade")</f>
        <v>Set Grade</v>
      </c>
      <c r="H191" s="177" t="str">
        <f>IFERROR(IF($E191="Yes","IPP",VLOOKUP($J191,'ELA Reading Logic'!$A$13:$K$19,VLOOKUP("September",'ELA Reading Logic'!$J$22:$K$31,2,FALSE),FALSE)),"Set Grade")</f>
        <v>Set Grade</v>
      </c>
      <c r="I191" s="96" t="str">
        <f>IF($E191="Yes","IPP",IFERROR(IF(AND(F191&gt;G191,F191&lt;H191),"0",(VLOOKUP(F191,'ELA Reading Logic'!$A$22:$B$48,2,FALSE))-(IF(VLOOKUP(F191,'ELA Reading Logic'!$A$22:$B$48,2,FALSE)&lt;=VLOOKUP(G191,'ELA Reading Logic'!$A$22:$B$48,2,FALSE),VLOOKUP(G191,'ELA Reading Logic'!$A$22:$B$48,2,FALSE),IF(VLOOKUP(F191,'ELA Reading Logic'!$A$22:$B$48,2,FALSE)&gt;=VLOOKUP(H191,'ELA Reading Logic'!$A$22:$B$48,2,FALSE),VLOOKUP(H191,'ELA Reading Logic'!$A$22:$B$48,2,FALSE),"No Score")))),"No Value"))</f>
        <v>No Value</v>
      </c>
      <c r="J191" s="178"/>
      <c r="K191" s="96"/>
      <c r="L191" s="96"/>
      <c r="M191" s="96"/>
      <c r="N191" s="96"/>
      <c r="O191" s="96"/>
      <c r="P191" s="105"/>
      <c r="Q191" s="92"/>
      <c r="R191" s="96" t="str">
        <f>IFERROR(IF($E191="Yes","IPP",VLOOKUP($J191,'ELA Reading Logic'!$A$3:$K$9,VLOOKUP(Q$1,'ELA Reading Logic'!$J$22:$K$31,2,FALSE),FALSE)),"Set Grade")</f>
        <v>Set Grade</v>
      </c>
      <c r="S191" s="96" t="str">
        <f>IFERROR(IF($E191="Yes","IPP",VLOOKUP($J191,'ELA Reading Logic'!$A$13:$K$19,VLOOKUP(Q$1,'ELA Reading Logic'!$J$22:$K$31,2,FALSE),FALSE)),"Set Grade")</f>
        <v>Set Grade</v>
      </c>
      <c r="T191" s="96" t="str">
        <f>IF($E191="Yes","IPP",IFERROR(IF(AND(Q191&gt;R191,Q191&lt;S191),"0",(VLOOKUP(Q191,'ELA Reading Logic'!$A$22:$B$48,2,FALSE))-(IF(VLOOKUP(Q191,'ELA Reading Logic'!$A$22:$B$48,2,FALSE)&lt;=VLOOKUP(R191,'ELA Reading Logic'!$A$22:$B$48,2,FALSE),VLOOKUP(R191,'ELA Reading Logic'!$A$22:$B$48,2,FALSE),IF(VLOOKUP(Q191,'ELA Reading Logic'!$A$22:$B$48,2,FALSE)&gt;=VLOOKUP(S191,'ELA Reading Logic'!$A$22:$B$48,2,FALSE),VLOOKUP(S191,'ELA Reading Logic'!$A$22:$B$48,2,FALSE),"No Score")))),"No Value"))</f>
        <v>No Value</v>
      </c>
      <c r="U191" s="96" t="str">
        <f>IFERROR(VLOOKUP(Q191,'ELA Reading Logic'!$A$22:$B$48,2,FALSE)-VLOOKUP($F191,'ELA Reading Logic'!$A$22:$B$48,2,FALSE),"No Value")</f>
        <v>No Value</v>
      </c>
      <c r="V191" s="92"/>
      <c r="W191" s="96" t="str">
        <f>IFERROR(IF($E191="Yes","IPP",VLOOKUP($J191,'ELA Reading Logic'!$A$3:$K$9,VLOOKUP(V$1,'ELA Reading Logic'!$J$22:$K$31,2,FALSE),FALSE)),"Set Grade")</f>
        <v>Set Grade</v>
      </c>
      <c r="X191" s="96" t="str">
        <f>IFERROR(IF($E191="Yes","IPP",VLOOKUP($J191,'ELA Reading Logic'!$A$13:$K$19,VLOOKUP(V$1,'ELA Reading Logic'!$J$22:$K$31,2,FALSE),FALSE)),"Set Grade")</f>
        <v>Set Grade</v>
      </c>
      <c r="Y191" s="96" t="str">
        <f>IF($E191="Yes","IPP",IFERROR(IF(AND(V191&gt;W191,V191&lt;X191),"0",(VLOOKUP(V191,'ELA Reading Logic'!$A$22:$B$48,2,FALSE))-(IF(VLOOKUP(V191,'ELA Reading Logic'!$A$22:$B$48,2,FALSE)&lt;=VLOOKUP(W191,'ELA Reading Logic'!$A$22:$B$48,2,FALSE),VLOOKUP(W191,'ELA Reading Logic'!$A$22:$B$48,2,FALSE),IF(VLOOKUP(V191,'ELA Reading Logic'!$A$22:$B$48,2,FALSE)&gt;=VLOOKUP(X191,'ELA Reading Logic'!$A$22:$B$48,2,FALSE),VLOOKUP(X191,'ELA Reading Logic'!$A$22:$B$48,2,FALSE),"No Score")))),"No Value"))</f>
        <v>No Value</v>
      </c>
      <c r="Z191" s="96" t="str">
        <f>IFERROR(VLOOKUP(V191,'ELA Reading Logic'!$A$22:$B$48,2,FALSE)-VLOOKUP($F191,'ELA Reading Logic'!$A$22:$B$48,2,FALSE),"No Value")</f>
        <v>No Value</v>
      </c>
      <c r="AA191" s="92"/>
      <c r="AB191" s="96" t="str">
        <f>IFERROR(IF($E191="Yes","IPP",VLOOKUP($J191,'ELA Reading Logic'!$A$3:$K$9,VLOOKUP(AA$1,'ELA Reading Logic'!$J$22:$K$31,2,FALSE),FALSE)),"Set Grade")</f>
        <v>Set Grade</v>
      </c>
      <c r="AC191" s="96" t="str">
        <f>IFERROR(IF($E191="Yes","IPP",VLOOKUP($J191,'ELA Reading Logic'!$A$13:$K$19,VLOOKUP(AA$1,'ELA Reading Logic'!$J$22:$K$31,2,FALSE),FALSE)),"Set Grade")</f>
        <v>Set Grade</v>
      </c>
      <c r="AD191" s="96" t="str">
        <f>IF($E191="Yes","IPP",IFERROR(IF(AND(AA191&gt;AB191,AA191&lt;AC191),"0",(VLOOKUP(AA191,'ELA Reading Logic'!$A$22:$B$48,2,FALSE))-(IF(VLOOKUP(AA191,'ELA Reading Logic'!$A$22:$B$48,2,FALSE)&lt;=VLOOKUP(AB191,'ELA Reading Logic'!$A$22:$B$48,2,FALSE),VLOOKUP(AB191,'ELA Reading Logic'!$A$22:$B$48,2,FALSE),IF(VLOOKUP(AA191,'ELA Reading Logic'!$A$22:$B$48,2,FALSE)&gt;=VLOOKUP(AC191,'ELA Reading Logic'!$A$22:$B$48,2,FALSE),VLOOKUP(AC191,'ELA Reading Logic'!$A$22:$B$48,2,FALSE),"No Score")))),"No Value"))</f>
        <v>No Value</v>
      </c>
      <c r="AE191" s="96" t="str">
        <f>IFERROR(VLOOKUP(AA191,'ELA Reading Logic'!$A$22:$B$48,2,FALSE)-VLOOKUP($F191,'ELA Reading Logic'!$A$22:$B$48,2,FALSE),"No Value")</f>
        <v>No Value</v>
      </c>
      <c r="AF191" s="92"/>
      <c r="AG191" s="96" t="str">
        <f>IFERROR(IF($E191="Yes","IPP",VLOOKUP($J191,'ELA Reading Logic'!$A$3:$K$9,VLOOKUP(AF$1,'ELA Reading Logic'!$J$22:$K$31,2,FALSE),FALSE)),"Set Grade")</f>
        <v>Set Grade</v>
      </c>
      <c r="AH191" s="96" t="str">
        <f>IFERROR(IF($E191="Yes","IPP",VLOOKUP($J191,'ELA Reading Logic'!$A$13:$K$19,VLOOKUP(AF$1,'ELA Reading Logic'!$J$22:$K$31,2,FALSE),FALSE)),"Set Grade")</f>
        <v>Set Grade</v>
      </c>
      <c r="AI191" s="96" t="str">
        <f>IF($E191="Yes","IPP",IFERROR(IF(AND(AF191&gt;AG191,AF191&lt;AH191),"0",(VLOOKUP(AF191,'ELA Reading Logic'!$A$22:$B$48,2,FALSE))-(IF(VLOOKUP(AF191,'ELA Reading Logic'!$A$22:$B$48,2,FALSE)&lt;=VLOOKUP(AG191,'ELA Reading Logic'!$A$22:$B$48,2,FALSE),VLOOKUP(AG191,'ELA Reading Logic'!$A$22:$B$48,2,FALSE),IF(VLOOKUP(AF191,'ELA Reading Logic'!$A$22:$B$48,2,FALSE)&gt;=VLOOKUP(AH191,'ELA Reading Logic'!$A$22:$B$48,2,FALSE),VLOOKUP(AH191,'ELA Reading Logic'!$A$22:$B$48,2,FALSE),"No Score")))),"No Value"))</f>
        <v>No Value</v>
      </c>
      <c r="AJ191" s="96" t="str">
        <f>IFERROR(VLOOKUP(AF191,'ELA Reading Logic'!$A$22:$B$48,2,FALSE)-VLOOKUP($F191,'ELA Reading Logic'!$A$22:$B$48,2,FALSE),"No Value")</f>
        <v>No Value</v>
      </c>
      <c r="AK191" s="92"/>
      <c r="AL191" s="96" t="str">
        <f>IFERROR(IF($E191="Yes","IPP",VLOOKUP($J191,'ELA Reading Logic'!$A$3:$K$9,VLOOKUP(AK$1,'ELA Reading Logic'!$J$22:$K$31,2,FALSE),FALSE)),"Set Grade")</f>
        <v>Set Grade</v>
      </c>
      <c r="AM191" s="96" t="str">
        <f>IFERROR(IF($E191="Yes","IPP",VLOOKUP($J191,'ELA Reading Logic'!$A$13:$K$19,VLOOKUP(AK$1,'ELA Reading Logic'!$J$22:$K$31,2,FALSE),FALSE)),"Set Grade")</f>
        <v>Set Grade</v>
      </c>
      <c r="AN191" s="96" t="str">
        <f>IF($E191="Yes","IPP",IFERROR(IF(AND(AK191&gt;AL191,AK191&lt;AM191),"0",(VLOOKUP(AK191,'ELA Reading Logic'!$A$22:$B$48,2,FALSE))-(IF(VLOOKUP(AK191,'ELA Reading Logic'!$A$22:$B$48,2,FALSE)&lt;=VLOOKUP(AL191,'ELA Reading Logic'!$A$22:$B$48,2,FALSE),VLOOKUP(AL191,'ELA Reading Logic'!$A$22:$B$48,2,FALSE),IF(VLOOKUP(AK191,'ELA Reading Logic'!$A$22:$B$48,2,FALSE)&gt;=VLOOKUP(AM191,'ELA Reading Logic'!$A$22:$B$48,2,FALSE),VLOOKUP(AM191,'ELA Reading Logic'!$A$22:$B$48,2,FALSE),"No Score")))),"No Value"))</f>
        <v>No Value</v>
      </c>
      <c r="AO191" s="96" t="str">
        <f>IFERROR(VLOOKUP(AK191,'ELA Reading Logic'!$A$22:$B$48,2,FALSE)-VLOOKUP($F191,'ELA Reading Logic'!$A$22:$B$48,2,FALSE),"No Value")</f>
        <v>No Value</v>
      </c>
      <c r="AP191" s="92"/>
      <c r="AQ191" s="96" t="str">
        <f>IFERROR(IF($E191="Yes","IPP",VLOOKUP($J191,'ELA Reading Logic'!$A$3:$K$9,VLOOKUP(AP$1,'ELA Reading Logic'!$J$22:$K$31,2,FALSE),FALSE)),"Set Grade")</f>
        <v>Set Grade</v>
      </c>
      <c r="AR191" s="96" t="str">
        <f>IFERROR(IF($E191="Yes","IPP",VLOOKUP($J191,'ELA Reading Logic'!$A$13:$K$19,VLOOKUP(AP$1,'ELA Reading Logic'!$J$22:$K$31,2,FALSE),FALSE)),"Set Grade")</f>
        <v>Set Grade</v>
      </c>
      <c r="AS191" s="96" t="str">
        <f>IF($E191="Yes","IPP",IFERROR(IF(AND(AP191&gt;AQ191,AP191&lt;AR191),"0",(VLOOKUP(AP191,'ELA Reading Logic'!$A$22:$B$48,2,FALSE))-(IF(VLOOKUP(AP191,'ELA Reading Logic'!$A$22:$B$48,2,FALSE)&lt;=VLOOKUP(AQ191,'ELA Reading Logic'!$A$22:$B$48,2,FALSE),VLOOKUP(AQ191,'ELA Reading Logic'!$A$22:$B$48,2,FALSE),IF(VLOOKUP(AP191,'ELA Reading Logic'!$A$22:$B$48,2,FALSE)&gt;=VLOOKUP(AR191,'ELA Reading Logic'!$A$22:$B$48,2,FALSE),VLOOKUP(AR191,'ELA Reading Logic'!$A$22:$B$48,2,FALSE),"No Score")))),"No Value"))</f>
        <v>No Value</v>
      </c>
      <c r="AT191" s="96" t="str">
        <f>IFERROR(VLOOKUP(AP191,'ELA Reading Logic'!$A$22:$B$48,2,FALSE)-VLOOKUP($F191,'ELA Reading Logic'!$A$22:$B$48,2,FALSE),"No Value")</f>
        <v>No Value</v>
      </c>
    </row>
    <row r="192" spans="1:46" ht="22.5" customHeight="1" x14ac:dyDescent="0.25">
      <c r="A192" s="176"/>
      <c r="B192" s="176"/>
      <c r="C192" s="176"/>
      <c r="D192" s="176"/>
      <c r="E192" s="175"/>
      <c r="F192" s="175"/>
      <c r="G192" s="177" t="str">
        <f>IFERROR(IF($E192="Yes","IPP",VLOOKUP($J192,'ELA Reading Logic'!$A$3:$K$9,VLOOKUP("September",'ELA Reading Logic'!$J$22:$K$31,2,FALSE),FALSE)),"Set Grade")</f>
        <v>Set Grade</v>
      </c>
      <c r="H192" s="177" t="str">
        <f>IFERROR(IF($E192="Yes","IPP",VLOOKUP($J192,'ELA Reading Logic'!$A$13:$K$19,VLOOKUP("September",'ELA Reading Logic'!$J$22:$K$31,2,FALSE),FALSE)),"Set Grade")</f>
        <v>Set Grade</v>
      </c>
      <c r="I192" s="96" t="str">
        <f>IF($E192="Yes","IPP",IFERROR(IF(AND(F192&gt;G192,F192&lt;H192),"0",(VLOOKUP(F192,'ELA Reading Logic'!$A$22:$B$48,2,FALSE))-(IF(VLOOKUP(F192,'ELA Reading Logic'!$A$22:$B$48,2,FALSE)&lt;=VLOOKUP(G192,'ELA Reading Logic'!$A$22:$B$48,2,FALSE),VLOOKUP(G192,'ELA Reading Logic'!$A$22:$B$48,2,FALSE),IF(VLOOKUP(F192,'ELA Reading Logic'!$A$22:$B$48,2,FALSE)&gt;=VLOOKUP(H192,'ELA Reading Logic'!$A$22:$B$48,2,FALSE),VLOOKUP(H192,'ELA Reading Logic'!$A$22:$B$48,2,FALSE),"No Score")))),"No Value"))</f>
        <v>No Value</v>
      </c>
      <c r="J192" s="178"/>
      <c r="K192" s="96"/>
      <c r="L192" s="96"/>
      <c r="M192" s="96"/>
      <c r="N192" s="96"/>
      <c r="O192" s="96"/>
      <c r="P192" s="105"/>
      <c r="Q192" s="92"/>
      <c r="R192" s="96" t="str">
        <f>IFERROR(IF($E192="Yes","IPP",VLOOKUP($J192,'ELA Reading Logic'!$A$3:$K$9,VLOOKUP(Q$1,'ELA Reading Logic'!$J$22:$K$31,2,FALSE),FALSE)),"Set Grade")</f>
        <v>Set Grade</v>
      </c>
      <c r="S192" s="96" t="str">
        <f>IFERROR(IF($E192="Yes","IPP",VLOOKUP($J192,'ELA Reading Logic'!$A$13:$K$19,VLOOKUP(Q$1,'ELA Reading Logic'!$J$22:$K$31,2,FALSE),FALSE)),"Set Grade")</f>
        <v>Set Grade</v>
      </c>
      <c r="T192" s="96" t="str">
        <f>IF($E192="Yes","IPP",IFERROR(IF(AND(Q192&gt;R192,Q192&lt;S192),"0",(VLOOKUP(Q192,'ELA Reading Logic'!$A$22:$B$48,2,FALSE))-(IF(VLOOKUP(Q192,'ELA Reading Logic'!$A$22:$B$48,2,FALSE)&lt;=VLOOKUP(R192,'ELA Reading Logic'!$A$22:$B$48,2,FALSE),VLOOKUP(R192,'ELA Reading Logic'!$A$22:$B$48,2,FALSE),IF(VLOOKUP(Q192,'ELA Reading Logic'!$A$22:$B$48,2,FALSE)&gt;=VLOOKUP(S192,'ELA Reading Logic'!$A$22:$B$48,2,FALSE),VLOOKUP(S192,'ELA Reading Logic'!$A$22:$B$48,2,FALSE),"No Score")))),"No Value"))</f>
        <v>No Value</v>
      </c>
      <c r="U192" s="96" t="str">
        <f>IFERROR(VLOOKUP(Q192,'ELA Reading Logic'!$A$22:$B$48,2,FALSE)-VLOOKUP($F192,'ELA Reading Logic'!$A$22:$B$48,2,FALSE),"No Value")</f>
        <v>No Value</v>
      </c>
      <c r="V192" s="92"/>
      <c r="W192" s="96" t="str">
        <f>IFERROR(IF($E192="Yes","IPP",VLOOKUP($J192,'ELA Reading Logic'!$A$3:$K$9,VLOOKUP(V$1,'ELA Reading Logic'!$J$22:$K$31,2,FALSE),FALSE)),"Set Grade")</f>
        <v>Set Grade</v>
      </c>
      <c r="X192" s="96" t="str">
        <f>IFERROR(IF($E192="Yes","IPP",VLOOKUP($J192,'ELA Reading Logic'!$A$13:$K$19,VLOOKUP(V$1,'ELA Reading Logic'!$J$22:$K$31,2,FALSE),FALSE)),"Set Grade")</f>
        <v>Set Grade</v>
      </c>
      <c r="Y192" s="96" t="str">
        <f>IF($E192="Yes","IPP",IFERROR(IF(AND(V192&gt;W192,V192&lt;X192),"0",(VLOOKUP(V192,'ELA Reading Logic'!$A$22:$B$48,2,FALSE))-(IF(VLOOKUP(V192,'ELA Reading Logic'!$A$22:$B$48,2,FALSE)&lt;=VLOOKUP(W192,'ELA Reading Logic'!$A$22:$B$48,2,FALSE),VLOOKUP(W192,'ELA Reading Logic'!$A$22:$B$48,2,FALSE),IF(VLOOKUP(V192,'ELA Reading Logic'!$A$22:$B$48,2,FALSE)&gt;=VLOOKUP(X192,'ELA Reading Logic'!$A$22:$B$48,2,FALSE),VLOOKUP(X192,'ELA Reading Logic'!$A$22:$B$48,2,FALSE),"No Score")))),"No Value"))</f>
        <v>No Value</v>
      </c>
      <c r="Z192" s="96" t="str">
        <f>IFERROR(VLOOKUP(V192,'ELA Reading Logic'!$A$22:$B$48,2,FALSE)-VLOOKUP($F192,'ELA Reading Logic'!$A$22:$B$48,2,FALSE),"No Value")</f>
        <v>No Value</v>
      </c>
      <c r="AA192" s="92"/>
      <c r="AB192" s="96" t="str">
        <f>IFERROR(IF($E192="Yes","IPP",VLOOKUP($J192,'ELA Reading Logic'!$A$3:$K$9,VLOOKUP(AA$1,'ELA Reading Logic'!$J$22:$K$31,2,FALSE),FALSE)),"Set Grade")</f>
        <v>Set Grade</v>
      </c>
      <c r="AC192" s="96" t="str">
        <f>IFERROR(IF($E192="Yes","IPP",VLOOKUP($J192,'ELA Reading Logic'!$A$13:$K$19,VLOOKUP(AA$1,'ELA Reading Logic'!$J$22:$K$31,2,FALSE),FALSE)),"Set Grade")</f>
        <v>Set Grade</v>
      </c>
      <c r="AD192" s="96" t="str">
        <f>IF($E192="Yes","IPP",IFERROR(IF(AND(AA192&gt;AB192,AA192&lt;AC192),"0",(VLOOKUP(AA192,'ELA Reading Logic'!$A$22:$B$48,2,FALSE))-(IF(VLOOKUP(AA192,'ELA Reading Logic'!$A$22:$B$48,2,FALSE)&lt;=VLOOKUP(AB192,'ELA Reading Logic'!$A$22:$B$48,2,FALSE),VLOOKUP(AB192,'ELA Reading Logic'!$A$22:$B$48,2,FALSE),IF(VLOOKUP(AA192,'ELA Reading Logic'!$A$22:$B$48,2,FALSE)&gt;=VLOOKUP(AC192,'ELA Reading Logic'!$A$22:$B$48,2,FALSE),VLOOKUP(AC192,'ELA Reading Logic'!$A$22:$B$48,2,FALSE),"No Score")))),"No Value"))</f>
        <v>No Value</v>
      </c>
      <c r="AE192" s="96" t="str">
        <f>IFERROR(VLOOKUP(AA192,'ELA Reading Logic'!$A$22:$B$48,2,FALSE)-VLOOKUP($F192,'ELA Reading Logic'!$A$22:$B$48,2,FALSE),"No Value")</f>
        <v>No Value</v>
      </c>
      <c r="AF192" s="92"/>
      <c r="AG192" s="96" t="str">
        <f>IFERROR(IF($E192="Yes","IPP",VLOOKUP($J192,'ELA Reading Logic'!$A$3:$K$9,VLOOKUP(AF$1,'ELA Reading Logic'!$J$22:$K$31,2,FALSE),FALSE)),"Set Grade")</f>
        <v>Set Grade</v>
      </c>
      <c r="AH192" s="96" t="str">
        <f>IFERROR(IF($E192="Yes","IPP",VLOOKUP($J192,'ELA Reading Logic'!$A$13:$K$19,VLOOKUP(AF$1,'ELA Reading Logic'!$J$22:$K$31,2,FALSE),FALSE)),"Set Grade")</f>
        <v>Set Grade</v>
      </c>
      <c r="AI192" s="96" t="str">
        <f>IF($E192="Yes","IPP",IFERROR(IF(AND(AF192&gt;AG192,AF192&lt;AH192),"0",(VLOOKUP(AF192,'ELA Reading Logic'!$A$22:$B$48,2,FALSE))-(IF(VLOOKUP(AF192,'ELA Reading Logic'!$A$22:$B$48,2,FALSE)&lt;=VLOOKUP(AG192,'ELA Reading Logic'!$A$22:$B$48,2,FALSE),VLOOKUP(AG192,'ELA Reading Logic'!$A$22:$B$48,2,FALSE),IF(VLOOKUP(AF192,'ELA Reading Logic'!$A$22:$B$48,2,FALSE)&gt;=VLOOKUP(AH192,'ELA Reading Logic'!$A$22:$B$48,2,FALSE),VLOOKUP(AH192,'ELA Reading Logic'!$A$22:$B$48,2,FALSE),"No Score")))),"No Value"))</f>
        <v>No Value</v>
      </c>
      <c r="AJ192" s="96" t="str">
        <f>IFERROR(VLOOKUP(AF192,'ELA Reading Logic'!$A$22:$B$48,2,FALSE)-VLOOKUP($F192,'ELA Reading Logic'!$A$22:$B$48,2,FALSE),"No Value")</f>
        <v>No Value</v>
      </c>
      <c r="AK192" s="92"/>
      <c r="AL192" s="96" t="str">
        <f>IFERROR(IF($E192="Yes","IPP",VLOOKUP($J192,'ELA Reading Logic'!$A$3:$K$9,VLOOKUP(AK$1,'ELA Reading Logic'!$J$22:$K$31,2,FALSE),FALSE)),"Set Grade")</f>
        <v>Set Grade</v>
      </c>
      <c r="AM192" s="96" t="str">
        <f>IFERROR(IF($E192="Yes","IPP",VLOOKUP($J192,'ELA Reading Logic'!$A$13:$K$19,VLOOKUP(AK$1,'ELA Reading Logic'!$J$22:$K$31,2,FALSE),FALSE)),"Set Grade")</f>
        <v>Set Grade</v>
      </c>
      <c r="AN192" s="96" t="str">
        <f>IF($E192="Yes","IPP",IFERROR(IF(AND(AK192&gt;AL192,AK192&lt;AM192),"0",(VLOOKUP(AK192,'ELA Reading Logic'!$A$22:$B$48,2,FALSE))-(IF(VLOOKUP(AK192,'ELA Reading Logic'!$A$22:$B$48,2,FALSE)&lt;=VLOOKUP(AL192,'ELA Reading Logic'!$A$22:$B$48,2,FALSE),VLOOKUP(AL192,'ELA Reading Logic'!$A$22:$B$48,2,FALSE),IF(VLOOKUP(AK192,'ELA Reading Logic'!$A$22:$B$48,2,FALSE)&gt;=VLOOKUP(AM192,'ELA Reading Logic'!$A$22:$B$48,2,FALSE),VLOOKUP(AM192,'ELA Reading Logic'!$A$22:$B$48,2,FALSE),"No Score")))),"No Value"))</f>
        <v>No Value</v>
      </c>
      <c r="AO192" s="96" t="str">
        <f>IFERROR(VLOOKUP(AK192,'ELA Reading Logic'!$A$22:$B$48,2,FALSE)-VLOOKUP($F192,'ELA Reading Logic'!$A$22:$B$48,2,FALSE),"No Value")</f>
        <v>No Value</v>
      </c>
      <c r="AP192" s="92"/>
      <c r="AQ192" s="96" t="str">
        <f>IFERROR(IF($E192="Yes","IPP",VLOOKUP($J192,'ELA Reading Logic'!$A$3:$K$9,VLOOKUP(AP$1,'ELA Reading Logic'!$J$22:$K$31,2,FALSE),FALSE)),"Set Grade")</f>
        <v>Set Grade</v>
      </c>
      <c r="AR192" s="96" t="str">
        <f>IFERROR(IF($E192="Yes","IPP",VLOOKUP($J192,'ELA Reading Logic'!$A$13:$K$19,VLOOKUP(AP$1,'ELA Reading Logic'!$J$22:$K$31,2,FALSE),FALSE)),"Set Grade")</f>
        <v>Set Grade</v>
      </c>
      <c r="AS192" s="96" t="str">
        <f>IF($E192="Yes","IPP",IFERROR(IF(AND(AP192&gt;AQ192,AP192&lt;AR192),"0",(VLOOKUP(AP192,'ELA Reading Logic'!$A$22:$B$48,2,FALSE))-(IF(VLOOKUP(AP192,'ELA Reading Logic'!$A$22:$B$48,2,FALSE)&lt;=VLOOKUP(AQ192,'ELA Reading Logic'!$A$22:$B$48,2,FALSE),VLOOKUP(AQ192,'ELA Reading Logic'!$A$22:$B$48,2,FALSE),IF(VLOOKUP(AP192,'ELA Reading Logic'!$A$22:$B$48,2,FALSE)&gt;=VLOOKUP(AR192,'ELA Reading Logic'!$A$22:$B$48,2,FALSE),VLOOKUP(AR192,'ELA Reading Logic'!$A$22:$B$48,2,FALSE),"No Score")))),"No Value"))</f>
        <v>No Value</v>
      </c>
      <c r="AT192" s="96" t="str">
        <f>IFERROR(VLOOKUP(AP192,'ELA Reading Logic'!$A$22:$B$48,2,FALSE)-VLOOKUP($F192,'ELA Reading Logic'!$A$22:$B$48,2,FALSE),"No Value")</f>
        <v>No Value</v>
      </c>
    </row>
    <row r="193" spans="1:46" ht="22.5" customHeight="1" x14ac:dyDescent="0.25">
      <c r="A193" s="174"/>
      <c r="B193" s="174"/>
      <c r="C193" s="174"/>
      <c r="D193" s="174"/>
      <c r="E193" s="175"/>
      <c r="F193" s="175"/>
      <c r="G193" s="177" t="str">
        <f>IFERROR(IF($E193="Yes","IPP",VLOOKUP($J193,'ELA Reading Logic'!$A$3:$K$9,VLOOKUP("September",'ELA Reading Logic'!$J$22:$K$31,2,FALSE),FALSE)),"Set Grade")</f>
        <v>Set Grade</v>
      </c>
      <c r="H193" s="177" t="str">
        <f>IFERROR(IF($E193="Yes","IPP",VLOOKUP($J193,'ELA Reading Logic'!$A$13:$K$19,VLOOKUP("September",'ELA Reading Logic'!$J$22:$K$31,2,FALSE),FALSE)),"Set Grade")</f>
        <v>Set Grade</v>
      </c>
      <c r="I193" s="96" t="str">
        <f>IF($E193="Yes","IPP",IFERROR(IF(AND(F193&gt;G193,F193&lt;H193),"0",(VLOOKUP(F193,'ELA Reading Logic'!$A$22:$B$48,2,FALSE))-(IF(VLOOKUP(F193,'ELA Reading Logic'!$A$22:$B$48,2,FALSE)&lt;=VLOOKUP(G193,'ELA Reading Logic'!$A$22:$B$48,2,FALSE),VLOOKUP(G193,'ELA Reading Logic'!$A$22:$B$48,2,FALSE),IF(VLOOKUP(F193,'ELA Reading Logic'!$A$22:$B$48,2,FALSE)&gt;=VLOOKUP(H193,'ELA Reading Logic'!$A$22:$B$48,2,FALSE),VLOOKUP(H193,'ELA Reading Logic'!$A$22:$B$48,2,FALSE),"No Score")))),"No Value"))</f>
        <v>No Value</v>
      </c>
      <c r="J193" s="178"/>
      <c r="K193" s="96"/>
      <c r="L193" s="96"/>
      <c r="M193" s="96"/>
      <c r="N193" s="96"/>
      <c r="O193" s="96"/>
      <c r="P193" s="105"/>
      <c r="Q193" s="92"/>
      <c r="R193" s="96" t="str">
        <f>IFERROR(IF($E193="Yes","IPP",VLOOKUP($J193,'ELA Reading Logic'!$A$3:$K$9,VLOOKUP(Q$1,'ELA Reading Logic'!$J$22:$K$31,2,FALSE),FALSE)),"Set Grade")</f>
        <v>Set Grade</v>
      </c>
      <c r="S193" s="96" t="str">
        <f>IFERROR(IF($E193="Yes","IPP",VLOOKUP($J193,'ELA Reading Logic'!$A$13:$K$19,VLOOKUP(Q$1,'ELA Reading Logic'!$J$22:$K$31,2,FALSE),FALSE)),"Set Grade")</f>
        <v>Set Grade</v>
      </c>
      <c r="T193" s="96" t="str">
        <f>IF($E193="Yes","IPP",IFERROR(IF(AND(Q193&gt;R193,Q193&lt;S193),"0",(VLOOKUP(Q193,'ELA Reading Logic'!$A$22:$B$48,2,FALSE))-(IF(VLOOKUP(Q193,'ELA Reading Logic'!$A$22:$B$48,2,FALSE)&lt;=VLOOKUP(R193,'ELA Reading Logic'!$A$22:$B$48,2,FALSE),VLOOKUP(R193,'ELA Reading Logic'!$A$22:$B$48,2,FALSE),IF(VLOOKUP(Q193,'ELA Reading Logic'!$A$22:$B$48,2,FALSE)&gt;=VLOOKUP(S193,'ELA Reading Logic'!$A$22:$B$48,2,FALSE),VLOOKUP(S193,'ELA Reading Logic'!$A$22:$B$48,2,FALSE),"No Score")))),"No Value"))</f>
        <v>No Value</v>
      </c>
      <c r="U193" s="96" t="str">
        <f>IFERROR(VLOOKUP(Q193,'ELA Reading Logic'!$A$22:$B$48,2,FALSE)-VLOOKUP($F193,'ELA Reading Logic'!$A$22:$B$48,2,FALSE),"No Value")</f>
        <v>No Value</v>
      </c>
      <c r="V193" s="92"/>
      <c r="W193" s="96" t="str">
        <f>IFERROR(IF($E193="Yes","IPP",VLOOKUP($J193,'ELA Reading Logic'!$A$3:$K$9,VLOOKUP(V$1,'ELA Reading Logic'!$J$22:$K$31,2,FALSE),FALSE)),"Set Grade")</f>
        <v>Set Grade</v>
      </c>
      <c r="X193" s="96" t="str">
        <f>IFERROR(IF($E193="Yes","IPP",VLOOKUP($J193,'ELA Reading Logic'!$A$13:$K$19,VLOOKUP(V$1,'ELA Reading Logic'!$J$22:$K$31,2,FALSE),FALSE)),"Set Grade")</f>
        <v>Set Grade</v>
      </c>
      <c r="Y193" s="96" t="str">
        <f>IF($E193="Yes","IPP",IFERROR(IF(AND(V193&gt;W193,V193&lt;X193),"0",(VLOOKUP(V193,'ELA Reading Logic'!$A$22:$B$48,2,FALSE))-(IF(VLOOKUP(V193,'ELA Reading Logic'!$A$22:$B$48,2,FALSE)&lt;=VLOOKUP(W193,'ELA Reading Logic'!$A$22:$B$48,2,FALSE),VLOOKUP(W193,'ELA Reading Logic'!$A$22:$B$48,2,FALSE),IF(VLOOKUP(V193,'ELA Reading Logic'!$A$22:$B$48,2,FALSE)&gt;=VLOOKUP(X193,'ELA Reading Logic'!$A$22:$B$48,2,FALSE),VLOOKUP(X193,'ELA Reading Logic'!$A$22:$B$48,2,FALSE),"No Score")))),"No Value"))</f>
        <v>No Value</v>
      </c>
      <c r="Z193" s="96" t="str">
        <f>IFERROR(VLOOKUP(V193,'ELA Reading Logic'!$A$22:$B$48,2,FALSE)-VLOOKUP($F193,'ELA Reading Logic'!$A$22:$B$48,2,FALSE),"No Value")</f>
        <v>No Value</v>
      </c>
      <c r="AA193" s="92"/>
      <c r="AB193" s="96" t="str">
        <f>IFERROR(IF($E193="Yes","IPP",VLOOKUP($J193,'ELA Reading Logic'!$A$3:$K$9,VLOOKUP(AA$1,'ELA Reading Logic'!$J$22:$K$31,2,FALSE),FALSE)),"Set Grade")</f>
        <v>Set Grade</v>
      </c>
      <c r="AC193" s="96" t="str">
        <f>IFERROR(IF($E193="Yes","IPP",VLOOKUP($J193,'ELA Reading Logic'!$A$13:$K$19,VLOOKUP(AA$1,'ELA Reading Logic'!$J$22:$K$31,2,FALSE),FALSE)),"Set Grade")</f>
        <v>Set Grade</v>
      </c>
      <c r="AD193" s="96" t="str">
        <f>IF($E193="Yes","IPP",IFERROR(IF(AND(AA193&gt;AB193,AA193&lt;AC193),"0",(VLOOKUP(AA193,'ELA Reading Logic'!$A$22:$B$48,2,FALSE))-(IF(VLOOKUP(AA193,'ELA Reading Logic'!$A$22:$B$48,2,FALSE)&lt;=VLOOKUP(AB193,'ELA Reading Logic'!$A$22:$B$48,2,FALSE),VLOOKUP(AB193,'ELA Reading Logic'!$A$22:$B$48,2,FALSE),IF(VLOOKUP(AA193,'ELA Reading Logic'!$A$22:$B$48,2,FALSE)&gt;=VLOOKUP(AC193,'ELA Reading Logic'!$A$22:$B$48,2,FALSE),VLOOKUP(AC193,'ELA Reading Logic'!$A$22:$B$48,2,FALSE),"No Score")))),"No Value"))</f>
        <v>No Value</v>
      </c>
      <c r="AE193" s="96" t="str">
        <f>IFERROR(VLOOKUP(AA193,'ELA Reading Logic'!$A$22:$B$48,2,FALSE)-VLOOKUP($F193,'ELA Reading Logic'!$A$22:$B$48,2,FALSE),"No Value")</f>
        <v>No Value</v>
      </c>
      <c r="AF193" s="92"/>
      <c r="AG193" s="96" t="str">
        <f>IFERROR(IF($E193="Yes","IPP",VLOOKUP($J193,'ELA Reading Logic'!$A$3:$K$9,VLOOKUP(AF$1,'ELA Reading Logic'!$J$22:$K$31,2,FALSE),FALSE)),"Set Grade")</f>
        <v>Set Grade</v>
      </c>
      <c r="AH193" s="96" t="str">
        <f>IFERROR(IF($E193="Yes","IPP",VLOOKUP($J193,'ELA Reading Logic'!$A$13:$K$19,VLOOKUP(AF$1,'ELA Reading Logic'!$J$22:$K$31,2,FALSE),FALSE)),"Set Grade")</f>
        <v>Set Grade</v>
      </c>
      <c r="AI193" s="96" t="str">
        <f>IF($E193="Yes","IPP",IFERROR(IF(AND(AF193&gt;AG193,AF193&lt;AH193),"0",(VLOOKUP(AF193,'ELA Reading Logic'!$A$22:$B$48,2,FALSE))-(IF(VLOOKUP(AF193,'ELA Reading Logic'!$A$22:$B$48,2,FALSE)&lt;=VLOOKUP(AG193,'ELA Reading Logic'!$A$22:$B$48,2,FALSE),VLOOKUP(AG193,'ELA Reading Logic'!$A$22:$B$48,2,FALSE),IF(VLOOKUP(AF193,'ELA Reading Logic'!$A$22:$B$48,2,FALSE)&gt;=VLOOKUP(AH193,'ELA Reading Logic'!$A$22:$B$48,2,FALSE),VLOOKUP(AH193,'ELA Reading Logic'!$A$22:$B$48,2,FALSE),"No Score")))),"No Value"))</f>
        <v>No Value</v>
      </c>
      <c r="AJ193" s="96" t="str">
        <f>IFERROR(VLOOKUP(AF193,'ELA Reading Logic'!$A$22:$B$48,2,FALSE)-VLOOKUP($F193,'ELA Reading Logic'!$A$22:$B$48,2,FALSE),"No Value")</f>
        <v>No Value</v>
      </c>
      <c r="AK193" s="92"/>
      <c r="AL193" s="96" t="str">
        <f>IFERROR(IF($E193="Yes","IPP",VLOOKUP($J193,'ELA Reading Logic'!$A$3:$K$9,VLOOKUP(AK$1,'ELA Reading Logic'!$J$22:$K$31,2,FALSE),FALSE)),"Set Grade")</f>
        <v>Set Grade</v>
      </c>
      <c r="AM193" s="96" t="str">
        <f>IFERROR(IF($E193="Yes","IPP",VLOOKUP($J193,'ELA Reading Logic'!$A$13:$K$19,VLOOKUP(AK$1,'ELA Reading Logic'!$J$22:$K$31,2,FALSE),FALSE)),"Set Grade")</f>
        <v>Set Grade</v>
      </c>
      <c r="AN193" s="96" t="str">
        <f>IF($E193="Yes","IPP",IFERROR(IF(AND(AK193&gt;AL193,AK193&lt;AM193),"0",(VLOOKUP(AK193,'ELA Reading Logic'!$A$22:$B$48,2,FALSE))-(IF(VLOOKUP(AK193,'ELA Reading Logic'!$A$22:$B$48,2,FALSE)&lt;=VLOOKUP(AL193,'ELA Reading Logic'!$A$22:$B$48,2,FALSE),VLOOKUP(AL193,'ELA Reading Logic'!$A$22:$B$48,2,FALSE),IF(VLOOKUP(AK193,'ELA Reading Logic'!$A$22:$B$48,2,FALSE)&gt;=VLOOKUP(AM193,'ELA Reading Logic'!$A$22:$B$48,2,FALSE),VLOOKUP(AM193,'ELA Reading Logic'!$A$22:$B$48,2,FALSE),"No Score")))),"No Value"))</f>
        <v>No Value</v>
      </c>
      <c r="AO193" s="96" t="str">
        <f>IFERROR(VLOOKUP(AK193,'ELA Reading Logic'!$A$22:$B$48,2,FALSE)-VLOOKUP($F193,'ELA Reading Logic'!$A$22:$B$48,2,FALSE),"No Value")</f>
        <v>No Value</v>
      </c>
      <c r="AP193" s="92"/>
      <c r="AQ193" s="96" t="str">
        <f>IFERROR(IF($E193="Yes","IPP",VLOOKUP($J193,'ELA Reading Logic'!$A$3:$K$9,VLOOKUP(AP$1,'ELA Reading Logic'!$J$22:$K$31,2,FALSE),FALSE)),"Set Grade")</f>
        <v>Set Grade</v>
      </c>
      <c r="AR193" s="96" t="str">
        <f>IFERROR(IF($E193="Yes","IPP",VLOOKUP($J193,'ELA Reading Logic'!$A$13:$K$19,VLOOKUP(AP$1,'ELA Reading Logic'!$J$22:$K$31,2,FALSE),FALSE)),"Set Grade")</f>
        <v>Set Grade</v>
      </c>
      <c r="AS193" s="96" t="str">
        <f>IF($E193="Yes","IPP",IFERROR(IF(AND(AP193&gt;AQ193,AP193&lt;AR193),"0",(VLOOKUP(AP193,'ELA Reading Logic'!$A$22:$B$48,2,FALSE))-(IF(VLOOKUP(AP193,'ELA Reading Logic'!$A$22:$B$48,2,FALSE)&lt;=VLOOKUP(AQ193,'ELA Reading Logic'!$A$22:$B$48,2,FALSE),VLOOKUP(AQ193,'ELA Reading Logic'!$A$22:$B$48,2,FALSE),IF(VLOOKUP(AP193,'ELA Reading Logic'!$A$22:$B$48,2,FALSE)&gt;=VLOOKUP(AR193,'ELA Reading Logic'!$A$22:$B$48,2,FALSE),VLOOKUP(AR193,'ELA Reading Logic'!$A$22:$B$48,2,FALSE),"No Score")))),"No Value"))</f>
        <v>No Value</v>
      </c>
      <c r="AT193" s="96" t="str">
        <f>IFERROR(VLOOKUP(AP193,'ELA Reading Logic'!$A$22:$B$48,2,FALSE)-VLOOKUP($F193,'ELA Reading Logic'!$A$22:$B$48,2,FALSE),"No Value")</f>
        <v>No Value</v>
      </c>
    </row>
    <row r="194" spans="1:46" ht="22.5" customHeight="1" x14ac:dyDescent="0.25">
      <c r="A194" s="176"/>
      <c r="B194" s="176"/>
      <c r="C194" s="176"/>
      <c r="D194" s="176"/>
      <c r="E194" s="175"/>
      <c r="F194" s="175"/>
      <c r="G194" s="177" t="str">
        <f>IFERROR(IF($E194="Yes","IPP",VLOOKUP($J194,'ELA Reading Logic'!$A$3:$K$9,VLOOKUP("September",'ELA Reading Logic'!$J$22:$K$31,2,FALSE),FALSE)),"Set Grade")</f>
        <v>Set Grade</v>
      </c>
      <c r="H194" s="177" t="str">
        <f>IFERROR(IF($E194="Yes","IPP",VLOOKUP($J194,'ELA Reading Logic'!$A$13:$K$19,VLOOKUP("September",'ELA Reading Logic'!$J$22:$K$31,2,FALSE),FALSE)),"Set Grade")</f>
        <v>Set Grade</v>
      </c>
      <c r="I194" s="96" t="str">
        <f>IF($E194="Yes","IPP",IFERROR(IF(AND(F194&gt;G194,F194&lt;H194),"0",(VLOOKUP(F194,'ELA Reading Logic'!$A$22:$B$48,2,FALSE))-(IF(VLOOKUP(F194,'ELA Reading Logic'!$A$22:$B$48,2,FALSE)&lt;=VLOOKUP(G194,'ELA Reading Logic'!$A$22:$B$48,2,FALSE),VLOOKUP(G194,'ELA Reading Logic'!$A$22:$B$48,2,FALSE),IF(VLOOKUP(F194,'ELA Reading Logic'!$A$22:$B$48,2,FALSE)&gt;=VLOOKUP(H194,'ELA Reading Logic'!$A$22:$B$48,2,FALSE),VLOOKUP(H194,'ELA Reading Logic'!$A$22:$B$48,2,FALSE),"No Score")))),"No Value"))</f>
        <v>No Value</v>
      </c>
      <c r="J194" s="178"/>
      <c r="K194" s="96"/>
      <c r="L194" s="96"/>
      <c r="M194" s="96"/>
      <c r="N194" s="96"/>
      <c r="O194" s="96"/>
      <c r="P194" s="105"/>
      <c r="Q194" s="92"/>
      <c r="R194" s="96" t="str">
        <f>IFERROR(IF($E194="Yes","IPP",VLOOKUP($J194,'ELA Reading Logic'!$A$3:$K$9,VLOOKUP(Q$1,'ELA Reading Logic'!$J$22:$K$31,2,FALSE),FALSE)),"Set Grade")</f>
        <v>Set Grade</v>
      </c>
      <c r="S194" s="96" t="str">
        <f>IFERROR(IF($E194="Yes","IPP",VLOOKUP($J194,'ELA Reading Logic'!$A$13:$K$19,VLOOKUP(Q$1,'ELA Reading Logic'!$J$22:$K$31,2,FALSE),FALSE)),"Set Grade")</f>
        <v>Set Grade</v>
      </c>
      <c r="T194" s="96" t="str">
        <f>IF($E194="Yes","IPP",IFERROR(IF(AND(Q194&gt;R194,Q194&lt;S194),"0",(VLOOKUP(Q194,'ELA Reading Logic'!$A$22:$B$48,2,FALSE))-(IF(VLOOKUP(Q194,'ELA Reading Logic'!$A$22:$B$48,2,FALSE)&lt;=VLOOKUP(R194,'ELA Reading Logic'!$A$22:$B$48,2,FALSE),VLOOKUP(R194,'ELA Reading Logic'!$A$22:$B$48,2,FALSE),IF(VLOOKUP(Q194,'ELA Reading Logic'!$A$22:$B$48,2,FALSE)&gt;=VLOOKUP(S194,'ELA Reading Logic'!$A$22:$B$48,2,FALSE),VLOOKUP(S194,'ELA Reading Logic'!$A$22:$B$48,2,FALSE),"No Score")))),"No Value"))</f>
        <v>No Value</v>
      </c>
      <c r="U194" s="96" t="str">
        <f>IFERROR(VLOOKUP(Q194,'ELA Reading Logic'!$A$22:$B$48,2,FALSE)-VLOOKUP($F194,'ELA Reading Logic'!$A$22:$B$48,2,FALSE),"No Value")</f>
        <v>No Value</v>
      </c>
      <c r="V194" s="92"/>
      <c r="W194" s="96" t="str">
        <f>IFERROR(IF($E194="Yes","IPP",VLOOKUP($J194,'ELA Reading Logic'!$A$3:$K$9,VLOOKUP(V$1,'ELA Reading Logic'!$J$22:$K$31,2,FALSE),FALSE)),"Set Grade")</f>
        <v>Set Grade</v>
      </c>
      <c r="X194" s="96" t="str">
        <f>IFERROR(IF($E194="Yes","IPP",VLOOKUP($J194,'ELA Reading Logic'!$A$13:$K$19,VLOOKUP(V$1,'ELA Reading Logic'!$J$22:$K$31,2,FALSE),FALSE)),"Set Grade")</f>
        <v>Set Grade</v>
      </c>
      <c r="Y194" s="96" t="str">
        <f>IF($E194="Yes","IPP",IFERROR(IF(AND(V194&gt;W194,V194&lt;X194),"0",(VLOOKUP(V194,'ELA Reading Logic'!$A$22:$B$48,2,FALSE))-(IF(VLOOKUP(V194,'ELA Reading Logic'!$A$22:$B$48,2,FALSE)&lt;=VLOOKUP(W194,'ELA Reading Logic'!$A$22:$B$48,2,FALSE),VLOOKUP(W194,'ELA Reading Logic'!$A$22:$B$48,2,FALSE),IF(VLOOKUP(V194,'ELA Reading Logic'!$A$22:$B$48,2,FALSE)&gt;=VLOOKUP(X194,'ELA Reading Logic'!$A$22:$B$48,2,FALSE),VLOOKUP(X194,'ELA Reading Logic'!$A$22:$B$48,2,FALSE),"No Score")))),"No Value"))</f>
        <v>No Value</v>
      </c>
      <c r="Z194" s="96" t="str">
        <f>IFERROR(VLOOKUP(V194,'ELA Reading Logic'!$A$22:$B$48,2,FALSE)-VLOOKUP($F194,'ELA Reading Logic'!$A$22:$B$48,2,FALSE),"No Value")</f>
        <v>No Value</v>
      </c>
      <c r="AA194" s="92"/>
      <c r="AB194" s="96" t="str">
        <f>IFERROR(IF($E194="Yes","IPP",VLOOKUP($J194,'ELA Reading Logic'!$A$3:$K$9,VLOOKUP(AA$1,'ELA Reading Logic'!$J$22:$K$31,2,FALSE),FALSE)),"Set Grade")</f>
        <v>Set Grade</v>
      </c>
      <c r="AC194" s="96" t="str">
        <f>IFERROR(IF($E194="Yes","IPP",VLOOKUP($J194,'ELA Reading Logic'!$A$13:$K$19,VLOOKUP(AA$1,'ELA Reading Logic'!$J$22:$K$31,2,FALSE),FALSE)),"Set Grade")</f>
        <v>Set Grade</v>
      </c>
      <c r="AD194" s="96" t="str">
        <f>IF($E194="Yes","IPP",IFERROR(IF(AND(AA194&gt;AB194,AA194&lt;AC194),"0",(VLOOKUP(AA194,'ELA Reading Logic'!$A$22:$B$48,2,FALSE))-(IF(VLOOKUP(AA194,'ELA Reading Logic'!$A$22:$B$48,2,FALSE)&lt;=VLOOKUP(AB194,'ELA Reading Logic'!$A$22:$B$48,2,FALSE),VLOOKUP(AB194,'ELA Reading Logic'!$A$22:$B$48,2,FALSE),IF(VLOOKUP(AA194,'ELA Reading Logic'!$A$22:$B$48,2,FALSE)&gt;=VLOOKUP(AC194,'ELA Reading Logic'!$A$22:$B$48,2,FALSE),VLOOKUP(AC194,'ELA Reading Logic'!$A$22:$B$48,2,FALSE),"No Score")))),"No Value"))</f>
        <v>No Value</v>
      </c>
      <c r="AE194" s="96" t="str">
        <f>IFERROR(VLOOKUP(AA194,'ELA Reading Logic'!$A$22:$B$48,2,FALSE)-VLOOKUP($F194,'ELA Reading Logic'!$A$22:$B$48,2,FALSE),"No Value")</f>
        <v>No Value</v>
      </c>
      <c r="AF194" s="92"/>
      <c r="AG194" s="96" t="str">
        <f>IFERROR(IF($E194="Yes","IPP",VLOOKUP($J194,'ELA Reading Logic'!$A$3:$K$9,VLOOKUP(AF$1,'ELA Reading Logic'!$J$22:$K$31,2,FALSE),FALSE)),"Set Grade")</f>
        <v>Set Grade</v>
      </c>
      <c r="AH194" s="96" t="str">
        <f>IFERROR(IF($E194="Yes","IPP",VLOOKUP($J194,'ELA Reading Logic'!$A$13:$K$19,VLOOKUP(AF$1,'ELA Reading Logic'!$J$22:$K$31,2,FALSE),FALSE)),"Set Grade")</f>
        <v>Set Grade</v>
      </c>
      <c r="AI194" s="96" t="str">
        <f>IF($E194="Yes","IPP",IFERROR(IF(AND(AF194&gt;AG194,AF194&lt;AH194),"0",(VLOOKUP(AF194,'ELA Reading Logic'!$A$22:$B$48,2,FALSE))-(IF(VLOOKUP(AF194,'ELA Reading Logic'!$A$22:$B$48,2,FALSE)&lt;=VLOOKUP(AG194,'ELA Reading Logic'!$A$22:$B$48,2,FALSE),VLOOKUP(AG194,'ELA Reading Logic'!$A$22:$B$48,2,FALSE),IF(VLOOKUP(AF194,'ELA Reading Logic'!$A$22:$B$48,2,FALSE)&gt;=VLOOKUP(AH194,'ELA Reading Logic'!$A$22:$B$48,2,FALSE),VLOOKUP(AH194,'ELA Reading Logic'!$A$22:$B$48,2,FALSE),"No Score")))),"No Value"))</f>
        <v>No Value</v>
      </c>
      <c r="AJ194" s="96" t="str">
        <f>IFERROR(VLOOKUP(AF194,'ELA Reading Logic'!$A$22:$B$48,2,FALSE)-VLOOKUP($F194,'ELA Reading Logic'!$A$22:$B$48,2,FALSE),"No Value")</f>
        <v>No Value</v>
      </c>
      <c r="AK194" s="92"/>
      <c r="AL194" s="96" t="str">
        <f>IFERROR(IF($E194="Yes","IPP",VLOOKUP($J194,'ELA Reading Logic'!$A$3:$K$9,VLOOKUP(AK$1,'ELA Reading Logic'!$J$22:$K$31,2,FALSE),FALSE)),"Set Grade")</f>
        <v>Set Grade</v>
      </c>
      <c r="AM194" s="96" t="str">
        <f>IFERROR(IF($E194="Yes","IPP",VLOOKUP($J194,'ELA Reading Logic'!$A$13:$K$19,VLOOKUP(AK$1,'ELA Reading Logic'!$J$22:$K$31,2,FALSE),FALSE)),"Set Grade")</f>
        <v>Set Grade</v>
      </c>
      <c r="AN194" s="96" t="str">
        <f>IF($E194="Yes","IPP",IFERROR(IF(AND(AK194&gt;AL194,AK194&lt;AM194),"0",(VLOOKUP(AK194,'ELA Reading Logic'!$A$22:$B$48,2,FALSE))-(IF(VLOOKUP(AK194,'ELA Reading Logic'!$A$22:$B$48,2,FALSE)&lt;=VLOOKUP(AL194,'ELA Reading Logic'!$A$22:$B$48,2,FALSE),VLOOKUP(AL194,'ELA Reading Logic'!$A$22:$B$48,2,FALSE),IF(VLOOKUP(AK194,'ELA Reading Logic'!$A$22:$B$48,2,FALSE)&gt;=VLOOKUP(AM194,'ELA Reading Logic'!$A$22:$B$48,2,FALSE),VLOOKUP(AM194,'ELA Reading Logic'!$A$22:$B$48,2,FALSE),"No Score")))),"No Value"))</f>
        <v>No Value</v>
      </c>
      <c r="AO194" s="96" t="str">
        <f>IFERROR(VLOOKUP(AK194,'ELA Reading Logic'!$A$22:$B$48,2,FALSE)-VLOOKUP($F194,'ELA Reading Logic'!$A$22:$B$48,2,FALSE),"No Value")</f>
        <v>No Value</v>
      </c>
      <c r="AP194" s="92"/>
      <c r="AQ194" s="96" t="str">
        <f>IFERROR(IF($E194="Yes","IPP",VLOOKUP($J194,'ELA Reading Logic'!$A$3:$K$9,VLOOKUP(AP$1,'ELA Reading Logic'!$J$22:$K$31,2,FALSE),FALSE)),"Set Grade")</f>
        <v>Set Grade</v>
      </c>
      <c r="AR194" s="96" t="str">
        <f>IFERROR(IF($E194="Yes","IPP",VLOOKUP($J194,'ELA Reading Logic'!$A$13:$K$19,VLOOKUP(AP$1,'ELA Reading Logic'!$J$22:$K$31,2,FALSE),FALSE)),"Set Grade")</f>
        <v>Set Grade</v>
      </c>
      <c r="AS194" s="96" t="str">
        <f>IF($E194="Yes","IPP",IFERROR(IF(AND(AP194&gt;AQ194,AP194&lt;AR194),"0",(VLOOKUP(AP194,'ELA Reading Logic'!$A$22:$B$48,2,FALSE))-(IF(VLOOKUP(AP194,'ELA Reading Logic'!$A$22:$B$48,2,FALSE)&lt;=VLOOKUP(AQ194,'ELA Reading Logic'!$A$22:$B$48,2,FALSE),VLOOKUP(AQ194,'ELA Reading Logic'!$A$22:$B$48,2,FALSE),IF(VLOOKUP(AP194,'ELA Reading Logic'!$A$22:$B$48,2,FALSE)&gt;=VLOOKUP(AR194,'ELA Reading Logic'!$A$22:$B$48,2,FALSE),VLOOKUP(AR194,'ELA Reading Logic'!$A$22:$B$48,2,FALSE),"No Score")))),"No Value"))</f>
        <v>No Value</v>
      </c>
      <c r="AT194" s="96" t="str">
        <f>IFERROR(VLOOKUP(AP194,'ELA Reading Logic'!$A$22:$B$48,2,FALSE)-VLOOKUP($F194,'ELA Reading Logic'!$A$22:$B$48,2,FALSE),"No Value")</f>
        <v>No Value</v>
      </c>
    </row>
    <row r="195" spans="1:46" ht="22.5" customHeight="1" x14ac:dyDescent="0.25">
      <c r="A195" s="174"/>
      <c r="B195" s="174"/>
      <c r="C195" s="174"/>
      <c r="D195" s="174"/>
      <c r="E195" s="175"/>
      <c r="F195" s="175"/>
      <c r="G195" s="177" t="str">
        <f>IFERROR(IF($E195="Yes","IPP",VLOOKUP($J195,'ELA Reading Logic'!$A$3:$K$9,VLOOKUP("September",'ELA Reading Logic'!$J$22:$K$31,2,FALSE),FALSE)),"Set Grade")</f>
        <v>Set Grade</v>
      </c>
      <c r="H195" s="177" t="str">
        <f>IFERROR(IF($E195="Yes","IPP",VLOOKUP($J195,'ELA Reading Logic'!$A$13:$K$19,VLOOKUP("September",'ELA Reading Logic'!$J$22:$K$31,2,FALSE),FALSE)),"Set Grade")</f>
        <v>Set Grade</v>
      </c>
      <c r="I195" s="96" t="str">
        <f>IF($E195="Yes","IPP",IFERROR(IF(AND(F195&gt;G195,F195&lt;H195),"0",(VLOOKUP(F195,'ELA Reading Logic'!$A$22:$B$48,2,FALSE))-(IF(VLOOKUP(F195,'ELA Reading Logic'!$A$22:$B$48,2,FALSE)&lt;=VLOOKUP(G195,'ELA Reading Logic'!$A$22:$B$48,2,FALSE),VLOOKUP(G195,'ELA Reading Logic'!$A$22:$B$48,2,FALSE),IF(VLOOKUP(F195,'ELA Reading Logic'!$A$22:$B$48,2,FALSE)&gt;=VLOOKUP(H195,'ELA Reading Logic'!$A$22:$B$48,2,FALSE),VLOOKUP(H195,'ELA Reading Logic'!$A$22:$B$48,2,FALSE),"No Score")))),"No Value"))</f>
        <v>No Value</v>
      </c>
      <c r="J195" s="178"/>
      <c r="K195" s="96"/>
      <c r="L195" s="96"/>
      <c r="M195" s="96"/>
      <c r="N195" s="96"/>
      <c r="O195" s="96"/>
      <c r="P195" s="105"/>
      <c r="Q195" s="92"/>
      <c r="R195" s="96" t="str">
        <f>IFERROR(IF($E195="Yes","IPP",VLOOKUP($J195,'ELA Reading Logic'!$A$3:$K$9,VLOOKUP(Q$1,'ELA Reading Logic'!$J$22:$K$31,2,FALSE),FALSE)),"Set Grade")</f>
        <v>Set Grade</v>
      </c>
      <c r="S195" s="96" t="str">
        <f>IFERROR(IF($E195="Yes","IPP",VLOOKUP($J195,'ELA Reading Logic'!$A$13:$K$19,VLOOKUP(Q$1,'ELA Reading Logic'!$J$22:$K$31,2,FALSE),FALSE)),"Set Grade")</f>
        <v>Set Grade</v>
      </c>
      <c r="T195" s="96" t="str">
        <f>IF($E195="Yes","IPP",IFERROR(IF(AND(Q195&gt;R195,Q195&lt;S195),"0",(VLOOKUP(Q195,'ELA Reading Logic'!$A$22:$B$48,2,FALSE))-(IF(VLOOKUP(Q195,'ELA Reading Logic'!$A$22:$B$48,2,FALSE)&lt;=VLOOKUP(R195,'ELA Reading Logic'!$A$22:$B$48,2,FALSE),VLOOKUP(R195,'ELA Reading Logic'!$A$22:$B$48,2,FALSE),IF(VLOOKUP(Q195,'ELA Reading Logic'!$A$22:$B$48,2,FALSE)&gt;=VLOOKUP(S195,'ELA Reading Logic'!$A$22:$B$48,2,FALSE),VLOOKUP(S195,'ELA Reading Logic'!$A$22:$B$48,2,FALSE),"No Score")))),"No Value"))</f>
        <v>No Value</v>
      </c>
      <c r="U195" s="96" t="str">
        <f>IFERROR(VLOOKUP(Q195,'ELA Reading Logic'!$A$22:$B$48,2,FALSE)-VLOOKUP($F195,'ELA Reading Logic'!$A$22:$B$48,2,FALSE),"No Value")</f>
        <v>No Value</v>
      </c>
      <c r="V195" s="92"/>
      <c r="W195" s="96" t="str">
        <f>IFERROR(IF($E195="Yes","IPP",VLOOKUP($J195,'ELA Reading Logic'!$A$3:$K$9,VLOOKUP(V$1,'ELA Reading Logic'!$J$22:$K$31,2,FALSE),FALSE)),"Set Grade")</f>
        <v>Set Grade</v>
      </c>
      <c r="X195" s="96" t="str">
        <f>IFERROR(IF($E195="Yes","IPP",VLOOKUP($J195,'ELA Reading Logic'!$A$13:$K$19,VLOOKUP(V$1,'ELA Reading Logic'!$J$22:$K$31,2,FALSE),FALSE)),"Set Grade")</f>
        <v>Set Grade</v>
      </c>
      <c r="Y195" s="96" t="str">
        <f>IF($E195="Yes","IPP",IFERROR(IF(AND(V195&gt;W195,V195&lt;X195),"0",(VLOOKUP(V195,'ELA Reading Logic'!$A$22:$B$48,2,FALSE))-(IF(VLOOKUP(V195,'ELA Reading Logic'!$A$22:$B$48,2,FALSE)&lt;=VLOOKUP(W195,'ELA Reading Logic'!$A$22:$B$48,2,FALSE),VLOOKUP(W195,'ELA Reading Logic'!$A$22:$B$48,2,FALSE),IF(VLOOKUP(V195,'ELA Reading Logic'!$A$22:$B$48,2,FALSE)&gt;=VLOOKUP(X195,'ELA Reading Logic'!$A$22:$B$48,2,FALSE),VLOOKUP(X195,'ELA Reading Logic'!$A$22:$B$48,2,FALSE),"No Score")))),"No Value"))</f>
        <v>No Value</v>
      </c>
      <c r="Z195" s="96" t="str">
        <f>IFERROR(VLOOKUP(V195,'ELA Reading Logic'!$A$22:$B$48,2,FALSE)-VLOOKUP($F195,'ELA Reading Logic'!$A$22:$B$48,2,FALSE),"No Value")</f>
        <v>No Value</v>
      </c>
      <c r="AA195" s="92"/>
      <c r="AB195" s="96" t="str">
        <f>IFERROR(IF($E195="Yes","IPP",VLOOKUP($J195,'ELA Reading Logic'!$A$3:$K$9,VLOOKUP(AA$1,'ELA Reading Logic'!$J$22:$K$31,2,FALSE),FALSE)),"Set Grade")</f>
        <v>Set Grade</v>
      </c>
      <c r="AC195" s="96" t="str">
        <f>IFERROR(IF($E195="Yes","IPP",VLOOKUP($J195,'ELA Reading Logic'!$A$13:$K$19,VLOOKUP(AA$1,'ELA Reading Logic'!$J$22:$K$31,2,FALSE),FALSE)),"Set Grade")</f>
        <v>Set Grade</v>
      </c>
      <c r="AD195" s="96" t="str">
        <f>IF($E195="Yes","IPP",IFERROR(IF(AND(AA195&gt;AB195,AA195&lt;AC195),"0",(VLOOKUP(AA195,'ELA Reading Logic'!$A$22:$B$48,2,FALSE))-(IF(VLOOKUP(AA195,'ELA Reading Logic'!$A$22:$B$48,2,FALSE)&lt;=VLOOKUP(AB195,'ELA Reading Logic'!$A$22:$B$48,2,FALSE),VLOOKUP(AB195,'ELA Reading Logic'!$A$22:$B$48,2,FALSE),IF(VLOOKUP(AA195,'ELA Reading Logic'!$A$22:$B$48,2,FALSE)&gt;=VLOOKUP(AC195,'ELA Reading Logic'!$A$22:$B$48,2,FALSE),VLOOKUP(AC195,'ELA Reading Logic'!$A$22:$B$48,2,FALSE),"No Score")))),"No Value"))</f>
        <v>No Value</v>
      </c>
      <c r="AE195" s="96" t="str">
        <f>IFERROR(VLOOKUP(AA195,'ELA Reading Logic'!$A$22:$B$48,2,FALSE)-VLOOKUP($F195,'ELA Reading Logic'!$A$22:$B$48,2,FALSE),"No Value")</f>
        <v>No Value</v>
      </c>
      <c r="AF195" s="92"/>
      <c r="AG195" s="96" t="str">
        <f>IFERROR(IF($E195="Yes","IPP",VLOOKUP($J195,'ELA Reading Logic'!$A$3:$K$9,VLOOKUP(AF$1,'ELA Reading Logic'!$J$22:$K$31,2,FALSE),FALSE)),"Set Grade")</f>
        <v>Set Grade</v>
      </c>
      <c r="AH195" s="96" t="str">
        <f>IFERROR(IF($E195="Yes","IPP",VLOOKUP($J195,'ELA Reading Logic'!$A$13:$K$19,VLOOKUP(AF$1,'ELA Reading Logic'!$J$22:$K$31,2,FALSE),FALSE)),"Set Grade")</f>
        <v>Set Grade</v>
      </c>
      <c r="AI195" s="96" t="str">
        <f>IF($E195="Yes","IPP",IFERROR(IF(AND(AF195&gt;AG195,AF195&lt;AH195),"0",(VLOOKUP(AF195,'ELA Reading Logic'!$A$22:$B$48,2,FALSE))-(IF(VLOOKUP(AF195,'ELA Reading Logic'!$A$22:$B$48,2,FALSE)&lt;=VLOOKUP(AG195,'ELA Reading Logic'!$A$22:$B$48,2,FALSE),VLOOKUP(AG195,'ELA Reading Logic'!$A$22:$B$48,2,FALSE),IF(VLOOKUP(AF195,'ELA Reading Logic'!$A$22:$B$48,2,FALSE)&gt;=VLOOKUP(AH195,'ELA Reading Logic'!$A$22:$B$48,2,FALSE),VLOOKUP(AH195,'ELA Reading Logic'!$A$22:$B$48,2,FALSE),"No Score")))),"No Value"))</f>
        <v>No Value</v>
      </c>
      <c r="AJ195" s="96" t="str">
        <f>IFERROR(VLOOKUP(AF195,'ELA Reading Logic'!$A$22:$B$48,2,FALSE)-VLOOKUP($F195,'ELA Reading Logic'!$A$22:$B$48,2,FALSE),"No Value")</f>
        <v>No Value</v>
      </c>
      <c r="AK195" s="92"/>
      <c r="AL195" s="96" t="str">
        <f>IFERROR(IF($E195="Yes","IPP",VLOOKUP($J195,'ELA Reading Logic'!$A$3:$K$9,VLOOKUP(AK$1,'ELA Reading Logic'!$J$22:$K$31,2,FALSE),FALSE)),"Set Grade")</f>
        <v>Set Grade</v>
      </c>
      <c r="AM195" s="96" t="str">
        <f>IFERROR(IF($E195="Yes","IPP",VLOOKUP($J195,'ELA Reading Logic'!$A$13:$K$19,VLOOKUP(AK$1,'ELA Reading Logic'!$J$22:$K$31,2,FALSE),FALSE)),"Set Grade")</f>
        <v>Set Grade</v>
      </c>
      <c r="AN195" s="96" t="str">
        <f>IF($E195="Yes","IPP",IFERROR(IF(AND(AK195&gt;AL195,AK195&lt;AM195),"0",(VLOOKUP(AK195,'ELA Reading Logic'!$A$22:$B$48,2,FALSE))-(IF(VLOOKUP(AK195,'ELA Reading Logic'!$A$22:$B$48,2,FALSE)&lt;=VLOOKUP(AL195,'ELA Reading Logic'!$A$22:$B$48,2,FALSE),VLOOKUP(AL195,'ELA Reading Logic'!$A$22:$B$48,2,FALSE),IF(VLOOKUP(AK195,'ELA Reading Logic'!$A$22:$B$48,2,FALSE)&gt;=VLOOKUP(AM195,'ELA Reading Logic'!$A$22:$B$48,2,FALSE),VLOOKUP(AM195,'ELA Reading Logic'!$A$22:$B$48,2,FALSE),"No Score")))),"No Value"))</f>
        <v>No Value</v>
      </c>
      <c r="AO195" s="96" t="str">
        <f>IFERROR(VLOOKUP(AK195,'ELA Reading Logic'!$A$22:$B$48,2,FALSE)-VLOOKUP($F195,'ELA Reading Logic'!$A$22:$B$48,2,FALSE),"No Value")</f>
        <v>No Value</v>
      </c>
      <c r="AP195" s="92"/>
      <c r="AQ195" s="96" t="str">
        <f>IFERROR(IF($E195="Yes","IPP",VLOOKUP($J195,'ELA Reading Logic'!$A$3:$K$9,VLOOKUP(AP$1,'ELA Reading Logic'!$J$22:$K$31,2,FALSE),FALSE)),"Set Grade")</f>
        <v>Set Grade</v>
      </c>
      <c r="AR195" s="96" t="str">
        <f>IFERROR(IF($E195="Yes","IPP",VLOOKUP($J195,'ELA Reading Logic'!$A$13:$K$19,VLOOKUP(AP$1,'ELA Reading Logic'!$J$22:$K$31,2,FALSE),FALSE)),"Set Grade")</f>
        <v>Set Grade</v>
      </c>
      <c r="AS195" s="96" t="str">
        <f>IF($E195="Yes","IPP",IFERROR(IF(AND(AP195&gt;AQ195,AP195&lt;AR195),"0",(VLOOKUP(AP195,'ELA Reading Logic'!$A$22:$B$48,2,FALSE))-(IF(VLOOKUP(AP195,'ELA Reading Logic'!$A$22:$B$48,2,FALSE)&lt;=VLOOKUP(AQ195,'ELA Reading Logic'!$A$22:$B$48,2,FALSE),VLOOKUP(AQ195,'ELA Reading Logic'!$A$22:$B$48,2,FALSE),IF(VLOOKUP(AP195,'ELA Reading Logic'!$A$22:$B$48,2,FALSE)&gt;=VLOOKUP(AR195,'ELA Reading Logic'!$A$22:$B$48,2,FALSE),VLOOKUP(AR195,'ELA Reading Logic'!$A$22:$B$48,2,FALSE),"No Score")))),"No Value"))</f>
        <v>No Value</v>
      </c>
      <c r="AT195" s="96" t="str">
        <f>IFERROR(VLOOKUP(AP195,'ELA Reading Logic'!$A$22:$B$48,2,FALSE)-VLOOKUP($F195,'ELA Reading Logic'!$A$22:$B$48,2,FALSE),"No Value")</f>
        <v>No Value</v>
      </c>
    </row>
    <row r="196" spans="1:46" ht="22.5" customHeight="1" x14ac:dyDescent="0.25">
      <c r="A196" s="176"/>
      <c r="B196" s="176"/>
      <c r="C196" s="176"/>
      <c r="D196" s="176"/>
      <c r="E196" s="175"/>
      <c r="F196" s="175"/>
      <c r="G196" s="177" t="str">
        <f>IFERROR(IF($E196="Yes","IPP",VLOOKUP($J196,'ELA Reading Logic'!$A$3:$K$9,VLOOKUP("September",'ELA Reading Logic'!$J$22:$K$31,2,FALSE),FALSE)),"Set Grade")</f>
        <v>Set Grade</v>
      </c>
      <c r="H196" s="177" t="str">
        <f>IFERROR(IF($E196="Yes","IPP",VLOOKUP($J196,'ELA Reading Logic'!$A$13:$K$19,VLOOKUP("September",'ELA Reading Logic'!$J$22:$K$31,2,FALSE),FALSE)),"Set Grade")</f>
        <v>Set Grade</v>
      </c>
      <c r="I196" s="96" t="str">
        <f>IF($E196="Yes","IPP",IFERROR(IF(AND(F196&gt;G196,F196&lt;H196),"0",(VLOOKUP(F196,'ELA Reading Logic'!$A$22:$B$48,2,FALSE))-(IF(VLOOKUP(F196,'ELA Reading Logic'!$A$22:$B$48,2,FALSE)&lt;=VLOOKUP(G196,'ELA Reading Logic'!$A$22:$B$48,2,FALSE),VLOOKUP(G196,'ELA Reading Logic'!$A$22:$B$48,2,FALSE),IF(VLOOKUP(F196,'ELA Reading Logic'!$A$22:$B$48,2,FALSE)&gt;=VLOOKUP(H196,'ELA Reading Logic'!$A$22:$B$48,2,FALSE),VLOOKUP(H196,'ELA Reading Logic'!$A$22:$B$48,2,FALSE),"No Score")))),"No Value"))</f>
        <v>No Value</v>
      </c>
      <c r="J196" s="178"/>
      <c r="K196" s="96"/>
      <c r="L196" s="96"/>
      <c r="M196" s="96"/>
      <c r="N196" s="96"/>
      <c r="O196" s="96"/>
      <c r="P196" s="105"/>
      <c r="Q196" s="92"/>
      <c r="R196" s="96" t="str">
        <f>IFERROR(IF($E196="Yes","IPP",VLOOKUP($J196,'ELA Reading Logic'!$A$3:$K$9,VLOOKUP(Q$1,'ELA Reading Logic'!$J$22:$K$31,2,FALSE),FALSE)),"Set Grade")</f>
        <v>Set Grade</v>
      </c>
      <c r="S196" s="96" t="str">
        <f>IFERROR(IF($E196="Yes","IPP",VLOOKUP($J196,'ELA Reading Logic'!$A$13:$K$19,VLOOKUP(Q$1,'ELA Reading Logic'!$J$22:$K$31,2,FALSE),FALSE)),"Set Grade")</f>
        <v>Set Grade</v>
      </c>
      <c r="T196" s="96" t="str">
        <f>IF($E196="Yes","IPP",IFERROR(IF(AND(Q196&gt;R196,Q196&lt;S196),"0",(VLOOKUP(Q196,'ELA Reading Logic'!$A$22:$B$48,2,FALSE))-(IF(VLOOKUP(Q196,'ELA Reading Logic'!$A$22:$B$48,2,FALSE)&lt;=VLOOKUP(R196,'ELA Reading Logic'!$A$22:$B$48,2,FALSE),VLOOKUP(R196,'ELA Reading Logic'!$A$22:$B$48,2,FALSE),IF(VLOOKUP(Q196,'ELA Reading Logic'!$A$22:$B$48,2,FALSE)&gt;=VLOOKUP(S196,'ELA Reading Logic'!$A$22:$B$48,2,FALSE),VLOOKUP(S196,'ELA Reading Logic'!$A$22:$B$48,2,FALSE),"No Score")))),"No Value"))</f>
        <v>No Value</v>
      </c>
      <c r="U196" s="96" t="str">
        <f>IFERROR(VLOOKUP(Q196,'ELA Reading Logic'!$A$22:$B$48,2,FALSE)-VLOOKUP($F196,'ELA Reading Logic'!$A$22:$B$48,2,FALSE),"No Value")</f>
        <v>No Value</v>
      </c>
      <c r="V196" s="92"/>
      <c r="W196" s="96" t="str">
        <f>IFERROR(IF($E196="Yes","IPP",VLOOKUP($J196,'ELA Reading Logic'!$A$3:$K$9,VLOOKUP(V$1,'ELA Reading Logic'!$J$22:$K$31,2,FALSE),FALSE)),"Set Grade")</f>
        <v>Set Grade</v>
      </c>
      <c r="X196" s="96" t="str">
        <f>IFERROR(IF($E196="Yes","IPP",VLOOKUP($J196,'ELA Reading Logic'!$A$13:$K$19,VLOOKUP(V$1,'ELA Reading Logic'!$J$22:$K$31,2,FALSE),FALSE)),"Set Grade")</f>
        <v>Set Grade</v>
      </c>
      <c r="Y196" s="96" t="str">
        <f>IF($E196="Yes","IPP",IFERROR(IF(AND(V196&gt;W196,V196&lt;X196),"0",(VLOOKUP(V196,'ELA Reading Logic'!$A$22:$B$48,2,FALSE))-(IF(VLOOKUP(V196,'ELA Reading Logic'!$A$22:$B$48,2,FALSE)&lt;=VLOOKUP(W196,'ELA Reading Logic'!$A$22:$B$48,2,FALSE),VLOOKUP(W196,'ELA Reading Logic'!$A$22:$B$48,2,FALSE),IF(VLOOKUP(V196,'ELA Reading Logic'!$A$22:$B$48,2,FALSE)&gt;=VLOOKUP(X196,'ELA Reading Logic'!$A$22:$B$48,2,FALSE),VLOOKUP(X196,'ELA Reading Logic'!$A$22:$B$48,2,FALSE),"No Score")))),"No Value"))</f>
        <v>No Value</v>
      </c>
      <c r="Z196" s="96" t="str">
        <f>IFERROR(VLOOKUP(V196,'ELA Reading Logic'!$A$22:$B$48,2,FALSE)-VLOOKUP($F196,'ELA Reading Logic'!$A$22:$B$48,2,FALSE),"No Value")</f>
        <v>No Value</v>
      </c>
      <c r="AA196" s="92"/>
      <c r="AB196" s="96" t="str">
        <f>IFERROR(IF($E196="Yes","IPP",VLOOKUP($J196,'ELA Reading Logic'!$A$3:$K$9,VLOOKUP(AA$1,'ELA Reading Logic'!$J$22:$K$31,2,FALSE),FALSE)),"Set Grade")</f>
        <v>Set Grade</v>
      </c>
      <c r="AC196" s="96" t="str">
        <f>IFERROR(IF($E196="Yes","IPP",VLOOKUP($J196,'ELA Reading Logic'!$A$13:$K$19,VLOOKUP(AA$1,'ELA Reading Logic'!$J$22:$K$31,2,FALSE),FALSE)),"Set Grade")</f>
        <v>Set Grade</v>
      </c>
      <c r="AD196" s="96" t="str">
        <f>IF($E196="Yes","IPP",IFERROR(IF(AND(AA196&gt;AB196,AA196&lt;AC196),"0",(VLOOKUP(AA196,'ELA Reading Logic'!$A$22:$B$48,2,FALSE))-(IF(VLOOKUP(AA196,'ELA Reading Logic'!$A$22:$B$48,2,FALSE)&lt;=VLOOKUP(AB196,'ELA Reading Logic'!$A$22:$B$48,2,FALSE),VLOOKUP(AB196,'ELA Reading Logic'!$A$22:$B$48,2,FALSE),IF(VLOOKUP(AA196,'ELA Reading Logic'!$A$22:$B$48,2,FALSE)&gt;=VLOOKUP(AC196,'ELA Reading Logic'!$A$22:$B$48,2,FALSE),VLOOKUP(AC196,'ELA Reading Logic'!$A$22:$B$48,2,FALSE),"No Score")))),"No Value"))</f>
        <v>No Value</v>
      </c>
      <c r="AE196" s="96" t="str">
        <f>IFERROR(VLOOKUP(AA196,'ELA Reading Logic'!$A$22:$B$48,2,FALSE)-VLOOKUP($F196,'ELA Reading Logic'!$A$22:$B$48,2,FALSE),"No Value")</f>
        <v>No Value</v>
      </c>
      <c r="AF196" s="92"/>
      <c r="AG196" s="96" t="str">
        <f>IFERROR(IF($E196="Yes","IPP",VLOOKUP($J196,'ELA Reading Logic'!$A$3:$K$9,VLOOKUP(AF$1,'ELA Reading Logic'!$J$22:$K$31,2,FALSE),FALSE)),"Set Grade")</f>
        <v>Set Grade</v>
      </c>
      <c r="AH196" s="96" t="str">
        <f>IFERROR(IF($E196="Yes","IPP",VLOOKUP($J196,'ELA Reading Logic'!$A$13:$K$19,VLOOKUP(AF$1,'ELA Reading Logic'!$J$22:$K$31,2,FALSE),FALSE)),"Set Grade")</f>
        <v>Set Grade</v>
      </c>
      <c r="AI196" s="96" t="str">
        <f>IF($E196="Yes","IPP",IFERROR(IF(AND(AF196&gt;AG196,AF196&lt;AH196),"0",(VLOOKUP(AF196,'ELA Reading Logic'!$A$22:$B$48,2,FALSE))-(IF(VLOOKUP(AF196,'ELA Reading Logic'!$A$22:$B$48,2,FALSE)&lt;=VLOOKUP(AG196,'ELA Reading Logic'!$A$22:$B$48,2,FALSE),VLOOKUP(AG196,'ELA Reading Logic'!$A$22:$B$48,2,FALSE),IF(VLOOKUP(AF196,'ELA Reading Logic'!$A$22:$B$48,2,FALSE)&gt;=VLOOKUP(AH196,'ELA Reading Logic'!$A$22:$B$48,2,FALSE),VLOOKUP(AH196,'ELA Reading Logic'!$A$22:$B$48,2,FALSE),"No Score")))),"No Value"))</f>
        <v>No Value</v>
      </c>
      <c r="AJ196" s="96" t="str">
        <f>IFERROR(VLOOKUP(AF196,'ELA Reading Logic'!$A$22:$B$48,2,FALSE)-VLOOKUP($F196,'ELA Reading Logic'!$A$22:$B$48,2,FALSE),"No Value")</f>
        <v>No Value</v>
      </c>
      <c r="AK196" s="92"/>
      <c r="AL196" s="96" t="str">
        <f>IFERROR(IF($E196="Yes","IPP",VLOOKUP($J196,'ELA Reading Logic'!$A$3:$K$9,VLOOKUP(AK$1,'ELA Reading Logic'!$J$22:$K$31,2,FALSE),FALSE)),"Set Grade")</f>
        <v>Set Grade</v>
      </c>
      <c r="AM196" s="96" t="str">
        <f>IFERROR(IF($E196="Yes","IPP",VLOOKUP($J196,'ELA Reading Logic'!$A$13:$K$19,VLOOKUP(AK$1,'ELA Reading Logic'!$J$22:$K$31,2,FALSE),FALSE)),"Set Grade")</f>
        <v>Set Grade</v>
      </c>
      <c r="AN196" s="96" t="str">
        <f>IF($E196="Yes","IPP",IFERROR(IF(AND(AK196&gt;AL196,AK196&lt;AM196),"0",(VLOOKUP(AK196,'ELA Reading Logic'!$A$22:$B$48,2,FALSE))-(IF(VLOOKUP(AK196,'ELA Reading Logic'!$A$22:$B$48,2,FALSE)&lt;=VLOOKUP(AL196,'ELA Reading Logic'!$A$22:$B$48,2,FALSE),VLOOKUP(AL196,'ELA Reading Logic'!$A$22:$B$48,2,FALSE),IF(VLOOKUP(AK196,'ELA Reading Logic'!$A$22:$B$48,2,FALSE)&gt;=VLOOKUP(AM196,'ELA Reading Logic'!$A$22:$B$48,2,FALSE),VLOOKUP(AM196,'ELA Reading Logic'!$A$22:$B$48,2,FALSE),"No Score")))),"No Value"))</f>
        <v>No Value</v>
      </c>
      <c r="AO196" s="96" t="str">
        <f>IFERROR(VLOOKUP(AK196,'ELA Reading Logic'!$A$22:$B$48,2,FALSE)-VLOOKUP($F196,'ELA Reading Logic'!$A$22:$B$48,2,FALSE),"No Value")</f>
        <v>No Value</v>
      </c>
      <c r="AP196" s="92"/>
      <c r="AQ196" s="96" t="str">
        <f>IFERROR(IF($E196="Yes","IPP",VLOOKUP($J196,'ELA Reading Logic'!$A$3:$K$9,VLOOKUP(AP$1,'ELA Reading Logic'!$J$22:$K$31,2,FALSE),FALSE)),"Set Grade")</f>
        <v>Set Grade</v>
      </c>
      <c r="AR196" s="96" t="str">
        <f>IFERROR(IF($E196="Yes","IPP",VLOOKUP($J196,'ELA Reading Logic'!$A$13:$K$19,VLOOKUP(AP$1,'ELA Reading Logic'!$J$22:$K$31,2,FALSE),FALSE)),"Set Grade")</f>
        <v>Set Grade</v>
      </c>
      <c r="AS196" s="96" t="str">
        <f>IF($E196="Yes","IPP",IFERROR(IF(AND(AP196&gt;AQ196,AP196&lt;AR196),"0",(VLOOKUP(AP196,'ELA Reading Logic'!$A$22:$B$48,2,FALSE))-(IF(VLOOKUP(AP196,'ELA Reading Logic'!$A$22:$B$48,2,FALSE)&lt;=VLOOKUP(AQ196,'ELA Reading Logic'!$A$22:$B$48,2,FALSE),VLOOKUP(AQ196,'ELA Reading Logic'!$A$22:$B$48,2,FALSE),IF(VLOOKUP(AP196,'ELA Reading Logic'!$A$22:$B$48,2,FALSE)&gt;=VLOOKUP(AR196,'ELA Reading Logic'!$A$22:$B$48,2,FALSE),VLOOKUP(AR196,'ELA Reading Logic'!$A$22:$B$48,2,FALSE),"No Score")))),"No Value"))</f>
        <v>No Value</v>
      </c>
      <c r="AT196" s="96" t="str">
        <f>IFERROR(VLOOKUP(AP196,'ELA Reading Logic'!$A$22:$B$48,2,FALSE)-VLOOKUP($F196,'ELA Reading Logic'!$A$22:$B$48,2,FALSE),"No Value")</f>
        <v>No Value</v>
      </c>
    </row>
    <row r="197" spans="1:46" ht="22.5" customHeight="1" x14ac:dyDescent="0.25">
      <c r="A197" s="174"/>
      <c r="B197" s="174"/>
      <c r="C197" s="174"/>
      <c r="D197" s="174"/>
      <c r="E197" s="175"/>
      <c r="F197" s="175"/>
      <c r="G197" s="177" t="str">
        <f>IFERROR(IF($E197="Yes","IPP",VLOOKUP($J197,'ELA Reading Logic'!$A$3:$K$9,VLOOKUP("September",'ELA Reading Logic'!$J$22:$K$31,2,FALSE),FALSE)),"Set Grade")</f>
        <v>Set Grade</v>
      </c>
      <c r="H197" s="177" t="str">
        <f>IFERROR(IF($E197="Yes","IPP",VLOOKUP($J197,'ELA Reading Logic'!$A$13:$K$19,VLOOKUP("September",'ELA Reading Logic'!$J$22:$K$31,2,FALSE),FALSE)),"Set Grade")</f>
        <v>Set Grade</v>
      </c>
      <c r="I197" s="96" t="str">
        <f>IF($E197="Yes","IPP",IFERROR(IF(AND(F197&gt;G197,F197&lt;H197),"0",(VLOOKUP(F197,'ELA Reading Logic'!$A$22:$B$48,2,FALSE))-(IF(VLOOKUP(F197,'ELA Reading Logic'!$A$22:$B$48,2,FALSE)&lt;=VLOOKUP(G197,'ELA Reading Logic'!$A$22:$B$48,2,FALSE),VLOOKUP(G197,'ELA Reading Logic'!$A$22:$B$48,2,FALSE),IF(VLOOKUP(F197,'ELA Reading Logic'!$A$22:$B$48,2,FALSE)&gt;=VLOOKUP(H197,'ELA Reading Logic'!$A$22:$B$48,2,FALSE),VLOOKUP(H197,'ELA Reading Logic'!$A$22:$B$48,2,FALSE),"No Score")))),"No Value"))</f>
        <v>No Value</v>
      </c>
      <c r="J197" s="178"/>
      <c r="K197" s="96"/>
      <c r="L197" s="96"/>
      <c r="M197" s="96"/>
      <c r="N197" s="96"/>
      <c r="O197" s="96"/>
      <c r="P197" s="105"/>
      <c r="Q197" s="92"/>
      <c r="R197" s="96" t="str">
        <f>IFERROR(IF($E197="Yes","IPP",VLOOKUP($J197,'ELA Reading Logic'!$A$3:$K$9,VLOOKUP(Q$1,'ELA Reading Logic'!$J$22:$K$31,2,FALSE),FALSE)),"Set Grade")</f>
        <v>Set Grade</v>
      </c>
      <c r="S197" s="96" t="str">
        <f>IFERROR(IF($E197="Yes","IPP",VLOOKUP($J197,'ELA Reading Logic'!$A$13:$K$19,VLOOKUP(Q$1,'ELA Reading Logic'!$J$22:$K$31,2,FALSE),FALSE)),"Set Grade")</f>
        <v>Set Grade</v>
      </c>
      <c r="T197" s="96" t="str">
        <f>IF($E197="Yes","IPP",IFERROR(IF(AND(Q197&gt;R197,Q197&lt;S197),"0",(VLOOKUP(Q197,'ELA Reading Logic'!$A$22:$B$48,2,FALSE))-(IF(VLOOKUP(Q197,'ELA Reading Logic'!$A$22:$B$48,2,FALSE)&lt;=VLOOKUP(R197,'ELA Reading Logic'!$A$22:$B$48,2,FALSE),VLOOKUP(R197,'ELA Reading Logic'!$A$22:$B$48,2,FALSE),IF(VLOOKUP(Q197,'ELA Reading Logic'!$A$22:$B$48,2,FALSE)&gt;=VLOOKUP(S197,'ELA Reading Logic'!$A$22:$B$48,2,FALSE),VLOOKUP(S197,'ELA Reading Logic'!$A$22:$B$48,2,FALSE),"No Score")))),"No Value"))</f>
        <v>No Value</v>
      </c>
      <c r="U197" s="96" t="str">
        <f>IFERROR(VLOOKUP(Q197,'ELA Reading Logic'!$A$22:$B$48,2,FALSE)-VLOOKUP($F197,'ELA Reading Logic'!$A$22:$B$48,2,FALSE),"No Value")</f>
        <v>No Value</v>
      </c>
      <c r="V197" s="92"/>
      <c r="W197" s="96" t="str">
        <f>IFERROR(IF($E197="Yes","IPP",VLOOKUP($J197,'ELA Reading Logic'!$A$3:$K$9,VLOOKUP(V$1,'ELA Reading Logic'!$J$22:$K$31,2,FALSE),FALSE)),"Set Grade")</f>
        <v>Set Grade</v>
      </c>
      <c r="X197" s="96" t="str">
        <f>IFERROR(IF($E197="Yes","IPP",VLOOKUP($J197,'ELA Reading Logic'!$A$13:$K$19,VLOOKUP(V$1,'ELA Reading Logic'!$J$22:$K$31,2,FALSE),FALSE)),"Set Grade")</f>
        <v>Set Grade</v>
      </c>
      <c r="Y197" s="96" t="str">
        <f>IF($E197="Yes","IPP",IFERROR(IF(AND(V197&gt;W197,V197&lt;X197),"0",(VLOOKUP(V197,'ELA Reading Logic'!$A$22:$B$48,2,FALSE))-(IF(VLOOKUP(V197,'ELA Reading Logic'!$A$22:$B$48,2,FALSE)&lt;=VLOOKUP(W197,'ELA Reading Logic'!$A$22:$B$48,2,FALSE),VLOOKUP(W197,'ELA Reading Logic'!$A$22:$B$48,2,FALSE),IF(VLOOKUP(V197,'ELA Reading Logic'!$A$22:$B$48,2,FALSE)&gt;=VLOOKUP(X197,'ELA Reading Logic'!$A$22:$B$48,2,FALSE),VLOOKUP(X197,'ELA Reading Logic'!$A$22:$B$48,2,FALSE),"No Score")))),"No Value"))</f>
        <v>No Value</v>
      </c>
      <c r="Z197" s="96" t="str">
        <f>IFERROR(VLOOKUP(V197,'ELA Reading Logic'!$A$22:$B$48,2,FALSE)-VLOOKUP($F197,'ELA Reading Logic'!$A$22:$B$48,2,FALSE),"No Value")</f>
        <v>No Value</v>
      </c>
      <c r="AA197" s="92"/>
      <c r="AB197" s="96" t="str">
        <f>IFERROR(IF($E197="Yes","IPP",VLOOKUP($J197,'ELA Reading Logic'!$A$3:$K$9,VLOOKUP(AA$1,'ELA Reading Logic'!$J$22:$K$31,2,FALSE),FALSE)),"Set Grade")</f>
        <v>Set Grade</v>
      </c>
      <c r="AC197" s="96" t="str">
        <f>IFERROR(IF($E197="Yes","IPP",VLOOKUP($J197,'ELA Reading Logic'!$A$13:$K$19,VLOOKUP(AA$1,'ELA Reading Logic'!$J$22:$K$31,2,FALSE),FALSE)),"Set Grade")</f>
        <v>Set Grade</v>
      </c>
      <c r="AD197" s="96" t="str">
        <f>IF($E197="Yes","IPP",IFERROR(IF(AND(AA197&gt;AB197,AA197&lt;AC197),"0",(VLOOKUP(AA197,'ELA Reading Logic'!$A$22:$B$48,2,FALSE))-(IF(VLOOKUP(AA197,'ELA Reading Logic'!$A$22:$B$48,2,FALSE)&lt;=VLOOKUP(AB197,'ELA Reading Logic'!$A$22:$B$48,2,FALSE),VLOOKUP(AB197,'ELA Reading Logic'!$A$22:$B$48,2,FALSE),IF(VLOOKUP(AA197,'ELA Reading Logic'!$A$22:$B$48,2,FALSE)&gt;=VLOOKUP(AC197,'ELA Reading Logic'!$A$22:$B$48,2,FALSE),VLOOKUP(AC197,'ELA Reading Logic'!$A$22:$B$48,2,FALSE),"No Score")))),"No Value"))</f>
        <v>No Value</v>
      </c>
      <c r="AE197" s="96" t="str">
        <f>IFERROR(VLOOKUP(AA197,'ELA Reading Logic'!$A$22:$B$48,2,FALSE)-VLOOKUP($F197,'ELA Reading Logic'!$A$22:$B$48,2,FALSE),"No Value")</f>
        <v>No Value</v>
      </c>
      <c r="AF197" s="92"/>
      <c r="AG197" s="96" t="str">
        <f>IFERROR(IF($E197="Yes","IPP",VLOOKUP($J197,'ELA Reading Logic'!$A$3:$K$9,VLOOKUP(AF$1,'ELA Reading Logic'!$J$22:$K$31,2,FALSE),FALSE)),"Set Grade")</f>
        <v>Set Grade</v>
      </c>
      <c r="AH197" s="96" t="str">
        <f>IFERROR(IF($E197="Yes","IPP",VLOOKUP($J197,'ELA Reading Logic'!$A$13:$K$19,VLOOKUP(AF$1,'ELA Reading Logic'!$J$22:$K$31,2,FALSE),FALSE)),"Set Grade")</f>
        <v>Set Grade</v>
      </c>
      <c r="AI197" s="96" t="str">
        <f>IF($E197="Yes","IPP",IFERROR(IF(AND(AF197&gt;AG197,AF197&lt;AH197),"0",(VLOOKUP(AF197,'ELA Reading Logic'!$A$22:$B$48,2,FALSE))-(IF(VLOOKUP(AF197,'ELA Reading Logic'!$A$22:$B$48,2,FALSE)&lt;=VLOOKUP(AG197,'ELA Reading Logic'!$A$22:$B$48,2,FALSE),VLOOKUP(AG197,'ELA Reading Logic'!$A$22:$B$48,2,FALSE),IF(VLOOKUP(AF197,'ELA Reading Logic'!$A$22:$B$48,2,FALSE)&gt;=VLOOKUP(AH197,'ELA Reading Logic'!$A$22:$B$48,2,FALSE),VLOOKUP(AH197,'ELA Reading Logic'!$A$22:$B$48,2,FALSE),"No Score")))),"No Value"))</f>
        <v>No Value</v>
      </c>
      <c r="AJ197" s="96" t="str">
        <f>IFERROR(VLOOKUP(AF197,'ELA Reading Logic'!$A$22:$B$48,2,FALSE)-VLOOKUP($F197,'ELA Reading Logic'!$A$22:$B$48,2,FALSE),"No Value")</f>
        <v>No Value</v>
      </c>
      <c r="AK197" s="92"/>
      <c r="AL197" s="96" t="str">
        <f>IFERROR(IF($E197="Yes","IPP",VLOOKUP($J197,'ELA Reading Logic'!$A$3:$K$9,VLOOKUP(AK$1,'ELA Reading Logic'!$J$22:$K$31,2,FALSE),FALSE)),"Set Grade")</f>
        <v>Set Grade</v>
      </c>
      <c r="AM197" s="96" t="str">
        <f>IFERROR(IF($E197="Yes","IPP",VLOOKUP($J197,'ELA Reading Logic'!$A$13:$K$19,VLOOKUP(AK$1,'ELA Reading Logic'!$J$22:$K$31,2,FALSE),FALSE)),"Set Grade")</f>
        <v>Set Grade</v>
      </c>
      <c r="AN197" s="96" t="str">
        <f>IF($E197="Yes","IPP",IFERROR(IF(AND(AK197&gt;AL197,AK197&lt;AM197),"0",(VLOOKUP(AK197,'ELA Reading Logic'!$A$22:$B$48,2,FALSE))-(IF(VLOOKUP(AK197,'ELA Reading Logic'!$A$22:$B$48,2,FALSE)&lt;=VLOOKUP(AL197,'ELA Reading Logic'!$A$22:$B$48,2,FALSE),VLOOKUP(AL197,'ELA Reading Logic'!$A$22:$B$48,2,FALSE),IF(VLOOKUP(AK197,'ELA Reading Logic'!$A$22:$B$48,2,FALSE)&gt;=VLOOKUP(AM197,'ELA Reading Logic'!$A$22:$B$48,2,FALSE),VLOOKUP(AM197,'ELA Reading Logic'!$A$22:$B$48,2,FALSE),"No Score")))),"No Value"))</f>
        <v>No Value</v>
      </c>
      <c r="AO197" s="96" t="str">
        <f>IFERROR(VLOOKUP(AK197,'ELA Reading Logic'!$A$22:$B$48,2,FALSE)-VLOOKUP($F197,'ELA Reading Logic'!$A$22:$B$48,2,FALSE),"No Value")</f>
        <v>No Value</v>
      </c>
      <c r="AP197" s="92"/>
      <c r="AQ197" s="96" t="str">
        <f>IFERROR(IF($E197="Yes","IPP",VLOOKUP($J197,'ELA Reading Logic'!$A$3:$K$9,VLOOKUP(AP$1,'ELA Reading Logic'!$J$22:$K$31,2,FALSE),FALSE)),"Set Grade")</f>
        <v>Set Grade</v>
      </c>
      <c r="AR197" s="96" t="str">
        <f>IFERROR(IF($E197="Yes","IPP",VLOOKUP($J197,'ELA Reading Logic'!$A$13:$K$19,VLOOKUP(AP$1,'ELA Reading Logic'!$J$22:$K$31,2,FALSE),FALSE)),"Set Grade")</f>
        <v>Set Grade</v>
      </c>
      <c r="AS197" s="96" t="str">
        <f>IF($E197="Yes","IPP",IFERROR(IF(AND(AP197&gt;AQ197,AP197&lt;AR197),"0",(VLOOKUP(AP197,'ELA Reading Logic'!$A$22:$B$48,2,FALSE))-(IF(VLOOKUP(AP197,'ELA Reading Logic'!$A$22:$B$48,2,FALSE)&lt;=VLOOKUP(AQ197,'ELA Reading Logic'!$A$22:$B$48,2,FALSE),VLOOKUP(AQ197,'ELA Reading Logic'!$A$22:$B$48,2,FALSE),IF(VLOOKUP(AP197,'ELA Reading Logic'!$A$22:$B$48,2,FALSE)&gt;=VLOOKUP(AR197,'ELA Reading Logic'!$A$22:$B$48,2,FALSE),VLOOKUP(AR197,'ELA Reading Logic'!$A$22:$B$48,2,FALSE),"No Score")))),"No Value"))</f>
        <v>No Value</v>
      </c>
      <c r="AT197" s="96" t="str">
        <f>IFERROR(VLOOKUP(AP197,'ELA Reading Logic'!$A$22:$B$48,2,FALSE)-VLOOKUP($F197,'ELA Reading Logic'!$A$22:$B$48,2,FALSE),"No Value")</f>
        <v>No Value</v>
      </c>
    </row>
    <row r="198" spans="1:46" ht="22.5" customHeight="1" x14ac:dyDescent="0.25">
      <c r="A198" s="176"/>
      <c r="B198" s="176"/>
      <c r="C198" s="176"/>
      <c r="D198" s="176"/>
      <c r="E198" s="175"/>
      <c r="F198" s="175"/>
      <c r="G198" s="177" t="str">
        <f>IFERROR(IF($E198="Yes","IPP",VLOOKUP($J198,'ELA Reading Logic'!$A$3:$K$9,VLOOKUP("September",'ELA Reading Logic'!$J$22:$K$31,2,FALSE),FALSE)),"Set Grade")</f>
        <v>Set Grade</v>
      </c>
      <c r="H198" s="177" t="str">
        <f>IFERROR(IF($E198="Yes","IPP",VLOOKUP($J198,'ELA Reading Logic'!$A$13:$K$19,VLOOKUP("September",'ELA Reading Logic'!$J$22:$K$31,2,FALSE),FALSE)),"Set Grade")</f>
        <v>Set Grade</v>
      </c>
      <c r="I198" s="96" t="str">
        <f>IF($E198="Yes","IPP",IFERROR(IF(AND(F198&gt;G198,F198&lt;H198),"0",(VLOOKUP(F198,'ELA Reading Logic'!$A$22:$B$48,2,FALSE))-(IF(VLOOKUP(F198,'ELA Reading Logic'!$A$22:$B$48,2,FALSE)&lt;=VLOOKUP(G198,'ELA Reading Logic'!$A$22:$B$48,2,FALSE),VLOOKUP(G198,'ELA Reading Logic'!$A$22:$B$48,2,FALSE),IF(VLOOKUP(F198,'ELA Reading Logic'!$A$22:$B$48,2,FALSE)&gt;=VLOOKUP(H198,'ELA Reading Logic'!$A$22:$B$48,2,FALSE),VLOOKUP(H198,'ELA Reading Logic'!$A$22:$B$48,2,FALSE),"No Score")))),"No Value"))</f>
        <v>No Value</v>
      </c>
      <c r="J198" s="178"/>
      <c r="K198" s="96"/>
      <c r="L198" s="96"/>
      <c r="M198" s="96"/>
      <c r="N198" s="96"/>
      <c r="O198" s="96"/>
      <c r="P198" s="105"/>
      <c r="Q198" s="92"/>
      <c r="R198" s="96" t="str">
        <f>IFERROR(IF($E198="Yes","IPP",VLOOKUP($J198,'ELA Reading Logic'!$A$3:$K$9,VLOOKUP(Q$1,'ELA Reading Logic'!$J$22:$K$31,2,FALSE),FALSE)),"Set Grade")</f>
        <v>Set Grade</v>
      </c>
      <c r="S198" s="96" t="str">
        <f>IFERROR(IF($E198="Yes","IPP",VLOOKUP($J198,'ELA Reading Logic'!$A$13:$K$19,VLOOKUP(Q$1,'ELA Reading Logic'!$J$22:$K$31,2,FALSE),FALSE)),"Set Grade")</f>
        <v>Set Grade</v>
      </c>
      <c r="T198" s="96" t="str">
        <f>IF($E198="Yes","IPP",IFERROR(IF(AND(Q198&gt;R198,Q198&lt;S198),"0",(VLOOKUP(Q198,'ELA Reading Logic'!$A$22:$B$48,2,FALSE))-(IF(VLOOKUP(Q198,'ELA Reading Logic'!$A$22:$B$48,2,FALSE)&lt;=VLOOKUP(R198,'ELA Reading Logic'!$A$22:$B$48,2,FALSE),VLOOKUP(R198,'ELA Reading Logic'!$A$22:$B$48,2,FALSE),IF(VLOOKUP(Q198,'ELA Reading Logic'!$A$22:$B$48,2,FALSE)&gt;=VLOOKUP(S198,'ELA Reading Logic'!$A$22:$B$48,2,FALSE),VLOOKUP(S198,'ELA Reading Logic'!$A$22:$B$48,2,FALSE),"No Score")))),"No Value"))</f>
        <v>No Value</v>
      </c>
      <c r="U198" s="96" t="str">
        <f>IFERROR(VLOOKUP(Q198,'ELA Reading Logic'!$A$22:$B$48,2,FALSE)-VLOOKUP($F198,'ELA Reading Logic'!$A$22:$B$48,2,FALSE),"No Value")</f>
        <v>No Value</v>
      </c>
      <c r="V198" s="92"/>
      <c r="W198" s="96" t="str">
        <f>IFERROR(IF($E198="Yes","IPP",VLOOKUP($J198,'ELA Reading Logic'!$A$3:$K$9,VLOOKUP(V$1,'ELA Reading Logic'!$J$22:$K$31,2,FALSE),FALSE)),"Set Grade")</f>
        <v>Set Grade</v>
      </c>
      <c r="X198" s="96" t="str">
        <f>IFERROR(IF($E198="Yes","IPP",VLOOKUP($J198,'ELA Reading Logic'!$A$13:$K$19,VLOOKUP(V$1,'ELA Reading Logic'!$J$22:$K$31,2,FALSE),FALSE)),"Set Grade")</f>
        <v>Set Grade</v>
      </c>
      <c r="Y198" s="96" t="str">
        <f>IF($E198="Yes","IPP",IFERROR(IF(AND(V198&gt;W198,V198&lt;X198),"0",(VLOOKUP(V198,'ELA Reading Logic'!$A$22:$B$48,2,FALSE))-(IF(VLOOKUP(V198,'ELA Reading Logic'!$A$22:$B$48,2,FALSE)&lt;=VLOOKUP(W198,'ELA Reading Logic'!$A$22:$B$48,2,FALSE),VLOOKUP(W198,'ELA Reading Logic'!$A$22:$B$48,2,FALSE),IF(VLOOKUP(V198,'ELA Reading Logic'!$A$22:$B$48,2,FALSE)&gt;=VLOOKUP(X198,'ELA Reading Logic'!$A$22:$B$48,2,FALSE),VLOOKUP(X198,'ELA Reading Logic'!$A$22:$B$48,2,FALSE),"No Score")))),"No Value"))</f>
        <v>No Value</v>
      </c>
      <c r="Z198" s="96" t="str">
        <f>IFERROR(VLOOKUP(V198,'ELA Reading Logic'!$A$22:$B$48,2,FALSE)-VLOOKUP($F198,'ELA Reading Logic'!$A$22:$B$48,2,FALSE),"No Value")</f>
        <v>No Value</v>
      </c>
      <c r="AA198" s="92"/>
      <c r="AB198" s="96" t="str">
        <f>IFERROR(IF($E198="Yes","IPP",VLOOKUP($J198,'ELA Reading Logic'!$A$3:$K$9,VLOOKUP(AA$1,'ELA Reading Logic'!$J$22:$K$31,2,FALSE),FALSE)),"Set Grade")</f>
        <v>Set Grade</v>
      </c>
      <c r="AC198" s="96" t="str">
        <f>IFERROR(IF($E198="Yes","IPP",VLOOKUP($J198,'ELA Reading Logic'!$A$13:$K$19,VLOOKUP(AA$1,'ELA Reading Logic'!$J$22:$K$31,2,FALSE),FALSE)),"Set Grade")</f>
        <v>Set Grade</v>
      </c>
      <c r="AD198" s="96" t="str">
        <f>IF($E198="Yes","IPP",IFERROR(IF(AND(AA198&gt;AB198,AA198&lt;AC198),"0",(VLOOKUP(AA198,'ELA Reading Logic'!$A$22:$B$48,2,FALSE))-(IF(VLOOKUP(AA198,'ELA Reading Logic'!$A$22:$B$48,2,FALSE)&lt;=VLOOKUP(AB198,'ELA Reading Logic'!$A$22:$B$48,2,FALSE),VLOOKUP(AB198,'ELA Reading Logic'!$A$22:$B$48,2,FALSE),IF(VLOOKUP(AA198,'ELA Reading Logic'!$A$22:$B$48,2,FALSE)&gt;=VLOOKUP(AC198,'ELA Reading Logic'!$A$22:$B$48,2,FALSE),VLOOKUP(AC198,'ELA Reading Logic'!$A$22:$B$48,2,FALSE),"No Score")))),"No Value"))</f>
        <v>No Value</v>
      </c>
      <c r="AE198" s="96" t="str">
        <f>IFERROR(VLOOKUP(AA198,'ELA Reading Logic'!$A$22:$B$48,2,FALSE)-VLOOKUP($F198,'ELA Reading Logic'!$A$22:$B$48,2,FALSE),"No Value")</f>
        <v>No Value</v>
      </c>
      <c r="AF198" s="92"/>
      <c r="AG198" s="96" t="str">
        <f>IFERROR(IF($E198="Yes","IPP",VLOOKUP($J198,'ELA Reading Logic'!$A$3:$K$9,VLOOKUP(AF$1,'ELA Reading Logic'!$J$22:$K$31,2,FALSE),FALSE)),"Set Grade")</f>
        <v>Set Grade</v>
      </c>
      <c r="AH198" s="96" t="str">
        <f>IFERROR(IF($E198="Yes","IPP",VLOOKUP($J198,'ELA Reading Logic'!$A$13:$K$19,VLOOKUP(AF$1,'ELA Reading Logic'!$J$22:$K$31,2,FALSE),FALSE)),"Set Grade")</f>
        <v>Set Grade</v>
      </c>
      <c r="AI198" s="96" t="str">
        <f>IF($E198="Yes","IPP",IFERROR(IF(AND(AF198&gt;AG198,AF198&lt;AH198),"0",(VLOOKUP(AF198,'ELA Reading Logic'!$A$22:$B$48,2,FALSE))-(IF(VLOOKUP(AF198,'ELA Reading Logic'!$A$22:$B$48,2,FALSE)&lt;=VLOOKUP(AG198,'ELA Reading Logic'!$A$22:$B$48,2,FALSE),VLOOKUP(AG198,'ELA Reading Logic'!$A$22:$B$48,2,FALSE),IF(VLOOKUP(AF198,'ELA Reading Logic'!$A$22:$B$48,2,FALSE)&gt;=VLOOKUP(AH198,'ELA Reading Logic'!$A$22:$B$48,2,FALSE),VLOOKUP(AH198,'ELA Reading Logic'!$A$22:$B$48,2,FALSE),"No Score")))),"No Value"))</f>
        <v>No Value</v>
      </c>
      <c r="AJ198" s="96" t="str">
        <f>IFERROR(VLOOKUP(AF198,'ELA Reading Logic'!$A$22:$B$48,2,FALSE)-VLOOKUP($F198,'ELA Reading Logic'!$A$22:$B$48,2,FALSE),"No Value")</f>
        <v>No Value</v>
      </c>
      <c r="AK198" s="92"/>
      <c r="AL198" s="96" t="str">
        <f>IFERROR(IF($E198="Yes","IPP",VLOOKUP($J198,'ELA Reading Logic'!$A$3:$K$9,VLOOKUP(AK$1,'ELA Reading Logic'!$J$22:$K$31,2,FALSE),FALSE)),"Set Grade")</f>
        <v>Set Grade</v>
      </c>
      <c r="AM198" s="96" t="str">
        <f>IFERROR(IF($E198="Yes","IPP",VLOOKUP($J198,'ELA Reading Logic'!$A$13:$K$19,VLOOKUP(AK$1,'ELA Reading Logic'!$J$22:$K$31,2,FALSE),FALSE)),"Set Grade")</f>
        <v>Set Grade</v>
      </c>
      <c r="AN198" s="96" t="str">
        <f>IF($E198="Yes","IPP",IFERROR(IF(AND(AK198&gt;AL198,AK198&lt;AM198),"0",(VLOOKUP(AK198,'ELA Reading Logic'!$A$22:$B$48,2,FALSE))-(IF(VLOOKUP(AK198,'ELA Reading Logic'!$A$22:$B$48,2,FALSE)&lt;=VLOOKUP(AL198,'ELA Reading Logic'!$A$22:$B$48,2,FALSE),VLOOKUP(AL198,'ELA Reading Logic'!$A$22:$B$48,2,FALSE),IF(VLOOKUP(AK198,'ELA Reading Logic'!$A$22:$B$48,2,FALSE)&gt;=VLOOKUP(AM198,'ELA Reading Logic'!$A$22:$B$48,2,FALSE),VLOOKUP(AM198,'ELA Reading Logic'!$A$22:$B$48,2,FALSE),"No Score")))),"No Value"))</f>
        <v>No Value</v>
      </c>
      <c r="AO198" s="96" t="str">
        <f>IFERROR(VLOOKUP(AK198,'ELA Reading Logic'!$A$22:$B$48,2,FALSE)-VLOOKUP($F198,'ELA Reading Logic'!$A$22:$B$48,2,FALSE),"No Value")</f>
        <v>No Value</v>
      </c>
      <c r="AP198" s="92"/>
      <c r="AQ198" s="96" t="str">
        <f>IFERROR(IF($E198="Yes","IPP",VLOOKUP($J198,'ELA Reading Logic'!$A$3:$K$9,VLOOKUP(AP$1,'ELA Reading Logic'!$J$22:$K$31,2,FALSE),FALSE)),"Set Grade")</f>
        <v>Set Grade</v>
      </c>
      <c r="AR198" s="96" t="str">
        <f>IFERROR(IF($E198="Yes","IPP",VLOOKUP($J198,'ELA Reading Logic'!$A$13:$K$19,VLOOKUP(AP$1,'ELA Reading Logic'!$J$22:$K$31,2,FALSE),FALSE)),"Set Grade")</f>
        <v>Set Grade</v>
      </c>
      <c r="AS198" s="96" t="str">
        <f>IF($E198="Yes","IPP",IFERROR(IF(AND(AP198&gt;AQ198,AP198&lt;AR198),"0",(VLOOKUP(AP198,'ELA Reading Logic'!$A$22:$B$48,2,FALSE))-(IF(VLOOKUP(AP198,'ELA Reading Logic'!$A$22:$B$48,2,FALSE)&lt;=VLOOKUP(AQ198,'ELA Reading Logic'!$A$22:$B$48,2,FALSE),VLOOKUP(AQ198,'ELA Reading Logic'!$A$22:$B$48,2,FALSE),IF(VLOOKUP(AP198,'ELA Reading Logic'!$A$22:$B$48,2,FALSE)&gt;=VLOOKUP(AR198,'ELA Reading Logic'!$A$22:$B$48,2,FALSE),VLOOKUP(AR198,'ELA Reading Logic'!$A$22:$B$48,2,FALSE),"No Score")))),"No Value"))</f>
        <v>No Value</v>
      </c>
      <c r="AT198" s="96" t="str">
        <f>IFERROR(VLOOKUP(AP198,'ELA Reading Logic'!$A$22:$B$48,2,FALSE)-VLOOKUP($F198,'ELA Reading Logic'!$A$22:$B$48,2,FALSE),"No Value")</f>
        <v>No Value</v>
      </c>
    </row>
    <row r="199" spans="1:46" ht="22.5" customHeight="1" x14ac:dyDescent="0.25">
      <c r="A199" s="174"/>
      <c r="B199" s="174"/>
      <c r="C199" s="174"/>
      <c r="D199" s="174"/>
      <c r="E199" s="175"/>
      <c r="F199" s="175"/>
      <c r="G199" s="177" t="str">
        <f>IFERROR(IF($E199="Yes","IPP",VLOOKUP($J199,'ELA Reading Logic'!$A$3:$K$9,VLOOKUP("September",'ELA Reading Logic'!$J$22:$K$31,2,FALSE),FALSE)),"Set Grade")</f>
        <v>Set Grade</v>
      </c>
      <c r="H199" s="177" t="str">
        <f>IFERROR(IF($E199="Yes","IPP",VLOOKUP($J199,'ELA Reading Logic'!$A$13:$K$19,VLOOKUP("September",'ELA Reading Logic'!$J$22:$K$31,2,FALSE),FALSE)),"Set Grade")</f>
        <v>Set Grade</v>
      </c>
      <c r="I199" s="96" t="str">
        <f>IF($E199="Yes","IPP",IFERROR(IF(AND(F199&gt;G199,F199&lt;H199),"0",(VLOOKUP(F199,'ELA Reading Logic'!$A$22:$B$48,2,FALSE))-(IF(VLOOKUP(F199,'ELA Reading Logic'!$A$22:$B$48,2,FALSE)&lt;=VLOOKUP(G199,'ELA Reading Logic'!$A$22:$B$48,2,FALSE),VLOOKUP(G199,'ELA Reading Logic'!$A$22:$B$48,2,FALSE),IF(VLOOKUP(F199,'ELA Reading Logic'!$A$22:$B$48,2,FALSE)&gt;=VLOOKUP(H199,'ELA Reading Logic'!$A$22:$B$48,2,FALSE),VLOOKUP(H199,'ELA Reading Logic'!$A$22:$B$48,2,FALSE),"No Score")))),"No Value"))</f>
        <v>No Value</v>
      </c>
      <c r="J199" s="178"/>
      <c r="K199" s="96"/>
      <c r="L199" s="96"/>
      <c r="M199" s="96"/>
      <c r="N199" s="96"/>
      <c r="O199" s="96"/>
      <c r="P199" s="105"/>
      <c r="Q199" s="92"/>
      <c r="R199" s="96" t="str">
        <f>IFERROR(IF($E199="Yes","IPP",VLOOKUP($J199,'ELA Reading Logic'!$A$3:$K$9,VLOOKUP(Q$1,'ELA Reading Logic'!$J$22:$K$31,2,FALSE),FALSE)),"Set Grade")</f>
        <v>Set Grade</v>
      </c>
      <c r="S199" s="96" t="str">
        <f>IFERROR(IF($E199="Yes","IPP",VLOOKUP($J199,'ELA Reading Logic'!$A$13:$K$19,VLOOKUP(Q$1,'ELA Reading Logic'!$J$22:$K$31,2,FALSE),FALSE)),"Set Grade")</f>
        <v>Set Grade</v>
      </c>
      <c r="T199" s="96" t="str">
        <f>IF($E199="Yes","IPP",IFERROR(IF(AND(Q199&gt;R199,Q199&lt;S199),"0",(VLOOKUP(Q199,'ELA Reading Logic'!$A$22:$B$48,2,FALSE))-(IF(VLOOKUP(Q199,'ELA Reading Logic'!$A$22:$B$48,2,FALSE)&lt;=VLOOKUP(R199,'ELA Reading Logic'!$A$22:$B$48,2,FALSE),VLOOKUP(R199,'ELA Reading Logic'!$A$22:$B$48,2,FALSE),IF(VLOOKUP(Q199,'ELA Reading Logic'!$A$22:$B$48,2,FALSE)&gt;=VLOOKUP(S199,'ELA Reading Logic'!$A$22:$B$48,2,FALSE),VLOOKUP(S199,'ELA Reading Logic'!$A$22:$B$48,2,FALSE),"No Score")))),"No Value"))</f>
        <v>No Value</v>
      </c>
      <c r="U199" s="96" t="str">
        <f>IFERROR(VLOOKUP(Q199,'ELA Reading Logic'!$A$22:$B$48,2,FALSE)-VLOOKUP($F199,'ELA Reading Logic'!$A$22:$B$48,2,FALSE),"No Value")</f>
        <v>No Value</v>
      </c>
      <c r="V199" s="92"/>
      <c r="W199" s="96" t="str">
        <f>IFERROR(IF($E199="Yes","IPP",VLOOKUP($J199,'ELA Reading Logic'!$A$3:$K$9,VLOOKUP(V$1,'ELA Reading Logic'!$J$22:$K$31,2,FALSE),FALSE)),"Set Grade")</f>
        <v>Set Grade</v>
      </c>
      <c r="X199" s="96" t="str">
        <f>IFERROR(IF($E199="Yes","IPP",VLOOKUP($J199,'ELA Reading Logic'!$A$13:$K$19,VLOOKUP(V$1,'ELA Reading Logic'!$J$22:$K$31,2,FALSE),FALSE)),"Set Grade")</f>
        <v>Set Grade</v>
      </c>
      <c r="Y199" s="96" t="str">
        <f>IF($E199="Yes","IPP",IFERROR(IF(AND(V199&gt;W199,V199&lt;X199),"0",(VLOOKUP(V199,'ELA Reading Logic'!$A$22:$B$48,2,FALSE))-(IF(VLOOKUP(V199,'ELA Reading Logic'!$A$22:$B$48,2,FALSE)&lt;=VLOOKUP(W199,'ELA Reading Logic'!$A$22:$B$48,2,FALSE),VLOOKUP(W199,'ELA Reading Logic'!$A$22:$B$48,2,FALSE),IF(VLOOKUP(V199,'ELA Reading Logic'!$A$22:$B$48,2,FALSE)&gt;=VLOOKUP(X199,'ELA Reading Logic'!$A$22:$B$48,2,FALSE),VLOOKUP(X199,'ELA Reading Logic'!$A$22:$B$48,2,FALSE),"No Score")))),"No Value"))</f>
        <v>No Value</v>
      </c>
      <c r="Z199" s="96" t="str">
        <f>IFERROR(VLOOKUP(V199,'ELA Reading Logic'!$A$22:$B$48,2,FALSE)-VLOOKUP($F199,'ELA Reading Logic'!$A$22:$B$48,2,FALSE),"No Value")</f>
        <v>No Value</v>
      </c>
      <c r="AA199" s="92"/>
      <c r="AB199" s="96" t="str">
        <f>IFERROR(IF($E199="Yes","IPP",VLOOKUP($J199,'ELA Reading Logic'!$A$3:$K$9,VLOOKUP(AA$1,'ELA Reading Logic'!$J$22:$K$31,2,FALSE),FALSE)),"Set Grade")</f>
        <v>Set Grade</v>
      </c>
      <c r="AC199" s="96" t="str">
        <f>IFERROR(IF($E199="Yes","IPP",VLOOKUP($J199,'ELA Reading Logic'!$A$13:$K$19,VLOOKUP(AA$1,'ELA Reading Logic'!$J$22:$K$31,2,FALSE),FALSE)),"Set Grade")</f>
        <v>Set Grade</v>
      </c>
      <c r="AD199" s="96" t="str">
        <f>IF($E199="Yes","IPP",IFERROR(IF(AND(AA199&gt;AB199,AA199&lt;AC199),"0",(VLOOKUP(AA199,'ELA Reading Logic'!$A$22:$B$48,2,FALSE))-(IF(VLOOKUP(AA199,'ELA Reading Logic'!$A$22:$B$48,2,FALSE)&lt;=VLOOKUP(AB199,'ELA Reading Logic'!$A$22:$B$48,2,FALSE),VLOOKUP(AB199,'ELA Reading Logic'!$A$22:$B$48,2,FALSE),IF(VLOOKUP(AA199,'ELA Reading Logic'!$A$22:$B$48,2,FALSE)&gt;=VLOOKUP(AC199,'ELA Reading Logic'!$A$22:$B$48,2,FALSE),VLOOKUP(AC199,'ELA Reading Logic'!$A$22:$B$48,2,FALSE),"No Score")))),"No Value"))</f>
        <v>No Value</v>
      </c>
      <c r="AE199" s="96" t="str">
        <f>IFERROR(VLOOKUP(AA199,'ELA Reading Logic'!$A$22:$B$48,2,FALSE)-VLOOKUP($F199,'ELA Reading Logic'!$A$22:$B$48,2,FALSE),"No Value")</f>
        <v>No Value</v>
      </c>
      <c r="AF199" s="92"/>
      <c r="AG199" s="96" t="str">
        <f>IFERROR(IF($E199="Yes","IPP",VLOOKUP($J199,'ELA Reading Logic'!$A$3:$K$9,VLOOKUP(AF$1,'ELA Reading Logic'!$J$22:$K$31,2,FALSE),FALSE)),"Set Grade")</f>
        <v>Set Grade</v>
      </c>
      <c r="AH199" s="96" t="str">
        <f>IFERROR(IF($E199="Yes","IPP",VLOOKUP($J199,'ELA Reading Logic'!$A$13:$K$19,VLOOKUP(AF$1,'ELA Reading Logic'!$J$22:$K$31,2,FALSE),FALSE)),"Set Grade")</f>
        <v>Set Grade</v>
      </c>
      <c r="AI199" s="96" t="str">
        <f>IF($E199="Yes","IPP",IFERROR(IF(AND(AF199&gt;AG199,AF199&lt;AH199),"0",(VLOOKUP(AF199,'ELA Reading Logic'!$A$22:$B$48,2,FALSE))-(IF(VLOOKUP(AF199,'ELA Reading Logic'!$A$22:$B$48,2,FALSE)&lt;=VLOOKUP(AG199,'ELA Reading Logic'!$A$22:$B$48,2,FALSE),VLOOKUP(AG199,'ELA Reading Logic'!$A$22:$B$48,2,FALSE),IF(VLOOKUP(AF199,'ELA Reading Logic'!$A$22:$B$48,2,FALSE)&gt;=VLOOKUP(AH199,'ELA Reading Logic'!$A$22:$B$48,2,FALSE),VLOOKUP(AH199,'ELA Reading Logic'!$A$22:$B$48,2,FALSE),"No Score")))),"No Value"))</f>
        <v>No Value</v>
      </c>
      <c r="AJ199" s="96" t="str">
        <f>IFERROR(VLOOKUP(AF199,'ELA Reading Logic'!$A$22:$B$48,2,FALSE)-VLOOKUP($F199,'ELA Reading Logic'!$A$22:$B$48,2,FALSE),"No Value")</f>
        <v>No Value</v>
      </c>
      <c r="AK199" s="92"/>
      <c r="AL199" s="96" t="str">
        <f>IFERROR(IF($E199="Yes","IPP",VLOOKUP($J199,'ELA Reading Logic'!$A$3:$K$9,VLOOKUP(AK$1,'ELA Reading Logic'!$J$22:$K$31,2,FALSE),FALSE)),"Set Grade")</f>
        <v>Set Grade</v>
      </c>
      <c r="AM199" s="96" t="str">
        <f>IFERROR(IF($E199="Yes","IPP",VLOOKUP($J199,'ELA Reading Logic'!$A$13:$K$19,VLOOKUP(AK$1,'ELA Reading Logic'!$J$22:$K$31,2,FALSE),FALSE)),"Set Grade")</f>
        <v>Set Grade</v>
      </c>
      <c r="AN199" s="96" t="str">
        <f>IF($E199="Yes","IPP",IFERROR(IF(AND(AK199&gt;AL199,AK199&lt;AM199),"0",(VLOOKUP(AK199,'ELA Reading Logic'!$A$22:$B$48,2,FALSE))-(IF(VLOOKUP(AK199,'ELA Reading Logic'!$A$22:$B$48,2,FALSE)&lt;=VLOOKUP(AL199,'ELA Reading Logic'!$A$22:$B$48,2,FALSE),VLOOKUP(AL199,'ELA Reading Logic'!$A$22:$B$48,2,FALSE),IF(VLOOKUP(AK199,'ELA Reading Logic'!$A$22:$B$48,2,FALSE)&gt;=VLOOKUP(AM199,'ELA Reading Logic'!$A$22:$B$48,2,FALSE),VLOOKUP(AM199,'ELA Reading Logic'!$A$22:$B$48,2,FALSE),"No Score")))),"No Value"))</f>
        <v>No Value</v>
      </c>
      <c r="AO199" s="96" t="str">
        <f>IFERROR(VLOOKUP(AK199,'ELA Reading Logic'!$A$22:$B$48,2,FALSE)-VLOOKUP($F199,'ELA Reading Logic'!$A$22:$B$48,2,FALSE),"No Value")</f>
        <v>No Value</v>
      </c>
      <c r="AP199" s="92"/>
      <c r="AQ199" s="96" t="str">
        <f>IFERROR(IF($E199="Yes","IPP",VLOOKUP($J199,'ELA Reading Logic'!$A$3:$K$9,VLOOKUP(AP$1,'ELA Reading Logic'!$J$22:$K$31,2,FALSE),FALSE)),"Set Grade")</f>
        <v>Set Grade</v>
      </c>
      <c r="AR199" s="96" t="str">
        <f>IFERROR(IF($E199="Yes","IPP",VLOOKUP($J199,'ELA Reading Logic'!$A$13:$K$19,VLOOKUP(AP$1,'ELA Reading Logic'!$J$22:$K$31,2,FALSE),FALSE)),"Set Grade")</f>
        <v>Set Grade</v>
      </c>
      <c r="AS199" s="96" t="str">
        <f>IF($E199="Yes","IPP",IFERROR(IF(AND(AP199&gt;AQ199,AP199&lt;AR199),"0",(VLOOKUP(AP199,'ELA Reading Logic'!$A$22:$B$48,2,FALSE))-(IF(VLOOKUP(AP199,'ELA Reading Logic'!$A$22:$B$48,2,FALSE)&lt;=VLOOKUP(AQ199,'ELA Reading Logic'!$A$22:$B$48,2,FALSE),VLOOKUP(AQ199,'ELA Reading Logic'!$A$22:$B$48,2,FALSE),IF(VLOOKUP(AP199,'ELA Reading Logic'!$A$22:$B$48,2,FALSE)&gt;=VLOOKUP(AR199,'ELA Reading Logic'!$A$22:$B$48,2,FALSE),VLOOKUP(AR199,'ELA Reading Logic'!$A$22:$B$48,2,FALSE),"No Score")))),"No Value"))</f>
        <v>No Value</v>
      </c>
      <c r="AT199" s="96" t="str">
        <f>IFERROR(VLOOKUP(AP199,'ELA Reading Logic'!$A$22:$B$48,2,FALSE)-VLOOKUP($F199,'ELA Reading Logic'!$A$22:$B$48,2,FALSE),"No Value")</f>
        <v>No Value</v>
      </c>
    </row>
    <row r="200" spans="1:46" ht="22.5" customHeight="1" x14ac:dyDescent="0.25">
      <c r="A200" s="176"/>
      <c r="B200" s="176"/>
      <c r="C200" s="176"/>
      <c r="D200" s="176"/>
      <c r="E200" s="175"/>
      <c r="F200" s="175"/>
      <c r="G200" s="177" t="str">
        <f>IFERROR(IF($E200="Yes","IPP",VLOOKUP($J200,'ELA Reading Logic'!$A$3:$K$9,VLOOKUP("September",'ELA Reading Logic'!$J$22:$K$31,2,FALSE),FALSE)),"Set Grade")</f>
        <v>Set Grade</v>
      </c>
      <c r="H200" s="177" t="str">
        <f>IFERROR(IF($E200="Yes","IPP",VLOOKUP($J200,'ELA Reading Logic'!$A$13:$K$19,VLOOKUP("September",'ELA Reading Logic'!$J$22:$K$31,2,FALSE),FALSE)),"Set Grade")</f>
        <v>Set Grade</v>
      </c>
      <c r="I200" s="96" t="str">
        <f>IF($E200="Yes","IPP",IFERROR(IF(AND(F200&gt;G200,F200&lt;H200),"0",(VLOOKUP(F200,'ELA Reading Logic'!$A$22:$B$48,2,FALSE))-(IF(VLOOKUP(F200,'ELA Reading Logic'!$A$22:$B$48,2,FALSE)&lt;=VLOOKUP(G200,'ELA Reading Logic'!$A$22:$B$48,2,FALSE),VLOOKUP(G200,'ELA Reading Logic'!$A$22:$B$48,2,FALSE),IF(VLOOKUP(F200,'ELA Reading Logic'!$A$22:$B$48,2,FALSE)&gt;=VLOOKUP(H200,'ELA Reading Logic'!$A$22:$B$48,2,FALSE),VLOOKUP(H200,'ELA Reading Logic'!$A$22:$B$48,2,FALSE),"No Score")))),"No Value"))</f>
        <v>No Value</v>
      </c>
      <c r="J200" s="178"/>
      <c r="K200" s="96"/>
      <c r="L200" s="96"/>
      <c r="M200" s="96"/>
      <c r="N200" s="96"/>
      <c r="O200" s="96"/>
      <c r="P200" s="105"/>
      <c r="Q200" s="92"/>
      <c r="R200" s="96" t="str">
        <f>IFERROR(IF($E200="Yes","IPP",VLOOKUP($J200,'ELA Reading Logic'!$A$3:$K$9,VLOOKUP(Q$1,'ELA Reading Logic'!$J$22:$K$31,2,FALSE),FALSE)),"Set Grade")</f>
        <v>Set Grade</v>
      </c>
      <c r="S200" s="96" t="str">
        <f>IFERROR(IF($E200="Yes","IPP",VLOOKUP($J200,'ELA Reading Logic'!$A$13:$K$19,VLOOKUP(Q$1,'ELA Reading Logic'!$J$22:$K$31,2,FALSE),FALSE)),"Set Grade")</f>
        <v>Set Grade</v>
      </c>
      <c r="T200" s="96" t="str">
        <f>IF($E200="Yes","IPP",IFERROR(IF(AND(Q200&gt;R200,Q200&lt;S200),"0",(VLOOKUP(Q200,'ELA Reading Logic'!$A$22:$B$48,2,FALSE))-(IF(VLOOKUP(Q200,'ELA Reading Logic'!$A$22:$B$48,2,FALSE)&lt;=VLOOKUP(R200,'ELA Reading Logic'!$A$22:$B$48,2,FALSE),VLOOKUP(R200,'ELA Reading Logic'!$A$22:$B$48,2,FALSE),IF(VLOOKUP(Q200,'ELA Reading Logic'!$A$22:$B$48,2,FALSE)&gt;=VLOOKUP(S200,'ELA Reading Logic'!$A$22:$B$48,2,FALSE),VLOOKUP(S200,'ELA Reading Logic'!$A$22:$B$48,2,FALSE),"No Score")))),"No Value"))</f>
        <v>No Value</v>
      </c>
      <c r="U200" s="96" t="str">
        <f>IFERROR(VLOOKUP(Q200,'ELA Reading Logic'!$A$22:$B$48,2,FALSE)-VLOOKUP($F200,'ELA Reading Logic'!$A$22:$B$48,2,FALSE),"No Value")</f>
        <v>No Value</v>
      </c>
      <c r="V200" s="92"/>
      <c r="W200" s="96" t="str">
        <f>IFERROR(IF($E200="Yes","IPP",VLOOKUP($J200,'ELA Reading Logic'!$A$3:$K$9,VLOOKUP(V$1,'ELA Reading Logic'!$J$22:$K$31,2,FALSE),FALSE)),"Set Grade")</f>
        <v>Set Grade</v>
      </c>
      <c r="X200" s="96" t="str">
        <f>IFERROR(IF($E200="Yes","IPP",VLOOKUP($J200,'ELA Reading Logic'!$A$13:$K$19,VLOOKUP(V$1,'ELA Reading Logic'!$J$22:$K$31,2,FALSE),FALSE)),"Set Grade")</f>
        <v>Set Grade</v>
      </c>
      <c r="Y200" s="96" t="str">
        <f>IF($E200="Yes","IPP",IFERROR(IF(AND(V200&gt;W200,V200&lt;X200),"0",(VLOOKUP(V200,'ELA Reading Logic'!$A$22:$B$48,2,FALSE))-(IF(VLOOKUP(V200,'ELA Reading Logic'!$A$22:$B$48,2,FALSE)&lt;=VLOOKUP(W200,'ELA Reading Logic'!$A$22:$B$48,2,FALSE),VLOOKUP(W200,'ELA Reading Logic'!$A$22:$B$48,2,FALSE),IF(VLOOKUP(V200,'ELA Reading Logic'!$A$22:$B$48,2,FALSE)&gt;=VLOOKUP(X200,'ELA Reading Logic'!$A$22:$B$48,2,FALSE),VLOOKUP(X200,'ELA Reading Logic'!$A$22:$B$48,2,FALSE),"No Score")))),"No Value"))</f>
        <v>No Value</v>
      </c>
      <c r="Z200" s="96" t="str">
        <f>IFERROR(VLOOKUP(V200,'ELA Reading Logic'!$A$22:$B$48,2,FALSE)-VLOOKUP($F200,'ELA Reading Logic'!$A$22:$B$48,2,FALSE),"No Value")</f>
        <v>No Value</v>
      </c>
      <c r="AA200" s="92"/>
      <c r="AB200" s="96" t="str">
        <f>IFERROR(IF($E200="Yes","IPP",VLOOKUP($J200,'ELA Reading Logic'!$A$3:$K$9,VLOOKUP(AA$1,'ELA Reading Logic'!$J$22:$K$31,2,FALSE),FALSE)),"Set Grade")</f>
        <v>Set Grade</v>
      </c>
      <c r="AC200" s="96" t="str">
        <f>IFERROR(IF($E200="Yes","IPP",VLOOKUP($J200,'ELA Reading Logic'!$A$13:$K$19,VLOOKUP(AA$1,'ELA Reading Logic'!$J$22:$K$31,2,FALSE),FALSE)),"Set Grade")</f>
        <v>Set Grade</v>
      </c>
      <c r="AD200" s="96" t="str">
        <f>IF($E200="Yes","IPP",IFERROR(IF(AND(AA200&gt;AB200,AA200&lt;AC200),"0",(VLOOKUP(AA200,'ELA Reading Logic'!$A$22:$B$48,2,FALSE))-(IF(VLOOKUP(AA200,'ELA Reading Logic'!$A$22:$B$48,2,FALSE)&lt;=VLOOKUP(AB200,'ELA Reading Logic'!$A$22:$B$48,2,FALSE),VLOOKUP(AB200,'ELA Reading Logic'!$A$22:$B$48,2,FALSE),IF(VLOOKUP(AA200,'ELA Reading Logic'!$A$22:$B$48,2,FALSE)&gt;=VLOOKUP(AC200,'ELA Reading Logic'!$A$22:$B$48,2,FALSE),VLOOKUP(AC200,'ELA Reading Logic'!$A$22:$B$48,2,FALSE),"No Score")))),"No Value"))</f>
        <v>No Value</v>
      </c>
      <c r="AE200" s="96" t="str">
        <f>IFERROR(VLOOKUP(AA200,'ELA Reading Logic'!$A$22:$B$48,2,FALSE)-VLOOKUP($F200,'ELA Reading Logic'!$A$22:$B$48,2,FALSE),"No Value")</f>
        <v>No Value</v>
      </c>
      <c r="AF200" s="92"/>
      <c r="AG200" s="96" t="str">
        <f>IFERROR(IF($E200="Yes","IPP",VLOOKUP($J200,'ELA Reading Logic'!$A$3:$K$9,VLOOKUP(AF$1,'ELA Reading Logic'!$J$22:$K$31,2,FALSE),FALSE)),"Set Grade")</f>
        <v>Set Grade</v>
      </c>
      <c r="AH200" s="96" t="str">
        <f>IFERROR(IF($E200="Yes","IPP",VLOOKUP($J200,'ELA Reading Logic'!$A$13:$K$19,VLOOKUP(AF$1,'ELA Reading Logic'!$J$22:$K$31,2,FALSE),FALSE)),"Set Grade")</f>
        <v>Set Grade</v>
      </c>
      <c r="AI200" s="96" t="str">
        <f>IF($E200="Yes","IPP",IFERROR(IF(AND(AF200&gt;AG200,AF200&lt;AH200),"0",(VLOOKUP(AF200,'ELA Reading Logic'!$A$22:$B$48,2,FALSE))-(IF(VLOOKUP(AF200,'ELA Reading Logic'!$A$22:$B$48,2,FALSE)&lt;=VLOOKUP(AG200,'ELA Reading Logic'!$A$22:$B$48,2,FALSE),VLOOKUP(AG200,'ELA Reading Logic'!$A$22:$B$48,2,FALSE),IF(VLOOKUP(AF200,'ELA Reading Logic'!$A$22:$B$48,2,FALSE)&gt;=VLOOKUP(AH200,'ELA Reading Logic'!$A$22:$B$48,2,FALSE),VLOOKUP(AH200,'ELA Reading Logic'!$A$22:$B$48,2,FALSE),"No Score")))),"No Value"))</f>
        <v>No Value</v>
      </c>
      <c r="AJ200" s="96" t="str">
        <f>IFERROR(VLOOKUP(AF200,'ELA Reading Logic'!$A$22:$B$48,2,FALSE)-VLOOKUP($F200,'ELA Reading Logic'!$A$22:$B$48,2,FALSE),"No Value")</f>
        <v>No Value</v>
      </c>
      <c r="AK200" s="92"/>
      <c r="AL200" s="96" t="str">
        <f>IFERROR(IF($E200="Yes","IPP",VLOOKUP($J200,'ELA Reading Logic'!$A$3:$K$9,VLOOKUP(AK$1,'ELA Reading Logic'!$J$22:$K$31,2,FALSE),FALSE)),"Set Grade")</f>
        <v>Set Grade</v>
      </c>
      <c r="AM200" s="96" t="str">
        <f>IFERROR(IF($E200="Yes","IPP",VLOOKUP($J200,'ELA Reading Logic'!$A$13:$K$19,VLOOKUP(AK$1,'ELA Reading Logic'!$J$22:$K$31,2,FALSE),FALSE)),"Set Grade")</f>
        <v>Set Grade</v>
      </c>
      <c r="AN200" s="96" t="str">
        <f>IF($E200="Yes","IPP",IFERROR(IF(AND(AK200&gt;AL200,AK200&lt;AM200),"0",(VLOOKUP(AK200,'ELA Reading Logic'!$A$22:$B$48,2,FALSE))-(IF(VLOOKUP(AK200,'ELA Reading Logic'!$A$22:$B$48,2,FALSE)&lt;=VLOOKUP(AL200,'ELA Reading Logic'!$A$22:$B$48,2,FALSE),VLOOKUP(AL200,'ELA Reading Logic'!$A$22:$B$48,2,FALSE),IF(VLOOKUP(AK200,'ELA Reading Logic'!$A$22:$B$48,2,FALSE)&gt;=VLOOKUP(AM200,'ELA Reading Logic'!$A$22:$B$48,2,FALSE),VLOOKUP(AM200,'ELA Reading Logic'!$A$22:$B$48,2,FALSE),"No Score")))),"No Value"))</f>
        <v>No Value</v>
      </c>
      <c r="AO200" s="96" t="str">
        <f>IFERROR(VLOOKUP(AK200,'ELA Reading Logic'!$A$22:$B$48,2,FALSE)-VLOOKUP($F200,'ELA Reading Logic'!$A$22:$B$48,2,FALSE),"No Value")</f>
        <v>No Value</v>
      </c>
      <c r="AP200" s="92"/>
      <c r="AQ200" s="96" t="str">
        <f>IFERROR(IF($E200="Yes","IPP",VLOOKUP($J200,'ELA Reading Logic'!$A$3:$K$9,VLOOKUP(AP$1,'ELA Reading Logic'!$J$22:$K$31,2,FALSE),FALSE)),"Set Grade")</f>
        <v>Set Grade</v>
      </c>
      <c r="AR200" s="96" t="str">
        <f>IFERROR(IF($E200="Yes","IPP",VLOOKUP($J200,'ELA Reading Logic'!$A$13:$K$19,VLOOKUP(AP$1,'ELA Reading Logic'!$J$22:$K$31,2,FALSE),FALSE)),"Set Grade")</f>
        <v>Set Grade</v>
      </c>
      <c r="AS200" s="96" t="str">
        <f>IF($E200="Yes","IPP",IFERROR(IF(AND(AP200&gt;AQ200,AP200&lt;AR200),"0",(VLOOKUP(AP200,'ELA Reading Logic'!$A$22:$B$48,2,FALSE))-(IF(VLOOKUP(AP200,'ELA Reading Logic'!$A$22:$B$48,2,FALSE)&lt;=VLOOKUP(AQ200,'ELA Reading Logic'!$A$22:$B$48,2,FALSE),VLOOKUP(AQ200,'ELA Reading Logic'!$A$22:$B$48,2,FALSE),IF(VLOOKUP(AP200,'ELA Reading Logic'!$A$22:$B$48,2,FALSE)&gt;=VLOOKUP(AR200,'ELA Reading Logic'!$A$22:$B$48,2,FALSE),VLOOKUP(AR200,'ELA Reading Logic'!$A$22:$B$48,2,FALSE),"No Score")))),"No Value"))</f>
        <v>No Value</v>
      </c>
      <c r="AT200" s="96" t="str">
        <f>IFERROR(VLOOKUP(AP200,'ELA Reading Logic'!$A$22:$B$48,2,FALSE)-VLOOKUP($F200,'ELA Reading Logic'!$A$22:$B$48,2,FALSE),"No Value")</f>
        <v>No Value</v>
      </c>
    </row>
    <row r="201" spans="1:46" ht="22.5" customHeight="1" x14ac:dyDescent="0.25">
      <c r="A201" s="174"/>
      <c r="B201" s="174"/>
      <c r="C201" s="174"/>
      <c r="D201" s="174"/>
      <c r="E201" s="175"/>
      <c r="F201" s="175"/>
      <c r="G201" s="177" t="str">
        <f>IFERROR(IF($E201="Yes","IPP",VLOOKUP($J201,'ELA Reading Logic'!$A$3:$K$9,VLOOKUP("September",'ELA Reading Logic'!$J$22:$K$31,2,FALSE),FALSE)),"Set Grade")</f>
        <v>Set Grade</v>
      </c>
      <c r="H201" s="177" t="str">
        <f>IFERROR(IF($E201="Yes","IPP",VLOOKUP($J201,'ELA Reading Logic'!$A$13:$K$19,VLOOKUP("September",'ELA Reading Logic'!$J$22:$K$31,2,FALSE),FALSE)),"Set Grade")</f>
        <v>Set Grade</v>
      </c>
      <c r="I201" s="96" t="str">
        <f>IF($E201="Yes","IPP",IFERROR(IF(AND(F201&gt;G201,F201&lt;H201),"0",(VLOOKUP(F201,'ELA Reading Logic'!$A$22:$B$48,2,FALSE))-(IF(VLOOKUP(F201,'ELA Reading Logic'!$A$22:$B$48,2,FALSE)&lt;=VLOOKUP(G201,'ELA Reading Logic'!$A$22:$B$48,2,FALSE),VLOOKUP(G201,'ELA Reading Logic'!$A$22:$B$48,2,FALSE),IF(VLOOKUP(F201,'ELA Reading Logic'!$A$22:$B$48,2,FALSE)&gt;=VLOOKUP(H201,'ELA Reading Logic'!$A$22:$B$48,2,FALSE),VLOOKUP(H201,'ELA Reading Logic'!$A$22:$B$48,2,FALSE),"No Score")))),"No Value"))</f>
        <v>No Value</v>
      </c>
      <c r="J201" s="178"/>
      <c r="K201" s="96"/>
      <c r="L201" s="96"/>
      <c r="M201" s="96"/>
      <c r="N201" s="96"/>
      <c r="O201" s="96"/>
      <c r="P201" s="105"/>
      <c r="Q201" s="92"/>
      <c r="R201" s="96" t="str">
        <f>IFERROR(IF($E201="Yes","IPP",VLOOKUP($J201,'ELA Reading Logic'!$A$3:$K$9,VLOOKUP(Q$1,'ELA Reading Logic'!$J$22:$K$31,2,FALSE),FALSE)),"Set Grade")</f>
        <v>Set Grade</v>
      </c>
      <c r="S201" s="96" t="str">
        <f>IFERROR(IF($E201="Yes","IPP",VLOOKUP($J201,'ELA Reading Logic'!$A$13:$K$19,VLOOKUP(Q$1,'ELA Reading Logic'!$J$22:$K$31,2,FALSE),FALSE)),"Set Grade")</f>
        <v>Set Grade</v>
      </c>
      <c r="T201" s="96" t="str">
        <f>IF($E201="Yes","IPP",IFERROR(IF(AND(Q201&gt;R201,Q201&lt;S201),"0",(VLOOKUP(Q201,'ELA Reading Logic'!$A$22:$B$48,2,FALSE))-(IF(VLOOKUP(Q201,'ELA Reading Logic'!$A$22:$B$48,2,FALSE)&lt;=VLOOKUP(R201,'ELA Reading Logic'!$A$22:$B$48,2,FALSE),VLOOKUP(R201,'ELA Reading Logic'!$A$22:$B$48,2,FALSE),IF(VLOOKUP(Q201,'ELA Reading Logic'!$A$22:$B$48,2,FALSE)&gt;=VLOOKUP(S201,'ELA Reading Logic'!$A$22:$B$48,2,FALSE),VLOOKUP(S201,'ELA Reading Logic'!$A$22:$B$48,2,FALSE),"No Score")))),"No Value"))</f>
        <v>No Value</v>
      </c>
      <c r="U201" s="96" t="str">
        <f>IFERROR(VLOOKUP(Q201,'ELA Reading Logic'!$A$22:$B$48,2,FALSE)-VLOOKUP($F201,'ELA Reading Logic'!$A$22:$B$48,2,FALSE),"No Value")</f>
        <v>No Value</v>
      </c>
      <c r="V201" s="92"/>
      <c r="W201" s="96" t="str">
        <f>IFERROR(IF($E201="Yes","IPP",VLOOKUP($J201,'ELA Reading Logic'!$A$3:$K$9,VLOOKUP(V$1,'ELA Reading Logic'!$J$22:$K$31,2,FALSE),FALSE)),"Set Grade")</f>
        <v>Set Grade</v>
      </c>
      <c r="X201" s="96" t="str">
        <f>IFERROR(IF($E201="Yes","IPP",VLOOKUP($J201,'ELA Reading Logic'!$A$13:$K$19,VLOOKUP(V$1,'ELA Reading Logic'!$J$22:$K$31,2,FALSE),FALSE)),"Set Grade")</f>
        <v>Set Grade</v>
      </c>
      <c r="Y201" s="96" t="str">
        <f>IF($E201="Yes","IPP",IFERROR(IF(AND(V201&gt;W201,V201&lt;X201),"0",(VLOOKUP(V201,'ELA Reading Logic'!$A$22:$B$48,2,FALSE))-(IF(VLOOKUP(V201,'ELA Reading Logic'!$A$22:$B$48,2,FALSE)&lt;=VLOOKUP(W201,'ELA Reading Logic'!$A$22:$B$48,2,FALSE),VLOOKUP(W201,'ELA Reading Logic'!$A$22:$B$48,2,FALSE),IF(VLOOKUP(V201,'ELA Reading Logic'!$A$22:$B$48,2,FALSE)&gt;=VLOOKUP(X201,'ELA Reading Logic'!$A$22:$B$48,2,FALSE),VLOOKUP(X201,'ELA Reading Logic'!$A$22:$B$48,2,FALSE),"No Score")))),"No Value"))</f>
        <v>No Value</v>
      </c>
      <c r="Z201" s="96" t="str">
        <f>IFERROR(VLOOKUP(V201,'ELA Reading Logic'!$A$22:$B$48,2,FALSE)-VLOOKUP($F201,'ELA Reading Logic'!$A$22:$B$48,2,FALSE),"No Value")</f>
        <v>No Value</v>
      </c>
      <c r="AA201" s="92"/>
      <c r="AB201" s="96" t="str">
        <f>IFERROR(IF($E201="Yes","IPP",VLOOKUP($J201,'ELA Reading Logic'!$A$3:$K$9,VLOOKUP(AA$1,'ELA Reading Logic'!$J$22:$K$31,2,FALSE),FALSE)),"Set Grade")</f>
        <v>Set Grade</v>
      </c>
      <c r="AC201" s="96" t="str">
        <f>IFERROR(IF($E201="Yes","IPP",VLOOKUP($J201,'ELA Reading Logic'!$A$13:$K$19,VLOOKUP(AA$1,'ELA Reading Logic'!$J$22:$K$31,2,FALSE),FALSE)),"Set Grade")</f>
        <v>Set Grade</v>
      </c>
      <c r="AD201" s="96" t="str">
        <f>IF($E201="Yes","IPP",IFERROR(IF(AND(AA201&gt;AB201,AA201&lt;AC201),"0",(VLOOKUP(AA201,'ELA Reading Logic'!$A$22:$B$48,2,FALSE))-(IF(VLOOKUP(AA201,'ELA Reading Logic'!$A$22:$B$48,2,FALSE)&lt;=VLOOKUP(AB201,'ELA Reading Logic'!$A$22:$B$48,2,FALSE),VLOOKUP(AB201,'ELA Reading Logic'!$A$22:$B$48,2,FALSE),IF(VLOOKUP(AA201,'ELA Reading Logic'!$A$22:$B$48,2,FALSE)&gt;=VLOOKUP(AC201,'ELA Reading Logic'!$A$22:$B$48,2,FALSE),VLOOKUP(AC201,'ELA Reading Logic'!$A$22:$B$48,2,FALSE),"No Score")))),"No Value"))</f>
        <v>No Value</v>
      </c>
      <c r="AE201" s="96" t="str">
        <f>IFERROR(VLOOKUP(AA201,'ELA Reading Logic'!$A$22:$B$48,2,FALSE)-VLOOKUP($F201,'ELA Reading Logic'!$A$22:$B$48,2,FALSE),"No Value")</f>
        <v>No Value</v>
      </c>
      <c r="AF201" s="92"/>
      <c r="AG201" s="96" t="str">
        <f>IFERROR(IF($E201="Yes","IPP",VLOOKUP($J201,'ELA Reading Logic'!$A$3:$K$9,VLOOKUP(AF$1,'ELA Reading Logic'!$J$22:$K$31,2,FALSE),FALSE)),"Set Grade")</f>
        <v>Set Grade</v>
      </c>
      <c r="AH201" s="96" t="str">
        <f>IFERROR(IF($E201="Yes","IPP",VLOOKUP($J201,'ELA Reading Logic'!$A$13:$K$19,VLOOKUP(AF$1,'ELA Reading Logic'!$J$22:$K$31,2,FALSE),FALSE)),"Set Grade")</f>
        <v>Set Grade</v>
      </c>
      <c r="AI201" s="96" t="str">
        <f>IF($E201="Yes","IPP",IFERROR(IF(AND(AF201&gt;AG201,AF201&lt;AH201),"0",(VLOOKUP(AF201,'ELA Reading Logic'!$A$22:$B$48,2,FALSE))-(IF(VLOOKUP(AF201,'ELA Reading Logic'!$A$22:$B$48,2,FALSE)&lt;=VLOOKUP(AG201,'ELA Reading Logic'!$A$22:$B$48,2,FALSE),VLOOKUP(AG201,'ELA Reading Logic'!$A$22:$B$48,2,FALSE),IF(VLOOKUP(AF201,'ELA Reading Logic'!$A$22:$B$48,2,FALSE)&gt;=VLOOKUP(AH201,'ELA Reading Logic'!$A$22:$B$48,2,FALSE),VLOOKUP(AH201,'ELA Reading Logic'!$A$22:$B$48,2,FALSE),"No Score")))),"No Value"))</f>
        <v>No Value</v>
      </c>
      <c r="AJ201" s="96" t="str">
        <f>IFERROR(VLOOKUP(AF201,'ELA Reading Logic'!$A$22:$B$48,2,FALSE)-VLOOKUP($F201,'ELA Reading Logic'!$A$22:$B$48,2,FALSE),"No Value")</f>
        <v>No Value</v>
      </c>
      <c r="AK201" s="92"/>
      <c r="AL201" s="96" t="str">
        <f>IFERROR(IF($E201="Yes","IPP",VLOOKUP($J201,'ELA Reading Logic'!$A$3:$K$9,VLOOKUP(AK$1,'ELA Reading Logic'!$J$22:$K$31,2,FALSE),FALSE)),"Set Grade")</f>
        <v>Set Grade</v>
      </c>
      <c r="AM201" s="96" t="str">
        <f>IFERROR(IF($E201="Yes","IPP",VLOOKUP($J201,'ELA Reading Logic'!$A$13:$K$19,VLOOKUP(AK$1,'ELA Reading Logic'!$J$22:$K$31,2,FALSE),FALSE)),"Set Grade")</f>
        <v>Set Grade</v>
      </c>
      <c r="AN201" s="96" t="str">
        <f>IF($E201="Yes","IPP",IFERROR(IF(AND(AK201&gt;AL201,AK201&lt;AM201),"0",(VLOOKUP(AK201,'ELA Reading Logic'!$A$22:$B$48,2,FALSE))-(IF(VLOOKUP(AK201,'ELA Reading Logic'!$A$22:$B$48,2,FALSE)&lt;=VLOOKUP(AL201,'ELA Reading Logic'!$A$22:$B$48,2,FALSE),VLOOKUP(AL201,'ELA Reading Logic'!$A$22:$B$48,2,FALSE),IF(VLOOKUP(AK201,'ELA Reading Logic'!$A$22:$B$48,2,FALSE)&gt;=VLOOKUP(AM201,'ELA Reading Logic'!$A$22:$B$48,2,FALSE),VLOOKUP(AM201,'ELA Reading Logic'!$A$22:$B$48,2,FALSE),"No Score")))),"No Value"))</f>
        <v>No Value</v>
      </c>
      <c r="AO201" s="96" t="str">
        <f>IFERROR(VLOOKUP(AK201,'ELA Reading Logic'!$A$22:$B$48,2,FALSE)-VLOOKUP($F201,'ELA Reading Logic'!$A$22:$B$48,2,FALSE),"No Value")</f>
        <v>No Value</v>
      </c>
      <c r="AP201" s="92"/>
      <c r="AQ201" s="96" t="str">
        <f>IFERROR(IF($E201="Yes","IPP",VLOOKUP($J201,'ELA Reading Logic'!$A$3:$K$9,VLOOKUP(AP$1,'ELA Reading Logic'!$J$22:$K$31,2,FALSE),FALSE)),"Set Grade")</f>
        <v>Set Grade</v>
      </c>
      <c r="AR201" s="96" t="str">
        <f>IFERROR(IF($E201="Yes","IPP",VLOOKUP($J201,'ELA Reading Logic'!$A$13:$K$19,VLOOKUP(AP$1,'ELA Reading Logic'!$J$22:$K$31,2,FALSE),FALSE)),"Set Grade")</f>
        <v>Set Grade</v>
      </c>
      <c r="AS201" s="96" t="str">
        <f>IF($E201="Yes","IPP",IFERROR(IF(AND(AP201&gt;AQ201,AP201&lt;AR201),"0",(VLOOKUP(AP201,'ELA Reading Logic'!$A$22:$B$48,2,FALSE))-(IF(VLOOKUP(AP201,'ELA Reading Logic'!$A$22:$B$48,2,FALSE)&lt;=VLOOKUP(AQ201,'ELA Reading Logic'!$A$22:$B$48,2,FALSE),VLOOKUP(AQ201,'ELA Reading Logic'!$A$22:$B$48,2,FALSE),IF(VLOOKUP(AP201,'ELA Reading Logic'!$A$22:$B$48,2,FALSE)&gt;=VLOOKUP(AR201,'ELA Reading Logic'!$A$22:$B$48,2,FALSE),VLOOKUP(AR201,'ELA Reading Logic'!$A$22:$B$48,2,FALSE),"No Score")))),"No Value"))</f>
        <v>No Value</v>
      </c>
      <c r="AT201" s="96" t="str">
        <f>IFERROR(VLOOKUP(AP201,'ELA Reading Logic'!$A$22:$B$48,2,FALSE)-VLOOKUP($F201,'ELA Reading Logic'!$A$22:$B$48,2,FALSE),"No Value")</f>
        <v>No Value</v>
      </c>
    </row>
    <row r="202" spans="1:46" ht="22.5" customHeight="1" x14ac:dyDescent="0.25">
      <c r="A202" s="176"/>
      <c r="B202" s="176"/>
      <c r="C202" s="176"/>
      <c r="D202" s="176"/>
      <c r="E202" s="175"/>
      <c r="F202" s="175"/>
      <c r="G202" s="177" t="str">
        <f>IFERROR(IF($E202="Yes","IPP",VLOOKUP($J202,'ELA Reading Logic'!$A$3:$K$9,VLOOKUP("September",'ELA Reading Logic'!$J$22:$K$31,2,FALSE),FALSE)),"Set Grade")</f>
        <v>Set Grade</v>
      </c>
      <c r="H202" s="177" t="str">
        <f>IFERROR(IF($E202="Yes","IPP",VLOOKUP($J202,'ELA Reading Logic'!$A$13:$K$19,VLOOKUP("September",'ELA Reading Logic'!$J$22:$K$31,2,FALSE),FALSE)),"Set Grade")</f>
        <v>Set Grade</v>
      </c>
      <c r="I202" s="96" t="str">
        <f>IF($E202="Yes","IPP",IFERROR(IF(AND(F202&gt;G202,F202&lt;H202),"0",(VLOOKUP(F202,'ELA Reading Logic'!$A$22:$B$48,2,FALSE))-(IF(VLOOKUP(F202,'ELA Reading Logic'!$A$22:$B$48,2,FALSE)&lt;=VLOOKUP(G202,'ELA Reading Logic'!$A$22:$B$48,2,FALSE),VLOOKUP(G202,'ELA Reading Logic'!$A$22:$B$48,2,FALSE),IF(VLOOKUP(F202,'ELA Reading Logic'!$A$22:$B$48,2,FALSE)&gt;=VLOOKUP(H202,'ELA Reading Logic'!$A$22:$B$48,2,FALSE),VLOOKUP(H202,'ELA Reading Logic'!$A$22:$B$48,2,FALSE),"No Score")))),"No Value"))</f>
        <v>No Value</v>
      </c>
      <c r="J202" s="178"/>
      <c r="K202" s="96"/>
      <c r="L202" s="96"/>
      <c r="M202" s="96"/>
      <c r="N202" s="96"/>
      <c r="O202" s="96"/>
      <c r="P202" s="105"/>
      <c r="Q202" s="92"/>
      <c r="R202" s="96" t="str">
        <f>IFERROR(IF($E202="Yes","IPP",VLOOKUP($J202,'ELA Reading Logic'!$A$3:$K$9,VLOOKUP(Q$1,'ELA Reading Logic'!$J$22:$K$31,2,FALSE),FALSE)),"Set Grade")</f>
        <v>Set Grade</v>
      </c>
      <c r="S202" s="96" t="str">
        <f>IFERROR(IF($E202="Yes","IPP",VLOOKUP($J202,'ELA Reading Logic'!$A$13:$K$19,VLOOKUP(Q$1,'ELA Reading Logic'!$J$22:$K$31,2,FALSE),FALSE)),"Set Grade")</f>
        <v>Set Grade</v>
      </c>
      <c r="T202" s="96" t="str">
        <f>IF($E202="Yes","IPP",IFERROR(IF(AND(Q202&gt;R202,Q202&lt;S202),"0",(VLOOKUP(Q202,'ELA Reading Logic'!$A$22:$B$48,2,FALSE))-(IF(VLOOKUP(Q202,'ELA Reading Logic'!$A$22:$B$48,2,FALSE)&lt;=VLOOKUP(R202,'ELA Reading Logic'!$A$22:$B$48,2,FALSE),VLOOKUP(R202,'ELA Reading Logic'!$A$22:$B$48,2,FALSE),IF(VLOOKUP(Q202,'ELA Reading Logic'!$A$22:$B$48,2,FALSE)&gt;=VLOOKUP(S202,'ELA Reading Logic'!$A$22:$B$48,2,FALSE),VLOOKUP(S202,'ELA Reading Logic'!$A$22:$B$48,2,FALSE),"No Score")))),"No Value"))</f>
        <v>No Value</v>
      </c>
      <c r="U202" s="96" t="str">
        <f>IFERROR(VLOOKUP(Q202,'ELA Reading Logic'!$A$22:$B$48,2,FALSE)-VLOOKUP($F202,'ELA Reading Logic'!$A$22:$B$48,2,FALSE),"No Value")</f>
        <v>No Value</v>
      </c>
      <c r="V202" s="92"/>
      <c r="W202" s="96" t="str">
        <f>IFERROR(IF($E202="Yes","IPP",VLOOKUP($J202,'ELA Reading Logic'!$A$3:$K$9,VLOOKUP(V$1,'ELA Reading Logic'!$J$22:$K$31,2,FALSE),FALSE)),"Set Grade")</f>
        <v>Set Grade</v>
      </c>
      <c r="X202" s="96" t="str">
        <f>IFERROR(IF($E202="Yes","IPP",VLOOKUP($J202,'ELA Reading Logic'!$A$13:$K$19,VLOOKUP(V$1,'ELA Reading Logic'!$J$22:$K$31,2,FALSE),FALSE)),"Set Grade")</f>
        <v>Set Grade</v>
      </c>
      <c r="Y202" s="96" t="str">
        <f>IF($E202="Yes","IPP",IFERROR(IF(AND(V202&gt;W202,V202&lt;X202),"0",(VLOOKUP(V202,'ELA Reading Logic'!$A$22:$B$48,2,FALSE))-(IF(VLOOKUP(V202,'ELA Reading Logic'!$A$22:$B$48,2,FALSE)&lt;=VLOOKUP(W202,'ELA Reading Logic'!$A$22:$B$48,2,FALSE),VLOOKUP(W202,'ELA Reading Logic'!$A$22:$B$48,2,FALSE),IF(VLOOKUP(V202,'ELA Reading Logic'!$A$22:$B$48,2,FALSE)&gt;=VLOOKUP(X202,'ELA Reading Logic'!$A$22:$B$48,2,FALSE),VLOOKUP(X202,'ELA Reading Logic'!$A$22:$B$48,2,FALSE),"No Score")))),"No Value"))</f>
        <v>No Value</v>
      </c>
      <c r="Z202" s="96" t="str">
        <f>IFERROR(VLOOKUP(V202,'ELA Reading Logic'!$A$22:$B$48,2,FALSE)-VLOOKUP($F202,'ELA Reading Logic'!$A$22:$B$48,2,FALSE),"No Value")</f>
        <v>No Value</v>
      </c>
      <c r="AA202" s="92"/>
      <c r="AB202" s="96" t="str">
        <f>IFERROR(IF($E202="Yes","IPP",VLOOKUP($J202,'ELA Reading Logic'!$A$3:$K$9,VLOOKUP(AA$1,'ELA Reading Logic'!$J$22:$K$31,2,FALSE),FALSE)),"Set Grade")</f>
        <v>Set Grade</v>
      </c>
      <c r="AC202" s="96" t="str">
        <f>IFERROR(IF($E202="Yes","IPP",VLOOKUP($J202,'ELA Reading Logic'!$A$13:$K$19,VLOOKUP(AA$1,'ELA Reading Logic'!$J$22:$K$31,2,FALSE),FALSE)),"Set Grade")</f>
        <v>Set Grade</v>
      </c>
      <c r="AD202" s="96" t="str">
        <f>IF($E202="Yes","IPP",IFERROR(IF(AND(AA202&gt;AB202,AA202&lt;AC202),"0",(VLOOKUP(AA202,'ELA Reading Logic'!$A$22:$B$48,2,FALSE))-(IF(VLOOKUP(AA202,'ELA Reading Logic'!$A$22:$B$48,2,FALSE)&lt;=VLOOKUP(AB202,'ELA Reading Logic'!$A$22:$B$48,2,FALSE),VLOOKUP(AB202,'ELA Reading Logic'!$A$22:$B$48,2,FALSE),IF(VLOOKUP(AA202,'ELA Reading Logic'!$A$22:$B$48,2,FALSE)&gt;=VLOOKUP(AC202,'ELA Reading Logic'!$A$22:$B$48,2,FALSE),VLOOKUP(AC202,'ELA Reading Logic'!$A$22:$B$48,2,FALSE),"No Score")))),"No Value"))</f>
        <v>No Value</v>
      </c>
      <c r="AE202" s="96" t="str">
        <f>IFERROR(VLOOKUP(AA202,'ELA Reading Logic'!$A$22:$B$48,2,FALSE)-VLOOKUP($F202,'ELA Reading Logic'!$A$22:$B$48,2,FALSE),"No Value")</f>
        <v>No Value</v>
      </c>
      <c r="AF202" s="92"/>
      <c r="AG202" s="96" t="str">
        <f>IFERROR(IF($E202="Yes","IPP",VLOOKUP($J202,'ELA Reading Logic'!$A$3:$K$9,VLOOKUP(AF$1,'ELA Reading Logic'!$J$22:$K$31,2,FALSE),FALSE)),"Set Grade")</f>
        <v>Set Grade</v>
      </c>
      <c r="AH202" s="96" t="str">
        <f>IFERROR(IF($E202="Yes","IPP",VLOOKUP($J202,'ELA Reading Logic'!$A$13:$K$19,VLOOKUP(AF$1,'ELA Reading Logic'!$J$22:$K$31,2,FALSE),FALSE)),"Set Grade")</f>
        <v>Set Grade</v>
      </c>
      <c r="AI202" s="96" t="str">
        <f>IF($E202="Yes","IPP",IFERROR(IF(AND(AF202&gt;AG202,AF202&lt;AH202),"0",(VLOOKUP(AF202,'ELA Reading Logic'!$A$22:$B$48,2,FALSE))-(IF(VLOOKUP(AF202,'ELA Reading Logic'!$A$22:$B$48,2,FALSE)&lt;=VLOOKUP(AG202,'ELA Reading Logic'!$A$22:$B$48,2,FALSE),VLOOKUP(AG202,'ELA Reading Logic'!$A$22:$B$48,2,FALSE),IF(VLOOKUP(AF202,'ELA Reading Logic'!$A$22:$B$48,2,FALSE)&gt;=VLOOKUP(AH202,'ELA Reading Logic'!$A$22:$B$48,2,FALSE),VLOOKUP(AH202,'ELA Reading Logic'!$A$22:$B$48,2,FALSE),"No Score")))),"No Value"))</f>
        <v>No Value</v>
      </c>
      <c r="AJ202" s="96" t="str">
        <f>IFERROR(VLOOKUP(AF202,'ELA Reading Logic'!$A$22:$B$48,2,FALSE)-VLOOKUP($F202,'ELA Reading Logic'!$A$22:$B$48,2,FALSE),"No Value")</f>
        <v>No Value</v>
      </c>
      <c r="AK202" s="92"/>
      <c r="AL202" s="96" t="str">
        <f>IFERROR(IF($E202="Yes","IPP",VLOOKUP($J202,'ELA Reading Logic'!$A$3:$K$9,VLOOKUP(AK$1,'ELA Reading Logic'!$J$22:$K$31,2,FALSE),FALSE)),"Set Grade")</f>
        <v>Set Grade</v>
      </c>
      <c r="AM202" s="96" t="str">
        <f>IFERROR(IF($E202="Yes","IPP",VLOOKUP($J202,'ELA Reading Logic'!$A$13:$K$19,VLOOKUP(AK$1,'ELA Reading Logic'!$J$22:$K$31,2,FALSE),FALSE)),"Set Grade")</f>
        <v>Set Grade</v>
      </c>
      <c r="AN202" s="96" t="str">
        <f>IF($E202="Yes","IPP",IFERROR(IF(AND(AK202&gt;AL202,AK202&lt;AM202),"0",(VLOOKUP(AK202,'ELA Reading Logic'!$A$22:$B$48,2,FALSE))-(IF(VLOOKUP(AK202,'ELA Reading Logic'!$A$22:$B$48,2,FALSE)&lt;=VLOOKUP(AL202,'ELA Reading Logic'!$A$22:$B$48,2,FALSE),VLOOKUP(AL202,'ELA Reading Logic'!$A$22:$B$48,2,FALSE),IF(VLOOKUP(AK202,'ELA Reading Logic'!$A$22:$B$48,2,FALSE)&gt;=VLOOKUP(AM202,'ELA Reading Logic'!$A$22:$B$48,2,FALSE),VLOOKUP(AM202,'ELA Reading Logic'!$A$22:$B$48,2,FALSE),"No Score")))),"No Value"))</f>
        <v>No Value</v>
      </c>
      <c r="AO202" s="96" t="str">
        <f>IFERROR(VLOOKUP(AK202,'ELA Reading Logic'!$A$22:$B$48,2,FALSE)-VLOOKUP($F202,'ELA Reading Logic'!$A$22:$B$48,2,FALSE),"No Value")</f>
        <v>No Value</v>
      </c>
      <c r="AP202" s="92"/>
      <c r="AQ202" s="96" t="str">
        <f>IFERROR(IF($E202="Yes","IPP",VLOOKUP($J202,'ELA Reading Logic'!$A$3:$K$9,VLOOKUP(AP$1,'ELA Reading Logic'!$J$22:$K$31,2,FALSE),FALSE)),"Set Grade")</f>
        <v>Set Grade</v>
      </c>
      <c r="AR202" s="96" t="str">
        <f>IFERROR(IF($E202="Yes","IPP",VLOOKUP($J202,'ELA Reading Logic'!$A$13:$K$19,VLOOKUP(AP$1,'ELA Reading Logic'!$J$22:$K$31,2,FALSE),FALSE)),"Set Grade")</f>
        <v>Set Grade</v>
      </c>
      <c r="AS202" s="96" t="str">
        <f>IF($E202="Yes","IPP",IFERROR(IF(AND(AP202&gt;AQ202,AP202&lt;AR202),"0",(VLOOKUP(AP202,'ELA Reading Logic'!$A$22:$B$48,2,FALSE))-(IF(VLOOKUP(AP202,'ELA Reading Logic'!$A$22:$B$48,2,FALSE)&lt;=VLOOKUP(AQ202,'ELA Reading Logic'!$A$22:$B$48,2,FALSE),VLOOKUP(AQ202,'ELA Reading Logic'!$A$22:$B$48,2,FALSE),IF(VLOOKUP(AP202,'ELA Reading Logic'!$A$22:$B$48,2,FALSE)&gt;=VLOOKUP(AR202,'ELA Reading Logic'!$A$22:$B$48,2,FALSE),VLOOKUP(AR202,'ELA Reading Logic'!$A$22:$B$48,2,FALSE),"No Score")))),"No Value"))</f>
        <v>No Value</v>
      </c>
      <c r="AT202" s="96" t="str">
        <f>IFERROR(VLOOKUP(AP202,'ELA Reading Logic'!$A$22:$B$48,2,FALSE)-VLOOKUP($F202,'ELA Reading Logic'!$A$22:$B$48,2,FALSE),"No Value")</f>
        <v>No Value</v>
      </c>
    </row>
    <row r="203" spans="1:46" ht="22.5" customHeight="1" x14ac:dyDescent="0.25">
      <c r="A203" s="174"/>
      <c r="B203" s="174"/>
      <c r="C203" s="174"/>
      <c r="D203" s="174"/>
      <c r="E203" s="175"/>
      <c r="F203" s="175"/>
      <c r="G203" s="177" t="str">
        <f>IFERROR(IF($E203="Yes","IPP",VLOOKUP($J203,'ELA Reading Logic'!$A$3:$K$9,VLOOKUP("September",'ELA Reading Logic'!$J$22:$K$31,2,FALSE),FALSE)),"Set Grade")</f>
        <v>Set Grade</v>
      </c>
      <c r="H203" s="177" t="str">
        <f>IFERROR(IF($E203="Yes","IPP",VLOOKUP($J203,'ELA Reading Logic'!$A$13:$K$19,VLOOKUP("September",'ELA Reading Logic'!$J$22:$K$31,2,FALSE),FALSE)),"Set Grade")</f>
        <v>Set Grade</v>
      </c>
      <c r="I203" s="96" t="str">
        <f>IF($E203="Yes","IPP",IFERROR(IF(AND(F203&gt;G203,F203&lt;H203),"0",(VLOOKUP(F203,'ELA Reading Logic'!$A$22:$B$48,2,FALSE))-(IF(VLOOKUP(F203,'ELA Reading Logic'!$A$22:$B$48,2,FALSE)&lt;=VLOOKUP(G203,'ELA Reading Logic'!$A$22:$B$48,2,FALSE),VLOOKUP(G203,'ELA Reading Logic'!$A$22:$B$48,2,FALSE),IF(VLOOKUP(F203,'ELA Reading Logic'!$A$22:$B$48,2,FALSE)&gt;=VLOOKUP(H203,'ELA Reading Logic'!$A$22:$B$48,2,FALSE),VLOOKUP(H203,'ELA Reading Logic'!$A$22:$B$48,2,FALSE),"No Score")))),"No Value"))</f>
        <v>No Value</v>
      </c>
      <c r="J203" s="178"/>
      <c r="K203" s="96"/>
      <c r="L203" s="96"/>
      <c r="M203" s="96"/>
      <c r="N203" s="96"/>
      <c r="O203" s="96"/>
      <c r="P203" s="105"/>
      <c r="Q203" s="92"/>
      <c r="R203" s="96" t="str">
        <f>IFERROR(IF($E203="Yes","IPP",VLOOKUP($J203,'ELA Reading Logic'!$A$3:$K$9,VLOOKUP(Q$1,'ELA Reading Logic'!$J$22:$K$31,2,FALSE),FALSE)),"Set Grade")</f>
        <v>Set Grade</v>
      </c>
      <c r="S203" s="96" t="str">
        <f>IFERROR(IF($E203="Yes","IPP",VLOOKUP($J203,'ELA Reading Logic'!$A$13:$K$19,VLOOKUP(Q$1,'ELA Reading Logic'!$J$22:$K$31,2,FALSE),FALSE)),"Set Grade")</f>
        <v>Set Grade</v>
      </c>
      <c r="T203" s="96" t="str">
        <f>IF($E203="Yes","IPP",IFERROR(IF(AND(Q203&gt;R203,Q203&lt;S203),"0",(VLOOKUP(Q203,'ELA Reading Logic'!$A$22:$B$48,2,FALSE))-(IF(VLOOKUP(Q203,'ELA Reading Logic'!$A$22:$B$48,2,FALSE)&lt;=VLOOKUP(R203,'ELA Reading Logic'!$A$22:$B$48,2,FALSE),VLOOKUP(R203,'ELA Reading Logic'!$A$22:$B$48,2,FALSE),IF(VLOOKUP(Q203,'ELA Reading Logic'!$A$22:$B$48,2,FALSE)&gt;=VLOOKUP(S203,'ELA Reading Logic'!$A$22:$B$48,2,FALSE),VLOOKUP(S203,'ELA Reading Logic'!$A$22:$B$48,2,FALSE),"No Score")))),"No Value"))</f>
        <v>No Value</v>
      </c>
      <c r="U203" s="96" t="str">
        <f>IFERROR(VLOOKUP(Q203,'ELA Reading Logic'!$A$22:$B$48,2,FALSE)-VLOOKUP($F203,'ELA Reading Logic'!$A$22:$B$48,2,FALSE),"No Value")</f>
        <v>No Value</v>
      </c>
      <c r="V203" s="92"/>
      <c r="W203" s="96" t="str">
        <f>IFERROR(IF($E203="Yes","IPP",VLOOKUP($J203,'ELA Reading Logic'!$A$3:$K$9,VLOOKUP(V$1,'ELA Reading Logic'!$J$22:$K$31,2,FALSE),FALSE)),"Set Grade")</f>
        <v>Set Grade</v>
      </c>
      <c r="X203" s="96" t="str">
        <f>IFERROR(IF($E203="Yes","IPP",VLOOKUP($J203,'ELA Reading Logic'!$A$13:$K$19,VLOOKUP(V$1,'ELA Reading Logic'!$J$22:$K$31,2,FALSE),FALSE)),"Set Grade")</f>
        <v>Set Grade</v>
      </c>
      <c r="Y203" s="96" t="str">
        <f>IF($E203="Yes","IPP",IFERROR(IF(AND(V203&gt;W203,V203&lt;X203),"0",(VLOOKUP(V203,'ELA Reading Logic'!$A$22:$B$48,2,FALSE))-(IF(VLOOKUP(V203,'ELA Reading Logic'!$A$22:$B$48,2,FALSE)&lt;=VLOOKUP(W203,'ELA Reading Logic'!$A$22:$B$48,2,FALSE),VLOOKUP(W203,'ELA Reading Logic'!$A$22:$B$48,2,FALSE),IF(VLOOKUP(V203,'ELA Reading Logic'!$A$22:$B$48,2,FALSE)&gt;=VLOOKUP(X203,'ELA Reading Logic'!$A$22:$B$48,2,FALSE),VLOOKUP(X203,'ELA Reading Logic'!$A$22:$B$48,2,FALSE),"No Score")))),"No Value"))</f>
        <v>No Value</v>
      </c>
      <c r="Z203" s="96" t="str">
        <f>IFERROR(VLOOKUP(V203,'ELA Reading Logic'!$A$22:$B$48,2,FALSE)-VLOOKUP($F203,'ELA Reading Logic'!$A$22:$B$48,2,FALSE),"No Value")</f>
        <v>No Value</v>
      </c>
      <c r="AA203" s="92"/>
      <c r="AB203" s="96" t="str">
        <f>IFERROR(IF($E203="Yes","IPP",VLOOKUP($J203,'ELA Reading Logic'!$A$3:$K$9,VLOOKUP(AA$1,'ELA Reading Logic'!$J$22:$K$31,2,FALSE),FALSE)),"Set Grade")</f>
        <v>Set Grade</v>
      </c>
      <c r="AC203" s="96" t="str">
        <f>IFERROR(IF($E203="Yes","IPP",VLOOKUP($J203,'ELA Reading Logic'!$A$13:$K$19,VLOOKUP(AA$1,'ELA Reading Logic'!$J$22:$K$31,2,FALSE),FALSE)),"Set Grade")</f>
        <v>Set Grade</v>
      </c>
      <c r="AD203" s="96" t="str">
        <f>IF($E203="Yes","IPP",IFERROR(IF(AND(AA203&gt;AB203,AA203&lt;AC203),"0",(VLOOKUP(AA203,'ELA Reading Logic'!$A$22:$B$48,2,FALSE))-(IF(VLOOKUP(AA203,'ELA Reading Logic'!$A$22:$B$48,2,FALSE)&lt;=VLOOKUP(AB203,'ELA Reading Logic'!$A$22:$B$48,2,FALSE),VLOOKUP(AB203,'ELA Reading Logic'!$A$22:$B$48,2,FALSE),IF(VLOOKUP(AA203,'ELA Reading Logic'!$A$22:$B$48,2,FALSE)&gt;=VLOOKUP(AC203,'ELA Reading Logic'!$A$22:$B$48,2,FALSE),VLOOKUP(AC203,'ELA Reading Logic'!$A$22:$B$48,2,FALSE),"No Score")))),"No Value"))</f>
        <v>No Value</v>
      </c>
      <c r="AE203" s="96" t="str">
        <f>IFERROR(VLOOKUP(AA203,'ELA Reading Logic'!$A$22:$B$48,2,FALSE)-VLOOKUP($F203,'ELA Reading Logic'!$A$22:$B$48,2,FALSE),"No Value")</f>
        <v>No Value</v>
      </c>
      <c r="AF203" s="92"/>
      <c r="AG203" s="96" t="str">
        <f>IFERROR(IF($E203="Yes","IPP",VLOOKUP($J203,'ELA Reading Logic'!$A$3:$K$9,VLOOKUP(AF$1,'ELA Reading Logic'!$J$22:$K$31,2,FALSE),FALSE)),"Set Grade")</f>
        <v>Set Grade</v>
      </c>
      <c r="AH203" s="96" t="str">
        <f>IFERROR(IF($E203="Yes","IPP",VLOOKUP($J203,'ELA Reading Logic'!$A$13:$K$19,VLOOKUP(AF$1,'ELA Reading Logic'!$J$22:$K$31,2,FALSE),FALSE)),"Set Grade")</f>
        <v>Set Grade</v>
      </c>
      <c r="AI203" s="96" t="str">
        <f>IF($E203="Yes","IPP",IFERROR(IF(AND(AF203&gt;AG203,AF203&lt;AH203),"0",(VLOOKUP(AF203,'ELA Reading Logic'!$A$22:$B$48,2,FALSE))-(IF(VLOOKUP(AF203,'ELA Reading Logic'!$A$22:$B$48,2,FALSE)&lt;=VLOOKUP(AG203,'ELA Reading Logic'!$A$22:$B$48,2,FALSE),VLOOKUP(AG203,'ELA Reading Logic'!$A$22:$B$48,2,FALSE),IF(VLOOKUP(AF203,'ELA Reading Logic'!$A$22:$B$48,2,FALSE)&gt;=VLOOKUP(AH203,'ELA Reading Logic'!$A$22:$B$48,2,FALSE),VLOOKUP(AH203,'ELA Reading Logic'!$A$22:$B$48,2,FALSE),"No Score")))),"No Value"))</f>
        <v>No Value</v>
      </c>
      <c r="AJ203" s="96" t="str">
        <f>IFERROR(VLOOKUP(AF203,'ELA Reading Logic'!$A$22:$B$48,2,FALSE)-VLOOKUP($F203,'ELA Reading Logic'!$A$22:$B$48,2,FALSE),"No Value")</f>
        <v>No Value</v>
      </c>
      <c r="AK203" s="92"/>
      <c r="AL203" s="96" t="str">
        <f>IFERROR(IF($E203="Yes","IPP",VLOOKUP($J203,'ELA Reading Logic'!$A$3:$K$9,VLOOKUP(AK$1,'ELA Reading Logic'!$J$22:$K$31,2,FALSE),FALSE)),"Set Grade")</f>
        <v>Set Grade</v>
      </c>
      <c r="AM203" s="96" t="str">
        <f>IFERROR(IF($E203="Yes","IPP",VLOOKUP($J203,'ELA Reading Logic'!$A$13:$K$19,VLOOKUP(AK$1,'ELA Reading Logic'!$J$22:$K$31,2,FALSE),FALSE)),"Set Grade")</f>
        <v>Set Grade</v>
      </c>
      <c r="AN203" s="96" t="str">
        <f>IF($E203="Yes","IPP",IFERROR(IF(AND(AK203&gt;AL203,AK203&lt;AM203),"0",(VLOOKUP(AK203,'ELA Reading Logic'!$A$22:$B$48,2,FALSE))-(IF(VLOOKUP(AK203,'ELA Reading Logic'!$A$22:$B$48,2,FALSE)&lt;=VLOOKUP(AL203,'ELA Reading Logic'!$A$22:$B$48,2,FALSE),VLOOKUP(AL203,'ELA Reading Logic'!$A$22:$B$48,2,FALSE),IF(VLOOKUP(AK203,'ELA Reading Logic'!$A$22:$B$48,2,FALSE)&gt;=VLOOKUP(AM203,'ELA Reading Logic'!$A$22:$B$48,2,FALSE),VLOOKUP(AM203,'ELA Reading Logic'!$A$22:$B$48,2,FALSE),"No Score")))),"No Value"))</f>
        <v>No Value</v>
      </c>
      <c r="AO203" s="96" t="str">
        <f>IFERROR(VLOOKUP(AK203,'ELA Reading Logic'!$A$22:$B$48,2,FALSE)-VLOOKUP($F203,'ELA Reading Logic'!$A$22:$B$48,2,FALSE),"No Value")</f>
        <v>No Value</v>
      </c>
      <c r="AP203" s="92"/>
      <c r="AQ203" s="96" t="str">
        <f>IFERROR(IF($E203="Yes","IPP",VLOOKUP($J203,'ELA Reading Logic'!$A$3:$K$9,VLOOKUP(AP$1,'ELA Reading Logic'!$J$22:$K$31,2,FALSE),FALSE)),"Set Grade")</f>
        <v>Set Grade</v>
      </c>
      <c r="AR203" s="96" t="str">
        <f>IFERROR(IF($E203="Yes","IPP",VLOOKUP($J203,'ELA Reading Logic'!$A$13:$K$19,VLOOKUP(AP$1,'ELA Reading Logic'!$J$22:$K$31,2,FALSE),FALSE)),"Set Grade")</f>
        <v>Set Grade</v>
      </c>
      <c r="AS203" s="96" t="str">
        <f>IF($E203="Yes","IPP",IFERROR(IF(AND(AP203&gt;AQ203,AP203&lt;AR203),"0",(VLOOKUP(AP203,'ELA Reading Logic'!$A$22:$B$48,2,FALSE))-(IF(VLOOKUP(AP203,'ELA Reading Logic'!$A$22:$B$48,2,FALSE)&lt;=VLOOKUP(AQ203,'ELA Reading Logic'!$A$22:$B$48,2,FALSE),VLOOKUP(AQ203,'ELA Reading Logic'!$A$22:$B$48,2,FALSE),IF(VLOOKUP(AP203,'ELA Reading Logic'!$A$22:$B$48,2,FALSE)&gt;=VLOOKUP(AR203,'ELA Reading Logic'!$A$22:$B$48,2,FALSE),VLOOKUP(AR203,'ELA Reading Logic'!$A$22:$B$48,2,FALSE),"No Score")))),"No Value"))</f>
        <v>No Value</v>
      </c>
      <c r="AT203" s="96" t="str">
        <f>IFERROR(VLOOKUP(AP203,'ELA Reading Logic'!$A$22:$B$48,2,FALSE)-VLOOKUP($F203,'ELA Reading Logic'!$A$22:$B$48,2,FALSE),"No Value")</f>
        <v>No Value</v>
      </c>
    </row>
    <row r="204" spans="1:46" ht="22.5" customHeight="1" x14ac:dyDescent="0.25">
      <c r="A204" s="176"/>
      <c r="B204" s="176"/>
      <c r="C204" s="176"/>
      <c r="D204" s="176"/>
      <c r="E204" s="175"/>
      <c r="F204" s="175"/>
      <c r="G204" s="177" t="str">
        <f>IFERROR(IF($E204="Yes","IPP",VLOOKUP($J204,'ELA Reading Logic'!$A$3:$K$9,VLOOKUP("September",'ELA Reading Logic'!$J$22:$K$31,2,FALSE),FALSE)),"Set Grade")</f>
        <v>Set Grade</v>
      </c>
      <c r="H204" s="177" t="str">
        <f>IFERROR(IF($E204="Yes","IPP",VLOOKUP($J204,'ELA Reading Logic'!$A$13:$K$19,VLOOKUP("September",'ELA Reading Logic'!$J$22:$K$31,2,FALSE),FALSE)),"Set Grade")</f>
        <v>Set Grade</v>
      </c>
      <c r="I204" s="96" t="str">
        <f>IF($E204="Yes","IPP",IFERROR(IF(AND(F204&gt;G204,F204&lt;H204),"0",(VLOOKUP(F204,'ELA Reading Logic'!$A$22:$B$48,2,FALSE))-(IF(VLOOKUP(F204,'ELA Reading Logic'!$A$22:$B$48,2,FALSE)&lt;=VLOOKUP(G204,'ELA Reading Logic'!$A$22:$B$48,2,FALSE),VLOOKUP(G204,'ELA Reading Logic'!$A$22:$B$48,2,FALSE),IF(VLOOKUP(F204,'ELA Reading Logic'!$A$22:$B$48,2,FALSE)&gt;=VLOOKUP(H204,'ELA Reading Logic'!$A$22:$B$48,2,FALSE),VLOOKUP(H204,'ELA Reading Logic'!$A$22:$B$48,2,FALSE),"No Score")))),"No Value"))</f>
        <v>No Value</v>
      </c>
      <c r="J204" s="178"/>
      <c r="K204" s="96"/>
      <c r="L204" s="96"/>
      <c r="M204" s="96"/>
      <c r="N204" s="96"/>
      <c r="O204" s="96"/>
      <c r="P204" s="105"/>
      <c r="Q204" s="92"/>
      <c r="R204" s="96" t="str">
        <f>IFERROR(IF($E204="Yes","IPP",VLOOKUP($J204,'ELA Reading Logic'!$A$3:$K$9,VLOOKUP(Q$1,'ELA Reading Logic'!$J$22:$K$31,2,FALSE),FALSE)),"Set Grade")</f>
        <v>Set Grade</v>
      </c>
      <c r="S204" s="96" t="str">
        <f>IFERROR(IF($E204="Yes","IPP",VLOOKUP($J204,'ELA Reading Logic'!$A$13:$K$19,VLOOKUP(Q$1,'ELA Reading Logic'!$J$22:$K$31,2,FALSE),FALSE)),"Set Grade")</f>
        <v>Set Grade</v>
      </c>
      <c r="T204" s="96" t="str">
        <f>IF($E204="Yes","IPP",IFERROR(IF(AND(Q204&gt;R204,Q204&lt;S204),"0",(VLOOKUP(Q204,'ELA Reading Logic'!$A$22:$B$48,2,FALSE))-(IF(VLOOKUP(Q204,'ELA Reading Logic'!$A$22:$B$48,2,FALSE)&lt;=VLOOKUP(R204,'ELA Reading Logic'!$A$22:$B$48,2,FALSE),VLOOKUP(R204,'ELA Reading Logic'!$A$22:$B$48,2,FALSE),IF(VLOOKUP(Q204,'ELA Reading Logic'!$A$22:$B$48,2,FALSE)&gt;=VLOOKUP(S204,'ELA Reading Logic'!$A$22:$B$48,2,FALSE),VLOOKUP(S204,'ELA Reading Logic'!$A$22:$B$48,2,FALSE),"No Score")))),"No Value"))</f>
        <v>No Value</v>
      </c>
      <c r="U204" s="96" t="str">
        <f>IFERROR(VLOOKUP(Q204,'ELA Reading Logic'!$A$22:$B$48,2,FALSE)-VLOOKUP($F204,'ELA Reading Logic'!$A$22:$B$48,2,FALSE),"No Value")</f>
        <v>No Value</v>
      </c>
      <c r="V204" s="92"/>
      <c r="W204" s="96" t="str">
        <f>IFERROR(IF($E204="Yes","IPP",VLOOKUP($J204,'ELA Reading Logic'!$A$3:$K$9,VLOOKUP(V$1,'ELA Reading Logic'!$J$22:$K$31,2,FALSE),FALSE)),"Set Grade")</f>
        <v>Set Grade</v>
      </c>
      <c r="X204" s="96" t="str">
        <f>IFERROR(IF($E204="Yes","IPP",VLOOKUP($J204,'ELA Reading Logic'!$A$13:$K$19,VLOOKUP(V$1,'ELA Reading Logic'!$J$22:$K$31,2,FALSE),FALSE)),"Set Grade")</f>
        <v>Set Grade</v>
      </c>
      <c r="Y204" s="96" t="str">
        <f>IF($E204="Yes","IPP",IFERROR(IF(AND(V204&gt;W204,V204&lt;X204),"0",(VLOOKUP(V204,'ELA Reading Logic'!$A$22:$B$48,2,FALSE))-(IF(VLOOKUP(V204,'ELA Reading Logic'!$A$22:$B$48,2,FALSE)&lt;=VLOOKUP(W204,'ELA Reading Logic'!$A$22:$B$48,2,FALSE),VLOOKUP(W204,'ELA Reading Logic'!$A$22:$B$48,2,FALSE),IF(VLOOKUP(V204,'ELA Reading Logic'!$A$22:$B$48,2,FALSE)&gt;=VLOOKUP(X204,'ELA Reading Logic'!$A$22:$B$48,2,FALSE),VLOOKUP(X204,'ELA Reading Logic'!$A$22:$B$48,2,FALSE),"No Score")))),"No Value"))</f>
        <v>No Value</v>
      </c>
      <c r="Z204" s="96" t="str">
        <f>IFERROR(VLOOKUP(V204,'ELA Reading Logic'!$A$22:$B$48,2,FALSE)-VLOOKUP($F204,'ELA Reading Logic'!$A$22:$B$48,2,FALSE),"No Value")</f>
        <v>No Value</v>
      </c>
      <c r="AA204" s="92"/>
      <c r="AB204" s="96" t="str">
        <f>IFERROR(IF($E204="Yes","IPP",VLOOKUP($J204,'ELA Reading Logic'!$A$3:$K$9,VLOOKUP(AA$1,'ELA Reading Logic'!$J$22:$K$31,2,FALSE),FALSE)),"Set Grade")</f>
        <v>Set Grade</v>
      </c>
      <c r="AC204" s="96" t="str">
        <f>IFERROR(IF($E204="Yes","IPP",VLOOKUP($J204,'ELA Reading Logic'!$A$13:$K$19,VLOOKUP(AA$1,'ELA Reading Logic'!$J$22:$K$31,2,FALSE),FALSE)),"Set Grade")</f>
        <v>Set Grade</v>
      </c>
      <c r="AD204" s="96" t="str">
        <f>IF($E204="Yes","IPP",IFERROR(IF(AND(AA204&gt;AB204,AA204&lt;AC204),"0",(VLOOKUP(AA204,'ELA Reading Logic'!$A$22:$B$48,2,FALSE))-(IF(VLOOKUP(AA204,'ELA Reading Logic'!$A$22:$B$48,2,FALSE)&lt;=VLOOKUP(AB204,'ELA Reading Logic'!$A$22:$B$48,2,FALSE),VLOOKUP(AB204,'ELA Reading Logic'!$A$22:$B$48,2,FALSE),IF(VLOOKUP(AA204,'ELA Reading Logic'!$A$22:$B$48,2,FALSE)&gt;=VLOOKUP(AC204,'ELA Reading Logic'!$A$22:$B$48,2,FALSE),VLOOKUP(AC204,'ELA Reading Logic'!$A$22:$B$48,2,FALSE),"No Score")))),"No Value"))</f>
        <v>No Value</v>
      </c>
      <c r="AE204" s="96" t="str">
        <f>IFERROR(VLOOKUP(AA204,'ELA Reading Logic'!$A$22:$B$48,2,FALSE)-VLOOKUP($F204,'ELA Reading Logic'!$A$22:$B$48,2,FALSE),"No Value")</f>
        <v>No Value</v>
      </c>
      <c r="AF204" s="92"/>
      <c r="AG204" s="96" t="str">
        <f>IFERROR(IF($E204="Yes","IPP",VLOOKUP($J204,'ELA Reading Logic'!$A$3:$K$9,VLOOKUP(AF$1,'ELA Reading Logic'!$J$22:$K$31,2,FALSE),FALSE)),"Set Grade")</f>
        <v>Set Grade</v>
      </c>
      <c r="AH204" s="96" t="str">
        <f>IFERROR(IF($E204="Yes","IPP",VLOOKUP($J204,'ELA Reading Logic'!$A$13:$K$19,VLOOKUP(AF$1,'ELA Reading Logic'!$J$22:$K$31,2,FALSE),FALSE)),"Set Grade")</f>
        <v>Set Grade</v>
      </c>
      <c r="AI204" s="96" t="str">
        <f>IF($E204="Yes","IPP",IFERROR(IF(AND(AF204&gt;AG204,AF204&lt;AH204),"0",(VLOOKUP(AF204,'ELA Reading Logic'!$A$22:$B$48,2,FALSE))-(IF(VLOOKUP(AF204,'ELA Reading Logic'!$A$22:$B$48,2,FALSE)&lt;=VLOOKUP(AG204,'ELA Reading Logic'!$A$22:$B$48,2,FALSE),VLOOKUP(AG204,'ELA Reading Logic'!$A$22:$B$48,2,FALSE),IF(VLOOKUP(AF204,'ELA Reading Logic'!$A$22:$B$48,2,FALSE)&gt;=VLOOKUP(AH204,'ELA Reading Logic'!$A$22:$B$48,2,FALSE),VLOOKUP(AH204,'ELA Reading Logic'!$A$22:$B$48,2,FALSE),"No Score")))),"No Value"))</f>
        <v>No Value</v>
      </c>
      <c r="AJ204" s="96" t="str">
        <f>IFERROR(VLOOKUP(AF204,'ELA Reading Logic'!$A$22:$B$48,2,FALSE)-VLOOKUP($F204,'ELA Reading Logic'!$A$22:$B$48,2,FALSE),"No Value")</f>
        <v>No Value</v>
      </c>
      <c r="AK204" s="92"/>
      <c r="AL204" s="96" t="str">
        <f>IFERROR(IF($E204="Yes","IPP",VLOOKUP($J204,'ELA Reading Logic'!$A$3:$K$9,VLOOKUP(AK$1,'ELA Reading Logic'!$J$22:$K$31,2,FALSE),FALSE)),"Set Grade")</f>
        <v>Set Grade</v>
      </c>
      <c r="AM204" s="96" t="str">
        <f>IFERROR(IF($E204="Yes","IPP",VLOOKUP($J204,'ELA Reading Logic'!$A$13:$K$19,VLOOKUP(AK$1,'ELA Reading Logic'!$J$22:$K$31,2,FALSE),FALSE)),"Set Grade")</f>
        <v>Set Grade</v>
      </c>
      <c r="AN204" s="96" t="str">
        <f>IF($E204="Yes","IPP",IFERROR(IF(AND(AK204&gt;AL204,AK204&lt;AM204),"0",(VLOOKUP(AK204,'ELA Reading Logic'!$A$22:$B$48,2,FALSE))-(IF(VLOOKUP(AK204,'ELA Reading Logic'!$A$22:$B$48,2,FALSE)&lt;=VLOOKUP(AL204,'ELA Reading Logic'!$A$22:$B$48,2,FALSE),VLOOKUP(AL204,'ELA Reading Logic'!$A$22:$B$48,2,FALSE),IF(VLOOKUP(AK204,'ELA Reading Logic'!$A$22:$B$48,2,FALSE)&gt;=VLOOKUP(AM204,'ELA Reading Logic'!$A$22:$B$48,2,FALSE),VLOOKUP(AM204,'ELA Reading Logic'!$A$22:$B$48,2,FALSE),"No Score")))),"No Value"))</f>
        <v>No Value</v>
      </c>
      <c r="AO204" s="96" t="str">
        <f>IFERROR(VLOOKUP(AK204,'ELA Reading Logic'!$A$22:$B$48,2,FALSE)-VLOOKUP($F204,'ELA Reading Logic'!$A$22:$B$48,2,FALSE),"No Value")</f>
        <v>No Value</v>
      </c>
      <c r="AP204" s="92"/>
      <c r="AQ204" s="96" t="str">
        <f>IFERROR(IF($E204="Yes","IPP",VLOOKUP($J204,'ELA Reading Logic'!$A$3:$K$9,VLOOKUP(AP$1,'ELA Reading Logic'!$J$22:$K$31,2,FALSE),FALSE)),"Set Grade")</f>
        <v>Set Grade</v>
      </c>
      <c r="AR204" s="96" t="str">
        <f>IFERROR(IF($E204="Yes","IPP",VLOOKUP($J204,'ELA Reading Logic'!$A$13:$K$19,VLOOKUP(AP$1,'ELA Reading Logic'!$J$22:$K$31,2,FALSE),FALSE)),"Set Grade")</f>
        <v>Set Grade</v>
      </c>
      <c r="AS204" s="96" t="str">
        <f>IF($E204="Yes","IPP",IFERROR(IF(AND(AP204&gt;AQ204,AP204&lt;AR204),"0",(VLOOKUP(AP204,'ELA Reading Logic'!$A$22:$B$48,2,FALSE))-(IF(VLOOKUP(AP204,'ELA Reading Logic'!$A$22:$B$48,2,FALSE)&lt;=VLOOKUP(AQ204,'ELA Reading Logic'!$A$22:$B$48,2,FALSE),VLOOKUP(AQ204,'ELA Reading Logic'!$A$22:$B$48,2,FALSE),IF(VLOOKUP(AP204,'ELA Reading Logic'!$A$22:$B$48,2,FALSE)&gt;=VLOOKUP(AR204,'ELA Reading Logic'!$A$22:$B$48,2,FALSE),VLOOKUP(AR204,'ELA Reading Logic'!$A$22:$B$48,2,FALSE),"No Score")))),"No Value"))</f>
        <v>No Value</v>
      </c>
      <c r="AT204" s="96" t="str">
        <f>IFERROR(VLOOKUP(AP204,'ELA Reading Logic'!$A$22:$B$48,2,FALSE)-VLOOKUP($F204,'ELA Reading Logic'!$A$22:$B$48,2,FALSE),"No Value")</f>
        <v>No Value</v>
      </c>
    </row>
    <row r="205" spans="1:46" ht="22.5" customHeight="1" x14ac:dyDescent="0.25">
      <c r="A205" s="174"/>
      <c r="B205" s="174"/>
      <c r="C205" s="174"/>
      <c r="D205" s="174"/>
      <c r="E205" s="175"/>
      <c r="F205" s="175"/>
      <c r="G205" s="177" t="str">
        <f>IFERROR(IF($E205="Yes","IPP",VLOOKUP($J205,'ELA Reading Logic'!$A$3:$K$9,VLOOKUP("September",'ELA Reading Logic'!$J$22:$K$31,2,FALSE),FALSE)),"Set Grade")</f>
        <v>Set Grade</v>
      </c>
      <c r="H205" s="177" t="str">
        <f>IFERROR(IF($E205="Yes","IPP",VLOOKUP($J205,'ELA Reading Logic'!$A$13:$K$19,VLOOKUP("September",'ELA Reading Logic'!$J$22:$K$31,2,FALSE),FALSE)),"Set Grade")</f>
        <v>Set Grade</v>
      </c>
      <c r="I205" s="96" t="str">
        <f>IF($E205="Yes","IPP",IFERROR(IF(AND(F205&gt;G205,F205&lt;H205),"0",(VLOOKUP(F205,'ELA Reading Logic'!$A$22:$B$48,2,FALSE))-(IF(VLOOKUP(F205,'ELA Reading Logic'!$A$22:$B$48,2,FALSE)&lt;=VLOOKUP(G205,'ELA Reading Logic'!$A$22:$B$48,2,FALSE),VLOOKUP(G205,'ELA Reading Logic'!$A$22:$B$48,2,FALSE),IF(VLOOKUP(F205,'ELA Reading Logic'!$A$22:$B$48,2,FALSE)&gt;=VLOOKUP(H205,'ELA Reading Logic'!$A$22:$B$48,2,FALSE),VLOOKUP(H205,'ELA Reading Logic'!$A$22:$B$48,2,FALSE),"No Score")))),"No Value"))</f>
        <v>No Value</v>
      </c>
      <c r="J205" s="178"/>
      <c r="K205" s="96"/>
      <c r="L205" s="96"/>
      <c r="M205" s="96"/>
      <c r="N205" s="96"/>
      <c r="O205" s="96"/>
      <c r="P205" s="105"/>
      <c r="Q205" s="92"/>
      <c r="R205" s="96" t="str">
        <f>IFERROR(IF($E205="Yes","IPP",VLOOKUP($J205,'ELA Reading Logic'!$A$3:$K$9,VLOOKUP(Q$1,'ELA Reading Logic'!$J$22:$K$31,2,FALSE),FALSE)),"Set Grade")</f>
        <v>Set Grade</v>
      </c>
      <c r="S205" s="96" t="str">
        <f>IFERROR(IF($E205="Yes","IPP",VLOOKUP($J205,'ELA Reading Logic'!$A$13:$K$19,VLOOKUP(Q$1,'ELA Reading Logic'!$J$22:$K$31,2,FALSE),FALSE)),"Set Grade")</f>
        <v>Set Grade</v>
      </c>
      <c r="T205" s="96" t="str">
        <f>IF($E205="Yes","IPP",IFERROR(IF(AND(Q205&gt;R205,Q205&lt;S205),"0",(VLOOKUP(Q205,'ELA Reading Logic'!$A$22:$B$48,2,FALSE))-(IF(VLOOKUP(Q205,'ELA Reading Logic'!$A$22:$B$48,2,FALSE)&lt;=VLOOKUP(R205,'ELA Reading Logic'!$A$22:$B$48,2,FALSE),VLOOKUP(R205,'ELA Reading Logic'!$A$22:$B$48,2,FALSE),IF(VLOOKUP(Q205,'ELA Reading Logic'!$A$22:$B$48,2,FALSE)&gt;=VLOOKUP(S205,'ELA Reading Logic'!$A$22:$B$48,2,FALSE),VLOOKUP(S205,'ELA Reading Logic'!$A$22:$B$48,2,FALSE),"No Score")))),"No Value"))</f>
        <v>No Value</v>
      </c>
      <c r="U205" s="96" t="str">
        <f>IFERROR(VLOOKUP(Q205,'ELA Reading Logic'!$A$22:$B$48,2,FALSE)-VLOOKUP($F205,'ELA Reading Logic'!$A$22:$B$48,2,FALSE),"No Value")</f>
        <v>No Value</v>
      </c>
      <c r="V205" s="92"/>
      <c r="W205" s="96" t="str">
        <f>IFERROR(IF($E205="Yes","IPP",VLOOKUP($J205,'ELA Reading Logic'!$A$3:$K$9,VLOOKUP(V$1,'ELA Reading Logic'!$J$22:$K$31,2,FALSE),FALSE)),"Set Grade")</f>
        <v>Set Grade</v>
      </c>
      <c r="X205" s="96" t="str">
        <f>IFERROR(IF($E205="Yes","IPP",VLOOKUP($J205,'ELA Reading Logic'!$A$13:$K$19,VLOOKUP(V$1,'ELA Reading Logic'!$J$22:$K$31,2,FALSE),FALSE)),"Set Grade")</f>
        <v>Set Grade</v>
      </c>
      <c r="Y205" s="96" t="str">
        <f>IF($E205="Yes","IPP",IFERROR(IF(AND(V205&gt;W205,V205&lt;X205),"0",(VLOOKUP(V205,'ELA Reading Logic'!$A$22:$B$48,2,FALSE))-(IF(VLOOKUP(V205,'ELA Reading Logic'!$A$22:$B$48,2,FALSE)&lt;=VLOOKUP(W205,'ELA Reading Logic'!$A$22:$B$48,2,FALSE),VLOOKUP(W205,'ELA Reading Logic'!$A$22:$B$48,2,FALSE),IF(VLOOKUP(V205,'ELA Reading Logic'!$A$22:$B$48,2,FALSE)&gt;=VLOOKUP(X205,'ELA Reading Logic'!$A$22:$B$48,2,FALSE),VLOOKUP(X205,'ELA Reading Logic'!$A$22:$B$48,2,FALSE),"No Score")))),"No Value"))</f>
        <v>No Value</v>
      </c>
      <c r="Z205" s="96" t="str">
        <f>IFERROR(VLOOKUP(V205,'ELA Reading Logic'!$A$22:$B$48,2,FALSE)-VLOOKUP($F205,'ELA Reading Logic'!$A$22:$B$48,2,FALSE),"No Value")</f>
        <v>No Value</v>
      </c>
      <c r="AA205" s="92"/>
      <c r="AB205" s="96" t="str">
        <f>IFERROR(IF($E205="Yes","IPP",VLOOKUP($J205,'ELA Reading Logic'!$A$3:$K$9,VLOOKUP(AA$1,'ELA Reading Logic'!$J$22:$K$31,2,FALSE),FALSE)),"Set Grade")</f>
        <v>Set Grade</v>
      </c>
      <c r="AC205" s="96" t="str">
        <f>IFERROR(IF($E205="Yes","IPP",VLOOKUP($J205,'ELA Reading Logic'!$A$13:$K$19,VLOOKUP(AA$1,'ELA Reading Logic'!$J$22:$K$31,2,FALSE),FALSE)),"Set Grade")</f>
        <v>Set Grade</v>
      </c>
      <c r="AD205" s="96" t="str">
        <f>IF($E205="Yes","IPP",IFERROR(IF(AND(AA205&gt;AB205,AA205&lt;AC205),"0",(VLOOKUP(AA205,'ELA Reading Logic'!$A$22:$B$48,2,FALSE))-(IF(VLOOKUP(AA205,'ELA Reading Logic'!$A$22:$B$48,2,FALSE)&lt;=VLOOKUP(AB205,'ELA Reading Logic'!$A$22:$B$48,2,FALSE),VLOOKUP(AB205,'ELA Reading Logic'!$A$22:$B$48,2,FALSE),IF(VLOOKUP(AA205,'ELA Reading Logic'!$A$22:$B$48,2,FALSE)&gt;=VLOOKUP(AC205,'ELA Reading Logic'!$A$22:$B$48,2,FALSE),VLOOKUP(AC205,'ELA Reading Logic'!$A$22:$B$48,2,FALSE),"No Score")))),"No Value"))</f>
        <v>No Value</v>
      </c>
      <c r="AE205" s="96" t="str">
        <f>IFERROR(VLOOKUP(AA205,'ELA Reading Logic'!$A$22:$B$48,2,FALSE)-VLOOKUP($F205,'ELA Reading Logic'!$A$22:$B$48,2,FALSE),"No Value")</f>
        <v>No Value</v>
      </c>
      <c r="AF205" s="92"/>
      <c r="AG205" s="96" t="str">
        <f>IFERROR(IF($E205="Yes","IPP",VLOOKUP($J205,'ELA Reading Logic'!$A$3:$K$9,VLOOKUP(AF$1,'ELA Reading Logic'!$J$22:$K$31,2,FALSE),FALSE)),"Set Grade")</f>
        <v>Set Grade</v>
      </c>
      <c r="AH205" s="96" t="str">
        <f>IFERROR(IF($E205="Yes","IPP",VLOOKUP($J205,'ELA Reading Logic'!$A$13:$K$19,VLOOKUP(AF$1,'ELA Reading Logic'!$J$22:$K$31,2,FALSE),FALSE)),"Set Grade")</f>
        <v>Set Grade</v>
      </c>
      <c r="AI205" s="96" t="str">
        <f>IF($E205="Yes","IPP",IFERROR(IF(AND(AF205&gt;AG205,AF205&lt;AH205),"0",(VLOOKUP(AF205,'ELA Reading Logic'!$A$22:$B$48,2,FALSE))-(IF(VLOOKUP(AF205,'ELA Reading Logic'!$A$22:$B$48,2,FALSE)&lt;=VLOOKUP(AG205,'ELA Reading Logic'!$A$22:$B$48,2,FALSE),VLOOKUP(AG205,'ELA Reading Logic'!$A$22:$B$48,2,FALSE),IF(VLOOKUP(AF205,'ELA Reading Logic'!$A$22:$B$48,2,FALSE)&gt;=VLOOKUP(AH205,'ELA Reading Logic'!$A$22:$B$48,2,FALSE),VLOOKUP(AH205,'ELA Reading Logic'!$A$22:$B$48,2,FALSE),"No Score")))),"No Value"))</f>
        <v>No Value</v>
      </c>
      <c r="AJ205" s="96" t="str">
        <f>IFERROR(VLOOKUP(AF205,'ELA Reading Logic'!$A$22:$B$48,2,FALSE)-VLOOKUP($F205,'ELA Reading Logic'!$A$22:$B$48,2,FALSE),"No Value")</f>
        <v>No Value</v>
      </c>
      <c r="AK205" s="92"/>
      <c r="AL205" s="96" t="str">
        <f>IFERROR(IF($E205="Yes","IPP",VLOOKUP($J205,'ELA Reading Logic'!$A$3:$K$9,VLOOKUP(AK$1,'ELA Reading Logic'!$J$22:$K$31,2,FALSE),FALSE)),"Set Grade")</f>
        <v>Set Grade</v>
      </c>
      <c r="AM205" s="96" t="str">
        <f>IFERROR(IF($E205="Yes","IPP",VLOOKUP($J205,'ELA Reading Logic'!$A$13:$K$19,VLOOKUP(AK$1,'ELA Reading Logic'!$J$22:$K$31,2,FALSE),FALSE)),"Set Grade")</f>
        <v>Set Grade</v>
      </c>
      <c r="AN205" s="96" t="str">
        <f>IF($E205="Yes","IPP",IFERROR(IF(AND(AK205&gt;AL205,AK205&lt;AM205),"0",(VLOOKUP(AK205,'ELA Reading Logic'!$A$22:$B$48,2,FALSE))-(IF(VLOOKUP(AK205,'ELA Reading Logic'!$A$22:$B$48,2,FALSE)&lt;=VLOOKUP(AL205,'ELA Reading Logic'!$A$22:$B$48,2,FALSE),VLOOKUP(AL205,'ELA Reading Logic'!$A$22:$B$48,2,FALSE),IF(VLOOKUP(AK205,'ELA Reading Logic'!$A$22:$B$48,2,FALSE)&gt;=VLOOKUP(AM205,'ELA Reading Logic'!$A$22:$B$48,2,FALSE),VLOOKUP(AM205,'ELA Reading Logic'!$A$22:$B$48,2,FALSE),"No Score")))),"No Value"))</f>
        <v>No Value</v>
      </c>
      <c r="AO205" s="96" t="str">
        <f>IFERROR(VLOOKUP(AK205,'ELA Reading Logic'!$A$22:$B$48,2,FALSE)-VLOOKUP($F205,'ELA Reading Logic'!$A$22:$B$48,2,FALSE),"No Value")</f>
        <v>No Value</v>
      </c>
      <c r="AP205" s="92"/>
      <c r="AQ205" s="96" t="str">
        <f>IFERROR(IF($E205="Yes","IPP",VLOOKUP($J205,'ELA Reading Logic'!$A$3:$K$9,VLOOKUP(AP$1,'ELA Reading Logic'!$J$22:$K$31,2,FALSE),FALSE)),"Set Grade")</f>
        <v>Set Grade</v>
      </c>
      <c r="AR205" s="96" t="str">
        <f>IFERROR(IF($E205="Yes","IPP",VLOOKUP($J205,'ELA Reading Logic'!$A$13:$K$19,VLOOKUP(AP$1,'ELA Reading Logic'!$J$22:$K$31,2,FALSE),FALSE)),"Set Grade")</f>
        <v>Set Grade</v>
      </c>
      <c r="AS205" s="96" t="str">
        <f>IF($E205="Yes","IPP",IFERROR(IF(AND(AP205&gt;AQ205,AP205&lt;AR205),"0",(VLOOKUP(AP205,'ELA Reading Logic'!$A$22:$B$48,2,FALSE))-(IF(VLOOKUP(AP205,'ELA Reading Logic'!$A$22:$B$48,2,FALSE)&lt;=VLOOKUP(AQ205,'ELA Reading Logic'!$A$22:$B$48,2,FALSE),VLOOKUP(AQ205,'ELA Reading Logic'!$A$22:$B$48,2,FALSE),IF(VLOOKUP(AP205,'ELA Reading Logic'!$A$22:$B$48,2,FALSE)&gt;=VLOOKUP(AR205,'ELA Reading Logic'!$A$22:$B$48,2,FALSE),VLOOKUP(AR205,'ELA Reading Logic'!$A$22:$B$48,2,FALSE),"No Score")))),"No Value"))</f>
        <v>No Value</v>
      </c>
      <c r="AT205" s="96" t="str">
        <f>IFERROR(VLOOKUP(AP205,'ELA Reading Logic'!$A$22:$B$48,2,FALSE)-VLOOKUP($F205,'ELA Reading Logic'!$A$22:$B$48,2,FALSE),"No Value")</f>
        <v>No Value</v>
      </c>
    </row>
    <row r="206" spans="1:46" ht="22.5" customHeight="1" x14ac:dyDescent="0.25">
      <c r="A206" s="176"/>
      <c r="B206" s="176"/>
      <c r="C206" s="176"/>
      <c r="D206" s="176"/>
      <c r="E206" s="175"/>
      <c r="F206" s="175"/>
      <c r="G206" s="177" t="str">
        <f>IFERROR(IF($E206="Yes","IPP",VLOOKUP($J206,'ELA Reading Logic'!$A$3:$K$9,VLOOKUP("September",'ELA Reading Logic'!$J$22:$K$31,2,FALSE),FALSE)),"Set Grade")</f>
        <v>Set Grade</v>
      </c>
      <c r="H206" s="177" t="str">
        <f>IFERROR(IF($E206="Yes","IPP",VLOOKUP($J206,'ELA Reading Logic'!$A$13:$K$19,VLOOKUP("September",'ELA Reading Logic'!$J$22:$K$31,2,FALSE),FALSE)),"Set Grade")</f>
        <v>Set Grade</v>
      </c>
      <c r="I206" s="96" t="str">
        <f>IF($E206="Yes","IPP",IFERROR(IF(AND(F206&gt;G206,F206&lt;H206),"0",(VLOOKUP(F206,'ELA Reading Logic'!$A$22:$B$48,2,FALSE))-(IF(VLOOKUP(F206,'ELA Reading Logic'!$A$22:$B$48,2,FALSE)&lt;=VLOOKUP(G206,'ELA Reading Logic'!$A$22:$B$48,2,FALSE),VLOOKUP(G206,'ELA Reading Logic'!$A$22:$B$48,2,FALSE),IF(VLOOKUP(F206,'ELA Reading Logic'!$A$22:$B$48,2,FALSE)&gt;=VLOOKUP(H206,'ELA Reading Logic'!$A$22:$B$48,2,FALSE),VLOOKUP(H206,'ELA Reading Logic'!$A$22:$B$48,2,FALSE),"No Score")))),"No Value"))</f>
        <v>No Value</v>
      </c>
      <c r="J206" s="178"/>
      <c r="K206" s="96"/>
      <c r="L206" s="96"/>
      <c r="M206" s="96"/>
      <c r="N206" s="96"/>
      <c r="O206" s="96"/>
      <c r="P206" s="105"/>
      <c r="Q206" s="92"/>
      <c r="R206" s="96" t="str">
        <f>IFERROR(IF($E206="Yes","IPP",VLOOKUP($J206,'ELA Reading Logic'!$A$3:$K$9,VLOOKUP(Q$1,'ELA Reading Logic'!$J$22:$K$31,2,FALSE),FALSE)),"Set Grade")</f>
        <v>Set Grade</v>
      </c>
      <c r="S206" s="96" t="str">
        <f>IFERROR(IF($E206="Yes","IPP",VLOOKUP($J206,'ELA Reading Logic'!$A$13:$K$19,VLOOKUP(Q$1,'ELA Reading Logic'!$J$22:$K$31,2,FALSE),FALSE)),"Set Grade")</f>
        <v>Set Grade</v>
      </c>
      <c r="T206" s="96" t="str">
        <f>IF($E206="Yes","IPP",IFERROR(IF(AND(Q206&gt;R206,Q206&lt;S206),"0",(VLOOKUP(Q206,'ELA Reading Logic'!$A$22:$B$48,2,FALSE))-(IF(VLOOKUP(Q206,'ELA Reading Logic'!$A$22:$B$48,2,FALSE)&lt;=VLOOKUP(R206,'ELA Reading Logic'!$A$22:$B$48,2,FALSE),VLOOKUP(R206,'ELA Reading Logic'!$A$22:$B$48,2,FALSE),IF(VLOOKUP(Q206,'ELA Reading Logic'!$A$22:$B$48,2,FALSE)&gt;=VLOOKUP(S206,'ELA Reading Logic'!$A$22:$B$48,2,FALSE),VLOOKUP(S206,'ELA Reading Logic'!$A$22:$B$48,2,FALSE),"No Score")))),"No Value"))</f>
        <v>No Value</v>
      </c>
      <c r="U206" s="96" t="str">
        <f>IFERROR(VLOOKUP(Q206,'ELA Reading Logic'!$A$22:$B$48,2,FALSE)-VLOOKUP($F206,'ELA Reading Logic'!$A$22:$B$48,2,FALSE),"No Value")</f>
        <v>No Value</v>
      </c>
      <c r="V206" s="92"/>
      <c r="W206" s="96" t="str">
        <f>IFERROR(IF($E206="Yes","IPP",VLOOKUP($J206,'ELA Reading Logic'!$A$3:$K$9,VLOOKUP(V$1,'ELA Reading Logic'!$J$22:$K$31,2,FALSE),FALSE)),"Set Grade")</f>
        <v>Set Grade</v>
      </c>
      <c r="X206" s="96" t="str">
        <f>IFERROR(IF($E206="Yes","IPP",VLOOKUP($J206,'ELA Reading Logic'!$A$13:$K$19,VLOOKUP(V$1,'ELA Reading Logic'!$J$22:$K$31,2,FALSE),FALSE)),"Set Grade")</f>
        <v>Set Grade</v>
      </c>
      <c r="Y206" s="96" t="str">
        <f>IF($E206="Yes","IPP",IFERROR(IF(AND(V206&gt;W206,V206&lt;X206),"0",(VLOOKUP(V206,'ELA Reading Logic'!$A$22:$B$48,2,FALSE))-(IF(VLOOKUP(V206,'ELA Reading Logic'!$A$22:$B$48,2,FALSE)&lt;=VLOOKUP(W206,'ELA Reading Logic'!$A$22:$B$48,2,FALSE),VLOOKUP(W206,'ELA Reading Logic'!$A$22:$B$48,2,FALSE),IF(VLOOKUP(V206,'ELA Reading Logic'!$A$22:$B$48,2,FALSE)&gt;=VLOOKUP(X206,'ELA Reading Logic'!$A$22:$B$48,2,FALSE),VLOOKUP(X206,'ELA Reading Logic'!$A$22:$B$48,2,FALSE),"No Score")))),"No Value"))</f>
        <v>No Value</v>
      </c>
      <c r="Z206" s="96" t="str">
        <f>IFERROR(VLOOKUP(V206,'ELA Reading Logic'!$A$22:$B$48,2,FALSE)-VLOOKUP($F206,'ELA Reading Logic'!$A$22:$B$48,2,FALSE),"No Value")</f>
        <v>No Value</v>
      </c>
      <c r="AA206" s="92"/>
      <c r="AB206" s="96" t="str">
        <f>IFERROR(IF($E206="Yes","IPP",VLOOKUP($J206,'ELA Reading Logic'!$A$3:$K$9,VLOOKUP(AA$1,'ELA Reading Logic'!$J$22:$K$31,2,FALSE),FALSE)),"Set Grade")</f>
        <v>Set Grade</v>
      </c>
      <c r="AC206" s="96" t="str">
        <f>IFERROR(IF($E206="Yes","IPP",VLOOKUP($J206,'ELA Reading Logic'!$A$13:$K$19,VLOOKUP(AA$1,'ELA Reading Logic'!$J$22:$K$31,2,FALSE),FALSE)),"Set Grade")</f>
        <v>Set Grade</v>
      </c>
      <c r="AD206" s="96" t="str">
        <f>IF($E206="Yes","IPP",IFERROR(IF(AND(AA206&gt;AB206,AA206&lt;AC206),"0",(VLOOKUP(AA206,'ELA Reading Logic'!$A$22:$B$48,2,FALSE))-(IF(VLOOKUP(AA206,'ELA Reading Logic'!$A$22:$B$48,2,FALSE)&lt;=VLOOKUP(AB206,'ELA Reading Logic'!$A$22:$B$48,2,FALSE),VLOOKUP(AB206,'ELA Reading Logic'!$A$22:$B$48,2,FALSE),IF(VLOOKUP(AA206,'ELA Reading Logic'!$A$22:$B$48,2,FALSE)&gt;=VLOOKUP(AC206,'ELA Reading Logic'!$A$22:$B$48,2,FALSE),VLOOKUP(AC206,'ELA Reading Logic'!$A$22:$B$48,2,FALSE),"No Score")))),"No Value"))</f>
        <v>No Value</v>
      </c>
      <c r="AE206" s="96" t="str">
        <f>IFERROR(VLOOKUP(AA206,'ELA Reading Logic'!$A$22:$B$48,2,FALSE)-VLOOKUP($F206,'ELA Reading Logic'!$A$22:$B$48,2,FALSE),"No Value")</f>
        <v>No Value</v>
      </c>
      <c r="AF206" s="92"/>
      <c r="AG206" s="96" t="str">
        <f>IFERROR(IF($E206="Yes","IPP",VLOOKUP($J206,'ELA Reading Logic'!$A$3:$K$9,VLOOKUP(AF$1,'ELA Reading Logic'!$J$22:$K$31,2,FALSE),FALSE)),"Set Grade")</f>
        <v>Set Grade</v>
      </c>
      <c r="AH206" s="96" t="str">
        <f>IFERROR(IF($E206="Yes","IPP",VLOOKUP($J206,'ELA Reading Logic'!$A$13:$K$19,VLOOKUP(AF$1,'ELA Reading Logic'!$J$22:$K$31,2,FALSE),FALSE)),"Set Grade")</f>
        <v>Set Grade</v>
      </c>
      <c r="AI206" s="96" t="str">
        <f>IF($E206="Yes","IPP",IFERROR(IF(AND(AF206&gt;AG206,AF206&lt;AH206),"0",(VLOOKUP(AF206,'ELA Reading Logic'!$A$22:$B$48,2,FALSE))-(IF(VLOOKUP(AF206,'ELA Reading Logic'!$A$22:$B$48,2,FALSE)&lt;=VLOOKUP(AG206,'ELA Reading Logic'!$A$22:$B$48,2,FALSE),VLOOKUP(AG206,'ELA Reading Logic'!$A$22:$B$48,2,FALSE),IF(VLOOKUP(AF206,'ELA Reading Logic'!$A$22:$B$48,2,FALSE)&gt;=VLOOKUP(AH206,'ELA Reading Logic'!$A$22:$B$48,2,FALSE),VLOOKUP(AH206,'ELA Reading Logic'!$A$22:$B$48,2,FALSE),"No Score")))),"No Value"))</f>
        <v>No Value</v>
      </c>
      <c r="AJ206" s="96" t="str">
        <f>IFERROR(VLOOKUP(AF206,'ELA Reading Logic'!$A$22:$B$48,2,FALSE)-VLOOKUP($F206,'ELA Reading Logic'!$A$22:$B$48,2,FALSE),"No Value")</f>
        <v>No Value</v>
      </c>
      <c r="AK206" s="92"/>
      <c r="AL206" s="96" t="str">
        <f>IFERROR(IF($E206="Yes","IPP",VLOOKUP($J206,'ELA Reading Logic'!$A$3:$K$9,VLOOKUP(AK$1,'ELA Reading Logic'!$J$22:$K$31,2,FALSE),FALSE)),"Set Grade")</f>
        <v>Set Grade</v>
      </c>
      <c r="AM206" s="96" t="str">
        <f>IFERROR(IF($E206="Yes","IPP",VLOOKUP($J206,'ELA Reading Logic'!$A$13:$K$19,VLOOKUP(AK$1,'ELA Reading Logic'!$J$22:$K$31,2,FALSE),FALSE)),"Set Grade")</f>
        <v>Set Grade</v>
      </c>
      <c r="AN206" s="96" t="str">
        <f>IF($E206="Yes","IPP",IFERROR(IF(AND(AK206&gt;AL206,AK206&lt;AM206),"0",(VLOOKUP(AK206,'ELA Reading Logic'!$A$22:$B$48,2,FALSE))-(IF(VLOOKUP(AK206,'ELA Reading Logic'!$A$22:$B$48,2,FALSE)&lt;=VLOOKUP(AL206,'ELA Reading Logic'!$A$22:$B$48,2,FALSE),VLOOKUP(AL206,'ELA Reading Logic'!$A$22:$B$48,2,FALSE),IF(VLOOKUP(AK206,'ELA Reading Logic'!$A$22:$B$48,2,FALSE)&gt;=VLOOKUP(AM206,'ELA Reading Logic'!$A$22:$B$48,2,FALSE),VLOOKUP(AM206,'ELA Reading Logic'!$A$22:$B$48,2,FALSE),"No Score")))),"No Value"))</f>
        <v>No Value</v>
      </c>
      <c r="AO206" s="96" t="str">
        <f>IFERROR(VLOOKUP(AK206,'ELA Reading Logic'!$A$22:$B$48,2,FALSE)-VLOOKUP($F206,'ELA Reading Logic'!$A$22:$B$48,2,FALSE),"No Value")</f>
        <v>No Value</v>
      </c>
      <c r="AP206" s="92"/>
      <c r="AQ206" s="96" t="str">
        <f>IFERROR(IF($E206="Yes","IPP",VLOOKUP($J206,'ELA Reading Logic'!$A$3:$K$9,VLOOKUP(AP$1,'ELA Reading Logic'!$J$22:$K$31,2,FALSE),FALSE)),"Set Grade")</f>
        <v>Set Grade</v>
      </c>
      <c r="AR206" s="96" t="str">
        <f>IFERROR(IF($E206="Yes","IPP",VLOOKUP($J206,'ELA Reading Logic'!$A$13:$K$19,VLOOKUP(AP$1,'ELA Reading Logic'!$J$22:$K$31,2,FALSE),FALSE)),"Set Grade")</f>
        <v>Set Grade</v>
      </c>
      <c r="AS206" s="96" t="str">
        <f>IF($E206="Yes","IPP",IFERROR(IF(AND(AP206&gt;AQ206,AP206&lt;AR206),"0",(VLOOKUP(AP206,'ELA Reading Logic'!$A$22:$B$48,2,FALSE))-(IF(VLOOKUP(AP206,'ELA Reading Logic'!$A$22:$B$48,2,FALSE)&lt;=VLOOKUP(AQ206,'ELA Reading Logic'!$A$22:$B$48,2,FALSE),VLOOKUP(AQ206,'ELA Reading Logic'!$A$22:$B$48,2,FALSE),IF(VLOOKUP(AP206,'ELA Reading Logic'!$A$22:$B$48,2,FALSE)&gt;=VLOOKUP(AR206,'ELA Reading Logic'!$A$22:$B$48,2,FALSE),VLOOKUP(AR206,'ELA Reading Logic'!$A$22:$B$48,2,FALSE),"No Score")))),"No Value"))</f>
        <v>No Value</v>
      </c>
      <c r="AT206" s="96" t="str">
        <f>IFERROR(VLOOKUP(AP206,'ELA Reading Logic'!$A$22:$B$48,2,FALSE)-VLOOKUP($F206,'ELA Reading Logic'!$A$22:$B$48,2,FALSE),"No Value")</f>
        <v>No Value</v>
      </c>
    </row>
    <row r="207" spans="1:46" ht="22.5" customHeight="1" x14ac:dyDescent="0.25">
      <c r="A207" s="174"/>
      <c r="B207" s="174"/>
      <c r="C207" s="174"/>
      <c r="D207" s="174"/>
      <c r="E207" s="175"/>
      <c r="F207" s="175"/>
      <c r="G207" s="177" t="str">
        <f>IFERROR(IF($E207="Yes","IPP",VLOOKUP($J207,'ELA Reading Logic'!$A$3:$K$9,VLOOKUP("September",'ELA Reading Logic'!$J$22:$K$31,2,FALSE),FALSE)),"Set Grade")</f>
        <v>Set Grade</v>
      </c>
      <c r="H207" s="177" t="str">
        <f>IFERROR(IF($E207="Yes","IPP",VLOOKUP($J207,'ELA Reading Logic'!$A$13:$K$19,VLOOKUP("September",'ELA Reading Logic'!$J$22:$K$31,2,FALSE),FALSE)),"Set Grade")</f>
        <v>Set Grade</v>
      </c>
      <c r="I207" s="96" t="str">
        <f>IF($E207="Yes","IPP",IFERROR(IF(AND(F207&gt;G207,F207&lt;H207),"0",(VLOOKUP(F207,'ELA Reading Logic'!$A$22:$B$48,2,FALSE))-(IF(VLOOKUP(F207,'ELA Reading Logic'!$A$22:$B$48,2,FALSE)&lt;=VLOOKUP(G207,'ELA Reading Logic'!$A$22:$B$48,2,FALSE),VLOOKUP(G207,'ELA Reading Logic'!$A$22:$B$48,2,FALSE),IF(VLOOKUP(F207,'ELA Reading Logic'!$A$22:$B$48,2,FALSE)&gt;=VLOOKUP(H207,'ELA Reading Logic'!$A$22:$B$48,2,FALSE),VLOOKUP(H207,'ELA Reading Logic'!$A$22:$B$48,2,FALSE),"No Score")))),"No Value"))</f>
        <v>No Value</v>
      </c>
      <c r="J207" s="178"/>
      <c r="K207" s="96"/>
      <c r="L207" s="96"/>
      <c r="M207" s="96"/>
      <c r="N207" s="96"/>
      <c r="O207" s="96"/>
      <c r="P207" s="105"/>
      <c r="Q207" s="92"/>
      <c r="R207" s="96" t="str">
        <f>IFERROR(IF($E207="Yes","IPP",VLOOKUP($J207,'ELA Reading Logic'!$A$3:$K$9,VLOOKUP(Q$1,'ELA Reading Logic'!$J$22:$K$31,2,FALSE),FALSE)),"Set Grade")</f>
        <v>Set Grade</v>
      </c>
      <c r="S207" s="96" t="str">
        <f>IFERROR(IF($E207="Yes","IPP",VLOOKUP($J207,'ELA Reading Logic'!$A$13:$K$19,VLOOKUP(Q$1,'ELA Reading Logic'!$J$22:$K$31,2,FALSE),FALSE)),"Set Grade")</f>
        <v>Set Grade</v>
      </c>
      <c r="T207" s="96" t="str">
        <f>IF($E207="Yes","IPP",IFERROR(IF(AND(Q207&gt;R207,Q207&lt;S207),"0",(VLOOKUP(Q207,'ELA Reading Logic'!$A$22:$B$48,2,FALSE))-(IF(VLOOKUP(Q207,'ELA Reading Logic'!$A$22:$B$48,2,FALSE)&lt;=VLOOKUP(R207,'ELA Reading Logic'!$A$22:$B$48,2,FALSE),VLOOKUP(R207,'ELA Reading Logic'!$A$22:$B$48,2,FALSE),IF(VLOOKUP(Q207,'ELA Reading Logic'!$A$22:$B$48,2,FALSE)&gt;=VLOOKUP(S207,'ELA Reading Logic'!$A$22:$B$48,2,FALSE),VLOOKUP(S207,'ELA Reading Logic'!$A$22:$B$48,2,FALSE),"No Score")))),"No Value"))</f>
        <v>No Value</v>
      </c>
      <c r="U207" s="96" t="str">
        <f>IFERROR(VLOOKUP(Q207,'ELA Reading Logic'!$A$22:$B$48,2,FALSE)-VLOOKUP($F207,'ELA Reading Logic'!$A$22:$B$48,2,FALSE),"No Value")</f>
        <v>No Value</v>
      </c>
      <c r="V207" s="92"/>
      <c r="W207" s="96" t="str">
        <f>IFERROR(IF($E207="Yes","IPP",VLOOKUP($J207,'ELA Reading Logic'!$A$3:$K$9,VLOOKUP(V$1,'ELA Reading Logic'!$J$22:$K$31,2,FALSE),FALSE)),"Set Grade")</f>
        <v>Set Grade</v>
      </c>
      <c r="X207" s="96" t="str">
        <f>IFERROR(IF($E207="Yes","IPP",VLOOKUP($J207,'ELA Reading Logic'!$A$13:$K$19,VLOOKUP(V$1,'ELA Reading Logic'!$J$22:$K$31,2,FALSE),FALSE)),"Set Grade")</f>
        <v>Set Grade</v>
      </c>
      <c r="Y207" s="96" t="str">
        <f>IF($E207="Yes","IPP",IFERROR(IF(AND(V207&gt;W207,V207&lt;X207),"0",(VLOOKUP(V207,'ELA Reading Logic'!$A$22:$B$48,2,FALSE))-(IF(VLOOKUP(V207,'ELA Reading Logic'!$A$22:$B$48,2,FALSE)&lt;=VLOOKUP(W207,'ELA Reading Logic'!$A$22:$B$48,2,FALSE),VLOOKUP(W207,'ELA Reading Logic'!$A$22:$B$48,2,FALSE),IF(VLOOKUP(V207,'ELA Reading Logic'!$A$22:$B$48,2,FALSE)&gt;=VLOOKUP(X207,'ELA Reading Logic'!$A$22:$B$48,2,FALSE),VLOOKUP(X207,'ELA Reading Logic'!$A$22:$B$48,2,FALSE),"No Score")))),"No Value"))</f>
        <v>No Value</v>
      </c>
      <c r="Z207" s="96" t="str">
        <f>IFERROR(VLOOKUP(V207,'ELA Reading Logic'!$A$22:$B$48,2,FALSE)-VLOOKUP($F207,'ELA Reading Logic'!$A$22:$B$48,2,FALSE),"No Value")</f>
        <v>No Value</v>
      </c>
      <c r="AA207" s="92"/>
      <c r="AB207" s="96" t="str">
        <f>IFERROR(IF($E207="Yes","IPP",VLOOKUP($J207,'ELA Reading Logic'!$A$3:$K$9,VLOOKUP(AA$1,'ELA Reading Logic'!$J$22:$K$31,2,FALSE),FALSE)),"Set Grade")</f>
        <v>Set Grade</v>
      </c>
      <c r="AC207" s="96" t="str">
        <f>IFERROR(IF($E207="Yes","IPP",VLOOKUP($J207,'ELA Reading Logic'!$A$13:$K$19,VLOOKUP(AA$1,'ELA Reading Logic'!$J$22:$K$31,2,FALSE),FALSE)),"Set Grade")</f>
        <v>Set Grade</v>
      </c>
      <c r="AD207" s="96" t="str">
        <f>IF($E207="Yes","IPP",IFERROR(IF(AND(AA207&gt;AB207,AA207&lt;AC207),"0",(VLOOKUP(AA207,'ELA Reading Logic'!$A$22:$B$48,2,FALSE))-(IF(VLOOKUP(AA207,'ELA Reading Logic'!$A$22:$B$48,2,FALSE)&lt;=VLOOKUP(AB207,'ELA Reading Logic'!$A$22:$B$48,2,FALSE),VLOOKUP(AB207,'ELA Reading Logic'!$A$22:$B$48,2,FALSE),IF(VLOOKUP(AA207,'ELA Reading Logic'!$A$22:$B$48,2,FALSE)&gt;=VLOOKUP(AC207,'ELA Reading Logic'!$A$22:$B$48,2,FALSE),VLOOKUP(AC207,'ELA Reading Logic'!$A$22:$B$48,2,FALSE),"No Score")))),"No Value"))</f>
        <v>No Value</v>
      </c>
      <c r="AE207" s="96" t="str">
        <f>IFERROR(VLOOKUP(AA207,'ELA Reading Logic'!$A$22:$B$48,2,FALSE)-VLOOKUP($F207,'ELA Reading Logic'!$A$22:$B$48,2,FALSE),"No Value")</f>
        <v>No Value</v>
      </c>
      <c r="AF207" s="92"/>
      <c r="AG207" s="96" t="str">
        <f>IFERROR(IF($E207="Yes","IPP",VLOOKUP($J207,'ELA Reading Logic'!$A$3:$K$9,VLOOKUP(AF$1,'ELA Reading Logic'!$J$22:$K$31,2,FALSE),FALSE)),"Set Grade")</f>
        <v>Set Grade</v>
      </c>
      <c r="AH207" s="96" t="str">
        <f>IFERROR(IF($E207="Yes","IPP",VLOOKUP($J207,'ELA Reading Logic'!$A$13:$K$19,VLOOKUP(AF$1,'ELA Reading Logic'!$J$22:$K$31,2,FALSE),FALSE)),"Set Grade")</f>
        <v>Set Grade</v>
      </c>
      <c r="AI207" s="96" t="str">
        <f>IF($E207="Yes","IPP",IFERROR(IF(AND(AF207&gt;AG207,AF207&lt;AH207),"0",(VLOOKUP(AF207,'ELA Reading Logic'!$A$22:$B$48,2,FALSE))-(IF(VLOOKUP(AF207,'ELA Reading Logic'!$A$22:$B$48,2,FALSE)&lt;=VLOOKUP(AG207,'ELA Reading Logic'!$A$22:$B$48,2,FALSE),VLOOKUP(AG207,'ELA Reading Logic'!$A$22:$B$48,2,FALSE),IF(VLOOKUP(AF207,'ELA Reading Logic'!$A$22:$B$48,2,FALSE)&gt;=VLOOKUP(AH207,'ELA Reading Logic'!$A$22:$B$48,2,FALSE),VLOOKUP(AH207,'ELA Reading Logic'!$A$22:$B$48,2,FALSE),"No Score")))),"No Value"))</f>
        <v>No Value</v>
      </c>
      <c r="AJ207" s="96" t="str">
        <f>IFERROR(VLOOKUP(AF207,'ELA Reading Logic'!$A$22:$B$48,2,FALSE)-VLOOKUP($F207,'ELA Reading Logic'!$A$22:$B$48,2,FALSE),"No Value")</f>
        <v>No Value</v>
      </c>
      <c r="AK207" s="92"/>
      <c r="AL207" s="96" t="str">
        <f>IFERROR(IF($E207="Yes","IPP",VLOOKUP($J207,'ELA Reading Logic'!$A$3:$K$9,VLOOKUP(AK$1,'ELA Reading Logic'!$J$22:$K$31,2,FALSE),FALSE)),"Set Grade")</f>
        <v>Set Grade</v>
      </c>
      <c r="AM207" s="96" t="str">
        <f>IFERROR(IF($E207="Yes","IPP",VLOOKUP($J207,'ELA Reading Logic'!$A$13:$K$19,VLOOKUP(AK$1,'ELA Reading Logic'!$J$22:$K$31,2,FALSE),FALSE)),"Set Grade")</f>
        <v>Set Grade</v>
      </c>
      <c r="AN207" s="96" t="str">
        <f>IF($E207="Yes","IPP",IFERROR(IF(AND(AK207&gt;AL207,AK207&lt;AM207),"0",(VLOOKUP(AK207,'ELA Reading Logic'!$A$22:$B$48,2,FALSE))-(IF(VLOOKUP(AK207,'ELA Reading Logic'!$A$22:$B$48,2,FALSE)&lt;=VLOOKUP(AL207,'ELA Reading Logic'!$A$22:$B$48,2,FALSE),VLOOKUP(AL207,'ELA Reading Logic'!$A$22:$B$48,2,FALSE),IF(VLOOKUP(AK207,'ELA Reading Logic'!$A$22:$B$48,2,FALSE)&gt;=VLOOKUP(AM207,'ELA Reading Logic'!$A$22:$B$48,2,FALSE),VLOOKUP(AM207,'ELA Reading Logic'!$A$22:$B$48,2,FALSE),"No Score")))),"No Value"))</f>
        <v>No Value</v>
      </c>
      <c r="AO207" s="96" t="str">
        <f>IFERROR(VLOOKUP(AK207,'ELA Reading Logic'!$A$22:$B$48,2,FALSE)-VLOOKUP($F207,'ELA Reading Logic'!$A$22:$B$48,2,FALSE),"No Value")</f>
        <v>No Value</v>
      </c>
      <c r="AP207" s="92"/>
      <c r="AQ207" s="96" t="str">
        <f>IFERROR(IF($E207="Yes","IPP",VLOOKUP($J207,'ELA Reading Logic'!$A$3:$K$9,VLOOKUP(AP$1,'ELA Reading Logic'!$J$22:$K$31,2,FALSE),FALSE)),"Set Grade")</f>
        <v>Set Grade</v>
      </c>
      <c r="AR207" s="96" t="str">
        <f>IFERROR(IF($E207="Yes","IPP",VLOOKUP($J207,'ELA Reading Logic'!$A$13:$K$19,VLOOKUP(AP$1,'ELA Reading Logic'!$J$22:$K$31,2,FALSE),FALSE)),"Set Grade")</f>
        <v>Set Grade</v>
      </c>
      <c r="AS207" s="96" t="str">
        <f>IF($E207="Yes","IPP",IFERROR(IF(AND(AP207&gt;AQ207,AP207&lt;AR207),"0",(VLOOKUP(AP207,'ELA Reading Logic'!$A$22:$B$48,2,FALSE))-(IF(VLOOKUP(AP207,'ELA Reading Logic'!$A$22:$B$48,2,FALSE)&lt;=VLOOKUP(AQ207,'ELA Reading Logic'!$A$22:$B$48,2,FALSE),VLOOKUP(AQ207,'ELA Reading Logic'!$A$22:$B$48,2,FALSE),IF(VLOOKUP(AP207,'ELA Reading Logic'!$A$22:$B$48,2,FALSE)&gt;=VLOOKUP(AR207,'ELA Reading Logic'!$A$22:$B$48,2,FALSE),VLOOKUP(AR207,'ELA Reading Logic'!$A$22:$B$48,2,FALSE),"No Score")))),"No Value"))</f>
        <v>No Value</v>
      </c>
      <c r="AT207" s="96" t="str">
        <f>IFERROR(VLOOKUP(AP207,'ELA Reading Logic'!$A$22:$B$48,2,FALSE)-VLOOKUP($F207,'ELA Reading Logic'!$A$22:$B$48,2,FALSE),"No Value")</f>
        <v>No Value</v>
      </c>
    </row>
    <row r="208" spans="1:46" ht="22.5" customHeight="1" x14ac:dyDescent="0.25">
      <c r="A208" s="176"/>
      <c r="B208" s="176"/>
      <c r="C208" s="176"/>
      <c r="D208" s="176"/>
      <c r="E208" s="175"/>
      <c r="F208" s="175"/>
      <c r="G208" s="177" t="str">
        <f>IFERROR(IF($E208="Yes","IPP",VLOOKUP($J208,'ELA Reading Logic'!$A$3:$K$9,VLOOKUP("September",'ELA Reading Logic'!$J$22:$K$31,2,FALSE),FALSE)),"Set Grade")</f>
        <v>Set Grade</v>
      </c>
      <c r="H208" s="177" t="str">
        <f>IFERROR(IF($E208="Yes","IPP",VLOOKUP($J208,'ELA Reading Logic'!$A$13:$K$19,VLOOKUP("September",'ELA Reading Logic'!$J$22:$K$31,2,FALSE),FALSE)),"Set Grade")</f>
        <v>Set Grade</v>
      </c>
      <c r="I208" s="96" t="str">
        <f>IF($E208="Yes","IPP",IFERROR(IF(AND(F208&gt;G208,F208&lt;H208),"0",(VLOOKUP(F208,'ELA Reading Logic'!$A$22:$B$48,2,FALSE))-(IF(VLOOKUP(F208,'ELA Reading Logic'!$A$22:$B$48,2,FALSE)&lt;=VLOOKUP(G208,'ELA Reading Logic'!$A$22:$B$48,2,FALSE),VLOOKUP(G208,'ELA Reading Logic'!$A$22:$B$48,2,FALSE),IF(VLOOKUP(F208,'ELA Reading Logic'!$A$22:$B$48,2,FALSE)&gt;=VLOOKUP(H208,'ELA Reading Logic'!$A$22:$B$48,2,FALSE),VLOOKUP(H208,'ELA Reading Logic'!$A$22:$B$48,2,FALSE),"No Score")))),"No Value"))</f>
        <v>No Value</v>
      </c>
      <c r="J208" s="178"/>
      <c r="K208" s="96"/>
      <c r="L208" s="96"/>
      <c r="M208" s="96"/>
      <c r="N208" s="96"/>
      <c r="O208" s="96"/>
      <c r="P208" s="105"/>
      <c r="Q208" s="92"/>
      <c r="R208" s="96" t="str">
        <f>IFERROR(IF($E208="Yes","IPP",VLOOKUP($J208,'ELA Reading Logic'!$A$3:$K$9,VLOOKUP(Q$1,'ELA Reading Logic'!$J$22:$K$31,2,FALSE),FALSE)),"Set Grade")</f>
        <v>Set Grade</v>
      </c>
      <c r="S208" s="96" t="str">
        <f>IFERROR(IF($E208="Yes","IPP",VLOOKUP($J208,'ELA Reading Logic'!$A$13:$K$19,VLOOKUP(Q$1,'ELA Reading Logic'!$J$22:$K$31,2,FALSE),FALSE)),"Set Grade")</f>
        <v>Set Grade</v>
      </c>
      <c r="T208" s="96" t="str">
        <f>IF($E208="Yes","IPP",IFERROR(IF(AND(Q208&gt;R208,Q208&lt;S208),"0",(VLOOKUP(Q208,'ELA Reading Logic'!$A$22:$B$48,2,FALSE))-(IF(VLOOKUP(Q208,'ELA Reading Logic'!$A$22:$B$48,2,FALSE)&lt;=VLOOKUP(R208,'ELA Reading Logic'!$A$22:$B$48,2,FALSE),VLOOKUP(R208,'ELA Reading Logic'!$A$22:$B$48,2,FALSE),IF(VLOOKUP(Q208,'ELA Reading Logic'!$A$22:$B$48,2,FALSE)&gt;=VLOOKUP(S208,'ELA Reading Logic'!$A$22:$B$48,2,FALSE),VLOOKUP(S208,'ELA Reading Logic'!$A$22:$B$48,2,FALSE),"No Score")))),"No Value"))</f>
        <v>No Value</v>
      </c>
      <c r="U208" s="96" t="str">
        <f>IFERROR(VLOOKUP(Q208,'ELA Reading Logic'!$A$22:$B$48,2,FALSE)-VLOOKUP($F208,'ELA Reading Logic'!$A$22:$B$48,2,FALSE),"No Value")</f>
        <v>No Value</v>
      </c>
      <c r="V208" s="92"/>
      <c r="W208" s="96" t="str">
        <f>IFERROR(IF($E208="Yes","IPP",VLOOKUP($J208,'ELA Reading Logic'!$A$3:$K$9,VLOOKUP(V$1,'ELA Reading Logic'!$J$22:$K$31,2,FALSE),FALSE)),"Set Grade")</f>
        <v>Set Grade</v>
      </c>
      <c r="X208" s="96" t="str">
        <f>IFERROR(IF($E208="Yes","IPP",VLOOKUP($J208,'ELA Reading Logic'!$A$13:$K$19,VLOOKUP(V$1,'ELA Reading Logic'!$J$22:$K$31,2,FALSE),FALSE)),"Set Grade")</f>
        <v>Set Grade</v>
      </c>
      <c r="Y208" s="96" t="str">
        <f>IF($E208="Yes","IPP",IFERROR(IF(AND(V208&gt;W208,V208&lt;X208),"0",(VLOOKUP(V208,'ELA Reading Logic'!$A$22:$B$48,2,FALSE))-(IF(VLOOKUP(V208,'ELA Reading Logic'!$A$22:$B$48,2,FALSE)&lt;=VLOOKUP(W208,'ELA Reading Logic'!$A$22:$B$48,2,FALSE),VLOOKUP(W208,'ELA Reading Logic'!$A$22:$B$48,2,FALSE),IF(VLOOKUP(V208,'ELA Reading Logic'!$A$22:$B$48,2,FALSE)&gt;=VLOOKUP(X208,'ELA Reading Logic'!$A$22:$B$48,2,FALSE),VLOOKUP(X208,'ELA Reading Logic'!$A$22:$B$48,2,FALSE),"No Score")))),"No Value"))</f>
        <v>No Value</v>
      </c>
      <c r="Z208" s="96" t="str">
        <f>IFERROR(VLOOKUP(V208,'ELA Reading Logic'!$A$22:$B$48,2,FALSE)-VLOOKUP($F208,'ELA Reading Logic'!$A$22:$B$48,2,FALSE),"No Value")</f>
        <v>No Value</v>
      </c>
      <c r="AA208" s="92"/>
      <c r="AB208" s="96" t="str">
        <f>IFERROR(IF($E208="Yes","IPP",VLOOKUP($J208,'ELA Reading Logic'!$A$3:$K$9,VLOOKUP(AA$1,'ELA Reading Logic'!$J$22:$K$31,2,FALSE),FALSE)),"Set Grade")</f>
        <v>Set Grade</v>
      </c>
      <c r="AC208" s="96" t="str">
        <f>IFERROR(IF($E208="Yes","IPP",VLOOKUP($J208,'ELA Reading Logic'!$A$13:$K$19,VLOOKUP(AA$1,'ELA Reading Logic'!$J$22:$K$31,2,FALSE),FALSE)),"Set Grade")</f>
        <v>Set Grade</v>
      </c>
      <c r="AD208" s="96" t="str">
        <f>IF($E208="Yes","IPP",IFERROR(IF(AND(AA208&gt;AB208,AA208&lt;AC208),"0",(VLOOKUP(AA208,'ELA Reading Logic'!$A$22:$B$48,2,FALSE))-(IF(VLOOKUP(AA208,'ELA Reading Logic'!$A$22:$B$48,2,FALSE)&lt;=VLOOKUP(AB208,'ELA Reading Logic'!$A$22:$B$48,2,FALSE),VLOOKUP(AB208,'ELA Reading Logic'!$A$22:$B$48,2,FALSE),IF(VLOOKUP(AA208,'ELA Reading Logic'!$A$22:$B$48,2,FALSE)&gt;=VLOOKUP(AC208,'ELA Reading Logic'!$A$22:$B$48,2,FALSE),VLOOKUP(AC208,'ELA Reading Logic'!$A$22:$B$48,2,FALSE),"No Score")))),"No Value"))</f>
        <v>No Value</v>
      </c>
      <c r="AE208" s="96" t="str">
        <f>IFERROR(VLOOKUP(AA208,'ELA Reading Logic'!$A$22:$B$48,2,FALSE)-VLOOKUP($F208,'ELA Reading Logic'!$A$22:$B$48,2,FALSE),"No Value")</f>
        <v>No Value</v>
      </c>
      <c r="AF208" s="92"/>
      <c r="AG208" s="96" t="str">
        <f>IFERROR(IF($E208="Yes","IPP",VLOOKUP($J208,'ELA Reading Logic'!$A$3:$K$9,VLOOKUP(AF$1,'ELA Reading Logic'!$J$22:$K$31,2,FALSE),FALSE)),"Set Grade")</f>
        <v>Set Grade</v>
      </c>
      <c r="AH208" s="96" t="str">
        <f>IFERROR(IF($E208="Yes","IPP",VLOOKUP($J208,'ELA Reading Logic'!$A$13:$K$19,VLOOKUP(AF$1,'ELA Reading Logic'!$J$22:$K$31,2,FALSE),FALSE)),"Set Grade")</f>
        <v>Set Grade</v>
      </c>
      <c r="AI208" s="96" t="str">
        <f>IF($E208="Yes","IPP",IFERROR(IF(AND(AF208&gt;AG208,AF208&lt;AH208),"0",(VLOOKUP(AF208,'ELA Reading Logic'!$A$22:$B$48,2,FALSE))-(IF(VLOOKUP(AF208,'ELA Reading Logic'!$A$22:$B$48,2,FALSE)&lt;=VLOOKUP(AG208,'ELA Reading Logic'!$A$22:$B$48,2,FALSE),VLOOKUP(AG208,'ELA Reading Logic'!$A$22:$B$48,2,FALSE),IF(VLOOKUP(AF208,'ELA Reading Logic'!$A$22:$B$48,2,FALSE)&gt;=VLOOKUP(AH208,'ELA Reading Logic'!$A$22:$B$48,2,FALSE),VLOOKUP(AH208,'ELA Reading Logic'!$A$22:$B$48,2,FALSE),"No Score")))),"No Value"))</f>
        <v>No Value</v>
      </c>
      <c r="AJ208" s="96" t="str">
        <f>IFERROR(VLOOKUP(AF208,'ELA Reading Logic'!$A$22:$B$48,2,FALSE)-VLOOKUP($F208,'ELA Reading Logic'!$A$22:$B$48,2,FALSE),"No Value")</f>
        <v>No Value</v>
      </c>
      <c r="AK208" s="92"/>
      <c r="AL208" s="96" t="str">
        <f>IFERROR(IF($E208="Yes","IPP",VLOOKUP($J208,'ELA Reading Logic'!$A$3:$K$9,VLOOKUP(AK$1,'ELA Reading Logic'!$J$22:$K$31,2,FALSE),FALSE)),"Set Grade")</f>
        <v>Set Grade</v>
      </c>
      <c r="AM208" s="96" t="str">
        <f>IFERROR(IF($E208="Yes","IPP",VLOOKUP($J208,'ELA Reading Logic'!$A$13:$K$19,VLOOKUP(AK$1,'ELA Reading Logic'!$J$22:$K$31,2,FALSE),FALSE)),"Set Grade")</f>
        <v>Set Grade</v>
      </c>
      <c r="AN208" s="96" t="str">
        <f>IF($E208="Yes","IPP",IFERROR(IF(AND(AK208&gt;AL208,AK208&lt;AM208),"0",(VLOOKUP(AK208,'ELA Reading Logic'!$A$22:$B$48,2,FALSE))-(IF(VLOOKUP(AK208,'ELA Reading Logic'!$A$22:$B$48,2,FALSE)&lt;=VLOOKUP(AL208,'ELA Reading Logic'!$A$22:$B$48,2,FALSE),VLOOKUP(AL208,'ELA Reading Logic'!$A$22:$B$48,2,FALSE),IF(VLOOKUP(AK208,'ELA Reading Logic'!$A$22:$B$48,2,FALSE)&gt;=VLOOKUP(AM208,'ELA Reading Logic'!$A$22:$B$48,2,FALSE),VLOOKUP(AM208,'ELA Reading Logic'!$A$22:$B$48,2,FALSE),"No Score")))),"No Value"))</f>
        <v>No Value</v>
      </c>
      <c r="AO208" s="96" t="str">
        <f>IFERROR(VLOOKUP(AK208,'ELA Reading Logic'!$A$22:$B$48,2,FALSE)-VLOOKUP($F208,'ELA Reading Logic'!$A$22:$B$48,2,FALSE),"No Value")</f>
        <v>No Value</v>
      </c>
      <c r="AP208" s="92"/>
      <c r="AQ208" s="96" t="str">
        <f>IFERROR(IF($E208="Yes","IPP",VLOOKUP($J208,'ELA Reading Logic'!$A$3:$K$9,VLOOKUP(AP$1,'ELA Reading Logic'!$J$22:$K$31,2,FALSE),FALSE)),"Set Grade")</f>
        <v>Set Grade</v>
      </c>
      <c r="AR208" s="96" t="str">
        <f>IFERROR(IF($E208="Yes","IPP",VLOOKUP($J208,'ELA Reading Logic'!$A$13:$K$19,VLOOKUP(AP$1,'ELA Reading Logic'!$J$22:$K$31,2,FALSE),FALSE)),"Set Grade")</f>
        <v>Set Grade</v>
      </c>
      <c r="AS208" s="96" t="str">
        <f>IF($E208="Yes","IPP",IFERROR(IF(AND(AP208&gt;AQ208,AP208&lt;AR208),"0",(VLOOKUP(AP208,'ELA Reading Logic'!$A$22:$B$48,2,FALSE))-(IF(VLOOKUP(AP208,'ELA Reading Logic'!$A$22:$B$48,2,FALSE)&lt;=VLOOKUP(AQ208,'ELA Reading Logic'!$A$22:$B$48,2,FALSE),VLOOKUP(AQ208,'ELA Reading Logic'!$A$22:$B$48,2,FALSE),IF(VLOOKUP(AP208,'ELA Reading Logic'!$A$22:$B$48,2,FALSE)&gt;=VLOOKUP(AR208,'ELA Reading Logic'!$A$22:$B$48,2,FALSE),VLOOKUP(AR208,'ELA Reading Logic'!$A$22:$B$48,2,FALSE),"No Score")))),"No Value"))</f>
        <v>No Value</v>
      </c>
      <c r="AT208" s="96" t="str">
        <f>IFERROR(VLOOKUP(AP208,'ELA Reading Logic'!$A$22:$B$48,2,FALSE)-VLOOKUP($F208,'ELA Reading Logic'!$A$22:$B$48,2,FALSE),"No Value")</f>
        <v>No Value</v>
      </c>
    </row>
    <row r="209" spans="1:46" ht="22.5" customHeight="1" x14ac:dyDescent="0.25">
      <c r="A209" s="174"/>
      <c r="B209" s="174"/>
      <c r="C209" s="174"/>
      <c r="D209" s="174"/>
      <c r="E209" s="175"/>
      <c r="F209" s="175"/>
      <c r="G209" s="177" t="str">
        <f>IFERROR(IF($E209="Yes","IPP",VLOOKUP($J209,'ELA Reading Logic'!$A$3:$K$9,VLOOKUP("September",'ELA Reading Logic'!$J$22:$K$31,2,FALSE),FALSE)),"Set Grade")</f>
        <v>Set Grade</v>
      </c>
      <c r="H209" s="177" t="str">
        <f>IFERROR(IF($E209="Yes","IPP",VLOOKUP($J209,'ELA Reading Logic'!$A$13:$K$19,VLOOKUP("September",'ELA Reading Logic'!$J$22:$K$31,2,FALSE),FALSE)),"Set Grade")</f>
        <v>Set Grade</v>
      </c>
      <c r="I209" s="96" t="str">
        <f>IF($E209="Yes","IPP",IFERROR(IF(AND(F209&gt;G209,F209&lt;H209),"0",(VLOOKUP(F209,'ELA Reading Logic'!$A$22:$B$48,2,FALSE))-(IF(VLOOKUP(F209,'ELA Reading Logic'!$A$22:$B$48,2,FALSE)&lt;=VLOOKUP(G209,'ELA Reading Logic'!$A$22:$B$48,2,FALSE),VLOOKUP(G209,'ELA Reading Logic'!$A$22:$B$48,2,FALSE),IF(VLOOKUP(F209,'ELA Reading Logic'!$A$22:$B$48,2,FALSE)&gt;=VLOOKUP(H209,'ELA Reading Logic'!$A$22:$B$48,2,FALSE),VLOOKUP(H209,'ELA Reading Logic'!$A$22:$B$48,2,FALSE),"No Score")))),"No Value"))</f>
        <v>No Value</v>
      </c>
      <c r="J209" s="178"/>
      <c r="K209" s="96"/>
      <c r="L209" s="96"/>
      <c r="M209" s="96"/>
      <c r="N209" s="96"/>
      <c r="O209" s="96"/>
      <c r="P209" s="105"/>
      <c r="Q209" s="92"/>
      <c r="R209" s="96" t="str">
        <f>IFERROR(IF($E209="Yes","IPP",VLOOKUP($J209,'ELA Reading Logic'!$A$3:$K$9,VLOOKUP(Q$1,'ELA Reading Logic'!$J$22:$K$31,2,FALSE),FALSE)),"Set Grade")</f>
        <v>Set Grade</v>
      </c>
      <c r="S209" s="96" t="str">
        <f>IFERROR(IF($E209="Yes","IPP",VLOOKUP($J209,'ELA Reading Logic'!$A$13:$K$19,VLOOKUP(Q$1,'ELA Reading Logic'!$J$22:$K$31,2,FALSE),FALSE)),"Set Grade")</f>
        <v>Set Grade</v>
      </c>
      <c r="T209" s="96" t="str">
        <f>IF($E209="Yes","IPP",IFERROR(IF(AND(Q209&gt;R209,Q209&lt;S209),"0",(VLOOKUP(Q209,'ELA Reading Logic'!$A$22:$B$48,2,FALSE))-(IF(VLOOKUP(Q209,'ELA Reading Logic'!$A$22:$B$48,2,FALSE)&lt;=VLOOKUP(R209,'ELA Reading Logic'!$A$22:$B$48,2,FALSE),VLOOKUP(R209,'ELA Reading Logic'!$A$22:$B$48,2,FALSE),IF(VLOOKUP(Q209,'ELA Reading Logic'!$A$22:$B$48,2,FALSE)&gt;=VLOOKUP(S209,'ELA Reading Logic'!$A$22:$B$48,2,FALSE),VLOOKUP(S209,'ELA Reading Logic'!$A$22:$B$48,2,FALSE),"No Score")))),"No Value"))</f>
        <v>No Value</v>
      </c>
      <c r="U209" s="96" t="str">
        <f>IFERROR(VLOOKUP(Q209,'ELA Reading Logic'!$A$22:$B$48,2,FALSE)-VLOOKUP($F209,'ELA Reading Logic'!$A$22:$B$48,2,FALSE),"No Value")</f>
        <v>No Value</v>
      </c>
      <c r="V209" s="92"/>
      <c r="W209" s="96" t="str">
        <f>IFERROR(IF($E209="Yes","IPP",VLOOKUP($J209,'ELA Reading Logic'!$A$3:$K$9,VLOOKUP(V$1,'ELA Reading Logic'!$J$22:$K$31,2,FALSE),FALSE)),"Set Grade")</f>
        <v>Set Grade</v>
      </c>
      <c r="X209" s="96" t="str">
        <f>IFERROR(IF($E209="Yes","IPP",VLOOKUP($J209,'ELA Reading Logic'!$A$13:$K$19,VLOOKUP(V$1,'ELA Reading Logic'!$J$22:$K$31,2,FALSE),FALSE)),"Set Grade")</f>
        <v>Set Grade</v>
      </c>
      <c r="Y209" s="96" t="str">
        <f>IF($E209="Yes","IPP",IFERROR(IF(AND(V209&gt;W209,V209&lt;X209),"0",(VLOOKUP(V209,'ELA Reading Logic'!$A$22:$B$48,2,FALSE))-(IF(VLOOKUP(V209,'ELA Reading Logic'!$A$22:$B$48,2,FALSE)&lt;=VLOOKUP(W209,'ELA Reading Logic'!$A$22:$B$48,2,FALSE),VLOOKUP(W209,'ELA Reading Logic'!$A$22:$B$48,2,FALSE),IF(VLOOKUP(V209,'ELA Reading Logic'!$A$22:$B$48,2,FALSE)&gt;=VLOOKUP(X209,'ELA Reading Logic'!$A$22:$B$48,2,FALSE),VLOOKUP(X209,'ELA Reading Logic'!$A$22:$B$48,2,FALSE),"No Score")))),"No Value"))</f>
        <v>No Value</v>
      </c>
      <c r="Z209" s="96" t="str">
        <f>IFERROR(VLOOKUP(V209,'ELA Reading Logic'!$A$22:$B$48,2,FALSE)-VLOOKUP($F209,'ELA Reading Logic'!$A$22:$B$48,2,FALSE),"No Value")</f>
        <v>No Value</v>
      </c>
      <c r="AA209" s="92"/>
      <c r="AB209" s="96" t="str">
        <f>IFERROR(IF($E209="Yes","IPP",VLOOKUP($J209,'ELA Reading Logic'!$A$3:$K$9,VLOOKUP(AA$1,'ELA Reading Logic'!$J$22:$K$31,2,FALSE),FALSE)),"Set Grade")</f>
        <v>Set Grade</v>
      </c>
      <c r="AC209" s="96" t="str">
        <f>IFERROR(IF($E209="Yes","IPP",VLOOKUP($J209,'ELA Reading Logic'!$A$13:$K$19,VLOOKUP(AA$1,'ELA Reading Logic'!$J$22:$K$31,2,FALSE),FALSE)),"Set Grade")</f>
        <v>Set Grade</v>
      </c>
      <c r="AD209" s="96" t="str">
        <f>IF($E209="Yes","IPP",IFERROR(IF(AND(AA209&gt;AB209,AA209&lt;AC209),"0",(VLOOKUP(AA209,'ELA Reading Logic'!$A$22:$B$48,2,FALSE))-(IF(VLOOKUP(AA209,'ELA Reading Logic'!$A$22:$B$48,2,FALSE)&lt;=VLOOKUP(AB209,'ELA Reading Logic'!$A$22:$B$48,2,FALSE),VLOOKUP(AB209,'ELA Reading Logic'!$A$22:$B$48,2,FALSE),IF(VLOOKUP(AA209,'ELA Reading Logic'!$A$22:$B$48,2,FALSE)&gt;=VLOOKUP(AC209,'ELA Reading Logic'!$A$22:$B$48,2,FALSE),VLOOKUP(AC209,'ELA Reading Logic'!$A$22:$B$48,2,FALSE),"No Score")))),"No Value"))</f>
        <v>No Value</v>
      </c>
      <c r="AE209" s="96" t="str">
        <f>IFERROR(VLOOKUP(AA209,'ELA Reading Logic'!$A$22:$B$48,2,FALSE)-VLOOKUP($F209,'ELA Reading Logic'!$A$22:$B$48,2,FALSE),"No Value")</f>
        <v>No Value</v>
      </c>
      <c r="AF209" s="92"/>
      <c r="AG209" s="96" t="str">
        <f>IFERROR(IF($E209="Yes","IPP",VLOOKUP($J209,'ELA Reading Logic'!$A$3:$K$9,VLOOKUP(AF$1,'ELA Reading Logic'!$J$22:$K$31,2,FALSE),FALSE)),"Set Grade")</f>
        <v>Set Grade</v>
      </c>
      <c r="AH209" s="96" t="str">
        <f>IFERROR(IF($E209="Yes","IPP",VLOOKUP($J209,'ELA Reading Logic'!$A$13:$K$19,VLOOKUP(AF$1,'ELA Reading Logic'!$J$22:$K$31,2,FALSE),FALSE)),"Set Grade")</f>
        <v>Set Grade</v>
      </c>
      <c r="AI209" s="96" t="str">
        <f>IF($E209="Yes","IPP",IFERROR(IF(AND(AF209&gt;AG209,AF209&lt;AH209),"0",(VLOOKUP(AF209,'ELA Reading Logic'!$A$22:$B$48,2,FALSE))-(IF(VLOOKUP(AF209,'ELA Reading Logic'!$A$22:$B$48,2,FALSE)&lt;=VLOOKUP(AG209,'ELA Reading Logic'!$A$22:$B$48,2,FALSE),VLOOKUP(AG209,'ELA Reading Logic'!$A$22:$B$48,2,FALSE),IF(VLOOKUP(AF209,'ELA Reading Logic'!$A$22:$B$48,2,FALSE)&gt;=VLOOKUP(AH209,'ELA Reading Logic'!$A$22:$B$48,2,FALSE),VLOOKUP(AH209,'ELA Reading Logic'!$A$22:$B$48,2,FALSE),"No Score")))),"No Value"))</f>
        <v>No Value</v>
      </c>
      <c r="AJ209" s="96" t="str">
        <f>IFERROR(VLOOKUP(AF209,'ELA Reading Logic'!$A$22:$B$48,2,FALSE)-VLOOKUP($F209,'ELA Reading Logic'!$A$22:$B$48,2,FALSE),"No Value")</f>
        <v>No Value</v>
      </c>
      <c r="AK209" s="92"/>
      <c r="AL209" s="96" t="str">
        <f>IFERROR(IF($E209="Yes","IPP",VLOOKUP($J209,'ELA Reading Logic'!$A$3:$K$9,VLOOKUP(AK$1,'ELA Reading Logic'!$J$22:$K$31,2,FALSE),FALSE)),"Set Grade")</f>
        <v>Set Grade</v>
      </c>
      <c r="AM209" s="96" t="str">
        <f>IFERROR(IF($E209="Yes","IPP",VLOOKUP($J209,'ELA Reading Logic'!$A$13:$K$19,VLOOKUP(AK$1,'ELA Reading Logic'!$J$22:$K$31,2,FALSE),FALSE)),"Set Grade")</f>
        <v>Set Grade</v>
      </c>
      <c r="AN209" s="96" t="str">
        <f>IF($E209="Yes","IPP",IFERROR(IF(AND(AK209&gt;AL209,AK209&lt;AM209),"0",(VLOOKUP(AK209,'ELA Reading Logic'!$A$22:$B$48,2,FALSE))-(IF(VLOOKUP(AK209,'ELA Reading Logic'!$A$22:$B$48,2,FALSE)&lt;=VLOOKUP(AL209,'ELA Reading Logic'!$A$22:$B$48,2,FALSE),VLOOKUP(AL209,'ELA Reading Logic'!$A$22:$B$48,2,FALSE),IF(VLOOKUP(AK209,'ELA Reading Logic'!$A$22:$B$48,2,FALSE)&gt;=VLOOKUP(AM209,'ELA Reading Logic'!$A$22:$B$48,2,FALSE),VLOOKUP(AM209,'ELA Reading Logic'!$A$22:$B$48,2,FALSE),"No Score")))),"No Value"))</f>
        <v>No Value</v>
      </c>
      <c r="AO209" s="96" t="str">
        <f>IFERROR(VLOOKUP(AK209,'ELA Reading Logic'!$A$22:$B$48,2,FALSE)-VLOOKUP($F209,'ELA Reading Logic'!$A$22:$B$48,2,FALSE),"No Value")</f>
        <v>No Value</v>
      </c>
      <c r="AP209" s="92"/>
      <c r="AQ209" s="96" t="str">
        <f>IFERROR(IF($E209="Yes","IPP",VLOOKUP($J209,'ELA Reading Logic'!$A$3:$K$9,VLOOKUP(AP$1,'ELA Reading Logic'!$J$22:$K$31,2,FALSE),FALSE)),"Set Grade")</f>
        <v>Set Grade</v>
      </c>
      <c r="AR209" s="96" t="str">
        <f>IFERROR(IF($E209="Yes","IPP",VLOOKUP($J209,'ELA Reading Logic'!$A$13:$K$19,VLOOKUP(AP$1,'ELA Reading Logic'!$J$22:$K$31,2,FALSE),FALSE)),"Set Grade")</f>
        <v>Set Grade</v>
      </c>
      <c r="AS209" s="96" t="str">
        <f>IF($E209="Yes","IPP",IFERROR(IF(AND(AP209&gt;AQ209,AP209&lt;AR209),"0",(VLOOKUP(AP209,'ELA Reading Logic'!$A$22:$B$48,2,FALSE))-(IF(VLOOKUP(AP209,'ELA Reading Logic'!$A$22:$B$48,2,FALSE)&lt;=VLOOKUP(AQ209,'ELA Reading Logic'!$A$22:$B$48,2,FALSE),VLOOKUP(AQ209,'ELA Reading Logic'!$A$22:$B$48,2,FALSE),IF(VLOOKUP(AP209,'ELA Reading Logic'!$A$22:$B$48,2,FALSE)&gt;=VLOOKUP(AR209,'ELA Reading Logic'!$A$22:$B$48,2,FALSE),VLOOKUP(AR209,'ELA Reading Logic'!$A$22:$B$48,2,FALSE),"No Score")))),"No Value"))</f>
        <v>No Value</v>
      </c>
      <c r="AT209" s="96" t="str">
        <f>IFERROR(VLOOKUP(AP209,'ELA Reading Logic'!$A$22:$B$48,2,FALSE)-VLOOKUP($F209,'ELA Reading Logic'!$A$22:$B$48,2,FALSE),"No Value")</f>
        <v>No Value</v>
      </c>
    </row>
    <row r="210" spans="1:46" ht="22.5" customHeight="1" x14ac:dyDescent="0.25">
      <c r="A210" s="233"/>
      <c r="B210" s="233"/>
      <c r="C210" s="233"/>
      <c r="D210" s="233"/>
      <c r="E210" s="175"/>
      <c r="F210" s="175"/>
      <c r="G210" s="177" t="str">
        <f>IFERROR(IF($E210="Yes","IPP",VLOOKUP($J210,'ELA Reading Logic'!$A$3:$K$9,VLOOKUP("September",'ELA Reading Logic'!$J$22:$K$31,2,FALSE),FALSE)),"Set Grade")</f>
        <v>Set Grade</v>
      </c>
      <c r="H210" s="177" t="str">
        <f>IFERROR(IF($E210="Yes","IPP",VLOOKUP($J210,'ELA Reading Logic'!$A$13:$K$19,VLOOKUP("September",'ELA Reading Logic'!$J$22:$K$31,2,FALSE),FALSE)),"Set Grade")</f>
        <v>Set Grade</v>
      </c>
      <c r="I210" s="96" t="str">
        <f>IF($E210="Yes","IPP",IFERROR(IF(AND(F210&gt;G210,F210&lt;H210),"0",(VLOOKUP(F210,'ELA Reading Logic'!$A$22:$B$48,2,FALSE))-(IF(VLOOKUP(F210,'ELA Reading Logic'!$A$22:$B$48,2,FALSE)&lt;=VLOOKUP(G210,'ELA Reading Logic'!$A$22:$B$48,2,FALSE),VLOOKUP(G210,'ELA Reading Logic'!$A$22:$B$48,2,FALSE),IF(VLOOKUP(F210,'ELA Reading Logic'!$A$22:$B$48,2,FALSE)&gt;=VLOOKUP(H210,'ELA Reading Logic'!$A$22:$B$48,2,FALSE),VLOOKUP(H210,'ELA Reading Logic'!$A$22:$B$48,2,FALSE),"No Score")))),"No Value"))</f>
        <v>No Value</v>
      </c>
      <c r="J210" s="178"/>
      <c r="K210" s="96"/>
      <c r="L210" s="96"/>
      <c r="M210" s="96"/>
      <c r="N210" s="96"/>
      <c r="O210" s="96"/>
      <c r="P210" s="105"/>
      <c r="Q210" s="92"/>
      <c r="R210" s="96" t="str">
        <f>IFERROR(IF($E210="Yes","IPP",VLOOKUP($J210,'ELA Reading Logic'!$A$3:$K$9,VLOOKUP(Q$1,'ELA Reading Logic'!$J$22:$K$31,2,FALSE),FALSE)),"Set Grade")</f>
        <v>Set Grade</v>
      </c>
      <c r="S210" s="96" t="str">
        <f>IFERROR(IF($E210="Yes","IPP",VLOOKUP($J210,'ELA Reading Logic'!$A$13:$K$19,VLOOKUP(Q$1,'ELA Reading Logic'!$J$22:$K$31,2,FALSE),FALSE)),"Set Grade")</f>
        <v>Set Grade</v>
      </c>
      <c r="T210" s="96" t="str">
        <f>IF($E210="Yes","IPP",IFERROR(IF(AND(Q210&gt;R210,Q210&lt;S210),"0",(VLOOKUP(Q210,'ELA Reading Logic'!$A$22:$B$48,2,FALSE))-(IF(VLOOKUP(Q210,'ELA Reading Logic'!$A$22:$B$48,2,FALSE)&lt;=VLOOKUP(R210,'ELA Reading Logic'!$A$22:$B$48,2,FALSE),VLOOKUP(R210,'ELA Reading Logic'!$A$22:$B$48,2,FALSE),IF(VLOOKUP(Q210,'ELA Reading Logic'!$A$22:$B$48,2,FALSE)&gt;=VLOOKUP(S210,'ELA Reading Logic'!$A$22:$B$48,2,FALSE),VLOOKUP(S210,'ELA Reading Logic'!$A$22:$B$48,2,FALSE),"No Score")))),"No Value"))</f>
        <v>No Value</v>
      </c>
      <c r="U210" s="96" t="str">
        <f>IFERROR(VLOOKUP(Q210,'ELA Reading Logic'!$A$22:$B$48,2,FALSE)-VLOOKUP($F210,'ELA Reading Logic'!$A$22:$B$48,2,FALSE),"No Value")</f>
        <v>No Value</v>
      </c>
      <c r="V210" s="92"/>
      <c r="W210" s="96" t="str">
        <f>IFERROR(IF($E210="Yes","IPP",VLOOKUP($J210,'ELA Reading Logic'!$A$3:$K$9,VLOOKUP(V$1,'ELA Reading Logic'!$J$22:$K$31,2,FALSE),FALSE)),"Set Grade")</f>
        <v>Set Grade</v>
      </c>
      <c r="X210" s="96" t="str">
        <f>IFERROR(IF($E210="Yes","IPP",VLOOKUP($J210,'ELA Reading Logic'!$A$13:$K$19,VLOOKUP(V$1,'ELA Reading Logic'!$J$22:$K$31,2,FALSE),FALSE)),"Set Grade")</f>
        <v>Set Grade</v>
      </c>
      <c r="Y210" s="96" t="str">
        <f>IF($E210="Yes","IPP",IFERROR(IF(AND(V210&gt;W210,V210&lt;X210),"0",(VLOOKUP(V210,'ELA Reading Logic'!$A$22:$B$48,2,FALSE))-(IF(VLOOKUP(V210,'ELA Reading Logic'!$A$22:$B$48,2,FALSE)&lt;=VLOOKUP(W210,'ELA Reading Logic'!$A$22:$B$48,2,FALSE),VLOOKUP(W210,'ELA Reading Logic'!$A$22:$B$48,2,FALSE),IF(VLOOKUP(V210,'ELA Reading Logic'!$A$22:$B$48,2,FALSE)&gt;=VLOOKUP(X210,'ELA Reading Logic'!$A$22:$B$48,2,FALSE),VLOOKUP(X210,'ELA Reading Logic'!$A$22:$B$48,2,FALSE),"No Score")))),"No Value"))</f>
        <v>No Value</v>
      </c>
      <c r="Z210" s="96" t="str">
        <f>IFERROR(VLOOKUP(V210,'ELA Reading Logic'!$A$22:$B$48,2,FALSE)-VLOOKUP($F210,'ELA Reading Logic'!$A$22:$B$48,2,FALSE),"No Value")</f>
        <v>No Value</v>
      </c>
      <c r="AA210" s="92"/>
      <c r="AB210" s="96" t="str">
        <f>IFERROR(IF($E210="Yes","IPP",VLOOKUP($J210,'ELA Reading Logic'!$A$3:$K$9,VLOOKUP(AA$1,'ELA Reading Logic'!$J$22:$K$31,2,FALSE),FALSE)),"Set Grade")</f>
        <v>Set Grade</v>
      </c>
      <c r="AC210" s="96" t="str">
        <f>IFERROR(IF($E210="Yes","IPP",VLOOKUP($J210,'ELA Reading Logic'!$A$13:$K$19,VLOOKUP(AA$1,'ELA Reading Logic'!$J$22:$K$31,2,FALSE),FALSE)),"Set Grade")</f>
        <v>Set Grade</v>
      </c>
      <c r="AD210" s="96" t="str">
        <f>IF($E210="Yes","IPP",IFERROR(IF(AND(AA210&gt;AB210,AA210&lt;AC210),"0",(VLOOKUP(AA210,'ELA Reading Logic'!$A$22:$B$48,2,FALSE))-(IF(VLOOKUP(AA210,'ELA Reading Logic'!$A$22:$B$48,2,FALSE)&lt;=VLOOKUP(AB210,'ELA Reading Logic'!$A$22:$B$48,2,FALSE),VLOOKUP(AB210,'ELA Reading Logic'!$A$22:$B$48,2,FALSE),IF(VLOOKUP(AA210,'ELA Reading Logic'!$A$22:$B$48,2,FALSE)&gt;=VLOOKUP(AC210,'ELA Reading Logic'!$A$22:$B$48,2,FALSE),VLOOKUP(AC210,'ELA Reading Logic'!$A$22:$B$48,2,FALSE),"No Score")))),"No Value"))</f>
        <v>No Value</v>
      </c>
      <c r="AE210" s="96" t="str">
        <f>IFERROR(VLOOKUP(AA210,'ELA Reading Logic'!$A$22:$B$48,2,FALSE)-VLOOKUP($F210,'ELA Reading Logic'!$A$22:$B$48,2,FALSE),"No Value")</f>
        <v>No Value</v>
      </c>
      <c r="AF210" s="92"/>
      <c r="AG210" s="96" t="str">
        <f>IFERROR(IF($E210="Yes","IPP",VLOOKUP($J210,'ELA Reading Logic'!$A$3:$K$9,VLOOKUP(AF$1,'ELA Reading Logic'!$J$22:$K$31,2,FALSE),FALSE)),"Set Grade")</f>
        <v>Set Grade</v>
      </c>
      <c r="AH210" s="96" t="str">
        <f>IFERROR(IF($E210="Yes","IPP",VLOOKUP($J210,'ELA Reading Logic'!$A$13:$K$19,VLOOKUP(AF$1,'ELA Reading Logic'!$J$22:$K$31,2,FALSE),FALSE)),"Set Grade")</f>
        <v>Set Grade</v>
      </c>
      <c r="AI210" s="96" t="str">
        <f>IF($E210="Yes","IPP",IFERROR(IF(AND(AF210&gt;AG210,AF210&lt;AH210),"0",(VLOOKUP(AF210,'ELA Reading Logic'!$A$22:$B$48,2,FALSE))-(IF(VLOOKUP(AF210,'ELA Reading Logic'!$A$22:$B$48,2,FALSE)&lt;=VLOOKUP(AG210,'ELA Reading Logic'!$A$22:$B$48,2,FALSE),VLOOKUP(AG210,'ELA Reading Logic'!$A$22:$B$48,2,FALSE),IF(VLOOKUP(AF210,'ELA Reading Logic'!$A$22:$B$48,2,FALSE)&gt;=VLOOKUP(AH210,'ELA Reading Logic'!$A$22:$B$48,2,FALSE),VLOOKUP(AH210,'ELA Reading Logic'!$A$22:$B$48,2,FALSE),"No Score")))),"No Value"))</f>
        <v>No Value</v>
      </c>
      <c r="AJ210" s="96" t="str">
        <f>IFERROR(VLOOKUP(AF210,'ELA Reading Logic'!$A$22:$B$48,2,FALSE)-VLOOKUP($F210,'ELA Reading Logic'!$A$22:$B$48,2,FALSE),"No Value")</f>
        <v>No Value</v>
      </c>
      <c r="AK210" s="92"/>
      <c r="AL210" s="96" t="str">
        <f>IFERROR(IF($E210="Yes","IPP",VLOOKUP($J210,'ELA Reading Logic'!$A$3:$K$9,VLOOKUP(AK$1,'ELA Reading Logic'!$J$22:$K$31,2,FALSE),FALSE)),"Set Grade")</f>
        <v>Set Grade</v>
      </c>
      <c r="AM210" s="96" t="str">
        <f>IFERROR(IF($E210="Yes","IPP",VLOOKUP($J210,'ELA Reading Logic'!$A$13:$K$19,VLOOKUP(AK$1,'ELA Reading Logic'!$J$22:$K$31,2,FALSE),FALSE)),"Set Grade")</f>
        <v>Set Grade</v>
      </c>
      <c r="AN210" s="96" t="str">
        <f>IF($E210="Yes","IPP",IFERROR(IF(AND(AK210&gt;AL210,AK210&lt;AM210),"0",(VLOOKUP(AK210,'ELA Reading Logic'!$A$22:$B$48,2,FALSE))-(IF(VLOOKUP(AK210,'ELA Reading Logic'!$A$22:$B$48,2,FALSE)&lt;=VLOOKUP(AL210,'ELA Reading Logic'!$A$22:$B$48,2,FALSE),VLOOKUP(AL210,'ELA Reading Logic'!$A$22:$B$48,2,FALSE),IF(VLOOKUP(AK210,'ELA Reading Logic'!$A$22:$B$48,2,FALSE)&gt;=VLOOKUP(AM210,'ELA Reading Logic'!$A$22:$B$48,2,FALSE),VLOOKUP(AM210,'ELA Reading Logic'!$A$22:$B$48,2,FALSE),"No Score")))),"No Value"))</f>
        <v>No Value</v>
      </c>
      <c r="AO210" s="96" t="str">
        <f>IFERROR(VLOOKUP(AK210,'ELA Reading Logic'!$A$22:$B$48,2,FALSE)-VLOOKUP($F210,'ELA Reading Logic'!$A$22:$B$48,2,FALSE),"No Value")</f>
        <v>No Value</v>
      </c>
      <c r="AP210" s="92"/>
      <c r="AQ210" s="96" t="str">
        <f>IFERROR(IF($E210="Yes","IPP",VLOOKUP($J210,'ELA Reading Logic'!$A$3:$K$9,VLOOKUP(AP$1,'ELA Reading Logic'!$J$22:$K$31,2,FALSE),FALSE)),"Set Grade")</f>
        <v>Set Grade</v>
      </c>
      <c r="AR210" s="96" t="str">
        <f>IFERROR(IF($E210="Yes","IPP",VLOOKUP($J210,'ELA Reading Logic'!$A$13:$K$19,VLOOKUP(AP$1,'ELA Reading Logic'!$J$22:$K$31,2,FALSE),FALSE)),"Set Grade")</f>
        <v>Set Grade</v>
      </c>
      <c r="AS210" s="96" t="str">
        <f>IF($E210="Yes","IPP",IFERROR(IF(AND(AP210&gt;AQ210,AP210&lt;AR210),"0",(VLOOKUP(AP210,'ELA Reading Logic'!$A$22:$B$48,2,FALSE))-(IF(VLOOKUP(AP210,'ELA Reading Logic'!$A$22:$B$48,2,FALSE)&lt;=VLOOKUP(AQ210,'ELA Reading Logic'!$A$22:$B$48,2,FALSE),VLOOKUP(AQ210,'ELA Reading Logic'!$A$22:$B$48,2,FALSE),IF(VLOOKUP(AP210,'ELA Reading Logic'!$A$22:$B$48,2,FALSE)&gt;=VLOOKUP(AR210,'ELA Reading Logic'!$A$22:$B$48,2,FALSE),VLOOKUP(AR210,'ELA Reading Logic'!$A$22:$B$48,2,FALSE),"No Score")))),"No Value"))</f>
        <v>No Value</v>
      </c>
      <c r="AT210" s="96" t="str">
        <f>IFERROR(VLOOKUP(AP210,'ELA Reading Logic'!$A$22:$B$48,2,FALSE)-VLOOKUP($F210,'ELA Reading Logic'!$A$22:$B$48,2,FALSE),"No Value")</f>
        <v>No Value</v>
      </c>
    </row>
    <row r="211" spans="1:46" ht="22.5" customHeight="1" x14ac:dyDescent="0.25">
      <c r="A211" s="234"/>
      <c r="B211" s="234"/>
      <c r="C211" s="234"/>
      <c r="D211" s="234"/>
      <c r="E211" s="232"/>
      <c r="F211" s="175"/>
      <c r="G211" s="177" t="str">
        <f>IFERROR(IF($E211="Yes","IPP",VLOOKUP($J211,'ELA Reading Logic'!$A$3:$K$9,VLOOKUP("September",'ELA Reading Logic'!$J$22:$K$31,2,FALSE),FALSE)),"Set Grade")</f>
        <v>Set Grade</v>
      </c>
      <c r="H211" s="177" t="str">
        <f>IFERROR(IF($E211="Yes","IPP",VLOOKUP($J211,'ELA Reading Logic'!$A$13:$K$19,VLOOKUP("September",'ELA Reading Logic'!$J$22:$K$31,2,FALSE),FALSE)),"Set Grade")</f>
        <v>Set Grade</v>
      </c>
      <c r="I211" s="96" t="str">
        <f>IF($E211="Yes","IPP",IFERROR(IF(AND(F211&gt;G211,F211&lt;H211),"0",(VLOOKUP(F211,'ELA Reading Logic'!$A$22:$B$48,2,FALSE))-(IF(VLOOKUP(F211,'ELA Reading Logic'!$A$22:$B$48,2,FALSE)&lt;=VLOOKUP(G211,'ELA Reading Logic'!$A$22:$B$48,2,FALSE),VLOOKUP(G211,'ELA Reading Logic'!$A$22:$B$48,2,FALSE),IF(VLOOKUP(F211,'ELA Reading Logic'!$A$22:$B$48,2,FALSE)&gt;=VLOOKUP(H211,'ELA Reading Logic'!$A$22:$B$48,2,FALSE),VLOOKUP(H211,'ELA Reading Logic'!$A$22:$B$48,2,FALSE),"No Score")))),"No Value"))</f>
        <v>No Value</v>
      </c>
      <c r="J211" s="178"/>
      <c r="K211" s="96"/>
      <c r="L211" s="96"/>
      <c r="M211" s="96"/>
      <c r="N211" s="96"/>
      <c r="O211" s="96"/>
      <c r="P211" s="105"/>
      <c r="Q211" s="92"/>
      <c r="R211" s="96" t="str">
        <f>IFERROR(IF($E211="Yes","IPP",VLOOKUP($J211,'ELA Reading Logic'!$A$3:$K$9,VLOOKUP(Q$1,'ELA Reading Logic'!$J$22:$K$31,2,FALSE),FALSE)),"Set Grade")</f>
        <v>Set Grade</v>
      </c>
      <c r="S211" s="96" t="str">
        <f>IFERROR(IF($E211="Yes","IPP",VLOOKUP($J211,'ELA Reading Logic'!$A$13:$K$19,VLOOKUP(Q$1,'ELA Reading Logic'!$J$22:$K$31,2,FALSE),FALSE)),"Set Grade")</f>
        <v>Set Grade</v>
      </c>
      <c r="T211" s="96" t="str">
        <f>IF($E211="Yes","IPP",IFERROR(IF(AND(Q211&gt;R211,Q211&lt;S211),"0",(VLOOKUP(Q211,'ELA Reading Logic'!$A$22:$B$48,2,FALSE))-(IF(VLOOKUP(Q211,'ELA Reading Logic'!$A$22:$B$48,2,FALSE)&lt;=VLOOKUP(R211,'ELA Reading Logic'!$A$22:$B$48,2,FALSE),VLOOKUP(R211,'ELA Reading Logic'!$A$22:$B$48,2,FALSE),IF(VLOOKUP(Q211,'ELA Reading Logic'!$A$22:$B$48,2,FALSE)&gt;=VLOOKUP(S211,'ELA Reading Logic'!$A$22:$B$48,2,FALSE),VLOOKUP(S211,'ELA Reading Logic'!$A$22:$B$48,2,FALSE),"No Score")))),"No Value"))</f>
        <v>No Value</v>
      </c>
      <c r="U211" s="96" t="str">
        <f>IFERROR(VLOOKUP(Q211,'ELA Reading Logic'!$A$22:$B$48,2,FALSE)-VLOOKUP($F211,'ELA Reading Logic'!$A$22:$B$48,2,FALSE),"No Value")</f>
        <v>No Value</v>
      </c>
      <c r="V211" s="92"/>
      <c r="W211" s="96" t="str">
        <f>IFERROR(IF($E211="Yes","IPP",VLOOKUP($J211,'ELA Reading Logic'!$A$3:$K$9,VLOOKUP(V$1,'ELA Reading Logic'!$J$22:$K$31,2,FALSE),FALSE)),"Set Grade")</f>
        <v>Set Grade</v>
      </c>
      <c r="X211" s="96" t="str">
        <f>IFERROR(IF($E211="Yes","IPP",VLOOKUP($J211,'ELA Reading Logic'!$A$13:$K$19,VLOOKUP(V$1,'ELA Reading Logic'!$J$22:$K$31,2,FALSE),FALSE)),"Set Grade")</f>
        <v>Set Grade</v>
      </c>
      <c r="Y211" s="96" t="str">
        <f>IF($E211="Yes","IPP",IFERROR(IF(AND(V211&gt;W211,V211&lt;X211),"0",(VLOOKUP(V211,'ELA Reading Logic'!$A$22:$B$48,2,FALSE))-(IF(VLOOKUP(V211,'ELA Reading Logic'!$A$22:$B$48,2,FALSE)&lt;=VLOOKUP(W211,'ELA Reading Logic'!$A$22:$B$48,2,FALSE),VLOOKUP(W211,'ELA Reading Logic'!$A$22:$B$48,2,FALSE),IF(VLOOKUP(V211,'ELA Reading Logic'!$A$22:$B$48,2,FALSE)&gt;=VLOOKUP(X211,'ELA Reading Logic'!$A$22:$B$48,2,FALSE),VLOOKUP(X211,'ELA Reading Logic'!$A$22:$B$48,2,FALSE),"No Score")))),"No Value"))</f>
        <v>No Value</v>
      </c>
      <c r="Z211" s="96" t="str">
        <f>IFERROR(VLOOKUP(V211,'ELA Reading Logic'!$A$22:$B$48,2,FALSE)-VLOOKUP($F211,'ELA Reading Logic'!$A$22:$B$48,2,FALSE),"No Value")</f>
        <v>No Value</v>
      </c>
      <c r="AA211" s="92"/>
      <c r="AB211" s="96" t="str">
        <f>IFERROR(IF($E211="Yes","IPP",VLOOKUP($J211,'ELA Reading Logic'!$A$3:$K$9,VLOOKUP(AA$1,'ELA Reading Logic'!$J$22:$K$31,2,FALSE),FALSE)),"Set Grade")</f>
        <v>Set Grade</v>
      </c>
      <c r="AC211" s="96" t="str">
        <f>IFERROR(IF($E211="Yes","IPP",VLOOKUP($J211,'ELA Reading Logic'!$A$13:$K$19,VLOOKUP(AA$1,'ELA Reading Logic'!$J$22:$K$31,2,FALSE),FALSE)),"Set Grade")</f>
        <v>Set Grade</v>
      </c>
      <c r="AD211" s="96" t="str">
        <f>IF($E211="Yes","IPP",IFERROR(IF(AND(AA211&gt;AB211,AA211&lt;AC211),"0",(VLOOKUP(AA211,'ELA Reading Logic'!$A$22:$B$48,2,FALSE))-(IF(VLOOKUP(AA211,'ELA Reading Logic'!$A$22:$B$48,2,FALSE)&lt;=VLOOKUP(AB211,'ELA Reading Logic'!$A$22:$B$48,2,FALSE),VLOOKUP(AB211,'ELA Reading Logic'!$A$22:$B$48,2,FALSE),IF(VLOOKUP(AA211,'ELA Reading Logic'!$A$22:$B$48,2,FALSE)&gt;=VLOOKUP(AC211,'ELA Reading Logic'!$A$22:$B$48,2,FALSE),VLOOKUP(AC211,'ELA Reading Logic'!$A$22:$B$48,2,FALSE),"No Score")))),"No Value"))</f>
        <v>No Value</v>
      </c>
      <c r="AE211" s="96" t="str">
        <f>IFERROR(VLOOKUP(AA211,'ELA Reading Logic'!$A$22:$B$48,2,FALSE)-VLOOKUP($F211,'ELA Reading Logic'!$A$22:$B$48,2,FALSE),"No Value")</f>
        <v>No Value</v>
      </c>
      <c r="AF211" s="92"/>
      <c r="AG211" s="96" t="str">
        <f>IFERROR(IF($E211="Yes","IPP",VLOOKUP($J211,'ELA Reading Logic'!$A$3:$K$9,VLOOKUP(AF$1,'ELA Reading Logic'!$J$22:$K$31,2,FALSE),FALSE)),"Set Grade")</f>
        <v>Set Grade</v>
      </c>
      <c r="AH211" s="96" t="str">
        <f>IFERROR(IF($E211="Yes","IPP",VLOOKUP($J211,'ELA Reading Logic'!$A$13:$K$19,VLOOKUP(AF$1,'ELA Reading Logic'!$J$22:$K$31,2,FALSE),FALSE)),"Set Grade")</f>
        <v>Set Grade</v>
      </c>
      <c r="AI211" s="96" t="str">
        <f>IF($E211="Yes","IPP",IFERROR(IF(AND(AF211&gt;AG211,AF211&lt;AH211),"0",(VLOOKUP(AF211,'ELA Reading Logic'!$A$22:$B$48,2,FALSE))-(IF(VLOOKUP(AF211,'ELA Reading Logic'!$A$22:$B$48,2,FALSE)&lt;=VLOOKUP(AG211,'ELA Reading Logic'!$A$22:$B$48,2,FALSE),VLOOKUP(AG211,'ELA Reading Logic'!$A$22:$B$48,2,FALSE),IF(VLOOKUP(AF211,'ELA Reading Logic'!$A$22:$B$48,2,FALSE)&gt;=VLOOKUP(AH211,'ELA Reading Logic'!$A$22:$B$48,2,FALSE),VLOOKUP(AH211,'ELA Reading Logic'!$A$22:$B$48,2,FALSE),"No Score")))),"No Value"))</f>
        <v>No Value</v>
      </c>
      <c r="AJ211" s="96" t="str">
        <f>IFERROR(VLOOKUP(AF211,'ELA Reading Logic'!$A$22:$B$48,2,FALSE)-VLOOKUP($F211,'ELA Reading Logic'!$A$22:$B$48,2,FALSE),"No Value")</f>
        <v>No Value</v>
      </c>
      <c r="AK211" s="92"/>
      <c r="AL211" s="96" t="str">
        <f>IFERROR(IF($E211="Yes","IPP",VLOOKUP($J211,'ELA Reading Logic'!$A$3:$K$9,VLOOKUP(AK$1,'ELA Reading Logic'!$J$22:$K$31,2,FALSE),FALSE)),"Set Grade")</f>
        <v>Set Grade</v>
      </c>
      <c r="AM211" s="96" t="str">
        <f>IFERROR(IF($E211="Yes","IPP",VLOOKUP($J211,'ELA Reading Logic'!$A$13:$K$19,VLOOKUP(AK$1,'ELA Reading Logic'!$J$22:$K$31,2,FALSE),FALSE)),"Set Grade")</f>
        <v>Set Grade</v>
      </c>
      <c r="AN211" s="96" t="str">
        <f>IF($E211="Yes","IPP",IFERROR(IF(AND(AK211&gt;AL211,AK211&lt;AM211),"0",(VLOOKUP(AK211,'ELA Reading Logic'!$A$22:$B$48,2,FALSE))-(IF(VLOOKUP(AK211,'ELA Reading Logic'!$A$22:$B$48,2,FALSE)&lt;=VLOOKUP(AL211,'ELA Reading Logic'!$A$22:$B$48,2,FALSE),VLOOKUP(AL211,'ELA Reading Logic'!$A$22:$B$48,2,FALSE),IF(VLOOKUP(AK211,'ELA Reading Logic'!$A$22:$B$48,2,FALSE)&gt;=VLOOKUP(AM211,'ELA Reading Logic'!$A$22:$B$48,2,FALSE),VLOOKUP(AM211,'ELA Reading Logic'!$A$22:$B$48,2,FALSE),"No Score")))),"No Value"))</f>
        <v>No Value</v>
      </c>
      <c r="AO211" s="96" t="str">
        <f>IFERROR(VLOOKUP(AK211,'ELA Reading Logic'!$A$22:$B$48,2,FALSE)-VLOOKUP($F211,'ELA Reading Logic'!$A$22:$B$48,2,FALSE),"No Value")</f>
        <v>No Value</v>
      </c>
      <c r="AP211" s="92"/>
      <c r="AQ211" s="96" t="str">
        <f>IFERROR(IF($E211="Yes","IPP",VLOOKUP($J211,'ELA Reading Logic'!$A$3:$K$9,VLOOKUP(AP$1,'ELA Reading Logic'!$J$22:$K$31,2,FALSE),FALSE)),"Set Grade")</f>
        <v>Set Grade</v>
      </c>
      <c r="AR211" s="96" t="str">
        <f>IFERROR(IF($E211="Yes","IPP",VLOOKUP($J211,'ELA Reading Logic'!$A$13:$K$19,VLOOKUP(AP$1,'ELA Reading Logic'!$J$22:$K$31,2,FALSE),FALSE)),"Set Grade")</f>
        <v>Set Grade</v>
      </c>
      <c r="AS211" s="96" t="str">
        <f>IF($E211="Yes","IPP",IFERROR(IF(AND(AP211&gt;AQ211,AP211&lt;AR211),"0",(VLOOKUP(AP211,'ELA Reading Logic'!$A$22:$B$48,2,FALSE))-(IF(VLOOKUP(AP211,'ELA Reading Logic'!$A$22:$B$48,2,FALSE)&lt;=VLOOKUP(AQ211,'ELA Reading Logic'!$A$22:$B$48,2,FALSE),VLOOKUP(AQ211,'ELA Reading Logic'!$A$22:$B$48,2,FALSE),IF(VLOOKUP(AP211,'ELA Reading Logic'!$A$22:$B$48,2,FALSE)&gt;=VLOOKUP(AR211,'ELA Reading Logic'!$A$22:$B$48,2,FALSE),VLOOKUP(AR211,'ELA Reading Logic'!$A$22:$B$48,2,FALSE),"No Score")))),"No Value"))</f>
        <v>No Value</v>
      </c>
      <c r="AT211" s="96" t="str">
        <f>IFERROR(VLOOKUP(AP211,'ELA Reading Logic'!$A$22:$B$48,2,FALSE)-VLOOKUP($F211,'ELA Reading Logic'!$A$22:$B$48,2,FALSE),"No Value")</f>
        <v>No Value</v>
      </c>
    </row>
    <row r="212" spans="1:46" ht="22.5" customHeight="1" x14ac:dyDescent="0.25">
      <c r="A212" s="234"/>
      <c r="B212" s="234"/>
      <c r="C212" s="234"/>
      <c r="D212" s="234"/>
      <c r="E212" s="232"/>
      <c r="F212" s="175"/>
      <c r="G212" s="177" t="str">
        <f>IFERROR(IF($E212="Yes","IPP",VLOOKUP($J212,'ELA Reading Logic'!$A$3:$K$9,VLOOKUP("September",'ELA Reading Logic'!$J$22:$K$31,2,FALSE),FALSE)),"Set Grade")</f>
        <v>Set Grade</v>
      </c>
      <c r="H212" s="177" t="str">
        <f>IFERROR(IF($E212="Yes","IPP",VLOOKUP($J212,'ELA Reading Logic'!$A$13:$K$19,VLOOKUP("September",'ELA Reading Logic'!$J$22:$K$31,2,FALSE),FALSE)),"Set Grade")</f>
        <v>Set Grade</v>
      </c>
      <c r="I212" s="96" t="str">
        <f>IF($E212="Yes","IPP",IFERROR(IF(AND(F212&gt;G212,F212&lt;H212),"0",(VLOOKUP(F212,'ELA Reading Logic'!$A$22:$B$48,2,FALSE))-(IF(VLOOKUP(F212,'ELA Reading Logic'!$A$22:$B$48,2,FALSE)&lt;=VLOOKUP(G212,'ELA Reading Logic'!$A$22:$B$48,2,FALSE),VLOOKUP(G212,'ELA Reading Logic'!$A$22:$B$48,2,FALSE),IF(VLOOKUP(F212,'ELA Reading Logic'!$A$22:$B$48,2,FALSE)&gt;=VLOOKUP(H212,'ELA Reading Logic'!$A$22:$B$48,2,FALSE),VLOOKUP(H212,'ELA Reading Logic'!$A$22:$B$48,2,FALSE),"No Score")))),"No Value"))</f>
        <v>No Value</v>
      </c>
      <c r="J212" s="178"/>
      <c r="K212" s="96"/>
      <c r="L212" s="96"/>
      <c r="M212" s="96"/>
      <c r="N212" s="96"/>
      <c r="O212" s="96"/>
      <c r="P212" s="105"/>
      <c r="Q212" s="92"/>
      <c r="R212" s="96" t="str">
        <f>IFERROR(IF($E212="Yes","IPP",VLOOKUP($J212,'ELA Reading Logic'!$A$3:$K$9,VLOOKUP(Q$1,'ELA Reading Logic'!$J$22:$K$31,2,FALSE),FALSE)),"Set Grade")</f>
        <v>Set Grade</v>
      </c>
      <c r="S212" s="96" t="str">
        <f>IFERROR(IF($E212="Yes","IPP",VLOOKUP($J212,'ELA Reading Logic'!$A$13:$K$19,VLOOKUP(Q$1,'ELA Reading Logic'!$J$22:$K$31,2,FALSE),FALSE)),"Set Grade")</f>
        <v>Set Grade</v>
      </c>
      <c r="T212" s="96" t="str">
        <f>IF($E212="Yes","IPP",IFERROR(IF(AND(Q212&gt;R212,Q212&lt;S212),"0",(VLOOKUP(Q212,'ELA Reading Logic'!$A$22:$B$48,2,FALSE))-(IF(VLOOKUP(Q212,'ELA Reading Logic'!$A$22:$B$48,2,FALSE)&lt;=VLOOKUP(R212,'ELA Reading Logic'!$A$22:$B$48,2,FALSE),VLOOKUP(R212,'ELA Reading Logic'!$A$22:$B$48,2,FALSE),IF(VLOOKUP(Q212,'ELA Reading Logic'!$A$22:$B$48,2,FALSE)&gt;=VLOOKUP(S212,'ELA Reading Logic'!$A$22:$B$48,2,FALSE),VLOOKUP(S212,'ELA Reading Logic'!$A$22:$B$48,2,FALSE),"No Score")))),"No Value"))</f>
        <v>No Value</v>
      </c>
      <c r="U212" s="96" t="str">
        <f>IFERROR(VLOOKUP(Q212,'ELA Reading Logic'!$A$22:$B$48,2,FALSE)-VLOOKUP($F212,'ELA Reading Logic'!$A$22:$B$48,2,FALSE),"No Value")</f>
        <v>No Value</v>
      </c>
      <c r="V212" s="92"/>
      <c r="W212" s="96" t="str">
        <f>IFERROR(IF($E212="Yes","IPP",VLOOKUP($J212,'ELA Reading Logic'!$A$3:$K$9,VLOOKUP(V$1,'ELA Reading Logic'!$J$22:$K$31,2,FALSE),FALSE)),"Set Grade")</f>
        <v>Set Grade</v>
      </c>
      <c r="X212" s="96" t="str">
        <f>IFERROR(IF($E212="Yes","IPP",VLOOKUP($J212,'ELA Reading Logic'!$A$13:$K$19,VLOOKUP(V$1,'ELA Reading Logic'!$J$22:$K$31,2,FALSE),FALSE)),"Set Grade")</f>
        <v>Set Grade</v>
      </c>
      <c r="Y212" s="96" t="str">
        <f>IF($E212="Yes","IPP",IFERROR(IF(AND(V212&gt;W212,V212&lt;X212),"0",(VLOOKUP(V212,'ELA Reading Logic'!$A$22:$B$48,2,FALSE))-(IF(VLOOKUP(V212,'ELA Reading Logic'!$A$22:$B$48,2,FALSE)&lt;=VLOOKUP(W212,'ELA Reading Logic'!$A$22:$B$48,2,FALSE),VLOOKUP(W212,'ELA Reading Logic'!$A$22:$B$48,2,FALSE),IF(VLOOKUP(V212,'ELA Reading Logic'!$A$22:$B$48,2,FALSE)&gt;=VLOOKUP(X212,'ELA Reading Logic'!$A$22:$B$48,2,FALSE),VLOOKUP(X212,'ELA Reading Logic'!$A$22:$B$48,2,FALSE),"No Score")))),"No Value"))</f>
        <v>No Value</v>
      </c>
      <c r="Z212" s="96" t="str">
        <f>IFERROR(VLOOKUP(V212,'ELA Reading Logic'!$A$22:$B$48,2,FALSE)-VLOOKUP($F212,'ELA Reading Logic'!$A$22:$B$48,2,FALSE),"No Value")</f>
        <v>No Value</v>
      </c>
      <c r="AA212" s="92"/>
      <c r="AB212" s="96" t="str">
        <f>IFERROR(IF($E212="Yes","IPP",VLOOKUP($J212,'ELA Reading Logic'!$A$3:$K$9,VLOOKUP(AA$1,'ELA Reading Logic'!$J$22:$K$31,2,FALSE),FALSE)),"Set Grade")</f>
        <v>Set Grade</v>
      </c>
      <c r="AC212" s="96" t="str">
        <f>IFERROR(IF($E212="Yes","IPP",VLOOKUP($J212,'ELA Reading Logic'!$A$13:$K$19,VLOOKUP(AA$1,'ELA Reading Logic'!$J$22:$K$31,2,FALSE),FALSE)),"Set Grade")</f>
        <v>Set Grade</v>
      </c>
      <c r="AD212" s="96" t="str">
        <f>IF($E212="Yes","IPP",IFERROR(IF(AND(AA212&gt;AB212,AA212&lt;AC212),"0",(VLOOKUP(AA212,'ELA Reading Logic'!$A$22:$B$48,2,FALSE))-(IF(VLOOKUP(AA212,'ELA Reading Logic'!$A$22:$B$48,2,FALSE)&lt;=VLOOKUP(AB212,'ELA Reading Logic'!$A$22:$B$48,2,FALSE),VLOOKUP(AB212,'ELA Reading Logic'!$A$22:$B$48,2,FALSE),IF(VLOOKUP(AA212,'ELA Reading Logic'!$A$22:$B$48,2,FALSE)&gt;=VLOOKUP(AC212,'ELA Reading Logic'!$A$22:$B$48,2,FALSE),VLOOKUP(AC212,'ELA Reading Logic'!$A$22:$B$48,2,FALSE),"No Score")))),"No Value"))</f>
        <v>No Value</v>
      </c>
      <c r="AE212" s="96" t="str">
        <f>IFERROR(VLOOKUP(AA212,'ELA Reading Logic'!$A$22:$B$48,2,FALSE)-VLOOKUP($F212,'ELA Reading Logic'!$A$22:$B$48,2,FALSE),"No Value")</f>
        <v>No Value</v>
      </c>
      <c r="AF212" s="92"/>
      <c r="AG212" s="96" t="str">
        <f>IFERROR(IF($E212="Yes","IPP",VLOOKUP($J212,'ELA Reading Logic'!$A$3:$K$9,VLOOKUP(AF$1,'ELA Reading Logic'!$J$22:$K$31,2,FALSE),FALSE)),"Set Grade")</f>
        <v>Set Grade</v>
      </c>
      <c r="AH212" s="96" t="str">
        <f>IFERROR(IF($E212="Yes","IPP",VLOOKUP($J212,'ELA Reading Logic'!$A$13:$K$19,VLOOKUP(AF$1,'ELA Reading Logic'!$J$22:$K$31,2,FALSE),FALSE)),"Set Grade")</f>
        <v>Set Grade</v>
      </c>
      <c r="AI212" s="96" t="str">
        <f>IF($E212="Yes","IPP",IFERROR(IF(AND(AF212&gt;AG212,AF212&lt;AH212),"0",(VLOOKUP(AF212,'ELA Reading Logic'!$A$22:$B$48,2,FALSE))-(IF(VLOOKUP(AF212,'ELA Reading Logic'!$A$22:$B$48,2,FALSE)&lt;=VLOOKUP(AG212,'ELA Reading Logic'!$A$22:$B$48,2,FALSE),VLOOKUP(AG212,'ELA Reading Logic'!$A$22:$B$48,2,FALSE),IF(VLOOKUP(AF212,'ELA Reading Logic'!$A$22:$B$48,2,FALSE)&gt;=VLOOKUP(AH212,'ELA Reading Logic'!$A$22:$B$48,2,FALSE),VLOOKUP(AH212,'ELA Reading Logic'!$A$22:$B$48,2,FALSE),"No Score")))),"No Value"))</f>
        <v>No Value</v>
      </c>
      <c r="AJ212" s="96" t="str">
        <f>IFERROR(VLOOKUP(AF212,'ELA Reading Logic'!$A$22:$B$48,2,FALSE)-VLOOKUP($F212,'ELA Reading Logic'!$A$22:$B$48,2,FALSE),"No Value")</f>
        <v>No Value</v>
      </c>
      <c r="AK212" s="92"/>
      <c r="AL212" s="96" t="str">
        <f>IFERROR(IF($E212="Yes","IPP",VLOOKUP($J212,'ELA Reading Logic'!$A$3:$K$9,VLOOKUP(AK$1,'ELA Reading Logic'!$J$22:$K$31,2,FALSE),FALSE)),"Set Grade")</f>
        <v>Set Grade</v>
      </c>
      <c r="AM212" s="96" t="str">
        <f>IFERROR(IF($E212="Yes","IPP",VLOOKUP($J212,'ELA Reading Logic'!$A$13:$K$19,VLOOKUP(AK$1,'ELA Reading Logic'!$J$22:$K$31,2,FALSE),FALSE)),"Set Grade")</f>
        <v>Set Grade</v>
      </c>
      <c r="AN212" s="96" t="str">
        <f>IF($E212="Yes","IPP",IFERROR(IF(AND(AK212&gt;AL212,AK212&lt;AM212),"0",(VLOOKUP(AK212,'ELA Reading Logic'!$A$22:$B$48,2,FALSE))-(IF(VLOOKUP(AK212,'ELA Reading Logic'!$A$22:$B$48,2,FALSE)&lt;=VLOOKUP(AL212,'ELA Reading Logic'!$A$22:$B$48,2,FALSE),VLOOKUP(AL212,'ELA Reading Logic'!$A$22:$B$48,2,FALSE),IF(VLOOKUP(AK212,'ELA Reading Logic'!$A$22:$B$48,2,FALSE)&gt;=VLOOKUP(AM212,'ELA Reading Logic'!$A$22:$B$48,2,FALSE),VLOOKUP(AM212,'ELA Reading Logic'!$A$22:$B$48,2,FALSE),"No Score")))),"No Value"))</f>
        <v>No Value</v>
      </c>
      <c r="AO212" s="96" t="str">
        <f>IFERROR(VLOOKUP(AK212,'ELA Reading Logic'!$A$22:$B$48,2,FALSE)-VLOOKUP($F212,'ELA Reading Logic'!$A$22:$B$48,2,FALSE),"No Value")</f>
        <v>No Value</v>
      </c>
      <c r="AP212" s="92"/>
      <c r="AQ212" s="96" t="str">
        <f>IFERROR(IF($E212="Yes","IPP",VLOOKUP($J212,'ELA Reading Logic'!$A$3:$K$9,VLOOKUP(AP$1,'ELA Reading Logic'!$J$22:$K$31,2,FALSE),FALSE)),"Set Grade")</f>
        <v>Set Grade</v>
      </c>
      <c r="AR212" s="96" t="str">
        <f>IFERROR(IF($E212="Yes","IPP",VLOOKUP($J212,'ELA Reading Logic'!$A$13:$K$19,VLOOKUP(AP$1,'ELA Reading Logic'!$J$22:$K$31,2,FALSE),FALSE)),"Set Grade")</f>
        <v>Set Grade</v>
      </c>
      <c r="AS212" s="96" t="str">
        <f>IF($E212="Yes","IPP",IFERROR(IF(AND(AP212&gt;AQ212,AP212&lt;AR212),"0",(VLOOKUP(AP212,'ELA Reading Logic'!$A$22:$B$48,2,FALSE))-(IF(VLOOKUP(AP212,'ELA Reading Logic'!$A$22:$B$48,2,FALSE)&lt;=VLOOKUP(AQ212,'ELA Reading Logic'!$A$22:$B$48,2,FALSE),VLOOKUP(AQ212,'ELA Reading Logic'!$A$22:$B$48,2,FALSE),IF(VLOOKUP(AP212,'ELA Reading Logic'!$A$22:$B$48,2,FALSE)&gt;=VLOOKUP(AR212,'ELA Reading Logic'!$A$22:$B$48,2,FALSE),VLOOKUP(AR212,'ELA Reading Logic'!$A$22:$B$48,2,FALSE),"No Score")))),"No Value"))</f>
        <v>No Value</v>
      </c>
      <c r="AT212" s="96" t="str">
        <f>IFERROR(VLOOKUP(AP212,'ELA Reading Logic'!$A$22:$B$48,2,FALSE)-VLOOKUP($F212,'ELA Reading Logic'!$A$22:$B$48,2,FALSE),"No Value")</f>
        <v>No Value</v>
      </c>
    </row>
    <row r="213" spans="1:46" ht="22.5" customHeight="1" x14ac:dyDescent="0.25">
      <c r="E213" s="232"/>
      <c r="F213" s="175"/>
      <c r="G213" s="177" t="str">
        <f>IFERROR(IF($E213="Yes","IPP",VLOOKUP($J213,'ELA Reading Logic'!$A$3:$K$9,VLOOKUP("September",'ELA Reading Logic'!$J$22:$K$31,2,FALSE),FALSE)),"Set Grade")</f>
        <v>Set Grade</v>
      </c>
      <c r="H213" s="177" t="str">
        <f>IFERROR(IF($E213="Yes","IPP",VLOOKUP($J213,'ELA Reading Logic'!$A$13:$K$19,VLOOKUP("September",'ELA Reading Logic'!$J$22:$K$31,2,FALSE),FALSE)),"Set Grade")</f>
        <v>Set Grade</v>
      </c>
      <c r="I213" s="96" t="str">
        <f>IF($E213="Yes","IPP",IFERROR(IF(AND(F213&gt;G213,F213&lt;H213),"0",(VLOOKUP(F213,'ELA Reading Logic'!$A$22:$B$48,2,FALSE))-(IF(VLOOKUP(F213,'ELA Reading Logic'!$A$22:$B$48,2,FALSE)&lt;=VLOOKUP(G213,'ELA Reading Logic'!$A$22:$B$48,2,FALSE),VLOOKUP(G213,'ELA Reading Logic'!$A$22:$B$48,2,FALSE),IF(VLOOKUP(F213,'ELA Reading Logic'!$A$22:$B$48,2,FALSE)&gt;=VLOOKUP(H213,'ELA Reading Logic'!$A$22:$B$48,2,FALSE),VLOOKUP(H213,'ELA Reading Logic'!$A$22:$B$48,2,FALSE),"No Score")))),"No Value"))</f>
        <v>No Value</v>
      </c>
      <c r="J213" s="178"/>
      <c r="K213" s="96"/>
      <c r="L213" s="96"/>
      <c r="M213" s="96"/>
      <c r="N213" s="96"/>
      <c r="O213" s="96"/>
      <c r="P213" s="105"/>
      <c r="Q213" s="92"/>
      <c r="R213" s="96" t="str">
        <f>IFERROR(IF($E213="Yes","IPP",VLOOKUP($J213,'ELA Reading Logic'!$A$3:$K$9,VLOOKUP(Q$1,'ELA Reading Logic'!$J$22:$K$31,2,FALSE),FALSE)),"Set Grade")</f>
        <v>Set Grade</v>
      </c>
      <c r="S213" s="96" t="str">
        <f>IFERROR(IF($E213="Yes","IPP",VLOOKUP($J213,'ELA Reading Logic'!$A$13:$K$19,VLOOKUP(Q$1,'ELA Reading Logic'!$J$22:$K$31,2,FALSE),FALSE)),"Set Grade")</f>
        <v>Set Grade</v>
      </c>
      <c r="T213" s="96" t="str">
        <f>IF($E213="Yes","IPP",IFERROR(IF(AND(Q213&gt;R213,Q213&lt;S213),"0",(VLOOKUP(Q213,'ELA Reading Logic'!$A$22:$B$48,2,FALSE))-(IF(VLOOKUP(Q213,'ELA Reading Logic'!$A$22:$B$48,2,FALSE)&lt;=VLOOKUP(R213,'ELA Reading Logic'!$A$22:$B$48,2,FALSE),VLOOKUP(R213,'ELA Reading Logic'!$A$22:$B$48,2,FALSE),IF(VLOOKUP(Q213,'ELA Reading Logic'!$A$22:$B$48,2,FALSE)&gt;=VLOOKUP(S213,'ELA Reading Logic'!$A$22:$B$48,2,FALSE),VLOOKUP(S213,'ELA Reading Logic'!$A$22:$B$48,2,FALSE),"No Score")))),"No Value"))</f>
        <v>No Value</v>
      </c>
      <c r="U213" s="96" t="str">
        <f>IFERROR(VLOOKUP(Q213,'ELA Reading Logic'!$A$22:$B$48,2,FALSE)-VLOOKUP($F213,'ELA Reading Logic'!$A$22:$B$48,2,FALSE),"No Value")</f>
        <v>No Value</v>
      </c>
      <c r="V213" s="92"/>
      <c r="W213" s="96" t="str">
        <f>IFERROR(IF($E213="Yes","IPP",VLOOKUP($J213,'ELA Reading Logic'!$A$3:$K$9,VLOOKUP(V$1,'ELA Reading Logic'!$J$22:$K$31,2,FALSE),FALSE)),"Set Grade")</f>
        <v>Set Grade</v>
      </c>
      <c r="X213" s="96" t="str">
        <f>IFERROR(IF($E213="Yes","IPP",VLOOKUP($J213,'ELA Reading Logic'!$A$13:$K$19,VLOOKUP(V$1,'ELA Reading Logic'!$J$22:$K$31,2,FALSE),FALSE)),"Set Grade")</f>
        <v>Set Grade</v>
      </c>
      <c r="Y213" s="96" t="str">
        <f>IF($E213="Yes","IPP",IFERROR(IF(AND(V213&gt;W213,V213&lt;X213),"0",(VLOOKUP(V213,'ELA Reading Logic'!$A$22:$B$48,2,FALSE))-(IF(VLOOKUP(V213,'ELA Reading Logic'!$A$22:$B$48,2,FALSE)&lt;=VLOOKUP(W213,'ELA Reading Logic'!$A$22:$B$48,2,FALSE),VLOOKUP(W213,'ELA Reading Logic'!$A$22:$B$48,2,FALSE),IF(VLOOKUP(V213,'ELA Reading Logic'!$A$22:$B$48,2,FALSE)&gt;=VLOOKUP(X213,'ELA Reading Logic'!$A$22:$B$48,2,FALSE),VLOOKUP(X213,'ELA Reading Logic'!$A$22:$B$48,2,FALSE),"No Score")))),"No Value"))</f>
        <v>No Value</v>
      </c>
      <c r="Z213" s="96" t="str">
        <f>IFERROR(VLOOKUP(V213,'ELA Reading Logic'!$A$22:$B$48,2,FALSE)-VLOOKUP($F213,'ELA Reading Logic'!$A$22:$B$48,2,FALSE),"No Value")</f>
        <v>No Value</v>
      </c>
      <c r="AA213" s="92"/>
      <c r="AB213" s="96" t="str">
        <f>IFERROR(IF($E213="Yes","IPP",VLOOKUP($J213,'ELA Reading Logic'!$A$3:$K$9,VLOOKUP(AA$1,'ELA Reading Logic'!$J$22:$K$31,2,FALSE),FALSE)),"Set Grade")</f>
        <v>Set Grade</v>
      </c>
      <c r="AC213" s="96" t="str">
        <f>IFERROR(IF($E213="Yes","IPP",VLOOKUP($J213,'ELA Reading Logic'!$A$13:$K$19,VLOOKUP(AA$1,'ELA Reading Logic'!$J$22:$K$31,2,FALSE),FALSE)),"Set Grade")</f>
        <v>Set Grade</v>
      </c>
      <c r="AD213" s="96" t="str">
        <f>IF($E213="Yes","IPP",IFERROR(IF(AND(AA213&gt;AB213,AA213&lt;AC213),"0",(VLOOKUP(AA213,'ELA Reading Logic'!$A$22:$B$48,2,FALSE))-(IF(VLOOKUP(AA213,'ELA Reading Logic'!$A$22:$B$48,2,FALSE)&lt;=VLOOKUP(AB213,'ELA Reading Logic'!$A$22:$B$48,2,FALSE),VLOOKUP(AB213,'ELA Reading Logic'!$A$22:$B$48,2,FALSE),IF(VLOOKUP(AA213,'ELA Reading Logic'!$A$22:$B$48,2,FALSE)&gt;=VLOOKUP(AC213,'ELA Reading Logic'!$A$22:$B$48,2,FALSE),VLOOKUP(AC213,'ELA Reading Logic'!$A$22:$B$48,2,FALSE),"No Score")))),"No Value"))</f>
        <v>No Value</v>
      </c>
      <c r="AE213" s="96" t="str">
        <f>IFERROR(VLOOKUP(AA213,'ELA Reading Logic'!$A$22:$B$48,2,FALSE)-VLOOKUP($F213,'ELA Reading Logic'!$A$22:$B$48,2,FALSE),"No Value")</f>
        <v>No Value</v>
      </c>
      <c r="AF213" s="92"/>
      <c r="AG213" s="96" t="str">
        <f>IFERROR(IF($E213="Yes","IPP",VLOOKUP($J213,'ELA Reading Logic'!$A$3:$K$9,VLOOKUP(AF$1,'ELA Reading Logic'!$J$22:$K$31,2,FALSE),FALSE)),"Set Grade")</f>
        <v>Set Grade</v>
      </c>
      <c r="AH213" s="96" t="str">
        <f>IFERROR(IF($E213="Yes","IPP",VLOOKUP($J213,'ELA Reading Logic'!$A$13:$K$19,VLOOKUP(AF$1,'ELA Reading Logic'!$J$22:$K$31,2,FALSE),FALSE)),"Set Grade")</f>
        <v>Set Grade</v>
      </c>
      <c r="AI213" s="96" t="str">
        <f>IF($E213="Yes","IPP",IFERROR(IF(AND(AF213&gt;AG213,AF213&lt;AH213),"0",(VLOOKUP(AF213,'ELA Reading Logic'!$A$22:$B$48,2,FALSE))-(IF(VLOOKUP(AF213,'ELA Reading Logic'!$A$22:$B$48,2,FALSE)&lt;=VLOOKUP(AG213,'ELA Reading Logic'!$A$22:$B$48,2,FALSE),VLOOKUP(AG213,'ELA Reading Logic'!$A$22:$B$48,2,FALSE),IF(VLOOKUP(AF213,'ELA Reading Logic'!$A$22:$B$48,2,FALSE)&gt;=VLOOKUP(AH213,'ELA Reading Logic'!$A$22:$B$48,2,FALSE),VLOOKUP(AH213,'ELA Reading Logic'!$A$22:$B$48,2,FALSE),"No Score")))),"No Value"))</f>
        <v>No Value</v>
      </c>
      <c r="AJ213" s="96" t="str">
        <f>IFERROR(VLOOKUP(AF213,'ELA Reading Logic'!$A$22:$B$48,2,FALSE)-VLOOKUP($F213,'ELA Reading Logic'!$A$22:$B$48,2,FALSE),"No Value")</f>
        <v>No Value</v>
      </c>
      <c r="AK213" s="92"/>
      <c r="AL213" s="96" t="str">
        <f>IFERROR(IF($E213="Yes","IPP",VLOOKUP($J213,'ELA Reading Logic'!$A$3:$K$9,VLOOKUP(AK$1,'ELA Reading Logic'!$J$22:$K$31,2,FALSE),FALSE)),"Set Grade")</f>
        <v>Set Grade</v>
      </c>
      <c r="AM213" s="96" t="str">
        <f>IFERROR(IF($E213="Yes","IPP",VLOOKUP($J213,'ELA Reading Logic'!$A$13:$K$19,VLOOKUP(AK$1,'ELA Reading Logic'!$J$22:$K$31,2,FALSE),FALSE)),"Set Grade")</f>
        <v>Set Grade</v>
      </c>
      <c r="AN213" s="96" t="str">
        <f>IF($E213="Yes","IPP",IFERROR(IF(AND(AK213&gt;AL213,AK213&lt;AM213),"0",(VLOOKUP(AK213,'ELA Reading Logic'!$A$22:$B$48,2,FALSE))-(IF(VLOOKUP(AK213,'ELA Reading Logic'!$A$22:$B$48,2,FALSE)&lt;=VLOOKUP(AL213,'ELA Reading Logic'!$A$22:$B$48,2,FALSE),VLOOKUP(AL213,'ELA Reading Logic'!$A$22:$B$48,2,FALSE),IF(VLOOKUP(AK213,'ELA Reading Logic'!$A$22:$B$48,2,FALSE)&gt;=VLOOKUP(AM213,'ELA Reading Logic'!$A$22:$B$48,2,FALSE),VLOOKUP(AM213,'ELA Reading Logic'!$A$22:$B$48,2,FALSE),"No Score")))),"No Value"))</f>
        <v>No Value</v>
      </c>
      <c r="AO213" s="96" t="str">
        <f>IFERROR(VLOOKUP(AK213,'ELA Reading Logic'!$A$22:$B$48,2,FALSE)-VLOOKUP($F213,'ELA Reading Logic'!$A$22:$B$48,2,FALSE),"No Value")</f>
        <v>No Value</v>
      </c>
      <c r="AP213" s="92"/>
      <c r="AQ213" s="96" t="str">
        <f>IFERROR(IF($E213="Yes","IPP",VLOOKUP($J213,'ELA Reading Logic'!$A$3:$K$9,VLOOKUP(AP$1,'ELA Reading Logic'!$J$22:$K$31,2,FALSE),FALSE)),"Set Grade")</f>
        <v>Set Grade</v>
      </c>
      <c r="AR213" s="96" t="str">
        <f>IFERROR(IF($E213="Yes","IPP",VLOOKUP($J213,'ELA Reading Logic'!$A$13:$K$19,VLOOKUP(AP$1,'ELA Reading Logic'!$J$22:$K$31,2,FALSE),FALSE)),"Set Grade")</f>
        <v>Set Grade</v>
      </c>
      <c r="AS213" s="96" t="str">
        <f>IF($E213="Yes","IPP",IFERROR(IF(AND(AP213&gt;AQ213,AP213&lt;AR213),"0",(VLOOKUP(AP213,'ELA Reading Logic'!$A$22:$B$48,2,FALSE))-(IF(VLOOKUP(AP213,'ELA Reading Logic'!$A$22:$B$48,2,FALSE)&lt;=VLOOKUP(AQ213,'ELA Reading Logic'!$A$22:$B$48,2,FALSE),VLOOKUP(AQ213,'ELA Reading Logic'!$A$22:$B$48,2,FALSE),IF(VLOOKUP(AP213,'ELA Reading Logic'!$A$22:$B$48,2,FALSE)&gt;=VLOOKUP(AR213,'ELA Reading Logic'!$A$22:$B$48,2,FALSE),VLOOKUP(AR213,'ELA Reading Logic'!$A$22:$B$48,2,FALSE),"No Score")))),"No Value"))</f>
        <v>No Value</v>
      </c>
      <c r="AT213" s="96" t="str">
        <f>IFERROR(VLOOKUP(AP213,'ELA Reading Logic'!$A$22:$B$48,2,FALSE)-VLOOKUP($F213,'ELA Reading Logic'!$A$22:$B$48,2,FALSE),"No Value")</f>
        <v>No Value</v>
      </c>
    </row>
    <row r="214" spans="1:46" ht="22.5" customHeight="1" x14ac:dyDescent="0.25">
      <c r="E214" s="232"/>
      <c r="F214" s="175"/>
      <c r="G214" s="177" t="str">
        <f>IFERROR(IF($E214="Yes","IPP",VLOOKUP($J214,'ELA Reading Logic'!$A$3:$K$9,VLOOKUP("September",'ELA Reading Logic'!$J$22:$K$31,2,FALSE),FALSE)),"Set Grade")</f>
        <v>Set Grade</v>
      </c>
      <c r="H214" s="177" t="str">
        <f>IFERROR(IF($E214="Yes","IPP",VLOOKUP($J214,'ELA Reading Logic'!$A$13:$K$19,VLOOKUP("September",'ELA Reading Logic'!$J$22:$K$31,2,FALSE),FALSE)),"Set Grade")</f>
        <v>Set Grade</v>
      </c>
      <c r="I214" s="96" t="str">
        <f>IF($E214="Yes","IPP",IFERROR(IF(AND(F214&gt;G214,F214&lt;H214),"0",(VLOOKUP(F214,'ELA Reading Logic'!$A$22:$B$48,2,FALSE))-(IF(VLOOKUP(F214,'ELA Reading Logic'!$A$22:$B$48,2,FALSE)&lt;=VLOOKUP(G214,'ELA Reading Logic'!$A$22:$B$48,2,FALSE),VLOOKUP(G214,'ELA Reading Logic'!$A$22:$B$48,2,FALSE),IF(VLOOKUP(F214,'ELA Reading Logic'!$A$22:$B$48,2,FALSE)&gt;=VLOOKUP(H214,'ELA Reading Logic'!$A$22:$B$48,2,FALSE),VLOOKUP(H214,'ELA Reading Logic'!$A$22:$B$48,2,FALSE),"No Score")))),"No Value"))</f>
        <v>No Value</v>
      </c>
      <c r="J214" s="178"/>
      <c r="K214" s="96"/>
      <c r="L214" s="96"/>
      <c r="M214" s="96"/>
      <c r="N214" s="96"/>
      <c r="O214" s="96"/>
      <c r="P214" s="105"/>
      <c r="Q214" s="92"/>
      <c r="R214" s="96" t="str">
        <f>IFERROR(IF($E214="Yes","IPP",VLOOKUP($J214,'ELA Reading Logic'!$A$3:$K$9,VLOOKUP(Q$1,'ELA Reading Logic'!$J$22:$K$31,2,FALSE),FALSE)),"Set Grade")</f>
        <v>Set Grade</v>
      </c>
      <c r="S214" s="96" t="str">
        <f>IFERROR(IF($E214="Yes","IPP",VLOOKUP($J214,'ELA Reading Logic'!$A$13:$K$19,VLOOKUP(Q$1,'ELA Reading Logic'!$J$22:$K$31,2,FALSE),FALSE)),"Set Grade")</f>
        <v>Set Grade</v>
      </c>
      <c r="T214" s="96" t="str">
        <f>IF($E214="Yes","IPP",IFERROR(IF(AND(Q214&gt;R214,Q214&lt;S214),"0",(VLOOKUP(Q214,'ELA Reading Logic'!$A$22:$B$48,2,FALSE))-(IF(VLOOKUP(Q214,'ELA Reading Logic'!$A$22:$B$48,2,FALSE)&lt;=VLOOKUP(R214,'ELA Reading Logic'!$A$22:$B$48,2,FALSE),VLOOKUP(R214,'ELA Reading Logic'!$A$22:$B$48,2,FALSE),IF(VLOOKUP(Q214,'ELA Reading Logic'!$A$22:$B$48,2,FALSE)&gt;=VLOOKUP(S214,'ELA Reading Logic'!$A$22:$B$48,2,FALSE),VLOOKUP(S214,'ELA Reading Logic'!$A$22:$B$48,2,FALSE),"No Score")))),"No Value"))</f>
        <v>No Value</v>
      </c>
      <c r="U214" s="96" t="str">
        <f>IFERROR(VLOOKUP(Q214,'ELA Reading Logic'!$A$22:$B$48,2,FALSE)-VLOOKUP($F214,'ELA Reading Logic'!$A$22:$B$48,2,FALSE),"No Value")</f>
        <v>No Value</v>
      </c>
      <c r="V214" s="92"/>
      <c r="W214" s="96" t="str">
        <f>IFERROR(IF($E214="Yes","IPP",VLOOKUP($J214,'ELA Reading Logic'!$A$3:$K$9,VLOOKUP(V$1,'ELA Reading Logic'!$J$22:$K$31,2,FALSE),FALSE)),"Set Grade")</f>
        <v>Set Grade</v>
      </c>
      <c r="X214" s="96" t="str">
        <f>IFERROR(IF($E214="Yes","IPP",VLOOKUP($J214,'ELA Reading Logic'!$A$13:$K$19,VLOOKUP(V$1,'ELA Reading Logic'!$J$22:$K$31,2,FALSE),FALSE)),"Set Grade")</f>
        <v>Set Grade</v>
      </c>
      <c r="Y214" s="96" t="str">
        <f>IF($E214="Yes","IPP",IFERROR(IF(AND(V214&gt;W214,V214&lt;X214),"0",(VLOOKUP(V214,'ELA Reading Logic'!$A$22:$B$48,2,FALSE))-(IF(VLOOKUP(V214,'ELA Reading Logic'!$A$22:$B$48,2,FALSE)&lt;=VLOOKUP(W214,'ELA Reading Logic'!$A$22:$B$48,2,FALSE),VLOOKUP(W214,'ELA Reading Logic'!$A$22:$B$48,2,FALSE),IF(VLOOKUP(V214,'ELA Reading Logic'!$A$22:$B$48,2,FALSE)&gt;=VLOOKUP(X214,'ELA Reading Logic'!$A$22:$B$48,2,FALSE),VLOOKUP(X214,'ELA Reading Logic'!$A$22:$B$48,2,FALSE),"No Score")))),"No Value"))</f>
        <v>No Value</v>
      </c>
      <c r="Z214" s="96" t="str">
        <f>IFERROR(VLOOKUP(V214,'ELA Reading Logic'!$A$22:$B$48,2,FALSE)-VLOOKUP($F214,'ELA Reading Logic'!$A$22:$B$48,2,FALSE),"No Value")</f>
        <v>No Value</v>
      </c>
      <c r="AA214" s="92"/>
      <c r="AB214" s="96" t="str">
        <f>IFERROR(IF($E214="Yes","IPP",VLOOKUP($J214,'ELA Reading Logic'!$A$3:$K$9,VLOOKUP(AA$1,'ELA Reading Logic'!$J$22:$K$31,2,FALSE),FALSE)),"Set Grade")</f>
        <v>Set Grade</v>
      </c>
      <c r="AC214" s="96" t="str">
        <f>IFERROR(IF($E214="Yes","IPP",VLOOKUP($J214,'ELA Reading Logic'!$A$13:$K$19,VLOOKUP(AA$1,'ELA Reading Logic'!$J$22:$K$31,2,FALSE),FALSE)),"Set Grade")</f>
        <v>Set Grade</v>
      </c>
      <c r="AD214" s="96" t="str">
        <f>IF($E214="Yes","IPP",IFERROR(IF(AND(AA214&gt;AB214,AA214&lt;AC214),"0",(VLOOKUP(AA214,'ELA Reading Logic'!$A$22:$B$48,2,FALSE))-(IF(VLOOKUP(AA214,'ELA Reading Logic'!$A$22:$B$48,2,FALSE)&lt;=VLOOKUP(AB214,'ELA Reading Logic'!$A$22:$B$48,2,FALSE),VLOOKUP(AB214,'ELA Reading Logic'!$A$22:$B$48,2,FALSE),IF(VLOOKUP(AA214,'ELA Reading Logic'!$A$22:$B$48,2,FALSE)&gt;=VLOOKUP(AC214,'ELA Reading Logic'!$A$22:$B$48,2,FALSE),VLOOKUP(AC214,'ELA Reading Logic'!$A$22:$B$48,2,FALSE),"No Score")))),"No Value"))</f>
        <v>No Value</v>
      </c>
      <c r="AE214" s="96" t="str">
        <f>IFERROR(VLOOKUP(AA214,'ELA Reading Logic'!$A$22:$B$48,2,FALSE)-VLOOKUP($F214,'ELA Reading Logic'!$A$22:$B$48,2,FALSE),"No Value")</f>
        <v>No Value</v>
      </c>
      <c r="AF214" s="92"/>
      <c r="AG214" s="96" t="str">
        <f>IFERROR(IF($E214="Yes","IPP",VLOOKUP($J214,'ELA Reading Logic'!$A$3:$K$9,VLOOKUP(AF$1,'ELA Reading Logic'!$J$22:$K$31,2,FALSE),FALSE)),"Set Grade")</f>
        <v>Set Grade</v>
      </c>
      <c r="AH214" s="96" t="str">
        <f>IFERROR(IF($E214="Yes","IPP",VLOOKUP($J214,'ELA Reading Logic'!$A$13:$K$19,VLOOKUP(AF$1,'ELA Reading Logic'!$J$22:$K$31,2,FALSE),FALSE)),"Set Grade")</f>
        <v>Set Grade</v>
      </c>
      <c r="AI214" s="96" t="str">
        <f>IF($E214="Yes","IPP",IFERROR(IF(AND(AF214&gt;AG214,AF214&lt;AH214),"0",(VLOOKUP(AF214,'ELA Reading Logic'!$A$22:$B$48,2,FALSE))-(IF(VLOOKUP(AF214,'ELA Reading Logic'!$A$22:$B$48,2,FALSE)&lt;=VLOOKUP(AG214,'ELA Reading Logic'!$A$22:$B$48,2,FALSE),VLOOKUP(AG214,'ELA Reading Logic'!$A$22:$B$48,2,FALSE),IF(VLOOKUP(AF214,'ELA Reading Logic'!$A$22:$B$48,2,FALSE)&gt;=VLOOKUP(AH214,'ELA Reading Logic'!$A$22:$B$48,2,FALSE),VLOOKUP(AH214,'ELA Reading Logic'!$A$22:$B$48,2,FALSE),"No Score")))),"No Value"))</f>
        <v>No Value</v>
      </c>
      <c r="AJ214" s="96" t="str">
        <f>IFERROR(VLOOKUP(AF214,'ELA Reading Logic'!$A$22:$B$48,2,FALSE)-VLOOKUP($F214,'ELA Reading Logic'!$A$22:$B$48,2,FALSE),"No Value")</f>
        <v>No Value</v>
      </c>
      <c r="AK214" s="92"/>
      <c r="AL214" s="96" t="str">
        <f>IFERROR(IF($E214="Yes","IPP",VLOOKUP($J214,'ELA Reading Logic'!$A$3:$K$9,VLOOKUP(AK$1,'ELA Reading Logic'!$J$22:$K$31,2,FALSE),FALSE)),"Set Grade")</f>
        <v>Set Grade</v>
      </c>
      <c r="AM214" s="96" t="str">
        <f>IFERROR(IF($E214="Yes","IPP",VLOOKUP($J214,'ELA Reading Logic'!$A$13:$K$19,VLOOKUP(AK$1,'ELA Reading Logic'!$J$22:$K$31,2,FALSE),FALSE)),"Set Grade")</f>
        <v>Set Grade</v>
      </c>
      <c r="AN214" s="96" t="str">
        <f>IF($E214="Yes","IPP",IFERROR(IF(AND(AK214&gt;AL214,AK214&lt;AM214),"0",(VLOOKUP(AK214,'ELA Reading Logic'!$A$22:$B$48,2,FALSE))-(IF(VLOOKUP(AK214,'ELA Reading Logic'!$A$22:$B$48,2,FALSE)&lt;=VLOOKUP(AL214,'ELA Reading Logic'!$A$22:$B$48,2,FALSE),VLOOKUP(AL214,'ELA Reading Logic'!$A$22:$B$48,2,FALSE),IF(VLOOKUP(AK214,'ELA Reading Logic'!$A$22:$B$48,2,FALSE)&gt;=VLOOKUP(AM214,'ELA Reading Logic'!$A$22:$B$48,2,FALSE),VLOOKUP(AM214,'ELA Reading Logic'!$A$22:$B$48,2,FALSE),"No Score")))),"No Value"))</f>
        <v>No Value</v>
      </c>
      <c r="AO214" s="96" t="str">
        <f>IFERROR(VLOOKUP(AK214,'ELA Reading Logic'!$A$22:$B$48,2,FALSE)-VLOOKUP($F214,'ELA Reading Logic'!$A$22:$B$48,2,FALSE),"No Value")</f>
        <v>No Value</v>
      </c>
      <c r="AP214" s="92"/>
      <c r="AQ214" s="96" t="str">
        <f>IFERROR(IF($E214="Yes","IPP",VLOOKUP($J214,'ELA Reading Logic'!$A$3:$K$9,VLOOKUP(AP$1,'ELA Reading Logic'!$J$22:$K$31,2,FALSE),FALSE)),"Set Grade")</f>
        <v>Set Grade</v>
      </c>
      <c r="AR214" s="96" t="str">
        <f>IFERROR(IF($E214="Yes","IPP",VLOOKUP($J214,'ELA Reading Logic'!$A$13:$K$19,VLOOKUP(AP$1,'ELA Reading Logic'!$J$22:$K$31,2,FALSE),FALSE)),"Set Grade")</f>
        <v>Set Grade</v>
      </c>
      <c r="AS214" s="96" t="str">
        <f>IF($E214="Yes","IPP",IFERROR(IF(AND(AP214&gt;AQ214,AP214&lt;AR214),"0",(VLOOKUP(AP214,'ELA Reading Logic'!$A$22:$B$48,2,FALSE))-(IF(VLOOKUP(AP214,'ELA Reading Logic'!$A$22:$B$48,2,FALSE)&lt;=VLOOKUP(AQ214,'ELA Reading Logic'!$A$22:$B$48,2,FALSE),VLOOKUP(AQ214,'ELA Reading Logic'!$A$22:$B$48,2,FALSE),IF(VLOOKUP(AP214,'ELA Reading Logic'!$A$22:$B$48,2,FALSE)&gt;=VLOOKUP(AR214,'ELA Reading Logic'!$A$22:$B$48,2,FALSE),VLOOKUP(AR214,'ELA Reading Logic'!$A$22:$B$48,2,FALSE),"No Score")))),"No Value"))</f>
        <v>No Value</v>
      </c>
      <c r="AT214" s="96" t="str">
        <f>IFERROR(VLOOKUP(AP214,'ELA Reading Logic'!$A$22:$B$48,2,FALSE)-VLOOKUP($F214,'ELA Reading Logic'!$A$22:$B$48,2,FALSE),"No Value")</f>
        <v>No Value</v>
      </c>
    </row>
    <row r="215" spans="1:46" ht="22.5" customHeight="1" x14ac:dyDescent="0.25">
      <c r="A215" s="234"/>
      <c r="B215" s="234"/>
      <c r="C215" s="234"/>
      <c r="D215" s="234"/>
      <c r="E215" s="232"/>
      <c r="F215" s="175"/>
      <c r="G215" s="177" t="str">
        <f>IFERROR(IF($E215="Yes","IPP",VLOOKUP($J215,'ELA Reading Logic'!$A$3:$K$9,VLOOKUP("September",'ELA Reading Logic'!$J$22:$K$31,2,FALSE),FALSE)),"Set Grade")</f>
        <v>Set Grade</v>
      </c>
      <c r="H215" s="177" t="str">
        <f>IFERROR(IF($E215="Yes","IPP",VLOOKUP($J215,'ELA Reading Logic'!$A$13:$K$19,VLOOKUP("September",'ELA Reading Logic'!$J$22:$K$31,2,FALSE),FALSE)),"Set Grade")</f>
        <v>Set Grade</v>
      </c>
      <c r="I215" s="96" t="str">
        <f>IF($E215="Yes","IPP",IFERROR(IF(AND(F215&gt;G215,F215&lt;H215),"0",(VLOOKUP(F215,'ELA Reading Logic'!$A$22:$B$48,2,FALSE))-(IF(VLOOKUP(F215,'ELA Reading Logic'!$A$22:$B$48,2,FALSE)&lt;=VLOOKUP(G215,'ELA Reading Logic'!$A$22:$B$48,2,FALSE),VLOOKUP(G215,'ELA Reading Logic'!$A$22:$B$48,2,FALSE),IF(VLOOKUP(F215,'ELA Reading Logic'!$A$22:$B$48,2,FALSE)&gt;=VLOOKUP(H215,'ELA Reading Logic'!$A$22:$B$48,2,FALSE),VLOOKUP(H215,'ELA Reading Logic'!$A$22:$B$48,2,FALSE),"No Score")))),"No Value"))</f>
        <v>No Value</v>
      </c>
      <c r="J215" s="178"/>
      <c r="K215" s="96"/>
      <c r="L215" s="96"/>
      <c r="M215" s="96"/>
      <c r="N215" s="96"/>
      <c r="O215" s="96"/>
      <c r="P215" s="105"/>
      <c r="Q215" s="92"/>
      <c r="R215" s="96" t="str">
        <f>IFERROR(IF($E215="Yes","IPP",VLOOKUP($J215,'ELA Reading Logic'!$A$3:$K$9,VLOOKUP(Q$1,'ELA Reading Logic'!$J$22:$K$31,2,FALSE),FALSE)),"Set Grade")</f>
        <v>Set Grade</v>
      </c>
      <c r="S215" s="96" t="str">
        <f>IFERROR(IF($E215="Yes","IPP",VLOOKUP($J215,'ELA Reading Logic'!$A$13:$K$19,VLOOKUP(Q$1,'ELA Reading Logic'!$J$22:$K$31,2,FALSE),FALSE)),"Set Grade")</f>
        <v>Set Grade</v>
      </c>
      <c r="T215" s="96" t="str">
        <f>IF($E215="Yes","IPP",IFERROR(IF(AND(Q215&gt;R215,Q215&lt;S215),"0",(VLOOKUP(Q215,'ELA Reading Logic'!$A$22:$B$48,2,FALSE))-(IF(VLOOKUP(Q215,'ELA Reading Logic'!$A$22:$B$48,2,FALSE)&lt;=VLOOKUP(R215,'ELA Reading Logic'!$A$22:$B$48,2,FALSE),VLOOKUP(R215,'ELA Reading Logic'!$A$22:$B$48,2,FALSE),IF(VLOOKUP(Q215,'ELA Reading Logic'!$A$22:$B$48,2,FALSE)&gt;=VLOOKUP(S215,'ELA Reading Logic'!$A$22:$B$48,2,FALSE),VLOOKUP(S215,'ELA Reading Logic'!$A$22:$B$48,2,FALSE),"No Score")))),"No Value"))</f>
        <v>No Value</v>
      </c>
      <c r="U215" s="96" t="str">
        <f>IFERROR(VLOOKUP(Q215,'ELA Reading Logic'!$A$22:$B$48,2,FALSE)-VLOOKUP($F215,'ELA Reading Logic'!$A$22:$B$48,2,FALSE),"No Value")</f>
        <v>No Value</v>
      </c>
      <c r="V215" s="92"/>
      <c r="W215" s="96" t="str">
        <f>IFERROR(IF($E215="Yes","IPP",VLOOKUP($J215,'ELA Reading Logic'!$A$3:$K$9,VLOOKUP(V$1,'ELA Reading Logic'!$J$22:$K$31,2,FALSE),FALSE)),"Set Grade")</f>
        <v>Set Grade</v>
      </c>
      <c r="X215" s="96" t="str">
        <f>IFERROR(IF($E215="Yes","IPP",VLOOKUP($J215,'ELA Reading Logic'!$A$13:$K$19,VLOOKUP(V$1,'ELA Reading Logic'!$J$22:$K$31,2,FALSE),FALSE)),"Set Grade")</f>
        <v>Set Grade</v>
      </c>
      <c r="Y215" s="96" t="str">
        <f>IF($E215="Yes","IPP",IFERROR(IF(AND(V215&gt;W215,V215&lt;X215),"0",(VLOOKUP(V215,'ELA Reading Logic'!$A$22:$B$48,2,FALSE))-(IF(VLOOKUP(V215,'ELA Reading Logic'!$A$22:$B$48,2,FALSE)&lt;=VLOOKUP(W215,'ELA Reading Logic'!$A$22:$B$48,2,FALSE),VLOOKUP(W215,'ELA Reading Logic'!$A$22:$B$48,2,FALSE),IF(VLOOKUP(V215,'ELA Reading Logic'!$A$22:$B$48,2,FALSE)&gt;=VLOOKUP(X215,'ELA Reading Logic'!$A$22:$B$48,2,FALSE),VLOOKUP(X215,'ELA Reading Logic'!$A$22:$B$48,2,FALSE),"No Score")))),"No Value"))</f>
        <v>No Value</v>
      </c>
      <c r="Z215" s="96" t="str">
        <f>IFERROR(VLOOKUP(V215,'ELA Reading Logic'!$A$22:$B$48,2,FALSE)-VLOOKUP($F215,'ELA Reading Logic'!$A$22:$B$48,2,FALSE),"No Value")</f>
        <v>No Value</v>
      </c>
      <c r="AA215" s="92"/>
      <c r="AB215" s="96" t="str">
        <f>IFERROR(IF($E215="Yes","IPP",VLOOKUP($J215,'ELA Reading Logic'!$A$3:$K$9,VLOOKUP(AA$1,'ELA Reading Logic'!$J$22:$K$31,2,FALSE),FALSE)),"Set Grade")</f>
        <v>Set Grade</v>
      </c>
      <c r="AC215" s="96" t="str">
        <f>IFERROR(IF($E215="Yes","IPP",VLOOKUP($J215,'ELA Reading Logic'!$A$13:$K$19,VLOOKUP(AA$1,'ELA Reading Logic'!$J$22:$K$31,2,FALSE),FALSE)),"Set Grade")</f>
        <v>Set Grade</v>
      </c>
      <c r="AD215" s="96" t="str">
        <f>IF($E215="Yes","IPP",IFERROR(IF(AND(AA215&gt;AB215,AA215&lt;AC215),"0",(VLOOKUP(AA215,'ELA Reading Logic'!$A$22:$B$48,2,FALSE))-(IF(VLOOKUP(AA215,'ELA Reading Logic'!$A$22:$B$48,2,FALSE)&lt;=VLOOKUP(AB215,'ELA Reading Logic'!$A$22:$B$48,2,FALSE),VLOOKUP(AB215,'ELA Reading Logic'!$A$22:$B$48,2,FALSE),IF(VLOOKUP(AA215,'ELA Reading Logic'!$A$22:$B$48,2,FALSE)&gt;=VLOOKUP(AC215,'ELA Reading Logic'!$A$22:$B$48,2,FALSE),VLOOKUP(AC215,'ELA Reading Logic'!$A$22:$B$48,2,FALSE),"No Score")))),"No Value"))</f>
        <v>No Value</v>
      </c>
      <c r="AE215" s="96" t="str">
        <f>IFERROR(VLOOKUP(AA215,'ELA Reading Logic'!$A$22:$B$48,2,FALSE)-VLOOKUP($F215,'ELA Reading Logic'!$A$22:$B$48,2,FALSE),"No Value")</f>
        <v>No Value</v>
      </c>
      <c r="AF215" s="92"/>
      <c r="AG215" s="96" t="str">
        <f>IFERROR(IF($E215="Yes","IPP",VLOOKUP($J215,'ELA Reading Logic'!$A$3:$K$9,VLOOKUP(AF$1,'ELA Reading Logic'!$J$22:$K$31,2,FALSE),FALSE)),"Set Grade")</f>
        <v>Set Grade</v>
      </c>
      <c r="AH215" s="96" t="str">
        <f>IFERROR(IF($E215="Yes","IPP",VLOOKUP($J215,'ELA Reading Logic'!$A$13:$K$19,VLOOKUP(AF$1,'ELA Reading Logic'!$J$22:$K$31,2,FALSE),FALSE)),"Set Grade")</f>
        <v>Set Grade</v>
      </c>
      <c r="AI215" s="96" t="str">
        <f>IF($E215="Yes","IPP",IFERROR(IF(AND(AF215&gt;AG215,AF215&lt;AH215),"0",(VLOOKUP(AF215,'ELA Reading Logic'!$A$22:$B$48,2,FALSE))-(IF(VLOOKUP(AF215,'ELA Reading Logic'!$A$22:$B$48,2,FALSE)&lt;=VLOOKUP(AG215,'ELA Reading Logic'!$A$22:$B$48,2,FALSE),VLOOKUP(AG215,'ELA Reading Logic'!$A$22:$B$48,2,FALSE),IF(VLOOKUP(AF215,'ELA Reading Logic'!$A$22:$B$48,2,FALSE)&gt;=VLOOKUP(AH215,'ELA Reading Logic'!$A$22:$B$48,2,FALSE),VLOOKUP(AH215,'ELA Reading Logic'!$A$22:$B$48,2,FALSE),"No Score")))),"No Value"))</f>
        <v>No Value</v>
      </c>
      <c r="AJ215" s="96" t="str">
        <f>IFERROR(VLOOKUP(AF215,'ELA Reading Logic'!$A$22:$B$48,2,FALSE)-VLOOKUP($F215,'ELA Reading Logic'!$A$22:$B$48,2,FALSE),"No Value")</f>
        <v>No Value</v>
      </c>
      <c r="AK215" s="92"/>
      <c r="AL215" s="96" t="str">
        <f>IFERROR(IF($E215="Yes","IPP",VLOOKUP($J215,'ELA Reading Logic'!$A$3:$K$9,VLOOKUP(AK$1,'ELA Reading Logic'!$J$22:$K$31,2,FALSE),FALSE)),"Set Grade")</f>
        <v>Set Grade</v>
      </c>
      <c r="AM215" s="96" t="str">
        <f>IFERROR(IF($E215="Yes","IPP",VLOOKUP($J215,'ELA Reading Logic'!$A$13:$K$19,VLOOKUP(AK$1,'ELA Reading Logic'!$J$22:$K$31,2,FALSE),FALSE)),"Set Grade")</f>
        <v>Set Grade</v>
      </c>
      <c r="AN215" s="96" t="str">
        <f>IF($E215="Yes","IPP",IFERROR(IF(AND(AK215&gt;AL215,AK215&lt;AM215),"0",(VLOOKUP(AK215,'ELA Reading Logic'!$A$22:$B$48,2,FALSE))-(IF(VLOOKUP(AK215,'ELA Reading Logic'!$A$22:$B$48,2,FALSE)&lt;=VLOOKUP(AL215,'ELA Reading Logic'!$A$22:$B$48,2,FALSE),VLOOKUP(AL215,'ELA Reading Logic'!$A$22:$B$48,2,FALSE),IF(VLOOKUP(AK215,'ELA Reading Logic'!$A$22:$B$48,2,FALSE)&gt;=VLOOKUP(AM215,'ELA Reading Logic'!$A$22:$B$48,2,FALSE),VLOOKUP(AM215,'ELA Reading Logic'!$A$22:$B$48,2,FALSE),"No Score")))),"No Value"))</f>
        <v>No Value</v>
      </c>
      <c r="AO215" s="96" t="str">
        <f>IFERROR(VLOOKUP(AK215,'ELA Reading Logic'!$A$22:$B$48,2,FALSE)-VLOOKUP($F215,'ELA Reading Logic'!$A$22:$B$48,2,FALSE),"No Value")</f>
        <v>No Value</v>
      </c>
      <c r="AP215" s="92"/>
      <c r="AQ215" s="96" t="str">
        <f>IFERROR(IF($E215="Yes","IPP",VLOOKUP($J215,'ELA Reading Logic'!$A$3:$K$9,VLOOKUP(AP$1,'ELA Reading Logic'!$J$22:$K$31,2,FALSE),FALSE)),"Set Grade")</f>
        <v>Set Grade</v>
      </c>
      <c r="AR215" s="96" t="str">
        <f>IFERROR(IF($E215="Yes","IPP",VLOOKUP($J215,'ELA Reading Logic'!$A$13:$K$19,VLOOKUP(AP$1,'ELA Reading Logic'!$J$22:$K$31,2,FALSE),FALSE)),"Set Grade")</f>
        <v>Set Grade</v>
      </c>
      <c r="AS215" s="96" t="str">
        <f>IF($E215="Yes","IPP",IFERROR(IF(AND(AP215&gt;AQ215,AP215&lt;AR215),"0",(VLOOKUP(AP215,'ELA Reading Logic'!$A$22:$B$48,2,FALSE))-(IF(VLOOKUP(AP215,'ELA Reading Logic'!$A$22:$B$48,2,FALSE)&lt;=VLOOKUP(AQ215,'ELA Reading Logic'!$A$22:$B$48,2,FALSE),VLOOKUP(AQ215,'ELA Reading Logic'!$A$22:$B$48,2,FALSE),IF(VLOOKUP(AP215,'ELA Reading Logic'!$A$22:$B$48,2,FALSE)&gt;=VLOOKUP(AR215,'ELA Reading Logic'!$A$22:$B$48,2,FALSE),VLOOKUP(AR215,'ELA Reading Logic'!$A$22:$B$48,2,FALSE),"No Score")))),"No Value"))</f>
        <v>No Value</v>
      </c>
      <c r="AT215" s="96" t="str">
        <f>IFERROR(VLOOKUP(AP215,'ELA Reading Logic'!$A$22:$B$48,2,FALSE)-VLOOKUP($F215,'ELA Reading Logic'!$A$22:$B$48,2,FALSE),"No Value")</f>
        <v>No Value</v>
      </c>
    </row>
    <row r="216" spans="1:46" ht="22.5" customHeight="1" x14ac:dyDescent="0.25">
      <c r="A216" s="234"/>
      <c r="B216" s="234"/>
      <c r="C216" s="234"/>
      <c r="D216" s="234"/>
      <c r="E216" s="232"/>
      <c r="F216" s="175"/>
      <c r="G216" s="177" t="str">
        <f>IFERROR(IF($E216="Yes","IPP",VLOOKUP($J216,'ELA Reading Logic'!$A$3:$K$9,VLOOKUP("September",'ELA Reading Logic'!$J$22:$K$31,2,FALSE),FALSE)),"Set Grade")</f>
        <v>Set Grade</v>
      </c>
      <c r="H216" s="177" t="str">
        <f>IFERROR(IF($E216="Yes","IPP",VLOOKUP($J216,'ELA Reading Logic'!$A$13:$K$19,VLOOKUP("September",'ELA Reading Logic'!$J$22:$K$31,2,FALSE),FALSE)),"Set Grade")</f>
        <v>Set Grade</v>
      </c>
      <c r="I216" s="96" t="str">
        <f>IF($E216="Yes","IPP",IFERROR(IF(AND(F216&gt;G216,F216&lt;H216),"0",(VLOOKUP(F216,'ELA Reading Logic'!$A$22:$B$48,2,FALSE))-(IF(VLOOKUP(F216,'ELA Reading Logic'!$A$22:$B$48,2,FALSE)&lt;=VLOOKUP(G216,'ELA Reading Logic'!$A$22:$B$48,2,FALSE),VLOOKUP(G216,'ELA Reading Logic'!$A$22:$B$48,2,FALSE),IF(VLOOKUP(F216,'ELA Reading Logic'!$A$22:$B$48,2,FALSE)&gt;=VLOOKUP(H216,'ELA Reading Logic'!$A$22:$B$48,2,FALSE),VLOOKUP(H216,'ELA Reading Logic'!$A$22:$B$48,2,FALSE),"No Score")))),"No Value"))</f>
        <v>No Value</v>
      </c>
      <c r="J216" s="178"/>
      <c r="K216" s="96"/>
      <c r="L216" s="96"/>
      <c r="M216" s="96"/>
      <c r="N216" s="96"/>
      <c r="O216" s="96"/>
      <c r="P216" s="105"/>
      <c r="Q216" s="92"/>
      <c r="R216" s="96" t="str">
        <f>IFERROR(IF($E216="Yes","IPP",VLOOKUP($J216,'ELA Reading Logic'!$A$3:$K$9,VLOOKUP(Q$1,'ELA Reading Logic'!$J$22:$K$31,2,FALSE),FALSE)),"Set Grade")</f>
        <v>Set Grade</v>
      </c>
      <c r="S216" s="96" t="str">
        <f>IFERROR(IF($E216="Yes","IPP",VLOOKUP($J216,'ELA Reading Logic'!$A$13:$K$19,VLOOKUP(Q$1,'ELA Reading Logic'!$J$22:$K$31,2,FALSE),FALSE)),"Set Grade")</f>
        <v>Set Grade</v>
      </c>
      <c r="T216" s="96" t="str">
        <f>IF($E216="Yes","IPP",IFERROR(IF(AND(Q216&gt;R216,Q216&lt;S216),"0",(VLOOKUP(Q216,'ELA Reading Logic'!$A$22:$B$48,2,FALSE))-(IF(VLOOKUP(Q216,'ELA Reading Logic'!$A$22:$B$48,2,FALSE)&lt;=VLOOKUP(R216,'ELA Reading Logic'!$A$22:$B$48,2,FALSE),VLOOKUP(R216,'ELA Reading Logic'!$A$22:$B$48,2,FALSE),IF(VLOOKUP(Q216,'ELA Reading Logic'!$A$22:$B$48,2,FALSE)&gt;=VLOOKUP(S216,'ELA Reading Logic'!$A$22:$B$48,2,FALSE),VLOOKUP(S216,'ELA Reading Logic'!$A$22:$B$48,2,FALSE),"No Score")))),"No Value"))</f>
        <v>No Value</v>
      </c>
      <c r="U216" s="96" t="str">
        <f>IFERROR(VLOOKUP(Q216,'ELA Reading Logic'!$A$22:$B$48,2,FALSE)-VLOOKUP($F216,'ELA Reading Logic'!$A$22:$B$48,2,FALSE),"No Value")</f>
        <v>No Value</v>
      </c>
      <c r="V216" s="92"/>
      <c r="W216" s="96" t="str">
        <f>IFERROR(IF($E216="Yes","IPP",VLOOKUP($J216,'ELA Reading Logic'!$A$3:$K$9,VLOOKUP(V$1,'ELA Reading Logic'!$J$22:$K$31,2,FALSE),FALSE)),"Set Grade")</f>
        <v>Set Grade</v>
      </c>
      <c r="X216" s="96" t="str">
        <f>IFERROR(IF($E216="Yes","IPP",VLOOKUP($J216,'ELA Reading Logic'!$A$13:$K$19,VLOOKUP(V$1,'ELA Reading Logic'!$J$22:$K$31,2,FALSE),FALSE)),"Set Grade")</f>
        <v>Set Grade</v>
      </c>
      <c r="Y216" s="96" t="str">
        <f>IF($E216="Yes","IPP",IFERROR(IF(AND(V216&gt;W216,V216&lt;X216),"0",(VLOOKUP(V216,'ELA Reading Logic'!$A$22:$B$48,2,FALSE))-(IF(VLOOKUP(V216,'ELA Reading Logic'!$A$22:$B$48,2,FALSE)&lt;=VLOOKUP(W216,'ELA Reading Logic'!$A$22:$B$48,2,FALSE),VLOOKUP(W216,'ELA Reading Logic'!$A$22:$B$48,2,FALSE),IF(VLOOKUP(V216,'ELA Reading Logic'!$A$22:$B$48,2,FALSE)&gt;=VLOOKUP(X216,'ELA Reading Logic'!$A$22:$B$48,2,FALSE),VLOOKUP(X216,'ELA Reading Logic'!$A$22:$B$48,2,FALSE),"No Score")))),"No Value"))</f>
        <v>No Value</v>
      </c>
      <c r="Z216" s="96" t="str">
        <f>IFERROR(VLOOKUP(V216,'ELA Reading Logic'!$A$22:$B$48,2,FALSE)-VLOOKUP($F216,'ELA Reading Logic'!$A$22:$B$48,2,FALSE),"No Value")</f>
        <v>No Value</v>
      </c>
      <c r="AA216" s="92"/>
      <c r="AB216" s="96" t="str">
        <f>IFERROR(IF($E216="Yes","IPP",VLOOKUP($J216,'ELA Reading Logic'!$A$3:$K$9,VLOOKUP(AA$1,'ELA Reading Logic'!$J$22:$K$31,2,FALSE),FALSE)),"Set Grade")</f>
        <v>Set Grade</v>
      </c>
      <c r="AC216" s="96" t="str">
        <f>IFERROR(IF($E216="Yes","IPP",VLOOKUP($J216,'ELA Reading Logic'!$A$13:$K$19,VLOOKUP(AA$1,'ELA Reading Logic'!$J$22:$K$31,2,FALSE),FALSE)),"Set Grade")</f>
        <v>Set Grade</v>
      </c>
      <c r="AD216" s="96" t="str">
        <f>IF($E216="Yes","IPP",IFERROR(IF(AND(AA216&gt;AB216,AA216&lt;AC216),"0",(VLOOKUP(AA216,'ELA Reading Logic'!$A$22:$B$48,2,FALSE))-(IF(VLOOKUP(AA216,'ELA Reading Logic'!$A$22:$B$48,2,FALSE)&lt;=VLOOKUP(AB216,'ELA Reading Logic'!$A$22:$B$48,2,FALSE),VLOOKUP(AB216,'ELA Reading Logic'!$A$22:$B$48,2,FALSE),IF(VLOOKUP(AA216,'ELA Reading Logic'!$A$22:$B$48,2,FALSE)&gt;=VLOOKUP(AC216,'ELA Reading Logic'!$A$22:$B$48,2,FALSE),VLOOKUP(AC216,'ELA Reading Logic'!$A$22:$B$48,2,FALSE),"No Score")))),"No Value"))</f>
        <v>No Value</v>
      </c>
      <c r="AE216" s="96" t="str">
        <f>IFERROR(VLOOKUP(AA216,'ELA Reading Logic'!$A$22:$B$48,2,FALSE)-VLOOKUP($F216,'ELA Reading Logic'!$A$22:$B$48,2,FALSE),"No Value")</f>
        <v>No Value</v>
      </c>
      <c r="AF216" s="92"/>
      <c r="AG216" s="96" t="str">
        <f>IFERROR(IF($E216="Yes","IPP",VLOOKUP($J216,'ELA Reading Logic'!$A$3:$K$9,VLOOKUP(AF$1,'ELA Reading Logic'!$J$22:$K$31,2,FALSE),FALSE)),"Set Grade")</f>
        <v>Set Grade</v>
      </c>
      <c r="AH216" s="96" t="str">
        <f>IFERROR(IF($E216="Yes","IPP",VLOOKUP($J216,'ELA Reading Logic'!$A$13:$K$19,VLOOKUP(AF$1,'ELA Reading Logic'!$J$22:$K$31,2,FALSE),FALSE)),"Set Grade")</f>
        <v>Set Grade</v>
      </c>
      <c r="AI216" s="96" t="str">
        <f>IF($E216="Yes","IPP",IFERROR(IF(AND(AF216&gt;AG216,AF216&lt;AH216),"0",(VLOOKUP(AF216,'ELA Reading Logic'!$A$22:$B$48,2,FALSE))-(IF(VLOOKUP(AF216,'ELA Reading Logic'!$A$22:$B$48,2,FALSE)&lt;=VLOOKUP(AG216,'ELA Reading Logic'!$A$22:$B$48,2,FALSE),VLOOKUP(AG216,'ELA Reading Logic'!$A$22:$B$48,2,FALSE),IF(VLOOKUP(AF216,'ELA Reading Logic'!$A$22:$B$48,2,FALSE)&gt;=VLOOKUP(AH216,'ELA Reading Logic'!$A$22:$B$48,2,FALSE),VLOOKUP(AH216,'ELA Reading Logic'!$A$22:$B$48,2,FALSE),"No Score")))),"No Value"))</f>
        <v>No Value</v>
      </c>
      <c r="AJ216" s="96" t="str">
        <f>IFERROR(VLOOKUP(AF216,'ELA Reading Logic'!$A$22:$B$48,2,FALSE)-VLOOKUP($F216,'ELA Reading Logic'!$A$22:$B$48,2,FALSE),"No Value")</f>
        <v>No Value</v>
      </c>
      <c r="AK216" s="92"/>
      <c r="AL216" s="96" t="str">
        <f>IFERROR(IF($E216="Yes","IPP",VLOOKUP($J216,'ELA Reading Logic'!$A$3:$K$9,VLOOKUP(AK$1,'ELA Reading Logic'!$J$22:$K$31,2,FALSE),FALSE)),"Set Grade")</f>
        <v>Set Grade</v>
      </c>
      <c r="AM216" s="96" t="str">
        <f>IFERROR(IF($E216="Yes","IPP",VLOOKUP($J216,'ELA Reading Logic'!$A$13:$K$19,VLOOKUP(AK$1,'ELA Reading Logic'!$J$22:$K$31,2,FALSE),FALSE)),"Set Grade")</f>
        <v>Set Grade</v>
      </c>
      <c r="AN216" s="96" t="str">
        <f>IF($E216="Yes","IPP",IFERROR(IF(AND(AK216&gt;AL216,AK216&lt;AM216),"0",(VLOOKUP(AK216,'ELA Reading Logic'!$A$22:$B$48,2,FALSE))-(IF(VLOOKUP(AK216,'ELA Reading Logic'!$A$22:$B$48,2,FALSE)&lt;=VLOOKUP(AL216,'ELA Reading Logic'!$A$22:$B$48,2,FALSE),VLOOKUP(AL216,'ELA Reading Logic'!$A$22:$B$48,2,FALSE),IF(VLOOKUP(AK216,'ELA Reading Logic'!$A$22:$B$48,2,FALSE)&gt;=VLOOKUP(AM216,'ELA Reading Logic'!$A$22:$B$48,2,FALSE),VLOOKUP(AM216,'ELA Reading Logic'!$A$22:$B$48,2,FALSE),"No Score")))),"No Value"))</f>
        <v>No Value</v>
      </c>
      <c r="AO216" s="96" t="str">
        <f>IFERROR(VLOOKUP(AK216,'ELA Reading Logic'!$A$22:$B$48,2,FALSE)-VLOOKUP($F216,'ELA Reading Logic'!$A$22:$B$48,2,FALSE),"No Value")</f>
        <v>No Value</v>
      </c>
      <c r="AP216" s="92"/>
      <c r="AQ216" s="96" t="str">
        <f>IFERROR(IF($E216="Yes","IPP",VLOOKUP($J216,'ELA Reading Logic'!$A$3:$K$9,VLOOKUP(AP$1,'ELA Reading Logic'!$J$22:$K$31,2,FALSE),FALSE)),"Set Grade")</f>
        <v>Set Grade</v>
      </c>
      <c r="AR216" s="96" t="str">
        <f>IFERROR(IF($E216="Yes","IPP",VLOOKUP($J216,'ELA Reading Logic'!$A$13:$K$19,VLOOKUP(AP$1,'ELA Reading Logic'!$J$22:$K$31,2,FALSE),FALSE)),"Set Grade")</f>
        <v>Set Grade</v>
      </c>
      <c r="AS216" s="96" t="str">
        <f>IF($E216="Yes","IPP",IFERROR(IF(AND(AP216&gt;AQ216,AP216&lt;AR216),"0",(VLOOKUP(AP216,'ELA Reading Logic'!$A$22:$B$48,2,FALSE))-(IF(VLOOKUP(AP216,'ELA Reading Logic'!$A$22:$B$48,2,FALSE)&lt;=VLOOKUP(AQ216,'ELA Reading Logic'!$A$22:$B$48,2,FALSE),VLOOKUP(AQ216,'ELA Reading Logic'!$A$22:$B$48,2,FALSE),IF(VLOOKUP(AP216,'ELA Reading Logic'!$A$22:$B$48,2,FALSE)&gt;=VLOOKUP(AR216,'ELA Reading Logic'!$A$22:$B$48,2,FALSE),VLOOKUP(AR216,'ELA Reading Logic'!$A$22:$B$48,2,FALSE),"No Score")))),"No Value"))</f>
        <v>No Value</v>
      </c>
      <c r="AT216" s="96" t="str">
        <f>IFERROR(VLOOKUP(AP216,'ELA Reading Logic'!$A$22:$B$48,2,FALSE)-VLOOKUP($F216,'ELA Reading Logic'!$A$22:$B$48,2,FALSE),"No Value")</f>
        <v>No Value</v>
      </c>
    </row>
    <row r="217" spans="1:46" ht="22.5" customHeight="1" x14ac:dyDescent="0.25">
      <c r="E217" s="232"/>
      <c r="F217" s="175"/>
      <c r="G217" s="177" t="str">
        <f>IFERROR(IF($E217="Yes","IPP",VLOOKUP($J217,'ELA Reading Logic'!$A$3:$K$9,VLOOKUP("September",'ELA Reading Logic'!$J$22:$K$31,2,FALSE),FALSE)),"Set Grade")</f>
        <v>Set Grade</v>
      </c>
      <c r="H217" s="177" t="str">
        <f>IFERROR(IF($E217="Yes","IPP",VLOOKUP($J217,'ELA Reading Logic'!$A$13:$K$19,VLOOKUP("September",'ELA Reading Logic'!$J$22:$K$31,2,FALSE),FALSE)),"Set Grade")</f>
        <v>Set Grade</v>
      </c>
      <c r="I217" s="96" t="str">
        <f>IF($E217="Yes","IPP",IFERROR(IF(AND(F217&gt;G217,F217&lt;H217),"0",(VLOOKUP(F217,'ELA Reading Logic'!$A$22:$B$48,2,FALSE))-(IF(VLOOKUP(F217,'ELA Reading Logic'!$A$22:$B$48,2,FALSE)&lt;=VLOOKUP(G217,'ELA Reading Logic'!$A$22:$B$48,2,FALSE),VLOOKUP(G217,'ELA Reading Logic'!$A$22:$B$48,2,FALSE),IF(VLOOKUP(F217,'ELA Reading Logic'!$A$22:$B$48,2,FALSE)&gt;=VLOOKUP(H217,'ELA Reading Logic'!$A$22:$B$48,2,FALSE),VLOOKUP(H217,'ELA Reading Logic'!$A$22:$B$48,2,FALSE),"No Score")))),"No Value"))</f>
        <v>No Value</v>
      </c>
      <c r="J217" s="178"/>
      <c r="K217" s="96"/>
      <c r="L217" s="96"/>
      <c r="M217" s="96"/>
      <c r="N217" s="96"/>
      <c r="O217" s="96"/>
      <c r="P217" s="105"/>
      <c r="Q217" s="92"/>
      <c r="R217" s="96" t="str">
        <f>IFERROR(IF($E217="Yes","IPP",VLOOKUP($J217,'ELA Reading Logic'!$A$3:$K$9,VLOOKUP(Q$1,'ELA Reading Logic'!$J$22:$K$31,2,FALSE),FALSE)),"Set Grade")</f>
        <v>Set Grade</v>
      </c>
      <c r="S217" s="96" t="str">
        <f>IFERROR(IF($E217="Yes","IPP",VLOOKUP($J217,'ELA Reading Logic'!$A$13:$K$19,VLOOKUP(Q$1,'ELA Reading Logic'!$J$22:$K$31,2,FALSE),FALSE)),"Set Grade")</f>
        <v>Set Grade</v>
      </c>
      <c r="T217" s="96" t="str">
        <f>IF($E217="Yes","IPP",IFERROR(IF(AND(Q217&gt;R217,Q217&lt;S217),"0",(VLOOKUP(Q217,'ELA Reading Logic'!$A$22:$B$48,2,FALSE))-(IF(VLOOKUP(Q217,'ELA Reading Logic'!$A$22:$B$48,2,FALSE)&lt;=VLOOKUP(R217,'ELA Reading Logic'!$A$22:$B$48,2,FALSE),VLOOKUP(R217,'ELA Reading Logic'!$A$22:$B$48,2,FALSE),IF(VLOOKUP(Q217,'ELA Reading Logic'!$A$22:$B$48,2,FALSE)&gt;=VLOOKUP(S217,'ELA Reading Logic'!$A$22:$B$48,2,FALSE),VLOOKUP(S217,'ELA Reading Logic'!$A$22:$B$48,2,FALSE),"No Score")))),"No Value"))</f>
        <v>No Value</v>
      </c>
      <c r="U217" s="96" t="str">
        <f>IFERROR(VLOOKUP(Q217,'ELA Reading Logic'!$A$22:$B$48,2,FALSE)-VLOOKUP($F217,'ELA Reading Logic'!$A$22:$B$48,2,FALSE),"No Value")</f>
        <v>No Value</v>
      </c>
      <c r="V217" s="92"/>
      <c r="W217" s="96" t="str">
        <f>IFERROR(IF($E217="Yes","IPP",VLOOKUP($J217,'ELA Reading Logic'!$A$3:$K$9,VLOOKUP(V$1,'ELA Reading Logic'!$J$22:$K$31,2,FALSE),FALSE)),"Set Grade")</f>
        <v>Set Grade</v>
      </c>
      <c r="X217" s="96" t="str">
        <f>IFERROR(IF($E217="Yes","IPP",VLOOKUP($J217,'ELA Reading Logic'!$A$13:$K$19,VLOOKUP(V$1,'ELA Reading Logic'!$J$22:$K$31,2,FALSE),FALSE)),"Set Grade")</f>
        <v>Set Grade</v>
      </c>
      <c r="Y217" s="96" t="str">
        <f>IF($E217="Yes","IPP",IFERROR(IF(AND(V217&gt;W217,V217&lt;X217),"0",(VLOOKUP(V217,'ELA Reading Logic'!$A$22:$B$48,2,FALSE))-(IF(VLOOKUP(V217,'ELA Reading Logic'!$A$22:$B$48,2,FALSE)&lt;=VLOOKUP(W217,'ELA Reading Logic'!$A$22:$B$48,2,FALSE),VLOOKUP(W217,'ELA Reading Logic'!$A$22:$B$48,2,FALSE),IF(VLOOKUP(V217,'ELA Reading Logic'!$A$22:$B$48,2,FALSE)&gt;=VLOOKUP(X217,'ELA Reading Logic'!$A$22:$B$48,2,FALSE),VLOOKUP(X217,'ELA Reading Logic'!$A$22:$B$48,2,FALSE),"No Score")))),"No Value"))</f>
        <v>No Value</v>
      </c>
      <c r="Z217" s="96" t="str">
        <f>IFERROR(VLOOKUP(V217,'ELA Reading Logic'!$A$22:$B$48,2,FALSE)-VLOOKUP($F217,'ELA Reading Logic'!$A$22:$B$48,2,FALSE),"No Value")</f>
        <v>No Value</v>
      </c>
      <c r="AA217" s="92"/>
      <c r="AB217" s="96" t="str">
        <f>IFERROR(IF($E217="Yes","IPP",VLOOKUP($J217,'ELA Reading Logic'!$A$3:$K$9,VLOOKUP(AA$1,'ELA Reading Logic'!$J$22:$K$31,2,FALSE),FALSE)),"Set Grade")</f>
        <v>Set Grade</v>
      </c>
      <c r="AC217" s="96" t="str">
        <f>IFERROR(IF($E217="Yes","IPP",VLOOKUP($J217,'ELA Reading Logic'!$A$13:$K$19,VLOOKUP(AA$1,'ELA Reading Logic'!$J$22:$K$31,2,FALSE),FALSE)),"Set Grade")</f>
        <v>Set Grade</v>
      </c>
      <c r="AD217" s="96" t="str">
        <f>IF($E217="Yes","IPP",IFERROR(IF(AND(AA217&gt;AB217,AA217&lt;AC217),"0",(VLOOKUP(AA217,'ELA Reading Logic'!$A$22:$B$48,2,FALSE))-(IF(VLOOKUP(AA217,'ELA Reading Logic'!$A$22:$B$48,2,FALSE)&lt;=VLOOKUP(AB217,'ELA Reading Logic'!$A$22:$B$48,2,FALSE),VLOOKUP(AB217,'ELA Reading Logic'!$A$22:$B$48,2,FALSE),IF(VLOOKUP(AA217,'ELA Reading Logic'!$A$22:$B$48,2,FALSE)&gt;=VLOOKUP(AC217,'ELA Reading Logic'!$A$22:$B$48,2,FALSE),VLOOKUP(AC217,'ELA Reading Logic'!$A$22:$B$48,2,FALSE),"No Score")))),"No Value"))</f>
        <v>No Value</v>
      </c>
      <c r="AE217" s="96" t="str">
        <f>IFERROR(VLOOKUP(AA217,'ELA Reading Logic'!$A$22:$B$48,2,FALSE)-VLOOKUP($F217,'ELA Reading Logic'!$A$22:$B$48,2,FALSE),"No Value")</f>
        <v>No Value</v>
      </c>
      <c r="AF217" s="92"/>
      <c r="AG217" s="96" t="str">
        <f>IFERROR(IF($E217="Yes","IPP",VLOOKUP($J217,'ELA Reading Logic'!$A$3:$K$9,VLOOKUP(AF$1,'ELA Reading Logic'!$J$22:$K$31,2,FALSE),FALSE)),"Set Grade")</f>
        <v>Set Grade</v>
      </c>
      <c r="AH217" s="96" t="str">
        <f>IFERROR(IF($E217="Yes","IPP",VLOOKUP($J217,'ELA Reading Logic'!$A$13:$K$19,VLOOKUP(AF$1,'ELA Reading Logic'!$J$22:$K$31,2,FALSE),FALSE)),"Set Grade")</f>
        <v>Set Grade</v>
      </c>
      <c r="AI217" s="96" t="str">
        <f>IF($E217="Yes","IPP",IFERROR(IF(AND(AF217&gt;AG217,AF217&lt;AH217),"0",(VLOOKUP(AF217,'ELA Reading Logic'!$A$22:$B$48,2,FALSE))-(IF(VLOOKUP(AF217,'ELA Reading Logic'!$A$22:$B$48,2,FALSE)&lt;=VLOOKUP(AG217,'ELA Reading Logic'!$A$22:$B$48,2,FALSE),VLOOKUP(AG217,'ELA Reading Logic'!$A$22:$B$48,2,FALSE),IF(VLOOKUP(AF217,'ELA Reading Logic'!$A$22:$B$48,2,FALSE)&gt;=VLOOKUP(AH217,'ELA Reading Logic'!$A$22:$B$48,2,FALSE),VLOOKUP(AH217,'ELA Reading Logic'!$A$22:$B$48,2,FALSE),"No Score")))),"No Value"))</f>
        <v>No Value</v>
      </c>
      <c r="AJ217" s="96" t="str">
        <f>IFERROR(VLOOKUP(AF217,'ELA Reading Logic'!$A$22:$B$48,2,FALSE)-VLOOKUP($F217,'ELA Reading Logic'!$A$22:$B$48,2,FALSE),"No Value")</f>
        <v>No Value</v>
      </c>
      <c r="AK217" s="92"/>
      <c r="AL217" s="96" t="str">
        <f>IFERROR(IF($E217="Yes","IPP",VLOOKUP($J217,'ELA Reading Logic'!$A$3:$K$9,VLOOKUP(AK$1,'ELA Reading Logic'!$J$22:$K$31,2,FALSE),FALSE)),"Set Grade")</f>
        <v>Set Grade</v>
      </c>
      <c r="AM217" s="96" t="str">
        <f>IFERROR(IF($E217="Yes","IPP",VLOOKUP($J217,'ELA Reading Logic'!$A$13:$K$19,VLOOKUP(AK$1,'ELA Reading Logic'!$J$22:$K$31,2,FALSE),FALSE)),"Set Grade")</f>
        <v>Set Grade</v>
      </c>
      <c r="AN217" s="96" t="str">
        <f>IF($E217="Yes","IPP",IFERROR(IF(AND(AK217&gt;AL217,AK217&lt;AM217),"0",(VLOOKUP(AK217,'ELA Reading Logic'!$A$22:$B$48,2,FALSE))-(IF(VLOOKUP(AK217,'ELA Reading Logic'!$A$22:$B$48,2,FALSE)&lt;=VLOOKUP(AL217,'ELA Reading Logic'!$A$22:$B$48,2,FALSE),VLOOKUP(AL217,'ELA Reading Logic'!$A$22:$B$48,2,FALSE),IF(VLOOKUP(AK217,'ELA Reading Logic'!$A$22:$B$48,2,FALSE)&gt;=VLOOKUP(AM217,'ELA Reading Logic'!$A$22:$B$48,2,FALSE),VLOOKUP(AM217,'ELA Reading Logic'!$A$22:$B$48,2,FALSE),"No Score")))),"No Value"))</f>
        <v>No Value</v>
      </c>
      <c r="AO217" s="96" t="str">
        <f>IFERROR(VLOOKUP(AK217,'ELA Reading Logic'!$A$22:$B$48,2,FALSE)-VLOOKUP($F217,'ELA Reading Logic'!$A$22:$B$48,2,FALSE),"No Value")</f>
        <v>No Value</v>
      </c>
      <c r="AP217" s="92"/>
      <c r="AQ217" s="96" t="str">
        <f>IFERROR(IF($E217="Yes","IPP",VLOOKUP($J217,'ELA Reading Logic'!$A$3:$K$9,VLOOKUP(AP$1,'ELA Reading Logic'!$J$22:$K$31,2,FALSE),FALSE)),"Set Grade")</f>
        <v>Set Grade</v>
      </c>
      <c r="AR217" s="96" t="str">
        <f>IFERROR(IF($E217="Yes","IPP",VLOOKUP($J217,'ELA Reading Logic'!$A$13:$K$19,VLOOKUP(AP$1,'ELA Reading Logic'!$J$22:$K$31,2,FALSE),FALSE)),"Set Grade")</f>
        <v>Set Grade</v>
      </c>
      <c r="AS217" s="96" t="str">
        <f>IF($E217="Yes","IPP",IFERROR(IF(AND(AP217&gt;AQ217,AP217&lt;AR217),"0",(VLOOKUP(AP217,'ELA Reading Logic'!$A$22:$B$48,2,FALSE))-(IF(VLOOKUP(AP217,'ELA Reading Logic'!$A$22:$B$48,2,FALSE)&lt;=VLOOKUP(AQ217,'ELA Reading Logic'!$A$22:$B$48,2,FALSE),VLOOKUP(AQ217,'ELA Reading Logic'!$A$22:$B$48,2,FALSE),IF(VLOOKUP(AP217,'ELA Reading Logic'!$A$22:$B$48,2,FALSE)&gt;=VLOOKUP(AR217,'ELA Reading Logic'!$A$22:$B$48,2,FALSE),VLOOKUP(AR217,'ELA Reading Logic'!$A$22:$B$48,2,FALSE),"No Score")))),"No Value"))</f>
        <v>No Value</v>
      </c>
      <c r="AT217" s="96" t="str">
        <f>IFERROR(VLOOKUP(AP217,'ELA Reading Logic'!$A$22:$B$48,2,FALSE)-VLOOKUP($F217,'ELA Reading Logic'!$A$22:$B$48,2,FALSE),"No Value")</f>
        <v>No Value</v>
      </c>
    </row>
    <row r="218" spans="1:46" ht="22.5" customHeight="1" x14ac:dyDescent="0.25">
      <c r="E218" s="232"/>
      <c r="F218" s="175"/>
      <c r="G218" s="177" t="str">
        <f>IFERROR(IF($E218="Yes","IPP",VLOOKUP($J218,'ELA Reading Logic'!$A$3:$K$9,VLOOKUP("September",'ELA Reading Logic'!$J$22:$K$31,2,FALSE),FALSE)),"Set Grade")</f>
        <v>Set Grade</v>
      </c>
      <c r="H218" s="177" t="str">
        <f>IFERROR(IF($E218="Yes","IPP",VLOOKUP($J218,'ELA Reading Logic'!$A$13:$K$19,VLOOKUP("September",'ELA Reading Logic'!$J$22:$K$31,2,FALSE),FALSE)),"Set Grade")</f>
        <v>Set Grade</v>
      </c>
      <c r="I218" s="96" t="str">
        <f>IF($E218="Yes","IPP",IFERROR(IF(AND(F218&gt;G218,F218&lt;H218),"0",(VLOOKUP(F218,'ELA Reading Logic'!$A$22:$B$48,2,FALSE))-(IF(VLOOKUP(F218,'ELA Reading Logic'!$A$22:$B$48,2,FALSE)&lt;=VLOOKUP(G218,'ELA Reading Logic'!$A$22:$B$48,2,FALSE),VLOOKUP(G218,'ELA Reading Logic'!$A$22:$B$48,2,FALSE),IF(VLOOKUP(F218,'ELA Reading Logic'!$A$22:$B$48,2,FALSE)&gt;=VLOOKUP(H218,'ELA Reading Logic'!$A$22:$B$48,2,FALSE),VLOOKUP(H218,'ELA Reading Logic'!$A$22:$B$48,2,FALSE),"No Score")))),"No Value"))</f>
        <v>No Value</v>
      </c>
      <c r="J218" s="178"/>
      <c r="K218" s="96"/>
      <c r="L218" s="96"/>
      <c r="M218" s="96"/>
      <c r="N218" s="96"/>
      <c r="O218" s="96"/>
      <c r="P218" s="105"/>
      <c r="Q218" s="92"/>
      <c r="R218" s="96" t="str">
        <f>IFERROR(IF($E218="Yes","IPP",VLOOKUP($J218,'ELA Reading Logic'!$A$3:$K$9,VLOOKUP(Q$1,'ELA Reading Logic'!$J$22:$K$31,2,FALSE),FALSE)),"Set Grade")</f>
        <v>Set Grade</v>
      </c>
      <c r="S218" s="96" t="str">
        <f>IFERROR(IF($E218="Yes","IPP",VLOOKUP($J218,'ELA Reading Logic'!$A$13:$K$19,VLOOKUP(Q$1,'ELA Reading Logic'!$J$22:$K$31,2,FALSE),FALSE)),"Set Grade")</f>
        <v>Set Grade</v>
      </c>
      <c r="T218" s="96" t="str">
        <f>IF($E218="Yes","IPP",IFERROR(IF(AND(Q218&gt;R218,Q218&lt;S218),"0",(VLOOKUP(Q218,'ELA Reading Logic'!$A$22:$B$48,2,FALSE))-(IF(VLOOKUP(Q218,'ELA Reading Logic'!$A$22:$B$48,2,FALSE)&lt;=VLOOKUP(R218,'ELA Reading Logic'!$A$22:$B$48,2,FALSE),VLOOKUP(R218,'ELA Reading Logic'!$A$22:$B$48,2,FALSE),IF(VLOOKUP(Q218,'ELA Reading Logic'!$A$22:$B$48,2,FALSE)&gt;=VLOOKUP(S218,'ELA Reading Logic'!$A$22:$B$48,2,FALSE),VLOOKUP(S218,'ELA Reading Logic'!$A$22:$B$48,2,FALSE),"No Score")))),"No Value"))</f>
        <v>No Value</v>
      </c>
      <c r="U218" s="96" t="str">
        <f>IFERROR(VLOOKUP(Q218,'ELA Reading Logic'!$A$22:$B$48,2,FALSE)-VLOOKUP($F218,'ELA Reading Logic'!$A$22:$B$48,2,FALSE),"No Value")</f>
        <v>No Value</v>
      </c>
      <c r="V218" s="92"/>
      <c r="W218" s="96" t="str">
        <f>IFERROR(IF($E218="Yes","IPP",VLOOKUP($J218,'ELA Reading Logic'!$A$3:$K$9,VLOOKUP(V$1,'ELA Reading Logic'!$J$22:$K$31,2,FALSE),FALSE)),"Set Grade")</f>
        <v>Set Grade</v>
      </c>
      <c r="X218" s="96" t="str">
        <f>IFERROR(IF($E218="Yes","IPP",VLOOKUP($J218,'ELA Reading Logic'!$A$13:$K$19,VLOOKUP(V$1,'ELA Reading Logic'!$J$22:$K$31,2,FALSE),FALSE)),"Set Grade")</f>
        <v>Set Grade</v>
      </c>
      <c r="Y218" s="96" t="str">
        <f>IF($E218="Yes","IPP",IFERROR(IF(AND(V218&gt;W218,V218&lt;X218),"0",(VLOOKUP(V218,'ELA Reading Logic'!$A$22:$B$48,2,FALSE))-(IF(VLOOKUP(V218,'ELA Reading Logic'!$A$22:$B$48,2,FALSE)&lt;=VLOOKUP(W218,'ELA Reading Logic'!$A$22:$B$48,2,FALSE),VLOOKUP(W218,'ELA Reading Logic'!$A$22:$B$48,2,FALSE),IF(VLOOKUP(V218,'ELA Reading Logic'!$A$22:$B$48,2,FALSE)&gt;=VLOOKUP(X218,'ELA Reading Logic'!$A$22:$B$48,2,FALSE),VLOOKUP(X218,'ELA Reading Logic'!$A$22:$B$48,2,FALSE),"No Score")))),"No Value"))</f>
        <v>No Value</v>
      </c>
      <c r="Z218" s="96" t="str">
        <f>IFERROR(VLOOKUP(V218,'ELA Reading Logic'!$A$22:$B$48,2,FALSE)-VLOOKUP($F218,'ELA Reading Logic'!$A$22:$B$48,2,FALSE),"No Value")</f>
        <v>No Value</v>
      </c>
      <c r="AA218" s="92"/>
      <c r="AB218" s="96" t="str">
        <f>IFERROR(IF($E218="Yes","IPP",VLOOKUP($J218,'ELA Reading Logic'!$A$3:$K$9,VLOOKUP(AA$1,'ELA Reading Logic'!$J$22:$K$31,2,FALSE),FALSE)),"Set Grade")</f>
        <v>Set Grade</v>
      </c>
      <c r="AC218" s="96" t="str">
        <f>IFERROR(IF($E218="Yes","IPP",VLOOKUP($J218,'ELA Reading Logic'!$A$13:$K$19,VLOOKUP(AA$1,'ELA Reading Logic'!$J$22:$K$31,2,FALSE),FALSE)),"Set Grade")</f>
        <v>Set Grade</v>
      </c>
      <c r="AD218" s="96" t="str">
        <f>IF($E218="Yes","IPP",IFERROR(IF(AND(AA218&gt;AB218,AA218&lt;AC218),"0",(VLOOKUP(AA218,'ELA Reading Logic'!$A$22:$B$48,2,FALSE))-(IF(VLOOKUP(AA218,'ELA Reading Logic'!$A$22:$B$48,2,FALSE)&lt;=VLOOKUP(AB218,'ELA Reading Logic'!$A$22:$B$48,2,FALSE),VLOOKUP(AB218,'ELA Reading Logic'!$A$22:$B$48,2,FALSE),IF(VLOOKUP(AA218,'ELA Reading Logic'!$A$22:$B$48,2,FALSE)&gt;=VLOOKUP(AC218,'ELA Reading Logic'!$A$22:$B$48,2,FALSE),VLOOKUP(AC218,'ELA Reading Logic'!$A$22:$B$48,2,FALSE),"No Score")))),"No Value"))</f>
        <v>No Value</v>
      </c>
      <c r="AE218" s="96" t="str">
        <f>IFERROR(VLOOKUP(AA218,'ELA Reading Logic'!$A$22:$B$48,2,FALSE)-VLOOKUP($F218,'ELA Reading Logic'!$A$22:$B$48,2,FALSE),"No Value")</f>
        <v>No Value</v>
      </c>
      <c r="AF218" s="92"/>
      <c r="AG218" s="96" t="str">
        <f>IFERROR(IF($E218="Yes","IPP",VLOOKUP($J218,'ELA Reading Logic'!$A$3:$K$9,VLOOKUP(AF$1,'ELA Reading Logic'!$J$22:$K$31,2,FALSE),FALSE)),"Set Grade")</f>
        <v>Set Grade</v>
      </c>
      <c r="AH218" s="96" t="str">
        <f>IFERROR(IF($E218="Yes","IPP",VLOOKUP($J218,'ELA Reading Logic'!$A$13:$K$19,VLOOKUP(AF$1,'ELA Reading Logic'!$J$22:$K$31,2,FALSE),FALSE)),"Set Grade")</f>
        <v>Set Grade</v>
      </c>
      <c r="AI218" s="96" t="str">
        <f>IF($E218="Yes","IPP",IFERROR(IF(AND(AF218&gt;AG218,AF218&lt;AH218),"0",(VLOOKUP(AF218,'ELA Reading Logic'!$A$22:$B$48,2,FALSE))-(IF(VLOOKUP(AF218,'ELA Reading Logic'!$A$22:$B$48,2,FALSE)&lt;=VLOOKUP(AG218,'ELA Reading Logic'!$A$22:$B$48,2,FALSE),VLOOKUP(AG218,'ELA Reading Logic'!$A$22:$B$48,2,FALSE),IF(VLOOKUP(AF218,'ELA Reading Logic'!$A$22:$B$48,2,FALSE)&gt;=VLOOKUP(AH218,'ELA Reading Logic'!$A$22:$B$48,2,FALSE),VLOOKUP(AH218,'ELA Reading Logic'!$A$22:$B$48,2,FALSE),"No Score")))),"No Value"))</f>
        <v>No Value</v>
      </c>
      <c r="AJ218" s="96" t="str">
        <f>IFERROR(VLOOKUP(AF218,'ELA Reading Logic'!$A$22:$B$48,2,FALSE)-VLOOKUP($F218,'ELA Reading Logic'!$A$22:$B$48,2,FALSE),"No Value")</f>
        <v>No Value</v>
      </c>
      <c r="AK218" s="92"/>
      <c r="AL218" s="96" t="str">
        <f>IFERROR(IF($E218="Yes","IPP",VLOOKUP($J218,'ELA Reading Logic'!$A$3:$K$9,VLOOKUP(AK$1,'ELA Reading Logic'!$J$22:$K$31,2,FALSE),FALSE)),"Set Grade")</f>
        <v>Set Grade</v>
      </c>
      <c r="AM218" s="96" t="str">
        <f>IFERROR(IF($E218="Yes","IPP",VLOOKUP($J218,'ELA Reading Logic'!$A$13:$K$19,VLOOKUP(AK$1,'ELA Reading Logic'!$J$22:$K$31,2,FALSE),FALSE)),"Set Grade")</f>
        <v>Set Grade</v>
      </c>
      <c r="AN218" s="96" t="str">
        <f>IF($E218="Yes","IPP",IFERROR(IF(AND(AK218&gt;AL218,AK218&lt;AM218),"0",(VLOOKUP(AK218,'ELA Reading Logic'!$A$22:$B$48,2,FALSE))-(IF(VLOOKUP(AK218,'ELA Reading Logic'!$A$22:$B$48,2,FALSE)&lt;=VLOOKUP(AL218,'ELA Reading Logic'!$A$22:$B$48,2,FALSE),VLOOKUP(AL218,'ELA Reading Logic'!$A$22:$B$48,2,FALSE),IF(VLOOKUP(AK218,'ELA Reading Logic'!$A$22:$B$48,2,FALSE)&gt;=VLOOKUP(AM218,'ELA Reading Logic'!$A$22:$B$48,2,FALSE),VLOOKUP(AM218,'ELA Reading Logic'!$A$22:$B$48,2,FALSE),"No Score")))),"No Value"))</f>
        <v>No Value</v>
      </c>
      <c r="AO218" s="96" t="str">
        <f>IFERROR(VLOOKUP(AK218,'ELA Reading Logic'!$A$22:$B$48,2,FALSE)-VLOOKUP($F218,'ELA Reading Logic'!$A$22:$B$48,2,FALSE),"No Value")</f>
        <v>No Value</v>
      </c>
      <c r="AP218" s="92"/>
      <c r="AQ218" s="96" t="str">
        <f>IFERROR(IF($E218="Yes","IPP",VLOOKUP($J218,'ELA Reading Logic'!$A$3:$K$9,VLOOKUP(AP$1,'ELA Reading Logic'!$J$22:$K$31,2,FALSE),FALSE)),"Set Grade")</f>
        <v>Set Grade</v>
      </c>
      <c r="AR218" s="96" t="str">
        <f>IFERROR(IF($E218="Yes","IPP",VLOOKUP($J218,'ELA Reading Logic'!$A$13:$K$19,VLOOKUP(AP$1,'ELA Reading Logic'!$J$22:$K$31,2,FALSE),FALSE)),"Set Grade")</f>
        <v>Set Grade</v>
      </c>
      <c r="AS218" s="96" t="str">
        <f>IF($E218="Yes","IPP",IFERROR(IF(AND(AP218&gt;AQ218,AP218&lt;AR218),"0",(VLOOKUP(AP218,'ELA Reading Logic'!$A$22:$B$48,2,FALSE))-(IF(VLOOKUP(AP218,'ELA Reading Logic'!$A$22:$B$48,2,FALSE)&lt;=VLOOKUP(AQ218,'ELA Reading Logic'!$A$22:$B$48,2,FALSE),VLOOKUP(AQ218,'ELA Reading Logic'!$A$22:$B$48,2,FALSE),IF(VLOOKUP(AP218,'ELA Reading Logic'!$A$22:$B$48,2,FALSE)&gt;=VLOOKUP(AR218,'ELA Reading Logic'!$A$22:$B$48,2,FALSE),VLOOKUP(AR218,'ELA Reading Logic'!$A$22:$B$48,2,FALSE),"No Score")))),"No Value"))</f>
        <v>No Value</v>
      </c>
      <c r="AT218" s="96" t="str">
        <f>IFERROR(VLOOKUP(AP218,'ELA Reading Logic'!$A$22:$B$48,2,FALSE)-VLOOKUP($F218,'ELA Reading Logic'!$A$22:$B$48,2,FALSE),"No Value")</f>
        <v>No Value</v>
      </c>
    </row>
    <row r="219" spans="1:46" ht="22.5" customHeight="1" x14ac:dyDescent="0.25">
      <c r="A219" s="2"/>
      <c r="B219" s="2"/>
      <c r="C219" s="2"/>
      <c r="D219" s="2"/>
      <c r="E219" s="232"/>
      <c r="F219" s="175"/>
      <c r="G219" s="177" t="str">
        <f>IFERROR(IF($E219="Yes","IPP",VLOOKUP($J219,'ELA Reading Logic'!$A$3:$K$9,VLOOKUP("September",'ELA Reading Logic'!$J$22:$K$31,2,FALSE),FALSE)),"Set Grade")</f>
        <v>Set Grade</v>
      </c>
      <c r="H219" s="177" t="str">
        <f>IFERROR(IF($E219="Yes","IPP",VLOOKUP($J219,'ELA Reading Logic'!$A$13:$K$19,VLOOKUP("September",'ELA Reading Logic'!$J$22:$K$31,2,FALSE),FALSE)),"Set Grade")</f>
        <v>Set Grade</v>
      </c>
      <c r="I219" s="96" t="str">
        <f>IF($E219="Yes","IPP",IFERROR(IF(AND(F219&gt;G219,F219&lt;H219),"0",(VLOOKUP(F219,'ELA Reading Logic'!$A$22:$B$48,2,FALSE))-(IF(VLOOKUP(F219,'ELA Reading Logic'!$A$22:$B$48,2,FALSE)&lt;=VLOOKUP(G219,'ELA Reading Logic'!$A$22:$B$48,2,FALSE),VLOOKUP(G219,'ELA Reading Logic'!$A$22:$B$48,2,FALSE),IF(VLOOKUP(F219,'ELA Reading Logic'!$A$22:$B$48,2,FALSE)&gt;=VLOOKUP(H219,'ELA Reading Logic'!$A$22:$B$48,2,FALSE),VLOOKUP(H219,'ELA Reading Logic'!$A$22:$B$48,2,FALSE),"No Score")))),"No Value"))</f>
        <v>No Value</v>
      </c>
      <c r="J219" s="178"/>
      <c r="K219" s="96"/>
      <c r="L219" s="96"/>
      <c r="M219" s="96"/>
      <c r="N219" s="96"/>
      <c r="O219" s="96"/>
      <c r="P219" s="105"/>
      <c r="Q219" s="92"/>
      <c r="R219" s="96" t="str">
        <f>IFERROR(IF($E219="Yes","IPP",VLOOKUP($J219,'ELA Reading Logic'!$A$3:$K$9,VLOOKUP(Q$1,'ELA Reading Logic'!$J$22:$K$31,2,FALSE),FALSE)),"Set Grade")</f>
        <v>Set Grade</v>
      </c>
      <c r="S219" s="96" t="str">
        <f>IFERROR(IF($E219="Yes","IPP",VLOOKUP($J219,'ELA Reading Logic'!$A$13:$K$19,VLOOKUP(Q$1,'ELA Reading Logic'!$J$22:$K$31,2,FALSE),FALSE)),"Set Grade")</f>
        <v>Set Grade</v>
      </c>
      <c r="T219" s="96" t="str">
        <f>IF($E219="Yes","IPP",IFERROR(IF(AND(Q219&gt;R219,Q219&lt;S219),"0",(VLOOKUP(Q219,'ELA Reading Logic'!$A$22:$B$48,2,FALSE))-(IF(VLOOKUP(Q219,'ELA Reading Logic'!$A$22:$B$48,2,FALSE)&lt;=VLOOKUP(R219,'ELA Reading Logic'!$A$22:$B$48,2,FALSE),VLOOKUP(R219,'ELA Reading Logic'!$A$22:$B$48,2,FALSE),IF(VLOOKUP(Q219,'ELA Reading Logic'!$A$22:$B$48,2,FALSE)&gt;=VLOOKUP(S219,'ELA Reading Logic'!$A$22:$B$48,2,FALSE),VLOOKUP(S219,'ELA Reading Logic'!$A$22:$B$48,2,FALSE),"No Score")))),"No Value"))</f>
        <v>No Value</v>
      </c>
      <c r="U219" s="96" t="str">
        <f>IFERROR(VLOOKUP(Q219,'ELA Reading Logic'!$A$22:$B$48,2,FALSE)-VLOOKUP($F219,'ELA Reading Logic'!$A$22:$B$48,2,FALSE),"No Value")</f>
        <v>No Value</v>
      </c>
      <c r="V219" s="92"/>
      <c r="W219" s="96" t="str">
        <f>IFERROR(IF($E219="Yes","IPP",VLOOKUP($J219,'ELA Reading Logic'!$A$3:$K$9,VLOOKUP(V$1,'ELA Reading Logic'!$J$22:$K$31,2,FALSE),FALSE)),"Set Grade")</f>
        <v>Set Grade</v>
      </c>
      <c r="X219" s="96" t="str">
        <f>IFERROR(IF($E219="Yes","IPP",VLOOKUP($J219,'ELA Reading Logic'!$A$13:$K$19,VLOOKUP(V$1,'ELA Reading Logic'!$J$22:$K$31,2,FALSE),FALSE)),"Set Grade")</f>
        <v>Set Grade</v>
      </c>
      <c r="Y219" s="96" t="str">
        <f>IF($E219="Yes","IPP",IFERROR(IF(AND(V219&gt;W219,V219&lt;X219),"0",(VLOOKUP(V219,'ELA Reading Logic'!$A$22:$B$48,2,FALSE))-(IF(VLOOKUP(V219,'ELA Reading Logic'!$A$22:$B$48,2,FALSE)&lt;=VLOOKUP(W219,'ELA Reading Logic'!$A$22:$B$48,2,FALSE),VLOOKUP(W219,'ELA Reading Logic'!$A$22:$B$48,2,FALSE),IF(VLOOKUP(V219,'ELA Reading Logic'!$A$22:$B$48,2,FALSE)&gt;=VLOOKUP(X219,'ELA Reading Logic'!$A$22:$B$48,2,FALSE),VLOOKUP(X219,'ELA Reading Logic'!$A$22:$B$48,2,FALSE),"No Score")))),"No Value"))</f>
        <v>No Value</v>
      </c>
      <c r="Z219" s="96" t="str">
        <f>IFERROR(VLOOKUP(V219,'ELA Reading Logic'!$A$22:$B$48,2,FALSE)-VLOOKUP($F219,'ELA Reading Logic'!$A$22:$B$48,2,FALSE),"No Value")</f>
        <v>No Value</v>
      </c>
      <c r="AA219" s="92"/>
      <c r="AB219" s="96" t="str">
        <f>IFERROR(IF($E219="Yes","IPP",VLOOKUP($J219,'ELA Reading Logic'!$A$3:$K$9,VLOOKUP(AA$1,'ELA Reading Logic'!$J$22:$K$31,2,FALSE),FALSE)),"Set Grade")</f>
        <v>Set Grade</v>
      </c>
      <c r="AC219" s="96" t="str">
        <f>IFERROR(IF($E219="Yes","IPP",VLOOKUP($J219,'ELA Reading Logic'!$A$13:$K$19,VLOOKUP(AA$1,'ELA Reading Logic'!$J$22:$K$31,2,FALSE),FALSE)),"Set Grade")</f>
        <v>Set Grade</v>
      </c>
      <c r="AD219" s="96" t="str">
        <f>IF($E219="Yes","IPP",IFERROR(IF(AND(AA219&gt;AB219,AA219&lt;AC219),"0",(VLOOKUP(AA219,'ELA Reading Logic'!$A$22:$B$48,2,FALSE))-(IF(VLOOKUP(AA219,'ELA Reading Logic'!$A$22:$B$48,2,FALSE)&lt;=VLOOKUP(AB219,'ELA Reading Logic'!$A$22:$B$48,2,FALSE),VLOOKUP(AB219,'ELA Reading Logic'!$A$22:$B$48,2,FALSE),IF(VLOOKUP(AA219,'ELA Reading Logic'!$A$22:$B$48,2,FALSE)&gt;=VLOOKUP(AC219,'ELA Reading Logic'!$A$22:$B$48,2,FALSE),VLOOKUP(AC219,'ELA Reading Logic'!$A$22:$B$48,2,FALSE),"No Score")))),"No Value"))</f>
        <v>No Value</v>
      </c>
      <c r="AE219" s="96" t="str">
        <f>IFERROR(VLOOKUP(AA219,'ELA Reading Logic'!$A$22:$B$48,2,FALSE)-VLOOKUP($F219,'ELA Reading Logic'!$A$22:$B$48,2,FALSE),"No Value")</f>
        <v>No Value</v>
      </c>
      <c r="AF219" s="92"/>
      <c r="AG219" s="96" t="str">
        <f>IFERROR(IF($E219="Yes","IPP",VLOOKUP($J219,'ELA Reading Logic'!$A$3:$K$9,VLOOKUP(AF$1,'ELA Reading Logic'!$J$22:$K$31,2,FALSE),FALSE)),"Set Grade")</f>
        <v>Set Grade</v>
      </c>
      <c r="AH219" s="96" t="str">
        <f>IFERROR(IF($E219="Yes","IPP",VLOOKUP($J219,'ELA Reading Logic'!$A$13:$K$19,VLOOKUP(AF$1,'ELA Reading Logic'!$J$22:$K$31,2,FALSE),FALSE)),"Set Grade")</f>
        <v>Set Grade</v>
      </c>
      <c r="AI219" s="96" t="str">
        <f>IF($E219="Yes","IPP",IFERROR(IF(AND(AF219&gt;AG219,AF219&lt;AH219),"0",(VLOOKUP(AF219,'ELA Reading Logic'!$A$22:$B$48,2,FALSE))-(IF(VLOOKUP(AF219,'ELA Reading Logic'!$A$22:$B$48,2,FALSE)&lt;=VLOOKUP(AG219,'ELA Reading Logic'!$A$22:$B$48,2,FALSE),VLOOKUP(AG219,'ELA Reading Logic'!$A$22:$B$48,2,FALSE),IF(VLOOKUP(AF219,'ELA Reading Logic'!$A$22:$B$48,2,FALSE)&gt;=VLOOKUP(AH219,'ELA Reading Logic'!$A$22:$B$48,2,FALSE),VLOOKUP(AH219,'ELA Reading Logic'!$A$22:$B$48,2,FALSE),"No Score")))),"No Value"))</f>
        <v>No Value</v>
      </c>
      <c r="AJ219" s="96" t="str">
        <f>IFERROR(VLOOKUP(AF219,'ELA Reading Logic'!$A$22:$B$48,2,FALSE)-VLOOKUP($F219,'ELA Reading Logic'!$A$22:$B$48,2,FALSE),"No Value")</f>
        <v>No Value</v>
      </c>
      <c r="AK219" s="92"/>
      <c r="AL219" s="96" t="str">
        <f>IFERROR(IF($E219="Yes","IPP",VLOOKUP($J219,'ELA Reading Logic'!$A$3:$K$9,VLOOKUP(AK$1,'ELA Reading Logic'!$J$22:$K$31,2,FALSE),FALSE)),"Set Grade")</f>
        <v>Set Grade</v>
      </c>
      <c r="AM219" s="96" t="str">
        <f>IFERROR(IF($E219="Yes","IPP",VLOOKUP($J219,'ELA Reading Logic'!$A$13:$K$19,VLOOKUP(AK$1,'ELA Reading Logic'!$J$22:$K$31,2,FALSE),FALSE)),"Set Grade")</f>
        <v>Set Grade</v>
      </c>
      <c r="AN219" s="96" t="str">
        <f>IF($E219="Yes","IPP",IFERROR(IF(AND(AK219&gt;AL219,AK219&lt;AM219),"0",(VLOOKUP(AK219,'ELA Reading Logic'!$A$22:$B$48,2,FALSE))-(IF(VLOOKUP(AK219,'ELA Reading Logic'!$A$22:$B$48,2,FALSE)&lt;=VLOOKUP(AL219,'ELA Reading Logic'!$A$22:$B$48,2,FALSE),VLOOKUP(AL219,'ELA Reading Logic'!$A$22:$B$48,2,FALSE),IF(VLOOKUP(AK219,'ELA Reading Logic'!$A$22:$B$48,2,FALSE)&gt;=VLOOKUP(AM219,'ELA Reading Logic'!$A$22:$B$48,2,FALSE),VLOOKUP(AM219,'ELA Reading Logic'!$A$22:$B$48,2,FALSE),"No Score")))),"No Value"))</f>
        <v>No Value</v>
      </c>
      <c r="AO219" s="96" t="str">
        <f>IFERROR(VLOOKUP(AK219,'ELA Reading Logic'!$A$22:$B$48,2,FALSE)-VLOOKUP($F219,'ELA Reading Logic'!$A$22:$B$48,2,FALSE),"No Value")</f>
        <v>No Value</v>
      </c>
      <c r="AP219" s="92"/>
      <c r="AQ219" s="96" t="str">
        <f>IFERROR(IF($E219="Yes","IPP",VLOOKUP($J219,'ELA Reading Logic'!$A$3:$K$9,VLOOKUP(AP$1,'ELA Reading Logic'!$J$22:$K$31,2,FALSE),FALSE)),"Set Grade")</f>
        <v>Set Grade</v>
      </c>
      <c r="AR219" s="96" t="str">
        <f>IFERROR(IF($E219="Yes","IPP",VLOOKUP($J219,'ELA Reading Logic'!$A$13:$K$19,VLOOKUP(AP$1,'ELA Reading Logic'!$J$22:$K$31,2,FALSE),FALSE)),"Set Grade")</f>
        <v>Set Grade</v>
      </c>
      <c r="AS219" s="96" t="str">
        <f>IF($E219="Yes","IPP",IFERROR(IF(AND(AP219&gt;AQ219,AP219&lt;AR219),"0",(VLOOKUP(AP219,'ELA Reading Logic'!$A$22:$B$48,2,FALSE))-(IF(VLOOKUP(AP219,'ELA Reading Logic'!$A$22:$B$48,2,FALSE)&lt;=VLOOKUP(AQ219,'ELA Reading Logic'!$A$22:$B$48,2,FALSE),VLOOKUP(AQ219,'ELA Reading Logic'!$A$22:$B$48,2,FALSE),IF(VLOOKUP(AP219,'ELA Reading Logic'!$A$22:$B$48,2,FALSE)&gt;=VLOOKUP(AR219,'ELA Reading Logic'!$A$22:$B$48,2,FALSE),VLOOKUP(AR219,'ELA Reading Logic'!$A$22:$B$48,2,FALSE),"No Score")))),"No Value"))</f>
        <v>No Value</v>
      </c>
      <c r="AT219" s="96" t="str">
        <f>IFERROR(VLOOKUP(AP219,'ELA Reading Logic'!$A$22:$B$48,2,FALSE)-VLOOKUP($F219,'ELA Reading Logic'!$A$22:$B$48,2,FALSE),"No Value")</f>
        <v>No Value</v>
      </c>
    </row>
  </sheetData>
  <mergeCells count="6">
    <mergeCell ref="AP1:AT1"/>
    <mergeCell ref="Q1:U1"/>
    <mergeCell ref="V1:Z1"/>
    <mergeCell ref="AA1:AE1"/>
    <mergeCell ref="AF1:AJ1"/>
    <mergeCell ref="AK1:AO1"/>
  </mergeCells>
  <conditionalFormatting sqref="AD3:AD219 AI3:AI219 AN3:AN219 AS3:AS219 I3:I219 T3:U219 Y3:Y219">
    <cfRule type="cellIs" priority="157" stopIfTrue="1" operator="equal">
      <formula>"No Value"</formula>
    </cfRule>
  </conditionalFormatting>
  <conditionalFormatting sqref="AD3:AD219 AI3:AI219 AN3:AN219 AS3:AS219 I3:I219 T3:T219 Y3:Y219">
    <cfRule type="cellIs" dxfId="509" priority="162" operator="lessThan">
      <formula>-2</formula>
    </cfRule>
    <cfRule type="cellIs" dxfId="508" priority="163" operator="between">
      <formula>-2</formula>
      <formula>-1</formula>
    </cfRule>
    <cfRule type="cellIs" dxfId="507" priority="164" operator="equal">
      <formula>0</formula>
    </cfRule>
    <cfRule type="cellIs" dxfId="506" priority="165" operator="greaterThan">
      <formula>0</formula>
    </cfRule>
  </conditionalFormatting>
  <conditionalFormatting sqref="U3:U219">
    <cfRule type="cellIs" dxfId="505" priority="91" operator="lessThan">
      <formula>0</formula>
    </cfRule>
    <cfRule type="cellIs" dxfId="504" priority="92" operator="greaterThan">
      <formula>0</formula>
    </cfRule>
    <cfRule type="cellIs" dxfId="503" priority="93" operator="equal">
      <formula>0</formula>
    </cfRule>
  </conditionalFormatting>
  <conditionalFormatting sqref="AE3:AE219 AJ3:AJ219 AO3:AO219 AT3:AT219 Z3:Z219">
    <cfRule type="cellIs" priority="87" stopIfTrue="1" operator="equal">
      <formula>"No Value"</formula>
    </cfRule>
    <cfRule type="cellIs" dxfId="502" priority="88" operator="equal">
      <formula>U3</formula>
    </cfRule>
    <cfRule type="cellIs" dxfId="501" priority="89" operator="lessThan">
      <formula>U3</formula>
    </cfRule>
    <cfRule type="cellIs" dxfId="500" priority="90" operator="greaterThan">
      <formula>U3</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46BCBCA-7D11-4EAC-B2C2-C954757A25E6}">
          <x14:formula1>
            <xm:f>'ELA Reading Logic'!$J$22:$J$31</xm:f>
          </x14:formula1>
          <xm:sqref>Q1:AT1</xm:sqref>
        </x14:dataValidation>
        <x14:dataValidation type="list" allowBlank="1" showInputMessage="1" showErrorMessage="1" xr:uid="{2070EA5E-2EDC-4EF5-B4FA-7F0C9991E099}">
          <x14:formula1>
            <xm:f>'ELA Reading Logic'!$A$22:$A$48</xm:f>
          </x14:formula1>
          <xm:sqref>Q3:Q219 V3:V219 AA3:AA219 AF3:AF219 AK3:AK219 AP3:AP219</xm:sqref>
        </x14:dataValidation>
        <x14:dataValidation type="list" allowBlank="1" showInputMessage="1" showErrorMessage="1" xr:uid="{CC7CF802-06AA-42CB-955C-7DC3AFC4ED1A}">
          <x14:formula1>
            <xm:f>'ELA Reading Logic'!$G$22:$G$28</xm:f>
          </x14:formula1>
          <xm:sqref>J3:J219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09026-01D3-4538-90D8-8BACF98DA7C1}">
  <sheetPr codeName="Sheet2">
    <pageSetUpPr fitToPage="1"/>
  </sheetPr>
  <dimension ref="A1:BB43"/>
  <sheetViews>
    <sheetView zoomScaleNormal="100" workbookViewId="0">
      <pane xSplit="4" ySplit="2" topLeftCell="AM3" activePane="bottomRight" state="frozen"/>
      <selection pane="topRight" activeCell="C7" sqref="C7:F7"/>
      <selection pane="bottomLeft" activeCell="C7" sqref="C7:F7"/>
      <selection pane="bottomRight" activeCell="BC2" sqref="BC1:BH1048576"/>
    </sheetView>
  </sheetViews>
  <sheetFormatPr defaultColWidth="8" defaultRowHeight="26.25" customHeight="1" x14ac:dyDescent="0.25"/>
  <cols>
    <col min="1" max="1" width="16" customWidth="1"/>
    <col min="2" max="2" width="26.42578125" customWidth="1"/>
    <col min="3" max="3" width="30.42578125" customWidth="1"/>
    <col min="4" max="4" width="13.7109375" bestFit="1" customWidth="1"/>
    <col min="7" max="8" width="10" customWidth="1"/>
    <col min="10" max="11" width="10" customWidth="1"/>
    <col min="14" max="14" width="11.42578125" customWidth="1"/>
    <col min="15" max="15" width="8.5703125" customWidth="1"/>
    <col min="16" max="16" width="8.7109375" customWidth="1"/>
    <col min="17" max="17" width="7.28515625" customWidth="1"/>
    <col min="18" max="18" width="5.42578125" customWidth="1"/>
    <col min="19" max="54" width="8.140625" customWidth="1"/>
  </cols>
  <sheetData>
    <row r="1" spans="1:54" s="1" customFormat="1" ht="26.25" customHeight="1" thickBot="1" x14ac:dyDescent="0.3">
      <c r="A1" s="19"/>
      <c r="R1" s="8"/>
      <c r="S1" s="288" t="s">
        <v>37</v>
      </c>
      <c r="T1" s="289"/>
      <c r="U1" s="289"/>
      <c r="V1" s="289"/>
      <c r="W1" s="290"/>
      <c r="X1" s="292"/>
      <c r="Y1" s="293" t="s">
        <v>39</v>
      </c>
      <c r="Z1" s="294"/>
      <c r="AA1" s="294"/>
      <c r="AB1" s="294"/>
      <c r="AC1" s="294"/>
      <c r="AD1" s="295"/>
      <c r="AE1" s="293" t="s">
        <v>40</v>
      </c>
      <c r="AF1" s="294"/>
      <c r="AG1" s="294"/>
      <c r="AH1" s="294"/>
      <c r="AI1" s="294"/>
      <c r="AJ1" s="295"/>
      <c r="AK1" s="288" t="s">
        <v>131</v>
      </c>
      <c r="AL1" s="289"/>
      <c r="AM1" s="289"/>
      <c r="AN1" s="289"/>
      <c r="AO1" s="290"/>
      <c r="AP1" s="291"/>
      <c r="AQ1" s="288" t="s">
        <v>42</v>
      </c>
      <c r="AR1" s="289"/>
      <c r="AS1" s="289"/>
      <c r="AT1" s="289"/>
      <c r="AU1" s="290"/>
      <c r="AV1" s="291"/>
      <c r="AW1" s="288" t="s">
        <v>43</v>
      </c>
      <c r="AX1" s="289"/>
      <c r="AY1" s="289"/>
      <c r="AZ1" s="289"/>
      <c r="BA1" s="290"/>
      <c r="BB1" s="291"/>
    </row>
    <row r="2" spans="1:54" s="3" customFormat="1" ht="168.75" customHeight="1" thickBot="1" x14ac:dyDescent="0.3">
      <c r="A2" s="18" t="s">
        <v>44</v>
      </c>
      <c r="B2" s="17" t="s">
        <v>120</v>
      </c>
      <c r="C2" s="16" t="s">
        <v>46</v>
      </c>
      <c r="D2" s="10" t="s">
        <v>121</v>
      </c>
      <c r="E2" s="9" t="s">
        <v>48</v>
      </c>
      <c r="F2" s="9" t="s">
        <v>49</v>
      </c>
      <c r="G2" s="9" t="s">
        <v>50</v>
      </c>
      <c r="H2" s="9" t="s">
        <v>51</v>
      </c>
      <c r="I2" s="9" t="s">
        <v>52</v>
      </c>
      <c r="J2" s="9" t="s">
        <v>122</v>
      </c>
      <c r="K2" s="9" t="s">
        <v>123</v>
      </c>
      <c r="L2" s="9" t="s">
        <v>53</v>
      </c>
      <c r="M2" s="9" t="s">
        <v>54</v>
      </c>
      <c r="N2" s="9" t="s">
        <v>55</v>
      </c>
      <c r="O2" s="9" t="s">
        <v>56</v>
      </c>
      <c r="P2" s="9" t="s">
        <v>57</v>
      </c>
      <c r="Q2" s="10" t="s">
        <v>58</v>
      </c>
      <c r="R2" s="8" t="s">
        <v>59</v>
      </c>
      <c r="S2" s="6" t="s">
        <v>60</v>
      </c>
      <c r="T2" s="5" t="s">
        <v>61</v>
      </c>
      <c r="U2" s="5" t="s">
        <v>62</v>
      </c>
      <c r="V2" s="5" t="s">
        <v>63</v>
      </c>
      <c r="W2" s="4" t="s">
        <v>64</v>
      </c>
      <c r="X2" s="15" t="s">
        <v>124</v>
      </c>
      <c r="Y2" s="14" t="s">
        <v>65</v>
      </c>
      <c r="Z2" s="5" t="s">
        <v>66</v>
      </c>
      <c r="AA2" s="5" t="s">
        <v>67</v>
      </c>
      <c r="AB2" s="5" t="s">
        <v>68</v>
      </c>
      <c r="AC2" s="7" t="s">
        <v>69</v>
      </c>
      <c r="AD2" s="7" t="s">
        <v>125</v>
      </c>
      <c r="AE2" s="6" t="s">
        <v>70</v>
      </c>
      <c r="AF2" s="5" t="s">
        <v>71</v>
      </c>
      <c r="AG2" s="5" t="s">
        <v>72</v>
      </c>
      <c r="AH2" s="5" t="s">
        <v>73</v>
      </c>
      <c r="AI2" s="7" t="s">
        <v>74</v>
      </c>
      <c r="AJ2" s="7" t="s">
        <v>126</v>
      </c>
      <c r="AK2" s="6" t="s">
        <v>75</v>
      </c>
      <c r="AL2" s="5" t="s">
        <v>76</v>
      </c>
      <c r="AM2" s="5" t="s">
        <v>77</v>
      </c>
      <c r="AN2" s="5" t="s">
        <v>78</v>
      </c>
      <c r="AO2" s="7" t="s">
        <v>79</v>
      </c>
      <c r="AP2" s="7" t="s">
        <v>127</v>
      </c>
      <c r="AQ2" s="6" t="s">
        <v>80</v>
      </c>
      <c r="AR2" s="5" t="s">
        <v>81</v>
      </c>
      <c r="AS2" s="5" t="s">
        <v>82</v>
      </c>
      <c r="AT2" s="5" t="s">
        <v>83</v>
      </c>
      <c r="AU2" s="7" t="s">
        <v>84</v>
      </c>
      <c r="AV2" s="7" t="s">
        <v>128</v>
      </c>
      <c r="AW2" s="6" t="s">
        <v>85</v>
      </c>
      <c r="AX2" s="5" t="s">
        <v>86</v>
      </c>
      <c r="AY2" s="5" t="s">
        <v>87</v>
      </c>
      <c r="AZ2" s="5" t="s">
        <v>88</v>
      </c>
      <c r="BA2" s="7" t="s">
        <v>89</v>
      </c>
      <c r="BB2" s="7" t="s">
        <v>129</v>
      </c>
    </row>
    <row r="3" spans="1:54" s="2" customFormat="1" ht="26.25" customHeight="1" thickBot="1" x14ac:dyDescent="0.3">
      <c r="A3" s="96"/>
      <c r="B3" s="96"/>
      <c r="C3" s="96"/>
      <c r="D3" s="96"/>
      <c r="E3" s="92"/>
      <c r="F3" s="92"/>
      <c r="G3" s="96" t="str">
        <f>IFERROR(IF($E3="Yes","IPP",VLOOKUP($J3,'ELA Reading Logic'!$A$3:$K$9,VLOOKUP("September",'ELA Reading Logic'!$J$22:$K$31,2,FALSE),FALSE)),"Set Grade")</f>
        <v>Set Grade</v>
      </c>
      <c r="H3" s="96" t="str">
        <f>IFERROR(IF($E3="Yes","IPP",VLOOKUP($J3,'ELA Reading Logic'!$A$13:$K$19,VLOOKUP("September",'ELA Reading Logic'!$J$22:$K$31,2,FALSE),FALSE)),"Set Grade")</f>
        <v>Set Grade</v>
      </c>
      <c r="I3" s="98" t="str">
        <f>IF($E3="Yes","IPP",IFERROR(IF(AND(F3&gt;G3,F3&lt;H3),"0",(VLOOKUP(F3,'ELA Reading Logic'!$A$22:$B$48,2,FALSE))-(IF(VLOOKUP(F3,'ELA Reading Logic'!$A$22:$B$48,2,FALSE)&lt;=VLOOKUP(G3,'ELA Reading Logic'!$A$22:$B$48,2,FALSE),VLOOKUP(G3,'ELA Reading Logic'!$A$22:$B$48,2,FALSE),IF(VLOOKUP(F3,'ELA Reading Logic'!$A$22:$B$48,2,FALSE)&gt;=VLOOKUP(H3,'ELA Reading Logic'!$A$22:$B$48,2,FALSE),VLOOKUP(H3,'ELA Reading Logic'!$A$22:$B$48,2,FALSE),"No Score")))),"No Value"))</f>
        <v>No Value</v>
      </c>
      <c r="J3" s="96" t="str">
        <f>IFERROR(VLOOKUP($L3,'FLA Reading Logic'!$A$3:$K$9,11,FALSE),"Set Grade")</f>
        <v>Set Grade</v>
      </c>
      <c r="K3" s="96" t="str">
        <f>IFERROR(VLOOKUP($L3,'FLA Reading Logic'!$A$13:$K$19,11,FALSE),"Set Grade")</f>
        <v>Set Grade</v>
      </c>
      <c r="L3" s="96"/>
      <c r="M3" s="96"/>
      <c r="N3" s="96"/>
      <c r="O3" s="96"/>
      <c r="P3" s="96"/>
      <c r="Q3" s="96"/>
      <c r="R3" s="8"/>
      <c r="S3" s="92"/>
      <c r="T3" s="96" t="str">
        <f>IFERROR(IF($E3="Yes","IPP",VLOOKUP($L3,'FLA Reading Logic'!$A$3:$K$9,VLOOKUP(S$1,'FLA Reading Logic'!$J$22:$K$31,2,FALSE),FALSE)),"Set Grade")</f>
        <v>Set Grade</v>
      </c>
      <c r="U3" s="96" t="str">
        <f>IFERROR(IF($E3="Yes","IPP",VLOOKUP($L3,'FLA Reading Logic'!$A$13:$K$19,VLOOKUP(S$1,'FLA Reading Logic'!$J$22:$K$31,2,FALSE),FALSE)),"Set Grade")</f>
        <v>Set Grade</v>
      </c>
      <c r="V3" s="98" t="str">
        <f>IF($E3="Yes","IPP",IFERROR(IF(AND(S3&gt;T3,S3&lt;U3),"0",(VLOOKUP(S3,'FLA Reading Logic'!$A$22:$B$53,2,FALSE))-(IF(VLOOKUP(S3,'FLA Reading Logic'!$A$22:$B$53,2,FALSE)&lt;=VLOOKUP(T3,'FLA Reading Logic'!$A$22:$B$53,2,FALSE),VLOOKUP(T3,'FLA Reading Logic'!$A$22:$B$53,2,FALSE),IF(VLOOKUP(S3,'FLA Reading Logic'!$A$22:$B$53,2,FALSE)&gt;=VLOOKUP(U3,'FLA Reading Logic'!$A$22:$B$53,2,FALSE),VLOOKUP(U3,'FLA Reading Logic'!$A$22:$B$53,2,FALSE),"No Score")))),"No Value"))</f>
        <v>No Value</v>
      </c>
      <c r="W3" s="96" t="str">
        <f>IFERROR(VLOOKUP(S3,'FLA Reading Logic'!$A$22:$B$53,2,FALSE)-VLOOKUP($F3,'FLA Reading Logic'!$A$22:$B$53,2,FALSE),"No Value")</f>
        <v>No Value</v>
      </c>
      <c r="X3" s="96" t="str">
        <f>IF($E3="Yes","IPP",IFERROR(IF(AND(S3&gt;$J3,S3&lt;$K3),"0",(VLOOKUP(S3,'FLA Reading Logic'!$A$22:$B$53,2,FALSE))-(IF(VLOOKUP(S3,'FLA Reading Logic'!$A$22:$B$53,2,FALSE)&lt;=VLOOKUP($J3,'FLA Reading Logic'!$A$22:$B$53,2,FALSE),VLOOKUP($J3,'FLA Reading Logic'!$A$22:$B$53,2,FALSE),IF(VLOOKUP(S3,'FLA Reading Logic'!$A$22:$B$53,2,FALSE)&gt;=VLOOKUP($K3,'FLA Reading Logic'!$A$22:$B$53,2,FALSE),VLOOKUP($K3,'FLA Reading Logic'!$A$22:$B$53,2,FALSE),"No Score")))),"No Value"))</f>
        <v>No Value</v>
      </c>
      <c r="Y3" s="92"/>
      <c r="Z3" s="96" t="str">
        <f>IFERROR(IF($E3="Yes","IPP",VLOOKUP($L3,'FLA Reading Logic'!$A$3:$K$9,VLOOKUP(Y$1,'FLA Reading Logic'!$J$22:$K$31,2,FALSE),FALSE)),"Set Grade")</f>
        <v>Set Grade</v>
      </c>
      <c r="AA3" s="96" t="str">
        <f>IFERROR(IF($E3="Yes","IPP",VLOOKUP($L3,'FLA Reading Logic'!$A$13:$K$19,VLOOKUP(Y$1,'FLA Reading Logic'!$J$22:$K$31,2,FALSE),FALSE)),"Set Grade")</f>
        <v>Set Grade</v>
      </c>
      <c r="AB3" s="98" t="str">
        <f>IF($E3="Yes","IPP",IFERROR(IF(AND(Y3&gt;Z3,Y3&lt;AA3),"0",(VLOOKUP(Y3,'FLA Reading Logic'!$A$22:$B$53,2,FALSE))-(IF(VLOOKUP(Y3,'FLA Reading Logic'!$A$22:$B$53,2,FALSE)&lt;=VLOOKUP(Z3,'FLA Reading Logic'!$A$22:$B$53,2,FALSE),VLOOKUP(Z3,'FLA Reading Logic'!$A$22:$B$53,2,FALSE),IF(VLOOKUP(Y3,'FLA Reading Logic'!$A$22:$B$53,2,FALSE)&gt;=VLOOKUP(AA3,'FLA Reading Logic'!$A$22:$B$53,2,FALSE),VLOOKUP(AA3,'FLA Reading Logic'!$A$22:$B$53,2,FALSE),"No Score")))),"No Value"))</f>
        <v>No Value</v>
      </c>
      <c r="AC3" s="96" t="str">
        <f>IFERROR(VLOOKUP(Y3,'FLA Reading Logic'!$A$22:$B$48,2,FALSE)-VLOOKUP($F3,'FLA Reading Logic'!$A$22:$B$48,2,FALSE),"No Value")</f>
        <v>No Value</v>
      </c>
      <c r="AD3" s="96" t="str">
        <f>IF($E3="Yes","IPP",IFERROR(IF(AND(Y3&gt;$J3,Y3&lt;$K3),"0",(VLOOKUP(Y3,'FLA Reading Logic'!$A$22:$B$53,2,FALSE))-(IF(VLOOKUP(Y3,'FLA Reading Logic'!$A$22:$B$53,2,FALSE)&lt;=VLOOKUP($J3,'FLA Reading Logic'!$A$22:$B$53,2,FALSE),VLOOKUP($J3,'FLA Reading Logic'!$A$22:$B$53,2,FALSE),IF(VLOOKUP(Y3,'FLA Reading Logic'!$A$22:$B$53,2,FALSE)&gt;=VLOOKUP($K3,'FLA Reading Logic'!$A$22:$B$53,2,FALSE),VLOOKUP($K3,'FLA Reading Logic'!$A$22:$B$53,2,FALSE),"No Score")))),"No Value"))</f>
        <v>No Value</v>
      </c>
      <c r="AE3" s="92"/>
      <c r="AF3" s="96" t="str">
        <f>IFERROR(IF($E3="Yes","IPP",VLOOKUP($L3,'FLA Reading Logic'!$A$3:$K$9,VLOOKUP(AE$1,'FLA Reading Logic'!$J$22:$K$31,2,FALSE),FALSE)),"Set Grade")</f>
        <v>Set Grade</v>
      </c>
      <c r="AG3" s="96" t="str">
        <f>IFERROR(IF($E3="Yes","IPP",VLOOKUP($L3,'FLA Reading Logic'!$A$13:$K$19,VLOOKUP(AE$1,'FLA Reading Logic'!$J$22:$K$31,2,FALSE),FALSE)),"Set Grade")</f>
        <v>Set Grade</v>
      </c>
      <c r="AH3" s="98" t="str">
        <f>IF($E3="Yes","IPP",IFERROR(IF(AND(AE3&gt;AF3,AE3&lt;AG3),"0",(VLOOKUP(AE3,'FLA Reading Logic'!$A$22:$B$53,2,FALSE))-(IF(VLOOKUP(AE3,'FLA Reading Logic'!$A$22:$B$53,2,FALSE)&lt;=VLOOKUP(AF3,'FLA Reading Logic'!$A$22:$B$53,2,FALSE),VLOOKUP(AF3,'FLA Reading Logic'!$A$22:$B$53,2,FALSE),IF(VLOOKUP(AE3,'FLA Reading Logic'!$A$22:$B$53,2,FALSE)&gt;=VLOOKUP(AG3,'FLA Reading Logic'!$A$22:$B$53,2,FALSE),VLOOKUP(AG3,'FLA Reading Logic'!$A$22:$B$53,2,FALSE),"No Score")))),"No Value"))</f>
        <v>No Value</v>
      </c>
      <c r="AI3" s="96" t="str">
        <f>IFERROR(VLOOKUP(AE3,'FLA Reading Logic'!$A$22:$B$48,2,FALSE)-VLOOKUP($F3,'FLA Reading Logic'!$A$22:$B$48,2,FALSE),"No Value")</f>
        <v>No Value</v>
      </c>
      <c r="AJ3" s="96" t="str">
        <f>IF($E3="Yes","IPP",IFERROR(IF(AND(AE3&gt;$J3,AE3&lt;$K3),"0",(VLOOKUP(AE3,'FLA Reading Logic'!$A$22:$B$53,2,FALSE))-(IF(VLOOKUP(AE3,'FLA Reading Logic'!$A$22:$B$53,2,FALSE)&lt;=VLOOKUP($J3,'FLA Reading Logic'!$A$22:$B$53,2,FALSE),VLOOKUP($J3,'FLA Reading Logic'!$A$22:$B$53,2,FALSE),IF(VLOOKUP(AE3,'FLA Reading Logic'!$A$22:$B$53,2,FALSE)&gt;=VLOOKUP($K3,'FLA Reading Logic'!$A$22:$B$53,2,FALSE),VLOOKUP($K3,'FLA Reading Logic'!$A$22:$B$53,2,FALSE),"No Score")))),"No Value"))</f>
        <v>No Value</v>
      </c>
      <c r="AK3" s="92"/>
      <c r="AL3" s="96" t="str">
        <f>IFERROR(IF($E3="Yes","IPP",VLOOKUP($L3,'FLA Reading Logic'!$A$3:$K$9,VLOOKUP(AK$1,'FLA Reading Logic'!$J$22:$K$31,2,FALSE),FALSE)),"Set Grade")</f>
        <v>Set Grade</v>
      </c>
      <c r="AM3" s="96" t="str">
        <f>IFERROR(IF($E3="Yes","IPP",VLOOKUP($L3,'FLA Reading Logic'!$A$13:$K$19,VLOOKUP(AK$1,'FLA Reading Logic'!$J$22:$K$31,2,FALSE),FALSE)),"Set Grade")</f>
        <v>Set Grade</v>
      </c>
      <c r="AN3" s="98" t="str">
        <f>IF($E3="Yes","IPP",IFERROR(IF(AND(AK3&gt;AL3,AK3&lt;AM3),"0",(VLOOKUP(AK3,'FLA Reading Logic'!$A$22:$B$53,2,FALSE))-(IF(VLOOKUP(AK3,'FLA Reading Logic'!$A$22:$B$53,2,FALSE)&lt;=VLOOKUP(AL3,'FLA Reading Logic'!$A$22:$B$53,2,FALSE),VLOOKUP(AL3,'FLA Reading Logic'!$A$22:$B$53,2,FALSE),IF(VLOOKUP(AK3,'FLA Reading Logic'!$A$22:$B$53,2,FALSE)&gt;=VLOOKUP(AM3,'FLA Reading Logic'!$A$22:$B$53,2,FALSE),VLOOKUP(AM3,'FLA Reading Logic'!$A$22:$B$53,2,FALSE),"No Score")))),"No Value"))</f>
        <v>No Value</v>
      </c>
      <c r="AO3" s="96" t="str">
        <f>IFERROR(VLOOKUP(AK3,'FLA Reading Logic'!$A$22:$B$48,2,FALSE)-VLOOKUP($F3,'FLA Reading Logic'!$A$22:$B$48,2,FALSE),"No Value")</f>
        <v>No Value</v>
      </c>
      <c r="AP3" s="96" t="str">
        <f>IF($E3="Yes","IPP",IFERROR(IF(AND(AK3&gt;$J3,AK3&lt;$K3),"0",(VLOOKUP(AK3,'FLA Reading Logic'!$A$22:$B$53,2,FALSE))-(IF(VLOOKUP(AK3,'FLA Reading Logic'!$A$22:$B$53,2,FALSE)&lt;=VLOOKUP($J3,'FLA Reading Logic'!$A$22:$B$53,2,FALSE),VLOOKUP($J3,'FLA Reading Logic'!$A$22:$B$53,2,FALSE),IF(VLOOKUP(AK3,'FLA Reading Logic'!$A$22:$B$53,2,FALSE)&gt;=VLOOKUP($K3,'FLA Reading Logic'!$A$22:$B$53,2,FALSE),VLOOKUP($K3,'FLA Reading Logic'!$A$22:$B$53,2,FALSE),"No Score")))),"No Value"))</f>
        <v>No Value</v>
      </c>
      <c r="AQ3" s="92"/>
      <c r="AR3" s="96" t="str">
        <f>IFERROR(IF($E3="Yes","IPP",VLOOKUP($L3,'FLA Reading Logic'!$A$3:$K$9,VLOOKUP(AQ$1,'FLA Reading Logic'!$J$22:$K$31,2,FALSE),FALSE)),"Set Grade")</f>
        <v>Set Grade</v>
      </c>
      <c r="AS3" s="96" t="str">
        <f>IFERROR(IF($E3="Yes","IPP",VLOOKUP($L3,'FLA Reading Logic'!$A$13:$K$19,VLOOKUP(AQ$1,'FLA Reading Logic'!$J$22:$K$31,2,FALSE),FALSE)),"Set Grade")</f>
        <v>Set Grade</v>
      </c>
      <c r="AT3" s="98" t="str">
        <f>IF($E3="Yes","IPP",IFERROR(IF(AND(AQ3&gt;AR3,AQ3&lt;AS3),"0",(VLOOKUP(AQ3,'FLA Reading Logic'!$A$22:$B$53,2,FALSE))-(IF(VLOOKUP(AQ3,'FLA Reading Logic'!$A$22:$B$53,2,FALSE)&lt;=VLOOKUP(AR3,'FLA Reading Logic'!$A$22:$B$53,2,FALSE),VLOOKUP(AR3,'FLA Reading Logic'!$A$22:$B$53,2,FALSE),IF(VLOOKUP(AQ3,'FLA Reading Logic'!$A$22:$B$53,2,FALSE)&gt;=VLOOKUP(AS3,'FLA Reading Logic'!$A$22:$B$53,2,FALSE),VLOOKUP(AS3,'FLA Reading Logic'!$A$22:$B$53,2,FALSE),"No Score")))),"No Value"))</f>
        <v>No Value</v>
      </c>
      <c r="AU3" s="96" t="str">
        <f>IFERROR(VLOOKUP(AQ3,'FLA Reading Logic'!$A$22:$B$48,2,FALSE)-VLOOKUP($F3,'FLA Reading Logic'!$A$22:$B$48,2,FALSE),"No Value")</f>
        <v>No Value</v>
      </c>
      <c r="AV3" s="96" t="str">
        <f>IF($E3="Yes","IPP",IFERROR(IF(AND(AQ3&gt;$J3,AQ3&lt;$K3),"0",(VLOOKUP(AQ3,'FLA Reading Logic'!$A$22:$B$53,2,FALSE))-(IF(VLOOKUP(AQ3,'FLA Reading Logic'!$A$22:$B$53,2,FALSE)&lt;=VLOOKUP($J3,'FLA Reading Logic'!$A$22:$B$53,2,FALSE),VLOOKUP($J3,'FLA Reading Logic'!$A$22:$B$53,2,FALSE),IF(VLOOKUP(AQ3,'FLA Reading Logic'!$A$22:$B$53,2,FALSE)&gt;=VLOOKUP($K3,'FLA Reading Logic'!$A$22:$B$53,2,FALSE),VLOOKUP($K3,'FLA Reading Logic'!$A$22:$B$53,2,FALSE),"No Score")))),"No Value"))</f>
        <v>No Value</v>
      </c>
      <c r="AW3" s="92"/>
      <c r="AX3" s="96" t="str">
        <f>IFERROR(IF($E3="Yes","IPP",VLOOKUP($L3,'FLA Reading Logic'!$A$3:$K$9,VLOOKUP(AW$1,'FLA Reading Logic'!$J$22:$K$31,2,FALSE),FALSE)),"Set Grade")</f>
        <v>Set Grade</v>
      </c>
      <c r="AY3" s="96" t="str">
        <f>IFERROR(IF($E3="Yes","IPP",VLOOKUP($L3,'FLA Reading Logic'!$A$13:$K$19,VLOOKUP(AW$1,'FLA Reading Logic'!$J$22:$K$31,2,FALSE),FALSE)),"Set Grade")</f>
        <v>Set Grade</v>
      </c>
      <c r="AZ3" s="98" t="str">
        <f>IF($E3="Yes","IPP",IFERROR(IF(AND(AW3&gt;AX3,AW3&lt;AY3),"0",(VLOOKUP(AW3,'FLA Reading Logic'!$A$22:$B$53,2,FALSE))-(IF(VLOOKUP(AW3,'FLA Reading Logic'!$A$22:$B$53,2,FALSE)&lt;=VLOOKUP(AX3,'FLA Reading Logic'!$A$22:$B$53,2,FALSE),VLOOKUP(AX3,'FLA Reading Logic'!$A$22:$B$53,2,FALSE),IF(VLOOKUP(AW3,'FLA Reading Logic'!$A$22:$B$53,2,FALSE)&gt;=VLOOKUP(AY3,'FLA Reading Logic'!$A$22:$B$53,2,FALSE),VLOOKUP(AY3,'FLA Reading Logic'!$A$22:$B$53,2,FALSE),"No Score")))),"No Value"))</f>
        <v>No Value</v>
      </c>
      <c r="BA3" s="96" t="str">
        <f>IFERROR(VLOOKUP(AW3,'FLA Reading Logic'!$A$22:$B$48,2,FALSE)-VLOOKUP($F3,'FLA Reading Logic'!$A$22:$B$48,2,FALSE),"No Value")</f>
        <v>No Value</v>
      </c>
      <c r="BB3" s="96" t="str">
        <f>IF($E3="Yes","IPP",IFERROR(IF(AND(AW3&gt;$J3,AW3&lt;$K3),"0",(VLOOKUP(AW3,'FLA Reading Logic'!$A$22:$B$53,2,FALSE))-(IF(VLOOKUP(AW3,'FLA Reading Logic'!$A$22:$B$53,2,FALSE)&lt;=VLOOKUP($J3,'FLA Reading Logic'!$A$22:$B$53,2,FALSE),VLOOKUP($J3,'FLA Reading Logic'!$A$22:$B$53,2,FALSE),IF(VLOOKUP(AW3,'FLA Reading Logic'!$A$22:$B$53,2,FALSE)&gt;=VLOOKUP($K3,'FLA Reading Logic'!$A$22:$B$53,2,FALSE),VLOOKUP($K3,'FLA Reading Logic'!$A$22:$B$53,2,FALSE),"No Score")))),"No Value"))</f>
        <v>No Value</v>
      </c>
    </row>
    <row r="4" spans="1:54" ht="26.25" customHeight="1" thickBot="1" x14ac:dyDescent="0.3">
      <c r="A4" s="95"/>
      <c r="B4" s="97"/>
      <c r="C4" s="97"/>
      <c r="D4" s="97"/>
      <c r="E4" s="93"/>
      <c r="F4" s="92"/>
      <c r="G4" s="96" t="str">
        <f>IFERROR(IF($E4="Yes","IPP",VLOOKUP($J4,'ELA Reading Logic'!$A$3:$K$9,VLOOKUP("September",'ELA Reading Logic'!$J$22:$K$31,2,FALSE),FALSE)),"Set Grade")</f>
        <v>Set Grade</v>
      </c>
      <c r="H4" s="96" t="str">
        <f>IFERROR(IF($E4="Yes","IPP",VLOOKUP($J4,'ELA Reading Logic'!$A$13:$K$19,VLOOKUP("September",'ELA Reading Logic'!$J$22:$K$31,2,FALSE),FALSE)),"Set Grade")</f>
        <v>Set Grade</v>
      </c>
      <c r="I4" s="98" t="str">
        <f>IF($E4="Yes","IPP",IFERROR(IF(AND(F4&gt;G4,F4&lt;H4),"0",(VLOOKUP(F4,'ELA Reading Logic'!$A$22:$B$48,2,FALSE))-(IF(VLOOKUP(F4,'ELA Reading Logic'!$A$22:$B$48,2,FALSE)&lt;=VLOOKUP(G4,'ELA Reading Logic'!$A$22:$B$48,2,FALSE),VLOOKUP(G4,'ELA Reading Logic'!$A$22:$B$48,2,FALSE),IF(VLOOKUP(F4,'ELA Reading Logic'!$A$22:$B$48,2,FALSE)&gt;=VLOOKUP(H4,'ELA Reading Logic'!$A$22:$B$48,2,FALSE),VLOOKUP(H4,'ELA Reading Logic'!$A$22:$B$48,2,FALSE),"No Score")))),"No Value"))</f>
        <v>No Value</v>
      </c>
      <c r="J4" s="96" t="str">
        <f>IFERROR(VLOOKUP($L4,'FLA Reading Logic'!$A$3:$K$9,11,FALSE),"Set Grade")</f>
        <v>Set Grade</v>
      </c>
      <c r="K4" s="96" t="str">
        <f>IFERROR(VLOOKUP($L4,'FLA Reading Logic'!$A$13:$K$19,11,FALSE),"Set Grade")</f>
        <v>Set Grade</v>
      </c>
      <c r="L4" s="178"/>
      <c r="M4" s="96"/>
      <c r="N4" s="96"/>
      <c r="O4" s="96"/>
      <c r="P4" s="96"/>
      <c r="Q4" s="96"/>
      <c r="R4" s="8"/>
      <c r="S4" s="92"/>
      <c r="T4" s="96" t="str">
        <f>IFERROR(IF($E4="Yes","IPP",VLOOKUP($L4,'FLA Reading Logic'!$A$3:$K$9,VLOOKUP(S$1,'FLA Reading Logic'!$J$22:$K$31,2,FALSE),FALSE)),"Set Grade")</f>
        <v>Set Grade</v>
      </c>
      <c r="U4" s="96" t="str">
        <f>IFERROR(IF($E4="Yes","IPP",VLOOKUP($L4,'FLA Reading Logic'!$A$13:$K$19,VLOOKUP(S$1,'FLA Reading Logic'!$J$22:$K$31,2,FALSE),FALSE)),"Set Grade")</f>
        <v>Set Grade</v>
      </c>
      <c r="V4" s="98" t="str">
        <f>IF($E4="Yes","IPP",IFERROR(IF(AND(S4&gt;T4,S4&lt;U4),"0",(VLOOKUP(S4,'FLA Reading Logic'!$A$22:$B$53,2,FALSE))-(IF(VLOOKUP(S4,'FLA Reading Logic'!$A$22:$B$53,2,FALSE)&lt;=VLOOKUP(T4,'FLA Reading Logic'!$A$22:$B$53,2,FALSE),VLOOKUP(T4,'FLA Reading Logic'!$A$22:$B$53,2,FALSE),IF(VLOOKUP(S4,'FLA Reading Logic'!$A$22:$B$53,2,FALSE)&gt;=VLOOKUP(U4,'FLA Reading Logic'!$A$22:$B$53,2,FALSE),VLOOKUP(U4,'FLA Reading Logic'!$A$22:$B$53,2,FALSE),"No Score")))),"No Value"))</f>
        <v>No Value</v>
      </c>
      <c r="W4" s="96" t="str">
        <f>IFERROR(VLOOKUP(S4,'FLA Reading Logic'!$A$22:$B$53,2,FALSE)-VLOOKUP($F4,'FLA Reading Logic'!$A$22:$B$53,2,FALSE),"No Value")</f>
        <v>No Value</v>
      </c>
      <c r="X4" s="96" t="str">
        <f>IF($E4="Yes","IPP",IFERROR(IF(AND(S4&gt;$J4,S4&lt;$K4),"0",(VLOOKUP(S4,'FLA Reading Logic'!$A$22:$B$53,2,FALSE))-(IF(VLOOKUP(S4,'FLA Reading Logic'!$A$22:$B$53,2,FALSE)&lt;=VLOOKUP($J4,'FLA Reading Logic'!$A$22:$B$53,2,FALSE),VLOOKUP($J4,'FLA Reading Logic'!$A$22:$B$53,2,FALSE),IF(VLOOKUP(S4,'FLA Reading Logic'!$A$22:$B$53,2,FALSE)&gt;=VLOOKUP($K4,'FLA Reading Logic'!$A$22:$B$53,2,FALSE),VLOOKUP($K4,'FLA Reading Logic'!$A$22:$B$53,2,FALSE),"No Score")))),"No Value"))</f>
        <v>No Value</v>
      </c>
      <c r="Y4" s="92"/>
      <c r="Z4" s="96" t="str">
        <f>IFERROR(IF($E4="Yes","IPP",VLOOKUP($L4,'FLA Reading Logic'!$A$3:$K$9,VLOOKUP(Y$1,'FLA Reading Logic'!$J$22:$K$31,2,FALSE),FALSE)),"Set Grade")</f>
        <v>Set Grade</v>
      </c>
      <c r="AA4" s="96" t="str">
        <f>IFERROR(IF($E4="Yes","IPP",VLOOKUP($L4,'FLA Reading Logic'!$A$13:$K$19,VLOOKUP(Y$1,'FLA Reading Logic'!$J$22:$K$31,2,FALSE),FALSE)),"Set Grade")</f>
        <v>Set Grade</v>
      </c>
      <c r="AB4" s="98" t="str">
        <f>IF($E4="Yes","IPP",IFERROR(IF(AND(Y4&gt;Z4,Y4&lt;AA4),"0",(VLOOKUP(Y4,'FLA Reading Logic'!$A$22:$B$53,2,FALSE))-(IF(VLOOKUP(Y4,'FLA Reading Logic'!$A$22:$B$53,2,FALSE)&lt;=VLOOKUP(Z4,'FLA Reading Logic'!$A$22:$B$53,2,FALSE),VLOOKUP(Z4,'FLA Reading Logic'!$A$22:$B$53,2,FALSE),IF(VLOOKUP(Y4,'FLA Reading Logic'!$A$22:$B$53,2,FALSE)&gt;=VLOOKUP(AA4,'FLA Reading Logic'!$A$22:$B$53,2,FALSE),VLOOKUP(AA4,'FLA Reading Logic'!$A$22:$B$53,2,FALSE),"No Score")))),"No Value"))</f>
        <v>No Value</v>
      </c>
      <c r="AC4" s="96" t="str">
        <f>IFERROR(VLOOKUP(Y4,'FLA Reading Logic'!$A$22:$B$48,2,FALSE)-VLOOKUP($F4,'FLA Reading Logic'!$A$22:$B$48,2,FALSE),"No Value")</f>
        <v>No Value</v>
      </c>
      <c r="AD4" s="96" t="str">
        <f>IF($E4="Yes","IPP",IFERROR(IF(AND(Y4&gt;$J4,Y4&lt;$K4),"0",(VLOOKUP(Y4,'FLA Reading Logic'!$A$22:$B$53,2,FALSE))-(IF(VLOOKUP(Y4,'FLA Reading Logic'!$A$22:$B$53,2,FALSE)&lt;=VLOOKUP($J4,'FLA Reading Logic'!$A$22:$B$53,2,FALSE),VLOOKUP($J4,'FLA Reading Logic'!$A$22:$B$53,2,FALSE),IF(VLOOKUP(Y4,'FLA Reading Logic'!$A$22:$B$53,2,FALSE)&gt;=VLOOKUP($K4,'FLA Reading Logic'!$A$22:$B$53,2,FALSE),VLOOKUP($K4,'FLA Reading Logic'!$A$22:$B$53,2,FALSE),"No Score")))),"No Value"))</f>
        <v>No Value</v>
      </c>
      <c r="AE4" s="92"/>
      <c r="AF4" s="96" t="str">
        <f>IFERROR(IF($E4="Yes","IPP",VLOOKUP($L4,'FLA Reading Logic'!$A$3:$K$9,VLOOKUP(AE$1,'FLA Reading Logic'!$J$22:$K$31,2,FALSE),FALSE)),"Set Grade")</f>
        <v>Set Grade</v>
      </c>
      <c r="AG4" s="96" t="str">
        <f>IFERROR(IF($E4="Yes","IPP",VLOOKUP($L4,'FLA Reading Logic'!$A$13:$K$19,VLOOKUP(AE$1,'FLA Reading Logic'!$J$22:$K$31,2,FALSE),FALSE)),"Set Grade")</f>
        <v>Set Grade</v>
      </c>
      <c r="AH4" s="98" t="str">
        <f>IF($E4="Yes","IPP",IFERROR(IF(AND(AE4&gt;AF4,AE4&lt;AG4),"0",(VLOOKUP(AE4,'FLA Reading Logic'!$A$22:$B$53,2,FALSE))-(IF(VLOOKUP(AE4,'FLA Reading Logic'!$A$22:$B$53,2,FALSE)&lt;=VLOOKUP(AF4,'FLA Reading Logic'!$A$22:$B$53,2,FALSE),VLOOKUP(AF4,'FLA Reading Logic'!$A$22:$B$53,2,FALSE),IF(VLOOKUP(AE4,'FLA Reading Logic'!$A$22:$B$53,2,FALSE)&gt;=VLOOKUP(AG4,'FLA Reading Logic'!$A$22:$B$53,2,FALSE),VLOOKUP(AG4,'FLA Reading Logic'!$A$22:$B$53,2,FALSE),"No Score")))),"No Value"))</f>
        <v>No Value</v>
      </c>
      <c r="AI4" s="96" t="str">
        <f>IFERROR(VLOOKUP(AE4,'FLA Reading Logic'!$A$22:$B$48,2,FALSE)-VLOOKUP($F4,'FLA Reading Logic'!$A$22:$B$48,2,FALSE),"No Value")</f>
        <v>No Value</v>
      </c>
      <c r="AJ4" s="96" t="str">
        <f>IF($E4="Yes","IPP",IFERROR(IF(AND(AE4&gt;$J4,AE4&lt;$K4),"0",(VLOOKUP(AE4,'FLA Reading Logic'!$A$22:$B$53,2,FALSE))-(IF(VLOOKUP(AE4,'FLA Reading Logic'!$A$22:$B$53,2,FALSE)&lt;=VLOOKUP($J4,'FLA Reading Logic'!$A$22:$B$53,2,FALSE),VLOOKUP($J4,'FLA Reading Logic'!$A$22:$B$53,2,FALSE),IF(VLOOKUP(AE4,'FLA Reading Logic'!$A$22:$B$53,2,FALSE)&gt;=VLOOKUP($K4,'FLA Reading Logic'!$A$22:$B$53,2,FALSE),VLOOKUP($K4,'FLA Reading Logic'!$A$22:$B$53,2,FALSE),"No Score")))),"No Value"))</f>
        <v>No Value</v>
      </c>
      <c r="AK4" s="92"/>
      <c r="AL4" s="96" t="str">
        <f>IFERROR(IF($E4="Yes","IPP",VLOOKUP($L4,'FLA Reading Logic'!$A$3:$K$9,VLOOKUP(AK$1,'FLA Reading Logic'!$J$22:$K$31,2,FALSE),FALSE)),"Set Grade")</f>
        <v>Set Grade</v>
      </c>
      <c r="AM4" s="96" t="str">
        <f>IFERROR(IF($E4="Yes","IPP",VLOOKUP($L4,'FLA Reading Logic'!$A$13:$K$19,VLOOKUP(AK$1,'FLA Reading Logic'!$J$22:$K$31,2,FALSE),FALSE)),"Set Grade")</f>
        <v>Set Grade</v>
      </c>
      <c r="AN4" s="98" t="str">
        <f>IF($E4="Yes","IPP",IFERROR(IF(AND(AK4&gt;AL4,AK4&lt;AM4),"0",(VLOOKUP(AK4,'FLA Reading Logic'!$A$22:$B$53,2,FALSE))-(IF(VLOOKUP(AK4,'FLA Reading Logic'!$A$22:$B$53,2,FALSE)&lt;=VLOOKUP(AL4,'FLA Reading Logic'!$A$22:$B$53,2,FALSE),VLOOKUP(AL4,'FLA Reading Logic'!$A$22:$B$53,2,FALSE),IF(VLOOKUP(AK4,'FLA Reading Logic'!$A$22:$B$53,2,FALSE)&gt;=VLOOKUP(AM4,'FLA Reading Logic'!$A$22:$B$53,2,FALSE),VLOOKUP(AM4,'FLA Reading Logic'!$A$22:$B$53,2,FALSE),"No Score")))),"No Value"))</f>
        <v>No Value</v>
      </c>
      <c r="AO4" s="96" t="str">
        <f>IFERROR(VLOOKUP(AK4,'FLA Reading Logic'!$A$22:$B$48,2,FALSE)-VLOOKUP($F4,'FLA Reading Logic'!$A$22:$B$48,2,FALSE),"No Value")</f>
        <v>No Value</v>
      </c>
      <c r="AP4" s="96" t="str">
        <f>IF($E4="Yes","IPP",IFERROR(IF(AND(AK4&gt;$J4,AK4&lt;$K4),"0",(VLOOKUP(AK4,'FLA Reading Logic'!$A$22:$B$53,2,FALSE))-(IF(VLOOKUP(AK4,'FLA Reading Logic'!$A$22:$B$53,2,FALSE)&lt;=VLOOKUP($J4,'FLA Reading Logic'!$A$22:$B$53,2,FALSE),VLOOKUP($J4,'FLA Reading Logic'!$A$22:$B$53,2,FALSE),IF(VLOOKUP(AK4,'FLA Reading Logic'!$A$22:$B$53,2,FALSE)&gt;=VLOOKUP($K4,'FLA Reading Logic'!$A$22:$B$53,2,FALSE),VLOOKUP($K4,'FLA Reading Logic'!$A$22:$B$53,2,FALSE),"No Score")))),"No Value"))</f>
        <v>No Value</v>
      </c>
      <c r="AQ4" s="92"/>
      <c r="AR4" s="96" t="str">
        <f>IFERROR(IF($E4="Yes","IPP",VLOOKUP($L4,'FLA Reading Logic'!$A$3:$K$9,VLOOKUP(AQ$1,'FLA Reading Logic'!$J$22:$K$31,2,FALSE),FALSE)),"Set Grade")</f>
        <v>Set Grade</v>
      </c>
      <c r="AS4" s="96" t="str">
        <f>IFERROR(IF($E4="Yes","IPP",VLOOKUP($L4,'FLA Reading Logic'!$A$13:$K$19,VLOOKUP(AQ$1,'FLA Reading Logic'!$J$22:$K$31,2,FALSE),FALSE)),"Set Grade")</f>
        <v>Set Grade</v>
      </c>
      <c r="AT4" s="98" t="str">
        <f>IF($E4="Yes","IPP",IFERROR(IF(AND(AQ4&gt;AR4,AQ4&lt;AS4),"0",(VLOOKUP(AQ4,'FLA Reading Logic'!$A$22:$B$53,2,FALSE))-(IF(VLOOKUP(AQ4,'FLA Reading Logic'!$A$22:$B$53,2,FALSE)&lt;=VLOOKUP(AR4,'FLA Reading Logic'!$A$22:$B$53,2,FALSE),VLOOKUP(AR4,'FLA Reading Logic'!$A$22:$B$53,2,FALSE),IF(VLOOKUP(AQ4,'FLA Reading Logic'!$A$22:$B$53,2,FALSE)&gt;=VLOOKUP(AS4,'FLA Reading Logic'!$A$22:$B$53,2,FALSE),VLOOKUP(AS4,'FLA Reading Logic'!$A$22:$B$53,2,FALSE),"No Score")))),"No Value"))</f>
        <v>No Value</v>
      </c>
      <c r="AU4" s="96" t="str">
        <f>IFERROR(VLOOKUP(AQ4,'FLA Reading Logic'!$A$22:$B$48,2,FALSE)-VLOOKUP($F4,'FLA Reading Logic'!$A$22:$B$48,2,FALSE),"No Value")</f>
        <v>No Value</v>
      </c>
      <c r="AV4" s="96" t="str">
        <f>IF($E4="Yes","IPP",IFERROR(IF(AND(AQ4&gt;$J4,AQ4&lt;$K4),"0",(VLOOKUP(AQ4,'FLA Reading Logic'!$A$22:$B$53,2,FALSE))-(IF(VLOOKUP(AQ4,'FLA Reading Logic'!$A$22:$B$53,2,FALSE)&lt;=VLOOKUP($J4,'FLA Reading Logic'!$A$22:$B$53,2,FALSE),VLOOKUP($J4,'FLA Reading Logic'!$A$22:$B$53,2,FALSE),IF(VLOOKUP(AQ4,'FLA Reading Logic'!$A$22:$B$53,2,FALSE)&gt;=VLOOKUP($K4,'FLA Reading Logic'!$A$22:$B$53,2,FALSE),VLOOKUP($K4,'FLA Reading Logic'!$A$22:$B$53,2,FALSE),"No Score")))),"No Value"))</f>
        <v>No Value</v>
      </c>
      <c r="AW4" s="92"/>
      <c r="AX4" s="96" t="str">
        <f>IFERROR(IF($E4="Yes","IPP",VLOOKUP($L4,'FLA Reading Logic'!$A$3:$K$9,VLOOKUP(AW$1,'FLA Reading Logic'!$J$22:$K$31,2,FALSE),FALSE)),"Set Grade")</f>
        <v>Set Grade</v>
      </c>
      <c r="AY4" s="96" t="str">
        <f>IFERROR(IF($E4="Yes","IPP",VLOOKUP($L4,'FLA Reading Logic'!$A$13:$K$19,VLOOKUP(AW$1,'FLA Reading Logic'!$J$22:$K$31,2,FALSE),FALSE)),"Set Grade")</f>
        <v>Set Grade</v>
      </c>
      <c r="AZ4" s="98" t="str">
        <f>IF($E4="Yes","IPP",IFERROR(IF(AND(AW4&gt;AX4,AW4&lt;AY4),"0",(VLOOKUP(AW4,'FLA Reading Logic'!$A$22:$B$53,2,FALSE))-(IF(VLOOKUP(AW4,'FLA Reading Logic'!$A$22:$B$53,2,FALSE)&lt;=VLOOKUP(AX4,'FLA Reading Logic'!$A$22:$B$53,2,FALSE),VLOOKUP(AX4,'FLA Reading Logic'!$A$22:$B$53,2,FALSE),IF(VLOOKUP(AW4,'FLA Reading Logic'!$A$22:$B$53,2,FALSE)&gt;=VLOOKUP(AY4,'FLA Reading Logic'!$A$22:$B$53,2,FALSE),VLOOKUP(AY4,'FLA Reading Logic'!$A$22:$B$53,2,FALSE),"No Score")))),"No Value"))</f>
        <v>No Value</v>
      </c>
      <c r="BA4" s="96" t="str">
        <f>IFERROR(VLOOKUP(AW4,'FLA Reading Logic'!$A$22:$B$48,2,FALSE)-VLOOKUP($F4,'FLA Reading Logic'!$A$22:$B$48,2,FALSE),"No Value")</f>
        <v>No Value</v>
      </c>
      <c r="BB4" s="96" t="str">
        <f>IF($E4="Yes","IPP",IFERROR(IF(AND(AW4&gt;$J4,AW4&lt;$K4),"0",(VLOOKUP(AW4,'FLA Reading Logic'!$A$22:$B$53,2,FALSE))-(IF(VLOOKUP(AW4,'FLA Reading Logic'!$A$22:$B$53,2,FALSE)&lt;=VLOOKUP($J4,'FLA Reading Logic'!$A$22:$B$53,2,FALSE),VLOOKUP($J4,'FLA Reading Logic'!$A$22:$B$53,2,FALSE),IF(VLOOKUP(AW4,'FLA Reading Logic'!$A$22:$B$53,2,FALSE)&gt;=VLOOKUP($K4,'FLA Reading Logic'!$A$22:$B$53,2,FALSE),VLOOKUP($K4,'FLA Reading Logic'!$A$22:$B$53,2,FALSE),"No Score")))),"No Value"))</f>
        <v>No Value</v>
      </c>
    </row>
    <row r="5" spans="1:54" ht="26.25" customHeight="1" thickBot="1" x14ac:dyDescent="0.3">
      <c r="A5" s="96"/>
      <c r="B5" s="98"/>
      <c r="C5" s="98"/>
      <c r="D5" s="98"/>
      <c r="E5" s="179"/>
      <c r="F5" s="92"/>
      <c r="G5" s="98" t="str">
        <f>IFERROR(IF($E5="Yes","IPP",VLOOKUP($J5,'ELA Reading Logic'!$A$3:$K$9,VLOOKUP("September",'ELA Reading Logic'!$J$22:$K$31,2,FALSE),FALSE)),"Set Grade")</f>
        <v>Set Grade</v>
      </c>
      <c r="H5" s="98" t="str">
        <f>IFERROR(IF($E5="Yes","IPP",VLOOKUP($J5,'ELA Reading Logic'!$A$13:$K$19,VLOOKUP("September",'ELA Reading Logic'!$J$22:$K$31,2,FALSE),FALSE)),"Set Grade")</f>
        <v>Set Grade</v>
      </c>
      <c r="I5" s="98" t="str">
        <f>IF($E5="Yes","IPP",IFERROR(IF(AND(F5&gt;G5,F5&lt;H5),"0",(VLOOKUP(F5,'ELA Reading Logic'!$A$22:$B$48,2,FALSE))-(IF(VLOOKUP(F5,'ELA Reading Logic'!$A$22:$B$48,2,FALSE)&lt;=VLOOKUP(G5,'ELA Reading Logic'!$A$22:$B$48,2,FALSE),VLOOKUP(G5,'ELA Reading Logic'!$A$22:$B$48,2,FALSE),IF(VLOOKUP(F5,'ELA Reading Logic'!$A$22:$B$48,2,FALSE)&gt;=VLOOKUP(H5,'ELA Reading Logic'!$A$22:$B$48,2,FALSE),VLOOKUP(H5,'ELA Reading Logic'!$A$22:$B$48,2,FALSE),"No Score")))),"No Value"))</f>
        <v>No Value</v>
      </c>
      <c r="J5" s="96" t="str">
        <f>IFERROR(VLOOKUP($L5,'FLA Reading Logic'!$A$3:$K$9,11,FALSE),"Set Grade")</f>
        <v>Set Grade</v>
      </c>
      <c r="K5" s="96" t="str">
        <f>IFERROR(VLOOKUP($L5,'FLA Reading Logic'!$A$13:$K$19,11,FALSE),"Set Grade")</f>
        <v>Set Grade</v>
      </c>
      <c r="L5" s="180"/>
      <c r="M5" s="98"/>
      <c r="N5" s="98"/>
      <c r="O5" s="98"/>
      <c r="P5" s="98"/>
      <c r="Q5" s="98"/>
      <c r="R5" s="181"/>
      <c r="S5" s="182"/>
      <c r="T5" s="98" t="str">
        <f>IFERROR(IF($E5="Yes","IPP",VLOOKUP($L5,'FLA Reading Logic'!$A$3:$K$9,VLOOKUP(S$1,'FLA Reading Logic'!$J$22:$K$31,2,FALSE),FALSE)),"Set Grade")</f>
        <v>Set Grade</v>
      </c>
      <c r="U5" s="98" t="str">
        <f>IFERROR(IF($E5="Yes","IPP",VLOOKUP($L5,'FLA Reading Logic'!$A$13:$K$19,VLOOKUP(S$1,'FLA Reading Logic'!$J$22:$K$31,2,FALSE),FALSE)),"Set Grade")</f>
        <v>Set Grade</v>
      </c>
      <c r="V5" s="98" t="str">
        <f>IF($E5="Yes","IPP",IFERROR(IF(AND(S5&gt;T5,S5&lt;U5),"0",(VLOOKUP(S5,'FLA Reading Logic'!$A$22:$B$53,2,FALSE))-(IF(VLOOKUP(S5,'FLA Reading Logic'!$A$22:$B$53,2,FALSE)&lt;=VLOOKUP(T5,'FLA Reading Logic'!$A$22:$B$53,2,FALSE),VLOOKUP(T5,'FLA Reading Logic'!$A$22:$B$53,2,FALSE),IF(VLOOKUP(S5,'FLA Reading Logic'!$A$22:$B$53,2,FALSE)&gt;=VLOOKUP(U5,'FLA Reading Logic'!$A$22:$B$53,2,FALSE),VLOOKUP(U5,'FLA Reading Logic'!$A$22:$B$53,2,FALSE),"No Score")))),"No Value"))</f>
        <v>No Value</v>
      </c>
      <c r="W5" s="98" t="str">
        <f>IFERROR(VLOOKUP(S5,'FLA Reading Logic'!$A$22:$B$53,2,FALSE)-VLOOKUP($F5,'FLA Reading Logic'!$A$22:$B$53,2,FALSE),"No Value")</f>
        <v>No Value</v>
      </c>
      <c r="X5" s="96" t="str">
        <f>IF($E5="Yes","IPP",IFERROR(IF(AND(S5&gt;$J5,S5&lt;$K5),"0",(VLOOKUP(S5,'FLA Reading Logic'!$A$22:$B$53,2,FALSE))-(IF(VLOOKUP(S5,'FLA Reading Logic'!$A$22:$B$53,2,FALSE)&lt;=VLOOKUP($J5,'FLA Reading Logic'!$A$22:$B$53,2,FALSE),VLOOKUP($J5,'FLA Reading Logic'!$A$22:$B$53,2,FALSE),IF(VLOOKUP(S5,'FLA Reading Logic'!$A$22:$B$53,2,FALSE)&gt;=VLOOKUP($K5,'FLA Reading Logic'!$A$22:$B$53,2,FALSE),VLOOKUP($K5,'FLA Reading Logic'!$A$22:$B$53,2,FALSE),"No Score")))),"No Value"))</f>
        <v>No Value</v>
      </c>
      <c r="Y5" s="179"/>
      <c r="Z5" s="98" t="str">
        <f>IFERROR(IF($E5="Yes","IPP",VLOOKUP($L5,'FLA Reading Logic'!$A$3:$K$9,VLOOKUP(Y$1,'FLA Reading Logic'!$J$22:$K$31,2,FALSE),FALSE)),"Set Grade")</f>
        <v>Set Grade</v>
      </c>
      <c r="AA5" s="98" t="str">
        <f>IFERROR(IF($E5="Yes","IPP",VLOOKUP($L5,'FLA Reading Logic'!$A$13:$K$19,VLOOKUP(Y$1,'FLA Reading Logic'!$J$22:$K$31,2,FALSE),FALSE)),"Set Grade")</f>
        <v>Set Grade</v>
      </c>
      <c r="AB5" s="98" t="str">
        <f>IF($E5="Yes","IPP",IFERROR(IF(AND(Y5&gt;Z5,Y5&lt;AA5),"0",(VLOOKUP(Y5,'FLA Reading Logic'!$A$22:$B$53,2,FALSE))-(IF(VLOOKUP(Y5,'FLA Reading Logic'!$A$22:$B$53,2,FALSE)&lt;=VLOOKUP(Z5,'FLA Reading Logic'!$A$22:$B$53,2,FALSE),VLOOKUP(Z5,'FLA Reading Logic'!$A$22:$B$53,2,FALSE),IF(VLOOKUP(Y5,'FLA Reading Logic'!$A$22:$B$53,2,FALSE)&gt;=VLOOKUP(AA5,'FLA Reading Logic'!$A$22:$B$53,2,FALSE),VLOOKUP(AA5,'FLA Reading Logic'!$A$22:$B$53,2,FALSE),"No Score")))),"No Value"))</f>
        <v>No Value</v>
      </c>
      <c r="AC5" s="97" t="str">
        <f>IFERROR(VLOOKUP(Y5,'FLA Reading Logic'!$A$22:$B$48,2,FALSE)-VLOOKUP($F5,'FLA Reading Logic'!$A$22:$B$48,2,FALSE),"No Value")</f>
        <v>No Value</v>
      </c>
      <c r="AD5" s="96" t="str">
        <f>IF($E5="Yes","IPP",IFERROR(IF(AND(Y5&gt;$J5,Y5&lt;$K5),"0",(VLOOKUP(Y5,'FLA Reading Logic'!$A$22:$B$53,2,FALSE))-(IF(VLOOKUP(Y5,'FLA Reading Logic'!$A$22:$B$53,2,FALSE)&lt;=VLOOKUP($J5,'FLA Reading Logic'!$A$22:$B$53,2,FALSE),VLOOKUP($J5,'FLA Reading Logic'!$A$22:$B$53,2,FALSE),IF(VLOOKUP(Y5,'FLA Reading Logic'!$A$22:$B$53,2,FALSE)&gt;=VLOOKUP($K5,'FLA Reading Logic'!$A$22:$B$53,2,FALSE),VLOOKUP($K5,'FLA Reading Logic'!$A$22:$B$53,2,FALSE),"No Score")))),"No Value"))</f>
        <v>No Value</v>
      </c>
      <c r="AE5" s="179"/>
      <c r="AF5" s="96" t="str">
        <f>IFERROR(IF($E5="Yes","IPP",VLOOKUP($L5,'FLA Reading Logic'!$A$3:$K$9,VLOOKUP(AE$1,'FLA Reading Logic'!$J$22:$K$31,2,FALSE),FALSE)),"Set Grade")</f>
        <v>Set Grade</v>
      </c>
      <c r="AG5" s="96" t="str">
        <f>IFERROR(IF($E5="Yes","IPP",VLOOKUP($L5,'FLA Reading Logic'!$A$13:$K$19,VLOOKUP(AE$1,'FLA Reading Logic'!$J$22:$K$31,2,FALSE),FALSE)),"Set Grade")</f>
        <v>Set Grade</v>
      </c>
      <c r="AH5" s="98" t="str">
        <f>IF($E5="Yes","IPP",IFERROR(IF(AND(AE5&gt;AF5,AE5&lt;AG5),"0",(VLOOKUP(AE5,'FLA Reading Logic'!$A$22:$B$53,2,FALSE))-(IF(VLOOKUP(AE5,'FLA Reading Logic'!$A$22:$B$53,2,FALSE)&lt;=VLOOKUP(AF5,'FLA Reading Logic'!$A$22:$B$53,2,FALSE),VLOOKUP(AF5,'FLA Reading Logic'!$A$22:$B$53,2,FALSE),IF(VLOOKUP(AE5,'FLA Reading Logic'!$A$22:$B$53,2,FALSE)&gt;=VLOOKUP(AG5,'FLA Reading Logic'!$A$22:$B$53,2,FALSE),VLOOKUP(AG5,'FLA Reading Logic'!$A$22:$B$53,2,FALSE),"No Score")))),"No Value"))</f>
        <v>No Value</v>
      </c>
      <c r="AI5" s="96" t="str">
        <f>IFERROR(VLOOKUP(AE5,'FLA Reading Logic'!$A$22:$B$48,2,FALSE)-VLOOKUP($F5,'FLA Reading Logic'!$A$22:$B$48,2,FALSE),"No Value")</f>
        <v>No Value</v>
      </c>
      <c r="AJ5" s="96" t="str">
        <f>IF($E5="Yes","IPP",IFERROR(IF(AND(AE5&gt;$J5,AE5&lt;$K5),"0",(VLOOKUP(AE5,'FLA Reading Logic'!$A$22:$B$53,2,FALSE))-(IF(VLOOKUP(AE5,'FLA Reading Logic'!$A$22:$B$53,2,FALSE)&lt;=VLOOKUP($J5,'FLA Reading Logic'!$A$22:$B$53,2,FALSE),VLOOKUP($J5,'FLA Reading Logic'!$A$22:$B$53,2,FALSE),IF(VLOOKUP(AE5,'FLA Reading Logic'!$A$22:$B$53,2,FALSE)&gt;=VLOOKUP($K5,'FLA Reading Logic'!$A$22:$B$53,2,FALSE),VLOOKUP($K5,'FLA Reading Logic'!$A$22:$B$53,2,FALSE),"No Score")))),"No Value"))</f>
        <v>No Value</v>
      </c>
      <c r="AK5" s="179"/>
      <c r="AL5" s="96" t="str">
        <f>IFERROR(IF($E5="Yes","IPP",VLOOKUP($L5,'FLA Reading Logic'!$A$3:$K$9,VLOOKUP(AK$1,'FLA Reading Logic'!$J$22:$K$31,2,FALSE),FALSE)),"Set Grade")</f>
        <v>Set Grade</v>
      </c>
      <c r="AM5" s="96" t="str">
        <f>IFERROR(IF($E5="Yes","IPP",VLOOKUP($L5,'FLA Reading Logic'!$A$13:$K$19,VLOOKUP(AK$1,'FLA Reading Logic'!$J$22:$K$31,2,FALSE),FALSE)),"Set Grade")</f>
        <v>Set Grade</v>
      </c>
      <c r="AN5" s="98" t="str">
        <f>IF($E5="Yes","IPP",IFERROR(IF(AND(AK5&gt;AL5,AK5&lt;AM5),"0",(VLOOKUP(AK5,'FLA Reading Logic'!$A$22:$B$53,2,FALSE))-(IF(VLOOKUP(AK5,'FLA Reading Logic'!$A$22:$B$53,2,FALSE)&lt;=VLOOKUP(AL5,'FLA Reading Logic'!$A$22:$B$53,2,FALSE),VLOOKUP(AL5,'FLA Reading Logic'!$A$22:$B$53,2,FALSE),IF(VLOOKUP(AK5,'FLA Reading Logic'!$A$22:$B$53,2,FALSE)&gt;=VLOOKUP(AM5,'FLA Reading Logic'!$A$22:$B$53,2,FALSE),VLOOKUP(AM5,'FLA Reading Logic'!$A$22:$B$53,2,FALSE),"No Score")))),"No Value"))</f>
        <v>No Value</v>
      </c>
      <c r="AO5" s="96" t="str">
        <f>IFERROR(VLOOKUP(AK5,'FLA Reading Logic'!$A$22:$B$48,2,FALSE)-VLOOKUP($F5,'FLA Reading Logic'!$A$22:$B$48,2,FALSE),"No Value")</f>
        <v>No Value</v>
      </c>
      <c r="AP5" s="96" t="str">
        <f>IF($E5="Yes","IPP",IFERROR(IF(AND(AK5&gt;$J5,AK5&lt;$K5),"0",(VLOOKUP(AK5,'FLA Reading Logic'!$A$22:$B$53,2,FALSE))-(IF(VLOOKUP(AK5,'FLA Reading Logic'!$A$22:$B$53,2,FALSE)&lt;=VLOOKUP($J5,'FLA Reading Logic'!$A$22:$B$53,2,FALSE),VLOOKUP($J5,'FLA Reading Logic'!$A$22:$B$53,2,FALSE),IF(VLOOKUP(AK5,'FLA Reading Logic'!$A$22:$B$53,2,FALSE)&gt;=VLOOKUP($K5,'FLA Reading Logic'!$A$22:$B$53,2,FALSE),VLOOKUP($K5,'FLA Reading Logic'!$A$22:$B$53,2,FALSE),"No Score")))),"No Value"))</f>
        <v>No Value</v>
      </c>
      <c r="AQ5" s="179"/>
      <c r="AR5" s="96" t="str">
        <f>IFERROR(IF($E5="Yes","IPP",VLOOKUP($L5,'FLA Reading Logic'!$A$3:$K$9,VLOOKUP(AQ$1,'FLA Reading Logic'!$J$22:$K$31,2,FALSE),FALSE)),"Set Grade")</f>
        <v>Set Grade</v>
      </c>
      <c r="AS5" s="96" t="str">
        <f>IFERROR(IF($E5="Yes","IPP",VLOOKUP($L5,'FLA Reading Logic'!$A$13:$K$19,VLOOKUP(AQ$1,'FLA Reading Logic'!$J$22:$K$31,2,FALSE),FALSE)),"Set Grade")</f>
        <v>Set Grade</v>
      </c>
      <c r="AT5" s="98" t="str">
        <f>IF($E5="Yes","IPP",IFERROR(IF(AND(AQ5&gt;AR5,AQ5&lt;AS5),"0",(VLOOKUP(AQ5,'FLA Reading Logic'!$A$22:$B$53,2,FALSE))-(IF(VLOOKUP(AQ5,'FLA Reading Logic'!$A$22:$B$53,2,FALSE)&lt;=VLOOKUP(AR5,'FLA Reading Logic'!$A$22:$B$53,2,FALSE),VLOOKUP(AR5,'FLA Reading Logic'!$A$22:$B$53,2,FALSE),IF(VLOOKUP(AQ5,'FLA Reading Logic'!$A$22:$B$53,2,FALSE)&gt;=VLOOKUP(AS5,'FLA Reading Logic'!$A$22:$B$53,2,FALSE),VLOOKUP(AS5,'FLA Reading Logic'!$A$22:$B$53,2,FALSE),"No Score")))),"No Value"))</f>
        <v>No Value</v>
      </c>
      <c r="AU5" s="96" t="str">
        <f>IFERROR(VLOOKUP(AQ5,'FLA Reading Logic'!$A$22:$B$48,2,FALSE)-VLOOKUP($F5,'FLA Reading Logic'!$A$22:$B$48,2,FALSE),"No Value")</f>
        <v>No Value</v>
      </c>
      <c r="AV5" s="96" t="str">
        <f>IF($E5="Yes","IPP",IFERROR(IF(AND(AQ5&gt;$J5,AQ5&lt;$K5),"0",(VLOOKUP(AQ5,'FLA Reading Logic'!$A$22:$B$53,2,FALSE))-(IF(VLOOKUP(AQ5,'FLA Reading Logic'!$A$22:$B$53,2,FALSE)&lt;=VLOOKUP($J5,'FLA Reading Logic'!$A$22:$B$53,2,FALSE),VLOOKUP($J5,'FLA Reading Logic'!$A$22:$B$53,2,FALSE),IF(VLOOKUP(AQ5,'FLA Reading Logic'!$A$22:$B$53,2,FALSE)&gt;=VLOOKUP($K5,'FLA Reading Logic'!$A$22:$B$53,2,FALSE),VLOOKUP($K5,'FLA Reading Logic'!$A$22:$B$53,2,FALSE),"No Score")))),"No Value"))</f>
        <v>No Value</v>
      </c>
      <c r="AW5" s="179"/>
      <c r="AX5" s="96" t="str">
        <f>IFERROR(IF($E5="Yes","IPP",VLOOKUP($L5,'FLA Reading Logic'!$A$3:$K$9,VLOOKUP(AW$1,'FLA Reading Logic'!$J$22:$K$31,2,FALSE),FALSE)),"Set Grade")</f>
        <v>Set Grade</v>
      </c>
      <c r="AY5" s="96" t="str">
        <f>IFERROR(IF($E5="Yes","IPP",VLOOKUP($L5,'FLA Reading Logic'!$A$13:$K$19,VLOOKUP(AW$1,'FLA Reading Logic'!$J$22:$K$31,2,FALSE),FALSE)),"Set Grade")</f>
        <v>Set Grade</v>
      </c>
      <c r="AZ5" s="98" t="str">
        <f>IF($E5="Yes","IPP",IFERROR(IF(AND(AW5&gt;AX5,AW5&lt;AY5),"0",(VLOOKUP(AW5,'FLA Reading Logic'!$A$22:$B$53,2,FALSE))-(IF(VLOOKUP(AW5,'FLA Reading Logic'!$A$22:$B$53,2,FALSE)&lt;=VLOOKUP(AX5,'FLA Reading Logic'!$A$22:$B$53,2,FALSE),VLOOKUP(AX5,'FLA Reading Logic'!$A$22:$B$53,2,FALSE),IF(VLOOKUP(AW5,'FLA Reading Logic'!$A$22:$B$53,2,FALSE)&gt;=VLOOKUP(AY5,'FLA Reading Logic'!$A$22:$B$53,2,FALSE),VLOOKUP(AY5,'FLA Reading Logic'!$A$22:$B$53,2,FALSE),"No Score")))),"No Value"))</f>
        <v>No Value</v>
      </c>
      <c r="BA5" s="96" t="str">
        <f>IFERROR(VLOOKUP(AW5,'FLA Reading Logic'!$A$22:$B$48,2,FALSE)-VLOOKUP($F5,'FLA Reading Logic'!$A$22:$B$48,2,FALSE),"No Value")</f>
        <v>No Value</v>
      </c>
      <c r="BB5" s="96" t="str">
        <f>IF($E5="Yes","IPP",IFERROR(IF(AND(AW5&gt;$J5,AW5&lt;$K5),"0",(VLOOKUP(AW5,'FLA Reading Logic'!$A$22:$B$53,2,FALSE))-(IF(VLOOKUP(AW5,'FLA Reading Logic'!$A$22:$B$53,2,FALSE)&lt;=VLOOKUP($J5,'FLA Reading Logic'!$A$22:$B$53,2,FALSE),VLOOKUP($J5,'FLA Reading Logic'!$A$22:$B$53,2,FALSE),IF(VLOOKUP(AW5,'FLA Reading Logic'!$A$22:$B$53,2,FALSE)&gt;=VLOOKUP($K5,'FLA Reading Logic'!$A$22:$B$53,2,FALSE),VLOOKUP($K5,'FLA Reading Logic'!$A$22:$B$53,2,FALSE),"No Score")))),"No Value"))</f>
        <v>No Value</v>
      </c>
    </row>
    <row r="6" spans="1:54" ht="26.25" customHeight="1" thickBot="1" x14ac:dyDescent="0.3">
      <c r="A6" s="96"/>
      <c r="B6" s="98"/>
      <c r="C6" s="98"/>
      <c r="D6" s="98"/>
      <c r="E6" s="179"/>
      <c r="F6" s="92"/>
      <c r="G6" s="98" t="str">
        <f>IFERROR(IF($E6="Yes","IPP",VLOOKUP($J6,'ELA Reading Logic'!$A$3:$K$9,VLOOKUP("September",'ELA Reading Logic'!$J$22:$K$31,2,FALSE),FALSE)),"Set Grade")</f>
        <v>Set Grade</v>
      </c>
      <c r="H6" s="98" t="str">
        <f>IFERROR(IF($E6="Yes","IPP",VLOOKUP($J6,'ELA Reading Logic'!$A$13:$K$19,VLOOKUP("September",'ELA Reading Logic'!$J$22:$K$31,2,FALSE),FALSE)),"Set Grade")</f>
        <v>Set Grade</v>
      </c>
      <c r="I6" s="98" t="str">
        <f>IF($E6="Yes","IPP",IFERROR(IF(AND(F6&gt;G6,F6&lt;H6),"0",(VLOOKUP(F6,'ELA Reading Logic'!$A$22:$B$48,2,FALSE))-(IF(VLOOKUP(F6,'ELA Reading Logic'!$A$22:$B$48,2,FALSE)&lt;=VLOOKUP(G6,'ELA Reading Logic'!$A$22:$B$48,2,FALSE),VLOOKUP(G6,'ELA Reading Logic'!$A$22:$B$48,2,FALSE),IF(VLOOKUP(F6,'ELA Reading Logic'!$A$22:$B$48,2,FALSE)&gt;=VLOOKUP(H6,'ELA Reading Logic'!$A$22:$B$48,2,FALSE),VLOOKUP(H6,'ELA Reading Logic'!$A$22:$B$48,2,FALSE),"No Score")))),"No Value"))</f>
        <v>No Value</v>
      </c>
      <c r="J6" s="96" t="str">
        <f>IFERROR(VLOOKUP($L6,'FLA Reading Logic'!$A$3:$K$9,11,FALSE),"Set Grade")</f>
        <v>Set Grade</v>
      </c>
      <c r="K6" s="96" t="str">
        <f>IFERROR(VLOOKUP($L6,'FLA Reading Logic'!$A$13:$K$19,11,FALSE),"Set Grade")</f>
        <v>Set Grade</v>
      </c>
      <c r="L6" s="180"/>
      <c r="M6" s="98"/>
      <c r="N6" s="98"/>
      <c r="O6" s="98"/>
      <c r="P6" s="98"/>
      <c r="Q6" s="98"/>
      <c r="R6" s="181"/>
      <c r="S6" s="182"/>
      <c r="T6" s="98" t="str">
        <f>IFERROR(IF($E6="Yes","IPP",VLOOKUP($L6,'FLA Reading Logic'!$A$3:$K$9,VLOOKUP(S$1,'FLA Reading Logic'!$J$22:$K$31,2,FALSE),FALSE)),"Set Grade")</f>
        <v>Set Grade</v>
      </c>
      <c r="U6" s="98" t="str">
        <f>IFERROR(IF($E6="Yes","IPP",VLOOKUP($L6,'FLA Reading Logic'!$A$13:$K$19,VLOOKUP(S$1,'FLA Reading Logic'!$J$22:$K$31,2,FALSE),FALSE)),"Set Grade")</f>
        <v>Set Grade</v>
      </c>
      <c r="V6" s="98" t="str">
        <f>IF($E6="Yes","IPP",IFERROR(IF(AND(S6&gt;T6,S6&lt;U6),"0",(VLOOKUP(S6,'FLA Reading Logic'!$A$22:$B$53,2,FALSE))-(IF(VLOOKUP(S6,'FLA Reading Logic'!$A$22:$B$53,2,FALSE)&lt;=VLOOKUP(T6,'FLA Reading Logic'!$A$22:$B$53,2,FALSE),VLOOKUP(T6,'FLA Reading Logic'!$A$22:$B$53,2,FALSE),IF(VLOOKUP(S6,'FLA Reading Logic'!$A$22:$B$53,2,FALSE)&gt;=VLOOKUP(U6,'FLA Reading Logic'!$A$22:$B$53,2,FALSE),VLOOKUP(U6,'FLA Reading Logic'!$A$22:$B$53,2,FALSE),"No Score")))),"No Value"))</f>
        <v>No Value</v>
      </c>
      <c r="W6" s="98" t="str">
        <f>IFERROR(VLOOKUP(S6,'FLA Reading Logic'!$A$22:$B$53,2,FALSE)-VLOOKUP($F6,'FLA Reading Logic'!$A$22:$B$53,2,FALSE),"No Value")</f>
        <v>No Value</v>
      </c>
      <c r="X6" s="96" t="str">
        <f>IF($E6="Yes","IPP",IFERROR(IF(AND(S6&gt;$J6,S6&lt;$K6),"0",(VLOOKUP(S6,'FLA Reading Logic'!$A$22:$B$53,2,FALSE))-(IF(VLOOKUP(S6,'FLA Reading Logic'!$A$22:$B$53,2,FALSE)&lt;=VLOOKUP($J6,'FLA Reading Logic'!$A$22:$B$53,2,FALSE),VLOOKUP($J6,'FLA Reading Logic'!$A$22:$B$53,2,FALSE),IF(VLOOKUP(S6,'FLA Reading Logic'!$A$22:$B$53,2,FALSE)&gt;=VLOOKUP($K6,'FLA Reading Logic'!$A$22:$B$53,2,FALSE),VLOOKUP($K6,'FLA Reading Logic'!$A$22:$B$53,2,FALSE),"No Score")))),"No Value"))</f>
        <v>No Value</v>
      </c>
      <c r="Y6" s="179"/>
      <c r="Z6" s="98" t="str">
        <f>IFERROR(IF($E6="Yes","IPP",VLOOKUP($L6,'FLA Reading Logic'!$A$3:$K$9,VLOOKUP(Y$1,'FLA Reading Logic'!$J$22:$K$31,2,FALSE),FALSE)),"Set Grade")</f>
        <v>Set Grade</v>
      </c>
      <c r="AA6" s="98" t="str">
        <f>IFERROR(IF($E6="Yes","IPP",VLOOKUP($L6,'FLA Reading Logic'!$A$13:$K$19,VLOOKUP(Y$1,'FLA Reading Logic'!$J$22:$K$31,2,FALSE),FALSE)),"Set Grade")</f>
        <v>Set Grade</v>
      </c>
      <c r="AB6" s="98" t="str">
        <f>IF($E6="Yes","IPP",IFERROR(IF(AND(Y6&gt;Z6,Y6&lt;AA6),"0",(VLOOKUP(Y6,'FLA Reading Logic'!$A$22:$B$53,2,FALSE))-(IF(VLOOKUP(Y6,'FLA Reading Logic'!$A$22:$B$53,2,FALSE)&lt;=VLOOKUP(Z6,'FLA Reading Logic'!$A$22:$B$53,2,FALSE),VLOOKUP(Z6,'FLA Reading Logic'!$A$22:$B$53,2,FALSE),IF(VLOOKUP(Y6,'FLA Reading Logic'!$A$22:$B$53,2,FALSE)&gt;=VLOOKUP(AA6,'FLA Reading Logic'!$A$22:$B$53,2,FALSE),VLOOKUP(AA6,'FLA Reading Logic'!$A$22:$B$53,2,FALSE),"No Score")))),"No Value"))</f>
        <v>No Value</v>
      </c>
      <c r="AC6" s="97" t="str">
        <f>IFERROR(VLOOKUP(Y6,'FLA Reading Logic'!$A$22:$B$48,2,FALSE)-VLOOKUP($F6,'FLA Reading Logic'!$A$22:$B$48,2,FALSE),"No Value")</f>
        <v>No Value</v>
      </c>
      <c r="AD6" s="96" t="str">
        <f>IF($E6="Yes","IPP",IFERROR(IF(AND(Y6&gt;$J6,Y6&lt;$K6),"0",(VLOOKUP(Y6,'FLA Reading Logic'!$A$22:$B$53,2,FALSE))-(IF(VLOOKUP(Y6,'FLA Reading Logic'!$A$22:$B$53,2,FALSE)&lt;=VLOOKUP($J6,'FLA Reading Logic'!$A$22:$B$53,2,FALSE),VLOOKUP($J6,'FLA Reading Logic'!$A$22:$B$53,2,FALSE),IF(VLOOKUP(Y6,'FLA Reading Logic'!$A$22:$B$53,2,FALSE)&gt;=VLOOKUP($K6,'FLA Reading Logic'!$A$22:$B$53,2,FALSE),VLOOKUP($K6,'FLA Reading Logic'!$A$22:$B$53,2,FALSE),"No Score")))),"No Value"))</f>
        <v>No Value</v>
      </c>
      <c r="AE6" s="179"/>
      <c r="AF6" s="96" t="str">
        <f>IFERROR(IF($E6="Yes","IPP",VLOOKUP($L6,'FLA Reading Logic'!$A$3:$K$9,VLOOKUP(AE$1,'FLA Reading Logic'!$J$22:$K$31,2,FALSE),FALSE)),"Set Grade")</f>
        <v>Set Grade</v>
      </c>
      <c r="AG6" s="96" t="str">
        <f>IFERROR(IF($E6="Yes","IPP",VLOOKUP($L6,'FLA Reading Logic'!$A$13:$K$19,VLOOKUP(AE$1,'FLA Reading Logic'!$J$22:$K$31,2,FALSE),FALSE)),"Set Grade")</f>
        <v>Set Grade</v>
      </c>
      <c r="AH6" s="98" t="str">
        <f>IF($E6="Yes","IPP",IFERROR(IF(AND(AE6&gt;AF6,AE6&lt;AG6),"0",(VLOOKUP(AE6,'FLA Reading Logic'!$A$22:$B$53,2,FALSE))-(IF(VLOOKUP(AE6,'FLA Reading Logic'!$A$22:$B$53,2,FALSE)&lt;=VLOOKUP(AF6,'FLA Reading Logic'!$A$22:$B$53,2,FALSE),VLOOKUP(AF6,'FLA Reading Logic'!$A$22:$B$53,2,FALSE),IF(VLOOKUP(AE6,'FLA Reading Logic'!$A$22:$B$53,2,FALSE)&gt;=VLOOKUP(AG6,'FLA Reading Logic'!$A$22:$B$53,2,FALSE),VLOOKUP(AG6,'FLA Reading Logic'!$A$22:$B$53,2,FALSE),"No Score")))),"No Value"))</f>
        <v>No Value</v>
      </c>
      <c r="AI6" s="96" t="str">
        <f>IFERROR(VLOOKUP(AE6,'FLA Reading Logic'!$A$22:$B$48,2,FALSE)-VLOOKUP($F6,'FLA Reading Logic'!$A$22:$B$48,2,FALSE),"No Value")</f>
        <v>No Value</v>
      </c>
      <c r="AJ6" s="96" t="str">
        <f>IF($E6="Yes","IPP",IFERROR(IF(AND(AE6&gt;$J6,AE6&lt;$K6),"0",(VLOOKUP(AE6,'FLA Reading Logic'!$A$22:$B$53,2,FALSE))-(IF(VLOOKUP(AE6,'FLA Reading Logic'!$A$22:$B$53,2,FALSE)&lt;=VLOOKUP($J6,'FLA Reading Logic'!$A$22:$B$53,2,FALSE),VLOOKUP($J6,'FLA Reading Logic'!$A$22:$B$53,2,FALSE),IF(VLOOKUP(AE6,'FLA Reading Logic'!$A$22:$B$53,2,FALSE)&gt;=VLOOKUP($K6,'FLA Reading Logic'!$A$22:$B$53,2,FALSE),VLOOKUP($K6,'FLA Reading Logic'!$A$22:$B$53,2,FALSE),"No Score")))),"No Value"))</f>
        <v>No Value</v>
      </c>
      <c r="AK6" s="179"/>
      <c r="AL6" s="96" t="str">
        <f>IFERROR(IF($E6="Yes","IPP",VLOOKUP($L6,'FLA Reading Logic'!$A$3:$K$9,VLOOKUP(AK$1,'FLA Reading Logic'!$J$22:$K$31,2,FALSE),FALSE)),"Set Grade")</f>
        <v>Set Grade</v>
      </c>
      <c r="AM6" s="96" t="str">
        <f>IFERROR(IF($E6="Yes","IPP",VLOOKUP($L6,'FLA Reading Logic'!$A$13:$K$19,VLOOKUP(AK$1,'FLA Reading Logic'!$J$22:$K$31,2,FALSE),FALSE)),"Set Grade")</f>
        <v>Set Grade</v>
      </c>
      <c r="AN6" s="98" t="str">
        <f>IF($E6="Yes","IPP",IFERROR(IF(AND(AK6&gt;AL6,AK6&lt;AM6),"0",(VLOOKUP(AK6,'FLA Reading Logic'!$A$22:$B$53,2,FALSE))-(IF(VLOOKUP(AK6,'FLA Reading Logic'!$A$22:$B$53,2,FALSE)&lt;=VLOOKUP(AL6,'FLA Reading Logic'!$A$22:$B$53,2,FALSE),VLOOKUP(AL6,'FLA Reading Logic'!$A$22:$B$53,2,FALSE),IF(VLOOKUP(AK6,'FLA Reading Logic'!$A$22:$B$53,2,FALSE)&gt;=VLOOKUP(AM6,'FLA Reading Logic'!$A$22:$B$53,2,FALSE),VLOOKUP(AM6,'FLA Reading Logic'!$A$22:$B$53,2,FALSE),"No Score")))),"No Value"))</f>
        <v>No Value</v>
      </c>
      <c r="AO6" s="96" t="str">
        <f>IFERROR(VLOOKUP(AK6,'FLA Reading Logic'!$A$22:$B$48,2,FALSE)-VLOOKUP($F6,'FLA Reading Logic'!$A$22:$B$48,2,FALSE),"No Value")</f>
        <v>No Value</v>
      </c>
      <c r="AP6" s="96" t="str">
        <f>IF($E6="Yes","IPP",IFERROR(IF(AND(AK6&gt;$J6,AK6&lt;$K6),"0",(VLOOKUP(AK6,'FLA Reading Logic'!$A$22:$B$53,2,FALSE))-(IF(VLOOKUP(AK6,'FLA Reading Logic'!$A$22:$B$53,2,FALSE)&lt;=VLOOKUP($J6,'FLA Reading Logic'!$A$22:$B$53,2,FALSE),VLOOKUP($J6,'FLA Reading Logic'!$A$22:$B$53,2,FALSE),IF(VLOOKUP(AK6,'FLA Reading Logic'!$A$22:$B$53,2,FALSE)&gt;=VLOOKUP($K6,'FLA Reading Logic'!$A$22:$B$53,2,FALSE),VLOOKUP($K6,'FLA Reading Logic'!$A$22:$B$53,2,FALSE),"No Score")))),"No Value"))</f>
        <v>No Value</v>
      </c>
      <c r="AQ6" s="179"/>
      <c r="AR6" s="96" t="str">
        <f>IFERROR(IF($E6="Yes","IPP",VLOOKUP($L6,'FLA Reading Logic'!$A$3:$K$9,VLOOKUP(AQ$1,'FLA Reading Logic'!$J$22:$K$31,2,FALSE),FALSE)),"Set Grade")</f>
        <v>Set Grade</v>
      </c>
      <c r="AS6" s="96" t="str">
        <f>IFERROR(IF($E6="Yes","IPP",VLOOKUP($L6,'FLA Reading Logic'!$A$13:$K$19,VLOOKUP(AQ$1,'FLA Reading Logic'!$J$22:$K$31,2,FALSE),FALSE)),"Set Grade")</f>
        <v>Set Grade</v>
      </c>
      <c r="AT6" s="98" t="str">
        <f>IF($E6="Yes","IPP",IFERROR(IF(AND(AQ6&gt;AR6,AQ6&lt;AS6),"0",(VLOOKUP(AQ6,'FLA Reading Logic'!$A$22:$B$53,2,FALSE))-(IF(VLOOKUP(AQ6,'FLA Reading Logic'!$A$22:$B$53,2,FALSE)&lt;=VLOOKUP(AR6,'FLA Reading Logic'!$A$22:$B$53,2,FALSE),VLOOKUP(AR6,'FLA Reading Logic'!$A$22:$B$53,2,FALSE),IF(VLOOKUP(AQ6,'FLA Reading Logic'!$A$22:$B$53,2,FALSE)&gt;=VLOOKUP(AS6,'FLA Reading Logic'!$A$22:$B$53,2,FALSE),VLOOKUP(AS6,'FLA Reading Logic'!$A$22:$B$53,2,FALSE),"No Score")))),"No Value"))</f>
        <v>No Value</v>
      </c>
      <c r="AU6" s="96" t="str">
        <f>IFERROR(VLOOKUP(AQ6,'FLA Reading Logic'!$A$22:$B$48,2,FALSE)-VLOOKUP($F6,'FLA Reading Logic'!$A$22:$B$48,2,FALSE),"No Value")</f>
        <v>No Value</v>
      </c>
      <c r="AV6" s="96" t="str">
        <f>IF($E6="Yes","IPP",IFERROR(IF(AND(AQ6&gt;$J6,AQ6&lt;$K6),"0",(VLOOKUP(AQ6,'FLA Reading Logic'!$A$22:$B$53,2,FALSE))-(IF(VLOOKUP(AQ6,'FLA Reading Logic'!$A$22:$B$53,2,FALSE)&lt;=VLOOKUP($J6,'FLA Reading Logic'!$A$22:$B$53,2,FALSE),VLOOKUP($J6,'FLA Reading Logic'!$A$22:$B$53,2,FALSE),IF(VLOOKUP(AQ6,'FLA Reading Logic'!$A$22:$B$53,2,FALSE)&gt;=VLOOKUP($K6,'FLA Reading Logic'!$A$22:$B$53,2,FALSE),VLOOKUP($K6,'FLA Reading Logic'!$A$22:$B$53,2,FALSE),"No Score")))),"No Value"))</f>
        <v>No Value</v>
      </c>
      <c r="AW6" s="179"/>
      <c r="AX6" s="96" t="str">
        <f>IFERROR(IF($E6="Yes","IPP",VLOOKUP($L6,'FLA Reading Logic'!$A$3:$K$9,VLOOKUP(AW$1,'FLA Reading Logic'!$J$22:$K$31,2,FALSE),FALSE)),"Set Grade")</f>
        <v>Set Grade</v>
      </c>
      <c r="AY6" s="96" t="str">
        <f>IFERROR(IF($E6="Yes","IPP",VLOOKUP($L6,'FLA Reading Logic'!$A$13:$K$19,VLOOKUP(AW$1,'FLA Reading Logic'!$J$22:$K$31,2,FALSE),FALSE)),"Set Grade")</f>
        <v>Set Grade</v>
      </c>
      <c r="AZ6" s="98" t="str">
        <f>IF($E6="Yes","IPP",IFERROR(IF(AND(AW6&gt;AX6,AW6&lt;AY6),"0",(VLOOKUP(AW6,'FLA Reading Logic'!$A$22:$B$53,2,FALSE))-(IF(VLOOKUP(AW6,'FLA Reading Logic'!$A$22:$B$53,2,FALSE)&lt;=VLOOKUP(AX6,'FLA Reading Logic'!$A$22:$B$53,2,FALSE),VLOOKUP(AX6,'FLA Reading Logic'!$A$22:$B$53,2,FALSE),IF(VLOOKUP(AW6,'FLA Reading Logic'!$A$22:$B$53,2,FALSE)&gt;=VLOOKUP(AY6,'FLA Reading Logic'!$A$22:$B$53,2,FALSE),VLOOKUP(AY6,'FLA Reading Logic'!$A$22:$B$53,2,FALSE),"No Score")))),"No Value"))</f>
        <v>No Value</v>
      </c>
      <c r="BA6" s="96" t="str">
        <f>IFERROR(VLOOKUP(AW6,'FLA Reading Logic'!$A$22:$B$48,2,FALSE)-VLOOKUP($F6,'FLA Reading Logic'!$A$22:$B$48,2,FALSE),"No Value")</f>
        <v>No Value</v>
      </c>
      <c r="BB6" s="96" t="str">
        <f>IF($E6="Yes","IPP",IFERROR(IF(AND(AW6&gt;$J6,AW6&lt;$K6),"0",(VLOOKUP(AW6,'FLA Reading Logic'!$A$22:$B$53,2,FALSE))-(IF(VLOOKUP(AW6,'FLA Reading Logic'!$A$22:$B$53,2,FALSE)&lt;=VLOOKUP($J6,'FLA Reading Logic'!$A$22:$B$53,2,FALSE),VLOOKUP($J6,'FLA Reading Logic'!$A$22:$B$53,2,FALSE),IF(VLOOKUP(AW6,'FLA Reading Logic'!$A$22:$B$53,2,FALSE)&gt;=VLOOKUP($K6,'FLA Reading Logic'!$A$22:$B$53,2,FALSE),VLOOKUP($K6,'FLA Reading Logic'!$A$22:$B$53,2,FALSE),"No Score")))),"No Value"))</f>
        <v>No Value</v>
      </c>
    </row>
    <row r="7" spans="1:54" ht="26.25" customHeight="1" thickBot="1" x14ac:dyDescent="0.3">
      <c r="A7" s="96"/>
      <c r="B7" s="98"/>
      <c r="C7" s="98"/>
      <c r="D7" s="98"/>
      <c r="E7" s="179"/>
      <c r="F7" s="92"/>
      <c r="G7" s="98" t="str">
        <f>IFERROR(IF($E7="Yes","IPP",VLOOKUP($J7,'ELA Reading Logic'!$A$3:$K$9,VLOOKUP("September",'ELA Reading Logic'!$J$22:$K$31,2,FALSE),FALSE)),"Set Grade")</f>
        <v>Set Grade</v>
      </c>
      <c r="H7" s="98" t="str">
        <f>IFERROR(IF($E7="Yes","IPP",VLOOKUP($J7,'ELA Reading Logic'!$A$13:$K$19,VLOOKUP("September",'ELA Reading Logic'!$J$22:$K$31,2,FALSE),FALSE)),"Set Grade")</f>
        <v>Set Grade</v>
      </c>
      <c r="I7" s="98" t="str">
        <f>IF($E7="Yes","IPP",IFERROR(IF(AND(F7&gt;G7,F7&lt;H7),"0",(VLOOKUP(F7,'ELA Reading Logic'!$A$22:$B$48,2,FALSE))-(IF(VLOOKUP(F7,'ELA Reading Logic'!$A$22:$B$48,2,FALSE)&lt;=VLOOKUP(G7,'ELA Reading Logic'!$A$22:$B$48,2,FALSE),VLOOKUP(G7,'ELA Reading Logic'!$A$22:$B$48,2,FALSE),IF(VLOOKUP(F7,'ELA Reading Logic'!$A$22:$B$48,2,FALSE)&gt;=VLOOKUP(H7,'ELA Reading Logic'!$A$22:$B$48,2,FALSE),VLOOKUP(H7,'ELA Reading Logic'!$A$22:$B$48,2,FALSE),"No Score")))),"No Value"))</f>
        <v>No Value</v>
      </c>
      <c r="J7" s="96" t="str">
        <f>IFERROR(VLOOKUP($L7,'FLA Reading Logic'!$A$3:$K$9,11,FALSE),"Set Grade")</f>
        <v>Set Grade</v>
      </c>
      <c r="K7" s="96" t="str">
        <f>IFERROR(VLOOKUP($L7,'FLA Reading Logic'!$A$13:$K$19,11,FALSE),"Set Grade")</f>
        <v>Set Grade</v>
      </c>
      <c r="L7" s="180"/>
      <c r="M7" s="98"/>
      <c r="N7" s="98"/>
      <c r="O7" s="98"/>
      <c r="P7" s="98"/>
      <c r="Q7" s="98"/>
      <c r="R7" s="181"/>
      <c r="S7" s="182"/>
      <c r="T7" s="98" t="str">
        <f>IFERROR(IF($E7="Yes","IPP",VLOOKUP($L7,'FLA Reading Logic'!$A$3:$K$9,VLOOKUP(S$1,'FLA Reading Logic'!$J$22:$K$31,2,FALSE),FALSE)),"Set Grade")</f>
        <v>Set Grade</v>
      </c>
      <c r="U7" s="98" t="str">
        <f>IFERROR(IF($E7="Yes","IPP",VLOOKUP($L7,'FLA Reading Logic'!$A$13:$K$19,VLOOKUP(S$1,'FLA Reading Logic'!$J$22:$K$31,2,FALSE),FALSE)),"Set Grade")</f>
        <v>Set Grade</v>
      </c>
      <c r="V7" s="98" t="str">
        <f>IF($E7="Yes","IPP",IFERROR(IF(AND(S7&gt;T7,S7&lt;U7),"0",(VLOOKUP(S7,'FLA Reading Logic'!$A$22:$B$53,2,FALSE))-(IF(VLOOKUP(S7,'FLA Reading Logic'!$A$22:$B$53,2,FALSE)&lt;=VLOOKUP(T7,'FLA Reading Logic'!$A$22:$B$53,2,FALSE),VLOOKUP(T7,'FLA Reading Logic'!$A$22:$B$53,2,FALSE),IF(VLOOKUP(S7,'FLA Reading Logic'!$A$22:$B$53,2,FALSE)&gt;=VLOOKUP(U7,'FLA Reading Logic'!$A$22:$B$53,2,FALSE),VLOOKUP(U7,'FLA Reading Logic'!$A$22:$B$53,2,FALSE),"No Score")))),"No Value"))</f>
        <v>No Value</v>
      </c>
      <c r="W7" s="98" t="str">
        <f>IFERROR(VLOOKUP(S7,'FLA Reading Logic'!$A$22:$B$53,2,FALSE)-VLOOKUP($F7,'FLA Reading Logic'!$A$22:$B$53,2,FALSE),"No Value")</f>
        <v>No Value</v>
      </c>
      <c r="X7" s="96" t="str">
        <f>IF($E7="Yes","IPP",IFERROR(IF(AND(S7&gt;$J7,S7&lt;$K7),"0",(VLOOKUP(S7,'FLA Reading Logic'!$A$22:$B$53,2,FALSE))-(IF(VLOOKUP(S7,'FLA Reading Logic'!$A$22:$B$53,2,FALSE)&lt;=VLOOKUP($J7,'FLA Reading Logic'!$A$22:$B$53,2,FALSE),VLOOKUP($J7,'FLA Reading Logic'!$A$22:$B$53,2,FALSE),IF(VLOOKUP(S7,'FLA Reading Logic'!$A$22:$B$53,2,FALSE)&gt;=VLOOKUP($K7,'FLA Reading Logic'!$A$22:$B$53,2,FALSE),VLOOKUP($K7,'FLA Reading Logic'!$A$22:$B$53,2,FALSE),"No Score")))),"No Value"))</f>
        <v>No Value</v>
      </c>
      <c r="Y7" s="179"/>
      <c r="Z7" s="98" t="str">
        <f>IFERROR(IF($E7="Yes","IPP",VLOOKUP($L7,'FLA Reading Logic'!$A$3:$K$9,VLOOKUP(Y$1,'FLA Reading Logic'!$J$22:$K$31,2,FALSE),FALSE)),"Set Grade")</f>
        <v>Set Grade</v>
      </c>
      <c r="AA7" s="98" t="str">
        <f>IFERROR(IF($E7="Yes","IPP",VLOOKUP($L7,'FLA Reading Logic'!$A$13:$K$19,VLOOKUP(Y$1,'FLA Reading Logic'!$J$22:$K$31,2,FALSE),FALSE)),"Set Grade")</f>
        <v>Set Grade</v>
      </c>
      <c r="AB7" s="98" t="str">
        <f>IF($E7="Yes","IPP",IFERROR(IF(AND(Y7&gt;Z7,Y7&lt;AA7),"0",(VLOOKUP(Y7,'FLA Reading Logic'!$A$22:$B$53,2,FALSE))-(IF(VLOOKUP(Y7,'FLA Reading Logic'!$A$22:$B$53,2,FALSE)&lt;=VLOOKUP(Z7,'FLA Reading Logic'!$A$22:$B$53,2,FALSE),VLOOKUP(Z7,'FLA Reading Logic'!$A$22:$B$53,2,FALSE),IF(VLOOKUP(Y7,'FLA Reading Logic'!$A$22:$B$53,2,FALSE)&gt;=VLOOKUP(AA7,'FLA Reading Logic'!$A$22:$B$53,2,FALSE),VLOOKUP(AA7,'FLA Reading Logic'!$A$22:$B$53,2,FALSE),"No Score")))),"No Value"))</f>
        <v>No Value</v>
      </c>
      <c r="AC7" s="97" t="str">
        <f>IFERROR(VLOOKUP(Y7,'FLA Reading Logic'!$A$22:$B$48,2,FALSE)-VLOOKUP($F7,'FLA Reading Logic'!$A$22:$B$48,2,FALSE),"No Value")</f>
        <v>No Value</v>
      </c>
      <c r="AD7" s="96" t="str">
        <f>IF($E7="Yes","IPP",IFERROR(IF(AND(Y7&gt;$J7,Y7&lt;$K7),"0",(VLOOKUP(Y7,'FLA Reading Logic'!$A$22:$B$53,2,FALSE))-(IF(VLOOKUP(Y7,'FLA Reading Logic'!$A$22:$B$53,2,FALSE)&lt;=VLOOKUP($J7,'FLA Reading Logic'!$A$22:$B$53,2,FALSE),VLOOKUP($J7,'FLA Reading Logic'!$A$22:$B$53,2,FALSE),IF(VLOOKUP(Y7,'FLA Reading Logic'!$A$22:$B$53,2,FALSE)&gt;=VLOOKUP($K7,'FLA Reading Logic'!$A$22:$B$53,2,FALSE),VLOOKUP($K7,'FLA Reading Logic'!$A$22:$B$53,2,FALSE),"No Score")))),"No Value"))</f>
        <v>No Value</v>
      </c>
      <c r="AE7" s="179"/>
      <c r="AF7" s="96" t="str">
        <f>IFERROR(IF($E7="Yes","IPP",VLOOKUP($L7,'FLA Reading Logic'!$A$3:$K$9,VLOOKUP(AE$1,'FLA Reading Logic'!$J$22:$K$31,2,FALSE),FALSE)),"Set Grade")</f>
        <v>Set Grade</v>
      </c>
      <c r="AG7" s="96" t="str">
        <f>IFERROR(IF($E7="Yes","IPP",VLOOKUP($L7,'FLA Reading Logic'!$A$13:$K$19,VLOOKUP(AE$1,'FLA Reading Logic'!$J$22:$K$31,2,FALSE),FALSE)),"Set Grade")</f>
        <v>Set Grade</v>
      </c>
      <c r="AH7" s="98" t="str">
        <f>IF($E7="Yes","IPP",IFERROR(IF(AND(AE7&gt;AF7,AE7&lt;AG7),"0",(VLOOKUP(AE7,'FLA Reading Logic'!$A$22:$B$53,2,FALSE))-(IF(VLOOKUP(AE7,'FLA Reading Logic'!$A$22:$B$53,2,FALSE)&lt;=VLOOKUP(AF7,'FLA Reading Logic'!$A$22:$B$53,2,FALSE),VLOOKUP(AF7,'FLA Reading Logic'!$A$22:$B$53,2,FALSE),IF(VLOOKUP(AE7,'FLA Reading Logic'!$A$22:$B$53,2,FALSE)&gt;=VLOOKUP(AG7,'FLA Reading Logic'!$A$22:$B$53,2,FALSE),VLOOKUP(AG7,'FLA Reading Logic'!$A$22:$B$53,2,FALSE),"No Score")))),"No Value"))</f>
        <v>No Value</v>
      </c>
      <c r="AI7" s="96" t="str">
        <f>IFERROR(VLOOKUP(AE7,'FLA Reading Logic'!$A$22:$B$48,2,FALSE)-VLOOKUP($F7,'FLA Reading Logic'!$A$22:$B$48,2,FALSE),"No Value")</f>
        <v>No Value</v>
      </c>
      <c r="AJ7" s="96" t="str">
        <f>IF($E7="Yes","IPP",IFERROR(IF(AND(AE7&gt;$J7,AE7&lt;$K7),"0",(VLOOKUP(AE7,'FLA Reading Logic'!$A$22:$B$53,2,FALSE))-(IF(VLOOKUP(AE7,'FLA Reading Logic'!$A$22:$B$53,2,FALSE)&lt;=VLOOKUP($J7,'FLA Reading Logic'!$A$22:$B$53,2,FALSE),VLOOKUP($J7,'FLA Reading Logic'!$A$22:$B$53,2,FALSE),IF(VLOOKUP(AE7,'FLA Reading Logic'!$A$22:$B$53,2,FALSE)&gt;=VLOOKUP($K7,'FLA Reading Logic'!$A$22:$B$53,2,FALSE),VLOOKUP($K7,'FLA Reading Logic'!$A$22:$B$53,2,FALSE),"No Score")))),"No Value"))</f>
        <v>No Value</v>
      </c>
      <c r="AK7" s="179"/>
      <c r="AL7" s="96" t="str">
        <f>IFERROR(IF($E7="Yes","IPP",VLOOKUP($L7,'FLA Reading Logic'!$A$3:$K$9,VLOOKUP(AK$1,'FLA Reading Logic'!$J$22:$K$31,2,FALSE),FALSE)),"Set Grade")</f>
        <v>Set Grade</v>
      </c>
      <c r="AM7" s="96" t="str">
        <f>IFERROR(IF($E7="Yes","IPP",VLOOKUP($L7,'FLA Reading Logic'!$A$13:$K$19,VLOOKUP(AK$1,'FLA Reading Logic'!$J$22:$K$31,2,FALSE),FALSE)),"Set Grade")</f>
        <v>Set Grade</v>
      </c>
      <c r="AN7" s="98" t="str">
        <f>IF($E7="Yes","IPP",IFERROR(IF(AND(AK7&gt;AL7,AK7&lt;AM7),"0",(VLOOKUP(AK7,'FLA Reading Logic'!$A$22:$B$53,2,FALSE))-(IF(VLOOKUP(AK7,'FLA Reading Logic'!$A$22:$B$53,2,FALSE)&lt;=VLOOKUP(AL7,'FLA Reading Logic'!$A$22:$B$53,2,FALSE),VLOOKUP(AL7,'FLA Reading Logic'!$A$22:$B$53,2,FALSE),IF(VLOOKUP(AK7,'FLA Reading Logic'!$A$22:$B$53,2,FALSE)&gt;=VLOOKUP(AM7,'FLA Reading Logic'!$A$22:$B$53,2,FALSE),VLOOKUP(AM7,'FLA Reading Logic'!$A$22:$B$53,2,FALSE),"No Score")))),"No Value"))</f>
        <v>No Value</v>
      </c>
      <c r="AO7" s="96" t="str">
        <f>IFERROR(VLOOKUP(AK7,'FLA Reading Logic'!$A$22:$B$48,2,FALSE)-VLOOKUP($F7,'FLA Reading Logic'!$A$22:$B$48,2,FALSE),"No Value")</f>
        <v>No Value</v>
      </c>
      <c r="AP7" s="96" t="str">
        <f>IF($E7="Yes","IPP",IFERROR(IF(AND(AK7&gt;$J7,AK7&lt;$K7),"0",(VLOOKUP(AK7,'FLA Reading Logic'!$A$22:$B$53,2,FALSE))-(IF(VLOOKUP(AK7,'FLA Reading Logic'!$A$22:$B$53,2,FALSE)&lt;=VLOOKUP($J7,'FLA Reading Logic'!$A$22:$B$53,2,FALSE),VLOOKUP($J7,'FLA Reading Logic'!$A$22:$B$53,2,FALSE),IF(VLOOKUP(AK7,'FLA Reading Logic'!$A$22:$B$53,2,FALSE)&gt;=VLOOKUP($K7,'FLA Reading Logic'!$A$22:$B$53,2,FALSE),VLOOKUP($K7,'FLA Reading Logic'!$A$22:$B$53,2,FALSE),"No Score")))),"No Value"))</f>
        <v>No Value</v>
      </c>
      <c r="AQ7" s="179"/>
      <c r="AR7" s="96" t="str">
        <f>IFERROR(IF($E7="Yes","IPP",VLOOKUP($L7,'FLA Reading Logic'!$A$3:$K$9,VLOOKUP(AQ$1,'FLA Reading Logic'!$J$22:$K$31,2,FALSE),FALSE)),"Set Grade")</f>
        <v>Set Grade</v>
      </c>
      <c r="AS7" s="96" t="str">
        <f>IFERROR(IF($E7="Yes","IPP",VLOOKUP($L7,'FLA Reading Logic'!$A$13:$K$19,VLOOKUP(AQ$1,'FLA Reading Logic'!$J$22:$K$31,2,FALSE),FALSE)),"Set Grade")</f>
        <v>Set Grade</v>
      </c>
      <c r="AT7" s="98" t="str">
        <f>IF($E7="Yes","IPP",IFERROR(IF(AND(AQ7&gt;AR7,AQ7&lt;AS7),"0",(VLOOKUP(AQ7,'FLA Reading Logic'!$A$22:$B$53,2,FALSE))-(IF(VLOOKUP(AQ7,'FLA Reading Logic'!$A$22:$B$53,2,FALSE)&lt;=VLOOKUP(AR7,'FLA Reading Logic'!$A$22:$B$53,2,FALSE),VLOOKUP(AR7,'FLA Reading Logic'!$A$22:$B$53,2,FALSE),IF(VLOOKUP(AQ7,'FLA Reading Logic'!$A$22:$B$53,2,FALSE)&gt;=VLOOKUP(AS7,'FLA Reading Logic'!$A$22:$B$53,2,FALSE),VLOOKUP(AS7,'FLA Reading Logic'!$A$22:$B$53,2,FALSE),"No Score")))),"No Value"))</f>
        <v>No Value</v>
      </c>
      <c r="AU7" s="96" t="str">
        <f>IFERROR(VLOOKUP(AQ7,'FLA Reading Logic'!$A$22:$B$48,2,FALSE)-VLOOKUP($F7,'FLA Reading Logic'!$A$22:$B$48,2,FALSE),"No Value")</f>
        <v>No Value</v>
      </c>
      <c r="AV7" s="96" t="str">
        <f>IF($E7="Yes","IPP",IFERROR(IF(AND(AQ7&gt;$J7,AQ7&lt;$K7),"0",(VLOOKUP(AQ7,'FLA Reading Logic'!$A$22:$B$53,2,FALSE))-(IF(VLOOKUP(AQ7,'FLA Reading Logic'!$A$22:$B$53,2,FALSE)&lt;=VLOOKUP($J7,'FLA Reading Logic'!$A$22:$B$53,2,FALSE),VLOOKUP($J7,'FLA Reading Logic'!$A$22:$B$53,2,FALSE),IF(VLOOKUP(AQ7,'FLA Reading Logic'!$A$22:$B$53,2,FALSE)&gt;=VLOOKUP($K7,'FLA Reading Logic'!$A$22:$B$53,2,FALSE),VLOOKUP($K7,'FLA Reading Logic'!$A$22:$B$53,2,FALSE),"No Score")))),"No Value"))</f>
        <v>No Value</v>
      </c>
      <c r="AW7" s="179"/>
      <c r="AX7" s="96" t="str">
        <f>IFERROR(IF($E7="Yes","IPP",VLOOKUP($L7,'FLA Reading Logic'!$A$3:$K$9,VLOOKUP(AW$1,'FLA Reading Logic'!$J$22:$K$31,2,FALSE),FALSE)),"Set Grade")</f>
        <v>Set Grade</v>
      </c>
      <c r="AY7" s="96" t="str">
        <f>IFERROR(IF($E7="Yes","IPP",VLOOKUP($L7,'FLA Reading Logic'!$A$13:$K$19,VLOOKUP(AW$1,'FLA Reading Logic'!$J$22:$K$31,2,FALSE),FALSE)),"Set Grade")</f>
        <v>Set Grade</v>
      </c>
      <c r="AZ7" s="98" t="str">
        <f>IF($E7="Yes","IPP",IFERROR(IF(AND(AW7&gt;AX7,AW7&lt;AY7),"0",(VLOOKUP(AW7,'FLA Reading Logic'!$A$22:$B$53,2,FALSE))-(IF(VLOOKUP(AW7,'FLA Reading Logic'!$A$22:$B$53,2,FALSE)&lt;=VLOOKUP(AX7,'FLA Reading Logic'!$A$22:$B$53,2,FALSE),VLOOKUP(AX7,'FLA Reading Logic'!$A$22:$B$53,2,FALSE),IF(VLOOKUP(AW7,'FLA Reading Logic'!$A$22:$B$53,2,FALSE)&gt;=VLOOKUP(AY7,'FLA Reading Logic'!$A$22:$B$53,2,FALSE),VLOOKUP(AY7,'FLA Reading Logic'!$A$22:$B$53,2,FALSE),"No Score")))),"No Value"))</f>
        <v>No Value</v>
      </c>
      <c r="BA7" s="96" t="str">
        <f>IFERROR(VLOOKUP(AW7,'FLA Reading Logic'!$A$22:$B$48,2,FALSE)-VLOOKUP($F7,'FLA Reading Logic'!$A$22:$B$48,2,FALSE),"No Value")</f>
        <v>No Value</v>
      </c>
      <c r="BB7" s="96" t="str">
        <f>IF($E7="Yes","IPP",IFERROR(IF(AND(AW7&gt;$J7,AW7&lt;$K7),"0",(VLOOKUP(AW7,'FLA Reading Logic'!$A$22:$B$53,2,FALSE))-(IF(VLOOKUP(AW7,'FLA Reading Logic'!$A$22:$B$53,2,FALSE)&lt;=VLOOKUP($J7,'FLA Reading Logic'!$A$22:$B$53,2,FALSE),VLOOKUP($J7,'FLA Reading Logic'!$A$22:$B$53,2,FALSE),IF(VLOOKUP(AW7,'FLA Reading Logic'!$A$22:$B$53,2,FALSE)&gt;=VLOOKUP($K7,'FLA Reading Logic'!$A$22:$B$53,2,FALSE),VLOOKUP($K7,'FLA Reading Logic'!$A$22:$B$53,2,FALSE),"No Score")))),"No Value"))</f>
        <v>No Value</v>
      </c>
    </row>
    <row r="8" spans="1:54" ht="26.25" customHeight="1" thickBot="1" x14ac:dyDescent="0.3">
      <c r="A8" s="96"/>
      <c r="B8" s="98"/>
      <c r="C8" s="98"/>
      <c r="D8" s="98"/>
      <c r="E8" s="179"/>
      <c r="F8" s="92"/>
      <c r="G8" s="98" t="str">
        <f>IFERROR(IF($E8="Yes","IPP",VLOOKUP($J8,'ELA Reading Logic'!$A$3:$K$9,VLOOKUP("September",'ELA Reading Logic'!$J$22:$K$31,2,FALSE),FALSE)),"Set Grade")</f>
        <v>Set Grade</v>
      </c>
      <c r="H8" s="98" t="str">
        <f>IFERROR(IF($E8="Yes","IPP",VLOOKUP($J8,'ELA Reading Logic'!$A$13:$K$19,VLOOKUP("September",'ELA Reading Logic'!$J$22:$K$31,2,FALSE),FALSE)),"Set Grade")</f>
        <v>Set Grade</v>
      </c>
      <c r="I8" s="98" t="str">
        <f>IF($E8="Yes","IPP",IFERROR(IF(AND(F8&gt;G8,F8&lt;H8),"0",(VLOOKUP(F8,'ELA Reading Logic'!$A$22:$B$48,2,FALSE))-(IF(VLOOKUP(F8,'ELA Reading Logic'!$A$22:$B$48,2,FALSE)&lt;=VLOOKUP(G8,'ELA Reading Logic'!$A$22:$B$48,2,FALSE),VLOOKUP(G8,'ELA Reading Logic'!$A$22:$B$48,2,FALSE),IF(VLOOKUP(F8,'ELA Reading Logic'!$A$22:$B$48,2,FALSE)&gt;=VLOOKUP(H8,'ELA Reading Logic'!$A$22:$B$48,2,FALSE),VLOOKUP(H8,'ELA Reading Logic'!$A$22:$B$48,2,FALSE),"No Score")))),"No Value"))</f>
        <v>No Value</v>
      </c>
      <c r="J8" s="96" t="str">
        <f>IFERROR(VLOOKUP($L8,'FLA Reading Logic'!$A$3:$K$9,11,FALSE),"Set Grade")</f>
        <v>Set Grade</v>
      </c>
      <c r="K8" s="96" t="str">
        <f>IFERROR(VLOOKUP($L8,'FLA Reading Logic'!$A$13:$K$19,11,FALSE),"Set Grade")</f>
        <v>Set Grade</v>
      </c>
      <c r="L8" s="98"/>
      <c r="M8" s="98"/>
      <c r="N8" s="98"/>
      <c r="O8" s="98"/>
      <c r="P8" s="98"/>
      <c r="Q8" s="98"/>
      <c r="R8" s="181"/>
      <c r="S8" s="182"/>
      <c r="T8" s="98" t="str">
        <f>IFERROR(IF($E8="Yes","IPP",VLOOKUP($L8,'FLA Reading Logic'!$A$3:$K$9,VLOOKUP(S$1,'FLA Reading Logic'!$J$22:$K$31,2,FALSE),FALSE)),"Set Grade")</f>
        <v>Set Grade</v>
      </c>
      <c r="U8" s="98" t="str">
        <f>IFERROR(IF($E8="Yes","IPP",VLOOKUP($L8,'FLA Reading Logic'!$A$13:$K$19,VLOOKUP(S$1,'FLA Reading Logic'!$J$22:$K$31,2,FALSE),FALSE)),"Set Grade")</f>
        <v>Set Grade</v>
      </c>
      <c r="V8" s="98" t="str">
        <f>IF($E8="Yes","IPP",IFERROR(IF(AND(S8&gt;T8,S8&lt;U8),"0",(VLOOKUP(S8,'FLA Reading Logic'!$A$22:$B$53,2,FALSE))-(IF(VLOOKUP(S8,'FLA Reading Logic'!$A$22:$B$53,2,FALSE)&lt;=VLOOKUP(T8,'FLA Reading Logic'!$A$22:$B$53,2,FALSE),VLOOKUP(T8,'FLA Reading Logic'!$A$22:$B$53,2,FALSE),IF(VLOOKUP(S8,'FLA Reading Logic'!$A$22:$B$53,2,FALSE)&gt;=VLOOKUP(U8,'FLA Reading Logic'!$A$22:$B$53,2,FALSE),VLOOKUP(U8,'FLA Reading Logic'!$A$22:$B$53,2,FALSE),"No Score")))),"No Value"))</f>
        <v>No Value</v>
      </c>
      <c r="W8" s="98" t="str">
        <f>IFERROR(VLOOKUP(S8,'FLA Reading Logic'!$A$22:$B$53,2,FALSE)-VLOOKUP($F8,'FLA Reading Logic'!$A$22:$B$53,2,FALSE),"No Value")</f>
        <v>No Value</v>
      </c>
      <c r="X8" s="96" t="str">
        <f>IF($E8="Yes","IPP",IFERROR(IF(AND(S8&gt;$J8,S8&lt;$K8),"0",(VLOOKUP(S8,'FLA Reading Logic'!$A$22:$B$53,2,FALSE))-(IF(VLOOKUP(S8,'FLA Reading Logic'!$A$22:$B$53,2,FALSE)&lt;=VLOOKUP($J8,'FLA Reading Logic'!$A$22:$B$53,2,FALSE),VLOOKUP($J8,'FLA Reading Logic'!$A$22:$B$53,2,FALSE),IF(VLOOKUP(S8,'FLA Reading Logic'!$A$22:$B$53,2,FALSE)&gt;=VLOOKUP($K8,'FLA Reading Logic'!$A$22:$B$53,2,FALSE),VLOOKUP($K8,'FLA Reading Logic'!$A$22:$B$53,2,FALSE),"No Score")))),"No Value"))</f>
        <v>No Value</v>
      </c>
      <c r="Y8" s="179"/>
      <c r="Z8" s="98" t="str">
        <f>IFERROR(IF($E8="Yes","IPP",VLOOKUP($L8,'FLA Reading Logic'!$A$3:$K$9,VLOOKUP(Y$1,'FLA Reading Logic'!$J$22:$K$31,2,FALSE),FALSE)),"Set Grade")</f>
        <v>Set Grade</v>
      </c>
      <c r="AA8" s="98" t="str">
        <f>IFERROR(IF($E8="Yes","IPP",VLOOKUP($L8,'FLA Reading Logic'!$A$13:$K$19,VLOOKUP(Y$1,'FLA Reading Logic'!$J$22:$K$31,2,FALSE),FALSE)),"Set Grade")</f>
        <v>Set Grade</v>
      </c>
      <c r="AB8" s="98" t="str">
        <f>IF($E8="Yes","IPP",IFERROR(IF(AND(Y8&gt;Z8,Y8&lt;AA8),"0",(VLOOKUP(Y8,'FLA Reading Logic'!$A$22:$B$53,2,FALSE))-(IF(VLOOKUP(Y8,'FLA Reading Logic'!$A$22:$B$53,2,FALSE)&lt;=VLOOKUP(Z8,'FLA Reading Logic'!$A$22:$B$53,2,FALSE),VLOOKUP(Z8,'FLA Reading Logic'!$A$22:$B$53,2,FALSE),IF(VLOOKUP(Y8,'FLA Reading Logic'!$A$22:$B$53,2,FALSE)&gt;=VLOOKUP(AA8,'FLA Reading Logic'!$A$22:$B$53,2,FALSE),VLOOKUP(AA8,'FLA Reading Logic'!$A$22:$B$53,2,FALSE),"No Score")))),"No Value"))</f>
        <v>No Value</v>
      </c>
      <c r="AC8" s="97" t="str">
        <f>IFERROR(VLOOKUP(Y8,'FLA Reading Logic'!$A$22:$B$48,2,FALSE)-VLOOKUP($F8,'FLA Reading Logic'!$A$22:$B$48,2,FALSE),"No Value")</f>
        <v>No Value</v>
      </c>
      <c r="AD8" s="96" t="str">
        <f>IF($E8="Yes","IPP",IFERROR(IF(AND(Y8&gt;$J8,Y8&lt;$K8),"0",(VLOOKUP(Y8,'FLA Reading Logic'!$A$22:$B$53,2,FALSE))-(IF(VLOOKUP(Y8,'FLA Reading Logic'!$A$22:$B$53,2,FALSE)&lt;=VLOOKUP($J8,'FLA Reading Logic'!$A$22:$B$53,2,FALSE),VLOOKUP($J8,'FLA Reading Logic'!$A$22:$B$53,2,FALSE),IF(VLOOKUP(Y8,'FLA Reading Logic'!$A$22:$B$53,2,FALSE)&gt;=VLOOKUP($K8,'FLA Reading Logic'!$A$22:$B$53,2,FALSE),VLOOKUP($K8,'FLA Reading Logic'!$A$22:$B$53,2,FALSE),"No Score")))),"No Value"))</f>
        <v>No Value</v>
      </c>
      <c r="AE8" s="179"/>
      <c r="AF8" s="96" t="str">
        <f>IFERROR(IF($E8="Yes","IPP",VLOOKUP($L8,'FLA Reading Logic'!$A$3:$K$9,VLOOKUP(AE$1,'FLA Reading Logic'!$J$22:$K$31,2,FALSE),FALSE)),"Set Grade")</f>
        <v>Set Grade</v>
      </c>
      <c r="AG8" s="96" t="str">
        <f>IFERROR(IF($E8="Yes","IPP",VLOOKUP($L8,'FLA Reading Logic'!$A$13:$K$19,VLOOKUP(AE$1,'FLA Reading Logic'!$J$22:$K$31,2,FALSE),FALSE)),"Set Grade")</f>
        <v>Set Grade</v>
      </c>
      <c r="AH8" s="98" t="str">
        <f>IF($E8="Yes","IPP",IFERROR(IF(AND(AE8&gt;AF8,AE8&lt;AG8),"0",(VLOOKUP(AE8,'FLA Reading Logic'!$A$22:$B$53,2,FALSE))-(IF(VLOOKUP(AE8,'FLA Reading Logic'!$A$22:$B$53,2,FALSE)&lt;=VLOOKUP(AF8,'FLA Reading Logic'!$A$22:$B$53,2,FALSE),VLOOKUP(AF8,'FLA Reading Logic'!$A$22:$B$53,2,FALSE),IF(VLOOKUP(AE8,'FLA Reading Logic'!$A$22:$B$53,2,FALSE)&gt;=VLOOKUP(AG8,'FLA Reading Logic'!$A$22:$B$53,2,FALSE),VLOOKUP(AG8,'FLA Reading Logic'!$A$22:$B$53,2,FALSE),"No Score")))),"No Value"))</f>
        <v>No Value</v>
      </c>
      <c r="AI8" s="96" t="str">
        <f>IFERROR(VLOOKUP(AE8,'FLA Reading Logic'!$A$22:$B$48,2,FALSE)-VLOOKUP($F8,'FLA Reading Logic'!$A$22:$B$48,2,FALSE),"No Value")</f>
        <v>No Value</v>
      </c>
      <c r="AJ8" s="96" t="str">
        <f>IF($E8="Yes","IPP",IFERROR(IF(AND(AE8&gt;$J8,AE8&lt;$K8),"0",(VLOOKUP(AE8,'FLA Reading Logic'!$A$22:$B$53,2,FALSE))-(IF(VLOOKUP(AE8,'FLA Reading Logic'!$A$22:$B$53,2,FALSE)&lt;=VLOOKUP($J8,'FLA Reading Logic'!$A$22:$B$53,2,FALSE),VLOOKUP($J8,'FLA Reading Logic'!$A$22:$B$53,2,FALSE),IF(VLOOKUP(AE8,'FLA Reading Logic'!$A$22:$B$53,2,FALSE)&gt;=VLOOKUP($K8,'FLA Reading Logic'!$A$22:$B$53,2,FALSE),VLOOKUP($K8,'FLA Reading Logic'!$A$22:$B$53,2,FALSE),"No Score")))),"No Value"))</f>
        <v>No Value</v>
      </c>
      <c r="AK8" s="179"/>
      <c r="AL8" s="96" t="str">
        <f>IFERROR(IF($E8="Yes","IPP",VLOOKUP($L8,'FLA Reading Logic'!$A$3:$K$9,VLOOKUP(AK$1,'FLA Reading Logic'!$J$22:$K$31,2,FALSE),FALSE)),"Set Grade")</f>
        <v>Set Grade</v>
      </c>
      <c r="AM8" s="96" t="str">
        <f>IFERROR(IF($E8="Yes","IPP",VLOOKUP($L8,'FLA Reading Logic'!$A$13:$K$19,VLOOKUP(AK$1,'FLA Reading Logic'!$J$22:$K$31,2,FALSE),FALSE)),"Set Grade")</f>
        <v>Set Grade</v>
      </c>
      <c r="AN8" s="98" t="str">
        <f>IF($E8="Yes","IPP",IFERROR(IF(AND(AK8&gt;AL8,AK8&lt;AM8),"0",(VLOOKUP(AK8,'FLA Reading Logic'!$A$22:$B$53,2,FALSE))-(IF(VLOOKUP(AK8,'FLA Reading Logic'!$A$22:$B$53,2,FALSE)&lt;=VLOOKUP(AL8,'FLA Reading Logic'!$A$22:$B$53,2,FALSE),VLOOKUP(AL8,'FLA Reading Logic'!$A$22:$B$53,2,FALSE),IF(VLOOKUP(AK8,'FLA Reading Logic'!$A$22:$B$53,2,FALSE)&gt;=VLOOKUP(AM8,'FLA Reading Logic'!$A$22:$B$53,2,FALSE),VLOOKUP(AM8,'FLA Reading Logic'!$A$22:$B$53,2,FALSE),"No Score")))),"No Value"))</f>
        <v>No Value</v>
      </c>
      <c r="AO8" s="96" t="str">
        <f>IFERROR(VLOOKUP(AK8,'FLA Reading Logic'!$A$22:$B$48,2,FALSE)-VLOOKUP($F8,'FLA Reading Logic'!$A$22:$B$48,2,FALSE),"No Value")</f>
        <v>No Value</v>
      </c>
      <c r="AP8" s="96" t="str">
        <f>IF($E8="Yes","IPP",IFERROR(IF(AND(AK8&gt;$J8,AK8&lt;$K8),"0",(VLOOKUP(AK8,'FLA Reading Logic'!$A$22:$B$53,2,FALSE))-(IF(VLOOKUP(AK8,'FLA Reading Logic'!$A$22:$B$53,2,FALSE)&lt;=VLOOKUP($J8,'FLA Reading Logic'!$A$22:$B$53,2,FALSE),VLOOKUP($J8,'FLA Reading Logic'!$A$22:$B$53,2,FALSE),IF(VLOOKUP(AK8,'FLA Reading Logic'!$A$22:$B$53,2,FALSE)&gt;=VLOOKUP($K8,'FLA Reading Logic'!$A$22:$B$53,2,FALSE),VLOOKUP($K8,'FLA Reading Logic'!$A$22:$B$53,2,FALSE),"No Score")))),"No Value"))</f>
        <v>No Value</v>
      </c>
      <c r="AQ8" s="179"/>
      <c r="AR8" s="96" t="str">
        <f>IFERROR(IF($E8="Yes","IPP",VLOOKUP($L8,'FLA Reading Logic'!$A$3:$K$9,VLOOKUP(AQ$1,'FLA Reading Logic'!$J$22:$K$31,2,FALSE),FALSE)),"Set Grade")</f>
        <v>Set Grade</v>
      </c>
      <c r="AS8" s="96" t="str">
        <f>IFERROR(IF($E8="Yes","IPP",VLOOKUP($L8,'FLA Reading Logic'!$A$13:$K$19,VLOOKUP(AQ$1,'FLA Reading Logic'!$J$22:$K$31,2,FALSE),FALSE)),"Set Grade")</f>
        <v>Set Grade</v>
      </c>
      <c r="AT8" s="98" t="str">
        <f>IF($E8="Yes","IPP",IFERROR(IF(AND(AQ8&gt;AR8,AQ8&lt;AS8),"0",(VLOOKUP(AQ8,'FLA Reading Logic'!$A$22:$B$53,2,FALSE))-(IF(VLOOKUP(AQ8,'FLA Reading Logic'!$A$22:$B$53,2,FALSE)&lt;=VLOOKUP(AR8,'FLA Reading Logic'!$A$22:$B$53,2,FALSE),VLOOKUP(AR8,'FLA Reading Logic'!$A$22:$B$53,2,FALSE),IF(VLOOKUP(AQ8,'FLA Reading Logic'!$A$22:$B$53,2,FALSE)&gt;=VLOOKUP(AS8,'FLA Reading Logic'!$A$22:$B$53,2,FALSE),VLOOKUP(AS8,'FLA Reading Logic'!$A$22:$B$53,2,FALSE),"No Score")))),"No Value"))</f>
        <v>No Value</v>
      </c>
      <c r="AU8" s="96" t="str">
        <f>IFERROR(VLOOKUP(AQ8,'FLA Reading Logic'!$A$22:$B$48,2,FALSE)-VLOOKUP($F8,'FLA Reading Logic'!$A$22:$B$48,2,FALSE),"No Value")</f>
        <v>No Value</v>
      </c>
      <c r="AV8" s="96" t="str">
        <f>IF($E8="Yes","IPP",IFERROR(IF(AND(AQ8&gt;$J8,AQ8&lt;$K8),"0",(VLOOKUP(AQ8,'FLA Reading Logic'!$A$22:$B$53,2,FALSE))-(IF(VLOOKUP(AQ8,'FLA Reading Logic'!$A$22:$B$53,2,FALSE)&lt;=VLOOKUP($J8,'FLA Reading Logic'!$A$22:$B$53,2,FALSE),VLOOKUP($J8,'FLA Reading Logic'!$A$22:$B$53,2,FALSE),IF(VLOOKUP(AQ8,'FLA Reading Logic'!$A$22:$B$53,2,FALSE)&gt;=VLOOKUP($K8,'FLA Reading Logic'!$A$22:$B$53,2,FALSE),VLOOKUP($K8,'FLA Reading Logic'!$A$22:$B$53,2,FALSE),"No Score")))),"No Value"))</f>
        <v>No Value</v>
      </c>
      <c r="AW8" s="179"/>
      <c r="AX8" s="96" t="str">
        <f>IFERROR(IF($E8="Yes","IPP",VLOOKUP($L8,'FLA Reading Logic'!$A$3:$K$9,VLOOKUP(AW$1,'FLA Reading Logic'!$J$22:$K$31,2,FALSE),FALSE)),"Set Grade")</f>
        <v>Set Grade</v>
      </c>
      <c r="AY8" s="96" t="str">
        <f>IFERROR(IF($E8="Yes","IPP",VLOOKUP($L8,'FLA Reading Logic'!$A$13:$K$19,VLOOKUP(AW$1,'FLA Reading Logic'!$J$22:$K$31,2,FALSE),FALSE)),"Set Grade")</f>
        <v>Set Grade</v>
      </c>
      <c r="AZ8" s="98" t="str">
        <f>IF($E8="Yes","IPP",IFERROR(IF(AND(AW8&gt;AX8,AW8&lt;AY8),"0",(VLOOKUP(AW8,'FLA Reading Logic'!$A$22:$B$53,2,FALSE))-(IF(VLOOKUP(AW8,'FLA Reading Logic'!$A$22:$B$53,2,FALSE)&lt;=VLOOKUP(AX8,'FLA Reading Logic'!$A$22:$B$53,2,FALSE),VLOOKUP(AX8,'FLA Reading Logic'!$A$22:$B$53,2,FALSE),IF(VLOOKUP(AW8,'FLA Reading Logic'!$A$22:$B$53,2,FALSE)&gt;=VLOOKUP(AY8,'FLA Reading Logic'!$A$22:$B$53,2,FALSE),VLOOKUP(AY8,'FLA Reading Logic'!$A$22:$B$53,2,FALSE),"No Score")))),"No Value"))</f>
        <v>No Value</v>
      </c>
      <c r="BA8" s="96" t="str">
        <f>IFERROR(VLOOKUP(AW8,'FLA Reading Logic'!$A$22:$B$48,2,FALSE)-VLOOKUP($F8,'FLA Reading Logic'!$A$22:$B$48,2,FALSE),"No Value")</f>
        <v>No Value</v>
      </c>
      <c r="BB8" s="96" t="str">
        <f>IF($E8="Yes","IPP",IFERROR(IF(AND(AW8&gt;$J8,AW8&lt;$K8),"0",(VLOOKUP(AW8,'FLA Reading Logic'!$A$22:$B$53,2,FALSE))-(IF(VLOOKUP(AW8,'FLA Reading Logic'!$A$22:$B$53,2,FALSE)&lt;=VLOOKUP($J8,'FLA Reading Logic'!$A$22:$B$53,2,FALSE),VLOOKUP($J8,'FLA Reading Logic'!$A$22:$B$53,2,FALSE),IF(VLOOKUP(AW8,'FLA Reading Logic'!$A$22:$B$53,2,FALSE)&gt;=VLOOKUP($K8,'FLA Reading Logic'!$A$22:$B$53,2,FALSE),VLOOKUP($K8,'FLA Reading Logic'!$A$22:$B$53,2,FALSE),"No Score")))),"No Value"))</f>
        <v>No Value</v>
      </c>
    </row>
    <row r="9" spans="1:54" ht="26.25" customHeight="1" thickBot="1" x14ac:dyDescent="0.3">
      <c r="A9" s="96"/>
      <c r="B9" s="98"/>
      <c r="C9" s="98"/>
      <c r="D9" s="98"/>
      <c r="E9" s="179"/>
      <c r="F9" s="92"/>
      <c r="G9" s="98" t="str">
        <f>IFERROR(IF($E9="Yes","IPP",VLOOKUP($J9,'ELA Reading Logic'!$A$3:$K$9,VLOOKUP("September",'ELA Reading Logic'!$J$22:$K$31,2,FALSE),FALSE)),"Set Grade")</f>
        <v>Set Grade</v>
      </c>
      <c r="H9" s="98" t="str">
        <f>IFERROR(IF($E9="Yes","IPP",VLOOKUP($J9,'ELA Reading Logic'!$A$13:$K$19,VLOOKUP("September",'ELA Reading Logic'!$J$22:$K$31,2,FALSE),FALSE)),"Set Grade")</f>
        <v>Set Grade</v>
      </c>
      <c r="I9" s="98" t="str">
        <f>IF($E9="Yes","IPP",IFERROR(IF(AND(F9&gt;G9,F9&lt;H9),"0",(VLOOKUP(F9,'ELA Reading Logic'!$A$22:$B$48,2,FALSE))-(IF(VLOOKUP(F9,'ELA Reading Logic'!$A$22:$B$48,2,FALSE)&lt;=VLOOKUP(G9,'ELA Reading Logic'!$A$22:$B$48,2,FALSE),VLOOKUP(G9,'ELA Reading Logic'!$A$22:$B$48,2,FALSE),IF(VLOOKUP(F9,'ELA Reading Logic'!$A$22:$B$48,2,FALSE)&gt;=VLOOKUP(H9,'ELA Reading Logic'!$A$22:$B$48,2,FALSE),VLOOKUP(H9,'ELA Reading Logic'!$A$22:$B$48,2,FALSE),"No Score")))),"No Value"))</f>
        <v>No Value</v>
      </c>
      <c r="J9" s="96" t="str">
        <f>IFERROR(VLOOKUP($L9,'FLA Reading Logic'!$A$3:$K$9,11,FALSE),"Set Grade")</f>
        <v>Set Grade</v>
      </c>
      <c r="K9" s="96" t="str">
        <f>IFERROR(VLOOKUP($L9,'FLA Reading Logic'!$A$13:$K$19,11,FALSE),"Set Grade")</f>
        <v>Set Grade</v>
      </c>
      <c r="L9" s="180"/>
      <c r="M9" s="98"/>
      <c r="N9" s="98"/>
      <c r="O9" s="98"/>
      <c r="P9" s="98"/>
      <c r="Q9" s="98"/>
      <c r="R9" s="181"/>
      <c r="S9" s="182"/>
      <c r="T9" s="98" t="str">
        <f>IFERROR(IF($E9="Yes","IPP",VLOOKUP($L9,'FLA Reading Logic'!$A$3:$K$9,VLOOKUP(S$1,'FLA Reading Logic'!$J$22:$K$31,2,FALSE),FALSE)),"Set Grade")</f>
        <v>Set Grade</v>
      </c>
      <c r="U9" s="98" t="str">
        <f>IFERROR(IF($E9="Yes","IPP",VLOOKUP($L9,'FLA Reading Logic'!$A$13:$K$19,VLOOKUP(S$1,'FLA Reading Logic'!$J$22:$K$31,2,FALSE),FALSE)),"Set Grade")</f>
        <v>Set Grade</v>
      </c>
      <c r="V9" s="98" t="str">
        <f>IF($E9="Yes","IPP",IFERROR(IF(AND(S9&gt;T9,S9&lt;U9),"0",(VLOOKUP(S9,'FLA Reading Logic'!$A$22:$B$53,2,FALSE))-(IF(VLOOKUP(S9,'FLA Reading Logic'!$A$22:$B$53,2,FALSE)&lt;=VLOOKUP(T9,'FLA Reading Logic'!$A$22:$B$53,2,FALSE),VLOOKUP(T9,'FLA Reading Logic'!$A$22:$B$53,2,FALSE),IF(VLOOKUP(S9,'FLA Reading Logic'!$A$22:$B$53,2,FALSE)&gt;=VLOOKUP(U9,'FLA Reading Logic'!$A$22:$B$53,2,FALSE),VLOOKUP(U9,'FLA Reading Logic'!$A$22:$B$53,2,FALSE),"No Score")))),"No Value"))</f>
        <v>No Value</v>
      </c>
      <c r="W9" s="98" t="str">
        <f>IFERROR(VLOOKUP(S9,'FLA Reading Logic'!$A$22:$B$53,2,FALSE)-VLOOKUP($F9,'FLA Reading Logic'!$A$22:$B$53,2,FALSE),"No Value")</f>
        <v>No Value</v>
      </c>
      <c r="X9" s="96" t="str">
        <f>IF($E9="Yes","IPP",IFERROR(IF(AND(S9&gt;$J9,S9&lt;$K9),"0",(VLOOKUP(S9,'FLA Reading Logic'!$A$22:$B$53,2,FALSE))-(IF(VLOOKUP(S9,'FLA Reading Logic'!$A$22:$B$53,2,FALSE)&lt;=VLOOKUP($J9,'FLA Reading Logic'!$A$22:$B$53,2,FALSE),VLOOKUP($J9,'FLA Reading Logic'!$A$22:$B$53,2,FALSE),IF(VLOOKUP(S9,'FLA Reading Logic'!$A$22:$B$53,2,FALSE)&gt;=VLOOKUP($K9,'FLA Reading Logic'!$A$22:$B$53,2,FALSE),VLOOKUP($K9,'FLA Reading Logic'!$A$22:$B$53,2,FALSE),"No Score")))),"No Value"))</f>
        <v>No Value</v>
      </c>
      <c r="Y9" s="179"/>
      <c r="Z9" s="98" t="str">
        <f>IFERROR(IF($E9="Yes","IPP",VLOOKUP($L9,'FLA Reading Logic'!$A$3:$K$9,VLOOKUP(Y$1,'FLA Reading Logic'!$J$22:$K$31,2,FALSE),FALSE)),"Set Grade")</f>
        <v>Set Grade</v>
      </c>
      <c r="AA9" s="98" t="str">
        <f>IFERROR(IF($E9="Yes","IPP",VLOOKUP($L9,'FLA Reading Logic'!$A$13:$K$19,VLOOKUP(Y$1,'FLA Reading Logic'!$J$22:$K$31,2,FALSE),FALSE)),"Set Grade")</f>
        <v>Set Grade</v>
      </c>
      <c r="AB9" s="98" t="str">
        <f>IF($E9="Yes","IPP",IFERROR(IF(AND(Y9&gt;Z9,Y9&lt;AA9),"0",(VLOOKUP(Y9,'FLA Reading Logic'!$A$22:$B$53,2,FALSE))-(IF(VLOOKUP(Y9,'FLA Reading Logic'!$A$22:$B$53,2,FALSE)&lt;=VLOOKUP(Z9,'FLA Reading Logic'!$A$22:$B$53,2,FALSE),VLOOKUP(Z9,'FLA Reading Logic'!$A$22:$B$53,2,FALSE),IF(VLOOKUP(Y9,'FLA Reading Logic'!$A$22:$B$53,2,FALSE)&gt;=VLOOKUP(AA9,'FLA Reading Logic'!$A$22:$B$53,2,FALSE),VLOOKUP(AA9,'FLA Reading Logic'!$A$22:$B$53,2,FALSE),"No Score")))),"No Value"))</f>
        <v>No Value</v>
      </c>
      <c r="AC9" s="97" t="str">
        <f>IFERROR(VLOOKUP(Y9,'FLA Reading Logic'!$A$22:$B$48,2,FALSE)-VLOOKUP($F9,'FLA Reading Logic'!$A$22:$B$48,2,FALSE),"No Value")</f>
        <v>No Value</v>
      </c>
      <c r="AD9" s="96" t="str">
        <f>IF($E9="Yes","IPP",IFERROR(IF(AND(Y9&gt;$J9,Y9&lt;$K9),"0",(VLOOKUP(Y9,'FLA Reading Logic'!$A$22:$B$53,2,FALSE))-(IF(VLOOKUP(Y9,'FLA Reading Logic'!$A$22:$B$53,2,FALSE)&lt;=VLOOKUP($J9,'FLA Reading Logic'!$A$22:$B$53,2,FALSE),VLOOKUP($J9,'FLA Reading Logic'!$A$22:$B$53,2,FALSE),IF(VLOOKUP(Y9,'FLA Reading Logic'!$A$22:$B$53,2,FALSE)&gt;=VLOOKUP($K9,'FLA Reading Logic'!$A$22:$B$53,2,FALSE),VLOOKUP($K9,'FLA Reading Logic'!$A$22:$B$53,2,FALSE),"No Score")))),"No Value"))</f>
        <v>No Value</v>
      </c>
      <c r="AE9" s="179"/>
      <c r="AF9" s="96" t="str">
        <f>IFERROR(IF($E9="Yes","IPP",VLOOKUP($L9,'FLA Reading Logic'!$A$3:$K$9,VLOOKUP(AE$1,'FLA Reading Logic'!$J$22:$K$31,2,FALSE),FALSE)),"Set Grade")</f>
        <v>Set Grade</v>
      </c>
      <c r="AG9" s="96" t="str">
        <f>IFERROR(IF($E9="Yes","IPP",VLOOKUP($L9,'FLA Reading Logic'!$A$13:$K$19,VLOOKUP(AE$1,'FLA Reading Logic'!$J$22:$K$31,2,FALSE),FALSE)),"Set Grade")</f>
        <v>Set Grade</v>
      </c>
      <c r="AH9" s="98" t="str">
        <f>IF($E9="Yes","IPP",IFERROR(IF(AND(AE9&gt;AF9,AE9&lt;AG9),"0",(VLOOKUP(AE9,'FLA Reading Logic'!$A$22:$B$53,2,FALSE))-(IF(VLOOKUP(AE9,'FLA Reading Logic'!$A$22:$B$53,2,FALSE)&lt;=VLOOKUP(AF9,'FLA Reading Logic'!$A$22:$B$53,2,FALSE),VLOOKUP(AF9,'FLA Reading Logic'!$A$22:$B$53,2,FALSE),IF(VLOOKUP(AE9,'FLA Reading Logic'!$A$22:$B$53,2,FALSE)&gt;=VLOOKUP(AG9,'FLA Reading Logic'!$A$22:$B$53,2,FALSE),VLOOKUP(AG9,'FLA Reading Logic'!$A$22:$B$53,2,FALSE),"No Score")))),"No Value"))</f>
        <v>No Value</v>
      </c>
      <c r="AI9" s="96" t="str">
        <f>IFERROR(VLOOKUP(AE9,'FLA Reading Logic'!$A$22:$B$48,2,FALSE)-VLOOKUP($F9,'FLA Reading Logic'!$A$22:$B$48,2,FALSE),"No Value")</f>
        <v>No Value</v>
      </c>
      <c r="AJ9" s="96" t="str">
        <f>IF($E9="Yes","IPP",IFERROR(IF(AND(AE9&gt;$J9,AE9&lt;$K9),"0",(VLOOKUP(AE9,'FLA Reading Logic'!$A$22:$B$53,2,FALSE))-(IF(VLOOKUP(AE9,'FLA Reading Logic'!$A$22:$B$53,2,FALSE)&lt;=VLOOKUP($J9,'FLA Reading Logic'!$A$22:$B$53,2,FALSE),VLOOKUP($J9,'FLA Reading Logic'!$A$22:$B$53,2,FALSE),IF(VLOOKUP(AE9,'FLA Reading Logic'!$A$22:$B$53,2,FALSE)&gt;=VLOOKUP($K9,'FLA Reading Logic'!$A$22:$B$53,2,FALSE),VLOOKUP($K9,'FLA Reading Logic'!$A$22:$B$53,2,FALSE),"No Score")))),"No Value"))</f>
        <v>No Value</v>
      </c>
      <c r="AK9" s="179"/>
      <c r="AL9" s="96" t="str">
        <f>IFERROR(IF($E9="Yes","IPP",VLOOKUP($L9,'FLA Reading Logic'!$A$3:$K$9,VLOOKUP(AK$1,'FLA Reading Logic'!$J$22:$K$31,2,FALSE),FALSE)),"Set Grade")</f>
        <v>Set Grade</v>
      </c>
      <c r="AM9" s="96" t="str">
        <f>IFERROR(IF($E9="Yes","IPP",VLOOKUP($L9,'FLA Reading Logic'!$A$13:$K$19,VLOOKUP(AK$1,'FLA Reading Logic'!$J$22:$K$31,2,FALSE),FALSE)),"Set Grade")</f>
        <v>Set Grade</v>
      </c>
      <c r="AN9" s="98" t="str">
        <f>IF($E9="Yes","IPP",IFERROR(IF(AND(AK9&gt;AL9,AK9&lt;AM9),"0",(VLOOKUP(AK9,'FLA Reading Logic'!$A$22:$B$53,2,FALSE))-(IF(VLOOKUP(AK9,'FLA Reading Logic'!$A$22:$B$53,2,FALSE)&lt;=VLOOKUP(AL9,'FLA Reading Logic'!$A$22:$B$53,2,FALSE),VLOOKUP(AL9,'FLA Reading Logic'!$A$22:$B$53,2,FALSE),IF(VLOOKUP(AK9,'FLA Reading Logic'!$A$22:$B$53,2,FALSE)&gt;=VLOOKUP(AM9,'FLA Reading Logic'!$A$22:$B$53,2,FALSE),VLOOKUP(AM9,'FLA Reading Logic'!$A$22:$B$53,2,FALSE),"No Score")))),"No Value"))</f>
        <v>No Value</v>
      </c>
      <c r="AO9" s="96" t="str">
        <f>IFERROR(VLOOKUP(AK9,'FLA Reading Logic'!$A$22:$B$48,2,FALSE)-VLOOKUP($F9,'FLA Reading Logic'!$A$22:$B$48,2,FALSE),"No Value")</f>
        <v>No Value</v>
      </c>
      <c r="AP9" s="96" t="str">
        <f>IF($E9="Yes","IPP",IFERROR(IF(AND(AK9&gt;$J9,AK9&lt;$K9),"0",(VLOOKUP(AK9,'FLA Reading Logic'!$A$22:$B$53,2,FALSE))-(IF(VLOOKUP(AK9,'FLA Reading Logic'!$A$22:$B$53,2,FALSE)&lt;=VLOOKUP($J9,'FLA Reading Logic'!$A$22:$B$53,2,FALSE),VLOOKUP($J9,'FLA Reading Logic'!$A$22:$B$53,2,FALSE),IF(VLOOKUP(AK9,'FLA Reading Logic'!$A$22:$B$53,2,FALSE)&gt;=VLOOKUP($K9,'FLA Reading Logic'!$A$22:$B$53,2,FALSE),VLOOKUP($K9,'FLA Reading Logic'!$A$22:$B$53,2,FALSE),"No Score")))),"No Value"))</f>
        <v>No Value</v>
      </c>
      <c r="AQ9" s="179"/>
      <c r="AR9" s="96" t="str">
        <f>IFERROR(IF($E9="Yes","IPP",VLOOKUP($L9,'FLA Reading Logic'!$A$3:$K$9,VLOOKUP(AQ$1,'FLA Reading Logic'!$J$22:$K$31,2,FALSE),FALSE)),"Set Grade")</f>
        <v>Set Grade</v>
      </c>
      <c r="AS9" s="96" t="str">
        <f>IFERROR(IF($E9="Yes","IPP",VLOOKUP($L9,'FLA Reading Logic'!$A$13:$K$19,VLOOKUP(AQ$1,'FLA Reading Logic'!$J$22:$K$31,2,FALSE),FALSE)),"Set Grade")</f>
        <v>Set Grade</v>
      </c>
      <c r="AT9" s="98" t="str">
        <f>IF($E9="Yes","IPP",IFERROR(IF(AND(AQ9&gt;AR9,AQ9&lt;AS9),"0",(VLOOKUP(AQ9,'FLA Reading Logic'!$A$22:$B$53,2,FALSE))-(IF(VLOOKUP(AQ9,'FLA Reading Logic'!$A$22:$B$53,2,FALSE)&lt;=VLOOKUP(AR9,'FLA Reading Logic'!$A$22:$B$53,2,FALSE),VLOOKUP(AR9,'FLA Reading Logic'!$A$22:$B$53,2,FALSE),IF(VLOOKUP(AQ9,'FLA Reading Logic'!$A$22:$B$53,2,FALSE)&gt;=VLOOKUP(AS9,'FLA Reading Logic'!$A$22:$B$53,2,FALSE),VLOOKUP(AS9,'FLA Reading Logic'!$A$22:$B$53,2,FALSE),"No Score")))),"No Value"))</f>
        <v>No Value</v>
      </c>
      <c r="AU9" s="96" t="str">
        <f>IFERROR(VLOOKUP(AQ9,'FLA Reading Logic'!$A$22:$B$48,2,FALSE)-VLOOKUP($F9,'FLA Reading Logic'!$A$22:$B$48,2,FALSE),"No Value")</f>
        <v>No Value</v>
      </c>
      <c r="AV9" s="96" t="str">
        <f>IF($E9="Yes","IPP",IFERROR(IF(AND(AQ9&gt;$J9,AQ9&lt;$K9),"0",(VLOOKUP(AQ9,'FLA Reading Logic'!$A$22:$B$53,2,FALSE))-(IF(VLOOKUP(AQ9,'FLA Reading Logic'!$A$22:$B$53,2,FALSE)&lt;=VLOOKUP($J9,'FLA Reading Logic'!$A$22:$B$53,2,FALSE),VLOOKUP($J9,'FLA Reading Logic'!$A$22:$B$53,2,FALSE),IF(VLOOKUP(AQ9,'FLA Reading Logic'!$A$22:$B$53,2,FALSE)&gt;=VLOOKUP($K9,'FLA Reading Logic'!$A$22:$B$53,2,FALSE),VLOOKUP($K9,'FLA Reading Logic'!$A$22:$B$53,2,FALSE),"No Score")))),"No Value"))</f>
        <v>No Value</v>
      </c>
      <c r="AW9" s="179"/>
      <c r="AX9" s="96" t="str">
        <f>IFERROR(IF($E9="Yes","IPP",VLOOKUP($L9,'FLA Reading Logic'!$A$3:$K$9,VLOOKUP(AW$1,'FLA Reading Logic'!$J$22:$K$31,2,FALSE),FALSE)),"Set Grade")</f>
        <v>Set Grade</v>
      </c>
      <c r="AY9" s="96" t="str">
        <f>IFERROR(IF($E9="Yes","IPP",VLOOKUP($L9,'FLA Reading Logic'!$A$13:$K$19,VLOOKUP(AW$1,'FLA Reading Logic'!$J$22:$K$31,2,FALSE),FALSE)),"Set Grade")</f>
        <v>Set Grade</v>
      </c>
      <c r="AZ9" s="98" t="str">
        <f>IF($E9="Yes","IPP",IFERROR(IF(AND(AW9&gt;AX9,AW9&lt;AY9),"0",(VLOOKUP(AW9,'FLA Reading Logic'!$A$22:$B$53,2,FALSE))-(IF(VLOOKUP(AW9,'FLA Reading Logic'!$A$22:$B$53,2,FALSE)&lt;=VLOOKUP(AX9,'FLA Reading Logic'!$A$22:$B$53,2,FALSE),VLOOKUP(AX9,'FLA Reading Logic'!$A$22:$B$53,2,FALSE),IF(VLOOKUP(AW9,'FLA Reading Logic'!$A$22:$B$53,2,FALSE)&gt;=VLOOKUP(AY9,'FLA Reading Logic'!$A$22:$B$53,2,FALSE),VLOOKUP(AY9,'FLA Reading Logic'!$A$22:$B$53,2,FALSE),"No Score")))),"No Value"))</f>
        <v>No Value</v>
      </c>
      <c r="BA9" s="96" t="str">
        <f>IFERROR(VLOOKUP(AW9,'FLA Reading Logic'!$A$22:$B$48,2,FALSE)-VLOOKUP($F9,'FLA Reading Logic'!$A$22:$B$48,2,FALSE),"No Value")</f>
        <v>No Value</v>
      </c>
      <c r="BB9" s="96" t="str">
        <f>IF($E9="Yes","IPP",IFERROR(IF(AND(AW9&gt;$J9,AW9&lt;$K9),"0",(VLOOKUP(AW9,'FLA Reading Logic'!$A$22:$B$53,2,FALSE))-(IF(VLOOKUP(AW9,'FLA Reading Logic'!$A$22:$B$53,2,FALSE)&lt;=VLOOKUP($J9,'FLA Reading Logic'!$A$22:$B$53,2,FALSE),VLOOKUP($J9,'FLA Reading Logic'!$A$22:$B$53,2,FALSE),IF(VLOOKUP(AW9,'FLA Reading Logic'!$A$22:$B$53,2,FALSE)&gt;=VLOOKUP($K9,'FLA Reading Logic'!$A$22:$B$53,2,FALSE),VLOOKUP($K9,'FLA Reading Logic'!$A$22:$B$53,2,FALSE),"No Score")))),"No Value"))</f>
        <v>No Value</v>
      </c>
    </row>
    <row r="10" spans="1:54" ht="26.25" customHeight="1" thickBot="1" x14ac:dyDescent="0.3">
      <c r="A10" s="96"/>
      <c r="B10" s="98"/>
      <c r="C10" s="98"/>
      <c r="D10" s="98"/>
      <c r="E10" s="179"/>
      <c r="F10" s="92"/>
      <c r="G10" s="98" t="str">
        <f>IFERROR(IF($E10="Yes","IPP",VLOOKUP($J10,'ELA Reading Logic'!$A$3:$K$9,VLOOKUP("September",'ELA Reading Logic'!$J$22:$K$31,2,FALSE),FALSE)),"Set Grade")</f>
        <v>Set Grade</v>
      </c>
      <c r="H10" s="98" t="str">
        <f>IFERROR(IF($E10="Yes","IPP",VLOOKUP($J10,'ELA Reading Logic'!$A$13:$K$19,VLOOKUP("September",'ELA Reading Logic'!$J$22:$K$31,2,FALSE),FALSE)),"Set Grade")</f>
        <v>Set Grade</v>
      </c>
      <c r="I10" s="98" t="str">
        <f>IF($E10="Yes","IPP",IFERROR(IF(AND(F10&gt;G10,F10&lt;H10),"0",(VLOOKUP(F10,'ELA Reading Logic'!$A$22:$B$48,2,FALSE))-(IF(VLOOKUP(F10,'ELA Reading Logic'!$A$22:$B$48,2,FALSE)&lt;=VLOOKUP(G10,'ELA Reading Logic'!$A$22:$B$48,2,FALSE),VLOOKUP(G10,'ELA Reading Logic'!$A$22:$B$48,2,FALSE),IF(VLOOKUP(F10,'ELA Reading Logic'!$A$22:$B$48,2,FALSE)&gt;=VLOOKUP(H10,'ELA Reading Logic'!$A$22:$B$48,2,FALSE),VLOOKUP(H10,'ELA Reading Logic'!$A$22:$B$48,2,FALSE),"No Score")))),"No Value"))</f>
        <v>No Value</v>
      </c>
      <c r="J10" s="96" t="str">
        <f>IFERROR(VLOOKUP($L10,'FLA Reading Logic'!$A$3:$K$9,11,FALSE),"Set Grade")</f>
        <v>Set Grade</v>
      </c>
      <c r="K10" s="96" t="str">
        <f>IFERROR(VLOOKUP($L10,'FLA Reading Logic'!$A$13:$K$19,11,FALSE),"Set Grade")</f>
        <v>Set Grade</v>
      </c>
      <c r="L10" s="180"/>
      <c r="M10" s="98"/>
      <c r="N10" s="98"/>
      <c r="O10" s="98"/>
      <c r="P10" s="98"/>
      <c r="Q10" s="98"/>
      <c r="R10" s="181"/>
      <c r="S10" s="182"/>
      <c r="T10" s="98" t="str">
        <f>IFERROR(IF($E10="Yes","IPP",VLOOKUP($L10,'FLA Reading Logic'!$A$3:$K$9,VLOOKUP(S$1,'FLA Reading Logic'!$J$22:$K$31,2,FALSE),FALSE)),"Set Grade")</f>
        <v>Set Grade</v>
      </c>
      <c r="U10" s="98" t="str">
        <f>IFERROR(IF($E10="Yes","IPP",VLOOKUP($L10,'FLA Reading Logic'!$A$13:$K$19,VLOOKUP(S$1,'FLA Reading Logic'!$J$22:$K$31,2,FALSE),FALSE)),"Set Grade")</f>
        <v>Set Grade</v>
      </c>
      <c r="V10" s="98" t="str">
        <f>IF($E10="Yes","IPP",IFERROR(IF(AND(S10&gt;T10,S10&lt;U10),"0",(VLOOKUP(S10,'FLA Reading Logic'!$A$22:$B$53,2,FALSE))-(IF(VLOOKUP(S10,'FLA Reading Logic'!$A$22:$B$53,2,FALSE)&lt;=VLOOKUP(T10,'FLA Reading Logic'!$A$22:$B$53,2,FALSE),VLOOKUP(T10,'FLA Reading Logic'!$A$22:$B$53,2,FALSE),IF(VLOOKUP(S10,'FLA Reading Logic'!$A$22:$B$53,2,FALSE)&gt;=VLOOKUP(U10,'FLA Reading Logic'!$A$22:$B$53,2,FALSE),VLOOKUP(U10,'FLA Reading Logic'!$A$22:$B$53,2,FALSE),"No Score")))),"No Value"))</f>
        <v>No Value</v>
      </c>
      <c r="W10" s="98" t="str">
        <f>IFERROR(VLOOKUP(S10,'FLA Reading Logic'!$A$22:$B$53,2,FALSE)-VLOOKUP($F10,'FLA Reading Logic'!$A$22:$B$53,2,FALSE),"No Value")</f>
        <v>No Value</v>
      </c>
      <c r="X10" s="96" t="str">
        <f>IF($E10="Yes","IPP",IFERROR(IF(AND(S10&gt;$J10,S10&lt;$K10),"0",(VLOOKUP(S10,'FLA Reading Logic'!$A$22:$B$53,2,FALSE))-(IF(VLOOKUP(S10,'FLA Reading Logic'!$A$22:$B$53,2,FALSE)&lt;=VLOOKUP($J10,'FLA Reading Logic'!$A$22:$B$53,2,FALSE),VLOOKUP($J10,'FLA Reading Logic'!$A$22:$B$53,2,FALSE),IF(VLOOKUP(S10,'FLA Reading Logic'!$A$22:$B$53,2,FALSE)&gt;=VLOOKUP($K10,'FLA Reading Logic'!$A$22:$B$53,2,FALSE),VLOOKUP($K10,'FLA Reading Logic'!$A$22:$B$53,2,FALSE),"No Score")))),"No Value"))</f>
        <v>No Value</v>
      </c>
      <c r="Y10" s="179"/>
      <c r="Z10" s="98" t="str">
        <f>IFERROR(IF($E10="Yes","IPP",VLOOKUP($L10,'FLA Reading Logic'!$A$3:$K$9,VLOOKUP(Y$1,'FLA Reading Logic'!$J$22:$K$31,2,FALSE),FALSE)),"Set Grade")</f>
        <v>Set Grade</v>
      </c>
      <c r="AA10" s="98" t="str">
        <f>IFERROR(IF($E10="Yes","IPP",VLOOKUP($L10,'FLA Reading Logic'!$A$13:$K$19,VLOOKUP(Y$1,'FLA Reading Logic'!$J$22:$K$31,2,FALSE),FALSE)),"Set Grade")</f>
        <v>Set Grade</v>
      </c>
      <c r="AB10" s="98" t="str">
        <f>IF($E10="Yes","IPP",IFERROR(IF(AND(Y10&gt;Z10,Y10&lt;AA10),"0",(VLOOKUP(Y10,'FLA Reading Logic'!$A$22:$B$53,2,FALSE))-(IF(VLOOKUP(Y10,'FLA Reading Logic'!$A$22:$B$53,2,FALSE)&lt;=VLOOKUP(Z10,'FLA Reading Logic'!$A$22:$B$53,2,FALSE),VLOOKUP(Z10,'FLA Reading Logic'!$A$22:$B$53,2,FALSE),IF(VLOOKUP(Y10,'FLA Reading Logic'!$A$22:$B$53,2,FALSE)&gt;=VLOOKUP(AA10,'FLA Reading Logic'!$A$22:$B$53,2,FALSE),VLOOKUP(AA10,'FLA Reading Logic'!$A$22:$B$53,2,FALSE),"No Score")))),"No Value"))</f>
        <v>No Value</v>
      </c>
      <c r="AC10" s="97" t="str">
        <f>IFERROR(VLOOKUP(Y10,'FLA Reading Logic'!$A$22:$B$48,2,FALSE)-VLOOKUP($F10,'FLA Reading Logic'!$A$22:$B$48,2,FALSE),"No Value")</f>
        <v>No Value</v>
      </c>
      <c r="AD10" s="96" t="str">
        <f>IF($E10="Yes","IPP",IFERROR(IF(AND(Y10&gt;$J10,Y10&lt;$K10),"0",(VLOOKUP(Y10,'FLA Reading Logic'!$A$22:$B$53,2,FALSE))-(IF(VLOOKUP(Y10,'FLA Reading Logic'!$A$22:$B$53,2,FALSE)&lt;=VLOOKUP($J10,'FLA Reading Logic'!$A$22:$B$53,2,FALSE),VLOOKUP($J10,'FLA Reading Logic'!$A$22:$B$53,2,FALSE),IF(VLOOKUP(Y10,'FLA Reading Logic'!$A$22:$B$53,2,FALSE)&gt;=VLOOKUP($K10,'FLA Reading Logic'!$A$22:$B$53,2,FALSE),VLOOKUP($K10,'FLA Reading Logic'!$A$22:$B$53,2,FALSE),"No Score")))),"No Value"))</f>
        <v>No Value</v>
      </c>
      <c r="AE10" s="179"/>
      <c r="AF10" s="96" t="str">
        <f>IFERROR(IF($E10="Yes","IPP",VLOOKUP($L10,'FLA Reading Logic'!$A$3:$K$9,VLOOKUP(AE$1,'FLA Reading Logic'!$J$22:$K$31,2,FALSE),FALSE)),"Set Grade")</f>
        <v>Set Grade</v>
      </c>
      <c r="AG10" s="96" t="str">
        <f>IFERROR(IF($E10="Yes","IPP",VLOOKUP($L10,'FLA Reading Logic'!$A$13:$K$19,VLOOKUP(AE$1,'FLA Reading Logic'!$J$22:$K$31,2,FALSE),FALSE)),"Set Grade")</f>
        <v>Set Grade</v>
      </c>
      <c r="AH10" s="98" t="str">
        <f>IF($E10="Yes","IPP",IFERROR(IF(AND(AE10&gt;AF10,AE10&lt;AG10),"0",(VLOOKUP(AE10,'FLA Reading Logic'!$A$22:$B$53,2,FALSE))-(IF(VLOOKUP(AE10,'FLA Reading Logic'!$A$22:$B$53,2,FALSE)&lt;=VLOOKUP(AF10,'FLA Reading Logic'!$A$22:$B$53,2,FALSE),VLOOKUP(AF10,'FLA Reading Logic'!$A$22:$B$53,2,FALSE),IF(VLOOKUP(AE10,'FLA Reading Logic'!$A$22:$B$53,2,FALSE)&gt;=VLOOKUP(AG10,'FLA Reading Logic'!$A$22:$B$53,2,FALSE),VLOOKUP(AG10,'FLA Reading Logic'!$A$22:$B$53,2,FALSE),"No Score")))),"No Value"))</f>
        <v>No Value</v>
      </c>
      <c r="AI10" s="96" t="str">
        <f>IFERROR(VLOOKUP(AE10,'FLA Reading Logic'!$A$22:$B$48,2,FALSE)-VLOOKUP($F10,'FLA Reading Logic'!$A$22:$B$48,2,FALSE),"No Value")</f>
        <v>No Value</v>
      </c>
      <c r="AJ10" s="96" t="str">
        <f>IF($E10="Yes","IPP",IFERROR(IF(AND(AE10&gt;$J10,AE10&lt;$K10),"0",(VLOOKUP(AE10,'FLA Reading Logic'!$A$22:$B$53,2,FALSE))-(IF(VLOOKUP(AE10,'FLA Reading Logic'!$A$22:$B$53,2,FALSE)&lt;=VLOOKUP($J10,'FLA Reading Logic'!$A$22:$B$53,2,FALSE),VLOOKUP($J10,'FLA Reading Logic'!$A$22:$B$53,2,FALSE),IF(VLOOKUP(AE10,'FLA Reading Logic'!$A$22:$B$53,2,FALSE)&gt;=VLOOKUP($K10,'FLA Reading Logic'!$A$22:$B$53,2,FALSE),VLOOKUP($K10,'FLA Reading Logic'!$A$22:$B$53,2,FALSE),"No Score")))),"No Value"))</f>
        <v>No Value</v>
      </c>
      <c r="AK10" s="179"/>
      <c r="AL10" s="96" t="str">
        <f>IFERROR(IF($E10="Yes","IPP",VLOOKUP($L10,'FLA Reading Logic'!$A$3:$K$9,VLOOKUP(AK$1,'FLA Reading Logic'!$J$22:$K$31,2,FALSE),FALSE)),"Set Grade")</f>
        <v>Set Grade</v>
      </c>
      <c r="AM10" s="96" t="str">
        <f>IFERROR(IF($E10="Yes","IPP",VLOOKUP($L10,'FLA Reading Logic'!$A$13:$K$19,VLOOKUP(AK$1,'FLA Reading Logic'!$J$22:$K$31,2,FALSE),FALSE)),"Set Grade")</f>
        <v>Set Grade</v>
      </c>
      <c r="AN10" s="98" t="str">
        <f>IF($E10="Yes","IPP",IFERROR(IF(AND(AK10&gt;AL10,AK10&lt;AM10),"0",(VLOOKUP(AK10,'FLA Reading Logic'!$A$22:$B$53,2,FALSE))-(IF(VLOOKUP(AK10,'FLA Reading Logic'!$A$22:$B$53,2,FALSE)&lt;=VLOOKUP(AL10,'FLA Reading Logic'!$A$22:$B$53,2,FALSE),VLOOKUP(AL10,'FLA Reading Logic'!$A$22:$B$53,2,FALSE),IF(VLOOKUP(AK10,'FLA Reading Logic'!$A$22:$B$53,2,FALSE)&gt;=VLOOKUP(AM10,'FLA Reading Logic'!$A$22:$B$53,2,FALSE),VLOOKUP(AM10,'FLA Reading Logic'!$A$22:$B$53,2,FALSE),"No Score")))),"No Value"))</f>
        <v>No Value</v>
      </c>
      <c r="AO10" s="96" t="str">
        <f>IFERROR(VLOOKUP(AK10,'FLA Reading Logic'!$A$22:$B$48,2,FALSE)-VLOOKUP($F10,'FLA Reading Logic'!$A$22:$B$48,2,FALSE),"No Value")</f>
        <v>No Value</v>
      </c>
      <c r="AP10" s="96" t="str">
        <f>IF($E10="Yes","IPP",IFERROR(IF(AND(AK10&gt;$J10,AK10&lt;$K10),"0",(VLOOKUP(AK10,'FLA Reading Logic'!$A$22:$B$53,2,FALSE))-(IF(VLOOKUP(AK10,'FLA Reading Logic'!$A$22:$B$53,2,FALSE)&lt;=VLOOKUP($J10,'FLA Reading Logic'!$A$22:$B$53,2,FALSE),VLOOKUP($J10,'FLA Reading Logic'!$A$22:$B$53,2,FALSE),IF(VLOOKUP(AK10,'FLA Reading Logic'!$A$22:$B$53,2,FALSE)&gt;=VLOOKUP($K10,'FLA Reading Logic'!$A$22:$B$53,2,FALSE),VLOOKUP($K10,'FLA Reading Logic'!$A$22:$B$53,2,FALSE),"No Score")))),"No Value"))</f>
        <v>No Value</v>
      </c>
      <c r="AQ10" s="179"/>
      <c r="AR10" s="96" t="str">
        <f>IFERROR(IF($E10="Yes","IPP",VLOOKUP($L10,'FLA Reading Logic'!$A$3:$K$9,VLOOKUP(AQ$1,'FLA Reading Logic'!$J$22:$K$31,2,FALSE),FALSE)),"Set Grade")</f>
        <v>Set Grade</v>
      </c>
      <c r="AS10" s="96" t="str">
        <f>IFERROR(IF($E10="Yes","IPP",VLOOKUP($L10,'FLA Reading Logic'!$A$13:$K$19,VLOOKUP(AQ$1,'FLA Reading Logic'!$J$22:$K$31,2,FALSE),FALSE)),"Set Grade")</f>
        <v>Set Grade</v>
      </c>
      <c r="AT10" s="98" t="str">
        <f>IF($E10="Yes","IPP",IFERROR(IF(AND(AQ10&gt;AR10,AQ10&lt;AS10),"0",(VLOOKUP(AQ10,'FLA Reading Logic'!$A$22:$B$53,2,FALSE))-(IF(VLOOKUP(AQ10,'FLA Reading Logic'!$A$22:$B$53,2,FALSE)&lt;=VLOOKUP(AR10,'FLA Reading Logic'!$A$22:$B$53,2,FALSE),VLOOKUP(AR10,'FLA Reading Logic'!$A$22:$B$53,2,FALSE),IF(VLOOKUP(AQ10,'FLA Reading Logic'!$A$22:$B$53,2,FALSE)&gt;=VLOOKUP(AS10,'FLA Reading Logic'!$A$22:$B$53,2,FALSE),VLOOKUP(AS10,'FLA Reading Logic'!$A$22:$B$53,2,FALSE),"No Score")))),"No Value"))</f>
        <v>No Value</v>
      </c>
      <c r="AU10" s="96" t="str">
        <f>IFERROR(VLOOKUP(AQ10,'FLA Reading Logic'!$A$22:$B$48,2,FALSE)-VLOOKUP($F10,'FLA Reading Logic'!$A$22:$B$48,2,FALSE),"No Value")</f>
        <v>No Value</v>
      </c>
      <c r="AV10" s="96" t="str">
        <f>IF($E10="Yes","IPP",IFERROR(IF(AND(AQ10&gt;$J10,AQ10&lt;$K10),"0",(VLOOKUP(AQ10,'FLA Reading Logic'!$A$22:$B$53,2,FALSE))-(IF(VLOOKUP(AQ10,'FLA Reading Logic'!$A$22:$B$53,2,FALSE)&lt;=VLOOKUP($J10,'FLA Reading Logic'!$A$22:$B$53,2,FALSE),VLOOKUP($J10,'FLA Reading Logic'!$A$22:$B$53,2,FALSE),IF(VLOOKUP(AQ10,'FLA Reading Logic'!$A$22:$B$53,2,FALSE)&gt;=VLOOKUP($K10,'FLA Reading Logic'!$A$22:$B$53,2,FALSE),VLOOKUP($K10,'FLA Reading Logic'!$A$22:$B$53,2,FALSE),"No Score")))),"No Value"))</f>
        <v>No Value</v>
      </c>
      <c r="AW10" s="179"/>
      <c r="AX10" s="96" t="str">
        <f>IFERROR(IF($E10="Yes","IPP",VLOOKUP($L10,'FLA Reading Logic'!$A$3:$K$9,VLOOKUP(AW$1,'FLA Reading Logic'!$J$22:$K$31,2,FALSE),FALSE)),"Set Grade")</f>
        <v>Set Grade</v>
      </c>
      <c r="AY10" s="96" t="str">
        <f>IFERROR(IF($E10="Yes","IPP",VLOOKUP($L10,'FLA Reading Logic'!$A$13:$K$19,VLOOKUP(AW$1,'FLA Reading Logic'!$J$22:$K$31,2,FALSE),FALSE)),"Set Grade")</f>
        <v>Set Grade</v>
      </c>
      <c r="AZ10" s="98" t="str">
        <f>IF($E10="Yes","IPP",IFERROR(IF(AND(AW10&gt;AX10,AW10&lt;AY10),"0",(VLOOKUP(AW10,'FLA Reading Logic'!$A$22:$B$53,2,FALSE))-(IF(VLOOKUP(AW10,'FLA Reading Logic'!$A$22:$B$53,2,FALSE)&lt;=VLOOKUP(AX10,'FLA Reading Logic'!$A$22:$B$53,2,FALSE),VLOOKUP(AX10,'FLA Reading Logic'!$A$22:$B$53,2,FALSE),IF(VLOOKUP(AW10,'FLA Reading Logic'!$A$22:$B$53,2,FALSE)&gt;=VLOOKUP(AY10,'FLA Reading Logic'!$A$22:$B$53,2,FALSE),VLOOKUP(AY10,'FLA Reading Logic'!$A$22:$B$53,2,FALSE),"No Score")))),"No Value"))</f>
        <v>No Value</v>
      </c>
      <c r="BA10" s="96" t="str">
        <f>IFERROR(VLOOKUP(AW10,'FLA Reading Logic'!$A$22:$B$48,2,FALSE)-VLOOKUP($F10,'FLA Reading Logic'!$A$22:$B$48,2,FALSE),"No Value")</f>
        <v>No Value</v>
      </c>
      <c r="BB10" s="96" t="str">
        <f>IF($E10="Yes","IPP",IFERROR(IF(AND(AW10&gt;$J10,AW10&lt;$K10),"0",(VLOOKUP(AW10,'FLA Reading Logic'!$A$22:$B$53,2,FALSE))-(IF(VLOOKUP(AW10,'FLA Reading Logic'!$A$22:$B$53,2,FALSE)&lt;=VLOOKUP($J10,'FLA Reading Logic'!$A$22:$B$53,2,FALSE),VLOOKUP($J10,'FLA Reading Logic'!$A$22:$B$53,2,FALSE),IF(VLOOKUP(AW10,'FLA Reading Logic'!$A$22:$B$53,2,FALSE)&gt;=VLOOKUP($K10,'FLA Reading Logic'!$A$22:$B$53,2,FALSE),VLOOKUP($K10,'FLA Reading Logic'!$A$22:$B$53,2,FALSE),"No Score")))),"No Value"))</f>
        <v>No Value</v>
      </c>
    </row>
    <row r="11" spans="1:54" ht="26.25" customHeight="1" thickBot="1" x14ac:dyDescent="0.3">
      <c r="A11" s="96"/>
      <c r="B11" s="98"/>
      <c r="C11" s="98"/>
      <c r="D11" s="98"/>
      <c r="E11" s="179"/>
      <c r="F11" s="92"/>
      <c r="G11" s="98" t="str">
        <f>IFERROR(IF($E11="Yes","IPP",VLOOKUP($J11,'ELA Reading Logic'!$A$3:$K$9,VLOOKUP("September",'ELA Reading Logic'!$J$22:$K$31,2,FALSE),FALSE)),"Set Grade")</f>
        <v>Set Grade</v>
      </c>
      <c r="H11" s="98" t="str">
        <f>IFERROR(IF($E11="Yes","IPP",VLOOKUP($J11,'ELA Reading Logic'!$A$13:$K$19,VLOOKUP("September",'ELA Reading Logic'!$J$22:$K$31,2,FALSE),FALSE)),"Set Grade")</f>
        <v>Set Grade</v>
      </c>
      <c r="I11" s="98" t="str">
        <f>IF($E11="Yes","IPP",IFERROR(IF(AND(F11&gt;G11,F11&lt;H11),"0",(VLOOKUP(F11,'ELA Reading Logic'!$A$22:$B$48,2,FALSE))-(IF(VLOOKUP(F11,'ELA Reading Logic'!$A$22:$B$48,2,FALSE)&lt;=VLOOKUP(G11,'ELA Reading Logic'!$A$22:$B$48,2,FALSE),VLOOKUP(G11,'ELA Reading Logic'!$A$22:$B$48,2,FALSE),IF(VLOOKUP(F11,'ELA Reading Logic'!$A$22:$B$48,2,FALSE)&gt;=VLOOKUP(H11,'ELA Reading Logic'!$A$22:$B$48,2,FALSE),VLOOKUP(H11,'ELA Reading Logic'!$A$22:$B$48,2,FALSE),"No Score")))),"No Value"))</f>
        <v>No Value</v>
      </c>
      <c r="J11" s="96" t="str">
        <f>IFERROR(VLOOKUP($L11,'FLA Reading Logic'!$A$3:$K$9,11,FALSE),"Set Grade")</f>
        <v>Set Grade</v>
      </c>
      <c r="K11" s="96" t="str">
        <f>IFERROR(VLOOKUP($L11,'FLA Reading Logic'!$A$13:$K$19,11,FALSE),"Set Grade")</f>
        <v>Set Grade</v>
      </c>
      <c r="L11" s="180"/>
      <c r="M11" s="98"/>
      <c r="N11" s="98"/>
      <c r="O11" s="98"/>
      <c r="P11" s="98"/>
      <c r="Q11" s="98"/>
      <c r="R11" s="181"/>
      <c r="S11" s="182"/>
      <c r="T11" s="98" t="str">
        <f>IFERROR(IF($E11="Yes","IPP",VLOOKUP($L11,'FLA Reading Logic'!$A$3:$K$9,VLOOKUP(S$1,'FLA Reading Logic'!$J$22:$K$31,2,FALSE),FALSE)),"Set Grade")</f>
        <v>Set Grade</v>
      </c>
      <c r="U11" s="98" t="str">
        <f>IFERROR(IF($E11="Yes","IPP",VLOOKUP($L11,'FLA Reading Logic'!$A$13:$K$19,VLOOKUP(S$1,'FLA Reading Logic'!$J$22:$K$31,2,FALSE),FALSE)),"Set Grade")</f>
        <v>Set Grade</v>
      </c>
      <c r="V11" s="98" t="str">
        <f>IF($E11="Yes","IPP",IFERROR(IF(AND(S11&gt;T11,S11&lt;U11),"0",(VLOOKUP(S11,'FLA Reading Logic'!$A$22:$B$53,2,FALSE))-(IF(VLOOKUP(S11,'FLA Reading Logic'!$A$22:$B$53,2,FALSE)&lt;=VLOOKUP(T11,'FLA Reading Logic'!$A$22:$B$53,2,FALSE),VLOOKUP(T11,'FLA Reading Logic'!$A$22:$B$53,2,FALSE),IF(VLOOKUP(S11,'FLA Reading Logic'!$A$22:$B$53,2,FALSE)&gt;=VLOOKUP(U11,'FLA Reading Logic'!$A$22:$B$53,2,FALSE),VLOOKUP(U11,'FLA Reading Logic'!$A$22:$B$53,2,FALSE),"No Score")))),"No Value"))</f>
        <v>No Value</v>
      </c>
      <c r="W11" s="98" t="str">
        <f>IFERROR(VLOOKUP(S11,'FLA Reading Logic'!$A$22:$B$53,2,FALSE)-VLOOKUP($F11,'FLA Reading Logic'!$A$22:$B$53,2,FALSE),"No Value")</f>
        <v>No Value</v>
      </c>
      <c r="X11" s="96" t="str">
        <f>IF($E11="Yes","IPP",IFERROR(IF(AND(S11&gt;$J11,S11&lt;$K11),"0",(VLOOKUP(S11,'FLA Reading Logic'!$A$22:$B$53,2,FALSE))-(IF(VLOOKUP(S11,'FLA Reading Logic'!$A$22:$B$53,2,FALSE)&lt;=VLOOKUP($J11,'FLA Reading Logic'!$A$22:$B$53,2,FALSE),VLOOKUP($J11,'FLA Reading Logic'!$A$22:$B$53,2,FALSE),IF(VLOOKUP(S11,'FLA Reading Logic'!$A$22:$B$53,2,FALSE)&gt;=VLOOKUP($K11,'FLA Reading Logic'!$A$22:$B$53,2,FALSE),VLOOKUP($K11,'FLA Reading Logic'!$A$22:$B$53,2,FALSE),"No Score")))),"No Value"))</f>
        <v>No Value</v>
      </c>
      <c r="Y11" s="179"/>
      <c r="Z11" s="98" t="str">
        <f>IFERROR(IF($E11="Yes","IPP",VLOOKUP($L11,'FLA Reading Logic'!$A$3:$K$9,VLOOKUP(Y$1,'FLA Reading Logic'!$J$22:$K$31,2,FALSE),FALSE)),"Set Grade")</f>
        <v>Set Grade</v>
      </c>
      <c r="AA11" s="98" t="str">
        <f>IFERROR(IF($E11="Yes","IPP",VLOOKUP($L11,'FLA Reading Logic'!$A$13:$K$19,VLOOKUP(Y$1,'FLA Reading Logic'!$J$22:$K$31,2,FALSE),FALSE)),"Set Grade")</f>
        <v>Set Grade</v>
      </c>
      <c r="AB11" s="98" t="str">
        <f>IF($E11="Yes","IPP",IFERROR(IF(AND(Y11&gt;Z11,Y11&lt;AA11),"0",(VLOOKUP(Y11,'FLA Reading Logic'!$A$22:$B$53,2,FALSE))-(IF(VLOOKUP(Y11,'FLA Reading Logic'!$A$22:$B$53,2,FALSE)&lt;=VLOOKUP(Z11,'FLA Reading Logic'!$A$22:$B$53,2,FALSE),VLOOKUP(Z11,'FLA Reading Logic'!$A$22:$B$53,2,FALSE),IF(VLOOKUP(Y11,'FLA Reading Logic'!$A$22:$B$53,2,FALSE)&gt;=VLOOKUP(AA11,'FLA Reading Logic'!$A$22:$B$53,2,FALSE),VLOOKUP(AA11,'FLA Reading Logic'!$A$22:$B$53,2,FALSE),"No Score")))),"No Value"))</f>
        <v>No Value</v>
      </c>
      <c r="AC11" s="97" t="str">
        <f>IFERROR(VLOOKUP(Y11,'FLA Reading Logic'!$A$22:$B$48,2,FALSE)-VLOOKUP($F11,'FLA Reading Logic'!$A$22:$B$48,2,FALSE),"No Value")</f>
        <v>No Value</v>
      </c>
      <c r="AD11" s="96" t="str">
        <f>IF($E11="Yes","IPP",IFERROR(IF(AND(Y11&gt;$J11,Y11&lt;$K11),"0",(VLOOKUP(Y11,'FLA Reading Logic'!$A$22:$B$53,2,FALSE))-(IF(VLOOKUP(Y11,'FLA Reading Logic'!$A$22:$B$53,2,FALSE)&lt;=VLOOKUP($J11,'FLA Reading Logic'!$A$22:$B$53,2,FALSE),VLOOKUP($J11,'FLA Reading Logic'!$A$22:$B$53,2,FALSE),IF(VLOOKUP(Y11,'FLA Reading Logic'!$A$22:$B$53,2,FALSE)&gt;=VLOOKUP($K11,'FLA Reading Logic'!$A$22:$B$53,2,FALSE),VLOOKUP($K11,'FLA Reading Logic'!$A$22:$B$53,2,FALSE),"No Score")))),"No Value"))</f>
        <v>No Value</v>
      </c>
      <c r="AE11" s="179"/>
      <c r="AF11" s="96" t="str">
        <f>IFERROR(IF($E11="Yes","IPP",VLOOKUP($L11,'FLA Reading Logic'!$A$3:$K$9,VLOOKUP(AE$1,'FLA Reading Logic'!$J$22:$K$31,2,FALSE),FALSE)),"Set Grade")</f>
        <v>Set Grade</v>
      </c>
      <c r="AG11" s="96" t="str">
        <f>IFERROR(IF($E11="Yes","IPP",VLOOKUP($L11,'FLA Reading Logic'!$A$13:$K$19,VLOOKUP(AE$1,'FLA Reading Logic'!$J$22:$K$31,2,FALSE),FALSE)),"Set Grade")</f>
        <v>Set Grade</v>
      </c>
      <c r="AH11" s="98" t="str">
        <f>IF($E11="Yes","IPP",IFERROR(IF(AND(AE11&gt;AF11,AE11&lt;AG11),"0",(VLOOKUP(AE11,'FLA Reading Logic'!$A$22:$B$53,2,FALSE))-(IF(VLOOKUP(AE11,'FLA Reading Logic'!$A$22:$B$53,2,FALSE)&lt;=VLOOKUP(AF11,'FLA Reading Logic'!$A$22:$B$53,2,FALSE),VLOOKUP(AF11,'FLA Reading Logic'!$A$22:$B$53,2,FALSE),IF(VLOOKUP(AE11,'FLA Reading Logic'!$A$22:$B$53,2,FALSE)&gt;=VLOOKUP(AG11,'FLA Reading Logic'!$A$22:$B$53,2,FALSE),VLOOKUP(AG11,'FLA Reading Logic'!$A$22:$B$53,2,FALSE),"No Score")))),"No Value"))</f>
        <v>No Value</v>
      </c>
      <c r="AI11" s="96" t="str">
        <f>IFERROR(VLOOKUP(AE11,'FLA Reading Logic'!$A$22:$B$48,2,FALSE)-VLOOKUP($F11,'FLA Reading Logic'!$A$22:$B$48,2,FALSE),"No Value")</f>
        <v>No Value</v>
      </c>
      <c r="AJ11" s="96" t="str">
        <f>IF($E11="Yes","IPP",IFERROR(IF(AND(AE11&gt;$J11,AE11&lt;$K11),"0",(VLOOKUP(AE11,'FLA Reading Logic'!$A$22:$B$53,2,FALSE))-(IF(VLOOKUP(AE11,'FLA Reading Logic'!$A$22:$B$53,2,FALSE)&lt;=VLOOKUP($J11,'FLA Reading Logic'!$A$22:$B$53,2,FALSE),VLOOKUP($J11,'FLA Reading Logic'!$A$22:$B$53,2,FALSE),IF(VLOOKUP(AE11,'FLA Reading Logic'!$A$22:$B$53,2,FALSE)&gt;=VLOOKUP($K11,'FLA Reading Logic'!$A$22:$B$53,2,FALSE),VLOOKUP($K11,'FLA Reading Logic'!$A$22:$B$53,2,FALSE),"No Score")))),"No Value"))</f>
        <v>No Value</v>
      </c>
      <c r="AK11" s="179"/>
      <c r="AL11" s="96" t="str">
        <f>IFERROR(IF($E11="Yes","IPP",VLOOKUP($L11,'FLA Reading Logic'!$A$3:$K$9,VLOOKUP(AK$1,'FLA Reading Logic'!$J$22:$K$31,2,FALSE),FALSE)),"Set Grade")</f>
        <v>Set Grade</v>
      </c>
      <c r="AM11" s="96" t="str">
        <f>IFERROR(IF($E11="Yes","IPP",VLOOKUP($L11,'FLA Reading Logic'!$A$13:$K$19,VLOOKUP(AK$1,'FLA Reading Logic'!$J$22:$K$31,2,FALSE),FALSE)),"Set Grade")</f>
        <v>Set Grade</v>
      </c>
      <c r="AN11" s="98" t="str">
        <f>IF($E11="Yes","IPP",IFERROR(IF(AND(AK11&gt;AL11,AK11&lt;AM11),"0",(VLOOKUP(AK11,'FLA Reading Logic'!$A$22:$B$53,2,FALSE))-(IF(VLOOKUP(AK11,'FLA Reading Logic'!$A$22:$B$53,2,FALSE)&lt;=VLOOKUP(AL11,'FLA Reading Logic'!$A$22:$B$53,2,FALSE),VLOOKUP(AL11,'FLA Reading Logic'!$A$22:$B$53,2,FALSE),IF(VLOOKUP(AK11,'FLA Reading Logic'!$A$22:$B$53,2,FALSE)&gt;=VLOOKUP(AM11,'FLA Reading Logic'!$A$22:$B$53,2,FALSE),VLOOKUP(AM11,'FLA Reading Logic'!$A$22:$B$53,2,FALSE),"No Score")))),"No Value"))</f>
        <v>No Value</v>
      </c>
      <c r="AO11" s="96" t="str">
        <f>IFERROR(VLOOKUP(AK11,'FLA Reading Logic'!$A$22:$B$48,2,FALSE)-VLOOKUP($F11,'FLA Reading Logic'!$A$22:$B$48,2,FALSE),"No Value")</f>
        <v>No Value</v>
      </c>
      <c r="AP11" s="96" t="str">
        <f>IF($E11="Yes","IPP",IFERROR(IF(AND(AK11&gt;$J11,AK11&lt;$K11),"0",(VLOOKUP(AK11,'FLA Reading Logic'!$A$22:$B$53,2,FALSE))-(IF(VLOOKUP(AK11,'FLA Reading Logic'!$A$22:$B$53,2,FALSE)&lt;=VLOOKUP($J11,'FLA Reading Logic'!$A$22:$B$53,2,FALSE),VLOOKUP($J11,'FLA Reading Logic'!$A$22:$B$53,2,FALSE),IF(VLOOKUP(AK11,'FLA Reading Logic'!$A$22:$B$53,2,FALSE)&gt;=VLOOKUP($K11,'FLA Reading Logic'!$A$22:$B$53,2,FALSE),VLOOKUP($K11,'FLA Reading Logic'!$A$22:$B$53,2,FALSE),"No Score")))),"No Value"))</f>
        <v>No Value</v>
      </c>
      <c r="AQ11" s="179"/>
      <c r="AR11" s="96" t="str">
        <f>IFERROR(IF($E11="Yes","IPP",VLOOKUP($L11,'FLA Reading Logic'!$A$3:$K$9,VLOOKUP(AQ$1,'FLA Reading Logic'!$J$22:$K$31,2,FALSE),FALSE)),"Set Grade")</f>
        <v>Set Grade</v>
      </c>
      <c r="AS11" s="96" t="str">
        <f>IFERROR(IF($E11="Yes","IPP",VLOOKUP($L11,'FLA Reading Logic'!$A$13:$K$19,VLOOKUP(AQ$1,'FLA Reading Logic'!$J$22:$K$31,2,FALSE),FALSE)),"Set Grade")</f>
        <v>Set Grade</v>
      </c>
      <c r="AT11" s="98" t="str">
        <f>IF($E11="Yes","IPP",IFERROR(IF(AND(AQ11&gt;AR11,AQ11&lt;AS11),"0",(VLOOKUP(AQ11,'FLA Reading Logic'!$A$22:$B$53,2,FALSE))-(IF(VLOOKUP(AQ11,'FLA Reading Logic'!$A$22:$B$53,2,FALSE)&lt;=VLOOKUP(AR11,'FLA Reading Logic'!$A$22:$B$53,2,FALSE),VLOOKUP(AR11,'FLA Reading Logic'!$A$22:$B$53,2,FALSE),IF(VLOOKUP(AQ11,'FLA Reading Logic'!$A$22:$B$53,2,FALSE)&gt;=VLOOKUP(AS11,'FLA Reading Logic'!$A$22:$B$53,2,FALSE),VLOOKUP(AS11,'FLA Reading Logic'!$A$22:$B$53,2,FALSE),"No Score")))),"No Value"))</f>
        <v>No Value</v>
      </c>
      <c r="AU11" s="96" t="str">
        <f>IFERROR(VLOOKUP(AQ11,'FLA Reading Logic'!$A$22:$B$48,2,FALSE)-VLOOKUP($F11,'FLA Reading Logic'!$A$22:$B$48,2,FALSE),"No Value")</f>
        <v>No Value</v>
      </c>
      <c r="AV11" s="96" t="str">
        <f>IF($E11="Yes","IPP",IFERROR(IF(AND(AQ11&gt;$J11,AQ11&lt;$K11),"0",(VLOOKUP(AQ11,'FLA Reading Logic'!$A$22:$B$53,2,FALSE))-(IF(VLOOKUP(AQ11,'FLA Reading Logic'!$A$22:$B$53,2,FALSE)&lt;=VLOOKUP($J11,'FLA Reading Logic'!$A$22:$B$53,2,FALSE),VLOOKUP($J11,'FLA Reading Logic'!$A$22:$B$53,2,FALSE),IF(VLOOKUP(AQ11,'FLA Reading Logic'!$A$22:$B$53,2,FALSE)&gt;=VLOOKUP($K11,'FLA Reading Logic'!$A$22:$B$53,2,FALSE),VLOOKUP($K11,'FLA Reading Logic'!$A$22:$B$53,2,FALSE),"No Score")))),"No Value"))</f>
        <v>No Value</v>
      </c>
      <c r="AW11" s="179"/>
      <c r="AX11" s="96" t="str">
        <f>IFERROR(IF($E11="Yes","IPP",VLOOKUP($L11,'FLA Reading Logic'!$A$3:$K$9,VLOOKUP(AW$1,'FLA Reading Logic'!$J$22:$K$31,2,FALSE),FALSE)),"Set Grade")</f>
        <v>Set Grade</v>
      </c>
      <c r="AY11" s="96" t="str">
        <f>IFERROR(IF($E11="Yes","IPP",VLOOKUP($L11,'FLA Reading Logic'!$A$13:$K$19,VLOOKUP(AW$1,'FLA Reading Logic'!$J$22:$K$31,2,FALSE),FALSE)),"Set Grade")</f>
        <v>Set Grade</v>
      </c>
      <c r="AZ11" s="98" t="str">
        <f>IF($E11="Yes","IPP",IFERROR(IF(AND(AW11&gt;AX11,AW11&lt;AY11),"0",(VLOOKUP(AW11,'FLA Reading Logic'!$A$22:$B$53,2,FALSE))-(IF(VLOOKUP(AW11,'FLA Reading Logic'!$A$22:$B$53,2,FALSE)&lt;=VLOOKUP(AX11,'FLA Reading Logic'!$A$22:$B$53,2,FALSE),VLOOKUP(AX11,'FLA Reading Logic'!$A$22:$B$53,2,FALSE),IF(VLOOKUP(AW11,'FLA Reading Logic'!$A$22:$B$53,2,FALSE)&gt;=VLOOKUP(AY11,'FLA Reading Logic'!$A$22:$B$53,2,FALSE),VLOOKUP(AY11,'FLA Reading Logic'!$A$22:$B$53,2,FALSE),"No Score")))),"No Value"))</f>
        <v>No Value</v>
      </c>
      <c r="BA11" s="96" t="str">
        <f>IFERROR(VLOOKUP(AW11,'FLA Reading Logic'!$A$22:$B$48,2,FALSE)-VLOOKUP($F11,'FLA Reading Logic'!$A$22:$B$48,2,FALSE),"No Value")</f>
        <v>No Value</v>
      </c>
      <c r="BB11" s="96" t="str">
        <f>IF($E11="Yes","IPP",IFERROR(IF(AND(AW11&gt;$J11,AW11&lt;$K11),"0",(VLOOKUP(AW11,'FLA Reading Logic'!$A$22:$B$53,2,FALSE))-(IF(VLOOKUP(AW11,'FLA Reading Logic'!$A$22:$B$53,2,FALSE)&lt;=VLOOKUP($J11,'FLA Reading Logic'!$A$22:$B$53,2,FALSE),VLOOKUP($J11,'FLA Reading Logic'!$A$22:$B$53,2,FALSE),IF(VLOOKUP(AW11,'FLA Reading Logic'!$A$22:$B$53,2,FALSE)&gt;=VLOOKUP($K11,'FLA Reading Logic'!$A$22:$B$53,2,FALSE),VLOOKUP($K11,'FLA Reading Logic'!$A$22:$B$53,2,FALSE),"No Score")))),"No Value"))</f>
        <v>No Value</v>
      </c>
    </row>
    <row r="12" spans="1:54" ht="26.25" customHeight="1" thickBot="1" x14ac:dyDescent="0.3">
      <c r="A12" s="96"/>
      <c r="B12" s="98"/>
      <c r="C12" s="98"/>
      <c r="D12" s="98"/>
      <c r="E12" s="179"/>
      <c r="F12" s="92"/>
      <c r="G12" s="98" t="str">
        <f>IFERROR(IF($E12="Yes","IPP",VLOOKUP($J12,'ELA Reading Logic'!$A$3:$K$9,VLOOKUP("September",'ELA Reading Logic'!$J$22:$K$31,2,FALSE),FALSE)),"Set Grade")</f>
        <v>Set Grade</v>
      </c>
      <c r="H12" s="98" t="str">
        <f>IFERROR(IF($E12="Yes","IPP",VLOOKUP($J12,'ELA Reading Logic'!$A$13:$K$19,VLOOKUP("September",'ELA Reading Logic'!$J$22:$K$31,2,FALSE),FALSE)),"Set Grade")</f>
        <v>Set Grade</v>
      </c>
      <c r="I12" s="98" t="str">
        <f>IF($E12="Yes","IPP",IFERROR(IF(AND(F12&gt;G12,F12&lt;H12),"0",(VLOOKUP(F12,'ELA Reading Logic'!$A$22:$B$48,2,FALSE))-(IF(VLOOKUP(F12,'ELA Reading Logic'!$A$22:$B$48,2,FALSE)&lt;=VLOOKUP(G12,'ELA Reading Logic'!$A$22:$B$48,2,FALSE),VLOOKUP(G12,'ELA Reading Logic'!$A$22:$B$48,2,FALSE),IF(VLOOKUP(F12,'ELA Reading Logic'!$A$22:$B$48,2,FALSE)&gt;=VLOOKUP(H12,'ELA Reading Logic'!$A$22:$B$48,2,FALSE),VLOOKUP(H12,'ELA Reading Logic'!$A$22:$B$48,2,FALSE),"No Score")))),"No Value"))</f>
        <v>No Value</v>
      </c>
      <c r="J12" s="96" t="str">
        <f>IFERROR(VLOOKUP($L12,'FLA Reading Logic'!$A$3:$K$9,11,FALSE),"Set Grade")</f>
        <v>Set Grade</v>
      </c>
      <c r="K12" s="96" t="str">
        <f>IFERROR(VLOOKUP($L12,'FLA Reading Logic'!$A$13:$K$19,11,FALSE),"Set Grade")</f>
        <v>Set Grade</v>
      </c>
      <c r="L12" s="180"/>
      <c r="M12" s="98"/>
      <c r="N12" s="98"/>
      <c r="O12" s="98"/>
      <c r="P12" s="98"/>
      <c r="Q12" s="98"/>
      <c r="R12" s="181"/>
      <c r="S12" s="182"/>
      <c r="T12" s="98" t="str">
        <f>IFERROR(IF($E12="Yes","IPP",VLOOKUP($L12,'FLA Reading Logic'!$A$3:$K$9,VLOOKUP(S$1,'FLA Reading Logic'!$J$22:$K$31,2,FALSE),FALSE)),"Set Grade")</f>
        <v>Set Grade</v>
      </c>
      <c r="U12" s="98" t="str">
        <f>IFERROR(IF($E12="Yes","IPP",VLOOKUP($L12,'FLA Reading Logic'!$A$13:$K$19,VLOOKUP(S$1,'FLA Reading Logic'!$J$22:$K$31,2,FALSE),FALSE)),"Set Grade")</f>
        <v>Set Grade</v>
      </c>
      <c r="V12" s="98" t="str">
        <f>IF($E12="Yes","IPP",IFERROR(IF(AND(S12&gt;T12,S12&lt;U12),"0",(VLOOKUP(S12,'FLA Reading Logic'!$A$22:$B$53,2,FALSE))-(IF(VLOOKUP(S12,'FLA Reading Logic'!$A$22:$B$53,2,FALSE)&lt;=VLOOKUP(T12,'FLA Reading Logic'!$A$22:$B$53,2,FALSE),VLOOKUP(T12,'FLA Reading Logic'!$A$22:$B$53,2,FALSE),IF(VLOOKUP(S12,'FLA Reading Logic'!$A$22:$B$53,2,FALSE)&gt;=VLOOKUP(U12,'FLA Reading Logic'!$A$22:$B$53,2,FALSE),VLOOKUP(U12,'FLA Reading Logic'!$A$22:$B$53,2,FALSE),"No Score")))),"No Value"))</f>
        <v>No Value</v>
      </c>
      <c r="W12" s="98" t="str">
        <f>IFERROR(VLOOKUP(S12,'FLA Reading Logic'!$A$22:$B$53,2,FALSE)-VLOOKUP($F12,'FLA Reading Logic'!$A$22:$B$53,2,FALSE),"No Value")</f>
        <v>No Value</v>
      </c>
      <c r="X12" s="96" t="str">
        <f>IF($E12="Yes","IPP",IFERROR(IF(AND(S12&gt;$J12,S12&lt;$K12),"0",(VLOOKUP(S12,'FLA Reading Logic'!$A$22:$B$53,2,FALSE))-(IF(VLOOKUP(S12,'FLA Reading Logic'!$A$22:$B$53,2,FALSE)&lt;=VLOOKUP($J12,'FLA Reading Logic'!$A$22:$B$53,2,FALSE),VLOOKUP($J12,'FLA Reading Logic'!$A$22:$B$53,2,FALSE),IF(VLOOKUP(S12,'FLA Reading Logic'!$A$22:$B$53,2,FALSE)&gt;=VLOOKUP($K12,'FLA Reading Logic'!$A$22:$B$53,2,FALSE),VLOOKUP($K12,'FLA Reading Logic'!$A$22:$B$53,2,FALSE),"No Score")))),"No Value"))</f>
        <v>No Value</v>
      </c>
      <c r="Y12" s="179"/>
      <c r="Z12" s="98" t="str">
        <f>IFERROR(IF($E12="Yes","IPP",VLOOKUP($L12,'FLA Reading Logic'!$A$3:$K$9,VLOOKUP(Y$1,'FLA Reading Logic'!$J$22:$K$31,2,FALSE),FALSE)),"Set Grade")</f>
        <v>Set Grade</v>
      </c>
      <c r="AA12" s="98" t="str">
        <f>IFERROR(IF($E12="Yes","IPP",VLOOKUP($L12,'FLA Reading Logic'!$A$13:$K$19,VLOOKUP(Y$1,'FLA Reading Logic'!$J$22:$K$31,2,FALSE),FALSE)),"Set Grade")</f>
        <v>Set Grade</v>
      </c>
      <c r="AB12" s="98" t="str">
        <f>IF($E12="Yes","IPP",IFERROR(IF(AND(Y12&gt;Z12,Y12&lt;AA12),"0",(VLOOKUP(Y12,'FLA Reading Logic'!$A$22:$B$53,2,FALSE))-(IF(VLOOKUP(Y12,'FLA Reading Logic'!$A$22:$B$53,2,FALSE)&lt;=VLOOKUP(Z12,'FLA Reading Logic'!$A$22:$B$53,2,FALSE),VLOOKUP(Z12,'FLA Reading Logic'!$A$22:$B$53,2,FALSE),IF(VLOOKUP(Y12,'FLA Reading Logic'!$A$22:$B$53,2,FALSE)&gt;=VLOOKUP(AA12,'FLA Reading Logic'!$A$22:$B$53,2,FALSE),VLOOKUP(AA12,'FLA Reading Logic'!$A$22:$B$53,2,FALSE),"No Score")))),"No Value"))</f>
        <v>No Value</v>
      </c>
      <c r="AC12" s="97" t="str">
        <f>IFERROR(VLOOKUP(Y12,'FLA Reading Logic'!$A$22:$B$48,2,FALSE)-VLOOKUP($F12,'FLA Reading Logic'!$A$22:$B$48,2,FALSE),"No Value")</f>
        <v>No Value</v>
      </c>
      <c r="AD12" s="96" t="str">
        <f>IF($E12="Yes","IPP",IFERROR(IF(AND(Y12&gt;$J12,Y12&lt;$K12),"0",(VLOOKUP(Y12,'FLA Reading Logic'!$A$22:$B$53,2,FALSE))-(IF(VLOOKUP(Y12,'FLA Reading Logic'!$A$22:$B$53,2,FALSE)&lt;=VLOOKUP($J12,'FLA Reading Logic'!$A$22:$B$53,2,FALSE),VLOOKUP($J12,'FLA Reading Logic'!$A$22:$B$53,2,FALSE),IF(VLOOKUP(Y12,'FLA Reading Logic'!$A$22:$B$53,2,FALSE)&gt;=VLOOKUP($K12,'FLA Reading Logic'!$A$22:$B$53,2,FALSE),VLOOKUP($K12,'FLA Reading Logic'!$A$22:$B$53,2,FALSE),"No Score")))),"No Value"))</f>
        <v>No Value</v>
      </c>
      <c r="AE12" s="179"/>
      <c r="AF12" s="96" t="str">
        <f>IFERROR(IF($E12="Yes","IPP",VLOOKUP($L12,'FLA Reading Logic'!$A$3:$K$9,VLOOKUP(AE$1,'FLA Reading Logic'!$J$22:$K$31,2,FALSE),FALSE)),"Set Grade")</f>
        <v>Set Grade</v>
      </c>
      <c r="AG12" s="96" t="str">
        <f>IFERROR(IF($E12="Yes","IPP",VLOOKUP($L12,'FLA Reading Logic'!$A$13:$K$19,VLOOKUP(AE$1,'FLA Reading Logic'!$J$22:$K$31,2,FALSE),FALSE)),"Set Grade")</f>
        <v>Set Grade</v>
      </c>
      <c r="AH12" s="98" t="str">
        <f>IF($E12="Yes","IPP",IFERROR(IF(AND(AE12&gt;AF12,AE12&lt;AG12),"0",(VLOOKUP(AE12,'FLA Reading Logic'!$A$22:$B$53,2,FALSE))-(IF(VLOOKUP(AE12,'FLA Reading Logic'!$A$22:$B$53,2,FALSE)&lt;=VLOOKUP(AF12,'FLA Reading Logic'!$A$22:$B$53,2,FALSE),VLOOKUP(AF12,'FLA Reading Logic'!$A$22:$B$53,2,FALSE),IF(VLOOKUP(AE12,'FLA Reading Logic'!$A$22:$B$53,2,FALSE)&gt;=VLOOKUP(AG12,'FLA Reading Logic'!$A$22:$B$53,2,FALSE),VLOOKUP(AG12,'FLA Reading Logic'!$A$22:$B$53,2,FALSE),"No Score")))),"No Value"))</f>
        <v>No Value</v>
      </c>
      <c r="AI12" s="96" t="str">
        <f>IFERROR(VLOOKUP(AE12,'FLA Reading Logic'!$A$22:$B$48,2,FALSE)-VLOOKUP($F12,'FLA Reading Logic'!$A$22:$B$48,2,FALSE),"No Value")</f>
        <v>No Value</v>
      </c>
      <c r="AJ12" s="96" t="str">
        <f>IF($E12="Yes","IPP",IFERROR(IF(AND(AE12&gt;$J12,AE12&lt;$K12),"0",(VLOOKUP(AE12,'FLA Reading Logic'!$A$22:$B$53,2,FALSE))-(IF(VLOOKUP(AE12,'FLA Reading Logic'!$A$22:$B$53,2,FALSE)&lt;=VLOOKUP($J12,'FLA Reading Logic'!$A$22:$B$53,2,FALSE),VLOOKUP($J12,'FLA Reading Logic'!$A$22:$B$53,2,FALSE),IF(VLOOKUP(AE12,'FLA Reading Logic'!$A$22:$B$53,2,FALSE)&gt;=VLOOKUP($K12,'FLA Reading Logic'!$A$22:$B$53,2,FALSE),VLOOKUP($K12,'FLA Reading Logic'!$A$22:$B$53,2,FALSE),"No Score")))),"No Value"))</f>
        <v>No Value</v>
      </c>
      <c r="AK12" s="179"/>
      <c r="AL12" s="96" t="str">
        <f>IFERROR(IF($E12="Yes","IPP",VLOOKUP($L12,'FLA Reading Logic'!$A$3:$K$9,VLOOKUP(AK$1,'FLA Reading Logic'!$J$22:$K$31,2,FALSE),FALSE)),"Set Grade")</f>
        <v>Set Grade</v>
      </c>
      <c r="AM12" s="96" t="str">
        <f>IFERROR(IF($E12="Yes","IPP",VLOOKUP($L12,'FLA Reading Logic'!$A$13:$K$19,VLOOKUP(AK$1,'FLA Reading Logic'!$J$22:$K$31,2,FALSE),FALSE)),"Set Grade")</f>
        <v>Set Grade</v>
      </c>
      <c r="AN12" s="98" t="str">
        <f>IF($E12="Yes","IPP",IFERROR(IF(AND(AK12&gt;AL12,AK12&lt;AM12),"0",(VLOOKUP(AK12,'FLA Reading Logic'!$A$22:$B$53,2,FALSE))-(IF(VLOOKUP(AK12,'FLA Reading Logic'!$A$22:$B$53,2,FALSE)&lt;=VLOOKUP(AL12,'FLA Reading Logic'!$A$22:$B$53,2,FALSE),VLOOKUP(AL12,'FLA Reading Logic'!$A$22:$B$53,2,FALSE),IF(VLOOKUP(AK12,'FLA Reading Logic'!$A$22:$B$53,2,FALSE)&gt;=VLOOKUP(AM12,'FLA Reading Logic'!$A$22:$B$53,2,FALSE),VLOOKUP(AM12,'FLA Reading Logic'!$A$22:$B$53,2,FALSE),"No Score")))),"No Value"))</f>
        <v>No Value</v>
      </c>
      <c r="AO12" s="96" t="str">
        <f>IFERROR(VLOOKUP(AK12,'FLA Reading Logic'!$A$22:$B$48,2,FALSE)-VLOOKUP($F12,'FLA Reading Logic'!$A$22:$B$48,2,FALSE),"No Value")</f>
        <v>No Value</v>
      </c>
      <c r="AP12" s="96" t="str">
        <f>IF($E12="Yes","IPP",IFERROR(IF(AND(AK12&gt;$J12,AK12&lt;$K12),"0",(VLOOKUP(AK12,'FLA Reading Logic'!$A$22:$B$53,2,FALSE))-(IF(VLOOKUP(AK12,'FLA Reading Logic'!$A$22:$B$53,2,FALSE)&lt;=VLOOKUP($J12,'FLA Reading Logic'!$A$22:$B$53,2,FALSE),VLOOKUP($J12,'FLA Reading Logic'!$A$22:$B$53,2,FALSE),IF(VLOOKUP(AK12,'FLA Reading Logic'!$A$22:$B$53,2,FALSE)&gt;=VLOOKUP($K12,'FLA Reading Logic'!$A$22:$B$53,2,FALSE),VLOOKUP($K12,'FLA Reading Logic'!$A$22:$B$53,2,FALSE),"No Score")))),"No Value"))</f>
        <v>No Value</v>
      </c>
      <c r="AQ12" s="179"/>
      <c r="AR12" s="96" t="str">
        <f>IFERROR(IF($E12="Yes","IPP",VLOOKUP($L12,'FLA Reading Logic'!$A$3:$K$9,VLOOKUP(AQ$1,'FLA Reading Logic'!$J$22:$K$31,2,FALSE),FALSE)),"Set Grade")</f>
        <v>Set Grade</v>
      </c>
      <c r="AS12" s="96" t="str">
        <f>IFERROR(IF($E12="Yes","IPP",VLOOKUP($L12,'FLA Reading Logic'!$A$13:$K$19,VLOOKUP(AQ$1,'FLA Reading Logic'!$J$22:$K$31,2,FALSE),FALSE)),"Set Grade")</f>
        <v>Set Grade</v>
      </c>
      <c r="AT12" s="98" t="str">
        <f>IF($E12="Yes","IPP",IFERROR(IF(AND(AQ12&gt;AR12,AQ12&lt;AS12),"0",(VLOOKUP(AQ12,'FLA Reading Logic'!$A$22:$B$53,2,FALSE))-(IF(VLOOKUP(AQ12,'FLA Reading Logic'!$A$22:$B$53,2,FALSE)&lt;=VLOOKUP(AR12,'FLA Reading Logic'!$A$22:$B$53,2,FALSE),VLOOKUP(AR12,'FLA Reading Logic'!$A$22:$B$53,2,FALSE),IF(VLOOKUP(AQ12,'FLA Reading Logic'!$A$22:$B$53,2,FALSE)&gt;=VLOOKUP(AS12,'FLA Reading Logic'!$A$22:$B$53,2,FALSE),VLOOKUP(AS12,'FLA Reading Logic'!$A$22:$B$53,2,FALSE),"No Score")))),"No Value"))</f>
        <v>No Value</v>
      </c>
      <c r="AU12" s="96" t="str">
        <f>IFERROR(VLOOKUP(AQ12,'FLA Reading Logic'!$A$22:$B$48,2,FALSE)-VLOOKUP($F12,'FLA Reading Logic'!$A$22:$B$48,2,FALSE),"No Value")</f>
        <v>No Value</v>
      </c>
      <c r="AV12" s="96" t="str">
        <f>IF($E12="Yes","IPP",IFERROR(IF(AND(AQ12&gt;$J12,AQ12&lt;$K12),"0",(VLOOKUP(AQ12,'FLA Reading Logic'!$A$22:$B$53,2,FALSE))-(IF(VLOOKUP(AQ12,'FLA Reading Logic'!$A$22:$B$53,2,FALSE)&lt;=VLOOKUP($J12,'FLA Reading Logic'!$A$22:$B$53,2,FALSE),VLOOKUP($J12,'FLA Reading Logic'!$A$22:$B$53,2,FALSE),IF(VLOOKUP(AQ12,'FLA Reading Logic'!$A$22:$B$53,2,FALSE)&gt;=VLOOKUP($K12,'FLA Reading Logic'!$A$22:$B$53,2,FALSE),VLOOKUP($K12,'FLA Reading Logic'!$A$22:$B$53,2,FALSE),"No Score")))),"No Value"))</f>
        <v>No Value</v>
      </c>
      <c r="AW12" s="179"/>
      <c r="AX12" s="96" t="str">
        <f>IFERROR(IF($E12="Yes","IPP",VLOOKUP($L12,'FLA Reading Logic'!$A$3:$K$9,VLOOKUP(AW$1,'FLA Reading Logic'!$J$22:$K$31,2,FALSE),FALSE)),"Set Grade")</f>
        <v>Set Grade</v>
      </c>
      <c r="AY12" s="96" t="str">
        <f>IFERROR(IF($E12="Yes","IPP",VLOOKUP($L12,'FLA Reading Logic'!$A$13:$K$19,VLOOKUP(AW$1,'FLA Reading Logic'!$J$22:$K$31,2,FALSE),FALSE)),"Set Grade")</f>
        <v>Set Grade</v>
      </c>
      <c r="AZ12" s="98" t="str">
        <f>IF($E12="Yes","IPP",IFERROR(IF(AND(AW12&gt;AX12,AW12&lt;AY12),"0",(VLOOKUP(AW12,'FLA Reading Logic'!$A$22:$B$53,2,FALSE))-(IF(VLOOKUP(AW12,'FLA Reading Logic'!$A$22:$B$53,2,FALSE)&lt;=VLOOKUP(AX12,'FLA Reading Logic'!$A$22:$B$53,2,FALSE),VLOOKUP(AX12,'FLA Reading Logic'!$A$22:$B$53,2,FALSE),IF(VLOOKUP(AW12,'FLA Reading Logic'!$A$22:$B$53,2,FALSE)&gt;=VLOOKUP(AY12,'FLA Reading Logic'!$A$22:$B$53,2,FALSE),VLOOKUP(AY12,'FLA Reading Logic'!$A$22:$B$53,2,FALSE),"No Score")))),"No Value"))</f>
        <v>No Value</v>
      </c>
      <c r="BA12" s="96" t="str">
        <f>IFERROR(VLOOKUP(AW12,'FLA Reading Logic'!$A$22:$B$48,2,FALSE)-VLOOKUP($F12,'FLA Reading Logic'!$A$22:$B$48,2,FALSE),"No Value")</f>
        <v>No Value</v>
      </c>
      <c r="BB12" s="96" t="str">
        <f>IF($E12="Yes","IPP",IFERROR(IF(AND(AW12&gt;$J12,AW12&lt;$K12),"0",(VLOOKUP(AW12,'FLA Reading Logic'!$A$22:$B$53,2,FALSE))-(IF(VLOOKUP(AW12,'FLA Reading Logic'!$A$22:$B$53,2,FALSE)&lt;=VLOOKUP($J12,'FLA Reading Logic'!$A$22:$B$53,2,FALSE),VLOOKUP($J12,'FLA Reading Logic'!$A$22:$B$53,2,FALSE),IF(VLOOKUP(AW12,'FLA Reading Logic'!$A$22:$B$53,2,FALSE)&gt;=VLOOKUP($K12,'FLA Reading Logic'!$A$22:$B$53,2,FALSE),VLOOKUP($K12,'FLA Reading Logic'!$A$22:$B$53,2,FALSE),"No Score")))),"No Value"))</f>
        <v>No Value</v>
      </c>
    </row>
    <row r="13" spans="1:54" ht="26.25" customHeight="1" thickBot="1" x14ac:dyDescent="0.3">
      <c r="A13" s="96"/>
      <c r="B13" s="98"/>
      <c r="C13" s="98"/>
      <c r="D13" s="98"/>
      <c r="E13" s="179"/>
      <c r="F13" s="92"/>
      <c r="G13" s="98" t="str">
        <f>IFERROR(IF($E13="Yes","IPP",VLOOKUP($J13,'ELA Reading Logic'!$A$3:$K$9,VLOOKUP("September",'ELA Reading Logic'!$J$22:$K$31,2,FALSE),FALSE)),"Set Grade")</f>
        <v>Set Grade</v>
      </c>
      <c r="H13" s="98" t="str">
        <f>IFERROR(IF($E13="Yes","IPP",VLOOKUP($J13,'ELA Reading Logic'!$A$13:$K$19,VLOOKUP("September",'ELA Reading Logic'!$J$22:$K$31,2,FALSE),FALSE)),"Set Grade")</f>
        <v>Set Grade</v>
      </c>
      <c r="I13" s="98" t="str">
        <f>IF($E13="Yes","IPP",IFERROR(IF(AND(F13&gt;G13,F13&lt;H13),"0",(VLOOKUP(F13,'ELA Reading Logic'!$A$22:$B$48,2,FALSE))-(IF(VLOOKUP(F13,'ELA Reading Logic'!$A$22:$B$48,2,FALSE)&lt;=VLOOKUP(G13,'ELA Reading Logic'!$A$22:$B$48,2,FALSE),VLOOKUP(G13,'ELA Reading Logic'!$A$22:$B$48,2,FALSE),IF(VLOOKUP(F13,'ELA Reading Logic'!$A$22:$B$48,2,FALSE)&gt;=VLOOKUP(H13,'ELA Reading Logic'!$A$22:$B$48,2,FALSE),VLOOKUP(H13,'ELA Reading Logic'!$A$22:$B$48,2,FALSE),"No Score")))),"No Value"))</f>
        <v>No Value</v>
      </c>
      <c r="J13" s="96" t="str">
        <f>IFERROR(VLOOKUP($L13,'FLA Reading Logic'!$A$3:$K$9,11,FALSE),"Set Grade")</f>
        <v>Set Grade</v>
      </c>
      <c r="K13" s="96" t="str">
        <f>IFERROR(VLOOKUP($L13,'FLA Reading Logic'!$A$13:$K$19,11,FALSE),"Set Grade")</f>
        <v>Set Grade</v>
      </c>
      <c r="L13" s="180"/>
      <c r="M13" s="98"/>
      <c r="N13" s="98"/>
      <c r="O13" s="98"/>
      <c r="P13" s="98"/>
      <c r="Q13" s="98"/>
      <c r="R13" s="181"/>
      <c r="S13" s="182"/>
      <c r="T13" s="98" t="str">
        <f>IFERROR(IF($E13="Yes","IPP",VLOOKUP($L13,'FLA Reading Logic'!$A$3:$K$9,VLOOKUP(S$1,'FLA Reading Logic'!$J$22:$K$31,2,FALSE),FALSE)),"Set Grade")</f>
        <v>Set Grade</v>
      </c>
      <c r="U13" s="98" t="str">
        <f>IFERROR(IF($E13="Yes","IPP",VLOOKUP($L13,'FLA Reading Logic'!$A$13:$K$19,VLOOKUP(S$1,'FLA Reading Logic'!$J$22:$K$31,2,FALSE),FALSE)),"Set Grade")</f>
        <v>Set Grade</v>
      </c>
      <c r="V13" s="98" t="str">
        <f>IF($E13="Yes","IPP",IFERROR(IF(AND(S13&gt;T13,S13&lt;U13),"0",(VLOOKUP(S13,'FLA Reading Logic'!$A$22:$B$53,2,FALSE))-(IF(VLOOKUP(S13,'FLA Reading Logic'!$A$22:$B$53,2,FALSE)&lt;=VLOOKUP(T13,'FLA Reading Logic'!$A$22:$B$53,2,FALSE),VLOOKUP(T13,'FLA Reading Logic'!$A$22:$B$53,2,FALSE),IF(VLOOKUP(S13,'FLA Reading Logic'!$A$22:$B$53,2,FALSE)&gt;=VLOOKUP(U13,'FLA Reading Logic'!$A$22:$B$53,2,FALSE),VLOOKUP(U13,'FLA Reading Logic'!$A$22:$B$53,2,FALSE),"No Score")))),"No Value"))</f>
        <v>No Value</v>
      </c>
      <c r="W13" s="98" t="str">
        <f>IFERROR(VLOOKUP(S13,'FLA Reading Logic'!$A$22:$B$53,2,FALSE)-VLOOKUP($F13,'FLA Reading Logic'!$A$22:$B$53,2,FALSE),"No Value")</f>
        <v>No Value</v>
      </c>
      <c r="X13" s="96" t="str">
        <f>IF($E13="Yes","IPP",IFERROR(IF(AND(S13&gt;$J13,S13&lt;$K13),"0",(VLOOKUP(S13,'FLA Reading Logic'!$A$22:$B$53,2,FALSE))-(IF(VLOOKUP(S13,'FLA Reading Logic'!$A$22:$B$53,2,FALSE)&lt;=VLOOKUP($J13,'FLA Reading Logic'!$A$22:$B$53,2,FALSE),VLOOKUP($J13,'FLA Reading Logic'!$A$22:$B$53,2,FALSE),IF(VLOOKUP(S13,'FLA Reading Logic'!$A$22:$B$53,2,FALSE)&gt;=VLOOKUP($K13,'FLA Reading Logic'!$A$22:$B$53,2,FALSE),VLOOKUP($K13,'FLA Reading Logic'!$A$22:$B$53,2,FALSE),"No Score")))),"No Value"))</f>
        <v>No Value</v>
      </c>
      <c r="Y13" s="179"/>
      <c r="Z13" s="98" t="str">
        <f>IFERROR(IF($E13="Yes","IPP",VLOOKUP($L13,'FLA Reading Logic'!$A$3:$K$9,VLOOKUP(Y$1,'FLA Reading Logic'!$J$22:$K$31,2,FALSE),FALSE)),"Set Grade")</f>
        <v>Set Grade</v>
      </c>
      <c r="AA13" s="98" t="str">
        <f>IFERROR(IF($E13="Yes","IPP",VLOOKUP($L13,'FLA Reading Logic'!$A$13:$K$19,VLOOKUP(Y$1,'FLA Reading Logic'!$J$22:$K$31,2,FALSE),FALSE)),"Set Grade")</f>
        <v>Set Grade</v>
      </c>
      <c r="AB13" s="98" t="str">
        <f>IF($E13="Yes","IPP",IFERROR(IF(AND(Y13&gt;Z13,Y13&lt;AA13),"0",(VLOOKUP(Y13,'FLA Reading Logic'!$A$22:$B$53,2,FALSE))-(IF(VLOOKUP(Y13,'FLA Reading Logic'!$A$22:$B$53,2,FALSE)&lt;=VLOOKUP(Z13,'FLA Reading Logic'!$A$22:$B$53,2,FALSE),VLOOKUP(Z13,'FLA Reading Logic'!$A$22:$B$53,2,FALSE),IF(VLOOKUP(Y13,'FLA Reading Logic'!$A$22:$B$53,2,FALSE)&gt;=VLOOKUP(AA13,'FLA Reading Logic'!$A$22:$B$53,2,FALSE),VLOOKUP(AA13,'FLA Reading Logic'!$A$22:$B$53,2,FALSE),"No Score")))),"No Value"))</f>
        <v>No Value</v>
      </c>
      <c r="AC13" s="97" t="str">
        <f>IFERROR(VLOOKUP(Y13,'FLA Reading Logic'!$A$22:$B$48,2,FALSE)-VLOOKUP($F13,'FLA Reading Logic'!$A$22:$B$48,2,FALSE),"No Value")</f>
        <v>No Value</v>
      </c>
      <c r="AD13" s="96" t="str">
        <f>IF($E13="Yes","IPP",IFERROR(IF(AND(Y13&gt;$J13,Y13&lt;$K13),"0",(VLOOKUP(Y13,'FLA Reading Logic'!$A$22:$B$53,2,FALSE))-(IF(VLOOKUP(Y13,'FLA Reading Logic'!$A$22:$B$53,2,FALSE)&lt;=VLOOKUP($J13,'FLA Reading Logic'!$A$22:$B$53,2,FALSE),VLOOKUP($J13,'FLA Reading Logic'!$A$22:$B$53,2,FALSE),IF(VLOOKUP(Y13,'FLA Reading Logic'!$A$22:$B$53,2,FALSE)&gt;=VLOOKUP($K13,'FLA Reading Logic'!$A$22:$B$53,2,FALSE),VLOOKUP($K13,'FLA Reading Logic'!$A$22:$B$53,2,FALSE),"No Score")))),"No Value"))</f>
        <v>No Value</v>
      </c>
      <c r="AE13" s="179"/>
      <c r="AF13" s="96" t="str">
        <f>IFERROR(IF($E13="Yes","IPP",VLOOKUP($L13,'FLA Reading Logic'!$A$3:$K$9,VLOOKUP(AE$1,'FLA Reading Logic'!$J$22:$K$31,2,FALSE),FALSE)),"Set Grade")</f>
        <v>Set Grade</v>
      </c>
      <c r="AG13" s="96" t="str">
        <f>IFERROR(IF($E13="Yes","IPP",VLOOKUP($L13,'FLA Reading Logic'!$A$13:$K$19,VLOOKUP(AE$1,'FLA Reading Logic'!$J$22:$K$31,2,FALSE),FALSE)),"Set Grade")</f>
        <v>Set Grade</v>
      </c>
      <c r="AH13" s="98" t="str">
        <f>IF($E13="Yes","IPP",IFERROR(IF(AND(AE13&gt;AF13,AE13&lt;AG13),"0",(VLOOKUP(AE13,'FLA Reading Logic'!$A$22:$B$53,2,FALSE))-(IF(VLOOKUP(AE13,'FLA Reading Logic'!$A$22:$B$53,2,FALSE)&lt;=VLOOKUP(AF13,'FLA Reading Logic'!$A$22:$B$53,2,FALSE),VLOOKUP(AF13,'FLA Reading Logic'!$A$22:$B$53,2,FALSE),IF(VLOOKUP(AE13,'FLA Reading Logic'!$A$22:$B$53,2,FALSE)&gt;=VLOOKUP(AG13,'FLA Reading Logic'!$A$22:$B$53,2,FALSE),VLOOKUP(AG13,'FLA Reading Logic'!$A$22:$B$53,2,FALSE),"No Score")))),"No Value"))</f>
        <v>No Value</v>
      </c>
      <c r="AI13" s="96" t="str">
        <f>IFERROR(VLOOKUP(AE13,'FLA Reading Logic'!$A$22:$B$48,2,FALSE)-VLOOKUP($F13,'FLA Reading Logic'!$A$22:$B$48,2,FALSE),"No Value")</f>
        <v>No Value</v>
      </c>
      <c r="AJ13" s="96" t="str">
        <f>IF($E13="Yes","IPP",IFERROR(IF(AND(AE13&gt;$J13,AE13&lt;$K13),"0",(VLOOKUP(AE13,'FLA Reading Logic'!$A$22:$B$53,2,FALSE))-(IF(VLOOKUP(AE13,'FLA Reading Logic'!$A$22:$B$53,2,FALSE)&lt;=VLOOKUP($J13,'FLA Reading Logic'!$A$22:$B$53,2,FALSE),VLOOKUP($J13,'FLA Reading Logic'!$A$22:$B$53,2,FALSE),IF(VLOOKUP(AE13,'FLA Reading Logic'!$A$22:$B$53,2,FALSE)&gt;=VLOOKUP($K13,'FLA Reading Logic'!$A$22:$B$53,2,FALSE),VLOOKUP($K13,'FLA Reading Logic'!$A$22:$B$53,2,FALSE),"No Score")))),"No Value"))</f>
        <v>No Value</v>
      </c>
      <c r="AK13" s="179"/>
      <c r="AL13" s="96" t="str">
        <f>IFERROR(IF($E13="Yes","IPP",VLOOKUP($L13,'FLA Reading Logic'!$A$3:$K$9,VLOOKUP(AK$1,'FLA Reading Logic'!$J$22:$K$31,2,FALSE),FALSE)),"Set Grade")</f>
        <v>Set Grade</v>
      </c>
      <c r="AM13" s="96" t="str">
        <f>IFERROR(IF($E13="Yes","IPP",VLOOKUP($L13,'FLA Reading Logic'!$A$13:$K$19,VLOOKUP(AK$1,'FLA Reading Logic'!$J$22:$K$31,2,FALSE),FALSE)),"Set Grade")</f>
        <v>Set Grade</v>
      </c>
      <c r="AN13" s="98" t="str">
        <f>IF($E13="Yes","IPP",IFERROR(IF(AND(AK13&gt;AL13,AK13&lt;AM13),"0",(VLOOKUP(AK13,'FLA Reading Logic'!$A$22:$B$53,2,FALSE))-(IF(VLOOKUP(AK13,'FLA Reading Logic'!$A$22:$B$53,2,FALSE)&lt;=VLOOKUP(AL13,'FLA Reading Logic'!$A$22:$B$53,2,FALSE),VLOOKUP(AL13,'FLA Reading Logic'!$A$22:$B$53,2,FALSE),IF(VLOOKUP(AK13,'FLA Reading Logic'!$A$22:$B$53,2,FALSE)&gt;=VLOOKUP(AM13,'FLA Reading Logic'!$A$22:$B$53,2,FALSE),VLOOKUP(AM13,'FLA Reading Logic'!$A$22:$B$53,2,FALSE),"No Score")))),"No Value"))</f>
        <v>No Value</v>
      </c>
      <c r="AO13" s="96" t="str">
        <f>IFERROR(VLOOKUP(AK13,'FLA Reading Logic'!$A$22:$B$48,2,FALSE)-VLOOKUP($F13,'FLA Reading Logic'!$A$22:$B$48,2,FALSE),"No Value")</f>
        <v>No Value</v>
      </c>
      <c r="AP13" s="96" t="str">
        <f>IF($E13="Yes","IPP",IFERROR(IF(AND(AK13&gt;$J13,AK13&lt;$K13),"0",(VLOOKUP(AK13,'FLA Reading Logic'!$A$22:$B$53,2,FALSE))-(IF(VLOOKUP(AK13,'FLA Reading Logic'!$A$22:$B$53,2,FALSE)&lt;=VLOOKUP($J13,'FLA Reading Logic'!$A$22:$B$53,2,FALSE),VLOOKUP($J13,'FLA Reading Logic'!$A$22:$B$53,2,FALSE),IF(VLOOKUP(AK13,'FLA Reading Logic'!$A$22:$B$53,2,FALSE)&gt;=VLOOKUP($K13,'FLA Reading Logic'!$A$22:$B$53,2,FALSE),VLOOKUP($K13,'FLA Reading Logic'!$A$22:$B$53,2,FALSE),"No Score")))),"No Value"))</f>
        <v>No Value</v>
      </c>
      <c r="AQ13" s="179"/>
      <c r="AR13" s="96" t="str">
        <f>IFERROR(IF($E13="Yes","IPP",VLOOKUP($L13,'FLA Reading Logic'!$A$3:$K$9,VLOOKUP(AQ$1,'FLA Reading Logic'!$J$22:$K$31,2,FALSE),FALSE)),"Set Grade")</f>
        <v>Set Grade</v>
      </c>
      <c r="AS13" s="96" t="str">
        <f>IFERROR(IF($E13="Yes","IPP",VLOOKUP($L13,'FLA Reading Logic'!$A$13:$K$19,VLOOKUP(AQ$1,'FLA Reading Logic'!$J$22:$K$31,2,FALSE),FALSE)),"Set Grade")</f>
        <v>Set Grade</v>
      </c>
      <c r="AT13" s="98" t="str">
        <f>IF($E13="Yes","IPP",IFERROR(IF(AND(AQ13&gt;AR13,AQ13&lt;AS13),"0",(VLOOKUP(AQ13,'FLA Reading Logic'!$A$22:$B$53,2,FALSE))-(IF(VLOOKUP(AQ13,'FLA Reading Logic'!$A$22:$B$53,2,FALSE)&lt;=VLOOKUP(AR13,'FLA Reading Logic'!$A$22:$B$53,2,FALSE),VLOOKUP(AR13,'FLA Reading Logic'!$A$22:$B$53,2,FALSE),IF(VLOOKUP(AQ13,'FLA Reading Logic'!$A$22:$B$53,2,FALSE)&gt;=VLOOKUP(AS13,'FLA Reading Logic'!$A$22:$B$53,2,FALSE),VLOOKUP(AS13,'FLA Reading Logic'!$A$22:$B$53,2,FALSE),"No Score")))),"No Value"))</f>
        <v>No Value</v>
      </c>
      <c r="AU13" s="96" t="str">
        <f>IFERROR(VLOOKUP(AQ13,'FLA Reading Logic'!$A$22:$B$48,2,FALSE)-VLOOKUP($F13,'FLA Reading Logic'!$A$22:$B$48,2,FALSE),"No Value")</f>
        <v>No Value</v>
      </c>
      <c r="AV13" s="96" t="str">
        <f>IF($E13="Yes","IPP",IFERROR(IF(AND(AQ13&gt;$J13,AQ13&lt;$K13),"0",(VLOOKUP(AQ13,'FLA Reading Logic'!$A$22:$B$53,2,FALSE))-(IF(VLOOKUP(AQ13,'FLA Reading Logic'!$A$22:$B$53,2,FALSE)&lt;=VLOOKUP($J13,'FLA Reading Logic'!$A$22:$B$53,2,FALSE),VLOOKUP($J13,'FLA Reading Logic'!$A$22:$B$53,2,FALSE),IF(VLOOKUP(AQ13,'FLA Reading Logic'!$A$22:$B$53,2,FALSE)&gt;=VLOOKUP($K13,'FLA Reading Logic'!$A$22:$B$53,2,FALSE),VLOOKUP($K13,'FLA Reading Logic'!$A$22:$B$53,2,FALSE),"No Score")))),"No Value"))</f>
        <v>No Value</v>
      </c>
      <c r="AW13" s="179"/>
      <c r="AX13" s="96" t="str">
        <f>IFERROR(IF($E13="Yes","IPP",VLOOKUP($L13,'FLA Reading Logic'!$A$3:$K$9,VLOOKUP(AW$1,'FLA Reading Logic'!$J$22:$K$31,2,FALSE),FALSE)),"Set Grade")</f>
        <v>Set Grade</v>
      </c>
      <c r="AY13" s="96" t="str">
        <f>IFERROR(IF($E13="Yes","IPP",VLOOKUP($L13,'FLA Reading Logic'!$A$13:$K$19,VLOOKUP(AW$1,'FLA Reading Logic'!$J$22:$K$31,2,FALSE),FALSE)),"Set Grade")</f>
        <v>Set Grade</v>
      </c>
      <c r="AZ13" s="98" t="str">
        <f>IF($E13="Yes","IPP",IFERROR(IF(AND(AW13&gt;AX13,AW13&lt;AY13),"0",(VLOOKUP(AW13,'FLA Reading Logic'!$A$22:$B$53,2,FALSE))-(IF(VLOOKUP(AW13,'FLA Reading Logic'!$A$22:$B$53,2,FALSE)&lt;=VLOOKUP(AX13,'FLA Reading Logic'!$A$22:$B$53,2,FALSE),VLOOKUP(AX13,'FLA Reading Logic'!$A$22:$B$53,2,FALSE),IF(VLOOKUP(AW13,'FLA Reading Logic'!$A$22:$B$53,2,FALSE)&gt;=VLOOKUP(AY13,'FLA Reading Logic'!$A$22:$B$53,2,FALSE),VLOOKUP(AY13,'FLA Reading Logic'!$A$22:$B$53,2,FALSE),"No Score")))),"No Value"))</f>
        <v>No Value</v>
      </c>
      <c r="BA13" s="96" t="str">
        <f>IFERROR(VLOOKUP(AW13,'FLA Reading Logic'!$A$22:$B$48,2,FALSE)-VLOOKUP($F13,'FLA Reading Logic'!$A$22:$B$48,2,FALSE),"No Value")</f>
        <v>No Value</v>
      </c>
      <c r="BB13" s="96" t="str">
        <f>IF($E13="Yes","IPP",IFERROR(IF(AND(AW13&gt;$J13,AW13&lt;$K13),"0",(VLOOKUP(AW13,'FLA Reading Logic'!$A$22:$B$53,2,FALSE))-(IF(VLOOKUP(AW13,'FLA Reading Logic'!$A$22:$B$53,2,FALSE)&lt;=VLOOKUP($J13,'FLA Reading Logic'!$A$22:$B$53,2,FALSE),VLOOKUP($J13,'FLA Reading Logic'!$A$22:$B$53,2,FALSE),IF(VLOOKUP(AW13,'FLA Reading Logic'!$A$22:$B$53,2,FALSE)&gt;=VLOOKUP($K13,'FLA Reading Logic'!$A$22:$B$53,2,FALSE),VLOOKUP($K13,'FLA Reading Logic'!$A$22:$B$53,2,FALSE),"No Score")))),"No Value"))</f>
        <v>No Value</v>
      </c>
    </row>
    <row r="14" spans="1:54" ht="26.25" customHeight="1" thickBot="1" x14ac:dyDescent="0.3">
      <c r="A14" s="96"/>
      <c r="B14" s="98"/>
      <c r="C14" s="98"/>
      <c r="D14" s="98"/>
      <c r="E14" s="179"/>
      <c r="F14" s="92"/>
      <c r="G14" s="98" t="str">
        <f>IFERROR(IF($E14="Yes","IPP",VLOOKUP($J14,'ELA Reading Logic'!$A$3:$K$9,VLOOKUP("September",'ELA Reading Logic'!$J$22:$K$31,2,FALSE),FALSE)),"Set Grade")</f>
        <v>Set Grade</v>
      </c>
      <c r="H14" s="98" t="str">
        <f>IFERROR(IF($E14="Yes","IPP",VLOOKUP($J14,'ELA Reading Logic'!$A$13:$K$19,VLOOKUP("September",'ELA Reading Logic'!$J$22:$K$31,2,FALSE),FALSE)),"Set Grade")</f>
        <v>Set Grade</v>
      </c>
      <c r="I14" s="98" t="str">
        <f>IF($E14="Yes","IPP",IFERROR(IF(AND(F14&gt;G14,F14&lt;H14),"0",(VLOOKUP(F14,'ELA Reading Logic'!$A$22:$B$48,2,FALSE))-(IF(VLOOKUP(F14,'ELA Reading Logic'!$A$22:$B$48,2,FALSE)&lt;=VLOOKUP(G14,'ELA Reading Logic'!$A$22:$B$48,2,FALSE),VLOOKUP(G14,'ELA Reading Logic'!$A$22:$B$48,2,FALSE),IF(VLOOKUP(F14,'ELA Reading Logic'!$A$22:$B$48,2,FALSE)&gt;=VLOOKUP(H14,'ELA Reading Logic'!$A$22:$B$48,2,FALSE),VLOOKUP(H14,'ELA Reading Logic'!$A$22:$B$48,2,FALSE),"No Score")))),"No Value"))</f>
        <v>No Value</v>
      </c>
      <c r="J14" s="96" t="str">
        <f>IFERROR(VLOOKUP($L14,'FLA Reading Logic'!$A$3:$K$9,11,FALSE),"Set Grade")</f>
        <v>Set Grade</v>
      </c>
      <c r="K14" s="96" t="str">
        <f>IFERROR(VLOOKUP($L14,'FLA Reading Logic'!$A$13:$K$19,11,FALSE),"Set Grade")</f>
        <v>Set Grade</v>
      </c>
      <c r="L14" s="180"/>
      <c r="M14" s="98"/>
      <c r="N14" s="98"/>
      <c r="O14" s="98"/>
      <c r="P14" s="98"/>
      <c r="Q14" s="98"/>
      <c r="R14" s="181"/>
      <c r="S14" s="182"/>
      <c r="T14" s="98" t="str">
        <f>IFERROR(IF($E14="Yes","IPP",VLOOKUP($L14,'FLA Reading Logic'!$A$3:$K$9,VLOOKUP(S$1,'FLA Reading Logic'!$J$22:$K$31,2,FALSE),FALSE)),"Set Grade")</f>
        <v>Set Grade</v>
      </c>
      <c r="U14" s="98" t="str">
        <f>IFERROR(IF($E14="Yes","IPP",VLOOKUP($L14,'FLA Reading Logic'!$A$13:$K$19,VLOOKUP(S$1,'FLA Reading Logic'!$J$22:$K$31,2,FALSE),FALSE)),"Set Grade")</f>
        <v>Set Grade</v>
      </c>
      <c r="V14" s="98" t="str">
        <f>IF($E14="Yes","IPP",IFERROR(IF(AND(S14&gt;T14,S14&lt;U14),"0",(VLOOKUP(S14,'FLA Reading Logic'!$A$22:$B$53,2,FALSE))-(IF(VLOOKUP(S14,'FLA Reading Logic'!$A$22:$B$53,2,FALSE)&lt;=VLOOKUP(T14,'FLA Reading Logic'!$A$22:$B$53,2,FALSE),VLOOKUP(T14,'FLA Reading Logic'!$A$22:$B$53,2,FALSE),IF(VLOOKUP(S14,'FLA Reading Logic'!$A$22:$B$53,2,FALSE)&gt;=VLOOKUP(U14,'FLA Reading Logic'!$A$22:$B$53,2,FALSE),VLOOKUP(U14,'FLA Reading Logic'!$A$22:$B$53,2,FALSE),"No Score")))),"No Value"))</f>
        <v>No Value</v>
      </c>
      <c r="W14" s="98" t="str">
        <f>IFERROR(VLOOKUP(S14,'FLA Reading Logic'!$A$22:$B$53,2,FALSE)-VLOOKUP($F14,'FLA Reading Logic'!$A$22:$B$53,2,FALSE),"No Value")</f>
        <v>No Value</v>
      </c>
      <c r="X14" s="96" t="str">
        <f>IF($E14="Yes","IPP",IFERROR(IF(AND(S14&gt;$J14,S14&lt;$K14),"0",(VLOOKUP(S14,'FLA Reading Logic'!$A$22:$B$53,2,FALSE))-(IF(VLOOKUP(S14,'FLA Reading Logic'!$A$22:$B$53,2,FALSE)&lt;=VLOOKUP($J14,'FLA Reading Logic'!$A$22:$B$53,2,FALSE),VLOOKUP($J14,'FLA Reading Logic'!$A$22:$B$53,2,FALSE),IF(VLOOKUP(S14,'FLA Reading Logic'!$A$22:$B$53,2,FALSE)&gt;=VLOOKUP($K14,'FLA Reading Logic'!$A$22:$B$53,2,FALSE),VLOOKUP($K14,'FLA Reading Logic'!$A$22:$B$53,2,FALSE),"No Score")))),"No Value"))</f>
        <v>No Value</v>
      </c>
      <c r="Y14" s="179"/>
      <c r="Z14" s="98" t="str">
        <f>IFERROR(IF($E14="Yes","IPP",VLOOKUP($L14,'FLA Reading Logic'!$A$3:$K$9,VLOOKUP(Y$1,'FLA Reading Logic'!$J$22:$K$31,2,FALSE),FALSE)),"Set Grade")</f>
        <v>Set Grade</v>
      </c>
      <c r="AA14" s="98" t="str">
        <f>IFERROR(IF($E14="Yes","IPP",VLOOKUP($L14,'FLA Reading Logic'!$A$13:$K$19,VLOOKUP(Y$1,'FLA Reading Logic'!$J$22:$K$31,2,FALSE),FALSE)),"Set Grade")</f>
        <v>Set Grade</v>
      </c>
      <c r="AB14" s="98" t="str">
        <f>IF($E14="Yes","IPP",IFERROR(IF(AND(Y14&gt;Z14,Y14&lt;AA14),"0",(VLOOKUP(Y14,'FLA Reading Logic'!$A$22:$B$53,2,FALSE))-(IF(VLOOKUP(Y14,'FLA Reading Logic'!$A$22:$B$53,2,FALSE)&lt;=VLOOKUP(Z14,'FLA Reading Logic'!$A$22:$B$53,2,FALSE),VLOOKUP(Z14,'FLA Reading Logic'!$A$22:$B$53,2,FALSE),IF(VLOOKUP(Y14,'FLA Reading Logic'!$A$22:$B$53,2,FALSE)&gt;=VLOOKUP(AA14,'FLA Reading Logic'!$A$22:$B$53,2,FALSE),VLOOKUP(AA14,'FLA Reading Logic'!$A$22:$B$53,2,FALSE),"No Score")))),"No Value"))</f>
        <v>No Value</v>
      </c>
      <c r="AC14" s="97" t="str">
        <f>IFERROR(VLOOKUP(Y14,'FLA Reading Logic'!$A$22:$B$48,2,FALSE)-VLOOKUP($F14,'FLA Reading Logic'!$A$22:$B$48,2,FALSE),"No Value")</f>
        <v>No Value</v>
      </c>
      <c r="AD14" s="96" t="str">
        <f>IF($E14="Yes","IPP",IFERROR(IF(AND(Y14&gt;$J14,Y14&lt;$K14),"0",(VLOOKUP(Y14,'FLA Reading Logic'!$A$22:$B$53,2,FALSE))-(IF(VLOOKUP(Y14,'FLA Reading Logic'!$A$22:$B$53,2,FALSE)&lt;=VLOOKUP($J14,'FLA Reading Logic'!$A$22:$B$53,2,FALSE),VLOOKUP($J14,'FLA Reading Logic'!$A$22:$B$53,2,FALSE),IF(VLOOKUP(Y14,'FLA Reading Logic'!$A$22:$B$53,2,FALSE)&gt;=VLOOKUP($K14,'FLA Reading Logic'!$A$22:$B$53,2,FALSE),VLOOKUP($K14,'FLA Reading Logic'!$A$22:$B$53,2,FALSE),"No Score")))),"No Value"))</f>
        <v>No Value</v>
      </c>
      <c r="AE14" s="179"/>
      <c r="AF14" s="96" t="str">
        <f>IFERROR(IF($E14="Yes","IPP",VLOOKUP($L14,'FLA Reading Logic'!$A$3:$K$9,VLOOKUP(AE$1,'FLA Reading Logic'!$J$22:$K$31,2,FALSE),FALSE)),"Set Grade")</f>
        <v>Set Grade</v>
      </c>
      <c r="AG14" s="96" t="str">
        <f>IFERROR(IF($E14="Yes","IPP",VLOOKUP($L14,'FLA Reading Logic'!$A$13:$K$19,VLOOKUP(AE$1,'FLA Reading Logic'!$J$22:$K$31,2,FALSE),FALSE)),"Set Grade")</f>
        <v>Set Grade</v>
      </c>
      <c r="AH14" s="98" t="str">
        <f>IF($E14="Yes","IPP",IFERROR(IF(AND(AE14&gt;AF14,AE14&lt;AG14),"0",(VLOOKUP(AE14,'FLA Reading Logic'!$A$22:$B$53,2,FALSE))-(IF(VLOOKUP(AE14,'FLA Reading Logic'!$A$22:$B$53,2,FALSE)&lt;=VLOOKUP(AF14,'FLA Reading Logic'!$A$22:$B$53,2,FALSE),VLOOKUP(AF14,'FLA Reading Logic'!$A$22:$B$53,2,FALSE),IF(VLOOKUP(AE14,'FLA Reading Logic'!$A$22:$B$53,2,FALSE)&gt;=VLOOKUP(AG14,'FLA Reading Logic'!$A$22:$B$53,2,FALSE),VLOOKUP(AG14,'FLA Reading Logic'!$A$22:$B$53,2,FALSE),"No Score")))),"No Value"))</f>
        <v>No Value</v>
      </c>
      <c r="AI14" s="96" t="str">
        <f>IFERROR(VLOOKUP(AE14,'FLA Reading Logic'!$A$22:$B$48,2,FALSE)-VLOOKUP($F14,'FLA Reading Logic'!$A$22:$B$48,2,FALSE),"No Value")</f>
        <v>No Value</v>
      </c>
      <c r="AJ14" s="96" t="str">
        <f>IF($E14="Yes","IPP",IFERROR(IF(AND(AE14&gt;$J14,AE14&lt;$K14),"0",(VLOOKUP(AE14,'FLA Reading Logic'!$A$22:$B$53,2,FALSE))-(IF(VLOOKUP(AE14,'FLA Reading Logic'!$A$22:$B$53,2,FALSE)&lt;=VLOOKUP($J14,'FLA Reading Logic'!$A$22:$B$53,2,FALSE),VLOOKUP($J14,'FLA Reading Logic'!$A$22:$B$53,2,FALSE),IF(VLOOKUP(AE14,'FLA Reading Logic'!$A$22:$B$53,2,FALSE)&gt;=VLOOKUP($K14,'FLA Reading Logic'!$A$22:$B$53,2,FALSE),VLOOKUP($K14,'FLA Reading Logic'!$A$22:$B$53,2,FALSE),"No Score")))),"No Value"))</f>
        <v>No Value</v>
      </c>
      <c r="AK14" s="179"/>
      <c r="AL14" s="96" t="str">
        <f>IFERROR(IF($E14="Yes","IPP",VLOOKUP($L14,'FLA Reading Logic'!$A$3:$K$9,VLOOKUP(AK$1,'FLA Reading Logic'!$J$22:$K$31,2,FALSE),FALSE)),"Set Grade")</f>
        <v>Set Grade</v>
      </c>
      <c r="AM14" s="96" t="str">
        <f>IFERROR(IF($E14="Yes","IPP",VLOOKUP($L14,'FLA Reading Logic'!$A$13:$K$19,VLOOKUP(AK$1,'FLA Reading Logic'!$J$22:$K$31,2,FALSE),FALSE)),"Set Grade")</f>
        <v>Set Grade</v>
      </c>
      <c r="AN14" s="98" t="str">
        <f>IF($E14="Yes","IPP",IFERROR(IF(AND(AK14&gt;AL14,AK14&lt;AM14),"0",(VLOOKUP(AK14,'FLA Reading Logic'!$A$22:$B$53,2,FALSE))-(IF(VLOOKUP(AK14,'FLA Reading Logic'!$A$22:$B$53,2,FALSE)&lt;=VLOOKUP(AL14,'FLA Reading Logic'!$A$22:$B$53,2,FALSE),VLOOKUP(AL14,'FLA Reading Logic'!$A$22:$B$53,2,FALSE),IF(VLOOKUP(AK14,'FLA Reading Logic'!$A$22:$B$53,2,FALSE)&gt;=VLOOKUP(AM14,'FLA Reading Logic'!$A$22:$B$53,2,FALSE),VLOOKUP(AM14,'FLA Reading Logic'!$A$22:$B$53,2,FALSE),"No Score")))),"No Value"))</f>
        <v>No Value</v>
      </c>
      <c r="AO14" s="96" t="str">
        <f>IFERROR(VLOOKUP(AK14,'FLA Reading Logic'!$A$22:$B$48,2,FALSE)-VLOOKUP($F14,'FLA Reading Logic'!$A$22:$B$48,2,FALSE),"No Value")</f>
        <v>No Value</v>
      </c>
      <c r="AP14" s="96" t="str">
        <f>IF($E14="Yes","IPP",IFERROR(IF(AND(AK14&gt;$J14,AK14&lt;$K14),"0",(VLOOKUP(AK14,'FLA Reading Logic'!$A$22:$B$53,2,FALSE))-(IF(VLOOKUP(AK14,'FLA Reading Logic'!$A$22:$B$53,2,FALSE)&lt;=VLOOKUP($J14,'FLA Reading Logic'!$A$22:$B$53,2,FALSE),VLOOKUP($J14,'FLA Reading Logic'!$A$22:$B$53,2,FALSE),IF(VLOOKUP(AK14,'FLA Reading Logic'!$A$22:$B$53,2,FALSE)&gt;=VLOOKUP($K14,'FLA Reading Logic'!$A$22:$B$53,2,FALSE),VLOOKUP($K14,'FLA Reading Logic'!$A$22:$B$53,2,FALSE),"No Score")))),"No Value"))</f>
        <v>No Value</v>
      </c>
      <c r="AQ14" s="179"/>
      <c r="AR14" s="96" t="str">
        <f>IFERROR(IF($E14="Yes","IPP",VLOOKUP($L14,'FLA Reading Logic'!$A$3:$K$9,VLOOKUP(AQ$1,'FLA Reading Logic'!$J$22:$K$31,2,FALSE),FALSE)),"Set Grade")</f>
        <v>Set Grade</v>
      </c>
      <c r="AS14" s="96" t="str">
        <f>IFERROR(IF($E14="Yes","IPP",VLOOKUP($L14,'FLA Reading Logic'!$A$13:$K$19,VLOOKUP(AQ$1,'FLA Reading Logic'!$J$22:$K$31,2,FALSE),FALSE)),"Set Grade")</f>
        <v>Set Grade</v>
      </c>
      <c r="AT14" s="98" t="str">
        <f>IF($E14="Yes","IPP",IFERROR(IF(AND(AQ14&gt;AR14,AQ14&lt;AS14),"0",(VLOOKUP(AQ14,'FLA Reading Logic'!$A$22:$B$53,2,FALSE))-(IF(VLOOKUP(AQ14,'FLA Reading Logic'!$A$22:$B$53,2,FALSE)&lt;=VLOOKUP(AR14,'FLA Reading Logic'!$A$22:$B$53,2,FALSE),VLOOKUP(AR14,'FLA Reading Logic'!$A$22:$B$53,2,FALSE),IF(VLOOKUP(AQ14,'FLA Reading Logic'!$A$22:$B$53,2,FALSE)&gt;=VLOOKUP(AS14,'FLA Reading Logic'!$A$22:$B$53,2,FALSE),VLOOKUP(AS14,'FLA Reading Logic'!$A$22:$B$53,2,FALSE),"No Score")))),"No Value"))</f>
        <v>No Value</v>
      </c>
      <c r="AU14" s="96" t="str">
        <f>IFERROR(VLOOKUP(AQ14,'FLA Reading Logic'!$A$22:$B$48,2,FALSE)-VLOOKUP($F14,'FLA Reading Logic'!$A$22:$B$48,2,FALSE),"No Value")</f>
        <v>No Value</v>
      </c>
      <c r="AV14" s="96" t="str">
        <f>IF($E14="Yes","IPP",IFERROR(IF(AND(AQ14&gt;$J14,AQ14&lt;$K14),"0",(VLOOKUP(AQ14,'FLA Reading Logic'!$A$22:$B$53,2,FALSE))-(IF(VLOOKUP(AQ14,'FLA Reading Logic'!$A$22:$B$53,2,FALSE)&lt;=VLOOKUP($J14,'FLA Reading Logic'!$A$22:$B$53,2,FALSE),VLOOKUP($J14,'FLA Reading Logic'!$A$22:$B$53,2,FALSE),IF(VLOOKUP(AQ14,'FLA Reading Logic'!$A$22:$B$53,2,FALSE)&gt;=VLOOKUP($K14,'FLA Reading Logic'!$A$22:$B$53,2,FALSE),VLOOKUP($K14,'FLA Reading Logic'!$A$22:$B$53,2,FALSE),"No Score")))),"No Value"))</f>
        <v>No Value</v>
      </c>
      <c r="AW14" s="179"/>
      <c r="AX14" s="96" t="str">
        <f>IFERROR(IF($E14="Yes","IPP",VLOOKUP($L14,'FLA Reading Logic'!$A$3:$K$9,VLOOKUP(AW$1,'FLA Reading Logic'!$J$22:$K$31,2,FALSE),FALSE)),"Set Grade")</f>
        <v>Set Grade</v>
      </c>
      <c r="AY14" s="96" t="str">
        <f>IFERROR(IF($E14="Yes","IPP",VLOOKUP($L14,'FLA Reading Logic'!$A$13:$K$19,VLOOKUP(AW$1,'FLA Reading Logic'!$J$22:$K$31,2,FALSE),FALSE)),"Set Grade")</f>
        <v>Set Grade</v>
      </c>
      <c r="AZ14" s="98" t="str">
        <f>IF($E14="Yes","IPP",IFERROR(IF(AND(AW14&gt;AX14,AW14&lt;AY14),"0",(VLOOKUP(AW14,'FLA Reading Logic'!$A$22:$B$53,2,FALSE))-(IF(VLOOKUP(AW14,'FLA Reading Logic'!$A$22:$B$53,2,FALSE)&lt;=VLOOKUP(AX14,'FLA Reading Logic'!$A$22:$B$53,2,FALSE),VLOOKUP(AX14,'FLA Reading Logic'!$A$22:$B$53,2,FALSE),IF(VLOOKUP(AW14,'FLA Reading Logic'!$A$22:$B$53,2,FALSE)&gt;=VLOOKUP(AY14,'FLA Reading Logic'!$A$22:$B$53,2,FALSE),VLOOKUP(AY14,'FLA Reading Logic'!$A$22:$B$53,2,FALSE),"No Score")))),"No Value"))</f>
        <v>No Value</v>
      </c>
      <c r="BA14" s="96" t="str">
        <f>IFERROR(VLOOKUP(AW14,'FLA Reading Logic'!$A$22:$B$48,2,FALSE)-VLOOKUP($F14,'FLA Reading Logic'!$A$22:$B$48,2,FALSE),"No Value")</f>
        <v>No Value</v>
      </c>
      <c r="BB14" s="96" t="str">
        <f>IF($E14="Yes","IPP",IFERROR(IF(AND(AW14&gt;$J14,AW14&lt;$K14),"0",(VLOOKUP(AW14,'FLA Reading Logic'!$A$22:$B$53,2,FALSE))-(IF(VLOOKUP(AW14,'FLA Reading Logic'!$A$22:$B$53,2,FALSE)&lt;=VLOOKUP($J14,'FLA Reading Logic'!$A$22:$B$53,2,FALSE),VLOOKUP($J14,'FLA Reading Logic'!$A$22:$B$53,2,FALSE),IF(VLOOKUP(AW14,'FLA Reading Logic'!$A$22:$B$53,2,FALSE)&gt;=VLOOKUP($K14,'FLA Reading Logic'!$A$22:$B$53,2,FALSE),VLOOKUP($K14,'FLA Reading Logic'!$A$22:$B$53,2,FALSE),"No Score")))),"No Value"))</f>
        <v>No Value</v>
      </c>
    </row>
    <row r="15" spans="1:54" ht="26.25" customHeight="1" thickBot="1" x14ac:dyDescent="0.3">
      <c r="A15" s="96"/>
      <c r="B15" s="98"/>
      <c r="C15" s="98"/>
      <c r="D15" s="98"/>
      <c r="E15" s="179"/>
      <c r="F15" s="92"/>
      <c r="G15" s="241" t="str">
        <f>IFERROR(IF($E15="Yes","IPP",VLOOKUP($J15,'ELA Reading Logic'!$A$3:$K$9,VLOOKUP("September",'ELA Reading Logic'!$J$22:$K$31,2,FALSE),FALSE)),"Set Grade")</f>
        <v>Set Grade</v>
      </c>
      <c r="H15" s="241" t="str">
        <f>IFERROR(IF($E15="Yes","IPP",VLOOKUP($J15,'ELA Reading Logic'!$A$13:$K$19,VLOOKUP("September",'ELA Reading Logic'!$J$22:$K$31,2,FALSE),FALSE)),"Set Grade")</f>
        <v>Set Grade</v>
      </c>
      <c r="I15" s="98" t="str">
        <f>IF($E15="Yes","IPP",IFERROR(IF(AND(F15&gt;G15,F15&lt;H15),"0",(VLOOKUP(F15,'ELA Reading Logic'!$A$22:$B$48,2,FALSE))-(IF(VLOOKUP(F15,'ELA Reading Logic'!$A$22:$B$48,2,FALSE)&lt;=VLOOKUP(G15,'ELA Reading Logic'!$A$22:$B$48,2,FALSE),VLOOKUP(G15,'ELA Reading Logic'!$A$22:$B$48,2,FALSE),IF(VLOOKUP(F15,'ELA Reading Logic'!$A$22:$B$48,2,FALSE)&gt;=VLOOKUP(H15,'ELA Reading Logic'!$A$22:$B$48,2,FALSE),VLOOKUP(H15,'ELA Reading Logic'!$A$22:$B$48,2,FALSE),"No Score")))),"No Value"))</f>
        <v>No Value</v>
      </c>
      <c r="J15" s="96" t="str">
        <f>IFERROR(VLOOKUP($L15,'FLA Reading Logic'!$A$3:$K$9,11,FALSE),"Set Grade")</f>
        <v>Set Grade</v>
      </c>
      <c r="K15" s="96" t="str">
        <f>IFERROR(VLOOKUP($L15,'FLA Reading Logic'!$A$13:$K$19,11,FALSE),"Set Grade")</f>
        <v>Set Grade</v>
      </c>
      <c r="L15" s="180"/>
      <c r="M15" s="98"/>
      <c r="N15" s="98"/>
      <c r="O15" s="98"/>
      <c r="P15" s="98"/>
      <c r="Q15" s="98"/>
      <c r="R15" s="181"/>
      <c r="S15" s="182"/>
      <c r="T15" s="98" t="str">
        <f>IFERROR(IF($E15="Yes","IPP",VLOOKUP($L15,'FLA Reading Logic'!$A$3:$K$9,VLOOKUP(S$1,'FLA Reading Logic'!$J$22:$K$31,2,FALSE),FALSE)),"Set Grade")</f>
        <v>Set Grade</v>
      </c>
      <c r="U15" s="98" t="str">
        <f>IFERROR(IF($E15="Yes","IPP",VLOOKUP($L15,'FLA Reading Logic'!$A$13:$K$19,VLOOKUP(S$1,'FLA Reading Logic'!$J$22:$K$31,2,FALSE),FALSE)),"Set Grade")</f>
        <v>Set Grade</v>
      </c>
      <c r="V15" s="98" t="str">
        <f>IF($E15="Yes","IPP",IFERROR(IF(AND(S15&gt;T15,S15&lt;U15),"0",(VLOOKUP(S15,'FLA Reading Logic'!$A$22:$B$53,2,FALSE))-(IF(VLOOKUP(S15,'FLA Reading Logic'!$A$22:$B$53,2,FALSE)&lt;=VLOOKUP(T15,'FLA Reading Logic'!$A$22:$B$53,2,FALSE),VLOOKUP(T15,'FLA Reading Logic'!$A$22:$B$53,2,FALSE),IF(VLOOKUP(S15,'FLA Reading Logic'!$A$22:$B$53,2,FALSE)&gt;=VLOOKUP(U15,'FLA Reading Logic'!$A$22:$B$53,2,FALSE),VLOOKUP(U15,'FLA Reading Logic'!$A$22:$B$53,2,FALSE),"No Score")))),"No Value"))</f>
        <v>No Value</v>
      </c>
      <c r="W15" s="98" t="str">
        <f>IFERROR(VLOOKUP(S15,'FLA Reading Logic'!$A$22:$B$53,2,FALSE)-VLOOKUP($F15,'FLA Reading Logic'!$A$22:$B$53,2,FALSE),"No Value")</f>
        <v>No Value</v>
      </c>
      <c r="X15" s="96" t="str">
        <f>IF($E15="Yes","IPP",IFERROR(IF(AND(S15&gt;$J15,S15&lt;$K15),"0",(VLOOKUP(S15,'FLA Reading Logic'!$A$22:$B$53,2,FALSE))-(IF(VLOOKUP(S15,'FLA Reading Logic'!$A$22:$B$53,2,FALSE)&lt;=VLOOKUP($J15,'FLA Reading Logic'!$A$22:$B$53,2,FALSE),VLOOKUP($J15,'FLA Reading Logic'!$A$22:$B$53,2,FALSE),IF(VLOOKUP(S15,'FLA Reading Logic'!$A$22:$B$53,2,FALSE)&gt;=VLOOKUP($K15,'FLA Reading Logic'!$A$22:$B$53,2,FALSE),VLOOKUP($K15,'FLA Reading Logic'!$A$22:$B$53,2,FALSE),"No Score")))),"No Value"))</f>
        <v>No Value</v>
      </c>
      <c r="Y15" s="179"/>
      <c r="Z15" s="98" t="str">
        <f>IFERROR(IF($E15="Yes","IPP",VLOOKUP($L15,'FLA Reading Logic'!$A$3:$K$9,VLOOKUP(Y$1,'FLA Reading Logic'!$J$22:$K$31,2,FALSE),FALSE)),"Set Grade")</f>
        <v>Set Grade</v>
      </c>
      <c r="AA15" s="98" t="str">
        <f>IFERROR(IF($E15="Yes","IPP",VLOOKUP($L15,'FLA Reading Logic'!$A$13:$K$19,VLOOKUP(Y$1,'FLA Reading Logic'!$J$22:$K$31,2,FALSE),FALSE)),"Set Grade")</f>
        <v>Set Grade</v>
      </c>
      <c r="AB15" s="98" t="str">
        <f>IF($E15="Yes","IPP",IFERROR(IF(AND(Y15&gt;Z15,Y15&lt;AA15),"0",(VLOOKUP(Y15,'FLA Reading Logic'!$A$22:$B$53,2,FALSE))-(IF(VLOOKUP(Y15,'FLA Reading Logic'!$A$22:$B$53,2,FALSE)&lt;=VLOOKUP(Z15,'FLA Reading Logic'!$A$22:$B$53,2,FALSE),VLOOKUP(Z15,'FLA Reading Logic'!$A$22:$B$53,2,FALSE),IF(VLOOKUP(Y15,'FLA Reading Logic'!$A$22:$B$53,2,FALSE)&gt;=VLOOKUP(AA15,'FLA Reading Logic'!$A$22:$B$53,2,FALSE),VLOOKUP(AA15,'FLA Reading Logic'!$A$22:$B$53,2,FALSE),"No Score")))),"No Value"))</f>
        <v>No Value</v>
      </c>
      <c r="AC15" s="97" t="str">
        <f>IFERROR(VLOOKUP(Y15,'FLA Reading Logic'!$A$22:$B$48,2,FALSE)-VLOOKUP($F15,'FLA Reading Logic'!$A$22:$B$48,2,FALSE),"No Value")</f>
        <v>No Value</v>
      </c>
      <c r="AD15" s="96" t="str">
        <f>IF($E15="Yes","IPP",IFERROR(IF(AND(Y15&gt;$J15,Y15&lt;$K15),"0",(VLOOKUP(Y15,'FLA Reading Logic'!$A$22:$B$53,2,FALSE))-(IF(VLOOKUP(Y15,'FLA Reading Logic'!$A$22:$B$53,2,FALSE)&lt;=VLOOKUP($J15,'FLA Reading Logic'!$A$22:$B$53,2,FALSE),VLOOKUP($J15,'FLA Reading Logic'!$A$22:$B$53,2,FALSE),IF(VLOOKUP(Y15,'FLA Reading Logic'!$A$22:$B$53,2,FALSE)&gt;=VLOOKUP($K15,'FLA Reading Logic'!$A$22:$B$53,2,FALSE),VLOOKUP($K15,'FLA Reading Logic'!$A$22:$B$53,2,FALSE),"No Score")))),"No Value"))</f>
        <v>No Value</v>
      </c>
      <c r="AE15" s="179"/>
      <c r="AF15" s="96" t="str">
        <f>IFERROR(IF($E15="Yes","IPP",VLOOKUP($L15,'FLA Reading Logic'!$A$3:$K$9,VLOOKUP(AE$1,'FLA Reading Logic'!$J$22:$K$31,2,FALSE),FALSE)),"Set Grade")</f>
        <v>Set Grade</v>
      </c>
      <c r="AG15" s="96" t="str">
        <f>IFERROR(IF($E15="Yes","IPP",VLOOKUP($L15,'FLA Reading Logic'!$A$13:$K$19,VLOOKUP(AE$1,'FLA Reading Logic'!$J$22:$K$31,2,FALSE),FALSE)),"Set Grade")</f>
        <v>Set Grade</v>
      </c>
      <c r="AH15" s="98" t="str">
        <f>IF($E15="Yes","IPP",IFERROR(IF(AND(AE15&gt;AF15,AE15&lt;AG15),"0",(VLOOKUP(AE15,'FLA Reading Logic'!$A$22:$B$53,2,FALSE))-(IF(VLOOKUP(AE15,'FLA Reading Logic'!$A$22:$B$53,2,FALSE)&lt;=VLOOKUP(AF15,'FLA Reading Logic'!$A$22:$B$53,2,FALSE),VLOOKUP(AF15,'FLA Reading Logic'!$A$22:$B$53,2,FALSE),IF(VLOOKUP(AE15,'FLA Reading Logic'!$A$22:$B$53,2,FALSE)&gt;=VLOOKUP(AG15,'FLA Reading Logic'!$A$22:$B$53,2,FALSE),VLOOKUP(AG15,'FLA Reading Logic'!$A$22:$B$53,2,FALSE),"No Score")))),"No Value"))</f>
        <v>No Value</v>
      </c>
      <c r="AI15" s="96" t="str">
        <f>IFERROR(VLOOKUP(AE15,'FLA Reading Logic'!$A$22:$B$48,2,FALSE)-VLOOKUP($F15,'FLA Reading Logic'!$A$22:$B$48,2,FALSE),"No Value")</f>
        <v>No Value</v>
      </c>
      <c r="AJ15" s="96" t="str">
        <f>IF($E15="Yes","IPP",IFERROR(IF(AND(AE15&gt;$J15,AE15&lt;$K15),"0",(VLOOKUP(AE15,'FLA Reading Logic'!$A$22:$B$53,2,FALSE))-(IF(VLOOKUP(AE15,'FLA Reading Logic'!$A$22:$B$53,2,FALSE)&lt;=VLOOKUP($J15,'FLA Reading Logic'!$A$22:$B$53,2,FALSE),VLOOKUP($J15,'FLA Reading Logic'!$A$22:$B$53,2,FALSE),IF(VLOOKUP(AE15,'FLA Reading Logic'!$A$22:$B$53,2,FALSE)&gt;=VLOOKUP($K15,'FLA Reading Logic'!$A$22:$B$53,2,FALSE),VLOOKUP($K15,'FLA Reading Logic'!$A$22:$B$53,2,FALSE),"No Score")))),"No Value"))</f>
        <v>No Value</v>
      </c>
      <c r="AK15" s="179"/>
      <c r="AL15" s="96" t="str">
        <f>IFERROR(IF($E15="Yes","IPP",VLOOKUP($L15,'FLA Reading Logic'!$A$3:$K$9,VLOOKUP(AK$1,'FLA Reading Logic'!$J$22:$K$31,2,FALSE),FALSE)),"Set Grade")</f>
        <v>Set Grade</v>
      </c>
      <c r="AM15" s="96" t="str">
        <f>IFERROR(IF($E15="Yes","IPP",VLOOKUP($L15,'FLA Reading Logic'!$A$13:$K$19,VLOOKUP(AK$1,'FLA Reading Logic'!$J$22:$K$31,2,FALSE),FALSE)),"Set Grade")</f>
        <v>Set Grade</v>
      </c>
      <c r="AN15" s="98" t="str">
        <f>IF($E15="Yes","IPP",IFERROR(IF(AND(AK15&gt;AL15,AK15&lt;AM15),"0",(VLOOKUP(AK15,'FLA Reading Logic'!$A$22:$B$53,2,FALSE))-(IF(VLOOKUP(AK15,'FLA Reading Logic'!$A$22:$B$53,2,FALSE)&lt;=VLOOKUP(AL15,'FLA Reading Logic'!$A$22:$B$53,2,FALSE),VLOOKUP(AL15,'FLA Reading Logic'!$A$22:$B$53,2,FALSE),IF(VLOOKUP(AK15,'FLA Reading Logic'!$A$22:$B$53,2,FALSE)&gt;=VLOOKUP(AM15,'FLA Reading Logic'!$A$22:$B$53,2,FALSE),VLOOKUP(AM15,'FLA Reading Logic'!$A$22:$B$53,2,FALSE),"No Score")))),"No Value"))</f>
        <v>No Value</v>
      </c>
      <c r="AO15" s="96" t="str">
        <f>IFERROR(VLOOKUP(AK15,'FLA Reading Logic'!$A$22:$B$48,2,FALSE)-VLOOKUP($F15,'FLA Reading Logic'!$A$22:$B$48,2,FALSE),"No Value")</f>
        <v>No Value</v>
      </c>
      <c r="AP15" s="96" t="str">
        <f>IF($E15="Yes","IPP",IFERROR(IF(AND(AK15&gt;$J15,AK15&lt;$K15),"0",(VLOOKUP(AK15,'FLA Reading Logic'!$A$22:$B$53,2,FALSE))-(IF(VLOOKUP(AK15,'FLA Reading Logic'!$A$22:$B$53,2,FALSE)&lt;=VLOOKUP($J15,'FLA Reading Logic'!$A$22:$B$53,2,FALSE),VLOOKUP($J15,'FLA Reading Logic'!$A$22:$B$53,2,FALSE),IF(VLOOKUP(AK15,'FLA Reading Logic'!$A$22:$B$53,2,FALSE)&gt;=VLOOKUP($K15,'FLA Reading Logic'!$A$22:$B$53,2,FALSE),VLOOKUP($K15,'FLA Reading Logic'!$A$22:$B$53,2,FALSE),"No Score")))),"No Value"))</f>
        <v>No Value</v>
      </c>
      <c r="AQ15" s="179"/>
      <c r="AR15" s="96" t="str">
        <f>IFERROR(IF($E15="Yes","IPP",VLOOKUP($L15,'FLA Reading Logic'!$A$3:$K$9,VLOOKUP(AQ$1,'FLA Reading Logic'!$J$22:$K$31,2,FALSE),FALSE)),"Set Grade")</f>
        <v>Set Grade</v>
      </c>
      <c r="AS15" s="96" t="str">
        <f>IFERROR(IF($E15="Yes","IPP",VLOOKUP($L15,'FLA Reading Logic'!$A$13:$K$19,VLOOKUP(AQ$1,'FLA Reading Logic'!$J$22:$K$31,2,FALSE),FALSE)),"Set Grade")</f>
        <v>Set Grade</v>
      </c>
      <c r="AT15" s="98" t="str">
        <f>IF($E15="Yes","IPP",IFERROR(IF(AND(AQ15&gt;AR15,AQ15&lt;AS15),"0",(VLOOKUP(AQ15,'FLA Reading Logic'!$A$22:$B$53,2,FALSE))-(IF(VLOOKUP(AQ15,'FLA Reading Logic'!$A$22:$B$53,2,FALSE)&lt;=VLOOKUP(AR15,'FLA Reading Logic'!$A$22:$B$53,2,FALSE),VLOOKUP(AR15,'FLA Reading Logic'!$A$22:$B$53,2,FALSE),IF(VLOOKUP(AQ15,'FLA Reading Logic'!$A$22:$B$53,2,FALSE)&gt;=VLOOKUP(AS15,'FLA Reading Logic'!$A$22:$B$53,2,FALSE),VLOOKUP(AS15,'FLA Reading Logic'!$A$22:$B$53,2,FALSE),"No Score")))),"No Value"))</f>
        <v>No Value</v>
      </c>
      <c r="AU15" s="96" t="str">
        <f>IFERROR(VLOOKUP(AQ15,'FLA Reading Logic'!$A$22:$B$48,2,FALSE)-VLOOKUP($F15,'FLA Reading Logic'!$A$22:$B$48,2,FALSE),"No Value")</f>
        <v>No Value</v>
      </c>
      <c r="AV15" s="96" t="str">
        <f>IF($E15="Yes","IPP",IFERROR(IF(AND(AQ15&gt;$J15,AQ15&lt;$K15),"0",(VLOOKUP(AQ15,'FLA Reading Logic'!$A$22:$B$53,2,FALSE))-(IF(VLOOKUP(AQ15,'FLA Reading Logic'!$A$22:$B$53,2,FALSE)&lt;=VLOOKUP($J15,'FLA Reading Logic'!$A$22:$B$53,2,FALSE),VLOOKUP($J15,'FLA Reading Logic'!$A$22:$B$53,2,FALSE),IF(VLOOKUP(AQ15,'FLA Reading Logic'!$A$22:$B$53,2,FALSE)&gt;=VLOOKUP($K15,'FLA Reading Logic'!$A$22:$B$53,2,FALSE),VLOOKUP($K15,'FLA Reading Logic'!$A$22:$B$53,2,FALSE),"No Score")))),"No Value"))</f>
        <v>No Value</v>
      </c>
      <c r="AW15" s="179"/>
      <c r="AX15" s="96" t="str">
        <f>IFERROR(IF($E15="Yes","IPP",VLOOKUP($L15,'FLA Reading Logic'!$A$3:$K$9,VLOOKUP(AW$1,'FLA Reading Logic'!$J$22:$K$31,2,FALSE),FALSE)),"Set Grade")</f>
        <v>Set Grade</v>
      </c>
      <c r="AY15" s="96" t="str">
        <f>IFERROR(IF($E15="Yes","IPP",VLOOKUP($L15,'FLA Reading Logic'!$A$13:$K$19,VLOOKUP(AW$1,'FLA Reading Logic'!$J$22:$K$31,2,FALSE),FALSE)),"Set Grade")</f>
        <v>Set Grade</v>
      </c>
      <c r="AZ15" s="98" t="str">
        <f>IF($E15="Yes","IPP",IFERROR(IF(AND(AW15&gt;AX15,AW15&lt;AY15),"0",(VLOOKUP(AW15,'FLA Reading Logic'!$A$22:$B$53,2,FALSE))-(IF(VLOOKUP(AW15,'FLA Reading Logic'!$A$22:$B$53,2,FALSE)&lt;=VLOOKUP(AX15,'FLA Reading Logic'!$A$22:$B$53,2,FALSE),VLOOKUP(AX15,'FLA Reading Logic'!$A$22:$B$53,2,FALSE),IF(VLOOKUP(AW15,'FLA Reading Logic'!$A$22:$B$53,2,FALSE)&gt;=VLOOKUP(AY15,'FLA Reading Logic'!$A$22:$B$53,2,FALSE),VLOOKUP(AY15,'FLA Reading Logic'!$A$22:$B$53,2,FALSE),"No Score")))),"No Value"))</f>
        <v>No Value</v>
      </c>
      <c r="BA15" s="96" t="str">
        <f>IFERROR(VLOOKUP(AW15,'FLA Reading Logic'!$A$22:$B$48,2,FALSE)-VLOOKUP($F15,'FLA Reading Logic'!$A$22:$B$48,2,FALSE),"No Value")</f>
        <v>No Value</v>
      </c>
      <c r="BB15" s="96" t="str">
        <f>IF($E15="Yes","IPP",IFERROR(IF(AND(AW15&gt;$J15,AW15&lt;$K15),"0",(VLOOKUP(AW15,'FLA Reading Logic'!$A$22:$B$53,2,FALSE))-(IF(VLOOKUP(AW15,'FLA Reading Logic'!$A$22:$B$53,2,FALSE)&lt;=VLOOKUP($J15,'FLA Reading Logic'!$A$22:$B$53,2,FALSE),VLOOKUP($J15,'FLA Reading Logic'!$A$22:$B$53,2,FALSE),IF(VLOOKUP(AW15,'FLA Reading Logic'!$A$22:$B$53,2,FALSE)&gt;=VLOOKUP($K15,'FLA Reading Logic'!$A$22:$B$53,2,FALSE),VLOOKUP($K15,'FLA Reading Logic'!$A$22:$B$53,2,FALSE),"No Score")))),"No Value"))</f>
        <v>No Value</v>
      </c>
    </row>
    <row r="16" spans="1:54" ht="26.25" customHeight="1" thickBot="1" x14ac:dyDescent="0.3">
      <c r="A16" s="96"/>
      <c r="B16" s="98"/>
      <c r="C16" s="98"/>
      <c r="D16" s="98"/>
      <c r="E16" s="179"/>
      <c r="F16" s="92"/>
      <c r="G16" s="98" t="str">
        <f>IFERROR(IF($E16="Yes","IPP",VLOOKUP($J16,'ELA Reading Logic'!$A$3:$K$9,VLOOKUP("September",'ELA Reading Logic'!$J$22:$K$31,2,FALSE),FALSE)),"Set Grade")</f>
        <v>Set Grade</v>
      </c>
      <c r="H16" s="98" t="str">
        <f>IFERROR(IF($E16="Yes","IPP",VLOOKUP($J16,'ELA Reading Logic'!$A$13:$K$19,VLOOKUP("September",'ELA Reading Logic'!$J$22:$K$31,2,FALSE),FALSE)),"Set Grade")</f>
        <v>Set Grade</v>
      </c>
      <c r="I16" s="98" t="str">
        <f>IF($E16="Yes","IPP",IFERROR(IF(AND(F16&gt;G16,F16&lt;H16),"0",(VLOOKUP(F16,'ELA Reading Logic'!$A$22:$B$48,2,FALSE))-(IF(VLOOKUP(F16,'ELA Reading Logic'!$A$22:$B$48,2,FALSE)&lt;=VLOOKUP(G16,'ELA Reading Logic'!$A$22:$B$48,2,FALSE),VLOOKUP(G16,'ELA Reading Logic'!$A$22:$B$48,2,FALSE),IF(VLOOKUP(F16,'ELA Reading Logic'!$A$22:$B$48,2,FALSE)&gt;=VLOOKUP(H16,'ELA Reading Logic'!$A$22:$B$48,2,FALSE),VLOOKUP(H16,'ELA Reading Logic'!$A$22:$B$48,2,FALSE),"No Score")))),"No Value"))</f>
        <v>No Value</v>
      </c>
      <c r="J16" s="96" t="str">
        <f>IFERROR(VLOOKUP($L16,'FLA Reading Logic'!$A$3:$K$9,11,FALSE),"Set Grade")</f>
        <v>Set Grade</v>
      </c>
      <c r="K16" s="96" t="str">
        <f>IFERROR(VLOOKUP($L16,'FLA Reading Logic'!$A$13:$K$19,11,FALSE),"Set Grade")</f>
        <v>Set Grade</v>
      </c>
      <c r="L16" s="180"/>
      <c r="M16" s="98"/>
      <c r="N16" s="98"/>
      <c r="O16" s="98"/>
      <c r="P16" s="98"/>
      <c r="Q16" s="98"/>
      <c r="R16" s="181"/>
      <c r="S16" s="182"/>
      <c r="T16" s="98" t="str">
        <f>IFERROR(IF($E16="Yes","IPP",VLOOKUP($L16,'FLA Reading Logic'!$A$3:$K$9,VLOOKUP(S$1,'FLA Reading Logic'!$J$22:$K$31,2,FALSE),FALSE)),"Set Grade")</f>
        <v>Set Grade</v>
      </c>
      <c r="U16" s="98" t="str">
        <f>IFERROR(IF($E16="Yes","IPP",VLOOKUP($L16,'FLA Reading Logic'!$A$13:$K$19,VLOOKUP(S$1,'FLA Reading Logic'!$J$22:$K$31,2,FALSE),FALSE)),"Set Grade")</f>
        <v>Set Grade</v>
      </c>
      <c r="V16" s="98" t="str">
        <f>IF($E16="Yes","IPP",IFERROR(IF(AND(S16&gt;T16,S16&lt;U16),"0",(VLOOKUP(S16,'FLA Reading Logic'!$A$22:$B$53,2,FALSE))-(IF(VLOOKUP(S16,'FLA Reading Logic'!$A$22:$B$53,2,FALSE)&lt;=VLOOKUP(T16,'FLA Reading Logic'!$A$22:$B$53,2,FALSE),VLOOKUP(T16,'FLA Reading Logic'!$A$22:$B$53,2,FALSE),IF(VLOOKUP(S16,'FLA Reading Logic'!$A$22:$B$53,2,FALSE)&gt;=VLOOKUP(U16,'FLA Reading Logic'!$A$22:$B$53,2,FALSE),VLOOKUP(U16,'FLA Reading Logic'!$A$22:$B$53,2,FALSE),"No Score")))),"No Value"))</f>
        <v>No Value</v>
      </c>
      <c r="W16" s="98" t="str">
        <f>IFERROR(VLOOKUP(S16,'FLA Reading Logic'!$A$22:$B$53,2,FALSE)-VLOOKUP($F16,'FLA Reading Logic'!$A$22:$B$53,2,FALSE),"No Value")</f>
        <v>No Value</v>
      </c>
      <c r="X16" s="96" t="str">
        <f>IF($E16="Yes","IPP",IFERROR(IF(AND(S16&gt;$J16,S16&lt;$K16),"0",(VLOOKUP(S16,'FLA Reading Logic'!$A$22:$B$53,2,FALSE))-(IF(VLOOKUP(S16,'FLA Reading Logic'!$A$22:$B$53,2,FALSE)&lt;=VLOOKUP($J16,'FLA Reading Logic'!$A$22:$B$53,2,FALSE),VLOOKUP($J16,'FLA Reading Logic'!$A$22:$B$53,2,FALSE),IF(VLOOKUP(S16,'FLA Reading Logic'!$A$22:$B$53,2,FALSE)&gt;=VLOOKUP($K16,'FLA Reading Logic'!$A$22:$B$53,2,FALSE),VLOOKUP($K16,'FLA Reading Logic'!$A$22:$B$53,2,FALSE),"No Score")))),"No Value"))</f>
        <v>No Value</v>
      </c>
      <c r="Y16" s="179"/>
      <c r="Z16" s="98" t="str">
        <f>IFERROR(IF($E16="Yes","IPP",VLOOKUP($L16,'FLA Reading Logic'!$A$3:$K$9,VLOOKUP(Y$1,'FLA Reading Logic'!$J$22:$K$31,2,FALSE),FALSE)),"Set Grade")</f>
        <v>Set Grade</v>
      </c>
      <c r="AA16" s="98" t="str">
        <f>IFERROR(IF($E16="Yes","IPP",VLOOKUP($L16,'FLA Reading Logic'!$A$13:$K$19,VLOOKUP(Y$1,'FLA Reading Logic'!$J$22:$K$31,2,FALSE),FALSE)),"Set Grade")</f>
        <v>Set Grade</v>
      </c>
      <c r="AB16" s="98" t="str">
        <f>IF($E16="Yes","IPP",IFERROR(IF(AND(Y16&gt;Z16,Y16&lt;AA16),"0",(VLOOKUP(Y16,'FLA Reading Logic'!$A$22:$B$53,2,FALSE))-(IF(VLOOKUP(Y16,'FLA Reading Logic'!$A$22:$B$53,2,FALSE)&lt;=VLOOKUP(Z16,'FLA Reading Logic'!$A$22:$B$53,2,FALSE),VLOOKUP(Z16,'FLA Reading Logic'!$A$22:$B$53,2,FALSE),IF(VLOOKUP(Y16,'FLA Reading Logic'!$A$22:$B$53,2,FALSE)&gt;=VLOOKUP(AA16,'FLA Reading Logic'!$A$22:$B$53,2,FALSE),VLOOKUP(AA16,'FLA Reading Logic'!$A$22:$B$53,2,FALSE),"No Score")))),"No Value"))</f>
        <v>No Value</v>
      </c>
      <c r="AC16" s="97" t="str">
        <f>IFERROR(VLOOKUP(Y16,'FLA Reading Logic'!$A$22:$B$48,2,FALSE)-VLOOKUP($F16,'FLA Reading Logic'!$A$22:$B$48,2,FALSE),"No Value")</f>
        <v>No Value</v>
      </c>
      <c r="AD16" s="96" t="str">
        <f>IF($E16="Yes","IPP",IFERROR(IF(AND(Y16&gt;$J16,Y16&lt;$K16),"0",(VLOOKUP(Y16,'FLA Reading Logic'!$A$22:$B$53,2,FALSE))-(IF(VLOOKUP(Y16,'FLA Reading Logic'!$A$22:$B$53,2,FALSE)&lt;=VLOOKUP($J16,'FLA Reading Logic'!$A$22:$B$53,2,FALSE),VLOOKUP($J16,'FLA Reading Logic'!$A$22:$B$53,2,FALSE),IF(VLOOKUP(Y16,'FLA Reading Logic'!$A$22:$B$53,2,FALSE)&gt;=VLOOKUP($K16,'FLA Reading Logic'!$A$22:$B$53,2,FALSE),VLOOKUP($K16,'FLA Reading Logic'!$A$22:$B$53,2,FALSE),"No Score")))),"No Value"))</f>
        <v>No Value</v>
      </c>
      <c r="AE16" s="179"/>
      <c r="AF16" s="96" t="str">
        <f>IFERROR(IF($E16="Yes","IPP",VLOOKUP($L16,'FLA Reading Logic'!$A$3:$K$9,VLOOKUP(AE$1,'FLA Reading Logic'!$J$22:$K$31,2,FALSE),FALSE)),"Set Grade")</f>
        <v>Set Grade</v>
      </c>
      <c r="AG16" s="96" t="str">
        <f>IFERROR(IF($E16="Yes","IPP",VLOOKUP($L16,'FLA Reading Logic'!$A$13:$K$19,VLOOKUP(AE$1,'FLA Reading Logic'!$J$22:$K$31,2,FALSE),FALSE)),"Set Grade")</f>
        <v>Set Grade</v>
      </c>
      <c r="AH16" s="98" t="str">
        <f>IF($E16="Yes","IPP",IFERROR(IF(AND(AE16&gt;AF16,AE16&lt;AG16),"0",(VLOOKUP(AE16,'FLA Reading Logic'!$A$22:$B$53,2,FALSE))-(IF(VLOOKUP(AE16,'FLA Reading Logic'!$A$22:$B$53,2,FALSE)&lt;=VLOOKUP(AF16,'FLA Reading Logic'!$A$22:$B$53,2,FALSE),VLOOKUP(AF16,'FLA Reading Logic'!$A$22:$B$53,2,FALSE),IF(VLOOKUP(AE16,'FLA Reading Logic'!$A$22:$B$53,2,FALSE)&gt;=VLOOKUP(AG16,'FLA Reading Logic'!$A$22:$B$53,2,FALSE),VLOOKUP(AG16,'FLA Reading Logic'!$A$22:$B$53,2,FALSE),"No Score")))),"No Value"))</f>
        <v>No Value</v>
      </c>
      <c r="AI16" s="96" t="str">
        <f>IFERROR(VLOOKUP(AE16,'FLA Reading Logic'!$A$22:$B$48,2,FALSE)-VLOOKUP($F16,'FLA Reading Logic'!$A$22:$B$48,2,FALSE),"No Value")</f>
        <v>No Value</v>
      </c>
      <c r="AJ16" s="96" t="str">
        <f>IF($E16="Yes","IPP",IFERROR(IF(AND(AE16&gt;$J16,AE16&lt;$K16),"0",(VLOOKUP(AE16,'FLA Reading Logic'!$A$22:$B$53,2,FALSE))-(IF(VLOOKUP(AE16,'FLA Reading Logic'!$A$22:$B$53,2,FALSE)&lt;=VLOOKUP($J16,'FLA Reading Logic'!$A$22:$B$53,2,FALSE),VLOOKUP($J16,'FLA Reading Logic'!$A$22:$B$53,2,FALSE),IF(VLOOKUP(AE16,'FLA Reading Logic'!$A$22:$B$53,2,FALSE)&gt;=VLOOKUP($K16,'FLA Reading Logic'!$A$22:$B$53,2,FALSE),VLOOKUP($K16,'FLA Reading Logic'!$A$22:$B$53,2,FALSE),"No Score")))),"No Value"))</f>
        <v>No Value</v>
      </c>
      <c r="AK16" s="179"/>
      <c r="AL16" s="96" t="str">
        <f>IFERROR(IF($E16="Yes","IPP",VLOOKUP($L16,'FLA Reading Logic'!$A$3:$K$9,VLOOKUP(AK$1,'FLA Reading Logic'!$J$22:$K$31,2,FALSE),FALSE)),"Set Grade")</f>
        <v>Set Grade</v>
      </c>
      <c r="AM16" s="96" t="str">
        <f>IFERROR(IF($E16="Yes","IPP",VLOOKUP($L16,'FLA Reading Logic'!$A$13:$K$19,VLOOKUP(AK$1,'FLA Reading Logic'!$J$22:$K$31,2,FALSE),FALSE)),"Set Grade")</f>
        <v>Set Grade</v>
      </c>
      <c r="AN16" s="98" t="str">
        <f>IF($E16="Yes","IPP",IFERROR(IF(AND(AK16&gt;AL16,AK16&lt;AM16),"0",(VLOOKUP(AK16,'FLA Reading Logic'!$A$22:$B$53,2,FALSE))-(IF(VLOOKUP(AK16,'FLA Reading Logic'!$A$22:$B$53,2,FALSE)&lt;=VLOOKUP(AL16,'FLA Reading Logic'!$A$22:$B$53,2,FALSE),VLOOKUP(AL16,'FLA Reading Logic'!$A$22:$B$53,2,FALSE),IF(VLOOKUP(AK16,'FLA Reading Logic'!$A$22:$B$53,2,FALSE)&gt;=VLOOKUP(AM16,'FLA Reading Logic'!$A$22:$B$53,2,FALSE),VLOOKUP(AM16,'FLA Reading Logic'!$A$22:$B$53,2,FALSE),"No Score")))),"No Value"))</f>
        <v>No Value</v>
      </c>
      <c r="AO16" s="96" t="str">
        <f>IFERROR(VLOOKUP(AK16,'FLA Reading Logic'!$A$22:$B$48,2,FALSE)-VLOOKUP($F16,'FLA Reading Logic'!$A$22:$B$48,2,FALSE),"No Value")</f>
        <v>No Value</v>
      </c>
      <c r="AP16" s="96" t="str">
        <f>IF($E16="Yes","IPP",IFERROR(IF(AND(AK16&gt;$J16,AK16&lt;$K16),"0",(VLOOKUP(AK16,'FLA Reading Logic'!$A$22:$B$53,2,FALSE))-(IF(VLOOKUP(AK16,'FLA Reading Logic'!$A$22:$B$53,2,FALSE)&lt;=VLOOKUP($J16,'FLA Reading Logic'!$A$22:$B$53,2,FALSE),VLOOKUP($J16,'FLA Reading Logic'!$A$22:$B$53,2,FALSE),IF(VLOOKUP(AK16,'FLA Reading Logic'!$A$22:$B$53,2,FALSE)&gt;=VLOOKUP($K16,'FLA Reading Logic'!$A$22:$B$53,2,FALSE),VLOOKUP($K16,'FLA Reading Logic'!$A$22:$B$53,2,FALSE),"No Score")))),"No Value"))</f>
        <v>No Value</v>
      </c>
      <c r="AQ16" s="179"/>
      <c r="AR16" s="96" t="str">
        <f>IFERROR(IF($E16="Yes","IPP",VLOOKUP($L16,'FLA Reading Logic'!$A$3:$K$9,VLOOKUP(AQ$1,'FLA Reading Logic'!$J$22:$K$31,2,FALSE),FALSE)),"Set Grade")</f>
        <v>Set Grade</v>
      </c>
      <c r="AS16" s="96" t="str">
        <f>IFERROR(IF($E16="Yes","IPP",VLOOKUP($L16,'FLA Reading Logic'!$A$13:$K$19,VLOOKUP(AQ$1,'FLA Reading Logic'!$J$22:$K$31,2,FALSE),FALSE)),"Set Grade")</f>
        <v>Set Grade</v>
      </c>
      <c r="AT16" s="98" t="str">
        <f>IF($E16="Yes","IPP",IFERROR(IF(AND(AQ16&gt;AR16,AQ16&lt;AS16),"0",(VLOOKUP(AQ16,'FLA Reading Logic'!$A$22:$B$53,2,FALSE))-(IF(VLOOKUP(AQ16,'FLA Reading Logic'!$A$22:$B$53,2,FALSE)&lt;=VLOOKUP(AR16,'FLA Reading Logic'!$A$22:$B$53,2,FALSE),VLOOKUP(AR16,'FLA Reading Logic'!$A$22:$B$53,2,FALSE),IF(VLOOKUP(AQ16,'FLA Reading Logic'!$A$22:$B$53,2,FALSE)&gt;=VLOOKUP(AS16,'FLA Reading Logic'!$A$22:$B$53,2,FALSE),VLOOKUP(AS16,'FLA Reading Logic'!$A$22:$B$53,2,FALSE),"No Score")))),"No Value"))</f>
        <v>No Value</v>
      </c>
      <c r="AU16" s="96" t="str">
        <f>IFERROR(VLOOKUP(AQ16,'FLA Reading Logic'!$A$22:$B$48,2,FALSE)-VLOOKUP($F16,'FLA Reading Logic'!$A$22:$B$48,2,FALSE),"No Value")</f>
        <v>No Value</v>
      </c>
      <c r="AV16" s="96" t="str">
        <f>IF($E16="Yes","IPP",IFERROR(IF(AND(AQ16&gt;$J16,AQ16&lt;$K16),"0",(VLOOKUP(AQ16,'FLA Reading Logic'!$A$22:$B$53,2,FALSE))-(IF(VLOOKUP(AQ16,'FLA Reading Logic'!$A$22:$B$53,2,FALSE)&lt;=VLOOKUP($J16,'FLA Reading Logic'!$A$22:$B$53,2,FALSE),VLOOKUP($J16,'FLA Reading Logic'!$A$22:$B$53,2,FALSE),IF(VLOOKUP(AQ16,'FLA Reading Logic'!$A$22:$B$53,2,FALSE)&gt;=VLOOKUP($K16,'FLA Reading Logic'!$A$22:$B$53,2,FALSE),VLOOKUP($K16,'FLA Reading Logic'!$A$22:$B$53,2,FALSE),"No Score")))),"No Value"))</f>
        <v>No Value</v>
      </c>
      <c r="AW16" s="179"/>
      <c r="AX16" s="96" t="str">
        <f>IFERROR(IF($E16="Yes","IPP",VLOOKUP($L16,'FLA Reading Logic'!$A$3:$K$9,VLOOKUP(AW$1,'FLA Reading Logic'!$J$22:$K$31,2,FALSE),FALSE)),"Set Grade")</f>
        <v>Set Grade</v>
      </c>
      <c r="AY16" s="96" t="str">
        <f>IFERROR(IF($E16="Yes","IPP",VLOOKUP($L16,'FLA Reading Logic'!$A$13:$K$19,VLOOKUP(AW$1,'FLA Reading Logic'!$J$22:$K$31,2,FALSE),FALSE)),"Set Grade")</f>
        <v>Set Grade</v>
      </c>
      <c r="AZ16" s="98" t="str">
        <f>IF($E16="Yes","IPP",IFERROR(IF(AND(AW16&gt;AX16,AW16&lt;AY16),"0",(VLOOKUP(AW16,'FLA Reading Logic'!$A$22:$B$53,2,FALSE))-(IF(VLOOKUP(AW16,'FLA Reading Logic'!$A$22:$B$53,2,FALSE)&lt;=VLOOKUP(AX16,'FLA Reading Logic'!$A$22:$B$53,2,FALSE),VLOOKUP(AX16,'FLA Reading Logic'!$A$22:$B$53,2,FALSE),IF(VLOOKUP(AW16,'FLA Reading Logic'!$A$22:$B$53,2,FALSE)&gt;=VLOOKUP(AY16,'FLA Reading Logic'!$A$22:$B$53,2,FALSE),VLOOKUP(AY16,'FLA Reading Logic'!$A$22:$B$53,2,FALSE),"No Score")))),"No Value"))</f>
        <v>No Value</v>
      </c>
      <c r="BA16" s="96" t="str">
        <f>IFERROR(VLOOKUP(AW16,'FLA Reading Logic'!$A$22:$B$48,2,FALSE)-VLOOKUP($F16,'FLA Reading Logic'!$A$22:$B$48,2,FALSE),"No Value")</f>
        <v>No Value</v>
      </c>
      <c r="BB16" s="96" t="str">
        <f>IF($E16="Yes","IPP",IFERROR(IF(AND(AW16&gt;$J16,AW16&lt;$K16),"0",(VLOOKUP(AW16,'FLA Reading Logic'!$A$22:$B$53,2,FALSE))-(IF(VLOOKUP(AW16,'FLA Reading Logic'!$A$22:$B$53,2,FALSE)&lt;=VLOOKUP($J16,'FLA Reading Logic'!$A$22:$B$53,2,FALSE),VLOOKUP($J16,'FLA Reading Logic'!$A$22:$B$53,2,FALSE),IF(VLOOKUP(AW16,'FLA Reading Logic'!$A$22:$B$53,2,FALSE)&gt;=VLOOKUP($K16,'FLA Reading Logic'!$A$22:$B$53,2,FALSE),VLOOKUP($K16,'FLA Reading Logic'!$A$22:$B$53,2,FALSE),"No Score")))),"No Value"))</f>
        <v>No Value</v>
      </c>
    </row>
    <row r="17" spans="1:54" ht="26.25" customHeight="1" thickBot="1" x14ac:dyDescent="0.3">
      <c r="A17" s="96"/>
      <c r="B17" s="98"/>
      <c r="C17" s="98"/>
      <c r="D17" s="98"/>
      <c r="E17" s="179"/>
      <c r="F17" s="92"/>
      <c r="G17" s="98" t="str">
        <f>IFERROR(IF($E17="Yes","IPP",VLOOKUP($J17,'ELA Reading Logic'!$A$3:$K$9,VLOOKUP("September",'ELA Reading Logic'!$J$22:$K$31,2,FALSE),FALSE)),"Set Grade")</f>
        <v>Set Grade</v>
      </c>
      <c r="H17" s="98" t="str">
        <f>IFERROR(IF($E17="Yes","IPP",VLOOKUP($J17,'ELA Reading Logic'!$A$13:$K$19,VLOOKUP("September",'ELA Reading Logic'!$J$22:$K$31,2,FALSE),FALSE)),"Set Grade")</f>
        <v>Set Grade</v>
      </c>
      <c r="I17" s="98" t="str">
        <f>IF($E17="Yes","IPP",IFERROR(IF(AND(F17&gt;G17,F17&lt;H17),"0",(VLOOKUP(F17,'ELA Reading Logic'!$A$22:$B$48,2,FALSE))-(IF(VLOOKUP(F17,'ELA Reading Logic'!$A$22:$B$48,2,FALSE)&lt;=VLOOKUP(G17,'ELA Reading Logic'!$A$22:$B$48,2,FALSE),VLOOKUP(G17,'ELA Reading Logic'!$A$22:$B$48,2,FALSE),IF(VLOOKUP(F17,'ELA Reading Logic'!$A$22:$B$48,2,FALSE)&gt;=VLOOKUP(H17,'ELA Reading Logic'!$A$22:$B$48,2,FALSE),VLOOKUP(H17,'ELA Reading Logic'!$A$22:$B$48,2,FALSE),"No Score")))),"No Value"))</f>
        <v>No Value</v>
      </c>
      <c r="J17" s="96" t="str">
        <f>IFERROR(VLOOKUP($L17,'FLA Reading Logic'!$A$3:$K$9,11,FALSE),"Set Grade")</f>
        <v>Set Grade</v>
      </c>
      <c r="K17" s="96" t="str">
        <f>IFERROR(VLOOKUP($L17,'FLA Reading Logic'!$A$13:$K$19,11,FALSE),"Set Grade")</f>
        <v>Set Grade</v>
      </c>
      <c r="L17" s="180"/>
      <c r="M17" s="98"/>
      <c r="N17" s="98"/>
      <c r="O17" s="98"/>
      <c r="P17" s="98"/>
      <c r="Q17" s="98"/>
      <c r="R17" s="181"/>
      <c r="S17" s="182"/>
      <c r="T17" s="98" t="str">
        <f>IFERROR(IF($E17="Yes","IPP",VLOOKUP($L17,'FLA Reading Logic'!$A$3:$K$9,VLOOKUP(S$1,'FLA Reading Logic'!$J$22:$K$31,2,FALSE),FALSE)),"Set Grade")</f>
        <v>Set Grade</v>
      </c>
      <c r="U17" s="98" t="str">
        <f>IFERROR(IF($E17="Yes","IPP",VLOOKUP($L17,'FLA Reading Logic'!$A$13:$K$19,VLOOKUP(S$1,'FLA Reading Logic'!$J$22:$K$31,2,FALSE),FALSE)),"Set Grade")</f>
        <v>Set Grade</v>
      </c>
      <c r="V17" s="98" t="str">
        <f>IF($E17="Yes","IPP",IFERROR(IF(AND(S17&gt;T17,S17&lt;U17),"0",(VLOOKUP(S17,'FLA Reading Logic'!$A$22:$B$53,2,FALSE))-(IF(VLOOKUP(S17,'FLA Reading Logic'!$A$22:$B$53,2,FALSE)&lt;=VLOOKUP(T17,'FLA Reading Logic'!$A$22:$B$53,2,FALSE),VLOOKUP(T17,'FLA Reading Logic'!$A$22:$B$53,2,FALSE),IF(VLOOKUP(S17,'FLA Reading Logic'!$A$22:$B$53,2,FALSE)&gt;=VLOOKUP(U17,'FLA Reading Logic'!$A$22:$B$53,2,FALSE),VLOOKUP(U17,'FLA Reading Logic'!$A$22:$B$53,2,FALSE),"No Score")))),"No Value"))</f>
        <v>No Value</v>
      </c>
      <c r="W17" s="98" t="str">
        <f>IFERROR(VLOOKUP(S17,'FLA Reading Logic'!$A$22:$B$53,2,FALSE)-VLOOKUP($F17,'FLA Reading Logic'!$A$22:$B$53,2,FALSE),"No Value")</f>
        <v>No Value</v>
      </c>
      <c r="X17" s="96" t="str">
        <f>IF($E17="Yes","IPP",IFERROR(IF(AND(S17&gt;$J17,S17&lt;$K17),"0",(VLOOKUP(S17,'FLA Reading Logic'!$A$22:$B$53,2,FALSE))-(IF(VLOOKUP(S17,'FLA Reading Logic'!$A$22:$B$53,2,FALSE)&lt;=VLOOKUP($J17,'FLA Reading Logic'!$A$22:$B$53,2,FALSE),VLOOKUP($J17,'FLA Reading Logic'!$A$22:$B$53,2,FALSE),IF(VLOOKUP(S17,'FLA Reading Logic'!$A$22:$B$53,2,FALSE)&gt;=VLOOKUP($K17,'FLA Reading Logic'!$A$22:$B$53,2,FALSE),VLOOKUP($K17,'FLA Reading Logic'!$A$22:$B$53,2,FALSE),"No Score")))),"No Value"))</f>
        <v>No Value</v>
      </c>
      <c r="Y17" s="179"/>
      <c r="Z17" s="98" t="str">
        <f>IFERROR(IF($E17="Yes","IPP",VLOOKUP($L17,'FLA Reading Logic'!$A$3:$K$9,VLOOKUP(Y$1,'FLA Reading Logic'!$J$22:$K$31,2,FALSE),FALSE)),"Set Grade")</f>
        <v>Set Grade</v>
      </c>
      <c r="AA17" s="98" t="str">
        <f>IFERROR(IF($E17="Yes","IPP",VLOOKUP($L17,'FLA Reading Logic'!$A$13:$K$19,VLOOKUP(Y$1,'FLA Reading Logic'!$J$22:$K$31,2,FALSE),FALSE)),"Set Grade")</f>
        <v>Set Grade</v>
      </c>
      <c r="AB17" s="98" t="str">
        <f>IF($E17="Yes","IPP",IFERROR(IF(AND(Y17&gt;Z17,Y17&lt;AA17),"0",(VLOOKUP(Y17,'FLA Reading Logic'!$A$22:$B$53,2,FALSE))-(IF(VLOOKUP(Y17,'FLA Reading Logic'!$A$22:$B$53,2,FALSE)&lt;=VLOOKUP(Z17,'FLA Reading Logic'!$A$22:$B$53,2,FALSE),VLOOKUP(Z17,'FLA Reading Logic'!$A$22:$B$53,2,FALSE),IF(VLOOKUP(Y17,'FLA Reading Logic'!$A$22:$B$53,2,FALSE)&gt;=VLOOKUP(AA17,'FLA Reading Logic'!$A$22:$B$53,2,FALSE),VLOOKUP(AA17,'FLA Reading Logic'!$A$22:$B$53,2,FALSE),"No Score")))),"No Value"))</f>
        <v>No Value</v>
      </c>
      <c r="AC17" s="97" t="str">
        <f>IFERROR(VLOOKUP(Y17,'FLA Reading Logic'!$A$22:$B$48,2,FALSE)-VLOOKUP($F17,'FLA Reading Logic'!$A$22:$B$48,2,FALSE),"No Value")</f>
        <v>No Value</v>
      </c>
      <c r="AD17" s="96" t="str">
        <f>IF($E17="Yes","IPP",IFERROR(IF(AND(Y17&gt;$J17,Y17&lt;$K17),"0",(VLOOKUP(Y17,'FLA Reading Logic'!$A$22:$B$53,2,FALSE))-(IF(VLOOKUP(Y17,'FLA Reading Logic'!$A$22:$B$53,2,FALSE)&lt;=VLOOKUP($J17,'FLA Reading Logic'!$A$22:$B$53,2,FALSE),VLOOKUP($J17,'FLA Reading Logic'!$A$22:$B$53,2,FALSE),IF(VLOOKUP(Y17,'FLA Reading Logic'!$A$22:$B$53,2,FALSE)&gt;=VLOOKUP($K17,'FLA Reading Logic'!$A$22:$B$53,2,FALSE),VLOOKUP($K17,'FLA Reading Logic'!$A$22:$B$53,2,FALSE),"No Score")))),"No Value"))</f>
        <v>No Value</v>
      </c>
      <c r="AE17" s="179"/>
      <c r="AF17" s="96" t="str">
        <f>IFERROR(IF($E17="Yes","IPP",VLOOKUP($L17,'FLA Reading Logic'!$A$3:$K$9,VLOOKUP(AE$1,'FLA Reading Logic'!$J$22:$K$31,2,FALSE),FALSE)),"Set Grade")</f>
        <v>Set Grade</v>
      </c>
      <c r="AG17" s="96" t="str">
        <f>IFERROR(IF($E17="Yes","IPP",VLOOKUP($L17,'FLA Reading Logic'!$A$13:$K$19,VLOOKUP(AE$1,'FLA Reading Logic'!$J$22:$K$31,2,FALSE),FALSE)),"Set Grade")</f>
        <v>Set Grade</v>
      </c>
      <c r="AH17" s="98" t="str">
        <f>IF($E17="Yes","IPP",IFERROR(IF(AND(AE17&gt;AF17,AE17&lt;AG17),"0",(VLOOKUP(AE17,'FLA Reading Logic'!$A$22:$B$53,2,FALSE))-(IF(VLOOKUP(AE17,'FLA Reading Logic'!$A$22:$B$53,2,FALSE)&lt;=VLOOKUP(AF17,'FLA Reading Logic'!$A$22:$B$53,2,FALSE),VLOOKUP(AF17,'FLA Reading Logic'!$A$22:$B$53,2,FALSE),IF(VLOOKUP(AE17,'FLA Reading Logic'!$A$22:$B$53,2,FALSE)&gt;=VLOOKUP(AG17,'FLA Reading Logic'!$A$22:$B$53,2,FALSE),VLOOKUP(AG17,'FLA Reading Logic'!$A$22:$B$53,2,FALSE),"No Score")))),"No Value"))</f>
        <v>No Value</v>
      </c>
      <c r="AI17" s="96" t="str">
        <f>IFERROR(VLOOKUP(AE17,'FLA Reading Logic'!$A$22:$B$48,2,FALSE)-VLOOKUP($F17,'FLA Reading Logic'!$A$22:$B$48,2,FALSE),"No Value")</f>
        <v>No Value</v>
      </c>
      <c r="AJ17" s="96" t="str">
        <f>IF($E17="Yes","IPP",IFERROR(IF(AND(AE17&gt;$J17,AE17&lt;$K17),"0",(VLOOKUP(AE17,'FLA Reading Logic'!$A$22:$B$53,2,FALSE))-(IF(VLOOKUP(AE17,'FLA Reading Logic'!$A$22:$B$53,2,FALSE)&lt;=VLOOKUP($J17,'FLA Reading Logic'!$A$22:$B$53,2,FALSE),VLOOKUP($J17,'FLA Reading Logic'!$A$22:$B$53,2,FALSE),IF(VLOOKUP(AE17,'FLA Reading Logic'!$A$22:$B$53,2,FALSE)&gt;=VLOOKUP($K17,'FLA Reading Logic'!$A$22:$B$53,2,FALSE),VLOOKUP($K17,'FLA Reading Logic'!$A$22:$B$53,2,FALSE),"No Score")))),"No Value"))</f>
        <v>No Value</v>
      </c>
      <c r="AK17" s="179"/>
      <c r="AL17" s="96" t="str">
        <f>IFERROR(IF($E17="Yes","IPP",VLOOKUP($L17,'FLA Reading Logic'!$A$3:$K$9,VLOOKUP(AK$1,'FLA Reading Logic'!$J$22:$K$31,2,FALSE),FALSE)),"Set Grade")</f>
        <v>Set Grade</v>
      </c>
      <c r="AM17" s="96" t="str">
        <f>IFERROR(IF($E17="Yes","IPP",VLOOKUP($L17,'FLA Reading Logic'!$A$13:$K$19,VLOOKUP(AK$1,'FLA Reading Logic'!$J$22:$K$31,2,FALSE),FALSE)),"Set Grade")</f>
        <v>Set Grade</v>
      </c>
      <c r="AN17" s="98" t="str">
        <f>IF($E17="Yes","IPP",IFERROR(IF(AND(AK17&gt;AL17,AK17&lt;AM17),"0",(VLOOKUP(AK17,'FLA Reading Logic'!$A$22:$B$53,2,FALSE))-(IF(VLOOKUP(AK17,'FLA Reading Logic'!$A$22:$B$53,2,FALSE)&lt;=VLOOKUP(AL17,'FLA Reading Logic'!$A$22:$B$53,2,FALSE),VLOOKUP(AL17,'FLA Reading Logic'!$A$22:$B$53,2,FALSE),IF(VLOOKUP(AK17,'FLA Reading Logic'!$A$22:$B$53,2,FALSE)&gt;=VLOOKUP(AM17,'FLA Reading Logic'!$A$22:$B$53,2,FALSE),VLOOKUP(AM17,'FLA Reading Logic'!$A$22:$B$53,2,FALSE),"No Score")))),"No Value"))</f>
        <v>No Value</v>
      </c>
      <c r="AO17" s="96" t="str">
        <f>IFERROR(VLOOKUP(AK17,'FLA Reading Logic'!$A$22:$B$48,2,FALSE)-VLOOKUP($F17,'FLA Reading Logic'!$A$22:$B$48,2,FALSE),"No Value")</f>
        <v>No Value</v>
      </c>
      <c r="AP17" s="96" t="str">
        <f>IF($E17="Yes","IPP",IFERROR(IF(AND(AK17&gt;$J17,AK17&lt;$K17),"0",(VLOOKUP(AK17,'FLA Reading Logic'!$A$22:$B$53,2,FALSE))-(IF(VLOOKUP(AK17,'FLA Reading Logic'!$A$22:$B$53,2,FALSE)&lt;=VLOOKUP($J17,'FLA Reading Logic'!$A$22:$B$53,2,FALSE),VLOOKUP($J17,'FLA Reading Logic'!$A$22:$B$53,2,FALSE),IF(VLOOKUP(AK17,'FLA Reading Logic'!$A$22:$B$53,2,FALSE)&gt;=VLOOKUP($K17,'FLA Reading Logic'!$A$22:$B$53,2,FALSE),VLOOKUP($K17,'FLA Reading Logic'!$A$22:$B$53,2,FALSE),"No Score")))),"No Value"))</f>
        <v>No Value</v>
      </c>
      <c r="AQ17" s="179"/>
      <c r="AR17" s="96" t="str">
        <f>IFERROR(IF($E17="Yes","IPP",VLOOKUP($L17,'FLA Reading Logic'!$A$3:$K$9,VLOOKUP(AQ$1,'FLA Reading Logic'!$J$22:$K$31,2,FALSE),FALSE)),"Set Grade")</f>
        <v>Set Grade</v>
      </c>
      <c r="AS17" s="96" t="str">
        <f>IFERROR(IF($E17="Yes","IPP",VLOOKUP($L17,'FLA Reading Logic'!$A$13:$K$19,VLOOKUP(AQ$1,'FLA Reading Logic'!$J$22:$K$31,2,FALSE),FALSE)),"Set Grade")</f>
        <v>Set Grade</v>
      </c>
      <c r="AT17" s="98" t="str">
        <f>IF($E17="Yes","IPP",IFERROR(IF(AND(AQ17&gt;AR17,AQ17&lt;AS17),"0",(VLOOKUP(AQ17,'FLA Reading Logic'!$A$22:$B$53,2,FALSE))-(IF(VLOOKUP(AQ17,'FLA Reading Logic'!$A$22:$B$53,2,FALSE)&lt;=VLOOKUP(AR17,'FLA Reading Logic'!$A$22:$B$53,2,FALSE),VLOOKUP(AR17,'FLA Reading Logic'!$A$22:$B$53,2,FALSE),IF(VLOOKUP(AQ17,'FLA Reading Logic'!$A$22:$B$53,2,FALSE)&gt;=VLOOKUP(AS17,'FLA Reading Logic'!$A$22:$B$53,2,FALSE),VLOOKUP(AS17,'FLA Reading Logic'!$A$22:$B$53,2,FALSE),"No Score")))),"No Value"))</f>
        <v>No Value</v>
      </c>
      <c r="AU17" s="96" t="str">
        <f>IFERROR(VLOOKUP(AQ17,'FLA Reading Logic'!$A$22:$B$48,2,FALSE)-VLOOKUP($F17,'FLA Reading Logic'!$A$22:$B$48,2,FALSE),"No Value")</f>
        <v>No Value</v>
      </c>
      <c r="AV17" s="96" t="str">
        <f>IF($E17="Yes","IPP",IFERROR(IF(AND(AQ17&gt;$J17,AQ17&lt;$K17),"0",(VLOOKUP(AQ17,'FLA Reading Logic'!$A$22:$B$53,2,FALSE))-(IF(VLOOKUP(AQ17,'FLA Reading Logic'!$A$22:$B$53,2,FALSE)&lt;=VLOOKUP($J17,'FLA Reading Logic'!$A$22:$B$53,2,FALSE),VLOOKUP($J17,'FLA Reading Logic'!$A$22:$B$53,2,FALSE),IF(VLOOKUP(AQ17,'FLA Reading Logic'!$A$22:$B$53,2,FALSE)&gt;=VLOOKUP($K17,'FLA Reading Logic'!$A$22:$B$53,2,FALSE),VLOOKUP($K17,'FLA Reading Logic'!$A$22:$B$53,2,FALSE),"No Score")))),"No Value"))</f>
        <v>No Value</v>
      </c>
      <c r="AW17" s="179"/>
      <c r="AX17" s="96" t="str">
        <f>IFERROR(IF($E17="Yes","IPP",VLOOKUP($L17,'FLA Reading Logic'!$A$3:$K$9,VLOOKUP(AW$1,'FLA Reading Logic'!$J$22:$K$31,2,FALSE),FALSE)),"Set Grade")</f>
        <v>Set Grade</v>
      </c>
      <c r="AY17" s="96" t="str">
        <f>IFERROR(IF($E17="Yes","IPP",VLOOKUP($L17,'FLA Reading Logic'!$A$13:$K$19,VLOOKUP(AW$1,'FLA Reading Logic'!$J$22:$K$31,2,FALSE),FALSE)),"Set Grade")</f>
        <v>Set Grade</v>
      </c>
      <c r="AZ17" s="98" t="str">
        <f>IF($E17="Yes","IPP",IFERROR(IF(AND(AW17&gt;AX17,AW17&lt;AY17),"0",(VLOOKUP(AW17,'FLA Reading Logic'!$A$22:$B$53,2,FALSE))-(IF(VLOOKUP(AW17,'FLA Reading Logic'!$A$22:$B$53,2,FALSE)&lt;=VLOOKUP(AX17,'FLA Reading Logic'!$A$22:$B$53,2,FALSE),VLOOKUP(AX17,'FLA Reading Logic'!$A$22:$B$53,2,FALSE),IF(VLOOKUP(AW17,'FLA Reading Logic'!$A$22:$B$53,2,FALSE)&gt;=VLOOKUP(AY17,'FLA Reading Logic'!$A$22:$B$53,2,FALSE),VLOOKUP(AY17,'FLA Reading Logic'!$A$22:$B$53,2,FALSE),"No Score")))),"No Value"))</f>
        <v>No Value</v>
      </c>
      <c r="BA17" s="96" t="str">
        <f>IFERROR(VLOOKUP(AW17,'FLA Reading Logic'!$A$22:$B$48,2,FALSE)-VLOOKUP($F17,'FLA Reading Logic'!$A$22:$B$48,2,FALSE),"No Value")</f>
        <v>No Value</v>
      </c>
      <c r="BB17" s="96" t="str">
        <f>IF($E17="Yes","IPP",IFERROR(IF(AND(AW17&gt;$J17,AW17&lt;$K17),"0",(VLOOKUP(AW17,'FLA Reading Logic'!$A$22:$B$53,2,FALSE))-(IF(VLOOKUP(AW17,'FLA Reading Logic'!$A$22:$B$53,2,FALSE)&lt;=VLOOKUP($J17,'FLA Reading Logic'!$A$22:$B$53,2,FALSE),VLOOKUP($J17,'FLA Reading Logic'!$A$22:$B$53,2,FALSE),IF(VLOOKUP(AW17,'FLA Reading Logic'!$A$22:$B$53,2,FALSE)&gt;=VLOOKUP($K17,'FLA Reading Logic'!$A$22:$B$53,2,FALSE),VLOOKUP($K17,'FLA Reading Logic'!$A$22:$B$53,2,FALSE),"No Score")))),"No Value"))</f>
        <v>No Value</v>
      </c>
    </row>
    <row r="18" spans="1:54" ht="26.25" customHeight="1" thickBot="1" x14ac:dyDescent="0.3">
      <c r="A18" s="96"/>
      <c r="B18" s="98"/>
      <c r="C18" s="98"/>
      <c r="D18" s="98"/>
      <c r="E18" s="179"/>
      <c r="F18" s="92"/>
      <c r="G18" s="98" t="str">
        <f>IFERROR(IF($E18="Yes","IPP",VLOOKUP($J18,'ELA Reading Logic'!$A$3:$K$9,VLOOKUP("September",'ELA Reading Logic'!$J$22:$K$31,2,FALSE),FALSE)),"Set Grade")</f>
        <v>Set Grade</v>
      </c>
      <c r="H18" s="98" t="str">
        <f>IFERROR(IF($E18="Yes","IPP",VLOOKUP($J18,'ELA Reading Logic'!$A$13:$K$19,VLOOKUP("September",'ELA Reading Logic'!$J$22:$K$31,2,FALSE),FALSE)),"Set Grade")</f>
        <v>Set Grade</v>
      </c>
      <c r="I18" s="98" t="str">
        <f>IF($E18="Yes","IPP",IFERROR(IF(AND(F18&gt;G18,F18&lt;H18),"0",(VLOOKUP(F18,'ELA Reading Logic'!$A$22:$B$48,2,FALSE))-(IF(VLOOKUP(F18,'ELA Reading Logic'!$A$22:$B$48,2,FALSE)&lt;=VLOOKUP(G18,'ELA Reading Logic'!$A$22:$B$48,2,FALSE),VLOOKUP(G18,'ELA Reading Logic'!$A$22:$B$48,2,FALSE),IF(VLOOKUP(F18,'ELA Reading Logic'!$A$22:$B$48,2,FALSE)&gt;=VLOOKUP(H18,'ELA Reading Logic'!$A$22:$B$48,2,FALSE),VLOOKUP(H18,'ELA Reading Logic'!$A$22:$B$48,2,FALSE),"No Score")))),"No Value"))</f>
        <v>No Value</v>
      </c>
      <c r="J18" s="96" t="str">
        <f>IFERROR(VLOOKUP($L18,'FLA Reading Logic'!$A$3:$K$9,11,FALSE),"Set Grade")</f>
        <v>Set Grade</v>
      </c>
      <c r="K18" s="96" t="str">
        <f>IFERROR(VLOOKUP($L18,'FLA Reading Logic'!$A$13:$K$19,11,FALSE),"Set Grade")</f>
        <v>Set Grade</v>
      </c>
      <c r="L18" s="180"/>
      <c r="M18" s="98"/>
      <c r="N18" s="98"/>
      <c r="O18" s="98"/>
      <c r="P18" s="98"/>
      <c r="Q18" s="98"/>
      <c r="R18" s="181"/>
      <c r="S18" s="182"/>
      <c r="T18" s="98" t="str">
        <f>IFERROR(IF($E18="Yes","IPP",VLOOKUP($L18,'FLA Reading Logic'!$A$3:$K$9,VLOOKUP(S$1,'FLA Reading Logic'!$J$22:$K$31,2,FALSE),FALSE)),"Set Grade")</f>
        <v>Set Grade</v>
      </c>
      <c r="U18" s="98" t="str">
        <f>IFERROR(IF($E18="Yes","IPP",VLOOKUP($L18,'FLA Reading Logic'!$A$13:$K$19,VLOOKUP(S$1,'FLA Reading Logic'!$J$22:$K$31,2,FALSE),FALSE)),"Set Grade")</f>
        <v>Set Grade</v>
      </c>
      <c r="V18" s="98" t="str">
        <f>IF($E18="Yes","IPP",IFERROR(IF(AND(S18&gt;T18,S18&lt;U18),"0",(VLOOKUP(S18,'FLA Reading Logic'!$A$22:$B$53,2,FALSE))-(IF(VLOOKUP(S18,'FLA Reading Logic'!$A$22:$B$53,2,FALSE)&lt;=VLOOKUP(T18,'FLA Reading Logic'!$A$22:$B$53,2,FALSE),VLOOKUP(T18,'FLA Reading Logic'!$A$22:$B$53,2,FALSE),IF(VLOOKUP(S18,'FLA Reading Logic'!$A$22:$B$53,2,FALSE)&gt;=VLOOKUP(U18,'FLA Reading Logic'!$A$22:$B$53,2,FALSE),VLOOKUP(U18,'FLA Reading Logic'!$A$22:$B$53,2,FALSE),"No Score")))),"No Value"))</f>
        <v>No Value</v>
      </c>
      <c r="W18" s="98" t="str">
        <f>IFERROR(VLOOKUP(S18,'FLA Reading Logic'!$A$22:$B$53,2,FALSE)-VLOOKUP($F18,'FLA Reading Logic'!$A$22:$B$53,2,FALSE),"No Value")</f>
        <v>No Value</v>
      </c>
      <c r="X18" s="96" t="str">
        <f>IF($E18="Yes","IPP",IFERROR(IF(AND(S18&gt;$J18,S18&lt;$K18),"0",(VLOOKUP(S18,'FLA Reading Logic'!$A$22:$B$53,2,FALSE))-(IF(VLOOKUP(S18,'FLA Reading Logic'!$A$22:$B$53,2,FALSE)&lt;=VLOOKUP($J18,'FLA Reading Logic'!$A$22:$B$53,2,FALSE),VLOOKUP($J18,'FLA Reading Logic'!$A$22:$B$53,2,FALSE),IF(VLOOKUP(S18,'FLA Reading Logic'!$A$22:$B$53,2,FALSE)&gt;=VLOOKUP($K18,'FLA Reading Logic'!$A$22:$B$53,2,FALSE),VLOOKUP($K18,'FLA Reading Logic'!$A$22:$B$53,2,FALSE),"No Score")))),"No Value"))</f>
        <v>No Value</v>
      </c>
      <c r="Y18" s="179"/>
      <c r="Z18" s="98" t="str">
        <f>IFERROR(IF($E18="Yes","IPP",VLOOKUP($L18,'FLA Reading Logic'!$A$3:$K$9,VLOOKUP(Y$1,'FLA Reading Logic'!$J$22:$K$31,2,FALSE),FALSE)),"Set Grade")</f>
        <v>Set Grade</v>
      </c>
      <c r="AA18" s="98" t="str">
        <f>IFERROR(IF($E18="Yes","IPP",VLOOKUP($L18,'FLA Reading Logic'!$A$13:$K$19,VLOOKUP(Y$1,'FLA Reading Logic'!$J$22:$K$31,2,FALSE),FALSE)),"Set Grade")</f>
        <v>Set Grade</v>
      </c>
      <c r="AB18" s="98" t="str">
        <f>IF($E18="Yes","IPP",IFERROR(IF(AND(Y18&gt;Z18,Y18&lt;AA18),"0",(VLOOKUP(Y18,'FLA Reading Logic'!$A$22:$B$53,2,FALSE))-(IF(VLOOKUP(Y18,'FLA Reading Logic'!$A$22:$B$53,2,FALSE)&lt;=VLOOKUP(Z18,'FLA Reading Logic'!$A$22:$B$53,2,FALSE),VLOOKUP(Z18,'FLA Reading Logic'!$A$22:$B$53,2,FALSE),IF(VLOOKUP(Y18,'FLA Reading Logic'!$A$22:$B$53,2,FALSE)&gt;=VLOOKUP(AA18,'FLA Reading Logic'!$A$22:$B$53,2,FALSE),VLOOKUP(AA18,'FLA Reading Logic'!$A$22:$B$53,2,FALSE),"No Score")))),"No Value"))</f>
        <v>No Value</v>
      </c>
      <c r="AC18" s="97" t="str">
        <f>IFERROR(VLOOKUP(Y18,'FLA Reading Logic'!$A$22:$B$48,2,FALSE)-VLOOKUP($F18,'FLA Reading Logic'!$A$22:$B$48,2,FALSE),"No Value")</f>
        <v>No Value</v>
      </c>
      <c r="AD18" s="96" t="str">
        <f>IF($E18="Yes","IPP",IFERROR(IF(AND(Y18&gt;$J18,Y18&lt;$K18),"0",(VLOOKUP(Y18,'FLA Reading Logic'!$A$22:$B$53,2,FALSE))-(IF(VLOOKUP(Y18,'FLA Reading Logic'!$A$22:$B$53,2,FALSE)&lt;=VLOOKUP($J18,'FLA Reading Logic'!$A$22:$B$53,2,FALSE),VLOOKUP($J18,'FLA Reading Logic'!$A$22:$B$53,2,FALSE),IF(VLOOKUP(Y18,'FLA Reading Logic'!$A$22:$B$53,2,FALSE)&gt;=VLOOKUP($K18,'FLA Reading Logic'!$A$22:$B$53,2,FALSE),VLOOKUP($K18,'FLA Reading Logic'!$A$22:$B$53,2,FALSE),"No Score")))),"No Value"))</f>
        <v>No Value</v>
      </c>
      <c r="AE18" s="179"/>
      <c r="AF18" s="96" t="str">
        <f>IFERROR(IF($E18="Yes","IPP",VLOOKUP($L18,'FLA Reading Logic'!$A$3:$K$9,VLOOKUP(AE$1,'FLA Reading Logic'!$J$22:$K$31,2,FALSE),FALSE)),"Set Grade")</f>
        <v>Set Grade</v>
      </c>
      <c r="AG18" s="96" t="str">
        <f>IFERROR(IF($E18="Yes","IPP",VLOOKUP($L18,'FLA Reading Logic'!$A$13:$K$19,VLOOKUP(AE$1,'FLA Reading Logic'!$J$22:$K$31,2,FALSE),FALSE)),"Set Grade")</f>
        <v>Set Grade</v>
      </c>
      <c r="AH18" s="98" t="str">
        <f>IF($E18="Yes","IPP",IFERROR(IF(AND(AE18&gt;AF18,AE18&lt;AG18),"0",(VLOOKUP(AE18,'FLA Reading Logic'!$A$22:$B$53,2,FALSE))-(IF(VLOOKUP(AE18,'FLA Reading Logic'!$A$22:$B$53,2,FALSE)&lt;=VLOOKUP(AF18,'FLA Reading Logic'!$A$22:$B$53,2,FALSE),VLOOKUP(AF18,'FLA Reading Logic'!$A$22:$B$53,2,FALSE),IF(VLOOKUP(AE18,'FLA Reading Logic'!$A$22:$B$53,2,FALSE)&gt;=VLOOKUP(AG18,'FLA Reading Logic'!$A$22:$B$53,2,FALSE),VLOOKUP(AG18,'FLA Reading Logic'!$A$22:$B$53,2,FALSE),"No Score")))),"No Value"))</f>
        <v>No Value</v>
      </c>
      <c r="AI18" s="96" t="str">
        <f>IFERROR(VLOOKUP(AE18,'FLA Reading Logic'!$A$22:$B$48,2,FALSE)-VLOOKUP($F18,'FLA Reading Logic'!$A$22:$B$48,2,FALSE),"No Value")</f>
        <v>No Value</v>
      </c>
      <c r="AJ18" s="96" t="str">
        <f>IF($E18="Yes","IPP",IFERROR(IF(AND(AE18&gt;$J18,AE18&lt;$K18),"0",(VLOOKUP(AE18,'FLA Reading Logic'!$A$22:$B$53,2,FALSE))-(IF(VLOOKUP(AE18,'FLA Reading Logic'!$A$22:$B$53,2,FALSE)&lt;=VLOOKUP($J18,'FLA Reading Logic'!$A$22:$B$53,2,FALSE),VLOOKUP($J18,'FLA Reading Logic'!$A$22:$B$53,2,FALSE),IF(VLOOKUP(AE18,'FLA Reading Logic'!$A$22:$B$53,2,FALSE)&gt;=VLOOKUP($K18,'FLA Reading Logic'!$A$22:$B$53,2,FALSE),VLOOKUP($K18,'FLA Reading Logic'!$A$22:$B$53,2,FALSE),"No Score")))),"No Value"))</f>
        <v>No Value</v>
      </c>
      <c r="AK18" s="179"/>
      <c r="AL18" s="96" t="str">
        <f>IFERROR(IF($E18="Yes","IPP",VLOOKUP($L18,'FLA Reading Logic'!$A$3:$K$9,VLOOKUP(AK$1,'FLA Reading Logic'!$J$22:$K$31,2,FALSE),FALSE)),"Set Grade")</f>
        <v>Set Grade</v>
      </c>
      <c r="AM18" s="96" t="str">
        <f>IFERROR(IF($E18="Yes","IPP",VLOOKUP($L18,'FLA Reading Logic'!$A$13:$K$19,VLOOKUP(AK$1,'FLA Reading Logic'!$J$22:$K$31,2,FALSE),FALSE)),"Set Grade")</f>
        <v>Set Grade</v>
      </c>
      <c r="AN18" s="98" t="str">
        <f>IF($E18="Yes","IPP",IFERROR(IF(AND(AK18&gt;AL18,AK18&lt;AM18),"0",(VLOOKUP(AK18,'FLA Reading Logic'!$A$22:$B$53,2,FALSE))-(IF(VLOOKUP(AK18,'FLA Reading Logic'!$A$22:$B$53,2,FALSE)&lt;=VLOOKUP(AL18,'FLA Reading Logic'!$A$22:$B$53,2,FALSE),VLOOKUP(AL18,'FLA Reading Logic'!$A$22:$B$53,2,FALSE),IF(VLOOKUP(AK18,'FLA Reading Logic'!$A$22:$B$53,2,FALSE)&gt;=VLOOKUP(AM18,'FLA Reading Logic'!$A$22:$B$53,2,FALSE),VLOOKUP(AM18,'FLA Reading Logic'!$A$22:$B$53,2,FALSE),"No Score")))),"No Value"))</f>
        <v>No Value</v>
      </c>
      <c r="AO18" s="96" t="str">
        <f>IFERROR(VLOOKUP(AK18,'FLA Reading Logic'!$A$22:$B$48,2,FALSE)-VLOOKUP($F18,'FLA Reading Logic'!$A$22:$B$48,2,FALSE),"No Value")</f>
        <v>No Value</v>
      </c>
      <c r="AP18" s="96" t="str">
        <f>IF($E18="Yes","IPP",IFERROR(IF(AND(AK18&gt;$J18,AK18&lt;$K18),"0",(VLOOKUP(AK18,'FLA Reading Logic'!$A$22:$B$53,2,FALSE))-(IF(VLOOKUP(AK18,'FLA Reading Logic'!$A$22:$B$53,2,FALSE)&lt;=VLOOKUP($J18,'FLA Reading Logic'!$A$22:$B$53,2,FALSE),VLOOKUP($J18,'FLA Reading Logic'!$A$22:$B$53,2,FALSE),IF(VLOOKUP(AK18,'FLA Reading Logic'!$A$22:$B$53,2,FALSE)&gt;=VLOOKUP($K18,'FLA Reading Logic'!$A$22:$B$53,2,FALSE),VLOOKUP($K18,'FLA Reading Logic'!$A$22:$B$53,2,FALSE),"No Score")))),"No Value"))</f>
        <v>No Value</v>
      </c>
      <c r="AQ18" s="179"/>
      <c r="AR18" s="96" t="str">
        <f>IFERROR(IF($E18="Yes","IPP",VLOOKUP($L18,'FLA Reading Logic'!$A$3:$K$9,VLOOKUP(AQ$1,'FLA Reading Logic'!$J$22:$K$31,2,FALSE),FALSE)),"Set Grade")</f>
        <v>Set Grade</v>
      </c>
      <c r="AS18" s="96" t="str">
        <f>IFERROR(IF($E18="Yes","IPP",VLOOKUP($L18,'FLA Reading Logic'!$A$13:$K$19,VLOOKUP(AQ$1,'FLA Reading Logic'!$J$22:$K$31,2,FALSE),FALSE)),"Set Grade")</f>
        <v>Set Grade</v>
      </c>
      <c r="AT18" s="98" t="str">
        <f>IF($E18="Yes","IPP",IFERROR(IF(AND(AQ18&gt;AR18,AQ18&lt;AS18),"0",(VLOOKUP(AQ18,'FLA Reading Logic'!$A$22:$B$53,2,FALSE))-(IF(VLOOKUP(AQ18,'FLA Reading Logic'!$A$22:$B$53,2,FALSE)&lt;=VLOOKUP(AR18,'FLA Reading Logic'!$A$22:$B$53,2,FALSE),VLOOKUP(AR18,'FLA Reading Logic'!$A$22:$B$53,2,FALSE),IF(VLOOKUP(AQ18,'FLA Reading Logic'!$A$22:$B$53,2,FALSE)&gt;=VLOOKUP(AS18,'FLA Reading Logic'!$A$22:$B$53,2,FALSE),VLOOKUP(AS18,'FLA Reading Logic'!$A$22:$B$53,2,FALSE),"No Score")))),"No Value"))</f>
        <v>No Value</v>
      </c>
      <c r="AU18" s="96" t="str">
        <f>IFERROR(VLOOKUP(AQ18,'FLA Reading Logic'!$A$22:$B$48,2,FALSE)-VLOOKUP($F18,'FLA Reading Logic'!$A$22:$B$48,2,FALSE),"No Value")</f>
        <v>No Value</v>
      </c>
      <c r="AV18" s="96" t="str">
        <f>IF($E18="Yes","IPP",IFERROR(IF(AND(AQ18&gt;$J18,AQ18&lt;$K18),"0",(VLOOKUP(AQ18,'FLA Reading Logic'!$A$22:$B$53,2,FALSE))-(IF(VLOOKUP(AQ18,'FLA Reading Logic'!$A$22:$B$53,2,FALSE)&lt;=VLOOKUP($J18,'FLA Reading Logic'!$A$22:$B$53,2,FALSE),VLOOKUP($J18,'FLA Reading Logic'!$A$22:$B$53,2,FALSE),IF(VLOOKUP(AQ18,'FLA Reading Logic'!$A$22:$B$53,2,FALSE)&gt;=VLOOKUP($K18,'FLA Reading Logic'!$A$22:$B$53,2,FALSE),VLOOKUP($K18,'FLA Reading Logic'!$A$22:$B$53,2,FALSE),"No Score")))),"No Value"))</f>
        <v>No Value</v>
      </c>
      <c r="AW18" s="179"/>
      <c r="AX18" s="96" t="str">
        <f>IFERROR(IF($E18="Yes","IPP",VLOOKUP($L18,'FLA Reading Logic'!$A$3:$K$9,VLOOKUP(AW$1,'FLA Reading Logic'!$J$22:$K$31,2,FALSE),FALSE)),"Set Grade")</f>
        <v>Set Grade</v>
      </c>
      <c r="AY18" s="96" t="str">
        <f>IFERROR(IF($E18="Yes","IPP",VLOOKUP($L18,'FLA Reading Logic'!$A$13:$K$19,VLOOKUP(AW$1,'FLA Reading Logic'!$J$22:$K$31,2,FALSE),FALSE)),"Set Grade")</f>
        <v>Set Grade</v>
      </c>
      <c r="AZ18" s="98" t="str">
        <f>IF($E18="Yes","IPP",IFERROR(IF(AND(AW18&gt;AX18,AW18&lt;AY18),"0",(VLOOKUP(AW18,'FLA Reading Logic'!$A$22:$B$53,2,FALSE))-(IF(VLOOKUP(AW18,'FLA Reading Logic'!$A$22:$B$53,2,FALSE)&lt;=VLOOKUP(AX18,'FLA Reading Logic'!$A$22:$B$53,2,FALSE),VLOOKUP(AX18,'FLA Reading Logic'!$A$22:$B$53,2,FALSE),IF(VLOOKUP(AW18,'FLA Reading Logic'!$A$22:$B$53,2,FALSE)&gt;=VLOOKUP(AY18,'FLA Reading Logic'!$A$22:$B$53,2,FALSE),VLOOKUP(AY18,'FLA Reading Logic'!$A$22:$B$53,2,FALSE),"No Score")))),"No Value"))</f>
        <v>No Value</v>
      </c>
      <c r="BA18" s="96" t="str">
        <f>IFERROR(VLOOKUP(AW18,'FLA Reading Logic'!$A$22:$B$48,2,FALSE)-VLOOKUP($F18,'FLA Reading Logic'!$A$22:$B$48,2,FALSE),"No Value")</f>
        <v>No Value</v>
      </c>
      <c r="BB18" s="96" t="str">
        <f>IF($E18="Yes","IPP",IFERROR(IF(AND(AW18&gt;$J18,AW18&lt;$K18),"0",(VLOOKUP(AW18,'FLA Reading Logic'!$A$22:$B$53,2,FALSE))-(IF(VLOOKUP(AW18,'FLA Reading Logic'!$A$22:$B$53,2,FALSE)&lt;=VLOOKUP($J18,'FLA Reading Logic'!$A$22:$B$53,2,FALSE),VLOOKUP($J18,'FLA Reading Logic'!$A$22:$B$53,2,FALSE),IF(VLOOKUP(AW18,'FLA Reading Logic'!$A$22:$B$53,2,FALSE)&gt;=VLOOKUP($K18,'FLA Reading Logic'!$A$22:$B$53,2,FALSE),VLOOKUP($K18,'FLA Reading Logic'!$A$22:$B$53,2,FALSE),"No Score")))),"No Value"))</f>
        <v>No Value</v>
      </c>
    </row>
    <row r="19" spans="1:54" ht="26.25" customHeight="1" thickBot="1" x14ac:dyDescent="0.3">
      <c r="A19" s="96"/>
      <c r="B19" s="98"/>
      <c r="C19" s="98"/>
      <c r="D19" s="98"/>
      <c r="E19" s="179"/>
      <c r="F19" s="92"/>
      <c r="G19" s="98" t="str">
        <f>IFERROR(IF($E19="Yes","IPP",VLOOKUP($J19,'ELA Reading Logic'!$A$3:$K$9,VLOOKUP("September",'ELA Reading Logic'!$J$22:$K$31,2,FALSE),FALSE)),"Set Grade")</f>
        <v>Set Grade</v>
      </c>
      <c r="H19" s="98" t="str">
        <f>IFERROR(IF($E19="Yes","IPP",VLOOKUP($J19,'ELA Reading Logic'!$A$13:$K$19,VLOOKUP("September",'ELA Reading Logic'!$J$22:$K$31,2,FALSE),FALSE)),"Set Grade")</f>
        <v>Set Grade</v>
      </c>
      <c r="I19" s="98" t="str">
        <f>IF($E19="Yes","IPP",IFERROR(IF(AND(F19&gt;G19,F19&lt;H19),"0",(VLOOKUP(F19,'ELA Reading Logic'!$A$22:$B$48,2,FALSE))-(IF(VLOOKUP(F19,'ELA Reading Logic'!$A$22:$B$48,2,FALSE)&lt;=VLOOKUP(G19,'ELA Reading Logic'!$A$22:$B$48,2,FALSE),VLOOKUP(G19,'ELA Reading Logic'!$A$22:$B$48,2,FALSE),IF(VLOOKUP(F19,'ELA Reading Logic'!$A$22:$B$48,2,FALSE)&gt;=VLOOKUP(H19,'ELA Reading Logic'!$A$22:$B$48,2,FALSE),VLOOKUP(H19,'ELA Reading Logic'!$A$22:$B$48,2,FALSE),"No Score")))),"No Value"))</f>
        <v>No Value</v>
      </c>
      <c r="J19" s="96" t="str">
        <f>IFERROR(VLOOKUP($L19,'FLA Reading Logic'!$A$3:$K$9,11,FALSE),"Set Grade")</f>
        <v>Set Grade</v>
      </c>
      <c r="K19" s="96" t="str">
        <f>IFERROR(VLOOKUP($L19,'FLA Reading Logic'!$A$13:$K$19,11,FALSE),"Set Grade")</f>
        <v>Set Grade</v>
      </c>
      <c r="L19" s="180"/>
      <c r="M19" s="98"/>
      <c r="N19" s="98"/>
      <c r="O19" s="98"/>
      <c r="P19" s="98"/>
      <c r="Q19" s="98"/>
      <c r="R19" s="181"/>
      <c r="S19" s="182"/>
      <c r="T19" s="98" t="str">
        <f>IFERROR(IF($E19="Yes","IPP",VLOOKUP($L19,'FLA Reading Logic'!$A$3:$K$9,VLOOKUP(S$1,'FLA Reading Logic'!$J$22:$K$31,2,FALSE),FALSE)),"Set Grade")</f>
        <v>Set Grade</v>
      </c>
      <c r="U19" s="98" t="str">
        <f>IFERROR(IF($E19="Yes","IPP",VLOOKUP($L19,'FLA Reading Logic'!$A$13:$K$19,VLOOKUP(S$1,'FLA Reading Logic'!$J$22:$K$31,2,FALSE),FALSE)),"Set Grade")</f>
        <v>Set Grade</v>
      </c>
      <c r="V19" s="98" t="str">
        <f>IF($E19="Yes","IPP",IFERROR(IF(AND(S19&gt;T19,S19&lt;U19),"0",(VLOOKUP(S19,'FLA Reading Logic'!$A$22:$B$53,2,FALSE))-(IF(VLOOKUP(S19,'FLA Reading Logic'!$A$22:$B$53,2,FALSE)&lt;=VLOOKUP(T19,'FLA Reading Logic'!$A$22:$B$53,2,FALSE),VLOOKUP(T19,'FLA Reading Logic'!$A$22:$B$53,2,FALSE),IF(VLOOKUP(S19,'FLA Reading Logic'!$A$22:$B$53,2,FALSE)&gt;=VLOOKUP(U19,'FLA Reading Logic'!$A$22:$B$53,2,FALSE),VLOOKUP(U19,'FLA Reading Logic'!$A$22:$B$53,2,FALSE),"No Score")))),"No Value"))</f>
        <v>No Value</v>
      </c>
      <c r="W19" s="98" t="str">
        <f>IFERROR(VLOOKUP(S19,'FLA Reading Logic'!$A$22:$B$53,2,FALSE)-VLOOKUP($F19,'FLA Reading Logic'!$A$22:$B$53,2,FALSE),"No Value")</f>
        <v>No Value</v>
      </c>
      <c r="X19" s="96" t="str">
        <f>IF($E19="Yes","IPP",IFERROR(IF(AND(S19&gt;$J19,S19&lt;$K19),"0",(VLOOKUP(S19,'FLA Reading Logic'!$A$22:$B$53,2,FALSE))-(IF(VLOOKUP(S19,'FLA Reading Logic'!$A$22:$B$53,2,FALSE)&lt;=VLOOKUP($J19,'FLA Reading Logic'!$A$22:$B$53,2,FALSE),VLOOKUP($J19,'FLA Reading Logic'!$A$22:$B$53,2,FALSE),IF(VLOOKUP(S19,'FLA Reading Logic'!$A$22:$B$53,2,FALSE)&gt;=VLOOKUP($K19,'FLA Reading Logic'!$A$22:$B$53,2,FALSE),VLOOKUP($K19,'FLA Reading Logic'!$A$22:$B$53,2,FALSE),"No Score")))),"No Value"))</f>
        <v>No Value</v>
      </c>
      <c r="Y19" s="179"/>
      <c r="Z19" s="98" t="str">
        <f>IFERROR(IF($E19="Yes","IPP",VLOOKUP($L19,'FLA Reading Logic'!$A$3:$K$9,VLOOKUP(Y$1,'FLA Reading Logic'!$J$22:$K$31,2,FALSE),FALSE)),"Set Grade")</f>
        <v>Set Grade</v>
      </c>
      <c r="AA19" s="98" t="str">
        <f>IFERROR(IF($E19="Yes","IPP",VLOOKUP($L19,'FLA Reading Logic'!$A$13:$K$19,VLOOKUP(Y$1,'FLA Reading Logic'!$J$22:$K$31,2,FALSE),FALSE)),"Set Grade")</f>
        <v>Set Grade</v>
      </c>
      <c r="AB19" s="98" t="str">
        <f>IF($E19="Yes","IPP",IFERROR(IF(AND(Y19&gt;Z19,Y19&lt;AA19),"0",(VLOOKUP(Y19,'FLA Reading Logic'!$A$22:$B$53,2,FALSE))-(IF(VLOOKUP(Y19,'FLA Reading Logic'!$A$22:$B$53,2,FALSE)&lt;=VLOOKUP(Z19,'FLA Reading Logic'!$A$22:$B$53,2,FALSE),VLOOKUP(Z19,'FLA Reading Logic'!$A$22:$B$53,2,FALSE),IF(VLOOKUP(Y19,'FLA Reading Logic'!$A$22:$B$53,2,FALSE)&gt;=VLOOKUP(AA19,'FLA Reading Logic'!$A$22:$B$53,2,FALSE),VLOOKUP(AA19,'FLA Reading Logic'!$A$22:$B$53,2,FALSE),"No Score")))),"No Value"))</f>
        <v>No Value</v>
      </c>
      <c r="AC19" s="97" t="str">
        <f>IFERROR(VLOOKUP(Y19,'FLA Reading Logic'!$A$22:$B$48,2,FALSE)-VLOOKUP($F19,'FLA Reading Logic'!$A$22:$B$48,2,FALSE),"No Value")</f>
        <v>No Value</v>
      </c>
      <c r="AD19" s="96" t="str">
        <f>IF($E19="Yes","IPP",IFERROR(IF(AND(Y19&gt;$J19,Y19&lt;$K19),"0",(VLOOKUP(Y19,'FLA Reading Logic'!$A$22:$B$53,2,FALSE))-(IF(VLOOKUP(Y19,'FLA Reading Logic'!$A$22:$B$53,2,FALSE)&lt;=VLOOKUP($J19,'FLA Reading Logic'!$A$22:$B$53,2,FALSE),VLOOKUP($J19,'FLA Reading Logic'!$A$22:$B$53,2,FALSE),IF(VLOOKUP(Y19,'FLA Reading Logic'!$A$22:$B$53,2,FALSE)&gt;=VLOOKUP($K19,'FLA Reading Logic'!$A$22:$B$53,2,FALSE),VLOOKUP($K19,'FLA Reading Logic'!$A$22:$B$53,2,FALSE),"No Score")))),"No Value"))</f>
        <v>No Value</v>
      </c>
      <c r="AE19" s="179"/>
      <c r="AF19" s="96" t="str">
        <f>IFERROR(IF($E19="Yes","IPP",VLOOKUP($L19,'FLA Reading Logic'!$A$3:$K$9,VLOOKUP(AE$1,'FLA Reading Logic'!$J$22:$K$31,2,FALSE),FALSE)),"Set Grade")</f>
        <v>Set Grade</v>
      </c>
      <c r="AG19" s="96" t="str">
        <f>IFERROR(IF($E19="Yes","IPP",VLOOKUP($L19,'FLA Reading Logic'!$A$13:$K$19,VLOOKUP(AE$1,'FLA Reading Logic'!$J$22:$K$31,2,FALSE),FALSE)),"Set Grade")</f>
        <v>Set Grade</v>
      </c>
      <c r="AH19" s="98" t="str">
        <f>IF($E19="Yes","IPP",IFERROR(IF(AND(AE19&gt;AF19,AE19&lt;AG19),"0",(VLOOKUP(AE19,'FLA Reading Logic'!$A$22:$B$53,2,FALSE))-(IF(VLOOKUP(AE19,'FLA Reading Logic'!$A$22:$B$53,2,FALSE)&lt;=VLOOKUP(AF19,'FLA Reading Logic'!$A$22:$B$53,2,FALSE),VLOOKUP(AF19,'FLA Reading Logic'!$A$22:$B$53,2,FALSE),IF(VLOOKUP(AE19,'FLA Reading Logic'!$A$22:$B$53,2,FALSE)&gt;=VLOOKUP(AG19,'FLA Reading Logic'!$A$22:$B$53,2,FALSE),VLOOKUP(AG19,'FLA Reading Logic'!$A$22:$B$53,2,FALSE),"No Score")))),"No Value"))</f>
        <v>No Value</v>
      </c>
      <c r="AI19" s="96" t="str">
        <f>IFERROR(VLOOKUP(AE19,'FLA Reading Logic'!$A$22:$B$48,2,FALSE)-VLOOKUP($F19,'FLA Reading Logic'!$A$22:$B$48,2,FALSE),"No Value")</f>
        <v>No Value</v>
      </c>
      <c r="AJ19" s="96" t="str">
        <f>IF($E19="Yes","IPP",IFERROR(IF(AND(AE19&gt;$J19,AE19&lt;$K19),"0",(VLOOKUP(AE19,'FLA Reading Logic'!$A$22:$B$53,2,FALSE))-(IF(VLOOKUP(AE19,'FLA Reading Logic'!$A$22:$B$53,2,FALSE)&lt;=VLOOKUP($J19,'FLA Reading Logic'!$A$22:$B$53,2,FALSE),VLOOKUP($J19,'FLA Reading Logic'!$A$22:$B$53,2,FALSE),IF(VLOOKUP(AE19,'FLA Reading Logic'!$A$22:$B$53,2,FALSE)&gt;=VLOOKUP($K19,'FLA Reading Logic'!$A$22:$B$53,2,FALSE),VLOOKUP($K19,'FLA Reading Logic'!$A$22:$B$53,2,FALSE),"No Score")))),"No Value"))</f>
        <v>No Value</v>
      </c>
      <c r="AK19" s="179"/>
      <c r="AL19" s="96" t="str">
        <f>IFERROR(IF($E19="Yes","IPP",VLOOKUP($L19,'FLA Reading Logic'!$A$3:$K$9,VLOOKUP(AK$1,'FLA Reading Logic'!$J$22:$K$31,2,FALSE),FALSE)),"Set Grade")</f>
        <v>Set Grade</v>
      </c>
      <c r="AM19" s="96" t="str">
        <f>IFERROR(IF($E19="Yes","IPP",VLOOKUP($L19,'FLA Reading Logic'!$A$13:$K$19,VLOOKUP(AK$1,'FLA Reading Logic'!$J$22:$K$31,2,FALSE),FALSE)),"Set Grade")</f>
        <v>Set Grade</v>
      </c>
      <c r="AN19" s="98" t="str">
        <f>IF($E19="Yes","IPP",IFERROR(IF(AND(AK19&gt;AL19,AK19&lt;AM19),"0",(VLOOKUP(AK19,'FLA Reading Logic'!$A$22:$B$53,2,FALSE))-(IF(VLOOKUP(AK19,'FLA Reading Logic'!$A$22:$B$53,2,FALSE)&lt;=VLOOKUP(AL19,'FLA Reading Logic'!$A$22:$B$53,2,FALSE),VLOOKUP(AL19,'FLA Reading Logic'!$A$22:$B$53,2,FALSE),IF(VLOOKUP(AK19,'FLA Reading Logic'!$A$22:$B$53,2,FALSE)&gt;=VLOOKUP(AM19,'FLA Reading Logic'!$A$22:$B$53,2,FALSE),VLOOKUP(AM19,'FLA Reading Logic'!$A$22:$B$53,2,FALSE),"No Score")))),"No Value"))</f>
        <v>No Value</v>
      </c>
      <c r="AO19" s="96" t="str">
        <f>IFERROR(VLOOKUP(AK19,'FLA Reading Logic'!$A$22:$B$48,2,FALSE)-VLOOKUP($F19,'FLA Reading Logic'!$A$22:$B$48,2,FALSE),"No Value")</f>
        <v>No Value</v>
      </c>
      <c r="AP19" s="96" t="str">
        <f>IF($E19="Yes","IPP",IFERROR(IF(AND(AK19&gt;$J19,AK19&lt;$K19),"0",(VLOOKUP(AK19,'FLA Reading Logic'!$A$22:$B$53,2,FALSE))-(IF(VLOOKUP(AK19,'FLA Reading Logic'!$A$22:$B$53,2,FALSE)&lt;=VLOOKUP($J19,'FLA Reading Logic'!$A$22:$B$53,2,FALSE),VLOOKUP($J19,'FLA Reading Logic'!$A$22:$B$53,2,FALSE),IF(VLOOKUP(AK19,'FLA Reading Logic'!$A$22:$B$53,2,FALSE)&gt;=VLOOKUP($K19,'FLA Reading Logic'!$A$22:$B$53,2,FALSE),VLOOKUP($K19,'FLA Reading Logic'!$A$22:$B$53,2,FALSE),"No Score")))),"No Value"))</f>
        <v>No Value</v>
      </c>
      <c r="AQ19" s="179"/>
      <c r="AR19" s="96" t="str">
        <f>IFERROR(IF($E19="Yes","IPP",VLOOKUP($L19,'FLA Reading Logic'!$A$3:$K$9,VLOOKUP(AQ$1,'FLA Reading Logic'!$J$22:$K$31,2,FALSE),FALSE)),"Set Grade")</f>
        <v>Set Grade</v>
      </c>
      <c r="AS19" s="96" t="str">
        <f>IFERROR(IF($E19="Yes","IPP",VLOOKUP($L19,'FLA Reading Logic'!$A$13:$K$19,VLOOKUP(AQ$1,'FLA Reading Logic'!$J$22:$K$31,2,FALSE),FALSE)),"Set Grade")</f>
        <v>Set Grade</v>
      </c>
      <c r="AT19" s="98" t="str">
        <f>IF($E19="Yes","IPP",IFERROR(IF(AND(AQ19&gt;AR19,AQ19&lt;AS19),"0",(VLOOKUP(AQ19,'FLA Reading Logic'!$A$22:$B$53,2,FALSE))-(IF(VLOOKUP(AQ19,'FLA Reading Logic'!$A$22:$B$53,2,FALSE)&lt;=VLOOKUP(AR19,'FLA Reading Logic'!$A$22:$B$53,2,FALSE),VLOOKUP(AR19,'FLA Reading Logic'!$A$22:$B$53,2,FALSE),IF(VLOOKUP(AQ19,'FLA Reading Logic'!$A$22:$B$53,2,FALSE)&gt;=VLOOKUP(AS19,'FLA Reading Logic'!$A$22:$B$53,2,FALSE),VLOOKUP(AS19,'FLA Reading Logic'!$A$22:$B$53,2,FALSE),"No Score")))),"No Value"))</f>
        <v>No Value</v>
      </c>
      <c r="AU19" s="96" t="str">
        <f>IFERROR(VLOOKUP(AQ19,'FLA Reading Logic'!$A$22:$B$48,2,FALSE)-VLOOKUP($F19,'FLA Reading Logic'!$A$22:$B$48,2,FALSE),"No Value")</f>
        <v>No Value</v>
      </c>
      <c r="AV19" s="96" t="str">
        <f>IF($E19="Yes","IPP",IFERROR(IF(AND(AQ19&gt;$J19,AQ19&lt;$K19),"0",(VLOOKUP(AQ19,'FLA Reading Logic'!$A$22:$B$53,2,FALSE))-(IF(VLOOKUP(AQ19,'FLA Reading Logic'!$A$22:$B$53,2,FALSE)&lt;=VLOOKUP($J19,'FLA Reading Logic'!$A$22:$B$53,2,FALSE),VLOOKUP($J19,'FLA Reading Logic'!$A$22:$B$53,2,FALSE),IF(VLOOKUP(AQ19,'FLA Reading Logic'!$A$22:$B$53,2,FALSE)&gt;=VLOOKUP($K19,'FLA Reading Logic'!$A$22:$B$53,2,FALSE),VLOOKUP($K19,'FLA Reading Logic'!$A$22:$B$53,2,FALSE),"No Score")))),"No Value"))</f>
        <v>No Value</v>
      </c>
      <c r="AW19" s="179"/>
      <c r="AX19" s="96" t="str">
        <f>IFERROR(IF($E19="Yes","IPP",VLOOKUP($L19,'FLA Reading Logic'!$A$3:$K$9,VLOOKUP(AW$1,'FLA Reading Logic'!$J$22:$K$31,2,FALSE),FALSE)),"Set Grade")</f>
        <v>Set Grade</v>
      </c>
      <c r="AY19" s="96" t="str">
        <f>IFERROR(IF($E19="Yes","IPP",VLOOKUP($L19,'FLA Reading Logic'!$A$13:$K$19,VLOOKUP(AW$1,'FLA Reading Logic'!$J$22:$K$31,2,FALSE),FALSE)),"Set Grade")</f>
        <v>Set Grade</v>
      </c>
      <c r="AZ19" s="98" t="str">
        <f>IF($E19="Yes","IPP",IFERROR(IF(AND(AW19&gt;AX19,AW19&lt;AY19),"0",(VLOOKUP(AW19,'FLA Reading Logic'!$A$22:$B$53,2,FALSE))-(IF(VLOOKUP(AW19,'FLA Reading Logic'!$A$22:$B$53,2,FALSE)&lt;=VLOOKUP(AX19,'FLA Reading Logic'!$A$22:$B$53,2,FALSE),VLOOKUP(AX19,'FLA Reading Logic'!$A$22:$B$53,2,FALSE),IF(VLOOKUP(AW19,'FLA Reading Logic'!$A$22:$B$53,2,FALSE)&gt;=VLOOKUP(AY19,'FLA Reading Logic'!$A$22:$B$53,2,FALSE),VLOOKUP(AY19,'FLA Reading Logic'!$A$22:$B$53,2,FALSE),"No Score")))),"No Value"))</f>
        <v>No Value</v>
      </c>
      <c r="BA19" s="96" t="str">
        <f>IFERROR(VLOOKUP(AW19,'FLA Reading Logic'!$A$22:$B$48,2,FALSE)-VLOOKUP($F19,'FLA Reading Logic'!$A$22:$B$48,2,FALSE),"No Value")</f>
        <v>No Value</v>
      </c>
      <c r="BB19" s="96" t="str">
        <f>IF($E19="Yes","IPP",IFERROR(IF(AND(AW19&gt;$J19,AW19&lt;$K19),"0",(VLOOKUP(AW19,'FLA Reading Logic'!$A$22:$B$53,2,FALSE))-(IF(VLOOKUP(AW19,'FLA Reading Logic'!$A$22:$B$53,2,FALSE)&lt;=VLOOKUP($J19,'FLA Reading Logic'!$A$22:$B$53,2,FALSE),VLOOKUP($J19,'FLA Reading Logic'!$A$22:$B$53,2,FALSE),IF(VLOOKUP(AW19,'FLA Reading Logic'!$A$22:$B$53,2,FALSE)&gt;=VLOOKUP($K19,'FLA Reading Logic'!$A$22:$B$53,2,FALSE),VLOOKUP($K19,'FLA Reading Logic'!$A$22:$B$53,2,FALSE),"No Score")))),"No Value"))</f>
        <v>No Value</v>
      </c>
    </row>
    <row r="20" spans="1:54" ht="26.25" customHeight="1" thickBot="1" x14ac:dyDescent="0.3">
      <c r="A20" s="96"/>
      <c r="B20" s="98"/>
      <c r="C20" s="98"/>
      <c r="D20" s="98"/>
      <c r="E20" s="179"/>
      <c r="F20" s="92"/>
      <c r="G20" s="98" t="str">
        <f>IFERROR(IF($E20="Yes","IPP",VLOOKUP($J20,'ELA Reading Logic'!$A$3:$K$9,VLOOKUP("September",'ELA Reading Logic'!$J$22:$K$31,2,FALSE),FALSE)),"Set Grade")</f>
        <v>Set Grade</v>
      </c>
      <c r="H20" s="98" t="str">
        <f>IFERROR(IF($E20="Yes","IPP",VLOOKUP($J20,'ELA Reading Logic'!$A$13:$K$19,VLOOKUP("September",'ELA Reading Logic'!$J$22:$K$31,2,FALSE),FALSE)),"Set Grade")</f>
        <v>Set Grade</v>
      </c>
      <c r="I20" s="98" t="str">
        <f>IF($E20="Yes","IPP",IFERROR(IF(AND(F20&gt;G20,F20&lt;H20),"0",(VLOOKUP(F20,'ELA Reading Logic'!$A$22:$B$48,2,FALSE))-(IF(VLOOKUP(F20,'ELA Reading Logic'!$A$22:$B$48,2,FALSE)&lt;=VLOOKUP(G20,'ELA Reading Logic'!$A$22:$B$48,2,FALSE),VLOOKUP(G20,'ELA Reading Logic'!$A$22:$B$48,2,FALSE),IF(VLOOKUP(F20,'ELA Reading Logic'!$A$22:$B$48,2,FALSE)&gt;=VLOOKUP(H20,'ELA Reading Logic'!$A$22:$B$48,2,FALSE),VLOOKUP(H20,'ELA Reading Logic'!$A$22:$B$48,2,FALSE),"No Score")))),"No Value"))</f>
        <v>No Value</v>
      </c>
      <c r="J20" s="96" t="str">
        <f>IFERROR(VLOOKUP($L20,'FLA Reading Logic'!$A$3:$K$9,11,FALSE),"Set Grade")</f>
        <v>Set Grade</v>
      </c>
      <c r="K20" s="96" t="str">
        <f>IFERROR(VLOOKUP($L20,'FLA Reading Logic'!$A$13:$K$19,11,FALSE),"Set Grade")</f>
        <v>Set Grade</v>
      </c>
      <c r="L20" s="180"/>
      <c r="M20" s="98"/>
      <c r="N20" s="98"/>
      <c r="O20" s="98"/>
      <c r="P20" s="98"/>
      <c r="Q20" s="98"/>
      <c r="R20" s="181"/>
      <c r="S20" s="182"/>
      <c r="T20" s="98" t="str">
        <f>IFERROR(IF($E20="Yes","IPP",VLOOKUP($L20,'FLA Reading Logic'!$A$3:$K$9,VLOOKUP(S$1,'FLA Reading Logic'!$J$22:$K$31,2,FALSE),FALSE)),"Set Grade")</f>
        <v>Set Grade</v>
      </c>
      <c r="U20" s="98" t="str">
        <f>IFERROR(IF($E20="Yes","IPP",VLOOKUP($L20,'FLA Reading Logic'!$A$13:$K$19,VLOOKUP(S$1,'FLA Reading Logic'!$J$22:$K$31,2,FALSE),FALSE)),"Set Grade")</f>
        <v>Set Grade</v>
      </c>
      <c r="V20" s="98" t="str">
        <f>IF($E20="Yes","IPP",IFERROR(IF(AND(S20&gt;T20,S20&lt;U20),"0",(VLOOKUP(S20,'FLA Reading Logic'!$A$22:$B$53,2,FALSE))-(IF(VLOOKUP(S20,'FLA Reading Logic'!$A$22:$B$53,2,FALSE)&lt;=VLOOKUP(T20,'FLA Reading Logic'!$A$22:$B$53,2,FALSE),VLOOKUP(T20,'FLA Reading Logic'!$A$22:$B$53,2,FALSE),IF(VLOOKUP(S20,'FLA Reading Logic'!$A$22:$B$53,2,FALSE)&gt;=VLOOKUP(U20,'FLA Reading Logic'!$A$22:$B$53,2,FALSE),VLOOKUP(U20,'FLA Reading Logic'!$A$22:$B$53,2,FALSE),"No Score")))),"No Value"))</f>
        <v>No Value</v>
      </c>
      <c r="W20" s="98" t="str">
        <f>IFERROR(VLOOKUP(S20,'FLA Reading Logic'!$A$22:$B$53,2,FALSE)-VLOOKUP($F20,'FLA Reading Logic'!$A$22:$B$53,2,FALSE),"No Value")</f>
        <v>No Value</v>
      </c>
      <c r="X20" s="96" t="str">
        <f>IF($E20="Yes","IPP",IFERROR(IF(AND(S20&gt;$J20,S20&lt;$K20),"0",(VLOOKUP(S20,'FLA Reading Logic'!$A$22:$B$53,2,FALSE))-(IF(VLOOKUP(S20,'FLA Reading Logic'!$A$22:$B$53,2,FALSE)&lt;=VLOOKUP($J20,'FLA Reading Logic'!$A$22:$B$53,2,FALSE),VLOOKUP($J20,'FLA Reading Logic'!$A$22:$B$53,2,FALSE),IF(VLOOKUP(S20,'FLA Reading Logic'!$A$22:$B$53,2,FALSE)&gt;=VLOOKUP($K20,'FLA Reading Logic'!$A$22:$B$53,2,FALSE),VLOOKUP($K20,'FLA Reading Logic'!$A$22:$B$53,2,FALSE),"No Score")))),"No Value"))</f>
        <v>No Value</v>
      </c>
      <c r="Y20" s="179"/>
      <c r="Z20" s="98" t="str">
        <f>IFERROR(IF($E20="Yes","IPP",VLOOKUP($L20,'FLA Reading Logic'!$A$3:$K$9,VLOOKUP(Y$1,'FLA Reading Logic'!$J$22:$K$31,2,FALSE),FALSE)),"Set Grade")</f>
        <v>Set Grade</v>
      </c>
      <c r="AA20" s="98" t="str">
        <f>IFERROR(IF($E20="Yes","IPP",VLOOKUP($L20,'FLA Reading Logic'!$A$13:$K$19,VLOOKUP(Y$1,'FLA Reading Logic'!$J$22:$K$31,2,FALSE),FALSE)),"Set Grade")</f>
        <v>Set Grade</v>
      </c>
      <c r="AB20" s="98" t="str">
        <f>IF($E20="Yes","IPP",IFERROR(IF(AND(Y20&gt;Z20,Y20&lt;AA20),"0",(VLOOKUP(Y20,'FLA Reading Logic'!$A$22:$B$53,2,FALSE))-(IF(VLOOKUP(Y20,'FLA Reading Logic'!$A$22:$B$53,2,FALSE)&lt;=VLOOKUP(Z20,'FLA Reading Logic'!$A$22:$B$53,2,FALSE),VLOOKUP(Z20,'FLA Reading Logic'!$A$22:$B$53,2,FALSE),IF(VLOOKUP(Y20,'FLA Reading Logic'!$A$22:$B$53,2,FALSE)&gt;=VLOOKUP(AA20,'FLA Reading Logic'!$A$22:$B$53,2,FALSE),VLOOKUP(AA20,'FLA Reading Logic'!$A$22:$B$53,2,FALSE),"No Score")))),"No Value"))</f>
        <v>No Value</v>
      </c>
      <c r="AC20" s="97" t="str">
        <f>IFERROR(VLOOKUP(Y20,'FLA Reading Logic'!$A$22:$B$48,2,FALSE)-VLOOKUP($F20,'FLA Reading Logic'!$A$22:$B$48,2,FALSE),"No Value")</f>
        <v>No Value</v>
      </c>
      <c r="AD20" s="96" t="str">
        <f>IF($E20="Yes","IPP",IFERROR(IF(AND(Y20&gt;$J20,Y20&lt;$K20),"0",(VLOOKUP(Y20,'FLA Reading Logic'!$A$22:$B$53,2,FALSE))-(IF(VLOOKUP(Y20,'FLA Reading Logic'!$A$22:$B$53,2,FALSE)&lt;=VLOOKUP($J20,'FLA Reading Logic'!$A$22:$B$53,2,FALSE),VLOOKUP($J20,'FLA Reading Logic'!$A$22:$B$53,2,FALSE),IF(VLOOKUP(Y20,'FLA Reading Logic'!$A$22:$B$53,2,FALSE)&gt;=VLOOKUP($K20,'FLA Reading Logic'!$A$22:$B$53,2,FALSE),VLOOKUP($K20,'FLA Reading Logic'!$A$22:$B$53,2,FALSE),"No Score")))),"No Value"))</f>
        <v>No Value</v>
      </c>
      <c r="AE20" s="179"/>
      <c r="AF20" s="96" t="str">
        <f>IFERROR(IF($E20="Yes","IPP",VLOOKUP($L20,'FLA Reading Logic'!$A$3:$K$9,VLOOKUP(AE$1,'FLA Reading Logic'!$J$22:$K$31,2,FALSE),FALSE)),"Set Grade")</f>
        <v>Set Grade</v>
      </c>
      <c r="AG20" s="96" t="str">
        <f>IFERROR(IF($E20="Yes","IPP",VLOOKUP($L20,'FLA Reading Logic'!$A$13:$K$19,VLOOKUP(AE$1,'FLA Reading Logic'!$J$22:$K$31,2,FALSE),FALSE)),"Set Grade")</f>
        <v>Set Grade</v>
      </c>
      <c r="AH20" s="98" t="str">
        <f>IF($E20="Yes","IPP",IFERROR(IF(AND(AE20&gt;AF20,AE20&lt;AG20),"0",(VLOOKUP(AE20,'FLA Reading Logic'!$A$22:$B$53,2,FALSE))-(IF(VLOOKUP(AE20,'FLA Reading Logic'!$A$22:$B$53,2,FALSE)&lt;=VLOOKUP(AF20,'FLA Reading Logic'!$A$22:$B$53,2,FALSE),VLOOKUP(AF20,'FLA Reading Logic'!$A$22:$B$53,2,FALSE),IF(VLOOKUP(AE20,'FLA Reading Logic'!$A$22:$B$53,2,FALSE)&gt;=VLOOKUP(AG20,'FLA Reading Logic'!$A$22:$B$53,2,FALSE),VLOOKUP(AG20,'FLA Reading Logic'!$A$22:$B$53,2,FALSE),"No Score")))),"No Value"))</f>
        <v>No Value</v>
      </c>
      <c r="AI20" s="96" t="str">
        <f>IFERROR(VLOOKUP(AE20,'FLA Reading Logic'!$A$22:$B$48,2,FALSE)-VLOOKUP($F20,'FLA Reading Logic'!$A$22:$B$48,2,FALSE),"No Value")</f>
        <v>No Value</v>
      </c>
      <c r="AJ20" s="96" t="str">
        <f>IF($E20="Yes","IPP",IFERROR(IF(AND(AE20&gt;$J20,AE20&lt;$K20),"0",(VLOOKUP(AE20,'FLA Reading Logic'!$A$22:$B$53,2,FALSE))-(IF(VLOOKUP(AE20,'FLA Reading Logic'!$A$22:$B$53,2,FALSE)&lt;=VLOOKUP($J20,'FLA Reading Logic'!$A$22:$B$53,2,FALSE),VLOOKUP($J20,'FLA Reading Logic'!$A$22:$B$53,2,FALSE),IF(VLOOKUP(AE20,'FLA Reading Logic'!$A$22:$B$53,2,FALSE)&gt;=VLOOKUP($K20,'FLA Reading Logic'!$A$22:$B$53,2,FALSE),VLOOKUP($K20,'FLA Reading Logic'!$A$22:$B$53,2,FALSE),"No Score")))),"No Value"))</f>
        <v>No Value</v>
      </c>
      <c r="AK20" s="179"/>
      <c r="AL20" s="96" t="str">
        <f>IFERROR(IF($E20="Yes","IPP",VLOOKUP($L20,'FLA Reading Logic'!$A$3:$K$9,VLOOKUP(AK$1,'FLA Reading Logic'!$J$22:$K$31,2,FALSE),FALSE)),"Set Grade")</f>
        <v>Set Grade</v>
      </c>
      <c r="AM20" s="96" t="str">
        <f>IFERROR(IF($E20="Yes","IPP",VLOOKUP($L20,'FLA Reading Logic'!$A$13:$K$19,VLOOKUP(AK$1,'FLA Reading Logic'!$J$22:$K$31,2,FALSE),FALSE)),"Set Grade")</f>
        <v>Set Grade</v>
      </c>
      <c r="AN20" s="98" t="str">
        <f>IF($E20="Yes","IPP",IFERROR(IF(AND(AK20&gt;AL20,AK20&lt;AM20),"0",(VLOOKUP(AK20,'FLA Reading Logic'!$A$22:$B$53,2,FALSE))-(IF(VLOOKUP(AK20,'FLA Reading Logic'!$A$22:$B$53,2,FALSE)&lt;=VLOOKUP(AL20,'FLA Reading Logic'!$A$22:$B$53,2,FALSE),VLOOKUP(AL20,'FLA Reading Logic'!$A$22:$B$53,2,FALSE),IF(VLOOKUP(AK20,'FLA Reading Logic'!$A$22:$B$53,2,FALSE)&gt;=VLOOKUP(AM20,'FLA Reading Logic'!$A$22:$B$53,2,FALSE),VLOOKUP(AM20,'FLA Reading Logic'!$A$22:$B$53,2,FALSE),"No Score")))),"No Value"))</f>
        <v>No Value</v>
      </c>
      <c r="AO20" s="96" t="str">
        <f>IFERROR(VLOOKUP(AK20,'FLA Reading Logic'!$A$22:$B$48,2,FALSE)-VLOOKUP($F20,'FLA Reading Logic'!$A$22:$B$48,2,FALSE),"No Value")</f>
        <v>No Value</v>
      </c>
      <c r="AP20" s="96" t="str">
        <f>IF($E20="Yes","IPP",IFERROR(IF(AND(AK20&gt;$J20,AK20&lt;$K20),"0",(VLOOKUP(AK20,'FLA Reading Logic'!$A$22:$B$53,2,FALSE))-(IF(VLOOKUP(AK20,'FLA Reading Logic'!$A$22:$B$53,2,FALSE)&lt;=VLOOKUP($J20,'FLA Reading Logic'!$A$22:$B$53,2,FALSE),VLOOKUP($J20,'FLA Reading Logic'!$A$22:$B$53,2,FALSE),IF(VLOOKUP(AK20,'FLA Reading Logic'!$A$22:$B$53,2,FALSE)&gt;=VLOOKUP($K20,'FLA Reading Logic'!$A$22:$B$53,2,FALSE),VLOOKUP($K20,'FLA Reading Logic'!$A$22:$B$53,2,FALSE),"No Score")))),"No Value"))</f>
        <v>No Value</v>
      </c>
      <c r="AQ20" s="179"/>
      <c r="AR20" s="96" t="str">
        <f>IFERROR(IF($E20="Yes","IPP",VLOOKUP($L20,'FLA Reading Logic'!$A$3:$K$9,VLOOKUP(AQ$1,'FLA Reading Logic'!$J$22:$K$31,2,FALSE),FALSE)),"Set Grade")</f>
        <v>Set Grade</v>
      </c>
      <c r="AS20" s="96" t="str">
        <f>IFERROR(IF($E20="Yes","IPP",VLOOKUP($L20,'FLA Reading Logic'!$A$13:$K$19,VLOOKUP(AQ$1,'FLA Reading Logic'!$J$22:$K$31,2,FALSE),FALSE)),"Set Grade")</f>
        <v>Set Grade</v>
      </c>
      <c r="AT20" s="98" t="str">
        <f>IF($E20="Yes","IPP",IFERROR(IF(AND(AQ20&gt;AR20,AQ20&lt;AS20),"0",(VLOOKUP(AQ20,'FLA Reading Logic'!$A$22:$B$53,2,FALSE))-(IF(VLOOKUP(AQ20,'FLA Reading Logic'!$A$22:$B$53,2,FALSE)&lt;=VLOOKUP(AR20,'FLA Reading Logic'!$A$22:$B$53,2,FALSE),VLOOKUP(AR20,'FLA Reading Logic'!$A$22:$B$53,2,FALSE),IF(VLOOKUP(AQ20,'FLA Reading Logic'!$A$22:$B$53,2,FALSE)&gt;=VLOOKUP(AS20,'FLA Reading Logic'!$A$22:$B$53,2,FALSE),VLOOKUP(AS20,'FLA Reading Logic'!$A$22:$B$53,2,FALSE),"No Score")))),"No Value"))</f>
        <v>No Value</v>
      </c>
      <c r="AU20" s="96" t="str">
        <f>IFERROR(VLOOKUP(AQ20,'FLA Reading Logic'!$A$22:$B$48,2,FALSE)-VLOOKUP($F20,'FLA Reading Logic'!$A$22:$B$48,2,FALSE),"No Value")</f>
        <v>No Value</v>
      </c>
      <c r="AV20" s="96" t="str">
        <f>IF($E20="Yes","IPP",IFERROR(IF(AND(AQ20&gt;$J20,AQ20&lt;$K20),"0",(VLOOKUP(AQ20,'FLA Reading Logic'!$A$22:$B$53,2,FALSE))-(IF(VLOOKUP(AQ20,'FLA Reading Logic'!$A$22:$B$53,2,FALSE)&lt;=VLOOKUP($J20,'FLA Reading Logic'!$A$22:$B$53,2,FALSE),VLOOKUP($J20,'FLA Reading Logic'!$A$22:$B$53,2,FALSE),IF(VLOOKUP(AQ20,'FLA Reading Logic'!$A$22:$B$53,2,FALSE)&gt;=VLOOKUP($K20,'FLA Reading Logic'!$A$22:$B$53,2,FALSE),VLOOKUP($K20,'FLA Reading Logic'!$A$22:$B$53,2,FALSE),"No Score")))),"No Value"))</f>
        <v>No Value</v>
      </c>
      <c r="AW20" s="179"/>
      <c r="AX20" s="96" t="str">
        <f>IFERROR(IF($E20="Yes","IPP",VLOOKUP($L20,'FLA Reading Logic'!$A$3:$K$9,VLOOKUP(AW$1,'FLA Reading Logic'!$J$22:$K$31,2,FALSE),FALSE)),"Set Grade")</f>
        <v>Set Grade</v>
      </c>
      <c r="AY20" s="96" t="str">
        <f>IFERROR(IF($E20="Yes","IPP",VLOOKUP($L20,'FLA Reading Logic'!$A$13:$K$19,VLOOKUP(AW$1,'FLA Reading Logic'!$J$22:$K$31,2,FALSE),FALSE)),"Set Grade")</f>
        <v>Set Grade</v>
      </c>
      <c r="AZ20" s="98" t="str">
        <f>IF($E20="Yes","IPP",IFERROR(IF(AND(AW20&gt;AX20,AW20&lt;AY20),"0",(VLOOKUP(AW20,'FLA Reading Logic'!$A$22:$B$53,2,FALSE))-(IF(VLOOKUP(AW20,'FLA Reading Logic'!$A$22:$B$53,2,FALSE)&lt;=VLOOKUP(AX20,'FLA Reading Logic'!$A$22:$B$53,2,FALSE),VLOOKUP(AX20,'FLA Reading Logic'!$A$22:$B$53,2,FALSE),IF(VLOOKUP(AW20,'FLA Reading Logic'!$A$22:$B$53,2,FALSE)&gt;=VLOOKUP(AY20,'FLA Reading Logic'!$A$22:$B$53,2,FALSE),VLOOKUP(AY20,'FLA Reading Logic'!$A$22:$B$53,2,FALSE),"No Score")))),"No Value"))</f>
        <v>No Value</v>
      </c>
      <c r="BA20" s="96" t="str">
        <f>IFERROR(VLOOKUP(AW20,'FLA Reading Logic'!$A$22:$B$48,2,FALSE)-VLOOKUP($F20,'FLA Reading Logic'!$A$22:$B$48,2,FALSE),"No Value")</f>
        <v>No Value</v>
      </c>
      <c r="BB20" s="96" t="str">
        <f>IF($E20="Yes","IPP",IFERROR(IF(AND(AW20&gt;$J20,AW20&lt;$K20),"0",(VLOOKUP(AW20,'FLA Reading Logic'!$A$22:$B$53,2,FALSE))-(IF(VLOOKUP(AW20,'FLA Reading Logic'!$A$22:$B$53,2,FALSE)&lt;=VLOOKUP($J20,'FLA Reading Logic'!$A$22:$B$53,2,FALSE),VLOOKUP($J20,'FLA Reading Logic'!$A$22:$B$53,2,FALSE),IF(VLOOKUP(AW20,'FLA Reading Logic'!$A$22:$B$53,2,FALSE)&gt;=VLOOKUP($K20,'FLA Reading Logic'!$A$22:$B$53,2,FALSE),VLOOKUP($K20,'FLA Reading Logic'!$A$22:$B$53,2,FALSE),"No Score")))),"No Value"))</f>
        <v>No Value</v>
      </c>
    </row>
    <row r="21" spans="1:54" ht="26.25" customHeight="1" thickBot="1" x14ac:dyDescent="0.3">
      <c r="A21" s="96"/>
      <c r="B21" s="98"/>
      <c r="C21" s="98"/>
      <c r="D21" s="98"/>
      <c r="E21" s="179"/>
      <c r="F21" s="92"/>
      <c r="G21" s="98" t="str">
        <f>IFERROR(IF($E21="Yes","IPP",VLOOKUP($J21,'ELA Reading Logic'!$A$3:$K$9,VLOOKUP("September",'ELA Reading Logic'!$J$22:$K$31,2,FALSE),FALSE)),"Set Grade")</f>
        <v>Set Grade</v>
      </c>
      <c r="H21" s="98" t="str">
        <f>IFERROR(IF($E21="Yes","IPP",VLOOKUP($J21,'ELA Reading Logic'!$A$13:$K$19,VLOOKUP("September",'ELA Reading Logic'!$J$22:$K$31,2,FALSE),FALSE)),"Set Grade")</f>
        <v>Set Grade</v>
      </c>
      <c r="I21" s="98" t="str">
        <f>IF($E21="Yes","IPP",IFERROR(IF(AND(F21&gt;G21,F21&lt;H21),"0",(VLOOKUP(F21,'ELA Reading Logic'!$A$22:$B$48,2,FALSE))-(IF(VLOOKUP(F21,'ELA Reading Logic'!$A$22:$B$48,2,FALSE)&lt;=VLOOKUP(G21,'ELA Reading Logic'!$A$22:$B$48,2,FALSE),VLOOKUP(G21,'ELA Reading Logic'!$A$22:$B$48,2,FALSE),IF(VLOOKUP(F21,'ELA Reading Logic'!$A$22:$B$48,2,FALSE)&gt;=VLOOKUP(H21,'ELA Reading Logic'!$A$22:$B$48,2,FALSE),VLOOKUP(H21,'ELA Reading Logic'!$A$22:$B$48,2,FALSE),"No Score")))),"No Value"))</f>
        <v>No Value</v>
      </c>
      <c r="J21" s="96" t="str">
        <f>IFERROR(VLOOKUP($L21,'FLA Reading Logic'!$A$3:$K$9,11,FALSE),"Set Grade")</f>
        <v>Set Grade</v>
      </c>
      <c r="K21" s="96" t="str">
        <f>IFERROR(VLOOKUP($L21,'FLA Reading Logic'!$A$13:$K$19,11,FALSE),"Set Grade")</f>
        <v>Set Grade</v>
      </c>
      <c r="L21" s="180"/>
      <c r="M21" s="98"/>
      <c r="N21" s="98"/>
      <c r="O21" s="98"/>
      <c r="P21" s="98"/>
      <c r="Q21" s="98"/>
      <c r="R21" s="181"/>
      <c r="S21" s="182"/>
      <c r="T21" s="98" t="str">
        <f>IFERROR(IF($E21="Yes","IPP",VLOOKUP($L21,'FLA Reading Logic'!$A$3:$K$9,VLOOKUP(S$1,'FLA Reading Logic'!$J$22:$K$31,2,FALSE),FALSE)),"Set Grade")</f>
        <v>Set Grade</v>
      </c>
      <c r="U21" s="98" t="str">
        <f>IFERROR(IF($E21="Yes","IPP",VLOOKUP($L21,'FLA Reading Logic'!$A$13:$K$19,VLOOKUP(S$1,'FLA Reading Logic'!$J$22:$K$31,2,FALSE),FALSE)),"Set Grade")</f>
        <v>Set Grade</v>
      </c>
      <c r="V21" s="98" t="str">
        <f>IF($E21="Yes","IPP",IFERROR(IF(AND(S21&gt;T21,S21&lt;U21),"0",(VLOOKUP(S21,'FLA Reading Logic'!$A$22:$B$53,2,FALSE))-(IF(VLOOKUP(S21,'FLA Reading Logic'!$A$22:$B$53,2,FALSE)&lt;=VLOOKUP(T21,'FLA Reading Logic'!$A$22:$B$53,2,FALSE),VLOOKUP(T21,'FLA Reading Logic'!$A$22:$B$53,2,FALSE),IF(VLOOKUP(S21,'FLA Reading Logic'!$A$22:$B$53,2,FALSE)&gt;=VLOOKUP(U21,'FLA Reading Logic'!$A$22:$B$53,2,FALSE),VLOOKUP(U21,'FLA Reading Logic'!$A$22:$B$53,2,FALSE),"No Score")))),"No Value"))</f>
        <v>No Value</v>
      </c>
      <c r="W21" s="98" t="str">
        <f>IFERROR(VLOOKUP(S21,'FLA Reading Logic'!$A$22:$B$53,2,FALSE)-VLOOKUP($F21,'FLA Reading Logic'!$A$22:$B$53,2,FALSE),"No Value")</f>
        <v>No Value</v>
      </c>
      <c r="X21" s="96" t="str">
        <f>IF($E21="Yes","IPP",IFERROR(IF(AND(S21&gt;$J21,S21&lt;$K21),"0",(VLOOKUP(S21,'FLA Reading Logic'!$A$22:$B$53,2,FALSE))-(IF(VLOOKUP(S21,'FLA Reading Logic'!$A$22:$B$53,2,FALSE)&lt;=VLOOKUP($J21,'FLA Reading Logic'!$A$22:$B$53,2,FALSE),VLOOKUP($J21,'FLA Reading Logic'!$A$22:$B$53,2,FALSE),IF(VLOOKUP(S21,'FLA Reading Logic'!$A$22:$B$53,2,FALSE)&gt;=VLOOKUP($K21,'FLA Reading Logic'!$A$22:$B$53,2,FALSE),VLOOKUP($K21,'FLA Reading Logic'!$A$22:$B$53,2,FALSE),"No Score")))),"No Value"))</f>
        <v>No Value</v>
      </c>
      <c r="Y21" s="179"/>
      <c r="Z21" s="98" t="str">
        <f>IFERROR(IF($E21="Yes","IPP",VLOOKUP($L21,'FLA Reading Logic'!$A$3:$K$9,VLOOKUP(Y$1,'FLA Reading Logic'!$J$22:$K$31,2,FALSE),FALSE)),"Set Grade")</f>
        <v>Set Grade</v>
      </c>
      <c r="AA21" s="98" t="str">
        <f>IFERROR(IF($E21="Yes","IPP",VLOOKUP($L21,'FLA Reading Logic'!$A$13:$K$19,VLOOKUP(Y$1,'FLA Reading Logic'!$J$22:$K$31,2,FALSE),FALSE)),"Set Grade")</f>
        <v>Set Grade</v>
      </c>
      <c r="AB21" s="98" t="str">
        <f>IF($E21="Yes","IPP",IFERROR(IF(AND(Y21&gt;Z21,Y21&lt;AA21),"0",(VLOOKUP(Y21,'FLA Reading Logic'!$A$22:$B$53,2,FALSE))-(IF(VLOOKUP(Y21,'FLA Reading Logic'!$A$22:$B$53,2,FALSE)&lt;=VLOOKUP(Z21,'FLA Reading Logic'!$A$22:$B$53,2,FALSE),VLOOKUP(Z21,'FLA Reading Logic'!$A$22:$B$53,2,FALSE),IF(VLOOKUP(Y21,'FLA Reading Logic'!$A$22:$B$53,2,FALSE)&gt;=VLOOKUP(AA21,'FLA Reading Logic'!$A$22:$B$53,2,FALSE),VLOOKUP(AA21,'FLA Reading Logic'!$A$22:$B$53,2,FALSE),"No Score")))),"No Value"))</f>
        <v>No Value</v>
      </c>
      <c r="AC21" s="97" t="str">
        <f>IFERROR(VLOOKUP(Y21,'FLA Reading Logic'!$A$22:$B$48,2,FALSE)-VLOOKUP($F21,'FLA Reading Logic'!$A$22:$B$48,2,FALSE),"No Value")</f>
        <v>No Value</v>
      </c>
      <c r="AD21" s="96" t="str">
        <f>IF($E21="Yes","IPP",IFERROR(IF(AND(Y21&gt;$J21,Y21&lt;$K21),"0",(VLOOKUP(Y21,'FLA Reading Logic'!$A$22:$B$53,2,FALSE))-(IF(VLOOKUP(Y21,'FLA Reading Logic'!$A$22:$B$53,2,FALSE)&lt;=VLOOKUP($J21,'FLA Reading Logic'!$A$22:$B$53,2,FALSE),VLOOKUP($J21,'FLA Reading Logic'!$A$22:$B$53,2,FALSE),IF(VLOOKUP(Y21,'FLA Reading Logic'!$A$22:$B$53,2,FALSE)&gt;=VLOOKUP($K21,'FLA Reading Logic'!$A$22:$B$53,2,FALSE),VLOOKUP($K21,'FLA Reading Logic'!$A$22:$B$53,2,FALSE),"No Score")))),"No Value"))</f>
        <v>No Value</v>
      </c>
      <c r="AE21" s="179"/>
      <c r="AF21" s="96" t="str">
        <f>IFERROR(IF($E21="Yes","IPP",VLOOKUP($L21,'FLA Reading Logic'!$A$3:$K$9,VLOOKUP(AE$1,'FLA Reading Logic'!$J$22:$K$31,2,FALSE),FALSE)),"Set Grade")</f>
        <v>Set Grade</v>
      </c>
      <c r="AG21" s="96" t="str">
        <f>IFERROR(IF($E21="Yes","IPP",VLOOKUP($L21,'FLA Reading Logic'!$A$13:$K$19,VLOOKUP(AE$1,'FLA Reading Logic'!$J$22:$K$31,2,FALSE),FALSE)),"Set Grade")</f>
        <v>Set Grade</v>
      </c>
      <c r="AH21" s="98" t="str">
        <f>IF($E21="Yes","IPP",IFERROR(IF(AND(AE21&gt;AF21,AE21&lt;AG21),"0",(VLOOKUP(AE21,'FLA Reading Logic'!$A$22:$B$53,2,FALSE))-(IF(VLOOKUP(AE21,'FLA Reading Logic'!$A$22:$B$53,2,FALSE)&lt;=VLOOKUP(AF21,'FLA Reading Logic'!$A$22:$B$53,2,FALSE),VLOOKUP(AF21,'FLA Reading Logic'!$A$22:$B$53,2,FALSE),IF(VLOOKUP(AE21,'FLA Reading Logic'!$A$22:$B$53,2,FALSE)&gt;=VLOOKUP(AG21,'FLA Reading Logic'!$A$22:$B$53,2,FALSE),VLOOKUP(AG21,'FLA Reading Logic'!$A$22:$B$53,2,FALSE),"No Score")))),"No Value"))</f>
        <v>No Value</v>
      </c>
      <c r="AI21" s="96" t="str">
        <f>IFERROR(VLOOKUP(AE21,'FLA Reading Logic'!$A$22:$B$48,2,FALSE)-VLOOKUP($F21,'FLA Reading Logic'!$A$22:$B$48,2,FALSE),"No Value")</f>
        <v>No Value</v>
      </c>
      <c r="AJ21" s="96" t="str">
        <f>IF($E21="Yes","IPP",IFERROR(IF(AND(AE21&gt;$J21,AE21&lt;$K21),"0",(VLOOKUP(AE21,'FLA Reading Logic'!$A$22:$B$53,2,FALSE))-(IF(VLOOKUP(AE21,'FLA Reading Logic'!$A$22:$B$53,2,FALSE)&lt;=VLOOKUP($J21,'FLA Reading Logic'!$A$22:$B$53,2,FALSE),VLOOKUP($J21,'FLA Reading Logic'!$A$22:$B$53,2,FALSE),IF(VLOOKUP(AE21,'FLA Reading Logic'!$A$22:$B$53,2,FALSE)&gt;=VLOOKUP($K21,'FLA Reading Logic'!$A$22:$B$53,2,FALSE),VLOOKUP($K21,'FLA Reading Logic'!$A$22:$B$53,2,FALSE),"No Score")))),"No Value"))</f>
        <v>No Value</v>
      </c>
      <c r="AK21" s="179"/>
      <c r="AL21" s="96" t="str">
        <f>IFERROR(IF($E21="Yes","IPP",VLOOKUP($L21,'FLA Reading Logic'!$A$3:$K$9,VLOOKUP(AK$1,'FLA Reading Logic'!$J$22:$K$31,2,FALSE),FALSE)),"Set Grade")</f>
        <v>Set Grade</v>
      </c>
      <c r="AM21" s="96" t="str">
        <f>IFERROR(IF($E21="Yes","IPP",VLOOKUP($L21,'FLA Reading Logic'!$A$13:$K$19,VLOOKUP(AK$1,'FLA Reading Logic'!$J$22:$K$31,2,FALSE),FALSE)),"Set Grade")</f>
        <v>Set Grade</v>
      </c>
      <c r="AN21" s="98" t="str">
        <f>IF($E21="Yes","IPP",IFERROR(IF(AND(AK21&gt;AL21,AK21&lt;AM21),"0",(VLOOKUP(AK21,'FLA Reading Logic'!$A$22:$B$53,2,FALSE))-(IF(VLOOKUP(AK21,'FLA Reading Logic'!$A$22:$B$53,2,FALSE)&lt;=VLOOKUP(AL21,'FLA Reading Logic'!$A$22:$B$53,2,FALSE),VLOOKUP(AL21,'FLA Reading Logic'!$A$22:$B$53,2,FALSE),IF(VLOOKUP(AK21,'FLA Reading Logic'!$A$22:$B$53,2,FALSE)&gt;=VLOOKUP(AM21,'FLA Reading Logic'!$A$22:$B$53,2,FALSE),VLOOKUP(AM21,'FLA Reading Logic'!$A$22:$B$53,2,FALSE),"No Score")))),"No Value"))</f>
        <v>No Value</v>
      </c>
      <c r="AO21" s="96" t="str">
        <f>IFERROR(VLOOKUP(AK21,'FLA Reading Logic'!$A$22:$B$48,2,FALSE)-VLOOKUP($F21,'FLA Reading Logic'!$A$22:$B$48,2,FALSE),"No Value")</f>
        <v>No Value</v>
      </c>
      <c r="AP21" s="96" t="str">
        <f>IF($E21="Yes","IPP",IFERROR(IF(AND(AK21&gt;$J21,AK21&lt;$K21),"0",(VLOOKUP(AK21,'FLA Reading Logic'!$A$22:$B$53,2,FALSE))-(IF(VLOOKUP(AK21,'FLA Reading Logic'!$A$22:$B$53,2,FALSE)&lt;=VLOOKUP($J21,'FLA Reading Logic'!$A$22:$B$53,2,FALSE),VLOOKUP($J21,'FLA Reading Logic'!$A$22:$B$53,2,FALSE),IF(VLOOKUP(AK21,'FLA Reading Logic'!$A$22:$B$53,2,FALSE)&gt;=VLOOKUP($K21,'FLA Reading Logic'!$A$22:$B$53,2,FALSE),VLOOKUP($K21,'FLA Reading Logic'!$A$22:$B$53,2,FALSE),"No Score")))),"No Value"))</f>
        <v>No Value</v>
      </c>
      <c r="AQ21" s="179"/>
      <c r="AR21" s="96" t="str">
        <f>IFERROR(IF($E21="Yes","IPP",VLOOKUP($L21,'FLA Reading Logic'!$A$3:$K$9,VLOOKUP(AQ$1,'FLA Reading Logic'!$J$22:$K$31,2,FALSE),FALSE)),"Set Grade")</f>
        <v>Set Grade</v>
      </c>
      <c r="AS21" s="96" t="str">
        <f>IFERROR(IF($E21="Yes","IPP",VLOOKUP($L21,'FLA Reading Logic'!$A$13:$K$19,VLOOKUP(AQ$1,'FLA Reading Logic'!$J$22:$K$31,2,FALSE),FALSE)),"Set Grade")</f>
        <v>Set Grade</v>
      </c>
      <c r="AT21" s="98" t="str">
        <f>IF($E21="Yes","IPP",IFERROR(IF(AND(AQ21&gt;AR21,AQ21&lt;AS21),"0",(VLOOKUP(AQ21,'FLA Reading Logic'!$A$22:$B$53,2,FALSE))-(IF(VLOOKUP(AQ21,'FLA Reading Logic'!$A$22:$B$53,2,FALSE)&lt;=VLOOKUP(AR21,'FLA Reading Logic'!$A$22:$B$53,2,FALSE),VLOOKUP(AR21,'FLA Reading Logic'!$A$22:$B$53,2,FALSE),IF(VLOOKUP(AQ21,'FLA Reading Logic'!$A$22:$B$53,2,FALSE)&gt;=VLOOKUP(AS21,'FLA Reading Logic'!$A$22:$B$53,2,FALSE),VLOOKUP(AS21,'FLA Reading Logic'!$A$22:$B$53,2,FALSE),"No Score")))),"No Value"))</f>
        <v>No Value</v>
      </c>
      <c r="AU21" s="96" t="str">
        <f>IFERROR(VLOOKUP(AQ21,'FLA Reading Logic'!$A$22:$B$48,2,FALSE)-VLOOKUP($F21,'FLA Reading Logic'!$A$22:$B$48,2,FALSE),"No Value")</f>
        <v>No Value</v>
      </c>
      <c r="AV21" s="96" t="str">
        <f>IF($E21="Yes","IPP",IFERROR(IF(AND(AQ21&gt;$J21,AQ21&lt;$K21),"0",(VLOOKUP(AQ21,'FLA Reading Logic'!$A$22:$B$53,2,FALSE))-(IF(VLOOKUP(AQ21,'FLA Reading Logic'!$A$22:$B$53,2,FALSE)&lt;=VLOOKUP($J21,'FLA Reading Logic'!$A$22:$B$53,2,FALSE),VLOOKUP($J21,'FLA Reading Logic'!$A$22:$B$53,2,FALSE),IF(VLOOKUP(AQ21,'FLA Reading Logic'!$A$22:$B$53,2,FALSE)&gt;=VLOOKUP($K21,'FLA Reading Logic'!$A$22:$B$53,2,FALSE),VLOOKUP($K21,'FLA Reading Logic'!$A$22:$B$53,2,FALSE),"No Score")))),"No Value"))</f>
        <v>No Value</v>
      </c>
      <c r="AW21" s="179"/>
      <c r="AX21" s="96" t="str">
        <f>IFERROR(IF($E21="Yes","IPP",VLOOKUP($L21,'FLA Reading Logic'!$A$3:$K$9,VLOOKUP(AW$1,'FLA Reading Logic'!$J$22:$K$31,2,FALSE),FALSE)),"Set Grade")</f>
        <v>Set Grade</v>
      </c>
      <c r="AY21" s="96" t="str">
        <f>IFERROR(IF($E21="Yes","IPP",VLOOKUP($L21,'FLA Reading Logic'!$A$13:$K$19,VLOOKUP(AW$1,'FLA Reading Logic'!$J$22:$K$31,2,FALSE),FALSE)),"Set Grade")</f>
        <v>Set Grade</v>
      </c>
      <c r="AZ21" s="98" t="str">
        <f>IF($E21="Yes","IPP",IFERROR(IF(AND(AW21&gt;AX21,AW21&lt;AY21),"0",(VLOOKUP(AW21,'FLA Reading Logic'!$A$22:$B$53,2,FALSE))-(IF(VLOOKUP(AW21,'FLA Reading Logic'!$A$22:$B$53,2,FALSE)&lt;=VLOOKUP(AX21,'FLA Reading Logic'!$A$22:$B$53,2,FALSE),VLOOKUP(AX21,'FLA Reading Logic'!$A$22:$B$53,2,FALSE),IF(VLOOKUP(AW21,'FLA Reading Logic'!$A$22:$B$53,2,FALSE)&gt;=VLOOKUP(AY21,'FLA Reading Logic'!$A$22:$B$53,2,FALSE),VLOOKUP(AY21,'FLA Reading Logic'!$A$22:$B$53,2,FALSE),"No Score")))),"No Value"))</f>
        <v>No Value</v>
      </c>
      <c r="BA21" s="96" t="str">
        <f>IFERROR(VLOOKUP(AW21,'FLA Reading Logic'!$A$22:$B$48,2,FALSE)-VLOOKUP($F21,'FLA Reading Logic'!$A$22:$B$48,2,FALSE),"No Value")</f>
        <v>No Value</v>
      </c>
      <c r="BB21" s="96" t="str">
        <f>IF($E21="Yes","IPP",IFERROR(IF(AND(AW21&gt;$J21,AW21&lt;$K21),"0",(VLOOKUP(AW21,'FLA Reading Logic'!$A$22:$B$53,2,FALSE))-(IF(VLOOKUP(AW21,'FLA Reading Logic'!$A$22:$B$53,2,FALSE)&lt;=VLOOKUP($J21,'FLA Reading Logic'!$A$22:$B$53,2,FALSE),VLOOKUP($J21,'FLA Reading Logic'!$A$22:$B$53,2,FALSE),IF(VLOOKUP(AW21,'FLA Reading Logic'!$A$22:$B$53,2,FALSE)&gt;=VLOOKUP($K21,'FLA Reading Logic'!$A$22:$B$53,2,FALSE),VLOOKUP($K21,'FLA Reading Logic'!$A$22:$B$53,2,FALSE),"No Score")))),"No Value"))</f>
        <v>No Value</v>
      </c>
    </row>
    <row r="22" spans="1:54" ht="26.25" customHeight="1" thickBot="1" x14ac:dyDescent="0.3">
      <c r="A22" s="96"/>
      <c r="B22" s="98"/>
      <c r="C22" s="98"/>
      <c r="D22" s="98"/>
      <c r="E22" s="179"/>
      <c r="F22" s="92"/>
      <c r="G22" s="98" t="str">
        <f>IFERROR(IF($E22="Yes","IPP",VLOOKUP($J22,'ELA Reading Logic'!$A$3:$K$9,VLOOKUP("September",'ELA Reading Logic'!$J$22:$K$31,2,FALSE),FALSE)),"Set Grade")</f>
        <v>Set Grade</v>
      </c>
      <c r="H22" s="98" t="str">
        <f>IFERROR(IF($E22="Yes","IPP",VLOOKUP($J22,'ELA Reading Logic'!$A$13:$K$19,VLOOKUP("September",'ELA Reading Logic'!$J$22:$K$31,2,FALSE),FALSE)),"Set Grade")</f>
        <v>Set Grade</v>
      </c>
      <c r="I22" s="98" t="str">
        <f>IF($E22="Yes","IPP",IFERROR(IF(AND(F22&gt;G22,F22&lt;H22),"0",(VLOOKUP(F22,'ELA Reading Logic'!$A$22:$B$48,2,FALSE))-(IF(VLOOKUP(F22,'ELA Reading Logic'!$A$22:$B$48,2,FALSE)&lt;=VLOOKUP(G22,'ELA Reading Logic'!$A$22:$B$48,2,FALSE),VLOOKUP(G22,'ELA Reading Logic'!$A$22:$B$48,2,FALSE),IF(VLOOKUP(F22,'ELA Reading Logic'!$A$22:$B$48,2,FALSE)&gt;=VLOOKUP(H22,'ELA Reading Logic'!$A$22:$B$48,2,FALSE),VLOOKUP(H22,'ELA Reading Logic'!$A$22:$B$48,2,FALSE),"No Score")))),"No Value"))</f>
        <v>No Value</v>
      </c>
      <c r="J22" s="96" t="str">
        <f>IFERROR(VLOOKUP($L22,'FLA Reading Logic'!$A$3:$K$9,11,FALSE),"Set Grade")</f>
        <v>Set Grade</v>
      </c>
      <c r="K22" s="96" t="str">
        <f>IFERROR(VLOOKUP($L22,'FLA Reading Logic'!$A$13:$K$19,11,FALSE),"Set Grade")</f>
        <v>Set Grade</v>
      </c>
      <c r="L22" s="180"/>
      <c r="M22" s="98"/>
      <c r="N22" s="98"/>
      <c r="O22" s="98"/>
      <c r="P22" s="98"/>
      <c r="Q22" s="98"/>
      <c r="R22" s="181"/>
      <c r="S22" s="182"/>
      <c r="T22" s="98" t="str">
        <f>IFERROR(IF($E22="Yes","IPP",VLOOKUP($L22,'FLA Reading Logic'!$A$3:$K$9,VLOOKUP(S$1,'FLA Reading Logic'!$J$22:$K$31,2,FALSE),FALSE)),"Set Grade")</f>
        <v>Set Grade</v>
      </c>
      <c r="U22" s="98" t="str">
        <f>IFERROR(IF($E22="Yes","IPP",VLOOKUP($L22,'FLA Reading Logic'!$A$13:$K$19,VLOOKUP(S$1,'FLA Reading Logic'!$J$22:$K$31,2,FALSE),FALSE)),"Set Grade")</f>
        <v>Set Grade</v>
      </c>
      <c r="V22" s="98" t="str">
        <f>IF($E22="Yes","IPP",IFERROR(IF(AND(S22&gt;T22,S22&lt;U22),"0",(VLOOKUP(S22,'FLA Reading Logic'!$A$22:$B$53,2,FALSE))-(IF(VLOOKUP(S22,'FLA Reading Logic'!$A$22:$B$53,2,FALSE)&lt;=VLOOKUP(T22,'FLA Reading Logic'!$A$22:$B$53,2,FALSE),VLOOKUP(T22,'FLA Reading Logic'!$A$22:$B$53,2,FALSE),IF(VLOOKUP(S22,'FLA Reading Logic'!$A$22:$B$53,2,FALSE)&gt;=VLOOKUP(U22,'FLA Reading Logic'!$A$22:$B$53,2,FALSE),VLOOKUP(U22,'FLA Reading Logic'!$A$22:$B$53,2,FALSE),"No Score")))),"No Value"))</f>
        <v>No Value</v>
      </c>
      <c r="W22" s="98" t="str">
        <f>IFERROR(VLOOKUP(S22,'FLA Reading Logic'!$A$22:$B$53,2,FALSE)-VLOOKUP($F22,'FLA Reading Logic'!$A$22:$B$53,2,FALSE),"No Value")</f>
        <v>No Value</v>
      </c>
      <c r="X22" s="96" t="str">
        <f>IF($E22="Yes","IPP",IFERROR(IF(AND(S22&gt;$J22,S22&lt;$K22),"0",(VLOOKUP(S22,'FLA Reading Logic'!$A$22:$B$53,2,FALSE))-(IF(VLOOKUP(S22,'FLA Reading Logic'!$A$22:$B$53,2,FALSE)&lt;=VLOOKUP($J22,'FLA Reading Logic'!$A$22:$B$53,2,FALSE),VLOOKUP($J22,'FLA Reading Logic'!$A$22:$B$53,2,FALSE),IF(VLOOKUP(S22,'FLA Reading Logic'!$A$22:$B$53,2,FALSE)&gt;=VLOOKUP($K22,'FLA Reading Logic'!$A$22:$B$53,2,FALSE),VLOOKUP($K22,'FLA Reading Logic'!$A$22:$B$53,2,FALSE),"No Score")))),"No Value"))</f>
        <v>No Value</v>
      </c>
      <c r="Y22" s="179"/>
      <c r="Z22" s="98" t="str">
        <f>IFERROR(IF($E22="Yes","IPP",VLOOKUP($L22,'FLA Reading Logic'!$A$3:$K$9,VLOOKUP(Y$1,'FLA Reading Logic'!$J$22:$K$31,2,FALSE),FALSE)),"Set Grade")</f>
        <v>Set Grade</v>
      </c>
      <c r="AA22" s="98" t="str">
        <f>IFERROR(IF($E22="Yes","IPP",VLOOKUP($L22,'FLA Reading Logic'!$A$13:$K$19,VLOOKUP(Y$1,'FLA Reading Logic'!$J$22:$K$31,2,FALSE),FALSE)),"Set Grade")</f>
        <v>Set Grade</v>
      </c>
      <c r="AB22" s="98" t="str">
        <f>IF($E22="Yes","IPP",IFERROR(IF(AND(Y22&gt;Z22,Y22&lt;AA22),"0",(VLOOKUP(Y22,'FLA Reading Logic'!$A$22:$B$53,2,FALSE))-(IF(VLOOKUP(Y22,'FLA Reading Logic'!$A$22:$B$53,2,FALSE)&lt;=VLOOKUP(Z22,'FLA Reading Logic'!$A$22:$B$53,2,FALSE),VLOOKUP(Z22,'FLA Reading Logic'!$A$22:$B$53,2,FALSE),IF(VLOOKUP(Y22,'FLA Reading Logic'!$A$22:$B$53,2,FALSE)&gt;=VLOOKUP(AA22,'FLA Reading Logic'!$A$22:$B$53,2,FALSE),VLOOKUP(AA22,'FLA Reading Logic'!$A$22:$B$53,2,FALSE),"No Score")))),"No Value"))</f>
        <v>No Value</v>
      </c>
      <c r="AC22" s="97" t="str">
        <f>IFERROR(VLOOKUP(Y22,'FLA Reading Logic'!$A$22:$B$48,2,FALSE)-VLOOKUP($F22,'FLA Reading Logic'!$A$22:$B$48,2,FALSE),"No Value")</f>
        <v>No Value</v>
      </c>
      <c r="AD22" s="96" t="str">
        <f>IF($E22="Yes","IPP",IFERROR(IF(AND(Y22&gt;$J22,Y22&lt;$K22),"0",(VLOOKUP(Y22,'FLA Reading Logic'!$A$22:$B$53,2,FALSE))-(IF(VLOOKUP(Y22,'FLA Reading Logic'!$A$22:$B$53,2,FALSE)&lt;=VLOOKUP($J22,'FLA Reading Logic'!$A$22:$B$53,2,FALSE),VLOOKUP($J22,'FLA Reading Logic'!$A$22:$B$53,2,FALSE),IF(VLOOKUP(Y22,'FLA Reading Logic'!$A$22:$B$53,2,FALSE)&gt;=VLOOKUP($K22,'FLA Reading Logic'!$A$22:$B$53,2,FALSE),VLOOKUP($K22,'FLA Reading Logic'!$A$22:$B$53,2,FALSE),"No Score")))),"No Value"))</f>
        <v>No Value</v>
      </c>
      <c r="AE22" s="179"/>
      <c r="AF22" s="96" t="str">
        <f>IFERROR(IF($E22="Yes","IPP",VLOOKUP($L22,'FLA Reading Logic'!$A$3:$K$9,VLOOKUP(AE$1,'FLA Reading Logic'!$J$22:$K$31,2,FALSE),FALSE)),"Set Grade")</f>
        <v>Set Grade</v>
      </c>
      <c r="AG22" s="96" t="str">
        <f>IFERROR(IF($E22="Yes","IPP",VLOOKUP($L22,'FLA Reading Logic'!$A$13:$K$19,VLOOKUP(AE$1,'FLA Reading Logic'!$J$22:$K$31,2,FALSE),FALSE)),"Set Grade")</f>
        <v>Set Grade</v>
      </c>
      <c r="AH22" s="98" t="str">
        <f>IF($E22="Yes","IPP",IFERROR(IF(AND(AE22&gt;AF22,AE22&lt;AG22),"0",(VLOOKUP(AE22,'FLA Reading Logic'!$A$22:$B$53,2,FALSE))-(IF(VLOOKUP(AE22,'FLA Reading Logic'!$A$22:$B$53,2,FALSE)&lt;=VLOOKUP(AF22,'FLA Reading Logic'!$A$22:$B$53,2,FALSE),VLOOKUP(AF22,'FLA Reading Logic'!$A$22:$B$53,2,FALSE),IF(VLOOKUP(AE22,'FLA Reading Logic'!$A$22:$B$53,2,FALSE)&gt;=VLOOKUP(AG22,'FLA Reading Logic'!$A$22:$B$53,2,FALSE),VLOOKUP(AG22,'FLA Reading Logic'!$A$22:$B$53,2,FALSE),"No Score")))),"No Value"))</f>
        <v>No Value</v>
      </c>
      <c r="AI22" s="96" t="str">
        <f>IFERROR(VLOOKUP(AE22,'FLA Reading Logic'!$A$22:$B$48,2,FALSE)-VLOOKUP($F22,'FLA Reading Logic'!$A$22:$B$48,2,FALSE),"No Value")</f>
        <v>No Value</v>
      </c>
      <c r="AJ22" s="96" t="str">
        <f>IF($E22="Yes","IPP",IFERROR(IF(AND(AE22&gt;$J22,AE22&lt;$K22),"0",(VLOOKUP(AE22,'FLA Reading Logic'!$A$22:$B$53,2,FALSE))-(IF(VLOOKUP(AE22,'FLA Reading Logic'!$A$22:$B$53,2,FALSE)&lt;=VLOOKUP($J22,'FLA Reading Logic'!$A$22:$B$53,2,FALSE),VLOOKUP($J22,'FLA Reading Logic'!$A$22:$B$53,2,FALSE),IF(VLOOKUP(AE22,'FLA Reading Logic'!$A$22:$B$53,2,FALSE)&gt;=VLOOKUP($K22,'FLA Reading Logic'!$A$22:$B$53,2,FALSE),VLOOKUP($K22,'FLA Reading Logic'!$A$22:$B$53,2,FALSE),"No Score")))),"No Value"))</f>
        <v>No Value</v>
      </c>
      <c r="AK22" s="179"/>
      <c r="AL22" s="96" t="str">
        <f>IFERROR(IF($E22="Yes","IPP",VLOOKUP($L22,'FLA Reading Logic'!$A$3:$K$9,VLOOKUP(AK$1,'FLA Reading Logic'!$J$22:$K$31,2,FALSE),FALSE)),"Set Grade")</f>
        <v>Set Grade</v>
      </c>
      <c r="AM22" s="96" t="str">
        <f>IFERROR(IF($E22="Yes","IPP",VLOOKUP($L22,'FLA Reading Logic'!$A$13:$K$19,VLOOKUP(AK$1,'FLA Reading Logic'!$J$22:$K$31,2,FALSE),FALSE)),"Set Grade")</f>
        <v>Set Grade</v>
      </c>
      <c r="AN22" s="98" t="str">
        <f>IF($E22="Yes","IPP",IFERROR(IF(AND(AK22&gt;AL22,AK22&lt;AM22),"0",(VLOOKUP(AK22,'FLA Reading Logic'!$A$22:$B$53,2,FALSE))-(IF(VLOOKUP(AK22,'FLA Reading Logic'!$A$22:$B$53,2,FALSE)&lt;=VLOOKUP(AL22,'FLA Reading Logic'!$A$22:$B$53,2,FALSE),VLOOKUP(AL22,'FLA Reading Logic'!$A$22:$B$53,2,FALSE),IF(VLOOKUP(AK22,'FLA Reading Logic'!$A$22:$B$53,2,FALSE)&gt;=VLOOKUP(AM22,'FLA Reading Logic'!$A$22:$B$53,2,FALSE),VLOOKUP(AM22,'FLA Reading Logic'!$A$22:$B$53,2,FALSE),"No Score")))),"No Value"))</f>
        <v>No Value</v>
      </c>
      <c r="AO22" s="96" t="str">
        <f>IFERROR(VLOOKUP(AK22,'FLA Reading Logic'!$A$22:$B$48,2,FALSE)-VLOOKUP($F22,'FLA Reading Logic'!$A$22:$B$48,2,FALSE),"No Value")</f>
        <v>No Value</v>
      </c>
      <c r="AP22" s="96" t="str">
        <f>IF($E22="Yes","IPP",IFERROR(IF(AND(AK22&gt;$J22,AK22&lt;$K22),"0",(VLOOKUP(AK22,'FLA Reading Logic'!$A$22:$B$53,2,FALSE))-(IF(VLOOKUP(AK22,'FLA Reading Logic'!$A$22:$B$53,2,FALSE)&lt;=VLOOKUP($J22,'FLA Reading Logic'!$A$22:$B$53,2,FALSE),VLOOKUP($J22,'FLA Reading Logic'!$A$22:$B$53,2,FALSE),IF(VLOOKUP(AK22,'FLA Reading Logic'!$A$22:$B$53,2,FALSE)&gt;=VLOOKUP($K22,'FLA Reading Logic'!$A$22:$B$53,2,FALSE),VLOOKUP($K22,'FLA Reading Logic'!$A$22:$B$53,2,FALSE),"No Score")))),"No Value"))</f>
        <v>No Value</v>
      </c>
      <c r="AQ22" s="179"/>
      <c r="AR22" s="96" t="str">
        <f>IFERROR(IF($E22="Yes","IPP",VLOOKUP($L22,'FLA Reading Logic'!$A$3:$K$9,VLOOKUP(AQ$1,'FLA Reading Logic'!$J$22:$K$31,2,FALSE),FALSE)),"Set Grade")</f>
        <v>Set Grade</v>
      </c>
      <c r="AS22" s="96" t="str">
        <f>IFERROR(IF($E22="Yes","IPP",VLOOKUP($L22,'FLA Reading Logic'!$A$13:$K$19,VLOOKUP(AQ$1,'FLA Reading Logic'!$J$22:$K$31,2,FALSE),FALSE)),"Set Grade")</f>
        <v>Set Grade</v>
      </c>
      <c r="AT22" s="98" t="str">
        <f>IF($E22="Yes","IPP",IFERROR(IF(AND(AQ22&gt;AR22,AQ22&lt;AS22),"0",(VLOOKUP(AQ22,'FLA Reading Logic'!$A$22:$B$53,2,FALSE))-(IF(VLOOKUP(AQ22,'FLA Reading Logic'!$A$22:$B$53,2,FALSE)&lt;=VLOOKUP(AR22,'FLA Reading Logic'!$A$22:$B$53,2,FALSE),VLOOKUP(AR22,'FLA Reading Logic'!$A$22:$B$53,2,FALSE),IF(VLOOKUP(AQ22,'FLA Reading Logic'!$A$22:$B$53,2,FALSE)&gt;=VLOOKUP(AS22,'FLA Reading Logic'!$A$22:$B$53,2,FALSE),VLOOKUP(AS22,'FLA Reading Logic'!$A$22:$B$53,2,FALSE),"No Score")))),"No Value"))</f>
        <v>No Value</v>
      </c>
      <c r="AU22" s="96" t="str">
        <f>IFERROR(VLOOKUP(AQ22,'FLA Reading Logic'!$A$22:$B$48,2,FALSE)-VLOOKUP($F22,'FLA Reading Logic'!$A$22:$B$48,2,FALSE),"No Value")</f>
        <v>No Value</v>
      </c>
      <c r="AV22" s="96" t="str">
        <f>IF($E22="Yes","IPP",IFERROR(IF(AND(AQ22&gt;$J22,AQ22&lt;$K22),"0",(VLOOKUP(AQ22,'FLA Reading Logic'!$A$22:$B$53,2,FALSE))-(IF(VLOOKUP(AQ22,'FLA Reading Logic'!$A$22:$B$53,2,FALSE)&lt;=VLOOKUP($J22,'FLA Reading Logic'!$A$22:$B$53,2,FALSE),VLOOKUP($J22,'FLA Reading Logic'!$A$22:$B$53,2,FALSE),IF(VLOOKUP(AQ22,'FLA Reading Logic'!$A$22:$B$53,2,FALSE)&gt;=VLOOKUP($K22,'FLA Reading Logic'!$A$22:$B$53,2,FALSE),VLOOKUP($K22,'FLA Reading Logic'!$A$22:$B$53,2,FALSE),"No Score")))),"No Value"))</f>
        <v>No Value</v>
      </c>
      <c r="AW22" s="179"/>
      <c r="AX22" s="96" t="str">
        <f>IFERROR(IF($E22="Yes","IPP",VLOOKUP($L22,'FLA Reading Logic'!$A$3:$K$9,VLOOKUP(AW$1,'FLA Reading Logic'!$J$22:$K$31,2,FALSE),FALSE)),"Set Grade")</f>
        <v>Set Grade</v>
      </c>
      <c r="AY22" s="96" t="str">
        <f>IFERROR(IF($E22="Yes","IPP",VLOOKUP($L22,'FLA Reading Logic'!$A$13:$K$19,VLOOKUP(AW$1,'FLA Reading Logic'!$J$22:$K$31,2,FALSE),FALSE)),"Set Grade")</f>
        <v>Set Grade</v>
      </c>
      <c r="AZ22" s="98" t="str">
        <f>IF($E22="Yes","IPP",IFERROR(IF(AND(AW22&gt;AX22,AW22&lt;AY22),"0",(VLOOKUP(AW22,'FLA Reading Logic'!$A$22:$B$53,2,FALSE))-(IF(VLOOKUP(AW22,'FLA Reading Logic'!$A$22:$B$53,2,FALSE)&lt;=VLOOKUP(AX22,'FLA Reading Logic'!$A$22:$B$53,2,FALSE),VLOOKUP(AX22,'FLA Reading Logic'!$A$22:$B$53,2,FALSE),IF(VLOOKUP(AW22,'FLA Reading Logic'!$A$22:$B$53,2,FALSE)&gt;=VLOOKUP(AY22,'FLA Reading Logic'!$A$22:$B$53,2,FALSE),VLOOKUP(AY22,'FLA Reading Logic'!$A$22:$B$53,2,FALSE),"No Score")))),"No Value"))</f>
        <v>No Value</v>
      </c>
      <c r="BA22" s="96" t="str">
        <f>IFERROR(VLOOKUP(AW22,'FLA Reading Logic'!$A$22:$B$48,2,FALSE)-VLOOKUP($F22,'FLA Reading Logic'!$A$22:$B$48,2,FALSE),"No Value")</f>
        <v>No Value</v>
      </c>
      <c r="BB22" s="96" t="str">
        <f>IF($E22="Yes","IPP",IFERROR(IF(AND(AW22&gt;$J22,AW22&lt;$K22),"0",(VLOOKUP(AW22,'FLA Reading Logic'!$A$22:$B$53,2,FALSE))-(IF(VLOOKUP(AW22,'FLA Reading Logic'!$A$22:$B$53,2,FALSE)&lt;=VLOOKUP($J22,'FLA Reading Logic'!$A$22:$B$53,2,FALSE),VLOOKUP($J22,'FLA Reading Logic'!$A$22:$B$53,2,FALSE),IF(VLOOKUP(AW22,'FLA Reading Logic'!$A$22:$B$53,2,FALSE)&gt;=VLOOKUP($K22,'FLA Reading Logic'!$A$22:$B$53,2,FALSE),VLOOKUP($K22,'FLA Reading Logic'!$A$22:$B$53,2,FALSE),"No Score")))),"No Value"))</f>
        <v>No Value</v>
      </c>
    </row>
    <row r="23" spans="1:54" ht="26.25" customHeight="1" thickBot="1" x14ac:dyDescent="0.3">
      <c r="A23" s="96"/>
      <c r="B23" s="98"/>
      <c r="C23" s="98"/>
      <c r="D23" s="98"/>
      <c r="E23" s="179"/>
      <c r="F23" s="92"/>
      <c r="G23" s="98" t="str">
        <f>IFERROR(IF($E23="Yes","IPP",VLOOKUP($J23,'ELA Reading Logic'!$A$3:$K$9,VLOOKUP("September",'ELA Reading Logic'!$J$22:$K$31,2,FALSE),FALSE)),"Set Grade")</f>
        <v>Set Grade</v>
      </c>
      <c r="H23" s="98" t="str">
        <f>IFERROR(IF($E23="Yes","IPP",VLOOKUP($J23,'ELA Reading Logic'!$A$13:$K$19,VLOOKUP("September",'ELA Reading Logic'!$J$22:$K$31,2,FALSE),FALSE)),"Set Grade")</f>
        <v>Set Grade</v>
      </c>
      <c r="I23" s="98" t="str">
        <f>IF($E23="Yes","IPP",IFERROR(IF(AND(F23&gt;G23,F23&lt;H23),"0",(VLOOKUP(F23,'ELA Reading Logic'!$A$22:$B$48,2,FALSE))-(IF(VLOOKUP(F23,'ELA Reading Logic'!$A$22:$B$48,2,FALSE)&lt;=VLOOKUP(G23,'ELA Reading Logic'!$A$22:$B$48,2,FALSE),VLOOKUP(G23,'ELA Reading Logic'!$A$22:$B$48,2,FALSE),IF(VLOOKUP(F23,'ELA Reading Logic'!$A$22:$B$48,2,FALSE)&gt;=VLOOKUP(H23,'ELA Reading Logic'!$A$22:$B$48,2,FALSE),VLOOKUP(H23,'ELA Reading Logic'!$A$22:$B$48,2,FALSE),"No Score")))),"No Value"))</f>
        <v>No Value</v>
      </c>
      <c r="J23" s="96" t="str">
        <f>IFERROR(VLOOKUP($L23,'FLA Reading Logic'!$A$3:$K$9,11,FALSE),"Set Grade")</f>
        <v>Set Grade</v>
      </c>
      <c r="K23" s="96" t="str">
        <f>IFERROR(VLOOKUP($L23,'FLA Reading Logic'!$A$13:$K$19,11,FALSE),"Set Grade")</f>
        <v>Set Grade</v>
      </c>
      <c r="L23" s="180"/>
      <c r="M23" s="98"/>
      <c r="N23" s="98"/>
      <c r="O23" s="98"/>
      <c r="P23" s="98"/>
      <c r="Q23" s="98"/>
      <c r="R23" s="181"/>
      <c r="S23" s="182"/>
      <c r="T23" s="98" t="str">
        <f>IFERROR(IF($E23="Yes","IPP",VLOOKUP($L23,'FLA Reading Logic'!$A$3:$K$9,VLOOKUP(S$1,'FLA Reading Logic'!$J$22:$K$31,2,FALSE),FALSE)),"Set Grade")</f>
        <v>Set Grade</v>
      </c>
      <c r="U23" s="98" t="str">
        <f>IFERROR(IF($E23="Yes","IPP",VLOOKUP($L23,'FLA Reading Logic'!$A$13:$K$19,VLOOKUP(S$1,'FLA Reading Logic'!$J$22:$K$31,2,FALSE),FALSE)),"Set Grade")</f>
        <v>Set Grade</v>
      </c>
      <c r="V23" s="98" t="str">
        <f>IF($E23="Yes","IPP",IFERROR(IF(AND(S23&gt;T23,S23&lt;U23),"0",(VLOOKUP(S23,'FLA Reading Logic'!$A$22:$B$53,2,FALSE))-(IF(VLOOKUP(S23,'FLA Reading Logic'!$A$22:$B$53,2,FALSE)&lt;=VLOOKUP(T23,'FLA Reading Logic'!$A$22:$B$53,2,FALSE),VLOOKUP(T23,'FLA Reading Logic'!$A$22:$B$53,2,FALSE),IF(VLOOKUP(S23,'FLA Reading Logic'!$A$22:$B$53,2,FALSE)&gt;=VLOOKUP(U23,'FLA Reading Logic'!$A$22:$B$53,2,FALSE),VLOOKUP(U23,'FLA Reading Logic'!$A$22:$B$53,2,FALSE),"No Score")))),"No Value"))</f>
        <v>No Value</v>
      </c>
      <c r="W23" s="98" t="str">
        <f>IFERROR(VLOOKUP(S23,'FLA Reading Logic'!$A$22:$B$53,2,FALSE)-VLOOKUP($F23,'FLA Reading Logic'!$A$22:$B$53,2,FALSE),"No Value")</f>
        <v>No Value</v>
      </c>
      <c r="X23" s="96" t="str">
        <f>IF($E23="Yes","IPP",IFERROR(IF(AND(S23&gt;$J23,S23&lt;$K23),"0",(VLOOKUP(S23,'FLA Reading Logic'!$A$22:$B$53,2,FALSE))-(IF(VLOOKUP(S23,'FLA Reading Logic'!$A$22:$B$53,2,FALSE)&lt;=VLOOKUP($J23,'FLA Reading Logic'!$A$22:$B$53,2,FALSE),VLOOKUP($J23,'FLA Reading Logic'!$A$22:$B$53,2,FALSE),IF(VLOOKUP(S23,'FLA Reading Logic'!$A$22:$B$53,2,FALSE)&gt;=VLOOKUP($K23,'FLA Reading Logic'!$A$22:$B$53,2,FALSE),VLOOKUP($K23,'FLA Reading Logic'!$A$22:$B$53,2,FALSE),"No Score")))),"No Value"))</f>
        <v>No Value</v>
      </c>
      <c r="Y23" s="179"/>
      <c r="Z23" s="98" t="str">
        <f>IFERROR(IF($E23="Yes","IPP",VLOOKUP($L23,'FLA Reading Logic'!$A$3:$K$9,VLOOKUP(Y$1,'FLA Reading Logic'!$J$22:$K$31,2,FALSE),FALSE)),"Set Grade")</f>
        <v>Set Grade</v>
      </c>
      <c r="AA23" s="98" t="str">
        <f>IFERROR(IF($E23="Yes","IPP",VLOOKUP($L23,'FLA Reading Logic'!$A$13:$K$19,VLOOKUP(Y$1,'FLA Reading Logic'!$J$22:$K$31,2,FALSE),FALSE)),"Set Grade")</f>
        <v>Set Grade</v>
      </c>
      <c r="AB23" s="98" t="str">
        <f>IF($E23="Yes","IPP",IFERROR(IF(AND(Y23&gt;Z23,Y23&lt;AA23),"0",(VLOOKUP(Y23,'FLA Reading Logic'!$A$22:$B$53,2,FALSE))-(IF(VLOOKUP(Y23,'FLA Reading Logic'!$A$22:$B$53,2,FALSE)&lt;=VLOOKUP(Z23,'FLA Reading Logic'!$A$22:$B$53,2,FALSE),VLOOKUP(Z23,'FLA Reading Logic'!$A$22:$B$53,2,FALSE),IF(VLOOKUP(Y23,'FLA Reading Logic'!$A$22:$B$53,2,FALSE)&gt;=VLOOKUP(AA23,'FLA Reading Logic'!$A$22:$B$53,2,FALSE),VLOOKUP(AA23,'FLA Reading Logic'!$A$22:$B$53,2,FALSE),"No Score")))),"No Value"))</f>
        <v>No Value</v>
      </c>
      <c r="AC23" s="97" t="str">
        <f>IFERROR(VLOOKUP(Y23,'FLA Reading Logic'!$A$22:$B$48,2,FALSE)-VLOOKUP($F23,'FLA Reading Logic'!$A$22:$B$48,2,FALSE),"No Value")</f>
        <v>No Value</v>
      </c>
      <c r="AD23" s="96" t="str">
        <f>IF($E23="Yes","IPP",IFERROR(IF(AND(Y23&gt;$J23,Y23&lt;$K23),"0",(VLOOKUP(Y23,'FLA Reading Logic'!$A$22:$B$53,2,FALSE))-(IF(VLOOKUP(Y23,'FLA Reading Logic'!$A$22:$B$53,2,FALSE)&lt;=VLOOKUP($J23,'FLA Reading Logic'!$A$22:$B$53,2,FALSE),VLOOKUP($J23,'FLA Reading Logic'!$A$22:$B$53,2,FALSE),IF(VLOOKUP(Y23,'FLA Reading Logic'!$A$22:$B$53,2,FALSE)&gt;=VLOOKUP($K23,'FLA Reading Logic'!$A$22:$B$53,2,FALSE),VLOOKUP($K23,'FLA Reading Logic'!$A$22:$B$53,2,FALSE),"No Score")))),"No Value"))</f>
        <v>No Value</v>
      </c>
      <c r="AE23" s="179"/>
      <c r="AF23" s="96" t="str">
        <f>IFERROR(IF($E23="Yes","IPP",VLOOKUP($L23,'FLA Reading Logic'!$A$3:$K$9,VLOOKUP(AE$1,'FLA Reading Logic'!$J$22:$K$31,2,FALSE),FALSE)),"Set Grade")</f>
        <v>Set Grade</v>
      </c>
      <c r="AG23" s="96" t="str">
        <f>IFERROR(IF($E23="Yes","IPP",VLOOKUP($L23,'FLA Reading Logic'!$A$13:$K$19,VLOOKUP(AE$1,'FLA Reading Logic'!$J$22:$K$31,2,FALSE),FALSE)),"Set Grade")</f>
        <v>Set Grade</v>
      </c>
      <c r="AH23" s="98" t="str">
        <f>IF($E23="Yes","IPP",IFERROR(IF(AND(AE23&gt;AF23,AE23&lt;AG23),"0",(VLOOKUP(AE23,'FLA Reading Logic'!$A$22:$B$53,2,FALSE))-(IF(VLOOKUP(AE23,'FLA Reading Logic'!$A$22:$B$53,2,FALSE)&lt;=VLOOKUP(AF23,'FLA Reading Logic'!$A$22:$B$53,2,FALSE),VLOOKUP(AF23,'FLA Reading Logic'!$A$22:$B$53,2,FALSE),IF(VLOOKUP(AE23,'FLA Reading Logic'!$A$22:$B$53,2,FALSE)&gt;=VLOOKUP(AG23,'FLA Reading Logic'!$A$22:$B$53,2,FALSE),VLOOKUP(AG23,'FLA Reading Logic'!$A$22:$B$53,2,FALSE),"No Score")))),"No Value"))</f>
        <v>No Value</v>
      </c>
      <c r="AI23" s="96" t="str">
        <f>IFERROR(VLOOKUP(AE23,'FLA Reading Logic'!$A$22:$B$48,2,FALSE)-VLOOKUP($F23,'FLA Reading Logic'!$A$22:$B$48,2,FALSE),"No Value")</f>
        <v>No Value</v>
      </c>
      <c r="AJ23" s="96" t="str">
        <f>IF($E23="Yes","IPP",IFERROR(IF(AND(AE23&gt;$J23,AE23&lt;$K23),"0",(VLOOKUP(AE23,'FLA Reading Logic'!$A$22:$B$53,2,FALSE))-(IF(VLOOKUP(AE23,'FLA Reading Logic'!$A$22:$B$53,2,FALSE)&lt;=VLOOKUP($J23,'FLA Reading Logic'!$A$22:$B$53,2,FALSE),VLOOKUP($J23,'FLA Reading Logic'!$A$22:$B$53,2,FALSE),IF(VLOOKUP(AE23,'FLA Reading Logic'!$A$22:$B$53,2,FALSE)&gt;=VLOOKUP($K23,'FLA Reading Logic'!$A$22:$B$53,2,FALSE),VLOOKUP($K23,'FLA Reading Logic'!$A$22:$B$53,2,FALSE),"No Score")))),"No Value"))</f>
        <v>No Value</v>
      </c>
      <c r="AK23" s="179"/>
      <c r="AL23" s="96" t="str">
        <f>IFERROR(IF($E23="Yes","IPP",VLOOKUP($L23,'FLA Reading Logic'!$A$3:$K$9,VLOOKUP(AK$1,'FLA Reading Logic'!$J$22:$K$31,2,FALSE),FALSE)),"Set Grade")</f>
        <v>Set Grade</v>
      </c>
      <c r="AM23" s="96" t="str">
        <f>IFERROR(IF($E23="Yes","IPP",VLOOKUP($L23,'FLA Reading Logic'!$A$13:$K$19,VLOOKUP(AK$1,'FLA Reading Logic'!$J$22:$K$31,2,FALSE),FALSE)),"Set Grade")</f>
        <v>Set Grade</v>
      </c>
      <c r="AN23" s="98" t="str">
        <f>IF($E23="Yes","IPP",IFERROR(IF(AND(AK23&gt;AL23,AK23&lt;AM23),"0",(VLOOKUP(AK23,'FLA Reading Logic'!$A$22:$B$53,2,FALSE))-(IF(VLOOKUP(AK23,'FLA Reading Logic'!$A$22:$B$53,2,FALSE)&lt;=VLOOKUP(AL23,'FLA Reading Logic'!$A$22:$B$53,2,FALSE),VLOOKUP(AL23,'FLA Reading Logic'!$A$22:$B$53,2,FALSE),IF(VLOOKUP(AK23,'FLA Reading Logic'!$A$22:$B$53,2,FALSE)&gt;=VLOOKUP(AM23,'FLA Reading Logic'!$A$22:$B$53,2,FALSE),VLOOKUP(AM23,'FLA Reading Logic'!$A$22:$B$53,2,FALSE),"No Score")))),"No Value"))</f>
        <v>No Value</v>
      </c>
      <c r="AO23" s="96" t="str">
        <f>IFERROR(VLOOKUP(AK23,'FLA Reading Logic'!$A$22:$B$48,2,FALSE)-VLOOKUP($F23,'FLA Reading Logic'!$A$22:$B$48,2,FALSE),"No Value")</f>
        <v>No Value</v>
      </c>
      <c r="AP23" s="96" t="str">
        <f>IF($E23="Yes","IPP",IFERROR(IF(AND(AK23&gt;$J23,AK23&lt;$K23),"0",(VLOOKUP(AK23,'FLA Reading Logic'!$A$22:$B$53,2,FALSE))-(IF(VLOOKUP(AK23,'FLA Reading Logic'!$A$22:$B$53,2,FALSE)&lt;=VLOOKUP($J23,'FLA Reading Logic'!$A$22:$B$53,2,FALSE),VLOOKUP($J23,'FLA Reading Logic'!$A$22:$B$53,2,FALSE),IF(VLOOKUP(AK23,'FLA Reading Logic'!$A$22:$B$53,2,FALSE)&gt;=VLOOKUP($K23,'FLA Reading Logic'!$A$22:$B$53,2,FALSE),VLOOKUP($K23,'FLA Reading Logic'!$A$22:$B$53,2,FALSE),"No Score")))),"No Value"))</f>
        <v>No Value</v>
      </c>
      <c r="AQ23" s="179"/>
      <c r="AR23" s="96" t="str">
        <f>IFERROR(IF($E23="Yes","IPP",VLOOKUP($L23,'FLA Reading Logic'!$A$3:$K$9,VLOOKUP(AQ$1,'FLA Reading Logic'!$J$22:$K$31,2,FALSE),FALSE)),"Set Grade")</f>
        <v>Set Grade</v>
      </c>
      <c r="AS23" s="96" t="str">
        <f>IFERROR(IF($E23="Yes","IPP",VLOOKUP($L23,'FLA Reading Logic'!$A$13:$K$19,VLOOKUP(AQ$1,'FLA Reading Logic'!$J$22:$K$31,2,FALSE),FALSE)),"Set Grade")</f>
        <v>Set Grade</v>
      </c>
      <c r="AT23" s="98" t="str">
        <f>IF($E23="Yes","IPP",IFERROR(IF(AND(AQ23&gt;AR23,AQ23&lt;AS23),"0",(VLOOKUP(AQ23,'FLA Reading Logic'!$A$22:$B$53,2,FALSE))-(IF(VLOOKUP(AQ23,'FLA Reading Logic'!$A$22:$B$53,2,FALSE)&lt;=VLOOKUP(AR23,'FLA Reading Logic'!$A$22:$B$53,2,FALSE),VLOOKUP(AR23,'FLA Reading Logic'!$A$22:$B$53,2,FALSE),IF(VLOOKUP(AQ23,'FLA Reading Logic'!$A$22:$B$53,2,FALSE)&gt;=VLOOKUP(AS23,'FLA Reading Logic'!$A$22:$B$53,2,FALSE),VLOOKUP(AS23,'FLA Reading Logic'!$A$22:$B$53,2,FALSE),"No Score")))),"No Value"))</f>
        <v>No Value</v>
      </c>
      <c r="AU23" s="96" t="str">
        <f>IFERROR(VLOOKUP(AQ23,'FLA Reading Logic'!$A$22:$B$48,2,FALSE)-VLOOKUP($F23,'FLA Reading Logic'!$A$22:$B$48,2,FALSE),"No Value")</f>
        <v>No Value</v>
      </c>
      <c r="AV23" s="96" t="str">
        <f>IF($E23="Yes","IPP",IFERROR(IF(AND(AQ23&gt;$J23,AQ23&lt;$K23),"0",(VLOOKUP(AQ23,'FLA Reading Logic'!$A$22:$B$53,2,FALSE))-(IF(VLOOKUP(AQ23,'FLA Reading Logic'!$A$22:$B$53,2,FALSE)&lt;=VLOOKUP($J23,'FLA Reading Logic'!$A$22:$B$53,2,FALSE),VLOOKUP($J23,'FLA Reading Logic'!$A$22:$B$53,2,FALSE),IF(VLOOKUP(AQ23,'FLA Reading Logic'!$A$22:$B$53,2,FALSE)&gt;=VLOOKUP($K23,'FLA Reading Logic'!$A$22:$B$53,2,FALSE),VLOOKUP($K23,'FLA Reading Logic'!$A$22:$B$53,2,FALSE),"No Score")))),"No Value"))</f>
        <v>No Value</v>
      </c>
      <c r="AW23" s="179"/>
      <c r="AX23" s="96" t="str">
        <f>IFERROR(IF($E23="Yes","IPP",VLOOKUP($L23,'FLA Reading Logic'!$A$3:$K$9,VLOOKUP(AW$1,'FLA Reading Logic'!$J$22:$K$31,2,FALSE),FALSE)),"Set Grade")</f>
        <v>Set Grade</v>
      </c>
      <c r="AY23" s="96" t="str">
        <f>IFERROR(IF($E23="Yes","IPP",VLOOKUP($L23,'FLA Reading Logic'!$A$13:$K$19,VLOOKUP(AW$1,'FLA Reading Logic'!$J$22:$K$31,2,FALSE),FALSE)),"Set Grade")</f>
        <v>Set Grade</v>
      </c>
      <c r="AZ23" s="98" t="str">
        <f>IF($E23="Yes","IPP",IFERROR(IF(AND(AW23&gt;AX23,AW23&lt;AY23),"0",(VLOOKUP(AW23,'FLA Reading Logic'!$A$22:$B$53,2,FALSE))-(IF(VLOOKUP(AW23,'FLA Reading Logic'!$A$22:$B$53,2,FALSE)&lt;=VLOOKUP(AX23,'FLA Reading Logic'!$A$22:$B$53,2,FALSE),VLOOKUP(AX23,'FLA Reading Logic'!$A$22:$B$53,2,FALSE),IF(VLOOKUP(AW23,'FLA Reading Logic'!$A$22:$B$53,2,FALSE)&gt;=VLOOKUP(AY23,'FLA Reading Logic'!$A$22:$B$53,2,FALSE),VLOOKUP(AY23,'FLA Reading Logic'!$A$22:$B$53,2,FALSE),"No Score")))),"No Value"))</f>
        <v>No Value</v>
      </c>
      <c r="BA23" s="96" t="str">
        <f>IFERROR(VLOOKUP(AW23,'FLA Reading Logic'!$A$22:$B$48,2,FALSE)-VLOOKUP($F23,'FLA Reading Logic'!$A$22:$B$48,2,FALSE),"No Value")</f>
        <v>No Value</v>
      </c>
      <c r="BB23" s="96" t="str">
        <f>IF($E23="Yes","IPP",IFERROR(IF(AND(AW23&gt;$J23,AW23&lt;$K23),"0",(VLOOKUP(AW23,'FLA Reading Logic'!$A$22:$B$53,2,FALSE))-(IF(VLOOKUP(AW23,'FLA Reading Logic'!$A$22:$B$53,2,FALSE)&lt;=VLOOKUP($J23,'FLA Reading Logic'!$A$22:$B$53,2,FALSE),VLOOKUP($J23,'FLA Reading Logic'!$A$22:$B$53,2,FALSE),IF(VLOOKUP(AW23,'FLA Reading Logic'!$A$22:$B$53,2,FALSE)&gt;=VLOOKUP($K23,'FLA Reading Logic'!$A$22:$B$53,2,FALSE),VLOOKUP($K23,'FLA Reading Logic'!$A$22:$B$53,2,FALSE),"No Score")))),"No Value"))</f>
        <v>No Value</v>
      </c>
    </row>
    <row r="24" spans="1:54" ht="26.25" customHeight="1" thickBot="1" x14ac:dyDescent="0.3">
      <c r="A24" s="96"/>
      <c r="B24" s="98"/>
      <c r="C24" s="98"/>
      <c r="D24" s="98"/>
      <c r="E24" s="179"/>
      <c r="F24" s="92"/>
      <c r="G24" s="98" t="str">
        <f>IFERROR(IF($E24="Yes","IPP",VLOOKUP($J24,'ELA Reading Logic'!$A$3:$K$9,VLOOKUP("September",'ELA Reading Logic'!$J$22:$K$31,2,FALSE),FALSE)),"Set Grade")</f>
        <v>Set Grade</v>
      </c>
      <c r="H24" s="98" t="str">
        <f>IFERROR(IF($E24="Yes","IPP",VLOOKUP($J24,'ELA Reading Logic'!$A$13:$K$19,VLOOKUP("September",'ELA Reading Logic'!$J$22:$K$31,2,FALSE),FALSE)),"Set Grade")</f>
        <v>Set Grade</v>
      </c>
      <c r="I24" s="98" t="str">
        <f>IF($E24="Yes","IPP",IFERROR(IF(AND(F24&gt;G24,F24&lt;H24),"0",(VLOOKUP(F24,'ELA Reading Logic'!$A$22:$B$48,2,FALSE))-(IF(VLOOKUP(F24,'ELA Reading Logic'!$A$22:$B$48,2,FALSE)&lt;=VLOOKUP(G24,'ELA Reading Logic'!$A$22:$B$48,2,FALSE),VLOOKUP(G24,'ELA Reading Logic'!$A$22:$B$48,2,FALSE),IF(VLOOKUP(F24,'ELA Reading Logic'!$A$22:$B$48,2,FALSE)&gt;=VLOOKUP(H24,'ELA Reading Logic'!$A$22:$B$48,2,FALSE),VLOOKUP(H24,'ELA Reading Logic'!$A$22:$B$48,2,FALSE),"No Score")))),"No Value"))</f>
        <v>No Value</v>
      </c>
      <c r="J24" s="96" t="str">
        <f>IFERROR(VLOOKUP($L24,'FLA Reading Logic'!$A$3:$K$9,11,FALSE),"Set Grade")</f>
        <v>Set Grade</v>
      </c>
      <c r="K24" s="96" t="str">
        <f>IFERROR(VLOOKUP($L24,'FLA Reading Logic'!$A$13:$K$19,11,FALSE),"Set Grade")</f>
        <v>Set Grade</v>
      </c>
      <c r="L24" s="180"/>
      <c r="M24" s="98"/>
      <c r="N24" s="98"/>
      <c r="O24" s="98"/>
      <c r="P24" s="98"/>
      <c r="Q24" s="98"/>
      <c r="R24" s="181"/>
      <c r="S24" s="182"/>
      <c r="T24" s="98" t="str">
        <f>IFERROR(IF($E24="Yes","IPP",VLOOKUP($L24,'FLA Reading Logic'!$A$3:$K$9,VLOOKUP(S$1,'FLA Reading Logic'!$J$22:$K$31,2,FALSE),FALSE)),"Set Grade")</f>
        <v>Set Grade</v>
      </c>
      <c r="U24" s="98" t="str">
        <f>IFERROR(IF($E24="Yes","IPP",VLOOKUP($L24,'FLA Reading Logic'!$A$13:$K$19,VLOOKUP(S$1,'FLA Reading Logic'!$J$22:$K$31,2,FALSE),FALSE)),"Set Grade")</f>
        <v>Set Grade</v>
      </c>
      <c r="V24" s="98" t="str">
        <f>IF($E24="Yes","IPP",IFERROR(IF(AND(S24&gt;T24,S24&lt;U24),"0",(VLOOKUP(S24,'FLA Reading Logic'!$A$22:$B$53,2,FALSE))-(IF(VLOOKUP(S24,'FLA Reading Logic'!$A$22:$B$53,2,FALSE)&lt;=VLOOKUP(T24,'FLA Reading Logic'!$A$22:$B$53,2,FALSE),VLOOKUP(T24,'FLA Reading Logic'!$A$22:$B$53,2,FALSE),IF(VLOOKUP(S24,'FLA Reading Logic'!$A$22:$B$53,2,FALSE)&gt;=VLOOKUP(U24,'FLA Reading Logic'!$A$22:$B$53,2,FALSE),VLOOKUP(U24,'FLA Reading Logic'!$A$22:$B$53,2,FALSE),"No Score")))),"No Value"))</f>
        <v>No Value</v>
      </c>
      <c r="W24" s="98" t="str">
        <f>IFERROR(VLOOKUP(S24,'FLA Reading Logic'!$A$22:$B$53,2,FALSE)-VLOOKUP($F24,'FLA Reading Logic'!$A$22:$B$53,2,FALSE),"No Value")</f>
        <v>No Value</v>
      </c>
      <c r="X24" s="96" t="str">
        <f>IF($E24="Yes","IPP",IFERROR(IF(AND(S24&gt;$J24,S24&lt;$K24),"0",(VLOOKUP(S24,'FLA Reading Logic'!$A$22:$B$53,2,FALSE))-(IF(VLOOKUP(S24,'FLA Reading Logic'!$A$22:$B$53,2,FALSE)&lt;=VLOOKUP($J24,'FLA Reading Logic'!$A$22:$B$53,2,FALSE),VLOOKUP($J24,'FLA Reading Logic'!$A$22:$B$53,2,FALSE),IF(VLOOKUP(S24,'FLA Reading Logic'!$A$22:$B$53,2,FALSE)&gt;=VLOOKUP($K24,'FLA Reading Logic'!$A$22:$B$53,2,FALSE),VLOOKUP($K24,'FLA Reading Logic'!$A$22:$B$53,2,FALSE),"No Score")))),"No Value"))</f>
        <v>No Value</v>
      </c>
      <c r="Y24" s="179"/>
      <c r="Z24" s="98" t="str">
        <f>IFERROR(IF($E24="Yes","IPP",VLOOKUP($L24,'FLA Reading Logic'!$A$3:$K$9,VLOOKUP(Y$1,'FLA Reading Logic'!$J$22:$K$31,2,FALSE),FALSE)),"Set Grade")</f>
        <v>Set Grade</v>
      </c>
      <c r="AA24" s="98" t="str">
        <f>IFERROR(IF($E24="Yes","IPP",VLOOKUP($L24,'FLA Reading Logic'!$A$13:$K$19,VLOOKUP(Y$1,'FLA Reading Logic'!$J$22:$K$31,2,FALSE),FALSE)),"Set Grade")</f>
        <v>Set Grade</v>
      </c>
      <c r="AB24" s="98" t="str">
        <f>IF($E24="Yes","IPP",IFERROR(IF(AND(Y24&gt;Z24,Y24&lt;AA24),"0",(VLOOKUP(Y24,'FLA Reading Logic'!$A$22:$B$53,2,FALSE))-(IF(VLOOKUP(Y24,'FLA Reading Logic'!$A$22:$B$53,2,FALSE)&lt;=VLOOKUP(Z24,'FLA Reading Logic'!$A$22:$B$53,2,FALSE),VLOOKUP(Z24,'FLA Reading Logic'!$A$22:$B$53,2,FALSE),IF(VLOOKUP(Y24,'FLA Reading Logic'!$A$22:$B$53,2,FALSE)&gt;=VLOOKUP(AA24,'FLA Reading Logic'!$A$22:$B$53,2,FALSE),VLOOKUP(AA24,'FLA Reading Logic'!$A$22:$B$53,2,FALSE),"No Score")))),"No Value"))</f>
        <v>No Value</v>
      </c>
      <c r="AC24" s="97" t="str">
        <f>IFERROR(VLOOKUP(Y24,'FLA Reading Logic'!$A$22:$B$48,2,FALSE)-VLOOKUP($F24,'FLA Reading Logic'!$A$22:$B$48,2,FALSE),"No Value")</f>
        <v>No Value</v>
      </c>
      <c r="AD24" s="96" t="str">
        <f>IF($E24="Yes","IPP",IFERROR(IF(AND(Y24&gt;$J24,Y24&lt;$K24),"0",(VLOOKUP(Y24,'FLA Reading Logic'!$A$22:$B$53,2,FALSE))-(IF(VLOOKUP(Y24,'FLA Reading Logic'!$A$22:$B$53,2,FALSE)&lt;=VLOOKUP($J24,'FLA Reading Logic'!$A$22:$B$53,2,FALSE),VLOOKUP($J24,'FLA Reading Logic'!$A$22:$B$53,2,FALSE),IF(VLOOKUP(Y24,'FLA Reading Logic'!$A$22:$B$53,2,FALSE)&gt;=VLOOKUP($K24,'FLA Reading Logic'!$A$22:$B$53,2,FALSE),VLOOKUP($K24,'FLA Reading Logic'!$A$22:$B$53,2,FALSE),"No Score")))),"No Value"))</f>
        <v>No Value</v>
      </c>
      <c r="AE24" s="179"/>
      <c r="AF24" s="96" t="str">
        <f>IFERROR(IF($E24="Yes","IPP",VLOOKUP($L24,'FLA Reading Logic'!$A$3:$K$9,VLOOKUP(AE$1,'FLA Reading Logic'!$J$22:$K$31,2,FALSE),FALSE)),"Set Grade")</f>
        <v>Set Grade</v>
      </c>
      <c r="AG24" s="96" t="str">
        <f>IFERROR(IF($E24="Yes","IPP",VLOOKUP($L24,'FLA Reading Logic'!$A$13:$K$19,VLOOKUP(AE$1,'FLA Reading Logic'!$J$22:$K$31,2,FALSE),FALSE)),"Set Grade")</f>
        <v>Set Grade</v>
      </c>
      <c r="AH24" s="98" t="str">
        <f>IF($E24="Yes","IPP",IFERROR(IF(AND(AE24&gt;AF24,AE24&lt;AG24),"0",(VLOOKUP(AE24,'FLA Reading Logic'!$A$22:$B$53,2,FALSE))-(IF(VLOOKUP(AE24,'FLA Reading Logic'!$A$22:$B$53,2,FALSE)&lt;=VLOOKUP(AF24,'FLA Reading Logic'!$A$22:$B$53,2,FALSE),VLOOKUP(AF24,'FLA Reading Logic'!$A$22:$B$53,2,FALSE),IF(VLOOKUP(AE24,'FLA Reading Logic'!$A$22:$B$53,2,FALSE)&gt;=VLOOKUP(AG24,'FLA Reading Logic'!$A$22:$B$53,2,FALSE),VLOOKUP(AG24,'FLA Reading Logic'!$A$22:$B$53,2,FALSE),"No Score")))),"No Value"))</f>
        <v>No Value</v>
      </c>
      <c r="AI24" s="96" t="str">
        <f>IFERROR(VLOOKUP(AE24,'FLA Reading Logic'!$A$22:$B$48,2,FALSE)-VLOOKUP($F24,'FLA Reading Logic'!$A$22:$B$48,2,FALSE),"No Value")</f>
        <v>No Value</v>
      </c>
      <c r="AJ24" s="96" t="str">
        <f>IF($E24="Yes","IPP",IFERROR(IF(AND(AE24&gt;$J24,AE24&lt;$K24),"0",(VLOOKUP(AE24,'FLA Reading Logic'!$A$22:$B$53,2,FALSE))-(IF(VLOOKUP(AE24,'FLA Reading Logic'!$A$22:$B$53,2,FALSE)&lt;=VLOOKUP($J24,'FLA Reading Logic'!$A$22:$B$53,2,FALSE),VLOOKUP($J24,'FLA Reading Logic'!$A$22:$B$53,2,FALSE),IF(VLOOKUP(AE24,'FLA Reading Logic'!$A$22:$B$53,2,FALSE)&gt;=VLOOKUP($K24,'FLA Reading Logic'!$A$22:$B$53,2,FALSE),VLOOKUP($K24,'FLA Reading Logic'!$A$22:$B$53,2,FALSE),"No Score")))),"No Value"))</f>
        <v>No Value</v>
      </c>
      <c r="AK24" s="179"/>
      <c r="AL24" s="96" t="str">
        <f>IFERROR(IF($E24="Yes","IPP",VLOOKUP($L24,'FLA Reading Logic'!$A$3:$K$9,VLOOKUP(AK$1,'FLA Reading Logic'!$J$22:$K$31,2,FALSE),FALSE)),"Set Grade")</f>
        <v>Set Grade</v>
      </c>
      <c r="AM24" s="96" t="str">
        <f>IFERROR(IF($E24="Yes","IPP",VLOOKUP($L24,'FLA Reading Logic'!$A$13:$K$19,VLOOKUP(AK$1,'FLA Reading Logic'!$J$22:$K$31,2,FALSE),FALSE)),"Set Grade")</f>
        <v>Set Grade</v>
      </c>
      <c r="AN24" s="98" t="str">
        <f>IF($E24="Yes","IPP",IFERROR(IF(AND(AK24&gt;AL24,AK24&lt;AM24),"0",(VLOOKUP(AK24,'FLA Reading Logic'!$A$22:$B$53,2,FALSE))-(IF(VLOOKUP(AK24,'FLA Reading Logic'!$A$22:$B$53,2,FALSE)&lt;=VLOOKUP(AL24,'FLA Reading Logic'!$A$22:$B$53,2,FALSE),VLOOKUP(AL24,'FLA Reading Logic'!$A$22:$B$53,2,FALSE),IF(VLOOKUP(AK24,'FLA Reading Logic'!$A$22:$B$53,2,FALSE)&gt;=VLOOKUP(AM24,'FLA Reading Logic'!$A$22:$B$53,2,FALSE),VLOOKUP(AM24,'FLA Reading Logic'!$A$22:$B$53,2,FALSE),"No Score")))),"No Value"))</f>
        <v>No Value</v>
      </c>
      <c r="AO24" s="96" t="str">
        <f>IFERROR(VLOOKUP(AK24,'FLA Reading Logic'!$A$22:$B$48,2,FALSE)-VLOOKUP($F24,'FLA Reading Logic'!$A$22:$B$48,2,FALSE),"No Value")</f>
        <v>No Value</v>
      </c>
      <c r="AP24" s="96" t="str">
        <f>IF($E24="Yes","IPP",IFERROR(IF(AND(AK24&gt;$J24,AK24&lt;$K24),"0",(VLOOKUP(AK24,'FLA Reading Logic'!$A$22:$B$53,2,FALSE))-(IF(VLOOKUP(AK24,'FLA Reading Logic'!$A$22:$B$53,2,FALSE)&lt;=VLOOKUP($J24,'FLA Reading Logic'!$A$22:$B$53,2,FALSE),VLOOKUP($J24,'FLA Reading Logic'!$A$22:$B$53,2,FALSE),IF(VLOOKUP(AK24,'FLA Reading Logic'!$A$22:$B$53,2,FALSE)&gt;=VLOOKUP($K24,'FLA Reading Logic'!$A$22:$B$53,2,FALSE),VLOOKUP($K24,'FLA Reading Logic'!$A$22:$B$53,2,FALSE),"No Score")))),"No Value"))</f>
        <v>No Value</v>
      </c>
      <c r="AQ24" s="179"/>
      <c r="AR24" s="96" t="str">
        <f>IFERROR(IF($E24="Yes","IPP",VLOOKUP($L24,'FLA Reading Logic'!$A$3:$K$9,VLOOKUP(AQ$1,'FLA Reading Logic'!$J$22:$K$31,2,FALSE),FALSE)),"Set Grade")</f>
        <v>Set Grade</v>
      </c>
      <c r="AS24" s="96" t="str">
        <f>IFERROR(IF($E24="Yes","IPP",VLOOKUP($L24,'FLA Reading Logic'!$A$13:$K$19,VLOOKUP(AQ$1,'FLA Reading Logic'!$J$22:$K$31,2,FALSE),FALSE)),"Set Grade")</f>
        <v>Set Grade</v>
      </c>
      <c r="AT24" s="98" t="str">
        <f>IF($E24="Yes","IPP",IFERROR(IF(AND(AQ24&gt;AR24,AQ24&lt;AS24),"0",(VLOOKUP(AQ24,'FLA Reading Logic'!$A$22:$B$53,2,FALSE))-(IF(VLOOKUP(AQ24,'FLA Reading Logic'!$A$22:$B$53,2,FALSE)&lt;=VLOOKUP(AR24,'FLA Reading Logic'!$A$22:$B$53,2,FALSE),VLOOKUP(AR24,'FLA Reading Logic'!$A$22:$B$53,2,FALSE),IF(VLOOKUP(AQ24,'FLA Reading Logic'!$A$22:$B$53,2,FALSE)&gt;=VLOOKUP(AS24,'FLA Reading Logic'!$A$22:$B$53,2,FALSE),VLOOKUP(AS24,'FLA Reading Logic'!$A$22:$B$53,2,FALSE),"No Score")))),"No Value"))</f>
        <v>No Value</v>
      </c>
      <c r="AU24" s="96" t="str">
        <f>IFERROR(VLOOKUP(AQ24,'FLA Reading Logic'!$A$22:$B$48,2,FALSE)-VLOOKUP($F24,'FLA Reading Logic'!$A$22:$B$48,2,FALSE),"No Value")</f>
        <v>No Value</v>
      </c>
      <c r="AV24" s="96" t="str">
        <f>IF($E24="Yes","IPP",IFERROR(IF(AND(AQ24&gt;$J24,AQ24&lt;$K24),"0",(VLOOKUP(AQ24,'FLA Reading Logic'!$A$22:$B$53,2,FALSE))-(IF(VLOOKUP(AQ24,'FLA Reading Logic'!$A$22:$B$53,2,FALSE)&lt;=VLOOKUP($J24,'FLA Reading Logic'!$A$22:$B$53,2,FALSE),VLOOKUP($J24,'FLA Reading Logic'!$A$22:$B$53,2,FALSE),IF(VLOOKUP(AQ24,'FLA Reading Logic'!$A$22:$B$53,2,FALSE)&gt;=VLOOKUP($K24,'FLA Reading Logic'!$A$22:$B$53,2,FALSE),VLOOKUP($K24,'FLA Reading Logic'!$A$22:$B$53,2,FALSE),"No Score")))),"No Value"))</f>
        <v>No Value</v>
      </c>
      <c r="AW24" s="179"/>
      <c r="AX24" s="96" t="str">
        <f>IFERROR(IF($E24="Yes","IPP",VLOOKUP($L24,'FLA Reading Logic'!$A$3:$K$9,VLOOKUP(AW$1,'FLA Reading Logic'!$J$22:$K$31,2,FALSE),FALSE)),"Set Grade")</f>
        <v>Set Grade</v>
      </c>
      <c r="AY24" s="96" t="str">
        <f>IFERROR(IF($E24="Yes","IPP",VLOOKUP($L24,'FLA Reading Logic'!$A$13:$K$19,VLOOKUP(AW$1,'FLA Reading Logic'!$J$22:$K$31,2,FALSE),FALSE)),"Set Grade")</f>
        <v>Set Grade</v>
      </c>
      <c r="AZ24" s="98" t="str">
        <f>IF($E24="Yes","IPP",IFERROR(IF(AND(AW24&gt;AX24,AW24&lt;AY24),"0",(VLOOKUP(AW24,'FLA Reading Logic'!$A$22:$B$53,2,FALSE))-(IF(VLOOKUP(AW24,'FLA Reading Logic'!$A$22:$B$53,2,FALSE)&lt;=VLOOKUP(AX24,'FLA Reading Logic'!$A$22:$B$53,2,FALSE),VLOOKUP(AX24,'FLA Reading Logic'!$A$22:$B$53,2,FALSE),IF(VLOOKUP(AW24,'FLA Reading Logic'!$A$22:$B$53,2,FALSE)&gt;=VLOOKUP(AY24,'FLA Reading Logic'!$A$22:$B$53,2,FALSE),VLOOKUP(AY24,'FLA Reading Logic'!$A$22:$B$53,2,FALSE),"No Score")))),"No Value"))</f>
        <v>No Value</v>
      </c>
      <c r="BA24" s="96" t="str">
        <f>IFERROR(VLOOKUP(AW24,'FLA Reading Logic'!$A$22:$B$48,2,FALSE)-VLOOKUP($F24,'FLA Reading Logic'!$A$22:$B$48,2,FALSE),"No Value")</f>
        <v>No Value</v>
      </c>
      <c r="BB24" s="96" t="str">
        <f>IF($E24="Yes","IPP",IFERROR(IF(AND(AW24&gt;$J24,AW24&lt;$K24),"0",(VLOOKUP(AW24,'FLA Reading Logic'!$A$22:$B$53,2,FALSE))-(IF(VLOOKUP(AW24,'FLA Reading Logic'!$A$22:$B$53,2,FALSE)&lt;=VLOOKUP($J24,'FLA Reading Logic'!$A$22:$B$53,2,FALSE),VLOOKUP($J24,'FLA Reading Logic'!$A$22:$B$53,2,FALSE),IF(VLOOKUP(AW24,'FLA Reading Logic'!$A$22:$B$53,2,FALSE)&gt;=VLOOKUP($K24,'FLA Reading Logic'!$A$22:$B$53,2,FALSE),VLOOKUP($K24,'FLA Reading Logic'!$A$22:$B$53,2,FALSE),"No Score")))),"No Value"))</f>
        <v>No Value</v>
      </c>
    </row>
    <row r="25" spans="1:54" ht="26.25" customHeight="1" thickBot="1" x14ac:dyDescent="0.3">
      <c r="A25" s="96"/>
      <c r="B25" s="98"/>
      <c r="C25" s="98"/>
      <c r="D25" s="98"/>
      <c r="E25" s="179"/>
      <c r="F25" s="92"/>
      <c r="G25" s="98" t="str">
        <f>IFERROR(IF($E25="Yes","IPP",VLOOKUP($J25,'ELA Reading Logic'!$A$3:$K$9,VLOOKUP("September",'ELA Reading Logic'!$J$22:$K$31,2,FALSE),FALSE)),"Set Grade")</f>
        <v>Set Grade</v>
      </c>
      <c r="H25" s="98" t="str">
        <f>IFERROR(IF($E25="Yes","IPP",VLOOKUP($J25,'ELA Reading Logic'!$A$13:$K$19,VLOOKUP("September",'ELA Reading Logic'!$J$22:$K$31,2,FALSE),FALSE)),"Set Grade")</f>
        <v>Set Grade</v>
      </c>
      <c r="I25" s="98" t="str">
        <f>IF($E25="Yes","IPP",IFERROR(IF(AND(F25&gt;G25,F25&lt;H25),"0",(VLOOKUP(F25,'ELA Reading Logic'!$A$22:$B$48,2,FALSE))-(IF(VLOOKUP(F25,'ELA Reading Logic'!$A$22:$B$48,2,FALSE)&lt;=VLOOKUP(G25,'ELA Reading Logic'!$A$22:$B$48,2,FALSE),VLOOKUP(G25,'ELA Reading Logic'!$A$22:$B$48,2,FALSE),IF(VLOOKUP(F25,'ELA Reading Logic'!$A$22:$B$48,2,FALSE)&gt;=VLOOKUP(H25,'ELA Reading Logic'!$A$22:$B$48,2,FALSE),VLOOKUP(H25,'ELA Reading Logic'!$A$22:$B$48,2,FALSE),"No Score")))),"No Value"))</f>
        <v>No Value</v>
      </c>
      <c r="J25" s="96" t="str">
        <f>IFERROR(VLOOKUP($L25,'FLA Reading Logic'!$A$3:$K$9,11,FALSE),"Set Grade")</f>
        <v>Set Grade</v>
      </c>
      <c r="K25" s="96" t="str">
        <f>IFERROR(VLOOKUP($L25,'FLA Reading Logic'!$A$13:$K$19,11,FALSE),"Set Grade")</f>
        <v>Set Grade</v>
      </c>
      <c r="L25" s="180"/>
      <c r="M25" s="98"/>
      <c r="N25" s="98"/>
      <c r="O25" s="98"/>
      <c r="P25" s="98"/>
      <c r="Q25" s="98"/>
      <c r="R25" s="181"/>
      <c r="S25" s="182"/>
      <c r="T25" s="98" t="str">
        <f>IFERROR(IF($E25="Yes","IPP",VLOOKUP($L25,'FLA Reading Logic'!$A$3:$K$9,VLOOKUP(S$1,'FLA Reading Logic'!$J$22:$K$31,2,FALSE),FALSE)),"Set Grade")</f>
        <v>Set Grade</v>
      </c>
      <c r="U25" s="98" t="str">
        <f>IFERROR(IF($E25="Yes","IPP",VLOOKUP($L25,'FLA Reading Logic'!$A$13:$K$19,VLOOKUP(S$1,'FLA Reading Logic'!$J$22:$K$31,2,FALSE),FALSE)),"Set Grade")</f>
        <v>Set Grade</v>
      </c>
      <c r="V25" s="98" t="str">
        <f>IF($E25="Yes","IPP",IFERROR(IF(AND(S25&gt;T25,S25&lt;U25),"0",(VLOOKUP(S25,'FLA Reading Logic'!$A$22:$B$53,2,FALSE))-(IF(VLOOKUP(S25,'FLA Reading Logic'!$A$22:$B$53,2,FALSE)&lt;=VLOOKUP(T25,'FLA Reading Logic'!$A$22:$B$53,2,FALSE),VLOOKUP(T25,'FLA Reading Logic'!$A$22:$B$53,2,FALSE),IF(VLOOKUP(S25,'FLA Reading Logic'!$A$22:$B$53,2,FALSE)&gt;=VLOOKUP(U25,'FLA Reading Logic'!$A$22:$B$53,2,FALSE),VLOOKUP(U25,'FLA Reading Logic'!$A$22:$B$53,2,FALSE),"No Score")))),"No Value"))</f>
        <v>No Value</v>
      </c>
      <c r="W25" s="98" t="str">
        <f>IFERROR(VLOOKUP(S25,'FLA Reading Logic'!$A$22:$B$53,2,FALSE)-VLOOKUP($F25,'FLA Reading Logic'!$A$22:$B$53,2,FALSE),"No Value")</f>
        <v>No Value</v>
      </c>
      <c r="X25" s="96" t="str">
        <f>IF($E25="Yes","IPP",IFERROR(IF(AND(S25&gt;$J25,S25&lt;$K25),"0",(VLOOKUP(S25,'FLA Reading Logic'!$A$22:$B$53,2,FALSE))-(IF(VLOOKUP(S25,'FLA Reading Logic'!$A$22:$B$53,2,FALSE)&lt;=VLOOKUP($J25,'FLA Reading Logic'!$A$22:$B$53,2,FALSE),VLOOKUP($J25,'FLA Reading Logic'!$A$22:$B$53,2,FALSE),IF(VLOOKUP(S25,'FLA Reading Logic'!$A$22:$B$53,2,FALSE)&gt;=VLOOKUP($K25,'FLA Reading Logic'!$A$22:$B$53,2,FALSE),VLOOKUP($K25,'FLA Reading Logic'!$A$22:$B$53,2,FALSE),"No Score")))),"No Value"))</f>
        <v>No Value</v>
      </c>
      <c r="Y25" s="179"/>
      <c r="Z25" s="98" t="str">
        <f>IFERROR(IF($E25="Yes","IPP",VLOOKUP($L25,'FLA Reading Logic'!$A$3:$K$9,VLOOKUP(Y$1,'FLA Reading Logic'!$J$22:$K$31,2,FALSE),FALSE)),"Set Grade")</f>
        <v>Set Grade</v>
      </c>
      <c r="AA25" s="98" t="str">
        <f>IFERROR(IF($E25="Yes","IPP",VLOOKUP($L25,'FLA Reading Logic'!$A$13:$K$19,VLOOKUP(Y$1,'FLA Reading Logic'!$J$22:$K$31,2,FALSE),FALSE)),"Set Grade")</f>
        <v>Set Grade</v>
      </c>
      <c r="AB25" s="98" t="str">
        <f>IF($E25="Yes","IPP",IFERROR(IF(AND(Y25&gt;Z25,Y25&lt;AA25),"0",(VLOOKUP(Y25,'FLA Reading Logic'!$A$22:$B$53,2,FALSE))-(IF(VLOOKUP(Y25,'FLA Reading Logic'!$A$22:$B$53,2,FALSE)&lt;=VLOOKUP(Z25,'FLA Reading Logic'!$A$22:$B$53,2,FALSE),VLOOKUP(Z25,'FLA Reading Logic'!$A$22:$B$53,2,FALSE),IF(VLOOKUP(Y25,'FLA Reading Logic'!$A$22:$B$53,2,FALSE)&gt;=VLOOKUP(AA25,'FLA Reading Logic'!$A$22:$B$53,2,FALSE),VLOOKUP(AA25,'FLA Reading Logic'!$A$22:$B$53,2,FALSE),"No Score")))),"No Value"))</f>
        <v>No Value</v>
      </c>
      <c r="AC25" s="97" t="str">
        <f>IFERROR(VLOOKUP(Y25,'FLA Reading Logic'!$A$22:$B$48,2,FALSE)-VLOOKUP($F25,'FLA Reading Logic'!$A$22:$B$48,2,FALSE),"No Value")</f>
        <v>No Value</v>
      </c>
      <c r="AD25" s="96" t="str">
        <f>IF($E25="Yes","IPP",IFERROR(IF(AND(Y25&gt;$J25,Y25&lt;$K25),"0",(VLOOKUP(Y25,'FLA Reading Logic'!$A$22:$B$53,2,FALSE))-(IF(VLOOKUP(Y25,'FLA Reading Logic'!$A$22:$B$53,2,FALSE)&lt;=VLOOKUP($J25,'FLA Reading Logic'!$A$22:$B$53,2,FALSE),VLOOKUP($J25,'FLA Reading Logic'!$A$22:$B$53,2,FALSE),IF(VLOOKUP(Y25,'FLA Reading Logic'!$A$22:$B$53,2,FALSE)&gt;=VLOOKUP($K25,'FLA Reading Logic'!$A$22:$B$53,2,FALSE),VLOOKUP($K25,'FLA Reading Logic'!$A$22:$B$53,2,FALSE),"No Score")))),"No Value"))</f>
        <v>No Value</v>
      </c>
      <c r="AE25" s="179"/>
      <c r="AF25" s="96" t="str">
        <f>IFERROR(IF($E25="Yes","IPP",VLOOKUP($L25,'FLA Reading Logic'!$A$3:$K$9,VLOOKUP(AE$1,'FLA Reading Logic'!$J$22:$K$31,2,FALSE),FALSE)),"Set Grade")</f>
        <v>Set Grade</v>
      </c>
      <c r="AG25" s="96" t="str">
        <f>IFERROR(IF($E25="Yes","IPP",VLOOKUP($L25,'FLA Reading Logic'!$A$13:$K$19,VLOOKUP(AE$1,'FLA Reading Logic'!$J$22:$K$31,2,FALSE),FALSE)),"Set Grade")</f>
        <v>Set Grade</v>
      </c>
      <c r="AH25" s="98" t="str">
        <f>IF($E25="Yes","IPP",IFERROR(IF(AND(AE25&gt;AF25,AE25&lt;AG25),"0",(VLOOKUP(AE25,'FLA Reading Logic'!$A$22:$B$53,2,FALSE))-(IF(VLOOKUP(AE25,'FLA Reading Logic'!$A$22:$B$53,2,FALSE)&lt;=VLOOKUP(AF25,'FLA Reading Logic'!$A$22:$B$53,2,FALSE),VLOOKUP(AF25,'FLA Reading Logic'!$A$22:$B$53,2,FALSE),IF(VLOOKUP(AE25,'FLA Reading Logic'!$A$22:$B$53,2,FALSE)&gt;=VLOOKUP(AG25,'FLA Reading Logic'!$A$22:$B$53,2,FALSE),VLOOKUP(AG25,'FLA Reading Logic'!$A$22:$B$53,2,FALSE),"No Score")))),"No Value"))</f>
        <v>No Value</v>
      </c>
      <c r="AI25" s="96" t="str">
        <f>IFERROR(VLOOKUP(AE25,'FLA Reading Logic'!$A$22:$B$48,2,FALSE)-VLOOKUP($F25,'FLA Reading Logic'!$A$22:$B$48,2,FALSE),"No Value")</f>
        <v>No Value</v>
      </c>
      <c r="AJ25" s="96" t="str">
        <f>IF($E25="Yes","IPP",IFERROR(IF(AND(AE25&gt;$J25,AE25&lt;$K25),"0",(VLOOKUP(AE25,'FLA Reading Logic'!$A$22:$B$53,2,FALSE))-(IF(VLOOKUP(AE25,'FLA Reading Logic'!$A$22:$B$53,2,FALSE)&lt;=VLOOKUP($J25,'FLA Reading Logic'!$A$22:$B$53,2,FALSE),VLOOKUP($J25,'FLA Reading Logic'!$A$22:$B$53,2,FALSE),IF(VLOOKUP(AE25,'FLA Reading Logic'!$A$22:$B$53,2,FALSE)&gt;=VLOOKUP($K25,'FLA Reading Logic'!$A$22:$B$53,2,FALSE),VLOOKUP($K25,'FLA Reading Logic'!$A$22:$B$53,2,FALSE),"No Score")))),"No Value"))</f>
        <v>No Value</v>
      </c>
      <c r="AK25" s="179"/>
      <c r="AL25" s="96" t="str">
        <f>IFERROR(IF($E25="Yes","IPP",VLOOKUP($L25,'FLA Reading Logic'!$A$3:$K$9,VLOOKUP(AK$1,'FLA Reading Logic'!$J$22:$K$31,2,FALSE),FALSE)),"Set Grade")</f>
        <v>Set Grade</v>
      </c>
      <c r="AM25" s="96" t="str">
        <f>IFERROR(IF($E25="Yes","IPP",VLOOKUP($L25,'FLA Reading Logic'!$A$13:$K$19,VLOOKUP(AK$1,'FLA Reading Logic'!$J$22:$K$31,2,FALSE),FALSE)),"Set Grade")</f>
        <v>Set Grade</v>
      </c>
      <c r="AN25" s="98" t="str">
        <f>IF($E25="Yes","IPP",IFERROR(IF(AND(AK25&gt;AL25,AK25&lt;AM25),"0",(VLOOKUP(AK25,'FLA Reading Logic'!$A$22:$B$53,2,FALSE))-(IF(VLOOKUP(AK25,'FLA Reading Logic'!$A$22:$B$53,2,FALSE)&lt;=VLOOKUP(AL25,'FLA Reading Logic'!$A$22:$B$53,2,FALSE),VLOOKUP(AL25,'FLA Reading Logic'!$A$22:$B$53,2,FALSE),IF(VLOOKUP(AK25,'FLA Reading Logic'!$A$22:$B$53,2,FALSE)&gt;=VLOOKUP(AM25,'FLA Reading Logic'!$A$22:$B$53,2,FALSE),VLOOKUP(AM25,'FLA Reading Logic'!$A$22:$B$53,2,FALSE),"No Score")))),"No Value"))</f>
        <v>No Value</v>
      </c>
      <c r="AO25" s="96" t="str">
        <f>IFERROR(VLOOKUP(AK25,'FLA Reading Logic'!$A$22:$B$48,2,FALSE)-VLOOKUP($F25,'FLA Reading Logic'!$A$22:$B$48,2,FALSE),"No Value")</f>
        <v>No Value</v>
      </c>
      <c r="AP25" s="96" t="str">
        <f>IF($E25="Yes","IPP",IFERROR(IF(AND(AK25&gt;$J25,AK25&lt;$K25),"0",(VLOOKUP(AK25,'FLA Reading Logic'!$A$22:$B$53,2,FALSE))-(IF(VLOOKUP(AK25,'FLA Reading Logic'!$A$22:$B$53,2,FALSE)&lt;=VLOOKUP($J25,'FLA Reading Logic'!$A$22:$B$53,2,FALSE),VLOOKUP($J25,'FLA Reading Logic'!$A$22:$B$53,2,FALSE),IF(VLOOKUP(AK25,'FLA Reading Logic'!$A$22:$B$53,2,FALSE)&gt;=VLOOKUP($K25,'FLA Reading Logic'!$A$22:$B$53,2,FALSE),VLOOKUP($K25,'FLA Reading Logic'!$A$22:$B$53,2,FALSE),"No Score")))),"No Value"))</f>
        <v>No Value</v>
      </c>
      <c r="AQ25" s="179"/>
      <c r="AR25" s="96" t="str">
        <f>IFERROR(IF($E25="Yes","IPP",VLOOKUP($L25,'FLA Reading Logic'!$A$3:$K$9,VLOOKUP(AQ$1,'FLA Reading Logic'!$J$22:$K$31,2,FALSE),FALSE)),"Set Grade")</f>
        <v>Set Grade</v>
      </c>
      <c r="AS25" s="96" t="str">
        <f>IFERROR(IF($E25="Yes","IPP",VLOOKUP($L25,'FLA Reading Logic'!$A$13:$K$19,VLOOKUP(AQ$1,'FLA Reading Logic'!$J$22:$K$31,2,FALSE),FALSE)),"Set Grade")</f>
        <v>Set Grade</v>
      </c>
      <c r="AT25" s="98" t="str">
        <f>IF($E25="Yes","IPP",IFERROR(IF(AND(AQ25&gt;AR25,AQ25&lt;AS25),"0",(VLOOKUP(AQ25,'FLA Reading Logic'!$A$22:$B$53,2,FALSE))-(IF(VLOOKUP(AQ25,'FLA Reading Logic'!$A$22:$B$53,2,FALSE)&lt;=VLOOKUP(AR25,'FLA Reading Logic'!$A$22:$B$53,2,FALSE),VLOOKUP(AR25,'FLA Reading Logic'!$A$22:$B$53,2,FALSE),IF(VLOOKUP(AQ25,'FLA Reading Logic'!$A$22:$B$53,2,FALSE)&gt;=VLOOKUP(AS25,'FLA Reading Logic'!$A$22:$B$53,2,FALSE),VLOOKUP(AS25,'FLA Reading Logic'!$A$22:$B$53,2,FALSE),"No Score")))),"No Value"))</f>
        <v>No Value</v>
      </c>
      <c r="AU25" s="96" t="str">
        <f>IFERROR(VLOOKUP(AQ25,'FLA Reading Logic'!$A$22:$B$48,2,FALSE)-VLOOKUP($F25,'FLA Reading Logic'!$A$22:$B$48,2,FALSE),"No Value")</f>
        <v>No Value</v>
      </c>
      <c r="AV25" s="96" t="str">
        <f>IF($E25="Yes","IPP",IFERROR(IF(AND(AQ25&gt;$J25,AQ25&lt;$K25),"0",(VLOOKUP(AQ25,'FLA Reading Logic'!$A$22:$B$53,2,FALSE))-(IF(VLOOKUP(AQ25,'FLA Reading Logic'!$A$22:$B$53,2,FALSE)&lt;=VLOOKUP($J25,'FLA Reading Logic'!$A$22:$B$53,2,FALSE),VLOOKUP($J25,'FLA Reading Logic'!$A$22:$B$53,2,FALSE),IF(VLOOKUP(AQ25,'FLA Reading Logic'!$A$22:$B$53,2,FALSE)&gt;=VLOOKUP($K25,'FLA Reading Logic'!$A$22:$B$53,2,FALSE),VLOOKUP($K25,'FLA Reading Logic'!$A$22:$B$53,2,FALSE),"No Score")))),"No Value"))</f>
        <v>No Value</v>
      </c>
      <c r="AW25" s="179"/>
      <c r="AX25" s="96" t="str">
        <f>IFERROR(IF($E25="Yes","IPP",VLOOKUP($L25,'FLA Reading Logic'!$A$3:$K$9,VLOOKUP(AW$1,'FLA Reading Logic'!$J$22:$K$31,2,FALSE),FALSE)),"Set Grade")</f>
        <v>Set Grade</v>
      </c>
      <c r="AY25" s="96" t="str">
        <f>IFERROR(IF($E25="Yes","IPP",VLOOKUP($L25,'FLA Reading Logic'!$A$13:$K$19,VLOOKUP(AW$1,'FLA Reading Logic'!$J$22:$K$31,2,FALSE),FALSE)),"Set Grade")</f>
        <v>Set Grade</v>
      </c>
      <c r="AZ25" s="98" t="str">
        <f>IF($E25="Yes","IPP",IFERROR(IF(AND(AW25&gt;AX25,AW25&lt;AY25),"0",(VLOOKUP(AW25,'FLA Reading Logic'!$A$22:$B$53,2,FALSE))-(IF(VLOOKUP(AW25,'FLA Reading Logic'!$A$22:$B$53,2,FALSE)&lt;=VLOOKUP(AX25,'FLA Reading Logic'!$A$22:$B$53,2,FALSE),VLOOKUP(AX25,'FLA Reading Logic'!$A$22:$B$53,2,FALSE),IF(VLOOKUP(AW25,'FLA Reading Logic'!$A$22:$B$53,2,FALSE)&gt;=VLOOKUP(AY25,'FLA Reading Logic'!$A$22:$B$53,2,FALSE),VLOOKUP(AY25,'FLA Reading Logic'!$A$22:$B$53,2,FALSE),"No Score")))),"No Value"))</f>
        <v>No Value</v>
      </c>
      <c r="BA25" s="96" t="str">
        <f>IFERROR(VLOOKUP(AW25,'FLA Reading Logic'!$A$22:$B$48,2,FALSE)-VLOOKUP($F25,'FLA Reading Logic'!$A$22:$B$48,2,FALSE),"No Value")</f>
        <v>No Value</v>
      </c>
      <c r="BB25" s="96" t="str">
        <f>IF($E25="Yes","IPP",IFERROR(IF(AND(AW25&gt;$J25,AW25&lt;$K25),"0",(VLOOKUP(AW25,'FLA Reading Logic'!$A$22:$B$53,2,FALSE))-(IF(VLOOKUP(AW25,'FLA Reading Logic'!$A$22:$B$53,2,FALSE)&lt;=VLOOKUP($J25,'FLA Reading Logic'!$A$22:$B$53,2,FALSE),VLOOKUP($J25,'FLA Reading Logic'!$A$22:$B$53,2,FALSE),IF(VLOOKUP(AW25,'FLA Reading Logic'!$A$22:$B$53,2,FALSE)&gt;=VLOOKUP($K25,'FLA Reading Logic'!$A$22:$B$53,2,FALSE),VLOOKUP($K25,'FLA Reading Logic'!$A$22:$B$53,2,FALSE),"No Score")))),"No Value"))</f>
        <v>No Value</v>
      </c>
    </row>
    <row r="26" spans="1:54" ht="26.25" customHeight="1" thickBot="1" x14ac:dyDescent="0.3">
      <c r="A26" s="96"/>
      <c r="B26" s="98"/>
      <c r="C26" s="98"/>
      <c r="D26" s="98"/>
      <c r="E26" s="179"/>
      <c r="F26" s="92"/>
      <c r="G26" s="98" t="str">
        <f>IFERROR(IF($E26="Yes","IPP",VLOOKUP($J26,'ELA Reading Logic'!$A$3:$K$9,VLOOKUP("September",'ELA Reading Logic'!$J$22:$K$31,2,FALSE),FALSE)),"Set Grade")</f>
        <v>Set Grade</v>
      </c>
      <c r="H26" s="98" t="str">
        <f>IFERROR(IF($E26="Yes","IPP",VLOOKUP($J26,'ELA Reading Logic'!$A$13:$K$19,VLOOKUP("September",'ELA Reading Logic'!$J$22:$K$31,2,FALSE),FALSE)),"Set Grade")</f>
        <v>Set Grade</v>
      </c>
      <c r="I26" s="98" t="str">
        <f>IF($E26="Yes","IPP",IFERROR(IF(AND(F26&gt;G26,F26&lt;H26),"0",(VLOOKUP(F26,'ELA Reading Logic'!$A$22:$B$48,2,FALSE))-(IF(VLOOKUP(F26,'ELA Reading Logic'!$A$22:$B$48,2,FALSE)&lt;=VLOOKUP(G26,'ELA Reading Logic'!$A$22:$B$48,2,FALSE),VLOOKUP(G26,'ELA Reading Logic'!$A$22:$B$48,2,FALSE),IF(VLOOKUP(F26,'ELA Reading Logic'!$A$22:$B$48,2,FALSE)&gt;=VLOOKUP(H26,'ELA Reading Logic'!$A$22:$B$48,2,FALSE),VLOOKUP(H26,'ELA Reading Logic'!$A$22:$B$48,2,FALSE),"No Score")))),"No Value"))</f>
        <v>No Value</v>
      </c>
      <c r="J26" s="96" t="str">
        <f>IFERROR(VLOOKUP($L26,'FLA Reading Logic'!$A$3:$K$9,11,FALSE),"Set Grade")</f>
        <v>Set Grade</v>
      </c>
      <c r="K26" s="96" t="str">
        <f>IFERROR(VLOOKUP($L26,'FLA Reading Logic'!$A$13:$K$19,11,FALSE),"Set Grade")</f>
        <v>Set Grade</v>
      </c>
      <c r="L26" s="180"/>
      <c r="M26" s="98"/>
      <c r="N26" s="98"/>
      <c r="O26" s="98"/>
      <c r="P26" s="98"/>
      <c r="Q26" s="98"/>
      <c r="R26" s="181"/>
      <c r="S26" s="182"/>
      <c r="T26" s="98" t="str">
        <f>IFERROR(IF($E26="Yes","IPP",VLOOKUP($L26,'FLA Reading Logic'!$A$3:$K$9,VLOOKUP(S$1,'FLA Reading Logic'!$J$22:$K$31,2,FALSE),FALSE)),"Set Grade")</f>
        <v>Set Grade</v>
      </c>
      <c r="U26" s="98" t="str">
        <f>IFERROR(IF($E26="Yes","IPP",VLOOKUP($L26,'FLA Reading Logic'!$A$13:$K$19,VLOOKUP(S$1,'FLA Reading Logic'!$J$22:$K$31,2,FALSE),FALSE)),"Set Grade")</f>
        <v>Set Grade</v>
      </c>
      <c r="V26" s="98" t="str">
        <f>IF($E26="Yes","IPP",IFERROR(IF(AND(S26&gt;T26,S26&lt;U26),"0",(VLOOKUP(S26,'FLA Reading Logic'!$A$22:$B$53,2,FALSE))-(IF(VLOOKUP(S26,'FLA Reading Logic'!$A$22:$B$53,2,FALSE)&lt;=VLOOKUP(T26,'FLA Reading Logic'!$A$22:$B$53,2,FALSE),VLOOKUP(T26,'FLA Reading Logic'!$A$22:$B$53,2,FALSE),IF(VLOOKUP(S26,'FLA Reading Logic'!$A$22:$B$53,2,FALSE)&gt;=VLOOKUP(U26,'FLA Reading Logic'!$A$22:$B$53,2,FALSE),VLOOKUP(U26,'FLA Reading Logic'!$A$22:$B$53,2,FALSE),"No Score")))),"No Value"))</f>
        <v>No Value</v>
      </c>
      <c r="W26" s="98" t="str">
        <f>IFERROR(VLOOKUP(S26,'FLA Reading Logic'!$A$22:$B$53,2,FALSE)-VLOOKUP($F26,'FLA Reading Logic'!$A$22:$B$53,2,FALSE),"No Value")</f>
        <v>No Value</v>
      </c>
      <c r="X26" s="96" t="str">
        <f>IF($E26="Yes","IPP",IFERROR(IF(AND(S26&gt;$J26,S26&lt;$K26),"0",(VLOOKUP(S26,'FLA Reading Logic'!$A$22:$B$53,2,FALSE))-(IF(VLOOKUP(S26,'FLA Reading Logic'!$A$22:$B$53,2,FALSE)&lt;=VLOOKUP($J26,'FLA Reading Logic'!$A$22:$B$53,2,FALSE),VLOOKUP($J26,'FLA Reading Logic'!$A$22:$B$53,2,FALSE),IF(VLOOKUP(S26,'FLA Reading Logic'!$A$22:$B$53,2,FALSE)&gt;=VLOOKUP($K26,'FLA Reading Logic'!$A$22:$B$53,2,FALSE),VLOOKUP($K26,'FLA Reading Logic'!$A$22:$B$53,2,FALSE),"No Score")))),"No Value"))</f>
        <v>No Value</v>
      </c>
      <c r="Y26" s="179"/>
      <c r="Z26" s="98" t="str">
        <f>IFERROR(IF($E26="Yes","IPP",VLOOKUP($L26,'FLA Reading Logic'!$A$3:$K$9,VLOOKUP(Y$1,'FLA Reading Logic'!$J$22:$K$31,2,FALSE),FALSE)),"Set Grade")</f>
        <v>Set Grade</v>
      </c>
      <c r="AA26" s="98" t="str">
        <f>IFERROR(IF($E26="Yes","IPP",VLOOKUP($L26,'FLA Reading Logic'!$A$13:$K$19,VLOOKUP(Y$1,'FLA Reading Logic'!$J$22:$K$31,2,FALSE),FALSE)),"Set Grade")</f>
        <v>Set Grade</v>
      </c>
      <c r="AB26" s="98" t="str">
        <f>IF($E26="Yes","IPP",IFERROR(IF(AND(Y26&gt;Z26,Y26&lt;AA26),"0",(VLOOKUP(Y26,'FLA Reading Logic'!$A$22:$B$53,2,FALSE))-(IF(VLOOKUP(Y26,'FLA Reading Logic'!$A$22:$B$53,2,FALSE)&lt;=VLOOKUP(Z26,'FLA Reading Logic'!$A$22:$B$53,2,FALSE),VLOOKUP(Z26,'FLA Reading Logic'!$A$22:$B$53,2,FALSE),IF(VLOOKUP(Y26,'FLA Reading Logic'!$A$22:$B$53,2,FALSE)&gt;=VLOOKUP(AA26,'FLA Reading Logic'!$A$22:$B$53,2,FALSE),VLOOKUP(AA26,'FLA Reading Logic'!$A$22:$B$53,2,FALSE),"No Score")))),"No Value"))</f>
        <v>No Value</v>
      </c>
      <c r="AC26" s="97" t="str">
        <f>IFERROR(VLOOKUP(Y26,'FLA Reading Logic'!$A$22:$B$48,2,FALSE)-VLOOKUP($F26,'FLA Reading Logic'!$A$22:$B$48,2,FALSE),"No Value")</f>
        <v>No Value</v>
      </c>
      <c r="AD26" s="96" t="str">
        <f>IF($E26="Yes","IPP",IFERROR(IF(AND(Y26&gt;$J26,Y26&lt;$K26),"0",(VLOOKUP(Y26,'FLA Reading Logic'!$A$22:$B$53,2,FALSE))-(IF(VLOOKUP(Y26,'FLA Reading Logic'!$A$22:$B$53,2,FALSE)&lt;=VLOOKUP($J26,'FLA Reading Logic'!$A$22:$B$53,2,FALSE),VLOOKUP($J26,'FLA Reading Logic'!$A$22:$B$53,2,FALSE),IF(VLOOKUP(Y26,'FLA Reading Logic'!$A$22:$B$53,2,FALSE)&gt;=VLOOKUP($K26,'FLA Reading Logic'!$A$22:$B$53,2,FALSE),VLOOKUP($K26,'FLA Reading Logic'!$A$22:$B$53,2,FALSE),"No Score")))),"No Value"))</f>
        <v>No Value</v>
      </c>
      <c r="AE26" s="179"/>
      <c r="AF26" s="96" t="str">
        <f>IFERROR(IF($E26="Yes","IPP",VLOOKUP($L26,'FLA Reading Logic'!$A$3:$K$9,VLOOKUP(AE$1,'FLA Reading Logic'!$J$22:$K$31,2,FALSE),FALSE)),"Set Grade")</f>
        <v>Set Grade</v>
      </c>
      <c r="AG26" s="96" t="str">
        <f>IFERROR(IF($E26="Yes","IPP",VLOOKUP($L26,'FLA Reading Logic'!$A$13:$K$19,VLOOKUP(AE$1,'FLA Reading Logic'!$J$22:$K$31,2,FALSE),FALSE)),"Set Grade")</f>
        <v>Set Grade</v>
      </c>
      <c r="AH26" s="98" t="str">
        <f>IF($E26="Yes","IPP",IFERROR(IF(AND(AE26&gt;AF26,AE26&lt;AG26),"0",(VLOOKUP(AE26,'FLA Reading Logic'!$A$22:$B$53,2,FALSE))-(IF(VLOOKUP(AE26,'FLA Reading Logic'!$A$22:$B$53,2,FALSE)&lt;=VLOOKUP(AF26,'FLA Reading Logic'!$A$22:$B$53,2,FALSE),VLOOKUP(AF26,'FLA Reading Logic'!$A$22:$B$53,2,FALSE),IF(VLOOKUP(AE26,'FLA Reading Logic'!$A$22:$B$53,2,FALSE)&gt;=VLOOKUP(AG26,'FLA Reading Logic'!$A$22:$B$53,2,FALSE),VLOOKUP(AG26,'FLA Reading Logic'!$A$22:$B$53,2,FALSE),"No Score")))),"No Value"))</f>
        <v>No Value</v>
      </c>
      <c r="AI26" s="96" t="str">
        <f>IFERROR(VLOOKUP(AE26,'FLA Reading Logic'!$A$22:$B$48,2,FALSE)-VLOOKUP($F26,'FLA Reading Logic'!$A$22:$B$48,2,FALSE),"No Value")</f>
        <v>No Value</v>
      </c>
      <c r="AJ26" s="96" t="str">
        <f>IF($E26="Yes","IPP",IFERROR(IF(AND(AE26&gt;$J26,AE26&lt;$K26),"0",(VLOOKUP(AE26,'FLA Reading Logic'!$A$22:$B$53,2,FALSE))-(IF(VLOOKUP(AE26,'FLA Reading Logic'!$A$22:$B$53,2,FALSE)&lt;=VLOOKUP($J26,'FLA Reading Logic'!$A$22:$B$53,2,FALSE),VLOOKUP($J26,'FLA Reading Logic'!$A$22:$B$53,2,FALSE),IF(VLOOKUP(AE26,'FLA Reading Logic'!$A$22:$B$53,2,FALSE)&gt;=VLOOKUP($K26,'FLA Reading Logic'!$A$22:$B$53,2,FALSE),VLOOKUP($K26,'FLA Reading Logic'!$A$22:$B$53,2,FALSE),"No Score")))),"No Value"))</f>
        <v>No Value</v>
      </c>
      <c r="AK26" s="179"/>
      <c r="AL26" s="96" t="str">
        <f>IFERROR(IF($E26="Yes","IPP",VLOOKUP($L26,'FLA Reading Logic'!$A$3:$K$9,VLOOKUP(AK$1,'FLA Reading Logic'!$J$22:$K$31,2,FALSE),FALSE)),"Set Grade")</f>
        <v>Set Grade</v>
      </c>
      <c r="AM26" s="96" t="str">
        <f>IFERROR(IF($E26="Yes","IPP",VLOOKUP($L26,'FLA Reading Logic'!$A$13:$K$19,VLOOKUP(AK$1,'FLA Reading Logic'!$J$22:$K$31,2,FALSE),FALSE)),"Set Grade")</f>
        <v>Set Grade</v>
      </c>
      <c r="AN26" s="98" t="str">
        <f>IF($E26="Yes","IPP",IFERROR(IF(AND(AK26&gt;AL26,AK26&lt;AM26),"0",(VLOOKUP(AK26,'FLA Reading Logic'!$A$22:$B$53,2,FALSE))-(IF(VLOOKUP(AK26,'FLA Reading Logic'!$A$22:$B$53,2,FALSE)&lt;=VLOOKUP(AL26,'FLA Reading Logic'!$A$22:$B$53,2,FALSE),VLOOKUP(AL26,'FLA Reading Logic'!$A$22:$B$53,2,FALSE),IF(VLOOKUP(AK26,'FLA Reading Logic'!$A$22:$B$53,2,FALSE)&gt;=VLOOKUP(AM26,'FLA Reading Logic'!$A$22:$B$53,2,FALSE),VLOOKUP(AM26,'FLA Reading Logic'!$A$22:$B$53,2,FALSE),"No Score")))),"No Value"))</f>
        <v>No Value</v>
      </c>
      <c r="AO26" s="96" t="str">
        <f>IFERROR(VLOOKUP(AK26,'FLA Reading Logic'!$A$22:$B$48,2,FALSE)-VLOOKUP($F26,'FLA Reading Logic'!$A$22:$B$48,2,FALSE),"No Value")</f>
        <v>No Value</v>
      </c>
      <c r="AP26" s="96" t="str">
        <f>IF($E26="Yes","IPP",IFERROR(IF(AND(AK26&gt;$J26,AK26&lt;$K26),"0",(VLOOKUP(AK26,'FLA Reading Logic'!$A$22:$B$53,2,FALSE))-(IF(VLOOKUP(AK26,'FLA Reading Logic'!$A$22:$B$53,2,FALSE)&lt;=VLOOKUP($J26,'FLA Reading Logic'!$A$22:$B$53,2,FALSE),VLOOKUP($J26,'FLA Reading Logic'!$A$22:$B$53,2,FALSE),IF(VLOOKUP(AK26,'FLA Reading Logic'!$A$22:$B$53,2,FALSE)&gt;=VLOOKUP($K26,'FLA Reading Logic'!$A$22:$B$53,2,FALSE),VLOOKUP($K26,'FLA Reading Logic'!$A$22:$B$53,2,FALSE),"No Score")))),"No Value"))</f>
        <v>No Value</v>
      </c>
      <c r="AQ26" s="179"/>
      <c r="AR26" s="96" t="str">
        <f>IFERROR(IF($E26="Yes","IPP",VLOOKUP($L26,'FLA Reading Logic'!$A$3:$K$9,VLOOKUP(AQ$1,'FLA Reading Logic'!$J$22:$K$31,2,FALSE),FALSE)),"Set Grade")</f>
        <v>Set Grade</v>
      </c>
      <c r="AS26" s="96" t="str">
        <f>IFERROR(IF($E26="Yes","IPP",VLOOKUP($L26,'FLA Reading Logic'!$A$13:$K$19,VLOOKUP(AQ$1,'FLA Reading Logic'!$J$22:$K$31,2,FALSE),FALSE)),"Set Grade")</f>
        <v>Set Grade</v>
      </c>
      <c r="AT26" s="98" t="str">
        <f>IF($E26="Yes","IPP",IFERROR(IF(AND(AQ26&gt;AR26,AQ26&lt;AS26),"0",(VLOOKUP(AQ26,'FLA Reading Logic'!$A$22:$B$53,2,FALSE))-(IF(VLOOKUP(AQ26,'FLA Reading Logic'!$A$22:$B$53,2,FALSE)&lt;=VLOOKUP(AR26,'FLA Reading Logic'!$A$22:$B$53,2,FALSE),VLOOKUP(AR26,'FLA Reading Logic'!$A$22:$B$53,2,FALSE),IF(VLOOKUP(AQ26,'FLA Reading Logic'!$A$22:$B$53,2,FALSE)&gt;=VLOOKUP(AS26,'FLA Reading Logic'!$A$22:$B$53,2,FALSE),VLOOKUP(AS26,'FLA Reading Logic'!$A$22:$B$53,2,FALSE),"No Score")))),"No Value"))</f>
        <v>No Value</v>
      </c>
      <c r="AU26" s="96" t="str">
        <f>IFERROR(VLOOKUP(AQ26,'FLA Reading Logic'!$A$22:$B$48,2,FALSE)-VLOOKUP($F26,'FLA Reading Logic'!$A$22:$B$48,2,FALSE),"No Value")</f>
        <v>No Value</v>
      </c>
      <c r="AV26" s="96" t="str">
        <f>IF($E26="Yes","IPP",IFERROR(IF(AND(AQ26&gt;$J26,AQ26&lt;$K26),"0",(VLOOKUP(AQ26,'FLA Reading Logic'!$A$22:$B$53,2,FALSE))-(IF(VLOOKUP(AQ26,'FLA Reading Logic'!$A$22:$B$53,2,FALSE)&lt;=VLOOKUP($J26,'FLA Reading Logic'!$A$22:$B$53,2,FALSE),VLOOKUP($J26,'FLA Reading Logic'!$A$22:$B$53,2,FALSE),IF(VLOOKUP(AQ26,'FLA Reading Logic'!$A$22:$B$53,2,FALSE)&gt;=VLOOKUP($K26,'FLA Reading Logic'!$A$22:$B$53,2,FALSE),VLOOKUP($K26,'FLA Reading Logic'!$A$22:$B$53,2,FALSE),"No Score")))),"No Value"))</f>
        <v>No Value</v>
      </c>
      <c r="AW26" s="179"/>
      <c r="AX26" s="96" t="str">
        <f>IFERROR(IF($E26="Yes","IPP",VLOOKUP($L26,'FLA Reading Logic'!$A$3:$K$9,VLOOKUP(AW$1,'FLA Reading Logic'!$J$22:$K$31,2,FALSE),FALSE)),"Set Grade")</f>
        <v>Set Grade</v>
      </c>
      <c r="AY26" s="96" t="str">
        <f>IFERROR(IF($E26="Yes","IPP",VLOOKUP($L26,'FLA Reading Logic'!$A$13:$K$19,VLOOKUP(AW$1,'FLA Reading Logic'!$J$22:$K$31,2,FALSE),FALSE)),"Set Grade")</f>
        <v>Set Grade</v>
      </c>
      <c r="AZ26" s="98" t="str">
        <f>IF($E26="Yes","IPP",IFERROR(IF(AND(AW26&gt;AX26,AW26&lt;AY26),"0",(VLOOKUP(AW26,'FLA Reading Logic'!$A$22:$B$53,2,FALSE))-(IF(VLOOKUP(AW26,'FLA Reading Logic'!$A$22:$B$53,2,FALSE)&lt;=VLOOKUP(AX26,'FLA Reading Logic'!$A$22:$B$53,2,FALSE),VLOOKUP(AX26,'FLA Reading Logic'!$A$22:$B$53,2,FALSE),IF(VLOOKUP(AW26,'FLA Reading Logic'!$A$22:$B$53,2,FALSE)&gt;=VLOOKUP(AY26,'FLA Reading Logic'!$A$22:$B$53,2,FALSE),VLOOKUP(AY26,'FLA Reading Logic'!$A$22:$B$53,2,FALSE),"No Score")))),"No Value"))</f>
        <v>No Value</v>
      </c>
      <c r="BA26" s="96" t="str">
        <f>IFERROR(VLOOKUP(AW26,'FLA Reading Logic'!$A$22:$B$48,2,FALSE)-VLOOKUP($F26,'FLA Reading Logic'!$A$22:$B$48,2,FALSE),"No Value")</f>
        <v>No Value</v>
      </c>
      <c r="BB26" s="96" t="str">
        <f>IF($E26="Yes","IPP",IFERROR(IF(AND(AW26&gt;$J26,AW26&lt;$K26),"0",(VLOOKUP(AW26,'FLA Reading Logic'!$A$22:$B$53,2,FALSE))-(IF(VLOOKUP(AW26,'FLA Reading Logic'!$A$22:$B$53,2,FALSE)&lt;=VLOOKUP($J26,'FLA Reading Logic'!$A$22:$B$53,2,FALSE),VLOOKUP($J26,'FLA Reading Logic'!$A$22:$B$53,2,FALSE),IF(VLOOKUP(AW26,'FLA Reading Logic'!$A$22:$B$53,2,FALSE)&gt;=VLOOKUP($K26,'FLA Reading Logic'!$A$22:$B$53,2,FALSE),VLOOKUP($K26,'FLA Reading Logic'!$A$22:$B$53,2,FALSE),"No Score")))),"No Value"))</f>
        <v>No Value</v>
      </c>
    </row>
    <row r="27" spans="1:54" ht="26.25" customHeight="1" thickBot="1" x14ac:dyDescent="0.3">
      <c r="A27" s="96"/>
      <c r="B27" s="98"/>
      <c r="C27" s="98"/>
      <c r="D27" s="98"/>
      <c r="E27" s="179"/>
      <c r="F27" s="92"/>
      <c r="G27" s="98" t="str">
        <f>IFERROR(IF($E27="Yes","IPP",VLOOKUP($J27,'ELA Reading Logic'!$A$3:$K$9,VLOOKUP("September",'ELA Reading Logic'!$J$22:$K$31,2,FALSE),FALSE)),"Set Grade")</f>
        <v>Set Grade</v>
      </c>
      <c r="H27" s="98" t="str">
        <f>IFERROR(IF($E27="Yes","IPP",VLOOKUP($J27,'ELA Reading Logic'!$A$13:$K$19,VLOOKUP("September",'ELA Reading Logic'!$J$22:$K$31,2,FALSE),FALSE)),"Set Grade")</f>
        <v>Set Grade</v>
      </c>
      <c r="I27" s="98" t="str">
        <f>IF($E27="Yes","IPP",IFERROR(IF(AND(F27&gt;G27,F27&lt;H27),"0",(VLOOKUP(F27,'ELA Reading Logic'!$A$22:$B$48,2,FALSE))-(IF(VLOOKUP(F27,'ELA Reading Logic'!$A$22:$B$48,2,FALSE)&lt;=VLOOKUP(G27,'ELA Reading Logic'!$A$22:$B$48,2,FALSE),VLOOKUP(G27,'ELA Reading Logic'!$A$22:$B$48,2,FALSE),IF(VLOOKUP(F27,'ELA Reading Logic'!$A$22:$B$48,2,FALSE)&gt;=VLOOKUP(H27,'ELA Reading Logic'!$A$22:$B$48,2,FALSE),VLOOKUP(H27,'ELA Reading Logic'!$A$22:$B$48,2,FALSE),"No Score")))),"No Value"))</f>
        <v>No Value</v>
      </c>
      <c r="J27" s="96" t="str">
        <f>IFERROR(VLOOKUP($L27,'FLA Reading Logic'!$A$3:$K$9,11,FALSE),"Set Grade")</f>
        <v>Set Grade</v>
      </c>
      <c r="K27" s="96" t="str">
        <f>IFERROR(VLOOKUP($L27,'FLA Reading Logic'!$A$13:$K$19,11,FALSE),"Set Grade")</f>
        <v>Set Grade</v>
      </c>
      <c r="L27" s="180"/>
      <c r="M27" s="98"/>
      <c r="N27" s="98"/>
      <c r="O27" s="98"/>
      <c r="P27" s="98"/>
      <c r="Q27" s="98"/>
      <c r="R27" s="181"/>
      <c r="S27" s="182"/>
      <c r="T27" s="98" t="str">
        <f>IFERROR(IF($E27="Yes","IPP",VLOOKUP($L27,'FLA Reading Logic'!$A$3:$K$9,VLOOKUP(S$1,'FLA Reading Logic'!$J$22:$K$31,2,FALSE),FALSE)),"Set Grade")</f>
        <v>Set Grade</v>
      </c>
      <c r="U27" s="98" t="str">
        <f>IFERROR(IF($E27="Yes","IPP",VLOOKUP($L27,'FLA Reading Logic'!$A$13:$K$19,VLOOKUP(S$1,'FLA Reading Logic'!$J$22:$K$31,2,FALSE),FALSE)),"Set Grade")</f>
        <v>Set Grade</v>
      </c>
      <c r="V27" s="98" t="str">
        <f>IF($E27="Yes","IPP",IFERROR(IF(AND(S27&gt;T27,S27&lt;U27),"0",(VLOOKUP(S27,'FLA Reading Logic'!$A$22:$B$53,2,FALSE))-(IF(VLOOKUP(S27,'FLA Reading Logic'!$A$22:$B$53,2,FALSE)&lt;=VLOOKUP(T27,'FLA Reading Logic'!$A$22:$B$53,2,FALSE),VLOOKUP(T27,'FLA Reading Logic'!$A$22:$B$53,2,FALSE),IF(VLOOKUP(S27,'FLA Reading Logic'!$A$22:$B$53,2,FALSE)&gt;=VLOOKUP(U27,'FLA Reading Logic'!$A$22:$B$53,2,FALSE),VLOOKUP(U27,'FLA Reading Logic'!$A$22:$B$53,2,FALSE),"No Score")))),"No Value"))</f>
        <v>No Value</v>
      </c>
      <c r="W27" s="98" t="str">
        <f>IFERROR(VLOOKUP(S27,'FLA Reading Logic'!$A$22:$B$53,2,FALSE)-VLOOKUP($F27,'FLA Reading Logic'!$A$22:$B$53,2,FALSE),"No Value")</f>
        <v>No Value</v>
      </c>
      <c r="X27" s="96" t="str">
        <f>IF($E27="Yes","IPP",IFERROR(IF(AND(S27&gt;$J27,S27&lt;$K27),"0",(VLOOKUP(S27,'FLA Reading Logic'!$A$22:$B$53,2,FALSE))-(IF(VLOOKUP(S27,'FLA Reading Logic'!$A$22:$B$53,2,FALSE)&lt;=VLOOKUP($J27,'FLA Reading Logic'!$A$22:$B$53,2,FALSE),VLOOKUP($J27,'FLA Reading Logic'!$A$22:$B$53,2,FALSE),IF(VLOOKUP(S27,'FLA Reading Logic'!$A$22:$B$53,2,FALSE)&gt;=VLOOKUP($K27,'FLA Reading Logic'!$A$22:$B$53,2,FALSE),VLOOKUP($K27,'FLA Reading Logic'!$A$22:$B$53,2,FALSE),"No Score")))),"No Value"))</f>
        <v>No Value</v>
      </c>
      <c r="Y27" s="179"/>
      <c r="Z27" s="98" t="str">
        <f>IFERROR(IF($E27="Yes","IPP",VLOOKUP($L27,'FLA Reading Logic'!$A$3:$K$9,VLOOKUP(Y$1,'FLA Reading Logic'!$J$22:$K$31,2,FALSE),FALSE)),"Set Grade")</f>
        <v>Set Grade</v>
      </c>
      <c r="AA27" s="98" t="str">
        <f>IFERROR(IF($E27="Yes","IPP",VLOOKUP($L27,'FLA Reading Logic'!$A$13:$K$19,VLOOKUP(Y$1,'FLA Reading Logic'!$J$22:$K$31,2,FALSE),FALSE)),"Set Grade")</f>
        <v>Set Grade</v>
      </c>
      <c r="AB27" s="98" t="str">
        <f>IF($E27="Yes","IPP",IFERROR(IF(AND(Y27&gt;Z27,Y27&lt;AA27),"0",(VLOOKUP(Y27,'FLA Reading Logic'!$A$22:$B$53,2,FALSE))-(IF(VLOOKUP(Y27,'FLA Reading Logic'!$A$22:$B$53,2,FALSE)&lt;=VLOOKUP(Z27,'FLA Reading Logic'!$A$22:$B$53,2,FALSE),VLOOKUP(Z27,'FLA Reading Logic'!$A$22:$B$53,2,FALSE),IF(VLOOKUP(Y27,'FLA Reading Logic'!$A$22:$B$53,2,FALSE)&gt;=VLOOKUP(AA27,'FLA Reading Logic'!$A$22:$B$53,2,FALSE),VLOOKUP(AA27,'FLA Reading Logic'!$A$22:$B$53,2,FALSE),"No Score")))),"No Value"))</f>
        <v>No Value</v>
      </c>
      <c r="AC27" s="97" t="str">
        <f>IFERROR(VLOOKUP(Y27,'FLA Reading Logic'!$A$22:$B$48,2,FALSE)-VLOOKUP($F27,'FLA Reading Logic'!$A$22:$B$48,2,FALSE),"No Value")</f>
        <v>No Value</v>
      </c>
      <c r="AD27" s="96" t="str">
        <f>IF($E27="Yes","IPP",IFERROR(IF(AND(Y27&gt;$J27,Y27&lt;$K27),"0",(VLOOKUP(Y27,'FLA Reading Logic'!$A$22:$B$53,2,FALSE))-(IF(VLOOKUP(Y27,'FLA Reading Logic'!$A$22:$B$53,2,FALSE)&lt;=VLOOKUP($J27,'FLA Reading Logic'!$A$22:$B$53,2,FALSE),VLOOKUP($J27,'FLA Reading Logic'!$A$22:$B$53,2,FALSE),IF(VLOOKUP(Y27,'FLA Reading Logic'!$A$22:$B$53,2,FALSE)&gt;=VLOOKUP($K27,'FLA Reading Logic'!$A$22:$B$53,2,FALSE),VLOOKUP($K27,'FLA Reading Logic'!$A$22:$B$53,2,FALSE),"No Score")))),"No Value"))</f>
        <v>No Value</v>
      </c>
      <c r="AE27" s="179"/>
      <c r="AF27" s="96" t="str">
        <f>IFERROR(IF($E27="Yes","IPP",VLOOKUP($L27,'FLA Reading Logic'!$A$3:$K$9,VLOOKUP(AE$1,'FLA Reading Logic'!$J$22:$K$31,2,FALSE),FALSE)),"Set Grade")</f>
        <v>Set Grade</v>
      </c>
      <c r="AG27" s="96" t="str">
        <f>IFERROR(IF($E27="Yes","IPP",VLOOKUP($L27,'FLA Reading Logic'!$A$13:$K$19,VLOOKUP(AE$1,'FLA Reading Logic'!$J$22:$K$31,2,FALSE),FALSE)),"Set Grade")</f>
        <v>Set Grade</v>
      </c>
      <c r="AH27" s="98" t="str">
        <f>IF($E27="Yes","IPP",IFERROR(IF(AND(AE27&gt;AF27,AE27&lt;AG27),"0",(VLOOKUP(AE27,'FLA Reading Logic'!$A$22:$B$53,2,FALSE))-(IF(VLOOKUP(AE27,'FLA Reading Logic'!$A$22:$B$53,2,FALSE)&lt;=VLOOKUP(AF27,'FLA Reading Logic'!$A$22:$B$53,2,FALSE),VLOOKUP(AF27,'FLA Reading Logic'!$A$22:$B$53,2,FALSE),IF(VLOOKUP(AE27,'FLA Reading Logic'!$A$22:$B$53,2,FALSE)&gt;=VLOOKUP(AG27,'FLA Reading Logic'!$A$22:$B$53,2,FALSE),VLOOKUP(AG27,'FLA Reading Logic'!$A$22:$B$53,2,FALSE),"No Score")))),"No Value"))</f>
        <v>No Value</v>
      </c>
      <c r="AI27" s="96" t="str">
        <f>IFERROR(VLOOKUP(AE27,'FLA Reading Logic'!$A$22:$B$48,2,FALSE)-VLOOKUP($F27,'FLA Reading Logic'!$A$22:$B$48,2,FALSE),"No Value")</f>
        <v>No Value</v>
      </c>
      <c r="AJ27" s="96" t="str">
        <f>IF($E27="Yes","IPP",IFERROR(IF(AND(AE27&gt;$J27,AE27&lt;$K27),"0",(VLOOKUP(AE27,'FLA Reading Logic'!$A$22:$B$53,2,FALSE))-(IF(VLOOKUP(AE27,'FLA Reading Logic'!$A$22:$B$53,2,FALSE)&lt;=VLOOKUP($J27,'FLA Reading Logic'!$A$22:$B$53,2,FALSE),VLOOKUP($J27,'FLA Reading Logic'!$A$22:$B$53,2,FALSE),IF(VLOOKUP(AE27,'FLA Reading Logic'!$A$22:$B$53,2,FALSE)&gt;=VLOOKUP($K27,'FLA Reading Logic'!$A$22:$B$53,2,FALSE),VLOOKUP($K27,'FLA Reading Logic'!$A$22:$B$53,2,FALSE),"No Score")))),"No Value"))</f>
        <v>No Value</v>
      </c>
      <c r="AK27" s="179"/>
      <c r="AL27" s="96" t="str">
        <f>IFERROR(IF($E27="Yes","IPP",VLOOKUP($L27,'FLA Reading Logic'!$A$3:$K$9,VLOOKUP(AK$1,'FLA Reading Logic'!$J$22:$K$31,2,FALSE),FALSE)),"Set Grade")</f>
        <v>Set Grade</v>
      </c>
      <c r="AM27" s="96" t="str">
        <f>IFERROR(IF($E27="Yes","IPP",VLOOKUP($L27,'FLA Reading Logic'!$A$13:$K$19,VLOOKUP(AK$1,'FLA Reading Logic'!$J$22:$K$31,2,FALSE),FALSE)),"Set Grade")</f>
        <v>Set Grade</v>
      </c>
      <c r="AN27" s="98" t="str">
        <f>IF($E27="Yes","IPP",IFERROR(IF(AND(AK27&gt;AL27,AK27&lt;AM27),"0",(VLOOKUP(AK27,'FLA Reading Logic'!$A$22:$B$53,2,FALSE))-(IF(VLOOKUP(AK27,'FLA Reading Logic'!$A$22:$B$53,2,FALSE)&lt;=VLOOKUP(AL27,'FLA Reading Logic'!$A$22:$B$53,2,FALSE),VLOOKUP(AL27,'FLA Reading Logic'!$A$22:$B$53,2,FALSE),IF(VLOOKUP(AK27,'FLA Reading Logic'!$A$22:$B$53,2,FALSE)&gt;=VLOOKUP(AM27,'FLA Reading Logic'!$A$22:$B$53,2,FALSE),VLOOKUP(AM27,'FLA Reading Logic'!$A$22:$B$53,2,FALSE),"No Score")))),"No Value"))</f>
        <v>No Value</v>
      </c>
      <c r="AO27" s="96" t="str">
        <f>IFERROR(VLOOKUP(AK27,'FLA Reading Logic'!$A$22:$B$48,2,FALSE)-VLOOKUP($F27,'FLA Reading Logic'!$A$22:$B$48,2,FALSE),"No Value")</f>
        <v>No Value</v>
      </c>
      <c r="AP27" s="96" t="str">
        <f>IF($E27="Yes","IPP",IFERROR(IF(AND(AK27&gt;$J27,AK27&lt;$K27),"0",(VLOOKUP(AK27,'FLA Reading Logic'!$A$22:$B$53,2,FALSE))-(IF(VLOOKUP(AK27,'FLA Reading Logic'!$A$22:$B$53,2,FALSE)&lt;=VLOOKUP($J27,'FLA Reading Logic'!$A$22:$B$53,2,FALSE),VLOOKUP($J27,'FLA Reading Logic'!$A$22:$B$53,2,FALSE),IF(VLOOKUP(AK27,'FLA Reading Logic'!$A$22:$B$53,2,FALSE)&gt;=VLOOKUP($K27,'FLA Reading Logic'!$A$22:$B$53,2,FALSE),VLOOKUP($K27,'FLA Reading Logic'!$A$22:$B$53,2,FALSE),"No Score")))),"No Value"))</f>
        <v>No Value</v>
      </c>
      <c r="AQ27" s="179"/>
      <c r="AR27" s="96" t="str">
        <f>IFERROR(IF($E27="Yes","IPP",VLOOKUP($L27,'FLA Reading Logic'!$A$3:$K$9,VLOOKUP(AQ$1,'FLA Reading Logic'!$J$22:$K$31,2,FALSE),FALSE)),"Set Grade")</f>
        <v>Set Grade</v>
      </c>
      <c r="AS27" s="96" t="str">
        <f>IFERROR(IF($E27="Yes","IPP",VLOOKUP($L27,'FLA Reading Logic'!$A$13:$K$19,VLOOKUP(AQ$1,'FLA Reading Logic'!$J$22:$K$31,2,FALSE),FALSE)),"Set Grade")</f>
        <v>Set Grade</v>
      </c>
      <c r="AT27" s="98" t="str">
        <f>IF($E27="Yes","IPP",IFERROR(IF(AND(AQ27&gt;AR27,AQ27&lt;AS27),"0",(VLOOKUP(AQ27,'FLA Reading Logic'!$A$22:$B$53,2,FALSE))-(IF(VLOOKUP(AQ27,'FLA Reading Logic'!$A$22:$B$53,2,FALSE)&lt;=VLOOKUP(AR27,'FLA Reading Logic'!$A$22:$B$53,2,FALSE),VLOOKUP(AR27,'FLA Reading Logic'!$A$22:$B$53,2,FALSE),IF(VLOOKUP(AQ27,'FLA Reading Logic'!$A$22:$B$53,2,FALSE)&gt;=VLOOKUP(AS27,'FLA Reading Logic'!$A$22:$B$53,2,FALSE),VLOOKUP(AS27,'FLA Reading Logic'!$A$22:$B$53,2,FALSE),"No Score")))),"No Value"))</f>
        <v>No Value</v>
      </c>
      <c r="AU27" s="96" t="str">
        <f>IFERROR(VLOOKUP(AQ27,'FLA Reading Logic'!$A$22:$B$48,2,FALSE)-VLOOKUP($F27,'FLA Reading Logic'!$A$22:$B$48,2,FALSE),"No Value")</f>
        <v>No Value</v>
      </c>
      <c r="AV27" s="96" t="str">
        <f>IF($E27="Yes","IPP",IFERROR(IF(AND(AQ27&gt;$J27,AQ27&lt;$K27),"0",(VLOOKUP(AQ27,'FLA Reading Logic'!$A$22:$B$53,2,FALSE))-(IF(VLOOKUP(AQ27,'FLA Reading Logic'!$A$22:$B$53,2,FALSE)&lt;=VLOOKUP($J27,'FLA Reading Logic'!$A$22:$B$53,2,FALSE),VLOOKUP($J27,'FLA Reading Logic'!$A$22:$B$53,2,FALSE),IF(VLOOKUP(AQ27,'FLA Reading Logic'!$A$22:$B$53,2,FALSE)&gt;=VLOOKUP($K27,'FLA Reading Logic'!$A$22:$B$53,2,FALSE),VLOOKUP($K27,'FLA Reading Logic'!$A$22:$B$53,2,FALSE),"No Score")))),"No Value"))</f>
        <v>No Value</v>
      </c>
      <c r="AW27" s="179"/>
      <c r="AX27" s="96" t="str">
        <f>IFERROR(IF($E27="Yes","IPP",VLOOKUP($L27,'FLA Reading Logic'!$A$3:$K$9,VLOOKUP(AW$1,'FLA Reading Logic'!$J$22:$K$31,2,FALSE),FALSE)),"Set Grade")</f>
        <v>Set Grade</v>
      </c>
      <c r="AY27" s="96" t="str">
        <f>IFERROR(IF($E27="Yes","IPP",VLOOKUP($L27,'FLA Reading Logic'!$A$13:$K$19,VLOOKUP(AW$1,'FLA Reading Logic'!$J$22:$K$31,2,FALSE),FALSE)),"Set Grade")</f>
        <v>Set Grade</v>
      </c>
      <c r="AZ27" s="98" t="str">
        <f>IF($E27="Yes","IPP",IFERROR(IF(AND(AW27&gt;AX27,AW27&lt;AY27),"0",(VLOOKUP(AW27,'FLA Reading Logic'!$A$22:$B$53,2,FALSE))-(IF(VLOOKUP(AW27,'FLA Reading Logic'!$A$22:$B$53,2,FALSE)&lt;=VLOOKUP(AX27,'FLA Reading Logic'!$A$22:$B$53,2,FALSE),VLOOKUP(AX27,'FLA Reading Logic'!$A$22:$B$53,2,FALSE),IF(VLOOKUP(AW27,'FLA Reading Logic'!$A$22:$B$53,2,FALSE)&gt;=VLOOKUP(AY27,'FLA Reading Logic'!$A$22:$B$53,2,FALSE),VLOOKUP(AY27,'FLA Reading Logic'!$A$22:$B$53,2,FALSE),"No Score")))),"No Value"))</f>
        <v>No Value</v>
      </c>
      <c r="BA27" s="96" t="str">
        <f>IFERROR(VLOOKUP(AW27,'FLA Reading Logic'!$A$22:$B$48,2,FALSE)-VLOOKUP($F27,'FLA Reading Logic'!$A$22:$B$48,2,FALSE),"No Value")</f>
        <v>No Value</v>
      </c>
      <c r="BB27" s="96" t="str">
        <f>IF($E27="Yes","IPP",IFERROR(IF(AND(AW27&gt;$J27,AW27&lt;$K27),"0",(VLOOKUP(AW27,'FLA Reading Logic'!$A$22:$B$53,2,FALSE))-(IF(VLOOKUP(AW27,'FLA Reading Logic'!$A$22:$B$53,2,FALSE)&lt;=VLOOKUP($J27,'FLA Reading Logic'!$A$22:$B$53,2,FALSE),VLOOKUP($J27,'FLA Reading Logic'!$A$22:$B$53,2,FALSE),IF(VLOOKUP(AW27,'FLA Reading Logic'!$A$22:$B$53,2,FALSE)&gt;=VLOOKUP($K27,'FLA Reading Logic'!$A$22:$B$53,2,FALSE),VLOOKUP($K27,'FLA Reading Logic'!$A$22:$B$53,2,FALSE),"No Score")))),"No Value"))</f>
        <v>No Value</v>
      </c>
    </row>
    <row r="28" spans="1:54" ht="26.25" customHeight="1" thickBot="1" x14ac:dyDescent="0.3">
      <c r="A28" s="96"/>
      <c r="B28" s="98"/>
      <c r="C28" s="98"/>
      <c r="D28" s="98"/>
      <c r="E28" s="179"/>
      <c r="F28" s="92"/>
      <c r="G28" s="98" t="str">
        <f>IFERROR(IF($E28="Yes","IPP",VLOOKUP($J28,'ELA Reading Logic'!$A$3:$K$9,VLOOKUP("September",'ELA Reading Logic'!$J$22:$K$31,2,FALSE),FALSE)),"Set Grade")</f>
        <v>Set Grade</v>
      </c>
      <c r="H28" s="98" t="str">
        <f>IFERROR(IF($E28="Yes","IPP",VLOOKUP($J28,'ELA Reading Logic'!$A$13:$K$19,VLOOKUP("September",'ELA Reading Logic'!$J$22:$K$31,2,FALSE),FALSE)),"Set Grade")</f>
        <v>Set Grade</v>
      </c>
      <c r="I28" s="98" t="str">
        <f>IF($E28="Yes","IPP",IFERROR(IF(AND(F28&gt;G28,F28&lt;H28),"0",(VLOOKUP(F28,'ELA Reading Logic'!$A$22:$B$48,2,FALSE))-(IF(VLOOKUP(F28,'ELA Reading Logic'!$A$22:$B$48,2,FALSE)&lt;=VLOOKUP(G28,'ELA Reading Logic'!$A$22:$B$48,2,FALSE),VLOOKUP(G28,'ELA Reading Logic'!$A$22:$B$48,2,FALSE),IF(VLOOKUP(F28,'ELA Reading Logic'!$A$22:$B$48,2,FALSE)&gt;=VLOOKUP(H28,'ELA Reading Logic'!$A$22:$B$48,2,FALSE),VLOOKUP(H28,'ELA Reading Logic'!$A$22:$B$48,2,FALSE),"No Score")))),"No Value"))</f>
        <v>No Value</v>
      </c>
      <c r="J28" s="96" t="str">
        <f>IFERROR(VLOOKUP($L28,'FLA Reading Logic'!$A$3:$K$9,11,FALSE),"Set Grade")</f>
        <v>Set Grade</v>
      </c>
      <c r="K28" s="96" t="str">
        <f>IFERROR(VLOOKUP($L28,'FLA Reading Logic'!$A$13:$K$19,11,FALSE),"Set Grade")</f>
        <v>Set Grade</v>
      </c>
      <c r="L28" s="180"/>
      <c r="M28" s="98"/>
      <c r="N28" s="98"/>
      <c r="O28" s="98"/>
      <c r="P28" s="98"/>
      <c r="Q28" s="98"/>
      <c r="R28" s="181"/>
      <c r="S28" s="182"/>
      <c r="T28" s="98" t="str">
        <f>IFERROR(IF($E28="Yes","IPP",VLOOKUP($L28,'FLA Reading Logic'!$A$3:$K$9,VLOOKUP(S$1,'FLA Reading Logic'!$J$22:$K$31,2,FALSE),FALSE)),"Set Grade")</f>
        <v>Set Grade</v>
      </c>
      <c r="U28" s="98" t="str">
        <f>IFERROR(IF($E28="Yes","IPP",VLOOKUP($L28,'FLA Reading Logic'!$A$13:$K$19,VLOOKUP(S$1,'FLA Reading Logic'!$J$22:$K$31,2,FALSE),FALSE)),"Set Grade")</f>
        <v>Set Grade</v>
      </c>
      <c r="V28" s="98" t="str">
        <f>IF($E28="Yes","IPP",IFERROR(IF(AND(S28&gt;T28,S28&lt;U28),"0",(VLOOKUP(S28,'FLA Reading Logic'!$A$22:$B$53,2,FALSE))-(IF(VLOOKUP(S28,'FLA Reading Logic'!$A$22:$B$53,2,FALSE)&lt;=VLOOKUP(T28,'FLA Reading Logic'!$A$22:$B$53,2,FALSE),VLOOKUP(T28,'FLA Reading Logic'!$A$22:$B$53,2,FALSE),IF(VLOOKUP(S28,'FLA Reading Logic'!$A$22:$B$53,2,FALSE)&gt;=VLOOKUP(U28,'FLA Reading Logic'!$A$22:$B$53,2,FALSE),VLOOKUP(U28,'FLA Reading Logic'!$A$22:$B$53,2,FALSE),"No Score")))),"No Value"))</f>
        <v>No Value</v>
      </c>
      <c r="W28" s="98" t="str">
        <f>IFERROR(VLOOKUP(S28,'FLA Reading Logic'!$A$22:$B$53,2,FALSE)-VLOOKUP($F28,'FLA Reading Logic'!$A$22:$B$53,2,FALSE),"No Value")</f>
        <v>No Value</v>
      </c>
      <c r="X28" s="96" t="str">
        <f>IF($E28="Yes","IPP",IFERROR(IF(AND(S28&gt;$J28,S28&lt;$K28),"0",(VLOOKUP(S28,'FLA Reading Logic'!$A$22:$B$53,2,FALSE))-(IF(VLOOKUP(S28,'FLA Reading Logic'!$A$22:$B$53,2,FALSE)&lt;=VLOOKUP($J28,'FLA Reading Logic'!$A$22:$B$53,2,FALSE),VLOOKUP($J28,'FLA Reading Logic'!$A$22:$B$53,2,FALSE),IF(VLOOKUP(S28,'FLA Reading Logic'!$A$22:$B$53,2,FALSE)&gt;=VLOOKUP($K28,'FLA Reading Logic'!$A$22:$B$53,2,FALSE),VLOOKUP($K28,'FLA Reading Logic'!$A$22:$B$53,2,FALSE),"No Score")))),"No Value"))</f>
        <v>No Value</v>
      </c>
      <c r="Y28" s="179"/>
      <c r="Z28" s="98" t="str">
        <f>IFERROR(IF($E28="Yes","IPP",VLOOKUP($L28,'FLA Reading Logic'!$A$3:$K$9,VLOOKUP(Y$1,'FLA Reading Logic'!$J$22:$K$31,2,FALSE),FALSE)),"Set Grade")</f>
        <v>Set Grade</v>
      </c>
      <c r="AA28" s="98" t="str">
        <f>IFERROR(IF($E28="Yes","IPP",VLOOKUP($L28,'FLA Reading Logic'!$A$13:$K$19,VLOOKUP(Y$1,'FLA Reading Logic'!$J$22:$K$31,2,FALSE),FALSE)),"Set Grade")</f>
        <v>Set Grade</v>
      </c>
      <c r="AB28" s="98" t="str">
        <f>IF($E28="Yes","IPP",IFERROR(IF(AND(Y28&gt;Z28,Y28&lt;AA28),"0",(VLOOKUP(Y28,'FLA Reading Logic'!$A$22:$B$53,2,FALSE))-(IF(VLOOKUP(Y28,'FLA Reading Logic'!$A$22:$B$53,2,FALSE)&lt;=VLOOKUP(Z28,'FLA Reading Logic'!$A$22:$B$53,2,FALSE),VLOOKUP(Z28,'FLA Reading Logic'!$A$22:$B$53,2,FALSE),IF(VLOOKUP(Y28,'FLA Reading Logic'!$A$22:$B$53,2,FALSE)&gt;=VLOOKUP(AA28,'FLA Reading Logic'!$A$22:$B$53,2,FALSE),VLOOKUP(AA28,'FLA Reading Logic'!$A$22:$B$53,2,FALSE),"No Score")))),"No Value"))</f>
        <v>No Value</v>
      </c>
      <c r="AC28" s="97" t="str">
        <f>IFERROR(VLOOKUP(Y28,'FLA Reading Logic'!$A$22:$B$48,2,FALSE)-VLOOKUP($F28,'FLA Reading Logic'!$A$22:$B$48,2,FALSE),"No Value")</f>
        <v>No Value</v>
      </c>
      <c r="AD28" s="96" t="str">
        <f>IF($E28="Yes","IPP",IFERROR(IF(AND(Y28&gt;$J28,Y28&lt;$K28),"0",(VLOOKUP(Y28,'FLA Reading Logic'!$A$22:$B$53,2,FALSE))-(IF(VLOOKUP(Y28,'FLA Reading Logic'!$A$22:$B$53,2,FALSE)&lt;=VLOOKUP($J28,'FLA Reading Logic'!$A$22:$B$53,2,FALSE),VLOOKUP($J28,'FLA Reading Logic'!$A$22:$B$53,2,FALSE),IF(VLOOKUP(Y28,'FLA Reading Logic'!$A$22:$B$53,2,FALSE)&gt;=VLOOKUP($K28,'FLA Reading Logic'!$A$22:$B$53,2,FALSE),VLOOKUP($K28,'FLA Reading Logic'!$A$22:$B$53,2,FALSE),"No Score")))),"No Value"))</f>
        <v>No Value</v>
      </c>
      <c r="AE28" s="179"/>
      <c r="AF28" s="96" t="str">
        <f>IFERROR(IF($E28="Yes","IPP",VLOOKUP($L28,'FLA Reading Logic'!$A$3:$K$9,VLOOKUP(AE$1,'FLA Reading Logic'!$J$22:$K$31,2,FALSE),FALSE)),"Set Grade")</f>
        <v>Set Grade</v>
      </c>
      <c r="AG28" s="96" t="str">
        <f>IFERROR(IF($E28="Yes","IPP",VLOOKUP($L28,'FLA Reading Logic'!$A$13:$K$19,VLOOKUP(AE$1,'FLA Reading Logic'!$J$22:$K$31,2,FALSE),FALSE)),"Set Grade")</f>
        <v>Set Grade</v>
      </c>
      <c r="AH28" s="98" t="str">
        <f>IF($E28="Yes","IPP",IFERROR(IF(AND(AE28&gt;AF28,AE28&lt;AG28),"0",(VLOOKUP(AE28,'FLA Reading Logic'!$A$22:$B$53,2,FALSE))-(IF(VLOOKUP(AE28,'FLA Reading Logic'!$A$22:$B$53,2,FALSE)&lt;=VLOOKUP(AF28,'FLA Reading Logic'!$A$22:$B$53,2,FALSE),VLOOKUP(AF28,'FLA Reading Logic'!$A$22:$B$53,2,FALSE),IF(VLOOKUP(AE28,'FLA Reading Logic'!$A$22:$B$53,2,FALSE)&gt;=VLOOKUP(AG28,'FLA Reading Logic'!$A$22:$B$53,2,FALSE),VLOOKUP(AG28,'FLA Reading Logic'!$A$22:$B$53,2,FALSE),"No Score")))),"No Value"))</f>
        <v>No Value</v>
      </c>
      <c r="AI28" s="96" t="str">
        <f>IFERROR(VLOOKUP(AE28,'FLA Reading Logic'!$A$22:$B$48,2,FALSE)-VLOOKUP($F28,'FLA Reading Logic'!$A$22:$B$48,2,FALSE),"No Value")</f>
        <v>No Value</v>
      </c>
      <c r="AJ28" s="96" t="str">
        <f>IF($E28="Yes","IPP",IFERROR(IF(AND(AE28&gt;$J28,AE28&lt;$K28),"0",(VLOOKUP(AE28,'FLA Reading Logic'!$A$22:$B$53,2,FALSE))-(IF(VLOOKUP(AE28,'FLA Reading Logic'!$A$22:$B$53,2,FALSE)&lt;=VLOOKUP($J28,'FLA Reading Logic'!$A$22:$B$53,2,FALSE),VLOOKUP($J28,'FLA Reading Logic'!$A$22:$B$53,2,FALSE),IF(VLOOKUP(AE28,'FLA Reading Logic'!$A$22:$B$53,2,FALSE)&gt;=VLOOKUP($K28,'FLA Reading Logic'!$A$22:$B$53,2,FALSE),VLOOKUP($K28,'FLA Reading Logic'!$A$22:$B$53,2,FALSE),"No Score")))),"No Value"))</f>
        <v>No Value</v>
      </c>
      <c r="AK28" s="179"/>
      <c r="AL28" s="96" t="str">
        <f>IFERROR(IF($E28="Yes","IPP",VLOOKUP($L28,'FLA Reading Logic'!$A$3:$K$9,VLOOKUP(AK$1,'FLA Reading Logic'!$J$22:$K$31,2,FALSE),FALSE)),"Set Grade")</f>
        <v>Set Grade</v>
      </c>
      <c r="AM28" s="96" t="str">
        <f>IFERROR(IF($E28="Yes","IPP",VLOOKUP($L28,'FLA Reading Logic'!$A$13:$K$19,VLOOKUP(AK$1,'FLA Reading Logic'!$J$22:$K$31,2,FALSE),FALSE)),"Set Grade")</f>
        <v>Set Grade</v>
      </c>
      <c r="AN28" s="98" t="str">
        <f>IF($E28="Yes","IPP",IFERROR(IF(AND(AK28&gt;AL28,AK28&lt;AM28),"0",(VLOOKUP(AK28,'FLA Reading Logic'!$A$22:$B$53,2,FALSE))-(IF(VLOOKUP(AK28,'FLA Reading Logic'!$A$22:$B$53,2,FALSE)&lt;=VLOOKUP(AL28,'FLA Reading Logic'!$A$22:$B$53,2,FALSE),VLOOKUP(AL28,'FLA Reading Logic'!$A$22:$B$53,2,FALSE),IF(VLOOKUP(AK28,'FLA Reading Logic'!$A$22:$B$53,2,FALSE)&gt;=VLOOKUP(AM28,'FLA Reading Logic'!$A$22:$B$53,2,FALSE),VLOOKUP(AM28,'FLA Reading Logic'!$A$22:$B$53,2,FALSE),"No Score")))),"No Value"))</f>
        <v>No Value</v>
      </c>
      <c r="AO28" s="96" t="str">
        <f>IFERROR(VLOOKUP(AK28,'FLA Reading Logic'!$A$22:$B$48,2,FALSE)-VLOOKUP($F28,'FLA Reading Logic'!$A$22:$B$48,2,FALSE),"No Value")</f>
        <v>No Value</v>
      </c>
      <c r="AP28" s="96" t="str">
        <f>IF($E28="Yes","IPP",IFERROR(IF(AND(AK28&gt;$J28,AK28&lt;$K28),"0",(VLOOKUP(AK28,'FLA Reading Logic'!$A$22:$B$53,2,FALSE))-(IF(VLOOKUP(AK28,'FLA Reading Logic'!$A$22:$B$53,2,FALSE)&lt;=VLOOKUP($J28,'FLA Reading Logic'!$A$22:$B$53,2,FALSE),VLOOKUP($J28,'FLA Reading Logic'!$A$22:$B$53,2,FALSE),IF(VLOOKUP(AK28,'FLA Reading Logic'!$A$22:$B$53,2,FALSE)&gt;=VLOOKUP($K28,'FLA Reading Logic'!$A$22:$B$53,2,FALSE),VLOOKUP($K28,'FLA Reading Logic'!$A$22:$B$53,2,FALSE),"No Score")))),"No Value"))</f>
        <v>No Value</v>
      </c>
      <c r="AQ28" s="179"/>
      <c r="AR28" s="96" t="str">
        <f>IFERROR(IF($E28="Yes","IPP",VLOOKUP($L28,'FLA Reading Logic'!$A$3:$K$9,VLOOKUP(AQ$1,'FLA Reading Logic'!$J$22:$K$31,2,FALSE),FALSE)),"Set Grade")</f>
        <v>Set Grade</v>
      </c>
      <c r="AS28" s="96" t="str">
        <f>IFERROR(IF($E28="Yes","IPP",VLOOKUP($L28,'FLA Reading Logic'!$A$13:$K$19,VLOOKUP(AQ$1,'FLA Reading Logic'!$J$22:$K$31,2,FALSE),FALSE)),"Set Grade")</f>
        <v>Set Grade</v>
      </c>
      <c r="AT28" s="98" t="str">
        <f>IF($E28="Yes","IPP",IFERROR(IF(AND(AQ28&gt;AR28,AQ28&lt;AS28),"0",(VLOOKUP(AQ28,'FLA Reading Logic'!$A$22:$B$53,2,FALSE))-(IF(VLOOKUP(AQ28,'FLA Reading Logic'!$A$22:$B$53,2,FALSE)&lt;=VLOOKUP(AR28,'FLA Reading Logic'!$A$22:$B$53,2,FALSE),VLOOKUP(AR28,'FLA Reading Logic'!$A$22:$B$53,2,FALSE),IF(VLOOKUP(AQ28,'FLA Reading Logic'!$A$22:$B$53,2,FALSE)&gt;=VLOOKUP(AS28,'FLA Reading Logic'!$A$22:$B$53,2,FALSE),VLOOKUP(AS28,'FLA Reading Logic'!$A$22:$B$53,2,FALSE),"No Score")))),"No Value"))</f>
        <v>No Value</v>
      </c>
      <c r="AU28" s="96" t="str">
        <f>IFERROR(VLOOKUP(AQ28,'FLA Reading Logic'!$A$22:$B$48,2,FALSE)-VLOOKUP($F28,'FLA Reading Logic'!$A$22:$B$48,2,FALSE),"No Value")</f>
        <v>No Value</v>
      </c>
      <c r="AV28" s="96" t="str">
        <f>IF($E28="Yes","IPP",IFERROR(IF(AND(AQ28&gt;$J28,AQ28&lt;$K28),"0",(VLOOKUP(AQ28,'FLA Reading Logic'!$A$22:$B$53,2,FALSE))-(IF(VLOOKUP(AQ28,'FLA Reading Logic'!$A$22:$B$53,2,FALSE)&lt;=VLOOKUP($J28,'FLA Reading Logic'!$A$22:$B$53,2,FALSE),VLOOKUP($J28,'FLA Reading Logic'!$A$22:$B$53,2,FALSE),IF(VLOOKUP(AQ28,'FLA Reading Logic'!$A$22:$B$53,2,FALSE)&gt;=VLOOKUP($K28,'FLA Reading Logic'!$A$22:$B$53,2,FALSE),VLOOKUP($K28,'FLA Reading Logic'!$A$22:$B$53,2,FALSE),"No Score")))),"No Value"))</f>
        <v>No Value</v>
      </c>
      <c r="AW28" s="179"/>
      <c r="AX28" s="96" t="str">
        <f>IFERROR(IF($E28="Yes","IPP",VLOOKUP($L28,'FLA Reading Logic'!$A$3:$K$9,VLOOKUP(AW$1,'FLA Reading Logic'!$J$22:$K$31,2,FALSE),FALSE)),"Set Grade")</f>
        <v>Set Grade</v>
      </c>
      <c r="AY28" s="96" t="str">
        <f>IFERROR(IF($E28="Yes","IPP",VLOOKUP($L28,'FLA Reading Logic'!$A$13:$K$19,VLOOKUP(AW$1,'FLA Reading Logic'!$J$22:$K$31,2,FALSE),FALSE)),"Set Grade")</f>
        <v>Set Grade</v>
      </c>
      <c r="AZ28" s="98" t="str">
        <f>IF($E28="Yes","IPP",IFERROR(IF(AND(AW28&gt;AX28,AW28&lt;AY28),"0",(VLOOKUP(AW28,'FLA Reading Logic'!$A$22:$B$53,2,FALSE))-(IF(VLOOKUP(AW28,'FLA Reading Logic'!$A$22:$B$53,2,FALSE)&lt;=VLOOKUP(AX28,'FLA Reading Logic'!$A$22:$B$53,2,FALSE),VLOOKUP(AX28,'FLA Reading Logic'!$A$22:$B$53,2,FALSE),IF(VLOOKUP(AW28,'FLA Reading Logic'!$A$22:$B$53,2,FALSE)&gt;=VLOOKUP(AY28,'FLA Reading Logic'!$A$22:$B$53,2,FALSE),VLOOKUP(AY28,'FLA Reading Logic'!$A$22:$B$53,2,FALSE),"No Score")))),"No Value"))</f>
        <v>No Value</v>
      </c>
      <c r="BA28" s="96" t="str">
        <f>IFERROR(VLOOKUP(AW28,'FLA Reading Logic'!$A$22:$B$48,2,FALSE)-VLOOKUP($F28,'FLA Reading Logic'!$A$22:$B$48,2,FALSE),"No Value")</f>
        <v>No Value</v>
      </c>
      <c r="BB28" s="96" t="str">
        <f>IF($E28="Yes","IPP",IFERROR(IF(AND(AW28&gt;$J28,AW28&lt;$K28),"0",(VLOOKUP(AW28,'FLA Reading Logic'!$A$22:$B$53,2,FALSE))-(IF(VLOOKUP(AW28,'FLA Reading Logic'!$A$22:$B$53,2,FALSE)&lt;=VLOOKUP($J28,'FLA Reading Logic'!$A$22:$B$53,2,FALSE),VLOOKUP($J28,'FLA Reading Logic'!$A$22:$B$53,2,FALSE),IF(VLOOKUP(AW28,'FLA Reading Logic'!$A$22:$B$53,2,FALSE)&gt;=VLOOKUP($K28,'FLA Reading Logic'!$A$22:$B$53,2,FALSE),VLOOKUP($K28,'FLA Reading Logic'!$A$22:$B$53,2,FALSE),"No Score")))),"No Value"))</f>
        <v>No Value</v>
      </c>
    </row>
    <row r="29" spans="1:54" ht="26.25" customHeight="1" thickBot="1" x14ac:dyDescent="0.3">
      <c r="A29" s="96"/>
      <c r="B29" s="98"/>
      <c r="C29" s="98"/>
      <c r="D29" s="98"/>
      <c r="E29" s="179"/>
      <c r="F29" s="92"/>
      <c r="G29" s="98" t="str">
        <f>IFERROR(IF($E29="Yes","IPP",VLOOKUP($J29,'ELA Reading Logic'!$A$3:$K$9,VLOOKUP("September",'ELA Reading Logic'!$J$22:$K$31,2,FALSE),FALSE)),"Set Grade")</f>
        <v>Set Grade</v>
      </c>
      <c r="H29" s="98" t="str">
        <f>IFERROR(IF($E29="Yes","IPP",VLOOKUP($J29,'ELA Reading Logic'!$A$13:$K$19,VLOOKUP("September",'ELA Reading Logic'!$J$22:$K$31,2,FALSE),FALSE)),"Set Grade")</f>
        <v>Set Grade</v>
      </c>
      <c r="I29" s="98" t="str">
        <f>IF($E29="Yes","IPP",IFERROR(IF(AND(F29&gt;G29,F29&lt;H29),"0",(VLOOKUP(F29,'ELA Reading Logic'!$A$22:$B$48,2,FALSE))-(IF(VLOOKUP(F29,'ELA Reading Logic'!$A$22:$B$48,2,FALSE)&lt;=VLOOKUP(G29,'ELA Reading Logic'!$A$22:$B$48,2,FALSE),VLOOKUP(G29,'ELA Reading Logic'!$A$22:$B$48,2,FALSE),IF(VLOOKUP(F29,'ELA Reading Logic'!$A$22:$B$48,2,FALSE)&gt;=VLOOKUP(H29,'ELA Reading Logic'!$A$22:$B$48,2,FALSE),VLOOKUP(H29,'ELA Reading Logic'!$A$22:$B$48,2,FALSE),"No Score")))),"No Value"))</f>
        <v>No Value</v>
      </c>
      <c r="J29" s="96" t="str">
        <f>IFERROR(VLOOKUP($L29,'FLA Reading Logic'!$A$3:$K$9,11,FALSE),"Set Grade")</f>
        <v>Set Grade</v>
      </c>
      <c r="K29" s="96" t="str">
        <f>IFERROR(VLOOKUP($L29,'FLA Reading Logic'!$A$13:$K$19,11,FALSE),"Set Grade")</f>
        <v>Set Grade</v>
      </c>
      <c r="L29" s="180"/>
      <c r="M29" s="98"/>
      <c r="N29" s="98"/>
      <c r="O29" s="98"/>
      <c r="P29" s="98"/>
      <c r="Q29" s="98"/>
      <c r="R29" s="181"/>
      <c r="S29" s="182"/>
      <c r="T29" s="98" t="str">
        <f>IFERROR(IF($E29="Yes","IPP",VLOOKUP($L29,'FLA Reading Logic'!$A$3:$K$9,VLOOKUP(S$1,'FLA Reading Logic'!$J$22:$K$31,2,FALSE),FALSE)),"Set Grade")</f>
        <v>Set Grade</v>
      </c>
      <c r="U29" s="98" t="str">
        <f>IFERROR(IF($E29="Yes","IPP",VLOOKUP($L29,'FLA Reading Logic'!$A$13:$K$19,VLOOKUP(S$1,'FLA Reading Logic'!$J$22:$K$31,2,FALSE),FALSE)),"Set Grade")</f>
        <v>Set Grade</v>
      </c>
      <c r="V29" s="98" t="str">
        <f>IF($E29="Yes","IPP",IFERROR(IF(AND(S29&gt;T29,S29&lt;U29),"0",(VLOOKUP(S29,'FLA Reading Logic'!$A$22:$B$53,2,FALSE))-(IF(VLOOKUP(S29,'FLA Reading Logic'!$A$22:$B$53,2,FALSE)&lt;=VLOOKUP(T29,'FLA Reading Logic'!$A$22:$B$53,2,FALSE),VLOOKUP(T29,'FLA Reading Logic'!$A$22:$B$53,2,FALSE),IF(VLOOKUP(S29,'FLA Reading Logic'!$A$22:$B$53,2,FALSE)&gt;=VLOOKUP(U29,'FLA Reading Logic'!$A$22:$B$53,2,FALSE),VLOOKUP(U29,'FLA Reading Logic'!$A$22:$B$53,2,FALSE),"No Score")))),"No Value"))</f>
        <v>No Value</v>
      </c>
      <c r="W29" s="98" t="str">
        <f>IFERROR(VLOOKUP(S29,'FLA Reading Logic'!$A$22:$B$53,2,FALSE)-VLOOKUP($F29,'FLA Reading Logic'!$A$22:$B$53,2,FALSE),"No Value")</f>
        <v>No Value</v>
      </c>
      <c r="X29" s="96" t="str">
        <f>IF($E29="Yes","IPP",IFERROR(IF(AND(S29&gt;$J29,S29&lt;$K29),"0",(VLOOKUP(S29,'FLA Reading Logic'!$A$22:$B$53,2,FALSE))-(IF(VLOOKUP(S29,'FLA Reading Logic'!$A$22:$B$53,2,FALSE)&lt;=VLOOKUP($J29,'FLA Reading Logic'!$A$22:$B$53,2,FALSE),VLOOKUP($J29,'FLA Reading Logic'!$A$22:$B$53,2,FALSE),IF(VLOOKUP(S29,'FLA Reading Logic'!$A$22:$B$53,2,FALSE)&gt;=VLOOKUP($K29,'FLA Reading Logic'!$A$22:$B$53,2,FALSE),VLOOKUP($K29,'FLA Reading Logic'!$A$22:$B$53,2,FALSE),"No Score")))),"No Value"))</f>
        <v>No Value</v>
      </c>
      <c r="Y29" s="179"/>
      <c r="Z29" s="98" t="str">
        <f>IFERROR(IF($E29="Yes","IPP",VLOOKUP($L29,'FLA Reading Logic'!$A$3:$K$9,VLOOKUP(Y$1,'FLA Reading Logic'!$J$22:$K$31,2,FALSE),FALSE)),"Set Grade")</f>
        <v>Set Grade</v>
      </c>
      <c r="AA29" s="98" t="str">
        <f>IFERROR(IF($E29="Yes","IPP",VLOOKUP($L29,'FLA Reading Logic'!$A$13:$K$19,VLOOKUP(Y$1,'FLA Reading Logic'!$J$22:$K$31,2,FALSE),FALSE)),"Set Grade")</f>
        <v>Set Grade</v>
      </c>
      <c r="AB29" s="98" t="str">
        <f>IF($E29="Yes","IPP",IFERROR(IF(AND(Y29&gt;Z29,Y29&lt;AA29),"0",(VLOOKUP(Y29,'FLA Reading Logic'!$A$22:$B$53,2,FALSE))-(IF(VLOOKUP(Y29,'FLA Reading Logic'!$A$22:$B$53,2,FALSE)&lt;=VLOOKUP(Z29,'FLA Reading Logic'!$A$22:$B$53,2,FALSE),VLOOKUP(Z29,'FLA Reading Logic'!$A$22:$B$53,2,FALSE),IF(VLOOKUP(Y29,'FLA Reading Logic'!$A$22:$B$53,2,FALSE)&gt;=VLOOKUP(AA29,'FLA Reading Logic'!$A$22:$B$53,2,FALSE),VLOOKUP(AA29,'FLA Reading Logic'!$A$22:$B$53,2,FALSE),"No Score")))),"No Value"))</f>
        <v>No Value</v>
      </c>
      <c r="AC29" s="97" t="str">
        <f>IFERROR(VLOOKUP(Y29,'FLA Reading Logic'!$A$22:$B$48,2,FALSE)-VLOOKUP($F29,'FLA Reading Logic'!$A$22:$B$48,2,FALSE),"No Value")</f>
        <v>No Value</v>
      </c>
      <c r="AD29" s="96" t="str">
        <f>IF($E29="Yes","IPP",IFERROR(IF(AND(Y29&gt;$J29,Y29&lt;$K29),"0",(VLOOKUP(Y29,'FLA Reading Logic'!$A$22:$B$53,2,FALSE))-(IF(VLOOKUP(Y29,'FLA Reading Logic'!$A$22:$B$53,2,FALSE)&lt;=VLOOKUP($J29,'FLA Reading Logic'!$A$22:$B$53,2,FALSE),VLOOKUP($J29,'FLA Reading Logic'!$A$22:$B$53,2,FALSE),IF(VLOOKUP(Y29,'FLA Reading Logic'!$A$22:$B$53,2,FALSE)&gt;=VLOOKUP($K29,'FLA Reading Logic'!$A$22:$B$53,2,FALSE),VLOOKUP($K29,'FLA Reading Logic'!$A$22:$B$53,2,FALSE),"No Score")))),"No Value"))</f>
        <v>No Value</v>
      </c>
      <c r="AE29" s="179"/>
      <c r="AF29" s="96" t="str">
        <f>IFERROR(IF($E29="Yes","IPP",VLOOKUP($L29,'FLA Reading Logic'!$A$3:$K$9,VLOOKUP(AE$1,'FLA Reading Logic'!$J$22:$K$31,2,FALSE),FALSE)),"Set Grade")</f>
        <v>Set Grade</v>
      </c>
      <c r="AG29" s="96" t="str">
        <f>IFERROR(IF($E29="Yes","IPP",VLOOKUP($L29,'FLA Reading Logic'!$A$13:$K$19,VLOOKUP(AE$1,'FLA Reading Logic'!$J$22:$K$31,2,FALSE),FALSE)),"Set Grade")</f>
        <v>Set Grade</v>
      </c>
      <c r="AH29" s="98" t="str">
        <f>IF($E29="Yes","IPP",IFERROR(IF(AND(AE29&gt;AF29,AE29&lt;AG29),"0",(VLOOKUP(AE29,'FLA Reading Logic'!$A$22:$B$53,2,FALSE))-(IF(VLOOKUP(AE29,'FLA Reading Logic'!$A$22:$B$53,2,FALSE)&lt;=VLOOKUP(AF29,'FLA Reading Logic'!$A$22:$B$53,2,FALSE),VLOOKUP(AF29,'FLA Reading Logic'!$A$22:$B$53,2,FALSE),IF(VLOOKUP(AE29,'FLA Reading Logic'!$A$22:$B$53,2,FALSE)&gt;=VLOOKUP(AG29,'FLA Reading Logic'!$A$22:$B$53,2,FALSE),VLOOKUP(AG29,'FLA Reading Logic'!$A$22:$B$53,2,FALSE),"No Score")))),"No Value"))</f>
        <v>No Value</v>
      </c>
      <c r="AI29" s="96" t="str">
        <f>IFERROR(VLOOKUP(AE29,'FLA Reading Logic'!$A$22:$B$48,2,FALSE)-VLOOKUP($F29,'FLA Reading Logic'!$A$22:$B$48,2,FALSE),"No Value")</f>
        <v>No Value</v>
      </c>
      <c r="AJ29" s="96" t="str">
        <f>IF($E29="Yes","IPP",IFERROR(IF(AND(AE29&gt;$J29,AE29&lt;$K29),"0",(VLOOKUP(AE29,'FLA Reading Logic'!$A$22:$B$53,2,FALSE))-(IF(VLOOKUP(AE29,'FLA Reading Logic'!$A$22:$B$53,2,FALSE)&lt;=VLOOKUP($J29,'FLA Reading Logic'!$A$22:$B$53,2,FALSE),VLOOKUP($J29,'FLA Reading Logic'!$A$22:$B$53,2,FALSE),IF(VLOOKUP(AE29,'FLA Reading Logic'!$A$22:$B$53,2,FALSE)&gt;=VLOOKUP($K29,'FLA Reading Logic'!$A$22:$B$53,2,FALSE),VLOOKUP($K29,'FLA Reading Logic'!$A$22:$B$53,2,FALSE),"No Score")))),"No Value"))</f>
        <v>No Value</v>
      </c>
      <c r="AK29" s="179"/>
      <c r="AL29" s="96" t="str">
        <f>IFERROR(IF($E29="Yes","IPP",VLOOKUP($L29,'FLA Reading Logic'!$A$3:$K$9,VLOOKUP(AK$1,'FLA Reading Logic'!$J$22:$K$31,2,FALSE),FALSE)),"Set Grade")</f>
        <v>Set Grade</v>
      </c>
      <c r="AM29" s="96" t="str">
        <f>IFERROR(IF($E29="Yes","IPP",VLOOKUP($L29,'FLA Reading Logic'!$A$13:$K$19,VLOOKUP(AK$1,'FLA Reading Logic'!$J$22:$K$31,2,FALSE),FALSE)),"Set Grade")</f>
        <v>Set Grade</v>
      </c>
      <c r="AN29" s="98" t="str">
        <f>IF($E29="Yes","IPP",IFERROR(IF(AND(AK29&gt;AL29,AK29&lt;AM29),"0",(VLOOKUP(AK29,'FLA Reading Logic'!$A$22:$B$53,2,FALSE))-(IF(VLOOKUP(AK29,'FLA Reading Logic'!$A$22:$B$53,2,FALSE)&lt;=VLOOKUP(AL29,'FLA Reading Logic'!$A$22:$B$53,2,FALSE),VLOOKUP(AL29,'FLA Reading Logic'!$A$22:$B$53,2,FALSE),IF(VLOOKUP(AK29,'FLA Reading Logic'!$A$22:$B$53,2,FALSE)&gt;=VLOOKUP(AM29,'FLA Reading Logic'!$A$22:$B$53,2,FALSE),VLOOKUP(AM29,'FLA Reading Logic'!$A$22:$B$53,2,FALSE),"No Score")))),"No Value"))</f>
        <v>No Value</v>
      </c>
      <c r="AO29" s="96" t="str">
        <f>IFERROR(VLOOKUP(AK29,'FLA Reading Logic'!$A$22:$B$48,2,FALSE)-VLOOKUP($F29,'FLA Reading Logic'!$A$22:$B$48,2,FALSE),"No Value")</f>
        <v>No Value</v>
      </c>
      <c r="AP29" s="96" t="str">
        <f>IF($E29="Yes","IPP",IFERROR(IF(AND(AK29&gt;$J29,AK29&lt;$K29),"0",(VLOOKUP(AK29,'FLA Reading Logic'!$A$22:$B$53,2,FALSE))-(IF(VLOOKUP(AK29,'FLA Reading Logic'!$A$22:$B$53,2,FALSE)&lt;=VLOOKUP($J29,'FLA Reading Logic'!$A$22:$B$53,2,FALSE),VLOOKUP($J29,'FLA Reading Logic'!$A$22:$B$53,2,FALSE),IF(VLOOKUP(AK29,'FLA Reading Logic'!$A$22:$B$53,2,FALSE)&gt;=VLOOKUP($K29,'FLA Reading Logic'!$A$22:$B$53,2,FALSE),VLOOKUP($K29,'FLA Reading Logic'!$A$22:$B$53,2,FALSE),"No Score")))),"No Value"))</f>
        <v>No Value</v>
      </c>
      <c r="AQ29" s="179"/>
      <c r="AR29" s="96" t="str">
        <f>IFERROR(IF($E29="Yes","IPP",VLOOKUP($L29,'FLA Reading Logic'!$A$3:$K$9,VLOOKUP(AQ$1,'FLA Reading Logic'!$J$22:$K$31,2,FALSE),FALSE)),"Set Grade")</f>
        <v>Set Grade</v>
      </c>
      <c r="AS29" s="96" t="str">
        <f>IFERROR(IF($E29="Yes","IPP",VLOOKUP($L29,'FLA Reading Logic'!$A$13:$K$19,VLOOKUP(AQ$1,'FLA Reading Logic'!$J$22:$K$31,2,FALSE),FALSE)),"Set Grade")</f>
        <v>Set Grade</v>
      </c>
      <c r="AT29" s="98" t="str">
        <f>IF($E29="Yes","IPP",IFERROR(IF(AND(AQ29&gt;AR29,AQ29&lt;AS29),"0",(VLOOKUP(AQ29,'FLA Reading Logic'!$A$22:$B$53,2,FALSE))-(IF(VLOOKUP(AQ29,'FLA Reading Logic'!$A$22:$B$53,2,FALSE)&lt;=VLOOKUP(AR29,'FLA Reading Logic'!$A$22:$B$53,2,FALSE),VLOOKUP(AR29,'FLA Reading Logic'!$A$22:$B$53,2,FALSE),IF(VLOOKUP(AQ29,'FLA Reading Logic'!$A$22:$B$53,2,FALSE)&gt;=VLOOKUP(AS29,'FLA Reading Logic'!$A$22:$B$53,2,FALSE),VLOOKUP(AS29,'FLA Reading Logic'!$A$22:$B$53,2,FALSE),"No Score")))),"No Value"))</f>
        <v>No Value</v>
      </c>
      <c r="AU29" s="96" t="str">
        <f>IFERROR(VLOOKUP(AQ29,'FLA Reading Logic'!$A$22:$B$48,2,FALSE)-VLOOKUP($F29,'FLA Reading Logic'!$A$22:$B$48,2,FALSE),"No Value")</f>
        <v>No Value</v>
      </c>
      <c r="AV29" s="96" t="str">
        <f>IF($E29="Yes","IPP",IFERROR(IF(AND(AQ29&gt;$J29,AQ29&lt;$K29),"0",(VLOOKUP(AQ29,'FLA Reading Logic'!$A$22:$B$53,2,FALSE))-(IF(VLOOKUP(AQ29,'FLA Reading Logic'!$A$22:$B$53,2,FALSE)&lt;=VLOOKUP($J29,'FLA Reading Logic'!$A$22:$B$53,2,FALSE),VLOOKUP($J29,'FLA Reading Logic'!$A$22:$B$53,2,FALSE),IF(VLOOKUP(AQ29,'FLA Reading Logic'!$A$22:$B$53,2,FALSE)&gt;=VLOOKUP($K29,'FLA Reading Logic'!$A$22:$B$53,2,FALSE),VLOOKUP($K29,'FLA Reading Logic'!$A$22:$B$53,2,FALSE),"No Score")))),"No Value"))</f>
        <v>No Value</v>
      </c>
      <c r="AW29" s="179"/>
      <c r="AX29" s="96" t="str">
        <f>IFERROR(IF($E29="Yes","IPP",VLOOKUP($L29,'FLA Reading Logic'!$A$3:$K$9,VLOOKUP(AW$1,'FLA Reading Logic'!$J$22:$K$31,2,FALSE),FALSE)),"Set Grade")</f>
        <v>Set Grade</v>
      </c>
      <c r="AY29" s="96" t="str">
        <f>IFERROR(IF($E29="Yes","IPP",VLOOKUP($L29,'FLA Reading Logic'!$A$13:$K$19,VLOOKUP(AW$1,'FLA Reading Logic'!$J$22:$K$31,2,FALSE),FALSE)),"Set Grade")</f>
        <v>Set Grade</v>
      </c>
      <c r="AZ29" s="98" t="str">
        <f>IF($E29="Yes","IPP",IFERROR(IF(AND(AW29&gt;AX29,AW29&lt;AY29),"0",(VLOOKUP(AW29,'FLA Reading Logic'!$A$22:$B$53,2,FALSE))-(IF(VLOOKUP(AW29,'FLA Reading Logic'!$A$22:$B$53,2,FALSE)&lt;=VLOOKUP(AX29,'FLA Reading Logic'!$A$22:$B$53,2,FALSE),VLOOKUP(AX29,'FLA Reading Logic'!$A$22:$B$53,2,FALSE),IF(VLOOKUP(AW29,'FLA Reading Logic'!$A$22:$B$53,2,FALSE)&gt;=VLOOKUP(AY29,'FLA Reading Logic'!$A$22:$B$53,2,FALSE),VLOOKUP(AY29,'FLA Reading Logic'!$A$22:$B$53,2,FALSE),"No Score")))),"No Value"))</f>
        <v>No Value</v>
      </c>
      <c r="BA29" s="96" t="str">
        <f>IFERROR(VLOOKUP(AW29,'FLA Reading Logic'!$A$22:$B$48,2,FALSE)-VLOOKUP($F29,'FLA Reading Logic'!$A$22:$B$48,2,FALSE),"No Value")</f>
        <v>No Value</v>
      </c>
      <c r="BB29" s="96" t="str">
        <f>IF($E29="Yes","IPP",IFERROR(IF(AND(AW29&gt;$J29,AW29&lt;$K29),"0",(VLOOKUP(AW29,'FLA Reading Logic'!$A$22:$B$53,2,FALSE))-(IF(VLOOKUP(AW29,'FLA Reading Logic'!$A$22:$B$53,2,FALSE)&lt;=VLOOKUP($J29,'FLA Reading Logic'!$A$22:$B$53,2,FALSE),VLOOKUP($J29,'FLA Reading Logic'!$A$22:$B$53,2,FALSE),IF(VLOOKUP(AW29,'FLA Reading Logic'!$A$22:$B$53,2,FALSE)&gt;=VLOOKUP($K29,'FLA Reading Logic'!$A$22:$B$53,2,FALSE),VLOOKUP($K29,'FLA Reading Logic'!$A$22:$B$53,2,FALSE),"No Score")))),"No Value"))</f>
        <v>No Value</v>
      </c>
    </row>
    <row r="30" spans="1:54" ht="26.25" customHeight="1" thickBot="1" x14ac:dyDescent="0.3">
      <c r="A30" s="96"/>
      <c r="B30" s="98"/>
      <c r="C30" s="98"/>
      <c r="D30" s="98"/>
      <c r="E30" s="179"/>
      <c r="F30" s="92"/>
      <c r="G30" s="98" t="str">
        <f>IFERROR(IF($E30="Yes","IPP",VLOOKUP($J30,'ELA Reading Logic'!$A$3:$K$9,VLOOKUP("September",'ELA Reading Logic'!$J$22:$K$31,2,FALSE),FALSE)),"Set Grade")</f>
        <v>Set Grade</v>
      </c>
      <c r="H30" s="98" t="str">
        <f>IFERROR(IF($E30="Yes","IPP",VLOOKUP($J30,'ELA Reading Logic'!$A$13:$K$19,VLOOKUP("September",'ELA Reading Logic'!$J$22:$K$31,2,FALSE),FALSE)),"Set Grade")</f>
        <v>Set Grade</v>
      </c>
      <c r="I30" s="98" t="str">
        <f>IF($E30="Yes","IPP",IFERROR(IF(AND(F30&gt;G30,F30&lt;H30),"0",(VLOOKUP(F30,'ELA Reading Logic'!$A$22:$B$48,2,FALSE))-(IF(VLOOKUP(F30,'ELA Reading Logic'!$A$22:$B$48,2,FALSE)&lt;=VLOOKUP(G30,'ELA Reading Logic'!$A$22:$B$48,2,FALSE),VLOOKUP(G30,'ELA Reading Logic'!$A$22:$B$48,2,FALSE),IF(VLOOKUP(F30,'ELA Reading Logic'!$A$22:$B$48,2,FALSE)&gt;=VLOOKUP(H30,'ELA Reading Logic'!$A$22:$B$48,2,FALSE),VLOOKUP(H30,'ELA Reading Logic'!$A$22:$B$48,2,FALSE),"No Score")))),"No Value"))</f>
        <v>No Value</v>
      </c>
      <c r="J30" s="96" t="str">
        <f>IFERROR(VLOOKUP($L30,'FLA Reading Logic'!$A$3:$K$9,11,FALSE),"Set Grade")</f>
        <v>Set Grade</v>
      </c>
      <c r="K30" s="96" t="str">
        <f>IFERROR(VLOOKUP($L30,'FLA Reading Logic'!$A$13:$K$19,11,FALSE),"Set Grade")</f>
        <v>Set Grade</v>
      </c>
      <c r="L30" s="180"/>
      <c r="M30" s="98"/>
      <c r="N30" s="98"/>
      <c r="O30" s="98"/>
      <c r="P30" s="98"/>
      <c r="Q30" s="98"/>
      <c r="R30" s="181"/>
      <c r="S30" s="182"/>
      <c r="T30" s="98" t="str">
        <f>IFERROR(IF($E30="Yes","IPP",VLOOKUP($L30,'FLA Reading Logic'!$A$3:$K$9,VLOOKUP(S$1,'FLA Reading Logic'!$J$22:$K$31,2,FALSE),FALSE)),"Set Grade")</f>
        <v>Set Grade</v>
      </c>
      <c r="U30" s="98" t="str">
        <f>IFERROR(IF($E30="Yes","IPP",VLOOKUP($L30,'FLA Reading Logic'!$A$13:$K$19,VLOOKUP(S$1,'FLA Reading Logic'!$J$22:$K$31,2,FALSE),FALSE)),"Set Grade")</f>
        <v>Set Grade</v>
      </c>
      <c r="V30" s="98" t="str">
        <f>IF($E30="Yes","IPP",IFERROR(IF(AND(S30&gt;T30,S30&lt;U30),"0",(VLOOKUP(S30,'FLA Reading Logic'!$A$22:$B$53,2,FALSE))-(IF(VLOOKUP(S30,'FLA Reading Logic'!$A$22:$B$53,2,FALSE)&lt;=VLOOKUP(T30,'FLA Reading Logic'!$A$22:$B$53,2,FALSE),VLOOKUP(T30,'FLA Reading Logic'!$A$22:$B$53,2,FALSE),IF(VLOOKUP(S30,'FLA Reading Logic'!$A$22:$B$53,2,FALSE)&gt;=VLOOKUP(U30,'FLA Reading Logic'!$A$22:$B$53,2,FALSE),VLOOKUP(U30,'FLA Reading Logic'!$A$22:$B$53,2,FALSE),"No Score")))),"No Value"))</f>
        <v>No Value</v>
      </c>
      <c r="W30" s="98" t="str">
        <f>IFERROR(VLOOKUP(S30,'FLA Reading Logic'!$A$22:$B$53,2,FALSE)-VLOOKUP($F30,'FLA Reading Logic'!$A$22:$B$53,2,FALSE),"No Value")</f>
        <v>No Value</v>
      </c>
      <c r="X30" s="96" t="str">
        <f>IF($E30="Yes","IPP",IFERROR(IF(AND(S30&gt;$J30,S30&lt;$K30),"0",(VLOOKUP(S30,'FLA Reading Logic'!$A$22:$B$53,2,FALSE))-(IF(VLOOKUP(S30,'FLA Reading Logic'!$A$22:$B$53,2,FALSE)&lt;=VLOOKUP($J30,'FLA Reading Logic'!$A$22:$B$53,2,FALSE),VLOOKUP($J30,'FLA Reading Logic'!$A$22:$B$53,2,FALSE),IF(VLOOKUP(S30,'FLA Reading Logic'!$A$22:$B$53,2,FALSE)&gt;=VLOOKUP($K30,'FLA Reading Logic'!$A$22:$B$53,2,FALSE),VLOOKUP($K30,'FLA Reading Logic'!$A$22:$B$53,2,FALSE),"No Score")))),"No Value"))</f>
        <v>No Value</v>
      </c>
      <c r="Y30" s="179"/>
      <c r="Z30" s="98" t="str">
        <f>IFERROR(IF($E30="Yes","IPP",VLOOKUP($L30,'FLA Reading Logic'!$A$3:$K$9,VLOOKUP(Y$1,'FLA Reading Logic'!$J$22:$K$31,2,FALSE),FALSE)),"Set Grade")</f>
        <v>Set Grade</v>
      </c>
      <c r="AA30" s="98" t="str">
        <f>IFERROR(IF($E30="Yes","IPP",VLOOKUP($L30,'FLA Reading Logic'!$A$13:$K$19,VLOOKUP(Y$1,'FLA Reading Logic'!$J$22:$K$31,2,FALSE),FALSE)),"Set Grade")</f>
        <v>Set Grade</v>
      </c>
      <c r="AB30" s="98" t="str">
        <f>IF($E30="Yes","IPP",IFERROR(IF(AND(Y30&gt;Z30,Y30&lt;AA30),"0",(VLOOKUP(Y30,'FLA Reading Logic'!$A$22:$B$53,2,FALSE))-(IF(VLOOKUP(Y30,'FLA Reading Logic'!$A$22:$B$53,2,FALSE)&lt;=VLOOKUP(Z30,'FLA Reading Logic'!$A$22:$B$53,2,FALSE),VLOOKUP(Z30,'FLA Reading Logic'!$A$22:$B$53,2,FALSE),IF(VLOOKUP(Y30,'FLA Reading Logic'!$A$22:$B$53,2,FALSE)&gt;=VLOOKUP(AA30,'FLA Reading Logic'!$A$22:$B$53,2,FALSE),VLOOKUP(AA30,'FLA Reading Logic'!$A$22:$B$53,2,FALSE),"No Score")))),"No Value"))</f>
        <v>No Value</v>
      </c>
      <c r="AC30" s="97" t="str">
        <f>IFERROR(VLOOKUP(Y30,'FLA Reading Logic'!$A$22:$B$48,2,FALSE)-VLOOKUP($F30,'FLA Reading Logic'!$A$22:$B$48,2,FALSE),"No Value")</f>
        <v>No Value</v>
      </c>
      <c r="AD30" s="96" t="str">
        <f>IF($E30="Yes","IPP",IFERROR(IF(AND(Y30&gt;$J30,Y30&lt;$K30),"0",(VLOOKUP(Y30,'FLA Reading Logic'!$A$22:$B$53,2,FALSE))-(IF(VLOOKUP(Y30,'FLA Reading Logic'!$A$22:$B$53,2,FALSE)&lt;=VLOOKUP($J30,'FLA Reading Logic'!$A$22:$B$53,2,FALSE),VLOOKUP($J30,'FLA Reading Logic'!$A$22:$B$53,2,FALSE),IF(VLOOKUP(Y30,'FLA Reading Logic'!$A$22:$B$53,2,FALSE)&gt;=VLOOKUP($K30,'FLA Reading Logic'!$A$22:$B$53,2,FALSE),VLOOKUP($K30,'FLA Reading Logic'!$A$22:$B$53,2,FALSE),"No Score")))),"No Value"))</f>
        <v>No Value</v>
      </c>
      <c r="AE30" s="179"/>
      <c r="AF30" s="96" t="str">
        <f>IFERROR(IF($E30="Yes","IPP",VLOOKUP($L30,'FLA Reading Logic'!$A$3:$K$9,VLOOKUP(AE$1,'FLA Reading Logic'!$J$22:$K$31,2,FALSE),FALSE)),"Set Grade")</f>
        <v>Set Grade</v>
      </c>
      <c r="AG30" s="96" t="str">
        <f>IFERROR(IF($E30="Yes","IPP",VLOOKUP($L30,'FLA Reading Logic'!$A$13:$K$19,VLOOKUP(AE$1,'FLA Reading Logic'!$J$22:$K$31,2,FALSE),FALSE)),"Set Grade")</f>
        <v>Set Grade</v>
      </c>
      <c r="AH30" s="98" t="str">
        <f>IF($E30="Yes","IPP",IFERROR(IF(AND(AE30&gt;AF30,AE30&lt;AG30),"0",(VLOOKUP(AE30,'FLA Reading Logic'!$A$22:$B$53,2,FALSE))-(IF(VLOOKUP(AE30,'FLA Reading Logic'!$A$22:$B$53,2,FALSE)&lt;=VLOOKUP(AF30,'FLA Reading Logic'!$A$22:$B$53,2,FALSE),VLOOKUP(AF30,'FLA Reading Logic'!$A$22:$B$53,2,FALSE),IF(VLOOKUP(AE30,'FLA Reading Logic'!$A$22:$B$53,2,FALSE)&gt;=VLOOKUP(AG30,'FLA Reading Logic'!$A$22:$B$53,2,FALSE),VLOOKUP(AG30,'FLA Reading Logic'!$A$22:$B$53,2,FALSE),"No Score")))),"No Value"))</f>
        <v>No Value</v>
      </c>
      <c r="AI30" s="96" t="str">
        <f>IFERROR(VLOOKUP(AE30,'FLA Reading Logic'!$A$22:$B$48,2,FALSE)-VLOOKUP($F30,'FLA Reading Logic'!$A$22:$B$48,2,FALSE),"No Value")</f>
        <v>No Value</v>
      </c>
      <c r="AJ30" s="96" t="str">
        <f>IF($E30="Yes","IPP",IFERROR(IF(AND(AE30&gt;$J30,AE30&lt;$K30),"0",(VLOOKUP(AE30,'FLA Reading Logic'!$A$22:$B$53,2,FALSE))-(IF(VLOOKUP(AE30,'FLA Reading Logic'!$A$22:$B$53,2,FALSE)&lt;=VLOOKUP($J30,'FLA Reading Logic'!$A$22:$B$53,2,FALSE),VLOOKUP($J30,'FLA Reading Logic'!$A$22:$B$53,2,FALSE),IF(VLOOKUP(AE30,'FLA Reading Logic'!$A$22:$B$53,2,FALSE)&gt;=VLOOKUP($K30,'FLA Reading Logic'!$A$22:$B$53,2,FALSE),VLOOKUP($K30,'FLA Reading Logic'!$A$22:$B$53,2,FALSE),"No Score")))),"No Value"))</f>
        <v>No Value</v>
      </c>
      <c r="AK30" s="179"/>
      <c r="AL30" s="96" t="str">
        <f>IFERROR(IF($E30="Yes","IPP",VLOOKUP($L30,'FLA Reading Logic'!$A$3:$K$9,VLOOKUP(AK$1,'FLA Reading Logic'!$J$22:$K$31,2,FALSE),FALSE)),"Set Grade")</f>
        <v>Set Grade</v>
      </c>
      <c r="AM30" s="96" t="str">
        <f>IFERROR(IF($E30="Yes","IPP",VLOOKUP($L30,'FLA Reading Logic'!$A$13:$K$19,VLOOKUP(AK$1,'FLA Reading Logic'!$J$22:$K$31,2,FALSE),FALSE)),"Set Grade")</f>
        <v>Set Grade</v>
      </c>
      <c r="AN30" s="98" t="str">
        <f>IF($E30="Yes","IPP",IFERROR(IF(AND(AK30&gt;AL30,AK30&lt;AM30),"0",(VLOOKUP(AK30,'FLA Reading Logic'!$A$22:$B$53,2,FALSE))-(IF(VLOOKUP(AK30,'FLA Reading Logic'!$A$22:$B$53,2,FALSE)&lt;=VLOOKUP(AL30,'FLA Reading Logic'!$A$22:$B$53,2,FALSE),VLOOKUP(AL30,'FLA Reading Logic'!$A$22:$B$53,2,FALSE),IF(VLOOKUP(AK30,'FLA Reading Logic'!$A$22:$B$53,2,FALSE)&gt;=VLOOKUP(AM30,'FLA Reading Logic'!$A$22:$B$53,2,FALSE),VLOOKUP(AM30,'FLA Reading Logic'!$A$22:$B$53,2,FALSE),"No Score")))),"No Value"))</f>
        <v>No Value</v>
      </c>
      <c r="AO30" s="96" t="str">
        <f>IFERROR(VLOOKUP(AK30,'FLA Reading Logic'!$A$22:$B$48,2,FALSE)-VLOOKUP($F30,'FLA Reading Logic'!$A$22:$B$48,2,FALSE),"No Value")</f>
        <v>No Value</v>
      </c>
      <c r="AP30" s="96" t="str">
        <f>IF($E30="Yes","IPP",IFERROR(IF(AND(AK30&gt;$J30,AK30&lt;$K30),"0",(VLOOKUP(AK30,'FLA Reading Logic'!$A$22:$B$53,2,FALSE))-(IF(VLOOKUP(AK30,'FLA Reading Logic'!$A$22:$B$53,2,FALSE)&lt;=VLOOKUP($J30,'FLA Reading Logic'!$A$22:$B$53,2,FALSE),VLOOKUP($J30,'FLA Reading Logic'!$A$22:$B$53,2,FALSE),IF(VLOOKUP(AK30,'FLA Reading Logic'!$A$22:$B$53,2,FALSE)&gt;=VLOOKUP($K30,'FLA Reading Logic'!$A$22:$B$53,2,FALSE),VLOOKUP($K30,'FLA Reading Logic'!$A$22:$B$53,2,FALSE),"No Score")))),"No Value"))</f>
        <v>No Value</v>
      </c>
      <c r="AQ30" s="179"/>
      <c r="AR30" s="96" t="str">
        <f>IFERROR(IF($E30="Yes","IPP",VLOOKUP($L30,'FLA Reading Logic'!$A$3:$K$9,VLOOKUP(AQ$1,'FLA Reading Logic'!$J$22:$K$31,2,FALSE),FALSE)),"Set Grade")</f>
        <v>Set Grade</v>
      </c>
      <c r="AS30" s="96" t="str">
        <f>IFERROR(IF($E30="Yes","IPP",VLOOKUP($L30,'FLA Reading Logic'!$A$13:$K$19,VLOOKUP(AQ$1,'FLA Reading Logic'!$J$22:$K$31,2,FALSE),FALSE)),"Set Grade")</f>
        <v>Set Grade</v>
      </c>
      <c r="AT30" s="98" t="str">
        <f>IF($E30="Yes","IPP",IFERROR(IF(AND(AQ30&gt;AR30,AQ30&lt;AS30),"0",(VLOOKUP(AQ30,'FLA Reading Logic'!$A$22:$B$53,2,FALSE))-(IF(VLOOKUP(AQ30,'FLA Reading Logic'!$A$22:$B$53,2,FALSE)&lt;=VLOOKUP(AR30,'FLA Reading Logic'!$A$22:$B$53,2,FALSE),VLOOKUP(AR30,'FLA Reading Logic'!$A$22:$B$53,2,FALSE),IF(VLOOKUP(AQ30,'FLA Reading Logic'!$A$22:$B$53,2,FALSE)&gt;=VLOOKUP(AS30,'FLA Reading Logic'!$A$22:$B$53,2,FALSE),VLOOKUP(AS30,'FLA Reading Logic'!$A$22:$B$53,2,FALSE),"No Score")))),"No Value"))</f>
        <v>No Value</v>
      </c>
      <c r="AU30" s="96" t="str">
        <f>IFERROR(VLOOKUP(AQ30,'FLA Reading Logic'!$A$22:$B$48,2,FALSE)-VLOOKUP($F30,'FLA Reading Logic'!$A$22:$B$48,2,FALSE),"No Value")</f>
        <v>No Value</v>
      </c>
      <c r="AV30" s="96" t="str">
        <f>IF($E30="Yes","IPP",IFERROR(IF(AND(AQ30&gt;$J30,AQ30&lt;$K30),"0",(VLOOKUP(AQ30,'FLA Reading Logic'!$A$22:$B$53,2,FALSE))-(IF(VLOOKUP(AQ30,'FLA Reading Logic'!$A$22:$B$53,2,FALSE)&lt;=VLOOKUP($J30,'FLA Reading Logic'!$A$22:$B$53,2,FALSE),VLOOKUP($J30,'FLA Reading Logic'!$A$22:$B$53,2,FALSE),IF(VLOOKUP(AQ30,'FLA Reading Logic'!$A$22:$B$53,2,FALSE)&gt;=VLOOKUP($K30,'FLA Reading Logic'!$A$22:$B$53,2,FALSE),VLOOKUP($K30,'FLA Reading Logic'!$A$22:$B$53,2,FALSE),"No Score")))),"No Value"))</f>
        <v>No Value</v>
      </c>
      <c r="AW30" s="179"/>
      <c r="AX30" s="96" t="str">
        <f>IFERROR(IF($E30="Yes","IPP",VLOOKUP($L30,'FLA Reading Logic'!$A$3:$K$9,VLOOKUP(AW$1,'FLA Reading Logic'!$J$22:$K$31,2,FALSE),FALSE)),"Set Grade")</f>
        <v>Set Grade</v>
      </c>
      <c r="AY30" s="96" t="str">
        <f>IFERROR(IF($E30="Yes","IPP",VLOOKUP($L30,'FLA Reading Logic'!$A$13:$K$19,VLOOKUP(AW$1,'FLA Reading Logic'!$J$22:$K$31,2,FALSE),FALSE)),"Set Grade")</f>
        <v>Set Grade</v>
      </c>
      <c r="AZ30" s="98" t="str">
        <f>IF($E30="Yes","IPP",IFERROR(IF(AND(AW30&gt;AX30,AW30&lt;AY30),"0",(VLOOKUP(AW30,'FLA Reading Logic'!$A$22:$B$53,2,FALSE))-(IF(VLOOKUP(AW30,'FLA Reading Logic'!$A$22:$B$53,2,FALSE)&lt;=VLOOKUP(AX30,'FLA Reading Logic'!$A$22:$B$53,2,FALSE),VLOOKUP(AX30,'FLA Reading Logic'!$A$22:$B$53,2,FALSE),IF(VLOOKUP(AW30,'FLA Reading Logic'!$A$22:$B$53,2,FALSE)&gt;=VLOOKUP(AY30,'FLA Reading Logic'!$A$22:$B$53,2,FALSE),VLOOKUP(AY30,'FLA Reading Logic'!$A$22:$B$53,2,FALSE),"No Score")))),"No Value"))</f>
        <v>No Value</v>
      </c>
      <c r="BA30" s="96" t="str">
        <f>IFERROR(VLOOKUP(AW30,'FLA Reading Logic'!$A$22:$B$48,2,FALSE)-VLOOKUP($F30,'FLA Reading Logic'!$A$22:$B$48,2,FALSE),"No Value")</f>
        <v>No Value</v>
      </c>
      <c r="BB30" s="96" t="str">
        <f>IF($E30="Yes","IPP",IFERROR(IF(AND(AW30&gt;$J30,AW30&lt;$K30),"0",(VLOOKUP(AW30,'FLA Reading Logic'!$A$22:$B$53,2,FALSE))-(IF(VLOOKUP(AW30,'FLA Reading Logic'!$A$22:$B$53,2,FALSE)&lt;=VLOOKUP($J30,'FLA Reading Logic'!$A$22:$B$53,2,FALSE),VLOOKUP($J30,'FLA Reading Logic'!$A$22:$B$53,2,FALSE),IF(VLOOKUP(AW30,'FLA Reading Logic'!$A$22:$B$53,2,FALSE)&gt;=VLOOKUP($K30,'FLA Reading Logic'!$A$22:$B$53,2,FALSE),VLOOKUP($K30,'FLA Reading Logic'!$A$22:$B$53,2,FALSE),"No Score")))),"No Value"))</f>
        <v>No Value</v>
      </c>
    </row>
    <row r="31" spans="1:54" ht="26.25" customHeight="1" thickBot="1" x14ac:dyDescent="0.3">
      <c r="A31" s="96"/>
      <c r="B31" s="98"/>
      <c r="C31" s="98"/>
      <c r="D31" s="98"/>
      <c r="E31" s="179"/>
      <c r="F31" s="92"/>
      <c r="G31" s="98" t="str">
        <f>IFERROR(IF($E31="Yes","IPP",VLOOKUP($J31,'ELA Reading Logic'!$A$3:$K$9,VLOOKUP("September",'ELA Reading Logic'!$J$22:$K$31,2,FALSE),FALSE)),"Set Grade")</f>
        <v>Set Grade</v>
      </c>
      <c r="H31" s="98" t="str">
        <f>IFERROR(IF($E31="Yes","IPP",VLOOKUP($J31,'ELA Reading Logic'!$A$13:$K$19,VLOOKUP("September",'ELA Reading Logic'!$J$22:$K$31,2,FALSE),FALSE)),"Set Grade")</f>
        <v>Set Grade</v>
      </c>
      <c r="I31" s="98" t="str">
        <f>IF($E31="Yes","IPP",IFERROR(IF(AND(F31&gt;G31,F31&lt;H31),"0",(VLOOKUP(F31,'ELA Reading Logic'!$A$22:$B$48,2,FALSE))-(IF(VLOOKUP(F31,'ELA Reading Logic'!$A$22:$B$48,2,FALSE)&lt;=VLOOKUP(G31,'ELA Reading Logic'!$A$22:$B$48,2,FALSE),VLOOKUP(G31,'ELA Reading Logic'!$A$22:$B$48,2,FALSE),IF(VLOOKUP(F31,'ELA Reading Logic'!$A$22:$B$48,2,FALSE)&gt;=VLOOKUP(H31,'ELA Reading Logic'!$A$22:$B$48,2,FALSE),VLOOKUP(H31,'ELA Reading Logic'!$A$22:$B$48,2,FALSE),"No Score")))),"No Value"))</f>
        <v>No Value</v>
      </c>
      <c r="J31" s="96" t="str">
        <f>IFERROR(VLOOKUP($L31,'FLA Reading Logic'!$A$3:$K$9,11,FALSE),"Set Grade")</f>
        <v>Set Grade</v>
      </c>
      <c r="K31" s="96" t="str">
        <f>IFERROR(VLOOKUP($L31,'FLA Reading Logic'!$A$13:$K$19,11,FALSE),"Set Grade")</f>
        <v>Set Grade</v>
      </c>
      <c r="L31" s="180"/>
      <c r="M31" s="98"/>
      <c r="N31" s="98"/>
      <c r="O31" s="98"/>
      <c r="P31" s="98"/>
      <c r="Q31" s="98"/>
      <c r="R31" s="181"/>
      <c r="S31" s="182"/>
      <c r="T31" s="98" t="str">
        <f>IFERROR(IF($E31="Yes","IPP",VLOOKUP($L31,'FLA Reading Logic'!$A$3:$K$9,VLOOKUP(S$1,'FLA Reading Logic'!$J$22:$K$31,2,FALSE),FALSE)),"Set Grade")</f>
        <v>Set Grade</v>
      </c>
      <c r="U31" s="98" t="str">
        <f>IFERROR(IF($E31="Yes","IPP",VLOOKUP($L31,'FLA Reading Logic'!$A$13:$K$19,VLOOKUP(S$1,'FLA Reading Logic'!$J$22:$K$31,2,FALSE),FALSE)),"Set Grade")</f>
        <v>Set Grade</v>
      </c>
      <c r="V31" s="98" t="str">
        <f>IF($E31="Yes","IPP",IFERROR(IF(AND(S31&gt;T31,S31&lt;U31),"0",(VLOOKUP(S31,'FLA Reading Logic'!$A$22:$B$53,2,FALSE))-(IF(VLOOKUP(S31,'FLA Reading Logic'!$A$22:$B$53,2,FALSE)&lt;=VLOOKUP(T31,'FLA Reading Logic'!$A$22:$B$53,2,FALSE),VLOOKUP(T31,'FLA Reading Logic'!$A$22:$B$53,2,FALSE),IF(VLOOKUP(S31,'FLA Reading Logic'!$A$22:$B$53,2,FALSE)&gt;=VLOOKUP(U31,'FLA Reading Logic'!$A$22:$B$53,2,FALSE),VLOOKUP(U31,'FLA Reading Logic'!$A$22:$B$53,2,FALSE),"No Score")))),"No Value"))</f>
        <v>No Value</v>
      </c>
      <c r="W31" s="98" t="str">
        <f>IFERROR(VLOOKUP(S31,'FLA Reading Logic'!$A$22:$B$53,2,FALSE)-VLOOKUP($F31,'FLA Reading Logic'!$A$22:$B$53,2,FALSE),"No Value")</f>
        <v>No Value</v>
      </c>
      <c r="X31" s="96" t="str">
        <f>IF($E31="Yes","IPP",IFERROR(IF(AND(S31&gt;$J31,S31&lt;$K31),"0",(VLOOKUP(S31,'FLA Reading Logic'!$A$22:$B$53,2,FALSE))-(IF(VLOOKUP(S31,'FLA Reading Logic'!$A$22:$B$53,2,FALSE)&lt;=VLOOKUP($J31,'FLA Reading Logic'!$A$22:$B$53,2,FALSE),VLOOKUP($J31,'FLA Reading Logic'!$A$22:$B$53,2,FALSE),IF(VLOOKUP(S31,'FLA Reading Logic'!$A$22:$B$53,2,FALSE)&gt;=VLOOKUP($K31,'FLA Reading Logic'!$A$22:$B$53,2,FALSE),VLOOKUP($K31,'FLA Reading Logic'!$A$22:$B$53,2,FALSE),"No Score")))),"No Value"))</f>
        <v>No Value</v>
      </c>
      <c r="Y31" s="179"/>
      <c r="Z31" s="98" t="str">
        <f>IFERROR(IF($E31="Yes","IPP",VLOOKUP($L31,'FLA Reading Logic'!$A$3:$K$9,VLOOKUP(Y$1,'FLA Reading Logic'!$J$22:$K$31,2,FALSE),FALSE)),"Set Grade")</f>
        <v>Set Grade</v>
      </c>
      <c r="AA31" s="98" t="str">
        <f>IFERROR(IF($E31="Yes","IPP",VLOOKUP($L31,'FLA Reading Logic'!$A$13:$K$19,VLOOKUP(Y$1,'FLA Reading Logic'!$J$22:$K$31,2,FALSE),FALSE)),"Set Grade")</f>
        <v>Set Grade</v>
      </c>
      <c r="AB31" s="98" t="str">
        <f>IF($E31="Yes","IPP",IFERROR(IF(AND(Y31&gt;Z31,Y31&lt;AA31),"0",(VLOOKUP(Y31,'FLA Reading Logic'!$A$22:$B$53,2,FALSE))-(IF(VLOOKUP(Y31,'FLA Reading Logic'!$A$22:$B$53,2,FALSE)&lt;=VLOOKUP(Z31,'FLA Reading Logic'!$A$22:$B$53,2,FALSE),VLOOKUP(Z31,'FLA Reading Logic'!$A$22:$B$53,2,FALSE),IF(VLOOKUP(Y31,'FLA Reading Logic'!$A$22:$B$53,2,FALSE)&gt;=VLOOKUP(AA31,'FLA Reading Logic'!$A$22:$B$53,2,FALSE),VLOOKUP(AA31,'FLA Reading Logic'!$A$22:$B$53,2,FALSE),"No Score")))),"No Value"))</f>
        <v>No Value</v>
      </c>
      <c r="AC31" s="97" t="str">
        <f>IFERROR(VLOOKUP(Y31,'FLA Reading Logic'!$A$22:$B$48,2,FALSE)-VLOOKUP($F31,'FLA Reading Logic'!$A$22:$B$48,2,FALSE),"No Value")</f>
        <v>No Value</v>
      </c>
      <c r="AD31" s="96" t="str">
        <f>IF($E31="Yes","IPP",IFERROR(IF(AND(Y31&gt;$J31,Y31&lt;$K31),"0",(VLOOKUP(Y31,'FLA Reading Logic'!$A$22:$B$53,2,FALSE))-(IF(VLOOKUP(Y31,'FLA Reading Logic'!$A$22:$B$53,2,FALSE)&lt;=VLOOKUP($J31,'FLA Reading Logic'!$A$22:$B$53,2,FALSE),VLOOKUP($J31,'FLA Reading Logic'!$A$22:$B$53,2,FALSE),IF(VLOOKUP(Y31,'FLA Reading Logic'!$A$22:$B$53,2,FALSE)&gt;=VLOOKUP($K31,'FLA Reading Logic'!$A$22:$B$53,2,FALSE),VLOOKUP($K31,'FLA Reading Logic'!$A$22:$B$53,2,FALSE),"No Score")))),"No Value"))</f>
        <v>No Value</v>
      </c>
      <c r="AE31" s="179"/>
      <c r="AF31" s="96" t="str">
        <f>IFERROR(IF($E31="Yes","IPP",VLOOKUP($L31,'FLA Reading Logic'!$A$3:$K$9,VLOOKUP(AE$1,'FLA Reading Logic'!$J$22:$K$31,2,FALSE),FALSE)),"Set Grade")</f>
        <v>Set Grade</v>
      </c>
      <c r="AG31" s="96" t="str">
        <f>IFERROR(IF($E31="Yes","IPP",VLOOKUP($L31,'FLA Reading Logic'!$A$13:$K$19,VLOOKUP(AE$1,'FLA Reading Logic'!$J$22:$K$31,2,FALSE),FALSE)),"Set Grade")</f>
        <v>Set Grade</v>
      </c>
      <c r="AH31" s="98" t="str">
        <f>IF($E31="Yes","IPP",IFERROR(IF(AND(AE31&gt;AF31,AE31&lt;AG31),"0",(VLOOKUP(AE31,'FLA Reading Logic'!$A$22:$B$53,2,FALSE))-(IF(VLOOKUP(AE31,'FLA Reading Logic'!$A$22:$B$53,2,FALSE)&lt;=VLOOKUP(AF31,'FLA Reading Logic'!$A$22:$B$53,2,FALSE),VLOOKUP(AF31,'FLA Reading Logic'!$A$22:$B$53,2,FALSE),IF(VLOOKUP(AE31,'FLA Reading Logic'!$A$22:$B$53,2,FALSE)&gt;=VLOOKUP(AG31,'FLA Reading Logic'!$A$22:$B$53,2,FALSE),VLOOKUP(AG31,'FLA Reading Logic'!$A$22:$B$53,2,FALSE),"No Score")))),"No Value"))</f>
        <v>No Value</v>
      </c>
      <c r="AI31" s="96" t="str">
        <f>IFERROR(VLOOKUP(AE31,'FLA Reading Logic'!$A$22:$B$48,2,FALSE)-VLOOKUP($F31,'FLA Reading Logic'!$A$22:$B$48,2,FALSE),"No Value")</f>
        <v>No Value</v>
      </c>
      <c r="AJ31" s="96" t="str">
        <f>IF($E31="Yes","IPP",IFERROR(IF(AND(AE31&gt;$J31,AE31&lt;$K31),"0",(VLOOKUP(AE31,'FLA Reading Logic'!$A$22:$B$53,2,FALSE))-(IF(VLOOKUP(AE31,'FLA Reading Logic'!$A$22:$B$53,2,FALSE)&lt;=VLOOKUP($J31,'FLA Reading Logic'!$A$22:$B$53,2,FALSE),VLOOKUP($J31,'FLA Reading Logic'!$A$22:$B$53,2,FALSE),IF(VLOOKUP(AE31,'FLA Reading Logic'!$A$22:$B$53,2,FALSE)&gt;=VLOOKUP($K31,'FLA Reading Logic'!$A$22:$B$53,2,FALSE),VLOOKUP($K31,'FLA Reading Logic'!$A$22:$B$53,2,FALSE),"No Score")))),"No Value"))</f>
        <v>No Value</v>
      </c>
      <c r="AK31" s="179"/>
      <c r="AL31" s="96" t="str">
        <f>IFERROR(IF($E31="Yes","IPP",VLOOKUP($L31,'FLA Reading Logic'!$A$3:$K$9,VLOOKUP(AK$1,'FLA Reading Logic'!$J$22:$K$31,2,FALSE),FALSE)),"Set Grade")</f>
        <v>Set Grade</v>
      </c>
      <c r="AM31" s="96" t="str">
        <f>IFERROR(IF($E31="Yes","IPP",VLOOKUP($L31,'FLA Reading Logic'!$A$13:$K$19,VLOOKUP(AK$1,'FLA Reading Logic'!$J$22:$K$31,2,FALSE),FALSE)),"Set Grade")</f>
        <v>Set Grade</v>
      </c>
      <c r="AN31" s="98" t="str">
        <f>IF($E31="Yes","IPP",IFERROR(IF(AND(AK31&gt;AL31,AK31&lt;AM31),"0",(VLOOKUP(AK31,'FLA Reading Logic'!$A$22:$B$53,2,FALSE))-(IF(VLOOKUP(AK31,'FLA Reading Logic'!$A$22:$B$53,2,FALSE)&lt;=VLOOKUP(AL31,'FLA Reading Logic'!$A$22:$B$53,2,FALSE),VLOOKUP(AL31,'FLA Reading Logic'!$A$22:$B$53,2,FALSE),IF(VLOOKUP(AK31,'FLA Reading Logic'!$A$22:$B$53,2,FALSE)&gt;=VLOOKUP(AM31,'FLA Reading Logic'!$A$22:$B$53,2,FALSE),VLOOKUP(AM31,'FLA Reading Logic'!$A$22:$B$53,2,FALSE),"No Score")))),"No Value"))</f>
        <v>No Value</v>
      </c>
      <c r="AO31" s="96" t="str">
        <f>IFERROR(VLOOKUP(AK31,'FLA Reading Logic'!$A$22:$B$48,2,FALSE)-VLOOKUP($F31,'FLA Reading Logic'!$A$22:$B$48,2,FALSE),"No Value")</f>
        <v>No Value</v>
      </c>
      <c r="AP31" s="96" t="str">
        <f>IF($E31="Yes","IPP",IFERROR(IF(AND(AK31&gt;$J31,AK31&lt;$K31),"0",(VLOOKUP(AK31,'FLA Reading Logic'!$A$22:$B$53,2,FALSE))-(IF(VLOOKUP(AK31,'FLA Reading Logic'!$A$22:$B$53,2,FALSE)&lt;=VLOOKUP($J31,'FLA Reading Logic'!$A$22:$B$53,2,FALSE),VLOOKUP($J31,'FLA Reading Logic'!$A$22:$B$53,2,FALSE),IF(VLOOKUP(AK31,'FLA Reading Logic'!$A$22:$B$53,2,FALSE)&gt;=VLOOKUP($K31,'FLA Reading Logic'!$A$22:$B$53,2,FALSE),VLOOKUP($K31,'FLA Reading Logic'!$A$22:$B$53,2,FALSE),"No Score")))),"No Value"))</f>
        <v>No Value</v>
      </c>
      <c r="AQ31" s="179"/>
      <c r="AR31" s="96" t="str">
        <f>IFERROR(IF($E31="Yes","IPP",VLOOKUP($L31,'FLA Reading Logic'!$A$3:$K$9,VLOOKUP(AQ$1,'FLA Reading Logic'!$J$22:$K$31,2,FALSE),FALSE)),"Set Grade")</f>
        <v>Set Grade</v>
      </c>
      <c r="AS31" s="96" t="str">
        <f>IFERROR(IF($E31="Yes","IPP",VLOOKUP($L31,'FLA Reading Logic'!$A$13:$K$19,VLOOKUP(AQ$1,'FLA Reading Logic'!$J$22:$K$31,2,FALSE),FALSE)),"Set Grade")</f>
        <v>Set Grade</v>
      </c>
      <c r="AT31" s="98" t="str">
        <f>IF($E31="Yes","IPP",IFERROR(IF(AND(AQ31&gt;AR31,AQ31&lt;AS31),"0",(VLOOKUP(AQ31,'FLA Reading Logic'!$A$22:$B$53,2,FALSE))-(IF(VLOOKUP(AQ31,'FLA Reading Logic'!$A$22:$B$53,2,FALSE)&lt;=VLOOKUP(AR31,'FLA Reading Logic'!$A$22:$B$53,2,FALSE),VLOOKUP(AR31,'FLA Reading Logic'!$A$22:$B$53,2,FALSE),IF(VLOOKUP(AQ31,'FLA Reading Logic'!$A$22:$B$53,2,FALSE)&gt;=VLOOKUP(AS31,'FLA Reading Logic'!$A$22:$B$53,2,FALSE),VLOOKUP(AS31,'FLA Reading Logic'!$A$22:$B$53,2,FALSE),"No Score")))),"No Value"))</f>
        <v>No Value</v>
      </c>
      <c r="AU31" s="96" t="str">
        <f>IFERROR(VLOOKUP(AQ31,'FLA Reading Logic'!$A$22:$B$48,2,FALSE)-VLOOKUP($F31,'FLA Reading Logic'!$A$22:$B$48,2,FALSE),"No Value")</f>
        <v>No Value</v>
      </c>
      <c r="AV31" s="96" t="str">
        <f>IF($E31="Yes","IPP",IFERROR(IF(AND(AQ31&gt;$J31,AQ31&lt;$K31),"0",(VLOOKUP(AQ31,'FLA Reading Logic'!$A$22:$B$53,2,FALSE))-(IF(VLOOKUP(AQ31,'FLA Reading Logic'!$A$22:$B$53,2,FALSE)&lt;=VLOOKUP($J31,'FLA Reading Logic'!$A$22:$B$53,2,FALSE),VLOOKUP($J31,'FLA Reading Logic'!$A$22:$B$53,2,FALSE),IF(VLOOKUP(AQ31,'FLA Reading Logic'!$A$22:$B$53,2,FALSE)&gt;=VLOOKUP($K31,'FLA Reading Logic'!$A$22:$B$53,2,FALSE),VLOOKUP($K31,'FLA Reading Logic'!$A$22:$B$53,2,FALSE),"No Score")))),"No Value"))</f>
        <v>No Value</v>
      </c>
      <c r="AW31" s="179"/>
      <c r="AX31" s="96" t="str">
        <f>IFERROR(IF($E31="Yes","IPP",VLOOKUP($L31,'FLA Reading Logic'!$A$3:$K$9,VLOOKUP(AW$1,'FLA Reading Logic'!$J$22:$K$31,2,FALSE),FALSE)),"Set Grade")</f>
        <v>Set Grade</v>
      </c>
      <c r="AY31" s="96" t="str">
        <f>IFERROR(IF($E31="Yes","IPP",VLOOKUP($L31,'FLA Reading Logic'!$A$13:$K$19,VLOOKUP(AW$1,'FLA Reading Logic'!$J$22:$K$31,2,FALSE),FALSE)),"Set Grade")</f>
        <v>Set Grade</v>
      </c>
      <c r="AZ31" s="98" t="str">
        <f>IF($E31="Yes","IPP",IFERROR(IF(AND(AW31&gt;AX31,AW31&lt;AY31),"0",(VLOOKUP(AW31,'FLA Reading Logic'!$A$22:$B$53,2,FALSE))-(IF(VLOOKUP(AW31,'FLA Reading Logic'!$A$22:$B$53,2,FALSE)&lt;=VLOOKUP(AX31,'FLA Reading Logic'!$A$22:$B$53,2,FALSE),VLOOKUP(AX31,'FLA Reading Logic'!$A$22:$B$53,2,FALSE),IF(VLOOKUP(AW31,'FLA Reading Logic'!$A$22:$B$53,2,FALSE)&gt;=VLOOKUP(AY31,'FLA Reading Logic'!$A$22:$B$53,2,FALSE),VLOOKUP(AY31,'FLA Reading Logic'!$A$22:$B$53,2,FALSE),"No Score")))),"No Value"))</f>
        <v>No Value</v>
      </c>
      <c r="BA31" s="96" t="str">
        <f>IFERROR(VLOOKUP(AW31,'FLA Reading Logic'!$A$22:$B$48,2,FALSE)-VLOOKUP($F31,'FLA Reading Logic'!$A$22:$B$48,2,FALSE),"No Value")</f>
        <v>No Value</v>
      </c>
      <c r="BB31" s="96" t="str">
        <f>IF($E31="Yes","IPP",IFERROR(IF(AND(AW31&gt;$J31,AW31&lt;$K31),"0",(VLOOKUP(AW31,'FLA Reading Logic'!$A$22:$B$53,2,FALSE))-(IF(VLOOKUP(AW31,'FLA Reading Logic'!$A$22:$B$53,2,FALSE)&lt;=VLOOKUP($J31,'FLA Reading Logic'!$A$22:$B$53,2,FALSE),VLOOKUP($J31,'FLA Reading Logic'!$A$22:$B$53,2,FALSE),IF(VLOOKUP(AW31,'FLA Reading Logic'!$A$22:$B$53,2,FALSE)&gt;=VLOOKUP($K31,'FLA Reading Logic'!$A$22:$B$53,2,FALSE),VLOOKUP($K31,'FLA Reading Logic'!$A$22:$B$53,2,FALSE),"No Score")))),"No Value"))</f>
        <v>No Value</v>
      </c>
    </row>
    <row r="32" spans="1:54" ht="26.25" customHeight="1" thickBot="1" x14ac:dyDescent="0.3">
      <c r="A32" s="96"/>
      <c r="B32" s="98"/>
      <c r="C32" s="98"/>
      <c r="D32" s="98"/>
      <c r="E32" s="179"/>
      <c r="F32" s="92"/>
      <c r="G32" s="98" t="str">
        <f>IFERROR(IF($E32="Yes","IPP",VLOOKUP($J32,'ELA Reading Logic'!$A$3:$K$9,VLOOKUP("September",'ELA Reading Logic'!$J$22:$K$31,2,FALSE),FALSE)),"Set Grade")</f>
        <v>Set Grade</v>
      </c>
      <c r="H32" s="98" t="str">
        <f>IFERROR(IF($E32="Yes","IPP",VLOOKUP($J32,'ELA Reading Logic'!$A$13:$K$19,VLOOKUP("September",'ELA Reading Logic'!$J$22:$K$31,2,FALSE),FALSE)),"Set Grade")</f>
        <v>Set Grade</v>
      </c>
      <c r="I32" s="98" t="str">
        <f>IF($E32="Yes","IPP",IFERROR(IF(AND(F32&gt;G32,F32&lt;H32),"0",(VLOOKUP(F32,'ELA Reading Logic'!$A$22:$B$48,2,FALSE))-(IF(VLOOKUP(F32,'ELA Reading Logic'!$A$22:$B$48,2,FALSE)&lt;=VLOOKUP(G32,'ELA Reading Logic'!$A$22:$B$48,2,FALSE),VLOOKUP(G32,'ELA Reading Logic'!$A$22:$B$48,2,FALSE),IF(VLOOKUP(F32,'ELA Reading Logic'!$A$22:$B$48,2,FALSE)&gt;=VLOOKUP(H32,'ELA Reading Logic'!$A$22:$B$48,2,FALSE),VLOOKUP(H32,'ELA Reading Logic'!$A$22:$B$48,2,FALSE),"No Score")))),"No Value"))</f>
        <v>No Value</v>
      </c>
      <c r="J32" s="96" t="str">
        <f>IFERROR(VLOOKUP($L32,'FLA Reading Logic'!$A$3:$K$9,11,FALSE),"Set Grade")</f>
        <v>Set Grade</v>
      </c>
      <c r="K32" s="96" t="str">
        <f>IFERROR(VLOOKUP($L32,'FLA Reading Logic'!$A$13:$K$19,11,FALSE),"Set Grade")</f>
        <v>Set Grade</v>
      </c>
      <c r="L32" s="180"/>
      <c r="M32" s="98"/>
      <c r="N32" s="98"/>
      <c r="O32" s="98"/>
      <c r="P32" s="98"/>
      <c r="Q32" s="98"/>
      <c r="R32" s="181"/>
      <c r="S32" s="182"/>
      <c r="T32" s="98" t="str">
        <f>IFERROR(IF($E32="Yes","IPP",VLOOKUP($L32,'FLA Reading Logic'!$A$3:$K$9,VLOOKUP(S$1,'FLA Reading Logic'!$J$22:$K$31,2,FALSE),FALSE)),"Set Grade")</f>
        <v>Set Grade</v>
      </c>
      <c r="U32" s="98" t="str">
        <f>IFERROR(IF($E32="Yes","IPP",VLOOKUP($L32,'FLA Reading Logic'!$A$13:$K$19,VLOOKUP(S$1,'FLA Reading Logic'!$J$22:$K$31,2,FALSE),FALSE)),"Set Grade")</f>
        <v>Set Grade</v>
      </c>
      <c r="V32" s="98" t="str">
        <f>IF($E32="Yes","IPP",IFERROR(IF(AND(S32&gt;T32,S32&lt;U32),"0",(VLOOKUP(S32,'FLA Reading Logic'!$A$22:$B$53,2,FALSE))-(IF(VLOOKUP(S32,'FLA Reading Logic'!$A$22:$B$53,2,FALSE)&lt;=VLOOKUP(T32,'FLA Reading Logic'!$A$22:$B$53,2,FALSE),VLOOKUP(T32,'FLA Reading Logic'!$A$22:$B$53,2,FALSE),IF(VLOOKUP(S32,'FLA Reading Logic'!$A$22:$B$53,2,FALSE)&gt;=VLOOKUP(U32,'FLA Reading Logic'!$A$22:$B$53,2,FALSE),VLOOKUP(U32,'FLA Reading Logic'!$A$22:$B$53,2,FALSE),"No Score")))),"No Value"))</f>
        <v>No Value</v>
      </c>
      <c r="W32" s="98" t="str">
        <f>IFERROR(VLOOKUP(S32,'FLA Reading Logic'!$A$22:$B$53,2,FALSE)-VLOOKUP($F32,'FLA Reading Logic'!$A$22:$B$53,2,FALSE),"No Value")</f>
        <v>No Value</v>
      </c>
      <c r="X32" s="96" t="str">
        <f>IF($E32="Yes","IPP",IFERROR(IF(AND(S32&gt;$J32,S32&lt;$K32),"0",(VLOOKUP(S32,'FLA Reading Logic'!$A$22:$B$53,2,FALSE))-(IF(VLOOKUP(S32,'FLA Reading Logic'!$A$22:$B$53,2,FALSE)&lt;=VLOOKUP($J32,'FLA Reading Logic'!$A$22:$B$53,2,FALSE),VLOOKUP($J32,'FLA Reading Logic'!$A$22:$B$53,2,FALSE),IF(VLOOKUP(S32,'FLA Reading Logic'!$A$22:$B$53,2,FALSE)&gt;=VLOOKUP($K32,'FLA Reading Logic'!$A$22:$B$53,2,FALSE),VLOOKUP($K32,'FLA Reading Logic'!$A$22:$B$53,2,FALSE),"No Score")))),"No Value"))</f>
        <v>No Value</v>
      </c>
      <c r="Y32" s="179"/>
      <c r="Z32" s="98" t="str">
        <f>IFERROR(IF($E32="Yes","IPP",VLOOKUP($L32,'FLA Reading Logic'!$A$3:$K$9,VLOOKUP(Y$1,'FLA Reading Logic'!$J$22:$K$31,2,FALSE),FALSE)),"Set Grade")</f>
        <v>Set Grade</v>
      </c>
      <c r="AA32" s="98" t="str">
        <f>IFERROR(IF($E32="Yes","IPP",VLOOKUP($L32,'FLA Reading Logic'!$A$13:$K$19,VLOOKUP(Y$1,'FLA Reading Logic'!$J$22:$K$31,2,FALSE),FALSE)),"Set Grade")</f>
        <v>Set Grade</v>
      </c>
      <c r="AB32" s="98" t="str">
        <f>IF($E32="Yes","IPP",IFERROR(IF(AND(Y32&gt;Z32,Y32&lt;AA32),"0",(VLOOKUP(Y32,'FLA Reading Logic'!$A$22:$B$53,2,FALSE))-(IF(VLOOKUP(Y32,'FLA Reading Logic'!$A$22:$B$53,2,FALSE)&lt;=VLOOKUP(Z32,'FLA Reading Logic'!$A$22:$B$53,2,FALSE),VLOOKUP(Z32,'FLA Reading Logic'!$A$22:$B$53,2,FALSE),IF(VLOOKUP(Y32,'FLA Reading Logic'!$A$22:$B$53,2,FALSE)&gt;=VLOOKUP(AA32,'FLA Reading Logic'!$A$22:$B$53,2,FALSE),VLOOKUP(AA32,'FLA Reading Logic'!$A$22:$B$53,2,FALSE),"No Score")))),"No Value"))</f>
        <v>No Value</v>
      </c>
      <c r="AC32" s="97" t="str">
        <f>IFERROR(VLOOKUP(Y32,'FLA Reading Logic'!$A$22:$B$48,2,FALSE)-VLOOKUP($F32,'FLA Reading Logic'!$A$22:$B$48,2,FALSE),"No Value")</f>
        <v>No Value</v>
      </c>
      <c r="AD32" s="96" t="str">
        <f>IF($E32="Yes","IPP",IFERROR(IF(AND(Y32&gt;$J32,Y32&lt;$K32),"0",(VLOOKUP(Y32,'FLA Reading Logic'!$A$22:$B$53,2,FALSE))-(IF(VLOOKUP(Y32,'FLA Reading Logic'!$A$22:$B$53,2,FALSE)&lt;=VLOOKUP($J32,'FLA Reading Logic'!$A$22:$B$53,2,FALSE),VLOOKUP($J32,'FLA Reading Logic'!$A$22:$B$53,2,FALSE),IF(VLOOKUP(Y32,'FLA Reading Logic'!$A$22:$B$53,2,FALSE)&gt;=VLOOKUP($K32,'FLA Reading Logic'!$A$22:$B$53,2,FALSE),VLOOKUP($K32,'FLA Reading Logic'!$A$22:$B$53,2,FALSE),"No Score")))),"No Value"))</f>
        <v>No Value</v>
      </c>
      <c r="AE32" s="179"/>
      <c r="AF32" s="96" t="str">
        <f>IFERROR(IF($E32="Yes","IPP",VLOOKUP($L32,'FLA Reading Logic'!$A$3:$K$9,VLOOKUP(AE$1,'FLA Reading Logic'!$J$22:$K$31,2,FALSE),FALSE)),"Set Grade")</f>
        <v>Set Grade</v>
      </c>
      <c r="AG32" s="96" t="str">
        <f>IFERROR(IF($E32="Yes","IPP",VLOOKUP($L32,'FLA Reading Logic'!$A$13:$K$19,VLOOKUP(AE$1,'FLA Reading Logic'!$J$22:$K$31,2,FALSE),FALSE)),"Set Grade")</f>
        <v>Set Grade</v>
      </c>
      <c r="AH32" s="98" t="str">
        <f>IF($E32="Yes","IPP",IFERROR(IF(AND(AE32&gt;AF32,AE32&lt;AG32),"0",(VLOOKUP(AE32,'FLA Reading Logic'!$A$22:$B$53,2,FALSE))-(IF(VLOOKUP(AE32,'FLA Reading Logic'!$A$22:$B$53,2,FALSE)&lt;=VLOOKUP(AF32,'FLA Reading Logic'!$A$22:$B$53,2,FALSE),VLOOKUP(AF32,'FLA Reading Logic'!$A$22:$B$53,2,FALSE),IF(VLOOKUP(AE32,'FLA Reading Logic'!$A$22:$B$53,2,FALSE)&gt;=VLOOKUP(AG32,'FLA Reading Logic'!$A$22:$B$53,2,FALSE),VLOOKUP(AG32,'FLA Reading Logic'!$A$22:$B$53,2,FALSE),"No Score")))),"No Value"))</f>
        <v>No Value</v>
      </c>
      <c r="AI32" s="96" t="str">
        <f>IFERROR(VLOOKUP(AE32,'FLA Reading Logic'!$A$22:$B$48,2,FALSE)-VLOOKUP($F32,'FLA Reading Logic'!$A$22:$B$48,2,FALSE),"No Value")</f>
        <v>No Value</v>
      </c>
      <c r="AJ32" s="96" t="str">
        <f>IF($E32="Yes","IPP",IFERROR(IF(AND(AE32&gt;$J32,AE32&lt;$K32),"0",(VLOOKUP(AE32,'FLA Reading Logic'!$A$22:$B$53,2,FALSE))-(IF(VLOOKUP(AE32,'FLA Reading Logic'!$A$22:$B$53,2,FALSE)&lt;=VLOOKUP($J32,'FLA Reading Logic'!$A$22:$B$53,2,FALSE),VLOOKUP($J32,'FLA Reading Logic'!$A$22:$B$53,2,FALSE),IF(VLOOKUP(AE32,'FLA Reading Logic'!$A$22:$B$53,2,FALSE)&gt;=VLOOKUP($K32,'FLA Reading Logic'!$A$22:$B$53,2,FALSE),VLOOKUP($K32,'FLA Reading Logic'!$A$22:$B$53,2,FALSE),"No Score")))),"No Value"))</f>
        <v>No Value</v>
      </c>
      <c r="AK32" s="179"/>
      <c r="AL32" s="96" t="str">
        <f>IFERROR(IF($E32="Yes","IPP",VLOOKUP($L32,'FLA Reading Logic'!$A$3:$K$9,VLOOKUP(AK$1,'FLA Reading Logic'!$J$22:$K$31,2,FALSE),FALSE)),"Set Grade")</f>
        <v>Set Grade</v>
      </c>
      <c r="AM32" s="96" t="str">
        <f>IFERROR(IF($E32="Yes","IPP",VLOOKUP($L32,'FLA Reading Logic'!$A$13:$K$19,VLOOKUP(AK$1,'FLA Reading Logic'!$J$22:$K$31,2,FALSE),FALSE)),"Set Grade")</f>
        <v>Set Grade</v>
      </c>
      <c r="AN32" s="98" t="str">
        <f>IF($E32="Yes","IPP",IFERROR(IF(AND(AK32&gt;AL32,AK32&lt;AM32),"0",(VLOOKUP(AK32,'FLA Reading Logic'!$A$22:$B$53,2,FALSE))-(IF(VLOOKUP(AK32,'FLA Reading Logic'!$A$22:$B$53,2,FALSE)&lt;=VLOOKUP(AL32,'FLA Reading Logic'!$A$22:$B$53,2,FALSE),VLOOKUP(AL32,'FLA Reading Logic'!$A$22:$B$53,2,FALSE),IF(VLOOKUP(AK32,'FLA Reading Logic'!$A$22:$B$53,2,FALSE)&gt;=VLOOKUP(AM32,'FLA Reading Logic'!$A$22:$B$53,2,FALSE),VLOOKUP(AM32,'FLA Reading Logic'!$A$22:$B$53,2,FALSE),"No Score")))),"No Value"))</f>
        <v>No Value</v>
      </c>
      <c r="AO32" s="96" t="str">
        <f>IFERROR(VLOOKUP(AK32,'FLA Reading Logic'!$A$22:$B$48,2,FALSE)-VLOOKUP($F32,'FLA Reading Logic'!$A$22:$B$48,2,FALSE),"No Value")</f>
        <v>No Value</v>
      </c>
      <c r="AP32" s="96" t="str">
        <f>IF($E32="Yes","IPP",IFERROR(IF(AND(AK32&gt;$J32,AK32&lt;$K32),"0",(VLOOKUP(AK32,'FLA Reading Logic'!$A$22:$B$53,2,FALSE))-(IF(VLOOKUP(AK32,'FLA Reading Logic'!$A$22:$B$53,2,FALSE)&lt;=VLOOKUP($J32,'FLA Reading Logic'!$A$22:$B$53,2,FALSE),VLOOKUP($J32,'FLA Reading Logic'!$A$22:$B$53,2,FALSE),IF(VLOOKUP(AK32,'FLA Reading Logic'!$A$22:$B$53,2,FALSE)&gt;=VLOOKUP($K32,'FLA Reading Logic'!$A$22:$B$53,2,FALSE),VLOOKUP($K32,'FLA Reading Logic'!$A$22:$B$53,2,FALSE),"No Score")))),"No Value"))</f>
        <v>No Value</v>
      </c>
      <c r="AQ32" s="179"/>
      <c r="AR32" s="96" t="str">
        <f>IFERROR(IF($E32="Yes","IPP",VLOOKUP($L32,'FLA Reading Logic'!$A$3:$K$9,VLOOKUP(AQ$1,'FLA Reading Logic'!$J$22:$K$31,2,FALSE),FALSE)),"Set Grade")</f>
        <v>Set Grade</v>
      </c>
      <c r="AS32" s="96" t="str">
        <f>IFERROR(IF($E32="Yes","IPP",VLOOKUP($L32,'FLA Reading Logic'!$A$13:$K$19,VLOOKUP(AQ$1,'FLA Reading Logic'!$J$22:$K$31,2,FALSE),FALSE)),"Set Grade")</f>
        <v>Set Grade</v>
      </c>
      <c r="AT32" s="98" t="str">
        <f>IF($E32="Yes","IPP",IFERROR(IF(AND(AQ32&gt;AR32,AQ32&lt;AS32),"0",(VLOOKUP(AQ32,'FLA Reading Logic'!$A$22:$B$53,2,FALSE))-(IF(VLOOKUP(AQ32,'FLA Reading Logic'!$A$22:$B$53,2,FALSE)&lt;=VLOOKUP(AR32,'FLA Reading Logic'!$A$22:$B$53,2,FALSE),VLOOKUP(AR32,'FLA Reading Logic'!$A$22:$B$53,2,FALSE),IF(VLOOKUP(AQ32,'FLA Reading Logic'!$A$22:$B$53,2,FALSE)&gt;=VLOOKUP(AS32,'FLA Reading Logic'!$A$22:$B$53,2,FALSE),VLOOKUP(AS32,'FLA Reading Logic'!$A$22:$B$53,2,FALSE),"No Score")))),"No Value"))</f>
        <v>No Value</v>
      </c>
      <c r="AU32" s="96" t="str">
        <f>IFERROR(VLOOKUP(AQ32,'FLA Reading Logic'!$A$22:$B$48,2,FALSE)-VLOOKUP($F32,'FLA Reading Logic'!$A$22:$B$48,2,FALSE),"No Value")</f>
        <v>No Value</v>
      </c>
      <c r="AV32" s="96" t="str">
        <f>IF($E32="Yes","IPP",IFERROR(IF(AND(AQ32&gt;$J32,AQ32&lt;$K32),"0",(VLOOKUP(AQ32,'FLA Reading Logic'!$A$22:$B$53,2,FALSE))-(IF(VLOOKUP(AQ32,'FLA Reading Logic'!$A$22:$B$53,2,FALSE)&lt;=VLOOKUP($J32,'FLA Reading Logic'!$A$22:$B$53,2,FALSE),VLOOKUP($J32,'FLA Reading Logic'!$A$22:$B$53,2,FALSE),IF(VLOOKUP(AQ32,'FLA Reading Logic'!$A$22:$B$53,2,FALSE)&gt;=VLOOKUP($K32,'FLA Reading Logic'!$A$22:$B$53,2,FALSE),VLOOKUP($K32,'FLA Reading Logic'!$A$22:$B$53,2,FALSE),"No Score")))),"No Value"))</f>
        <v>No Value</v>
      </c>
      <c r="AW32" s="179"/>
      <c r="AX32" s="96" t="str">
        <f>IFERROR(IF($E32="Yes","IPP",VLOOKUP($L32,'FLA Reading Logic'!$A$3:$K$9,VLOOKUP(AW$1,'FLA Reading Logic'!$J$22:$K$31,2,FALSE),FALSE)),"Set Grade")</f>
        <v>Set Grade</v>
      </c>
      <c r="AY32" s="96" t="str">
        <f>IFERROR(IF($E32="Yes","IPP",VLOOKUP($L32,'FLA Reading Logic'!$A$13:$K$19,VLOOKUP(AW$1,'FLA Reading Logic'!$J$22:$K$31,2,FALSE),FALSE)),"Set Grade")</f>
        <v>Set Grade</v>
      </c>
      <c r="AZ32" s="98" t="str">
        <f>IF($E32="Yes","IPP",IFERROR(IF(AND(AW32&gt;AX32,AW32&lt;AY32),"0",(VLOOKUP(AW32,'FLA Reading Logic'!$A$22:$B$53,2,FALSE))-(IF(VLOOKUP(AW32,'FLA Reading Logic'!$A$22:$B$53,2,FALSE)&lt;=VLOOKUP(AX32,'FLA Reading Logic'!$A$22:$B$53,2,FALSE),VLOOKUP(AX32,'FLA Reading Logic'!$A$22:$B$53,2,FALSE),IF(VLOOKUP(AW32,'FLA Reading Logic'!$A$22:$B$53,2,FALSE)&gt;=VLOOKUP(AY32,'FLA Reading Logic'!$A$22:$B$53,2,FALSE),VLOOKUP(AY32,'FLA Reading Logic'!$A$22:$B$53,2,FALSE),"No Score")))),"No Value"))</f>
        <v>No Value</v>
      </c>
      <c r="BA32" s="96" t="str">
        <f>IFERROR(VLOOKUP(AW32,'FLA Reading Logic'!$A$22:$B$48,2,FALSE)-VLOOKUP($F32,'FLA Reading Logic'!$A$22:$B$48,2,FALSE),"No Value")</f>
        <v>No Value</v>
      </c>
      <c r="BB32" s="96" t="str">
        <f>IF($E32="Yes","IPP",IFERROR(IF(AND(AW32&gt;$J32,AW32&lt;$K32),"0",(VLOOKUP(AW32,'FLA Reading Logic'!$A$22:$B$53,2,FALSE))-(IF(VLOOKUP(AW32,'FLA Reading Logic'!$A$22:$B$53,2,FALSE)&lt;=VLOOKUP($J32,'FLA Reading Logic'!$A$22:$B$53,2,FALSE),VLOOKUP($J32,'FLA Reading Logic'!$A$22:$B$53,2,FALSE),IF(VLOOKUP(AW32,'FLA Reading Logic'!$A$22:$B$53,2,FALSE)&gt;=VLOOKUP($K32,'FLA Reading Logic'!$A$22:$B$53,2,FALSE),VLOOKUP($K32,'FLA Reading Logic'!$A$22:$B$53,2,FALSE),"No Score")))),"No Value"))</f>
        <v>No Value</v>
      </c>
    </row>
    <row r="33" spans="1:54" ht="26.25" customHeight="1" thickBot="1" x14ac:dyDescent="0.3">
      <c r="A33" s="96"/>
      <c r="B33" s="98"/>
      <c r="C33" s="98"/>
      <c r="D33" s="98"/>
      <c r="E33" s="179"/>
      <c r="F33" s="92"/>
      <c r="G33" s="98" t="str">
        <f>IFERROR(IF($E33="Yes","IPP",VLOOKUP($J33,'ELA Reading Logic'!$A$3:$K$9,VLOOKUP("September",'ELA Reading Logic'!$J$22:$K$31,2,FALSE),FALSE)),"Set Grade")</f>
        <v>Set Grade</v>
      </c>
      <c r="H33" s="98" t="str">
        <f>IFERROR(IF($E33="Yes","IPP",VLOOKUP($J33,'ELA Reading Logic'!$A$13:$K$19,VLOOKUP("September",'ELA Reading Logic'!$J$22:$K$31,2,FALSE),FALSE)),"Set Grade")</f>
        <v>Set Grade</v>
      </c>
      <c r="I33" s="98" t="str">
        <f>IF($E33="Yes","IPP",IFERROR(IF(AND(F33&gt;G33,F33&lt;H33),"0",(VLOOKUP(F33,'ELA Reading Logic'!$A$22:$B$48,2,FALSE))-(IF(VLOOKUP(F33,'ELA Reading Logic'!$A$22:$B$48,2,FALSE)&lt;=VLOOKUP(G33,'ELA Reading Logic'!$A$22:$B$48,2,FALSE),VLOOKUP(G33,'ELA Reading Logic'!$A$22:$B$48,2,FALSE),IF(VLOOKUP(F33,'ELA Reading Logic'!$A$22:$B$48,2,FALSE)&gt;=VLOOKUP(H33,'ELA Reading Logic'!$A$22:$B$48,2,FALSE),VLOOKUP(H33,'ELA Reading Logic'!$A$22:$B$48,2,FALSE),"No Score")))),"No Value"))</f>
        <v>No Value</v>
      </c>
      <c r="J33" s="96" t="str">
        <f>IFERROR(VLOOKUP($L33,'FLA Reading Logic'!$A$3:$K$9,11,FALSE),"Set Grade")</f>
        <v>Set Grade</v>
      </c>
      <c r="K33" s="96" t="str">
        <f>IFERROR(VLOOKUP($L33,'FLA Reading Logic'!$A$13:$K$19,11,FALSE),"Set Grade")</f>
        <v>Set Grade</v>
      </c>
      <c r="L33" s="180"/>
      <c r="M33" s="98"/>
      <c r="N33" s="98"/>
      <c r="O33" s="98"/>
      <c r="P33" s="98"/>
      <c r="Q33" s="98"/>
      <c r="R33" s="181"/>
      <c r="S33" s="182"/>
      <c r="T33" s="98" t="str">
        <f>IFERROR(IF($E33="Yes","IPP",VLOOKUP($L33,'FLA Reading Logic'!$A$3:$K$9,VLOOKUP(S$1,'FLA Reading Logic'!$J$22:$K$31,2,FALSE),FALSE)),"Set Grade")</f>
        <v>Set Grade</v>
      </c>
      <c r="U33" s="98" t="str">
        <f>IFERROR(IF($E33="Yes","IPP",VLOOKUP($L33,'FLA Reading Logic'!$A$13:$K$19,VLOOKUP(S$1,'FLA Reading Logic'!$J$22:$K$31,2,FALSE),FALSE)),"Set Grade")</f>
        <v>Set Grade</v>
      </c>
      <c r="V33" s="98" t="str">
        <f>IF($E33="Yes","IPP",IFERROR(IF(AND(S33&gt;T33,S33&lt;U33),"0",(VLOOKUP(S33,'FLA Reading Logic'!$A$22:$B$53,2,FALSE))-(IF(VLOOKUP(S33,'FLA Reading Logic'!$A$22:$B$53,2,FALSE)&lt;=VLOOKUP(T33,'FLA Reading Logic'!$A$22:$B$53,2,FALSE),VLOOKUP(T33,'FLA Reading Logic'!$A$22:$B$53,2,FALSE),IF(VLOOKUP(S33,'FLA Reading Logic'!$A$22:$B$53,2,FALSE)&gt;=VLOOKUP(U33,'FLA Reading Logic'!$A$22:$B$53,2,FALSE),VLOOKUP(U33,'FLA Reading Logic'!$A$22:$B$53,2,FALSE),"No Score")))),"No Value"))</f>
        <v>No Value</v>
      </c>
      <c r="W33" s="98" t="str">
        <f>IFERROR(VLOOKUP(S33,'FLA Reading Logic'!$A$22:$B$53,2,FALSE)-VLOOKUP($F33,'FLA Reading Logic'!$A$22:$B$53,2,FALSE),"No Value")</f>
        <v>No Value</v>
      </c>
      <c r="X33" s="96" t="str">
        <f>IF($E33="Yes","IPP",IFERROR(IF(AND(S33&gt;$J33,S33&lt;$K33),"0",(VLOOKUP(S33,'FLA Reading Logic'!$A$22:$B$53,2,FALSE))-(IF(VLOOKUP(S33,'FLA Reading Logic'!$A$22:$B$53,2,FALSE)&lt;=VLOOKUP($J33,'FLA Reading Logic'!$A$22:$B$53,2,FALSE),VLOOKUP($J33,'FLA Reading Logic'!$A$22:$B$53,2,FALSE),IF(VLOOKUP(S33,'FLA Reading Logic'!$A$22:$B$53,2,FALSE)&gt;=VLOOKUP($K33,'FLA Reading Logic'!$A$22:$B$53,2,FALSE),VLOOKUP($K33,'FLA Reading Logic'!$A$22:$B$53,2,FALSE),"No Score")))),"No Value"))</f>
        <v>No Value</v>
      </c>
      <c r="Y33" s="179"/>
      <c r="Z33" s="98" t="str">
        <f>IFERROR(IF($E33="Yes","IPP",VLOOKUP($L33,'FLA Reading Logic'!$A$3:$K$9,VLOOKUP(Y$1,'FLA Reading Logic'!$J$22:$K$31,2,FALSE),FALSE)),"Set Grade")</f>
        <v>Set Grade</v>
      </c>
      <c r="AA33" s="98" t="str">
        <f>IFERROR(IF($E33="Yes","IPP",VLOOKUP($L33,'FLA Reading Logic'!$A$13:$K$19,VLOOKUP(Y$1,'FLA Reading Logic'!$J$22:$K$31,2,FALSE),FALSE)),"Set Grade")</f>
        <v>Set Grade</v>
      </c>
      <c r="AB33" s="98" t="str">
        <f>IF($E33="Yes","IPP",IFERROR(IF(AND(Y33&gt;Z33,Y33&lt;AA33),"0",(VLOOKUP(Y33,'FLA Reading Logic'!$A$22:$B$53,2,FALSE))-(IF(VLOOKUP(Y33,'FLA Reading Logic'!$A$22:$B$53,2,FALSE)&lt;=VLOOKUP(Z33,'FLA Reading Logic'!$A$22:$B$53,2,FALSE),VLOOKUP(Z33,'FLA Reading Logic'!$A$22:$B$53,2,FALSE),IF(VLOOKUP(Y33,'FLA Reading Logic'!$A$22:$B$53,2,FALSE)&gt;=VLOOKUP(AA33,'FLA Reading Logic'!$A$22:$B$53,2,FALSE),VLOOKUP(AA33,'FLA Reading Logic'!$A$22:$B$53,2,FALSE),"No Score")))),"No Value"))</f>
        <v>No Value</v>
      </c>
      <c r="AC33" s="97" t="str">
        <f>IFERROR(VLOOKUP(Y33,'FLA Reading Logic'!$A$22:$B$48,2,FALSE)-VLOOKUP($F33,'FLA Reading Logic'!$A$22:$B$48,2,FALSE),"No Value")</f>
        <v>No Value</v>
      </c>
      <c r="AD33" s="96" t="str">
        <f>IF($E33="Yes","IPP",IFERROR(IF(AND(Y33&gt;$J33,Y33&lt;$K33),"0",(VLOOKUP(Y33,'FLA Reading Logic'!$A$22:$B$53,2,FALSE))-(IF(VLOOKUP(Y33,'FLA Reading Logic'!$A$22:$B$53,2,FALSE)&lt;=VLOOKUP($J33,'FLA Reading Logic'!$A$22:$B$53,2,FALSE),VLOOKUP($J33,'FLA Reading Logic'!$A$22:$B$53,2,FALSE),IF(VLOOKUP(Y33,'FLA Reading Logic'!$A$22:$B$53,2,FALSE)&gt;=VLOOKUP($K33,'FLA Reading Logic'!$A$22:$B$53,2,FALSE),VLOOKUP($K33,'FLA Reading Logic'!$A$22:$B$53,2,FALSE),"No Score")))),"No Value"))</f>
        <v>No Value</v>
      </c>
      <c r="AE33" s="179"/>
      <c r="AF33" s="96" t="str">
        <f>IFERROR(IF($E33="Yes","IPP",VLOOKUP($L33,'FLA Reading Logic'!$A$3:$K$9,VLOOKUP(AE$1,'FLA Reading Logic'!$J$22:$K$31,2,FALSE),FALSE)),"Set Grade")</f>
        <v>Set Grade</v>
      </c>
      <c r="AG33" s="96" t="str">
        <f>IFERROR(IF($E33="Yes","IPP",VLOOKUP($L33,'FLA Reading Logic'!$A$13:$K$19,VLOOKUP(AE$1,'FLA Reading Logic'!$J$22:$K$31,2,FALSE),FALSE)),"Set Grade")</f>
        <v>Set Grade</v>
      </c>
      <c r="AH33" s="98" t="str">
        <f>IF($E33="Yes","IPP",IFERROR(IF(AND(AE33&gt;AF33,AE33&lt;AG33),"0",(VLOOKUP(AE33,'FLA Reading Logic'!$A$22:$B$53,2,FALSE))-(IF(VLOOKUP(AE33,'FLA Reading Logic'!$A$22:$B$53,2,FALSE)&lt;=VLOOKUP(AF33,'FLA Reading Logic'!$A$22:$B$53,2,FALSE),VLOOKUP(AF33,'FLA Reading Logic'!$A$22:$B$53,2,FALSE),IF(VLOOKUP(AE33,'FLA Reading Logic'!$A$22:$B$53,2,FALSE)&gt;=VLOOKUP(AG33,'FLA Reading Logic'!$A$22:$B$53,2,FALSE),VLOOKUP(AG33,'FLA Reading Logic'!$A$22:$B$53,2,FALSE),"No Score")))),"No Value"))</f>
        <v>No Value</v>
      </c>
      <c r="AI33" s="96" t="str">
        <f>IFERROR(VLOOKUP(AE33,'FLA Reading Logic'!$A$22:$B$48,2,FALSE)-VLOOKUP($F33,'FLA Reading Logic'!$A$22:$B$48,2,FALSE),"No Value")</f>
        <v>No Value</v>
      </c>
      <c r="AJ33" s="96" t="str">
        <f>IF($E33="Yes","IPP",IFERROR(IF(AND(AE33&gt;$J33,AE33&lt;$K33),"0",(VLOOKUP(AE33,'FLA Reading Logic'!$A$22:$B$53,2,FALSE))-(IF(VLOOKUP(AE33,'FLA Reading Logic'!$A$22:$B$53,2,FALSE)&lt;=VLOOKUP($J33,'FLA Reading Logic'!$A$22:$B$53,2,FALSE),VLOOKUP($J33,'FLA Reading Logic'!$A$22:$B$53,2,FALSE),IF(VLOOKUP(AE33,'FLA Reading Logic'!$A$22:$B$53,2,FALSE)&gt;=VLOOKUP($K33,'FLA Reading Logic'!$A$22:$B$53,2,FALSE),VLOOKUP($K33,'FLA Reading Logic'!$A$22:$B$53,2,FALSE),"No Score")))),"No Value"))</f>
        <v>No Value</v>
      </c>
      <c r="AK33" s="179"/>
      <c r="AL33" s="96" t="str">
        <f>IFERROR(IF($E33="Yes","IPP",VLOOKUP($L33,'FLA Reading Logic'!$A$3:$K$9,VLOOKUP(AK$1,'FLA Reading Logic'!$J$22:$K$31,2,FALSE),FALSE)),"Set Grade")</f>
        <v>Set Grade</v>
      </c>
      <c r="AM33" s="96" t="str">
        <f>IFERROR(IF($E33="Yes","IPP",VLOOKUP($L33,'FLA Reading Logic'!$A$13:$K$19,VLOOKUP(AK$1,'FLA Reading Logic'!$J$22:$K$31,2,FALSE),FALSE)),"Set Grade")</f>
        <v>Set Grade</v>
      </c>
      <c r="AN33" s="98" t="str">
        <f>IF($E33="Yes","IPP",IFERROR(IF(AND(AK33&gt;AL33,AK33&lt;AM33),"0",(VLOOKUP(AK33,'FLA Reading Logic'!$A$22:$B$53,2,FALSE))-(IF(VLOOKUP(AK33,'FLA Reading Logic'!$A$22:$B$53,2,FALSE)&lt;=VLOOKUP(AL33,'FLA Reading Logic'!$A$22:$B$53,2,FALSE),VLOOKUP(AL33,'FLA Reading Logic'!$A$22:$B$53,2,FALSE),IF(VLOOKUP(AK33,'FLA Reading Logic'!$A$22:$B$53,2,FALSE)&gt;=VLOOKUP(AM33,'FLA Reading Logic'!$A$22:$B$53,2,FALSE),VLOOKUP(AM33,'FLA Reading Logic'!$A$22:$B$53,2,FALSE),"No Score")))),"No Value"))</f>
        <v>No Value</v>
      </c>
      <c r="AO33" s="96" t="str">
        <f>IFERROR(VLOOKUP(AK33,'FLA Reading Logic'!$A$22:$B$48,2,FALSE)-VLOOKUP($F33,'FLA Reading Logic'!$A$22:$B$48,2,FALSE),"No Value")</f>
        <v>No Value</v>
      </c>
      <c r="AP33" s="96" t="str">
        <f>IF($E33="Yes","IPP",IFERROR(IF(AND(AK33&gt;$J33,AK33&lt;$K33),"0",(VLOOKUP(AK33,'FLA Reading Logic'!$A$22:$B$53,2,FALSE))-(IF(VLOOKUP(AK33,'FLA Reading Logic'!$A$22:$B$53,2,FALSE)&lt;=VLOOKUP($J33,'FLA Reading Logic'!$A$22:$B$53,2,FALSE),VLOOKUP($J33,'FLA Reading Logic'!$A$22:$B$53,2,FALSE),IF(VLOOKUP(AK33,'FLA Reading Logic'!$A$22:$B$53,2,FALSE)&gt;=VLOOKUP($K33,'FLA Reading Logic'!$A$22:$B$53,2,FALSE),VLOOKUP($K33,'FLA Reading Logic'!$A$22:$B$53,2,FALSE),"No Score")))),"No Value"))</f>
        <v>No Value</v>
      </c>
      <c r="AQ33" s="179"/>
      <c r="AR33" s="96" t="str">
        <f>IFERROR(IF($E33="Yes","IPP",VLOOKUP($L33,'FLA Reading Logic'!$A$3:$K$9,VLOOKUP(AQ$1,'FLA Reading Logic'!$J$22:$K$31,2,FALSE),FALSE)),"Set Grade")</f>
        <v>Set Grade</v>
      </c>
      <c r="AS33" s="96" t="str">
        <f>IFERROR(IF($E33="Yes","IPP",VLOOKUP($L33,'FLA Reading Logic'!$A$13:$K$19,VLOOKUP(AQ$1,'FLA Reading Logic'!$J$22:$K$31,2,FALSE),FALSE)),"Set Grade")</f>
        <v>Set Grade</v>
      </c>
      <c r="AT33" s="98" t="str">
        <f>IF($E33="Yes","IPP",IFERROR(IF(AND(AQ33&gt;AR33,AQ33&lt;AS33),"0",(VLOOKUP(AQ33,'FLA Reading Logic'!$A$22:$B$53,2,FALSE))-(IF(VLOOKUP(AQ33,'FLA Reading Logic'!$A$22:$B$53,2,FALSE)&lt;=VLOOKUP(AR33,'FLA Reading Logic'!$A$22:$B$53,2,FALSE),VLOOKUP(AR33,'FLA Reading Logic'!$A$22:$B$53,2,FALSE),IF(VLOOKUP(AQ33,'FLA Reading Logic'!$A$22:$B$53,2,FALSE)&gt;=VLOOKUP(AS33,'FLA Reading Logic'!$A$22:$B$53,2,FALSE),VLOOKUP(AS33,'FLA Reading Logic'!$A$22:$B$53,2,FALSE),"No Score")))),"No Value"))</f>
        <v>No Value</v>
      </c>
      <c r="AU33" s="96" t="str">
        <f>IFERROR(VLOOKUP(AQ33,'FLA Reading Logic'!$A$22:$B$48,2,FALSE)-VLOOKUP($F33,'FLA Reading Logic'!$A$22:$B$48,2,FALSE),"No Value")</f>
        <v>No Value</v>
      </c>
      <c r="AV33" s="96" t="str">
        <f>IF($E33="Yes","IPP",IFERROR(IF(AND(AQ33&gt;$J33,AQ33&lt;$K33),"0",(VLOOKUP(AQ33,'FLA Reading Logic'!$A$22:$B$53,2,FALSE))-(IF(VLOOKUP(AQ33,'FLA Reading Logic'!$A$22:$B$53,2,FALSE)&lt;=VLOOKUP($J33,'FLA Reading Logic'!$A$22:$B$53,2,FALSE),VLOOKUP($J33,'FLA Reading Logic'!$A$22:$B$53,2,FALSE),IF(VLOOKUP(AQ33,'FLA Reading Logic'!$A$22:$B$53,2,FALSE)&gt;=VLOOKUP($K33,'FLA Reading Logic'!$A$22:$B$53,2,FALSE),VLOOKUP($K33,'FLA Reading Logic'!$A$22:$B$53,2,FALSE),"No Score")))),"No Value"))</f>
        <v>No Value</v>
      </c>
      <c r="AW33" s="179"/>
      <c r="AX33" s="96" t="str">
        <f>IFERROR(IF($E33="Yes","IPP",VLOOKUP($L33,'FLA Reading Logic'!$A$3:$K$9,VLOOKUP(AW$1,'FLA Reading Logic'!$J$22:$K$31,2,FALSE),FALSE)),"Set Grade")</f>
        <v>Set Grade</v>
      </c>
      <c r="AY33" s="96" t="str">
        <f>IFERROR(IF($E33="Yes","IPP",VLOOKUP($L33,'FLA Reading Logic'!$A$13:$K$19,VLOOKUP(AW$1,'FLA Reading Logic'!$J$22:$K$31,2,FALSE),FALSE)),"Set Grade")</f>
        <v>Set Grade</v>
      </c>
      <c r="AZ33" s="98" t="str">
        <f>IF($E33="Yes","IPP",IFERROR(IF(AND(AW33&gt;AX33,AW33&lt;AY33),"0",(VLOOKUP(AW33,'FLA Reading Logic'!$A$22:$B$53,2,FALSE))-(IF(VLOOKUP(AW33,'FLA Reading Logic'!$A$22:$B$53,2,FALSE)&lt;=VLOOKUP(AX33,'FLA Reading Logic'!$A$22:$B$53,2,FALSE),VLOOKUP(AX33,'FLA Reading Logic'!$A$22:$B$53,2,FALSE),IF(VLOOKUP(AW33,'FLA Reading Logic'!$A$22:$B$53,2,FALSE)&gt;=VLOOKUP(AY33,'FLA Reading Logic'!$A$22:$B$53,2,FALSE),VLOOKUP(AY33,'FLA Reading Logic'!$A$22:$B$53,2,FALSE),"No Score")))),"No Value"))</f>
        <v>No Value</v>
      </c>
      <c r="BA33" s="96" t="str">
        <f>IFERROR(VLOOKUP(AW33,'FLA Reading Logic'!$A$22:$B$48,2,FALSE)-VLOOKUP($F33,'FLA Reading Logic'!$A$22:$B$48,2,FALSE),"No Value")</f>
        <v>No Value</v>
      </c>
      <c r="BB33" s="96" t="str">
        <f>IF($E33="Yes","IPP",IFERROR(IF(AND(AW33&gt;$J33,AW33&lt;$K33),"0",(VLOOKUP(AW33,'FLA Reading Logic'!$A$22:$B$53,2,FALSE))-(IF(VLOOKUP(AW33,'FLA Reading Logic'!$A$22:$B$53,2,FALSE)&lt;=VLOOKUP($J33,'FLA Reading Logic'!$A$22:$B$53,2,FALSE),VLOOKUP($J33,'FLA Reading Logic'!$A$22:$B$53,2,FALSE),IF(VLOOKUP(AW33,'FLA Reading Logic'!$A$22:$B$53,2,FALSE)&gt;=VLOOKUP($K33,'FLA Reading Logic'!$A$22:$B$53,2,FALSE),VLOOKUP($K33,'FLA Reading Logic'!$A$22:$B$53,2,FALSE),"No Score")))),"No Value"))</f>
        <v>No Value</v>
      </c>
    </row>
    <row r="34" spans="1:54" ht="26.25" customHeight="1" thickBot="1" x14ac:dyDescent="0.3">
      <c r="A34" s="96"/>
      <c r="B34" s="98"/>
      <c r="C34" s="98"/>
      <c r="D34" s="98"/>
      <c r="E34" s="179"/>
      <c r="F34" s="92"/>
      <c r="G34" s="98" t="str">
        <f>IFERROR(IF($E34="Yes","IPP",VLOOKUP($J34,'ELA Reading Logic'!$A$3:$K$9,VLOOKUP("September",'ELA Reading Logic'!$J$22:$K$31,2,FALSE),FALSE)),"Set Grade")</f>
        <v>Set Grade</v>
      </c>
      <c r="H34" s="98" t="str">
        <f>IFERROR(IF($E34="Yes","IPP",VLOOKUP($J34,'ELA Reading Logic'!$A$13:$K$19,VLOOKUP("September",'ELA Reading Logic'!$J$22:$K$31,2,FALSE),FALSE)),"Set Grade")</f>
        <v>Set Grade</v>
      </c>
      <c r="I34" s="98" t="str">
        <f>IF($E34="Yes","IPP",IFERROR(IF(AND(F34&gt;G34,F34&lt;H34),"0",(VLOOKUP(F34,'ELA Reading Logic'!$A$22:$B$48,2,FALSE))-(IF(VLOOKUP(F34,'ELA Reading Logic'!$A$22:$B$48,2,FALSE)&lt;=VLOOKUP(G34,'ELA Reading Logic'!$A$22:$B$48,2,FALSE),VLOOKUP(G34,'ELA Reading Logic'!$A$22:$B$48,2,FALSE),IF(VLOOKUP(F34,'ELA Reading Logic'!$A$22:$B$48,2,FALSE)&gt;=VLOOKUP(H34,'ELA Reading Logic'!$A$22:$B$48,2,FALSE),VLOOKUP(H34,'ELA Reading Logic'!$A$22:$B$48,2,FALSE),"No Score")))),"No Value"))</f>
        <v>No Value</v>
      </c>
      <c r="J34" s="96" t="str">
        <f>IFERROR(VLOOKUP($L34,'FLA Reading Logic'!$A$3:$K$9,11,FALSE),"Set Grade")</f>
        <v>Set Grade</v>
      </c>
      <c r="K34" s="96" t="str">
        <f>IFERROR(VLOOKUP($L34,'FLA Reading Logic'!$A$13:$K$19,11,FALSE),"Set Grade")</f>
        <v>Set Grade</v>
      </c>
      <c r="L34" s="180"/>
      <c r="M34" s="98"/>
      <c r="N34" s="98"/>
      <c r="O34" s="98"/>
      <c r="P34" s="98"/>
      <c r="Q34" s="98"/>
      <c r="R34" s="181"/>
      <c r="S34" s="182"/>
      <c r="T34" s="98" t="str">
        <f>IFERROR(IF($E34="Yes","IPP",VLOOKUP($L34,'FLA Reading Logic'!$A$3:$K$9,VLOOKUP(S$1,'FLA Reading Logic'!$J$22:$K$31,2,FALSE),FALSE)),"Set Grade")</f>
        <v>Set Grade</v>
      </c>
      <c r="U34" s="98" t="str">
        <f>IFERROR(IF($E34="Yes","IPP",VLOOKUP($L34,'FLA Reading Logic'!$A$13:$K$19,VLOOKUP(S$1,'FLA Reading Logic'!$J$22:$K$31,2,FALSE),FALSE)),"Set Grade")</f>
        <v>Set Grade</v>
      </c>
      <c r="V34" s="98" t="str">
        <f>IF($E34="Yes","IPP",IFERROR(IF(AND(S34&gt;T34,S34&lt;U34),"0",(VLOOKUP(S34,'FLA Reading Logic'!$A$22:$B$53,2,FALSE))-(IF(VLOOKUP(S34,'FLA Reading Logic'!$A$22:$B$53,2,FALSE)&lt;=VLOOKUP(T34,'FLA Reading Logic'!$A$22:$B$53,2,FALSE),VLOOKUP(T34,'FLA Reading Logic'!$A$22:$B$53,2,FALSE),IF(VLOOKUP(S34,'FLA Reading Logic'!$A$22:$B$53,2,FALSE)&gt;=VLOOKUP(U34,'FLA Reading Logic'!$A$22:$B$53,2,FALSE),VLOOKUP(U34,'FLA Reading Logic'!$A$22:$B$53,2,FALSE),"No Score")))),"No Value"))</f>
        <v>No Value</v>
      </c>
      <c r="W34" s="98" t="str">
        <f>IFERROR(VLOOKUP(S34,'FLA Reading Logic'!$A$22:$B$53,2,FALSE)-VLOOKUP($F34,'FLA Reading Logic'!$A$22:$B$53,2,FALSE),"No Value")</f>
        <v>No Value</v>
      </c>
      <c r="X34" s="96" t="str">
        <f>IF($E34="Yes","IPP",IFERROR(IF(AND(S34&gt;$J34,S34&lt;$K34),"0",(VLOOKUP(S34,'FLA Reading Logic'!$A$22:$B$53,2,FALSE))-(IF(VLOOKUP(S34,'FLA Reading Logic'!$A$22:$B$53,2,FALSE)&lt;=VLOOKUP($J34,'FLA Reading Logic'!$A$22:$B$53,2,FALSE),VLOOKUP($J34,'FLA Reading Logic'!$A$22:$B$53,2,FALSE),IF(VLOOKUP(S34,'FLA Reading Logic'!$A$22:$B$53,2,FALSE)&gt;=VLOOKUP($K34,'FLA Reading Logic'!$A$22:$B$53,2,FALSE),VLOOKUP($K34,'FLA Reading Logic'!$A$22:$B$53,2,FALSE),"No Score")))),"No Value"))</f>
        <v>No Value</v>
      </c>
      <c r="Y34" s="179"/>
      <c r="Z34" s="98" t="str">
        <f>IFERROR(IF($E34="Yes","IPP",VLOOKUP($L34,'FLA Reading Logic'!$A$3:$K$9,VLOOKUP(Y$1,'FLA Reading Logic'!$J$22:$K$31,2,FALSE),FALSE)),"Set Grade")</f>
        <v>Set Grade</v>
      </c>
      <c r="AA34" s="98" t="str">
        <f>IFERROR(IF($E34="Yes","IPP",VLOOKUP($L34,'FLA Reading Logic'!$A$13:$K$19,VLOOKUP(Y$1,'FLA Reading Logic'!$J$22:$K$31,2,FALSE),FALSE)),"Set Grade")</f>
        <v>Set Grade</v>
      </c>
      <c r="AB34" s="98" t="str">
        <f>IF($E34="Yes","IPP",IFERROR(IF(AND(Y34&gt;Z34,Y34&lt;AA34),"0",(VLOOKUP(Y34,'FLA Reading Logic'!$A$22:$B$53,2,FALSE))-(IF(VLOOKUP(Y34,'FLA Reading Logic'!$A$22:$B$53,2,FALSE)&lt;=VLOOKUP(Z34,'FLA Reading Logic'!$A$22:$B$53,2,FALSE),VLOOKUP(Z34,'FLA Reading Logic'!$A$22:$B$53,2,FALSE),IF(VLOOKUP(Y34,'FLA Reading Logic'!$A$22:$B$53,2,FALSE)&gt;=VLOOKUP(AA34,'FLA Reading Logic'!$A$22:$B$53,2,FALSE),VLOOKUP(AA34,'FLA Reading Logic'!$A$22:$B$53,2,FALSE),"No Score")))),"No Value"))</f>
        <v>No Value</v>
      </c>
      <c r="AC34" s="97" t="str">
        <f>IFERROR(VLOOKUP(Y34,'FLA Reading Logic'!$A$22:$B$48,2,FALSE)-VLOOKUP($F34,'FLA Reading Logic'!$A$22:$B$48,2,FALSE),"No Value")</f>
        <v>No Value</v>
      </c>
      <c r="AD34" s="96" t="str">
        <f>IF($E34="Yes","IPP",IFERROR(IF(AND(Y34&gt;$J34,Y34&lt;$K34),"0",(VLOOKUP(Y34,'FLA Reading Logic'!$A$22:$B$53,2,FALSE))-(IF(VLOOKUP(Y34,'FLA Reading Logic'!$A$22:$B$53,2,FALSE)&lt;=VLOOKUP($J34,'FLA Reading Logic'!$A$22:$B$53,2,FALSE),VLOOKUP($J34,'FLA Reading Logic'!$A$22:$B$53,2,FALSE),IF(VLOOKUP(Y34,'FLA Reading Logic'!$A$22:$B$53,2,FALSE)&gt;=VLOOKUP($K34,'FLA Reading Logic'!$A$22:$B$53,2,FALSE),VLOOKUP($K34,'FLA Reading Logic'!$A$22:$B$53,2,FALSE),"No Score")))),"No Value"))</f>
        <v>No Value</v>
      </c>
      <c r="AE34" s="179"/>
      <c r="AF34" s="96" t="str">
        <f>IFERROR(IF($E34="Yes","IPP",VLOOKUP($L34,'FLA Reading Logic'!$A$3:$K$9,VLOOKUP(AE$1,'FLA Reading Logic'!$J$22:$K$31,2,FALSE),FALSE)),"Set Grade")</f>
        <v>Set Grade</v>
      </c>
      <c r="AG34" s="96" t="str">
        <f>IFERROR(IF($E34="Yes","IPP",VLOOKUP($L34,'FLA Reading Logic'!$A$13:$K$19,VLOOKUP(AE$1,'FLA Reading Logic'!$J$22:$K$31,2,FALSE),FALSE)),"Set Grade")</f>
        <v>Set Grade</v>
      </c>
      <c r="AH34" s="98" t="str">
        <f>IF($E34="Yes","IPP",IFERROR(IF(AND(AE34&gt;AF34,AE34&lt;AG34),"0",(VLOOKUP(AE34,'FLA Reading Logic'!$A$22:$B$53,2,FALSE))-(IF(VLOOKUP(AE34,'FLA Reading Logic'!$A$22:$B$53,2,FALSE)&lt;=VLOOKUP(AF34,'FLA Reading Logic'!$A$22:$B$53,2,FALSE),VLOOKUP(AF34,'FLA Reading Logic'!$A$22:$B$53,2,FALSE),IF(VLOOKUP(AE34,'FLA Reading Logic'!$A$22:$B$53,2,FALSE)&gt;=VLOOKUP(AG34,'FLA Reading Logic'!$A$22:$B$53,2,FALSE),VLOOKUP(AG34,'FLA Reading Logic'!$A$22:$B$53,2,FALSE),"No Score")))),"No Value"))</f>
        <v>No Value</v>
      </c>
      <c r="AI34" s="96" t="str">
        <f>IFERROR(VLOOKUP(AE34,'FLA Reading Logic'!$A$22:$B$48,2,FALSE)-VLOOKUP($F34,'FLA Reading Logic'!$A$22:$B$48,2,FALSE),"No Value")</f>
        <v>No Value</v>
      </c>
      <c r="AJ34" s="96" t="str">
        <f>IF($E34="Yes","IPP",IFERROR(IF(AND(AE34&gt;$J34,AE34&lt;$K34),"0",(VLOOKUP(AE34,'FLA Reading Logic'!$A$22:$B$53,2,FALSE))-(IF(VLOOKUP(AE34,'FLA Reading Logic'!$A$22:$B$53,2,FALSE)&lt;=VLOOKUP($J34,'FLA Reading Logic'!$A$22:$B$53,2,FALSE),VLOOKUP($J34,'FLA Reading Logic'!$A$22:$B$53,2,FALSE),IF(VLOOKUP(AE34,'FLA Reading Logic'!$A$22:$B$53,2,FALSE)&gt;=VLOOKUP($K34,'FLA Reading Logic'!$A$22:$B$53,2,FALSE),VLOOKUP($K34,'FLA Reading Logic'!$A$22:$B$53,2,FALSE),"No Score")))),"No Value"))</f>
        <v>No Value</v>
      </c>
      <c r="AK34" s="179"/>
      <c r="AL34" s="96" t="str">
        <f>IFERROR(IF($E34="Yes","IPP",VLOOKUP($L34,'FLA Reading Logic'!$A$3:$K$9,VLOOKUP(AK$1,'FLA Reading Logic'!$J$22:$K$31,2,FALSE),FALSE)),"Set Grade")</f>
        <v>Set Grade</v>
      </c>
      <c r="AM34" s="96" t="str">
        <f>IFERROR(IF($E34="Yes","IPP",VLOOKUP($L34,'FLA Reading Logic'!$A$13:$K$19,VLOOKUP(AK$1,'FLA Reading Logic'!$J$22:$K$31,2,FALSE),FALSE)),"Set Grade")</f>
        <v>Set Grade</v>
      </c>
      <c r="AN34" s="98" t="str">
        <f>IF($E34="Yes","IPP",IFERROR(IF(AND(AK34&gt;AL34,AK34&lt;AM34),"0",(VLOOKUP(AK34,'FLA Reading Logic'!$A$22:$B$53,2,FALSE))-(IF(VLOOKUP(AK34,'FLA Reading Logic'!$A$22:$B$53,2,FALSE)&lt;=VLOOKUP(AL34,'FLA Reading Logic'!$A$22:$B$53,2,FALSE),VLOOKUP(AL34,'FLA Reading Logic'!$A$22:$B$53,2,FALSE),IF(VLOOKUP(AK34,'FLA Reading Logic'!$A$22:$B$53,2,FALSE)&gt;=VLOOKUP(AM34,'FLA Reading Logic'!$A$22:$B$53,2,FALSE),VLOOKUP(AM34,'FLA Reading Logic'!$A$22:$B$53,2,FALSE),"No Score")))),"No Value"))</f>
        <v>No Value</v>
      </c>
      <c r="AO34" s="96" t="str">
        <f>IFERROR(VLOOKUP(AK34,'FLA Reading Logic'!$A$22:$B$48,2,FALSE)-VLOOKUP($F34,'FLA Reading Logic'!$A$22:$B$48,2,FALSE),"No Value")</f>
        <v>No Value</v>
      </c>
      <c r="AP34" s="96" t="str">
        <f>IF($E34="Yes","IPP",IFERROR(IF(AND(AK34&gt;$J34,AK34&lt;$K34),"0",(VLOOKUP(AK34,'FLA Reading Logic'!$A$22:$B$53,2,FALSE))-(IF(VLOOKUP(AK34,'FLA Reading Logic'!$A$22:$B$53,2,FALSE)&lt;=VLOOKUP($J34,'FLA Reading Logic'!$A$22:$B$53,2,FALSE),VLOOKUP($J34,'FLA Reading Logic'!$A$22:$B$53,2,FALSE),IF(VLOOKUP(AK34,'FLA Reading Logic'!$A$22:$B$53,2,FALSE)&gt;=VLOOKUP($K34,'FLA Reading Logic'!$A$22:$B$53,2,FALSE),VLOOKUP($K34,'FLA Reading Logic'!$A$22:$B$53,2,FALSE),"No Score")))),"No Value"))</f>
        <v>No Value</v>
      </c>
      <c r="AQ34" s="179"/>
      <c r="AR34" s="96" t="str">
        <f>IFERROR(IF($E34="Yes","IPP",VLOOKUP($L34,'FLA Reading Logic'!$A$3:$K$9,VLOOKUP(AQ$1,'FLA Reading Logic'!$J$22:$K$31,2,FALSE),FALSE)),"Set Grade")</f>
        <v>Set Grade</v>
      </c>
      <c r="AS34" s="96" t="str">
        <f>IFERROR(IF($E34="Yes","IPP",VLOOKUP($L34,'FLA Reading Logic'!$A$13:$K$19,VLOOKUP(AQ$1,'FLA Reading Logic'!$J$22:$K$31,2,FALSE),FALSE)),"Set Grade")</f>
        <v>Set Grade</v>
      </c>
      <c r="AT34" s="98" t="str">
        <f>IF($E34="Yes","IPP",IFERROR(IF(AND(AQ34&gt;AR34,AQ34&lt;AS34),"0",(VLOOKUP(AQ34,'FLA Reading Logic'!$A$22:$B$53,2,FALSE))-(IF(VLOOKUP(AQ34,'FLA Reading Logic'!$A$22:$B$53,2,FALSE)&lt;=VLOOKUP(AR34,'FLA Reading Logic'!$A$22:$B$53,2,FALSE),VLOOKUP(AR34,'FLA Reading Logic'!$A$22:$B$53,2,FALSE),IF(VLOOKUP(AQ34,'FLA Reading Logic'!$A$22:$B$53,2,FALSE)&gt;=VLOOKUP(AS34,'FLA Reading Logic'!$A$22:$B$53,2,FALSE),VLOOKUP(AS34,'FLA Reading Logic'!$A$22:$B$53,2,FALSE),"No Score")))),"No Value"))</f>
        <v>No Value</v>
      </c>
      <c r="AU34" s="96" t="str">
        <f>IFERROR(VLOOKUP(AQ34,'FLA Reading Logic'!$A$22:$B$48,2,FALSE)-VLOOKUP($F34,'FLA Reading Logic'!$A$22:$B$48,2,FALSE),"No Value")</f>
        <v>No Value</v>
      </c>
      <c r="AV34" s="96" t="str">
        <f>IF($E34="Yes","IPP",IFERROR(IF(AND(AQ34&gt;$J34,AQ34&lt;$K34),"0",(VLOOKUP(AQ34,'FLA Reading Logic'!$A$22:$B$53,2,FALSE))-(IF(VLOOKUP(AQ34,'FLA Reading Logic'!$A$22:$B$53,2,FALSE)&lt;=VLOOKUP($J34,'FLA Reading Logic'!$A$22:$B$53,2,FALSE),VLOOKUP($J34,'FLA Reading Logic'!$A$22:$B$53,2,FALSE),IF(VLOOKUP(AQ34,'FLA Reading Logic'!$A$22:$B$53,2,FALSE)&gt;=VLOOKUP($K34,'FLA Reading Logic'!$A$22:$B$53,2,FALSE),VLOOKUP($K34,'FLA Reading Logic'!$A$22:$B$53,2,FALSE),"No Score")))),"No Value"))</f>
        <v>No Value</v>
      </c>
      <c r="AW34" s="179"/>
      <c r="AX34" s="96" t="str">
        <f>IFERROR(IF($E34="Yes","IPP",VLOOKUP($L34,'FLA Reading Logic'!$A$3:$K$9,VLOOKUP(AW$1,'FLA Reading Logic'!$J$22:$K$31,2,FALSE),FALSE)),"Set Grade")</f>
        <v>Set Grade</v>
      </c>
      <c r="AY34" s="96" t="str">
        <f>IFERROR(IF($E34="Yes","IPP",VLOOKUP($L34,'FLA Reading Logic'!$A$13:$K$19,VLOOKUP(AW$1,'FLA Reading Logic'!$J$22:$K$31,2,FALSE),FALSE)),"Set Grade")</f>
        <v>Set Grade</v>
      </c>
      <c r="AZ34" s="98" t="str">
        <f>IF($E34="Yes","IPP",IFERROR(IF(AND(AW34&gt;AX34,AW34&lt;AY34),"0",(VLOOKUP(AW34,'FLA Reading Logic'!$A$22:$B$53,2,FALSE))-(IF(VLOOKUP(AW34,'FLA Reading Logic'!$A$22:$B$53,2,FALSE)&lt;=VLOOKUP(AX34,'FLA Reading Logic'!$A$22:$B$53,2,FALSE),VLOOKUP(AX34,'FLA Reading Logic'!$A$22:$B$53,2,FALSE),IF(VLOOKUP(AW34,'FLA Reading Logic'!$A$22:$B$53,2,FALSE)&gt;=VLOOKUP(AY34,'FLA Reading Logic'!$A$22:$B$53,2,FALSE),VLOOKUP(AY34,'FLA Reading Logic'!$A$22:$B$53,2,FALSE),"No Score")))),"No Value"))</f>
        <v>No Value</v>
      </c>
      <c r="BA34" s="96" t="str">
        <f>IFERROR(VLOOKUP(AW34,'FLA Reading Logic'!$A$22:$B$48,2,FALSE)-VLOOKUP($F34,'FLA Reading Logic'!$A$22:$B$48,2,FALSE),"No Value")</f>
        <v>No Value</v>
      </c>
      <c r="BB34" s="96" t="str">
        <f>IF($E34="Yes","IPP",IFERROR(IF(AND(AW34&gt;$J34,AW34&lt;$K34),"0",(VLOOKUP(AW34,'FLA Reading Logic'!$A$22:$B$53,2,FALSE))-(IF(VLOOKUP(AW34,'FLA Reading Logic'!$A$22:$B$53,2,FALSE)&lt;=VLOOKUP($J34,'FLA Reading Logic'!$A$22:$B$53,2,FALSE),VLOOKUP($J34,'FLA Reading Logic'!$A$22:$B$53,2,FALSE),IF(VLOOKUP(AW34,'FLA Reading Logic'!$A$22:$B$53,2,FALSE)&gt;=VLOOKUP($K34,'FLA Reading Logic'!$A$22:$B$53,2,FALSE),VLOOKUP($K34,'FLA Reading Logic'!$A$22:$B$53,2,FALSE),"No Score")))),"No Value"))</f>
        <v>No Value</v>
      </c>
    </row>
    <row r="35" spans="1:54" ht="26.25" customHeight="1" thickBot="1" x14ac:dyDescent="0.3">
      <c r="A35" s="96"/>
      <c r="B35" s="98"/>
      <c r="C35" s="98"/>
      <c r="D35" s="98"/>
      <c r="E35" s="179"/>
      <c r="F35" s="92"/>
      <c r="G35" s="98" t="str">
        <f>IFERROR(IF($E35="Yes","IPP",VLOOKUP($J35,'ELA Reading Logic'!$A$3:$K$9,VLOOKUP("September",'ELA Reading Logic'!$J$22:$K$31,2,FALSE),FALSE)),"Set Grade")</f>
        <v>Set Grade</v>
      </c>
      <c r="H35" s="98" t="str">
        <f>IFERROR(IF($E35="Yes","IPP",VLOOKUP($J35,'ELA Reading Logic'!$A$13:$K$19,VLOOKUP("September",'ELA Reading Logic'!$J$22:$K$31,2,FALSE),FALSE)),"Set Grade")</f>
        <v>Set Grade</v>
      </c>
      <c r="I35" s="98" t="str">
        <f>IF($E35="Yes","IPP",IFERROR(IF(AND(F35&gt;G35,F35&lt;H35),"0",(VLOOKUP(F35,'ELA Reading Logic'!$A$22:$B$48,2,FALSE))-(IF(VLOOKUP(F35,'ELA Reading Logic'!$A$22:$B$48,2,FALSE)&lt;=VLOOKUP(G35,'ELA Reading Logic'!$A$22:$B$48,2,FALSE),VLOOKUP(G35,'ELA Reading Logic'!$A$22:$B$48,2,FALSE),IF(VLOOKUP(F35,'ELA Reading Logic'!$A$22:$B$48,2,FALSE)&gt;=VLOOKUP(H35,'ELA Reading Logic'!$A$22:$B$48,2,FALSE),VLOOKUP(H35,'ELA Reading Logic'!$A$22:$B$48,2,FALSE),"No Score")))),"No Value"))</f>
        <v>No Value</v>
      </c>
      <c r="J35" s="96" t="str">
        <f>IFERROR(VLOOKUP($L35,'FLA Reading Logic'!$A$3:$K$9,11,FALSE),"Set Grade")</f>
        <v>Set Grade</v>
      </c>
      <c r="K35" s="96" t="str">
        <f>IFERROR(VLOOKUP($L35,'FLA Reading Logic'!$A$13:$K$19,11,FALSE),"Set Grade")</f>
        <v>Set Grade</v>
      </c>
      <c r="L35" s="180"/>
      <c r="M35" s="98"/>
      <c r="N35" s="98"/>
      <c r="O35" s="98"/>
      <c r="P35" s="98"/>
      <c r="Q35" s="98"/>
      <c r="R35" s="181"/>
      <c r="S35" s="182"/>
      <c r="T35" s="98" t="str">
        <f>IFERROR(IF($E35="Yes","IPP",VLOOKUP($L35,'FLA Reading Logic'!$A$3:$K$9,VLOOKUP(S$1,'FLA Reading Logic'!$J$22:$K$31,2,FALSE),FALSE)),"Set Grade")</f>
        <v>Set Grade</v>
      </c>
      <c r="U35" s="98" t="str">
        <f>IFERROR(IF($E35="Yes","IPP",VLOOKUP($L35,'FLA Reading Logic'!$A$13:$K$19,VLOOKUP(S$1,'FLA Reading Logic'!$J$22:$K$31,2,FALSE),FALSE)),"Set Grade")</f>
        <v>Set Grade</v>
      </c>
      <c r="V35" s="98" t="str">
        <f>IF($E35="Yes","IPP",IFERROR(IF(AND(S35&gt;T35,S35&lt;U35),"0",(VLOOKUP(S35,'FLA Reading Logic'!$A$22:$B$53,2,FALSE))-(IF(VLOOKUP(S35,'FLA Reading Logic'!$A$22:$B$53,2,FALSE)&lt;=VLOOKUP(T35,'FLA Reading Logic'!$A$22:$B$53,2,FALSE),VLOOKUP(T35,'FLA Reading Logic'!$A$22:$B$53,2,FALSE),IF(VLOOKUP(S35,'FLA Reading Logic'!$A$22:$B$53,2,FALSE)&gt;=VLOOKUP(U35,'FLA Reading Logic'!$A$22:$B$53,2,FALSE),VLOOKUP(U35,'FLA Reading Logic'!$A$22:$B$53,2,FALSE),"No Score")))),"No Value"))</f>
        <v>No Value</v>
      </c>
      <c r="W35" s="98" t="str">
        <f>IFERROR(VLOOKUP(S35,'FLA Reading Logic'!$A$22:$B$53,2,FALSE)-VLOOKUP($F35,'FLA Reading Logic'!$A$22:$B$53,2,FALSE),"No Value")</f>
        <v>No Value</v>
      </c>
      <c r="X35" s="96" t="str">
        <f>IF($E35="Yes","IPP",IFERROR(IF(AND(S35&gt;$J35,S35&lt;$K35),"0",(VLOOKUP(S35,'FLA Reading Logic'!$A$22:$B$53,2,FALSE))-(IF(VLOOKUP(S35,'FLA Reading Logic'!$A$22:$B$53,2,FALSE)&lt;=VLOOKUP($J35,'FLA Reading Logic'!$A$22:$B$53,2,FALSE),VLOOKUP($J35,'FLA Reading Logic'!$A$22:$B$53,2,FALSE),IF(VLOOKUP(S35,'FLA Reading Logic'!$A$22:$B$53,2,FALSE)&gt;=VLOOKUP($K35,'FLA Reading Logic'!$A$22:$B$53,2,FALSE),VLOOKUP($K35,'FLA Reading Logic'!$A$22:$B$53,2,FALSE),"No Score")))),"No Value"))</f>
        <v>No Value</v>
      </c>
      <c r="Y35" s="179"/>
      <c r="Z35" s="98" t="str">
        <f>IFERROR(IF($E35="Yes","IPP",VLOOKUP($L35,'FLA Reading Logic'!$A$3:$K$9,VLOOKUP(Y$1,'FLA Reading Logic'!$J$22:$K$31,2,FALSE),FALSE)),"Set Grade")</f>
        <v>Set Grade</v>
      </c>
      <c r="AA35" s="98" t="str">
        <f>IFERROR(IF($E35="Yes","IPP",VLOOKUP($L35,'FLA Reading Logic'!$A$13:$K$19,VLOOKUP(Y$1,'FLA Reading Logic'!$J$22:$K$31,2,FALSE),FALSE)),"Set Grade")</f>
        <v>Set Grade</v>
      </c>
      <c r="AB35" s="98" t="str">
        <f>IF($E35="Yes","IPP",IFERROR(IF(AND(Y35&gt;Z35,Y35&lt;AA35),"0",(VLOOKUP(Y35,'FLA Reading Logic'!$A$22:$B$53,2,FALSE))-(IF(VLOOKUP(Y35,'FLA Reading Logic'!$A$22:$B$53,2,FALSE)&lt;=VLOOKUP(Z35,'FLA Reading Logic'!$A$22:$B$53,2,FALSE),VLOOKUP(Z35,'FLA Reading Logic'!$A$22:$B$53,2,FALSE),IF(VLOOKUP(Y35,'FLA Reading Logic'!$A$22:$B$53,2,FALSE)&gt;=VLOOKUP(AA35,'FLA Reading Logic'!$A$22:$B$53,2,FALSE),VLOOKUP(AA35,'FLA Reading Logic'!$A$22:$B$53,2,FALSE),"No Score")))),"No Value"))</f>
        <v>No Value</v>
      </c>
      <c r="AC35" s="97" t="str">
        <f>IFERROR(VLOOKUP(Y35,'FLA Reading Logic'!$A$22:$B$48,2,FALSE)-VLOOKUP($F35,'FLA Reading Logic'!$A$22:$B$48,2,FALSE),"No Value")</f>
        <v>No Value</v>
      </c>
      <c r="AD35" s="96" t="str">
        <f>IF($E35="Yes","IPP",IFERROR(IF(AND(Y35&gt;$J35,Y35&lt;$K35),"0",(VLOOKUP(Y35,'FLA Reading Logic'!$A$22:$B$53,2,FALSE))-(IF(VLOOKUP(Y35,'FLA Reading Logic'!$A$22:$B$53,2,FALSE)&lt;=VLOOKUP($J35,'FLA Reading Logic'!$A$22:$B$53,2,FALSE),VLOOKUP($J35,'FLA Reading Logic'!$A$22:$B$53,2,FALSE),IF(VLOOKUP(Y35,'FLA Reading Logic'!$A$22:$B$53,2,FALSE)&gt;=VLOOKUP($K35,'FLA Reading Logic'!$A$22:$B$53,2,FALSE),VLOOKUP($K35,'FLA Reading Logic'!$A$22:$B$53,2,FALSE),"No Score")))),"No Value"))</f>
        <v>No Value</v>
      </c>
      <c r="AE35" s="179"/>
      <c r="AF35" s="96" t="str">
        <f>IFERROR(IF($E35="Yes","IPP",VLOOKUP($L35,'FLA Reading Logic'!$A$3:$K$9,VLOOKUP(AE$1,'FLA Reading Logic'!$J$22:$K$31,2,FALSE),FALSE)),"Set Grade")</f>
        <v>Set Grade</v>
      </c>
      <c r="AG35" s="96" t="str">
        <f>IFERROR(IF($E35="Yes","IPP",VLOOKUP($L35,'FLA Reading Logic'!$A$13:$K$19,VLOOKUP(AE$1,'FLA Reading Logic'!$J$22:$K$31,2,FALSE),FALSE)),"Set Grade")</f>
        <v>Set Grade</v>
      </c>
      <c r="AH35" s="98" t="str">
        <f>IF($E35="Yes","IPP",IFERROR(IF(AND(AE35&gt;AF35,AE35&lt;AG35),"0",(VLOOKUP(AE35,'FLA Reading Logic'!$A$22:$B$53,2,FALSE))-(IF(VLOOKUP(AE35,'FLA Reading Logic'!$A$22:$B$53,2,FALSE)&lt;=VLOOKUP(AF35,'FLA Reading Logic'!$A$22:$B$53,2,FALSE),VLOOKUP(AF35,'FLA Reading Logic'!$A$22:$B$53,2,FALSE),IF(VLOOKUP(AE35,'FLA Reading Logic'!$A$22:$B$53,2,FALSE)&gt;=VLOOKUP(AG35,'FLA Reading Logic'!$A$22:$B$53,2,FALSE),VLOOKUP(AG35,'FLA Reading Logic'!$A$22:$B$53,2,FALSE),"No Score")))),"No Value"))</f>
        <v>No Value</v>
      </c>
      <c r="AI35" s="96" t="str">
        <f>IFERROR(VLOOKUP(AE35,'FLA Reading Logic'!$A$22:$B$48,2,FALSE)-VLOOKUP($F35,'FLA Reading Logic'!$A$22:$B$48,2,FALSE),"No Value")</f>
        <v>No Value</v>
      </c>
      <c r="AJ35" s="96" t="str">
        <f>IF($E35="Yes","IPP",IFERROR(IF(AND(AE35&gt;$J35,AE35&lt;$K35),"0",(VLOOKUP(AE35,'FLA Reading Logic'!$A$22:$B$53,2,FALSE))-(IF(VLOOKUP(AE35,'FLA Reading Logic'!$A$22:$B$53,2,FALSE)&lt;=VLOOKUP($J35,'FLA Reading Logic'!$A$22:$B$53,2,FALSE),VLOOKUP($J35,'FLA Reading Logic'!$A$22:$B$53,2,FALSE),IF(VLOOKUP(AE35,'FLA Reading Logic'!$A$22:$B$53,2,FALSE)&gt;=VLOOKUP($K35,'FLA Reading Logic'!$A$22:$B$53,2,FALSE),VLOOKUP($K35,'FLA Reading Logic'!$A$22:$B$53,2,FALSE),"No Score")))),"No Value"))</f>
        <v>No Value</v>
      </c>
      <c r="AK35" s="179"/>
      <c r="AL35" s="96" t="str">
        <f>IFERROR(IF($E35="Yes","IPP",VLOOKUP($L35,'FLA Reading Logic'!$A$3:$K$9,VLOOKUP(AK$1,'FLA Reading Logic'!$J$22:$K$31,2,FALSE),FALSE)),"Set Grade")</f>
        <v>Set Grade</v>
      </c>
      <c r="AM35" s="96" t="str">
        <f>IFERROR(IF($E35="Yes","IPP",VLOOKUP($L35,'FLA Reading Logic'!$A$13:$K$19,VLOOKUP(AK$1,'FLA Reading Logic'!$J$22:$K$31,2,FALSE),FALSE)),"Set Grade")</f>
        <v>Set Grade</v>
      </c>
      <c r="AN35" s="98" t="str">
        <f>IF($E35="Yes","IPP",IFERROR(IF(AND(AK35&gt;AL35,AK35&lt;AM35),"0",(VLOOKUP(AK35,'FLA Reading Logic'!$A$22:$B$53,2,FALSE))-(IF(VLOOKUP(AK35,'FLA Reading Logic'!$A$22:$B$53,2,FALSE)&lt;=VLOOKUP(AL35,'FLA Reading Logic'!$A$22:$B$53,2,FALSE),VLOOKUP(AL35,'FLA Reading Logic'!$A$22:$B$53,2,FALSE),IF(VLOOKUP(AK35,'FLA Reading Logic'!$A$22:$B$53,2,FALSE)&gt;=VLOOKUP(AM35,'FLA Reading Logic'!$A$22:$B$53,2,FALSE),VLOOKUP(AM35,'FLA Reading Logic'!$A$22:$B$53,2,FALSE),"No Score")))),"No Value"))</f>
        <v>No Value</v>
      </c>
      <c r="AO35" s="96" t="str">
        <f>IFERROR(VLOOKUP(AK35,'FLA Reading Logic'!$A$22:$B$48,2,FALSE)-VLOOKUP($F35,'FLA Reading Logic'!$A$22:$B$48,2,FALSE),"No Value")</f>
        <v>No Value</v>
      </c>
      <c r="AP35" s="96" t="str">
        <f>IF($E35="Yes","IPP",IFERROR(IF(AND(AK35&gt;$J35,AK35&lt;$K35),"0",(VLOOKUP(AK35,'FLA Reading Logic'!$A$22:$B$53,2,FALSE))-(IF(VLOOKUP(AK35,'FLA Reading Logic'!$A$22:$B$53,2,FALSE)&lt;=VLOOKUP($J35,'FLA Reading Logic'!$A$22:$B$53,2,FALSE),VLOOKUP($J35,'FLA Reading Logic'!$A$22:$B$53,2,FALSE),IF(VLOOKUP(AK35,'FLA Reading Logic'!$A$22:$B$53,2,FALSE)&gt;=VLOOKUP($K35,'FLA Reading Logic'!$A$22:$B$53,2,FALSE),VLOOKUP($K35,'FLA Reading Logic'!$A$22:$B$53,2,FALSE),"No Score")))),"No Value"))</f>
        <v>No Value</v>
      </c>
      <c r="AQ35" s="179"/>
      <c r="AR35" s="96" t="str">
        <f>IFERROR(IF($E35="Yes","IPP",VLOOKUP($L35,'FLA Reading Logic'!$A$3:$K$9,VLOOKUP(AQ$1,'FLA Reading Logic'!$J$22:$K$31,2,FALSE),FALSE)),"Set Grade")</f>
        <v>Set Grade</v>
      </c>
      <c r="AS35" s="96" t="str">
        <f>IFERROR(IF($E35="Yes","IPP",VLOOKUP($L35,'FLA Reading Logic'!$A$13:$K$19,VLOOKUP(AQ$1,'FLA Reading Logic'!$J$22:$K$31,2,FALSE),FALSE)),"Set Grade")</f>
        <v>Set Grade</v>
      </c>
      <c r="AT35" s="98" t="str">
        <f>IF($E35="Yes","IPP",IFERROR(IF(AND(AQ35&gt;AR35,AQ35&lt;AS35),"0",(VLOOKUP(AQ35,'FLA Reading Logic'!$A$22:$B$53,2,FALSE))-(IF(VLOOKUP(AQ35,'FLA Reading Logic'!$A$22:$B$53,2,FALSE)&lt;=VLOOKUP(AR35,'FLA Reading Logic'!$A$22:$B$53,2,FALSE),VLOOKUP(AR35,'FLA Reading Logic'!$A$22:$B$53,2,FALSE),IF(VLOOKUP(AQ35,'FLA Reading Logic'!$A$22:$B$53,2,FALSE)&gt;=VLOOKUP(AS35,'FLA Reading Logic'!$A$22:$B$53,2,FALSE),VLOOKUP(AS35,'FLA Reading Logic'!$A$22:$B$53,2,FALSE),"No Score")))),"No Value"))</f>
        <v>No Value</v>
      </c>
      <c r="AU35" s="96" t="str">
        <f>IFERROR(VLOOKUP(AQ35,'FLA Reading Logic'!$A$22:$B$48,2,FALSE)-VLOOKUP($F35,'FLA Reading Logic'!$A$22:$B$48,2,FALSE),"No Value")</f>
        <v>No Value</v>
      </c>
      <c r="AV35" s="96" t="str">
        <f>IF($E35="Yes","IPP",IFERROR(IF(AND(AQ35&gt;$J35,AQ35&lt;$K35),"0",(VLOOKUP(AQ35,'FLA Reading Logic'!$A$22:$B$53,2,FALSE))-(IF(VLOOKUP(AQ35,'FLA Reading Logic'!$A$22:$B$53,2,FALSE)&lt;=VLOOKUP($J35,'FLA Reading Logic'!$A$22:$B$53,2,FALSE),VLOOKUP($J35,'FLA Reading Logic'!$A$22:$B$53,2,FALSE),IF(VLOOKUP(AQ35,'FLA Reading Logic'!$A$22:$B$53,2,FALSE)&gt;=VLOOKUP($K35,'FLA Reading Logic'!$A$22:$B$53,2,FALSE),VLOOKUP($K35,'FLA Reading Logic'!$A$22:$B$53,2,FALSE),"No Score")))),"No Value"))</f>
        <v>No Value</v>
      </c>
      <c r="AW35" s="179"/>
      <c r="AX35" s="96" t="str">
        <f>IFERROR(IF($E35="Yes","IPP",VLOOKUP($L35,'FLA Reading Logic'!$A$3:$K$9,VLOOKUP(AW$1,'FLA Reading Logic'!$J$22:$K$31,2,FALSE),FALSE)),"Set Grade")</f>
        <v>Set Grade</v>
      </c>
      <c r="AY35" s="96" t="str">
        <f>IFERROR(IF($E35="Yes","IPP",VLOOKUP($L35,'FLA Reading Logic'!$A$13:$K$19,VLOOKUP(AW$1,'FLA Reading Logic'!$J$22:$K$31,2,FALSE),FALSE)),"Set Grade")</f>
        <v>Set Grade</v>
      </c>
      <c r="AZ35" s="98" t="str">
        <f>IF($E35="Yes","IPP",IFERROR(IF(AND(AW35&gt;AX35,AW35&lt;AY35),"0",(VLOOKUP(AW35,'FLA Reading Logic'!$A$22:$B$53,2,FALSE))-(IF(VLOOKUP(AW35,'FLA Reading Logic'!$A$22:$B$53,2,FALSE)&lt;=VLOOKUP(AX35,'FLA Reading Logic'!$A$22:$B$53,2,FALSE),VLOOKUP(AX35,'FLA Reading Logic'!$A$22:$B$53,2,FALSE),IF(VLOOKUP(AW35,'FLA Reading Logic'!$A$22:$B$53,2,FALSE)&gt;=VLOOKUP(AY35,'FLA Reading Logic'!$A$22:$B$53,2,FALSE),VLOOKUP(AY35,'FLA Reading Logic'!$A$22:$B$53,2,FALSE),"No Score")))),"No Value"))</f>
        <v>No Value</v>
      </c>
      <c r="BA35" s="96" t="str">
        <f>IFERROR(VLOOKUP(AW35,'FLA Reading Logic'!$A$22:$B$48,2,FALSE)-VLOOKUP($F35,'FLA Reading Logic'!$A$22:$B$48,2,FALSE),"No Value")</f>
        <v>No Value</v>
      </c>
      <c r="BB35" s="96" t="str">
        <f>IF($E35="Yes","IPP",IFERROR(IF(AND(AW35&gt;$J35,AW35&lt;$K35),"0",(VLOOKUP(AW35,'FLA Reading Logic'!$A$22:$B$53,2,FALSE))-(IF(VLOOKUP(AW35,'FLA Reading Logic'!$A$22:$B$53,2,FALSE)&lt;=VLOOKUP($J35,'FLA Reading Logic'!$A$22:$B$53,2,FALSE),VLOOKUP($J35,'FLA Reading Logic'!$A$22:$B$53,2,FALSE),IF(VLOOKUP(AW35,'FLA Reading Logic'!$A$22:$B$53,2,FALSE)&gt;=VLOOKUP($K35,'FLA Reading Logic'!$A$22:$B$53,2,FALSE),VLOOKUP($K35,'FLA Reading Logic'!$A$22:$B$53,2,FALSE),"No Score")))),"No Value"))</f>
        <v>No Value</v>
      </c>
    </row>
    <row r="36" spans="1:54" ht="26.25" customHeight="1" thickBot="1" x14ac:dyDescent="0.3">
      <c r="A36" s="96"/>
      <c r="B36" s="98"/>
      <c r="C36" s="98"/>
      <c r="D36" s="98"/>
      <c r="E36" s="179"/>
      <c r="F36" s="92"/>
      <c r="G36" s="98" t="str">
        <f>IFERROR(IF($E36="Yes","IPP",VLOOKUP($J36,'ELA Reading Logic'!$A$3:$K$9,VLOOKUP("September",'ELA Reading Logic'!$J$22:$K$31,2,FALSE),FALSE)),"Set Grade")</f>
        <v>Set Grade</v>
      </c>
      <c r="H36" s="98" t="str">
        <f>IFERROR(IF($E36="Yes","IPP",VLOOKUP($J36,'ELA Reading Logic'!$A$13:$K$19,VLOOKUP("September",'ELA Reading Logic'!$J$22:$K$31,2,FALSE),FALSE)),"Set Grade")</f>
        <v>Set Grade</v>
      </c>
      <c r="I36" s="98" t="str">
        <f>IF($E36="Yes","IPP",IFERROR(IF(AND(F36&gt;G36,F36&lt;H36),"0",(VLOOKUP(F36,'ELA Reading Logic'!$A$22:$B$48,2,FALSE))-(IF(VLOOKUP(F36,'ELA Reading Logic'!$A$22:$B$48,2,FALSE)&lt;=VLOOKUP(G36,'ELA Reading Logic'!$A$22:$B$48,2,FALSE),VLOOKUP(G36,'ELA Reading Logic'!$A$22:$B$48,2,FALSE),IF(VLOOKUP(F36,'ELA Reading Logic'!$A$22:$B$48,2,FALSE)&gt;=VLOOKUP(H36,'ELA Reading Logic'!$A$22:$B$48,2,FALSE),VLOOKUP(H36,'ELA Reading Logic'!$A$22:$B$48,2,FALSE),"No Score")))),"No Value"))</f>
        <v>No Value</v>
      </c>
      <c r="J36" s="96" t="str">
        <f>IFERROR(VLOOKUP($L36,'FLA Reading Logic'!$A$3:$K$9,11,FALSE),"Set Grade")</f>
        <v>Set Grade</v>
      </c>
      <c r="K36" s="96" t="str">
        <f>IFERROR(VLOOKUP($L36,'FLA Reading Logic'!$A$13:$K$19,11,FALSE),"Set Grade")</f>
        <v>Set Grade</v>
      </c>
      <c r="L36" s="180"/>
      <c r="M36" s="98"/>
      <c r="N36" s="98"/>
      <c r="O36" s="98"/>
      <c r="P36" s="98"/>
      <c r="Q36" s="98"/>
      <c r="R36" s="181"/>
      <c r="S36" s="182"/>
      <c r="T36" s="98" t="str">
        <f>IFERROR(IF($E36="Yes","IPP",VLOOKUP($L36,'FLA Reading Logic'!$A$3:$K$9,VLOOKUP(S$1,'FLA Reading Logic'!$J$22:$K$31,2,FALSE),FALSE)),"Set Grade")</f>
        <v>Set Grade</v>
      </c>
      <c r="U36" s="98" t="str">
        <f>IFERROR(IF($E36="Yes","IPP",VLOOKUP($L36,'FLA Reading Logic'!$A$13:$K$19,VLOOKUP(S$1,'FLA Reading Logic'!$J$22:$K$31,2,FALSE),FALSE)),"Set Grade")</f>
        <v>Set Grade</v>
      </c>
      <c r="V36" s="98" t="str">
        <f>IF($E36="Yes","IPP",IFERROR(IF(AND(S36&gt;T36,S36&lt;U36),"0",(VLOOKUP(S36,'FLA Reading Logic'!$A$22:$B$53,2,FALSE))-(IF(VLOOKUP(S36,'FLA Reading Logic'!$A$22:$B$53,2,FALSE)&lt;=VLOOKUP(T36,'FLA Reading Logic'!$A$22:$B$53,2,FALSE),VLOOKUP(T36,'FLA Reading Logic'!$A$22:$B$53,2,FALSE),IF(VLOOKUP(S36,'FLA Reading Logic'!$A$22:$B$53,2,FALSE)&gt;=VLOOKUP(U36,'FLA Reading Logic'!$A$22:$B$53,2,FALSE),VLOOKUP(U36,'FLA Reading Logic'!$A$22:$B$53,2,FALSE),"No Score")))),"No Value"))</f>
        <v>No Value</v>
      </c>
      <c r="W36" s="98" t="str">
        <f>IFERROR(VLOOKUP(S36,'FLA Reading Logic'!$A$22:$B$53,2,FALSE)-VLOOKUP($F36,'FLA Reading Logic'!$A$22:$B$53,2,FALSE),"No Value")</f>
        <v>No Value</v>
      </c>
      <c r="X36" s="96" t="str">
        <f>IF($E36="Yes","IPP",IFERROR(IF(AND(S36&gt;$J36,S36&lt;$K36),"0",(VLOOKUP(S36,'FLA Reading Logic'!$A$22:$B$53,2,FALSE))-(IF(VLOOKUP(S36,'FLA Reading Logic'!$A$22:$B$53,2,FALSE)&lt;=VLOOKUP($J36,'FLA Reading Logic'!$A$22:$B$53,2,FALSE),VLOOKUP($J36,'FLA Reading Logic'!$A$22:$B$53,2,FALSE),IF(VLOOKUP(S36,'FLA Reading Logic'!$A$22:$B$53,2,FALSE)&gt;=VLOOKUP($K36,'FLA Reading Logic'!$A$22:$B$53,2,FALSE),VLOOKUP($K36,'FLA Reading Logic'!$A$22:$B$53,2,FALSE),"No Score")))),"No Value"))</f>
        <v>No Value</v>
      </c>
      <c r="Y36" s="179"/>
      <c r="Z36" s="98" t="str">
        <f>IFERROR(IF($E36="Yes","IPP",VLOOKUP($L36,'FLA Reading Logic'!$A$3:$K$9,VLOOKUP(Y$1,'FLA Reading Logic'!$J$22:$K$31,2,FALSE),FALSE)),"Set Grade")</f>
        <v>Set Grade</v>
      </c>
      <c r="AA36" s="98" t="str">
        <f>IFERROR(IF($E36="Yes","IPP",VLOOKUP($L36,'FLA Reading Logic'!$A$13:$K$19,VLOOKUP(Y$1,'FLA Reading Logic'!$J$22:$K$31,2,FALSE),FALSE)),"Set Grade")</f>
        <v>Set Grade</v>
      </c>
      <c r="AB36" s="98" t="str">
        <f>IF($E36="Yes","IPP",IFERROR(IF(AND(Y36&gt;Z36,Y36&lt;AA36),"0",(VLOOKUP(Y36,'FLA Reading Logic'!$A$22:$B$53,2,FALSE))-(IF(VLOOKUP(Y36,'FLA Reading Logic'!$A$22:$B$53,2,FALSE)&lt;=VLOOKUP(Z36,'FLA Reading Logic'!$A$22:$B$53,2,FALSE),VLOOKUP(Z36,'FLA Reading Logic'!$A$22:$B$53,2,FALSE),IF(VLOOKUP(Y36,'FLA Reading Logic'!$A$22:$B$53,2,FALSE)&gt;=VLOOKUP(AA36,'FLA Reading Logic'!$A$22:$B$53,2,FALSE),VLOOKUP(AA36,'FLA Reading Logic'!$A$22:$B$53,2,FALSE),"No Score")))),"No Value"))</f>
        <v>No Value</v>
      </c>
      <c r="AC36" s="97" t="str">
        <f>IFERROR(VLOOKUP(Y36,'FLA Reading Logic'!$A$22:$B$48,2,FALSE)-VLOOKUP($F36,'FLA Reading Logic'!$A$22:$B$48,2,FALSE),"No Value")</f>
        <v>No Value</v>
      </c>
      <c r="AD36" s="96" t="str">
        <f>IF($E36="Yes","IPP",IFERROR(IF(AND(Y36&gt;$J36,Y36&lt;$K36),"0",(VLOOKUP(Y36,'FLA Reading Logic'!$A$22:$B$53,2,FALSE))-(IF(VLOOKUP(Y36,'FLA Reading Logic'!$A$22:$B$53,2,FALSE)&lt;=VLOOKUP($J36,'FLA Reading Logic'!$A$22:$B$53,2,FALSE),VLOOKUP($J36,'FLA Reading Logic'!$A$22:$B$53,2,FALSE),IF(VLOOKUP(Y36,'FLA Reading Logic'!$A$22:$B$53,2,FALSE)&gt;=VLOOKUP($K36,'FLA Reading Logic'!$A$22:$B$53,2,FALSE),VLOOKUP($K36,'FLA Reading Logic'!$A$22:$B$53,2,FALSE),"No Score")))),"No Value"))</f>
        <v>No Value</v>
      </c>
      <c r="AE36" s="179"/>
      <c r="AF36" s="96" t="str">
        <f>IFERROR(IF($E36="Yes","IPP",VLOOKUP($L36,'FLA Reading Logic'!$A$3:$K$9,VLOOKUP(AE$1,'FLA Reading Logic'!$J$22:$K$31,2,FALSE),FALSE)),"Set Grade")</f>
        <v>Set Grade</v>
      </c>
      <c r="AG36" s="96" t="str">
        <f>IFERROR(IF($E36="Yes","IPP",VLOOKUP($L36,'FLA Reading Logic'!$A$13:$K$19,VLOOKUP(AE$1,'FLA Reading Logic'!$J$22:$K$31,2,FALSE),FALSE)),"Set Grade")</f>
        <v>Set Grade</v>
      </c>
      <c r="AH36" s="98" t="str">
        <f>IF($E36="Yes","IPP",IFERROR(IF(AND(AE36&gt;AF36,AE36&lt;AG36),"0",(VLOOKUP(AE36,'FLA Reading Logic'!$A$22:$B$53,2,FALSE))-(IF(VLOOKUP(AE36,'FLA Reading Logic'!$A$22:$B$53,2,FALSE)&lt;=VLOOKUP(AF36,'FLA Reading Logic'!$A$22:$B$53,2,FALSE),VLOOKUP(AF36,'FLA Reading Logic'!$A$22:$B$53,2,FALSE),IF(VLOOKUP(AE36,'FLA Reading Logic'!$A$22:$B$53,2,FALSE)&gt;=VLOOKUP(AG36,'FLA Reading Logic'!$A$22:$B$53,2,FALSE),VLOOKUP(AG36,'FLA Reading Logic'!$A$22:$B$53,2,FALSE),"No Score")))),"No Value"))</f>
        <v>No Value</v>
      </c>
      <c r="AI36" s="96" t="str">
        <f>IFERROR(VLOOKUP(AE36,'FLA Reading Logic'!$A$22:$B$48,2,FALSE)-VLOOKUP($F36,'FLA Reading Logic'!$A$22:$B$48,2,FALSE),"No Value")</f>
        <v>No Value</v>
      </c>
      <c r="AJ36" s="96" t="str">
        <f>IF($E36="Yes","IPP",IFERROR(IF(AND(AE36&gt;$J36,AE36&lt;$K36),"0",(VLOOKUP(AE36,'FLA Reading Logic'!$A$22:$B$53,2,FALSE))-(IF(VLOOKUP(AE36,'FLA Reading Logic'!$A$22:$B$53,2,FALSE)&lt;=VLOOKUP($J36,'FLA Reading Logic'!$A$22:$B$53,2,FALSE),VLOOKUP($J36,'FLA Reading Logic'!$A$22:$B$53,2,FALSE),IF(VLOOKUP(AE36,'FLA Reading Logic'!$A$22:$B$53,2,FALSE)&gt;=VLOOKUP($K36,'FLA Reading Logic'!$A$22:$B$53,2,FALSE),VLOOKUP($K36,'FLA Reading Logic'!$A$22:$B$53,2,FALSE),"No Score")))),"No Value"))</f>
        <v>No Value</v>
      </c>
      <c r="AK36" s="179"/>
      <c r="AL36" s="96" t="str">
        <f>IFERROR(IF($E36="Yes","IPP",VLOOKUP($L36,'FLA Reading Logic'!$A$3:$K$9,VLOOKUP(AK$1,'FLA Reading Logic'!$J$22:$K$31,2,FALSE),FALSE)),"Set Grade")</f>
        <v>Set Grade</v>
      </c>
      <c r="AM36" s="96" t="str">
        <f>IFERROR(IF($E36="Yes","IPP",VLOOKUP($L36,'FLA Reading Logic'!$A$13:$K$19,VLOOKUP(AK$1,'FLA Reading Logic'!$J$22:$K$31,2,FALSE),FALSE)),"Set Grade")</f>
        <v>Set Grade</v>
      </c>
      <c r="AN36" s="98" t="str">
        <f>IF($E36="Yes","IPP",IFERROR(IF(AND(AK36&gt;AL36,AK36&lt;AM36),"0",(VLOOKUP(AK36,'FLA Reading Logic'!$A$22:$B$53,2,FALSE))-(IF(VLOOKUP(AK36,'FLA Reading Logic'!$A$22:$B$53,2,FALSE)&lt;=VLOOKUP(AL36,'FLA Reading Logic'!$A$22:$B$53,2,FALSE),VLOOKUP(AL36,'FLA Reading Logic'!$A$22:$B$53,2,FALSE),IF(VLOOKUP(AK36,'FLA Reading Logic'!$A$22:$B$53,2,FALSE)&gt;=VLOOKUP(AM36,'FLA Reading Logic'!$A$22:$B$53,2,FALSE),VLOOKUP(AM36,'FLA Reading Logic'!$A$22:$B$53,2,FALSE),"No Score")))),"No Value"))</f>
        <v>No Value</v>
      </c>
      <c r="AO36" s="96" t="str">
        <f>IFERROR(VLOOKUP(AK36,'FLA Reading Logic'!$A$22:$B$48,2,FALSE)-VLOOKUP($F36,'FLA Reading Logic'!$A$22:$B$48,2,FALSE),"No Value")</f>
        <v>No Value</v>
      </c>
      <c r="AP36" s="96" t="str">
        <f>IF($E36="Yes","IPP",IFERROR(IF(AND(AK36&gt;$J36,AK36&lt;$K36),"0",(VLOOKUP(AK36,'FLA Reading Logic'!$A$22:$B$53,2,FALSE))-(IF(VLOOKUP(AK36,'FLA Reading Logic'!$A$22:$B$53,2,FALSE)&lt;=VLOOKUP($J36,'FLA Reading Logic'!$A$22:$B$53,2,FALSE),VLOOKUP($J36,'FLA Reading Logic'!$A$22:$B$53,2,FALSE),IF(VLOOKUP(AK36,'FLA Reading Logic'!$A$22:$B$53,2,FALSE)&gt;=VLOOKUP($K36,'FLA Reading Logic'!$A$22:$B$53,2,FALSE),VLOOKUP($K36,'FLA Reading Logic'!$A$22:$B$53,2,FALSE),"No Score")))),"No Value"))</f>
        <v>No Value</v>
      </c>
      <c r="AQ36" s="179"/>
      <c r="AR36" s="96" t="str">
        <f>IFERROR(IF($E36="Yes","IPP",VLOOKUP($L36,'FLA Reading Logic'!$A$3:$K$9,VLOOKUP(AQ$1,'FLA Reading Logic'!$J$22:$K$31,2,FALSE),FALSE)),"Set Grade")</f>
        <v>Set Grade</v>
      </c>
      <c r="AS36" s="96" t="str">
        <f>IFERROR(IF($E36="Yes","IPP",VLOOKUP($L36,'FLA Reading Logic'!$A$13:$K$19,VLOOKUP(AQ$1,'FLA Reading Logic'!$J$22:$K$31,2,FALSE),FALSE)),"Set Grade")</f>
        <v>Set Grade</v>
      </c>
      <c r="AT36" s="98" t="str">
        <f>IF($E36="Yes","IPP",IFERROR(IF(AND(AQ36&gt;AR36,AQ36&lt;AS36),"0",(VLOOKUP(AQ36,'FLA Reading Logic'!$A$22:$B$53,2,FALSE))-(IF(VLOOKUP(AQ36,'FLA Reading Logic'!$A$22:$B$53,2,FALSE)&lt;=VLOOKUP(AR36,'FLA Reading Logic'!$A$22:$B$53,2,FALSE),VLOOKUP(AR36,'FLA Reading Logic'!$A$22:$B$53,2,FALSE),IF(VLOOKUP(AQ36,'FLA Reading Logic'!$A$22:$B$53,2,FALSE)&gt;=VLOOKUP(AS36,'FLA Reading Logic'!$A$22:$B$53,2,FALSE),VLOOKUP(AS36,'FLA Reading Logic'!$A$22:$B$53,2,FALSE),"No Score")))),"No Value"))</f>
        <v>No Value</v>
      </c>
      <c r="AU36" s="96" t="str">
        <f>IFERROR(VLOOKUP(AQ36,'FLA Reading Logic'!$A$22:$B$48,2,FALSE)-VLOOKUP($F36,'FLA Reading Logic'!$A$22:$B$48,2,FALSE),"No Value")</f>
        <v>No Value</v>
      </c>
      <c r="AV36" s="96" t="str">
        <f>IF($E36="Yes","IPP",IFERROR(IF(AND(AQ36&gt;$J36,AQ36&lt;$K36),"0",(VLOOKUP(AQ36,'FLA Reading Logic'!$A$22:$B$53,2,FALSE))-(IF(VLOOKUP(AQ36,'FLA Reading Logic'!$A$22:$B$53,2,FALSE)&lt;=VLOOKUP($J36,'FLA Reading Logic'!$A$22:$B$53,2,FALSE),VLOOKUP($J36,'FLA Reading Logic'!$A$22:$B$53,2,FALSE),IF(VLOOKUP(AQ36,'FLA Reading Logic'!$A$22:$B$53,2,FALSE)&gt;=VLOOKUP($K36,'FLA Reading Logic'!$A$22:$B$53,2,FALSE),VLOOKUP($K36,'FLA Reading Logic'!$A$22:$B$53,2,FALSE),"No Score")))),"No Value"))</f>
        <v>No Value</v>
      </c>
      <c r="AW36" s="179"/>
      <c r="AX36" s="96" t="str">
        <f>IFERROR(IF($E36="Yes","IPP",VLOOKUP($L36,'FLA Reading Logic'!$A$3:$K$9,VLOOKUP(AW$1,'FLA Reading Logic'!$J$22:$K$31,2,FALSE),FALSE)),"Set Grade")</f>
        <v>Set Grade</v>
      </c>
      <c r="AY36" s="96" t="str">
        <f>IFERROR(IF($E36="Yes","IPP",VLOOKUP($L36,'FLA Reading Logic'!$A$13:$K$19,VLOOKUP(AW$1,'FLA Reading Logic'!$J$22:$K$31,2,FALSE),FALSE)),"Set Grade")</f>
        <v>Set Grade</v>
      </c>
      <c r="AZ36" s="98" t="str">
        <f>IF($E36="Yes","IPP",IFERROR(IF(AND(AW36&gt;AX36,AW36&lt;AY36),"0",(VLOOKUP(AW36,'FLA Reading Logic'!$A$22:$B$53,2,FALSE))-(IF(VLOOKUP(AW36,'FLA Reading Logic'!$A$22:$B$53,2,FALSE)&lt;=VLOOKUP(AX36,'FLA Reading Logic'!$A$22:$B$53,2,FALSE),VLOOKUP(AX36,'FLA Reading Logic'!$A$22:$B$53,2,FALSE),IF(VLOOKUP(AW36,'FLA Reading Logic'!$A$22:$B$53,2,FALSE)&gt;=VLOOKUP(AY36,'FLA Reading Logic'!$A$22:$B$53,2,FALSE),VLOOKUP(AY36,'FLA Reading Logic'!$A$22:$B$53,2,FALSE),"No Score")))),"No Value"))</f>
        <v>No Value</v>
      </c>
      <c r="BA36" s="96" t="str">
        <f>IFERROR(VLOOKUP(AW36,'FLA Reading Logic'!$A$22:$B$48,2,FALSE)-VLOOKUP($F36,'FLA Reading Logic'!$A$22:$B$48,2,FALSE),"No Value")</f>
        <v>No Value</v>
      </c>
      <c r="BB36" s="96" t="str">
        <f>IF($E36="Yes","IPP",IFERROR(IF(AND(AW36&gt;$J36,AW36&lt;$K36),"0",(VLOOKUP(AW36,'FLA Reading Logic'!$A$22:$B$53,2,FALSE))-(IF(VLOOKUP(AW36,'FLA Reading Logic'!$A$22:$B$53,2,FALSE)&lt;=VLOOKUP($J36,'FLA Reading Logic'!$A$22:$B$53,2,FALSE),VLOOKUP($J36,'FLA Reading Logic'!$A$22:$B$53,2,FALSE),IF(VLOOKUP(AW36,'FLA Reading Logic'!$A$22:$B$53,2,FALSE)&gt;=VLOOKUP($K36,'FLA Reading Logic'!$A$22:$B$53,2,FALSE),VLOOKUP($K36,'FLA Reading Logic'!$A$22:$B$53,2,FALSE),"No Score")))),"No Value"))</f>
        <v>No Value</v>
      </c>
    </row>
    <row r="37" spans="1:54" ht="26.25" customHeight="1" thickBot="1" x14ac:dyDescent="0.3">
      <c r="A37" s="96"/>
      <c r="B37" s="98"/>
      <c r="C37" s="98"/>
      <c r="D37" s="98"/>
      <c r="E37" s="179"/>
      <c r="F37" s="92"/>
      <c r="G37" s="98" t="str">
        <f>IFERROR(IF($E37="Yes","IPP",VLOOKUP($J37,'ELA Reading Logic'!$A$3:$K$9,VLOOKUP("September",'ELA Reading Logic'!$J$22:$K$31,2,FALSE),FALSE)),"Set Grade")</f>
        <v>Set Grade</v>
      </c>
      <c r="H37" s="98" t="str">
        <f>IFERROR(IF($E37="Yes","IPP",VLOOKUP($J37,'ELA Reading Logic'!$A$13:$K$19,VLOOKUP("September",'ELA Reading Logic'!$J$22:$K$31,2,FALSE),FALSE)),"Set Grade")</f>
        <v>Set Grade</v>
      </c>
      <c r="I37" s="98" t="str">
        <f>IF($E37="Yes","IPP",IFERROR(IF(AND(F37&gt;G37,F37&lt;H37),"0",(VLOOKUP(F37,'ELA Reading Logic'!$A$22:$B$48,2,FALSE))-(IF(VLOOKUP(F37,'ELA Reading Logic'!$A$22:$B$48,2,FALSE)&lt;=VLOOKUP(G37,'ELA Reading Logic'!$A$22:$B$48,2,FALSE),VLOOKUP(G37,'ELA Reading Logic'!$A$22:$B$48,2,FALSE),IF(VLOOKUP(F37,'ELA Reading Logic'!$A$22:$B$48,2,FALSE)&gt;=VLOOKUP(H37,'ELA Reading Logic'!$A$22:$B$48,2,FALSE),VLOOKUP(H37,'ELA Reading Logic'!$A$22:$B$48,2,FALSE),"No Score")))),"No Value"))</f>
        <v>No Value</v>
      </c>
      <c r="J37" s="96" t="str">
        <f>IFERROR(VLOOKUP($L37,'FLA Reading Logic'!$A$3:$K$9,11,FALSE),"Set Grade")</f>
        <v>Set Grade</v>
      </c>
      <c r="K37" s="96" t="str">
        <f>IFERROR(VLOOKUP($L37,'FLA Reading Logic'!$A$13:$K$19,11,FALSE),"Set Grade")</f>
        <v>Set Grade</v>
      </c>
      <c r="L37" s="180"/>
      <c r="M37" s="98"/>
      <c r="N37" s="98"/>
      <c r="O37" s="98"/>
      <c r="P37" s="98"/>
      <c r="Q37" s="98"/>
      <c r="R37" s="181"/>
      <c r="S37" s="182"/>
      <c r="T37" s="98" t="str">
        <f>IFERROR(IF($E37="Yes","IPP",VLOOKUP($L37,'FLA Reading Logic'!$A$3:$K$9,VLOOKUP(S$1,'FLA Reading Logic'!$J$22:$K$31,2,FALSE),FALSE)),"Set Grade")</f>
        <v>Set Grade</v>
      </c>
      <c r="U37" s="98" t="str">
        <f>IFERROR(IF($E37="Yes","IPP",VLOOKUP($L37,'FLA Reading Logic'!$A$13:$K$19,VLOOKUP(S$1,'FLA Reading Logic'!$J$22:$K$31,2,FALSE),FALSE)),"Set Grade")</f>
        <v>Set Grade</v>
      </c>
      <c r="V37" s="98" t="str">
        <f>IF($E37="Yes","IPP",IFERROR(IF(AND(S37&gt;T37,S37&lt;U37),"0",(VLOOKUP(S37,'FLA Reading Logic'!$A$22:$B$53,2,FALSE))-(IF(VLOOKUP(S37,'FLA Reading Logic'!$A$22:$B$53,2,FALSE)&lt;=VLOOKUP(T37,'FLA Reading Logic'!$A$22:$B$53,2,FALSE),VLOOKUP(T37,'FLA Reading Logic'!$A$22:$B$53,2,FALSE),IF(VLOOKUP(S37,'FLA Reading Logic'!$A$22:$B$53,2,FALSE)&gt;=VLOOKUP(U37,'FLA Reading Logic'!$A$22:$B$53,2,FALSE),VLOOKUP(U37,'FLA Reading Logic'!$A$22:$B$53,2,FALSE),"No Score")))),"No Value"))</f>
        <v>No Value</v>
      </c>
      <c r="W37" s="98" t="str">
        <f>IFERROR(VLOOKUP(S37,'FLA Reading Logic'!$A$22:$B$53,2,FALSE)-VLOOKUP($F37,'FLA Reading Logic'!$A$22:$B$53,2,FALSE),"No Value")</f>
        <v>No Value</v>
      </c>
      <c r="X37" s="96" t="str">
        <f>IF($E37="Yes","IPP",IFERROR(IF(AND(S37&gt;$J37,S37&lt;$K37),"0",(VLOOKUP(S37,'FLA Reading Logic'!$A$22:$B$53,2,FALSE))-(IF(VLOOKUP(S37,'FLA Reading Logic'!$A$22:$B$53,2,FALSE)&lt;=VLOOKUP($J37,'FLA Reading Logic'!$A$22:$B$53,2,FALSE),VLOOKUP($J37,'FLA Reading Logic'!$A$22:$B$53,2,FALSE),IF(VLOOKUP(S37,'FLA Reading Logic'!$A$22:$B$53,2,FALSE)&gt;=VLOOKUP($K37,'FLA Reading Logic'!$A$22:$B$53,2,FALSE),VLOOKUP($K37,'FLA Reading Logic'!$A$22:$B$53,2,FALSE),"No Score")))),"No Value"))</f>
        <v>No Value</v>
      </c>
      <c r="Y37" s="179"/>
      <c r="Z37" s="98" t="str">
        <f>IFERROR(IF($E37="Yes","IPP",VLOOKUP($L37,'FLA Reading Logic'!$A$3:$K$9,VLOOKUP(Y$1,'FLA Reading Logic'!$J$22:$K$31,2,FALSE),FALSE)),"Set Grade")</f>
        <v>Set Grade</v>
      </c>
      <c r="AA37" s="98" t="str">
        <f>IFERROR(IF($E37="Yes","IPP",VLOOKUP($L37,'FLA Reading Logic'!$A$13:$K$19,VLOOKUP(Y$1,'FLA Reading Logic'!$J$22:$K$31,2,FALSE),FALSE)),"Set Grade")</f>
        <v>Set Grade</v>
      </c>
      <c r="AB37" s="98" t="str">
        <f>IF($E37="Yes","IPP",IFERROR(IF(AND(Y37&gt;Z37,Y37&lt;AA37),"0",(VLOOKUP(Y37,'FLA Reading Logic'!$A$22:$B$53,2,FALSE))-(IF(VLOOKUP(Y37,'FLA Reading Logic'!$A$22:$B$53,2,FALSE)&lt;=VLOOKUP(Z37,'FLA Reading Logic'!$A$22:$B$53,2,FALSE),VLOOKUP(Z37,'FLA Reading Logic'!$A$22:$B$53,2,FALSE),IF(VLOOKUP(Y37,'FLA Reading Logic'!$A$22:$B$53,2,FALSE)&gt;=VLOOKUP(AA37,'FLA Reading Logic'!$A$22:$B$53,2,FALSE),VLOOKUP(AA37,'FLA Reading Logic'!$A$22:$B$53,2,FALSE),"No Score")))),"No Value"))</f>
        <v>No Value</v>
      </c>
      <c r="AC37" s="97" t="str">
        <f>IFERROR(VLOOKUP(Y37,'FLA Reading Logic'!$A$22:$B$48,2,FALSE)-VLOOKUP($F37,'FLA Reading Logic'!$A$22:$B$48,2,FALSE),"No Value")</f>
        <v>No Value</v>
      </c>
      <c r="AD37" s="96" t="str">
        <f>IF($E37="Yes","IPP",IFERROR(IF(AND(Y37&gt;$J37,Y37&lt;$K37),"0",(VLOOKUP(Y37,'FLA Reading Logic'!$A$22:$B$53,2,FALSE))-(IF(VLOOKUP(Y37,'FLA Reading Logic'!$A$22:$B$53,2,FALSE)&lt;=VLOOKUP($J37,'FLA Reading Logic'!$A$22:$B$53,2,FALSE),VLOOKUP($J37,'FLA Reading Logic'!$A$22:$B$53,2,FALSE),IF(VLOOKUP(Y37,'FLA Reading Logic'!$A$22:$B$53,2,FALSE)&gt;=VLOOKUP($K37,'FLA Reading Logic'!$A$22:$B$53,2,FALSE),VLOOKUP($K37,'FLA Reading Logic'!$A$22:$B$53,2,FALSE),"No Score")))),"No Value"))</f>
        <v>No Value</v>
      </c>
      <c r="AE37" s="179"/>
      <c r="AF37" s="96" t="str">
        <f>IFERROR(IF($E37="Yes","IPP",VLOOKUP($L37,'FLA Reading Logic'!$A$3:$K$9,VLOOKUP(AE$1,'FLA Reading Logic'!$J$22:$K$31,2,FALSE),FALSE)),"Set Grade")</f>
        <v>Set Grade</v>
      </c>
      <c r="AG37" s="96" t="str">
        <f>IFERROR(IF($E37="Yes","IPP",VLOOKUP($L37,'FLA Reading Logic'!$A$13:$K$19,VLOOKUP(AE$1,'FLA Reading Logic'!$J$22:$K$31,2,FALSE),FALSE)),"Set Grade")</f>
        <v>Set Grade</v>
      </c>
      <c r="AH37" s="98" t="str">
        <f>IF($E37="Yes","IPP",IFERROR(IF(AND(AE37&gt;AF37,AE37&lt;AG37),"0",(VLOOKUP(AE37,'FLA Reading Logic'!$A$22:$B$53,2,FALSE))-(IF(VLOOKUP(AE37,'FLA Reading Logic'!$A$22:$B$53,2,FALSE)&lt;=VLOOKUP(AF37,'FLA Reading Logic'!$A$22:$B$53,2,FALSE),VLOOKUP(AF37,'FLA Reading Logic'!$A$22:$B$53,2,FALSE),IF(VLOOKUP(AE37,'FLA Reading Logic'!$A$22:$B$53,2,FALSE)&gt;=VLOOKUP(AG37,'FLA Reading Logic'!$A$22:$B$53,2,FALSE),VLOOKUP(AG37,'FLA Reading Logic'!$A$22:$B$53,2,FALSE),"No Score")))),"No Value"))</f>
        <v>No Value</v>
      </c>
      <c r="AI37" s="96" t="str">
        <f>IFERROR(VLOOKUP(AE37,'FLA Reading Logic'!$A$22:$B$48,2,FALSE)-VLOOKUP($F37,'FLA Reading Logic'!$A$22:$B$48,2,FALSE),"No Value")</f>
        <v>No Value</v>
      </c>
      <c r="AJ37" s="96" t="str">
        <f>IF($E37="Yes","IPP",IFERROR(IF(AND(AE37&gt;$J37,AE37&lt;$K37),"0",(VLOOKUP(AE37,'FLA Reading Logic'!$A$22:$B$53,2,FALSE))-(IF(VLOOKUP(AE37,'FLA Reading Logic'!$A$22:$B$53,2,FALSE)&lt;=VLOOKUP($J37,'FLA Reading Logic'!$A$22:$B$53,2,FALSE),VLOOKUP($J37,'FLA Reading Logic'!$A$22:$B$53,2,FALSE),IF(VLOOKUP(AE37,'FLA Reading Logic'!$A$22:$B$53,2,FALSE)&gt;=VLOOKUP($K37,'FLA Reading Logic'!$A$22:$B$53,2,FALSE),VLOOKUP($K37,'FLA Reading Logic'!$A$22:$B$53,2,FALSE),"No Score")))),"No Value"))</f>
        <v>No Value</v>
      </c>
      <c r="AK37" s="179"/>
      <c r="AL37" s="96" t="str">
        <f>IFERROR(IF($E37="Yes","IPP",VLOOKUP($L37,'FLA Reading Logic'!$A$3:$K$9,VLOOKUP(AK$1,'FLA Reading Logic'!$J$22:$K$31,2,FALSE),FALSE)),"Set Grade")</f>
        <v>Set Grade</v>
      </c>
      <c r="AM37" s="96" t="str">
        <f>IFERROR(IF($E37="Yes","IPP",VLOOKUP($L37,'FLA Reading Logic'!$A$13:$K$19,VLOOKUP(AK$1,'FLA Reading Logic'!$J$22:$K$31,2,FALSE),FALSE)),"Set Grade")</f>
        <v>Set Grade</v>
      </c>
      <c r="AN37" s="98" t="str">
        <f>IF($E37="Yes","IPP",IFERROR(IF(AND(AK37&gt;AL37,AK37&lt;AM37),"0",(VLOOKUP(AK37,'FLA Reading Logic'!$A$22:$B$53,2,FALSE))-(IF(VLOOKUP(AK37,'FLA Reading Logic'!$A$22:$B$53,2,FALSE)&lt;=VLOOKUP(AL37,'FLA Reading Logic'!$A$22:$B$53,2,FALSE),VLOOKUP(AL37,'FLA Reading Logic'!$A$22:$B$53,2,FALSE),IF(VLOOKUP(AK37,'FLA Reading Logic'!$A$22:$B$53,2,FALSE)&gt;=VLOOKUP(AM37,'FLA Reading Logic'!$A$22:$B$53,2,FALSE),VLOOKUP(AM37,'FLA Reading Logic'!$A$22:$B$53,2,FALSE),"No Score")))),"No Value"))</f>
        <v>No Value</v>
      </c>
      <c r="AO37" s="96" t="str">
        <f>IFERROR(VLOOKUP(AK37,'FLA Reading Logic'!$A$22:$B$48,2,FALSE)-VLOOKUP($F37,'FLA Reading Logic'!$A$22:$B$48,2,FALSE),"No Value")</f>
        <v>No Value</v>
      </c>
      <c r="AP37" s="96" t="str">
        <f>IF($E37="Yes","IPP",IFERROR(IF(AND(AK37&gt;$J37,AK37&lt;$K37),"0",(VLOOKUP(AK37,'FLA Reading Logic'!$A$22:$B$53,2,FALSE))-(IF(VLOOKUP(AK37,'FLA Reading Logic'!$A$22:$B$53,2,FALSE)&lt;=VLOOKUP($J37,'FLA Reading Logic'!$A$22:$B$53,2,FALSE),VLOOKUP($J37,'FLA Reading Logic'!$A$22:$B$53,2,FALSE),IF(VLOOKUP(AK37,'FLA Reading Logic'!$A$22:$B$53,2,FALSE)&gt;=VLOOKUP($K37,'FLA Reading Logic'!$A$22:$B$53,2,FALSE),VLOOKUP($K37,'FLA Reading Logic'!$A$22:$B$53,2,FALSE),"No Score")))),"No Value"))</f>
        <v>No Value</v>
      </c>
      <c r="AQ37" s="179"/>
      <c r="AR37" s="96" t="str">
        <f>IFERROR(IF($E37="Yes","IPP",VLOOKUP($L37,'FLA Reading Logic'!$A$3:$K$9,VLOOKUP(AQ$1,'FLA Reading Logic'!$J$22:$K$31,2,FALSE),FALSE)),"Set Grade")</f>
        <v>Set Grade</v>
      </c>
      <c r="AS37" s="96" t="str">
        <f>IFERROR(IF($E37="Yes","IPP",VLOOKUP($L37,'FLA Reading Logic'!$A$13:$K$19,VLOOKUP(AQ$1,'FLA Reading Logic'!$J$22:$K$31,2,FALSE),FALSE)),"Set Grade")</f>
        <v>Set Grade</v>
      </c>
      <c r="AT37" s="98" t="str">
        <f>IF($E37="Yes","IPP",IFERROR(IF(AND(AQ37&gt;AR37,AQ37&lt;AS37),"0",(VLOOKUP(AQ37,'FLA Reading Logic'!$A$22:$B$53,2,FALSE))-(IF(VLOOKUP(AQ37,'FLA Reading Logic'!$A$22:$B$53,2,FALSE)&lt;=VLOOKUP(AR37,'FLA Reading Logic'!$A$22:$B$53,2,FALSE),VLOOKUP(AR37,'FLA Reading Logic'!$A$22:$B$53,2,FALSE),IF(VLOOKUP(AQ37,'FLA Reading Logic'!$A$22:$B$53,2,FALSE)&gt;=VLOOKUP(AS37,'FLA Reading Logic'!$A$22:$B$53,2,FALSE),VLOOKUP(AS37,'FLA Reading Logic'!$A$22:$B$53,2,FALSE),"No Score")))),"No Value"))</f>
        <v>No Value</v>
      </c>
      <c r="AU37" s="96" t="str">
        <f>IFERROR(VLOOKUP(AQ37,'FLA Reading Logic'!$A$22:$B$48,2,FALSE)-VLOOKUP($F37,'FLA Reading Logic'!$A$22:$B$48,2,FALSE),"No Value")</f>
        <v>No Value</v>
      </c>
      <c r="AV37" s="96" t="str">
        <f>IF($E37="Yes","IPP",IFERROR(IF(AND(AQ37&gt;$J37,AQ37&lt;$K37),"0",(VLOOKUP(AQ37,'FLA Reading Logic'!$A$22:$B$53,2,FALSE))-(IF(VLOOKUP(AQ37,'FLA Reading Logic'!$A$22:$B$53,2,FALSE)&lt;=VLOOKUP($J37,'FLA Reading Logic'!$A$22:$B$53,2,FALSE),VLOOKUP($J37,'FLA Reading Logic'!$A$22:$B$53,2,FALSE),IF(VLOOKUP(AQ37,'FLA Reading Logic'!$A$22:$B$53,2,FALSE)&gt;=VLOOKUP($K37,'FLA Reading Logic'!$A$22:$B$53,2,FALSE),VLOOKUP($K37,'FLA Reading Logic'!$A$22:$B$53,2,FALSE),"No Score")))),"No Value"))</f>
        <v>No Value</v>
      </c>
      <c r="AW37" s="179"/>
      <c r="AX37" s="96" t="str">
        <f>IFERROR(IF($E37="Yes","IPP",VLOOKUP($L37,'FLA Reading Logic'!$A$3:$K$9,VLOOKUP(AW$1,'FLA Reading Logic'!$J$22:$K$31,2,FALSE),FALSE)),"Set Grade")</f>
        <v>Set Grade</v>
      </c>
      <c r="AY37" s="96" t="str">
        <f>IFERROR(IF($E37="Yes","IPP",VLOOKUP($L37,'FLA Reading Logic'!$A$13:$K$19,VLOOKUP(AW$1,'FLA Reading Logic'!$J$22:$K$31,2,FALSE),FALSE)),"Set Grade")</f>
        <v>Set Grade</v>
      </c>
      <c r="AZ37" s="98" t="str">
        <f>IF($E37="Yes","IPP",IFERROR(IF(AND(AW37&gt;AX37,AW37&lt;AY37),"0",(VLOOKUP(AW37,'FLA Reading Logic'!$A$22:$B$53,2,FALSE))-(IF(VLOOKUP(AW37,'FLA Reading Logic'!$A$22:$B$53,2,FALSE)&lt;=VLOOKUP(AX37,'FLA Reading Logic'!$A$22:$B$53,2,FALSE),VLOOKUP(AX37,'FLA Reading Logic'!$A$22:$B$53,2,FALSE),IF(VLOOKUP(AW37,'FLA Reading Logic'!$A$22:$B$53,2,FALSE)&gt;=VLOOKUP(AY37,'FLA Reading Logic'!$A$22:$B$53,2,FALSE),VLOOKUP(AY37,'FLA Reading Logic'!$A$22:$B$53,2,FALSE),"No Score")))),"No Value"))</f>
        <v>No Value</v>
      </c>
      <c r="BA37" s="96" t="str">
        <f>IFERROR(VLOOKUP(AW37,'FLA Reading Logic'!$A$22:$B$48,2,FALSE)-VLOOKUP($F37,'FLA Reading Logic'!$A$22:$B$48,2,FALSE),"No Value")</f>
        <v>No Value</v>
      </c>
      <c r="BB37" s="96" t="str">
        <f>IF($E37="Yes","IPP",IFERROR(IF(AND(AW37&gt;$J37,AW37&lt;$K37),"0",(VLOOKUP(AW37,'FLA Reading Logic'!$A$22:$B$53,2,FALSE))-(IF(VLOOKUP(AW37,'FLA Reading Logic'!$A$22:$B$53,2,FALSE)&lt;=VLOOKUP($J37,'FLA Reading Logic'!$A$22:$B$53,2,FALSE),VLOOKUP($J37,'FLA Reading Logic'!$A$22:$B$53,2,FALSE),IF(VLOOKUP(AW37,'FLA Reading Logic'!$A$22:$B$53,2,FALSE)&gt;=VLOOKUP($K37,'FLA Reading Logic'!$A$22:$B$53,2,FALSE),VLOOKUP($K37,'FLA Reading Logic'!$A$22:$B$53,2,FALSE),"No Score")))),"No Value"))</f>
        <v>No Value</v>
      </c>
    </row>
    <row r="38" spans="1:54" ht="26.25" customHeight="1" thickBot="1" x14ac:dyDescent="0.3">
      <c r="A38" s="96"/>
      <c r="B38" s="98"/>
      <c r="C38" s="98"/>
      <c r="D38" s="98"/>
      <c r="E38" s="179"/>
      <c r="F38" s="92"/>
      <c r="G38" s="98" t="str">
        <f>IFERROR(IF($E38="Yes","IPP",VLOOKUP($J38,'ELA Reading Logic'!$A$3:$K$9,VLOOKUP("September",'ELA Reading Logic'!$J$22:$K$31,2,FALSE),FALSE)),"Set Grade")</f>
        <v>Set Grade</v>
      </c>
      <c r="H38" s="98" t="str">
        <f>IFERROR(IF($E38="Yes","IPP",VLOOKUP($J38,'ELA Reading Logic'!$A$13:$K$19,VLOOKUP("September",'ELA Reading Logic'!$J$22:$K$31,2,FALSE),FALSE)),"Set Grade")</f>
        <v>Set Grade</v>
      </c>
      <c r="I38" s="98" t="str">
        <f>IF($E38="Yes","IPP",IFERROR(IF(AND(F38&gt;G38,F38&lt;H38),"0",(VLOOKUP(F38,'ELA Reading Logic'!$A$22:$B$48,2,FALSE))-(IF(VLOOKUP(F38,'ELA Reading Logic'!$A$22:$B$48,2,FALSE)&lt;=VLOOKUP(G38,'ELA Reading Logic'!$A$22:$B$48,2,FALSE),VLOOKUP(G38,'ELA Reading Logic'!$A$22:$B$48,2,FALSE),IF(VLOOKUP(F38,'ELA Reading Logic'!$A$22:$B$48,2,FALSE)&gt;=VLOOKUP(H38,'ELA Reading Logic'!$A$22:$B$48,2,FALSE),VLOOKUP(H38,'ELA Reading Logic'!$A$22:$B$48,2,FALSE),"No Score")))),"No Value"))</f>
        <v>No Value</v>
      </c>
      <c r="J38" s="96" t="str">
        <f>IFERROR(VLOOKUP($L38,'FLA Reading Logic'!$A$3:$K$9,11,FALSE),"Set Grade")</f>
        <v>Set Grade</v>
      </c>
      <c r="K38" s="96" t="str">
        <f>IFERROR(VLOOKUP($L38,'FLA Reading Logic'!$A$13:$K$19,11,FALSE),"Set Grade")</f>
        <v>Set Grade</v>
      </c>
      <c r="L38" s="180"/>
      <c r="M38" s="98"/>
      <c r="N38" s="98"/>
      <c r="O38" s="98"/>
      <c r="P38" s="98"/>
      <c r="Q38" s="98"/>
      <c r="R38" s="181"/>
      <c r="S38" s="182"/>
      <c r="T38" s="98" t="str">
        <f>IFERROR(IF($E38="Yes","IPP",VLOOKUP($L38,'FLA Reading Logic'!$A$3:$K$9,VLOOKUP(S$1,'FLA Reading Logic'!$J$22:$K$31,2,FALSE),FALSE)),"Set Grade")</f>
        <v>Set Grade</v>
      </c>
      <c r="U38" s="98" t="str">
        <f>IFERROR(IF($E38="Yes","IPP",VLOOKUP($L38,'FLA Reading Logic'!$A$13:$K$19,VLOOKUP(S$1,'FLA Reading Logic'!$J$22:$K$31,2,FALSE),FALSE)),"Set Grade")</f>
        <v>Set Grade</v>
      </c>
      <c r="V38" s="98" t="str">
        <f>IF($E38="Yes","IPP",IFERROR(IF(AND(S38&gt;T38,S38&lt;U38),"0",(VLOOKUP(S38,'FLA Reading Logic'!$A$22:$B$53,2,FALSE))-(IF(VLOOKUP(S38,'FLA Reading Logic'!$A$22:$B$53,2,FALSE)&lt;=VLOOKUP(T38,'FLA Reading Logic'!$A$22:$B$53,2,FALSE),VLOOKUP(T38,'FLA Reading Logic'!$A$22:$B$53,2,FALSE),IF(VLOOKUP(S38,'FLA Reading Logic'!$A$22:$B$53,2,FALSE)&gt;=VLOOKUP(U38,'FLA Reading Logic'!$A$22:$B$53,2,FALSE),VLOOKUP(U38,'FLA Reading Logic'!$A$22:$B$53,2,FALSE),"No Score")))),"No Value"))</f>
        <v>No Value</v>
      </c>
      <c r="W38" s="98" t="str">
        <f>IFERROR(VLOOKUP(S38,'FLA Reading Logic'!$A$22:$B$53,2,FALSE)-VLOOKUP($F38,'FLA Reading Logic'!$A$22:$B$53,2,FALSE),"No Value")</f>
        <v>No Value</v>
      </c>
      <c r="X38" s="96" t="str">
        <f>IF($E38="Yes","IPP",IFERROR(IF(AND(S38&gt;$J38,S38&lt;$K38),"0",(VLOOKUP(S38,'FLA Reading Logic'!$A$22:$B$53,2,FALSE))-(IF(VLOOKUP(S38,'FLA Reading Logic'!$A$22:$B$53,2,FALSE)&lt;=VLOOKUP($J38,'FLA Reading Logic'!$A$22:$B$53,2,FALSE),VLOOKUP($J38,'FLA Reading Logic'!$A$22:$B$53,2,FALSE),IF(VLOOKUP(S38,'FLA Reading Logic'!$A$22:$B$53,2,FALSE)&gt;=VLOOKUP($K38,'FLA Reading Logic'!$A$22:$B$53,2,FALSE),VLOOKUP($K38,'FLA Reading Logic'!$A$22:$B$53,2,FALSE),"No Score")))),"No Value"))</f>
        <v>No Value</v>
      </c>
      <c r="Y38" s="179"/>
      <c r="Z38" s="98" t="str">
        <f>IFERROR(IF($E38="Yes","IPP",VLOOKUP($L38,'FLA Reading Logic'!$A$3:$K$9,VLOOKUP(Y$1,'FLA Reading Logic'!$J$22:$K$31,2,FALSE),FALSE)),"Set Grade")</f>
        <v>Set Grade</v>
      </c>
      <c r="AA38" s="98" t="str">
        <f>IFERROR(IF($E38="Yes","IPP",VLOOKUP($L38,'FLA Reading Logic'!$A$13:$K$19,VLOOKUP(Y$1,'FLA Reading Logic'!$J$22:$K$31,2,FALSE),FALSE)),"Set Grade")</f>
        <v>Set Grade</v>
      </c>
      <c r="AB38" s="98" t="str">
        <f>IF($E38="Yes","IPP",IFERROR(IF(AND(Y38&gt;Z38,Y38&lt;AA38),"0",(VLOOKUP(Y38,'FLA Reading Logic'!$A$22:$B$53,2,FALSE))-(IF(VLOOKUP(Y38,'FLA Reading Logic'!$A$22:$B$53,2,FALSE)&lt;=VLOOKUP(Z38,'FLA Reading Logic'!$A$22:$B$53,2,FALSE),VLOOKUP(Z38,'FLA Reading Logic'!$A$22:$B$53,2,FALSE),IF(VLOOKUP(Y38,'FLA Reading Logic'!$A$22:$B$53,2,FALSE)&gt;=VLOOKUP(AA38,'FLA Reading Logic'!$A$22:$B$53,2,FALSE),VLOOKUP(AA38,'FLA Reading Logic'!$A$22:$B$53,2,FALSE),"No Score")))),"No Value"))</f>
        <v>No Value</v>
      </c>
      <c r="AC38" s="97" t="str">
        <f>IFERROR(VLOOKUP(Y38,'FLA Reading Logic'!$A$22:$B$48,2,FALSE)-VLOOKUP($F38,'FLA Reading Logic'!$A$22:$B$48,2,FALSE),"No Value")</f>
        <v>No Value</v>
      </c>
      <c r="AD38" s="96" t="str">
        <f>IF($E38="Yes","IPP",IFERROR(IF(AND(Y38&gt;$J38,Y38&lt;$K38),"0",(VLOOKUP(Y38,'FLA Reading Logic'!$A$22:$B$53,2,FALSE))-(IF(VLOOKUP(Y38,'FLA Reading Logic'!$A$22:$B$53,2,FALSE)&lt;=VLOOKUP($J38,'FLA Reading Logic'!$A$22:$B$53,2,FALSE),VLOOKUP($J38,'FLA Reading Logic'!$A$22:$B$53,2,FALSE),IF(VLOOKUP(Y38,'FLA Reading Logic'!$A$22:$B$53,2,FALSE)&gt;=VLOOKUP($K38,'FLA Reading Logic'!$A$22:$B$53,2,FALSE),VLOOKUP($K38,'FLA Reading Logic'!$A$22:$B$53,2,FALSE),"No Score")))),"No Value"))</f>
        <v>No Value</v>
      </c>
      <c r="AE38" s="179"/>
      <c r="AF38" s="96" t="str">
        <f>IFERROR(IF($E38="Yes","IPP",VLOOKUP($L38,'FLA Reading Logic'!$A$3:$K$9,VLOOKUP(AE$1,'FLA Reading Logic'!$J$22:$K$31,2,FALSE),FALSE)),"Set Grade")</f>
        <v>Set Grade</v>
      </c>
      <c r="AG38" s="96" t="str">
        <f>IFERROR(IF($E38="Yes","IPP",VLOOKUP($L38,'FLA Reading Logic'!$A$13:$K$19,VLOOKUP(AE$1,'FLA Reading Logic'!$J$22:$K$31,2,FALSE),FALSE)),"Set Grade")</f>
        <v>Set Grade</v>
      </c>
      <c r="AH38" s="98" t="str">
        <f>IF($E38="Yes","IPP",IFERROR(IF(AND(AE38&gt;AF38,AE38&lt;AG38),"0",(VLOOKUP(AE38,'FLA Reading Logic'!$A$22:$B$53,2,FALSE))-(IF(VLOOKUP(AE38,'FLA Reading Logic'!$A$22:$B$53,2,FALSE)&lt;=VLOOKUP(AF38,'FLA Reading Logic'!$A$22:$B$53,2,FALSE),VLOOKUP(AF38,'FLA Reading Logic'!$A$22:$B$53,2,FALSE),IF(VLOOKUP(AE38,'FLA Reading Logic'!$A$22:$B$53,2,FALSE)&gt;=VLOOKUP(AG38,'FLA Reading Logic'!$A$22:$B$53,2,FALSE),VLOOKUP(AG38,'FLA Reading Logic'!$A$22:$B$53,2,FALSE),"No Score")))),"No Value"))</f>
        <v>No Value</v>
      </c>
      <c r="AI38" s="96" t="str">
        <f>IFERROR(VLOOKUP(AE38,'FLA Reading Logic'!$A$22:$B$48,2,FALSE)-VLOOKUP($F38,'FLA Reading Logic'!$A$22:$B$48,2,FALSE),"No Value")</f>
        <v>No Value</v>
      </c>
      <c r="AJ38" s="96" t="str">
        <f>IF($E38="Yes","IPP",IFERROR(IF(AND(AE38&gt;$J38,AE38&lt;$K38),"0",(VLOOKUP(AE38,'FLA Reading Logic'!$A$22:$B$53,2,FALSE))-(IF(VLOOKUP(AE38,'FLA Reading Logic'!$A$22:$B$53,2,FALSE)&lt;=VLOOKUP($J38,'FLA Reading Logic'!$A$22:$B$53,2,FALSE),VLOOKUP($J38,'FLA Reading Logic'!$A$22:$B$53,2,FALSE),IF(VLOOKUP(AE38,'FLA Reading Logic'!$A$22:$B$53,2,FALSE)&gt;=VLOOKUP($K38,'FLA Reading Logic'!$A$22:$B$53,2,FALSE),VLOOKUP($K38,'FLA Reading Logic'!$A$22:$B$53,2,FALSE),"No Score")))),"No Value"))</f>
        <v>No Value</v>
      </c>
      <c r="AK38" s="179"/>
      <c r="AL38" s="96" t="str">
        <f>IFERROR(IF($E38="Yes","IPP",VLOOKUP($L38,'FLA Reading Logic'!$A$3:$K$9,VLOOKUP(AK$1,'FLA Reading Logic'!$J$22:$K$31,2,FALSE),FALSE)),"Set Grade")</f>
        <v>Set Grade</v>
      </c>
      <c r="AM38" s="96" t="str">
        <f>IFERROR(IF($E38="Yes","IPP",VLOOKUP($L38,'FLA Reading Logic'!$A$13:$K$19,VLOOKUP(AK$1,'FLA Reading Logic'!$J$22:$K$31,2,FALSE),FALSE)),"Set Grade")</f>
        <v>Set Grade</v>
      </c>
      <c r="AN38" s="98" t="str">
        <f>IF($E38="Yes","IPP",IFERROR(IF(AND(AK38&gt;AL38,AK38&lt;AM38),"0",(VLOOKUP(AK38,'FLA Reading Logic'!$A$22:$B$53,2,FALSE))-(IF(VLOOKUP(AK38,'FLA Reading Logic'!$A$22:$B$53,2,FALSE)&lt;=VLOOKUP(AL38,'FLA Reading Logic'!$A$22:$B$53,2,FALSE),VLOOKUP(AL38,'FLA Reading Logic'!$A$22:$B$53,2,FALSE),IF(VLOOKUP(AK38,'FLA Reading Logic'!$A$22:$B$53,2,FALSE)&gt;=VLOOKUP(AM38,'FLA Reading Logic'!$A$22:$B$53,2,FALSE),VLOOKUP(AM38,'FLA Reading Logic'!$A$22:$B$53,2,FALSE),"No Score")))),"No Value"))</f>
        <v>No Value</v>
      </c>
      <c r="AO38" s="96" t="str">
        <f>IFERROR(VLOOKUP(AK38,'FLA Reading Logic'!$A$22:$B$48,2,FALSE)-VLOOKUP($F38,'FLA Reading Logic'!$A$22:$B$48,2,FALSE),"No Value")</f>
        <v>No Value</v>
      </c>
      <c r="AP38" s="96" t="str">
        <f>IF($E38="Yes","IPP",IFERROR(IF(AND(AK38&gt;$J38,AK38&lt;$K38),"0",(VLOOKUP(AK38,'FLA Reading Logic'!$A$22:$B$53,2,FALSE))-(IF(VLOOKUP(AK38,'FLA Reading Logic'!$A$22:$B$53,2,FALSE)&lt;=VLOOKUP($J38,'FLA Reading Logic'!$A$22:$B$53,2,FALSE),VLOOKUP($J38,'FLA Reading Logic'!$A$22:$B$53,2,FALSE),IF(VLOOKUP(AK38,'FLA Reading Logic'!$A$22:$B$53,2,FALSE)&gt;=VLOOKUP($K38,'FLA Reading Logic'!$A$22:$B$53,2,FALSE),VLOOKUP($K38,'FLA Reading Logic'!$A$22:$B$53,2,FALSE),"No Score")))),"No Value"))</f>
        <v>No Value</v>
      </c>
      <c r="AQ38" s="179"/>
      <c r="AR38" s="96" t="str">
        <f>IFERROR(IF($E38="Yes","IPP",VLOOKUP($L38,'FLA Reading Logic'!$A$3:$K$9,VLOOKUP(AQ$1,'FLA Reading Logic'!$J$22:$K$31,2,FALSE),FALSE)),"Set Grade")</f>
        <v>Set Grade</v>
      </c>
      <c r="AS38" s="96" t="str">
        <f>IFERROR(IF($E38="Yes","IPP",VLOOKUP($L38,'FLA Reading Logic'!$A$13:$K$19,VLOOKUP(AQ$1,'FLA Reading Logic'!$J$22:$K$31,2,FALSE),FALSE)),"Set Grade")</f>
        <v>Set Grade</v>
      </c>
      <c r="AT38" s="98" t="str">
        <f>IF($E38="Yes","IPP",IFERROR(IF(AND(AQ38&gt;AR38,AQ38&lt;AS38),"0",(VLOOKUP(AQ38,'FLA Reading Logic'!$A$22:$B$53,2,FALSE))-(IF(VLOOKUP(AQ38,'FLA Reading Logic'!$A$22:$B$53,2,FALSE)&lt;=VLOOKUP(AR38,'FLA Reading Logic'!$A$22:$B$53,2,FALSE),VLOOKUP(AR38,'FLA Reading Logic'!$A$22:$B$53,2,FALSE),IF(VLOOKUP(AQ38,'FLA Reading Logic'!$A$22:$B$53,2,FALSE)&gt;=VLOOKUP(AS38,'FLA Reading Logic'!$A$22:$B$53,2,FALSE),VLOOKUP(AS38,'FLA Reading Logic'!$A$22:$B$53,2,FALSE),"No Score")))),"No Value"))</f>
        <v>No Value</v>
      </c>
      <c r="AU38" s="96" t="str">
        <f>IFERROR(VLOOKUP(AQ38,'FLA Reading Logic'!$A$22:$B$48,2,FALSE)-VLOOKUP($F38,'FLA Reading Logic'!$A$22:$B$48,2,FALSE),"No Value")</f>
        <v>No Value</v>
      </c>
      <c r="AV38" s="96" t="str">
        <f>IF($E38="Yes","IPP",IFERROR(IF(AND(AQ38&gt;$J38,AQ38&lt;$K38),"0",(VLOOKUP(AQ38,'FLA Reading Logic'!$A$22:$B$53,2,FALSE))-(IF(VLOOKUP(AQ38,'FLA Reading Logic'!$A$22:$B$53,2,FALSE)&lt;=VLOOKUP($J38,'FLA Reading Logic'!$A$22:$B$53,2,FALSE),VLOOKUP($J38,'FLA Reading Logic'!$A$22:$B$53,2,FALSE),IF(VLOOKUP(AQ38,'FLA Reading Logic'!$A$22:$B$53,2,FALSE)&gt;=VLOOKUP($K38,'FLA Reading Logic'!$A$22:$B$53,2,FALSE),VLOOKUP($K38,'FLA Reading Logic'!$A$22:$B$53,2,FALSE),"No Score")))),"No Value"))</f>
        <v>No Value</v>
      </c>
      <c r="AW38" s="179"/>
      <c r="AX38" s="96" t="str">
        <f>IFERROR(IF($E38="Yes","IPP",VLOOKUP($L38,'FLA Reading Logic'!$A$3:$K$9,VLOOKUP(AW$1,'FLA Reading Logic'!$J$22:$K$31,2,FALSE),FALSE)),"Set Grade")</f>
        <v>Set Grade</v>
      </c>
      <c r="AY38" s="96" t="str">
        <f>IFERROR(IF($E38="Yes","IPP",VLOOKUP($L38,'FLA Reading Logic'!$A$13:$K$19,VLOOKUP(AW$1,'FLA Reading Logic'!$J$22:$K$31,2,FALSE),FALSE)),"Set Grade")</f>
        <v>Set Grade</v>
      </c>
      <c r="AZ38" s="98" t="str">
        <f>IF($E38="Yes","IPP",IFERROR(IF(AND(AW38&gt;AX38,AW38&lt;AY38),"0",(VLOOKUP(AW38,'FLA Reading Logic'!$A$22:$B$53,2,FALSE))-(IF(VLOOKUP(AW38,'FLA Reading Logic'!$A$22:$B$53,2,FALSE)&lt;=VLOOKUP(AX38,'FLA Reading Logic'!$A$22:$B$53,2,FALSE),VLOOKUP(AX38,'FLA Reading Logic'!$A$22:$B$53,2,FALSE),IF(VLOOKUP(AW38,'FLA Reading Logic'!$A$22:$B$53,2,FALSE)&gt;=VLOOKUP(AY38,'FLA Reading Logic'!$A$22:$B$53,2,FALSE),VLOOKUP(AY38,'FLA Reading Logic'!$A$22:$B$53,2,FALSE),"No Score")))),"No Value"))</f>
        <v>No Value</v>
      </c>
      <c r="BA38" s="96" t="str">
        <f>IFERROR(VLOOKUP(AW38,'FLA Reading Logic'!$A$22:$B$48,2,FALSE)-VLOOKUP($F38,'FLA Reading Logic'!$A$22:$B$48,2,FALSE),"No Value")</f>
        <v>No Value</v>
      </c>
      <c r="BB38" s="96" t="str">
        <f>IF($E38="Yes","IPP",IFERROR(IF(AND(AW38&gt;$J38,AW38&lt;$K38),"0",(VLOOKUP(AW38,'FLA Reading Logic'!$A$22:$B$53,2,FALSE))-(IF(VLOOKUP(AW38,'FLA Reading Logic'!$A$22:$B$53,2,FALSE)&lt;=VLOOKUP($J38,'FLA Reading Logic'!$A$22:$B$53,2,FALSE),VLOOKUP($J38,'FLA Reading Logic'!$A$22:$B$53,2,FALSE),IF(VLOOKUP(AW38,'FLA Reading Logic'!$A$22:$B$53,2,FALSE)&gt;=VLOOKUP($K38,'FLA Reading Logic'!$A$22:$B$53,2,FALSE),VLOOKUP($K38,'FLA Reading Logic'!$A$22:$B$53,2,FALSE),"No Score")))),"No Value"))</f>
        <v>No Value</v>
      </c>
    </row>
    <row r="39" spans="1:54" ht="26.25" customHeight="1" thickBot="1" x14ac:dyDescent="0.3">
      <c r="A39" s="96"/>
      <c r="B39" s="98"/>
      <c r="C39" s="98"/>
      <c r="D39" s="98"/>
      <c r="E39" s="179"/>
      <c r="F39" s="92"/>
      <c r="G39" s="98" t="str">
        <f>IFERROR(IF($E39="Yes","IPP",VLOOKUP($J39,'ELA Reading Logic'!$A$3:$K$9,VLOOKUP("September",'ELA Reading Logic'!$J$22:$K$31,2,FALSE),FALSE)),"Set Grade")</f>
        <v>Set Grade</v>
      </c>
      <c r="H39" s="98" t="str">
        <f>IFERROR(IF($E39="Yes","IPP",VLOOKUP($J39,'ELA Reading Logic'!$A$13:$K$19,VLOOKUP("September",'ELA Reading Logic'!$J$22:$K$31,2,FALSE),FALSE)),"Set Grade")</f>
        <v>Set Grade</v>
      </c>
      <c r="I39" s="98" t="str">
        <f>IF($E39="Yes","IPP",IFERROR(IF(AND(F39&gt;G39,F39&lt;H39),"0",(VLOOKUP(F39,'ELA Reading Logic'!$A$22:$B$48,2,FALSE))-(IF(VLOOKUP(F39,'ELA Reading Logic'!$A$22:$B$48,2,FALSE)&lt;=VLOOKUP(G39,'ELA Reading Logic'!$A$22:$B$48,2,FALSE),VLOOKUP(G39,'ELA Reading Logic'!$A$22:$B$48,2,FALSE),IF(VLOOKUP(F39,'ELA Reading Logic'!$A$22:$B$48,2,FALSE)&gt;=VLOOKUP(H39,'ELA Reading Logic'!$A$22:$B$48,2,FALSE),VLOOKUP(H39,'ELA Reading Logic'!$A$22:$B$48,2,FALSE),"No Score")))),"No Value"))</f>
        <v>No Value</v>
      </c>
      <c r="J39" s="96" t="str">
        <f>IFERROR(VLOOKUP($L39,'FLA Reading Logic'!$A$3:$K$9,11,FALSE),"Set Grade")</f>
        <v>Set Grade</v>
      </c>
      <c r="K39" s="96" t="str">
        <f>IFERROR(VLOOKUP($L39,'FLA Reading Logic'!$A$13:$K$19,11,FALSE),"Set Grade")</f>
        <v>Set Grade</v>
      </c>
      <c r="L39" s="180"/>
      <c r="M39" s="98"/>
      <c r="N39" s="98"/>
      <c r="O39" s="98"/>
      <c r="P39" s="98"/>
      <c r="Q39" s="98"/>
      <c r="R39" s="181"/>
      <c r="S39" s="182"/>
      <c r="T39" s="98" t="str">
        <f>IFERROR(IF($E39="Yes","IPP",VLOOKUP($L39,'FLA Reading Logic'!$A$3:$K$9,VLOOKUP(S$1,'FLA Reading Logic'!$J$22:$K$31,2,FALSE),FALSE)),"Set Grade")</f>
        <v>Set Grade</v>
      </c>
      <c r="U39" s="98" t="str">
        <f>IFERROR(IF($E39="Yes","IPP",VLOOKUP($L39,'FLA Reading Logic'!$A$13:$K$19,VLOOKUP(S$1,'FLA Reading Logic'!$J$22:$K$31,2,FALSE),FALSE)),"Set Grade")</f>
        <v>Set Grade</v>
      </c>
      <c r="V39" s="98" t="str">
        <f>IF($E39="Yes","IPP",IFERROR(IF(AND(S39&gt;T39,S39&lt;U39),"0",(VLOOKUP(S39,'FLA Reading Logic'!$A$22:$B$53,2,FALSE))-(IF(VLOOKUP(S39,'FLA Reading Logic'!$A$22:$B$53,2,FALSE)&lt;=VLOOKUP(T39,'FLA Reading Logic'!$A$22:$B$53,2,FALSE),VLOOKUP(T39,'FLA Reading Logic'!$A$22:$B$53,2,FALSE),IF(VLOOKUP(S39,'FLA Reading Logic'!$A$22:$B$53,2,FALSE)&gt;=VLOOKUP(U39,'FLA Reading Logic'!$A$22:$B$53,2,FALSE),VLOOKUP(U39,'FLA Reading Logic'!$A$22:$B$53,2,FALSE),"No Score")))),"No Value"))</f>
        <v>No Value</v>
      </c>
      <c r="W39" s="98" t="str">
        <f>IFERROR(VLOOKUP(S39,'FLA Reading Logic'!$A$22:$B$53,2,FALSE)-VLOOKUP($F39,'FLA Reading Logic'!$A$22:$B$53,2,FALSE),"No Value")</f>
        <v>No Value</v>
      </c>
      <c r="X39" s="96" t="str">
        <f>IF($E39="Yes","IPP",IFERROR(IF(AND(S39&gt;$J39,S39&lt;$K39),"0",(VLOOKUP(S39,'FLA Reading Logic'!$A$22:$B$53,2,FALSE))-(IF(VLOOKUP(S39,'FLA Reading Logic'!$A$22:$B$53,2,FALSE)&lt;=VLOOKUP($J39,'FLA Reading Logic'!$A$22:$B$53,2,FALSE),VLOOKUP($J39,'FLA Reading Logic'!$A$22:$B$53,2,FALSE),IF(VLOOKUP(S39,'FLA Reading Logic'!$A$22:$B$53,2,FALSE)&gt;=VLOOKUP($K39,'FLA Reading Logic'!$A$22:$B$53,2,FALSE),VLOOKUP($K39,'FLA Reading Logic'!$A$22:$B$53,2,FALSE),"No Score")))),"No Value"))</f>
        <v>No Value</v>
      </c>
      <c r="Y39" s="179"/>
      <c r="Z39" s="98" t="str">
        <f>IFERROR(IF($E39="Yes","IPP",VLOOKUP($L39,'FLA Reading Logic'!$A$3:$K$9,VLOOKUP(Y$1,'FLA Reading Logic'!$J$22:$K$31,2,FALSE),FALSE)),"Set Grade")</f>
        <v>Set Grade</v>
      </c>
      <c r="AA39" s="98" t="str">
        <f>IFERROR(IF($E39="Yes","IPP",VLOOKUP($L39,'FLA Reading Logic'!$A$13:$K$19,VLOOKUP(Y$1,'FLA Reading Logic'!$J$22:$K$31,2,FALSE),FALSE)),"Set Grade")</f>
        <v>Set Grade</v>
      </c>
      <c r="AB39" s="98" t="str">
        <f>IF($E39="Yes","IPP",IFERROR(IF(AND(Y39&gt;Z39,Y39&lt;AA39),"0",(VLOOKUP(Y39,'FLA Reading Logic'!$A$22:$B$53,2,FALSE))-(IF(VLOOKUP(Y39,'FLA Reading Logic'!$A$22:$B$53,2,FALSE)&lt;=VLOOKUP(Z39,'FLA Reading Logic'!$A$22:$B$53,2,FALSE),VLOOKUP(Z39,'FLA Reading Logic'!$A$22:$B$53,2,FALSE),IF(VLOOKUP(Y39,'FLA Reading Logic'!$A$22:$B$53,2,FALSE)&gt;=VLOOKUP(AA39,'FLA Reading Logic'!$A$22:$B$53,2,FALSE),VLOOKUP(AA39,'FLA Reading Logic'!$A$22:$B$53,2,FALSE),"No Score")))),"No Value"))</f>
        <v>No Value</v>
      </c>
      <c r="AC39" s="97" t="str">
        <f>IFERROR(VLOOKUP(Y39,'FLA Reading Logic'!$A$22:$B$48,2,FALSE)-VLOOKUP($F39,'FLA Reading Logic'!$A$22:$B$48,2,FALSE),"No Value")</f>
        <v>No Value</v>
      </c>
      <c r="AD39" s="96" t="str">
        <f>IF($E39="Yes","IPP",IFERROR(IF(AND(Y39&gt;$J39,Y39&lt;$K39),"0",(VLOOKUP(Y39,'FLA Reading Logic'!$A$22:$B$53,2,FALSE))-(IF(VLOOKUP(Y39,'FLA Reading Logic'!$A$22:$B$53,2,FALSE)&lt;=VLOOKUP($J39,'FLA Reading Logic'!$A$22:$B$53,2,FALSE),VLOOKUP($J39,'FLA Reading Logic'!$A$22:$B$53,2,FALSE),IF(VLOOKUP(Y39,'FLA Reading Logic'!$A$22:$B$53,2,FALSE)&gt;=VLOOKUP($K39,'FLA Reading Logic'!$A$22:$B$53,2,FALSE),VLOOKUP($K39,'FLA Reading Logic'!$A$22:$B$53,2,FALSE),"No Score")))),"No Value"))</f>
        <v>No Value</v>
      </c>
      <c r="AE39" s="179"/>
      <c r="AF39" s="96" t="str">
        <f>IFERROR(IF($E39="Yes","IPP",VLOOKUP($L39,'FLA Reading Logic'!$A$3:$K$9,VLOOKUP(AE$1,'FLA Reading Logic'!$J$22:$K$31,2,FALSE),FALSE)),"Set Grade")</f>
        <v>Set Grade</v>
      </c>
      <c r="AG39" s="96" t="str">
        <f>IFERROR(IF($E39="Yes","IPP",VLOOKUP($L39,'FLA Reading Logic'!$A$13:$K$19,VLOOKUP(AE$1,'FLA Reading Logic'!$J$22:$K$31,2,FALSE),FALSE)),"Set Grade")</f>
        <v>Set Grade</v>
      </c>
      <c r="AH39" s="98" t="str">
        <f>IF($E39="Yes","IPP",IFERROR(IF(AND(AE39&gt;AF39,AE39&lt;AG39),"0",(VLOOKUP(AE39,'FLA Reading Logic'!$A$22:$B$53,2,FALSE))-(IF(VLOOKUP(AE39,'FLA Reading Logic'!$A$22:$B$53,2,FALSE)&lt;=VLOOKUP(AF39,'FLA Reading Logic'!$A$22:$B$53,2,FALSE),VLOOKUP(AF39,'FLA Reading Logic'!$A$22:$B$53,2,FALSE),IF(VLOOKUP(AE39,'FLA Reading Logic'!$A$22:$B$53,2,FALSE)&gt;=VLOOKUP(AG39,'FLA Reading Logic'!$A$22:$B$53,2,FALSE),VLOOKUP(AG39,'FLA Reading Logic'!$A$22:$B$53,2,FALSE),"No Score")))),"No Value"))</f>
        <v>No Value</v>
      </c>
      <c r="AI39" s="96" t="str">
        <f>IFERROR(VLOOKUP(AE39,'FLA Reading Logic'!$A$22:$B$48,2,FALSE)-VLOOKUP($F39,'FLA Reading Logic'!$A$22:$B$48,2,FALSE),"No Value")</f>
        <v>No Value</v>
      </c>
      <c r="AJ39" s="96" t="str">
        <f>IF($E39="Yes","IPP",IFERROR(IF(AND(AE39&gt;$J39,AE39&lt;$K39),"0",(VLOOKUP(AE39,'FLA Reading Logic'!$A$22:$B$53,2,FALSE))-(IF(VLOOKUP(AE39,'FLA Reading Logic'!$A$22:$B$53,2,FALSE)&lt;=VLOOKUP($J39,'FLA Reading Logic'!$A$22:$B$53,2,FALSE),VLOOKUP($J39,'FLA Reading Logic'!$A$22:$B$53,2,FALSE),IF(VLOOKUP(AE39,'FLA Reading Logic'!$A$22:$B$53,2,FALSE)&gt;=VLOOKUP($K39,'FLA Reading Logic'!$A$22:$B$53,2,FALSE),VLOOKUP($K39,'FLA Reading Logic'!$A$22:$B$53,2,FALSE),"No Score")))),"No Value"))</f>
        <v>No Value</v>
      </c>
      <c r="AK39" s="179"/>
      <c r="AL39" s="96" t="str">
        <f>IFERROR(IF($E39="Yes","IPP",VLOOKUP($L39,'FLA Reading Logic'!$A$3:$K$9,VLOOKUP(AK$1,'FLA Reading Logic'!$J$22:$K$31,2,FALSE),FALSE)),"Set Grade")</f>
        <v>Set Grade</v>
      </c>
      <c r="AM39" s="96" t="str">
        <f>IFERROR(IF($E39="Yes","IPP",VLOOKUP($L39,'FLA Reading Logic'!$A$13:$K$19,VLOOKUP(AK$1,'FLA Reading Logic'!$J$22:$K$31,2,FALSE),FALSE)),"Set Grade")</f>
        <v>Set Grade</v>
      </c>
      <c r="AN39" s="98" t="str">
        <f>IF($E39="Yes","IPP",IFERROR(IF(AND(AK39&gt;AL39,AK39&lt;AM39),"0",(VLOOKUP(AK39,'FLA Reading Logic'!$A$22:$B$53,2,FALSE))-(IF(VLOOKUP(AK39,'FLA Reading Logic'!$A$22:$B$53,2,FALSE)&lt;=VLOOKUP(AL39,'FLA Reading Logic'!$A$22:$B$53,2,FALSE),VLOOKUP(AL39,'FLA Reading Logic'!$A$22:$B$53,2,FALSE),IF(VLOOKUP(AK39,'FLA Reading Logic'!$A$22:$B$53,2,FALSE)&gt;=VLOOKUP(AM39,'FLA Reading Logic'!$A$22:$B$53,2,FALSE),VLOOKUP(AM39,'FLA Reading Logic'!$A$22:$B$53,2,FALSE),"No Score")))),"No Value"))</f>
        <v>No Value</v>
      </c>
      <c r="AO39" s="96" t="str">
        <f>IFERROR(VLOOKUP(AK39,'FLA Reading Logic'!$A$22:$B$48,2,FALSE)-VLOOKUP($F39,'FLA Reading Logic'!$A$22:$B$48,2,FALSE),"No Value")</f>
        <v>No Value</v>
      </c>
      <c r="AP39" s="96" t="str">
        <f>IF($E39="Yes","IPP",IFERROR(IF(AND(AK39&gt;$J39,AK39&lt;$K39),"0",(VLOOKUP(AK39,'FLA Reading Logic'!$A$22:$B$53,2,FALSE))-(IF(VLOOKUP(AK39,'FLA Reading Logic'!$A$22:$B$53,2,FALSE)&lt;=VLOOKUP($J39,'FLA Reading Logic'!$A$22:$B$53,2,FALSE),VLOOKUP($J39,'FLA Reading Logic'!$A$22:$B$53,2,FALSE),IF(VLOOKUP(AK39,'FLA Reading Logic'!$A$22:$B$53,2,FALSE)&gt;=VLOOKUP($K39,'FLA Reading Logic'!$A$22:$B$53,2,FALSE),VLOOKUP($K39,'FLA Reading Logic'!$A$22:$B$53,2,FALSE),"No Score")))),"No Value"))</f>
        <v>No Value</v>
      </c>
      <c r="AQ39" s="179"/>
      <c r="AR39" s="96" t="str">
        <f>IFERROR(IF($E39="Yes","IPP",VLOOKUP($L39,'FLA Reading Logic'!$A$3:$K$9,VLOOKUP(AQ$1,'FLA Reading Logic'!$J$22:$K$31,2,FALSE),FALSE)),"Set Grade")</f>
        <v>Set Grade</v>
      </c>
      <c r="AS39" s="96" t="str">
        <f>IFERROR(IF($E39="Yes","IPP",VLOOKUP($L39,'FLA Reading Logic'!$A$13:$K$19,VLOOKUP(AQ$1,'FLA Reading Logic'!$J$22:$K$31,2,FALSE),FALSE)),"Set Grade")</f>
        <v>Set Grade</v>
      </c>
      <c r="AT39" s="98" t="str">
        <f>IF($E39="Yes","IPP",IFERROR(IF(AND(AQ39&gt;AR39,AQ39&lt;AS39),"0",(VLOOKUP(AQ39,'FLA Reading Logic'!$A$22:$B$53,2,FALSE))-(IF(VLOOKUP(AQ39,'FLA Reading Logic'!$A$22:$B$53,2,FALSE)&lt;=VLOOKUP(AR39,'FLA Reading Logic'!$A$22:$B$53,2,FALSE),VLOOKUP(AR39,'FLA Reading Logic'!$A$22:$B$53,2,FALSE),IF(VLOOKUP(AQ39,'FLA Reading Logic'!$A$22:$B$53,2,FALSE)&gt;=VLOOKUP(AS39,'FLA Reading Logic'!$A$22:$B$53,2,FALSE),VLOOKUP(AS39,'FLA Reading Logic'!$A$22:$B$53,2,FALSE),"No Score")))),"No Value"))</f>
        <v>No Value</v>
      </c>
      <c r="AU39" s="96" t="str">
        <f>IFERROR(VLOOKUP(AQ39,'FLA Reading Logic'!$A$22:$B$48,2,FALSE)-VLOOKUP($F39,'FLA Reading Logic'!$A$22:$B$48,2,FALSE),"No Value")</f>
        <v>No Value</v>
      </c>
      <c r="AV39" s="96" t="str">
        <f>IF($E39="Yes","IPP",IFERROR(IF(AND(AQ39&gt;$J39,AQ39&lt;$K39),"0",(VLOOKUP(AQ39,'FLA Reading Logic'!$A$22:$B$53,2,FALSE))-(IF(VLOOKUP(AQ39,'FLA Reading Logic'!$A$22:$B$53,2,FALSE)&lt;=VLOOKUP($J39,'FLA Reading Logic'!$A$22:$B$53,2,FALSE),VLOOKUP($J39,'FLA Reading Logic'!$A$22:$B$53,2,FALSE),IF(VLOOKUP(AQ39,'FLA Reading Logic'!$A$22:$B$53,2,FALSE)&gt;=VLOOKUP($K39,'FLA Reading Logic'!$A$22:$B$53,2,FALSE),VLOOKUP($K39,'FLA Reading Logic'!$A$22:$B$53,2,FALSE),"No Score")))),"No Value"))</f>
        <v>No Value</v>
      </c>
      <c r="AW39" s="179"/>
      <c r="AX39" s="96" t="str">
        <f>IFERROR(IF($E39="Yes","IPP",VLOOKUP($L39,'FLA Reading Logic'!$A$3:$K$9,VLOOKUP(AW$1,'FLA Reading Logic'!$J$22:$K$31,2,FALSE),FALSE)),"Set Grade")</f>
        <v>Set Grade</v>
      </c>
      <c r="AY39" s="96" t="str">
        <f>IFERROR(IF($E39="Yes","IPP",VLOOKUP($L39,'FLA Reading Logic'!$A$13:$K$19,VLOOKUP(AW$1,'FLA Reading Logic'!$J$22:$K$31,2,FALSE),FALSE)),"Set Grade")</f>
        <v>Set Grade</v>
      </c>
      <c r="AZ39" s="98" t="str">
        <f>IF($E39="Yes","IPP",IFERROR(IF(AND(AW39&gt;AX39,AW39&lt;AY39),"0",(VLOOKUP(AW39,'FLA Reading Logic'!$A$22:$B$53,2,FALSE))-(IF(VLOOKUP(AW39,'FLA Reading Logic'!$A$22:$B$53,2,FALSE)&lt;=VLOOKUP(AX39,'FLA Reading Logic'!$A$22:$B$53,2,FALSE),VLOOKUP(AX39,'FLA Reading Logic'!$A$22:$B$53,2,FALSE),IF(VLOOKUP(AW39,'FLA Reading Logic'!$A$22:$B$53,2,FALSE)&gt;=VLOOKUP(AY39,'FLA Reading Logic'!$A$22:$B$53,2,FALSE),VLOOKUP(AY39,'FLA Reading Logic'!$A$22:$B$53,2,FALSE),"No Score")))),"No Value"))</f>
        <v>No Value</v>
      </c>
      <c r="BA39" s="96" t="str">
        <f>IFERROR(VLOOKUP(AW39,'FLA Reading Logic'!$A$22:$B$48,2,FALSE)-VLOOKUP($F39,'FLA Reading Logic'!$A$22:$B$48,2,FALSE),"No Value")</f>
        <v>No Value</v>
      </c>
      <c r="BB39" s="96" t="str">
        <f>IF($E39="Yes","IPP",IFERROR(IF(AND(AW39&gt;$J39,AW39&lt;$K39),"0",(VLOOKUP(AW39,'FLA Reading Logic'!$A$22:$B$53,2,FALSE))-(IF(VLOOKUP(AW39,'FLA Reading Logic'!$A$22:$B$53,2,FALSE)&lt;=VLOOKUP($J39,'FLA Reading Logic'!$A$22:$B$53,2,FALSE),VLOOKUP($J39,'FLA Reading Logic'!$A$22:$B$53,2,FALSE),IF(VLOOKUP(AW39,'FLA Reading Logic'!$A$22:$B$53,2,FALSE)&gt;=VLOOKUP($K39,'FLA Reading Logic'!$A$22:$B$53,2,FALSE),VLOOKUP($K39,'FLA Reading Logic'!$A$22:$B$53,2,FALSE),"No Score")))),"No Value"))</f>
        <v>No Value</v>
      </c>
    </row>
    <row r="40" spans="1:54" ht="26.25" customHeight="1" thickBot="1" x14ac:dyDescent="0.3">
      <c r="A40" s="96"/>
      <c r="B40" s="98"/>
      <c r="C40" s="98"/>
      <c r="D40" s="98"/>
      <c r="E40" s="179"/>
      <c r="F40" s="92"/>
      <c r="G40" s="98" t="str">
        <f>IFERROR(IF($E40="Yes","IPP",VLOOKUP($J40,'ELA Reading Logic'!$A$3:$K$9,VLOOKUP("September",'ELA Reading Logic'!$J$22:$K$31,2,FALSE),FALSE)),"Set Grade")</f>
        <v>Set Grade</v>
      </c>
      <c r="H40" s="98" t="str">
        <f>IFERROR(IF($E40="Yes","IPP",VLOOKUP($J40,'ELA Reading Logic'!$A$13:$K$19,VLOOKUP("September",'ELA Reading Logic'!$J$22:$K$31,2,FALSE),FALSE)),"Set Grade")</f>
        <v>Set Grade</v>
      </c>
      <c r="I40" s="98" t="str">
        <f>IF($E40="Yes","IPP",IFERROR(IF(AND(F40&gt;G40,F40&lt;H40),"0",(VLOOKUP(F40,'ELA Reading Logic'!$A$22:$B$48,2,FALSE))-(IF(VLOOKUP(F40,'ELA Reading Logic'!$A$22:$B$48,2,FALSE)&lt;=VLOOKUP(G40,'ELA Reading Logic'!$A$22:$B$48,2,FALSE),VLOOKUP(G40,'ELA Reading Logic'!$A$22:$B$48,2,FALSE),IF(VLOOKUP(F40,'ELA Reading Logic'!$A$22:$B$48,2,FALSE)&gt;=VLOOKUP(H40,'ELA Reading Logic'!$A$22:$B$48,2,FALSE),VLOOKUP(H40,'ELA Reading Logic'!$A$22:$B$48,2,FALSE),"No Score")))),"No Value"))</f>
        <v>No Value</v>
      </c>
      <c r="J40" s="96" t="str">
        <f>IFERROR(VLOOKUP($L40,'FLA Reading Logic'!$A$3:$K$9,11,FALSE),"Set Grade")</f>
        <v>Set Grade</v>
      </c>
      <c r="K40" s="96" t="str">
        <f>IFERROR(VLOOKUP($L40,'FLA Reading Logic'!$A$13:$K$19,11,FALSE),"Set Grade")</f>
        <v>Set Grade</v>
      </c>
      <c r="L40" s="180"/>
      <c r="M40" s="98"/>
      <c r="N40" s="98"/>
      <c r="O40" s="98"/>
      <c r="P40" s="98"/>
      <c r="Q40" s="98"/>
      <c r="R40" s="181"/>
      <c r="S40" s="182"/>
      <c r="T40" s="98" t="str">
        <f>IFERROR(IF($E40="Yes","IPP",VLOOKUP($L40,'FLA Reading Logic'!$A$3:$K$9,VLOOKUP(S$1,'FLA Reading Logic'!$J$22:$K$31,2,FALSE),FALSE)),"Set Grade")</f>
        <v>Set Grade</v>
      </c>
      <c r="U40" s="98" t="str">
        <f>IFERROR(IF($E40="Yes","IPP",VLOOKUP($L40,'FLA Reading Logic'!$A$13:$K$19,VLOOKUP(S$1,'FLA Reading Logic'!$J$22:$K$31,2,FALSE),FALSE)),"Set Grade")</f>
        <v>Set Grade</v>
      </c>
      <c r="V40" s="98" t="str">
        <f>IF($E40="Yes","IPP",IFERROR(IF(AND(S40&gt;T40,S40&lt;U40),"0",(VLOOKUP(S40,'FLA Reading Logic'!$A$22:$B$53,2,FALSE))-(IF(VLOOKUP(S40,'FLA Reading Logic'!$A$22:$B$53,2,FALSE)&lt;=VLOOKUP(T40,'FLA Reading Logic'!$A$22:$B$53,2,FALSE),VLOOKUP(T40,'FLA Reading Logic'!$A$22:$B$53,2,FALSE),IF(VLOOKUP(S40,'FLA Reading Logic'!$A$22:$B$53,2,FALSE)&gt;=VLOOKUP(U40,'FLA Reading Logic'!$A$22:$B$53,2,FALSE),VLOOKUP(U40,'FLA Reading Logic'!$A$22:$B$53,2,FALSE),"No Score")))),"No Value"))</f>
        <v>No Value</v>
      </c>
      <c r="W40" s="98" t="str">
        <f>IFERROR(VLOOKUP(S40,'FLA Reading Logic'!$A$22:$B$53,2,FALSE)-VLOOKUP($F40,'FLA Reading Logic'!$A$22:$B$53,2,FALSE),"No Value")</f>
        <v>No Value</v>
      </c>
      <c r="X40" s="96" t="str">
        <f>IF($E40="Yes","IPP",IFERROR(IF(AND(S40&gt;$J40,S40&lt;$K40),"0",(VLOOKUP(S40,'FLA Reading Logic'!$A$22:$B$53,2,FALSE))-(IF(VLOOKUP(S40,'FLA Reading Logic'!$A$22:$B$53,2,FALSE)&lt;=VLOOKUP($J40,'FLA Reading Logic'!$A$22:$B$53,2,FALSE),VLOOKUP($J40,'FLA Reading Logic'!$A$22:$B$53,2,FALSE),IF(VLOOKUP(S40,'FLA Reading Logic'!$A$22:$B$53,2,FALSE)&gt;=VLOOKUP($K40,'FLA Reading Logic'!$A$22:$B$53,2,FALSE),VLOOKUP($K40,'FLA Reading Logic'!$A$22:$B$53,2,FALSE),"No Score")))),"No Value"))</f>
        <v>No Value</v>
      </c>
      <c r="Y40" s="179"/>
      <c r="Z40" s="98" t="str">
        <f>IFERROR(IF($E40="Yes","IPP",VLOOKUP($L40,'FLA Reading Logic'!$A$3:$K$9,VLOOKUP(Y$1,'FLA Reading Logic'!$J$22:$K$31,2,FALSE),FALSE)),"Set Grade")</f>
        <v>Set Grade</v>
      </c>
      <c r="AA40" s="98" t="str">
        <f>IFERROR(IF($E40="Yes","IPP",VLOOKUP($L40,'FLA Reading Logic'!$A$13:$K$19,VLOOKUP(Y$1,'FLA Reading Logic'!$J$22:$K$31,2,FALSE),FALSE)),"Set Grade")</f>
        <v>Set Grade</v>
      </c>
      <c r="AB40" s="98" t="str">
        <f>IF($E40="Yes","IPP",IFERROR(IF(AND(Y40&gt;Z40,Y40&lt;AA40),"0",(VLOOKUP(Y40,'FLA Reading Logic'!$A$22:$B$53,2,FALSE))-(IF(VLOOKUP(Y40,'FLA Reading Logic'!$A$22:$B$53,2,FALSE)&lt;=VLOOKUP(Z40,'FLA Reading Logic'!$A$22:$B$53,2,FALSE),VLOOKUP(Z40,'FLA Reading Logic'!$A$22:$B$53,2,FALSE),IF(VLOOKUP(Y40,'FLA Reading Logic'!$A$22:$B$53,2,FALSE)&gt;=VLOOKUP(AA40,'FLA Reading Logic'!$A$22:$B$53,2,FALSE),VLOOKUP(AA40,'FLA Reading Logic'!$A$22:$B$53,2,FALSE),"No Score")))),"No Value"))</f>
        <v>No Value</v>
      </c>
      <c r="AC40" s="97" t="str">
        <f>IFERROR(VLOOKUP(Y40,'FLA Reading Logic'!$A$22:$B$48,2,FALSE)-VLOOKUP($F40,'FLA Reading Logic'!$A$22:$B$48,2,FALSE),"No Value")</f>
        <v>No Value</v>
      </c>
      <c r="AD40" s="96" t="str">
        <f>IF($E40="Yes","IPP",IFERROR(IF(AND(Y40&gt;$J40,Y40&lt;$K40),"0",(VLOOKUP(Y40,'FLA Reading Logic'!$A$22:$B$53,2,FALSE))-(IF(VLOOKUP(Y40,'FLA Reading Logic'!$A$22:$B$53,2,FALSE)&lt;=VLOOKUP($J40,'FLA Reading Logic'!$A$22:$B$53,2,FALSE),VLOOKUP($J40,'FLA Reading Logic'!$A$22:$B$53,2,FALSE),IF(VLOOKUP(Y40,'FLA Reading Logic'!$A$22:$B$53,2,FALSE)&gt;=VLOOKUP($K40,'FLA Reading Logic'!$A$22:$B$53,2,FALSE),VLOOKUP($K40,'FLA Reading Logic'!$A$22:$B$53,2,FALSE),"No Score")))),"No Value"))</f>
        <v>No Value</v>
      </c>
      <c r="AE40" s="179"/>
      <c r="AF40" s="96" t="str">
        <f>IFERROR(IF($E40="Yes","IPP",VLOOKUP($L40,'FLA Reading Logic'!$A$3:$K$9,VLOOKUP(AE$1,'FLA Reading Logic'!$J$22:$K$31,2,FALSE),FALSE)),"Set Grade")</f>
        <v>Set Grade</v>
      </c>
      <c r="AG40" s="96" t="str">
        <f>IFERROR(IF($E40="Yes","IPP",VLOOKUP($L40,'FLA Reading Logic'!$A$13:$K$19,VLOOKUP(AE$1,'FLA Reading Logic'!$J$22:$K$31,2,FALSE),FALSE)),"Set Grade")</f>
        <v>Set Grade</v>
      </c>
      <c r="AH40" s="98" t="str">
        <f>IF($E40="Yes","IPP",IFERROR(IF(AND(AE40&gt;AF40,AE40&lt;AG40),"0",(VLOOKUP(AE40,'FLA Reading Logic'!$A$22:$B$53,2,FALSE))-(IF(VLOOKUP(AE40,'FLA Reading Logic'!$A$22:$B$53,2,FALSE)&lt;=VLOOKUP(AF40,'FLA Reading Logic'!$A$22:$B$53,2,FALSE),VLOOKUP(AF40,'FLA Reading Logic'!$A$22:$B$53,2,FALSE),IF(VLOOKUP(AE40,'FLA Reading Logic'!$A$22:$B$53,2,FALSE)&gt;=VLOOKUP(AG40,'FLA Reading Logic'!$A$22:$B$53,2,FALSE),VLOOKUP(AG40,'FLA Reading Logic'!$A$22:$B$53,2,FALSE),"No Score")))),"No Value"))</f>
        <v>No Value</v>
      </c>
      <c r="AI40" s="96" t="str">
        <f>IFERROR(VLOOKUP(AE40,'FLA Reading Logic'!$A$22:$B$48,2,FALSE)-VLOOKUP($F40,'FLA Reading Logic'!$A$22:$B$48,2,FALSE),"No Value")</f>
        <v>No Value</v>
      </c>
      <c r="AJ40" s="96" t="str">
        <f>IF($E40="Yes","IPP",IFERROR(IF(AND(AE40&gt;$J40,AE40&lt;$K40),"0",(VLOOKUP(AE40,'FLA Reading Logic'!$A$22:$B$53,2,FALSE))-(IF(VLOOKUP(AE40,'FLA Reading Logic'!$A$22:$B$53,2,FALSE)&lt;=VLOOKUP($J40,'FLA Reading Logic'!$A$22:$B$53,2,FALSE),VLOOKUP($J40,'FLA Reading Logic'!$A$22:$B$53,2,FALSE),IF(VLOOKUP(AE40,'FLA Reading Logic'!$A$22:$B$53,2,FALSE)&gt;=VLOOKUP($K40,'FLA Reading Logic'!$A$22:$B$53,2,FALSE),VLOOKUP($K40,'FLA Reading Logic'!$A$22:$B$53,2,FALSE),"No Score")))),"No Value"))</f>
        <v>No Value</v>
      </c>
      <c r="AK40" s="179"/>
      <c r="AL40" s="96" t="str">
        <f>IFERROR(IF($E40="Yes","IPP",VLOOKUP($L40,'FLA Reading Logic'!$A$3:$K$9,VLOOKUP(AK$1,'FLA Reading Logic'!$J$22:$K$31,2,FALSE),FALSE)),"Set Grade")</f>
        <v>Set Grade</v>
      </c>
      <c r="AM40" s="96" t="str">
        <f>IFERROR(IF($E40="Yes","IPP",VLOOKUP($L40,'FLA Reading Logic'!$A$13:$K$19,VLOOKUP(AK$1,'FLA Reading Logic'!$J$22:$K$31,2,FALSE),FALSE)),"Set Grade")</f>
        <v>Set Grade</v>
      </c>
      <c r="AN40" s="98" t="str">
        <f>IF($E40="Yes","IPP",IFERROR(IF(AND(AK40&gt;AL40,AK40&lt;AM40),"0",(VLOOKUP(AK40,'FLA Reading Logic'!$A$22:$B$53,2,FALSE))-(IF(VLOOKUP(AK40,'FLA Reading Logic'!$A$22:$B$53,2,FALSE)&lt;=VLOOKUP(AL40,'FLA Reading Logic'!$A$22:$B$53,2,FALSE),VLOOKUP(AL40,'FLA Reading Logic'!$A$22:$B$53,2,FALSE),IF(VLOOKUP(AK40,'FLA Reading Logic'!$A$22:$B$53,2,FALSE)&gt;=VLOOKUP(AM40,'FLA Reading Logic'!$A$22:$B$53,2,FALSE),VLOOKUP(AM40,'FLA Reading Logic'!$A$22:$B$53,2,FALSE),"No Score")))),"No Value"))</f>
        <v>No Value</v>
      </c>
      <c r="AO40" s="96" t="str">
        <f>IFERROR(VLOOKUP(AK40,'FLA Reading Logic'!$A$22:$B$48,2,FALSE)-VLOOKUP($F40,'FLA Reading Logic'!$A$22:$B$48,2,FALSE),"No Value")</f>
        <v>No Value</v>
      </c>
      <c r="AP40" s="96" t="str">
        <f>IF($E40="Yes","IPP",IFERROR(IF(AND(AK40&gt;$J40,AK40&lt;$K40),"0",(VLOOKUP(AK40,'FLA Reading Logic'!$A$22:$B$53,2,FALSE))-(IF(VLOOKUP(AK40,'FLA Reading Logic'!$A$22:$B$53,2,FALSE)&lt;=VLOOKUP($J40,'FLA Reading Logic'!$A$22:$B$53,2,FALSE),VLOOKUP($J40,'FLA Reading Logic'!$A$22:$B$53,2,FALSE),IF(VLOOKUP(AK40,'FLA Reading Logic'!$A$22:$B$53,2,FALSE)&gt;=VLOOKUP($K40,'FLA Reading Logic'!$A$22:$B$53,2,FALSE),VLOOKUP($K40,'FLA Reading Logic'!$A$22:$B$53,2,FALSE),"No Score")))),"No Value"))</f>
        <v>No Value</v>
      </c>
      <c r="AQ40" s="179"/>
      <c r="AR40" s="96" t="str">
        <f>IFERROR(IF($E40="Yes","IPP",VLOOKUP($L40,'FLA Reading Logic'!$A$3:$K$9,VLOOKUP(AQ$1,'FLA Reading Logic'!$J$22:$K$31,2,FALSE),FALSE)),"Set Grade")</f>
        <v>Set Grade</v>
      </c>
      <c r="AS40" s="96" t="str">
        <f>IFERROR(IF($E40="Yes","IPP",VLOOKUP($L40,'FLA Reading Logic'!$A$13:$K$19,VLOOKUP(AQ$1,'FLA Reading Logic'!$J$22:$K$31,2,FALSE),FALSE)),"Set Grade")</f>
        <v>Set Grade</v>
      </c>
      <c r="AT40" s="98" t="str">
        <f>IF($E40="Yes","IPP",IFERROR(IF(AND(AQ40&gt;AR40,AQ40&lt;AS40),"0",(VLOOKUP(AQ40,'FLA Reading Logic'!$A$22:$B$53,2,FALSE))-(IF(VLOOKUP(AQ40,'FLA Reading Logic'!$A$22:$B$53,2,FALSE)&lt;=VLOOKUP(AR40,'FLA Reading Logic'!$A$22:$B$53,2,FALSE),VLOOKUP(AR40,'FLA Reading Logic'!$A$22:$B$53,2,FALSE),IF(VLOOKUP(AQ40,'FLA Reading Logic'!$A$22:$B$53,2,FALSE)&gt;=VLOOKUP(AS40,'FLA Reading Logic'!$A$22:$B$53,2,FALSE),VLOOKUP(AS40,'FLA Reading Logic'!$A$22:$B$53,2,FALSE),"No Score")))),"No Value"))</f>
        <v>No Value</v>
      </c>
      <c r="AU40" s="96" t="str">
        <f>IFERROR(VLOOKUP(AQ40,'FLA Reading Logic'!$A$22:$B$48,2,FALSE)-VLOOKUP($F40,'FLA Reading Logic'!$A$22:$B$48,2,FALSE),"No Value")</f>
        <v>No Value</v>
      </c>
      <c r="AV40" s="96" t="str">
        <f>IF($E40="Yes","IPP",IFERROR(IF(AND(AQ40&gt;$J40,AQ40&lt;$K40),"0",(VLOOKUP(AQ40,'FLA Reading Logic'!$A$22:$B$53,2,FALSE))-(IF(VLOOKUP(AQ40,'FLA Reading Logic'!$A$22:$B$53,2,FALSE)&lt;=VLOOKUP($J40,'FLA Reading Logic'!$A$22:$B$53,2,FALSE),VLOOKUP($J40,'FLA Reading Logic'!$A$22:$B$53,2,FALSE),IF(VLOOKUP(AQ40,'FLA Reading Logic'!$A$22:$B$53,2,FALSE)&gt;=VLOOKUP($K40,'FLA Reading Logic'!$A$22:$B$53,2,FALSE),VLOOKUP($K40,'FLA Reading Logic'!$A$22:$B$53,2,FALSE),"No Score")))),"No Value"))</f>
        <v>No Value</v>
      </c>
      <c r="AW40" s="179"/>
      <c r="AX40" s="96" t="str">
        <f>IFERROR(IF($E40="Yes","IPP",VLOOKUP($L40,'FLA Reading Logic'!$A$3:$K$9,VLOOKUP(AW$1,'FLA Reading Logic'!$J$22:$K$31,2,FALSE),FALSE)),"Set Grade")</f>
        <v>Set Grade</v>
      </c>
      <c r="AY40" s="96" t="str">
        <f>IFERROR(IF($E40="Yes","IPP",VLOOKUP($L40,'FLA Reading Logic'!$A$13:$K$19,VLOOKUP(AW$1,'FLA Reading Logic'!$J$22:$K$31,2,FALSE),FALSE)),"Set Grade")</f>
        <v>Set Grade</v>
      </c>
      <c r="AZ40" s="98" t="str">
        <f>IF($E40="Yes","IPP",IFERROR(IF(AND(AW40&gt;AX40,AW40&lt;AY40),"0",(VLOOKUP(AW40,'FLA Reading Logic'!$A$22:$B$53,2,FALSE))-(IF(VLOOKUP(AW40,'FLA Reading Logic'!$A$22:$B$53,2,FALSE)&lt;=VLOOKUP(AX40,'FLA Reading Logic'!$A$22:$B$53,2,FALSE),VLOOKUP(AX40,'FLA Reading Logic'!$A$22:$B$53,2,FALSE),IF(VLOOKUP(AW40,'FLA Reading Logic'!$A$22:$B$53,2,FALSE)&gt;=VLOOKUP(AY40,'FLA Reading Logic'!$A$22:$B$53,2,FALSE),VLOOKUP(AY40,'FLA Reading Logic'!$A$22:$B$53,2,FALSE),"No Score")))),"No Value"))</f>
        <v>No Value</v>
      </c>
      <c r="BA40" s="96" t="str">
        <f>IFERROR(VLOOKUP(AW40,'FLA Reading Logic'!$A$22:$B$48,2,FALSE)-VLOOKUP($F40,'FLA Reading Logic'!$A$22:$B$48,2,FALSE),"No Value")</f>
        <v>No Value</v>
      </c>
      <c r="BB40" s="96" t="str">
        <f>IF($E40="Yes","IPP",IFERROR(IF(AND(AW40&gt;$J40,AW40&lt;$K40),"0",(VLOOKUP(AW40,'FLA Reading Logic'!$A$22:$B$53,2,FALSE))-(IF(VLOOKUP(AW40,'FLA Reading Logic'!$A$22:$B$53,2,FALSE)&lt;=VLOOKUP($J40,'FLA Reading Logic'!$A$22:$B$53,2,FALSE),VLOOKUP($J40,'FLA Reading Logic'!$A$22:$B$53,2,FALSE),IF(VLOOKUP(AW40,'FLA Reading Logic'!$A$22:$B$53,2,FALSE)&gt;=VLOOKUP($K40,'FLA Reading Logic'!$A$22:$B$53,2,FALSE),VLOOKUP($K40,'FLA Reading Logic'!$A$22:$B$53,2,FALSE),"No Score")))),"No Value"))</f>
        <v>No Value</v>
      </c>
    </row>
    <row r="41" spans="1:54" ht="26.25" customHeight="1" thickBot="1" x14ac:dyDescent="0.3">
      <c r="A41" s="96"/>
      <c r="B41" s="98"/>
      <c r="C41" s="98"/>
      <c r="D41" s="98"/>
      <c r="E41" s="179"/>
      <c r="F41" s="92"/>
      <c r="G41" s="98" t="str">
        <f>IFERROR(IF($E41="Yes","IPP",VLOOKUP($J41,'ELA Reading Logic'!$A$3:$K$9,VLOOKUP("September",'ELA Reading Logic'!$J$22:$K$31,2,FALSE),FALSE)),"Set Grade")</f>
        <v>Set Grade</v>
      </c>
      <c r="H41" s="98" t="str">
        <f>IFERROR(IF($E41="Yes","IPP",VLOOKUP($J41,'ELA Reading Logic'!$A$13:$K$19,VLOOKUP("September",'ELA Reading Logic'!$J$22:$K$31,2,FALSE),FALSE)),"Set Grade")</f>
        <v>Set Grade</v>
      </c>
      <c r="I41" s="98" t="str">
        <f>IF($E41="Yes","IPP",IFERROR(IF(AND(F41&gt;G41,F41&lt;H41),"0",(VLOOKUP(F41,'ELA Reading Logic'!$A$22:$B$48,2,FALSE))-(IF(VLOOKUP(F41,'ELA Reading Logic'!$A$22:$B$48,2,FALSE)&lt;=VLOOKUP(G41,'ELA Reading Logic'!$A$22:$B$48,2,FALSE),VLOOKUP(G41,'ELA Reading Logic'!$A$22:$B$48,2,FALSE),IF(VLOOKUP(F41,'ELA Reading Logic'!$A$22:$B$48,2,FALSE)&gt;=VLOOKUP(H41,'ELA Reading Logic'!$A$22:$B$48,2,FALSE),VLOOKUP(H41,'ELA Reading Logic'!$A$22:$B$48,2,FALSE),"No Score")))),"No Value"))</f>
        <v>No Value</v>
      </c>
      <c r="J41" s="96" t="str">
        <f>IFERROR(VLOOKUP($L41,'FLA Reading Logic'!$A$3:$K$9,11,FALSE),"Set Grade")</f>
        <v>Set Grade</v>
      </c>
      <c r="K41" s="96" t="str">
        <f>IFERROR(VLOOKUP($L41,'FLA Reading Logic'!$A$13:$K$19,11,FALSE),"Set Grade")</f>
        <v>Set Grade</v>
      </c>
      <c r="L41" s="180"/>
      <c r="M41" s="98"/>
      <c r="N41" s="98"/>
      <c r="O41" s="98"/>
      <c r="P41" s="98"/>
      <c r="Q41" s="98"/>
      <c r="R41" s="181"/>
      <c r="S41" s="182"/>
      <c r="T41" s="98" t="str">
        <f>IFERROR(IF($E41="Yes","IPP",VLOOKUP($L41,'FLA Reading Logic'!$A$3:$K$9,VLOOKUP(S$1,'FLA Reading Logic'!$J$22:$K$31,2,FALSE),FALSE)),"Set Grade")</f>
        <v>Set Grade</v>
      </c>
      <c r="U41" s="98" t="str">
        <f>IFERROR(IF($E41="Yes","IPP",VLOOKUP($L41,'FLA Reading Logic'!$A$13:$K$19,VLOOKUP(S$1,'FLA Reading Logic'!$J$22:$K$31,2,FALSE),FALSE)),"Set Grade")</f>
        <v>Set Grade</v>
      </c>
      <c r="V41" s="98" t="str">
        <f>IF($E41="Yes","IPP",IFERROR(IF(AND(S41&gt;T41,S41&lt;U41),"0",(VLOOKUP(S41,'FLA Reading Logic'!$A$22:$B$53,2,FALSE))-(IF(VLOOKUP(S41,'FLA Reading Logic'!$A$22:$B$53,2,FALSE)&lt;=VLOOKUP(T41,'FLA Reading Logic'!$A$22:$B$53,2,FALSE),VLOOKUP(T41,'FLA Reading Logic'!$A$22:$B$53,2,FALSE),IF(VLOOKUP(S41,'FLA Reading Logic'!$A$22:$B$53,2,FALSE)&gt;=VLOOKUP(U41,'FLA Reading Logic'!$A$22:$B$53,2,FALSE),VLOOKUP(U41,'FLA Reading Logic'!$A$22:$B$53,2,FALSE),"No Score")))),"No Value"))</f>
        <v>No Value</v>
      </c>
      <c r="W41" s="98" t="str">
        <f>IFERROR(VLOOKUP(S41,'FLA Reading Logic'!$A$22:$B$53,2,FALSE)-VLOOKUP($F41,'FLA Reading Logic'!$A$22:$B$53,2,FALSE),"No Value")</f>
        <v>No Value</v>
      </c>
      <c r="X41" s="96" t="str">
        <f>IF($E41="Yes","IPP",IFERROR(IF(AND(S41&gt;$J41,S41&lt;$K41),"0",(VLOOKUP(S41,'FLA Reading Logic'!$A$22:$B$53,2,FALSE))-(IF(VLOOKUP(S41,'FLA Reading Logic'!$A$22:$B$53,2,FALSE)&lt;=VLOOKUP($J41,'FLA Reading Logic'!$A$22:$B$53,2,FALSE),VLOOKUP($J41,'FLA Reading Logic'!$A$22:$B$53,2,FALSE),IF(VLOOKUP(S41,'FLA Reading Logic'!$A$22:$B$53,2,FALSE)&gt;=VLOOKUP($K41,'FLA Reading Logic'!$A$22:$B$53,2,FALSE),VLOOKUP($K41,'FLA Reading Logic'!$A$22:$B$53,2,FALSE),"No Score")))),"No Value"))</f>
        <v>No Value</v>
      </c>
      <c r="Y41" s="179"/>
      <c r="Z41" s="98" t="str">
        <f>IFERROR(IF($E41="Yes","IPP",VLOOKUP($L41,'FLA Reading Logic'!$A$3:$K$9,VLOOKUP(Y$1,'FLA Reading Logic'!$J$22:$K$31,2,FALSE),FALSE)),"Set Grade")</f>
        <v>Set Grade</v>
      </c>
      <c r="AA41" s="98" t="str">
        <f>IFERROR(IF($E41="Yes","IPP",VLOOKUP($L41,'FLA Reading Logic'!$A$13:$K$19,VLOOKUP(Y$1,'FLA Reading Logic'!$J$22:$K$31,2,FALSE),FALSE)),"Set Grade")</f>
        <v>Set Grade</v>
      </c>
      <c r="AB41" s="98" t="str">
        <f>IF($E41="Yes","IPP",IFERROR(IF(AND(Y41&gt;Z41,Y41&lt;AA41),"0",(VLOOKUP(Y41,'FLA Reading Logic'!$A$22:$B$53,2,FALSE))-(IF(VLOOKUP(Y41,'FLA Reading Logic'!$A$22:$B$53,2,FALSE)&lt;=VLOOKUP(Z41,'FLA Reading Logic'!$A$22:$B$53,2,FALSE),VLOOKUP(Z41,'FLA Reading Logic'!$A$22:$B$53,2,FALSE),IF(VLOOKUP(Y41,'FLA Reading Logic'!$A$22:$B$53,2,FALSE)&gt;=VLOOKUP(AA41,'FLA Reading Logic'!$A$22:$B$53,2,FALSE),VLOOKUP(AA41,'FLA Reading Logic'!$A$22:$B$53,2,FALSE),"No Score")))),"No Value"))</f>
        <v>No Value</v>
      </c>
      <c r="AC41" s="97" t="str">
        <f>IFERROR(VLOOKUP(Y41,'FLA Reading Logic'!$A$22:$B$48,2,FALSE)-VLOOKUP($F41,'FLA Reading Logic'!$A$22:$B$48,2,FALSE),"No Value")</f>
        <v>No Value</v>
      </c>
      <c r="AD41" s="96" t="str">
        <f>IF($E41="Yes","IPP",IFERROR(IF(AND(Y41&gt;$J41,Y41&lt;$K41),"0",(VLOOKUP(Y41,'FLA Reading Logic'!$A$22:$B$53,2,FALSE))-(IF(VLOOKUP(Y41,'FLA Reading Logic'!$A$22:$B$53,2,FALSE)&lt;=VLOOKUP($J41,'FLA Reading Logic'!$A$22:$B$53,2,FALSE),VLOOKUP($J41,'FLA Reading Logic'!$A$22:$B$53,2,FALSE),IF(VLOOKUP(Y41,'FLA Reading Logic'!$A$22:$B$53,2,FALSE)&gt;=VLOOKUP($K41,'FLA Reading Logic'!$A$22:$B$53,2,FALSE),VLOOKUP($K41,'FLA Reading Logic'!$A$22:$B$53,2,FALSE),"No Score")))),"No Value"))</f>
        <v>No Value</v>
      </c>
      <c r="AE41" s="179"/>
      <c r="AF41" s="96" t="str">
        <f>IFERROR(IF($E41="Yes","IPP",VLOOKUP($L41,'FLA Reading Logic'!$A$3:$K$9,VLOOKUP(AE$1,'FLA Reading Logic'!$J$22:$K$31,2,FALSE),FALSE)),"Set Grade")</f>
        <v>Set Grade</v>
      </c>
      <c r="AG41" s="96" t="str">
        <f>IFERROR(IF($E41="Yes","IPP",VLOOKUP($L41,'FLA Reading Logic'!$A$13:$K$19,VLOOKUP(AE$1,'FLA Reading Logic'!$J$22:$K$31,2,FALSE),FALSE)),"Set Grade")</f>
        <v>Set Grade</v>
      </c>
      <c r="AH41" s="98" t="str">
        <f>IF($E41="Yes","IPP",IFERROR(IF(AND(AE41&gt;AF41,AE41&lt;AG41),"0",(VLOOKUP(AE41,'FLA Reading Logic'!$A$22:$B$53,2,FALSE))-(IF(VLOOKUP(AE41,'FLA Reading Logic'!$A$22:$B$53,2,FALSE)&lt;=VLOOKUP(AF41,'FLA Reading Logic'!$A$22:$B$53,2,FALSE),VLOOKUP(AF41,'FLA Reading Logic'!$A$22:$B$53,2,FALSE),IF(VLOOKUP(AE41,'FLA Reading Logic'!$A$22:$B$53,2,FALSE)&gt;=VLOOKUP(AG41,'FLA Reading Logic'!$A$22:$B$53,2,FALSE),VLOOKUP(AG41,'FLA Reading Logic'!$A$22:$B$53,2,FALSE),"No Score")))),"No Value"))</f>
        <v>No Value</v>
      </c>
      <c r="AI41" s="96" t="str">
        <f>IFERROR(VLOOKUP(AE41,'FLA Reading Logic'!$A$22:$B$48,2,FALSE)-VLOOKUP($F41,'FLA Reading Logic'!$A$22:$B$48,2,FALSE),"No Value")</f>
        <v>No Value</v>
      </c>
      <c r="AJ41" s="96" t="str">
        <f>IF($E41="Yes","IPP",IFERROR(IF(AND(AE41&gt;$J41,AE41&lt;$K41),"0",(VLOOKUP(AE41,'FLA Reading Logic'!$A$22:$B$53,2,FALSE))-(IF(VLOOKUP(AE41,'FLA Reading Logic'!$A$22:$B$53,2,FALSE)&lt;=VLOOKUP($J41,'FLA Reading Logic'!$A$22:$B$53,2,FALSE),VLOOKUP($J41,'FLA Reading Logic'!$A$22:$B$53,2,FALSE),IF(VLOOKUP(AE41,'FLA Reading Logic'!$A$22:$B$53,2,FALSE)&gt;=VLOOKUP($K41,'FLA Reading Logic'!$A$22:$B$53,2,FALSE),VLOOKUP($K41,'FLA Reading Logic'!$A$22:$B$53,2,FALSE),"No Score")))),"No Value"))</f>
        <v>No Value</v>
      </c>
      <c r="AK41" s="179"/>
      <c r="AL41" s="96" t="str">
        <f>IFERROR(IF($E41="Yes","IPP",VLOOKUP($L41,'FLA Reading Logic'!$A$3:$K$9,VLOOKUP(AK$1,'FLA Reading Logic'!$J$22:$K$31,2,FALSE),FALSE)),"Set Grade")</f>
        <v>Set Grade</v>
      </c>
      <c r="AM41" s="96" t="str">
        <f>IFERROR(IF($E41="Yes","IPP",VLOOKUP($L41,'FLA Reading Logic'!$A$13:$K$19,VLOOKUP(AK$1,'FLA Reading Logic'!$J$22:$K$31,2,FALSE),FALSE)),"Set Grade")</f>
        <v>Set Grade</v>
      </c>
      <c r="AN41" s="98" t="str">
        <f>IF($E41="Yes","IPP",IFERROR(IF(AND(AK41&gt;AL41,AK41&lt;AM41),"0",(VLOOKUP(AK41,'FLA Reading Logic'!$A$22:$B$53,2,FALSE))-(IF(VLOOKUP(AK41,'FLA Reading Logic'!$A$22:$B$53,2,FALSE)&lt;=VLOOKUP(AL41,'FLA Reading Logic'!$A$22:$B$53,2,FALSE),VLOOKUP(AL41,'FLA Reading Logic'!$A$22:$B$53,2,FALSE),IF(VLOOKUP(AK41,'FLA Reading Logic'!$A$22:$B$53,2,FALSE)&gt;=VLOOKUP(AM41,'FLA Reading Logic'!$A$22:$B$53,2,FALSE),VLOOKUP(AM41,'FLA Reading Logic'!$A$22:$B$53,2,FALSE),"No Score")))),"No Value"))</f>
        <v>No Value</v>
      </c>
      <c r="AO41" s="96" t="str">
        <f>IFERROR(VLOOKUP(AK41,'FLA Reading Logic'!$A$22:$B$48,2,FALSE)-VLOOKUP($F41,'FLA Reading Logic'!$A$22:$B$48,2,FALSE),"No Value")</f>
        <v>No Value</v>
      </c>
      <c r="AP41" s="96" t="str">
        <f>IF($E41="Yes","IPP",IFERROR(IF(AND(AK41&gt;$J41,AK41&lt;$K41),"0",(VLOOKUP(AK41,'FLA Reading Logic'!$A$22:$B$53,2,FALSE))-(IF(VLOOKUP(AK41,'FLA Reading Logic'!$A$22:$B$53,2,FALSE)&lt;=VLOOKUP($J41,'FLA Reading Logic'!$A$22:$B$53,2,FALSE),VLOOKUP($J41,'FLA Reading Logic'!$A$22:$B$53,2,FALSE),IF(VLOOKUP(AK41,'FLA Reading Logic'!$A$22:$B$53,2,FALSE)&gt;=VLOOKUP($K41,'FLA Reading Logic'!$A$22:$B$53,2,FALSE),VLOOKUP($K41,'FLA Reading Logic'!$A$22:$B$53,2,FALSE),"No Score")))),"No Value"))</f>
        <v>No Value</v>
      </c>
      <c r="AQ41" s="179"/>
      <c r="AR41" s="96" t="str">
        <f>IFERROR(IF($E41="Yes","IPP",VLOOKUP($L41,'FLA Reading Logic'!$A$3:$K$9,VLOOKUP(AQ$1,'FLA Reading Logic'!$J$22:$K$31,2,FALSE),FALSE)),"Set Grade")</f>
        <v>Set Grade</v>
      </c>
      <c r="AS41" s="96" t="str">
        <f>IFERROR(IF($E41="Yes","IPP",VLOOKUP($L41,'FLA Reading Logic'!$A$13:$K$19,VLOOKUP(AQ$1,'FLA Reading Logic'!$J$22:$K$31,2,FALSE),FALSE)),"Set Grade")</f>
        <v>Set Grade</v>
      </c>
      <c r="AT41" s="98" t="str">
        <f>IF($E41="Yes","IPP",IFERROR(IF(AND(AQ41&gt;AR41,AQ41&lt;AS41),"0",(VLOOKUP(AQ41,'FLA Reading Logic'!$A$22:$B$53,2,FALSE))-(IF(VLOOKUP(AQ41,'FLA Reading Logic'!$A$22:$B$53,2,FALSE)&lt;=VLOOKUP(AR41,'FLA Reading Logic'!$A$22:$B$53,2,FALSE),VLOOKUP(AR41,'FLA Reading Logic'!$A$22:$B$53,2,FALSE),IF(VLOOKUP(AQ41,'FLA Reading Logic'!$A$22:$B$53,2,FALSE)&gt;=VLOOKUP(AS41,'FLA Reading Logic'!$A$22:$B$53,2,FALSE),VLOOKUP(AS41,'FLA Reading Logic'!$A$22:$B$53,2,FALSE),"No Score")))),"No Value"))</f>
        <v>No Value</v>
      </c>
      <c r="AU41" s="96" t="str">
        <f>IFERROR(VLOOKUP(AQ41,'FLA Reading Logic'!$A$22:$B$48,2,FALSE)-VLOOKUP($F41,'FLA Reading Logic'!$A$22:$B$48,2,FALSE),"No Value")</f>
        <v>No Value</v>
      </c>
      <c r="AV41" s="96" t="str">
        <f>IF($E41="Yes","IPP",IFERROR(IF(AND(AQ41&gt;$J41,AQ41&lt;$K41),"0",(VLOOKUP(AQ41,'FLA Reading Logic'!$A$22:$B$53,2,FALSE))-(IF(VLOOKUP(AQ41,'FLA Reading Logic'!$A$22:$B$53,2,FALSE)&lt;=VLOOKUP($J41,'FLA Reading Logic'!$A$22:$B$53,2,FALSE),VLOOKUP($J41,'FLA Reading Logic'!$A$22:$B$53,2,FALSE),IF(VLOOKUP(AQ41,'FLA Reading Logic'!$A$22:$B$53,2,FALSE)&gt;=VLOOKUP($K41,'FLA Reading Logic'!$A$22:$B$53,2,FALSE),VLOOKUP($K41,'FLA Reading Logic'!$A$22:$B$53,2,FALSE),"No Score")))),"No Value"))</f>
        <v>No Value</v>
      </c>
      <c r="AW41" s="179"/>
      <c r="AX41" s="96" t="str">
        <f>IFERROR(IF($E41="Yes","IPP",VLOOKUP($L41,'FLA Reading Logic'!$A$3:$K$9,VLOOKUP(AW$1,'FLA Reading Logic'!$J$22:$K$31,2,FALSE),FALSE)),"Set Grade")</f>
        <v>Set Grade</v>
      </c>
      <c r="AY41" s="96" t="str">
        <f>IFERROR(IF($E41="Yes","IPP",VLOOKUP($L41,'FLA Reading Logic'!$A$13:$K$19,VLOOKUP(AW$1,'FLA Reading Logic'!$J$22:$K$31,2,FALSE),FALSE)),"Set Grade")</f>
        <v>Set Grade</v>
      </c>
      <c r="AZ41" s="98" t="str">
        <f>IF($E41="Yes","IPP",IFERROR(IF(AND(AW41&gt;AX41,AW41&lt;AY41),"0",(VLOOKUP(AW41,'FLA Reading Logic'!$A$22:$B$53,2,FALSE))-(IF(VLOOKUP(AW41,'FLA Reading Logic'!$A$22:$B$53,2,FALSE)&lt;=VLOOKUP(AX41,'FLA Reading Logic'!$A$22:$B$53,2,FALSE),VLOOKUP(AX41,'FLA Reading Logic'!$A$22:$B$53,2,FALSE),IF(VLOOKUP(AW41,'FLA Reading Logic'!$A$22:$B$53,2,FALSE)&gt;=VLOOKUP(AY41,'FLA Reading Logic'!$A$22:$B$53,2,FALSE),VLOOKUP(AY41,'FLA Reading Logic'!$A$22:$B$53,2,FALSE),"No Score")))),"No Value"))</f>
        <v>No Value</v>
      </c>
      <c r="BA41" s="96" t="str">
        <f>IFERROR(VLOOKUP(AW41,'FLA Reading Logic'!$A$22:$B$48,2,FALSE)-VLOOKUP($F41,'FLA Reading Logic'!$A$22:$B$48,2,FALSE),"No Value")</f>
        <v>No Value</v>
      </c>
      <c r="BB41" s="96" t="str">
        <f>IF($E41="Yes","IPP",IFERROR(IF(AND(AW41&gt;$J41,AW41&lt;$K41),"0",(VLOOKUP(AW41,'FLA Reading Logic'!$A$22:$B$53,2,FALSE))-(IF(VLOOKUP(AW41,'FLA Reading Logic'!$A$22:$B$53,2,FALSE)&lt;=VLOOKUP($J41,'FLA Reading Logic'!$A$22:$B$53,2,FALSE),VLOOKUP($J41,'FLA Reading Logic'!$A$22:$B$53,2,FALSE),IF(VLOOKUP(AW41,'FLA Reading Logic'!$A$22:$B$53,2,FALSE)&gt;=VLOOKUP($K41,'FLA Reading Logic'!$A$22:$B$53,2,FALSE),VLOOKUP($K41,'FLA Reading Logic'!$A$22:$B$53,2,FALSE),"No Score")))),"No Value"))</f>
        <v>No Value</v>
      </c>
    </row>
    <row r="42" spans="1:54" ht="26.25" customHeight="1" thickBot="1" x14ac:dyDescent="0.3">
      <c r="A42" s="96"/>
      <c r="B42" s="98"/>
      <c r="C42" s="98"/>
      <c r="D42" s="98"/>
      <c r="E42" s="179"/>
      <c r="F42" s="92"/>
      <c r="G42" s="98" t="str">
        <f>IFERROR(IF($E42="Yes","IPP",VLOOKUP($J42,'ELA Reading Logic'!$A$3:$K$9,VLOOKUP("September",'ELA Reading Logic'!$J$22:$K$31,2,FALSE),FALSE)),"Set Grade")</f>
        <v>Set Grade</v>
      </c>
      <c r="H42" s="98" t="str">
        <f>IFERROR(IF($E42="Yes","IPP",VLOOKUP($J42,'ELA Reading Logic'!$A$13:$K$19,VLOOKUP("September",'ELA Reading Logic'!$J$22:$K$31,2,FALSE),FALSE)),"Set Grade")</f>
        <v>Set Grade</v>
      </c>
      <c r="I42" s="98" t="str">
        <f>IF($E42="Yes","IPP",IFERROR(IF(AND(F42&gt;G42,F42&lt;H42),"0",(VLOOKUP(F42,'ELA Reading Logic'!$A$22:$B$48,2,FALSE))-(IF(VLOOKUP(F42,'ELA Reading Logic'!$A$22:$B$48,2,FALSE)&lt;=VLOOKUP(G42,'ELA Reading Logic'!$A$22:$B$48,2,FALSE),VLOOKUP(G42,'ELA Reading Logic'!$A$22:$B$48,2,FALSE),IF(VLOOKUP(F42,'ELA Reading Logic'!$A$22:$B$48,2,FALSE)&gt;=VLOOKUP(H42,'ELA Reading Logic'!$A$22:$B$48,2,FALSE),VLOOKUP(H42,'ELA Reading Logic'!$A$22:$B$48,2,FALSE),"No Score")))),"No Value"))</f>
        <v>No Value</v>
      </c>
      <c r="J42" s="96" t="str">
        <f>IFERROR(VLOOKUP($L42,'FLA Reading Logic'!$A$3:$K$9,11,FALSE),"Set Grade")</f>
        <v>Set Grade</v>
      </c>
      <c r="K42" s="96" t="str">
        <f>IFERROR(VLOOKUP($L42,'FLA Reading Logic'!$A$13:$K$19,11,FALSE),"Set Grade")</f>
        <v>Set Grade</v>
      </c>
      <c r="L42" s="180"/>
      <c r="M42" s="98"/>
      <c r="N42" s="98"/>
      <c r="O42" s="98"/>
      <c r="P42" s="98"/>
      <c r="Q42" s="98"/>
      <c r="R42" s="181"/>
      <c r="S42" s="182"/>
      <c r="T42" s="98" t="str">
        <f>IFERROR(IF($E42="Yes","IPP",VLOOKUP($L42,'FLA Reading Logic'!$A$3:$K$9,VLOOKUP(S$1,'FLA Reading Logic'!$J$22:$K$31,2,FALSE),FALSE)),"Set Grade")</f>
        <v>Set Grade</v>
      </c>
      <c r="U42" s="98" t="str">
        <f>IFERROR(IF($E42="Yes","IPP",VLOOKUP($L42,'FLA Reading Logic'!$A$13:$K$19,VLOOKUP(S$1,'FLA Reading Logic'!$J$22:$K$31,2,FALSE),FALSE)),"Set Grade")</f>
        <v>Set Grade</v>
      </c>
      <c r="V42" s="98" t="str">
        <f>IF($E42="Yes","IPP",IFERROR(IF(AND(S42&gt;T42,S42&lt;U42),"0",(VLOOKUP(S42,'FLA Reading Logic'!$A$22:$B$53,2,FALSE))-(IF(VLOOKUP(S42,'FLA Reading Logic'!$A$22:$B$53,2,FALSE)&lt;=VLOOKUP(T42,'FLA Reading Logic'!$A$22:$B$53,2,FALSE),VLOOKUP(T42,'FLA Reading Logic'!$A$22:$B$53,2,FALSE),IF(VLOOKUP(S42,'FLA Reading Logic'!$A$22:$B$53,2,FALSE)&gt;=VLOOKUP(U42,'FLA Reading Logic'!$A$22:$B$53,2,FALSE),VLOOKUP(U42,'FLA Reading Logic'!$A$22:$B$53,2,FALSE),"No Score")))),"No Value"))</f>
        <v>No Value</v>
      </c>
      <c r="W42" s="98" t="str">
        <f>IFERROR(VLOOKUP(S42,'FLA Reading Logic'!$A$22:$B$53,2,FALSE)-VLOOKUP($F42,'FLA Reading Logic'!$A$22:$B$53,2,FALSE),"No Value")</f>
        <v>No Value</v>
      </c>
      <c r="X42" s="96" t="str">
        <f>IF($E42="Yes","IPP",IFERROR(IF(AND(S42&gt;$J42,S42&lt;$K42),"0",(VLOOKUP(S42,'FLA Reading Logic'!$A$22:$B$53,2,FALSE))-(IF(VLOOKUP(S42,'FLA Reading Logic'!$A$22:$B$53,2,FALSE)&lt;=VLOOKUP($J42,'FLA Reading Logic'!$A$22:$B$53,2,FALSE),VLOOKUP($J42,'FLA Reading Logic'!$A$22:$B$53,2,FALSE),IF(VLOOKUP(S42,'FLA Reading Logic'!$A$22:$B$53,2,FALSE)&gt;=VLOOKUP($K42,'FLA Reading Logic'!$A$22:$B$53,2,FALSE),VLOOKUP($K42,'FLA Reading Logic'!$A$22:$B$53,2,FALSE),"No Score")))),"No Value"))</f>
        <v>No Value</v>
      </c>
      <c r="Y42" s="179"/>
      <c r="Z42" s="98" t="str">
        <f>IFERROR(IF($E42="Yes","IPP",VLOOKUP($L42,'FLA Reading Logic'!$A$3:$K$9,VLOOKUP(Y$1,'FLA Reading Logic'!$J$22:$K$31,2,FALSE),FALSE)),"Set Grade")</f>
        <v>Set Grade</v>
      </c>
      <c r="AA42" s="98" t="str">
        <f>IFERROR(IF($E42="Yes","IPP",VLOOKUP($L42,'FLA Reading Logic'!$A$13:$K$19,VLOOKUP(Y$1,'FLA Reading Logic'!$J$22:$K$31,2,FALSE),FALSE)),"Set Grade")</f>
        <v>Set Grade</v>
      </c>
      <c r="AB42" s="98" t="str">
        <f>IF($E42="Yes","IPP",IFERROR(IF(AND(Y42&gt;Z42,Y42&lt;AA42),"0",(VLOOKUP(Y42,'FLA Reading Logic'!$A$22:$B$53,2,FALSE))-(IF(VLOOKUP(Y42,'FLA Reading Logic'!$A$22:$B$53,2,FALSE)&lt;=VLOOKUP(Z42,'FLA Reading Logic'!$A$22:$B$53,2,FALSE),VLOOKUP(Z42,'FLA Reading Logic'!$A$22:$B$53,2,FALSE),IF(VLOOKUP(Y42,'FLA Reading Logic'!$A$22:$B$53,2,FALSE)&gt;=VLOOKUP(AA42,'FLA Reading Logic'!$A$22:$B$53,2,FALSE),VLOOKUP(AA42,'FLA Reading Logic'!$A$22:$B$53,2,FALSE),"No Score")))),"No Value"))</f>
        <v>No Value</v>
      </c>
      <c r="AC42" s="98" t="str">
        <f>IFERROR(VLOOKUP(Y42,'FLA Reading Logic'!$A$22:$B$48,2,FALSE)-VLOOKUP($F42,'FLA Reading Logic'!$A$22:$B$48,2,FALSE),"No Value")</f>
        <v>No Value</v>
      </c>
      <c r="AD42" s="96" t="str">
        <f>IF($E42="Yes","IPP",IFERROR(IF(AND(Y42&gt;$J42,Y42&lt;$K42),"0",(VLOOKUP(Y42,'FLA Reading Logic'!$A$22:$B$53,2,FALSE))-(IF(VLOOKUP(Y42,'FLA Reading Logic'!$A$22:$B$53,2,FALSE)&lt;=VLOOKUP($J42,'FLA Reading Logic'!$A$22:$B$53,2,FALSE),VLOOKUP($J42,'FLA Reading Logic'!$A$22:$B$53,2,FALSE),IF(VLOOKUP(Y42,'FLA Reading Logic'!$A$22:$B$53,2,FALSE)&gt;=VLOOKUP($K42,'FLA Reading Logic'!$A$22:$B$53,2,FALSE),VLOOKUP($K42,'FLA Reading Logic'!$A$22:$B$53,2,FALSE),"No Score")))),"No Value"))</f>
        <v>No Value</v>
      </c>
      <c r="AE42" s="179"/>
      <c r="AF42" s="96" t="str">
        <f>IFERROR(IF($E42="Yes","IPP",VLOOKUP($L42,'FLA Reading Logic'!$A$3:$K$9,VLOOKUP(AE$1,'FLA Reading Logic'!$J$22:$K$31,2,FALSE),FALSE)),"Set Grade")</f>
        <v>Set Grade</v>
      </c>
      <c r="AG42" s="96" t="str">
        <f>IFERROR(IF($E42="Yes","IPP",VLOOKUP($L42,'FLA Reading Logic'!$A$13:$K$19,VLOOKUP(AE$1,'FLA Reading Logic'!$J$22:$K$31,2,FALSE),FALSE)),"Set Grade")</f>
        <v>Set Grade</v>
      </c>
      <c r="AH42" s="98" t="str">
        <f>IF($E42="Yes","IPP",IFERROR(IF(AND(AE42&gt;AF42,AE42&lt;AG42),"0",(VLOOKUP(AE42,'FLA Reading Logic'!$A$22:$B$53,2,FALSE))-(IF(VLOOKUP(AE42,'FLA Reading Logic'!$A$22:$B$53,2,FALSE)&lt;=VLOOKUP(AF42,'FLA Reading Logic'!$A$22:$B$53,2,FALSE),VLOOKUP(AF42,'FLA Reading Logic'!$A$22:$B$53,2,FALSE),IF(VLOOKUP(AE42,'FLA Reading Logic'!$A$22:$B$53,2,FALSE)&gt;=VLOOKUP(AG42,'FLA Reading Logic'!$A$22:$B$53,2,FALSE),VLOOKUP(AG42,'FLA Reading Logic'!$A$22:$B$53,2,FALSE),"No Score")))),"No Value"))</f>
        <v>No Value</v>
      </c>
      <c r="AI42" s="96" t="str">
        <f>IFERROR(VLOOKUP(AE42,'FLA Reading Logic'!$A$22:$B$48,2,FALSE)-VLOOKUP($F42,'FLA Reading Logic'!$A$22:$B$48,2,FALSE),"No Value")</f>
        <v>No Value</v>
      </c>
      <c r="AJ42" s="96" t="str">
        <f>IF($E42="Yes","IPP",IFERROR(IF(AND(AE42&gt;$J42,AE42&lt;$K42),"0",(VLOOKUP(AE42,'FLA Reading Logic'!$A$22:$B$53,2,FALSE))-(IF(VLOOKUP(AE42,'FLA Reading Logic'!$A$22:$B$53,2,FALSE)&lt;=VLOOKUP($J42,'FLA Reading Logic'!$A$22:$B$53,2,FALSE),VLOOKUP($J42,'FLA Reading Logic'!$A$22:$B$53,2,FALSE),IF(VLOOKUP(AE42,'FLA Reading Logic'!$A$22:$B$53,2,FALSE)&gt;=VLOOKUP($K42,'FLA Reading Logic'!$A$22:$B$53,2,FALSE),VLOOKUP($K42,'FLA Reading Logic'!$A$22:$B$53,2,FALSE),"No Score")))),"No Value"))</f>
        <v>No Value</v>
      </c>
      <c r="AK42" s="179"/>
      <c r="AL42" s="96" t="str">
        <f>IFERROR(IF($E42="Yes","IPP",VLOOKUP($L42,'FLA Reading Logic'!$A$3:$K$9,VLOOKUP(AK$1,'FLA Reading Logic'!$J$22:$K$31,2,FALSE),FALSE)),"Set Grade")</f>
        <v>Set Grade</v>
      </c>
      <c r="AM42" s="96" t="str">
        <f>IFERROR(IF($E42="Yes","IPP",VLOOKUP($L42,'FLA Reading Logic'!$A$13:$K$19,VLOOKUP(AK$1,'FLA Reading Logic'!$J$22:$K$31,2,FALSE),FALSE)),"Set Grade")</f>
        <v>Set Grade</v>
      </c>
      <c r="AN42" s="98" t="str">
        <f>IF($E42="Yes","IPP",IFERROR(IF(AND(AK42&gt;AL42,AK42&lt;AM42),"0",(VLOOKUP(AK42,'FLA Reading Logic'!$A$22:$B$53,2,FALSE))-(IF(VLOOKUP(AK42,'FLA Reading Logic'!$A$22:$B$53,2,FALSE)&lt;=VLOOKUP(AL42,'FLA Reading Logic'!$A$22:$B$53,2,FALSE),VLOOKUP(AL42,'FLA Reading Logic'!$A$22:$B$53,2,FALSE),IF(VLOOKUP(AK42,'FLA Reading Logic'!$A$22:$B$53,2,FALSE)&gt;=VLOOKUP(AM42,'FLA Reading Logic'!$A$22:$B$53,2,FALSE),VLOOKUP(AM42,'FLA Reading Logic'!$A$22:$B$53,2,FALSE),"No Score")))),"No Value"))</f>
        <v>No Value</v>
      </c>
      <c r="AO42" s="96" t="str">
        <f>IFERROR(VLOOKUP(AK42,'FLA Reading Logic'!$A$22:$B$48,2,FALSE)-VLOOKUP($F42,'FLA Reading Logic'!$A$22:$B$48,2,FALSE),"No Value")</f>
        <v>No Value</v>
      </c>
      <c r="AP42" s="96" t="str">
        <f>IF($E42="Yes","IPP",IFERROR(IF(AND(AK42&gt;$J42,AK42&lt;$K42),"0",(VLOOKUP(AK42,'FLA Reading Logic'!$A$22:$B$53,2,FALSE))-(IF(VLOOKUP(AK42,'FLA Reading Logic'!$A$22:$B$53,2,FALSE)&lt;=VLOOKUP($J42,'FLA Reading Logic'!$A$22:$B$53,2,FALSE),VLOOKUP($J42,'FLA Reading Logic'!$A$22:$B$53,2,FALSE),IF(VLOOKUP(AK42,'FLA Reading Logic'!$A$22:$B$53,2,FALSE)&gt;=VLOOKUP($K42,'FLA Reading Logic'!$A$22:$B$53,2,FALSE),VLOOKUP($K42,'FLA Reading Logic'!$A$22:$B$53,2,FALSE),"No Score")))),"No Value"))</f>
        <v>No Value</v>
      </c>
      <c r="AQ42" s="179"/>
      <c r="AR42" s="96" t="str">
        <f>IFERROR(IF($E42="Yes","IPP",VLOOKUP($L42,'FLA Reading Logic'!$A$3:$K$9,VLOOKUP(AQ$1,'FLA Reading Logic'!$J$22:$K$31,2,FALSE),FALSE)),"Set Grade")</f>
        <v>Set Grade</v>
      </c>
      <c r="AS42" s="96" t="str">
        <f>IFERROR(IF($E42="Yes","IPP",VLOOKUP($L42,'FLA Reading Logic'!$A$13:$K$19,VLOOKUP(AQ$1,'FLA Reading Logic'!$J$22:$K$31,2,FALSE),FALSE)),"Set Grade")</f>
        <v>Set Grade</v>
      </c>
      <c r="AT42" s="98" t="str">
        <f>IF($E42="Yes","IPP",IFERROR(IF(AND(AQ42&gt;AR42,AQ42&lt;AS42),"0",(VLOOKUP(AQ42,'FLA Reading Logic'!$A$22:$B$53,2,FALSE))-(IF(VLOOKUP(AQ42,'FLA Reading Logic'!$A$22:$B$53,2,FALSE)&lt;=VLOOKUP(AR42,'FLA Reading Logic'!$A$22:$B$53,2,FALSE),VLOOKUP(AR42,'FLA Reading Logic'!$A$22:$B$53,2,FALSE),IF(VLOOKUP(AQ42,'FLA Reading Logic'!$A$22:$B$53,2,FALSE)&gt;=VLOOKUP(AS42,'FLA Reading Logic'!$A$22:$B$53,2,FALSE),VLOOKUP(AS42,'FLA Reading Logic'!$A$22:$B$53,2,FALSE),"No Score")))),"No Value"))</f>
        <v>No Value</v>
      </c>
      <c r="AU42" s="96" t="str">
        <f>IFERROR(VLOOKUP(AQ42,'FLA Reading Logic'!$A$22:$B$48,2,FALSE)-VLOOKUP($F42,'FLA Reading Logic'!$A$22:$B$48,2,FALSE),"No Value")</f>
        <v>No Value</v>
      </c>
      <c r="AV42" s="96" t="str">
        <f>IF($E42="Yes","IPP",IFERROR(IF(AND(AQ42&gt;$J42,AQ42&lt;$K42),"0",(VLOOKUP(AQ42,'FLA Reading Logic'!$A$22:$B$53,2,FALSE))-(IF(VLOOKUP(AQ42,'FLA Reading Logic'!$A$22:$B$53,2,FALSE)&lt;=VLOOKUP($J42,'FLA Reading Logic'!$A$22:$B$53,2,FALSE),VLOOKUP($J42,'FLA Reading Logic'!$A$22:$B$53,2,FALSE),IF(VLOOKUP(AQ42,'FLA Reading Logic'!$A$22:$B$53,2,FALSE)&gt;=VLOOKUP($K42,'FLA Reading Logic'!$A$22:$B$53,2,FALSE),VLOOKUP($K42,'FLA Reading Logic'!$A$22:$B$53,2,FALSE),"No Score")))),"No Value"))</f>
        <v>No Value</v>
      </c>
      <c r="AW42" s="179"/>
      <c r="AX42" s="96" t="str">
        <f>IFERROR(IF($E42="Yes","IPP",VLOOKUP($L42,'FLA Reading Logic'!$A$3:$K$9,VLOOKUP(AW$1,'FLA Reading Logic'!$J$22:$K$31,2,FALSE),FALSE)),"Set Grade")</f>
        <v>Set Grade</v>
      </c>
      <c r="AY42" s="96" t="str">
        <f>IFERROR(IF($E42="Yes","IPP",VLOOKUP($L42,'FLA Reading Logic'!$A$13:$K$19,VLOOKUP(AW$1,'FLA Reading Logic'!$J$22:$K$31,2,FALSE),FALSE)),"Set Grade")</f>
        <v>Set Grade</v>
      </c>
      <c r="AZ42" s="98" t="str">
        <f>IF($E42="Yes","IPP",IFERROR(IF(AND(AW42&gt;AX42,AW42&lt;AY42),"0",(VLOOKUP(AW42,'FLA Reading Logic'!$A$22:$B$53,2,FALSE))-(IF(VLOOKUP(AW42,'FLA Reading Logic'!$A$22:$B$53,2,FALSE)&lt;=VLOOKUP(AX42,'FLA Reading Logic'!$A$22:$B$53,2,FALSE),VLOOKUP(AX42,'FLA Reading Logic'!$A$22:$B$53,2,FALSE),IF(VLOOKUP(AW42,'FLA Reading Logic'!$A$22:$B$53,2,FALSE)&gt;=VLOOKUP(AY42,'FLA Reading Logic'!$A$22:$B$53,2,FALSE),VLOOKUP(AY42,'FLA Reading Logic'!$A$22:$B$53,2,FALSE),"No Score")))),"No Value"))</f>
        <v>No Value</v>
      </c>
      <c r="BA42" s="96" t="str">
        <f>IFERROR(VLOOKUP(AW42,'FLA Reading Logic'!$A$22:$B$48,2,FALSE)-VLOOKUP($F42,'FLA Reading Logic'!$A$22:$B$48,2,FALSE),"No Value")</f>
        <v>No Value</v>
      </c>
      <c r="BB42" s="96" t="str">
        <f>IF($E42="Yes","IPP",IFERROR(IF(AND(AW42&gt;$J42,AW42&lt;$K42),"0",(VLOOKUP(AW42,'FLA Reading Logic'!$A$22:$B$53,2,FALSE))-(IF(VLOOKUP(AW42,'FLA Reading Logic'!$A$22:$B$53,2,FALSE)&lt;=VLOOKUP($J42,'FLA Reading Logic'!$A$22:$B$53,2,FALSE),VLOOKUP($J42,'FLA Reading Logic'!$A$22:$B$53,2,FALSE),IF(VLOOKUP(AW42,'FLA Reading Logic'!$A$22:$B$53,2,FALSE)&gt;=VLOOKUP($K42,'FLA Reading Logic'!$A$22:$B$53,2,FALSE),VLOOKUP($K42,'FLA Reading Logic'!$A$22:$B$53,2,FALSE),"No Score")))),"No Value"))</f>
        <v>No Value</v>
      </c>
    </row>
    <row r="43" spans="1:54" ht="26.25" customHeight="1" x14ac:dyDescent="0.25">
      <c r="A43" s="95"/>
      <c r="B43" s="97"/>
      <c r="C43" s="97"/>
      <c r="D43" s="97"/>
      <c r="E43" s="93"/>
      <c r="F43" s="94"/>
      <c r="G43" s="97" t="str">
        <f>IFERROR(IF($E43="Yes","IPP",VLOOKUP($J43,'ELA Reading Logic'!$A$3:$K$9,VLOOKUP("September",'ELA Reading Logic'!$J$22:$K$31,2,FALSE),FALSE)),"Set Grade")</f>
        <v>Set Grade</v>
      </c>
      <c r="H43" s="97" t="str">
        <f>IFERROR(IF($E43="Yes","IPP",VLOOKUP($J43,'ELA Reading Logic'!$A$13:$K$19,VLOOKUP("September",'ELA Reading Logic'!$J$22:$K$31,2,FALSE),FALSE)),"Set Grade")</f>
        <v>Set Grade</v>
      </c>
      <c r="I43" s="97" t="str">
        <f>IF($E43="Yes","IPP",IFERROR(IF(AND(F43&gt;G43,F43&lt;H43),"0",(VLOOKUP(F43,'ELA Reading Logic'!$A$22:$B$48,2,FALSE))-(IF(VLOOKUP(F43,'ELA Reading Logic'!$A$22:$B$48,2,FALSE)&lt;=VLOOKUP(G43,'ELA Reading Logic'!$A$22:$B$48,2,FALSE),VLOOKUP(G43,'ELA Reading Logic'!$A$22:$B$48,2,FALSE),IF(VLOOKUP(F43,'ELA Reading Logic'!$A$22:$B$48,2,FALSE)&gt;=VLOOKUP(H43,'ELA Reading Logic'!$A$22:$B$48,2,FALSE),VLOOKUP(H43,'ELA Reading Logic'!$A$22:$B$48,2,FALSE),"No Score")))),"No Value"))</f>
        <v>No Value</v>
      </c>
      <c r="J43" s="96" t="str">
        <f>IFERROR(VLOOKUP($L43,'FLA Reading Logic'!$A$3:$K$9,11,FALSE),"Set Grade")</f>
        <v>Set Grade</v>
      </c>
      <c r="K43" s="96" t="str">
        <f>IFERROR(VLOOKUP($L43,'FLA Reading Logic'!$A$13:$K$19,11,FALSE),"Set Grade")</f>
        <v>Set Grade</v>
      </c>
      <c r="L43" s="244"/>
      <c r="M43" s="97"/>
      <c r="N43" s="97"/>
      <c r="O43" s="97"/>
      <c r="P43" s="97"/>
      <c r="Q43" s="97"/>
      <c r="R43" s="242"/>
      <c r="S43" s="243"/>
      <c r="T43" s="97" t="str">
        <f>IFERROR(IF($E43="Yes","IPP",VLOOKUP($L43,'FLA Reading Logic'!$A$3:$K$9,VLOOKUP(S$1,'FLA Reading Logic'!$J$22:$K$31,2,FALSE),FALSE)),"Set Grade")</f>
        <v>Set Grade</v>
      </c>
      <c r="U43" s="97" t="str">
        <f>IFERROR(IF($E43="Yes","IPP",VLOOKUP($L43,'FLA Reading Logic'!$A$13:$K$19,VLOOKUP(S$1,'FLA Reading Logic'!$J$22:$K$31,2,FALSE),FALSE)),"Set Grade")</f>
        <v>Set Grade</v>
      </c>
      <c r="V43" s="97" t="str">
        <f>IF($E43="Yes","IPP",IFERROR(IF(AND(S43&gt;T43,S43&lt;U43),"0",(VLOOKUP(S43,'FLA Reading Logic'!$A$22:$B$53,2,FALSE))-(IF(VLOOKUP(S43,'FLA Reading Logic'!$A$22:$B$53,2,FALSE)&lt;=VLOOKUP(T43,'FLA Reading Logic'!$A$22:$B$53,2,FALSE),VLOOKUP(T43,'FLA Reading Logic'!$A$22:$B$53,2,FALSE),IF(VLOOKUP(S43,'FLA Reading Logic'!$A$22:$B$53,2,FALSE)&gt;=VLOOKUP(U43,'FLA Reading Logic'!$A$22:$B$53,2,FALSE),VLOOKUP(U43,'FLA Reading Logic'!$A$22:$B$53,2,FALSE),"No Score")))),"No Value"))</f>
        <v>No Value</v>
      </c>
      <c r="W43" s="97" t="str">
        <f>IFERROR(VLOOKUP(S43,'FLA Reading Logic'!$A$22:$B$53,2,FALSE)-VLOOKUP($F43,'FLA Reading Logic'!$A$22:$B$53,2,FALSE),"No Value")</f>
        <v>No Value</v>
      </c>
      <c r="X43" s="95" t="str">
        <f>IF($E43="Yes","IPP",IFERROR(IF(AND(S43&gt;$J43,S43&lt;$K43),"0",(VLOOKUP(S43,'FLA Reading Logic'!$A$22:$B$53,2,FALSE))-(IF(VLOOKUP(S43,'FLA Reading Logic'!$A$22:$B$53,2,FALSE)&lt;=VLOOKUP($J43,'FLA Reading Logic'!$A$22:$B$53,2,FALSE),VLOOKUP($J43,'FLA Reading Logic'!$A$22:$B$53,2,FALSE),IF(VLOOKUP(S43,'FLA Reading Logic'!$A$22:$B$53,2,FALSE)&gt;=VLOOKUP($K43,'FLA Reading Logic'!$A$22:$B$53,2,FALSE),VLOOKUP($K43,'FLA Reading Logic'!$A$22:$B$53,2,FALSE),"No Score")))),"No Value"))</f>
        <v>No Value</v>
      </c>
      <c r="Y43" s="93"/>
      <c r="Z43" s="97" t="str">
        <f>IFERROR(IF($E43="Yes","IPP",VLOOKUP($L43,'FLA Reading Logic'!$A$3:$K$9,VLOOKUP(Y$1,'FLA Reading Logic'!$J$22:$K$31,2,FALSE),FALSE)),"Set Grade")</f>
        <v>Set Grade</v>
      </c>
      <c r="AA43" s="97" t="str">
        <f>IFERROR(IF($E43="Yes","IPP",VLOOKUP($L43,'FLA Reading Logic'!$A$13:$K$19,VLOOKUP(Y$1,'FLA Reading Logic'!$J$22:$K$31,2,FALSE),FALSE)),"Set Grade")</f>
        <v>Set Grade</v>
      </c>
      <c r="AB43" s="97" t="str">
        <f>IF($E43="Yes","IPP",IFERROR(IF(AND(Y43&gt;Z43,Y43&lt;AA43),"0",(VLOOKUP(Y43,'FLA Reading Logic'!$A$22:$B$53,2,FALSE))-(IF(VLOOKUP(Y43,'FLA Reading Logic'!$A$22:$B$53,2,FALSE)&lt;=VLOOKUP(Z43,'FLA Reading Logic'!$A$22:$B$53,2,FALSE),VLOOKUP(Z43,'FLA Reading Logic'!$A$22:$B$53,2,FALSE),IF(VLOOKUP(Y43,'FLA Reading Logic'!$A$22:$B$53,2,FALSE)&gt;=VLOOKUP(AA43,'FLA Reading Logic'!$A$22:$B$53,2,FALSE),VLOOKUP(AA43,'FLA Reading Logic'!$A$22:$B$53,2,FALSE),"No Score")))),"No Value"))</f>
        <v>No Value</v>
      </c>
      <c r="AC43" s="97" t="str">
        <f>IFERROR(VLOOKUP(Y43,'FLA Reading Logic'!$A$22:$B$48,2,FALSE)-VLOOKUP($F43,'FLA Reading Logic'!$A$22:$B$48,2,FALSE),"No Value")</f>
        <v>No Value</v>
      </c>
      <c r="AD43" s="95" t="str">
        <f>IF($E43="Yes","IPP",IFERROR(IF(AND(Y43&gt;$J43,Y43&lt;$K43),"0",(VLOOKUP(Y43,'FLA Reading Logic'!$A$22:$B$53,2,FALSE))-(IF(VLOOKUP(Y43,'FLA Reading Logic'!$A$22:$B$53,2,FALSE)&lt;=VLOOKUP($J43,'FLA Reading Logic'!$A$22:$B$53,2,FALSE),VLOOKUP($J43,'FLA Reading Logic'!$A$22:$B$53,2,FALSE),IF(VLOOKUP(Y43,'FLA Reading Logic'!$A$22:$B$53,2,FALSE)&gt;=VLOOKUP($K43,'FLA Reading Logic'!$A$22:$B$53,2,FALSE),VLOOKUP($K43,'FLA Reading Logic'!$A$22:$B$53,2,FALSE),"No Score")))),"No Value"))</f>
        <v>No Value</v>
      </c>
      <c r="AE43" s="93"/>
      <c r="AF43" s="95" t="str">
        <f>IFERROR(IF($E43="Yes","IPP",VLOOKUP($L43,'FLA Reading Logic'!$A$3:$K$9,VLOOKUP(AE$1,'FLA Reading Logic'!$J$22:$K$31,2,FALSE),FALSE)),"Set Grade")</f>
        <v>Set Grade</v>
      </c>
      <c r="AG43" s="95" t="str">
        <f>IFERROR(IF($E43="Yes","IPP",VLOOKUP($L43,'FLA Reading Logic'!$A$13:$K$19,VLOOKUP(AE$1,'FLA Reading Logic'!$J$22:$K$31,2,FALSE),FALSE)),"Set Grade")</f>
        <v>Set Grade</v>
      </c>
      <c r="AH43" s="97" t="str">
        <f>IF($E43="Yes","IPP",IFERROR(IF(AND(AE43&gt;AF43,AE43&lt;AG43),"0",(VLOOKUP(AE43,'FLA Reading Logic'!$A$22:$B$53,2,FALSE))-(IF(VLOOKUP(AE43,'FLA Reading Logic'!$A$22:$B$53,2,FALSE)&lt;=VLOOKUP(AF43,'FLA Reading Logic'!$A$22:$B$53,2,FALSE),VLOOKUP(AF43,'FLA Reading Logic'!$A$22:$B$53,2,FALSE),IF(VLOOKUP(AE43,'FLA Reading Logic'!$A$22:$B$53,2,FALSE)&gt;=VLOOKUP(AG43,'FLA Reading Logic'!$A$22:$B$53,2,FALSE),VLOOKUP(AG43,'FLA Reading Logic'!$A$22:$B$53,2,FALSE),"No Score")))),"No Value"))</f>
        <v>No Value</v>
      </c>
      <c r="AI43" s="95" t="str">
        <f>IFERROR(VLOOKUP(AE43,'FLA Reading Logic'!$A$22:$B$48,2,FALSE)-VLOOKUP($F43,'FLA Reading Logic'!$A$22:$B$48,2,FALSE),"No Value")</f>
        <v>No Value</v>
      </c>
      <c r="AJ43" s="95" t="str">
        <f>IF($E43="Yes","IPP",IFERROR(IF(AND(AE43&gt;$J43,AE43&lt;$K43),"0",(VLOOKUP(AE43,'FLA Reading Logic'!$A$22:$B$53,2,FALSE))-(IF(VLOOKUP(AE43,'FLA Reading Logic'!$A$22:$B$53,2,FALSE)&lt;=VLOOKUP($J43,'FLA Reading Logic'!$A$22:$B$53,2,FALSE),VLOOKUP($J43,'FLA Reading Logic'!$A$22:$B$53,2,FALSE),IF(VLOOKUP(AE43,'FLA Reading Logic'!$A$22:$B$53,2,FALSE)&gt;=VLOOKUP($K43,'FLA Reading Logic'!$A$22:$B$53,2,FALSE),VLOOKUP($K43,'FLA Reading Logic'!$A$22:$B$53,2,FALSE),"No Score")))),"No Value"))</f>
        <v>No Value</v>
      </c>
      <c r="AK43" s="93"/>
      <c r="AL43" s="95" t="str">
        <f>IFERROR(IF($E43="Yes","IPP",VLOOKUP($L43,'FLA Reading Logic'!$A$3:$K$9,VLOOKUP(AK$1,'FLA Reading Logic'!$J$22:$K$31,2,FALSE),FALSE)),"Set Grade")</f>
        <v>Set Grade</v>
      </c>
      <c r="AM43" s="95" t="str">
        <f>IFERROR(IF($E43="Yes","IPP",VLOOKUP($L43,'FLA Reading Logic'!$A$13:$K$19,VLOOKUP(AK$1,'FLA Reading Logic'!$J$22:$K$31,2,FALSE),FALSE)),"Set Grade")</f>
        <v>Set Grade</v>
      </c>
      <c r="AN43" s="97" t="str">
        <f>IF($E43="Yes","IPP",IFERROR(IF(AND(AK43&gt;AL43,AK43&lt;AM43),"0",(VLOOKUP(AK43,'FLA Reading Logic'!$A$22:$B$53,2,FALSE))-(IF(VLOOKUP(AK43,'FLA Reading Logic'!$A$22:$B$53,2,FALSE)&lt;=VLOOKUP(AL43,'FLA Reading Logic'!$A$22:$B$53,2,FALSE),VLOOKUP(AL43,'FLA Reading Logic'!$A$22:$B$53,2,FALSE),IF(VLOOKUP(AK43,'FLA Reading Logic'!$A$22:$B$53,2,FALSE)&gt;=VLOOKUP(AM43,'FLA Reading Logic'!$A$22:$B$53,2,FALSE),VLOOKUP(AM43,'FLA Reading Logic'!$A$22:$B$53,2,FALSE),"No Score")))),"No Value"))</f>
        <v>No Value</v>
      </c>
      <c r="AO43" s="95" t="str">
        <f>IFERROR(VLOOKUP(AK43,'FLA Reading Logic'!$A$22:$B$48,2,FALSE)-VLOOKUP($F43,'FLA Reading Logic'!$A$22:$B$48,2,FALSE),"No Value")</f>
        <v>No Value</v>
      </c>
      <c r="AP43" s="95" t="str">
        <f>IF($E43="Yes","IPP",IFERROR(IF(AND(AK43&gt;$J43,AK43&lt;$K43),"0",(VLOOKUP(AK43,'FLA Reading Logic'!$A$22:$B$53,2,FALSE))-(IF(VLOOKUP(AK43,'FLA Reading Logic'!$A$22:$B$53,2,FALSE)&lt;=VLOOKUP($J43,'FLA Reading Logic'!$A$22:$B$53,2,FALSE),VLOOKUP($J43,'FLA Reading Logic'!$A$22:$B$53,2,FALSE),IF(VLOOKUP(AK43,'FLA Reading Logic'!$A$22:$B$53,2,FALSE)&gt;=VLOOKUP($K43,'FLA Reading Logic'!$A$22:$B$53,2,FALSE),VLOOKUP($K43,'FLA Reading Logic'!$A$22:$B$53,2,FALSE),"No Score")))),"No Value"))</f>
        <v>No Value</v>
      </c>
      <c r="AQ43" s="93"/>
      <c r="AR43" s="95" t="str">
        <f>IFERROR(IF($E43="Yes","IPP",VLOOKUP($L43,'FLA Reading Logic'!$A$3:$K$9,VLOOKUP(AQ$1,'FLA Reading Logic'!$J$22:$K$31,2,FALSE),FALSE)),"Set Grade")</f>
        <v>Set Grade</v>
      </c>
      <c r="AS43" s="95" t="str">
        <f>IFERROR(IF($E43="Yes","IPP",VLOOKUP($L43,'FLA Reading Logic'!$A$13:$K$19,VLOOKUP(AQ$1,'FLA Reading Logic'!$J$22:$K$31,2,FALSE),FALSE)),"Set Grade")</f>
        <v>Set Grade</v>
      </c>
      <c r="AT43" s="97" t="str">
        <f>IF($E43="Yes","IPP",IFERROR(IF(AND(AQ43&gt;AR43,AQ43&lt;AS43),"0",(VLOOKUP(AQ43,'FLA Reading Logic'!$A$22:$B$53,2,FALSE))-(IF(VLOOKUP(AQ43,'FLA Reading Logic'!$A$22:$B$53,2,FALSE)&lt;=VLOOKUP(AR43,'FLA Reading Logic'!$A$22:$B$53,2,FALSE),VLOOKUP(AR43,'FLA Reading Logic'!$A$22:$B$53,2,FALSE),IF(VLOOKUP(AQ43,'FLA Reading Logic'!$A$22:$B$53,2,FALSE)&gt;=VLOOKUP(AS43,'FLA Reading Logic'!$A$22:$B$53,2,FALSE),VLOOKUP(AS43,'FLA Reading Logic'!$A$22:$B$53,2,FALSE),"No Score")))),"No Value"))</f>
        <v>No Value</v>
      </c>
      <c r="AU43" s="95" t="str">
        <f>IFERROR(VLOOKUP(AQ43,'FLA Reading Logic'!$A$22:$B$48,2,FALSE)-VLOOKUP($F43,'FLA Reading Logic'!$A$22:$B$48,2,FALSE),"No Value")</f>
        <v>No Value</v>
      </c>
      <c r="AV43" s="95" t="str">
        <f>IF($E43="Yes","IPP",IFERROR(IF(AND(AQ43&gt;$J43,AQ43&lt;$K43),"0",(VLOOKUP(AQ43,'FLA Reading Logic'!$A$22:$B$53,2,FALSE))-(IF(VLOOKUP(AQ43,'FLA Reading Logic'!$A$22:$B$53,2,FALSE)&lt;=VLOOKUP($J43,'FLA Reading Logic'!$A$22:$B$53,2,FALSE),VLOOKUP($J43,'FLA Reading Logic'!$A$22:$B$53,2,FALSE),IF(VLOOKUP(AQ43,'FLA Reading Logic'!$A$22:$B$53,2,FALSE)&gt;=VLOOKUP($K43,'FLA Reading Logic'!$A$22:$B$53,2,FALSE),VLOOKUP($K43,'FLA Reading Logic'!$A$22:$B$53,2,FALSE),"No Score")))),"No Value"))</f>
        <v>No Value</v>
      </c>
      <c r="AW43" s="93"/>
      <c r="AX43" s="95" t="str">
        <f>IFERROR(IF($E43="Yes","IPP",VLOOKUP($L43,'FLA Reading Logic'!$A$3:$K$9,VLOOKUP(AW$1,'FLA Reading Logic'!$J$22:$K$31,2,FALSE),FALSE)),"Set Grade")</f>
        <v>Set Grade</v>
      </c>
      <c r="AY43" s="95" t="str">
        <f>IFERROR(IF($E43="Yes","IPP",VLOOKUP($L43,'FLA Reading Logic'!$A$13:$K$19,VLOOKUP(AW$1,'FLA Reading Logic'!$J$22:$K$31,2,FALSE),FALSE)),"Set Grade")</f>
        <v>Set Grade</v>
      </c>
      <c r="AZ43" s="97" t="str">
        <f>IF($E43="Yes","IPP",IFERROR(IF(AND(AW43&gt;AX43,AW43&lt;AY43),"0",(VLOOKUP(AW43,'FLA Reading Logic'!$A$22:$B$53,2,FALSE))-(IF(VLOOKUP(AW43,'FLA Reading Logic'!$A$22:$B$53,2,FALSE)&lt;=VLOOKUP(AX43,'FLA Reading Logic'!$A$22:$B$53,2,FALSE),VLOOKUP(AX43,'FLA Reading Logic'!$A$22:$B$53,2,FALSE),IF(VLOOKUP(AW43,'FLA Reading Logic'!$A$22:$B$53,2,FALSE)&gt;=VLOOKUP(AY43,'FLA Reading Logic'!$A$22:$B$53,2,FALSE),VLOOKUP(AY43,'FLA Reading Logic'!$A$22:$B$53,2,FALSE),"No Score")))),"No Value"))</f>
        <v>No Value</v>
      </c>
      <c r="BA43" s="95" t="str">
        <f>IFERROR(VLOOKUP(AW43,'FLA Reading Logic'!$A$22:$B$48,2,FALSE)-VLOOKUP($F43,'FLA Reading Logic'!$A$22:$B$48,2,FALSE),"No Value")</f>
        <v>No Value</v>
      </c>
      <c r="BB43" s="95" t="str">
        <f>IF($E43="Yes","IPP",IFERROR(IF(AND(AW43&gt;$J43,AW43&lt;$K43),"0",(VLOOKUP(AW43,'FLA Reading Logic'!$A$22:$B$53,2,FALSE))-(IF(VLOOKUP(AW43,'FLA Reading Logic'!$A$22:$B$53,2,FALSE)&lt;=VLOOKUP($J43,'FLA Reading Logic'!$A$22:$B$53,2,FALSE),VLOOKUP($J43,'FLA Reading Logic'!$A$22:$B$53,2,FALSE),IF(VLOOKUP(AW43,'FLA Reading Logic'!$A$22:$B$53,2,FALSE)&gt;=VLOOKUP($K43,'FLA Reading Logic'!$A$22:$B$53,2,FALSE),VLOOKUP($K43,'FLA Reading Logic'!$A$22:$B$53,2,FALSE),"No Score")))),"No Value"))</f>
        <v>No Value</v>
      </c>
    </row>
  </sheetData>
  <mergeCells count="6">
    <mergeCell ref="AW1:BB1"/>
    <mergeCell ref="S1:X1"/>
    <mergeCell ref="Y1:AD1"/>
    <mergeCell ref="AE1:AJ1"/>
    <mergeCell ref="AK1:AP1"/>
    <mergeCell ref="AQ1:AV1"/>
  </mergeCells>
  <conditionalFormatting sqref="V3:V43">
    <cfRule type="cellIs" dxfId="448" priority="96" operator="lessThan">
      <formula>-2</formula>
    </cfRule>
    <cfRule type="cellIs" dxfId="447" priority="97" operator="between">
      <formula>-2</formula>
      <formula>-1</formula>
    </cfRule>
    <cfRule type="cellIs" dxfId="446" priority="98" operator="equal">
      <formula>0</formula>
    </cfRule>
    <cfRule type="cellIs" dxfId="445" priority="99" operator="greaterThan">
      <formula>0</formula>
    </cfRule>
  </conditionalFormatting>
  <conditionalFormatting sqref="AB3:AB43">
    <cfRule type="cellIs" dxfId="444" priority="92" operator="lessThan">
      <formula>-2</formula>
    </cfRule>
    <cfRule type="cellIs" dxfId="443" priority="93" operator="between">
      <formula>-2</formula>
      <formula>-1</formula>
    </cfRule>
    <cfRule type="cellIs" dxfId="442" priority="94" operator="equal">
      <formula>0</formula>
    </cfRule>
    <cfRule type="cellIs" dxfId="441" priority="95" operator="greaterThan">
      <formula>0</formula>
    </cfRule>
  </conditionalFormatting>
  <conditionalFormatting sqref="AH3:AH43">
    <cfRule type="cellIs" dxfId="440" priority="68" operator="lessThan">
      <formula>-2</formula>
    </cfRule>
    <cfRule type="cellIs" dxfId="439" priority="69" operator="between">
      <formula>-2</formula>
      <formula>-1</formula>
    </cfRule>
    <cfRule type="cellIs" dxfId="438" priority="70" operator="equal">
      <formula>0</formula>
    </cfRule>
    <cfRule type="cellIs" dxfId="437" priority="71" operator="greaterThan">
      <formula>0</formula>
    </cfRule>
  </conditionalFormatting>
  <conditionalFormatting sqref="AT3:AT43">
    <cfRule type="cellIs" dxfId="436" priority="60" operator="lessThan">
      <formula>-2</formula>
    </cfRule>
    <cfRule type="cellIs" dxfId="435" priority="61" operator="between">
      <formula>-2</formula>
      <formula>-1</formula>
    </cfRule>
    <cfRule type="cellIs" dxfId="434" priority="62" operator="equal">
      <formula>0</formula>
    </cfRule>
    <cfRule type="cellIs" dxfId="433" priority="63" operator="greaterThan">
      <formula>0</formula>
    </cfRule>
  </conditionalFormatting>
  <conditionalFormatting sqref="AZ3:AZ43">
    <cfRule type="cellIs" dxfId="432" priority="56" operator="lessThan">
      <formula>-2</formula>
    </cfRule>
    <cfRule type="cellIs" dxfId="431" priority="57" operator="between">
      <formula>-2</formula>
      <formula>-1</formula>
    </cfRule>
    <cfRule type="cellIs" dxfId="430" priority="58" operator="equal">
      <formula>0</formula>
    </cfRule>
    <cfRule type="cellIs" dxfId="429" priority="59" operator="greaterThan">
      <formula>0</formula>
    </cfRule>
  </conditionalFormatting>
  <conditionalFormatting sqref="AZ3:AZ43 AT3:AT43 AH3:AH43 AB3:AB43 V3:V43 I3:I43">
    <cfRule type="cellIs" priority="38" stopIfTrue="1" operator="equal">
      <formula>"No Value"</formula>
    </cfRule>
  </conditionalFormatting>
  <conditionalFormatting sqref="I3:I43">
    <cfRule type="cellIs" dxfId="428" priority="48" operator="lessThan">
      <formula>-2</formula>
    </cfRule>
    <cfRule type="cellIs" dxfId="427" priority="49" operator="between">
      <formula>-2</formula>
      <formula>-1</formula>
    </cfRule>
    <cfRule type="cellIs" dxfId="426" priority="50" operator="equal">
      <formula>0</formula>
    </cfRule>
    <cfRule type="cellIs" dxfId="425" priority="51" operator="greaterThan">
      <formula>0</formula>
    </cfRule>
  </conditionalFormatting>
  <conditionalFormatting sqref="AN3:AN43">
    <cfRule type="cellIs" dxfId="424" priority="43" operator="lessThan">
      <formula>-2</formula>
    </cfRule>
    <cfRule type="cellIs" dxfId="423" priority="44" operator="between">
      <formula>-2</formula>
      <formula>-1</formula>
    </cfRule>
    <cfRule type="cellIs" dxfId="422" priority="45" operator="equal">
      <formula>0</formula>
    </cfRule>
    <cfRule type="cellIs" dxfId="421" priority="46" operator="greaterThan">
      <formula>0</formula>
    </cfRule>
  </conditionalFormatting>
  <conditionalFormatting sqref="AN3:AN43">
    <cfRule type="cellIs" priority="42" stopIfTrue="1" operator="equal">
      <formula>"No Value"</formula>
    </cfRule>
  </conditionalFormatting>
  <conditionalFormatting sqref="I3">
    <cfRule type="cellIs" dxfId="420" priority="39" operator="lessThan">
      <formula>-2</formula>
    </cfRule>
    <cfRule type="cellIs" dxfId="419" priority="40" operator="between">
      <formula>-2</formula>
      <formula>-1</formula>
    </cfRule>
    <cfRule type="cellIs" dxfId="418" priority="41" operator="equal">
      <formula>0</formula>
    </cfRule>
    <cfRule type="cellIs" dxfId="417" priority="47" operator="greaterThan">
      <formula>0</formula>
    </cfRule>
  </conditionalFormatting>
  <conditionalFormatting sqref="W3:W43">
    <cfRule type="cellIs" priority="34" stopIfTrue="1" operator="equal">
      <formula>"No Value"</formula>
    </cfRule>
    <cfRule type="cellIs" dxfId="416" priority="35" operator="equal">
      <formula>0</formula>
    </cfRule>
    <cfRule type="cellIs" dxfId="415" priority="36" operator="lessThan">
      <formula>0</formula>
    </cfRule>
    <cfRule type="cellIs" dxfId="414" priority="37" operator="greaterThan">
      <formula>0</formula>
    </cfRule>
  </conditionalFormatting>
  <conditionalFormatting sqref="AC3:AC43">
    <cfRule type="cellIs" priority="30" stopIfTrue="1" operator="equal">
      <formula>"No Value"</formula>
    </cfRule>
    <cfRule type="cellIs" dxfId="413" priority="31" operator="equal">
      <formula>W3</formula>
    </cfRule>
    <cfRule type="cellIs" dxfId="412" priority="32" operator="lessThan">
      <formula>W3</formula>
    </cfRule>
    <cfRule type="cellIs" dxfId="411" priority="33" operator="greaterThan">
      <formula>W3</formula>
    </cfRule>
  </conditionalFormatting>
  <conditionalFormatting sqref="AI3:AI43">
    <cfRule type="cellIs" priority="26" stopIfTrue="1" operator="equal">
      <formula>"No Value"</formula>
    </cfRule>
    <cfRule type="cellIs" dxfId="410" priority="27" operator="equal">
      <formula>AC3</formula>
    </cfRule>
    <cfRule type="cellIs" dxfId="409" priority="28" operator="lessThan">
      <formula>AC3</formula>
    </cfRule>
    <cfRule type="cellIs" dxfId="408" priority="29" operator="greaterThan">
      <formula>AC3</formula>
    </cfRule>
  </conditionalFormatting>
  <conditionalFormatting sqref="AO3:AO43">
    <cfRule type="cellIs" priority="18" stopIfTrue="1" operator="equal">
      <formula>"No Value"</formula>
    </cfRule>
    <cfRule type="cellIs" dxfId="407" priority="19" operator="equal">
      <formula>AI3</formula>
    </cfRule>
    <cfRule type="cellIs" dxfId="406" priority="20" operator="lessThan">
      <formula>AI3</formula>
    </cfRule>
    <cfRule type="cellIs" dxfId="405" priority="21" operator="greaterThan">
      <formula>AI3</formula>
    </cfRule>
  </conditionalFormatting>
  <conditionalFormatting sqref="AU3:AU43">
    <cfRule type="cellIs" priority="14" stopIfTrue="1" operator="equal">
      <formula>"No Value"</formula>
    </cfRule>
    <cfRule type="cellIs" dxfId="404" priority="15" operator="equal">
      <formula>AO3</formula>
    </cfRule>
    <cfRule type="cellIs" dxfId="403" priority="16" operator="lessThan">
      <formula>AO3</formula>
    </cfRule>
    <cfRule type="cellIs" dxfId="402" priority="17" operator="greaterThan">
      <formula>AO3</formula>
    </cfRule>
  </conditionalFormatting>
  <conditionalFormatting sqref="BA3:BA43">
    <cfRule type="cellIs" priority="10" stopIfTrue="1" operator="equal">
      <formula>"No Value"</formula>
    </cfRule>
    <cfRule type="cellIs" dxfId="401" priority="11" operator="equal">
      <formula>AU3</formula>
    </cfRule>
    <cfRule type="cellIs" dxfId="400" priority="12" operator="lessThan">
      <formula>AU3</formula>
    </cfRule>
    <cfRule type="cellIs" dxfId="399" priority="13" operator="greaterThan">
      <formula>AU3</formula>
    </cfRule>
  </conditionalFormatting>
  <conditionalFormatting sqref="I43">
    <cfRule type="cellIs" priority="1" stopIfTrue="1" operator="equal">
      <formula>"No Value"</formula>
    </cfRule>
  </conditionalFormatting>
  <conditionalFormatting sqref="I43">
    <cfRule type="cellIs" dxfId="398" priority="2" operator="lessThan">
      <formula>-2</formula>
    </cfRule>
    <cfRule type="cellIs" dxfId="397" priority="3" operator="between">
      <formula>-2</formula>
      <formula>-1</formula>
    </cfRule>
    <cfRule type="cellIs" dxfId="396" priority="4" operator="equal">
      <formula>0</formula>
    </cfRule>
    <cfRule type="cellIs" dxfId="395" priority="5" operator="greaterThan">
      <formula>0</formula>
    </cfRule>
  </conditionalFormatting>
  <pageMargins left="0.25" right="0.25" top="0.75" bottom="0.75" header="0.3" footer="0.3"/>
  <pageSetup scale="10" orientation="landscape"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914CD07F-C58B-4303-B3DC-9A32565EB472}">
          <x14:formula1>
            <xm:f>'FLA Reading Logic'!$E$22:$E$23</xm:f>
          </x14:formula1>
          <xm:sqref>E3:E43</xm:sqref>
        </x14:dataValidation>
        <x14:dataValidation type="list" allowBlank="1" showInputMessage="1" showErrorMessage="1" xr:uid="{14791158-37FF-4A36-834D-3B51E4815921}">
          <x14:formula1>
            <xm:f>'FLA Reading Logic'!$A$22:$A$53</xm:f>
          </x14:formula1>
          <xm:sqref>Y3:Y43 AE3:AE43 AK3:AK43 AQ3:AQ43 AW3:AW43 S3:S43 F3:F43</xm:sqref>
        </x14:dataValidation>
        <x14:dataValidation type="list" allowBlank="1" showInputMessage="1" showErrorMessage="1" xr:uid="{00280AA7-FA22-423D-B94C-1D099C96DABB}">
          <x14:formula1>
            <xm:f>'FLA Reading Logic'!$G$22:$G$28</xm:f>
          </x14:formula1>
          <xm:sqref>L3:L43</xm:sqref>
        </x14:dataValidation>
        <x14:dataValidation type="list" allowBlank="1" showInputMessage="1" showErrorMessage="1" xr:uid="{27313826-7927-4662-8F33-9BAEAAB23BE4}">
          <x14:formula1>
            <xm:f>'FLA Reading Logic'!$J$22:$J$31</xm:f>
          </x14:formula1>
          <xm:sqref>S1:BB1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5FDE4-D8E5-4A18-8DC0-FF7497FDD92F}">
  <sheetPr codeName="Sheet12"/>
  <dimension ref="A1:AU271"/>
  <sheetViews>
    <sheetView workbookViewId="0">
      <pane xSplit="4" ySplit="2" topLeftCell="E3" activePane="bottomRight" state="frozen"/>
      <selection pane="topRight" activeCell="C10" sqref="C10:F10"/>
      <selection pane="bottomLeft" activeCell="C10" sqref="C10:F10"/>
      <selection pane="bottomRight" activeCell="B22" sqref="B22"/>
    </sheetView>
  </sheetViews>
  <sheetFormatPr defaultRowHeight="15" x14ac:dyDescent="0.25"/>
  <cols>
    <col min="1" max="1" width="20.5703125" bestFit="1" customWidth="1"/>
    <col min="2" max="2" width="47.7109375" bestFit="1" customWidth="1"/>
    <col min="3" max="3" width="31.5703125" customWidth="1"/>
    <col min="4" max="4" width="16.28515625" bestFit="1" customWidth="1"/>
  </cols>
  <sheetData>
    <row r="1" spans="1:47" ht="24" customHeight="1" thickBot="1" x14ac:dyDescent="0.3">
      <c r="A1" s="11"/>
      <c r="B1" s="12"/>
      <c r="C1" s="11"/>
      <c r="D1" s="10"/>
      <c r="E1" s="116"/>
      <c r="F1" s="3"/>
      <c r="G1" s="3"/>
      <c r="H1" s="3"/>
      <c r="I1" s="3"/>
      <c r="J1" s="3"/>
      <c r="K1" s="3"/>
      <c r="L1" s="117"/>
      <c r="M1" s="299" t="s">
        <v>38</v>
      </c>
      <c r="N1" s="300"/>
      <c r="O1" s="300"/>
      <c r="P1" s="300"/>
      <c r="Q1" s="301"/>
      <c r="R1" s="299" t="s">
        <v>302</v>
      </c>
      <c r="S1" s="300"/>
      <c r="T1" s="300"/>
      <c r="U1" s="300"/>
      <c r="V1" s="300"/>
      <c r="W1" s="301"/>
      <c r="X1" s="296" t="s">
        <v>40</v>
      </c>
      <c r="Y1" s="297"/>
      <c r="Z1" s="297"/>
      <c r="AA1" s="297"/>
      <c r="AB1" s="297"/>
      <c r="AC1" s="298"/>
      <c r="AD1" s="296" t="s">
        <v>131</v>
      </c>
      <c r="AE1" s="297"/>
      <c r="AF1" s="297"/>
      <c r="AG1" s="297"/>
      <c r="AH1" s="297"/>
      <c r="AI1" s="298"/>
      <c r="AJ1" s="296" t="s">
        <v>41</v>
      </c>
      <c r="AK1" s="297"/>
      <c r="AL1" s="297"/>
      <c r="AM1" s="297"/>
      <c r="AN1" s="297"/>
      <c r="AO1" s="298"/>
      <c r="AP1" s="296" t="s">
        <v>42</v>
      </c>
      <c r="AQ1" s="297"/>
      <c r="AR1" s="297"/>
      <c r="AS1" s="297"/>
      <c r="AT1" s="297"/>
      <c r="AU1" s="298"/>
    </row>
    <row r="2" spans="1:47" ht="87.75" x14ac:dyDescent="0.25">
      <c r="A2" s="101" t="s">
        <v>44</v>
      </c>
      <c r="B2" s="102" t="s">
        <v>45</v>
      </c>
      <c r="C2" s="102" t="s">
        <v>46</v>
      </c>
      <c r="D2" s="102" t="s">
        <v>47</v>
      </c>
      <c r="E2" s="103" t="s">
        <v>53</v>
      </c>
      <c r="F2" s="103" t="s">
        <v>54</v>
      </c>
      <c r="G2" s="103" t="s">
        <v>55</v>
      </c>
      <c r="H2" s="103" t="s">
        <v>56</v>
      </c>
      <c r="I2" s="103" t="s">
        <v>57</v>
      </c>
      <c r="J2" s="103" t="s">
        <v>58</v>
      </c>
      <c r="K2" s="103" t="s">
        <v>48</v>
      </c>
      <c r="L2" s="104" t="s">
        <v>59</v>
      </c>
      <c r="M2" s="103" t="s">
        <v>132</v>
      </c>
      <c r="N2" s="103" t="s">
        <v>133</v>
      </c>
      <c r="O2" s="103" t="s">
        <v>134</v>
      </c>
      <c r="P2" s="103" t="s">
        <v>135</v>
      </c>
      <c r="Q2" s="103" t="s">
        <v>136</v>
      </c>
      <c r="R2" s="103" t="s">
        <v>137</v>
      </c>
      <c r="S2" s="103" t="s">
        <v>138</v>
      </c>
      <c r="T2" s="103" t="s">
        <v>139</v>
      </c>
      <c r="U2" s="103" t="s">
        <v>140</v>
      </c>
      <c r="V2" s="103" t="s">
        <v>141</v>
      </c>
      <c r="W2" s="103" t="s">
        <v>142</v>
      </c>
      <c r="X2" s="103" t="s">
        <v>143</v>
      </c>
      <c r="Y2" s="103" t="s">
        <v>144</v>
      </c>
      <c r="Z2" s="103" t="s">
        <v>145</v>
      </c>
      <c r="AA2" s="103" t="s">
        <v>146</v>
      </c>
      <c r="AB2" s="103" t="s">
        <v>147</v>
      </c>
      <c r="AC2" s="103" t="s">
        <v>148</v>
      </c>
      <c r="AD2" s="103" t="s">
        <v>149</v>
      </c>
      <c r="AE2" s="103" t="s">
        <v>150</v>
      </c>
      <c r="AF2" s="103" t="s">
        <v>151</v>
      </c>
      <c r="AG2" s="103" t="s">
        <v>152</v>
      </c>
      <c r="AH2" s="103" t="s">
        <v>153</v>
      </c>
      <c r="AI2" s="103" t="s">
        <v>154</v>
      </c>
      <c r="AJ2" s="103" t="s">
        <v>155</v>
      </c>
      <c r="AK2" s="103" t="s">
        <v>156</v>
      </c>
      <c r="AL2" s="103" t="s">
        <v>157</v>
      </c>
      <c r="AM2" s="103" t="s">
        <v>158</v>
      </c>
      <c r="AN2" s="103" t="s">
        <v>159</v>
      </c>
      <c r="AO2" s="103" t="s">
        <v>160</v>
      </c>
      <c r="AP2" s="103" t="s">
        <v>161</v>
      </c>
      <c r="AQ2" s="103" t="s">
        <v>162</v>
      </c>
      <c r="AR2" s="103" t="s">
        <v>163</v>
      </c>
      <c r="AS2" s="103" t="s">
        <v>164</v>
      </c>
      <c r="AT2" s="103" t="s">
        <v>165</v>
      </c>
      <c r="AU2" s="103" t="s">
        <v>166</v>
      </c>
    </row>
    <row r="3" spans="1:47" x14ac:dyDescent="0.25">
      <c r="A3" s="13"/>
      <c r="B3" s="13"/>
      <c r="C3" s="13"/>
      <c r="D3" s="13"/>
      <c r="E3" s="13"/>
      <c r="F3" s="13"/>
      <c r="G3" s="13"/>
      <c r="H3" s="13"/>
      <c r="I3" s="13"/>
      <c r="J3" s="13"/>
      <c r="K3" s="120"/>
      <c r="L3" s="121"/>
      <c r="M3" s="120"/>
      <c r="N3" s="120"/>
      <c r="O3" s="120"/>
      <c r="P3" s="120"/>
      <c r="Q3" s="95" t="str">
        <f>IFERROR(IF(YES_Writing_ELA[[#This Row],[Literacy IPP]]='Writing Logic'!$E$26,"IPP",IF(OR(M3="EAL",N3="EAL",O3="EAL",P3="EAL"),"EAL",IF(M3='Writing Logic'!$A$10,AVERAGE(VLOOKUP(N3,'Writing Logic'!$A$3:$B$7,2,FALSE),VLOOKUP(O3,'Writing Logic'!$A$3:$B$7,2,FALSE),VLOOKUP(P3,'Writing Logic'!$A$3:$B$7,2,FALSE)),AVERAGE(VLOOKUP(M3,'Writing Logic'!$A$3:$B$7,2,FALSE),VLOOKUP(N3,'Writing Logic'!$A$3:$B$7,2,FALSE),VLOOKUP(O3,'Writing Logic'!$A$3:$B$7,2,FALSE),VLOOKUP(P3,'Writing Logic'!$A$3:$B$7,2,FALSE))))),"Fill All 4")</f>
        <v>Fill All 4</v>
      </c>
      <c r="R3" s="120"/>
      <c r="S3" s="120"/>
      <c r="T3" s="120"/>
      <c r="U3" s="120"/>
      <c r="V3" s="95" t="str">
        <f>IFERROR(IF(YES_Writing_ELA[[#This Row],[Literacy IPP]]='Writing Logic'!$E$26,"IPP",IF(OR(R3="EAL",S3="EAL",T3="EAL",U3="EAL"),"EAL",IF(R3='Writing Logic'!$A$10,AVERAGE(VLOOKUP(S3,'Writing Logic'!$A$3:$B$7,2,FALSE),VLOOKUP(T3,'Writing Logic'!$A$3:$B$7,2,FALSE),VLOOKUP(U3,'Writing Logic'!$A$3:$B$7,2,FALSE)),AVERAGE(VLOOKUP(R3,'Writing Logic'!$A$3:$B$7,2,FALSE),VLOOKUP(S3,'Writing Logic'!$A$3:$B$7,2,FALSE),VLOOKUP(T3,'Writing Logic'!$A$3:$B$7,2,FALSE),VLOOKUP(U3,'Writing Logic'!$A$3:$B$7,2,FALSE))))),"Fill All 4")</f>
        <v>Fill All 4</v>
      </c>
      <c r="W3" s="95" t="str">
        <f t="shared" ref="W3:W67" si="0">IFERROR(V3-$Q3,"")</f>
        <v/>
      </c>
      <c r="X3" s="120"/>
      <c r="Y3" s="120"/>
      <c r="Z3" s="120"/>
      <c r="AA3" s="120"/>
      <c r="AB3" s="95" t="str">
        <f>IFERROR(IF(YES_Writing_ELA[[#This Row],[Literacy IPP]]='Writing Logic'!$E$26,"IPP",IF(OR(X3="EAL",Y3="EAL",Z3="EAL",AA3="EAL"),"EAL",IF(X3='Writing Logic'!$A$10,AVERAGE(VLOOKUP(Y3,'Writing Logic'!$A$3:$B$7,2,FALSE),VLOOKUP(Z3,'Writing Logic'!$A$3:$B$7,2,FALSE),VLOOKUP(AA3,'Writing Logic'!$A$3:$B$7,2,FALSE)),AVERAGE(VLOOKUP(X3,'Writing Logic'!$A$3:$B$7,2,FALSE),VLOOKUP(Y3,'Writing Logic'!$A$3:$B$7,2,FALSE),VLOOKUP(Z3,'Writing Logic'!$A$3:$B$7,2,FALSE),VLOOKUP(AA3,'Writing Logic'!$A$3:$B$7,2,FALSE))))),"Fill All 4")</f>
        <v>Fill All 4</v>
      </c>
      <c r="AC3" s="95" t="str">
        <f t="shared" ref="AC3:AC67" si="1">IFERROR(AB3-$Q3,"")</f>
        <v/>
      </c>
      <c r="AD3" s="120"/>
      <c r="AE3" s="120"/>
      <c r="AF3" s="120"/>
      <c r="AG3" s="120"/>
      <c r="AH3" s="95" t="str">
        <f>IFERROR(IF(YES_Writing_ELA[[#This Row],[Literacy IPP]]='Writing Logic'!$E$26,"IPP",IF(OR(AD3="EAL",AE3="EAL",AF3="EAL",AG3="EAL"),"EAL",IF(AD3='Writing Logic'!$A$10,AVERAGE(VLOOKUP(AE3,'Writing Logic'!$A$3:$B$7,2,FALSE),VLOOKUP(AF3,'Writing Logic'!$A$3:$B$7,2,FALSE),VLOOKUP(AG3,'Writing Logic'!$A$3:$B$7,2,FALSE)),AVERAGE(VLOOKUP(AD3,'Writing Logic'!$A$3:$B$7,2,FALSE),VLOOKUP(AE3,'Writing Logic'!$A$3:$B$7,2,FALSE),VLOOKUP(AF3,'Writing Logic'!$A$3:$B$7,2,FALSE),VLOOKUP(AG3,'Writing Logic'!$A$3:$B$7,2,FALSE))))),"Fill All 4")</f>
        <v>Fill All 4</v>
      </c>
      <c r="AI3" s="95" t="str">
        <f t="shared" ref="AI3:AI67" si="2">IFERROR(AH3-$Q3,"")</f>
        <v/>
      </c>
      <c r="AJ3" s="183"/>
      <c r="AK3" s="120"/>
      <c r="AL3" s="120"/>
      <c r="AM3" s="120"/>
      <c r="AN3" s="95" t="str">
        <f>IFERROR(IF(YES_Writing_ELA[[#This Row],[Literacy IPP]]='Writing Logic'!$E$26,"IPP",IF(OR(AJ3="EAL",AK3="EAL",AL3="EAL",AM3="EAL"),"EAL",IF(AJ3='Writing Logic'!$A$10,AVERAGE(VLOOKUP(AK3,'Writing Logic'!$A$3:$B$7,2,FALSE),VLOOKUP(AL3,'Writing Logic'!$A$3:$B$7,2,FALSE),VLOOKUP(AM3,'Writing Logic'!$A$3:$B$7,2,FALSE)),AVERAGE(VLOOKUP(AJ3,'Writing Logic'!$A$3:$B$7,2,FALSE),VLOOKUP(AK3,'Writing Logic'!$A$3:$B$7,2,FALSE),VLOOKUP(AL3,'Writing Logic'!$A$3:$B$7,2,FALSE),VLOOKUP(AM3,'Writing Logic'!$A$3:$B$7,2,FALSE))))),"Fill All 4")</f>
        <v>Fill All 4</v>
      </c>
      <c r="AO3" s="95" t="str">
        <f t="shared" ref="AO3:AO67" si="3">IFERROR(AN3-$Q3,"")</f>
        <v/>
      </c>
      <c r="AP3" s="120"/>
      <c r="AQ3" s="120"/>
      <c r="AR3" s="120"/>
      <c r="AS3" s="120"/>
      <c r="AT3" s="95" t="str">
        <f>IFERROR(IF(YES_Writing_ELA[[#This Row],[Literacy IPP]]='Writing Logic'!$E$26,"IPP",IF(OR(AP3="EAL",AQ3="EAL",AR3="EAL",AS3="EAL"),"EAL",IF(AP3='Writing Logic'!$A$10,AVERAGE(VLOOKUP(AQ3,'Writing Logic'!$A$3:$B$7,2,FALSE),VLOOKUP(AR3,'Writing Logic'!$A$3:$B$7,2,FALSE),VLOOKUP(AS3,'Writing Logic'!$A$3:$B$7,2,FALSE)),AVERAGE(VLOOKUP(AP3,'Writing Logic'!$A$3:$B$7,2,FALSE),VLOOKUP(AQ3,'Writing Logic'!$A$3:$B$7,2,FALSE),VLOOKUP(AR3,'Writing Logic'!$A$3:$B$7,2,FALSE),VLOOKUP(AS3,'Writing Logic'!$A$3:$B$7,2,FALSE))))),"Fill All 4")</f>
        <v>Fill All 4</v>
      </c>
      <c r="AU3" s="95" t="str">
        <f t="shared" ref="AU3:AU67" si="4">IFERROR(AT3-$Q3,"")</f>
        <v/>
      </c>
    </row>
    <row r="4" spans="1:47" x14ac:dyDescent="0.25">
      <c r="A4" s="13"/>
      <c r="B4" s="13"/>
      <c r="C4" s="13"/>
      <c r="D4" s="13"/>
      <c r="E4" s="13"/>
      <c r="F4" s="13"/>
      <c r="G4" s="13"/>
      <c r="H4" s="13"/>
      <c r="I4" s="13"/>
      <c r="J4" s="13"/>
      <c r="K4" s="120"/>
      <c r="L4" s="121"/>
      <c r="M4" s="120"/>
      <c r="N4" s="120"/>
      <c r="O4" s="120"/>
      <c r="P4" s="120"/>
      <c r="Q4" s="95" t="str">
        <f>IFERROR(IF(YES_Writing_ELA[[#This Row],[Literacy IPP]]='Writing Logic'!$E$26,"IPP",IF(OR(M4="EAL",N4="EAL",O4="EAL",P4="EAL"),"EAL",IF(M4='Writing Logic'!$A$10,AVERAGE(VLOOKUP(N4,'Writing Logic'!$A$3:$B$7,2,FALSE),VLOOKUP(O4,'Writing Logic'!$A$3:$B$7,2,FALSE),VLOOKUP(P4,'Writing Logic'!$A$3:$B$7,2,FALSE)),AVERAGE(VLOOKUP(M4,'Writing Logic'!$A$3:$B$7,2,FALSE),VLOOKUP(N4,'Writing Logic'!$A$3:$B$7,2,FALSE),VLOOKUP(O4,'Writing Logic'!$A$3:$B$7,2,FALSE),VLOOKUP(P4,'Writing Logic'!$A$3:$B$7,2,FALSE))))),"Fill All 4")</f>
        <v>Fill All 4</v>
      </c>
      <c r="R4" s="120"/>
      <c r="S4" s="120"/>
      <c r="T4" s="120"/>
      <c r="U4" s="120"/>
      <c r="V4" s="95" t="str">
        <f>IFERROR(IF(YES_Writing_ELA[[#This Row],[Literacy IPP]]='Writing Logic'!$E$26,"IPP",IF(OR(R4="EAL",S4="EAL",T4="EAL",U4="EAL"),"EAL",IF(R4='Writing Logic'!$A$10,AVERAGE(VLOOKUP(S4,'Writing Logic'!$A$3:$B$7,2,FALSE),VLOOKUP(T4,'Writing Logic'!$A$3:$B$7,2,FALSE),VLOOKUP(U4,'Writing Logic'!$A$3:$B$7,2,FALSE)),AVERAGE(VLOOKUP(R4,'Writing Logic'!$A$3:$B$7,2,FALSE),VLOOKUP(S4,'Writing Logic'!$A$3:$B$7,2,FALSE),VLOOKUP(T4,'Writing Logic'!$A$3:$B$7,2,FALSE),VLOOKUP(U4,'Writing Logic'!$A$3:$B$7,2,FALSE))))),"Fill All 4")</f>
        <v>Fill All 4</v>
      </c>
      <c r="W4" s="95" t="str">
        <f t="shared" si="0"/>
        <v/>
      </c>
      <c r="X4" s="120"/>
      <c r="Y4" s="120"/>
      <c r="Z4" s="120"/>
      <c r="AA4" s="120"/>
      <c r="AB4" s="95" t="str">
        <f>IFERROR(IF(YES_Writing_ELA[[#This Row],[Literacy IPP]]='Writing Logic'!$E$26,"IPP",IF(OR(X4="EAL",Y4="EAL",Z4="EAL",AA4="EAL"),"EAL",IF(X4='Writing Logic'!$A$10,AVERAGE(VLOOKUP(Y4,'Writing Logic'!$A$3:$B$7,2,FALSE),VLOOKUP(Z4,'Writing Logic'!$A$3:$B$7,2,FALSE),VLOOKUP(AA4,'Writing Logic'!$A$3:$B$7,2,FALSE)),AVERAGE(VLOOKUP(X4,'Writing Logic'!$A$3:$B$7,2,FALSE),VLOOKUP(Y4,'Writing Logic'!$A$3:$B$7,2,FALSE),VLOOKUP(Z4,'Writing Logic'!$A$3:$B$7,2,FALSE),VLOOKUP(AA4,'Writing Logic'!$A$3:$B$7,2,FALSE))))),"Fill All 4")</f>
        <v>Fill All 4</v>
      </c>
      <c r="AC4" s="95" t="str">
        <f t="shared" si="1"/>
        <v/>
      </c>
      <c r="AD4" s="120"/>
      <c r="AE4" s="120"/>
      <c r="AF4" s="120"/>
      <c r="AG4" s="120"/>
      <c r="AH4" s="95" t="str">
        <f>IFERROR(IF(YES_Writing_ELA[[#This Row],[Literacy IPP]]='Writing Logic'!$E$26,"IPP",IF(OR(AD4="EAL",AE4="EAL",AF4="EAL",AG4="EAL"),"EAL",IF(AD4='Writing Logic'!$A$10,AVERAGE(VLOOKUP(AE4,'Writing Logic'!$A$3:$B$7,2,FALSE),VLOOKUP(AF4,'Writing Logic'!$A$3:$B$7,2,FALSE),VLOOKUP(AG4,'Writing Logic'!$A$3:$B$7,2,FALSE)),AVERAGE(VLOOKUP(AD4,'Writing Logic'!$A$3:$B$7,2,FALSE),VLOOKUP(AE4,'Writing Logic'!$A$3:$B$7,2,FALSE),VLOOKUP(AF4,'Writing Logic'!$A$3:$B$7,2,FALSE),VLOOKUP(AG4,'Writing Logic'!$A$3:$B$7,2,FALSE))))),"Fill All 4")</f>
        <v>Fill All 4</v>
      </c>
      <c r="AI4" s="95" t="str">
        <f t="shared" si="2"/>
        <v/>
      </c>
      <c r="AJ4" s="183"/>
      <c r="AK4" s="120"/>
      <c r="AL4" s="120"/>
      <c r="AM4" s="120"/>
      <c r="AN4" s="95" t="str">
        <f>IFERROR(IF(YES_Writing_ELA[[#This Row],[Literacy IPP]]='Writing Logic'!$E$26,"IPP",IF(OR(AJ4="EAL",AK4="EAL",AL4="EAL",AM4="EAL"),"EAL",IF(AJ4='Writing Logic'!$A$10,AVERAGE(VLOOKUP(AK4,'Writing Logic'!$A$3:$B$7,2,FALSE),VLOOKUP(AL4,'Writing Logic'!$A$3:$B$7,2,FALSE),VLOOKUP(AM4,'Writing Logic'!$A$3:$B$7,2,FALSE)),AVERAGE(VLOOKUP(AJ4,'Writing Logic'!$A$3:$B$7,2,FALSE),VLOOKUP(AK4,'Writing Logic'!$A$3:$B$7,2,FALSE),VLOOKUP(AL4,'Writing Logic'!$A$3:$B$7,2,FALSE),VLOOKUP(AM4,'Writing Logic'!$A$3:$B$7,2,FALSE))))),"Fill All 4")</f>
        <v>Fill All 4</v>
      </c>
      <c r="AO4" s="95" t="str">
        <f t="shared" si="3"/>
        <v/>
      </c>
      <c r="AP4" s="120"/>
      <c r="AQ4" s="120"/>
      <c r="AR4" s="120"/>
      <c r="AS4" s="120"/>
      <c r="AT4" s="95" t="str">
        <f>IFERROR(IF(YES_Writing_ELA[[#This Row],[Literacy IPP]]='Writing Logic'!$E$26,"IPP",IF(OR(AP4="EAL",AQ4="EAL",AR4="EAL",AS4="EAL"),"EAL",IF(AP4='Writing Logic'!$A$10,AVERAGE(VLOOKUP(AQ4,'Writing Logic'!$A$3:$B$7,2,FALSE),VLOOKUP(AR4,'Writing Logic'!$A$3:$B$7,2,FALSE),VLOOKUP(AS4,'Writing Logic'!$A$3:$B$7,2,FALSE)),AVERAGE(VLOOKUP(AP4,'Writing Logic'!$A$3:$B$7,2,FALSE),VLOOKUP(AQ4,'Writing Logic'!$A$3:$B$7,2,FALSE),VLOOKUP(AR4,'Writing Logic'!$A$3:$B$7,2,FALSE),VLOOKUP(AS4,'Writing Logic'!$A$3:$B$7,2,FALSE))))),"Fill All 4")</f>
        <v>Fill All 4</v>
      </c>
      <c r="AU4" s="95" t="str">
        <f t="shared" si="4"/>
        <v/>
      </c>
    </row>
    <row r="5" spans="1:47" x14ac:dyDescent="0.25">
      <c r="A5" s="13"/>
      <c r="B5" s="13"/>
      <c r="C5" s="13"/>
      <c r="D5" s="13"/>
      <c r="E5" s="13"/>
      <c r="F5" s="13"/>
      <c r="G5" s="13"/>
      <c r="H5" s="13"/>
      <c r="I5" s="13"/>
      <c r="J5" s="13"/>
      <c r="K5" s="183"/>
      <c r="L5" s="184"/>
      <c r="M5" s="120"/>
      <c r="N5" s="120"/>
      <c r="O5" s="120"/>
      <c r="P5" s="120"/>
      <c r="Q5" s="95" t="str">
        <f>IFERROR(IF(YES_Writing_ELA[[#This Row],[Literacy IPP]]='Writing Logic'!$E$26,"IPP",IF(OR(M5="EAL",N5="EAL",O5="EAL",P5="EAL"),"EAL",IF(M5='Writing Logic'!$A$10,AVERAGE(VLOOKUP(N5,'Writing Logic'!$A$3:$B$7,2,FALSE),VLOOKUP(O5,'Writing Logic'!$A$3:$B$7,2,FALSE),VLOOKUP(P5,'Writing Logic'!$A$3:$B$7,2,FALSE)),AVERAGE(VLOOKUP(M5,'Writing Logic'!$A$3:$B$7,2,FALSE),VLOOKUP(N5,'Writing Logic'!$A$3:$B$7,2,FALSE),VLOOKUP(O5,'Writing Logic'!$A$3:$B$7,2,FALSE),VLOOKUP(P5,'Writing Logic'!$A$3:$B$7,2,FALSE))))),"Fill All 4")</f>
        <v>Fill All 4</v>
      </c>
      <c r="R5" s="120"/>
      <c r="S5" s="120"/>
      <c r="T5" s="120"/>
      <c r="U5" s="120"/>
      <c r="V5" s="95" t="str">
        <f>IFERROR(IF(YES_Writing_ELA[[#This Row],[Literacy IPP]]='Writing Logic'!$E$26,"IPP",IF(OR(R5="EAL",S5="EAL",T5="EAL",U5="EAL"),"EAL",IF(R5='Writing Logic'!$A$10,AVERAGE(VLOOKUP(S5,'Writing Logic'!$A$3:$B$7,2,FALSE),VLOOKUP(T5,'Writing Logic'!$A$3:$B$7,2,FALSE),VLOOKUP(U5,'Writing Logic'!$A$3:$B$7,2,FALSE)),AVERAGE(VLOOKUP(R5,'Writing Logic'!$A$3:$B$7,2,FALSE),VLOOKUP(S5,'Writing Logic'!$A$3:$B$7,2,FALSE),VLOOKUP(T5,'Writing Logic'!$A$3:$B$7,2,FALSE),VLOOKUP(U5,'Writing Logic'!$A$3:$B$7,2,FALSE))))),"Fill All 4")</f>
        <v>Fill All 4</v>
      </c>
      <c r="W5" s="95" t="str">
        <f t="shared" si="0"/>
        <v/>
      </c>
      <c r="X5" s="120"/>
      <c r="Y5" s="120"/>
      <c r="Z5" s="120"/>
      <c r="AA5" s="120"/>
      <c r="AB5" s="95" t="str">
        <f>IFERROR(IF(YES_Writing_ELA[[#This Row],[Literacy IPP]]='Writing Logic'!$E$26,"IPP",IF(OR(X5="EAL",Y5="EAL",Z5="EAL",AA5="EAL"),"EAL",IF(X5='Writing Logic'!$A$10,AVERAGE(VLOOKUP(Y5,'Writing Logic'!$A$3:$B$7,2,FALSE),VLOOKUP(Z5,'Writing Logic'!$A$3:$B$7,2,FALSE),VLOOKUP(AA5,'Writing Logic'!$A$3:$B$7,2,FALSE)),AVERAGE(VLOOKUP(X5,'Writing Logic'!$A$3:$B$7,2,FALSE),VLOOKUP(Y5,'Writing Logic'!$A$3:$B$7,2,FALSE),VLOOKUP(Z5,'Writing Logic'!$A$3:$B$7,2,FALSE),VLOOKUP(AA5,'Writing Logic'!$A$3:$B$7,2,FALSE))))),"Fill All 4")</f>
        <v>Fill All 4</v>
      </c>
      <c r="AC5" s="95" t="str">
        <f t="shared" si="1"/>
        <v/>
      </c>
      <c r="AD5" s="120"/>
      <c r="AE5" s="120"/>
      <c r="AF5" s="120"/>
      <c r="AG5" s="120"/>
      <c r="AH5" s="95" t="str">
        <f>IFERROR(IF(YES_Writing_ELA[[#This Row],[Literacy IPP]]='Writing Logic'!$E$26,"IPP",IF(OR(AD5="EAL",AE5="EAL",AF5="EAL",AG5="EAL"),"EAL",IF(AD5='Writing Logic'!$A$10,AVERAGE(VLOOKUP(AE5,'Writing Logic'!$A$3:$B$7,2,FALSE),VLOOKUP(AF5,'Writing Logic'!$A$3:$B$7,2,FALSE),VLOOKUP(AG5,'Writing Logic'!$A$3:$B$7,2,FALSE)),AVERAGE(VLOOKUP(AD5,'Writing Logic'!$A$3:$B$7,2,FALSE),VLOOKUP(AE5,'Writing Logic'!$A$3:$B$7,2,FALSE),VLOOKUP(AF5,'Writing Logic'!$A$3:$B$7,2,FALSE),VLOOKUP(AG5,'Writing Logic'!$A$3:$B$7,2,FALSE))))),"Fill All 4")</f>
        <v>Fill All 4</v>
      </c>
      <c r="AI5" s="95" t="str">
        <f t="shared" si="2"/>
        <v/>
      </c>
      <c r="AJ5" s="183"/>
      <c r="AK5" s="120"/>
      <c r="AL5" s="120"/>
      <c r="AM5" s="120"/>
      <c r="AN5" s="95" t="str">
        <f>IFERROR(IF(YES_Writing_ELA[[#This Row],[Literacy IPP]]='Writing Logic'!$E$26,"IPP",IF(OR(AJ5="EAL",AK5="EAL",AL5="EAL",AM5="EAL"),"EAL",IF(AJ5='Writing Logic'!$A$10,AVERAGE(VLOOKUP(AK5,'Writing Logic'!$A$3:$B$7,2,FALSE),VLOOKUP(AL5,'Writing Logic'!$A$3:$B$7,2,FALSE),VLOOKUP(AM5,'Writing Logic'!$A$3:$B$7,2,FALSE)),AVERAGE(VLOOKUP(AJ5,'Writing Logic'!$A$3:$B$7,2,FALSE),VLOOKUP(AK5,'Writing Logic'!$A$3:$B$7,2,FALSE),VLOOKUP(AL5,'Writing Logic'!$A$3:$B$7,2,FALSE),VLOOKUP(AM5,'Writing Logic'!$A$3:$B$7,2,FALSE))))),"Fill All 4")</f>
        <v>Fill All 4</v>
      </c>
      <c r="AO5" s="95" t="str">
        <f t="shared" si="3"/>
        <v/>
      </c>
      <c r="AP5" s="120"/>
      <c r="AQ5" s="120"/>
      <c r="AR5" s="120"/>
      <c r="AS5" s="120"/>
      <c r="AT5" s="95" t="str">
        <f>IFERROR(IF(YES_Writing_ELA[[#This Row],[Literacy IPP]]='Writing Logic'!$E$26,"IPP",IF(OR(AP5="EAL",AQ5="EAL",AR5="EAL",AS5="EAL"),"EAL",IF(AP5='Writing Logic'!$A$10,AVERAGE(VLOOKUP(AQ5,'Writing Logic'!$A$3:$B$7,2,FALSE),VLOOKUP(AR5,'Writing Logic'!$A$3:$B$7,2,FALSE),VLOOKUP(AS5,'Writing Logic'!$A$3:$B$7,2,FALSE)),AVERAGE(VLOOKUP(AP5,'Writing Logic'!$A$3:$B$7,2,FALSE),VLOOKUP(AQ5,'Writing Logic'!$A$3:$B$7,2,FALSE),VLOOKUP(AR5,'Writing Logic'!$A$3:$B$7,2,FALSE),VLOOKUP(AS5,'Writing Logic'!$A$3:$B$7,2,FALSE))))),"Fill All 4")</f>
        <v>Fill All 4</v>
      </c>
      <c r="AU5" s="95" t="str">
        <f t="shared" si="4"/>
        <v/>
      </c>
    </row>
    <row r="6" spans="1:47" x14ac:dyDescent="0.25">
      <c r="A6" s="13"/>
      <c r="B6" s="13"/>
      <c r="C6" s="13"/>
      <c r="D6" s="13"/>
      <c r="E6" s="13"/>
      <c r="F6" s="13"/>
      <c r="G6" s="13"/>
      <c r="H6" s="13"/>
      <c r="I6" s="13"/>
      <c r="J6" s="13"/>
      <c r="K6" s="183"/>
      <c r="L6" s="184"/>
      <c r="M6" s="120"/>
      <c r="N6" s="120"/>
      <c r="O6" s="120"/>
      <c r="P6" s="120"/>
      <c r="Q6" s="95" t="str">
        <f>IFERROR(IF(YES_Writing_ELA[[#This Row],[Literacy IPP]]='Writing Logic'!$E$26,"IPP",IF(OR(M6="EAL",N6="EAL",O6="EAL",P6="EAL"),"EAL",IF(M6='Writing Logic'!$A$10,AVERAGE(VLOOKUP(N6,'Writing Logic'!$A$3:$B$7,2,FALSE),VLOOKUP(O6,'Writing Logic'!$A$3:$B$7,2,FALSE),VLOOKUP(P6,'Writing Logic'!$A$3:$B$7,2,FALSE)),AVERAGE(VLOOKUP(M6,'Writing Logic'!$A$3:$B$7,2,FALSE),VLOOKUP(N6,'Writing Logic'!$A$3:$B$7,2,FALSE),VLOOKUP(O6,'Writing Logic'!$A$3:$B$7,2,FALSE),VLOOKUP(P6,'Writing Logic'!$A$3:$B$7,2,FALSE))))),"Fill All 4")</f>
        <v>Fill All 4</v>
      </c>
      <c r="R6" s="120"/>
      <c r="S6" s="120"/>
      <c r="T6" s="120"/>
      <c r="U6" s="120"/>
      <c r="V6" s="95" t="str">
        <f>IFERROR(IF(YES_Writing_ELA[[#This Row],[Literacy IPP]]='Writing Logic'!$E$26,"IPP",IF(OR(R6="EAL",S6="EAL",T6="EAL",U6="EAL"),"EAL",IF(R6='Writing Logic'!$A$10,AVERAGE(VLOOKUP(S6,'Writing Logic'!$A$3:$B$7,2,FALSE),VLOOKUP(T6,'Writing Logic'!$A$3:$B$7,2,FALSE),VLOOKUP(U6,'Writing Logic'!$A$3:$B$7,2,FALSE)),AVERAGE(VLOOKUP(R6,'Writing Logic'!$A$3:$B$7,2,FALSE),VLOOKUP(S6,'Writing Logic'!$A$3:$B$7,2,FALSE),VLOOKUP(T6,'Writing Logic'!$A$3:$B$7,2,FALSE),VLOOKUP(U6,'Writing Logic'!$A$3:$B$7,2,FALSE))))),"Fill All 4")</f>
        <v>Fill All 4</v>
      </c>
      <c r="W6" s="95" t="str">
        <f t="shared" si="0"/>
        <v/>
      </c>
      <c r="X6" s="120"/>
      <c r="Y6" s="120"/>
      <c r="Z6" s="120"/>
      <c r="AA6" s="120"/>
      <c r="AB6" s="95" t="str">
        <f>IFERROR(IF(YES_Writing_ELA[[#This Row],[Literacy IPP]]='Writing Logic'!$E$26,"IPP",IF(OR(X6="EAL",Y6="EAL",Z6="EAL",AA6="EAL"),"EAL",IF(X6='Writing Logic'!$A$10,AVERAGE(VLOOKUP(Y6,'Writing Logic'!$A$3:$B$7,2,FALSE),VLOOKUP(Z6,'Writing Logic'!$A$3:$B$7,2,FALSE),VLOOKUP(AA6,'Writing Logic'!$A$3:$B$7,2,FALSE)),AVERAGE(VLOOKUP(X6,'Writing Logic'!$A$3:$B$7,2,FALSE),VLOOKUP(Y6,'Writing Logic'!$A$3:$B$7,2,FALSE),VLOOKUP(Z6,'Writing Logic'!$A$3:$B$7,2,FALSE),VLOOKUP(AA6,'Writing Logic'!$A$3:$B$7,2,FALSE))))),"Fill All 4")</f>
        <v>Fill All 4</v>
      </c>
      <c r="AC6" s="95" t="str">
        <f t="shared" si="1"/>
        <v/>
      </c>
      <c r="AD6" s="120"/>
      <c r="AE6" s="120"/>
      <c r="AF6" s="120"/>
      <c r="AG6" s="120"/>
      <c r="AH6" s="95" t="str">
        <f>IFERROR(IF(YES_Writing_ELA[[#This Row],[Literacy IPP]]='Writing Logic'!$E$26,"IPP",IF(OR(AD6="EAL",AE6="EAL",AF6="EAL",AG6="EAL"),"EAL",IF(AD6='Writing Logic'!$A$10,AVERAGE(VLOOKUP(AE6,'Writing Logic'!$A$3:$B$7,2,FALSE),VLOOKUP(AF6,'Writing Logic'!$A$3:$B$7,2,FALSE),VLOOKUP(AG6,'Writing Logic'!$A$3:$B$7,2,FALSE)),AVERAGE(VLOOKUP(AD6,'Writing Logic'!$A$3:$B$7,2,FALSE),VLOOKUP(AE6,'Writing Logic'!$A$3:$B$7,2,FALSE),VLOOKUP(AF6,'Writing Logic'!$A$3:$B$7,2,FALSE),VLOOKUP(AG6,'Writing Logic'!$A$3:$B$7,2,FALSE))))),"Fill All 4")</f>
        <v>Fill All 4</v>
      </c>
      <c r="AI6" s="95" t="str">
        <f t="shared" si="2"/>
        <v/>
      </c>
      <c r="AJ6" s="183"/>
      <c r="AK6" s="120"/>
      <c r="AL6" s="120"/>
      <c r="AM6" s="120"/>
      <c r="AN6" s="95" t="str">
        <f>IFERROR(IF(YES_Writing_ELA[[#This Row],[Literacy IPP]]='Writing Logic'!$E$26,"IPP",IF(OR(AJ6="EAL",AK6="EAL",AL6="EAL",AM6="EAL"),"EAL",IF(AJ6='Writing Logic'!$A$10,AVERAGE(VLOOKUP(AK6,'Writing Logic'!$A$3:$B$7,2,FALSE),VLOOKUP(AL6,'Writing Logic'!$A$3:$B$7,2,FALSE),VLOOKUP(AM6,'Writing Logic'!$A$3:$B$7,2,FALSE)),AVERAGE(VLOOKUP(AJ6,'Writing Logic'!$A$3:$B$7,2,FALSE),VLOOKUP(AK6,'Writing Logic'!$A$3:$B$7,2,FALSE),VLOOKUP(AL6,'Writing Logic'!$A$3:$B$7,2,FALSE),VLOOKUP(AM6,'Writing Logic'!$A$3:$B$7,2,FALSE))))),"Fill All 4")</f>
        <v>Fill All 4</v>
      </c>
      <c r="AO6" s="95" t="str">
        <f t="shared" si="3"/>
        <v/>
      </c>
      <c r="AP6" s="120"/>
      <c r="AQ6" s="120"/>
      <c r="AR6" s="120"/>
      <c r="AS6" s="120"/>
      <c r="AT6" s="95" t="str">
        <f>IFERROR(IF(YES_Writing_ELA[[#This Row],[Literacy IPP]]='Writing Logic'!$E$26,"IPP",IF(OR(AP6="EAL",AQ6="EAL",AR6="EAL",AS6="EAL"),"EAL",IF(AP6='Writing Logic'!$A$10,AVERAGE(VLOOKUP(AQ6,'Writing Logic'!$A$3:$B$7,2,FALSE),VLOOKUP(AR6,'Writing Logic'!$A$3:$B$7,2,FALSE),VLOOKUP(AS6,'Writing Logic'!$A$3:$B$7,2,FALSE)),AVERAGE(VLOOKUP(AP6,'Writing Logic'!$A$3:$B$7,2,FALSE),VLOOKUP(AQ6,'Writing Logic'!$A$3:$B$7,2,FALSE),VLOOKUP(AR6,'Writing Logic'!$A$3:$B$7,2,FALSE),VLOOKUP(AS6,'Writing Logic'!$A$3:$B$7,2,FALSE))))),"Fill All 4")</f>
        <v>Fill All 4</v>
      </c>
      <c r="AU6" s="95" t="str">
        <f t="shared" si="4"/>
        <v/>
      </c>
    </row>
    <row r="7" spans="1:47" x14ac:dyDescent="0.25">
      <c r="A7" s="13"/>
      <c r="B7" s="13"/>
      <c r="C7" s="13"/>
      <c r="D7" s="13"/>
      <c r="E7" s="13"/>
      <c r="F7" s="13"/>
      <c r="G7" s="13"/>
      <c r="H7" s="13"/>
      <c r="I7" s="13"/>
      <c r="J7" s="13"/>
      <c r="K7" s="183"/>
      <c r="L7" s="184"/>
      <c r="M7" s="120"/>
      <c r="N7" s="120"/>
      <c r="O7" s="120"/>
      <c r="P7" s="120"/>
      <c r="Q7" s="95" t="str">
        <f>IFERROR(IF(YES_Writing_ELA[[#This Row],[Literacy IPP]]='Writing Logic'!$E$26,"IPP",IF(OR(M7="EAL",N7="EAL",O7="EAL",P7="EAL"),"EAL",IF(M7='Writing Logic'!$A$10,AVERAGE(VLOOKUP(N7,'Writing Logic'!$A$3:$B$7,2,FALSE),VLOOKUP(O7,'Writing Logic'!$A$3:$B$7,2,FALSE),VLOOKUP(P7,'Writing Logic'!$A$3:$B$7,2,FALSE)),AVERAGE(VLOOKUP(M7,'Writing Logic'!$A$3:$B$7,2,FALSE),VLOOKUP(N7,'Writing Logic'!$A$3:$B$7,2,FALSE),VLOOKUP(O7,'Writing Logic'!$A$3:$B$7,2,FALSE),VLOOKUP(P7,'Writing Logic'!$A$3:$B$7,2,FALSE))))),"Fill All 4")</f>
        <v>Fill All 4</v>
      </c>
      <c r="R7" s="120"/>
      <c r="S7" s="120"/>
      <c r="T7" s="120"/>
      <c r="U7" s="120"/>
      <c r="V7" s="95" t="str">
        <f>IFERROR(IF(YES_Writing_ELA[[#This Row],[Literacy IPP]]='Writing Logic'!$E$26,"IPP",IF(OR(R7="EAL",S7="EAL",T7="EAL",U7="EAL"),"EAL",IF(R7='Writing Logic'!$A$10,AVERAGE(VLOOKUP(S7,'Writing Logic'!$A$3:$B$7,2,FALSE),VLOOKUP(T7,'Writing Logic'!$A$3:$B$7,2,FALSE),VLOOKUP(U7,'Writing Logic'!$A$3:$B$7,2,FALSE)),AVERAGE(VLOOKUP(R7,'Writing Logic'!$A$3:$B$7,2,FALSE),VLOOKUP(S7,'Writing Logic'!$A$3:$B$7,2,FALSE),VLOOKUP(T7,'Writing Logic'!$A$3:$B$7,2,FALSE),VLOOKUP(U7,'Writing Logic'!$A$3:$B$7,2,FALSE))))),"Fill All 4")</f>
        <v>Fill All 4</v>
      </c>
      <c r="W7" s="95" t="str">
        <f t="shared" si="0"/>
        <v/>
      </c>
      <c r="X7" s="120"/>
      <c r="Y7" s="120"/>
      <c r="Z7" s="120"/>
      <c r="AA7" s="120"/>
      <c r="AB7" s="95" t="str">
        <f>IFERROR(IF(YES_Writing_ELA[[#This Row],[Literacy IPP]]='Writing Logic'!$E$26,"IPP",IF(OR(X7="EAL",Y7="EAL",Z7="EAL",AA7="EAL"),"EAL",IF(X7='Writing Logic'!$A$10,AVERAGE(VLOOKUP(Y7,'Writing Logic'!$A$3:$B$7,2,FALSE),VLOOKUP(Z7,'Writing Logic'!$A$3:$B$7,2,FALSE),VLOOKUP(AA7,'Writing Logic'!$A$3:$B$7,2,FALSE)),AVERAGE(VLOOKUP(X7,'Writing Logic'!$A$3:$B$7,2,FALSE),VLOOKUP(Y7,'Writing Logic'!$A$3:$B$7,2,FALSE),VLOOKUP(Z7,'Writing Logic'!$A$3:$B$7,2,FALSE),VLOOKUP(AA7,'Writing Logic'!$A$3:$B$7,2,FALSE))))),"Fill All 4")</f>
        <v>Fill All 4</v>
      </c>
      <c r="AC7" s="95" t="str">
        <f t="shared" si="1"/>
        <v/>
      </c>
      <c r="AD7" s="120"/>
      <c r="AE7" s="120"/>
      <c r="AF7" s="120"/>
      <c r="AG7" s="120"/>
      <c r="AH7" s="95" t="str">
        <f>IFERROR(IF(YES_Writing_ELA[[#This Row],[Literacy IPP]]='Writing Logic'!$E$26,"IPP",IF(OR(AD7="EAL",AE7="EAL",AF7="EAL",AG7="EAL"),"EAL",IF(AD7='Writing Logic'!$A$10,AVERAGE(VLOOKUP(AE7,'Writing Logic'!$A$3:$B$7,2,FALSE),VLOOKUP(AF7,'Writing Logic'!$A$3:$B$7,2,FALSE),VLOOKUP(AG7,'Writing Logic'!$A$3:$B$7,2,FALSE)),AVERAGE(VLOOKUP(AD7,'Writing Logic'!$A$3:$B$7,2,FALSE),VLOOKUP(AE7,'Writing Logic'!$A$3:$B$7,2,FALSE),VLOOKUP(AF7,'Writing Logic'!$A$3:$B$7,2,FALSE),VLOOKUP(AG7,'Writing Logic'!$A$3:$B$7,2,FALSE))))),"Fill All 4")</f>
        <v>Fill All 4</v>
      </c>
      <c r="AI7" s="95" t="str">
        <f t="shared" si="2"/>
        <v/>
      </c>
      <c r="AJ7" s="183"/>
      <c r="AK7" s="120"/>
      <c r="AL7" s="120"/>
      <c r="AM7" s="120"/>
      <c r="AN7" s="95" t="str">
        <f>IFERROR(IF(YES_Writing_ELA[[#This Row],[Literacy IPP]]='Writing Logic'!$E$26,"IPP",IF(OR(AJ7="EAL",AK7="EAL",AL7="EAL",AM7="EAL"),"EAL",IF(AJ7='Writing Logic'!$A$10,AVERAGE(VLOOKUP(AK7,'Writing Logic'!$A$3:$B$7,2,FALSE),VLOOKUP(AL7,'Writing Logic'!$A$3:$B$7,2,FALSE),VLOOKUP(AM7,'Writing Logic'!$A$3:$B$7,2,FALSE)),AVERAGE(VLOOKUP(AJ7,'Writing Logic'!$A$3:$B$7,2,FALSE),VLOOKUP(AK7,'Writing Logic'!$A$3:$B$7,2,FALSE),VLOOKUP(AL7,'Writing Logic'!$A$3:$B$7,2,FALSE),VLOOKUP(AM7,'Writing Logic'!$A$3:$B$7,2,FALSE))))),"Fill All 4")</f>
        <v>Fill All 4</v>
      </c>
      <c r="AO7" s="95" t="str">
        <f t="shared" si="3"/>
        <v/>
      </c>
      <c r="AP7" s="120"/>
      <c r="AQ7" s="120"/>
      <c r="AR7" s="120"/>
      <c r="AS7" s="120"/>
      <c r="AT7" s="95" t="str">
        <f>IFERROR(IF(YES_Writing_ELA[[#This Row],[Literacy IPP]]='Writing Logic'!$E$26,"IPP",IF(OR(AP7="EAL",AQ7="EAL",AR7="EAL",AS7="EAL"),"EAL",IF(AP7='Writing Logic'!$A$10,AVERAGE(VLOOKUP(AQ7,'Writing Logic'!$A$3:$B$7,2,FALSE),VLOOKUP(AR7,'Writing Logic'!$A$3:$B$7,2,FALSE),VLOOKUP(AS7,'Writing Logic'!$A$3:$B$7,2,FALSE)),AVERAGE(VLOOKUP(AP7,'Writing Logic'!$A$3:$B$7,2,FALSE),VLOOKUP(AQ7,'Writing Logic'!$A$3:$B$7,2,FALSE),VLOOKUP(AR7,'Writing Logic'!$A$3:$B$7,2,FALSE),VLOOKUP(AS7,'Writing Logic'!$A$3:$B$7,2,FALSE))))),"Fill All 4")</f>
        <v>Fill All 4</v>
      </c>
      <c r="AU7" s="95" t="str">
        <f t="shared" si="4"/>
        <v/>
      </c>
    </row>
    <row r="8" spans="1:47" x14ac:dyDescent="0.25">
      <c r="A8" s="13"/>
      <c r="B8" s="13"/>
      <c r="C8" s="13"/>
      <c r="D8" s="13"/>
      <c r="E8" s="13"/>
      <c r="F8" s="13"/>
      <c r="G8" s="13"/>
      <c r="H8" s="13"/>
      <c r="I8" s="13"/>
      <c r="J8" s="13"/>
      <c r="K8" s="183"/>
      <c r="L8" s="184"/>
      <c r="M8" s="120"/>
      <c r="N8" s="120"/>
      <c r="O8" s="120"/>
      <c r="P8" s="120"/>
      <c r="Q8" s="95" t="str">
        <f>IFERROR(IF(YES_Writing_ELA[[#This Row],[Literacy IPP]]='Writing Logic'!$E$26,"IPP",IF(OR(M8="EAL",N8="EAL",O8="EAL",P8="EAL"),"EAL",IF(M8='Writing Logic'!$A$10,AVERAGE(VLOOKUP(N8,'Writing Logic'!$A$3:$B$7,2,FALSE),VLOOKUP(O8,'Writing Logic'!$A$3:$B$7,2,FALSE),VLOOKUP(P8,'Writing Logic'!$A$3:$B$7,2,FALSE)),AVERAGE(VLOOKUP(M8,'Writing Logic'!$A$3:$B$7,2,FALSE),VLOOKUP(N8,'Writing Logic'!$A$3:$B$7,2,FALSE),VLOOKUP(O8,'Writing Logic'!$A$3:$B$7,2,FALSE),VLOOKUP(P8,'Writing Logic'!$A$3:$B$7,2,FALSE))))),"Fill All 4")</f>
        <v>Fill All 4</v>
      </c>
      <c r="R8" s="120"/>
      <c r="S8" s="120"/>
      <c r="T8" s="120"/>
      <c r="U8" s="120"/>
      <c r="V8" s="95" t="str">
        <f>IFERROR(IF(YES_Writing_ELA[[#This Row],[Literacy IPP]]='Writing Logic'!$E$26,"IPP",IF(OR(R8="EAL",S8="EAL",T8="EAL",U8="EAL"),"EAL",IF(R8='Writing Logic'!$A$10,AVERAGE(VLOOKUP(S8,'Writing Logic'!$A$3:$B$7,2,FALSE),VLOOKUP(T8,'Writing Logic'!$A$3:$B$7,2,FALSE),VLOOKUP(U8,'Writing Logic'!$A$3:$B$7,2,FALSE)),AVERAGE(VLOOKUP(R8,'Writing Logic'!$A$3:$B$7,2,FALSE),VLOOKUP(S8,'Writing Logic'!$A$3:$B$7,2,FALSE),VLOOKUP(T8,'Writing Logic'!$A$3:$B$7,2,FALSE),VLOOKUP(U8,'Writing Logic'!$A$3:$B$7,2,FALSE))))),"Fill All 4")</f>
        <v>Fill All 4</v>
      </c>
      <c r="W8" s="95" t="str">
        <f t="shared" si="0"/>
        <v/>
      </c>
      <c r="X8" s="120"/>
      <c r="Y8" s="120"/>
      <c r="Z8" s="120"/>
      <c r="AA8" s="120"/>
      <c r="AB8" s="95" t="str">
        <f>IFERROR(IF(YES_Writing_ELA[[#This Row],[Literacy IPP]]='Writing Logic'!$E$26,"IPP",IF(OR(X8="EAL",Y8="EAL",Z8="EAL",AA8="EAL"),"EAL",IF(X8='Writing Logic'!$A$10,AVERAGE(VLOOKUP(Y8,'Writing Logic'!$A$3:$B$7,2,FALSE),VLOOKUP(Z8,'Writing Logic'!$A$3:$B$7,2,FALSE),VLOOKUP(AA8,'Writing Logic'!$A$3:$B$7,2,FALSE)),AVERAGE(VLOOKUP(X8,'Writing Logic'!$A$3:$B$7,2,FALSE),VLOOKUP(Y8,'Writing Logic'!$A$3:$B$7,2,FALSE),VLOOKUP(Z8,'Writing Logic'!$A$3:$B$7,2,FALSE),VLOOKUP(AA8,'Writing Logic'!$A$3:$B$7,2,FALSE))))),"Fill All 4")</f>
        <v>Fill All 4</v>
      </c>
      <c r="AC8" s="95" t="str">
        <f t="shared" si="1"/>
        <v/>
      </c>
      <c r="AD8" s="120"/>
      <c r="AE8" s="120"/>
      <c r="AF8" s="120"/>
      <c r="AG8" s="120"/>
      <c r="AH8" s="95" t="str">
        <f>IFERROR(IF(YES_Writing_ELA[[#This Row],[Literacy IPP]]='Writing Logic'!$E$26,"IPP",IF(OR(AD8="EAL",AE8="EAL",AF8="EAL",AG8="EAL"),"EAL",IF(AD8='Writing Logic'!$A$10,AVERAGE(VLOOKUP(AE8,'Writing Logic'!$A$3:$B$7,2,FALSE),VLOOKUP(AF8,'Writing Logic'!$A$3:$B$7,2,FALSE),VLOOKUP(AG8,'Writing Logic'!$A$3:$B$7,2,FALSE)),AVERAGE(VLOOKUP(AD8,'Writing Logic'!$A$3:$B$7,2,FALSE),VLOOKUP(AE8,'Writing Logic'!$A$3:$B$7,2,FALSE),VLOOKUP(AF8,'Writing Logic'!$A$3:$B$7,2,FALSE),VLOOKUP(AG8,'Writing Logic'!$A$3:$B$7,2,FALSE))))),"Fill All 4")</f>
        <v>Fill All 4</v>
      </c>
      <c r="AI8" s="95" t="str">
        <f t="shared" si="2"/>
        <v/>
      </c>
      <c r="AJ8" s="183"/>
      <c r="AK8" s="120"/>
      <c r="AL8" s="120"/>
      <c r="AM8" s="120"/>
      <c r="AN8" s="95" t="str">
        <f>IFERROR(IF(YES_Writing_ELA[[#This Row],[Literacy IPP]]='Writing Logic'!$E$26,"IPP",IF(OR(AJ8="EAL",AK8="EAL",AL8="EAL",AM8="EAL"),"EAL",IF(AJ8='Writing Logic'!$A$10,AVERAGE(VLOOKUP(AK8,'Writing Logic'!$A$3:$B$7,2,FALSE),VLOOKUP(AL8,'Writing Logic'!$A$3:$B$7,2,FALSE),VLOOKUP(AM8,'Writing Logic'!$A$3:$B$7,2,FALSE)),AVERAGE(VLOOKUP(AJ8,'Writing Logic'!$A$3:$B$7,2,FALSE),VLOOKUP(AK8,'Writing Logic'!$A$3:$B$7,2,FALSE),VLOOKUP(AL8,'Writing Logic'!$A$3:$B$7,2,FALSE),VLOOKUP(AM8,'Writing Logic'!$A$3:$B$7,2,FALSE))))),"Fill All 4")</f>
        <v>Fill All 4</v>
      </c>
      <c r="AO8" s="95" t="str">
        <f t="shared" si="3"/>
        <v/>
      </c>
      <c r="AP8" s="120"/>
      <c r="AQ8" s="120"/>
      <c r="AR8" s="120"/>
      <c r="AS8" s="120"/>
      <c r="AT8" s="95" t="str">
        <f>IFERROR(IF(YES_Writing_ELA[[#This Row],[Literacy IPP]]='Writing Logic'!$E$26,"IPP",IF(OR(AP8="EAL",AQ8="EAL",AR8="EAL",AS8="EAL"),"EAL",IF(AP8='Writing Logic'!$A$10,AVERAGE(VLOOKUP(AQ8,'Writing Logic'!$A$3:$B$7,2,FALSE),VLOOKUP(AR8,'Writing Logic'!$A$3:$B$7,2,FALSE),VLOOKUP(AS8,'Writing Logic'!$A$3:$B$7,2,FALSE)),AVERAGE(VLOOKUP(AP8,'Writing Logic'!$A$3:$B$7,2,FALSE),VLOOKUP(AQ8,'Writing Logic'!$A$3:$B$7,2,FALSE),VLOOKUP(AR8,'Writing Logic'!$A$3:$B$7,2,FALSE),VLOOKUP(AS8,'Writing Logic'!$A$3:$B$7,2,FALSE))))),"Fill All 4")</f>
        <v>Fill All 4</v>
      </c>
      <c r="AU8" s="95" t="str">
        <f t="shared" si="4"/>
        <v/>
      </c>
    </row>
    <row r="9" spans="1:47" x14ac:dyDescent="0.25">
      <c r="A9" s="13"/>
      <c r="B9" s="13"/>
      <c r="C9" s="13"/>
      <c r="D9" s="13"/>
      <c r="E9" s="13"/>
      <c r="F9" s="13"/>
      <c r="G9" s="13"/>
      <c r="H9" s="13"/>
      <c r="I9" s="13"/>
      <c r="J9" s="13"/>
      <c r="K9" s="183"/>
      <c r="L9" s="184"/>
      <c r="M9" s="120"/>
      <c r="N9" s="120"/>
      <c r="O9" s="120"/>
      <c r="P9" s="120"/>
      <c r="Q9" s="95" t="str">
        <f>IFERROR(IF(YES_Writing_ELA[[#This Row],[Literacy IPP]]='Writing Logic'!$E$26,"IPP",IF(OR(M9="EAL",N9="EAL",O9="EAL",P9="EAL"),"EAL",IF(M9='Writing Logic'!$A$10,AVERAGE(VLOOKUP(N9,'Writing Logic'!$A$3:$B$7,2,FALSE),VLOOKUP(O9,'Writing Logic'!$A$3:$B$7,2,FALSE),VLOOKUP(P9,'Writing Logic'!$A$3:$B$7,2,FALSE)),AVERAGE(VLOOKUP(M9,'Writing Logic'!$A$3:$B$7,2,FALSE),VLOOKUP(N9,'Writing Logic'!$A$3:$B$7,2,FALSE),VLOOKUP(O9,'Writing Logic'!$A$3:$B$7,2,FALSE),VLOOKUP(P9,'Writing Logic'!$A$3:$B$7,2,FALSE))))),"Fill All 4")</f>
        <v>Fill All 4</v>
      </c>
      <c r="R9" s="120"/>
      <c r="S9" s="120"/>
      <c r="T9" s="120"/>
      <c r="U9" s="120"/>
      <c r="V9" s="95" t="str">
        <f>IFERROR(IF(YES_Writing_ELA[[#This Row],[Literacy IPP]]='Writing Logic'!$E$26,"IPP",IF(OR(R9="EAL",S9="EAL",T9="EAL",U9="EAL"),"EAL",IF(R9='Writing Logic'!$A$10,AVERAGE(VLOOKUP(S9,'Writing Logic'!$A$3:$B$7,2,FALSE),VLOOKUP(T9,'Writing Logic'!$A$3:$B$7,2,FALSE),VLOOKUP(U9,'Writing Logic'!$A$3:$B$7,2,FALSE)),AVERAGE(VLOOKUP(R9,'Writing Logic'!$A$3:$B$7,2,FALSE),VLOOKUP(S9,'Writing Logic'!$A$3:$B$7,2,FALSE),VLOOKUP(T9,'Writing Logic'!$A$3:$B$7,2,FALSE),VLOOKUP(U9,'Writing Logic'!$A$3:$B$7,2,FALSE))))),"Fill All 4")</f>
        <v>Fill All 4</v>
      </c>
      <c r="W9" s="95" t="str">
        <f t="shared" si="0"/>
        <v/>
      </c>
      <c r="X9" s="120"/>
      <c r="Y9" s="120"/>
      <c r="Z9" s="120"/>
      <c r="AA9" s="120"/>
      <c r="AB9" s="95" t="str">
        <f>IFERROR(IF(YES_Writing_ELA[[#This Row],[Literacy IPP]]='Writing Logic'!$E$26,"IPP",IF(OR(X9="EAL",Y9="EAL",Z9="EAL",AA9="EAL"),"EAL",IF(X9='Writing Logic'!$A$10,AVERAGE(VLOOKUP(Y9,'Writing Logic'!$A$3:$B$7,2,FALSE),VLOOKUP(Z9,'Writing Logic'!$A$3:$B$7,2,FALSE),VLOOKUP(AA9,'Writing Logic'!$A$3:$B$7,2,FALSE)),AVERAGE(VLOOKUP(X9,'Writing Logic'!$A$3:$B$7,2,FALSE),VLOOKUP(Y9,'Writing Logic'!$A$3:$B$7,2,FALSE),VLOOKUP(Z9,'Writing Logic'!$A$3:$B$7,2,FALSE),VLOOKUP(AA9,'Writing Logic'!$A$3:$B$7,2,FALSE))))),"Fill All 4")</f>
        <v>Fill All 4</v>
      </c>
      <c r="AC9" s="95" t="str">
        <f t="shared" si="1"/>
        <v/>
      </c>
      <c r="AD9" s="120"/>
      <c r="AE9" s="120"/>
      <c r="AF9" s="120"/>
      <c r="AG9" s="120"/>
      <c r="AH9" s="95" t="str">
        <f>IFERROR(IF(YES_Writing_ELA[[#This Row],[Literacy IPP]]='Writing Logic'!$E$26,"IPP",IF(OR(AD9="EAL",AE9="EAL",AF9="EAL",AG9="EAL"),"EAL",IF(AD9='Writing Logic'!$A$10,AVERAGE(VLOOKUP(AE9,'Writing Logic'!$A$3:$B$7,2,FALSE),VLOOKUP(AF9,'Writing Logic'!$A$3:$B$7,2,FALSE),VLOOKUP(AG9,'Writing Logic'!$A$3:$B$7,2,FALSE)),AVERAGE(VLOOKUP(AD9,'Writing Logic'!$A$3:$B$7,2,FALSE),VLOOKUP(AE9,'Writing Logic'!$A$3:$B$7,2,FALSE),VLOOKUP(AF9,'Writing Logic'!$A$3:$B$7,2,FALSE),VLOOKUP(AG9,'Writing Logic'!$A$3:$B$7,2,FALSE))))),"Fill All 4")</f>
        <v>Fill All 4</v>
      </c>
      <c r="AI9" s="95" t="str">
        <f t="shared" si="2"/>
        <v/>
      </c>
      <c r="AJ9" s="183"/>
      <c r="AK9" s="120"/>
      <c r="AL9" s="120"/>
      <c r="AM9" s="120"/>
      <c r="AN9" s="95" t="str">
        <f>IFERROR(IF(YES_Writing_ELA[[#This Row],[Literacy IPP]]='Writing Logic'!$E$26,"IPP",IF(OR(AJ9="EAL",AK9="EAL",AL9="EAL",AM9="EAL"),"EAL",IF(AJ9='Writing Logic'!$A$10,AVERAGE(VLOOKUP(AK9,'Writing Logic'!$A$3:$B$7,2,FALSE),VLOOKUP(AL9,'Writing Logic'!$A$3:$B$7,2,FALSE),VLOOKUP(AM9,'Writing Logic'!$A$3:$B$7,2,FALSE)),AVERAGE(VLOOKUP(AJ9,'Writing Logic'!$A$3:$B$7,2,FALSE),VLOOKUP(AK9,'Writing Logic'!$A$3:$B$7,2,FALSE),VLOOKUP(AL9,'Writing Logic'!$A$3:$B$7,2,FALSE),VLOOKUP(AM9,'Writing Logic'!$A$3:$B$7,2,FALSE))))),"Fill All 4")</f>
        <v>Fill All 4</v>
      </c>
      <c r="AO9" s="95" t="str">
        <f t="shared" si="3"/>
        <v/>
      </c>
      <c r="AP9" s="120"/>
      <c r="AQ9" s="120"/>
      <c r="AR9" s="120"/>
      <c r="AS9" s="120"/>
      <c r="AT9" s="95" t="str">
        <f>IFERROR(IF(YES_Writing_ELA[[#This Row],[Literacy IPP]]='Writing Logic'!$E$26,"IPP",IF(OR(AP9="EAL",AQ9="EAL",AR9="EAL",AS9="EAL"),"EAL",IF(AP9='Writing Logic'!$A$10,AVERAGE(VLOOKUP(AQ9,'Writing Logic'!$A$3:$B$7,2,FALSE),VLOOKUP(AR9,'Writing Logic'!$A$3:$B$7,2,FALSE),VLOOKUP(AS9,'Writing Logic'!$A$3:$B$7,2,FALSE)),AVERAGE(VLOOKUP(AP9,'Writing Logic'!$A$3:$B$7,2,FALSE),VLOOKUP(AQ9,'Writing Logic'!$A$3:$B$7,2,FALSE),VLOOKUP(AR9,'Writing Logic'!$A$3:$B$7,2,FALSE),VLOOKUP(AS9,'Writing Logic'!$A$3:$B$7,2,FALSE))))),"Fill All 4")</f>
        <v>Fill All 4</v>
      </c>
      <c r="AU9" s="95" t="str">
        <f t="shared" si="4"/>
        <v/>
      </c>
    </row>
    <row r="10" spans="1:47" x14ac:dyDescent="0.25">
      <c r="A10" s="13"/>
      <c r="B10" s="13"/>
      <c r="C10" s="13"/>
      <c r="D10" s="13"/>
      <c r="E10" s="13"/>
      <c r="F10" s="13"/>
      <c r="G10" s="13"/>
      <c r="H10" s="13"/>
      <c r="I10" s="13"/>
      <c r="J10" s="13"/>
      <c r="K10" s="183"/>
      <c r="L10" s="184"/>
      <c r="M10" s="120"/>
      <c r="N10" s="120"/>
      <c r="O10" s="120"/>
      <c r="P10" s="120"/>
      <c r="Q10" s="95" t="str">
        <f>IFERROR(IF(YES_Writing_ELA[[#This Row],[Literacy IPP]]='Writing Logic'!$E$26,"IPP",IF(OR(M10="EAL",N10="EAL",O10="EAL",P10="EAL"),"EAL",IF(M10='Writing Logic'!$A$10,AVERAGE(VLOOKUP(N10,'Writing Logic'!$A$3:$B$7,2,FALSE),VLOOKUP(O10,'Writing Logic'!$A$3:$B$7,2,FALSE),VLOOKUP(P10,'Writing Logic'!$A$3:$B$7,2,FALSE)),AVERAGE(VLOOKUP(M10,'Writing Logic'!$A$3:$B$7,2,FALSE),VLOOKUP(N10,'Writing Logic'!$A$3:$B$7,2,FALSE),VLOOKUP(O10,'Writing Logic'!$A$3:$B$7,2,FALSE),VLOOKUP(P10,'Writing Logic'!$A$3:$B$7,2,FALSE))))),"Fill All 4")</f>
        <v>Fill All 4</v>
      </c>
      <c r="R10" s="120"/>
      <c r="S10" s="120"/>
      <c r="T10" s="120"/>
      <c r="U10" s="120"/>
      <c r="V10" s="95" t="str">
        <f>IFERROR(IF(YES_Writing_ELA[[#This Row],[Literacy IPP]]='Writing Logic'!$E$26,"IPP",IF(OR(R10="EAL",S10="EAL",T10="EAL",U10="EAL"),"EAL",IF(R10='Writing Logic'!$A$10,AVERAGE(VLOOKUP(S10,'Writing Logic'!$A$3:$B$7,2,FALSE),VLOOKUP(T10,'Writing Logic'!$A$3:$B$7,2,FALSE),VLOOKUP(U10,'Writing Logic'!$A$3:$B$7,2,FALSE)),AVERAGE(VLOOKUP(R10,'Writing Logic'!$A$3:$B$7,2,FALSE),VLOOKUP(S10,'Writing Logic'!$A$3:$B$7,2,FALSE),VLOOKUP(T10,'Writing Logic'!$A$3:$B$7,2,FALSE),VLOOKUP(U10,'Writing Logic'!$A$3:$B$7,2,FALSE))))),"Fill All 4")</f>
        <v>Fill All 4</v>
      </c>
      <c r="W10" s="95" t="str">
        <f t="shared" si="0"/>
        <v/>
      </c>
      <c r="X10" s="120"/>
      <c r="Y10" s="120"/>
      <c r="Z10" s="120"/>
      <c r="AA10" s="120"/>
      <c r="AB10" s="95" t="str">
        <f>IFERROR(IF(YES_Writing_ELA[[#This Row],[Literacy IPP]]='Writing Logic'!$E$26,"IPP",IF(OR(X10="EAL",Y10="EAL",Z10="EAL",AA10="EAL"),"EAL",IF(X10='Writing Logic'!$A$10,AVERAGE(VLOOKUP(Y10,'Writing Logic'!$A$3:$B$7,2,FALSE),VLOOKUP(Z10,'Writing Logic'!$A$3:$B$7,2,FALSE),VLOOKUP(AA10,'Writing Logic'!$A$3:$B$7,2,FALSE)),AVERAGE(VLOOKUP(X10,'Writing Logic'!$A$3:$B$7,2,FALSE),VLOOKUP(Y10,'Writing Logic'!$A$3:$B$7,2,FALSE),VLOOKUP(Z10,'Writing Logic'!$A$3:$B$7,2,FALSE),VLOOKUP(AA10,'Writing Logic'!$A$3:$B$7,2,FALSE))))),"Fill All 4")</f>
        <v>Fill All 4</v>
      </c>
      <c r="AC10" s="95" t="str">
        <f t="shared" si="1"/>
        <v/>
      </c>
      <c r="AD10" s="120"/>
      <c r="AE10" s="120"/>
      <c r="AF10" s="120"/>
      <c r="AG10" s="120"/>
      <c r="AH10" s="95" t="str">
        <f>IFERROR(IF(YES_Writing_ELA[[#This Row],[Literacy IPP]]='Writing Logic'!$E$26,"IPP",IF(OR(AD10="EAL",AE10="EAL",AF10="EAL",AG10="EAL"),"EAL",IF(AD10='Writing Logic'!$A$10,AVERAGE(VLOOKUP(AE10,'Writing Logic'!$A$3:$B$7,2,FALSE),VLOOKUP(AF10,'Writing Logic'!$A$3:$B$7,2,FALSE),VLOOKUP(AG10,'Writing Logic'!$A$3:$B$7,2,FALSE)),AVERAGE(VLOOKUP(AD10,'Writing Logic'!$A$3:$B$7,2,FALSE),VLOOKUP(AE10,'Writing Logic'!$A$3:$B$7,2,FALSE),VLOOKUP(AF10,'Writing Logic'!$A$3:$B$7,2,FALSE),VLOOKUP(AG10,'Writing Logic'!$A$3:$B$7,2,FALSE))))),"Fill All 4")</f>
        <v>Fill All 4</v>
      </c>
      <c r="AI10" s="95" t="str">
        <f t="shared" si="2"/>
        <v/>
      </c>
      <c r="AJ10" s="183"/>
      <c r="AK10" s="120"/>
      <c r="AL10" s="120"/>
      <c r="AM10" s="120"/>
      <c r="AN10" s="95" t="str">
        <f>IFERROR(IF(YES_Writing_ELA[[#This Row],[Literacy IPP]]='Writing Logic'!$E$26,"IPP",IF(OR(AJ10="EAL",AK10="EAL",AL10="EAL",AM10="EAL"),"EAL",IF(AJ10='Writing Logic'!$A$10,AVERAGE(VLOOKUP(AK10,'Writing Logic'!$A$3:$B$7,2,FALSE),VLOOKUP(AL10,'Writing Logic'!$A$3:$B$7,2,FALSE),VLOOKUP(AM10,'Writing Logic'!$A$3:$B$7,2,FALSE)),AVERAGE(VLOOKUP(AJ10,'Writing Logic'!$A$3:$B$7,2,FALSE),VLOOKUP(AK10,'Writing Logic'!$A$3:$B$7,2,FALSE),VLOOKUP(AL10,'Writing Logic'!$A$3:$B$7,2,FALSE),VLOOKUP(AM10,'Writing Logic'!$A$3:$B$7,2,FALSE))))),"Fill All 4")</f>
        <v>Fill All 4</v>
      </c>
      <c r="AO10" s="95" t="str">
        <f t="shared" si="3"/>
        <v/>
      </c>
      <c r="AP10" s="120"/>
      <c r="AQ10" s="120"/>
      <c r="AR10" s="120"/>
      <c r="AS10" s="120"/>
      <c r="AT10" s="95" t="str">
        <f>IFERROR(IF(YES_Writing_ELA[[#This Row],[Literacy IPP]]='Writing Logic'!$E$26,"IPP",IF(OR(AP10="EAL",AQ10="EAL",AR10="EAL",AS10="EAL"),"EAL",IF(AP10='Writing Logic'!$A$10,AVERAGE(VLOOKUP(AQ10,'Writing Logic'!$A$3:$B$7,2,FALSE),VLOOKUP(AR10,'Writing Logic'!$A$3:$B$7,2,FALSE),VLOOKUP(AS10,'Writing Logic'!$A$3:$B$7,2,FALSE)),AVERAGE(VLOOKUP(AP10,'Writing Logic'!$A$3:$B$7,2,FALSE),VLOOKUP(AQ10,'Writing Logic'!$A$3:$B$7,2,FALSE),VLOOKUP(AR10,'Writing Logic'!$A$3:$B$7,2,FALSE),VLOOKUP(AS10,'Writing Logic'!$A$3:$B$7,2,FALSE))))),"Fill All 4")</f>
        <v>Fill All 4</v>
      </c>
      <c r="AU10" s="95" t="str">
        <f t="shared" si="4"/>
        <v/>
      </c>
    </row>
    <row r="11" spans="1:47" x14ac:dyDescent="0.25">
      <c r="A11" s="13"/>
      <c r="B11" s="13"/>
      <c r="C11" s="13"/>
      <c r="D11" s="13"/>
      <c r="E11" s="13"/>
      <c r="F11" s="13"/>
      <c r="G11" s="13"/>
      <c r="H11" s="13"/>
      <c r="I11" s="13"/>
      <c r="J11" s="13"/>
      <c r="K11" s="183"/>
      <c r="L11" s="184"/>
      <c r="M11" s="120"/>
      <c r="N11" s="120"/>
      <c r="O11" s="120"/>
      <c r="P11" s="120"/>
      <c r="Q11" s="95" t="str">
        <f>IFERROR(IF(YES_Writing_ELA[[#This Row],[Literacy IPP]]='Writing Logic'!$E$26,"IPP",IF(OR(M11="EAL",N11="EAL",O11="EAL",P11="EAL"),"EAL",IF(M11='Writing Logic'!$A$10,AVERAGE(VLOOKUP(N11,'Writing Logic'!$A$3:$B$7,2,FALSE),VLOOKUP(O11,'Writing Logic'!$A$3:$B$7,2,FALSE),VLOOKUP(P11,'Writing Logic'!$A$3:$B$7,2,FALSE)),AVERAGE(VLOOKUP(M11,'Writing Logic'!$A$3:$B$7,2,FALSE),VLOOKUP(N11,'Writing Logic'!$A$3:$B$7,2,FALSE),VLOOKUP(O11,'Writing Logic'!$A$3:$B$7,2,FALSE),VLOOKUP(P11,'Writing Logic'!$A$3:$B$7,2,FALSE))))),"Fill All 4")</f>
        <v>Fill All 4</v>
      </c>
      <c r="R11" s="120"/>
      <c r="S11" s="120"/>
      <c r="T11" s="120"/>
      <c r="U11" s="120"/>
      <c r="V11" s="95" t="str">
        <f>IFERROR(IF(YES_Writing_ELA[[#This Row],[Literacy IPP]]='Writing Logic'!$E$26,"IPP",IF(OR(R11="EAL",S11="EAL",T11="EAL",U11="EAL"),"EAL",IF(R11='Writing Logic'!$A$10,AVERAGE(VLOOKUP(S11,'Writing Logic'!$A$3:$B$7,2,FALSE),VLOOKUP(T11,'Writing Logic'!$A$3:$B$7,2,FALSE),VLOOKUP(U11,'Writing Logic'!$A$3:$B$7,2,FALSE)),AVERAGE(VLOOKUP(R11,'Writing Logic'!$A$3:$B$7,2,FALSE),VLOOKUP(S11,'Writing Logic'!$A$3:$B$7,2,FALSE),VLOOKUP(T11,'Writing Logic'!$A$3:$B$7,2,FALSE),VLOOKUP(U11,'Writing Logic'!$A$3:$B$7,2,FALSE))))),"Fill All 4")</f>
        <v>Fill All 4</v>
      </c>
      <c r="W11" s="95" t="str">
        <f t="shared" si="0"/>
        <v/>
      </c>
      <c r="X11" s="120"/>
      <c r="Y11" s="120"/>
      <c r="Z11" s="120"/>
      <c r="AA11" s="120"/>
      <c r="AB11" s="95" t="str">
        <f>IFERROR(IF(YES_Writing_ELA[[#This Row],[Literacy IPP]]='Writing Logic'!$E$26,"IPP",IF(OR(X11="EAL",Y11="EAL",Z11="EAL",AA11="EAL"),"EAL",IF(X11='Writing Logic'!$A$10,AVERAGE(VLOOKUP(Y11,'Writing Logic'!$A$3:$B$7,2,FALSE),VLOOKUP(Z11,'Writing Logic'!$A$3:$B$7,2,FALSE),VLOOKUP(AA11,'Writing Logic'!$A$3:$B$7,2,FALSE)),AVERAGE(VLOOKUP(X11,'Writing Logic'!$A$3:$B$7,2,FALSE),VLOOKUP(Y11,'Writing Logic'!$A$3:$B$7,2,FALSE),VLOOKUP(Z11,'Writing Logic'!$A$3:$B$7,2,FALSE),VLOOKUP(AA11,'Writing Logic'!$A$3:$B$7,2,FALSE))))),"Fill All 4")</f>
        <v>Fill All 4</v>
      </c>
      <c r="AC11" s="95" t="str">
        <f t="shared" si="1"/>
        <v/>
      </c>
      <c r="AD11" s="120"/>
      <c r="AE11" s="120"/>
      <c r="AF11" s="120"/>
      <c r="AG11" s="120"/>
      <c r="AH11" s="95" t="str">
        <f>IFERROR(IF(YES_Writing_ELA[[#This Row],[Literacy IPP]]='Writing Logic'!$E$26,"IPP",IF(OR(AD11="EAL",AE11="EAL",AF11="EAL",AG11="EAL"),"EAL",IF(AD11='Writing Logic'!$A$10,AVERAGE(VLOOKUP(AE11,'Writing Logic'!$A$3:$B$7,2,FALSE),VLOOKUP(AF11,'Writing Logic'!$A$3:$B$7,2,FALSE),VLOOKUP(AG11,'Writing Logic'!$A$3:$B$7,2,FALSE)),AVERAGE(VLOOKUP(AD11,'Writing Logic'!$A$3:$B$7,2,FALSE),VLOOKUP(AE11,'Writing Logic'!$A$3:$B$7,2,FALSE),VLOOKUP(AF11,'Writing Logic'!$A$3:$B$7,2,FALSE),VLOOKUP(AG11,'Writing Logic'!$A$3:$B$7,2,FALSE))))),"Fill All 4")</f>
        <v>Fill All 4</v>
      </c>
      <c r="AI11" s="95" t="str">
        <f t="shared" si="2"/>
        <v/>
      </c>
      <c r="AJ11" s="183"/>
      <c r="AK11" s="120"/>
      <c r="AL11" s="120"/>
      <c r="AM11" s="120"/>
      <c r="AN11" s="95" t="str">
        <f>IFERROR(IF(YES_Writing_ELA[[#This Row],[Literacy IPP]]='Writing Logic'!$E$26,"IPP",IF(OR(AJ11="EAL",AK11="EAL",AL11="EAL",AM11="EAL"),"EAL",IF(AJ11='Writing Logic'!$A$10,AVERAGE(VLOOKUP(AK11,'Writing Logic'!$A$3:$B$7,2,FALSE),VLOOKUP(AL11,'Writing Logic'!$A$3:$B$7,2,FALSE),VLOOKUP(AM11,'Writing Logic'!$A$3:$B$7,2,FALSE)),AVERAGE(VLOOKUP(AJ11,'Writing Logic'!$A$3:$B$7,2,FALSE),VLOOKUP(AK11,'Writing Logic'!$A$3:$B$7,2,FALSE),VLOOKUP(AL11,'Writing Logic'!$A$3:$B$7,2,FALSE),VLOOKUP(AM11,'Writing Logic'!$A$3:$B$7,2,FALSE))))),"Fill All 4")</f>
        <v>Fill All 4</v>
      </c>
      <c r="AO11" s="95" t="str">
        <f t="shared" si="3"/>
        <v/>
      </c>
      <c r="AP11" s="120"/>
      <c r="AQ11" s="120"/>
      <c r="AR11" s="120"/>
      <c r="AS11" s="120"/>
      <c r="AT11" s="95" t="str">
        <f>IFERROR(IF(YES_Writing_ELA[[#This Row],[Literacy IPP]]='Writing Logic'!$E$26,"IPP",IF(OR(AP11="EAL",AQ11="EAL",AR11="EAL",AS11="EAL"),"EAL",IF(AP11='Writing Logic'!$A$10,AVERAGE(VLOOKUP(AQ11,'Writing Logic'!$A$3:$B$7,2,FALSE),VLOOKUP(AR11,'Writing Logic'!$A$3:$B$7,2,FALSE),VLOOKUP(AS11,'Writing Logic'!$A$3:$B$7,2,FALSE)),AVERAGE(VLOOKUP(AP11,'Writing Logic'!$A$3:$B$7,2,FALSE),VLOOKUP(AQ11,'Writing Logic'!$A$3:$B$7,2,FALSE),VLOOKUP(AR11,'Writing Logic'!$A$3:$B$7,2,FALSE),VLOOKUP(AS11,'Writing Logic'!$A$3:$B$7,2,FALSE))))),"Fill All 4")</f>
        <v>Fill All 4</v>
      </c>
      <c r="AU11" s="95" t="str">
        <f t="shared" si="4"/>
        <v/>
      </c>
    </row>
    <row r="12" spans="1:47" x14ac:dyDescent="0.25">
      <c r="A12" s="13"/>
      <c r="B12" s="13"/>
      <c r="C12" s="13"/>
      <c r="D12" s="13"/>
      <c r="E12" s="13"/>
      <c r="F12" s="13"/>
      <c r="G12" s="13"/>
      <c r="H12" s="13"/>
      <c r="I12" s="13"/>
      <c r="J12" s="13"/>
      <c r="K12" s="183"/>
      <c r="L12" s="184"/>
      <c r="M12" s="120"/>
      <c r="N12" s="120"/>
      <c r="O12" s="120"/>
      <c r="P12" s="120"/>
      <c r="Q12" s="95" t="str">
        <f>IFERROR(IF(YES_Writing_ELA[[#This Row],[Literacy IPP]]='Writing Logic'!$E$26,"IPP",IF(OR(M12="EAL",N12="EAL",O12="EAL",P12="EAL"),"EAL",IF(M12='Writing Logic'!$A$10,AVERAGE(VLOOKUP(N12,'Writing Logic'!$A$3:$B$7,2,FALSE),VLOOKUP(O12,'Writing Logic'!$A$3:$B$7,2,FALSE),VLOOKUP(P12,'Writing Logic'!$A$3:$B$7,2,FALSE)),AVERAGE(VLOOKUP(M12,'Writing Logic'!$A$3:$B$7,2,FALSE),VLOOKUP(N12,'Writing Logic'!$A$3:$B$7,2,FALSE),VLOOKUP(O12,'Writing Logic'!$A$3:$B$7,2,FALSE),VLOOKUP(P12,'Writing Logic'!$A$3:$B$7,2,FALSE))))),"Fill All 4")</f>
        <v>Fill All 4</v>
      </c>
      <c r="R12" s="120"/>
      <c r="S12" s="120"/>
      <c r="T12" s="120"/>
      <c r="U12" s="120"/>
      <c r="V12" s="95" t="str">
        <f>IFERROR(IF(YES_Writing_ELA[[#This Row],[Literacy IPP]]='Writing Logic'!$E$26,"IPP",IF(OR(R12="EAL",S12="EAL",T12="EAL",U12="EAL"),"EAL",IF(R12='Writing Logic'!$A$10,AVERAGE(VLOOKUP(S12,'Writing Logic'!$A$3:$B$7,2,FALSE),VLOOKUP(T12,'Writing Logic'!$A$3:$B$7,2,FALSE),VLOOKUP(U12,'Writing Logic'!$A$3:$B$7,2,FALSE)),AVERAGE(VLOOKUP(R12,'Writing Logic'!$A$3:$B$7,2,FALSE),VLOOKUP(S12,'Writing Logic'!$A$3:$B$7,2,FALSE),VLOOKUP(T12,'Writing Logic'!$A$3:$B$7,2,FALSE),VLOOKUP(U12,'Writing Logic'!$A$3:$B$7,2,FALSE))))),"Fill All 4")</f>
        <v>Fill All 4</v>
      </c>
      <c r="W12" s="95" t="str">
        <f t="shared" si="0"/>
        <v/>
      </c>
      <c r="X12" s="120"/>
      <c r="Y12" s="120"/>
      <c r="Z12" s="120"/>
      <c r="AA12" s="120"/>
      <c r="AB12" s="95" t="str">
        <f>IFERROR(IF(YES_Writing_ELA[[#This Row],[Literacy IPP]]='Writing Logic'!$E$26,"IPP",IF(OR(X12="EAL",Y12="EAL",Z12="EAL",AA12="EAL"),"EAL",IF(X12='Writing Logic'!$A$10,AVERAGE(VLOOKUP(Y12,'Writing Logic'!$A$3:$B$7,2,FALSE),VLOOKUP(Z12,'Writing Logic'!$A$3:$B$7,2,FALSE),VLOOKUP(AA12,'Writing Logic'!$A$3:$B$7,2,FALSE)),AVERAGE(VLOOKUP(X12,'Writing Logic'!$A$3:$B$7,2,FALSE),VLOOKUP(Y12,'Writing Logic'!$A$3:$B$7,2,FALSE),VLOOKUP(Z12,'Writing Logic'!$A$3:$B$7,2,FALSE),VLOOKUP(AA12,'Writing Logic'!$A$3:$B$7,2,FALSE))))),"Fill All 4")</f>
        <v>Fill All 4</v>
      </c>
      <c r="AC12" s="95" t="str">
        <f t="shared" si="1"/>
        <v/>
      </c>
      <c r="AD12" s="120"/>
      <c r="AE12" s="120"/>
      <c r="AF12" s="120"/>
      <c r="AG12" s="120"/>
      <c r="AH12" s="95" t="str">
        <f>IFERROR(IF(YES_Writing_ELA[[#This Row],[Literacy IPP]]='Writing Logic'!$E$26,"IPP",IF(OR(AD12="EAL",AE12="EAL",AF12="EAL",AG12="EAL"),"EAL",IF(AD12='Writing Logic'!$A$10,AVERAGE(VLOOKUP(AE12,'Writing Logic'!$A$3:$B$7,2,FALSE),VLOOKUP(AF12,'Writing Logic'!$A$3:$B$7,2,FALSE),VLOOKUP(AG12,'Writing Logic'!$A$3:$B$7,2,FALSE)),AVERAGE(VLOOKUP(AD12,'Writing Logic'!$A$3:$B$7,2,FALSE),VLOOKUP(AE12,'Writing Logic'!$A$3:$B$7,2,FALSE),VLOOKUP(AF12,'Writing Logic'!$A$3:$B$7,2,FALSE),VLOOKUP(AG12,'Writing Logic'!$A$3:$B$7,2,FALSE))))),"Fill All 4")</f>
        <v>Fill All 4</v>
      </c>
      <c r="AI12" s="95" t="str">
        <f t="shared" si="2"/>
        <v/>
      </c>
      <c r="AJ12" s="183"/>
      <c r="AK12" s="120"/>
      <c r="AL12" s="120"/>
      <c r="AM12" s="120"/>
      <c r="AN12" s="95" t="str">
        <f>IFERROR(IF(YES_Writing_ELA[[#This Row],[Literacy IPP]]='Writing Logic'!$E$26,"IPP",IF(OR(AJ12="EAL",AK12="EAL",AL12="EAL",AM12="EAL"),"EAL",IF(AJ12='Writing Logic'!$A$10,AVERAGE(VLOOKUP(AK12,'Writing Logic'!$A$3:$B$7,2,FALSE),VLOOKUP(AL12,'Writing Logic'!$A$3:$B$7,2,FALSE),VLOOKUP(AM12,'Writing Logic'!$A$3:$B$7,2,FALSE)),AVERAGE(VLOOKUP(AJ12,'Writing Logic'!$A$3:$B$7,2,FALSE),VLOOKUP(AK12,'Writing Logic'!$A$3:$B$7,2,FALSE),VLOOKUP(AL12,'Writing Logic'!$A$3:$B$7,2,FALSE),VLOOKUP(AM12,'Writing Logic'!$A$3:$B$7,2,FALSE))))),"Fill All 4")</f>
        <v>Fill All 4</v>
      </c>
      <c r="AO12" s="95" t="str">
        <f t="shared" si="3"/>
        <v/>
      </c>
      <c r="AP12" s="120"/>
      <c r="AQ12" s="120"/>
      <c r="AR12" s="120"/>
      <c r="AS12" s="120"/>
      <c r="AT12" s="95" t="str">
        <f>IFERROR(IF(YES_Writing_ELA[[#This Row],[Literacy IPP]]='Writing Logic'!$E$26,"IPP",IF(OR(AP12="EAL",AQ12="EAL",AR12="EAL",AS12="EAL"),"EAL",IF(AP12='Writing Logic'!$A$10,AVERAGE(VLOOKUP(AQ12,'Writing Logic'!$A$3:$B$7,2,FALSE),VLOOKUP(AR12,'Writing Logic'!$A$3:$B$7,2,FALSE),VLOOKUP(AS12,'Writing Logic'!$A$3:$B$7,2,FALSE)),AVERAGE(VLOOKUP(AP12,'Writing Logic'!$A$3:$B$7,2,FALSE),VLOOKUP(AQ12,'Writing Logic'!$A$3:$B$7,2,FALSE),VLOOKUP(AR12,'Writing Logic'!$A$3:$B$7,2,FALSE),VLOOKUP(AS12,'Writing Logic'!$A$3:$B$7,2,FALSE))))),"Fill All 4")</f>
        <v>Fill All 4</v>
      </c>
      <c r="AU12" s="95" t="str">
        <f t="shared" si="4"/>
        <v/>
      </c>
    </row>
    <row r="13" spans="1:47" x14ac:dyDescent="0.25">
      <c r="A13" s="13"/>
      <c r="B13" s="13"/>
      <c r="C13" s="13"/>
      <c r="D13" s="13"/>
      <c r="E13" s="13"/>
      <c r="F13" s="13"/>
      <c r="G13" s="13"/>
      <c r="H13" s="13"/>
      <c r="I13" s="13"/>
      <c r="J13" s="13"/>
      <c r="K13" s="183"/>
      <c r="L13" s="184"/>
      <c r="M13" s="120"/>
      <c r="N13" s="120"/>
      <c r="O13" s="120"/>
      <c r="P13" s="120"/>
      <c r="Q13" s="95" t="str">
        <f>IFERROR(IF(YES_Writing_ELA[[#This Row],[Literacy IPP]]='Writing Logic'!$E$26,"IPP",IF(OR(M13="EAL",N13="EAL",O13="EAL",P13="EAL"),"EAL",IF(M13='Writing Logic'!$A$10,AVERAGE(VLOOKUP(N13,'Writing Logic'!$A$3:$B$7,2,FALSE),VLOOKUP(O13,'Writing Logic'!$A$3:$B$7,2,FALSE),VLOOKUP(P13,'Writing Logic'!$A$3:$B$7,2,FALSE)),AVERAGE(VLOOKUP(M13,'Writing Logic'!$A$3:$B$7,2,FALSE),VLOOKUP(N13,'Writing Logic'!$A$3:$B$7,2,FALSE),VLOOKUP(O13,'Writing Logic'!$A$3:$B$7,2,FALSE),VLOOKUP(P13,'Writing Logic'!$A$3:$B$7,2,FALSE))))),"Fill All 4")</f>
        <v>Fill All 4</v>
      </c>
      <c r="R13" s="120"/>
      <c r="S13" s="120"/>
      <c r="T13" s="120"/>
      <c r="U13" s="120"/>
      <c r="V13" s="95" t="str">
        <f>IFERROR(IF(YES_Writing_ELA[[#This Row],[Literacy IPP]]='Writing Logic'!$E$26,"IPP",IF(OR(R13="EAL",S13="EAL",T13="EAL",U13="EAL"),"EAL",IF(R13='Writing Logic'!$A$10,AVERAGE(VLOOKUP(S13,'Writing Logic'!$A$3:$B$7,2,FALSE),VLOOKUP(T13,'Writing Logic'!$A$3:$B$7,2,FALSE),VLOOKUP(U13,'Writing Logic'!$A$3:$B$7,2,FALSE)),AVERAGE(VLOOKUP(R13,'Writing Logic'!$A$3:$B$7,2,FALSE),VLOOKUP(S13,'Writing Logic'!$A$3:$B$7,2,FALSE),VLOOKUP(T13,'Writing Logic'!$A$3:$B$7,2,FALSE),VLOOKUP(U13,'Writing Logic'!$A$3:$B$7,2,FALSE))))),"Fill All 4")</f>
        <v>Fill All 4</v>
      </c>
      <c r="W13" s="95" t="str">
        <f t="shared" si="0"/>
        <v/>
      </c>
      <c r="X13" s="120"/>
      <c r="Y13" s="120"/>
      <c r="Z13" s="120"/>
      <c r="AA13" s="120"/>
      <c r="AB13" s="95" t="str">
        <f>IFERROR(IF(YES_Writing_ELA[[#This Row],[Literacy IPP]]='Writing Logic'!$E$26,"IPP",IF(OR(X13="EAL",Y13="EAL",Z13="EAL",AA13="EAL"),"EAL",IF(X13='Writing Logic'!$A$10,AVERAGE(VLOOKUP(Y13,'Writing Logic'!$A$3:$B$7,2,FALSE),VLOOKUP(Z13,'Writing Logic'!$A$3:$B$7,2,FALSE),VLOOKUP(AA13,'Writing Logic'!$A$3:$B$7,2,FALSE)),AVERAGE(VLOOKUP(X13,'Writing Logic'!$A$3:$B$7,2,FALSE),VLOOKUP(Y13,'Writing Logic'!$A$3:$B$7,2,FALSE),VLOOKUP(Z13,'Writing Logic'!$A$3:$B$7,2,FALSE),VLOOKUP(AA13,'Writing Logic'!$A$3:$B$7,2,FALSE))))),"Fill All 4")</f>
        <v>Fill All 4</v>
      </c>
      <c r="AC13" s="95" t="str">
        <f t="shared" si="1"/>
        <v/>
      </c>
      <c r="AD13" s="120"/>
      <c r="AE13" s="120"/>
      <c r="AF13" s="120"/>
      <c r="AG13" s="120"/>
      <c r="AH13" s="95" t="str">
        <f>IFERROR(IF(YES_Writing_ELA[[#This Row],[Literacy IPP]]='Writing Logic'!$E$26,"IPP",IF(OR(AD13="EAL",AE13="EAL",AF13="EAL",AG13="EAL"),"EAL",IF(AD13='Writing Logic'!$A$10,AVERAGE(VLOOKUP(AE13,'Writing Logic'!$A$3:$B$7,2,FALSE),VLOOKUP(AF13,'Writing Logic'!$A$3:$B$7,2,FALSE),VLOOKUP(AG13,'Writing Logic'!$A$3:$B$7,2,FALSE)),AVERAGE(VLOOKUP(AD13,'Writing Logic'!$A$3:$B$7,2,FALSE),VLOOKUP(AE13,'Writing Logic'!$A$3:$B$7,2,FALSE),VLOOKUP(AF13,'Writing Logic'!$A$3:$B$7,2,FALSE),VLOOKUP(AG13,'Writing Logic'!$A$3:$B$7,2,FALSE))))),"Fill All 4")</f>
        <v>Fill All 4</v>
      </c>
      <c r="AI13" s="95" t="str">
        <f t="shared" si="2"/>
        <v/>
      </c>
      <c r="AJ13" s="183"/>
      <c r="AK13" s="120"/>
      <c r="AL13" s="120"/>
      <c r="AM13" s="120"/>
      <c r="AN13" s="95" t="str">
        <f>IFERROR(IF(YES_Writing_ELA[[#This Row],[Literacy IPP]]='Writing Logic'!$E$26,"IPP",IF(OR(AJ13="EAL",AK13="EAL",AL13="EAL",AM13="EAL"),"EAL",IF(AJ13='Writing Logic'!$A$10,AVERAGE(VLOOKUP(AK13,'Writing Logic'!$A$3:$B$7,2,FALSE),VLOOKUP(AL13,'Writing Logic'!$A$3:$B$7,2,FALSE),VLOOKUP(AM13,'Writing Logic'!$A$3:$B$7,2,FALSE)),AVERAGE(VLOOKUP(AJ13,'Writing Logic'!$A$3:$B$7,2,FALSE),VLOOKUP(AK13,'Writing Logic'!$A$3:$B$7,2,FALSE),VLOOKUP(AL13,'Writing Logic'!$A$3:$B$7,2,FALSE),VLOOKUP(AM13,'Writing Logic'!$A$3:$B$7,2,FALSE))))),"Fill All 4")</f>
        <v>Fill All 4</v>
      </c>
      <c r="AO13" s="95" t="str">
        <f t="shared" si="3"/>
        <v/>
      </c>
      <c r="AP13" s="120"/>
      <c r="AQ13" s="120"/>
      <c r="AR13" s="120"/>
      <c r="AS13" s="120"/>
      <c r="AT13" s="95" t="str">
        <f>IFERROR(IF(YES_Writing_ELA[[#This Row],[Literacy IPP]]='Writing Logic'!$E$26,"IPP",IF(OR(AP13="EAL",AQ13="EAL",AR13="EAL",AS13="EAL"),"EAL",IF(AP13='Writing Logic'!$A$10,AVERAGE(VLOOKUP(AQ13,'Writing Logic'!$A$3:$B$7,2,FALSE),VLOOKUP(AR13,'Writing Logic'!$A$3:$B$7,2,FALSE),VLOOKUP(AS13,'Writing Logic'!$A$3:$B$7,2,FALSE)),AVERAGE(VLOOKUP(AP13,'Writing Logic'!$A$3:$B$7,2,FALSE),VLOOKUP(AQ13,'Writing Logic'!$A$3:$B$7,2,FALSE),VLOOKUP(AR13,'Writing Logic'!$A$3:$B$7,2,FALSE),VLOOKUP(AS13,'Writing Logic'!$A$3:$B$7,2,FALSE))))),"Fill All 4")</f>
        <v>Fill All 4</v>
      </c>
      <c r="AU13" s="95" t="str">
        <f t="shared" si="4"/>
        <v/>
      </c>
    </row>
    <row r="14" spans="1:47" x14ac:dyDescent="0.25">
      <c r="A14" s="13"/>
      <c r="B14" s="13"/>
      <c r="C14" s="13"/>
      <c r="D14" s="13"/>
      <c r="E14" s="13"/>
      <c r="F14" s="13"/>
      <c r="G14" s="13"/>
      <c r="H14" s="13"/>
      <c r="I14" s="13"/>
      <c r="J14" s="13"/>
      <c r="K14" s="183"/>
      <c r="L14" s="184"/>
      <c r="M14" s="120"/>
      <c r="N14" s="120"/>
      <c r="O14" s="120"/>
      <c r="P14" s="120"/>
      <c r="Q14" s="95" t="str">
        <f>IFERROR(IF(YES_Writing_ELA[[#This Row],[Literacy IPP]]='Writing Logic'!$E$26,"IPP",IF(OR(M14="EAL",N14="EAL",O14="EAL",P14="EAL"),"EAL",IF(M14='Writing Logic'!$A$10,AVERAGE(VLOOKUP(N14,'Writing Logic'!$A$3:$B$7,2,FALSE),VLOOKUP(O14,'Writing Logic'!$A$3:$B$7,2,FALSE),VLOOKUP(P14,'Writing Logic'!$A$3:$B$7,2,FALSE)),AVERAGE(VLOOKUP(M14,'Writing Logic'!$A$3:$B$7,2,FALSE),VLOOKUP(N14,'Writing Logic'!$A$3:$B$7,2,FALSE),VLOOKUP(O14,'Writing Logic'!$A$3:$B$7,2,FALSE),VLOOKUP(P14,'Writing Logic'!$A$3:$B$7,2,FALSE))))),"Fill All 4")</f>
        <v>Fill All 4</v>
      </c>
      <c r="R14" s="120"/>
      <c r="S14" s="120"/>
      <c r="T14" s="120"/>
      <c r="U14" s="120"/>
      <c r="V14" s="95" t="str">
        <f>IFERROR(IF(YES_Writing_ELA[[#This Row],[Literacy IPP]]='Writing Logic'!$E$26,"IPP",IF(OR(R14="EAL",S14="EAL",T14="EAL",U14="EAL"),"EAL",IF(R14='Writing Logic'!$A$10,AVERAGE(VLOOKUP(S14,'Writing Logic'!$A$3:$B$7,2,FALSE),VLOOKUP(T14,'Writing Logic'!$A$3:$B$7,2,FALSE),VLOOKUP(U14,'Writing Logic'!$A$3:$B$7,2,FALSE)),AVERAGE(VLOOKUP(R14,'Writing Logic'!$A$3:$B$7,2,FALSE),VLOOKUP(S14,'Writing Logic'!$A$3:$B$7,2,FALSE),VLOOKUP(T14,'Writing Logic'!$A$3:$B$7,2,FALSE),VLOOKUP(U14,'Writing Logic'!$A$3:$B$7,2,FALSE))))),"Fill All 4")</f>
        <v>Fill All 4</v>
      </c>
      <c r="W14" s="95" t="str">
        <f t="shared" si="0"/>
        <v/>
      </c>
      <c r="X14" s="120"/>
      <c r="Y14" s="120"/>
      <c r="Z14" s="120"/>
      <c r="AA14" s="120"/>
      <c r="AB14" s="95" t="str">
        <f>IFERROR(IF(YES_Writing_ELA[[#This Row],[Literacy IPP]]='Writing Logic'!$E$26,"IPP",IF(OR(X14="EAL",Y14="EAL",Z14="EAL",AA14="EAL"),"EAL",IF(X14='Writing Logic'!$A$10,AVERAGE(VLOOKUP(Y14,'Writing Logic'!$A$3:$B$7,2,FALSE),VLOOKUP(Z14,'Writing Logic'!$A$3:$B$7,2,FALSE),VLOOKUP(AA14,'Writing Logic'!$A$3:$B$7,2,FALSE)),AVERAGE(VLOOKUP(X14,'Writing Logic'!$A$3:$B$7,2,FALSE),VLOOKUP(Y14,'Writing Logic'!$A$3:$B$7,2,FALSE),VLOOKUP(Z14,'Writing Logic'!$A$3:$B$7,2,FALSE),VLOOKUP(AA14,'Writing Logic'!$A$3:$B$7,2,FALSE))))),"Fill All 4")</f>
        <v>Fill All 4</v>
      </c>
      <c r="AC14" s="95" t="str">
        <f t="shared" si="1"/>
        <v/>
      </c>
      <c r="AD14" s="120"/>
      <c r="AE14" s="120"/>
      <c r="AF14" s="120"/>
      <c r="AG14" s="120"/>
      <c r="AH14" s="95" t="str">
        <f>IFERROR(IF(YES_Writing_ELA[[#This Row],[Literacy IPP]]='Writing Logic'!$E$26,"IPP",IF(OR(AD14="EAL",AE14="EAL",AF14="EAL",AG14="EAL"),"EAL",IF(AD14='Writing Logic'!$A$10,AVERAGE(VLOOKUP(AE14,'Writing Logic'!$A$3:$B$7,2,FALSE),VLOOKUP(AF14,'Writing Logic'!$A$3:$B$7,2,FALSE),VLOOKUP(AG14,'Writing Logic'!$A$3:$B$7,2,FALSE)),AVERAGE(VLOOKUP(AD14,'Writing Logic'!$A$3:$B$7,2,FALSE),VLOOKUP(AE14,'Writing Logic'!$A$3:$B$7,2,FALSE),VLOOKUP(AF14,'Writing Logic'!$A$3:$B$7,2,FALSE),VLOOKUP(AG14,'Writing Logic'!$A$3:$B$7,2,FALSE))))),"Fill All 4")</f>
        <v>Fill All 4</v>
      </c>
      <c r="AI14" s="95" t="str">
        <f t="shared" si="2"/>
        <v/>
      </c>
      <c r="AJ14" s="183"/>
      <c r="AK14" s="120"/>
      <c r="AL14" s="120"/>
      <c r="AM14" s="120"/>
      <c r="AN14" s="95" t="str">
        <f>IFERROR(IF(YES_Writing_ELA[[#This Row],[Literacy IPP]]='Writing Logic'!$E$26,"IPP",IF(OR(AJ14="EAL",AK14="EAL",AL14="EAL",AM14="EAL"),"EAL",IF(AJ14='Writing Logic'!$A$10,AVERAGE(VLOOKUP(AK14,'Writing Logic'!$A$3:$B$7,2,FALSE),VLOOKUP(AL14,'Writing Logic'!$A$3:$B$7,2,FALSE),VLOOKUP(AM14,'Writing Logic'!$A$3:$B$7,2,FALSE)),AVERAGE(VLOOKUP(AJ14,'Writing Logic'!$A$3:$B$7,2,FALSE),VLOOKUP(AK14,'Writing Logic'!$A$3:$B$7,2,FALSE),VLOOKUP(AL14,'Writing Logic'!$A$3:$B$7,2,FALSE),VLOOKUP(AM14,'Writing Logic'!$A$3:$B$7,2,FALSE))))),"Fill All 4")</f>
        <v>Fill All 4</v>
      </c>
      <c r="AO14" s="95" t="str">
        <f t="shared" si="3"/>
        <v/>
      </c>
      <c r="AP14" s="120"/>
      <c r="AQ14" s="120"/>
      <c r="AR14" s="120"/>
      <c r="AS14" s="120"/>
      <c r="AT14" s="95" t="str">
        <f>IFERROR(IF(YES_Writing_ELA[[#This Row],[Literacy IPP]]='Writing Logic'!$E$26,"IPP",IF(OR(AP14="EAL",AQ14="EAL",AR14="EAL",AS14="EAL"),"EAL",IF(AP14='Writing Logic'!$A$10,AVERAGE(VLOOKUP(AQ14,'Writing Logic'!$A$3:$B$7,2,FALSE),VLOOKUP(AR14,'Writing Logic'!$A$3:$B$7,2,FALSE),VLOOKUP(AS14,'Writing Logic'!$A$3:$B$7,2,FALSE)),AVERAGE(VLOOKUP(AP14,'Writing Logic'!$A$3:$B$7,2,FALSE),VLOOKUP(AQ14,'Writing Logic'!$A$3:$B$7,2,FALSE),VLOOKUP(AR14,'Writing Logic'!$A$3:$B$7,2,FALSE),VLOOKUP(AS14,'Writing Logic'!$A$3:$B$7,2,FALSE))))),"Fill All 4")</f>
        <v>Fill All 4</v>
      </c>
      <c r="AU14" s="95" t="str">
        <f t="shared" si="4"/>
        <v/>
      </c>
    </row>
    <row r="15" spans="1:47" x14ac:dyDescent="0.25">
      <c r="A15" s="13"/>
      <c r="B15" s="13"/>
      <c r="C15" s="13"/>
      <c r="D15" s="13"/>
      <c r="E15" s="13"/>
      <c r="F15" s="13"/>
      <c r="G15" s="13"/>
      <c r="H15" s="13"/>
      <c r="I15" s="13"/>
      <c r="J15" s="13"/>
      <c r="K15" s="183"/>
      <c r="L15" s="184"/>
      <c r="M15" s="120"/>
      <c r="N15" s="120"/>
      <c r="O15" s="120"/>
      <c r="P15" s="120"/>
      <c r="Q15" s="95" t="str">
        <f>IFERROR(IF(YES_Writing_ELA[[#This Row],[Literacy IPP]]='Writing Logic'!$E$26,"IPP",IF(OR(M15="EAL",N15="EAL",O15="EAL",P15="EAL"),"EAL",IF(M15='Writing Logic'!$A$10,AVERAGE(VLOOKUP(N15,'Writing Logic'!$A$3:$B$7,2,FALSE),VLOOKUP(O15,'Writing Logic'!$A$3:$B$7,2,FALSE),VLOOKUP(P15,'Writing Logic'!$A$3:$B$7,2,FALSE)),AVERAGE(VLOOKUP(M15,'Writing Logic'!$A$3:$B$7,2,FALSE),VLOOKUP(N15,'Writing Logic'!$A$3:$B$7,2,FALSE),VLOOKUP(O15,'Writing Logic'!$A$3:$B$7,2,FALSE),VLOOKUP(P15,'Writing Logic'!$A$3:$B$7,2,FALSE))))),"Fill All 4")</f>
        <v>Fill All 4</v>
      </c>
      <c r="R15" s="120"/>
      <c r="S15" s="120"/>
      <c r="T15" s="120"/>
      <c r="U15" s="120"/>
      <c r="V15" s="95" t="str">
        <f>IFERROR(IF(YES_Writing_ELA[[#This Row],[Literacy IPP]]='Writing Logic'!$E$26,"IPP",IF(OR(R15="EAL",S15="EAL",T15="EAL",U15="EAL"),"EAL",IF(R15='Writing Logic'!$A$10,AVERAGE(VLOOKUP(S15,'Writing Logic'!$A$3:$B$7,2,FALSE),VLOOKUP(T15,'Writing Logic'!$A$3:$B$7,2,FALSE),VLOOKUP(U15,'Writing Logic'!$A$3:$B$7,2,FALSE)),AVERAGE(VLOOKUP(R15,'Writing Logic'!$A$3:$B$7,2,FALSE),VLOOKUP(S15,'Writing Logic'!$A$3:$B$7,2,FALSE),VLOOKUP(T15,'Writing Logic'!$A$3:$B$7,2,FALSE),VLOOKUP(U15,'Writing Logic'!$A$3:$B$7,2,FALSE))))),"Fill All 4")</f>
        <v>Fill All 4</v>
      </c>
      <c r="W15" s="95" t="str">
        <f t="shared" si="0"/>
        <v/>
      </c>
      <c r="X15" s="120"/>
      <c r="Y15" s="120"/>
      <c r="Z15" s="120"/>
      <c r="AA15" s="120"/>
      <c r="AB15" s="95" t="str">
        <f>IFERROR(IF(YES_Writing_ELA[[#This Row],[Literacy IPP]]='Writing Logic'!$E$26,"IPP",IF(OR(X15="EAL",Y15="EAL",Z15="EAL",AA15="EAL"),"EAL",IF(X15='Writing Logic'!$A$10,AVERAGE(VLOOKUP(Y15,'Writing Logic'!$A$3:$B$7,2,FALSE),VLOOKUP(Z15,'Writing Logic'!$A$3:$B$7,2,FALSE),VLOOKUP(AA15,'Writing Logic'!$A$3:$B$7,2,FALSE)),AVERAGE(VLOOKUP(X15,'Writing Logic'!$A$3:$B$7,2,FALSE),VLOOKUP(Y15,'Writing Logic'!$A$3:$B$7,2,FALSE),VLOOKUP(Z15,'Writing Logic'!$A$3:$B$7,2,FALSE),VLOOKUP(AA15,'Writing Logic'!$A$3:$B$7,2,FALSE))))),"Fill All 4")</f>
        <v>Fill All 4</v>
      </c>
      <c r="AC15" s="95" t="str">
        <f t="shared" si="1"/>
        <v/>
      </c>
      <c r="AD15" s="120"/>
      <c r="AE15" s="120"/>
      <c r="AF15" s="120"/>
      <c r="AG15" s="120"/>
      <c r="AH15" s="95" t="str">
        <f>IFERROR(IF(YES_Writing_ELA[[#This Row],[Literacy IPP]]='Writing Logic'!$E$26,"IPP",IF(OR(AD15="EAL",AE15="EAL",AF15="EAL",AG15="EAL"),"EAL",IF(AD15='Writing Logic'!$A$10,AVERAGE(VLOOKUP(AE15,'Writing Logic'!$A$3:$B$7,2,FALSE),VLOOKUP(AF15,'Writing Logic'!$A$3:$B$7,2,FALSE),VLOOKUP(AG15,'Writing Logic'!$A$3:$B$7,2,FALSE)),AVERAGE(VLOOKUP(AD15,'Writing Logic'!$A$3:$B$7,2,FALSE),VLOOKUP(AE15,'Writing Logic'!$A$3:$B$7,2,FALSE),VLOOKUP(AF15,'Writing Logic'!$A$3:$B$7,2,FALSE),VLOOKUP(AG15,'Writing Logic'!$A$3:$B$7,2,FALSE))))),"Fill All 4")</f>
        <v>Fill All 4</v>
      </c>
      <c r="AI15" s="95" t="str">
        <f t="shared" si="2"/>
        <v/>
      </c>
      <c r="AJ15" s="183"/>
      <c r="AK15" s="120"/>
      <c r="AL15" s="120"/>
      <c r="AM15" s="120"/>
      <c r="AN15" s="95" t="str">
        <f>IFERROR(IF(YES_Writing_ELA[[#This Row],[Literacy IPP]]='Writing Logic'!$E$26,"IPP",IF(OR(AJ15="EAL",AK15="EAL",AL15="EAL",AM15="EAL"),"EAL",IF(AJ15='Writing Logic'!$A$10,AVERAGE(VLOOKUP(AK15,'Writing Logic'!$A$3:$B$7,2,FALSE),VLOOKUP(AL15,'Writing Logic'!$A$3:$B$7,2,FALSE),VLOOKUP(AM15,'Writing Logic'!$A$3:$B$7,2,FALSE)),AVERAGE(VLOOKUP(AJ15,'Writing Logic'!$A$3:$B$7,2,FALSE),VLOOKUP(AK15,'Writing Logic'!$A$3:$B$7,2,FALSE),VLOOKUP(AL15,'Writing Logic'!$A$3:$B$7,2,FALSE),VLOOKUP(AM15,'Writing Logic'!$A$3:$B$7,2,FALSE))))),"Fill All 4")</f>
        <v>Fill All 4</v>
      </c>
      <c r="AO15" s="95" t="str">
        <f t="shared" si="3"/>
        <v/>
      </c>
      <c r="AP15" s="120"/>
      <c r="AQ15" s="120"/>
      <c r="AR15" s="120"/>
      <c r="AS15" s="120"/>
      <c r="AT15" s="95" t="str">
        <f>IFERROR(IF(YES_Writing_ELA[[#This Row],[Literacy IPP]]='Writing Logic'!$E$26,"IPP",IF(OR(AP15="EAL",AQ15="EAL",AR15="EAL",AS15="EAL"),"EAL",IF(AP15='Writing Logic'!$A$10,AVERAGE(VLOOKUP(AQ15,'Writing Logic'!$A$3:$B$7,2,FALSE),VLOOKUP(AR15,'Writing Logic'!$A$3:$B$7,2,FALSE),VLOOKUP(AS15,'Writing Logic'!$A$3:$B$7,2,FALSE)),AVERAGE(VLOOKUP(AP15,'Writing Logic'!$A$3:$B$7,2,FALSE),VLOOKUP(AQ15,'Writing Logic'!$A$3:$B$7,2,FALSE),VLOOKUP(AR15,'Writing Logic'!$A$3:$B$7,2,FALSE),VLOOKUP(AS15,'Writing Logic'!$A$3:$B$7,2,FALSE))))),"Fill All 4")</f>
        <v>Fill All 4</v>
      </c>
      <c r="AU15" s="95" t="str">
        <f t="shared" si="4"/>
        <v/>
      </c>
    </row>
    <row r="16" spans="1:47" x14ac:dyDescent="0.25">
      <c r="A16" s="13"/>
      <c r="B16" s="13"/>
      <c r="C16" s="13"/>
      <c r="D16" s="13"/>
      <c r="E16" s="13"/>
      <c r="F16" s="13"/>
      <c r="G16" s="13"/>
      <c r="H16" s="13"/>
      <c r="I16" s="13"/>
      <c r="J16" s="13"/>
      <c r="K16" s="183"/>
      <c r="L16" s="184"/>
      <c r="M16" s="120"/>
      <c r="N16" s="120"/>
      <c r="O16" s="120"/>
      <c r="P16" s="120"/>
      <c r="Q16" s="95" t="str">
        <f>IFERROR(IF(YES_Writing_ELA[[#This Row],[Literacy IPP]]='Writing Logic'!$E$26,"IPP",IF(OR(M16="EAL",N16="EAL",O16="EAL",P16="EAL"),"EAL",IF(M16='Writing Logic'!$A$10,AVERAGE(VLOOKUP(N16,'Writing Logic'!$A$3:$B$7,2,FALSE),VLOOKUP(O16,'Writing Logic'!$A$3:$B$7,2,FALSE),VLOOKUP(P16,'Writing Logic'!$A$3:$B$7,2,FALSE)),AVERAGE(VLOOKUP(M16,'Writing Logic'!$A$3:$B$7,2,FALSE),VLOOKUP(N16,'Writing Logic'!$A$3:$B$7,2,FALSE),VLOOKUP(O16,'Writing Logic'!$A$3:$B$7,2,FALSE),VLOOKUP(P16,'Writing Logic'!$A$3:$B$7,2,FALSE))))),"Fill All 4")</f>
        <v>Fill All 4</v>
      </c>
      <c r="R16" s="120"/>
      <c r="S16" s="120"/>
      <c r="T16" s="120"/>
      <c r="U16" s="120"/>
      <c r="V16" s="95" t="str">
        <f>IFERROR(IF(YES_Writing_ELA[[#This Row],[Literacy IPP]]='Writing Logic'!$E$26,"IPP",IF(OR(R16="EAL",S16="EAL",T16="EAL",U16="EAL"),"EAL",IF(R16='Writing Logic'!$A$10,AVERAGE(VLOOKUP(S16,'Writing Logic'!$A$3:$B$7,2,FALSE),VLOOKUP(T16,'Writing Logic'!$A$3:$B$7,2,FALSE),VLOOKUP(U16,'Writing Logic'!$A$3:$B$7,2,FALSE)),AVERAGE(VLOOKUP(R16,'Writing Logic'!$A$3:$B$7,2,FALSE),VLOOKUP(S16,'Writing Logic'!$A$3:$B$7,2,FALSE),VLOOKUP(T16,'Writing Logic'!$A$3:$B$7,2,FALSE),VLOOKUP(U16,'Writing Logic'!$A$3:$B$7,2,FALSE))))),"Fill All 4")</f>
        <v>Fill All 4</v>
      </c>
      <c r="W16" s="95" t="str">
        <f t="shared" si="0"/>
        <v/>
      </c>
      <c r="X16" s="120"/>
      <c r="Y16" s="120"/>
      <c r="Z16" s="120"/>
      <c r="AA16" s="120"/>
      <c r="AB16" s="95" t="str">
        <f>IFERROR(IF(YES_Writing_ELA[[#This Row],[Literacy IPP]]='Writing Logic'!$E$26,"IPP",IF(OR(X16="EAL",Y16="EAL",Z16="EAL",AA16="EAL"),"EAL",IF(X16='Writing Logic'!$A$10,AVERAGE(VLOOKUP(Y16,'Writing Logic'!$A$3:$B$7,2,FALSE),VLOOKUP(Z16,'Writing Logic'!$A$3:$B$7,2,FALSE),VLOOKUP(AA16,'Writing Logic'!$A$3:$B$7,2,FALSE)),AVERAGE(VLOOKUP(X16,'Writing Logic'!$A$3:$B$7,2,FALSE),VLOOKUP(Y16,'Writing Logic'!$A$3:$B$7,2,FALSE),VLOOKUP(Z16,'Writing Logic'!$A$3:$B$7,2,FALSE),VLOOKUP(AA16,'Writing Logic'!$A$3:$B$7,2,FALSE))))),"Fill All 4")</f>
        <v>Fill All 4</v>
      </c>
      <c r="AC16" s="95" t="str">
        <f t="shared" si="1"/>
        <v/>
      </c>
      <c r="AD16" s="120"/>
      <c r="AE16" s="120"/>
      <c r="AF16" s="120"/>
      <c r="AG16" s="120"/>
      <c r="AH16" s="95" t="str">
        <f>IFERROR(IF(YES_Writing_ELA[[#This Row],[Literacy IPP]]='Writing Logic'!$E$26,"IPP",IF(OR(AD16="EAL",AE16="EAL",AF16="EAL",AG16="EAL"),"EAL",IF(AD16='Writing Logic'!$A$10,AVERAGE(VLOOKUP(AE16,'Writing Logic'!$A$3:$B$7,2,FALSE),VLOOKUP(AF16,'Writing Logic'!$A$3:$B$7,2,FALSE),VLOOKUP(AG16,'Writing Logic'!$A$3:$B$7,2,FALSE)),AVERAGE(VLOOKUP(AD16,'Writing Logic'!$A$3:$B$7,2,FALSE),VLOOKUP(AE16,'Writing Logic'!$A$3:$B$7,2,FALSE),VLOOKUP(AF16,'Writing Logic'!$A$3:$B$7,2,FALSE),VLOOKUP(AG16,'Writing Logic'!$A$3:$B$7,2,FALSE))))),"Fill All 4")</f>
        <v>Fill All 4</v>
      </c>
      <c r="AI16" s="95" t="str">
        <f t="shared" si="2"/>
        <v/>
      </c>
      <c r="AJ16" s="183"/>
      <c r="AK16" s="120"/>
      <c r="AL16" s="120"/>
      <c r="AM16" s="120"/>
      <c r="AN16" s="95" t="str">
        <f>IFERROR(IF(YES_Writing_ELA[[#This Row],[Literacy IPP]]='Writing Logic'!$E$26,"IPP",IF(OR(AJ16="EAL",AK16="EAL",AL16="EAL",AM16="EAL"),"EAL",IF(AJ16='Writing Logic'!$A$10,AVERAGE(VLOOKUP(AK16,'Writing Logic'!$A$3:$B$7,2,FALSE),VLOOKUP(AL16,'Writing Logic'!$A$3:$B$7,2,FALSE),VLOOKUP(AM16,'Writing Logic'!$A$3:$B$7,2,FALSE)),AVERAGE(VLOOKUP(AJ16,'Writing Logic'!$A$3:$B$7,2,FALSE),VLOOKUP(AK16,'Writing Logic'!$A$3:$B$7,2,FALSE),VLOOKUP(AL16,'Writing Logic'!$A$3:$B$7,2,FALSE),VLOOKUP(AM16,'Writing Logic'!$A$3:$B$7,2,FALSE))))),"Fill All 4")</f>
        <v>Fill All 4</v>
      </c>
      <c r="AO16" s="95" t="str">
        <f t="shared" si="3"/>
        <v/>
      </c>
      <c r="AP16" s="120"/>
      <c r="AQ16" s="120"/>
      <c r="AR16" s="120"/>
      <c r="AS16" s="120"/>
      <c r="AT16" s="95" t="str">
        <f>IFERROR(IF(YES_Writing_ELA[[#This Row],[Literacy IPP]]='Writing Logic'!$E$26,"IPP",IF(OR(AP16="EAL",AQ16="EAL",AR16="EAL",AS16="EAL"),"EAL",IF(AP16='Writing Logic'!$A$10,AVERAGE(VLOOKUP(AQ16,'Writing Logic'!$A$3:$B$7,2,FALSE),VLOOKUP(AR16,'Writing Logic'!$A$3:$B$7,2,FALSE),VLOOKUP(AS16,'Writing Logic'!$A$3:$B$7,2,FALSE)),AVERAGE(VLOOKUP(AP16,'Writing Logic'!$A$3:$B$7,2,FALSE),VLOOKUP(AQ16,'Writing Logic'!$A$3:$B$7,2,FALSE),VLOOKUP(AR16,'Writing Logic'!$A$3:$B$7,2,FALSE),VLOOKUP(AS16,'Writing Logic'!$A$3:$B$7,2,FALSE))))),"Fill All 4")</f>
        <v>Fill All 4</v>
      </c>
      <c r="AU16" s="95" t="str">
        <f t="shared" si="4"/>
        <v/>
      </c>
    </row>
    <row r="17" spans="1:47" x14ac:dyDescent="0.25">
      <c r="A17" s="13"/>
      <c r="B17" s="13"/>
      <c r="C17" s="13"/>
      <c r="D17" s="13"/>
      <c r="E17" s="13"/>
      <c r="F17" s="13"/>
      <c r="G17" s="13"/>
      <c r="H17" s="13"/>
      <c r="I17" s="13"/>
      <c r="J17" s="13"/>
      <c r="K17" s="183"/>
      <c r="L17" s="184"/>
      <c r="M17" s="120"/>
      <c r="N17" s="120"/>
      <c r="O17" s="120"/>
      <c r="P17" s="120"/>
      <c r="Q17" s="95" t="str">
        <f>IFERROR(IF(YES_Writing_ELA[[#This Row],[Literacy IPP]]='Writing Logic'!$E$26,"IPP",IF(OR(M17="EAL",N17="EAL",O17="EAL",P17="EAL"),"EAL",IF(M17='Writing Logic'!$A$10,AVERAGE(VLOOKUP(N17,'Writing Logic'!$A$3:$B$7,2,FALSE),VLOOKUP(O17,'Writing Logic'!$A$3:$B$7,2,FALSE),VLOOKUP(P17,'Writing Logic'!$A$3:$B$7,2,FALSE)),AVERAGE(VLOOKUP(M17,'Writing Logic'!$A$3:$B$7,2,FALSE),VLOOKUP(N17,'Writing Logic'!$A$3:$B$7,2,FALSE),VLOOKUP(O17,'Writing Logic'!$A$3:$B$7,2,FALSE),VLOOKUP(P17,'Writing Logic'!$A$3:$B$7,2,FALSE))))),"Fill All 4")</f>
        <v>Fill All 4</v>
      </c>
      <c r="R17" s="120"/>
      <c r="S17" s="120"/>
      <c r="T17" s="120"/>
      <c r="U17" s="120"/>
      <c r="V17" s="95" t="str">
        <f>IFERROR(IF(YES_Writing_ELA[[#This Row],[Literacy IPP]]='Writing Logic'!$E$26,"IPP",IF(OR(R17="EAL",S17="EAL",T17="EAL",U17="EAL"),"EAL",IF(R17='Writing Logic'!$A$10,AVERAGE(VLOOKUP(S17,'Writing Logic'!$A$3:$B$7,2,FALSE),VLOOKUP(T17,'Writing Logic'!$A$3:$B$7,2,FALSE),VLOOKUP(U17,'Writing Logic'!$A$3:$B$7,2,FALSE)),AVERAGE(VLOOKUP(R17,'Writing Logic'!$A$3:$B$7,2,FALSE),VLOOKUP(S17,'Writing Logic'!$A$3:$B$7,2,FALSE),VLOOKUP(T17,'Writing Logic'!$A$3:$B$7,2,FALSE),VLOOKUP(U17,'Writing Logic'!$A$3:$B$7,2,FALSE))))),"Fill All 4")</f>
        <v>Fill All 4</v>
      </c>
      <c r="W17" s="95" t="str">
        <f t="shared" si="0"/>
        <v/>
      </c>
      <c r="X17" s="120"/>
      <c r="Y17" s="120"/>
      <c r="Z17" s="120"/>
      <c r="AA17" s="120"/>
      <c r="AB17" s="95" t="str">
        <f>IFERROR(IF(YES_Writing_ELA[[#This Row],[Literacy IPP]]='Writing Logic'!$E$26,"IPP",IF(OR(X17="EAL",Y17="EAL",Z17="EAL",AA17="EAL"),"EAL",IF(X17='Writing Logic'!$A$10,AVERAGE(VLOOKUP(Y17,'Writing Logic'!$A$3:$B$7,2,FALSE),VLOOKUP(Z17,'Writing Logic'!$A$3:$B$7,2,FALSE),VLOOKUP(AA17,'Writing Logic'!$A$3:$B$7,2,FALSE)),AVERAGE(VLOOKUP(X17,'Writing Logic'!$A$3:$B$7,2,FALSE),VLOOKUP(Y17,'Writing Logic'!$A$3:$B$7,2,FALSE),VLOOKUP(Z17,'Writing Logic'!$A$3:$B$7,2,FALSE),VLOOKUP(AA17,'Writing Logic'!$A$3:$B$7,2,FALSE))))),"Fill All 4")</f>
        <v>Fill All 4</v>
      </c>
      <c r="AC17" s="95" t="str">
        <f t="shared" si="1"/>
        <v/>
      </c>
      <c r="AD17" s="120"/>
      <c r="AE17" s="120"/>
      <c r="AF17" s="120"/>
      <c r="AG17" s="120"/>
      <c r="AH17" s="95" t="str">
        <f>IFERROR(IF(YES_Writing_ELA[[#This Row],[Literacy IPP]]='Writing Logic'!$E$26,"IPP",IF(OR(AD17="EAL",AE17="EAL",AF17="EAL",AG17="EAL"),"EAL",IF(AD17='Writing Logic'!$A$10,AVERAGE(VLOOKUP(AE17,'Writing Logic'!$A$3:$B$7,2,FALSE),VLOOKUP(AF17,'Writing Logic'!$A$3:$B$7,2,FALSE),VLOOKUP(AG17,'Writing Logic'!$A$3:$B$7,2,FALSE)),AVERAGE(VLOOKUP(AD17,'Writing Logic'!$A$3:$B$7,2,FALSE),VLOOKUP(AE17,'Writing Logic'!$A$3:$B$7,2,FALSE),VLOOKUP(AF17,'Writing Logic'!$A$3:$B$7,2,FALSE),VLOOKUP(AG17,'Writing Logic'!$A$3:$B$7,2,FALSE))))),"Fill All 4")</f>
        <v>Fill All 4</v>
      </c>
      <c r="AI17" s="95" t="str">
        <f t="shared" si="2"/>
        <v/>
      </c>
      <c r="AJ17" s="183"/>
      <c r="AK17" s="120"/>
      <c r="AL17" s="120"/>
      <c r="AM17" s="120"/>
      <c r="AN17" s="95" t="str">
        <f>IFERROR(IF(YES_Writing_ELA[[#This Row],[Literacy IPP]]='Writing Logic'!$E$26,"IPP",IF(OR(AJ17="EAL",AK17="EAL",AL17="EAL",AM17="EAL"),"EAL",IF(AJ17='Writing Logic'!$A$10,AVERAGE(VLOOKUP(AK17,'Writing Logic'!$A$3:$B$7,2,FALSE),VLOOKUP(AL17,'Writing Logic'!$A$3:$B$7,2,FALSE),VLOOKUP(AM17,'Writing Logic'!$A$3:$B$7,2,FALSE)),AVERAGE(VLOOKUP(AJ17,'Writing Logic'!$A$3:$B$7,2,FALSE),VLOOKUP(AK17,'Writing Logic'!$A$3:$B$7,2,FALSE),VLOOKUP(AL17,'Writing Logic'!$A$3:$B$7,2,FALSE),VLOOKUP(AM17,'Writing Logic'!$A$3:$B$7,2,FALSE))))),"Fill All 4")</f>
        <v>Fill All 4</v>
      </c>
      <c r="AO17" s="95" t="str">
        <f t="shared" si="3"/>
        <v/>
      </c>
      <c r="AP17" s="120"/>
      <c r="AQ17" s="120"/>
      <c r="AR17" s="120"/>
      <c r="AS17" s="120"/>
      <c r="AT17" s="95" t="str">
        <f>IFERROR(IF(YES_Writing_ELA[[#This Row],[Literacy IPP]]='Writing Logic'!$E$26,"IPP",IF(OR(AP17="EAL",AQ17="EAL",AR17="EAL",AS17="EAL"),"EAL",IF(AP17='Writing Logic'!$A$10,AVERAGE(VLOOKUP(AQ17,'Writing Logic'!$A$3:$B$7,2,FALSE),VLOOKUP(AR17,'Writing Logic'!$A$3:$B$7,2,FALSE),VLOOKUP(AS17,'Writing Logic'!$A$3:$B$7,2,FALSE)),AVERAGE(VLOOKUP(AP17,'Writing Logic'!$A$3:$B$7,2,FALSE),VLOOKUP(AQ17,'Writing Logic'!$A$3:$B$7,2,FALSE),VLOOKUP(AR17,'Writing Logic'!$A$3:$B$7,2,FALSE),VLOOKUP(AS17,'Writing Logic'!$A$3:$B$7,2,FALSE))))),"Fill All 4")</f>
        <v>Fill All 4</v>
      </c>
      <c r="AU17" s="95" t="str">
        <f t="shared" si="4"/>
        <v/>
      </c>
    </row>
    <row r="18" spans="1:47" x14ac:dyDescent="0.25">
      <c r="A18" s="13"/>
      <c r="B18" s="13"/>
      <c r="C18" s="13"/>
      <c r="D18" s="13"/>
      <c r="E18" s="13"/>
      <c r="F18" s="13"/>
      <c r="G18" s="13"/>
      <c r="H18" s="13"/>
      <c r="I18" s="13"/>
      <c r="J18" s="13"/>
      <c r="K18" s="183"/>
      <c r="L18" s="184"/>
      <c r="M18" s="120"/>
      <c r="N18" s="120"/>
      <c r="O18" s="120"/>
      <c r="P18" s="120"/>
      <c r="Q18" s="95" t="str">
        <f>IFERROR(IF(YES_Writing_ELA[[#This Row],[Literacy IPP]]='Writing Logic'!$E$26,"IPP",IF(OR(M18="EAL",N18="EAL",O18="EAL",P18="EAL"),"EAL",IF(M18='Writing Logic'!$A$10,AVERAGE(VLOOKUP(N18,'Writing Logic'!$A$3:$B$7,2,FALSE),VLOOKUP(O18,'Writing Logic'!$A$3:$B$7,2,FALSE),VLOOKUP(P18,'Writing Logic'!$A$3:$B$7,2,FALSE)),AVERAGE(VLOOKUP(M18,'Writing Logic'!$A$3:$B$7,2,FALSE),VLOOKUP(N18,'Writing Logic'!$A$3:$B$7,2,FALSE),VLOOKUP(O18,'Writing Logic'!$A$3:$B$7,2,FALSE),VLOOKUP(P18,'Writing Logic'!$A$3:$B$7,2,FALSE))))),"Fill All 4")</f>
        <v>Fill All 4</v>
      </c>
      <c r="R18" s="120"/>
      <c r="S18" s="120"/>
      <c r="T18" s="120"/>
      <c r="U18" s="120"/>
      <c r="V18" s="95" t="str">
        <f>IFERROR(IF(YES_Writing_ELA[[#This Row],[Literacy IPP]]='Writing Logic'!$E$26,"IPP",IF(OR(R18="EAL",S18="EAL",T18="EAL",U18="EAL"),"EAL",IF(R18='Writing Logic'!$A$10,AVERAGE(VLOOKUP(S18,'Writing Logic'!$A$3:$B$7,2,FALSE),VLOOKUP(T18,'Writing Logic'!$A$3:$B$7,2,FALSE),VLOOKUP(U18,'Writing Logic'!$A$3:$B$7,2,FALSE)),AVERAGE(VLOOKUP(R18,'Writing Logic'!$A$3:$B$7,2,FALSE),VLOOKUP(S18,'Writing Logic'!$A$3:$B$7,2,FALSE),VLOOKUP(T18,'Writing Logic'!$A$3:$B$7,2,FALSE),VLOOKUP(U18,'Writing Logic'!$A$3:$B$7,2,FALSE))))),"Fill All 4")</f>
        <v>Fill All 4</v>
      </c>
      <c r="W18" s="95" t="str">
        <f t="shared" si="0"/>
        <v/>
      </c>
      <c r="X18" s="120"/>
      <c r="Y18" s="120"/>
      <c r="Z18" s="120"/>
      <c r="AA18" s="120"/>
      <c r="AB18" s="95" t="str">
        <f>IFERROR(IF(YES_Writing_ELA[[#This Row],[Literacy IPP]]='Writing Logic'!$E$26,"IPP",IF(OR(X18="EAL",Y18="EAL",Z18="EAL",AA18="EAL"),"EAL",IF(X18='Writing Logic'!$A$10,AVERAGE(VLOOKUP(Y18,'Writing Logic'!$A$3:$B$7,2,FALSE),VLOOKUP(Z18,'Writing Logic'!$A$3:$B$7,2,FALSE),VLOOKUP(AA18,'Writing Logic'!$A$3:$B$7,2,FALSE)),AVERAGE(VLOOKUP(X18,'Writing Logic'!$A$3:$B$7,2,FALSE),VLOOKUP(Y18,'Writing Logic'!$A$3:$B$7,2,FALSE),VLOOKUP(Z18,'Writing Logic'!$A$3:$B$7,2,FALSE),VLOOKUP(AA18,'Writing Logic'!$A$3:$B$7,2,FALSE))))),"Fill All 4")</f>
        <v>Fill All 4</v>
      </c>
      <c r="AC18" s="95" t="str">
        <f t="shared" si="1"/>
        <v/>
      </c>
      <c r="AD18" s="120"/>
      <c r="AE18" s="120"/>
      <c r="AF18" s="120"/>
      <c r="AG18" s="120"/>
      <c r="AH18" s="95" t="str">
        <f>IFERROR(IF(YES_Writing_ELA[[#This Row],[Literacy IPP]]='Writing Logic'!$E$26,"IPP",IF(OR(AD18="EAL",AE18="EAL",AF18="EAL",AG18="EAL"),"EAL",IF(AD18='Writing Logic'!$A$10,AVERAGE(VLOOKUP(AE18,'Writing Logic'!$A$3:$B$7,2,FALSE),VLOOKUP(AF18,'Writing Logic'!$A$3:$B$7,2,FALSE),VLOOKUP(AG18,'Writing Logic'!$A$3:$B$7,2,FALSE)),AVERAGE(VLOOKUP(AD18,'Writing Logic'!$A$3:$B$7,2,FALSE),VLOOKUP(AE18,'Writing Logic'!$A$3:$B$7,2,FALSE),VLOOKUP(AF18,'Writing Logic'!$A$3:$B$7,2,FALSE),VLOOKUP(AG18,'Writing Logic'!$A$3:$B$7,2,FALSE))))),"Fill All 4")</f>
        <v>Fill All 4</v>
      </c>
      <c r="AI18" s="95" t="str">
        <f t="shared" si="2"/>
        <v/>
      </c>
      <c r="AJ18" s="183"/>
      <c r="AK18" s="120"/>
      <c r="AL18" s="120"/>
      <c r="AM18" s="120"/>
      <c r="AN18" s="95" t="str">
        <f>IFERROR(IF(YES_Writing_ELA[[#This Row],[Literacy IPP]]='Writing Logic'!$E$26,"IPP",IF(OR(AJ18="EAL",AK18="EAL",AL18="EAL",AM18="EAL"),"EAL",IF(AJ18='Writing Logic'!$A$10,AVERAGE(VLOOKUP(AK18,'Writing Logic'!$A$3:$B$7,2,FALSE),VLOOKUP(AL18,'Writing Logic'!$A$3:$B$7,2,FALSE),VLOOKUP(AM18,'Writing Logic'!$A$3:$B$7,2,FALSE)),AVERAGE(VLOOKUP(AJ18,'Writing Logic'!$A$3:$B$7,2,FALSE),VLOOKUP(AK18,'Writing Logic'!$A$3:$B$7,2,FALSE),VLOOKUP(AL18,'Writing Logic'!$A$3:$B$7,2,FALSE),VLOOKUP(AM18,'Writing Logic'!$A$3:$B$7,2,FALSE))))),"Fill All 4")</f>
        <v>Fill All 4</v>
      </c>
      <c r="AO18" s="95" t="str">
        <f t="shared" si="3"/>
        <v/>
      </c>
      <c r="AP18" s="120"/>
      <c r="AQ18" s="120"/>
      <c r="AR18" s="120"/>
      <c r="AS18" s="120"/>
      <c r="AT18" s="95" t="str">
        <f>IFERROR(IF(YES_Writing_ELA[[#This Row],[Literacy IPP]]='Writing Logic'!$E$26,"IPP",IF(OR(AP18="EAL",AQ18="EAL",AR18="EAL",AS18="EAL"),"EAL",IF(AP18='Writing Logic'!$A$10,AVERAGE(VLOOKUP(AQ18,'Writing Logic'!$A$3:$B$7,2,FALSE),VLOOKUP(AR18,'Writing Logic'!$A$3:$B$7,2,FALSE),VLOOKUP(AS18,'Writing Logic'!$A$3:$B$7,2,FALSE)),AVERAGE(VLOOKUP(AP18,'Writing Logic'!$A$3:$B$7,2,FALSE),VLOOKUP(AQ18,'Writing Logic'!$A$3:$B$7,2,FALSE),VLOOKUP(AR18,'Writing Logic'!$A$3:$B$7,2,FALSE),VLOOKUP(AS18,'Writing Logic'!$A$3:$B$7,2,FALSE))))),"Fill All 4")</f>
        <v>Fill All 4</v>
      </c>
      <c r="AU18" s="95" t="str">
        <f t="shared" si="4"/>
        <v/>
      </c>
    </row>
    <row r="19" spans="1:47" x14ac:dyDescent="0.25">
      <c r="A19" s="13"/>
      <c r="B19" s="13"/>
      <c r="C19" s="13"/>
      <c r="D19" s="13"/>
      <c r="E19" s="13"/>
      <c r="F19" s="13"/>
      <c r="G19" s="13"/>
      <c r="H19" s="13"/>
      <c r="I19" s="13"/>
      <c r="J19" s="13"/>
      <c r="K19" s="183"/>
      <c r="L19" s="184"/>
      <c r="M19" s="120"/>
      <c r="N19" s="120"/>
      <c r="O19" s="120"/>
      <c r="P19" s="120"/>
      <c r="Q19" s="95" t="str">
        <f>IFERROR(IF(YES_Writing_ELA[[#This Row],[Literacy IPP]]='Writing Logic'!$E$26,"IPP",IF(OR(M19="EAL",N19="EAL",O19="EAL",P19="EAL"),"EAL",IF(M19='Writing Logic'!$A$10,AVERAGE(VLOOKUP(N19,'Writing Logic'!$A$3:$B$7,2,FALSE),VLOOKUP(O19,'Writing Logic'!$A$3:$B$7,2,FALSE),VLOOKUP(P19,'Writing Logic'!$A$3:$B$7,2,FALSE)),AVERAGE(VLOOKUP(M19,'Writing Logic'!$A$3:$B$7,2,FALSE),VLOOKUP(N19,'Writing Logic'!$A$3:$B$7,2,FALSE),VLOOKUP(O19,'Writing Logic'!$A$3:$B$7,2,FALSE),VLOOKUP(P19,'Writing Logic'!$A$3:$B$7,2,FALSE))))),"Fill All 4")</f>
        <v>Fill All 4</v>
      </c>
      <c r="R19" s="120"/>
      <c r="S19" s="120"/>
      <c r="T19" s="120"/>
      <c r="U19" s="120"/>
      <c r="V19" s="95" t="str">
        <f>IFERROR(IF(YES_Writing_ELA[[#This Row],[Literacy IPP]]='Writing Logic'!$E$26,"IPP",IF(OR(R19="EAL",S19="EAL",T19="EAL",U19="EAL"),"EAL",IF(R19='Writing Logic'!$A$10,AVERAGE(VLOOKUP(S19,'Writing Logic'!$A$3:$B$7,2,FALSE),VLOOKUP(T19,'Writing Logic'!$A$3:$B$7,2,FALSE),VLOOKUP(U19,'Writing Logic'!$A$3:$B$7,2,FALSE)),AVERAGE(VLOOKUP(R19,'Writing Logic'!$A$3:$B$7,2,FALSE),VLOOKUP(S19,'Writing Logic'!$A$3:$B$7,2,FALSE),VLOOKUP(T19,'Writing Logic'!$A$3:$B$7,2,FALSE),VLOOKUP(U19,'Writing Logic'!$A$3:$B$7,2,FALSE))))),"Fill All 4")</f>
        <v>Fill All 4</v>
      </c>
      <c r="W19" s="95" t="str">
        <f t="shared" si="0"/>
        <v/>
      </c>
      <c r="X19" s="120"/>
      <c r="Y19" s="120"/>
      <c r="Z19" s="120"/>
      <c r="AA19" s="120"/>
      <c r="AB19" s="95" t="str">
        <f>IFERROR(IF(YES_Writing_ELA[[#This Row],[Literacy IPP]]='Writing Logic'!$E$26,"IPP",IF(OR(X19="EAL",Y19="EAL",Z19="EAL",AA19="EAL"),"EAL",IF(X19='Writing Logic'!$A$10,AVERAGE(VLOOKUP(Y19,'Writing Logic'!$A$3:$B$7,2,FALSE),VLOOKUP(Z19,'Writing Logic'!$A$3:$B$7,2,FALSE),VLOOKUP(AA19,'Writing Logic'!$A$3:$B$7,2,FALSE)),AVERAGE(VLOOKUP(X19,'Writing Logic'!$A$3:$B$7,2,FALSE),VLOOKUP(Y19,'Writing Logic'!$A$3:$B$7,2,FALSE),VLOOKUP(Z19,'Writing Logic'!$A$3:$B$7,2,FALSE),VLOOKUP(AA19,'Writing Logic'!$A$3:$B$7,2,FALSE))))),"Fill All 4")</f>
        <v>Fill All 4</v>
      </c>
      <c r="AC19" s="95" t="str">
        <f t="shared" si="1"/>
        <v/>
      </c>
      <c r="AD19" s="120"/>
      <c r="AE19" s="120"/>
      <c r="AF19" s="120"/>
      <c r="AG19" s="120"/>
      <c r="AH19" s="95" t="str">
        <f>IFERROR(IF(YES_Writing_ELA[[#This Row],[Literacy IPP]]='Writing Logic'!$E$26,"IPP",IF(OR(AD19="EAL",AE19="EAL",AF19="EAL",AG19="EAL"),"EAL",IF(AD19='Writing Logic'!$A$10,AVERAGE(VLOOKUP(AE19,'Writing Logic'!$A$3:$B$7,2,FALSE),VLOOKUP(AF19,'Writing Logic'!$A$3:$B$7,2,FALSE),VLOOKUP(AG19,'Writing Logic'!$A$3:$B$7,2,FALSE)),AVERAGE(VLOOKUP(AD19,'Writing Logic'!$A$3:$B$7,2,FALSE),VLOOKUP(AE19,'Writing Logic'!$A$3:$B$7,2,FALSE),VLOOKUP(AF19,'Writing Logic'!$A$3:$B$7,2,FALSE),VLOOKUP(AG19,'Writing Logic'!$A$3:$B$7,2,FALSE))))),"Fill All 4")</f>
        <v>Fill All 4</v>
      </c>
      <c r="AI19" s="95" t="str">
        <f t="shared" si="2"/>
        <v/>
      </c>
      <c r="AJ19" s="183"/>
      <c r="AK19" s="120"/>
      <c r="AL19" s="120"/>
      <c r="AM19" s="120"/>
      <c r="AN19" s="95" t="str">
        <f>IFERROR(IF(YES_Writing_ELA[[#This Row],[Literacy IPP]]='Writing Logic'!$E$26,"IPP",IF(OR(AJ19="EAL",AK19="EAL",AL19="EAL",AM19="EAL"),"EAL",IF(AJ19='Writing Logic'!$A$10,AVERAGE(VLOOKUP(AK19,'Writing Logic'!$A$3:$B$7,2,FALSE),VLOOKUP(AL19,'Writing Logic'!$A$3:$B$7,2,FALSE),VLOOKUP(AM19,'Writing Logic'!$A$3:$B$7,2,FALSE)),AVERAGE(VLOOKUP(AJ19,'Writing Logic'!$A$3:$B$7,2,FALSE),VLOOKUP(AK19,'Writing Logic'!$A$3:$B$7,2,FALSE),VLOOKUP(AL19,'Writing Logic'!$A$3:$B$7,2,FALSE),VLOOKUP(AM19,'Writing Logic'!$A$3:$B$7,2,FALSE))))),"Fill All 4")</f>
        <v>Fill All 4</v>
      </c>
      <c r="AO19" s="95" t="str">
        <f t="shared" si="3"/>
        <v/>
      </c>
      <c r="AP19" s="120"/>
      <c r="AQ19" s="120"/>
      <c r="AR19" s="120"/>
      <c r="AS19" s="120"/>
      <c r="AT19" s="95" t="str">
        <f>IFERROR(IF(YES_Writing_ELA[[#This Row],[Literacy IPP]]='Writing Logic'!$E$26,"IPP",IF(OR(AP19="EAL",AQ19="EAL",AR19="EAL",AS19="EAL"),"EAL",IF(AP19='Writing Logic'!$A$10,AVERAGE(VLOOKUP(AQ19,'Writing Logic'!$A$3:$B$7,2,FALSE),VLOOKUP(AR19,'Writing Logic'!$A$3:$B$7,2,FALSE),VLOOKUP(AS19,'Writing Logic'!$A$3:$B$7,2,FALSE)),AVERAGE(VLOOKUP(AP19,'Writing Logic'!$A$3:$B$7,2,FALSE),VLOOKUP(AQ19,'Writing Logic'!$A$3:$B$7,2,FALSE),VLOOKUP(AR19,'Writing Logic'!$A$3:$B$7,2,FALSE),VLOOKUP(AS19,'Writing Logic'!$A$3:$B$7,2,FALSE))))),"Fill All 4")</f>
        <v>Fill All 4</v>
      </c>
      <c r="AU19" s="95" t="str">
        <f t="shared" si="4"/>
        <v/>
      </c>
    </row>
    <row r="20" spans="1:47" x14ac:dyDescent="0.25">
      <c r="A20" s="13"/>
      <c r="B20" s="13"/>
      <c r="C20" s="13"/>
      <c r="D20" s="13"/>
      <c r="E20" s="13"/>
      <c r="F20" s="13"/>
      <c r="G20" s="13"/>
      <c r="H20" s="13"/>
      <c r="I20" s="13"/>
      <c r="J20" s="13"/>
      <c r="K20" s="183"/>
      <c r="L20" s="184"/>
      <c r="M20" s="120"/>
      <c r="N20" s="120"/>
      <c r="O20" s="120"/>
      <c r="P20" s="120"/>
      <c r="Q20" s="95" t="str">
        <f>IFERROR(IF(YES_Writing_ELA[[#This Row],[Literacy IPP]]='Writing Logic'!$E$26,"IPP",IF(OR(M20="EAL",N20="EAL",O20="EAL",P20="EAL"),"EAL",IF(M20='Writing Logic'!$A$10,AVERAGE(VLOOKUP(N20,'Writing Logic'!$A$3:$B$7,2,FALSE),VLOOKUP(O20,'Writing Logic'!$A$3:$B$7,2,FALSE),VLOOKUP(P20,'Writing Logic'!$A$3:$B$7,2,FALSE)),AVERAGE(VLOOKUP(M20,'Writing Logic'!$A$3:$B$7,2,FALSE),VLOOKUP(N20,'Writing Logic'!$A$3:$B$7,2,FALSE),VLOOKUP(O20,'Writing Logic'!$A$3:$B$7,2,FALSE),VLOOKUP(P20,'Writing Logic'!$A$3:$B$7,2,FALSE))))),"Fill All 4")</f>
        <v>Fill All 4</v>
      </c>
      <c r="R20" s="120"/>
      <c r="S20" s="120"/>
      <c r="T20" s="120"/>
      <c r="U20" s="120"/>
      <c r="V20" s="95" t="str">
        <f>IFERROR(IF(YES_Writing_ELA[[#This Row],[Literacy IPP]]='Writing Logic'!$E$26,"IPP",IF(OR(R20="EAL",S20="EAL",T20="EAL",U20="EAL"),"EAL",IF(R20='Writing Logic'!$A$10,AVERAGE(VLOOKUP(S20,'Writing Logic'!$A$3:$B$7,2,FALSE),VLOOKUP(T20,'Writing Logic'!$A$3:$B$7,2,FALSE),VLOOKUP(U20,'Writing Logic'!$A$3:$B$7,2,FALSE)),AVERAGE(VLOOKUP(R20,'Writing Logic'!$A$3:$B$7,2,FALSE),VLOOKUP(S20,'Writing Logic'!$A$3:$B$7,2,FALSE),VLOOKUP(T20,'Writing Logic'!$A$3:$B$7,2,FALSE),VLOOKUP(U20,'Writing Logic'!$A$3:$B$7,2,FALSE))))),"Fill All 4")</f>
        <v>Fill All 4</v>
      </c>
      <c r="W20" s="95" t="str">
        <f t="shared" si="0"/>
        <v/>
      </c>
      <c r="X20" s="120"/>
      <c r="Y20" s="120"/>
      <c r="Z20" s="120"/>
      <c r="AA20" s="120"/>
      <c r="AB20" s="95" t="str">
        <f>IFERROR(IF(YES_Writing_ELA[[#This Row],[Literacy IPP]]='Writing Logic'!$E$26,"IPP",IF(OR(X20="EAL",Y20="EAL",Z20="EAL",AA20="EAL"),"EAL",IF(X20='Writing Logic'!$A$10,AVERAGE(VLOOKUP(Y20,'Writing Logic'!$A$3:$B$7,2,FALSE),VLOOKUP(Z20,'Writing Logic'!$A$3:$B$7,2,FALSE),VLOOKUP(AA20,'Writing Logic'!$A$3:$B$7,2,FALSE)),AVERAGE(VLOOKUP(X20,'Writing Logic'!$A$3:$B$7,2,FALSE),VLOOKUP(Y20,'Writing Logic'!$A$3:$B$7,2,FALSE),VLOOKUP(Z20,'Writing Logic'!$A$3:$B$7,2,FALSE),VLOOKUP(AA20,'Writing Logic'!$A$3:$B$7,2,FALSE))))),"Fill All 4")</f>
        <v>Fill All 4</v>
      </c>
      <c r="AC20" s="95" t="str">
        <f t="shared" si="1"/>
        <v/>
      </c>
      <c r="AD20" s="120"/>
      <c r="AE20" s="120"/>
      <c r="AF20" s="120"/>
      <c r="AG20" s="120"/>
      <c r="AH20" s="95" t="str">
        <f>IFERROR(IF(YES_Writing_ELA[[#This Row],[Literacy IPP]]='Writing Logic'!$E$26,"IPP",IF(OR(AD20="EAL",AE20="EAL",AF20="EAL",AG20="EAL"),"EAL",IF(AD20='Writing Logic'!$A$10,AVERAGE(VLOOKUP(AE20,'Writing Logic'!$A$3:$B$7,2,FALSE),VLOOKUP(AF20,'Writing Logic'!$A$3:$B$7,2,FALSE),VLOOKUP(AG20,'Writing Logic'!$A$3:$B$7,2,FALSE)),AVERAGE(VLOOKUP(AD20,'Writing Logic'!$A$3:$B$7,2,FALSE),VLOOKUP(AE20,'Writing Logic'!$A$3:$B$7,2,FALSE),VLOOKUP(AF20,'Writing Logic'!$A$3:$B$7,2,FALSE),VLOOKUP(AG20,'Writing Logic'!$A$3:$B$7,2,FALSE))))),"Fill All 4")</f>
        <v>Fill All 4</v>
      </c>
      <c r="AI20" s="95" t="str">
        <f t="shared" si="2"/>
        <v/>
      </c>
      <c r="AJ20" s="183"/>
      <c r="AK20" s="120"/>
      <c r="AL20" s="120"/>
      <c r="AM20" s="120"/>
      <c r="AN20" s="95" t="str">
        <f>IFERROR(IF(YES_Writing_ELA[[#This Row],[Literacy IPP]]='Writing Logic'!$E$26,"IPP",IF(OR(AJ20="EAL",AK20="EAL",AL20="EAL",AM20="EAL"),"EAL",IF(AJ20='Writing Logic'!$A$10,AVERAGE(VLOOKUP(AK20,'Writing Logic'!$A$3:$B$7,2,FALSE),VLOOKUP(AL20,'Writing Logic'!$A$3:$B$7,2,FALSE),VLOOKUP(AM20,'Writing Logic'!$A$3:$B$7,2,FALSE)),AVERAGE(VLOOKUP(AJ20,'Writing Logic'!$A$3:$B$7,2,FALSE),VLOOKUP(AK20,'Writing Logic'!$A$3:$B$7,2,FALSE),VLOOKUP(AL20,'Writing Logic'!$A$3:$B$7,2,FALSE),VLOOKUP(AM20,'Writing Logic'!$A$3:$B$7,2,FALSE))))),"Fill All 4")</f>
        <v>Fill All 4</v>
      </c>
      <c r="AO20" s="95" t="str">
        <f t="shared" si="3"/>
        <v/>
      </c>
      <c r="AP20" s="120"/>
      <c r="AQ20" s="120"/>
      <c r="AR20" s="120"/>
      <c r="AS20" s="120"/>
      <c r="AT20" s="95" t="str">
        <f>IFERROR(IF(YES_Writing_ELA[[#This Row],[Literacy IPP]]='Writing Logic'!$E$26,"IPP",IF(OR(AP20="EAL",AQ20="EAL",AR20="EAL",AS20="EAL"),"EAL",IF(AP20='Writing Logic'!$A$10,AVERAGE(VLOOKUP(AQ20,'Writing Logic'!$A$3:$B$7,2,FALSE),VLOOKUP(AR20,'Writing Logic'!$A$3:$B$7,2,FALSE),VLOOKUP(AS20,'Writing Logic'!$A$3:$B$7,2,FALSE)),AVERAGE(VLOOKUP(AP20,'Writing Logic'!$A$3:$B$7,2,FALSE),VLOOKUP(AQ20,'Writing Logic'!$A$3:$B$7,2,FALSE),VLOOKUP(AR20,'Writing Logic'!$A$3:$B$7,2,FALSE),VLOOKUP(AS20,'Writing Logic'!$A$3:$B$7,2,FALSE))))),"Fill All 4")</f>
        <v>Fill All 4</v>
      </c>
      <c r="AU20" s="95" t="str">
        <f t="shared" si="4"/>
        <v/>
      </c>
    </row>
    <row r="21" spans="1:47" x14ac:dyDescent="0.25">
      <c r="A21" s="13"/>
      <c r="B21" s="13"/>
      <c r="C21" s="13"/>
      <c r="D21" s="13"/>
      <c r="E21" s="13"/>
      <c r="F21" s="13"/>
      <c r="G21" s="13"/>
      <c r="H21" s="13"/>
      <c r="I21" s="13"/>
      <c r="J21" s="13"/>
      <c r="K21" s="183"/>
      <c r="L21" s="184"/>
      <c r="M21" s="120"/>
      <c r="N21" s="120"/>
      <c r="O21" s="120"/>
      <c r="P21" s="120"/>
      <c r="Q21" s="95" t="str">
        <f>IFERROR(IF(YES_Writing_ELA[[#This Row],[Literacy IPP]]='Writing Logic'!$E$26,"IPP",IF(OR(M21="EAL",N21="EAL",O21="EAL",P21="EAL"),"EAL",IF(M21='Writing Logic'!$A$10,AVERAGE(VLOOKUP(N21,'Writing Logic'!$A$3:$B$7,2,FALSE),VLOOKUP(O21,'Writing Logic'!$A$3:$B$7,2,FALSE),VLOOKUP(P21,'Writing Logic'!$A$3:$B$7,2,FALSE)),AVERAGE(VLOOKUP(M21,'Writing Logic'!$A$3:$B$7,2,FALSE),VLOOKUP(N21,'Writing Logic'!$A$3:$B$7,2,FALSE),VLOOKUP(O21,'Writing Logic'!$A$3:$B$7,2,FALSE),VLOOKUP(P21,'Writing Logic'!$A$3:$B$7,2,FALSE))))),"Fill All 4")</f>
        <v>Fill All 4</v>
      </c>
      <c r="R21" s="120"/>
      <c r="S21" s="120"/>
      <c r="T21" s="120"/>
      <c r="U21" s="120"/>
      <c r="V21" s="95" t="str">
        <f>IFERROR(IF(YES_Writing_ELA[[#This Row],[Literacy IPP]]='Writing Logic'!$E$26,"IPP",IF(OR(R21="EAL",S21="EAL",T21="EAL",U21="EAL"),"EAL",IF(R21='Writing Logic'!$A$10,AVERAGE(VLOOKUP(S21,'Writing Logic'!$A$3:$B$7,2,FALSE),VLOOKUP(T21,'Writing Logic'!$A$3:$B$7,2,FALSE),VLOOKUP(U21,'Writing Logic'!$A$3:$B$7,2,FALSE)),AVERAGE(VLOOKUP(R21,'Writing Logic'!$A$3:$B$7,2,FALSE),VLOOKUP(S21,'Writing Logic'!$A$3:$B$7,2,FALSE),VLOOKUP(T21,'Writing Logic'!$A$3:$B$7,2,FALSE),VLOOKUP(U21,'Writing Logic'!$A$3:$B$7,2,FALSE))))),"Fill All 4")</f>
        <v>Fill All 4</v>
      </c>
      <c r="W21" s="95" t="str">
        <f t="shared" si="0"/>
        <v/>
      </c>
      <c r="X21" s="120"/>
      <c r="Y21" s="120"/>
      <c r="Z21" s="120"/>
      <c r="AA21" s="120"/>
      <c r="AB21" s="95" t="str">
        <f>IFERROR(IF(YES_Writing_ELA[[#This Row],[Literacy IPP]]='Writing Logic'!$E$26,"IPP",IF(OR(X21="EAL",Y21="EAL",Z21="EAL",AA21="EAL"),"EAL",IF(X21='Writing Logic'!$A$10,AVERAGE(VLOOKUP(Y21,'Writing Logic'!$A$3:$B$7,2,FALSE),VLOOKUP(Z21,'Writing Logic'!$A$3:$B$7,2,FALSE),VLOOKUP(AA21,'Writing Logic'!$A$3:$B$7,2,FALSE)),AVERAGE(VLOOKUP(X21,'Writing Logic'!$A$3:$B$7,2,FALSE),VLOOKUP(Y21,'Writing Logic'!$A$3:$B$7,2,FALSE),VLOOKUP(Z21,'Writing Logic'!$A$3:$B$7,2,FALSE),VLOOKUP(AA21,'Writing Logic'!$A$3:$B$7,2,FALSE))))),"Fill All 4")</f>
        <v>Fill All 4</v>
      </c>
      <c r="AC21" s="95" t="str">
        <f t="shared" si="1"/>
        <v/>
      </c>
      <c r="AD21" s="120"/>
      <c r="AE21" s="120"/>
      <c r="AF21" s="120"/>
      <c r="AG21" s="120"/>
      <c r="AH21" s="95" t="str">
        <f>IFERROR(IF(YES_Writing_ELA[[#This Row],[Literacy IPP]]='Writing Logic'!$E$26,"IPP",IF(OR(AD21="EAL",AE21="EAL",AF21="EAL",AG21="EAL"),"EAL",IF(AD21='Writing Logic'!$A$10,AVERAGE(VLOOKUP(AE21,'Writing Logic'!$A$3:$B$7,2,FALSE),VLOOKUP(AF21,'Writing Logic'!$A$3:$B$7,2,FALSE),VLOOKUP(AG21,'Writing Logic'!$A$3:$B$7,2,FALSE)),AVERAGE(VLOOKUP(AD21,'Writing Logic'!$A$3:$B$7,2,FALSE),VLOOKUP(AE21,'Writing Logic'!$A$3:$B$7,2,FALSE),VLOOKUP(AF21,'Writing Logic'!$A$3:$B$7,2,FALSE),VLOOKUP(AG21,'Writing Logic'!$A$3:$B$7,2,FALSE))))),"Fill All 4")</f>
        <v>Fill All 4</v>
      </c>
      <c r="AI21" s="95" t="str">
        <f t="shared" si="2"/>
        <v/>
      </c>
      <c r="AJ21" s="183"/>
      <c r="AK21" s="120"/>
      <c r="AL21" s="120"/>
      <c r="AM21" s="120"/>
      <c r="AN21" s="95" t="str">
        <f>IFERROR(IF(YES_Writing_ELA[[#This Row],[Literacy IPP]]='Writing Logic'!$E$26,"IPP",IF(OR(AJ21="EAL",AK21="EAL",AL21="EAL",AM21="EAL"),"EAL",IF(AJ21='Writing Logic'!$A$10,AVERAGE(VLOOKUP(AK21,'Writing Logic'!$A$3:$B$7,2,FALSE),VLOOKUP(AL21,'Writing Logic'!$A$3:$B$7,2,FALSE),VLOOKUP(AM21,'Writing Logic'!$A$3:$B$7,2,FALSE)),AVERAGE(VLOOKUP(AJ21,'Writing Logic'!$A$3:$B$7,2,FALSE),VLOOKUP(AK21,'Writing Logic'!$A$3:$B$7,2,FALSE),VLOOKUP(AL21,'Writing Logic'!$A$3:$B$7,2,FALSE),VLOOKUP(AM21,'Writing Logic'!$A$3:$B$7,2,FALSE))))),"Fill All 4")</f>
        <v>Fill All 4</v>
      </c>
      <c r="AO21" s="95" t="str">
        <f t="shared" si="3"/>
        <v/>
      </c>
      <c r="AP21" s="120"/>
      <c r="AQ21" s="120"/>
      <c r="AR21" s="120"/>
      <c r="AS21" s="120"/>
      <c r="AT21" s="95" t="str">
        <f>IFERROR(IF(YES_Writing_ELA[[#This Row],[Literacy IPP]]='Writing Logic'!$E$26,"IPP",IF(OR(AP21="EAL",AQ21="EAL",AR21="EAL",AS21="EAL"),"EAL",IF(AP21='Writing Logic'!$A$10,AVERAGE(VLOOKUP(AQ21,'Writing Logic'!$A$3:$B$7,2,FALSE),VLOOKUP(AR21,'Writing Logic'!$A$3:$B$7,2,FALSE),VLOOKUP(AS21,'Writing Logic'!$A$3:$B$7,2,FALSE)),AVERAGE(VLOOKUP(AP21,'Writing Logic'!$A$3:$B$7,2,FALSE),VLOOKUP(AQ21,'Writing Logic'!$A$3:$B$7,2,FALSE),VLOOKUP(AR21,'Writing Logic'!$A$3:$B$7,2,FALSE),VLOOKUP(AS21,'Writing Logic'!$A$3:$B$7,2,FALSE))))),"Fill All 4")</f>
        <v>Fill All 4</v>
      </c>
      <c r="AU21" s="95" t="str">
        <f t="shared" si="4"/>
        <v/>
      </c>
    </row>
    <row r="22" spans="1:47" x14ac:dyDescent="0.25">
      <c r="A22" s="13"/>
      <c r="B22" s="13"/>
      <c r="C22" s="13"/>
      <c r="D22" s="13"/>
      <c r="E22" s="13"/>
      <c r="F22" s="13"/>
      <c r="G22" s="13"/>
      <c r="H22" s="13"/>
      <c r="I22" s="13"/>
      <c r="J22" s="13"/>
      <c r="K22" s="183"/>
      <c r="L22" s="184"/>
      <c r="M22" s="120"/>
      <c r="N22" s="120"/>
      <c r="O22" s="120"/>
      <c r="P22" s="120"/>
      <c r="Q22" s="95" t="str">
        <f>IFERROR(IF(YES_Writing_ELA[[#This Row],[Literacy IPP]]='Writing Logic'!$E$26,"IPP",IF(OR(M22="EAL",N22="EAL",O22="EAL",P22="EAL"),"EAL",IF(M22='Writing Logic'!$A$10,AVERAGE(VLOOKUP(N22,'Writing Logic'!$A$3:$B$7,2,FALSE),VLOOKUP(O22,'Writing Logic'!$A$3:$B$7,2,FALSE),VLOOKUP(P22,'Writing Logic'!$A$3:$B$7,2,FALSE)),AVERAGE(VLOOKUP(M22,'Writing Logic'!$A$3:$B$7,2,FALSE),VLOOKUP(N22,'Writing Logic'!$A$3:$B$7,2,FALSE),VLOOKUP(O22,'Writing Logic'!$A$3:$B$7,2,FALSE),VLOOKUP(P22,'Writing Logic'!$A$3:$B$7,2,FALSE))))),"Fill All 4")</f>
        <v>Fill All 4</v>
      </c>
      <c r="R22" s="120"/>
      <c r="S22" s="120"/>
      <c r="T22" s="120"/>
      <c r="U22" s="120"/>
      <c r="V22" s="95" t="str">
        <f>IFERROR(IF(YES_Writing_ELA[[#This Row],[Literacy IPP]]='Writing Logic'!$E$26,"IPP",IF(OR(R22="EAL",S22="EAL",T22="EAL",U22="EAL"),"EAL",IF(R22='Writing Logic'!$A$10,AVERAGE(VLOOKUP(S22,'Writing Logic'!$A$3:$B$7,2,FALSE),VLOOKUP(T22,'Writing Logic'!$A$3:$B$7,2,FALSE),VLOOKUP(U22,'Writing Logic'!$A$3:$B$7,2,FALSE)),AVERAGE(VLOOKUP(R22,'Writing Logic'!$A$3:$B$7,2,FALSE),VLOOKUP(S22,'Writing Logic'!$A$3:$B$7,2,FALSE),VLOOKUP(T22,'Writing Logic'!$A$3:$B$7,2,FALSE),VLOOKUP(U22,'Writing Logic'!$A$3:$B$7,2,FALSE))))),"Fill All 4")</f>
        <v>Fill All 4</v>
      </c>
      <c r="W22" s="95" t="str">
        <f t="shared" si="0"/>
        <v/>
      </c>
      <c r="X22" s="120"/>
      <c r="Y22" s="120"/>
      <c r="Z22" s="120"/>
      <c r="AA22" s="120"/>
      <c r="AB22" s="95" t="str">
        <f>IFERROR(IF(YES_Writing_ELA[[#This Row],[Literacy IPP]]='Writing Logic'!$E$26,"IPP",IF(OR(X22="EAL",Y22="EAL",Z22="EAL",AA22="EAL"),"EAL",IF(X22='Writing Logic'!$A$10,AVERAGE(VLOOKUP(Y22,'Writing Logic'!$A$3:$B$7,2,FALSE),VLOOKUP(Z22,'Writing Logic'!$A$3:$B$7,2,FALSE),VLOOKUP(AA22,'Writing Logic'!$A$3:$B$7,2,FALSE)),AVERAGE(VLOOKUP(X22,'Writing Logic'!$A$3:$B$7,2,FALSE),VLOOKUP(Y22,'Writing Logic'!$A$3:$B$7,2,FALSE),VLOOKUP(Z22,'Writing Logic'!$A$3:$B$7,2,FALSE),VLOOKUP(AA22,'Writing Logic'!$A$3:$B$7,2,FALSE))))),"Fill All 4")</f>
        <v>Fill All 4</v>
      </c>
      <c r="AC22" s="95" t="str">
        <f t="shared" si="1"/>
        <v/>
      </c>
      <c r="AD22" s="120"/>
      <c r="AE22" s="120"/>
      <c r="AF22" s="120"/>
      <c r="AG22" s="120"/>
      <c r="AH22" s="95" t="str">
        <f>IFERROR(IF(YES_Writing_ELA[[#This Row],[Literacy IPP]]='Writing Logic'!$E$26,"IPP",IF(OR(AD22="EAL",AE22="EAL",AF22="EAL",AG22="EAL"),"EAL",IF(AD22='Writing Logic'!$A$10,AVERAGE(VLOOKUP(AE22,'Writing Logic'!$A$3:$B$7,2,FALSE),VLOOKUP(AF22,'Writing Logic'!$A$3:$B$7,2,FALSE),VLOOKUP(AG22,'Writing Logic'!$A$3:$B$7,2,FALSE)),AVERAGE(VLOOKUP(AD22,'Writing Logic'!$A$3:$B$7,2,FALSE),VLOOKUP(AE22,'Writing Logic'!$A$3:$B$7,2,FALSE),VLOOKUP(AF22,'Writing Logic'!$A$3:$B$7,2,FALSE),VLOOKUP(AG22,'Writing Logic'!$A$3:$B$7,2,FALSE))))),"Fill All 4")</f>
        <v>Fill All 4</v>
      </c>
      <c r="AI22" s="95" t="str">
        <f t="shared" si="2"/>
        <v/>
      </c>
      <c r="AJ22" s="183"/>
      <c r="AK22" s="120"/>
      <c r="AL22" s="120"/>
      <c r="AM22" s="120"/>
      <c r="AN22" s="95" t="str">
        <f>IFERROR(IF(YES_Writing_ELA[[#This Row],[Literacy IPP]]='Writing Logic'!$E$26,"IPP",IF(OR(AJ22="EAL",AK22="EAL",AL22="EAL",AM22="EAL"),"EAL",IF(AJ22='Writing Logic'!$A$10,AVERAGE(VLOOKUP(AK22,'Writing Logic'!$A$3:$B$7,2,FALSE),VLOOKUP(AL22,'Writing Logic'!$A$3:$B$7,2,FALSE),VLOOKUP(AM22,'Writing Logic'!$A$3:$B$7,2,FALSE)),AVERAGE(VLOOKUP(AJ22,'Writing Logic'!$A$3:$B$7,2,FALSE),VLOOKUP(AK22,'Writing Logic'!$A$3:$B$7,2,FALSE),VLOOKUP(AL22,'Writing Logic'!$A$3:$B$7,2,FALSE),VLOOKUP(AM22,'Writing Logic'!$A$3:$B$7,2,FALSE))))),"Fill All 4")</f>
        <v>Fill All 4</v>
      </c>
      <c r="AO22" s="95" t="str">
        <f t="shared" si="3"/>
        <v/>
      </c>
      <c r="AP22" s="120"/>
      <c r="AQ22" s="120"/>
      <c r="AR22" s="120"/>
      <c r="AS22" s="120"/>
      <c r="AT22" s="95" t="str">
        <f>IFERROR(IF(YES_Writing_ELA[[#This Row],[Literacy IPP]]='Writing Logic'!$E$26,"IPP",IF(OR(AP22="EAL",AQ22="EAL",AR22="EAL",AS22="EAL"),"EAL",IF(AP22='Writing Logic'!$A$10,AVERAGE(VLOOKUP(AQ22,'Writing Logic'!$A$3:$B$7,2,FALSE),VLOOKUP(AR22,'Writing Logic'!$A$3:$B$7,2,FALSE),VLOOKUP(AS22,'Writing Logic'!$A$3:$B$7,2,FALSE)),AVERAGE(VLOOKUP(AP22,'Writing Logic'!$A$3:$B$7,2,FALSE),VLOOKUP(AQ22,'Writing Logic'!$A$3:$B$7,2,FALSE),VLOOKUP(AR22,'Writing Logic'!$A$3:$B$7,2,FALSE),VLOOKUP(AS22,'Writing Logic'!$A$3:$B$7,2,FALSE))))),"Fill All 4")</f>
        <v>Fill All 4</v>
      </c>
      <c r="AU22" s="95" t="str">
        <f t="shared" si="4"/>
        <v/>
      </c>
    </row>
    <row r="23" spans="1:47" x14ac:dyDescent="0.25">
      <c r="A23" s="13"/>
      <c r="B23" s="13"/>
      <c r="C23" s="13"/>
      <c r="D23" s="13"/>
      <c r="E23" s="13"/>
      <c r="F23" s="13"/>
      <c r="G23" s="13"/>
      <c r="H23" s="13"/>
      <c r="I23" s="13"/>
      <c r="J23" s="13"/>
      <c r="K23" s="183"/>
      <c r="L23" s="184"/>
      <c r="M23" s="120"/>
      <c r="N23" s="120"/>
      <c r="O23" s="120"/>
      <c r="P23" s="120"/>
      <c r="Q23" s="95" t="str">
        <f>IFERROR(IF(YES_Writing_ELA[[#This Row],[Literacy IPP]]='Writing Logic'!$E$26,"IPP",IF(OR(M23="EAL",N23="EAL",O23="EAL",P23="EAL"),"EAL",IF(M23='Writing Logic'!$A$10,AVERAGE(VLOOKUP(N23,'Writing Logic'!$A$3:$B$7,2,FALSE),VLOOKUP(O23,'Writing Logic'!$A$3:$B$7,2,FALSE),VLOOKUP(P23,'Writing Logic'!$A$3:$B$7,2,FALSE)),AVERAGE(VLOOKUP(M23,'Writing Logic'!$A$3:$B$7,2,FALSE),VLOOKUP(N23,'Writing Logic'!$A$3:$B$7,2,FALSE),VLOOKUP(O23,'Writing Logic'!$A$3:$B$7,2,FALSE),VLOOKUP(P23,'Writing Logic'!$A$3:$B$7,2,FALSE))))),"Fill All 4")</f>
        <v>Fill All 4</v>
      </c>
      <c r="R23" s="120"/>
      <c r="S23" s="120"/>
      <c r="T23" s="120"/>
      <c r="U23" s="120"/>
      <c r="V23" s="95" t="str">
        <f>IFERROR(IF(YES_Writing_ELA[[#This Row],[Literacy IPP]]='Writing Logic'!$E$26,"IPP",IF(OR(R23="EAL",S23="EAL",T23="EAL",U23="EAL"),"EAL",IF(R23='Writing Logic'!$A$10,AVERAGE(VLOOKUP(S23,'Writing Logic'!$A$3:$B$7,2,FALSE),VLOOKUP(T23,'Writing Logic'!$A$3:$B$7,2,FALSE),VLOOKUP(U23,'Writing Logic'!$A$3:$B$7,2,FALSE)),AVERAGE(VLOOKUP(R23,'Writing Logic'!$A$3:$B$7,2,FALSE),VLOOKUP(S23,'Writing Logic'!$A$3:$B$7,2,FALSE),VLOOKUP(T23,'Writing Logic'!$A$3:$B$7,2,FALSE),VLOOKUP(U23,'Writing Logic'!$A$3:$B$7,2,FALSE))))),"Fill All 4")</f>
        <v>Fill All 4</v>
      </c>
      <c r="W23" s="95" t="str">
        <f t="shared" si="0"/>
        <v/>
      </c>
      <c r="X23" s="120"/>
      <c r="Y23" s="120"/>
      <c r="Z23" s="120"/>
      <c r="AA23" s="120"/>
      <c r="AB23" s="95" t="str">
        <f>IFERROR(IF(YES_Writing_ELA[[#This Row],[Literacy IPP]]='Writing Logic'!$E$26,"IPP",IF(OR(X23="EAL",Y23="EAL",Z23="EAL",AA23="EAL"),"EAL",IF(X23='Writing Logic'!$A$10,AVERAGE(VLOOKUP(Y23,'Writing Logic'!$A$3:$B$7,2,FALSE),VLOOKUP(Z23,'Writing Logic'!$A$3:$B$7,2,FALSE),VLOOKUP(AA23,'Writing Logic'!$A$3:$B$7,2,FALSE)),AVERAGE(VLOOKUP(X23,'Writing Logic'!$A$3:$B$7,2,FALSE),VLOOKUP(Y23,'Writing Logic'!$A$3:$B$7,2,FALSE),VLOOKUP(Z23,'Writing Logic'!$A$3:$B$7,2,FALSE),VLOOKUP(AA23,'Writing Logic'!$A$3:$B$7,2,FALSE))))),"Fill All 4")</f>
        <v>Fill All 4</v>
      </c>
      <c r="AC23" s="95" t="str">
        <f t="shared" si="1"/>
        <v/>
      </c>
      <c r="AD23" s="120"/>
      <c r="AE23" s="120"/>
      <c r="AF23" s="120"/>
      <c r="AG23" s="120"/>
      <c r="AH23" s="95" t="str">
        <f>IFERROR(IF(YES_Writing_ELA[[#This Row],[Literacy IPP]]='Writing Logic'!$E$26,"IPP",IF(OR(AD23="EAL",AE23="EAL",AF23="EAL",AG23="EAL"),"EAL",IF(AD23='Writing Logic'!$A$10,AVERAGE(VLOOKUP(AE23,'Writing Logic'!$A$3:$B$7,2,FALSE),VLOOKUP(AF23,'Writing Logic'!$A$3:$B$7,2,FALSE),VLOOKUP(AG23,'Writing Logic'!$A$3:$B$7,2,FALSE)),AVERAGE(VLOOKUP(AD23,'Writing Logic'!$A$3:$B$7,2,FALSE),VLOOKUP(AE23,'Writing Logic'!$A$3:$B$7,2,FALSE),VLOOKUP(AF23,'Writing Logic'!$A$3:$B$7,2,FALSE),VLOOKUP(AG23,'Writing Logic'!$A$3:$B$7,2,FALSE))))),"Fill All 4")</f>
        <v>Fill All 4</v>
      </c>
      <c r="AI23" s="95" t="str">
        <f t="shared" si="2"/>
        <v/>
      </c>
      <c r="AJ23" s="183"/>
      <c r="AK23" s="120"/>
      <c r="AL23" s="120"/>
      <c r="AM23" s="120"/>
      <c r="AN23" s="95" t="str">
        <f>IFERROR(IF(YES_Writing_ELA[[#This Row],[Literacy IPP]]='Writing Logic'!$E$26,"IPP",IF(OR(AJ23="EAL",AK23="EAL",AL23="EAL",AM23="EAL"),"EAL",IF(AJ23='Writing Logic'!$A$10,AVERAGE(VLOOKUP(AK23,'Writing Logic'!$A$3:$B$7,2,FALSE),VLOOKUP(AL23,'Writing Logic'!$A$3:$B$7,2,FALSE),VLOOKUP(AM23,'Writing Logic'!$A$3:$B$7,2,FALSE)),AVERAGE(VLOOKUP(AJ23,'Writing Logic'!$A$3:$B$7,2,FALSE),VLOOKUP(AK23,'Writing Logic'!$A$3:$B$7,2,FALSE),VLOOKUP(AL23,'Writing Logic'!$A$3:$B$7,2,FALSE),VLOOKUP(AM23,'Writing Logic'!$A$3:$B$7,2,FALSE))))),"Fill All 4")</f>
        <v>Fill All 4</v>
      </c>
      <c r="AO23" s="95" t="str">
        <f t="shared" si="3"/>
        <v/>
      </c>
      <c r="AP23" s="120"/>
      <c r="AQ23" s="120"/>
      <c r="AR23" s="120"/>
      <c r="AS23" s="120"/>
      <c r="AT23" s="95" t="str">
        <f>IFERROR(IF(YES_Writing_ELA[[#This Row],[Literacy IPP]]='Writing Logic'!$E$26,"IPP",IF(OR(AP23="EAL",AQ23="EAL",AR23="EAL",AS23="EAL"),"EAL",IF(AP23='Writing Logic'!$A$10,AVERAGE(VLOOKUP(AQ23,'Writing Logic'!$A$3:$B$7,2,FALSE),VLOOKUP(AR23,'Writing Logic'!$A$3:$B$7,2,FALSE),VLOOKUP(AS23,'Writing Logic'!$A$3:$B$7,2,FALSE)),AVERAGE(VLOOKUP(AP23,'Writing Logic'!$A$3:$B$7,2,FALSE),VLOOKUP(AQ23,'Writing Logic'!$A$3:$B$7,2,FALSE),VLOOKUP(AR23,'Writing Logic'!$A$3:$B$7,2,FALSE),VLOOKUP(AS23,'Writing Logic'!$A$3:$B$7,2,FALSE))))),"Fill All 4")</f>
        <v>Fill All 4</v>
      </c>
      <c r="AU23" s="95" t="str">
        <f t="shared" si="4"/>
        <v/>
      </c>
    </row>
    <row r="24" spans="1:47" x14ac:dyDescent="0.25">
      <c r="A24" s="13"/>
      <c r="B24" s="13"/>
      <c r="C24" s="13"/>
      <c r="D24" s="13"/>
      <c r="E24" s="13"/>
      <c r="F24" s="13"/>
      <c r="G24" s="13"/>
      <c r="H24" s="13"/>
      <c r="I24" s="13"/>
      <c r="J24" s="13"/>
      <c r="K24" s="183"/>
      <c r="L24" s="184"/>
      <c r="M24" s="120"/>
      <c r="N24" s="120"/>
      <c r="O24" s="120"/>
      <c r="P24" s="120"/>
      <c r="Q24" s="95" t="str">
        <f>IFERROR(IF(YES_Writing_ELA[[#This Row],[Literacy IPP]]='Writing Logic'!$E$26,"IPP",IF(OR(M24="EAL",N24="EAL",O24="EAL",P24="EAL"),"EAL",IF(M24='Writing Logic'!$A$10,AVERAGE(VLOOKUP(N24,'Writing Logic'!$A$3:$B$7,2,FALSE),VLOOKUP(O24,'Writing Logic'!$A$3:$B$7,2,FALSE),VLOOKUP(P24,'Writing Logic'!$A$3:$B$7,2,FALSE)),AVERAGE(VLOOKUP(M24,'Writing Logic'!$A$3:$B$7,2,FALSE),VLOOKUP(N24,'Writing Logic'!$A$3:$B$7,2,FALSE),VLOOKUP(O24,'Writing Logic'!$A$3:$B$7,2,FALSE),VLOOKUP(P24,'Writing Logic'!$A$3:$B$7,2,FALSE))))),"Fill All 4")</f>
        <v>Fill All 4</v>
      </c>
      <c r="R24" s="120"/>
      <c r="S24" s="120"/>
      <c r="T24" s="120"/>
      <c r="U24" s="120"/>
      <c r="V24" s="95" t="str">
        <f>IFERROR(IF(YES_Writing_ELA[[#This Row],[Literacy IPP]]='Writing Logic'!$E$26,"IPP",IF(OR(R24="EAL",S24="EAL",T24="EAL",U24="EAL"),"EAL",IF(R24='Writing Logic'!$A$10,AVERAGE(VLOOKUP(S24,'Writing Logic'!$A$3:$B$7,2,FALSE),VLOOKUP(T24,'Writing Logic'!$A$3:$B$7,2,FALSE),VLOOKUP(U24,'Writing Logic'!$A$3:$B$7,2,FALSE)),AVERAGE(VLOOKUP(R24,'Writing Logic'!$A$3:$B$7,2,FALSE),VLOOKUP(S24,'Writing Logic'!$A$3:$B$7,2,FALSE),VLOOKUP(T24,'Writing Logic'!$A$3:$B$7,2,FALSE),VLOOKUP(U24,'Writing Logic'!$A$3:$B$7,2,FALSE))))),"Fill All 4")</f>
        <v>Fill All 4</v>
      </c>
      <c r="W24" s="95" t="str">
        <f t="shared" si="0"/>
        <v/>
      </c>
      <c r="X24" s="120"/>
      <c r="Y24" s="120"/>
      <c r="Z24" s="120"/>
      <c r="AA24" s="120"/>
      <c r="AB24" s="95" t="str">
        <f>IFERROR(IF(YES_Writing_ELA[[#This Row],[Literacy IPP]]='Writing Logic'!$E$26,"IPP",IF(OR(X24="EAL",Y24="EAL",Z24="EAL",AA24="EAL"),"EAL",IF(X24='Writing Logic'!$A$10,AVERAGE(VLOOKUP(Y24,'Writing Logic'!$A$3:$B$7,2,FALSE),VLOOKUP(Z24,'Writing Logic'!$A$3:$B$7,2,FALSE),VLOOKUP(AA24,'Writing Logic'!$A$3:$B$7,2,FALSE)),AVERAGE(VLOOKUP(X24,'Writing Logic'!$A$3:$B$7,2,FALSE),VLOOKUP(Y24,'Writing Logic'!$A$3:$B$7,2,FALSE),VLOOKUP(Z24,'Writing Logic'!$A$3:$B$7,2,FALSE),VLOOKUP(AA24,'Writing Logic'!$A$3:$B$7,2,FALSE))))),"Fill All 4")</f>
        <v>Fill All 4</v>
      </c>
      <c r="AC24" s="95" t="str">
        <f t="shared" si="1"/>
        <v/>
      </c>
      <c r="AD24" s="120"/>
      <c r="AE24" s="120"/>
      <c r="AF24" s="120"/>
      <c r="AG24" s="120"/>
      <c r="AH24" s="95" t="str">
        <f>IFERROR(IF(YES_Writing_ELA[[#This Row],[Literacy IPP]]='Writing Logic'!$E$26,"IPP",IF(OR(AD24="EAL",AE24="EAL",AF24="EAL",AG24="EAL"),"EAL",IF(AD24='Writing Logic'!$A$10,AVERAGE(VLOOKUP(AE24,'Writing Logic'!$A$3:$B$7,2,FALSE),VLOOKUP(AF24,'Writing Logic'!$A$3:$B$7,2,FALSE),VLOOKUP(AG24,'Writing Logic'!$A$3:$B$7,2,FALSE)),AVERAGE(VLOOKUP(AD24,'Writing Logic'!$A$3:$B$7,2,FALSE),VLOOKUP(AE24,'Writing Logic'!$A$3:$B$7,2,FALSE),VLOOKUP(AF24,'Writing Logic'!$A$3:$B$7,2,FALSE),VLOOKUP(AG24,'Writing Logic'!$A$3:$B$7,2,FALSE))))),"Fill All 4")</f>
        <v>Fill All 4</v>
      </c>
      <c r="AI24" s="95" t="str">
        <f t="shared" si="2"/>
        <v/>
      </c>
      <c r="AJ24" s="183"/>
      <c r="AK24" s="120"/>
      <c r="AL24" s="120"/>
      <c r="AM24" s="120"/>
      <c r="AN24" s="95" t="str">
        <f>IFERROR(IF(YES_Writing_ELA[[#This Row],[Literacy IPP]]='Writing Logic'!$E$26,"IPP",IF(OR(AJ24="EAL",AK24="EAL",AL24="EAL",AM24="EAL"),"EAL",IF(AJ24='Writing Logic'!$A$10,AVERAGE(VLOOKUP(AK24,'Writing Logic'!$A$3:$B$7,2,FALSE),VLOOKUP(AL24,'Writing Logic'!$A$3:$B$7,2,FALSE),VLOOKUP(AM24,'Writing Logic'!$A$3:$B$7,2,FALSE)),AVERAGE(VLOOKUP(AJ24,'Writing Logic'!$A$3:$B$7,2,FALSE),VLOOKUP(AK24,'Writing Logic'!$A$3:$B$7,2,FALSE),VLOOKUP(AL24,'Writing Logic'!$A$3:$B$7,2,FALSE),VLOOKUP(AM24,'Writing Logic'!$A$3:$B$7,2,FALSE))))),"Fill All 4")</f>
        <v>Fill All 4</v>
      </c>
      <c r="AO24" s="95" t="str">
        <f t="shared" si="3"/>
        <v/>
      </c>
      <c r="AP24" s="120"/>
      <c r="AQ24" s="120"/>
      <c r="AR24" s="120"/>
      <c r="AS24" s="120"/>
      <c r="AT24" s="95" t="str">
        <f>IFERROR(IF(YES_Writing_ELA[[#This Row],[Literacy IPP]]='Writing Logic'!$E$26,"IPP",IF(OR(AP24="EAL",AQ24="EAL",AR24="EAL",AS24="EAL"),"EAL",IF(AP24='Writing Logic'!$A$10,AVERAGE(VLOOKUP(AQ24,'Writing Logic'!$A$3:$B$7,2,FALSE),VLOOKUP(AR24,'Writing Logic'!$A$3:$B$7,2,FALSE),VLOOKUP(AS24,'Writing Logic'!$A$3:$B$7,2,FALSE)),AVERAGE(VLOOKUP(AP24,'Writing Logic'!$A$3:$B$7,2,FALSE),VLOOKUP(AQ24,'Writing Logic'!$A$3:$B$7,2,FALSE),VLOOKUP(AR24,'Writing Logic'!$A$3:$B$7,2,FALSE),VLOOKUP(AS24,'Writing Logic'!$A$3:$B$7,2,FALSE))))),"Fill All 4")</f>
        <v>Fill All 4</v>
      </c>
      <c r="AU24" s="95" t="str">
        <f t="shared" si="4"/>
        <v/>
      </c>
    </row>
    <row r="25" spans="1:47" x14ac:dyDescent="0.25">
      <c r="A25" s="13"/>
      <c r="B25" s="13"/>
      <c r="C25" s="13"/>
      <c r="D25" s="13"/>
      <c r="E25" s="13"/>
      <c r="F25" s="13"/>
      <c r="G25" s="13"/>
      <c r="H25" s="13"/>
      <c r="I25" s="13"/>
      <c r="J25" s="13"/>
      <c r="K25" s="183"/>
      <c r="L25" s="184"/>
      <c r="M25" s="120"/>
      <c r="N25" s="120"/>
      <c r="O25" s="120"/>
      <c r="P25" s="120"/>
      <c r="Q25" s="95" t="str">
        <f>IFERROR(IF(YES_Writing_ELA[[#This Row],[Literacy IPP]]='Writing Logic'!$E$26,"IPP",IF(OR(M25="EAL",N25="EAL",O25="EAL",P25="EAL"),"EAL",IF(M25='Writing Logic'!$A$10,AVERAGE(VLOOKUP(N25,'Writing Logic'!$A$3:$B$7,2,FALSE),VLOOKUP(O25,'Writing Logic'!$A$3:$B$7,2,FALSE),VLOOKUP(P25,'Writing Logic'!$A$3:$B$7,2,FALSE)),AVERAGE(VLOOKUP(M25,'Writing Logic'!$A$3:$B$7,2,FALSE),VLOOKUP(N25,'Writing Logic'!$A$3:$B$7,2,FALSE),VLOOKUP(O25,'Writing Logic'!$A$3:$B$7,2,FALSE),VLOOKUP(P25,'Writing Logic'!$A$3:$B$7,2,FALSE))))),"Fill All 4")</f>
        <v>Fill All 4</v>
      </c>
      <c r="R25" s="120"/>
      <c r="S25" s="120"/>
      <c r="T25" s="120"/>
      <c r="U25" s="120"/>
      <c r="V25" s="95" t="str">
        <f>IFERROR(IF(YES_Writing_ELA[[#This Row],[Literacy IPP]]='Writing Logic'!$E$26,"IPP",IF(OR(R25="EAL",S25="EAL",T25="EAL",U25="EAL"),"EAL",IF(R25='Writing Logic'!$A$10,AVERAGE(VLOOKUP(S25,'Writing Logic'!$A$3:$B$7,2,FALSE),VLOOKUP(T25,'Writing Logic'!$A$3:$B$7,2,FALSE),VLOOKUP(U25,'Writing Logic'!$A$3:$B$7,2,FALSE)),AVERAGE(VLOOKUP(R25,'Writing Logic'!$A$3:$B$7,2,FALSE),VLOOKUP(S25,'Writing Logic'!$A$3:$B$7,2,FALSE),VLOOKUP(T25,'Writing Logic'!$A$3:$B$7,2,FALSE),VLOOKUP(U25,'Writing Logic'!$A$3:$B$7,2,FALSE))))),"Fill All 4")</f>
        <v>Fill All 4</v>
      </c>
      <c r="W25" s="95" t="str">
        <f t="shared" si="0"/>
        <v/>
      </c>
      <c r="X25" s="120"/>
      <c r="Y25" s="120"/>
      <c r="Z25" s="120"/>
      <c r="AA25" s="120"/>
      <c r="AB25" s="95" t="str">
        <f>IFERROR(IF(YES_Writing_ELA[[#This Row],[Literacy IPP]]='Writing Logic'!$E$26,"IPP",IF(OR(X25="EAL",Y25="EAL",Z25="EAL",AA25="EAL"),"EAL",IF(X25='Writing Logic'!$A$10,AVERAGE(VLOOKUP(Y25,'Writing Logic'!$A$3:$B$7,2,FALSE),VLOOKUP(Z25,'Writing Logic'!$A$3:$B$7,2,FALSE),VLOOKUP(AA25,'Writing Logic'!$A$3:$B$7,2,FALSE)),AVERAGE(VLOOKUP(X25,'Writing Logic'!$A$3:$B$7,2,FALSE),VLOOKUP(Y25,'Writing Logic'!$A$3:$B$7,2,FALSE),VLOOKUP(Z25,'Writing Logic'!$A$3:$B$7,2,FALSE),VLOOKUP(AA25,'Writing Logic'!$A$3:$B$7,2,FALSE))))),"Fill All 4")</f>
        <v>Fill All 4</v>
      </c>
      <c r="AC25" s="95" t="str">
        <f t="shared" si="1"/>
        <v/>
      </c>
      <c r="AD25" s="120"/>
      <c r="AE25" s="120"/>
      <c r="AF25" s="120"/>
      <c r="AG25" s="120"/>
      <c r="AH25" s="95" t="str">
        <f>IFERROR(IF(YES_Writing_ELA[[#This Row],[Literacy IPP]]='Writing Logic'!$E$26,"IPP",IF(OR(AD25="EAL",AE25="EAL",AF25="EAL",AG25="EAL"),"EAL",IF(AD25='Writing Logic'!$A$10,AVERAGE(VLOOKUP(AE25,'Writing Logic'!$A$3:$B$7,2,FALSE),VLOOKUP(AF25,'Writing Logic'!$A$3:$B$7,2,FALSE),VLOOKUP(AG25,'Writing Logic'!$A$3:$B$7,2,FALSE)),AVERAGE(VLOOKUP(AD25,'Writing Logic'!$A$3:$B$7,2,FALSE),VLOOKUP(AE25,'Writing Logic'!$A$3:$B$7,2,FALSE),VLOOKUP(AF25,'Writing Logic'!$A$3:$B$7,2,FALSE),VLOOKUP(AG25,'Writing Logic'!$A$3:$B$7,2,FALSE))))),"Fill All 4")</f>
        <v>Fill All 4</v>
      </c>
      <c r="AI25" s="95" t="str">
        <f t="shared" si="2"/>
        <v/>
      </c>
      <c r="AJ25" s="183"/>
      <c r="AK25" s="120"/>
      <c r="AL25" s="120"/>
      <c r="AM25" s="120"/>
      <c r="AN25" s="95" t="str">
        <f>IFERROR(IF(YES_Writing_ELA[[#This Row],[Literacy IPP]]='Writing Logic'!$E$26,"IPP",IF(OR(AJ25="EAL",AK25="EAL",AL25="EAL",AM25="EAL"),"EAL",IF(AJ25='Writing Logic'!$A$10,AVERAGE(VLOOKUP(AK25,'Writing Logic'!$A$3:$B$7,2,FALSE),VLOOKUP(AL25,'Writing Logic'!$A$3:$B$7,2,FALSE),VLOOKUP(AM25,'Writing Logic'!$A$3:$B$7,2,FALSE)),AVERAGE(VLOOKUP(AJ25,'Writing Logic'!$A$3:$B$7,2,FALSE),VLOOKUP(AK25,'Writing Logic'!$A$3:$B$7,2,FALSE),VLOOKUP(AL25,'Writing Logic'!$A$3:$B$7,2,FALSE),VLOOKUP(AM25,'Writing Logic'!$A$3:$B$7,2,FALSE))))),"Fill All 4")</f>
        <v>Fill All 4</v>
      </c>
      <c r="AO25" s="95" t="str">
        <f t="shared" si="3"/>
        <v/>
      </c>
      <c r="AP25" s="120"/>
      <c r="AQ25" s="120"/>
      <c r="AR25" s="120"/>
      <c r="AS25" s="120"/>
      <c r="AT25" s="95" t="str">
        <f>IFERROR(IF(YES_Writing_ELA[[#This Row],[Literacy IPP]]='Writing Logic'!$E$26,"IPP",IF(OR(AP25="EAL",AQ25="EAL",AR25="EAL",AS25="EAL"),"EAL",IF(AP25='Writing Logic'!$A$10,AVERAGE(VLOOKUP(AQ25,'Writing Logic'!$A$3:$B$7,2,FALSE),VLOOKUP(AR25,'Writing Logic'!$A$3:$B$7,2,FALSE),VLOOKUP(AS25,'Writing Logic'!$A$3:$B$7,2,FALSE)),AVERAGE(VLOOKUP(AP25,'Writing Logic'!$A$3:$B$7,2,FALSE),VLOOKUP(AQ25,'Writing Logic'!$A$3:$B$7,2,FALSE),VLOOKUP(AR25,'Writing Logic'!$A$3:$B$7,2,FALSE),VLOOKUP(AS25,'Writing Logic'!$A$3:$B$7,2,FALSE))))),"Fill All 4")</f>
        <v>Fill All 4</v>
      </c>
      <c r="AU25" s="95" t="str">
        <f t="shared" si="4"/>
        <v/>
      </c>
    </row>
    <row r="26" spans="1:47" x14ac:dyDescent="0.25">
      <c r="A26" s="13"/>
      <c r="B26" s="13"/>
      <c r="C26" s="13"/>
      <c r="D26" s="13"/>
      <c r="E26" s="13"/>
      <c r="F26" s="13"/>
      <c r="G26" s="13"/>
      <c r="H26" s="13"/>
      <c r="I26" s="13"/>
      <c r="J26" s="13"/>
      <c r="K26" s="183"/>
      <c r="L26" s="184"/>
      <c r="M26" s="120"/>
      <c r="N26" s="120"/>
      <c r="O26" s="120"/>
      <c r="P26" s="120"/>
      <c r="Q26" s="95" t="str">
        <f>IFERROR(IF(YES_Writing_ELA[[#This Row],[Literacy IPP]]='Writing Logic'!$E$26,"IPP",IF(OR(M26="EAL",N26="EAL",O26="EAL",P26="EAL"),"EAL",IF(M26='Writing Logic'!$A$10,AVERAGE(VLOOKUP(N26,'Writing Logic'!$A$3:$B$7,2,FALSE),VLOOKUP(O26,'Writing Logic'!$A$3:$B$7,2,FALSE),VLOOKUP(P26,'Writing Logic'!$A$3:$B$7,2,FALSE)),AVERAGE(VLOOKUP(M26,'Writing Logic'!$A$3:$B$7,2,FALSE),VLOOKUP(N26,'Writing Logic'!$A$3:$B$7,2,FALSE),VLOOKUP(O26,'Writing Logic'!$A$3:$B$7,2,FALSE),VLOOKUP(P26,'Writing Logic'!$A$3:$B$7,2,FALSE))))),"Fill All 4")</f>
        <v>Fill All 4</v>
      </c>
      <c r="R26" s="120"/>
      <c r="S26" s="120"/>
      <c r="T26" s="120"/>
      <c r="U26" s="120"/>
      <c r="V26" s="95" t="str">
        <f>IFERROR(IF(YES_Writing_ELA[[#This Row],[Literacy IPP]]='Writing Logic'!$E$26,"IPP",IF(OR(R26="EAL",S26="EAL",T26="EAL",U26="EAL"),"EAL",IF(R26='Writing Logic'!$A$10,AVERAGE(VLOOKUP(S26,'Writing Logic'!$A$3:$B$7,2,FALSE),VLOOKUP(T26,'Writing Logic'!$A$3:$B$7,2,FALSE),VLOOKUP(U26,'Writing Logic'!$A$3:$B$7,2,FALSE)),AVERAGE(VLOOKUP(R26,'Writing Logic'!$A$3:$B$7,2,FALSE),VLOOKUP(S26,'Writing Logic'!$A$3:$B$7,2,FALSE),VLOOKUP(T26,'Writing Logic'!$A$3:$B$7,2,FALSE),VLOOKUP(U26,'Writing Logic'!$A$3:$B$7,2,FALSE))))),"Fill All 4")</f>
        <v>Fill All 4</v>
      </c>
      <c r="W26" s="95" t="str">
        <f t="shared" si="0"/>
        <v/>
      </c>
      <c r="X26" s="120"/>
      <c r="Y26" s="120"/>
      <c r="Z26" s="120"/>
      <c r="AA26" s="120"/>
      <c r="AB26" s="95" t="str">
        <f>IFERROR(IF(YES_Writing_ELA[[#This Row],[Literacy IPP]]='Writing Logic'!$E$26,"IPP",IF(OR(X26="EAL",Y26="EAL",Z26="EAL",AA26="EAL"),"EAL",IF(X26='Writing Logic'!$A$10,AVERAGE(VLOOKUP(Y26,'Writing Logic'!$A$3:$B$7,2,FALSE),VLOOKUP(Z26,'Writing Logic'!$A$3:$B$7,2,FALSE),VLOOKUP(AA26,'Writing Logic'!$A$3:$B$7,2,FALSE)),AVERAGE(VLOOKUP(X26,'Writing Logic'!$A$3:$B$7,2,FALSE),VLOOKUP(Y26,'Writing Logic'!$A$3:$B$7,2,FALSE),VLOOKUP(Z26,'Writing Logic'!$A$3:$B$7,2,FALSE),VLOOKUP(AA26,'Writing Logic'!$A$3:$B$7,2,FALSE))))),"Fill All 4")</f>
        <v>Fill All 4</v>
      </c>
      <c r="AC26" s="95" t="str">
        <f t="shared" si="1"/>
        <v/>
      </c>
      <c r="AD26" s="120"/>
      <c r="AE26" s="120"/>
      <c r="AF26" s="120"/>
      <c r="AG26" s="120"/>
      <c r="AH26" s="95" t="str">
        <f>IFERROR(IF(YES_Writing_ELA[[#This Row],[Literacy IPP]]='Writing Logic'!$E$26,"IPP",IF(OR(AD26="EAL",AE26="EAL",AF26="EAL",AG26="EAL"),"EAL",IF(AD26='Writing Logic'!$A$10,AVERAGE(VLOOKUP(AE26,'Writing Logic'!$A$3:$B$7,2,FALSE),VLOOKUP(AF26,'Writing Logic'!$A$3:$B$7,2,FALSE),VLOOKUP(AG26,'Writing Logic'!$A$3:$B$7,2,FALSE)),AVERAGE(VLOOKUP(AD26,'Writing Logic'!$A$3:$B$7,2,FALSE),VLOOKUP(AE26,'Writing Logic'!$A$3:$B$7,2,FALSE),VLOOKUP(AF26,'Writing Logic'!$A$3:$B$7,2,FALSE),VLOOKUP(AG26,'Writing Logic'!$A$3:$B$7,2,FALSE))))),"Fill All 4")</f>
        <v>Fill All 4</v>
      </c>
      <c r="AI26" s="95" t="str">
        <f t="shared" si="2"/>
        <v/>
      </c>
      <c r="AJ26" s="183"/>
      <c r="AK26" s="120"/>
      <c r="AL26" s="120"/>
      <c r="AM26" s="120"/>
      <c r="AN26" s="95" t="str">
        <f>IFERROR(IF(YES_Writing_ELA[[#This Row],[Literacy IPP]]='Writing Logic'!$E$26,"IPP",IF(OR(AJ26="EAL",AK26="EAL",AL26="EAL",AM26="EAL"),"EAL",IF(AJ26='Writing Logic'!$A$10,AVERAGE(VLOOKUP(AK26,'Writing Logic'!$A$3:$B$7,2,FALSE),VLOOKUP(AL26,'Writing Logic'!$A$3:$B$7,2,FALSE),VLOOKUP(AM26,'Writing Logic'!$A$3:$B$7,2,FALSE)),AVERAGE(VLOOKUP(AJ26,'Writing Logic'!$A$3:$B$7,2,FALSE),VLOOKUP(AK26,'Writing Logic'!$A$3:$B$7,2,FALSE),VLOOKUP(AL26,'Writing Logic'!$A$3:$B$7,2,FALSE),VLOOKUP(AM26,'Writing Logic'!$A$3:$B$7,2,FALSE))))),"Fill All 4")</f>
        <v>Fill All 4</v>
      </c>
      <c r="AO26" s="95" t="str">
        <f t="shared" si="3"/>
        <v/>
      </c>
      <c r="AP26" s="120"/>
      <c r="AQ26" s="120"/>
      <c r="AR26" s="120"/>
      <c r="AS26" s="120"/>
      <c r="AT26" s="95" t="str">
        <f>IFERROR(IF(YES_Writing_ELA[[#This Row],[Literacy IPP]]='Writing Logic'!$E$26,"IPP",IF(OR(AP26="EAL",AQ26="EAL",AR26="EAL",AS26="EAL"),"EAL",IF(AP26='Writing Logic'!$A$10,AVERAGE(VLOOKUP(AQ26,'Writing Logic'!$A$3:$B$7,2,FALSE),VLOOKUP(AR26,'Writing Logic'!$A$3:$B$7,2,FALSE),VLOOKUP(AS26,'Writing Logic'!$A$3:$B$7,2,FALSE)),AVERAGE(VLOOKUP(AP26,'Writing Logic'!$A$3:$B$7,2,FALSE),VLOOKUP(AQ26,'Writing Logic'!$A$3:$B$7,2,FALSE),VLOOKUP(AR26,'Writing Logic'!$A$3:$B$7,2,FALSE),VLOOKUP(AS26,'Writing Logic'!$A$3:$B$7,2,FALSE))))),"Fill All 4")</f>
        <v>Fill All 4</v>
      </c>
      <c r="AU26" s="95" t="str">
        <f t="shared" si="4"/>
        <v/>
      </c>
    </row>
    <row r="27" spans="1:47" x14ac:dyDescent="0.25">
      <c r="A27" s="13"/>
      <c r="B27" s="13"/>
      <c r="C27" s="13"/>
      <c r="D27" s="13"/>
      <c r="E27" s="13"/>
      <c r="F27" s="13"/>
      <c r="G27" s="13"/>
      <c r="H27" s="13"/>
      <c r="I27" s="13"/>
      <c r="J27" s="13"/>
      <c r="K27" s="183"/>
      <c r="L27" s="184"/>
      <c r="M27" s="120"/>
      <c r="N27" s="120"/>
      <c r="O27" s="120"/>
      <c r="P27" s="120"/>
      <c r="Q27" s="95" t="str">
        <f>IFERROR(IF(YES_Writing_ELA[[#This Row],[Literacy IPP]]='Writing Logic'!$E$26,"IPP",IF(OR(M27="EAL",N27="EAL",O27="EAL",P27="EAL"),"EAL",IF(M27='Writing Logic'!$A$10,AVERAGE(VLOOKUP(N27,'Writing Logic'!$A$3:$B$7,2,FALSE),VLOOKUP(O27,'Writing Logic'!$A$3:$B$7,2,FALSE),VLOOKUP(P27,'Writing Logic'!$A$3:$B$7,2,FALSE)),AVERAGE(VLOOKUP(M27,'Writing Logic'!$A$3:$B$7,2,FALSE),VLOOKUP(N27,'Writing Logic'!$A$3:$B$7,2,FALSE),VLOOKUP(O27,'Writing Logic'!$A$3:$B$7,2,FALSE),VLOOKUP(P27,'Writing Logic'!$A$3:$B$7,2,FALSE))))),"Fill All 4")</f>
        <v>Fill All 4</v>
      </c>
      <c r="R27" s="120"/>
      <c r="S27" s="120"/>
      <c r="T27" s="120"/>
      <c r="U27" s="120"/>
      <c r="V27" s="95" t="str">
        <f>IFERROR(IF(YES_Writing_ELA[[#This Row],[Literacy IPP]]='Writing Logic'!$E$26,"IPP",IF(OR(R27="EAL",S27="EAL",T27="EAL",U27="EAL"),"EAL",IF(R27='Writing Logic'!$A$10,AVERAGE(VLOOKUP(S27,'Writing Logic'!$A$3:$B$7,2,FALSE),VLOOKUP(T27,'Writing Logic'!$A$3:$B$7,2,FALSE),VLOOKUP(U27,'Writing Logic'!$A$3:$B$7,2,FALSE)),AVERAGE(VLOOKUP(R27,'Writing Logic'!$A$3:$B$7,2,FALSE),VLOOKUP(S27,'Writing Logic'!$A$3:$B$7,2,FALSE),VLOOKUP(T27,'Writing Logic'!$A$3:$B$7,2,FALSE),VLOOKUP(U27,'Writing Logic'!$A$3:$B$7,2,FALSE))))),"Fill All 4")</f>
        <v>Fill All 4</v>
      </c>
      <c r="W27" s="95" t="str">
        <f t="shared" si="0"/>
        <v/>
      </c>
      <c r="X27" s="120"/>
      <c r="Y27" s="120"/>
      <c r="Z27" s="120"/>
      <c r="AA27" s="120"/>
      <c r="AB27" s="95" t="str">
        <f>IFERROR(IF(YES_Writing_ELA[[#This Row],[Literacy IPP]]='Writing Logic'!$E$26,"IPP",IF(OR(X27="EAL",Y27="EAL",Z27="EAL",AA27="EAL"),"EAL",IF(X27='Writing Logic'!$A$10,AVERAGE(VLOOKUP(Y27,'Writing Logic'!$A$3:$B$7,2,FALSE),VLOOKUP(Z27,'Writing Logic'!$A$3:$B$7,2,FALSE),VLOOKUP(AA27,'Writing Logic'!$A$3:$B$7,2,FALSE)),AVERAGE(VLOOKUP(X27,'Writing Logic'!$A$3:$B$7,2,FALSE),VLOOKUP(Y27,'Writing Logic'!$A$3:$B$7,2,FALSE),VLOOKUP(Z27,'Writing Logic'!$A$3:$B$7,2,FALSE),VLOOKUP(AA27,'Writing Logic'!$A$3:$B$7,2,FALSE))))),"Fill All 4")</f>
        <v>Fill All 4</v>
      </c>
      <c r="AC27" s="95" t="str">
        <f t="shared" si="1"/>
        <v/>
      </c>
      <c r="AD27" s="120"/>
      <c r="AE27" s="120"/>
      <c r="AF27" s="120"/>
      <c r="AG27" s="120"/>
      <c r="AH27" s="95" t="str">
        <f>IFERROR(IF(YES_Writing_ELA[[#This Row],[Literacy IPP]]='Writing Logic'!$E$26,"IPP",IF(OR(AD27="EAL",AE27="EAL",AF27="EAL",AG27="EAL"),"EAL",IF(AD27='Writing Logic'!$A$10,AVERAGE(VLOOKUP(AE27,'Writing Logic'!$A$3:$B$7,2,FALSE),VLOOKUP(AF27,'Writing Logic'!$A$3:$B$7,2,FALSE),VLOOKUP(AG27,'Writing Logic'!$A$3:$B$7,2,FALSE)),AVERAGE(VLOOKUP(AD27,'Writing Logic'!$A$3:$B$7,2,FALSE),VLOOKUP(AE27,'Writing Logic'!$A$3:$B$7,2,FALSE),VLOOKUP(AF27,'Writing Logic'!$A$3:$B$7,2,FALSE),VLOOKUP(AG27,'Writing Logic'!$A$3:$B$7,2,FALSE))))),"Fill All 4")</f>
        <v>Fill All 4</v>
      </c>
      <c r="AI27" s="95" t="str">
        <f t="shared" si="2"/>
        <v/>
      </c>
      <c r="AJ27" s="183"/>
      <c r="AK27" s="120"/>
      <c r="AL27" s="120"/>
      <c r="AM27" s="120"/>
      <c r="AN27" s="95" t="str">
        <f>IFERROR(IF(YES_Writing_ELA[[#This Row],[Literacy IPP]]='Writing Logic'!$E$26,"IPP",IF(OR(AJ27="EAL",AK27="EAL",AL27="EAL",AM27="EAL"),"EAL",IF(AJ27='Writing Logic'!$A$10,AVERAGE(VLOOKUP(AK27,'Writing Logic'!$A$3:$B$7,2,FALSE),VLOOKUP(AL27,'Writing Logic'!$A$3:$B$7,2,FALSE),VLOOKUP(AM27,'Writing Logic'!$A$3:$B$7,2,FALSE)),AVERAGE(VLOOKUP(AJ27,'Writing Logic'!$A$3:$B$7,2,FALSE),VLOOKUP(AK27,'Writing Logic'!$A$3:$B$7,2,FALSE),VLOOKUP(AL27,'Writing Logic'!$A$3:$B$7,2,FALSE),VLOOKUP(AM27,'Writing Logic'!$A$3:$B$7,2,FALSE))))),"Fill All 4")</f>
        <v>Fill All 4</v>
      </c>
      <c r="AO27" s="95" t="str">
        <f t="shared" si="3"/>
        <v/>
      </c>
      <c r="AP27" s="120"/>
      <c r="AQ27" s="120"/>
      <c r="AR27" s="120"/>
      <c r="AS27" s="120"/>
      <c r="AT27" s="95" t="str">
        <f>IFERROR(IF(YES_Writing_ELA[[#This Row],[Literacy IPP]]='Writing Logic'!$E$26,"IPP",IF(OR(AP27="EAL",AQ27="EAL",AR27="EAL",AS27="EAL"),"EAL",IF(AP27='Writing Logic'!$A$10,AVERAGE(VLOOKUP(AQ27,'Writing Logic'!$A$3:$B$7,2,FALSE),VLOOKUP(AR27,'Writing Logic'!$A$3:$B$7,2,FALSE),VLOOKUP(AS27,'Writing Logic'!$A$3:$B$7,2,FALSE)),AVERAGE(VLOOKUP(AP27,'Writing Logic'!$A$3:$B$7,2,FALSE),VLOOKUP(AQ27,'Writing Logic'!$A$3:$B$7,2,FALSE),VLOOKUP(AR27,'Writing Logic'!$A$3:$B$7,2,FALSE),VLOOKUP(AS27,'Writing Logic'!$A$3:$B$7,2,FALSE))))),"Fill All 4")</f>
        <v>Fill All 4</v>
      </c>
      <c r="AU27" s="95" t="str">
        <f t="shared" si="4"/>
        <v/>
      </c>
    </row>
    <row r="28" spans="1:47" x14ac:dyDescent="0.25">
      <c r="A28" s="13"/>
      <c r="B28" s="13"/>
      <c r="C28" s="13"/>
      <c r="D28" s="13"/>
      <c r="E28" s="13"/>
      <c r="F28" s="13"/>
      <c r="G28" s="13"/>
      <c r="H28" s="13"/>
      <c r="I28" s="13"/>
      <c r="J28" s="13"/>
      <c r="K28" s="183"/>
      <c r="L28" s="184"/>
      <c r="M28" s="120"/>
      <c r="N28" s="120"/>
      <c r="O28" s="120"/>
      <c r="P28" s="120"/>
      <c r="Q28" s="95" t="str">
        <f>IFERROR(IF(YES_Writing_ELA[[#This Row],[Literacy IPP]]='Writing Logic'!$E$26,"IPP",IF(OR(M28="EAL",N28="EAL",O28="EAL",P28="EAL"),"EAL",IF(M28='Writing Logic'!$A$10,AVERAGE(VLOOKUP(N28,'Writing Logic'!$A$3:$B$7,2,FALSE),VLOOKUP(O28,'Writing Logic'!$A$3:$B$7,2,FALSE),VLOOKUP(P28,'Writing Logic'!$A$3:$B$7,2,FALSE)),AVERAGE(VLOOKUP(M28,'Writing Logic'!$A$3:$B$7,2,FALSE),VLOOKUP(N28,'Writing Logic'!$A$3:$B$7,2,FALSE),VLOOKUP(O28,'Writing Logic'!$A$3:$B$7,2,FALSE),VLOOKUP(P28,'Writing Logic'!$A$3:$B$7,2,FALSE))))),"Fill All 4")</f>
        <v>Fill All 4</v>
      </c>
      <c r="R28" s="120"/>
      <c r="S28" s="120"/>
      <c r="T28" s="120"/>
      <c r="U28" s="120"/>
      <c r="V28" s="95" t="str">
        <f>IFERROR(IF(YES_Writing_ELA[[#This Row],[Literacy IPP]]='Writing Logic'!$E$26,"IPP",IF(OR(R28="EAL",S28="EAL",T28="EAL",U28="EAL"),"EAL",IF(R28='Writing Logic'!$A$10,AVERAGE(VLOOKUP(S28,'Writing Logic'!$A$3:$B$7,2,FALSE),VLOOKUP(T28,'Writing Logic'!$A$3:$B$7,2,FALSE),VLOOKUP(U28,'Writing Logic'!$A$3:$B$7,2,FALSE)),AVERAGE(VLOOKUP(R28,'Writing Logic'!$A$3:$B$7,2,FALSE),VLOOKUP(S28,'Writing Logic'!$A$3:$B$7,2,FALSE),VLOOKUP(T28,'Writing Logic'!$A$3:$B$7,2,FALSE),VLOOKUP(U28,'Writing Logic'!$A$3:$B$7,2,FALSE))))),"Fill All 4")</f>
        <v>Fill All 4</v>
      </c>
      <c r="W28" s="95" t="str">
        <f t="shared" si="0"/>
        <v/>
      </c>
      <c r="X28" s="120"/>
      <c r="Y28" s="120"/>
      <c r="Z28" s="120"/>
      <c r="AA28" s="120"/>
      <c r="AB28" s="95" t="str">
        <f>IFERROR(IF(YES_Writing_ELA[[#This Row],[Literacy IPP]]='Writing Logic'!$E$26,"IPP",IF(OR(X28="EAL",Y28="EAL",Z28="EAL",AA28="EAL"),"EAL",IF(X28='Writing Logic'!$A$10,AVERAGE(VLOOKUP(Y28,'Writing Logic'!$A$3:$B$7,2,FALSE),VLOOKUP(Z28,'Writing Logic'!$A$3:$B$7,2,FALSE),VLOOKUP(AA28,'Writing Logic'!$A$3:$B$7,2,FALSE)),AVERAGE(VLOOKUP(X28,'Writing Logic'!$A$3:$B$7,2,FALSE),VLOOKUP(Y28,'Writing Logic'!$A$3:$B$7,2,FALSE),VLOOKUP(Z28,'Writing Logic'!$A$3:$B$7,2,FALSE),VLOOKUP(AA28,'Writing Logic'!$A$3:$B$7,2,FALSE))))),"Fill All 4")</f>
        <v>Fill All 4</v>
      </c>
      <c r="AC28" s="95" t="str">
        <f t="shared" si="1"/>
        <v/>
      </c>
      <c r="AD28" s="120"/>
      <c r="AE28" s="120"/>
      <c r="AF28" s="120"/>
      <c r="AG28" s="120"/>
      <c r="AH28" s="95" t="str">
        <f>IFERROR(IF(YES_Writing_ELA[[#This Row],[Literacy IPP]]='Writing Logic'!$E$26,"IPP",IF(OR(AD28="EAL",AE28="EAL",AF28="EAL",AG28="EAL"),"EAL",IF(AD28='Writing Logic'!$A$10,AVERAGE(VLOOKUP(AE28,'Writing Logic'!$A$3:$B$7,2,FALSE),VLOOKUP(AF28,'Writing Logic'!$A$3:$B$7,2,FALSE),VLOOKUP(AG28,'Writing Logic'!$A$3:$B$7,2,FALSE)),AVERAGE(VLOOKUP(AD28,'Writing Logic'!$A$3:$B$7,2,FALSE),VLOOKUP(AE28,'Writing Logic'!$A$3:$B$7,2,FALSE),VLOOKUP(AF28,'Writing Logic'!$A$3:$B$7,2,FALSE),VLOOKUP(AG28,'Writing Logic'!$A$3:$B$7,2,FALSE))))),"Fill All 4")</f>
        <v>Fill All 4</v>
      </c>
      <c r="AI28" s="95" t="str">
        <f t="shared" si="2"/>
        <v/>
      </c>
      <c r="AJ28" s="183"/>
      <c r="AK28" s="120"/>
      <c r="AL28" s="120"/>
      <c r="AM28" s="120"/>
      <c r="AN28" s="95" t="str">
        <f>IFERROR(IF(YES_Writing_ELA[[#This Row],[Literacy IPP]]='Writing Logic'!$E$26,"IPP",IF(OR(AJ28="EAL",AK28="EAL",AL28="EAL",AM28="EAL"),"EAL",IF(AJ28='Writing Logic'!$A$10,AVERAGE(VLOOKUP(AK28,'Writing Logic'!$A$3:$B$7,2,FALSE),VLOOKUP(AL28,'Writing Logic'!$A$3:$B$7,2,FALSE),VLOOKUP(AM28,'Writing Logic'!$A$3:$B$7,2,FALSE)),AVERAGE(VLOOKUP(AJ28,'Writing Logic'!$A$3:$B$7,2,FALSE),VLOOKUP(AK28,'Writing Logic'!$A$3:$B$7,2,FALSE),VLOOKUP(AL28,'Writing Logic'!$A$3:$B$7,2,FALSE),VLOOKUP(AM28,'Writing Logic'!$A$3:$B$7,2,FALSE))))),"Fill All 4")</f>
        <v>Fill All 4</v>
      </c>
      <c r="AO28" s="95" t="str">
        <f t="shared" si="3"/>
        <v/>
      </c>
      <c r="AP28" s="120"/>
      <c r="AQ28" s="120"/>
      <c r="AR28" s="120"/>
      <c r="AS28" s="120"/>
      <c r="AT28" s="95" t="str">
        <f>IFERROR(IF(YES_Writing_ELA[[#This Row],[Literacy IPP]]='Writing Logic'!$E$26,"IPP",IF(OR(AP28="EAL",AQ28="EAL",AR28="EAL",AS28="EAL"),"EAL",IF(AP28='Writing Logic'!$A$10,AVERAGE(VLOOKUP(AQ28,'Writing Logic'!$A$3:$B$7,2,FALSE),VLOOKUP(AR28,'Writing Logic'!$A$3:$B$7,2,FALSE),VLOOKUP(AS28,'Writing Logic'!$A$3:$B$7,2,FALSE)),AVERAGE(VLOOKUP(AP28,'Writing Logic'!$A$3:$B$7,2,FALSE),VLOOKUP(AQ28,'Writing Logic'!$A$3:$B$7,2,FALSE),VLOOKUP(AR28,'Writing Logic'!$A$3:$B$7,2,FALSE),VLOOKUP(AS28,'Writing Logic'!$A$3:$B$7,2,FALSE))))),"Fill All 4")</f>
        <v>Fill All 4</v>
      </c>
      <c r="AU28" s="95" t="str">
        <f t="shared" si="4"/>
        <v/>
      </c>
    </row>
    <row r="29" spans="1:47" x14ac:dyDescent="0.25">
      <c r="A29" s="13"/>
      <c r="B29" s="13"/>
      <c r="C29" s="13"/>
      <c r="D29" s="13"/>
      <c r="E29" s="13"/>
      <c r="F29" s="13"/>
      <c r="G29" s="13"/>
      <c r="H29" s="13"/>
      <c r="I29" s="13"/>
      <c r="J29" s="13"/>
      <c r="K29" s="183"/>
      <c r="L29" s="184"/>
      <c r="M29" s="120"/>
      <c r="N29" s="120"/>
      <c r="O29" s="120"/>
      <c r="P29" s="120"/>
      <c r="Q29" s="95" t="str">
        <f>IFERROR(IF(YES_Writing_ELA[[#This Row],[Literacy IPP]]='Writing Logic'!$E$26,"IPP",IF(OR(M29="EAL",N29="EAL",O29="EAL",P29="EAL"),"EAL",IF(M29='Writing Logic'!$A$10,AVERAGE(VLOOKUP(N29,'Writing Logic'!$A$3:$B$7,2,FALSE),VLOOKUP(O29,'Writing Logic'!$A$3:$B$7,2,FALSE),VLOOKUP(P29,'Writing Logic'!$A$3:$B$7,2,FALSE)),AVERAGE(VLOOKUP(M29,'Writing Logic'!$A$3:$B$7,2,FALSE),VLOOKUP(N29,'Writing Logic'!$A$3:$B$7,2,FALSE),VLOOKUP(O29,'Writing Logic'!$A$3:$B$7,2,FALSE),VLOOKUP(P29,'Writing Logic'!$A$3:$B$7,2,FALSE))))),"Fill All 4")</f>
        <v>Fill All 4</v>
      </c>
      <c r="R29" s="120"/>
      <c r="S29" s="120"/>
      <c r="T29" s="120"/>
      <c r="U29" s="120"/>
      <c r="V29" s="95" t="str">
        <f>IFERROR(IF(YES_Writing_ELA[[#This Row],[Literacy IPP]]='Writing Logic'!$E$26,"IPP",IF(OR(R29="EAL",S29="EAL",T29="EAL",U29="EAL"),"EAL",IF(R29='Writing Logic'!$A$10,AVERAGE(VLOOKUP(S29,'Writing Logic'!$A$3:$B$7,2,FALSE),VLOOKUP(T29,'Writing Logic'!$A$3:$B$7,2,FALSE),VLOOKUP(U29,'Writing Logic'!$A$3:$B$7,2,FALSE)),AVERAGE(VLOOKUP(R29,'Writing Logic'!$A$3:$B$7,2,FALSE),VLOOKUP(S29,'Writing Logic'!$A$3:$B$7,2,FALSE),VLOOKUP(T29,'Writing Logic'!$A$3:$B$7,2,FALSE),VLOOKUP(U29,'Writing Logic'!$A$3:$B$7,2,FALSE))))),"Fill All 4")</f>
        <v>Fill All 4</v>
      </c>
      <c r="W29" s="95" t="str">
        <f t="shared" si="0"/>
        <v/>
      </c>
      <c r="X29" s="120"/>
      <c r="Y29" s="120"/>
      <c r="Z29" s="120"/>
      <c r="AA29" s="120"/>
      <c r="AB29" s="95" t="str">
        <f>IFERROR(IF(YES_Writing_ELA[[#This Row],[Literacy IPP]]='Writing Logic'!$E$26,"IPP",IF(OR(X29="EAL",Y29="EAL",Z29="EAL",AA29="EAL"),"EAL",IF(X29='Writing Logic'!$A$10,AVERAGE(VLOOKUP(Y29,'Writing Logic'!$A$3:$B$7,2,FALSE),VLOOKUP(Z29,'Writing Logic'!$A$3:$B$7,2,FALSE),VLOOKUP(AA29,'Writing Logic'!$A$3:$B$7,2,FALSE)),AVERAGE(VLOOKUP(X29,'Writing Logic'!$A$3:$B$7,2,FALSE),VLOOKUP(Y29,'Writing Logic'!$A$3:$B$7,2,FALSE),VLOOKUP(Z29,'Writing Logic'!$A$3:$B$7,2,FALSE),VLOOKUP(AA29,'Writing Logic'!$A$3:$B$7,2,FALSE))))),"Fill All 4")</f>
        <v>Fill All 4</v>
      </c>
      <c r="AC29" s="95" t="str">
        <f t="shared" si="1"/>
        <v/>
      </c>
      <c r="AD29" s="120"/>
      <c r="AE29" s="120"/>
      <c r="AF29" s="120"/>
      <c r="AG29" s="120"/>
      <c r="AH29" s="95" t="str">
        <f>IFERROR(IF(YES_Writing_ELA[[#This Row],[Literacy IPP]]='Writing Logic'!$E$26,"IPP",IF(OR(AD29="EAL",AE29="EAL",AF29="EAL",AG29="EAL"),"EAL",IF(AD29='Writing Logic'!$A$10,AVERAGE(VLOOKUP(AE29,'Writing Logic'!$A$3:$B$7,2,FALSE),VLOOKUP(AF29,'Writing Logic'!$A$3:$B$7,2,FALSE),VLOOKUP(AG29,'Writing Logic'!$A$3:$B$7,2,FALSE)),AVERAGE(VLOOKUP(AD29,'Writing Logic'!$A$3:$B$7,2,FALSE),VLOOKUP(AE29,'Writing Logic'!$A$3:$B$7,2,FALSE),VLOOKUP(AF29,'Writing Logic'!$A$3:$B$7,2,FALSE),VLOOKUP(AG29,'Writing Logic'!$A$3:$B$7,2,FALSE))))),"Fill All 4")</f>
        <v>Fill All 4</v>
      </c>
      <c r="AI29" s="95" t="str">
        <f t="shared" si="2"/>
        <v/>
      </c>
      <c r="AJ29" s="183"/>
      <c r="AK29" s="120"/>
      <c r="AL29" s="120"/>
      <c r="AM29" s="120"/>
      <c r="AN29" s="95" t="str">
        <f>IFERROR(IF(YES_Writing_ELA[[#This Row],[Literacy IPP]]='Writing Logic'!$E$26,"IPP",IF(OR(AJ29="EAL",AK29="EAL",AL29="EAL",AM29="EAL"),"EAL",IF(AJ29='Writing Logic'!$A$10,AVERAGE(VLOOKUP(AK29,'Writing Logic'!$A$3:$B$7,2,FALSE),VLOOKUP(AL29,'Writing Logic'!$A$3:$B$7,2,FALSE),VLOOKUP(AM29,'Writing Logic'!$A$3:$B$7,2,FALSE)),AVERAGE(VLOOKUP(AJ29,'Writing Logic'!$A$3:$B$7,2,FALSE),VLOOKUP(AK29,'Writing Logic'!$A$3:$B$7,2,FALSE),VLOOKUP(AL29,'Writing Logic'!$A$3:$B$7,2,FALSE),VLOOKUP(AM29,'Writing Logic'!$A$3:$B$7,2,FALSE))))),"Fill All 4")</f>
        <v>Fill All 4</v>
      </c>
      <c r="AO29" s="95" t="str">
        <f t="shared" si="3"/>
        <v/>
      </c>
      <c r="AP29" s="120"/>
      <c r="AQ29" s="120"/>
      <c r="AR29" s="120"/>
      <c r="AS29" s="120"/>
      <c r="AT29" s="95" t="str">
        <f>IFERROR(IF(YES_Writing_ELA[[#This Row],[Literacy IPP]]='Writing Logic'!$E$26,"IPP",IF(OR(AP29="EAL",AQ29="EAL",AR29="EAL",AS29="EAL"),"EAL",IF(AP29='Writing Logic'!$A$10,AVERAGE(VLOOKUP(AQ29,'Writing Logic'!$A$3:$B$7,2,FALSE),VLOOKUP(AR29,'Writing Logic'!$A$3:$B$7,2,FALSE),VLOOKUP(AS29,'Writing Logic'!$A$3:$B$7,2,FALSE)),AVERAGE(VLOOKUP(AP29,'Writing Logic'!$A$3:$B$7,2,FALSE),VLOOKUP(AQ29,'Writing Logic'!$A$3:$B$7,2,FALSE),VLOOKUP(AR29,'Writing Logic'!$A$3:$B$7,2,FALSE),VLOOKUP(AS29,'Writing Logic'!$A$3:$B$7,2,FALSE))))),"Fill All 4")</f>
        <v>Fill All 4</v>
      </c>
      <c r="AU29" s="95" t="str">
        <f t="shared" si="4"/>
        <v/>
      </c>
    </row>
    <row r="30" spans="1:47" x14ac:dyDescent="0.25">
      <c r="A30" s="13"/>
      <c r="B30" s="13"/>
      <c r="C30" s="13"/>
      <c r="D30" s="13"/>
      <c r="E30" s="13"/>
      <c r="F30" s="13"/>
      <c r="G30" s="13"/>
      <c r="H30" s="13"/>
      <c r="I30" s="13"/>
      <c r="J30" s="13"/>
      <c r="K30" s="183"/>
      <c r="L30" s="184"/>
      <c r="M30" s="120"/>
      <c r="N30" s="120"/>
      <c r="O30" s="120"/>
      <c r="P30" s="120"/>
      <c r="Q30" s="95" t="str">
        <f>IFERROR(IF(YES_Writing_ELA[[#This Row],[Literacy IPP]]='Writing Logic'!$E$26,"IPP",IF(OR(M30="EAL",N30="EAL",O30="EAL",P30="EAL"),"EAL",IF(M30='Writing Logic'!$A$10,AVERAGE(VLOOKUP(N30,'Writing Logic'!$A$3:$B$7,2,FALSE),VLOOKUP(O30,'Writing Logic'!$A$3:$B$7,2,FALSE),VLOOKUP(P30,'Writing Logic'!$A$3:$B$7,2,FALSE)),AVERAGE(VLOOKUP(M30,'Writing Logic'!$A$3:$B$7,2,FALSE),VLOOKUP(N30,'Writing Logic'!$A$3:$B$7,2,FALSE),VLOOKUP(O30,'Writing Logic'!$A$3:$B$7,2,FALSE),VLOOKUP(P30,'Writing Logic'!$A$3:$B$7,2,FALSE))))),"Fill All 4")</f>
        <v>Fill All 4</v>
      </c>
      <c r="R30" s="120"/>
      <c r="S30" s="120"/>
      <c r="T30" s="120"/>
      <c r="U30" s="120"/>
      <c r="V30" s="95" t="str">
        <f>IFERROR(IF(YES_Writing_ELA[[#This Row],[Literacy IPP]]='Writing Logic'!$E$26,"IPP",IF(OR(R30="EAL",S30="EAL",T30="EAL",U30="EAL"),"EAL",IF(R30='Writing Logic'!$A$10,AVERAGE(VLOOKUP(S30,'Writing Logic'!$A$3:$B$7,2,FALSE),VLOOKUP(T30,'Writing Logic'!$A$3:$B$7,2,FALSE),VLOOKUP(U30,'Writing Logic'!$A$3:$B$7,2,FALSE)),AVERAGE(VLOOKUP(R30,'Writing Logic'!$A$3:$B$7,2,FALSE),VLOOKUP(S30,'Writing Logic'!$A$3:$B$7,2,FALSE),VLOOKUP(T30,'Writing Logic'!$A$3:$B$7,2,FALSE),VLOOKUP(U30,'Writing Logic'!$A$3:$B$7,2,FALSE))))),"Fill All 4")</f>
        <v>Fill All 4</v>
      </c>
      <c r="W30" s="95" t="str">
        <f t="shared" si="0"/>
        <v/>
      </c>
      <c r="X30" s="120"/>
      <c r="Y30" s="120"/>
      <c r="Z30" s="120"/>
      <c r="AA30" s="120"/>
      <c r="AB30" s="95" t="str">
        <f>IFERROR(IF(YES_Writing_ELA[[#This Row],[Literacy IPP]]='Writing Logic'!$E$26,"IPP",IF(OR(X30="EAL",Y30="EAL",Z30="EAL",AA30="EAL"),"EAL",IF(X30='Writing Logic'!$A$10,AVERAGE(VLOOKUP(Y30,'Writing Logic'!$A$3:$B$7,2,FALSE),VLOOKUP(Z30,'Writing Logic'!$A$3:$B$7,2,FALSE),VLOOKUP(AA30,'Writing Logic'!$A$3:$B$7,2,FALSE)),AVERAGE(VLOOKUP(X30,'Writing Logic'!$A$3:$B$7,2,FALSE),VLOOKUP(Y30,'Writing Logic'!$A$3:$B$7,2,FALSE),VLOOKUP(Z30,'Writing Logic'!$A$3:$B$7,2,FALSE),VLOOKUP(AA30,'Writing Logic'!$A$3:$B$7,2,FALSE))))),"Fill All 4")</f>
        <v>Fill All 4</v>
      </c>
      <c r="AC30" s="95" t="str">
        <f t="shared" si="1"/>
        <v/>
      </c>
      <c r="AD30" s="120"/>
      <c r="AE30" s="120"/>
      <c r="AF30" s="120"/>
      <c r="AG30" s="120"/>
      <c r="AH30" s="95" t="str">
        <f>IFERROR(IF(YES_Writing_ELA[[#This Row],[Literacy IPP]]='Writing Logic'!$E$26,"IPP",IF(OR(AD30="EAL",AE30="EAL",AF30="EAL",AG30="EAL"),"EAL",IF(AD30='Writing Logic'!$A$10,AVERAGE(VLOOKUP(AE30,'Writing Logic'!$A$3:$B$7,2,FALSE),VLOOKUP(AF30,'Writing Logic'!$A$3:$B$7,2,FALSE),VLOOKUP(AG30,'Writing Logic'!$A$3:$B$7,2,FALSE)),AVERAGE(VLOOKUP(AD30,'Writing Logic'!$A$3:$B$7,2,FALSE),VLOOKUP(AE30,'Writing Logic'!$A$3:$B$7,2,FALSE),VLOOKUP(AF30,'Writing Logic'!$A$3:$B$7,2,FALSE),VLOOKUP(AG30,'Writing Logic'!$A$3:$B$7,2,FALSE))))),"Fill All 4")</f>
        <v>Fill All 4</v>
      </c>
      <c r="AI30" s="95" t="str">
        <f t="shared" si="2"/>
        <v/>
      </c>
      <c r="AJ30" s="183"/>
      <c r="AK30" s="120"/>
      <c r="AL30" s="120"/>
      <c r="AM30" s="120"/>
      <c r="AN30" s="95" t="str">
        <f>IFERROR(IF(YES_Writing_ELA[[#This Row],[Literacy IPP]]='Writing Logic'!$E$26,"IPP",IF(OR(AJ30="EAL",AK30="EAL",AL30="EAL",AM30="EAL"),"EAL",IF(AJ30='Writing Logic'!$A$10,AVERAGE(VLOOKUP(AK30,'Writing Logic'!$A$3:$B$7,2,FALSE),VLOOKUP(AL30,'Writing Logic'!$A$3:$B$7,2,FALSE),VLOOKUP(AM30,'Writing Logic'!$A$3:$B$7,2,FALSE)),AVERAGE(VLOOKUP(AJ30,'Writing Logic'!$A$3:$B$7,2,FALSE),VLOOKUP(AK30,'Writing Logic'!$A$3:$B$7,2,FALSE),VLOOKUP(AL30,'Writing Logic'!$A$3:$B$7,2,FALSE),VLOOKUP(AM30,'Writing Logic'!$A$3:$B$7,2,FALSE))))),"Fill All 4")</f>
        <v>Fill All 4</v>
      </c>
      <c r="AO30" s="95" t="str">
        <f t="shared" si="3"/>
        <v/>
      </c>
      <c r="AP30" s="120"/>
      <c r="AQ30" s="120"/>
      <c r="AR30" s="120"/>
      <c r="AS30" s="120"/>
      <c r="AT30" s="95" t="str">
        <f>IFERROR(IF(YES_Writing_ELA[[#This Row],[Literacy IPP]]='Writing Logic'!$E$26,"IPP",IF(OR(AP30="EAL",AQ30="EAL",AR30="EAL",AS30="EAL"),"EAL",IF(AP30='Writing Logic'!$A$10,AVERAGE(VLOOKUP(AQ30,'Writing Logic'!$A$3:$B$7,2,FALSE),VLOOKUP(AR30,'Writing Logic'!$A$3:$B$7,2,FALSE),VLOOKUP(AS30,'Writing Logic'!$A$3:$B$7,2,FALSE)),AVERAGE(VLOOKUP(AP30,'Writing Logic'!$A$3:$B$7,2,FALSE),VLOOKUP(AQ30,'Writing Logic'!$A$3:$B$7,2,FALSE),VLOOKUP(AR30,'Writing Logic'!$A$3:$B$7,2,FALSE),VLOOKUP(AS30,'Writing Logic'!$A$3:$B$7,2,FALSE))))),"Fill All 4")</f>
        <v>Fill All 4</v>
      </c>
      <c r="AU30" s="95" t="str">
        <f t="shared" si="4"/>
        <v/>
      </c>
    </row>
    <row r="31" spans="1:47" x14ac:dyDescent="0.25">
      <c r="A31" s="13"/>
      <c r="B31" s="13"/>
      <c r="C31" s="13"/>
      <c r="D31" s="13"/>
      <c r="E31" s="13"/>
      <c r="F31" s="13"/>
      <c r="G31" s="13"/>
      <c r="H31" s="13"/>
      <c r="I31" s="13"/>
      <c r="J31" s="13"/>
      <c r="K31" s="183"/>
      <c r="L31" s="184"/>
      <c r="M31" s="120"/>
      <c r="N31" s="120"/>
      <c r="O31" s="120"/>
      <c r="P31" s="120"/>
      <c r="Q31" s="95" t="str">
        <f>IFERROR(IF(YES_Writing_ELA[[#This Row],[Literacy IPP]]='Writing Logic'!$E$26,"IPP",IF(OR(M31="EAL",N31="EAL",O31="EAL",P31="EAL"),"EAL",IF(M31='Writing Logic'!$A$10,AVERAGE(VLOOKUP(N31,'Writing Logic'!$A$3:$B$7,2,FALSE),VLOOKUP(O31,'Writing Logic'!$A$3:$B$7,2,FALSE),VLOOKUP(P31,'Writing Logic'!$A$3:$B$7,2,FALSE)),AVERAGE(VLOOKUP(M31,'Writing Logic'!$A$3:$B$7,2,FALSE),VLOOKUP(N31,'Writing Logic'!$A$3:$B$7,2,FALSE),VLOOKUP(O31,'Writing Logic'!$A$3:$B$7,2,FALSE),VLOOKUP(P31,'Writing Logic'!$A$3:$B$7,2,FALSE))))),"Fill All 4")</f>
        <v>Fill All 4</v>
      </c>
      <c r="R31" s="120"/>
      <c r="S31" s="120"/>
      <c r="T31" s="120"/>
      <c r="U31" s="120"/>
      <c r="V31" s="95" t="str">
        <f>IFERROR(IF(YES_Writing_ELA[[#This Row],[Literacy IPP]]='Writing Logic'!$E$26,"IPP",IF(OR(R31="EAL",S31="EAL",T31="EAL",U31="EAL"),"EAL",IF(R31='Writing Logic'!$A$10,AVERAGE(VLOOKUP(S31,'Writing Logic'!$A$3:$B$7,2,FALSE),VLOOKUP(T31,'Writing Logic'!$A$3:$B$7,2,FALSE),VLOOKUP(U31,'Writing Logic'!$A$3:$B$7,2,FALSE)),AVERAGE(VLOOKUP(R31,'Writing Logic'!$A$3:$B$7,2,FALSE),VLOOKUP(S31,'Writing Logic'!$A$3:$B$7,2,FALSE),VLOOKUP(T31,'Writing Logic'!$A$3:$B$7,2,FALSE),VLOOKUP(U31,'Writing Logic'!$A$3:$B$7,2,FALSE))))),"Fill All 4")</f>
        <v>Fill All 4</v>
      </c>
      <c r="W31" s="95" t="str">
        <f t="shared" si="0"/>
        <v/>
      </c>
      <c r="X31" s="120"/>
      <c r="Y31" s="120"/>
      <c r="Z31" s="120"/>
      <c r="AA31" s="120"/>
      <c r="AB31" s="95" t="str">
        <f>IFERROR(IF(YES_Writing_ELA[[#This Row],[Literacy IPP]]='Writing Logic'!$E$26,"IPP",IF(OR(X31="EAL",Y31="EAL",Z31="EAL",AA31="EAL"),"EAL",IF(X31='Writing Logic'!$A$10,AVERAGE(VLOOKUP(Y31,'Writing Logic'!$A$3:$B$7,2,FALSE),VLOOKUP(Z31,'Writing Logic'!$A$3:$B$7,2,FALSE),VLOOKUP(AA31,'Writing Logic'!$A$3:$B$7,2,FALSE)),AVERAGE(VLOOKUP(X31,'Writing Logic'!$A$3:$B$7,2,FALSE),VLOOKUP(Y31,'Writing Logic'!$A$3:$B$7,2,FALSE),VLOOKUP(Z31,'Writing Logic'!$A$3:$B$7,2,FALSE),VLOOKUP(AA31,'Writing Logic'!$A$3:$B$7,2,FALSE))))),"Fill All 4")</f>
        <v>Fill All 4</v>
      </c>
      <c r="AC31" s="95" t="str">
        <f t="shared" si="1"/>
        <v/>
      </c>
      <c r="AD31" s="120"/>
      <c r="AE31" s="120"/>
      <c r="AF31" s="120"/>
      <c r="AG31" s="120"/>
      <c r="AH31" s="95" t="str">
        <f>IFERROR(IF(YES_Writing_ELA[[#This Row],[Literacy IPP]]='Writing Logic'!$E$26,"IPP",IF(OR(AD31="EAL",AE31="EAL",AF31="EAL",AG31="EAL"),"EAL",IF(AD31='Writing Logic'!$A$10,AVERAGE(VLOOKUP(AE31,'Writing Logic'!$A$3:$B$7,2,FALSE),VLOOKUP(AF31,'Writing Logic'!$A$3:$B$7,2,FALSE),VLOOKUP(AG31,'Writing Logic'!$A$3:$B$7,2,FALSE)),AVERAGE(VLOOKUP(AD31,'Writing Logic'!$A$3:$B$7,2,FALSE),VLOOKUP(AE31,'Writing Logic'!$A$3:$B$7,2,FALSE),VLOOKUP(AF31,'Writing Logic'!$A$3:$B$7,2,FALSE),VLOOKUP(AG31,'Writing Logic'!$A$3:$B$7,2,FALSE))))),"Fill All 4")</f>
        <v>Fill All 4</v>
      </c>
      <c r="AI31" s="95" t="str">
        <f t="shared" si="2"/>
        <v/>
      </c>
      <c r="AJ31" s="183"/>
      <c r="AK31" s="120"/>
      <c r="AL31" s="120"/>
      <c r="AM31" s="120"/>
      <c r="AN31" s="95" t="str">
        <f>IFERROR(IF(YES_Writing_ELA[[#This Row],[Literacy IPP]]='Writing Logic'!$E$26,"IPP",IF(OR(AJ31="EAL",AK31="EAL",AL31="EAL",AM31="EAL"),"EAL",IF(AJ31='Writing Logic'!$A$10,AVERAGE(VLOOKUP(AK31,'Writing Logic'!$A$3:$B$7,2,FALSE),VLOOKUP(AL31,'Writing Logic'!$A$3:$B$7,2,FALSE),VLOOKUP(AM31,'Writing Logic'!$A$3:$B$7,2,FALSE)),AVERAGE(VLOOKUP(AJ31,'Writing Logic'!$A$3:$B$7,2,FALSE),VLOOKUP(AK31,'Writing Logic'!$A$3:$B$7,2,FALSE),VLOOKUP(AL31,'Writing Logic'!$A$3:$B$7,2,FALSE),VLOOKUP(AM31,'Writing Logic'!$A$3:$B$7,2,FALSE))))),"Fill All 4")</f>
        <v>Fill All 4</v>
      </c>
      <c r="AO31" s="95" t="str">
        <f t="shared" si="3"/>
        <v/>
      </c>
      <c r="AP31" s="120"/>
      <c r="AQ31" s="120"/>
      <c r="AR31" s="120"/>
      <c r="AS31" s="120"/>
      <c r="AT31" s="95" t="str">
        <f>IFERROR(IF(YES_Writing_ELA[[#This Row],[Literacy IPP]]='Writing Logic'!$E$26,"IPP",IF(OR(AP31="EAL",AQ31="EAL",AR31="EAL",AS31="EAL"),"EAL",IF(AP31='Writing Logic'!$A$10,AVERAGE(VLOOKUP(AQ31,'Writing Logic'!$A$3:$B$7,2,FALSE),VLOOKUP(AR31,'Writing Logic'!$A$3:$B$7,2,FALSE),VLOOKUP(AS31,'Writing Logic'!$A$3:$B$7,2,FALSE)),AVERAGE(VLOOKUP(AP31,'Writing Logic'!$A$3:$B$7,2,FALSE),VLOOKUP(AQ31,'Writing Logic'!$A$3:$B$7,2,FALSE),VLOOKUP(AR31,'Writing Logic'!$A$3:$B$7,2,FALSE),VLOOKUP(AS31,'Writing Logic'!$A$3:$B$7,2,FALSE))))),"Fill All 4")</f>
        <v>Fill All 4</v>
      </c>
      <c r="AU31" s="95" t="str">
        <f t="shared" si="4"/>
        <v/>
      </c>
    </row>
    <row r="32" spans="1:47" x14ac:dyDescent="0.25">
      <c r="A32" s="13"/>
      <c r="B32" s="13"/>
      <c r="C32" s="13"/>
      <c r="D32" s="13"/>
      <c r="E32" s="13"/>
      <c r="F32" s="13"/>
      <c r="G32" s="13"/>
      <c r="H32" s="13"/>
      <c r="I32" s="13"/>
      <c r="J32" s="13"/>
      <c r="K32" s="183"/>
      <c r="L32" s="184"/>
      <c r="M32" s="120"/>
      <c r="N32" s="120"/>
      <c r="O32" s="120"/>
      <c r="P32" s="120"/>
      <c r="Q32" s="95" t="str">
        <f>IFERROR(IF(YES_Writing_ELA[[#This Row],[Literacy IPP]]='Writing Logic'!$E$26,"IPP",IF(OR(M32="EAL",N32="EAL",O32="EAL",P32="EAL"),"EAL",IF(M32='Writing Logic'!$A$10,AVERAGE(VLOOKUP(N32,'Writing Logic'!$A$3:$B$7,2,FALSE),VLOOKUP(O32,'Writing Logic'!$A$3:$B$7,2,FALSE),VLOOKUP(P32,'Writing Logic'!$A$3:$B$7,2,FALSE)),AVERAGE(VLOOKUP(M32,'Writing Logic'!$A$3:$B$7,2,FALSE),VLOOKUP(N32,'Writing Logic'!$A$3:$B$7,2,FALSE),VLOOKUP(O32,'Writing Logic'!$A$3:$B$7,2,FALSE),VLOOKUP(P32,'Writing Logic'!$A$3:$B$7,2,FALSE))))),"Fill All 4")</f>
        <v>Fill All 4</v>
      </c>
      <c r="R32" s="120"/>
      <c r="S32" s="120"/>
      <c r="T32" s="120"/>
      <c r="U32" s="120"/>
      <c r="V32" s="95" t="str">
        <f>IFERROR(IF(YES_Writing_ELA[[#This Row],[Literacy IPP]]='Writing Logic'!$E$26,"IPP",IF(OR(R32="EAL",S32="EAL",T32="EAL",U32="EAL"),"EAL",IF(R32='Writing Logic'!$A$10,AVERAGE(VLOOKUP(S32,'Writing Logic'!$A$3:$B$7,2,FALSE),VLOOKUP(T32,'Writing Logic'!$A$3:$B$7,2,FALSE),VLOOKUP(U32,'Writing Logic'!$A$3:$B$7,2,FALSE)),AVERAGE(VLOOKUP(R32,'Writing Logic'!$A$3:$B$7,2,FALSE),VLOOKUP(S32,'Writing Logic'!$A$3:$B$7,2,FALSE),VLOOKUP(T32,'Writing Logic'!$A$3:$B$7,2,FALSE),VLOOKUP(U32,'Writing Logic'!$A$3:$B$7,2,FALSE))))),"Fill All 4")</f>
        <v>Fill All 4</v>
      </c>
      <c r="W32" s="95" t="str">
        <f t="shared" si="0"/>
        <v/>
      </c>
      <c r="X32" s="120"/>
      <c r="Y32" s="120"/>
      <c r="Z32" s="120"/>
      <c r="AA32" s="120"/>
      <c r="AB32" s="95" t="str">
        <f>IFERROR(IF(YES_Writing_ELA[[#This Row],[Literacy IPP]]='Writing Logic'!$E$26,"IPP",IF(OR(X32="EAL",Y32="EAL",Z32="EAL",AA32="EAL"),"EAL",IF(X32='Writing Logic'!$A$10,AVERAGE(VLOOKUP(Y32,'Writing Logic'!$A$3:$B$7,2,FALSE),VLOOKUP(Z32,'Writing Logic'!$A$3:$B$7,2,FALSE),VLOOKUP(AA32,'Writing Logic'!$A$3:$B$7,2,FALSE)),AVERAGE(VLOOKUP(X32,'Writing Logic'!$A$3:$B$7,2,FALSE),VLOOKUP(Y32,'Writing Logic'!$A$3:$B$7,2,FALSE),VLOOKUP(Z32,'Writing Logic'!$A$3:$B$7,2,FALSE),VLOOKUP(AA32,'Writing Logic'!$A$3:$B$7,2,FALSE))))),"Fill All 4")</f>
        <v>Fill All 4</v>
      </c>
      <c r="AC32" s="95" t="str">
        <f t="shared" si="1"/>
        <v/>
      </c>
      <c r="AD32" s="120"/>
      <c r="AE32" s="120"/>
      <c r="AF32" s="120"/>
      <c r="AG32" s="120"/>
      <c r="AH32" s="95" t="str">
        <f>IFERROR(IF(YES_Writing_ELA[[#This Row],[Literacy IPP]]='Writing Logic'!$E$26,"IPP",IF(OR(AD32="EAL",AE32="EAL",AF32="EAL",AG32="EAL"),"EAL",IF(AD32='Writing Logic'!$A$10,AVERAGE(VLOOKUP(AE32,'Writing Logic'!$A$3:$B$7,2,FALSE),VLOOKUP(AF32,'Writing Logic'!$A$3:$B$7,2,FALSE),VLOOKUP(AG32,'Writing Logic'!$A$3:$B$7,2,FALSE)),AVERAGE(VLOOKUP(AD32,'Writing Logic'!$A$3:$B$7,2,FALSE),VLOOKUP(AE32,'Writing Logic'!$A$3:$B$7,2,FALSE),VLOOKUP(AF32,'Writing Logic'!$A$3:$B$7,2,FALSE),VLOOKUP(AG32,'Writing Logic'!$A$3:$B$7,2,FALSE))))),"Fill All 4")</f>
        <v>Fill All 4</v>
      </c>
      <c r="AI32" s="95" t="str">
        <f t="shared" si="2"/>
        <v/>
      </c>
      <c r="AJ32" s="183"/>
      <c r="AK32" s="120"/>
      <c r="AL32" s="120"/>
      <c r="AM32" s="120"/>
      <c r="AN32" s="95" t="str">
        <f>IFERROR(IF(YES_Writing_ELA[[#This Row],[Literacy IPP]]='Writing Logic'!$E$26,"IPP",IF(OR(AJ32="EAL",AK32="EAL",AL32="EAL",AM32="EAL"),"EAL",IF(AJ32='Writing Logic'!$A$10,AVERAGE(VLOOKUP(AK32,'Writing Logic'!$A$3:$B$7,2,FALSE),VLOOKUP(AL32,'Writing Logic'!$A$3:$B$7,2,FALSE),VLOOKUP(AM32,'Writing Logic'!$A$3:$B$7,2,FALSE)),AVERAGE(VLOOKUP(AJ32,'Writing Logic'!$A$3:$B$7,2,FALSE),VLOOKUP(AK32,'Writing Logic'!$A$3:$B$7,2,FALSE),VLOOKUP(AL32,'Writing Logic'!$A$3:$B$7,2,FALSE),VLOOKUP(AM32,'Writing Logic'!$A$3:$B$7,2,FALSE))))),"Fill All 4")</f>
        <v>Fill All 4</v>
      </c>
      <c r="AO32" s="95" t="str">
        <f t="shared" si="3"/>
        <v/>
      </c>
      <c r="AP32" s="120"/>
      <c r="AQ32" s="120"/>
      <c r="AR32" s="120"/>
      <c r="AS32" s="120"/>
      <c r="AT32" s="95" t="str">
        <f>IFERROR(IF(YES_Writing_ELA[[#This Row],[Literacy IPP]]='Writing Logic'!$E$26,"IPP",IF(OR(AP32="EAL",AQ32="EAL",AR32="EAL",AS32="EAL"),"EAL",IF(AP32='Writing Logic'!$A$10,AVERAGE(VLOOKUP(AQ32,'Writing Logic'!$A$3:$B$7,2,FALSE),VLOOKUP(AR32,'Writing Logic'!$A$3:$B$7,2,FALSE),VLOOKUP(AS32,'Writing Logic'!$A$3:$B$7,2,FALSE)),AVERAGE(VLOOKUP(AP32,'Writing Logic'!$A$3:$B$7,2,FALSE),VLOOKUP(AQ32,'Writing Logic'!$A$3:$B$7,2,FALSE),VLOOKUP(AR32,'Writing Logic'!$A$3:$B$7,2,FALSE),VLOOKUP(AS32,'Writing Logic'!$A$3:$B$7,2,FALSE))))),"Fill All 4")</f>
        <v>Fill All 4</v>
      </c>
      <c r="AU32" s="95" t="str">
        <f t="shared" si="4"/>
        <v/>
      </c>
    </row>
    <row r="33" spans="1:47" x14ac:dyDescent="0.25">
      <c r="A33" s="13"/>
      <c r="B33" s="13"/>
      <c r="C33" s="13"/>
      <c r="D33" s="13"/>
      <c r="E33" s="13"/>
      <c r="F33" s="13"/>
      <c r="G33" s="13"/>
      <c r="H33" s="13"/>
      <c r="I33" s="13"/>
      <c r="J33" s="13"/>
      <c r="K33" s="183"/>
      <c r="L33" s="184"/>
      <c r="M33" s="120"/>
      <c r="N33" s="120"/>
      <c r="O33" s="120"/>
      <c r="P33" s="120"/>
      <c r="Q33" s="95" t="str">
        <f>IFERROR(IF(YES_Writing_ELA[[#This Row],[Literacy IPP]]='Writing Logic'!$E$26,"IPP",IF(OR(M33="EAL",N33="EAL",O33="EAL",P33="EAL"),"EAL",IF(M33='Writing Logic'!$A$10,AVERAGE(VLOOKUP(N33,'Writing Logic'!$A$3:$B$7,2,FALSE),VLOOKUP(O33,'Writing Logic'!$A$3:$B$7,2,FALSE),VLOOKUP(P33,'Writing Logic'!$A$3:$B$7,2,FALSE)),AVERAGE(VLOOKUP(M33,'Writing Logic'!$A$3:$B$7,2,FALSE),VLOOKUP(N33,'Writing Logic'!$A$3:$B$7,2,FALSE),VLOOKUP(O33,'Writing Logic'!$A$3:$B$7,2,FALSE),VLOOKUP(P33,'Writing Logic'!$A$3:$B$7,2,FALSE))))),"Fill All 4")</f>
        <v>Fill All 4</v>
      </c>
      <c r="R33" s="120"/>
      <c r="S33" s="120"/>
      <c r="T33" s="120"/>
      <c r="U33" s="120"/>
      <c r="V33" s="95" t="str">
        <f>IFERROR(IF(YES_Writing_ELA[[#This Row],[Literacy IPP]]='Writing Logic'!$E$26,"IPP",IF(OR(R33="EAL",S33="EAL",T33="EAL",U33="EAL"),"EAL",IF(R33='Writing Logic'!$A$10,AVERAGE(VLOOKUP(S33,'Writing Logic'!$A$3:$B$7,2,FALSE),VLOOKUP(T33,'Writing Logic'!$A$3:$B$7,2,FALSE),VLOOKUP(U33,'Writing Logic'!$A$3:$B$7,2,FALSE)),AVERAGE(VLOOKUP(R33,'Writing Logic'!$A$3:$B$7,2,FALSE),VLOOKUP(S33,'Writing Logic'!$A$3:$B$7,2,FALSE),VLOOKUP(T33,'Writing Logic'!$A$3:$B$7,2,FALSE),VLOOKUP(U33,'Writing Logic'!$A$3:$B$7,2,FALSE))))),"Fill All 4")</f>
        <v>Fill All 4</v>
      </c>
      <c r="W33" s="95" t="str">
        <f t="shared" si="0"/>
        <v/>
      </c>
      <c r="X33" s="120"/>
      <c r="Y33" s="120"/>
      <c r="Z33" s="120"/>
      <c r="AA33" s="120"/>
      <c r="AB33" s="95" t="str">
        <f>IFERROR(IF(YES_Writing_ELA[[#This Row],[Literacy IPP]]='Writing Logic'!$E$26,"IPP",IF(OR(X33="EAL",Y33="EAL",Z33="EAL",AA33="EAL"),"EAL",IF(X33='Writing Logic'!$A$10,AVERAGE(VLOOKUP(Y33,'Writing Logic'!$A$3:$B$7,2,FALSE),VLOOKUP(Z33,'Writing Logic'!$A$3:$B$7,2,FALSE),VLOOKUP(AA33,'Writing Logic'!$A$3:$B$7,2,FALSE)),AVERAGE(VLOOKUP(X33,'Writing Logic'!$A$3:$B$7,2,FALSE),VLOOKUP(Y33,'Writing Logic'!$A$3:$B$7,2,FALSE),VLOOKUP(Z33,'Writing Logic'!$A$3:$B$7,2,FALSE),VLOOKUP(AA33,'Writing Logic'!$A$3:$B$7,2,FALSE))))),"Fill All 4")</f>
        <v>Fill All 4</v>
      </c>
      <c r="AC33" s="95" t="str">
        <f t="shared" si="1"/>
        <v/>
      </c>
      <c r="AD33" s="120"/>
      <c r="AE33" s="120"/>
      <c r="AF33" s="120"/>
      <c r="AG33" s="120"/>
      <c r="AH33" s="95" t="str">
        <f>IFERROR(IF(YES_Writing_ELA[[#This Row],[Literacy IPP]]='Writing Logic'!$E$26,"IPP",IF(OR(AD33="EAL",AE33="EAL",AF33="EAL",AG33="EAL"),"EAL",IF(AD33='Writing Logic'!$A$10,AVERAGE(VLOOKUP(AE33,'Writing Logic'!$A$3:$B$7,2,FALSE),VLOOKUP(AF33,'Writing Logic'!$A$3:$B$7,2,FALSE),VLOOKUP(AG33,'Writing Logic'!$A$3:$B$7,2,FALSE)),AVERAGE(VLOOKUP(AD33,'Writing Logic'!$A$3:$B$7,2,FALSE),VLOOKUP(AE33,'Writing Logic'!$A$3:$B$7,2,FALSE),VLOOKUP(AF33,'Writing Logic'!$A$3:$B$7,2,FALSE),VLOOKUP(AG33,'Writing Logic'!$A$3:$B$7,2,FALSE))))),"Fill All 4")</f>
        <v>Fill All 4</v>
      </c>
      <c r="AI33" s="95" t="str">
        <f t="shared" si="2"/>
        <v/>
      </c>
      <c r="AJ33" s="183"/>
      <c r="AK33" s="120"/>
      <c r="AL33" s="120"/>
      <c r="AM33" s="120"/>
      <c r="AN33" s="95" t="str">
        <f>IFERROR(IF(YES_Writing_ELA[[#This Row],[Literacy IPP]]='Writing Logic'!$E$26,"IPP",IF(OR(AJ33="EAL",AK33="EAL",AL33="EAL",AM33="EAL"),"EAL",IF(AJ33='Writing Logic'!$A$10,AVERAGE(VLOOKUP(AK33,'Writing Logic'!$A$3:$B$7,2,FALSE),VLOOKUP(AL33,'Writing Logic'!$A$3:$B$7,2,FALSE),VLOOKUP(AM33,'Writing Logic'!$A$3:$B$7,2,FALSE)),AVERAGE(VLOOKUP(AJ33,'Writing Logic'!$A$3:$B$7,2,FALSE),VLOOKUP(AK33,'Writing Logic'!$A$3:$B$7,2,FALSE),VLOOKUP(AL33,'Writing Logic'!$A$3:$B$7,2,FALSE),VLOOKUP(AM33,'Writing Logic'!$A$3:$B$7,2,FALSE))))),"Fill All 4")</f>
        <v>Fill All 4</v>
      </c>
      <c r="AO33" s="95" t="str">
        <f t="shared" si="3"/>
        <v/>
      </c>
      <c r="AP33" s="120"/>
      <c r="AQ33" s="120"/>
      <c r="AR33" s="120"/>
      <c r="AS33" s="120"/>
      <c r="AT33" s="95" t="str">
        <f>IFERROR(IF(YES_Writing_ELA[[#This Row],[Literacy IPP]]='Writing Logic'!$E$26,"IPP",IF(OR(AP33="EAL",AQ33="EAL",AR33="EAL",AS33="EAL"),"EAL",IF(AP33='Writing Logic'!$A$10,AVERAGE(VLOOKUP(AQ33,'Writing Logic'!$A$3:$B$7,2,FALSE),VLOOKUP(AR33,'Writing Logic'!$A$3:$B$7,2,FALSE),VLOOKUP(AS33,'Writing Logic'!$A$3:$B$7,2,FALSE)),AVERAGE(VLOOKUP(AP33,'Writing Logic'!$A$3:$B$7,2,FALSE),VLOOKUP(AQ33,'Writing Logic'!$A$3:$B$7,2,FALSE),VLOOKUP(AR33,'Writing Logic'!$A$3:$B$7,2,FALSE),VLOOKUP(AS33,'Writing Logic'!$A$3:$B$7,2,FALSE))))),"Fill All 4")</f>
        <v>Fill All 4</v>
      </c>
      <c r="AU33" s="95" t="str">
        <f t="shared" si="4"/>
        <v/>
      </c>
    </row>
    <row r="34" spans="1:47" x14ac:dyDescent="0.25">
      <c r="A34" s="13"/>
      <c r="B34" s="13"/>
      <c r="C34" s="13"/>
      <c r="D34" s="13"/>
      <c r="E34" s="13"/>
      <c r="F34" s="13"/>
      <c r="G34" s="13"/>
      <c r="H34" s="13"/>
      <c r="I34" s="13"/>
      <c r="J34" s="13"/>
      <c r="K34" s="183"/>
      <c r="L34" s="184"/>
      <c r="M34" s="120"/>
      <c r="N34" s="120"/>
      <c r="O34" s="120"/>
      <c r="P34" s="120"/>
      <c r="Q34" s="95" t="str">
        <f>IFERROR(IF(YES_Writing_ELA[[#This Row],[Literacy IPP]]='Writing Logic'!$E$26,"IPP",IF(OR(M34="EAL",N34="EAL",O34="EAL",P34="EAL"),"EAL",IF(M34='Writing Logic'!$A$10,AVERAGE(VLOOKUP(N34,'Writing Logic'!$A$3:$B$7,2,FALSE),VLOOKUP(O34,'Writing Logic'!$A$3:$B$7,2,FALSE),VLOOKUP(P34,'Writing Logic'!$A$3:$B$7,2,FALSE)),AVERAGE(VLOOKUP(M34,'Writing Logic'!$A$3:$B$7,2,FALSE),VLOOKUP(N34,'Writing Logic'!$A$3:$B$7,2,FALSE),VLOOKUP(O34,'Writing Logic'!$A$3:$B$7,2,FALSE),VLOOKUP(P34,'Writing Logic'!$A$3:$B$7,2,FALSE))))),"Fill All 4")</f>
        <v>Fill All 4</v>
      </c>
      <c r="R34" s="120"/>
      <c r="S34" s="120"/>
      <c r="T34" s="120"/>
      <c r="U34" s="120"/>
      <c r="V34" s="95" t="str">
        <f>IFERROR(IF(YES_Writing_ELA[[#This Row],[Literacy IPP]]='Writing Logic'!$E$26,"IPP",IF(OR(R34="EAL",S34="EAL",T34="EAL",U34="EAL"),"EAL",IF(R34='Writing Logic'!$A$10,AVERAGE(VLOOKUP(S34,'Writing Logic'!$A$3:$B$7,2,FALSE),VLOOKUP(T34,'Writing Logic'!$A$3:$B$7,2,FALSE),VLOOKUP(U34,'Writing Logic'!$A$3:$B$7,2,FALSE)),AVERAGE(VLOOKUP(R34,'Writing Logic'!$A$3:$B$7,2,FALSE),VLOOKUP(S34,'Writing Logic'!$A$3:$B$7,2,FALSE),VLOOKUP(T34,'Writing Logic'!$A$3:$B$7,2,FALSE),VLOOKUP(U34,'Writing Logic'!$A$3:$B$7,2,FALSE))))),"Fill All 4")</f>
        <v>Fill All 4</v>
      </c>
      <c r="W34" s="95" t="str">
        <f t="shared" si="0"/>
        <v/>
      </c>
      <c r="X34" s="120"/>
      <c r="Y34" s="120"/>
      <c r="Z34" s="120"/>
      <c r="AA34" s="120"/>
      <c r="AB34" s="95" t="str">
        <f>IFERROR(IF(YES_Writing_ELA[[#This Row],[Literacy IPP]]='Writing Logic'!$E$26,"IPP",IF(OR(X34="EAL",Y34="EAL",Z34="EAL",AA34="EAL"),"EAL",IF(X34='Writing Logic'!$A$10,AVERAGE(VLOOKUP(Y34,'Writing Logic'!$A$3:$B$7,2,FALSE),VLOOKUP(Z34,'Writing Logic'!$A$3:$B$7,2,FALSE),VLOOKUP(AA34,'Writing Logic'!$A$3:$B$7,2,FALSE)),AVERAGE(VLOOKUP(X34,'Writing Logic'!$A$3:$B$7,2,FALSE),VLOOKUP(Y34,'Writing Logic'!$A$3:$B$7,2,FALSE),VLOOKUP(Z34,'Writing Logic'!$A$3:$B$7,2,FALSE),VLOOKUP(AA34,'Writing Logic'!$A$3:$B$7,2,FALSE))))),"Fill All 4")</f>
        <v>Fill All 4</v>
      </c>
      <c r="AC34" s="95" t="str">
        <f t="shared" si="1"/>
        <v/>
      </c>
      <c r="AD34" s="120"/>
      <c r="AE34" s="120"/>
      <c r="AF34" s="120"/>
      <c r="AG34" s="120"/>
      <c r="AH34" s="95" t="str">
        <f>IFERROR(IF(YES_Writing_ELA[[#This Row],[Literacy IPP]]='Writing Logic'!$E$26,"IPP",IF(OR(AD34="EAL",AE34="EAL",AF34="EAL",AG34="EAL"),"EAL",IF(AD34='Writing Logic'!$A$10,AVERAGE(VLOOKUP(AE34,'Writing Logic'!$A$3:$B$7,2,FALSE),VLOOKUP(AF34,'Writing Logic'!$A$3:$B$7,2,FALSE),VLOOKUP(AG34,'Writing Logic'!$A$3:$B$7,2,FALSE)),AVERAGE(VLOOKUP(AD34,'Writing Logic'!$A$3:$B$7,2,FALSE),VLOOKUP(AE34,'Writing Logic'!$A$3:$B$7,2,FALSE),VLOOKUP(AF34,'Writing Logic'!$A$3:$B$7,2,FALSE),VLOOKUP(AG34,'Writing Logic'!$A$3:$B$7,2,FALSE))))),"Fill All 4")</f>
        <v>Fill All 4</v>
      </c>
      <c r="AI34" s="95" t="str">
        <f t="shared" si="2"/>
        <v/>
      </c>
      <c r="AJ34" s="183"/>
      <c r="AK34" s="120"/>
      <c r="AL34" s="120"/>
      <c r="AM34" s="120"/>
      <c r="AN34" s="95" t="str">
        <f>IFERROR(IF(YES_Writing_ELA[[#This Row],[Literacy IPP]]='Writing Logic'!$E$26,"IPP",IF(OR(AJ34="EAL",AK34="EAL",AL34="EAL",AM34="EAL"),"EAL",IF(AJ34='Writing Logic'!$A$10,AVERAGE(VLOOKUP(AK34,'Writing Logic'!$A$3:$B$7,2,FALSE),VLOOKUP(AL34,'Writing Logic'!$A$3:$B$7,2,FALSE),VLOOKUP(AM34,'Writing Logic'!$A$3:$B$7,2,FALSE)),AVERAGE(VLOOKUP(AJ34,'Writing Logic'!$A$3:$B$7,2,FALSE),VLOOKUP(AK34,'Writing Logic'!$A$3:$B$7,2,FALSE),VLOOKUP(AL34,'Writing Logic'!$A$3:$B$7,2,FALSE),VLOOKUP(AM34,'Writing Logic'!$A$3:$B$7,2,FALSE))))),"Fill All 4")</f>
        <v>Fill All 4</v>
      </c>
      <c r="AO34" s="95" t="str">
        <f t="shared" si="3"/>
        <v/>
      </c>
      <c r="AP34" s="120"/>
      <c r="AQ34" s="120"/>
      <c r="AR34" s="120"/>
      <c r="AS34" s="120"/>
      <c r="AT34" s="95" t="str">
        <f>IFERROR(IF(YES_Writing_ELA[[#This Row],[Literacy IPP]]='Writing Logic'!$E$26,"IPP",IF(OR(AP34="EAL",AQ34="EAL",AR34="EAL",AS34="EAL"),"EAL",IF(AP34='Writing Logic'!$A$10,AVERAGE(VLOOKUP(AQ34,'Writing Logic'!$A$3:$B$7,2,FALSE),VLOOKUP(AR34,'Writing Logic'!$A$3:$B$7,2,FALSE),VLOOKUP(AS34,'Writing Logic'!$A$3:$B$7,2,FALSE)),AVERAGE(VLOOKUP(AP34,'Writing Logic'!$A$3:$B$7,2,FALSE),VLOOKUP(AQ34,'Writing Logic'!$A$3:$B$7,2,FALSE),VLOOKUP(AR34,'Writing Logic'!$A$3:$B$7,2,FALSE),VLOOKUP(AS34,'Writing Logic'!$A$3:$B$7,2,FALSE))))),"Fill All 4")</f>
        <v>Fill All 4</v>
      </c>
      <c r="AU34" s="95" t="str">
        <f t="shared" si="4"/>
        <v/>
      </c>
    </row>
    <row r="35" spans="1:47" x14ac:dyDescent="0.25">
      <c r="A35" s="13"/>
      <c r="B35" s="13"/>
      <c r="C35" s="13"/>
      <c r="D35" s="13"/>
      <c r="E35" s="13"/>
      <c r="F35" s="13"/>
      <c r="G35" s="13"/>
      <c r="H35" s="13"/>
      <c r="I35" s="13"/>
      <c r="J35" s="13"/>
      <c r="K35" s="183"/>
      <c r="L35" s="184"/>
      <c r="M35" s="120"/>
      <c r="N35" s="120"/>
      <c r="O35" s="120"/>
      <c r="P35" s="120"/>
      <c r="Q35" s="95" t="str">
        <f>IFERROR(IF(YES_Writing_ELA[[#This Row],[Literacy IPP]]='Writing Logic'!$E$26,"IPP",IF(OR(M35="EAL",N35="EAL",O35="EAL",P35="EAL"),"EAL",IF(M35='Writing Logic'!$A$10,AVERAGE(VLOOKUP(N35,'Writing Logic'!$A$3:$B$7,2,FALSE),VLOOKUP(O35,'Writing Logic'!$A$3:$B$7,2,FALSE),VLOOKUP(P35,'Writing Logic'!$A$3:$B$7,2,FALSE)),AVERAGE(VLOOKUP(M35,'Writing Logic'!$A$3:$B$7,2,FALSE),VLOOKUP(N35,'Writing Logic'!$A$3:$B$7,2,FALSE),VLOOKUP(O35,'Writing Logic'!$A$3:$B$7,2,FALSE),VLOOKUP(P35,'Writing Logic'!$A$3:$B$7,2,FALSE))))),"Fill All 4")</f>
        <v>Fill All 4</v>
      </c>
      <c r="R35" s="120"/>
      <c r="S35" s="120"/>
      <c r="T35" s="120"/>
      <c r="U35" s="120"/>
      <c r="V35" s="95" t="str">
        <f>IFERROR(IF(YES_Writing_ELA[[#This Row],[Literacy IPP]]='Writing Logic'!$E$26,"IPP",IF(OR(R35="EAL",S35="EAL",T35="EAL",U35="EAL"),"EAL",IF(R35='Writing Logic'!$A$10,AVERAGE(VLOOKUP(S35,'Writing Logic'!$A$3:$B$7,2,FALSE),VLOOKUP(T35,'Writing Logic'!$A$3:$B$7,2,FALSE),VLOOKUP(U35,'Writing Logic'!$A$3:$B$7,2,FALSE)),AVERAGE(VLOOKUP(R35,'Writing Logic'!$A$3:$B$7,2,FALSE),VLOOKUP(S35,'Writing Logic'!$A$3:$B$7,2,FALSE),VLOOKUP(T35,'Writing Logic'!$A$3:$B$7,2,FALSE),VLOOKUP(U35,'Writing Logic'!$A$3:$B$7,2,FALSE))))),"Fill All 4")</f>
        <v>Fill All 4</v>
      </c>
      <c r="W35" s="95" t="str">
        <f t="shared" si="0"/>
        <v/>
      </c>
      <c r="X35" s="120"/>
      <c r="Y35" s="120"/>
      <c r="Z35" s="120"/>
      <c r="AA35" s="120"/>
      <c r="AB35" s="95" t="str">
        <f>IFERROR(IF(YES_Writing_ELA[[#This Row],[Literacy IPP]]='Writing Logic'!$E$26,"IPP",IF(OR(X35="EAL",Y35="EAL",Z35="EAL",AA35="EAL"),"EAL",IF(X35='Writing Logic'!$A$10,AVERAGE(VLOOKUP(Y35,'Writing Logic'!$A$3:$B$7,2,FALSE),VLOOKUP(Z35,'Writing Logic'!$A$3:$B$7,2,FALSE),VLOOKUP(AA35,'Writing Logic'!$A$3:$B$7,2,FALSE)),AVERAGE(VLOOKUP(X35,'Writing Logic'!$A$3:$B$7,2,FALSE),VLOOKUP(Y35,'Writing Logic'!$A$3:$B$7,2,FALSE),VLOOKUP(Z35,'Writing Logic'!$A$3:$B$7,2,FALSE),VLOOKUP(AA35,'Writing Logic'!$A$3:$B$7,2,FALSE))))),"Fill All 4")</f>
        <v>Fill All 4</v>
      </c>
      <c r="AC35" s="95" t="str">
        <f t="shared" si="1"/>
        <v/>
      </c>
      <c r="AD35" s="120"/>
      <c r="AE35" s="120"/>
      <c r="AF35" s="120"/>
      <c r="AG35" s="120"/>
      <c r="AH35" s="95" t="str">
        <f>IFERROR(IF(YES_Writing_ELA[[#This Row],[Literacy IPP]]='Writing Logic'!$E$26,"IPP",IF(OR(AD35="EAL",AE35="EAL",AF35="EAL",AG35="EAL"),"EAL",IF(AD35='Writing Logic'!$A$10,AVERAGE(VLOOKUP(AE35,'Writing Logic'!$A$3:$B$7,2,FALSE),VLOOKUP(AF35,'Writing Logic'!$A$3:$B$7,2,FALSE),VLOOKUP(AG35,'Writing Logic'!$A$3:$B$7,2,FALSE)),AVERAGE(VLOOKUP(AD35,'Writing Logic'!$A$3:$B$7,2,FALSE),VLOOKUP(AE35,'Writing Logic'!$A$3:$B$7,2,FALSE),VLOOKUP(AF35,'Writing Logic'!$A$3:$B$7,2,FALSE),VLOOKUP(AG35,'Writing Logic'!$A$3:$B$7,2,FALSE))))),"Fill All 4")</f>
        <v>Fill All 4</v>
      </c>
      <c r="AI35" s="95" t="str">
        <f t="shared" si="2"/>
        <v/>
      </c>
      <c r="AJ35" s="183"/>
      <c r="AK35" s="120"/>
      <c r="AL35" s="120"/>
      <c r="AM35" s="120"/>
      <c r="AN35" s="95" t="str">
        <f>IFERROR(IF(YES_Writing_ELA[[#This Row],[Literacy IPP]]='Writing Logic'!$E$26,"IPP",IF(OR(AJ35="EAL",AK35="EAL",AL35="EAL",AM35="EAL"),"EAL",IF(AJ35='Writing Logic'!$A$10,AVERAGE(VLOOKUP(AK35,'Writing Logic'!$A$3:$B$7,2,FALSE),VLOOKUP(AL35,'Writing Logic'!$A$3:$B$7,2,FALSE),VLOOKUP(AM35,'Writing Logic'!$A$3:$B$7,2,FALSE)),AVERAGE(VLOOKUP(AJ35,'Writing Logic'!$A$3:$B$7,2,FALSE),VLOOKUP(AK35,'Writing Logic'!$A$3:$B$7,2,FALSE),VLOOKUP(AL35,'Writing Logic'!$A$3:$B$7,2,FALSE),VLOOKUP(AM35,'Writing Logic'!$A$3:$B$7,2,FALSE))))),"Fill All 4")</f>
        <v>Fill All 4</v>
      </c>
      <c r="AO35" s="95" t="str">
        <f t="shared" si="3"/>
        <v/>
      </c>
      <c r="AP35" s="120"/>
      <c r="AQ35" s="120"/>
      <c r="AR35" s="120"/>
      <c r="AS35" s="120"/>
      <c r="AT35" s="95" t="str">
        <f>IFERROR(IF(YES_Writing_ELA[[#This Row],[Literacy IPP]]='Writing Logic'!$E$26,"IPP",IF(OR(AP35="EAL",AQ35="EAL",AR35="EAL",AS35="EAL"),"EAL",IF(AP35='Writing Logic'!$A$10,AVERAGE(VLOOKUP(AQ35,'Writing Logic'!$A$3:$B$7,2,FALSE),VLOOKUP(AR35,'Writing Logic'!$A$3:$B$7,2,FALSE),VLOOKUP(AS35,'Writing Logic'!$A$3:$B$7,2,FALSE)),AVERAGE(VLOOKUP(AP35,'Writing Logic'!$A$3:$B$7,2,FALSE),VLOOKUP(AQ35,'Writing Logic'!$A$3:$B$7,2,FALSE),VLOOKUP(AR35,'Writing Logic'!$A$3:$B$7,2,FALSE),VLOOKUP(AS35,'Writing Logic'!$A$3:$B$7,2,FALSE))))),"Fill All 4")</f>
        <v>Fill All 4</v>
      </c>
      <c r="AU35" s="95" t="str">
        <f t="shared" si="4"/>
        <v/>
      </c>
    </row>
    <row r="36" spans="1:47" x14ac:dyDescent="0.25">
      <c r="A36" s="13"/>
      <c r="B36" s="13"/>
      <c r="C36" s="13"/>
      <c r="D36" s="13"/>
      <c r="E36" s="13"/>
      <c r="F36" s="13"/>
      <c r="G36" s="13"/>
      <c r="H36" s="13"/>
      <c r="I36" s="13"/>
      <c r="J36" s="13"/>
      <c r="K36" s="183"/>
      <c r="L36" s="184"/>
      <c r="M36" s="120"/>
      <c r="N36" s="120"/>
      <c r="O36" s="120"/>
      <c r="P36" s="120"/>
      <c r="Q36" s="95" t="str">
        <f>IFERROR(IF(YES_Writing_ELA[[#This Row],[Literacy IPP]]='Writing Logic'!$E$26,"IPP",IF(OR(M36="EAL",N36="EAL",O36="EAL",P36="EAL"),"EAL",IF(M36='Writing Logic'!$A$10,AVERAGE(VLOOKUP(N36,'Writing Logic'!$A$3:$B$7,2,FALSE),VLOOKUP(O36,'Writing Logic'!$A$3:$B$7,2,FALSE),VLOOKUP(P36,'Writing Logic'!$A$3:$B$7,2,FALSE)),AVERAGE(VLOOKUP(M36,'Writing Logic'!$A$3:$B$7,2,FALSE),VLOOKUP(N36,'Writing Logic'!$A$3:$B$7,2,FALSE),VLOOKUP(O36,'Writing Logic'!$A$3:$B$7,2,FALSE),VLOOKUP(P36,'Writing Logic'!$A$3:$B$7,2,FALSE))))),"Fill All 4")</f>
        <v>Fill All 4</v>
      </c>
      <c r="R36" s="120"/>
      <c r="S36" s="120"/>
      <c r="T36" s="120"/>
      <c r="U36" s="120"/>
      <c r="V36" s="95" t="str">
        <f>IFERROR(IF(YES_Writing_ELA[[#This Row],[Literacy IPP]]='Writing Logic'!$E$26,"IPP",IF(OR(R36="EAL",S36="EAL",T36="EAL",U36="EAL"),"EAL",IF(R36='Writing Logic'!$A$10,AVERAGE(VLOOKUP(S36,'Writing Logic'!$A$3:$B$7,2,FALSE),VLOOKUP(T36,'Writing Logic'!$A$3:$B$7,2,FALSE),VLOOKUP(U36,'Writing Logic'!$A$3:$B$7,2,FALSE)),AVERAGE(VLOOKUP(R36,'Writing Logic'!$A$3:$B$7,2,FALSE),VLOOKUP(S36,'Writing Logic'!$A$3:$B$7,2,FALSE),VLOOKUP(T36,'Writing Logic'!$A$3:$B$7,2,FALSE),VLOOKUP(U36,'Writing Logic'!$A$3:$B$7,2,FALSE))))),"Fill All 4")</f>
        <v>Fill All 4</v>
      </c>
      <c r="W36" s="95" t="str">
        <f t="shared" si="0"/>
        <v/>
      </c>
      <c r="X36" s="120"/>
      <c r="Y36" s="120"/>
      <c r="Z36" s="120"/>
      <c r="AA36" s="120"/>
      <c r="AB36" s="95" t="str">
        <f>IFERROR(IF(YES_Writing_ELA[[#This Row],[Literacy IPP]]='Writing Logic'!$E$26,"IPP",IF(OR(X36="EAL",Y36="EAL",Z36="EAL",AA36="EAL"),"EAL",IF(X36='Writing Logic'!$A$10,AVERAGE(VLOOKUP(Y36,'Writing Logic'!$A$3:$B$7,2,FALSE),VLOOKUP(Z36,'Writing Logic'!$A$3:$B$7,2,FALSE),VLOOKUP(AA36,'Writing Logic'!$A$3:$B$7,2,FALSE)),AVERAGE(VLOOKUP(X36,'Writing Logic'!$A$3:$B$7,2,FALSE),VLOOKUP(Y36,'Writing Logic'!$A$3:$B$7,2,FALSE),VLOOKUP(Z36,'Writing Logic'!$A$3:$B$7,2,FALSE),VLOOKUP(AA36,'Writing Logic'!$A$3:$B$7,2,FALSE))))),"Fill All 4")</f>
        <v>Fill All 4</v>
      </c>
      <c r="AC36" s="95" t="str">
        <f t="shared" si="1"/>
        <v/>
      </c>
      <c r="AD36" s="120"/>
      <c r="AE36" s="120"/>
      <c r="AF36" s="120"/>
      <c r="AG36" s="120"/>
      <c r="AH36" s="95" t="str">
        <f>IFERROR(IF(YES_Writing_ELA[[#This Row],[Literacy IPP]]='Writing Logic'!$E$26,"IPP",IF(OR(AD36="EAL",AE36="EAL",AF36="EAL",AG36="EAL"),"EAL",IF(AD36='Writing Logic'!$A$10,AVERAGE(VLOOKUP(AE36,'Writing Logic'!$A$3:$B$7,2,FALSE),VLOOKUP(AF36,'Writing Logic'!$A$3:$B$7,2,FALSE),VLOOKUP(AG36,'Writing Logic'!$A$3:$B$7,2,FALSE)),AVERAGE(VLOOKUP(AD36,'Writing Logic'!$A$3:$B$7,2,FALSE),VLOOKUP(AE36,'Writing Logic'!$A$3:$B$7,2,FALSE),VLOOKUP(AF36,'Writing Logic'!$A$3:$B$7,2,FALSE),VLOOKUP(AG36,'Writing Logic'!$A$3:$B$7,2,FALSE))))),"Fill All 4")</f>
        <v>Fill All 4</v>
      </c>
      <c r="AI36" s="95" t="str">
        <f t="shared" si="2"/>
        <v/>
      </c>
      <c r="AJ36" s="183"/>
      <c r="AK36" s="120"/>
      <c r="AL36" s="120"/>
      <c r="AM36" s="120"/>
      <c r="AN36" s="95" t="str">
        <f>IFERROR(IF(YES_Writing_ELA[[#This Row],[Literacy IPP]]='Writing Logic'!$E$26,"IPP",IF(OR(AJ36="EAL",AK36="EAL",AL36="EAL",AM36="EAL"),"EAL",IF(AJ36='Writing Logic'!$A$10,AVERAGE(VLOOKUP(AK36,'Writing Logic'!$A$3:$B$7,2,FALSE),VLOOKUP(AL36,'Writing Logic'!$A$3:$B$7,2,FALSE),VLOOKUP(AM36,'Writing Logic'!$A$3:$B$7,2,FALSE)),AVERAGE(VLOOKUP(AJ36,'Writing Logic'!$A$3:$B$7,2,FALSE),VLOOKUP(AK36,'Writing Logic'!$A$3:$B$7,2,FALSE),VLOOKUP(AL36,'Writing Logic'!$A$3:$B$7,2,FALSE),VLOOKUP(AM36,'Writing Logic'!$A$3:$B$7,2,FALSE))))),"Fill All 4")</f>
        <v>Fill All 4</v>
      </c>
      <c r="AO36" s="95" t="str">
        <f t="shared" si="3"/>
        <v/>
      </c>
      <c r="AP36" s="120"/>
      <c r="AQ36" s="120"/>
      <c r="AR36" s="120"/>
      <c r="AS36" s="120"/>
      <c r="AT36" s="95" t="str">
        <f>IFERROR(IF(YES_Writing_ELA[[#This Row],[Literacy IPP]]='Writing Logic'!$E$26,"IPP",IF(OR(AP36="EAL",AQ36="EAL",AR36="EAL",AS36="EAL"),"EAL",IF(AP36='Writing Logic'!$A$10,AVERAGE(VLOOKUP(AQ36,'Writing Logic'!$A$3:$B$7,2,FALSE),VLOOKUP(AR36,'Writing Logic'!$A$3:$B$7,2,FALSE),VLOOKUP(AS36,'Writing Logic'!$A$3:$B$7,2,FALSE)),AVERAGE(VLOOKUP(AP36,'Writing Logic'!$A$3:$B$7,2,FALSE),VLOOKUP(AQ36,'Writing Logic'!$A$3:$B$7,2,FALSE),VLOOKUP(AR36,'Writing Logic'!$A$3:$B$7,2,FALSE),VLOOKUP(AS36,'Writing Logic'!$A$3:$B$7,2,FALSE))))),"Fill All 4")</f>
        <v>Fill All 4</v>
      </c>
      <c r="AU36" s="95" t="str">
        <f t="shared" si="4"/>
        <v/>
      </c>
    </row>
    <row r="37" spans="1:47" x14ac:dyDescent="0.25">
      <c r="A37" s="13"/>
      <c r="B37" s="13"/>
      <c r="C37" s="13"/>
      <c r="D37" s="13"/>
      <c r="E37" s="13"/>
      <c r="F37" s="13"/>
      <c r="G37" s="13"/>
      <c r="H37" s="13"/>
      <c r="I37" s="13"/>
      <c r="J37" s="13"/>
      <c r="K37" s="183"/>
      <c r="L37" s="184"/>
      <c r="M37" s="120"/>
      <c r="N37" s="120"/>
      <c r="O37" s="120"/>
      <c r="P37" s="120"/>
      <c r="Q37" s="95" t="str">
        <f>IFERROR(IF(YES_Writing_ELA[[#This Row],[Literacy IPP]]='Writing Logic'!$E$26,"IPP",IF(OR(M37="EAL",N37="EAL",O37="EAL",P37="EAL"),"EAL",IF(M37='Writing Logic'!$A$10,AVERAGE(VLOOKUP(N37,'Writing Logic'!$A$3:$B$7,2,FALSE),VLOOKUP(O37,'Writing Logic'!$A$3:$B$7,2,FALSE),VLOOKUP(P37,'Writing Logic'!$A$3:$B$7,2,FALSE)),AVERAGE(VLOOKUP(M37,'Writing Logic'!$A$3:$B$7,2,FALSE),VLOOKUP(N37,'Writing Logic'!$A$3:$B$7,2,FALSE),VLOOKUP(O37,'Writing Logic'!$A$3:$B$7,2,FALSE),VLOOKUP(P37,'Writing Logic'!$A$3:$B$7,2,FALSE))))),"Fill All 4")</f>
        <v>Fill All 4</v>
      </c>
      <c r="R37" s="120"/>
      <c r="S37" s="120"/>
      <c r="T37" s="120"/>
      <c r="U37" s="120"/>
      <c r="V37" s="95" t="str">
        <f>IFERROR(IF(YES_Writing_ELA[[#This Row],[Literacy IPP]]='Writing Logic'!$E$26,"IPP",IF(OR(R37="EAL",S37="EAL",T37="EAL",U37="EAL"),"EAL",IF(R37='Writing Logic'!$A$10,AVERAGE(VLOOKUP(S37,'Writing Logic'!$A$3:$B$7,2,FALSE),VLOOKUP(T37,'Writing Logic'!$A$3:$B$7,2,FALSE),VLOOKUP(U37,'Writing Logic'!$A$3:$B$7,2,FALSE)),AVERAGE(VLOOKUP(R37,'Writing Logic'!$A$3:$B$7,2,FALSE),VLOOKUP(S37,'Writing Logic'!$A$3:$B$7,2,FALSE),VLOOKUP(T37,'Writing Logic'!$A$3:$B$7,2,FALSE),VLOOKUP(U37,'Writing Logic'!$A$3:$B$7,2,FALSE))))),"Fill All 4")</f>
        <v>Fill All 4</v>
      </c>
      <c r="W37" s="95" t="str">
        <f t="shared" si="0"/>
        <v/>
      </c>
      <c r="X37" s="120"/>
      <c r="Y37" s="120"/>
      <c r="Z37" s="120"/>
      <c r="AA37" s="120"/>
      <c r="AB37" s="95" t="str">
        <f>IFERROR(IF(YES_Writing_ELA[[#This Row],[Literacy IPP]]='Writing Logic'!$E$26,"IPP",IF(OR(X37="EAL",Y37="EAL",Z37="EAL",AA37="EAL"),"EAL",IF(X37='Writing Logic'!$A$10,AVERAGE(VLOOKUP(Y37,'Writing Logic'!$A$3:$B$7,2,FALSE),VLOOKUP(Z37,'Writing Logic'!$A$3:$B$7,2,FALSE),VLOOKUP(AA37,'Writing Logic'!$A$3:$B$7,2,FALSE)),AVERAGE(VLOOKUP(X37,'Writing Logic'!$A$3:$B$7,2,FALSE),VLOOKUP(Y37,'Writing Logic'!$A$3:$B$7,2,FALSE),VLOOKUP(Z37,'Writing Logic'!$A$3:$B$7,2,FALSE),VLOOKUP(AA37,'Writing Logic'!$A$3:$B$7,2,FALSE))))),"Fill All 4")</f>
        <v>Fill All 4</v>
      </c>
      <c r="AC37" s="95" t="str">
        <f t="shared" si="1"/>
        <v/>
      </c>
      <c r="AD37" s="120"/>
      <c r="AE37" s="120"/>
      <c r="AF37" s="120"/>
      <c r="AG37" s="120"/>
      <c r="AH37" s="95" t="str">
        <f>IFERROR(IF(YES_Writing_ELA[[#This Row],[Literacy IPP]]='Writing Logic'!$E$26,"IPP",IF(OR(AD37="EAL",AE37="EAL",AF37="EAL",AG37="EAL"),"EAL",IF(AD37='Writing Logic'!$A$10,AVERAGE(VLOOKUP(AE37,'Writing Logic'!$A$3:$B$7,2,FALSE),VLOOKUP(AF37,'Writing Logic'!$A$3:$B$7,2,FALSE),VLOOKUP(AG37,'Writing Logic'!$A$3:$B$7,2,FALSE)),AVERAGE(VLOOKUP(AD37,'Writing Logic'!$A$3:$B$7,2,FALSE),VLOOKUP(AE37,'Writing Logic'!$A$3:$B$7,2,FALSE),VLOOKUP(AF37,'Writing Logic'!$A$3:$B$7,2,FALSE),VLOOKUP(AG37,'Writing Logic'!$A$3:$B$7,2,FALSE))))),"Fill All 4")</f>
        <v>Fill All 4</v>
      </c>
      <c r="AI37" s="95" t="str">
        <f t="shared" si="2"/>
        <v/>
      </c>
      <c r="AJ37" s="183"/>
      <c r="AK37" s="120"/>
      <c r="AL37" s="120"/>
      <c r="AM37" s="120"/>
      <c r="AN37" s="95" t="str">
        <f>IFERROR(IF(YES_Writing_ELA[[#This Row],[Literacy IPP]]='Writing Logic'!$E$26,"IPP",IF(OR(AJ37="EAL",AK37="EAL",AL37="EAL",AM37="EAL"),"EAL",IF(AJ37='Writing Logic'!$A$10,AVERAGE(VLOOKUP(AK37,'Writing Logic'!$A$3:$B$7,2,FALSE),VLOOKUP(AL37,'Writing Logic'!$A$3:$B$7,2,FALSE),VLOOKUP(AM37,'Writing Logic'!$A$3:$B$7,2,FALSE)),AVERAGE(VLOOKUP(AJ37,'Writing Logic'!$A$3:$B$7,2,FALSE),VLOOKUP(AK37,'Writing Logic'!$A$3:$B$7,2,FALSE),VLOOKUP(AL37,'Writing Logic'!$A$3:$B$7,2,FALSE),VLOOKUP(AM37,'Writing Logic'!$A$3:$B$7,2,FALSE))))),"Fill All 4")</f>
        <v>Fill All 4</v>
      </c>
      <c r="AO37" s="95" t="str">
        <f t="shared" si="3"/>
        <v/>
      </c>
      <c r="AP37" s="120"/>
      <c r="AQ37" s="120"/>
      <c r="AR37" s="120"/>
      <c r="AS37" s="120"/>
      <c r="AT37" s="95" t="str">
        <f>IFERROR(IF(YES_Writing_ELA[[#This Row],[Literacy IPP]]='Writing Logic'!$E$26,"IPP",IF(OR(AP37="EAL",AQ37="EAL",AR37="EAL",AS37="EAL"),"EAL",IF(AP37='Writing Logic'!$A$10,AVERAGE(VLOOKUP(AQ37,'Writing Logic'!$A$3:$B$7,2,FALSE),VLOOKUP(AR37,'Writing Logic'!$A$3:$B$7,2,FALSE),VLOOKUP(AS37,'Writing Logic'!$A$3:$B$7,2,FALSE)),AVERAGE(VLOOKUP(AP37,'Writing Logic'!$A$3:$B$7,2,FALSE),VLOOKUP(AQ37,'Writing Logic'!$A$3:$B$7,2,FALSE),VLOOKUP(AR37,'Writing Logic'!$A$3:$B$7,2,FALSE),VLOOKUP(AS37,'Writing Logic'!$A$3:$B$7,2,FALSE))))),"Fill All 4")</f>
        <v>Fill All 4</v>
      </c>
      <c r="AU37" s="95" t="str">
        <f t="shared" si="4"/>
        <v/>
      </c>
    </row>
    <row r="38" spans="1:47" x14ac:dyDescent="0.25">
      <c r="A38" s="13"/>
      <c r="B38" s="13"/>
      <c r="C38" s="13"/>
      <c r="D38" s="13"/>
      <c r="E38" s="13"/>
      <c r="F38" s="13"/>
      <c r="G38" s="13"/>
      <c r="H38" s="13"/>
      <c r="I38" s="13"/>
      <c r="J38" s="13"/>
      <c r="K38" s="183"/>
      <c r="L38" s="184"/>
      <c r="M38" s="120"/>
      <c r="N38" s="120"/>
      <c r="O38" s="120"/>
      <c r="P38" s="120"/>
      <c r="Q38" s="95" t="str">
        <f>IFERROR(IF(YES_Writing_ELA[[#This Row],[Literacy IPP]]='Writing Logic'!$E$26,"IPP",IF(OR(M38="EAL",N38="EAL",O38="EAL",P38="EAL"),"EAL",IF(M38='Writing Logic'!$A$10,AVERAGE(VLOOKUP(N38,'Writing Logic'!$A$3:$B$7,2,FALSE),VLOOKUP(O38,'Writing Logic'!$A$3:$B$7,2,FALSE),VLOOKUP(P38,'Writing Logic'!$A$3:$B$7,2,FALSE)),AVERAGE(VLOOKUP(M38,'Writing Logic'!$A$3:$B$7,2,FALSE),VLOOKUP(N38,'Writing Logic'!$A$3:$B$7,2,FALSE),VLOOKUP(O38,'Writing Logic'!$A$3:$B$7,2,FALSE),VLOOKUP(P38,'Writing Logic'!$A$3:$B$7,2,FALSE))))),"Fill All 4")</f>
        <v>Fill All 4</v>
      </c>
      <c r="R38" s="120"/>
      <c r="S38" s="120"/>
      <c r="T38" s="120"/>
      <c r="U38" s="120"/>
      <c r="V38" s="95" t="str">
        <f>IFERROR(IF(YES_Writing_ELA[[#This Row],[Literacy IPP]]='Writing Logic'!$E$26,"IPP",IF(OR(R38="EAL",S38="EAL",T38="EAL",U38="EAL"),"EAL",IF(R38='Writing Logic'!$A$10,AVERAGE(VLOOKUP(S38,'Writing Logic'!$A$3:$B$7,2,FALSE),VLOOKUP(T38,'Writing Logic'!$A$3:$B$7,2,FALSE),VLOOKUP(U38,'Writing Logic'!$A$3:$B$7,2,FALSE)),AVERAGE(VLOOKUP(R38,'Writing Logic'!$A$3:$B$7,2,FALSE),VLOOKUP(S38,'Writing Logic'!$A$3:$B$7,2,FALSE),VLOOKUP(T38,'Writing Logic'!$A$3:$B$7,2,FALSE),VLOOKUP(U38,'Writing Logic'!$A$3:$B$7,2,FALSE))))),"Fill All 4")</f>
        <v>Fill All 4</v>
      </c>
      <c r="W38" s="95" t="str">
        <f t="shared" si="0"/>
        <v/>
      </c>
      <c r="X38" s="120"/>
      <c r="Y38" s="120"/>
      <c r="Z38" s="120"/>
      <c r="AA38" s="120"/>
      <c r="AB38" s="95" t="str">
        <f>IFERROR(IF(YES_Writing_ELA[[#This Row],[Literacy IPP]]='Writing Logic'!$E$26,"IPP",IF(OR(X38="EAL",Y38="EAL",Z38="EAL",AA38="EAL"),"EAL",IF(X38='Writing Logic'!$A$10,AVERAGE(VLOOKUP(Y38,'Writing Logic'!$A$3:$B$7,2,FALSE),VLOOKUP(Z38,'Writing Logic'!$A$3:$B$7,2,FALSE),VLOOKUP(AA38,'Writing Logic'!$A$3:$B$7,2,FALSE)),AVERAGE(VLOOKUP(X38,'Writing Logic'!$A$3:$B$7,2,FALSE),VLOOKUP(Y38,'Writing Logic'!$A$3:$B$7,2,FALSE),VLOOKUP(Z38,'Writing Logic'!$A$3:$B$7,2,FALSE),VLOOKUP(AA38,'Writing Logic'!$A$3:$B$7,2,FALSE))))),"Fill All 4")</f>
        <v>Fill All 4</v>
      </c>
      <c r="AC38" s="95" t="str">
        <f t="shared" si="1"/>
        <v/>
      </c>
      <c r="AD38" s="120"/>
      <c r="AE38" s="120"/>
      <c r="AF38" s="120"/>
      <c r="AG38" s="120"/>
      <c r="AH38" s="95" t="str">
        <f>IFERROR(IF(YES_Writing_ELA[[#This Row],[Literacy IPP]]='Writing Logic'!$E$26,"IPP",IF(OR(AD38="EAL",AE38="EAL",AF38="EAL",AG38="EAL"),"EAL",IF(AD38='Writing Logic'!$A$10,AVERAGE(VLOOKUP(AE38,'Writing Logic'!$A$3:$B$7,2,FALSE),VLOOKUP(AF38,'Writing Logic'!$A$3:$B$7,2,FALSE),VLOOKUP(AG38,'Writing Logic'!$A$3:$B$7,2,FALSE)),AVERAGE(VLOOKUP(AD38,'Writing Logic'!$A$3:$B$7,2,FALSE),VLOOKUP(AE38,'Writing Logic'!$A$3:$B$7,2,FALSE),VLOOKUP(AF38,'Writing Logic'!$A$3:$B$7,2,FALSE),VLOOKUP(AG38,'Writing Logic'!$A$3:$B$7,2,FALSE))))),"Fill All 4")</f>
        <v>Fill All 4</v>
      </c>
      <c r="AI38" s="95" t="str">
        <f t="shared" si="2"/>
        <v/>
      </c>
      <c r="AJ38" s="183"/>
      <c r="AK38" s="120"/>
      <c r="AL38" s="120"/>
      <c r="AM38" s="120"/>
      <c r="AN38" s="95" t="str">
        <f>IFERROR(IF(YES_Writing_ELA[[#This Row],[Literacy IPP]]='Writing Logic'!$E$26,"IPP",IF(OR(AJ38="EAL",AK38="EAL",AL38="EAL",AM38="EAL"),"EAL",IF(AJ38='Writing Logic'!$A$10,AVERAGE(VLOOKUP(AK38,'Writing Logic'!$A$3:$B$7,2,FALSE),VLOOKUP(AL38,'Writing Logic'!$A$3:$B$7,2,FALSE),VLOOKUP(AM38,'Writing Logic'!$A$3:$B$7,2,FALSE)),AVERAGE(VLOOKUP(AJ38,'Writing Logic'!$A$3:$B$7,2,FALSE),VLOOKUP(AK38,'Writing Logic'!$A$3:$B$7,2,FALSE),VLOOKUP(AL38,'Writing Logic'!$A$3:$B$7,2,FALSE),VLOOKUP(AM38,'Writing Logic'!$A$3:$B$7,2,FALSE))))),"Fill All 4")</f>
        <v>Fill All 4</v>
      </c>
      <c r="AO38" s="95" t="str">
        <f t="shared" si="3"/>
        <v/>
      </c>
      <c r="AP38" s="120"/>
      <c r="AQ38" s="120"/>
      <c r="AR38" s="120"/>
      <c r="AS38" s="120"/>
      <c r="AT38" s="95" t="str">
        <f>IFERROR(IF(YES_Writing_ELA[[#This Row],[Literacy IPP]]='Writing Logic'!$E$26,"IPP",IF(OR(AP38="EAL",AQ38="EAL",AR38="EAL",AS38="EAL"),"EAL",IF(AP38='Writing Logic'!$A$10,AVERAGE(VLOOKUP(AQ38,'Writing Logic'!$A$3:$B$7,2,FALSE),VLOOKUP(AR38,'Writing Logic'!$A$3:$B$7,2,FALSE),VLOOKUP(AS38,'Writing Logic'!$A$3:$B$7,2,FALSE)),AVERAGE(VLOOKUP(AP38,'Writing Logic'!$A$3:$B$7,2,FALSE),VLOOKUP(AQ38,'Writing Logic'!$A$3:$B$7,2,FALSE),VLOOKUP(AR38,'Writing Logic'!$A$3:$B$7,2,FALSE),VLOOKUP(AS38,'Writing Logic'!$A$3:$B$7,2,FALSE))))),"Fill All 4")</f>
        <v>Fill All 4</v>
      </c>
      <c r="AU38" s="95" t="str">
        <f t="shared" si="4"/>
        <v/>
      </c>
    </row>
    <row r="39" spans="1:47" x14ac:dyDescent="0.25">
      <c r="A39" s="13"/>
      <c r="B39" s="13"/>
      <c r="C39" s="13"/>
      <c r="D39" s="13"/>
      <c r="E39" s="13"/>
      <c r="F39" s="13"/>
      <c r="G39" s="13"/>
      <c r="H39" s="13"/>
      <c r="I39" s="13"/>
      <c r="J39" s="13"/>
      <c r="K39" s="183"/>
      <c r="L39" s="184"/>
      <c r="M39" s="120"/>
      <c r="N39" s="120"/>
      <c r="O39" s="120"/>
      <c r="P39" s="120"/>
      <c r="Q39" s="95" t="str">
        <f>IFERROR(IF(YES_Writing_ELA[[#This Row],[Literacy IPP]]='Writing Logic'!$E$26,"IPP",IF(OR(M39="EAL",N39="EAL",O39="EAL",P39="EAL"),"EAL",IF(M39='Writing Logic'!$A$10,AVERAGE(VLOOKUP(N39,'Writing Logic'!$A$3:$B$7,2,FALSE),VLOOKUP(O39,'Writing Logic'!$A$3:$B$7,2,FALSE),VLOOKUP(P39,'Writing Logic'!$A$3:$B$7,2,FALSE)),AVERAGE(VLOOKUP(M39,'Writing Logic'!$A$3:$B$7,2,FALSE),VLOOKUP(N39,'Writing Logic'!$A$3:$B$7,2,FALSE),VLOOKUP(O39,'Writing Logic'!$A$3:$B$7,2,FALSE),VLOOKUP(P39,'Writing Logic'!$A$3:$B$7,2,FALSE))))),"Fill All 4")</f>
        <v>Fill All 4</v>
      </c>
      <c r="R39" s="120"/>
      <c r="S39" s="120"/>
      <c r="T39" s="120"/>
      <c r="U39" s="120"/>
      <c r="V39" s="95" t="str">
        <f>IFERROR(IF(YES_Writing_ELA[[#This Row],[Literacy IPP]]='Writing Logic'!$E$26,"IPP",IF(OR(R39="EAL",S39="EAL",T39="EAL",U39="EAL"),"EAL",IF(R39='Writing Logic'!$A$10,AVERAGE(VLOOKUP(S39,'Writing Logic'!$A$3:$B$7,2,FALSE),VLOOKUP(T39,'Writing Logic'!$A$3:$B$7,2,FALSE),VLOOKUP(U39,'Writing Logic'!$A$3:$B$7,2,FALSE)),AVERAGE(VLOOKUP(R39,'Writing Logic'!$A$3:$B$7,2,FALSE),VLOOKUP(S39,'Writing Logic'!$A$3:$B$7,2,FALSE),VLOOKUP(T39,'Writing Logic'!$A$3:$B$7,2,FALSE),VLOOKUP(U39,'Writing Logic'!$A$3:$B$7,2,FALSE))))),"Fill All 4")</f>
        <v>Fill All 4</v>
      </c>
      <c r="W39" s="95" t="str">
        <f t="shared" si="0"/>
        <v/>
      </c>
      <c r="X39" s="120"/>
      <c r="Y39" s="120"/>
      <c r="Z39" s="120"/>
      <c r="AA39" s="120"/>
      <c r="AB39" s="95" t="str">
        <f>IFERROR(IF(YES_Writing_ELA[[#This Row],[Literacy IPP]]='Writing Logic'!$E$26,"IPP",IF(OR(X39="EAL",Y39="EAL",Z39="EAL",AA39="EAL"),"EAL",IF(X39='Writing Logic'!$A$10,AVERAGE(VLOOKUP(Y39,'Writing Logic'!$A$3:$B$7,2,FALSE),VLOOKUP(Z39,'Writing Logic'!$A$3:$B$7,2,FALSE),VLOOKUP(AA39,'Writing Logic'!$A$3:$B$7,2,FALSE)),AVERAGE(VLOOKUP(X39,'Writing Logic'!$A$3:$B$7,2,FALSE),VLOOKUP(Y39,'Writing Logic'!$A$3:$B$7,2,FALSE),VLOOKUP(Z39,'Writing Logic'!$A$3:$B$7,2,FALSE),VLOOKUP(AA39,'Writing Logic'!$A$3:$B$7,2,FALSE))))),"Fill All 4")</f>
        <v>Fill All 4</v>
      </c>
      <c r="AC39" s="95" t="str">
        <f t="shared" si="1"/>
        <v/>
      </c>
      <c r="AD39" s="120"/>
      <c r="AE39" s="120"/>
      <c r="AF39" s="120"/>
      <c r="AG39" s="120"/>
      <c r="AH39" s="95" t="str">
        <f>IFERROR(IF(YES_Writing_ELA[[#This Row],[Literacy IPP]]='Writing Logic'!$E$26,"IPP",IF(OR(AD39="EAL",AE39="EAL",AF39="EAL",AG39="EAL"),"EAL",IF(AD39='Writing Logic'!$A$10,AVERAGE(VLOOKUP(AE39,'Writing Logic'!$A$3:$B$7,2,FALSE),VLOOKUP(AF39,'Writing Logic'!$A$3:$B$7,2,FALSE),VLOOKUP(AG39,'Writing Logic'!$A$3:$B$7,2,FALSE)),AVERAGE(VLOOKUP(AD39,'Writing Logic'!$A$3:$B$7,2,FALSE),VLOOKUP(AE39,'Writing Logic'!$A$3:$B$7,2,FALSE),VLOOKUP(AF39,'Writing Logic'!$A$3:$B$7,2,FALSE),VLOOKUP(AG39,'Writing Logic'!$A$3:$B$7,2,FALSE))))),"Fill All 4")</f>
        <v>Fill All 4</v>
      </c>
      <c r="AI39" s="95" t="str">
        <f t="shared" si="2"/>
        <v/>
      </c>
      <c r="AJ39" s="183"/>
      <c r="AK39" s="120"/>
      <c r="AL39" s="120"/>
      <c r="AM39" s="120"/>
      <c r="AN39" s="95" t="str">
        <f>IFERROR(IF(YES_Writing_ELA[[#This Row],[Literacy IPP]]='Writing Logic'!$E$26,"IPP",IF(OR(AJ39="EAL",AK39="EAL",AL39="EAL",AM39="EAL"),"EAL",IF(AJ39='Writing Logic'!$A$10,AVERAGE(VLOOKUP(AK39,'Writing Logic'!$A$3:$B$7,2,FALSE),VLOOKUP(AL39,'Writing Logic'!$A$3:$B$7,2,FALSE),VLOOKUP(AM39,'Writing Logic'!$A$3:$B$7,2,FALSE)),AVERAGE(VLOOKUP(AJ39,'Writing Logic'!$A$3:$B$7,2,FALSE),VLOOKUP(AK39,'Writing Logic'!$A$3:$B$7,2,FALSE),VLOOKUP(AL39,'Writing Logic'!$A$3:$B$7,2,FALSE),VLOOKUP(AM39,'Writing Logic'!$A$3:$B$7,2,FALSE))))),"Fill All 4")</f>
        <v>Fill All 4</v>
      </c>
      <c r="AO39" s="95" t="str">
        <f t="shared" si="3"/>
        <v/>
      </c>
      <c r="AP39" s="120"/>
      <c r="AQ39" s="120"/>
      <c r="AR39" s="120"/>
      <c r="AS39" s="120"/>
      <c r="AT39" s="95" t="str">
        <f>IFERROR(IF(YES_Writing_ELA[[#This Row],[Literacy IPP]]='Writing Logic'!$E$26,"IPP",IF(OR(AP39="EAL",AQ39="EAL",AR39="EAL",AS39="EAL"),"EAL",IF(AP39='Writing Logic'!$A$10,AVERAGE(VLOOKUP(AQ39,'Writing Logic'!$A$3:$B$7,2,FALSE),VLOOKUP(AR39,'Writing Logic'!$A$3:$B$7,2,FALSE),VLOOKUP(AS39,'Writing Logic'!$A$3:$B$7,2,FALSE)),AVERAGE(VLOOKUP(AP39,'Writing Logic'!$A$3:$B$7,2,FALSE),VLOOKUP(AQ39,'Writing Logic'!$A$3:$B$7,2,FALSE),VLOOKUP(AR39,'Writing Logic'!$A$3:$B$7,2,FALSE),VLOOKUP(AS39,'Writing Logic'!$A$3:$B$7,2,FALSE))))),"Fill All 4")</f>
        <v>Fill All 4</v>
      </c>
      <c r="AU39" s="95" t="str">
        <f t="shared" si="4"/>
        <v/>
      </c>
    </row>
    <row r="40" spans="1:47" x14ac:dyDescent="0.25">
      <c r="A40" s="13"/>
      <c r="B40" s="13"/>
      <c r="C40" s="13"/>
      <c r="D40" s="13"/>
      <c r="E40" s="13"/>
      <c r="F40" s="13"/>
      <c r="G40" s="13"/>
      <c r="H40" s="13"/>
      <c r="I40" s="13"/>
      <c r="J40" s="13"/>
      <c r="K40" s="183"/>
      <c r="L40" s="184"/>
      <c r="M40" s="120"/>
      <c r="N40" s="120"/>
      <c r="O40" s="120"/>
      <c r="P40" s="120"/>
      <c r="Q40" s="95" t="str">
        <f>IFERROR(IF(YES_Writing_ELA[[#This Row],[Literacy IPP]]='Writing Logic'!$E$26,"IPP",IF(OR(M40="EAL",N40="EAL",O40="EAL",P40="EAL"),"EAL",IF(M40='Writing Logic'!$A$10,AVERAGE(VLOOKUP(N40,'Writing Logic'!$A$3:$B$7,2,FALSE),VLOOKUP(O40,'Writing Logic'!$A$3:$B$7,2,FALSE),VLOOKUP(P40,'Writing Logic'!$A$3:$B$7,2,FALSE)),AVERAGE(VLOOKUP(M40,'Writing Logic'!$A$3:$B$7,2,FALSE),VLOOKUP(N40,'Writing Logic'!$A$3:$B$7,2,FALSE),VLOOKUP(O40,'Writing Logic'!$A$3:$B$7,2,FALSE),VLOOKUP(P40,'Writing Logic'!$A$3:$B$7,2,FALSE))))),"Fill All 4")</f>
        <v>Fill All 4</v>
      </c>
      <c r="R40" s="120"/>
      <c r="S40" s="120"/>
      <c r="T40" s="120"/>
      <c r="U40" s="120"/>
      <c r="V40" s="95" t="str">
        <f>IFERROR(IF(YES_Writing_ELA[[#This Row],[Literacy IPP]]='Writing Logic'!$E$26,"IPP",IF(OR(R40="EAL",S40="EAL",T40="EAL",U40="EAL"),"EAL",IF(R40='Writing Logic'!$A$10,AVERAGE(VLOOKUP(S40,'Writing Logic'!$A$3:$B$7,2,FALSE),VLOOKUP(T40,'Writing Logic'!$A$3:$B$7,2,FALSE),VLOOKUP(U40,'Writing Logic'!$A$3:$B$7,2,FALSE)),AVERAGE(VLOOKUP(R40,'Writing Logic'!$A$3:$B$7,2,FALSE),VLOOKUP(S40,'Writing Logic'!$A$3:$B$7,2,FALSE),VLOOKUP(T40,'Writing Logic'!$A$3:$B$7,2,FALSE),VLOOKUP(U40,'Writing Logic'!$A$3:$B$7,2,FALSE))))),"Fill All 4")</f>
        <v>Fill All 4</v>
      </c>
      <c r="W40" s="95" t="str">
        <f t="shared" si="0"/>
        <v/>
      </c>
      <c r="X40" s="120"/>
      <c r="Y40" s="120"/>
      <c r="Z40" s="120"/>
      <c r="AA40" s="120"/>
      <c r="AB40" s="95" t="str">
        <f>IFERROR(IF(YES_Writing_ELA[[#This Row],[Literacy IPP]]='Writing Logic'!$E$26,"IPP",IF(OR(X40="EAL",Y40="EAL",Z40="EAL",AA40="EAL"),"EAL",IF(X40='Writing Logic'!$A$10,AVERAGE(VLOOKUP(Y40,'Writing Logic'!$A$3:$B$7,2,FALSE),VLOOKUP(Z40,'Writing Logic'!$A$3:$B$7,2,FALSE),VLOOKUP(AA40,'Writing Logic'!$A$3:$B$7,2,FALSE)),AVERAGE(VLOOKUP(X40,'Writing Logic'!$A$3:$B$7,2,FALSE),VLOOKUP(Y40,'Writing Logic'!$A$3:$B$7,2,FALSE),VLOOKUP(Z40,'Writing Logic'!$A$3:$B$7,2,FALSE),VLOOKUP(AA40,'Writing Logic'!$A$3:$B$7,2,FALSE))))),"Fill All 4")</f>
        <v>Fill All 4</v>
      </c>
      <c r="AC40" s="95" t="str">
        <f t="shared" si="1"/>
        <v/>
      </c>
      <c r="AD40" s="120"/>
      <c r="AE40" s="120"/>
      <c r="AF40" s="120"/>
      <c r="AG40" s="120"/>
      <c r="AH40" s="95" t="str">
        <f>IFERROR(IF(YES_Writing_ELA[[#This Row],[Literacy IPP]]='Writing Logic'!$E$26,"IPP",IF(OR(AD40="EAL",AE40="EAL",AF40="EAL",AG40="EAL"),"EAL",IF(AD40='Writing Logic'!$A$10,AVERAGE(VLOOKUP(AE40,'Writing Logic'!$A$3:$B$7,2,FALSE),VLOOKUP(AF40,'Writing Logic'!$A$3:$B$7,2,FALSE),VLOOKUP(AG40,'Writing Logic'!$A$3:$B$7,2,FALSE)),AVERAGE(VLOOKUP(AD40,'Writing Logic'!$A$3:$B$7,2,FALSE),VLOOKUP(AE40,'Writing Logic'!$A$3:$B$7,2,FALSE),VLOOKUP(AF40,'Writing Logic'!$A$3:$B$7,2,FALSE),VLOOKUP(AG40,'Writing Logic'!$A$3:$B$7,2,FALSE))))),"Fill All 4")</f>
        <v>Fill All 4</v>
      </c>
      <c r="AI40" s="95" t="str">
        <f t="shared" si="2"/>
        <v/>
      </c>
      <c r="AJ40" s="183"/>
      <c r="AK40" s="120"/>
      <c r="AL40" s="120"/>
      <c r="AM40" s="120"/>
      <c r="AN40" s="95" t="str">
        <f>IFERROR(IF(YES_Writing_ELA[[#This Row],[Literacy IPP]]='Writing Logic'!$E$26,"IPP",IF(OR(AJ40="EAL",AK40="EAL",AL40="EAL",AM40="EAL"),"EAL",IF(AJ40='Writing Logic'!$A$10,AVERAGE(VLOOKUP(AK40,'Writing Logic'!$A$3:$B$7,2,FALSE),VLOOKUP(AL40,'Writing Logic'!$A$3:$B$7,2,FALSE),VLOOKUP(AM40,'Writing Logic'!$A$3:$B$7,2,FALSE)),AVERAGE(VLOOKUP(AJ40,'Writing Logic'!$A$3:$B$7,2,FALSE),VLOOKUP(AK40,'Writing Logic'!$A$3:$B$7,2,FALSE),VLOOKUP(AL40,'Writing Logic'!$A$3:$B$7,2,FALSE),VLOOKUP(AM40,'Writing Logic'!$A$3:$B$7,2,FALSE))))),"Fill All 4")</f>
        <v>Fill All 4</v>
      </c>
      <c r="AO40" s="95" t="str">
        <f t="shared" si="3"/>
        <v/>
      </c>
      <c r="AP40" s="120"/>
      <c r="AQ40" s="120"/>
      <c r="AR40" s="120"/>
      <c r="AS40" s="120"/>
      <c r="AT40" s="95" t="str">
        <f>IFERROR(IF(YES_Writing_ELA[[#This Row],[Literacy IPP]]='Writing Logic'!$E$26,"IPP",IF(OR(AP40="EAL",AQ40="EAL",AR40="EAL",AS40="EAL"),"EAL",IF(AP40='Writing Logic'!$A$10,AVERAGE(VLOOKUP(AQ40,'Writing Logic'!$A$3:$B$7,2,FALSE),VLOOKUP(AR40,'Writing Logic'!$A$3:$B$7,2,FALSE),VLOOKUP(AS40,'Writing Logic'!$A$3:$B$7,2,FALSE)),AVERAGE(VLOOKUP(AP40,'Writing Logic'!$A$3:$B$7,2,FALSE),VLOOKUP(AQ40,'Writing Logic'!$A$3:$B$7,2,FALSE),VLOOKUP(AR40,'Writing Logic'!$A$3:$B$7,2,FALSE),VLOOKUP(AS40,'Writing Logic'!$A$3:$B$7,2,FALSE))))),"Fill All 4")</f>
        <v>Fill All 4</v>
      </c>
      <c r="AU40" s="95" t="str">
        <f t="shared" si="4"/>
        <v/>
      </c>
    </row>
    <row r="41" spans="1:47" x14ac:dyDescent="0.25">
      <c r="A41" s="13"/>
      <c r="B41" s="13"/>
      <c r="C41" s="13"/>
      <c r="D41" s="13"/>
      <c r="E41" s="13"/>
      <c r="F41" s="13"/>
      <c r="G41" s="13"/>
      <c r="H41" s="13"/>
      <c r="I41" s="13"/>
      <c r="J41" s="13"/>
      <c r="K41" s="183"/>
      <c r="L41" s="184"/>
      <c r="M41" s="120"/>
      <c r="N41" s="120"/>
      <c r="O41" s="120"/>
      <c r="P41" s="120"/>
      <c r="Q41" s="95" t="str">
        <f>IFERROR(IF(YES_Writing_ELA[[#This Row],[Literacy IPP]]='Writing Logic'!$E$26,"IPP",IF(OR(M41="EAL",N41="EAL",O41="EAL",P41="EAL"),"EAL",IF(M41='Writing Logic'!$A$10,AVERAGE(VLOOKUP(N41,'Writing Logic'!$A$3:$B$7,2,FALSE),VLOOKUP(O41,'Writing Logic'!$A$3:$B$7,2,FALSE),VLOOKUP(P41,'Writing Logic'!$A$3:$B$7,2,FALSE)),AVERAGE(VLOOKUP(M41,'Writing Logic'!$A$3:$B$7,2,FALSE),VLOOKUP(N41,'Writing Logic'!$A$3:$B$7,2,FALSE),VLOOKUP(O41,'Writing Logic'!$A$3:$B$7,2,FALSE),VLOOKUP(P41,'Writing Logic'!$A$3:$B$7,2,FALSE))))),"Fill All 4")</f>
        <v>Fill All 4</v>
      </c>
      <c r="R41" s="120"/>
      <c r="S41" s="120"/>
      <c r="T41" s="120"/>
      <c r="U41" s="120"/>
      <c r="V41" s="95" t="str">
        <f>IFERROR(IF(YES_Writing_ELA[[#This Row],[Literacy IPP]]='Writing Logic'!$E$26,"IPP",IF(OR(R41="EAL",S41="EAL",T41="EAL",U41="EAL"),"EAL",IF(R41='Writing Logic'!$A$10,AVERAGE(VLOOKUP(S41,'Writing Logic'!$A$3:$B$7,2,FALSE),VLOOKUP(T41,'Writing Logic'!$A$3:$B$7,2,FALSE),VLOOKUP(U41,'Writing Logic'!$A$3:$B$7,2,FALSE)),AVERAGE(VLOOKUP(R41,'Writing Logic'!$A$3:$B$7,2,FALSE),VLOOKUP(S41,'Writing Logic'!$A$3:$B$7,2,FALSE),VLOOKUP(T41,'Writing Logic'!$A$3:$B$7,2,FALSE),VLOOKUP(U41,'Writing Logic'!$A$3:$B$7,2,FALSE))))),"Fill All 4")</f>
        <v>Fill All 4</v>
      </c>
      <c r="W41" s="95" t="str">
        <f t="shared" si="0"/>
        <v/>
      </c>
      <c r="X41" s="120"/>
      <c r="Y41" s="120"/>
      <c r="Z41" s="120"/>
      <c r="AA41" s="120"/>
      <c r="AB41" s="95" t="str">
        <f>IFERROR(IF(YES_Writing_ELA[[#This Row],[Literacy IPP]]='Writing Logic'!$E$26,"IPP",IF(OR(X41="EAL",Y41="EAL",Z41="EAL",AA41="EAL"),"EAL",IF(X41='Writing Logic'!$A$10,AVERAGE(VLOOKUP(Y41,'Writing Logic'!$A$3:$B$7,2,FALSE),VLOOKUP(Z41,'Writing Logic'!$A$3:$B$7,2,FALSE),VLOOKUP(AA41,'Writing Logic'!$A$3:$B$7,2,FALSE)),AVERAGE(VLOOKUP(X41,'Writing Logic'!$A$3:$B$7,2,FALSE),VLOOKUP(Y41,'Writing Logic'!$A$3:$B$7,2,FALSE),VLOOKUP(Z41,'Writing Logic'!$A$3:$B$7,2,FALSE),VLOOKUP(AA41,'Writing Logic'!$A$3:$B$7,2,FALSE))))),"Fill All 4")</f>
        <v>Fill All 4</v>
      </c>
      <c r="AC41" s="95" t="str">
        <f t="shared" si="1"/>
        <v/>
      </c>
      <c r="AD41" s="120"/>
      <c r="AE41" s="120"/>
      <c r="AF41" s="120"/>
      <c r="AG41" s="120"/>
      <c r="AH41" s="95" t="str">
        <f>IFERROR(IF(YES_Writing_ELA[[#This Row],[Literacy IPP]]='Writing Logic'!$E$26,"IPP",IF(OR(AD41="EAL",AE41="EAL",AF41="EAL",AG41="EAL"),"EAL",IF(AD41='Writing Logic'!$A$10,AVERAGE(VLOOKUP(AE41,'Writing Logic'!$A$3:$B$7,2,FALSE),VLOOKUP(AF41,'Writing Logic'!$A$3:$B$7,2,FALSE),VLOOKUP(AG41,'Writing Logic'!$A$3:$B$7,2,FALSE)),AVERAGE(VLOOKUP(AD41,'Writing Logic'!$A$3:$B$7,2,FALSE),VLOOKUP(AE41,'Writing Logic'!$A$3:$B$7,2,FALSE),VLOOKUP(AF41,'Writing Logic'!$A$3:$B$7,2,FALSE),VLOOKUP(AG41,'Writing Logic'!$A$3:$B$7,2,FALSE))))),"Fill All 4")</f>
        <v>Fill All 4</v>
      </c>
      <c r="AI41" s="95" t="str">
        <f t="shared" si="2"/>
        <v/>
      </c>
      <c r="AJ41" s="183"/>
      <c r="AK41" s="120"/>
      <c r="AL41" s="120"/>
      <c r="AM41" s="120"/>
      <c r="AN41" s="95" t="str">
        <f>IFERROR(IF(YES_Writing_ELA[[#This Row],[Literacy IPP]]='Writing Logic'!$E$26,"IPP",IF(OR(AJ41="EAL",AK41="EAL",AL41="EAL",AM41="EAL"),"EAL",IF(AJ41='Writing Logic'!$A$10,AVERAGE(VLOOKUP(AK41,'Writing Logic'!$A$3:$B$7,2,FALSE),VLOOKUP(AL41,'Writing Logic'!$A$3:$B$7,2,FALSE),VLOOKUP(AM41,'Writing Logic'!$A$3:$B$7,2,FALSE)),AVERAGE(VLOOKUP(AJ41,'Writing Logic'!$A$3:$B$7,2,FALSE),VLOOKUP(AK41,'Writing Logic'!$A$3:$B$7,2,FALSE),VLOOKUP(AL41,'Writing Logic'!$A$3:$B$7,2,FALSE),VLOOKUP(AM41,'Writing Logic'!$A$3:$B$7,2,FALSE))))),"Fill All 4")</f>
        <v>Fill All 4</v>
      </c>
      <c r="AO41" s="95" t="str">
        <f t="shared" si="3"/>
        <v/>
      </c>
      <c r="AP41" s="120"/>
      <c r="AQ41" s="120"/>
      <c r="AR41" s="120"/>
      <c r="AS41" s="120"/>
      <c r="AT41" s="95" t="str">
        <f>IFERROR(IF(YES_Writing_ELA[[#This Row],[Literacy IPP]]='Writing Logic'!$E$26,"IPP",IF(OR(AP41="EAL",AQ41="EAL",AR41="EAL",AS41="EAL"),"EAL",IF(AP41='Writing Logic'!$A$10,AVERAGE(VLOOKUP(AQ41,'Writing Logic'!$A$3:$B$7,2,FALSE),VLOOKUP(AR41,'Writing Logic'!$A$3:$B$7,2,FALSE),VLOOKUP(AS41,'Writing Logic'!$A$3:$B$7,2,FALSE)),AVERAGE(VLOOKUP(AP41,'Writing Logic'!$A$3:$B$7,2,FALSE),VLOOKUP(AQ41,'Writing Logic'!$A$3:$B$7,2,FALSE),VLOOKUP(AR41,'Writing Logic'!$A$3:$B$7,2,FALSE),VLOOKUP(AS41,'Writing Logic'!$A$3:$B$7,2,FALSE))))),"Fill All 4")</f>
        <v>Fill All 4</v>
      </c>
      <c r="AU41" s="95" t="str">
        <f t="shared" si="4"/>
        <v/>
      </c>
    </row>
    <row r="42" spans="1:47" x14ac:dyDescent="0.25">
      <c r="A42" s="13"/>
      <c r="B42" s="13"/>
      <c r="C42" s="13"/>
      <c r="D42" s="13"/>
      <c r="E42" s="13"/>
      <c r="F42" s="13"/>
      <c r="G42" s="13"/>
      <c r="H42" s="13"/>
      <c r="I42" s="13"/>
      <c r="J42" s="13"/>
      <c r="K42" s="183"/>
      <c r="L42" s="184"/>
      <c r="M42" s="120"/>
      <c r="N42" s="120"/>
      <c r="O42" s="120"/>
      <c r="P42" s="120"/>
      <c r="Q42" s="95" t="str">
        <f>IFERROR(IF(YES_Writing_ELA[[#This Row],[Literacy IPP]]='Writing Logic'!$E$26,"IPP",IF(OR(M42="EAL",N42="EAL",O42="EAL",P42="EAL"),"EAL",IF(M42='Writing Logic'!$A$10,AVERAGE(VLOOKUP(N42,'Writing Logic'!$A$3:$B$7,2,FALSE),VLOOKUP(O42,'Writing Logic'!$A$3:$B$7,2,FALSE),VLOOKUP(P42,'Writing Logic'!$A$3:$B$7,2,FALSE)),AVERAGE(VLOOKUP(M42,'Writing Logic'!$A$3:$B$7,2,FALSE),VLOOKUP(N42,'Writing Logic'!$A$3:$B$7,2,FALSE),VLOOKUP(O42,'Writing Logic'!$A$3:$B$7,2,FALSE),VLOOKUP(P42,'Writing Logic'!$A$3:$B$7,2,FALSE))))),"Fill All 4")</f>
        <v>Fill All 4</v>
      </c>
      <c r="R42" s="120"/>
      <c r="S42" s="120"/>
      <c r="T42" s="120"/>
      <c r="U42" s="120"/>
      <c r="V42" s="95" t="str">
        <f>IFERROR(IF(YES_Writing_ELA[[#This Row],[Literacy IPP]]='Writing Logic'!$E$26,"IPP",IF(OR(R42="EAL",S42="EAL",T42="EAL",U42="EAL"),"EAL",IF(R42='Writing Logic'!$A$10,AVERAGE(VLOOKUP(S42,'Writing Logic'!$A$3:$B$7,2,FALSE),VLOOKUP(T42,'Writing Logic'!$A$3:$B$7,2,FALSE),VLOOKUP(U42,'Writing Logic'!$A$3:$B$7,2,FALSE)),AVERAGE(VLOOKUP(R42,'Writing Logic'!$A$3:$B$7,2,FALSE),VLOOKUP(S42,'Writing Logic'!$A$3:$B$7,2,FALSE),VLOOKUP(T42,'Writing Logic'!$A$3:$B$7,2,FALSE),VLOOKUP(U42,'Writing Logic'!$A$3:$B$7,2,FALSE))))),"Fill All 4")</f>
        <v>Fill All 4</v>
      </c>
      <c r="W42" s="95" t="str">
        <f t="shared" si="0"/>
        <v/>
      </c>
      <c r="X42" s="120"/>
      <c r="Y42" s="120"/>
      <c r="Z42" s="120"/>
      <c r="AA42" s="120"/>
      <c r="AB42" s="95" t="str">
        <f>IFERROR(IF(YES_Writing_ELA[[#This Row],[Literacy IPP]]='Writing Logic'!$E$26,"IPP",IF(OR(X42="EAL",Y42="EAL",Z42="EAL",AA42="EAL"),"EAL",IF(X42='Writing Logic'!$A$10,AVERAGE(VLOOKUP(Y42,'Writing Logic'!$A$3:$B$7,2,FALSE),VLOOKUP(Z42,'Writing Logic'!$A$3:$B$7,2,FALSE),VLOOKUP(AA42,'Writing Logic'!$A$3:$B$7,2,FALSE)),AVERAGE(VLOOKUP(X42,'Writing Logic'!$A$3:$B$7,2,FALSE),VLOOKUP(Y42,'Writing Logic'!$A$3:$B$7,2,FALSE),VLOOKUP(Z42,'Writing Logic'!$A$3:$B$7,2,FALSE),VLOOKUP(AA42,'Writing Logic'!$A$3:$B$7,2,FALSE))))),"Fill All 4")</f>
        <v>Fill All 4</v>
      </c>
      <c r="AC42" s="95" t="str">
        <f t="shared" si="1"/>
        <v/>
      </c>
      <c r="AD42" s="120"/>
      <c r="AE42" s="120"/>
      <c r="AF42" s="120"/>
      <c r="AG42" s="120"/>
      <c r="AH42" s="95" t="str">
        <f>IFERROR(IF(YES_Writing_ELA[[#This Row],[Literacy IPP]]='Writing Logic'!$E$26,"IPP",IF(OR(AD42="EAL",AE42="EAL",AF42="EAL",AG42="EAL"),"EAL",IF(AD42='Writing Logic'!$A$10,AVERAGE(VLOOKUP(AE42,'Writing Logic'!$A$3:$B$7,2,FALSE),VLOOKUP(AF42,'Writing Logic'!$A$3:$B$7,2,FALSE),VLOOKUP(AG42,'Writing Logic'!$A$3:$B$7,2,FALSE)),AVERAGE(VLOOKUP(AD42,'Writing Logic'!$A$3:$B$7,2,FALSE),VLOOKUP(AE42,'Writing Logic'!$A$3:$B$7,2,FALSE),VLOOKUP(AF42,'Writing Logic'!$A$3:$B$7,2,FALSE),VLOOKUP(AG42,'Writing Logic'!$A$3:$B$7,2,FALSE))))),"Fill All 4")</f>
        <v>Fill All 4</v>
      </c>
      <c r="AI42" s="95" t="str">
        <f t="shared" si="2"/>
        <v/>
      </c>
      <c r="AJ42" s="183"/>
      <c r="AK42" s="120"/>
      <c r="AL42" s="120"/>
      <c r="AM42" s="120"/>
      <c r="AN42" s="95" t="str">
        <f>IFERROR(IF(YES_Writing_ELA[[#This Row],[Literacy IPP]]='Writing Logic'!$E$26,"IPP",IF(OR(AJ42="EAL",AK42="EAL",AL42="EAL",AM42="EAL"),"EAL",IF(AJ42='Writing Logic'!$A$10,AVERAGE(VLOOKUP(AK42,'Writing Logic'!$A$3:$B$7,2,FALSE),VLOOKUP(AL42,'Writing Logic'!$A$3:$B$7,2,FALSE),VLOOKUP(AM42,'Writing Logic'!$A$3:$B$7,2,FALSE)),AVERAGE(VLOOKUP(AJ42,'Writing Logic'!$A$3:$B$7,2,FALSE),VLOOKUP(AK42,'Writing Logic'!$A$3:$B$7,2,FALSE),VLOOKUP(AL42,'Writing Logic'!$A$3:$B$7,2,FALSE),VLOOKUP(AM42,'Writing Logic'!$A$3:$B$7,2,FALSE))))),"Fill All 4")</f>
        <v>Fill All 4</v>
      </c>
      <c r="AO42" s="95" t="str">
        <f t="shared" si="3"/>
        <v/>
      </c>
      <c r="AP42" s="120"/>
      <c r="AQ42" s="120"/>
      <c r="AR42" s="120"/>
      <c r="AS42" s="120"/>
      <c r="AT42" s="95" t="str">
        <f>IFERROR(IF(YES_Writing_ELA[[#This Row],[Literacy IPP]]='Writing Logic'!$E$26,"IPP",IF(OR(AP42="EAL",AQ42="EAL",AR42="EAL",AS42="EAL"),"EAL",IF(AP42='Writing Logic'!$A$10,AVERAGE(VLOOKUP(AQ42,'Writing Logic'!$A$3:$B$7,2,FALSE),VLOOKUP(AR42,'Writing Logic'!$A$3:$B$7,2,FALSE),VLOOKUP(AS42,'Writing Logic'!$A$3:$B$7,2,FALSE)),AVERAGE(VLOOKUP(AP42,'Writing Logic'!$A$3:$B$7,2,FALSE),VLOOKUP(AQ42,'Writing Logic'!$A$3:$B$7,2,FALSE),VLOOKUP(AR42,'Writing Logic'!$A$3:$B$7,2,FALSE),VLOOKUP(AS42,'Writing Logic'!$A$3:$B$7,2,FALSE))))),"Fill All 4")</f>
        <v>Fill All 4</v>
      </c>
      <c r="AU42" s="95" t="str">
        <f t="shared" si="4"/>
        <v/>
      </c>
    </row>
    <row r="43" spans="1:47" x14ac:dyDescent="0.25">
      <c r="A43" s="13"/>
      <c r="B43" s="13"/>
      <c r="C43" s="13"/>
      <c r="D43" s="13"/>
      <c r="E43" s="13"/>
      <c r="F43" s="13"/>
      <c r="G43" s="13"/>
      <c r="H43" s="13"/>
      <c r="I43" s="13"/>
      <c r="J43" s="13"/>
      <c r="K43" s="183"/>
      <c r="L43" s="184"/>
      <c r="M43" s="120"/>
      <c r="N43" s="120"/>
      <c r="O43" s="120"/>
      <c r="P43" s="120"/>
      <c r="Q43" s="95" t="str">
        <f>IFERROR(IF(YES_Writing_ELA[[#This Row],[Literacy IPP]]='Writing Logic'!$E$26,"IPP",IF(OR(M43="EAL",N43="EAL",O43="EAL",P43="EAL"),"EAL",IF(M43='Writing Logic'!$A$10,AVERAGE(VLOOKUP(N43,'Writing Logic'!$A$3:$B$7,2,FALSE),VLOOKUP(O43,'Writing Logic'!$A$3:$B$7,2,FALSE),VLOOKUP(P43,'Writing Logic'!$A$3:$B$7,2,FALSE)),AVERAGE(VLOOKUP(M43,'Writing Logic'!$A$3:$B$7,2,FALSE),VLOOKUP(N43,'Writing Logic'!$A$3:$B$7,2,FALSE),VLOOKUP(O43,'Writing Logic'!$A$3:$B$7,2,FALSE),VLOOKUP(P43,'Writing Logic'!$A$3:$B$7,2,FALSE))))),"Fill All 4")</f>
        <v>Fill All 4</v>
      </c>
      <c r="R43" s="120"/>
      <c r="S43" s="120"/>
      <c r="T43" s="120"/>
      <c r="U43" s="120"/>
      <c r="V43" s="95" t="str">
        <f>IFERROR(IF(YES_Writing_ELA[[#This Row],[Literacy IPP]]='Writing Logic'!$E$26,"IPP",IF(OR(R43="EAL",S43="EAL",T43="EAL",U43="EAL"),"EAL",IF(R43='Writing Logic'!$A$10,AVERAGE(VLOOKUP(S43,'Writing Logic'!$A$3:$B$7,2,FALSE),VLOOKUP(T43,'Writing Logic'!$A$3:$B$7,2,FALSE),VLOOKUP(U43,'Writing Logic'!$A$3:$B$7,2,FALSE)),AVERAGE(VLOOKUP(R43,'Writing Logic'!$A$3:$B$7,2,FALSE),VLOOKUP(S43,'Writing Logic'!$A$3:$B$7,2,FALSE),VLOOKUP(T43,'Writing Logic'!$A$3:$B$7,2,FALSE),VLOOKUP(U43,'Writing Logic'!$A$3:$B$7,2,FALSE))))),"Fill All 4")</f>
        <v>Fill All 4</v>
      </c>
      <c r="W43" s="95" t="str">
        <f t="shared" si="0"/>
        <v/>
      </c>
      <c r="X43" s="120"/>
      <c r="Y43" s="120"/>
      <c r="Z43" s="120"/>
      <c r="AA43" s="120"/>
      <c r="AB43" s="95" t="str">
        <f>IFERROR(IF(YES_Writing_ELA[[#This Row],[Literacy IPP]]='Writing Logic'!$E$26,"IPP",IF(OR(X43="EAL",Y43="EAL",Z43="EAL",AA43="EAL"),"EAL",IF(X43='Writing Logic'!$A$10,AVERAGE(VLOOKUP(Y43,'Writing Logic'!$A$3:$B$7,2,FALSE),VLOOKUP(Z43,'Writing Logic'!$A$3:$B$7,2,FALSE),VLOOKUP(AA43,'Writing Logic'!$A$3:$B$7,2,FALSE)),AVERAGE(VLOOKUP(X43,'Writing Logic'!$A$3:$B$7,2,FALSE),VLOOKUP(Y43,'Writing Logic'!$A$3:$B$7,2,FALSE),VLOOKUP(Z43,'Writing Logic'!$A$3:$B$7,2,FALSE),VLOOKUP(AA43,'Writing Logic'!$A$3:$B$7,2,FALSE))))),"Fill All 4")</f>
        <v>Fill All 4</v>
      </c>
      <c r="AC43" s="95" t="str">
        <f t="shared" si="1"/>
        <v/>
      </c>
      <c r="AD43" s="120"/>
      <c r="AE43" s="120"/>
      <c r="AF43" s="120"/>
      <c r="AG43" s="120"/>
      <c r="AH43" s="95" t="str">
        <f>IFERROR(IF(YES_Writing_ELA[[#This Row],[Literacy IPP]]='Writing Logic'!$E$26,"IPP",IF(OR(AD43="EAL",AE43="EAL",AF43="EAL",AG43="EAL"),"EAL",IF(AD43='Writing Logic'!$A$10,AVERAGE(VLOOKUP(AE43,'Writing Logic'!$A$3:$B$7,2,FALSE),VLOOKUP(AF43,'Writing Logic'!$A$3:$B$7,2,FALSE),VLOOKUP(AG43,'Writing Logic'!$A$3:$B$7,2,FALSE)),AVERAGE(VLOOKUP(AD43,'Writing Logic'!$A$3:$B$7,2,FALSE),VLOOKUP(AE43,'Writing Logic'!$A$3:$B$7,2,FALSE),VLOOKUP(AF43,'Writing Logic'!$A$3:$B$7,2,FALSE),VLOOKUP(AG43,'Writing Logic'!$A$3:$B$7,2,FALSE))))),"Fill All 4")</f>
        <v>Fill All 4</v>
      </c>
      <c r="AI43" s="95" t="str">
        <f t="shared" si="2"/>
        <v/>
      </c>
      <c r="AJ43" s="183"/>
      <c r="AK43" s="120"/>
      <c r="AL43" s="120"/>
      <c r="AM43" s="120"/>
      <c r="AN43" s="95" t="str">
        <f>IFERROR(IF(YES_Writing_ELA[[#This Row],[Literacy IPP]]='Writing Logic'!$E$26,"IPP",IF(OR(AJ43="EAL",AK43="EAL",AL43="EAL",AM43="EAL"),"EAL",IF(AJ43='Writing Logic'!$A$10,AVERAGE(VLOOKUP(AK43,'Writing Logic'!$A$3:$B$7,2,FALSE),VLOOKUP(AL43,'Writing Logic'!$A$3:$B$7,2,FALSE),VLOOKUP(AM43,'Writing Logic'!$A$3:$B$7,2,FALSE)),AVERAGE(VLOOKUP(AJ43,'Writing Logic'!$A$3:$B$7,2,FALSE),VLOOKUP(AK43,'Writing Logic'!$A$3:$B$7,2,FALSE),VLOOKUP(AL43,'Writing Logic'!$A$3:$B$7,2,FALSE),VLOOKUP(AM43,'Writing Logic'!$A$3:$B$7,2,FALSE))))),"Fill All 4")</f>
        <v>Fill All 4</v>
      </c>
      <c r="AO43" s="95" t="str">
        <f t="shared" si="3"/>
        <v/>
      </c>
      <c r="AP43" s="120"/>
      <c r="AQ43" s="120"/>
      <c r="AR43" s="120"/>
      <c r="AS43" s="120"/>
      <c r="AT43" s="95" t="str">
        <f>IFERROR(IF(YES_Writing_ELA[[#This Row],[Literacy IPP]]='Writing Logic'!$E$26,"IPP",IF(OR(AP43="EAL",AQ43="EAL",AR43="EAL",AS43="EAL"),"EAL",IF(AP43='Writing Logic'!$A$10,AVERAGE(VLOOKUP(AQ43,'Writing Logic'!$A$3:$B$7,2,FALSE),VLOOKUP(AR43,'Writing Logic'!$A$3:$B$7,2,FALSE),VLOOKUP(AS43,'Writing Logic'!$A$3:$B$7,2,FALSE)),AVERAGE(VLOOKUP(AP43,'Writing Logic'!$A$3:$B$7,2,FALSE),VLOOKUP(AQ43,'Writing Logic'!$A$3:$B$7,2,FALSE),VLOOKUP(AR43,'Writing Logic'!$A$3:$B$7,2,FALSE),VLOOKUP(AS43,'Writing Logic'!$A$3:$B$7,2,FALSE))))),"Fill All 4")</f>
        <v>Fill All 4</v>
      </c>
      <c r="AU43" s="95" t="str">
        <f t="shared" si="4"/>
        <v/>
      </c>
    </row>
    <row r="44" spans="1:47" x14ac:dyDescent="0.25">
      <c r="A44" s="13"/>
      <c r="B44" s="13"/>
      <c r="C44" s="13"/>
      <c r="D44" s="13"/>
      <c r="E44" s="13"/>
      <c r="F44" s="13"/>
      <c r="G44" s="13"/>
      <c r="H44" s="13"/>
      <c r="I44" s="13"/>
      <c r="J44" s="13"/>
      <c r="K44" s="183"/>
      <c r="L44" s="184"/>
      <c r="M44" s="120"/>
      <c r="N44" s="120"/>
      <c r="O44" s="120"/>
      <c r="P44" s="120"/>
      <c r="Q44" s="95" t="str">
        <f>IFERROR(IF(YES_Writing_ELA[[#This Row],[Literacy IPP]]='Writing Logic'!$E$26,"IPP",IF(OR(M44="EAL",N44="EAL",O44="EAL",P44="EAL"),"EAL",IF(M44='Writing Logic'!$A$10,AVERAGE(VLOOKUP(N44,'Writing Logic'!$A$3:$B$7,2,FALSE),VLOOKUP(O44,'Writing Logic'!$A$3:$B$7,2,FALSE),VLOOKUP(P44,'Writing Logic'!$A$3:$B$7,2,FALSE)),AVERAGE(VLOOKUP(M44,'Writing Logic'!$A$3:$B$7,2,FALSE),VLOOKUP(N44,'Writing Logic'!$A$3:$B$7,2,FALSE),VLOOKUP(O44,'Writing Logic'!$A$3:$B$7,2,FALSE),VLOOKUP(P44,'Writing Logic'!$A$3:$B$7,2,FALSE))))),"Fill All 4")</f>
        <v>Fill All 4</v>
      </c>
      <c r="R44" s="120"/>
      <c r="S44" s="120"/>
      <c r="T44" s="120"/>
      <c r="U44" s="120"/>
      <c r="V44" s="95" t="str">
        <f>IFERROR(IF(YES_Writing_ELA[[#This Row],[Literacy IPP]]='Writing Logic'!$E$26,"IPP",IF(OR(R44="EAL",S44="EAL",T44="EAL",U44="EAL"),"EAL",IF(R44='Writing Logic'!$A$10,AVERAGE(VLOOKUP(S44,'Writing Logic'!$A$3:$B$7,2,FALSE),VLOOKUP(T44,'Writing Logic'!$A$3:$B$7,2,FALSE),VLOOKUP(U44,'Writing Logic'!$A$3:$B$7,2,FALSE)),AVERAGE(VLOOKUP(R44,'Writing Logic'!$A$3:$B$7,2,FALSE),VLOOKUP(S44,'Writing Logic'!$A$3:$B$7,2,FALSE),VLOOKUP(T44,'Writing Logic'!$A$3:$B$7,2,FALSE),VLOOKUP(U44,'Writing Logic'!$A$3:$B$7,2,FALSE))))),"Fill All 4")</f>
        <v>Fill All 4</v>
      </c>
      <c r="W44" s="95" t="str">
        <f t="shared" si="0"/>
        <v/>
      </c>
      <c r="X44" s="120"/>
      <c r="Y44" s="120"/>
      <c r="Z44" s="120"/>
      <c r="AA44" s="120"/>
      <c r="AB44" s="95" t="str">
        <f>IFERROR(IF(YES_Writing_ELA[[#This Row],[Literacy IPP]]='Writing Logic'!$E$26,"IPP",IF(OR(X44="EAL",Y44="EAL",Z44="EAL",AA44="EAL"),"EAL",IF(X44='Writing Logic'!$A$10,AVERAGE(VLOOKUP(Y44,'Writing Logic'!$A$3:$B$7,2,FALSE),VLOOKUP(Z44,'Writing Logic'!$A$3:$B$7,2,FALSE),VLOOKUP(AA44,'Writing Logic'!$A$3:$B$7,2,FALSE)),AVERAGE(VLOOKUP(X44,'Writing Logic'!$A$3:$B$7,2,FALSE),VLOOKUP(Y44,'Writing Logic'!$A$3:$B$7,2,FALSE),VLOOKUP(Z44,'Writing Logic'!$A$3:$B$7,2,FALSE),VLOOKUP(AA44,'Writing Logic'!$A$3:$B$7,2,FALSE))))),"Fill All 4")</f>
        <v>Fill All 4</v>
      </c>
      <c r="AC44" s="95" t="str">
        <f t="shared" si="1"/>
        <v/>
      </c>
      <c r="AD44" s="120"/>
      <c r="AE44" s="120"/>
      <c r="AF44" s="120"/>
      <c r="AG44" s="120"/>
      <c r="AH44" s="95" t="str">
        <f>IFERROR(IF(YES_Writing_ELA[[#This Row],[Literacy IPP]]='Writing Logic'!$E$26,"IPP",IF(OR(AD44="EAL",AE44="EAL",AF44="EAL",AG44="EAL"),"EAL",IF(AD44='Writing Logic'!$A$10,AVERAGE(VLOOKUP(AE44,'Writing Logic'!$A$3:$B$7,2,FALSE),VLOOKUP(AF44,'Writing Logic'!$A$3:$B$7,2,FALSE),VLOOKUP(AG44,'Writing Logic'!$A$3:$B$7,2,FALSE)),AVERAGE(VLOOKUP(AD44,'Writing Logic'!$A$3:$B$7,2,FALSE),VLOOKUP(AE44,'Writing Logic'!$A$3:$B$7,2,FALSE),VLOOKUP(AF44,'Writing Logic'!$A$3:$B$7,2,FALSE),VLOOKUP(AG44,'Writing Logic'!$A$3:$B$7,2,FALSE))))),"Fill All 4")</f>
        <v>Fill All 4</v>
      </c>
      <c r="AI44" s="95" t="str">
        <f t="shared" si="2"/>
        <v/>
      </c>
      <c r="AJ44" s="183"/>
      <c r="AK44" s="120"/>
      <c r="AL44" s="120"/>
      <c r="AM44" s="120"/>
      <c r="AN44" s="95" t="str">
        <f>IFERROR(IF(YES_Writing_ELA[[#This Row],[Literacy IPP]]='Writing Logic'!$E$26,"IPP",IF(OR(AJ44="EAL",AK44="EAL",AL44="EAL",AM44="EAL"),"EAL",IF(AJ44='Writing Logic'!$A$10,AVERAGE(VLOOKUP(AK44,'Writing Logic'!$A$3:$B$7,2,FALSE),VLOOKUP(AL44,'Writing Logic'!$A$3:$B$7,2,FALSE),VLOOKUP(AM44,'Writing Logic'!$A$3:$B$7,2,FALSE)),AVERAGE(VLOOKUP(AJ44,'Writing Logic'!$A$3:$B$7,2,FALSE),VLOOKUP(AK44,'Writing Logic'!$A$3:$B$7,2,FALSE),VLOOKUP(AL44,'Writing Logic'!$A$3:$B$7,2,FALSE),VLOOKUP(AM44,'Writing Logic'!$A$3:$B$7,2,FALSE))))),"Fill All 4")</f>
        <v>Fill All 4</v>
      </c>
      <c r="AO44" s="95" t="str">
        <f t="shared" si="3"/>
        <v/>
      </c>
      <c r="AP44" s="120"/>
      <c r="AQ44" s="120"/>
      <c r="AR44" s="120"/>
      <c r="AS44" s="120"/>
      <c r="AT44" s="95" t="str">
        <f>IFERROR(IF(YES_Writing_ELA[[#This Row],[Literacy IPP]]='Writing Logic'!$E$26,"IPP",IF(OR(AP44="EAL",AQ44="EAL",AR44="EAL",AS44="EAL"),"EAL",IF(AP44='Writing Logic'!$A$10,AVERAGE(VLOOKUP(AQ44,'Writing Logic'!$A$3:$B$7,2,FALSE),VLOOKUP(AR44,'Writing Logic'!$A$3:$B$7,2,FALSE),VLOOKUP(AS44,'Writing Logic'!$A$3:$B$7,2,FALSE)),AVERAGE(VLOOKUP(AP44,'Writing Logic'!$A$3:$B$7,2,FALSE),VLOOKUP(AQ44,'Writing Logic'!$A$3:$B$7,2,FALSE),VLOOKUP(AR44,'Writing Logic'!$A$3:$B$7,2,FALSE),VLOOKUP(AS44,'Writing Logic'!$A$3:$B$7,2,FALSE))))),"Fill All 4")</f>
        <v>Fill All 4</v>
      </c>
      <c r="AU44" s="95" t="str">
        <f t="shared" si="4"/>
        <v/>
      </c>
    </row>
    <row r="45" spans="1:47" x14ac:dyDescent="0.25">
      <c r="A45" s="13"/>
      <c r="B45" s="13"/>
      <c r="C45" s="13"/>
      <c r="D45" s="13"/>
      <c r="E45" s="13"/>
      <c r="F45" s="13"/>
      <c r="G45" s="13"/>
      <c r="H45" s="13"/>
      <c r="I45" s="13"/>
      <c r="J45" s="13"/>
      <c r="K45" s="183"/>
      <c r="L45" s="184"/>
      <c r="M45" s="120"/>
      <c r="N45" s="120"/>
      <c r="O45" s="120"/>
      <c r="P45" s="120"/>
      <c r="Q45" s="95" t="str">
        <f>IFERROR(IF(YES_Writing_ELA[[#This Row],[Literacy IPP]]='Writing Logic'!$E$26,"IPP",IF(OR(M45="EAL",N45="EAL",O45="EAL",P45="EAL"),"EAL",IF(M45='Writing Logic'!$A$10,AVERAGE(VLOOKUP(N45,'Writing Logic'!$A$3:$B$7,2,FALSE),VLOOKUP(O45,'Writing Logic'!$A$3:$B$7,2,FALSE),VLOOKUP(P45,'Writing Logic'!$A$3:$B$7,2,FALSE)),AVERAGE(VLOOKUP(M45,'Writing Logic'!$A$3:$B$7,2,FALSE),VLOOKUP(N45,'Writing Logic'!$A$3:$B$7,2,FALSE),VLOOKUP(O45,'Writing Logic'!$A$3:$B$7,2,FALSE),VLOOKUP(P45,'Writing Logic'!$A$3:$B$7,2,FALSE))))),"Fill All 4")</f>
        <v>Fill All 4</v>
      </c>
      <c r="R45" s="120"/>
      <c r="S45" s="120"/>
      <c r="T45" s="120"/>
      <c r="U45" s="120"/>
      <c r="V45" s="95" t="str">
        <f>IFERROR(IF(YES_Writing_ELA[[#This Row],[Literacy IPP]]='Writing Logic'!$E$26,"IPP",IF(OR(R45="EAL",S45="EAL",T45="EAL",U45="EAL"),"EAL",IF(R45='Writing Logic'!$A$10,AVERAGE(VLOOKUP(S45,'Writing Logic'!$A$3:$B$7,2,FALSE),VLOOKUP(T45,'Writing Logic'!$A$3:$B$7,2,FALSE),VLOOKUP(U45,'Writing Logic'!$A$3:$B$7,2,FALSE)),AVERAGE(VLOOKUP(R45,'Writing Logic'!$A$3:$B$7,2,FALSE),VLOOKUP(S45,'Writing Logic'!$A$3:$B$7,2,FALSE),VLOOKUP(T45,'Writing Logic'!$A$3:$B$7,2,FALSE),VLOOKUP(U45,'Writing Logic'!$A$3:$B$7,2,FALSE))))),"Fill All 4")</f>
        <v>Fill All 4</v>
      </c>
      <c r="W45" s="95" t="str">
        <f t="shared" si="0"/>
        <v/>
      </c>
      <c r="X45" s="120"/>
      <c r="Y45" s="120"/>
      <c r="Z45" s="120"/>
      <c r="AA45" s="120"/>
      <c r="AB45" s="95" t="str">
        <f>IFERROR(IF(YES_Writing_ELA[[#This Row],[Literacy IPP]]='Writing Logic'!$E$26,"IPP",IF(OR(X45="EAL",Y45="EAL",Z45="EAL",AA45="EAL"),"EAL",IF(X45='Writing Logic'!$A$10,AVERAGE(VLOOKUP(Y45,'Writing Logic'!$A$3:$B$7,2,FALSE),VLOOKUP(Z45,'Writing Logic'!$A$3:$B$7,2,FALSE),VLOOKUP(AA45,'Writing Logic'!$A$3:$B$7,2,FALSE)),AVERAGE(VLOOKUP(X45,'Writing Logic'!$A$3:$B$7,2,FALSE),VLOOKUP(Y45,'Writing Logic'!$A$3:$B$7,2,FALSE),VLOOKUP(Z45,'Writing Logic'!$A$3:$B$7,2,FALSE),VLOOKUP(AA45,'Writing Logic'!$A$3:$B$7,2,FALSE))))),"Fill All 4")</f>
        <v>Fill All 4</v>
      </c>
      <c r="AC45" s="95" t="str">
        <f t="shared" si="1"/>
        <v/>
      </c>
      <c r="AD45" s="120"/>
      <c r="AE45" s="120"/>
      <c r="AF45" s="120"/>
      <c r="AG45" s="120"/>
      <c r="AH45" s="95" t="str">
        <f>IFERROR(IF(YES_Writing_ELA[[#This Row],[Literacy IPP]]='Writing Logic'!$E$26,"IPP",IF(OR(AD45="EAL",AE45="EAL",AF45="EAL",AG45="EAL"),"EAL",IF(AD45='Writing Logic'!$A$10,AVERAGE(VLOOKUP(AE45,'Writing Logic'!$A$3:$B$7,2,FALSE),VLOOKUP(AF45,'Writing Logic'!$A$3:$B$7,2,FALSE),VLOOKUP(AG45,'Writing Logic'!$A$3:$B$7,2,FALSE)),AVERAGE(VLOOKUP(AD45,'Writing Logic'!$A$3:$B$7,2,FALSE),VLOOKUP(AE45,'Writing Logic'!$A$3:$B$7,2,FALSE),VLOOKUP(AF45,'Writing Logic'!$A$3:$B$7,2,FALSE),VLOOKUP(AG45,'Writing Logic'!$A$3:$B$7,2,FALSE))))),"Fill All 4")</f>
        <v>Fill All 4</v>
      </c>
      <c r="AI45" s="95" t="str">
        <f t="shared" si="2"/>
        <v/>
      </c>
      <c r="AJ45" s="183"/>
      <c r="AK45" s="120"/>
      <c r="AL45" s="120"/>
      <c r="AM45" s="120"/>
      <c r="AN45" s="95" t="str">
        <f>IFERROR(IF(YES_Writing_ELA[[#This Row],[Literacy IPP]]='Writing Logic'!$E$26,"IPP",IF(OR(AJ45="EAL",AK45="EAL",AL45="EAL",AM45="EAL"),"EAL",IF(AJ45='Writing Logic'!$A$10,AVERAGE(VLOOKUP(AK45,'Writing Logic'!$A$3:$B$7,2,FALSE),VLOOKUP(AL45,'Writing Logic'!$A$3:$B$7,2,FALSE),VLOOKUP(AM45,'Writing Logic'!$A$3:$B$7,2,FALSE)),AVERAGE(VLOOKUP(AJ45,'Writing Logic'!$A$3:$B$7,2,FALSE),VLOOKUP(AK45,'Writing Logic'!$A$3:$B$7,2,FALSE),VLOOKUP(AL45,'Writing Logic'!$A$3:$B$7,2,FALSE),VLOOKUP(AM45,'Writing Logic'!$A$3:$B$7,2,FALSE))))),"Fill All 4")</f>
        <v>Fill All 4</v>
      </c>
      <c r="AO45" s="95" t="str">
        <f t="shared" si="3"/>
        <v/>
      </c>
      <c r="AP45" s="120"/>
      <c r="AQ45" s="120"/>
      <c r="AR45" s="120"/>
      <c r="AS45" s="120"/>
      <c r="AT45" s="95" t="str">
        <f>IFERROR(IF(YES_Writing_ELA[[#This Row],[Literacy IPP]]='Writing Logic'!$E$26,"IPP",IF(OR(AP45="EAL",AQ45="EAL",AR45="EAL",AS45="EAL"),"EAL",IF(AP45='Writing Logic'!$A$10,AVERAGE(VLOOKUP(AQ45,'Writing Logic'!$A$3:$B$7,2,FALSE),VLOOKUP(AR45,'Writing Logic'!$A$3:$B$7,2,FALSE),VLOOKUP(AS45,'Writing Logic'!$A$3:$B$7,2,FALSE)),AVERAGE(VLOOKUP(AP45,'Writing Logic'!$A$3:$B$7,2,FALSE),VLOOKUP(AQ45,'Writing Logic'!$A$3:$B$7,2,FALSE),VLOOKUP(AR45,'Writing Logic'!$A$3:$B$7,2,FALSE),VLOOKUP(AS45,'Writing Logic'!$A$3:$B$7,2,FALSE))))),"Fill All 4")</f>
        <v>Fill All 4</v>
      </c>
      <c r="AU45" s="95" t="str">
        <f t="shared" si="4"/>
        <v/>
      </c>
    </row>
    <row r="46" spans="1:47" x14ac:dyDescent="0.25">
      <c r="A46" s="13"/>
      <c r="B46" s="13"/>
      <c r="C46" s="13"/>
      <c r="D46" s="13"/>
      <c r="E46" s="13"/>
      <c r="F46" s="13"/>
      <c r="G46" s="13"/>
      <c r="H46" s="13"/>
      <c r="I46" s="13"/>
      <c r="J46" s="13"/>
      <c r="K46" s="183"/>
      <c r="L46" s="184"/>
      <c r="M46" s="120"/>
      <c r="N46" s="120"/>
      <c r="O46" s="120"/>
      <c r="P46" s="120"/>
      <c r="Q46" s="95" t="str">
        <f>IFERROR(IF(YES_Writing_ELA[[#This Row],[Literacy IPP]]='Writing Logic'!$E$26,"IPP",IF(OR(M46="EAL",N46="EAL",O46="EAL",P46="EAL"),"EAL",IF(M46='Writing Logic'!$A$10,AVERAGE(VLOOKUP(N46,'Writing Logic'!$A$3:$B$7,2,FALSE),VLOOKUP(O46,'Writing Logic'!$A$3:$B$7,2,FALSE),VLOOKUP(P46,'Writing Logic'!$A$3:$B$7,2,FALSE)),AVERAGE(VLOOKUP(M46,'Writing Logic'!$A$3:$B$7,2,FALSE),VLOOKUP(N46,'Writing Logic'!$A$3:$B$7,2,FALSE),VLOOKUP(O46,'Writing Logic'!$A$3:$B$7,2,FALSE),VLOOKUP(P46,'Writing Logic'!$A$3:$B$7,2,FALSE))))),"Fill All 4")</f>
        <v>Fill All 4</v>
      </c>
      <c r="R46" s="120"/>
      <c r="S46" s="120"/>
      <c r="T46" s="120"/>
      <c r="U46" s="120"/>
      <c r="V46" s="95" t="str">
        <f>IFERROR(IF(YES_Writing_ELA[[#This Row],[Literacy IPP]]='Writing Logic'!$E$26,"IPP",IF(OR(R46="EAL",S46="EAL",T46="EAL",U46="EAL"),"EAL",IF(R46='Writing Logic'!$A$10,AVERAGE(VLOOKUP(S46,'Writing Logic'!$A$3:$B$7,2,FALSE),VLOOKUP(T46,'Writing Logic'!$A$3:$B$7,2,FALSE),VLOOKUP(U46,'Writing Logic'!$A$3:$B$7,2,FALSE)),AVERAGE(VLOOKUP(R46,'Writing Logic'!$A$3:$B$7,2,FALSE),VLOOKUP(S46,'Writing Logic'!$A$3:$B$7,2,FALSE),VLOOKUP(T46,'Writing Logic'!$A$3:$B$7,2,FALSE),VLOOKUP(U46,'Writing Logic'!$A$3:$B$7,2,FALSE))))),"Fill All 4")</f>
        <v>Fill All 4</v>
      </c>
      <c r="W46" s="95" t="str">
        <f t="shared" si="0"/>
        <v/>
      </c>
      <c r="X46" s="120"/>
      <c r="Y46" s="120"/>
      <c r="Z46" s="120"/>
      <c r="AA46" s="120"/>
      <c r="AB46" s="95" t="str">
        <f>IFERROR(IF(YES_Writing_ELA[[#This Row],[Literacy IPP]]='Writing Logic'!$E$26,"IPP",IF(OR(X46="EAL",Y46="EAL",Z46="EAL",AA46="EAL"),"EAL",IF(X46='Writing Logic'!$A$10,AVERAGE(VLOOKUP(Y46,'Writing Logic'!$A$3:$B$7,2,FALSE),VLOOKUP(Z46,'Writing Logic'!$A$3:$B$7,2,FALSE),VLOOKUP(AA46,'Writing Logic'!$A$3:$B$7,2,FALSE)),AVERAGE(VLOOKUP(X46,'Writing Logic'!$A$3:$B$7,2,FALSE),VLOOKUP(Y46,'Writing Logic'!$A$3:$B$7,2,FALSE),VLOOKUP(Z46,'Writing Logic'!$A$3:$B$7,2,FALSE),VLOOKUP(AA46,'Writing Logic'!$A$3:$B$7,2,FALSE))))),"Fill All 4")</f>
        <v>Fill All 4</v>
      </c>
      <c r="AC46" s="95" t="str">
        <f t="shared" si="1"/>
        <v/>
      </c>
      <c r="AD46" s="120"/>
      <c r="AE46" s="120"/>
      <c r="AF46" s="120"/>
      <c r="AG46" s="120"/>
      <c r="AH46" s="95" t="str">
        <f>IFERROR(IF(YES_Writing_ELA[[#This Row],[Literacy IPP]]='Writing Logic'!$E$26,"IPP",IF(OR(AD46="EAL",AE46="EAL",AF46="EAL",AG46="EAL"),"EAL",IF(AD46='Writing Logic'!$A$10,AVERAGE(VLOOKUP(AE46,'Writing Logic'!$A$3:$B$7,2,FALSE),VLOOKUP(AF46,'Writing Logic'!$A$3:$B$7,2,FALSE),VLOOKUP(AG46,'Writing Logic'!$A$3:$B$7,2,FALSE)),AVERAGE(VLOOKUP(AD46,'Writing Logic'!$A$3:$B$7,2,FALSE),VLOOKUP(AE46,'Writing Logic'!$A$3:$B$7,2,FALSE),VLOOKUP(AF46,'Writing Logic'!$A$3:$B$7,2,FALSE),VLOOKUP(AG46,'Writing Logic'!$A$3:$B$7,2,FALSE))))),"Fill All 4")</f>
        <v>Fill All 4</v>
      </c>
      <c r="AI46" s="95" t="str">
        <f t="shared" si="2"/>
        <v/>
      </c>
      <c r="AJ46" s="183"/>
      <c r="AK46" s="120"/>
      <c r="AL46" s="120"/>
      <c r="AM46" s="120"/>
      <c r="AN46" s="95" t="str">
        <f>IFERROR(IF(YES_Writing_ELA[[#This Row],[Literacy IPP]]='Writing Logic'!$E$26,"IPP",IF(OR(AJ46="EAL",AK46="EAL",AL46="EAL",AM46="EAL"),"EAL",IF(AJ46='Writing Logic'!$A$10,AVERAGE(VLOOKUP(AK46,'Writing Logic'!$A$3:$B$7,2,FALSE),VLOOKUP(AL46,'Writing Logic'!$A$3:$B$7,2,FALSE),VLOOKUP(AM46,'Writing Logic'!$A$3:$B$7,2,FALSE)),AVERAGE(VLOOKUP(AJ46,'Writing Logic'!$A$3:$B$7,2,FALSE),VLOOKUP(AK46,'Writing Logic'!$A$3:$B$7,2,FALSE),VLOOKUP(AL46,'Writing Logic'!$A$3:$B$7,2,FALSE),VLOOKUP(AM46,'Writing Logic'!$A$3:$B$7,2,FALSE))))),"Fill All 4")</f>
        <v>Fill All 4</v>
      </c>
      <c r="AO46" s="95" t="str">
        <f t="shared" si="3"/>
        <v/>
      </c>
      <c r="AP46" s="120"/>
      <c r="AQ46" s="120"/>
      <c r="AR46" s="120"/>
      <c r="AS46" s="120"/>
      <c r="AT46" s="95" t="str">
        <f>IFERROR(IF(YES_Writing_ELA[[#This Row],[Literacy IPP]]='Writing Logic'!$E$26,"IPP",IF(OR(AP46="EAL",AQ46="EAL",AR46="EAL",AS46="EAL"),"EAL",IF(AP46='Writing Logic'!$A$10,AVERAGE(VLOOKUP(AQ46,'Writing Logic'!$A$3:$B$7,2,FALSE),VLOOKUP(AR46,'Writing Logic'!$A$3:$B$7,2,FALSE),VLOOKUP(AS46,'Writing Logic'!$A$3:$B$7,2,FALSE)),AVERAGE(VLOOKUP(AP46,'Writing Logic'!$A$3:$B$7,2,FALSE),VLOOKUP(AQ46,'Writing Logic'!$A$3:$B$7,2,FALSE),VLOOKUP(AR46,'Writing Logic'!$A$3:$B$7,2,FALSE),VLOOKUP(AS46,'Writing Logic'!$A$3:$B$7,2,FALSE))))),"Fill All 4")</f>
        <v>Fill All 4</v>
      </c>
      <c r="AU46" s="95" t="str">
        <f t="shared" si="4"/>
        <v/>
      </c>
    </row>
    <row r="47" spans="1:47" x14ac:dyDescent="0.25">
      <c r="A47" s="13"/>
      <c r="B47" s="13"/>
      <c r="C47" s="13"/>
      <c r="D47" s="13"/>
      <c r="E47" s="13"/>
      <c r="F47" s="13"/>
      <c r="G47" s="13"/>
      <c r="H47" s="13"/>
      <c r="I47" s="13"/>
      <c r="J47" s="13"/>
      <c r="K47" s="183"/>
      <c r="L47" s="184"/>
      <c r="M47" s="120"/>
      <c r="N47" s="120"/>
      <c r="O47" s="120"/>
      <c r="P47" s="120"/>
      <c r="Q47" s="95" t="str">
        <f>IFERROR(IF(YES_Writing_ELA[[#This Row],[Literacy IPP]]='Writing Logic'!$E$26,"IPP",IF(OR(M47="EAL",N47="EAL",O47="EAL",P47="EAL"),"EAL",IF(M47='Writing Logic'!$A$10,AVERAGE(VLOOKUP(N47,'Writing Logic'!$A$3:$B$7,2,FALSE),VLOOKUP(O47,'Writing Logic'!$A$3:$B$7,2,FALSE),VLOOKUP(P47,'Writing Logic'!$A$3:$B$7,2,FALSE)),AVERAGE(VLOOKUP(M47,'Writing Logic'!$A$3:$B$7,2,FALSE),VLOOKUP(N47,'Writing Logic'!$A$3:$B$7,2,FALSE),VLOOKUP(O47,'Writing Logic'!$A$3:$B$7,2,FALSE),VLOOKUP(P47,'Writing Logic'!$A$3:$B$7,2,FALSE))))),"Fill All 4")</f>
        <v>Fill All 4</v>
      </c>
      <c r="R47" s="120"/>
      <c r="S47" s="120"/>
      <c r="T47" s="120"/>
      <c r="U47" s="120"/>
      <c r="V47" s="95" t="str">
        <f>IFERROR(IF(YES_Writing_ELA[[#This Row],[Literacy IPP]]='Writing Logic'!$E$26,"IPP",IF(OR(R47="EAL",S47="EAL",T47="EAL",U47="EAL"),"EAL",IF(R47='Writing Logic'!$A$10,AVERAGE(VLOOKUP(S47,'Writing Logic'!$A$3:$B$7,2,FALSE),VLOOKUP(T47,'Writing Logic'!$A$3:$B$7,2,FALSE),VLOOKUP(U47,'Writing Logic'!$A$3:$B$7,2,FALSE)),AVERAGE(VLOOKUP(R47,'Writing Logic'!$A$3:$B$7,2,FALSE),VLOOKUP(S47,'Writing Logic'!$A$3:$B$7,2,FALSE),VLOOKUP(T47,'Writing Logic'!$A$3:$B$7,2,FALSE),VLOOKUP(U47,'Writing Logic'!$A$3:$B$7,2,FALSE))))),"Fill All 4")</f>
        <v>Fill All 4</v>
      </c>
      <c r="W47" s="95" t="str">
        <f t="shared" si="0"/>
        <v/>
      </c>
      <c r="X47" s="120"/>
      <c r="Y47" s="120"/>
      <c r="Z47" s="120"/>
      <c r="AA47" s="120"/>
      <c r="AB47" s="95" t="str">
        <f>IFERROR(IF(YES_Writing_ELA[[#This Row],[Literacy IPP]]='Writing Logic'!$E$26,"IPP",IF(OR(X47="EAL",Y47="EAL",Z47="EAL",AA47="EAL"),"EAL",IF(X47='Writing Logic'!$A$10,AVERAGE(VLOOKUP(Y47,'Writing Logic'!$A$3:$B$7,2,FALSE),VLOOKUP(Z47,'Writing Logic'!$A$3:$B$7,2,FALSE),VLOOKUP(AA47,'Writing Logic'!$A$3:$B$7,2,FALSE)),AVERAGE(VLOOKUP(X47,'Writing Logic'!$A$3:$B$7,2,FALSE),VLOOKUP(Y47,'Writing Logic'!$A$3:$B$7,2,FALSE),VLOOKUP(Z47,'Writing Logic'!$A$3:$B$7,2,FALSE),VLOOKUP(AA47,'Writing Logic'!$A$3:$B$7,2,FALSE))))),"Fill All 4")</f>
        <v>Fill All 4</v>
      </c>
      <c r="AC47" s="95" t="str">
        <f t="shared" si="1"/>
        <v/>
      </c>
      <c r="AD47" s="120"/>
      <c r="AE47" s="120"/>
      <c r="AF47" s="120"/>
      <c r="AG47" s="120"/>
      <c r="AH47" s="95" t="str">
        <f>IFERROR(IF(YES_Writing_ELA[[#This Row],[Literacy IPP]]='Writing Logic'!$E$26,"IPP",IF(OR(AD47="EAL",AE47="EAL",AF47="EAL",AG47="EAL"),"EAL",IF(AD47='Writing Logic'!$A$10,AVERAGE(VLOOKUP(AE47,'Writing Logic'!$A$3:$B$7,2,FALSE),VLOOKUP(AF47,'Writing Logic'!$A$3:$B$7,2,FALSE),VLOOKUP(AG47,'Writing Logic'!$A$3:$B$7,2,FALSE)),AVERAGE(VLOOKUP(AD47,'Writing Logic'!$A$3:$B$7,2,FALSE),VLOOKUP(AE47,'Writing Logic'!$A$3:$B$7,2,FALSE),VLOOKUP(AF47,'Writing Logic'!$A$3:$B$7,2,FALSE),VLOOKUP(AG47,'Writing Logic'!$A$3:$B$7,2,FALSE))))),"Fill All 4")</f>
        <v>Fill All 4</v>
      </c>
      <c r="AI47" s="95" t="str">
        <f t="shared" si="2"/>
        <v/>
      </c>
      <c r="AJ47" s="183"/>
      <c r="AK47" s="120"/>
      <c r="AL47" s="120"/>
      <c r="AM47" s="120"/>
      <c r="AN47" s="95" t="str">
        <f>IFERROR(IF(YES_Writing_ELA[[#This Row],[Literacy IPP]]='Writing Logic'!$E$26,"IPP",IF(OR(AJ47="EAL",AK47="EAL",AL47="EAL",AM47="EAL"),"EAL",IF(AJ47='Writing Logic'!$A$10,AVERAGE(VLOOKUP(AK47,'Writing Logic'!$A$3:$B$7,2,FALSE),VLOOKUP(AL47,'Writing Logic'!$A$3:$B$7,2,FALSE),VLOOKUP(AM47,'Writing Logic'!$A$3:$B$7,2,FALSE)),AVERAGE(VLOOKUP(AJ47,'Writing Logic'!$A$3:$B$7,2,FALSE),VLOOKUP(AK47,'Writing Logic'!$A$3:$B$7,2,FALSE),VLOOKUP(AL47,'Writing Logic'!$A$3:$B$7,2,FALSE),VLOOKUP(AM47,'Writing Logic'!$A$3:$B$7,2,FALSE))))),"Fill All 4")</f>
        <v>Fill All 4</v>
      </c>
      <c r="AO47" s="95" t="str">
        <f t="shared" si="3"/>
        <v/>
      </c>
      <c r="AP47" s="120"/>
      <c r="AQ47" s="120"/>
      <c r="AR47" s="120"/>
      <c r="AS47" s="120"/>
      <c r="AT47" s="95" t="str">
        <f>IFERROR(IF(YES_Writing_ELA[[#This Row],[Literacy IPP]]='Writing Logic'!$E$26,"IPP",IF(OR(AP47="EAL",AQ47="EAL",AR47="EAL",AS47="EAL"),"EAL",IF(AP47='Writing Logic'!$A$10,AVERAGE(VLOOKUP(AQ47,'Writing Logic'!$A$3:$B$7,2,FALSE),VLOOKUP(AR47,'Writing Logic'!$A$3:$B$7,2,FALSE),VLOOKUP(AS47,'Writing Logic'!$A$3:$B$7,2,FALSE)),AVERAGE(VLOOKUP(AP47,'Writing Logic'!$A$3:$B$7,2,FALSE),VLOOKUP(AQ47,'Writing Logic'!$A$3:$B$7,2,FALSE),VLOOKUP(AR47,'Writing Logic'!$A$3:$B$7,2,FALSE),VLOOKUP(AS47,'Writing Logic'!$A$3:$B$7,2,FALSE))))),"Fill All 4")</f>
        <v>Fill All 4</v>
      </c>
      <c r="AU47" s="95" t="str">
        <f t="shared" si="4"/>
        <v/>
      </c>
    </row>
    <row r="48" spans="1:47" x14ac:dyDescent="0.25">
      <c r="A48" s="13"/>
      <c r="B48" s="13"/>
      <c r="C48" s="13"/>
      <c r="D48" s="13"/>
      <c r="E48" s="13"/>
      <c r="F48" s="13"/>
      <c r="G48" s="13"/>
      <c r="H48" s="13"/>
      <c r="I48" s="13"/>
      <c r="J48" s="13"/>
      <c r="K48" s="183"/>
      <c r="L48" s="184"/>
      <c r="M48" s="120"/>
      <c r="N48" s="120"/>
      <c r="O48" s="120"/>
      <c r="P48" s="120"/>
      <c r="Q48" s="95" t="str">
        <f>IFERROR(IF(YES_Writing_ELA[[#This Row],[Literacy IPP]]='Writing Logic'!$E$26,"IPP",IF(OR(M48="EAL",N48="EAL",O48="EAL",P48="EAL"),"EAL",IF(M48='Writing Logic'!$A$10,AVERAGE(VLOOKUP(N48,'Writing Logic'!$A$3:$B$7,2,FALSE),VLOOKUP(O48,'Writing Logic'!$A$3:$B$7,2,FALSE),VLOOKUP(P48,'Writing Logic'!$A$3:$B$7,2,FALSE)),AVERAGE(VLOOKUP(M48,'Writing Logic'!$A$3:$B$7,2,FALSE),VLOOKUP(N48,'Writing Logic'!$A$3:$B$7,2,FALSE),VLOOKUP(O48,'Writing Logic'!$A$3:$B$7,2,FALSE),VLOOKUP(P48,'Writing Logic'!$A$3:$B$7,2,FALSE))))),"Fill All 4")</f>
        <v>Fill All 4</v>
      </c>
      <c r="R48" s="120"/>
      <c r="S48" s="120"/>
      <c r="T48" s="120"/>
      <c r="U48" s="120"/>
      <c r="V48" s="95" t="str">
        <f>IFERROR(IF(YES_Writing_ELA[[#This Row],[Literacy IPP]]='Writing Logic'!$E$26,"IPP",IF(OR(R48="EAL",S48="EAL",T48="EAL",U48="EAL"),"EAL",IF(R48='Writing Logic'!$A$10,AVERAGE(VLOOKUP(S48,'Writing Logic'!$A$3:$B$7,2,FALSE),VLOOKUP(T48,'Writing Logic'!$A$3:$B$7,2,FALSE),VLOOKUP(U48,'Writing Logic'!$A$3:$B$7,2,FALSE)),AVERAGE(VLOOKUP(R48,'Writing Logic'!$A$3:$B$7,2,FALSE),VLOOKUP(S48,'Writing Logic'!$A$3:$B$7,2,FALSE),VLOOKUP(T48,'Writing Logic'!$A$3:$B$7,2,FALSE),VLOOKUP(U48,'Writing Logic'!$A$3:$B$7,2,FALSE))))),"Fill All 4")</f>
        <v>Fill All 4</v>
      </c>
      <c r="W48" s="95" t="str">
        <f t="shared" si="0"/>
        <v/>
      </c>
      <c r="X48" s="120"/>
      <c r="Y48" s="120"/>
      <c r="Z48" s="120"/>
      <c r="AA48" s="120"/>
      <c r="AB48" s="95" t="str">
        <f>IFERROR(IF(YES_Writing_ELA[[#This Row],[Literacy IPP]]='Writing Logic'!$E$26,"IPP",IF(OR(X48="EAL",Y48="EAL",Z48="EAL",AA48="EAL"),"EAL",IF(X48='Writing Logic'!$A$10,AVERAGE(VLOOKUP(Y48,'Writing Logic'!$A$3:$B$7,2,FALSE),VLOOKUP(Z48,'Writing Logic'!$A$3:$B$7,2,FALSE),VLOOKUP(AA48,'Writing Logic'!$A$3:$B$7,2,FALSE)),AVERAGE(VLOOKUP(X48,'Writing Logic'!$A$3:$B$7,2,FALSE),VLOOKUP(Y48,'Writing Logic'!$A$3:$B$7,2,FALSE),VLOOKUP(Z48,'Writing Logic'!$A$3:$B$7,2,FALSE),VLOOKUP(AA48,'Writing Logic'!$A$3:$B$7,2,FALSE))))),"Fill All 4")</f>
        <v>Fill All 4</v>
      </c>
      <c r="AC48" s="95" t="str">
        <f t="shared" si="1"/>
        <v/>
      </c>
      <c r="AD48" s="120"/>
      <c r="AE48" s="120"/>
      <c r="AF48" s="120"/>
      <c r="AG48" s="120"/>
      <c r="AH48" s="95" t="str">
        <f>IFERROR(IF(YES_Writing_ELA[[#This Row],[Literacy IPP]]='Writing Logic'!$E$26,"IPP",IF(OR(AD48="EAL",AE48="EAL",AF48="EAL",AG48="EAL"),"EAL",IF(AD48='Writing Logic'!$A$10,AVERAGE(VLOOKUP(AE48,'Writing Logic'!$A$3:$B$7,2,FALSE),VLOOKUP(AF48,'Writing Logic'!$A$3:$B$7,2,FALSE),VLOOKUP(AG48,'Writing Logic'!$A$3:$B$7,2,FALSE)),AVERAGE(VLOOKUP(AD48,'Writing Logic'!$A$3:$B$7,2,FALSE),VLOOKUP(AE48,'Writing Logic'!$A$3:$B$7,2,FALSE),VLOOKUP(AF48,'Writing Logic'!$A$3:$B$7,2,FALSE),VLOOKUP(AG48,'Writing Logic'!$A$3:$B$7,2,FALSE))))),"Fill All 4")</f>
        <v>Fill All 4</v>
      </c>
      <c r="AI48" s="95" t="str">
        <f t="shared" si="2"/>
        <v/>
      </c>
      <c r="AJ48" s="183"/>
      <c r="AK48" s="120"/>
      <c r="AL48" s="120"/>
      <c r="AM48" s="120"/>
      <c r="AN48" s="95" t="str">
        <f>IFERROR(IF(YES_Writing_ELA[[#This Row],[Literacy IPP]]='Writing Logic'!$E$26,"IPP",IF(OR(AJ48="EAL",AK48="EAL",AL48="EAL",AM48="EAL"),"EAL",IF(AJ48='Writing Logic'!$A$10,AVERAGE(VLOOKUP(AK48,'Writing Logic'!$A$3:$B$7,2,FALSE),VLOOKUP(AL48,'Writing Logic'!$A$3:$B$7,2,FALSE),VLOOKUP(AM48,'Writing Logic'!$A$3:$B$7,2,FALSE)),AVERAGE(VLOOKUP(AJ48,'Writing Logic'!$A$3:$B$7,2,FALSE),VLOOKUP(AK48,'Writing Logic'!$A$3:$B$7,2,FALSE),VLOOKUP(AL48,'Writing Logic'!$A$3:$B$7,2,FALSE),VLOOKUP(AM48,'Writing Logic'!$A$3:$B$7,2,FALSE))))),"Fill All 4")</f>
        <v>Fill All 4</v>
      </c>
      <c r="AO48" s="95" t="str">
        <f t="shared" si="3"/>
        <v/>
      </c>
      <c r="AP48" s="120"/>
      <c r="AQ48" s="120"/>
      <c r="AR48" s="120"/>
      <c r="AS48" s="120"/>
      <c r="AT48" s="95" t="str">
        <f>IFERROR(IF(YES_Writing_ELA[[#This Row],[Literacy IPP]]='Writing Logic'!$E$26,"IPP",IF(OR(AP48="EAL",AQ48="EAL",AR48="EAL",AS48="EAL"),"EAL",IF(AP48='Writing Logic'!$A$10,AVERAGE(VLOOKUP(AQ48,'Writing Logic'!$A$3:$B$7,2,FALSE),VLOOKUP(AR48,'Writing Logic'!$A$3:$B$7,2,FALSE),VLOOKUP(AS48,'Writing Logic'!$A$3:$B$7,2,FALSE)),AVERAGE(VLOOKUP(AP48,'Writing Logic'!$A$3:$B$7,2,FALSE),VLOOKUP(AQ48,'Writing Logic'!$A$3:$B$7,2,FALSE),VLOOKUP(AR48,'Writing Logic'!$A$3:$B$7,2,FALSE),VLOOKUP(AS48,'Writing Logic'!$A$3:$B$7,2,FALSE))))),"Fill All 4")</f>
        <v>Fill All 4</v>
      </c>
      <c r="AU48" s="95" t="str">
        <f t="shared" si="4"/>
        <v/>
      </c>
    </row>
    <row r="49" spans="1:47" x14ac:dyDescent="0.25">
      <c r="A49" s="13"/>
      <c r="B49" s="13"/>
      <c r="C49" s="13"/>
      <c r="D49" s="13"/>
      <c r="E49" s="13"/>
      <c r="F49" s="13"/>
      <c r="G49" s="13"/>
      <c r="H49" s="13"/>
      <c r="I49" s="13"/>
      <c r="J49" s="13"/>
      <c r="K49" s="183"/>
      <c r="L49" s="184"/>
      <c r="M49" s="120"/>
      <c r="N49" s="120"/>
      <c r="O49" s="120"/>
      <c r="P49" s="120"/>
      <c r="Q49" s="95" t="str">
        <f>IFERROR(IF(YES_Writing_ELA[[#This Row],[Literacy IPP]]='Writing Logic'!$E$26,"IPP",IF(OR(M49="EAL",N49="EAL",O49="EAL",P49="EAL"),"EAL",IF(M49='Writing Logic'!$A$10,AVERAGE(VLOOKUP(N49,'Writing Logic'!$A$3:$B$7,2,FALSE),VLOOKUP(O49,'Writing Logic'!$A$3:$B$7,2,FALSE),VLOOKUP(P49,'Writing Logic'!$A$3:$B$7,2,FALSE)),AVERAGE(VLOOKUP(M49,'Writing Logic'!$A$3:$B$7,2,FALSE),VLOOKUP(N49,'Writing Logic'!$A$3:$B$7,2,FALSE),VLOOKUP(O49,'Writing Logic'!$A$3:$B$7,2,FALSE),VLOOKUP(P49,'Writing Logic'!$A$3:$B$7,2,FALSE))))),"Fill All 4")</f>
        <v>Fill All 4</v>
      </c>
      <c r="R49" s="120"/>
      <c r="S49" s="120"/>
      <c r="T49" s="120"/>
      <c r="U49" s="120"/>
      <c r="V49" s="95" t="str">
        <f>IFERROR(IF(YES_Writing_ELA[[#This Row],[Literacy IPP]]='Writing Logic'!$E$26,"IPP",IF(OR(R49="EAL",S49="EAL",T49="EAL",U49="EAL"),"EAL",IF(R49='Writing Logic'!$A$10,AVERAGE(VLOOKUP(S49,'Writing Logic'!$A$3:$B$7,2,FALSE),VLOOKUP(T49,'Writing Logic'!$A$3:$B$7,2,FALSE),VLOOKUP(U49,'Writing Logic'!$A$3:$B$7,2,FALSE)),AVERAGE(VLOOKUP(R49,'Writing Logic'!$A$3:$B$7,2,FALSE),VLOOKUP(S49,'Writing Logic'!$A$3:$B$7,2,FALSE),VLOOKUP(T49,'Writing Logic'!$A$3:$B$7,2,FALSE),VLOOKUP(U49,'Writing Logic'!$A$3:$B$7,2,FALSE))))),"Fill All 4")</f>
        <v>Fill All 4</v>
      </c>
      <c r="W49" s="95" t="str">
        <f t="shared" si="0"/>
        <v/>
      </c>
      <c r="X49" s="120"/>
      <c r="Y49" s="120"/>
      <c r="Z49" s="120"/>
      <c r="AA49" s="120"/>
      <c r="AB49" s="95" t="str">
        <f>IFERROR(IF(YES_Writing_ELA[[#This Row],[Literacy IPP]]='Writing Logic'!$E$26,"IPP",IF(OR(X49="EAL",Y49="EAL",Z49="EAL",AA49="EAL"),"EAL",IF(X49='Writing Logic'!$A$10,AVERAGE(VLOOKUP(Y49,'Writing Logic'!$A$3:$B$7,2,FALSE),VLOOKUP(Z49,'Writing Logic'!$A$3:$B$7,2,FALSE),VLOOKUP(AA49,'Writing Logic'!$A$3:$B$7,2,FALSE)),AVERAGE(VLOOKUP(X49,'Writing Logic'!$A$3:$B$7,2,FALSE),VLOOKUP(Y49,'Writing Logic'!$A$3:$B$7,2,FALSE),VLOOKUP(Z49,'Writing Logic'!$A$3:$B$7,2,FALSE),VLOOKUP(AA49,'Writing Logic'!$A$3:$B$7,2,FALSE))))),"Fill All 4")</f>
        <v>Fill All 4</v>
      </c>
      <c r="AC49" s="95" t="str">
        <f t="shared" si="1"/>
        <v/>
      </c>
      <c r="AD49" s="120"/>
      <c r="AE49" s="120"/>
      <c r="AF49" s="120"/>
      <c r="AG49" s="120"/>
      <c r="AH49" s="95" t="str">
        <f>IFERROR(IF(YES_Writing_ELA[[#This Row],[Literacy IPP]]='Writing Logic'!$E$26,"IPP",IF(OR(AD49="EAL",AE49="EAL",AF49="EAL",AG49="EAL"),"EAL",IF(AD49='Writing Logic'!$A$10,AVERAGE(VLOOKUP(AE49,'Writing Logic'!$A$3:$B$7,2,FALSE),VLOOKUP(AF49,'Writing Logic'!$A$3:$B$7,2,FALSE),VLOOKUP(AG49,'Writing Logic'!$A$3:$B$7,2,FALSE)),AVERAGE(VLOOKUP(AD49,'Writing Logic'!$A$3:$B$7,2,FALSE),VLOOKUP(AE49,'Writing Logic'!$A$3:$B$7,2,FALSE),VLOOKUP(AF49,'Writing Logic'!$A$3:$B$7,2,FALSE),VLOOKUP(AG49,'Writing Logic'!$A$3:$B$7,2,FALSE))))),"Fill All 4")</f>
        <v>Fill All 4</v>
      </c>
      <c r="AI49" s="95" t="str">
        <f t="shared" si="2"/>
        <v/>
      </c>
      <c r="AJ49" s="183"/>
      <c r="AK49" s="120"/>
      <c r="AL49" s="120"/>
      <c r="AM49" s="120"/>
      <c r="AN49" s="95" t="str">
        <f>IFERROR(IF(YES_Writing_ELA[[#This Row],[Literacy IPP]]='Writing Logic'!$E$26,"IPP",IF(OR(AJ49="EAL",AK49="EAL",AL49="EAL",AM49="EAL"),"EAL",IF(AJ49='Writing Logic'!$A$10,AVERAGE(VLOOKUP(AK49,'Writing Logic'!$A$3:$B$7,2,FALSE),VLOOKUP(AL49,'Writing Logic'!$A$3:$B$7,2,FALSE),VLOOKUP(AM49,'Writing Logic'!$A$3:$B$7,2,FALSE)),AVERAGE(VLOOKUP(AJ49,'Writing Logic'!$A$3:$B$7,2,FALSE),VLOOKUP(AK49,'Writing Logic'!$A$3:$B$7,2,FALSE),VLOOKUP(AL49,'Writing Logic'!$A$3:$B$7,2,FALSE),VLOOKUP(AM49,'Writing Logic'!$A$3:$B$7,2,FALSE))))),"Fill All 4")</f>
        <v>Fill All 4</v>
      </c>
      <c r="AO49" s="95" t="str">
        <f t="shared" si="3"/>
        <v/>
      </c>
      <c r="AP49" s="120"/>
      <c r="AQ49" s="120"/>
      <c r="AR49" s="120"/>
      <c r="AS49" s="120"/>
      <c r="AT49" s="95" t="str">
        <f>IFERROR(IF(YES_Writing_ELA[[#This Row],[Literacy IPP]]='Writing Logic'!$E$26,"IPP",IF(OR(AP49="EAL",AQ49="EAL",AR49="EAL",AS49="EAL"),"EAL",IF(AP49='Writing Logic'!$A$10,AVERAGE(VLOOKUP(AQ49,'Writing Logic'!$A$3:$B$7,2,FALSE),VLOOKUP(AR49,'Writing Logic'!$A$3:$B$7,2,FALSE),VLOOKUP(AS49,'Writing Logic'!$A$3:$B$7,2,FALSE)),AVERAGE(VLOOKUP(AP49,'Writing Logic'!$A$3:$B$7,2,FALSE),VLOOKUP(AQ49,'Writing Logic'!$A$3:$B$7,2,FALSE),VLOOKUP(AR49,'Writing Logic'!$A$3:$B$7,2,FALSE),VLOOKUP(AS49,'Writing Logic'!$A$3:$B$7,2,FALSE))))),"Fill All 4")</f>
        <v>Fill All 4</v>
      </c>
      <c r="AU49" s="95" t="str">
        <f t="shared" si="4"/>
        <v/>
      </c>
    </row>
    <row r="50" spans="1:47" x14ac:dyDescent="0.25">
      <c r="A50" s="13"/>
      <c r="B50" s="13"/>
      <c r="C50" s="13"/>
      <c r="D50" s="13"/>
      <c r="E50" s="13"/>
      <c r="F50" s="13"/>
      <c r="G50" s="13"/>
      <c r="H50" s="13"/>
      <c r="I50" s="13"/>
      <c r="J50" s="13"/>
      <c r="K50" s="183"/>
      <c r="L50" s="184"/>
      <c r="M50" s="120"/>
      <c r="N50" s="120"/>
      <c r="O50" s="120"/>
      <c r="P50" s="120"/>
      <c r="Q50" s="95" t="str">
        <f>IFERROR(IF(YES_Writing_ELA[[#This Row],[Literacy IPP]]='Writing Logic'!$E$26,"IPP",IF(OR(M50="EAL",N50="EAL",O50="EAL",P50="EAL"),"EAL",IF(M50='Writing Logic'!$A$10,AVERAGE(VLOOKUP(N50,'Writing Logic'!$A$3:$B$7,2,FALSE),VLOOKUP(O50,'Writing Logic'!$A$3:$B$7,2,FALSE),VLOOKUP(P50,'Writing Logic'!$A$3:$B$7,2,FALSE)),AVERAGE(VLOOKUP(M50,'Writing Logic'!$A$3:$B$7,2,FALSE),VLOOKUP(N50,'Writing Logic'!$A$3:$B$7,2,FALSE),VLOOKUP(O50,'Writing Logic'!$A$3:$B$7,2,FALSE),VLOOKUP(P50,'Writing Logic'!$A$3:$B$7,2,FALSE))))),"Fill All 4")</f>
        <v>Fill All 4</v>
      </c>
      <c r="R50" s="120"/>
      <c r="S50" s="120"/>
      <c r="T50" s="120"/>
      <c r="U50" s="120"/>
      <c r="V50" s="95" t="str">
        <f>IFERROR(IF(YES_Writing_ELA[[#This Row],[Literacy IPP]]='Writing Logic'!$E$26,"IPP",IF(OR(R50="EAL",S50="EAL",T50="EAL",U50="EAL"),"EAL",IF(R50='Writing Logic'!$A$10,AVERAGE(VLOOKUP(S50,'Writing Logic'!$A$3:$B$7,2,FALSE),VLOOKUP(T50,'Writing Logic'!$A$3:$B$7,2,FALSE),VLOOKUP(U50,'Writing Logic'!$A$3:$B$7,2,FALSE)),AVERAGE(VLOOKUP(R50,'Writing Logic'!$A$3:$B$7,2,FALSE),VLOOKUP(S50,'Writing Logic'!$A$3:$B$7,2,FALSE),VLOOKUP(T50,'Writing Logic'!$A$3:$B$7,2,FALSE),VLOOKUP(U50,'Writing Logic'!$A$3:$B$7,2,FALSE))))),"Fill All 4")</f>
        <v>Fill All 4</v>
      </c>
      <c r="W50" s="95" t="str">
        <f t="shared" si="0"/>
        <v/>
      </c>
      <c r="X50" s="120"/>
      <c r="Y50" s="120"/>
      <c r="Z50" s="120"/>
      <c r="AA50" s="120"/>
      <c r="AB50" s="95" t="str">
        <f>IFERROR(IF(YES_Writing_ELA[[#This Row],[Literacy IPP]]='Writing Logic'!$E$26,"IPP",IF(OR(X50="EAL",Y50="EAL",Z50="EAL",AA50="EAL"),"EAL",IF(X50='Writing Logic'!$A$10,AVERAGE(VLOOKUP(Y50,'Writing Logic'!$A$3:$B$7,2,FALSE),VLOOKUP(Z50,'Writing Logic'!$A$3:$B$7,2,FALSE),VLOOKUP(AA50,'Writing Logic'!$A$3:$B$7,2,FALSE)),AVERAGE(VLOOKUP(X50,'Writing Logic'!$A$3:$B$7,2,FALSE),VLOOKUP(Y50,'Writing Logic'!$A$3:$B$7,2,FALSE),VLOOKUP(Z50,'Writing Logic'!$A$3:$B$7,2,FALSE),VLOOKUP(AA50,'Writing Logic'!$A$3:$B$7,2,FALSE))))),"Fill All 4")</f>
        <v>Fill All 4</v>
      </c>
      <c r="AC50" s="95" t="str">
        <f t="shared" si="1"/>
        <v/>
      </c>
      <c r="AD50" s="120"/>
      <c r="AE50" s="120"/>
      <c r="AF50" s="120"/>
      <c r="AG50" s="120"/>
      <c r="AH50" s="95" t="str">
        <f>IFERROR(IF(YES_Writing_ELA[[#This Row],[Literacy IPP]]='Writing Logic'!$E$26,"IPP",IF(OR(AD50="EAL",AE50="EAL",AF50="EAL",AG50="EAL"),"EAL",IF(AD50='Writing Logic'!$A$10,AVERAGE(VLOOKUP(AE50,'Writing Logic'!$A$3:$B$7,2,FALSE),VLOOKUP(AF50,'Writing Logic'!$A$3:$B$7,2,FALSE),VLOOKUP(AG50,'Writing Logic'!$A$3:$B$7,2,FALSE)),AVERAGE(VLOOKUP(AD50,'Writing Logic'!$A$3:$B$7,2,FALSE),VLOOKUP(AE50,'Writing Logic'!$A$3:$B$7,2,FALSE),VLOOKUP(AF50,'Writing Logic'!$A$3:$B$7,2,FALSE),VLOOKUP(AG50,'Writing Logic'!$A$3:$B$7,2,FALSE))))),"Fill All 4")</f>
        <v>Fill All 4</v>
      </c>
      <c r="AI50" s="95" t="str">
        <f t="shared" si="2"/>
        <v/>
      </c>
      <c r="AJ50" s="183"/>
      <c r="AK50" s="120"/>
      <c r="AL50" s="120"/>
      <c r="AM50" s="120"/>
      <c r="AN50" s="95" t="str">
        <f>IFERROR(IF(YES_Writing_ELA[[#This Row],[Literacy IPP]]='Writing Logic'!$E$26,"IPP",IF(OR(AJ50="EAL",AK50="EAL",AL50="EAL",AM50="EAL"),"EAL",IF(AJ50='Writing Logic'!$A$10,AVERAGE(VLOOKUP(AK50,'Writing Logic'!$A$3:$B$7,2,FALSE),VLOOKUP(AL50,'Writing Logic'!$A$3:$B$7,2,FALSE),VLOOKUP(AM50,'Writing Logic'!$A$3:$B$7,2,FALSE)),AVERAGE(VLOOKUP(AJ50,'Writing Logic'!$A$3:$B$7,2,FALSE),VLOOKUP(AK50,'Writing Logic'!$A$3:$B$7,2,FALSE),VLOOKUP(AL50,'Writing Logic'!$A$3:$B$7,2,FALSE),VLOOKUP(AM50,'Writing Logic'!$A$3:$B$7,2,FALSE))))),"Fill All 4")</f>
        <v>Fill All 4</v>
      </c>
      <c r="AO50" s="95" t="str">
        <f t="shared" si="3"/>
        <v/>
      </c>
      <c r="AP50" s="120"/>
      <c r="AQ50" s="120"/>
      <c r="AR50" s="120"/>
      <c r="AS50" s="120"/>
      <c r="AT50" s="95" t="str">
        <f>IFERROR(IF(YES_Writing_ELA[[#This Row],[Literacy IPP]]='Writing Logic'!$E$26,"IPP",IF(OR(AP50="EAL",AQ50="EAL",AR50="EAL",AS50="EAL"),"EAL",IF(AP50='Writing Logic'!$A$10,AVERAGE(VLOOKUP(AQ50,'Writing Logic'!$A$3:$B$7,2,FALSE),VLOOKUP(AR50,'Writing Logic'!$A$3:$B$7,2,FALSE),VLOOKUP(AS50,'Writing Logic'!$A$3:$B$7,2,FALSE)),AVERAGE(VLOOKUP(AP50,'Writing Logic'!$A$3:$B$7,2,FALSE),VLOOKUP(AQ50,'Writing Logic'!$A$3:$B$7,2,FALSE),VLOOKUP(AR50,'Writing Logic'!$A$3:$B$7,2,FALSE),VLOOKUP(AS50,'Writing Logic'!$A$3:$B$7,2,FALSE))))),"Fill All 4")</f>
        <v>Fill All 4</v>
      </c>
      <c r="AU50" s="95" t="str">
        <f t="shared" si="4"/>
        <v/>
      </c>
    </row>
    <row r="51" spans="1:47" x14ac:dyDescent="0.25">
      <c r="A51" s="13"/>
      <c r="B51" s="13"/>
      <c r="C51" s="13"/>
      <c r="D51" s="13"/>
      <c r="E51" s="13"/>
      <c r="F51" s="13"/>
      <c r="G51" s="13"/>
      <c r="H51" s="13"/>
      <c r="I51" s="13"/>
      <c r="J51" s="13"/>
      <c r="K51" s="183"/>
      <c r="L51" s="184"/>
      <c r="M51" s="120"/>
      <c r="N51" s="120"/>
      <c r="O51" s="120"/>
      <c r="P51" s="120"/>
      <c r="Q51" s="95" t="str">
        <f>IFERROR(IF(YES_Writing_ELA[[#This Row],[Literacy IPP]]='Writing Logic'!$E$26,"IPP",IF(OR(M51="EAL",N51="EAL",O51="EAL",P51="EAL"),"EAL",IF(M51='Writing Logic'!$A$10,AVERAGE(VLOOKUP(N51,'Writing Logic'!$A$3:$B$7,2,FALSE),VLOOKUP(O51,'Writing Logic'!$A$3:$B$7,2,FALSE),VLOOKUP(P51,'Writing Logic'!$A$3:$B$7,2,FALSE)),AVERAGE(VLOOKUP(M51,'Writing Logic'!$A$3:$B$7,2,FALSE),VLOOKUP(N51,'Writing Logic'!$A$3:$B$7,2,FALSE),VLOOKUP(O51,'Writing Logic'!$A$3:$B$7,2,FALSE),VLOOKUP(P51,'Writing Logic'!$A$3:$B$7,2,FALSE))))),"Fill All 4")</f>
        <v>Fill All 4</v>
      </c>
      <c r="R51" s="120"/>
      <c r="S51" s="120"/>
      <c r="T51" s="120"/>
      <c r="U51" s="120"/>
      <c r="V51" s="95" t="str">
        <f>IFERROR(IF(YES_Writing_ELA[[#This Row],[Literacy IPP]]='Writing Logic'!$E$26,"IPP",IF(OR(R51="EAL",S51="EAL",T51="EAL",U51="EAL"),"EAL",IF(R51='Writing Logic'!$A$10,AVERAGE(VLOOKUP(S51,'Writing Logic'!$A$3:$B$7,2,FALSE),VLOOKUP(T51,'Writing Logic'!$A$3:$B$7,2,FALSE),VLOOKUP(U51,'Writing Logic'!$A$3:$B$7,2,FALSE)),AVERAGE(VLOOKUP(R51,'Writing Logic'!$A$3:$B$7,2,FALSE),VLOOKUP(S51,'Writing Logic'!$A$3:$B$7,2,FALSE),VLOOKUP(T51,'Writing Logic'!$A$3:$B$7,2,FALSE),VLOOKUP(U51,'Writing Logic'!$A$3:$B$7,2,FALSE))))),"Fill All 4")</f>
        <v>Fill All 4</v>
      </c>
      <c r="W51" s="95" t="str">
        <f t="shared" si="0"/>
        <v/>
      </c>
      <c r="X51" s="120"/>
      <c r="Y51" s="120"/>
      <c r="Z51" s="120"/>
      <c r="AA51" s="120"/>
      <c r="AB51" s="95" t="str">
        <f>IFERROR(IF(YES_Writing_ELA[[#This Row],[Literacy IPP]]='Writing Logic'!$E$26,"IPP",IF(OR(X51="EAL",Y51="EAL",Z51="EAL",AA51="EAL"),"EAL",IF(X51='Writing Logic'!$A$10,AVERAGE(VLOOKUP(Y51,'Writing Logic'!$A$3:$B$7,2,FALSE),VLOOKUP(Z51,'Writing Logic'!$A$3:$B$7,2,FALSE),VLOOKUP(AA51,'Writing Logic'!$A$3:$B$7,2,FALSE)),AVERAGE(VLOOKUP(X51,'Writing Logic'!$A$3:$B$7,2,FALSE),VLOOKUP(Y51,'Writing Logic'!$A$3:$B$7,2,FALSE),VLOOKUP(Z51,'Writing Logic'!$A$3:$B$7,2,FALSE),VLOOKUP(AA51,'Writing Logic'!$A$3:$B$7,2,FALSE))))),"Fill All 4")</f>
        <v>Fill All 4</v>
      </c>
      <c r="AC51" s="95" t="str">
        <f t="shared" si="1"/>
        <v/>
      </c>
      <c r="AD51" s="120"/>
      <c r="AE51" s="120"/>
      <c r="AF51" s="120"/>
      <c r="AG51" s="120"/>
      <c r="AH51" s="95" t="str">
        <f>IFERROR(IF(YES_Writing_ELA[[#This Row],[Literacy IPP]]='Writing Logic'!$E$26,"IPP",IF(OR(AD51="EAL",AE51="EAL",AF51="EAL",AG51="EAL"),"EAL",IF(AD51='Writing Logic'!$A$10,AVERAGE(VLOOKUP(AE51,'Writing Logic'!$A$3:$B$7,2,FALSE),VLOOKUP(AF51,'Writing Logic'!$A$3:$B$7,2,FALSE),VLOOKUP(AG51,'Writing Logic'!$A$3:$B$7,2,FALSE)),AVERAGE(VLOOKUP(AD51,'Writing Logic'!$A$3:$B$7,2,FALSE),VLOOKUP(AE51,'Writing Logic'!$A$3:$B$7,2,FALSE),VLOOKUP(AF51,'Writing Logic'!$A$3:$B$7,2,FALSE),VLOOKUP(AG51,'Writing Logic'!$A$3:$B$7,2,FALSE))))),"Fill All 4")</f>
        <v>Fill All 4</v>
      </c>
      <c r="AI51" s="95" t="str">
        <f t="shared" si="2"/>
        <v/>
      </c>
      <c r="AJ51" s="183"/>
      <c r="AK51" s="120"/>
      <c r="AL51" s="120"/>
      <c r="AM51" s="120"/>
      <c r="AN51" s="95" t="str">
        <f>IFERROR(IF(YES_Writing_ELA[[#This Row],[Literacy IPP]]='Writing Logic'!$E$26,"IPP",IF(OR(AJ51="EAL",AK51="EAL",AL51="EAL",AM51="EAL"),"EAL",IF(AJ51='Writing Logic'!$A$10,AVERAGE(VLOOKUP(AK51,'Writing Logic'!$A$3:$B$7,2,FALSE),VLOOKUP(AL51,'Writing Logic'!$A$3:$B$7,2,FALSE),VLOOKUP(AM51,'Writing Logic'!$A$3:$B$7,2,FALSE)),AVERAGE(VLOOKUP(AJ51,'Writing Logic'!$A$3:$B$7,2,FALSE),VLOOKUP(AK51,'Writing Logic'!$A$3:$B$7,2,FALSE),VLOOKUP(AL51,'Writing Logic'!$A$3:$B$7,2,FALSE),VLOOKUP(AM51,'Writing Logic'!$A$3:$B$7,2,FALSE))))),"Fill All 4")</f>
        <v>Fill All 4</v>
      </c>
      <c r="AO51" s="95" t="str">
        <f t="shared" si="3"/>
        <v/>
      </c>
      <c r="AP51" s="120"/>
      <c r="AQ51" s="120"/>
      <c r="AR51" s="120"/>
      <c r="AS51" s="120"/>
      <c r="AT51" s="95" t="str">
        <f>IFERROR(IF(YES_Writing_ELA[[#This Row],[Literacy IPP]]='Writing Logic'!$E$26,"IPP",IF(OR(AP51="EAL",AQ51="EAL",AR51="EAL",AS51="EAL"),"EAL",IF(AP51='Writing Logic'!$A$10,AVERAGE(VLOOKUP(AQ51,'Writing Logic'!$A$3:$B$7,2,FALSE),VLOOKUP(AR51,'Writing Logic'!$A$3:$B$7,2,FALSE),VLOOKUP(AS51,'Writing Logic'!$A$3:$B$7,2,FALSE)),AVERAGE(VLOOKUP(AP51,'Writing Logic'!$A$3:$B$7,2,FALSE),VLOOKUP(AQ51,'Writing Logic'!$A$3:$B$7,2,FALSE),VLOOKUP(AR51,'Writing Logic'!$A$3:$B$7,2,FALSE),VLOOKUP(AS51,'Writing Logic'!$A$3:$B$7,2,FALSE))))),"Fill All 4")</f>
        <v>Fill All 4</v>
      </c>
      <c r="AU51" s="95" t="str">
        <f t="shared" si="4"/>
        <v/>
      </c>
    </row>
    <row r="52" spans="1:47" x14ac:dyDescent="0.25">
      <c r="A52" s="13"/>
      <c r="B52" s="13"/>
      <c r="C52" s="13"/>
      <c r="D52" s="13"/>
      <c r="E52" s="13"/>
      <c r="F52" s="13"/>
      <c r="G52" s="13"/>
      <c r="H52" s="13"/>
      <c r="I52" s="13"/>
      <c r="J52" s="13"/>
      <c r="K52" s="183"/>
      <c r="L52" s="184"/>
      <c r="M52" s="120"/>
      <c r="N52" s="120"/>
      <c r="O52" s="120"/>
      <c r="P52" s="120"/>
      <c r="Q52" s="95" t="str">
        <f>IFERROR(IF(YES_Writing_ELA[[#This Row],[Literacy IPP]]='Writing Logic'!$E$26,"IPP",IF(OR(M52="EAL",N52="EAL",O52="EAL",P52="EAL"),"EAL",IF(M52='Writing Logic'!$A$10,AVERAGE(VLOOKUP(N52,'Writing Logic'!$A$3:$B$7,2,FALSE),VLOOKUP(O52,'Writing Logic'!$A$3:$B$7,2,FALSE),VLOOKUP(P52,'Writing Logic'!$A$3:$B$7,2,FALSE)),AVERAGE(VLOOKUP(M52,'Writing Logic'!$A$3:$B$7,2,FALSE),VLOOKUP(N52,'Writing Logic'!$A$3:$B$7,2,FALSE),VLOOKUP(O52,'Writing Logic'!$A$3:$B$7,2,FALSE),VLOOKUP(P52,'Writing Logic'!$A$3:$B$7,2,FALSE))))),"Fill All 4")</f>
        <v>Fill All 4</v>
      </c>
      <c r="R52" s="120"/>
      <c r="S52" s="120"/>
      <c r="T52" s="120"/>
      <c r="U52" s="120"/>
      <c r="V52" s="95" t="str">
        <f>IFERROR(IF(YES_Writing_ELA[[#This Row],[Literacy IPP]]='Writing Logic'!$E$26,"IPP",IF(OR(R52="EAL",S52="EAL",T52="EAL",U52="EAL"),"EAL",IF(R52='Writing Logic'!$A$10,AVERAGE(VLOOKUP(S52,'Writing Logic'!$A$3:$B$7,2,FALSE),VLOOKUP(T52,'Writing Logic'!$A$3:$B$7,2,FALSE),VLOOKUP(U52,'Writing Logic'!$A$3:$B$7,2,FALSE)),AVERAGE(VLOOKUP(R52,'Writing Logic'!$A$3:$B$7,2,FALSE),VLOOKUP(S52,'Writing Logic'!$A$3:$B$7,2,FALSE),VLOOKUP(T52,'Writing Logic'!$A$3:$B$7,2,FALSE),VLOOKUP(U52,'Writing Logic'!$A$3:$B$7,2,FALSE))))),"Fill All 4")</f>
        <v>Fill All 4</v>
      </c>
      <c r="W52" s="95" t="str">
        <f t="shared" si="0"/>
        <v/>
      </c>
      <c r="X52" s="120"/>
      <c r="Y52" s="120"/>
      <c r="Z52" s="120"/>
      <c r="AA52" s="120"/>
      <c r="AB52" s="95" t="str">
        <f>IFERROR(IF(YES_Writing_ELA[[#This Row],[Literacy IPP]]='Writing Logic'!$E$26,"IPP",IF(OR(X52="EAL",Y52="EAL",Z52="EAL",AA52="EAL"),"EAL",IF(X52='Writing Logic'!$A$10,AVERAGE(VLOOKUP(Y52,'Writing Logic'!$A$3:$B$7,2,FALSE),VLOOKUP(Z52,'Writing Logic'!$A$3:$B$7,2,FALSE),VLOOKUP(AA52,'Writing Logic'!$A$3:$B$7,2,FALSE)),AVERAGE(VLOOKUP(X52,'Writing Logic'!$A$3:$B$7,2,FALSE),VLOOKUP(Y52,'Writing Logic'!$A$3:$B$7,2,FALSE),VLOOKUP(Z52,'Writing Logic'!$A$3:$B$7,2,FALSE),VLOOKUP(AA52,'Writing Logic'!$A$3:$B$7,2,FALSE))))),"Fill All 4")</f>
        <v>Fill All 4</v>
      </c>
      <c r="AC52" s="95" t="str">
        <f t="shared" si="1"/>
        <v/>
      </c>
      <c r="AD52" s="120"/>
      <c r="AE52" s="120"/>
      <c r="AF52" s="120"/>
      <c r="AG52" s="120"/>
      <c r="AH52" s="95" t="str">
        <f>IFERROR(IF(YES_Writing_ELA[[#This Row],[Literacy IPP]]='Writing Logic'!$E$26,"IPP",IF(OR(AD52="EAL",AE52="EAL",AF52="EAL",AG52="EAL"),"EAL",IF(AD52='Writing Logic'!$A$10,AVERAGE(VLOOKUP(AE52,'Writing Logic'!$A$3:$B$7,2,FALSE),VLOOKUP(AF52,'Writing Logic'!$A$3:$B$7,2,FALSE),VLOOKUP(AG52,'Writing Logic'!$A$3:$B$7,2,FALSE)),AVERAGE(VLOOKUP(AD52,'Writing Logic'!$A$3:$B$7,2,FALSE),VLOOKUP(AE52,'Writing Logic'!$A$3:$B$7,2,FALSE),VLOOKUP(AF52,'Writing Logic'!$A$3:$B$7,2,FALSE),VLOOKUP(AG52,'Writing Logic'!$A$3:$B$7,2,FALSE))))),"Fill All 4")</f>
        <v>Fill All 4</v>
      </c>
      <c r="AI52" s="95" t="str">
        <f t="shared" si="2"/>
        <v/>
      </c>
      <c r="AJ52" s="183"/>
      <c r="AK52" s="120"/>
      <c r="AL52" s="120"/>
      <c r="AM52" s="120"/>
      <c r="AN52" s="95" t="str">
        <f>IFERROR(IF(YES_Writing_ELA[[#This Row],[Literacy IPP]]='Writing Logic'!$E$26,"IPP",IF(OR(AJ52="EAL",AK52="EAL",AL52="EAL",AM52="EAL"),"EAL",IF(AJ52='Writing Logic'!$A$10,AVERAGE(VLOOKUP(AK52,'Writing Logic'!$A$3:$B$7,2,FALSE),VLOOKUP(AL52,'Writing Logic'!$A$3:$B$7,2,FALSE),VLOOKUP(AM52,'Writing Logic'!$A$3:$B$7,2,FALSE)),AVERAGE(VLOOKUP(AJ52,'Writing Logic'!$A$3:$B$7,2,FALSE),VLOOKUP(AK52,'Writing Logic'!$A$3:$B$7,2,FALSE),VLOOKUP(AL52,'Writing Logic'!$A$3:$B$7,2,FALSE),VLOOKUP(AM52,'Writing Logic'!$A$3:$B$7,2,FALSE))))),"Fill All 4")</f>
        <v>Fill All 4</v>
      </c>
      <c r="AO52" s="95" t="str">
        <f t="shared" si="3"/>
        <v/>
      </c>
      <c r="AP52" s="120"/>
      <c r="AQ52" s="120"/>
      <c r="AR52" s="120"/>
      <c r="AS52" s="120"/>
      <c r="AT52" s="95" t="str">
        <f>IFERROR(IF(YES_Writing_ELA[[#This Row],[Literacy IPP]]='Writing Logic'!$E$26,"IPP",IF(OR(AP52="EAL",AQ52="EAL",AR52="EAL",AS52="EAL"),"EAL",IF(AP52='Writing Logic'!$A$10,AVERAGE(VLOOKUP(AQ52,'Writing Logic'!$A$3:$B$7,2,FALSE),VLOOKUP(AR52,'Writing Logic'!$A$3:$B$7,2,FALSE),VLOOKUP(AS52,'Writing Logic'!$A$3:$B$7,2,FALSE)),AVERAGE(VLOOKUP(AP52,'Writing Logic'!$A$3:$B$7,2,FALSE),VLOOKUP(AQ52,'Writing Logic'!$A$3:$B$7,2,FALSE),VLOOKUP(AR52,'Writing Logic'!$A$3:$B$7,2,FALSE),VLOOKUP(AS52,'Writing Logic'!$A$3:$B$7,2,FALSE))))),"Fill All 4")</f>
        <v>Fill All 4</v>
      </c>
      <c r="AU52" s="95" t="str">
        <f t="shared" si="4"/>
        <v/>
      </c>
    </row>
    <row r="53" spans="1:47" x14ac:dyDescent="0.25">
      <c r="A53" s="13"/>
      <c r="B53" s="13"/>
      <c r="C53" s="13"/>
      <c r="D53" s="13"/>
      <c r="E53" s="13"/>
      <c r="F53" s="13"/>
      <c r="G53" s="13"/>
      <c r="H53" s="13"/>
      <c r="I53" s="13"/>
      <c r="J53" s="13"/>
      <c r="K53" s="183"/>
      <c r="L53" s="184"/>
      <c r="M53" s="120"/>
      <c r="N53" s="120"/>
      <c r="O53" s="120"/>
      <c r="P53" s="120"/>
      <c r="Q53" s="95" t="str">
        <f>IFERROR(IF(YES_Writing_ELA[[#This Row],[Literacy IPP]]='Writing Logic'!$E$26,"IPP",IF(OR(M53="EAL",N53="EAL",O53="EAL",P53="EAL"),"EAL",IF(M53='Writing Logic'!$A$10,AVERAGE(VLOOKUP(N53,'Writing Logic'!$A$3:$B$7,2,FALSE),VLOOKUP(O53,'Writing Logic'!$A$3:$B$7,2,FALSE),VLOOKUP(P53,'Writing Logic'!$A$3:$B$7,2,FALSE)),AVERAGE(VLOOKUP(M53,'Writing Logic'!$A$3:$B$7,2,FALSE),VLOOKUP(N53,'Writing Logic'!$A$3:$B$7,2,FALSE),VLOOKUP(O53,'Writing Logic'!$A$3:$B$7,2,FALSE),VLOOKUP(P53,'Writing Logic'!$A$3:$B$7,2,FALSE))))),"Fill All 4")</f>
        <v>Fill All 4</v>
      </c>
      <c r="R53" s="120"/>
      <c r="S53" s="120"/>
      <c r="T53" s="120"/>
      <c r="U53" s="120"/>
      <c r="V53" s="95" t="str">
        <f>IFERROR(IF(YES_Writing_ELA[[#This Row],[Literacy IPP]]='Writing Logic'!$E$26,"IPP",IF(OR(R53="EAL",S53="EAL",T53="EAL",U53="EAL"),"EAL",IF(R53='Writing Logic'!$A$10,AVERAGE(VLOOKUP(S53,'Writing Logic'!$A$3:$B$7,2,FALSE),VLOOKUP(T53,'Writing Logic'!$A$3:$B$7,2,FALSE),VLOOKUP(U53,'Writing Logic'!$A$3:$B$7,2,FALSE)),AVERAGE(VLOOKUP(R53,'Writing Logic'!$A$3:$B$7,2,FALSE),VLOOKUP(S53,'Writing Logic'!$A$3:$B$7,2,FALSE),VLOOKUP(T53,'Writing Logic'!$A$3:$B$7,2,FALSE),VLOOKUP(U53,'Writing Logic'!$A$3:$B$7,2,FALSE))))),"Fill All 4")</f>
        <v>Fill All 4</v>
      </c>
      <c r="W53" s="95" t="str">
        <f t="shared" si="0"/>
        <v/>
      </c>
      <c r="X53" s="120"/>
      <c r="Y53" s="120"/>
      <c r="Z53" s="120"/>
      <c r="AA53" s="120"/>
      <c r="AB53" s="95" t="str">
        <f>IFERROR(IF(YES_Writing_ELA[[#This Row],[Literacy IPP]]='Writing Logic'!$E$26,"IPP",IF(OR(X53="EAL",Y53="EAL",Z53="EAL",AA53="EAL"),"EAL",IF(X53='Writing Logic'!$A$10,AVERAGE(VLOOKUP(Y53,'Writing Logic'!$A$3:$B$7,2,FALSE),VLOOKUP(Z53,'Writing Logic'!$A$3:$B$7,2,FALSE),VLOOKUP(AA53,'Writing Logic'!$A$3:$B$7,2,FALSE)),AVERAGE(VLOOKUP(X53,'Writing Logic'!$A$3:$B$7,2,FALSE),VLOOKUP(Y53,'Writing Logic'!$A$3:$B$7,2,FALSE),VLOOKUP(Z53,'Writing Logic'!$A$3:$B$7,2,FALSE),VLOOKUP(AA53,'Writing Logic'!$A$3:$B$7,2,FALSE))))),"Fill All 4")</f>
        <v>Fill All 4</v>
      </c>
      <c r="AC53" s="95" t="str">
        <f t="shared" si="1"/>
        <v/>
      </c>
      <c r="AD53" s="120"/>
      <c r="AE53" s="120"/>
      <c r="AF53" s="120"/>
      <c r="AG53" s="120"/>
      <c r="AH53" s="95" t="str">
        <f>IFERROR(IF(YES_Writing_ELA[[#This Row],[Literacy IPP]]='Writing Logic'!$E$26,"IPP",IF(OR(AD53="EAL",AE53="EAL",AF53="EAL",AG53="EAL"),"EAL",IF(AD53='Writing Logic'!$A$10,AVERAGE(VLOOKUP(AE53,'Writing Logic'!$A$3:$B$7,2,FALSE),VLOOKUP(AF53,'Writing Logic'!$A$3:$B$7,2,FALSE),VLOOKUP(AG53,'Writing Logic'!$A$3:$B$7,2,FALSE)),AVERAGE(VLOOKUP(AD53,'Writing Logic'!$A$3:$B$7,2,FALSE),VLOOKUP(AE53,'Writing Logic'!$A$3:$B$7,2,FALSE),VLOOKUP(AF53,'Writing Logic'!$A$3:$B$7,2,FALSE),VLOOKUP(AG53,'Writing Logic'!$A$3:$B$7,2,FALSE))))),"Fill All 4")</f>
        <v>Fill All 4</v>
      </c>
      <c r="AI53" s="95" t="str">
        <f t="shared" si="2"/>
        <v/>
      </c>
      <c r="AJ53" s="183"/>
      <c r="AK53" s="120"/>
      <c r="AL53" s="120"/>
      <c r="AM53" s="120"/>
      <c r="AN53" s="95" t="str">
        <f>IFERROR(IF(YES_Writing_ELA[[#This Row],[Literacy IPP]]='Writing Logic'!$E$26,"IPP",IF(OR(AJ53="EAL",AK53="EAL",AL53="EAL",AM53="EAL"),"EAL",IF(AJ53='Writing Logic'!$A$10,AVERAGE(VLOOKUP(AK53,'Writing Logic'!$A$3:$B$7,2,FALSE),VLOOKUP(AL53,'Writing Logic'!$A$3:$B$7,2,FALSE),VLOOKUP(AM53,'Writing Logic'!$A$3:$B$7,2,FALSE)),AVERAGE(VLOOKUP(AJ53,'Writing Logic'!$A$3:$B$7,2,FALSE),VLOOKUP(AK53,'Writing Logic'!$A$3:$B$7,2,FALSE),VLOOKUP(AL53,'Writing Logic'!$A$3:$B$7,2,FALSE),VLOOKUP(AM53,'Writing Logic'!$A$3:$B$7,2,FALSE))))),"Fill All 4")</f>
        <v>Fill All 4</v>
      </c>
      <c r="AO53" s="95" t="str">
        <f t="shared" si="3"/>
        <v/>
      </c>
      <c r="AP53" s="120"/>
      <c r="AQ53" s="120"/>
      <c r="AR53" s="120"/>
      <c r="AS53" s="120"/>
      <c r="AT53" s="95" t="str">
        <f>IFERROR(IF(YES_Writing_ELA[[#This Row],[Literacy IPP]]='Writing Logic'!$E$26,"IPP",IF(OR(AP53="EAL",AQ53="EAL",AR53="EAL",AS53="EAL"),"EAL",IF(AP53='Writing Logic'!$A$10,AVERAGE(VLOOKUP(AQ53,'Writing Logic'!$A$3:$B$7,2,FALSE),VLOOKUP(AR53,'Writing Logic'!$A$3:$B$7,2,FALSE),VLOOKUP(AS53,'Writing Logic'!$A$3:$B$7,2,FALSE)),AVERAGE(VLOOKUP(AP53,'Writing Logic'!$A$3:$B$7,2,FALSE),VLOOKUP(AQ53,'Writing Logic'!$A$3:$B$7,2,FALSE),VLOOKUP(AR53,'Writing Logic'!$A$3:$B$7,2,FALSE),VLOOKUP(AS53,'Writing Logic'!$A$3:$B$7,2,FALSE))))),"Fill All 4")</f>
        <v>Fill All 4</v>
      </c>
      <c r="AU53" s="95" t="str">
        <f t="shared" si="4"/>
        <v/>
      </c>
    </row>
    <row r="54" spans="1:47" x14ac:dyDescent="0.25">
      <c r="A54" s="13"/>
      <c r="B54" s="13"/>
      <c r="C54" s="13"/>
      <c r="D54" s="13"/>
      <c r="E54" s="13"/>
      <c r="F54" s="13"/>
      <c r="G54" s="13"/>
      <c r="H54" s="13"/>
      <c r="I54" s="13"/>
      <c r="J54" s="13"/>
      <c r="K54" s="183"/>
      <c r="L54" s="184"/>
      <c r="M54" s="120"/>
      <c r="N54" s="120"/>
      <c r="O54" s="120"/>
      <c r="P54" s="120"/>
      <c r="Q54" s="95" t="str">
        <f>IFERROR(IF(YES_Writing_ELA[[#This Row],[Literacy IPP]]='Writing Logic'!$E$26,"IPP",IF(OR(M54="EAL",N54="EAL",O54="EAL",P54="EAL"),"EAL",IF(M54='Writing Logic'!$A$10,AVERAGE(VLOOKUP(N54,'Writing Logic'!$A$3:$B$7,2,FALSE),VLOOKUP(O54,'Writing Logic'!$A$3:$B$7,2,FALSE),VLOOKUP(P54,'Writing Logic'!$A$3:$B$7,2,FALSE)),AVERAGE(VLOOKUP(M54,'Writing Logic'!$A$3:$B$7,2,FALSE),VLOOKUP(N54,'Writing Logic'!$A$3:$B$7,2,FALSE),VLOOKUP(O54,'Writing Logic'!$A$3:$B$7,2,FALSE),VLOOKUP(P54,'Writing Logic'!$A$3:$B$7,2,FALSE))))),"Fill All 4")</f>
        <v>Fill All 4</v>
      </c>
      <c r="R54" s="120"/>
      <c r="S54" s="120"/>
      <c r="T54" s="120"/>
      <c r="U54" s="120"/>
      <c r="V54" s="95" t="str">
        <f>IFERROR(IF(YES_Writing_ELA[[#This Row],[Literacy IPP]]='Writing Logic'!$E$26,"IPP",IF(OR(R54="EAL",S54="EAL",T54="EAL",U54="EAL"),"EAL",IF(R54='Writing Logic'!$A$10,AVERAGE(VLOOKUP(S54,'Writing Logic'!$A$3:$B$7,2,FALSE),VLOOKUP(T54,'Writing Logic'!$A$3:$B$7,2,FALSE),VLOOKUP(U54,'Writing Logic'!$A$3:$B$7,2,FALSE)),AVERAGE(VLOOKUP(R54,'Writing Logic'!$A$3:$B$7,2,FALSE),VLOOKUP(S54,'Writing Logic'!$A$3:$B$7,2,FALSE),VLOOKUP(T54,'Writing Logic'!$A$3:$B$7,2,FALSE),VLOOKUP(U54,'Writing Logic'!$A$3:$B$7,2,FALSE))))),"Fill All 4")</f>
        <v>Fill All 4</v>
      </c>
      <c r="W54" s="95" t="str">
        <f t="shared" si="0"/>
        <v/>
      </c>
      <c r="X54" s="120"/>
      <c r="Y54" s="120"/>
      <c r="Z54" s="120"/>
      <c r="AA54" s="120"/>
      <c r="AB54" s="95" t="str">
        <f>IFERROR(IF(YES_Writing_ELA[[#This Row],[Literacy IPP]]='Writing Logic'!$E$26,"IPP",IF(OR(X54="EAL",Y54="EAL",Z54="EAL",AA54="EAL"),"EAL",IF(X54='Writing Logic'!$A$10,AVERAGE(VLOOKUP(Y54,'Writing Logic'!$A$3:$B$7,2,FALSE),VLOOKUP(Z54,'Writing Logic'!$A$3:$B$7,2,FALSE),VLOOKUP(AA54,'Writing Logic'!$A$3:$B$7,2,FALSE)),AVERAGE(VLOOKUP(X54,'Writing Logic'!$A$3:$B$7,2,FALSE),VLOOKUP(Y54,'Writing Logic'!$A$3:$B$7,2,FALSE),VLOOKUP(Z54,'Writing Logic'!$A$3:$B$7,2,FALSE),VLOOKUP(AA54,'Writing Logic'!$A$3:$B$7,2,FALSE))))),"Fill All 4")</f>
        <v>Fill All 4</v>
      </c>
      <c r="AC54" s="95" t="str">
        <f t="shared" si="1"/>
        <v/>
      </c>
      <c r="AD54" s="120"/>
      <c r="AE54" s="120"/>
      <c r="AF54" s="120"/>
      <c r="AG54" s="120"/>
      <c r="AH54" s="95" t="str">
        <f>IFERROR(IF(YES_Writing_ELA[[#This Row],[Literacy IPP]]='Writing Logic'!$E$26,"IPP",IF(OR(AD54="EAL",AE54="EAL",AF54="EAL",AG54="EAL"),"EAL",IF(AD54='Writing Logic'!$A$10,AVERAGE(VLOOKUP(AE54,'Writing Logic'!$A$3:$B$7,2,FALSE),VLOOKUP(AF54,'Writing Logic'!$A$3:$B$7,2,FALSE),VLOOKUP(AG54,'Writing Logic'!$A$3:$B$7,2,FALSE)),AVERAGE(VLOOKUP(AD54,'Writing Logic'!$A$3:$B$7,2,FALSE),VLOOKUP(AE54,'Writing Logic'!$A$3:$B$7,2,FALSE),VLOOKUP(AF54,'Writing Logic'!$A$3:$B$7,2,FALSE),VLOOKUP(AG54,'Writing Logic'!$A$3:$B$7,2,FALSE))))),"Fill All 4")</f>
        <v>Fill All 4</v>
      </c>
      <c r="AI54" s="95" t="str">
        <f t="shared" si="2"/>
        <v/>
      </c>
      <c r="AJ54" s="183"/>
      <c r="AK54" s="120"/>
      <c r="AL54" s="120"/>
      <c r="AM54" s="120"/>
      <c r="AN54" s="95" t="str">
        <f>IFERROR(IF(YES_Writing_ELA[[#This Row],[Literacy IPP]]='Writing Logic'!$E$26,"IPP",IF(OR(AJ54="EAL",AK54="EAL",AL54="EAL",AM54="EAL"),"EAL",IF(AJ54='Writing Logic'!$A$10,AVERAGE(VLOOKUP(AK54,'Writing Logic'!$A$3:$B$7,2,FALSE),VLOOKUP(AL54,'Writing Logic'!$A$3:$B$7,2,FALSE),VLOOKUP(AM54,'Writing Logic'!$A$3:$B$7,2,FALSE)),AVERAGE(VLOOKUP(AJ54,'Writing Logic'!$A$3:$B$7,2,FALSE),VLOOKUP(AK54,'Writing Logic'!$A$3:$B$7,2,FALSE),VLOOKUP(AL54,'Writing Logic'!$A$3:$B$7,2,FALSE),VLOOKUP(AM54,'Writing Logic'!$A$3:$B$7,2,FALSE))))),"Fill All 4")</f>
        <v>Fill All 4</v>
      </c>
      <c r="AO54" s="95" t="str">
        <f t="shared" si="3"/>
        <v/>
      </c>
      <c r="AP54" s="120"/>
      <c r="AQ54" s="120"/>
      <c r="AR54" s="120"/>
      <c r="AS54" s="120"/>
      <c r="AT54" s="95" t="str">
        <f>IFERROR(IF(YES_Writing_ELA[[#This Row],[Literacy IPP]]='Writing Logic'!$E$26,"IPP",IF(OR(AP54="EAL",AQ54="EAL",AR54="EAL",AS54="EAL"),"EAL",IF(AP54='Writing Logic'!$A$10,AVERAGE(VLOOKUP(AQ54,'Writing Logic'!$A$3:$B$7,2,FALSE),VLOOKUP(AR54,'Writing Logic'!$A$3:$B$7,2,FALSE),VLOOKUP(AS54,'Writing Logic'!$A$3:$B$7,2,FALSE)),AVERAGE(VLOOKUP(AP54,'Writing Logic'!$A$3:$B$7,2,FALSE),VLOOKUP(AQ54,'Writing Logic'!$A$3:$B$7,2,FALSE),VLOOKUP(AR54,'Writing Logic'!$A$3:$B$7,2,FALSE),VLOOKUP(AS54,'Writing Logic'!$A$3:$B$7,2,FALSE))))),"Fill All 4")</f>
        <v>Fill All 4</v>
      </c>
      <c r="AU54" s="95" t="str">
        <f t="shared" si="4"/>
        <v/>
      </c>
    </row>
    <row r="55" spans="1:47" x14ac:dyDescent="0.25">
      <c r="A55" s="13"/>
      <c r="B55" s="13"/>
      <c r="C55" s="13"/>
      <c r="D55" s="13"/>
      <c r="E55" s="13"/>
      <c r="F55" s="13"/>
      <c r="G55" s="13"/>
      <c r="H55" s="13"/>
      <c r="I55" s="13"/>
      <c r="J55" s="13"/>
      <c r="K55" s="183"/>
      <c r="L55" s="184"/>
      <c r="M55" s="120"/>
      <c r="N55" s="120"/>
      <c r="O55" s="120"/>
      <c r="P55" s="120"/>
      <c r="Q55" s="95" t="str">
        <f>IFERROR(IF(YES_Writing_ELA[[#This Row],[Literacy IPP]]='Writing Logic'!$E$26,"IPP",IF(OR(M55="EAL",N55="EAL",O55="EAL",P55="EAL"),"EAL",IF(M55='Writing Logic'!$A$10,AVERAGE(VLOOKUP(N55,'Writing Logic'!$A$3:$B$7,2,FALSE),VLOOKUP(O55,'Writing Logic'!$A$3:$B$7,2,FALSE),VLOOKUP(P55,'Writing Logic'!$A$3:$B$7,2,FALSE)),AVERAGE(VLOOKUP(M55,'Writing Logic'!$A$3:$B$7,2,FALSE),VLOOKUP(N55,'Writing Logic'!$A$3:$B$7,2,FALSE),VLOOKUP(O55,'Writing Logic'!$A$3:$B$7,2,FALSE),VLOOKUP(P55,'Writing Logic'!$A$3:$B$7,2,FALSE))))),"Fill All 4")</f>
        <v>Fill All 4</v>
      </c>
      <c r="R55" s="120"/>
      <c r="S55" s="120"/>
      <c r="T55" s="120"/>
      <c r="U55" s="120"/>
      <c r="V55" s="95" t="str">
        <f>IFERROR(IF(YES_Writing_ELA[[#This Row],[Literacy IPP]]='Writing Logic'!$E$26,"IPP",IF(OR(R55="EAL",S55="EAL",T55="EAL",U55="EAL"),"EAL",IF(R55='Writing Logic'!$A$10,AVERAGE(VLOOKUP(S55,'Writing Logic'!$A$3:$B$7,2,FALSE),VLOOKUP(T55,'Writing Logic'!$A$3:$B$7,2,FALSE),VLOOKUP(U55,'Writing Logic'!$A$3:$B$7,2,FALSE)),AVERAGE(VLOOKUP(R55,'Writing Logic'!$A$3:$B$7,2,FALSE),VLOOKUP(S55,'Writing Logic'!$A$3:$B$7,2,FALSE),VLOOKUP(T55,'Writing Logic'!$A$3:$B$7,2,FALSE),VLOOKUP(U55,'Writing Logic'!$A$3:$B$7,2,FALSE))))),"Fill All 4")</f>
        <v>Fill All 4</v>
      </c>
      <c r="W55" s="95" t="str">
        <f t="shared" si="0"/>
        <v/>
      </c>
      <c r="X55" s="120"/>
      <c r="Y55" s="120"/>
      <c r="Z55" s="120"/>
      <c r="AA55" s="120"/>
      <c r="AB55" s="95" t="str">
        <f>IFERROR(IF(YES_Writing_ELA[[#This Row],[Literacy IPP]]='Writing Logic'!$E$26,"IPP",IF(OR(X55="EAL",Y55="EAL",Z55="EAL",AA55="EAL"),"EAL",IF(X55='Writing Logic'!$A$10,AVERAGE(VLOOKUP(Y55,'Writing Logic'!$A$3:$B$7,2,FALSE),VLOOKUP(Z55,'Writing Logic'!$A$3:$B$7,2,FALSE),VLOOKUP(AA55,'Writing Logic'!$A$3:$B$7,2,FALSE)),AVERAGE(VLOOKUP(X55,'Writing Logic'!$A$3:$B$7,2,FALSE),VLOOKUP(Y55,'Writing Logic'!$A$3:$B$7,2,FALSE),VLOOKUP(Z55,'Writing Logic'!$A$3:$B$7,2,FALSE),VLOOKUP(AA55,'Writing Logic'!$A$3:$B$7,2,FALSE))))),"Fill All 4")</f>
        <v>Fill All 4</v>
      </c>
      <c r="AC55" s="95" t="str">
        <f t="shared" si="1"/>
        <v/>
      </c>
      <c r="AD55" s="120"/>
      <c r="AE55" s="120"/>
      <c r="AF55" s="120"/>
      <c r="AG55" s="120"/>
      <c r="AH55" s="95" t="str">
        <f>IFERROR(IF(YES_Writing_ELA[[#This Row],[Literacy IPP]]='Writing Logic'!$E$26,"IPP",IF(OR(AD55="EAL",AE55="EAL",AF55="EAL",AG55="EAL"),"EAL",IF(AD55='Writing Logic'!$A$10,AVERAGE(VLOOKUP(AE55,'Writing Logic'!$A$3:$B$7,2,FALSE),VLOOKUP(AF55,'Writing Logic'!$A$3:$B$7,2,FALSE),VLOOKUP(AG55,'Writing Logic'!$A$3:$B$7,2,FALSE)),AVERAGE(VLOOKUP(AD55,'Writing Logic'!$A$3:$B$7,2,FALSE),VLOOKUP(AE55,'Writing Logic'!$A$3:$B$7,2,FALSE),VLOOKUP(AF55,'Writing Logic'!$A$3:$B$7,2,FALSE),VLOOKUP(AG55,'Writing Logic'!$A$3:$B$7,2,FALSE))))),"Fill All 4")</f>
        <v>Fill All 4</v>
      </c>
      <c r="AI55" s="95" t="str">
        <f t="shared" si="2"/>
        <v/>
      </c>
      <c r="AJ55" s="183"/>
      <c r="AK55" s="120"/>
      <c r="AL55" s="120"/>
      <c r="AM55" s="120"/>
      <c r="AN55" s="95" t="str">
        <f>IFERROR(IF(YES_Writing_ELA[[#This Row],[Literacy IPP]]='Writing Logic'!$E$26,"IPP",IF(OR(AJ55="EAL",AK55="EAL",AL55="EAL",AM55="EAL"),"EAL",IF(AJ55='Writing Logic'!$A$10,AVERAGE(VLOOKUP(AK55,'Writing Logic'!$A$3:$B$7,2,FALSE),VLOOKUP(AL55,'Writing Logic'!$A$3:$B$7,2,FALSE),VLOOKUP(AM55,'Writing Logic'!$A$3:$B$7,2,FALSE)),AVERAGE(VLOOKUP(AJ55,'Writing Logic'!$A$3:$B$7,2,FALSE),VLOOKUP(AK55,'Writing Logic'!$A$3:$B$7,2,FALSE),VLOOKUP(AL55,'Writing Logic'!$A$3:$B$7,2,FALSE),VLOOKUP(AM55,'Writing Logic'!$A$3:$B$7,2,FALSE))))),"Fill All 4")</f>
        <v>Fill All 4</v>
      </c>
      <c r="AO55" s="95" t="str">
        <f t="shared" si="3"/>
        <v/>
      </c>
      <c r="AP55" s="120"/>
      <c r="AQ55" s="120"/>
      <c r="AR55" s="120"/>
      <c r="AS55" s="120"/>
      <c r="AT55" s="95" t="str">
        <f>IFERROR(IF(YES_Writing_ELA[[#This Row],[Literacy IPP]]='Writing Logic'!$E$26,"IPP",IF(OR(AP55="EAL",AQ55="EAL",AR55="EAL",AS55="EAL"),"EAL",IF(AP55='Writing Logic'!$A$10,AVERAGE(VLOOKUP(AQ55,'Writing Logic'!$A$3:$B$7,2,FALSE),VLOOKUP(AR55,'Writing Logic'!$A$3:$B$7,2,FALSE),VLOOKUP(AS55,'Writing Logic'!$A$3:$B$7,2,FALSE)),AVERAGE(VLOOKUP(AP55,'Writing Logic'!$A$3:$B$7,2,FALSE),VLOOKUP(AQ55,'Writing Logic'!$A$3:$B$7,2,FALSE),VLOOKUP(AR55,'Writing Logic'!$A$3:$B$7,2,FALSE),VLOOKUP(AS55,'Writing Logic'!$A$3:$B$7,2,FALSE))))),"Fill All 4")</f>
        <v>Fill All 4</v>
      </c>
      <c r="AU55" s="95" t="str">
        <f t="shared" si="4"/>
        <v/>
      </c>
    </row>
    <row r="56" spans="1:47" x14ac:dyDescent="0.25">
      <c r="A56" s="13"/>
      <c r="B56" s="13"/>
      <c r="C56" s="13"/>
      <c r="D56" s="13"/>
      <c r="E56" s="13"/>
      <c r="F56" s="13"/>
      <c r="G56" s="13"/>
      <c r="H56" s="13"/>
      <c r="I56" s="13"/>
      <c r="J56" s="13"/>
      <c r="K56" s="183"/>
      <c r="L56" s="184"/>
      <c r="M56" s="120"/>
      <c r="N56" s="120"/>
      <c r="O56" s="120"/>
      <c r="P56" s="120"/>
      <c r="Q56" s="95" t="str">
        <f>IFERROR(IF(YES_Writing_ELA[[#This Row],[Literacy IPP]]='Writing Logic'!$E$26,"IPP",IF(OR(M56="EAL",N56="EAL",O56="EAL",P56="EAL"),"EAL",IF(M56='Writing Logic'!$A$10,AVERAGE(VLOOKUP(N56,'Writing Logic'!$A$3:$B$7,2,FALSE),VLOOKUP(O56,'Writing Logic'!$A$3:$B$7,2,FALSE),VLOOKUP(P56,'Writing Logic'!$A$3:$B$7,2,FALSE)),AVERAGE(VLOOKUP(M56,'Writing Logic'!$A$3:$B$7,2,FALSE),VLOOKUP(N56,'Writing Logic'!$A$3:$B$7,2,FALSE),VLOOKUP(O56,'Writing Logic'!$A$3:$B$7,2,FALSE),VLOOKUP(P56,'Writing Logic'!$A$3:$B$7,2,FALSE))))),"Fill All 4")</f>
        <v>Fill All 4</v>
      </c>
      <c r="R56" s="120"/>
      <c r="S56" s="120"/>
      <c r="T56" s="120"/>
      <c r="U56" s="120"/>
      <c r="V56" s="95" t="str">
        <f>IFERROR(IF(YES_Writing_ELA[[#This Row],[Literacy IPP]]='Writing Logic'!$E$26,"IPP",IF(OR(R56="EAL",S56="EAL",T56="EAL",U56="EAL"),"EAL",IF(R56='Writing Logic'!$A$10,AVERAGE(VLOOKUP(S56,'Writing Logic'!$A$3:$B$7,2,FALSE),VLOOKUP(T56,'Writing Logic'!$A$3:$B$7,2,FALSE),VLOOKUP(U56,'Writing Logic'!$A$3:$B$7,2,FALSE)),AVERAGE(VLOOKUP(R56,'Writing Logic'!$A$3:$B$7,2,FALSE),VLOOKUP(S56,'Writing Logic'!$A$3:$B$7,2,FALSE),VLOOKUP(T56,'Writing Logic'!$A$3:$B$7,2,FALSE),VLOOKUP(U56,'Writing Logic'!$A$3:$B$7,2,FALSE))))),"Fill All 4")</f>
        <v>Fill All 4</v>
      </c>
      <c r="W56" s="95" t="str">
        <f t="shared" si="0"/>
        <v/>
      </c>
      <c r="X56" s="120"/>
      <c r="Y56" s="120"/>
      <c r="Z56" s="120"/>
      <c r="AA56" s="120"/>
      <c r="AB56" s="95" t="str">
        <f>IFERROR(IF(YES_Writing_ELA[[#This Row],[Literacy IPP]]='Writing Logic'!$E$26,"IPP",IF(OR(X56="EAL",Y56="EAL",Z56="EAL",AA56="EAL"),"EAL",IF(X56='Writing Logic'!$A$10,AVERAGE(VLOOKUP(Y56,'Writing Logic'!$A$3:$B$7,2,FALSE),VLOOKUP(Z56,'Writing Logic'!$A$3:$B$7,2,FALSE),VLOOKUP(AA56,'Writing Logic'!$A$3:$B$7,2,FALSE)),AVERAGE(VLOOKUP(X56,'Writing Logic'!$A$3:$B$7,2,FALSE),VLOOKUP(Y56,'Writing Logic'!$A$3:$B$7,2,FALSE),VLOOKUP(Z56,'Writing Logic'!$A$3:$B$7,2,FALSE),VLOOKUP(AA56,'Writing Logic'!$A$3:$B$7,2,FALSE))))),"Fill All 4")</f>
        <v>Fill All 4</v>
      </c>
      <c r="AC56" s="95" t="str">
        <f t="shared" si="1"/>
        <v/>
      </c>
      <c r="AD56" s="120"/>
      <c r="AE56" s="120"/>
      <c r="AF56" s="120"/>
      <c r="AG56" s="120"/>
      <c r="AH56" s="95" t="str">
        <f>IFERROR(IF(YES_Writing_ELA[[#This Row],[Literacy IPP]]='Writing Logic'!$E$26,"IPP",IF(OR(AD56="EAL",AE56="EAL",AF56="EAL",AG56="EAL"),"EAL",IF(AD56='Writing Logic'!$A$10,AVERAGE(VLOOKUP(AE56,'Writing Logic'!$A$3:$B$7,2,FALSE),VLOOKUP(AF56,'Writing Logic'!$A$3:$B$7,2,FALSE),VLOOKUP(AG56,'Writing Logic'!$A$3:$B$7,2,FALSE)),AVERAGE(VLOOKUP(AD56,'Writing Logic'!$A$3:$B$7,2,FALSE),VLOOKUP(AE56,'Writing Logic'!$A$3:$B$7,2,FALSE),VLOOKUP(AF56,'Writing Logic'!$A$3:$B$7,2,FALSE),VLOOKUP(AG56,'Writing Logic'!$A$3:$B$7,2,FALSE))))),"Fill All 4")</f>
        <v>Fill All 4</v>
      </c>
      <c r="AI56" s="95" t="str">
        <f t="shared" si="2"/>
        <v/>
      </c>
      <c r="AJ56" s="183"/>
      <c r="AK56" s="120"/>
      <c r="AL56" s="120"/>
      <c r="AM56" s="120"/>
      <c r="AN56" s="95" t="str">
        <f>IFERROR(IF(YES_Writing_ELA[[#This Row],[Literacy IPP]]='Writing Logic'!$E$26,"IPP",IF(OR(AJ56="EAL",AK56="EAL",AL56="EAL",AM56="EAL"),"EAL",IF(AJ56='Writing Logic'!$A$10,AVERAGE(VLOOKUP(AK56,'Writing Logic'!$A$3:$B$7,2,FALSE),VLOOKUP(AL56,'Writing Logic'!$A$3:$B$7,2,FALSE),VLOOKUP(AM56,'Writing Logic'!$A$3:$B$7,2,FALSE)),AVERAGE(VLOOKUP(AJ56,'Writing Logic'!$A$3:$B$7,2,FALSE),VLOOKUP(AK56,'Writing Logic'!$A$3:$B$7,2,FALSE),VLOOKUP(AL56,'Writing Logic'!$A$3:$B$7,2,FALSE),VLOOKUP(AM56,'Writing Logic'!$A$3:$B$7,2,FALSE))))),"Fill All 4")</f>
        <v>Fill All 4</v>
      </c>
      <c r="AO56" s="95" t="str">
        <f t="shared" si="3"/>
        <v/>
      </c>
      <c r="AP56" s="120"/>
      <c r="AQ56" s="120"/>
      <c r="AR56" s="120"/>
      <c r="AS56" s="120"/>
      <c r="AT56" s="95" t="str">
        <f>IFERROR(IF(YES_Writing_ELA[[#This Row],[Literacy IPP]]='Writing Logic'!$E$26,"IPP",IF(OR(AP56="EAL",AQ56="EAL",AR56="EAL",AS56="EAL"),"EAL",IF(AP56='Writing Logic'!$A$10,AVERAGE(VLOOKUP(AQ56,'Writing Logic'!$A$3:$B$7,2,FALSE),VLOOKUP(AR56,'Writing Logic'!$A$3:$B$7,2,FALSE),VLOOKUP(AS56,'Writing Logic'!$A$3:$B$7,2,FALSE)),AVERAGE(VLOOKUP(AP56,'Writing Logic'!$A$3:$B$7,2,FALSE),VLOOKUP(AQ56,'Writing Logic'!$A$3:$B$7,2,FALSE),VLOOKUP(AR56,'Writing Logic'!$A$3:$B$7,2,FALSE),VLOOKUP(AS56,'Writing Logic'!$A$3:$B$7,2,FALSE))))),"Fill All 4")</f>
        <v>Fill All 4</v>
      </c>
      <c r="AU56" s="95" t="str">
        <f t="shared" si="4"/>
        <v/>
      </c>
    </row>
    <row r="57" spans="1:47" x14ac:dyDescent="0.25">
      <c r="A57" s="13"/>
      <c r="B57" s="13"/>
      <c r="C57" s="13"/>
      <c r="D57" s="13"/>
      <c r="E57" s="13"/>
      <c r="F57" s="13"/>
      <c r="G57" s="13"/>
      <c r="H57" s="13"/>
      <c r="I57" s="13"/>
      <c r="J57" s="13"/>
      <c r="K57" s="183"/>
      <c r="L57" s="184"/>
      <c r="M57" s="120"/>
      <c r="N57" s="120"/>
      <c r="O57" s="120"/>
      <c r="P57" s="120"/>
      <c r="Q57" s="95" t="str">
        <f>IFERROR(IF(YES_Writing_ELA[[#This Row],[Literacy IPP]]='Writing Logic'!$E$26,"IPP",IF(OR(M57="EAL",N57="EAL",O57="EAL",P57="EAL"),"EAL",IF(M57='Writing Logic'!$A$10,AVERAGE(VLOOKUP(N57,'Writing Logic'!$A$3:$B$7,2,FALSE),VLOOKUP(O57,'Writing Logic'!$A$3:$B$7,2,FALSE),VLOOKUP(P57,'Writing Logic'!$A$3:$B$7,2,FALSE)),AVERAGE(VLOOKUP(M57,'Writing Logic'!$A$3:$B$7,2,FALSE),VLOOKUP(N57,'Writing Logic'!$A$3:$B$7,2,FALSE),VLOOKUP(O57,'Writing Logic'!$A$3:$B$7,2,FALSE),VLOOKUP(P57,'Writing Logic'!$A$3:$B$7,2,FALSE))))),"Fill All 4")</f>
        <v>Fill All 4</v>
      </c>
      <c r="R57" s="120"/>
      <c r="S57" s="120"/>
      <c r="T57" s="120"/>
      <c r="U57" s="120"/>
      <c r="V57" s="95" t="str">
        <f>IFERROR(IF(YES_Writing_ELA[[#This Row],[Literacy IPP]]='Writing Logic'!$E$26,"IPP",IF(OR(R57="EAL",S57="EAL",T57="EAL",U57="EAL"),"EAL",IF(R57='Writing Logic'!$A$10,AVERAGE(VLOOKUP(S57,'Writing Logic'!$A$3:$B$7,2,FALSE),VLOOKUP(T57,'Writing Logic'!$A$3:$B$7,2,FALSE),VLOOKUP(U57,'Writing Logic'!$A$3:$B$7,2,FALSE)),AVERAGE(VLOOKUP(R57,'Writing Logic'!$A$3:$B$7,2,FALSE),VLOOKUP(S57,'Writing Logic'!$A$3:$B$7,2,FALSE),VLOOKUP(T57,'Writing Logic'!$A$3:$B$7,2,FALSE),VLOOKUP(U57,'Writing Logic'!$A$3:$B$7,2,FALSE))))),"Fill All 4")</f>
        <v>Fill All 4</v>
      </c>
      <c r="W57" s="95" t="str">
        <f t="shared" si="0"/>
        <v/>
      </c>
      <c r="X57" s="120"/>
      <c r="Y57" s="120"/>
      <c r="Z57" s="120"/>
      <c r="AA57" s="120"/>
      <c r="AB57" s="95" t="str">
        <f>IFERROR(IF(YES_Writing_ELA[[#This Row],[Literacy IPP]]='Writing Logic'!$E$26,"IPP",IF(OR(X57="EAL",Y57="EAL",Z57="EAL",AA57="EAL"),"EAL",IF(X57='Writing Logic'!$A$10,AVERAGE(VLOOKUP(Y57,'Writing Logic'!$A$3:$B$7,2,FALSE),VLOOKUP(Z57,'Writing Logic'!$A$3:$B$7,2,FALSE),VLOOKUP(AA57,'Writing Logic'!$A$3:$B$7,2,FALSE)),AVERAGE(VLOOKUP(X57,'Writing Logic'!$A$3:$B$7,2,FALSE),VLOOKUP(Y57,'Writing Logic'!$A$3:$B$7,2,FALSE),VLOOKUP(Z57,'Writing Logic'!$A$3:$B$7,2,FALSE),VLOOKUP(AA57,'Writing Logic'!$A$3:$B$7,2,FALSE))))),"Fill All 4")</f>
        <v>Fill All 4</v>
      </c>
      <c r="AC57" s="95" t="str">
        <f t="shared" si="1"/>
        <v/>
      </c>
      <c r="AD57" s="120"/>
      <c r="AE57" s="120"/>
      <c r="AF57" s="120"/>
      <c r="AG57" s="120"/>
      <c r="AH57" s="95" t="str">
        <f>IFERROR(IF(YES_Writing_ELA[[#This Row],[Literacy IPP]]='Writing Logic'!$E$26,"IPP",IF(OR(AD57="EAL",AE57="EAL",AF57="EAL",AG57="EAL"),"EAL",IF(AD57='Writing Logic'!$A$10,AVERAGE(VLOOKUP(AE57,'Writing Logic'!$A$3:$B$7,2,FALSE),VLOOKUP(AF57,'Writing Logic'!$A$3:$B$7,2,FALSE),VLOOKUP(AG57,'Writing Logic'!$A$3:$B$7,2,FALSE)),AVERAGE(VLOOKUP(AD57,'Writing Logic'!$A$3:$B$7,2,FALSE),VLOOKUP(AE57,'Writing Logic'!$A$3:$B$7,2,FALSE),VLOOKUP(AF57,'Writing Logic'!$A$3:$B$7,2,FALSE),VLOOKUP(AG57,'Writing Logic'!$A$3:$B$7,2,FALSE))))),"Fill All 4")</f>
        <v>Fill All 4</v>
      </c>
      <c r="AI57" s="95" t="str">
        <f t="shared" si="2"/>
        <v/>
      </c>
      <c r="AJ57" s="183"/>
      <c r="AK57" s="120"/>
      <c r="AL57" s="120"/>
      <c r="AM57" s="120"/>
      <c r="AN57" s="95" t="str">
        <f>IFERROR(IF(YES_Writing_ELA[[#This Row],[Literacy IPP]]='Writing Logic'!$E$26,"IPP",IF(OR(AJ57="EAL",AK57="EAL",AL57="EAL",AM57="EAL"),"EAL",IF(AJ57='Writing Logic'!$A$10,AVERAGE(VLOOKUP(AK57,'Writing Logic'!$A$3:$B$7,2,FALSE),VLOOKUP(AL57,'Writing Logic'!$A$3:$B$7,2,FALSE),VLOOKUP(AM57,'Writing Logic'!$A$3:$B$7,2,FALSE)),AVERAGE(VLOOKUP(AJ57,'Writing Logic'!$A$3:$B$7,2,FALSE),VLOOKUP(AK57,'Writing Logic'!$A$3:$B$7,2,FALSE),VLOOKUP(AL57,'Writing Logic'!$A$3:$B$7,2,FALSE),VLOOKUP(AM57,'Writing Logic'!$A$3:$B$7,2,FALSE))))),"Fill All 4")</f>
        <v>Fill All 4</v>
      </c>
      <c r="AO57" s="95" t="str">
        <f t="shared" si="3"/>
        <v/>
      </c>
      <c r="AP57" s="120"/>
      <c r="AQ57" s="120"/>
      <c r="AR57" s="120"/>
      <c r="AS57" s="120"/>
      <c r="AT57" s="95" t="str">
        <f>IFERROR(IF(YES_Writing_ELA[[#This Row],[Literacy IPP]]='Writing Logic'!$E$26,"IPP",IF(OR(AP57="EAL",AQ57="EAL",AR57="EAL",AS57="EAL"),"EAL",IF(AP57='Writing Logic'!$A$10,AVERAGE(VLOOKUP(AQ57,'Writing Logic'!$A$3:$B$7,2,FALSE),VLOOKUP(AR57,'Writing Logic'!$A$3:$B$7,2,FALSE),VLOOKUP(AS57,'Writing Logic'!$A$3:$B$7,2,FALSE)),AVERAGE(VLOOKUP(AP57,'Writing Logic'!$A$3:$B$7,2,FALSE),VLOOKUP(AQ57,'Writing Logic'!$A$3:$B$7,2,FALSE),VLOOKUP(AR57,'Writing Logic'!$A$3:$B$7,2,FALSE),VLOOKUP(AS57,'Writing Logic'!$A$3:$B$7,2,FALSE))))),"Fill All 4")</f>
        <v>Fill All 4</v>
      </c>
      <c r="AU57" s="95" t="str">
        <f t="shared" si="4"/>
        <v/>
      </c>
    </row>
    <row r="58" spans="1:47" x14ac:dyDescent="0.25">
      <c r="A58" s="245"/>
      <c r="B58" s="236"/>
      <c r="C58" s="236"/>
      <c r="D58" s="236"/>
      <c r="E58" s="49"/>
      <c r="F58" s="49"/>
      <c r="G58" s="49"/>
      <c r="H58" s="49"/>
      <c r="I58" s="49"/>
      <c r="J58" s="49"/>
      <c r="K58" s="183"/>
      <c r="L58" s="184"/>
      <c r="M58" s="183"/>
      <c r="N58" s="183"/>
      <c r="O58" s="183"/>
      <c r="P58" s="183"/>
      <c r="Q58" s="96" t="str">
        <f>IFERROR(IF(YES_Writing_ELA[[#This Row],[Literacy IPP]]='Writing Logic'!$E$26,"IPP",IF(OR(M58="EAL",N58="EAL",O58="EAL",P58="EAL"),"EAL",IF(M58='Writing Logic'!$A$10,AVERAGE(VLOOKUP(N58,'Writing Logic'!$A$3:$B$7,2,FALSE),VLOOKUP(O58,'Writing Logic'!$A$3:$B$7,2,FALSE),VLOOKUP(P58,'Writing Logic'!$A$3:$B$7,2,FALSE)),AVERAGE(VLOOKUP(M58,'Writing Logic'!$A$3:$B$7,2,FALSE),VLOOKUP(N58,'Writing Logic'!$A$3:$B$7,2,FALSE),VLOOKUP(O58,'Writing Logic'!$A$3:$B$7,2,FALSE),VLOOKUP(P58,'Writing Logic'!$A$3:$B$7,2,FALSE))))),"Fill All 4")</f>
        <v>Fill All 4</v>
      </c>
      <c r="R58" s="120"/>
      <c r="S58" s="120"/>
      <c r="T58" s="120"/>
      <c r="U58" s="120"/>
      <c r="V58" s="95" t="str">
        <f>IFERROR(IF(YES_Writing_ELA[[#This Row],[Literacy IPP]]='Writing Logic'!$E$26,"IPP",IF(OR(R58="EAL",S58="EAL",T58="EAL",U58="EAL"),"EAL",IF(R58='Writing Logic'!$A$10,AVERAGE(VLOOKUP(S58,'Writing Logic'!$A$3:$B$7,2,FALSE),VLOOKUP(T58,'Writing Logic'!$A$3:$B$7,2,FALSE),VLOOKUP(U58,'Writing Logic'!$A$3:$B$7,2,FALSE)),AVERAGE(VLOOKUP(R58,'Writing Logic'!$A$3:$B$7,2,FALSE),VLOOKUP(S58,'Writing Logic'!$A$3:$B$7,2,FALSE),VLOOKUP(T58,'Writing Logic'!$A$3:$B$7,2,FALSE),VLOOKUP(U58,'Writing Logic'!$A$3:$B$7,2,FALSE))))),"Fill All 4")</f>
        <v>Fill All 4</v>
      </c>
      <c r="W58" s="96" t="str">
        <f>IFERROR(V58-$Q58,"")</f>
        <v/>
      </c>
      <c r="X58" s="120"/>
      <c r="Y58" s="120"/>
      <c r="Z58" s="120"/>
      <c r="AA58" s="120"/>
      <c r="AB58" s="95" t="str">
        <f>IFERROR(IF(YES_Writing_ELA[[#This Row],[Literacy IPP]]='Writing Logic'!$E$26,"IPP",IF(OR(X58="EAL",Y58="EAL",Z58="EAL",AA58="EAL"),"EAL",IF(X58='Writing Logic'!$A$10,AVERAGE(VLOOKUP(Y58,'Writing Logic'!$A$3:$B$7,2,FALSE),VLOOKUP(Z58,'Writing Logic'!$A$3:$B$7,2,FALSE),VLOOKUP(AA58,'Writing Logic'!$A$3:$B$7,2,FALSE)),AVERAGE(VLOOKUP(X58,'Writing Logic'!$A$3:$B$7,2,FALSE),VLOOKUP(Y58,'Writing Logic'!$A$3:$B$7,2,FALSE),VLOOKUP(Z58,'Writing Logic'!$A$3:$B$7,2,FALSE),VLOOKUP(AA58,'Writing Logic'!$A$3:$B$7,2,FALSE))))),"Fill All 4")</f>
        <v>Fill All 4</v>
      </c>
      <c r="AC58" s="96" t="str">
        <f>IFERROR(AB58-$Q58,"")</f>
        <v/>
      </c>
      <c r="AD58" s="120"/>
      <c r="AE58" s="120"/>
      <c r="AF58" s="120"/>
      <c r="AG58" s="120"/>
      <c r="AH58" s="95" t="str">
        <f>IFERROR(IF(YES_Writing_ELA[[#This Row],[Literacy IPP]]='Writing Logic'!$E$26,"IPP",IF(OR(AD58="EAL",AE58="EAL",AF58="EAL",AG58="EAL"),"EAL",IF(AD58='Writing Logic'!$A$10,AVERAGE(VLOOKUP(AE58,'Writing Logic'!$A$3:$B$7,2,FALSE),VLOOKUP(AF58,'Writing Logic'!$A$3:$B$7,2,FALSE),VLOOKUP(AG58,'Writing Logic'!$A$3:$B$7,2,FALSE)),AVERAGE(VLOOKUP(AD58,'Writing Logic'!$A$3:$B$7,2,FALSE),VLOOKUP(AE58,'Writing Logic'!$A$3:$B$7,2,FALSE),VLOOKUP(AF58,'Writing Logic'!$A$3:$B$7,2,FALSE),VLOOKUP(AG58,'Writing Logic'!$A$3:$B$7,2,FALSE))))),"Fill All 4")</f>
        <v>Fill All 4</v>
      </c>
      <c r="AI58" s="96" t="str">
        <f>IFERROR(AH58-$Q58,"")</f>
        <v/>
      </c>
      <c r="AJ58" s="183"/>
      <c r="AK58" s="120"/>
      <c r="AL58" s="120"/>
      <c r="AM58" s="120"/>
      <c r="AN58" s="95" t="str">
        <f>IFERROR(IF(YES_Writing_ELA[[#This Row],[Literacy IPP]]='Writing Logic'!$E$26,"IPP",IF(OR(AJ58="EAL",AK58="EAL",AL58="EAL",AM58="EAL"),"EAL",IF(AJ58='Writing Logic'!$A$10,AVERAGE(VLOOKUP(AK58,'Writing Logic'!$A$3:$B$7,2,FALSE),VLOOKUP(AL58,'Writing Logic'!$A$3:$B$7,2,FALSE),VLOOKUP(AM58,'Writing Logic'!$A$3:$B$7,2,FALSE)),AVERAGE(VLOOKUP(AJ58,'Writing Logic'!$A$3:$B$7,2,FALSE),VLOOKUP(AK58,'Writing Logic'!$A$3:$B$7,2,FALSE),VLOOKUP(AL58,'Writing Logic'!$A$3:$B$7,2,FALSE),VLOOKUP(AM58,'Writing Logic'!$A$3:$B$7,2,FALSE))))),"Fill All 4")</f>
        <v>Fill All 4</v>
      </c>
      <c r="AO58" s="96" t="str">
        <f>IFERROR(AN58-$Q58,"")</f>
        <v/>
      </c>
      <c r="AP58" s="120"/>
      <c r="AQ58" s="120"/>
      <c r="AR58" s="120"/>
      <c r="AS58" s="120"/>
      <c r="AT58" s="95" t="str">
        <f>IFERROR(IF(YES_Writing_ELA[[#This Row],[Literacy IPP]]='Writing Logic'!$E$26,"IPP",IF(OR(AP58="EAL",AQ58="EAL",AR58="EAL",AS58="EAL"),"EAL",IF(AP58='Writing Logic'!$A$10,AVERAGE(VLOOKUP(AQ58,'Writing Logic'!$A$3:$B$7,2,FALSE),VLOOKUP(AR58,'Writing Logic'!$A$3:$B$7,2,FALSE),VLOOKUP(AS58,'Writing Logic'!$A$3:$B$7,2,FALSE)),AVERAGE(VLOOKUP(AP58,'Writing Logic'!$A$3:$B$7,2,FALSE),VLOOKUP(AQ58,'Writing Logic'!$A$3:$B$7,2,FALSE),VLOOKUP(AR58,'Writing Logic'!$A$3:$B$7,2,FALSE),VLOOKUP(AS58,'Writing Logic'!$A$3:$B$7,2,FALSE))))),"Fill All 4")</f>
        <v>Fill All 4</v>
      </c>
      <c r="AU58" s="96" t="str">
        <f>IFERROR(AT58-$Q58,"")</f>
        <v/>
      </c>
    </row>
    <row r="59" spans="1:47" x14ac:dyDescent="0.25">
      <c r="A59" s="245"/>
      <c r="B59" s="236"/>
      <c r="C59" s="13"/>
      <c r="D59" s="236"/>
      <c r="E59" s="49"/>
      <c r="F59" s="49"/>
      <c r="G59" s="49"/>
      <c r="H59" s="49"/>
      <c r="I59" s="49"/>
      <c r="J59" s="49"/>
      <c r="K59" s="183"/>
      <c r="L59" s="184"/>
      <c r="M59" s="120"/>
      <c r="N59" s="120"/>
      <c r="O59" s="120"/>
      <c r="P59" s="120"/>
      <c r="Q59" s="95" t="str">
        <f>IFERROR(IF(YES_Writing_ELA[[#This Row],[Literacy IPP]]='Writing Logic'!$E$26,"IPP",IF(OR(M59="EAL",N59="EAL",O59="EAL",P59="EAL"),"EAL",IF(M59='Writing Logic'!$A$10,AVERAGE(VLOOKUP(N59,'Writing Logic'!$A$3:$B$7,2,FALSE),VLOOKUP(O59,'Writing Logic'!$A$3:$B$7,2,FALSE),VLOOKUP(P59,'Writing Logic'!$A$3:$B$7,2,FALSE)),AVERAGE(VLOOKUP(M59,'Writing Logic'!$A$3:$B$7,2,FALSE),VLOOKUP(N59,'Writing Logic'!$A$3:$B$7,2,FALSE),VLOOKUP(O59,'Writing Logic'!$A$3:$B$7,2,FALSE),VLOOKUP(P59,'Writing Logic'!$A$3:$B$7,2,FALSE))))),"Fill All 4")</f>
        <v>Fill All 4</v>
      </c>
      <c r="R59" s="120"/>
      <c r="S59" s="120"/>
      <c r="T59" s="120"/>
      <c r="U59" s="120"/>
      <c r="V59" s="95" t="str">
        <f>IFERROR(IF(YES_Writing_ELA[[#This Row],[Literacy IPP]]='Writing Logic'!$E$26,"IPP",IF(OR(R59="EAL",S59="EAL",T59="EAL",U59="EAL"),"EAL",IF(R59='Writing Logic'!$A$10,AVERAGE(VLOOKUP(S59,'Writing Logic'!$A$3:$B$7,2,FALSE),VLOOKUP(T59,'Writing Logic'!$A$3:$B$7,2,FALSE),VLOOKUP(U59,'Writing Logic'!$A$3:$B$7,2,FALSE)),AVERAGE(VLOOKUP(R59,'Writing Logic'!$A$3:$B$7,2,FALSE),VLOOKUP(S59,'Writing Logic'!$A$3:$B$7,2,FALSE),VLOOKUP(T59,'Writing Logic'!$A$3:$B$7,2,FALSE),VLOOKUP(U59,'Writing Logic'!$A$3:$B$7,2,FALSE))))),"Fill All 4")</f>
        <v>Fill All 4</v>
      </c>
      <c r="W59" s="95" t="str">
        <f t="shared" si="0"/>
        <v/>
      </c>
      <c r="X59" s="120"/>
      <c r="Y59" s="120"/>
      <c r="Z59" s="120"/>
      <c r="AA59" s="120"/>
      <c r="AB59" s="95" t="str">
        <f>IFERROR(IF(YES_Writing_ELA[[#This Row],[Literacy IPP]]='Writing Logic'!$E$26,"IPP",IF(OR(X59="EAL",Y59="EAL",Z59="EAL",AA59="EAL"),"EAL",IF(X59='Writing Logic'!$A$10,AVERAGE(VLOOKUP(Y59,'Writing Logic'!$A$3:$B$7,2,FALSE),VLOOKUP(Z59,'Writing Logic'!$A$3:$B$7,2,FALSE),VLOOKUP(AA59,'Writing Logic'!$A$3:$B$7,2,FALSE)),AVERAGE(VLOOKUP(X59,'Writing Logic'!$A$3:$B$7,2,FALSE),VLOOKUP(Y59,'Writing Logic'!$A$3:$B$7,2,FALSE),VLOOKUP(Z59,'Writing Logic'!$A$3:$B$7,2,FALSE),VLOOKUP(AA59,'Writing Logic'!$A$3:$B$7,2,FALSE))))),"Fill All 4")</f>
        <v>Fill All 4</v>
      </c>
      <c r="AC59" s="95" t="str">
        <f t="shared" si="1"/>
        <v/>
      </c>
      <c r="AD59" s="120"/>
      <c r="AE59" s="120"/>
      <c r="AF59" s="120"/>
      <c r="AG59" s="120"/>
      <c r="AH59" s="95" t="str">
        <f>IFERROR(IF(YES_Writing_ELA[[#This Row],[Literacy IPP]]='Writing Logic'!$E$26,"IPP",IF(OR(AD59="EAL",AE59="EAL",AF59="EAL",AG59="EAL"),"EAL",IF(AD59='Writing Logic'!$A$10,AVERAGE(VLOOKUP(AE59,'Writing Logic'!$A$3:$B$7,2,FALSE),VLOOKUP(AF59,'Writing Logic'!$A$3:$B$7,2,FALSE),VLOOKUP(AG59,'Writing Logic'!$A$3:$B$7,2,FALSE)),AVERAGE(VLOOKUP(AD59,'Writing Logic'!$A$3:$B$7,2,FALSE),VLOOKUP(AE59,'Writing Logic'!$A$3:$B$7,2,FALSE),VLOOKUP(AF59,'Writing Logic'!$A$3:$B$7,2,FALSE),VLOOKUP(AG59,'Writing Logic'!$A$3:$B$7,2,FALSE))))),"Fill All 4")</f>
        <v>Fill All 4</v>
      </c>
      <c r="AI59" s="95" t="str">
        <f t="shared" si="2"/>
        <v/>
      </c>
      <c r="AJ59" s="183"/>
      <c r="AK59" s="120"/>
      <c r="AL59" s="120"/>
      <c r="AM59" s="120"/>
      <c r="AN59" s="95" t="str">
        <f>IFERROR(IF(YES_Writing_ELA[[#This Row],[Literacy IPP]]='Writing Logic'!$E$26,"IPP",IF(OR(AJ59="EAL",AK59="EAL",AL59="EAL",AM59="EAL"),"EAL",IF(AJ59='Writing Logic'!$A$10,AVERAGE(VLOOKUP(AK59,'Writing Logic'!$A$3:$B$7,2,FALSE),VLOOKUP(AL59,'Writing Logic'!$A$3:$B$7,2,FALSE),VLOOKUP(AM59,'Writing Logic'!$A$3:$B$7,2,FALSE)),AVERAGE(VLOOKUP(AJ59,'Writing Logic'!$A$3:$B$7,2,FALSE),VLOOKUP(AK59,'Writing Logic'!$A$3:$B$7,2,FALSE),VLOOKUP(AL59,'Writing Logic'!$A$3:$B$7,2,FALSE),VLOOKUP(AM59,'Writing Logic'!$A$3:$B$7,2,FALSE))))),"Fill All 4")</f>
        <v>Fill All 4</v>
      </c>
      <c r="AO59" s="95" t="str">
        <f t="shared" si="3"/>
        <v/>
      </c>
      <c r="AP59" s="120"/>
      <c r="AQ59" s="120"/>
      <c r="AR59" s="120"/>
      <c r="AS59" s="120"/>
      <c r="AT59" s="95" t="str">
        <f>IFERROR(IF(YES_Writing_ELA[[#This Row],[Literacy IPP]]='Writing Logic'!$E$26,"IPP",IF(OR(AP59="EAL",AQ59="EAL",AR59="EAL",AS59="EAL"),"EAL",IF(AP59='Writing Logic'!$A$10,AVERAGE(VLOOKUP(AQ59,'Writing Logic'!$A$3:$B$7,2,FALSE),VLOOKUP(AR59,'Writing Logic'!$A$3:$B$7,2,FALSE),VLOOKUP(AS59,'Writing Logic'!$A$3:$B$7,2,FALSE)),AVERAGE(VLOOKUP(AP59,'Writing Logic'!$A$3:$B$7,2,FALSE),VLOOKUP(AQ59,'Writing Logic'!$A$3:$B$7,2,FALSE),VLOOKUP(AR59,'Writing Logic'!$A$3:$B$7,2,FALSE),VLOOKUP(AS59,'Writing Logic'!$A$3:$B$7,2,FALSE))))),"Fill All 4")</f>
        <v>Fill All 4</v>
      </c>
      <c r="AU59" s="95" t="str">
        <f t="shared" si="4"/>
        <v/>
      </c>
    </row>
    <row r="60" spans="1:47" x14ac:dyDescent="0.25">
      <c r="A60" s="245"/>
      <c r="B60" s="236"/>
      <c r="C60" s="13"/>
      <c r="D60" s="236"/>
      <c r="E60" s="237"/>
      <c r="F60" s="49"/>
      <c r="G60" s="49"/>
      <c r="H60" s="49"/>
      <c r="I60" s="49"/>
      <c r="J60" s="49"/>
      <c r="K60" s="183"/>
      <c r="L60" s="184"/>
      <c r="M60" s="120"/>
      <c r="N60" s="120"/>
      <c r="O60" s="120"/>
      <c r="P60" s="120"/>
      <c r="Q60" s="95" t="str">
        <f>IFERROR(IF(YES_Writing_ELA[[#This Row],[Literacy IPP]]='Writing Logic'!$E$26,"IPP",IF(OR(M60="EAL",N60="EAL",O60="EAL",P60="EAL"),"EAL",IF(M60='Writing Logic'!$A$10,AVERAGE(VLOOKUP(N60,'Writing Logic'!$A$3:$B$7,2,FALSE),VLOOKUP(O60,'Writing Logic'!$A$3:$B$7,2,FALSE),VLOOKUP(P60,'Writing Logic'!$A$3:$B$7,2,FALSE)),AVERAGE(VLOOKUP(M60,'Writing Logic'!$A$3:$B$7,2,FALSE),VLOOKUP(N60,'Writing Logic'!$A$3:$B$7,2,FALSE),VLOOKUP(O60,'Writing Logic'!$A$3:$B$7,2,FALSE),VLOOKUP(P60,'Writing Logic'!$A$3:$B$7,2,FALSE))))),"Fill All 4")</f>
        <v>Fill All 4</v>
      </c>
      <c r="R60" s="120"/>
      <c r="S60" s="120"/>
      <c r="T60" s="120"/>
      <c r="U60" s="120"/>
      <c r="V60" s="95" t="str">
        <f>IFERROR(IF(YES_Writing_ELA[[#This Row],[Literacy IPP]]='Writing Logic'!$E$26,"IPP",IF(OR(R60="EAL",S60="EAL",T60="EAL",U60="EAL"),"EAL",IF(R60='Writing Logic'!$A$10,AVERAGE(VLOOKUP(S60,'Writing Logic'!$A$3:$B$7,2,FALSE),VLOOKUP(T60,'Writing Logic'!$A$3:$B$7,2,FALSE),VLOOKUP(U60,'Writing Logic'!$A$3:$B$7,2,FALSE)),AVERAGE(VLOOKUP(R60,'Writing Logic'!$A$3:$B$7,2,FALSE),VLOOKUP(S60,'Writing Logic'!$A$3:$B$7,2,FALSE),VLOOKUP(T60,'Writing Logic'!$A$3:$B$7,2,FALSE),VLOOKUP(U60,'Writing Logic'!$A$3:$B$7,2,FALSE))))),"Fill All 4")</f>
        <v>Fill All 4</v>
      </c>
      <c r="W60" s="95" t="str">
        <f t="shared" si="0"/>
        <v/>
      </c>
      <c r="X60" s="120"/>
      <c r="Y60" s="120"/>
      <c r="Z60" s="120"/>
      <c r="AA60" s="120"/>
      <c r="AB60" s="95" t="str">
        <f>IFERROR(IF(YES_Writing_ELA[[#This Row],[Literacy IPP]]='Writing Logic'!$E$26,"IPP",IF(OR(X60="EAL",Y60="EAL",Z60="EAL",AA60="EAL"),"EAL",IF(X60='Writing Logic'!$A$10,AVERAGE(VLOOKUP(Y60,'Writing Logic'!$A$3:$B$7,2,FALSE),VLOOKUP(Z60,'Writing Logic'!$A$3:$B$7,2,FALSE),VLOOKUP(AA60,'Writing Logic'!$A$3:$B$7,2,FALSE)),AVERAGE(VLOOKUP(X60,'Writing Logic'!$A$3:$B$7,2,FALSE),VLOOKUP(Y60,'Writing Logic'!$A$3:$B$7,2,FALSE),VLOOKUP(Z60,'Writing Logic'!$A$3:$B$7,2,FALSE),VLOOKUP(AA60,'Writing Logic'!$A$3:$B$7,2,FALSE))))),"Fill All 4")</f>
        <v>Fill All 4</v>
      </c>
      <c r="AC60" s="95" t="str">
        <f t="shared" si="1"/>
        <v/>
      </c>
      <c r="AD60" s="120"/>
      <c r="AE60" s="120"/>
      <c r="AF60" s="120"/>
      <c r="AG60" s="120"/>
      <c r="AH60" s="95" t="str">
        <f>IFERROR(IF(YES_Writing_ELA[[#This Row],[Literacy IPP]]='Writing Logic'!$E$26,"IPP",IF(OR(AD60="EAL",AE60="EAL",AF60="EAL",AG60="EAL"),"EAL",IF(AD60='Writing Logic'!$A$10,AVERAGE(VLOOKUP(AE60,'Writing Logic'!$A$3:$B$7,2,FALSE),VLOOKUP(AF60,'Writing Logic'!$A$3:$B$7,2,FALSE),VLOOKUP(AG60,'Writing Logic'!$A$3:$B$7,2,FALSE)),AVERAGE(VLOOKUP(AD60,'Writing Logic'!$A$3:$B$7,2,FALSE),VLOOKUP(AE60,'Writing Logic'!$A$3:$B$7,2,FALSE),VLOOKUP(AF60,'Writing Logic'!$A$3:$B$7,2,FALSE),VLOOKUP(AG60,'Writing Logic'!$A$3:$B$7,2,FALSE))))),"Fill All 4")</f>
        <v>Fill All 4</v>
      </c>
      <c r="AI60" s="95" t="str">
        <f t="shared" si="2"/>
        <v/>
      </c>
      <c r="AJ60" s="183"/>
      <c r="AK60" s="120"/>
      <c r="AL60" s="120"/>
      <c r="AM60" s="120"/>
      <c r="AN60" s="95" t="str">
        <f>IFERROR(IF(YES_Writing_ELA[[#This Row],[Literacy IPP]]='Writing Logic'!$E$26,"IPP",IF(OR(AJ60="EAL",AK60="EAL",AL60="EAL",AM60="EAL"),"EAL",IF(AJ60='Writing Logic'!$A$10,AVERAGE(VLOOKUP(AK60,'Writing Logic'!$A$3:$B$7,2,FALSE),VLOOKUP(AL60,'Writing Logic'!$A$3:$B$7,2,FALSE),VLOOKUP(AM60,'Writing Logic'!$A$3:$B$7,2,FALSE)),AVERAGE(VLOOKUP(AJ60,'Writing Logic'!$A$3:$B$7,2,FALSE),VLOOKUP(AK60,'Writing Logic'!$A$3:$B$7,2,FALSE),VLOOKUP(AL60,'Writing Logic'!$A$3:$B$7,2,FALSE),VLOOKUP(AM60,'Writing Logic'!$A$3:$B$7,2,FALSE))))),"Fill All 4")</f>
        <v>Fill All 4</v>
      </c>
      <c r="AO60" s="95" t="str">
        <f t="shared" si="3"/>
        <v/>
      </c>
      <c r="AP60" s="120"/>
      <c r="AQ60" s="120"/>
      <c r="AR60" s="120"/>
      <c r="AS60" s="120"/>
      <c r="AT60" s="95" t="str">
        <f>IFERROR(IF(YES_Writing_ELA[[#This Row],[Literacy IPP]]='Writing Logic'!$E$26,"IPP",IF(OR(AP60="EAL",AQ60="EAL",AR60="EAL",AS60="EAL"),"EAL",IF(AP60='Writing Logic'!$A$10,AVERAGE(VLOOKUP(AQ60,'Writing Logic'!$A$3:$B$7,2,FALSE),VLOOKUP(AR60,'Writing Logic'!$A$3:$B$7,2,FALSE),VLOOKUP(AS60,'Writing Logic'!$A$3:$B$7,2,FALSE)),AVERAGE(VLOOKUP(AP60,'Writing Logic'!$A$3:$B$7,2,FALSE),VLOOKUP(AQ60,'Writing Logic'!$A$3:$B$7,2,FALSE),VLOOKUP(AR60,'Writing Logic'!$A$3:$B$7,2,FALSE),VLOOKUP(AS60,'Writing Logic'!$A$3:$B$7,2,FALSE))))),"Fill All 4")</f>
        <v>Fill All 4</v>
      </c>
      <c r="AU60" s="95" t="str">
        <f t="shared" si="4"/>
        <v/>
      </c>
    </row>
    <row r="61" spans="1:47" x14ac:dyDescent="0.25">
      <c r="A61" s="245"/>
      <c r="B61" s="236"/>
      <c r="C61" s="13"/>
      <c r="D61" s="236"/>
      <c r="E61" s="237"/>
      <c r="F61" s="49"/>
      <c r="G61" s="49"/>
      <c r="H61" s="49"/>
      <c r="I61" s="49"/>
      <c r="J61" s="49"/>
      <c r="K61" s="183"/>
      <c r="L61" s="184"/>
      <c r="M61" s="120"/>
      <c r="N61" s="120"/>
      <c r="O61" s="120"/>
      <c r="P61" s="120"/>
      <c r="Q61" s="95" t="str">
        <f>IFERROR(IF(YES_Writing_ELA[[#This Row],[Literacy IPP]]='Writing Logic'!$E$26,"IPP",IF(OR(M61="EAL",N61="EAL",O61="EAL",P61="EAL"),"EAL",IF(M61='Writing Logic'!$A$10,AVERAGE(VLOOKUP(N61,'Writing Logic'!$A$3:$B$7,2,FALSE),VLOOKUP(O61,'Writing Logic'!$A$3:$B$7,2,FALSE),VLOOKUP(P61,'Writing Logic'!$A$3:$B$7,2,FALSE)),AVERAGE(VLOOKUP(M61,'Writing Logic'!$A$3:$B$7,2,FALSE),VLOOKUP(N61,'Writing Logic'!$A$3:$B$7,2,FALSE),VLOOKUP(O61,'Writing Logic'!$A$3:$B$7,2,FALSE),VLOOKUP(P61,'Writing Logic'!$A$3:$B$7,2,FALSE))))),"Fill All 4")</f>
        <v>Fill All 4</v>
      </c>
      <c r="R61" s="120"/>
      <c r="S61" s="120"/>
      <c r="T61" s="120"/>
      <c r="U61" s="120"/>
      <c r="V61" s="95" t="str">
        <f>IFERROR(IF(YES_Writing_ELA[[#This Row],[Literacy IPP]]='Writing Logic'!$E$26,"IPP",IF(OR(R61="EAL",S61="EAL",T61="EAL",U61="EAL"),"EAL",IF(R61='Writing Logic'!$A$10,AVERAGE(VLOOKUP(S61,'Writing Logic'!$A$3:$B$7,2,FALSE),VLOOKUP(T61,'Writing Logic'!$A$3:$B$7,2,FALSE),VLOOKUP(U61,'Writing Logic'!$A$3:$B$7,2,FALSE)),AVERAGE(VLOOKUP(R61,'Writing Logic'!$A$3:$B$7,2,FALSE),VLOOKUP(S61,'Writing Logic'!$A$3:$B$7,2,FALSE),VLOOKUP(T61,'Writing Logic'!$A$3:$B$7,2,FALSE),VLOOKUP(U61,'Writing Logic'!$A$3:$B$7,2,FALSE))))),"Fill All 4")</f>
        <v>Fill All 4</v>
      </c>
      <c r="W61" s="95" t="str">
        <f t="shared" si="0"/>
        <v/>
      </c>
      <c r="X61" s="120"/>
      <c r="Y61" s="120"/>
      <c r="Z61" s="120"/>
      <c r="AA61" s="120"/>
      <c r="AB61" s="95" t="str">
        <f>IFERROR(IF(YES_Writing_ELA[[#This Row],[Literacy IPP]]='Writing Logic'!$E$26,"IPP",IF(OR(X61="EAL",Y61="EAL",Z61="EAL",AA61="EAL"),"EAL",IF(X61='Writing Logic'!$A$10,AVERAGE(VLOOKUP(Y61,'Writing Logic'!$A$3:$B$7,2,FALSE),VLOOKUP(Z61,'Writing Logic'!$A$3:$B$7,2,FALSE),VLOOKUP(AA61,'Writing Logic'!$A$3:$B$7,2,FALSE)),AVERAGE(VLOOKUP(X61,'Writing Logic'!$A$3:$B$7,2,FALSE),VLOOKUP(Y61,'Writing Logic'!$A$3:$B$7,2,FALSE),VLOOKUP(Z61,'Writing Logic'!$A$3:$B$7,2,FALSE),VLOOKUP(AA61,'Writing Logic'!$A$3:$B$7,2,FALSE))))),"Fill All 4")</f>
        <v>Fill All 4</v>
      </c>
      <c r="AC61" s="95" t="str">
        <f t="shared" si="1"/>
        <v/>
      </c>
      <c r="AD61" s="120"/>
      <c r="AE61" s="120"/>
      <c r="AF61" s="120"/>
      <c r="AG61" s="120"/>
      <c r="AH61" s="95" t="str">
        <f>IFERROR(IF(YES_Writing_ELA[[#This Row],[Literacy IPP]]='Writing Logic'!$E$26,"IPP",IF(OR(AD61="EAL",AE61="EAL",AF61="EAL",AG61="EAL"),"EAL",IF(AD61='Writing Logic'!$A$10,AVERAGE(VLOOKUP(AE61,'Writing Logic'!$A$3:$B$7,2,FALSE),VLOOKUP(AF61,'Writing Logic'!$A$3:$B$7,2,FALSE),VLOOKUP(AG61,'Writing Logic'!$A$3:$B$7,2,FALSE)),AVERAGE(VLOOKUP(AD61,'Writing Logic'!$A$3:$B$7,2,FALSE),VLOOKUP(AE61,'Writing Logic'!$A$3:$B$7,2,FALSE),VLOOKUP(AF61,'Writing Logic'!$A$3:$B$7,2,FALSE),VLOOKUP(AG61,'Writing Logic'!$A$3:$B$7,2,FALSE))))),"Fill All 4")</f>
        <v>Fill All 4</v>
      </c>
      <c r="AI61" s="95" t="str">
        <f t="shared" si="2"/>
        <v/>
      </c>
      <c r="AJ61" s="183"/>
      <c r="AK61" s="120"/>
      <c r="AL61" s="120"/>
      <c r="AM61" s="120"/>
      <c r="AN61" s="95" t="str">
        <f>IFERROR(IF(YES_Writing_ELA[[#This Row],[Literacy IPP]]='Writing Logic'!$E$26,"IPP",IF(OR(AJ61="EAL",AK61="EAL",AL61="EAL",AM61="EAL"),"EAL",IF(AJ61='Writing Logic'!$A$10,AVERAGE(VLOOKUP(AK61,'Writing Logic'!$A$3:$B$7,2,FALSE),VLOOKUP(AL61,'Writing Logic'!$A$3:$B$7,2,FALSE),VLOOKUP(AM61,'Writing Logic'!$A$3:$B$7,2,FALSE)),AVERAGE(VLOOKUP(AJ61,'Writing Logic'!$A$3:$B$7,2,FALSE),VLOOKUP(AK61,'Writing Logic'!$A$3:$B$7,2,FALSE),VLOOKUP(AL61,'Writing Logic'!$A$3:$B$7,2,FALSE),VLOOKUP(AM61,'Writing Logic'!$A$3:$B$7,2,FALSE))))),"Fill All 4")</f>
        <v>Fill All 4</v>
      </c>
      <c r="AO61" s="95" t="str">
        <f t="shared" si="3"/>
        <v/>
      </c>
      <c r="AP61" s="120"/>
      <c r="AQ61" s="120"/>
      <c r="AR61" s="120"/>
      <c r="AS61" s="120"/>
      <c r="AT61" s="95" t="str">
        <f>IFERROR(IF(YES_Writing_ELA[[#This Row],[Literacy IPP]]='Writing Logic'!$E$26,"IPP",IF(OR(AP61="EAL",AQ61="EAL",AR61="EAL",AS61="EAL"),"EAL",IF(AP61='Writing Logic'!$A$10,AVERAGE(VLOOKUP(AQ61,'Writing Logic'!$A$3:$B$7,2,FALSE),VLOOKUP(AR61,'Writing Logic'!$A$3:$B$7,2,FALSE),VLOOKUP(AS61,'Writing Logic'!$A$3:$B$7,2,FALSE)),AVERAGE(VLOOKUP(AP61,'Writing Logic'!$A$3:$B$7,2,FALSE),VLOOKUP(AQ61,'Writing Logic'!$A$3:$B$7,2,FALSE),VLOOKUP(AR61,'Writing Logic'!$A$3:$B$7,2,FALSE),VLOOKUP(AS61,'Writing Logic'!$A$3:$B$7,2,FALSE))))),"Fill All 4")</f>
        <v>Fill All 4</v>
      </c>
      <c r="AU61" s="95" t="str">
        <f t="shared" si="4"/>
        <v/>
      </c>
    </row>
    <row r="62" spans="1:47" x14ac:dyDescent="0.25">
      <c r="A62" s="245"/>
      <c r="B62" s="236"/>
      <c r="C62" s="13"/>
      <c r="D62" s="236"/>
      <c r="E62" s="237"/>
      <c r="F62" s="49"/>
      <c r="G62" s="49"/>
      <c r="H62" s="49"/>
      <c r="I62" s="49"/>
      <c r="J62" s="49"/>
      <c r="K62" s="183"/>
      <c r="L62" s="184"/>
      <c r="M62" s="120"/>
      <c r="N62" s="120"/>
      <c r="O62" s="120"/>
      <c r="P62" s="120"/>
      <c r="Q62" s="95" t="str">
        <f>IFERROR(IF(YES_Writing_ELA[[#This Row],[Literacy IPP]]='Writing Logic'!$E$26,"IPP",IF(OR(M62="EAL",N62="EAL",O62="EAL",P62="EAL"),"EAL",IF(M62='Writing Logic'!$A$10,AVERAGE(VLOOKUP(N62,'Writing Logic'!$A$3:$B$7,2,FALSE),VLOOKUP(O62,'Writing Logic'!$A$3:$B$7,2,FALSE),VLOOKUP(P62,'Writing Logic'!$A$3:$B$7,2,FALSE)),AVERAGE(VLOOKUP(M62,'Writing Logic'!$A$3:$B$7,2,FALSE),VLOOKUP(N62,'Writing Logic'!$A$3:$B$7,2,FALSE),VLOOKUP(O62,'Writing Logic'!$A$3:$B$7,2,FALSE),VLOOKUP(P62,'Writing Logic'!$A$3:$B$7,2,FALSE))))),"Fill All 4")</f>
        <v>Fill All 4</v>
      </c>
      <c r="R62" s="120"/>
      <c r="S62" s="120"/>
      <c r="T62" s="120"/>
      <c r="U62" s="120"/>
      <c r="V62" s="95" t="str">
        <f>IFERROR(IF(YES_Writing_ELA[[#This Row],[Literacy IPP]]='Writing Logic'!$E$26,"IPP",IF(OR(R62="EAL",S62="EAL",T62="EAL",U62="EAL"),"EAL",IF(R62='Writing Logic'!$A$10,AVERAGE(VLOOKUP(S62,'Writing Logic'!$A$3:$B$7,2,FALSE),VLOOKUP(T62,'Writing Logic'!$A$3:$B$7,2,FALSE),VLOOKUP(U62,'Writing Logic'!$A$3:$B$7,2,FALSE)),AVERAGE(VLOOKUP(R62,'Writing Logic'!$A$3:$B$7,2,FALSE),VLOOKUP(S62,'Writing Logic'!$A$3:$B$7,2,FALSE),VLOOKUP(T62,'Writing Logic'!$A$3:$B$7,2,FALSE),VLOOKUP(U62,'Writing Logic'!$A$3:$B$7,2,FALSE))))),"Fill All 4")</f>
        <v>Fill All 4</v>
      </c>
      <c r="W62" s="95" t="str">
        <f t="shared" si="0"/>
        <v/>
      </c>
      <c r="X62" s="120"/>
      <c r="Y62" s="120"/>
      <c r="Z62" s="120"/>
      <c r="AA62" s="120"/>
      <c r="AB62" s="95" t="str">
        <f>IFERROR(IF(YES_Writing_ELA[[#This Row],[Literacy IPP]]='Writing Logic'!$E$26,"IPP",IF(OR(X62="EAL",Y62="EAL",Z62="EAL",AA62="EAL"),"EAL",IF(X62='Writing Logic'!$A$10,AVERAGE(VLOOKUP(Y62,'Writing Logic'!$A$3:$B$7,2,FALSE),VLOOKUP(Z62,'Writing Logic'!$A$3:$B$7,2,FALSE),VLOOKUP(AA62,'Writing Logic'!$A$3:$B$7,2,FALSE)),AVERAGE(VLOOKUP(X62,'Writing Logic'!$A$3:$B$7,2,FALSE),VLOOKUP(Y62,'Writing Logic'!$A$3:$B$7,2,FALSE),VLOOKUP(Z62,'Writing Logic'!$A$3:$B$7,2,FALSE),VLOOKUP(AA62,'Writing Logic'!$A$3:$B$7,2,FALSE))))),"Fill All 4")</f>
        <v>Fill All 4</v>
      </c>
      <c r="AC62" s="95" t="str">
        <f t="shared" si="1"/>
        <v/>
      </c>
      <c r="AD62" s="120"/>
      <c r="AE62" s="120"/>
      <c r="AF62" s="120"/>
      <c r="AG62" s="120"/>
      <c r="AH62" s="95" t="str">
        <f>IFERROR(IF(YES_Writing_ELA[[#This Row],[Literacy IPP]]='Writing Logic'!$E$26,"IPP",IF(OR(AD62="EAL",AE62="EAL",AF62="EAL",AG62="EAL"),"EAL",IF(AD62='Writing Logic'!$A$10,AVERAGE(VLOOKUP(AE62,'Writing Logic'!$A$3:$B$7,2,FALSE),VLOOKUP(AF62,'Writing Logic'!$A$3:$B$7,2,FALSE),VLOOKUP(AG62,'Writing Logic'!$A$3:$B$7,2,FALSE)),AVERAGE(VLOOKUP(AD62,'Writing Logic'!$A$3:$B$7,2,FALSE),VLOOKUP(AE62,'Writing Logic'!$A$3:$B$7,2,FALSE),VLOOKUP(AF62,'Writing Logic'!$A$3:$B$7,2,FALSE),VLOOKUP(AG62,'Writing Logic'!$A$3:$B$7,2,FALSE))))),"Fill All 4")</f>
        <v>Fill All 4</v>
      </c>
      <c r="AI62" s="95" t="str">
        <f t="shared" si="2"/>
        <v/>
      </c>
      <c r="AJ62" s="183"/>
      <c r="AK62" s="120"/>
      <c r="AL62" s="120"/>
      <c r="AM62" s="120"/>
      <c r="AN62" s="95" t="str">
        <f>IFERROR(IF(YES_Writing_ELA[[#This Row],[Literacy IPP]]='Writing Logic'!$E$26,"IPP",IF(OR(AJ62="EAL",AK62="EAL",AL62="EAL",AM62="EAL"),"EAL",IF(AJ62='Writing Logic'!$A$10,AVERAGE(VLOOKUP(AK62,'Writing Logic'!$A$3:$B$7,2,FALSE),VLOOKUP(AL62,'Writing Logic'!$A$3:$B$7,2,FALSE),VLOOKUP(AM62,'Writing Logic'!$A$3:$B$7,2,FALSE)),AVERAGE(VLOOKUP(AJ62,'Writing Logic'!$A$3:$B$7,2,FALSE),VLOOKUP(AK62,'Writing Logic'!$A$3:$B$7,2,FALSE),VLOOKUP(AL62,'Writing Logic'!$A$3:$B$7,2,FALSE),VLOOKUP(AM62,'Writing Logic'!$A$3:$B$7,2,FALSE))))),"Fill All 4")</f>
        <v>Fill All 4</v>
      </c>
      <c r="AO62" s="95" t="str">
        <f t="shared" si="3"/>
        <v/>
      </c>
      <c r="AP62" s="120"/>
      <c r="AQ62" s="120"/>
      <c r="AR62" s="120"/>
      <c r="AS62" s="120"/>
      <c r="AT62" s="95" t="str">
        <f>IFERROR(IF(YES_Writing_ELA[[#This Row],[Literacy IPP]]='Writing Logic'!$E$26,"IPP",IF(OR(AP62="EAL",AQ62="EAL",AR62="EAL",AS62="EAL"),"EAL",IF(AP62='Writing Logic'!$A$10,AVERAGE(VLOOKUP(AQ62,'Writing Logic'!$A$3:$B$7,2,FALSE),VLOOKUP(AR62,'Writing Logic'!$A$3:$B$7,2,FALSE),VLOOKUP(AS62,'Writing Logic'!$A$3:$B$7,2,FALSE)),AVERAGE(VLOOKUP(AP62,'Writing Logic'!$A$3:$B$7,2,FALSE),VLOOKUP(AQ62,'Writing Logic'!$A$3:$B$7,2,FALSE),VLOOKUP(AR62,'Writing Logic'!$A$3:$B$7,2,FALSE),VLOOKUP(AS62,'Writing Logic'!$A$3:$B$7,2,FALSE))))),"Fill All 4")</f>
        <v>Fill All 4</v>
      </c>
      <c r="AU62" s="95" t="str">
        <f t="shared" si="4"/>
        <v/>
      </c>
    </row>
    <row r="63" spans="1:47" x14ac:dyDescent="0.25">
      <c r="A63" s="245"/>
      <c r="B63" s="236"/>
      <c r="C63" s="13"/>
      <c r="D63" s="236"/>
      <c r="E63" s="237"/>
      <c r="F63" s="49"/>
      <c r="G63" s="49"/>
      <c r="H63" s="49"/>
      <c r="I63" s="49"/>
      <c r="J63" s="49"/>
      <c r="K63" s="183"/>
      <c r="L63" s="184"/>
      <c r="M63" s="120"/>
      <c r="N63" s="120"/>
      <c r="O63" s="120"/>
      <c r="P63" s="120"/>
      <c r="Q63" s="95" t="str">
        <f>IFERROR(IF(YES_Writing_ELA[[#This Row],[Literacy IPP]]='Writing Logic'!$E$26,"IPP",IF(OR(M63="EAL",N63="EAL",O63="EAL",P63="EAL"),"EAL",IF(M63='Writing Logic'!$A$10,AVERAGE(VLOOKUP(N63,'Writing Logic'!$A$3:$B$7,2,FALSE),VLOOKUP(O63,'Writing Logic'!$A$3:$B$7,2,FALSE),VLOOKUP(P63,'Writing Logic'!$A$3:$B$7,2,FALSE)),AVERAGE(VLOOKUP(M63,'Writing Logic'!$A$3:$B$7,2,FALSE),VLOOKUP(N63,'Writing Logic'!$A$3:$B$7,2,FALSE),VLOOKUP(O63,'Writing Logic'!$A$3:$B$7,2,FALSE),VLOOKUP(P63,'Writing Logic'!$A$3:$B$7,2,FALSE))))),"Fill All 4")</f>
        <v>Fill All 4</v>
      </c>
      <c r="R63" s="120"/>
      <c r="S63" s="120"/>
      <c r="T63" s="120"/>
      <c r="U63" s="120"/>
      <c r="V63" s="95" t="str">
        <f>IFERROR(IF(YES_Writing_ELA[[#This Row],[Literacy IPP]]='Writing Logic'!$E$26,"IPP",IF(OR(R63="EAL",S63="EAL",T63="EAL",U63="EAL"),"EAL",IF(R63='Writing Logic'!$A$10,AVERAGE(VLOOKUP(S63,'Writing Logic'!$A$3:$B$7,2,FALSE),VLOOKUP(T63,'Writing Logic'!$A$3:$B$7,2,FALSE),VLOOKUP(U63,'Writing Logic'!$A$3:$B$7,2,FALSE)),AVERAGE(VLOOKUP(R63,'Writing Logic'!$A$3:$B$7,2,FALSE),VLOOKUP(S63,'Writing Logic'!$A$3:$B$7,2,FALSE),VLOOKUP(T63,'Writing Logic'!$A$3:$B$7,2,FALSE),VLOOKUP(U63,'Writing Logic'!$A$3:$B$7,2,FALSE))))),"Fill All 4")</f>
        <v>Fill All 4</v>
      </c>
      <c r="W63" s="95" t="str">
        <f t="shared" si="0"/>
        <v/>
      </c>
      <c r="X63" s="120"/>
      <c r="Y63" s="120"/>
      <c r="Z63" s="120"/>
      <c r="AA63" s="120"/>
      <c r="AB63" s="95" t="str">
        <f>IFERROR(IF(YES_Writing_ELA[[#This Row],[Literacy IPP]]='Writing Logic'!$E$26,"IPP",IF(OR(X63="EAL",Y63="EAL",Z63="EAL",AA63="EAL"),"EAL",IF(X63='Writing Logic'!$A$10,AVERAGE(VLOOKUP(Y63,'Writing Logic'!$A$3:$B$7,2,FALSE),VLOOKUP(Z63,'Writing Logic'!$A$3:$B$7,2,FALSE),VLOOKUP(AA63,'Writing Logic'!$A$3:$B$7,2,FALSE)),AVERAGE(VLOOKUP(X63,'Writing Logic'!$A$3:$B$7,2,FALSE),VLOOKUP(Y63,'Writing Logic'!$A$3:$B$7,2,FALSE),VLOOKUP(Z63,'Writing Logic'!$A$3:$B$7,2,FALSE),VLOOKUP(AA63,'Writing Logic'!$A$3:$B$7,2,FALSE))))),"Fill All 4")</f>
        <v>Fill All 4</v>
      </c>
      <c r="AC63" s="95" t="str">
        <f t="shared" si="1"/>
        <v/>
      </c>
      <c r="AD63" s="120"/>
      <c r="AE63" s="120"/>
      <c r="AF63" s="120"/>
      <c r="AG63" s="120"/>
      <c r="AH63" s="95" t="str">
        <f>IFERROR(IF(YES_Writing_ELA[[#This Row],[Literacy IPP]]='Writing Logic'!$E$26,"IPP",IF(OR(AD63="EAL",AE63="EAL",AF63="EAL",AG63="EAL"),"EAL",IF(AD63='Writing Logic'!$A$10,AVERAGE(VLOOKUP(AE63,'Writing Logic'!$A$3:$B$7,2,FALSE),VLOOKUP(AF63,'Writing Logic'!$A$3:$B$7,2,FALSE),VLOOKUP(AG63,'Writing Logic'!$A$3:$B$7,2,FALSE)),AVERAGE(VLOOKUP(AD63,'Writing Logic'!$A$3:$B$7,2,FALSE),VLOOKUP(AE63,'Writing Logic'!$A$3:$B$7,2,FALSE),VLOOKUP(AF63,'Writing Logic'!$A$3:$B$7,2,FALSE),VLOOKUP(AG63,'Writing Logic'!$A$3:$B$7,2,FALSE))))),"Fill All 4")</f>
        <v>Fill All 4</v>
      </c>
      <c r="AI63" s="95" t="str">
        <f t="shared" si="2"/>
        <v/>
      </c>
      <c r="AJ63" s="183"/>
      <c r="AK63" s="120"/>
      <c r="AL63" s="120"/>
      <c r="AM63" s="120"/>
      <c r="AN63" s="95" t="str">
        <f>IFERROR(IF(YES_Writing_ELA[[#This Row],[Literacy IPP]]='Writing Logic'!$E$26,"IPP",IF(OR(AJ63="EAL",AK63="EAL",AL63="EAL",AM63="EAL"),"EAL",IF(AJ63='Writing Logic'!$A$10,AVERAGE(VLOOKUP(AK63,'Writing Logic'!$A$3:$B$7,2,FALSE),VLOOKUP(AL63,'Writing Logic'!$A$3:$B$7,2,FALSE),VLOOKUP(AM63,'Writing Logic'!$A$3:$B$7,2,FALSE)),AVERAGE(VLOOKUP(AJ63,'Writing Logic'!$A$3:$B$7,2,FALSE),VLOOKUP(AK63,'Writing Logic'!$A$3:$B$7,2,FALSE),VLOOKUP(AL63,'Writing Logic'!$A$3:$B$7,2,FALSE),VLOOKUP(AM63,'Writing Logic'!$A$3:$B$7,2,FALSE))))),"Fill All 4")</f>
        <v>Fill All 4</v>
      </c>
      <c r="AO63" s="95" t="str">
        <f t="shared" si="3"/>
        <v/>
      </c>
      <c r="AP63" s="120"/>
      <c r="AQ63" s="120"/>
      <c r="AR63" s="120"/>
      <c r="AS63" s="120"/>
      <c r="AT63" s="95" t="str">
        <f>IFERROR(IF(YES_Writing_ELA[[#This Row],[Literacy IPP]]='Writing Logic'!$E$26,"IPP",IF(OR(AP63="EAL",AQ63="EAL",AR63="EAL",AS63="EAL"),"EAL",IF(AP63='Writing Logic'!$A$10,AVERAGE(VLOOKUP(AQ63,'Writing Logic'!$A$3:$B$7,2,FALSE),VLOOKUP(AR63,'Writing Logic'!$A$3:$B$7,2,FALSE),VLOOKUP(AS63,'Writing Logic'!$A$3:$B$7,2,FALSE)),AVERAGE(VLOOKUP(AP63,'Writing Logic'!$A$3:$B$7,2,FALSE),VLOOKUP(AQ63,'Writing Logic'!$A$3:$B$7,2,FALSE),VLOOKUP(AR63,'Writing Logic'!$A$3:$B$7,2,FALSE),VLOOKUP(AS63,'Writing Logic'!$A$3:$B$7,2,FALSE))))),"Fill All 4")</f>
        <v>Fill All 4</v>
      </c>
      <c r="AU63" s="95" t="str">
        <f t="shared" si="4"/>
        <v/>
      </c>
    </row>
    <row r="64" spans="1:47" x14ac:dyDescent="0.25">
      <c r="A64" s="245"/>
      <c r="B64" s="236"/>
      <c r="C64" s="13"/>
      <c r="D64" s="236"/>
      <c r="E64" s="49"/>
      <c r="F64" s="49"/>
      <c r="G64" s="49"/>
      <c r="H64" s="49"/>
      <c r="I64" s="49"/>
      <c r="J64" s="49"/>
      <c r="K64" s="183"/>
      <c r="L64" s="184"/>
      <c r="M64" s="120"/>
      <c r="N64" s="120"/>
      <c r="O64" s="120"/>
      <c r="P64" s="120"/>
      <c r="Q64" s="95" t="str">
        <f>IFERROR(IF(YES_Writing_ELA[[#This Row],[Literacy IPP]]='Writing Logic'!$E$26,"IPP",IF(OR(M64="EAL",N64="EAL",O64="EAL",P64="EAL"),"EAL",IF(M64='Writing Logic'!$A$10,AVERAGE(VLOOKUP(N64,'Writing Logic'!$A$3:$B$7,2,FALSE),VLOOKUP(O64,'Writing Logic'!$A$3:$B$7,2,FALSE),VLOOKUP(P64,'Writing Logic'!$A$3:$B$7,2,FALSE)),AVERAGE(VLOOKUP(M64,'Writing Logic'!$A$3:$B$7,2,FALSE),VLOOKUP(N64,'Writing Logic'!$A$3:$B$7,2,FALSE),VLOOKUP(O64,'Writing Logic'!$A$3:$B$7,2,FALSE),VLOOKUP(P64,'Writing Logic'!$A$3:$B$7,2,FALSE))))),"Fill All 4")</f>
        <v>Fill All 4</v>
      </c>
      <c r="R64" s="120"/>
      <c r="S64" s="120"/>
      <c r="T64" s="120"/>
      <c r="U64" s="120"/>
      <c r="V64" s="95" t="str">
        <f>IFERROR(IF(YES_Writing_ELA[[#This Row],[Literacy IPP]]='Writing Logic'!$E$26,"IPP",IF(OR(R64="EAL",S64="EAL",T64="EAL",U64="EAL"),"EAL",IF(R64='Writing Logic'!$A$10,AVERAGE(VLOOKUP(S64,'Writing Logic'!$A$3:$B$7,2,FALSE),VLOOKUP(T64,'Writing Logic'!$A$3:$B$7,2,FALSE),VLOOKUP(U64,'Writing Logic'!$A$3:$B$7,2,FALSE)),AVERAGE(VLOOKUP(R64,'Writing Logic'!$A$3:$B$7,2,FALSE),VLOOKUP(S64,'Writing Logic'!$A$3:$B$7,2,FALSE),VLOOKUP(T64,'Writing Logic'!$A$3:$B$7,2,FALSE),VLOOKUP(U64,'Writing Logic'!$A$3:$B$7,2,FALSE))))),"Fill All 4")</f>
        <v>Fill All 4</v>
      </c>
      <c r="W64" s="95" t="str">
        <f t="shared" si="0"/>
        <v/>
      </c>
      <c r="X64" s="120"/>
      <c r="Y64" s="120"/>
      <c r="Z64" s="120"/>
      <c r="AA64" s="120"/>
      <c r="AB64" s="95" t="str">
        <f>IFERROR(IF(YES_Writing_ELA[[#This Row],[Literacy IPP]]='Writing Logic'!$E$26,"IPP",IF(OR(X64="EAL",Y64="EAL",Z64="EAL",AA64="EAL"),"EAL",IF(X64='Writing Logic'!$A$10,AVERAGE(VLOOKUP(Y64,'Writing Logic'!$A$3:$B$7,2,FALSE),VLOOKUP(Z64,'Writing Logic'!$A$3:$B$7,2,FALSE),VLOOKUP(AA64,'Writing Logic'!$A$3:$B$7,2,FALSE)),AVERAGE(VLOOKUP(X64,'Writing Logic'!$A$3:$B$7,2,FALSE),VLOOKUP(Y64,'Writing Logic'!$A$3:$B$7,2,FALSE),VLOOKUP(Z64,'Writing Logic'!$A$3:$B$7,2,FALSE),VLOOKUP(AA64,'Writing Logic'!$A$3:$B$7,2,FALSE))))),"Fill All 4")</f>
        <v>Fill All 4</v>
      </c>
      <c r="AC64" s="95" t="str">
        <f t="shared" si="1"/>
        <v/>
      </c>
      <c r="AD64" s="120"/>
      <c r="AE64" s="120"/>
      <c r="AF64" s="120"/>
      <c r="AG64" s="120"/>
      <c r="AH64" s="95" t="str">
        <f>IFERROR(IF(YES_Writing_ELA[[#This Row],[Literacy IPP]]='Writing Logic'!$E$26,"IPP",IF(OR(AD64="EAL",AE64="EAL",AF64="EAL",AG64="EAL"),"EAL",IF(AD64='Writing Logic'!$A$10,AVERAGE(VLOOKUP(AE64,'Writing Logic'!$A$3:$B$7,2,FALSE),VLOOKUP(AF64,'Writing Logic'!$A$3:$B$7,2,FALSE),VLOOKUP(AG64,'Writing Logic'!$A$3:$B$7,2,FALSE)),AVERAGE(VLOOKUP(AD64,'Writing Logic'!$A$3:$B$7,2,FALSE),VLOOKUP(AE64,'Writing Logic'!$A$3:$B$7,2,FALSE),VLOOKUP(AF64,'Writing Logic'!$A$3:$B$7,2,FALSE),VLOOKUP(AG64,'Writing Logic'!$A$3:$B$7,2,FALSE))))),"Fill All 4")</f>
        <v>Fill All 4</v>
      </c>
      <c r="AI64" s="95" t="str">
        <f t="shared" si="2"/>
        <v/>
      </c>
      <c r="AJ64" s="183"/>
      <c r="AK64" s="120"/>
      <c r="AL64" s="120"/>
      <c r="AM64" s="120"/>
      <c r="AN64" s="95" t="str">
        <f>IFERROR(IF(YES_Writing_ELA[[#This Row],[Literacy IPP]]='Writing Logic'!$E$26,"IPP",IF(OR(AJ64="EAL",AK64="EAL",AL64="EAL",AM64="EAL"),"EAL",IF(AJ64='Writing Logic'!$A$10,AVERAGE(VLOOKUP(AK64,'Writing Logic'!$A$3:$B$7,2,FALSE),VLOOKUP(AL64,'Writing Logic'!$A$3:$B$7,2,FALSE),VLOOKUP(AM64,'Writing Logic'!$A$3:$B$7,2,FALSE)),AVERAGE(VLOOKUP(AJ64,'Writing Logic'!$A$3:$B$7,2,FALSE),VLOOKUP(AK64,'Writing Logic'!$A$3:$B$7,2,FALSE),VLOOKUP(AL64,'Writing Logic'!$A$3:$B$7,2,FALSE),VLOOKUP(AM64,'Writing Logic'!$A$3:$B$7,2,FALSE))))),"Fill All 4")</f>
        <v>Fill All 4</v>
      </c>
      <c r="AO64" s="95" t="str">
        <f t="shared" si="3"/>
        <v/>
      </c>
      <c r="AP64" s="120"/>
      <c r="AQ64" s="120"/>
      <c r="AR64" s="120"/>
      <c r="AS64" s="120"/>
      <c r="AT64" s="95" t="str">
        <f>IFERROR(IF(YES_Writing_ELA[[#This Row],[Literacy IPP]]='Writing Logic'!$E$26,"IPP",IF(OR(AP64="EAL",AQ64="EAL",AR64="EAL",AS64="EAL"),"EAL",IF(AP64='Writing Logic'!$A$10,AVERAGE(VLOOKUP(AQ64,'Writing Logic'!$A$3:$B$7,2,FALSE),VLOOKUP(AR64,'Writing Logic'!$A$3:$B$7,2,FALSE),VLOOKUP(AS64,'Writing Logic'!$A$3:$B$7,2,FALSE)),AVERAGE(VLOOKUP(AP64,'Writing Logic'!$A$3:$B$7,2,FALSE),VLOOKUP(AQ64,'Writing Logic'!$A$3:$B$7,2,FALSE),VLOOKUP(AR64,'Writing Logic'!$A$3:$B$7,2,FALSE),VLOOKUP(AS64,'Writing Logic'!$A$3:$B$7,2,FALSE))))),"Fill All 4")</f>
        <v>Fill All 4</v>
      </c>
      <c r="AU64" s="95" t="str">
        <f t="shared" si="4"/>
        <v/>
      </c>
    </row>
    <row r="65" spans="1:47" x14ac:dyDescent="0.25">
      <c r="A65" s="245"/>
      <c r="B65" s="236"/>
      <c r="C65" s="13"/>
      <c r="D65" s="236"/>
      <c r="E65" s="49"/>
      <c r="F65" s="49"/>
      <c r="G65" s="49"/>
      <c r="H65" s="49"/>
      <c r="I65" s="49"/>
      <c r="J65" s="49"/>
      <c r="K65" s="183"/>
      <c r="L65" s="184"/>
      <c r="M65" s="120"/>
      <c r="N65" s="120"/>
      <c r="O65" s="120"/>
      <c r="P65" s="120"/>
      <c r="Q65" s="95" t="str">
        <f>IFERROR(IF(YES_Writing_ELA[[#This Row],[Literacy IPP]]='Writing Logic'!$E$26,"IPP",IF(OR(M65="EAL",N65="EAL",O65="EAL",P65="EAL"),"EAL",IF(M65='Writing Logic'!$A$10,AVERAGE(VLOOKUP(N65,'Writing Logic'!$A$3:$B$7,2,FALSE),VLOOKUP(O65,'Writing Logic'!$A$3:$B$7,2,FALSE),VLOOKUP(P65,'Writing Logic'!$A$3:$B$7,2,FALSE)),AVERAGE(VLOOKUP(M65,'Writing Logic'!$A$3:$B$7,2,FALSE),VLOOKUP(N65,'Writing Logic'!$A$3:$B$7,2,FALSE),VLOOKUP(O65,'Writing Logic'!$A$3:$B$7,2,FALSE),VLOOKUP(P65,'Writing Logic'!$A$3:$B$7,2,FALSE))))),"Fill All 4")</f>
        <v>Fill All 4</v>
      </c>
      <c r="R65" s="120"/>
      <c r="S65" s="120"/>
      <c r="T65" s="120"/>
      <c r="U65" s="120"/>
      <c r="V65" s="95" t="str">
        <f>IFERROR(IF(YES_Writing_ELA[[#This Row],[Literacy IPP]]='Writing Logic'!$E$26,"IPP",IF(OR(R65="EAL",S65="EAL",T65="EAL",U65="EAL"),"EAL",IF(R65='Writing Logic'!$A$10,AVERAGE(VLOOKUP(S65,'Writing Logic'!$A$3:$B$7,2,FALSE),VLOOKUP(T65,'Writing Logic'!$A$3:$B$7,2,FALSE),VLOOKUP(U65,'Writing Logic'!$A$3:$B$7,2,FALSE)),AVERAGE(VLOOKUP(R65,'Writing Logic'!$A$3:$B$7,2,FALSE),VLOOKUP(S65,'Writing Logic'!$A$3:$B$7,2,FALSE),VLOOKUP(T65,'Writing Logic'!$A$3:$B$7,2,FALSE),VLOOKUP(U65,'Writing Logic'!$A$3:$B$7,2,FALSE))))),"Fill All 4")</f>
        <v>Fill All 4</v>
      </c>
      <c r="W65" s="95" t="str">
        <f t="shared" si="0"/>
        <v/>
      </c>
      <c r="X65" s="120"/>
      <c r="Y65" s="120"/>
      <c r="Z65" s="120"/>
      <c r="AA65" s="120"/>
      <c r="AB65" s="95" t="str">
        <f>IFERROR(IF(YES_Writing_ELA[[#This Row],[Literacy IPP]]='Writing Logic'!$E$26,"IPP",IF(OR(X65="EAL",Y65="EAL",Z65="EAL",AA65="EAL"),"EAL",IF(X65='Writing Logic'!$A$10,AVERAGE(VLOOKUP(Y65,'Writing Logic'!$A$3:$B$7,2,FALSE),VLOOKUP(Z65,'Writing Logic'!$A$3:$B$7,2,FALSE),VLOOKUP(AA65,'Writing Logic'!$A$3:$B$7,2,FALSE)),AVERAGE(VLOOKUP(X65,'Writing Logic'!$A$3:$B$7,2,FALSE),VLOOKUP(Y65,'Writing Logic'!$A$3:$B$7,2,FALSE),VLOOKUP(Z65,'Writing Logic'!$A$3:$B$7,2,FALSE),VLOOKUP(AA65,'Writing Logic'!$A$3:$B$7,2,FALSE))))),"Fill All 4")</f>
        <v>Fill All 4</v>
      </c>
      <c r="AC65" s="95" t="str">
        <f t="shared" si="1"/>
        <v/>
      </c>
      <c r="AD65" s="120"/>
      <c r="AE65" s="120"/>
      <c r="AF65" s="120"/>
      <c r="AG65" s="120"/>
      <c r="AH65" s="95" t="str">
        <f>IFERROR(IF(YES_Writing_ELA[[#This Row],[Literacy IPP]]='Writing Logic'!$E$26,"IPP",IF(OR(AD65="EAL",AE65="EAL",AF65="EAL",AG65="EAL"),"EAL",IF(AD65='Writing Logic'!$A$10,AVERAGE(VLOOKUP(AE65,'Writing Logic'!$A$3:$B$7,2,FALSE),VLOOKUP(AF65,'Writing Logic'!$A$3:$B$7,2,FALSE),VLOOKUP(AG65,'Writing Logic'!$A$3:$B$7,2,FALSE)),AVERAGE(VLOOKUP(AD65,'Writing Logic'!$A$3:$B$7,2,FALSE),VLOOKUP(AE65,'Writing Logic'!$A$3:$B$7,2,FALSE),VLOOKUP(AF65,'Writing Logic'!$A$3:$B$7,2,FALSE),VLOOKUP(AG65,'Writing Logic'!$A$3:$B$7,2,FALSE))))),"Fill All 4")</f>
        <v>Fill All 4</v>
      </c>
      <c r="AI65" s="95" t="str">
        <f t="shared" si="2"/>
        <v/>
      </c>
      <c r="AJ65" s="183"/>
      <c r="AK65" s="120"/>
      <c r="AL65" s="120"/>
      <c r="AM65" s="120"/>
      <c r="AN65" s="95" t="str">
        <f>IFERROR(IF(YES_Writing_ELA[[#This Row],[Literacy IPP]]='Writing Logic'!$E$26,"IPP",IF(OR(AJ65="EAL",AK65="EAL",AL65="EAL",AM65="EAL"),"EAL",IF(AJ65='Writing Logic'!$A$10,AVERAGE(VLOOKUP(AK65,'Writing Logic'!$A$3:$B$7,2,FALSE),VLOOKUP(AL65,'Writing Logic'!$A$3:$B$7,2,FALSE),VLOOKUP(AM65,'Writing Logic'!$A$3:$B$7,2,FALSE)),AVERAGE(VLOOKUP(AJ65,'Writing Logic'!$A$3:$B$7,2,FALSE),VLOOKUP(AK65,'Writing Logic'!$A$3:$B$7,2,FALSE),VLOOKUP(AL65,'Writing Logic'!$A$3:$B$7,2,FALSE),VLOOKUP(AM65,'Writing Logic'!$A$3:$B$7,2,FALSE))))),"Fill All 4")</f>
        <v>Fill All 4</v>
      </c>
      <c r="AO65" s="95" t="str">
        <f t="shared" si="3"/>
        <v/>
      </c>
      <c r="AP65" s="120"/>
      <c r="AQ65" s="120"/>
      <c r="AR65" s="120"/>
      <c r="AS65" s="120"/>
      <c r="AT65" s="95" t="str">
        <f>IFERROR(IF(YES_Writing_ELA[[#This Row],[Literacy IPP]]='Writing Logic'!$E$26,"IPP",IF(OR(AP65="EAL",AQ65="EAL",AR65="EAL",AS65="EAL"),"EAL",IF(AP65='Writing Logic'!$A$10,AVERAGE(VLOOKUP(AQ65,'Writing Logic'!$A$3:$B$7,2,FALSE),VLOOKUP(AR65,'Writing Logic'!$A$3:$B$7,2,FALSE),VLOOKUP(AS65,'Writing Logic'!$A$3:$B$7,2,FALSE)),AVERAGE(VLOOKUP(AP65,'Writing Logic'!$A$3:$B$7,2,FALSE),VLOOKUP(AQ65,'Writing Logic'!$A$3:$B$7,2,FALSE),VLOOKUP(AR65,'Writing Logic'!$A$3:$B$7,2,FALSE),VLOOKUP(AS65,'Writing Logic'!$A$3:$B$7,2,FALSE))))),"Fill All 4")</f>
        <v>Fill All 4</v>
      </c>
      <c r="AU65" s="95" t="str">
        <f t="shared" si="4"/>
        <v/>
      </c>
    </row>
    <row r="66" spans="1:47" x14ac:dyDescent="0.25">
      <c r="A66" s="245"/>
      <c r="B66" s="236"/>
      <c r="C66" s="13"/>
      <c r="D66" s="236"/>
      <c r="E66" s="49"/>
      <c r="F66" s="49"/>
      <c r="G66" s="49"/>
      <c r="H66" s="49"/>
      <c r="I66" s="49"/>
      <c r="J66" s="49"/>
      <c r="K66" s="183"/>
      <c r="L66" s="184"/>
      <c r="M66" s="120"/>
      <c r="N66" s="120"/>
      <c r="O66" s="120"/>
      <c r="P66" s="120"/>
      <c r="Q66" s="95" t="str">
        <f>IFERROR(IF(YES_Writing_ELA[[#This Row],[Literacy IPP]]='Writing Logic'!$E$26,"IPP",IF(OR(M66="EAL",N66="EAL",O66="EAL",P66="EAL"),"EAL",IF(M66='Writing Logic'!$A$10,AVERAGE(VLOOKUP(N66,'Writing Logic'!$A$3:$B$7,2,FALSE),VLOOKUP(O66,'Writing Logic'!$A$3:$B$7,2,FALSE),VLOOKUP(P66,'Writing Logic'!$A$3:$B$7,2,FALSE)),AVERAGE(VLOOKUP(M66,'Writing Logic'!$A$3:$B$7,2,FALSE),VLOOKUP(N66,'Writing Logic'!$A$3:$B$7,2,FALSE),VLOOKUP(O66,'Writing Logic'!$A$3:$B$7,2,FALSE),VLOOKUP(P66,'Writing Logic'!$A$3:$B$7,2,FALSE))))),"Fill All 4")</f>
        <v>Fill All 4</v>
      </c>
      <c r="R66" s="120"/>
      <c r="S66" s="120"/>
      <c r="T66" s="120"/>
      <c r="U66" s="120"/>
      <c r="V66" s="95" t="str">
        <f>IFERROR(IF(YES_Writing_ELA[[#This Row],[Literacy IPP]]='Writing Logic'!$E$26,"IPP",IF(OR(R66="EAL",S66="EAL",T66="EAL",U66="EAL"),"EAL",IF(R66='Writing Logic'!$A$10,AVERAGE(VLOOKUP(S66,'Writing Logic'!$A$3:$B$7,2,FALSE),VLOOKUP(T66,'Writing Logic'!$A$3:$B$7,2,FALSE),VLOOKUP(U66,'Writing Logic'!$A$3:$B$7,2,FALSE)),AVERAGE(VLOOKUP(R66,'Writing Logic'!$A$3:$B$7,2,FALSE),VLOOKUP(S66,'Writing Logic'!$A$3:$B$7,2,FALSE),VLOOKUP(T66,'Writing Logic'!$A$3:$B$7,2,FALSE),VLOOKUP(U66,'Writing Logic'!$A$3:$B$7,2,FALSE))))),"Fill All 4")</f>
        <v>Fill All 4</v>
      </c>
      <c r="W66" s="95" t="str">
        <f t="shared" si="0"/>
        <v/>
      </c>
      <c r="X66" s="120"/>
      <c r="Y66" s="120"/>
      <c r="Z66" s="120"/>
      <c r="AA66" s="120"/>
      <c r="AB66" s="95" t="str">
        <f>IFERROR(IF(YES_Writing_ELA[[#This Row],[Literacy IPP]]='Writing Logic'!$E$26,"IPP",IF(OR(X66="EAL",Y66="EAL",Z66="EAL",AA66="EAL"),"EAL",IF(X66='Writing Logic'!$A$10,AVERAGE(VLOOKUP(Y66,'Writing Logic'!$A$3:$B$7,2,FALSE),VLOOKUP(Z66,'Writing Logic'!$A$3:$B$7,2,FALSE),VLOOKUP(AA66,'Writing Logic'!$A$3:$B$7,2,FALSE)),AVERAGE(VLOOKUP(X66,'Writing Logic'!$A$3:$B$7,2,FALSE),VLOOKUP(Y66,'Writing Logic'!$A$3:$B$7,2,FALSE),VLOOKUP(Z66,'Writing Logic'!$A$3:$B$7,2,FALSE),VLOOKUP(AA66,'Writing Logic'!$A$3:$B$7,2,FALSE))))),"Fill All 4")</f>
        <v>Fill All 4</v>
      </c>
      <c r="AC66" s="95" t="str">
        <f t="shared" si="1"/>
        <v/>
      </c>
      <c r="AD66" s="120"/>
      <c r="AE66" s="120"/>
      <c r="AF66" s="120"/>
      <c r="AG66" s="120"/>
      <c r="AH66" s="95" t="str">
        <f>IFERROR(IF(YES_Writing_ELA[[#This Row],[Literacy IPP]]='Writing Logic'!$E$26,"IPP",IF(OR(AD66="EAL",AE66="EAL",AF66="EAL",AG66="EAL"),"EAL",IF(AD66='Writing Logic'!$A$10,AVERAGE(VLOOKUP(AE66,'Writing Logic'!$A$3:$B$7,2,FALSE),VLOOKUP(AF66,'Writing Logic'!$A$3:$B$7,2,FALSE),VLOOKUP(AG66,'Writing Logic'!$A$3:$B$7,2,FALSE)),AVERAGE(VLOOKUP(AD66,'Writing Logic'!$A$3:$B$7,2,FALSE),VLOOKUP(AE66,'Writing Logic'!$A$3:$B$7,2,FALSE),VLOOKUP(AF66,'Writing Logic'!$A$3:$B$7,2,FALSE),VLOOKUP(AG66,'Writing Logic'!$A$3:$B$7,2,FALSE))))),"Fill All 4")</f>
        <v>Fill All 4</v>
      </c>
      <c r="AI66" s="95" t="str">
        <f t="shared" si="2"/>
        <v/>
      </c>
      <c r="AJ66" s="183"/>
      <c r="AK66" s="120"/>
      <c r="AL66" s="120"/>
      <c r="AM66" s="120"/>
      <c r="AN66" s="95" t="str">
        <f>IFERROR(IF(YES_Writing_ELA[[#This Row],[Literacy IPP]]='Writing Logic'!$E$26,"IPP",IF(OR(AJ66="EAL",AK66="EAL",AL66="EAL",AM66="EAL"),"EAL",IF(AJ66='Writing Logic'!$A$10,AVERAGE(VLOOKUP(AK66,'Writing Logic'!$A$3:$B$7,2,FALSE),VLOOKUP(AL66,'Writing Logic'!$A$3:$B$7,2,FALSE),VLOOKUP(AM66,'Writing Logic'!$A$3:$B$7,2,FALSE)),AVERAGE(VLOOKUP(AJ66,'Writing Logic'!$A$3:$B$7,2,FALSE),VLOOKUP(AK66,'Writing Logic'!$A$3:$B$7,2,FALSE),VLOOKUP(AL66,'Writing Logic'!$A$3:$B$7,2,FALSE),VLOOKUP(AM66,'Writing Logic'!$A$3:$B$7,2,FALSE))))),"Fill All 4")</f>
        <v>Fill All 4</v>
      </c>
      <c r="AO66" s="95" t="str">
        <f t="shared" si="3"/>
        <v/>
      </c>
      <c r="AP66" s="120"/>
      <c r="AQ66" s="120"/>
      <c r="AR66" s="120"/>
      <c r="AS66" s="120"/>
      <c r="AT66" s="95" t="str">
        <f>IFERROR(IF(YES_Writing_ELA[[#This Row],[Literacy IPP]]='Writing Logic'!$E$26,"IPP",IF(OR(AP66="EAL",AQ66="EAL",AR66="EAL",AS66="EAL"),"EAL",IF(AP66='Writing Logic'!$A$10,AVERAGE(VLOOKUP(AQ66,'Writing Logic'!$A$3:$B$7,2,FALSE),VLOOKUP(AR66,'Writing Logic'!$A$3:$B$7,2,FALSE),VLOOKUP(AS66,'Writing Logic'!$A$3:$B$7,2,FALSE)),AVERAGE(VLOOKUP(AP66,'Writing Logic'!$A$3:$B$7,2,FALSE),VLOOKUP(AQ66,'Writing Logic'!$A$3:$B$7,2,FALSE),VLOOKUP(AR66,'Writing Logic'!$A$3:$B$7,2,FALSE),VLOOKUP(AS66,'Writing Logic'!$A$3:$B$7,2,FALSE))))),"Fill All 4")</f>
        <v>Fill All 4</v>
      </c>
      <c r="AU66" s="95" t="str">
        <f t="shared" si="4"/>
        <v/>
      </c>
    </row>
    <row r="67" spans="1:47" x14ac:dyDescent="0.25">
      <c r="A67" s="245"/>
      <c r="B67" s="236"/>
      <c r="C67" s="13"/>
      <c r="D67" s="236"/>
      <c r="E67" s="49"/>
      <c r="F67" s="49"/>
      <c r="G67" s="49"/>
      <c r="H67" s="49"/>
      <c r="I67" s="49"/>
      <c r="J67" s="49"/>
      <c r="K67" s="183"/>
      <c r="L67" s="184"/>
      <c r="M67" s="120"/>
      <c r="N67" s="120"/>
      <c r="O67" s="120"/>
      <c r="P67" s="120"/>
      <c r="Q67" s="95" t="str">
        <f>IFERROR(IF(YES_Writing_ELA[[#This Row],[Literacy IPP]]='Writing Logic'!$E$26,"IPP",IF(OR(M67="EAL",N67="EAL",O67="EAL",P67="EAL"),"EAL",IF(M67='Writing Logic'!$A$10,AVERAGE(VLOOKUP(N67,'Writing Logic'!$A$3:$B$7,2,FALSE),VLOOKUP(O67,'Writing Logic'!$A$3:$B$7,2,FALSE),VLOOKUP(P67,'Writing Logic'!$A$3:$B$7,2,FALSE)),AVERAGE(VLOOKUP(M67,'Writing Logic'!$A$3:$B$7,2,FALSE),VLOOKUP(N67,'Writing Logic'!$A$3:$B$7,2,FALSE),VLOOKUP(O67,'Writing Logic'!$A$3:$B$7,2,FALSE),VLOOKUP(P67,'Writing Logic'!$A$3:$B$7,2,FALSE))))),"Fill All 4")</f>
        <v>Fill All 4</v>
      </c>
      <c r="R67" s="120"/>
      <c r="S67" s="120"/>
      <c r="T67" s="120"/>
      <c r="U67" s="120"/>
      <c r="V67" s="95" t="str">
        <f>IFERROR(IF(YES_Writing_ELA[[#This Row],[Literacy IPP]]='Writing Logic'!$E$26,"IPP",IF(OR(R67="EAL",S67="EAL",T67="EAL",U67="EAL"),"EAL",IF(R67='Writing Logic'!$A$10,AVERAGE(VLOOKUP(S67,'Writing Logic'!$A$3:$B$7,2,FALSE),VLOOKUP(T67,'Writing Logic'!$A$3:$B$7,2,FALSE),VLOOKUP(U67,'Writing Logic'!$A$3:$B$7,2,FALSE)),AVERAGE(VLOOKUP(R67,'Writing Logic'!$A$3:$B$7,2,FALSE),VLOOKUP(S67,'Writing Logic'!$A$3:$B$7,2,FALSE),VLOOKUP(T67,'Writing Logic'!$A$3:$B$7,2,FALSE),VLOOKUP(U67,'Writing Logic'!$A$3:$B$7,2,FALSE))))),"Fill All 4")</f>
        <v>Fill All 4</v>
      </c>
      <c r="W67" s="95" t="str">
        <f t="shared" si="0"/>
        <v/>
      </c>
      <c r="X67" s="120"/>
      <c r="Y67" s="120"/>
      <c r="Z67" s="120"/>
      <c r="AA67" s="120"/>
      <c r="AB67" s="95" t="str">
        <f>IFERROR(IF(YES_Writing_ELA[[#This Row],[Literacy IPP]]='Writing Logic'!$E$26,"IPP",IF(OR(X67="EAL",Y67="EAL",Z67="EAL",AA67="EAL"),"EAL",IF(X67='Writing Logic'!$A$10,AVERAGE(VLOOKUP(Y67,'Writing Logic'!$A$3:$B$7,2,FALSE),VLOOKUP(Z67,'Writing Logic'!$A$3:$B$7,2,FALSE),VLOOKUP(AA67,'Writing Logic'!$A$3:$B$7,2,FALSE)),AVERAGE(VLOOKUP(X67,'Writing Logic'!$A$3:$B$7,2,FALSE),VLOOKUP(Y67,'Writing Logic'!$A$3:$B$7,2,FALSE),VLOOKUP(Z67,'Writing Logic'!$A$3:$B$7,2,FALSE),VLOOKUP(AA67,'Writing Logic'!$A$3:$B$7,2,FALSE))))),"Fill All 4")</f>
        <v>Fill All 4</v>
      </c>
      <c r="AC67" s="95" t="str">
        <f t="shared" si="1"/>
        <v/>
      </c>
      <c r="AD67" s="120"/>
      <c r="AE67" s="120"/>
      <c r="AF67" s="120"/>
      <c r="AG67" s="120"/>
      <c r="AH67" s="95" t="str">
        <f>IFERROR(IF(YES_Writing_ELA[[#This Row],[Literacy IPP]]='Writing Logic'!$E$26,"IPP",IF(OR(AD67="EAL",AE67="EAL",AF67="EAL",AG67="EAL"),"EAL",IF(AD67='Writing Logic'!$A$10,AVERAGE(VLOOKUP(AE67,'Writing Logic'!$A$3:$B$7,2,FALSE),VLOOKUP(AF67,'Writing Logic'!$A$3:$B$7,2,FALSE),VLOOKUP(AG67,'Writing Logic'!$A$3:$B$7,2,FALSE)),AVERAGE(VLOOKUP(AD67,'Writing Logic'!$A$3:$B$7,2,FALSE),VLOOKUP(AE67,'Writing Logic'!$A$3:$B$7,2,FALSE),VLOOKUP(AF67,'Writing Logic'!$A$3:$B$7,2,FALSE),VLOOKUP(AG67,'Writing Logic'!$A$3:$B$7,2,FALSE))))),"Fill All 4")</f>
        <v>Fill All 4</v>
      </c>
      <c r="AI67" s="95" t="str">
        <f t="shared" si="2"/>
        <v/>
      </c>
      <c r="AJ67" s="183"/>
      <c r="AK67" s="120"/>
      <c r="AL67" s="120"/>
      <c r="AM67" s="120"/>
      <c r="AN67" s="95" t="str">
        <f>IFERROR(IF(YES_Writing_ELA[[#This Row],[Literacy IPP]]='Writing Logic'!$E$26,"IPP",IF(OR(AJ67="EAL",AK67="EAL",AL67="EAL",AM67="EAL"),"EAL",IF(AJ67='Writing Logic'!$A$10,AVERAGE(VLOOKUP(AK67,'Writing Logic'!$A$3:$B$7,2,FALSE),VLOOKUP(AL67,'Writing Logic'!$A$3:$B$7,2,FALSE),VLOOKUP(AM67,'Writing Logic'!$A$3:$B$7,2,FALSE)),AVERAGE(VLOOKUP(AJ67,'Writing Logic'!$A$3:$B$7,2,FALSE),VLOOKUP(AK67,'Writing Logic'!$A$3:$B$7,2,FALSE),VLOOKUP(AL67,'Writing Logic'!$A$3:$B$7,2,FALSE),VLOOKUP(AM67,'Writing Logic'!$A$3:$B$7,2,FALSE))))),"Fill All 4")</f>
        <v>Fill All 4</v>
      </c>
      <c r="AO67" s="95" t="str">
        <f t="shared" si="3"/>
        <v/>
      </c>
      <c r="AP67" s="120"/>
      <c r="AQ67" s="120"/>
      <c r="AR67" s="120"/>
      <c r="AS67" s="120"/>
      <c r="AT67" s="95" t="str">
        <f>IFERROR(IF(YES_Writing_ELA[[#This Row],[Literacy IPP]]='Writing Logic'!$E$26,"IPP",IF(OR(AP67="EAL",AQ67="EAL",AR67="EAL",AS67="EAL"),"EAL",IF(AP67='Writing Logic'!$A$10,AVERAGE(VLOOKUP(AQ67,'Writing Logic'!$A$3:$B$7,2,FALSE),VLOOKUP(AR67,'Writing Logic'!$A$3:$B$7,2,FALSE),VLOOKUP(AS67,'Writing Logic'!$A$3:$B$7,2,FALSE)),AVERAGE(VLOOKUP(AP67,'Writing Logic'!$A$3:$B$7,2,FALSE),VLOOKUP(AQ67,'Writing Logic'!$A$3:$B$7,2,FALSE),VLOOKUP(AR67,'Writing Logic'!$A$3:$B$7,2,FALSE),VLOOKUP(AS67,'Writing Logic'!$A$3:$B$7,2,FALSE))))),"Fill All 4")</f>
        <v>Fill All 4</v>
      </c>
      <c r="AU67" s="95" t="str">
        <f t="shared" si="4"/>
        <v/>
      </c>
    </row>
    <row r="68" spans="1:47" x14ac:dyDescent="0.25">
      <c r="A68" s="245"/>
      <c r="B68" s="236"/>
      <c r="C68" s="13"/>
      <c r="D68" s="236"/>
      <c r="E68" s="49"/>
      <c r="F68" s="49"/>
      <c r="G68" s="49"/>
      <c r="H68" s="49"/>
      <c r="I68" s="49"/>
      <c r="J68" s="49"/>
      <c r="K68" s="183"/>
      <c r="L68" s="184"/>
      <c r="M68" s="120"/>
      <c r="N68" s="120"/>
      <c r="O68" s="120"/>
      <c r="P68" s="120"/>
      <c r="Q68" s="95" t="str">
        <f>IFERROR(IF(YES_Writing_ELA[[#This Row],[Literacy IPP]]='Writing Logic'!$E$26,"IPP",IF(OR(M68="EAL",N68="EAL",O68="EAL",P68="EAL"),"EAL",IF(M68='Writing Logic'!$A$10,AVERAGE(VLOOKUP(N68,'Writing Logic'!$A$3:$B$7,2,FALSE),VLOOKUP(O68,'Writing Logic'!$A$3:$B$7,2,FALSE),VLOOKUP(P68,'Writing Logic'!$A$3:$B$7,2,FALSE)),AVERAGE(VLOOKUP(M68,'Writing Logic'!$A$3:$B$7,2,FALSE),VLOOKUP(N68,'Writing Logic'!$A$3:$B$7,2,FALSE),VLOOKUP(O68,'Writing Logic'!$A$3:$B$7,2,FALSE),VLOOKUP(P68,'Writing Logic'!$A$3:$B$7,2,FALSE))))),"Fill All 4")</f>
        <v>Fill All 4</v>
      </c>
      <c r="R68" s="120"/>
      <c r="S68" s="120"/>
      <c r="T68" s="120"/>
      <c r="U68" s="120"/>
      <c r="V68" s="95" t="str">
        <f>IFERROR(IF(YES_Writing_ELA[[#This Row],[Literacy IPP]]='Writing Logic'!$E$26,"IPP",IF(OR(R68="EAL",S68="EAL",T68="EAL",U68="EAL"),"EAL",IF(R68='Writing Logic'!$A$10,AVERAGE(VLOOKUP(S68,'Writing Logic'!$A$3:$B$7,2,FALSE),VLOOKUP(T68,'Writing Logic'!$A$3:$B$7,2,FALSE),VLOOKUP(U68,'Writing Logic'!$A$3:$B$7,2,FALSE)),AVERAGE(VLOOKUP(R68,'Writing Logic'!$A$3:$B$7,2,FALSE),VLOOKUP(S68,'Writing Logic'!$A$3:$B$7,2,FALSE),VLOOKUP(T68,'Writing Logic'!$A$3:$B$7,2,FALSE),VLOOKUP(U68,'Writing Logic'!$A$3:$B$7,2,FALSE))))),"Fill All 4")</f>
        <v>Fill All 4</v>
      </c>
      <c r="W68" s="95" t="str">
        <f t="shared" ref="W68:W131" si="5">IFERROR(V68-$Q68,"")</f>
        <v/>
      </c>
      <c r="X68" s="120"/>
      <c r="Y68" s="120"/>
      <c r="Z68" s="120"/>
      <c r="AA68" s="120"/>
      <c r="AB68" s="95" t="str">
        <f>IFERROR(IF(YES_Writing_ELA[[#This Row],[Literacy IPP]]='Writing Logic'!$E$26,"IPP",IF(OR(X68="EAL",Y68="EAL",Z68="EAL",AA68="EAL"),"EAL",IF(X68='Writing Logic'!$A$10,AVERAGE(VLOOKUP(Y68,'Writing Logic'!$A$3:$B$7,2,FALSE),VLOOKUP(Z68,'Writing Logic'!$A$3:$B$7,2,FALSE),VLOOKUP(AA68,'Writing Logic'!$A$3:$B$7,2,FALSE)),AVERAGE(VLOOKUP(X68,'Writing Logic'!$A$3:$B$7,2,FALSE),VLOOKUP(Y68,'Writing Logic'!$A$3:$B$7,2,FALSE),VLOOKUP(Z68,'Writing Logic'!$A$3:$B$7,2,FALSE),VLOOKUP(AA68,'Writing Logic'!$A$3:$B$7,2,FALSE))))),"Fill All 4")</f>
        <v>Fill All 4</v>
      </c>
      <c r="AC68" s="95" t="str">
        <f t="shared" ref="AC68:AC131" si="6">IFERROR(AB68-$Q68,"")</f>
        <v/>
      </c>
      <c r="AD68" s="120"/>
      <c r="AE68" s="120"/>
      <c r="AF68" s="120"/>
      <c r="AG68" s="120"/>
      <c r="AH68" s="95" t="str">
        <f>IFERROR(IF(YES_Writing_ELA[[#This Row],[Literacy IPP]]='Writing Logic'!$E$26,"IPP",IF(OR(AD68="EAL",AE68="EAL",AF68="EAL",AG68="EAL"),"EAL",IF(AD68='Writing Logic'!$A$10,AVERAGE(VLOOKUP(AE68,'Writing Logic'!$A$3:$B$7,2,FALSE),VLOOKUP(AF68,'Writing Logic'!$A$3:$B$7,2,FALSE),VLOOKUP(AG68,'Writing Logic'!$A$3:$B$7,2,FALSE)),AVERAGE(VLOOKUP(AD68,'Writing Logic'!$A$3:$B$7,2,FALSE),VLOOKUP(AE68,'Writing Logic'!$A$3:$B$7,2,FALSE),VLOOKUP(AF68,'Writing Logic'!$A$3:$B$7,2,FALSE),VLOOKUP(AG68,'Writing Logic'!$A$3:$B$7,2,FALSE))))),"Fill All 4")</f>
        <v>Fill All 4</v>
      </c>
      <c r="AI68" s="95" t="str">
        <f t="shared" ref="AI68:AI131" si="7">IFERROR(AH68-$Q68,"")</f>
        <v/>
      </c>
      <c r="AJ68" s="183"/>
      <c r="AK68" s="120"/>
      <c r="AL68" s="120"/>
      <c r="AM68" s="120"/>
      <c r="AN68" s="95" t="str">
        <f>IFERROR(IF(YES_Writing_ELA[[#This Row],[Literacy IPP]]='Writing Logic'!$E$26,"IPP",IF(OR(AJ68="EAL",AK68="EAL",AL68="EAL",AM68="EAL"),"EAL",IF(AJ68='Writing Logic'!$A$10,AVERAGE(VLOOKUP(AK68,'Writing Logic'!$A$3:$B$7,2,FALSE),VLOOKUP(AL68,'Writing Logic'!$A$3:$B$7,2,FALSE),VLOOKUP(AM68,'Writing Logic'!$A$3:$B$7,2,FALSE)),AVERAGE(VLOOKUP(AJ68,'Writing Logic'!$A$3:$B$7,2,FALSE),VLOOKUP(AK68,'Writing Logic'!$A$3:$B$7,2,FALSE),VLOOKUP(AL68,'Writing Logic'!$A$3:$B$7,2,FALSE),VLOOKUP(AM68,'Writing Logic'!$A$3:$B$7,2,FALSE))))),"Fill All 4")</f>
        <v>Fill All 4</v>
      </c>
      <c r="AO68" s="95" t="str">
        <f t="shared" ref="AO68:AO131" si="8">IFERROR(AN68-$Q68,"")</f>
        <v/>
      </c>
      <c r="AP68" s="120"/>
      <c r="AQ68" s="120"/>
      <c r="AR68" s="120"/>
      <c r="AS68" s="120"/>
      <c r="AT68" s="95" t="str">
        <f>IFERROR(IF(YES_Writing_ELA[[#This Row],[Literacy IPP]]='Writing Logic'!$E$26,"IPP",IF(OR(AP68="EAL",AQ68="EAL",AR68="EAL",AS68="EAL"),"EAL",IF(AP68='Writing Logic'!$A$10,AVERAGE(VLOOKUP(AQ68,'Writing Logic'!$A$3:$B$7,2,FALSE),VLOOKUP(AR68,'Writing Logic'!$A$3:$B$7,2,FALSE),VLOOKUP(AS68,'Writing Logic'!$A$3:$B$7,2,FALSE)),AVERAGE(VLOOKUP(AP68,'Writing Logic'!$A$3:$B$7,2,FALSE),VLOOKUP(AQ68,'Writing Logic'!$A$3:$B$7,2,FALSE),VLOOKUP(AR68,'Writing Logic'!$A$3:$B$7,2,FALSE),VLOOKUP(AS68,'Writing Logic'!$A$3:$B$7,2,FALSE))))),"Fill All 4")</f>
        <v>Fill All 4</v>
      </c>
      <c r="AU68" s="95" t="str">
        <f t="shared" ref="AU68:AU131" si="9">IFERROR(AT68-$Q68,"")</f>
        <v/>
      </c>
    </row>
    <row r="69" spans="1:47" x14ac:dyDescent="0.25">
      <c r="A69" s="245"/>
      <c r="B69" s="236"/>
      <c r="C69" s="13"/>
      <c r="D69" s="236"/>
      <c r="E69" s="49"/>
      <c r="F69" s="49"/>
      <c r="G69" s="49"/>
      <c r="H69" s="49"/>
      <c r="I69" s="49"/>
      <c r="J69" s="49"/>
      <c r="K69" s="183"/>
      <c r="L69" s="184"/>
      <c r="M69" s="120"/>
      <c r="N69" s="120"/>
      <c r="O69" s="120"/>
      <c r="P69" s="120"/>
      <c r="Q69" s="95" t="str">
        <f>IFERROR(IF(YES_Writing_ELA[[#This Row],[Literacy IPP]]='Writing Logic'!$E$26,"IPP",IF(OR(M69="EAL",N69="EAL",O69="EAL",P69="EAL"),"EAL",IF(M69='Writing Logic'!$A$10,AVERAGE(VLOOKUP(N69,'Writing Logic'!$A$3:$B$7,2,FALSE),VLOOKUP(O69,'Writing Logic'!$A$3:$B$7,2,FALSE),VLOOKUP(P69,'Writing Logic'!$A$3:$B$7,2,FALSE)),AVERAGE(VLOOKUP(M69,'Writing Logic'!$A$3:$B$7,2,FALSE),VLOOKUP(N69,'Writing Logic'!$A$3:$B$7,2,FALSE),VLOOKUP(O69,'Writing Logic'!$A$3:$B$7,2,FALSE),VLOOKUP(P69,'Writing Logic'!$A$3:$B$7,2,FALSE))))),"Fill All 4")</f>
        <v>Fill All 4</v>
      </c>
      <c r="R69" s="120"/>
      <c r="S69" s="120"/>
      <c r="T69" s="120"/>
      <c r="U69" s="120"/>
      <c r="V69" s="95" t="str">
        <f>IFERROR(IF(YES_Writing_ELA[[#This Row],[Literacy IPP]]='Writing Logic'!$E$26,"IPP",IF(OR(R69="EAL",S69="EAL",T69="EAL",U69="EAL"),"EAL",IF(R69='Writing Logic'!$A$10,AVERAGE(VLOOKUP(S69,'Writing Logic'!$A$3:$B$7,2,FALSE),VLOOKUP(T69,'Writing Logic'!$A$3:$B$7,2,FALSE),VLOOKUP(U69,'Writing Logic'!$A$3:$B$7,2,FALSE)),AVERAGE(VLOOKUP(R69,'Writing Logic'!$A$3:$B$7,2,FALSE),VLOOKUP(S69,'Writing Logic'!$A$3:$B$7,2,FALSE),VLOOKUP(T69,'Writing Logic'!$A$3:$B$7,2,FALSE),VLOOKUP(U69,'Writing Logic'!$A$3:$B$7,2,FALSE))))),"Fill All 4")</f>
        <v>Fill All 4</v>
      </c>
      <c r="W69" s="95" t="str">
        <f t="shared" si="5"/>
        <v/>
      </c>
      <c r="X69" s="120"/>
      <c r="Y69" s="120"/>
      <c r="Z69" s="120"/>
      <c r="AA69" s="120"/>
      <c r="AB69" s="95" t="str">
        <f>IFERROR(IF(YES_Writing_ELA[[#This Row],[Literacy IPP]]='Writing Logic'!$E$26,"IPP",IF(OR(X69="EAL",Y69="EAL",Z69="EAL",AA69="EAL"),"EAL",IF(X69='Writing Logic'!$A$10,AVERAGE(VLOOKUP(Y69,'Writing Logic'!$A$3:$B$7,2,FALSE),VLOOKUP(Z69,'Writing Logic'!$A$3:$B$7,2,FALSE),VLOOKUP(AA69,'Writing Logic'!$A$3:$B$7,2,FALSE)),AVERAGE(VLOOKUP(X69,'Writing Logic'!$A$3:$B$7,2,FALSE),VLOOKUP(Y69,'Writing Logic'!$A$3:$B$7,2,FALSE),VLOOKUP(Z69,'Writing Logic'!$A$3:$B$7,2,FALSE),VLOOKUP(AA69,'Writing Logic'!$A$3:$B$7,2,FALSE))))),"Fill All 4")</f>
        <v>Fill All 4</v>
      </c>
      <c r="AC69" s="95" t="str">
        <f t="shared" si="6"/>
        <v/>
      </c>
      <c r="AD69" s="120"/>
      <c r="AE69" s="120"/>
      <c r="AF69" s="120"/>
      <c r="AG69" s="120"/>
      <c r="AH69" s="95" t="str">
        <f>IFERROR(IF(YES_Writing_ELA[[#This Row],[Literacy IPP]]='Writing Logic'!$E$26,"IPP",IF(OR(AD69="EAL",AE69="EAL",AF69="EAL",AG69="EAL"),"EAL",IF(AD69='Writing Logic'!$A$10,AVERAGE(VLOOKUP(AE69,'Writing Logic'!$A$3:$B$7,2,FALSE),VLOOKUP(AF69,'Writing Logic'!$A$3:$B$7,2,FALSE),VLOOKUP(AG69,'Writing Logic'!$A$3:$B$7,2,FALSE)),AVERAGE(VLOOKUP(AD69,'Writing Logic'!$A$3:$B$7,2,FALSE),VLOOKUP(AE69,'Writing Logic'!$A$3:$B$7,2,FALSE),VLOOKUP(AF69,'Writing Logic'!$A$3:$B$7,2,FALSE),VLOOKUP(AG69,'Writing Logic'!$A$3:$B$7,2,FALSE))))),"Fill All 4")</f>
        <v>Fill All 4</v>
      </c>
      <c r="AI69" s="95" t="str">
        <f t="shared" si="7"/>
        <v/>
      </c>
      <c r="AJ69" s="183"/>
      <c r="AK69" s="120"/>
      <c r="AL69" s="120"/>
      <c r="AM69" s="120"/>
      <c r="AN69" s="95" t="str">
        <f>IFERROR(IF(YES_Writing_ELA[[#This Row],[Literacy IPP]]='Writing Logic'!$E$26,"IPP",IF(OR(AJ69="EAL",AK69="EAL",AL69="EAL",AM69="EAL"),"EAL",IF(AJ69='Writing Logic'!$A$10,AVERAGE(VLOOKUP(AK69,'Writing Logic'!$A$3:$B$7,2,FALSE),VLOOKUP(AL69,'Writing Logic'!$A$3:$B$7,2,FALSE),VLOOKUP(AM69,'Writing Logic'!$A$3:$B$7,2,FALSE)),AVERAGE(VLOOKUP(AJ69,'Writing Logic'!$A$3:$B$7,2,FALSE),VLOOKUP(AK69,'Writing Logic'!$A$3:$B$7,2,FALSE),VLOOKUP(AL69,'Writing Logic'!$A$3:$B$7,2,FALSE),VLOOKUP(AM69,'Writing Logic'!$A$3:$B$7,2,FALSE))))),"Fill All 4")</f>
        <v>Fill All 4</v>
      </c>
      <c r="AO69" s="95" t="str">
        <f t="shared" si="8"/>
        <v/>
      </c>
      <c r="AP69" s="120"/>
      <c r="AQ69" s="120"/>
      <c r="AR69" s="120"/>
      <c r="AS69" s="120"/>
      <c r="AT69" s="95" t="str">
        <f>IFERROR(IF(YES_Writing_ELA[[#This Row],[Literacy IPP]]='Writing Logic'!$E$26,"IPP",IF(OR(AP69="EAL",AQ69="EAL",AR69="EAL",AS69="EAL"),"EAL",IF(AP69='Writing Logic'!$A$10,AVERAGE(VLOOKUP(AQ69,'Writing Logic'!$A$3:$B$7,2,FALSE),VLOOKUP(AR69,'Writing Logic'!$A$3:$B$7,2,FALSE),VLOOKUP(AS69,'Writing Logic'!$A$3:$B$7,2,FALSE)),AVERAGE(VLOOKUP(AP69,'Writing Logic'!$A$3:$B$7,2,FALSE),VLOOKUP(AQ69,'Writing Logic'!$A$3:$B$7,2,FALSE),VLOOKUP(AR69,'Writing Logic'!$A$3:$B$7,2,FALSE),VLOOKUP(AS69,'Writing Logic'!$A$3:$B$7,2,FALSE))))),"Fill All 4")</f>
        <v>Fill All 4</v>
      </c>
      <c r="AU69" s="95" t="str">
        <f t="shared" si="9"/>
        <v/>
      </c>
    </row>
    <row r="70" spans="1:47" x14ac:dyDescent="0.25">
      <c r="A70" s="245"/>
      <c r="B70" s="236"/>
      <c r="C70" s="13"/>
      <c r="D70" s="236"/>
      <c r="E70" s="49"/>
      <c r="F70" s="49"/>
      <c r="G70" s="49"/>
      <c r="H70" s="49"/>
      <c r="I70" s="49"/>
      <c r="J70" s="49"/>
      <c r="K70" s="183"/>
      <c r="L70" s="184"/>
      <c r="M70" s="120"/>
      <c r="N70" s="120"/>
      <c r="O70" s="120"/>
      <c r="P70" s="120"/>
      <c r="Q70" s="95" t="str">
        <f>IFERROR(IF(YES_Writing_ELA[[#This Row],[Literacy IPP]]='Writing Logic'!$E$26,"IPP",IF(OR(M70="EAL",N70="EAL",O70="EAL",P70="EAL"),"EAL",IF(M70='Writing Logic'!$A$10,AVERAGE(VLOOKUP(N70,'Writing Logic'!$A$3:$B$7,2,FALSE),VLOOKUP(O70,'Writing Logic'!$A$3:$B$7,2,FALSE),VLOOKUP(P70,'Writing Logic'!$A$3:$B$7,2,FALSE)),AVERAGE(VLOOKUP(M70,'Writing Logic'!$A$3:$B$7,2,FALSE),VLOOKUP(N70,'Writing Logic'!$A$3:$B$7,2,FALSE),VLOOKUP(O70,'Writing Logic'!$A$3:$B$7,2,FALSE),VLOOKUP(P70,'Writing Logic'!$A$3:$B$7,2,FALSE))))),"Fill All 4")</f>
        <v>Fill All 4</v>
      </c>
      <c r="R70" s="120"/>
      <c r="S70" s="120"/>
      <c r="T70" s="120"/>
      <c r="U70" s="120"/>
      <c r="V70" s="95" t="str">
        <f>IFERROR(IF(YES_Writing_ELA[[#This Row],[Literacy IPP]]='Writing Logic'!$E$26,"IPP",IF(OR(R70="EAL",S70="EAL",T70="EAL",U70="EAL"),"EAL",IF(R70='Writing Logic'!$A$10,AVERAGE(VLOOKUP(S70,'Writing Logic'!$A$3:$B$7,2,FALSE),VLOOKUP(T70,'Writing Logic'!$A$3:$B$7,2,FALSE),VLOOKUP(U70,'Writing Logic'!$A$3:$B$7,2,FALSE)),AVERAGE(VLOOKUP(R70,'Writing Logic'!$A$3:$B$7,2,FALSE),VLOOKUP(S70,'Writing Logic'!$A$3:$B$7,2,FALSE),VLOOKUP(T70,'Writing Logic'!$A$3:$B$7,2,FALSE),VLOOKUP(U70,'Writing Logic'!$A$3:$B$7,2,FALSE))))),"Fill All 4")</f>
        <v>Fill All 4</v>
      </c>
      <c r="W70" s="95" t="str">
        <f t="shared" si="5"/>
        <v/>
      </c>
      <c r="X70" s="120"/>
      <c r="Y70" s="120"/>
      <c r="Z70" s="120"/>
      <c r="AA70" s="120"/>
      <c r="AB70" s="95" t="str">
        <f>IFERROR(IF(YES_Writing_ELA[[#This Row],[Literacy IPP]]='Writing Logic'!$E$26,"IPP",IF(OR(X70="EAL",Y70="EAL",Z70="EAL",AA70="EAL"),"EAL",IF(X70='Writing Logic'!$A$10,AVERAGE(VLOOKUP(Y70,'Writing Logic'!$A$3:$B$7,2,FALSE),VLOOKUP(Z70,'Writing Logic'!$A$3:$B$7,2,FALSE),VLOOKUP(AA70,'Writing Logic'!$A$3:$B$7,2,FALSE)),AVERAGE(VLOOKUP(X70,'Writing Logic'!$A$3:$B$7,2,FALSE),VLOOKUP(Y70,'Writing Logic'!$A$3:$B$7,2,FALSE),VLOOKUP(Z70,'Writing Logic'!$A$3:$B$7,2,FALSE),VLOOKUP(AA70,'Writing Logic'!$A$3:$B$7,2,FALSE))))),"Fill All 4")</f>
        <v>Fill All 4</v>
      </c>
      <c r="AC70" s="95" t="str">
        <f t="shared" si="6"/>
        <v/>
      </c>
      <c r="AD70" s="120"/>
      <c r="AE70" s="120"/>
      <c r="AF70" s="120"/>
      <c r="AG70" s="120"/>
      <c r="AH70" s="95" t="str">
        <f>IFERROR(IF(YES_Writing_ELA[[#This Row],[Literacy IPP]]='Writing Logic'!$E$26,"IPP",IF(OR(AD70="EAL",AE70="EAL",AF70="EAL",AG70="EAL"),"EAL",IF(AD70='Writing Logic'!$A$10,AVERAGE(VLOOKUP(AE70,'Writing Logic'!$A$3:$B$7,2,FALSE),VLOOKUP(AF70,'Writing Logic'!$A$3:$B$7,2,FALSE),VLOOKUP(AG70,'Writing Logic'!$A$3:$B$7,2,FALSE)),AVERAGE(VLOOKUP(AD70,'Writing Logic'!$A$3:$B$7,2,FALSE),VLOOKUP(AE70,'Writing Logic'!$A$3:$B$7,2,FALSE),VLOOKUP(AF70,'Writing Logic'!$A$3:$B$7,2,FALSE),VLOOKUP(AG70,'Writing Logic'!$A$3:$B$7,2,FALSE))))),"Fill All 4")</f>
        <v>Fill All 4</v>
      </c>
      <c r="AI70" s="95" t="str">
        <f t="shared" si="7"/>
        <v/>
      </c>
      <c r="AJ70" s="183"/>
      <c r="AK70" s="120"/>
      <c r="AL70" s="120"/>
      <c r="AM70" s="120"/>
      <c r="AN70" s="95" t="str">
        <f>IFERROR(IF(YES_Writing_ELA[[#This Row],[Literacy IPP]]='Writing Logic'!$E$26,"IPP",IF(OR(AJ70="EAL",AK70="EAL",AL70="EAL",AM70="EAL"),"EAL",IF(AJ70='Writing Logic'!$A$10,AVERAGE(VLOOKUP(AK70,'Writing Logic'!$A$3:$B$7,2,FALSE),VLOOKUP(AL70,'Writing Logic'!$A$3:$B$7,2,FALSE),VLOOKUP(AM70,'Writing Logic'!$A$3:$B$7,2,FALSE)),AVERAGE(VLOOKUP(AJ70,'Writing Logic'!$A$3:$B$7,2,FALSE),VLOOKUP(AK70,'Writing Logic'!$A$3:$B$7,2,FALSE),VLOOKUP(AL70,'Writing Logic'!$A$3:$B$7,2,FALSE),VLOOKUP(AM70,'Writing Logic'!$A$3:$B$7,2,FALSE))))),"Fill All 4")</f>
        <v>Fill All 4</v>
      </c>
      <c r="AO70" s="95" t="str">
        <f t="shared" si="8"/>
        <v/>
      </c>
      <c r="AP70" s="120"/>
      <c r="AQ70" s="120"/>
      <c r="AR70" s="120"/>
      <c r="AS70" s="120"/>
      <c r="AT70" s="95" t="str">
        <f>IFERROR(IF(YES_Writing_ELA[[#This Row],[Literacy IPP]]='Writing Logic'!$E$26,"IPP",IF(OR(AP70="EAL",AQ70="EAL",AR70="EAL",AS70="EAL"),"EAL",IF(AP70='Writing Logic'!$A$10,AVERAGE(VLOOKUP(AQ70,'Writing Logic'!$A$3:$B$7,2,FALSE),VLOOKUP(AR70,'Writing Logic'!$A$3:$B$7,2,FALSE),VLOOKUP(AS70,'Writing Logic'!$A$3:$B$7,2,FALSE)),AVERAGE(VLOOKUP(AP70,'Writing Logic'!$A$3:$B$7,2,FALSE),VLOOKUP(AQ70,'Writing Logic'!$A$3:$B$7,2,FALSE),VLOOKUP(AR70,'Writing Logic'!$A$3:$B$7,2,FALSE),VLOOKUP(AS70,'Writing Logic'!$A$3:$B$7,2,FALSE))))),"Fill All 4")</f>
        <v>Fill All 4</v>
      </c>
      <c r="AU70" s="95" t="str">
        <f t="shared" si="9"/>
        <v/>
      </c>
    </row>
    <row r="71" spans="1:47" x14ac:dyDescent="0.25">
      <c r="A71" s="13"/>
      <c r="B71" s="13"/>
      <c r="C71" s="13"/>
      <c r="D71" s="13"/>
      <c r="E71" s="13"/>
      <c r="F71" s="13"/>
      <c r="G71" s="13"/>
      <c r="H71" s="13"/>
      <c r="I71" s="13"/>
      <c r="J71" s="13"/>
      <c r="K71" s="183"/>
      <c r="L71" s="184"/>
      <c r="M71" s="120"/>
      <c r="N71" s="120"/>
      <c r="O71" s="120"/>
      <c r="P71" s="120"/>
      <c r="Q71" s="95" t="str">
        <f>IFERROR(IF(YES_Writing_ELA[[#This Row],[Literacy IPP]]='Writing Logic'!$E$26,"IPP",IF(OR(M71="EAL",N71="EAL",O71="EAL",P71="EAL"),"EAL",IF(M71='Writing Logic'!$A$10,AVERAGE(VLOOKUP(N71,'Writing Logic'!$A$3:$B$7,2,FALSE),VLOOKUP(O71,'Writing Logic'!$A$3:$B$7,2,FALSE),VLOOKUP(P71,'Writing Logic'!$A$3:$B$7,2,FALSE)),AVERAGE(VLOOKUP(M71,'Writing Logic'!$A$3:$B$7,2,FALSE),VLOOKUP(N71,'Writing Logic'!$A$3:$B$7,2,FALSE),VLOOKUP(O71,'Writing Logic'!$A$3:$B$7,2,FALSE),VLOOKUP(P71,'Writing Logic'!$A$3:$B$7,2,FALSE))))),"Fill All 4")</f>
        <v>Fill All 4</v>
      </c>
      <c r="R71" s="120"/>
      <c r="S71" s="120"/>
      <c r="T71" s="120"/>
      <c r="U71" s="120"/>
      <c r="V71" s="95" t="str">
        <f>IFERROR(IF(YES_Writing_ELA[[#This Row],[Literacy IPP]]='Writing Logic'!$E$26,"IPP",IF(OR(R71="EAL",S71="EAL",T71="EAL",U71="EAL"),"EAL",IF(R71='Writing Logic'!$A$10,AVERAGE(VLOOKUP(S71,'Writing Logic'!$A$3:$B$7,2,FALSE),VLOOKUP(T71,'Writing Logic'!$A$3:$B$7,2,FALSE),VLOOKUP(U71,'Writing Logic'!$A$3:$B$7,2,FALSE)),AVERAGE(VLOOKUP(R71,'Writing Logic'!$A$3:$B$7,2,FALSE),VLOOKUP(S71,'Writing Logic'!$A$3:$B$7,2,FALSE),VLOOKUP(T71,'Writing Logic'!$A$3:$B$7,2,FALSE),VLOOKUP(U71,'Writing Logic'!$A$3:$B$7,2,FALSE))))),"Fill All 4")</f>
        <v>Fill All 4</v>
      </c>
      <c r="W71" s="95" t="str">
        <f t="shared" si="5"/>
        <v/>
      </c>
      <c r="X71" s="120"/>
      <c r="Y71" s="120"/>
      <c r="Z71" s="120"/>
      <c r="AA71" s="120"/>
      <c r="AB71" s="95" t="str">
        <f>IFERROR(IF(YES_Writing_ELA[[#This Row],[Literacy IPP]]='Writing Logic'!$E$26,"IPP",IF(OR(X71="EAL",Y71="EAL",Z71="EAL",AA71="EAL"),"EAL",IF(X71='Writing Logic'!$A$10,AVERAGE(VLOOKUP(Y71,'Writing Logic'!$A$3:$B$7,2,FALSE),VLOOKUP(Z71,'Writing Logic'!$A$3:$B$7,2,FALSE),VLOOKUP(AA71,'Writing Logic'!$A$3:$B$7,2,FALSE)),AVERAGE(VLOOKUP(X71,'Writing Logic'!$A$3:$B$7,2,FALSE),VLOOKUP(Y71,'Writing Logic'!$A$3:$B$7,2,FALSE),VLOOKUP(Z71,'Writing Logic'!$A$3:$B$7,2,FALSE),VLOOKUP(AA71,'Writing Logic'!$A$3:$B$7,2,FALSE))))),"Fill All 4")</f>
        <v>Fill All 4</v>
      </c>
      <c r="AC71" s="95" t="str">
        <f t="shared" si="6"/>
        <v/>
      </c>
      <c r="AD71" s="120"/>
      <c r="AE71" s="120"/>
      <c r="AF71" s="120"/>
      <c r="AG71" s="120"/>
      <c r="AH71" s="95" t="str">
        <f>IFERROR(IF(YES_Writing_ELA[[#This Row],[Literacy IPP]]='Writing Logic'!$E$26,"IPP",IF(OR(AD71="EAL",AE71="EAL",AF71="EAL",AG71="EAL"),"EAL",IF(AD71='Writing Logic'!$A$10,AVERAGE(VLOOKUP(AE71,'Writing Logic'!$A$3:$B$7,2,FALSE),VLOOKUP(AF71,'Writing Logic'!$A$3:$B$7,2,FALSE),VLOOKUP(AG71,'Writing Logic'!$A$3:$B$7,2,FALSE)),AVERAGE(VLOOKUP(AD71,'Writing Logic'!$A$3:$B$7,2,FALSE),VLOOKUP(AE71,'Writing Logic'!$A$3:$B$7,2,FALSE),VLOOKUP(AF71,'Writing Logic'!$A$3:$B$7,2,FALSE),VLOOKUP(AG71,'Writing Logic'!$A$3:$B$7,2,FALSE))))),"Fill All 4")</f>
        <v>Fill All 4</v>
      </c>
      <c r="AI71" s="95" t="str">
        <f t="shared" si="7"/>
        <v/>
      </c>
      <c r="AJ71" s="183"/>
      <c r="AK71" s="120"/>
      <c r="AL71" s="120"/>
      <c r="AM71" s="120"/>
      <c r="AN71" s="95" t="str">
        <f>IFERROR(IF(YES_Writing_ELA[[#This Row],[Literacy IPP]]='Writing Logic'!$E$26,"IPP",IF(OR(AJ71="EAL",AK71="EAL",AL71="EAL",AM71="EAL"),"EAL",IF(AJ71='Writing Logic'!$A$10,AVERAGE(VLOOKUP(AK71,'Writing Logic'!$A$3:$B$7,2,FALSE),VLOOKUP(AL71,'Writing Logic'!$A$3:$B$7,2,FALSE),VLOOKUP(AM71,'Writing Logic'!$A$3:$B$7,2,FALSE)),AVERAGE(VLOOKUP(AJ71,'Writing Logic'!$A$3:$B$7,2,FALSE),VLOOKUP(AK71,'Writing Logic'!$A$3:$B$7,2,FALSE),VLOOKUP(AL71,'Writing Logic'!$A$3:$B$7,2,FALSE),VLOOKUP(AM71,'Writing Logic'!$A$3:$B$7,2,FALSE))))),"Fill All 4")</f>
        <v>Fill All 4</v>
      </c>
      <c r="AO71" s="95" t="str">
        <f t="shared" si="8"/>
        <v/>
      </c>
      <c r="AP71" s="120"/>
      <c r="AQ71" s="120"/>
      <c r="AR71" s="120"/>
      <c r="AS71" s="120"/>
      <c r="AT71" s="95" t="str">
        <f>IFERROR(IF(YES_Writing_ELA[[#This Row],[Literacy IPP]]='Writing Logic'!$E$26,"IPP",IF(OR(AP71="EAL",AQ71="EAL",AR71="EAL",AS71="EAL"),"EAL",IF(AP71='Writing Logic'!$A$10,AVERAGE(VLOOKUP(AQ71,'Writing Logic'!$A$3:$B$7,2,FALSE),VLOOKUP(AR71,'Writing Logic'!$A$3:$B$7,2,FALSE),VLOOKUP(AS71,'Writing Logic'!$A$3:$B$7,2,FALSE)),AVERAGE(VLOOKUP(AP71,'Writing Logic'!$A$3:$B$7,2,FALSE),VLOOKUP(AQ71,'Writing Logic'!$A$3:$B$7,2,FALSE),VLOOKUP(AR71,'Writing Logic'!$A$3:$B$7,2,FALSE),VLOOKUP(AS71,'Writing Logic'!$A$3:$B$7,2,FALSE))))),"Fill All 4")</f>
        <v>Fill All 4</v>
      </c>
      <c r="AU71" s="95" t="str">
        <f t="shared" si="9"/>
        <v/>
      </c>
    </row>
    <row r="72" spans="1:47" x14ac:dyDescent="0.25">
      <c r="A72" s="13"/>
      <c r="B72" s="13"/>
      <c r="C72" s="13"/>
      <c r="D72" s="13"/>
      <c r="E72" s="13"/>
      <c r="F72" s="13"/>
      <c r="G72" s="13"/>
      <c r="H72" s="13"/>
      <c r="I72" s="13"/>
      <c r="J72" s="13"/>
      <c r="K72" s="183"/>
      <c r="L72" s="184"/>
      <c r="M72" s="120"/>
      <c r="N72" s="120"/>
      <c r="O72" s="120"/>
      <c r="P72" s="120"/>
      <c r="Q72" s="95" t="str">
        <f>IFERROR(IF(YES_Writing_ELA[[#This Row],[Literacy IPP]]='Writing Logic'!$E$26,"IPP",IF(OR(M72="EAL",N72="EAL",O72="EAL",P72="EAL"),"EAL",IF(M72='Writing Logic'!$A$10,AVERAGE(VLOOKUP(N72,'Writing Logic'!$A$3:$B$7,2,FALSE),VLOOKUP(O72,'Writing Logic'!$A$3:$B$7,2,FALSE),VLOOKUP(P72,'Writing Logic'!$A$3:$B$7,2,FALSE)),AVERAGE(VLOOKUP(M72,'Writing Logic'!$A$3:$B$7,2,FALSE),VLOOKUP(N72,'Writing Logic'!$A$3:$B$7,2,FALSE),VLOOKUP(O72,'Writing Logic'!$A$3:$B$7,2,FALSE),VLOOKUP(P72,'Writing Logic'!$A$3:$B$7,2,FALSE))))),"Fill All 4")</f>
        <v>Fill All 4</v>
      </c>
      <c r="R72" s="120"/>
      <c r="S72" s="120"/>
      <c r="T72" s="120"/>
      <c r="U72" s="120"/>
      <c r="V72" s="95" t="str">
        <f>IFERROR(IF(YES_Writing_ELA[[#This Row],[Literacy IPP]]='Writing Logic'!$E$26,"IPP",IF(OR(R72="EAL",S72="EAL",T72="EAL",U72="EAL"),"EAL",IF(R72='Writing Logic'!$A$10,AVERAGE(VLOOKUP(S72,'Writing Logic'!$A$3:$B$7,2,FALSE),VLOOKUP(T72,'Writing Logic'!$A$3:$B$7,2,FALSE),VLOOKUP(U72,'Writing Logic'!$A$3:$B$7,2,FALSE)),AVERAGE(VLOOKUP(R72,'Writing Logic'!$A$3:$B$7,2,FALSE),VLOOKUP(S72,'Writing Logic'!$A$3:$B$7,2,FALSE),VLOOKUP(T72,'Writing Logic'!$A$3:$B$7,2,FALSE),VLOOKUP(U72,'Writing Logic'!$A$3:$B$7,2,FALSE))))),"Fill All 4")</f>
        <v>Fill All 4</v>
      </c>
      <c r="W72" s="95" t="str">
        <f t="shared" si="5"/>
        <v/>
      </c>
      <c r="X72" s="120"/>
      <c r="Y72" s="120"/>
      <c r="Z72" s="120"/>
      <c r="AA72" s="120"/>
      <c r="AB72" s="95" t="str">
        <f>IFERROR(IF(YES_Writing_ELA[[#This Row],[Literacy IPP]]='Writing Logic'!$E$26,"IPP",IF(OR(X72="EAL",Y72="EAL",Z72="EAL",AA72="EAL"),"EAL",IF(X72='Writing Logic'!$A$10,AVERAGE(VLOOKUP(Y72,'Writing Logic'!$A$3:$B$7,2,FALSE),VLOOKUP(Z72,'Writing Logic'!$A$3:$B$7,2,FALSE),VLOOKUP(AA72,'Writing Logic'!$A$3:$B$7,2,FALSE)),AVERAGE(VLOOKUP(X72,'Writing Logic'!$A$3:$B$7,2,FALSE),VLOOKUP(Y72,'Writing Logic'!$A$3:$B$7,2,FALSE),VLOOKUP(Z72,'Writing Logic'!$A$3:$B$7,2,FALSE),VLOOKUP(AA72,'Writing Logic'!$A$3:$B$7,2,FALSE))))),"Fill All 4")</f>
        <v>Fill All 4</v>
      </c>
      <c r="AC72" s="95" t="str">
        <f t="shared" si="6"/>
        <v/>
      </c>
      <c r="AD72" s="120"/>
      <c r="AE72" s="120"/>
      <c r="AF72" s="120"/>
      <c r="AG72" s="120"/>
      <c r="AH72" s="95" t="str">
        <f>IFERROR(IF(YES_Writing_ELA[[#This Row],[Literacy IPP]]='Writing Logic'!$E$26,"IPP",IF(OR(AD72="EAL",AE72="EAL",AF72="EAL",AG72="EAL"),"EAL",IF(AD72='Writing Logic'!$A$10,AVERAGE(VLOOKUP(AE72,'Writing Logic'!$A$3:$B$7,2,FALSE),VLOOKUP(AF72,'Writing Logic'!$A$3:$B$7,2,FALSE),VLOOKUP(AG72,'Writing Logic'!$A$3:$B$7,2,FALSE)),AVERAGE(VLOOKUP(AD72,'Writing Logic'!$A$3:$B$7,2,FALSE),VLOOKUP(AE72,'Writing Logic'!$A$3:$B$7,2,FALSE),VLOOKUP(AF72,'Writing Logic'!$A$3:$B$7,2,FALSE),VLOOKUP(AG72,'Writing Logic'!$A$3:$B$7,2,FALSE))))),"Fill All 4")</f>
        <v>Fill All 4</v>
      </c>
      <c r="AI72" s="95" t="str">
        <f t="shared" si="7"/>
        <v/>
      </c>
      <c r="AJ72" s="183"/>
      <c r="AK72" s="120"/>
      <c r="AL72" s="120"/>
      <c r="AM72" s="120"/>
      <c r="AN72" s="95" t="str">
        <f>IFERROR(IF(YES_Writing_ELA[[#This Row],[Literacy IPP]]='Writing Logic'!$E$26,"IPP",IF(OR(AJ72="EAL",AK72="EAL",AL72="EAL",AM72="EAL"),"EAL",IF(AJ72='Writing Logic'!$A$10,AVERAGE(VLOOKUP(AK72,'Writing Logic'!$A$3:$B$7,2,FALSE),VLOOKUP(AL72,'Writing Logic'!$A$3:$B$7,2,FALSE),VLOOKUP(AM72,'Writing Logic'!$A$3:$B$7,2,FALSE)),AVERAGE(VLOOKUP(AJ72,'Writing Logic'!$A$3:$B$7,2,FALSE),VLOOKUP(AK72,'Writing Logic'!$A$3:$B$7,2,FALSE),VLOOKUP(AL72,'Writing Logic'!$A$3:$B$7,2,FALSE),VLOOKUP(AM72,'Writing Logic'!$A$3:$B$7,2,FALSE))))),"Fill All 4")</f>
        <v>Fill All 4</v>
      </c>
      <c r="AO72" s="95" t="str">
        <f t="shared" si="8"/>
        <v/>
      </c>
      <c r="AP72" s="120"/>
      <c r="AQ72" s="120"/>
      <c r="AR72" s="120"/>
      <c r="AS72" s="120"/>
      <c r="AT72" s="95" t="str">
        <f>IFERROR(IF(YES_Writing_ELA[[#This Row],[Literacy IPP]]='Writing Logic'!$E$26,"IPP",IF(OR(AP72="EAL",AQ72="EAL",AR72="EAL",AS72="EAL"),"EAL",IF(AP72='Writing Logic'!$A$10,AVERAGE(VLOOKUP(AQ72,'Writing Logic'!$A$3:$B$7,2,FALSE),VLOOKUP(AR72,'Writing Logic'!$A$3:$B$7,2,FALSE),VLOOKUP(AS72,'Writing Logic'!$A$3:$B$7,2,FALSE)),AVERAGE(VLOOKUP(AP72,'Writing Logic'!$A$3:$B$7,2,FALSE),VLOOKUP(AQ72,'Writing Logic'!$A$3:$B$7,2,FALSE),VLOOKUP(AR72,'Writing Logic'!$A$3:$B$7,2,FALSE),VLOOKUP(AS72,'Writing Logic'!$A$3:$B$7,2,FALSE))))),"Fill All 4")</f>
        <v>Fill All 4</v>
      </c>
      <c r="AU72" s="95" t="str">
        <f t="shared" si="9"/>
        <v/>
      </c>
    </row>
    <row r="73" spans="1:47" x14ac:dyDescent="0.25">
      <c r="A73" s="13"/>
      <c r="B73" s="13"/>
      <c r="C73" s="13"/>
      <c r="D73" s="13"/>
      <c r="E73" s="13"/>
      <c r="F73" s="13"/>
      <c r="G73" s="13"/>
      <c r="H73" s="13"/>
      <c r="I73" s="13"/>
      <c r="J73" s="13"/>
      <c r="K73" s="183"/>
      <c r="L73" s="184"/>
      <c r="M73" s="120"/>
      <c r="N73" s="120"/>
      <c r="O73" s="120"/>
      <c r="P73" s="120"/>
      <c r="Q73" s="95" t="str">
        <f>IFERROR(IF(YES_Writing_ELA[[#This Row],[Literacy IPP]]='Writing Logic'!$E$26,"IPP",IF(OR(M73="EAL",N73="EAL",O73="EAL",P73="EAL"),"EAL",IF(M73='Writing Logic'!$A$10,AVERAGE(VLOOKUP(N73,'Writing Logic'!$A$3:$B$7,2,FALSE),VLOOKUP(O73,'Writing Logic'!$A$3:$B$7,2,FALSE),VLOOKUP(P73,'Writing Logic'!$A$3:$B$7,2,FALSE)),AVERAGE(VLOOKUP(M73,'Writing Logic'!$A$3:$B$7,2,FALSE),VLOOKUP(N73,'Writing Logic'!$A$3:$B$7,2,FALSE),VLOOKUP(O73,'Writing Logic'!$A$3:$B$7,2,FALSE),VLOOKUP(P73,'Writing Logic'!$A$3:$B$7,2,FALSE))))),"Fill All 4")</f>
        <v>Fill All 4</v>
      </c>
      <c r="R73" s="120"/>
      <c r="S73" s="120"/>
      <c r="T73" s="120"/>
      <c r="U73" s="120"/>
      <c r="V73" s="95" t="str">
        <f>IFERROR(IF(YES_Writing_ELA[[#This Row],[Literacy IPP]]='Writing Logic'!$E$26,"IPP",IF(OR(R73="EAL",S73="EAL",T73="EAL",U73="EAL"),"EAL",IF(R73='Writing Logic'!$A$10,AVERAGE(VLOOKUP(S73,'Writing Logic'!$A$3:$B$7,2,FALSE),VLOOKUP(T73,'Writing Logic'!$A$3:$B$7,2,FALSE),VLOOKUP(U73,'Writing Logic'!$A$3:$B$7,2,FALSE)),AVERAGE(VLOOKUP(R73,'Writing Logic'!$A$3:$B$7,2,FALSE),VLOOKUP(S73,'Writing Logic'!$A$3:$B$7,2,FALSE),VLOOKUP(T73,'Writing Logic'!$A$3:$B$7,2,FALSE),VLOOKUP(U73,'Writing Logic'!$A$3:$B$7,2,FALSE))))),"Fill All 4")</f>
        <v>Fill All 4</v>
      </c>
      <c r="W73" s="95" t="str">
        <f t="shared" si="5"/>
        <v/>
      </c>
      <c r="X73" s="120"/>
      <c r="Y73" s="120"/>
      <c r="Z73" s="120"/>
      <c r="AA73" s="120"/>
      <c r="AB73" s="95" t="str">
        <f>IFERROR(IF(YES_Writing_ELA[[#This Row],[Literacy IPP]]='Writing Logic'!$E$26,"IPP",IF(OR(X73="EAL",Y73="EAL",Z73="EAL",AA73="EAL"),"EAL",IF(X73='Writing Logic'!$A$10,AVERAGE(VLOOKUP(Y73,'Writing Logic'!$A$3:$B$7,2,FALSE),VLOOKUP(Z73,'Writing Logic'!$A$3:$B$7,2,FALSE),VLOOKUP(AA73,'Writing Logic'!$A$3:$B$7,2,FALSE)),AVERAGE(VLOOKUP(X73,'Writing Logic'!$A$3:$B$7,2,FALSE),VLOOKUP(Y73,'Writing Logic'!$A$3:$B$7,2,FALSE),VLOOKUP(Z73,'Writing Logic'!$A$3:$B$7,2,FALSE),VLOOKUP(AA73,'Writing Logic'!$A$3:$B$7,2,FALSE))))),"Fill All 4")</f>
        <v>Fill All 4</v>
      </c>
      <c r="AC73" s="95" t="str">
        <f t="shared" si="6"/>
        <v/>
      </c>
      <c r="AD73" s="120"/>
      <c r="AE73" s="120"/>
      <c r="AF73" s="120"/>
      <c r="AG73" s="120"/>
      <c r="AH73" s="95" t="str">
        <f>IFERROR(IF(YES_Writing_ELA[[#This Row],[Literacy IPP]]='Writing Logic'!$E$26,"IPP",IF(OR(AD73="EAL",AE73="EAL",AF73="EAL",AG73="EAL"),"EAL",IF(AD73='Writing Logic'!$A$10,AVERAGE(VLOOKUP(AE73,'Writing Logic'!$A$3:$B$7,2,FALSE),VLOOKUP(AF73,'Writing Logic'!$A$3:$B$7,2,FALSE),VLOOKUP(AG73,'Writing Logic'!$A$3:$B$7,2,FALSE)),AVERAGE(VLOOKUP(AD73,'Writing Logic'!$A$3:$B$7,2,FALSE),VLOOKUP(AE73,'Writing Logic'!$A$3:$B$7,2,FALSE),VLOOKUP(AF73,'Writing Logic'!$A$3:$B$7,2,FALSE),VLOOKUP(AG73,'Writing Logic'!$A$3:$B$7,2,FALSE))))),"Fill All 4")</f>
        <v>Fill All 4</v>
      </c>
      <c r="AI73" s="95" t="str">
        <f t="shared" si="7"/>
        <v/>
      </c>
      <c r="AJ73" s="183"/>
      <c r="AK73" s="120"/>
      <c r="AL73" s="120"/>
      <c r="AM73" s="120"/>
      <c r="AN73" s="95" t="str">
        <f>IFERROR(IF(YES_Writing_ELA[[#This Row],[Literacy IPP]]='Writing Logic'!$E$26,"IPP",IF(OR(AJ73="EAL",AK73="EAL",AL73="EAL",AM73="EAL"),"EAL",IF(AJ73='Writing Logic'!$A$10,AVERAGE(VLOOKUP(AK73,'Writing Logic'!$A$3:$B$7,2,FALSE),VLOOKUP(AL73,'Writing Logic'!$A$3:$B$7,2,FALSE),VLOOKUP(AM73,'Writing Logic'!$A$3:$B$7,2,FALSE)),AVERAGE(VLOOKUP(AJ73,'Writing Logic'!$A$3:$B$7,2,FALSE),VLOOKUP(AK73,'Writing Logic'!$A$3:$B$7,2,FALSE),VLOOKUP(AL73,'Writing Logic'!$A$3:$B$7,2,FALSE),VLOOKUP(AM73,'Writing Logic'!$A$3:$B$7,2,FALSE))))),"Fill All 4")</f>
        <v>Fill All 4</v>
      </c>
      <c r="AO73" s="95" t="str">
        <f t="shared" si="8"/>
        <v/>
      </c>
      <c r="AP73" s="120"/>
      <c r="AQ73" s="120"/>
      <c r="AR73" s="120"/>
      <c r="AS73" s="120"/>
      <c r="AT73" s="95" t="str">
        <f>IFERROR(IF(YES_Writing_ELA[[#This Row],[Literacy IPP]]='Writing Logic'!$E$26,"IPP",IF(OR(AP73="EAL",AQ73="EAL",AR73="EAL",AS73="EAL"),"EAL",IF(AP73='Writing Logic'!$A$10,AVERAGE(VLOOKUP(AQ73,'Writing Logic'!$A$3:$B$7,2,FALSE),VLOOKUP(AR73,'Writing Logic'!$A$3:$B$7,2,FALSE),VLOOKUP(AS73,'Writing Logic'!$A$3:$B$7,2,FALSE)),AVERAGE(VLOOKUP(AP73,'Writing Logic'!$A$3:$B$7,2,FALSE),VLOOKUP(AQ73,'Writing Logic'!$A$3:$B$7,2,FALSE),VLOOKUP(AR73,'Writing Logic'!$A$3:$B$7,2,FALSE),VLOOKUP(AS73,'Writing Logic'!$A$3:$B$7,2,FALSE))))),"Fill All 4")</f>
        <v>Fill All 4</v>
      </c>
      <c r="AU73" s="95" t="str">
        <f t="shared" si="9"/>
        <v/>
      </c>
    </row>
    <row r="74" spans="1:47" x14ac:dyDescent="0.25">
      <c r="A74" s="13"/>
      <c r="B74" s="13"/>
      <c r="C74" s="13"/>
      <c r="D74" s="13"/>
      <c r="E74" s="13"/>
      <c r="F74" s="13"/>
      <c r="G74" s="13"/>
      <c r="H74" s="13"/>
      <c r="I74" s="13"/>
      <c r="J74" s="13"/>
      <c r="K74" s="183"/>
      <c r="L74" s="184"/>
      <c r="M74" s="120"/>
      <c r="N74" s="120"/>
      <c r="O74" s="120"/>
      <c r="P74" s="120"/>
      <c r="Q74" s="95" t="str">
        <f>IFERROR(IF(YES_Writing_ELA[[#This Row],[Literacy IPP]]='Writing Logic'!$E$26,"IPP",IF(OR(M74="EAL",N74="EAL",O74="EAL",P74="EAL"),"EAL",IF(M74='Writing Logic'!$A$10,AVERAGE(VLOOKUP(N74,'Writing Logic'!$A$3:$B$7,2,FALSE),VLOOKUP(O74,'Writing Logic'!$A$3:$B$7,2,FALSE),VLOOKUP(P74,'Writing Logic'!$A$3:$B$7,2,FALSE)),AVERAGE(VLOOKUP(M74,'Writing Logic'!$A$3:$B$7,2,FALSE),VLOOKUP(N74,'Writing Logic'!$A$3:$B$7,2,FALSE),VLOOKUP(O74,'Writing Logic'!$A$3:$B$7,2,FALSE),VLOOKUP(P74,'Writing Logic'!$A$3:$B$7,2,FALSE))))),"Fill All 4")</f>
        <v>Fill All 4</v>
      </c>
      <c r="R74" s="120"/>
      <c r="S74" s="120"/>
      <c r="T74" s="120"/>
      <c r="U74" s="120"/>
      <c r="V74" s="95" t="str">
        <f>IFERROR(IF(YES_Writing_ELA[[#This Row],[Literacy IPP]]='Writing Logic'!$E$26,"IPP",IF(OR(R74="EAL",S74="EAL",T74="EAL",U74="EAL"),"EAL",IF(R74='Writing Logic'!$A$10,AVERAGE(VLOOKUP(S74,'Writing Logic'!$A$3:$B$7,2,FALSE),VLOOKUP(T74,'Writing Logic'!$A$3:$B$7,2,FALSE),VLOOKUP(U74,'Writing Logic'!$A$3:$B$7,2,FALSE)),AVERAGE(VLOOKUP(R74,'Writing Logic'!$A$3:$B$7,2,FALSE),VLOOKUP(S74,'Writing Logic'!$A$3:$B$7,2,FALSE),VLOOKUP(T74,'Writing Logic'!$A$3:$B$7,2,FALSE),VLOOKUP(U74,'Writing Logic'!$A$3:$B$7,2,FALSE))))),"Fill All 4")</f>
        <v>Fill All 4</v>
      </c>
      <c r="W74" s="95" t="str">
        <f t="shared" si="5"/>
        <v/>
      </c>
      <c r="X74" s="120"/>
      <c r="Y74" s="120"/>
      <c r="Z74" s="120"/>
      <c r="AA74" s="120"/>
      <c r="AB74" s="95" t="str">
        <f>IFERROR(IF(YES_Writing_ELA[[#This Row],[Literacy IPP]]='Writing Logic'!$E$26,"IPP",IF(OR(X74="EAL",Y74="EAL",Z74="EAL",AA74="EAL"),"EAL",IF(X74='Writing Logic'!$A$10,AVERAGE(VLOOKUP(Y74,'Writing Logic'!$A$3:$B$7,2,FALSE),VLOOKUP(Z74,'Writing Logic'!$A$3:$B$7,2,FALSE),VLOOKUP(AA74,'Writing Logic'!$A$3:$B$7,2,FALSE)),AVERAGE(VLOOKUP(X74,'Writing Logic'!$A$3:$B$7,2,FALSE),VLOOKUP(Y74,'Writing Logic'!$A$3:$B$7,2,FALSE),VLOOKUP(Z74,'Writing Logic'!$A$3:$B$7,2,FALSE),VLOOKUP(AA74,'Writing Logic'!$A$3:$B$7,2,FALSE))))),"Fill All 4")</f>
        <v>Fill All 4</v>
      </c>
      <c r="AC74" s="95" t="str">
        <f t="shared" si="6"/>
        <v/>
      </c>
      <c r="AD74" s="120"/>
      <c r="AE74" s="120"/>
      <c r="AF74" s="120"/>
      <c r="AG74" s="120"/>
      <c r="AH74" s="95" t="str">
        <f>IFERROR(IF(YES_Writing_ELA[[#This Row],[Literacy IPP]]='Writing Logic'!$E$26,"IPP",IF(OR(AD74="EAL",AE74="EAL",AF74="EAL",AG74="EAL"),"EAL",IF(AD74='Writing Logic'!$A$10,AVERAGE(VLOOKUP(AE74,'Writing Logic'!$A$3:$B$7,2,FALSE),VLOOKUP(AF74,'Writing Logic'!$A$3:$B$7,2,FALSE),VLOOKUP(AG74,'Writing Logic'!$A$3:$B$7,2,FALSE)),AVERAGE(VLOOKUP(AD74,'Writing Logic'!$A$3:$B$7,2,FALSE),VLOOKUP(AE74,'Writing Logic'!$A$3:$B$7,2,FALSE),VLOOKUP(AF74,'Writing Logic'!$A$3:$B$7,2,FALSE),VLOOKUP(AG74,'Writing Logic'!$A$3:$B$7,2,FALSE))))),"Fill All 4")</f>
        <v>Fill All 4</v>
      </c>
      <c r="AI74" s="95" t="str">
        <f t="shared" si="7"/>
        <v/>
      </c>
      <c r="AJ74" s="183"/>
      <c r="AK74" s="120"/>
      <c r="AL74" s="120"/>
      <c r="AM74" s="120"/>
      <c r="AN74" s="95" t="str">
        <f>IFERROR(IF(YES_Writing_ELA[[#This Row],[Literacy IPP]]='Writing Logic'!$E$26,"IPP",IF(OR(AJ74="EAL",AK74="EAL",AL74="EAL",AM74="EAL"),"EAL",IF(AJ74='Writing Logic'!$A$10,AVERAGE(VLOOKUP(AK74,'Writing Logic'!$A$3:$B$7,2,FALSE),VLOOKUP(AL74,'Writing Logic'!$A$3:$B$7,2,FALSE),VLOOKUP(AM74,'Writing Logic'!$A$3:$B$7,2,FALSE)),AVERAGE(VLOOKUP(AJ74,'Writing Logic'!$A$3:$B$7,2,FALSE),VLOOKUP(AK74,'Writing Logic'!$A$3:$B$7,2,FALSE),VLOOKUP(AL74,'Writing Logic'!$A$3:$B$7,2,FALSE),VLOOKUP(AM74,'Writing Logic'!$A$3:$B$7,2,FALSE))))),"Fill All 4")</f>
        <v>Fill All 4</v>
      </c>
      <c r="AO74" s="95" t="str">
        <f t="shared" si="8"/>
        <v/>
      </c>
      <c r="AP74" s="120"/>
      <c r="AQ74" s="120"/>
      <c r="AR74" s="120"/>
      <c r="AS74" s="120"/>
      <c r="AT74" s="95" t="str">
        <f>IFERROR(IF(YES_Writing_ELA[[#This Row],[Literacy IPP]]='Writing Logic'!$E$26,"IPP",IF(OR(AP74="EAL",AQ74="EAL",AR74="EAL",AS74="EAL"),"EAL",IF(AP74='Writing Logic'!$A$10,AVERAGE(VLOOKUP(AQ74,'Writing Logic'!$A$3:$B$7,2,FALSE),VLOOKUP(AR74,'Writing Logic'!$A$3:$B$7,2,FALSE),VLOOKUP(AS74,'Writing Logic'!$A$3:$B$7,2,FALSE)),AVERAGE(VLOOKUP(AP74,'Writing Logic'!$A$3:$B$7,2,FALSE),VLOOKUP(AQ74,'Writing Logic'!$A$3:$B$7,2,FALSE),VLOOKUP(AR74,'Writing Logic'!$A$3:$B$7,2,FALSE),VLOOKUP(AS74,'Writing Logic'!$A$3:$B$7,2,FALSE))))),"Fill All 4")</f>
        <v>Fill All 4</v>
      </c>
      <c r="AU74" s="95" t="str">
        <f t="shared" si="9"/>
        <v/>
      </c>
    </row>
    <row r="75" spans="1:47" x14ac:dyDescent="0.25">
      <c r="A75" s="13"/>
      <c r="B75" s="13"/>
      <c r="C75" s="13"/>
      <c r="D75" s="13"/>
      <c r="E75" s="13"/>
      <c r="F75" s="13"/>
      <c r="G75" s="13"/>
      <c r="H75" s="13"/>
      <c r="I75" s="13"/>
      <c r="J75" s="13"/>
      <c r="K75" s="183"/>
      <c r="L75" s="184"/>
      <c r="M75" s="120"/>
      <c r="N75" s="120"/>
      <c r="O75" s="120"/>
      <c r="P75" s="120"/>
      <c r="Q75" s="95" t="str">
        <f>IFERROR(IF(YES_Writing_ELA[[#This Row],[Literacy IPP]]='Writing Logic'!$E$26,"IPP",IF(OR(M75="EAL",N75="EAL",O75="EAL",P75="EAL"),"EAL",IF(M75='Writing Logic'!$A$10,AVERAGE(VLOOKUP(N75,'Writing Logic'!$A$3:$B$7,2,FALSE),VLOOKUP(O75,'Writing Logic'!$A$3:$B$7,2,FALSE),VLOOKUP(P75,'Writing Logic'!$A$3:$B$7,2,FALSE)),AVERAGE(VLOOKUP(M75,'Writing Logic'!$A$3:$B$7,2,FALSE),VLOOKUP(N75,'Writing Logic'!$A$3:$B$7,2,FALSE),VLOOKUP(O75,'Writing Logic'!$A$3:$B$7,2,FALSE),VLOOKUP(P75,'Writing Logic'!$A$3:$B$7,2,FALSE))))),"Fill All 4")</f>
        <v>Fill All 4</v>
      </c>
      <c r="R75" s="120"/>
      <c r="S75" s="120"/>
      <c r="T75" s="120"/>
      <c r="U75" s="120"/>
      <c r="V75" s="95" t="str">
        <f>IFERROR(IF(YES_Writing_ELA[[#This Row],[Literacy IPP]]='Writing Logic'!$E$26,"IPP",IF(OR(R75="EAL",S75="EAL",T75="EAL",U75="EAL"),"EAL",IF(R75='Writing Logic'!$A$10,AVERAGE(VLOOKUP(S75,'Writing Logic'!$A$3:$B$7,2,FALSE),VLOOKUP(T75,'Writing Logic'!$A$3:$B$7,2,FALSE),VLOOKUP(U75,'Writing Logic'!$A$3:$B$7,2,FALSE)),AVERAGE(VLOOKUP(R75,'Writing Logic'!$A$3:$B$7,2,FALSE),VLOOKUP(S75,'Writing Logic'!$A$3:$B$7,2,FALSE),VLOOKUP(T75,'Writing Logic'!$A$3:$B$7,2,FALSE),VLOOKUP(U75,'Writing Logic'!$A$3:$B$7,2,FALSE))))),"Fill All 4")</f>
        <v>Fill All 4</v>
      </c>
      <c r="W75" s="95" t="str">
        <f t="shared" si="5"/>
        <v/>
      </c>
      <c r="X75" s="120"/>
      <c r="Y75" s="120"/>
      <c r="Z75" s="120"/>
      <c r="AA75" s="120"/>
      <c r="AB75" s="95" t="str">
        <f>IFERROR(IF(YES_Writing_ELA[[#This Row],[Literacy IPP]]='Writing Logic'!$E$26,"IPP",IF(OR(X75="EAL",Y75="EAL",Z75="EAL",AA75="EAL"),"EAL",IF(X75='Writing Logic'!$A$10,AVERAGE(VLOOKUP(Y75,'Writing Logic'!$A$3:$B$7,2,FALSE),VLOOKUP(Z75,'Writing Logic'!$A$3:$B$7,2,FALSE),VLOOKUP(AA75,'Writing Logic'!$A$3:$B$7,2,FALSE)),AVERAGE(VLOOKUP(X75,'Writing Logic'!$A$3:$B$7,2,FALSE),VLOOKUP(Y75,'Writing Logic'!$A$3:$B$7,2,FALSE),VLOOKUP(Z75,'Writing Logic'!$A$3:$B$7,2,FALSE),VLOOKUP(AA75,'Writing Logic'!$A$3:$B$7,2,FALSE))))),"Fill All 4")</f>
        <v>Fill All 4</v>
      </c>
      <c r="AC75" s="95" t="str">
        <f t="shared" si="6"/>
        <v/>
      </c>
      <c r="AD75" s="120"/>
      <c r="AE75" s="120"/>
      <c r="AF75" s="120"/>
      <c r="AG75" s="120"/>
      <c r="AH75" s="95" t="str">
        <f>IFERROR(IF(YES_Writing_ELA[[#This Row],[Literacy IPP]]='Writing Logic'!$E$26,"IPP",IF(OR(AD75="EAL",AE75="EAL",AF75="EAL",AG75="EAL"),"EAL",IF(AD75='Writing Logic'!$A$10,AVERAGE(VLOOKUP(AE75,'Writing Logic'!$A$3:$B$7,2,FALSE),VLOOKUP(AF75,'Writing Logic'!$A$3:$B$7,2,FALSE),VLOOKUP(AG75,'Writing Logic'!$A$3:$B$7,2,FALSE)),AVERAGE(VLOOKUP(AD75,'Writing Logic'!$A$3:$B$7,2,FALSE),VLOOKUP(AE75,'Writing Logic'!$A$3:$B$7,2,FALSE),VLOOKUP(AF75,'Writing Logic'!$A$3:$B$7,2,FALSE),VLOOKUP(AG75,'Writing Logic'!$A$3:$B$7,2,FALSE))))),"Fill All 4")</f>
        <v>Fill All 4</v>
      </c>
      <c r="AI75" s="95" t="str">
        <f t="shared" si="7"/>
        <v/>
      </c>
      <c r="AJ75" s="183"/>
      <c r="AK75" s="120"/>
      <c r="AL75" s="120"/>
      <c r="AM75" s="120"/>
      <c r="AN75" s="95" t="str">
        <f>IFERROR(IF(YES_Writing_ELA[[#This Row],[Literacy IPP]]='Writing Logic'!$E$26,"IPP",IF(OR(AJ75="EAL",AK75="EAL",AL75="EAL",AM75="EAL"),"EAL",IF(AJ75='Writing Logic'!$A$10,AVERAGE(VLOOKUP(AK75,'Writing Logic'!$A$3:$B$7,2,FALSE),VLOOKUP(AL75,'Writing Logic'!$A$3:$B$7,2,FALSE),VLOOKUP(AM75,'Writing Logic'!$A$3:$B$7,2,FALSE)),AVERAGE(VLOOKUP(AJ75,'Writing Logic'!$A$3:$B$7,2,FALSE),VLOOKUP(AK75,'Writing Logic'!$A$3:$B$7,2,FALSE),VLOOKUP(AL75,'Writing Logic'!$A$3:$B$7,2,FALSE),VLOOKUP(AM75,'Writing Logic'!$A$3:$B$7,2,FALSE))))),"Fill All 4")</f>
        <v>Fill All 4</v>
      </c>
      <c r="AO75" s="95" t="str">
        <f t="shared" si="8"/>
        <v/>
      </c>
      <c r="AP75" s="120"/>
      <c r="AQ75" s="120"/>
      <c r="AR75" s="120"/>
      <c r="AS75" s="120"/>
      <c r="AT75" s="95" t="str">
        <f>IFERROR(IF(YES_Writing_ELA[[#This Row],[Literacy IPP]]='Writing Logic'!$E$26,"IPP",IF(OR(AP75="EAL",AQ75="EAL",AR75="EAL",AS75="EAL"),"EAL",IF(AP75='Writing Logic'!$A$10,AVERAGE(VLOOKUP(AQ75,'Writing Logic'!$A$3:$B$7,2,FALSE),VLOOKUP(AR75,'Writing Logic'!$A$3:$B$7,2,FALSE),VLOOKUP(AS75,'Writing Logic'!$A$3:$B$7,2,FALSE)),AVERAGE(VLOOKUP(AP75,'Writing Logic'!$A$3:$B$7,2,FALSE),VLOOKUP(AQ75,'Writing Logic'!$A$3:$B$7,2,FALSE),VLOOKUP(AR75,'Writing Logic'!$A$3:$B$7,2,FALSE),VLOOKUP(AS75,'Writing Logic'!$A$3:$B$7,2,FALSE))))),"Fill All 4")</f>
        <v>Fill All 4</v>
      </c>
      <c r="AU75" s="95" t="str">
        <f t="shared" si="9"/>
        <v/>
      </c>
    </row>
    <row r="76" spans="1:47" x14ac:dyDescent="0.25">
      <c r="A76" s="13"/>
      <c r="B76" s="13"/>
      <c r="C76" s="13"/>
      <c r="D76" s="13"/>
      <c r="E76" s="13"/>
      <c r="F76" s="13"/>
      <c r="G76" s="13"/>
      <c r="H76" s="13"/>
      <c r="I76" s="13"/>
      <c r="J76" s="13"/>
      <c r="K76" s="183"/>
      <c r="L76" s="184"/>
      <c r="M76" s="120"/>
      <c r="N76" s="120"/>
      <c r="O76" s="120"/>
      <c r="P76" s="120"/>
      <c r="Q76" s="95" t="str">
        <f>IFERROR(IF(YES_Writing_ELA[[#This Row],[Literacy IPP]]='Writing Logic'!$E$26,"IPP",IF(OR(M76="EAL",N76="EAL",O76="EAL",P76="EAL"),"EAL",IF(M76='Writing Logic'!$A$10,AVERAGE(VLOOKUP(N76,'Writing Logic'!$A$3:$B$7,2,FALSE),VLOOKUP(O76,'Writing Logic'!$A$3:$B$7,2,FALSE),VLOOKUP(P76,'Writing Logic'!$A$3:$B$7,2,FALSE)),AVERAGE(VLOOKUP(M76,'Writing Logic'!$A$3:$B$7,2,FALSE),VLOOKUP(N76,'Writing Logic'!$A$3:$B$7,2,FALSE),VLOOKUP(O76,'Writing Logic'!$A$3:$B$7,2,FALSE),VLOOKUP(P76,'Writing Logic'!$A$3:$B$7,2,FALSE))))),"Fill All 4")</f>
        <v>Fill All 4</v>
      </c>
      <c r="R76" s="120"/>
      <c r="S76" s="120"/>
      <c r="T76" s="120"/>
      <c r="U76" s="120"/>
      <c r="V76" s="95" t="str">
        <f>IFERROR(IF(YES_Writing_ELA[[#This Row],[Literacy IPP]]='Writing Logic'!$E$26,"IPP",IF(OR(R76="EAL",S76="EAL",T76="EAL",U76="EAL"),"EAL",IF(R76='Writing Logic'!$A$10,AVERAGE(VLOOKUP(S76,'Writing Logic'!$A$3:$B$7,2,FALSE),VLOOKUP(T76,'Writing Logic'!$A$3:$B$7,2,FALSE),VLOOKUP(U76,'Writing Logic'!$A$3:$B$7,2,FALSE)),AVERAGE(VLOOKUP(R76,'Writing Logic'!$A$3:$B$7,2,FALSE),VLOOKUP(S76,'Writing Logic'!$A$3:$B$7,2,FALSE),VLOOKUP(T76,'Writing Logic'!$A$3:$B$7,2,FALSE),VLOOKUP(U76,'Writing Logic'!$A$3:$B$7,2,FALSE))))),"Fill All 4")</f>
        <v>Fill All 4</v>
      </c>
      <c r="W76" s="95" t="str">
        <f t="shared" si="5"/>
        <v/>
      </c>
      <c r="X76" s="120"/>
      <c r="Y76" s="120"/>
      <c r="Z76" s="120"/>
      <c r="AA76" s="120"/>
      <c r="AB76" s="95" t="str">
        <f>IFERROR(IF(YES_Writing_ELA[[#This Row],[Literacy IPP]]='Writing Logic'!$E$26,"IPP",IF(OR(X76="EAL",Y76="EAL",Z76="EAL",AA76="EAL"),"EAL",IF(X76='Writing Logic'!$A$10,AVERAGE(VLOOKUP(Y76,'Writing Logic'!$A$3:$B$7,2,FALSE),VLOOKUP(Z76,'Writing Logic'!$A$3:$B$7,2,FALSE),VLOOKUP(AA76,'Writing Logic'!$A$3:$B$7,2,FALSE)),AVERAGE(VLOOKUP(X76,'Writing Logic'!$A$3:$B$7,2,FALSE),VLOOKUP(Y76,'Writing Logic'!$A$3:$B$7,2,FALSE),VLOOKUP(Z76,'Writing Logic'!$A$3:$B$7,2,FALSE),VLOOKUP(AA76,'Writing Logic'!$A$3:$B$7,2,FALSE))))),"Fill All 4")</f>
        <v>Fill All 4</v>
      </c>
      <c r="AC76" s="95" t="str">
        <f t="shared" si="6"/>
        <v/>
      </c>
      <c r="AD76" s="120"/>
      <c r="AE76" s="120"/>
      <c r="AF76" s="120"/>
      <c r="AG76" s="120"/>
      <c r="AH76" s="95" t="str">
        <f>IFERROR(IF(YES_Writing_ELA[[#This Row],[Literacy IPP]]='Writing Logic'!$E$26,"IPP",IF(OR(AD76="EAL",AE76="EAL",AF76="EAL",AG76="EAL"),"EAL",IF(AD76='Writing Logic'!$A$10,AVERAGE(VLOOKUP(AE76,'Writing Logic'!$A$3:$B$7,2,FALSE),VLOOKUP(AF76,'Writing Logic'!$A$3:$B$7,2,FALSE),VLOOKUP(AG76,'Writing Logic'!$A$3:$B$7,2,FALSE)),AVERAGE(VLOOKUP(AD76,'Writing Logic'!$A$3:$B$7,2,FALSE),VLOOKUP(AE76,'Writing Logic'!$A$3:$B$7,2,FALSE),VLOOKUP(AF76,'Writing Logic'!$A$3:$B$7,2,FALSE),VLOOKUP(AG76,'Writing Logic'!$A$3:$B$7,2,FALSE))))),"Fill All 4")</f>
        <v>Fill All 4</v>
      </c>
      <c r="AI76" s="95" t="str">
        <f t="shared" si="7"/>
        <v/>
      </c>
      <c r="AJ76" s="183"/>
      <c r="AK76" s="120"/>
      <c r="AL76" s="120"/>
      <c r="AM76" s="120"/>
      <c r="AN76" s="95" t="str">
        <f>IFERROR(IF(YES_Writing_ELA[[#This Row],[Literacy IPP]]='Writing Logic'!$E$26,"IPP",IF(OR(AJ76="EAL",AK76="EAL",AL76="EAL",AM76="EAL"),"EAL",IF(AJ76='Writing Logic'!$A$10,AVERAGE(VLOOKUP(AK76,'Writing Logic'!$A$3:$B$7,2,FALSE),VLOOKUP(AL76,'Writing Logic'!$A$3:$B$7,2,FALSE),VLOOKUP(AM76,'Writing Logic'!$A$3:$B$7,2,FALSE)),AVERAGE(VLOOKUP(AJ76,'Writing Logic'!$A$3:$B$7,2,FALSE),VLOOKUP(AK76,'Writing Logic'!$A$3:$B$7,2,FALSE),VLOOKUP(AL76,'Writing Logic'!$A$3:$B$7,2,FALSE),VLOOKUP(AM76,'Writing Logic'!$A$3:$B$7,2,FALSE))))),"Fill All 4")</f>
        <v>Fill All 4</v>
      </c>
      <c r="AO76" s="95" t="str">
        <f t="shared" si="8"/>
        <v/>
      </c>
      <c r="AP76" s="120"/>
      <c r="AQ76" s="120"/>
      <c r="AR76" s="120"/>
      <c r="AS76" s="120"/>
      <c r="AT76" s="95" t="str">
        <f>IFERROR(IF(YES_Writing_ELA[[#This Row],[Literacy IPP]]='Writing Logic'!$E$26,"IPP",IF(OR(AP76="EAL",AQ76="EAL",AR76="EAL",AS76="EAL"),"EAL",IF(AP76='Writing Logic'!$A$10,AVERAGE(VLOOKUP(AQ76,'Writing Logic'!$A$3:$B$7,2,FALSE),VLOOKUP(AR76,'Writing Logic'!$A$3:$B$7,2,FALSE),VLOOKUP(AS76,'Writing Logic'!$A$3:$B$7,2,FALSE)),AVERAGE(VLOOKUP(AP76,'Writing Logic'!$A$3:$B$7,2,FALSE),VLOOKUP(AQ76,'Writing Logic'!$A$3:$B$7,2,FALSE),VLOOKUP(AR76,'Writing Logic'!$A$3:$B$7,2,FALSE),VLOOKUP(AS76,'Writing Logic'!$A$3:$B$7,2,FALSE))))),"Fill All 4")</f>
        <v>Fill All 4</v>
      </c>
      <c r="AU76" s="95" t="str">
        <f t="shared" si="9"/>
        <v/>
      </c>
    </row>
    <row r="77" spans="1:47" x14ac:dyDescent="0.25">
      <c r="A77" s="13"/>
      <c r="B77" s="13"/>
      <c r="C77" s="13"/>
      <c r="D77" s="13"/>
      <c r="E77" s="13"/>
      <c r="F77" s="13"/>
      <c r="G77" s="13"/>
      <c r="H77" s="13"/>
      <c r="I77" s="13"/>
      <c r="J77" s="13"/>
      <c r="K77" s="183"/>
      <c r="L77" s="184"/>
      <c r="M77" s="120"/>
      <c r="N77" s="120"/>
      <c r="O77" s="120"/>
      <c r="P77" s="120"/>
      <c r="Q77" s="95" t="str">
        <f>IFERROR(IF(YES_Writing_ELA[[#This Row],[Literacy IPP]]='Writing Logic'!$E$26,"IPP",IF(OR(M77="EAL",N77="EAL",O77="EAL",P77="EAL"),"EAL",IF(M77='Writing Logic'!$A$10,AVERAGE(VLOOKUP(N77,'Writing Logic'!$A$3:$B$7,2,FALSE),VLOOKUP(O77,'Writing Logic'!$A$3:$B$7,2,FALSE),VLOOKUP(P77,'Writing Logic'!$A$3:$B$7,2,FALSE)),AVERAGE(VLOOKUP(M77,'Writing Logic'!$A$3:$B$7,2,FALSE),VLOOKUP(N77,'Writing Logic'!$A$3:$B$7,2,FALSE),VLOOKUP(O77,'Writing Logic'!$A$3:$B$7,2,FALSE),VLOOKUP(P77,'Writing Logic'!$A$3:$B$7,2,FALSE))))),"Fill All 4")</f>
        <v>Fill All 4</v>
      </c>
      <c r="R77" s="120"/>
      <c r="S77" s="120"/>
      <c r="T77" s="120"/>
      <c r="U77" s="120"/>
      <c r="V77" s="95" t="str">
        <f>IFERROR(IF(YES_Writing_ELA[[#This Row],[Literacy IPP]]='Writing Logic'!$E$26,"IPP",IF(OR(R77="EAL",S77="EAL",T77="EAL",U77="EAL"),"EAL",IF(R77='Writing Logic'!$A$10,AVERAGE(VLOOKUP(S77,'Writing Logic'!$A$3:$B$7,2,FALSE),VLOOKUP(T77,'Writing Logic'!$A$3:$B$7,2,FALSE),VLOOKUP(U77,'Writing Logic'!$A$3:$B$7,2,FALSE)),AVERAGE(VLOOKUP(R77,'Writing Logic'!$A$3:$B$7,2,FALSE),VLOOKUP(S77,'Writing Logic'!$A$3:$B$7,2,FALSE),VLOOKUP(T77,'Writing Logic'!$A$3:$B$7,2,FALSE),VLOOKUP(U77,'Writing Logic'!$A$3:$B$7,2,FALSE))))),"Fill All 4")</f>
        <v>Fill All 4</v>
      </c>
      <c r="W77" s="95" t="str">
        <f t="shared" si="5"/>
        <v/>
      </c>
      <c r="X77" s="120"/>
      <c r="Y77" s="120"/>
      <c r="Z77" s="120"/>
      <c r="AA77" s="120"/>
      <c r="AB77" s="95" t="str">
        <f>IFERROR(IF(YES_Writing_ELA[[#This Row],[Literacy IPP]]='Writing Logic'!$E$26,"IPP",IF(OR(X77="EAL",Y77="EAL",Z77="EAL",AA77="EAL"),"EAL",IF(X77='Writing Logic'!$A$10,AVERAGE(VLOOKUP(Y77,'Writing Logic'!$A$3:$B$7,2,FALSE),VLOOKUP(Z77,'Writing Logic'!$A$3:$B$7,2,FALSE),VLOOKUP(AA77,'Writing Logic'!$A$3:$B$7,2,FALSE)),AVERAGE(VLOOKUP(X77,'Writing Logic'!$A$3:$B$7,2,FALSE),VLOOKUP(Y77,'Writing Logic'!$A$3:$B$7,2,FALSE),VLOOKUP(Z77,'Writing Logic'!$A$3:$B$7,2,FALSE),VLOOKUP(AA77,'Writing Logic'!$A$3:$B$7,2,FALSE))))),"Fill All 4")</f>
        <v>Fill All 4</v>
      </c>
      <c r="AC77" s="95" t="str">
        <f t="shared" si="6"/>
        <v/>
      </c>
      <c r="AD77" s="120"/>
      <c r="AE77" s="120"/>
      <c r="AF77" s="120"/>
      <c r="AG77" s="120"/>
      <c r="AH77" s="95" t="str">
        <f>IFERROR(IF(YES_Writing_ELA[[#This Row],[Literacy IPP]]='Writing Logic'!$E$26,"IPP",IF(OR(AD77="EAL",AE77="EAL",AF77="EAL",AG77="EAL"),"EAL",IF(AD77='Writing Logic'!$A$10,AVERAGE(VLOOKUP(AE77,'Writing Logic'!$A$3:$B$7,2,FALSE),VLOOKUP(AF77,'Writing Logic'!$A$3:$B$7,2,FALSE),VLOOKUP(AG77,'Writing Logic'!$A$3:$B$7,2,FALSE)),AVERAGE(VLOOKUP(AD77,'Writing Logic'!$A$3:$B$7,2,FALSE),VLOOKUP(AE77,'Writing Logic'!$A$3:$B$7,2,FALSE),VLOOKUP(AF77,'Writing Logic'!$A$3:$B$7,2,FALSE),VLOOKUP(AG77,'Writing Logic'!$A$3:$B$7,2,FALSE))))),"Fill All 4")</f>
        <v>Fill All 4</v>
      </c>
      <c r="AI77" s="95" t="str">
        <f t="shared" si="7"/>
        <v/>
      </c>
      <c r="AJ77" s="183"/>
      <c r="AK77" s="120"/>
      <c r="AL77" s="120"/>
      <c r="AM77" s="120"/>
      <c r="AN77" s="95" t="str">
        <f>IFERROR(IF(YES_Writing_ELA[[#This Row],[Literacy IPP]]='Writing Logic'!$E$26,"IPP",IF(OR(AJ77="EAL",AK77="EAL",AL77="EAL",AM77="EAL"),"EAL",IF(AJ77='Writing Logic'!$A$10,AVERAGE(VLOOKUP(AK77,'Writing Logic'!$A$3:$B$7,2,FALSE),VLOOKUP(AL77,'Writing Logic'!$A$3:$B$7,2,FALSE),VLOOKUP(AM77,'Writing Logic'!$A$3:$B$7,2,FALSE)),AVERAGE(VLOOKUP(AJ77,'Writing Logic'!$A$3:$B$7,2,FALSE),VLOOKUP(AK77,'Writing Logic'!$A$3:$B$7,2,FALSE),VLOOKUP(AL77,'Writing Logic'!$A$3:$B$7,2,FALSE),VLOOKUP(AM77,'Writing Logic'!$A$3:$B$7,2,FALSE))))),"Fill All 4")</f>
        <v>Fill All 4</v>
      </c>
      <c r="AO77" s="95" t="str">
        <f t="shared" si="8"/>
        <v/>
      </c>
      <c r="AP77" s="120"/>
      <c r="AQ77" s="120"/>
      <c r="AR77" s="120"/>
      <c r="AS77" s="120"/>
      <c r="AT77" s="95" t="str">
        <f>IFERROR(IF(YES_Writing_ELA[[#This Row],[Literacy IPP]]='Writing Logic'!$E$26,"IPP",IF(OR(AP77="EAL",AQ77="EAL",AR77="EAL",AS77="EAL"),"EAL",IF(AP77='Writing Logic'!$A$10,AVERAGE(VLOOKUP(AQ77,'Writing Logic'!$A$3:$B$7,2,FALSE),VLOOKUP(AR77,'Writing Logic'!$A$3:$B$7,2,FALSE),VLOOKUP(AS77,'Writing Logic'!$A$3:$B$7,2,FALSE)),AVERAGE(VLOOKUP(AP77,'Writing Logic'!$A$3:$B$7,2,FALSE),VLOOKUP(AQ77,'Writing Logic'!$A$3:$B$7,2,FALSE),VLOOKUP(AR77,'Writing Logic'!$A$3:$B$7,2,FALSE),VLOOKUP(AS77,'Writing Logic'!$A$3:$B$7,2,FALSE))))),"Fill All 4")</f>
        <v>Fill All 4</v>
      </c>
      <c r="AU77" s="95" t="str">
        <f t="shared" si="9"/>
        <v/>
      </c>
    </row>
    <row r="78" spans="1:47" x14ac:dyDescent="0.25">
      <c r="A78" s="13"/>
      <c r="B78" s="13"/>
      <c r="C78" s="13"/>
      <c r="D78" s="13"/>
      <c r="E78" s="13"/>
      <c r="F78" s="13"/>
      <c r="G78" s="13"/>
      <c r="H78" s="13"/>
      <c r="I78" s="13"/>
      <c r="J78" s="13"/>
      <c r="K78" s="183"/>
      <c r="L78" s="184"/>
      <c r="M78" s="120"/>
      <c r="N78" s="120"/>
      <c r="O78" s="120"/>
      <c r="P78" s="120"/>
      <c r="Q78" s="95" t="str">
        <f>IFERROR(IF(YES_Writing_ELA[[#This Row],[Literacy IPP]]='Writing Logic'!$E$26,"IPP",IF(OR(M78="EAL",N78="EAL",O78="EAL",P78="EAL"),"EAL",IF(M78='Writing Logic'!$A$10,AVERAGE(VLOOKUP(N78,'Writing Logic'!$A$3:$B$7,2,FALSE),VLOOKUP(O78,'Writing Logic'!$A$3:$B$7,2,FALSE),VLOOKUP(P78,'Writing Logic'!$A$3:$B$7,2,FALSE)),AVERAGE(VLOOKUP(M78,'Writing Logic'!$A$3:$B$7,2,FALSE),VLOOKUP(N78,'Writing Logic'!$A$3:$B$7,2,FALSE),VLOOKUP(O78,'Writing Logic'!$A$3:$B$7,2,FALSE),VLOOKUP(P78,'Writing Logic'!$A$3:$B$7,2,FALSE))))),"Fill All 4")</f>
        <v>Fill All 4</v>
      </c>
      <c r="R78" s="120"/>
      <c r="S78" s="120"/>
      <c r="T78" s="120"/>
      <c r="U78" s="120"/>
      <c r="V78" s="95" t="str">
        <f>IFERROR(IF(YES_Writing_ELA[[#This Row],[Literacy IPP]]='Writing Logic'!$E$26,"IPP",IF(OR(R78="EAL",S78="EAL",T78="EAL",U78="EAL"),"EAL",IF(R78='Writing Logic'!$A$10,AVERAGE(VLOOKUP(S78,'Writing Logic'!$A$3:$B$7,2,FALSE),VLOOKUP(T78,'Writing Logic'!$A$3:$B$7,2,FALSE),VLOOKUP(U78,'Writing Logic'!$A$3:$B$7,2,FALSE)),AVERAGE(VLOOKUP(R78,'Writing Logic'!$A$3:$B$7,2,FALSE),VLOOKUP(S78,'Writing Logic'!$A$3:$B$7,2,FALSE),VLOOKUP(T78,'Writing Logic'!$A$3:$B$7,2,FALSE),VLOOKUP(U78,'Writing Logic'!$A$3:$B$7,2,FALSE))))),"Fill All 4")</f>
        <v>Fill All 4</v>
      </c>
      <c r="W78" s="95" t="str">
        <f t="shared" si="5"/>
        <v/>
      </c>
      <c r="X78" s="120"/>
      <c r="Y78" s="120"/>
      <c r="Z78" s="120"/>
      <c r="AA78" s="120"/>
      <c r="AB78" s="95" t="str">
        <f>IFERROR(IF(YES_Writing_ELA[[#This Row],[Literacy IPP]]='Writing Logic'!$E$26,"IPP",IF(OR(X78="EAL",Y78="EAL",Z78="EAL",AA78="EAL"),"EAL",IF(X78='Writing Logic'!$A$10,AVERAGE(VLOOKUP(Y78,'Writing Logic'!$A$3:$B$7,2,FALSE),VLOOKUP(Z78,'Writing Logic'!$A$3:$B$7,2,FALSE),VLOOKUP(AA78,'Writing Logic'!$A$3:$B$7,2,FALSE)),AVERAGE(VLOOKUP(X78,'Writing Logic'!$A$3:$B$7,2,FALSE),VLOOKUP(Y78,'Writing Logic'!$A$3:$B$7,2,FALSE),VLOOKUP(Z78,'Writing Logic'!$A$3:$B$7,2,FALSE),VLOOKUP(AA78,'Writing Logic'!$A$3:$B$7,2,FALSE))))),"Fill All 4")</f>
        <v>Fill All 4</v>
      </c>
      <c r="AC78" s="95" t="str">
        <f t="shared" si="6"/>
        <v/>
      </c>
      <c r="AD78" s="120"/>
      <c r="AE78" s="120"/>
      <c r="AF78" s="120"/>
      <c r="AG78" s="120"/>
      <c r="AH78" s="95" t="str">
        <f>IFERROR(IF(YES_Writing_ELA[[#This Row],[Literacy IPP]]='Writing Logic'!$E$26,"IPP",IF(OR(AD78="EAL",AE78="EAL",AF78="EAL",AG78="EAL"),"EAL",IF(AD78='Writing Logic'!$A$10,AVERAGE(VLOOKUP(AE78,'Writing Logic'!$A$3:$B$7,2,FALSE),VLOOKUP(AF78,'Writing Logic'!$A$3:$B$7,2,FALSE),VLOOKUP(AG78,'Writing Logic'!$A$3:$B$7,2,FALSE)),AVERAGE(VLOOKUP(AD78,'Writing Logic'!$A$3:$B$7,2,FALSE),VLOOKUP(AE78,'Writing Logic'!$A$3:$B$7,2,FALSE),VLOOKUP(AF78,'Writing Logic'!$A$3:$B$7,2,FALSE),VLOOKUP(AG78,'Writing Logic'!$A$3:$B$7,2,FALSE))))),"Fill All 4")</f>
        <v>Fill All 4</v>
      </c>
      <c r="AI78" s="95" t="str">
        <f t="shared" si="7"/>
        <v/>
      </c>
      <c r="AJ78" s="183"/>
      <c r="AK78" s="120"/>
      <c r="AL78" s="120"/>
      <c r="AM78" s="120"/>
      <c r="AN78" s="95" t="str">
        <f>IFERROR(IF(YES_Writing_ELA[[#This Row],[Literacy IPP]]='Writing Logic'!$E$26,"IPP",IF(OR(AJ78="EAL",AK78="EAL",AL78="EAL",AM78="EAL"),"EAL",IF(AJ78='Writing Logic'!$A$10,AVERAGE(VLOOKUP(AK78,'Writing Logic'!$A$3:$B$7,2,FALSE),VLOOKUP(AL78,'Writing Logic'!$A$3:$B$7,2,FALSE),VLOOKUP(AM78,'Writing Logic'!$A$3:$B$7,2,FALSE)),AVERAGE(VLOOKUP(AJ78,'Writing Logic'!$A$3:$B$7,2,FALSE),VLOOKUP(AK78,'Writing Logic'!$A$3:$B$7,2,FALSE),VLOOKUP(AL78,'Writing Logic'!$A$3:$B$7,2,FALSE),VLOOKUP(AM78,'Writing Logic'!$A$3:$B$7,2,FALSE))))),"Fill All 4")</f>
        <v>Fill All 4</v>
      </c>
      <c r="AO78" s="95" t="str">
        <f t="shared" si="8"/>
        <v/>
      </c>
      <c r="AP78" s="120"/>
      <c r="AQ78" s="120"/>
      <c r="AR78" s="120"/>
      <c r="AS78" s="120"/>
      <c r="AT78" s="95" t="str">
        <f>IFERROR(IF(YES_Writing_ELA[[#This Row],[Literacy IPP]]='Writing Logic'!$E$26,"IPP",IF(OR(AP78="EAL",AQ78="EAL",AR78="EAL",AS78="EAL"),"EAL",IF(AP78='Writing Logic'!$A$10,AVERAGE(VLOOKUP(AQ78,'Writing Logic'!$A$3:$B$7,2,FALSE),VLOOKUP(AR78,'Writing Logic'!$A$3:$B$7,2,FALSE),VLOOKUP(AS78,'Writing Logic'!$A$3:$B$7,2,FALSE)),AVERAGE(VLOOKUP(AP78,'Writing Logic'!$A$3:$B$7,2,FALSE),VLOOKUP(AQ78,'Writing Logic'!$A$3:$B$7,2,FALSE),VLOOKUP(AR78,'Writing Logic'!$A$3:$B$7,2,FALSE),VLOOKUP(AS78,'Writing Logic'!$A$3:$B$7,2,FALSE))))),"Fill All 4")</f>
        <v>Fill All 4</v>
      </c>
      <c r="AU78" s="95" t="str">
        <f t="shared" si="9"/>
        <v/>
      </c>
    </row>
    <row r="79" spans="1:47" x14ac:dyDescent="0.25">
      <c r="A79" s="13"/>
      <c r="B79" s="13"/>
      <c r="C79" s="13"/>
      <c r="D79" s="13"/>
      <c r="E79" s="13"/>
      <c r="F79" s="13"/>
      <c r="G79" s="13"/>
      <c r="H79" s="13"/>
      <c r="I79" s="13"/>
      <c r="J79" s="13"/>
      <c r="K79" s="183"/>
      <c r="L79" s="184"/>
      <c r="M79" s="120"/>
      <c r="N79" s="120"/>
      <c r="O79" s="120"/>
      <c r="P79" s="120"/>
      <c r="Q79" s="95" t="str">
        <f>IFERROR(IF(YES_Writing_ELA[[#This Row],[Literacy IPP]]='Writing Logic'!$E$26,"IPP",IF(OR(M79="EAL",N79="EAL",O79="EAL",P79="EAL"),"EAL",IF(M79='Writing Logic'!$A$10,AVERAGE(VLOOKUP(N79,'Writing Logic'!$A$3:$B$7,2,FALSE),VLOOKUP(O79,'Writing Logic'!$A$3:$B$7,2,FALSE),VLOOKUP(P79,'Writing Logic'!$A$3:$B$7,2,FALSE)),AVERAGE(VLOOKUP(M79,'Writing Logic'!$A$3:$B$7,2,FALSE),VLOOKUP(N79,'Writing Logic'!$A$3:$B$7,2,FALSE),VLOOKUP(O79,'Writing Logic'!$A$3:$B$7,2,FALSE),VLOOKUP(P79,'Writing Logic'!$A$3:$B$7,2,FALSE))))),"Fill All 4")</f>
        <v>Fill All 4</v>
      </c>
      <c r="R79" s="120"/>
      <c r="S79" s="120"/>
      <c r="T79" s="120"/>
      <c r="U79" s="120"/>
      <c r="V79" s="95" t="str">
        <f>IFERROR(IF(YES_Writing_ELA[[#This Row],[Literacy IPP]]='Writing Logic'!$E$26,"IPP",IF(OR(R79="EAL",S79="EAL",T79="EAL",U79="EAL"),"EAL",IF(R79='Writing Logic'!$A$10,AVERAGE(VLOOKUP(S79,'Writing Logic'!$A$3:$B$7,2,FALSE),VLOOKUP(T79,'Writing Logic'!$A$3:$B$7,2,FALSE),VLOOKUP(U79,'Writing Logic'!$A$3:$B$7,2,FALSE)),AVERAGE(VLOOKUP(R79,'Writing Logic'!$A$3:$B$7,2,FALSE),VLOOKUP(S79,'Writing Logic'!$A$3:$B$7,2,FALSE),VLOOKUP(T79,'Writing Logic'!$A$3:$B$7,2,FALSE),VLOOKUP(U79,'Writing Logic'!$A$3:$B$7,2,FALSE))))),"Fill All 4")</f>
        <v>Fill All 4</v>
      </c>
      <c r="W79" s="95" t="str">
        <f t="shared" si="5"/>
        <v/>
      </c>
      <c r="X79" s="120"/>
      <c r="Y79" s="120"/>
      <c r="Z79" s="120"/>
      <c r="AA79" s="120"/>
      <c r="AB79" s="95" t="str">
        <f>IFERROR(IF(YES_Writing_ELA[[#This Row],[Literacy IPP]]='Writing Logic'!$E$26,"IPP",IF(OR(X79="EAL",Y79="EAL",Z79="EAL",AA79="EAL"),"EAL",IF(X79='Writing Logic'!$A$10,AVERAGE(VLOOKUP(Y79,'Writing Logic'!$A$3:$B$7,2,FALSE),VLOOKUP(Z79,'Writing Logic'!$A$3:$B$7,2,FALSE),VLOOKUP(AA79,'Writing Logic'!$A$3:$B$7,2,FALSE)),AVERAGE(VLOOKUP(X79,'Writing Logic'!$A$3:$B$7,2,FALSE),VLOOKUP(Y79,'Writing Logic'!$A$3:$B$7,2,FALSE),VLOOKUP(Z79,'Writing Logic'!$A$3:$B$7,2,FALSE),VLOOKUP(AA79,'Writing Logic'!$A$3:$B$7,2,FALSE))))),"Fill All 4")</f>
        <v>Fill All 4</v>
      </c>
      <c r="AC79" s="95" t="str">
        <f t="shared" si="6"/>
        <v/>
      </c>
      <c r="AD79" s="120"/>
      <c r="AE79" s="120"/>
      <c r="AF79" s="120"/>
      <c r="AG79" s="120"/>
      <c r="AH79" s="95" t="str">
        <f>IFERROR(IF(YES_Writing_ELA[[#This Row],[Literacy IPP]]='Writing Logic'!$E$26,"IPP",IF(OR(AD79="EAL",AE79="EAL",AF79="EAL",AG79="EAL"),"EAL",IF(AD79='Writing Logic'!$A$10,AVERAGE(VLOOKUP(AE79,'Writing Logic'!$A$3:$B$7,2,FALSE),VLOOKUP(AF79,'Writing Logic'!$A$3:$B$7,2,FALSE),VLOOKUP(AG79,'Writing Logic'!$A$3:$B$7,2,FALSE)),AVERAGE(VLOOKUP(AD79,'Writing Logic'!$A$3:$B$7,2,FALSE),VLOOKUP(AE79,'Writing Logic'!$A$3:$B$7,2,FALSE),VLOOKUP(AF79,'Writing Logic'!$A$3:$B$7,2,FALSE),VLOOKUP(AG79,'Writing Logic'!$A$3:$B$7,2,FALSE))))),"Fill All 4")</f>
        <v>Fill All 4</v>
      </c>
      <c r="AI79" s="95" t="str">
        <f t="shared" si="7"/>
        <v/>
      </c>
      <c r="AJ79" s="183"/>
      <c r="AK79" s="120"/>
      <c r="AL79" s="120"/>
      <c r="AM79" s="120"/>
      <c r="AN79" s="95" t="str">
        <f>IFERROR(IF(YES_Writing_ELA[[#This Row],[Literacy IPP]]='Writing Logic'!$E$26,"IPP",IF(OR(AJ79="EAL",AK79="EAL",AL79="EAL",AM79="EAL"),"EAL",IF(AJ79='Writing Logic'!$A$10,AVERAGE(VLOOKUP(AK79,'Writing Logic'!$A$3:$B$7,2,FALSE),VLOOKUP(AL79,'Writing Logic'!$A$3:$B$7,2,FALSE),VLOOKUP(AM79,'Writing Logic'!$A$3:$B$7,2,FALSE)),AVERAGE(VLOOKUP(AJ79,'Writing Logic'!$A$3:$B$7,2,FALSE),VLOOKUP(AK79,'Writing Logic'!$A$3:$B$7,2,FALSE),VLOOKUP(AL79,'Writing Logic'!$A$3:$B$7,2,FALSE),VLOOKUP(AM79,'Writing Logic'!$A$3:$B$7,2,FALSE))))),"Fill All 4")</f>
        <v>Fill All 4</v>
      </c>
      <c r="AO79" s="95" t="str">
        <f t="shared" si="8"/>
        <v/>
      </c>
      <c r="AP79" s="120"/>
      <c r="AQ79" s="120"/>
      <c r="AR79" s="120"/>
      <c r="AS79" s="120"/>
      <c r="AT79" s="95" t="str">
        <f>IFERROR(IF(YES_Writing_ELA[[#This Row],[Literacy IPP]]='Writing Logic'!$E$26,"IPP",IF(OR(AP79="EAL",AQ79="EAL",AR79="EAL",AS79="EAL"),"EAL",IF(AP79='Writing Logic'!$A$10,AVERAGE(VLOOKUP(AQ79,'Writing Logic'!$A$3:$B$7,2,FALSE),VLOOKUP(AR79,'Writing Logic'!$A$3:$B$7,2,FALSE),VLOOKUP(AS79,'Writing Logic'!$A$3:$B$7,2,FALSE)),AVERAGE(VLOOKUP(AP79,'Writing Logic'!$A$3:$B$7,2,FALSE),VLOOKUP(AQ79,'Writing Logic'!$A$3:$B$7,2,FALSE),VLOOKUP(AR79,'Writing Logic'!$A$3:$B$7,2,FALSE),VLOOKUP(AS79,'Writing Logic'!$A$3:$B$7,2,FALSE))))),"Fill All 4")</f>
        <v>Fill All 4</v>
      </c>
      <c r="AU79" s="95" t="str">
        <f t="shared" si="9"/>
        <v/>
      </c>
    </row>
    <row r="80" spans="1:47" x14ac:dyDescent="0.25">
      <c r="A80" s="13"/>
      <c r="B80" s="13"/>
      <c r="C80" s="13"/>
      <c r="D80" s="13"/>
      <c r="E80" s="13"/>
      <c r="F80" s="13"/>
      <c r="G80" s="13"/>
      <c r="H80" s="13"/>
      <c r="I80" s="13"/>
      <c r="J80" s="13"/>
      <c r="K80" s="183"/>
      <c r="L80" s="184"/>
      <c r="M80" s="120"/>
      <c r="N80" s="120"/>
      <c r="O80" s="120"/>
      <c r="P80" s="120"/>
      <c r="Q80" s="95" t="str">
        <f>IFERROR(IF(YES_Writing_ELA[[#This Row],[Literacy IPP]]='Writing Logic'!$E$26,"IPP",IF(OR(M80="EAL",N80="EAL",O80="EAL",P80="EAL"),"EAL",IF(M80='Writing Logic'!$A$10,AVERAGE(VLOOKUP(N80,'Writing Logic'!$A$3:$B$7,2,FALSE),VLOOKUP(O80,'Writing Logic'!$A$3:$B$7,2,FALSE),VLOOKUP(P80,'Writing Logic'!$A$3:$B$7,2,FALSE)),AVERAGE(VLOOKUP(M80,'Writing Logic'!$A$3:$B$7,2,FALSE),VLOOKUP(N80,'Writing Logic'!$A$3:$B$7,2,FALSE),VLOOKUP(O80,'Writing Logic'!$A$3:$B$7,2,FALSE),VLOOKUP(P80,'Writing Logic'!$A$3:$B$7,2,FALSE))))),"Fill All 4")</f>
        <v>Fill All 4</v>
      </c>
      <c r="R80" s="120"/>
      <c r="S80" s="120"/>
      <c r="T80" s="120"/>
      <c r="U80" s="120"/>
      <c r="V80" s="95" t="str">
        <f>IFERROR(IF(YES_Writing_ELA[[#This Row],[Literacy IPP]]='Writing Logic'!$E$26,"IPP",IF(OR(R80="EAL",S80="EAL",T80="EAL",U80="EAL"),"EAL",IF(R80='Writing Logic'!$A$10,AVERAGE(VLOOKUP(S80,'Writing Logic'!$A$3:$B$7,2,FALSE),VLOOKUP(T80,'Writing Logic'!$A$3:$B$7,2,FALSE),VLOOKUP(U80,'Writing Logic'!$A$3:$B$7,2,FALSE)),AVERAGE(VLOOKUP(R80,'Writing Logic'!$A$3:$B$7,2,FALSE),VLOOKUP(S80,'Writing Logic'!$A$3:$B$7,2,FALSE),VLOOKUP(T80,'Writing Logic'!$A$3:$B$7,2,FALSE),VLOOKUP(U80,'Writing Logic'!$A$3:$B$7,2,FALSE))))),"Fill All 4")</f>
        <v>Fill All 4</v>
      </c>
      <c r="W80" s="95" t="str">
        <f t="shared" si="5"/>
        <v/>
      </c>
      <c r="X80" s="120"/>
      <c r="Y80" s="120"/>
      <c r="Z80" s="120"/>
      <c r="AA80" s="120"/>
      <c r="AB80" s="95" t="str">
        <f>IFERROR(IF(YES_Writing_ELA[[#This Row],[Literacy IPP]]='Writing Logic'!$E$26,"IPP",IF(OR(X80="EAL",Y80="EAL",Z80="EAL",AA80="EAL"),"EAL",IF(X80='Writing Logic'!$A$10,AVERAGE(VLOOKUP(Y80,'Writing Logic'!$A$3:$B$7,2,FALSE),VLOOKUP(Z80,'Writing Logic'!$A$3:$B$7,2,FALSE),VLOOKUP(AA80,'Writing Logic'!$A$3:$B$7,2,FALSE)),AVERAGE(VLOOKUP(X80,'Writing Logic'!$A$3:$B$7,2,FALSE),VLOOKUP(Y80,'Writing Logic'!$A$3:$B$7,2,FALSE),VLOOKUP(Z80,'Writing Logic'!$A$3:$B$7,2,FALSE),VLOOKUP(AA80,'Writing Logic'!$A$3:$B$7,2,FALSE))))),"Fill All 4")</f>
        <v>Fill All 4</v>
      </c>
      <c r="AC80" s="95" t="str">
        <f t="shared" si="6"/>
        <v/>
      </c>
      <c r="AD80" s="120"/>
      <c r="AE80" s="120"/>
      <c r="AF80" s="120"/>
      <c r="AG80" s="120"/>
      <c r="AH80" s="95" t="str">
        <f>IFERROR(IF(YES_Writing_ELA[[#This Row],[Literacy IPP]]='Writing Logic'!$E$26,"IPP",IF(OR(AD80="EAL",AE80="EAL",AF80="EAL",AG80="EAL"),"EAL",IF(AD80='Writing Logic'!$A$10,AVERAGE(VLOOKUP(AE80,'Writing Logic'!$A$3:$B$7,2,FALSE),VLOOKUP(AF80,'Writing Logic'!$A$3:$B$7,2,FALSE),VLOOKUP(AG80,'Writing Logic'!$A$3:$B$7,2,FALSE)),AVERAGE(VLOOKUP(AD80,'Writing Logic'!$A$3:$B$7,2,FALSE),VLOOKUP(AE80,'Writing Logic'!$A$3:$B$7,2,FALSE),VLOOKUP(AF80,'Writing Logic'!$A$3:$B$7,2,FALSE),VLOOKUP(AG80,'Writing Logic'!$A$3:$B$7,2,FALSE))))),"Fill All 4")</f>
        <v>Fill All 4</v>
      </c>
      <c r="AI80" s="95" t="str">
        <f t="shared" si="7"/>
        <v/>
      </c>
      <c r="AJ80" s="183"/>
      <c r="AK80" s="120"/>
      <c r="AL80" s="120"/>
      <c r="AM80" s="120"/>
      <c r="AN80" s="95" t="str">
        <f>IFERROR(IF(YES_Writing_ELA[[#This Row],[Literacy IPP]]='Writing Logic'!$E$26,"IPP",IF(OR(AJ80="EAL",AK80="EAL",AL80="EAL",AM80="EAL"),"EAL",IF(AJ80='Writing Logic'!$A$10,AVERAGE(VLOOKUP(AK80,'Writing Logic'!$A$3:$B$7,2,FALSE),VLOOKUP(AL80,'Writing Logic'!$A$3:$B$7,2,FALSE),VLOOKUP(AM80,'Writing Logic'!$A$3:$B$7,2,FALSE)),AVERAGE(VLOOKUP(AJ80,'Writing Logic'!$A$3:$B$7,2,FALSE),VLOOKUP(AK80,'Writing Logic'!$A$3:$B$7,2,FALSE),VLOOKUP(AL80,'Writing Logic'!$A$3:$B$7,2,FALSE),VLOOKUP(AM80,'Writing Logic'!$A$3:$B$7,2,FALSE))))),"Fill All 4")</f>
        <v>Fill All 4</v>
      </c>
      <c r="AO80" s="95" t="str">
        <f t="shared" si="8"/>
        <v/>
      </c>
      <c r="AP80" s="120"/>
      <c r="AQ80" s="120"/>
      <c r="AR80" s="120"/>
      <c r="AS80" s="120"/>
      <c r="AT80" s="95" t="str">
        <f>IFERROR(IF(YES_Writing_ELA[[#This Row],[Literacy IPP]]='Writing Logic'!$E$26,"IPP",IF(OR(AP80="EAL",AQ80="EAL",AR80="EAL",AS80="EAL"),"EAL",IF(AP80='Writing Logic'!$A$10,AVERAGE(VLOOKUP(AQ80,'Writing Logic'!$A$3:$B$7,2,FALSE),VLOOKUP(AR80,'Writing Logic'!$A$3:$B$7,2,FALSE),VLOOKUP(AS80,'Writing Logic'!$A$3:$B$7,2,FALSE)),AVERAGE(VLOOKUP(AP80,'Writing Logic'!$A$3:$B$7,2,FALSE),VLOOKUP(AQ80,'Writing Logic'!$A$3:$B$7,2,FALSE),VLOOKUP(AR80,'Writing Logic'!$A$3:$B$7,2,FALSE),VLOOKUP(AS80,'Writing Logic'!$A$3:$B$7,2,FALSE))))),"Fill All 4")</f>
        <v>Fill All 4</v>
      </c>
      <c r="AU80" s="95" t="str">
        <f t="shared" si="9"/>
        <v/>
      </c>
    </row>
    <row r="81" spans="1:47" x14ac:dyDescent="0.25">
      <c r="A81" s="13"/>
      <c r="B81" s="13"/>
      <c r="C81" s="13"/>
      <c r="D81" s="13"/>
      <c r="E81" s="13"/>
      <c r="F81" s="13"/>
      <c r="G81" s="13"/>
      <c r="H81" s="13"/>
      <c r="I81" s="13"/>
      <c r="J81" s="13"/>
      <c r="K81" s="183"/>
      <c r="L81" s="184"/>
      <c r="M81" s="120"/>
      <c r="N81" s="120"/>
      <c r="O81" s="120"/>
      <c r="P81" s="120"/>
      <c r="Q81" s="95" t="str">
        <f>IFERROR(IF(YES_Writing_ELA[[#This Row],[Literacy IPP]]='Writing Logic'!$E$26,"IPP",IF(OR(M81="EAL",N81="EAL",O81="EAL",P81="EAL"),"EAL",IF(M81='Writing Logic'!$A$10,AVERAGE(VLOOKUP(N81,'Writing Logic'!$A$3:$B$7,2,FALSE),VLOOKUP(O81,'Writing Logic'!$A$3:$B$7,2,FALSE),VLOOKUP(P81,'Writing Logic'!$A$3:$B$7,2,FALSE)),AVERAGE(VLOOKUP(M81,'Writing Logic'!$A$3:$B$7,2,FALSE),VLOOKUP(N81,'Writing Logic'!$A$3:$B$7,2,FALSE),VLOOKUP(O81,'Writing Logic'!$A$3:$B$7,2,FALSE),VLOOKUP(P81,'Writing Logic'!$A$3:$B$7,2,FALSE))))),"Fill All 4")</f>
        <v>Fill All 4</v>
      </c>
      <c r="R81" s="120"/>
      <c r="S81" s="120"/>
      <c r="T81" s="120"/>
      <c r="U81" s="120"/>
      <c r="V81" s="95" t="str">
        <f>IFERROR(IF(YES_Writing_ELA[[#This Row],[Literacy IPP]]='Writing Logic'!$E$26,"IPP",IF(OR(R81="EAL",S81="EAL",T81="EAL",U81="EAL"),"EAL",IF(R81='Writing Logic'!$A$10,AVERAGE(VLOOKUP(S81,'Writing Logic'!$A$3:$B$7,2,FALSE),VLOOKUP(T81,'Writing Logic'!$A$3:$B$7,2,FALSE),VLOOKUP(U81,'Writing Logic'!$A$3:$B$7,2,FALSE)),AVERAGE(VLOOKUP(R81,'Writing Logic'!$A$3:$B$7,2,FALSE),VLOOKUP(S81,'Writing Logic'!$A$3:$B$7,2,FALSE),VLOOKUP(T81,'Writing Logic'!$A$3:$B$7,2,FALSE),VLOOKUP(U81,'Writing Logic'!$A$3:$B$7,2,FALSE))))),"Fill All 4")</f>
        <v>Fill All 4</v>
      </c>
      <c r="W81" s="95" t="str">
        <f t="shared" si="5"/>
        <v/>
      </c>
      <c r="X81" s="120"/>
      <c r="Y81" s="120"/>
      <c r="Z81" s="120"/>
      <c r="AA81" s="120"/>
      <c r="AB81" s="95" t="str">
        <f>IFERROR(IF(YES_Writing_ELA[[#This Row],[Literacy IPP]]='Writing Logic'!$E$26,"IPP",IF(OR(X81="EAL",Y81="EAL",Z81="EAL",AA81="EAL"),"EAL",IF(X81='Writing Logic'!$A$10,AVERAGE(VLOOKUP(Y81,'Writing Logic'!$A$3:$B$7,2,FALSE),VLOOKUP(Z81,'Writing Logic'!$A$3:$B$7,2,FALSE),VLOOKUP(AA81,'Writing Logic'!$A$3:$B$7,2,FALSE)),AVERAGE(VLOOKUP(X81,'Writing Logic'!$A$3:$B$7,2,FALSE),VLOOKUP(Y81,'Writing Logic'!$A$3:$B$7,2,FALSE),VLOOKUP(Z81,'Writing Logic'!$A$3:$B$7,2,FALSE),VLOOKUP(AA81,'Writing Logic'!$A$3:$B$7,2,FALSE))))),"Fill All 4")</f>
        <v>Fill All 4</v>
      </c>
      <c r="AC81" s="95" t="str">
        <f t="shared" si="6"/>
        <v/>
      </c>
      <c r="AD81" s="120"/>
      <c r="AE81" s="120"/>
      <c r="AF81" s="120"/>
      <c r="AG81" s="120"/>
      <c r="AH81" s="95" t="str">
        <f>IFERROR(IF(YES_Writing_ELA[[#This Row],[Literacy IPP]]='Writing Logic'!$E$26,"IPP",IF(OR(AD81="EAL",AE81="EAL",AF81="EAL",AG81="EAL"),"EAL",IF(AD81='Writing Logic'!$A$10,AVERAGE(VLOOKUP(AE81,'Writing Logic'!$A$3:$B$7,2,FALSE),VLOOKUP(AF81,'Writing Logic'!$A$3:$B$7,2,FALSE),VLOOKUP(AG81,'Writing Logic'!$A$3:$B$7,2,FALSE)),AVERAGE(VLOOKUP(AD81,'Writing Logic'!$A$3:$B$7,2,FALSE),VLOOKUP(AE81,'Writing Logic'!$A$3:$B$7,2,FALSE),VLOOKUP(AF81,'Writing Logic'!$A$3:$B$7,2,FALSE),VLOOKUP(AG81,'Writing Logic'!$A$3:$B$7,2,FALSE))))),"Fill All 4")</f>
        <v>Fill All 4</v>
      </c>
      <c r="AI81" s="95" t="str">
        <f t="shared" si="7"/>
        <v/>
      </c>
      <c r="AJ81" s="183"/>
      <c r="AK81" s="120"/>
      <c r="AL81" s="120"/>
      <c r="AM81" s="120"/>
      <c r="AN81" s="95" t="str">
        <f>IFERROR(IF(YES_Writing_ELA[[#This Row],[Literacy IPP]]='Writing Logic'!$E$26,"IPP",IF(OR(AJ81="EAL",AK81="EAL",AL81="EAL",AM81="EAL"),"EAL",IF(AJ81='Writing Logic'!$A$10,AVERAGE(VLOOKUP(AK81,'Writing Logic'!$A$3:$B$7,2,FALSE),VLOOKUP(AL81,'Writing Logic'!$A$3:$B$7,2,FALSE),VLOOKUP(AM81,'Writing Logic'!$A$3:$B$7,2,FALSE)),AVERAGE(VLOOKUP(AJ81,'Writing Logic'!$A$3:$B$7,2,FALSE),VLOOKUP(AK81,'Writing Logic'!$A$3:$B$7,2,FALSE),VLOOKUP(AL81,'Writing Logic'!$A$3:$B$7,2,FALSE),VLOOKUP(AM81,'Writing Logic'!$A$3:$B$7,2,FALSE))))),"Fill All 4")</f>
        <v>Fill All 4</v>
      </c>
      <c r="AO81" s="95" t="str">
        <f t="shared" si="8"/>
        <v/>
      </c>
      <c r="AP81" s="120"/>
      <c r="AQ81" s="120"/>
      <c r="AR81" s="120"/>
      <c r="AS81" s="120"/>
      <c r="AT81" s="95" t="str">
        <f>IFERROR(IF(YES_Writing_ELA[[#This Row],[Literacy IPP]]='Writing Logic'!$E$26,"IPP",IF(OR(AP81="EAL",AQ81="EAL",AR81="EAL",AS81="EAL"),"EAL",IF(AP81='Writing Logic'!$A$10,AVERAGE(VLOOKUP(AQ81,'Writing Logic'!$A$3:$B$7,2,FALSE),VLOOKUP(AR81,'Writing Logic'!$A$3:$B$7,2,FALSE),VLOOKUP(AS81,'Writing Logic'!$A$3:$B$7,2,FALSE)),AVERAGE(VLOOKUP(AP81,'Writing Logic'!$A$3:$B$7,2,FALSE),VLOOKUP(AQ81,'Writing Logic'!$A$3:$B$7,2,FALSE),VLOOKUP(AR81,'Writing Logic'!$A$3:$B$7,2,FALSE),VLOOKUP(AS81,'Writing Logic'!$A$3:$B$7,2,FALSE))))),"Fill All 4")</f>
        <v>Fill All 4</v>
      </c>
      <c r="AU81" s="95" t="str">
        <f t="shared" si="9"/>
        <v/>
      </c>
    </row>
    <row r="82" spans="1:47" x14ac:dyDescent="0.25">
      <c r="A82" s="13"/>
      <c r="B82" s="13"/>
      <c r="C82" s="13"/>
      <c r="D82" s="13"/>
      <c r="E82" s="13"/>
      <c r="F82" s="13"/>
      <c r="G82" s="13"/>
      <c r="H82" s="13"/>
      <c r="I82" s="13"/>
      <c r="J82" s="13"/>
      <c r="K82" s="183"/>
      <c r="L82" s="184"/>
      <c r="M82" s="120"/>
      <c r="N82" s="120"/>
      <c r="O82" s="120"/>
      <c r="P82" s="120"/>
      <c r="Q82" s="95" t="str">
        <f>IFERROR(IF(YES_Writing_ELA[[#This Row],[Literacy IPP]]='Writing Logic'!$E$26,"IPP",IF(OR(M82="EAL",N82="EAL",O82="EAL",P82="EAL"),"EAL",IF(M82='Writing Logic'!$A$10,AVERAGE(VLOOKUP(N82,'Writing Logic'!$A$3:$B$7,2,FALSE),VLOOKUP(O82,'Writing Logic'!$A$3:$B$7,2,FALSE),VLOOKUP(P82,'Writing Logic'!$A$3:$B$7,2,FALSE)),AVERAGE(VLOOKUP(M82,'Writing Logic'!$A$3:$B$7,2,FALSE),VLOOKUP(N82,'Writing Logic'!$A$3:$B$7,2,FALSE),VLOOKUP(O82,'Writing Logic'!$A$3:$B$7,2,FALSE),VLOOKUP(P82,'Writing Logic'!$A$3:$B$7,2,FALSE))))),"Fill All 4")</f>
        <v>Fill All 4</v>
      </c>
      <c r="R82" s="120"/>
      <c r="S82" s="120"/>
      <c r="T82" s="120"/>
      <c r="U82" s="120"/>
      <c r="V82" s="95" t="str">
        <f>IFERROR(IF(YES_Writing_ELA[[#This Row],[Literacy IPP]]='Writing Logic'!$E$26,"IPP",IF(OR(R82="EAL",S82="EAL",T82="EAL",U82="EAL"),"EAL",IF(R82='Writing Logic'!$A$10,AVERAGE(VLOOKUP(S82,'Writing Logic'!$A$3:$B$7,2,FALSE),VLOOKUP(T82,'Writing Logic'!$A$3:$B$7,2,FALSE),VLOOKUP(U82,'Writing Logic'!$A$3:$B$7,2,FALSE)),AVERAGE(VLOOKUP(R82,'Writing Logic'!$A$3:$B$7,2,FALSE),VLOOKUP(S82,'Writing Logic'!$A$3:$B$7,2,FALSE),VLOOKUP(T82,'Writing Logic'!$A$3:$B$7,2,FALSE),VLOOKUP(U82,'Writing Logic'!$A$3:$B$7,2,FALSE))))),"Fill All 4")</f>
        <v>Fill All 4</v>
      </c>
      <c r="W82" s="95" t="str">
        <f t="shared" si="5"/>
        <v/>
      </c>
      <c r="X82" s="120"/>
      <c r="Y82" s="120"/>
      <c r="Z82" s="120"/>
      <c r="AA82" s="120"/>
      <c r="AB82" s="95" t="str">
        <f>IFERROR(IF(YES_Writing_ELA[[#This Row],[Literacy IPP]]='Writing Logic'!$E$26,"IPP",IF(OR(X82="EAL",Y82="EAL",Z82="EAL",AA82="EAL"),"EAL",IF(X82='Writing Logic'!$A$10,AVERAGE(VLOOKUP(Y82,'Writing Logic'!$A$3:$B$7,2,FALSE),VLOOKUP(Z82,'Writing Logic'!$A$3:$B$7,2,FALSE),VLOOKUP(AA82,'Writing Logic'!$A$3:$B$7,2,FALSE)),AVERAGE(VLOOKUP(X82,'Writing Logic'!$A$3:$B$7,2,FALSE),VLOOKUP(Y82,'Writing Logic'!$A$3:$B$7,2,FALSE),VLOOKUP(Z82,'Writing Logic'!$A$3:$B$7,2,FALSE),VLOOKUP(AA82,'Writing Logic'!$A$3:$B$7,2,FALSE))))),"Fill All 4")</f>
        <v>Fill All 4</v>
      </c>
      <c r="AC82" s="95" t="str">
        <f t="shared" si="6"/>
        <v/>
      </c>
      <c r="AD82" s="120"/>
      <c r="AE82" s="120"/>
      <c r="AF82" s="120"/>
      <c r="AG82" s="120"/>
      <c r="AH82" s="95" t="str">
        <f>IFERROR(IF(YES_Writing_ELA[[#This Row],[Literacy IPP]]='Writing Logic'!$E$26,"IPP",IF(OR(AD82="EAL",AE82="EAL",AF82="EAL",AG82="EAL"),"EAL",IF(AD82='Writing Logic'!$A$10,AVERAGE(VLOOKUP(AE82,'Writing Logic'!$A$3:$B$7,2,FALSE),VLOOKUP(AF82,'Writing Logic'!$A$3:$B$7,2,FALSE),VLOOKUP(AG82,'Writing Logic'!$A$3:$B$7,2,FALSE)),AVERAGE(VLOOKUP(AD82,'Writing Logic'!$A$3:$B$7,2,FALSE),VLOOKUP(AE82,'Writing Logic'!$A$3:$B$7,2,FALSE),VLOOKUP(AF82,'Writing Logic'!$A$3:$B$7,2,FALSE),VLOOKUP(AG82,'Writing Logic'!$A$3:$B$7,2,FALSE))))),"Fill All 4")</f>
        <v>Fill All 4</v>
      </c>
      <c r="AI82" s="95" t="str">
        <f t="shared" si="7"/>
        <v/>
      </c>
      <c r="AJ82" s="183"/>
      <c r="AK82" s="120"/>
      <c r="AL82" s="120"/>
      <c r="AM82" s="120"/>
      <c r="AN82" s="95" t="str">
        <f>IFERROR(IF(YES_Writing_ELA[[#This Row],[Literacy IPP]]='Writing Logic'!$E$26,"IPP",IF(OR(AJ82="EAL",AK82="EAL",AL82="EAL",AM82="EAL"),"EAL",IF(AJ82='Writing Logic'!$A$10,AVERAGE(VLOOKUP(AK82,'Writing Logic'!$A$3:$B$7,2,FALSE),VLOOKUP(AL82,'Writing Logic'!$A$3:$B$7,2,FALSE),VLOOKUP(AM82,'Writing Logic'!$A$3:$B$7,2,FALSE)),AVERAGE(VLOOKUP(AJ82,'Writing Logic'!$A$3:$B$7,2,FALSE),VLOOKUP(AK82,'Writing Logic'!$A$3:$B$7,2,FALSE),VLOOKUP(AL82,'Writing Logic'!$A$3:$B$7,2,FALSE),VLOOKUP(AM82,'Writing Logic'!$A$3:$B$7,2,FALSE))))),"Fill All 4")</f>
        <v>Fill All 4</v>
      </c>
      <c r="AO82" s="95" t="str">
        <f t="shared" si="8"/>
        <v/>
      </c>
      <c r="AP82" s="120"/>
      <c r="AQ82" s="120"/>
      <c r="AR82" s="120"/>
      <c r="AS82" s="120"/>
      <c r="AT82" s="95" t="str">
        <f>IFERROR(IF(YES_Writing_ELA[[#This Row],[Literacy IPP]]='Writing Logic'!$E$26,"IPP",IF(OR(AP82="EAL",AQ82="EAL",AR82="EAL",AS82="EAL"),"EAL",IF(AP82='Writing Logic'!$A$10,AVERAGE(VLOOKUP(AQ82,'Writing Logic'!$A$3:$B$7,2,FALSE),VLOOKUP(AR82,'Writing Logic'!$A$3:$B$7,2,FALSE),VLOOKUP(AS82,'Writing Logic'!$A$3:$B$7,2,FALSE)),AVERAGE(VLOOKUP(AP82,'Writing Logic'!$A$3:$B$7,2,FALSE),VLOOKUP(AQ82,'Writing Logic'!$A$3:$B$7,2,FALSE),VLOOKUP(AR82,'Writing Logic'!$A$3:$B$7,2,FALSE),VLOOKUP(AS82,'Writing Logic'!$A$3:$B$7,2,FALSE))))),"Fill All 4")</f>
        <v>Fill All 4</v>
      </c>
      <c r="AU82" s="95" t="str">
        <f t="shared" si="9"/>
        <v/>
      </c>
    </row>
    <row r="83" spans="1:47" x14ac:dyDescent="0.25">
      <c r="A83" s="13"/>
      <c r="B83" s="13"/>
      <c r="C83" s="13"/>
      <c r="D83" s="13"/>
      <c r="E83" s="13"/>
      <c r="F83" s="13"/>
      <c r="G83" s="13"/>
      <c r="H83" s="13"/>
      <c r="I83" s="13"/>
      <c r="J83" s="13"/>
      <c r="K83" s="183"/>
      <c r="L83" s="184"/>
      <c r="M83" s="120"/>
      <c r="N83" s="120"/>
      <c r="O83" s="120"/>
      <c r="P83" s="120"/>
      <c r="Q83" s="95" t="str">
        <f>IFERROR(IF(YES_Writing_ELA[[#This Row],[Literacy IPP]]='Writing Logic'!$E$26,"IPP",IF(OR(M83="EAL",N83="EAL",O83="EAL",P83="EAL"),"EAL",IF(M83='Writing Logic'!$A$10,AVERAGE(VLOOKUP(N83,'Writing Logic'!$A$3:$B$7,2,FALSE),VLOOKUP(O83,'Writing Logic'!$A$3:$B$7,2,FALSE),VLOOKUP(P83,'Writing Logic'!$A$3:$B$7,2,FALSE)),AVERAGE(VLOOKUP(M83,'Writing Logic'!$A$3:$B$7,2,FALSE),VLOOKUP(N83,'Writing Logic'!$A$3:$B$7,2,FALSE),VLOOKUP(O83,'Writing Logic'!$A$3:$B$7,2,FALSE),VLOOKUP(P83,'Writing Logic'!$A$3:$B$7,2,FALSE))))),"Fill All 4")</f>
        <v>Fill All 4</v>
      </c>
      <c r="R83" s="120"/>
      <c r="S83" s="120"/>
      <c r="T83" s="120"/>
      <c r="U83" s="120"/>
      <c r="V83" s="95" t="str">
        <f>IFERROR(IF(YES_Writing_ELA[[#This Row],[Literacy IPP]]='Writing Logic'!$E$26,"IPP",IF(OR(R83="EAL",S83="EAL",T83="EAL",U83="EAL"),"EAL",IF(R83='Writing Logic'!$A$10,AVERAGE(VLOOKUP(S83,'Writing Logic'!$A$3:$B$7,2,FALSE),VLOOKUP(T83,'Writing Logic'!$A$3:$B$7,2,FALSE),VLOOKUP(U83,'Writing Logic'!$A$3:$B$7,2,FALSE)),AVERAGE(VLOOKUP(R83,'Writing Logic'!$A$3:$B$7,2,FALSE),VLOOKUP(S83,'Writing Logic'!$A$3:$B$7,2,FALSE),VLOOKUP(T83,'Writing Logic'!$A$3:$B$7,2,FALSE),VLOOKUP(U83,'Writing Logic'!$A$3:$B$7,2,FALSE))))),"Fill All 4")</f>
        <v>Fill All 4</v>
      </c>
      <c r="W83" s="95" t="str">
        <f t="shared" si="5"/>
        <v/>
      </c>
      <c r="X83" s="120"/>
      <c r="Y83" s="120"/>
      <c r="Z83" s="120"/>
      <c r="AA83" s="120"/>
      <c r="AB83" s="95" t="str">
        <f>IFERROR(IF(YES_Writing_ELA[[#This Row],[Literacy IPP]]='Writing Logic'!$E$26,"IPP",IF(OR(X83="EAL",Y83="EAL",Z83="EAL",AA83="EAL"),"EAL",IF(X83='Writing Logic'!$A$10,AVERAGE(VLOOKUP(Y83,'Writing Logic'!$A$3:$B$7,2,FALSE),VLOOKUP(Z83,'Writing Logic'!$A$3:$B$7,2,FALSE),VLOOKUP(AA83,'Writing Logic'!$A$3:$B$7,2,FALSE)),AVERAGE(VLOOKUP(X83,'Writing Logic'!$A$3:$B$7,2,FALSE),VLOOKUP(Y83,'Writing Logic'!$A$3:$B$7,2,FALSE),VLOOKUP(Z83,'Writing Logic'!$A$3:$B$7,2,FALSE),VLOOKUP(AA83,'Writing Logic'!$A$3:$B$7,2,FALSE))))),"Fill All 4")</f>
        <v>Fill All 4</v>
      </c>
      <c r="AC83" s="95" t="str">
        <f t="shared" si="6"/>
        <v/>
      </c>
      <c r="AD83" s="120"/>
      <c r="AE83" s="120"/>
      <c r="AF83" s="120"/>
      <c r="AG83" s="120"/>
      <c r="AH83" s="95" t="str">
        <f>IFERROR(IF(YES_Writing_ELA[[#This Row],[Literacy IPP]]='Writing Logic'!$E$26,"IPP",IF(OR(AD83="EAL",AE83="EAL",AF83="EAL",AG83="EAL"),"EAL",IF(AD83='Writing Logic'!$A$10,AVERAGE(VLOOKUP(AE83,'Writing Logic'!$A$3:$B$7,2,FALSE),VLOOKUP(AF83,'Writing Logic'!$A$3:$B$7,2,FALSE),VLOOKUP(AG83,'Writing Logic'!$A$3:$B$7,2,FALSE)),AVERAGE(VLOOKUP(AD83,'Writing Logic'!$A$3:$B$7,2,FALSE),VLOOKUP(AE83,'Writing Logic'!$A$3:$B$7,2,FALSE),VLOOKUP(AF83,'Writing Logic'!$A$3:$B$7,2,FALSE),VLOOKUP(AG83,'Writing Logic'!$A$3:$B$7,2,FALSE))))),"Fill All 4")</f>
        <v>Fill All 4</v>
      </c>
      <c r="AI83" s="95" t="str">
        <f t="shared" si="7"/>
        <v/>
      </c>
      <c r="AJ83" s="183"/>
      <c r="AK83" s="120"/>
      <c r="AL83" s="120"/>
      <c r="AM83" s="120"/>
      <c r="AN83" s="95" t="str">
        <f>IFERROR(IF(YES_Writing_ELA[[#This Row],[Literacy IPP]]='Writing Logic'!$E$26,"IPP",IF(OR(AJ83="EAL",AK83="EAL",AL83="EAL",AM83="EAL"),"EAL",IF(AJ83='Writing Logic'!$A$10,AVERAGE(VLOOKUP(AK83,'Writing Logic'!$A$3:$B$7,2,FALSE),VLOOKUP(AL83,'Writing Logic'!$A$3:$B$7,2,FALSE),VLOOKUP(AM83,'Writing Logic'!$A$3:$B$7,2,FALSE)),AVERAGE(VLOOKUP(AJ83,'Writing Logic'!$A$3:$B$7,2,FALSE),VLOOKUP(AK83,'Writing Logic'!$A$3:$B$7,2,FALSE),VLOOKUP(AL83,'Writing Logic'!$A$3:$B$7,2,FALSE),VLOOKUP(AM83,'Writing Logic'!$A$3:$B$7,2,FALSE))))),"Fill All 4")</f>
        <v>Fill All 4</v>
      </c>
      <c r="AO83" s="95" t="str">
        <f t="shared" si="8"/>
        <v/>
      </c>
      <c r="AP83" s="120"/>
      <c r="AQ83" s="120"/>
      <c r="AR83" s="120"/>
      <c r="AS83" s="120"/>
      <c r="AT83" s="95" t="str">
        <f>IFERROR(IF(YES_Writing_ELA[[#This Row],[Literacy IPP]]='Writing Logic'!$E$26,"IPP",IF(OR(AP83="EAL",AQ83="EAL",AR83="EAL",AS83="EAL"),"EAL",IF(AP83='Writing Logic'!$A$10,AVERAGE(VLOOKUP(AQ83,'Writing Logic'!$A$3:$B$7,2,FALSE),VLOOKUP(AR83,'Writing Logic'!$A$3:$B$7,2,FALSE),VLOOKUP(AS83,'Writing Logic'!$A$3:$B$7,2,FALSE)),AVERAGE(VLOOKUP(AP83,'Writing Logic'!$A$3:$B$7,2,FALSE),VLOOKUP(AQ83,'Writing Logic'!$A$3:$B$7,2,FALSE),VLOOKUP(AR83,'Writing Logic'!$A$3:$B$7,2,FALSE),VLOOKUP(AS83,'Writing Logic'!$A$3:$B$7,2,FALSE))))),"Fill All 4")</f>
        <v>Fill All 4</v>
      </c>
      <c r="AU83" s="95" t="str">
        <f t="shared" si="9"/>
        <v/>
      </c>
    </row>
    <row r="84" spans="1:47" x14ac:dyDescent="0.25">
      <c r="A84" s="13"/>
      <c r="B84" s="13"/>
      <c r="C84" s="13"/>
      <c r="D84" s="13"/>
      <c r="E84" s="13"/>
      <c r="F84" s="13"/>
      <c r="G84" s="13"/>
      <c r="H84" s="13"/>
      <c r="I84" s="13"/>
      <c r="J84" s="13"/>
      <c r="K84" s="183"/>
      <c r="L84" s="184"/>
      <c r="M84" s="120"/>
      <c r="N84" s="120"/>
      <c r="O84" s="120"/>
      <c r="P84" s="120"/>
      <c r="Q84" s="95" t="str">
        <f>IFERROR(IF(YES_Writing_ELA[[#This Row],[Literacy IPP]]='Writing Logic'!$E$26,"IPP",IF(OR(M84="EAL",N84="EAL",O84="EAL",P84="EAL"),"EAL",IF(M84='Writing Logic'!$A$10,AVERAGE(VLOOKUP(N84,'Writing Logic'!$A$3:$B$7,2,FALSE),VLOOKUP(O84,'Writing Logic'!$A$3:$B$7,2,FALSE),VLOOKUP(P84,'Writing Logic'!$A$3:$B$7,2,FALSE)),AVERAGE(VLOOKUP(M84,'Writing Logic'!$A$3:$B$7,2,FALSE),VLOOKUP(N84,'Writing Logic'!$A$3:$B$7,2,FALSE),VLOOKUP(O84,'Writing Logic'!$A$3:$B$7,2,FALSE),VLOOKUP(P84,'Writing Logic'!$A$3:$B$7,2,FALSE))))),"Fill All 4")</f>
        <v>Fill All 4</v>
      </c>
      <c r="R84" s="120"/>
      <c r="S84" s="120"/>
      <c r="T84" s="120"/>
      <c r="U84" s="120"/>
      <c r="V84" s="95" t="str">
        <f>IFERROR(IF(YES_Writing_ELA[[#This Row],[Literacy IPP]]='Writing Logic'!$E$26,"IPP",IF(OR(R84="EAL",S84="EAL",T84="EAL",U84="EAL"),"EAL",IF(R84='Writing Logic'!$A$10,AVERAGE(VLOOKUP(S84,'Writing Logic'!$A$3:$B$7,2,FALSE),VLOOKUP(T84,'Writing Logic'!$A$3:$B$7,2,FALSE),VLOOKUP(U84,'Writing Logic'!$A$3:$B$7,2,FALSE)),AVERAGE(VLOOKUP(R84,'Writing Logic'!$A$3:$B$7,2,FALSE),VLOOKUP(S84,'Writing Logic'!$A$3:$B$7,2,FALSE),VLOOKUP(T84,'Writing Logic'!$A$3:$B$7,2,FALSE),VLOOKUP(U84,'Writing Logic'!$A$3:$B$7,2,FALSE))))),"Fill All 4")</f>
        <v>Fill All 4</v>
      </c>
      <c r="W84" s="95" t="str">
        <f t="shared" si="5"/>
        <v/>
      </c>
      <c r="X84" s="120"/>
      <c r="Y84" s="120"/>
      <c r="Z84" s="120"/>
      <c r="AA84" s="120"/>
      <c r="AB84" s="95" t="str">
        <f>IFERROR(IF(YES_Writing_ELA[[#This Row],[Literacy IPP]]='Writing Logic'!$E$26,"IPP",IF(OR(X84="EAL",Y84="EAL",Z84="EAL",AA84="EAL"),"EAL",IF(X84='Writing Logic'!$A$10,AVERAGE(VLOOKUP(Y84,'Writing Logic'!$A$3:$B$7,2,FALSE),VLOOKUP(Z84,'Writing Logic'!$A$3:$B$7,2,FALSE),VLOOKUP(AA84,'Writing Logic'!$A$3:$B$7,2,FALSE)),AVERAGE(VLOOKUP(X84,'Writing Logic'!$A$3:$B$7,2,FALSE),VLOOKUP(Y84,'Writing Logic'!$A$3:$B$7,2,FALSE),VLOOKUP(Z84,'Writing Logic'!$A$3:$B$7,2,FALSE),VLOOKUP(AA84,'Writing Logic'!$A$3:$B$7,2,FALSE))))),"Fill All 4")</f>
        <v>Fill All 4</v>
      </c>
      <c r="AC84" s="95" t="str">
        <f t="shared" si="6"/>
        <v/>
      </c>
      <c r="AD84" s="120"/>
      <c r="AE84" s="120"/>
      <c r="AF84" s="120"/>
      <c r="AG84" s="120"/>
      <c r="AH84" s="95" t="str">
        <f>IFERROR(IF(YES_Writing_ELA[[#This Row],[Literacy IPP]]='Writing Logic'!$E$26,"IPP",IF(OR(AD84="EAL",AE84="EAL",AF84="EAL",AG84="EAL"),"EAL",IF(AD84='Writing Logic'!$A$10,AVERAGE(VLOOKUP(AE84,'Writing Logic'!$A$3:$B$7,2,FALSE),VLOOKUP(AF84,'Writing Logic'!$A$3:$B$7,2,FALSE),VLOOKUP(AG84,'Writing Logic'!$A$3:$B$7,2,FALSE)),AVERAGE(VLOOKUP(AD84,'Writing Logic'!$A$3:$B$7,2,FALSE),VLOOKUP(AE84,'Writing Logic'!$A$3:$B$7,2,FALSE),VLOOKUP(AF84,'Writing Logic'!$A$3:$B$7,2,FALSE),VLOOKUP(AG84,'Writing Logic'!$A$3:$B$7,2,FALSE))))),"Fill All 4")</f>
        <v>Fill All 4</v>
      </c>
      <c r="AI84" s="95" t="str">
        <f t="shared" si="7"/>
        <v/>
      </c>
      <c r="AJ84" s="183"/>
      <c r="AK84" s="120"/>
      <c r="AL84" s="120"/>
      <c r="AM84" s="120"/>
      <c r="AN84" s="95" t="str">
        <f>IFERROR(IF(YES_Writing_ELA[[#This Row],[Literacy IPP]]='Writing Logic'!$E$26,"IPP",IF(OR(AJ84="EAL",AK84="EAL",AL84="EAL",AM84="EAL"),"EAL",IF(AJ84='Writing Logic'!$A$10,AVERAGE(VLOOKUP(AK84,'Writing Logic'!$A$3:$B$7,2,FALSE),VLOOKUP(AL84,'Writing Logic'!$A$3:$B$7,2,FALSE),VLOOKUP(AM84,'Writing Logic'!$A$3:$B$7,2,FALSE)),AVERAGE(VLOOKUP(AJ84,'Writing Logic'!$A$3:$B$7,2,FALSE),VLOOKUP(AK84,'Writing Logic'!$A$3:$B$7,2,FALSE),VLOOKUP(AL84,'Writing Logic'!$A$3:$B$7,2,FALSE),VLOOKUP(AM84,'Writing Logic'!$A$3:$B$7,2,FALSE))))),"Fill All 4")</f>
        <v>Fill All 4</v>
      </c>
      <c r="AO84" s="95" t="str">
        <f t="shared" si="8"/>
        <v/>
      </c>
      <c r="AP84" s="120"/>
      <c r="AQ84" s="120"/>
      <c r="AR84" s="120"/>
      <c r="AS84" s="120"/>
      <c r="AT84" s="95" t="str">
        <f>IFERROR(IF(YES_Writing_ELA[[#This Row],[Literacy IPP]]='Writing Logic'!$E$26,"IPP",IF(OR(AP84="EAL",AQ84="EAL",AR84="EAL",AS84="EAL"),"EAL",IF(AP84='Writing Logic'!$A$10,AVERAGE(VLOOKUP(AQ84,'Writing Logic'!$A$3:$B$7,2,FALSE),VLOOKUP(AR84,'Writing Logic'!$A$3:$B$7,2,FALSE),VLOOKUP(AS84,'Writing Logic'!$A$3:$B$7,2,FALSE)),AVERAGE(VLOOKUP(AP84,'Writing Logic'!$A$3:$B$7,2,FALSE),VLOOKUP(AQ84,'Writing Logic'!$A$3:$B$7,2,FALSE),VLOOKUP(AR84,'Writing Logic'!$A$3:$B$7,2,FALSE),VLOOKUP(AS84,'Writing Logic'!$A$3:$B$7,2,FALSE))))),"Fill All 4")</f>
        <v>Fill All 4</v>
      </c>
      <c r="AU84" s="95" t="str">
        <f t="shared" si="9"/>
        <v/>
      </c>
    </row>
    <row r="85" spans="1:47" x14ac:dyDescent="0.25">
      <c r="A85" s="13"/>
      <c r="B85" s="13"/>
      <c r="C85" s="13"/>
      <c r="D85" s="13"/>
      <c r="E85" s="13"/>
      <c r="F85" s="13"/>
      <c r="G85" s="13"/>
      <c r="H85" s="13"/>
      <c r="I85" s="13"/>
      <c r="J85" s="13"/>
      <c r="K85" s="183"/>
      <c r="L85" s="184"/>
      <c r="M85" s="120"/>
      <c r="N85" s="120"/>
      <c r="O85" s="120"/>
      <c r="P85" s="120"/>
      <c r="Q85" s="95" t="str">
        <f>IFERROR(IF(YES_Writing_ELA[[#This Row],[Literacy IPP]]='Writing Logic'!$E$26,"IPP",IF(OR(M85="EAL",N85="EAL",O85="EAL",P85="EAL"),"EAL",IF(M85='Writing Logic'!$A$10,AVERAGE(VLOOKUP(N85,'Writing Logic'!$A$3:$B$7,2,FALSE),VLOOKUP(O85,'Writing Logic'!$A$3:$B$7,2,FALSE),VLOOKUP(P85,'Writing Logic'!$A$3:$B$7,2,FALSE)),AVERAGE(VLOOKUP(M85,'Writing Logic'!$A$3:$B$7,2,FALSE),VLOOKUP(N85,'Writing Logic'!$A$3:$B$7,2,FALSE),VLOOKUP(O85,'Writing Logic'!$A$3:$B$7,2,FALSE),VLOOKUP(P85,'Writing Logic'!$A$3:$B$7,2,FALSE))))),"Fill All 4")</f>
        <v>Fill All 4</v>
      </c>
      <c r="R85" s="120"/>
      <c r="S85" s="120"/>
      <c r="T85" s="120"/>
      <c r="U85" s="120"/>
      <c r="V85" s="95" t="str">
        <f>IFERROR(IF(YES_Writing_ELA[[#This Row],[Literacy IPP]]='Writing Logic'!$E$26,"IPP",IF(OR(R85="EAL",S85="EAL",T85="EAL",U85="EAL"),"EAL",IF(R85='Writing Logic'!$A$10,AVERAGE(VLOOKUP(S85,'Writing Logic'!$A$3:$B$7,2,FALSE),VLOOKUP(T85,'Writing Logic'!$A$3:$B$7,2,FALSE),VLOOKUP(U85,'Writing Logic'!$A$3:$B$7,2,FALSE)),AVERAGE(VLOOKUP(R85,'Writing Logic'!$A$3:$B$7,2,FALSE),VLOOKUP(S85,'Writing Logic'!$A$3:$B$7,2,FALSE),VLOOKUP(T85,'Writing Logic'!$A$3:$B$7,2,FALSE),VLOOKUP(U85,'Writing Logic'!$A$3:$B$7,2,FALSE))))),"Fill All 4")</f>
        <v>Fill All 4</v>
      </c>
      <c r="W85" s="95" t="str">
        <f t="shared" si="5"/>
        <v/>
      </c>
      <c r="X85" s="120"/>
      <c r="Y85" s="120"/>
      <c r="Z85" s="120"/>
      <c r="AA85" s="120"/>
      <c r="AB85" s="95" t="str">
        <f>IFERROR(IF(YES_Writing_ELA[[#This Row],[Literacy IPP]]='Writing Logic'!$E$26,"IPP",IF(OR(X85="EAL",Y85="EAL",Z85="EAL",AA85="EAL"),"EAL",IF(X85='Writing Logic'!$A$10,AVERAGE(VLOOKUP(Y85,'Writing Logic'!$A$3:$B$7,2,FALSE),VLOOKUP(Z85,'Writing Logic'!$A$3:$B$7,2,FALSE),VLOOKUP(AA85,'Writing Logic'!$A$3:$B$7,2,FALSE)),AVERAGE(VLOOKUP(X85,'Writing Logic'!$A$3:$B$7,2,FALSE),VLOOKUP(Y85,'Writing Logic'!$A$3:$B$7,2,FALSE),VLOOKUP(Z85,'Writing Logic'!$A$3:$B$7,2,FALSE),VLOOKUP(AA85,'Writing Logic'!$A$3:$B$7,2,FALSE))))),"Fill All 4")</f>
        <v>Fill All 4</v>
      </c>
      <c r="AC85" s="95" t="str">
        <f t="shared" si="6"/>
        <v/>
      </c>
      <c r="AD85" s="120"/>
      <c r="AE85" s="120"/>
      <c r="AF85" s="120"/>
      <c r="AG85" s="120"/>
      <c r="AH85" s="95" t="str">
        <f>IFERROR(IF(YES_Writing_ELA[[#This Row],[Literacy IPP]]='Writing Logic'!$E$26,"IPP",IF(OR(AD85="EAL",AE85="EAL",AF85="EAL",AG85="EAL"),"EAL",IF(AD85='Writing Logic'!$A$10,AVERAGE(VLOOKUP(AE85,'Writing Logic'!$A$3:$B$7,2,FALSE),VLOOKUP(AF85,'Writing Logic'!$A$3:$B$7,2,FALSE),VLOOKUP(AG85,'Writing Logic'!$A$3:$B$7,2,FALSE)),AVERAGE(VLOOKUP(AD85,'Writing Logic'!$A$3:$B$7,2,FALSE),VLOOKUP(AE85,'Writing Logic'!$A$3:$B$7,2,FALSE),VLOOKUP(AF85,'Writing Logic'!$A$3:$B$7,2,FALSE),VLOOKUP(AG85,'Writing Logic'!$A$3:$B$7,2,FALSE))))),"Fill All 4")</f>
        <v>Fill All 4</v>
      </c>
      <c r="AI85" s="95" t="str">
        <f t="shared" si="7"/>
        <v/>
      </c>
      <c r="AJ85" s="183"/>
      <c r="AK85" s="120"/>
      <c r="AL85" s="120"/>
      <c r="AM85" s="120"/>
      <c r="AN85" s="95" t="str">
        <f>IFERROR(IF(YES_Writing_ELA[[#This Row],[Literacy IPP]]='Writing Logic'!$E$26,"IPP",IF(OR(AJ85="EAL",AK85="EAL",AL85="EAL",AM85="EAL"),"EAL",IF(AJ85='Writing Logic'!$A$10,AVERAGE(VLOOKUP(AK85,'Writing Logic'!$A$3:$B$7,2,FALSE),VLOOKUP(AL85,'Writing Logic'!$A$3:$B$7,2,FALSE),VLOOKUP(AM85,'Writing Logic'!$A$3:$B$7,2,FALSE)),AVERAGE(VLOOKUP(AJ85,'Writing Logic'!$A$3:$B$7,2,FALSE),VLOOKUP(AK85,'Writing Logic'!$A$3:$B$7,2,FALSE),VLOOKUP(AL85,'Writing Logic'!$A$3:$B$7,2,FALSE),VLOOKUP(AM85,'Writing Logic'!$A$3:$B$7,2,FALSE))))),"Fill All 4")</f>
        <v>Fill All 4</v>
      </c>
      <c r="AO85" s="95" t="str">
        <f t="shared" si="8"/>
        <v/>
      </c>
      <c r="AP85" s="120"/>
      <c r="AQ85" s="120"/>
      <c r="AR85" s="120"/>
      <c r="AS85" s="120"/>
      <c r="AT85" s="95" t="str">
        <f>IFERROR(IF(YES_Writing_ELA[[#This Row],[Literacy IPP]]='Writing Logic'!$E$26,"IPP",IF(OR(AP85="EAL",AQ85="EAL",AR85="EAL",AS85="EAL"),"EAL",IF(AP85='Writing Logic'!$A$10,AVERAGE(VLOOKUP(AQ85,'Writing Logic'!$A$3:$B$7,2,FALSE),VLOOKUP(AR85,'Writing Logic'!$A$3:$B$7,2,FALSE),VLOOKUP(AS85,'Writing Logic'!$A$3:$B$7,2,FALSE)),AVERAGE(VLOOKUP(AP85,'Writing Logic'!$A$3:$B$7,2,FALSE),VLOOKUP(AQ85,'Writing Logic'!$A$3:$B$7,2,FALSE),VLOOKUP(AR85,'Writing Logic'!$A$3:$B$7,2,FALSE),VLOOKUP(AS85,'Writing Logic'!$A$3:$B$7,2,FALSE))))),"Fill All 4")</f>
        <v>Fill All 4</v>
      </c>
      <c r="AU85" s="95" t="str">
        <f t="shared" si="9"/>
        <v/>
      </c>
    </row>
    <row r="86" spans="1:47" x14ac:dyDescent="0.25">
      <c r="A86" s="13"/>
      <c r="B86" s="13"/>
      <c r="C86" s="13"/>
      <c r="D86" s="13"/>
      <c r="E86" s="13"/>
      <c r="F86" s="13"/>
      <c r="G86" s="13"/>
      <c r="H86" s="13"/>
      <c r="I86" s="13"/>
      <c r="J86" s="13"/>
      <c r="K86" s="183"/>
      <c r="L86" s="184"/>
      <c r="M86" s="120"/>
      <c r="N86" s="120"/>
      <c r="O86" s="120"/>
      <c r="P86" s="120"/>
      <c r="Q86" s="95" t="str">
        <f>IFERROR(IF(YES_Writing_ELA[[#This Row],[Literacy IPP]]='Writing Logic'!$E$26,"IPP",IF(OR(M86="EAL",N86="EAL",O86="EAL",P86="EAL"),"EAL",IF(M86='Writing Logic'!$A$10,AVERAGE(VLOOKUP(N86,'Writing Logic'!$A$3:$B$7,2,FALSE),VLOOKUP(O86,'Writing Logic'!$A$3:$B$7,2,FALSE),VLOOKUP(P86,'Writing Logic'!$A$3:$B$7,2,FALSE)),AVERAGE(VLOOKUP(M86,'Writing Logic'!$A$3:$B$7,2,FALSE),VLOOKUP(N86,'Writing Logic'!$A$3:$B$7,2,FALSE),VLOOKUP(O86,'Writing Logic'!$A$3:$B$7,2,FALSE),VLOOKUP(P86,'Writing Logic'!$A$3:$B$7,2,FALSE))))),"Fill All 4")</f>
        <v>Fill All 4</v>
      </c>
      <c r="R86" s="120"/>
      <c r="S86" s="120"/>
      <c r="T86" s="120"/>
      <c r="U86" s="120"/>
      <c r="V86" s="95" t="str">
        <f>IFERROR(IF(YES_Writing_ELA[[#This Row],[Literacy IPP]]='Writing Logic'!$E$26,"IPP",IF(OR(R86="EAL",S86="EAL",T86="EAL",U86="EAL"),"EAL",IF(R86='Writing Logic'!$A$10,AVERAGE(VLOOKUP(S86,'Writing Logic'!$A$3:$B$7,2,FALSE),VLOOKUP(T86,'Writing Logic'!$A$3:$B$7,2,FALSE),VLOOKUP(U86,'Writing Logic'!$A$3:$B$7,2,FALSE)),AVERAGE(VLOOKUP(R86,'Writing Logic'!$A$3:$B$7,2,FALSE),VLOOKUP(S86,'Writing Logic'!$A$3:$B$7,2,FALSE),VLOOKUP(T86,'Writing Logic'!$A$3:$B$7,2,FALSE),VLOOKUP(U86,'Writing Logic'!$A$3:$B$7,2,FALSE))))),"Fill All 4")</f>
        <v>Fill All 4</v>
      </c>
      <c r="W86" s="95" t="str">
        <f t="shared" si="5"/>
        <v/>
      </c>
      <c r="X86" s="120"/>
      <c r="Y86" s="120"/>
      <c r="Z86" s="120"/>
      <c r="AA86" s="120"/>
      <c r="AB86" s="95" t="str">
        <f>IFERROR(IF(YES_Writing_ELA[[#This Row],[Literacy IPP]]='Writing Logic'!$E$26,"IPP",IF(OR(X86="EAL",Y86="EAL",Z86="EAL",AA86="EAL"),"EAL",IF(X86='Writing Logic'!$A$10,AVERAGE(VLOOKUP(Y86,'Writing Logic'!$A$3:$B$7,2,FALSE),VLOOKUP(Z86,'Writing Logic'!$A$3:$B$7,2,FALSE),VLOOKUP(AA86,'Writing Logic'!$A$3:$B$7,2,FALSE)),AVERAGE(VLOOKUP(X86,'Writing Logic'!$A$3:$B$7,2,FALSE),VLOOKUP(Y86,'Writing Logic'!$A$3:$B$7,2,FALSE),VLOOKUP(Z86,'Writing Logic'!$A$3:$B$7,2,FALSE),VLOOKUP(AA86,'Writing Logic'!$A$3:$B$7,2,FALSE))))),"Fill All 4")</f>
        <v>Fill All 4</v>
      </c>
      <c r="AC86" s="95" t="str">
        <f t="shared" si="6"/>
        <v/>
      </c>
      <c r="AD86" s="120"/>
      <c r="AE86" s="120"/>
      <c r="AF86" s="120"/>
      <c r="AG86" s="120"/>
      <c r="AH86" s="95" t="str">
        <f>IFERROR(IF(YES_Writing_ELA[[#This Row],[Literacy IPP]]='Writing Logic'!$E$26,"IPP",IF(OR(AD86="EAL",AE86="EAL",AF86="EAL",AG86="EAL"),"EAL",IF(AD86='Writing Logic'!$A$10,AVERAGE(VLOOKUP(AE86,'Writing Logic'!$A$3:$B$7,2,FALSE),VLOOKUP(AF86,'Writing Logic'!$A$3:$B$7,2,FALSE),VLOOKUP(AG86,'Writing Logic'!$A$3:$B$7,2,FALSE)),AVERAGE(VLOOKUP(AD86,'Writing Logic'!$A$3:$B$7,2,FALSE),VLOOKUP(AE86,'Writing Logic'!$A$3:$B$7,2,FALSE),VLOOKUP(AF86,'Writing Logic'!$A$3:$B$7,2,FALSE),VLOOKUP(AG86,'Writing Logic'!$A$3:$B$7,2,FALSE))))),"Fill All 4")</f>
        <v>Fill All 4</v>
      </c>
      <c r="AI86" s="95" t="str">
        <f t="shared" si="7"/>
        <v/>
      </c>
      <c r="AJ86" s="183"/>
      <c r="AK86" s="120"/>
      <c r="AL86" s="120"/>
      <c r="AM86" s="120"/>
      <c r="AN86" s="95" t="str">
        <f>IFERROR(IF(YES_Writing_ELA[[#This Row],[Literacy IPP]]='Writing Logic'!$E$26,"IPP",IF(OR(AJ86="EAL",AK86="EAL",AL86="EAL",AM86="EAL"),"EAL",IF(AJ86='Writing Logic'!$A$10,AVERAGE(VLOOKUP(AK86,'Writing Logic'!$A$3:$B$7,2,FALSE),VLOOKUP(AL86,'Writing Logic'!$A$3:$B$7,2,FALSE),VLOOKUP(AM86,'Writing Logic'!$A$3:$B$7,2,FALSE)),AVERAGE(VLOOKUP(AJ86,'Writing Logic'!$A$3:$B$7,2,FALSE),VLOOKUP(AK86,'Writing Logic'!$A$3:$B$7,2,FALSE),VLOOKUP(AL86,'Writing Logic'!$A$3:$B$7,2,FALSE),VLOOKUP(AM86,'Writing Logic'!$A$3:$B$7,2,FALSE))))),"Fill All 4")</f>
        <v>Fill All 4</v>
      </c>
      <c r="AO86" s="95" t="str">
        <f t="shared" si="8"/>
        <v/>
      </c>
      <c r="AP86" s="120"/>
      <c r="AQ86" s="120"/>
      <c r="AR86" s="120"/>
      <c r="AS86" s="120"/>
      <c r="AT86" s="95" t="str">
        <f>IFERROR(IF(YES_Writing_ELA[[#This Row],[Literacy IPP]]='Writing Logic'!$E$26,"IPP",IF(OR(AP86="EAL",AQ86="EAL",AR86="EAL",AS86="EAL"),"EAL",IF(AP86='Writing Logic'!$A$10,AVERAGE(VLOOKUP(AQ86,'Writing Logic'!$A$3:$B$7,2,FALSE),VLOOKUP(AR86,'Writing Logic'!$A$3:$B$7,2,FALSE),VLOOKUP(AS86,'Writing Logic'!$A$3:$B$7,2,FALSE)),AVERAGE(VLOOKUP(AP86,'Writing Logic'!$A$3:$B$7,2,FALSE),VLOOKUP(AQ86,'Writing Logic'!$A$3:$B$7,2,FALSE),VLOOKUP(AR86,'Writing Logic'!$A$3:$B$7,2,FALSE),VLOOKUP(AS86,'Writing Logic'!$A$3:$B$7,2,FALSE))))),"Fill All 4")</f>
        <v>Fill All 4</v>
      </c>
      <c r="AU86" s="95" t="str">
        <f t="shared" si="9"/>
        <v/>
      </c>
    </row>
    <row r="87" spans="1:47" x14ac:dyDescent="0.25">
      <c r="A87" s="13"/>
      <c r="B87" s="13"/>
      <c r="C87" s="13"/>
      <c r="D87" s="13"/>
      <c r="E87" s="13"/>
      <c r="F87" s="13"/>
      <c r="G87" s="13"/>
      <c r="H87" s="13"/>
      <c r="I87" s="13"/>
      <c r="J87" s="13"/>
      <c r="K87" s="183"/>
      <c r="L87" s="184"/>
      <c r="M87" s="120"/>
      <c r="N87" s="120"/>
      <c r="O87" s="120"/>
      <c r="P87" s="120"/>
      <c r="Q87" s="95" t="str">
        <f>IFERROR(IF(YES_Writing_ELA[[#This Row],[Literacy IPP]]='Writing Logic'!$E$26,"IPP",IF(OR(M87="EAL",N87="EAL",O87="EAL",P87="EAL"),"EAL",IF(M87='Writing Logic'!$A$10,AVERAGE(VLOOKUP(N87,'Writing Logic'!$A$3:$B$7,2,FALSE),VLOOKUP(O87,'Writing Logic'!$A$3:$B$7,2,FALSE),VLOOKUP(P87,'Writing Logic'!$A$3:$B$7,2,FALSE)),AVERAGE(VLOOKUP(M87,'Writing Logic'!$A$3:$B$7,2,FALSE),VLOOKUP(N87,'Writing Logic'!$A$3:$B$7,2,FALSE),VLOOKUP(O87,'Writing Logic'!$A$3:$B$7,2,FALSE),VLOOKUP(P87,'Writing Logic'!$A$3:$B$7,2,FALSE))))),"Fill All 4")</f>
        <v>Fill All 4</v>
      </c>
      <c r="R87" s="120"/>
      <c r="S87" s="120"/>
      <c r="T87" s="120"/>
      <c r="U87" s="120"/>
      <c r="V87" s="95" t="str">
        <f>IFERROR(IF(YES_Writing_ELA[[#This Row],[Literacy IPP]]='Writing Logic'!$E$26,"IPP",IF(OR(R87="EAL",S87="EAL",T87="EAL",U87="EAL"),"EAL",IF(R87='Writing Logic'!$A$10,AVERAGE(VLOOKUP(S87,'Writing Logic'!$A$3:$B$7,2,FALSE),VLOOKUP(T87,'Writing Logic'!$A$3:$B$7,2,FALSE),VLOOKUP(U87,'Writing Logic'!$A$3:$B$7,2,FALSE)),AVERAGE(VLOOKUP(R87,'Writing Logic'!$A$3:$B$7,2,FALSE),VLOOKUP(S87,'Writing Logic'!$A$3:$B$7,2,FALSE),VLOOKUP(T87,'Writing Logic'!$A$3:$B$7,2,FALSE),VLOOKUP(U87,'Writing Logic'!$A$3:$B$7,2,FALSE))))),"Fill All 4")</f>
        <v>Fill All 4</v>
      </c>
      <c r="W87" s="95" t="str">
        <f t="shared" si="5"/>
        <v/>
      </c>
      <c r="X87" s="120"/>
      <c r="Y87" s="120"/>
      <c r="Z87" s="120"/>
      <c r="AA87" s="120"/>
      <c r="AB87" s="95" t="str">
        <f>IFERROR(IF(YES_Writing_ELA[[#This Row],[Literacy IPP]]='Writing Logic'!$E$26,"IPP",IF(OR(X87="EAL",Y87="EAL",Z87="EAL",AA87="EAL"),"EAL",IF(X87='Writing Logic'!$A$10,AVERAGE(VLOOKUP(Y87,'Writing Logic'!$A$3:$B$7,2,FALSE),VLOOKUP(Z87,'Writing Logic'!$A$3:$B$7,2,FALSE),VLOOKUP(AA87,'Writing Logic'!$A$3:$B$7,2,FALSE)),AVERAGE(VLOOKUP(X87,'Writing Logic'!$A$3:$B$7,2,FALSE),VLOOKUP(Y87,'Writing Logic'!$A$3:$B$7,2,FALSE),VLOOKUP(Z87,'Writing Logic'!$A$3:$B$7,2,FALSE),VLOOKUP(AA87,'Writing Logic'!$A$3:$B$7,2,FALSE))))),"Fill All 4")</f>
        <v>Fill All 4</v>
      </c>
      <c r="AC87" s="95" t="str">
        <f t="shared" si="6"/>
        <v/>
      </c>
      <c r="AD87" s="120"/>
      <c r="AE87" s="120"/>
      <c r="AF87" s="120"/>
      <c r="AG87" s="120"/>
      <c r="AH87" s="95" t="str">
        <f>IFERROR(IF(YES_Writing_ELA[[#This Row],[Literacy IPP]]='Writing Logic'!$E$26,"IPP",IF(OR(AD87="EAL",AE87="EAL",AF87="EAL",AG87="EAL"),"EAL",IF(AD87='Writing Logic'!$A$10,AVERAGE(VLOOKUP(AE87,'Writing Logic'!$A$3:$B$7,2,FALSE),VLOOKUP(AF87,'Writing Logic'!$A$3:$B$7,2,FALSE),VLOOKUP(AG87,'Writing Logic'!$A$3:$B$7,2,FALSE)),AVERAGE(VLOOKUP(AD87,'Writing Logic'!$A$3:$B$7,2,FALSE),VLOOKUP(AE87,'Writing Logic'!$A$3:$B$7,2,FALSE),VLOOKUP(AF87,'Writing Logic'!$A$3:$B$7,2,FALSE),VLOOKUP(AG87,'Writing Logic'!$A$3:$B$7,2,FALSE))))),"Fill All 4")</f>
        <v>Fill All 4</v>
      </c>
      <c r="AI87" s="95" t="str">
        <f t="shared" si="7"/>
        <v/>
      </c>
      <c r="AJ87" s="183"/>
      <c r="AK87" s="120"/>
      <c r="AL87" s="120"/>
      <c r="AM87" s="120"/>
      <c r="AN87" s="95" t="str">
        <f>IFERROR(IF(YES_Writing_ELA[[#This Row],[Literacy IPP]]='Writing Logic'!$E$26,"IPP",IF(OR(AJ87="EAL",AK87="EAL",AL87="EAL",AM87="EAL"),"EAL",IF(AJ87='Writing Logic'!$A$10,AVERAGE(VLOOKUP(AK87,'Writing Logic'!$A$3:$B$7,2,FALSE),VLOOKUP(AL87,'Writing Logic'!$A$3:$B$7,2,FALSE),VLOOKUP(AM87,'Writing Logic'!$A$3:$B$7,2,FALSE)),AVERAGE(VLOOKUP(AJ87,'Writing Logic'!$A$3:$B$7,2,FALSE),VLOOKUP(AK87,'Writing Logic'!$A$3:$B$7,2,FALSE),VLOOKUP(AL87,'Writing Logic'!$A$3:$B$7,2,FALSE),VLOOKUP(AM87,'Writing Logic'!$A$3:$B$7,2,FALSE))))),"Fill All 4")</f>
        <v>Fill All 4</v>
      </c>
      <c r="AO87" s="95" t="str">
        <f t="shared" si="8"/>
        <v/>
      </c>
      <c r="AP87" s="120"/>
      <c r="AQ87" s="120"/>
      <c r="AR87" s="120"/>
      <c r="AS87" s="120"/>
      <c r="AT87" s="95" t="str">
        <f>IFERROR(IF(YES_Writing_ELA[[#This Row],[Literacy IPP]]='Writing Logic'!$E$26,"IPP",IF(OR(AP87="EAL",AQ87="EAL",AR87="EAL",AS87="EAL"),"EAL",IF(AP87='Writing Logic'!$A$10,AVERAGE(VLOOKUP(AQ87,'Writing Logic'!$A$3:$B$7,2,FALSE),VLOOKUP(AR87,'Writing Logic'!$A$3:$B$7,2,FALSE),VLOOKUP(AS87,'Writing Logic'!$A$3:$B$7,2,FALSE)),AVERAGE(VLOOKUP(AP87,'Writing Logic'!$A$3:$B$7,2,FALSE),VLOOKUP(AQ87,'Writing Logic'!$A$3:$B$7,2,FALSE),VLOOKUP(AR87,'Writing Logic'!$A$3:$B$7,2,FALSE),VLOOKUP(AS87,'Writing Logic'!$A$3:$B$7,2,FALSE))))),"Fill All 4")</f>
        <v>Fill All 4</v>
      </c>
      <c r="AU87" s="95" t="str">
        <f t="shared" si="9"/>
        <v/>
      </c>
    </row>
    <row r="88" spans="1:47" x14ac:dyDescent="0.25">
      <c r="A88" s="13"/>
      <c r="B88" s="13"/>
      <c r="C88" s="13"/>
      <c r="D88" s="13"/>
      <c r="E88" s="13"/>
      <c r="F88" s="13"/>
      <c r="G88" s="13"/>
      <c r="H88" s="13"/>
      <c r="I88" s="13"/>
      <c r="J88" s="13"/>
      <c r="K88" s="183"/>
      <c r="L88" s="184"/>
      <c r="M88" s="120"/>
      <c r="N88" s="120"/>
      <c r="O88" s="120"/>
      <c r="P88" s="120"/>
      <c r="Q88" s="95" t="str">
        <f>IFERROR(IF(YES_Writing_ELA[[#This Row],[Literacy IPP]]='Writing Logic'!$E$26,"IPP",IF(OR(M88="EAL",N88="EAL",O88="EAL",P88="EAL"),"EAL",IF(M88='Writing Logic'!$A$10,AVERAGE(VLOOKUP(N88,'Writing Logic'!$A$3:$B$7,2,FALSE),VLOOKUP(O88,'Writing Logic'!$A$3:$B$7,2,FALSE),VLOOKUP(P88,'Writing Logic'!$A$3:$B$7,2,FALSE)),AVERAGE(VLOOKUP(M88,'Writing Logic'!$A$3:$B$7,2,FALSE),VLOOKUP(N88,'Writing Logic'!$A$3:$B$7,2,FALSE),VLOOKUP(O88,'Writing Logic'!$A$3:$B$7,2,FALSE),VLOOKUP(P88,'Writing Logic'!$A$3:$B$7,2,FALSE))))),"Fill All 4")</f>
        <v>Fill All 4</v>
      </c>
      <c r="R88" s="120"/>
      <c r="S88" s="120"/>
      <c r="T88" s="120"/>
      <c r="U88" s="120"/>
      <c r="V88" s="95" t="str">
        <f>IFERROR(IF(YES_Writing_ELA[[#This Row],[Literacy IPP]]='Writing Logic'!$E$26,"IPP",IF(OR(R88="EAL",S88="EAL",T88="EAL",U88="EAL"),"EAL",IF(R88='Writing Logic'!$A$10,AVERAGE(VLOOKUP(S88,'Writing Logic'!$A$3:$B$7,2,FALSE),VLOOKUP(T88,'Writing Logic'!$A$3:$B$7,2,FALSE),VLOOKUP(U88,'Writing Logic'!$A$3:$B$7,2,FALSE)),AVERAGE(VLOOKUP(R88,'Writing Logic'!$A$3:$B$7,2,FALSE),VLOOKUP(S88,'Writing Logic'!$A$3:$B$7,2,FALSE),VLOOKUP(T88,'Writing Logic'!$A$3:$B$7,2,FALSE),VLOOKUP(U88,'Writing Logic'!$A$3:$B$7,2,FALSE))))),"Fill All 4")</f>
        <v>Fill All 4</v>
      </c>
      <c r="W88" s="95" t="str">
        <f t="shared" si="5"/>
        <v/>
      </c>
      <c r="X88" s="120"/>
      <c r="Y88" s="120"/>
      <c r="Z88" s="120"/>
      <c r="AA88" s="120"/>
      <c r="AB88" s="95" t="str">
        <f>IFERROR(IF(YES_Writing_ELA[[#This Row],[Literacy IPP]]='Writing Logic'!$E$26,"IPP",IF(OR(X88="EAL",Y88="EAL",Z88="EAL",AA88="EAL"),"EAL",IF(X88='Writing Logic'!$A$10,AVERAGE(VLOOKUP(Y88,'Writing Logic'!$A$3:$B$7,2,FALSE),VLOOKUP(Z88,'Writing Logic'!$A$3:$B$7,2,FALSE),VLOOKUP(AA88,'Writing Logic'!$A$3:$B$7,2,FALSE)),AVERAGE(VLOOKUP(X88,'Writing Logic'!$A$3:$B$7,2,FALSE),VLOOKUP(Y88,'Writing Logic'!$A$3:$B$7,2,FALSE),VLOOKUP(Z88,'Writing Logic'!$A$3:$B$7,2,FALSE),VLOOKUP(AA88,'Writing Logic'!$A$3:$B$7,2,FALSE))))),"Fill All 4")</f>
        <v>Fill All 4</v>
      </c>
      <c r="AC88" s="95" t="str">
        <f t="shared" si="6"/>
        <v/>
      </c>
      <c r="AD88" s="120"/>
      <c r="AE88" s="120"/>
      <c r="AF88" s="120"/>
      <c r="AG88" s="120"/>
      <c r="AH88" s="95" t="str">
        <f>IFERROR(IF(YES_Writing_ELA[[#This Row],[Literacy IPP]]='Writing Logic'!$E$26,"IPP",IF(OR(AD88="EAL",AE88="EAL",AF88="EAL",AG88="EAL"),"EAL",IF(AD88='Writing Logic'!$A$10,AVERAGE(VLOOKUP(AE88,'Writing Logic'!$A$3:$B$7,2,FALSE),VLOOKUP(AF88,'Writing Logic'!$A$3:$B$7,2,FALSE),VLOOKUP(AG88,'Writing Logic'!$A$3:$B$7,2,FALSE)),AVERAGE(VLOOKUP(AD88,'Writing Logic'!$A$3:$B$7,2,FALSE),VLOOKUP(AE88,'Writing Logic'!$A$3:$B$7,2,FALSE),VLOOKUP(AF88,'Writing Logic'!$A$3:$B$7,2,FALSE),VLOOKUP(AG88,'Writing Logic'!$A$3:$B$7,2,FALSE))))),"Fill All 4")</f>
        <v>Fill All 4</v>
      </c>
      <c r="AI88" s="95" t="str">
        <f t="shared" si="7"/>
        <v/>
      </c>
      <c r="AJ88" s="183"/>
      <c r="AK88" s="120"/>
      <c r="AL88" s="120"/>
      <c r="AM88" s="120"/>
      <c r="AN88" s="95" t="str">
        <f>IFERROR(IF(YES_Writing_ELA[[#This Row],[Literacy IPP]]='Writing Logic'!$E$26,"IPP",IF(OR(AJ88="EAL",AK88="EAL",AL88="EAL",AM88="EAL"),"EAL",IF(AJ88='Writing Logic'!$A$10,AVERAGE(VLOOKUP(AK88,'Writing Logic'!$A$3:$B$7,2,FALSE),VLOOKUP(AL88,'Writing Logic'!$A$3:$B$7,2,FALSE),VLOOKUP(AM88,'Writing Logic'!$A$3:$B$7,2,FALSE)),AVERAGE(VLOOKUP(AJ88,'Writing Logic'!$A$3:$B$7,2,FALSE),VLOOKUP(AK88,'Writing Logic'!$A$3:$B$7,2,FALSE),VLOOKUP(AL88,'Writing Logic'!$A$3:$B$7,2,FALSE),VLOOKUP(AM88,'Writing Logic'!$A$3:$B$7,2,FALSE))))),"Fill All 4")</f>
        <v>Fill All 4</v>
      </c>
      <c r="AO88" s="95" t="str">
        <f t="shared" si="8"/>
        <v/>
      </c>
      <c r="AP88" s="120"/>
      <c r="AQ88" s="120"/>
      <c r="AR88" s="120"/>
      <c r="AS88" s="120"/>
      <c r="AT88" s="95" t="str">
        <f>IFERROR(IF(YES_Writing_ELA[[#This Row],[Literacy IPP]]='Writing Logic'!$E$26,"IPP",IF(OR(AP88="EAL",AQ88="EAL",AR88="EAL",AS88="EAL"),"EAL",IF(AP88='Writing Logic'!$A$10,AVERAGE(VLOOKUP(AQ88,'Writing Logic'!$A$3:$B$7,2,FALSE),VLOOKUP(AR88,'Writing Logic'!$A$3:$B$7,2,FALSE),VLOOKUP(AS88,'Writing Logic'!$A$3:$B$7,2,FALSE)),AVERAGE(VLOOKUP(AP88,'Writing Logic'!$A$3:$B$7,2,FALSE),VLOOKUP(AQ88,'Writing Logic'!$A$3:$B$7,2,FALSE),VLOOKUP(AR88,'Writing Logic'!$A$3:$B$7,2,FALSE),VLOOKUP(AS88,'Writing Logic'!$A$3:$B$7,2,FALSE))))),"Fill All 4")</f>
        <v>Fill All 4</v>
      </c>
      <c r="AU88" s="95" t="str">
        <f t="shared" si="9"/>
        <v/>
      </c>
    </row>
    <row r="89" spans="1:47" x14ac:dyDescent="0.25">
      <c r="A89" s="13"/>
      <c r="B89" s="13"/>
      <c r="C89" s="13"/>
      <c r="D89" s="13"/>
      <c r="E89" s="13"/>
      <c r="F89" s="13"/>
      <c r="G89" s="13"/>
      <c r="H89" s="13"/>
      <c r="I89" s="13"/>
      <c r="J89" s="13"/>
      <c r="K89" s="183"/>
      <c r="L89" s="184"/>
      <c r="M89" s="120"/>
      <c r="N89" s="120"/>
      <c r="O89" s="120"/>
      <c r="P89" s="120"/>
      <c r="Q89" s="95" t="str">
        <f>IFERROR(IF(YES_Writing_ELA[[#This Row],[Literacy IPP]]='Writing Logic'!$E$26,"IPP",IF(OR(M89="EAL",N89="EAL",O89="EAL",P89="EAL"),"EAL",IF(M89='Writing Logic'!$A$10,AVERAGE(VLOOKUP(N89,'Writing Logic'!$A$3:$B$7,2,FALSE),VLOOKUP(O89,'Writing Logic'!$A$3:$B$7,2,FALSE),VLOOKUP(P89,'Writing Logic'!$A$3:$B$7,2,FALSE)),AVERAGE(VLOOKUP(M89,'Writing Logic'!$A$3:$B$7,2,FALSE),VLOOKUP(N89,'Writing Logic'!$A$3:$B$7,2,FALSE),VLOOKUP(O89,'Writing Logic'!$A$3:$B$7,2,FALSE),VLOOKUP(P89,'Writing Logic'!$A$3:$B$7,2,FALSE))))),"Fill All 4")</f>
        <v>Fill All 4</v>
      </c>
      <c r="R89" s="120"/>
      <c r="S89" s="120"/>
      <c r="T89" s="120"/>
      <c r="U89" s="120"/>
      <c r="V89" s="95" t="str">
        <f>IFERROR(IF(YES_Writing_ELA[[#This Row],[Literacy IPP]]='Writing Logic'!$E$26,"IPP",IF(OR(R89="EAL",S89="EAL",T89="EAL",U89="EAL"),"EAL",IF(R89='Writing Logic'!$A$10,AVERAGE(VLOOKUP(S89,'Writing Logic'!$A$3:$B$7,2,FALSE),VLOOKUP(T89,'Writing Logic'!$A$3:$B$7,2,FALSE),VLOOKUP(U89,'Writing Logic'!$A$3:$B$7,2,FALSE)),AVERAGE(VLOOKUP(R89,'Writing Logic'!$A$3:$B$7,2,FALSE),VLOOKUP(S89,'Writing Logic'!$A$3:$B$7,2,FALSE),VLOOKUP(T89,'Writing Logic'!$A$3:$B$7,2,FALSE),VLOOKUP(U89,'Writing Logic'!$A$3:$B$7,2,FALSE))))),"Fill All 4")</f>
        <v>Fill All 4</v>
      </c>
      <c r="W89" s="95" t="str">
        <f t="shared" si="5"/>
        <v/>
      </c>
      <c r="X89" s="120"/>
      <c r="Y89" s="120"/>
      <c r="Z89" s="120"/>
      <c r="AA89" s="120"/>
      <c r="AB89" s="95" t="str">
        <f>IFERROR(IF(YES_Writing_ELA[[#This Row],[Literacy IPP]]='Writing Logic'!$E$26,"IPP",IF(OR(X89="EAL",Y89="EAL",Z89="EAL",AA89="EAL"),"EAL",IF(X89='Writing Logic'!$A$10,AVERAGE(VLOOKUP(Y89,'Writing Logic'!$A$3:$B$7,2,FALSE),VLOOKUP(Z89,'Writing Logic'!$A$3:$B$7,2,FALSE),VLOOKUP(AA89,'Writing Logic'!$A$3:$B$7,2,FALSE)),AVERAGE(VLOOKUP(X89,'Writing Logic'!$A$3:$B$7,2,FALSE),VLOOKUP(Y89,'Writing Logic'!$A$3:$B$7,2,FALSE),VLOOKUP(Z89,'Writing Logic'!$A$3:$B$7,2,FALSE),VLOOKUP(AA89,'Writing Logic'!$A$3:$B$7,2,FALSE))))),"Fill All 4")</f>
        <v>Fill All 4</v>
      </c>
      <c r="AC89" s="95" t="str">
        <f t="shared" si="6"/>
        <v/>
      </c>
      <c r="AD89" s="120"/>
      <c r="AE89" s="120"/>
      <c r="AF89" s="120"/>
      <c r="AG89" s="120"/>
      <c r="AH89" s="95" t="str">
        <f>IFERROR(IF(YES_Writing_ELA[[#This Row],[Literacy IPP]]='Writing Logic'!$E$26,"IPP",IF(OR(AD89="EAL",AE89="EAL",AF89="EAL",AG89="EAL"),"EAL",IF(AD89='Writing Logic'!$A$10,AVERAGE(VLOOKUP(AE89,'Writing Logic'!$A$3:$B$7,2,FALSE),VLOOKUP(AF89,'Writing Logic'!$A$3:$B$7,2,FALSE),VLOOKUP(AG89,'Writing Logic'!$A$3:$B$7,2,FALSE)),AVERAGE(VLOOKUP(AD89,'Writing Logic'!$A$3:$B$7,2,FALSE),VLOOKUP(AE89,'Writing Logic'!$A$3:$B$7,2,FALSE),VLOOKUP(AF89,'Writing Logic'!$A$3:$B$7,2,FALSE),VLOOKUP(AG89,'Writing Logic'!$A$3:$B$7,2,FALSE))))),"Fill All 4")</f>
        <v>Fill All 4</v>
      </c>
      <c r="AI89" s="95" t="str">
        <f t="shared" si="7"/>
        <v/>
      </c>
      <c r="AJ89" s="183"/>
      <c r="AK89" s="120"/>
      <c r="AL89" s="120"/>
      <c r="AM89" s="120"/>
      <c r="AN89" s="95" t="str">
        <f>IFERROR(IF(YES_Writing_ELA[[#This Row],[Literacy IPP]]='Writing Logic'!$E$26,"IPP",IF(OR(AJ89="EAL",AK89="EAL",AL89="EAL",AM89="EAL"),"EAL",IF(AJ89='Writing Logic'!$A$10,AVERAGE(VLOOKUP(AK89,'Writing Logic'!$A$3:$B$7,2,FALSE),VLOOKUP(AL89,'Writing Logic'!$A$3:$B$7,2,FALSE),VLOOKUP(AM89,'Writing Logic'!$A$3:$B$7,2,FALSE)),AVERAGE(VLOOKUP(AJ89,'Writing Logic'!$A$3:$B$7,2,FALSE),VLOOKUP(AK89,'Writing Logic'!$A$3:$B$7,2,FALSE),VLOOKUP(AL89,'Writing Logic'!$A$3:$B$7,2,FALSE),VLOOKUP(AM89,'Writing Logic'!$A$3:$B$7,2,FALSE))))),"Fill All 4")</f>
        <v>Fill All 4</v>
      </c>
      <c r="AO89" s="95" t="str">
        <f t="shared" si="8"/>
        <v/>
      </c>
      <c r="AP89" s="120"/>
      <c r="AQ89" s="120"/>
      <c r="AR89" s="120"/>
      <c r="AS89" s="120"/>
      <c r="AT89" s="95" t="str">
        <f>IFERROR(IF(YES_Writing_ELA[[#This Row],[Literacy IPP]]='Writing Logic'!$E$26,"IPP",IF(OR(AP89="EAL",AQ89="EAL",AR89="EAL",AS89="EAL"),"EAL",IF(AP89='Writing Logic'!$A$10,AVERAGE(VLOOKUP(AQ89,'Writing Logic'!$A$3:$B$7,2,FALSE),VLOOKUP(AR89,'Writing Logic'!$A$3:$B$7,2,FALSE),VLOOKUP(AS89,'Writing Logic'!$A$3:$B$7,2,FALSE)),AVERAGE(VLOOKUP(AP89,'Writing Logic'!$A$3:$B$7,2,FALSE),VLOOKUP(AQ89,'Writing Logic'!$A$3:$B$7,2,FALSE),VLOOKUP(AR89,'Writing Logic'!$A$3:$B$7,2,FALSE),VLOOKUP(AS89,'Writing Logic'!$A$3:$B$7,2,FALSE))))),"Fill All 4")</f>
        <v>Fill All 4</v>
      </c>
      <c r="AU89" s="95" t="str">
        <f t="shared" si="9"/>
        <v/>
      </c>
    </row>
    <row r="90" spans="1:47" x14ac:dyDescent="0.25">
      <c r="A90" s="13"/>
      <c r="B90" s="13"/>
      <c r="C90" s="13"/>
      <c r="D90" s="13"/>
      <c r="E90" s="13"/>
      <c r="F90" s="13"/>
      <c r="G90" s="13"/>
      <c r="H90" s="13"/>
      <c r="I90" s="13"/>
      <c r="J90" s="13"/>
      <c r="K90" s="183"/>
      <c r="L90" s="184"/>
      <c r="M90" s="120"/>
      <c r="N90" s="120"/>
      <c r="O90" s="120"/>
      <c r="P90" s="120"/>
      <c r="Q90" s="95" t="str">
        <f>IFERROR(IF(YES_Writing_ELA[[#This Row],[Literacy IPP]]='Writing Logic'!$E$26,"IPP",IF(OR(M90="EAL",N90="EAL",O90="EAL",P90="EAL"),"EAL",IF(M90='Writing Logic'!$A$10,AVERAGE(VLOOKUP(N90,'Writing Logic'!$A$3:$B$7,2,FALSE),VLOOKUP(O90,'Writing Logic'!$A$3:$B$7,2,FALSE),VLOOKUP(P90,'Writing Logic'!$A$3:$B$7,2,FALSE)),AVERAGE(VLOOKUP(M90,'Writing Logic'!$A$3:$B$7,2,FALSE),VLOOKUP(N90,'Writing Logic'!$A$3:$B$7,2,FALSE),VLOOKUP(O90,'Writing Logic'!$A$3:$B$7,2,FALSE),VLOOKUP(P90,'Writing Logic'!$A$3:$B$7,2,FALSE))))),"Fill All 4")</f>
        <v>Fill All 4</v>
      </c>
      <c r="R90" s="120"/>
      <c r="S90" s="120"/>
      <c r="T90" s="120"/>
      <c r="U90" s="120"/>
      <c r="V90" s="95" t="str">
        <f>IFERROR(IF(YES_Writing_ELA[[#This Row],[Literacy IPP]]='Writing Logic'!$E$26,"IPP",IF(OR(R90="EAL",S90="EAL",T90="EAL",U90="EAL"),"EAL",IF(R90='Writing Logic'!$A$10,AVERAGE(VLOOKUP(S90,'Writing Logic'!$A$3:$B$7,2,FALSE),VLOOKUP(T90,'Writing Logic'!$A$3:$B$7,2,FALSE),VLOOKUP(U90,'Writing Logic'!$A$3:$B$7,2,FALSE)),AVERAGE(VLOOKUP(R90,'Writing Logic'!$A$3:$B$7,2,FALSE),VLOOKUP(S90,'Writing Logic'!$A$3:$B$7,2,FALSE),VLOOKUP(T90,'Writing Logic'!$A$3:$B$7,2,FALSE),VLOOKUP(U90,'Writing Logic'!$A$3:$B$7,2,FALSE))))),"Fill All 4")</f>
        <v>Fill All 4</v>
      </c>
      <c r="W90" s="95" t="str">
        <f t="shared" si="5"/>
        <v/>
      </c>
      <c r="X90" s="120"/>
      <c r="Y90" s="120"/>
      <c r="Z90" s="120"/>
      <c r="AA90" s="120"/>
      <c r="AB90" s="95" t="str">
        <f>IFERROR(IF(YES_Writing_ELA[[#This Row],[Literacy IPP]]='Writing Logic'!$E$26,"IPP",IF(OR(X90="EAL",Y90="EAL",Z90="EAL",AA90="EAL"),"EAL",IF(X90='Writing Logic'!$A$10,AVERAGE(VLOOKUP(Y90,'Writing Logic'!$A$3:$B$7,2,FALSE),VLOOKUP(Z90,'Writing Logic'!$A$3:$B$7,2,FALSE),VLOOKUP(AA90,'Writing Logic'!$A$3:$B$7,2,FALSE)),AVERAGE(VLOOKUP(X90,'Writing Logic'!$A$3:$B$7,2,FALSE),VLOOKUP(Y90,'Writing Logic'!$A$3:$B$7,2,FALSE),VLOOKUP(Z90,'Writing Logic'!$A$3:$B$7,2,FALSE),VLOOKUP(AA90,'Writing Logic'!$A$3:$B$7,2,FALSE))))),"Fill All 4")</f>
        <v>Fill All 4</v>
      </c>
      <c r="AC90" s="95" t="str">
        <f t="shared" si="6"/>
        <v/>
      </c>
      <c r="AD90" s="120"/>
      <c r="AE90" s="120"/>
      <c r="AF90" s="120"/>
      <c r="AG90" s="120"/>
      <c r="AH90" s="95" t="str">
        <f>IFERROR(IF(YES_Writing_ELA[[#This Row],[Literacy IPP]]='Writing Logic'!$E$26,"IPP",IF(OR(AD90="EAL",AE90="EAL",AF90="EAL",AG90="EAL"),"EAL",IF(AD90='Writing Logic'!$A$10,AVERAGE(VLOOKUP(AE90,'Writing Logic'!$A$3:$B$7,2,FALSE),VLOOKUP(AF90,'Writing Logic'!$A$3:$B$7,2,FALSE),VLOOKUP(AG90,'Writing Logic'!$A$3:$B$7,2,FALSE)),AVERAGE(VLOOKUP(AD90,'Writing Logic'!$A$3:$B$7,2,FALSE),VLOOKUP(AE90,'Writing Logic'!$A$3:$B$7,2,FALSE),VLOOKUP(AF90,'Writing Logic'!$A$3:$B$7,2,FALSE),VLOOKUP(AG90,'Writing Logic'!$A$3:$B$7,2,FALSE))))),"Fill All 4")</f>
        <v>Fill All 4</v>
      </c>
      <c r="AI90" s="95" t="str">
        <f t="shared" si="7"/>
        <v/>
      </c>
      <c r="AJ90" s="183"/>
      <c r="AK90" s="120"/>
      <c r="AL90" s="120"/>
      <c r="AM90" s="120"/>
      <c r="AN90" s="95" t="str">
        <f>IFERROR(IF(YES_Writing_ELA[[#This Row],[Literacy IPP]]='Writing Logic'!$E$26,"IPP",IF(OR(AJ90="EAL",AK90="EAL",AL90="EAL",AM90="EAL"),"EAL",IF(AJ90='Writing Logic'!$A$10,AVERAGE(VLOOKUP(AK90,'Writing Logic'!$A$3:$B$7,2,FALSE),VLOOKUP(AL90,'Writing Logic'!$A$3:$B$7,2,FALSE),VLOOKUP(AM90,'Writing Logic'!$A$3:$B$7,2,FALSE)),AVERAGE(VLOOKUP(AJ90,'Writing Logic'!$A$3:$B$7,2,FALSE),VLOOKUP(AK90,'Writing Logic'!$A$3:$B$7,2,FALSE),VLOOKUP(AL90,'Writing Logic'!$A$3:$B$7,2,FALSE),VLOOKUP(AM90,'Writing Logic'!$A$3:$B$7,2,FALSE))))),"Fill All 4")</f>
        <v>Fill All 4</v>
      </c>
      <c r="AO90" s="95" t="str">
        <f t="shared" si="8"/>
        <v/>
      </c>
      <c r="AP90" s="120"/>
      <c r="AQ90" s="120"/>
      <c r="AR90" s="120"/>
      <c r="AS90" s="120"/>
      <c r="AT90" s="95" t="str">
        <f>IFERROR(IF(YES_Writing_ELA[[#This Row],[Literacy IPP]]='Writing Logic'!$E$26,"IPP",IF(OR(AP90="EAL",AQ90="EAL",AR90="EAL",AS90="EAL"),"EAL",IF(AP90='Writing Logic'!$A$10,AVERAGE(VLOOKUP(AQ90,'Writing Logic'!$A$3:$B$7,2,FALSE),VLOOKUP(AR90,'Writing Logic'!$A$3:$B$7,2,FALSE),VLOOKUP(AS90,'Writing Logic'!$A$3:$B$7,2,FALSE)),AVERAGE(VLOOKUP(AP90,'Writing Logic'!$A$3:$B$7,2,FALSE),VLOOKUP(AQ90,'Writing Logic'!$A$3:$B$7,2,FALSE),VLOOKUP(AR90,'Writing Logic'!$A$3:$B$7,2,FALSE),VLOOKUP(AS90,'Writing Logic'!$A$3:$B$7,2,FALSE))))),"Fill All 4")</f>
        <v>Fill All 4</v>
      </c>
      <c r="AU90" s="95" t="str">
        <f t="shared" si="9"/>
        <v/>
      </c>
    </row>
    <row r="91" spans="1:47" x14ac:dyDescent="0.25">
      <c r="A91" s="13"/>
      <c r="B91" s="13"/>
      <c r="C91" s="13"/>
      <c r="D91" s="13"/>
      <c r="E91" s="13"/>
      <c r="F91" s="13"/>
      <c r="G91" s="13"/>
      <c r="H91" s="13"/>
      <c r="I91" s="13"/>
      <c r="J91" s="13"/>
      <c r="K91" s="183"/>
      <c r="L91" s="184"/>
      <c r="M91" s="120"/>
      <c r="N91" s="120"/>
      <c r="O91" s="120"/>
      <c r="P91" s="120"/>
      <c r="Q91" s="95" t="str">
        <f>IFERROR(IF(YES_Writing_ELA[[#This Row],[Literacy IPP]]='Writing Logic'!$E$26,"IPP",IF(OR(M91="EAL",N91="EAL",O91="EAL",P91="EAL"),"EAL",IF(M91='Writing Logic'!$A$10,AVERAGE(VLOOKUP(N91,'Writing Logic'!$A$3:$B$7,2,FALSE),VLOOKUP(O91,'Writing Logic'!$A$3:$B$7,2,FALSE),VLOOKUP(P91,'Writing Logic'!$A$3:$B$7,2,FALSE)),AVERAGE(VLOOKUP(M91,'Writing Logic'!$A$3:$B$7,2,FALSE),VLOOKUP(N91,'Writing Logic'!$A$3:$B$7,2,FALSE),VLOOKUP(O91,'Writing Logic'!$A$3:$B$7,2,FALSE),VLOOKUP(P91,'Writing Logic'!$A$3:$B$7,2,FALSE))))),"Fill All 4")</f>
        <v>Fill All 4</v>
      </c>
      <c r="R91" s="120"/>
      <c r="S91" s="120"/>
      <c r="T91" s="120"/>
      <c r="U91" s="120"/>
      <c r="V91" s="95" t="str">
        <f>IFERROR(IF(YES_Writing_ELA[[#This Row],[Literacy IPP]]='Writing Logic'!$E$26,"IPP",IF(OR(R91="EAL",S91="EAL",T91="EAL",U91="EAL"),"EAL",IF(R91='Writing Logic'!$A$10,AVERAGE(VLOOKUP(S91,'Writing Logic'!$A$3:$B$7,2,FALSE),VLOOKUP(T91,'Writing Logic'!$A$3:$B$7,2,FALSE),VLOOKUP(U91,'Writing Logic'!$A$3:$B$7,2,FALSE)),AVERAGE(VLOOKUP(R91,'Writing Logic'!$A$3:$B$7,2,FALSE),VLOOKUP(S91,'Writing Logic'!$A$3:$B$7,2,FALSE),VLOOKUP(T91,'Writing Logic'!$A$3:$B$7,2,FALSE),VLOOKUP(U91,'Writing Logic'!$A$3:$B$7,2,FALSE))))),"Fill All 4")</f>
        <v>Fill All 4</v>
      </c>
      <c r="W91" s="95" t="str">
        <f t="shared" si="5"/>
        <v/>
      </c>
      <c r="X91" s="120"/>
      <c r="Y91" s="120"/>
      <c r="Z91" s="120"/>
      <c r="AA91" s="120"/>
      <c r="AB91" s="95" t="str">
        <f>IFERROR(IF(YES_Writing_ELA[[#This Row],[Literacy IPP]]='Writing Logic'!$E$26,"IPP",IF(OR(X91="EAL",Y91="EAL",Z91="EAL",AA91="EAL"),"EAL",IF(X91='Writing Logic'!$A$10,AVERAGE(VLOOKUP(Y91,'Writing Logic'!$A$3:$B$7,2,FALSE),VLOOKUP(Z91,'Writing Logic'!$A$3:$B$7,2,FALSE),VLOOKUP(AA91,'Writing Logic'!$A$3:$B$7,2,FALSE)),AVERAGE(VLOOKUP(X91,'Writing Logic'!$A$3:$B$7,2,FALSE),VLOOKUP(Y91,'Writing Logic'!$A$3:$B$7,2,FALSE),VLOOKUP(Z91,'Writing Logic'!$A$3:$B$7,2,FALSE),VLOOKUP(AA91,'Writing Logic'!$A$3:$B$7,2,FALSE))))),"Fill All 4")</f>
        <v>Fill All 4</v>
      </c>
      <c r="AC91" s="95" t="str">
        <f t="shared" si="6"/>
        <v/>
      </c>
      <c r="AD91" s="120"/>
      <c r="AE91" s="120"/>
      <c r="AF91" s="120"/>
      <c r="AG91" s="120"/>
      <c r="AH91" s="95" t="str">
        <f>IFERROR(IF(YES_Writing_ELA[[#This Row],[Literacy IPP]]='Writing Logic'!$E$26,"IPP",IF(OR(AD91="EAL",AE91="EAL",AF91="EAL",AG91="EAL"),"EAL",IF(AD91='Writing Logic'!$A$10,AVERAGE(VLOOKUP(AE91,'Writing Logic'!$A$3:$B$7,2,FALSE),VLOOKUP(AF91,'Writing Logic'!$A$3:$B$7,2,FALSE),VLOOKUP(AG91,'Writing Logic'!$A$3:$B$7,2,FALSE)),AVERAGE(VLOOKUP(AD91,'Writing Logic'!$A$3:$B$7,2,FALSE),VLOOKUP(AE91,'Writing Logic'!$A$3:$B$7,2,FALSE),VLOOKUP(AF91,'Writing Logic'!$A$3:$B$7,2,FALSE),VLOOKUP(AG91,'Writing Logic'!$A$3:$B$7,2,FALSE))))),"Fill All 4")</f>
        <v>Fill All 4</v>
      </c>
      <c r="AI91" s="95" t="str">
        <f t="shared" si="7"/>
        <v/>
      </c>
      <c r="AJ91" s="183"/>
      <c r="AK91" s="120"/>
      <c r="AL91" s="120"/>
      <c r="AM91" s="120"/>
      <c r="AN91" s="95" t="str">
        <f>IFERROR(IF(YES_Writing_ELA[[#This Row],[Literacy IPP]]='Writing Logic'!$E$26,"IPP",IF(OR(AJ91="EAL",AK91="EAL",AL91="EAL",AM91="EAL"),"EAL",IF(AJ91='Writing Logic'!$A$10,AVERAGE(VLOOKUP(AK91,'Writing Logic'!$A$3:$B$7,2,FALSE),VLOOKUP(AL91,'Writing Logic'!$A$3:$B$7,2,FALSE),VLOOKUP(AM91,'Writing Logic'!$A$3:$B$7,2,FALSE)),AVERAGE(VLOOKUP(AJ91,'Writing Logic'!$A$3:$B$7,2,FALSE),VLOOKUP(AK91,'Writing Logic'!$A$3:$B$7,2,FALSE),VLOOKUP(AL91,'Writing Logic'!$A$3:$B$7,2,FALSE),VLOOKUP(AM91,'Writing Logic'!$A$3:$B$7,2,FALSE))))),"Fill All 4")</f>
        <v>Fill All 4</v>
      </c>
      <c r="AO91" s="95" t="str">
        <f t="shared" si="8"/>
        <v/>
      </c>
      <c r="AP91" s="120"/>
      <c r="AQ91" s="120"/>
      <c r="AR91" s="120"/>
      <c r="AS91" s="120"/>
      <c r="AT91" s="95" t="str">
        <f>IFERROR(IF(YES_Writing_ELA[[#This Row],[Literacy IPP]]='Writing Logic'!$E$26,"IPP",IF(OR(AP91="EAL",AQ91="EAL",AR91="EAL",AS91="EAL"),"EAL",IF(AP91='Writing Logic'!$A$10,AVERAGE(VLOOKUP(AQ91,'Writing Logic'!$A$3:$B$7,2,FALSE),VLOOKUP(AR91,'Writing Logic'!$A$3:$B$7,2,FALSE),VLOOKUP(AS91,'Writing Logic'!$A$3:$B$7,2,FALSE)),AVERAGE(VLOOKUP(AP91,'Writing Logic'!$A$3:$B$7,2,FALSE),VLOOKUP(AQ91,'Writing Logic'!$A$3:$B$7,2,FALSE),VLOOKUP(AR91,'Writing Logic'!$A$3:$B$7,2,FALSE),VLOOKUP(AS91,'Writing Logic'!$A$3:$B$7,2,FALSE))))),"Fill All 4")</f>
        <v>Fill All 4</v>
      </c>
      <c r="AU91" s="95" t="str">
        <f t="shared" si="9"/>
        <v/>
      </c>
    </row>
    <row r="92" spans="1:47" x14ac:dyDescent="0.25">
      <c r="A92" s="13"/>
      <c r="B92" s="13"/>
      <c r="C92" s="13"/>
      <c r="D92" s="13"/>
      <c r="E92" s="13"/>
      <c r="F92" s="13"/>
      <c r="G92" s="13"/>
      <c r="H92" s="13"/>
      <c r="I92" s="13"/>
      <c r="J92" s="13"/>
      <c r="K92" s="183"/>
      <c r="L92" s="184"/>
      <c r="M92" s="120"/>
      <c r="N92" s="120"/>
      <c r="O92" s="120"/>
      <c r="P92" s="120"/>
      <c r="Q92" s="95" t="str">
        <f>IFERROR(IF(YES_Writing_ELA[[#This Row],[Literacy IPP]]='Writing Logic'!$E$26,"IPP",IF(OR(M92="EAL",N92="EAL",O92="EAL",P92="EAL"),"EAL",IF(M92='Writing Logic'!$A$10,AVERAGE(VLOOKUP(N92,'Writing Logic'!$A$3:$B$7,2,FALSE),VLOOKUP(O92,'Writing Logic'!$A$3:$B$7,2,FALSE),VLOOKUP(P92,'Writing Logic'!$A$3:$B$7,2,FALSE)),AVERAGE(VLOOKUP(M92,'Writing Logic'!$A$3:$B$7,2,FALSE),VLOOKUP(N92,'Writing Logic'!$A$3:$B$7,2,FALSE),VLOOKUP(O92,'Writing Logic'!$A$3:$B$7,2,FALSE),VLOOKUP(P92,'Writing Logic'!$A$3:$B$7,2,FALSE))))),"Fill All 4")</f>
        <v>Fill All 4</v>
      </c>
      <c r="R92" s="120"/>
      <c r="S92" s="120"/>
      <c r="T92" s="120"/>
      <c r="U92" s="120"/>
      <c r="V92" s="95" t="str">
        <f>IFERROR(IF(YES_Writing_ELA[[#This Row],[Literacy IPP]]='Writing Logic'!$E$26,"IPP",IF(OR(R92="EAL",S92="EAL",T92="EAL",U92="EAL"),"EAL",IF(R92='Writing Logic'!$A$10,AVERAGE(VLOOKUP(S92,'Writing Logic'!$A$3:$B$7,2,FALSE),VLOOKUP(T92,'Writing Logic'!$A$3:$B$7,2,FALSE),VLOOKUP(U92,'Writing Logic'!$A$3:$B$7,2,FALSE)),AVERAGE(VLOOKUP(R92,'Writing Logic'!$A$3:$B$7,2,FALSE),VLOOKUP(S92,'Writing Logic'!$A$3:$B$7,2,FALSE),VLOOKUP(T92,'Writing Logic'!$A$3:$B$7,2,FALSE),VLOOKUP(U92,'Writing Logic'!$A$3:$B$7,2,FALSE))))),"Fill All 4")</f>
        <v>Fill All 4</v>
      </c>
      <c r="W92" s="95" t="str">
        <f t="shared" si="5"/>
        <v/>
      </c>
      <c r="X92" s="120"/>
      <c r="Y92" s="120"/>
      <c r="Z92" s="120"/>
      <c r="AA92" s="120"/>
      <c r="AB92" s="95" t="str">
        <f>IFERROR(IF(YES_Writing_ELA[[#This Row],[Literacy IPP]]='Writing Logic'!$E$26,"IPP",IF(OR(X92="EAL",Y92="EAL",Z92="EAL",AA92="EAL"),"EAL",IF(X92='Writing Logic'!$A$10,AVERAGE(VLOOKUP(Y92,'Writing Logic'!$A$3:$B$7,2,FALSE),VLOOKUP(Z92,'Writing Logic'!$A$3:$B$7,2,FALSE),VLOOKUP(AA92,'Writing Logic'!$A$3:$B$7,2,FALSE)),AVERAGE(VLOOKUP(X92,'Writing Logic'!$A$3:$B$7,2,FALSE),VLOOKUP(Y92,'Writing Logic'!$A$3:$B$7,2,FALSE),VLOOKUP(Z92,'Writing Logic'!$A$3:$B$7,2,FALSE),VLOOKUP(AA92,'Writing Logic'!$A$3:$B$7,2,FALSE))))),"Fill All 4")</f>
        <v>Fill All 4</v>
      </c>
      <c r="AC92" s="95" t="str">
        <f t="shared" si="6"/>
        <v/>
      </c>
      <c r="AD92" s="120"/>
      <c r="AE92" s="120"/>
      <c r="AF92" s="120"/>
      <c r="AG92" s="120"/>
      <c r="AH92" s="95" t="str">
        <f>IFERROR(IF(YES_Writing_ELA[[#This Row],[Literacy IPP]]='Writing Logic'!$E$26,"IPP",IF(OR(AD92="EAL",AE92="EAL",AF92="EAL",AG92="EAL"),"EAL",IF(AD92='Writing Logic'!$A$10,AVERAGE(VLOOKUP(AE92,'Writing Logic'!$A$3:$B$7,2,FALSE),VLOOKUP(AF92,'Writing Logic'!$A$3:$B$7,2,FALSE),VLOOKUP(AG92,'Writing Logic'!$A$3:$B$7,2,FALSE)),AVERAGE(VLOOKUP(AD92,'Writing Logic'!$A$3:$B$7,2,FALSE),VLOOKUP(AE92,'Writing Logic'!$A$3:$B$7,2,FALSE),VLOOKUP(AF92,'Writing Logic'!$A$3:$B$7,2,FALSE),VLOOKUP(AG92,'Writing Logic'!$A$3:$B$7,2,FALSE))))),"Fill All 4")</f>
        <v>Fill All 4</v>
      </c>
      <c r="AI92" s="95" t="str">
        <f t="shared" si="7"/>
        <v/>
      </c>
      <c r="AJ92" s="183"/>
      <c r="AK92" s="120"/>
      <c r="AL92" s="120"/>
      <c r="AM92" s="120"/>
      <c r="AN92" s="95" t="str">
        <f>IFERROR(IF(YES_Writing_ELA[[#This Row],[Literacy IPP]]='Writing Logic'!$E$26,"IPP",IF(OR(AJ92="EAL",AK92="EAL",AL92="EAL",AM92="EAL"),"EAL",IF(AJ92='Writing Logic'!$A$10,AVERAGE(VLOOKUP(AK92,'Writing Logic'!$A$3:$B$7,2,FALSE),VLOOKUP(AL92,'Writing Logic'!$A$3:$B$7,2,FALSE),VLOOKUP(AM92,'Writing Logic'!$A$3:$B$7,2,FALSE)),AVERAGE(VLOOKUP(AJ92,'Writing Logic'!$A$3:$B$7,2,FALSE),VLOOKUP(AK92,'Writing Logic'!$A$3:$B$7,2,FALSE),VLOOKUP(AL92,'Writing Logic'!$A$3:$B$7,2,FALSE),VLOOKUP(AM92,'Writing Logic'!$A$3:$B$7,2,FALSE))))),"Fill All 4")</f>
        <v>Fill All 4</v>
      </c>
      <c r="AO92" s="95" t="str">
        <f t="shared" si="8"/>
        <v/>
      </c>
      <c r="AP92" s="120"/>
      <c r="AQ92" s="120"/>
      <c r="AR92" s="120"/>
      <c r="AS92" s="120"/>
      <c r="AT92" s="95" t="str">
        <f>IFERROR(IF(YES_Writing_ELA[[#This Row],[Literacy IPP]]='Writing Logic'!$E$26,"IPP",IF(OR(AP92="EAL",AQ92="EAL",AR92="EAL",AS92="EAL"),"EAL",IF(AP92='Writing Logic'!$A$10,AVERAGE(VLOOKUP(AQ92,'Writing Logic'!$A$3:$B$7,2,FALSE),VLOOKUP(AR92,'Writing Logic'!$A$3:$B$7,2,FALSE),VLOOKUP(AS92,'Writing Logic'!$A$3:$B$7,2,FALSE)),AVERAGE(VLOOKUP(AP92,'Writing Logic'!$A$3:$B$7,2,FALSE),VLOOKUP(AQ92,'Writing Logic'!$A$3:$B$7,2,FALSE),VLOOKUP(AR92,'Writing Logic'!$A$3:$B$7,2,FALSE),VLOOKUP(AS92,'Writing Logic'!$A$3:$B$7,2,FALSE))))),"Fill All 4")</f>
        <v>Fill All 4</v>
      </c>
      <c r="AU92" s="95" t="str">
        <f t="shared" si="9"/>
        <v/>
      </c>
    </row>
    <row r="93" spans="1:47" x14ac:dyDescent="0.25">
      <c r="A93" s="13"/>
      <c r="B93" s="13"/>
      <c r="C93" s="13"/>
      <c r="D93" s="13"/>
      <c r="E93" s="13"/>
      <c r="F93" s="13"/>
      <c r="G93" s="13"/>
      <c r="H93" s="13"/>
      <c r="I93" s="13"/>
      <c r="J93" s="13"/>
      <c r="K93" s="183"/>
      <c r="L93" s="184"/>
      <c r="M93" s="120"/>
      <c r="N93" s="120"/>
      <c r="O93" s="120"/>
      <c r="P93" s="120"/>
      <c r="Q93" s="95" t="str">
        <f>IFERROR(IF(YES_Writing_ELA[[#This Row],[Literacy IPP]]='Writing Logic'!$E$26,"IPP",IF(OR(M93="EAL",N93="EAL",O93="EAL",P93="EAL"),"EAL",IF(M93='Writing Logic'!$A$10,AVERAGE(VLOOKUP(N93,'Writing Logic'!$A$3:$B$7,2,FALSE),VLOOKUP(O93,'Writing Logic'!$A$3:$B$7,2,FALSE),VLOOKUP(P93,'Writing Logic'!$A$3:$B$7,2,FALSE)),AVERAGE(VLOOKUP(M93,'Writing Logic'!$A$3:$B$7,2,FALSE),VLOOKUP(N93,'Writing Logic'!$A$3:$B$7,2,FALSE),VLOOKUP(O93,'Writing Logic'!$A$3:$B$7,2,FALSE),VLOOKUP(P93,'Writing Logic'!$A$3:$B$7,2,FALSE))))),"Fill All 4")</f>
        <v>Fill All 4</v>
      </c>
      <c r="R93" s="120"/>
      <c r="S93" s="120"/>
      <c r="T93" s="120"/>
      <c r="U93" s="120"/>
      <c r="V93" s="95" t="str">
        <f>IFERROR(IF(YES_Writing_ELA[[#This Row],[Literacy IPP]]='Writing Logic'!$E$26,"IPP",IF(OR(R93="EAL",S93="EAL",T93="EAL",U93="EAL"),"EAL",IF(R93='Writing Logic'!$A$10,AVERAGE(VLOOKUP(S93,'Writing Logic'!$A$3:$B$7,2,FALSE),VLOOKUP(T93,'Writing Logic'!$A$3:$B$7,2,FALSE),VLOOKUP(U93,'Writing Logic'!$A$3:$B$7,2,FALSE)),AVERAGE(VLOOKUP(R93,'Writing Logic'!$A$3:$B$7,2,FALSE),VLOOKUP(S93,'Writing Logic'!$A$3:$B$7,2,FALSE),VLOOKUP(T93,'Writing Logic'!$A$3:$B$7,2,FALSE),VLOOKUP(U93,'Writing Logic'!$A$3:$B$7,2,FALSE))))),"Fill All 4")</f>
        <v>Fill All 4</v>
      </c>
      <c r="W93" s="95" t="str">
        <f t="shared" si="5"/>
        <v/>
      </c>
      <c r="X93" s="120"/>
      <c r="Y93" s="120"/>
      <c r="Z93" s="120"/>
      <c r="AA93" s="120"/>
      <c r="AB93" s="95" t="str">
        <f>IFERROR(IF(YES_Writing_ELA[[#This Row],[Literacy IPP]]='Writing Logic'!$E$26,"IPP",IF(OR(X93="EAL",Y93="EAL",Z93="EAL",AA93="EAL"),"EAL",IF(X93='Writing Logic'!$A$10,AVERAGE(VLOOKUP(Y93,'Writing Logic'!$A$3:$B$7,2,FALSE),VLOOKUP(Z93,'Writing Logic'!$A$3:$B$7,2,FALSE),VLOOKUP(AA93,'Writing Logic'!$A$3:$B$7,2,FALSE)),AVERAGE(VLOOKUP(X93,'Writing Logic'!$A$3:$B$7,2,FALSE),VLOOKUP(Y93,'Writing Logic'!$A$3:$B$7,2,FALSE),VLOOKUP(Z93,'Writing Logic'!$A$3:$B$7,2,FALSE),VLOOKUP(AA93,'Writing Logic'!$A$3:$B$7,2,FALSE))))),"Fill All 4")</f>
        <v>Fill All 4</v>
      </c>
      <c r="AC93" s="95" t="str">
        <f t="shared" si="6"/>
        <v/>
      </c>
      <c r="AD93" s="120"/>
      <c r="AE93" s="120"/>
      <c r="AF93" s="120"/>
      <c r="AG93" s="120"/>
      <c r="AH93" s="95" t="str">
        <f>IFERROR(IF(YES_Writing_ELA[[#This Row],[Literacy IPP]]='Writing Logic'!$E$26,"IPP",IF(OR(AD93="EAL",AE93="EAL",AF93="EAL",AG93="EAL"),"EAL",IF(AD93='Writing Logic'!$A$10,AVERAGE(VLOOKUP(AE93,'Writing Logic'!$A$3:$B$7,2,FALSE),VLOOKUP(AF93,'Writing Logic'!$A$3:$B$7,2,FALSE),VLOOKUP(AG93,'Writing Logic'!$A$3:$B$7,2,FALSE)),AVERAGE(VLOOKUP(AD93,'Writing Logic'!$A$3:$B$7,2,FALSE),VLOOKUP(AE93,'Writing Logic'!$A$3:$B$7,2,FALSE),VLOOKUP(AF93,'Writing Logic'!$A$3:$B$7,2,FALSE),VLOOKUP(AG93,'Writing Logic'!$A$3:$B$7,2,FALSE))))),"Fill All 4")</f>
        <v>Fill All 4</v>
      </c>
      <c r="AI93" s="95" t="str">
        <f t="shared" si="7"/>
        <v/>
      </c>
      <c r="AJ93" s="183"/>
      <c r="AK93" s="120"/>
      <c r="AL93" s="120"/>
      <c r="AM93" s="120"/>
      <c r="AN93" s="95" t="str">
        <f>IFERROR(IF(YES_Writing_ELA[[#This Row],[Literacy IPP]]='Writing Logic'!$E$26,"IPP",IF(OR(AJ93="EAL",AK93="EAL",AL93="EAL",AM93="EAL"),"EAL",IF(AJ93='Writing Logic'!$A$10,AVERAGE(VLOOKUP(AK93,'Writing Logic'!$A$3:$B$7,2,FALSE),VLOOKUP(AL93,'Writing Logic'!$A$3:$B$7,2,FALSE),VLOOKUP(AM93,'Writing Logic'!$A$3:$B$7,2,FALSE)),AVERAGE(VLOOKUP(AJ93,'Writing Logic'!$A$3:$B$7,2,FALSE),VLOOKUP(AK93,'Writing Logic'!$A$3:$B$7,2,FALSE),VLOOKUP(AL93,'Writing Logic'!$A$3:$B$7,2,FALSE),VLOOKUP(AM93,'Writing Logic'!$A$3:$B$7,2,FALSE))))),"Fill All 4")</f>
        <v>Fill All 4</v>
      </c>
      <c r="AO93" s="95" t="str">
        <f t="shared" si="8"/>
        <v/>
      </c>
      <c r="AP93" s="120"/>
      <c r="AQ93" s="120"/>
      <c r="AR93" s="120"/>
      <c r="AS93" s="120"/>
      <c r="AT93" s="95" t="str">
        <f>IFERROR(IF(YES_Writing_ELA[[#This Row],[Literacy IPP]]='Writing Logic'!$E$26,"IPP",IF(OR(AP93="EAL",AQ93="EAL",AR93="EAL",AS93="EAL"),"EAL",IF(AP93='Writing Logic'!$A$10,AVERAGE(VLOOKUP(AQ93,'Writing Logic'!$A$3:$B$7,2,FALSE),VLOOKUP(AR93,'Writing Logic'!$A$3:$B$7,2,FALSE),VLOOKUP(AS93,'Writing Logic'!$A$3:$B$7,2,FALSE)),AVERAGE(VLOOKUP(AP93,'Writing Logic'!$A$3:$B$7,2,FALSE),VLOOKUP(AQ93,'Writing Logic'!$A$3:$B$7,2,FALSE),VLOOKUP(AR93,'Writing Logic'!$A$3:$B$7,2,FALSE),VLOOKUP(AS93,'Writing Logic'!$A$3:$B$7,2,FALSE))))),"Fill All 4")</f>
        <v>Fill All 4</v>
      </c>
      <c r="AU93" s="95" t="str">
        <f t="shared" si="9"/>
        <v/>
      </c>
    </row>
    <row r="94" spans="1:47" x14ac:dyDescent="0.25">
      <c r="A94" s="13"/>
      <c r="B94" s="13"/>
      <c r="C94" s="13"/>
      <c r="D94" s="13"/>
      <c r="E94" s="13"/>
      <c r="F94" s="13"/>
      <c r="G94" s="13"/>
      <c r="H94" s="13"/>
      <c r="I94" s="13"/>
      <c r="J94" s="13"/>
      <c r="K94" s="183"/>
      <c r="L94" s="184"/>
      <c r="M94" s="120"/>
      <c r="N94" s="120"/>
      <c r="O94" s="120"/>
      <c r="P94" s="120"/>
      <c r="Q94" s="95" t="str">
        <f>IFERROR(IF(YES_Writing_ELA[[#This Row],[Literacy IPP]]='Writing Logic'!$E$26,"IPP",IF(OR(M94="EAL",N94="EAL",O94="EAL",P94="EAL"),"EAL",IF(M94='Writing Logic'!$A$10,AVERAGE(VLOOKUP(N94,'Writing Logic'!$A$3:$B$7,2,FALSE),VLOOKUP(O94,'Writing Logic'!$A$3:$B$7,2,FALSE),VLOOKUP(P94,'Writing Logic'!$A$3:$B$7,2,FALSE)),AVERAGE(VLOOKUP(M94,'Writing Logic'!$A$3:$B$7,2,FALSE),VLOOKUP(N94,'Writing Logic'!$A$3:$B$7,2,FALSE),VLOOKUP(O94,'Writing Logic'!$A$3:$B$7,2,FALSE),VLOOKUP(P94,'Writing Logic'!$A$3:$B$7,2,FALSE))))),"Fill All 4")</f>
        <v>Fill All 4</v>
      </c>
      <c r="R94" s="120"/>
      <c r="S94" s="120"/>
      <c r="T94" s="120"/>
      <c r="U94" s="120"/>
      <c r="V94" s="95" t="str">
        <f>IFERROR(IF(YES_Writing_ELA[[#This Row],[Literacy IPP]]='Writing Logic'!$E$26,"IPP",IF(OR(R94="EAL",S94="EAL",T94="EAL",U94="EAL"),"EAL",IF(R94='Writing Logic'!$A$10,AVERAGE(VLOOKUP(S94,'Writing Logic'!$A$3:$B$7,2,FALSE),VLOOKUP(T94,'Writing Logic'!$A$3:$B$7,2,FALSE),VLOOKUP(U94,'Writing Logic'!$A$3:$B$7,2,FALSE)),AVERAGE(VLOOKUP(R94,'Writing Logic'!$A$3:$B$7,2,FALSE),VLOOKUP(S94,'Writing Logic'!$A$3:$B$7,2,FALSE),VLOOKUP(T94,'Writing Logic'!$A$3:$B$7,2,FALSE),VLOOKUP(U94,'Writing Logic'!$A$3:$B$7,2,FALSE))))),"Fill All 4")</f>
        <v>Fill All 4</v>
      </c>
      <c r="W94" s="95" t="str">
        <f t="shared" si="5"/>
        <v/>
      </c>
      <c r="X94" s="120"/>
      <c r="Y94" s="120"/>
      <c r="Z94" s="120"/>
      <c r="AA94" s="120"/>
      <c r="AB94" s="95" t="str">
        <f>IFERROR(IF(YES_Writing_ELA[[#This Row],[Literacy IPP]]='Writing Logic'!$E$26,"IPP",IF(OR(X94="EAL",Y94="EAL",Z94="EAL",AA94="EAL"),"EAL",IF(X94='Writing Logic'!$A$10,AVERAGE(VLOOKUP(Y94,'Writing Logic'!$A$3:$B$7,2,FALSE),VLOOKUP(Z94,'Writing Logic'!$A$3:$B$7,2,FALSE),VLOOKUP(AA94,'Writing Logic'!$A$3:$B$7,2,FALSE)),AVERAGE(VLOOKUP(X94,'Writing Logic'!$A$3:$B$7,2,FALSE),VLOOKUP(Y94,'Writing Logic'!$A$3:$B$7,2,FALSE),VLOOKUP(Z94,'Writing Logic'!$A$3:$B$7,2,FALSE),VLOOKUP(AA94,'Writing Logic'!$A$3:$B$7,2,FALSE))))),"Fill All 4")</f>
        <v>Fill All 4</v>
      </c>
      <c r="AC94" s="95" t="str">
        <f t="shared" si="6"/>
        <v/>
      </c>
      <c r="AD94" s="120"/>
      <c r="AE94" s="120"/>
      <c r="AF94" s="120"/>
      <c r="AG94" s="120"/>
      <c r="AH94" s="95" t="str">
        <f>IFERROR(IF(YES_Writing_ELA[[#This Row],[Literacy IPP]]='Writing Logic'!$E$26,"IPP",IF(OR(AD94="EAL",AE94="EAL",AF94="EAL",AG94="EAL"),"EAL",IF(AD94='Writing Logic'!$A$10,AVERAGE(VLOOKUP(AE94,'Writing Logic'!$A$3:$B$7,2,FALSE),VLOOKUP(AF94,'Writing Logic'!$A$3:$B$7,2,FALSE),VLOOKUP(AG94,'Writing Logic'!$A$3:$B$7,2,FALSE)),AVERAGE(VLOOKUP(AD94,'Writing Logic'!$A$3:$B$7,2,FALSE),VLOOKUP(AE94,'Writing Logic'!$A$3:$B$7,2,FALSE),VLOOKUP(AF94,'Writing Logic'!$A$3:$B$7,2,FALSE),VLOOKUP(AG94,'Writing Logic'!$A$3:$B$7,2,FALSE))))),"Fill All 4")</f>
        <v>Fill All 4</v>
      </c>
      <c r="AI94" s="95" t="str">
        <f t="shared" si="7"/>
        <v/>
      </c>
      <c r="AJ94" s="183"/>
      <c r="AK94" s="120"/>
      <c r="AL94" s="120"/>
      <c r="AM94" s="120"/>
      <c r="AN94" s="95" t="str">
        <f>IFERROR(IF(YES_Writing_ELA[[#This Row],[Literacy IPP]]='Writing Logic'!$E$26,"IPP",IF(OR(AJ94="EAL",AK94="EAL",AL94="EAL",AM94="EAL"),"EAL",IF(AJ94='Writing Logic'!$A$10,AVERAGE(VLOOKUP(AK94,'Writing Logic'!$A$3:$B$7,2,FALSE),VLOOKUP(AL94,'Writing Logic'!$A$3:$B$7,2,FALSE),VLOOKUP(AM94,'Writing Logic'!$A$3:$B$7,2,FALSE)),AVERAGE(VLOOKUP(AJ94,'Writing Logic'!$A$3:$B$7,2,FALSE),VLOOKUP(AK94,'Writing Logic'!$A$3:$B$7,2,FALSE),VLOOKUP(AL94,'Writing Logic'!$A$3:$B$7,2,FALSE),VLOOKUP(AM94,'Writing Logic'!$A$3:$B$7,2,FALSE))))),"Fill All 4")</f>
        <v>Fill All 4</v>
      </c>
      <c r="AO94" s="95" t="str">
        <f t="shared" si="8"/>
        <v/>
      </c>
      <c r="AP94" s="120"/>
      <c r="AQ94" s="120"/>
      <c r="AR94" s="120"/>
      <c r="AS94" s="120"/>
      <c r="AT94" s="95" t="str">
        <f>IFERROR(IF(YES_Writing_ELA[[#This Row],[Literacy IPP]]='Writing Logic'!$E$26,"IPP",IF(OR(AP94="EAL",AQ94="EAL",AR94="EAL",AS94="EAL"),"EAL",IF(AP94='Writing Logic'!$A$10,AVERAGE(VLOOKUP(AQ94,'Writing Logic'!$A$3:$B$7,2,FALSE),VLOOKUP(AR94,'Writing Logic'!$A$3:$B$7,2,FALSE),VLOOKUP(AS94,'Writing Logic'!$A$3:$B$7,2,FALSE)),AVERAGE(VLOOKUP(AP94,'Writing Logic'!$A$3:$B$7,2,FALSE),VLOOKUP(AQ94,'Writing Logic'!$A$3:$B$7,2,FALSE),VLOOKUP(AR94,'Writing Logic'!$A$3:$B$7,2,FALSE),VLOOKUP(AS94,'Writing Logic'!$A$3:$B$7,2,FALSE))))),"Fill All 4")</f>
        <v>Fill All 4</v>
      </c>
      <c r="AU94" s="95" t="str">
        <f t="shared" si="9"/>
        <v/>
      </c>
    </row>
    <row r="95" spans="1:47" x14ac:dyDescent="0.25">
      <c r="A95" s="13"/>
      <c r="B95" s="13"/>
      <c r="C95" s="13"/>
      <c r="D95" s="13"/>
      <c r="E95" s="13"/>
      <c r="F95" s="13"/>
      <c r="G95" s="13"/>
      <c r="H95" s="13"/>
      <c r="I95" s="13"/>
      <c r="J95" s="13"/>
      <c r="K95" s="183"/>
      <c r="L95" s="184"/>
      <c r="M95" s="120"/>
      <c r="N95" s="120"/>
      <c r="O95" s="120"/>
      <c r="P95" s="120"/>
      <c r="Q95" s="95" t="str">
        <f>IFERROR(IF(YES_Writing_ELA[[#This Row],[Literacy IPP]]='Writing Logic'!$E$26,"IPP",IF(OR(M95="EAL",N95="EAL",O95="EAL",P95="EAL"),"EAL",IF(M95='Writing Logic'!$A$10,AVERAGE(VLOOKUP(N95,'Writing Logic'!$A$3:$B$7,2,FALSE),VLOOKUP(O95,'Writing Logic'!$A$3:$B$7,2,FALSE),VLOOKUP(P95,'Writing Logic'!$A$3:$B$7,2,FALSE)),AVERAGE(VLOOKUP(M95,'Writing Logic'!$A$3:$B$7,2,FALSE),VLOOKUP(N95,'Writing Logic'!$A$3:$B$7,2,FALSE),VLOOKUP(O95,'Writing Logic'!$A$3:$B$7,2,FALSE),VLOOKUP(P95,'Writing Logic'!$A$3:$B$7,2,FALSE))))),"Fill All 4")</f>
        <v>Fill All 4</v>
      </c>
      <c r="R95" s="120"/>
      <c r="S95" s="120"/>
      <c r="T95" s="120"/>
      <c r="U95" s="120"/>
      <c r="V95" s="95" t="str">
        <f>IFERROR(IF(YES_Writing_ELA[[#This Row],[Literacy IPP]]='Writing Logic'!$E$26,"IPP",IF(OR(R95="EAL",S95="EAL",T95="EAL",U95="EAL"),"EAL",IF(R95='Writing Logic'!$A$10,AVERAGE(VLOOKUP(S95,'Writing Logic'!$A$3:$B$7,2,FALSE),VLOOKUP(T95,'Writing Logic'!$A$3:$B$7,2,FALSE),VLOOKUP(U95,'Writing Logic'!$A$3:$B$7,2,FALSE)),AVERAGE(VLOOKUP(R95,'Writing Logic'!$A$3:$B$7,2,FALSE),VLOOKUP(S95,'Writing Logic'!$A$3:$B$7,2,FALSE),VLOOKUP(T95,'Writing Logic'!$A$3:$B$7,2,FALSE),VLOOKUP(U95,'Writing Logic'!$A$3:$B$7,2,FALSE))))),"Fill All 4")</f>
        <v>Fill All 4</v>
      </c>
      <c r="W95" s="95" t="str">
        <f t="shared" si="5"/>
        <v/>
      </c>
      <c r="X95" s="120"/>
      <c r="Y95" s="120"/>
      <c r="Z95" s="120"/>
      <c r="AA95" s="120"/>
      <c r="AB95" s="95" t="str">
        <f>IFERROR(IF(YES_Writing_ELA[[#This Row],[Literacy IPP]]='Writing Logic'!$E$26,"IPP",IF(OR(X95="EAL",Y95="EAL",Z95="EAL",AA95="EAL"),"EAL",IF(X95='Writing Logic'!$A$10,AVERAGE(VLOOKUP(Y95,'Writing Logic'!$A$3:$B$7,2,FALSE),VLOOKUP(Z95,'Writing Logic'!$A$3:$B$7,2,FALSE),VLOOKUP(AA95,'Writing Logic'!$A$3:$B$7,2,FALSE)),AVERAGE(VLOOKUP(X95,'Writing Logic'!$A$3:$B$7,2,FALSE),VLOOKUP(Y95,'Writing Logic'!$A$3:$B$7,2,FALSE),VLOOKUP(Z95,'Writing Logic'!$A$3:$B$7,2,FALSE),VLOOKUP(AA95,'Writing Logic'!$A$3:$B$7,2,FALSE))))),"Fill All 4")</f>
        <v>Fill All 4</v>
      </c>
      <c r="AC95" s="95" t="str">
        <f t="shared" si="6"/>
        <v/>
      </c>
      <c r="AD95" s="120"/>
      <c r="AE95" s="120"/>
      <c r="AF95" s="120"/>
      <c r="AG95" s="120"/>
      <c r="AH95" s="95" t="str">
        <f>IFERROR(IF(YES_Writing_ELA[[#This Row],[Literacy IPP]]='Writing Logic'!$E$26,"IPP",IF(OR(AD95="EAL",AE95="EAL",AF95="EAL",AG95="EAL"),"EAL",IF(AD95='Writing Logic'!$A$10,AVERAGE(VLOOKUP(AE95,'Writing Logic'!$A$3:$B$7,2,FALSE),VLOOKUP(AF95,'Writing Logic'!$A$3:$B$7,2,FALSE),VLOOKUP(AG95,'Writing Logic'!$A$3:$B$7,2,FALSE)),AVERAGE(VLOOKUP(AD95,'Writing Logic'!$A$3:$B$7,2,FALSE),VLOOKUP(AE95,'Writing Logic'!$A$3:$B$7,2,FALSE),VLOOKUP(AF95,'Writing Logic'!$A$3:$B$7,2,FALSE),VLOOKUP(AG95,'Writing Logic'!$A$3:$B$7,2,FALSE))))),"Fill All 4")</f>
        <v>Fill All 4</v>
      </c>
      <c r="AI95" s="95" t="str">
        <f t="shared" si="7"/>
        <v/>
      </c>
      <c r="AJ95" s="183"/>
      <c r="AK95" s="120"/>
      <c r="AL95" s="120"/>
      <c r="AM95" s="120"/>
      <c r="AN95" s="95" t="str">
        <f>IFERROR(IF(YES_Writing_ELA[[#This Row],[Literacy IPP]]='Writing Logic'!$E$26,"IPP",IF(OR(AJ95="EAL",AK95="EAL",AL95="EAL",AM95="EAL"),"EAL",IF(AJ95='Writing Logic'!$A$10,AVERAGE(VLOOKUP(AK95,'Writing Logic'!$A$3:$B$7,2,FALSE),VLOOKUP(AL95,'Writing Logic'!$A$3:$B$7,2,FALSE),VLOOKUP(AM95,'Writing Logic'!$A$3:$B$7,2,FALSE)),AVERAGE(VLOOKUP(AJ95,'Writing Logic'!$A$3:$B$7,2,FALSE),VLOOKUP(AK95,'Writing Logic'!$A$3:$B$7,2,FALSE),VLOOKUP(AL95,'Writing Logic'!$A$3:$B$7,2,FALSE),VLOOKUP(AM95,'Writing Logic'!$A$3:$B$7,2,FALSE))))),"Fill All 4")</f>
        <v>Fill All 4</v>
      </c>
      <c r="AO95" s="95" t="str">
        <f t="shared" si="8"/>
        <v/>
      </c>
      <c r="AP95" s="120"/>
      <c r="AQ95" s="120"/>
      <c r="AR95" s="120"/>
      <c r="AS95" s="120"/>
      <c r="AT95" s="95" t="str">
        <f>IFERROR(IF(YES_Writing_ELA[[#This Row],[Literacy IPP]]='Writing Logic'!$E$26,"IPP",IF(OR(AP95="EAL",AQ95="EAL",AR95="EAL",AS95="EAL"),"EAL",IF(AP95='Writing Logic'!$A$10,AVERAGE(VLOOKUP(AQ95,'Writing Logic'!$A$3:$B$7,2,FALSE),VLOOKUP(AR95,'Writing Logic'!$A$3:$B$7,2,FALSE),VLOOKUP(AS95,'Writing Logic'!$A$3:$B$7,2,FALSE)),AVERAGE(VLOOKUP(AP95,'Writing Logic'!$A$3:$B$7,2,FALSE),VLOOKUP(AQ95,'Writing Logic'!$A$3:$B$7,2,FALSE),VLOOKUP(AR95,'Writing Logic'!$A$3:$B$7,2,FALSE),VLOOKUP(AS95,'Writing Logic'!$A$3:$B$7,2,FALSE))))),"Fill All 4")</f>
        <v>Fill All 4</v>
      </c>
      <c r="AU95" s="95" t="str">
        <f t="shared" si="9"/>
        <v/>
      </c>
    </row>
    <row r="96" spans="1:47" x14ac:dyDescent="0.25">
      <c r="A96" s="13"/>
      <c r="B96" s="13"/>
      <c r="C96" s="13"/>
      <c r="D96" s="13"/>
      <c r="E96" s="13"/>
      <c r="F96" s="13"/>
      <c r="G96" s="13"/>
      <c r="H96" s="13"/>
      <c r="I96" s="13"/>
      <c r="J96" s="13"/>
      <c r="K96" s="183"/>
      <c r="L96" s="184"/>
      <c r="M96" s="120"/>
      <c r="N96" s="120"/>
      <c r="O96" s="120"/>
      <c r="P96" s="120"/>
      <c r="Q96" s="95" t="str">
        <f>IFERROR(IF(YES_Writing_ELA[[#This Row],[Literacy IPP]]='Writing Logic'!$E$26,"IPP",IF(OR(M96="EAL",N96="EAL",O96="EAL",P96="EAL"),"EAL",IF(M96='Writing Logic'!$A$10,AVERAGE(VLOOKUP(N96,'Writing Logic'!$A$3:$B$7,2,FALSE),VLOOKUP(O96,'Writing Logic'!$A$3:$B$7,2,FALSE),VLOOKUP(P96,'Writing Logic'!$A$3:$B$7,2,FALSE)),AVERAGE(VLOOKUP(M96,'Writing Logic'!$A$3:$B$7,2,FALSE),VLOOKUP(N96,'Writing Logic'!$A$3:$B$7,2,FALSE),VLOOKUP(O96,'Writing Logic'!$A$3:$B$7,2,FALSE),VLOOKUP(P96,'Writing Logic'!$A$3:$B$7,2,FALSE))))),"Fill All 4")</f>
        <v>Fill All 4</v>
      </c>
      <c r="R96" s="120"/>
      <c r="S96" s="120"/>
      <c r="T96" s="120"/>
      <c r="U96" s="120"/>
      <c r="V96" s="95" t="str">
        <f>IFERROR(IF(YES_Writing_ELA[[#This Row],[Literacy IPP]]='Writing Logic'!$E$26,"IPP",IF(OR(R96="EAL",S96="EAL",T96="EAL",U96="EAL"),"EAL",IF(R96='Writing Logic'!$A$10,AVERAGE(VLOOKUP(S96,'Writing Logic'!$A$3:$B$7,2,FALSE),VLOOKUP(T96,'Writing Logic'!$A$3:$B$7,2,FALSE),VLOOKUP(U96,'Writing Logic'!$A$3:$B$7,2,FALSE)),AVERAGE(VLOOKUP(R96,'Writing Logic'!$A$3:$B$7,2,FALSE),VLOOKUP(S96,'Writing Logic'!$A$3:$B$7,2,FALSE),VLOOKUP(T96,'Writing Logic'!$A$3:$B$7,2,FALSE),VLOOKUP(U96,'Writing Logic'!$A$3:$B$7,2,FALSE))))),"Fill All 4")</f>
        <v>Fill All 4</v>
      </c>
      <c r="W96" s="95" t="str">
        <f t="shared" si="5"/>
        <v/>
      </c>
      <c r="X96" s="120"/>
      <c r="Y96" s="120"/>
      <c r="Z96" s="120"/>
      <c r="AA96" s="120"/>
      <c r="AB96" s="95" t="str">
        <f>IFERROR(IF(YES_Writing_ELA[[#This Row],[Literacy IPP]]='Writing Logic'!$E$26,"IPP",IF(OR(X96="EAL",Y96="EAL",Z96="EAL",AA96="EAL"),"EAL",IF(X96='Writing Logic'!$A$10,AVERAGE(VLOOKUP(Y96,'Writing Logic'!$A$3:$B$7,2,FALSE),VLOOKUP(Z96,'Writing Logic'!$A$3:$B$7,2,FALSE),VLOOKUP(AA96,'Writing Logic'!$A$3:$B$7,2,FALSE)),AVERAGE(VLOOKUP(X96,'Writing Logic'!$A$3:$B$7,2,FALSE),VLOOKUP(Y96,'Writing Logic'!$A$3:$B$7,2,FALSE),VLOOKUP(Z96,'Writing Logic'!$A$3:$B$7,2,FALSE),VLOOKUP(AA96,'Writing Logic'!$A$3:$B$7,2,FALSE))))),"Fill All 4")</f>
        <v>Fill All 4</v>
      </c>
      <c r="AC96" s="95" t="str">
        <f t="shared" si="6"/>
        <v/>
      </c>
      <c r="AD96" s="120"/>
      <c r="AE96" s="120"/>
      <c r="AF96" s="120"/>
      <c r="AG96" s="120"/>
      <c r="AH96" s="95" t="str">
        <f>IFERROR(IF(YES_Writing_ELA[[#This Row],[Literacy IPP]]='Writing Logic'!$E$26,"IPP",IF(OR(AD96="EAL",AE96="EAL",AF96="EAL",AG96="EAL"),"EAL",IF(AD96='Writing Logic'!$A$10,AVERAGE(VLOOKUP(AE96,'Writing Logic'!$A$3:$B$7,2,FALSE),VLOOKUP(AF96,'Writing Logic'!$A$3:$B$7,2,FALSE),VLOOKUP(AG96,'Writing Logic'!$A$3:$B$7,2,FALSE)),AVERAGE(VLOOKUP(AD96,'Writing Logic'!$A$3:$B$7,2,FALSE),VLOOKUP(AE96,'Writing Logic'!$A$3:$B$7,2,FALSE),VLOOKUP(AF96,'Writing Logic'!$A$3:$B$7,2,FALSE),VLOOKUP(AG96,'Writing Logic'!$A$3:$B$7,2,FALSE))))),"Fill All 4")</f>
        <v>Fill All 4</v>
      </c>
      <c r="AI96" s="95" t="str">
        <f t="shared" si="7"/>
        <v/>
      </c>
      <c r="AJ96" s="183"/>
      <c r="AK96" s="120"/>
      <c r="AL96" s="120"/>
      <c r="AM96" s="120"/>
      <c r="AN96" s="95" t="str">
        <f>IFERROR(IF(YES_Writing_ELA[[#This Row],[Literacy IPP]]='Writing Logic'!$E$26,"IPP",IF(OR(AJ96="EAL",AK96="EAL",AL96="EAL",AM96="EAL"),"EAL",IF(AJ96='Writing Logic'!$A$10,AVERAGE(VLOOKUP(AK96,'Writing Logic'!$A$3:$B$7,2,FALSE),VLOOKUP(AL96,'Writing Logic'!$A$3:$B$7,2,FALSE),VLOOKUP(AM96,'Writing Logic'!$A$3:$B$7,2,FALSE)),AVERAGE(VLOOKUP(AJ96,'Writing Logic'!$A$3:$B$7,2,FALSE),VLOOKUP(AK96,'Writing Logic'!$A$3:$B$7,2,FALSE),VLOOKUP(AL96,'Writing Logic'!$A$3:$B$7,2,FALSE),VLOOKUP(AM96,'Writing Logic'!$A$3:$B$7,2,FALSE))))),"Fill All 4")</f>
        <v>Fill All 4</v>
      </c>
      <c r="AO96" s="95" t="str">
        <f t="shared" si="8"/>
        <v/>
      </c>
      <c r="AP96" s="120"/>
      <c r="AQ96" s="120"/>
      <c r="AR96" s="120"/>
      <c r="AS96" s="120"/>
      <c r="AT96" s="95" t="str">
        <f>IFERROR(IF(YES_Writing_ELA[[#This Row],[Literacy IPP]]='Writing Logic'!$E$26,"IPP",IF(OR(AP96="EAL",AQ96="EAL",AR96="EAL",AS96="EAL"),"EAL",IF(AP96='Writing Logic'!$A$10,AVERAGE(VLOOKUP(AQ96,'Writing Logic'!$A$3:$B$7,2,FALSE),VLOOKUP(AR96,'Writing Logic'!$A$3:$B$7,2,FALSE),VLOOKUP(AS96,'Writing Logic'!$A$3:$B$7,2,FALSE)),AVERAGE(VLOOKUP(AP96,'Writing Logic'!$A$3:$B$7,2,FALSE),VLOOKUP(AQ96,'Writing Logic'!$A$3:$B$7,2,FALSE),VLOOKUP(AR96,'Writing Logic'!$A$3:$B$7,2,FALSE),VLOOKUP(AS96,'Writing Logic'!$A$3:$B$7,2,FALSE))))),"Fill All 4")</f>
        <v>Fill All 4</v>
      </c>
      <c r="AU96" s="95" t="str">
        <f t="shared" si="9"/>
        <v/>
      </c>
    </row>
    <row r="97" spans="1:47" x14ac:dyDescent="0.25">
      <c r="A97" s="13"/>
      <c r="B97" s="13"/>
      <c r="C97" s="13"/>
      <c r="D97" s="13"/>
      <c r="E97" s="13"/>
      <c r="F97" s="13"/>
      <c r="G97" s="13"/>
      <c r="H97" s="13"/>
      <c r="I97" s="13"/>
      <c r="J97" s="13"/>
      <c r="K97" s="183"/>
      <c r="L97" s="184"/>
      <c r="M97" s="120"/>
      <c r="N97" s="120"/>
      <c r="O97" s="120"/>
      <c r="P97" s="120"/>
      <c r="Q97" s="95" t="str">
        <f>IFERROR(IF(YES_Writing_ELA[[#This Row],[Literacy IPP]]='Writing Logic'!$E$26,"IPP",IF(OR(M97="EAL",N97="EAL",O97="EAL",P97="EAL"),"EAL",IF(M97='Writing Logic'!$A$10,AVERAGE(VLOOKUP(N97,'Writing Logic'!$A$3:$B$7,2,FALSE),VLOOKUP(O97,'Writing Logic'!$A$3:$B$7,2,FALSE),VLOOKUP(P97,'Writing Logic'!$A$3:$B$7,2,FALSE)),AVERAGE(VLOOKUP(M97,'Writing Logic'!$A$3:$B$7,2,FALSE),VLOOKUP(N97,'Writing Logic'!$A$3:$B$7,2,FALSE),VLOOKUP(O97,'Writing Logic'!$A$3:$B$7,2,FALSE),VLOOKUP(P97,'Writing Logic'!$A$3:$B$7,2,FALSE))))),"Fill All 4")</f>
        <v>Fill All 4</v>
      </c>
      <c r="R97" s="120"/>
      <c r="S97" s="120"/>
      <c r="T97" s="120"/>
      <c r="U97" s="120"/>
      <c r="V97" s="95" t="str">
        <f>IFERROR(IF(YES_Writing_ELA[[#This Row],[Literacy IPP]]='Writing Logic'!$E$26,"IPP",IF(OR(R97="EAL",S97="EAL",T97="EAL",U97="EAL"),"EAL",IF(R97='Writing Logic'!$A$10,AVERAGE(VLOOKUP(S97,'Writing Logic'!$A$3:$B$7,2,FALSE),VLOOKUP(T97,'Writing Logic'!$A$3:$B$7,2,FALSE),VLOOKUP(U97,'Writing Logic'!$A$3:$B$7,2,FALSE)),AVERAGE(VLOOKUP(R97,'Writing Logic'!$A$3:$B$7,2,FALSE),VLOOKUP(S97,'Writing Logic'!$A$3:$B$7,2,FALSE),VLOOKUP(T97,'Writing Logic'!$A$3:$B$7,2,FALSE),VLOOKUP(U97,'Writing Logic'!$A$3:$B$7,2,FALSE))))),"Fill All 4")</f>
        <v>Fill All 4</v>
      </c>
      <c r="W97" s="95" t="str">
        <f t="shared" si="5"/>
        <v/>
      </c>
      <c r="X97" s="120"/>
      <c r="Y97" s="120"/>
      <c r="Z97" s="120"/>
      <c r="AA97" s="120"/>
      <c r="AB97" s="95" t="str">
        <f>IFERROR(IF(YES_Writing_ELA[[#This Row],[Literacy IPP]]='Writing Logic'!$E$26,"IPP",IF(OR(X97="EAL",Y97="EAL",Z97="EAL",AA97="EAL"),"EAL",IF(X97='Writing Logic'!$A$10,AVERAGE(VLOOKUP(Y97,'Writing Logic'!$A$3:$B$7,2,FALSE),VLOOKUP(Z97,'Writing Logic'!$A$3:$B$7,2,FALSE),VLOOKUP(AA97,'Writing Logic'!$A$3:$B$7,2,FALSE)),AVERAGE(VLOOKUP(X97,'Writing Logic'!$A$3:$B$7,2,FALSE),VLOOKUP(Y97,'Writing Logic'!$A$3:$B$7,2,FALSE),VLOOKUP(Z97,'Writing Logic'!$A$3:$B$7,2,FALSE),VLOOKUP(AA97,'Writing Logic'!$A$3:$B$7,2,FALSE))))),"Fill All 4")</f>
        <v>Fill All 4</v>
      </c>
      <c r="AC97" s="95" t="str">
        <f t="shared" si="6"/>
        <v/>
      </c>
      <c r="AD97" s="120"/>
      <c r="AE97" s="120"/>
      <c r="AF97" s="120"/>
      <c r="AG97" s="120"/>
      <c r="AH97" s="95" t="str">
        <f>IFERROR(IF(YES_Writing_ELA[[#This Row],[Literacy IPP]]='Writing Logic'!$E$26,"IPP",IF(OR(AD97="EAL",AE97="EAL",AF97="EAL",AG97="EAL"),"EAL",IF(AD97='Writing Logic'!$A$10,AVERAGE(VLOOKUP(AE97,'Writing Logic'!$A$3:$B$7,2,FALSE),VLOOKUP(AF97,'Writing Logic'!$A$3:$B$7,2,FALSE),VLOOKUP(AG97,'Writing Logic'!$A$3:$B$7,2,FALSE)),AVERAGE(VLOOKUP(AD97,'Writing Logic'!$A$3:$B$7,2,FALSE),VLOOKUP(AE97,'Writing Logic'!$A$3:$B$7,2,FALSE),VLOOKUP(AF97,'Writing Logic'!$A$3:$B$7,2,FALSE),VLOOKUP(AG97,'Writing Logic'!$A$3:$B$7,2,FALSE))))),"Fill All 4")</f>
        <v>Fill All 4</v>
      </c>
      <c r="AI97" s="95" t="str">
        <f t="shared" si="7"/>
        <v/>
      </c>
      <c r="AJ97" s="183"/>
      <c r="AK97" s="120"/>
      <c r="AL97" s="120"/>
      <c r="AM97" s="120"/>
      <c r="AN97" s="95" t="str">
        <f>IFERROR(IF(YES_Writing_ELA[[#This Row],[Literacy IPP]]='Writing Logic'!$E$26,"IPP",IF(OR(AJ97="EAL",AK97="EAL",AL97="EAL",AM97="EAL"),"EAL",IF(AJ97='Writing Logic'!$A$10,AVERAGE(VLOOKUP(AK97,'Writing Logic'!$A$3:$B$7,2,FALSE),VLOOKUP(AL97,'Writing Logic'!$A$3:$B$7,2,FALSE),VLOOKUP(AM97,'Writing Logic'!$A$3:$B$7,2,FALSE)),AVERAGE(VLOOKUP(AJ97,'Writing Logic'!$A$3:$B$7,2,FALSE),VLOOKUP(AK97,'Writing Logic'!$A$3:$B$7,2,FALSE),VLOOKUP(AL97,'Writing Logic'!$A$3:$B$7,2,FALSE),VLOOKUP(AM97,'Writing Logic'!$A$3:$B$7,2,FALSE))))),"Fill All 4")</f>
        <v>Fill All 4</v>
      </c>
      <c r="AO97" s="95" t="str">
        <f t="shared" si="8"/>
        <v/>
      </c>
      <c r="AP97" s="120"/>
      <c r="AQ97" s="120"/>
      <c r="AR97" s="120"/>
      <c r="AS97" s="120"/>
      <c r="AT97" s="95" t="str">
        <f>IFERROR(IF(YES_Writing_ELA[[#This Row],[Literacy IPP]]='Writing Logic'!$E$26,"IPP",IF(OR(AP97="EAL",AQ97="EAL",AR97="EAL",AS97="EAL"),"EAL",IF(AP97='Writing Logic'!$A$10,AVERAGE(VLOOKUP(AQ97,'Writing Logic'!$A$3:$B$7,2,FALSE),VLOOKUP(AR97,'Writing Logic'!$A$3:$B$7,2,FALSE),VLOOKUP(AS97,'Writing Logic'!$A$3:$B$7,2,FALSE)),AVERAGE(VLOOKUP(AP97,'Writing Logic'!$A$3:$B$7,2,FALSE),VLOOKUP(AQ97,'Writing Logic'!$A$3:$B$7,2,FALSE),VLOOKUP(AR97,'Writing Logic'!$A$3:$B$7,2,FALSE),VLOOKUP(AS97,'Writing Logic'!$A$3:$B$7,2,FALSE))))),"Fill All 4")</f>
        <v>Fill All 4</v>
      </c>
      <c r="AU97" s="95" t="str">
        <f t="shared" si="9"/>
        <v/>
      </c>
    </row>
    <row r="98" spans="1:47" x14ac:dyDescent="0.25">
      <c r="A98" s="13"/>
      <c r="B98" s="13"/>
      <c r="C98" s="13"/>
      <c r="D98" s="13"/>
      <c r="E98" s="13"/>
      <c r="F98" s="13"/>
      <c r="G98" s="13"/>
      <c r="H98" s="13"/>
      <c r="I98" s="13"/>
      <c r="J98" s="13"/>
      <c r="K98" s="183"/>
      <c r="L98" s="184"/>
      <c r="M98" s="120"/>
      <c r="N98" s="120"/>
      <c r="O98" s="120"/>
      <c r="P98" s="120"/>
      <c r="Q98" s="95" t="str">
        <f>IFERROR(IF(YES_Writing_ELA[[#This Row],[Literacy IPP]]='Writing Logic'!$E$26,"IPP",IF(OR(M98="EAL",N98="EAL",O98="EAL",P98="EAL"),"EAL",IF(M98='Writing Logic'!$A$10,AVERAGE(VLOOKUP(N98,'Writing Logic'!$A$3:$B$7,2,FALSE),VLOOKUP(O98,'Writing Logic'!$A$3:$B$7,2,FALSE),VLOOKUP(P98,'Writing Logic'!$A$3:$B$7,2,FALSE)),AVERAGE(VLOOKUP(M98,'Writing Logic'!$A$3:$B$7,2,FALSE),VLOOKUP(N98,'Writing Logic'!$A$3:$B$7,2,FALSE),VLOOKUP(O98,'Writing Logic'!$A$3:$B$7,2,FALSE),VLOOKUP(P98,'Writing Logic'!$A$3:$B$7,2,FALSE))))),"Fill All 4")</f>
        <v>Fill All 4</v>
      </c>
      <c r="R98" s="120"/>
      <c r="S98" s="120"/>
      <c r="T98" s="120"/>
      <c r="U98" s="120"/>
      <c r="V98" s="95" t="str">
        <f>IFERROR(IF(YES_Writing_ELA[[#This Row],[Literacy IPP]]='Writing Logic'!$E$26,"IPP",IF(OR(R98="EAL",S98="EAL",T98="EAL",U98="EAL"),"EAL",IF(R98='Writing Logic'!$A$10,AVERAGE(VLOOKUP(S98,'Writing Logic'!$A$3:$B$7,2,FALSE),VLOOKUP(T98,'Writing Logic'!$A$3:$B$7,2,FALSE),VLOOKUP(U98,'Writing Logic'!$A$3:$B$7,2,FALSE)),AVERAGE(VLOOKUP(R98,'Writing Logic'!$A$3:$B$7,2,FALSE),VLOOKUP(S98,'Writing Logic'!$A$3:$B$7,2,FALSE),VLOOKUP(T98,'Writing Logic'!$A$3:$B$7,2,FALSE),VLOOKUP(U98,'Writing Logic'!$A$3:$B$7,2,FALSE))))),"Fill All 4")</f>
        <v>Fill All 4</v>
      </c>
      <c r="W98" s="95" t="str">
        <f t="shared" si="5"/>
        <v/>
      </c>
      <c r="X98" s="120"/>
      <c r="Y98" s="120"/>
      <c r="Z98" s="120"/>
      <c r="AA98" s="120"/>
      <c r="AB98" s="95" t="str">
        <f>IFERROR(IF(YES_Writing_ELA[[#This Row],[Literacy IPP]]='Writing Logic'!$E$26,"IPP",IF(OR(X98="EAL",Y98="EAL",Z98="EAL",AA98="EAL"),"EAL",IF(X98='Writing Logic'!$A$10,AVERAGE(VLOOKUP(Y98,'Writing Logic'!$A$3:$B$7,2,FALSE),VLOOKUP(Z98,'Writing Logic'!$A$3:$B$7,2,FALSE),VLOOKUP(AA98,'Writing Logic'!$A$3:$B$7,2,FALSE)),AVERAGE(VLOOKUP(X98,'Writing Logic'!$A$3:$B$7,2,FALSE),VLOOKUP(Y98,'Writing Logic'!$A$3:$B$7,2,FALSE),VLOOKUP(Z98,'Writing Logic'!$A$3:$B$7,2,FALSE),VLOOKUP(AA98,'Writing Logic'!$A$3:$B$7,2,FALSE))))),"Fill All 4")</f>
        <v>Fill All 4</v>
      </c>
      <c r="AC98" s="95" t="str">
        <f t="shared" si="6"/>
        <v/>
      </c>
      <c r="AD98" s="120"/>
      <c r="AE98" s="120"/>
      <c r="AF98" s="120"/>
      <c r="AG98" s="120"/>
      <c r="AH98" s="95" t="str">
        <f>IFERROR(IF(YES_Writing_ELA[[#This Row],[Literacy IPP]]='Writing Logic'!$E$26,"IPP",IF(OR(AD98="EAL",AE98="EAL",AF98="EAL",AG98="EAL"),"EAL",IF(AD98='Writing Logic'!$A$10,AVERAGE(VLOOKUP(AE98,'Writing Logic'!$A$3:$B$7,2,FALSE),VLOOKUP(AF98,'Writing Logic'!$A$3:$B$7,2,FALSE),VLOOKUP(AG98,'Writing Logic'!$A$3:$B$7,2,FALSE)),AVERAGE(VLOOKUP(AD98,'Writing Logic'!$A$3:$B$7,2,FALSE),VLOOKUP(AE98,'Writing Logic'!$A$3:$B$7,2,FALSE),VLOOKUP(AF98,'Writing Logic'!$A$3:$B$7,2,FALSE),VLOOKUP(AG98,'Writing Logic'!$A$3:$B$7,2,FALSE))))),"Fill All 4")</f>
        <v>Fill All 4</v>
      </c>
      <c r="AI98" s="95" t="str">
        <f t="shared" si="7"/>
        <v/>
      </c>
      <c r="AJ98" s="183"/>
      <c r="AK98" s="120"/>
      <c r="AL98" s="120"/>
      <c r="AM98" s="120"/>
      <c r="AN98" s="95" t="str">
        <f>IFERROR(IF(YES_Writing_ELA[[#This Row],[Literacy IPP]]='Writing Logic'!$E$26,"IPP",IF(OR(AJ98="EAL",AK98="EAL",AL98="EAL",AM98="EAL"),"EAL",IF(AJ98='Writing Logic'!$A$10,AVERAGE(VLOOKUP(AK98,'Writing Logic'!$A$3:$B$7,2,FALSE),VLOOKUP(AL98,'Writing Logic'!$A$3:$B$7,2,FALSE),VLOOKUP(AM98,'Writing Logic'!$A$3:$B$7,2,FALSE)),AVERAGE(VLOOKUP(AJ98,'Writing Logic'!$A$3:$B$7,2,FALSE),VLOOKUP(AK98,'Writing Logic'!$A$3:$B$7,2,FALSE),VLOOKUP(AL98,'Writing Logic'!$A$3:$B$7,2,FALSE),VLOOKUP(AM98,'Writing Logic'!$A$3:$B$7,2,FALSE))))),"Fill All 4")</f>
        <v>Fill All 4</v>
      </c>
      <c r="AO98" s="95" t="str">
        <f t="shared" si="8"/>
        <v/>
      </c>
      <c r="AP98" s="120"/>
      <c r="AQ98" s="120"/>
      <c r="AR98" s="120"/>
      <c r="AS98" s="120"/>
      <c r="AT98" s="95" t="str">
        <f>IFERROR(IF(YES_Writing_ELA[[#This Row],[Literacy IPP]]='Writing Logic'!$E$26,"IPP",IF(OR(AP98="EAL",AQ98="EAL",AR98="EAL",AS98="EAL"),"EAL",IF(AP98='Writing Logic'!$A$10,AVERAGE(VLOOKUP(AQ98,'Writing Logic'!$A$3:$B$7,2,FALSE),VLOOKUP(AR98,'Writing Logic'!$A$3:$B$7,2,FALSE),VLOOKUP(AS98,'Writing Logic'!$A$3:$B$7,2,FALSE)),AVERAGE(VLOOKUP(AP98,'Writing Logic'!$A$3:$B$7,2,FALSE),VLOOKUP(AQ98,'Writing Logic'!$A$3:$B$7,2,FALSE),VLOOKUP(AR98,'Writing Logic'!$A$3:$B$7,2,FALSE),VLOOKUP(AS98,'Writing Logic'!$A$3:$B$7,2,FALSE))))),"Fill All 4")</f>
        <v>Fill All 4</v>
      </c>
      <c r="AU98" s="95" t="str">
        <f t="shared" si="9"/>
        <v/>
      </c>
    </row>
    <row r="99" spans="1:47" x14ac:dyDescent="0.25">
      <c r="A99" s="13"/>
      <c r="B99" s="13"/>
      <c r="C99" s="13"/>
      <c r="D99" s="13"/>
      <c r="E99" s="13"/>
      <c r="F99" s="13"/>
      <c r="G99" s="13"/>
      <c r="H99" s="13"/>
      <c r="I99" s="13"/>
      <c r="J99" s="13"/>
      <c r="K99" s="183"/>
      <c r="L99" s="184"/>
      <c r="M99" s="120"/>
      <c r="N99" s="120"/>
      <c r="O99" s="120"/>
      <c r="P99" s="120"/>
      <c r="Q99" s="95" t="str">
        <f>IFERROR(IF(YES_Writing_ELA[[#This Row],[Literacy IPP]]='Writing Logic'!$E$26,"IPP",IF(OR(M99="EAL",N99="EAL",O99="EAL",P99="EAL"),"EAL",IF(M99='Writing Logic'!$A$10,AVERAGE(VLOOKUP(N99,'Writing Logic'!$A$3:$B$7,2,FALSE),VLOOKUP(O99,'Writing Logic'!$A$3:$B$7,2,FALSE),VLOOKUP(P99,'Writing Logic'!$A$3:$B$7,2,FALSE)),AVERAGE(VLOOKUP(M99,'Writing Logic'!$A$3:$B$7,2,FALSE),VLOOKUP(N99,'Writing Logic'!$A$3:$B$7,2,FALSE),VLOOKUP(O99,'Writing Logic'!$A$3:$B$7,2,FALSE),VLOOKUP(P99,'Writing Logic'!$A$3:$B$7,2,FALSE))))),"Fill All 4")</f>
        <v>Fill All 4</v>
      </c>
      <c r="R99" s="120"/>
      <c r="S99" s="120"/>
      <c r="T99" s="120"/>
      <c r="U99" s="120"/>
      <c r="V99" s="95" t="str">
        <f>IFERROR(IF(YES_Writing_ELA[[#This Row],[Literacy IPP]]='Writing Logic'!$E$26,"IPP",IF(OR(R99="EAL",S99="EAL",T99="EAL",U99="EAL"),"EAL",IF(R99='Writing Logic'!$A$10,AVERAGE(VLOOKUP(S99,'Writing Logic'!$A$3:$B$7,2,FALSE),VLOOKUP(T99,'Writing Logic'!$A$3:$B$7,2,FALSE),VLOOKUP(U99,'Writing Logic'!$A$3:$B$7,2,FALSE)),AVERAGE(VLOOKUP(R99,'Writing Logic'!$A$3:$B$7,2,FALSE),VLOOKUP(S99,'Writing Logic'!$A$3:$B$7,2,FALSE),VLOOKUP(T99,'Writing Logic'!$A$3:$B$7,2,FALSE),VLOOKUP(U99,'Writing Logic'!$A$3:$B$7,2,FALSE))))),"Fill All 4")</f>
        <v>Fill All 4</v>
      </c>
      <c r="W99" s="95" t="str">
        <f t="shared" si="5"/>
        <v/>
      </c>
      <c r="X99" s="120"/>
      <c r="Y99" s="120"/>
      <c r="Z99" s="120"/>
      <c r="AA99" s="120"/>
      <c r="AB99" s="95" t="str">
        <f>IFERROR(IF(YES_Writing_ELA[[#This Row],[Literacy IPP]]='Writing Logic'!$E$26,"IPP",IF(OR(X99="EAL",Y99="EAL",Z99="EAL",AA99="EAL"),"EAL",IF(X99='Writing Logic'!$A$10,AVERAGE(VLOOKUP(Y99,'Writing Logic'!$A$3:$B$7,2,FALSE),VLOOKUP(Z99,'Writing Logic'!$A$3:$B$7,2,FALSE),VLOOKUP(AA99,'Writing Logic'!$A$3:$B$7,2,FALSE)),AVERAGE(VLOOKUP(X99,'Writing Logic'!$A$3:$B$7,2,FALSE),VLOOKUP(Y99,'Writing Logic'!$A$3:$B$7,2,FALSE),VLOOKUP(Z99,'Writing Logic'!$A$3:$B$7,2,FALSE),VLOOKUP(AA99,'Writing Logic'!$A$3:$B$7,2,FALSE))))),"Fill All 4")</f>
        <v>Fill All 4</v>
      </c>
      <c r="AC99" s="95" t="str">
        <f t="shared" si="6"/>
        <v/>
      </c>
      <c r="AD99" s="120"/>
      <c r="AE99" s="120"/>
      <c r="AF99" s="120"/>
      <c r="AG99" s="120"/>
      <c r="AH99" s="95" t="str">
        <f>IFERROR(IF(YES_Writing_ELA[[#This Row],[Literacy IPP]]='Writing Logic'!$E$26,"IPP",IF(OR(AD99="EAL",AE99="EAL",AF99="EAL",AG99="EAL"),"EAL",IF(AD99='Writing Logic'!$A$10,AVERAGE(VLOOKUP(AE99,'Writing Logic'!$A$3:$B$7,2,FALSE),VLOOKUP(AF99,'Writing Logic'!$A$3:$B$7,2,FALSE),VLOOKUP(AG99,'Writing Logic'!$A$3:$B$7,2,FALSE)),AVERAGE(VLOOKUP(AD99,'Writing Logic'!$A$3:$B$7,2,FALSE),VLOOKUP(AE99,'Writing Logic'!$A$3:$B$7,2,FALSE),VLOOKUP(AF99,'Writing Logic'!$A$3:$B$7,2,FALSE),VLOOKUP(AG99,'Writing Logic'!$A$3:$B$7,2,FALSE))))),"Fill All 4")</f>
        <v>Fill All 4</v>
      </c>
      <c r="AI99" s="95" t="str">
        <f t="shared" si="7"/>
        <v/>
      </c>
      <c r="AJ99" s="183"/>
      <c r="AK99" s="120"/>
      <c r="AL99" s="120"/>
      <c r="AM99" s="120"/>
      <c r="AN99" s="95" t="str">
        <f>IFERROR(IF(YES_Writing_ELA[[#This Row],[Literacy IPP]]='Writing Logic'!$E$26,"IPP",IF(OR(AJ99="EAL",AK99="EAL",AL99="EAL",AM99="EAL"),"EAL",IF(AJ99='Writing Logic'!$A$10,AVERAGE(VLOOKUP(AK99,'Writing Logic'!$A$3:$B$7,2,FALSE),VLOOKUP(AL99,'Writing Logic'!$A$3:$B$7,2,FALSE),VLOOKUP(AM99,'Writing Logic'!$A$3:$B$7,2,FALSE)),AVERAGE(VLOOKUP(AJ99,'Writing Logic'!$A$3:$B$7,2,FALSE),VLOOKUP(AK99,'Writing Logic'!$A$3:$B$7,2,FALSE),VLOOKUP(AL99,'Writing Logic'!$A$3:$B$7,2,FALSE),VLOOKUP(AM99,'Writing Logic'!$A$3:$B$7,2,FALSE))))),"Fill All 4")</f>
        <v>Fill All 4</v>
      </c>
      <c r="AO99" s="95" t="str">
        <f t="shared" si="8"/>
        <v/>
      </c>
      <c r="AP99" s="120"/>
      <c r="AQ99" s="120"/>
      <c r="AR99" s="120"/>
      <c r="AS99" s="120"/>
      <c r="AT99" s="95" t="str">
        <f>IFERROR(IF(YES_Writing_ELA[[#This Row],[Literacy IPP]]='Writing Logic'!$E$26,"IPP",IF(OR(AP99="EAL",AQ99="EAL",AR99="EAL",AS99="EAL"),"EAL",IF(AP99='Writing Logic'!$A$10,AVERAGE(VLOOKUP(AQ99,'Writing Logic'!$A$3:$B$7,2,FALSE),VLOOKUP(AR99,'Writing Logic'!$A$3:$B$7,2,FALSE),VLOOKUP(AS99,'Writing Logic'!$A$3:$B$7,2,FALSE)),AVERAGE(VLOOKUP(AP99,'Writing Logic'!$A$3:$B$7,2,FALSE),VLOOKUP(AQ99,'Writing Logic'!$A$3:$B$7,2,FALSE),VLOOKUP(AR99,'Writing Logic'!$A$3:$B$7,2,FALSE),VLOOKUP(AS99,'Writing Logic'!$A$3:$B$7,2,FALSE))))),"Fill All 4")</f>
        <v>Fill All 4</v>
      </c>
      <c r="AU99" s="95" t="str">
        <f t="shared" si="9"/>
        <v/>
      </c>
    </row>
    <row r="100" spans="1:47" x14ac:dyDescent="0.25">
      <c r="A100" s="13"/>
      <c r="B100" s="13"/>
      <c r="C100" s="13"/>
      <c r="D100" s="13"/>
      <c r="E100" s="13"/>
      <c r="F100" s="13"/>
      <c r="G100" s="13"/>
      <c r="H100" s="13"/>
      <c r="I100" s="13"/>
      <c r="J100" s="13"/>
      <c r="K100" s="183"/>
      <c r="L100" s="184"/>
      <c r="M100" s="120"/>
      <c r="N100" s="120"/>
      <c r="O100" s="120"/>
      <c r="P100" s="120"/>
      <c r="Q100" s="95" t="str">
        <f>IFERROR(IF(YES_Writing_ELA[[#This Row],[Literacy IPP]]='Writing Logic'!$E$26,"IPP",IF(OR(M100="EAL",N100="EAL",O100="EAL",P100="EAL"),"EAL",IF(M100='Writing Logic'!$A$10,AVERAGE(VLOOKUP(N100,'Writing Logic'!$A$3:$B$7,2,FALSE),VLOOKUP(O100,'Writing Logic'!$A$3:$B$7,2,FALSE),VLOOKUP(P100,'Writing Logic'!$A$3:$B$7,2,FALSE)),AVERAGE(VLOOKUP(M100,'Writing Logic'!$A$3:$B$7,2,FALSE),VLOOKUP(N100,'Writing Logic'!$A$3:$B$7,2,FALSE),VLOOKUP(O100,'Writing Logic'!$A$3:$B$7,2,FALSE),VLOOKUP(P100,'Writing Logic'!$A$3:$B$7,2,FALSE))))),"Fill All 4")</f>
        <v>Fill All 4</v>
      </c>
      <c r="R100" s="120"/>
      <c r="S100" s="120"/>
      <c r="T100" s="120"/>
      <c r="U100" s="120"/>
      <c r="V100" s="95" t="str">
        <f>IFERROR(IF(YES_Writing_ELA[[#This Row],[Literacy IPP]]='Writing Logic'!$E$26,"IPP",IF(OR(R100="EAL",S100="EAL",T100="EAL",U100="EAL"),"EAL",IF(R100='Writing Logic'!$A$10,AVERAGE(VLOOKUP(S100,'Writing Logic'!$A$3:$B$7,2,FALSE),VLOOKUP(T100,'Writing Logic'!$A$3:$B$7,2,FALSE),VLOOKUP(U100,'Writing Logic'!$A$3:$B$7,2,FALSE)),AVERAGE(VLOOKUP(R100,'Writing Logic'!$A$3:$B$7,2,FALSE),VLOOKUP(S100,'Writing Logic'!$A$3:$B$7,2,FALSE),VLOOKUP(T100,'Writing Logic'!$A$3:$B$7,2,FALSE),VLOOKUP(U100,'Writing Logic'!$A$3:$B$7,2,FALSE))))),"Fill All 4")</f>
        <v>Fill All 4</v>
      </c>
      <c r="W100" s="95" t="str">
        <f t="shared" si="5"/>
        <v/>
      </c>
      <c r="X100" s="120"/>
      <c r="Y100" s="120"/>
      <c r="Z100" s="120"/>
      <c r="AA100" s="120"/>
      <c r="AB100" s="95" t="str">
        <f>IFERROR(IF(YES_Writing_ELA[[#This Row],[Literacy IPP]]='Writing Logic'!$E$26,"IPP",IF(OR(X100="EAL",Y100="EAL",Z100="EAL",AA100="EAL"),"EAL",IF(X100='Writing Logic'!$A$10,AVERAGE(VLOOKUP(Y100,'Writing Logic'!$A$3:$B$7,2,FALSE),VLOOKUP(Z100,'Writing Logic'!$A$3:$B$7,2,FALSE),VLOOKUP(AA100,'Writing Logic'!$A$3:$B$7,2,FALSE)),AVERAGE(VLOOKUP(X100,'Writing Logic'!$A$3:$B$7,2,FALSE),VLOOKUP(Y100,'Writing Logic'!$A$3:$B$7,2,FALSE),VLOOKUP(Z100,'Writing Logic'!$A$3:$B$7,2,FALSE),VLOOKUP(AA100,'Writing Logic'!$A$3:$B$7,2,FALSE))))),"Fill All 4")</f>
        <v>Fill All 4</v>
      </c>
      <c r="AC100" s="95" t="str">
        <f t="shared" si="6"/>
        <v/>
      </c>
      <c r="AD100" s="120"/>
      <c r="AE100" s="120"/>
      <c r="AF100" s="120"/>
      <c r="AG100" s="120"/>
      <c r="AH100" s="95" t="str">
        <f>IFERROR(IF(YES_Writing_ELA[[#This Row],[Literacy IPP]]='Writing Logic'!$E$26,"IPP",IF(OR(AD100="EAL",AE100="EAL",AF100="EAL",AG100="EAL"),"EAL",IF(AD100='Writing Logic'!$A$10,AVERAGE(VLOOKUP(AE100,'Writing Logic'!$A$3:$B$7,2,FALSE),VLOOKUP(AF100,'Writing Logic'!$A$3:$B$7,2,FALSE),VLOOKUP(AG100,'Writing Logic'!$A$3:$B$7,2,FALSE)),AVERAGE(VLOOKUP(AD100,'Writing Logic'!$A$3:$B$7,2,FALSE),VLOOKUP(AE100,'Writing Logic'!$A$3:$B$7,2,FALSE),VLOOKUP(AF100,'Writing Logic'!$A$3:$B$7,2,FALSE),VLOOKUP(AG100,'Writing Logic'!$A$3:$B$7,2,FALSE))))),"Fill All 4")</f>
        <v>Fill All 4</v>
      </c>
      <c r="AI100" s="95" t="str">
        <f t="shared" si="7"/>
        <v/>
      </c>
      <c r="AJ100" s="183"/>
      <c r="AK100" s="120"/>
      <c r="AL100" s="120"/>
      <c r="AM100" s="120"/>
      <c r="AN100" s="95" t="str">
        <f>IFERROR(IF(YES_Writing_ELA[[#This Row],[Literacy IPP]]='Writing Logic'!$E$26,"IPP",IF(OR(AJ100="EAL",AK100="EAL",AL100="EAL",AM100="EAL"),"EAL",IF(AJ100='Writing Logic'!$A$10,AVERAGE(VLOOKUP(AK100,'Writing Logic'!$A$3:$B$7,2,FALSE),VLOOKUP(AL100,'Writing Logic'!$A$3:$B$7,2,FALSE),VLOOKUP(AM100,'Writing Logic'!$A$3:$B$7,2,FALSE)),AVERAGE(VLOOKUP(AJ100,'Writing Logic'!$A$3:$B$7,2,FALSE),VLOOKUP(AK100,'Writing Logic'!$A$3:$B$7,2,FALSE),VLOOKUP(AL100,'Writing Logic'!$A$3:$B$7,2,FALSE),VLOOKUP(AM100,'Writing Logic'!$A$3:$B$7,2,FALSE))))),"Fill All 4")</f>
        <v>Fill All 4</v>
      </c>
      <c r="AO100" s="95" t="str">
        <f t="shared" si="8"/>
        <v/>
      </c>
      <c r="AP100" s="120"/>
      <c r="AQ100" s="120"/>
      <c r="AR100" s="120"/>
      <c r="AS100" s="120"/>
      <c r="AT100" s="95" t="str">
        <f>IFERROR(IF(YES_Writing_ELA[[#This Row],[Literacy IPP]]='Writing Logic'!$E$26,"IPP",IF(OR(AP100="EAL",AQ100="EAL",AR100="EAL",AS100="EAL"),"EAL",IF(AP100='Writing Logic'!$A$10,AVERAGE(VLOOKUP(AQ100,'Writing Logic'!$A$3:$B$7,2,FALSE),VLOOKUP(AR100,'Writing Logic'!$A$3:$B$7,2,FALSE),VLOOKUP(AS100,'Writing Logic'!$A$3:$B$7,2,FALSE)),AVERAGE(VLOOKUP(AP100,'Writing Logic'!$A$3:$B$7,2,FALSE),VLOOKUP(AQ100,'Writing Logic'!$A$3:$B$7,2,FALSE),VLOOKUP(AR100,'Writing Logic'!$A$3:$B$7,2,FALSE),VLOOKUP(AS100,'Writing Logic'!$A$3:$B$7,2,FALSE))))),"Fill All 4")</f>
        <v>Fill All 4</v>
      </c>
      <c r="AU100" s="95" t="str">
        <f t="shared" si="9"/>
        <v/>
      </c>
    </row>
    <row r="101" spans="1:47" x14ac:dyDescent="0.25">
      <c r="A101" s="13"/>
      <c r="B101" s="13"/>
      <c r="C101" s="13"/>
      <c r="D101" s="13"/>
      <c r="E101" s="13"/>
      <c r="F101" s="13"/>
      <c r="G101" s="13"/>
      <c r="H101" s="13"/>
      <c r="I101" s="13"/>
      <c r="J101" s="13"/>
      <c r="K101" s="183"/>
      <c r="L101" s="184"/>
      <c r="M101" s="120"/>
      <c r="N101" s="120"/>
      <c r="O101" s="120"/>
      <c r="P101" s="120"/>
      <c r="Q101" s="95" t="str">
        <f>IFERROR(IF(YES_Writing_ELA[[#This Row],[Literacy IPP]]='Writing Logic'!$E$26,"IPP",IF(OR(M101="EAL",N101="EAL",O101="EAL",P101="EAL"),"EAL",IF(M101='Writing Logic'!$A$10,AVERAGE(VLOOKUP(N101,'Writing Logic'!$A$3:$B$7,2,FALSE),VLOOKUP(O101,'Writing Logic'!$A$3:$B$7,2,FALSE),VLOOKUP(P101,'Writing Logic'!$A$3:$B$7,2,FALSE)),AVERAGE(VLOOKUP(M101,'Writing Logic'!$A$3:$B$7,2,FALSE),VLOOKUP(N101,'Writing Logic'!$A$3:$B$7,2,FALSE),VLOOKUP(O101,'Writing Logic'!$A$3:$B$7,2,FALSE),VLOOKUP(P101,'Writing Logic'!$A$3:$B$7,2,FALSE))))),"Fill All 4")</f>
        <v>Fill All 4</v>
      </c>
      <c r="R101" s="120"/>
      <c r="S101" s="120"/>
      <c r="T101" s="120"/>
      <c r="U101" s="120"/>
      <c r="V101" s="95" t="str">
        <f>IFERROR(IF(YES_Writing_ELA[[#This Row],[Literacy IPP]]='Writing Logic'!$E$26,"IPP",IF(OR(R101="EAL",S101="EAL",T101="EAL",U101="EAL"),"EAL",IF(R101='Writing Logic'!$A$10,AVERAGE(VLOOKUP(S101,'Writing Logic'!$A$3:$B$7,2,FALSE),VLOOKUP(T101,'Writing Logic'!$A$3:$B$7,2,FALSE),VLOOKUP(U101,'Writing Logic'!$A$3:$B$7,2,FALSE)),AVERAGE(VLOOKUP(R101,'Writing Logic'!$A$3:$B$7,2,FALSE),VLOOKUP(S101,'Writing Logic'!$A$3:$B$7,2,FALSE),VLOOKUP(T101,'Writing Logic'!$A$3:$B$7,2,FALSE),VLOOKUP(U101,'Writing Logic'!$A$3:$B$7,2,FALSE))))),"Fill All 4")</f>
        <v>Fill All 4</v>
      </c>
      <c r="W101" s="95" t="str">
        <f t="shared" si="5"/>
        <v/>
      </c>
      <c r="X101" s="120"/>
      <c r="Y101" s="120"/>
      <c r="Z101" s="120"/>
      <c r="AA101" s="120"/>
      <c r="AB101" s="95" t="str">
        <f>IFERROR(IF(YES_Writing_ELA[[#This Row],[Literacy IPP]]='Writing Logic'!$E$26,"IPP",IF(OR(X101="EAL",Y101="EAL",Z101="EAL",AA101="EAL"),"EAL",IF(X101='Writing Logic'!$A$10,AVERAGE(VLOOKUP(Y101,'Writing Logic'!$A$3:$B$7,2,FALSE),VLOOKUP(Z101,'Writing Logic'!$A$3:$B$7,2,FALSE),VLOOKUP(AA101,'Writing Logic'!$A$3:$B$7,2,FALSE)),AVERAGE(VLOOKUP(X101,'Writing Logic'!$A$3:$B$7,2,FALSE),VLOOKUP(Y101,'Writing Logic'!$A$3:$B$7,2,FALSE),VLOOKUP(Z101,'Writing Logic'!$A$3:$B$7,2,FALSE),VLOOKUP(AA101,'Writing Logic'!$A$3:$B$7,2,FALSE))))),"Fill All 4")</f>
        <v>Fill All 4</v>
      </c>
      <c r="AC101" s="95" t="str">
        <f t="shared" si="6"/>
        <v/>
      </c>
      <c r="AD101" s="120"/>
      <c r="AE101" s="120"/>
      <c r="AF101" s="120"/>
      <c r="AG101" s="120"/>
      <c r="AH101" s="95" t="str">
        <f>IFERROR(IF(YES_Writing_ELA[[#This Row],[Literacy IPP]]='Writing Logic'!$E$26,"IPP",IF(OR(AD101="EAL",AE101="EAL",AF101="EAL",AG101="EAL"),"EAL",IF(AD101='Writing Logic'!$A$10,AVERAGE(VLOOKUP(AE101,'Writing Logic'!$A$3:$B$7,2,FALSE),VLOOKUP(AF101,'Writing Logic'!$A$3:$B$7,2,FALSE),VLOOKUP(AG101,'Writing Logic'!$A$3:$B$7,2,FALSE)),AVERAGE(VLOOKUP(AD101,'Writing Logic'!$A$3:$B$7,2,FALSE),VLOOKUP(AE101,'Writing Logic'!$A$3:$B$7,2,FALSE),VLOOKUP(AF101,'Writing Logic'!$A$3:$B$7,2,FALSE),VLOOKUP(AG101,'Writing Logic'!$A$3:$B$7,2,FALSE))))),"Fill All 4")</f>
        <v>Fill All 4</v>
      </c>
      <c r="AI101" s="95" t="str">
        <f t="shared" si="7"/>
        <v/>
      </c>
      <c r="AJ101" s="183"/>
      <c r="AK101" s="120"/>
      <c r="AL101" s="120"/>
      <c r="AM101" s="120"/>
      <c r="AN101" s="95" t="str">
        <f>IFERROR(IF(YES_Writing_ELA[[#This Row],[Literacy IPP]]='Writing Logic'!$E$26,"IPP",IF(OR(AJ101="EAL",AK101="EAL",AL101="EAL",AM101="EAL"),"EAL",IF(AJ101='Writing Logic'!$A$10,AVERAGE(VLOOKUP(AK101,'Writing Logic'!$A$3:$B$7,2,FALSE),VLOOKUP(AL101,'Writing Logic'!$A$3:$B$7,2,FALSE),VLOOKUP(AM101,'Writing Logic'!$A$3:$B$7,2,FALSE)),AVERAGE(VLOOKUP(AJ101,'Writing Logic'!$A$3:$B$7,2,FALSE),VLOOKUP(AK101,'Writing Logic'!$A$3:$B$7,2,FALSE),VLOOKUP(AL101,'Writing Logic'!$A$3:$B$7,2,FALSE),VLOOKUP(AM101,'Writing Logic'!$A$3:$B$7,2,FALSE))))),"Fill All 4")</f>
        <v>Fill All 4</v>
      </c>
      <c r="AO101" s="95" t="str">
        <f t="shared" si="8"/>
        <v/>
      </c>
      <c r="AP101" s="120"/>
      <c r="AQ101" s="120"/>
      <c r="AR101" s="120"/>
      <c r="AS101" s="120"/>
      <c r="AT101" s="95" t="str">
        <f>IFERROR(IF(YES_Writing_ELA[[#This Row],[Literacy IPP]]='Writing Logic'!$E$26,"IPP",IF(OR(AP101="EAL",AQ101="EAL",AR101="EAL",AS101="EAL"),"EAL",IF(AP101='Writing Logic'!$A$10,AVERAGE(VLOOKUP(AQ101,'Writing Logic'!$A$3:$B$7,2,FALSE),VLOOKUP(AR101,'Writing Logic'!$A$3:$B$7,2,FALSE),VLOOKUP(AS101,'Writing Logic'!$A$3:$B$7,2,FALSE)),AVERAGE(VLOOKUP(AP101,'Writing Logic'!$A$3:$B$7,2,FALSE),VLOOKUP(AQ101,'Writing Logic'!$A$3:$B$7,2,FALSE),VLOOKUP(AR101,'Writing Logic'!$A$3:$B$7,2,FALSE),VLOOKUP(AS101,'Writing Logic'!$A$3:$B$7,2,FALSE))))),"Fill All 4")</f>
        <v>Fill All 4</v>
      </c>
      <c r="AU101" s="95" t="str">
        <f t="shared" si="9"/>
        <v/>
      </c>
    </row>
    <row r="102" spans="1:47" x14ac:dyDescent="0.25">
      <c r="A102" s="13"/>
      <c r="B102" s="13"/>
      <c r="C102" s="13"/>
      <c r="D102" s="13"/>
      <c r="E102" s="13"/>
      <c r="F102" s="13"/>
      <c r="G102" s="13"/>
      <c r="H102" s="13"/>
      <c r="I102" s="13"/>
      <c r="J102" s="13"/>
      <c r="K102" s="183"/>
      <c r="L102" s="184"/>
      <c r="M102" s="120"/>
      <c r="N102" s="120"/>
      <c r="O102" s="120"/>
      <c r="P102" s="120"/>
      <c r="Q102" s="95" t="str">
        <f>IFERROR(IF(YES_Writing_ELA[[#This Row],[Literacy IPP]]='Writing Logic'!$E$26,"IPP",IF(OR(M102="EAL",N102="EAL",O102="EAL",P102="EAL"),"EAL",IF(M102='Writing Logic'!$A$10,AVERAGE(VLOOKUP(N102,'Writing Logic'!$A$3:$B$7,2,FALSE),VLOOKUP(O102,'Writing Logic'!$A$3:$B$7,2,FALSE),VLOOKUP(P102,'Writing Logic'!$A$3:$B$7,2,FALSE)),AVERAGE(VLOOKUP(M102,'Writing Logic'!$A$3:$B$7,2,FALSE),VLOOKUP(N102,'Writing Logic'!$A$3:$B$7,2,FALSE),VLOOKUP(O102,'Writing Logic'!$A$3:$B$7,2,FALSE),VLOOKUP(P102,'Writing Logic'!$A$3:$B$7,2,FALSE))))),"Fill All 4")</f>
        <v>Fill All 4</v>
      </c>
      <c r="R102" s="120"/>
      <c r="S102" s="120"/>
      <c r="T102" s="120"/>
      <c r="U102" s="120"/>
      <c r="V102" s="95" t="str">
        <f>IFERROR(IF(YES_Writing_ELA[[#This Row],[Literacy IPP]]='Writing Logic'!$E$26,"IPP",IF(OR(R102="EAL",S102="EAL",T102="EAL",U102="EAL"),"EAL",IF(R102='Writing Logic'!$A$10,AVERAGE(VLOOKUP(S102,'Writing Logic'!$A$3:$B$7,2,FALSE),VLOOKUP(T102,'Writing Logic'!$A$3:$B$7,2,FALSE),VLOOKUP(U102,'Writing Logic'!$A$3:$B$7,2,FALSE)),AVERAGE(VLOOKUP(R102,'Writing Logic'!$A$3:$B$7,2,FALSE),VLOOKUP(S102,'Writing Logic'!$A$3:$B$7,2,FALSE),VLOOKUP(T102,'Writing Logic'!$A$3:$B$7,2,FALSE),VLOOKUP(U102,'Writing Logic'!$A$3:$B$7,2,FALSE))))),"Fill All 4")</f>
        <v>Fill All 4</v>
      </c>
      <c r="W102" s="95" t="str">
        <f t="shared" si="5"/>
        <v/>
      </c>
      <c r="X102" s="120"/>
      <c r="Y102" s="120"/>
      <c r="Z102" s="120"/>
      <c r="AA102" s="120"/>
      <c r="AB102" s="95" t="str">
        <f>IFERROR(IF(YES_Writing_ELA[[#This Row],[Literacy IPP]]='Writing Logic'!$E$26,"IPP",IF(OR(X102="EAL",Y102="EAL",Z102="EAL",AA102="EAL"),"EAL",IF(X102='Writing Logic'!$A$10,AVERAGE(VLOOKUP(Y102,'Writing Logic'!$A$3:$B$7,2,FALSE),VLOOKUP(Z102,'Writing Logic'!$A$3:$B$7,2,FALSE),VLOOKUP(AA102,'Writing Logic'!$A$3:$B$7,2,FALSE)),AVERAGE(VLOOKUP(X102,'Writing Logic'!$A$3:$B$7,2,FALSE),VLOOKUP(Y102,'Writing Logic'!$A$3:$B$7,2,FALSE),VLOOKUP(Z102,'Writing Logic'!$A$3:$B$7,2,FALSE),VLOOKUP(AA102,'Writing Logic'!$A$3:$B$7,2,FALSE))))),"Fill All 4")</f>
        <v>Fill All 4</v>
      </c>
      <c r="AC102" s="95" t="str">
        <f t="shared" si="6"/>
        <v/>
      </c>
      <c r="AD102" s="120"/>
      <c r="AE102" s="120"/>
      <c r="AF102" s="120"/>
      <c r="AG102" s="120"/>
      <c r="AH102" s="95" t="str">
        <f>IFERROR(IF(YES_Writing_ELA[[#This Row],[Literacy IPP]]='Writing Logic'!$E$26,"IPP",IF(OR(AD102="EAL",AE102="EAL",AF102="EAL",AG102="EAL"),"EAL",IF(AD102='Writing Logic'!$A$10,AVERAGE(VLOOKUP(AE102,'Writing Logic'!$A$3:$B$7,2,FALSE),VLOOKUP(AF102,'Writing Logic'!$A$3:$B$7,2,FALSE),VLOOKUP(AG102,'Writing Logic'!$A$3:$B$7,2,FALSE)),AVERAGE(VLOOKUP(AD102,'Writing Logic'!$A$3:$B$7,2,FALSE),VLOOKUP(AE102,'Writing Logic'!$A$3:$B$7,2,FALSE),VLOOKUP(AF102,'Writing Logic'!$A$3:$B$7,2,FALSE),VLOOKUP(AG102,'Writing Logic'!$A$3:$B$7,2,FALSE))))),"Fill All 4")</f>
        <v>Fill All 4</v>
      </c>
      <c r="AI102" s="95" t="str">
        <f t="shared" si="7"/>
        <v/>
      </c>
      <c r="AJ102" s="183"/>
      <c r="AK102" s="120"/>
      <c r="AL102" s="120"/>
      <c r="AM102" s="120"/>
      <c r="AN102" s="95" t="str">
        <f>IFERROR(IF(YES_Writing_ELA[[#This Row],[Literacy IPP]]='Writing Logic'!$E$26,"IPP",IF(OR(AJ102="EAL",AK102="EAL",AL102="EAL",AM102="EAL"),"EAL",IF(AJ102='Writing Logic'!$A$10,AVERAGE(VLOOKUP(AK102,'Writing Logic'!$A$3:$B$7,2,FALSE),VLOOKUP(AL102,'Writing Logic'!$A$3:$B$7,2,FALSE),VLOOKUP(AM102,'Writing Logic'!$A$3:$B$7,2,FALSE)),AVERAGE(VLOOKUP(AJ102,'Writing Logic'!$A$3:$B$7,2,FALSE),VLOOKUP(AK102,'Writing Logic'!$A$3:$B$7,2,FALSE),VLOOKUP(AL102,'Writing Logic'!$A$3:$B$7,2,FALSE),VLOOKUP(AM102,'Writing Logic'!$A$3:$B$7,2,FALSE))))),"Fill All 4")</f>
        <v>Fill All 4</v>
      </c>
      <c r="AO102" s="95" t="str">
        <f t="shared" si="8"/>
        <v/>
      </c>
      <c r="AP102" s="120"/>
      <c r="AQ102" s="120"/>
      <c r="AR102" s="120"/>
      <c r="AS102" s="120"/>
      <c r="AT102" s="95" t="str">
        <f>IFERROR(IF(YES_Writing_ELA[[#This Row],[Literacy IPP]]='Writing Logic'!$E$26,"IPP",IF(OR(AP102="EAL",AQ102="EAL",AR102="EAL",AS102="EAL"),"EAL",IF(AP102='Writing Logic'!$A$10,AVERAGE(VLOOKUP(AQ102,'Writing Logic'!$A$3:$B$7,2,FALSE),VLOOKUP(AR102,'Writing Logic'!$A$3:$B$7,2,FALSE),VLOOKUP(AS102,'Writing Logic'!$A$3:$B$7,2,FALSE)),AVERAGE(VLOOKUP(AP102,'Writing Logic'!$A$3:$B$7,2,FALSE),VLOOKUP(AQ102,'Writing Logic'!$A$3:$B$7,2,FALSE),VLOOKUP(AR102,'Writing Logic'!$A$3:$B$7,2,FALSE),VLOOKUP(AS102,'Writing Logic'!$A$3:$B$7,2,FALSE))))),"Fill All 4")</f>
        <v>Fill All 4</v>
      </c>
      <c r="AU102" s="95" t="str">
        <f t="shared" si="9"/>
        <v/>
      </c>
    </row>
    <row r="103" spans="1:47" x14ac:dyDescent="0.25">
      <c r="A103" s="13"/>
      <c r="B103" s="13"/>
      <c r="C103" s="13"/>
      <c r="D103" s="13"/>
      <c r="E103" s="13"/>
      <c r="F103" s="13"/>
      <c r="G103" s="13"/>
      <c r="H103" s="13"/>
      <c r="I103" s="13"/>
      <c r="J103" s="13"/>
      <c r="K103" s="183"/>
      <c r="L103" s="184"/>
      <c r="M103" s="120"/>
      <c r="N103" s="120"/>
      <c r="O103" s="120"/>
      <c r="P103" s="120"/>
      <c r="Q103" s="95" t="str">
        <f>IFERROR(IF(YES_Writing_ELA[[#This Row],[Literacy IPP]]='Writing Logic'!$E$26,"IPP",IF(OR(M103="EAL",N103="EAL",O103="EAL",P103="EAL"),"EAL",IF(M103='Writing Logic'!$A$10,AVERAGE(VLOOKUP(N103,'Writing Logic'!$A$3:$B$7,2,FALSE),VLOOKUP(O103,'Writing Logic'!$A$3:$B$7,2,FALSE),VLOOKUP(P103,'Writing Logic'!$A$3:$B$7,2,FALSE)),AVERAGE(VLOOKUP(M103,'Writing Logic'!$A$3:$B$7,2,FALSE),VLOOKUP(N103,'Writing Logic'!$A$3:$B$7,2,FALSE),VLOOKUP(O103,'Writing Logic'!$A$3:$B$7,2,FALSE),VLOOKUP(P103,'Writing Logic'!$A$3:$B$7,2,FALSE))))),"Fill All 4")</f>
        <v>Fill All 4</v>
      </c>
      <c r="R103" s="120"/>
      <c r="S103" s="120"/>
      <c r="T103" s="120"/>
      <c r="U103" s="120"/>
      <c r="V103" s="95" t="str">
        <f>IFERROR(IF(YES_Writing_ELA[[#This Row],[Literacy IPP]]='Writing Logic'!$E$26,"IPP",IF(OR(R103="EAL",S103="EAL",T103="EAL",U103="EAL"),"EAL",IF(R103='Writing Logic'!$A$10,AVERAGE(VLOOKUP(S103,'Writing Logic'!$A$3:$B$7,2,FALSE),VLOOKUP(T103,'Writing Logic'!$A$3:$B$7,2,FALSE),VLOOKUP(U103,'Writing Logic'!$A$3:$B$7,2,FALSE)),AVERAGE(VLOOKUP(R103,'Writing Logic'!$A$3:$B$7,2,FALSE),VLOOKUP(S103,'Writing Logic'!$A$3:$B$7,2,FALSE),VLOOKUP(T103,'Writing Logic'!$A$3:$B$7,2,FALSE),VLOOKUP(U103,'Writing Logic'!$A$3:$B$7,2,FALSE))))),"Fill All 4")</f>
        <v>Fill All 4</v>
      </c>
      <c r="W103" s="95" t="str">
        <f t="shared" si="5"/>
        <v/>
      </c>
      <c r="X103" s="120"/>
      <c r="Y103" s="120"/>
      <c r="Z103" s="120"/>
      <c r="AA103" s="120"/>
      <c r="AB103" s="95" t="str">
        <f>IFERROR(IF(YES_Writing_ELA[[#This Row],[Literacy IPP]]='Writing Logic'!$E$26,"IPP",IF(OR(X103="EAL",Y103="EAL",Z103="EAL",AA103="EAL"),"EAL",IF(X103='Writing Logic'!$A$10,AVERAGE(VLOOKUP(Y103,'Writing Logic'!$A$3:$B$7,2,FALSE),VLOOKUP(Z103,'Writing Logic'!$A$3:$B$7,2,FALSE),VLOOKUP(AA103,'Writing Logic'!$A$3:$B$7,2,FALSE)),AVERAGE(VLOOKUP(X103,'Writing Logic'!$A$3:$B$7,2,FALSE),VLOOKUP(Y103,'Writing Logic'!$A$3:$B$7,2,FALSE),VLOOKUP(Z103,'Writing Logic'!$A$3:$B$7,2,FALSE),VLOOKUP(AA103,'Writing Logic'!$A$3:$B$7,2,FALSE))))),"Fill All 4")</f>
        <v>Fill All 4</v>
      </c>
      <c r="AC103" s="95" t="str">
        <f t="shared" si="6"/>
        <v/>
      </c>
      <c r="AD103" s="120"/>
      <c r="AE103" s="120"/>
      <c r="AF103" s="120"/>
      <c r="AG103" s="120"/>
      <c r="AH103" s="95" t="str">
        <f>IFERROR(IF(YES_Writing_ELA[[#This Row],[Literacy IPP]]='Writing Logic'!$E$26,"IPP",IF(OR(AD103="EAL",AE103="EAL",AF103="EAL",AG103="EAL"),"EAL",IF(AD103='Writing Logic'!$A$10,AVERAGE(VLOOKUP(AE103,'Writing Logic'!$A$3:$B$7,2,FALSE),VLOOKUP(AF103,'Writing Logic'!$A$3:$B$7,2,FALSE),VLOOKUP(AG103,'Writing Logic'!$A$3:$B$7,2,FALSE)),AVERAGE(VLOOKUP(AD103,'Writing Logic'!$A$3:$B$7,2,FALSE),VLOOKUP(AE103,'Writing Logic'!$A$3:$B$7,2,FALSE),VLOOKUP(AF103,'Writing Logic'!$A$3:$B$7,2,FALSE),VLOOKUP(AG103,'Writing Logic'!$A$3:$B$7,2,FALSE))))),"Fill All 4")</f>
        <v>Fill All 4</v>
      </c>
      <c r="AI103" s="95" t="str">
        <f t="shared" si="7"/>
        <v/>
      </c>
      <c r="AJ103" s="183"/>
      <c r="AK103" s="120"/>
      <c r="AL103" s="120"/>
      <c r="AM103" s="120"/>
      <c r="AN103" s="95" t="str">
        <f>IFERROR(IF(YES_Writing_ELA[[#This Row],[Literacy IPP]]='Writing Logic'!$E$26,"IPP",IF(OR(AJ103="EAL",AK103="EAL",AL103="EAL",AM103="EAL"),"EAL",IF(AJ103='Writing Logic'!$A$10,AVERAGE(VLOOKUP(AK103,'Writing Logic'!$A$3:$B$7,2,FALSE),VLOOKUP(AL103,'Writing Logic'!$A$3:$B$7,2,FALSE),VLOOKUP(AM103,'Writing Logic'!$A$3:$B$7,2,FALSE)),AVERAGE(VLOOKUP(AJ103,'Writing Logic'!$A$3:$B$7,2,FALSE),VLOOKUP(AK103,'Writing Logic'!$A$3:$B$7,2,FALSE),VLOOKUP(AL103,'Writing Logic'!$A$3:$B$7,2,FALSE),VLOOKUP(AM103,'Writing Logic'!$A$3:$B$7,2,FALSE))))),"Fill All 4")</f>
        <v>Fill All 4</v>
      </c>
      <c r="AO103" s="95" t="str">
        <f t="shared" si="8"/>
        <v/>
      </c>
      <c r="AP103" s="120"/>
      <c r="AQ103" s="120"/>
      <c r="AR103" s="120"/>
      <c r="AS103" s="120"/>
      <c r="AT103" s="95" t="str">
        <f>IFERROR(IF(YES_Writing_ELA[[#This Row],[Literacy IPP]]='Writing Logic'!$E$26,"IPP",IF(OR(AP103="EAL",AQ103="EAL",AR103="EAL",AS103="EAL"),"EAL",IF(AP103='Writing Logic'!$A$10,AVERAGE(VLOOKUP(AQ103,'Writing Logic'!$A$3:$B$7,2,FALSE),VLOOKUP(AR103,'Writing Logic'!$A$3:$B$7,2,FALSE),VLOOKUP(AS103,'Writing Logic'!$A$3:$B$7,2,FALSE)),AVERAGE(VLOOKUP(AP103,'Writing Logic'!$A$3:$B$7,2,FALSE),VLOOKUP(AQ103,'Writing Logic'!$A$3:$B$7,2,FALSE),VLOOKUP(AR103,'Writing Logic'!$A$3:$B$7,2,FALSE),VLOOKUP(AS103,'Writing Logic'!$A$3:$B$7,2,FALSE))))),"Fill All 4")</f>
        <v>Fill All 4</v>
      </c>
      <c r="AU103" s="95" t="str">
        <f t="shared" si="9"/>
        <v/>
      </c>
    </row>
    <row r="104" spans="1:47" x14ac:dyDescent="0.25">
      <c r="A104" s="13"/>
      <c r="B104" s="13"/>
      <c r="C104" s="13"/>
      <c r="D104" s="13"/>
      <c r="E104" s="13"/>
      <c r="F104" s="13"/>
      <c r="G104" s="13"/>
      <c r="H104" s="13"/>
      <c r="I104" s="13"/>
      <c r="J104" s="13"/>
      <c r="K104" s="183"/>
      <c r="L104" s="184"/>
      <c r="M104" s="120"/>
      <c r="N104" s="120"/>
      <c r="O104" s="120"/>
      <c r="P104" s="120"/>
      <c r="Q104" s="95" t="str">
        <f>IFERROR(IF(YES_Writing_ELA[[#This Row],[Literacy IPP]]='Writing Logic'!$E$26,"IPP",IF(OR(M104="EAL",N104="EAL",O104="EAL",P104="EAL"),"EAL",IF(M104='Writing Logic'!$A$10,AVERAGE(VLOOKUP(N104,'Writing Logic'!$A$3:$B$7,2,FALSE),VLOOKUP(O104,'Writing Logic'!$A$3:$B$7,2,FALSE),VLOOKUP(P104,'Writing Logic'!$A$3:$B$7,2,FALSE)),AVERAGE(VLOOKUP(M104,'Writing Logic'!$A$3:$B$7,2,FALSE),VLOOKUP(N104,'Writing Logic'!$A$3:$B$7,2,FALSE),VLOOKUP(O104,'Writing Logic'!$A$3:$B$7,2,FALSE),VLOOKUP(P104,'Writing Logic'!$A$3:$B$7,2,FALSE))))),"Fill All 4")</f>
        <v>Fill All 4</v>
      </c>
      <c r="R104" s="120"/>
      <c r="S104" s="120"/>
      <c r="T104" s="120"/>
      <c r="U104" s="120"/>
      <c r="V104" s="95" t="str">
        <f>IFERROR(IF(YES_Writing_ELA[[#This Row],[Literacy IPP]]='Writing Logic'!$E$26,"IPP",IF(OR(R104="EAL",S104="EAL",T104="EAL",U104="EAL"),"EAL",IF(R104='Writing Logic'!$A$10,AVERAGE(VLOOKUP(S104,'Writing Logic'!$A$3:$B$7,2,FALSE),VLOOKUP(T104,'Writing Logic'!$A$3:$B$7,2,FALSE),VLOOKUP(U104,'Writing Logic'!$A$3:$B$7,2,FALSE)),AVERAGE(VLOOKUP(R104,'Writing Logic'!$A$3:$B$7,2,FALSE),VLOOKUP(S104,'Writing Logic'!$A$3:$B$7,2,FALSE),VLOOKUP(T104,'Writing Logic'!$A$3:$B$7,2,FALSE),VLOOKUP(U104,'Writing Logic'!$A$3:$B$7,2,FALSE))))),"Fill All 4")</f>
        <v>Fill All 4</v>
      </c>
      <c r="W104" s="95" t="str">
        <f t="shared" si="5"/>
        <v/>
      </c>
      <c r="X104" s="120"/>
      <c r="Y104" s="120"/>
      <c r="Z104" s="120"/>
      <c r="AA104" s="120"/>
      <c r="AB104" s="95" t="str">
        <f>IFERROR(IF(YES_Writing_ELA[[#This Row],[Literacy IPP]]='Writing Logic'!$E$26,"IPP",IF(OR(X104="EAL",Y104="EAL",Z104="EAL",AA104="EAL"),"EAL",IF(X104='Writing Logic'!$A$10,AVERAGE(VLOOKUP(Y104,'Writing Logic'!$A$3:$B$7,2,FALSE),VLOOKUP(Z104,'Writing Logic'!$A$3:$B$7,2,FALSE),VLOOKUP(AA104,'Writing Logic'!$A$3:$B$7,2,FALSE)),AVERAGE(VLOOKUP(X104,'Writing Logic'!$A$3:$B$7,2,FALSE),VLOOKUP(Y104,'Writing Logic'!$A$3:$B$7,2,FALSE),VLOOKUP(Z104,'Writing Logic'!$A$3:$B$7,2,FALSE),VLOOKUP(AA104,'Writing Logic'!$A$3:$B$7,2,FALSE))))),"Fill All 4")</f>
        <v>Fill All 4</v>
      </c>
      <c r="AC104" s="95" t="str">
        <f t="shared" si="6"/>
        <v/>
      </c>
      <c r="AD104" s="120"/>
      <c r="AE104" s="120"/>
      <c r="AF104" s="120"/>
      <c r="AG104" s="120"/>
      <c r="AH104" s="95" t="str">
        <f>IFERROR(IF(YES_Writing_ELA[[#This Row],[Literacy IPP]]='Writing Logic'!$E$26,"IPP",IF(OR(AD104="EAL",AE104="EAL",AF104="EAL",AG104="EAL"),"EAL",IF(AD104='Writing Logic'!$A$10,AVERAGE(VLOOKUP(AE104,'Writing Logic'!$A$3:$B$7,2,FALSE),VLOOKUP(AF104,'Writing Logic'!$A$3:$B$7,2,FALSE),VLOOKUP(AG104,'Writing Logic'!$A$3:$B$7,2,FALSE)),AVERAGE(VLOOKUP(AD104,'Writing Logic'!$A$3:$B$7,2,FALSE),VLOOKUP(AE104,'Writing Logic'!$A$3:$B$7,2,FALSE),VLOOKUP(AF104,'Writing Logic'!$A$3:$B$7,2,FALSE),VLOOKUP(AG104,'Writing Logic'!$A$3:$B$7,2,FALSE))))),"Fill All 4")</f>
        <v>Fill All 4</v>
      </c>
      <c r="AI104" s="95" t="str">
        <f t="shared" si="7"/>
        <v/>
      </c>
      <c r="AJ104" s="183"/>
      <c r="AK104" s="120"/>
      <c r="AL104" s="120"/>
      <c r="AM104" s="120"/>
      <c r="AN104" s="95" t="str">
        <f>IFERROR(IF(YES_Writing_ELA[[#This Row],[Literacy IPP]]='Writing Logic'!$E$26,"IPP",IF(OR(AJ104="EAL",AK104="EAL",AL104="EAL",AM104="EAL"),"EAL",IF(AJ104='Writing Logic'!$A$10,AVERAGE(VLOOKUP(AK104,'Writing Logic'!$A$3:$B$7,2,FALSE),VLOOKUP(AL104,'Writing Logic'!$A$3:$B$7,2,FALSE),VLOOKUP(AM104,'Writing Logic'!$A$3:$B$7,2,FALSE)),AVERAGE(VLOOKUP(AJ104,'Writing Logic'!$A$3:$B$7,2,FALSE),VLOOKUP(AK104,'Writing Logic'!$A$3:$B$7,2,FALSE),VLOOKUP(AL104,'Writing Logic'!$A$3:$B$7,2,FALSE),VLOOKUP(AM104,'Writing Logic'!$A$3:$B$7,2,FALSE))))),"Fill All 4")</f>
        <v>Fill All 4</v>
      </c>
      <c r="AO104" s="95" t="str">
        <f t="shared" si="8"/>
        <v/>
      </c>
      <c r="AP104" s="120"/>
      <c r="AQ104" s="120"/>
      <c r="AR104" s="120"/>
      <c r="AS104" s="120"/>
      <c r="AT104" s="95" t="str">
        <f>IFERROR(IF(YES_Writing_ELA[[#This Row],[Literacy IPP]]='Writing Logic'!$E$26,"IPP",IF(OR(AP104="EAL",AQ104="EAL",AR104="EAL",AS104="EAL"),"EAL",IF(AP104='Writing Logic'!$A$10,AVERAGE(VLOOKUP(AQ104,'Writing Logic'!$A$3:$B$7,2,FALSE),VLOOKUP(AR104,'Writing Logic'!$A$3:$B$7,2,FALSE),VLOOKUP(AS104,'Writing Logic'!$A$3:$B$7,2,FALSE)),AVERAGE(VLOOKUP(AP104,'Writing Logic'!$A$3:$B$7,2,FALSE),VLOOKUP(AQ104,'Writing Logic'!$A$3:$B$7,2,FALSE),VLOOKUP(AR104,'Writing Logic'!$A$3:$B$7,2,FALSE),VLOOKUP(AS104,'Writing Logic'!$A$3:$B$7,2,FALSE))))),"Fill All 4")</f>
        <v>Fill All 4</v>
      </c>
      <c r="AU104" s="95" t="str">
        <f t="shared" si="9"/>
        <v/>
      </c>
    </row>
    <row r="105" spans="1:47" x14ac:dyDescent="0.25">
      <c r="A105" s="13"/>
      <c r="B105" s="13"/>
      <c r="C105" s="13"/>
      <c r="D105" s="13"/>
      <c r="E105" s="13"/>
      <c r="F105" s="13"/>
      <c r="G105" s="13"/>
      <c r="H105" s="13"/>
      <c r="I105" s="13"/>
      <c r="J105" s="13"/>
      <c r="K105" s="183"/>
      <c r="L105" s="184"/>
      <c r="M105" s="120"/>
      <c r="N105" s="120"/>
      <c r="O105" s="120"/>
      <c r="P105" s="120"/>
      <c r="Q105" s="95" t="str">
        <f>IFERROR(IF(YES_Writing_ELA[[#This Row],[Literacy IPP]]='Writing Logic'!$E$26,"IPP",IF(OR(M105="EAL",N105="EAL",O105="EAL",P105="EAL"),"EAL",IF(M105='Writing Logic'!$A$10,AVERAGE(VLOOKUP(N105,'Writing Logic'!$A$3:$B$7,2,FALSE),VLOOKUP(O105,'Writing Logic'!$A$3:$B$7,2,FALSE),VLOOKUP(P105,'Writing Logic'!$A$3:$B$7,2,FALSE)),AVERAGE(VLOOKUP(M105,'Writing Logic'!$A$3:$B$7,2,FALSE),VLOOKUP(N105,'Writing Logic'!$A$3:$B$7,2,FALSE),VLOOKUP(O105,'Writing Logic'!$A$3:$B$7,2,FALSE),VLOOKUP(P105,'Writing Logic'!$A$3:$B$7,2,FALSE))))),"Fill All 4")</f>
        <v>Fill All 4</v>
      </c>
      <c r="R105" s="120"/>
      <c r="S105" s="120"/>
      <c r="T105" s="120"/>
      <c r="U105" s="120"/>
      <c r="V105" s="95" t="str">
        <f>IFERROR(IF(YES_Writing_ELA[[#This Row],[Literacy IPP]]='Writing Logic'!$E$26,"IPP",IF(OR(R105="EAL",S105="EAL",T105="EAL",U105="EAL"),"EAL",IF(R105='Writing Logic'!$A$10,AVERAGE(VLOOKUP(S105,'Writing Logic'!$A$3:$B$7,2,FALSE),VLOOKUP(T105,'Writing Logic'!$A$3:$B$7,2,FALSE),VLOOKUP(U105,'Writing Logic'!$A$3:$B$7,2,FALSE)),AVERAGE(VLOOKUP(R105,'Writing Logic'!$A$3:$B$7,2,FALSE),VLOOKUP(S105,'Writing Logic'!$A$3:$B$7,2,FALSE),VLOOKUP(T105,'Writing Logic'!$A$3:$B$7,2,FALSE),VLOOKUP(U105,'Writing Logic'!$A$3:$B$7,2,FALSE))))),"Fill All 4")</f>
        <v>Fill All 4</v>
      </c>
      <c r="W105" s="95" t="str">
        <f t="shared" si="5"/>
        <v/>
      </c>
      <c r="X105" s="120"/>
      <c r="Y105" s="120"/>
      <c r="Z105" s="120"/>
      <c r="AA105" s="120"/>
      <c r="AB105" s="95" t="str">
        <f>IFERROR(IF(YES_Writing_ELA[[#This Row],[Literacy IPP]]='Writing Logic'!$E$26,"IPP",IF(OR(X105="EAL",Y105="EAL",Z105="EAL",AA105="EAL"),"EAL",IF(X105='Writing Logic'!$A$10,AVERAGE(VLOOKUP(Y105,'Writing Logic'!$A$3:$B$7,2,FALSE),VLOOKUP(Z105,'Writing Logic'!$A$3:$B$7,2,FALSE),VLOOKUP(AA105,'Writing Logic'!$A$3:$B$7,2,FALSE)),AVERAGE(VLOOKUP(X105,'Writing Logic'!$A$3:$B$7,2,FALSE),VLOOKUP(Y105,'Writing Logic'!$A$3:$B$7,2,FALSE),VLOOKUP(Z105,'Writing Logic'!$A$3:$B$7,2,FALSE),VLOOKUP(AA105,'Writing Logic'!$A$3:$B$7,2,FALSE))))),"Fill All 4")</f>
        <v>Fill All 4</v>
      </c>
      <c r="AC105" s="95" t="str">
        <f t="shared" si="6"/>
        <v/>
      </c>
      <c r="AD105" s="120"/>
      <c r="AE105" s="120"/>
      <c r="AF105" s="120"/>
      <c r="AG105" s="120"/>
      <c r="AH105" s="95" t="str">
        <f>IFERROR(IF(YES_Writing_ELA[[#This Row],[Literacy IPP]]='Writing Logic'!$E$26,"IPP",IF(OR(AD105="EAL",AE105="EAL",AF105="EAL",AG105="EAL"),"EAL",IF(AD105='Writing Logic'!$A$10,AVERAGE(VLOOKUP(AE105,'Writing Logic'!$A$3:$B$7,2,FALSE),VLOOKUP(AF105,'Writing Logic'!$A$3:$B$7,2,FALSE),VLOOKUP(AG105,'Writing Logic'!$A$3:$B$7,2,FALSE)),AVERAGE(VLOOKUP(AD105,'Writing Logic'!$A$3:$B$7,2,FALSE),VLOOKUP(AE105,'Writing Logic'!$A$3:$B$7,2,FALSE),VLOOKUP(AF105,'Writing Logic'!$A$3:$B$7,2,FALSE),VLOOKUP(AG105,'Writing Logic'!$A$3:$B$7,2,FALSE))))),"Fill All 4")</f>
        <v>Fill All 4</v>
      </c>
      <c r="AI105" s="95" t="str">
        <f t="shared" si="7"/>
        <v/>
      </c>
      <c r="AJ105" s="183"/>
      <c r="AK105" s="120"/>
      <c r="AL105" s="120"/>
      <c r="AM105" s="120"/>
      <c r="AN105" s="95" t="str">
        <f>IFERROR(IF(YES_Writing_ELA[[#This Row],[Literacy IPP]]='Writing Logic'!$E$26,"IPP",IF(OR(AJ105="EAL",AK105="EAL",AL105="EAL",AM105="EAL"),"EAL",IF(AJ105='Writing Logic'!$A$10,AVERAGE(VLOOKUP(AK105,'Writing Logic'!$A$3:$B$7,2,FALSE),VLOOKUP(AL105,'Writing Logic'!$A$3:$B$7,2,FALSE),VLOOKUP(AM105,'Writing Logic'!$A$3:$B$7,2,FALSE)),AVERAGE(VLOOKUP(AJ105,'Writing Logic'!$A$3:$B$7,2,FALSE),VLOOKUP(AK105,'Writing Logic'!$A$3:$B$7,2,FALSE),VLOOKUP(AL105,'Writing Logic'!$A$3:$B$7,2,FALSE),VLOOKUP(AM105,'Writing Logic'!$A$3:$B$7,2,FALSE))))),"Fill All 4")</f>
        <v>Fill All 4</v>
      </c>
      <c r="AO105" s="95" t="str">
        <f t="shared" si="8"/>
        <v/>
      </c>
      <c r="AP105" s="120"/>
      <c r="AQ105" s="120"/>
      <c r="AR105" s="120"/>
      <c r="AS105" s="120"/>
      <c r="AT105" s="95" t="str">
        <f>IFERROR(IF(YES_Writing_ELA[[#This Row],[Literacy IPP]]='Writing Logic'!$E$26,"IPP",IF(OR(AP105="EAL",AQ105="EAL",AR105="EAL",AS105="EAL"),"EAL",IF(AP105='Writing Logic'!$A$10,AVERAGE(VLOOKUP(AQ105,'Writing Logic'!$A$3:$B$7,2,FALSE),VLOOKUP(AR105,'Writing Logic'!$A$3:$B$7,2,FALSE),VLOOKUP(AS105,'Writing Logic'!$A$3:$B$7,2,FALSE)),AVERAGE(VLOOKUP(AP105,'Writing Logic'!$A$3:$B$7,2,FALSE),VLOOKUP(AQ105,'Writing Logic'!$A$3:$B$7,2,FALSE),VLOOKUP(AR105,'Writing Logic'!$A$3:$B$7,2,FALSE),VLOOKUP(AS105,'Writing Logic'!$A$3:$B$7,2,FALSE))))),"Fill All 4")</f>
        <v>Fill All 4</v>
      </c>
      <c r="AU105" s="95" t="str">
        <f t="shared" si="9"/>
        <v/>
      </c>
    </row>
    <row r="106" spans="1:47" x14ac:dyDescent="0.25">
      <c r="A106" s="13"/>
      <c r="B106" s="13"/>
      <c r="C106" s="13"/>
      <c r="D106" s="13"/>
      <c r="E106" s="13"/>
      <c r="F106" s="13"/>
      <c r="G106" s="13"/>
      <c r="H106" s="13"/>
      <c r="I106" s="13"/>
      <c r="J106" s="13"/>
      <c r="K106" s="183"/>
      <c r="L106" s="184"/>
      <c r="M106" s="120"/>
      <c r="N106" s="120"/>
      <c r="O106" s="120"/>
      <c r="P106" s="120"/>
      <c r="Q106" s="95" t="str">
        <f>IFERROR(IF(YES_Writing_ELA[[#This Row],[Literacy IPP]]='Writing Logic'!$E$26,"IPP",IF(OR(M106="EAL",N106="EAL",O106="EAL",P106="EAL"),"EAL",IF(M106='Writing Logic'!$A$10,AVERAGE(VLOOKUP(N106,'Writing Logic'!$A$3:$B$7,2,FALSE),VLOOKUP(O106,'Writing Logic'!$A$3:$B$7,2,FALSE),VLOOKUP(P106,'Writing Logic'!$A$3:$B$7,2,FALSE)),AVERAGE(VLOOKUP(M106,'Writing Logic'!$A$3:$B$7,2,FALSE),VLOOKUP(N106,'Writing Logic'!$A$3:$B$7,2,FALSE),VLOOKUP(O106,'Writing Logic'!$A$3:$B$7,2,FALSE),VLOOKUP(P106,'Writing Logic'!$A$3:$B$7,2,FALSE))))),"Fill All 4")</f>
        <v>Fill All 4</v>
      </c>
      <c r="R106" s="120"/>
      <c r="S106" s="120"/>
      <c r="T106" s="120"/>
      <c r="U106" s="120"/>
      <c r="V106" s="95" t="str">
        <f>IFERROR(IF(YES_Writing_ELA[[#This Row],[Literacy IPP]]='Writing Logic'!$E$26,"IPP",IF(OR(R106="EAL",S106="EAL",T106="EAL",U106="EAL"),"EAL",IF(R106='Writing Logic'!$A$10,AVERAGE(VLOOKUP(S106,'Writing Logic'!$A$3:$B$7,2,FALSE),VLOOKUP(T106,'Writing Logic'!$A$3:$B$7,2,FALSE),VLOOKUP(U106,'Writing Logic'!$A$3:$B$7,2,FALSE)),AVERAGE(VLOOKUP(R106,'Writing Logic'!$A$3:$B$7,2,FALSE),VLOOKUP(S106,'Writing Logic'!$A$3:$B$7,2,FALSE),VLOOKUP(T106,'Writing Logic'!$A$3:$B$7,2,FALSE),VLOOKUP(U106,'Writing Logic'!$A$3:$B$7,2,FALSE))))),"Fill All 4")</f>
        <v>Fill All 4</v>
      </c>
      <c r="W106" s="95" t="str">
        <f t="shared" si="5"/>
        <v/>
      </c>
      <c r="X106" s="120"/>
      <c r="Y106" s="120"/>
      <c r="Z106" s="120"/>
      <c r="AA106" s="120"/>
      <c r="AB106" s="95" t="str">
        <f>IFERROR(IF(YES_Writing_ELA[[#This Row],[Literacy IPP]]='Writing Logic'!$E$26,"IPP",IF(OR(X106="EAL",Y106="EAL",Z106="EAL",AA106="EAL"),"EAL",IF(X106='Writing Logic'!$A$10,AVERAGE(VLOOKUP(Y106,'Writing Logic'!$A$3:$B$7,2,FALSE),VLOOKUP(Z106,'Writing Logic'!$A$3:$B$7,2,FALSE),VLOOKUP(AA106,'Writing Logic'!$A$3:$B$7,2,FALSE)),AVERAGE(VLOOKUP(X106,'Writing Logic'!$A$3:$B$7,2,FALSE),VLOOKUP(Y106,'Writing Logic'!$A$3:$B$7,2,FALSE),VLOOKUP(Z106,'Writing Logic'!$A$3:$B$7,2,FALSE),VLOOKUP(AA106,'Writing Logic'!$A$3:$B$7,2,FALSE))))),"Fill All 4")</f>
        <v>Fill All 4</v>
      </c>
      <c r="AC106" s="95" t="str">
        <f t="shared" si="6"/>
        <v/>
      </c>
      <c r="AD106" s="120"/>
      <c r="AE106" s="120"/>
      <c r="AF106" s="120"/>
      <c r="AG106" s="120"/>
      <c r="AH106" s="95" t="str">
        <f>IFERROR(IF(YES_Writing_ELA[[#This Row],[Literacy IPP]]='Writing Logic'!$E$26,"IPP",IF(OR(AD106="EAL",AE106="EAL",AF106="EAL",AG106="EAL"),"EAL",IF(AD106='Writing Logic'!$A$10,AVERAGE(VLOOKUP(AE106,'Writing Logic'!$A$3:$B$7,2,FALSE),VLOOKUP(AF106,'Writing Logic'!$A$3:$B$7,2,FALSE),VLOOKUP(AG106,'Writing Logic'!$A$3:$B$7,2,FALSE)),AVERAGE(VLOOKUP(AD106,'Writing Logic'!$A$3:$B$7,2,FALSE),VLOOKUP(AE106,'Writing Logic'!$A$3:$B$7,2,FALSE),VLOOKUP(AF106,'Writing Logic'!$A$3:$B$7,2,FALSE),VLOOKUP(AG106,'Writing Logic'!$A$3:$B$7,2,FALSE))))),"Fill All 4")</f>
        <v>Fill All 4</v>
      </c>
      <c r="AI106" s="95" t="str">
        <f t="shared" si="7"/>
        <v/>
      </c>
      <c r="AJ106" s="183"/>
      <c r="AK106" s="120"/>
      <c r="AL106" s="120"/>
      <c r="AM106" s="120"/>
      <c r="AN106" s="95" t="str">
        <f>IFERROR(IF(YES_Writing_ELA[[#This Row],[Literacy IPP]]='Writing Logic'!$E$26,"IPP",IF(OR(AJ106="EAL",AK106="EAL",AL106="EAL",AM106="EAL"),"EAL",IF(AJ106='Writing Logic'!$A$10,AVERAGE(VLOOKUP(AK106,'Writing Logic'!$A$3:$B$7,2,FALSE),VLOOKUP(AL106,'Writing Logic'!$A$3:$B$7,2,FALSE),VLOOKUP(AM106,'Writing Logic'!$A$3:$B$7,2,FALSE)),AVERAGE(VLOOKUP(AJ106,'Writing Logic'!$A$3:$B$7,2,FALSE),VLOOKUP(AK106,'Writing Logic'!$A$3:$B$7,2,FALSE),VLOOKUP(AL106,'Writing Logic'!$A$3:$B$7,2,FALSE),VLOOKUP(AM106,'Writing Logic'!$A$3:$B$7,2,FALSE))))),"Fill All 4")</f>
        <v>Fill All 4</v>
      </c>
      <c r="AO106" s="95" t="str">
        <f t="shared" si="8"/>
        <v/>
      </c>
      <c r="AP106" s="120"/>
      <c r="AQ106" s="120"/>
      <c r="AR106" s="120"/>
      <c r="AS106" s="120"/>
      <c r="AT106" s="95" t="str">
        <f>IFERROR(IF(YES_Writing_ELA[[#This Row],[Literacy IPP]]='Writing Logic'!$E$26,"IPP",IF(OR(AP106="EAL",AQ106="EAL",AR106="EAL",AS106="EAL"),"EAL",IF(AP106='Writing Logic'!$A$10,AVERAGE(VLOOKUP(AQ106,'Writing Logic'!$A$3:$B$7,2,FALSE),VLOOKUP(AR106,'Writing Logic'!$A$3:$B$7,2,FALSE),VLOOKUP(AS106,'Writing Logic'!$A$3:$B$7,2,FALSE)),AVERAGE(VLOOKUP(AP106,'Writing Logic'!$A$3:$B$7,2,FALSE),VLOOKUP(AQ106,'Writing Logic'!$A$3:$B$7,2,FALSE),VLOOKUP(AR106,'Writing Logic'!$A$3:$B$7,2,FALSE),VLOOKUP(AS106,'Writing Logic'!$A$3:$B$7,2,FALSE))))),"Fill All 4")</f>
        <v>Fill All 4</v>
      </c>
      <c r="AU106" s="95" t="str">
        <f t="shared" si="9"/>
        <v/>
      </c>
    </row>
    <row r="107" spans="1:47" x14ac:dyDescent="0.25">
      <c r="A107" s="13"/>
      <c r="B107" s="13"/>
      <c r="C107" s="13"/>
      <c r="D107" s="13"/>
      <c r="E107" s="13"/>
      <c r="F107" s="13"/>
      <c r="G107" s="13"/>
      <c r="H107" s="13"/>
      <c r="I107" s="13"/>
      <c r="J107" s="13"/>
      <c r="K107" s="183"/>
      <c r="L107" s="184"/>
      <c r="M107" s="120"/>
      <c r="N107" s="120"/>
      <c r="O107" s="120"/>
      <c r="P107" s="120"/>
      <c r="Q107" s="95" t="str">
        <f>IFERROR(IF(YES_Writing_ELA[[#This Row],[Literacy IPP]]='Writing Logic'!$E$26,"IPP",IF(OR(M107="EAL",N107="EAL",O107="EAL",P107="EAL"),"EAL",IF(M107='Writing Logic'!$A$10,AVERAGE(VLOOKUP(N107,'Writing Logic'!$A$3:$B$7,2,FALSE),VLOOKUP(O107,'Writing Logic'!$A$3:$B$7,2,FALSE),VLOOKUP(P107,'Writing Logic'!$A$3:$B$7,2,FALSE)),AVERAGE(VLOOKUP(M107,'Writing Logic'!$A$3:$B$7,2,FALSE),VLOOKUP(N107,'Writing Logic'!$A$3:$B$7,2,FALSE),VLOOKUP(O107,'Writing Logic'!$A$3:$B$7,2,FALSE),VLOOKUP(P107,'Writing Logic'!$A$3:$B$7,2,FALSE))))),"Fill All 4")</f>
        <v>Fill All 4</v>
      </c>
      <c r="R107" s="120"/>
      <c r="S107" s="120"/>
      <c r="T107" s="120"/>
      <c r="U107" s="120"/>
      <c r="V107" s="95" t="str">
        <f>IFERROR(IF(YES_Writing_ELA[[#This Row],[Literacy IPP]]='Writing Logic'!$E$26,"IPP",IF(OR(R107="EAL",S107="EAL",T107="EAL",U107="EAL"),"EAL",IF(R107='Writing Logic'!$A$10,AVERAGE(VLOOKUP(S107,'Writing Logic'!$A$3:$B$7,2,FALSE),VLOOKUP(T107,'Writing Logic'!$A$3:$B$7,2,FALSE),VLOOKUP(U107,'Writing Logic'!$A$3:$B$7,2,FALSE)),AVERAGE(VLOOKUP(R107,'Writing Logic'!$A$3:$B$7,2,FALSE),VLOOKUP(S107,'Writing Logic'!$A$3:$B$7,2,FALSE),VLOOKUP(T107,'Writing Logic'!$A$3:$B$7,2,FALSE),VLOOKUP(U107,'Writing Logic'!$A$3:$B$7,2,FALSE))))),"Fill All 4")</f>
        <v>Fill All 4</v>
      </c>
      <c r="W107" s="95" t="str">
        <f t="shared" si="5"/>
        <v/>
      </c>
      <c r="X107" s="120"/>
      <c r="Y107" s="120"/>
      <c r="Z107" s="120"/>
      <c r="AA107" s="120"/>
      <c r="AB107" s="95" t="str">
        <f>IFERROR(IF(YES_Writing_ELA[[#This Row],[Literacy IPP]]='Writing Logic'!$E$26,"IPP",IF(OR(X107="EAL",Y107="EAL",Z107="EAL",AA107="EAL"),"EAL",IF(X107='Writing Logic'!$A$10,AVERAGE(VLOOKUP(Y107,'Writing Logic'!$A$3:$B$7,2,FALSE),VLOOKUP(Z107,'Writing Logic'!$A$3:$B$7,2,FALSE),VLOOKUP(AA107,'Writing Logic'!$A$3:$B$7,2,FALSE)),AVERAGE(VLOOKUP(X107,'Writing Logic'!$A$3:$B$7,2,FALSE),VLOOKUP(Y107,'Writing Logic'!$A$3:$B$7,2,FALSE),VLOOKUP(Z107,'Writing Logic'!$A$3:$B$7,2,FALSE),VLOOKUP(AA107,'Writing Logic'!$A$3:$B$7,2,FALSE))))),"Fill All 4")</f>
        <v>Fill All 4</v>
      </c>
      <c r="AC107" s="95" t="str">
        <f t="shared" si="6"/>
        <v/>
      </c>
      <c r="AD107" s="120"/>
      <c r="AE107" s="120"/>
      <c r="AF107" s="120"/>
      <c r="AG107" s="120"/>
      <c r="AH107" s="95" t="str">
        <f>IFERROR(IF(YES_Writing_ELA[[#This Row],[Literacy IPP]]='Writing Logic'!$E$26,"IPP",IF(OR(AD107="EAL",AE107="EAL",AF107="EAL",AG107="EAL"),"EAL",IF(AD107='Writing Logic'!$A$10,AVERAGE(VLOOKUP(AE107,'Writing Logic'!$A$3:$B$7,2,FALSE),VLOOKUP(AF107,'Writing Logic'!$A$3:$B$7,2,FALSE),VLOOKUP(AG107,'Writing Logic'!$A$3:$B$7,2,FALSE)),AVERAGE(VLOOKUP(AD107,'Writing Logic'!$A$3:$B$7,2,FALSE),VLOOKUP(AE107,'Writing Logic'!$A$3:$B$7,2,FALSE),VLOOKUP(AF107,'Writing Logic'!$A$3:$B$7,2,FALSE),VLOOKUP(AG107,'Writing Logic'!$A$3:$B$7,2,FALSE))))),"Fill All 4")</f>
        <v>Fill All 4</v>
      </c>
      <c r="AI107" s="95" t="str">
        <f t="shared" si="7"/>
        <v/>
      </c>
      <c r="AJ107" s="183"/>
      <c r="AK107" s="120"/>
      <c r="AL107" s="120"/>
      <c r="AM107" s="120"/>
      <c r="AN107" s="95" t="str">
        <f>IFERROR(IF(YES_Writing_ELA[[#This Row],[Literacy IPP]]='Writing Logic'!$E$26,"IPP",IF(OR(AJ107="EAL",AK107="EAL",AL107="EAL",AM107="EAL"),"EAL",IF(AJ107='Writing Logic'!$A$10,AVERAGE(VLOOKUP(AK107,'Writing Logic'!$A$3:$B$7,2,FALSE),VLOOKUP(AL107,'Writing Logic'!$A$3:$B$7,2,FALSE),VLOOKUP(AM107,'Writing Logic'!$A$3:$B$7,2,FALSE)),AVERAGE(VLOOKUP(AJ107,'Writing Logic'!$A$3:$B$7,2,FALSE),VLOOKUP(AK107,'Writing Logic'!$A$3:$B$7,2,FALSE),VLOOKUP(AL107,'Writing Logic'!$A$3:$B$7,2,FALSE),VLOOKUP(AM107,'Writing Logic'!$A$3:$B$7,2,FALSE))))),"Fill All 4")</f>
        <v>Fill All 4</v>
      </c>
      <c r="AO107" s="95" t="str">
        <f t="shared" si="8"/>
        <v/>
      </c>
      <c r="AP107" s="120"/>
      <c r="AQ107" s="120"/>
      <c r="AR107" s="120"/>
      <c r="AS107" s="120"/>
      <c r="AT107" s="95" t="str">
        <f>IFERROR(IF(YES_Writing_ELA[[#This Row],[Literacy IPP]]='Writing Logic'!$E$26,"IPP",IF(OR(AP107="EAL",AQ107="EAL",AR107="EAL",AS107="EAL"),"EAL",IF(AP107='Writing Logic'!$A$10,AVERAGE(VLOOKUP(AQ107,'Writing Logic'!$A$3:$B$7,2,FALSE),VLOOKUP(AR107,'Writing Logic'!$A$3:$B$7,2,FALSE),VLOOKUP(AS107,'Writing Logic'!$A$3:$B$7,2,FALSE)),AVERAGE(VLOOKUP(AP107,'Writing Logic'!$A$3:$B$7,2,FALSE),VLOOKUP(AQ107,'Writing Logic'!$A$3:$B$7,2,FALSE),VLOOKUP(AR107,'Writing Logic'!$A$3:$B$7,2,FALSE),VLOOKUP(AS107,'Writing Logic'!$A$3:$B$7,2,FALSE))))),"Fill All 4")</f>
        <v>Fill All 4</v>
      </c>
      <c r="AU107" s="95" t="str">
        <f t="shared" si="9"/>
        <v/>
      </c>
    </row>
    <row r="108" spans="1:47" x14ac:dyDescent="0.25">
      <c r="A108" s="13"/>
      <c r="B108" s="13"/>
      <c r="C108" s="13"/>
      <c r="D108" s="13"/>
      <c r="E108" s="13"/>
      <c r="F108" s="13"/>
      <c r="G108" s="13"/>
      <c r="H108" s="13"/>
      <c r="I108" s="13"/>
      <c r="J108" s="13"/>
      <c r="K108" s="183"/>
      <c r="L108" s="184"/>
      <c r="M108" s="120"/>
      <c r="N108" s="120"/>
      <c r="O108" s="120"/>
      <c r="P108" s="120"/>
      <c r="Q108" s="95" t="str">
        <f>IFERROR(IF(YES_Writing_ELA[[#This Row],[Literacy IPP]]='Writing Logic'!$E$26,"IPP",IF(OR(M108="EAL",N108="EAL",O108="EAL",P108="EAL"),"EAL",IF(M108='Writing Logic'!$A$10,AVERAGE(VLOOKUP(N108,'Writing Logic'!$A$3:$B$7,2,FALSE),VLOOKUP(O108,'Writing Logic'!$A$3:$B$7,2,FALSE),VLOOKUP(P108,'Writing Logic'!$A$3:$B$7,2,FALSE)),AVERAGE(VLOOKUP(M108,'Writing Logic'!$A$3:$B$7,2,FALSE),VLOOKUP(N108,'Writing Logic'!$A$3:$B$7,2,FALSE),VLOOKUP(O108,'Writing Logic'!$A$3:$B$7,2,FALSE),VLOOKUP(P108,'Writing Logic'!$A$3:$B$7,2,FALSE))))),"Fill All 4")</f>
        <v>Fill All 4</v>
      </c>
      <c r="R108" s="120"/>
      <c r="S108" s="120"/>
      <c r="T108" s="120"/>
      <c r="U108" s="120"/>
      <c r="V108" s="95" t="str">
        <f>IFERROR(IF(YES_Writing_ELA[[#This Row],[Literacy IPP]]='Writing Logic'!$E$26,"IPP",IF(OR(R108="EAL",S108="EAL",T108="EAL",U108="EAL"),"EAL",IF(R108='Writing Logic'!$A$10,AVERAGE(VLOOKUP(S108,'Writing Logic'!$A$3:$B$7,2,FALSE),VLOOKUP(T108,'Writing Logic'!$A$3:$B$7,2,FALSE),VLOOKUP(U108,'Writing Logic'!$A$3:$B$7,2,FALSE)),AVERAGE(VLOOKUP(R108,'Writing Logic'!$A$3:$B$7,2,FALSE),VLOOKUP(S108,'Writing Logic'!$A$3:$B$7,2,FALSE),VLOOKUP(T108,'Writing Logic'!$A$3:$B$7,2,FALSE),VLOOKUP(U108,'Writing Logic'!$A$3:$B$7,2,FALSE))))),"Fill All 4")</f>
        <v>Fill All 4</v>
      </c>
      <c r="W108" s="95" t="str">
        <f t="shared" si="5"/>
        <v/>
      </c>
      <c r="X108" s="120"/>
      <c r="Y108" s="120"/>
      <c r="Z108" s="120"/>
      <c r="AA108" s="120"/>
      <c r="AB108" s="95" t="str">
        <f>IFERROR(IF(YES_Writing_ELA[[#This Row],[Literacy IPP]]='Writing Logic'!$E$26,"IPP",IF(OR(X108="EAL",Y108="EAL",Z108="EAL",AA108="EAL"),"EAL",IF(X108='Writing Logic'!$A$10,AVERAGE(VLOOKUP(Y108,'Writing Logic'!$A$3:$B$7,2,FALSE),VLOOKUP(Z108,'Writing Logic'!$A$3:$B$7,2,FALSE),VLOOKUP(AA108,'Writing Logic'!$A$3:$B$7,2,FALSE)),AVERAGE(VLOOKUP(X108,'Writing Logic'!$A$3:$B$7,2,FALSE),VLOOKUP(Y108,'Writing Logic'!$A$3:$B$7,2,FALSE),VLOOKUP(Z108,'Writing Logic'!$A$3:$B$7,2,FALSE),VLOOKUP(AA108,'Writing Logic'!$A$3:$B$7,2,FALSE))))),"Fill All 4")</f>
        <v>Fill All 4</v>
      </c>
      <c r="AC108" s="95" t="str">
        <f t="shared" si="6"/>
        <v/>
      </c>
      <c r="AD108" s="120"/>
      <c r="AE108" s="120"/>
      <c r="AF108" s="120"/>
      <c r="AG108" s="120"/>
      <c r="AH108" s="95" t="str">
        <f>IFERROR(IF(YES_Writing_ELA[[#This Row],[Literacy IPP]]='Writing Logic'!$E$26,"IPP",IF(OR(AD108="EAL",AE108="EAL",AF108="EAL",AG108="EAL"),"EAL",IF(AD108='Writing Logic'!$A$10,AVERAGE(VLOOKUP(AE108,'Writing Logic'!$A$3:$B$7,2,FALSE),VLOOKUP(AF108,'Writing Logic'!$A$3:$B$7,2,FALSE),VLOOKUP(AG108,'Writing Logic'!$A$3:$B$7,2,FALSE)),AVERAGE(VLOOKUP(AD108,'Writing Logic'!$A$3:$B$7,2,FALSE),VLOOKUP(AE108,'Writing Logic'!$A$3:$B$7,2,FALSE),VLOOKUP(AF108,'Writing Logic'!$A$3:$B$7,2,FALSE),VLOOKUP(AG108,'Writing Logic'!$A$3:$B$7,2,FALSE))))),"Fill All 4")</f>
        <v>Fill All 4</v>
      </c>
      <c r="AI108" s="95" t="str">
        <f t="shared" si="7"/>
        <v/>
      </c>
      <c r="AJ108" s="183"/>
      <c r="AK108" s="120"/>
      <c r="AL108" s="120"/>
      <c r="AM108" s="120"/>
      <c r="AN108" s="95" t="str">
        <f>IFERROR(IF(YES_Writing_ELA[[#This Row],[Literacy IPP]]='Writing Logic'!$E$26,"IPP",IF(OR(AJ108="EAL",AK108="EAL",AL108="EAL",AM108="EAL"),"EAL",IF(AJ108='Writing Logic'!$A$10,AVERAGE(VLOOKUP(AK108,'Writing Logic'!$A$3:$B$7,2,FALSE),VLOOKUP(AL108,'Writing Logic'!$A$3:$B$7,2,FALSE),VLOOKUP(AM108,'Writing Logic'!$A$3:$B$7,2,FALSE)),AVERAGE(VLOOKUP(AJ108,'Writing Logic'!$A$3:$B$7,2,FALSE),VLOOKUP(AK108,'Writing Logic'!$A$3:$B$7,2,FALSE),VLOOKUP(AL108,'Writing Logic'!$A$3:$B$7,2,FALSE),VLOOKUP(AM108,'Writing Logic'!$A$3:$B$7,2,FALSE))))),"Fill All 4")</f>
        <v>Fill All 4</v>
      </c>
      <c r="AO108" s="95" t="str">
        <f t="shared" si="8"/>
        <v/>
      </c>
      <c r="AP108" s="120"/>
      <c r="AQ108" s="120"/>
      <c r="AR108" s="120"/>
      <c r="AS108" s="120"/>
      <c r="AT108" s="95" t="str">
        <f>IFERROR(IF(YES_Writing_ELA[[#This Row],[Literacy IPP]]='Writing Logic'!$E$26,"IPP",IF(OR(AP108="EAL",AQ108="EAL",AR108="EAL",AS108="EAL"),"EAL",IF(AP108='Writing Logic'!$A$10,AVERAGE(VLOOKUP(AQ108,'Writing Logic'!$A$3:$B$7,2,FALSE),VLOOKUP(AR108,'Writing Logic'!$A$3:$B$7,2,FALSE),VLOOKUP(AS108,'Writing Logic'!$A$3:$B$7,2,FALSE)),AVERAGE(VLOOKUP(AP108,'Writing Logic'!$A$3:$B$7,2,FALSE),VLOOKUP(AQ108,'Writing Logic'!$A$3:$B$7,2,FALSE),VLOOKUP(AR108,'Writing Logic'!$A$3:$B$7,2,FALSE),VLOOKUP(AS108,'Writing Logic'!$A$3:$B$7,2,FALSE))))),"Fill All 4")</f>
        <v>Fill All 4</v>
      </c>
      <c r="AU108" s="95" t="str">
        <f t="shared" si="9"/>
        <v/>
      </c>
    </row>
    <row r="109" spans="1:47" x14ac:dyDescent="0.25">
      <c r="A109" s="13"/>
      <c r="B109" s="13"/>
      <c r="C109" s="13"/>
      <c r="D109" s="13"/>
      <c r="E109" s="13"/>
      <c r="F109" s="13"/>
      <c r="G109" s="13"/>
      <c r="H109" s="13"/>
      <c r="I109" s="13"/>
      <c r="J109" s="13"/>
      <c r="K109" s="183"/>
      <c r="L109" s="184"/>
      <c r="M109" s="120"/>
      <c r="N109" s="120"/>
      <c r="O109" s="120"/>
      <c r="P109" s="120"/>
      <c r="Q109" s="95" t="str">
        <f>IFERROR(IF(YES_Writing_ELA[[#This Row],[Literacy IPP]]='Writing Logic'!$E$26,"IPP",IF(OR(M109="EAL",N109="EAL",O109="EAL",P109="EAL"),"EAL",IF(M109='Writing Logic'!$A$10,AVERAGE(VLOOKUP(N109,'Writing Logic'!$A$3:$B$7,2,FALSE),VLOOKUP(O109,'Writing Logic'!$A$3:$B$7,2,FALSE),VLOOKUP(P109,'Writing Logic'!$A$3:$B$7,2,FALSE)),AVERAGE(VLOOKUP(M109,'Writing Logic'!$A$3:$B$7,2,FALSE),VLOOKUP(N109,'Writing Logic'!$A$3:$B$7,2,FALSE),VLOOKUP(O109,'Writing Logic'!$A$3:$B$7,2,FALSE),VLOOKUP(P109,'Writing Logic'!$A$3:$B$7,2,FALSE))))),"Fill All 4")</f>
        <v>Fill All 4</v>
      </c>
      <c r="R109" s="120"/>
      <c r="S109" s="120"/>
      <c r="T109" s="120"/>
      <c r="U109" s="120"/>
      <c r="V109" s="95" t="str">
        <f>IFERROR(IF(YES_Writing_ELA[[#This Row],[Literacy IPP]]='Writing Logic'!$E$26,"IPP",IF(OR(R109="EAL",S109="EAL",T109="EAL",U109="EAL"),"EAL",IF(R109='Writing Logic'!$A$10,AVERAGE(VLOOKUP(S109,'Writing Logic'!$A$3:$B$7,2,FALSE),VLOOKUP(T109,'Writing Logic'!$A$3:$B$7,2,FALSE),VLOOKUP(U109,'Writing Logic'!$A$3:$B$7,2,FALSE)),AVERAGE(VLOOKUP(R109,'Writing Logic'!$A$3:$B$7,2,FALSE),VLOOKUP(S109,'Writing Logic'!$A$3:$B$7,2,FALSE),VLOOKUP(T109,'Writing Logic'!$A$3:$B$7,2,FALSE),VLOOKUP(U109,'Writing Logic'!$A$3:$B$7,2,FALSE))))),"Fill All 4")</f>
        <v>Fill All 4</v>
      </c>
      <c r="W109" s="95" t="str">
        <f t="shared" si="5"/>
        <v/>
      </c>
      <c r="X109" s="120"/>
      <c r="Y109" s="120"/>
      <c r="Z109" s="120"/>
      <c r="AA109" s="120"/>
      <c r="AB109" s="95" t="str">
        <f>IFERROR(IF(YES_Writing_ELA[[#This Row],[Literacy IPP]]='Writing Logic'!$E$26,"IPP",IF(OR(X109="EAL",Y109="EAL",Z109="EAL",AA109="EAL"),"EAL",IF(X109='Writing Logic'!$A$10,AVERAGE(VLOOKUP(Y109,'Writing Logic'!$A$3:$B$7,2,FALSE),VLOOKUP(Z109,'Writing Logic'!$A$3:$B$7,2,FALSE),VLOOKUP(AA109,'Writing Logic'!$A$3:$B$7,2,FALSE)),AVERAGE(VLOOKUP(X109,'Writing Logic'!$A$3:$B$7,2,FALSE),VLOOKUP(Y109,'Writing Logic'!$A$3:$B$7,2,FALSE),VLOOKUP(Z109,'Writing Logic'!$A$3:$B$7,2,FALSE),VLOOKUP(AA109,'Writing Logic'!$A$3:$B$7,2,FALSE))))),"Fill All 4")</f>
        <v>Fill All 4</v>
      </c>
      <c r="AC109" s="95" t="str">
        <f t="shared" si="6"/>
        <v/>
      </c>
      <c r="AD109" s="120"/>
      <c r="AE109" s="120"/>
      <c r="AF109" s="120"/>
      <c r="AG109" s="120"/>
      <c r="AH109" s="95" t="str">
        <f>IFERROR(IF(YES_Writing_ELA[[#This Row],[Literacy IPP]]='Writing Logic'!$E$26,"IPP",IF(OR(AD109="EAL",AE109="EAL",AF109="EAL",AG109="EAL"),"EAL",IF(AD109='Writing Logic'!$A$10,AVERAGE(VLOOKUP(AE109,'Writing Logic'!$A$3:$B$7,2,FALSE),VLOOKUP(AF109,'Writing Logic'!$A$3:$B$7,2,FALSE),VLOOKUP(AG109,'Writing Logic'!$A$3:$B$7,2,FALSE)),AVERAGE(VLOOKUP(AD109,'Writing Logic'!$A$3:$B$7,2,FALSE),VLOOKUP(AE109,'Writing Logic'!$A$3:$B$7,2,FALSE),VLOOKUP(AF109,'Writing Logic'!$A$3:$B$7,2,FALSE),VLOOKUP(AG109,'Writing Logic'!$A$3:$B$7,2,FALSE))))),"Fill All 4")</f>
        <v>Fill All 4</v>
      </c>
      <c r="AI109" s="95" t="str">
        <f t="shared" si="7"/>
        <v/>
      </c>
      <c r="AJ109" s="183"/>
      <c r="AK109" s="120"/>
      <c r="AL109" s="120"/>
      <c r="AM109" s="120"/>
      <c r="AN109" s="95" t="str">
        <f>IFERROR(IF(YES_Writing_ELA[[#This Row],[Literacy IPP]]='Writing Logic'!$E$26,"IPP",IF(OR(AJ109="EAL",AK109="EAL",AL109="EAL",AM109="EAL"),"EAL",IF(AJ109='Writing Logic'!$A$10,AVERAGE(VLOOKUP(AK109,'Writing Logic'!$A$3:$B$7,2,FALSE),VLOOKUP(AL109,'Writing Logic'!$A$3:$B$7,2,FALSE),VLOOKUP(AM109,'Writing Logic'!$A$3:$B$7,2,FALSE)),AVERAGE(VLOOKUP(AJ109,'Writing Logic'!$A$3:$B$7,2,FALSE),VLOOKUP(AK109,'Writing Logic'!$A$3:$B$7,2,FALSE),VLOOKUP(AL109,'Writing Logic'!$A$3:$B$7,2,FALSE),VLOOKUP(AM109,'Writing Logic'!$A$3:$B$7,2,FALSE))))),"Fill All 4")</f>
        <v>Fill All 4</v>
      </c>
      <c r="AO109" s="95" t="str">
        <f t="shared" si="8"/>
        <v/>
      </c>
      <c r="AP109" s="120"/>
      <c r="AQ109" s="120"/>
      <c r="AR109" s="120"/>
      <c r="AS109" s="120"/>
      <c r="AT109" s="95" t="str">
        <f>IFERROR(IF(YES_Writing_ELA[[#This Row],[Literacy IPP]]='Writing Logic'!$E$26,"IPP",IF(OR(AP109="EAL",AQ109="EAL",AR109="EAL",AS109="EAL"),"EAL",IF(AP109='Writing Logic'!$A$10,AVERAGE(VLOOKUP(AQ109,'Writing Logic'!$A$3:$B$7,2,FALSE),VLOOKUP(AR109,'Writing Logic'!$A$3:$B$7,2,FALSE),VLOOKUP(AS109,'Writing Logic'!$A$3:$B$7,2,FALSE)),AVERAGE(VLOOKUP(AP109,'Writing Logic'!$A$3:$B$7,2,FALSE),VLOOKUP(AQ109,'Writing Logic'!$A$3:$B$7,2,FALSE),VLOOKUP(AR109,'Writing Logic'!$A$3:$B$7,2,FALSE),VLOOKUP(AS109,'Writing Logic'!$A$3:$B$7,2,FALSE))))),"Fill All 4")</f>
        <v>Fill All 4</v>
      </c>
      <c r="AU109" s="95" t="str">
        <f t="shared" si="9"/>
        <v/>
      </c>
    </row>
    <row r="110" spans="1:47" x14ac:dyDescent="0.25">
      <c r="A110" s="13"/>
      <c r="B110" s="13"/>
      <c r="C110" s="13"/>
      <c r="D110" s="13"/>
      <c r="E110" s="13"/>
      <c r="F110" s="13"/>
      <c r="G110" s="13"/>
      <c r="H110" s="13"/>
      <c r="I110" s="13"/>
      <c r="J110" s="13"/>
      <c r="K110" s="183"/>
      <c r="L110" s="184"/>
      <c r="M110" s="120"/>
      <c r="N110" s="120"/>
      <c r="O110" s="120"/>
      <c r="P110" s="120"/>
      <c r="Q110" s="95" t="str">
        <f>IFERROR(IF(YES_Writing_ELA[[#This Row],[Literacy IPP]]='Writing Logic'!$E$26,"IPP",IF(OR(M110="EAL",N110="EAL",O110="EAL",P110="EAL"),"EAL",IF(M110='Writing Logic'!$A$10,AVERAGE(VLOOKUP(N110,'Writing Logic'!$A$3:$B$7,2,FALSE),VLOOKUP(O110,'Writing Logic'!$A$3:$B$7,2,FALSE),VLOOKUP(P110,'Writing Logic'!$A$3:$B$7,2,FALSE)),AVERAGE(VLOOKUP(M110,'Writing Logic'!$A$3:$B$7,2,FALSE),VLOOKUP(N110,'Writing Logic'!$A$3:$B$7,2,FALSE),VLOOKUP(O110,'Writing Logic'!$A$3:$B$7,2,FALSE),VLOOKUP(P110,'Writing Logic'!$A$3:$B$7,2,FALSE))))),"Fill All 4")</f>
        <v>Fill All 4</v>
      </c>
      <c r="R110" s="120"/>
      <c r="S110" s="120"/>
      <c r="T110" s="120"/>
      <c r="U110" s="120"/>
      <c r="V110" s="95" t="str">
        <f>IFERROR(IF(YES_Writing_ELA[[#This Row],[Literacy IPP]]='Writing Logic'!$E$26,"IPP",IF(OR(R110="EAL",S110="EAL",T110="EAL",U110="EAL"),"EAL",IF(R110='Writing Logic'!$A$10,AVERAGE(VLOOKUP(S110,'Writing Logic'!$A$3:$B$7,2,FALSE),VLOOKUP(T110,'Writing Logic'!$A$3:$B$7,2,FALSE),VLOOKUP(U110,'Writing Logic'!$A$3:$B$7,2,FALSE)),AVERAGE(VLOOKUP(R110,'Writing Logic'!$A$3:$B$7,2,FALSE),VLOOKUP(S110,'Writing Logic'!$A$3:$B$7,2,FALSE),VLOOKUP(T110,'Writing Logic'!$A$3:$B$7,2,FALSE),VLOOKUP(U110,'Writing Logic'!$A$3:$B$7,2,FALSE))))),"Fill All 4")</f>
        <v>Fill All 4</v>
      </c>
      <c r="W110" s="95" t="str">
        <f t="shared" si="5"/>
        <v/>
      </c>
      <c r="X110" s="120"/>
      <c r="Y110" s="120"/>
      <c r="Z110" s="120"/>
      <c r="AA110" s="120"/>
      <c r="AB110" s="95" t="str">
        <f>IFERROR(IF(YES_Writing_ELA[[#This Row],[Literacy IPP]]='Writing Logic'!$E$26,"IPP",IF(OR(X110="EAL",Y110="EAL",Z110="EAL",AA110="EAL"),"EAL",IF(X110='Writing Logic'!$A$10,AVERAGE(VLOOKUP(Y110,'Writing Logic'!$A$3:$B$7,2,FALSE),VLOOKUP(Z110,'Writing Logic'!$A$3:$B$7,2,FALSE),VLOOKUP(AA110,'Writing Logic'!$A$3:$B$7,2,FALSE)),AVERAGE(VLOOKUP(X110,'Writing Logic'!$A$3:$B$7,2,FALSE),VLOOKUP(Y110,'Writing Logic'!$A$3:$B$7,2,FALSE),VLOOKUP(Z110,'Writing Logic'!$A$3:$B$7,2,FALSE),VLOOKUP(AA110,'Writing Logic'!$A$3:$B$7,2,FALSE))))),"Fill All 4")</f>
        <v>Fill All 4</v>
      </c>
      <c r="AC110" s="95" t="str">
        <f t="shared" si="6"/>
        <v/>
      </c>
      <c r="AD110" s="120"/>
      <c r="AE110" s="120"/>
      <c r="AF110" s="120"/>
      <c r="AG110" s="120"/>
      <c r="AH110" s="95" t="str">
        <f>IFERROR(IF(YES_Writing_ELA[[#This Row],[Literacy IPP]]='Writing Logic'!$E$26,"IPP",IF(OR(AD110="EAL",AE110="EAL",AF110="EAL",AG110="EAL"),"EAL",IF(AD110='Writing Logic'!$A$10,AVERAGE(VLOOKUP(AE110,'Writing Logic'!$A$3:$B$7,2,FALSE),VLOOKUP(AF110,'Writing Logic'!$A$3:$B$7,2,FALSE),VLOOKUP(AG110,'Writing Logic'!$A$3:$B$7,2,FALSE)),AVERAGE(VLOOKUP(AD110,'Writing Logic'!$A$3:$B$7,2,FALSE),VLOOKUP(AE110,'Writing Logic'!$A$3:$B$7,2,FALSE),VLOOKUP(AF110,'Writing Logic'!$A$3:$B$7,2,FALSE),VLOOKUP(AG110,'Writing Logic'!$A$3:$B$7,2,FALSE))))),"Fill All 4")</f>
        <v>Fill All 4</v>
      </c>
      <c r="AI110" s="95" t="str">
        <f t="shared" si="7"/>
        <v/>
      </c>
      <c r="AJ110" s="183"/>
      <c r="AK110" s="120"/>
      <c r="AL110" s="120"/>
      <c r="AM110" s="120"/>
      <c r="AN110" s="95" t="str">
        <f>IFERROR(IF(YES_Writing_ELA[[#This Row],[Literacy IPP]]='Writing Logic'!$E$26,"IPP",IF(OR(AJ110="EAL",AK110="EAL",AL110="EAL",AM110="EAL"),"EAL",IF(AJ110='Writing Logic'!$A$10,AVERAGE(VLOOKUP(AK110,'Writing Logic'!$A$3:$B$7,2,FALSE),VLOOKUP(AL110,'Writing Logic'!$A$3:$B$7,2,FALSE),VLOOKUP(AM110,'Writing Logic'!$A$3:$B$7,2,FALSE)),AVERAGE(VLOOKUP(AJ110,'Writing Logic'!$A$3:$B$7,2,FALSE),VLOOKUP(AK110,'Writing Logic'!$A$3:$B$7,2,FALSE),VLOOKUP(AL110,'Writing Logic'!$A$3:$B$7,2,FALSE),VLOOKUP(AM110,'Writing Logic'!$A$3:$B$7,2,FALSE))))),"Fill All 4")</f>
        <v>Fill All 4</v>
      </c>
      <c r="AO110" s="95" t="str">
        <f t="shared" si="8"/>
        <v/>
      </c>
      <c r="AP110" s="120"/>
      <c r="AQ110" s="120"/>
      <c r="AR110" s="120"/>
      <c r="AS110" s="120"/>
      <c r="AT110" s="95" t="str">
        <f>IFERROR(IF(YES_Writing_ELA[[#This Row],[Literacy IPP]]='Writing Logic'!$E$26,"IPP",IF(OR(AP110="EAL",AQ110="EAL",AR110="EAL",AS110="EAL"),"EAL",IF(AP110='Writing Logic'!$A$10,AVERAGE(VLOOKUP(AQ110,'Writing Logic'!$A$3:$B$7,2,FALSE),VLOOKUP(AR110,'Writing Logic'!$A$3:$B$7,2,FALSE),VLOOKUP(AS110,'Writing Logic'!$A$3:$B$7,2,FALSE)),AVERAGE(VLOOKUP(AP110,'Writing Logic'!$A$3:$B$7,2,FALSE),VLOOKUP(AQ110,'Writing Logic'!$A$3:$B$7,2,FALSE),VLOOKUP(AR110,'Writing Logic'!$A$3:$B$7,2,FALSE),VLOOKUP(AS110,'Writing Logic'!$A$3:$B$7,2,FALSE))))),"Fill All 4")</f>
        <v>Fill All 4</v>
      </c>
      <c r="AU110" s="95" t="str">
        <f t="shared" si="9"/>
        <v/>
      </c>
    </row>
    <row r="111" spans="1:47" x14ac:dyDescent="0.25">
      <c r="A111" s="13"/>
      <c r="B111" s="13"/>
      <c r="C111" s="13"/>
      <c r="D111" s="13"/>
      <c r="E111" s="13"/>
      <c r="F111" s="13"/>
      <c r="G111" s="13"/>
      <c r="H111" s="13"/>
      <c r="I111" s="13"/>
      <c r="J111" s="13"/>
      <c r="K111" s="183"/>
      <c r="L111" s="184"/>
      <c r="M111" s="120"/>
      <c r="N111" s="120"/>
      <c r="O111" s="120"/>
      <c r="P111" s="120"/>
      <c r="Q111" s="95" t="str">
        <f>IFERROR(IF(YES_Writing_ELA[[#This Row],[Literacy IPP]]='Writing Logic'!$E$26,"IPP",IF(OR(M111="EAL",N111="EAL",O111="EAL",P111="EAL"),"EAL",IF(M111='Writing Logic'!$A$10,AVERAGE(VLOOKUP(N111,'Writing Logic'!$A$3:$B$7,2,FALSE),VLOOKUP(O111,'Writing Logic'!$A$3:$B$7,2,FALSE),VLOOKUP(P111,'Writing Logic'!$A$3:$B$7,2,FALSE)),AVERAGE(VLOOKUP(M111,'Writing Logic'!$A$3:$B$7,2,FALSE),VLOOKUP(N111,'Writing Logic'!$A$3:$B$7,2,FALSE),VLOOKUP(O111,'Writing Logic'!$A$3:$B$7,2,FALSE),VLOOKUP(P111,'Writing Logic'!$A$3:$B$7,2,FALSE))))),"Fill All 4")</f>
        <v>Fill All 4</v>
      </c>
      <c r="R111" s="120"/>
      <c r="S111" s="120"/>
      <c r="T111" s="120"/>
      <c r="U111" s="120"/>
      <c r="V111" s="95" t="str">
        <f>IFERROR(IF(YES_Writing_ELA[[#This Row],[Literacy IPP]]='Writing Logic'!$E$26,"IPP",IF(OR(R111="EAL",S111="EAL",T111="EAL",U111="EAL"),"EAL",IF(R111='Writing Logic'!$A$10,AVERAGE(VLOOKUP(S111,'Writing Logic'!$A$3:$B$7,2,FALSE),VLOOKUP(T111,'Writing Logic'!$A$3:$B$7,2,FALSE),VLOOKUP(U111,'Writing Logic'!$A$3:$B$7,2,FALSE)),AVERAGE(VLOOKUP(R111,'Writing Logic'!$A$3:$B$7,2,FALSE),VLOOKUP(S111,'Writing Logic'!$A$3:$B$7,2,FALSE),VLOOKUP(T111,'Writing Logic'!$A$3:$B$7,2,FALSE),VLOOKUP(U111,'Writing Logic'!$A$3:$B$7,2,FALSE))))),"Fill All 4")</f>
        <v>Fill All 4</v>
      </c>
      <c r="W111" s="95" t="str">
        <f t="shared" si="5"/>
        <v/>
      </c>
      <c r="X111" s="120"/>
      <c r="Y111" s="120"/>
      <c r="Z111" s="120"/>
      <c r="AA111" s="120"/>
      <c r="AB111" s="95" t="str">
        <f>IFERROR(IF(YES_Writing_ELA[[#This Row],[Literacy IPP]]='Writing Logic'!$E$26,"IPP",IF(OR(X111="EAL",Y111="EAL",Z111="EAL",AA111="EAL"),"EAL",IF(X111='Writing Logic'!$A$10,AVERAGE(VLOOKUP(Y111,'Writing Logic'!$A$3:$B$7,2,FALSE),VLOOKUP(Z111,'Writing Logic'!$A$3:$B$7,2,FALSE),VLOOKUP(AA111,'Writing Logic'!$A$3:$B$7,2,FALSE)),AVERAGE(VLOOKUP(X111,'Writing Logic'!$A$3:$B$7,2,FALSE),VLOOKUP(Y111,'Writing Logic'!$A$3:$B$7,2,FALSE),VLOOKUP(Z111,'Writing Logic'!$A$3:$B$7,2,FALSE),VLOOKUP(AA111,'Writing Logic'!$A$3:$B$7,2,FALSE))))),"Fill All 4")</f>
        <v>Fill All 4</v>
      </c>
      <c r="AC111" s="95" t="str">
        <f t="shared" si="6"/>
        <v/>
      </c>
      <c r="AD111" s="120"/>
      <c r="AE111" s="120"/>
      <c r="AF111" s="120"/>
      <c r="AG111" s="120"/>
      <c r="AH111" s="95" t="str">
        <f>IFERROR(IF(YES_Writing_ELA[[#This Row],[Literacy IPP]]='Writing Logic'!$E$26,"IPP",IF(OR(AD111="EAL",AE111="EAL",AF111="EAL",AG111="EAL"),"EAL",IF(AD111='Writing Logic'!$A$10,AVERAGE(VLOOKUP(AE111,'Writing Logic'!$A$3:$B$7,2,FALSE),VLOOKUP(AF111,'Writing Logic'!$A$3:$B$7,2,FALSE),VLOOKUP(AG111,'Writing Logic'!$A$3:$B$7,2,FALSE)),AVERAGE(VLOOKUP(AD111,'Writing Logic'!$A$3:$B$7,2,FALSE),VLOOKUP(AE111,'Writing Logic'!$A$3:$B$7,2,FALSE),VLOOKUP(AF111,'Writing Logic'!$A$3:$B$7,2,FALSE),VLOOKUP(AG111,'Writing Logic'!$A$3:$B$7,2,FALSE))))),"Fill All 4")</f>
        <v>Fill All 4</v>
      </c>
      <c r="AI111" s="95" t="str">
        <f t="shared" si="7"/>
        <v/>
      </c>
      <c r="AJ111" s="183"/>
      <c r="AK111" s="120"/>
      <c r="AL111" s="120"/>
      <c r="AM111" s="120"/>
      <c r="AN111" s="95" t="str">
        <f>IFERROR(IF(YES_Writing_ELA[[#This Row],[Literacy IPP]]='Writing Logic'!$E$26,"IPP",IF(OR(AJ111="EAL",AK111="EAL",AL111="EAL",AM111="EAL"),"EAL",IF(AJ111='Writing Logic'!$A$10,AVERAGE(VLOOKUP(AK111,'Writing Logic'!$A$3:$B$7,2,FALSE),VLOOKUP(AL111,'Writing Logic'!$A$3:$B$7,2,FALSE),VLOOKUP(AM111,'Writing Logic'!$A$3:$B$7,2,FALSE)),AVERAGE(VLOOKUP(AJ111,'Writing Logic'!$A$3:$B$7,2,FALSE),VLOOKUP(AK111,'Writing Logic'!$A$3:$B$7,2,FALSE),VLOOKUP(AL111,'Writing Logic'!$A$3:$B$7,2,FALSE),VLOOKUP(AM111,'Writing Logic'!$A$3:$B$7,2,FALSE))))),"Fill All 4")</f>
        <v>Fill All 4</v>
      </c>
      <c r="AO111" s="95" t="str">
        <f t="shared" si="8"/>
        <v/>
      </c>
      <c r="AP111" s="120"/>
      <c r="AQ111" s="120"/>
      <c r="AR111" s="120"/>
      <c r="AS111" s="120"/>
      <c r="AT111" s="95" t="str">
        <f>IFERROR(IF(YES_Writing_ELA[[#This Row],[Literacy IPP]]='Writing Logic'!$E$26,"IPP",IF(OR(AP111="EAL",AQ111="EAL",AR111="EAL",AS111="EAL"),"EAL",IF(AP111='Writing Logic'!$A$10,AVERAGE(VLOOKUP(AQ111,'Writing Logic'!$A$3:$B$7,2,FALSE),VLOOKUP(AR111,'Writing Logic'!$A$3:$B$7,2,FALSE),VLOOKUP(AS111,'Writing Logic'!$A$3:$B$7,2,FALSE)),AVERAGE(VLOOKUP(AP111,'Writing Logic'!$A$3:$B$7,2,FALSE),VLOOKUP(AQ111,'Writing Logic'!$A$3:$B$7,2,FALSE),VLOOKUP(AR111,'Writing Logic'!$A$3:$B$7,2,FALSE),VLOOKUP(AS111,'Writing Logic'!$A$3:$B$7,2,FALSE))))),"Fill All 4")</f>
        <v>Fill All 4</v>
      </c>
      <c r="AU111" s="95" t="str">
        <f t="shared" si="9"/>
        <v/>
      </c>
    </row>
    <row r="112" spans="1:47" x14ac:dyDescent="0.25">
      <c r="A112" s="13"/>
      <c r="B112" s="13"/>
      <c r="C112" s="13"/>
      <c r="D112" s="13"/>
      <c r="E112" s="13"/>
      <c r="F112" s="13"/>
      <c r="G112" s="13"/>
      <c r="H112" s="13"/>
      <c r="I112" s="13"/>
      <c r="J112" s="13"/>
      <c r="K112" s="183"/>
      <c r="L112" s="184"/>
      <c r="M112" s="120"/>
      <c r="N112" s="120"/>
      <c r="O112" s="120"/>
      <c r="P112" s="120"/>
      <c r="Q112" s="95" t="str">
        <f>IFERROR(IF(YES_Writing_ELA[[#This Row],[Literacy IPP]]='Writing Logic'!$E$26,"IPP",IF(OR(M112="EAL",N112="EAL",O112="EAL",P112="EAL"),"EAL",IF(M112='Writing Logic'!$A$10,AVERAGE(VLOOKUP(N112,'Writing Logic'!$A$3:$B$7,2,FALSE),VLOOKUP(O112,'Writing Logic'!$A$3:$B$7,2,FALSE),VLOOKUP(P112,'Writing Logic'!$A$3:$B$7,2,FALSE)),AVERAGE(VLOOKUP(M112,'Writing Logic'!$A$3:$B$7,2,FALSE),VLOOKUP(N112,'Writing Logic'!$A$3:$B$7,2,FALSE),VLOOKUP(O112,'Writing Logic'!$A$3:$B$7,2,FALSE),VLOOKUP(P112,'Writing Logic'!$A$3:$B$7,2,FALSE))))),"Fill All 4")</f>
        <v>Fill All 4</v>
      </c>
      <c r="R112" s="120"/>
      <c r="S112" s="120"/>
      <c r="T112" s="120"/>
      <c r="U112" s="120"/>
      <c r="V112" s="95" t="str">
        <f>IFERROR(IF(YES_Writing_ELA[[#This Row],[Literacy IPP]]='Writing Logic'!$E$26,"IPP",IF(OR(R112="EAL",S112="EAL",T112="EAL",U112="EAL"),"EAL",IF(R112='Writing Logic'!$A$10,AVERAGE(VLOOKUP(S112,'Writing Logic'!$A$3:$B$7,2,FALSE),VLOOKUP(T112,'Writing Logic'!$A$3:$B$7,2,FALSE),VLOOKUP(U112,'Writing Logic'!$A$3:$B$7,2,FALSE)),AVERAGE(VLOOKUP(R112,'Writing Logic'!$A$3:$B$7,2,FALSE),VLOOKUP(S112,'Writing Logic'!$A$3:$B$7,2,FALSE),VLOOKUP(T112,'Writing Logic'!$A$3:$B$7,2,FALSE),VLOOKUP(U112,'Writing Logic'!$A$3:$B$7,2,FALSE))))),"Fill All 4")</f>
        <v>Fill All 4</v>
      </c>
      <c r="W112" s="95" t="str">
        <f t="shared" si="5"/>
        <v/>
      </c>
      <c r="X112" s="120"/>
      <c r="Y112" s="120"/>
      <c r="Z112" s="120"/>
      <c r="AA112" s="120"/>
      <c r="AB112" s="95" t="str">
        <f>IFERROR(IF(YES_Writing_ELA[[#This Row],[Literacy IPP]]='Writing Logic'!$E$26,"IPP",IF(OR(X112="EAL",Y112="EAL",Z112="EAL",AA112="EAL"),"EAL",IF(X112='Writing Logic'!$A$10,AVERAGE(VLOOKUP(Y112,'Writing Logic'!$A$3:$B$7,2,FALSE),VLOOKUP(Z112,'Writing Logic'!$A$3:$B$7,2,FALSE),VLOOKUP(AA112,'Writing Logic'!$A$3:$B$7,2,FALSE)),AVERAGE(VLOOKUP(X112,'Writing Logic'!$A$3:$B$7,2,FALSE),VLOOKUP(Y112,'Writing Logic'!$A$3:$B$7,2,FALSE),VLOOKUP(Z112,'Writing Logic'!$A$3:$B$7,2,FALSE),VLOOKUP(AA112,'Writing Logic'!$A$3:$B$7,2,FALSE))))),"Fill All 4")</f>
        <v>Fill All 4</v>
      </c>
      <c r="AC112" s="95" t="str">
        <f t="shared" si="6"/>
        <v/>
      </c>
      <c r="AD112" s="120"/>
      <c r="AE112" s="120"/>
      <c r="AF112" s="120"/>
      <c r="AG112" s="120"/>
      <c r="AH112" s="95" t="str">
        <f>IFERROR(IF(YES_Writing_ELA[[#This Row],[Literacy IPP]]='Writing Logic'!$E$26,"IPP",IF(OR(AD112="EAL",AE112="EAL",AF112="EAL",AG112="EAL"),"EAL",IF(AD112='Writing Logic'!$A$10,AVERAGE(VLOOKUP(AE112,'Writing Logic'!$A$3:$B$7,2,FALSE),VLOOKUP(AF112,'Writing Logic'!$A$3:$B$7,2,FALSE),VLOOKUP(AG112,'Writing Logic'!$A$3:$B$7,2,FALSE)),AVERAGE(VLOOKUP(AD112,'Writing Logic'!$A$3:$B$7,2,FALSE),VLOOKUP(AE112,'Writing Logic'!$A$3:$B$7,2,FALSE),VLOOKUP(AF112,'Writing Logic'!$A$3:$B$7,2,FALSE),VLOOKUP(AG112,'Writing Logic'!$A$3:$B$7,2,FALSE))))),"Fill All 4")</f>
        <v>Fill All 4</v>
      </c>
      <c r="AI112" s="95" t="str">
        <f t="shared" si="7"/>
        <v/>
      </c>
      <c r="AJ112" s="183"/>
      <c r="AK112" s="120"/>
      <c r="AL112" s="120"/>
      <c r="AM112" s="120"/>
      <c r="AN112" s="95" t="str">
        <f>IFERROR(IF(YES_Writing_ELA[[#This Row],[Literacy IPP]]='Writing Logic'!$E$26,"IPP",IF(OR(AJ112="EAL",AK112="EAL",AL112="EAL",AM112="EAL"),"EAL",IF(AJ112='Writing Logic'!$A$10,AVERAGE(VLOOKUP(AK112,'Writing Logic'!$A$3:$B$7,2,FALSE),VLOOKUP(AL112,'Writing Logic'!$A$3:$B$7,2,FALSE),VLOOKUP(AM112,'Writing Logic'!$A$3:$B$7,2,FALSE)),AVERAGE(VLOOKUP(AJ112,'Writing Logic'!$A$3:$B$7,2,FALSE),VLOOKUP(AK112,'Writing Logic'!$A$3:$B$7,2,FALSE),VLOOKUP(AL112,'Writing Logic'!$A$3:$B$7,2,FALSE),VLOOKUP(AM112,'Writing Logic'!$A$3:$B$7,2,FALSE))))),"Fill All 4")</f>
        <v>Fill All 4</v>
      </c>
      <c r="AO112" s="95" t="str">
        <f t="shared" si="8"/>
        <v/>
      </c>
      <c r="AP112" s="120"/>
      <c r="AQ112" s="120"/>
      <c r="AR112" s="120"/>
      <c r="AS112" s="120"/>
      <c r="AT112" s="95" t="str">
        <f>IFERROR(IF(YES_Writing_ELA[[#This Row],[Literacy IPP]]='Writing Logic'!$E$26,"IPP",IF(OR(AP112="EAL",AQ112="EAL",AR112="EAL",AS112="EAL"),"EAL",IF(AP112='Writing Logic'!$A$10,AVERAGE(VLOOKUP(AQ112,'Writing Logic'!$A$3:$B$7,2,FALSE),VLOOKUP(AR112,'Writing Logic'!$A$3:$B$7,2,FALSE),VLOOKUP(AS112,'Writing Logic'!$A$3:$B$7,2,FALSE)),AVERAGE(VLOOKUP(AP112,'Writing Logic'!$A$3:$B$7,2,FALSE),VLOOKUP(AQ112,'Writing Logic'!$A$3:$B$7,2,FALSE),VLOOKUP(AR112,'Writing Logic'!$A$3:$B$7,2,FALSE),VLOOKUP(AS112,'Writing Logic'!$A$3:$B$7,2,FALSE))))),"Fill All 4")</f>
        <v>Fill All 4</v>
      </c>
      <c r="AU112" s="95" t="str">
        <f t="shared" si="9"/>
        <v/>
      </c>
    </row>
    <row r="113" spans="1:47" x14ac:dyDescent="0.25">
      <c r="A113" s="13"/>
      <c r="B113" s="13"/>
      <c r="C113" s="13"/>
      <c r="D113" s="13"/>
      <c r="E113" s="13"/>
      <c r="F113" s="13"/>
      <c r="G113" s="13"/>
      <c r="H113" s="13"/>
      <c r="I113" s="13"/>
      <c r="J113" s="13"/>
      <c r="K113" s="183"/>
      <c r="L113" s="184"/>
      <c r="M113" s="120"/>
      <c r="N113" s="120"/>
      <c r="O113" s="120"/>
      <c r="P113" s="120"/>
      <c r="Q113" s="95" t="str">
        <f>IFERROR(IF(YES_Writing_ELA[[#This Row],[Literacy IPP]]='Writing Logic'!$E$26,"IPP",IF(OR(M113="EAL",N113="EAL",O113="EAL",P113="EAL"),"EAL",IF(M113='Writing Logic'!$A$10,AVERAGE(VLOOKUP(N113,'Writing Logic'!$A$3:$B$7,2,FALSE),VLOOKUP(O113,'Writing Logic'!$A$3:$B$7,2,FALSE),VLOOKUP(P113,'Writing Logic'!$A$3:$B$7,2,FALSE)),AVERAGE(VLOOKUP(M113,'Writing Logic'!$A$3:$B$7,2,FALSE),VLOOKUP(N113,'Writing Logic'!$A$3:$B$7,2,FALSE),VLOOKUP(O113,'Writing Logic'!$A$3:$B$7,2,FALSE),VLOOKUP(P113,'Writing Logic'!$A$3:$B$7,2,FALSE))))),"Fill All 4")</f>
        <v>Fill All 4</v>
      </c>
      <c r="R113" s="120"/>
      <c r="S113" s="120"/>
      <c r="T113" s="120"/>
      <c r="U113" s="120"/>
      <c r="V113" s="95" t="str">
        <f>IFERROR(IF(YES_Writing_ELA[[#This Row],[Literacy IPP]]='Writing Logic'!$E$26,"IPP",IF(OR(R113="EAL",S113="EAL",T113="EAL",U113="EAL"),"EAL",IF(R113='Writing Logic'!$A$10,AVERAGE(VLOOKUP(S113,'Writing Logic'!$A$3:$B$7,2,FALSE),VLOOKUP(T113,'Writing Logic'!$A$3:$B$7,2,FALSE),VLOOKUP(U113,'Writing Logic'!$A$3:$B$7,2,FALSE)),AVERAGE(VLOOKUP(R113,'Writing Logic'!$A$3:$B$7,2,FALSE),VLOOKUP(S113,'Writing Logic'!$A$3:$B$7,2,FALSE),VLOOKUP(T113,'Writing Logic'!$A$3:$B$7,2,FALSE),VLOOKUP(U113,'Writing Logic'!$A$3:$B$7,2,FALSE))))),"Fill All 4")</f>
        <v>Fill All 4</v>
      </c>
      <c r="W113" s="95" t="str">
        <f t="shared" si="5"/>
        <v/>
      </c>
      <c r="X113" s="120"/>
      <c r="Y113" s="120"/>
      <c r="Z113" s="120"/>
      <c r="AA113" s="120"/>
      <c r="AB113" s="95" t="str">
        <f>IFERROR(IF(YES_Writing_ELA[[#This Row],[Literacy IPP]]='Writing Logic'!$E$26,"IPP",IF(OR(X113="EAL",Y113="EAL",Z113="EAL",AA113="EAL"),"EAL",IF(X113='Writing Logic'!$A$10,AVERAGE(VLOOKUP(Y113,'Writing Logic'!$A$3:$B$7,2,FALSE),VLOOKUP(Z113,'Writing Logic'!$A$3:$B$7,2,FALSE),VLOOKUP(AA113,'Writing Logic'!$A$3:$B$7,2,FALSE)),AVERAGE(VLOOKUP(X113,'Writing Logic'!$A$3:$B$7,2,FALSE),VLOOKUP(Y113,'Writing Logic'!$A$3:$B$7,2,FALSE),VLOOKUP(Z113,'Writing Logic'!$A$3:$B$7,2,FALSE),VLOOKUP(AA113,'Writing Logic'!$A$3:$B$7,2,FALSE))))),"Fill All 4")</f>
        <v>Fill All 4</v>
      </c>
      <c r="AC113" s="95" t="str">
        <f t="shared" si="6"/>
        <v/>
      </c>
      <c r="AD113" s="120"/>
      <c r="AE113" s="120"/>
      <c r="AF113" s="120"/>
      <c r="AG113" s="120"/>
      <c r="AH113" s="95" t="str">
        <f>IFERROR(IF(YES_Writing_ELA[[#This Row],[Literacy IPP]]='Writing Logic'!$E$26,"IPP",IF(OR(AD113="EAL",AE113="EAL",AF113="EAL",AG113="EAL"),"EAL",IF(AD113='Writing Logic'!$A$10,AVERAGE(VLOOKUP(AE113,'Writing Logic'!$A$3:$B$7,2,FALSE),VLOOKUP(AF113,'Writing Logic'!$A$3:$B$7,2,FALSE),VLOOKUP(AG113,'Writing Logic'!$A$3:$B$7,2,FALSE)),AVERAGE(VLOOKUP(AD113,'Writing Logic'!$A$3:$B$7,2,FALSE),VLOOKUP(AE113,'Writing Logic'!$A$3:$B$7,2,FALSE),VLOOKUP(AF113,'Writing Logic'!$A$3:$B$7,2,FALSE),VLOOKUP(AG113,'Writing Logic'!$A$3:$B$7,2,FALSE))))),"Fill All 4")</f>
        <v>Fill All 4</v>
      </c>
      <c r="AI113" s="95" t="str">
        <f t="shared" si="7"/>
        <v/>
      </c>
      <c r="AJ113" s="183"/>
      <c r="AK113" s="120"/>
      <c r="AL113" s="120"/>
      <c r="AM113" s="120"/>
      <c r="AN113" s="95" t="str">
        <f>IFERROR(IF(YES_Writing_ELA[[#This Row],[Literacy IPP]]='Writing Logic'!$E$26,"IPP",IF(OR(AJ113="EAL",AK113="EAL",AL113="EAL",AM113="EAL"),"EAL",IF(AJ113='Writing Logic'!$A$10,AVERAGE(VLOOKUP(AK113,'Writing Logic'!$A$3:$B$7,2,FALSE),VLOOKUP(AL113,'Writing Logic'!$A$3:$B$7,2,FALSE),VLOOKUP(AM113,'Writing Logic'!$A$3:$B$7,2,FALSE)),AVERAGE(VLOOKUP(AJ113,'Writing Logic'!$A$3:$B$7,2,FALSE),VLOOKUP(AK113,'Writing Logic'!$A$3:$B$7,2,FALSE),VLOOKUP(AL113,'Writing Logic'!$A$3:$B$7,2,FALSE),VLOOKUP(AM113,'Writing Logic'!$A$3:$B$7,2,FALSE))))),"Fill All 4")</f>
        <v>Fill All 4</v>
      </c>
      <c r="AO113" s="95" t="str">
        <f t="shared" si="8"/>
        <v/>
      </c>
      <c r="AP113" s="120"/>
      <c r="AQ113" s="120"/>
      <c r="AR113" s="120"/>
      <c r="AS113" s="120"/>
      <c r="AT113" s="95" t="str">
        <f>IFERROR(IF(YES_Writing_ELA[[#This Row],[Literacy IPP]]='Writing Logic'!$E$26,"IPP",IF(OR(AP113="EAL",AQ113="EAL",AR113="EAL",AS113="EAL"),"EAL",IF(AP113='Writing Logic'!$A$10,AVERAGE(VLOOKUP(AQ113,'Writing Logic'!$A$3:$B$7,2,FALSE),VLOOKUP(AR113,'Writing Logic'!$A$3:$B$7,2,FALSE),VLOOKUP(AS113,'Writing Logic'!$A$3:$B$7,2,FALSE)),AVERAGE(VLOOKUP(AP113,'Writing Logic'!$A$3:$B$7,2,FALSE),VLOOKUP(AQ113,'Writing Logic'!$A$3:$B$7,2,FALSE),VLOOKUP(AR113,'Writing Logic'!$A$3:$B$7,2,FALSE),VLOOKUP(AS113,'Writing Logic'!$A$3:$B$7,2,FALSE))))),"Fill All 4")</f>
        <v>Fill All 4</v>
      </c>
      <c r="AU113" s="95" t="str">
        <f t="shared" si="9"/>
        <v/>
      </c>
    </row>
    <row r="114" spans="1:47" x14ac:dyDescent="0.25">
      <c r="A114" s="13"/>
      <c r="B114" s="13"/>
      <c r="C114" s="13"/>
      <c r="D114" s="13"/>
      <c r="E114" s="13"/>
      <c r="F114" s="13"/>
      <c r="G114" s="13"/>
      <c r="H114" s="13"/>
      <c r="I114" s="13"/>
      <c r="J114" s="13"/>
      <c r="K114" s="183"/>
      <c r="L114" s="184"/>
      <c r="M114" s="120"/>
      <c r="N114" s="120"/>
      <c r="O114" s="120"/>
      <c r="P114" s="120"/>
      <c r="Q114" s="95" t="str">
        <f>IFERROR(IF(YES_Writing_ELA[[#This Row],[Literacy IPP]]='Writing Logic'!$E$26,"IPP",IF(OR(M114="EAL",N114="EAL",O114="EAL",P114="EAL"),"EAL",IF(M114='Writing Logic'!$A$10,AVERAGE(VLOOKUP(N114,'Writing Logic'!$A$3:$B$7,2,FALSE),VLOOKUP(O114,'Writing Logic'!$A$3:$B$7,2,FALSE),VLOOKUP(P114,'Writing Logic'!$A$3:$B$7,2,FALSE)),AVERAGE(VLOOKUP(M114,'Writing Logic'!$A$3:$B$7,2,FALSE),VLOOKUP(N114,'Writing Logic'!$A$3:$B$7,2,FALSE),VLOOKUP(O114,'Writing Logic'!$A$3:$B$7,2,FALSE),VLOOKUP(P114,'Writing Logic'!$A$3:$B$7,2,FALSE))))),"Fill All 4")</f>
        <v>Fill All 4</v>
      </c>
      <c r="R114" s="120"/>
      <c r="S114" s="120"/>
      <c r="T114" s="120"/>
      <c r="U114" s="120"/>
      <c r="V114" s="95" t="str">
        <f>IFERROR(IF(YES_Writing_ELA[[#This Row],[Literacy IPP]]='Writing Logic'!$E$26,"IPP",IF(OR(R114="EAL",S114="EAL",T114="EAL",U114="EAL"),"EAL",IF(R114='Writing Logic'!$A$10,AVERAGE(VLOOKUP(S114,'Writing Logic'!$A$3:$B$7,2,FALSE),VLOOKUP(T114,'Writing Logic'!$A$3:$B$7,2,FALSE),VLOOKUP(U114,'Writing Logic'!$A$3:$B$7,2,FALSE)),AVERAGE(VLOOKUP(R114,'Writing Logic'!$A$3:$B$7,2,FALSE),VLOOKUP(S114,'Writing Logic'!$A$3:$B$7,2,FALSE),VLOOKUP(T114,'Writing Logic'!$A$3:$B$7,2,FALSE),VLOOKUP(U114,'Writing Logic'!$A$3:$B$7,2,FALSE))))),"Fill All 4")</f>
        <v>Fill All 4</v>
      </c>
      <c r="W114" s="95" t="str">
        <f t="shared" si="5"/>
        <v/>
      </c>
      <c r="X114" s="120"/>
      <c r="Y114" s="120"/>
      <c r="Z114" s="120"/>
      <c r="AA114" s="120"/>
      <c r="AB114" s="95" t="str">
        <f>IFERROR(IF(YES_Writing_ELA[[#This Row],[Literacy IPP]]='Writing Logic'!$E$26,"IPP",IF(OR(X114="EAL",Y114="EAL",Z114="EAL",AA114="EAL"),"EAL",IF(X114='Writing Logic'!$A$10,AVERAGE(VLOOKUP(Y114,'Writing Logic'!$A$3:$B$7,2,FALSE),VLOOKUP(Z114,'Writing Logic'!$A$3:$B$7,2,FALSE),VLOOKUP(AA114,'Writing Logic'!$A$3:$B$7,2,FALSE)),AVERAGE(VLOOKUP(X114,'Writing Logic'!$A$3:$B$7,2,FALSE),VLOOKUP(Y114,'Writing Logic'!$A$3:$B$7,2,FALSE),VLOOKUP(Z114,'Writing Logic'!$A$3:$B$7,2,FALSE),VLOOKUP(AA114,'Writing Logic'!$A$3:$B$7,2,FALSE))))),"Fill All 4")</f>
        <v>Fill All 4</v>
      </c>
      <c r="AC114" s="95" t="str">
        <f t="shared" si="6"/>
        <v/>
      </c>
      <c r="AD114" s="120"/>
      <c r="AE114" s="120"/>
      <c r="AF114" s="120"/>
      <c r="AG114" s="120"/>
      <c r="AH114" s="95" t="str">
        <f>IFERROR(IF(YES_Writing_ELA[[#This Row],[Literacy IPP]]='Writing Logic'!$E$26,"IPP",IF(OR(AD114="EAL",AE114="EAL",AF114="EAL",AG114="EAL"),"EAL",IF(AD114='Writing Logic'!$A$10,AVERAGE(VLOOKUP(AE114,'Writing Logic'!$A$3:$B$7,2,FALSE),VLOOKUP(AF114,'Writing Logic'!$A$3:$B$7,2,FALSE),VLOOKUP(AG114,'Writing Logic'!$A$3:$B$7,2,FALSE)),AVERAGE(VLOOKUP(AD114,'Writing Logic'!$A$3:$B$7,2,FALSE),VLOOKUP(AE114,'Writing Logic'!$A$3:$B$7,2,FALSE),VLOOKUP(AF114,'Writing Logic'!$A$3:$B$7,2,FALSE),VLOOKUP(AG114,'Writing Logic'!$A$3:$B$7,2,FALSE))))),"Fill All 4")</f>
        <v>Fill All 4</v>
      </c>
      <c r="AI114" s="95" t="str">
        <f t="shared" si="7"/>
        <v/>
      </c>
      <c r="AJ114" s="183"/>
      <c r="AK114" s="120"/>
      <c r="AL114" s="120"/>
      <c r="AM114" s="120"/>
      <c r="AN114" s="95" t="str">
        <f>IFERROR(IF(YES_Writing_ELA[[#This Row],[Literacy IPP]]='Writing Logic'!$E$26,"IPP",IF(OR(AJ114="EAL",AK114="EAL",AL114="EAL",AM114="EAL"),"EAL",IF(AJ114='Writing Logic'!$A$10,AVERAGE(VLOOKUP(AK114,'Writing Logic'!$A$3:$B$7,2,FALSE),VLOOKUP(AL114,'Writing Logic'!$A$3:$B$7,2,FALSE),VLOOKUP(AM114,'Writing Logic'!$A$3:$B$7,2,FALSE)),AVERAGE(VLOOKUP(AJ114,'Writing Logic'!$A$3:$B$7,2,FALSE),VLOOKUP(AK114,'Writing Logic'!$A$3:$B$7,2,FALSE),VLOOKUP(AL114,'Writing Logic'!$A$3:$B$7,2,FALSE),VLOOKUP(AM114,'Writing Logic'!$A$3:$B$7,2,FALSE))))),"Fill All 4")</f>
        <v>Fill All 4</v>
      </c>
      <c r="AO114" s="95" t="str">
        <f t="shared" si="8"/>
        <v/>
      </c>
      <c r="AP114" s="120"/>
      <c r="AQ114" s="120"/>
      <c r="AR114" s="120"/>
      <c r="AS114" s="120"/>
      <c r="AT114" s="95" t="str">
        <f>IFERROR(IF(YES_Writing_ELA[[#This Row],[Literacy IPP]]='Writing Logic'!$E$26,"IPP",IF(OR(AP114="EAL",AQ114="EAL",AR114="EAL",AS114="EAL"),"EAL",IF(AP114='Writing Logic'!$A$10,AVERAGE(VLOOKUP(AQ114,'Writing Logic'!$A$3:$B$7,2,FALSE),VLOOKUP(AR114,'Writing Logic'!$A$3:$B$7,2,FALSE),VLOOKUP(AS114,'Writing Logic'!$A$3:$B$7,2,FALSE)),AVERAGE(VLOOKUP(AP114,'Writing Logic'!$A$3:$B$7,2,FALSE),VLOOKUP(AQ114,'Writing Logic'!$A$3:$B$7,2,FALSE),VLOOKUP(AR114,'Writing Logic'!$A$3:$B$7,2,FALSE),VLOOKUP(AS114,'Writing Logic'!$A$3:$B$7,2,FALSE))))),"Fill All 4")</f>
        <v>Fill All 4</v>
      </c>
      <c r="AU114" s="95" t="str">
        <f t="shared" si="9"/>
        <v/>
      </c>
    </row>
    <row r="115" spans="1:47" x14ac:dyDescent="0.25">
      <c r="A115" s="13"/>
      <c r="B115" s="13"/>
      <c r="C115" s="13"/>
      <c r="D115" s="13"/>
      <c r="E115" s="13"/>
      <c r="F115" s="13"/>
      <c r="G115" s="13"/>
      <c r="H115" s="13"/>
      <c r="I115" s="13"/>
      <c r="J115" s="13"/>
      <c r="K115" s="183"/>
      <c r="L115" s="184"/>
      <c r="M115" s="120"/>
      <c r="N115" s="120"/>
      <c r="O115" s="120"/>
      <c r="P115" s="120"/>
      <c r="Q115" s="95" t="str">
        <f>IFERROR(IF(YES_Writing_ELA[[#This Row],[Literacy IPP]]='Writing Logic'!$E$26,"IPP",IF(OR(M115="EAL",N115="EAL",O115="EAL",P115="EAL"),"EAL",IF(M115='Writing Logic'!$A$10,AVERAGE(VLOOKUP(N115,'Writing Logic'!$A$3:$B$7,2,FALSE),VLOOKUP(O115,'Writing Logic'!$A$3:$B$7,2,FALSE),VLOOKUP(P115,'Writing Logic'!$A$3:$B$7,2,FALSE)),AVERAGE(VLOOKUP(M115,'Writing Logic'!$A$3:$B$7,2,FALSE),VLOOKUP(N115,'Writing Logic'!$A$3:$B$7,2,FALSE),VLOOKUP(O115,'Writing Logic'!$A$3:$B$7,2,FALSE),VLOOKUP(P115,'Writing Logic'!$A$3:$B$7,2,FALSE))))),"Fill All 4")</f>
        <v>Fill All 4</v>
      </c>
      <c r="R115" s="120"/>
      <c r="S115" s="120"/>
      <c r="T115" s="120"/>
      <c r="U115" s="120"/>
      <c r="V115" s="95" t="str">
        <f>IFERROR(IF(YES_Writing_ELA[[#This Row],[Literacy IPP]]='Writing Logic'!$E$26,"IPP",IF(OR(R115="EAL",S115="EAL",T115="EAL",U115="EAL"),"EAL",IF(R115='Writing Logic'!$A$10,AVERAGE(VLOOKUP(S115,'Writing Logic'!$A$3:$B$7,2,FALSE),VLOOKUP(T115,'Writing Logic'!$A$3:$B$7,2,FALSE),VLOOKUP(U115,'Writing Logic'!$A$3:$B$7,2,FALSE)),AVERAGE(VLOOKUP(R115,'Writing Logic'!$A$3:$B$7,2,FALSE),VLOOKUP(S115,'Writing Logic'!$A$3:$B$7,2,FALSE),VLOOKUP(T115,'Writing Logic'!$A$3:$B$7,2,FALSE),VLOOKUP(U115,'Writing Logic'!$A$3:$B$7,2,FALSE))))),"Fill All 4")</f>
        <v>Fill All 4</v>
      </c>
      <c r="W115" s="95" t="str">
        <f t="shared" si="5"/>
        <v/>
      </c>
      <c r="X115" s="120"/>
      <c r="Y115" s="120"/>
      <c r="Z115" s="120"/>
      <c r="AA115" s="120"/>
      <c r="AB115" s="95" t="str">
        <f>IFERROR(IF(YES_Writing_ELA[[#This Row],[Literacy IPP]]='Writing Logic'!$E$26,"IPP",IF(OR(X115="EAL",Y115="EAL",Z115="EAL",AA115="EAL"),"EAL",IF(X115='Writing Logic'!$A$10,AVERAGE(VLOOKUP(Y115,'Writing Logic'!$A$3:$B$7,2,FALSE),VLOOKUP(Z115,'Writing Logic'!$A$3:$B$7,2,FALSE),VLOOKUP(AA115,'Writing Logic'!$A$3:$B$7,2,FALSE)),AVERAGE(VLOOKUP(X115,'Writing Logic'!$A$3:$B$7,2,FALSE),VLOOKUP(Y115,'Writing Logic'!$A$3:$B$7,2,FALSE),VLOOKUP(Z115,'Writing Logic'!$A$3:$B$7,2,FALSE),VLOOKUP(AA115,'Writing Logic'!$A$3:$B$7,2,FALSE))))),"Fill All 4")</f>
        <v>Fill All 4</v>
      </c>
      <c r="AC115" s="95" t="str">
        <f t="shared" si="6"/>
        <v/>
      </c>
      <c r="AD115" s="120"/>
      <c r="AE115" s="120"/>
      <c r="AF115" s="120"/>
      <c r="AG115" s="120"/>
      <c r="AH115" s="95" t="str">
        <f>IFERROR(IF(YES_Writing_ELA[[#This Row],[Literacy IPP]]='Writing Logic'!$E$26,"IPP",IF(OR(AD115="EAL",AE115="EAL",AF115="EAL",AG115="EAL"),"EAL",IF(AD115='Writing Logic'!$A$10,AVERAGE(VLOOKUP(AE115,'Writing Logic'!$A$3:$B$7,2,FALSE),VLOOKUP(AF115,'Writing Logic'!$A$3:$B$7,2,FALSE),VLOOKUP(AG115,'Writing Logic'!$A$3:$B$7,2,FALSE)),AVERAGE(VLOOKUP(AD115,'Writing Logic'!$A$3:$B$7,2,FALSE),VLOOKUP(AE115,'Writing Logic'!$A$3:$B$7,2,FALSE),VLOOKUP(AF115,'Writing Logic'!$A$3:$B$7,2,FALSE),VLOOKUP(AG115,'Writing Logic'!$A$3:$B$7,2,FALSE))))),"Fill All 4")</f>
        <v>Fill All 4</v>
      </c>
      <c r="AI115" s="95" t="str">
        <f t="shared" si="7"/>
        <v/>
      </c>
      <c r="AJ115" s="183"/>
      <c r="AK115" s="120"/>
      <c r="AL115" s="120"/>
      <c r="AM115" s="120"/>
      <c r="AN115" s="95" t="str">
        <f>IFERROR(IF(YES_Writing_ELA[[#This Row],[Literacy IPP]]='Writing Logic'!$E$26,"IPP",IF(OR(AJ115="EAL",AK115="EAL",AL115="EAL",AM115="EAL"),"EAL",IF(AJ115='Writing Logic'!$A$10,AVERAGE(VLOOKUP(AK115,'Writing Logic'!$A$3:$B$7,2,FALSE),VLOOKUP(AL115,'Writing Logic'!$A$3:$B$7,2,FALSE),VLOOKUP(AM115,'Writing Logic'!$A$3:$B$7,2,FALSE)),AVERAGE(VLOOKUP(AJ115,'Writing Logic'!$A$3:$B$7,2,FALSE),VLOOKUP(AK115,'Writing Logic'!$A$3:$B$7,2,FALSE),VLOOKUP(AL115,'Writing Logic'!$A$3:$B$7,2,FALSE),VLOOKUP(AM115,'Writing Logic'!$A$3:$B$7,2,FALSE))))),"Fill All 4")</f>
        <v>Fill All 4</v>
      </c>
      <c r="AO115" s="95" t="str">
        <f t="shared" si="8"/>
        <v/>
      </c>
      <c r="AP115" s="120"/>
      <c r="AQ115" s="120"/>
      <c r="AR115" s="120"/>
      <c r="AS115" s="120"/>
      <c r="AT115" s="95" t="str">
        <f>IFERROR(IF(YES_Writing_ELA[[#This Row],[Literacy IPP]]='Writing Logic'!$E$26,"IPP",IF(OR(AP115="EAL",AQ115="EAL",AR115="EAL",AS115="EAL"),"EAL",IF(AP115='Writing Logic'!$A$10,AVERAGE(VLOOKUP(AQ115,'Writing Logic'!$A$3:$B$7,2,FALSE),VLOOKUP(AR115,'Writing Logic'!$A$3:$B$7,2,FALSE),VLOOKUP(AS115,'Writing Logic'!$A$3:$B$7,2,FALSE)),AVERAGE(VLOOKUP(AP115,'Writing Logic'!$A$3:$B$7,2,FALSE),VLOOKUP(AQ115,'Writing Logic'!$A$3:$B$7,2,FALSE),VLOOKUP(AR115,'Writing Logic'!$A$3:$B$7,2,FALSE),VLOOKUP(AS115,'Writing Logic'!$A$3:$B$7,2,FALSE))))),"Fill All 4")</f>
        <v>Fill All 4</v>
      </c>
      <c r="AU115" s="95" t="str">
        <f t="shared" si="9"/>
        <v/>
      </c>
    </row>
    <row r="116" spans="1:47" x14ac:dyDescent="0.25">
      <c r="A116" s="13"/>
      <c r="B116" s="13"/>
      <c r="C116" s="13"/>
      <c r="D116" s="13"/>
      <c r="E116" s="13"/>
      <c r="F116" s="13"/>
      <c r="G116" s="13"/>
      <c r="H116" s="13"/>
      <c r="I116" s="13"/>
      <c r="J116" s="13"/>
      <c r="K116" s="183"/>
      <c r="L116" s="184"/>
      <c r="M116" s="120"/>
      <c r="N116" s="120"/>
      <c r="O116" s="120"/>
      <c r="P116" s="120"/>
      <c r="Q116" s="95" t="str">
        <f>IFERROR(IF(YES_Writing_ELA[[#This Row],[Literacy IPP]]='Writing Logic'!$E$26,"IPP",IF(OR(M116="EAL",N116="EAL",O116="EAL",P116="EAL"),"EAL",IF(M116='Writing Logic'!$A$10,AVERAGE(VLOOKUP(N116,'Writing Logic'!$A$3:$B$7,2,FALSE),VLOOKUP(O116,'Writing Logic'!$A$3:$B$7,2,FALSE),VLOOKUP(P116,'Writing Logic'!$A$3:$B$7,2,FALSE)),AVERAGE(VLOOKUP(M116,'Writing Logic'!$A$3:$B$7,2,FALSE),VLOOKUP(N116,'Writing Logic'!$A$3:$B$7,2,FALSE),VLOOKUP(O116,'Writing Logic'!$A$3:$B$7,2,FALSE),VLOOKUP(P116,'Writing Logic'!$A$3:$B$7,2,FALSE))))),"Fill All 4")</f>
        <v>Fill All 4</v>
      </c>
      <c r="R116" s="120"/>
      <c r="S116" s="120"/>
      <c r="T116" s="120"/>
      <c r="U116" s="120"/>
      <c r="V116" s="95" t="str">
        <f>IFERROR(IF(YES_Writing_ELA[[#This Row],[Literacy IPP]]='Writing Logic'!$E$26,"IPP",IF(OR(R116="EAL",S116="EAL",T116="EAL",U116="EAL"),"EAL",IF(R116='Writing Logic'!$A$10,AVERAGE(VLOOKUP(S116,'Writing Logic'!$A$3:$B$7,2,FALSE),VLOOKUP(T116,'Writing Logic'!$A$3:$B$7,2,FALSE),VLOOKUP(U116,'Writing Logic'!$A$3:$B$7,2,FALSE)),AVERAGE(VLOOKUP(R116,'Writing Logic'!$A$3:$B$7,2,FALSE),VLOOKUP(S116,'Writing Logic'!$A$3:$B$7,2,FALSE),VLOOKUP(T116,'Writing Logic'!$A$3:$B$7,2,FALSE),VLOOKUP(U116,'Writing Logic'!$A$3:$B$7,2,FALSE))))),"Fill All 4")</f>
        <v>Fill All 4</v>
      </c>
      <c r="W116" s="95" t="str">
        <f t="shared" si="5"/>
        <v/>
      </c>
      <c r="X116" s="120"/>
      <c r="Y116" s="120"/>
      <c r="Z116" s="120"/>
      <c r="AA116" s="120"/>
      <c r="AB116" s="95" t="str">
        <f>IFERROR(IF(YES_Writing_ELA[[#This Row],[Literacy IPP]]='Writing Logic'!$E$26,"IPP",IF(OR(X116="EAL",Y116="EAL",Z116="EAL",AA116="EAL"),"EAL",IF(X116='Writing Logic'!$A$10,AVERAGE(VLOOKUP(Y116,'Writing Logic'!$A$3:$B$7,2,FALSE),VLOOKUP(Z116,'Writing Logic'!$A$3:$B$7,2,FALSE),VLOOKUP(AA116,'Writing Logic'!$A$3:$B$7,2,FALSE)),AVERAGE(VLOOKUP(X116,'Writing Logic'!$A$3:$B$7,2,FALSE),VLOOKUP(Y116,'Writing Logic'!$A$3:$B$7,2,FALSE),VLOOKUP(Z116,'Writing Logic'!$A$3:$B$7,2,FALSE),VLOOKUP(AA116,'Writing Logic'!$A$3:$B$7,2,FALSE))))),"Fill All 4")</f>
        <v>Fill All 4</v>
      </c>
      <c r="AC116" s="95" t="str">
        <f t="shared" si="6"/>
        <v/>
      </c>
      <c r="AD116" s="120"/>
      <c r="AE116" s="120"/>
      <c r="AF116" s="120"/>
      <c r="AG116" s="120"/>
      <c r="AH116" s="95" t="str">
        <f>IFERROR(IF(YES_Writing_ELA[[#This Row],[Literacy IPP]]='Writing Logic'!$E$26,"IPP",IF(OR(AD116="EAL",AE116="EAL",AF116="EAL",AG116="EAL"),"EAL",IF(AD116='Writing Logic'!$A$10,AVERAGE(VLOOKUP(AE116,'Writing Logic'!$A$3:$B$7,2,FALSE),VLOOKUP(AF116,'Writing Logic'!$A$3:$B$7,2,FALSE),VLOOKUP(AG116,'Writing Logic'!$A$3:$B$7,2,FALSE)),AVERAGE(VLOOKUP(AD116,'Writing Logic'!$A$3:$B$7,2,FALSE),VLOOKUP(AE116,'Writing Logic'!$A$3:$B$7,2,FALSE),VLOOKUP(AF116,'Writing Logic'!$A$3:$B$7,2,FALSE),VLOOKUP(AG116,'Writing Logic'!$A$3:$B$7,2,FALSE))))),"Fill All 4")</f>
        <v>Fill All 4</v>
      </c>
      <c r="AI116" s="95" t="str">
        <f t="shared" si="7"/>
        <v/>
      </c>
      <c r="AJ116" s="183"/>
      <c r="AK116" s="120"/>
      <c r="AL116" s="120"/>
      <c r="AM116" s="120"/>
      <c r="AN116" s="95" t="str">
        <f>IFERROR(IF(YES_Writing_ELA[[#This Row],[Literacy IPP]]='Writing Logic'!$E$26,"IPP",IF(OR(AJ116="EAL",AK116="EAL",AL116="EAL",AM116="EAL"),"EAL",IF(AJ116='Writing Logic'!$A$10,AVERAGE(VLOOKUP(AK116,'Writing Logic'!$A$3:$B$7,2,FALSE),VLOOKUP(AL116,'Writing Logic'!$A$3:$B$7,2,FALSE),VLOOKUP(AM116,'Writing Logic'!$A$3:$B$7,2,FALSE)),AVERAGE(VLOOKUP(AJ116,'Writing Logic'!$A$3:$B$7,2,FALSE),VLOOKUP(AK116,'Writing Logic'!$A$3:$B$7,2,FALSE),VLOOKUP(AL116,'Writing Logic'!$A$3:$B$7,2,FALSE),VLOOKUP(AM116,'Writing Logic'!$A$3:$B$7,2,FALSE))))),"Fill All 4")</f>
        <v>Fill All 4</v>
      </c>
      <c r="AO116" s="95" t="str">
        <f t="shared" si="8"/>
        <v/>
      </c>
      <c r="AP116" s="120"/>
      <c r="AQ116" s="120"/>
      <c r="AR116" s="120"/>
      <c r="AS116" s="120"/>
      <c r="AT116" s="95" t="str">
        <f>IFERROR(IF(YES_Writing_ELA[[#This Row],[Literacy IPP]]='Writing Logic'!$E$26,"IPP",IF(OR(AP116="EAL",AQ116="EAL",AR116="EAL",AS116="EAL"),"EAL",IF(AP116='Writing Logic'!$A$10,AVERAGE(VLOOKUP(AQ116,'Writing Logic'!$A$3:$B$7,2,FALSE),VLOOKUP(AR116,'Writing Logic'!$A$3:$B$7,2,FALSE),VLOOKUP(AS116,'Writing Logic'!$A$3:$B$7,2,FALSE)),AVERAGE(VLOOKUP(AP116,'Writing Logic'!$A$3:$B$7,2,FALSE),VLOOKUP(AQ116,'Writing Logic'!$A$3:$B$7,2,FALSE),VLOOKUP(AR116,'Writing Logic'!$A$3:$B$7,2,FALSE),VLOOKUP(AS116,'Writing Logic'!$A$3:$B$7,2,FALSE))))),"Fill All 4")</f>
        <v>Fill All 4</v>
      </c>
      <c r="AU116" s="95" t="str">
        <f t="shared" si="9"/>
        <v/>
      </c>
    </row>
    <row r="117" spans="1:47" x14ac:dyDescent="0.25">
      <c r="A117" s="13"/>
      <c r="B117" s="13"/>
      <c r="C117" s="13"/>
      <c r="D117" s="13"/>
      <c r="E117" s="13"/>
      <c r="F117" s="13"/>
      <c r="G117" s="13"/>
      <c r="H117" s="13"/>
      <c r="I117" s="13"/>
      <c r="J117" s="13"/>
      <c r="K117" s="183"/>
      <c r="L117" s="184"/>
      <c r="M117" s="120"/>
      <c r="N117" s="120"/>
      <c r="O117" s="120"/>
      <c r="P117" s="120"/>
      <c r="Q117" s="95" t="str">
        <f>IFERROR(IF(YES_Writing_ELA[[#This Row],[Literacy IPP]]='Writing Logic'!$E$26,"IPP",IF(OR(M117="EAL",N117="EAL",O117="EAL",P117="EAL"),"EAL",IF(M117='Writing Logic'!$A$10,AVERAGE(VLOOKUP(N117,'Writing Logic'!$A$3:$B$7,2,FALSE),VLOOKUP(O117,'Writing Logic'!$A$3:$B$7,2,FALSE),VLOOKUP(P117,'Writing Logic'!$A$3:$B$7,2,FALSE)),AVERAGE(VLOOKUP(M117,'Writing Logic'!$A$3:$B$7,2,FALSE),VLOOKUP(N117,'Writing Logic'!$A$3:$B$7,2,FALSE),VLOOKUP(O117,'Writing Logic'!$A$3:$B$7,2,FALSE),VLOOKUP(P117,'Writing Logic'!$A$3:$B$7,2,FALSE))))),"Fill All 4")</f>
        <v>Fill All 4</v>
      </c>
      <c r="R117" s="120"/>
      <c r="S117" s="120"/>
      <c r="T117" s="120"/>
      <c r="U117" s="120"/>
      <c r="V117" s="95" t="str">
        <f>IFERROR(IF(YES_Writing_ELA[[#This Row],[Literacy IPP]]='Writing Logic'!$E$26,"IPP",IF(OR(R117="EAL",S117="EAL",T117="EAL",U117="EAL"),"EAL",IF(R117='Writing Logic'!$A$10,AVERAGE(VLOOKUP(S117,'Writing Logic'!$A$3:$B$7,2,FALSE),VLOOKUP(T117,'Writing Logic'!$A$3:$B$7,2,FALSE),VLOOKUP(U117,'Writing Logic'!$A$3:$B$7,2,FALSE)),AVERAGE(VLOOKUP(R117,'Writing Logic'!$A$3:$B$7,2,FALSE),VLOOKUP(S117,'Writing Logic'!$A$3:$B$7,2,FALSE),VLOOKUP(T117,'Writing Logic'!$A$3:$B$7,2,FALSE),VLOOKUP(U117,'Writing Logic'!$A$3:$B$7,2,FALSE))))),"Fill All 4")</f>
        <v>Fill All 4</v>
      </c>
      <c r="W117" s="95" t="str">
        <f t="shared" si="5"/>
        <v/>
      </c>
      <c r="X117" s="120"/>
      <c r="Y117" s="120"/>
      <c r="Z117" s="120"/>
      <c r="AA117" s="120"/>
      <c r="AB117" s="95" t="str">
        <f>IFERROR(IF(YES_Writing_ELA[[#This Row],[Literacy IPP]]='Writing Logic'!$E$26,"IPP",IF(OR(X117="EAL",Y117="EAL",Z117="EAL",AA117="EAL"),"EAL",IF(X117='Writing Logic'!$A$10,AVERAGE(VLOOKUP(Y117,'Writing Logic'!$A$3:$B$7,2,FALSE),VLOOKUP(Z117,'Writing Logic'!$A$3:$B$7,2,FALSE),VLOOKUP(AA117,'Writing Logic'!$A$3:$B$7,2,FALSE)),AVERAGE(VLOOKUP(X117,'Writing Logic'!$A$3:$B$7,2,FALSE),VLOOKUP(Y117,'Writing Logic'!$A$3:$B$7,2,FALSE),VLOOKUP(Z117,'Writing Logic'!$A$3:$B$7,2,FALSE),VLOOKUP(AA117,'Writing Logic'!$A$3:$B$7,2,FALSE))))),"Fill All 4")</f>
        <v>Fill All 4</v>
      </c>
      <c r="AC117" s="95" t="str">
        <f t="shared" si="6"/>
        <v/>
      </c>
      <c r="AD117" s="120"/>
      <c r="AE117" s="120"/>
      <c r="AF117" s="120"/>
      <c r="AG117" s="120"/>
      <c r="AH117" s="95" t="str">
        <f>IFERROR(IF(YES_Writing_ELA[[#This Row],[Literacy IPP]]='Writing Logic'!$E$26,"IPP",IF(OR(AD117="EAL",AE117="EAL",AF117="EAL",AG117="EAL"),"EAL",IF(AD117='Writing Logic'!$A$10,AVERAGE(VLOOKUP(AE117,'Writing Logic'!$A$3:$B$7,2,FALSE),VLOOKUP(AF117,'Writing Logic'!$A$3:$B$7,2,FALSE),VLOOKUP(AG117,'Writing Logic'!$A$3:$B$7,2,FALSE)),AVERAGE(VLOOKUP(AD117,'Writing Logic'!$A$3:$B$7,2,FALSE),VLOOKUP(AE117,'Writing Logic'!$A$3:$B$7,2,FALSE),VLOOKUP(AF117,'Writing Logic'!$A$3:$B$7,2,FALSE),VLOOKUP(AG117,'Writing Logic'!$A$3:$B$7,2,FALSE))))),"Fill All 4")</f>
        <v>Fill All 4</v>
      </c>
      <c r="AI117" s="95" t="str">
        <f t="shared" si="7"/>
        <v/>
      </c>
      <c r="AJ117" s="183"/>
      <c r="AK117" s="120"/>
      <c r="AL117" s="120"/>
      <c r="AM117" s="120"/>
      <c r="AN117" s="95" t="str">
        <f>IFERROR(IF(YES_Writing_ELA[[#This Row],[Literacy IPP]]='Writing Logic'!$E$26,"IPP",IF(OR(AJ117="EAL",AK117="EAL",AL117="EAL",AM117="EAL"),"EAL",IF(AJ117='Writing Logic'!$A$10,AVERAGE(VLOOKUP(AK117,'Writing Logic'!$A$3:$B$7,2,FALSE),VLOOKUP(AL117,'Writing Logic'!$A$3:$B$7,2,FALSE),VLOOKUP(AM117,'Writing Logic'!$A$3:$B$7,2,FALSE)),AVERAGE(VLOOKUP(AJ117,'Writing Logic'!$A$3:$B$7,2,FALSE),VLOOKUP(AK117,'Writing Logic'!$A$3:$B$7,2,FALSE),VLOOKUP(AL117,'Writing Logic'!$A$3:$B$7,2,FALSE),VLOOKUP(AM117,'Writing Logic'!$A$3:$B$7,2,FALSE))))),"Fill All 4")</f>
        <v>Fill All 4</v>
      </c>
      <c r="AO117" s="95" t="str">
        <f t="shared" si="8"/>
        <v/>
      </c>
      <c r="AP117" s="120"/>
      <c r="AQ117" s="120"/>
      <c r="AR117" s="120"/>
      <c r="AS117" s="120"/>
      <c r="AT117" s="95" t="str">
        <f>IFERROR(IF(YES_Writing_ELA[[#This Row],[Literacy IPP]]='Writing Logic'!$E$26,"IPP",IF(OR(AP117="EAL",AQ117="EAL",AR117="EAL",AS117="EAL"),"EAL",IF(AP117='Writing Logic'!$A$10,AVERAGE(VLOOKUP(AQ117,'Writing Logic'!$A$3:$B$7,2,FALSE),VLOOKUP(AR117,'Writing Logic'!$A$3:$B$7,2,FALSE),VLOOKUP(AS117,'Writing Logic'!$A$3:$B$7,2,FALSE)),AVERAGE(VLOOKUP(AP117,'Writing Logic'!$A$3:$B$7,2,FALSE),VLOOKUP(AQ117,'Writing Logic'!$A$3:$B$7,2,FALSE),VLOOKUP(AR117,'Writing Logic'!$A$3:$B$7,2,FALSE),VLOOKUP(AS117,'Writing Logic'!$A$3:$B$7,2,FALSE))))),"Fill All 4")</f>
        <v>Fill All 4</v>
      </c>
      <c r="AU117" s="95" t="str">
        <f t="shared" si="9"/>
        <v/>
      </c>
    </row>
    <row r="118" spans="1:47" x14ac:dyDescent="0.25">
      <c r="A118" s="13"/>
      <c r="B118" s="13"/>
      <c r="C118" s="13"/>
      <c r="D118" s="13"/>
      <c r="E118" s="13"/>
      <c r="F118" s="13"/>
      <c r="G118" s="13"/>
      <c r="H118" s="13"/>
      <c r="I118" s="13"/>
      <c r="J118" s="13"/>
      <c r="K118" s="183"/>
      <c r="L118" s="184"/>
      <c r="M118" s="120"/>
      <c r="N118" s="120"/>
      <c r="O118" s="120"/>
      <c r="P118" s="120"/>
      <c r="Q118" s="95" t="str">
        <f>IFERROR(IF(YES_Writing_ELA[[#This Row],[Literacy IPP]]='Writing Logic'!$E$26,"IPP",IF(OR(M118="EAL",N118="EAL",O118="EAL",P118="EAL"),"EAL",IF(M118='Writing Logic'!$A$10,AVERAGE(VLOOKUP(N118,'Writing Logic'!$A$3:$B$7,2,FALSE),VLOOKUP(O118,'Writing Logic'!$A$3:$B$7,2,FALSE),VLOOKUP(P118,'Writing Logic'!$A$3:$B$7,2,FALSE)),AVERAGE(VLOOKUP(M118,'Writing Logic'!$A$3:$B$7,2,FALSE),VLOOKUP(N118,'Writing Logic'!$A$3:$B$7,2,FALSE),VLOOKUP(O118,'Writing Logic'!$A$3:$B$7,2,FALSE),VLOOKUP(P118,'Writing Logic'!$A$3:$B$7,2,FALSE))))),"Fill All 4")</f>
        <v>Fill All 4</v>
      </c>
      <c r="R118" s="120"/>
      <c r="S118" s="120"/>
      <c r="T118" s="120"/>
      <c r="U118" s="120"/>
      <c r="V118" s="95" t="str">
        <f>IFERROR(IF(YES_Writing_ELA[[#This Row],[Literacy IPP]]='Writing Logic'!$E$26,"IPP",IF(OR(R118="EAL",S118="EAL",T118="EAL",U118="EAL"),"EAL",IF(R118='Writing Logic'!$A$10,AVERAGE(VLOOKUP(S118,'Writing Logic'!$A$3:$B$7,2,FALSE),VLOOKUP(T118,'Writing Logic'!$A$3:$B$7,2,FALSE),VLOOKUP(U118,'Writing Logic'!$A$3:$B$7,2,FALSE)),AVERAGE(VLOOKUP(R118,'Writing Logic'!$A$3:$B$7,2,FALSE),VLOOKUP(S118,'Writing Logic'!$A$3:$B$7,2,FALSE),VLOOKUP(T118,'Writing Logic'!$A$3:$B$7,2,FALSE),VLOOKUP(U118,'Writing Logic'!$A$3:$B$7,2,FALSE))))),"Fill All 4")</f>
        <v>Fill All 4</v>
      </c>
      <c r="W118" s="95" t="str">
        <f t="shared" si="5"/>
        <v/>
      </c>
      <c r="X118" s="120"/>
      <c r="Y118" s="120"/>
      <c r="Z118" s="120"/>
      <c r="AA118" s="120"/>
      <c r="AB118" s="95" t="str">
        <f>IFERROR(IF(YES_Writing_ELA[[#This Row],[Literacy IPP]]='Writing Logic'!$E$26,"IPP",IF(OR(X118="EAL",Y118="EAL",Z118="EAL",AA118="EAL"),"EAL",IF(X118='Writing Logic'!$A$10,AVERAGE(VLOOKUP(Y118,'Writing Logic'!$A$3:$B$7,2,FALSE),VLOOKUP(Z118,'Writing Logic'!$A$3:$B$7,2,FALSE),VLOOKUP(AA118,'Writing Logic'!$A$3:$B$7,2,FALSE)),AVERAGE(VLOOKUP(X118,'Writing Logic'!$A$3:$B$7,2,FALSE),VLOOKUP(Y118,'Writing Logic'!$A$3:$B$7,2,FALSE),VLOOKUP(Z118,'Writing Logic'!$A$3:$B$7,2,FALSE),VLOOKUP(AA118,'Writing Logic'!$A$3:$B$7,2,FALSE))))),"Fill All 4")</f>
        <v>Fill All 4</v>
      </c>
      <c r="AC118" s="95" t="str">
        <f t="shared" si="6"/>
        <v/>
      </c>
      <c r="AD118" s="120"/>
      <c r="AE118" s="120"/>
      <c r="AF118" s="120"/>
      <c r="AG118" s="120"/>
      <c r="AH118" s="95" t="str">
        <f>IFERROR(IF(YES_Writing_ELA[[#This Row],[Literacy IPP]]='Writing Logic'!$E$26,"IPP",IF(OR(AD118="EAL",AE118="EAL",AF118="EAL",AG118="EAL"),"EAL",IF(AD118='Writing Logic'!$A$10,AVERAGE(VLOOKUP(AE118,'Writing Logic'!$A$3:$B$7,2,FALSE),VLOOKUP(AF118,'Writing Logic'!$A$3:$B$7,2,FALSE),VLOOKUP(AG118,'Writing Logic'!$A$3:$B$7,2,FALSE)),AVERAGE(VLOOKUP(AD118,'Writing Logic'!$A$3:$B$7,2,FALSE),VLOOKUP(AE118,'Writing Logic'!$A$3:$B$7,2,FALSE),VLOOKUP(AF118,'Writing Logic'!$A$3:$B$7,2,FALSE),VLOOKUP(AG118,'Writing Logic'!$A$3:$B$7,2,FALSE))))),"Fill All 4")</f>
        <v>Fill All 4</v>
      </c>
      <c r="AI118" s="95" t="str">
        <f t="shared" si="7"/>
        <v/>
      </c>
      <c r="AJ118" s="183"/>
      <c r="AK118" s="120"/>
      <c r="AL118" s="120"/>
      <c r="AM118" s="120"/>
      <c r="AN118" s="95" t="str">
        <f>IFERROR(IF(YES_Writing_ELA[[#This Row],[Literacy IPP]]='Writing Logic'!$E$26,"IPP",IF(OR(AJ118="EAL",AK118="EAL",AL118="EAL",AM118="EAL"),"EAL",IF(AJ118='Writing Logic'!$A$10,AVERAGE(VLOOKUP(AK118,'Writing Logic'!$A$3:$B$7,2,FALSE),VLOOKUP(AL118,'Writing Logic'!$A$3:$B$7,2,FALSE),VLOOKUP(AM118,'Writing Logic'!$A$3:$B$7,2,FALSE)),AVERAGE(VLOOKUP(AJ118,'Writing Logic'!$A$3:$B$7,2,FALSE),VLOOKUP(AK118,'Writing Logic'!$A$3:$B$7,2,FALSE),VLOOKUP(AL118,'Writing Logic'!$A$3:$B$7,2,FALSE),VLOOKUP(AM118,'Writing Logic'!$A$3:$B$7,2,FALSE))))),"Fill All 4")</f>
        <v>Fill All 4</v>
      </c>
      <c r="AO118" s="95" t="str">
        <f t="shared" si="8"/>
        <v/>
      </c>
      <c r="AP118" s="120"/>
      <c r="AQ118" s="120"/>
      <c r="AR118" s="120"/>
      <c r="AS118" s="120"/>
      <c r="AT118" s="95" t="str">
        <f>IFERROR(IF(YES_Writing_ELA[[#This Row],[Literacy IPP]]='Writing Logic'!$E$26,"IPP",IF(OR(AP118="EAL",AQ118="EAL",AR118="EAL",AS118="EAL"),"EAL",IF(AP118='Writing Logic'!$A$10,AVERAGE(VLOOKUP(AQ118,'Writing Logic'!$A$3:$B$7,2,FALSE),VLOOKUP(AR118,'Writing Logic'!$A$3:$B$7,2,FALSE),VLOOKUP(AS118,'Writing Logic'!$A$3:$B$7,2,FALSE)),AVERAGE(VLOOKUP(AP118,'Writing Logic'!$A$3:$B$7,2,FALSE),VLOOKUP(AQ118,'Writing Logic'!$A$3:$B$7,2,FALSE),VLOOKUP(AR118,'Writing Logic'!$A$3:$B$7,2,FALSE),VLOOKUP(AS118,'Writing Logic'!$A$3:$B$7,2,FALSE))))),"Fill All 4")</f>
        <v>Fill All 4</v>
      </c>
      <c r="AU118" s="95" t="str">
        <f t="shared" si="9"/>
        <v/>
      </c>
    </row>
    <row r="119" spans="1:47" x14ac:dyDescent="0.25">
      <c r="A119" s="13"/>
      <c r="B119" s="13"/>
      <c r="C119" s="13"/>
      <c r="D119" s="13"/>
      <c r="E119" s="13"/>
      <c r="F119" s="13"/>
      <c r="G119" s="13"/>
      <c r="H119" s="13"/>
      <c r="I119" s="13"/>
      <c r="J119" s="13"/>
      <c r="K119" s="183"/>
      <c r="L119" s="184"/>
      <c r="M119" s="120"/>
      <c r="N119" s="120"/>
      <c r="O119" s="120"/>
      <c r="P119" s="120"/>
      <c r="Q119" s="95" t="str">
        <f>IFERROR(IF(YES_Writing_ELA[[#This Row],[Literacy IPP]]='Writing Logic'!$E$26,"IPP",IF(OR(M119="EAL",N119="EAL",O119="EAL",P119="EAL"),"EAL",IF(M119='Writing Logic'!$A$10,AVERAGE(VLOOKUP(N119,'Writing Logic'!$A$3:$B$7,2,FALSE),VLOOKUP(O119,'Writing Logic'!$A$3:$B$7,2,FALSE),VLOOKUP(P119,'Writing Logic'!$A$3:$B$7,2,FALSE)),AVERAGE(VLOOKUP(M119,'Writing Logic'!$A$3:$B$7,2,FALSE),VLOOKUP(N119,'Writing Logic'!$A$3:$B$7,2,FALSE),VLOOKUP(O119,'Writing Logic'!$A$3:$B$7,2,FALSE),VLOOKUP(P119,'Writing Logic'!$A$3:$B$7,2,FALSE))))),"Fill All 4")</f>
        <v>Fill All 4</v>
      </c>
      <c r="R119" s="120"/>
      <c r="S119" s="120"/>
      <c r="T119" s="120"/>
      <c r="U119" s="120"/>
      <c r="V119" s="95" t="str">
        <f>IFERROR(IF(YES_Writing_ELA[[#This Row],[Literacy IPP]]='Writing Logic'!$E$26,"IPP",IF(OR(R119="EAL",S119="EAL",T119="EAL",U119="EAL"),"EAL",IF(R119='Writing Logic'!$A$10,AVERAGE(VLOOKUP(S119,'Writing Logic'!$A$3:$B$7,2,FALSE),VLOOKUP(T119,'Writing Logic'!$A$3:$B$7,2,FALSE),VLOOKUP(U119,'Writing Logic'!$A$3:$B$7,2,FALSE)),AVERAGE(VLOOKUP(R119,'Writing Logic'!$A$3:$B$7,2,FALSE),VLOOKUP(S119,'Writing Logic'!$A$3:$B$7,2,FALSE),VLOOKUP(T119,'Writing Logic'!$A$3:$B$7,2,FALSE),VLOOKUP(U119,'Writing Logic'!$A$3:$B$7,2,FALSE))))),"Fill All 4")</f>
        <v>Fill All 4</v>
      </c>
      <c r="W119" s="95" t="str">
        <f t="shared" si="5"/>
        <v/>
      </c>
      <c r="X119" s="120"/>
      <c r="Y119" s="120"/>
      <c r="Z119" s="120"/>
      <c r="AA119" s="120"/>
      <c r="AB119" s="95" t="s">
        <v>169</v>
      </c>
      <c r="AC119" s="95" t="str">
        <f t="shared" si="6"/>
        <v/>
      </c>
      <c r="AD119" s="120"/>
      <c r="AE119" s="120"/>
      <c r="AF119" s="120"/>
      <c r="AG119" s="120"/>
      <c r="AH119" s="95" t="str">
        <f>IFERROR(IF(YES_Writing_ELA[[#This Row],[Literacy IPP]]='Writing Logic'!$E$26,"IPP",IF(OR(AD119="EAL",AE119="EAL",AF119="EAL",AG119="EAL"),"EAL",IF(AD119='Writing Logic'!$A$10,AVERAGE(VLOOKUP(AE119,'Writing Logic'!$A$3:$B$7,2,FALSE),VLOOKUP(AF119,'Writing Logic'!$A$3:$B$7,2,FALSE),VLOOKUP(AG119,'Writing Logic'!$A$3:$B$7,2,FALSE)),AVERAGE(VLOOKUP(AD119,'Writing Logic'!$A$3:$B$7,2,FALSE),VLOOKUP(AE119,'Writing Logic'!$A$3:$B$7,2,FALSE),VLOOKUP(AF119,'Writing Logic'!$A$3:$B$7,2,FALSE),VLOOKUP(AG119,'Writing Logic'!$A$3:$B$7,2,FALSE))))),"Fill All 4")</f>
        <v>Fill All 4</v>
      </c>
      <c r="AI119" s="95" t="str">
        <f t="shared" si="7"/>
        <v/>
      </c>
      <c r="AJ119" s="183"/>
      <c r="AK119" s="120"/>
      <c r="AL119" s="120"/>
      <c r="AM119" s="120"/>
      <c r="AN119" s="95" t="str">
        <f>IFERROR(IF(YES_Writing_ELA[[#This Row],[Literacy IPP]]='Writing Logic'!$E$26,"IPP",IF(OR(AJ119="EAL",AK119="EAL",AL119="EAL",AM119="EAL"),"EAL",IF(AJ119='Writing Logic'!$A$10,AVERAGE(VLOOKUP(AK119,'Writing Logic'!$A$3:$B$7,2,FALSE),VLOOKUP(AL119,'Writing Logic'!$A$3:$B$7,2,FALSE),VLOOKUP(AM119,'Writing Logic'!$A$3:$B$7,2,FALSE)),AVERAGE(VLOOKUP(AJ119,'Writing Logic'!$A$3:$B$7,2,FALSE),VLOOKUP(AK119,'Writing Logic'!$A$3:$B$7,2,FALSE),VLOOKUP(AL119,'Writing Logic'!$A$3:$B$7,2,FALSE),VLOOKUP(AM119,'Writing Logic'!$A$3:$B$7,2,FALSE))))),"Fill All 4")</f>
        <v>Fill All 4</v>
      </c>
      <c r="AO119" s="95" t="str">
        <f t="shared" si="8"/>
        <v/>
      </c>
      <c r="AP119" s="120"/>
      <c r="AQ119" s="120"/>
      <c r="AR119" s="120"/>
      <c r="AS119" s="120"/>
      <c r="AT119" s="95" t="str">
        <f>IFERROR(IF(YES_Writing_ELA[[#This Row],[Literacy IPP]]='Writing Logic'!$E$26,"IPP",IF(OR(AP119="EAL",AQ119="EAL",AR119="EAL",AS119="EAL"),"EAL",IF(AP119='Writing Logic'!$A$10,AVERAGE(VLOOKUP(AQ119,'Writing Logic'!$A$3:$B$7,2,FALSE),VLOOKUP(AR119,'Writing Logic'!$A$3:$B$7,2,FALSE),VLOOKUP(AS119,'Writing Logic'!$A$3:$B$7,2,FALSE)),AVERAGE(VLOOKUP(AP119,'Writing Logic'!$A$3:$B$7,2,FALSE),VLOOKUP(AQ119,'Writing Logic'!$A$3:$B$7,2,FALSE),VLOOKUP(AR119,'Writing Logic'!$A$3:$B$7,2,FALSE),VLOOKUP(AS119,'Writing Logic'!$A$3:$B$7,2,FALSE))))),"Fill All 4")</f>
        <v>Fill All 4</v>
      </c>
      <c r="AU119" s="95" t="str">
        <f t="shared" si="9"/>
        <v/>
      </c>
    </row>
    <row r="120" spans="1:47" x14ac:dyDescent="0.25">
      <c r="A120" s="13"/>
      <c r="B120" s="13"/>
      <c r="C120" s="13"/>
      <c r="D120" s="13"/>
      <c r="E120" s="13"/>
      <c r="F120" s="13"/>
      <c r="G120" s="13"/>
      <c r="H120" s="13"/>
      <c r="I120" s="13"/>
      <c r="J120" s="13"/>
      <c r="K120" s="183"/>
      <c r="L120" s="184"/>
      <c r="M120" s="120"/>
      <c r="N120" s="120"/>
      <c r="O120" s="120"/>
      <c r="P120" s="120"/>
      <c r="Q120" s="95" t="str">
        <f>IFERROR(IF(YES_Writing_ELA[[#This Row],[Literacy IPP]]='Writing Logic'!$E$26,"IPP",IF(OR(M120="EAL",N120="EAL",O120="EAL",P120="EAL"),"EAL",IF(M120='Writing Logic'!$A$10,AVERAGE(VLOOKUP(N120,'Writing Logic'!$A$3:$B$7,2,FALSE),VLOOKUP(O120,'Writing Logic'!$A$3:$B$7,2,FALSE),VLOOKUP(P120,'Writing Logic'!$A$3:$B$7,2,FALSE)),AVERAGE(VLOOKUP(M120,'Writing Logic'!$A$3:$B$7,2,FALSE),VLOOKUP(N120,'Writing Logic'!$A$3:$B$7,2,FALSE),VLOOKUP(O120,'Writing Logic'!$A$3:$B$7,2,FALSE),VLOOKUP(P120,'Writing Logic'!$A$3:$B$7,2,FALSE))))),"Fill All 4")</f>
        <v>Fill All 4</v>
      </c>
      <c r="R120" s="120"/>
      <c r="S120" s="120"/>
      <c r="T120" s="120"/>
      <c r="U120" s="120"/>
      <c r="V120" s="95" t="str">
        <f>IFERROR(IF(YES_Writing_ELA[[#This Row],[Literacy IPP]]='Writing Logic'!$E$26,"IPP",IF(OR(R120="EAL",S120="EAL",T120="EAL",U120="EAL"),"EAL",IF(R120='Writing Logic'!$A$10,AVERAGE(VLOOKUP(S120,'Writing Logic'!$A$3:$B$7,2,FALSE),VLOOKUP(T120,'Writing Logic'!$A$3:$B$7,2,FALSE),VLOOKUP(U120,'Writing Logic'!$A$3:$B$7,2,FALSE)),AVERAGE(VLOOKUP(R120,'Writing Logic'!$A$3:$B$7,2,FALSE),VLOOKUP(S120,'Writing Logic'!$A$3:$B$7,2,FALSE),VLOOKUP(T120,'Writing Logic'!$A$3:$B$7,2,FALSE),VLOOKUP(U120,'Writing Logic'!$A$3:$B$7,2,FALSE))))),"Fill All 4")</f>
        <v>Fill All 4</v>
      </c>
      <c r="W120" s="95" t="str">
        <f t="shared" si="5"/>
        <v/>
      </c>
      <c r="X120" s="120"/>
      <c r="Y120" s="120"/>
      <c r="Z120" s="120"/>
      <c r="AA120" s="120"/>
      <c r="AB120" s="95" t="str">
        <f>IFERROR(IF(YES_Writing_ELA[[#This Row],[Literacy IPP]]='Writing Logic'!$E$26,"IPP",IF(OR(X120="EAL",Y120="EAL",Z120="EAL",AA120="EAL"),"EAL",IF(X120='Writing Logic'!$A$10,AVERAGE(VLOOKUP(Y120,'Writing Logic'!$A$3:$B$7,2,FALSE),VLOOKUP(Z120,'Writing Logic'!$A$3:$B$7,2,FALSE),VLOOKUP(AA120,'Writing Logic'!$A$3:$B$7,2,FALSE)),AVERAGE(VLOOKUP(X120,'Writing Logic'!$A$3:$B$7,2,FALSE),VLOOKUP(Y120,'Writing Logic'!$A$3:$B$7,2,FALSE),VLOOKUP(Z120,'Writing Logic'!$A$3:$B$7,2,FALSE),VLOOKUP(AA120,'Writing Logic'!$A$3:$B$7,2,FALSE))))),"Fill All 4")</f>
        <v>Fill All 4</v>
      </c>
      <c r="AC120" s="95" t="str">
        <f t="shared" si="6"/>
        <v/>
      </c>
      <c r="AD120" s="120"/>
      <c r="AE120" s="120"/>
      <c r="AF120" s="120"/>
      <c r="AG120" s="120"/>
      <c r="AH120" s="95" t="str">
        <f>IFERROR(IF(YES_Writing_ELA[[#This Row],[Literacy IPP]]='Writing Logic'!$E$26,"IPP",IF(OR(AD120="EAL",AE120="EAL",AF120="EAL",AG120="EAL"),"EAL",IF(AD120='Writing Logic'!$A$10,AVERAGE(VLOOKUP(AE120,'Writing Logic'!$A$3:$B$7,2,FALSE),VLOOKUP(AF120,'Writing Logic'!$A$3:$B$7,2,FALSE),VLOOKUP(AG120,'Writing Logic'!$A$3:$B$7,2,FALSE)),AVERAGE(VLOOKUP(AD120,'Writing Logic'!$A$3:$B$7,2,FALSE),VLOOKUP(AE120,'Writing Logic'!$A$3:$B$7,2,FALSE),VLOOKUP(AF120,'Writing Logic'!$A$3:$B$7,2,FALSE),VLOOKUP(AG120,'Writing Logic'!$A$3:$B$7,2,FALSE))))),"Fill All 4")</f>
        <v>Fill All 4</v>
      </c>
      <c r="AI120" s="95" t="str">
        <f t="shared" si="7"/>
        <v/>
      </c>
      <c r="AJ120" s="183"/>
      <c r="AK120" s="120"/>
      <c r="AL120" s="120"/>
      <c r="AM120" s="120"/>
      <c r="AN120" s="95" t="str">
        <f>IFERROR(IF(YES_Writing_ELA[[#This Row],[Literacy IPP]]='Writing Logic'!$E$26,"IPP",IF(OR(AJ120="EAL",AK120="EAL",AL120="EAL",AM120="EAL"),"EAL",IF(AJ120='Writing Logic'!$A$10,AVERAGE(VLOOKUP(AK120,'Writing Logic'!$A$3:$B$7,2,FALSE),VLOOKUP(AL120,'Writing Logic'!$A$3:$B$7,2,FALSE),VLOOKUP(AM120,'Writing Logic'!$A$3:$B$7,2,FALSE)),AVERAGE(VLOOKUP(AJ120,'Writing Logic'!$A$3:$B$7,2,FALSE),VLOOKUP(AK120,'Writing Logic'!$A$3:$B$7,2,FALSE),VLOOKUP(AL120,'Writing Logic'!$A$3:$B$7,2,FALSE),VLOOKUP(AM120,'Writing Logic'!$A$3:$B$7,2,FALSE))))),"Fill All 4")</f>
        <v>Fill All 4</v>
      </c>
      <c r="AO120" s="95" t="str">
        <f t="shared" si="8"/>
        <v/>
      </c>
      <c r="AP120" s="120"/>
      <c r="AQ120" s="120"/>
      <c r="AR120" s="120"/>
      <c r="AS120" s="120"/>
      <c r="AT120" s="95" t="str">
        <f>IFERROR(IF(YES_Writing_ELA[[#This Row],[Literacy IPP]]='Writing Logic'!$E$26,"IPP",IF(OR(AP120="EAL",AQ120="EAL",AR120="EAL",AS120="EAL"),"EAL",IF(AP120='Writing Logic'!$A$10,AVERAGE(VLOOKUP(AQ120,'Writing Logic'!$A$3:$B$7,2,FALSE),VLOOKUP(AR120,'Writing Logic'!$A$3:$B$7,2,FALSE),VLOOKUP(AS120,'Writing Logic'!$A$3:$B$7,2,FALSE)),AVERAGE(VLOOKUP(AP120,'Writing Logic'!$A$3:$B$7,2,FALSE),VLOOKUP(AQ120,'Writing Logic'!$A$3:$B$7,2,FALSE),VLOOKUP(AR120,'Writing Logic'!$A$3:$B$7,2,FALSE),VLOOKUP(AS120,'Writing Logic'!$A$3:$B$7,2,FALSE))))),"Fill All 4")</f>
        <v>Fill All 4</v>
      </c>
      <c r="AU120" s="95" t="str">
        <f t="shared" si="9"/>
        <v/>
      </c>
    </row>
    <row r="121" spans="1:47" x14ac:dyDescent="0.25">
      <c r="A121" s="13"/>
      <c r="B121" s="13"/>
      <c r="C121" s="13"/>
      <c r="D121" s="13"/>
      <c r="E121" s="13"/>
      <c r="F121" s="13"/>
      <c r="G121" s="13"/>
      <c r="H121" s="13"/>
      <c r="I121" s="13"/>
      <c r="J121" s="13"/>
      <c r="K121" s="183"/>
      <c r="L121" s="184"/>
      <c r="M121" s="120"/>
      <c r="N121" s="120"/>
      <c r="O121" s="120"/>
      <c r="P121" s="120"/>
      <c r="Q121" s="95" t="str">
        <f>IFERROR(IF(YES_Writing_ELA[[#This Row],[Literacy IPP]]='Writing Logic'!$E$26,"IPP",IF(OR(M121="EAL",N121="EAL",O121="EAL",P121="EAL"),"EAL",IF(M121='Writing Logic'!$A$10,AVERAGE(VLOOKUP(N121,'Writing Logic'!$A$3:$B$7,2,FALSE),VLOOKUP(O121,'Writing Logic'!$A$3:$B$7,2,FALSE),VLOOKUP(P121,'Writing Logic'!$A$3:$B$7,2,FALSE)),AVERAGE(VLOOKUP(M121,'Writing Logic'!$A$3:$B$7,2,FALSE),VLOOKUP(N121,'Writing Logic'!$A$3:$B$7,2,FALSE),VLOOKUP(O121,'Writing Logic'!$A$3:$B$7,2,FALSE),VLOOKUP(P121,'Writing Logic'!$A$3:$B$7,2,FALSE))))),"Fill All 4")</f>
        <v>Fill All 4</v>
      </c>
      <c r="R121" s="120"/>
      <c r="S121" s="120"/>
      <c r="T121" s="120"/>
      <c r="U121" s="120"/>
      <c r="V121" s="95" t="str">
        <f>IFERROR(IF(YES_Writing_ELA[[#This Row],[Literacy IPP]]='Writing Logic'!$E$26,"IPP",IF(OR(R121="EAL",S121="EAL",T121="EAL",U121="EAL"),"EAL",IF(R121='Writing Logic'!$A$10,AVERAGE(VLOOKUP(S121,'Writing Logic'!$A$3:$B$7,2,FALSE),VLOOKUP(T121,'Writing Logic'!$A$3:$B$7,2,FALSE),VLOOKUP(U121,'Writing Logic'!$A$3:$B$7,2,FALSE)),AVERAGE(VLOOKUP(R121,'Writing Logic'!$A$3:$B$7,2,FALSE),VLOOKUP(S121,'Writing Logic'!$A$3:$B$7,2,FALSE),VLOOKUP(T121,'Writing Logic'!$A$3:$B$7,2,FALSE),VLOOKUP(U121,'Writing Logic'!$A$3:$B$7,2,FALSE))))),"Fill All 4")</f>
        <v>Fill All 4</v>
      </c>
      <c r="W121" s="95" t="str">
        <f t="shared" si="5"/>
        <v/>
      </c>
      <c r="X121" s="120"/>
      <c r="Y121" s="120"/>
      <c r="Z121" s="120"/>
      <c r="AA121" s="120"/>
      <c r="AB121" s="95" t="str">
        <f>IFERROR(IF(YES_Writing_ELA[[#This Row],[Literacy IPP]]='Writing Logic'!$E$26,"IPP",IF(OR(X121="EAL",Y121="EAL",Z121="EAL",AA121="EAL"),"EAL",IF(X121='Writing Logic'!$A$10,AVERAGE(VLOOKUP(Y121,'Writing Logic'!$A$3:$B$7,2,FALSE),VLOOKUP(Z121,'Writing Logic'!$A$3:$B$7,2,FALSE),VLOOKUP(AA121,'Writing Logic'!$A$3:$B$7,2,FALSE)),AVERAGE(VLOOKUP(X121,'Writing Logic'!$A$3:$B$7,2,FALSE),VLOOKUP(Y121,'Writing Logic'!$A$3:$B$7,2,FALSE),VLOOKUP(Z121,'Writing Logic'!$A$3:$B$7,2,FALSE),VLOOKUP(AA121,'Writing Logic'!$A$3:$B$7,2,FALSE))))),"Fill All 4")</f>
        <v>Fill All 4</v>
      </c>
      <c r="AC121" s="95" t="str">
        <f t="shared" si="6"/>
        <v/>
      </c>
      <c r="AD121" s="120"/>
      <c r="AE121" s="120"/>
      <c r="AF121" s="120"/>
      <c r="AG121" s="120"/>
      <c r="AH121" s="95" t="str">
        <f>IFERROR(IF(YES_Writing_ELA[[#This Row],[Literacy IPP]]='Writing Logic'!$E$26,"IPP",IF(OR(AD121="EAL",AE121="EAL",AF121="EAL",AG121="EAL"),"EAL",IF(AD121='Writing Logic'!$A$10,AVERAGE(VLOOKUP(AE121,'Writing Logic'!$A$3:$B$7,2,FALSE),VLOOKUP(AF121,'Writing Logic'!$A$3:$B$7,2,FALSE),VLOOKUP(AG121,'Writing Logic'!$A$3:$B$7,2,FALSE)),AVERAGE(VLOOKUP(AD121,'Writing Logic'!$A$3:$B$7,2,FALSE),VLOOKUP(AE121,'Writing Logic'!$A$3:$B$7,2,FALSE),VLOOKUP(AF121,'Writing Logic'!$A$3:$B$7,2,FALSE),VLOOKUP(AG121,'Writing Logic'!$A$3:$B$7,2,FALSE))))),"Fill All 4")</f>
        <v>Fill All 4</v>
      </c>
      <c r="AI121" s="95" t="str">
        <f t="shared" si="7"/>
        <v/>
      </c>
      <c r="AJ121" s="183"/>
      <c r="AK121" s="120"/>
      <c r="AL121" s="120"/>
      <c r="AM121" s="120"/>
      <c r="AN121" s="95" t="str">
        <f>IFERROR(IF(YES_Writing_ELA[[#This Row],[Literacy IPP]]='Writing Logic'!$E$26,"IPP",IF(OR(AJ121="EAL",AK121="EAL",AL121="EAL",AM121="EAL"),"EAL",IF(AJ121='Writing Logic'!$A$10,AVERAGE(VLOOKUP(AK121,'Writing Logic'!$A$3:$B$7,2,FALSE),VLOOKUP(AL121,'Writing Logic'!$A$3:$B$7,2,FALSE),VLOOKUP(AM121,'Writing Logic'!$A$3:$B$7,2,FALSE)),AVERAGE(VLOOKUP(AJ121,'Writing Logic'!$A$3:$B$7,2,FALSE),VLOOKUP(AK121,'Writing Logic'!$A$3:$B$7,2,FALSE),VLOOKUP(AL121,'Writing Logic'!$A$3:$B$7,2,FALSE),VLOOKUP(AM121,'Writing Logic'!$A$3:$B$7,2,FALSE))))),"Fill All 4")</f>
        <v>Fill All 4</v>
      </c>
      <c r="AO121" s="95" t="str">
        <f t="shared" si="8"/>
        <v/>
      </c>
      <c r="AP121" s="120"/>
      <c r="AQ121" s="120"/>
      <c r="AR121" s="120"/>
      <c r="AS121" s="120"/>
      <c r="AT121" s="95" t="str">
        <f>IFERROR(IF(YES_Writing_ELA[[#This Row],[Literacy IPP]]='Writing Logic'!$E$26,"IPP",IF(OR(AP121="EAL",AQ121="EAL",AR121="EAL",AS121="EAL"),"EAL",IF(AP121='Writing Logic'!$A$10,AVERAGE(VLOOKUP(AQ121,'Writing Logic'!$A$3:$B$7,2,FALSE),VLOOKUP(AR121,'Writing Logic'!$A$3:$B$7,2,FALSE),VLOOKUP(AS121,'Writing Logic'!$A$3:$B$7,2,FALSE)),AVERAGE(VLOOKUP(AP121,'Writing Logic'!$A$3:$B$7,2,FALSE),VLOOKUP(AQ121,'Writing Logic'!$A$3:$B$7,2,FALSE),VLOOKUP(AR121,'Writing Logic'!$A$3:$B$7,2,FALSE),VLOOKUP(AS121,'Writing Logic'!$A$3:$B$7,2,FALSE))))),"Fill All 4")</f>
        <v>Fill All 4</v>
      </c>
      <c r="AU121" s="95" t="str">
        <f t="shared" si="9"/>
        <v/>
      </c>
    </row>
    <row r="122" spans="1:47" x14ac:dyDescent="0.25">
      <c r="A122" s="13"/>
      <c r="B122" s="13"/>
      <c r="C122" s="13"/>
      <c r="D122" s="13"/>
      <c r="E122" s="13"/>
      <c r="F122" s="13"/>
      <c r="G122" s="13"/>
      <c r="H122" s="13"/>
      <c r="I122" s="13"/>
      <c r="J122" s="13"/>
      <c r="K122" s="183"/>
      <c r="L122" s="184"/>
      <c r="M122" s="120"/>
      <c r="N122" s="120"/>
      <c r="O122" s="120"/>
      <c r="P122" s="120"/>
      <c r="Q122" s="95" t="str">
        <f>IFERROR(IF(YES_Writing_ELA[[#This Row],[Literacy IPP]]='Writing Logic'!$E$26,"IPP",IF(OR(M122="EAL",N122="EAL",O122="EAL",P122="EAL"),"EAL",IF(M122='Writing Logic'!$A$10,AVERAGE(VLOOKUP(N122,'Writing Logic'!$A$3:$B$7,2,FALSE),VLOOKUP(O122,'Writing Logic'!$A$3:$B$7,2,FALSE),VLOOKUP(P122,'Writing Logic'!$A$3:$B$7,2,FALSE)),AVERAGE(VLOOKUP(M122,'Writing Logic'!$A$3:$B$7,2,FALSE),VLOOKUP(N122,'Writing Logic'!$A$3:$B$7,2,FALSE),VLOOKUP(O122,'Writing Logic'!$A$3:$B$7,2,FALSE),VLOOKUP(P122,'Writing Logic'!$A$3:$B$7,2,FALSE))))),"Fill All 4")</f>
        <v>Fill All 4</v>
      </c>
      <c r="R122" s="120"/>
      <c r="S122" s="120"/>
      <c r="T122" s="120"/>
      <c r="U122" s="120"/>
      <c r="V122" s="95" t="str">
        <f>IFERROR(IF(YES_Writing_ELA[[#This Row],[Literacy IPP]]='Writing Logic'!$E$26,"IPP",IF(OR(R122="EAL",S122="EAL",T122="EAL",U122="EAL"),"EAL",IF(R122='Writing Logic'!$A$10,AVERAGE(VLOOKUP(S122,'Writing Logic'!$A$3:$B$7,2,FALSE),VLOOKUP(T122,'Writing Logic'!$A$3:$B$7,2,FALSE),VLOOKUP(U122,'Writing Logic'!$A$3:$B$7,2,FALSE)),AVERAGE(VLOOKUP(R122,'Writing Logic'!$A$3:$B$7,2,FALSE),VLOOKUP(S122,'Writing Logic'!$A$3:$B$7,2,FALSE),VLOOKUP(T122,'Writing Logic'!$A$3:$B$7,2,FALSE),VLOOKUP(U122,'Writing Logic'!$A$3:$B$7,2,FALSE))))),"Fill All 4")</f>
        <v>Fill All 4</v>
      </c>
      <c r="W122" s="95" t="str">
        <f t="shared" si="5"/>
        <v/>
      </c>
      <c r="X122" s="120"/>
      <c r="Y122" s="120"/>
      <c r="Z122" s="120"/>
      <c r="AA122" s="120"/>
      <c r="AB122" s="95" t="str">
        <f>IFERROR(IF(YES_Writing_ELA[[#This Row],[Literacy IPP]]='Writing Logic'!$E$26,"IPP",IF(OR(X122="EAL",Y122="EAL",Z122="EAL",AA122="EAL"),"EAL",IF(X122='Writing Logic'!$A$10,AVERAGE(VLOOKUP(Y122,'Writing Logic'!$A$3:$B$7,2,FALSE),VLOOKUP(Z122,'Writing Logic'!$A$3:$B$7,2,FALSE),VLOOKUP(AA122,'Writing Logic'!$A$3:$B$7,2,FALSE)),AVERAGE(VLOOKUP(X122,'Writing Logic'!$A$3:$B$7,2,FALSE),VLOOKUP(Y122,'Writing Logic'!$A$3:$B$7,2,FALSE),VLOOKUP(Z122,'Writing Logic'!$A$3:$B$7,2,FALSE),VLOOKUP(AA122,'Writing Logic'!$A$3:$B$7,2,FALSE))))),"Fill All 4")</f>
        <v>Fill All 4</v>
      </c>
      <c r="AC122" s="95" t="str">
        <f t="shared" si="6"/>
        <v/>
      </c>
      <c r="AD122" s="120"/>
      <c r="AE122" s="120"/>
      <c r="AF122" s="120"/>
      <c r="AG122" s="120"/>
      <c r="AH122" s="95" t="str">
        <f>IFERROR(IF(YES_Writing_ELA[[#This Row],[Literacy IPP]]='Writing Logic'!$E$26,"IPP",IF(OR(AD122="EAL",AE122="EAL",AF122="EAL",AG122="EAL"),"EAL",IF(AD122='Writing Logic'!$A$10,AVERAGE(VLOOKUP(AE122,'Writing Logic'!$A$3:$B$7,2,FALSE),VLOOKUP(AF122,'Writing Logic'!$A$3:$B$7,2,FALSE),VLOOKUP(AG122,'Writing Logic'!$A$3:$B$7,2,FALSE)),AVERAGE(VLOOKUP(AD122,'Writing Logic'!$A$3:$B$7,2,FALSE),VLOOKUP(AE122,'Writing Logic'!$A$3:$B$7,2,FALSE),VLOOKUP(AF122,'Writing Logic'!$A$3:$B$7,2,FALSE),VLOOKUP(AG122,'Writing Logic'!$A$3:$B$7,2,FALSE))))),"Fill All 4")</f>
        <v>Fill All 4</v>
      </c>
      <c r="AI122" s="95" t="str">
        <f t="shared" si="7"/>
        <v/>
      </c>
      <c r="AJ122" s="183"/>
      <c r="AK122" s="120"/>
      <c r="AL122" s="120"/>
      <c r="AM122" s="120"/>
      <c r="AN122" s="95" t="str">
        <f>IFERROR(IF(YES_Writing_ELA[[#This Row],[Literacy IPP]]='Writing Logic'!$E$26,"IPP",IF(OR(AJ122="EAL",AK122="EAL",AL122="EAL",AM122="EAL"),"EAL",IF(AJ122='Writing Logic'!$A$10,AVERAGE(VLOOKUP(AK122,'Writing Logic'!$A$3:$B$7,2,FALSE),VLOOKUP(AL122,'Writing Logic'!$A$3:$B$7,2,FALSE),VLOOKUP(AM122,'Writing Logic'!$A$3:$B$7,2,FALSE)),AVERAGE(VLOOKUP(AJ122,'Writing Logic'!$A$3:$B$7,2,FALSE),VLOOKUP(AK122,'Writing Logic'!$A$3:$B$7,2,FALSE),VLOOKUP(AL122,'Writing Logic'!$A$3:$B$7,2,FALSE),VLOOKUP(AM122,'Writing Logic'!$A$3:$B$7,2,FALSE))))),"Fill All 4")</f>
        <v>Fill All 4</v>
      </c>
      <c r="AO122" s="95" t="str">
        <f t="shared" si="8"/>
        <v/>
      </c>
      <c r="AP122" s="120"/>
      <c r="AQ122" s="120"/>
      <c r="AR122" s="120"/>
      <c r="AS122" s="120"/>
      <c r="AT122" s="95" t="str">
        <f>IFERROR(IF(YES_Writing_ELA[[#This Row],[Literacy IPP]]='Writing Logic'!$E$26,"IPP",IF(OR(AP122="EAL",AQ122="EAL",AR122="EAL",AS122="EAL"),"EAL",IF(AP122='Writing Logic'!$A$10,AVERAGE(VLOOKUP(AQ122,'Writing Logic'!$A$3:$B$7,2,FALSE),VLOOKUP(AR122,'Writing Logic'!$A$3:$B$7,2,FALSE),VLOOKUP(AS122,'Writing Logic'!$A$3:$B$7,2,FALSE)),AVERAGE(VLOOKUP(AP122,'Writing Logic'!$A$3:$B$7,2,FALSE),VLOOKUP(AQ122,'Writing Logic'!$A$3:$B$7,2,FALSE),VLOOKUP(AR122,'Writing Logic'!$A$3:$B$7,2,FALSE),VLOOKUP(AS122,'Writing Logic'!$A$3:$B$7,2,FALSE))))),"Fill All 4")</f>
        <v>Fill All 4</v>
      </c>
      <c r="AU122" s="95" t="str">
        <f t="shared" si="9"/>
        <v/>
      </c>
    </row>
    <row r="123" spans="1:47" x14ac:dyDescent="0.25">
      <c r="A123" s="13"/>
      <c r="B123" s="13"/>
      <c r="C123" s="13"/>
      <c r="D123" s="13"/>
      <c r="E123" s="13"/>
      <c r="F123" s="13"/>
      <c r="G123" s="13"/>
      <c r="H123" s="13"/>
      <c r="I123" s="13"/>
      <c r="J123" s="13"/>
      <c r="K123" s="183"/>
      <c r="L123" s="184"/>
      <c r="M123" s="120"/>
      <c r="N123" s="120"/>
      <c r="O123" s="120"/>
      <c r="P123" s="120"/>
      <c r="Q123" s="95" t="str">
        <f>IFERROR(IF(YES_Writing_ELA[[#This Row],[Literacy IPP]]='Writing Logic'!$E$26,"IPP",IF(OR(M123="EAL",N123="EAL",O123="EAL",P123="EAL"),"EAL",IF(M123='Writing Logic'!$A$10,AVERAGE(VLOOKUP(N123,'Writing Logic'!$A$3:$B$7,2,FALSE),VLOOKUP(O123,'Writing Logic'!$A$3:$B$7,2,FALSE),VLOOKUP(P123,'Writing Logic'!$A$3:$B$7,2,FALSE)),AVERAGE(VLOOKUP(M123,'Writing Logic'!$A$3:$B$7,2,FALSE),VLOOKUP(N123,'Writing Logic'!$A$3:$B$7,2,FALSE),VLOOKUP(O123,'Writing Logic'!$A$3:$B$7,2,FALSE),VLOOKUP(P123,'Writing Logic'!$A$3:$B$7,2,FALSE))))),"Fill All 4")</f>
        <v>Fill All 4</v>
      </c>
      <c r="R123" s="120"/>
      <c r="S123" s="120"/>
      <c r="T123" s="120"/>
      <c r="U123" s="120"/>
      <c r="V123" s="95" t="str">
        <f>IFERROR(IF(YES_Writing_ELA[[#This Row],[Literacy IPP]]='Writing Logic'!$E$26,"IPP",IF(OR(R123="EAL",S123="EAL",T123="EAL",U123="EAL"),"EAL",IF(R123='Writing Logic'!$A$10,AVERAGE(VLOOKUP(S123,'Writing Logic'!$A$3:$B$7,2,FALSE),VLOOKUP(T123,'Writing Logic'!$A$3:$B$7,2,FALSE),VLOOKUP(U123,'Writing Logic'!$A$3:$B$7,2,FALSE)),AVERAGE(VLOOKUP(R123,'Writing Logic'!$A$3:$B$7,2,FALSE),VLOOKUP(S123,'Writing Logic'!$A$3:$B$7,2,FALSE),VLOOKUP(T123,'Writing Logic'!$A$3:$B$7,2,FALSE),VLOOKUP(U123,'Writing Logic'!$A$3:$B$7,2,FALSE))))),"Fill All 4")</f>
        <v>Fill All 4</v>
      </c>
      <c r="W123" s="95" t="str">
        <f t="shared" si="5"/>
        <v/>
      </c>
      <c r="X123" s="120"/>
      <c r="Y123" s="120"/>
      <c r="Z123" s="120"/>
      <c r="AA123" s="120"/>
      <c r="AB123" s="95" t="str">
        <f>IFERROR(IF(YES_Writing_ELA[[#This Row],[Literacy IPP]]='Writing Logic'!$E$26,"IPP",IF(OR(X123="EAL",Y123="EAL",Z123="EAL",AA123="EAL"),"EAL",IF(X123='Writing Logic'!$A$10,AVERAGE(VLOOKUP(Y123,'Writing Logic'!$A$3:$B$7,2,FALSE),VLOOKUP(Z123,'Writing Logic'!$A$3:$B$7,2,FALSE),VLOOKUP(AA123,'Writing Logic'!$A$3:$B$7,2,FALSE)),AVERAGE(VLOOKUP(X123,'Writing Logic'!$A$3:$B$7,2,FALSE),VLOOKUP(Y123,'Writing Logic'!$A$3:$B$7,2,FALSE),VLOOKUP(Z123,'Writing Logic'!$A$3:$B$7,2,FALSE),VLOOKUP(AA123,'Writing Logic'!$A$3:$B$7,2,FALSE))))),"Fill All 4")</f>
        <v>Fill All 4</v>
      </c>
      <c r="AC123" s="95" t="str">
        <f t="shared" si="6"/>
        <v/>
      </c>
      <c r="AD123" s="120"/>
      <c r="AE123" s="120"/>
      <c r="AF123" s="120"/>
      <c r="AG123" s="120"/>
      <c r="AH123" s="95" t="str">
        <f>IFERROR(IF(YES_Writing_ELA[[#This Row],[Literacy IPP]]='Writing Logic'!$E$26,"IPP",IF(OR(AD123="EAL",AE123="EAL",AF123="EAL",AG123="EAL"),"EAL",IF(AD123='Writing Logic'!$A$10,AVERAGE(VLOOKUP(AE123,'Writing Logic'!$A$3:$B$7,2,FALSE),VLOOKUP(AF123,'Writing Logic'!$A$3:$B$7,2,FALSE),VLOOKUP(AG123,'Writing Logic'!$A$3:$B$7,2,FALSE)),AVERAGE(VLOOKUP(AD123,'Writing Logic'!$A$3:$B$7,2,FALSE),VLOOKUP(AE123,'Writing Logic'!$A$3:$B$7,2,FALSE),VLOOKUP(AF123,'Writing Logic'!$A$3:$B$7,2,FALSE),VLOOKUP(AG123,'Writing Logic'!$A$3:$B$7,2,FALSE))))),"Fill All 4")</f>
        <v>Fill All 4</v>
      </c>
      <c r="AI123" s="95" t="str">
        <f t="shared" si="7"/>
        <v/>
      </c>
      <c r="AJ123" s="183"/>
      <c r="AK123" s="120"/>
      <c r="AL123" s="120"/>
      <c r="AM123" s="120"/>
      <c r="AN123" s="95" t="str">
        <f>IFERROR(IF(YES_Writing_ELA[[#This Row],[Literacy IPP]]='Writing Logic'!$E$26,"IPP",IF(OR(AJ123="EAL",AK123="EAL",AL123="EAL",AM123="EAL"),"EAL",IF(AJ123='Writing Logic'!$A$10,AVERAGE(VLOOKUP(AK123,'Writing Logic'!$A$3:$B$7,2,FALSE),VLOOKUP(AL123,'Writing Logic'!$A$3:$B$7,2,FALSE),VLOOKUP(AM123,'Writing Logic'!$A$3:$B$7,2,FALSE)),AVERAGE(VLOOKUP(AJ123,'Writing Logic'!$A$3:$B$7,2,FALSE),VLOOKUP(AK123,'Writing Logic'!$A$3:$B$7,2,FALSE),VLOOKUP(AL123,'Writing Logic'!$A$3:$B$7,2,FALSE),VLOOKUP(AM123,'Writing Logic'!$A$3:$B$7,2,FALSE))))),"Fill All 4")</f>
        <v>Fill All 4</v>
      </c>
      <c r="AO123" s="95" t="str">
        <f t="shared" si="8"/>
        <v/>
      </c>
      <c r="AP123" s="120"/>
      <c r="AQ123" s="120"/>
      <c r="AR123" s="120"/>
      <c r="AS123" s="120"/>
      <c r="AT123" s="95" t="str">
        <f>IFERROR(IF(YES_Writing_ELA[[#This Row],[Literacy IPP]]='Writing Logic'!$E$26,"IPP",IF(OR(AP123="EAL",AQ123="EAL",AR123="EAL",AS123="EAL"),"EAL",IF(AP123='Writing Logic'!$A$10,AVERAGE(VLOOKUP(AQ123,'Writing Logic'!$A$3:$B$7,2,FALSE),VLOOKUP(AR123,'Writing Logic'!$A$3:$B$7,2,FALSE),VLOOKUP(AS123,'Writing Logic'!$A$3:$B$7,2,FALSE)),AVERAGE(VLOOKUP(AP123,'Writing Logic'!$A$3:$B$7,2,FALSE),VLOOKUP(AQ123,'Writing Logic'!$A$3:$B$7,2,FALSE),VLOOKUP(AR123,'Writing Logic'!$A$3:$B$7,2,FALSE),VLOOKUP(AS123,'Writing Logic'!$A$3:$B$7,2,FALSE))))),"Fill All 4")</f>
        <v>Fill All 4</v>
      </c>
      <c r="AU123" s="95" t="str">
        <f t="shared" si="9"/>
        <v/>
      </c>
    </row>
    <row r="124" spans="1:47" x14ac:dyDescent="0.25">
      <c r="A124" s="13"/>
      <c r="B124" s="13"/>
      <c r="C124" s="13"/>
      <c r="D124" s="13"/>
      <c r="E124" s="13"/>
      <c r="F124" s="13"/>
      <c r="G124" s="13"/>
      <c r="H124" s="13"/>
      <c r="I124" s="13"/>
      <c r="J124" s="13"/>
      <c r="K124" s="183"/>
      <c r="L124" s="184"/>
      <c r="M124" s="120"/>
      <c r="N124" s="120"/>
      <c r="O124" s="120"/>
      <c r="P124" s="120"/>
      <c r="Q124" s="95" t="str">
        <f>IFERROR(IF(YES_Writing_ELA[[#This Row],[Literacy IPP]]='Writing Logic'!$E$26,"IPP",IF(OR(M124="EAL",N124="EAL",O124="EAL",P124="EAL"),"EAL",IF(M124='Writing Logic'!$A$10,AVERAGE(VLOOKUP(N124,'Writing Logic'!$A$3:$B$7,2,FALSE),VLOOKUP(O124,'Writing Logic'!$A$3:$B$7,2,FALSE),VLOOKUP(P124,'Writing Logic'!$A$3:$B$7,2,FALSE)),AVERAGE(VLOOKUP(M124,'Writing Logic'!$A$3:$B$7,2,FALSE),VLOOKUP(N124,'Writing Logic'!$A$3:$B$7,2,FALSE),VLOOKUP(O124,'Writing Logic'!$A$3:$B$7,2,FALSE),VLOOKUP(P124,'Writing Logic'!$A$3:$B$7,2,FALSE))))),"Fill All 4")</f>
        <v>Fill All 4</v>
      </c>
      <c r="R124" s="120"/>
      <c r="S124" s="120"/>
      <c r="T124" s="120"/>
      <c r="U124" s="120"/>
      <c r="V124" s="95" t="str">
        <f>IFERROR(IF(YES_Writing_ELA[[#This Row],[Literacy IPP]]='Writing Logic'!$E$26,"IPP",IF(OR(R124="EAL",S124="EAL",T124="EAL",U124="EAL"),"EAL",IF(R124='Writing Logic'!$A$10,AVERAGE(VLOOKUP(S124,'Writing Logic'!$A$3:$B$7,2,FALSE),VLOOKUP(T124,'Writing Logic'!$A$3:$B$7,2,FALSE),VLOOKUP(U124,'Writing Logic'!$A$3:$B$7,2,FALSE)),AVERAGE(VLOOKUP(R124,'Writing Logic'!$A$3:$B$7,2,FALSE),VLOOKUP(S124,'Writing Logic'!$A$3:$B$7,2,FALSE),VLOOKUP(T124,'Writing Logic'!$A$3:$B$7,2,FALSE),VLOOKUP(U124,'Writing Logic'!$A$3:$B$7,2,FALSE))))),"Fill All 4")</f>
        <v>Fill All 4</v>
      </c>
      <c r="W124" s="95" t="str">
        <f t="shared" si="5"/>
        <v/>
      </c>
      <c r="X124" s="120"/>
      <c r="Y124" s="120"/>
      <c r="Z124" s="120"/>
      <c r="AA124" s="120"/>
      <c r="AB124" s="95" t="str">
        <f>IFERROR(IF(YES_Writing_ELA[[#This Row],[Literacy IPP]]='Writing Logic'!$E$26,"IPP",IF(OR(X124="EAL",Y124="EAL",Z124="EAL",AA124="EAL"),"EAL",IF(X124='Writing Logic'!$A$10,AVERAGE(VLOOKUP(Y124,'Writing Logic'!$A$3:$B$7,2,FALSE),VLOOKUP(Z124,'Writing Logic'!$A$3:$B$7,2,FALSE),VLOOKUP(AA124,'Writing Logic'!$A$3:$B$7,2,FALSE)),AVERAGE(VLOOKUP(X124,'Writing Logic'!$A$3:$B$7,2,FALSE),VLOOKUP(Y124,'Writing Logic'!$A$3:$B$7,2,FALSE),VLOOKUP(Z124,'Writing Logic'!$A$3:$B$7,2,FALSE),VLOOKUP(AA124,'Writing Logic'!$A$3:$B$7,2,FALSE))))),"Fill All 4")</f>
        <v>Fill All 4</v>
      </c>
      <c r="AC124" s="95" t="str">
        <f t="shared" si="6"/>
        <v/>
      </c>
      <c r="AD124" s="120"/>
      <c r="AE124" s="120"/>
      <c r="AF124" s="120"/>
      <c r="AG124" s="120"/>
      <c r="AH124" s="95" t="str">
        <f>IFERROR(IF(YES_Writing_ELA[[#This Row],[Literacy IPP]]='Writing Logic'!$E$26,"IPP",IF(OR(AD124="EAL",AE124="EAL",AF124="EAL",AG124="EAL"),"EAL",IF(AD124='Writing Logic'!$A$10,AVERAGE(VLOOKUP(AE124,'Writing Logic'!$A$3:$B$7,2,FALSE),VLOOKUP(AF124,'Writing Logic'!$A$3:$B$7,2,FALSE),VLOOKUP(AG124,'Writing Logic'!$A$3:$B$7,2,FALSE)),AVERAGE(VLOOKUP(AD124,'Writing Logic'!$A$3:$B$7,2,FALSE),VLOOKUP(AE124,'Writing Logic'!$A$3:$B$7,2,FALSE),VLOOKUP(AF124,'Writing Logic'!$A$3:$B$7,2,FALSE),VLOOKUP(AG124,'Writing Logic'!$A$3:$B$7,2,FALSE))))),"Fill All 4")</f>
        <v>Fill All 4</v>
      </c>
      <c r="AI124" s="95" t="str">
        <f t="shared" si="7"/>
        <v/>
      </c>
      <c r="AJ124" s="183"/>
      <c r="AK124" s="120"/>
      <c r="AL124" s="120"/>
      <c r="AM124" s="120"/>
      <c r="AN124" s="95" t="str">
        <f>IFERROR(IF(YES_Writing_ELA[[#This Row],[Literacy IPP]]='Writing Logic'!$E$26,"IPP",IF(OR(AJ124="EAL",AK124="EAL",AL124="EAL",AM124="EAL"),"EAL",IF(AJ124='Writing Logic'!$A$10,AVERAGE(VLOOKUP(AK124,'Writing Logic'!$A$3:$B$7,2,FALSE),VLOOKUP(AL124,'Writing Logic'!$A$3:$B$7,2,FALSE),VLOOKUP(AM124,'Writing Logic'!$A$3:$B$7,2,FALSE)),AVERAGE(VLOOKUP(AJ124,'Writing Logic'!$A$3:$B$7,2,FALSE),VLOOKUP(AK124,'Writing Logic'!$A$3:$B$7,2,FALSE),VLOOKUP(AL124,'Writing Logic'!$A$3:$B$7,2,FALSE),VLOOKUP(AM124,'Writing Logic'!$A$3:$B$7,2,FALSE))))),"Fill All 4")</f>
        <v>Fill All 4</v>
      </c>
      <c r="AO124" s="95" t="str">
        <f t="shared" si="8"/>
        <v/>
      </c>
      <c r="AP124" s="120"/>
      <c r="AQ124" s="120"/>
      <c r="AR124" s="120"/>
      <c r="AS124" s="120"/>
      <c r="AT124" s="95" t="str">
        <f>IFERROR(IF(YES_Writing_ELA[[#This Row],[Literacy IPP]]='Writing Logic'!$E$26,"IPP",IF(OR(AP124="EAL",AQ124="EAL",AR124="EAL",AS124="EAL"),"EAL",IF(AP124='Writing Logic'!$A$10,AVERAGE(VLOOKUP(AQ124,'Writing Logic'!$A$3:$B$7,2,FALSE),VLOOKUP(AR124,'Writing Logic'!$A$3:$B$7,2,FALSE),VLOOKUP(AS124,'Writing Logic'!$A$3:$B$7,2,FALSE)),AVERAGE(VLOOKUP(AP124,'Writing Logic'!$A$3:$B$7,2,FALSE),VLOOKUP(AQ124,'Writing Logic'!$A$3:$B$7,2,FALSE),VLOOKUP(AR124,'Writing Logic'!$A$3:$B$7,2,FALSE),VLOOKUP(AS124,'Writing Logic'!$A$3:$B$7,2,FALSE))))),"Fill All 4")</f>
        <v>Fill All 4</v>
      </c>
      <c r="AU124" s="95" t="str">
        <f t="shared" si="9"/>
        <v/>
      </c>
    </row>
    <row r="125" spans="1:47" x14ac:dyDescent="0.25">
      <c r="A125" s="13"/>
      <c r="B125" s="13"/>
      <c r="C125" s="13"/>
      <c r="D125" s="13"/>
      <c r="E125" s="13"/>
      <c r="F125" s="13"/>
      <c r="G125" s="13"/>
      <c r="H125" s="13"/>
      <c r="I125" s="13"/>
      <c r="J125" s="13"/>
      <c r="K125" s="183"/>
      <c r="L125" s="184"/>
      <c r="M125" s="120"/>
      <c r="N125" s="120"/>
      <c r="O125" s="120"/>
      <c r="P125" s="120"/>
      <c r="Q125" s="95" t="str">
        <f>IFERROR(IF(YES_Writing_ELA[[#This Row],[Literacy IPP]]='Writing Logic'!$E$26,"IPP",IF(OR(M125="EAL",N125="EAL",O125="EAL",P125="EAL"),"EAL",IF(M125='Writing Logic'!$A$10,AVERAGE(VLOOKUP(N125,'Writing Logic'!$A$3:$B$7,2,FALSE),VLOOKUP(O125,'Writing Logic'!$A$3:$B$7,2,FALSE),VLOOKUP(P125,'Writing Logic'!$A$3:$B$7,2,FALSE)),AVERAGE(VLOOKUP(M125,'Writing Logic'!$A$3:$B$7,2,FALSE),VLOOKUP(N125,'Writing Logic'!$A$3:$B$7,2,FALSE),VLOOKUP(O125,'Writing Logic'!$A$3:$B$7,2,FALSE),VLOOKUP(P125,'Writing Logic'!$A$3:$B$7,2,FALSE))))),"Fill All 4")</f>
        <v>Fill All 4</v>
      </c>
      <c r="R125" s="120"/>
      <c r="S125" s="120"/>
      <c r="T125" s="120"/>
      <c r="U125" s="120"/>
      <c r="V125" s="95" t="str">
        <f>IFERROR(IF(YES_Writing_ELA[[#This Row],[Literacy IPP]]='Writing Logic'!$E$26,"IPP",IF(OR(R125="EAL",S125="EAL",T125="EAL",U125="EAL"),"EAL",IF(R125='Writing Logic'!$A$10,AVERAGE(VLOOKUP(S125,'Writing Logic'!$A$3:$B$7,2,FALSE),VLOOKUP(T125,'Writing Logic'!$A$3:$B$7,2,FALSE),VLOOKUP(U125,'Writing Logic'!$A$3:$B$7,2,FALSE)),AVERAGE(VLOOKUP(R125,'Writing Logic'!$A$3:$B$7,2,FALSE),VLOOKUP(S125,'Writing Logic'!$A$3:$B$7,2,FALSE),VLOOKUP(T125,'Writing Logic'!$A$3:$B$7,2,FALSE),VLOOKUP(U125,'Writing Logic'!$A$3:$B$7,2,FALSE))))),"Fill All 4")</f>
        <v>Fill All 4</v>
      </c>
      <c r="W125" s="95" t="str">
        <f t="shared" si="5"/>
        <v/>
      </c>
      <c r="X125" s="120"/>
      <c r="Y125" s="120"/>
      <c r="Z125" s="120"/>
      <c r="AA125" s="120"/>
      <c r="AB125" s="95" t="str">
        <f>IFERROR(IF(YES_Writing_ELA[[#This Row],[Literacy IPP]]='Writing Logic'!$E$26,"IPP",IF(OR(X125="EAL",Y125="EAL",Z125="EAL",AA125="EAL"),"EAL",IF(X125='Writing Logic'!$A$10,AVERAGE(VLOOKUP(Y125,'Writing Logic'!$A$3:$B$7,2,FALSE),VLOOKUP(Z125,'Writing Logic'!$A$3:$B$7,2,FALSE),VLOOKUP(AA125,'Writing Logic'!$A$3:$B$7,2,FALSE)),AVERAGE(VLOOKUP(X125,'Writing Logic'!$A$3:$B$7,2,FALSE),VLOOKUP(Y125,'Writing Logic'!$A$3:$B$7,2,FALSE),VLOOKUP(Z125,'Writing Logic'!$A$3:$B$7,2,FALSE),VLOOKUP(AA125,'Writing Logic'!$A$3:$B$7,2,FALSE))))),"Fill All 4")</f>
        <v>Fill All 4</v>
      </c>
      <c r="AC125" s="95" t="str">
        <f t="shared" si="6"/>
        <v/>
      </c>
      <c r="AD125" s="120"/>
      <c r="AE125" s="120"/>
      <c r="AF125" s="120"/>
      <c r="AG125" s="120"/>
      <c r="AH125" s="95" t="str">
        <f>IFERROR(IF(YES_Writing_ELA[[#This Row],[Literacy IPP]]='Writing Logic'!$E$26,"IPP",IF(OR(AD125="EAL",AE125="EAL",AF125="EAL",AG125="EAL"),"EAL",IF(AD125='Writing Logic'!$A$10,AVERAGE(VLOOKUP(AE125,'Writing Logic'!$A$3:$B$7,2,FALSE),VLOOKUP(AF125,'Writing Logic'!$A$3:$B$7,2,FALSE),VLOOKUP(AG125,'Writing Logic'!$A$3:$B$7,2,FALSE)),AVERAGE(VLOOKUP(AD125,'Writing Logic'!$A$3:$B$7,2,FALSE),VLOOKUP(AE125,'Writing Logic'!$A$3:$B$7,2,FALSE),VLOOKUP(AF125,'Writing Logic'!$A$3:$B$7,2,FALSE),VLOOKUP(AG125,'Writing Logic'!$A$3:$B$7,2,FALSE))))),"Fill All 4")</f>
        <v>Fill All 4</v>
      </c>
      <c r="AI125" s="95" t="str">
        <f t="shared" si="7"/>
        <v/>
      </c>
      <c r="AJ125" s="183"/>
      <c r="AK125" s="120"/>
      <c r="AL125" s="120"/>
      <c r="AM125" s="120"/>
      <c r="AN125" s="95" t="str">
        <f>IFERROR(IF(YES_Writing_ELA[[#This Row],[Literacy IPP]]='Writing Logic'!$E$26,"IPP",IF(OR(AJ125="EAL",AK125="EAL",AL125="EAL",AM125="EAL"),"EAL",IF(AJ125='Writing Logic'!$A$10,AVERAGE(VLOOKUP(AK125,'Writing Logic'!$A$3:$B$7,2,FALSE),VLOOKUP(AL125,'Writing Logic'!$A$3:$B$7,2,FALSE),VLOOKUP(AM125,'Writing Logic'!$A$3:$B$7,2,FALSE)),AVERAGE(VLOOKUP(AJ125,'Writing Logic'!$A$3:$B$7,2,FALSE),VLOOKUP(AK125,'Writing Logic'!$A$3:$B$7,2,FALSE),VLOOKUP(AL125,'Writing Logic'!$A$3:$B$7,2,FALSE),VLOOKUP(AM125,'Writing Logic'!$A$3:$B$7,2,FALSE))))),"Fill All 4")</f>
        <v>Fill All 4</v>
      </c>
      <c r="AO125" s="95" t="str">
        <f t="shared" si="8"/>
        <v/>
      </c>
      <c r="AP125" s="120"/>
      <c r="AQ125" s="120"/>
      <c r="AR125" s="120"/>
      <c r="AS125" s="120"/>
      <c r="AT125" s="95" t="str">
        <f>IFERROR(IF(YES_Writing_ELA[[#This Row],[Literacy IPP]]='Writing Logic'!$E$26,"IPP",IF(OR(AP125="EAL",AQ125="EAL",AR125="EAL",AS125="EAL"),"EAL",IF(AP125='Writing Logic'!$A$10,AVERAGE(VLOOKUP(AQ125,'Writing Logic'!$A$3:$B$7,2,FALSE),VLOOKUP(AR125,'Writing Logic'!$A$3:$B$7,2,FALSE),VLOOKUP(AS125,'Writing Logic'!$A$3:$B$7,2,FALSE)),AVERAGE(VLOOKUP(AP125,'Writing Logic'!$A$3:$B$7,2,FALSE),VLOOKUP(AQ125,'Writing Logic'!$A$3:$B$7,2,FALSE),VLOOKUP(AR125,'Writing Logic'!$A$3:$B$7,2,FALSE),VLOOKUP(AS125,'Writing Logic'!$A$3:$B$7,2,FALSE))))),"Fill All 4")</f>
        <v>Fill All 4</v>
      </c>
      <c r="AU125" s="95" t="str">
        <f t="shared" si="9"/>
        <v/>
      </c>
    </row>
    <row r="126" spans="1:47" x14ac:dyDescent="0.25">
      <c r="A126" s="13"/>
      <c r="B126" s="13"/>
      <c r="C126" s="13"/>
      <c r="D126" s="13"/>
      <c r="E126" s="13"/>
      <c r="F126" s="13"/>
      <c r="G126" s="13"/>
      <c r="H126" s="13"/>
      <c r="I126" s="13"/>
      <c r="J126" s="13"/>
      <c r="K126" s="183"/>
      <c r="L126" s="184"/>
      <c r="M126" s="120"/>
      <c r="N126" s="120"/>
      <c r="O126" s="120"/>
      <c r="P126" s="120"/>
      <c r="Q126" s="95" t="str">
        <f>IFERROR(IF(YES_Writing_ELA[[#This Row],[Literacy IPP]]='Writing Logic'!$E$26,"IPP",IF(OR(M126="EAL",N126="EAL",O126="EAL",P126="EAL"),"EAL",IF(M126='Writing Logic'!$A$10,AVERAGE(VLOOKUP(N126,'Writing Logic'!$A$3:$B$7,2,FALSE),VLOOKUP(O126,'Writing Logic'!$A$3:$B$7,2,FALSE),VLOOKUP(P126,'Writing Logic'!$A$3:$B$7,2,FALSE)),AVERAGE(VLOOKUP(M126,'Writing Logic'!$A$3:$B$7,2,FALSE),VLOOKUP(N126,'Writing Logic'!$A$3:$B$7,2,FALSE),VLOOKUP(O126,'Writing Logic'!$A$3:$B$7,2,FALSE),VLOOKUP(P126,'Writing Logic'!$A$3:$B$7,2,FALSE))))),"Fill All 4")</f>
        <v>Fill All 4</v>
      </c>
      <c r="R126" s="120"/>
      <c r="S126" s="120"/>
      <c r="T126" s="120"/>
      <c r="U126" s="120"/>
      <c r="V126" s="95" t="str">
        <f>IFERROR(IF(YES_Writing_ELA[[#This Row],[Literacy IPP]]='Writing Logic'!$E$26,"IPP",IF(OR(R126="EAL",S126="EAL",T126="EAL",U126="EAL"),"EAL",IF(R126='Writing Logic'!$A$10,AVERAGE(VLOOKUP(S126,'Writing Logic'!$A$3:$B$7,2,FALSE),VLOOKUP(T126,'Writing Logic'!$A$3:$B$7,2,FALSE),VLOOKUP(U126,'Writing Logic'!$A$3:$B$7,2,FALSE)),AVERAGE(VLOOKUP(R126,'Writing Logic'!$A$3:$B$7,2,FALSE),VLOOKUP(S126,'Writing Logic'!$A$3:$B$7,2,FALSE),VLOOKUP(T126,'Writing Logic'!$A$3:$B$7,2,FALSE),VLOOKUP(U126,'Writing Logic'!$A$3:$B$7,2,FALSE))))),"Fill All 4")</f>
        <v>Fill All 4</v>
      </c>
      <c r="W126" s="95" t="str">
        <f t="shared" si="5"/>
        <v/>
      </c>
      <c r="X126" s="120"/>
      <c r="Y126" s="120"/>
      <c r="Z126" s="120"/>
      <c r="AA126" s="120"/>
      <c r="AB126" s="95" t="str">
        <f>IFERROR(IF(YES_Writing_ELA[[#This Row],[Literacy IPP]]='Writing Logic'!$E$26,"IPP",IF(OR(X126="EAL",Y126="EAL",Z126="EAL",AA126="EAL"),"EAL",IF(X126='Writing Logic'!$A$10,AVERAGE(VLOOKUP(Y126,'Writing Logic'!$A$3:$B$7,2,FALSE),VLOOKUP(Z126,'Writing Logic'!$A$3:$B$7,2,FALSE),VLOOKUP(AA126,'Writing Logic'!$A$3:$B$7,2,FALSE)),AVERAGE(VLOOKUP(X126,'Writing Logic'!$A$3:$B$7,2,FALSE),VLOOKUP(Y126,'Writing Logic'!$A$3:$B$7,2,FALSE),VLOOKUP(Z126,'Writing Logic'!$A$3:$B$7,2,FALSE),VLOOKUP(AA126,'Writing Logic'!$A$3:$B$7,2,FALSE))))),"Fill All 4")</f>
        <v>Fill All 4</v>
      </c>
      <c r="AC126" s="95" t="str">
        <f t="shared" si="6"/>
        <v/>
      </c>
      <c r="AD126" s="120"/>
      <c r="AE126" s="120"/>
      <c r="AF126" s="120"/>
      <c r="AG126" s="120"/>
      <c r="AH126" s="95" t="str">
        <f>IFERROR(IF(YES_Writing_ELA[[#This Row],[Literacy IPP]]='Writing Logic'!$E$26,"IPP",IF(OR(AD126="EAL",AE126="EAL",AF126="EAL",AG126="EAL"),"EAL",IF(AD126='Writing Logic'!$A$10,AVERAGE(VLOOKUP(AE126,'Writing Logic'!$A$3:$B$7,2,FALSE),VLOOKUP(AF126,'Writing Logic'!$A$3:$B$7,2,FALSE),VLOOKUP(AG126,'Writing Logic'!$A$3:$B$7,2,FALSE)),AVERAGE(VLOOKUP(AD126,'Writing Logic'!$A$3:$B$7,2,FALSE),VLOOKUP(AE126,'Writing Logic'!$A$3:$B$7,2,FALSE),VLOOKUP(AF126,'Writing Logic'!$A$3:$B$7,2,FALSE),VLOOKUP(AG126,'Writing Logic'!$A$3:$B$7,2,FALSE))))),"Fill All 4")</f>
        <v>Fill All 4</v>
      </c>
      <c r="AI126" s="95" t="str">
        <f t="shared" si="7"/>
        <v/>
      </c>
      <c r="AJ126" s="183"/>
      <c r="AK126" s="120"/>
      <c r="AL126" s="120"/>
      <c r="AM126" s="120"/>
      <c r="AN126" s="95" t="str">
        <f>IFERROR(IF(YES_Writing_ELA[[#This Row],[Literacy IPP]]='Writing Logic'!$E$26,"IPP",IF(OR(AJ126="EAL",AK126="EAL",AL126="EAL",AM126="EAL"),"EAL",IF(AJ126='Writing Logic'!$A$10,AVERAGE(VLOOKUP(AK126,'Writing Logic'!$A$3:$B$7,2,FALSE),VLOOKUP(AL126,'Writing Logic'!$A$3:$B$7,2,FALSE),VLOOKUP(AM126,'Writing Logic'!$A$3:$B$7,2,FALSE)),AVERAGE(VLOOKUP(AJ126,'Writing Logic'!$A$3:$B$7,2,FALSE),VLOOKUP(AK126,'Writing Logic'!$A$3:$B$7,2,FALSE),VLOOKUP(AL126,'Writing Logic'!$A$3:$B$7,2,FALSE),VLOOKUP(AM126,'Writing Logic'!$A$3:$B$7,2,FALSE))))),"Fill All 4")</f>
        <v>Fill All 4</v>
      </c>
      <c r="AO126" s="95" t="str">
        <f t="shared" si="8"/>
        <v/>
      </c>
      <c r="AP126" s="120"/>
      <c r="AQ126" s="120"/>
      <c r="AR126" s="120"/>
      <c r="AS126" s="120"/>
      <c r="AT126" s="95" t="str">
        <f>IFERROR(IF(YES_Writing_ELA[[#This Row],[Literacy IPP]]='Writing Logic'!$E$26,"IPP",IF(OR(AP126="EAL",AQ126="EAL",AR126="EAL",AS126="EAL"),"EAL",IF(AP126='Writing Logic'!$A$10,AVERAGE(VLOOKUP(AQ126,'Writing Logic'!$A$3:$B$7,2,FALSE),VLOOKUP(AR126,'Writing Logic'!$A$3:$B$7,2,FALSE),VLOOKUP(AS126,'Writing Logic'!$A$3:$B$7,2,FALSE)),AVERAGE(VLOOKUP(AP126,'Writing Logic'!$A$3:$B$7,2,FALSE),VLOOKUP(AQ126,'Writing Logic'!$A$3:$B$7,2,FALSE),VLOOKUP(AR126,'Writing Logic'!$A$3:$B$7,2,FALSE),VLOOKUP(AS126,'Writing Logic'!$A$3:$B$7,2,FALSE))))),"Fill All 4")</f>
        <v>Fill All 4</v>
      </c>
      <c r="AU126" s="95" t="str">
        <f t="shared" si="9"/>
        <v/>
      </c>
    </row>
    <row r="127" spans="1:47" x14ac:dyDescent="0.25">
      <c r="A127" s="13"/>
      <c r="B127" s="13"/>
      <c r="C127" s="13"/>
      <c r="D127" s="13"/>
      <c r="E127" s="13"/>
      <c r="F127" s="13"/>
      <c r="G127" s="13"/>
      <c r="H127" s="13"/>
      <c r="I127" s="13"/>
      <c r="J127" s="13"/>
      <c r="K127" s="183"/>
      <c r="L127" s="184"/>
      <c r="M127" s="120"/>
      <c r="N127" s="120"/>
      <c r="O127" s="120"/>
      <c r="P127" s="120"/>
      <c r="Q127" s="95" t="str">
        <f>IFERROR(IF(YES_Writing_ELA[[#This Row],[Literacy IPP]]='Writing Logic'!$E$26,"IPP",IF(OR(M127="EAL",N127="EAL",O127="EAL",P127="EAL"),"EAL",IF(M127='Writing Logic'!$A$10,AVERAGE(VLOOKUP(N127,'Writing Logic'!$A$3:$B$7,2,FALSE),VLOOKUP(O127,'Writing Logic'!$A$3:$B$7,2,FALSE),VLOOKUP(P127,'Writing Logic'!$A$3:$B$7,2,FALSE)),AVERAGE(VLOOKUP(M127,'Writing Logic'!$A$3:$B$7,2,FALSE),VLOOKUP(N127,'Writing Logic'!$A$3:$B$7,2,FALSE),VLOOKUP(O127,'Writing Logic'!$A$3:$B$7,2,FALSE),VLOOKUP(P127,'Writing Logic'!$A$3:$B$7,2,FALSE))))),"Fill All 4")</f>
        <v>Fill All 4</v>
      </c>
      <c r="R127" s="120"/>
      <c r="S127" s="120"/>
      <c r="T127" s="120"/>
      <c r="U127" s="120"/>
      <c r="V127" s="95" t="str">
        <f>IFERROR(IF(YES_Writing_ELA[[#This Row],[Literacy IPP]]='Writing Logic'!$E$26,"IPP",IF(OR(R127="EAL",S127="EAL",T127="EAL",U127="EAL"),"EAL",IF(R127='Writing Logic'!$A$10,AVERAGE(VLOOKUP(S127,'Writing Logic'!$A$3:$B$7,2,FALSE),VLOOKUP(T127,'Writing Logic'!$A$3:$B$7,2,FALSE),VLOOKUP(U127,'Writing Logic'!$A$3:$B$7,2,FALSE)),AVERAGE(VLOOKUP(R127,'Writing Logic'!$A$3:$B$7,2,FALSE),VLOOKUP(S127,'Writing Logic'!$A$3:$B$7,2,FALSE),VLOOKUP(T127,'Writing Logic'!$A$3:$B$7,2,FALSE),VLOOKUP(U127,'Writing Logic'!$A$3:$B$7,2,FALSE))))),"Fill All 4")</f>
        <v>Fill All 4</v>
      </c>
      <c r="W127" s="95" t="str">
        <f t="shared" si="5"/>
        <v/>
      </c>
      <c r="X127" s="120"/>
      <c r="Y127" s="120"/>
      <c r="Z127" s="120"/>
      <c r="AA127" s="120"/>
      <c r="AB127" s="95" t="str">
        <f>IFERROR(IF(YES_Writing_ELA[[#This Row],[Literacy IPP]]='Writing Logic'!$E$26,"IPP",IF(OR(X127="EAL",Y127="EAL",Z127="EAL",AA127="EAL"),"EAL",IF(X127='Writing Logic'!$A$10,AVERAGE(VLOOKUP(Y127,'Writing Logic'!$A$3:$B$7,2,FALSE),VLOOKUP(Z127,'Writing Logic'!$A$3:$B$7,2,FALSE),VLOOKUP(AA127,'Writing Logic'!$A$3:$B$7,2,FALSE)),AVERAGE(VLOOKUP(X127,'Writing Logic'!$A$3:$B$7,2,FALSE),VLOOKUP(Y127,'Writing Logic'!$A$3:$B$7,2,FALSE),VLOOKUP(Z127,'Writing Logic'!$A$3:$B$7,2,FALSE),VLOOKUP(AA127,'Writing Logic'!$A$3:$B$7,2,FALSE))))),"Fill All 4")</f>
        <v>Fill All 4</v>
      </c>
      <c r="AC127" s="95" t="str">
        <f t="shared" si="6"/>
        <v/>
      </c>
      <c r="AD127" s="120"/>
      <c r="AE127" s="120"/>
      <c r="AF127" s="120"/>
      <c r="AG127" s="120"/>
      <c r="AH127" s="95" t="str">
        <f>IFERROR(IF(YES_Writing_ELA[[#This Row],[Literacy IPP]]='Writing Logic'!$E$26,"IPP",IF(OR(AD127="EAL",AE127="EAL",AF127="EAL",AG127="EAL"),"EAL",IF(AD127='Writing Logic'!$A$10,AVERAGE(VLOOKUP(AE127,'Writing Logic'!$A$3:$B$7,2,FALSE),VLOOKUP(AF127,'Writing Logic'!$A$3:$B$7,2,FALSE),VLOOKUP(AG127,'Writing Logic'!$A$3:$B$7,2,FALSE)),AVERAGE(VLOOKUP(AD127,'Writing Logic'!$A$3:$B$7,2,FALSE),VLOOKUP(AE127,'Writing Logic'!$A$3:$B$7,2,FALSE),VLOOKUP(AF127,'Writing Logic'!$A$3:$B$7,2,FALSE),VLOOKUP(AG127,'Writing Logic'!$A$3:$B$7,2,FALSE))))),"Fill All 4")</f>
        <v>Fill All 4</v>
      </c>
      <c r="AI127" s="95" t="str">
        <f t="shared" si="7"/>
        <v/>
      </c>
      <c r="AJ127" s="183"/>
      <c r="AK127" s="120"/>
      <c r="AL127" s="120"/>
      <c r="AM127" s="120"/>
      <c r="AN127" s="95" t="str">
        <f>IFERROR(IF(YES_Writing_ELA[[#This Row],[Literacy IPP]]='Writing Logic'!$E$26,"IPP",IF(OR(AJ127="EAL",AK127="EAL",AL127="EAL",AM127="EAL"),"EAL",IF(AJ127='Writing Logic'!$A$10,AVERAGE(VLOOKUP(AK127,'Writing Logic'!$A$3:$B$7,2,FALSE),VLOOKUP(AL127,'Writing Logic'!$A$3:$B$7,2,FALSE),VLOOKUP(AM127,'Writing Logic'!$A$3:$B$7,2,FALSE)),AVERAGE(VLOOKUP(AJ127,'Writing Logic'!$A$3:$B$7,2,FALSE),VLOOKUP(AK127,'Writing Logic'!$A$3:$B$7,2,FALSE),VLOOKUP(AL127,'Writing Logic'!$A$3:$B$7,2,FALSE),VLOOKUP(AM127,'Writing Logic'!$A$3:$B$7,2,FALSE))))),"Fill All 4")</f>
        <v>Fill All 4</v>
      </c>
      <c r="AO127" s="95" t="str">
        <f t="shared" si="8"/>
        <v/>
      </c>
      <c r="AP127" s="120"/>
      <c r="AQ127" s="120"/>
      <c r="AR127" s="120"/>
      <c r="AS127" s="120"/>
      <c r="AT127" s="95" t="str">
        <f>IFERROR(IF(YES_Writing_ELA[[#This Row],[Literacy IPP]]='Writing Logic'!$E$26,"IPP",IF(OR(AP127="EAL",AQ127="EAL",AR127="EAL",AS127="EAL"),"EAL",IF(AP127='Writing Logic'!$A$10,AVERAGE(VLOOKUP(AQ127,'Writing Logic'!$A$3:$B$7,2,FALSE),VLOOKUP(AR127,'Writing Logic'!$A$3:$B$7,2,FALSE),VLOOKUP(AS127,'Writing Logic'!$A$3:$B$7,2,FALSE)),AVERAGE(VLOOKUP(AP127,'Writing Logic'!$A$3:$B$7,2,FALSE),VLOOKUP(AQ127,'Writing Logic'!$A$3:$B$7,2,FALSE),VLOOKUP(AR127,'Writing Logic'!$A$3:$B$7,2,FALSE),VLOOKUP(AS127,'Writing Logic'!$A$3:$B$7,2,FALSE))))),"Fill All 4")</f>
        <v>Fill All 4</v>
      </c>
      <c r="AU127" s="95" t="str">
        <f t="shared" si="9"/>
        <v/>
      </c>
    </row>
    <row r="128" spans="1:47" x14ac:dyDescent="0.25">
      <c r="A128" s="13"/>
      <c r="B128" s="13"/>
      <c r="C128" s="13"/>
      <c r="D128" s="13"/>
      <c r="E128" s="13"/>
      <c r="F128" s="13"/>
      <c r="G128" s="13"/>
      <c r="H128" s="13"/>
      <c r="I128" s="13"/>
      <c r="J128" s="13"/>
      <c r="K128" s="183"/>
      <c r="L128" s="184"/>
      <c r="M128" s="120"/>
      <c r="N128" s="120"/>
      <c r="O128" s="120"/>
      <c r="P128" s="120"/>
      <c r="Q128" s="95" t="str">
        <f>IFERROR(IF(YES_Writing_ELA[[#This Row],[Literacy IPP]]='Writing Logic'!$E$26,"IPP",IF(OR(M128="EAL",N128="EAL",O128="EAL",P128="EAL"),"EAL",IF(M128='Writing Logic'!$A$10,AVERAGE(VLOOKUP(N128,'Writing Logic'!$A$3:$B$7,2,FALSE),VLOOKUP(O128,'Writing Logic'!$A$3:$B$7,2,FALSE),VLOOKUP(P128,'Writing Logic'!$A$3:$B$7,2,FALSE)),AVERAGE(VLOOKUP(M128,'Writing Logic'!$A$3:$B$7,2,FALSE),VLOOKUP(N128,'Writing Logic'!$A$3:$B$7,2,FALSE),VLOOKUP(O128,'Writing Logic'!$A$3:$B$7,2,FALSE),VLOOKUP(P128,'Writing Logic'!$A$3:$B$7,2,FALSE))))),"Fill All 4")</f>
        <v>Fill All 4</v>
      </c>
      <c r="R128" s="120"/>
      <c r="S128" s="120"/>
      <c r="T128" s="120"/>
      <c r="U128" s="120"/>
      <c r="V128" s="95" t="str">
        <f>IFERROR(IF(YES_Writing_ELA[[#This Row],[Literacy IPP]]='Writing Logic'!$E$26,"IPP",IF(OR(R128="EAL",S128="EAL",T128="EAL",U128="EAL"),"EAL",IF(R128='Writing Logic'!$A$10,AVERAGE(VLOOKUP(S128,'Writing Logic'!$A$3:$B$7,2,FALSE),VLOOKUP(T128,'Writing Logic'!$A$3:$B$7,2,FALSE),VLOOKUP(U128,'Writing Logic'!$A$3:$B$7,2,FALSE)),AVERAGE(VLOOKUP(R128,'Writing Logic'!$A$3:$B$7,2,FALSE),VLOOKUP(S128,'Writing Logic'!$A$3:$B$7,2,FALSE),VLOOKUP(T128,'Writing Logic'!$A$3:$B$7,2,FALSE),VLOOKUP(U128,'Writing Logic'!$A$3:$B$7,2,FALSE))))),"Fill All 4")</f>
        <v>Fill All 4</v>
      </c>
      <c r="W128" s="95" t="str">
        <f t="shared" si="5"/>
        <v/>
      </c>
      <c r="X128" s="120"/>
      <c r="Y128" s="120"/>
      <c r="Z128" s="120"/>
      <c r="AA128" s="120"/>
      <c r="AB128" s="95" t="str">
        <f>IFERROR(IF(YES_Writing_ELA[[#This Row],[Literacy IPP]]='Writing Logic'!$E$26,"IPP",IF(OR(X128="EAL",Y128="EAL",Z128="EAL",AA128="EAL"),"EAL",IF(X128='Writing Logic'!$A$10,AVERAGE(VLOOKUP(Y128,'Writing Logic'!$A$3:$B$7,2,FALSE),VLOOKUP(Z128,'Writing Logic'!$A$3:$B$7,2,FALSE),VLOOKUP(AA128,'Writing Logic'!$A$3:$B$7,2,FALSE)),AVERAGE(VLOOKUP(X128,'Writing Logic'!$A$3:$B$7,2,FALSE),VLOOKUP(Y128,'Writing Logic'!$A$3:$B$7,2,FALSE),VLOOKUP(Z128,'Writing Logic'!$A$3:$B$7,2,FALSE),VLOOKUP(AA128,'Writing Logic'!$A$3:$B$7,2,FALSE))))),"Fill All 4")</f>
        <v>Fill All 4</v>
      </c>
      <c r="AC128" s="95" t="str">
        <f t="shared" si="6"/>
        <v/>
      </c>
      <c r="AD128" s="120"/>
      <c r="AE128" s="120"/>
      <c r="AF128" s="120"/>
      <c r="AG128" s="120"/>
      <c r="AH128" s="95" t="str">
        <f>IFERROR(IF(YES_Writing_ELA[[#This Row],[Literacy IPP]]='Writing Logic'!$E$26,"IPP",IF(OR(AD128="EAL",AE128="EAL",AF128="EAL",AG128="EAL"),"EAL",IF(AD128='Writing Logic'!$A$10,AVERAGE(VLOOKUP(AE128,'Writing Logic'!$A$3:$B$7,2,FALSE),VLOOKUP(AF128,'Writing Logic'!$A$3:$B$7,2,FALSE),VLOOKUP(AG128,'Writing Logic'!$A$3:$B$7,2,FALSE)),AVERAGE(VLOOKUP(AD128,'Writing Logic'!$A$3:$B$7,2,FALSE),VLOOKUP(AE128,'Writing Logic'!$A$3:$B$7,2,FALSE),VLOOKUP(AF128,'Writing Logic'!$A$3:$B$7,2,FALSE),VLOOKUP(AG128,'Writing Logic'!$A$3:$B$7,2,FALSE))))),"Fill All 4")</f>
        <v>Fill All 4</v>
      </c>
      <c r="AI128" s="95" t="str">
        <f t="shared" si="7"/>
        <v/>
      </c>
      <c r="AJ128" s="183"/>
      <c r="AK128" s="120"/>
      <c r="AL128" s="120"/>
      <c r="AM128" s="120"/>
      <c r="AN128" s="95" t="str">
        <f>IFERROR(IF(YES_Writing_ELA[[#This Row],[Literacy IPP]]='Writing Logic'!$E$26,"IPP",IF(OR(AJ128="EAL",AK128="EAL",AL128="EAL",AM128="EAL"),"EAL",IF(AJ128='Writing Logic'!$A$10,AVERAGE(VLOOKUP(AK128,'Writing Logic'!$A$3:$B$7,2,FALSE),VLOOKUP(AL128,'Writing Logic'!$A$3:$B$7,2,FALSE),VLOOKUP(AM128,'Writing Logic'!$A$3:$B$7,2,FALSE)),AVERAGE(VLOOKUP(AJ128,'Writing Logic'!$A$3:$B$7,2,FALSE),VLOOKUP(AK128,'Writing Logic'!$A$3:$B$7,2,FALSE),VLOOKUP(AL128,'Writing Logic'!$A$3:$B$7,2,FALSE),VLOOKUP(AM128,'Writing Logic'!$A$3:$B$7,2,FALSE))))),"Fill All 4")</f>
        <v>Fill All 4</v>
      </c>
      <c r="AO128" s="95" t="str">
        <f t="shared" si="8"/>
        <v/>
      </c>
      <c r="AP128" s="120"/>
      <c r="AQ128" s="120"/>
      <c r="AR128" s="120"/>
      <c r="AS128" s="120"/>
      <c r="AT128" s="95" t="str">
        <f>IFERROR(IF(YES_Writing_ELA[[#This Row],[Literacy IPP]]='Writing Logic'!$E$26,"IPP",IF(OR(AP128="EAL",AQ128="EAL",AR128="EAL",AS128="EAL"),"EAL",IF(AP128='Writing Logic'!$A$10,AVERAGE(VLOOKUP(AQ128,'Writing Logic'!$A$3:$B$7,2,FALSE),VLOOKUP(AR128,'Writing Logic'!$A$3:$B$7,2,FALSE),VLOOKUP(AS128,'Writing Logic'!$A$3:$B$7,2,FALSE)),AVERAGE(VLOOKUP(AP128,'Writing Logic'!$A$3:$B$7,2,FALSE),VLOOKUP(AQ128,'Writing Logic'!$A$3:$B$7,2,FALSE),VLOOKUP(AR128,'Writing Logic'!$A$3:$B$7,2,FALSE),VLOOKUP(AS128,'Writing Logic'!$A$3:$B$7,2,FALSE))))),"Fill All 4")</f>
        <v>Fill All 4</v>
      </c>
      <c r="AU128" s="95" t="str">
        <f t="shared" si="9"/>
        <v/>
      </c>
    </row>
    <row r="129" spans="1:47" x14ac:dyDescent="0.25">
      <c r="A129" s="13"/>
      <c r="B129" s="13"/>
      <c r="C129" s="13"/>
      <c r="D129" s="13"/>
      <c r="E129" s="13"/>
      <c r="F129" s="13"/>
      <c r="G129" s="13"/>
      <c r="H129" s="13"/>
      <c r="I129" s="13"/>
      <c r="J129" s="13"/>
      <c r="K129" s="183"/>
      <c r="L129" s="184"/>
      <c r="M129" s="120"/>
      <c r="N129" s="120"/>
      <c r="O129" s="120"/>
      <c r="P129" s="120"/>
      <c r="Q129" s="95" t="str">
        <f>IFERROR(IF(YES_Writing_ELA[[#This Row],[Literacy IPP]]='Writing Logic'!$E$26,"IPP",IF(OR(M129="EAL",N129="EAL",O129="EAL",P129="EAL"),"EAL",IF(M129='Writing Logic'!$A$10,AVERAGE(VLOOKUP(N129,'Writing Logic'!$A$3:$B$7,2,FALSE),VLOOKUP(O129,'Writing Logic'!$A$3:$B$7,2,FALSE),VLOOKUP(P129,'Writing Logic'!$A$3:$B$7,2,FALSE)),AVERAGE(VLOOKUP(M129,'Writing Logic'!$A$3:$B$7,2,FALSE),VLOOKUP(N129,'Writing Logic'!$A$3:$B$7,2,FALSE),VLOOKUP(O129,'Writing Logic'!$A$3:$B$7,2,FALSE),VLOOKUP(P129,'Writing Logic'!$A$3:$B$7,2,FALSE))))),"Fill All 4")</f>
        <v>Fill All 4</v>
      </c>
      <c r="R129" s="120"/>
      <c r="S129" s="120"/>
      <c r="T129" s="120"/>
      <c r="U129" s="120"/>
      <c r="V129" s="95" t="str">
        <f>IFERROR(IF(YES_Writing_ELA[[#This Row],[Literacy IPP]]='Writing Logic'!$E$26,"IPP",IF(OR(R129="EAL",S129="EAL",T129="EAL",U129="EAL"),"EAL",IF(R129='Writing Logic'!$A$10,AVERAGE(VLOOKUP(S129,'Writing Logic'!$A$3:$B$7,2,FALSE),VLOOKUP(T129,'Writing Logic'!$A$3:$B$7,2,FALSE),VLOOKUP(U129,'Writing Logic'!$A$3:$B$7,2,FALSE)),AVERAGE(VLOOKUP(R129,'Writing Logic'!$A$3:$B$7,2,FALSE),VLOOKUP(S129,'Writing Logic'!$A$3:$B$7,2,FALSE),VLOOKUP(T129,'Writing Logic'!$A$3:$B$7,2,FALSE),VLOOKUP(U129,'Writing Logic'!$A$3:$B$7,2,FALSE))))),"Fill All 4")</f>
        <v>Fill All 4</v>
      </c>
      <c r="W129" s="95" t="str">
        <f t="shared" si="5"/>
        <v/>
      </c>
      <c r="X129" s="120"/>
      <c r="Y129" s="120"/>
      <c r="Z129" s="120"/>
      <c r="AA129" s="120"/>
      <c r="AB129" s="95" t="str">
        <f>IFERROR(IF(YES_Writing_ELA[[#This Row],[Literacy IPP]]='Writing Logic'!$E$26,"IPP",IF(OR(X129="EAL",Y129="EAL",Z129="EAL",AA129="EAL"),"EAL",IF(X129='Writing Logic'!$A$10,AVERAGE(VLOOKUP(Y129,'Writing Logic'!$A$3:$B$7,2,FALSE),VLOOKUP(Z129,'Writing Logic'!$A$3:$B$7,2,FALSE),VLOOKUP(AA129,'Writing Logic'!$A$3:$B$7,2,FALSE)),AVERAGE(VLOOKUP(X129,'Writing Logic'!$A$3:$B$7,2,FALSE),VLOOKUP(Y129,'Writing Logic'!$A$3:$B$7,2,FALSE),VLOOKUP(Z129,'Writing Logic'!$A$3:$B$7,2,FALSE),VLOOKUP(AA129,'Writing Logic'!$A$3:$B$7,2,FALSE))))),"Fill All 4")</f>
        <v>Fill All 4</v>
      </c>
      <c r="AC129" s="95" t="str">
        <f t="shared" si="6"/>
        <v/>
      </c>
      <c r="AD129" s="120"/>
      <c r="AE129" s="120"/>
      <c r="AF129" s="120"/>
      <c r="AG129" s="120"/>
      <c r="AH129" s="95" t="str">
        <f>IFERROR(IF(YES_Writing_ELA[[#This Row],[Literacy IPP]]='Writing Logic'!$E$26,"IPP",IF(OR(AD129="EAL",AE129="EAL",AF129="EAL",AG129="EAL"),"EAL",IF(AD129='Writing Logic'!$A$10,AVERAGE(VLOOKUP(AE129,'Writing Logic'!$A$3:$B$7,2,FALSE),VLOOKUP(AF129,'Writing Logic'!$A$3:$B$7,2,FALSE),VLOOKUP(AG129,'Writing Logic'!$A$3:$B$7,2,FALSE)),AVERAGE(VLOOKUP(AD129,'Writing Logic'!$A$3:$B$7,2,FALSE),VLOOKUP(AE129,'Writing Logic'!$A$3:$B$7,2,FALSE),VLOOKUP(AF129,'Writing Logic'!$A$3:$B$7,2,FALSE),VLOOKUP(AG129,'Writing Logic'!$A$3:$B$7,2,FALSE))))),"Fill All 4")</f>
        <v>Fill All 4</v>
      </c>
      <c r="AI129" s="95" t="str">
        <f t="shared" si="7"/>
        <v/>
      </c>
      <c r="AJ129" s="183"/>
      <c r="AK129" s="120"/>
      <c r="AL129" s="120"/>
      <c r="AM129" s="120"/>
      <c r="AN129" s="95" t="str">
        <f>IFERROR(IF(YES_Writing_ELA[[#This Row],[Literacy IPP]]='Writing Logic'!$E$26,"IPP",IF(OR(AJ129="EAL",AK129="EAL",AL129="EAL",AM129="EAL"),"EAL",IF(AJ129='Writing Logic'!$A$10,AVERAGE(VLOOKUP(AK129,'Writing Logic'!$A$3:$B$7,2,FALSE),VLOOKUP(AL129,'Writing Logic'!$A$3:$B$7,2,FALSE),VLOOKUP(AM129,'Writing Logic'!$A$3:$B$7,2,FALSE)),AVERAGE(VLOOKUP(AJ129,'Writing Logic'!$A$3:$B$7,2,FALSE),VLOOKUP(AK129,'Writing Logic'!$A$3:$B$7,2,FALSE),VLOOKUP(AL129,'Writing Logic'!$A$3:$B$7,2,FALSE),VLOOKUP(AM129,'Writing Logic'!$A$3:$B$7,2,FALSE))))),"Fill All 4")</f>
        <v>Fill All 4</v>
      </c>
      <c r="AO129" s="95" t="str">
        <f t="shared" si="8"/>
        <v/>
      </c>
      <c r="AP129" s="120"/>
      <c r="AQ129" s="120"/>
      <c r="AR129" s="120"/>
      <c r="AS129" s="120"/>
      <c r="AT129" s="95" t="str">
        <f>IFERROR(IF(YES_Writing_ELA[[#This Row],[Literacy IPP]]='Writing Logic'!$E$26,"IPP",IF(OR(AP129="EAL",AQ129="EAL",AR129="EAL",AS129="EAL"),"EAL",IF(AP129='Writing Logic'!$A$10,AVERAGE(VLOOKUP(AQ129,'Writing Logic'!$A$3:$B$7,2,FALSE),VLOOKUP(AR129,'Writing Logic'!$A$3:$B$7,2,FALSE),VLOOKUP(AS129,'Writing Logic'!$A$3:$B$7,2,FALSE)),AVERAGE(VLOOKUP(AP129,'Writing Logic'!$A$3:$B$7,2,FALSE),VLOOKUP(AQ129,'Writing Logic'!$A$3:$B$7,2,FALSE),VLOOKUP(AR129,'Writing Logic'!$A$3:$B$7,2,FALSE),VLOOKUP(AS129,'Writing Logic'!$A$3:$B$7,2,FALSE))))),"Fill All 4")</f>
        <v>Fill All 4</v>
      </c>
      <c r="AU129" s="95" t="str">
        <f t="shared" si="9"/>
        <v/>
      </c>
    </row>
    <row r="130" spans="1:47" x14ac:dyDescent="0.25">
      <c r="A130" s="13"/>
      <c r="B130" s="13"/>
      <c r="C130" s="13"/>
      <c r="D130" s="13"/>
      <c r="E130" s="13"/>
      <c r="F130" s="13"/>
      <c r="G130" s="13"/>
      <c r="H130" s="13"/>
      <c r="I130" s="13"/>
      <c r="J130" s="13"/>
      <c r="K130" s="183"/>
      <c r="L130" s="184"/>
      <c r="M130" s="120"/>
      <c r="N130" s="120"/>
      <c r="O130" s="120"/>
      <c r="P130" s="120"/>
      <c r="Q130" s="95" t="str">
        <f>IFERROR(IF(YES_Writing_ELA[[#This Row],[Literacy IPP]]='Writing Logic'!$E$26,"IPP",IF(OR(M130="EAL",N130="EAL",O130="EAL",P130="EAL"),"EAL",IF(M130='Writing Logic'!$A$10,AVERAGE(VLOOKUP(N130,'Writing Logic'!$A$3:$B$7,2,FALSE),VLOOKUP(O130,'Writing Logic'!$A$3:$B$7,2,FALSE),VLOOKUP(P130,'Writing Logic'!$A$3:$B$7,2,FALSE)),AVERAGE(VLOOKUP(M130,'Writing Logic'!$A$3:$B$7,2,FALSE),VLOOKUP(N130,'Writing Logic'!$A$3:$B$7,2,FALSE),VLOOKUP(O130,'Writing Logic'!$A$3:$B$7,2,FALSE),VLOOKUP(P130,'Writing Logic'!$A$3:$B$7,2,FALSE))))),"Fill All 4")</f>
        <v>Fill All 4</v>
      </c>
      <c r="R130" s="120"/>
      <c r="S130" s="120"/>
      <c r="T130" s="120"/>
      <c r="U130" s="120"/>
      <c r="V130" s="95" t="str">
        <f>IFERROR(IF(YES_Writing_ELA[[#This Row],[Literacy IPP]]='Writing Logic'!$E$26,"IPP",IF(OR(R130="EAL",S130="EAL",T130="EAL",U130="EAL"),"EAL",IF(R130='Writing Logic'!$A$10,AVERAGE(VLOOKUP(S130,'Writing Logic'!$A$3:$B$7,2,FALSE),VLOOKUP(T130,'Writing Logic'!$A$3:$B$7,2,FALSE),VLOOKUP(U130,'Writing Logic'!$A$3:$B$7,2,FALSE)),AVERAGE(VLOOKUP(R130,'Writing Logic'!$A$3:$B$7,2,FALSE),VLOOKUP(S130,'Writing Logic'!$A$3:$B$7,2,FALSE),VLOOKUP(T130,'Writing Logic'!$A$3:$B$7,2,FALSE),VLOOKUP(U130,'Writing Logic'!$A$3:$B$7,2,FALSE))))),"Fill All 4")</f>
        <v>Fill All 4</v>
      </c>
      <c r="W130" s="95" t="str">
        <f t="shared" si="5"/>
        <v/>
      </c>
      <c r="X130" s="120"/>
      <c r="Y130" s="120"/>
      <c r="Z130" s="120"/>
      <c r="AA130" s="120"/>
      <c r="AB130" s="95" t="str">
        <f>IFERROR(IF(YES_Writing_ELA[[#This Row],[Literacy IPP]]='Writing Logic'!$E$26,"IPP",IF(OR(X130="EAL",Y130="EAL",Z130="EAL",AA130="EAL"),"EAL",IF(X130='Writing Logic'!$A$10,AVERAGE(VLOOKUP(Y130,'Writing Logic'!$A$3:$B$7,2,FALSE),VLOOKUP(Z130,'Writing Logic'!$A$3:$B$7,2,FALSE),VLOOKUP(AA130,'Writing Logic'!$A$3:$B$7,2,FALSE)),AVERAGE(VLOOKUP(X130,'Writing Logic'!$A$3:$B$7,2,FALSE),VLOOKUP(Y130,'Writing Logic'!$A$3:$B$7,2,FALSE),VLOOKUP(Z130,'Writing Logic'!$A$3:$B$7,2,FALSE),VLOOKUP(AA130,'Writing Logic'!$A$3:$B$7,2,FALSE))))),"Fill All 4")</f>
        <v>Fill All 4</v>
      </c>
      <c r="AC130" s="95" t="str">
        <f t="shared" si="6"/>
        <v/>
      </c>
      <c r="AD130" s="120"/>
      <c r="AE130" s="120"/>
      <c r="AF130" s="120"/>
      <c r="AG130" s="120"/>
      <c r="AH130" s="95" t="str">
        <f>IFERROR(IF(YES_Writing_ELA[[#This Row],[Literacy IPP]]='Writing Logic'!$E$26,"IPP",IF(OR(AD130="EAL",AE130="EAL",AF130="EAL",AG130="EAL"),"EAL",IF(AD130='Writing Logic'!$A$10,AVERAGE(VLOOKUP(AE130,'Writing Logic'!$A$3:$B$7,2,FALSE),VLOOKUP(AF130,'Writing Logic'!$A$3:$B$7,2,FALSE),VLOOKUP(AG130,'Writing Logic'!$A$3:$B$7,2,FALSE)),AVERAGE(VLOOKUP(AD130,'Writing Logic'!$A$3:$B$7,2,FALSE),VLOOKUP(AE130,'Writing Logic'!$A$3:$B$7,2,FALSE),VLOOKUP(AF130,'Writing Logic'!$A$3:$B$7,2,FALSE),VLOOKUP(AG130,'Writing Logic'!$A$3:$B$7,2,FALSE))))),"Fill All 4")</f>
        <v>Fill All 4</v>
      </c>
      <c r="AI130" s="95" t="str">
        <f t="shared" si="7"/>
        <v/>
      </c>
      <c r="AJ130" s="183"/>
      <c r="AK130" s="120"/>
      <c r="AL130" s="120"/>
      <c r="AM130" s="120"/>
      <c r="AN130" s="95" t="str">
        <f>IFERROR(IF(YES_Writing_ELA[[#This Row],[Literacy IPP]]='Writing Logic'!$E$26,"IPP",IF(OR(AJ130="EAL",AK130="EAL",AL130="EAL",AM130="EAL"),"EAL",IF(AJ130='Writing Logic'!$A$10,AVERAGE(VLOOKUP(AK130,'Writing Logic'!$A$3:$B$7,2,FALSE),VLOOKUP(AL130,'Writing Logic'!$A$3:$B$7,2,FALSE),VLOOKUP(AM130,'Writing Logic'!$A$3:$B$7,2,FALSE)),AVERAGE(VLOOKUP(AJ130,'Writing Logic'!$A$3:$B$7,2,FALSE),VLOOKUP(AK130,'Writing Logic'!$A$3:$B$7,2,FALSE),VLOOKUP(AL130,'Writing Logic'!$A$3:$B$7,2,FALSE),VLOOKUP(AM130,'Writing Logic'!$A$3:$B$7,2,FALSE))))),"Fill All 4")</f>
        <v>Fill All 4</v>
      </c>
      <c r="AO130" s="95" t="str">
        <f t="shared" si="8"/>
        <v/>
      </c>
      <c r="AP130" s="120"/>
      <c r="AQ130" s="120"/>
      <c r="AR130" s="120"/>
      <c r="AS130" s="120"/>
      <c r="AT130" s="95" t="str">
        <f>IFERROR(IF(YES_Writing_ELA[[#This Row],[Literacy IPP]]='Writing Logic'!$E$26,"IPP",IF(OR(AP130="EAL",AQ130="EAL",AR130="EAL",AS130="EAL"),"EAL",IF(AP130='Writing Logic'!$A$10,AVERAGE(VLOOKUP(AQ130,'Writing Logic'!$A$3:$B$7,2,FALSE),VLOOKUP(AR130,'Writing Logic'!$A$3:$B$7,2,FALSE),VLOOKUP(AS130,'Writing Logic'!$A$3:$B$7,2,FALSE)),AVERAGE(VLOOKUP(AP130,'Writing Logic'!$A$3:$B$7,2,FALSE),VLOOKUP(AQ130,'Writing Logic'!$A$3:$B$7,2,FALSE),VLOOKUP(AR130,'Writing Logic'!$A$3:$B$7,2,FALSE),VLOOKUP(AS130,'Writing Logic'!$A$3:$B$7,2,FALSE))))),"Fill All 4")</f>
        <v>Fill All 4</v>
      </c>
      <c r="AU130" s="95" t="str">
        <f t="shared" si="9"/>
        <v/>
      </c>
    </row>
    <row r="131" spans="1:47" x14ac:dyDescent="0.25">
      <c r="A131" s="13"/>
      <c r="B131" s="13"/>
      <c r="C131" s="13"/>
      <c r="D131" s="13"/>
      <c r="E131" s="13"/>
      <c r="F131" s="13"/>
      <c r="G131" s="13"/>
      <c r="H131" s="13"/>
      <c r="I131" s="13"/>
      <c r="J131" s="13"/>
      <c r="K131" s="183"/>
      <c r="L131" s="184"/>
      <c r="M131" s="120"/>
      <c r="N131" s="120"/>
      <c r="O131" s="120"/>
      <c r="P131" s="120"/>
      <c r="Q131" s="95" t="str">
        <f>IFERROR(IF(YES_Writing_ELA[[#This Row],[Literacy IPP]]='Writing Logic'!$E$26,"IPP",IF(OR(M131="EAL",N131="EAL",O131="EAL",P131="EAL"),"EAL",IF(M131='Writing Logic'!$A$10,AVERAGE(VLOOKUP(N131,'Writing Logic'!$A$3:$B$7,2,FALSE),VLOOKUP(O131,'Writing Logic'!$A$3:$B$7,2,FALSE),VLOOKUP(P131,'Writing Logic'!$A$3:$B$7,2,FALSE)),AVERAGE(VLOOKUP(M131,'Writing Logic'!$A$3:$B$7,2,FALSE),VLOOKUP(N131,'Writing Logic'!$A$3:$B$7,2,FALSE),VLOOKUP(O131,'Writing Logic'!$A$3:$B$7,2,FALSE),VLOOKUP(P131,'Writing Logic'!$A$3:$B$7,2,FALSE))))),"Fill All 4")</f>
        <v>Fill All 4</v>
      </c>
      <c r="R131" s="120"/>
      <c r="S131" s="120"/>
      <c r="T131" s="120"/>
      <c r="U131" s="120"/>
      <c r="V131" s="95" t="str">
        <f>IFERROR(IF(YES_Writing_ELA[[#This Row],[Literacy IPP]]='Writing Logic'!$E$26,"IPP",IF(OR(R131="EAL",S131="EAL",T131="EAL",U131="EAL"),"EAL",IF(R131='Writing Logic'!$A$10,AVERAGE(VLOOKUP(S131,'Writing Logic'!$A$3:$B$7,2,FALSE),VLOOKUP(T131,'Writing Logic'!$A$3:$B$7,2,FALSE),VLOOKUP(U131,'Writing Logic'!$A$3:$B$7,2,FALSE)),AVERAGE(VLOOKUP(R131,'Writing Logic'!$A$3:$B$7,2,FALSE),VLOOKUP(S131,'Writing Logic'!$A$3:$B$7,2,FALSE),VLOOKUP(T131,'Writing Logic'!$A$3:$B$7,2,FALSE),VLOOKUP(U131,'Writing Logic'!$A$3:$B$7,2,FALSE))))),"Fill All 4")</f>
        <v>Fill All 4</v>
      </c>
      <c r="W131" s="95" t="str">
        <f t="shared" si="5"/>
        <v/>
      </c>
      <c r="X131" s="120"/>
      <c r="Y131" s="120"/>
      <c r="Z131" s="120"/>
      <c r="AA131" s="120"/>
      <c r="AB131" s="95" t="str">
        <f>IFERROR(IF(YES_Writing_ELA[[#This Row],[Literacy IPP]]='Writing Logic'!$E$26,"IPP",IF(OR(X131="EAL",Y131="EAL",Z131="EAL",AA131="EAL"),"EAL",IF(X131='Writing Logic'!$A$10,AVERAGE(VLOOKUP(Y131,'Writing Logic'!$A$3:$B$7,2,FALSE),VLOOKUP(Z131,'Writing Logic'!$A$3:$B$7,2,FALSE),VLOOKUP(AA131,'Writing Logic'!$A$3:$B$7,2,FALSE)),AVERAGE(VLOOKUP(X131,'Writing Logic'!$A$3:$B$7,2,FALSE),VLOOKUP(Y131,'Writing Logic'!$A$3:$B$7,2,FALSE),VLOOKUP(Z131,'Writing Logic'!$A$3:$B$7,2,FALSE),VLOOKUP(AA131,'Writing Logic'!$A$3:$B$7,2,FALSE))))),"Fill All 4")</f>
        <v>Fill All 4</v>
      </c>
      <c r="AC131" s="95" t="str">
        <f t="shared" si="6"/>
        <v/>
      </c>
      <c r="AD131" s="120"/>
      <c r="AE131" s="120"/>
      <c r="AF131" s="120"/>
      <c r="AG131" s="120"/>
      <c r="AH131" s="95" t="str">
        <f>IFERROR(IF(YES_Writing_ELA[[#This Row],[Literacy IPP]]='Writing Logic'!$E$26,"IPP",IF(OR(AD131="EAL",AE131="EAL",AF131="EAL",AG131="EAL"),"EAL",IF(AD131='Writing Logic'!$A$10,AVERAGE(VLOOKUP(AE131,'Writing Logic'!$A$3:$B$7,2,FALSE),VLOOKUP(AF131,'Writing Logic'!$A$3:$B$7,2,FALSE),VLOOKUP(AG131,'Writing Logic'!$A$3:$B$7,2,FALSE)),AVERAGE(VLOOKUP(AD131,'Writing Logic'!$A$3:$B$7,2,FALSE),VLOOKUP(AE131,'Writing Logic'!$A$3:$B$7,2,FALSE),VLOOKUP(AF131,'Writing Logic'!$A$3:$B$7,2,FALSE),VLOOKUP(AG131,'Writing Logic'!$A$3:$B$7,2,FALSE))))),"Fill All 4")</f>
        <v>Fill All 4</v>
      </c>
      <c r="AI131" s="95" t="str">
        <f t="shared" si="7"/>
        <v/>
      </c>
      <c r="AJ131" s="183"/>
      <c r="AK131" s="120"/>
      <c r="AL131" s="120"/>
      <c r="AM131" s="120"/>
      <c r="AN131" s="95" t="str">
        <f>IFERROR(IF(YES_Writing_ELA[[#This Row],[Literacy IPP]]='Writing Logic'!$E$26,"IPP",IF(OR(AJ131="EAL",AK131="EAL",AL131="EAL",AM131="EAL"),"EAL",IF(AJ131='Writing Logic'!$A$10,AVERAGE(VLOOKUP(AK131,'Writing Logic'!$A$3:$B$7,2,FALSE),VLOOKUP(AL131,'Writing Logic'!$A$3:$B$7,2,FALSE),VLOOKUP(AM131,'Writing Logic'!$A$3:$B$7,2,FALSE)),AVERAGE(VLOOKUP(AJ131,'Writing Logic'!$A$3:$B$7,2,FALSE),VLOOKUP(AK131,'Writing Logic'!$A$3:$B$7,2,FALSE),VLOOKUP(AL131,'Writing Logic'!$A$3:$B$7,2,FALSE),VLOOKUP(AM131,'Writing Logic'!$A$3:$B$7,2,FALSE))))),"Fill All 4")</f>
        <v>Fill All 4</v>
      </c>
      <c r="AO131" s="95" t="str">
        <f t="shared" si="8"/>
        <v/>
      </c>
      <c r="AP131" s="120"/>
      <c r="AQ131" s="120"/>
      <c r="AR131" s="120"/>
      <c r="AS131" s="120"/>
      <c r="AT131" s="95" t="str">
        <f>IFERROR(IF(YES_Writing_ELA[[#This Row],[Literacy IPP]]='Writing Logic'!$E$26,"IPP",IF(OR(AP131="EAL",AQ131="EAL",AR131="EAL",AS131="EAL"),"EAL",IF(AP131='Writing Logic'!$A$10,AVERAGE(VLOOKUP(AQ131,'Writing Logic'!$A$3:$B$7,2,FALSE),VLOOKUP(AR131,'Writing Logic'!$A$3:$B$7,2,FALSE),VLOOKUP(AS131,'Writing Logic'!$A$3:$B$7,2,FALSE)),AVERAGE(VLOOKUP(AP131,'Writing Logic'!$A$3:$B$7,2,FALSE),VLOOKUP(AQ131,'Writing Logic'!$A$3:$B$7,2,FALSE),VLOOKUP(AR131,'Writing Logic'!$A$3:$B$7,2,FALSE),VLOOKUP(AS131,'Writing Logic'!$A$3:$B$7,2,FALSE))))),"Fill All 4")</f>
        <v>Fill All 4</v>
      </c>
      <c r="AU131" s="95" t="str">
        <f t="shared" si="9"/>
        <v/>
      </c>
    </row>
    <row r="132" spans="1:47" x14ac:dyDescent="0.25">
      <c r="A132" s="13"/>
      <c r="B132" s="13"/>
      <c r="C132" s="13"/>
      <c r="D132" s="13"/>
      <c r="E132" s="13"/>
      <c r="F132" s="13"/>
      <c r="G132" s="13"/>
      <c r="H132" s="13"/>
      <c r="I132" s="13"/>
      <c r="J132" s="13"/>
      <c r="K132" s="183"/>
      <c r="L132" s="184"/>
      <c r="M132" s="120"/>
      <c r="N132" s="120"/>
      <c r="O132" s="120"/>
      <c r="P132" s="120"/>
      <c r="Q132" s="95" t="str">
        <f>IFERROR(IF(YES_Writing_ELA[[#This Row],[Literacy IPP]]='Writing Logic'!$E$26,"IPP",IF(OR(M132="EAL",N132="EAL",O132="EAL",P132="EAL"),"EAL",IF(M132='Writing Logic'!$A$10,AVERAGE(VLOOKUP(N132,'Writing Logic'!$A$3:$B$7,2,FALSE),VLOOKUP(O132,'Writing Logic'!$A$3:$B$7,2,FALSE),VLOOKUP(P132,'Writing Logic'!$A$3:$B$7,2,FALSE)),AVERAGE(VLOOKUP(M132,'Writing Logic'!$A$3:$B$7,2,FALSE),VLOOKUP(N132,'Writing Logic'!$A$3:$B$7,2,FALSE),VLOOKUP(O132,'Writing Logic'!$A$3:$B$7,2,FALSE),VLOOKUP(P132,'Writing Logic'!$A$3:$B$7,2,FALSE))))),"Fill All 4")</f>
        <v>Fill All 4</v>
      </c>
      <c r="R132" s="120"/>
      <c r="S132" s="120"/>
      <c r="T132" s="120"/>
      <c r="U132" s="120"/>
      <c r="V132" s="95" t="str">
        <f>IFERROR(IF(YES_Writing_ELA[[#This Row],[Literacy IPP]]='Writing Logic'!$E$26,"IPP",IF(OR(R132="EAL",S132="EAL",T132="EAL",U132="EAL"),"EAL",IF(R132='Writing Logic'!$A$10,AVERAGE(VLOOKUP(S132,'Writing Logic'!$A$3:$B$7,2,FALSE),VLOOKUP(T132,'Writing Logic'!$A$3:$B$7,2,FALSE),VLOOKUP(U132,'Writing Logic'!$A$3:$B$7,2,FALSE)),AVERAGE(VLOOKUP(R132,'Writing Logic'!$A$3:$B$7,2,FALSE),VLOOKUP(S132,'Writing Logic'!$A$3:$B$7,2,FALSE),VLOOKUP(T132,'Writing Logic'!$A$3:$B$7,2,FALSE),VLOOKUP(U132,'Writing Logic'!$A$3:$B$7,2,FALSE))))),"Fill All 4")</f>
        <v>Fill All 4</v>
      </c>
      <c r="W132" s="95" t="str">
        <f t="shared" ref="W132:W197" si="10">IFERROR(V132-$Q132,"")</f>
        <v/>
      </c>
      <c r="X132" s="120"/>
      <c r="Y132" s="120"/>
      <c r="Z132" s="120"/>
      <c r="AA132" s="120"/>
      <c r="AB132" s="95" t="str">
        <f>IFERROR(IF(YES_Writing_ELA[[#This Row],[Literacy IPP]]='Writing Logic'!$E$26,"IPP",IF(OR(X132="EAL",Y132="EAL",Z132="EAL",AA132="EAL"),"EAL",IF(X132='Writing Logic'!$A$10,AVERAGE(VLOOKUP(Y132,'Writing Logic'!$A$3:$B$7,2,FALSE),VLOOKUP(Z132,'Writing Logic'!$A$3:$B$7,2,FALSE),VLOOKUP(AA132,'Writing Logic'!$A$3:$B$7,2,FALSE)),AVERAGE(VLOOKUP(X132,'Writing Logic'!$A$3:$B$7,2,FALSE),VLOOKUP(Y132,'Writing Logic'!$A$3:$B$7,2,FALSE),VLOOKUP(Z132,'Writing Logic'!$A$3:$B$7,2,FALSE),VLOOKUP(AA132,'Writing Logic'!$A$3:$B$7,2,FALSE))))),"Fill All 4")</f>
        <v>Fill All 4</v>
      </c>
      <c r="AC132" s="95" t="str">
        <f t="shared" ref="AC132:AC197" si="11">IFERROR(AB132-$Q132,"")</f>
        <v/>
      </c>
      <c r="AD132" s="120"/>
      <c r="AE132" s="120"/>
      <c r="AF132" s="120"/>
      <c r="AG132" s="120"/>
      <c r="AH132" s="95" t="str">
        <f>IFERROR(IF(YES_Writing_ELA[[#This Row],[Literacy IPP]]='Writing Logic'!$E$26,"IPP",IF(OR(AD132="EAL",AE132="EAL",AF132="EAL",AG132="EAL"),"EAL",IF(AD132='Writing Logic'!$A$10,AVERAGE(VLOOKUP(AE132,'Writing Logic'!$A$3:$B$7,2,FALSE),VLOOKUP(AF132,'Writing Logic'!$A$3:$B$7,2,FALSE),VLOOKUP(AG132,'Writing Logic'!$A$3:$B$7,2,FALSE)),AVERAGE(VLOOKUP(AD132,'Writing Logic'!$A$3:$B$7,2,FALSE),VLOOKUP(AE132,'Writing Logic'!$A$3:$B$7,2,FALSE),VLOOKUP(AF132,'Writing Logic'!$A$3:$B$7,2,FALSE),VLOOKUP(AG132,'Writing Logic'!$A$3:$B$7,2,FALSE))))),"Fill All 4")</f>
        <v>Fill All 4</v>
      </c>
      <c r="AI132" s="95" t="str">
        <f t="shared" ref="AI132:AI197" si="12">IFERROR(AH132-$Q132,"")</f>
        <v/>
      </c>
      <c r="AJ132" s="183"/>
      <c r="AK132" s="120"/>
      <c r="AL132" s="120"/>
      <c r="AM132" s="120"/>
      <c r="AN132" s="95" t="str">
        <f>IFERROR(IF(YES_Writing_ELA[[#This Row],[Literacy IPP]]='Writing Logic'!$E$26,"IPP",IF(OR(AJ132="EAL",AK132="EAL",AL132="EAL",AM132="EAL"),"EAL",IF(AJ132='Writing Logic'!$A$10,AVERAGE(VLOOKUP(AK132,'Writing Logic'!$A$3:$B$7,2,FALSE),VLOOKUP(AL132,'Writing Logic'!$A$3:$B$7,2,FALSE),VLOOKUP(AM132,'Writing Logic'!$A$3:$B$7,2,FALSE)),AVERAGE(VLOOKUP(AJ132,'Writing Logic'!$A$3:$B$7,2,FALSE),VLOOKUP(AK132,'Writing Logic'!$A$3:$B$7,2,FALSE),VLOOKUP(AL132,'Writing Logic'!$A$3:$B$7,2,FALSE),VLOOKUP(AM132,'Writing Logic'!$A$3:$B$7,2,FALSE))))),"Fill All 4")</f>
        <v>Fill All 4</v>
      </c>
      <c r="AO132" s="95" t="str">
        <f t="shared" ref="AO132:AO197" si="13">IFERROR(AN132-$Q132,"")</f>
        <v/>
      </c>
      <c r="AP132" s="120"/>
      <c r="AQ132" s="120"/>
      <c r="AR132" s="120"/>
      <c r="AS132" s="120"/>
      <c r="AT132" s="95" t="str">
        <f>IFERROR(IF(YES_Writing_ELA[[#This Row],[Literacy IPP]]='Writing Logic'!$E$26,"IPP",IF(OR(AP132="EAL",AQ132="EAL",AR132="EAL",AS132="EAL"),"EAL",IF(AP132='Writing Logic'!$A$10,AVERAGE(VLOOKUP(AQ132,'Writing Logic'!$A$3:$B$7,2,FALSE),VLOOKUP(AR132,'Writing Logic'!$A$3:$B$7,2,FALSE),VLOOKUP(AS132,'Writing Logic'!$A$3:$B$7,2,FALSE)),AVERAGE(VLOOKUP(AP132,'Writing Logic'!$A$3:$B$7,2,FALSE),VLOOKUP(AQ132,'Writing Logic'!$A$3:$B$7,2,FALSE),VLOOKUP(AR132,'Writing Logic'!$A$3:$B$7,2,FALSE),VLOOKUP(AS132,'Writing Logic'!$A$3:$B$7,2,FALSE))))),"Fill All 4")</f>
        <v>Fill All 4</v>
      </c>
      <c r="AU132" s="95" t="str">
        <f t="shared" ref="AU132:AU197" si="14">IFERROR(AT132-$Q132,"")</f>
        <v/>
      </c>
    </row>
    <row r="133" spans="1:47" x14ac:dyDescent="0.25">
      <c r="A133" s="13"/>
      <c r="B133" s="13"/>
      <c r="C133" s="13"/>
      <c r="D133" s="13"/>
      <c r="E133" s="13"/>
      <c r="F133" s="13"/>
      <c r="G133" s="13"/>
      <c r="H133" s="13"/>
      <c r="I133" s="13"/>
      <c r="J133" s="13"/>
      <c r="K133" s="183"/>
      <c r="L133" s="184"/>
      <c r="M133" s="120"/>
      <c r="N133" s="120"/>
      <c r="O133" s="120"/>
      <c r="P133" s="120"/>
      <c r="Q133" s="95" t="str">
        <f>IFERROR(IF(YES_Writing_ELA[[#This Row],[Literacy IPP]]='Writing Logic'!$E$26,"IPP",IF(OR(M133="EAL",N133="EAL",O133="EAL",P133="EAL"),"EAL",IF(M133='Writing Logic'!$A$10,AVERAGE(VLOOKUP(N133,'Writing Logic'!$A$3:$B$7,2,FALSE),VLOOKUP(O133,'Writing Logic'!$A$3:$B$7,2,FALSE),VLOOKUP(P133,'Writing Logic'!$A$3:$B$7,2,FALSE)),AVERAGE(VLOOKUP(M133,'Writing Logic'!$A$3:$B$7,2,FALSE),VLOOKUP(N133,'Writing Logic'!$A$3:$B$7,2,FALSE),VLOOKUP(O133,'Writing Logic'!$A$3:$B$7,2,FALSE),VLOOKUP(P133,'Writing Logic'!$A$3:$B$7,2,FALSE))))),"Fill All 4")</f>
        <v>Fill All 4</v>
      </c>
      <c r="R133" s="120"/>
      <c r="S133" s="120"/>
      <c r="T133" s="120"/>
      <c r="U133" s="120"/>
      <c r="V133" s="95" t="str">
        <f>IFERROR(IF(YES_Writing_ELA[[#This Row],[Literacy IPP]]='Writing Logic'!$E$26,"IPP",IF(OR(R133="EAL",S133="EAL",T133="EAL",U133="EAL"),"EAL",IF(R133='Writing Logic'!$A$10,AVERAGE(VLOOKUP(S133,'Writing Logic'!$A$3:$B$7,2,FALSE),VLOOKUP(T133,'Writing Logic'!$A$3:$B$7,2,FALSE),VLOOKUP(U133,'Writing Logic'!$A$3:$B$7,2,FALSE)),AVERAGE(VLOOKUP(R133,'Writing Logic'!$A$3:$B$7,2,FALSE),VLOOKUP(S133,'Writing Logic'!$A$3:$B$7,2,FALSE),VLOOKUP(T133,'Writing Logic'!$A$3:$B$7,2,FALSE),VLOOKUP(U133,'Writing Logic'!$A$3:$B$7,2,FALSE))))),"Fill All 4")</f>
        <v>Fill All 4</v>
      </c>
      <c r="W133" s="95" t="str">
        <f t="shared" si="10"/>
        <v/>
      </c>
      <c r="X133" s="120"/>
      <c r="Y133" s="120"/>
      <c r="Z133" s="120"/>
      <c r="AA133" s="120"/>
      <c r="AB133" s="95" t="str">
        <f>IFERROR(IF(YES_Writing_ELA[[#This Row],[Literacy IPP]]='Writing Logic'!$E$26,"IPP",IF(OR(X133="EAL",Y133="EAL",Z133="EAL",AA133="EAL"),"EAL",IF(X133='Writing Logic'!$A$10,AVERAGE(VLOOKUP(Y133,'Writing Logic'!$A$3:$B$7,2,FALSE),VLOOKUP(Z133,'Writing Logic'!$A$3:$B$7,2,FALSE),VLOOKUP(AA133,'Writing Logic'!$A$3:$B$7,2,FALSE)),AVERAGE(VLOOKUP(X133,'Writing Logic'!$A$3:$B$7,2,FALSE),VLOOKUP(Y133,'Writing Logic'!$A$3:$B$7,2,FALSE),VLOOKUP(Z133,'Writing Logic'!$A$3:$B$7,2,FALSE),VLOOKUP(AA133,'Writing Logic'!$A$3:$B$7,2,FALSE))))),"Fill All 4")</f>
        <v>Fill All 4</v>
      </c>
      <c r="AC133" s="95" t="str">
        <f t="shared" si="11"/>
        <v/>
      </c>
      <c r="AD133" s="120"/>
      <c r="AE133" s="120"/>
      <c r="AF133" s="120"/>
      <c r="AG133" s="120"/>
      <c r="AH133" s="95" t="str">
        <f>IFERROR(IF(YES_Writing_ELA[[#This Row],[Literacy IPP]]='Writing Logic'!$E$26,"IPP",IF(OR(AD133="EAL",AE133="EAL",AF133="EAL",AG133="EAL"),"EAL",IF(AD133='Writing Logic'!$A$10,AVERAGE(VLOOKUP(AE133,'Writing Logic'!$A$3:$B$7,2,FALSE),VLOOKUP(AF133,'Writing Logic'!$A$3:$B$7,2,FALSE),VLOOKUP(AG133,'Writing Logic'!$A$3:$B$7,2,FALSE)),AVERAGE(VLOOKUP(AD133,'Writing Logic'!$A$3:$B$7,2,FALSE),VLOOKUP(AE133,'Writing Logic'!$A$3:$B$7,2,FALSE),VLOOKUP(AF133,'Writing Logic'!$A$3:$B$7,2,FALSE),VLOOKUP(AG133,'Writing Logic'!$A$3:$B$7,2,FALSE))))),"Fill All 4")</f>
        <v>Fill All 4</v>
      </c>
      <c r="AI133" s="95" t="str">
        <f t="shared" si="12"/>
        <v/>
      </c>
      <c r="AJ133" s="183"/>
      <c r="AK133" s="120"/>
      <c r="AL133" s="120"/>
      <c r="AM133" s="120"/>
      <c r="AN133" s="95" t="str">
        <f>IFERROR(IF(YES_Writing_ELA[[#This Row],[Literacy IPP]]='Writing Logic'!$E$26,"IPP",IF(OR(AJ133="EAL",AK133="EAL",AL133="EAL",AM133="EAL"),"EAL",IF(AJ133='Writing Logic'!$A$10,AVERAGE(VLOOKUP(AK133,'Writing Logic'!$A$3:$B$7,2,FALSE),VLOOKUP(AL133,'Writing Logic'!$A$3:$B$7,2,FALSE),VLOOKUP(AM133,'Writing Logic'!$A$3:$B$7,2,FALSE)),AVERAGE(VLOOKUP(AJ133,'Writing Logic'!$A$3:$B$7,2,FALSE),VLOOKUP(AK133,'Writing Logic'!$A$3:$B$7,2,FALSE),VLOOKUP(AL133,'Writing Logic'!$A$3:$B$7,2,FALSE),VLOOKUP(AM133,'Writing Logic'!$A$3:$B$7,2,FALSE))))),"Fill All 4")</f>
        <v>Fill All 4</v>
      </c>
      <c r="AO133" s="95" t="str">
        <f t="shared" si="13"/>
        <v/>
      </c>
      <c r="AP133" s="120"/>
      <c r="AQ133" s="120"/>
      <c r="AR133" s="120"/>
      <c r="AS133" s="120"/>
      <c r="AT133" s="95" t="str">
        <f>IFERROR(IF(YES_Writing_ELA[[#This Row],[Literacy IPP]]='Writing Logic'!$E$26,"IPP",IF(OR(AP133="EAL",AQ133="EAL",AR133="EAL",AS133="EAL"),"EAL",IF(AP133='Writing Logic'!$A$10,AVERAGE(VLOOKUP(AQ133,'Writing Logic'!$A$3:$B$7,2,FALSE),VLOOKUP(AR133,'Writing Logic'!$A$3:$B$7,2,FALSE),VLOOKUP(AS133,'Writing Logic'!$A$3:$B$7,2,FALSE)),AVERAGE(VLOOKUP(AP133,'Writing Logic'!$A$3:$B$7,2,FALSE),VLOOKUP(AQ133,'Writing Logic'!$A$3:$B$7,2,FALSE),VLOOKUP(AR133,'Writing Logic'!$A$3:$B$7,2,FALSE),VLOOKUP(AS133,'Writing Logic'!$A$3:$B$7,2,FALSE))))),"Fill All 4")</f>
        <v>Fill All 4</v>
      </c>
      <c r="AU133" s="95" t="str">
        <f t="shared" si="14"/>
        <v/>
      </c>
    </row>
    <row r="134" spans="1:47" x14ac:dyDescent="0.25">
      <c r="A134" s="13"/>
      <c r="B134" s="13"/>
      <c r="C134" s="13"/>
      <c r="D134" s="13"/>
      <c r="E134" s="13"/>
      <c r="F134" s="13"/>
      <c r="G134" s="13"/>
      <c r="H134" s="13"/>
      <c r="I134" s="13"/>
      <c r="J134" s="13"/>
      <c r="K134" s="183"/>
      <c r="L134" s="184"/>
      <c r="M134" s="120"/>
      <c r="N134" s="120"/>
      <c r="O134" s="120"/>
      <c r="P134" s="120"/>
      <c r="Q134" s="95" t="str">
        <f>IFERROR(IF(YES_Writing_ELA[[#This Row],[Literacy IPP]]='Writing Logic'!$E$26,"IPP",IF(OR(M134="EAL",N134="EAL",O134="EAL",P134="EAL"),"EAL",IF(M134='Writing Logic'!$A$10,AVERAGE(VLOOKUP(N134,'Writing Logic'!$A$3:$B$7,2,FALSE),VLOOKUP(O134,'Writing Logic'!$A$3:$B$7,2,FALSE),VLOOKUP(P134,'Writing Logic'!$A$3:$B$7,2,FALSE)),AVERAGE(VLOOKUP(M134,'Writing Logic'!$A$3:$B$7,2,FALSE),VLOOKUP(N134,'Writing Logic'!$A$3:$B$7,2,FALSE),VLOOKUP(O134,'Writing Logic'!$A$3:$B$7,2,FALSE),VLOOKUP(P134,'Writing Logic'!$A$3:$B$7,2,FALSE))))),"Fill All 4")</f>
        <v>Fill All 4</v>
      </c>
      <c r="R134" s="120"/>
      <c r="S134" s="120"/>
      <c r="T134" s="120"/>
      <c r="U134" s="120"/>
      <c r="V134" s="95" t="str">
        <f>IFERROR(IF(YES_Writing_ELA[[#This Row],[Literacy IPP]]='Writing Logic'!$E$26,"IPP",IF(OR(R134="EAL",S134="EAL",T134="EAL",U134="EAL"),"EAL",IF(R134='Writing Logic'!$A$10,AVERAGE(VLOOKUP(S134,'Writing Logic'!$A$3:$B$7,2,FALSE),VLOOKUP(T134,'Writing Logic'!$A$3:$B$7,2,FALSE),VLOOKUP(U134,'Writing Logic'!$A$3:$B$7,2,FALSE)),AVERAGE(VLOOKUP(R134,'Writing Logic'!$A$3:$B$7,2,FALSE),VLOOKUP(S134,'Writing Logic'!$A$3:$B$7,2,FALSE),VLOOKUP(T134,'Writing Logic'!$A$3:$B$7,2,FALSE),VLOOKUP(U134,'Writing Logic'!$A$3:$B$7,2,FALSE))))),"Fill All 4")</f>
        <v>Fill All 4</v>
      </c>
      <c r="W134" s="95" t="str">
        <f t="shared" si="10"/>
        <v/>
      </c>
      <c r="X134" s="120"/>
      <c r="Y134" s="120"/>
      <c r="Z134" s="120"/>
      <c r="AA134" s="120"/>
      <c r="AB134" s="95" t="str">
        <f>IFERROR(IF(YES_Writing_ELA[[#This Row],[Literacy IPP]]='Writing Logic'!$E$26,"IPP",IF(OR(X134="EAL",Y134="EAL",Z134="EAL",AA134="EAL"),"EAL",IF(X134='Writing Logic'!$A$10,AVERAGE(VLOOKUP(Y134,'Writing Logic'!$A$3:$B$7,2,FALSE),VLOOKUP(Z134,'Writing Logic'!$A$3:$B$7,2,FALSE),VLOOKUP(AA134,'Writing Logic'!$A$3:$B$7,2,FALSE)),AVERAGE(VLOOKUP(X134,'Writing Logic'!$A$3:$B$7,2,FALSE),VLOOKUP(Y134,'Writing Logic'!$A$3:$B$7,2,FALSE),VLOOKUP(Z134,'Writing Logic'!$A$3:$B$7,2,FALSE),VLOOKUP(AA134,'Writing Logic'!$A$3:$B$7,2,FALSE))))),"Fill All 4")</f>
        <v>Fill All 4</v>
      </c>
      <c r="AC134" s="95" t="str">
        <f t="shared" si="11"/>
        <v/>
      </c>
      <c r="AD134" s="120"/>
      <c r="AE134" s="120"/>
      <c r="AF134" s="120"/>
      <c r="AG134" s="120"/>
      <c r="AH134" s="95" t="str">
        <f>IFERROR(IF(YES_Writing_ELA[[#This Row],[Literacy IPP]]='Writing Logic'!$E$26,"IPP",IF(OR(AD134="EAL",AE134="EAL",AF134="EAL",AG134="EAL"),"EAL",IF(AD134='Writing Logic'!$A$10,AVERAGE(VLOOKUP(AE134,'Writing Logic'!$A$3:$B$7,2,FALSE),VLOOKUP(AF134,'Writing Logic'!$A$3:$B$7,2,FALSE),VLOOKUP(AG134,'Writing Logic'!$A$3:$B$7,2,FALSE)),AVERAGE(VLOOKUP(AD134,'Writing Logic'!$A$3:$B$7,2,FALSE),VLOOKUP(AE134,'Writing Logic'!$A$3:$B$7,2,FALSE),VLOOKUP(AF134,'Writing Logic'!$A$3:$B$7,2,FALSE),VLOOKUP(AG134,'Writing Logic'!$A$3:$B$7,2,FALSE))))),"Fill All 4")</f>
        <v>Fill All 4</v>
      </c>
      <c r="AI134" s="95" t="str">
        <f t="shared" si="12"/>
        <v/>
      </c>
      <c r="AJ134" s="183"/>
      <c r="AK134" s="120"/>
      <c r="AL134" s="120"/>
      <c r="AM134" s="120"/>
      <c r="AN134" s="95" t="str">
        <f>IFERROR(IF(YES_Writing_ELA[[#This Row],[Literacy IPP]]='Writing Logic'!$E$26,"IPP",IF(OR(AJ134="EAL",AK134="EAL",AL134="EAL",AM134="EAL"),"EAL",IF(AJ134='Writing Logic'!$A$10,AVERAGE(VLOOKUP(AK134,'Writing Logic'!$A$3:$B$7,2,FALSE),VLOOKUP(AL134,'Writing Logic'!$A$3:$B$7,2,FALSE),VLOOKUP(AM134,'Writing Logic'!$A$3:$B$7,2,FALSE)),AVERAGE(VLOOKUP(AJ134,'Writing Logic'!$A$3:$B$7,2,FALSE),VLOOKUP(AK134,'Writing Logic'!$A$3:$B$7,2,FALSE),VLOOKUP(AL134,'Writing Logic'!$A$3:$B$7,2,FALSE),VLOOKUP(AM134,'Writing Logic'!$A$3:$B$7,2,FALSE))))),"Fill All 4")</f>
        <v>Fill All 4</v>
      </c>
      <c r="AO134" s="95" t="str">
        <f t="shared" si="13"/>
        <v/>
      </c>
      <c r="AP134" s="120"/>
      <c r="AQ134" s="120"/>
      <c r="AR134" s="120"/>
      <c r="AS134" s="120"/>
      <c r="AT134" s="95" t="str">
        <f>IFERROR(IF(YES_Writing_ELA[[#This Row],[Literacy IPP]]='Writing Logic'!$E$26,"IPP",IF(OR(AP134="EAL",AQ134="EAL",AR134="EAL",AS134="EAL"),"EAL",IF(AP134='Writing Logic'!$A$10,AVERAGE(VLOOKUP(AQ134,'Writing Logic'!$A$3:$B$7,2,FALSE),VLOOKUP(AR134,'Writing Logic'!$A$3:$B$7,2,FALSE),VLOOKUP(AS134,'Writing Logic'!$A$3:$B$7,2,FALSE)),AVERAGE(VLOOKUP(AP134,'Writing Logic'!$A$3:$B$7,2,FALSE),VLOOKUP(AQ134,'Writing Logic'!$A$3:$B$7,2,FALSE),VLOOKUP(AR134,'Writing Logic'!$A$3:$B$7,2,FALSE),VLOOKUP(AS134,'Writing Logic'!$A$3:$B$7,2,FALSE))))),"Fill All 4")</f>
        <v>Fill All 4</v>
      </c>
      <c r="AU134" s="95" t="str">
        <f t="shared" si="14"/>
        <v/>
      </c>
    </row>
    <row r="135" spans="1:47" x14ac:dyDescent="0.25">
      <c r="A135" s="13"/>
      <c r="B135" s="13"/>
      <c r="C135" s="13"/>
      <c r="D135" s="13"/>
      <c r="E135" s="13"/>
      <c r="F135" s="13"/>
      <c r="G135" s="13"/>
      <c r="H135" s="13"/>
      <c r="I135" s="13"/>
      <c r="J135" s="13"/>
      <c r="K135" s="183"/>
      <c r="L135" s="184"/>
      <c r="M135" s="120"/>
      <c r="N135" s="120"/>
      <c r="O135" s="120"/>
      <c r="P135" s="120"/>
      <c r="Q135" s="95" t="str">
        <f>IFERROR(IF(YES_Writing_ELA[[#This Row],[Literacy IPP]]='Writing Logic'!$E$26,"IPP",IF(OR(M135="EAL",N135="EAL",O135="EAL",P135="EAL"),"EAL",IF(M135='Writing Logic'!$A$10,AVERAGE(VLOOKUP(N135,'Writing Logic'!$A$3:$B$7,2,FALSE),VLOOKUP(O135,'Writing Logic'!$A$3:$B$7,2,FALSE),VLOOKUP(P135,'Writing Logic'!$A$3:$B$7,2,FALSE)),AVERAGE(VLOOKUP(M135,'Writing Logic'!$A$3:$B$7,2,FALSE),VLOOKUP(N135,'Writing Logic'!$A$3:$B$7,2,FALSE),VLOOKUP(O135,'Writing Logic'!$A$3:$B$7,2,FALSE),VLOOKUP(P135,'Writing Logic'!$A$3:$B$7,2,FALSE))))),"Fill All 4")</f>
        <v>Fill All 4</v>
      </c>
      <c r="R135" s="120"/>
      <c r="S135" s="120"/>
      <c r="T135" s="120"/>
      <c r="U135" s="120"/>
      <c r="V135" s="95" t="str">
        <f>IFERROR(IF(YES_Writing_ELA[[#This Row],[Literacy IPP]]='Writing Logic'!$E$26,"IPP",IF(OR(R135="EAL",S135="EAL",T135="EAL",U135="EAL"),"EAL",IF(R135='Writing Logic'!$A$10,AVERAGE(VLOOKUP(S135,'Writing Logic'!$A$3:$B$7,2,FALSE),VLOOKUP(T135,'Writing Logic'!$A$3:$B$7,2,FALSE),VLOOKUP(U135,'Writing Logic'!$A$3:$B$7,2,FALSE)),AVERAGE(VLOOKUP(R135,'Writing Logic'!$A$3:$B$7,2,FALSE),VLOOKUP(S135,'Writing Logic'!$A$3:$B$7,2,FALSE),VLOOKUP(T135,'Writing Logic'!$A$3:$B$7,2,FALSE),VLOOKUP(U135,'Writing Logic'!$A$3:$B$7,2,FALSE))))),"Fill All 4")</f>
        <v>Fill All 4</v>
      </c>
      <c r="W135" s="95" t="str">
        <f t="shared" si="10"/>
        <v/>
      </c>
      <c r="X135" s="120"/>
      <c r="Y135" s="120"/>
      <c r="Z135" s="120"/>
      <c r="AA135" s="120"/>
      <c r="AB135" s="95" t="str">
        <f>IFERROR(IF(YES_Writing_ELA[[#This Row],[Literacy IPP]]='Writing Logic'!$E$26,"IPP",IF(OR(X135="EAL",Y135="EAL",Z135="EAL",AA135="EAL"),"EAL",IF(X135='Writing Logic'!$A$10,AVERAGE(VLOOKUP(Y135,'Writing Logic'!$A$3:$B$7,2,FALSE),VLOOKUP(Z135,'Writing Logic'!$A$3:$B$7,2,FALSE),VLOOKUP(AA135,'Writing Logic'!$A$3:$B$7,2,FALSE)),AVERAGE(VLOOKUP(X135,'Writing Logic'!$A$3:$B$7,2,FALSE),VLOOKUP(Y135,'Writing Logic'!$A$3:$B$7,2,FALSE),VLOOKUP(Z135,'Writing Logic'!$A$3:$B$7,2,FALSE),VLOOKUP(AA135,'Writing Logic'!$A$3:$B$7,2,FALSE))))),"Fill All 4")</f>
        <v>Fill All 4</v>
      </c>
      <c r="AC135" s="95" t="str">
        <f t="shared" si="11"/>
        <v/>
      </c>
      <c r="AD135" s="120"/>
      <c r="AE135" s="120"/>
      <c r="AF135" s="120"/>
      <c r="AG135" s="120"/>
      <c r="AH135" s="95" t="str">
        <f>IFERROR(IF(YES_Writing_ELA[[#This Row],[Literacy IPP]]='Writing Logic'!$E$26,"IPP",IF(OR(AD135="EAL",AE135="EAL",AF135="EAL",AG135="EAL"),"EAL",IF(AD135='Writing Logic'!$A$10,AVERAGE(VLOOKUP(AE135,'Writing Logic'!$A$3:$B$7,2,FALSE),VLOOKUP(AF135,'Writing Logic'!$A$3:$B$7,2,FALSE),VLOOKUP(AG135,'Writing Logic'!$A$3:$B$7,2,FALSE)),AVERAGE(VLOOKUP(AD135,'Writing Logic'!$A$3:$B$7,2,FALSE),VLOOKUP(AE135,'Writing Logic'!$A$3:$B$7,2,FALSE),VLOOKUP(AF135,'Writing Logic'!$A$3:$B$7,2,FALSE),VLOOKUP(AG135,'Writing Logic'!$A$3:$B$7,2,FALSE))))),"Fill All 4")</f>
        <v>Fill All 4</v>
      </c>
      <c r="AI135" s="95" t="str">
        <f t="shared" si="12"/>
        <v/>
      </c>
      <c r="AJ135" s="183"/>
      <c r="AK135" s="120"/>
      <c r="AL135" s="120"/>
      <c r="AM135" s="120"/>
      <c r="AN135" s="95" t="str">
        <f>IFERROR(IF(YES_Writing_ELA[[#This Row],[Literacy IPP]]='Writing Logic'!$E$26,"IPP",IF(OR(AJ135="EAL",AK135="EAL",AL135="EAL",AM135="EAL"),"EAL",IF(AJ135='Writing Logic'!$A$10,AVERAGE(VLOOKUP(AK135,'Writing Logic'!$A$3:$B$7,2,FALSE),VLOOKUP(AL135,'Writing Logic'!$A$3:$B$7,2,FALSE),VLOOKUP(AM135,'Writing Logic'!$A$3:$B$7,2,FALSE)),AVERAGE(VLOOKUP(AJ135,'Writing Logic'!$A$3:$B$7,2,FALSE),VLOOKUP(AK135,'Writing Logic'!$A$3:$B$7,2,FALSE),VLOOKUP(AL135,'Writing Logic'!$A$3:$B$7,2,FALSE),VLOOKUP(AM135,'Writing Logic'!$A$3:$B$7,2,FALSE))))),"Fill All 4")</f>
        <v>Fill All 4</v>
      </c>
      <c r="AO135" s="95" t="str">
        <f t="shared" si="13"/>
        <v/>
      </c>
      <c r="AP135" s="120"/>
      <c r="AQ135" s="120"/>
      <c r="AR135" s="120"/>
      <c r="AS135" s="120"/>
      <c r="AT135" s="95" t="str">
        <f>IFERROR(IF(YES_Writing_ELA[[#This Row],[Literacy IPP]]='Writing Logic'!$E$26,"IPP",IF(OR(AP135="EAL",AQ135="EAL",AR135="EAL",AS135="EAL"),"EAL",IF(AP135='Writing Logic'!$A$10,AVERAGE(VLOOKUP(AQ135,'Writing Logic'!$A$3:$B$7,2,FALSE),VLOOKUP(AR135,'Writing Logic'!$A$3:$B$7,2,FALSE),VLOOKUP(AS135,'Writing Logic'!$A$3:$B$7,2,FALSE)),AVERAGE(VLOOKUP(AP135,'Writing Logic'!$A$3:$B$7,2,FALSE),VLOOKUP(AQ135,'Writing Logic'!$A$3:$B$7,2,FALSE),VLOOKUP(AR135,'Writing Logic'!$A$3:$B$7,2,FALSE),VLOOKUP(AS135,'Writing Logic'!$A$3:$B$7,2,FALSE))))),"Fill All 4")</f>
        <v>Fill All 4</v>
      </c>
      <c r="AU135" s="95" t="str">
        <f t="shared" si="14"/>
        <v/>
      </c>
    </row>
    <row r="136" spans="1:47" x14ac:dyDescent="0.25">
      <c r="A136" s="13"/>
      <c r="B136" s="13"/>
      <c r="C136" s="13"/>
      <c r="D136" s="13"/>
      <c r="E136" s="13"/>
      <c r="F136" s="13"/>
      <c r="G136" s="13"/>
      <c r="H136" s="13"/>
      <c r="I136" s="13"/>
      <c r="J136" s="13"/>
      <c r="K136" s="183"/>
      <c r="L136" s="184"/>
      <c r="M136" s="120"/>
      <c r="N136" s="120"/>
      <c r="O136" s="120"/>
      <c r="P136" s="120"/>
      <c r="Q136" s="95" t="str">
        <f>IFERROR(IF(YES_Writing_ELA[[#This Row],[Literacy IPP]]='Writing Logic'!$E$26,"IPP",IF(OR(M136="EAL",N136="EAL",O136="EAL",P136="EAL"),"EAL",IF(M136='Writing Logic'!$A$10,AVERAGE(VLOOKUP(N136,'Writing Logic'!$A$3:$B$7,2,FALSE),VLOOKUP(O136,'Writing Logic'!$A$3:$B$7,2,FALSE),VLOOKUP(P136,'Writing Logic'!$A$3:$B$7,2,FALSE)),AVERAGE(VLOOKUP(M136,'Writing Logic'!$A$3:$B$7,2,FALSE),VLOOKUP(N136,'Writing Logic'!$A$3:$B$7,2,FALSE),VLOOKUP(O136,'Writing Logic'!$A$3:$B$7,2,FALSE),VLOOKUP(P136,'Writing Logic'!$A$3:$B$7,2,FALSE))))),"Fill All 4")</f>
        <v>Fill All 4</v>
      </c>
      <c r="R136" s="120"/>
      <c r="S136" s="120"/>
      <c r="T136" s="120"/>
      <c r="U136" s="120"/>
      <c r="V136" s="95" t="str">
        <f>IFERROR(IF(YES_Writing_ELA[[#This Row],[Literacy IPP]]='Writing Logic'!$E$26,"IPP",IF(OR(R136="EAL",S136="EAL",T136="EAL",U136="EAL"),"EAL",IF(R136='Writing Logic'!$A$10,AVERAGE(VLOOKUP(S136,'Writing Logic'!$A$3:$B$7,2,FALSE),VLOOKUP(T136,'Writing Logic'!$A$3:$B$7,2,FALSE),VLOOKUP(U136,'Writing Logic'!$A$3:$B$7,2,FALSE)),AVERAGE(VLOOKUP(R136,'Writing Logic'!$A$3:$B$7,2,FALSE),VLOOKUP(S136,'Writing Logic'!$A$3:$B$7,2,FALSE),VLOOKUP(T136,'Writing Logic'!$A$3:$B$7,2,FALSE),VLOOKUP(U136,'Writing Logic'!$A$3:$B$7,2,FALSE))))),"Fill All 4")</f>
        <v>Fill All 4</v>
      </c>
      <c r="W136" s="95" t="str">
        <f t="shared" si="10"/>
        <v/>
      </c>
      <c r="X136" s="120"/>
      <c r="Y136" s="120"/>
      <c r="Z136" s="120"/>
      <c r="AA136" s="120"/>
      <c r="AB136" s="95" t="str">
        <f>IFERROR(IF(YES_Writing_ELA[[#This Row],[Literacy IPP]]='Writing Logic'!$E$26,"IPP",IF(OR(X136="EAL",Y136="EAL",Z136="EAL",AA136="EAL"),"EAL",IF(X136='Writing Logic'!$A$10,AVERAGE(VLOOKUP(Y136,'Writing Logic'!$A$3:$B$7,2,FALSE),VLOOKUP(Z136,'Writing Logic'!$A$3:$B$7,2,FALSE),VLOOKUP(AA136,'Writing Logic'!$A$3:$B$7,2,FALSE)),AVERAGE(VLOOKUP(X136,'Writing Logic'!$A$3:$B$7,2,FALSE),VLOOKUP(Y136,'Writing Logic'!$A$3:$B$7,2,FALSE),VLOOKUP(Z136,'Writing Logic'!$A$3:$B$7,2,FALSE),VLOOKUP(AA136,'Writing Logic'!$A$3:$B$7,2,FALSE))))),"Fill All 4")</f>
        <v>Fill All 4</v>
      </c>
      <c r="AC136" s="95" t="str">
        <f t="shared" si="11"/>
        <v/>
      </c>
      <c r="AD136" s="120"/>
      <c r="AE136" s="120"/>
      <c r="AF136" s="120"/>
      <c r="AG136" s="120"/>
      <c r="AH136" s="95" t="str">
        <f>IFERROR(IF(YES_Writing_ELA[[#This Row],[Literacy IPP]]='Writing Logic'!$E$26,"IPP",IF(OR(AD136="EAL",AE136="EAL",AF136="EAL",AG136="EAL"),"EAL",IF(AD136='Writing Logic'!$A$10,AVERAGE(VLOOKUP(AE136,'Writing Logic'!$A$3:$B$7,2,FALSE),VLOOKUP(AF136,'Writing Logic'!$A$3:$B$7,2,FALSE),VLOOKUP(AG136,'Writing Logic'!$A$3:$B$7,2,FALSE)),AVERAGE(VLOOKUP(AD136,'Writing Logic'!$A$3:$B$7,2,FALSE),VLOOKUP(AE136,'Writing Logic'!$A$3:$B$7,2,FALSE),VLOOKUP(AF136,'Writing Logic'!$A$3:$B$7,2,FALSE),VLOOKUP(AG136,'Writing Logic'!$A$3:$B$7,2,FALSE))))),"Fill All 4")</f>
        <v>Fill All 4</v>
      </c>
      <c r="AI136" s="95" t="str">
        <f t="shared" si="12"/>
        <v/>
      </c>
      <c r="AJ136" s="183"/>
      <c r="AK136" s="120"/>
      <c r="AL136" s="120"/>
      <c r="AM136" s="120"/>
      <c r="AN136" s="95" t="str">
        <f>IFERROR(IF(YES_Writing_ELA[[#This Row],[Literacy IPP]]='Writing Logic'!$E$26,"IPP",IF(OR(AJ136="EAL",AK136="EAL",AL136="EAL",AM136="EAL"),"EAL",IF(AJ136='Writing Logic'!$A$10,AVERAGE(VLOOKUP(AK136,'Writing Logic'!$A$3:$B$7,2,FALSE),VLOOKUP(AL136,'Writing Logic'!$A$3:$B$7,2,FALSE),VLOOKUP(AM136,'Writing Logic'!$A$3:$B$7,2,FALSE)),AVERAGE(VLOOKUP(AJ136,'Writing Logic'!$A$3:$B$7,2,FALSE),VLOOKUP(AK136,'Writing Logic'!$A$3:$B$7,2,FALSE),VLOOKUP(AL136,'Writing Logic'!$A$3:$B$7,2,FALSE),VLOOKUP(AM136,'Writing Logic'!$A$3:$B$7,2,FALSE))))),"Fill All 4")</f>
        <v>Fill All 4</v>
      </c>
      <c r="AO136" s="95" t="str">
        <f t="shared" si="13"/>
        <v/>
      </c>
      <c r="AP136" s="120"/>
      <c r="AQ136" s="120"/>
      <c r="AR136" s="120"/>
      <c r="AS136" s="120"/>
      <c r="AT136" s="95" t="str">
        <f>IFERROR(IF(YES_Writing_ELA[[#This Row],[Literacy IPP]]='Writing Logic'!$E$26,"IPP",IF(OR(AP136="EAL",AQ136="EAL",AR136="EAL",AS136="EAL"),"EAL",IF(AP136='Writing Logic'!$A$10,AVERAGE(VLOOKUP(AQ136,'Writing Logic'!$A$3:$B$7,2,FALSE),VLOOKUP(AR136,'Writing Logic'!$A$3:$B$7,2,FALSE),VLOOKUP(AS136,'Writing Logic'!$A$3:$B$7,2,FALSE)),AVERAGE(VLOOKUP(AP136,'Writing Logic'!$A$3:$B$7,2,FALSE),VLOOKUP(AQ136,'Writing Logic'!$A$3:$B$7,2,FALSE),VLOOKUP(AR136,'Writing Logic'!$A$3:$B$7,2,FALSE),VLOOKUP(AS136,'Writing Logic'!$A$3:$B$7,2,FALSE))))),"Fill All 4")</f>
        <v>Fill All 4</v>
      </c>
      <c r="AU136" s="95" t="str">
        <f t="shared" si="14"/>
        <v/>
      </c>
    </row>
    <row r="137" spans="1:47" x14ac:dyDescent="0.25">
      <c r="A137" s="13"/>
      <c r="B137" s="13"/>
      <c r="C137" s="13"/>
      <c r="D137" s="13"/>
      <c r="E137" s="13"/>
      <c r="F137" s="13"/>
      <c r="G137" s="13"/>
      <c r="H137" s="13"/>
      <c r="I137" s="13"/>
      <c r="J137" s="13"/>
      <c r="K137" s="183"/>
      <c r="L137" s="184"/>
      <c r="M137" s="120"/>
      <c r="N137" s="120"/>
      <c r="O137" s="120"/>
      <c r="P137" s="120"/>
      <c r="Q137" s="95" t="str">
        <f>IFERROR(IF(YES_Writing_ELA[[#This Row],[Literacy IPP]]='Writing Logic'!$E$26,"IPP",IF(OR(M137="EAL",N137="EAL",O137="EAL",P137="EAL"),"EAL",IF(M137='Writing Logic'!$A$10,AVERAGE(VLOOKUP(N137,'Writing Logic'!$A$3:$B$7,2,FALSE),VLOOKUP(O137,'Writing Logic'!$A$3:$B$7,2,FALSE),VLOOKUP(P137,'Writing Logic'!$A$3:$B$7,2,FALSE)),AVERAGE(VLOOKUP(M137,'Writing Logic'!$A$3:$B$7,2,FALSE),VLOOKUP(N137,'Writing Logic'!$A$3:$B$7,2,FALSE),VLOOKUP(O137,'Writing Logic'!$A$3:$B$7,2,FALSE),VLOOKUP(P137,'Writing Logic'!$A$3:$B$7,2,FALSE))))),"Fill All 4")</f>
        <v>Fill All 4</v>
      </c>
      <c r="R137" s="120"/>
      <c r="S137" s="120"/>
      <c r="T137" s="120"/>
      <c r="U137" s="120"/>
      <c r="V137" s="95" t="str">
        <f>IFERROR(IF(YES_Writing_ELA[[#This Row],[Literacy IPP]]='Writing Logic'!$E$26,"IPP",IF(OR(R137="EAL",S137="EAL",T137="EAL",U137="EAL"),"EAL",IF(R137='Writing Logic'!$A$10,AVERAGE(VLOOKUP(S137,'Writing Logic'!$A$3:$B$7,2,FALSE),VLOOKUP(T137,'Writing Logic'!$A$3:$B$7,2,FALSE),VLOOKUP(U137,'Writing Logic'!$A$3:$B$7,2,FALSE)),AVERAGE(VLOOKUP(R137,'Writing Logic'!$A$3:$B$7,2,FALSE),VLOOKUP(S137,'Writing Logic'!$A$3:$B$7,2,FALSE),VLOOKUP(T137,'Writing Logic'!$A$3:$B$7,2,FALSE),VLOOKUP(U137,'Writing Logic'!$A$3:$B$7,2,FALSE))))),"Fill All 4")</f>
        <v>Fill All 4</v>
      </c>
      <c r="W137" s="95" t="str">
        <f t="shared" si="10"/>
        <v/>
      </c>
      <c r="X137" s="120"/>
      <c r="Y137" s="120"/>
      <c r="Z137" s="120"/>
      <c r="AA137" s="120"/>
      <c r="AB137" s="95" t="str">
        <f>IFERROR(IF(YES_Writing_ELA[[#This Row],[Literacy IPP]]='Writing Logic'!$E$26,"IPP",IF(OR(X137="EAL",Y137="EAL",Z137="EAL",AA137="EAL"),"EAL",IF(X137='Writing Logic'!$A$10,AVERAGE(VLOOKUP(Y137,'Writing Logic'!$A$3:$B$7,2,FALSE),VLOOKUP(Z137,'Writing Logic'!$A$3:$B$7,2,FALSE),VLOOKUP(AA137,'Writing Logic'!$A$3:$B$7,2,FALSE)),AVERAGE(VLOOKUP(X137,'Writing Logic'!$A$3:$B$7,2,FALSE),VLOOKUP(Y137,'Writing Logic'!$A$3:$B$7,2,FALSE),VLOOKUP(Z137,'Writing Logic'!$A$3:$B$7,2,FALSE),VLOOKUP(AA137,'Writing Logic'!$A$3:$B$7,2,FALSE))))),"Fill All 4")</f>
        <v>Fill All 4</v>
      </c>
      <c r="AC137" s="95" t="str">
        <f t="shared" si="11"/>
        <v/>
      </c>
      <c r="AD137" s="120"/>
      <c r="AE137" s="120"/>
      <c r="AF137" s="120"/>
      <c r="AG137" s="120"/>
      <c r="AH137" s="95" t="str">
        <f>IFERROR(IF(YES_Writing_ELA[[#This Row],[Literacy IPP]]='Writing Logic'!$E$26,"IPP",IF(OR(AD137="EAL",AE137="EAL",AF137="EAL",AG137="EAL"),"EAL",IF(AD137='Writing Logic'!$A$10,AVERAGE(VLOOKUP(AE137,'Writing Logic'!$A$3:$B$7,2,FALSE),VLOOKUP(AF137,'Writing Logic'!$A$3:$B$7,2,FALSE),VLOOKUP(AG137,'Writing Logic'!$A$3:$B$7,2,FALSE)),AVERAGE(VLOOKUP(AD137,'Writing Logic'!$A$3:$B$7,2,FALSE),VLOOKUP(AE137,'Writing Logic'!$A$3:$B$7,2,FALSE),VLOOKUP(AF137,'Writing Logic'!$A$3:$B$7,2,FALSE),VLOOKUP(AG137,'Writing Logic'!$A$3:$B$7,2,FALSE))))),"Fill All 4")</f>
        <v>Fill All 4</v>
      </c>
      <c r="AI137" s="95" t="str">
        <f t="shared" si="12"/>
        <v/>
      </c>
      <c r="AJ137" s="183"/>
      <c r="AK137" s="120"/>
      <c r="AL137" s="120"/>
      <c r="AM137" s="120"/>
      <c r="AN137" s="95" t="str">
        <f>IFERROR(IF(YES_Writing_ELA[[#This Row],[Literacy IPP]]='Writing Logic'!$E$26,"IPP",IF(OR(AJ137="EAL",AK137="EAL",AL137="EAL",AM137="EAL"),"EAL",IF(AJ137='Writing Logic'!$A$10,AVERAGE(VLOOKUP(AK137,'Writing Logic'!$A$3:$B$7,2,FALSE),VLOOKUP(AL137,'Writing Logic'!$A$3:$B$7,2,FALSE),VLOOKUP(AM137,'Writing Logic'!$A$3:$B$7,2,FALSE)),AVERAGE(VLOOKUP(AJ137,'Writing Logic'!$A$3:$B$7,2,FALSE),VLOOKUP(AK137,'Writing Logic'!$A$3:$B$7,2,FALSE),VLOOKUP(AL137,'Writing Logic'!$A$3:$B$7,2,FALSE),VLOOKUP(AM137,'Writing Logic'!$A$3:$B$7,2,FALSE))))),"Fill All 4")</f>
        <v>Fill All 4</v>
      </c>
      <c r="AO137" s="95" t="str">
        <f t="shared" si="13"/>
        <v/>
      </c>
      <c r="AP137" s="120"/>
      <c r="AQ137" s="120"/>
      <c r="AR137" s="120"/>
      <c r="AS137" s="120"/>
      <c r="AT137" s="95" t="str">
        <f>IFERROR(IF(YES_Writing_ELA[[#This Row],[Literacy IPP]]='Writing Logic'!$E$26,"IPP",IF(OR(AP137="EAL",AQ137="EAL",AR137="EAL",AS137="EAL"),"EAL",IF(AP137='Writing Logic'!$A$10,AVERAGE(VLOOKUP(AQ137,'Writing Logic'!$A$3:$B$7,2,FALSE),VLOOKUP(AR137,'Writing Logic'!$A$3:$B$7,2,FALSE),VLOOKUP(AS137,'Writing Logic'!$A$3:$B$7,2,FALSE)),AVERAGE(VLOOKUP(AP137,'Writing Logic'!$A$3:$B$7,2,FALSE),VLOOKUP(AQ137,'Writing Logic'!$A$3:$B$7,2,FALSE),VLOOKUP(AR137,'Writing Logic'!$A$3:$B$7,2,FALSE),VLOOKUP(AS137,'Writing Logic'!$A$3:$B$7,2,FALSE))))),"Fill All 4")</f>
        <v>Fill All 4</v>
      </c>
      <c r="AU137" s="95" t="str">
        <f t="shared" si="14"/>
        <v/>
      </c>
    </row>
    <row r="138" spans="1:47" x14ac:dyDescent="0.25">
      <c r="A138" s="13"/>
      <c r="B138" s="13"/>
      <c r="C138" s="13"/>
      <c r="D138" s="13"/>
      <c r="E138" s="13"/>
      <c r="F138" s="13"/>
      <c r="G138" s="13"/>
      <c r="H138" s="13"/>
      <c r="I138" s="13"/>
      <c r="J138" s="13"/>
      <c r="K138" s="183"/>
      <c r="L138" s="184"/>
      <c r="M138" s="120"/>
      <c r="N138" s="120"/>
      <c r="O138" s="120"/>
      <c r="P138" s="120"/>
      <c r="Q138" s="95" t="str">
        <f>IFERROR(IF(YES_Writing_ELA[[#This Row],[Literacy IPP]]='Writing Logic'!$E$26,"IPP",IF(OR(M138="EAL",N138="EAL",O138="EAL",P138="EAL"),"EAL",IF(M138='Writing Logic'!$A$10,AVERAGE(VLOOKUP(N138,'Writing Logic'!$A$3:$B$7,2,FALSE),VLOOKUP(O138,'Writing Logic'!$A$3:$B$7,2,FALSE),VLOOKUP(P138,'Writing Logic'!$A$3:$B$7,2,FALSE)),AVERAGE(VLOOKUP(M138,'Writing Logic'!$A$3:$B$7,2,FALSE),VLOOKUP(N138,'Writing Logic'!$A$3:$B$7,2,FALSE),VLOOKUP(O138,'Writing Logic'!$A$3:$B$7,2,FALSE),VLOOKUP(P138,'Writing Logic'!$A$3:$B$7,2,FALSE))))),"Fill All 4")</f>
        <v>Fill All 4</v>
      </c>
      <c r="R138" s="120"/>
      <c r="S138" s="120"/>
      <c r="T138" s="120"/>
      <c r="U138" s="120"/>
      <c r="V138" s="95" t="str">
        <f>IFERROR(IF(YES_Writing_ELA[[#This Row],[Literacy IPP]]='Writing Logic'!$E$26,"IPP",IF(OR(R138="EAL",S138="EAL",T138="EAL",U138="EAL"),"EAL",IF(R138='Writing Logic'!$A$10,AVERAGE(VLOOKUP(S138,'Writing Logic'!$A$3:$B$7,2,FALSE),VLOOKUP(T138,'Writing Logic'!$A$3:$B$7,2,FALSE),VLOOKUP(U138,'Writing Logic'!$A$3:$B$7,2,FALSE)),AVERAGE(VLOOKUP(R138,'Writing Logic'!$A$3:$B$7,2,FALSE),VLOOKUP(S138,'Writing Logic'!$A$3:$B$7,2,FALSE),VLOOKUP(T138,'Writing Logic'!$A$3:$B$7,2,FALSE),VLOOKUP(U138,'Writing Logic'!$A$3:$B$7,2,FALSE))))),"Fill All 4")</f>
        <v>Fill All 4</v>
      </c>
      <c r="W138" s="95" t="str">
        <f t="shared" si="10"/>
        <v/>
      </c>
      <c r="X138" s="120"/>
      <c r="Y138" s="120"/>
      <c r="Z138" s="120"/>
      <c r="AA138" s="120"/>
      <c r="AB138" s="95" t="str">
        <f>IFERROR(IF(YES_Writing_ELA[[#This Row],[Literacy IPP]]='Writing Logic'!$E$26,"IPP",IF(OR(X138="EAL",Y138="EAL",Z138="EAL",AA138="EAL"),"EAL",IF(X138='Writing Logic'!$A$10,AVERAGE(VLOOKUP(Y138,'Writing Logic'!$A$3:$B$7,2,FALSE),VLOOKUP(Z138,'Writing Logic'!$A$3:$B$7,2,FALSE),VLOOKUP(AA138,'Writing Logic'!$A$3:$B$7,2,FALSE)),AVERAGE(VLOOKUP(X138,'Writing Logic'!$A$3:$B$7,2,FALSE),VLOOKUP(Y138,'Writing Logic'!$A$3:$B$7,2,FALSE),VLOOKUP(Z138,'Writing Logic'!$A$3:$B$7,2,FALSE),VLOOKUP(AA138,'Writing Logic'!$A$3:$B$7,2,FALSE))))),"Fill All 4")</f>
        <v>Fill All 4</v>
      </c>
      <c r="AC138" s="95" t="str">
        <f t="shared" si="11"/>
        <v/>
      </c>
      <c r="AD138" s="120"/>
      <c r="AE138" s="120"/>
      <c r="AF138" s="120"/>
      <c r="AG138" s="120"/>
      <c r="AH138" s="95" t="str">
        <f>IFERROR(IF(YES_Writing_ELA[[#This Row],[Literacy IPP]]='Writing Logic'!$E$26,"IPP",IF(OR(AD138="EAL",AE138="EAL",AF138="EAL",AG138="EAL"),"EAL",IF(AD138='Writing Logic'!$A$10,AVERAGE(VLOOKUP(AE138,'Writing Logic'!$A$3:$B$7,2,FALSE),VLOOKUP(AF138,'Writing Logic'!$A$3:$B$7,2,FALSE),VLOOKUP(AG138,'Writing Logic'!$A$3:$B$7,2,FALSE)),AVERAGE(VLOOKUP(AD138,'Writing Logic'!$A$3:$B$7,2,FALSE),VLOOKUP(AE138,'Writing Logic'!$A$3:$B$7,2,FALSE),VLOOKUP(AF138,'Writing Logic'!$A$3:$B$7,2,FALSE),VLOOKUP(AG138,'Writing Logic'!$A$3:$B$7,2,FALSE))))),"Fill All 4")</f>
        <v>Fill All 4</v>
      </c>
      <c r="AI138" s="95" t="str">
        <f t="shared" si="12"/>
        <v/>
      </c>
      <c r="AJ138" s="183"/>
      <c r="AK138" s="120"/>
      <c r="AL138" s="120"/>
      <c r="AM138" s="120"/>
      <c r="AN138" s="95" t="str">
        <f>IFERROR(IF(YES_Writing_ELA[[#This Row],[Literacy IPP]]='Writing Logic'!$E$26,"IPP",IF(OR(AJ138="EAL",AK138="EAL",AL138="EAL",AM138="EAL"),"EAL",IF(AJ138='Writing Logic'!$A$10,AVERAGE(VLOOKUP(AK138,'Writing Logic'!$A$3:$B$7,2,FALSE),VLOOKUP(AL138,'Writing Logic'!$A$3:$B$7,2,FALSE),VLOOKUP(AM138,'Writing Logic'!$A$3:$B$7,2,FALSE)),AVERAGE(VLOOKUP(AJ138,'Writing Logic'!$A$3:$B$7,2,FALSE),VLOOKUP(AK138,'Writing Logic'!$A$3:$B$7,2,FALSE),VLOOKUP(AL138,'Writing Logic'!$A$3:$B$7,2,FALSE),VLOOKUP(AM138,'Writing Logic'!$A$3:$B$7,2,FALSE))))),"Fill All 4")</f>
        <v>Fill All 4</v>
      </c>
      <c r="AO138" s="95" t="str">
        <f t="shared" si="13"/>
        <v/>
      </c>
      <c r="AP138" s="120"/>
      <c r="AQ138" s="120"/>
      <c r="AR138" s="120"/>
      <c r="AS138" s="120"/>
      <c r="AT138" s="95" t="str">
        <f>IFERROR(IF(YES_Writing_ELA[[#This Row],[Literacy IPP]]='Writing Logic'!$E$26,"IPP",IF(OR(AP138="EAL",AQ138="EAL",AR138="EAL",AS138="EAL"),"EAL",IF(AP138='Writing Logic'!$A$10,AVERAGE(VLOOKUP(AQ138,'Writing Logic'!$A$3:$B$7,2,FALSE),VLOOKUP(AR138,'Writing Logic'!$A$3:$B$7,2,FALSE),VLOOKUP(AS138,'Writing Logic'!$A$3:$B$7,2,FALSE)),AVERAGE(VLOOKUP(AP138,'Writing Logic'!$A$3:$B$7,2,FALSE),VLOOKUP(AQ138,'Writing Logic'!$A$3:$B$7,2,FALSE),VLOOKUP(AR138,'Writing Logic'!$A$3:$B$7,2,FALSE),VLOOKUP(AS138,'Writing Logic'!$A$3:$B$7,2,FALSE))))),"Fill All 4")</f>
        <v>Fill All 4</v>
      </c>
      <c r="AU138" s="95" t="str">
        <f t="shared" si="14"/>
        <v/>
      </c>
    </row>
    <row r="139" spans="1:47" x14ac:dyDescent="0.25">
      <c r="A139" s="13"/>
      <c r="B139" s="13"/>
      <c r="C139" s="13"/>
      <c r="D139" s="13"/>
      <c r="E139" s="13"/>
      <c r="F139" s="13"/>
      <c r="G139" s="13"/>
      <c r="H139" s="13"/>
      <c r="I139" s="13"/>
      <c r="J139" s="13"/>
      <c r="K139" s="183"/>
      <c r="L139" s="184"/>
      <c r="M139" s="120"/>
      <c r="N139" s="120"/>
      <c r="O139" s="120"/>
      <c r="P139" s="120"/>
      <c r="Q139" s="95" t="str">
        <f>IFERROR(IF(YES_Writing_ELA[[#This Row],[Literacy IPP]]='Writing Logic'!$E$26,"IPP",IF(OR(M139="EAL",N139="EAL",O139="EAL",P139="EAL"),"EAL",IF(M139='Writing Logic'!$A$10,AVERAGE(VLOOKUP(N139,'Writing Logic'!$A$3:$B$7,2,FALSE),VLOOKUP(O139,'Writing Logic'!$A$3:$B$7,2,FALSE),VLOOKUP(P139,'Writing Logic'!$A$3:$B$7,2,FALSE)),AVERAGE(VLOOKUP(M139,'Writing Logic'!$A$3:$B$7,2,FALSE),VLOOKUP(N139,'Writing Logic'!$A$3:$B$7,2,FALSE),VLOOKUP(O139,'Writing Logic'!$A$3:$B$7,2,FALSE),VLOOKUP(P139,'Writing Logic'!$A$3:$B$7,2,FALSE))))),"Fill All 4")</f>
        <v>Fill All 4</v>
      </c>
      <c r="R139" s="120"/>
      <c r="S139" s="120"/>
      <c r="T139" s="120"/>
      <c r="U139" s="120"/>
      <c r="V139" s="95" t="str">
        <f>IFERROR(IF(YES_Writing_ELA[[#This Row],[Literacy IPP]]='Writing Logic'!$E$26,"IPP",IF(OR(R139="EAL",S139="EAL",T139="EAL",U139="EAL"),"EAL",IF(R139='Writing Logic'!$A$10,AVERAGE(VLOOKUP(S139,'Writing Logic'!$A$3:$B$7,2,FALSE),VLOOKUP(T139,'Writing Logic'!$A$3:$B$7,2,FALSE),VLOOKUP(U139,'Writing Logic'!$A$3:$B$7,2,FALSE)),AVERAGE(VLOOKUP(R139,'Writing Logic'!$A$3:$B$7,2,FALSE),VLOOKUP(S139,'Writing Logic'!$A$3:$B$7,2,FALSE),VLOOKUP(T139,'Writing Logic'!$A$3:$B$7,2,FALSE),VLOOKUP(U139,'Writing Logic'!$A$3:$B$7,2,FALSE))))),"Fill All 4")</f>
        <v>Fill All 4</v>
      </c>
      <c r="W139" s="95" t="str">
        <f t="shared" si="10"/>
        <v/>
      </c>
      <c r="X139" s="120"/>
      <c r="Y139" s="120"/>
      <c r="Z139" s="120"/>
      <c r="AA139" s="120"/>
      <c r="AB139" s="95" t="str">
        <f>IFERROR(IF(YES_Writing_ELA[[#This Row],[Literacy IPP]]='Writing Logic'!$E$26,"IPP",IF(OR(X139="EAL",Y139="EAL",Z139="EAL",AA139="EAL"),"EAL",IF(X139='Writing Logic'!$A$10,AVERAGE(VLOOKUP(Y139,'Writing Logic'!$A$3:$B$7,2,FALSE),VLOOKUP(Z139,'Writing Logic'!$A$3:$B$7,2,FALSE),VLOOKUP(AA139,'Writing Logic'!$A$3:$B$7,2,FALSE)),AVERAGE(VLOOKUP(X139,'Writing Logic'!$A$3:$B$7,2,FALSE),VLOOKUP(Y139,'Writing Logic'!$A$3:$B$7,2,FALSE),VLOOKUP(Z139,'Writing Logic'!$A$3:$B$7,2,FALSE),VLOOKUP(AA139,'Writing Logic'!$A$3:$B$7,2,FALSE))))),"Fill All 4")</f>
        <v>Fill All 4</v>
      </c>
      <c r="AC139" s="95" t="str">
        <f t="shared" si="11"/>
        <v/>
      </c>
      <c r="AD139" s="120"/>
      <c r="AE139" s="120"/>
      <c r="AF139" s="120"/>
      <c r="AG139" s="120"/>
      <c r="AH139" s="95" t="str">
        <f>IFERROR(IF(YES_Writing_ELA[[#This Row],[Literacy IPP]]='Writing Logic'!$E$26,"IPP",IF(OR(AD139="EAL",AE139="EAL",AF139="EAL",AG139="EAL"),"EAL",IF(AD139='Writing Logic'!$A$10,AVERAGE(VLOOKUP(AE139,'Writing Logic'!$A$3:$B$7,2,FALSE),VLOOKUP(AF139,'Writing Logic'!$A$3:$B$7,2,FALSE),VLOOKUP(AG139,'Writing Logic'!$A$3:$B$7,2,FALSE)),AVERAGE(VLOOKUP(AD139,'Writing Logic'!$A$3:$B$7,2,FALSE),VLOOKUP(AE139,'Writing Logic'!$A$3:$B$7,2,FALSE),VLOOKUP(AF139,'Writing Logic'!$A$3:$B$7,2,FALSE),VLOOKUP(AG139,'Writing Logic'!$A$3:$B$7,2,FALSE))))),"Fill All 4")</f>
        <v>Fill All 4</v>
      </c>
      <c r="AI139" s="95" t="str">
        <f t="shared" si="12"/>
        <v/>
      </c>
      <c r="AJ139" s="183"/>
      <c r="AK139" s="120"/>
      <c r="AL139" s="120"/>
      <c r="AM139" s="120"/>
      <c r="AN139" s="95" t="str">
        <f>IFERROR(IF(YES_Writing_ELA[[#This Row],[Literacy IPP]]='Writing Logic'!$E$26,"IPP",IF(OR(AJ139="EAL",AK139="EAL",AL139="EAL",AM139="EAL"),"EAL",IF(AJ139='Writing Logic'!$A$10,AVERAGE(VLOOKUP(AK139,'Writing Logic'!$A$3:$B$7,2,FALSE),VLOOKUP(AL139,'Writing Logic'!$A$3:$B$7,2,FALSE),VLOOKUP(AM139,'Writing Logic'!$A$3:$B$7,2,FALSE)),AVERAGE(VLOOKUP(AJ139,'Writing Logic'!$A$3:$B$7,2,FALSE),VLOOKUP(AK139,'Writing Logic'!$A$3:$B$7,2,FALSE),VLOOKUP(AL139,'Writing Logic'!$A$3:$B$7,2,FALSE),VLOOKUP(AM139,'Writing Logic'!$A$3:$B$7,2,FALSE))))),"Fill All 4")</f>
        <v>Fill All 4</v>
      </c>
      <c r="AO139" s="95" t="str">
        <f t="shared" si="13"/>
        <v/>
      </c>
      <c r="AP139" s="120"/>
      <c r="AQ139" s="120"/>
      <c r="AR139" s="120"/>
      <c r="AS139" s="120"/>
      <c r="AT139" s="95" t="str">
        <f>IFERROR(IF(YES_Writing_ELA[[#This Row],[Literacy IPP]]='Writing Logic'!$E$26,"IPP",IF(OR(AP139="EAL",AQ139="EAL",AR139="EAL",AS139="EAL"),"EAL",IF(AP139='Writing Logic'!$A$10,AVERAGE(VLOOKUP(AQ139,'Writing Logic'!$A$3:$B$7,2,FALSE),VLOOKUP(AR139,'Writing Logic'!$A$3:$B$7,2,FALSE),VLOOKUP(AS139,'Writing Logic'!$A$3:$B$7,2,FALSE)),AVERAGE(VLOOKUP(AP139,'Writing Logic'!$A$3:$B$7,2,FALSE),VLOOKUP(AQ139,'Writing Logic'!$A$3:$B$7,2,FALSE),VLOOKUP(AR139,'Writing Logic'!$A$3:$B$7,2,FALSE),VLOOKUP(AS139,'Writing Logic'!$A$3:$B$7,2,FALSE))))),"Fill All 4")</f>
        <v>Fill All 4</v>
      </c>
      <c r="AU139" s="95" t="str">
        <f t="shared" si="14"/>
        <v/>
      </c>
    </row>
    <row r="140" spans="1:47" x14ac:dyDescent="0.25">
      <c r="A140" s="13"/>
      <c r="B140" s="13"/>
      <c r="C140" s="13"/>
      <c r="D140" s="13"/>
      <c r="E140" s="13"/>
      <c r="F140" s="13"/>
      <c r="G140" s="13"/>
      <c r="H140" s="13"/>
      <c r="I140" s="13"/>
      <c r="J140" s="13"/>
      <c r="K140" s="183"/>
      <c r="L140" s="184"/>
      <c r="M140" s="120"/>
      <c r="N140" s="120"/>
      <c r="O140" s="120"/>
      <c r="P140" s="120"/>
      <c r="Q140" s="95" t="str">
        <f>IFERROR(IF(YES_Writing_ELA[[#This Row],[Literacy IPP]]='Writing Logic'!$E$26,"IPP",IF(OR(M140="EAL",N140="EAL",O140="EAL",P140="EAL"),"EAL",IF(M140='Writing Logic'!$A$10,AVERAGE(VLOOKUP(N140,'Writing Logic'!$A$3:$B$7,2,FALSE),VLOOKUP(O140,'Writing Logic'!$A$3:$B$7,2,FALSE),VLOOKUP(P140,'Writing Logic'!$A$3:$B$7,2,FALSE)),AVERAGE(VLOOKUP(M140,'Writing Logic'!$A$3:$B$7,2,FALSE),VLOOKUP(N140,'Writing Logic'!$A$3:$B$7,2,FALSE),VLOOKUP(O140,'Writing Logic'!$A$3:$B$7,2,FALSE),VLOOKUP(P140,'Writing Logic'!$A$3:$B$7,2,FALSE))))),"Fill All 4")</f>
        <v>Fill All 4</v>
      </c>
      <c r="R140" s="120"/>
      <c r="S140" s="120"/>
      <c r="T140" s="120"/>
      <c r="U140" s="120"/>
      <c r="V140" s="95" t="str">
        <f>IFERROR(IF(YES_Writing_ELA[[#This Row],[Literacy IPP]]='Writing Logic'!$E$26,"IPP",IF(OR(R140="EAL",S140="EAL",T140="EAL",U140="EAL"),"EAL",IF(R140='Writing Logic'!$A$10,AVERAGE(VLOOKUP(S140,'Writing Logic'!$A$3:$B$7,2,FALSE),VLOOKUP(T140,'Writing Logic'!$A$3:$B$7,2,FALSE),VLOOKUP(U140,'Writing Logic'!$A$3:$B$7,2,FALSE)),AVERAGE(VLOOKUP(R140,'Writing Logic'!$A$3:$B$7,2,FALSE),VLOOKUP(S140,'Writing Logic'!$A$3:$B$7,2,FALSE),VLOOKUP(T140,'Writing Logic'!$A$3:$B$7,2,FALSE),VLOOKUP(U140,'Writing Logic'!$A$3:$B$7,2,FALSE))))),"Fill All 4")</f>
        <v>Fill All 4</v>
      </c>
      <c r="W140" s="95" t="str">
        <f t="shared" si="10"/>
        <v/>
      </c>
      <c r="X140" s="120"/>
      <c r="Y140" s="120"/>
      <c r="Z140" s="120"/>
      <c r="AA140" s="120"/>
      <c r="AB140" s="95" t="str">
        <f>IFERROR(IF(YES_Writing_ELA[[#This Row],[Literacy IPP]]='Writing Logic'!$E$26,"IPP",IF(OR(X140="EAL",Y140="EAL",Z140="EAL",AA140="EAL"),"EAL",IF(X140='Writing Logic'!$A$10,AVERAGE(VLOOKUP(Y140,'Writing Logic'!$A$3:$B$7,2,FALSE),VLOOKUP(Z140,'Writing Logic'!$A$3:$B$7,2,FALSE),VLOOKUP(AA140,'Writing Logic'!$A$3:$B$7,2,FALSE)),AVERAGE(VLOOKUP(X140,'Writing Logic'!$A$3:$B$7,2,FALSE),VLOOKUP(Y140,'Writing Logic'!$A$3:$B$7,2,FALSE),VLOOKUP(Z140,'Writing Logic'!$A$3:$B$7,2,FALSE),VLOOKUP(AA140,'Writing Logic'!$A$3:$B$7,2,FALSE))))),"Fill All 4")</f>
        <v>Fill All 4</v>
      </c>
      <c r="AC140" s="95" t="str">
        <f t="shared" si="11"/>
        <v/>
      </c>
      <c r="AD140" s="120"/>
      <c r="AE140" s="120"/>
      <c r="AF140" s="120"/>
      <c r="AG140" s="120"/>
      <c r="AH140" s="95" t="str">
        <f>IFERROR(IF(YES_Writing_ELA[[#This Row],[Literacy IPP]]='Writing Logic'!$E$26,"IPP",IF(OR(AD140="EAL",AE140="EAL",AF140="EAL",AG140="EAL"),"EAL",IF(AD140='Writing Logic'!$A$10,AVERAGE(VLOOKUP(AE140,'Writing Logic'!$A$3:$B$7,2,FALSE),VLOOKUP(AF140,'Writing Logic'!$A$3:$B$7,2,FALSE),VLOOKUP(AG140,'Writing Logic'!$A$3:$B$7,2,FALSE)),AVERAGE(VLOOKUP(AD140,'Writing Logic'!$A$3:$B$7,2,FALSE),VLOOKUP(AE140,'Writing Logic'!$A$3:$B$7,2,FALSE),VLOOKUP(AF140,'Writing Logic'!$A$3:$B$7,2,FALSE),VLOOKUP(AG140,'Writing Logic'!$A$3:$B$7,2,FALSE))))),"Fill All 4")</f>
        <v>Fill All 4</v>
      </c>
      <c r="AI140" s="95" t="str">
        <f t="shared" si="12"/>
        <v/>
      </c>
      <c r="AJ140" s="183"/>
      <c r="AK140" s="120"/>
      <c r="AL140" s="120"/>
      <c r="AM140" s="120"/>
      <c r="AN140" s="95" t="str">
        <f>IFERROR(IF(YES_Writing_ELA[[#This Row],[Literacy IPP]]='Writing Logic'!$E$26,"IPP",IF(OR(AJ140="EAL",AK140="EAL",AL140="EAL",AM140="EAL"),"EAL",IF(AJ140='Writing Logic'!$A$10,AVERAGE(VLOOKUP(AK140,'Writing Logic'!$A$3:$B$7,2,FALSE),VLOOKUP(AL140,'Writing Logic'!$A$3:$B$7,2,FALSE),VLOOKUP(AM140,'Writing Logic'!$A$3:$B$7,2,FALSE)),AVERAGE(VLOOKUP(AJ140,'Writing Logic'!$A$3:$B$7,2,FALSE),VLOOKUP(AK140,'Writing Logic'!$A$3:$B$7,2,FALSE),VLOOKUP(AL140,'Writing Logic'!$A$3:$B$7,2,FALSE),VLOOKUP(AM140,'Writing Logic'!$A$3:$B$7,2,FALSE))))),"Fill All 4")</f>
        <v>Fill All 4</v>
      </c>
      <c r="AO140" s="95" t="str">
        <f t="shared" si="13"/>
        <v/>
      </c>
      <c r="AP140" s="120"/>
      <c r="AQ140" s="120"/>
      <c r="AR140" s="120"/>
      <c r="AS140" s="120"/>
      <c r="AT140" s="95" t="str">
        <f>IFERROR(IF(YES_Writing_ELA[[#This Row],[Literacy IPP]]='Writing Logic'!$E$26,"IPP",IF(OR(AP140="EAL",AQ140="EAL",AR140="EAL",AS140="EAL"),"EAL",IF(AP140='Writing Logic'!$A$10,AVERAGE(VLOOKUP(AQ140,'Writing Logic'!$A$3:$B$7,2,FALSE),VLOOKUP(AR140,'Writing Logic'!$A$3:$B$7,2,FALSE),VLOOKUP(AS140,'Writing Logic'!$A$3:$B$7,2,FALSE)),AVERAGE(VLOOKUP(AP140,'Writing Logic'!$A$3:$B$7,2,FALSE),VLOOKUP(AQ140,'Writing Logic'!$A$3:$B$7,2,FALSE),VLOOKUP(AR140,'Writing Logic'!$A$3:$B$7,2,FALSE),VLOOKUP(AS140,'Writing Logic'!$A$3:$B$7,2,FALSE))))),"Fill All 4")</f>
        <v>Fill All 4</v>
      </c>
      <c r="AU140" s="95" t="str">
        <f t="shared" si="14"/>
        <v/>
      </c>
    </row>
    <row r="141" spans="1:47" x14ac:dyDescent="0.25">
      <c r="A141" s="13"/>
      <c r="B141" s="13"/>
      <c r="C141" s="13"/>
      <c r="D141" s="13"/>
      <c r="E141" s="13"/>
      <c r="F141" s="13"/>
      <c r="G141" s="13"/>
      <c r="H141" s="13"/>
      <c r="I141" s="13"/>
      <c r="J141" s="13"/>
      <c r="K141" s="183"/>
      <c r="L141" s="184"/>
      <c r="M141" s="120"/>
      <c r="N141" s="120"/>
      <c r="O141" s="120"/>
      <c r="P141" s="120"/>
      <c r="Q141" s="95" t="str">
        <f>IFERROR(IF(YES_Writing_ELA[[#This Row],[Literacy IPP]]='Writing Logic'!$E$26,"IPP",IF(OR(M141="EAL",N141="EAL",O141="EAL",P141="EAL"),"EAL",IF(M141='Writing Logic'!$A$10,AVERAGE(VLOOKUP(N141,'Writing Logic'!$A$3:$B$7,2,FALSE),VLOOKUP(O141,'Writing Logic'!$A$3:$B$7,2,FALSE),VLOOKUP(P141,'Writing Logic'!$A$3:$B$7,2,FALSE)),AVERAGE(VLOOKUP(M141,'Writing Logic'!$A$3:$B$7,2,FALSE),VLOOKUP(N141,'Writing Logic'!$A$3:$B$7,2,FALSE),VLOOKUP(O141,'Writing Logic'!$A$3:$B$7,2,FALSE),VLOOKUP(P141,'Writing Logic'!$A$3:$B$7,2,FALSE))))),"Fill All 4")</f>
        <v>Fill All 4</v>
      </c>
      <c r="R141" s="120"/>
      <c r="S141" s="120"/>
      <c r="T141" s="120"/>
      <c r="U141" s="120"/>
      <c r="V141" s="95" t="str">
        <f>IFERROR(IF(YES_Writing_ELA[[#This Row],[Literacy IPP]]='Writing Logic'!$E$26,"IPP",IF(OR(R141="EAL",S141="EAL",T141="EAL",U141="EAL"),"EAL",IF(R141='Writing Logic'!$A$10,AVERAGE(VLOOKUP(S141,'Writing Logic'!$A$3:$B$7,2,FALSE),VLOOKUP(T141,'Writing Logic'!$A$3:$B$7,2,FALSE),VLOOKUP(U141,'Writing Logic'!$A$3:$B$7,2,FALSE)),AVERAGE(VLOOKUP(R141,'Writing Logic'!$A$3:$B$7,2,FALSE),VLOOKUP(S141,'Writing Logic'!$A$3:$B$7,2,FALSE),VLOOKUP(T141,'Writing Logic'!$A$3:$B$7,2,FALSE),VLOOKUP(U141,'Writing Logic'!$A$3:$B$7,2,FALSE))))),"Fill All 4")</f>
        <v>Fill All 4</v>
      </c>
      <c r="W141" s="95" t="str">
        <f t="shared" si="10"/>
        <v/>
      </c>
      <c r="X141" s="120"/>
      <c r="Y141" s="120"/>
      <c r="Z141" s="120"/>
      <c r="AA141" s="120"/>
      <c r="AB141" s="95" t="str">
        <f>IFERROR(IF(YES_Writing_ELA[[#This Row],[Literacy IPP]]='Writing Logic'!$E$26,"IPP",IF(OR(X141="EAL",Y141="EAL",Z141="EAL",AA141="EAL"),"EAL",IF(X141='Writing Logic'!$A$10,AVERAGE(VLOOKUP(Y141,'Writing Logic'!$A$3:$B$7,2,FALSE),VLOOKUP(Z141,'Writing Logic'!$A$3:$B$7,2,FALSE),VLOOKUP(AA141,'Writing Logic'!$A$3:$B$7,2,FALSE)),AVERAGE(VLOOKUP(X141,'Writing Logic'!$A$3:$B$7,2,FALSE),VLOOKUP(Y141,'Writing Logic'!$A$3:$B$7,2,FALSE),VLOOKUP(Z141,'Writing Logic'!$A$3:$B$7,2,FALSE),VLOOKUP(AA141,'Writing Logic'!$A$3:$B$7,2,FALSE))))),"Fill All 4")</f>
        <v>Fill All 4</v>
      </c>
      <c r="AC141" s="95" t="str">
        <f t="shared" si="11"/>
        <v/>
      </c>
      <c r="AD141" s="120"/>
      <c r="AE141" s="120"/>
      <c r="AF141" s="120"/>
      <c r="AG141" s="120"/>
      <c r="AH141" s="95" t="str">
        <f>IFERROR(IF(YES_Writing_ELA[[#This Row],[Literacy IPP]]='Writing Logic'!$E$26,"IPP",IF(OR(AD141="EAL",AE141="EAL",AF141="EAL",AG141="EAL"),"EAL",IF(AD141='Writing Logic'!$A$10,AVERAGE(VLOOKUP(AE141,'Writing Logic'!$A$3:$B$7,2,FALSE),VLOOKUP(AF141,'Writing Logic'!$A$3:$B$7,2,FALSE),VLOOKUP(AG141,'Writing Logic'!$A$3:$B$7,2,FALSE)),AVERAGE(VLOOKUP(AD141,'Writing Logic'!$A$3:$B$7,2,FALSE),VLOOKUP(AE141,'Writing Logic'!$A$3:$B$7,2,FALSE),VLOOKUP(AF141,'Writing Logic'!$A$3:$B$7,2,FALSE),VLOOKUP(AG141,'Writing Logic'!$A$3:$B$7,2,FALSE))))),"Fill All 4")</f>
        <v>Fill All 4</v>
      </c>
      <c r="AI141" s="95" t="str">
        <f t="shared" si="12"/>
        <v/>
      </c>
      <c r="AJ141" s="183"/>
      <c r="AK141" s="120"/>
      <c r="AL141" s="120"/>
      <c r="AM141" s="120"/>
      <c r="AN141" s="95" t="str">
        <f>IFERROR(IF(YES_Writing_ELA[[#This Row],[Literacy IPP]]='Writing Logic'!$E$26,"IPP",IF(OR(AJ141="EAL",AK141="EAL",AL141="EAL",AM141="EAL"),"EAL",IF(AJ141='Writing Logic'!$A$10,AVERAGE(VLOOKUP(AK141,'Writing Logic'!$A$3:$B$7,2,FALSE),VLOOKUP(AL141,'Writing Logic'!$A$3:$B$7,2,FALSE),VLOOKUP(AM141,'Writing Logic'!$A$3:$B$7,2,FALSE)),AVERAGE(VLOOKUP(AJ141,'Writing Logic'!$A$3:$B$7,2,FALSE),VLOOKUP(AK141,'Writing Logic'!$A$3:$B$7,2,FALSE),VLOOKUP(AL141,'Writing Logic'!$A$3:$B$7,2,FALSE),VLOOKUP(AM141,'Writing Logic'!$A$3:$B$7,2,FALSE))))),"Fill All 4")</f>
        <v>Fill All 4</v>
      </c>
      <c r="AO141" s="95" t="str">
        <f t="shared" si="13"/>
        <v/>
      </c>
      <c r="AP141" s="120"/>
      <c r="AQ141" s="120"/>
      <c r="AR141" s="120"/>
      <c r="AS141" s="120"/>
      <c r="AT141" s="95" t="str">
        <f>IFERROR(IF(YES_Writing_ELA[[#This Row],[Literacy IPP]]='Writing Logic'!$E$26,"IPP",IF(OR(AP141="EAL",AQ141="EAL",AR141="EAL",AS141="EAL"),"EAL",IF(AP141='Writing Logic'!$A$10,AVERAGE(VLOOKUP(AQ141,'Writing Logic'!$A$3:$B$7,2,FALSE),VLOOKUP(AR141,'Writing Logic'!$A$3:$B$7,2,FALSE),VLOOKUP(AS141,'Writing Logic'!$A$3:$B$7,2,FALSE)),AVERAGE(VLOOKUP(AP141,'Writing Logic'!$A$3:$B$7,2,FALSE),VLOOKUP(AQ141,'Writing Logic'!$A$3:$B$7,2,FALSE),VLOOKUP(AR141,'Writing Logic'!$A$3:$B$7,2,FALSE),VLOOKUP(AS141,'Writing Logic'!$A$3:$B$7,2,FALSE))))),"Fill All 4")</f>
        <v>Fill All 4</v>
      </c>
      <c r="AU141" s="95" t="str">
        <f t="shared" si="14"/>
        <v/>
      </c>
    </row>
    <row r="142" spans="1:47" x14ac:dyDescent="0.25">
      <c r="A142" s="13"/>
      <c r="B142" s="13"/>
      <c r="C142" s="13"/>
      <c r="D142" s="13"/>
      <c r="E142" s="13"/>
      <c r="F142" s="13"/>
      <c r="G142" s="13"/>
      <c r="H142" s="13"/>
      <c r="I142" s="13"/>
      <c r="J142" s="13"/>
      <c r="K142" s="183"/>
      <c r="L142" s="184"/>
      <c r="M142" s="120"/>
      <c r="N142" s="120"/>
      <c r="O142" s="120"/>
      <c r="P142" s="120"/>
      <c r="Q142" s="95" t="str">
        <f>IFERROR(IF(YES_Writing_ELA[[#This Row],[Literacy IPP]]='Writing Logic'!$E$26,"IPP",IF(OR(M142="EAL",N142="EAL",O142="EAL",P142="EAL"),"EAL",IF(M142='Writing Logic'!$A$10,AVERAGE(VLOOKUP(N142,'Writing Logic'!$A$3:$B$7,2,FALSE),VLOOKUP(O142,'Writing Logic'!$A$3:$B$7,2,FALSE),VLOOKUP(P142,'Writing Logic'!$A$3:$B$7,2,FALSE)),AVERAGE(VLOOKUP(M142,'Writing Logic'!$A$3:$B$7,2,FALSE),VLOOKUP(N142,'Writing Logic'!$A$3:$B$7,2,FALSE),VLOOKUP(O142,'Writing Logic'!$A$3:$B$7,2,FALSE),VLOOKUP(P142,'Writing Logic'!$A$3:$B$7,2,FALSE))))),"Fill All 4")</f>
        <v>Fill All 4</v>
      </c>
      <c r="R142" s="120"/>
      <c r="S142" s="120"/>
      <c r="T142" s="120"/>
      <c r="U142" s="120"/>
      <c r="V142" s="95" t="str">
        <f>IFERROR(IF(YES_Writing_ELA[[#This Row],[Literacy IPP]]='Writing Logic'!$E$26,"IPP",IF(OR(R142="EAL",S142="EAL",T142="EAL",U142="EAL"),"EAL",IF(R142='Writing Logic'!$A$10,AVERAGE(VLOOKUP(S142,'Writing Logic'!$A$3:$B$7,2,FALSE),VLOOKUP(T142,'Writing Logic'!$A$3:$B$7,2,FALSE),VLOOKUP(U142,'Writing Logic'!$A$3:$B$7,2,FALSE)),AVERAGE(VLOOKUP(R142,'Writing Logic'!$A$3:$B$7,2,FALSE),VLOOKUP(S142,'Writing Logic'!$A$3:$B$7,2,FALSE),VLOOKUP(T142,'Writing Logic'!$A$3:$B$7,2,FALSE),VLOOKUP(U142,'Writing Logic'!$A$3:$B$7,2,FALSE))))),"Fill All 4")</f>
        <v>Fill All 4</v>
      </c>
      <c r="W142" s="95" t="str">
        <f t="shared" si="10"/>
        <v/>
      </c>
      <c r="X142" s="120"/>
      <c r="Y142" s="120"/>
      <c r="Z142" s="120"/>
      <c r="AA142" s="120"/>
      <c r="AB142" s="95" t="str">
        <f>IFERROR(IF(YES_Writing_ELA[[#This Row],[Literacy IPP]]='Writing Logic'!$E$26,"IPP",IF(OR(X142="EAL",Y142="EAL",Z142="EAL",AA142="EAL"),"EAL",IF(X142='Writing Logic'!$A$10,AVERAGE(VLOOKUP(Y142,'Writing Logic'!$A$3:$B$7,2,FALSE),VLOOKUP(Z142,'Writing Logic'!$A$3:$B$7,2,FALSE),VLOOKUP(AA142,'Writing Logic'!$A$3:$B$7,2,FALSE)),AVERAGE(VLOOKUP(X142,'Writing Logic'!$A$3:$B$7,2,FALSE),VLOOKUP(Y142,'Writing Logic'!$A$3:$B$7,2,FALSE),VLOOKUP(Z142,'Writing Logic'!$A$3:$B$7,2,FALSE),VLOOKUP(AA142,'Writing Logic'!$A$3:$B$7,2,FALSE))))),"Fill All 4")</f>
        <v>Fill All 4</v>
      </c>
      <c r="AC142" s="95" t="str">
        <f t="shared" si="11"/>
        <v/>
      </c>
      <c r="AD142" s="120"/>
      <c r="AE142" s="120"/>
      <c r="AF142" s="120"/>
      <c r="AG142" s="120"/>
      <c r="AH142" s="95" t="str">
        <f>IFERROR(IF(YES_Writing_ELA[[#This Row],[Literacy IPP]]='Writing Logic'!$E$26,"IPP",IF(OR(AD142="EAL",AE142="EAL",AF142="EAL",AG142="EAL"),"EAL",IF(AD142='Writing Logic'!$A$10,AVERAGE(VLOOKUP(AE142,'Writing Logic'!$A$3:$B$7,2,FALSE),VLOOKUP(AF142,'Writing Logic'!$A$3:$B$7,2,FALSE),VLOOKUP(AG142,'Writing Logic'!$A$3:$B$7,2,FALSE)),AVERAGE(VLOOKUP(AD142,'Writing Logic'!$A$3:$B$7,2,FALSE),VLOOKUP(AE142,'Writing Logic'!$A$3:$B$7,2,FALSE),VLOOKUP(AF142,'Writing Logic'!$A$3:$B$7,2,FALSE),VLOOKUP(AG142,'Writing Logic'!$A$3:$B$7,2,FALSE))))),"Fill All 4")</f>
        <v>Fill All 4</v>
      </c>
      <c r="AI142" s="95" t="str">
        <f t="shared" si="12"/>
        <v/>
      </c>
      <c r="AJ142" s="183"/>
      <c r="AK142" s="120"/>
      <c r="AL142" s="120"/>
      <c r="AM142" s="120"/>
      <c r="AN142" s="95" t="str">
        <f>IFERROR(IF(YES_Writing_ELA[[#This Row],[Literacy IPP]]='Writing Logic'!$E$26,"IPP",IF(OR(AJ142="EAL",AK142="EAL",AL142="EAL",AM142="EAL"),"EAL",IF(AJ142='Writing Logic'!$A$10,AVERAGE(VLOOKUP(AK142,'Writing Logic'!$A$3:$B$7,2,FALSE),VLOOKUP(AL142,'Writing Logic'!$A$3:$B$7,2,FALSE),VLOOKUP(AM142,'Writing Logic'!$A$3:$B$7,2,FALSE)),AVERAGE(VLOOKUP(AJ142,'Writing Logic'!$A$3:$B$7,2,FALSE),VLOOKUP(AK142,'Writing Logic'!$A$3:$B$7,2,FALSE),VLOOKUP(AL142,'Writing Logic'!$A$3:$B$7,2,FALSE),VLOOKUP(AM142,'Writing Logic'!$A$3:$B$7,2,FALSE))))),"Fill All 4")</f>
        <v>Fill All 4</v>
      </c>
      <c r="AO142" s="95" t="str">
        <f t="shared" si="13"/>
        <v/>
      </c>
      <c r="AP142" s="120"/>
      <c r="AQ142" s="120"/>
      <c r="AR142" s="120"/>
      <c r="AS142" s="120"/>
      <c r="AT142" s="95" t="str">
        <f>IFERROR(IF(YES_Writing_ELA[[#This Row],[Literacy IPP]]='Writing Logic'!$E$26,"IPP",IF(OR(AP142="EAL",AQ142="EAL",AR142="EAL",AS142="EAL"),"EAL",IF(AP142='Writing Logic'!$A$10,AVERAGE(VLOOKUP(AQ142,'Writing Logic'!$A$3:$B$7,2,FALSE),VLOOKUP(AR142,'Writing Logic'!$A$3:$B$7,2,FALSE),VLOOKUP(AS142,'Writing Logic'!$A$3:$B$7,2,FALSE)),AVERAGE(VLOOKUP(AP142,'Writing Logic'!$A$3:$B$7,2,FALSE),VLOOKUP(AQ142,'Writing Logic'!$A$3:$B$7,2,FALSE),VLOOKUP(AR142,'Writing Logic'!$A$3:$B$7,2,FALSE),VLOOKUP(AS142,'Writing Logic'!$A$3:$B$7,2,FALSE))))),"Fill All 4")</f>
        <v>Fill All 4</v>
      </c>
      <c r="AU142" s="95" t="str">
        <f t="shared" si="14"/>
        <v/>
      </c>
    </row>
    <row r="143" spans="1:47" x14ac:dyDescent="0.25">
      <c r="A143" s="13"/>
      <c r="B143" s="13"/>
      <c r="C143" s="13"/>
      <c r="D143" s="13"/>
      <c r="E143" s="13"/>
      <c r="F143" s="13"/>
      <c r="G143" s="13"/>
      <c r="H143" s="13"/>
      <c r="I143" s="13"/>
      <c r="J143" s="13"/>
      <c r="K143" s="183"/>
      <c r="L143" s="184"/>
      <c r="M143" s="120"/>
      <c r="N143" s="120"/>
      <c r="O143" s="120"/>
      <c r="P143" s="120"/>
      <c r="Q143" s="95" t="str">
        <f>IFERROR(IF(YES_Writing_ELA[[#This Row],[Literacy IPP]]='Writing Logic'!$E$26,"IPP",IF(OR(M143="EAL",N143="EAL",O143="EAL",P143="EAL"),"EAL",IF(M143='Writing Logic'!$A$10,AVERAGE(VLOOKUP(N143,'Writing Logic'!$A$3:$B$7,2,FALSE),VLOOKUP(O143,'Writing Logic'!$A$3:$B$7,2,FALSE),VLOOKUP(P143,'Writing Logic'!$A$3:$B$7,2,FALSE)),AVERAGE(VLOOKUP(M143,'Writing Logic'!$A$3:$B$7,2,FALSE),VLOOKUP(N143,'Writing Logic'!$A$3:$B$7,2,FALSE),VLOOKUP(O143,'Writing Logic'!$A$3:$B$7,2,FALSE),VLOOKUP(P143,'Writing Logic'!$A$3:$B$7,2,FALSE))))),"Fill All 4")</f>
        <v>Fill All 4</v>
      </c>
      <c r="R143" s="120"/>
      <c r="S143" s="120"/>
      <c r="T143" s="120"/>
      <c r="U143" s="120"/>
      <c r="V143" s="95" t="str">
        <f>IFERROR(IF(YES_Writing_ELA[[#This Row],[Literacy IPP]]='Writing Logic'!$E$26,"IPP",IF(OR(R143="EAL",S143="EAL",T143="EAL",U143="EAL"),"EAL",IF(R143='Writing Logic'!$A$10,AVERAGE(VLOOKUP(S143,'Writing Logic'!$A$3:$B$7,2,FALSE),VLOOKUP(T143,'Writing Logic'!$A$3:$B$7,2,FALSE),VLOOKUP(U143,'Writing Logic'!$A$3:$B$7,2,FALSE)),AVERAGE(VLOOKUP(R143,'Writing Logic'!$A$3:$B$7,2,FALSE),VLOOKUP(S143,'Writing Logic'!$A$3:$B$7,2,FALSE),VLOOKUP(T143,'Writing Logic'!$A$3:$B$7,2,FALSE),VLOOKUP(U143,'Writing Logic'!$A$3:$B$7,2,FALSE))))),"Fill All 4")</f>
        <v>Fill All 4</v>
      </c>
      <c r="W143" s="95" t="str">
        <f t="shared" si="10"/>
        <v/>
      </c>
      <c r="X143" s="120"/>
      <c r="Y143" s="120"/>
      <c r="Z143" s="120"/>
      <c r="AA143" s="120"/>
      <c r="AB143" s="95" t="str">
        <f>IFERROR(IF(YES_Writing_ELA[[#This Row],[Literacy IPP]]='Writing Logic'!$E$26,"IPP",IF(OR(X143="EAL",Y143="EAL",Z143="EAL",AA143="EAL"),"EAL",IF(X143='Writing Logic'!$A$10,AVERAGE(VLOOKUP(Y143,'Writing Logic'!$A$3:$B$7,2,FALSE),VLOOKUP(Z143,'Writing Logic'!$A$3:$B$7,2,FALSE),VLOOKUP(AA143,'Writing Logic'!$A$3:$B$7,2,FALSE)),AVERAGE(VLOOKUP(X143,'Writing Logic'!$A$3:$B$7,2,FALSE),VLOOKUP(Y143,'Writing Logic'!$A$3:$B$7,2,FALSE),VLOOKUP(Z143,'Writing Logic'!$A$3:$B$7,2,FALSE),VLOOKUP(AA143,'Writing Logic'!$A$3:$B$7,2,FALSE))))),"Fill All 4")</f>
        <v>Fill All 4</v>
      </c>
      <c r="AC143" s="95" t="str">
        <f t="shared" si="11"/>
        <v/>
      </c>
      <c r="AD143" s="120"/>
      <c r="AE143" s="120"/>
      <c r="AF143" s="120"/>
      <c r="AG143" s="120"/>
      <c r="AH143" s="95" t="str">
        <f>IFERROR(IF(YES_Writing_ELA[[#This Row],[Literacy IPP]]='Writing Logic'!$E$26,"IPP",IF(OR(AD143="EAL",AE143="EAL",AF143="EAL",AG143="EAL"),"EAL",IF(AD143='Writing Logic'!$A$10,AVERAGE(VLOOKUP(AE143,'Writing Logic'!$A$3:$B$7,2,FALSE),VLOOKUP(AF143,'Writing Logic'!$A$3:$B$7,2,FALSE),VLOOKUP(AG143,'Writing Logic'!$A$3:$B$7,2,FALSE)),AVERAGE(VLOOKUP(AD143,'Writing Logic'!$A$3:$B$7,2,FALSE),VLOOKUP(AE143,'Writing Logic'!$A$3:$B$7,2,FALSE),VLOOKUP(AF143,'Writing Logic'!$A$3:$B$7,2,FALSE),VLOOKUP(AG143,'Writing Logic'!$A$3:$B$7,2,FALSE))))),"Fill All 4")</f>
        <v>Fill All 4</v>
      </c>
      <c r="AI143" s="95" t="str">
        <f t="shared" si="12"/>
        <v/>
      </c>
      <c r="AJ143" s="183"/>
      <c r="AK143" s="120"/>
      <c r="AL143" s="120"/>
      <c r="AM143" s="120"/>
      <c r="AN143" s="95" t="str">
        <f>IFERROR(IF(YES_Writing_ELA[[#This Row],[Literacy IPP]]='Writing Logic'!$E$26,"IPP",IF(OR(AJ143="EAL",AK143="EAL",AL143="EAL",AM143="EAL"),"EAL",IF(AJ143='Writing Logic'!$A$10,AVERAGE(VLOOKUP(AK143,'Writing Logic'!$A$3:$B$7,2,FALSE),VLOOKUP(AL143,'Writing Logic'!$A$3:$B$7,2,FALSE),VLOOKUP(AM143,'Writing Logic'!$A$3:$B$7,2,FALSE)),AVERAGE(VLOOKUP(AJ143,'Writing Logic'!$A$3:$B$7,2,FALSE),VLOOKUP(AK143,'Writing Logic'!$A$3:$B$7,2,FALSE),VLOOKUP(AL143,'Writing Logic'!$A$3:$B$7,2,FALSE),VLOOKUP(AM143,'Writing Logic'!$A$3:$B$7,2,FALSE))))),"Fill All 4")</f>
        <v>Fill All 4</v>
      </c>
      <c r="AO143" s="95" t="str">
        <f t="shared" si="13"/>
        <v/>
      </c>
      <c r="AP143" s="120"/>
      <c r="AQ143" s="120"/>
      <c r="AR143" s="120"/>
      <c r="AS143" s="120"/>
      <c r="AT143" s="95" t="str">
        <f>IFERROR(IF(YES_Writing_ELA[[#This Row],[Literacy IPP]]='Writing Logic'!$E$26,"IPP",IF(OR(AP143="EAL",AQ143="EAL",AR143="EAL",AS143="EAL"),"EAL",IF(AP143='Writing Logic'!$A$10,AVERAGE(VLOOKUP(AQ143,'Writing Logic'!$A$3:$B$7,2,FALSE),VLOOKUP(AR143,'Writing Logic'!$A$3:$B$7,2,FALSE),VLOOKUP(AS143,'Writing Logic'!$A$3:$B$7,2,FALSE)),AVERAGE(VLOOKUP(AP143,'Writing Logic'!$A$3:$B$7,2,FALSE),VLOOKUP(AQ143,'Writing Logic'!$A$3:$B$7,2,FALSE),VLOOKUP(AR143,'Writing Logic'!$A$3:$B$7,2,FALSE),VLOOKUP(AS143,'Writing Logic'!$A$3:$B$7,2,FALSE))))),"Fill All 4")</f>
        <v>Fill All 4</v>
      </c>
      <c r="AU143" s="95" t="str">
        <f t="shared" si="14"/>
        <v/>
      </c>
    </row>
    <row r="144" spans="1:47" x14ac:dyDescent="0.25">
      <c r="A144" s="13"/>
      <c r="B144" s="13"/>
      <c r="C144" s="13"/>
      <c r="D144" s="13"/>
      <c r="E144" s="13"/>
      <c r="F144" s="13"/>
      <c r="G144" s="13"/>
      <c r="H144" s="13"/>
      <c r="I144" s="13"/>
      <c r="J144" s="13"/>
      <c r="K144" s="183"/>
      <c r="L144" s="184"/>
      <c r="M144" s="120"/>
      <c r="N144" s="120"/>
      <c r="O144" s="120"/>
      <c r="P144" s="120"/>
      <c r="Q144" s="95" t="str">
        <f>IFERROR(IF(YES_Writing_ELA[[#This Row],[Literacy IPP]]='Writing Logic'!$E$26,"IPP",IF(OR(M144="EAL",N144="EAL",O144="EAL",P144="EAL"),"EAL",IF(M144='Writing Logic'!$A$10,AVERAGE(VLOOKUP(N144,'Writing Logic'!$A$3:$B$7,2,FALSE),VLOOKUP(O144,'Writing Logic'!$A$3:$B$7,2,FALSE),VLOOKUP(P144,'Writing Logic'!$A$3:$B$7,2,FALSE)),AVERAGE(VLOOKUP(M144,'Writing Logic'!$A$3:$B$7,2,FALSE),VLOOKUP(N144,'Writing Logic'!$A$3:$B$7,2,FALSE),VLOOKUP(O144,'Writing Logic'!$A$3:$B$7,2,FALSE),VLOOKUP(P144,'Writing Logic'!$A$3:$B$7,2,FALSE))))),"Fill All 4")</f>
        <v>Fill All 4</v>
      </c>
      <c r="R144" s="120"/>
      <c r="S144" s="120"/>
      <c r="T144" s="120"/>
      <c r="U144" s="120"/>
      <c r="V144" s="95" t="str">
        <f>IFERROR(IF(YES_Writing_ELA[[#This Row],[Literacy IPP]]='Writing Logic'!$E$26,"IPP",IF(OR(R144="EAL",S144="EAL",T144="EAL",U144="EAL"),"EAL",IF(R144='Writing Logic'!$A$10,AVERAGE(VLOOKUP(S144,'Writing Logic'!$A$3:$B$7,2,FALSE),VLOOKUP(T144,'Writing Logic'!$A$3:$B$7,2,FALSE),VLOOKUP(U144,'Writing Logic'!$A$3:$B$7,2,FALSE)),AVERAGE(VLOOKUP(R144,'Writing Logic'!$A$3:$B$7,2,FALSE),VLOOKUP(S144,'Writing Logic'!$A$3:$B$7,2,FALSE),VLOOKUP(T144,'Writing Logic'!$A$3:$B$7,2,FALSE),VLOOKUP(U144,'Writing Logic'!$A$3:$B$7,2,FALSE))))),"Fill All 4")</f>
        <v>Fill All 4</v>
      </c>
      <c r="W144" s="95" t="str">
        <f t="shared" si="10"/>
        <v/>
      </c>
      <c r="X144" s="120"/>
      <c r="Y144" s="120"/>
      <c r="Z144" s="120"/>
      <c r="AA144" s="120"/>
      <c r="AB144" s="95" t="str">
        <f>IFERROR(IF(YES_Writing_ELA[[#This Row],[Literacy IPP]]='Writing Logic'!$E$26,"IPP",IF(OR(X144="EAL",Y144="EAL",Z144="EAL",AA144="EAL"),"EAL",IF(X144='Writing Logic'!$A$10,AVERAGE(VLOOKUP(Y144,'Writing Logic'!$A$3:$B$7,2,FALSE),VLOOKUP(Z144,'Writing Logic'!$A$3:$B$7,2,FALSE),VLOOKUP(AA144,'Writing Logic'!$A$3:$B$7,2,FALSE)),AVERAGE(VLOOKUP(X144,'Writing Logic'!$A$3:$B$7,2,FALSE),VLOOKUP(Y144,'Writing Logic'!$A$3:$B$7,2,FALSE),VLOOKUP(Z144,'Writing Logic'!$A$3:$B$7,2,FALSE),VLOOKUP(AA144,'Writing Logic'!$A$3:$B$7,2,FALSE))))),"Fill All 4")</f>
        <v>Fill All 4</v>
      </c>
      <c r="AC144" s="95" t="str">
        <f t="shared" si="11"/>
        <v/>
      </c>
      <c r="AD144" s="120"/>
      <c r="AE144" s="120"/>
      <c r="AF144" s="120"/>
      <c r="AG144" s="120"/>
      <c r="AH144" s="95" t="str">
        <f>IFERROR(IF(YES_Writing_ELA[[#This Row],[Literacy IPP]]='Writing Logic'!$E$26,"IPP",IF(OR(AD144="EAL",AE144="EAL",AF144="EAL",AG144="EAL"),"EAL",IF(AD144='Writing Logic'!$A$10,AVERAGE(VLOOKUP(AE144,'Writing Logic'!$A$3:$B$7,2,FALSE),VLOOKUP(AF144,'Writing Logic'!$A$3:$B$7,2,FALSE),VLOOKUP(AG144,'Writing Logic'!$A$3:$B$7,2,FALSE)),AVERAGE(VLOOKUP(AD144,'Writing Logic'!$A$3:$B$7,2,FALSE),VLOOKUP(AE144,'Writing Logic'!$A$3:$B$7,2,FALSE),VLOOKUP(AF144,'Writing Logic'!$A$3:$B$7,2,FALSE),VLOOKUP(AG144,'Writing Logic'!$A$3:$B$7,2,FALSE))))),"Fill All 4")</f>
        <v>Fill All 4</v>
      </c>
      <c r="AI144" s="95" t="str">
        <f t="shared" si="12"/>
        <v/>
      </c>
      <c r="AJ144" s="183"/>
      <c r="AK144" s="120"/>
      <c r="AL144" s="120"/>
      <c r="AM144" s="120"/>
      <c r="AN144" s="95" t="str">
        <f>IFERROR(IF(YES_Writing_ELA[[#This Row],[Literacy IPP]]='Writing Logic'!$E$26,"IPP",IF(OR(AJ144="EAL",AK144="EAL",AL144="EAL",AM144="EAL"),"EAL",IF(AJ144='Writing Logic'!$A$10,AVERAGE(VLOOKUP(AK144,'Writing Logic'!$A$3:$B$7,2,FALSE),VLOOKUP(AL144,'Writing Logic'!$A$3:$B$7,2,FALSE),VLOOKUP(AM144,'Writing Logic'!$A$3:$B$7,2,FALSE)),AVERAGE(VLOOKUP(AJ144,'Writing Logic'!$A$3:$B$7,2,FALSE),VLOOKUP(AK144,'Writing Logic'!$A$3:$B$7,2,FALSE),VLOOKUP(AL144,'Writing Logic'!$A$3:$B$7,2,FALSE),VLOOKUP(AM144,'Writing Logic'!$A$3:$B$7,2,FALSE))))),"Fill All 4")</f>
        <v>Fill All 4</v>
      </c>
      <c r="AO144" s="95" t="str">
        <f t="shared" si="13"/>
        <v/>
      </c>
      <c r="AP144" s="120"/>
      <c r="AQ144" s="120"/>
      <c r="AR144" s="120"/>
      <c r="AS144" s="120"/>
      <c r="AT144" s="95" t="str">
        <f>IFERROR(IF(YES_Writing_ELA[[#This Row],[Literacy IPP]]='Writing Logic'!$E$26,"IPP",IF(OR(AP144="EAL",AQ144="EAL",AR144="EAL",AS144="EAL"),"EAL",IF(AP144='Writing Logic'!$A$10,AVERAGE(VLOOKUP(AQ144,'Writing Logic'!$A$3:$B$7,2,FALSE),VLOOKUP(AR144,'Writing Logic'!$A$3:$B$7,2,FALSE),VLOOKUP(AS144,'Writing Logic'!$A$3:$B$7,2,FALSE)),AVERAGE(VLOOKUP(AP144,'Writing Logic'!$A$3:$B$7,2,FALSE),VLOOKUP(AQ144,'Writing Logic'!$A$3:$B$7,2,FALSE),VLOOKUP(AR144,'Writing Logic'!$A$3:$B$7,2,FALSE),VLOOKUP(AS144,'Writing Logic'!$A$3:$B$7,2,FALSE))))),"Fill All 4")</f>
        <v>Fill All 4</v>
      </c>
      <c r="AU144" s="95" t="str">
        <f t="shared" si="14"/>
        <v/>
      </c>
    </row>
    <row r="145" spans="1:47" x14ac:dyDescent="0.25">
      <c r="A145" s="245"/>
      <c r="B145" s="236"/>
      <c r="C145" s="236"/>
      <c r="D145" s="236"/>
      <c r="E145" s="49"/>
      <c r="F145" s="49"/>
      <c r="G145" s="49"/>
      <c r="H145" s="49"/>
      <c r="I145" s="49"/>
      <c r="J145" s="49"/>
      <c r="K145" s="183"/>
      <c r="L145" s="184"/>
      <c r="M145" s="183"/>
      <c r="N145" s="183"/>
      <c r="O145" s="183"/>
      <c r="P145" s="183"/>
      <c r="Q145" s="96" t="str">
        <f>IFERROR(IF(YES_Writing_ELA[[#This Row],[Literacy IPP]]='Writing Logic'!$E$26,"IPP",IF(OR(M145="EAL",N145="EAL",O145="EAL",P145="EAL"),"EAL",IF(M145='Writing Logic'!$A$10,AVERAGE(VLOOKUP(N145,'Writing Logic'!$A$3:$B$7,2,FALSE),VLOOKUP(O145,'Writing Logic'!$A$3:$B$7,2,FALSE),VLOOKUP(P145,'Writing Logic'!$A$3:$B$7,2,FALSE)),AVERAGE(VLOOKUP(M145,'Writing Logic'!$A$3:$B$7,2,FALSE),VLOOKUP(N145,'Writing Logic'!$A$3:$B$7,2,FALSE),VLOOKUP(O145,'Writing Logic'!$A$3:$B$7,2,FALSE),VLOOKUP(P145,'Writing Logic'!$A$3:$B$7,2,FALSE))))),"Fill All 4")</f>
        <v>Fill All 4</v>
      </c>
      <c r="R145" s="120"/>
      <c r="S145" s="120"/>
      <c r="T145" s="120"/>
      <c r="U145" s="120"/>
      <c r="V145" s="95" t="str">
        <f>IFERROR(IF(YES_Writing_ELA[[#This Row],[Literacy IPP]]='Writing Logic'!$E$26,"IPP",IF(OR(R145="EAL",S145="EAL",T145="EAL",U145="EAL"),"EAL",IF(R145='Writing Logic'!$A$10,AVERAGE(VLOOKUP(S145,'Writing Logic'!$A$3:$B$7,2,FALSE),VLOOKUP(T145,'Writing Logic'!$A$3:$B$7,2,FALSE),VLOOKUP(U145,'Writing Logic'!$A$3:$B$7,2,FALSE)),AVERAGE(VLOOKUP(R145,'Writing Logic'!$A$3:$B$7,2,FALSE),VLOOKUP(S145,'Writing Logic'!$A$3:$B$7,2,FALSE),VLOOKUP(T145,'Writing Logic'!$A$3:$B$7,2,FALSE),VLOOKUP(U145,'Writing Logic'!$A$3:$B$7,2,FALSE))))),"Fill All 4")</f>
        <v>Fill All 4</v>
      </c>
      <c r="W145" s="96" t="str">
        <f>IFERROR(V145-$Q145,"")</f>
        <v/>
      </c>
      <c r="X145" s="120"/>
      <c r="Y145" s="120"/>
      <c r="Z145" s="120"/>
      <c r="AA145" s="120"/>
      <c r="AB145" s="95" t="str">
        <f>IFERROR(IF(YES_Writing_ELA[[#This Row],[Literacy IPP]]='Writing Logic'!$E$26,"IPP",IF(OR(X145="EAL",Y145="EAL",Z145="EAL",AA145="EAL"),"EAL",IF(X145='Writing Logic'!$A$10,AVERAGE(VLOOKUP(Y145,'Writing Logic'!$A$3:$B$7,2,FALSE),VLOOKUP(Z145,'Writing Logic'!$A$3:$B$7,2,FALSE),VLOOKUP(AA145,'Writing Logic'!$A$3:$B$7,2,FALSE)),AVERAGE(VLOOKUP(X145,'Writing Logic'!$A$3:$B$7,2,FALSE),VLOOKUP(Y145,'Writing Logic'!$A$3:$B$7,2,FALSE),VLOOKUP(Z145,'Writing Logic'!$A$3:$B$7,2,FALSE),VLOOKUP(AA145,'Writing Logic'!$A$3:$B$7,2,FALSE))))),"Fill All 4")</f>
        <v>Fill All 4</v>
      </c>
      <c r="AC145" s="96" t="str">
        <f>IFERROR(AB145-$Q145,"")</f>
        <v/>
      </c>
      <c r="AD145" s="120"/>
      <c r="AE145" s="120"/>
      <c r="AF145" s="120"/>
      <c r="AG145" s="120"/>
      <c r="AH145" s="95" t="str">
        <f>IFERROR(IF(YES_Writing_ELA[[#This Row],[Literacy IPP]]='Writing Logic'!$E$26,"IPP",IF(OR(AD145="EAL",AE145="EAL",AF145="EAL",AG145="EAL"),"EAL",IF(AD145='Writing Logic'!$A$10,AVERAGE(VLOOKUP(AE145,'Writing Logic'!$A$3:$B$7,2,FALSE),VLOOKUP(AF145,'Writing Logic'!$A$3:$B$7,2,FALSE),VLOOKUP(AG145,'Writing Logic'!$A$3:$B$7,2,FALSE)),AVERAGE(VLOOKUP(AD145,'Writing Logic'!$A$3:$B$7,2,FALSE),VLOOKUP(AE145,'Writing Logic'!$A$3:$B$7,2,FALSE),VLOOKUP(AF145,'Writing Logic'!$A$3:$B$7,2,FALSE),VLOOKUP(AG145,'Writing Logic'!$A$3:$B$7,2,FALSE))))),"Fill All 4")</f>
        <v>Fill All 4</v>
      </c>
      <c r="AI145" s="96" t="str">
        <f>IFERROR(AH145-$Q145,"")</f>
        <v/>
      </c>
      <c r="AJ145" s="183"/>
      <c r="AK145" s="120"/>
      <c r="AL145" s="120"/>
      <c r="AM145" s="120"/>
      <c r="AN145" s="95" t="str">
        <f>IFERROR(IF(YES_Writing_ELA[[#This Row],[Literacy IPP]]='Writing Logic'!$E$26,"IPP",IF(OR(AJ145="EAL",AK145="EAL",AL145="EAL",AM145="EAL"),"EAL",IF(AJ145='Writing Logic'!$A$10,AVERAGE(VLOOKUP(AK145,'Writing Logic'!$A$3:$B$7,2,FALSE),VLOOKUP(AL145,'Writing Logic'!$A$3:$B$7,2,FALSE),VLOOKUP(AM145,'Writing Logic'!$A$3:$B$7,2,FALSE)),AVERAGE(VLOOKUP(AJ145,'Writing Logic'!$A$3:$B$7,2,FALSE),VLOOKUP(AK145,'Writing Logic'!$A$3:$B$7,2,FALSE),VLOOKUP(AL145,'Writing Logic'!$A$3:$B$7,2,FALSE),VLOOKUP(AM145,'Writing Logic'!$A$3:$B$7,2,FALSE))))),"Fill All 4")</f>
        <v>Fill All 4</v>
      </c>
      <c r="AO145" s="96" t="str">
        <f>IFERROR(AN145-$Q145,"")</f>
        <v/>
      </c>
      <c r="AP145" s="120"/>
      <c r="AQ145" s="120"/>
      <c r="AR145" s="120"/>
      <c r="AS145" s="120"/>
      <c r="AT145" s="95" t="str">
        <f>IFERROR(IF(YES_Writing_ELA[[#This Row],[Literacy IPP]]='Writing Logic'!$E$26,"IPP",IF(OR(AP145="EAL",AQ145="EAL",AR145="EAL",AS145="EAL"),"EAL",IF(AP145='Writing Logic'!$A$10,AVERAGE(VLOOKUP(AQ145,'Writing Logic'!$A$3:$B$7,2,FALSE),VLOOKUP(AR145,'Writing Logic'!$A$3:$B$7,2,FALSE),VLOOKUP(AS145,'Writing Logic'!$A$3:$B$7,2,FALSE)),AVERAGE(VLOOKUP(AP145,'Writing Logic'!$A$3:$B$7,2,FALSE),VLOOKUP(AQ145,'Writing Logic'!$A$3:$B$7,2,FALSE),VLOOKUP(AR145,'Writing Logic'!$A$3:$B$7,2,FALSE),VLOOKUP(AS145,'Writing Logic'!$A$3:$B$7,2,FALSE))))),"Fill All 4")</f>
        <v>Fill All 4</v>
      </c>
      <c r="AU145" s="96" t="str">
        <f>IFERROR(AT145-$Q145,"")</f>
        <v/>
      </c>
    </row>
    <row r="146" spans="1:47" x14ac:dyDescent="0.25">
      <c r="A146" s="13"/>
      <c r="B146" s="13"/>
      <c r="C146" s="13"/>
      <c r="D146" s="13"/>
      <c r="E146" s="13"/>
      <c r="F146" s="13"/>
      <c r="G146" s="13"/>
      <c r="H146" s="13"/>
      <c r="I146" s="13"/>
      <c r="J146" s="13"/>
      <c r="K146" s="183"/>
      <c r="L146" s="184"/>
      <c r="M146" s="120"/>
      <c r="N146" s="120"/>
      <c r="O146" s="120"/>
      <c r="P146" s="120"/>
      <c r="Q146" s="95" t="str">
        <f>IFERROR(IF(YES_Writing_ELA[[#This Row],[Literacy IPP]]='Writing Logic'!$E$26,"IPP",IF(OR(M146="EAL",N146="EAL",O146="EAL",P146="EAL"),"EAL",IF(M146='Writing Logic'!$A$10,AVERAGE(VLOOKUP(N146,'Writing Logic'!$A$3:$B$7,2,FALSE),VLOOKUP(O146,'Writing Logic'!$A$3:$B$7,2,FALSE),VLOOKUP(P146,'Writing Logic'!$A$3:$B$7,2,FALSE)),AVERAGE(VLOOKUP(M146,'Writing Logic'!$A$3:$B$7,2,FALSE),VLOOKUP(N146,'Writing Logic'!$A$3:$B$7,2,FALSE),VLOOKUP(O146,'Writing Logic'!$A$3:$B$7,2,FALSE),VLOOKUP(P146,'Writing Logic'!$A$3:$B$7,2,FALSE))))),"Fill All 4")</f>
        <v>Fill All 4</v>
      </c>
      <c r="R146" s="120"/>
      <c r="S146" s="120"/>
      <c r="T146" s="120"/>
      <c r="U146" s="120"/>
      <c r="V146" s="95" t="str">
        <f>IFERROR(IF(YES_Writing_ELA[[#This Row],[Literacy IPP]]='Writing Logic'!$E$26,"IPP",IF(OR(R146="EAL",S146="EAL",T146="EAL",U146="EAL"),"EAL",IF(R146='Writing Logic'!$A$10,AVERAGE(VLOOKUP(S146,'Writing Logic'!$A$3:$B$7,2,FALSE),VLOOKUP(T146,'Writing Logic'!$A$3:$B$7,2,FALSE),VLOOKUP(U146,'Writing Logic'!$A$3:$B$7,2,FALSE)),AVERAGE(VLOOKUP(R146,'Writing Logic'!$A$3:$B$7,2,FALSE),VLOOKUP(S146,'Writing Logic'!$A$3:$B$7,2,FALSE),VLOOKUP(T146,'Writing Logic'!$A$3:$B$7,2,FALSE),VLOOKUP(U146,'Writing Logic'!$A$3:$B$7,2,FALSE))))),"Fill All 4")</f>
        <v>Fill All 4</v>
      </c>
      <c r="W146" s="95" t="str">
        <f t="shared" si="10"/>
        <v/>
      </c>
      <c r="X146" s="120"/>
      <c r="Y146" s="120"/>
      <c r="Z146" s="120"/>
      <c r="AA146" s="120"/>
      <c r="AB146" s="95" t="str">
        <f>IFERROR(IF(YES_Writing_ELA[[#This Row],[Literacy IPP]]='Writing Logic'!$E$26,"IPP",IF(OR(X146="EAL",Y146="EAL",Z146="EAL",AA146="EAL"),"EAL",IF(X146='Writing Logic'!$A$10,AVERAGE(VLOOKUP(Y146,'Writing Logic'!$A$3:$B$7,2,FALSE),VLOOKUP(Z146,'Writing Logic'!$A$3:$B$7,2,FALSE),VLOOKUP(AA146,'Writing Logic'!$A$3:$B$7,2,FALSE)),AVERAGE(VLOOKUP(X146,'Writing Logic'!$A$3:$B$7,2,FALSE),VLOOKUP(Y146,'Writing Logic'!$A$3:$B$7,2,FALSE),VLOOKUP(Z146,'Writing Logic'!$A$3:$B$7,2,FALSE),VLOOKUP(AA146,'Writing Logic'!$A$3:$B$7,2,FALSE))))),"Fill All 4")</f>
        <v>Fill All 4</v>
      </c>
      <c r="AC146" s="95" t="str">
        <f t="shared" si="11"/>
        <v/>
      </c>
      <c r="AD146" s="120"/>
      <c r="AE146" s="120"/>
      <c r="AF146" s="120"/>
      <c r="AG146" s="120"/>
      <c r="AH146" s="95" t="str">
        <f>IFERROR(IF(YES_Writing_ELA[[#This Row],[Literacy IPP]]='Writing Logic'!$E$26,"IPP",IF(OR(AD146="EAL",AE146="EAL",AF146="EAL",AG146="EAL"),"EAL",IF(AD146='Writing Logic'!$A$10,AVERAGE(VLOOKUP(AE146,'Writing Logic'!$A$3:$B$7,2,FALSE),VLOOKUP(AF146,'Writing Logic'!$A$3:$B$7,2,FALSE),VLOOKUP(AG146,'Writing Logic'!$A$3:$B$7,2,FALSE)),AVERAGE(VLOOKUP(AD146,'Writing Logic'!$A$3:$B$7,2,FALSE),VLOOKUP(AE146,'Writing Logic'!$A$3:$B$7,2,FALSE),VLOOKUP(AF146,'Writing Logic'!$A$3:$B$7,2,FALSE),VLOOKUP(AG146,'Writing Logic'!$A$3:$B$7,2,FALSE))))),"Fill All 4")</f>
        <v>Fill All 4</v>
      </c>
      <c r="AI146" s="95" t="str">
        <f t="shared" si="12"/>
        <v/>
      </c>
      <c r="AJ146" s="183"/>
      <c r="AK146" s="120"/>
      <c r="AL146" s="120"/>
      <c r="AM146" s="120"/>
      <c r="AN146" s="95" t="str">
        <f>IFERROR(IF(YES_Writing_ELA[[#This Row],[Literacy IPP]]='Writing Logic'!$E$26,"IPP",IF(OR(AJ146="EAL",AK146="EAL",AL146="EAL",AM146="EAL"),"EAL",IF(AJ146='Writing Logic'!$A$10,AVERAGE(VLOOKUP(AK146,'Writing Logic'!$A$3:$B$7,2,FALSE),VLOOKUP(AL146,'Writing Logic'!$A$3:$B$7,2,FALSE),VLOOKUP(AM146,'Writing Logic'!$A$3:$B$7,2,FALSE)),AVERAGE(VLOOKUP(AJ146,'Writing Logic'!$A$3:$B$7,2,FALSE),VLOOKUP(AK146,'Writing Logic'!$A$3:$B$7,2,FALSE),VLOOKUP(AL146,'Writing Logic'!$A$3:$B$7,2,FALSE),VLOOKUP(AM146,'Writing Logic'!$A$3:$B$7,2,FALSE))))),"Fill All 4")</f>
        <v>Fill All 4</v>
      </c>
      <c r="AO146" s="95" t="str">
        <f t="shared" si="13"/>
        <v/>
      </c>
      <c r="AP146" s="120"/>
      <c r="AQ146" s="120"/>
      <c r="AR146" s="120"/>
      <c r="AS146" s="120"/>
      <c r="AT146" s="95" t="str">
        <f>IFERROR(IF(YES_Writing_ELA[[#This Row],[Literacy IPP]]='Writing Logic'!$E$26,"IPP",IF(OR(AP146="EAL",AQ146="EAL",AR146="EAL",AS146="EAL"),"EAL",IF(AP146='Writing Logic'!$A$10,AVERAGE(VLOOKUP(AQ146,'Writing Logic'!$A$3:$B$7,2,FALSE),VLOOKUP(AR146,'Writing Logic'!$A$3:$B$7,2,FALSE),VLOOKUP(AS146,'Writing Logic'!$A$3:$B$7,2,FALSE)),AVERAGE(VLOOKUP(AP146,'Writing Logic'!$A$3:$B$7,2,FALSE),VLOOKUP(AQ146,'Writing Logic'!$A$3:$B$7,2,FALSE),VLOOKUP(AR146,'Writing Logic'!$A$3:$B$7,2,FALSE),VLOOKUP(AS146,'Writing Logic'!$A$3:$B$7,2,FALSE))))),"Fill All 4")</f>
        <v>Fill All 4</v>
      </c>
      <c r="AU146" s="95" t="str">
        <f t="shared" si="14"/>
        <v/>
      </c>
    </row>
    <row r="147" spans="1:47" x14ac:dyDescent="0.25">
      <c r="A147" s="13"/>
      <c r="B147" s="13"/>
      <c r="C147" s="13"/>
      <c r="D147" s="13"/>
      <c r="E147" s="13"/>
      <c r="F147" s="13"/>
      <c r="G147" s="13"/>
      <c r="H147" s="13"/>
      <c r="I147" s="13"/>
      <c r="J147" s="13"/>
      <c r="K147" s="183"/>
      <c r="L147" s="184"/>
      <c r="M147" s="120"/>
      <c r="N147" s="120"/>
      <c r="O147" s="120"/>
      <c r="P147" s="120"/>
      <c r="Q147" s="95" t="str">
        <f>IFERROR(IF(YES_Writing_ELA[[#This Row],[Literacy IPP]]='Writing Logic'!$E$26,"IPP",IF(OR(M147="EAL",N147="EAL",O147="EAL",P147="EAL"),"EAL",IF(M147='Writing Logic'!$A$10,AVERAGE(VLOOKUP(N147,'Writing Logic'!$A$3:$B$7,2,FALSE),VLOOKUP(O147,'Writing Logic'!$A$3:$B$7,2,FALSE),VLOOKUP(P147,'Writing Logic'!$A$3:$B$7,2,FALSE)),AVERAGE(VLOOKUP(M147,'Writing Logic'!$A$3:$B$7,2,FALSE),VLOOKUP(N147,'Writing Logic'!$A$3:$B$7,2,FALSE),VLOOKUP(O147,'Writing Logic'!$A$3:$B$7,2,FALSE),VLOOKUP(P147,'Writing Logic'!$A$3:$B$7,2,FALSE))))),"Fill All 4")</f>
        <v>Fill All 4</v>
      </c>
      <c r="R147" s="120"/>
      <c r="S147" s="120"/>
      <c r="T147" s="120"/>
      <c r="U147" s="120"/>
      <c r="V147" s="95" t="str">
        <f>IFERROR(IF(YES_Writing_ELA[[#This Row],[Literacy IPP]]='Writing Logic'!$E$26,"IPP",IF(OR(R147="EAL",S147="EAL",T147="EAL",U147="EAL"),"EAL",IF(R147='Writing Logic'!$A$10,AVERAGE(VLOOKUP(S147,'Writing Logic'!$A$3:$B$7,2,FALSE),VLOOKUP(T147,'Writing Logic'!$A$3:$B$7,2,FALSE),VLOOKUP(U147,'Writing Logic'!$A$3:$B$7,2,FALSE)),AVERAGE(VLOOKUP(R147,'Writing Logic'!$A$3:$B$7,2,FALSE),VLOOKUP(S147,'Writing Logic'!$A$3:$B$7,2,FALSE),VLOOKUP(T147,'Writing Logic'!$A$3:$B$7,2,FALSE),VLOOKUP(U147,'Writing Logic'!$A$3:$B$7,2,FALSE))))),"Fill All 4")</f>
        <v>Fill All 4</v>
      </c>
      <c r="W147" s="95" t="str">
        <f t="shared" si="10"/>
        <v/>
      </c>
      <c r="X147" s="120"/>
      <c r="Y147" s="120"/>
      <c r="Z147" s="120"/>
      <c r="AA147" s="120"/>
      <c r="AB147" s="95" t="str">
        <f>IFERROR(IF(YES_Writing_ELA[[#This Row],[Literacy IPP]]='Writing Logic'!$E$26,"IPP",IF(OR(X147="EAL",Y147="EAL",Z147="EAL",AA147="EAL"),"EAL",IF(X147='Writing Logic'!$A$10,AVERAGE(VLOOKUP(Y147,'Writing Logic'!$A$3:$B$7,2,FALSE),VLOOKUP(Z147,'Writing Logic'!$A$3:$B$7,2,FALSE),VLOOKUP(AA147,'Writing Logic'!$A$3:$B$7,2,FALSE)),AVERAGE(VLOOKUP(X147,'Writing Logic'!$A$3:$B$7,2,FALSE),VLOOKUP(Y147,'Writing Logic'!$A$3:$B$7,2,FALSE),VLOOKUP(Z147,'Writing Logic'!$A$3:$B$7,2,FALSE),VLOOKUP(AA147,'Writing Logic'!$A$3:$B$7,2,FALSE))))),"Fill All 4")</f>
        <v>Fill All 4</v>
      </c>
      <c r="AC147" s="95" t="str">
        <f t="shared" si="11"/>
        <v/>
      </c>
      <c r="AD147" s="120"/>
      <c r="AE147" s="120"/>
      <c r="AF147" s="120"/>
      <c r="AG147" s="120"/>
      <c r="AH147" s="95" t="str">
        <f>IFERROR(IF(YES_Writing_ELA[[#This Row],[Literacy IPP]]='Writing Logic'!$E$26,"IPP",IF(OR(AD147="EAL",AE147="EAL",AF147="EAL",AG147="EAL"),"EAL",IF(AD147='Writing Logic'!$A$10,AVERAGE(VLOOKUP(AE147,'Writing Logic'!$A$3:$B$7,2,FALSE),VLOOKUP(AF147,'Writing Logic'!$A$3:$B$7,2,FALSE),VLOOKUP(AG147,'Writing Logic'!$A$3:$B$7,2,FALSE)),AVERAGE(VLOOKUP(AD147,'Writing Logic'!$A$3:$B$7,2,FALSE),VLOOKUP(AE147,'Writing Logic'!$A$3:$B$7,2,FALSE),VLOOKUP(AF147,'Writing Logic'!$A$3:$B$7,2,FALSE),VLOOKUP(AG147,'Writing Logic'!$A$3:$B$7,2,FALSE))))),"Fill All 4")</f>
        <v>Fill All 4</v>
      </c>
      <c r="AI147" s="95" t="str">
        <f t="shared" si="12"/>
        <v/>
      </c>
      <c r="AJ147" s="183"/>
      <c r="AK147" s="120"/>
      <c r="AL147" s="120"/>
      <c r="AM147" s="120"/>
      <c r="AN147" s="95" t="str">
        <f>IFERROR(IF(YES_Writing_ELA[[#This Row],[Literacy IPP]]='Writing Logic'!$E$26,"IPP",IF(OR(AJ147="EAL",AK147="EAL",AL147="EAL",AM147="EAL"),"EAL",IF(AJ147='Writing Logic'!$A$10,AVERAGE(VLOOKUP(AK147,'Writing Logic'!$A$3:$B$7,2,FALSE),VLOOKUP(AL147,'Writing Logic'!$A$3:$B$7,2,FALSE),VLOOKUP(AM147,'Writing Logic'!$A$3:$B$7,2,FALSE)),AVERAGE(VLOOKUP(AJ147,'Writing Logic'!$A$3:$B$7,2,FALSE),VLOOKUP(AK147,'Writing Logic'!$A$3:$B$7,2,FALSE),VLOOKUP(AL147,'Writing Logic'!$A$3:$B$7,2,FALSE),VLOOKUP(AM147,'Writing Logic'!$A$3:$B$7,2,FALSE))))),"Fill All 4")</f>
        <v>Fill All 4</v>
      </c>
      <c r="AO147" s="95" t="str">
        <f t="shared" si="13"/>
        <v/>
      </c>
      <c r="AP147" s="120"/>
      <c r="AQ147" s="120"/>
      <c r="AR147" s="120"/>
      <c r="AS147" s="120"/>
      <c r="AT147" s="95" t="str">
        <f>IFERROR(IF(YES_Writing_ELA[[#This Row],[Literacy IPP]]='Writing Logic'!$E$26,"IPP",IF(OR(AP147="EAL",AQ147="EAL",AR147="EAL",AS147="EAL"),"EAL",IF(AP147='Writing Logic'!$A$10,AVERAGE(VLOOKUP(AQ147,'Writing Logic'!$A$3:$B$7,2,FALSE),VLOOKUP(AR147,'Writing Logic'!$A$3:$B$7,2,FALSE),VLOOKUP(AS147,'Writing Logic'!$A$3:$B$7,2,FALSE)),AVERAGE(VLOOKUP(AP147,'Writing Logic'!$A$3:$B$7,2,FALSE),VLOOKUP(AQ147,'Writing Logic'!$A$3:$B$7,2,FALSE),VLOOKUP(AR147,'Writing Logic'!$A$3:$B$7,2,FALSE),VLOOKUP(AS147,'Writing Logic'!$A$3:$B$7,2,FALSE))))),"Fill All 4")</f>
        <v>Fill All 4</v>
      </c>
      <c r="AU147" s="95" t="str">
        <f t="shared" si="14"/>
        <v/>
      </c>
    </row>
    <row r="148" spans="1:47" x14ac:dyDescent="0.25">
      <c r="A148" s="13"/>
      <c r="B148" s="13"/>
      <c r="C148" s="13"/>
      <c r="D148" s="13"/>
      <c r="E148" s="13"/>
      <c r="F148" s="13"/>
      <c r="G148" s="13"/>
      <c r="H148" s="13"/>
      <c r="I148" s="13"/>
      <c r="J148" s="13"/>
      <c r="K148" s="183"/>
      <c r="L148" s="184"/>
      <c r="M148" s="120"/>
      <c r="N148" s="120"/>
      <c r="O148" s="120"/>
      <c r="P148" s="120"/>
      <c r="Q148" s="95" t="str">
        <f>IFERROR(IF(YES_Writing_ELA[[#This Row],[Literacy IPP]]='Writing Logic'!$E$26,"IPP",IF(OR(M148="EAL",N148="EAL",O148="EAL",P148="EAL"),"EAL",IF(M148='Writing Logic'!$A$10,AVERAGE(VLOOKUP(N148,'Writing Logic'!$A$3:$B$7,2,FALSE),VLOOKUP(O148,'Writing Logic'!$A$3:$B$7,2,FALSE),VLOOKUP(P148,'Writing Logic'!$A$3:$B$7,2,FALSE)),AVERAGE(VLOOKUP(M148,'Writing Logic'!$A$3:$B$7,2,FALSE),VLOOKUP(N148,'Writing Logic'!$A$3:$B$7,2,FALSE),VLOOKUP(O148,'Writing Logic'!$A$3:$B$7,2,FALSE),VLOOKUP(P148,'Writing Logic'!$A$3:$B$7,2,FALSE))))),"Fill All 4")</f>
        <v>Fill All 4</v>
      </c>
      <c r="R148" s="120"/>
      <c r="S148" s="120"/>
      <c r="T148" s="120"/>
      <c r="U148" s="120"/>
      <c r="V148" s="95" t="str">
        <f>IFERROR(IF(YES_Writing_ELA[[#This Row],[Literacy IPP]]='Writing Logic'!$E$26,"IPP",IF(OR(R148="EAL",S148="EAL",T148="EAL",U148="EAL"),"EAL",IF(R148='Writing Logic'!$A$10,AVERAGE(VLOOKUP(S148,'Writing Logic'!$A$3:$B$7,2,FALSE),VLOOKUP(T148,'Writing Logic'!$A$3:$B$7,2,FALSE),VLOOKUP(U148,'Writing Logic'!$A$3:$B$7,2,FALSE)),AVERAGE(VLOOKUP(R148,'Writing Logic'!$A$3:$B$7,2,FALSE),VLOOKUP(S148,'Writing Logic'!$A$3:$B$7,2,FALSE),VLOOKUP(T148,'Writing Logic'!$A$3:$B$7,2,FALSE),VLOOKUP(U148,'Writing Logic'!$A$3:$B$7,2,FALSE))))),"Fill All 4")</f>
        <v>Fill All 4</v>
      </c>
      <c r="W148" s="95" t="str">
        <f t="shared" si="10"/>
        <v/>
      </c>
      <c r="X148" s="120"/>
      <c r="Y148" s="120"/>
      <c r="Z148" s="120"/>
      <c r="AA148" s="120"/>
      <c r="AB148" s="95" t="str">
        <f>IFERROR(IF(YES_Writing_ELA[[#This Row],[Literacy IPP]]='Writing Logic'!$E$26,"IPP",IF(OR(X148="EAL",Y148="EAL",Z148="EAL",AA148="EAL"),"EAL",IF(X148='Writing Logic'!$A$10,AVERAGE(VLOOKUP(Y148,'Writing Logic'!$A$3:$B$7,2,FALSE),VLOOKUP(Z148,'Writing Logic'!$A$3:$B$7,2,FALSE),VLOOKUP(AA148,'Writing Logic'!$A$3:$B$7,2,FALSE)),AVERAGE(VLOOKUP(X148,'Writing Logic'!$A$3:$B$7,2,FALSE),VLOOKUP(Y148,'Writing Logic'!$A$3:$B$7,2,FALSE),VLOOKUP(Z148,'Writing Logic'!$A$3:$B$7,2,FALSE),VLOOKUP(AA148,'Writing Logic'!$A$3:$B$7,2,FALSE))))),"Fill All 4")</f>
        <v>Fill All 4</v>
      </c>
      <c r="AC148" s="95" t="str">
        <f t="shared" si="11"/>
        <v/>
      </c>
      <c r="AD148" s="120"/>
      <c r="AE148" s="120"/>
      <c r="AF148" s="120"/>
      <c r="AG148" s="120"/>
      <c r="AH148" s="95" t="str">
        <f>IFERROR(IF(YES_Writing_ELA[[#This Row],[Literacy IPP]]='Writing Logic'!$E$26,"IPP",IF(OR(AD148="EAL",AE148="EAL",AF148="EAL",AG148="EAL"),"EAL",IF(AD148='Writing Logic'!$A$10,AVERAGE(VLOOKUP(AE148,'Writing Logic'!$A$3:$B$7,2,FALSE),VLOOKUP(AF148,'Writing Logic'!$A$3:$B$7,2,FALSE),VLOOKUP(AG148,'Writing Logic'!$A$3:$B$7,2,FALSE)),AVERAGE(VLOOKUP(AD148,'Writing Logic'!$A$3:$B$7,2,FALSE),VLOOKUP(AE148,'Writing Logic'!$A$3:$B$7,2,FALSE),VLOOKUP(AF148,'Writing Logic'!$A$3:$B$7,2,FALSE),VLOOKUP(AG148,'Writing Logic'!$A$3:$B$7,2,FALSE))))),"Fill All 4")</f>
        <v>Fill All 4</v>
      </c>
      <c r="AI148" s="95" t="str">
        <f t="shared" si="12"/>
        <v/>
      </c>
      <c r="AJ148" s="183"/>
      <c r="AK148" s="120"/>
      <c r="AL148" s="120"/>
      <c r="AM148" s="120"/>
      <c r="AN148" s="95" t="str">
        <f>IFERROR(IF(YES_Writing_ELA[[#This Row],[Literacy IPP]]='Writing Logic'!$E$26,"IPP",IF(OR(AJ148="EAL",AK148="EAL",AL148="EAL",AM148="EAL"),"EAL",IF(AJ148='Writing Logic'!$A$10,AVERAGE(VLOOKUP(AK148,'Writing Logic'!$A$3:$B$7,2,FALSE),VLOOKUP(AL148,'Writing Logic'!$A$3:$B$7,2,FALSE),VLOOKUP(AM148,'Writing Logic'!$A$3:$B$7,2,FALSE)),AVERAGE(VLOOKUP(AJ148,'Writing Logic'!$A$3:$B$7,2,FALSE),VLOOKUP(AK148,'Writing Logic'!$A$3:$B$7,2,FALSE),VLOOKUP(AL148,'Writing Logic'!$A$3:$B$7,2,FALSE),VLOOKUP(AM148,'Writing Logic'!$A$3:$B$7,2,FALSE))))),"Fill All 4")</f>
        <v>Fill All 4</v>
      </c>
      <c r="AO148" s="95" t="str">
        <f t="shared" si="13"/>
        <v/>
      </c>
      <c r="AP148" s="120"/>
      <c r="AQ148" s="120"/>
      <c r="AR148" s="120"/>
      <c r="AS148" s="120"/>
      <c r="AT148" s="95" t="str">
        <f>IFERROR(IF(YES_Writing_ELA[[#This Row],[Literacy IPP]]='Writing Logic'!$E$26,"IPP",IF(OR(AP148="EAL",AQ148="EAL",AR148="EAL",AS148="EAL"),"EAL",IF(AP148='Writing Logic'!$A$10,AVERAGE(VLOOKUP(AQ148,'Writing Logic'!$A$3:$B$7,2,FALSE),VLOOKUP(AR148,'Writing Logic'!$A$3:$B$7,2,FALSE),VLOOKUP(AS148,'Writing Logic'!$A$3:$B$7,2,FALSE)),AVERAGE(VLOOKUP(AP148,'Writing Logic'!$A$3:$B$7,2,FALSE),VLOOKUP(AQ148,'Writing Logic'!$A$3:$B$7,2,FALSE),VLOOKUP(AR148,'Writing Logic'!$A$3:$B$7,2,FALSE),VLOOKUP(AS148,'Writing Logic'!$A$3:$B$7,2,FALSE))))),"Fill All 4")</f>
        <v>Fill All 4</v>
      </c>
      <c r="AU148" s="95" t="str">
        <f t="shared" si="14"/>
        <v/>
      </c>
    </row>
    <row r="149" spans="1:47" x14ac:dyDescent="0.25">
      <c r="A149" s="13"/>
      <c r="B149" s="13"/>
      <c r="C149" s="13"/>
      <c r="D149" s="13"/>
      <c r="E149" s="13"/>
      <c r="F149" s="13"/>
      <c r="G149" s="13"/>
      <c r="H149" s="13"/>
      <c r="I149" s="13"/>
      <c r="J149" s="13"/>
      <c r="K149" s="183"/>
      <c r="L149" s="184"/>
      <c r="M149" s="120"/>
      <c r="N149" s="120"/>
      <c r="O149" s="120"/>
      <c r="P149" s="120"/>
      <c r="Q149" s="95" t="str">
        <f>IFERROR(IF(YES_Writing_ELA[[#This Row],[Literacy IPP]]='Writing Logic'!$E$26,"IPP",IF(OR(M149="EAL",N149="EAL",O149="EAL",P149="EAL"),"EAL",IF(M149='Writing Logic'!$A$10,AVERAGE(VLOOKUP(N149,'Writing Logic'!$A$3:$B$7,2,FALSE),VLOOKUP(O149,'Writing Logic'!$A$3:$B$7,2,FALSE),VLOOKUP(P149,'Writing Logic'!$A$3:$B$7,2,FALSE)),AVERAGE(VLOOKUP(M149,'Writing Logic'!$A$3:$B$7,2,FALSE),VLOOKUP(N149,'Writing Logic'!$A$3:$B$7,2,FALSE),VLOOKUP(O149,'Writing Logic'!$A$3:$B$7,2,FALSE),VLOOKUP(P149,'Writing Logic'!$A$3:$B$7,2,FALSE))))),"Fill All 4")</f>
        <v>Fill All 4</v>
      </c>
      <c r="R149" s="120"/>
      <c r="S149" s="120"/>
      <c r="T149" s="120"/>
      <c r="U149" s="120"/>
      <c r="V149" s="95" t="str">
        <f>IFERROR(IF(YES_Writing_ELA[[#This Row],[Literacy IPP]]='Writing Logic'!$E$26,"IPP",IF(OR(R149="EAL",S149="EAL",T149="EAL",U149="EAL"),"EAL",IF(R149='Writing Logic'!$A$10,AVERAGE(VLOOKUP(S149,'Writing Logic'!$A$3:$B$7,2,FALSE),VLOOKUP(T149,'Writing Logic'!$A$3:$B$7,2,FALSE),VLOOKUP(U149,'Writing Logic'!$A$3:$B$7,2,FALSE)),AVERAGE(VLOOKUP(R149,'Writing Logic'!$A$3:$B$7,2,FALSE),VLOOKUP(S149,'Writing Logic'!$A$3:$B$7,2,FALSE),VLOOKUP(T149,'Writing Logic'!$A$3:$B$7,2,FALSE),VLOOKUP(U149,'Writing Logic'!$A$3:$B$7,2,FALSE))))),"Fill All 4")</f>
        <v>Fill All 4</v>
      </c>
      <c r="W149" s="95" t="str">
        <f t="shared" si="10"/>
        <v/>
      </c>
      <c r="X149" s="120"/>
      <c r="Y149" s="120"/>
      <c r="Z149" s="120"/>
      <c r="AA149" s="120"/>
      <c r="AB149" s="95" t="str">
        <f>IFERROR(IF(YES_Writing_ELA[[#This Row],[Literacy IPP]]='Writing Logic'!$E$26,"IPP",IF(OR(X149="EAL",Y149="EAL",Z149="EAL",AA149="EAL"),"EAL",IF(X149='Writing Logic'!$A$10,AVERAGE(VLOOKUP(Y149,'Writing Logic'!$A$3:$B$7,2,FALSE),VLOOKUP(Z149,'Writing Logic'!$A$3:$B$7,2,FALSE),VLOOKUP(AA149,'Writing Logic'!$A$3:$B$7,2,FALSE)),AVERAGE(VLOOKUP(X149,'Writing Logic'!$A$3:$B$7,2,FALSE),VLOOKUP(Y149,'Writing Logic'!$A$3:$B$7,2,FALSE),VLOOKUP(Z149,'Writing Logic'!$A$3:$B$7,2,FALSE),VLOOKUP(AA149,'Writing Logic'!$A$3:$B$7,2,FALSE))))),"Fill All 4")</f>
        <v>Fill All 4</v>
      </c>
      <c r="AC149" s="95" t="str">
        <f t="shared" si="11"/>
        <v/>
      </c>
      <c r="AD149" s="120"/>
      <c r="AE149" s="120"/>
      <c r="AF149" s="120"/>
      <c r="AG149" s="120"/>
      <c r="AH149" s="95" t="str">
        <f>IFERROR(IF(YES_Writing_ELA[[#This Row],[Literacy IPP]]='Writing Logic'!$E$26,"IPP",IF(OR(AD149="EAL",AE149="EAL",AF149="EAL",AG149="EAL"),"EAL",IF(AD149='Writing Logic'!$A$10,AVERAGE(VLOOKUP(AE149,'Writing Logic'!$A$3:$B$7,2,FALSE),VLOOKUP(AF149,'Writing Logic'!$A$3:$B$7,2,FALSE),VLOOKUP(AG149,'Writing Logic'!$A$3:$B$7,2,FALSE)),AVERAGE(VLOOKUP(AD149,'Writing Logic'!$A$3:$B$7,2,FALSE),VLOOKUP(AE149,'Writing Logic'!$A$3:$B$7,2,FALSE),VLOOKUP(AF149,'Writing Logic'!$A$3:$B$7,2,FALSE),VLOOKUP(AG149,'Writing Logic'!$A$3:$B$7,2,FALSE))))),"Fill All 4")</f>
        <v>Fill All 4</v>
      </c>
      <c r="AI149" s="95" t="str">
        <f t="shared" si="12"/>
        <v/>
      </c>
      <c r="AJ149" s="183"/>
      <c r="AK149" s="120"/>
      <c r="AL149" s="120"/>
      <c r="AM149" s="120"/>
      <c r="AN149" s="95" t="str">
        <f>IFERROR(IF(YES_Writing_ELA[[#This Row],[Literacy IPP]]='Writing Logic'!$E$26,"IPP",IF(OR(AJ149="EAL",AK149="EAL",AL149="EAL",AM149="EAL"),"EAL",IF(AJ149='Writing Logic'!$A$10,AVERAGE(VLOOKUP(AK149,'Writing Logic'!$A$3:$B$7,2,FALSE),VLOOKUP(AL149,'Writing Logic'!$A$3:$B$7,2,FALSE),VLOOKUP(AM149,'Writing Logic'!$A$3:$B$7,2,FALSE)),AVERAGE(VLOOKUP(AJ149,'Writing Logic'!$A$3:$B$7,2,FALSE),VLOOKUP(AK149,'Writing Logic'!$A$3:$B$7,2,FALSE),VLOOKUP(AL149,'Writing Logic'!$A$3:$B$7,2,FALSE),VLOOKUP(AM149,'Writing Logic'!$A$3:$B$7,2,FALSE))))),"Fill All 4")</f>
        <v>Fill All 4</v>
      </c>
      <c r="AO149" s="95" t="str">
        <f t="shared" si="13"/>
        <v/>
      </c>
      <c r="AP149" s="120"/>
      <c r="AQ149" s="120"/>
      <c r="AR149" s="120"/>
      <c r="AS149" s="120"/>
      <c r="AT149" s="95" t="str">
        <f>IFERROR(IF(YES_Writing_ELA[[#This Row],[Literacy IPP]]='Writing Logic'!$E$26,"IPP",IF(OR(AP149="EAL",AQ149="EAL",AR149="EAL",AS149="EAL"),"EAL",IF(AP149='Writing Logic'!$A$10,AVERAGE(VLOOKUP(AQ149,'Writing Logic'!$A$3:$B$7,2,FALSE),VLOOKUP(AR149,'Writing Logic'!$A$3:$B$7,2,FALSE),VLOOKUP(AS149,'Writing Logic'!$A$3:$B$7,2,FALSE)),AVERAGE(VLOOKUP(AP149,'Writing Logic'!$A$3:$B$7,2,FALSE),VLOOKUP(AQ149,'Writing Logic'!$A$3:$B$7,2,FALSE),VLOOKUP(AR149,'Writing Logic'!$A$3:$B$7,2,FALSE),VLOOKUP(AS149,'Writing Logic'!$A$3:$B$7,2,FALSE))))),"Fill All 4")</f>
        <v>Fill All 4</v>
      </c>
      <c r="AU149" s="95" t="str">
        <f t="shared" si="14"/>
        <v/>
      </c>
    </row>
    <row r="150" spans="1:47" x14ac:dyDescent="0.25">
      <c r="A150" s="13"/>
      <c r="B150" s="13"/>
      <c r="C150" s="13"/>
      <c r="D150" s="13"/>
      <c r="E150" s="13"/>
      <c r="F150" s="13"/>
      <c r="G150" s="13"/>
      <c r="H150" s="13"/>
      <c r="I150" s="13"/>
      <c r="J150" s="13"/>
      <c r="K150" s="183"/>
      <c r="L150" s="184"/>
      <c r="M150" s="120"/>
      <c r="N150" s="120"/>
      <c r="O150" s="120"/>
      <c r="P150" s="120"/>
      <c r="Q150" s="95" t="str">
        <f>IFERROR(IF(YES_Writing_ELA[[#This Row],[Literacy IPP]]='Writing Logic'!$E$26,"IPP",IF(OR(M150="EAL",N150="EAL",O150="EAL",P150="EAL"),"EAL",IF(M150='Writing Logic'!$A$10,AVERAGE(VLOOKUP(N150,'Writing Logic'!$A$3:$B$7,2,FALSE),VLOOKUP(O150,'Writing Logic'!$A$3:$B$7,2,FALSE),VLOOKUP(P150,'Writing Logic'!$A$3:$B$7,2,FALSE)),AVERAGE(VLOOKUP(M150,'Writing Logic'!$A$3:$B$7,2,FALSE),VLOOKUP(N150,'Writing Logic'!$A$3:$B$7,2,FALSE),VLOOKUP(O150,'Writing Logic'!$A$3:$B$7,2,FALSE),VLOOKUP(P150,'Writing Logic'!$A$3:$B$7,2,FALSE))))),"Fill All 4")</f>
        <v>Fill All 4</v>
      </c>
      <c r="R150" s="120"/>
      <c r="S150" s="120"/>
      <c r="T150" s="120"/>
      <c r="U150" s="120"/>
      <c r="V150" s="95" t="str">
        <f>IFERROR(IF(YES_Writing_ELA[[#This Row],[Literacy IPP]]='Writing Logic'!$E$26,"IPP",IF(OR(R150="EAL",S150="EAL",T150="EAL",U150="EAL"),"EAL",IF(R150='Writing Logic'!$A$10,AVERAGE(VLOOKUP(S150,'Writing Logic'!$A$3:$B$7,2,FALSE),VLOOKUP(T150,'Writing Logic'!$A$3:$B$7,2,FALSE),VLOOKUP(U150,'Writing Logic'!$A$3:$B$7,2,FALSE)),AVERAGE(VLOOKUP(R150,'Writing Logic'!$A$3:$B$7,2,FALSE),VLOOKUP(S150,'Writing Logic'!$A$3:$B$7,2,FALSE),VLOOKUP(T150,'Writing Logic'!$A$3:$B$7,2,FALSE),VLOOKUP(U150,'Writing Logic'!$A$3:$B$7,2,FALSE))))),"Fill All 4")</f>
        <v>Fill All 4</v>
      </c>
      <c r="W150" s="95" t="str">
        <f t="shared" si="10"/>
        <v/>
      </c>
      <c r="X150" s="120"/>
      <c r="Y150" s="120"/>
      <c r="Z150" s="120"/>
      <c r="AA150" s="120"/>
      <c r="AB150" s="95" t="str">
        <f>IFERROR(IF(YES_Writing_ELA[[#This Row],[Literacy IPP]]='Writing Logic'!$E$26,"IPP",IF(OR(X150="EAL",Y150="EAL",Z150="EAL",AA150="EAL"),"EAL",IF(X150='Writing Logic'!$A$10,AVERAGE(VLOOKUP(Y150,'Writing Logic'!$A$3:$B$7,2,FALSE),VLOOKUP(Z150,'Writing Logic'!$A$3:$B$7,2,FALSE),VLOOKUP(AA150,'Writing Logic'!$A$3:$B$7,2,FALSE)),AVERAGE(VLOOKUP(X150,'Writing Logic'!$A$3:$B$7,2,FALSE),VLOOKUP(Y150,'Writing Logic'!$A$3:$B$7,2,FALSE),VLOOKUP(Z150,'Writing Logic'!$A$3:$B$7,2,FALSE),VLOOKUP(AA150,'Writing Logic'!$A$3:$B$7,2,FALSE))))),"Fill All 4")</f>
        <v>Fill All 4</v>
      </c>
      <c r="AC150" s="95" t="str">
        <f t="shared" si="11"/>
        <v/>
      </c>
      <c r="AD150" s="120"/>
      <c r="AE150" s="120"/>
      <c r="AF150" s="120"/>
      <c r="AG150" s="120"/>
      <c r="AH150" s="95" t="str">
        <f>IFERROR(IF(YES_Writing_ELA[[#This Row],[Literacy IPP]]='Writing Logic'!$E$26,"IPP",IF(OR(AD150="EAL",AE150="EAL",AF150="EAL",AG150="EAL"),"EAL",IF(AD150='Writing Logic'!$A$10,AVERAGE(VLOOKUP(AE150,'Writing Logic'!$A$3:$B$7,2,FALSE),VLOOKUP(AF150,'Writing Logic'!$A$3:$B$7,2,FALSE),VLOOKUP(AG150,'Writing Logic'!$A$3:$B$7,2,FALSE)),AVERAGE(VLOOKUP(AD150,'Writing Logic'!$A$3:$B$7,2,FALSE),VLOOKUP(AE150,'Writing Logic'!$A$3:$B$7,2,FALSE),VLOOKUP(AF150,'Writing Logic'!$A$3:$B$7,2,FALSE),VLOOKUP(AG150,'Writing Logic'!$A$3:$B$7,2,FALSE))))),"Fill All 4")</f>
        <v>Fill All 4</v>
      </c>
      <c r="AI150" s="95" t="str">
        <f t="shared" si="12"/>
        <v/>
      </c>
      <c r="AJ150" s="183"/>
      <c r="AK150" s="120"/>
      <c r="AL150" s="120"/>
      <c r="AM150" s="120"/>
      <c r="AN150" s="95" t="str">
        <f>IFERROR(IF(YES_Writing_ELA[[#This Row],[Literacy IPP]]='Writing Logic'!$E$26,"IPP",IF(OR(AJ150="EAL",AK150="EAL",AL150="EAL",AM150="EAL"),"EAL",IF(AJ150='Writing Logic'!$A$10,AVERAGE(VLOOKUP(AK150,'Writing Logic'!$A$3:$B$7,2,FALSE),VLOOKUP(AL150,'Writing Logic'!$A$3:$B$7,2,FALSE),VLOOKUP(AM150,'Writing Logic'!$A$3:$B$7,2,FALSE)),AVERAGE(VLOOKUP(AJ150,'Writing Logic'!$A$3:$B$7,2,FALSE),VLOOKUP(AK150,'Writing Logic'!$A$3:$B$7,2,FALSE),VLOOKUP(AL150,'Writing Logic'!$A$3:$B$7,2,FALSE),VLOOKUP(AM150,'Writing Logic'!$A$3:$B$7,2,FALSE))))),"Fill All 4")</f>
        <v>Fill All 4</v>
      </c>
      <c r="AO150" s="95" t="str">
        <f t="shared" si="13"/>
        <v/>
      </c>
      <c r="AP150" s="120"/>
      <c r="AQ150" s="120"/>
      <c r="AR150" s="120"/>
      <c r="AS150" s="120"/>
      <c r="AT150" s="95" t="str">
        <f>IFERROR(IF(YES_Writing_ELA[[#This Row],[Literacy IPP]]='Writing Logic'!$E$26,"IPP",IF(OR(AP150="EAL",AQ150="EAL",AR150="EAL",AS150="EAL"),"EAL",IF(AP150='Writing Logic'!$A$10,AVERAGE(VLOOKUP(AQ150,'Writing Logic'!$A$3:$B$7,2,FALSE),VLOOKUP(AR150,'Writing Logic'!$A$3:$B$7,2,FALSE),VLOOKUP(AS150,'Writing Logic'!$A$3:$B$7,2,FALSE)),AVERAGE(VLOOKUP(AP150,'Writing Logic'!$A$3:$B$7,2,FALSE),VLOOKUP(AQ150,'Writing Logic'!$A$3:$B$7,2,FALSE),VLOOKUP(AR150,'Writing Logic'!$A$3:$B$7,2,FALSE),VLOOKUP(AS150,'Writing Logic'!$A$3:$B$7,2,FALSE))))),"Fill All 4")</f>
        <v>Fill All 4</v>
      </c>
      <c r="AU150" s="95" t="str">
        <f t="shared" si="14"/>
        <v/>
      </c>
    </row>
    <row r="151" spans="1:47" x14ac:dyDescent="0.25">
      <c r="A151" s="13"/>
      <c r="B151" s="13"/>
      <c r="C151" s="13"/>
      <c r="D151" s="13"/>
      <c r="E151" s="13"/>
      <c r="F151" s="13"/>
      <c r="G151" s="13"/>
      <c r="H151" s="13"/>
      <c r="I151" s="13"/>
      <c r="J151" s="13"/>
      <c r="K151" s="183"/>
      <c r="L151" s="184"/>
      <c r="M151" s="120"/>
      <c r="N151" s="120"/>
      <c r="O151" s="120"/>
      <c r="P151" s="120"/>
      <c r="Q151" s="95" t="str">
        <f>IFERROR(IF(YES_Writing_ELA[[#This Row],[Literacy IPP]]='Writing Logic'!$E$26,"IPP",IF(OR(M151="EAL",N151="EAL",O151="EAL",P151="EAL"),"EAL",IF(M151='Writing Logic'!$A$10,AVERAGE(VLOOKUP(N151,'Writing Logic'!$A$3:$B$7,2,FALSE),VLOOKUP(O151,'Writing Logic'!$A$3:$B$7,2,FALSE),VLOOKUP(P151,'Writing Logic'!$A$3:$B$7,2,FALSE)),AVERAGE(VLOOKUP(M151,'Writing Logic'!$A$3:$B$7,2,FALSE),VLOOKUP(N151,'Writing Logic'!$A$3:$B$7,2,FALSE),VLOOKUP(O151,'Writing Logic'!$A$3:$B$7,2,FALSE),VLOOKUP(P151,'Writing Logic'!$A$3:$B$7,2,FALSE))))),"Fill All 4")</f>
        <v>Fill All 4</v>
      </c>
      <c r="R151" s="120"/>
      <c r="S151" s="120"/>
      <c r="T151" s="120"/>
      <c r="U151" s="120"/>
      <c r="V151" s="95" t="str">
        <f>IFERROR(IF(YES_Writing_ELA[[#This Row],[Literacy IPP]]='Writing Logic'!$E$26,"IPP",IF(OR(R151="EAL",S151="EAL",T151="EAL",U151="EAL"),"EAL",IF(R151='Writing Logic'!$A$10,AVERAGE(VLOOKUP(S151,'Writing Logic'!$A$3:$B$7,2,FALSE),VLOOKUP(T151,'Writing Logic'!$A$3:$B$7,2,FALSE),VLOOKUP(U151,'Writing Logic'!$A$3:$B$7,2,FALSE)),AVERAGE(VLOOKUP(R151,'Writing Logic'!$A$3:$B$7,2,FALSE),VLOOKUP(S151,'Writing Logic'!$A$3:$B$7,2,FALSE),VLOOKUP(T151,'Writing Logic'!$A$3:$B$7,2,FALSE),VLOOKUP(U151,'Writing Logic'!$A$3:$B$7,2,FALSE))))),"Fill All 4")</f>
        <v>Fill All 4</v>
      </c>
      <c r="W151" s="95" t="str">
        <f t="shared" si="10"/>
        <v/>
      </c>
      <c r="X151" s="120"/>
      <c r="Y151" s="120"/>
      <c r="Z151" s="120"/>
      <c r="AA151" s="120"/>
      <c r="AB151" s="95" t="str">
        <f>IFERROR(IF(YES_Writing_ELA[[#This Row],[Literacy IPP]]='Writing Logic'!$E$26,"IPP",IF(OR(X151="EAL",Y151="EAL",Z151="EAL",AA151="EAL"),"EAL",IF(X151='Writing Logic'!$A$10,AVERAGE(VLOOKUP(Y151,'Writing Logic'!$A$3:$B$7,2,FALSE),VLOOKUP(Z151,'Writing Logic'!$A$3:$B$7,2,FALSE),VLOOKUP(AA151,'Writing Logic'!$A$3:$B$7,2,FALSE)),AVERAGE(VLOOKUP(X151,'Writing Logic'!$A$3:$B$7,2,FALSE),VLOOKUP(Y151,'Writing Logic'!$A$3:$B$7,2,FALSE),VLOOKUP(Z151,'Writing Logic'!$A$3:$B$7,2,FALSE),VLOOKUP(AA151,'Writing Logic'!$A$3:$B$7,2,FALSE))))),"Fill All 4")</f>
        <v>Fill All 4</v>
      </c>
      <c r="AC151" s="95" t="str">
        <f t="shared" si="11"/>
        <v/>
      </c>
      <c r="AD151" s="120"/>
      <c r="AE151" s="120"/>
      <c r="AF151" s="120"/>
      <c r="AG151" s="120"/>
      <c r="AH151" s="95" t="str">
        <f>IFERROR(IF(YES_Writing_ELA[[#This Row],[Literacy IPP]]='Writing Logic'!$E$26,"IPP",IF(OR(AD151="EAL",AE151="EAL",AF151="EAL",AG151="EAL"),"EAL",IF(AD151='Writing Logic'!$A$10,AVERAGE(VLOOKUP(AE151,'Writing Logic'!$A$3:$B$7,2,FALSE),VLOOKUP(AF151,'Writing Logic'!$A$3:$B$7,2,FALSE),VLOOKUP(AG151,'Writing Logic'!$A$3:$B$7,2,FALSE)),AVERAGE(VLOOKUP(AD151,'Writing Logic'!$A$3:$B$7,2,FALSE),VLOOKUP(AE151,'Writing Logic'!$A$3:$B$7,2,FALSE),VLOOKUP(AF151,'Writing Logic'!$A$3:$B$7,2,FALSE),VLOOKUP(AG151,'Writing Logic'!$A$3:$B$7,2,FALSE))))),"Fill All 4")</f>
        <v>Fill All 4</v>
      </c>
      <c r="AI151" s="95" t="str">
        <f t="shared" si="12"/>
        <v/>
      </c>
      <c r="AJ151" s="183"/>
      <c r="AK151" s="120"/>
      <c r="AL151" s="120"/>
      <c r="AM151" s="120"/>
      <c r="AN151" s="95" t="str">
        <f>IFERROR(IF(YES_Writing_ELA[[#This Row],[Literacy IPP]]='Writing Logic'!$E$26,"IPP",IF(OR(AJ151="EAL",AK151="EAL",AL151="EAL",AM151="EAL"),"EAL",IF(AJ151='Writing Logic'!$A$10,AVERAGE(VLOOKUP(AK151,'Writing Logic'!$A$3:$B$7,2,FALSE),VLOOKUP(AL151,'Writing Logic'!$A$3:$B$7,2,FALSE),VLOOKUP(AM151,'Writing Logic'!$A$3:$B$7,2,FALSE)),AVERAGE(VLOOKUP(AJ151,'Writing Logic'!$A$3:$B$7,2,FALSE),VLOOKUP(AK151,'Writing Logic'!$A$3:$B$7,2,FALSE),VLOOKUP(AL151,'Writing Logic'!$A$3:$B$7,2,FALSE),VLOOKUP(AM151,'Writing Logic'!$A$3:$B$7,2,FALSE))))),"Fill All 4")</f>
        <v>Fill All 4</v>
      </c>
      <c r="AO151" s="95" t="str">
        <f t="shared" si="13"/>
        <v/>
      </c>
      <c r="AP151" s="120"/>
      <c r="AQ151" s="120"/>
      <c r="AR151" s="120"/>
      <c r="AS151" s="120"/>
      <c r="AT151" s="95" t="str">
        <f>IFERROR(IF(YES_Writing_ELA[[#This Row],[Literacy IPP]]='Writing Logic'!$E$26,"IPP",IF(OR(AP151="EAL",AQ151="EAL",AR151="EAL",AS151="EAL"),"EAL",IF(AP151='Writing Logic'!$A$10,AVERAGE(VLOOKUP(AQ151,'Writing Logic'!$A$3:$B$7,2,FALSE),VLOOKUP(AR151,'Writing Logic'!$A$3:$B$7,2,FALSE),VLOOKUP(AS151,'Writing Logic'!$A$3:$B$7,2,FALSE)),AVERAGE(VLOOKUP(AP151,'Writing Logic'!$A$3:$B$7,2,FALSE),VLOOKUP(AQ151,'Writing Logic'!$A$3:$B$7,2,FALSE),VLOOKUP(AR151,'Writing Logic'!$A$3:$B$7,2,FALSE),VLOOKUP(AS151,'Writing Logic'!$A$3:$B$7,2,FALSE))))),"Fill All 4")</f>
        <v>Fill All 4</v>
      </c>
      <c r="AU151" s="95" t="str">
        <f t="shared" si="14"/>
        <v/>
      </c>
    </row>
    <row r="152" spans="1:47" x14ac:dyDescent="0.25">
      <c r="A152" s="13"/>
      <c r="B152" s="13"/>
      <c r="C152" s="13"/>
      <c r="D152" s="13"/>
      <c r="E152" s="13"/>
      <c r="F152" s="13"/>
      <c r="G152" s="13"/>
      <c r="H152" s="13"/>
      <c r="I152" s="13"/>
      <c r="J152" s="13"/>
      <c r="K152" s="183"/>
      <c r="L152" s="184"/>
      <c r="M152" s="120"/>
      <c r="N152" s="120"/>
      <c r="O152" s="120"/>
      <c r="P152" s="120"/>
      <c r="Q152" s="95" t="str">
        <f>IFERROR(IF(YES_Writing_ELA[[#This Row],[Literacy IPP]]='Writing Logic'!$E$26,"IPP",IF(OR(M152="EAL",N152="EAL",O152="EAL",P152="EAL"),"EAL",IF(M152='Writing Logic'!$A$10,AVERAGE(VLOOKUP(N152,'Writing Logic'!$A$3:$B$7,2,FALSE),VLOOKUP(O152,'Writing Logic'!$A$3:$B$7,2,FALSE),VLOOKUP(P152,'Writing Logic'!$A$3:$B$7,2,FALSE)),AVERAGE(VLOOKUP(M152,'Writing Logic'!$A$3:$B$7,2,FALSE),VLOOKUP(N152,'Writing Logic'!$A$3:$B$7,2,FALSE),VLOOKUP(O152,'Writing Logic'!$A$3:$B$7,2,FALSE),VLOOKUP(P152,'Writing Logic'!$A$3:$B$7,2,FALSE))))),"Fill All 4")</f>
        <v>Fill All 4</v>
      </c>
      <c r="R152" s="120"/>
      <c r="S152" s="120"/>
      <c r="T152" s="120"/>
      <c r="U152" s="120"/>
      <c r="V152" s="95" t="str">
        <f>IFERROR(IF(YES_Writing_ELA[[#This Row],[Literacy IPP]]='Writing Logic'!$E$26,"IPP",IF(OR(R152="EAL",S152="EAL",T152="EAL",U152="EAL"),"EAL",IF(R152='Writing Logic'!$A$10,AVERAGE(VLOOKUP(S152,'Writing Logic'!$A$3:$B$7,2,FALSE),VLOOKUP(T152,'Writing Logic'!$A$3:$B$7,2,FALSE),VLOOKUP(U152,'Writing Logic'!$A$3:$B$7,2,FALSE)),AVERAGE(VLOOKUP(R152,'Writing Logic'!$A$3:$B$7,2,FALSE),VLOOKUP(S152,'Writing Logic'!$A$3:$B$7,2,FALSE),VLOOKUP(T152,'Writing Logic'!$A$3:$B$7,2,FALSE),VLOOKUP(U152,'Writing Logic'!$A$3:$B$7,2,FALSE))))),"Fill All 4")</f>
        <v>Fill All 4</v>
      </c>
      <c r="W152" s="95" t="str">
        <f t="shared" si="10"/>
        <v/>
      </c>
      <c r="X152" s="120"/>
      <c r="Y152" s="120"/>
      <c r="Z152" s="120"/>
      <c r="AA152" s="120"/>
      <c r="AB152" s="95" t="str">
        <f>IFERROR(IF(YES_Writing_ELA[[#This Row],[Literacy IPP]]='Writing Logic'!$E$26,"IPP",IF(OR(X152="EAL",Y152="EAL",Z152="EAL",AA152="EAL"),"EAL",IF(X152='Writing Logic'!$A$10,AVERAGE(VLOOKUP(Y152,'Writing Logic'!$A$3:$B$7,2,FALSE),VLOOKUP(Z152,'Writing Logic'!$A$3:$B$7,2,FALSE),VLOOKUP(AA152,'Writing Logic'!$A$3:$B$7,2,FALSE)),AVERAGE(VLOOKUP(X152,'Writing Logic'!$A$3:$B$7,2,FALSE),VLOOKUP(Y152,'Writing Logic'!$A$3:$B$7,2,FALSE),VLOOKUP(Z152,'Writing Logic'!$A$3:$B$7,2,FALSE),VLOOKUP(AA152,'Writing Logic'!$A$3:$B$7,2,FALSE))))),"Fill All 4")</f>
        <v>Fill All 4</v>
      </c>
      <c r="AC152" s="95" t="str">
        <f t="shared" si="11"/>
        <v/>
      </c>
      <c r="AD152" s="120"/>
      <c r="AE152" s="120"/>
      <c r="AF152" s="120"/>
      <c r="AG152" s="120"/>
      <c r="AH152" s="95" t="str">
        <f>IFERROR(IF(YES_Writing_ELA[[#This Row],[Literacy IPP]]='Writing Logic'!$E$26,"IPP",IF(OR(AD152="EAL",AE152="EAL",AF152="EAL",AG152="EAL"),"EAL",IF(AD152='Writing Logic'!$A$10,AVERAGE(VLOOKUP(AE152,'Writing Logic'!$A$3:$B$7,2,FALSE),VLOOKUP(AF152,'Writing Logic'!$A$3:$B$7,2,FALSE),VLOOKUP(AG152,'Writing Logic'!$A$3:$B$7,2,FALSE)),AVERAGE(VLOOKUP(AD152,'Writing Logic'!$A$3:$B$7,2,FALSE),VLOOKUP(AE152,'Writing Logic'!$A$3:$B$7,2,FALSE),VLOOKUP(AF152,'Writing Logic'!$A$3:$B$7,2,FALSE),VLOOKUP(AG152,'Writing Logic'!$A$3:$B$7,2,FALSE))))),"Fill All 4")</f>
        <v>Fill All 4</v>
      </c>
      <c r="AI152" s="95" t="str">
        <f t="shared" si="12"/>
        <v/>
      </c>
      <c r="AJ152" s="183"/>
      <c r="AK152" s="120"/>
      <c r="AL152" s="120"/>
      <c r="AM152" s="120"/>
      <c r="AN152" s="95" t="str">
        <f>IFERROR(IF(YES_Writing_ELA[[#This Row],[Literacy IPP]]='Writing Logic'!$E$26,"IPP",IF(OR(AJ152="EAL",AK152="EAL",AL152="EAL",AM152="EAL"),"EAL",IF(AJ152='Writing Logic'!$A$10,AVERAGE(VLOOKUP(AK152,'Writing Logic'!$A$3:$B$7,2,FALSE),VLOOKUP(AL152,'Writing Logic'!$A$3:$B$7,2,FALSE),VLOOKUP(AM152,'Writing Logic'!$A$3:$B$7,2,FALSE)),AVERAGE(VLOOKUP(AJ152,'Writing Logic'!$A$3:$B$7,2,FALSE),VLOOKUP(AK152,'Writing Logic'!$A$3:$B$7,2,FALSE),VLOOKUP(AL152,'Writing Logic'!$A$3:$B$7,2,FALSE),VLOOKUP(AM152,'Writing Logic'!$A$3:$B$7,2,FALSE))))),"Fill All 4")</f>
        <v>Fill All 4</v>
      </c>
      <c r="AO152" s="95" t="str">
        <f t="shared" si="13"/>
        <v/>
      </c>
      <c r="AP152" s="120"/>
      <c r="AQ152" s="120"/>
      <c r="AR152" s="120"/>
      <c r="AS152" s="120"/>
      <c r="AT152" s="95" t="str">
        <f>IFERROR(IF(YES_Writing_ELA[[#This Row],[Literacy IPP]]='Writing Logic'!$E$26,"IPP",IF(OR(AP152="EAL",AQ152="EAL",AR152="EAL",AS152="EAL"),"EAL",IF(AP152='Writing Logic'!$A$10,AVERAGE(VLOOKUP(AQ152,'Writing Logic'!$A$3:$B$7,2,FALSE),VLOOKUP(AR152,'Writing Logic'!$A$3:$B$7,2,FALSE),VLOOKUP(AS152,'Writing Logic'!$A$3:$B$7,2,FALSE)),AVERAGE(VLOOKUP(AP152,'Writing Logic'!$A$3:$B$7,2,FALSE),VLOOKUP(AQ152,'Writing Logic'!$A$3:$B$7,2,FALSE),VLOOKUP(AR152,'Writing Logic'!$A$3:$B$7,2,FALSE),VLOOKUP(AS152,'Writing Logic'!$A$3:$B$7,2,FALSE))))),"Fill All 4")</f>
        <v>Fill All 4</v>
      </c>
      <c r="AU152" s="95" t="str">
        <f t="shared" si="14"/>
        <v/>
      </c>
    </row>
    <row r="153" spans="1:47" x14ac:dyDescent="0.25">
      <c r="A153" s="13"/>
      <c r="B153" s="13"/>
      <c r="C153" s="13"/>
      <c r="D153" s="13"/>
      <c r="E153" s="13"/>
      <c r="F153" s="13"/>
      <c r="G153" s="13"/>
      <c r="H153" s="13"/>
      <c r="I153" s="13"/>
      <c r="J153" s="13"/>
      <c r="K153" s="183"/>
      <c r="L153" s="184"/>
      <c r="M153" s="120"/>
      <c r="N153" s="120"/>
      <c r="O153" s="120"/>
      <c r="P153" s="120"/>
      <c r="Q153" s="95" t="str">
        <f>IFERROR(IF(YES_Writing_ELA[[#This Row],[Literacy IPP]]='Writing Logic'!$E$26,"IPP",IF(OR(M153="EAL",N153="EAL",O153="EAL",P153="EAL"),"EAL",IF(M153='Writing Logic'!$A$10,AVERAGE(VLOOKUP(N153,'Writing Logic'!$A$3:$B$7,2,FALSE),VLOOKUP(O153,'Writing Logic'!$A$3:$B$7,2,FALSE),VLOOKUP(P153,'Writing Logic'!$A$3:$B$7,2,FALSE)),AVERAGE(VLOOKUP(M153,'Writing Logic'!$A$3:$B$7,2,FALSE),VLOOKUP(N153,'Writing Logic'!$A$3:$B$7,2,FALSE),VLOOKUP(O153,'Writing Logic'!$A$3:$B$7,2,FALSE),VLOOKUP(P153,'Writing Logic'!$A$3:$B$7,2,FALSE))))),"Fill All 4")</f>
        <v>Fill All 4</v>
      </c>
      <c r="R153" s="120"/>
      <c r="S153" s="120"/>
      <c r="T153" s="120"/>
      <c r="U153" s="120"/>
      <c r="V153" s="95" t="str">
        <f>IFERROR(IF(YES_Writing_ELA[[#This Row],[Literacy IPP]]='Writing Logic'!$E$26,"IPP",IF(OR(R153="EAL",S153="EAL",T153="EAL",U153="EAL"),"EAL",IF(R153='Writing Logic'!$A$10,AVERAGE(VLOOKUP(S153,'Writing Logic'!$A$3:$B$7,2,FALSE),VLOOKUP(T153,'Writing Logic'!$A$3:$B$7,2,FALSE),VLOOKUP(U153,'Writing Logic'!$A$3:$B$7,2,FALSE)),AVERAGE(VLOOKUP(R153,'Writing Logic'!$A$3:$B$7,2,FALSE),VLOOKUP(S153,'Writing Logic'!$A$3:$B$7,2,FALSE),VLOOKUP(T153,'Writing Logic'!$A$3:$B$7,2,FALSE),VLOOKUP(U153,'Writing Logic'!$A$3:$B$7,2,FALSE))))),"Fill All 4")</f>
        <v>Fill All 4</v>
      </c>
      <c r="W153" s="95" t="str">
        <f t="shared" si="10"/>
        <v/>
      </c>
      <c r="X153" s="120"/>
      <c r="Y153" s="120"/>
      <c r="Z153" s="120"/>
      <c r="AA153" s="120"/>
      <c r="AB153" s="95" t="str">
        <f>IFERROR(IF(YES_Writing_ELA[[#This Row],[Literacy IPP]]='Writing Logic'!$E$26,"IPP",IF(OR(X153="EAL",Y153="EAL",Z153="EAL",AA153="EAL"),"EAL",IF(X153='Writing Logic'!$A$10,AVERAGE(VLOOKUP(Y153,'Writing Logic'!$A$3:$B$7,2,FALSE),VLOOKUP(Z153,'Writing Logic'!$A$3:$B$7,2,FALSE),VLOOKUP(AA153,'Writing Logic'!$A$3:$B$7,2,FALSE)),AVERAGE(VLOOKUP(X153,'Writing Logic'!$A$3:$B$7,2,FALSE),VLOOKUP(Y153,'Writing Logic'!$A$3:$B$7,2,FALSE),VLOOKUP(Z153,'Writing Logic'!$A$3:$B$7,2,FALSE),VLOOKUP(AA153,'Writing Logic'!$A$3:$B$7,2,FALSE))))),"Fill All 4")</f>
        <v>Fill All 4</v>
      </c>
      <c r="AC153" s="95" t="str">
        <f t="shared" si="11"/>
        <v/>
      </c>
      <c r="AD153" s="120"/>
      <c r="AE153" s="120"/>
      <c r="AF153" s="120"/>
      <c r="AG153" s="120"/>
      <c r="AH153" s="95" t="str">
        <f>IFERROR(IF(YES_Writing_ELA[[#This Row],[Literacy IPP]]='Writing Logic'!$E$26,"IPP",IF(OR(AD153="EAL",AE153="EAL",AF153="EAL",AG153="EAL"),"EAL",IF(AD153='Writing Logic'!$A$10,AVERAGE(VLOOKUP(AE153,'Writing Logic'!$A$3:$B$7,2,FALSE),VLOOKUP(AF153,'Writing Logic'!$A$3:$B$7,2,FALSE),VLOOKUP(AG153,'Writing Logic'!$A$3:$B$7,2,FALSE)),AVERAGE(VLOOKUP(AD153,'Writing Logic'!$A$3:$B$7,2,FALSE),VLOOKUP(AE153,'Writing Logic'!$A$3:$B$7,2,FALSE),VLOOKUP(AF153,'Writing Logic'!$A$3:$B$7,2,FALSE),VLOOKUP(AG153,'Writing Logic'!$A$3:$B$7,2,FALSE))))),"Fill All 4")</f>
        <v>Fill All 4</v>
      </c>
      <c r="AI153" s="95" t="str">
        <f t="shared" si="12"/>
        <v/>
      </c>
      <c r="AJ153" s="183"/>
      <c r="AK153" s="120"/>
      <c r="AL153" s="120"/>
      <c r="AM153" s="120"/>
      <c r="AN153" s="95" t="str">
        <f>IFERROR(IF(YES_Writing_ELA[[#This Row],[Literacy IPP]]='Writing Logic'!$E$26,"IPP",IF(OR(AJ153="EAL",AK153="EAL",AL153="EAL",AM153="EAL"),"EAL",IF(AJ153='Writing Logic'!$A$10,AVERAGE(VLOOKUP(AK153,'Writing Logic'!$A$3:$B$7,2,FALSE),VLOOKUP(AL153,'Writing Logic'!$A$3:$B$7,2,FALSE),VLOOKUP(AM153,'Writing Logic'!$A$3:$B$7,2,FALSE)),AVERAGE(VLOOKUP(AJ153,'Writing Logic'!$A$3:$B$7,2,FALSE),VLOOKUP(AK153,'Writing Logic'!$A$3:$B$7,2,FALSE),VLOOKUP(AL153,'Writing Logic'!$A$3:$B$7,2,FALSE),VLOOKUP(AM153,'Writing Logic'!$A$3:$B$7,2,FALSE))))),"Fill All 4")</f>
        <v>Fill All 4</v>
      </c>
      <c r="AO153" s="95" t="str">
        <f t="shared" si="13"/>
        <v/>
      </c>
      <c r="AP153" s="120"/>
      <c r="AQ153" s="120"/>
      <c r="AR153" s="120"/>
      <c r="AS153" s="120"/>
      <c r="AT153" s="95" t="str">
        <f>IFERROR(IF(YES_Writing_ELA[[#This Row],[Literacy IPP]]='Writing Logic'!$E$26,"IPP",IF(OR(AP153="EAL",AQ153="EAL",AR153="EAL",AS153="EAL"),"EAL",IF(AP153='Writing Logic'!$A$10,AVERAGE(VLOOKUP(AQ153,'Writing Logic'!$A$3:$B$7,2,FALSE),VLOOKUP(AR153,'Writing Logic'!$A$3:$B$7,2,FALSE),VLOOKUP(AS153,'Writing Logic'!$A$3:$B$7,2,FALSE)),AVERAGE(VLOOKUP(AP153,'Writing Logic'!$A$3:$B$7,2,FALSE),VLOOKUP(AQ153,'Writing Logic'!$A$3:$B$7,2,FALSE),VLOOKUP(AR153,'Writing Logic'!$A$3:$B$7,2,FALSE),VLOOKUP(AS153,'Writing Logic'!$A$3:$B$7,2,FALSE))))),"Fill All 4")</f>
        <v>Fill All 4</v>
      </c>
      <c r="AU153" s="95" t="str">
        <f t="shared" si="14"/>
        <v/>
      </c>
    </row>
    <row r="154" spans="1:47" x14ac:dyDescent="0.25">
      <c r="A154" s="13"/>
      <c r="B154" s="13"/>
      <c r="C154" s="13"/>
      <c r="D154" s="13"/>
      <c r="E154" s="13"/>
      <c r="F154" s="13"/>
      <c r="G154" s="13"/>
      <c r="H154" s="13"/>
      <c r="I154" s="13"/>
      <c r="J154" s="13"/>
      <c r="K154" s="183"/>
      <c r="L154" s="184"/>
      <c r="M154" s="120"/>
      <c r="N154" s="120"/>
      <c r="O154" s="120"/>
      <c r="P154" s="120"/>
      <c r="Q154" s="95" t="str">
        <f>IFERROR(IF(YES_Writing_ELA[[#This Row],[Literacy IPP]]='Writing Logic'!$E$26,"IPP",IF(OR(M154="EAL",N154="EAL",O154="EAL",P154="EAL"),"EAL",IF(M154='Writing Logic'!$A$10,AVERAGE(VLOOKUP(N154,'Writing Logic'!$A$3:$B$7,2,FALSE),VLOOKUP(O154,'Writing Logic'!$A$3:$B$7,2,FALSE),VLOOKUP(P154,'Writing Logic'!$A$3:$B$7,2,FALSE)),AVERAGE(VLOOKUP(M154,'Writing Logic'!$A$3:$B$7,2,FALSE),VLOOKUP(N154,'Writing Logic'!$A$3:$B$7,2,FALSE),VLOOKUP(O154,'Writing Logic'!$A$3:$B$7,2,FALSE),VLOOKUP(P154,'Writing Logic'!$A$3:$B$7,2,FALSE))))),"Fill All 4")</f>
        <v>Fill All 4</v>
      </c>
      <c r="R154" s="120"/>
      <c r="S154" s="120"/>
      <c r="T154" s="120"/>
      <c r="U154" s="120"/>
      <c r="V154" s="95" t="str">
        <f>IFERROR(IF(YES_Writing_ELA[[#This Row],[Literacy IPP]]='Writing Logic'!$E$26,"IPP",IF(OR(R154="EAL",S154="EAL",T154="EAL",U154="EAL"),"EAL",IF(R154='Writing Logic'!$A$10,AVERAGE(VLOOKUP(S154,'Writing Logic'!$A$3:$B$7,2,FALSE),VLOOKUP(T154,'Writing Logic'!$A$3:$B$7,2,FALSE),VLOOKUP(U154,'Writing Logic'!$A$3:$B$7,2,FALSE)),AVERAGE(VLOOKUP(R154,'Writing Logic'!$A$3:$B$7,2,FALSE),VLOOKUP(S154,'Writing Logic'!$A$3:$B$7,2,FALSE),VLOOKUP(T154,'Writing Logic'!$A$3:$B$7,2,FALSE),VLOOKUP(U154,'Writing Logic'!$A$3:$B$7,2,FALSE))))),"Fill All 4")</f>
        <v>Fill All 4</v>
      </c>
      <c r="W154" s="95" t="str">
        <f t="shared" si="10"/>
        <v/>
      </c>
      <c r="X154" s="120"/>
      <c r="Y154" s="120"/>
      <c r="Z154" s="120"/>
      <c r="AA154" s="120"/>
      <c r="AB154" s="95" t="str">
        <f>IFERROR(IF(YES_Writing_ELA[[#This Row],[Literacy IPP]]='Writing Logic'!$E$26,"IPP",IF(OR(X154="EAL",Y154="EAL",Z154="EAL",AA154="EAL"),"EAL",IF(X154='Writing Logic'!$A$10,AVERAGE(VLOOKUP(Y154,'Writing Logic'!$A$3:$B$7,2,FALSE),VLOOKUP(Z154,'Writing Logic'!$A$3:$B$7,2,FALSE),VLOOKUP(AA154,'Writing Logic'!$A$3:$B$7,2,FALSE)),AVERAGE(VLOOKUP(X154,'Writing Logic'!$A$3:$B$7,2,FALSE),VLOOKUP(Y154,'Writing Logic'!$A$3:$B$7,2,FALSE),VLOOKUP(Z154,'Writing Logic'!$A$3:$B$7,2,FALSE),VLOOKUP(AA154,'Writing Logic'!$A$3:$B$7,2,FALSE))))),"Fill All 4")</f>
        <v>Fill All 4</v>
      </c>
      <c r="AC154" s="95" t="str">
        <f t="shared" si="11"/>
        <v/>
      </c>
      <c r="AD154" s="120"/>
      <c r="AE154" s="120"/>
      <c r="AF154" s="120"/>
      <c r="AG154" s="120"/>
      <c r="AH154" s="95" t="str">
        <f>IFERROR(IF(YES_Writing_ELA[[#This Row],[Literacy IPP]]='Writing Logic'!$E$26,"IPP",IF(OR(AD154="EAL",AE154="EAL",AF154="EAL",AG154="EAL"),"EAL",IF(AD154='Writing Logic'!$A$10,AVERAGE(VLOOKUP(AE154,'Writing Logic'!$A$3:$B$7,2,FALSE),VLOOKUP(AF154,'Writing Logic'!$A$3:$B$7,2,FALSE),VLOOKUP(AG154,'Writing Logic'!$A$3:$B$7,2,FALSE)),AVERAGE(VLOOKUP(AD154,'Writing Logic'!$A$3:$B$7,2,FALSE),VLOOKUP(AE154,'Writing Logic'!$A$3:$B$7,2,FALSE),VLOOKUP(AF154,'Writing Logic'!$A$3:$B$7,2,FALSE),VLOOKUP(AG154,'Writing Logic'!$A$3:$B$7,2,FALSE))))),"Fill All 4")</f>
        <v>Fill All 4</v>
      </c>
      <c r="AI154" s="95" t="str">
        <f t="shared" si="12"/>
        <v/>
      </c>
      <c r="AJ154" s="183"/>
      <c r="AK154" s="120"/>
      <c r="AL154" s="120"/>
      <c r="AM154" s="120"/>
      <c r="AN154" s="95" t="str">
        <f>IFERROR(IF(YES_Writing_ELA[[#This Row],[Literacy IPP]]='Writing Logic'!$E$26,"IPP",IF(OR(AJ154="EAL",AK154="EAL",AL154="EAL",AM154="EAL"),"EAL",IF(AJ154='Writing Logic'!$A$10,AVERAGE(VLOOKUP(AK154,'Writing Logic'!$A$3:$B$7,2,FALSE),VLOOKUP(AL154,'Writing Logic'!$A$3:$B$7,2,FALSE),VLOOKUP(AM154,'Writing Logic'!$A$3:$B$7,2,FALSE)),AVERAGE(VLOOKUP(AJ154,'Writing Logic'!$A$3:$B$7,2,FALSE),VLOOKUP(AK154,'Writing Logic'!$A$3:$B$7,2,FALSE),VLOOKUP(AL154,'Writing Logic'!$A$3:$B$7,2,FALSE),VLOOKUP(AM154,'Writing Logic'!$A$3:$B$7,2,FALSE))))),"Fill All 4")</f>
        <v>Fill All 4</v>
      </c>
      <c r="AO154" s="95" t="str">
        <f t="shared" si="13"/>
        <v/>
      </c>
      <c r="AP154" s="120"/>
      <c r="AQ154" s="120"/>
      <c r="AR154" s="120"/>
      <c r="AS154" s="120"/>
      <c r="AT154" s="95" t="str">
        <f>IFERROR(IF(YES_Writing_ELA[[#This Row],[Literacy IPP]]='Writing Logic'!$E$26,"IPP",IF(OR(AP154="EAL",AQ154="EAL",AR154="EAL",AS154="EAL"),"EAL",IF(AP154='Writing Logic'!$A$10,AVERAGE(VLOOKUP(AQ154,'Writing Logic'!$A$3:$B$7,2,FALSE),VLOOKUP(AR154,'Writing Logic'!$A$3:$B$7,2,FALSE),VLOOKUP(AS154,'Writing Logic'!$A$3:$B$7,2,FALSE)),AVERAGE(VLOOKUP(AP154,'Writing Logic'!$A$3:$B$7,2,FALSE),VLOOKUP(AQ154,'Writing Logic'!$A$3:$B$7,2,FALSE),VLOOKUP(AR154,'Writing Logic'!$A$3:$B$7,2,FALSE),VLOOKUP(AS154,'Writing Logic'!$A$3:$B$7,2,FALSE))))),"Fill All 4")</f>
        <v>Fill All 4</v>
      </c>
      <c r="AU154" s="95" t="str">
        <f t="shared" si="14"/>
        <v/>
      </c>
    </row>
    <row r="155" spans="1:47" x14ac:dyDescent="0.25">
      <c r="A155" s="13"/>
      <c r="B155" s="13"/>
      <c r="C155" s="13"/>
      <c r="D155" s="13"/>
      <c r="E155" s="13"/>
      <c r="F155" s="13"/>
      <c r="G155" s="13"/>
      <c r="H155" s="13"/>
      <c r="I155" s="13"/>
      <c r="J155" s="13"/>
      <c r="K155" s="183"/>
      <c r="L155" s="184"/>
      <c r="M155" s="120"/>
      <c r="N155" s="120"/>
      <c r="O155" s="120"/>
      <c r="P155" s="120"/>
      <c r="Q155" s="95" t="str">
        <f>IFERROR(IF(YES_Writing_ELA[[#This Row],[Literacy IPP]]='Writing Logic'!$E$26,"IPP",IF(OR(M155="EAL",N155="EAL",O155="EAL",P155="EAL"),"EAL",IF(M155='Writing Logic'!$A$10,AVERAGE(VLOOKUP(N155,'Writing Logic'!$A$3:$B$7,2,FALSE),VLOOKUP(O155,'Writing Logic'!$A$3:$B$7,2,FALSE),VLOOKUP(P155,'Writing Logic'!$A$3:$B$7,2,FALSE)),AVERAGE(VLOOKUP(M155,'Writing Logic'!$A$3:$B$7,2,FALSE),VLOOKUP(N155,'Writing Logic'!$A$3:$B$7,2,FALSE),VLOOKUP(O155,'Writing Logic'!$A$3:$B$7,2,FALSE),VLOOKUP(P155,'Writing Logic'!$A$3:$B$7,2,FALSE))))),"Fill All 4")</f>
        <v>Fill All 4</v>
      </c>
      <c r="R155" s="120"/>
      <c r="S155" s="120"/>
      <c r="T155" s="120"/>
      <c r="U155" s="120"/>
      <c r="V155" s="95" t="str">
        <f>IFERROR(IF(YES_Writing_ELA[[#This Row],[Literacy IPP]]='Writing Logic'!$E$26,"IPP",IF(OR(R155="EAL",S155="EAL",T155="EAL",U155="EAL"),"EAL",IF(R155='Writing Logic'!$A$10,AVERAGE(VLOOKUP(S155,'Writing Logic'!$A$3:$B$7,2,FALSE),VLOOKUP(T155,'Writing Logic'!$A$3:$B$7,2,FALSE),VLOOKUP(U155,'Writing Logic'!$A$3:$B$7,2,FALSE)),AVERAGE(VLOOKUP(R155,'Writing Logic'!$A$3:$B$7,2,FALSE),VLOOKUP(S155,'Writing Logic'!$A$3:$B$7,2,FALSE),VLOOKUP(T155,'Writing Logic'!$A$3:$B$7,2,FALSE),VLOOKUP(U155,'Writing Logic'!$A$3:$B$7,2,FALSE))))),"Fill All 4")</f>
        <v>Fill All 4</v>
      </c>
      <c r="W155" s="95" t="str">
        <f t="shared" si="10"/>
        <v/>
      </c>
      <c r="X155" s="120"/>
      <c r="Y155" s="120"/>
      <c r="Z155" s="120"/>
      <c r="AA155" s="120"/>
      <c r="AB155" s="95" t="str">
        <f>IFERROR(IF(YES_Writing_ELA[[#This Row],[Literacy IPP]]='Writing Logic'!$E$26,"IPP",IF(OR(X155="EAL",Y155="EAL",Z155="EAL",AA155="EAL"),"EAL",IF(X155='Writing Logic'!$A$10,AVERAGE(VLOOKUP(Y155,'Writing Logic'!$A$3:$B$7,2,FALSE),VLOOKUP(Z155,'Writing Logic'!$A$3:$B$7,2,FALSE),VLOOKUP(AA155,'Writing Logic'!$A$3:$B$7,2,FALSE)),AVERAGE(VLOOKUP(X155,'Writing Logic'!$A$3:$B$7,2,FALSE),VLOOKUP(Y155,'Writing Logic'!$A$3:$B$7,2,FALSE),VLOOKUP(Z155,'Writing Logic'!$A$3:$B$7,2,FALSE),VLOOKUP(AA155,'Writing Logic'!$A$3:$B$7,2,FALSE))))),"Fill All 4")</f>
        <v>Fill All 4</v>
      </c>
      <c r="AC155" s="95" t="str">
        <f t="shared" si="11"/>
        <v/>
      </c>
      <c r="AD155" s="120"/>
      <c r="AE155" s="120"/>
      <c r="AF155" s="120"/>
      <c r="AG155" s="120"/>
      <c r="AH155" s="95" t="str">
        <f>IFERROR(IF(YES_Writing_ELA[[#This Row],[Literacy IPP]]='Writing Logic'!$E$26,"IPP",IF(OR(AD155="EAL",AE155="EAL",AF155="EAL",AG155="EAL"),"EAL",IF(AD155='Writing Logic'!$A$10,AVERAGE(VLOOKUP(AE155,'Writing Logic'!$A$3:$B$7,2,FALSE),VLOOKUP(AF155,'Writing Logic'!$A$3:$B$7,2,FALSE),VLOOKUP(AG155,'Writing Logic'!$A$3:$B$7,2,FALSE)),AVERAGE(VLOOKUP(AD155,'Writing Logic'!$A$3:$B$7,2,FALSE),VLOOKUP(AE155,'Writing Logic'!$A$3:$B$7,2,FALSE),VLOOKUP(AF155,'Writing Logic'!$A$3:$B$7,2,FALSE),VLOOKUP(AG155,'Writing Logic'!$A$3:$B$7,2,FALSE))))),"Fill All 4")</f>
        <v>Fill All 4</v>
      </c>
      <c r="AI155" s="95" t="str">
        <f t="shared" si="12"/>
        <v/>
      </c>
      <c r="AJ155" s="183"/>
      <c r="AK155" s="120"/>
      <c r="AL155" s="120"/>
      <c r="AM155" s="120"/>
      <c r="AN155" s="95" t="str">
        <f>IFERROR(IF(YES_Writing_ELA[[#This Row],[Literacy IPP]]='Writing Logic'!$E$26,"IPP",IF(OR(AJ155="EAL",AK155="EAL",AL155="EAL",AM155="EAL"),"EAL",IF(AJ155='Writing Logic'!$A$10,AVERAGE(VLOOKUP(AK155,'Writing Logic'!$A$3:$B$7,2,FALSE),VLOOKUP(AL155,'Writing Logic'!$A$3:$B$7,2,FALSE),VLOOKUP(AM155,'Writing Logic'!$A$3:$B$7,2,FALSE)),AVERAGE(VLOOKUP(AJ155,'Writing Logic'!$A$3:$B$7,2,FALSE),VLOOKUP(AK155,'Writing Logic'!$A$3:$B$7,2,FALSE),VLOOKUP(AL155,'Writing Logic'!$A$3:$B$7,2,FALSE),VLOOKUP(AM155,'Writing Logic'!$A$3:$B$7,2,FALSE))))),"Fill All 4")</f>
        <v>Fill All 4</v>
      </c>
      <c r="AO155" s="95" t="str">
        <f t="shared" si="13"/>
        <v/>
      </c>
      <c r="AP155" s="120"/>
      <c r="AQ155" s="120"/>
      <c r="AR155" s="120"/>
      <c r="AS155" s="120"/>
      <c r="AT155" s="95" t="str">
        <f>IFERROR(IF(YES_Writing_ELA[[#This Row],[Literacy IPP]]='Writing Logic'!$E$26,"IPP",IF(OR(AP155="EAL",AQ155="EAL",AR155="EAL",AS155="EAL"),"EAL",IF(AP155='Writing Logic'!$A$10,AVERAGE(VLOOKUP(AQ155,'Writing Logic'!$A$3:$B$7,2,FALSE),VLOOKUP(AR155,'Writing Logic'!$A$3:$B$7,2,FALSE),VLOOKUP(AS155,'Writing Logic'!$A$3:$B$7,2,FALSE)),AVERAGE(VLOOKUP(AP155,'Writing Logic'!$A$3:$B$7,2,FALSE),VLOOKUP(AQ155,'Writing Logic'!$A$3:$B$7,2,FALSE),VLOOKUP(AR155,'Writing Logic'!$A$3:$B$7,2,FALSE),VLOOKUP(AS155,'Writing Logic'!$A$3:$B$7,2,FALSE))))),"Fill All 4")</f>
        <v>Fill All 4</v>
      </c>
      <c r="AU155" s="95" t="str">
        <f t="shared" si="14"/>
        <v/>
      </c>
    </row>
    <row r="156" spans="1:47" x14ac:dyDescent="0.25">
      <c r="A156" s="13"/>
      <c r="B156" s="13"/>
      <c r="C156" s="13"/>
      <c r="D156" s="13"/>
      <c r="E156" s="13"/>
      <c r="F156" s="13"/>
      <c r="G156" s="13"/>
      <c r="H156" s="13"/>
      <c r="I156" s="13"/>
      <c r="J156" s="13"/>
      <c r="K156" s="183"/>
      <c r="L156" s="184"/>
      <c r="M156" s="120"/>
      <c r="N156" s="120"/>
      <c r="O156" s="120"/>
      <c r="P156" s="120"/>
      <c r="Q156" s="95" t="str">
        <f>IFERROR(IF(YES_Writing_ELA[[#This Row],[Literacy IPP]]='Writing Logic'!$E$26,"IPP",IF(OR(M156="EAL",N156="EAL",O156="EAL",P156="EAL"),"EAL",IF(M156='Writing Logic'!$A$10,AVERAGE(VLOOKUP(N156,'Writing Logic'!$A$3:$B$7,2,FALSE),VLOOKUP(O156,'Writing Logic'!$A$3:$B$7,2,FALSE),VLOOKUP(P156,'Writing Logic'!$A$3:$B$7,2,FALSE)),AVERAGE(VLOOKUP(M156,'Writing Logic'!$A$3:$B$7,2,FALSE),VLOOKUP(N156,'Writing Logic'!$A$3:$B$7,2,FALSE),VLOOKUP(O156,'Writing Logic'!$A$3:$B$7,2,FALSE),VLOOKUP(P156,'Writing Logic'!$A$3:$B$7,2,FALSE))))),"Fill All 4")</f>
        <v>Fill All 4</v>
      </c>
      <c r="R156" s="120"/>
      <c r="S156" s="120"/>
      <c r="T156" s="120"/>
      <c r="U156" s="120"/>
      <c r="V156" s="95" t="str">
        <f>IFERROR(IF(YES_Writing_ELA[[#This Row],[Literacy IPP]]='Writing Logic'!$E$26,"IPP",IF(OR(R156="EAL",S156="EAL",T156="EAL",U156="EAL"),"EAL",IF(R156='Writing Logic'!$A$10,AVERAGE(VLOOKUP(S156,'Writing Logic'!$A$3:$B$7,2,FALSE),VLOOKUP(T156,'Writing Logic'!$A$3:$B$7,2,FALSE),VLOOKUP(U156,'Writing Logic'!$A$3:$B$7,2,FALSE)),AVERAGE(VLOOKUP(R156,'Writing Logic'!$A$3:$B$7,2,FALSE),VLOOKUP(S156,'Writing Logic'!$A$3:$B$7,2,FALSE),VLOOKUP(T156,'Writing Logic'!$A$3:$B$7,2,FALSE),VLOOKUP(U156,'Writing Logic'!$A$3:$B$7,2,FALSE))))),"Fill All 4")</f>
        <v>Fill All 4</v>
      </c>
      <c r="W156" s="95" t="str">
        <f t="shared" si="10"/>
        <v/>
      </c>
      <c r="X156" s="120"/>
      <c r="Y156" s="120"/>
      <c r="Z156" s="120"/>
      <c r="AA156" s="120"/>
      <c r="AB156" s="95" t="str">
        <f>IFERROR(IF(YES_Writing_ELA[[#This Row],[Literacy IPP]]='Writing Logic'!$E$26,"IPP",IF(OR(X156="EAL",Y156="EAL",Z156="EAL",AA156="EAL"),"EAL",IF(X156='Writing Logic'!$A$10,AVERAGE(VLOOKUP(Y156,'Writing Logic'!$A$3:$B$7,2,FALSE),VLOOKUP(Z156,'Writing Logic'!$A$3:$B$7,2,FALSE),VLOOKUP(AA156,'Writing Logic'!$A$3:$B$7,2,FALSE)),AVERAGE(VLOOKUP(X156,'Writing Logic'!$A$3:$B$7,2,FALSE),VLOOKUP(Y156,'Writing Logic'!$A$3:$B$7,2,FALSE),VLOOKUP(Z156,'Writing Logic'!$A$3:$B$7,2,FALSE),VLOOKUP(AA156,'Writing Logic'!$A$3:$B$7,2,FALSE))))),"Fill All 4")</f>
        <v>Fill All 4</v>
      </c>
      <c r="AC156" s="95" t="str">
        <f t="shared" si="11"/>
        <v/>
      </c>
      <c r="AD156" s="120"/>
      <c r="AE156" s="120"/>
      <c r="AF156" s="120"/>
      <c r="AG156" s="120"/>
      <c r="AH156" s="95" t="str">
        <f>IFERROR(IF(YES_Writing_ELA[[#This Row],[Literacy IPP]]='Writing Logic'!$E$26,"IPP",IF(OR(AD156="EAL",AE156="EAL",AF156="EAL",AG156="EAL"),"EAL",IF(AD156='Writing Logic'!$A$10,AVERAGE(VLOOKUP(AE156,'Writing Logic'!$A$3:$B$7,2,FALSE),VLOOKUP(AF156,'Writing Logic'!$A$3:$B$7,2,FALSE),VLOOKUP(AG156,'Writing Logic'!$A$3:$B$7,2,FALSE)),AVERAGE(VLOOKUP(AD156,'Writing Logic'!$A$3:$B$7,2,FALSE),VLOOKUP(AE156,'Writing Logic'!$A$3:$B$7,2,FALSE),VLOOKUP(AF156,'Writing Logic'!$A$3:$B$7,2,FALSE),VLOOKUP(AG156,'Writing Logic'!$A$3:$B$7,2,FALSE))))),"Fill All 4")</f>
        <v>Fill All 4</v>
      </c>
      <c r="AI156" s="95" t="str">
        <f t="shared" si="12"/>
        <v/>
      </c>
      <c r="AJ156" s="183"/>
      <c r="AK156" s="120"/>
      <c r="AL156" s="120"/>
      <c r="AM156" s="120"/>
      <c r="AN156" s="95" t="str">
        <f>IFERROR(IF(YES_Writing_ELA[[#This Row],[Literacy IPP]]='Writing Logic'!$E$26,"IPP",IF(OR(AJ156="EAL",AK156="EAL",AL156="EAL",AM156="EAL"),"EAL",IF(AJ156='Writing Logic'!$A$10,AVERAGE(VLOOKUP(AK156,'Writing Logic'!$A$3:$B$7,2,FALSE),VLOOKUP(AL156,'Writing Logic'!$A$3:$B$7,2,FALSE),VLOOKUP(AM156,'Writing Logic'!$A$3:$B$7,2,FALSE)),AVERAGE(VLOOKUP(AJ156,'Writing Logic'!$A$3:$B$7,2,FALSE),VLOOKUP(AK156,'Writing Logic'!$A$3:$B$7,2,FALSE),VLOOKUP(AL156,'Writing Logic'!$A$3:$B$7,2,FALSE),VLOOKUP(AM156,'Writing Logic'!$A$3:$B$7,2,FALSE))))),"Fill All 4")</f>
        <v>Fill All 4</v>
      </c>
      <c r="AO156" s="95" t="str">
        <f t="shared" si="13"/>
        <v/>
      </c>
      <c r="AP156" s="120"/>
      <c r="AQ156" s="120"/>
      <c r="AR156" s="120"/>
      <c r="AS156" s="120"/>
      <c r="AT156" s="95" t="str">
        <f>IFERROR(IF(YES_Writing_ELA[[#This Row],[Literacy IPP]]='Writing Logic'!$E$26,"IPP",IF(OR(AP156="EAL",AQ156="EAL",AR156="EAL",AS156="EAL"),"EAL",IF(AP156='Writing Logic'!$A$10,AVERAGE(VLOOKUP(AQ156,'Writing Logic'!$A$3:$B$7,2,FALSE),VLOOKUP(AR156,'Writing Logic'!$A$3:$B$7,2,FALSE),VLOOKUP(AS156,'Writing Logic'!$A$3:$B$7,2,FALSE)),AVERAGE(VLOOKUP(AP156,'Writing Logic'!$A$3:$B$7,2,FALSE),VLOOKUP(AQ156,'Writing Logic'!$A$3:$B$7,2,FALSE),VLOOKUP(AR156,'Writing Logic'!$A$3:$B$7,2,FALSE),VLOOKUP(AS156,'Writing Logic'!$A$3:$B$7,2,FALSE))))),"Fill All 4")</f>
        <v>Fill All 4</v>
      </c>
      <c r="AU156" s="95" t="str">
        <f t="shared" si="14"/>
        <v/>
      </c>
    </row>
    <row r="157" spans="1:47" x14ac:dyDescent="0.25">
      <c r="A157" s="13"/>
      <c r="B157" s="13"/>
      <c r="C157" s="13"/>
      <c r="D157" s="13"/>
      <c r="E157" s="13"/>
      <c r="F157" s="13"/>
      <c r="G157" s="13"/>
      <c r="H157" s="13"/>
      <c r="I157" s="13"/>
      <c r="J157" s="13"/>
      <c r="K157" s="183"/>
      <c r="L157" s="184"/>
      <c r="M157" s="120"/>
      <c r="N157" s="120"/>
      <c r="O157" s="120"/>
      <c r="P157" s="120"/>
      <c r="Q157" s="95" t="str">
        <f>IFERROR(IF(YES_Writing_ELA[[#This Row],[Literacy IPP]]='Writing Logic'!$E$26,"IPP",IF(OR(M157="EAL",N157="EAL",O157="EAL",P157="EAL"),"EAL",IF(M157='Writing Logic'!$A$10,AVERAGE(VLOOKUP(N157,'Writing Logic'!$A$3:$B$7,2,FALSE),VLOOKUP(O157,'Writing Logic'!$A$3:$B$7,2,FALSE),VLOOKUP(P157,'Writing Logic'!$A$3:$B$7,2,FALSE)),AVERAGE(VLOOKUP(M157,'Writing Logic'!$A$3:$B$7,2,FALSE),VLOOKUP(N157,'Writing Logic'!$A$3:$B$7,2,FALSE),VLOOKUP(O157,'Writing Logic'!$A$3:$B$7,2,FALSE),VLOOKUP(P157,'Writing Logic'!$A$3:$B$7,2,FALSE))))),"Fill All 4")</f>
        <v>Fill All 4</v>
      </c>
      <c r="R157" s="120"/>
      <c r="S157" s="120"/>
      <c r="T157" s="120"/>
      <c r="U157" s="120"/>
      <c r="V157" s="95" t="str">
        <f>IFERROR(IF(YES_Writing_ELA[[#This Row],[Literacy IPP]]='Writing Logic'!$E$26,"IPP",IF(OR(R157="EAL",S157="EAL",T157="EAL",U157="EAL"),"EAL",IF(R157='Writing Logic'!$A$10,AVERAGE(VLOOKUP(S157,'Writing Logic'!$A$3:$B$7,2,FALSE),VLOOKUP(T157,'Writing Logic'!$A$3:$B$7,2,FALSE),VLOOKUP(U157,'Writing Logic'!$A$3:$B$7,2,FALSE)),AVERAGE(VLOOKUP(R157,'Writing Logic'!$A$3:$B$7,2,FALSE),VLOOKUP(S157,'Writing Logic'!$A$3:$B$7,2,FALSE),VLOOKUP(T157,'Writing Logic'!$A$3:$B$7,2,FALSE),VLOOKUP(U157,'Writing Logic'!$A$3:$B$7,2,FALSE))))),"Fill All 4")</f>
        <v>Fill All 4</v>
      </c>
      <c r="W157" s="95" t="str">
        <f t="shared" si="10"/>
        <v/>
      </c>
      <c r="X157" s="120"/>
      <c r="Y157" s="120"/>
      <c r="Z157" s="120"/>
      <c r="AA157" s="120"/>
      <c r="AB157" s="95" t="str">
        <f>IFERROR(IF(YES_Writing_ELA[[#This Row],[Literacy IPP]]='Writing Logic'!$E$26,"IPP",IF(OR(X157="EAL",Y157="EAL",Z157="EAL",AA157="EAL"),"EAL",IF(X157='Writing Logic'!$A$10,AVERAGE(VLOOKUP(Y157,'Writing Logic'!$A$3:$B$7,2,FALSE),VLOOKUP(Z157,'Writing Logic'!$A$3:$B$7,2,FALSE),VLOOKUP(AA157,'Writing Logic'!$A$3:$B$7,2,FALSE)),AVERAGE(VLOOKUP(X157,'Writing Logic'!$A$3:$B$7,2,FALSE),VLOOKUP(Y157,'Writing Logic'!$A$3:$B$7,2,FALSE),VLOOKUP(Z157,'Writing Logic'!$A$3:$B$7,2,FALSE),VLOOKUP(AA157,'Writing Logic'!$A$3:$B$7,2,FALSE))))),"Fill All 4")</f>
        <v>Fill All 4</v>
      </c>
      <c r="AC157" s="95" t="str">
        <f t="shared" si="11"/>
        <v/>
      </c>
      <c r="AD157" s="120"/>
      <c r="AE157" s="120"/>
      <c r="AF157" s="120"/>
      <c r="AG157" s="120"/>
      <c r="AH157" s="95" t="str">
        <f>IFERROR(IF(YES_Writing_ELA[[#This Row],[Literacy IPP]]='Writing Logic'!$E$26,"IPP",IF(OR(AD157="EAL",AE157="EAL",AF157="EAL",AG157="EAL"),"EAL",IF(AD157='Writing Logic'!$A$10,AVERAGE(VLOOKUP(AE157,'Writing Logic'!$A$3:$B$7,2,FALSE),VLOOKUP(AF157,'Writing Logic'!$A$3:$B$7,2,FALSE),VLOOKUP(AG157,'Writing Logic'!$A$3:$B$7,2,FALSE)),AVERAGE(VLOOKUP(AD157,'Writing Logic'!$A$3:$B$7,2,FALSE),VLOOKUP(AE157,'Writing Logic'!$A$3:$B$7,2,FALSE),VLOOKUP(AF157,'Writing Logic'!$A$3:$B$7,2,FALSE),VLOOKUP(AG157,'Writing Logic'!$A$3:$B$7,2,FALSE))))),"Fill All 4")</f>
        <v>Fill All 4</v>
      </c>
      <c r="AI157" s="95" t="str">
        <f t="shared" si="12"/>
        <v/>
      </c>
      <c r="AJ157" s="183"/>
      <c r="AK157" s="120"/>
      <c r="AL157" s="120"/>
      <c r="AM157" s="120"/>
      <c r="AN157" s="95" t="str">
        <f>IFERROR(IF(YES_Writing_ELA[[#This Row],[Literacy IPP]]='Writing Logic'!$E$26,"IPP",IF(OR(AJ157="EAL",AK157="EAL",AL157="EAL",AM157="EAL"),"EAL",IF(AJ157='Writing Logic'!$A$10,AVERAGE(VLOOKUP(AK157,'Writing Logic'!$A$3:$B$7,2,FALSE),VLOOKUP(AL157,'Writing Logic'!$A$3:$B$7,2,FALSE),VLOOKUP(AM157,'Writing Logic'!$A$3:$B$7,2,FALSE)),AVERAGE(VLOOKUP(AJ157,'Writing Logic'!$A$3:$B$7,2,FALSE),VLOOKUP(AK157,'Writing Logic'!$A$3:$B$7,2,FALSE),VLOOKUP(AL157,'Writing Logic'!$A$3:$B$7,2,FALSE),VLOOKUP(AM157,'Writing Logic'!$A$3:$B$7,2,FALSE))))),"Fill All 4")</f>
        <v>Fill All 4</v>
      </c>
      <c r="AO157" s="95" t="str">
        <f t="shared" si="13"/>
        <v/>
      </c>
      <c r="AP157" s="120"/>
      <c r="AQ157" s="120"/>
      <c r="AR157" s="120"/>
      <c r="AS157" s="120"/>
      <c r="AT157" s="95" t="str">
        <f>IFERROR(IF(YES_Writing_ELA[[#This Row],[Literacy IPP]]='Writing Logic'!$E$26,"IPP",IF(OR(AP157="EAL",AQ157="EAL",AR157="EAL",AS157="EAL"),"EAL",IF(AP157='Writing Logic'!$A$10,AVERAGE(VLOOKUP(AQ157,'Writing Logic'!$A$3:$B$7,2,FALSE),VLOOKUP(AR157,'Writing Logic'!$A$3:$B$7,2,FALSE),VLOOKUP(AS157,'Writing Logic'!$A$3:$B$7,2,FALSE)),AVERAGE(VLOOKUP(AP157,'Writing Logic'!$A$3:$B$7,2,FALSE),VLOOKUP(AQ157,'Writing Logic'!$A$3:$B$7,2,FALSE),VLOOKUP(AR157,'Writing Logic'!$A$3:$B$7,2,FALSE),VLOOKUP(AS157,'Writing Logic'!$A$3:$B$7,2,FALSE))))),"Fill All 4")</f>
        <v>Fill All 4</v>
      </c>
      <c r="AU157" s="95" t="str">
        <f t="shared" si="14"/>
        <v/>
      </c>
    </row>
    <row r="158" spans="1:47" x14ac:dyDescent="0.25">
      <c r="A158" s="13"/>
      <c r="B158" s="13"/>
      <c r="C158" s="13"/>
      <c r="D158" s="13"/>
      <c r="E158" s="13"/>
      <c r="F158" s="13"/>
      <c r="G158" s="13"/>
      <c r="H158" s="13"/>
      <c r="I158" s="13"/>
      <c r="J158" s="13"/>
      <c r="K158" s="183"/>
      <c r="L158" s="184"/>
      <c r="M158" s="120"/>
      <c r="N158" s="120"/>
      <c r="O158" s="120"/>
      <c r="P158" s="120"/>
      <c r="Q158" s="95" t="str">
        <f>IFERROR(IF(YES_Writing_ELA[[#This Row],[Literacy IPP]]='Writing Logic'!$E$26,"IPP",IF(OR(M158="EAL",N158="EAL",O158="EAL",P158="EAL"),"EAL",IF(M158='Writing Logic'!$A$10,AVERAGE(VLOOKUP(N158,'Writing Logic'!$A$3:$B$7,2,FALSE),VLOOKUP(O158,'Writing Logic'!$A$3:$B$7,2,FALSE),VLOOKUP(P158,'Writing Logic'!$A$3:$B$7,2,FALSE)),AVERAGE(VLOOKUP(M158,'Writing Logic'!$A$3:$B$7,2,FALSE),VLOOKUP(N158,'Writing Logic'!$A$3:$B$7,2,FALSE),VLOOKUP(O158,'Writing Logic'!$A$3:$B$7,2,FALSE),VLOOKUP(P158,'Writing Logic'!$A$3:$B$7,2,FALSE))))),"Fill All 4")</f>
        <v>Fill All 4</v>
      </c>
      <c r="R158" s="120"/>
      <c r="S158" s="120"/>
      <c r="T158" s="120"/>
      <c r="U158" s="120"/>
      <c r="V158" s="95" t="str">
        <f>IFERROR(IF(YES_Writing_ELA[[#This Row],[Literacy IPP]]='Writing Logic'!$E$26,"IPP",IF(OR(R158="EAL",S158="EAL",T158="EAL",U158="EAL"),"EAL",IF(R158='Writing Logic'!$A$10,AVERAGE(VLOOKUP(S158,'Writing Logic'!$A$3:$B$7,2,FALSE),VLOOKUP(T158,'Writing Logic'!$A$3:$B$7,2,FALSE),VLOOKUP(U158,'Writing Logic'!$A$3:$B$7,2,FALSE)),AVERAGE(VLOOKUP(R158,'Writing Logic'!$A$3:$B$7,2,FALSE),VLOOKUP(S158,'Writing Logic'!$A$3:$B$7,2,FALSE),VLOOKUP(T158,'Writing Logic'!$A$3:$B$7,2,FALSE),VLOOKUP(U158,'Writing Logic'!$A$3:$B$7,2,FALSE))))),"Fill All 4")</f>
        <v>Fill All 4</v>
      </c>
      <c r="W158" s="95" t="str">
        <f t="shared" si="10"/>
        <v/>
      </c>
      <c r="X158" s="120"/>
      <c r="Y158" s="120"/>
      <c r="Z158" s="120"/>
      <c r="AA158" s="120"/>
      <c r="AB158" s="95" t="str">
        <f>IFERROR(IF(YES_Writing_ELA[[#This Row],[Literacy IPP]]='Writing Logic'!$E$26,"IPP",IF(OR(X158="EAL",Y158="EAL",Z158="EAL",AA158="EAL"),"EAL",IF(X158='Writing Logic'!$A$10,AVERAGE(VLOOKUP(Y158,'Writing Logic'!$A$3:$B$7,2,FALSE),VLOOKUP(Z158,'Writing Logic'!$A$3:$B$7,2,FALSE),VLOOKUP(AA158,'Writing Logic'!$A$3:$B$7,2,FALSE)),AVERAGE(VLOOKUP(X158,'Writing Logic'!$A$3:$B$7,2,FALSE),VLOOKUP(Y158,'Writing Logic'!$A$3:$B$7,2,FALSE),VLOOKUP(Z158,'Writing Logic'!$A$3:$B$7,2,FALSE),VLOOKUP(AA158,'Writing Logic'!$A$3:$B$7,2,FALSE))))),"Fill All 4")</f>
        <v>Fill All 4</v>
      </c>
      <c r="AC158" s="95" t="str">
        <f t="shared" si="11"/>
        <v/>
      </c>
      <c r="AD158" s="120"/>
      <c r="AE158" s="120"/>
      <c r="AF158" s="120"/>
      <c r="AG158" s="120"/>
      <c r="AH158" s="95" t="str">
        <f>IFERROR(IF(YES_Writing_ELA[[#This Row],[Literacy IPP]]='Writing Logic'!$E$26,"IPP",IF(OR(AD158="EAL",AE158="EAL",AF158="EAL",AG158="EAL"),"EAL",IF(AD158='Writing Logic'!$A$10,AVERAGE(VLOOKUP(AE158,'Writing Logic'!$A$3:$B$7,2,FALSE),VLOOKUP(AF158,'Writing Logic'!$A$3:$B$7,2,FALSE),VLOOKUP(AG158,'Writing Logic'!$A$3:$B$7,2,FALSE)),AVERAGE(VLOOKUP(AD158,'Writing Logic'!$A$3:$B$7,2,FALSE),VLOOKUP(AE158,'Writing Logic'!$A$3:$B$7,2,FALSE),VLOOKUP(AF158,'Writing Logic'!$A$3:$B$7,2,FALSE),VLOOKUP(AG158,'Writing Logic'!$A$3:$B$7,2,FALSE))))),"Fill All 4")</f>
        <v>Fill All 4</v>
      </c>
      <c r="AI158" s="95" t="str">
        <f t="shared" si="12"/>
        <v/>
      </c>
      <c r="AJ158" s="183"/>
      <c r="AK158" s="120"/>
      <c r="AL158" s="120"/>
      <c r="AM158" s="120"/>
      <c r="AN158" s="95" t="str">
        <f>IFERROR(IF(YES_Writing_ELA[[#This Row],[Literacy IPP]]='Writing Logic'!$E$26,"IPP",IF(OR(AJ158="EAL",AK158="EAL",AL158="EAL",AM158="EAL"),"EAL",IF(AJ158='Writing Logic'!$A$10,AVERAGE(VLOOKUP(AK158,'Writing Logic'!$A$3:$B$7,2,FALSE),VLOOKUP(AL158,'Writing Logic'!$A$3:$B$7,2,FALSE),VLOOKUP(AM158,'Writing Logic'!$A$3:$B$7,2,FALSE)),AVERAGE(VLOOKUP(AJ158,'Writing Logic'!$A$3:$B$7,2,FALSE),VLOOKUP(AK158,'Writing Logic'!$A$3:$B$7,2,FALSE),VLOOKUP(AL158,'Writing Logic'!$A$3:$B$7,2,FALSE),VLOOKUP(AM158,'Writing Logic'!$A$3:$B$7,2,FALSE))))),"Fill All 4")</f>
        <v>Fill All 4</v>
      </c>
      <c r="AO158" s="95" t="str">
        <f t="shared" si="13"/>
        <v/>
      </c>
      <c r="AP158" s="120"/>
      <c r="AQ158" s="120"/>
      <c r="AR158" s="120"/>
      <c r="AS158" s="120"/>
      <c r="AT158" s="95" t="str">
        <f>IFERROR(IF(YES_Writing_ELA[[#This Row],[Literacy IPP]]='Writing Logic'!$E$26,"IPP",IF(OR(AP158="EAL",AQ158="EAL",AR158="EAL",AS158="EAL"),"EAL",IF(AP158='Writing Logic'!$A$10,AVERAGE(VLOOKUP(AQ158,'Writing Logic'!$A$3:$B$7,2,FALSE),VLOOKUP(AR158,'Writing Logic'!$A$3:$B$7,2,FALSE),VLOOKUP(AS158,'Writing Logic'!$A$3:$B$7,2,FALSE)),AVERAGE(VLOOKUP(AP158,'Writing Logic'!$A$3:$B$7,2,FALSE),VLOOKUP(AQ158,'Writing Logic'!$A$3:$B$7,2,FALSE),VLOOKUP(AR158,'Writing Logic'!$A$3:$B$7,2,FALSE),VLOOKUP(AS158,'Writing Logic'!$A$3:$B$7,2,FALSE))))),"Fill All 4")</f>
        <v>Fill All 4</v>
      </c>
      <c r="AU158" s="95" t="str">
        <f t="shared" si="14"/>
        <v/>
      </c>
    </row>
    <row r="159" spans="1:47" x14ac:dyDescent="0.25">
      <c r="A159" s="13"/>
      <c r="B159" s="13"/>
      <c r="C159" s="13"/>
      <c r="D159" s="13"/>
      <c r="E159" s="13"/>
      <c r="F159" s="13"/>
      <c r="G159" s="13"/>
      <c r="H159" s="13"/>
      <c r="I159" s="13"/>
      <c r="J159" s="13"/>
      <c r="K159" s="183"/>
      <c r="L159" s="184"/>
      <c r="M159" s="120"/>
      <c r="N159" s="120"/>
      <c r="O159" s="120"/>
      <c r="P159" s="120"/>
      <c r="Q159" s="95" t="str">
        <f>IFERROR(IF(YES_Writing_ELA[[#This Row],[Literacy IPP]]='Writing Logic'!$E$26,"IPP",IF(OR(M159="EAL",N159="EAL",O159="EAL",P159="EAL"),"EAL",IF(M159='Writing Logic'!$A$10,AVERAGE(VLOOKUP(N159,'Writing Logic'!$A$3:$B$7,2,FALSE),VLOOKUP(O159,'Writing Logic'!$A$3:$B$7,2,FALSE),VLOOKUP(P159,'Writing Logic'!$A$3:$B$7,2,FALSE)),AVERAGE(VLOOKUP(M159,'Writing Logic'!$A$3:$B$7,2,FALSE),VLOOKUP(N159,'Writing Logic'!$A$3:$B$7,2,FALSE),VLOOKUP(O159,'Writing Logic'!$A$3:$B$7,2,FALSE),VLOOKUP(P159,'Writing Logic'!$A$3:$B$7,2,FALSE))))),"Fill All 4")</f>
        <v>Fill All 4</v>
      </c>
      <c r="R159" s="120"/>
      <c r="S159" s="120"/>
      <c r="T159" s="120"/>
      <c r="U159" s="120"/>
      <c r="V159" s="95" t="str">
        <f>IFERROR(IF(YES_Writing_ELA[[#This Row],[Literacy IPP]]='Writing Logic'!$E$26,"IPP",IF(OR(R159="EAL",S159="EAL",T159="EAL",U159="EAL"),"EAL",IF(R159='Writing Logic'!$A$10,AVERAGE(VLOOKUP(S159,'Writing Logic'!$A$3:$B$7,2,FALSE),VLOOKUP(T159,'Writing Logic'!$A$3:$B$7,2,FALSE),VLOOKUP(U159,'Writing Logic'!$A$3:$B$7,2,FALSE)),AVERAGE(VLOOKUP(R159,'Writing Logic'!$A$3:$B$7,2,FALSE),VLOOKUP(S159,'Writing Logic'!$A$3:$B$7,2,FALSE),VLOOKUP(T159,'Writing Logic'!$A$3:$B$7,2,FALSE),VLOOKUP(U159,'Writing Logic'!$A$3:$B$7,2,FALSE))))),"Fill All 4")</f>
        <v>Fill All 4</v>
      </c>
      <c r="W159" s="95" t="str">
        <f t="shared" si="10"/>
        <v/>
      </c>
      <c r="X159" s="120"/>
      <c r="Y159" s="120"/>
      <c r="Z159" s="120"/>
      <c r="AA159" s="120"/>
      <c r="AB159" s="95" t="str">
        <f>IFERROR(IF(YES_Writing_ELA[[#This Row],[Literacy IPP]]='Writing Logic'!$E$26,"IPP",IF(OR(X159="EAL",Y159="EAL",Z159="EAL",AA159="EAL"),"EAL",IF(X159='Writing Logic'!$A$10,AVERAGE(VLOOKUP(Y159,'Writing Logic'!$A$3:$B$7,2,FALSE),VLOOKUP(Z159,'Writing Logic'!$A$3:$B$7,2,FALSE),VLOOKUP(AA159,'Writing Logic'!$A$3:$B$7,2,FALSE)),AVERAGE(VLOOKUP(X159,'Writing Logic'!$A$3:$B$7,2,FALSE),VLOOKUP(Y159,'Writing Logic'!$A$3:$B$7,2,FALSE),VLOOKUP(Z159,'Writing Logic'!$A$3:$B$7,2,FALSE),VLOOKUP(AA159,'Writing Logic'!$A$3:$B$7,2,FALSE))))),"Fill All 4")</f>
        <v>Fill All 4</v>
      </c>
      <c r="AC159" s="95" t="str">
        <f t="shared" si="11"/>
        <v/>
      </c>
      <c r="AD159" s="120"/>
      <c r="AE159" s="120"/>
      <c r="AF159" s="120"/>
      <c r="AG159" s="120"/>
      <c r="AH159" s="95" t="str">
        <f>IFERROR(IF(YES_Writing_ELA[[#This Row],[Literacy IPP]]='Writing Logic'!$E$26,"IPP",IF(OR(AD159="EAL",AE159="EAL",AF159="EAL",AG159="EAL"),"EAL",IF(AD159='Writing Logic'!$A$10,AVERAGE(VLOOKUP(AE159,'Writing Logic'!$A$3:$B$7,2,FALSE),VLOOKUP(AF159,'Writing Logic'!$A$3:$B$7,2,FALSE),VLOOKUP(AG159,'Writing Logic'!$A$3:$B$7,2,FALSE)),AVERAGE(VLOOKUP(AD159,'Writing Logic'!$A$3:$B$7,2,FALSE),VLOOKUP(AE159,'Writing Logic'!$A$3:$B$7,2,FALSE),VLOOKUP(AF159,'Writing Logic'!$A$3:$B$7,2,FALSE),VLOOKUP(AG159,'Writing Logic'!$A$3:$B$7,2,FALSE))))),"Fill All 4")</f>
        <v>Fill All 4</v>
      </c>
      <c r="AI159" s="95" t="str">
        <f t="shared" si="12"/>
        <v/>
      </c>
      <c r="AJ159" s="183"/>
      <c r="AK159" s="120"/>
      <c r="AL159" s="120"/>
      <c r="AM159" s="120"/>
      <c r="AN159" s="95" t="str">
        <f>IFERROR(IF(YES_Writing_ELA[[#This Row],[Literacy IPP]]='Writing Logic'!$E$26,"IPP",IF(OR(AJ159="EAL",AK159="EAL",AL159="EAL",AM159="EAL"),"EAL",IF(AJ159='Writing Logic'!$A$10,AVERAGE(VLOOKUP(AK159,'Writing Logic'!$A$3:$B$7,2,FALSE),VLOOKUP(AL159,'Writing Logic'!$A$3:$B$7,2,FALSE),VLOOKUP(AM159,'Writing Logic'!$A$3:$B$7,2,FALSE)),AVERAGE(VLOOKUP(AJ159,'Writing Logic'!$A$3:$B$7,2,FALSE),VLOOKUP(AK159,'Writing Logic'!$A$3:$B$7,2,FALSE),VLOOKUP(AL159,'Writing Logic'!$A$3:$B$7,2,FALSE),VLOOKUP(AM159,'Writing Logic'!$A$3:$B$7,2,FALSE))))),"Fill All 4")</f>
        <v>Fill All 4</v>
      </c>
      <c r="AO159" s="95" t="str">
        <f t="shared" si="13"/>
        <v/>
      </c>
      <c r="AP159" s="120"/>
      <c r="AQ159" s="120"/>
      <c r="AR159" s="120"/>
      <c r="AS159" s="120"/>
      <c r="AT159" s="95" t="str">
        <f>IFERROR(IF(YES_Writing_ELA[[#This Row],[Literacy IPP]]='Writing Logic'!$E$26,"IPP",IF(OR(AP159="EAL",AQ159="EAL",AR159="EAL",AS159="EAL"),"EAL",IF(AP159='Writing Logic'!$A$10,AVERAGE(VLOOKUP(AQ159,'Writing Logic'!$A$3:$B$7,2,FALSE),VLOOKUP(AR159,'Writing Logic'!$A$3:$B$7,2,FALSE),VLOOKUP(AS159,'Writing Logic'!$A$3:$B$7,2,FALSE)),AVERAGE(VLOOKUP(AP159,'Writing Logic'!$A$3:$B$7,2,FALSE),VLOOKUP(AQ159,'Writing Logic'!$A$3:$B$7,2,FALSE),VLOOKUP(AR159,'Writing Logic'!$A$3:$B$7,2,FALSE),VLOOKUP(AS159,'Writing Logic'!$A$3:$B$7,2,FALSE))))),"Fill All 4")</f>
        <v>Fill All 4</v>
      </c>
      <c r="AU159" s="95" t="str">
        <f t="shared" si="14"/>
        <v/>
      </c>
    </row>
    <row r="160" spans="1:47" x14ac:dyDescent="0.25">
      <c r="A160" s="13"/>
      <c r="B160" s="13"/>
      <c r="C160" s="13"/>
      <c r="D160" s="13"/>
      <c r="E160" s="13"/>
      <c r="F160" s="13"/>
      <c r="G160" s="13"/>
      <c r="H160" s="13"/>
      <c r="I160" s="13"/>
      <c r="J160" s="13"/>
      <c r="K160" s="183"/>
      <c r="L160" s="184"/>
      <c r="M160" s="120"/>
      <c r="N160" s="120"/>
      <c r="O160" s="120"/>
      <c r="P160" s="120"/>
      <c r="Q160" s="95" t="str">
        <f>IFERROR(IF(YES_Writing_ELA[[#This Row],[Literacy IPP]]='Writing Logic'!$E$26,"IPP",IF(OR(M160="EAL",N160="EAL",O160="EAL",P160="EAL"),"EAL",IF(M160='Writing Logic'!$A$10,AVERAGE(VLOOKUP(N160,'Writing Logic'!$A$3:$B$7,2,FALSE),VLOOKUP(O160,'Writing Logic'!$A$3:$B$7,2,FALSE),VLOOKUP(P160,'Writing Logic'!$A$3:$B$7,2,FALSE)),AVERAGE(VLOOKUP(M160,'Writing Logic'!$A$3:$B$7,2,FALSE),VLOOKUP(N160,'Writing Logic'!$A$3:$B$7,2,FALSE),VLOOKUP(O160,'Writing Logic'!$A$3:$B$7,2,FALSE),VLOOKUP(P160,'Writing Logic'!$A$3:$B$7,2,FALSE))))),"Fill All 4")</f>
        <v>Fill All 4</v>
      </c>
      <c r="R160" s="120"/>
      <c r="S160" s="120"/>
      <c r="T160" s="120"/>
      <c r="U160" s="120"/>
      <c r="V160" s="95" t="str">
        <f>IFERROR(IF(YES_Writing_ELA[[#This Row],[Literacy IPP]]='Writing Logic'!$E$26,"IPP",IF(OR(R160="EAL",S160="EAL",T160="EAL",U160="EAL"),"EAL",IF(R160='Writing Logic'!$A$10,AVERAGE(VLOOKUP(S160,'Writing Logic'!$A$3:$B$7,2,FALSE),VLOOKUP(T160,'Writing Logic'!$A$3:$B$7,2,FALSE),VLOOKUP(U160,'Writing Logic'!$A$3:$B$7,2,FALSE)),AVERAGE(VLOOKUP(R160,'Writing Logic'!$A$3:$B$7,2,FALSE),VLOOKUP(S160,'Writing Logic'!$A$3:$B$7,2,FALSE),VLOOKUP(T160,'Writing Logic'!$A$3:$B$7,2,FALSE),VLOOKUP(U160,'Writing Logic'!$A$3:$B$7,2,FALSE))))),"Fill All 4")</f>
        <v>Fill All 4</v>
      </c>
      <c r="W160" s="95" t="str">
        <f t="shared" si="10"/>
        <v/>
      </c>
      <c r="X160" s="120"/>
      <c r="Y160" s="120"/>
      <c r="Z160" s="120"/>
      <c r="AA160" s="120"/>
      <c r="AB160" s="95" t="str">
        <f>IFERROR(IF(YES_Writing_ELA[[#This Row],[Literacy IPP]]='Writing Logic'!$E$26,"IPP",IF(OR(X160="EAL",Y160="EAL",Z160="EAL",AA160="EAL"),"EAL",IF(X160='Writing Logic'!$A$10,AVERAGE(VLOOKUP(Y160,'Writing Logic'!$A$3:$B$7,2,FALSE),VLOOKUP(Z160,'Writing Logic'!$A$3:$B$7,2,FALSE),VLOOKUP(AA160,'Writing Logic'!$A$3:$B$7,2,FALSE)),AVERAGE(VLOOKUP(X160,'Writing Logic'!$A$3:$B$7,2,FALSE),VLOOKUP(Y160,'Writing Logic'!$A$3:$B$7,2,FALSE),VLOOKUP(Z160,'Writing Logic'!$A$3:$B$7,2,FALSE),VLOOKUP(AA160,'Writing Logic'!$A$3:$B$7,2,FALSE))))),"Fill All 4")</f>
        <v>Fill All 4</v>
      </c>
      <c r="AC160" s="95" t="str">
        <f t="shared" si="11"/>
        <v/>
      </c>
      <c r="AD160" s="120"/>
      <c r="AE160" s="120"/>
      <c r="AF160" s="120"/>
      <c r="AG160" s="120"/>
      <c r="AH160" s="95" t="str">
        <f>IFERROR(IF(YES_Writing_ELA[[#This Row],[Literacy IPP]]='Writing Logic'!$E$26,"IPP",IF(OR(AD160="EAL",AE160="EAL",AF160="EAL",AG160="EAL"),"EAL",IF(AD160='Writing Logic'!$A$10,AVERAGE(VLOOKUP(AE160,'Writing Logic'!$A$3:$B$7,2,FALSE),VLOOKUP(AF160,'Writing Logic'!$A$3:$B$7,2,FALSE),VLOOKUP(AG160,'Writing Logic'!$A$3:$B$7,2,FALSE)),AVERAGE(VLOOKUP(AD160,'Writing Logic'!$A$3:$B$7,2,FALSE),VLOOKUP(AE160,'Writing Logic'!$A$3:$B$7,2,FALSE),VLOOKUP(AF160,'Writing Logic'!$A$3:$B$7,2,FALSE),VLOOKUP(AG160,'Writing Logic'!$A$3:$B$7,2,FALSE))))),"Fill All 4")</f>
        <v>Fill All 4</v>
      </c>
      <c r="AI160" s="95" t="str">
        <f t="shared" si="12"/>
        <v/>
      </c>
      <c r="AJ160" s="183"/>
      <c r="AK160" s="120"/>
      <c r="AL160" s="120"/>
      <c r="AM160" s="120"/>
      <c r="AN160" s="95" t="str">
        <f>IFERROR(IF(YES_Writing_ELA[[#This Row],[Literacy IPP]]='Writing Logic'!$E$26,"IPP",IF(OR(AJ160="EAL",AK160="EAL",AL160="EAL",AM160="EAL"),"EAL",IF(AJ160='Writing Logic'!$A$10,AVERAGE(VLOOKUP(AK160,'Writing Logic'!$A$3:$B$7,2,FALSE),VLOOKUP(AL160,'Writing Logic'!$A$3:$B$7,2,FALSE),VLOOKUP(AM160,'Writing Logic'!$A$3:$B$7,2,FALSE)),AVERAGE(VLOOKUP(AJ160,'Writing Logic'!$A$3:$B$7,2,FALSE),VLOOKUP(AK160,'Writing Logic'!$A$3:$B$7,2,FALSE),VLOOKUP(AL160,'Writing Logic'!$A$3:$B$7,2,FALSE),VLOOKUP(AM160,'Writing Logic'!$A$3:$B$7,2,FALSE))))),"Fill All 4")</f>
        <v>Fill All 4</v>
      </c>
      <c r="AO160" s="95" t="str">
        <f t="shared" si="13"/>
        <v/>
      </c>
      <c r="AP160" s="120"/>
      <c r="AQ160" s="120"/>
      <c r="AR160" s="120"/>
      <c r="AS160" s="120"/>
      <c r="AT160" s="95" t="str">
        <f>IFERROR(IF(YES_Writing_ELA[[#This Row],[Literacy IPP]]='Writing Logic'!$E$26,"IPP",IF(OR(AP160="EAL",AQ160="EAL",AR160="EAL",AS160="EAL"),"EAL",IF(AP160='Writing Logic'!$A$10,AVERAGE(VLOOKUP(AQ160,'Writing Logic'!$A$3:$B$7,2,FALSE),VLOOKUP(AR160,'Writing Logic'!$A$3:$B$7,2,FALSE),VLOOKUP(AS160,'Writing Logic'!$A$3:$B$7,2,FALSE)),AVERAGE(VLOOKUP(AP160,'Writing Logic'!$A$3:$B$7,2,FALSE),VLOOKUP(AQ160,'Writing Logic'!$A$3:$B$7,2,FALSE),VLOOKUP(AR160,'Writing Logic'!$A$3:$B$7,2,FALSE),VLOOKUP(AS160,'Writing Logic'!$A$3:$B$7,2,FALSE))))),"Fill All 4")</f>
        <v>Fill All 4</v>
      </c>
      <c r="AU160" s="95" t="str">
        <f t="shared" si="14"/>
        <v/>
      </c>
    </row>
    <row r="161" spans="1:47" x14ac:dyDescent="0.25">
      <c r="A161" s="13"/>
      <c r="B161" s="13"/>
      <c r="C161" s="13"/>
      <c r="D161" s="13"/>
      <c r="E161" s="13"/>
      <c r="F161" s="13"/>
      <c r="G161" s="13"/>
      <c r="H161" s="13"/>
      <c r="I161" s="13"/>
      <c r="J161" s="13"/>
      <c r="K161" s="183"/>
      <c r="L161" s="184"/>
      <c r="M161" s="120"/>
      <c r="N161" s="120"/>
      <c r="O161" s="120"/>
      <c r="P161" s="120"/>
      <c r="Q161" s="95" t="str">
        <f>IFERROR(IF(YES_Writing_ELA[[#This Row],[Literacy IPP]]='Writing Logic'!$E$26,"IPP",IF(OR(M161="EAL",N161="EAL",O161="EAL",P161="EAL"),"EAL",IF(M161='Writing Logic'!$A$10,AVERAGE(VLOOKUP(N161,'Writing Logic'!$A$3:$B$7,2,FALSE),VLOOKUP(O161,'Writing Logic'!$A$3:$B$7,2,FALSE),VLOOKUP(P161,'Writing Logic'!$A$3:$B$7,2,FALSE)),AVERAGE(VLOOKUP(M161,'Writing Logic'!$A$3:$B$7,2,FALSE),VLOOKUP(N161,'Writing Logic'!$A$3:$B$7,2,FALSE),VLOOKUP(O161,'Writing Logic'!$A$3:$B$7,2,FALSE),VLOOKUP(P161,'Writing Logic'!$A$3:$B$7,2,FALSE))))),"Fill All 4")</f>
        <v>Fill All 4</v>
      </c>
      <c r="R161" s="120"/>
      <c r="S161" s="120"/>
      <c r="T161" s="120"/>
      <c r="U161" s="120"/>
      <c r="V161" s="95" t="str">
        <f>IFERROR(IF(YES_Writing_ELA[[#This Row],[Literacy IPP]]='Writing Logic'!$E$26,"IPP",IF(OR(R161="EAL",S161="EAL",T161="EAL",U161="EAL"),"EAL",IF(R161='Writing Logic'!$A$10,AVERAGE(VLOOKUP(S161,'Writing Logic'!$A$3:$B$7,2,FALSE),VLOOKUP(T161,'Writing Logic'!$A$3:$B$7,2,FALSE),VLOOKUP(U161,'Writing Logic'!$A$3:$B$7,2,FALSE)),AVERAGE(VLOOKUP(R161,'Writing Logic'!$A$3:$B$7,2,FALSE),VLOOKUP(S161,'Writing Logic'!$A$3:$B$7,2,FALSE),VLOOKUP(T161,'Writing Logic'!$A$3:$B$7,2,FALSE),VLOOKUP(U161,'Writing Logic'!$A$3:$B$7,2,FALSE))))),"Fill All 4")</f>
        <v>Fill All 4</v>
      </c>
      <c r="W161" s="95" t="str">
        <f t="shared" si="10"/>
        <v/>
      </c>
      <c r="X161" s="120"/>
      <c r="Y161" s="120"/>
      <c r="Z161" s="120"/>
      <c r="AA161" s="120"/>
      <c r="AB161" s="95" t="str">
        <f>IFERROR(IF(YES_Writing_ELA[[#This Row],[Literacy IPP]]='Writing Logic'!$E$26,"IPP",IF(OR(X161="EAL",Y161="EAL",Z161="EAL",AA161="EAL"),"EAL",IF(X161='Writing Logic'!$A$10,AVERAGE(VLOOKUP(Y161,'Writing Logic'!$A$3:$B$7,2,FALSE),VLOOKUP(Z161,'Writing Logic'!$A$3:$B$7,2,FALSE),VLOOKUP(AA161,'Writing Logic'!$A$3:$B$7,2,FALSE)),AVERAGE(VLOOKUP(X161,'Writing Logic'!$A$3:$B$7,2,FALSE),VLOOKUP(Y161,'Writing Logic'!$A$3:$B$7,2,FALSE),VLOOKUP(Z161,'Writing Logic'!$A$3:$B$7,2,FALSE),VLOOKUP(AA161,'Writing Logic'!$A$3:$B$7,2,FALSE))))),"Fill All 4")</f>
        <v>Fill All 4</v>
      </c>
      <c r="AC161" s="95" t="str">
        <f t="shared" si="11"/>
        <v/>
      </c>
      <c r="AD161" s="120"/>
      <c r="AE161" s="120"/>
      <c r="AF161" s="120"/>
      <c r="AG161" s="120"/>
      <c r="AH161" s="95" t="str">
        <f>IFERROR(IF(YES_Writing_ELA[[#This Row],[Literacy IPP]]='Writing Logic'!$E$26,"IPP",IF(OR(AD161="EAL",AE161="EAL",AF161="EAL",AG161="EAL"),"EAL",IF(AD161='Writing Logic'!$A$10,AVERAGE(VLOOKUP(AE161,'Writing Logic'!$A$3:$B$7,2,FALSE),VLOOKUP(AF161,'Writing Logic'!$A$3:$B$7,2,FALSE),VLOOKUP(AG161,'Writing Logic'!$A$3:$B$7,2,FALSE)),AVERAGE(VLOOKUP(AD161,'Writing Logic'!$A$3:$B$7,2,FALSE),VLOOKUP(AE161,'Writing Logic'!$A$3:$B$7,2,FALSE),VLOOKUP(AF161,'Writing Logic'!$A$3:$B$7,2,FALSE),VLOOKUP(AG161,'Writing Logic'!$A$3:$B$7,2,FALSE))))),"Fill All 4")</f>
        <v>Fill All 4</v>
      </c>
      <c r="AI161" s="95" t="str">
        <f t="shared" si="12"/>
        <v/>
      </c>
      <c r="AJ161" s="183"/>
      <c r="AK161" s="120"/>
      <c r="AL161" s="120"/>
      <c r="AM161" s="120"/>
      <c r="AN161" s="95" t="str">
        <f>IFERROR(IF(YES_Writing_ELA[[#This Row],[Literacy IPP]]='Writing Logic'!$E$26,"IPP",IF(OR(AJ161="EAL",AK161="EAL",AL161="EAL",AM161="EAL"),"EAL",IF(AJ161='Writing Logic'!$A$10,AVERAGE(VLOOKUP(AK161,'Writing Logic'!$A$3:$B$7,2,FALSE),VLOOKUP(AL161,'Writing Logic'!$A$3:$B$7,2,FALSE),VLOOKUP(AM161,'Writing Logic'!$A$3:$B$7,2,FALSE)),AVERAGE(VLOOKUP(AJ161,'Writing Logic'!$A$3:$B$7,2,FALSE),VLOOKUP(AK161,'Writing Logic'!$A$3:$B$7,2,FALSE),VLOOKUP(AL161,'Writing Logic'!$A$3:$B$7,2,FALSE),VLOOKUP(AM161,'Writing Logic'!$A$3:$B$7,2,FALSE))))),"Fill All 4")</f>
        <v>Fill All 4</v>
      </c>
      <c r="AO161" s="95" t="str">
        <f t="shared" si="13"/>
        <v/>
      </c>
      <c r="AP161" s="120"/>
      <c r="AQ161" s="120"/>
      <c r="AR161" s="120"/>
      <c r="AS161" s="120"/>
      <c r="AT161" s="95" t="str">
        <f>IFERROR(IF(YES_Writing_ELA[[#This Row],[Literacy IPP]]='Writing Logic'!$E$26,"IPP",IF(OR(AP161="EAL",AQ161="EAL",AR161="EAL",AS161="EAL"),"EAL",IF(AP161='Writing Logic'!$A$10,AVERAGE(VLOOKUP(AQ161,'Writing Logic'!$A$3:$B$7,2,FALSE),VLOOKUP(AR161,'Writing Logic'!$A$3:$B$7,2,FALSE),VLOOKUP(AS161,'Writing Logic'!$A$3:$B$7,2,FALSE)),AVERAGE(VLOOKUP(AP161,'Writing Logic'!$A$3:$B$7,2,FALSE),VLOOKUP(AQ161,'Writing Logic'!$A$3:$B$7,2,FALSE),VLOOKUP(AR161,'Writing Logic'!$A$3:$B$7,2,FALSE),VLOOKUP(AS161,'Writing Logic'!$A$3:$B$7,2,FALSE))))),"Fill All 4")</f>
        <v>Fill All 4</v>
      </c>
      <c r="AU161" s="95" t="str">
        <f t="shared" si="14"/>
        <v/>
      </c>
    </row>
    <row r="162" spans="1:47" x14ac:dyDescent="0.25">
      <c r="A162" s="13"/>
      <c r="B162" s="13"/>
      <c r="C162" s="13"/>
      <c r="D162" s="13"/>
      <c r="E162" s="13"/>
      <c r="F162" s="13"/>
      <c r="G162" s="13"/>
      <c r="H162" s="13"/>
      <c r="I162" s="13"/>
      <c r="J162" s="13"/>
      <c r="K162" s="183"/>
      <c r="L162" s="184"/>
      <c r="M162" s="120"/>
      <c r="N162" s="120"/>
      <c r="O162" s="120"/>
      <c r="P162" s="120"/>
      <c r="Q162" s="95" t="str">
        <f>IFERROR(IF(YES_Writing_ELA[[#This Row],[Literacy IPP]]='Writing Logic'!$E$26,"IPP",IF(OR(M162="EAL",N162="EAL",O162="EAL",P162="EAL"),"EAL",IF(M162='Writing Logic'!$A$10,AVERAGE(VLOOKUP(N162,'Writing Logic'!$A$3:$B$7,2,FALSE),VLOOKUP(O162,'Writing Logic'!$A$3:$B$7,2,FALSE),VLOOKUP(P162,'Writing Logic'!$A$3:$B$7,2,FALSE)),AVERAGE(VLOOKUP(M162,'Writing Logic'!$A$3:$B$7,2,FALSE),VLOOKUP(N162,'Writing Logic'!$A$3:$B$7,2,FALSE),VLOOKUP(O162,'Writing Logic'!$A$3:$B$7,2,FALSE),VLOOKUP(P162,'Writing Logic'!$A$3:$B$7,2,FALSE))))),"Fill All 4")</f>
        <v>Fill All 4</v>
      </c>
      <c r="R162" s="120"/>
      <c r="S162" s="120"/>
      <c r="T162" s="120"/>
      <c r="U162" s="120"/>
      <c r="V162" s="95" t="str">
        <f>IFERROR(IF(YES_Writing_ELA[[#This Row],[Literacy IPP]]='Writing Logic'!$E$26,"IPP",IF(OR(R162="EAL",S162="EAL",T162="EAL",U162="EAL"),"EAL",IF(R162='Writing Logic'!$A$10,AVERAGE(VLOOKUP(S162,'Writing Logic'!$A$3:$B$7,2,FALSE),VLOOKUP(T162,'Writing Logic'!$A$3:$B$7,2,FALSE),VLOOKUP(U162,'Writing Logic'!$A$3:$B$7,2,FALSE)),AVERAGE(VLOOKUP(R162,'Writing Logic'!$A$3:$B$7,2,FALSE),VLOOKUP(S162,'Writing Logic'!$A$3:$B$7,2,FALSE),VLOOKUP(T162,'Writing Logic'!$A$3:$B$7,2,FALSE),VLOOKUP(U162,'Writing Logic'!$A$3:$B$7,2,FALSE))))),"Fill All 4")</f>
        <v>Fill All 4</v>
      </c>
      <c r="W162" s="95" t="str">
        <f t="shared" si="10"/>
        <v/>
      </c>
      <c r="X162" s="120"/>
      <c r="Y162" s="120"/>
      <c r="Z162" s="120"/>
      <c r="AA162" s="120"/>
      <c r="AB162" s="95" t="str">
        <f>IFERROR(IF(YES_Writing_ELA[[#This Row],[Literacy IPP]]='Writing Logic'!$E$26,"IPP",IF(OR(X162="EAL",Y162="EAL",Z162="EAL",AA162="EAL"),"EAL",IF(X162='Writing Logic'!$A$10,AVERAGE(VLOOKUP(Y162,'Writing Logic'!$A$3:$B$7,2,FALSE),VLOOKUP(Z162,'Writing Logic'!$A$3:$B$7,2,FALSE),VLOOKUP(AA162,'Writing Logic'!$A$3:$B$7,2,FALSE)),AVERAGE(VLOOKUP(X162,'Writing Logic'!$A$3:$B$7,2,FALSE),VLOOKUP(Y162,'Writing Logic'!$A$3:$B$7,2,FALSE),VLOOKUP(Z162,'Writing Logic'!$A$3:$B$7,2,FALSE),VLOOKUP(AA162,'Writing Logic'!$A$3:$B$7,2,FALSE))))),"Fill All 4")</f>
        <v>Fill All 4</v>
      </c>
      <c r="AC162" s="95" t="str">
        <f t="shared" si="11"/>
        <v/>
      </c>
      <c r="AD162" s="120"/>
      <c r="AE162" s="120"/>
      <c r="AF162" s="120"/>
      <c r="AG162" s="120"/>
      <c r="AH162" s="95" t="str">
        <f>IFERROR(IF(YES_Writing_ELA[[#This Row],[Literacy IPP]]='Writing Logic'!$E$26,"IPP",IF(OR(AD162="EAL",AE162="EAL",AF162="EAL",AG162="EAL"),"EAL",IF(AD162='Writing Logic'!$A$10,AVERAGE(VLOOKUP(AE162,'Writing Logic'!$A$3:$B$7,2,FALSE),VLOOKUP(AF162,'Writing Logic'!$A$3:$B$7,2,FALSE),VLOOKUP(AG162,'Writing Logic'!$A$3:$B$7,2,FALSE)),AVERAGE(VLOOKUP(AD162,'Writing Logic'!$A$3:$B$7,2,FALSE),VLOOKUP(AE162,'Writing Logic'!$A$3:$B$7,2,FALSE),VLOOKUP(AF162,'Writing Logic'!$A$3:$B$7,2,FALSE),VLOOKUP(AG162,'Writing Logic'!$A$3:$B$7,2,FALSE))))),"Fill All 4")</f>
        <v>Fill All 4</v>
      </c>
      <c r="AI162" s="95" t="str">
        <f t="shared" si="12"/>
        <v/>
      </c>
      <c r="AJ162" s="183"/>
      <c r="AK162" s="120"/>
      <c r="AL162" s="120"/>
      <c r="AM162" s="120"/>
      <c r="AN162" s="95" t="str">
        <f>IFERROR(IF(YES_Writing_ELA[[#This Row],[Literacy IPP]]='Writing Logic'!$E$26,"IPP",IF(OR(AJ162="EAL",AK162="EAL",AL162="EAL",AM162="EAL"),"EAL",IF(AJ162='Writing Logic'!$A$10,AVERAGE(VLOOKUP(AK162,'Writing Logic'!$A$3:$B$7,2,FALSE),VLOOKUP(AL162,'Writing Logic'!$A$3:$B$7,2,FALSE),VLOOKUP(AM162,'Writing Logic'!$A$3:$B$7,2,FALSE)),AVERAGE(VLOOKUP(AJ162,'Writing Logic'!$A$3:$B$7,2,FALSE),VLOOKUP(AK162,'Writing Logic'!$A$3:$B$7,2,FALSE),VLOOKUP(AL162,'Writing Logic'!$A$3:$B$7,2,FALSE),VLOOKUP(AM162,'Writing Logic'!$A$3:$B$7,2,FALSE))))),"Fill All 4")</f>
        <v>Fill All 4</v>
      </c>
      <c r="AO162" s="95" t="str">
        <f t="shared" si="13"/>
        <v/>
      </c>
      <c r="AP162" s="120"/>
      <c r="AQ162" s="120"/>
      <c r="AR162" s="120"/>
      <c r="AS162" s="120"/>
      <c r="AT162" s="95" t="str">
        <f>IFERROR(IF(YES_Writing_ELA[[#This Row],[Literacy IPP]]='Writing Logic'!$E$26,"IPP",IF(OR(AP162="EAL",AQ162="EAL",AR162="EAL",AS162="EAL"),"EAL",IF(AP162='Writing Logic'!$A$10,AVERAGE(VLOOKUP(AQ162,'Writing Logic'!$A$3:$B$7,2,FALSE),VLOOKUP(AR162,'Writing Logic'!$A$3:$B$7,2,FALSE),VLOOKUP(AS162,'Writing Logic'!$A$3:$B$7,2,FALSE)),AVERAGE(VLOOKUP(AP162,'Writing Logic'!$A$3:$B$7,2,FALSE),VLOOKUP(AQ162,'Writing Logic'!$A$3:$B$7,2,FALSE),VLOOKUP(AR162,'Writing Logic'!$A$3:$B$7,2,FALSE),VLOOKUP(AS162,'Writing Logic'!$A$3:$B$7,2,FALSE))))),"Fill All 4")</f>
        <v>Fill All 4</v>
      </c>
      <c r="AU162" s="95" t="str">
        <f t="shared" si="14"/>
        <v/>
      </c>
    </row>
    <row r="163" spans="1:47" x14ac:dyDescent="0.25">
      <c r="A163" s="13"/>
      <c r="B163" s="13"/>
      <c r="C163" s="13"/>
      <c r="D163" s="13"/>
      <c r="E163" s="13"/>
      <c r="F163" s="13"/>
      <c r="G163" s="13"/>
      <c r="H163" s="13"/>
      <c r="I163" s="13"/>
      <c r="J163" s="13"/>
      <c r="K163" s="183"/>
      <c r="L163" s="184"/>
      <c r="M163" s="120"/>
      <c r="N163" s="120"/>
      <c r="O163" s="120"/>
      <c r="P163" s="120"/>
      <c r="Q163" s="95" t="str">
        <f>IFERROR(IF(YES_Writing_ELA[[#This Row],[Literacy IPP]]='Writing Logic'!$E$26,"IPP",IF(OR(M163="EAL",N163="EAL",O163="EAL",P163="EAL"),"EAL",IF(M163='Writing Logic'!$A$10,AVERAGE(VLOOKUP(N163,'Writing Logic'!$A$3:$B$7,2,FALSE),VLOOKUP(O163,'Writing Logic'!$A$3:$B$7,2,FALSE),VLOOKUP(P163,'Writing Logic'!$A$3:$B$7,2,FALSE)),AVERAGE(VLOOKUP(M163,'Writing Logic'!$A$3:$B$7,2,FALSE),VLOOKUP(N163,'Writing Logic'!$A$3:$B$7,2,FALSE),VLOOKUP(O163,'Writing Logic'!$A$3:$B$7,2,FALSE),VLOOKUP(P163,'Writing Logic'!$A$3:$B$7,2,FALSE))))),"Fill All 4")</f>
        <v>Fill All 4</v>
      </c>
      <c r="R163" s="120"/>
      <c r="S163" s="120"/>
      <c r="T163" s="120"/>
      <c r="U163" s="120"/>
      <c r="V163" s="95" t="str">
        <f>IFERROR(IF(YES_Writing_ELA[[#This Row],[Literacy IPP]]='Writing Logic'!$E$26,"IPP",IF(OR(R163="EAL",S163="EAL",T163="EAL",U163="EAL"),"EAL",IF(R163='Writing Logic'!$A$10,AVERAGE(VLOOKUP(S163,'Writing Logic'!$A$3:$B$7,2,FALSE),VLOOKUP(T163,'Writing Logic'!$A$3:$B$7,2,FALSE),VLOOKUP(U163,'Writing Logic'!$A$3:$B$7,2,FALSE)),AVERAGE(VLOOKUP(R163,'Writing Logic'!$A$3:$B$7,2,FALSE),VLOOKUP(S163,'Writing Logic'!$A$3:$B$7,2,FALSE),VLOOKUP(T163,'Writing Logic'!$A$3:$B$7,2,FALSE),VLOOKUP(U163,'Writing Logic'!$A$3:$B$7,2,FALSE))))),"Fill All 4")</f>
        <v>Fill All 4</v>
      </c>
      <c r="W163" s="95" t="str">
        <f t="shared" si="10"/>
        <v/>
      </c>
      <c r="X163" s="120"/>
      <c r="Y163" s="120"/>
      <c r="Z163" s="120"/>
      <c r="AA163" s="120"/>
      <c r="AB163" s="95" t="str">
        <f>IFERROR(IF(YES_Writing_ELA[[#This Row],[Literacy IPP]]='Writing Logic'!$E$26,"IPP",IF(OR(X163="EAL",Y163="EAL",Z163="EAL",AA163="EAL"),"EAL",IF(X163='Writing Logic'!$A$10,AVERAGE(VLOOKUP(Y163,'Writing Logic'!$A$3:$B$7,2,FALSE),VLOOKUP(Z163,'Writing Logic'!$A$3:$B$7,2,FALSE),VLOOKUP(AA163,'Writing Logic'!$A$3:$B$7,2,FALSE)),AVERAGE(VLOOKUP(X163,'Writing Logic'!$A$3:$B$7,2,FALSE),VLOOKUP(Y163,'Writing Logic'!$A$3:$B$7,2,FALSE),VLOOKUP(Z163,'Writing Logic'!$A$3:$B$7,2,FALSE),VLOOKUP(AA163,'Writing Logic'!$A$3:$B$7,2,FALSE))))),"Fill All 4")</f>
        <v>Fill All 4</v>
      </c>
      <c r="AC163" s="95" t="str">
        <f t="shared" si="11"/>
        <v/>
      </c>
      <c r="AD163" s="120"/>
      <c r="AE163" s="120"/>
      <c r="AF163" s="120"/>
      <c r="AG163" s="120"/>
      <c r="AH163" s="95" t="str">
        <f>IFERROR(IF(YES_Writing_ELA[[#This Row],[Literacy IPP]]='Writing Logic'!$E$26,"IPP",IF(OR(AD163="EAL",AE163="EAL",AF163="EAL",AG163="EAL"),"EAL",IF(AD163='Writing Logic'!$A$10,AVERAGE(VLOOKUP(AE163,'Writing Logic'!$A$3:$B$7,2,FALSE),VLOOKUP(AF163,'Writing Logic'!$A$3:$B$7,2,FALSE),VLOOKUP(AG163,'Writing Logic'!$A$3:$B$7,2,FALSE)),AVERAGE(VLOOKUP(AD163,'Writing Logic'!$A$3:$B$7,2,FALSE),VLOOKUP(AE163,'Writing Logic'!$A$3:$B$7,2,FALSE),VLOOKUP(AF163,'Writing Logic'!$A$3:$B$7,2,FALSE),VLOOKUP(AG163,'Writing Logic'!$A$3:$B$7,2,FALSE))))),"Fill All 4")</f>
        <v>Fill All 4</v>
      </c>
      <c r="AI163" s="95" t="str">
        <f t="shared" si="12"/>
        <v/>
      </c>
      <c r="AJ163" s="183"/>
      <c r="AK163" s="120"/>
      <c r="AL163" s="120"/>
      <c r="AM163" s="120"/>
      <c r="AN163" s="95" t="str">
        <f>IFERROR(IF(YES_Writing_ELA[[#This Row],[Literacy IPP]]='Writing Logic'!$E$26,"IPP",IF(OR(AJ163="EAL",AK163="EAL",AL163="EAL",AM163="EAL"),"EAL",IF(AJ163='Writing Logic'!$A$10,AVERAGE(VLOOKUP(AK163,'Writing Logic'!$A$3:$B$7,2,FALSE),VLOOKUP(AL163,'Writing Logic'!$A$3:$B$7,2,FALSE),VLOOKUP(AM163,'Writing Logic'!$A$3:$B$7,2,FALSE)),AVERAGE(VLOOKUP(AJ163,'Writing Logic'!$A$3:$B$7,2,FALSE),VLOOKUP(AK163,'Writing Logic'!$A$3:$B$7,2,FALSE),VLOOKUP(AL163,'Writing Logic'!$A$3:$B$7,2,FALSE),VLOOKUP(AM163,'Writing Logic'!$A$3:$B$7,2,FALSE))))),"Fill All 4")</f>
        <v>Fill All 4</v>
      </c>
      <c r="AO163" s="95" t="str">
        <f t="shared" si="13"/>
        <v/>
      </c>
      <c r="AP163" s="120"/>
      <c r="AQ163" s="120"/>
      <c r="AR163" s="120"/>
      <c r="AS163" s="120"/>
      <c r="AT163" s="95" t="str">
        <f>IFERROR(IF(YES_Writing_ELA[[#This Row],[Literacy IPP]]='Writing Logic'!$E$26,"IPP",IF(OR(AP163="EAL",AQ163="EAL",AR163="EAL",AS163="EAL"),"EAL",IF(AP163='Writing Logic'!$A$10,AVERAGE(VLOOKUP(AQ163,'Writing Logic'!$A$3:$B$7,2,FALSE),VLOOKUP(AR163,'Writing Logic'!$A$3:$B$7,2,FALSE),VLOOKUP(AS163,'Writing Logic'!$A$3:$B$7,2,FALSE)),AVERAGE(VLOOKUP(AP163,'Writing Logic'!$A$3:$B$7,2,FALSE),VLOOKUP(AQ163,'Writing Logic'!$A$3:$B$7,2,FALSE),VLOOKUP(AR163,'Writing Logic'!$A$3:$B$7,2,FALSE),VLOOKUP(AS163,'Writing Logic'!$A$3:$B$7,2,FALSE))))),"Fill All 4")</f>
        <v>Fill All 4</v>
      </c>
      <c r="AU163" s="95" t="str">
        <f t="shared" si="14"/>
        <v/>
      </c>
    </row>
    <row r="164" spans="1:47" x14ac:dyDescent="0.25">
      <c r="A164" s="13"/>
      <c r="B164" s="13"/>
      <c r="C164" s="13"/>
      <c r="D164" s="13"/>
      <c r="E164" s="13"/>
      <c r="F164" s="13"/>
      <c r="G164" s="13"/>
      <c r="H164" s="13"/>
      <c r="I164" s="13"/>
      <c r="J164" s="13"/>
      <c r="K164" s="183"/>
      <c r="L164" s="184"/>
      <c r="M164" s="120"/>
      <c r="N164" s="120"/>
      <c r="O164" s="120"/>
      <c r="P164" s="120"/>
      <c r="Q164" s="95" t="str">
        <f>IFERROR(IF(YES_Writing_ELA[[#This Row],[Literacy IPP]]='Writing Logic'!$E$26,"IPP",IF(OR(M164="EAL",N164="EAL",O164="EAL",P164="EAL"),"EAL",IF(M164='Writing Logic'!$A$10,AVERAGE(VLOOKUP(N164,'Writing Logic'!$A$3:$B$7,2,FALSE),VLOOKUP(O164,'Writing Logic'!$A$3:$B$7,2,FALSE),VLOOKUP(P164,'Writing Logic'!$A$3:$B$7,2,FALSE)),AVERAGE(VLOOKUP(M164,'Writing Logic'!$A$3:$B$7,2,FALSE),VLOOKUP(N164,'Writing Logic'!$A$3:$B$7,2,FALSE),VLOOKUP(O164,'Writing Logic'!$A$3:$B$7,2,FALSE),VLOOKUP(P164,'Writing Logic'!$A$3:$B$7,2,FALSE))))),"Fill All 4")</f>
        <v>Fill All 4</v>
      </c>
      <c r="R164" s="120"/>
      <c r="S164" s="120"/>
      <c r="T164" s="120"/>
      <c r="U164" s="120"/>
      <c r="V164" s="95" t="str">
        <f>IFERROR(IF(YES_Writing_ELA[[#This Row],[Literacy IPP]]='Writing Logic'!$E$26,"IPP",IF(OR(R164="EAL",S164="EAL",T164="EAL",U164="EAL"),"EAL",IF(R164='Writing Logic'!$A$10,AVERAGE(VLOOKUP(S164,'Writing Logic'!$A$3:$B$7,2,FALSE),VLOOKUP(T164,'Writing Logic'!$A$3:$B$7,2,FALSE),VLOOKUP(U164,'Writing Logic'!$A$3:$B$7,2,FALSE)),AVERAGE(VLOOKUP(R164,'Writing Logic'!$A$3:$B$7,2,FALSE),VLOOKUP(S164,'Writing Logic'!$A$3:$B$7,2,FALSE),VLOOKUP(T164,'Writing Logic'!$A$3:$B$7,2,FALSE),VLOOKUP(U164,'Writing Logic'!$A$3:$B$7,2,FALSE))))),"Fill All 4")</f>
        <v>Fill All 4</v>
      </c>
      <c r="W164" s="95" t="str">
        <f t="shared" si="10"/>
        <v/>
      </c>
      <c r="X164" s="120"/>
      <c r="Y164" s="120"/>
      <c r="Z164" s="120"/>
      <c r="AA164" s="120"/>
      <c r="AB164" s="95" t="str">
        <f>IFERROR(IF(YES_Writing_ELA[[#This Row],[Literacy IPP]]='Writing Logic'!$E$26,"IPP",IF(OR(X164="EAL",Y164="EAL",Z164="EAL",AA164="EAL"),"EAL",IF(X164='Writing Logic'!$A$10,AVERAGE(VLOOKUP(Y164,'Writing Logic'!$A$3:$B$7,2,FALSE),VLOOKUP(Z164,'Writing Logic'!$A$3:$B$7,2,FALSE),VLOOKUP(AA164,'Writing Logic'!$A$3:$B$7,2,FALSE)),AVERAGE(VLOOKUP(X164,'Writing Logic'!$A$3:$B$7,2,FALSE),VLOOKUP(Y164,'Writing Logic'!$A$3:$B$7,2,FALSE),VLOOKUP(Z164,'Writing Logic'!$A$3:$B$7,2,FALSE),VLOOKUP(AA164,'Writing Logic'!$A$3:$B$7,2,FALSE))))),"Fill All 4")</f>
        <v>Fill All 4</v>
      </c>
      <c r="AC164" s="95" t="str">
        <f t="shared" si="11"/>
        <v/>
      </c>
      <c r="AD164" s="120"/>
      <c r="AE164" s="120"/>
      <c r="AF164" s="120"/>
      <c r="AG164" s="120"/>
      <c r="AH164" s="95" t="str">
        <f>IFERROR(IF(YES_Writing_ELA[[#This Row],[Literacy IPP]]='Writing Logic'!$E$26,"IPP",IF(OR(AD164="EAL",AE164="EAL",AF164="EAL",AG164="EAL"),"EAL",IF(AD164='Writing Logic'!$A$10,AVERAGE(VLOOKUP(AE164,'Writing Logic'!$A$3:$B$7,2,FALSE),VLOOKUP(AF164,'Writing Logic'!$A$3:$B$7,2,FALSE),VLOOKUP(AG164,'Writing Logic'!$A$3:$B$7,2,FALSE)),AVERAGE(VLOOKUP(AD164,'Writing Logic'!$A$3:$B$7,2,FALSE),VLOOKUP(AE164,'Writing Logic'!$A$3:$B$7,2,FALSE),VLOOKUP(AF164,'Writing Logic'!$A$3:$B$7,2,FALSE),VLOOKUP(AG164,'Writing Logic'!$A$3:$B$7,2,FALSE))))),"Fill All 4")</f>
        <v>Fill All 4</v>
      </c>
      <c r="AI164" s="95" t="str">
        <f t="shared" si="12"/>
        <v/>
      </c>
      <c r="AJ164" s="183"/>
      <c r="AK164" s="120"/>
      <c r="AL164" s="120"/>
      <c r="AM164" s="120"/>
      <c r="AN164" s="95" t="str">
        <f>IFERROR(IF(YES_Writing_ELA[[#This Row],[Literacy IPP]]='Writing Logic'!$E$26,"IPP",IF(OR(AJ164="EAL",AK164="EAL",AL164="EAL",AM164="EAL"),"EAL",IF(AJ164='Writing Logic'!$A$10,AVERAGE(VLOOKUP(AK164,'Writing Logic'!$A$3:$B$7,2,FALSE),VLOOKUP(AL164,'Writing Logic'!$A$3:$B$7,2,FALSE),VLOOKUP(AM164,'Writing Logic'!$A$3:$B$7,2,FALSE)),AVERAGE(VLOOKUP(AJ164,'Writing Logic'!$A$3:$B$7,2,FALSE),VLOOKUP(AK164,'Writing Logic'!$A$3:$B$7,2,FALSE),VLOOKUP(AL164,'Writing Logic'!$A$3:$B$7,2,FALSE),VLOOKUP(AM164,'Writing Logic'!$A$3:$B$7,2,FALSE))))),"Fill All 4")</f>
        <v>Fill All 4</v>
      </c>
      <c r="AO164" s="95" t="str">
        <f t="shared" si="13"/>
        <v/>
      </c>
      <c r="AP164" s="120"/>
      <c r="AQ164" s="120"/>
      <c r="AR164" s="120"/>
      <c r="AS164" s="120"/>
      <c r="AT164" s="95" t="str">
        <f>IFERROR(IF(YES_Writing_ELA[[#This Row],[Literacy IPP]]='Writing Logic'!$E$26,"IPP",IF(OR(AP164="EAL",AQ164="EAL",AR164="EAL",AS164="EAL"),"EAL",IF(AP164='Writing Logic'!$A$10,AVERAGE(VLOOKUP(AQ164,'Writing Logic'!$A$3:$B$7,2,FALSE),VLOOKUP(AR164,'Writing Logic'!$A$3:$B$7,2,FALSE),VLOOKUP(AS164,'Writing Logic'!$A$3:$B$7,2,FALSE)),AVERAGE(VLOOKUP(AP164,'Writing Logic'!$A$3:$B$7,2,FALSE),VLOOKUP(AQ164,'Writing Logic'!$A$3:$B$7,2,FALSE),VLOOKUP(AR164,'Writing Logic'!$A$3:$B$7,2,FALSE),VLOOKUP(AS164,'Writing Logic'!$A$3:$B$7,2,FALSE))))),"Fill All 4")</f>
        <v>Fill All 4</v>
      </c>
      <c r="AU164" s="95" t="str">
        <f t="shared" si="14"/>
        <v/>
      </c>
    </row>
    <row r="165" spans="1:47" x14ac:dyDescent="0.25">
      <c r="A165" s="245"/>
      <c r="B165" s="236"/>
      <c r="C165" s="13"/>
      <c r="D165" s="236"/>
      <c r="E165" s="49"/>
      <c r="F165" s="49"/>
      <c r="G165" s="49"/>
      <c r="H165" s="49"/>
      <c r="I165" s="49"/>
      <c r="J165" s="49"/>
      <c r="K165" s="183"/>
      <c r="L165" s="184"/>
      <c r="M165" s="120"/>
      <c r="N165" s="120"/>
      <c r="O165" s="120"/>
      <c r="P165" s="120"/>
      <c r="Q165" s="95" t="str">
        <f>IFERROR(IF(YES_Writing_ELA[[#This Row],[Literacy IPP]]='Writing Logic'!$E$26,"IPP",IF(OR(M165="EAL",N165="EAL",O165="EAL",P165="EAL"),"EAL",IF(M165='Writing Logic'!$A$10,AVERAGE(VLOOKUP(N165,'Writing Logic'!$A$3:$B$7,2,FALSE),VLOOKUP(O165,'Writing Logic'!$A$3:$B$7,2,FALSE),VLOOKUP(P165,'Writing Logic'!$A$3:$B$7,2,FALSE)),AVERAGE(VLOOKUP(M165,'Writing Logic'!$A$3:$B$7,2,FALSE),VLOOKUP(N165,'Writing Logic'!$A$3:$B$7,2,FALSE),VLOOKUP(O165,'Writing Logic'!$A$3:$B$7,2,FALSE),VLOOKUP(P165,'Writing Logic'!$A$3:$B$7,2,FALSE))))),"Fill All 4")</f>
        <v>Fill All 4</v>
      </c>
      <c r="R165" s="120"/>
      <c r="S165" s="120"/>
      <c r="T165" s="120"/>
      <c r="U165" s="120"/>
      <c r="V165" s="95" t="str">
        <f>IFERROR(IF(YES_Writing_ELA[[#This Row],[Literacy IPP]]='Writing Logic'!$E$26,"IPP",IF(OR(R165="EAL",S165="EAL",T165="EAL",U165="EAL"),"EAL",IF(R165='Writing Logic'!$A$10,AVERAGE(VLOOKUP(S165,'Writing Logic'!$A$3:$B$7,2,FALSE),VLOOKUP(T165,'Writing Logic'!$A$3:$B$7,2,FALSE),VLOOKUP(U165,'Writing Logic'!$A$3:$B$7,2,FALSE)),AVERAGE(VLOOKUP(R165,'Writing Logic'!$A$3:$B$7,2,FALSE),VLOOKUP(S165,'Writing Logic'!$A$3:$B$7,2,FALSE),VLOOKUP(T165,'Writing Logic'!$A$3:$B$7,2,FALSE),VLOOKUP(U165,'Writing Logic'!$A$3:$B$7,2,FALSE))))),"Fill All 4")</f>
        <v>Fill All 4</v>
      </c>
      <c r="W165" s="95" t="str">
        <f t="shared" si="10"/>
        <v/>
      </c>
      <c r="X165" s="120"/>
      <c r="Y165" s="120"/>
      <c r="Z165" s="120"/>
      <c r="AA165" s="120"/>
      <c r="AB165" s="95" t="str">
        <f>IFERROR(IF(YES_Writing_ELA[[#This Row],[Literacy IPP]]='Writing Logic'!$E$26,"IPP",IF(OR(X165="EAL",Y165="EAL",Z165="EAL",AA165="EAL"),"EAL",IF(X165='Writing Logic'!$A$10,AVERAGE(VLOOKUP(Y165,'Writing Logic'!$A$3:$B$7,2,FALSE),VLOOKUP(Z165,'Writing Logic'!$A$3:$B$7,2,FALSE),VLOOKUP(AA165,'Writing Logic'!$A$3:$B$7,2,FALSE)),AVERAGE(VLOOKUP(X165,'Writing Logic'!$A$3:$B$7,2,FALSE),VLOOKUP(Y165,'Writing Logic'!$A$3:$B$7,2,FALSE),VLOOKUP(Z165,'Writing Logic'!$A$3:$B$7,2,FALSE),VLOOKUP(AA165,'Writing Logic'!$A$3:$B$7,2,FALSE))))),"Fill All 4")</f>
        <v>Fill All 4</v>
      </c>
      <c r="AC165" s="95" t="str">
        <f t="shared" si="11"/>
        <v/>
      </c>
      <c r="AD165" s="120"/>
      <c r="AE165" s="120"/>
      <c r="AF165" s="120"/>
      <c r="AG165" s="120"/>
      <c r="AH165" s="95" t="str">
        <f>IFERROR(IF(YES_Writing_ELA[[#This Row],[Literacy IPP]]='Writing Logic'!$E$26,"IPP",IF(OR(AD165="EAL",AE165="EAL",AF165="EAL",AG165="EAL"),"EAL",IF(AD165='Writing Logic'!$A$10,AVERAGE(VLOOKUP(AE165,'Writing Logic'!$A$3:$B$7,2,FALSE),VLOOKUP(AF165,'Writing Logic'!$A$3:$B$7,2,FALSE),VLOOKUP(AG165,'Writing Logic'!$A$3:$B$7,2,FALSE)),AVERAGE(VLOOKUP(AD165,'Writing Logic'!$A$3:$B$7,2,FALSE),VLOOKUP(AE165,'Writing Logic'!$A$3:$B$7,2,FALSE),VLOOKUP(AF165,'Writing Logic'!$A$3:$B$7,2,FALSE),VLOOKUP(AG165,'Writing Logic'!$A$3:$B$7,2,FALSE))))),"Fill All 4")</f>
        <v>Fill All 4</v>
      </c>
      <c r="AI165" s="95" t="str">
        <f t="shared" si="12"/>
        <v/>
      </c>
      <c r="AJ165" s="183"/>
      <c r="AK165" s="120"/>
      <c r="AL165" s="120"/>
      <c r="AM165" s="120"/>
      <c r="AN165" s="95" t="str">
        <f>IFERROR(IF(YES_Writing_ELA[[#This Row],[Literacy IPP]]='Writing Logic'!$E$26,"IPP",IF(OR(AJ165="EAL",AK165="EAL",AL165="EAL",AM165="EAL"),"EAL",IF(AJ165='Writing Logic'!$A$10,AVERAGE(VLOOKUP(AK165,'Writing Logic'!$A$3:$B$7,2,FALSE),VLOOKUP(AL165,'Writing Logic'!$A$3:$B$7,2,FALSE),VLOOKUP(AM165,'Writing Logic'!$A$3:$B$7,2,FALSE)),AVERAGE(VLOOKUP(AJ165,'Writing Logic'!$A$3:$B$7,2,FALSE),VLOOKUP(AK165,'Writing Logic'!$A$3:$B$7,2,FALSE),VLOOKUP(AL165,'Writing Logic'!$A$3:$B$7,2,FALSE),VLOOKUP(AM165,'Writing Logic'!$A$3:$B$7,2,FALSE))))),"Fill All 4")</f>
        <v>Fill All 4</v>
      </c>
      <c r="AO165" s="95" t="str">
        <f t="shared" si="13"/>
        <v/>
      </c>
      <c r="AP165" s="120"/>
      <c r="AQ165" s="120"/>
      <c r="AR165" s="120"/>
      <c r="AS165" s="120"/>
      <c r="AT165" s="95" t="str">
        <f>IFERROR(IF(YES_Writing_ELA[[#This Row],[Literacy IPP]]='Writing Logic'!$E$26,"IPP",IF(OR(AP165="EAL",AQ165="EAL",AR165="EAL",AS165="EAL"),"EAL",IF(AP165='Writing Logic'!$A$10,AVERAGE(VLOOKUP(AQ165,'Writing Logic'!$A$3:$B$7,2,FALSE),VLOOKUP(AR165,'Writing Logic'!$A$3:$B$7,2,FALSE),VLOOKUP(AS165,'Writing Logic'!$A$3:$B$7,2,FALSE)),AVERAGE(VLOOKUP(AP165,'Writing Logic'!$A$3:$B$7,2,FALSE),VLOOKUP(AQ165,'Writing Logic'!$A$3:$B$7,2,FALSE),VLOOKUP(AR165,'Writing Logic'!$A$3:$B$7,2,FALSE),VLOOKUP(AS165,'Writing Logic'!$A$3:$B$7,2,FALSE))))),"Fill All 4")</f>
        <v>Fill All 4</v>
      </c>
      <c r="AU165" s="95" t="str">
        <f t="shared" si="14"/>
        <v/>
      </c>
    </row>
    <row r="166" spans="1:47" x14ac:dyDescent="0.25">
      <c r="A166" s="245"/>
      <c r="B166" s="236"/>
      <c r="C166" s="13"/>
      <c r="D166" s="236"/>
      <c r="E166" s="49"/>
      <c r="F166" s="49"/>
      <c r="G166" s="49"/>
      <c r="H166" s="49"/>
      <c r="I166" s="49"/>
      <c r="J166" s="49"/>
      <c r="K166" s="183"/>
      <c r="L166" s="184"/>
      <c r="M166" s="120"/>
      <c r="N166" s="120"/>
      <c r="O166" s="120"/>
      <c r="P166" s="120"/>
      <c r="Q166" s="95" t="str">
        <f>IFERROR(IF(YES_Writing_ELA[[#This Row],[Literacy IPP]]='Writing Logic'!$E$26,"IPP",IF(OR(M166="EAL",N166="EAL",O166="EAL",P166="EAL"),"EAL",IF(M166='Writing Logic'!$A$10,AVERAGE(VLOOKUP(N166,'Writing Logic'!$A$3:$B$7,2,FALSE),VLOOKUP(O166,'Writing Logic'!$A$3:$B$7,2,FALSE),VLOOKUP(P166,'Writing Logic'!$A$3:$B$7,2,FALSE)),AVERAGE(VLOOKUP(M166,'Writing Logic'!$A$3:$B$7,2,FALSE),VLOOKUP(N166,'Writing Logic'!$A$3:$B$7,2,FALSE),VLOOKUP(O166,'Writing Logic'!$A$3:$B$7,2,FALSE),VLOOKUP(P166,'Writing Logic'!$A$3:$B$7,2,FALSE))))),"Fill All 4")</f>
        <v>Fill All 4</v>
      </c>
      <c r="R166" s="120"/>
      <c r="S166" s="120"/>
      <c r="T166" s="120"/>
      <c r="U166" s="120"/>
      <c r="V166" s="95" t="str">
        <f>IFERROR(IF(YES_Writing_ELA[[#This Row],[Literacy IPP]]='Writing Logic'!$E$26,"IPP",IF(OR(R166="EAL",S166="EAL",T166="EAL",U166="EAL"),"EAL",IF(R166='Writing Logic'!$A$10,AVERAGE(VLOOKUP(S166,'Writing Logic'!$A$3:$B$7,2,FALSE),VLOOKUP(T166,'Writing Logic'!$A$3:$B$7,2,FALSE),VLOOKUP(U166,'Writing Logic'!$A$3:$B$7,2,FALSE)),AVERAGE(VLOOKUP(R166,'Writing Logic'!$A$3:$B$7,2,FALSE),VLOOKUP(S166,'Writing Logic'!$A$3:$B$7,2,FALSE),VLOOKUP(T166,'Writing Logic'!$A$3:$B$7,2,FALSE),VLOOKUP(U166,'Writing Logic'!$A$3:$B$7,2,FALSE))))),"Fill All 4")</f>
        <v>Fill All 4</v>
      </c>
      <c r="W166" s="95" t="str">
        <f t="shared" si="10"/>
        <v/>
      </c>
      <c r="X166" s="120"/>
      <c r="Y166" s="120"/>
      <c r="Z166" s="120"/>
      <c r="AA166" s="120"/>
      <c r="AB166" s="95" t="str">
        <f>IFERROR(IF(YES_Writing_ELA[[#This Row],[Literacy IPP]]='Writing Logic'!$E$26,"IPP",IF(OR(X166="EAL",Y166="EAL",Z166="EAL",AA166="EAL"),"EAL",IF(X166='Writing Logic'!$A$10,AVERAGE(VLOOKUP(Y166,'Writing Logic'!$A$3:$B$7,2,FALSE),VLOOKUP(Z166,'Writing Logic'!$A$3:$B$7,2,FALSE),VLOOKUP(AA166,'Writing Logic'!$A$3:$B$7,2,FALSE)),AVERAGE(VLOOKUP(X166,'Writing Logic'!$A$3:$B$7,2,FALSE),VLOOKUP(Y166,'Writing Logic'!$A$3:$B$7,2,FALSE),VLOOKUP(Z166,'Writing Logic'!$A$3:$B$7,2,FALSE),VLOOKUP(AA166,'Writing Logic'!$A$3:$B$7,2,FALSE))))),"Fill All 4")</f>
        <v>Fill All 4</v>
      </c>
      <c r="AC166" s="95" t="str">
        <f t="shared" si="11"/>
        <v/>
      </c>
      <c r="AD166" s="120"/>
      <c r="AE166" s="120"/>
      <c r="AF166" s="120"/>
      <c r="AG166" s="120"/>
      <c r="AH166" s="95" t="str">
        <f>IFERROR(IF(YES_Writing_ELA[[#This Row],[Literacy IPP]]='Writing Logic'!$E$26,"IPP",IF(OR(AD166="EAL",AE166="EAL",AF166="EAL",AG166="EAL"),"EAL",IF(AD166='Writing Logic'!$A$10,AVERAGE(VLOOKUP(AE166,'Writing Logic'!$A$3:$B$7,2,FALSE),VLOOKUP(AF166,'Writing Logic'!$A$3:$B$7,2,FALSE),VLOOKUP(AG166,'Writing Logic'!$A$3:$B$7,2,FALSE)),AVERAGE(VLOOKUP(AD166,'Writing Logic'!$A$3:$B$7,2,FALSE),VLOOKUP(AE166,'Writing Logic'!$A$3:$B$7,2,FALSE),VLOOKUP(AF166,'Writing Logic'!$A$3:$B$7,2,FALSE),VLOOKUP(AG166,'Writing Logic'!$A$3:$B$7,2,FALSE))))),"Fill All 4")</f>
        <v>Fill All 4</v>
      </c>
      <c r="AI166" s="95" t="str">
        <f t="shared" si="12"/>
        <v/>
      </c>
      <c r="AJ166" s="183"/>
      <c r="AK166" s="120"/>
      <c r="AL166" s="120"/>
      <c r="AM166" s="120"/>
      <c r="AN166" s="95" t="str">
        <f>IFERROR(IF(YES_Writing_ELA[[#This Row],[Literacy IPP]]='Writing Logic'!$E$26,"IPP",IF(OR(AJ166="EAL",AK166="EAL",AL166="EAL",AM166="EAL"),"EAL",IF(AJ166='Writing Logic'!$A$10,AVERAGE(VLOOKUP(AK166,'Writing Logic'!$A$3:$B$7,2,FALSE),VLOOKUP(AL166,'Writing Logic'!$A$3:$B$7,2,FALSE),VLOOKUP(AM166,'Writing Logic'!$A$3:$B$7,2,FALSE)),AVERAGE(VLOOKUP(AJ166,'Writing Logic'!$A$3:$B$7,2,FALSE),VLOOKUP(AK166,'Writing Logic'!$A$3:$B$7,2,FALSE),VLOOKUP(AL166,'Writing Logic'!$A$3:$B$7,2,FALSE),VLOOKUP(AM166,'Writing Logic'!$A$3:$B$7,2,FALSE))))),"Fill All 4")</f>
        <v>Fill All 4</v>
      </c>
      <c r="AO166" s="95" t="str">
        <f t="shared" si="13"/>
        <v/>
      </c>
      <c r="AP166" s="120"/>
      <c r="AQ166" s="120"/>
      <c r="AR166" s="120"/>
      <c r="AS166" s="120"/>
      <c r="AT166" s="95" t="str">
        <f>IFERROR(IF(YES_Writing_ELA[[#This Row],[Literacy IPP]]='Writing Logic'!$E$26,"IPP",IF(OR(AP166="EAL",AQ166="EAL",AR166="EAL",AS166="EAL"),"EAL",IF(AP166='Writing Logic'!$A$10,AVERAGE(VLOOKUP(AQ166,'Writing Logic'!$A$3:$B$7,2,FALSE),VLOOKUP(AR166,'Writing Logic'!$A$3:$B$7,2,FALSE),VLOOKUP(AS166,'Writing Logic'!$A$3:$B$7,2,FALSE)),AVERAGE(VLOOKUP(AP166,'Writing Logic'!$A$3:$B$7,2,FALSE),VLOOKUP(AQ166,'Writing Logic'!$A$3:$B$7,2,FALSE),VLOOKUP(AR166,'Writing Logic'!$A$3:$B$7,2,FALSE),VLOOKUP(AS166,'Writing Logic'!$A$3:$B$7,2,FALSE))))),"Fill All 4")</f>
        <v>Fill All 4</v>
      </c>
      <c r="AU166" s="95" t="str">
        <f t="shared" si="14"/>
        <v/>
      </c>
    </row>
    <row r="167" spans="1:47" x14ac:dyDescent="0.25">
      <c r="A167" s="245"/>
      <c r="B167" s="236"/>
      <c r="C167" s="13"/>
      <c r="D167" s="236"/>
      <c r="E167" s="49"/>
      <c r="F167" s="49"/>
      <c r="G167" s="49"/>
      <c r="H167" s="49"/>
      <c r="I167" s="49"/>
      <c r="J167" s="49"/>
      <c r="K167" s="183"/>
      <c r="L167" s="184"/>
      <c r="M167" s="120"/>
      <c r="N167" s="120"/>
      <c r="O167" s="120"/>
      <c r="P167" s="120"/>
      <c r="Q167" s="95" t="str">
        <f>IFERROR(IF(YES_Writing_ELA[[#This Row],[Literacy IPP]]='Writing Logic'!$E$26,"IPP",IF(OR(M167="EAL",N167="EAL",O167="EAL",P167="EAL"),"EAL",IF(M167='Writing Logic'!$A$10,AVERAGE(VLOOKUP(N167,'Writing Logic'!$A$3:$B$7,2,FALSE),VLOOKUP(O167,'Writing Logic'!$A$3:$B$7,2,FALSE),VLOOKUP(P167,'Writing Logic'!$A$3:$B$7,2,FALSE)),AVERAGE(VLOOKUP(M167,'Writing Logic'!$A$3:$B$7,2,FALSE),VLOOKUP(N167,'Writing Logic'!$A$3:$B$7,2,FALSE),VLOOKUP(O167,'Writing Logic'!$A$3:$B$7,2,FALSE),VLOOKUP(P167,'Writing Logic'!$A$3:$B$7,2,FALSE))))),"Fill All 4")</f>
        <v>Fill All 4</v>
      </c>
      <c r="R167" s="120"/>
      <c r="S167" s="120"/>
      <c r="T167" s="120"/>
      <c r="U167" s="120"/>
      <c r="V167" s="95" t="str">
        <f>IFERROR(IF(YES_Writing_ELA[[#This Row],[Literacy IPP]]='Writing Logic'!$E$26,"IPP",IF(OR(R167="EAL",S167="EAL",T167="EAL",U167="EAL"),"EAL",IF(R167='Writing Logic'!$A$10,AVERAGE(VLOOKUP(S167,'Writing Logic'!$A$3:$B$7,2,FALSE),VLOOKUP(T167,'Writing Logic'!$A$3:$B$7,2,FALSE),VLOOKUP(U167,'Writing Logic'!$A$3:$B$7,2,FALSE)),AVERAGE(VLOOKUP(R167,'Writing Logic'!$A$3:$B$7,2,FALSE),VLOOKUP(S167,'Writing Logic'!$A$3:$B$7,2,FALSE),VLOOKUP(T167,'Writing Logic'!$A$3:$B$7,2,FALSE),VLOOKUP(U167,'Writing Logic'!$A$3:$B$7,2,FALSE))))),"Fill All 4")</f>
        <v>Fill All 4</v>
      </c>
      <c r="W167" s="95" t="str">
        <f t="shared" si="10"/>
        <v/>
      </c>
      <c r="X167" s="120"/>
      <c r="Y167" s="120"/>
      <c r="Z167" s="120"/>
      <c r="AA167" s="120"/>
      <c r="AB167" s="95" t="str">
        <f>IFERROR(IF(YES_Writing_ELA[[#This Row],[Literacy IPP]]='Writing Logic'!$E$26,"IPP",IF(OR(X167="EAL",Y167="EAL",Z167="EAL",AA167="EAL"),"EAL",IF(X167='Writing Logic'!$A$10,AVERAGE(VLOOKUP(Y167,'Writing Logic'!$A$3:$B$7,2,FALSE),VLOOKUP(Z167,'Writing Logic'!$A$3:$B$7,2,FALSE),VLOOKUP(AA167,'Writing Logic'!$A$3:$B$7,2,FALSE)),AVERAGE(VLOOKUP(X167,'Writing Logic'!$A$3:$B$7,2,FALSE),VLOOKUP(Y167,'Writing Logic'!$A$3:$B$7,2,FALSE),VLOOKUP(Z167,'Writing Logic'!$A$3:$B$7,2,FALSE),VLOOKUP(AA167,'Writing Logic'!$A$3:$B$7,2,FALSE))))),"Fill All 4")</f>
        <v>Fill All 4</v>
      </c>
      <c r="AC167" s="95" t="str">
        <f t="shared" si="11"/>
        <v/>
      </c>
      <c r="AD167" s="120"/>
      <c r="AE167" s="120"/>
      <c r="AF167" s="120"/>
      <c r="AG167" s="120"/>
      <c r="AH167" s="95" t="str">
        <f>IFERROR(IF(YES_Writing_ELA[[#This Row],[Literacy IPP]]='Writing Logic'!$E$26,"IPP",IF(OR(AD167="EAL",AE167="EAL",AF167="EAL",AG167="EAL"),"EAL",IF(AD167='Writing Logic'!$A$10,AVERAGE(VLOOKUP(AE167,'Writing Logic'!$A$3:$B$7,2,FALSE),VLOOKUP(AF167,'Writing Logic'!$A$3:$B$7,2,FALSE),VLOOKUP(AG167,'Writing Logic'!$A$3:$B$7,2,FALSE)),AVERAGE(VLOOKUP(AD167,'Writing Logic'!$A$3:$B$7,2,FALSE),VLOOKUP(AE167,'Writing Logic'!$A$3:$B$7,2,FALSE),VLOOKUP(AF167,'Writing Logic'!$A$3:$B$7,2,FALSE),VLOOKUP(AG167,'Writing Logic'!$A$3:$B$7,2,FALSE))))),"Fill All 4")</f>
        <v>Fill All 4</v>
      </c>
      <c r="AI167" s="95" t="str">
        <f t="shared" si="12"/>
        <v/>
      </c>
      <c r="AJ167" s="183"/>
      <c r="AK167" s="120"/>
      <c r="AL167" s="120"/>
      <c r="AM167" s="120"/>
      <c r="AN167" s="95" t="str">
        <f>IFERROR(IF(YES_Writing_ELA[[#This Row],[Literacy IPP]]='Writing Logic'!$E$26,"IPP",IF(OR(AJ167="EAL",AK167="EAL",AL167="EAL",AM167="EAL"),"EAL",IF(AJ167='Writing Logic'!$A$10,AVERAGE(VLOOKUP(AK167,'Writing Logic'!$A$3:$B$7,2,FALSE),VLOOKUP(AL167,'Writing Logic'!$A$3:$B$7,2,FALSE),VLOOKUP(AM167,'Writing Logic'!$A$3:$B$7,2,FALSE)),AVERAGE(VLOOKUP(AJ167,'Writing Logic'!$A$3:$B$7,2,FALSE),VLOOKUP(AK167,'Writing Logic'!$A$3:$B$7,2,FALSE),VLOOKUP(AL167,'Writing Logic'!$A$3:$B$7,2,FALSE),VLOOKUP(AM167,'Writing Logic'!$A$3:$B$7,2,FALSE))))),"Fill All 4")</f>
        <v>Fill All 4</v>
      </c>
      <c r="AO167" s="95" t="str">
        <f t="shared" si="13"/>
        <v/>
      </c>
      <c r="AP167" s="120"/>
      <c r="AQ167" s="120"/>
      <c r="AR167" s="120"/>
      <c r="AS167" s="120"/>
      <c r="AT167" s="95" t="str">
        <f>IFERROR(IF(YES_Writing_ELA[[#This Row],[Literacy IPP]]='Writing Logic'!$E$26,"IPP",IF(OR(AP167="EAL",AQ167="EAL",AR167="EAL",AS167="EAL"),"EAL",IF(AP167='Writing Logic'!$A$10,AVERAGE(VLOOKUP(AQ167,'Writing Logic'!$A$3:$B$7,2,FALSE),VLOOKUP(AR167,'Writing Logic'!$A$3:$B$7,2,FALSE),VLOOKUP(AS167,'Writing Logic'!$A$3:$B$7,2,FALSE)),AVERAGE(VLOOKUP(AP167,'Writing Logic'!$A$3:$B$7,2,FALSE),VLOOKUP(AQ167,'Writing Logic'!$A$3:$B$7,2,FALSE),VLOOKUP(AR167,'Writing Logic'!$A$3:$B$7,2,FALSE),VLOOKUP(AS167,'Writing Logic'!$A$3:$B$7,2,FALSE))))),"Fill All 4")</f>
        <v>Fill All 4</v>
      </c>
      <c r="AU167" s="95" t="str">
        <f t="shared" si="14"/>
        <v/>
      </c>
    </row>
    <row r="168" spans="1:47" x14ac:dyDescent="0.25">
      <c r="A168" s="245"/>
      <c r="B168" s="236"/>
      <c r="C168" s="13"/>
      <c r="D168" s="236"/>
      <c r="E168" s="49"/>
      <c r="F168" s="49"/>
      <c r="G168" s="49"/>
      <c r="H168" s="49"/>
      <c r="I168" s="49"/>
      <c r="J168" s="49"/>
      <c r="K168" s="183"/>
      <c r="L168" s="184"/>
      <c r="M168" s="120"/>
      <c r="N168" s="120"/>
      <c r="O168" s="120"/>
      <c r="P168" s="120"/>
      <c r="Q168" s="95" t="str">
        <f>IFERROR(IF(YES_Writing_ELA[[#This Row],[Literacy IPP]]='Writing Logic'!$E$26,"IPP",IF(OR(M168="EAL",N168="EAL",O168="EAL",P168="EAL"),"EAL",IF(M168='Writing Logic'!$A$10,AVERAGE(VLOOKUP(N168,'Writing Logic'!$A$3:$B$7,2,FALSE),VLOOKUP(O168,'Writing Logic'!$A$3:$B$7,2,FALSE),VLOOKUP(P168,'Writing Logic'!$A$3:$B$7,2,FALSE)),AVERAGE(VLOOKUP(M168,'Writing Logic'!$A$3:$B$7,2,FALSE),VLOOKUP(N168,'Writing Logic'!$A$3:$B$7,2,FALSE),VLOOKUP(O168,'Writing Logic'!$A$3:$B$7,2,FALSE),VLOOKUP(P168,'Writing Logic'!$A$3:$B$7,2,FALSE))))),"Fill All 4")</f>
        <v>Fill All 4</v>
      </c>
      <c r="R168" s="120"/>
      <c r="S168" s="120"/>
      <c r="T168" s="120"/>
      <c r="U168" s="120"/>
      <c r="V168" s="95" t="str">
        <f>IFERROR(IF(YES_Writing_ELA[[#This Row],[Literacy IPP]]='Writing Logic'!$E$26,"IPP",IF(OR(R168="EAL",S168="EAL",T168="EAL",U168="EAL"),"EAL",IF(R168='Writing Logic'!$A$10,AVERAGE(VLOOKUP(S168,'Writing Logic'!$A$3:$B$7,2,FALSE),VLOOKUP(T168,'Writing Logic'!$A$3:$B$7,2,FALSE),VLOOKUP(U168,'Writing Logic'!$A$3:$B$7,2,FALSE)),AVERAGE(VLOOKUP(R168,'Writing Logic'!$A$3:$B$7,2,FALSE),VLOOKUP(S168,'Writing Logic'!$A$3:$B$7,2,FALSE),VLOOKUP(T168,'Writing Logic'!$A$3:$B$7,2,FALSE),VLOOKUP(U168,'Writing Logic'!$A$3:$B$7,2,FALSE))))),"Fill All 4")</f>
        <v>Fill All 4</v>
      </c>
      <c r="W168" s="95" t="str">
        <f t="shared" si="10"/>
        <v/>
      </c>
      <c r="X168" s="120"/>
      <c r="Y168" s="120"/>
      <c r="Z168" s="120"/>
      <c r="AA168" s="120"/>
      <c r="AB168" s="95" t="str">
        <f>IFERROR(IF(YES_Writing_ELA[[#This Row],[Literacy IPP]]='Writing Logic'!$E$26,"IPP",IF(OR(X168="EAL",Y168="EAL",Z168="EAL",AA168="EAL"),"EAL",IF(X168='Writing Logic'!$A$10,AVERAGE(VLOOKUP(Y168,'Writing Logic'!$A$3:$B$7,2,FALSE),VLOOKUP(Z168,'Writing Logic'!$A$3:$B$7,2,FALSE),VLOOKUP(AA168,'Writing Logic'!$A$3:$B$7,2,FALSE)),AVERAGE(VLOOKUP(X168,'Writing Logic'!$A$3:$B$7,2,FALSE),VLOOKUP(Y168,'Writing Logic'!$A$3:$B$7,2,FALSE),VLOOKUP(Z168,'Writing Logic'!$A$3:$B$7,2,FALSE),VLOOKUP(AA168,'Writing Logic'!$A$3:$B$7,2,FALSE))))),"Fill All 4")</f>
        <v>Fill All 4</v>
      </c>
      <c r="AC168" s="95" t="str">
        <f t="shared" si="11"/>
        <v/>
      </c>
      <c r="AD168" s="120"/>
      <c r="AE168" s="120"/>
      <c r="AF168" s="120"/>
      <c r="AG168" s="120"/>
      <c r="AH168" s="95" t="str">
        <f>IFERROR(IF(YES_Writing_ELA[[#This Row],[Literacy IPP]]='Writing Logic'!$E$26,"IPP",IF(OR(AD168="EAL",AE168="EAL",AF168="EAL",AG168="EAL"),"EAL",IF(AD168='Writing Logic'!$A$10,AVERAGE(VLOOKUP(AE168,'Writing Logic'!$A$3:$B$7,2,FALSE),VLOOKUP(AF168,'Writing Logic'!$A$3:$B$7,2,FALSE),VLOOKUP(AG168,'Writing Logic'!$A$3:$B$7,2,FALSE)),AVERAGE(VLOOKUP(AD168,'Writing Logic'!$A$3:$B$7,2,FALSE),VLOOKUP(AE168,'Writing Logic'!$A$3:$B$7,2,FALSE),VLOOKUP(AF168,'Writing Logic'!$A$3:$B$7,2,FALSE),VLOOKUP(AG168,'Writing Logic'!$A$3:$B$7,2,FALSE))))),"Fill All 4")</f>
        <v>Fill All 4</v>
      </c>
      <c r="AI168" s="95" t="str">
        <f t="shared" si="12"/>
        <v/>
      </c>
      <c r="AJ168" s="183"/>
      <c r="AK168" s="120"/>
      <c r="AL168" s="120"/>
      <c r="AM168" s="120"/>
      <c r="AN168" s="95" t="str">
        <f>IFERROR(IF(YES_Writing_ELA[[#This Row],[Literacy IPP]]='Writing Logic'!$E$26,"IPP",IF(OR(AJ168="EAL",AK168="EAL",AL168="EAL",AM168="EAL"),"EAL",IF(AJ168='Writing Logic'!$A$10,AVERAGE(VLOOKUP(AK168,'Writing Logic'!$A$3:$B$7,2,FALSE),VLOOKUP(AL168,'Writing Logic'!$A$3:$B$7,2,FALSE),VLOOKUP(AM168,'Writing Logic'!$A$3:$B$7,2,FALSE)),AVERAGE(VLOOKUP(AJ168,'Writing Logic'!$A$3:$B$7,2,FALSE),VLOOKUP(AK168,'Writing Logic'!$A$3:$B$7,2,FALSE),VLOOKUP(AL168,'Writing Logic'!$A$3:$B$7,2,FALSE),VLOOKUP(AM168,'Writing Logic'!$A$3:$B$7,2,FALSE))))),"Fill All 4")</f>
        <v>Fill All 4</v>
      </c>
      <c r="AO168" s="95" t="str">
        <f t="shared" si="13"/>
        <v/>
      </c>
      <c r="AP168" s="120"/>
      <c r="AQ168" s="120"/>
      <c r="AR168" s="120"/>
      <c r="AS168" s="120"/>
      <c r="AT168" s="95" t="str">
        <f>IFERROR(IF(YES_Writing_ELA[[#This Row],[Literacy IPP]]='Writing Logic'!$E$26,"IPP",IF(OR(AP168="EAL",AQ168="EAL",AR168="EAL",AS168="EAL"),"EAL",IF(AP168='Writing Logic'!$A$10,AVERAGE(VLOOKUP(AQ168,'Writing Logic'!$A$3:$B$7,2,FALSE),VLOOKUP(AR168,'Writing Logic'!$A$3:$B$7,2,FALSE),VLOOKUP(AS168,'Writing Logic'!$A$3:$B$7,2,FALSE)),AVERAGE(VLOOKUP(AP168,'Writing Logic'!$A$3:$B$7,2,FALSE),VLOOKUP(AQ168,'Writing Logic'!$A$3:$B$7,2,FALSE),VLOOKUP(AR168,'Writing Logic'!$A$3:$B$7,2,FALSE),VLOOKUP(AS168,'Writing Logic'!$A$3:$B$7,2,FALSE))))),"Fill All 4")</f>
        <v>Fill All 4</v>
      </c>
      <c r="AU168" s="95" t="str">
        <f t="shared" si="14"/>
        <v/>
      </c>
    </row>
    <row r="169" spans="1:47" x14ac:dyDescent="0.25">
      <c r="A169" s="245"/>
      <c r="B169" s="236"/>
      <c r="C169" s="13"/>
      <c r="D169" s="236"/>
      <c r="E169" s="49"/>
      <c r="F169" s="49"/>
      <c r="G169" s="49"/>
      <c r="H169" s="49"/>
      <c r="I169" s="49"/>
      <c r="J169" s="49"/>
      <c r="K169" s="183"/>
      <c r="L169" s="184"/>
      <c r="M169" s="120"/>
      <c r="N169" s="120"/>
      <c r="O169" s="120"/>
      <c r="P169" s="120"/>
      <c r="Q169" s="95" t="str">
        <f>IFERROR(IF(YES_Writing_ELA[[#This Row],[Literacy IPP]]='Writing Logic'!$E$26,"IPP",IF(OR(M169="EAL",N169="EAL",O169="EAL",P169="EAL"),"EAL",IF(M169='Writing Logic'!$A$10,AVERAGE(VLOOKUP(N169,'Writing Logic'!$A$3:$B$7,2,FALSE),VLOOKUP(O169,'Writing Logic'!$A$3:$B$7,2,FALSE),VLOOKUP(P169,'Writing Logic'!$A$3:$B$7,2,FALSE)),AVERAGE(VLOOKUP(M169,'Writing Logic'!$A$3:$B$7,2,FALSE),VLOOKUP(N169,'Writing Logic'!$A$3:$B$7,2,FALSE),VLOOKUP(O169,'Writing Logic'!$A$3:$B$7,2,FALSE),VLOOKUP(P169,'Writing Logic'!$A$3:$B$7,2,FALSE))))),"Fill All 4")</f>
        <v>Fill All 4</v>
      </c>
      <c r="R169" s="120"/>
      <c r="S169" s="120"/>
      <c r="T169" s="120"/>
      <c r="U169" s="120"/>
      <c r="V169" s="95" t="str">
        <f>IFERROR(IF(YES_Writing_ELA[[#This Row],[Literacy IPP]]='Writing Logic'!$E$26,"IPP",IF(OR(R169="EAL",S169="EAL",T169="EAL",U169="EAL"),"EAL",IF(R169='Writing Logic'!$A$10,AVERAGE(VLOOKUP(S169,'Writing Logic'!$A$3:$B$7,2,FALSE),VLOOKUP(T169,'Writing Logic'!$A$3:$B$7,2,FALSE),VLOOKUP(U169,'Writing Logic'!$A$3:$B$7,2,FALSE)),AVERAGE(VLOOKUP(R169,'Writing Logic'!$A$3:$B$7,2,FALSE),VLOOKUP(S169,'Writing Logic'!$A$3:$B$7,2,FALSE),VLOOKUP(T169,'Writing Logic'!$A$3:$B$7,2,FALSE),VLOOKUP(U169,'Writing Logic'!$A$3:$B$7,2,FALSE))))),"Fill All 4")</f>
        <v>Fill All 4</v>
      </c>
      <c r="W169" s="95" t="str">
        <f t="shared" si="10"/>
        <v/>
      </c>
      <c r="X169" s="120"/>
      <c r="Y169" s="120"/>
      <c r="Z169" s="120"/>
      <c r="AA169" s="120"/>
      <c r="AB169" s="95" t="str">
        <f>IFERROR(IF(YES_Writing_ELA[[#This Row],[Literacy IPP]]='Writing Logic'!$E$26,"IPP",IF(OR(X169="EAL",Y169="EAL",Z169="EAL",AA169="EAL"),"EAL",IF(X169='Writing Logic'!$A$10,AVERAGE(VLOOKUP(Y169,'Writing Logic'!$A$3:$B$7,2,FALSE),VLOOKUP(Z169,'Writing Logic'!$A$3:$B$7,2,FALSE),VLOOKUP(AA169,'Writing Logic'!$A$3:$B$7,2,FALSE)),AVERAGE(VLOOKUP(X169,'Writing Logic'!$A$3:$B$7,2,FALSE),VLOOKUP(Y169,'Writing Logic'!$A$3:$B$7,2,FALSE),VLOOKUP(Z169,'Writing Logic'!$A$3:$B$7,2,FALSE),VLOOKUP(AA169,'Writing Logic'!$A$3:$B$7,2,FALSE))))),"Fill All 4")</f>
        <v>Fill All 4</v>
      </c>
      <c r="AC169" s="95" t="str">
        <f t="shared" si="11"/>
        <v/>
      </c>
      <c r="AD169" s="120"/>
      <c r="AE169" s="120"/>
      <c r="AF169" s="120"/>
      <c r="AG169" s="120"/>
      <c r="AH169" s="95" t="str">
        <f>IFERROR(IF(YES_Writing_ELA[[#This Row],[Literacy IPP]]='Writing Logic'!$E$26,"IPP",IF(OR(AD169="EAL",AE169="EAL",AF169="EAL",AG169="EAL"),"EAL",IF(AD169='Writing Logic'!$A$10,AVERAGE(VLOOKUP(AE169,'Writing Logic'!$A$3:$B$7,2,FALSE),VLOOKUP(AF169,'Writing Logic'!$A$3:$B$7,2,FALSE),VLOOKUP(AG169,'Writing Logic'!$A$3:$B$7,2,FALSE)),AVERAGE(VLOOKUP(AD169,'Writing Logic'!$A$3:$B$7,2,FALSE),VLOOKUP(AE169,'Writing Logic'!$A$3:$B$7,2,FALSE),VLOOKUP(AF169,'Writing Logic'!$A$3:$B$7,2,FALSE),VLOOKUP(AG169,'Writing Logic'!$A$3:$B$7,2,FALSE))))),"Fill All 4")</f>
        <v>Fill All 4</v>
      </c>
      <c r="AI169" s="95" t="str">
        <f t="shared" si="12"/>
        <v/>
      </c>
      <c r="AJ169" s="183"/>
      <c r="AK169" s="120"/>
      <c r="AL169" s="120"/>
      <c r="AM169" s="120"/>
      <c r="AN169" s="95" t="str">
        <f>IFERROR(IF(YES_Writing_ELA[[#This Row],[Literacy IPP]]='Writing Logic'!$E$26,"IPP",IF(OR(AJ169="EAL",AK169="EAL",AL169="EAL",AM169="EAL"),"EAL",IF(AJ169='Writing Logic'!$A$10,AVERAGE(VLOOKUP(AK169,'Writing Logic'!$A$3:$B$7,2,FALSE),VLOOKUP(AL169,'Writing Logic'!$A$3:$B$7,2,FALSE),VLOOKUP(AM169,'Writing Logic'!$A$3:$B$7,2,FALSE)),AVERAGE(VLOOKUP(AJ169,'Writing Logic'!$A$3:$B$7,2,FALSE),VLOOKUP(AK169,'Writing Logic'!$A$3:$B$7,2,FALSE),VLOOKUP(AL169,'Writing Logic'!$A$3:$B$7,2,FALSE),VLOOKUP(AM169,'Writing Logic'!$A$3:$B$7,2,FALSE))))),"Fill All 4")</f>
        <v>Fill All 4</v>
      </c>
      <c r="AO169" s="95" t="str">
        <f t="shared" si="13"/>
        <v/>
      </c>
      <c r="AP169" s="120"/>
      <c r="AQ169" s="120"/>
      <c r="AR169" s="120"/>
      <c r="AS169" s="120"/>
      <c r="AT169" s="95" t="str">
        <f>IFERROR(IF(YES_Writing_ELA[[#This Row],[Literacy IPP]]='Writing Logic'!$E$26,"IPP",IF(OR(AP169="EAL",AQ169="EAL",AR169="EAL",AS169="EAL"),"EAL",IF(AP169='Writing Logic'!$A$10,AVERAGE(VLOOKUP(AQ169,'Writing Logic'!$A$3:$B$7,2,FALSE),VLOOKUP(AR169,'Writing Logic'!$A$3:$B$7,2,FALSE),VLOOKUP(AS169,'Writing Logic'!$A$3:$B$7,2,FALSE)),AVERAGE(VLOOKUP(AP169,'Writing Logic'!$A$3:$B$7,2,FALSE),VLOOKUP(AQ169,'Writing Logic'!$A$3:$B$7,2,FALSE),VLOOKUP(AR169,'Writing Logic'!$A$3:$B$7,2,FALSE),VLOOKUP(AS169,'Writing Logic'!$A$3:$B$7,2,FALSE))))),"Fill All 4")</f>
        <v>Fill All 4</v>
      </c>
      <c r="AU169" s="95" t="str">
        <f t="shared" si="14"/>
        <v/>
      </c>
    </row>
    <row r="170" spans="1:47" x14ac:dyDescent="0.25">
      <c r="A170" s="245"/>
      <c r="B170" s="236"/>
      <c r="C170" s="13"/>
      <c r="D170" s="236"/>
      <c r="E170" s="49"/>
      <c r="F170" s="49"/>
      <c r="G170" s="49"/>
      <c r="H170" s="49"/>
      <c r="I170" s="49"/>
      <c r="J170" s="49"/>
      <c r="K170" s="183"/>
      <c r="L170" s="184"/>
      <c r="M170" s="120"/>
      <c r="N170" s="120"/>
      <c r="O170" s="120"/>
      <c r="P170" s="120"/>
      <c r="Q170" s="95" t="str">
        <f>IFERROR(IF(YES_Writing_ELA[[#This Row],[Literacy IPP]]='Writing Logic'!$E$26,"IPP",IF(OR(M170="EAL",N170="EAL",O170="EAL",P170="EAL"),"EAL",IF(M170='Writing Logic'!$A$10,AVERAGE(VLOOKUP(N170,'Writing Logic'!$A$3:$B$7,2,FALSE),VLOOKUP(O170,'Writing Logic'!$A$3:$B$7,2,FALSE),VLOOKUP(P170,'Writing Logic'!$A$3:$B$7,2,FALSE)),AVERAGE(VLOOKUP(M170,'Writing Logic'!$A$3:$B$7,2,FALSE),VLOOKUP(N170,'Writing Logic'!$A$3:$B$7,2,FALSE),VLOOKUP(O170,'Writing Logic'!$A$3:$B$7,2,FALSE),VLOOKUP(P170,'Writing Logic'!$A$3:$B$7,2,FALSE))))),"Fill All 4")</f>
        <v>Fill All 4</v>
      </c>
      <c r="R170" s="120"/>
      <c r="S170" s="120"/>
      <c r="T170" s="120"/>
      <c r="U170" s="120"/>
      <c r="V170" s="95" t="str">
        <f>IFERROR(IF(YES_Writing_ELA[[#This Row],[Literacy IPP]]='Writing Logic'!$E$26,"IPP",IF(OR(R170="EAL",S170="EAL",T170="EAL",U170="EAL"),"EAL",IF(R170='Writing Logic'!$A$10,AVERAGE(VLOOKUP(S170,'Writing Logic'!$A$3:$B$7,2,FALSE),VLOOKUP(T170,'Writing Logic'!$A$3:$B$7,2,FALSE),VLOOKUP(U170,'Writing Logic'!$A$3:$B$7,2,FALSE)),AVERAGE(VLOOKUP(R170,'Writing Logic'!$A$3:$B$7,2,FALSE),VLOOKUP(S170,'Writing Logic'!$A$3:$B$7,2,FALSE),VLOOKUP(T170,'Writing Logic'!$A$3:$B$7,2,FALSE),VLOOKUP(U170,'Writing Logic'!$A$3:$B$7,2,FALSE))))),"Fill All 4")</f>
        <v>Fill All 4</v>
      </c>
      <c r="W170" s="95" t="str">
        <f t="shared" si="10"/>
        <v/>
      </c>
      <c r="X170" s="120"/>
      <c r="Y170" s="120"/>
      <c r="Z170" s="120"/>
      <c r="AA170" s="120"/>
      <c r="AB170" s="95" t="str">
        <f>IFERROR(IF(YES_Writing_ELA[[#This Row],[Literacy IPP]]='Writing Logic'!$E$26,"IPP",IF(OR(X170="EAL",Y170="EAL",Z170="EAL",AA170="EAL"),"EAL",IF(X170='Writing Logic'!$A$10,AVERAGE(VLOOKUP(Y170,'Writing Logic'!$A$3:$B$7,2,FALSE),VLOOKUP(Z170,'Writing Logic'!$A$3:$B$7,2,FALSE),VLOOKUP(AA170,'Writing Logic'!$A$3:$B$7,2,FALSE)),AVERAGE(VLOOKUP(X170,'Writing Logic'!$A$3:$B$7,2,FALSE),VLOOKUP(Y170,'Writing Logic'!$A$3:$B$7,2,FALSE),VLOOKUP(Z170,'Writing Logic'!$A$3:$B$7,2,FALSE),VLOOKUP(AA170,'Writing Logic'!$A$3:$B$7,2,FALSE))))),"Fill All 4")</f>
        <v>Fill All 4</v>
      </c>
      <c r="AC170" s="95" t="str">
        <f t="shared" si="11"/>
        <v/>
      </c>
      <c r="AD170" s="120"/>
      <c r="AE170" s="120"/>
      <c r="AF170" s="120"/>
      <c r="AG170" s="120"/>
      <c r="AH170" s="95" t="str">
        <f>IFERROR(IF(YES_Writing_ELA[[#This Row],[Literacy IPP]]='Writing Logic'!$E$26,"IPP",IF(OR(AD170="EAL",AE170="EAL",AF170="EAL",AG170="EAL"),"EAL",IF(AD170='Writing Logic'!$A$10,AVERAGE(VLOOKUP(AE170,'Writing Logic'!$A$3:$B$7,2,FALSE),VLOOKUP(AF170,'Writing Logic'!$A$3:$B$7,2,FALSE),VLOOKUP(AG170,'Writing Logic'!$A$3:$B$7,2,FALSE)),AVERAGE(VLOOKUP(AD170,'Writing Logic'!$A$3:$B$7,2,FALSE),VLOOKUP(AE170,'Writing Logic'!$A$3:$B$7,2,FALSE),VLOOKUP(AF170,'Writing Logic'!$A$3:$B$7,2,FALSE),VLOOKUP(AG170,'Writing Logic'!$A$3:$B$7,2,FALSE))))),"Fill All 4")</f>
        <v>Fill All 4</v>
      </c>
      <c r="AI170" s="95" t="str">
        <f t="shared" si="12"/>
        <v/>
      </c>
      <c r="AJ170" s="183"/>
      <c r="AK170" s="120"/>
      <c r="AL170" s="120"/>
      <c r="AM170" s="120"/>
      <c r="AN170" s="95" t="str">
        <f>IFERROR(IF(YES_Writing_ELA[[#This Row],[Literacy IPP]]='Writing Logic'!$E$26,"IPP",IF(OR(AJ170="EAL",AK170="EAL",AL170="EAL",AM170="EAL"),"EAL",IF(AJ170='Writing Logic'!$A$10,AVERAGE(VLOOKUP(AK170,'Writing Logic'!$A$3:$B$7,2,FALSE),VLOOKUP(AL170,'Writing Logic'!$A$3:$B$7,2,FALSE),VLOOKUP(AM170,'Writing Logic'!$A$3:$B$7,2,FALSE)),AVERAGE(VLOOKUP(AJ170,'Writing Logic'!$A$3:$B$7,2,FALSE),VLOOKUP(AK170,'Writing Logic'!$A$3:$B$7,2,FALSE),VLOOKUP(AL170,'Writing Logic'!$A$3:$B$7,2,FALSE),VLOOKUP(AM170,'Writing Logic'!$A$3:$B$7,2,FALSE))))),"Fill All 4")</f>
        <v>Fill All 4</v>
      </c>
      <c r="AO170" s="95" t="str">
        <f t="shared" si="13"/>
        <v/>
      </c>
      <c r="AP170" s="120"/>
      <c r="AQ170" s="120"/>
      <c r="AR170" s="120"/>
      <c r="AS170" s="120"/>
      <c r="AT170" s="95" t="str">
        <f>IFERROR(IF(YES_Writing_ELA[[#This Row],[Literacy IPP]]='Writing Logic'!$E$26,"IPP",IF(OR(AP170="EAL",AQ170="EAL",AR170="EAL",AS170="EAL"),"EAL",IF(AP170='Writing Logic'!$A$10,AVERAGE(VLOOKUP(AQ170,'Writing Logic'!$A$3:$B$7,2,FALSE),VLOOKUP(AR170,'Writing Logic'!$A$3:$B$7,2,FALSE),VLOOKUP(AS170,'Writing Logic'!$A$3:$B$7,2,FALSE)),AVERAGE(VLOOKUP(AP170,'Writing Logic'!$A$3:$B$7,2,FALSE),VLOOKUP(AQ170,'Writing Logic'!$A$3:$B$7,2,FALSE),VLOOKUP(AR170,'Writing Logic'!$A$3:$B$7,2,FALSE),VLOOKUP(AS170,'Writing Logic'!$A$3:$B$7,2,FALSE))))),"Fill All 4")</f>
        <v>Fill All 4</v>
      </c>
      <c r="AU170" s="95" t="str">
        <f t="shared" si="14"/>
        <v/>
      </c>
    </row>
    <row r="171" spans="1:47" x14ac:dyDescent="0.25">
      <c r="A171" s="245"/>
      <c r="B171" s="236"/>
      <c r="C171" s="13"/>
      <c r="D171" s="236"/>
      <c r="E171" s="49"/>
      <c r="F171" s="49"/>
      <c r="G171" s="49"/>
      <c r="H171" s="49"/>
      <c r="I171" s="49"/>
      <c r="J171" s="49"/>
      <c r="K171" s="183"/>
      <c r="L171" s="184"/>
      <c r="M171" s="120"/>
      <c r="N171" s="120"/>
      <c r="O171" s="120"/>
      <c r="P171" s="120"/>
      <c r="Q171" s="95" t="str">
        <f>IFERROR(IF(YES_Writing_ELA[[#This Row],[Literacy IPP]]='Writing Logic'!$E$26,"IPP",IF(OR(M171="EAL",N171="EAL",O171="EAL",P171="EAL"),"EAL",IF(M171='Writing Logic'!$A$10,AVERAGE(VLOOKUP(N171,'Writing Logic'!$A$3:$B$7,2,FALSE),VLOOKUP(O171,'Writing Logic'!$A$3:$B$7,2,FALSE),VLOOKUP(P171,'Writing Logic'!$A$3:$B$7,2,FALSE)),AVERAGE(VLOOKUP(M171,'Writing Logic'!$A$3:$B$7,2,FALSE),VLOOKUP(N171,'Writing Logic'!$A$3:$B$7,2,FALSE),VLOOKUP(O171,'Writing Logic'!$A$3:$B$7,2,FALSE),VLOOKUP(P171,'Writing Logic'!$A$3:$B$7,2,FALSE))))),"Fill All 4")</f>
        <v>Fill All 4</v>
      </c>
      <c r="R171" s="120"/>
      <c r="S171" s="120"/>
      <c r="T171" s="120"/>
      <c r="U171" s="120"/>
      <c r="V171" s="95" t="str">
        <f>IFERROR(IF(YES_Writing_ELA[[#This Row],[Literacy IPP]]='Writing Logic'!$E$26,"IPP",IF(OR(R171="EAL",S171="EAL",T171="EAL",U171="EAL"),"EAL",IF(R171='Writing Logic'!$A$10,AVERAGE(VLOOKUP(S171,'Writing Logic'!$A$3:$B$7,2,FALSE),VLOOKUP(T171,'Writing Logic'!$A$3:$B$7,2,FALSE),VLOOKUP(U171,'Writing Logic'!$A$3:$B$7,2,FALSE)),AVERAGE(VLOOKUP(R171,'Writing Logic'!$A$3:$B$7,2,FALSE),VLOOKUP(S171,'Writing Logic'!$A$3:$B$7,2,FALSE),VLOOKUP(T171,'Writing Logic'!$A$3:$B$7,2,FALSE),VLOOKUP(U171,'Writing Logic'!$A$3:$B$7,2,FALSE))))),"Fill All 4")</f>
        <v>Fill All 4</v>
      </c>
      <c r="W171" s="95" t="str">
        <f t="shared" si="10"/>
        <v/>
      </c>
      <c r="X171" s="120"/>
      <c r="Y171" s="120"/>
      <c r="Z171" s="120"/>
      <c r="AA171" s="120"/>
      <c r="AB171" s="95" t="str">
        <f>IFERROR(IF(YES_Writing_ELA[[#This Row],[Literacy IPP]]='Writing Logic'!$E$26,"IPP",IF(OR(X171="EAL",Y171="EAL",Z171="EAL",AA171="EAL"),"EAL",IF(X171='Writing Logic'!$A$10,AVERAGE(VLOOKUP(Y171,'Writing Logic'!$A$3:$B$7,2,FALSE),VLOOKUP(Z171,'Writing Logic'!$A$3:$B$7,2,FALSE),VLOOKUP(AA171,'Writing Logic'!$A$3:$B$7,2,FALSE)),AVERAGE(VLOOKUP(X171,'Writing Logic'!$A$3:$B$7,2,FALSE),VLOOKUP(Y171,'Writing Logic'!$A$3:$B$7,2,FALSE),VLOOKUP(Z171,'Writing Logic'!$A$3:$B$7,2,FALSE),VLOOKUP(AA171,'Writing Logic'!$A$3:$B$7,2,FALSE))))),"Fill All 4")</f>
        <v>Fill All 4</v>
      </c>
      <c r="AC171" s="95" t="str">
        <f t="shared" si="11"/>
        <v/>
      </c>
      <c r="AD171" s="120"/>
      <c r="AE171" s="120"/>
      <c r="AF171" s="120"/>
      <c r="AG171" s="120"/>
      <c r="AH171" s="95" t="str">
        <f>IFERROR(IF(YES_Writing_ELA[[#This Row],[Literacy IPP]]='Writing Logic'!$E$26,"IPP",IF(OR(AD171="EAL",AE171="EAL",AF171="EAL",AG171="EAL"),"EAL",IF(AD171='Writing Logic'!$A$10,AVERAGE(VLOOKUP(AE171,'Writing Logic'!$A$3:$B$7,2,FALSE),VLOOKUP(AF171,'Writing Logic'!$A$3:$B$7,2,FALSE),VLOOKUP(AG171,'Writing Logic'!$A$3:$B$7,2,FALSE)),AVERAGE(VLOOKUP(AD171,'Writing Logic'!$A$3:$B$7,2,FALSE),VLOOKUP(AE171,'Writing Logic'!$A$3:$B$7,2,FALSE),VLOOKUP(AF171,'Writing Logic'!$A$3:$B$7,2,FALSE),VLOOKUP(AG171,'Writing Logic'!$A$3:$B$7,2,FALSE))))),"Fill All 4")</f>
        <v>Fill All 4</v>
      </c>
      <c r="AI171" s="95" t="str">
        <f t="shared" si="12"/>
        <v/>
      </c>
      <c r="AJ171" s="183"/>
      <c r="AK171" s="120"/>
      <c r="AL171" s="120"/>
      <c r="AM171" s="120"/>
      <c r="AN171" s="95" t="str">
        <f>IFERROR(IF(YES_Writing_ELA[[#This Row],[Literacy IPP]]='Writing Logic'!$E$26,"IPP",IF(OR(AJ171="EAL",AK171="EAL",AL171="EAL",AM171="EAL"),"EAL",IF(AJ171='Writing Logic'!$A$10,AVERAGE(VLOOKUP(AK171,'Writing Logic'!$A$3:$B$7,2,FALSE),VLOOKUP(AL171,'Writing Logic'!$A$3:$B$7,2,FALSE),VLOOKUP(AM171,'Writing Logic'!$A$3:$B$7,2,FALSE)),AVERAGE(VLOOKUP(AJ171,'Writing Logic'!$A$3:$B$7,2,FALSE),VLOOKUP(AK171,'Writing Logic'!$A$3:$B$7,2,FALSE),VLOOKUP(AL171,'Writing Logic'!$A$3:$B$7,2,FALSE),VLOOKUP(AM171,'Writing Logic'!$A$3:$B$7,2,FALSE))))),"Fill All 4")</f>
        <v>Fill All 4</v>
      </c>
      <c r="AO171" s="95" t="str">
        <f t="shared" si="13"/>
        <v/>
      </c>
      <c r="AP171" s="120"/>
      <c r="AQ171" s="120"/>
      <c r="AR171" s="120"/>
      <c r="AS171" s="120"/>
      <c r="AT171" s="95" t="str">
        <f>IFERROR(IF(YES_Writing_ELA[[#This Row],[Literacy IPP]]='Writing Logic'!$E$26,"IPP",IF(OR(AP171="EAL",AQ171="EAL",AR171="EAL",AS171="EAL"),"EAL",IF(AP171='Writing Logic'!$A$10,AVERAGE(VLOOKUP(AQ171,'Writing Logic'!$A$3:$B$7,2,FALSE),VLOOKUP(AR171,'Writing Logic'!$A$3:$B$7,2,FALSE),VLOOKUP(AS171,'Writing Logic'!$A$3:$B$7,2,FALSE)),AVERAGE(VLOOKUP(AP171,'Writing Logic'!$A$3:$B$7,2,FALSE),VLOOKUP(AQ171,'Writing Logic'!$A$3:$B$7,2,FALSE),VLOOKUP(AR171,'Writing Logic'!$A$3:$B$7,2,FALSE),VLOOKUP(AS171,'Writing Logic'!$A$3:$B$7,2,FALSE))))),"Fill All 4")</f>
        <v>Fill All 4</v>
      </c>
      <c r="AU171" s="95" t="str">
        <f t="shared" si="14"/>
        <v/>
      </c>
    </row>
    <row r="172" spans="1:47" x14ac:dyDescent="0.25">
      <c r="A172" s="245"/>
      <c r="B172" s="236"/>
      <c r="C172" s="13"/>
      <c r="D172" s="236"/>
      <c r="E172" s="49"/>
      <c r="F172" s="49"/>
      <c r="G172" s="49"/>
      <c r="H172" s="49"/>
      <c r="I172" s="49"/>
      <c r="J172" s="49"/>
      <c r="K172" s="183"/>
      <c r="L172" s="184"/>
      <c r="M172" s="120"/>
      <c r="N172" s="120"/>
      <c r="O172" s="120"/>
      <c r="P172" s="120"/>
      <c r="Q172" s="95" t="str">
        <f>IFERROR(IF(YES_Writing_ELA[[#This Row],[Literacy IPP]]='Writing Logic'!$E$26,"IPP",IF(OR(M172="EAL",N172="EAL",O172="EAL",P172="EAL"),"EAL",IF(M172='Writing Logic'!$A$10,AVERAGE(VLOOKUP(N172,'Writing Logic'!$A$3:$B$7,2,FALSE),VLOOKUP(O172,'Writing Logic'!$A$3:$B$7,2,FALSE),VLOOKUP(P172,'Writing Logic'!$A$3:$B$7,2,FALSE)),AVERAGE(VLOOKUP(M172,'Writing Logic'!$A$3:$B$7,2,FALSE),VLOOKUP(N172,'Writing Logic'!$A$3:$B$7,2,FALSE),VLOOKUP(O172,'Writing Logic'!$A$3:$B$7,2,FALSE),VLOOKUP(P172,'Writing Logic'!$A$3:$B$7,2,FALSE))))),"Fill All 4")</f>
        <v>Fill All 4</v>
      </c>
      <c r="R172" s="120"/>
      <c r="S172" s="120"/>
      <c r="T172" s="120"/>
      <c r="U172" s="120"/>
      <c r="V172" s="95" t="str">
        <f>IFERROR(IF(YES_Writing_ELA[[#This Row],[Literacy IPP]]='Writing Logic'!$E$26,"IPP",IF(OR(R172="EAL",S172="EAL",T172="EAL",U172="EAL"),"EAL",IF(R172='Writing Logic'!$A$10,AVERAGE(VLOOKUP(S172,'Writing Logic'!$A$3:$B$7,2,FALSE),VLOOKUP(T172,'Writing Logic'!$A$3:$B$7,2,FALSE),VLOOKUP(U172,'Writing Logic'!$A$3:$B$7,2,FALSE)),AVERAGE(VLOOKUP(R172,'Writing Logic'!$A$3:$B$7,2,FALSE),VLOOKUP(S172,'Writing Logic'!$A$3:$B$7,2,FALSE),VLOOKUP(T172,'Writing Logic'!$A$3:$B$7,2,FALSE),VLOOKUP(U172,'Writing Logic'!$A$3:$B$7,2,FALSE))))),"Fill All 4")</f>
        <v>Fill All 4</v>
      </c>
      <c r="W172" s="95" t="str">
        <f t="shared" si="10"/>
        <v/>
      </c>
      <c r="X172" s="120"/>
      <c r="Y172" s="120"/>
      <c r="Z172" s="120"/>
      <c r="AA172" s="120"/>
      <c r="AB172" s="95" t="str">
        <f>IFERROR(IF(YES_Writing_ELA[[#This Row],[Literacy IPP]]='Writing Logic'!$E$26,"IPP",IF(OR(X172="EAL",Y172="EAL",Z172="EAL",AA172="EAL"),"EAL",IF(X172='Writing Logic'!$A$10,AVERAGE(VLOOKUP(Y172,'Writing Logic'!$A$3:$B$7,2,FALSE),VLOOKUP(Z172,'Writing Logic'!$A$3:$B$7,2,FALSE),VLOOKUP(AA172,'Writing Logic'!$A$3:$B$7,2,FALSE)),AVERAGE(VLOOKUP(X172,'Writing Logic'!$A$3:$B$7,2,FALSE),VLOOKUP(Y172,'Writing Logic'!$A$3:$B$7,2,FALSE),VLOOKUP(Z172,'Writing Logic'!$A$3:$B$7,2,FALSE),VLOOKUP(AA172,'Writing Logic'!$A$3:$B$7,2,FALSE))))),"Fill All 4")</f>
        <v>Fill All 4</v>
      </c>
      <c r="AC172" s="95" t="str">
        <f t="shared" si="11"/>
        <v/>
      </c>
      <c r="AD172" s="120"/>
      <c r="AE172" s="120"/>
      <c r="AF172" s="120"/>
      <c r="AG172" s="120"/>
      <c r="AH172" s="95" t="str">
        <f>IFERROR(IF(YES_Writing_ELA[[#This Row],[Literacy IPP]]='Writing Logic'!$E$26,"IPP",IF(OR(AD172="EAL",AE172="EAL",AF172="EAL",AG172="EAL"),"EAL",IF(AD172='Writing Logic'!$A$10,AVERAGE(VLOOKUP(AE172,'Writing Logic'!$A$3:$B$7,2,FALSE),VLOOKUP(AF172,'Writing Logic'!$A$3:$B$7,2,FALSE),VLOOKUP(AG172,'Writing Logic'!$A$3:$B$7,2,FALSE)),AVERAGE(VLOOKUP(AD172,'Writing Logic'!$A$3:$B$7,2,FALSE),VLOOKUP(AE172,'Writing Logic'!$A$3:$B$7,2,FALSE),VLOOKUP(AF172,'Writing Logic'!$A$3:$B$7,2,FALSE),VLOOKUP(AG172,'Writing Logic'!$A$3:$B$7,2,FALSE))))),"Fill All 4")</f>
        <v>Fill All 4</v>
      </c>
      <c r="AI172" s="95" t="str">
        <f t="shared" si="12"/>
        <v/>
      </c>
      <c r="AJ172" s="183"/>
      <c r="AK172" s="120"/>
      <c r="AL172" s="120"/>
      <c r="AM172" s="120"/>
      <c r="AN172" s="95" t="str">
        <f>IFERROR(IF(YES_Writing_ELA[[#This Row],[Literacy IPP]]='Writing Logic'!$E$26,"IPP",IF(OR(AJ172="EAL",AK172="EAL",AL172="EAL",AM172="EAL"),"EAL",IF(AJ172='Writing Logic'!$A$10,AVERAGE(VLOOKUP(AK172,'Writing Logic'!$A$3:$B$7,2,FALSE),VLOOKUP(AL172,'Writing Logic'!$A$3:$B$7,2,FALSE),VLOOKUP(AM172,'Writing Logic'!$A$3:$B$7,2,FALSE)),AVERAGE(VLOOKUP(AJ172,'Writing Logic'!$A$3:$B$7,2,FALSE),VLOOKUP(AK172,'Writing Logic'!$A$3:$B$7,2,FALSE),VLOOKUP(AL172,'Writing Logic'!$A$3:$B$7,2,FALSE),VLOOKUP(AM172,'Writing Logic'!$A$3:$B$7,2,FALSE))))),"Fill All 4")</f>
        <v>Fill All 4</v>
      </c>
      <c r="AO172" s="95" t="str">
        <f t="shared" si="13"/>
        <v/>
      </c>
      <c r="AP172" s="120"/>
      <c r="AQ172" s="120"/>
      <c r="AR172" s="120"/>
      <c r="AS172" s="120"/>
      <c r="AT172" s="95" t="str">
        <f>IFERROR(IF(YES_Writing_ELA[[#This Row],[Literacy IPP]]='Writing Logic'!$E$26,"IPP",IF(OR(AP172="EAL",AQ172="EAL",AR172="EAL",AS172="EAL"),"EAL",IF(AP172='Writing Logic'!$A$10,AVERAGE(VLOOKUP(AQ172,'Writing Logic'!$A$3:$B$7,2,FALSE),VLOOKUP(AR172,'Writing Logic'!$A$3:$B$7,2,FALSE),VLOOKUP(AS172,'Writing Logic'!$A$3:$B$7,2,FALSE)),AVERAGE(VLOOKUP(AP172,'Writing Logic'!$A$3:$B$7,2,FALSE),VLOOKUP(AQ172,'Writing Logic'!$A$3:$B$7,2,FALSE),VLOOKUP(AR172,'Writing Logic'!$A$3:$B$7,2,FALSE),VLOOKUP(AS172,'Writing Logic'!$A$3:$B$7,2,FALSE))))),"Fill All 4")</f>
        <v>Fill All 4</v>
      </c>
      <c r="AU172" s="95" t="str">
        <f t="shared" si="14"/>
        <v/>
      </c>
    </row>
    <row r="173" spans="1:47" x14ac:dyDescent="0.25">
      <c r="A173" s="245"/>
      <c r="B173" s="236"/>
      <c r="C173" s="13"/>
      <c r="D173" s="236"/>
      <c r="E173" s="49"/>
      <c r="F173" s="49"/>
      <c r="G173" s="49"/>
      <c r="H173" s="49"/>
      <c r="I173" s="49"/>
      <c r="J173" s="49"/>
      <c r="K173" s="183"/>
      <c r="L173" s="184"/>
      <c r="M173" s="120"/>
      <c r="N173" s="120"/>
      <c r="O173" s="120"/>
      <c r="P173" s="120"/>
      <c r="Q173" s="95" t="str">
        <f>IFERROR(IF(YES_Writing_ELA[[#This Row],[Literacy IPP]]='Writing Logic'!$E$26,"IPP",IF(OR(M173="EAL",N173="EAL",O173="EAL",P173="EAL"),"EAL",IF(M173='Writing Logic'!$A$10,AVERAGE(VLOOKUP(N173,'Writing Logic'!$A$3:$B$7,2,FALSE),VLOOKUP(O173,'Writing Logic'!$A$3:$B$7,2,FALSE),VLOOKUP(P173,'Writing Logic'!$A$3:$B$7,2,FALSE)),AVERAGE(VLOOKUP(M173,'Writing Logic'!$A$3:$B$7,2,FALSE),VLOOKUP(N173,'Writing Logic'!$A$3:$B$7,2,FALSE),VLOOKUP(O173,'Writing Logic'!$A$3:$B$7,2,FALSE),VLOOKUP(P173,'Writing Logic'!$A$3:$B$7,2,FALSE))))),"Fill All 4")</f>
        <v>Fill All 4</v>
      </c>
      <c r="R173" s="120"/>
      <c r="S173" s="120"/>
      <c r="T173" s="120"/>
      <c r="U173" s="120"/>
      <c r="V173" s="95" t="str">
        <f>IFERROR(IF(YES_Writing_ELA[[#This Row],[Literacy IPP]]='Writing Logic'!$E$26,"IPP",IF(OR(R173="EAL",S173="EAL",T173="EAL",U173="EAL"),"EAL",IF(R173='Writing Logic'!$A$10,AVERAGE(VLOOKUP(S173,'Writing Logic'!$A$3:$B$7,2,FALSE),VLOOKUP(T173,'Writing Logic'!$A$3:$B$7,2,FALSE),VLOOKUP(U173,'Writing Logic'!$A$3:$B$7,2,FALSE)),AVERAGE(VLOOKUP(R173,'Writing Logic'!$A$3:$B$7,2,FALSE),VLOOKUP(S173,'Writing Logic'!$A$3:$B$7,2,FALSE),VLOOKUP(T173,'Writing Logic'!$A$3:$B$7,2,FALSE),VLOOKUP(U173,'Writing Logic'!$A$3:$B$7,2,FALSE))))),"Fill All 4")</f>
        <v>Fill All 4</v>
      </c>
      <c r="W173" s="95" t="str">
        <f t="shared" si="10"/>
        <v/>
      </c>
      <c r="X173" s="120"/>
      <c r="Y173" s="120"/>
      <c r="Z173" s="120"/>
      <c r="AA173" s="120"/>
      <c r="AB173" s="95" t="str">
        <f>IFERROR(IF(YES_Writing_ELA[[#This Row],[Literacy IPP]]='Writing Logic'!$E$26,"IPP",IF(OR(X173="EAL",Y173="EAL",Z173="EAL",AA173="EAL"),"EAL",IF(X173='Writing Logic'!$A$10,AVERAGE(VLOOKUP(Y173,'Writing Logic'!$A$3:$B$7,2,FALSE),VLOOKUP(Z173,'Writing Logic'!$A$3:$B$7,2,FALSE),VLOOKUP(AA173,'Writing Logic'!$A$3:$B$7,2,FALSE)),AVERAGE(VLOOKUP(X173,'Writing Logic'!$A$3:$B$7,2,FALSE),VLOOKUP(Y173,'Writing Logic'!$A$3:$B$7,2,FALSE),VLOOKUP(Z173,'Writing Logic'!$A$3:$B$7,2,FALSE),VLOOKUP(AA173,'Writing Logic'!$A$3:$B$7,2,FALSE))))),"Fill All 4")</f>
        <v>Fill All 4</v>
      </c>
      <c r="AC173" s="95" t="str">
        <f t="shared" si="11"/>
        <v/>
      </c>
      <c r="AD173" s="120"/>
      <c r="AE173" s="120"/>
      <c r="AF173" s="120"/>
      <c r="AG173" s="120"/>
      <c r="AH173" s="95" t="str">
        <f>IFERROR(IF(YES_Writing_ELA[[#This Row],[Literacy IPP]]='Writing Logic'!$E$26,"IPP",IF(OR(AD173="EAL",AE173="EAL",AF173="EAL",AG173="EAL"),"EAL",IF(AD173='Writing Logic'!$A$10,AVERAGE(VLOOKUP(AE173,'Writing Logic'!$A$3:$B$7,2,FALSE),VLOOKUP(AF173,'Writing Logic'!$A$3:$B$7,2,FALSE),VLOOKUP(AG173,'Writing Logic'!$A$3:$B$7,2,FALSE)),AVERAGE(VLOOKUP(AD173,'Writing Logic'!$A$3:$B$7,2,FALSE),VLOOKUP(AE173,'Writing Logic'!$A$3:$B$7,2,FALSE),VLOOKUP(AF173,'Writing Logic'!$A$3:$B$7,2,FALSE),VLOOKUP(AG173,'Writing Logic'!$A$3:$B$7,2,FALSE))))),"Fill All 4")</f>
        <v>Fill All 4</v>
      </c>
      <c r="AI173" s="95" t="str">
        <f t="shared" si="12"/>
        <v/>
      </c>
      <c r="AJ173" s="183"/>
      <c r="AK173" s="120"/>
      <c r="AL173" s="120"/>
      <c r="AM173" s="120"/>
      <c r="AN173" s="95" t="str">
        <f>IFERROR(IF(YES_Writing_ELA[[#This Row],[Literacy IPP]]='Writing Logic'!$E$26,"IPP",IF(OR(AJ173="EAL",AK173="EAL",AL173="EAL",AM173="EAL"),"EAL",IF(AJ173='Writing Logic'!$A$10,AVERAGE(VLOOKUP(AK173,'Writing Logic'!$A$3:$B$7,2,FALSE),VLOOKUP(AL173,'Writing Logic'!$A$3:$B$7,2,FALSE),VLOOKUP(AM173,'Writing Logic'!$A$3:$B$7,2,FALSE)),AVERAGE(VLOOKUP(AJ173,'Writing Logic'!$A$3:$B$7,2,FALSE),VLOOKUP(AK173,'Writing Logic'!$A$3:$B$7,2,FALSE),VLOOKUP(AL173,'Writing Logic'!$A$3:$B$7,2,FALSE),VLOOKUP(AM173,'Writing Logic'!$A$3:$B$7,2,FALSE))))),"Fill All 4")</f>
        <v>Fill All 4</v>
      </c>
      <c r="AO173" s="95" t="str">
        <f t="shared" si="13"/>
        <v/>
      </c>
      <c r="AP173" s="120"/>
      <c r="AQ173" s="120"/>
      <c r="AR173" s="120"/>
      <c r="AS173" s="120"/>
      <c r="AT173" s="95" t="str">
        <f>IFERROR(IF(YES_Writing_ELA[[#This Row],[Literacy IPP]]='Writing Logic'!$E$26,"IPP",IF(OR(AP173="EAL",AQ173="EAL",AR173="EAL",AS173="EAL"),"EAL",IF(AP173='Writing Logic'!$A$10,AVERAGE(VLOOKUP(AQ173,'Writing Logic'!$A$3:$B$7,2,FALSE),VLOOKUP(AR173,'Writing Logic'!$A$3:$B$7,2,FALSE),VLOOKUP(AS173,'Writing Logic'!$A$3:$B$7,2,FALSE)),AVERAGE(VLOOKUP(AP173,'Writing Logic'!$A$3:$B$7,2,FALSE),VLOOKUP(AQ173,'Writing Logic'!$A$3:$B$7,2,FALSE),VLOOKUP(AR173,'Writing Logic'!$A$3:$B$7,2,FALSE),VLOOKUP(AS173,'Writing Logic'!$A$3:$B$7,2,FALSE))))),"Fill All 4")</f>
        <v>Fill All 4</v>
      </c>
      <c r="AU173" s="95" t="str">
        <f t="shared" si="14"/>
        <v/>
      </c>
    </row>
    <row r="174" spans="1:47" x14ac:dyDescent="0.25">
      <c r="A174" s="245"/>
      <c r="B174" s="236"/>
      <c r="C174" s="13"/>
      <c r="D174" s="236"/>
      <c r="E174" s="49"/>
      <c r="F174" s="49"/>
      <c r="G174" s="49"/>
      <c r="H174" s="49"/>
      <c r="I174" s="49"/>
      <c r="J174" s="49"/>
      <c r="K174" s="183"/>
      <c r="L174" s="184"/>
      <c r="M174" s="120"/>
      <c r="N174" s="120"/>
      <c r="O174" s="120"/>
      <c r="P174" s="120"/>
      <c r="Q174" s="95" t="str">
        <f>IFERROR(IF(YES_Writing_ELA[[#This Row],[Literacy IPP]]='Writing Logic'!$E$26,"IPP",IF(OR(M174="EAL",N174="EAL",O174="EAL",P174="EAL"),"EAL",IF(M174='Writing Logic'!$A$10,AVERAGE(VLOOKUP(N174,'Writing Logic'!$A$3:$B$7,2,FALSE),VLOOKUP(O174,'Writing Logic'!$A$3:$B$7,2,FALSE),VLOOKUP(P174,'Writing Logic'!$A$3:$B$7,2,FALSE)),AVERAGE(VLOOKUP(M174,'Writing Logic'!$A$3:$B$7,2,FALSE),VLOOKUP(N174,'Writing Logic'!$A$3:$B$7,2,FALSE),VLOOKUP(O174,'Writing Logic'!$A$3:$B$7,2,FALSE),VLOOKUP(P174,'Writing Logic'!$A$3:$B$7,2,FALSE))))),"Fill All 4")</f>
        <v>Fill All 4</v>
      </c>
      <c r="R174" s="120"/>
      <c r="S174" s="120"/>
      <c r="T174" s="120"/>
      <c r="U174" s="120"/>
      <c r="V174" s="95" t="str">
        <f>IFERROR(IF(YES_Writing_ELA[[#This Row],[Literacy IPP]]='Writing Logic'!$E$26,"IPP",IF(OR(R174="EAL",S174="EAL",T174="EAL",U174="EAL"),"EAL",IF(R174='Writing Logic'!$A$10,AVERAGE(VLOOKUP(S174,'Writing Logic'!$A$3:$B$7,2,FALSE),VLOOKUP(T174,'Writing Logic'!$A$3:$B$7,2,FALSE),VLOOKUP(U174,'Writing Logic'!$A$3:$B$7,2,FALSE)),AVERAGE(VLOOKUP(R174,'Writing Logic'!$A$3:$B$7,2,FALSE),VLOOKUP(S174,'Writing Logic'!$A$3:$B$7,2,FALSE),VLOOKUP(T174,'Writing Logic'!$A$3:$B$7,2,FALSE),VLOOKUP(U174,'Writing Logic'!$A$3:$B$7,2,FALSE))))),"Fill All 4")</f>
        <v>Fill All 4</v>
      </c>
      <c r="W174" s="95" t="str">
        <f t="shared" si="10"/>
        <v/>
      </c>
      <c r="X174" s="120"/>
      <c r="Y174" s="120"/>
      <c r="Z174" s="120"/>
      <c r="AA174" s="120"/>
      <c r="AB174" s="95" t="str">
        <f>IFERROR(IF(YES_Writing_ELA[[#This Row],[Literacy IPP]]='Writing Logic'!$E$26,"IPP",IF(OR(X174="EAL",Y174="EAL",Z174="EAL",AA174="EAL"),"EAL",IF(X174='Writing Logic'!$A$10,AVERAGE(VLOOKUP(Y174,'Writing Logic'!$A$3:$B$7,2,FALSE),VLOOKUP(Z174,'Writing Logic'!$A$3:$B$7,2,FALSE),VLOOKUP(AA174,'Writing Logic'!$A$3:$B$7,2,FALSE)),AVERAGE(VLOOKUP(X174,'Writing Logic'!$A$3:$B$7,2,FALSE),VLOOKUP(Y174,'Writing Logic'!$A$3:$B$7,2,FALSE),VLOOKUP(Z174,'Writing Logic'!$A$3:$B$7,2,FALSE),VLOOKUP(AA174,'Writing Logic'!$A$3:$B$7,2,FALSE))))),"Fill All 4")</f>
        <v>Fill All 4</v>
      </c>
      <c r="AC174" s="95" t="str">
        <f t="shared" si="11"/>
        <v/>
      </c>
      <c r="AD174" s="120"/>
      <c r="AE174" s="120"/>
      <c r="AF174" s="120"/>
      <c r="AG174" s="120"/>
      <c r="AH174" s="95" t="str">
        <f>IFERROR(IF(YES_Writing_ELA[[#This Row],[Literacy IPP]]='Writing Logic'!$E$26,"IPP",IF(OR(AD174="EAL",AE174="EAL",AF174="EAL",AG174="EAL"),"EAL",IF(AD174='Writing Logic'!$A$10,AVERAGE(VLOOKUP(AE174,'Writing Logic'!$A$3:$B$7,2,FALSE),VLOOKUP(AF174,'Writing Logic'!$A$3:$B$7,2,FALSE),VLOOKUP(AG174,'Writing Logic'!$A$3:$B$7,2,FALSE)),AVERAGE(VLOOKUP(AD174,'Writing Logic'!$A$3:$B$7,2,FALSE),VLOOKUP(AE174,'Writing Logic'!$A$3:$B$7,2,FALSE),VLOOKUP(AF174,'Writing Logic'!$A$3:$B$7,2,FALSE),VLOOKUP(AG174,'Writing Logic'!$A$3:$B$7,2,FALSE))))),"Fill All 4")</f>
        <v>Fill All 4</v>
      </c>
      <c r="AI174" s="95" t="str">
        <f t="shared" si="12"/>
        <v/>
      </c>
      <c r="AJ174" s="183"/>
      <c r="AK174" s="120"/>
      <c r="AL174" s="120"/>
      <c r="AM174" s="120"/>
      <c r="AN174" s="95" t="str">
        <f>IFERROR(IF(YES_Writing_ELA[[#This Row],[Literacy IPP]]='Writing Logic'!$E$26,"IPP",IF(OR(AJ174="EAL",AK174="EAL",AL174="EAL",AM174="EAL"),"EAL",IF(AJ174='Writing Logic'!$A$10,AVERAGE(VLOOKUP(AK174,'Writing Logic'!$A$3:$B$7,2,FALSE),VLOOKUP(AL174,'Writing Logic'!$A$3:$B$7,2,FALSE),VLOOKUP(AM174,'Writing Logic'!$A$3:$B$7,2,FALSE)),AVERAGE(VLOOKUP(AJ174,'Writing Logic'!$A$3:$B$7,2,FALSE),VLOOKUP(AK174,'Writing Logic'!$A$3:$B$7,2,FALSE),VLOOKUP(AL174,'Writing Logic'!$A$3:$B$7,2,FALSE),VLOOKUP(AM174,'Writing Logic'!$A$3:$B$7,2,FALSE))))),"Fill All 4")</f>
        <v>Fill All 4</v>
      </c>
      <c r="AO174" s="95" t="str">
        <f t="shared" si="13"/>
        <v/>
      </c>
      <c r="AP174" s="120"/>
      <c r="AQ174" s="120"/>
      <c r="AR174" s="120"/>
      <c r="AS174" s="120"/>
      <c r="AT174" s="95" t="str">
        <f>IFERROR(IF(YES_Writing_ELA[[#This Row],[Literacy IPP]]='Writing Logic'!$E$26,"IPP",IF(OR(AP174="EAL",AQ174="EAL",AR174="EAL",AS174="EAL"),"EAL",IF(AP174='Writing Logic'!$A$10,AVERAGE(VLOOKUP(AQ174,'Writing Logic'!$A$3:$B$7,2,FALSE),VLOOKUP(AR174,'Writing Logic'!$A$3:$B$7,2,FALSE),VLOOKUP(AS174,'Writing Logic'!$A$3:$B$7,2,FALSE)),AVERAGE(VLOOKUP(AP174,'Writing Logic'!$A$3:$B$7,2,FALSE),VLOOKUP(AQ174,'Writing Logic'!$A$3:$B$7,2,FALSE),VLOOKUP(AR174,'Writing Logic'!$A$3:$B$7,2,FALSE),VLOOKUP(AS174,'Writing Logic'!$A$3:$B$7,2,FALSE))))),"Fill All 4")</f>
        <v>Fill All 4</v>
      </c>
      <c r="AU174" s="95" t="str">
        <f t="shared" si="14"/>
        <v/>
      </c>
    </row>
    <row r="175" spans="1:47" x14ac:dyDescent="0.25">
      <c r="A175" s="245"/>
      <c r="B175" s="236"/>
      <c r="C175" s="13"/>
      <c r="D175" s="236"/>
      <c r="E175" s="49"/>
      <c r="F175" s="49"/>
      <c r="G175" s="49"/>
      <c r="H175" s="49"/>
      <c r="I175" s="49"/>
      <c r="J175" s="49"/>
      <c r="K175" s="183"/>
      <c r="L175" s="184"/>
      <c r="M175" s="120"/>
      <c r="N175" s="120"/>
      <c r="O175" s="120"/>
      <c r="P175" s="120"/>
      <c r="Q175" s="95" t="str">
        <f>IFERROR(IF(YES_Writing_ELA[[#This Row],[Literacy IPP]]='Writing Logic'!$E$26,"IPP",IF(OR(M175="EAL",N175="EAL",O175="EAL",P175="EAL"),"EAL",IF(M175='Writing Logic'!$A$10,AVERAGE(VLOOKUP(N175,'Writing Logic'!$A$3:$B$7,2,FALSE),VLOOKUP(O175,'Writing Logic'!$A$3:$B$7,2,FALSE),VLOOKUP(P175,'Writing Logic'!$A$3:$B$7,2,FALSE)),AVERAGE(VLOOKUP(M175,'Writing Logic'!$A$3:$B$7,2,FALSE),VLOOKUP(N175,'Writing Logic'!$A$3:$B$7,2,FALSE),VLOOKUP(O175,'Writing Logic'!$A$3:$B$7,2,FALSE),VLOOKUP(P175,'Writing Logic'!$A$3:$B$7,2,FALSE))))),"Fill All 4")</f>
        <v>Fill All 4</v>
      </c>
      <c r="R175" s="120"/>
      <c r="S175" s="120"/>
      <c r="T175" s="120"/>
      <c r="U175" s="120"/>
      <c r="V175" s="95" t="str">
        <f>IFERROR(IF(YES_Writing_ELA[[#This Row],[Literacy IPP]]='Writing Logic'!$E$26,"IPP",IF(OR(R175="EAL",S175="EAL",T175="EAL",U175="EAL"),"EAL",IF(R175='Writing Logic'!$A$10,AVERAGE(VLOOKUP(S175,'Writing Logic'!$A$3:$B$7,2,FALSE),VLOOKUP(T175,'Writing Logic'!$A$3:$B$7,2,FALSE),VLOOKUP(U175,'Writing Logic'!$A$3:$B$7,2,FALSE)),AVERAGE(VLOOKUP(R175,'Writing Logic'!$A$3:$B$7,2,FALSE),VLOOKUP(S175,'Writing Logic'!$A$3:$B$7,2,FALSE),VLOOKUP(T175,'Writing Logic'!$A$3:$B$7,2,FALSE),VLOOKUP(U175,'Writing Logic'!$A$3:$B$7,2,FALSE))))),"Fill All 4")</f>
        <v>Fill All 4</v>
      </c>
      <c r="W175" s="95" t="str">
        <f t="shared" si="10"/>
        <v/>
      </c>
      <c r="X175" s="120"/>
      <c r="Y175" s="120"/>
      <c r="Z175" s="120"/>
      <c r="AA175" s="120"/>
      <c r="AB175" s="95" t="str">
        <f>IFERROR(IF(YES_Writing_ELA[[#This Row],[Literacy IPP]]='Writing Logic'!$E$26,"IPP",IF(OR(X175="EAL",Y175="EAL",Z175="EAL",AA175="EAL"),"EAL",IF(X175='Writing Logic'!$A$10,AVERAGE(VLOOKUP(Y175,'Writing Logic'!$A$3:$B$7,2,FALSE),VLOOKUP(Z175,'Writing Logic'!$A$3:$B$7,2,FALSE),VLOOKUP(AA175,'Writing Logic'!$A$3:$B$7,2,FALSE)),AVERAGE(VLOOKUP(X175,'Writing Logic'!$A$3:$B$7,2,FALSE),VLOOKUP(Y175,'Writing Logic'!$A$3:$B$7,2,FALSE),VLOOKUP(Z175,'Writing Logic'!$A$3:$B$7,2,FALSE),VLOOKUP(AA175,'Writing Logic'!$A$3:$B$7,2,FALSE))))),"Fill All 4")</f>
        <v>Fill All 4</v>
      </c>
      <c r="AC175" s="95" t="str">
        <f t="shared" si="11"/>
        <v/>
      </c>
      <c r="AD175" s="120"/>
      <c r="AE175" s="120"/>
      <c r="AF175" s="120"/>
      <c r="AG175" s="120"/>
      <c r="AH175" s="95" t="str">
        <f>IFERROR(IF(YES_Writing_ELA[[#This Row],[Literacy IPP]]='Writing Logic'!$E$26,"IPP",IF(OR(AD175="EAL",AE175="EAL",AF175="EAL",AG175="EAL"),"EAL",IF(AD175='Writing Logic'!$A$10,AVERAGE(VLOOKUP(AE175,'Writing Logic'!$A$3:$B$7,2,FALSE),VLOOKUP(AF175,'Writing Logic'!$A$3:$B$7,2,FALSE),VLOOKUP(AG175,'Writing Logic'!$A$3:$B$7,2,FALSE)),AVERAGE(VLOOKUP(AD175,'Writing Logic'!$A$3:$B$7,2,FALSE),VLOOKUP(AE175,'Writing Logic'!$A$3:$B$7,2,FALSE),VLOOKUP(AF175,'Writing Logic'!$A$3:$B$7,2,FALSE),VLOOKUP(AG175,'Writing Logic'!$A$3:$B$7,2,FALSE))))),"Fill All 4")</f>
        <v>Fill All 4</v>
      </c>
      <c r="AI175" s="95" t="str">
        <f t="shared" si="12"/>
        <v/>
      </c>
      <c r="AJ175" s="183"/>
      <c r="AK175" s="120"/>
      <c r="AL175" s="120"/>
      <c r="AM175" s="120"/>
      <c r="AN175" s="95" t="str">
        <f>IFERROR(IF(YES_Writing_ELA[[#This Row],[Literacy IPP]]='Writing Logic'!$E$26,"IPP",IF(OR(AJ175="EAL",AK175="EAL",AL175="EAL",AM175="EAL"),"EAL",IF(AJ175='Writing Logic'!$A$10,AVERAGE(VLOOKUP(AK175,'Writing Logic'!$A$3:$B$7,2,FALSE),VLOOKUP(AL175,'Writing Logic'!$A$3:$B$7,2,FALSE),VLOOKUP(AM175,'Writing Logic'!$A$3:$B$7,2,FALSE)),AVERAGE(VLOOKUP(AJ175,'Writing Logic'!$A$3:$B$7,2,FALSE),VLOOKUP(AK175,'Writing Logic'!$A$3:$B$7,2,FALSE),VLOOKUP(AL175,'Writing Logic'!$A$3:$B$7,2,FALSE),VLOOKUP(AM175,'Writing Logic'!$A$3:$B$7,2,FALSE))))),"Fill All 4")</f>
        <v>Fill All 4</v>
      </c>
      <c r="AO175" s="95" t="str">
        <f t="shared" si="13"/>
        <v/>
      </c>
      <c r="AP175" s="120"/>
      <c r="AQ175" s="120"/>
      <c r="AR175" s="120"/>
      <c r="AS175" s="120"/>
      <c r="AT175" s="95" t="str">
        <f>IFERROR(IF(YES_Writing_ELA[[#This Row],[Literacy IPP]]='Writing Logic'!$E$26,"IPP",IF(OR(AP175="EAL",AQ175="EAL",AR175="EAL",AS175="EAL"),"EAL",IF(AP175='Writing Logic'!$A$10,AVERAGE(VLOOKUP(AQ175,'Writing Logic'!$A$3:$B$7,2,FALSE),VLOOKUP(AR175,'Writing Logic'!$A$3:$B$7,2,FALSE),VLOOKUP(AS175,'Writing Logic'!$A$3:$B$7,2,FALSE)),AVERAGE(VLOOKUP(AP175,'Writing Logic'!$A$3:$B$7,2,FALSE),VLOOKUP(AQ175,'Writing Logic'!$A$3:$B$7,2,FALSE),VLOOKUP(AR175,'Writing Logic'!$A$3:$B$7,2,FALSE),VLOOKUP(AS175,'Writing Logic'!$A$3:$B$7,2,FALSE))))),"Fill All 4")</f>
        <v>Fill All 4</v>
      </c>
      <c r="AU175" s="95" t="str">
        <f t="shared" si="14"/>
        <v/>
      </c>
    </row>
    <row r="176" spans="1:47" x14ac:dyDescent="0.25">
      <c r="A176" s="245"/>
      <c r="B176" s="236"/>
      <c r="C176" s="13"/>
      <c r="D176" s="236"/>
      <c r="E176" s="49"/>
      <c r="F176" s="49"/>
      <c r="G176" s="49"/>
      <c r="H176" s="49"/>
      <c r="I176" s="49"/>
      <c r="J176" s="49"/>
      <c r="K176" s="183"/>
      <c r="L176" s="184"/>
      <c r="M176" s="183"/>
      <c r="N176" s="183"/>
      <c r="O176" s="183"/>
      <c r="P176" s="183"/>
      <c r="Q176" s="96" t="str">
        <f>IFERROR(IF(YES_Writing_ELA[[#This Row],[Literacy IPP]]='Writing Logic'!$E$26,"IPP",IF(OR(M176="EAL",N176="EAL",O176="EAL",P176="EAL"),"EAL",IF(M176='Writing Logic'!$A$10,AVERAGE(VLOOKUP(N176,'Writing Logic'!$A$3:$B$7,2,FALSE),VLOOKUP(O176,'Writing Logic'!$A$3:$B$7,2,FALSE),VLOOKUP(P176,'Writing Logic'!$A$3:$B$7,2,FALSE)),AVERAGE(VLOOKUP(M176,'Writing Logic'!$A$3:$B$7,2,FALSE),VLOOKUP(N176,'Writing Logic'!$A$3:$B$7,2,FALSE),VLOOKUP(O176,'Writing Logic'!$A$3:$B$7,2,FALSE),VLOOKUP(P176,'Writing Logic'!$A$3:$B$7,2,FALSE))))),"Fill All 4")</f>
        <v>Fill All 4</v>
      </c>
      <c r="R176" s="120"/>
      <c r="S176" s="120"/>
      <c r="T176" s="120"/>
      <c r="U176" s="120"/>
      <c r="V176" s="95" t="str">
        <f>IFERROR(IF(YES_Writing_ELA[[#This Row],[Literacy IPP]]='Writing Logic'!$E$26,"IPP",IF(OR(R176="EAL",S176="EAL",T176="EAL",U176="EAL"),"EAL",IF(R176='Writing Logic'!$A$10,AVERAGE(VLOOKUP(S176,'Writing Logic'!$A$3:$B$7,2,FALSE),VLOOKUP(T176,'Writing Logic'!$A$3:$B$7,2,FALSE),VLOOKUP(U176,'Writing Logic'!$A$3:$B$7,2,FALSE)),AVERAGE(VLOOKUP(R176,'Writing Logic'!$A$3:$B$7,2,FALSE),VLOOKUP(S176,'Writing Logic'!$A$3:$B$7,2,FALSE),VLOOKUP(T176,'Writing Logic'!$A$3:$B$7,2,FALSE),VLOOKUP(U176,'Writing Logic'!$A$3:$B$7,2,FALSE))))),"Fill All 4")</f>
        <v>Fill All 4</v>
      </c>
      <c r="W176" s="96" t="str">
        <f t="shared" si="10"/>
        <v/>
      </c>
      <c r="X176" s="120"/>
      <c r="Y176" s="120"/>
      <c r="Z176" s="120"/>
      <c r="AA176" s="120"/>
      <c r="AB176" s="95" t="str">
        <f>IFERROR(IF(YES_Writing_ELA[[#This Row],[Literacy IPP]]='Writing Logic'!$E$26,"IPP",IF(OR(X176="EAL",Y176="EAL",Z176="EAL",AA176="EAL"),"EAL",IF(X176='Writing Logic'!$A$10,AVERAGE(VLOOKUP(Y176,'Writing Logic'!$A$3:$B$7,2,FALSE),VLOOKUP(Z176,'Writing Logic'!$A$3:$B$7,2,FALSE),VLOOKUP(AA176,'Writing Logic'!$A$3:$B$7,2,FALSE)),AVERAGE(VLOOKUP(X176,'Writing Logic'!$A$3:$B$7,2,FALSE),VLOOKUP(Y176,'Writing Logic'!$A$3:$B$7,2,FALSE),VLOOKUP(Z176,'Writing Logic'!$A$3:$B$7,2,FALSE),VLOOKUP(AA176,'Writing Logic'!$A$3:$B$7,2,FALSE))))),"Fill All 4")</f>
        <v>Fill All 4</v>
      </c>
      <c r="AC176" s="96" t="str">
        <f t="shared" si="11"/>
        <v/>
      </c>
      <c r="AD176" s="120"/>
      <c r="AE176" s="120"/>
      <c r="AF176" s="120"/>
      <c r="AG176" s="120"/>
      <c r="AH176" s="95" t="str">
        <f>IFERROR(IF(YES_Writing_ELA[[#This Row],[Literacy IPP]]='Writing Logic'!$E$26,"IPP",IF(OR(AD176="EAL",AE176="EAL",AF176="EAL",AG176="EAL"),"EAL",IF(AD176='Writing Logic'!$A$10,AVERAGE(VLOOKUP(AE176,'Writing Logic'!$A$3:$B$7,2,FALSE),VLOOKUP(AF176,'Writing Logic'!$A$3:$B$7,2,FALSE),VLOOKUP(AG176,'Writing Logic'!$A$3:$B$7,2,FALSE)),AVERAGE(VLOOKUP(AD176,'Writing Logic'!$A$3:$B$7,2,FALSE),VLOOKUP(AE176,'Writing Logic'!$A$3:$B$7,2,FALSE),VLOOKUP(AF176,'Writing Logic'!$A$3:$B$7,2,FALSE),VLOOKUP(AG176,'Writing Logic'!$A$3:$B$7,2,FALSE))))),"Fill All 4")</f>
        <v>Fill All 4</v>
      </c>
      <c r="AI176" s="96" t="str">
        <f t="shared" si="12"/>
        <v/>
      </c>
      <c r="AJ176" s="183"/>
      <c r="AK176" s="120"/>
      <c r="AL176" s="120"/>
      <c r="AM176" s="120"/>
      <c r="AN176" s="95" t="str">
        <f>IFERROR(IF(YES_Writing_ELA[[#This Row],[Literacy IPP]]='Writing Logic'!$E$26,"IPP",IF(OR(AJ176="EAL",AK176="EAL",AL176="EAL",AM176="EAL"),"EAL",IF(AJ176='Writing Logic'!$A$10,AVERAGE(VLOOKUP(AK176,'Writing Logic'!$A$3:$B$7,2,FALSE),VLOOKUP(AL176,'Writing Logic'!$A$3:$B$7,2,FALSE),VLOOKUP(AM176,'Writing Logic'!$A$3:$B$7,2,FALSE)),AVERAGE(VLOOKUP(AJ176,'Writing Logic'!$A$3:$B$7,2,FALSE),VLOOKUP(AK176,'Writing Logic'!$A$3:$B$7,2,FALSE),VLOOKUP(AL176,'Writing Logic'!$A$3:$B$7,2,FALSE),VLOOKUP(AM176,'Writing Logic'!$A$3:$B$7,2,FALSE))))),"Fill All 4")</f>
        <v>Fill All 4</v>
      </c>
      <c r="AO176" s="96" t="str">
        <f t="shared" si="13"/>
        <v/>
      </c>
      <c r="AP176" s="120"/>
      <c r="AQ176" s="120"/>
      <c r="AR176" s="120"/>
      <c r="AS176" s="120"/>
      <c r="AT176" s="95" t="str">
        <f>IFERROR(IF(YES_Writing_ELA[[#This Row],[Literacy IPP]]='Writing Logic'!$E$26,"IPP",IF(OR(AP176="EAL",AQ176="EAL",AR176="EAL",AS176="EAL"),"EAL",IF(AP176='Writing Logic'!$A$10,AVERAGE(VLOOKUP(AQ176,'Writing Logic'!$A$3:$B$7,2,FALSE),VLOOKUP(AR176,'Writing Logic'!$A$3:$B$7,2,FALSE),VLOOKUP(AS176,'Writing Logic'!$A$3:$B$7,2,FALSE)),AVERAGE(VLOOKUP(AP176,'Writing Logic'!$A$3:$B$7,2,FALSE),VLOOKUP(AQ176,'Writing Logic'!$A$3:$B$7,2,FALSE),VLOOKUP(AR176,'Writing Logic'!$A$3:$B$7,2,FALSE),VLOOKUP(AS176,'Writing Logic'!$A$3:$B$7,2,FALSE))))),"Fill All 4")</f>
        <v>Fill All 4</v>
      </c>
      <c r="AU176" s="96" t="str">
        <f t="shared" si="14"/>
        <v/>
      </c>
    </row>
    <row r="177" spans="1:47" x14ac:dyDescent="0.25">
      <c r="A177" s="255"/>
      <c r="B177" s="108"/>
      <c r="C177" s="13"/>
      <c r="D177" s="108"/>
      <c r="E177" s="13"/>
      <c r="F177" s="13"/>
      <c r="G177" s="13"/>
      <c r="H177" s="13"/>
      <c r="I177" s="13"/>
      <c r="J177" s="13"/>
      <c r="K177" s="183"/>
      <c r="L177" s="184"/>
      <c r="M177" s="120"/>
      <c r="N177" s="120"/>
      <c r="O177" s="120"/>
      <c r="P177" s="120"/>
      <c r="Q177" s="95" t="str">
        <f>IFERROR(IF(YES_Writing_ELA[[#This Row],[Literacy IPP]]='Writing Logic'!$E$26,"IPP",IF(OR(M177="EAL",N177="EAL",O177="EAL",P177="EAL"),"EAL",IF(M177='Writing Logic'!$A$10,AVERAGE(VLOOKUP(N177,'Writing Logic'!$A$3:$B$7,2,FALSE),VLOOKUP(O177,'Writing Logic'!$A$3:$B$7,2,FALSE),VLOOKUP(P177,'Writing Logic'!$A$3:$B$7,2,FALSE)),AVERAGE(VLOOKUP(M177,'Writing Logic'!$A$3:$B$7,2,FALSE),VLOOKUP(N177,'Writing Logic'!$A$3:$B$7,2,FALSE),VLOOKUP(O177,'Writing Logic'!$A$3:$B$7,2,FALSE),VLOOKUP(P177,'Writing Logic'!$A$3:$B$7,2,FALSE))))),"Fill All 4")</f>
        <v>Fill All 4</v>
      </c>
      <c r="R177" s="120"/>
      <c r="S177" s="120"/>
      <c r="T177" s="120"/>
      <c r="U177" s="120"/>
      <c r="V177" s="95" t="str">
        <f>IFERROR(IF(YES_Writing_ELA[[#This Row],[Literacy IPP]]='Writing Logic'!$E$26,"IPP",IF(OR(R177="EAL",S177="EAL",T177="EAL",U177="EAL"),"EAL",IF(R177='Writing Logic'!$A$10,AVERAGE(VLOOKUP(S177,'Writing Logic'!$A$3:$B$7,2,FALSE),VLOOKUP(T177,'Writing Logic'!$A$3:$B$7,2,FALSE),VLOOKUP(U177,'Writing Logic'!$A$3:$B$7,2,FALSE)),AVERAGE(VLOOKUP(R177,'Writing Logic'!$A$3:$B$7,2,FALSE),VLOOKUP(S177,'Writing Logic'!$A$3:$B$7,2,FALSE),VLOOKUP(T177,'Writing Logic'!$A$3:$B$7,2,FALSE),VLOOKUP(U177,'Writing Logic'!$A$3:$B$7,2,FALSE))))),"Fill All 4")</f>
        <v>Fill All 4</v>
      </c>
      <c r="W177" s="95" t="str">
        <f t="shared" si="10"/>
        <v/>
      </c>
      <c r="X177" s="120"/>
      <c r="Y177" s="120"/>
      <c r="Z177" s="120"/>
      <c r="AA177" s="120"/>
      <c r="AB177" s="95" t="str">
        <f>IFERROR(IF(YES_Writing_ELA[[#This Row],[Literacy IPP]]='Writing Logic'!$E$26,"IPP",IF(OR(X177="EAL",Y177="EAL",Z177="EAL",AA177="EAL"),"EAL",IF(X177='Writing Logic'!$A$10,AVERAGE(VLOOKUP(Y177,'Writing Logic'!$A$3:$B$7,2,FALSE),VLOOKUP(Z177,'Writing Logic'!$A$3:$B$7,2,FALSE),VLOOKUP(AA177,'Writing Logic'!$A$3:$B$7,2,FALSE)),AVERAGE(VLOOKUP(X177,'Writing Logic'!$A$3:$B$7,2,FALSE),VLOOKUP(Y177,'Writing Logic'!$A$3:$B$7,2,FALSE),VLOOKUP(Z177,'Writing Logic'!$A$3:$B$7,2,FALSE),VLOOKUP(AA177,'Writing Logic'!$A$3:$B$7,2,FALSE))))),"Fill All 4")</f>
        <v>Fill All 4</v>
      </c>
      <c r="AC177" s="95" t="str">
        <f t="shared" si="11"/>
        <v/>
      </c>
      <c r="AD177" s="120"/>
      <c r="AE177" s="120"/>
      <c r="AF177" s="120"/>
      <c r="AG177" s="120"/>
      <c r="AH177" s="95" t="str">
        <f>IFERROR(IF(YES_Writing_ELA[[#This Row],[Literacy IPP]]='Writing Logic'!$E$26,"IPP",IF(OR(AD177="EAL",AE177="EAL",AF177="EAL",AG177="EAL"),"EAL",IF(AD177='Writing Logic'!$A$10,AVERAGE(VLOOKUP(AE177,'Writing Logic'!$A$3:$B$7,2,FALSE),VLOOKUP(AF177,'Writing Logic'!$A$3:$B$7,2,FALSE),VLOOKUP(AG177,'Writing Logic'!$A$3:$B$7,2,FALSE)),AVERAGE(VLOOKUP(AD177,'Writing Logic'!$A$3:$B$7,2,FALSE),VLOOKUP(AE177,'Writing Logic'!$A$3:$B$7,2,FALSE),VLOOKUP(AF177,'Writing Logic'!$A$3:$B$7,2,FALSE),VLOOKUP(AG177,'Writing Logic'!$A$3:$B$7,2,FALSE))))),"Fill All 4")</f>
        <v>Fill All 4</v>
      </c>
      <c r="AI177" s="95" t="str">
        <f t="shared" si="12"/>
        <v/>
      </c>
      <c r="AJ177" s="183"/>
      <c r="AK177" s="120"/>
      <c r="AL177" s="120"/>
      <c r="AM177" s="120"/>
      <c r="AN177" s="95" t="str">
        <f>IFERROR(IF(YES_Writing_ELA[[#This Row],[Literacy IPP]]='Writing Logic'!$E$26,"IPP",IF(OR(AJ177="EAL",AK177="EAL",AL177="EAL",AM177="EAL"),"EAL",IF(AJ177='Writing Logic'!$A$10,AVERAGE(VLOOKUP(AK177,'Writing Logic'!$A$3:$B$7,2,FALSE),VLOOKUP(AL177,'Writing Logic'!$A$3:$B$7,2,FALSE),VLOOKUP(AM177,'Writing Logic'!$A$3:$B$7,2,FALSE)),AVERAGE(VLOOKUP(AJ177,'Writing Logic'!$A$3:$B$7,2,FALSE),VLOOKUP(AK177,'Writing Logic'!$A$3:$B$7,2,FALSE),VLOOKUP(AL177,'Writing Logic'!$A$3:$B$7,2,FALSE),VLOOKUP(AM177,'Writing Logic'!$A$3:$B$7,2,FALSE))))),"Fill All 4")</f>
        <v>Fill All 4</v>
      </c>
      <c r="AO177" s="95" t="str">
        <f t="shared" si="13"/>
        <v/>
      </c>
      <c r="AP177" s="120"/>
      <c r="AQ177" s="120"/>
      <c r="AR177" s="120"/>
      <c r="AS177" s="120"/>
      <c r="AT177" s="95" t="str">
        <f>IFERROR(IF(YES_Writing_ELA[[#This Row],[Literacy IPP]]='Writing Logic'!$E$26,"IPP",IF(OR(AP177="EAL",AQ177="EAL",AR177="EAL",AS177="EAL"),"EAL",IF(AP177='Writing Logic'!$A$10,AVERAGE(VLOOKUP(AQ177,'Writing Logic'!$A$3:$B$7,2,FALSE),VLOOKUP(AR177,'Writing Logic'!$A$3:$B$7,2,FALSE),VLOOKUP(AS177,'Writing Logic'!$A$3:$B$7,2,FALSE)),AVERAGE(VLOOKUP(AP177,'Writing Logic'!$A$3:$B$7,2,FALSE),VLOOKUP(AQ177,'Writing Logic'!$A$3:$B$7,2,FALSE),VLOOKUP(AR177,'Writing Logic'!$A$3:$B$7,2,FALSE),VLOOKUP(AS177,'Writing Logic'!$A$3:$B$7,2,FALSE))))),"Fill All 4")</f>
        <v>Fill All 4</v>
      </c>
      <c r="AU177" s="95" t="str">
        <f t="shared" si="14"/>
        <v/>
      </c>
    </row>
    <row r="178" spans="1:47" x14ac:dyDescent="0.25">
      <c r="A178" s="255"/>
      <c r="B178" s="108"/>
      <c r="C178" s="13"/>
      <c r="D178" s="108"/>
      <c r="E178" s="13"/>
      <c r="F178" s="13"/>
      <c r="G178" s="13"/>
      <c r="H178" s="13"/>
      <c r="I178" s="13"/>
      <c r="J178" s="13"/>
      <c r="K178" s="183"/>
      <c r="L178" s="184"/>
      <c r="M178" s="120"/>
      <c r="N178" s="120"/>
      <c r="O178" s="120"/>
      <c r="P178" s="120"/>
      <c r="Q178" s="95" t="str">
        <f>IFERROR(IF(YES_Writing_ELA[[#This Row],[Literacy IPP]]='Writing Logic'!$E$26,"IPP",IF(OR(M178="EAL",N178="EAL",O178="EAL",P178="EAL"),"EAL",IF(M178='Writing Logic'!$A$10,AVERAGE(VLOOKUP(N178,'Writing Logic'!$A$3:$B$7,2,FALSE),VLOOKUP(O178,'Writing Logic'!$A$3:$B$7,2,FALSE),VLOOKUP(P178,'Writing Logic'!$A$3:$B$7,2,FALSE)),AVERAGE(VLOOKUP(M178,'Writing Logic'!$A$3:$B$7,2,FALSE),VLOOKUP(N178,'Writing Logic'!$A$3:$B$7,2,FALSE),VLOOKUP(O178,'Writing Logic'!$A$3:$B$7,2,FALSE),VLOOKUP(P178,'Writing Logic'!$A$3:$B$7,2,FALSE))))),"Fill All 4")</f>
        <v>Fill All 4</v>
      </c>
      <c r="R178" s="120"/>
      <c r="S178" s="120"/>
      <c r="T178" s="120"/>
      <c r="U178" s="120"/>
      <c r="V178" s="95" t="str">
        <f>IFERROR(IF(YES_Writing_ELA[[#This Row],[Literacy IPP]]='Writing Logic'!$E$26,"IPP",IF(OR(R178="EAL",S178="EAL",T178="EAL",U178="EAL"),"EAL",IF(R178='Writing Logic'!$A$10,AVERAGE(VLOOKUP(S178,'Writing Logic'!$A$3:$B$7,2,FALSE),VLOOKUP(T178,'Writing Logic'!$A$3:$B$7,2,FALSE),VLOOKUP(U178,'Writing Logic'!$A$3:$B$7,2,FALSE)),AVERAGE(VLOOKUP(R178,'Writing Logic'!$A$3:$B$7,2,FALSE),VLOOKUP(S178,'Writing Logic'!$A$3:$B$7,2,FALSE),VLOOKUP(T178,'Writing Logic'!$A$3:$B$7,2,FALSE),VLOOKUP(U178,'Writing Logic'!$A$3:$B$7,2,FALSE))))),"Fill All 4")</f>
        <v>Fill All 4</v>
      </c>
      <c r="W178" s="95" t="str">
        <f t="shared" si="10"/>
        <v/>
      </c>
      <c r="X178" s="120"/>
      <c r="Y178" s="120"/>
      <c r="Z178" s="120"/>
      <c r="AA178" s="120"/>
      <c r="AB178" s="95" t="str">
        <f>IFERROR(IF(YES_Writing_ELA[[#This Row],[Literacy IPP]]='Writing Logic'!$E$26,"IPP",IF(OR(X178="EAL",Y178="EAL",Z178="EAL",AA178="EAL"),"EAL",IF(X178='Writing Logic'!$A$10,AVERAGE(VLOOKUP(Y178,'Writing Logic'!$A$3:$B$7,2,FALSE),VLOOKUP(Z178,'Writing Logic'!$A$3:$B$7,2,FALSE),VLOOKUP(AA178,'Writing Logic'!$A$3:$B$7,2,FALSE)),AVERAGE(VLOOKUP(X178,'Writing Logic'!$A$3:$B$7,2,FALSE),VLOOKUP(Y178,'Writing Logic'!$A$3:$B$7,2,FALSE),VLOOKUP(Z178,'Writing Logic'!$A$3:$B$7,2,FALSE),VLOOKUP(AA178,'Writing Logic'!$A$3:$B$7,2,FALSE))))),"Fill All 4")</f>
        <v>Fill All 4</v>
      </c>
      <c r="AC178" s="95" t="str">
        <f t="shared" si="11"/>
        <v/>
      </c>
      <c r="AD178" s="120"/>
      <c r="AE178" s="120"/>
      <c r="AF178" s="120"/>
      <c r="AG178" s="120"/>
      <c r="AH178" s="95" t="str">
        <f>IFERROR(IF(YES_Writing_ELA[[#This Row],[Literacy IPP]]='Writing Logic'!$E$26,"IPP",IF(OR(AD178="EAL",AE178="EAL",AF178="EAL",AG178="EAL"),"EAL",IF(AD178='Writing Logic'!$A$10,AVERAGE(VLOOKUP(AE178,'Writing Logic'!$A$3:$B$7,2,FALSE),VLOOKUP(AF178,'Writing Logic'!$A$3:$B$7,2,FALSE),VLOOKUP(AG178,'Writing Logic'!$A$3:$B$7,2,FALSE)),AVERAGE(VLOOKUP(AD178,'Writing Logic'!$A$3:$B$7,2,FALSE),VLOOKUP(AE178,'Writing Logic'!$A$3:$B$7,2,FALSE),VLOOKUP(AF178,'Writing Logic'!$A$3:$B$7,2,FALSE),VLOOKUP(AG178,'Writing Logic'!$A$3:$B$7,2,FALSE))))),"Fill All 4")</f>
        <v>Fill All 4</v>
      </c>
      <c r="AI178" s="95" t="str">
        <f t="shared" si="12"/>
        <v/>
      </c>
      <c r="AJ178" s="183"/>
      <c r="AK178" s="120"/>
      <c r="AL178" s="120"/>
      <c r="AM178" s="120"/>
      <c r="AN178" s="95" t="str">
        <f>IFERROR(IF(YES_Writing_ELA[[#This Row],[Literacy IPP]]='Writing Logic'!$E$26,"IPP",IF(OR(AJ178="EAL",AK178="EAL",AL178="EAL",AM178="EAL"),"EAL",IF(AJ178='Writing Logic'!$A$10,AVERAGE(VLOOKUP(AK178,'Writing Logic'!$A$3:$B$7,2,FALSE),VLOOKUP(AL178,'Writing Logic'!$A$3:$B$7,2,FALSE),VLOOKUP(AM178,'Writing Logic'!$A$3:$B$7,2,FALSE)),AVERAGE(VLOOKUP(AJ178,'Writing Logic'!$A$3:$B$7,2,FALSE),VLOOKUP(AK178,'Writing Logic'!$A$3:$B$7,2,FALSE),VLOOKUP(AL178,'Writing Logic'!$A$3:$B$7,2,FALSE),VLOOKUP(AM178,'Writing Logic'!$A$3:$B$7,2,FALSE))))),"Fill All 4")</f>
        <v>Fill All 4</v>
      </c>
      <c r="AO178" s="95" t="str">
        <f t="shared" si="13"/>
        <v/>
      </c>
      <c r="AP178" s="120"/>
      <c r="AQ178" s="120"/>
      <c r="AR178" s="120"/>
      <c r="AS178" s="120"/>
      <c r="AT178" s="95" t="str">
        <f>IFERROR(IF(YES_Writing_ELA[[#This Row],[Literacy IPP]]='Writing Logic'!$E$26,"IPP",IF(OR(AP178="EAL",AQ178="EAL",AR178="EAL",AS178="EAL"),"EAL",IF(AP178='Writing Logic'!$A$10,AVERAGE(VLOOKUP(AQ178,'Writing Logic'!$A$3:$B$7,2,FALSE),VLOOKUP(AR178,'Writing Logic'!$A$3:$B$7,2,FALSE),VLOOKUP(AS178,'Writing Logic'!$A$3:$B$7,2,FALSE)),AVERAGE(VLOOKUP(AP178,'Writing Logic'!$A$3:$B$7,2,FALSE),VLOOKUP(AQ178,'Writing Logic'!$A$3:$B$7,2,FALSE),VLOOKUP(AR178,'Writing Logic'!$A$3:$B$7,2,FALSE),VLOOKUP(AS178,'Writing Logic'!$A$3:$B$7,2,FALSE))))),"Fill All 4")</f>
        <v>Fill All 4</v>
      </c>
      <c r="AU178" s="95" t="str">
        <f t="shared" si="14"/>
        <v/>
      </c>
    </row>
    <row r="179" spans="1:47" x14ac:dyDescent="0.25">
      <c r="A179" s="255"/>
      <c r="B179" s="108"/>
      <c r="C179" s="13"/>
      <c r="D179" s="108"/>
      <c r="E179" s="13"/>
      <c r="F179" s="13"/>
      <c r="G179" s="13"/>
      <c r="H179" s="13"/>
      <c r="I179" s="13"/>
      <c r="J179" s="13"/>
      <c r="K179" s="183"/>
      <c r="L179" s="184"/>
      <c r="M179" s="120"/>
      <c r="N179" s="120"/>
      <c r="O179" s="120"/>
      <c r="P179" s="120"/>
      <c r="Q179" s="95" t="str">
        <f>IFERROR(IF(YES_Writing_ELA[[#This Row],[Literacy IPP]]='Writing Logic'!$E$26,"IPP",IF(OR(M179="EAL",N179="EAL",O179="EAL",P179="EAL"),"EAL",IF(M179='Writing Logic'!$A$10,AVERAGE(VLOOKUP(N179,'Writing Logic'!$A$3:$B$7,2,FALSE),VLOOKUP(O179,'Writing Logic'!$A$3:$B$7,2,FALSE),VLOOKUP(P179,'Writing Logic'!$A$3:$B$7,2,FALSE)),AVERAGE(VLOOKUP(M179,'Writing Logic'!$A$3:$B$7,2,FALSE),VLOOKUP(N179,'Writing Logic'!$A$3:$B$7,2,FALSE),VLOOKUP(O179,'Writing Logic'!$A$3:$B$7,2,FALSE),VLOOKUP(P179,'Writing Logic'!$A$3:$B$7,2,FALSE))))),"Fill All 4")</f>
        <v>Fill All 4</v>
      </c>
      <c r="R179" s="120"/>
      <c r="S179" s="120"/>
      <c r="T179" s="120"/>
      <c r="U179" s="120"/>
      <c r="V179" s="95" t="str">
        <f>IFERROR(IF(YES_Writing_ELA[[#This Row],[Literacy IPP]]='Writing Logic'!$E$26,"IPP",IF(OR(R179="EAL",S179="EAL",T179="EAL",U179="EAL"),"EAL",IF(R179='Writing Logic'!$A$10,AVERAGE(VLOOKUP(S179,'Writing Logic'!$A$3:$B$7,2,FALSE),VLOOKUP(T179,'Writing Logic'!$A$3:$B$7,2,FALSE),VLOOKUP(U179,'Writing Logic'!$A$3:$B$7,2,FALSE)),AVERAGE(VLOOKUP(R179,'Writing Logic'!$A$3:$B$7,2,FALSE),VLOOKUP(S179,'Writing Logic'!$A$3:$B$7,2,FALSE),VLOOKUP(T179,'Writing Logic'!$A$3:$B$7,2,FALSE),VLOOKUP(U179,'Writing Logic'!$A$3:$B$7,2,FALSE))))),"Fill All 4")</f>
        <v>Fill All 4</v>
      </c>
      <c r="W179" s="95" t="str">
        <f t="shared" si="10"/>
        <v/>
      </c>
      <c r="X179" s="120"/>
      <c r="Y179" s="120"/>
      <c r="Z179" s="120"/>
      <c r="AA179" s="120"/>
      <c r="AB179" s="95" t="str">
        <f>IFERROR(IF(YES_Writing_ELA[[#This Row],[Literacy IPP]]='Writing Logic'!$E$26,"IPP",IF(OR(X179="EAL",Y179="EAL",Z179="EAL",AA179="EAL"),"EAL",IF(X179='Writing Logic'!$A$10,AVERAGE(VLOOKUP(Y179,'Writing Logic'!$A$3:$B$7,2,FALSE),VLOOKUP(Z179,'Writing Logic'!$A$3:$B$7,2,FALSE),VLOOKUP(AA179,'Writing Logic'!$A$3:$B$7,2,FALSE)),AVERAGE(VLOOKUP(X179,'Writing Logic'!$A$3:$B$7,2,FALSE),VLOOKUP(Y179,'Writing Logic'!$A$3:$B$7,2,FALSE),VLOOKUP(Z179,'Writing Logic'!$A$3:$B$7,2,FALSE),VLOOKUP(AA179,'Writing Logic'!$A$3:$B$7,2,FALSE))))),"Fill All 4")</f>
        <v>Fill All 4</v>
      </c>
      <c r="AC179" s="95" t="str">
        <f t="shared" si="11"/>
        <v/>
      </c>
      <c r="AD179" s="120"/>
      <c r="AE179" s="120"/>
      <c r="AF179" s="120"/>
      <c r="AG179" s="120"/>
      <c r="AH179" s="95" t="str">
        <f>IFERROR(IF(YES_Writing_ELA[[#This Row],[Literacy IPP]]='Writing Logic'!$E$26,"IPP",IF(OR(AD179="EAL",AE179="EAL",AF179="EAL",AG179="EAL"),"EAL",IF(AD179='Writing Logic'!$A$10,AVERAGE(VLOOKUP(AE179,'Writing Logic'!$A$3:$B$7,2,FALSE),VLOOKUP(AF179,'Writing Logic'!$A$3:$B$7,2,FALSE),VLOOKUP(AG179,'Writing Logic'!$A$3:$B$7,2,FALSE)),AVERAGE(VLOOKUP(AD179,'Writing Logic'!$A$3:$B$7,2,FALSE),VLOOKUP(AE179,'Writing Logic'!$A$3:$B$7,2,FALSE),VLOOKUP(AF179,'Writing Logic'!$A$3:$B$7,2,FALSE),VLOOKUP(AG179,'Writing Logic'!$A$3:$B$7,2,FALSE))))),"Fill All 4")</f>
        <v>Fill All 4</v>
      </c>
      <c r="AI179" s="95" t="str">
        <f t="shared" si="12"/>
        <v/>
      </c>
      <c r="AJ179" s="183"/>
      <c r="AK179" s="120"/>
      <c r="AL179" s="120"/>
      <c r="AM179" s="120"/>
      <c r="AN179" s="95" t="str">
        <f>IFERROR(IF(YES_Writing_ELA[[#This Row],[Literacy IPP]]='Writing Logic'!$E$26,"IPP",IF(OR(AJ179="EAL",AK179="EAL",AL179="EAL",AM179="EAL"),"EAL",IF(AJ179='Writing Logic'!$A$10,AVERAGE(VLOOKUP(AK179,'Writing Logic'!$A$3:$B$7,2,FALSE),VLOOKUP(AL179,'Writing Logic'!$A$3:$B$7,2,FALSE),VLOOKUP(AM179,'Writing Logic'!$A$3:$B$7,2,FALSE)),AVERAGE(VLOOKUP(AJ179,'Writing Logic'!$A$3:$B$7,2,FALSE),VLOOKUP(AK179,'Writing Logic'!$A$3:$B$7,2,FALSE),VLOOKUP(AL179,'Writing Logic'!$A$3:$B$7,2,FALSE),VLOOKUP(AM179,'Writing Logic'!$A$3:$B$7,2,FALSE))))),"Fill All 4")</f>
        <v>Fill All 4</v>
      </c>
      <c r="AO179" s="95" t="str">
        <f t="shared" si="13"/>
        <v/>
      </c>
      <c r="AP179" s="120"/>
      <c r="AQ179" s="120"/>
      <c r="AR179" s="120"/>
      <c r="AS179" s="120"/>
      <c r="AT179" s="95" t="str">
        <f>IFERROR(IF(YES_Writing_ELA[[#This Row],[Literacy IPP]]='Writing Logic'!$E$26,"IPP",IF(OR(AP179="EAL",AQ179="EAL",AR179="EAL",AS179="EAL"),"EAL",IF(AP179='Writing Logic'!$A$10,AVERAGE(VLOOKUP(AQ179,'Writing Logic'!$A$3:$B$7,2,FALSE),VLOOKUP(AR179,'Writing Logic'!$A$3:$B$7,2,FALSE),VLOOKUP(AS179,'Writing Logic'!$A$3:$B$7,2,FALSE)),AVERAGE(VLOOKUP(AP179,'Writing Logic'!$A$3:$B$7,2,FALSE),VLOOKUP(AQ179,'Writing Logic'!$A$3:$B$7,2,FALSE),VLOOKUP(AR179,'Writing Logic'!$A$3:$B$7,2,FALSE),VLOOKUP(AS179,'Writing Logic'!$A$3:$B$7,2,FALSE))))),"Fill All 4")</f>
        <v>Fill All 4</v>
      </c>
      <c r="AU179" s="95" t="str">
        <f t="shared" si="14"/>
        <v/>
      </c>
    </row>
    <row r="180" spans="1:47" x14ac:dyDescent="0.25">
      <c r="A180" s="255"/>
      <c r="B180" s="108"/>
      <c r="C180" s="13"/>
      <c r="D180" s="108"/>
      <c r="E180" s="13"/>
      <c r="F180" s="13"/>
      <c r="G180" s="13"/>
      <c r="H180" s="13"/>
      <c r="I180" s="13"/>
      <c r="J180" s="13"/>
      <c r="K180" s="183"/>
      <c r="L180" s="184"/>
      <c r="M180" s="120"/>
      <c r="N180" s="120"/>
      <c r="O180" s="120"/>
      <c r="P180" s="120"/>
      <c r="Q180" s="95" t="str">
        <f>IFERROR(IF(YES_Writing_ELA[[#This Row],[Literacy IPP]]='Writing Logic'!$E$26,"IPP",IF(OR(M180="EAL",N180="EAL",O180="EAL",P180="EAL"),"EAL",IF(M180='Writing Logic'!$A$10,AVERAGE(VLOOKUP(N180,'Writing Logic'!$A$3:$B$7,2,FALSE),VLOOKUP(O180,'Writing Logic'!$A$3:$B$7,2,FALSE),VLOOKUP(P180,'Writing Logic'!$A$3:$B$7,2,FALSE)),AVERAGE(VLOOKUP(M180,'Writing Logic'!$A$3:$B$7,2,FALSE),VLOOKUP(N180,'Writing Logic'!$A$3:$B$7,2,FALSE),VLOOKUP(O180,'Writing Logic'!$A$3:$B$7,2,FALSE),VLOOKUP(P180,'Writing Logic'!$A$3:$B$7,2,FALSE))))),"Fill All 4")</f>
        <v>Fill All 4</v>
      </c>
      <c r="R180" s="120"/>
      <c r="S180" s="120"/>
      <c r="T180" s="120"/>
      <c r="U180" s="120"/>
      <c r="V180" s="95" t="str">
        <f>IFERROR(IF(YES_Writing_ELA[[#This Row],[Literacy IPP]]='Writing Logic'!$E$26,"IPP",IF(OR(R180="EAL",S180="EAL",T180="EAL",U180="EAL"),"EAL",IF(R180='Writing Logic'!$A$10,AVERAGE(VLOOKUP(S180,'Writing Logic'!$A$3:$B$7,2,FALSE),VLOOKUP(T180,'Writing Logic'!$A$3:$B$7,2,FALSE),VLOOKUP(U180,'Writing Logic'!$A$3:$B$7,2,FALSE)),AVERAGE(VLOOKUP(R180,'Writing Logic'!$A$3:$B$7,2,FALSE),VLOOKUP(S180,'Writing Logic'!$A$3:$B$7,2,FALSE),VLOOKUP(T180,'Writing Logic'!$A$3:$B$7,2,FALSE),VLOOKUP(U180,'Writing Logic'!$A$3:$B$7,2,FALSE))))),"Fill All 4")</f>
        <v>Fill All 4</v>
      </c>
      <c r="W180" s="95" t="str">
        <f t="shared" si="10"/>
        <v/>
      </c>
      <c r="X180" s="120"/>
      <c r="Y180" s="120"/>
      <c r="Z180" s="120"/>
      <c r="AA180" s="120"/>
      <c r="AB180" s="95" t="str">
        <f>IFERROR(IF(YES_Writing_ELA[[#This Row],[Literacy IPP]]='Writing Logic'!$E$26,"IPP",IF(OR(X180="EAL",Y180="EAL",Z180="EAL",AA180="EAL"),"EAL",IF(X180='Writing Logic'!$A$10,AVERAGE(VLOOKUP(Y180,'Writing Logic'!$A$3:$B$7,2,FALSE),VLOOKUP(Z180,'Writing Logic'!$A$3:$B$7,2,FALSE),VLOOKUP(AA180,'Writing Logic'!$A$3:$B$7,2,FALSE)),AVERAGE(VLOOKUP(X180,'Writing Logic'!$A$3:$B$7,2,FALSE),VLOOKUP(Y180,'Writing Logic'!$A$3:$B$7,2,FALSE),VLOOKUP(Z180,'Writing Logic'!$A$3:$B$7,2,FALSE),VLOOKUP(AA180,'Writing Logic'!$A$3:$B$7,2,FALSE))))),"Fill All 4")</f>
        <v>Fill All 4</v>
      </c>
      <c r="AC180" s="95" t="str">
        <f t="shared" si="11"/>
        <v/>
      </c>
      <c r="AD180" s="120"/>
      <c r="AE180" s="120"/>
      <c r="AF180" s="120"/>
      <c r="AG180" s="120"/>
      <c r="AH180" s="95" t="str">
        <f>IFERROR(IF(YES_Writing_ELA[[#This Row],[Literacy IPP]]='Writing Logic'!$E$26,"IPP",IF(OR(AD180="EAL",AE180="EAL",AF180="EAL",AG180="EAL"),"EAL",IF(AD180='Writing Logic'!$A$10,AVERAGE(VLOOKUP(AE180,'Writing Logic'!$A$3:$B$7,2,FALSE),VLOOKUP(AF180,'Writing Logic'!$A$3:$B$7,2,FALSE),VLOOKUP(AG180,'Writing Logic'!$A$3:$B$7,2,FALSE)),AVERAGE(VLOOKUP(AD180,'Writing Logic'!$A$3:$B$7,2,FALSE),VLOOKUP(AE180,'Writing Logic'!$A$3:$B$7,2,FALSE),VLOOKUP(AF180,'Writing Logic'!$A$3:$B$7,2,FALSE),VLOOKUP(AG180,'Writing Logic'!$A$3:$B$7,2,FALSE))))),"Fill All 4")</f>
        <v>Fill All 4</v>
      </c>
      <c r="AI180" s="95" t="str">
        <f t="shared" si="12"/>
        <v/>
      </c>
      <c r="AJ180" s="183"/>
      <c r="AK180" s="120"/>
      <c r="AL180" s="120"/>
      <c r="AM180" s="120"/>
      <c r="AN180" s="95" t="str">
        <f>IFERROR(IF(YES_Writing_ELA[[#This Row],[Literacy IPP]]='Writing Logic'!$E$26,"IPP",IF(OR(AJ180="EAL",AK180="EAL",AL180="EAL",AM180="EAL"),"EAL",IF(AJ180='Writing Logic'!$A$10,AVERAGE(VLOOKUP(AK180,'Writing Logic'!$A$3:$B$7,2,FALSE),VLOOKUP(AL180,'Writing Logic'!$A$3:$B$7,2,FALSE),VLOOKUP(AM180,'Writing Logic'!$A$3:$B$7,2,FALSE)),AVERAGE(VLOOKUP(AJ180,'Writing Logic'!$A$3:$B$7,2,FALSE),VLOOKUP(AK180,'Writing Logic'!$A$3:$B$7,2,FALSE),VLOOKUP(AL180,'Writing Logic'!$A$3:$B$7,2,FALSE),VLOOKUP(AM180,'Writing Logic'!$A$3:$B$7,2,FALSE))))),"Fill All 4")</f>
        <v>Fill All 4</v>
      </c>
      <c r="AO180" s="95" t="str">
        <f t="shared" si="13"/>
        <v/>
      </c>
      <c r="AP180" s="120"/>
      <c r="AQ180" s="120"/>
      <c r="AR180" s="120"/>
      <c r="AS180" s="120"/>
      <c r="AT180" s="95" t="str">
        <f>IFERROR(IF(YES_Writing_ELA[[#This Row],[Literacy IPP]]='Writing Logic'!$E$26,"IPP",IF(OR(AP180="EAL",AQ180="EAL",AR180="EAL",AS180="EAL"),"EAL",IF(AP180='Writing Logic'!$A$10,AVERAGE(VLOOKUP(AQ180,'Writing Logic'!$A$3:$B$7,2,FALSE),VLOOKUP(AR180,'Writing Logic'!$A$3:$B$7,2,FALSE),VLOOKUP(AS180,'Writing Logic'!$A$3:$B$7,2,FALSE)),AVERAGE(VLOOKUP(AP180,'Writing Logic'!$A$3:$B$7,2,FALSE),VLOOKUP(AQ180,'Writing Logic'!$A$3:$B$7,2,FALSE),VLOOKUP(AR180,'Writing Logic'!$A$3:$B$7,2,FALSE),VLOOKUP(AS180,'Writing Logic'!$A$3:$B$7,2,FALSE))))),"Fill All 4")</f>
        <v>Fill All 4</v>
      </c>
      <c r="AU180" s="95" t="str">
        <f t="shared" si="14"/>
        <v/>
      </c>
    </row>
    <row r="181" spans="1:47" x14ac:dyDescent="0.25">
      <c r="A181" s="255"/>
      <c r="B181" s="108"/>
      <c r="C181" s="13"/>
      <c r="D181" s="108"/>
      <c r="E181" s="13"/>
      <c r="F181" s="13"/>
      <c r="G181" s="13"/>
      <c r="H181" s="13"/>
      <c r="I181" s="13"/>
      <c r="J181" s="13"/>
      <c r="K181" s="183"/>
      <c r="L181" s="184"/>
      <c r="M181" s="120"/>
      <c r="N181" s="120"/>
      <c r="O181" s="120"/>
      <c r="P181" s="120"/>
      <c r="Q181" s="95" t="str">
        <f>IFERROR(IF(YES_Writing_ELA[[#This Row],[Literacy IPP]]='Writing Logic'!$E$26,"IPP",IF(OR(M181="EAL",N181="EAL",O181="EAL",P181="EAL"),"EAL",IF(M181='Writing Logic'!$A$10,AVERAGE(VLOOKUP(N181,'Writing Logic'!$A$3:$B$7,2,FALSE),VLOOKUP(O181,'Writing Logic'!$A$3:$B$7,2,FALSE),VLOOKUP(P181,'Writing Logic'!$A$3:$B$7,2,FALSE)),AVERAGE(VLOOKUP(M181,'Writing Logic'!$A$3:$B$7,2,FALSE),VLOOKUP(N181,'Writing Logic'!$A$3:$B$7,2,FALSE),VLOOKUP(O181,'Writing Logic'!$A$3:$B$7,2,FALSE),VLOOKUP(P181,'Writing Logic'!$A$3:$B$7,2,FALSE))))),"Fill All 4")</f>
        <v>Fill All 4</v>
      </c>
      <c r="R181" s="120"/>
      <c r="S181" s="120"/>
      <c r="T181" s="120"/>
      <c r="U181" s="120"/>
      <c r="V181" s="95" t="str">
        <f>IFERROR(IF(YES_Writing_ELA[[#This Row],[Literacy IPP]]='Writing Logic'!$E$26,"IPP",IF(OR(R181="EAL",S181="EAL",T181="EAL",U181="EAL"),"EAL",IF(R181='Writing Logic'!$A$10,AVERAGE(VLOOKUP(S181,'Writing Logic'!$A$3:$B$7,2,FALSE),VLOOKUP(T181,'Writing Logic'!$A$3:$B$7,2,FALSE),VLOOKUP(U181,'Writing Logic'!$A$3:$B$7,2,FALSE)),AVERAGE(VLOOKUP(R181,'Writing Logic'!$A$3:$B$7,2,FALSE),VLOOKUP(S181,'Writing Logic'!$A$3:$B$7,2,FALSE),VLOOKUP(T181,'Writing Logic'!$A$3:$B$7,2,FALSE),VLOOKUP(U181,'Writing Logic'!$A$3:$B$7,2,FALSE))))),"Fill All 4")</f>
        <v>Fill All 4</v>
      </c>
      <c r="W181" s="95" t="str">
        <f t="shared" si="10"/>
        <v/>
      </c>
      <c r="X181" s="120"/>
      <c r="Y181" s="120"/>
      <c r="Z181" s="120"/>
      <c r="AA181" s="120"/>
      <c r="AB181" s="95" t="str">
        <f>IFERROR(IF(YES_Writing_ELA[[#This Row],[Literacy IPP]]='Writing Logic'!$E$26,"IPP",IF(OR(X181="EAL",Y181="EAL",Z181="EAL",AA181="EAL"),"EAL",IF(X181='Writing Logic'!$A$10,AVERAGE(VLOOKUP(Y181,'Writing Logic'!$A$3:$B$7,2,FALSE),VLOOKUP(Z181,'Writing Logic'!$A$3:$B$7,2,FALSE),VLOOKUP(AA181,'Writing Logic'!$A$3:$B$7,2,FALSE)),AVERAGE(VLOOKUP(X181,'Writing Logic'!$A$3:$B$7,2,FALSE),VLOOKUP(Y181,'Writing Logic'!$A$3:$B$7,2,FALSE),VLOOKUP(Z181,'Writing Logic'!$A$3:$B$7,2,FALSE),VLOOKUP(AA181,'Writing Logic'!$A$3:$B$7,2,FALSE))))),"Fill All 4")</f>
        <v>Fill All 4</v>
      </c>
      <c r="AC181" s="95" t="str">
        <f t="shared" si="11"/>
        <v/>
      </c>
      <c r="AD181" s="120"/>
      <c r="AE181" s="120"/>
      <c r="AF181" s="120"/>
      <c r="AG181" s="120"/>
      <c r="AH181" s="95" t="str">
        <f>IFERROR(IF(YES_Writing_ELA[[#This Row],[Literacy IPP]]='Writing Logic'!$E$26,"IPP",IF(OR(AD181="EAL",AE181="EAL",AF181="EAL",AG181="EAL"),"EAL",IF(AD181='Writing Logic'!$A$10,AVERAGE(VLOOKUP(AE181,'Writing Logic'!$A$3:$B$7,2,FALSE),VLOOKUP(AF181,'Writing Logic'!$A$3:$B$7,2,FALSE),VLOOKUP(AG181,'Writing Logic'!$A$3:$B$7,2,FALSE)),AVERAGE(VLOOKUP(AD181,'Writing Logic'!$A$3:$B$7,2,FALSE),VLOOKUP(AE181,'Writing Logic'!$A$3:$B$7,2,FALSE),VLOOKUP(AF181,'Writing Logic'!$A$3:$B$7,2,FALSE),VLOOKUP(AG181,'Writing Logic'!$A$3:$B$7,2,FALSE))))),"Fill All 4")</f>
        <v>Fill All 4</v>
      </c>
      <c r="AI181" s="95" t="str">
        <f t="shared" si="12"/>
        <v/>
      </c>
      <c r="AJ181" s="183"/>
      <c r="AK181" s="120"/>
      <c r="AL181" s="120"/>
      <c r="AM181" s="120"/>
      <c r="AN181" s="95" t="str">
        <f>IFERROR(IF(YES_Writing_ELA[[#This Row],[Literacy IPP]]='Writing Logic'!$E$26,"IPP",IF(OR(AJ181="EAL",AK181="EAL",AL181="EAL",AM181="EAL"),"EAL",IF(AJ181='Writing Logic'!$A$10,AVERAGE(VLOOKUP(AK181,'Writing Logic'!$A$3:$B$7,2,FALSE),VLOOKUP(AL181,'Writing Logic'!$A$3:$B$7,2,FALSE),VLOOKUP(AM181,'Writing Logic'!$A$3:$B$7,2,FALSE)),AVERAGE(VLOOKUP(AJ181,'Writing Logic'!$A$3:$B$7,2,FALSE),VLOOKUP(AK181,'Writing Logic'!$A$3:$B$7,2,FALSE),VLOOKUP(AL181,'Writing Logic'!$A$3:$B$7,2,FALSE),VLOOKUP(AM181,'Writing Logic'!$A$3:$B$7,2,FALSE))))),"Fill All 4")</f>
        <v>Fill All 4</v>
      </c>
      <c r="AO181" s="95" t="str">
        <f t="shared" si="13"/>
        <v/>
      </c>
      <c r="AP181" s="120"/>
      <c r="AQ181" s="120"/>
      <c r="AR181" s="120"/>
      <c r="AS181" s="120"/>
      <c r="AT181" s="95" t="str">
        <f>IFERROR(IF(YES_Writing_ELA[[#This Row],[Literacy IPP]]='Writing Logic'!$E$26,"IPP",IF(OR(AP181="EAL",AQ181="EAL",AR181="EAL",AS181="EAL"),"EAL",IF(AP181='Writing Logic'!$A$10,AVERAGE(VLOOKUP(AQ181,'Writing Logic'!$A$3:$B$7,2,FALSE),VLOOKUP(AR181,'Writing Logic'!$A$3:$B$7,2,FALSE),VLOOKUP(AS181,'Writing Logic'!$A$3:$B$7,2,FALSE)),AVERAGE(VLOOKUP(AP181,'Writing Logic'!$A$3:$B$7,2,FALSE),VLOOKUP(AQ181,'Writing Logic'!$A$3:$B$7,2,FALSE),VLOOKUP(AR181,'Writing Logic'!$A$3:$B$7,2,FALSE),VLOOKUP(AS181,'Writing Logic'!$A$3:$B$7,2,FALSE))))),"Fill All 4")</f>
        <v>Fill All 4</v>
      </c>
      <c r="AU181" s="95" t="str">
        <f t="shared" si="14"/>
        <v/>
      </c>
    </row>
    <row r="182" spans="1:47" x14ac:dyDescent="0.25">
      <c r="A182" s="255"/>
      <c r="B182" s="108"/>
      <c r="C182" s="13"/>
      <c r="D182" s="108"/>
      <c r="E182" s="13"/>
      <c r="F182" s="13"/>
      <c r="G182" s="13"/>
      <c r="H182" s="13"/>
      <c r="I182" s="13"/>
      <c r="J182" s="13"/>
      <c r="K182" s="183"/>
      <c r="L182" s="184"/>
      <c r="M182" s="120"/>
      <c r="N182" s="120"/>
      <c r="O182" s="120"/>
      <c r="P182" s="120"/>
      <c r="Q182" s="95" t="str">
        <f>IFERROR(IF(YES_Writing_ELA[[#This Row],[Literacy IPP]]='Writing Logic'!$E$26,"IPP",IF(OR(M182="EAL",N182="EAL",O182="EAL",P182="EAL"),"EAL",IF(M182='Writing Logic'!$A$10,AVERAGE(VLOOKUP(N182,'Writing Logic'!$A$3:$B$7,2,FALSE),VLOOKUP(O182,'Writing Logic'!$A$3:$B$7,2,FALSE),VLOOKUP(P182,'Writing Logic'!$A$3:$B$7,2,FALSE)),AVERAGE(VLOOKUP(M182,'Writing Logic'!$A$3:$B$7,2,FALSE),VLOOKUP(N182,'Writing Logic'!$A$3:$B$7,2,FALSE),VLOOKUP(O182,'Writing Logic'!$A$3:$B$7,2,FALSE),VLOOKUP(P182,'Writing Logic'!$A$3:$B$7,2,FALSE))))),"Fill All 4")</f>
        <v>Fill All 4</v>
      </c>
      <c r="R182" s="120"/>
      <c r="S182" s="120"/>
      <c r="T182" s="120"/>
      <c r="U182" s="120"/>
      <c r="V182" s="95" t="str">
        <f>IFERROR(IF(YES_Writing_ELA[[#This Row],[Literacy IPP]]='Writing Logic'!$E$26,"IPP",IF(OR(R182="EAL",S182="EAL",T182="EAL",U182="EAL"),"EAL",IF(R182='Writing Logic'!$A$10,AVERAGE(VLOOKUP(S182,'Writing Logic'!$A$3:$B$7,2,FALSE),VLOOKUP(T182,'Writing Logic'!$A$3:$B$7,2,FALSE),VLOOKUP(U182,'Writing Logic'!$A$3:$B$7,2,FALSE)),AVERAGE(VLOOKUP(R182,'Writing Logic'!$A$3:$B$7,2,FALSE),VLOOKUP(S182,'Writing Logic'!$A$3:$B$7,2,FALSE),VLOOKUP(T182,'Writing Logic'!$A$3:$B$7,2,FALSE),VLOOKUP(U182,'Writing Logic'!$A$3:$B$7,2,FALSE))))),"Fill All 4")</f>
        <v>Fill All 4</v>
      </c>
      <c r="W182" s="95" t="str">
        <f t="shared" si="10"/>
        <v/>
      </c>
      <c r="X182" s="120"/>
      <c r="Y182" s="120"/>
      <c r="Z182" s="120"/>
      <c r="AA182" s="120"/>
      <c r="AB182" s="95" t="str">
        <f>IFERROR(IF(YES_Writing_ELA[[#This Row],[Literacy IPP]]='Writing Logic'!$E$26,"IPP",IF(OR(X182="EAL",Y182="EAL",Z182="EAL",AA182="EAL"),"EAL",IF(X182='Writing Logic'!$A$10,AVERAGE(VLOOKUP(Y182,'Writing Logic'!$A$3:$B$7,2,FALSE),VLOOKUP(Z182,'Writing Logic'!$A$3:$B$7,2,FALSE),VLOOKUP(AA182,'Writing Logic'!$A$3:$B$7,2,FALSE)),AVERAGE(VLOOKUP(X182,'Writing Logic'!$A$3:$B$7,2,FALSE),VLOOKUP(Y182,'Writing Logic'!$A$3:$B$7,2,FALSE),VLOOKUP(Z182,'Writing Logic'!$A$3:$B$7,2,FALSE),VLOOKUP(AA182,'Writing Logic'!$A$3:$B$7,2,FALSE))))),"Fill All 4")</f>
        <v>Fill All 4</v>
      </c>
      <c r="AC182" s="95" t="str">
        <f t="shared" si="11"/>
        <v/>
      </c>
      <c r="AD182" s="120"/>
      <c r="AE182" s="120"/>
      <c r="AF182" s="120"/>
      <c r="AG182" s="120"/>
      <c r="AH182" s="95" t="str">
        <f>IFERROR(IF(YES_Writing_ELA[[#This Row],[Literacy IPP]]='Writing Logic'!$E$26,"IPP",IF(OR(AD182="EAL",AE182="EAL",AF182="EAL",AG182="EAL"),"EAL",IF(AD182='Writing Logic'!$A$10,AVERAGE(VLOOKUP(AE182,'Writing Logic'!$A$3:$B$7,2,FALSE),VLOOKUP(AF182,'Writing Logic'!$A$3:$B$7,2,FALSE),VLOOKUP(AG182,'Writing Logic'!$A$3:$B$7,2,FALSE)),AVERAGE(VLOOKUP(AD182,'Writing Logic'!$A$3:$B$7,2,FALSE),VLOOKUP(AE182,'Writing Logic'!$A$3:$B$7,2,FALSE),VLOOKUP(AF182,'Writing Logic'!$A$3:$B$7,2,FALSE),VLOOKUP(AG182,'Writing Logic'!$A$3:$B$7,2,FALSE))))),"Fill All 4")</f>
        <v>Fill All 4</v>
      </c>
      <c r="AI182" s="95" t="str">
        <f t="shared" si="12"/>
        <v/>
      </c>
      <c r="AJ182" s="183"/>
      <c r="AK182" s="120"/>
      <c r="AL182" s="120"/>
      <c r="AM182" s="120"/>
      <c r="AN182" s="95" t="str">
        <f>IFERROR(IF(YES_Writing_ELA[[#This Row],[Literacy IPP]]='Writing Logic'!$E$26,"IPP",IF(OR(AJ182="EAL",AK182="EAL",AL182="EAL",AM182="EAL"),"EAL",IF(AJ182='Writing Logic'!$A$10,AVERAGE(VLOOKUP(AK182,'Writing Logic'!$A$3:$B$7,2,FALSE),VLOOKUP(AL182,'Writing Logic'!$A$3:$B$7,2,FALSE),VLOOKUP(AM182,'Writing Logic'!$A$3:$B$7,2,FALSE)),AVERAGE(VLOOKUP(AJ182,'Writing Logic'!$A$3:$B$7,2,FALSE),VLOOKUP(AK182,'Writing Logic'!$A$3:$B$7,2,FALSE),VLOOKUP(AL182,'Writing Logic'!$A$3:$B$7,2,FALSE),VLOOKUP(AM182,'Writing Logic'!$A$3:$B$7,2,FALSE))))),"Fill All 4")</f>
        <v>Fill All 4</v>
      </c>
      <c r="AO182" s="95" t="str">
        <f t="shared" si="13"/>
        <v/>
      </c>
      <c r="AP182" s="120"/>
      <c r="AQ182" s="120"/>
      <c r="AR182" s="120"/>
      <c r="AS182" s="120"/>
      <c r="AT182" s="95" t="str">
        <f>IFERROR(IF(YES_Writing_ELA[[#This Row],[Literacy IPP]]='Writing Logic'!$E$26,"IPP",IF(OR(AP182="EAL",AQ182="EAL",AR182="EAL",AS182="EAL"),"EAL",IF(AP182='Writing Logic'!$A$10,AVERAGE(VLOOKUP(AQ182,'Writing Logic'!$A$3:$B$7,2,FALSE),VLOOKUP(AR182,'Writing Logic'!$A$3:$B$7,2,FALSE),VLOOKUP(AS182,'Writing Logic'!$A$3:$B$7,2,FALSE)),AVERAGE(VLOOKUP(AP182,'Writing Logic'!$A$3:$B$7,2,FALSE),VLOOKUP(AQ182,'Writing Logic'!$A$3:$B$7,2,FALSE),VLOOKUP(AR182,'Writing Logic'!$A$3:$B$7,2,FALSE),VLOOKUP(AS182,'Writing Logic'!$A$3:$B$7,2,FALSE))))),"Fill All 4")</f>
        <v>Fill All 4</v>
      </c>
      <c r="AU182" s="95" t="str">
        <f t="shared" si="14"/>
        <v/>
      </c>
    </row>
    <row r="183" spans="1:47" x14ac:dyDescent="0.25">
      <c r="A183" s="255"/>
      <c r="B183" s="108"/>
      <c r="C183" s="13"/>
      <c r="D183" s="108"/>
      <c r="E183" s="13"/>
      <c r="F183" s="13"/>
      <c r="G183" s="13"/>
      <c r="H183" s="13"/>
      <c r="I183" s="13"/>
      <c r="J183" s="13"/>
      <c r="K183" s="183"/>
      <c r="L183" s="184"/>
      <c r="M183" s="120"/>
      <c r="N183" s="120"/>
      <c r="O183" s="120"/>
      <c r="P183" s="120"/>
      <c r="Q183" s="95" t="str">
        <f>IFERROR(IF(YES_Writing_ELA[[#This Row],[Literacy IPP]]='Writing Logic'!$E$26,"IPP",IF(OR(M183="EAL",N183="EAL",O183="EAL",P183="EAL"),"EAL",IF(M183='Writing Logic'!$A$10,AVERAGE(VLOOKUP(N183,'Writing Logic'!$A$3:$B$7,2,FALSE),VLOOKUP(O183,'Writing Logic'!$A$3:$B$7,2,FALSE),VLOOKUP(P183,'Writing Logic'!$A$3:$B$7,2,FALSE)),AVERAGE(VLOOKUP(M183,'Writing Logic'!$A$3:$B$7,2,FALSE),VLOOKUP(N183,'Writing Logic'!$A$3:$B$7,2,FALSE),VLOOKUP(O183,'Writing Logic'!$A$3:$B$7,2,FALSE),VLOOKUP(P183,'Writing Logic'!$A$3:$B$7,2,FALSE))))),"Fill All 4")</f>
        <v>Fill All 4</v>
      </c>
      <c r="R183" s="120"/>
      <c r="S183" s="120"/>
      <c r="T183" s="120"/>
      <c r="U183" s="120"/>
      <c r="V183" s="95" t="str">
        <f>IFERROR(IF(YES_Writing_ELA[[#This Row],[Literacy IPP]]='Writing Logic'!$E$26,"IPP",IF(OR(R183="EAL",S183="EAL",T183="EAL",U183="EAL"),"EAL",IF(R183='Writing Logic'!$A$10,AVERAGE(VLOOKUP(S183,'Writing Logic'!$A$3:$B$7,2,FALSE),VLOOKUP(T183,'Writing Logic'!$A$3:$B$7,2,FALSE),VLOOKUP(U183,'Writing Logic'!$A$3:$B$7,2,FALSE)),AVERAGE(VLOOKUP(R183,'Writing Logic'!$A$3:$B$7,2,FALSE),VLOOKUP(S183,'Writing Logic'!$A$3:$B$7,2,FALSE),VLOOKUP(T183,'Writing Logic'!$A$3:$B$7,2,FALSE),VLOOKUP(U183,'Writing Logic'!$A$3:$B$7,2,FALSE))))),"Fill All 4")</f>
        <v>Fill All 4</v>
      </c>
      <c r="W183" s="95" t="str">
        <f t="shared" si="10"/>
        <v/>
      </c>
      <c r="X183" s="120"/>
      <c r="Y183" s="120"/>
      <c r="Z183" s="120"/>
      <c r="AA183" s="120"/>
      <c r="AB183" s="95" t="str">
        <f>IFERROR(IF(YES_Writing_ELA[[#This Row],[Literacy IPP]]='Writing Logic'!$E$26,"IPP",IF(OR(X183="EAL",Y183="EAL",Z183="EAL",AA183="EAL"),"EAL",IF(X183='Writing Logic'!$A$10,AVERAGE(VLOOKUP(Y183,'Writing Logic'!$A$3:$B$7,2,FALSE),VLOOKUP(Z183,'Writing Logic'!$A$3:$B$7,2,FALSE),VLOOKUP(AA183,'Writing Logic'!$A$3:$B$7,2,FALSE)),AVERAGE(VLOOKUP(X183,'Writing Logic'!$A$3:$B$7,2,FALSE),VLOOKUP(Y183,'Writing Logic'!$A$3:$B$7,2,FALSE),VLOOKUP(Z183,'Writing Logic'!$A$3:$B$7,2,FALSE),VLOOKUP(AA183,'Writing Logic'!$A$3:$B$7,2,FALSE))))),"Fill All 4")</f>
        <v>Fill All 4</v>
      </c>
      <c r="AC183" s="95" t="str">
        <f t="shared" si="11"/>
        <v/>
      </c>
      <c r="AD183" s="120"/>
      <c r="AE183" s="120"/>
      <c r="AF183" s="120"/>
      <c r="AG183" s="120"/>
      <c r="AH183" s="95" t="str">
        <f>IFERROR(IF(YES_Writing_ELA[[#This Row],[Literacy IPP]]='Writing Logic'!$E$26,"IPP",IF(OR(AD183="EAL",AE183="EAL",AF183="EAL",AG183="EAL"),"EAL",IF(AD183='Writing Logic'!$A$10,AVERAGE(VLOOKUP(AE183,'Writing Logic'!$A$3:$B$7,2,FALSE),VLOOKUP(AF183,'Writing Logic'!$A$3:$B$7,2,FALSE),VLOOKUP(AG183,'Writing Logic'!$A$3:$B$7,2,FALSE)),AVERAGE(VLOOKUP(AD183,'Writing Logic'!$A$3:$B$7,2,FALSE),VLOOKUP(AE183,'Writing Logic'!$A$3:$B$7,2,FALSE),VLOOKUP(AF183,'Writing Logic'!$A$3:$B$7,2,FALSE),VLOOKUP(AG183,'Writing Logic'!$A$3:$B$7,2,FALSE))))),"Fill All 4")</f>
        <v>Fill All 4</v>
      </c>
      <c r="AI183" s="95" t="str">
        <f t="shared" si="12"/>
        <v/>
      </c>
      <c r="AJ183" s="183"/>
      <c r="AK183" s="120"/>
      <c r="AL183" s="120"/>
      <c r="AM183" s="120"/>
      <c r="AN183" s="95" t="str">
        <f>IFERROR(IF(YES_Writing_ELA[[#This Row],[Literacy IPP]]='Writing Logic'!$E$26,"IPP",IF(OR(AJ183="EAL",AK183="EAL",AL183="EAL",AM183="EAL"),"EAL",IF(AJ183='Writing Logic'!$A$10,AVERAGE(VLOOKUP(AK183,'Writing Logic'!$A$3:$B$7,2,FALSE),VLOOKUP(AL183,'Writing Logic'!$A$3:$B$7,2,FALSE),VLOOKUP(AM183,'Writing Logic'!$A$3:$B$7,2,FALSE)),AVERAGE(VLOOKUP(AJ183,'Writing Logic'!$A$3:$B$7,2,FALSE),VLOOKUP(AK183,'Writing Logic'!$A$3:$B$7,2,FALSE),VLOOKUP(AL183,'Writing Logic'!$A$3:$B$7,2,FALSE),VLOOKUP(AM183,'Writing Logic'!$A$3:$B$7,2,FALSE))))),"Fill All 4")</f>
        <v>Fill All 4</v>
      </c>
      <c r="AO183" s="95" t="str">
        <f t="shared" si="13"/>
        <v/>
      </c>
      <c r="AP183" s="120"/>
      <c r="AQ183" s="120"/>
      <c r="AR183" s="120"/>
      <c r="AS183" s="120"/>
      <c r="AT183" s="95" t="str">
        <f>IFERROR(IF(YES_Writing_ELA[[#This Row],[Literacy IPP]]='Writing Logic'!$E$26,"IPP",IF(OR(AP183="EAL",AQ183="EAL",AR183="EAL",AS183="EAL"),"EAL",IF(AP183='Writing Logic'!$A$10,AVERAGE(VLOOKUP(AQ183,'Writing Logic'!$A$3:$B$7,2,FALSE),VLOOKUP(AR183,'Writing Logic'!$A$3:$B$7,2,FALSE),VLOOKUP(AS183,'Writing Logic'!$A$3:$B$7,2,FALSE)),AVERAGE(VLOOKUP(AP183,'Writing Logic'!$A$3:$B$7,2,FALSE),VLOOKUP(AQ183,'Writing Logic'!$A$3:$B$7,2,FALSE),VLOOKUP(AR183,'Writing Logic'!$A$3:$B$7,2,FALSE),VLOOKUP(AS183,'Writing Logic'!$A$3:$B$7,2,FALSE))))),"Fill All 4")</f>
        <v>Fill All 4</v>
      </c>
      <c r="AU183" s="95" t="str">
        <f t="shared" si="14"/>
        <v/>
      </c>
    </row>
    <row r="184" spans="1:47" x14ac:dyDescent="0.25">
      <c r="A184" s="255"/>
      <c r="B184" s="108"/>
      <c r="C184" s="13"/>
      <c r="D184" s="108"/>
      <c r="E184" s="13"/>
      <c r="F184" s="13"/>
      <c r="G184" s="13"/>
      <c r="H184" s="13"/>
      <c r="I184" s="13"/>
      <c r="J184" s="13"/>
      <c r="K184" s="183"/>
      <c r="L184" s="184"/>
      <c r="M184" s="120"/>
      <c r="N184" s="120"/>
      <c r="O184" s="120"/>
      <c r="P184" s="120"/>
      <c r="Q184" s="95" t="str">
        <f>IFERROR(IF(YES_Writing_ELA[[#This Row],[Literacy IPP]]='Writing Logic'!$E$26,"IPP",IF(OR(M184="EAL",N184="EAL",O184="EAL",P184="EAL"),"EAL",IF(M184='Writing Logic'!$A$10,AVERAGE(VLOOKUP(N184,'Writing Logic'!$A$3:$B$7,2,FALSE),VLOOKUP(O184,'Writing Logic'!$A$3:$B$7,2,FALSE),VLOOKUP(P184,'Writing Logic'!$A$3:$B$7,2,FALSE)),AVERAGE(VLOOKUP(M184,'Writing Logic'!$A$3:$B$7,2,FALSE),VLOOKUP(N184,'Writing Logic'!$A$3:$B$7,2,FALSE),VLOOKUP(O184,'Writing Logic'!$A$3:$B$7,2,FALSE),VLOOKUP(P184,'Writing Logic'!$A$3:$B$7,2,FALSE))))),"Fill All 4")</f>
        <v>Fill All 4</v>
      </c>
      <c r="R184" s="120"/>
      <c r="S184" s="120"/>
      <c r="T184" s="120"/>
      <c r="U184" s="120"/>
      <c r="V184" s="95" t="str">
        <f>IFERROR(IF(YES_Writing_ELA[[#This Row],[Literacy IPP]]='Writing Logic'!$E$26,"IPP",IF(OR(R184="EAL",S184="EAL",T184="EAL",U184="EAL"),"EAL",IF(R184='Writing Logic'!$A$10,AVERAGE(VLOOKUP(S184,'Writing Logic'!$A$3:$B$7,2,FALSE),VLOOKUP(T184,'Writing Logic'!$A$3:$B$7,2,FALSE),VLOOKUP(U184,'Writing Logic'!$A$3:$B$7,2,FALSE)),AVERAGE(VLOOKUP(R184,'Writing Logic'!$A$3:$B$7,2,FALSE),VLOOKUP(S184,'Writing Logic'!$A$3:$B$7,2,FALSE),VLOOKUP(T184,'Writing Logic'!$A$3:$B$7,2,FALSE),VLOOKUP(U184,'Writing Logic'!$A$3:$B$7,2,FALSE))))),"Fill All 4")</f>
        <v>Fill All 4</v>
      </c>
      <c r="W184" s="95" t="str">
        <f t="shared" si="10"/>
        <v/>
      </c>
      <c r="X184" s="120"/>
      <c r="Y184" s="120"/>
      <c r="Z184" s="120"/>
      <c r="AA184" s="120"/>
      <c r="AB184" s="95" t="str">
        <f>IFERROR(IF(YES_Writing_ELA[[#This Row],[Literacy IPP]]='Writing Logic'!$E$26,"IPP",IF(OR(X184="EAL",Y184="EAL",Z184="EAL",AA184="EAL"),"EAL",IF(X184='Writing Logic'!$A$10,AVERAGE(VLOOKUP(Y184,'Writing Logic'!$A$3:$B$7,2,FALSE),VLOOKUP(Z184,'Writing Logic'!$A$3:$B$7,2,FALSE),VLOOKUP(AA184,'Writing Logic'!$A$3:$B$7,2,FALSE)),AVERAGE(VLOOKUP(X184,'Writing Logic'!$A$3:$B$7,2,FALSE),VLOOKUP(Y184,'Writing Logic'!$A$3:$B$7,2,FALSE),VLOOKUP(Z184,'Writing Logic'!$A$3:$B$7,2,FALSE),VLOOKUP(AA184,'Writing Logic'!$A$3:$B$7,2,FALSE))))),"Fill All 4")</f>
        <v>Fill All 4</v>
      </c>
      <c r="AC184" s="95" t="str">
        <f t="shared" si="11"/>
        <v/>
      </c>
      <c r="AD184" s="120"/>
      <c r="AE184" s="120"/>
      <c r="AF184" s="120"/>
      <c r="AG184" s="120"/>
      <c r="AH184" s="95" t="str">
        <f>IFERROR(IF(YES_Writing_ELA[[#This Row],[Literacy IPP]]='Writing Logic'!$E$26,"IPP",IF(OR(AD184="EAL",AE184="EAL",AF184="EAL",AG184="EAL"),"EAL",IF(AD184='Writing Logic'!$A$10,AVERAGE(VLOOKUP(AE184,'Writing Logic'!$A$3:$B$7,2,FALSE),VLOOKUP(AF184,'Writing Logic'!$A$3:$B$7,2,FALSE),VLOOKUP(AG184,'Writing Logic'!$A$3:$B$7,2,FALSE)),AVERAGE(VLOOKUP(AD184,'Writing Logic'!$A$3:$B$7,2,FALSE),VLOOKUP(AE184,'Writing Logic'!$A$3:$B$7,2,FALSE),VLOOKUP(AF184,'Writing Logic'!$A$3:$B$7,2,FALSE),VLOOKUP(AG184,'Writing Logic'!$A$3:$B$7,2,FALSE))))),"Fill All 4")</f>
        <v>Fill All 4</v>
      </c>
      <c r="AI184" s="95" t="str">
        <f t="shared" si="12"/>
        <v/>
      </c>
      <c r="AJ184" s="183"/>
      <c r="AK184" s="120"/>
      <c r="AL184" s="120"/>
      <c r="AM184" s="120"/>
      <c r="AN184" s="95" t="str">
        <f>IFERROR(IF(YES_Writing_ELA[[#This Row],[Literacy IPP]]='Writing Logic'!$E$26,"IPP",IF(OR(AJ184="EAL",AK184="EAL",AL184="EAL",AM184="EAL"),"EAL",IF(AJ184='Writing Logic'!$A$10,AVERAGE(VLOOKUP(AK184,'Writing Logic'!$A$3:$B$7,2,FALSE),VLOOKUP(AL184,'Writing Logic'!$A$3:$B$7,2,FALSE),VLOOKUP(AM184,'Writing Logic'!$A$3:$B$7,2,FALSE)),AVERAGE(VLOOKUP(AJ184,'Writing Logic'!$A$3:$B$7,2,FALSE),VLOOKUP(AK184,'Writing Logic'!$A$3:$B$7,2,FALSE),VLOOKUP(AL184,'Writing Logic'!$A$3:$B$7,2,FALSE),VLOOKUP(AM184,'Writing Logic'!$A$3:$B$7,2,FALSE))))),"Fill All 4")</f>
        <v>Fill All 4</v>
      </c>
      <c r="AO184" s="95" t="str">
        <f t="shared" si="13"/>
        <v/>
      </c>
      <c r="AP184" s="120"/>
      <c r="AQ184" s="120"/>
      <c r="AR184" s="120"/>
      <c r="AS184" s="120"/>
      <c r="AT184" s="95" t="str">
        <f>IFERROR(IF(YES_Writing_ELA[[#This Row],[Literacy IPP]]='Writing Logic'!$E$26,"IPP",IF(OR(AP184="EAL",AQ184="EAL",AR184="EAL",AS184="EAL"),"EAL",IF(AP184='Writing Logic'!$A$10,AVERAGE(VLOOKUP(AQ184,'Writing Logic'!$A$3:$B$7,2,FALSE),VLOOKUP(AR184,'Writing Logic'!$A$3:$B$7,2,FALSE),VLOOKUP(AS184,'Writing Logic'!$A$3:$B$7,2,FALSE)),AVERAGE(VLOOKUP(AP184,'Writing Logic'!$A$3:$B$7,2,FALSE),VLOOKUP(AQ184,'Writing Logic'!$A$3:$B$7,2,FALSE),VLOOKUP(AR184,'Writing Logic'!$A$3:$B$7,2,FALSE),VLOOKUP(AS184,'Writing Logic'!$A$3:$B$7,2,FALSE))))),"Fill All 4")</f>
        <v>Fill All 4</v>
      </c>
      <c r="AU184" s="95" t="str">
        <f t="shared" si="14"/>
        <v/>
      </c>
    </row>
    <row r="185" spans="1:47" x14ac:dyDescent="0.25">
      <c r="A185" s="255"/>
      <c r="B185" s="108"/>
      <c r="C185" s="13"/>
      <c r="D185" s="108"/>
      <c r="E185" s="13"/>
      <c r="F185" s="13"/>
      <c r="G185" s="13"/>
      <c r="H185" s="13"/>
      <c r="I185" s="13"/>
      <c r="J185" s="13"/>
      <c r="K185" s="183"/>
      <c r="L185" s="184"/>
      <c r="M185" s="120"/>
      <c r="N185" s="120"/>
      <c r="O185" s="120"/>
      <c r="P185" s="120"/>
      <c r="Q185" s="95" t="str">
        <f>IFERROR(IF(YES_Writing_ELA[[#This Row],[Literacy IPP]]='Writing Logic'!$E$26,"IPP",IF(OR(M185="EAL",N185="EAL",O185="EAL",P185="EAL"),"EAL",IF(M185='Writing Logic'!$A$10,AVERAGE(VLOOKUP(N185,'Writing Logic'!$A$3:$B$7,2,FALSE),VLOOKUP(O185,'Writing Logic'!$A$3:$B$7,2,FALSE),VLOOKUP(P185,'Writing Logic'!$A$3:$B$7,2,FALSE)),AVERAGE(VLOOKUP(M185,'Writing Logic'!$A$3:$B$7,2,FALSE),VLOOKUP(N185,'Writing Logic'!$A$3:$B$7,2,FALSE),VLOOKUP(O185,'Writing Logic'!$A$3:$B$7,2,FALSE),VLOOKUP(P185,'Writing Logic'!$A$3:$B$7,2,FALSE))))),"Fill All 4")</f>
        <v>Fill All 4</v>
      </c>
      <c r="R185" s="120"/>
      <c r="S185" s="120"/>
      <c r="T185" s="120"/>
      <c r="U185" s="120"/>
      <c r="V185" s="95" t="str">
        <f>IFERROR(IF(YES_Writing_ELA[[#This Row],[Literacy IPP]]='Writing Logic'!$E$26,"IPP",IF(OR(R185="EAL",S185="EAL",T185="EAL",U185="EAL"),"EAL",IF(R185='Writing Logic'!$A$10,AVERAGE(VLOOKUP(S185,'Writing Logic'!$A$3:$B$7,2,FALSE),VLOOKUP(T185,'Writing Logic'!$A$3:$B$7,2,FALSE),VLOOKUP(U185,'Writing Logic'!$A$3:$B$7,2,FALSE)),AVERAGE(VLOOKUP(R185,'Writing Logic'!$A$3:$B$7,2,FALSE),VLOOKUP(S185,'Writing Logic'!$A$3:$B$7,2,FALSE),VLOOKUP(T185,'Writing Logic'!$A$3:$B$7,2,FALSE),VLOOKUP(U185,'Writing Logic'!$A$3:$B$7,2,FALSE))))),"Fill All 4")</f>
        <v>Fill All 4</v>
      </c>
      <c r="W185" s="95" t="str">
        <f t="shared" si="10"/>
        <v/>
      </c>
      <c r="X185" s="120"/>
      <c r="Y185" s="120"/>
      <c r="Z185" s="120"/>
      <c r="AA185" s="120"/>
      <c r="AB185" s="95" t="str">
        <f>IFERROR(IF(YES_Writing_ELA[[#This Row],[Literacy IPP]]='Writing Logic'!$E$26,"IPP",IF(OR(X185="EAL",Y185="EAL",Z185="EAL",AA185="EAL"),"EAL",IF(X185='Writing Logic'!$A$10,AVERAGE(VLOOKUP(Y185,'Writing Logic'!$A$3:$B$7,2,FALSE),VLOOKUP(Z185,'Writing Logic'!$A$3:$B$7,2,FALSE),VLOOKUP(AA185,'Writing Logic'!$A$3:$B$7,2,FALSE)),AVERAGE(VLOOKUP(X185,'Writing Logic'!$A$3:$B$7,2,FALSE),VLOOKUP(Y185,'Writing Logic'!$A$3:$B$7,2,FALSE),VLOOKUP(Z185,'Writing Logic'!$A$3:$B$7,2,FALSE),VLOOKUP(AA185,'Writing Logic'!$A$3:$B$7,2,FALSE))))),"Fill All 4")</f>
        <v>Fill All 4</v>
      </c>
      <c r="AC185" s="95" t="str">
        <f t="shared" si="11"/>
        <v/>
      </c>
      <c r="AD185" s="120"/>
      <c r="AE185" s="120"/>
      <c r="AF185" s="120"/>
      <c r="AG185" s="120"/>
      <c r="AH185" s="95" t="str">
        <f>IFERROR(IF(YES_Writing_ELA[[#This Row],[Literacy IPP]]='Writing Logic'!$E$26,"IPP",IF(OR(AD185="EAL",AE185="EAL",AF185="EAL",AG185="EAL"),"EAL",IF(AD185='Writing Logic'!$A$10,AVERAGE(VLOOKUP(AE185,'Writing Logic'!$A$3:$B$7,2,FALSE),VLOOKUP(AF185,'Writing Logic'!$A$3:$B$7,2,FALSE),VLOOKUP(AG185,'Writing Logic'!$A$3:$B$7,2,FALSE)),AVERAGE(VLOOKUP(AD185,'Writing Logic'!$A$3:$B$7,2,FALSE),VLOOKUP(AE185,'Writing Logic'!$A$3:$B$7,2,FALSE),VLOOKUP(AF185,'Writing Logic'!$A$3:$B$7,2,FALSE),VLOOKUP(AG185,'Writing Logic'!$A$3:$B$7,2,FALSE))))),"Fill All 4")</f>
        <v>Fill All 4</v>
      </c>
      <c r="AI185" s="95" t="str">
        <f t="shared" si="12"/>
        <v/>
      </c>
      <c r="AJ185" s="183"/>
      <c r="AK185" s="120"/>
      <c r="AL185" s="120"/>
      <c r="AM185" s="120"/>
      <c r="AN185" s="95" t="str">
        <f>IFERROR(IF(YES_Writing_ELA[[#This Row],[Literacy IPP]]='Writing Logic'!$E$26,"IPP",IF(OR(AJ185="EAL",AK185="EAL",AL185="EAL",AM185="EAL"),"EAL",IF(AJ185='Writing Logic'!$A$10,AVERAGE(VLOOKUP(AK185,'Writing Logic'!$A$3:$B$7,2,FALSE),VLOOKUP(AL185,'Writing Logic'!$A$3:$B$7,2,FALSE),VLOOKUP(AM185,'Writing Logic'!$A$3:$B$7,2,FALSE)),AVERAGE(VLOOKUP(AJ185,'Writing Logic'!$A$3:$B$7,2,FALSE),VLOOKUP(AK185,'Writing Logic'!$A$3:$B$7,2,FALSE),VLOOKUP(AL185,'Writing Logic'!$A$3:$B$7,2,FALSE),VLOOKUP(AM185,'Writing Logic'!$A$3:$B$7,2,FALSE))))),"Fill All 4")</f>
        <v>Fill All 4</v>
      </c>
      <c r="AO185" s="95" t="str">
        <f t="shared" si="13"/>
        <v/>
      </c>
      <c r="AP185" s="120"/>
      <c r="AQ185" s="120"/>
      <c r="AR185" s="120"/>
      <c r="AS185" s="120"/>
      <c r="AT185" s="95" t="str">
        <f>IFERROR(IF(YES_Writing_ELA[[#This Row],[Literacy IPP]]='Writing Logic'!$E$26,"IPP",IF(OR(AP185="EAL",AQ185="EAL",AR185="EAL",AS185="EAL"),"EAL",IF(AP185='Writing Logic'!$A$10,AVERAGE(VLOOKUP(AQ185,'Writing Logic'!$A$3:$B$7,2,FALSE),VLOOKUP(AR185,'Writing Logic'!$A$3:$B$7,2,FALSE),VLOOKUP(AS185,'Writing Logic'!$A$3:$B$7,2,FALSE)),AVERAGE(VLOOKUP(AP185,'Writing Logic'!$A$3:$B$7,2,FALSE),VLOOKUP(AQ185,'Writing Logic'!$A$3:$B$7,2,FALSE),VLOOKUP(AR185,'Writing Logic'!$A$3:$B$7,2,FALSE),VLOOKUP(AS185,'Writing Logic'!$A$3:$B$7,2,FALSE))))),"Fill All 4")</f>
        <v>Fill All 4</v>
      </c>
      <c r="AU185" s="95" t="str">
        <f t="shared" si="14"/>
        <v/>
      </c>
    </row>
    <row r="186" spans="1:47" x14ac:dyDescent="0.25">
      <c r="A186" s="255"/>
      <c r="B186" s="108"/>
      <c r="C186" s="13"/>
      <c r="D186" s="108"/>
      <c r="E186" s="13"/>
      <c r="F186" s="13"/>
      <c r="G186" s="13"/>
      <c r="H186" s="13"/>
      <c r="I186" s="13"/>
      <c r="J186" s="13"/>
      <c r="K186" s="183"/>
      <c r="L186" s="184"/>
      <c r="M186" s="120"/>
      <c r="N186" s="120"/>
      <c r="O186" s="120"/>
      <c r="P186" s="120"/>
      <c r="Q186" s="95" t="str">
        <f>IFERROR(IF(YES_Writing_ELA[[#This Row],[Literacy IPP]]='Writing Logic'!$E$26,"IPP",IF(OR(M186="EAL",N186="EAL",O186="EAL",P186="EAL"),"EAL",IF(M186='Writing Logic'!$A$10,AVERAGE(VLOOKUP(N186,'Writing Logic'!$A$3:$B$7,2,FALSE),VLOOKUP(O186,'Writing Logic'!$A$3:$B$7,2,FALSE),VLOOKUP(P186,'Writing Logic'!$A$3:$B$7,2,FALSE)),AVERAGE(VLOOKUP(M186,'Writing Logic'!$A$3:$B$7,2,FALSE),VLOOKUP(N186,'Writing Logic'!$A$3:$B$7,2,FALSE),VLOOKUP(O186,'Writing Logic'!$A$3:$B$7,2,FALSE),VLOOKUP(P186,'Writing Logic'!$A$3:$B$7,2,FALSE))))),"Fill All 4")</f>
        <v>Fill All 4</v>
      </c>
      <c r="R186" s="120"/>
      <c r="S186" s="120"/>
      <c r="T186" s="120"/>
      <c r="U186" s="120"/>
      <c r="V186" s="95" t="str">
        <f>IFERROR(IF(YES_Writing_ELA[[#This Row],[Literacy IPP]]='Writing Logic'!$E$26,"IPP",IF(OR(R186="EAL",S186="EAL",T186="EAL",U186="EAL"),"EAL",IF(R186='Writing Logic'!$A$10,AVERAGE(VLOOKUP(S186,'Writing Logic'!$A$3:$B$7,2,FALSE),VLOOKUP(T186,'Writing Logic'!$A$3:$B$7,2,FALSE),VLOOKUP(U186,'Writing Logic'!$A$3:$B$7,2,FALSE)),AVERAGE(VLOOKUP(R186,'Writing Logic'!$A$3:$B$7,2,FALSE),VLOOKUP(S186,'Writing Logic'!$A$3:$B$7,2,FALSE),VLOOKUP(T186,'Writing Logic'!$A$3:$B$7,2,FALSE),VLOOKUP(U186,'Writing Logic'!$A$3:$B$7,2,FALSE))))),"Fill All 4")</f>
        <v>Fill All 4</v>
      </c>
      <c r="W186" s="95" t="str">
        <f t="shared" si="10"/>
        <v/>
      </c>
      <c r="X186" s="120"/>
      <c r="Y186" s="120"/>
      <c r="Z186" s="120"/>
      <c r="AA186" s="120"/>
      <c r="AB186" s="95" t="str">
        <f>IFERROR(IF(YES_Writing_ELA[[#This Row],[Literacy IPP]]='Writing Logic'!$E$26,"IPP",IF(OR(X186="EAL",Y186="EAL",Z186="EAL",AA186="EAL"),"EAL",IF(X186='Writing Logic'!$A$10,AVERAGE(VLOOKUP(Y186,'Writing Logic'!$A$3:$B$7,2,FALSE),VLOOKUP(Z186,'Writing Logic'!$A$3:$B$7,2,FALSE),VLOOKUP(AA186,'Writing Logic'!$A$3:$B$7,2,FALSE)),AVERAGE(VLOOKUP(X186,'Writing Logic'!$A$3:$B$7,2,FALSE),VLOOKUP(Y186,'Writing Logic'!$A$3:$B$7,2,FALSE),VLOOKUP(Z186,'Writing Logic'!$A$3:$B$7,2,FALSE),VLOOKUP(AA186,'Writing Logic'!$A$3:$B$7,2,FALSE))))),"Fill All 4")</f>
        <v>Fill All 4</v>
      </c>
      <c r="AC186" s="95" t="str">
        <f t="shared" si="11"/>
        <v/>
      </c>
      <c r="AD186" s="120"/>
      <c r="AE186" s="120"/>
      <c r="AF186" s="120"/>
      <c r="AG186" s="120"/>
      <c r="AH186" s="95" t="str">
        <f>IFERROR(IF(YES_Writing_ELA[[#This Row],[Literacy IPP]]='Writing Logic'!$E$26,"IPP",IF(OR(AD186="EAL",AE186="EAL",AF186="EAL",AG186="EAL"),"EAL",IF(AD186='Writing Logic'!$A$10,AVERAGE(VLOOKUP(AE186,'Writing Logic'!$A$3:$B$7,2,FALSE),VLOOKUP(AF186,'Writing Logic'!$A$3:$B$7,2,FALSE),VLOOKUP(AG186,'Writing Logic'!$A$3:$B$7,2,FALSE)),AVERAGE(VLOOKUP(AD186,'Writing Logic'!$A$3:$B$7,2,FALSE),VLOOKUP(AE186,'Writing Logic'!$A$3:$B$7,2,FALSE),VLOOKUP(AF186,'Writing Logic'!$A$3:$B$7,2,FALSE),VLOOKUP(AG186,'Writing Logic'!$A$3:$B$7,2,FALSE))))),"Fill All 4")</f>
        <v>Fill All 4</v>
      </c>
      <c r="AI186" s="95" t="str">
        <f t="shared" si="12"/>
        <v/>
      </c>
      <c r="AJ186" s="183"/>
      <c r="AK186" s="120"/>
      <c r="AL186" s="120"/>
      <c r="AM186" s="120"/>
      <c r="AN186" s="95" t="str">
        <f>IFERROR(IF(YES_Writing_ELA[[#This Row],[Literacy IPP]]='Writing Logic'!$E$26,"IPP",IF(OR(AJ186="EAL",AK186="EAL",AL186="EAL",AM186="EAL"),"EAL",IF(AJ186='Writing Logic'!$A$10,AVERAGE(VLOOKUP(AK186,'Writing Logic'!$A$3:$B$7,2,FALSE),VLOOKUP(AL186,'Writing Logic'!$A$3:$B$7,2,FALSE),VLOOKUP(AM186,'Writing Logic'!$A$3:$B$7,2,FALSE)),AVERAGE(VLOOKUP(AJ186,'Writing Logic'!$A$3:$B$7,2,FALSE),VLOOKUP(AK186,'Writing Logic'!$A$3:$B$7,2,FALSE),VLOOKUP(AL186,'Writing Logic'!$A$3:$B$7,2,FALSE),VLOOKUP(AM186,'Writing Logic'!$A$3:$B$7,2,FALSE))))),"Fill All 4")</f>
        <v>Fill All 4</v>
      </c>
      <c r="AO186" s="95" t="str">
        <f t="shared" si="13"/>
        <v/>
      </c>
      <c r="AP186" s="120"/>
      <c r="AQ186" s="120"/>
      <c r="AR186" s="120"/>
      <c r="AS186" s="120"/>
      <c r="AT186" s="95" t="str">
        <f>IFERROR(IF(YES_Writing_ELA[[#This Row],[Literacy IPP]]='Writing Logic'!$E$26,"IPP",IF(OR(AP186="EAL",AQ186="EAL",AR186="EAL",AS186="EAL"),"EAL",IF(AP186='Writing Logic'!$A$10,AVERAGE(VLOOKUP(AQ186,'Writing Logic'!$A$3:$B$7,2,FALSE),VLOOKUP(AR186,'Writing Logic'!$A$3:$B$7,2,FALSE),VLOOKUP(AS186,'Writing Logic'!$A$3:$B$7,2,FALSE)),AVERAGE(VLOOKUP(AP186,'Writing Logic'!$A$3:$B$7,2,FALSE),VLOOKUP(AQ186,'Writing Logic'!$A$3:$B$7,2,FALSE),VLOOKUP(AR186,'Writing Logic'!$A$3:$B$7,2,FALSE),VLOOKUP(AS186,'Writing Logic'!$A$3:$B$7,2,FALSE))))),"Fill All 4")</f>
        <v>Fill All 4</v>
      </c>
      <c r="AU186" s="95" t="str">
        <f t="shared" si="14"/>
        <v/>
      </c>
    </row>
    <row r="187" spans="1:47" x14ac:dyDescent="0.25">
      <c r="A187" s="245"/>
      <c r="B187" s="236"/>
      <c r="C187" s="236"/>
      <c r="D187" s="236"/>
      <c r="E187" s="49"/>
      <c r="F187" s="49"/>
      <c r="G187" s="49"/>
      <c r="H187" s="49"/>
      <c r="I187" s="49"/>
      <c r="J187" s="49"/>
      <c r="K187" s="183"/>
      <c r="L187" s="184"/>
      <c r="M187" s="183"/>
      <c r="N187" s="183"/>
      <c r="O187" s="183"/>
      <c r="P187" s="183"/>
      <c r="Q187" s="96" t="str">
        <f>IFERROR(IF(YES_Writing_ELA[[#This Row],[Literacy IPP]]='Writing Logic'!$E$26,"IPP",IF(OR(M187="EAL",N187="EAL",O187="EAL",P187="EAL"),"EAL",IF(M187='Writing Logic'!$A$10,AVERAGE(VLOOKUP(N187,'Writing Logic'!$A$3:$B$7,2,FALSE),VLOOKUP(O187,'Writing Logic'!$A$3:$B$7,2,FALSE),VLOOKUP(P187,'Writing Logic'!$A$3:$B$7,2,FALSE)),AVERAGE(VLOOKUP(M187,'Writing Logic'!$A$3:$B$7,2,FALSE),VLOOKUP(N187,'Writing Logic'!$A$3:$B$7,2,FALSE),VLOOKUP(O187,'Writing Logic'!$A$3:$B$7,2,FALSE),VLOOKUP(P187,'Writing Logic'!$A$3:$B$7,2,FALSE))))),"Fill All 4")</f>
        <v>Fill All 4</v>
      </c>
      <c r="R187" s="120"/>
      <c r="S187" s="120"/>
      <c r="T187" s="120"/>
      <c r="U187" s="120"/>
      <c r="V187" s="95" t="str">
        <f>IFERROR(IF(YES_Writing_ELA[[#This Row],[Literacy IPP]]='Writing Logic'!$E$26,"IPP",IF(OR(R187="EAL",S187="EAL",T187="EAL",U187="EAL"),"EAL",IF(R187='Writing Logic'!$A$10,AVERAGE(VLOOKUP(S187,'Writing Logic'!$A$3:$B$7,2,FALSE),VLOOKUP(T187,'Writing Logic'!$A$3:$B$7,2,FALSE),VLOOKUP(U187,'Writing Logic'!$A$3:$B$7,2,FALSE)),AVERAGE(VLOOKUP(R187,'Writing Logic'!$A$3:$B$7,2,FALSE),VLOOKUP(S187,'Writing Logic'!$A$3:$B$7,2,FALSE),VLOOKUP(T187,'Writing Logic'!$A$3:$B$7,2,FALSE),VLOOKUP(U187,'Writing Logic'!$A$3:$B$7,2,FALSE))))),"Fill All 4")</f>
        <v>Fill All 4</v>
      </c>
      <c r="W187" s="96" t="str">
        <f>IFERROR(V187-$Q187,"")</f>
        <v/>
      </c>
      <c r="X187" s="120"/>
      <c r="Y187" s="120"/>
      <c r="Z187" s="120"/>
      <c r="AA187" s="120"/>
      <c r="AB187" s="95" t="str">
        <f>IFERROR(IF(YES_Writing_ELA[[#This Row],[Literacy IPP]]='Writing Logic'!$E$26,"IPP",IF(OR(X187="EAL",Y187="EAL",Z187="EAL",AA187="EAL"),"EAL",IF(X187='Writing Logic'!$A$10,AVERAGE(VLOOKUP(Y187,'Writing Logic'!$A$3:$B$7,2,FALSE),VLOOKUP(Z187,'Writing Logic'!$A$3:$B$7,2,FALSE),VLOOKUP(AA187,'Writing Logic'!$A$3:$B$7,2,FALSE)),AVERAGE(VLOOKUP(X187,'Writing Logic'!$A$3:$B$7,2,FALSE),VLOOKUP(Y187,'Writing Logic'!$A$3:$B$7,2,FALSE),VLOOKUP(Z187,'Writing Logic'!$A$3:$B$7,2,FALSE),VLOOKUP(AA187,'Writing Logic'!$A$3:$B$7,2,FALSE))))),"Fill All 4")</f>
        <v>Fill All 4</v>
      </c>
      <c r="AC187" s="96" t="str">
        <f>IFERROR(AB187-$Q187,"")</f>
        <v/>
      </c>
      <c r="AD187" s="120"/>
      <c r="AE187" s="120"/>
      <c r="AF187" s="120"/>
      <c r="AG187" s="120"/>
      <c r="AH187" s="95" t="str">
        <f>IFERROR(IF(YES_Writing_ELA[[#This Row],[Literacy IPP]]='Writing Logic'!$E$26,"IPP",IF(OR(AD187="EAL",AE187="EAL",AF187="EAL",AG187="EAL"),"EAL",IF(AD187='Writing Logic'!$A$10,AVERAGE(VLOOKUP(AE187,'Writing Logic'!$A$3:$B$7,2,FALSE),VLOOKUP(AF187,'Writing Logic'!$A$3:$B$7,2,FALSE),VLOOKUP(AG187,'Writing Logic'!$A$3:$B$7,2,FALSE)),AVERAGE(VLOOKUP(AD187,'Writing Logic'!$A$3:$B$7,2,FALSE),VLOOKUP(AE187,'Writing Logic'!$A$3:$B$7,2,FALSE),VLOOKUP(AF187,'Writing Logic'!$A$3:$B$7,2,FALSE),VLOOKUP(AG187,'Writing Logic'!$A$3:$B$7,2,FALSE))))),"Fill All 4")</f>
        <v>Fill All 4</v>
      </c>
      <c r="AI187" s="96" t="str">
        <f>IFERROR(AH187-$Q187,"")</f>
        <v/>
      </c>
      <c r="AJ187" s="183"/>
      <c r="AK187" s="120"/>
      <c r="AL187" s="120"/>
      <c r="AM187" s="120"/>
      <c r="AN187" s="95" t="str">
        <f>IFERROR(IF(YES_Writing_ELA[[#This Row],[Literacy IPP]]='Writing Logic'!$E$26,"IPP",IF(OR(AJ187="EAL",AK187="EAL",AL187="EAL",AM187="EAL"),"EAL",IF(AJ187='Writing Logic'!$A$10,AVERAGE(VLOOKUP(AK187,'Writing Logic'!$A$3:$B$7,2,FALSE),VLOOKUP(AL187,'Writing Logic'!$A$3:$B$7,2,FALSE),VLOOKUP(AM187,'Writing Logic'!$A$3:$B$7,2,FALSE)),AVERAGE(VLOOKUP(AJ187,'Writing Logic'!$A$3:$B$7,2,FALSE),VLOOKUP(AK187,'Writing Logic'!$A$3:$B$7,2,FALSE),VLOOKUP(AL187,'Writing Logic'!$A$3:$B$7,2,FALSE),VLOOKUP(AM187,'Writing Logic'!$A$3:$B$7,2,FALSE))))),"Fill All 4")</f>
        <v>Fill All 4</v>
      </c>
      <c r="AO187" s="96" t="str">
        <f>IFERROR(AN187-$Q187,"")</f>
        <v/>
      </c>
      <c r="AP187" s="120"/>
      <c r="AQ187" s="120"/>
      <c r="AR187" s="120"/>
      <c r="AS187" s="120"/>
      <c r="AT187" s="95" t="str">
        <f>IFERROR(IF(YES_Writing_ELA[[#This Row],[Literacy IPP]]='Writing Logic'!$E$26,"IPP",IF(OR(AP187="EAL",AQ187="EAL",AR187="EAL",AS187="EAL"),"EAL",IF(AP187='Writing Logic'!$A$10,AVERAGE(VLOOKUP(AQ187,'Writing Logic'!$A$3:$B$7,2,FALSE),VLOOKUP(AR187,'Writing Logic'!$A$3:$B$7,2,FALSE),VLOOKUP(AS187,'Writing Logic'!$A$3:$B$7,2,FALSE)),AVERAGE(VLOOKUP(AP187,'Writing Logic'!$A$3:$B$7,2,FALSE),VLOOKUP(AQ187,'Writing Logic'!$A$3:$B$7,2,FALSE),VLOOKUP(AR187,'Writing Logic'!$A$3:$B$7,2,FALSE),VLOOKUP(AS187,'Writing Logic'!$A$3:$B$7,2,FALSE))))),"Fill All 4")</f>
        <v>Fill All 4</v>
      </c>
      <c r="AU187" s="96" t="str">
        <f>IFERROR(AT187-$Q187,"")</f>
        <v/>
      </c>
    </row>
    <row r="188" spans="1:47" x14ac:dyDescent="0.25">
      <c r="A188" s="255"/>
      <c r="B188" s="108"/>
      <c r="C188" s="13"/>
      <c r="D188" s="108"/>
      <c r="E188" s="13"/>
      <c r="F188" s="13"/>
      <c r="G188" s="13"/>
      <c r="H188" s="13"/>
      <c r="I188" s="13"/>
      <c r="J188" s="13"/>
      <c r="K188" s="183"/>
      <c r="L188" s="184"/>
      <c r="M188" s="120"/>
      <c r="N188" s="120"/>
      <c r="O188" s="120"/>
      <c r="P188" s="120"/>
      <c r="Q188" s="95" t="str">
        <f>IFERROR(IF(YES_Writing_ELA[[#This Row],[Literacy IPP]]='Writing Logic'!$E$26,"IPP",IF(OR(M188="EAL",N188="EAL",O188="EAL",P188="EAL"),"EAL",IF(M188='Writing Logic'!$A$10,AVERAGE(VLOOKUP(N188,'Writing Logic'!$A$3:$B$7,2,FALSE),VLOOKUP(O188,'Writing Logic'!$A$3:$B$7,2,FALSE),VLOOKUP(P188,'Writing Logic'!$A$3:$B$7,2,FALSE)),AVERAGE(VLOOKUP(M188,'Writing Logic'!$A$3:$B$7,2,FALSE),VLOOKUP(N188,'Writing Logic'!$A$3:$B$7,2,FALSE),VLOOKUP(O188,'Writing Logic'!$A$3:$B$7,2,FALSE),VLOOKUP(P188,'Writing Logic'!$A$3:$B$7,2,FALSE))))),"Fill All 4")</f>
        <v>Fill All 4</v>
      </c>
      <c r="R188" s="120"/>
      <c r="S188" s="120"/>
      <c r="T188" s="120"/>
      <c r="U188" s="120"/>
      <c r="V188" s="95" t="str">
        <f>IFERROR(IF(YES_Writing_ELA[[#This Row],[Literacy IPP]]='Writing Logic'!$E$26,"IPP",IF(OR(R188="EAL",S188="EAL",T188="EAL",U188="EAL"),"EAL",IF(R188='Writing Logic'!$A$10,AVERAGE(VLOOKUP(S188,'Writing Logic'!$A$3:$B$7,2,FALSE),VLOOKUP(T188,'Writing Logic'!$A$3:$B$7,2,FALSE),VLOOKUP(U188,'Writing Logic'!$A$3:$B$7,2,FALSE)),AVERAGE(VLOOKUP(R188,'Writing Logic'!$A$3:$B$7,2,FALSE),VLOOKUP(S188,'Writing Logic'!$A$3:$B$7,2,FALSE),VLOOKUP(T188,'Writing Logic'!$A$3:$B$7,2,FALSE),VLOOKUP(U188,'Writing Logic'!$A$3:$B$7,2,FALSE))))),"Fill All 4")</f>
        <v>Fill All 4</v>
      </c>
      <c r="W188" s="95" t="str">
        <f t="shared" si="10"/>
        <v/>
      </c>
      <c r="X188" s="120"/>
      <c r="Y188" s="120"/>
      <c r="Z188" s="120"/>
      <c r="AA188" s="120"/>
      <c r="AB188" s="95" t="str">
        <f>IFERROR(IF(YES_Writing_ELA[[#This Row],[Literacy IPP]]='Writing Logic'!$E$26,"IPP",IF(OR(X188="EAL",Y188="EAL",Z188="EAL",AA188="EAL"),"EAL",IF(X188='Writing Logic'!$A$10,AVERAGE(VLOOKUP(Y188,'Writing Logic'!$A$3:$B$7,2,FALSE),VLOOKUP(Z188,'Writing Logic'!$A$3:$B$7,2,FALSE),VLOOKUP(AA188,'Writing Logic'!$A$3:$B$7,2,FALSE)),AVERAGE(VLOOKUP(X188,'Writing Logic'!$A$3:$B$7,2,FALSE),VLOOKUP(Y188,'Writing Logic'!$A$3:$B$7,2,FALSE),VLOOKUP(Z188,'Writing Logic'!$A$3:$B$7,2,FALSE),VLOOKUP(AA188,'Writing Logic'!$A$3:$B$7,2,FALSE))))),"Fill All 4")</f>
        <v>Fill All 4</v>
      </c>
      <c r="AC188" s="95" t="str">
        <f t="shared" si="11"/>
        <v/>
      </c>
      <c r="AD188" s="120"/>
      <c r="AE188" s="120"/>
      <c r="AF188" s="120"/>
      <c r="AG188" s="120"/>
      <c r="AH188" s="95" t="str">
        <f>IFERROR(IF(YES_Writing_ELA[[#This Row],[Literacy IPP]]='Writing Logic'!$E$26,"IPP",IF(OR(AD188="EAL",AE188="EAL",AF188="EAL",AG188="EAL"),"EAL",IF(AD188='Writing Logic'!$A$10,AVERAGE(VLOOKUP(AE188,'Writing Logic'!$A$3:$B$7,2,FALSE),VLOOKUP(AF188,'Writing Logic'!$A$3:$B$7,2,FALSE),VLOOKUP(AG188,'Writing Logic'!$A$3:$B$7,2,FALSE)),AVERAGE(VLOOKUP(AD188,'Writing Logic'!$A$3:$B$7,2,FALSE),VLOOKUP(AE188,'Writing Logic'!$A$3:$B$7,2,FALSE),VLOOKUP(AF188,'Writing Logic'!$A$3:$B$7,2,FALSE),VLOOKUP(AG188,'Writing Logic'!$A$3:$B$7,2,FALSE))))),"Fill All 4")</f>
        <v>Fill All 4</v>
      </c>
      <c r="AI188" s="95" t="str">
        <f t="shared" si="12"/>
        <v/>
      </c>
      <c r="AJ188" s="183"/>
      <c r="AK188" s="120"/>
      <c r="AL188" s="120"/>
      <c r="AM188" s="120"/>
      <c r="AN188" s="95" t="str">
        <f>IFERROR(IF(YES_Writing_ELA[[#This Row],[Literacy IPP]]='Writing Logic'!$E$26,"IPP",IF(OR(AJ188="EAL",AK188="EAL",AL188="EAL",AM188="EAL"),"EAL",IF(AJ188='Writing Logic'!$A$10,AVERAGE(VLOOKUP(AK188,'Writing Logic'!$A$3:$B$7,2,FALSE),VLOOKUP(AL188,'Writing Logic'!$A$3:$B$7,2,FALSE),VLOOKUP(AM188,'Writing Logic'!$A$3:$B$7,2,FALSE)),AVERAGE(VLOOKUP(AJ188,'Writing Logic'!$A$3:$B$7,2,FALSE),VLOOKUP(AK188,'Writing Logic'!$A$3:$B$7,2,FALSE),VLOOKUP(AL188,'Writing Logic'!$A$3:$B$7,2,FALSE),VLOOKUP(AM188,'Writing Logic'!$A$3:$B$7,2,FALSE))))),"Fill All 4")</f>
        <v>Fill All 4</v>
      </c>
      <c r="AO188" s="95" t="str">
        <f t="shared" si="13"/>
        <v/>
      </c>
      <c r="AP188" s="120"/>
      <c r="AQ188" s="120"/>
      <c r="AR188" s="120"/>
      <c r="AS188" s="120"/>
      <c r="AT188" s="95" t="str">
        <f>IFERROR(IF(YES_Writing_ELA[[#This Row],[Literacy IPP]]='Writing Logic'!$E$26,"IPP",IF(OR(AP188="EAL",AQ188="EAL",AR188="EAL",AS188="EAL"),"EAL",IF(AP188='Writing Logic'!$A$10,AVERAGE(VLOOKUP(AQ188,'Writing Logic'!$A$3:$B$7,2,FALSE),VLOOKUP(AR188,'Writing Logic'!$A$3:$B$7,2,FALSE),VLOOKUP(AS188,'Writing Logic'!$A$3:$B$7,2,FALSE)),AVERAGE(VLOOKUP(AP188,'Writing Logic'!$A$3:$B$7,2,FALSE),VLOOKUP(AQ188,'Writing Logic'!$A$3:$B$7,2,FALSE),VLOOKUP(AR188,'Writing Logic'!$A$3:$B$7,2,FALSE),VLOOKUP(AS188,'Writing Logic'!$A$3:$B$7,2,FALSE))))),"Fill All 4")</f>
        <v>Fill All 4</v>
      </c>
      <c r="AU188" s="95" t="str">
        <f t="shared" si="14"/>
        <v/>
      </c>
    </row>
    <row r="189" spans="1:47" x14ac:dyDescent="0.25">
      <c r="A189" s="255"/>
      <c r="B189" s="108"/>
      <c r="C189" s="13"/>
      <c r="D189" s="108"/>
      <c r="E189" s="13"/>
      <c r="F189" s="13"/>
      <c r="G189" s="13"/>
      <c r="H189" s="13"/>
      <c r="I189" s="13"/>
      <c r="J189" s="13"/>
      <c r="K189" s="183"/>
      <c r="L189" s="184"/>
      <c r="M189" s="120"/>
      <c r="N189" s="120"/>
      <c r="O189" s="120"/>
      <c r="P189" s="120"/>
      <c r="Q189" s="95" t="str">
        <f>IFERROR(IF(YES_Writing_ELA[[#This Row],[Literacy IPP]]='Writing Logic'!$E$26,"IPP",IF(OR(M189="EAL",N189="EAL",O189="EAL",P189="EAL"),"EAL",IF(M189='Writing Logic'!$A$10,AVERAGE(VLOOKUP(N189,'Writing Logic'!$A$3:$B$7,2,FALSE),VLOOKUP(O189,'Writing Logic'!$A$3:$B$7,2,FALSE),VLOOKUP(P189,'Writing Logic'!$A$3:$B$7,2,FALSE)),AVERAGE(VLOOKUP(M189,'Writing Logic'!$A$3:$B$7,2,FALSE),VLOOKUP(N189,'Writing Logic'!$A$3:$B$7,2,FALSE),VLOOKUP(O189,'Writing Logic'!$A$3:$B$7,2,FALSE),VLOOKUP(P189,'Writing Logic'!$A$3:$B$7,2,FALSE))))),"Fill All 4")</f>
        <v>Fill All 4</v>
      </c>
      <c r="R189" s="120"/>
      <c r="S189" s="120"/>
      <c r="T189" s="120"/>
      <c r="U189" s="120"/>
      <c r="V189" s="95" t="str">
        <f>IFERROR(IF(YES_Writing_ELA[[#This Row],[Literacy IPP]]='Writing Logic'!$E$26,"IPP",IF(OR(R189="EAL",S189="EAL",T189="EAL",U189="EAL"),"EAL",IF(R189='Writing Logic'!$A$10,AVERAGE(VLOOKUP(S189,'Writing Logic'!$A$3:$B$7,2,FALSE),VLOOKUP(T189,'Writing Logic'!$A$3:$B$7,2,FALSE),VLOOKUP(U189,'Writing Logic'!$A$3:$B$7,2,FALSE)),AVERAGE(VLOOKUP(R189,'Writing Logic'!$A$3:$B$7,2,FALSE),VLOOKUP(S189,'Writing Logic'!$A$3:$B$7,2,FALSE),VLOOKUP(T189,'Writing Logic'!$A$3:$B$7,2,FALSE),VLOOKUP(U189,'Writing Logic'!$A$3:$B$7,2,FALSE))))),"Fill All 4")</f>
        <v>Fill All 4</v>
      </c>
      <c r="W189" s="95" t="str">
        <f t="shared" si="10"/>
        <v/>
      </c>
      <c r="X189" s="120"/>
      <c r="Y189" s="120"/>
      <c r="Z189" s="120"/>
      <c r="AA189" s="120"/>
      <c r="AB189" s="95" t="str">
        <f>IFERROR(IF(YES_Writing_ELA[[#This Row],[Literacy IPP]]='Writing Logic'!$E$26,"IPP",IF(OR(X189="EAL",Y189="EAL",Z189="EAL",AA189="EAL"),"EAL",IF(X189='Writing Logic'!$A$10,AVERAGE(VLOOKUP(Y189,'Writing Logic'!$A$3:$B$7,2,FALSE),VLOOKUP(Z189,'Writing Logic'!$A$3:$B$7,2,FALSE),VLOOKUP(AA189,'Writing Logic'!$A$3:$B$7,2,FALSE)),AVERAGE(VLOOKUP(X189,'Writing Logic'!$A$3:$B$7,2,FALSE),VLOOKUP(Y189,'Writing Logic'!$A$3:$B$7,2,FALSE),VLOOKUP(Z189,'Writing Logic'!$A$3:$B$7,2,FALSE),VLOOKUP(AA189,'Writing Logic'!$A$3:$B$7,2,FALSE))))),"Fill All 4")</f>
        <v>Fill All 4</v>
      </c>
      <c r="AC189" s="95" t="str">
        <f t="shared" si="11"/>
        <v/>
      </c>
      <c r="AD189" s="120"/>
      <c r="AE189" s="120"/>
      <c r="AF189" s="120"/>
      <c r="AG189" s="120"/>
      <c r="AH189" s="95" t="str">
        <f>IFERROR(IF(YES_Writing_ELA[[#This Row],[Literacy IPP]]='Writing Logic'!$E$26,"IPP",IF(OR(AD189="EAL",AE189="EAL",AF189="EAL",AG189="EAL"),"EAL",IF(AD189='Writing Logic'!$A$10,AVERAGE(VLOOKUP(AE189,'Writing Logic'!$A$3:$B$7,2,FALSE),VLOOKUP(AF189,'Writing Logic'!$A$3:$B$7,2,FALSE),VLOOKUP(AG189,'Writing Logic'!$A$3:$B$7,2,FALSE)),AVERAGE(VLOOKUP(AD189,'Writing Logic'!$A$3:$B$7,2,FALSE),VLOOKUP(AE189,'Writing Logic'!$A$3:$B$7,2,FALSE),VLOOKUP(AF189,'Writing Logic'!$A$3:$B$7,2,FALSE),VLOOKUP(AG189,'Writing Logic'!$A$3:$B$7,2,FALSE))))),"Fill All 4")</f>
        <v>Fill All 4</v>
      </c>
      <c r="AI189" s="95" t="str">
        <f t="shared" si="12"/>
        <v/>
      </c>
      <c r="AJ189" s="183"/>
      <c r="AK189" s="120"/>
      <c r="AL189" s="120"/>
      <c r="AM189" s="120"/>
      <c r="AN189" s="95" t="str">
        <f>IFERROR(IF(YES_Writing_ELA[[#This Row],[Literacy IPP]]='Writing Logic'!$E$26,"IPP",IF(OR(AJ189="EAL",AK189="EAL",AL189="EAL",AM189="EAL"),"EAL",IF(AJ189='Writing Logic'!$A$10,AVERAGE(VLOOKUP(AK189,'Writing Logic'!$A$3:$B$7,2,FALSE),VLOOKUP(AL189,'Writing Logic'!$A$3:$B$7,2,FALSE),VLOOKUP(AM189,'Writing Logic'!$A$3:$B$7,2,FALSE)),AVERAGE(VLOOKUP(AJ189,'Writing Logic'!$A$3:$B$7,2,FALSE),VLOOKUP(AK189,'Writing Logic'!$A$3:$B$7,2,FALSE),VLOOKUP(AL189,'Writing Logic'!$A$3:$B$7,2,FALSE),VLOOKUP(AM189,'Writing Logic'!$A$3:$B$7,2,FALSE))))),"Fill All 4")</f>
        <v>Fill All 4</v>
      </c>
      <c r="AO189" s="95" t="str">
        <f t="shared" si="13"/>
        <v/>
      </c>
      <c r="AP189" s="120"/>
      <c r="AQ189" s="120"/>
      <c r="AR189" s="120"/>
      <c r="AS189" s="120"/>
      <c r="AT189" s="95" t="str">
        <f>IFERROR(IF(YES_Writing_ELA[[#This Row],[Literacy IPP]]='Writing Logic'!$E$26,"IPP",IF(OR(AP189="EAL",AQ189="EAL",AR189="EAL",AS189="EAL"),"EAL",IF(AP189='Writing Logic'!$A$10,AVERAGE(VLOOKUP(AQ189,'Writing Logic'!$A$3:$B$7,2,FALSE),VLOOKUP(AR189,'Writing Logic'!$A$3:$B$7,2,FALSE),VLOOKUP(AS189,'Writing Logic'!$A$3:$B$7,2,FALSE)),AVERAGE(VLOOKUP(AP189,'Writing Logic'!$A$3:$B$7,2,FALSE),VLOOKUP(AQ189,'Writing Logic'!$A$3:$B$7,2,FALSE),VLOOKUP(AR189,'Writing Logic'!$A$3:$B$7,2,FALSE),VLOOKUP(AS189,'Writing Logic'!$A$3:$B$7,2,FALSE))))),"Fill All 4")</f>
        <v>Fill All 4</v>
      </c>
      <c r="AU189" s="95" t="str">
        <f t="shared" si="14"/>
        <v/>
      </c>
    </row>
    <row r="190" spans="1:47" x14ac:dyDescent="0.25">
      <c r="A190" s="255"/>
      <c r="B190" s="108"/>
      <c r="C190" s="13"/>
      <c r="D190" s="108"/>
      <c r="E190" s="13"/>
      <c r="F190" s="13"/>
      <c r="G190" s="13"/>
      <c r="H190" s="13"/>
      <c r="I190" s="13"/>
      <c r="J190" s="13"/>
      <c r="K190" s="183"/>
      <c r="L190" s="184"/>
      <c r="M190" s="120"/>
      <c r="N190" s="120"/>
      <c r="O190" s="120"/>
      <c r="P190" s="120"/>
      <c r="Q190" s="95" t="str">
        <f>IFERROR(IF(YES_Writing_ELA[[#This Row],[Literacy IPP]]='Writing Logic'!$E$26,"IPP",IF(OR(M190="EAL",N190="EAL",O190="EAL",P190="EAL"),"EAL",IF(M190='Writing Logic'!$A$10,AVERAGE(VLOOKUP(N190,'Writing Logic'!$A$3:$B$7,2,FALSE),VLOOKUP(O190,'Writing Logic'!$A$3:$B$7,2,FALSE),VLOOKUP(P190,'Writing Logic'!$A$3:$B$7,2,FALSE)),AVERAGE(VLOOKUP(M190,'Writing Logic'!$A$3:$B$7,2,FALSE),VLOOKUP(N190,'Writing Logic'!$A$3:$B$7,2,FALSE),VLOOKUP(O190,'Writing Logic'!$A$3:$B$7,2,FALSE),VLOOKUP(P190,'Writing Logic'!$A$3:$B$7,2,FALSE))))),"Fill All 4")</f>
        <v>Fill All 4</v>
      </c>
      <c r="R190" s="120"/>
      <c r="S190" s="120"/>
      <c r="T190" s="120"/>
      <c r="U190" s="120"/>
      <c r="V190" s="95" t="str">
        <f>IFERROR(IF(YES_Writing_ELA[[#This Row],[Literacy IPP]]='Writing Logic'!$E$26,"IPP",IF(OR(R190="EAL",S190="EAL",T190="EAL",U190="EAL"),"EAL",IF(R190='Writing Logic'!$A$10,AVERAGE(VLOOKUP(S190,'Writing Logic'!$A$3:$B$7,2,FALSE),VLOOKUP(T190,'Writing Logic'!$A$3:$B$7,2,FALSE),VLOOKUP(U190,'Writing Logic'!$A$3:$B$7,2,FALSE)),AVERAGE(VLOOKUP(R190,'Writing Logic'!$A$3:$B$7,2,FALSE),VLOOKUP(S190,'Writing Logic'!$A$3:$B$7,2,FALSE),VLOOKUP(T190,'Writing Logic'!$A$3:$B$7,2,FALSE),VLOOKUP(U190,'Writing Logic'!$A$3:$B$7,2,FALSE))))),"Fill All 4")</f>
        <v>Fill All 4</v>
      </c>
      <c r="W190" s="95" t="str">
        <f t="shared" si="10"/>
        <v/>
      </c>
      <c r="X190" s="120"/>
      <c r="Y190" s="120"/>
      <c r="Z190" s="120"/>
      <c r="AA190" s="120"/>
      <c r="AB190" s="95" t="str">
        <f>IFERROR(IF(YES_Writing_ELA[[#This Row],[Literacy IPP]]='Writing Logic'!$E$26,"IPP",IF(OR(X190="EAL",Y190="EAL",Z190="EAL",AA190="EAL"),"EAL",IF(X190='Writing Logic'!$A$10,AVERAGE(VLOOKUP(Y190,'Writing Logic'!$A$3:$B$7,2,FALSE),VLOOKUP(Z190,'Writing Logic'!$A$3:$B$7,2,FALSE),VLOOKUP(AA190,'Writing Logic'!$A$3:$B$7,2,FALSE)),AVERAGE(VLOOKUP(X190,'Writing Logic'!$A$3:$B$7,2,FALSE),VLOOKUP(Y190,'Writing Logic'!$A$3:$B$7,2,FALSE),VLOOKUP(Z190,'Writing Logic'!$A$3:$B$7,2,FALSE),VLOOKUP(AA190,'Writing Logic'!$A$3:$B$7,2,FALSE))))),"Fill All 4")</f>
        <v>Fill All 4</v>
      </c>
      <c r="AC190" s="95" t="str">
        <f t="shared" si="11"/>
        <v/>
      </c>
      <c r="AD190" s="120"/>
      <c r="AE190" s="120"/>
      <c r="AF190" s="120"/>
      <c r="AG190" s="120"/>
      <c r="AH190" s="95" t="str">
        <f>IFERROR(IF(YES_Writing_ELA[[#This Row],[Literacy IPP]]='Writing Logic'!$E$26,"IPP",IF(OR(AD190="EAL",AE190="EAL",AF190="EAL",AG190="EAL"),"EAL",IF(AD190='Writing Logic'!$A$10,AVERAGE(VLOOKUP(AE190,'Writing Logic'!$A$3:$B$7,2,FALSE),VLOOKUP(AF190,'Writing Logic'!$A$3:$B$7,2,FALSE),VLOOKUP(AG190,'Writing Logic'!$A$3:$B$7,2,FALSE)),AVERAGE(VLOOKUP(AD190,'Writing Logic'!$A$3:$B$7,2,FALSE),VLOOKUP(AE190,'Writing Logic'!$A$3:$B$7,2,FALSE),VLOOKUP(AF190,'Writing Logic'!$A$3:$B$7,2,FALSE),VLOOKUP(AG190,'Writing Logic'!$A$3:$B$7,2,FALSE))))),"Fill All 4")</f>
        <v>Fill All 4</v>
      </c>
      <c r="AI190" s="95" t="str">
        <f t="shared" si="12"/>
        <v/>
      </c>
      <c r="AJ190" s="183"/>
      <c r="AK190" s="120"/>
      <c r="AL190" s="120"/>
      <c r="AM190" s="120"/>
      <c r="AN190" s="95" t="str">
        <f>IFERROR(IF(YES_Writing_ELA[[#This Row],[Literacy IPP]]='Writing Logic'!$E$26,"IPP",IF(OR(AJ190="EAL",AK190="EAL",AL190="EAL",AM190="EAL"),"EAL",IF(AJ190='Writing Logic'!$A$10,AVERAGE(VLOOKUP(AK190,'Writing Logic'!$A$3:$B$7,2,FALSE),VLOOKUP(AL190,'Writing Logic'!$A$3:$B$7,2,FALSE),VLOOKUP(AM190,'Writing Logic'!$A$3:$B$7,2,FALSE)),AVERAGE(VLOOKUP(AJ190,'Writing Logic'!$A$3:$B$7,2,FALSE),VLOOKUP(AK190,'Writing Logic'!$A$3:$B$7,2,FALSE),VLOOKUP(AL190,'Writing Logic'!$A$3:$B$7,2,FALSE),VLOOKUP(AM190,'Writing Logic'!$A$3:$B$7,2,FALSE))))),"Fill All 4")</f>
        <v>Fill All 4</v>
      </c>
      <c r="AO190" s="95" t="str">
        <f t="shared" si="13"/>
        <v/>
      </c>
      <c r="AP190" s="120"/>
      <c r="AQ190" s="120"/>
      <c r="AR190" s="120"/>
      <c r="AS190" s="120"/>
      <c r="AT190" s="95" t="str">
        <f>IFERROR(IF(YES_Writing_ELA[[#This Row],[Literacy IPP]]='Writing Logic'!$E$26,"IPP",IF(OR(AP190="EAL",AQ190="EAL",AR190="EAL",AS190="EAL"),"EAL",IF(AP190='Writing Logic'!$A$10,AVERAGE(VLOOKUP(AQ190,'Writing Logic'!$A$3:$B$7,2,FALSE),VLOOKUP(AR190,'Writing Logic'!$A$3:$B$7,2,FALSE),VLOOKUP(AS190,'Writing Logic'!$A$3:$B$7,2,FALSE)),AVERAGE(VLOOKUP(AP190,'Writing Logic'!$A$3:$B$7,2,FALSE),VLOOKUP(AQ190,'Writing Logic'!$A$3:$B$7,2,FALSE),VLOOKUP(AR190,'Writing Logic'!$A$3:$B$7,2,FALSE),VLOOKUP(AS190,'Writing Logic'!$A$3:$B$7,2,FALSE))))),"Fill All 4")</f>
        <v>Fill All 4</v>
      </c>
      <c r="AU190" s="95" t="str">
        <f t="shared" si="14"/>
        <v/>
      </c>
    </row>
    <row r="191" spans="1:47" x14ac:dyDescent="0.25">
      <c r="A191" s="255"/>
      <c r="B191" s="108"/>
      <c r="C191" s="13"/>
      <c r="D191" s="108"/>
      <c r="E191" s="13"/>
      <c r="F191" s="13"/>
      <c r="G191" s="13"/>
      <c r="H191" s="13"/>
      <c r="I191" s="13"/>
      <c r="J191" s="13"/>
      <c r="K191" s="183"/>
      <c r="L191" s="184"/>
      <c r="M191" s="120"/>
      <c r="N191" s="120"/>
      <c r="O191" s="120"/>
      <c r="P191" s="120"/>
      <c r="Q191" s="95" t="str">
        <f>IFERROR(IF(YES_Writing_ELA[[#This Row],[Literacy IPP]]='Writing Logic'!$E$26,"IPP",IF(OR(M191="EAL",N191="EAL",O191="EAL",P191="EAL"),"EAL",IF(M191='Writing Logic'!$A$10,AVERAGE(VLOOKUP(N191,'Writing Logic'!$A$3:$B$7,2,FALSE),VLOOKUP(O191,'Writing Logic'!$A$3:$B$7,2,FALSE),VLOOKUP(P191,'Writing Logic'!$A$3:$B$7,2,FALSE)),AVERAGE(VLOOKUP(M191,'Writing Logic'!$A$3:$B$7,2,FALSE),VLOOKUP(N191,'Writing Logic'!$A$3:$B$7,2,FALSE),VLOOKUP(O191,'Writing Logic'!$A$3:$B$7,2,FALSE),VLOOKUP(P191,'Writing Logic'!$A$3:$B$7,2,FALSE))))),"Fill All 4")</f>
        <v>Fill All 4</v>
      </c>
      <c r="R191" s="120"/>
      <c r="S191" s="120"/>
      <c r="T191" s="120"/>
      <c r="U191" s="120"/>
      <c r="V191" s="95" t="str">
        <f>IFERROR(IF(YES_Writing_ELA[[#This Row],[Literacy IPP]]='Writing Logic'!$E$26,"IPP",IF(OR(R191="EAL",S191="EAL",T191="EAL",U191="EAL"),"EAL",IF(R191='Writing Logic'!$A$10,AVERAGE(VLOOKUP(S191,'Writing Logic'!$A$3:$B$7,2,FALSE),VLOOKUP(T191,'Writing Logic'!$A$3:$B$7,2,FALSE),VLOOKUP(U191,'Writing Logic'!$A$3:$B$7,2,FALSE)),AVERAGE(VLOOKUP(R191,'Writing Logic'!$A$3:$B$7,2,FALSE),VLOOKUP(S191,'Writing Logic'!$A$3:$B$7,2,FALSE),VLOOKUP(T191,'Writing Logic'!$A$3:$B$7,2,FALSE),VLOOKUP(U191,'Writing Logic'!$A$3:$B$7,2,FALSE))))),"Fill All 4")</f>
        <v>Fill All 4</v>
      </c>
      <c r="W191" s="95" t="str">
        <f t="shared" si="10"/>
        <v/>
      </c>
      <c r="X191" s="120"/>
      <c r="Y191" s="120"/>
      <c r="Z191" s="120"/>
      <c r="AA191" s="120"/>
      <c r="AB191" s="95" t="str">
        <f>IFERROR(IF(YES_Writing_ELA[[#This Row],[Literacy IPP]]='Writing Logic'!$E$26,"IPP",IF(OR(X191="EAL",Y191="EAL",Z191="EAL",AA191="EAL"),"EAL",IF(X191='Writing Logic'!$A$10,AVERAGE(VLOOKUP(Y191,'Writing Logic'!$A$3:$B$7,2,FALSE),VLOOKUP(Z191,'Writing Logic'!$A$3:$B$7,2,FALSE),VLOOKUP(AA191,'Writing Logic'!$A$3:$B$7,2,FALSE)),AVERAGE(VLOOKUP(X191,'Writing Logic'!$A$3:$B$7,2,FALSE),VLOOKUP(Y191,'Writing Logic'!$A$3:$B$7,2,FALSE),VLOOKUP(Z191,'Writing Logic'!$A$3:$B$7,2,FALSE),VLOOKUP(AA191,'Writing Logic'!$A$3:$B$7,2,FALSE))))),"Fill All 4")</f>
        <v>Fill All 4</v>
      </c>
      <c r="AC191" s="95" t="str">
        <f t="shared" si="11"/>
        <v/>
      </c>
      <c r="AD191" s="120"/>
      <c r="AE191" s="120"/>
      <c r="AF191" s="120"/>
      <c r="AG191" s="120"/>
      <c r="AH191" s="95" t="str">
        <f>IFERROR(IF(YES_Writing_ELA[[#This Row],[Literacy IPP]]='Writing Logic'!$E$26,"IPP",IF(OR(AD191="EAL",AE191="EAL",AF191="EAL",AG191="EAL"),"EAL",IF(AD191='Writing Logic'!$A$10,AVERAGE(VLOOKUP(AE191,'Writing Logic'!$A$3:$B$7,2,FALSE),VLOOKUP(AF191,'Writing Logic'!$A$3:$B$7,2,FALSE),VLOOKUP(AG191,'Writing Logic'!$A$3:$B$7,2,FALSE)),AVERAGE(VLOOKUP(AD191,'Writing Logic'!$A$3:$B$7,2,FALSE),VLOOKUP(AE191,'Writing Logic'!$A$3:$B$7,2,FALSE),VLOOKUP(AF191,'Writing Logic'!$A$3:$B$7,2,FALSE),VLOOKUP(AG191,'Writing Logic'!$A$3:$B$7,2,FALSE))))),"Fill All 4")</f>
        <v>Fill All 4</v>
      </c>
      <c r="AI191" s="95" t="str">
        <f t="shared" si="12"/>
        <v/>
      </c>
      <c r="AJ191" s="183"/>
      <c r="AK191" s="120"/>
      <c r="AL191" s="120"/>
      <c r="AM191" s="120"/>
      <c r="AN191" s="95" t="str">
        <f>IFERROR(IF(YES_Writing_ELA[[#This Row],[Literacy IPP]]='Writing Logic'!$E$26,"IPP",IF(OR(AJ191="EAL",AK191="EAL",AL191="EAL",AM191="EAL"),"EAL",IF(AJ191='Writing Logic'!$A$10,AVERAGE(VLOOKUP(AK191,'Writing Logic'!$A$3:$B$7,2,FALSE),VLOOKUP(AL191,'Writing Logic'!$A$3:$B$7,2,FALSE),VLOOKUP(AM191,'Writing Logic'!$A$3:$B$7,2,FALSE)),AVERAGE(VLOOKUP(AJ191,'Writing Logic'!$A$3:$B$7,2,FALSE),VLOOKUP(AK191,'Writing Logic'!$A$3:$B$7,2,FALSE),VLOOKUP(AL191,'Writing Logic'!$A$3:$B$7,2,FALSE),VLOOKUP(AM191,'Writing Logic'!$A$3:$B$7,2,FALSE))))),"Fill All 4")</f>
        <v>Fill All 4</v>
      </c>
      <c r="AO191" s="95" t="str">
        <f t="shared" si="13"/>
        <v/>
      </c>
      <c r="AP191" s="120"/>
      <c r="AQ191" s="120"/>
      <c r="AR191" s="120"/>
      <c r="AS191" s="120"/>
      <c r="AT191" s="95" t="str">
        <f>IFERROR(IF(YES_Writing_ELA[[#This Row],[Literacy IPP]]='Writing Logic'!$E$26,"IPP",IF(OR(AP191="EAL",AQ191="EAL",AR191="EAL",AS191="EAL"),"EAL",IF(AP191='Writing Logic'!$A$10,AVERAGE(VLOOKUP(AQ191,'Writing Logic'!$A$3:$B$7,2,FALSE),VLOOKUP(AR191,'Writing Logic'!$A$3:$B$7,2,FALSE),VLOOKUP(AS191,'Writing Logic'!$A$3:$B$7,2,FALSE)),AVERAGE(VLOOKUP(AP191,'Writing Logic'!$A$3:$B$7,2,FALSE),VLOOKUP(AQ191,'Writing Logic'!$A$3:$B$7,2,FALSE),VLOOKUP(AR191,'Writing Logic'!$A$3:$B$7,2,FALSE),VLOOKUP(AS191,'Writing Logic'!$A$3:$B$7,2,FALSE))))),"Fill All 4")</f>
        <v>Fill All 4</v>
      </c>
      <c r="AU191" s="95" t="str">
        <f t="shared" si="14"/>
        <v/>
      </c>
    </row>
    <row r="192" spans="1:47" x14ac:dyDescent="0.25">
      <c r="A192" s="255"/>
      <c r="B192" s="108"/>
      <c r="C192" s="13"/>
      <c r="D192" s="108"/>
      <c r="E192" s="13"/>
      <c r="F192" s="13"/>
      <c r="G192" s="13"/>
      <c r="H192" s="13"/>
      <c r="I192" s="13"/>
      <c r="J192" s="13"/>
      <c r="K192" s="183"/>
      <c r="L192" s="184"/>
      <c r="M192" s="120"/>
      <c r="N192" s="120"/>
      <c r="O192" s="120"/>
      <c r="P192" s="120"/>
      <c r="Q192" s="95" t="str">
        <f>IFERROR(IF(YES_Writing_ELA[[#This Row],[Literacy IPP]]='Writing Logic'!$E$26,"IPP",IF(OR(M192="EAL",N192="EAL",O192="EAL",P192="EAL"),"EAL",IF(M192='Writing Logic'!$A$10,AVERAGE(VLOOKUP(N192,'Writing Logic'!$A$3:$B$7,2,FALSE),VLOOKUP(O192,'Writing Logic'!$A$3:$B$7,2,FALSE),VLOOKUP(P192,'Writing Logic'!$A$3:$B$7,2,FALSE)),AVERAGE(VLOOKUP(M192,'Writing Logic'!$A$3:$B$7,2,FALSE),VLOOKUP(N192,'Writing Logic'!$A$3:$B$7,2,FALSE),VLOOKUP(O192,'Writing Logic'!$A$3:$B$7,2,FALSE),VLOOKUP(P192,'Writing Logic'!$A$3:$B$7,2,FALSE))))),"Fill All 4")</f>
        <v>Fill All 4</v>
      </c>
      <c r="R192" s="120"/>
      <c r="S192" s="120"/>
      <c r="T192" s="120"/>
      <c r="U192" s="120"/>
      <c r="V192" s="95" t="str">
        <f>IFERROR(IF(YES_Writing_ELA[[#This Row],[Literacy IPP]]='Writing Logic'!$E$26,"IPP",IF(OR(R192="EAL",S192="EAL",T192="EAL",U192="EAL"),"EAL",IF(R192='Writing Logic'!$A$10,AVERAGE(VLOOKUP(S192,'Writing Logic'!$A$3:$B$7,2,FALSE),VLOOKUP(T192,'Writing Logic'!$A$3:$B$7,2,FALSE),VLOOKUP(U192,'Writing Logic'!$A$3:$B$7,2,FALSE)),AVERAGE(VLOOKUP(R192,'Writing Logic'!$A$3:$B$7,2,FALSE),VLOOKUP(S192,'Writing Logic'!$A$3:$B$7,2,FALSE),VLOOKUP(T192,'Writing Logic'!$A$3:$B$7,2,FALSE),VLOOKUP(U192,'Writing Logic'!$A$3:$B$7,2,FALSE))))),"Fill All 4")</f>
        <v>Fill All 4</v>
      </c>
      <c r="W192" s="95" t="str">
        <f t="shared" si="10"/>
        <v/>
      </c>
      <c r="X192" s="120"/>
      <c r="Y192" s="120"/>
      <c r="Z192" s="120"/>
      <c r="AA192" s="120"/>
      <c r="AB192" s="95" t="str">
        <f>IFERROR(IF(YES_Writing_ELA[[#This Row],[Literacy IPP]]='Writing Logic'!$E$26,"IPP",IF(OR(X192="EAL",Y192="EAL",Z192="EAL",AA192="EAL"),"EAL",IF(X192='Writing Logic'!$A$10,AVERAGE(VLOOKUP(Y192,'Writing Logic'!$A$3:$B$7,2,FALSE),VLOOKUP(Z192,'Writing Logic'!$A$3:$B$7,2,FALSE),VLOOKUP(AA192,'Writing Logic'!$A$3:$B$7,2,FALSE)),AVERAGE(VLOOKUP(X192,'Writing Logic'!$A$3:$B$7,2,FALSE),VLOOKUP(Y192,'Writing Logic'!$A$3:$B$7,2,FALSE),VLOOKUP(Z192,'Writing Logic'!$A$3:$B$7,2,FALSE),VLOOKUP(AA192,'Writing Logic'!$A$3:$B$7,2,FALSE))))),"Fill All 4")</f>
        <v>Fill All 4</v>
      </c>
      <c r="AC192" s="95" t="str">
        <f t="shared" si="11"/>
        <v/>
      </c>
      <c r="AD192" s="120"/>
      <c r="AE192" s="120"/>
      <c r="AF192" s="120"/>
      <c r="AG192" s="120"/>
      <c r="AH192" s="95" t="str">
        <f>IFERROR(IF(YES_Writing_ELA[[#This Row],[Literacy IPP]]='Writing Logic'!$E$26,"IPP",IF(OR(AD192="EAL",AE192="EAL",AF192="EAL",AG192="EAL"),"EAL",IF(AD192='Writing Logic'!$A$10,AVERAGE(VLOOKUP(AE192,'Writing Logic'!$A$3:$B$7,2,FALSE),VLOOKUP(AF192,'Writing Logic'!$A$3:$B$7,2,FALSE),VLOOKUP(AG192,'Writing Logic'!$A$3:$B$7,2,FALSE)),AVERAGE(VLOOKUP(AD192,'Writing Logic'!$A$3:$B$7,2,FALSE),VLOOKUP(AE192,'Writing Logic'!$A$3:$B$7,2,FALSE),VLOOKUP(AF192,'Writing Logic'!$A$3:$B$7,2,FALSE),VLOOKUP(AG192,'Writing Logic'!$A$3:$B$7,2,FALSE))))),"Fill All 4")</f>
        <v>Fill All 4</v>
      </c>
      <c r="AI192" s="95" t="str">
        <f t="shared" si="12"/>
        <v/>
      </c>
      <c r="AJ192" s="183"/>
      <c r="AK192" s="120"/>
      <c r="AL192" s="120"/>
      <c r="AM192" s="120"/>
      <c r="AN192" s="95" t="str">
        <f>IFERROR(IF(YES_Writing_ELA[[#This Row],[Literacy IPP]]='Writing Logic'!$E$26,"IPP",IF(OR(AJ192="EAL",AK192="EAL",AL192="EAL",AM192="EAL"),"EAL",IF(AJ192='Writing Logic'!$A$10,AVERAGE(VLOOKUP(AK192,'Writing Logic'!$A$3:$B$7,2,FALSE),VLOOKUP(AL192,'Writing Logic'!$A$3:$B$7,2,FALSE),VLOOKUP(AM192,'Writing Logic'!$A$3:$B$7,2,FALSE)),AVERAGE(VLOOKUP(AJ192,'Writing Logic'!$A$3:$B$7,2,FALSE),VLOOKUP(AK192,'Writing Logic'!$A$3:$B$7,2,FALSE),VLOOKUP(AL192,'Writing Logic'!$A$3:$B$7,2,FALSE),VLOOKUP(AM192,'Writing Logic'!$A$3:$B$7,2,FALSE))))),"Fill All 4")</f>
        <v>Fill All 4</v>
      </c>
      <c r="AO192" s="95" t="str">
        <f t="shared" si="13"/>
        <v/>
      </c>
      <c r="AP192" s="120"/>
      <c r="AQ192" s="120"/>
      <c r="AR192" s="120"/>
      <c r="AS192" s="120"/>
      <c r="AT192" s="95" t="str">
        <f>IFERROR(IF(YES_Writing_ELA[[#This Row],[Literacy IPP]]='Writing Logic'!$E$26,"IPP",IF(OR(AP192="EAL",AQ192="EAL",AR192="EAL",AS192="EAL"),"EAL",IF(AP192='Writing Logic'!$A$10,AVERAGE(VLOOKUP(AQ192,'Writing Logic'!$A$3:$B$7,2,FALSE),VLOOKUP(AR192,'Writing Logic'!$A$3:$B$7,2,FALSE),VLOOKUP(AS192,'Writing Logic'!$A$3:$B$7,2,FALSE)),AVERAGE(VLOOKUP(AP192,'Writing Logic'!$A$3:$B$7,2,FALSE),VLOOKUP(AQ192,'Writing Logic'!$A$3:$B$7,2,FALSE),VLOOKUP(AR192,'Writing Logic'!$A$3:$B$7,2,FALSE),VLOOKUP(AS192,'Writing Logic'!$A$3:$B$7,2,FALSE))))),"Fill All 4")</f>
        <v>Fill All 4</v>
      </c>
      <c r="AU192" s="95" t="str">
        <f t="shared" si="14"/>
        <v/>
      </c>
    </row>
    <row r="193" spans="1:47" x14ac:dyDescent="0.25">
      <c r="A193" s="255"/>
      <c r="B193" s="108"/>
      <c r="C193" s="13"/>
      <c r="D193" s="108"/>
      <c r="E193" s="13"/>
      <c r="F193" s="13"/>
      <c r="G193" s="13"/>
      <c r="H193" s="13"/>
      <c r="I193" s="13"/>
      <c r="J193" s="13"/>
      <c r="K193" s="183"/>
      <c r="L193" s="184"/>
      <c r="M193" s="120"/>
      <c r="N193" s="120"/>
      <c r="O193" s="120"/>
      <c r="P193" s="120"/>
      <c r="Q193" s="95" t="str">
        <f>IFERROR(IF(YES_Writing_ELA[[#This Row],[Literacy IPP]]='Writing Logic'!$E$26,"IPP",IF(OR(M193="EAL",N193="EAL",O193="EAL",P193="EAL"),"EAL",IF(M193='Writing Logic'!$A$10,AVERAGE(VLOOKUP(N193,'Writing Logic'!$A$3:$B$7,2,FALSE),VLOOKUP(O193,'Writing Logic'!$A$3:$B$7,2,FALSE),VLOOKUP(P193,'Writing Logic'!$A$3:$B$7,2,FALSE)),AVERAGE(VLOOKUP(M193,'Writing Logic'!$A$3:$B$7,2,FALSE),VLOOKUP(N193,'Writing Logic'!$A$3:$B$7,2,FALSE),VLOOKUP(O193,'Writing Logic'!$A$3:$B$7,2,FALSE),VLOOKUP(P193,'Writing Logic'!$A$3:$B$7,2,FALSE))))),"Fill All 4")</f>
        <v>Fill All 4</v>
      </c>
      <c r="R193" s="120"/>
      <c r="S193" s="120"/>
      <c r="T193" s="120"/>
      <c r="U193" s="120"/>
      <c r="V193" s="95" t="str">
        <f>IFERROR(IF(YES_Writing_ELA[[#This Row],[Literacy IPP]]='Writing Logic'!$E$26,"IPP",IF(OR(R193="EAL",S193="EAL",T193="EAL",U193="EAL"),"EAL",IF(R193='Writing Logic'!$A$10,AVERAGE(VLOOKUP(S193,'Writing Logic'!$A$3:$B$7,2,FALSE),VLOOKUP(T193,'Writing Logic'!$A$3:$B$7,2,FALSE),VLOOKUP(U193,'Writing Logic'!$A$3:$B$7,2,FALSE)),AVERAGE(VLOOKUP(R193,'Writing Logic'!$A$3:$B$7,2,FALSE),VLOOKUP(S193,'Writing Logic'!$A$3:$B$7,2,FALSE),VLOOKUP(T193,'Writing Logic'!$A$3:$B$7,2,FALSE),VLOOKUP(U193,'Writing Logic'!$A$3:$B$7,2,FALSE))))),"Fill All 4")</f>
        <v>Fill All 4</v>
      </c>
      <c r="W193" s="95" t="str">
        <f t="shared" si="10"/>
        <v/>
      </c>
      <c r="X193" s="120"/>
      <c r="Y193" s="120"/>
      <c r="Z193" s="120"/>
      <c r="AA193" s="120"/>
      <c r="AB193" s="95" t="str">
        <f>IFERROR(IF(YES_Writing_ELA[[#This Row],[Literacy IPP]]='Writing Logic'!$E$26,"IPP",IF(OR(X193="EAL",Y193="EAL",Z193="EAL",AA193="EAL"),"EAL",IF(X193='Writing Logic'!$A$10,AVERAGE(VLOOKUP(Y193,'Writing Logic'!$A$3:$B$7,2,FALSE),VLOOKUP(Z193,'Writing Logic'!$A$3:$B$7,2,FALSE),VLOOKUP(AA193,'Writing Logic'!$A$3:$B$7,2,FALSE)),AVERAGE(VLOOKUP(X193,'Writing Logic'!$A$3:$B$7,2,FALSE),VLOOKUP(Y193,'Writing Logic'!$A$3:$B$7,2,FALSE),VLOOKUP(Z193,'Writing Logic'!$A$3:$B$7,2,FALSE),VLOOKUP(AA193,'Writing Logic'!$A$3:$B$7,2,FALSE))))),"Fill All 4")</f>
        <v>Fill All 4</v>
      </c>
      <c r="AC193" s="95" t="str">
        <f t="shared" si="11"/>
        <v/>
      </c>
      <c r="AD193" s="120"/>
      <c r="AE193" s="120"/>
      <c r="AF193" s="120"/>
      <c r="AG193" s="120"/>
      <c r="AH193" s="95" t="str">
        <f>IFERROR(IF(YES_Writing_ELA[[#This Row],[Literacy IPP]]='Writing Logic'!$E$26,"IPP",IF(OR(AD193="EAL",AE193="EAL",AF193="EAL",AG193="EAL"),"EAL",IF(AD193='Writing Logic'!$A$10,AVERAGE(VLOOKUP(AE193,'Writing Logic'!$A$3:$B$7,2,FALSE),VLOOKUP(AF193,'Writing Logic'!$A$3:$B$7,2,FALSE),VLOOKUP(AG193,'Writing Logic'!$A$3:$B$7,2,FALSE)),AVERAGE(VLOOKUP(AD193,'Writing Logic'!$A$3:$B$7,2,FALSE),VLOOKUP(AE193,'Writing Logic'!$A$3:$B$7,2,FALSE),VLOOKUP(AF193,'Writing Logic'!$A$3:$B$7,2,FALSE),VLOOKUP(AG193,'Writing Logic'!$A$3:$B$7,2,FALSE))))),"Fill All 4")</f>
        <v>Fill All 4</v>
      </c>
      <c r="AI193" s="95" t="str">
        <f t="shared" si="12"/>
        <v/>
      </c>
      <c r="AJ193" s="183"/>
      <c r="AK193" s="120"/>
      <c r="AL193" s="120"/>
      <c r="AM193" s="120"/>
      <c r="AN193" s="95" t="str">
        <f>IFERROR(IF(YES_Writing_ELA[[#This Row],[Literacy IPP]]='Writing Logic'!$E$26,"IPP",IF(OR(AJ193="EAL",AK193="EAL",AL193="EAL",AM193="EAL"),"EAL",IF(AJ193='Writing Logic'!$A$10,AVERAGE(VLOOKUP(AK193,'Writing Logic'!$A$3:$B$7,2,FALSE),VLOOKUP(AL193,'Writing Logic'!$A$3:$B$7,2,FALSE),VLOOKUP(AM193,'Writing Logic'!$A$3:$B$7,2,FALSE)),AVERAGE(VLOOKUP(AJ193,'Writing Logic'!$A$3:$B$7,2,FALSE),VLOOKUP(AK193,'Writing Logic'!$A$3:$B$7,2,FALSE),VLOOKUP(AL193,'Writing Logic'!$A$3:$B$7,2,FALSE),VLOOKUP(AM193,'Writing Logic'!$A$3:$B$7,2,FALSE))))),"Fill All 4")</f>
        <v>Fill All 4</v>
      </c>
      <c r="AO193" s="95" t="str">
        <f t="shared" si="13"/>
        <v/>
      </c>
      <c r="AP193" s="120"/>
      <c r="AQ193" s="120"/>
      <c r="AR193" s="120"/>
      <c r="AS193" s="120"/>
      <c r="AT193" s="95" t="str">
        <f>IFERROR(IF(YES_Writing_ELA[[#This Row],[Literacy IPP]]='Writing Logic'!$E$26,"IPP",IF(OR(AP193="EAL",AQ193="EAL",AR193="EAL",AS193="EAL"),"EAL",IF(AP193='Writing Logic'!$A$10,AVERAGE(VLOOKUP(AQ193,'Writing Logic'!$A$3:$B$7,2,FALSE),VLOOKUP(AR193,'Writing Logic'!$A$3:$B$7,2,FALSE),VLOOKUP(AS193,'Writing Logic'!$A$3:$B$7,2,FALSE)),AVERAGE(VLOOKUP(AP193,'Writing Logic'!$A$3:$B$7,2,FALSE),VLOOKUP(AQ193,'Writing Logic'!$A$3:$B$7,2,FALSE),VLOOKUP(AR193,'Writing Logic'!$A$3:$B$7,2,FALSE),VLOOKUP(AS193,'Writing Logic'!$A$3:$B$7,2,FALSE))))),"Fill All 4")</f>
        <v>Fill All 4</v>
      </c>
      <c r="AU193" s="95" t="str">
        <f t="shared" si="14"/>
        <v/>
      </c>
    </row>
    <row r="194" spans="1:47" x14ac:dyDescent="0.25">
      <c r="A194" s="255"/>
      <c r="B194" s="108"/>
      <c r="C194" s="13"/>
      <c r="D194" s="108"/>
      <c r="E194" s="13"/>
      <c r="F194" s="13"/>
      <c r="G194" s="13"/>
      <c r="H194" s="13"/>
      <c r="I194" s="13"/>
      <c r="J194" s="13"/>
      <c r="K194" s="183"/>
      <c r="L194" s="184"/>
      <c r="M194" s="120"/>
      <c r="N194" s="120"/>
      <c r="O194" s="120"/>
      <c r="P194" s="120"/>
      <c r="Q194" s="95" t="str">
        <f>IFERROR(IF(YES_Writing_ELA[[#This Row],[Literacy IPP]]='Writing Logic'!$E$26,"IPP",IF(OR(M194="EAL",N194="EAL",O194="EAL",P194="EAL"),"EAL",IF(M194='Writing Logic'!$A$10,AVERAGE(VLOOKUP(N194,'Writing Logic'!$A$3:$B$7,2,FALSE),VLOOKUP(O194,'Writing Logic'!$A$3:$B$7,2,FALSE),VLOOKUP(P194,'Writing Logic'!$A$3:$B$7,2,FALSE)),AVERAGE(VLOOKUP(M194,'Writing Logic'!$A$3:$B$7,2,FALSE),VLOOKUP(N194,'Writing Logic'!$A$3:$B$7,2,FALSE),VLOOKUP(O194,'Writing Logic'!$A$3:$B$7,2,FALSE),VLOOKUP(P194,'Writing Logic'!$A$3:$B$7,2,FALSE))))),"Fill All 4")</f>
        <v>Fill All 4</v>
      </c>
      <c r="R194" s="120"/>
      <c r="S194" s="120"/>
      <c r="T194" s="120"/>
      <c r="U194" s="120"/>
      <c r="V194" s="95" t="str">
        <f>IFERROR(IF(YES_Writing_ELA[[#This Row],[Literacy IPP]]='Writing Logic'!$E$26,"IPP",IF(OR(R194="EAL",S194="EAL",T194="EAL",U194="EAL"),"EAL",IF(R194='Writing Logic'!$A$10,AVERAGE(VLOOKUP(S194,'Writing Logic'!$A$3:$B$7,2,FALSE),VLOOKUP(T194,'Writing Logic'!$A$3:$B$7,2,FALSE),VLOOKUP(U194,'Writing Logic'!$A$3:$B$7,2,FALSE)),AVERAGE(VLOOKUP(R194,'Writing Logic'!$A$3:$B$7,2,FALSE),VLOOKUP(S194,'Writing Logic'!$A$3:$B$7,2,FALSE),VLOOKUP(T194,'Writing Logic'!$A$3:$B$7,2,FALSE),VLOOKUP(U194,'Writing Logic'!$A$3:$B$7,2,FALSE))))),"Fill All 4")</f>
        <v>Fill All 4</v>
      </c>
      <c r="W194" s="95" t="str">
        <f t="shared" si="10"/>
        <v/>
      </c>
      <c r="X194" s="120"/>
      <c r="Y194" s="120"/>
      <c r="Z194" s="120"/>
      <c r="AA194" s="120"/>
      <c r="AB194" s="95" t="str">
        <f>IFERROR(IF(YES_Writing_ELA[[#This Row],[Literacy IPP]]='Writing Logic'!$E$26,"IPP",IF(OR(X194="EAL",Y194="EAL",Z194="EAL",AA194="EAL"),"EAL",IF(X194='Writing Logic'!$A$10,AVERAGE(VLOOKUP(Y194,'Writing Logic'!$A$3:$B$7,2,FALSE),VLOOKUP(Z194,'Writing Logic'!$A$3:$B$7,2,FALSE),VLOOKUP(AA194,'Writing Logic'!$A$3:$B$7,2,FALSE)),AVERAGE(VLOOKUP(X194,'Writing Logic'!$A$3:$B$7,2,FALSE),VLOOKUP(Y194,'Writing Logic'!$A$3:$B$7,2,FALSE),VLOOKUP(Z194,'Writing Logic'!$A$3:$B$7,2,FALSE),VLOOKUP(AA194,'Writing Logic'!$A$3:$B$7,2,FALSE))))),"Fill All 4")</f>
        <v>Fill All 4</v>
      </c>
      <c r="AC194" s="95" t="str">
        <f t="shared" si="11"/>
        <v/>
      </c>
      <c r="AD194" s="120"/>
      <c r="AE194" s="120"/>
      <c r="AF194" s="120"/>
      <c r="AG194" s="120"/>
      <c r="AH194" s="95" t="str">
        <f>IFERROR(IF(YES_Writing_ELA[[#This Row],[Literacy IPP]]='Writing Logic'!$E$26,"IPP",IF(OR(AD194="EAL",AE194="EAL",AF194="EAL",AG194="EAL"),"EAL",IF(AD194='Writing Logic'!$A$10,AVERAGE(VLOOKUP(AE194,'Writing Logic'!$A$3:$B$7,2,FALSE),VLOOKUP(AF194,'Writing Logic'!$A$3:$B$7,2,FALSE),VLOOKUP(AG194,'Writing Logic'!$A$3:$B$7,2,FALSE)),AVERAGE(VLOOKUP(AD194,'Writing Logic'!$A$3:$B$7,2,FALSE),VLOOKUP(AE194,'Writing Logic'!$A$3:$B$7,2,FALSE),VLOOKUP(AF194,'Writing Logic'!$A$3:$B$7,2,FALSE),VLOOKUP(AG194,'Writing Logic'!$A$3:$B$7,2,FALSE))))),"Fill All 4")</f>
        <v>Fill All 4</v>
      </c>
      <c r="AI194" s="95" t="str">
        <f t="shared" si="12"/>
        <v/>
      </c>
      <c r="AJ194" s="183"/>
      <c r="AK194" s="120"/>
      <c r="AL194" s="120"/>
      <c r="AM194" s="120"/>
      <c r="AN194" s="95" t="str">
        <f>IFERROR(IF(YES_Writing_ELA[[#This Row],[Literacy IPP]]='Writing Logic'!$E$26,"IPP",IF(OR(AJ194="EAL",AK194="EAL",AL194="EAL",AM194="EAL"),"EAL",IF(AJ194='Writing Logic'!$A$10,AVERAGE(VLOOKUP(AK194,'Writing Logic'!$A$3:$B$7,2,FALSE),VLOOKUP(AL194,'Writing Logic'!$A$3:$B$7,2,FALSE),VLOOKUP(AM194,'Writing Logic'!$A$3:$B$7,2,FALSE)),AVERAGE(VLOOKUP(AJ194,'Writing Logic'!$A$3:$B$7,2,FALSE),VLOOKUP(AK194,'Writing Logic'!$A$3:$B$7,2,FALSE),VLOOKUP(AL194,'Writing Logic'!$A$3:$B$7,2,FALSE),VLOOKUP(AM194,'Writing Logic'!$A$3:$B$7,2,FALSE))))),"Fill All 4")</f>
        <v>Fill All 4</v>
      </c>
      <c r="AO194" s="95" t="str">
        <f t="shared" si="13"/>
        <v/>
      </c>
      <c r="AP194" s="120"/>
      <c r="AQ194" s="120"/>
      <c r="AR194" s="120"/>
      <c r="AS194" s="120"/>
      <c r="AT194" s="95" t="str">
        <f>IFERROR(IF(YES_Writing_ELA[[#This Row],[Literacy IPP]]='Writing Logic'!$E$26,"IPP",IF(OR(AP194="EAL",AQ194="EAL",AR194="EAL",AS194="EAL"),"EAL",IF(AP194='Writing Logic'!$A$10,AVERAGE(VLOOKUP(AQ194,'Writing Logic'!$A$3:$B$7,2,FALSE),VLOOKUP(AR194,'Writing Logic'!$A$3:$B$7,2,FALSE),VLOOKUP(AS194,'Writing Logic'!$A$3:$B$7,2,FALSE)),AVERAGE(VLOOKUP(AP194,'Writing Logic'!$A$3:$B$7,2,FALSE),VLOOKUP(AQ194,'Writing Logic'!$A$3:$B$7,2,FALSE),VLOOKUP(AR194,'Writing Logic'!$A$3:$B$7,2,FALSE),VLOOKUP(AS194,'Writing Logic'!$A$3:$B$7,2,FALSE))))),"Fill All 4")</f>
        <v>Fill All 4</v>
      </c>
      <c r="AU194" s="95" t="str">
        <f t="shared" si="14"/>
        <v/>
      </c>
    </row>
    <row r="195" spans="1:47" x14ac:dyDescent="0.25">
      <c r="A195" s="255"/>
      <c r="B195" s="108"/>
      <c r="C195" s="13"/>
      <c r="D195" s="108"/>
      <c r="E195" s="13"/>
      <c r="F195" s="13"/>
      <c r="G195" s="13"/>
      <c r="H195" s="13"/>
      <c r="I195" s="13"/>
      <c r="J195" s="13"/>
      <c r="K195" s="183"/>
      <c r="L195" s="184"/>
      <c r="M195" s="120"/>
      <c r="N195" s="120"/>
      <c r="O195" s="120"/>
      <c r="P195" s="120"/>
      <c r="Q195" s="95" t="str">
        <f>IFERROR(IF(YES_Writing_ELA[[#This Row],[Literacy IPP]]='Writing Logic'!$E$26,"IPP",IF(OR(M195="EAL",N195="EAL",O195="EAL",P195="EAL"),"EAL",IF(M195='Writing Logic'!$A$10,AVERAGE(VLOOKUP(N195,'Writing Logic'!$A$3:$B$7,2,FALSE),VLOOKUP(O195,'Writing Logic'!$A$3:$B$7,2,FALSE),VLOOKUP(P195,'Writing Logic'!$A$3:$B$7,2,FALSE)),AVERAGE(VLOOKUP(M195,'Writing Logic'!$A$3:$B$7,2,FALSE),VLOOKUP(N195,'Writing Logic'!$A$3:$B$7,2,FALSE),VLOOKUP(O195,'Writing Logic'!$A$3:$B$7,2,FALSE),VLOOKUP(P195,'Writing Logic'!$A$3:$B$7,2,FALSE))))),"Fill All 4")</f>
        <v>Fill All 4</v>
      </c>
      <c r="R195" s="120"/>
      <c r="S195" s="120"/>
      <c r="T195" s="120"/>
      <c r="U195" s="120"/>
      <c r="V195" s="95" t="str">
        <f>IFERROR(IF(YES_Writing_ELA[[#This Row],[Literacy IPP]]='Writing Logic'!$E$26,"IPP",IF(OR(R195="EAL",S195="EAL",T195="EAL",U195="EAL"),"EAL",IF(R195='Writing Logic'!$A$10,AVERAGE(VLOOKUP(S195,'Writing Logic'!$A$3:$B$7,2,FALSE),VLOOKUP(T195,'Writing Logic'!$A$3:$B$7,2,FALSE),VLOOKUP(U195,'Writing Logic'!$A$3:$B$7,2,FALSE)),AVERAGE(VLOOKUP(R195,'Writing Logic'!$A$3:$B$7,2,FALSE),VLOOKUP(S195,'Writing Logic'!$A$3:$B$7,2,FALSE),VLOOKUP(T195,'Writing Logic'!$A$3:$B$7,2,FALSE),VLOOKUP(U195,'Writing Logic'!$A$3:$B$7,2,FALSE))))),"Fill All 4")</f>
        <v>Fill All 4</v>
      </c>
      <c r="W195" s="95" t="str">
        <f t="shared" si="10"/>
        <v/>
      </c>
      <c r="X195" s="120"/>
      <c r="Y195" s="120"/>
      <c r="Z195" s="120"/>
      <c r="AA195" s="120"/>
      <c r="AB195" s="95" t="str">
        <f>IFERROR(IF(YES_Writing_ELA[[#This Row],[Literacy IPP]]='Writing Logic'!$E$26,"IPP",IF(OR(X195="EAL",Y195="EAL",Z195="EAL",AA195="EAL"),"EAL",IF(X195='Writing Logic'!$A$10,AVERAGE(VLOOKUP(Y195,'Writing Logic'!$A$3:$B$7,2,FALSE),VLOOKUP(Z195,'Writing Logic'!$A$3:$B$7,2,FALSE),VLOOKUP(AA195,'Writing Logic'!$A$3:$B$7,2,FALSE)),AVERAGE(VLOOKUP(X195,'Writing Logic'!$A$3:$B$7,2,FALSE),VLOOKUP(Y195,'Writing Logic'!$A$3:$B$7,2,FALSE),VLOOKUP(Z195,'Writing Logic'!$A$3:$B$7,2,FALSE),VLOOKUP(AA195,'Writing Logic'!$A$3:$B$7,2,FALSE))))),"Fill All 4")</f>
        <v>Fill All 4</v>
      </c>
      <c r="AC195" s="95" t="str">
        <f t="shared" si="11"/>
        <v/>
      </c>
      <c r="AD195" s="120"/>
      <c r="AE195" s="120"/>
      <c r="AF195" s="120"/>
      <c r="AG195" s="120"/>
      <c r="AH195" s="95" t="str">
        <f>IFERROR(IF(YES_Writing_ELA[[#This Row],[Literacy IPP]]='Writing Logic'!$E$26,"IPP",IF(OR(AD195="EAL",AE195="EAL",AF195="EAL",AG195="EAL"),"EAL",IF(AD195='Writing Logic'!$A$10,AVERAGE(VLOOKUP(AE195,'Writing Logic'!$A$3:$B$7,2,FALSE),VLOOKUP(AF195,'Writing Logic'!$A$3:$B$7,2,FALSE),VLOOKUP(AG195,'Writing Logic'!$A$3:$B$7,2,FALSE)),AVERAGE(VLOOKUP(AD195,'Writing Logic'!$A$3:$B$7,2,FALSE),VLOOKUP(AE195,'Writing Logic'!$A$3:$B$7,2,FALSE),VLOOKUP(AF195,'Writing Logic'!$A$3:$B$7,2,FALSE),VLOOKUP(AG195,'Writing Logic'!$A$3:$B$7,2,FALSE))))),"Fill All 4")</f>
        <v>Fill All 4</v>
      </c>
      <c r="AI195" s="95" t="str">
        <f t="shared" si="12"/>
        <v/>
      </c>
      <c r="AJ195" s="183"/>
      <c r="AK195" s="120"/>
      <c r="AL195" s="120"/>
      <c r="AM195" s="120"/>
      <c r="AN195" s="95" t="str">
        <f>IFERROR(IF(YES_Writing_ELA[[#This Row],[Literacy IPP]]='Writing Logic'!$E$26,"IPP",IF(OR(AJ195="EAL",AK195="EAL",AL195="EAL",AM195="EAL"),"EAL",IF(AJ195='Writing Logic'!$A$10,AVERAGE(VLOOKUP(AK195,'Writing Logic'!$A$3:$B$7,2,FALSE),VLOOKUP(AL195,'Writing Logic'!$A$3:$B$7,2,FALSE),VLOOKUP(AM195,'Writing Logic'!$A$3:$B$7,2,FALSE)),AVERAGE(VLOOKUP(AJ195,'Writing Logic'!$A$3:$B$7,2,FALSE),VLOOKUP(AK195,'Writing Logic'!$A$3:$B$7,2,FALSE),VLOOKUP(AL195,'Writing Logic'!$A$3:$B$7,2,FALSE),VLOOKUP(AM195,'Writing Logic'!$A$3:$B$7,2,FALSE))))),"Fill All 4")</f>
        <v>Fill All 4</v>
      </c>
      <c r="AO195" s="95" t="str">
        <f t="shared" si="13"/>
        <v/>
      </c>
      <c r="AP195" s="120"/>
      <c r="AQ195" s="120"/>
      <c r="AR195" s="120"/>
      <c r="AS195" s="120"/>
      <c r="AT195" s="95" t="str">
        <f>IFERROR(IF(YES_Writing_ELA[[#This Row],[Literacy IPP]]='Writing Logic'!$E$26,"IPP",IF(OR(AP195="EAL",AQ195="EAL",AR195="EAL",AS195="EAL"),"EAL",IF(AP195='Writing Logic'!$A$10,AVERAGE(VLOOKUP(AQ195,'Writing Logic'!$A$3:$B$7,2,FALSE),VLOOKUP(AR195,'Writing Logic'!$A$3:$B$7,2,FALSE),VLOOKUP(AS195,'Writing Logic'!$A$3:$B$7,2,FALSE)),AVERAGE(VLOOKUP(AP195,'Writing Logic'!$A$3:$B$7,2,FALSE),VLOOKUP(AQ195,'Writing Logic'!$A$3:$B$7,2,FALSE),VLOOKUP(AR195,'Writing Logic'!$A$3:$B$7,2,FALSE),VLOOKUP(AS195,'Writing Logic'!$A$3:$B$7,2,FALSE))))),"Fill All 4")</f>
        <v>Fill All 4</v>
      </c>
      <c r="AU195" s="95" t="str">
        <f t="shared" si="14"/>
        <v/>
      </c>
    </row>
    <row r="196" spans="1:47" x14ac:dyDescent="0.25">
      <c r="A196" s="255"/>
      <c r="B196" s="236"/>
      <c r="C196" s="13"/>
      <c r="D196" s="236"/>
      <c r="E196" s="49"/>
      <c r="F196" s="49"/>
      <c r="G196" s="49"/>
      <c r="H196" s="49"/>
      <c r="I196" s="49"/>
      <c r="J196" s="49"/>
      <c r="K196" s="183"/>
      <c r="L196" s="184"/>
      <c r="M196" s="120"/>
      <c r="N196" s="120"/>
      <c r="O196" s="120"/>
      <c r="P196" s="120"/>
      <c r="Q196" s="95" t="str">
        <f>IFERROR(IF(YES_Writing_ELA[[#This Row],[Literacy IPP]]='Writing Logic'!$E$26,"IPP",IF(OR(M196="EAL",N196="EAL",O196="EAL",P196="EAL"),"EAL",IF(M196='Writing Logic'!$A$10,AVERAGE(VLOOKUP(N196,'Writing Logic'!$A$3:$B$7,2,FALSE),VLOOKUP(O196,'Writing Logic'!$A$3:$B$7,2,FALSE),VLOOKUP(P196,'Writing Logic'!$A$3:$B$7,2,FALSE)),AVERAGE(VLOOKUP(M196,'Writing Logic'!$A$3:$B$7,2,FALSE),VLOOKUP(N196,'Writing Logic'!$A$3:$B$7,2,FALSE),VLOOKUP(O196,'Writing Logic'!$A$3:$B$7,2,FALSE),VLOOKUP(P196,'Writing Logic'!$A$3:$B$7,2,FALSE))))),"Fill All 4")</f>
        <v>Fill All 4</v>
      </c>
      <c r="R196" s="120"/>
      <c r="S196" s="120"/>
      <c r="T196" s="120"/>
      <c r="U196" s="120"/>
      <c r="V196" s="95" t="str">
        <f>IFERROR(IF(YES_Writing_ELA[[#This Row],[Literacy IPP]]='Writing Logic'!$E$26,"IPP",IF(OR(R196="EAL",S196="EAL",T196="EAL",U196="EAL"),"EAL",IF(R196='Writing Logic'!$A$10,AVERAGE(VLOOKUP(S196,'Writing Logic'!$A$3:$B$7,2,FALSE),VLOOKUP(T196,'Writing Logic'!$A$3:$B$7,2,FALSE),VLOOKUP(U196,'Writing Logic'!$A$3:$B$7,2,FALSE)),AVERAGE(VLOOKUP(R196,'Writing Logic'!$A$3:$B$7,2,FALSE),VLOOKUP(S196,'Writing Logic'!$A$3:$B$7,2,FALSE),VLOOKUP(T196,'Writing Logic'!$A$3:$B$7,2,FALSE),VLOOKUP(U196,'Writing Logic'!$A$3:$B$7,2,FALSE))))),"Fill All 4")</f>
        <v>Fill All 4</v>
      </c>
      <c r="W196" s="95" t="str">
        <f t="shared" si="10"/>
        <v/>
      </c>
      <c r="X196" s="120"/>
      <c r="Y196" s="120"/>
      <c r="Z196" s="120"/>
      <c r="AA196" s="120"/>
      <c r="AB196" s="95" t="str">
        <f>IFERROR(IF(YES_Writing_ELA[[#This Row],[Literacy IPP]]='Writing Logic'!$E$26,"IPP",IF(OR(X196="EAL",Y196="EAL",Z196="EAL",AA196="EAL"),"EAL",IF(X196='Writing Logic'!$A$10,AVERAGE(VLOOKUP(Y196,'Writing Logic'!$A$3:$B$7,2,FALSE),VLOOKUP(Z196,'Writing Logic'!$A$3:$B$7,2,FALSE),VLOOKUP(AA196,'Writing Logic'!$A$3:$B$7,2,FALSE)),AVERAGE(VLOOKUP(X196,'Writing Logic'!$A$3:$B$7,2,FALSE),VLOOKUP(Y196,'Writing Logic'!$A$3:$B$7,2,FALSE),VLOOKUP(Z196,'Writing Logic'!$A$3:$B$7,2,FALSE),VLOOKUP(AA196,'Writing Logic'!$A$3:$B$7,2,FALSE))))),"Fill All 4")</f>
        <v>Fill All 4</v>
      </c>
      <c r="AC196" s="95" t="str">
        <f t="shared" si="11"/>
        <v/>
      </c>
      <c r="AD196" s="120"/>
      <c r="AE196" s="120"/>
      <c r="AF196" s="120"/>
      <c r="AG196" s="120"/>
      <c r="AH196" s="95" t="str">
        <f>IFERROR(IF(YES_Writing_ELA[[#This Row],[Literacy IPP]]='Writing Logic'!$E$26,"IPP",IF(OR(AD196="EAL",AE196="EAL",AF196="EAL",AG196="EAL"),"EAL",IF(AD196='Writing Logic'!$A$10,AVERAGE(VLOOKUP(AE196,'Writing Logic'!$A$3:$B$7,2,FALSE),VLOOKUP(AF196,'Writing Logic'!$A$3:$B$7,2,FALSE),VLOOKUP(AG196,'Writing Logic'!$A$3:$B$7,2,FALSE)),AVERAGE(VLOOKUP(AD196,'Writing Logic'!$A$3:$B$7,2,FALSE),VLOOKUP(AE196,'Writing Logic'!$A$3:$B$7,2,FALSE),VLOOKUP(AF196,'Writing Logic'!$A$3:$B$7,2,FALSE),VLOOKUP(AG196,'Writing Logic'!$A$3:$B$7,2,FALSE))))),"Fill All 4")</f>
        <v>Fill All 4</v>
      </c>
      <c r="AI196" s="95" t="str">
        <f t="shared" si="12"/>
        <v/>
      </c>
      <c r="AJ196" s="183"/>
      <c r="AK196" s="120"/>
      <c r="AL196" s="120"/>
      <c r="AM196" s="120"/>
      <c r="AN196" s="95" t="str">
        <f>IFERROR(IF(YES_Writing_ELA[[#This Row],[Literacy IPP]]='Writing Logic'!$E$26,"IPP",IF(OR(AJ196="EAL",AK196="EAL",AL196="EAL",AM196="EAL"),"EAL",IF(AJ196='Writing Logic'!$A$10,AVERAGE(VLOOKUP(AK196,'Writing Logic'!$A$3:$B$7,2,FALSE),VLOOKUP(AL196,'Writing Logic'!$A$3:$B$7,2,FALSE),VLOOKUP(AM196,'Writing Logic'!$A$3:$B$7,2,FALSE)),AVERAGE(VLOOKUP(AJ196,'Writing Logic'!$A$3:$B$7,2,FALSE),VLOOKUP(AK196,'Writing Logic'!$A$3:$B$7,2,FALSE),VLOOKUP(AL196,'Writing Logic'!$A$3:$B$7,2,FALSE),VLOOKUP(AM196,'Writing Logic'!$A$3:$B$7,2,FALSE))))),"Fill All 4")</f>
        <v>Fill All 4</v>
      </c>
      <c r="AO196" s="95" t="str">
        <f t="shared" si="13"/>
        <v/>
      </c>
      <c r="AP196" s="120"/>
      <c r="AQ196" s="120"/>
      <c r="AR196" s="120"/>
      <c r="AS196" s="120"/>
      <c r="AT196" s="95" t="str">
        <f>IFERROR(IF(YES_Writing_ELA[[#This Row],[Literacy IPP]]='Writing Logic'!$E$26,"IPP",IF(OR(AP196="EAL",AQ196="EAL",AR196="EAL",AS196="EAL"),"EAL",IF(AP196='Writing Logic'!$A$10,AVERAGE(VLOOKUP(AQ196,'Writing Logic'!$A$3:$B$7,2,FALSE),VLOOKUP(AR196,'Writing Logic'!$A$3:$B$7,2,FALSE),VLOOKUP(AS196,'Writing Logic'!$A$3:$B$7,2,FALSE)),AVERAGE(VLOOKUP(AP196,'Writing Logic'!$A$3:$B$7,2,FALSE),VLOOKUP(AQ196,'Writing Logic'!$A$3:$B$7,2,FALSE),VLOOKUP(AR196,'Writing Logic'!$A$3:$B$7,2,FALSE),VLOOKUP(AS196,'Writing Logic'!$A$3:$B$7,2,FALSE))))),"Fill All 4")</f>
        <v>Fill All 4</v>
      </c>
      <c r="AU196" s="95" t="str">
        <f t="shared" si="14"/>
        <v/>
      </c>
    </row>
    <row r="197" spans="1:47" x14ac:dyDescent="0.25">
      <c r="A197" s="245"/>
      <c r="B197" s="236"/>
      <c r="C197" s="13"/>
      <c r="D197" s="236"/>
      <c r="E197" s="237"/>
      <c r="F197" s="49"/>
      <c r="G197" s="49"/>
      <c r="H197" s="49"/>
      <c r="I197" s="49"/>
      <c r="J197" s="49"/>
      <c r="K197" s="183"/>
      <c r="L197" s="184"/>
      <c r="M197" s="120"/>
      <c r="N197" s="120"/>
      <c r="O197" s="120"/>
      <c r="P197" s="120"/>
      <c r="Q197" s="95" t="str">
        <f>IFERROR(IF(YES_Writing_ELA[[#This Row],[Literacy IPP]]='Writing Logic'!$E$26,"IPP",IF(OR(M197="EAL",N197="EAL",O197="EAL",P197="EAL"),"EAL",IF(M197='Writing Logic'!$A$10,AVERAGE(VLOOKUP(N197,'Writing Logic'!$A$3:$B$7,2,FALSE),VLOOKUP(O197,'Writing Logic'!$A$3:$B$7,2,FALSE),VLOOKUP(P197,'Writing Logic'!$A$3:$B$7,2,FALSE)),AVERAGE(VLOOKUP(M197,'Writing Logic'!$A$3:$B$7,2,FALSE),VLOOKUP(N197,'Writing Logic'!$A$3:$B$7,2,FALSE),VLOOKUP(O197,'Writing Logic'!$A$3:$B$7,2,FALSE),VLOOKUP(P197,'Writing Logic'!$A$3:$B$7,2,FALSE))))),"Fill All 4")</f>
        <v>Fill All 4</v>
      </c>
      <c r="R197" s="120"/>
      <c r="S197" s="120"/>
      <c r="T197" s="120"/>
      <c r="U197" s="120"/>
      <c r="V197" s="95" t="str">
        <f>IFERROR(IF(YES_Writing_ELA[[#This Row],[Literacy IPP]]='Writing Logic'!$E$26,"IPP",IF(OR(R197="EAL",S197="EAL",T197="EAL",U197="EAL"),"EAL",IF(R197='Writing Logic'!$A$10,AVERAGE(VLOOKUP(S197,'Writing Logic'!$A$3:$B$7,2,FALSE),VLOOKUP(T197,'Writing Logic'!$A$3:$B$7,2,FALSE),VLOOKUP(U197,'Writing Logic'!$A$3:$B$7,2,FALSE)),AVERAGE(VLOOKUP(R197,'Writing Logic'!$A$3:$B$7,2,FALSE),VLOOKUP(S197,'Writing Logic'!$A$3:$B$7,2,FALSE),VLOOKUP(T197,'Writing Logic'!$A$3:$B$7,2,FALSE),VLOOKUP(U197,'Writing Logic'!$A$3:$B$7,2,FALSE))))),"Fill All 4")</f>
        <v>Fill All 4</v>
      </c>
      <c r="W197" s="95" t="str">
        <f t="shared" si="10"/>
        <v/>
      </c>
      <c r="X197" s="120"/>
      <c r="Y197" s="120"/>
      <c r="Z197" s="120"/>
      <c r="AA197" s="120"/>
      <c r="AB197" s="95" t="str">
        <f>IFERROR(IF(YES_Writing_ELA[[#This Row],[Literacy IPP]]='Writing Logic'!$E$26,"IPP",IF(OR(X197="EAL",Y197="EAL",Z197="EAL",AA197="EAL"),"EAL",IF(X197='Writing Logic'!$A$10,AVERAGE(VLOOKUP(Y197,'Writing Logic'!$A$3:$B$7,2,FALSE),VLOOKUP(Z197,'Writing Logic'!$A$3:$B$7,2,FALSE),VLOOKUP(AA197,'Writing Logic'!$A$3:$B$7,2,FALSE)),AVERAGE(VLOOKUP(X197,'Writing Logic'!$A$3:$B$7,2,FALSE),VLOOKUP(Y197,'Writing Logic'!$A$3:$B$7,2,FALSE),VLOOKUP(Z197,'Writing Logic'!$A$3:$B$7,2,FALSE),VLOOKUP(AA197,'Writing Logic'!$A$3:$B$7,2,FALSE))))),"Fill All 4")</f>
        <v>Fill All 4</v>
      </c>
      <c r="AC197" s="95" t="str">
        <f t="shared" si="11"/>
        <v/>
      </c>
      <c r="AD197" s="120"/>
      <c r="AE197" s="120"/>
      <c r="AF197" s="120"/>
      <c r="AG197" s="120"/>
      <c r="AH197" s="95" t="str">
        <f>IFERROR(IF(YES_Writing_ELA[[#This Row],[Literacy IPP]]='Writing Logic'!$E$26,"IPP",IF(OR(AD197="EAL",AE197="EAL",AF197="EAL",AG197="EAL"),"EAL",IF(AD197='Writing Logic'!$A$10,AVERAGE(VLOOKUP(AE197,'Writing Logic'!$A$3:$B$7,2,FALSE),VLOOKUP(AF197,'Writing Logic'!$A$3:$B$7,2,FALSE),VLOOKUP(AG197,'Writing Logic'!$A$3:$B$7,2,FALSE)),AVERAGE(VLOOKUP(AD197,'Writing Logic'!$A$3:$B$7,2,FALSE),VLOOKUP(AE197,'Writing Logic'!$A$3:$B$7,2,FALSE),VLOOKUP(AF197,'Writing Logic'!$A$3:$B$7,2,FALSE),VLOOKUP(AG197,'Writing Logic'!$A$3:$B$7,2,FALSE))))),"Fill All 4")</f>
        <v>Fill All 4</v>
      </c>
      <c r="AI197" s="95" t="str">
        <f t="shared" si="12"/>
        <v/>
      </c>
      <c r="AJ197" s="183"/>
      <c r="AK197" s="120"/>
      <c r="AL197" s="120"/>
      <c r="AM197" s="120"/>
      <c r="AN197" s="95" t="str">
        <f>IFERROR(IF(YES_Writing_ELA[[#This Row],[Literacy IPP]]='Writing Logic'!$E$26,"IPP",IF(OR(AJ197="EAL",AK197="EAL",AL197="EAL",AM197="EAL"),"EAL",IF(AJ197='Writing Logic'!$A$10,AVERAGE(VLOOKUP(AK197,'Writing Logic'!$A$3:$B$7,2,FALSE),VLOOKUP(AL197,'Writing Logic'!$A$3:$B$7,2,FALSE),VLOOKUP(AM197,'Writing Logic'!$A$3:$B$7,2,FALSE)),AVERAGE(VLOOKUP(AJ197,'Writing Logic'!$A$3:$B$7,2,FALSE),VLOOKUP(AK197,'Writing Logic'!$A$3:$B$7,2,FALSE),VLOOKUP(AL197,'Writing Logic'!$A$3:$B$7,2,FALSE),VLOOKUP(AM197,'Writing Logic'!$A$3:$B$7,2,FALSE))))),"Fill All 4")</f>
        <v>Fill All 4</v>
      </c>
      <c r="AO197" s="95" t="str">
        <f t="shared" si="13"/>
        <v/>
      </c>
      <c r="AP197" s="120"/>
      <c r="AQ197" s="120"/>
      <c r="AR197" s="120"/>
      <c r="AS197" s="120"/>
      <c r="AT197" s="95" t="str">
        <f>IFERROR(IF(YES_Writing_ELA[[#This Row],[Literacy IPP]]='Writing Logic'!$E$26,"IPP",IF(OR(AP197="EAL",AQ197="EAL",AR197="EAL",AS197="EAL"),"EAL",IF(AP197='Writing Logic'!$A$10,AVERAGE(VLOOKUP(AQ197,'Writing Logic'!$A$3:$B$7,2,FALSE),VLOOKUP(AR197,'Writing Logic'!$A$3:$B$7,2,FALSE),VLOOKUP(AS197,'Writing Logic'!$A$3:$B$7,2,FALSE)),AVERAGE(VLOOKUP(AP197,'Writing Logic'!$A$3:$B$7,2,FALSE),VLOOKUP(AQ197,'Writing Logic'!$A$3:$B$7,2,FALSE),VLOOKUP(AR197,'Writing Logic'!$A$3:$B$7,2,FALSE),VLOOKUP(AS197,'Writing Logic'!$A$3:$B$7,2,FALSE))))),"Fill All 4")</f>
        <v>Fill All 4</v>
      </c>
      <c r="AU197" s="95" t="str">
        <f t="shared" si="14"/>
        <v/>
      </c>
    </row>
    <row r="198" spans="1:47" x14ac:dyDescent="0.25">
      <c r="A198" s="245"/>
      <c r="B198" s="236"/>
      <c r="C198" s="13"/>
      <c r="D198" s="236"/>
      <c r="E198" s="237"/>
      <c r="F198" s="49"/>
      <c r="G198" s="49"/>
      <c r="H198" s="49"/>
      <c r="I198" s="49"/>
      <c r="J198" s="49"/>
      <c r="K198" s="183"/>
      <c r="L198" s="184"/>
      <c r="M198" s="120"/>
      <c r="N198" s="120"/>
      <c r="O198" s="120"/>
      <c r="P198" s="120"/>
      <c r="Q198" s="95" t="str">
        <f>IFERROR(IF(YES_Writing_ELA[[#This Row],[Literacy IPP]]='Writing Logic'!$E$26,"IPP",IF(OR(M198="EAL",N198="EAL",O198="EAL",P198="EAL"),"EAL",IF(M198='Writing Logic'!$A$10,AVERAGE(VLOOKUP(N198,'Writing Logic'!$A$3:$B$7,2,FALSE),VLOOKUP(O198,'Writing Logic'!$A$3:$B$7,2,FALSE),VLOOKUP(P198,'Writing Logic'!$A$3:$B$7,2,FALSE)),AVERAGE(VLOOKUP(M198,'Writing Logic'!$A$3:$B$7,2,FALSE),VLOOKUP(N198,'Writing Logic'!$A$3:$B$7,2,FALSE),VLOOKUP(O198,'Writing Logic'!$A$3:$B$7,2,FALSE),VLOOKUP(P198,'Writing Logic'!$A$3:$B$7,2,FALSE))))),"Fill All 4")</f>
        <v>Fill All 4</v>
      </c>
      <c r="R198" s="120"/>
      <c r="S198" s="120"/>
      <c r="T198" s="120"/>
      <c r="U198" s="120"/>
      <c r="V198" s="95" t="str">
        <f>IFERROR(IF(YES_Writing_ELA[[#This Row],[Literacy IPP]]='Writing Logic'!$E$26,"IPP",IF(OR(R198="EAL",S198="EAL",T198="EAL",U198="EAL"),"EAL",IF(R198='Writing Logic'!$A$10,AVERAGE(VLOOKUP(S198,'Writing Logic'!$A$3:$B$7,2,FALSE),VLOOKUP(T198,'Writing Logic'!$A$3:$B$7,2,FALSE),VLOOKUP(U198,'Writing Logic'!$A$3:$B$7,2,FALSE)),AVERAGE(VLOOKUP(R198,'Writing Logic'!$A$3:$B$7,2,FALSE),VLOOKUP(S198,'Writing Logic'!$A$3:$B$7,2,FALSE),VLOOKUP(T198,'Writing Logic'!$A$3:$B$7,2,FALSE),VLOOKUP(U198,'Writing Logic'!$A$3:$B$7,2,FALSE))))),"Fill All 4")</f>
        <v>Fill All 4</v>
      </c>
      <c r="W198" s="95" t="str">
        <f t="shared" ref="W198:W261" si="15">IFERROR(V198-$Q198,"")</f>
        <v/>
      </c>
      <c r="X198" s="120"/>
      <c r="Y198" s="120"/>
      <c r="Z198" s="120"/>
      <c r="AA198" s="120"/>
      <c r="AB198" s="95" t="str">
        <f>IFERROR(IF(YES_Writing_ELA[[#This Row],[Literacy IPP]]='Writing Logic'!$E$26,"IPP",IF(OR(X198="EAL",Y198="EAL",Z198="EAL",AA198="EAL"),"EAL",IF(X198='Writing Logic'!$A$10,AVERAGE(VLOOKUP(Y198,'Writing Logic'!$A$3:$B$7,2,FALSE),VLOOKUP(Z198,'Writing Logic'!$A$3:$B$7,2,FALSE),VLOOKUP(AA198,'Writing Logic'!$A$3:$B$7,2,FALSE)),AVERAGE(VLOOKUP(X198,'Writing Logic'!$A$3:$B$7,2,FALSE),VLOOKUP(Y198,'Writing Logic'!$A$3:$B$7,2,FALSE),VLOOKUP(Z198,'Writing Logic'!$A$3:$B$7,2,FALSE),VLOOKUP(AA198,'Writing Logic'!$A$3:$B$7,2,FALSE))))),"Fill All 4")</f>
        <v>Fill All 4</v>
      </c>
      <c r="AC198" s="95" t="str">
        <f t="shared" ref="AC198:AC261" si="16">IFERROR(AB198-$Q198,"")</f>
        <v/>
      </c>
      <c r="AD198" s="120"/>
      <c r="AE198" s="120"/>
      <c r="AF198" s="120"/>
      <c r="AG198" s="120"/>
      <c r="AH198" s="95" t="str">
        <f>IFERROR(IF(YES_Writing_ELA[[#This Row],[Literacy IPP]]='Writing Logic'!$E$26,"IPP",IF(OR(AD198="EAL",AE198="EAL",AF198="EAL",AG198="EAL"),"EAL",IF(AD198='Writing Logic'!$A$10,AVERAGE(VLOOKUP(AE198,'Writing Logic'!$A$3:$B$7,2,FALSE),VLOOKUP(AF198,'Writing Logic'!$A$3:$B$7,2,FALSE),VLOOKUP(AG198,'Writing Logic'!$A$3:$B$7,2,FALSE)),AVERAGE(VLOOKUP(AD198,'Writing Logic'!$A$3:$B$7,2,FALSE),VLOOKUP(AE198,'Writing Logic'!$A$3:$B$7,2,FALSE),VLOOKUP(AF198,'Writing Logic'!$A$3:$B$7,2,FALSE),VLOOKUP(AG198,'Writing Logic'!$A$3:$B$7,2,FALSE))))),"Fill All 4")</f>
        <v>Fill All 4</v>
      </c>
      <c r="AI198" s="95" t="str">
        <f t="shared" ref="AI198:AI261" si="17">IFERROR(AH198-$Q198,"")</f>
        <v/>
      </c>
      <c r="AJ198" s="183"/>
      <c r="AK198" s="120"/>
      <c r="AL198" s="120"/>
      <c r="AM198" s="120"/>
      <c r="AN198" s="95" t="str">
        <f>IFERROR(IF(YES_Writing_ELA[[#This Row],[Literacy IPP]]='Writing Logic'!$E$26,"IPP",IF(OR(AJ198="EAL",AK198="EAL",AL198="EAL",AM198="EAL"),"EAL",IF(AJ198='Writing Logic'!$A$10,AVERAGE(VLOOKUP(AK198,'Writing Logic'!$A$3:$B$7,2,FALSE),VLOOKUP(AL198,'Writing Logic'!$A$3:$B$7,2,FALSE),VLOOKUP(AM198,'Writing Logic'!$A$3:$B$7,2,FALSE)),AVERAGE(VLOOKUP(AJ198,'Writing Logic'!$A$3:$B$7,2,FALSE),VLOOKUP(AK198,'Writing Logic'!$A$3:$B$7,2,FALSE),VLOOKUP(AL198,'Writing Logic'!$A$3:$B$7,2,FALSE),VLOOKUP(AM198,'Writing Logic'!$A$3:$B$7,2,FALSE))))),"Fill All 4")</f>
        <v>Fill All 4</v>
      </c>
      <c r="AO198" s="95" t="str">
        <f t="shared" ref="AO198:AO261" si="18">IFERROR(AN198-$Q198,"")</f>
        <v/>
      </c>
      <c r="AP198" s="120"/>
      <c r="AQ198" s="120"/>
      <c r="AR198" s="120"/>
      <c r="AS198" s="120"/>
      <c r="AT198" s="95" t="str">
        <f>IFERROR(IF(YES_Writing_ELA[[#This Row],[Literacy IPP]]='Writing Logic'!$E$26,"IPP",IF(OR(AP198="EAL",AQ198="EAL",AR198="EAL",AS198="EAL"),"EAL",IF(AP198='Writing Logic'!$A$10,AVERAGE(VLOOKUP(AQ198,'Writing Logic'!$A$3:$B$7,2,FALSE),VLOOKUP(AR198,'Writing Logic'!$A$3:$B$7,2,FALSE),VLOOKUP(AS198,'Writing Logic'!$A$3:$B$7,2,FALSE)),AVERAGE(VLOOKUP(AP198,'Writing Logic'!$A$3:$B$7,2,FALSE),VLOOKUP(AQ198,'Writing Logic'!$A$3:$B$7,2,FALSE),VLOOKUP(AR198,'Writing Logic'!$A$3:$B$7,2,FALSE),VLOOKUP(AS198,'Writing Logic'!$A$3:$B$7,2,FALSE))))),"Fill All 4")</f>
        <v>Fill All 4</v>
      </c>
      <c r="AU198" s="95" t="str">
        <f t="shared" ref="AU198:AU261" si="19">IFERROR(AT198-$Q198,"")</f>
        <v/>
      </c>
    </row>
    <row r="199" spans="1:47" x14ac:dyDescent="0.25">
      <c r="A199" s="245"/>
      <c r="B199" s="236"/>
      <c r="C199" s="13"/>
      <c r="D199" s="236"/>
      <c r="E199" s="237"/>
      <c r="F199" s="49"/>
      <c r="G199" s="49"/>
      <c r="H199" s="49"/>
      <c r="I199" s="49"/>
      <c r="J199" s="49"/>
      <c r="K199" s="183"/>
      <c r="L199" s="184"/>
      <c r="M199" s="120"/>
      <c r="N199" s="120"/>
      <c r="O199" s="120"/>
      <c r="P199" s="120"/>
      <c r="Q199" s="95" t="str">
        <f>IFERROR(IF(YES_Writing_ELA[[#This Row],[Literacy IPP]]='Writing Logic'!$E$26,"IPP",IF(OR(M199="EAL",N199="EAL",O199="EAL",P199="EAL"),"EAL",IF(M199='Writing Logic'!$A$10,AVERAGE(VLOOKUP(N199,'Writing Logic'!$A$3:$B$7,2,FALSE),VLOOKUP(O199,'Writing Logic'!$A$3:$B$7,2,FALSE),VLOOKUP(P199,'Writing Logic'!$A$3:$B$7,2,FALSE)),AVERAGE(VLOOKUP(M199,'Writing Logic'!$A$3:$B$7,2,FALSE),VLOOKUP(N199,'Writing Logic'!$A$3:$B$7,2,FALSE),VLOOKUP(O199,'Writing Logic'!$A$3:$B$7,2,FALSE),VLOOKUP(P199,'Writing Logic'!$A$3:$B$7,2,FALSE))))),"Fill All 4")</f>
        <v>Fill All 4</v>
      </c>
      <c r="R199" s="120"/>
      <c r="S199" s="120"/>
      <c r="T199" s="120"/>
      <c r="U199" s="120"/>
      <c r="V199" s="95" t="str">
        <f>IFERROR(IF(YES_Writing_ELA[[#This Row],[Literacy IPP]]='Writing Logic'!$E$26,"IPP",IF(OR(R199="EAL",S199="EAL",T199="EAL",U199="EAL"),"EAL",IF(R199='Writing Logic'!$A$10,AVERAGE(VLOOKUP(S199,'Writing Logic'!$A$3:$B$7,2,FALSE),VLOOKUP(T199,'Writing Logic'!$A$3:$B$7,2,FALSE),VLOOKUP(U199,'Writing Logic'!$A$3:$B$7,2,FALSE)),AVERAGE(VLOOKUP(R199,'Writing Logic'!$A$3:$B$7,2,FALSE),VLOOKUP(S199,'Writing Logic'!$A$3:$B$7,2,FALSE),VLOOKUP(T199,'Writing Logic'!$A$3:$B$7,2,FALSE),VLOOKUP(U199,'Writing Logic'!$A$3:$B$7,2,FALSE))))),"Fill All 4")</f>
        <v>Fill All 4</v>
      </c>
      <c r="W199" s="95" t="str">
        <f t="shared" si="15"/>
        <v/>
      </c>
      <c r="X199" s="120"/>
      <c r="Y199" s="120"/>
      <c r="Z199" s="120"/>
      <c r="AA199" s="120"/>
      <c r="AB199" s="95" t="str">
        <f>IFERROR(IF(YES_Writing_ELA[[#This Row],[Literacy IPP]]='Writing Logic'!$E$26,"IPP",IF(OR(X199="EAL",Y199="EAL",Z199="EAL",AA199="EAL"),"EAL",IF(X199='Writing Logic'!$A$10,AVERAGE(VLOOKUP(Y199,'Writing Logic'!$A$3:$B$7,2,FALSE),VLOOKUP(Z199,'Writing Logic'!$A$3:$B$7,2,FALSE),VLOOKUP(AA199,'Writing Logic'!$A$3:$B$7,2,FALSE)),AVERAGE(VLOOKUP(X199,'Writing Logic'!$A$3:$B$7,2,FALSE),VLOOKUP(Y199,'Writing Logic'!$A$3:$B$7,2,FALSE),VLOOKUP(Z199,'Writing Logic'!$A$3:$B$7,2,FALSE),VLOOKUP(AA199,'Writing Logic'!$A$3:$B$7,2,FALSE))))),"Fill All 4")</f>
        <v>Fill All 4</v>
      </c>
      <c r="AC199" s="95" t="str">
        <f t="shared" si="16"/>
        <v/>
      </c>
      <c r="AD199" s="120"/>
      <c r="AE199" s="120"/>
      <c r="AF199" s="120"/>
      <c r="AG199" s="120"/>
      <c r="AH199" s="95" t="str">
        <f>IFERROR(IF(YES_Writing_ELA[[#This Row],[Literacy IPP]]='Writing Logic'!$E$26,"IPP",IF(OR(AD199="EAL",AE199="EAL",AF199="EAL",AG199="EAL"),"EAL",IF(AD199='Writing Logic'!$A$10,AVERAGE(VLOOKUP(AE199,'Writing Logic'!$A$3:$B$7,2,FALSE),VLOOKUP(AF199,'Writing Logic'!$A$3:$B$7,2,FALSE),VLOOKUP(AG199,'Writing Logic'!$A$3:$B$7,2,FALSE)),AVERAGE(VLOOKUP(AD199,'Writing Logic'!$A$3:$B$7,2,FALSE),VLOOKUP(AE199,'Writing Logic'!$A$3:$B$7,2,FALSE),VLOOKUP(AF199,'Writing Logic'!$A$3:$B$7,2,FALSE),VLOOKUP(AG199,'Writing Logic'!$A$3:$B$7,2,FALSE))))),"Fill All 4")</f>
        <v>Fill All 4</v>
      </c>
      <c r="AI199" s="95" t="str">
        <f t="shared" si="17"/>
        <v/>
      </c>
      <c r="AJ199" s="183"/>
      <c r="AK199" s="120"/>
      <c r="AL199" s="120"/>
      <c r="AM199" s="120"/>
      <c r="AN199" s="95" t="str">
        <f>IFERROR(IF(YES_Writing_ELA[[#This Row],[Literacy IPP]]='Writing Logic'!$E$26,"IPP",IF(OR(AJ199="EAL",AK199="EAL",AL199="EAL",AM199="EAL"),"EAL",IF(AJ199='Writing Logic'!$A$10,AVERAGE(VLOOKUP(AK199,'Writing Logic'!$A$3:$B$7,2,FALSE),VLOOKUP(AL199,'Writing Logic'!$A$3:$B$7,2,FALSE),VLOOKUP(AM199,'Writing Logic'!$A$3:$B$7,2,FALSE)),AVERAGE(VLOOKUP(AJ199,'Writing Logic'!$A$3:$B$7,2,FALSE),VLOOKUP(AK199,'Writing Logic'!$A$3:$B$7,2,FALSE),VLOOKUP(AL199,'Writing Logic'!$A$3:$B$7,2,FALSE),VLOOKUP(AM199,'Writing Logic'!$A$3:$B$7,2,FALSE))))),"Fill All 4")</f>
        <v>Fill All 4</v>
      </c>
      <c r="AO199" s="95" t="str">
        <f t="shared" si="18"/>
        <v/>
      </c>
      <c r="AP199" s="120"/>
      <c r="AQ199" s="120"/>
      <c r="AR199" s="120"/>
      <c r="AS199" s="120"/>
      <c r="AT199" s="95" t="str">
        <f>IFERROR(IF(YES_Writing_ELA[[#This Row],[Literacy IPP]]='Writing Logic'!$E$26,"IPP",IF(OR(AP199="EAL",AQ199="EAL",AR199="EAL",AS199="EAL"),"EAL",IF(AP199='Writing Logic'!$A$10,AVERAGE(VLOOKUP(AQ199,'Writing Logic'!$A$3:$B$7,2,FALSE),VLOOKUP(AR199,'Writing Logic'!$A$3:$B$7,2,FALSE),VLOOKUP(AS199,'Writing Logic'!$A$3:$B$7,2,FALSE)),AVERAGE(VLOOKUP(AP199,'Writing Logic'!$A$3:$B$7,2,FALSE),VLOOKUP(AQ199,'Writing Logic'!$A$3:$B$7,2,FALSE),VLOOKUP(AR199,'Writing Logic'!$A$3:$B$7,2,FALSE),VLOOKUP(AS199,'Writing Logic'!$A$3:$B$7,2,FALSE))))),"Fill All 4")</f>
        <v>Fill All 4</v>
      </c>
      <c r="AU199" s="95" t="str">
        <f t="shared" si="19"/>
        <v/>
      </c>
    </row>
    <row r="200" spans="1:47" x14ac:dyDescent="0.25">
      <c r="A200" s="245"/>
      <c r="B200" s="236"/>
      <c r="C200" s="13"/>
      <c r="D200" s="236"/>
      <c r="E200" s="237"/>
      <c r="F200" s="49"/>
      <c r="G200" s="49"/>
      <c r="H200" s="49"/>
      <c r="I200" s="49"/>
      <c r="J200" s="49"/>
      <c r="K200" s="183"/>
      <c r="L200" s="184"/>
      <c r="M200" s="120"/>
      <c r="N200" s="120"/>
      <c r="O200" s="120"/>
      <c r="P200" s="120"/>
      <c r="Q200" s="95" t="str">
        <f>IFERROR(IF(YES_Writing_ELA[[#This Row],[Literacy IPP]]='Writing Logic'!$E$26,"IPP",IF(OR(M200="EAL",N200="EAL",O200="EAL",P200="EAL"),"EAL",IF(M200='Writing Logic'!$A$10,AVERAGE(VLOOKUP(N200,'Writing Logic'!$A$3:$B$7,2,FALSE),VLOOKUP(O200,'Writing Logic'!$A$3:$B$7,2,FALSE),VLOOKUP(P200,'Writing Logic'!$A$3:$B$7,2,FALSE)),AVERAGE(VLOOKUP(M200,'Writing Logic'!$A$3:$B$7,2,FALSE),VLOOKUP(N200,'Writing Logic'!$A$3:$B$7,2,FALSE),VLOOKUP(O200,'Writing Logic'!$A$3:$B$7,2,FALSE),VLOOKUP(P200,'Writing Logic'!$A$3:$B$7,2,FALSE))))),"Fill All 4")</f>
        <v>Fill All 4</v>
      </c>
      <c r="R200" s="120"/>
      <c r="S200" s="120"/>
      <c r="T200" s="120"/>
      <c r="U200" s="120"/>
      <c r="V200" s="95" t="str">
        <f>IFERROR(IF(YES_Writing_ELA[[#This Row],[Literacy IPP]]='Writing Logic'!$E$26,"IPP",IF(OR(R200="EAL",S200="EAL",T200="EAL",U200="EAL"),"EAL",IF(R200='Writing Logic'!$A$10,AVERAGE(VLOOKUP(S200,'Writing Logic'!$A$3:$B$7,2,FALSE),VLOOKUP(T200,'Writing Logic'!$A$3:$B$7,2,FALSE),VLOOKUP(U200,'Writing Logic'!$A$3:$B$7,2,FALSE)),AVERAGE(VLOOKUP(R200,'Writing Logic'!$A$3:$B$7,2,FALSE),VLOOKUP(S200,'Writing Logic'!$A$3:$B$7,2,FALSE),VLOOKUP(T200,'Writing Logic'!$A$3:$B$7,2,FALSE),VLOOKUP(U200,'Writing Logic'!$A$3:$B$7,2,FALSE))))),"Fill All 4")</f>
        <v>Fill All 4</v>
      </c>
      <c r="W200" s="95" t="str">
        <f t="shared" si="15"/>
        <v/>
      </c>
      <c r="X200" s="120"/>
      <c r="Y200" s="120"/>
      <c r="Z200" s="120"/>
      <c r="AA200" s="120"/>
      <c r="AB200" s="95" t="str">
        <f>IFERROR(IF(YES_Writing_ELA[[#This Row],[Literacy IPP]]='Writing Logic'!$E$26,"IPP",IF(OR(X200="EAL",Y200="EAL",Z200="EAL",AA200="EAL"),"EAL",IF(X200='Writing Logic'!$A$10,AVERAGE(VLOOKUP(Y200,'Writing Logic'!$A$3:$B$7,2,FALSE),VLOOKUP(Z200,'Writing Logic'!$A$3:$B$7,2,FALSE),VLOOKUP(AA200,'Writing Logic'!$A$3:$B$7,2,FALSE)),AVERAGE(VLOOKUP(X200,'Writing Logic'!$A$3:$B$7,2,FALSE),VLOOKUP(Y200,'Writing Logic'!$A$3:$B$7,2,FALSE),VLOOKUP(Z200,'Writing Logic'!$A$3:$B$7,2,FALSE),VLOOKUP(AA200,'Writing Logic'!$A$3:$B$7,2,FALSE))))),"Fill All 4")</f>
        <v>Fill All 4</v>
      </c>
      <c r="AC200" s="95" t="str">
        <f t="shared" si="16"/>
        <v/>
      </c>
      <c r="AD200" s="120"/>
      <c r="AE200" s="120"/>
      <c r="AF200" s="120"/>
      <c r="AG200" s="120"/>
      <c r="AH200" s="95" t="str">
        <f>IFERROR(IF(YES_Writing_ELA[[#This Row],[Literacy IPP]]='Writing Logic'!$E$26,"IPP",IF(OR(AD200="EAL",AE200="EAL",AF200="EAL",AG200="EAL"),"EAL",IF(AD200='Writing Logic'!$A$10,AVERAGE(VLOOKUP(AE200,'Writing Logic'!$A$3:$B$7,2,FALSE),VLOOKUP(AF200,'Writing Logic'!$A$3:$B$7,2,FALSE),VLOOKUP(AG200,'Writing Logic'!$A$3:$B$7,2,FALSE)),AVERAGE(VLOOKUP(AD200,'Writing Logic'!$A$3:$B$7,2,FALSE),VLOOKUP(AE200,'Writing Logic'!$A$3:$B$7,2,FALSE),VLOOKUP(AF200,'Writing Logic'!$A$3:$B$7,2,FALSE),VLOOKUP(AG200,'Writing Logic'!$A$3:$B$7,2,FALSE))))),"Fill All 4")</f>
        <v>Fill All 4</v>
      </c>
      <c r="AI200" s="95" t="str">
        <f t="shared" si="17"/>
        <v/>
      </c>
      <c r="AJ200" s="183"/>
      <c r="AK200" s="120"/>
      <c r="AL200" s="120"/>
      <c r="AM200" s="120"/>
      <c r="AN200" s="95" t="str">
        <f>IFERROR(IF(YES_Writing_ELA[[#This Row],[Literacy IPP]]='Writing Logic'!$E$26,"IPP",IF(OR(AJ200="EAL",AK200="EAL",AL200="EAL",AM200="EAL"),"EAL",IF(AJ200='Writing Logic'!$A$10,AVERAGE(VLOOKUP(AK200,'Writing Logic'!$A$3:$B$7,2,FALSE),VLOOKUP(AL200,'Writing Logic'!$A$3:$B$7,2,FALSE),VLOOKUP(AM200,'Writing Logic'!$A$3:$B$7,2,FALSE)),AVERAGE(VLOOKUP(AJ200,'Writing Logic'!$A$3:$B$7,2,FALSE),VLOOKUP(AK200,'Writing Logic'!$A$3:$B$7,2,FALSE),VLOOKUP(AL200,'Writing Logic'!$A$3:$B$7,2,FALSE),VLOOKUP(AM200,'Writing Logic'!$A$3:$B$7,2,FALSE))))),"Fill All 4")</f>
        <v>Fill All 4</v>
      </c>
      <c r="AO200" s="95" t="str">
        <f t="shared" si="18"/>
        <v/>
      </c>
      <c r="AP200" s="120"/>
      <c r="AQ200" s="120"/>
      <c r="AR200" s="120"/>
      <c r="AS200" s="120"/>
      <c r="AT200" s="95" t="str">
        <f>IFERROR(IF(YES_Writing_ELA[[#This Row],[Literacy IPP]]='Writing Logic'!$E$26,"IPP",IF(OR(AP200="EAL",AQ200="EAL",AR200="EAL",AS200="EAL"),"EAL",IF(AP200='Writing Logic'!$A$10,AVERAGE(VLOOKUP(AQ200,'Writing Logic'!$A$3:$B$7,2,FALSE),VLOOKUP(AR200,'Writing Logic'!$A$3:$B$7,2,FALSE),VLOOKUP(AS200,'Writing Logic'!$A$3:$B$7,2,FALSE)),AVERAGE(VLOOKUP(AP200,'Writing Logic'!$A$3:$B$7,2,FALSE),VLOOKUP(AQ200,'Writing Logic'!$A$3:$B$7,2,FALSE),VLOOKUP(AR200,'Writing Logic'!$A$3:$B$7,2,FALSE),VLOOKUP(AS200,'Writing Logic'!$A$3:$B$7,2,FALSE))))),"Fill All 4")</f>
        <v>Fill All 4</v>
      </c>
      <c r="AU200" s="95" t="str">
        <f t="shared" si="19"/>
        <v/>
      </c>
    </row>
    <row r="201" spans="1:47" x14ac:dyDescent="0.25">
      <c r="A201" s="245"/>
      <c r="B201" s="236"/>
      <c r="C201" s="13"/>
      <c r="D201" s="236"/>
      <c r="E201" s="237"/>
      <c r="F201" s="49"/>
      <c r="G201" s="49"/>
      <c r="H201" s="49"/>
      <c r="I201" s="49"/>
      <c r="J201" s="49"/>
      <c r="K201" s="183"/>
      <c r="L201" s="184"/>
      <c r="M201" s="120"/>
      <c r="N201" s="120"/>
      <c r="O201" s="120"/>
      <c r="P201" s="120"/>
      <c r="Q201" s="95" t="str">
        <f>IFERROR(IF(YES_Writing_ELA[[#This Row],[Literacy IPP]]='Writing Logic'!$E$26,"IPP",IF(OR(M201="EAL",N201="EAL",O201="EAL",P201="EAL"),"EAL",IF(M201='Writing Logic'!$A$10,AVERAGE(VLOOKUP(N201,'Writing Logic'!$A$3:$B$7,2,FALSE),VLOOKUP(O201,'Writing Logic'!$A$3:$B$7,2,FALSE),VLOOKUP(P201,'Writing Logic'!$A$3:$B$7,2,FALSE)),AVERAGE(VLOOKUP(M201,'Writing Logic'!$A$3:$B$7,2,FALSE),VLOOKUP(N201,'Writing Logic'!$A$3:$B$7,2,FALSE),VLOOKUP(O201,'Writing Logic'!$A$3:$B$7,2,FALSE),VLOOKUP(P201,'Writing Logic'!$A$3:$B$7,2,FALSE))))),"Fill All 4")</f>
        <v>Fill All 4</v>
      </c>
      <c r="R201" s="120"/>
      <c r="S201" s="120"/>
      <c r="T201" s="120"/>
      <c r="U201" s="120"/>
      <c r="V201" s="95" t="str">
        <f>IFERROR(IF(YES_Writing_ELA[[#This Row],[Literacy IPP]]='Writing Logic'!$E$26,"IPP",IF(OR(R201="EAL",S201="EAL",T201="EAL",U201="EAL"),"EAL",IF(R201='Writing Logic'!$A$10,AVERAGE(VLOOKUP(S201,'Writing Logic'!$A$3:$B$7,2,FALSE),VLOOKUP(T201,'Writing Logic'!$A$3:$B$7,2,FALSE),VLOOKUP(U201,'Writing Logic'!$A$3:$B$7,2,FALSE)),AVERAGE(VLOOKUP(R201,'Writing Logic'!$A$3:$B$7,2,FALSE),VLOOKUP(S201,'Writing Logic'!$A$3:$B$7,2,FALSE),VLOOKUP(T201,'Writing Logic'!$A$3:$B$7,2,FALSE),VLOOKUP(U201,'Writing Logic'!$A$3:$B$7,2,FALSE))))),"Fill All 4")</f>
        <v>Fill All 4</v>
      </c>
      <c r="W201" s="95" t="str">
        <f t="shared" si="15"/>
        <v/>
      </c>
      <c r="X201" s="120"/>
      <c r="Y201" s="120"/>
      <c r="Z201" s="120"/>
      <c r="AA201" s="120"/>
      <c r="AB201" s="95" t="str">
        <f>IFERROR(IF(YES_Writing_ELA[[#This Row],[Literacy IPP]]='Writing Logic'!$E$26,"IPP",IF(OR(X201="EAL",Y201="EAL",Z201="EAL",AA201="EAL"),"EAL",IF(X201='Writing Logic'!$A$10,AVERAGE(VLOOKUP(Y201,'Writing Logic'!$A$3:$B$7,2,FALSE),VLOOKUP(Z201,'Writing Logic'!$A$3:$B$7,2,FALSE),VLOOKUP(AA201,'Writing Logic'!$A$3:$B$7,2,FALSE)),AVERAGE(VLOOKUP(X201,'Writing Logic'!$A$3:$B$7,2,FALSE),VLOOKUP(Y201,'Writing Logic'!$A$3:$B$7,2,FALSE),VLOOKUP(Z201,'Writing Logic'!$A$3:$B$7,2,FALSE),VLOOKUP(AA201,'Writing Logic'!$A$3:$B$7,2,FALSE))))),"Fill All 4")</f>
        <v>Fill All 4</v>
      </c>
      <c r="AC201" s="95" t="str">
        <f t="shared" si="16"/>
        <v/>
      </c>
      <c r="AD201" s="120"/>
      <c r="AE201" s="120"/>
      <c r="AF201" s="120"/>
      <c r="AG201" s="120"/>
      <c r="AH201" s="95" t="str">
        <f>IFERROR(IF(YES_Writing_ELA[[#This Row],[Literacy IPP]]='Writing Logic'!$E$26,"IPP",IF(OR(AD201="EAL",AE201="EAL",AF201="EAL",AG201="EAL"),"EAL",IF(AD201='Writing Logic'!$A$10,AVERAGE(VLOOKUP(AE201,'Writing Logic'!$A$3:$B$7,2,FALSE),VLOOKUP(AF201,'Writing Logic'!$A$3:$B$7,2,FALSE),VLOOKUP(AG201,'Writing Logic'!$A$3:$B$7,2,FALSE)),AVERAGE(VLOOKUP(AD201,'Writing Logic'!$A$3:$B$7,2,FALSE),VLOOKUP(AE201,'Writing Logic'!$A$3:$B$7,2,FALSE),VLOOKUP(AF201,'Writing Logic'!$A$3:$B$7,2,FALSE),VLOOKUP(AG201,'Writing Logic'!$A$3:$B$7,2,FALSE))))),"Fill All 4")</f>
        <v>Fill All 4</v>
      </c>
      <c r="AI201" s="95" t="str">
        <f t="shared" si="17"/>
        <v/>
      </c>
      <c r="AJ201" s="183"/>
      <c r="AK201" s="120"/>
      <c r="AL201" s="120"/>
      <c r="AM201" s="120"/>
      <c r="AN201" s="95" t="str">
        <f>IFERROR(IF(YES_Writing_ELA[[#This Row],[Literacy IPP]]='Writing Logic'!$E$26,"IPP",IF(OR(AJ201="EAL",AK201="EAL",AL201="EAL",AM201="EAL"),"EAL",IF(AJ201='Writing Logic'!$A$10,AVERAGE(VLOOKUP(AK201,'Writing Logic'!$A$3:$B$7,2,FALSE),VLOOKUP(AL201,'Writing Logic'!$A$3:$B$7,2,FALSE),VLOOKUP(AM201,'Writing Logic'!$A$3:$B$7,2,FALSE)),AVERAGE(VLOOKUP(AJ201,'Writing Logic'!$A$3:$B$7,2,FALSE),VLOOKUP(AK201,'Writing Logic'!$A$3:$B$7,2,FALSE),VLOOKUP(AL201,'Writing Logic'!$A$3:$B$7,2,FALSE),VLOOKUP(AM201,'Writing Logic'!$A$3:$B$7,2,FALSE))))),"Fill All 4")</f>
        <v>Fill All 4</v>
      </c>
      <c r="AO201" s="95" t="str">
        <f t="shared" si="18"/>
        <v/>
      </c>
      <c r="AP201" s="120"/>
      <c r="AQ201" s="120"/>
      <c r="AR201" s="120"/>
      <c r="AS201" s="120"/>
      <c r="AT201" s="95" t="str">
        <f>IFERROR(IF(YES_Writing_ELA[[#This Row],[Literacy IPP]]='Writing Logic'!$E$26,"IPP",IF(OR(AP201="EAL",AQ201="EAL",AR201="EAL",AS201="EAL"),"EAL",IF(AP201='Writing Logic'!$A$10,AVERAGE(VLOOKUP(AQ201,'Writing Logic'!$A$3:$B$7,2,FALSE),VLOOKUP(AR201,'Writing Logic'!$A$3:$B$7,2,FALSE),VLOOKUP(AS201,'Writing Logic'!$A$3:$B$7,2,FALSE)),AVERAGE(VLOOKUP(AP201,'Writing Logic'!$A$3:$B$7,2,FALSE),VLOOKUP(AQ201,'Writing Logic'!$A$3:$B$7,2,FALSE),VLOOKUP(AR201,'Writing Logic'!$A$3:$B$7,2,FALSE),VLOOKUP(AS201,'Writing Logic'!$A$3:$B$7,2,FALSE))))),"Fill All 4")</f>
        <v>Fill All 4</v>
      </c>
      <c r="AU201" s="95" t="str">
        <f t="shared" si="19"/>
        <v/>
      </c>
    </row>
    <row r="202" spans="1:47" x14ac:dyDescent="0.25">
      <c r="A202" s="245"/>
      <c r="B202" s="236"/>
      <c r="C202" s="13"/>
      <c r="D202" s="236"/>
      <c r="E202" s="237"/>
      <c r="F202" s="49"/>
      <c r="G202" s="49"/>
      <c r="H202" s="49"/>
      <c r="I202" s="49"/>
      <c r="J202" s="49"/>
      <c r="K202" s="183"/>
      <c r="L202" s="184"/>
      <c r="M202" s="120"/>
      <c r="N202" s="120"/>
      <c r="O202" s="120"/>
      <c r="P202" s="120"/>
      <c r="Q202" s="95" t="str">
        <f>IFERROR(IF(YES_Writing_ELA[[#This Row],[Literacy IPP]]='Writing Logic'!$E$26,"IPP",IF(OR(M202="EAL",N202="EAL",O202="EAL",P202="EAL"),"EAL",IF(M202='Writing Logic'!$A$10,AVERAGE(VLOOKUP(N202,'Writing Logic'!$A$3:$B$7,2,FALSE),VLOOKUP(O202,'Writing Logic'!$A$3:$B$7,2,FALSE),VLOOKUP(P202,'Writing Logic'!$A$3:$B$7,2,FALSE)),AVERAGE(VLOOKUP(M202,'Writing Logic'!$A$3:$B$7,2,FALSE),VLOOKUP(N202,'Writing Logic'!$A$3:$B$7,2,FALSE),VLOOKUP(O202,'Writing Logic'!$A$3:$B$7,2,FALSE),VLOOKUP(P202,'Writing Logic'!$A$3:$B$7,2,FALSE))))),"Fill All 4")</f>
        <v>Fill All 4</v>
      </c>
      <c r="R202" s="120"/>
      <c r="S202" s="120"/>
      <c r="T202" s="120"/>
      <c r="U202" s="120"/>
      <c r="V202" s="95" t="str">
        <f>IFERROR(IF(YES_Writing_ELA[[#This Row],[Literacy IPP]]='Writing Logic'!$E$26,"IPP",IF(OR(R202="EAL",S202="EAL",T202="EAL",U202="EAL"),"EAL",IF(R202='Writing Logic'!$A$10,AVERAGE(VLOOKUP(S202,'Writing Logic'!$A$3:$B$7,2,FALSE),VLOOKUP(T202,'Writing Logic'!$A$3:$B$7,2,FALSE),VLOOKUP(U202,'Writing Logic'!$A$3:$B$7,2,FALSE)),AVERAGE(VLOOKUP(R202,'Writing Logic'!$A$3:$B$7,2,FALSE),VLOOKUP(S202,'Writing Logic'!$A$3:$B$7,2,FALSE),VLOOKUP(T202,'Writing Logic'!$A$3:$B$7,2,FALSE),VLOOKUP(U202,'Writing Logic'!$A$3:$B$7,2,FALSE))))),"Fill All 4")</f>
        <v>Fill All 4</v>
      </c>
      <c r="W202" s="95" t="str">
        <f t="shared" si="15"/>
        <v/>
      </c>
      <c r="X202" s="120"/>
      <c r="Y202" s="120"/>
      <c r="Z202" s="120"/>
      <c r="AA202" s="120"/>
      <c r="AB202" s="95" t="str">
        <f>IFERROR(IF(YES_Writing_ELA[[#This Row],[Literacy IPP]]='Writing Logic'!$E$26,"IPP",IF(OR(X202="EAL",Y202="EAL",Z202="EAL",AA202="EAL"),"EAL",IF(X202='Writing Logic'!$A$10,AVERAGE(VLOOKUP(Y202,'Writing Logic'!$A$3:$B$7,2,FALSE),VLOOKUP(Z202,'Writing Logic'!$A$3:$B$7,2,FALSE),VLOOKUP(AA202,'Writing Logic'!$A$3:$B$7,2,FALSE)),AVERAGE(VLOOKUP(X202,'Writing Logic'!$A$3:$B$7,2,FALSE),VLOOKUP(Y202,'Writing Logic'!$A$3:$B$7,2,FALSE),VLOOKUP(Z202,'Writing Logic'!$A$3:$B$7,2,FALSE),VLOOKUP(AA202,'Writing Logic'!$A$3:$B$7,2,FALSE))))),"Fill All 4")</f>
        <v>Fill All 4</v>
      </c>
      <c r="AC202" s="95" t="str">
        <f t="shared" si="16"/>
        <v/>
      </c>
      <c r="AD202" s="120"/>
      <c r="AE202" s="120"/>
      <c r="AF202" s="120"/>
      <c r="AG202" s="120"/>
      <c r="AH202" s="95" t="str">
        <f>IFERROR(IF(YES_Writing_ELA[[#This Row],[Literacy IPP]]='Writing Logic'!$E$26,"IPP",IF(OR(AD202="EAL",AE202="EAL",AF202="EAL",AG202="EAL"),"EAL",IF(AD202='Writing Logic'!$A$10,AVERAGE(VLOOKUP(AE202,'Writing Logic'!$A$3:$B$7,2,FALSE),VLOOKUP(AF202,'Writing Logic'!$A$3:$B$7,2,FALSE),VLOOKUP(AG202,'Writing Logic'!$A$3:$B$7,2,FALSE)),AVERAGE(VLOOKUP(AD202,'Writing Logic'!$A$3:$B$7,2,FALSE),VLOOKUP(AE202,'Writing Logic'!$A$3:$B$7,2,FALSE),VLOOKUP(AF202,'Writing Logic'!$A$3:$B$7,2,FALSE),VLOOKUP(AG202,'Writing Logic'!$A$3:$B$7,2,FALSE))))),"Fill All 4")</f>
        <v>Fill All 4</v>
      </c>
      <c r="AI202" s="95" t="str">
        <f t="shared" si="17"/>
        <v/>
      </c>
      <c r="AJ202" s="183"/>
      <c r="AK202" s="120"/>
      <c r="AL202" s="120"/>
      <c r="AM202" s="120"/>
      <c r="AN202" s="95" t="str">
        <f>IFERROR(IF(YES_Writing_ELA[[#This Row],[Literacy IPP]]='Writing Logic'!$E$26,"IPP",IF(OR(AJ202="EAL",AK202="EAL",AL202="EAL",AM202="EAL"),"EAL",IF(AJ202='Writing Logic'!$A$10,AVERAGE(VLOOKUP(AK202,'Writing Logic'!$A$3:$B$7,2,FALSE),VLOOKUP(AL202,'Writing Logic'!$A$3:$B$7,2,FALSE),VLOOKUP(AM202,'Writing Logic'!$A$3:$B$7,2,FALSE)),AVERAGE(VLOOKUP(AJ202,'Writing Logic'!$A$3:$B$7,2,FALSE),VLOOKUP(AK202,'Writing Logic'!$A$3:$B$7,2,FALSE),VLOOKUP(AL202,'Writing Logic'!$A$3:$B$7,2,FALSE),VLOOKUP(AM202,'Writing Logic'!$A$3:$B$7,2,FALSE))))),"Fill All 4")</f>
        <v>Fill All 4</v>
      </c>
      <c r="AO202" s="95" t="str">
        <f t="shared" si="18"/>
        <v/>
      </c>
      <c r="AP202" s="120"/>
      <c r="AQ202" s="120"/>
      <c r="AR202" s="120"/>
      <c r="AS202" s="120"/>
      <c r="AT202" s="95" t="str">
        <f>IFERROR(IF(YES_Writing_ELA[[#This Row],[Literacy IPP]]='Writing Logic'!$E$26,"IPP",IF(OR(AP202="EAL",AQ202="EAL",AR202="EAL",AS202="EAL"),"EAL",IF(AP202='Writing Logic'!$A$10,AVERAGE(VLOOKUP(AQ202,'Writing Logic'!$A$3:$B$7,2,FALSE),VLOOKUP(AR202,'Writing Logic'!$A$3:$B$7,2,FALSE),VLOOKUP(AS202,'Writing Logic'!$A$3:$B$7,2,FALSE)),AVERAGE(VLOOKUP(AP202,'Writing Logic'!$A$3:$B$7,2,FALSE),VLOOKUP(AQ202,'Writing Logic'!$A$3:$B$7,2,FALSE),VLOOKUP(AR202,'Writing Logic'!$A$3:$B$7,2,FALSE),VLOOKUP(AS202,'Writing Logic'!$A$3:$B$7,2,FALSE))))),"Fill All 4")</f>
        <v>Fill All 4</v>
      </c>
      <c r="AU202" s="95" t="str">
        <f t="shared" si="19"/>
        <v/>
      </c>
    </row>
    <row r="203" spans="1:47" x14ac:dyDescent="0.25">
      <c r="A203" s="245"/>
      <c r="B203" s="236"/>
      <c r="C203" s="13"/>
      <c r="D203" s="236"/>
      <c r="E203" s="237"/>
      <c r="F203" s="49"/>
      <c r="G203" s="49"/>
      <c r="H203" s="49"/>
      <c r="I203" s="49"/>
      <c r="J203" s="49"/>
      <c r="K203" s="183"/>
      <c r="L203" s="184"/>
      <c r="M203" s="120"/>
      <c r="N203" s="120"/>
      <c r="O203" s="120"/>
      <c r="P203" s="120"/>
      <c r="Q203" s="95" t="str">
        <f>IFERROR(IF(YES_Writing_ELA[[#This Row],[Literacy IPP]]='Writing Logic'!$E$26,"IPP",IF(OR(M203="EAL",N203="EAL",O203="EAL",P203="EAL"),"EAL",IF(M203='Writing Logic'!$A$10,AVERAGE(VLOOKUP(N203,'Writing Logic'!$A$3:$B$7,2,FALSE),VLOOKUP(O203,'Writing Logic'!$A$3:$B$7,2,FALSE),VLOOKUP(P203,'Writing Logic'!$A$3:$B$7,2,FALSE)),AVERAGE(VLOOKUP(M203,'Writing Logic'!$A$3:$B$7,2,FALSE),VLOOKUP(N203,'Writing Logic'!$A$3:$B$7,2,FALSE),VLOOKUP(O203,'Writing Logic'!$A$3:$B$7,2,FALSE),VLOOKUP(P203,'Writing Logic'!$A$3:$B$7,2,FALSE))))),"Fill All 4")</f>
        <v>Fill All 4</v>
      </c>
      <c r="R203" s="120"/>
      <c r="S203" s="120"/>
      <c r="T203" s="120"/>
      <c r="U203" s="120"/>
      <c r="V203" s="95" t="str">
        <f>IFERROR(IF(YES_Writing_ELA[[#This Row],[Literacy IPP]]='Writing Logic'!$E$26,"IPP",IF(OR(R203="EAL",S203="EAL",T203="EAL",U203="EAL"),"EAL",IF(R203='Writing Logic'!$A$10,AVERAGE(VLOOKUP(S203,'Writing Logic'!$A$3:$B$7,2,FALSE),VLOOKUP(T203,'Writing Logic'!$A$3:$B$7,2,FALSE),VLOOKUP(U203,'Writing Logic'!$A$3:$B$7,2,FALSE)),AVERAGE(VLOOKUP(R203,'Writing Logic'!$A$3:$B$7,2,FALSE),VLOOKUP(S203,'Writing Logic'!$A$3:$B$7,2,FALSE),VLOOKUP(T203,'Writing Logic'!$A$3:$B$7,2,FALSE),VLOOKUP(U203,'Writing Logic'!$A$3:$B$7,2,FALSE))))),"Fill All 4")</f>
        <v>Fill All 4</v>
      </c>
      <c r="W203" s="95" t="str">
        <f t="shared" si="15"/>
        <v/>
      </c>
      <c r="X203" s="120"/>
      <c r="Y203" s="120"/>
      <c r="Z203" s="120"/>
      <c r="AA203" s="120"/>
      <c r="AB203" s="95" t="str">
        <f>IFERROR(IF(YES_Writing_ELA[[#This Row],[Literacy IPP]]='Writing Logic'!$E$26,"IPP",IF(OR(X203="EAL",Y203="EAL",Z203="EAL",AA203="EAL"),"EAL",IF(X203='Writing Logic'!$A$10,AVERAGE(VLOOKUP(Y203,'Writing Logic'!$A$3:$B$7,2,FALSE),VLOOKUP(Z203,'Writing Logic'!$A$3:$B$7,2,FALSE),VLOOKUP(AA203,'Writing Logic'!$A$3:$B$7,2,FALSE)),AVERAGE(VLOOKUP(X203,'Writing Logic'!$A$3:$B$7,2,FALSE),VLOOKUP(Y203,'Writing Logic'!$A$3:$B$7,2,FALSE),VLOOKUP(Z203,'Writing Logic'!$A$3:$B$7,2,FALSE),VLOOKUP(AA203,'Writing Logic'!$A$3:$B$7,2,FALSE))))),"Fill All 4")</f>
        <v>Fill All 4</v>
      </c>
      <c r="AC203" s="95" t="str">
        <f t="shared" si="16"/>
        <v/>
      </c>
      <c r="AD203" s="120"/>
      <c r="AE203" s="120"/>
      <c r="AF203" s="120"/>
      <c r="AG203" s="120"/>
      <c r="AH203" s="95" t="str">
        <f>IFERROR(IF(YES_Writing_ELA[[#This Row],[Literacy IPP]]='Writing Logic'!$E$26,"IPP",IF(OR(AD203="EAL",AE203="EAL",AF203="EAL",AG203="EAL"),"EAL",IF(AD203='Writing Logic'!$A$10,AVERAGE(VLOOKUP(AE203,'Writing Logic'!$A$3:$B$7,2,FALSE),VLOOKUP(AF203,'Writing Logic'!$A$3:$B$7,2,FALSE),VLOOKUP(AG203,'Writing Logic'!$A$3:$B$7,2,FALSE)),AVERAGE(VLOOKUP(AD203,'Writing Logic'!$A$3:$B$7,2,FALSE),VLOOKUP(AE203,'Writing Logic'!$A$3:$B$7,2,FALSE),VLOOKUP(AF203,'Writing Logic'!$A$3:$B$7,2,FALSE),VLOOKUP(AG203,'Writing Logic'!$A$3:$B$7,2,FALSE))))),"Fill All 4")</f>
        <v>Fill All 4</v>
      </c>
      <c r="AI203" s="95" t="str">
        <f t="shared" si="17"/>
        <v/>
      </c>
      <c r="AJ203" s="183"/>
      <c r="AK203" s="120"/>
      <c r="AL203" s="120"/>
      <c r="AM203" s="120"/>
      <c r="AN203" s="95" t="str">
        <f>IFERROR(IF(YES_Writing_ELA[[#This Row],[Literacy IPP]]='Writing Logic'!$E$26,"IPP",IF(OR(AJ203="EAL",AK203="EAL",AL203="EAL",AM203="EAL"),"EAL",IF(AJ203='Writing Logic'!$A$10,AVERAGE(VLOOKUP(AK203,'Writing Logic'!$A$3:$B$7,2,FALSE),VLOOKUP(AL203,'Writing Logic'!$A$3:$B$7,2,FALSE),VLOOKUP(AM203,'Writing Logic'!$A$3:$B$7,2,FALSE)),AVERAGE(VLOOKUP(AJ203,'Writing Logic'!$A$3:$B$7,2,FALSE),VLOOKUP(AK203,'Writing Logic'!$A$3:$B$7,2,FALSE),VLOOKUP(AL203,'Writing Logic'!$A$3:$B$7,2,FALSE),VLOOKUP(AM203,'Writing Logic'!$A$3:$B$7,2,FALSE))))),"Fill All 4")</f>
        <v>Fill All 4</v>
      </c>
      <c r="AO203" s="95" t="str">
        <f t="shared" si="18"/>
        <v/>
      </c>
      <c r="AP203" s="120"/>
      <c r="AQ203" s="120"/>
      <c r="AR203" s="120"/>
      <c r="AS203" s="120"/>
      <c r="AT203" s="95" t="str">
        <f>IFERROR(IF(YES_Writing_ELA[[#This Row],[Literacy IPP]]='Writing Logic'!$E$26,"IPP",IF(OR(AP203="EAL",AQ203="EAL",AR203="EAL",AS203="EAL"),"EAL",IF(AP203='Writing Logic'!$A$10,AVERAGE(VLOOKUP(AQ203,'Writing Logic'!$A$3:$B$7,2,FALSE),VLOOKUP(AR203,'Writing Logic'!$A$3:$B$7,2,FALSE),VLOOKUP(AS203,'Writing Logic'!$A$3:$B$7,2,FALSE)),AVERAGE(VLOOKUP(AP203,'Writing Logic'!$A$3:$B$7,2,FALSE),VLOOKUP(AQ203,'Writing Logic'!$A$3:$B$7,2,FALSE),VLOOKUP(AR203,'Writing Logic'!$A$3:$B$7,2,FALSE),VLOOKUP(AS203,'Writing Logic'!$A$3:$B$7,2,FALSE))))),"Fill All 4")</f>
        <v>Fill All 4</v>
      </c>
      <c r="AU203" s="95" t="str">
        <f t="shared" si="19"/>
        <v/>
      </c>
    </row>
    <row r="204" spans="1:47" x14ac:dyDescent="0.25">
      <c r="A204" s="245"/>
      <c r="B204" s="236"/>
      <c r="C204" s="13"/>
      <c r="D204" s="236"/>
      <c r="E204" s="237"/>
      <c r="F204" s="49"/>
      <c r="G204" s="49"/>
      <c r="H204" s="49"/>
      <c r="I204" s="49"/>
      <c r="J204" s="49"/>
      <c r="K204" s="183"/>
      <c r="L204" s="184"/>
      <c r="M204" s="120"/>
      <c r="N204" s="120"/>
      <c r="O204" s="120"/>
      <c r="P204" s="120"/>
      <c r="Q204" s="95" t="str">
        <f>IFERROR(IF(YES_Writing_ELA[[#This Row],[Literacy IPP]]='Writing Logic'!$E$26,"IPP",IF(OR(M204="EAL",N204="EAL",O204="EAL",P204="EAL"),"EAL",IF(M204='Writing Logic'!$A$10,AVERAGE(VLOOKUP(N204,'Writing Logic'!$A$3:$B$7,2,FALSE),VLOOKUP(O204,'Writing Logic'!$A$3:$B$7,2,FALSE),VLOOKUP(P204,'Writing Logic'!$A$3:$B$7,2,FALSE)),AVERAGE(VLOOKUP(M204,'Writing Logic'!$A$3:$B$7,2,FALSE),VLOOKUP(N204,'Writing Logic'!$A$3:$B$7,2,FALSE),VLOOKUP(O204,'Writing Logic'!$A$3:$B$7,2,FALSE),VLOOKUP(P204,'Writing Logic'!$A$3:$B$7,2,FALSE))))),"Fill All 4")</f>
        <v>Fill All 4</v>
      </c>
      <c r="R204" s="120"/>
      <c r="S204" s="120"/>
      <c r="T204" s="120"/>
      <c r="U204" s="120"/>
      <c r="V204" s="95" t="str">
        <f>IFERROR(IF(YES_Writing_ELA[[#This Row],[Literacy IPP]]='Writing Logic'!$E$26,"IPP",IF(OR(R204="EAL",S204="EAL",T204="EAL",U204="EAL"),"EAL",IF(R204='Writing Logic'!$A$10,AVERAGE(VLOOKUP(S204,'Writing Logic'!$A$3:$B$7,2,FALSE),VLOOKUP(T204,'Writing Logic'!$A$3:$B$7,2,FALSE),VLOOKUP(U204,'Writing Logic'!$A$3:$B$7,2,FALSE)),AVERAGE(VLOOKUP(R204,'Writing Logic'!$A$3:$B$7,2,FALSE),VLOOKUP(S204,'Writing Logic'!$A$3:$B$7,2,FALSE),VLOOKUP(T204,'Writing Logic'!$A$3:$B$7,2,FALSE),VLOOKUP(U204,'Writing Logic'!$A$3:$B$7,2,FALSE))))),"Fill All 4")</f>
        <v>Fill All 4</v>
      </c>
      <c r="W204" s="95" t="str">
        <f t="shared" si="15"/>
        <v/>
      </c>
      <c r="X204" s="120"/>
      <c r="Y204" s="120"/>
      <c r="Z204" s="120"/>
      <c r="AA204" s="120"/>
      <c r="AB204" s="95" t="str">
        <f>IFERROR(IF(YES_Writing_ELA[[#This Row],[Literacy IPP]]='Writing Logic'!$E$26,"IPP",IF(OR(X204="EAL",Y204="EAL",Z204="EAL",AA204="EAL"),"EAL",IF(X204='Writing Logic'!$A$10,AVERAGE(VLOOKUP(Y204,'Writing Logic'!$A$3:$B$7,2,FALSE),VLOOKUP(Z204,'Writing Logic'!$A$3:$B$7,2,FALSE),VLOOKUP(AA204,'Writing Logic'!$A$3:$B$7,2,FALSE)),AVERAGE(VLOOKUP(X204,'Writing Logic'!$A$3:$B$7,2,FALSE),VLOOKUP(Y204,'Writing Logic'!$A$3:$B$7,2,FALSE),VLOOKUP(Z204,'Writing Logic'!$A$3:$B$7,2,FALSE),VLOOKUP(AA204,'Writing Logic'!$A$3:$B$7,2,FALSE))))),"Fill All 4")</f>
        <v>Fill All 4</v>
      </c>
      <c r="AC204" s="95" t="str">
        <f t="shared" si="16"/>
        <v/>
      </c>
      <c r="AD204" s="120"/>
      <c r="AE204" s="120"/>
      <c r="AF204" s="120"/>
      <c r="AG204" s="120"/>
      <c r="AH204" s="95" t="str">
        <f>IFERROR(IF(YES_Writing_ELA[[#This Row],[Literacy IPP]]='Writing Logic'!$E$26,"IPP",IF(OR(AD204="EAL",AE204="EAL",AF204="EAL",AG204="EAL"),"EAL",IF(AD204='Writing Logic'!$A$10,AVERAGE(VLOOKUP(AE204,'Writing Logic'!$A$3:$B$7,2,FALSE),VLOOKUP(AF204,'Writing Logic'!$A$3:$B$7,2,FALSE),VLOOKUP(AG204,'Writing Logic'!$A$3:$B$7,2,FALSE)),AVERAGE(VLOOKUP(AD204,'Writing Logic'!$A$3:$B$7,2,FALSE),VLOOKUP(AE204,'Writing Logic'!$A$3:$B$7,2,FALSE),VLOOKUP(AF204,'Writing Logic'!$A$3:$B$7,2,FALSE),VLOOKUP(AG204,'Writing Logic'!$A$3:$B$7,2,FALSE))))),"Fill All 4")</f>
        <v>Fill All 4</v>
      </c>
      <c r="AI204" s="95" t="str">
        <f t="shared" si="17"/>
        <v/>
      </c>
      <c r="AJ204" s="183"/>
      <c r="AK204" s="120"/>
      <c r="AL204" s="120"/>
      <c r="AM204" s="120"/>
      <c r="AN204" s="95" t="str">
        <f>IFERROR(IF(YES_Writing_ELA[[#This Row],[Literacy IPP]]='Writing Logic'!$E$26,"IPP",IF(OR(AJ204="EAL",AK204="EAL",AL204="EAL",AM204="EAL"),"EAL",IF(AJ204='Writing Logic'!$A$10,AVERAGE(VLOOKUP(AK204,'Writing Logic'!$A$3:$B$7,2,FALSE),VLOOKUP(AL204,'Writing Logic'!$A$3:$B$7,2,FALSE),VLOOKUP(AM204,'Writing Logic'!$A$3:$B$7,2,FALSE)),AVERAGE(VLOOKUP(AJ204,'Writing Logic'!$A$3:$B$7,2,FALSE),VLOOKUP(AK204,'Writing Logic'!$A$3:$B$7,2,FALSE),VLOOKUP(AL204,'Writing Logic'!$A$3:$B$7,2,FALSE),VLOOKUP(AM204,'Writing Logic'!$A$3:$B$7,2,FALSE))))),"Fill All 4")</f>
        <v>Fill All 4</v>
      </c>
      <c r="AO204" s="95" t="str">
        <f t="shared" si="18"/>
        <v/>
      </c>
      <c r="AP204" s="120"/>
      <c r="AQ204" s="120"/>
      <c r="AR204" s="120"/>
      <c r="AS204" s="120"/>
      <c r="AT204" s="95" t="str">
        <f>IFERROR(IF(YES_Writing_ELA[[#This Row],[Literacy IPP]]='Writing Logic'!$E$26,"IPP",IF(OR(AP204="EAL",AQ204="EAL",AR204="EAL",AS204="EAL"),"EAL",IF(AP204='Writing Logic'!$A$10,AVERAGE(VLOOKUP(AQ204,'Writing Logic'!$A$3:$B$7,2,FALSE),VLOOKUP(AR204,'Writing Logic'!$A$3:$B$7,2,FALSE),VLOOKUP(AS204,'Writing Logic'!$A$3:$B$7,2,FALSE)),AVERAGE(VLOOKUP(AP204,'Writing Logic'!$A$3:$B$7,2,FALSE),VLOOKUP(AQ204,'Writing Logic'!$A$3:$B$7,2,FALSE),VLOOKUP(AR204,'Writing Logic'!$A$3:$B$7,2,FALSE),VLOOKUP(AS204,'Writing Logic'!$A$3:$B$7,2,FALSE))))),"Fill All 4")</f>
        <v>Fill All 4</v>
      </c>
      <c r="AU204" s="95" t="str">
        <f t="shared" si="19"/>
        <v/>
      </c>
    </row>
    <row r="205" spans="1:47" x14ac:dyDescent="0.25">
      <c r="A205" s="245"/>
      <c r="B205" s="236"/>
      <c r="C205" s="13"/>
      <c r="D205" s="236"/>
      <c r="E205" s="237"/>
      <c r="F205" s="49"/>
      <c r="G205" s="49"/>
      <c r="H205" s="49"/>
      <c r="I205" s="49"/>
      <c r="J205" s="49"/>
      <c r="K205" s="183"/>
      <c r="L205" s="184"/>
      <c r="M205" s="120"/>
      <c r="N205" s="120"/>
      <c r="O205" s="120"/>
      <c r="P205" s="120"/>
      <c r="Q205" s="95" t="str">
        <f>IFERROR(IF(YES_Writing_ELA[[#This Row],[Literacy IPP]]='Writing Logic'!$E$26,"IPP",IF(OR(M205="EAL",N205="EAL",O205="EAL",P205="EAL"),"EAL",IF(M205='Writing Logic'!$A$10,AVERAGE(VLOOKUP(N205,'Writing Logic'!$A$3:$B$7,2,FALSE),VLOOKUP(O205,'Writing Logic'!$A$3:$B$7,2,FALSE),VLOOKUP(P205,'Writing Logic'!$A$3:$B$7,2,FALSE)),AVERAGE(VLOOKUP(M205,'Writing Logic'!$A$3:$B$7,2,FALSE),VLOOKUP(N205,'Writing Logic'!$A$3:$B$7,2,FALSE),VLOOKUP(O205,'Writing Logic'!$A$3:$B$7,2,FALSE),VLOOKUP(P205,'Writing Logic'!$A$3:$B$7,2,FALSE))))),"Fill All 4")</f>
        <v>Fill All 4</v>
      </c>
      <c r="R205" s="120"/>
      <c r="S205" s="120"/>
      <c r="T205" s="120"/>
      <c r="U205" s="120"/>
      <c r="V205" s="95" t="str">
        <f>IFERROR(IF(YES_Writing_ELA[[#This Row],[Literacy IPP]]='Writing Logic'!$E$26,"IPP",IF(OR(R205="EAL",S205="EAL",T205="EAL",U205="EAL"),"EAL",IF(R205='Writing Logic'!$A$10,AVERAGE(VLOOKUP(S205,'Writing Logic'!$A$3:$B$7,2,FALSE),VLOOKUP(T205,'Writing Logic'!$A$3:$B$7,2,FALSE),VLOOKUP(U205,'Writing Logic'!$A$3:$B$7,2,FALSE)),AVERAGE(VLOOKUP(R205,'Writing Logic'!$A$3:$B$7,2,FALSE),VLOOKUP(S205,'Writing Logic'!$A$3:$B$7,2,FALSE),VLOOKUP(T205,'Writing Logic'!$A$3:$B$7,2,FALSE),VLOOKUP(U205,'Writing Logic'!$A$3:$B$7,2,FALSE))))),"Fill All 4")</f>
        <v>Fill All 4</v>
      </c>
      <c r="W205" s="95" t="str">
        <f t="shared" si="15"/>
        <v/>
      </c>
      <c r="X205" s="120"/>
      <c r="Y205" s="120"/>
      <c r="Z205" s="120"/>
      <c r="AA205" s="120"/>
      <c r="AB205" s="95" t="str">
        <f>IFERROR(IF(YES_Writing_ELA[[#This Row],[Literacy IPP]]='Writing Logic'!$E$26,"IPP",IF(OR(X205="EAL",Y205="EAL",Z205="EAL",AA205="EAL"),"EAL",IF(X205='Writing Logic'!$A$10,AVERAGE(VLOOKUP(Y205,'Writing Logic'!$A$3:$B$7,2,FALSE),VLOOKUP(Z205,'Writing Logic'!$A$3:$B$7,2,FALSE),VLOOKUP(AA205,'Writing Logic'!$A$3:$B$7,2,FALSE)),AVERAGE(VLOOKUP(X205,'Writing Logic'!$A$3:$B$7,2,FALSE),VLOOKUP(Y205,'Writing Logic'!$A$3:$B$7,2,FALSE),VLOOKUP(Z205,'Writing Logic'!$A$3:$B$7,2,FALSE),VLOOKUP(AA205,'Writing Logic'!$A$3:$B$7,2,FALSE))))),"Fill All 4")</f>
        <v>Fill All 4</v>
      </c>
      <c r="AC205" s="95" t="str">
        <f t="shared" si="16"/>
        <v/>
      </c>
      <c r="AD205" s="120"/>
      <c r="AE205" s="120"/>
      <c r="AF205" s="120"/>
      <c r="AG205" s="120"/>
      <c r="AH205" s="95" t="str">
        <f>IFERROR(IF(YES_Writing_ELA[[#This Row],[Literacy IPP]]='Writing Logic'!$E$26,"IPP",IF(OR(AD205="EAL",AE205="EAL",AF205="EAL",AG205="EAL"),"EAL",IF(AD205='Writing Logic'!$A$10,AVERAGE(VLOOKUP(AE205,'Writing Logic'!$A$3:$B$7,2,FALSE),VLOOKUP(AF205,'Writing Logic'!$A$3:$B$7,2,FALSE),VLOOKUP(AG205,'Writing Logic'!$A$3:$B$7,2,FALSE)),AVERAGE(VLOOKUP(AD205,'Writing Logic'!$A$3:$B$7,2,FALSE),VLOOKUP(AE205,'Writing Logic'!$A$3:$B$7,2,FALSE),VLOOKUP(AF205,'Writing Logic'!$A$3:$B$7,2,FALSE),VLOOKUP(AG205,'Writing Logic'!$A$3:$B$7,2,FALSE))))),"Fill All 4")</f>
        <v>Fill All 4</v>
      </c>
      <c r="AI205" s="95" t="str">
        <f t="shared" si="17"/>
        <v/>
      </c>
      <c r="AJ205" s="183"/>
      <c r="AK205" s="120"/>
      <c r="AL205" s="120"/>
      <c r="AM205" s="120"/>
      <c r="AN205" s="95" t="str">
        <f>IFERROR(IF(YES_Writing_ELA[[#This Row],[Literacy IPP]]='Writing Logic'!$E$26,"IPP",IF(OR(AJ205="EAL",AK205="EAL",AL205="EAL",AM205="EAL"),"EAL",IF(AJ205='Writing Logic'!$A$10,AVERAGE(VLOOKUP(AK205,'Writing Logic'!$A$3:$B$7,2,FALSE),VLOOKUP(AL205,'Writing Logic'!$A$3:$B$7,2,FALSE),VLOOKUP(AM205,'Writing Logic'!$A$3:$B$7,2,FALSE)),AVERAGE(VLOOKUP(AJ205,'Writing Logic'!$A$3:$B$7,2,FALSE),VLOOKUP(AK205,'Writing Logic'!$A$3:$B$7,2,FALSE),VLOOKUP(AL205,'Writing Logic'!$A$3:$B$7,2,FALSE),VLOOKUP(AM205,'Writing Logic'!$A$3:$B$7,2,FALSE))))),"Fill All 4")</f>
        <v>Fill All 4</v>
      </c>
      <c r="AO205" s="95" t="str">
        <f t="shared" si="18"/>
        <v/>
      </c>
      <c r="AP205" s="120"/>
      <c r="AQ205" s="120"/>
      <c r="AR205" s="120"/>
      <c r="AS205" s="120"/>
      <c r="AT205" s="95" t="str">
        <f>IFERROR(IF(YES_Writing_ELA[[#This Row],[Literacy IPP]]='Writing Logic'!$E$26,"IPP",IF(OR(AP205="EAL",AQ205="EAL",AR205="EAL",AS205="EAL"),"EAL",IF(AP205='Writing Logic'!$A$10,AVERAGE(VLOOKUP(AQ205,'Writing Logic'!$A$3:$B$7,2,FALSE),VLOOKUP(AR205,'Writing Logic'!$A$3:$B$7,2,FALSE),VLOOKUP(AS205,'Writing Logic'!$A$3:$B$7,2,FALSE)),AVERAGE(VLOOKUP(AP205,'Writing Logic'!$A$3:$B$7,2,FALSE),VLOOKUP(AQ205,'Writing Logic'!$A$3:$B$7,2,FALSE),VLOOKUP(AR205,'Writing Logic'!$A$3:$B$7,2,FALSE),VLOOKUP(AS205,'Writing Logic'!$A$3:$B$7,2,FALSE))))),"Fill All 4")</f>
        <v>Fill All 4</v>
      </c>
      <c r="AU205" s="95" t="str">
        <f t="shared" si="19"/>
        <v/>
      </c>
    </row>
    <row r="206" spans="1:47" x14ac:dyDescent="0.25">
      <c r="A206" s="245"/>
      <c r="B206" s="236"/>
      <c r="C206" s="13"/>
      <c r="D206" s="236"/>
      <c r="E206" s="237"/>
      <c r="F206" s="49"/>
      <c r="G206" s="49"/>
      <c r="H206" s="49"/>
      <c r="I206" s="49"/>
      <c r="J206" s="49"/>
      <c r="K206" s="183"/>
      <c r="L206" s="184"/>
      <c r="M206" s="120"/>
      <c r="N206" s="120"/>
      <c r="O206" s="120"/>
      <c r="P206" s="120"/>
      <c r="Q206" s="95" t="str">
        <f>IFERROR(IF(YES_Writing_ELA[[#This Row],[Literacy IPP]]='Writing Logic'!$E$26,"IPP",IF(OR(M206="EAL",N206="EAL",O206="EAL",P206="EAL"),"EAL",IF(M206='Writing Logic'!$A$10,AVERAGE(VLOOKUP(N206,'Writing Logic'!$A$3:$B$7,2,FALSE),VLOOKUP(O206,'Writing Logic'!$A$3:$B$7,2,FALSE),VLOOKUP(P206,'Writing Logic'!$A$3:$B$7,2,FALSE)),AVERAGE(VLOOKUP(M206,'Writing Logic'!$A$3:$B$7,2,FALSE),VLOOKUP(N206,'Writing Logic'!$A$3:$B$7,2,FALSE),VLOOKUP(O206,'Writing Logic'!$A$3:$B$7,2,FALSE),VLOOKUP(P206,'Writing Logic'!$A$3:$B$7,2,FALSE))))),"Fill All 4")</f>
        <v>Fill All 4</v>
      </c>
      <c r="R206" s="120"/>
      <c r="S206" s="120"/>
      <c r="T206" s="120"/>
      <c r="U206" s="120"/>
      <c r="V206" s="95" t="str">
        <f>IFERROR(IF(YES_Writing_ELA[[#This Row],[Literacy IPP]]='Writing Logic'!$E$26,"IPP",IF(OR(R206="EAL",S206="EAL",T206="EAL",U206="EAL"),"EAL",IF(R206='Writing Logic'!$A$10,AVERAGE(VLOOKUP(S206,'Writing Logic'!$A$3:$B$7,2,FALSE),VLOOKUP(T206,'Writing Logic'!$A$3:$B$7,2,FALSE),VLOOKUP(U206,'Writing Logic'!$A$3:$B$7,2,FALSE)),AVERAGE(VLOOKUP(R206,'Writing Logic'!$A$3:$B$7,2,FALSE),VLOOKUP(S206,'Writing Logic'!$A$3:$B$7,2,FALSE),VLOOKUP(T206,'Writing Logic'!$A$3:$B$7,2,FALSE),VLOOKUP(U206,'Writing Logic'!$A$3:$B$7,2,FALSE))))),"Fill All 4")</f>
        <v>Fill All 4</v>
      </c>
      <c r="W206" s="95" t="str">
        <f t="shared" si="15"/>
        <v/>
      </c>
      <c r="X206" s="120"/>
      <c r="Y206" s="120"/>
      <c r="Z206" s="120"/>
      <c r="AA206" s="120"/>
      <c r="AB206" s="95" t="str">
        <f>IFERROR(IF(YES_Writing_ELA[[#This Row],[Literacy IPP]]='Writing Logic'!$E$26,"IPP",IF(OR(X206="EAL",Y206="EAL",Z206="EAL",AA206="EAL"),"EAL",IF(X206='Writing Logic'!$A$10,AVERAGE(VLOOKUP(Y206,'Writing Logic'!$A$3:$B$7,2,FALSE),VLOOKUP(Z206,'Writing Logic'!$A$3:$B$7,2,FALSE),VLOOKUP(AA206,'Writing Logic'!$A$3:$B$7,2,FALSE)),AVERAGE(VLOOKUP(X206,'Writing Logic'!$A$3:$B$7,2,FALSE),VLOOKUP(Y206,'Writing Logic'!$A$3:$B$7,2,FALSE),VLOOKUP(Z206,'Writing Logic'!$A$3:$B$7,2,FALSE),VLOOKUP(AA206,'Writing Logic'!$A$3:$B$7,2,FALSE))))),"Fill All 4")</f>
        <v>Fill All 4</v>
      </c>
      <c r="AC206" s="95" t="str">
        <f t="shared" si="16"/>
        <v/>
      </c>
      <c r="AD206" s="120"/>
      <c r="AE206" s="120"/>
      <c r="AF206" s="120"/>
      <c r="AG206" s="120"/>
      <c r="AH206" s="95" t="str">
        <f>IFERROR(IF(YES_Writing_ELA[[#This Row],[Literacy IPP]]='Writing Logic'!$E$26,"IPP",IF(OR(AD206="EAL",AE206="EAL",AF206="EAL",AG206="EAL"),"EAL",IF(AD206='Writing Logic'!$A$10,AVERAGE(VLOOKUP(AE206,'Writing Logic'!$A$3:$B$7,2,FALSE),VLOOKUP(AF206,'Writing Logic'!$A$3:$B$7,2,FALSE),VLOOKUP(AG206,'Writing Logic'!$A$3:$B$7,2,FALSE)),AVERAGE(VLOOKUP(AD206,'Writing Logic'!$A$3:$B$7,2,FALSE),VLOOKUP(AE206,'Writing Logic'!$A$3:$B$7,2,FALSE),VLOOKUP(AF206,'Writing Logic'!$A$3:$B$7,2,FALSE),VLOOKUP(AG206,'Writing Logic'!$A$3:$B$7,2,FALSE))))),"Fill All 4")</f>
        <v>Fill All 4</v>
      </c>
      <c r="AI206" s="95" t="str">
        <f t="shared" si="17"/>
        <v/>
      </c>
      <c r="AJ206" s="183"/>
      <c r="AK206" s="120"/>
      <c r="AL206" s="120"/>
      <c r="AM206" s="120"/>
      <c r="AN206" s="95" t="str">
        <f>IFERROR(IF(YES_Writing_ELA[[#This Row],[Literacy IPP]]='Writing Logic'!$E$26,"IPP",IF(OR(AJ206="EAL",AK206="EAL",AL206="EAL",AM206="EAL"),"EAL",IF(AJ206='Writing Logic'!$A$10,AVERAGE(VLOOKUP(AK206,'Writing Logic'!$A$3:$B$7,2,FALSE),VLOOKUP(AL206,'Writing Logic'!$A$3:$B$7,2,FALSE),VLOOKUP(AM206,'Writing Logic'!$A$3:$B$7,2,FALSE)),AVERAGE(VLOOKUP(AJ206,'Writing Logic'!$A$3:$B$7,2,FALSE),VLOOKUP(AK206,'Writing Logic'!$A$3:$B$7,2,FALSE),VLOOKUP(AL206,'Writing Logic'!$A$3:$B$7,2,FALSE),VLOOKUP(AM206,'Writing Logic'!$A$3:$B$7,2,FALSE))))),"Fill All 4")</f>
        <v>Fill All 4</v>
      </c>
      <c r="AO206" s="95" t="str">
        <f t="shared" si="18"/>
        <v/>
      </c>
      <c r="AP206" s="120"/>
      <c r="AQ206" s="120"/>
      <c r="AR206" s="120"/>
      <c r="AS206" s="120"/>
      <c r="AT206" s="95" t="str">
        <f>IFERROR(IF(YES_Writing_ELA[[#This Row],[Literacy IPP]]='Writing Logic'!$E$26,"IPP",IF(OR(AP206="EAL",AQ206="EAL",AR206="EAL",AS206="EAL"),"EAL",IF(AP206='Writing Logic'!$A$10,AVERAGE(VLOOKUP(AQ206,'Writing Logic'!$A$3:$B$7,2,FALSE),VLOOKUP(AR206,'Writing Logic'!$A$3:$B$7,2,FALSE),VLOOKUP(AS206,'Writing Logic'!$A$3:$B$7,2,FALSE)),AVERAGE(VLOOKUP(AP206,'Writing Logic'!$A$3:$B$7,2,FALSE),VLOOKUP(AQ206,'Writing Logic'!$A$3:$B$7,2,FALSE),VLOOKUP(AR206,'Writing Logic'!$A$3:$B$7,2,FALSE),VLOOKUP(AS206,'Writing Logic'!$A$3:$B$7,2,FALSE))))),"Fill All 4")</f>
        <v>Fill All 4</v>
      </c>
      <c r="AU206" s="95" t="str">
        <f t="shared" si="19"/>
        <v/>
      </c>
    </row>
    <row r="207" spans="1:47" x14ac:dyDescent="0.25">
      <c r="A207" s="245"/>
      <c r="B207" s="236"/>
      <c r="C207" s="13"/>
      <c r="D207" s="236"/>
      <c r="E207" s="237"/>
      <c r="F207" s="49"/>
      <c r="G207" s="49"/>
      <c r="H207" s="49"/>
      <c r="I207" s="49"/>
      <c r="J207" s="49"/>
      <c r="K207" s="183"/>
      <c r="L207" s="184"/>
      <c r="M207" s="120"/>
      <c r="N207" s="120"/>
      <c r="O207" s="120"/>
      <c r="P207" s="120"/>
      <c r="Q207" s="95" t="str">
        <f>IFERROR(IF(YES_Writing_ELA[[#This Row],[Literacy IPP]]='Writing Logic'!$E$26,"IPP",IF(OR(M207="EAL",N207="EAL",O207="EAL",P207="EAL"),"EAL",IF(M207='Writing Logic'!$A$10,AVERAGE(VLOOKUP(N207,'Writing Logic'!$A$3:$B$7,2,FALSE),VLOOKUP(O207,'Writing Logic'!$A$3:$B$7,2,FALSE),VLOOKUP(P207,'Writing Logic'!$A$3:$B$7,2,FALSE)),AVERAGE(VLOOKUP(M207,'Writing Logic'!$A$3:$B$7,2,FALSE),VLOOKUP(N207,'Writing Logic'!$A$3:$B$7,2,FALSE),VLOOKUP(O207,'Writing Logic'!$A$3:$B$7,2,FALSE),VLOOKUP(P207,'Writing Logic'!$A$3:$B$7,2,FALSE))))),"Fill All 4")</f>
        <v>Fill All 4</v>
      </c>
      <c r="R207" s="120"/>
      <c r="S207" s="120"/>
      <c r="T207" s="120"/>
      <c r="U207" s="120"/>
      <c r="V207" s="95" t="str">
        <f>IFERROR(IF(YES_Writing_ELA[[#This Row],[Literacy IPP]]='Writing Logic'!$E$26,"IPP",IF(OR(R207="EAL",S207="EAL",T207="EAL",U207="EAL"),"EAL",IF(R207='Writing Logic'!$A$10,AVERAGE(VLOOKUP(S207,'Writing Logic'!$A$3:$B$7,2,FALSE),VLOOKUP(T207,'Writing Logic'!$A$3:$B$7,2,FALSE),VLOOKUP(U207,'Writing Logic'!$A$3:$B$7,2,FALSE)),AVERAGE(VLOOKUP(R207,'Writing Logic'!$A$3:$B$7,2,FALSE),VLOOKUP(S207,'Writing Logic'!$A$3:$B$7,2,FALSE),VLOOKUP(T207,'Writing Logic'!$A$3:$B$7,2,FALSE),VLOOKUP(U207,'Writing Logic'!$A$3:$B$7,2,FALSE))))),"Fill All 4")</f>
        <v>Fill All 4</v>
      </c>
      <c r="W207" s="95" t="str">
        <f t="shared" si="15"/>
        <v/>
      </c>
      <c r="X207" s="120"/>
      <c r="Y207" s="120"/>
      <c r="Z207" s="120"/>
      <c r="AA207" s="120"/>
      <c r="AB207" s="95" t="str">
        <f>IFERROR(IF(YES_Writing_ELA[[#This Row],[Literacy IPP]]='Writing Logic'!$E$26,"IPP",IF(OR(X207="EAL",Y207="EAL",Z207="EAL",AA207="EAL"),"EAL",IF(X207='Writing Logic'!$A$10,AVERAGE(VLOOKUP(Y207,'Writing Logic'!$A$3:$B$7,2,FALSE),VLOOKUP(Z207,'Writing Logic'!$A$3:$B$7,2,FALSE),VLOOKUP(AA207,'Writing Logic'!$A$3:$B$7,2,FALSE)),AVERAGE(VLOOKUP(X207,'Writing Logic'!$A$3:$B$7,2,FALSE),VLOOKUP(Y207,'Writing Logic'!$A$3:$B$7,2,FALSE),VLOOKUP(Z207,'Writing Logic'!$A$3:$B$7,2,FALSE),VLOOKUP(AA207,'Writing Logic'!$A$3:$B$7,2,FALSE))))),"Fill All 4")</f>
        <v>Fill All 4</v>
      </c>
      <c r="AC207" s="95" t="str">
        <f t="shared" si="16"/>
        <v/>
      </c>
      <c r="AD207" s="120"/>
      <c r="AE207" s="120"/>
      <c r="AF207" s="120"/>
      <c r="AG207" s="120"/>
      <c r="AH207" s="95" t="str">
        <f>IFERROR(IF(YES_Writing_ELA[[#This Row],[Literacy IPP]]='Writing Logic'!$E$26,"IPP",IF(OR(AD207="EAL",AE207="EAL",AF207="EAL",AG207="EAL"),"EAL",IF(AD207='Writing Logic'!$A$10,AVERAGE(VLOOKUP(AE207,'Writing Logic'!$A$3:$B$7,2,FALSE),VLOOKUP(AF207,'Writing Logic'!$A$3:$B$7,2,FALSE),VLOOKUP(AG207,'Writing Logic'!$A$3:$B$7,2,FALSE)),AVERAGE(VLOOKUP(AD207,'Writing Logic'!$A$3:$B$7,2,FALSE),VLOOKUP(AE207,'Writing Logic'!$A$3:$B$7,2,FALSE),VLOOKUP(AF207,'Writing Logic'!$A$3:$B$7,2,FALSE),VLOOKUP(AG207,'Writing Logic'!$A$3:$B$7,2,FALSE))))),"Fill All 4")</f>
        <v>Fill All 4</v>
      </c>
      <c r="AI207" s="95" t="str">
        <f t="shared" si="17"/>
        <v/>
      </c>
      <c r="AJ207" s="183"/>
      <c r="AK207" s="120"/>
      <c r="AL207" s="120"/>
      <c r="AM207" s="120"/>
      <c r="AN207" s="95" t="str">
        <f>IFERROR(IF(YES_Writing_ELA[[#This Row],[Literacy IPP]]='Writing Logic'!$E$26,"IPP",IF(OR(AJ207="EAL",AK207="EAL",AL207="EAL",AM207="EAL"),"EAL",IF(AJ207='Writing Logic'!$A$10,AVERAGE(VLOOKUP(AK207,'Writing Logic'!$A$3:$B$7,2,FALSE),VLOOKUP(AL207,'Writing Logic'!$A$3:$B$7,2,FALSE),VLOOKUP(AM207,'Writing Logic'!$A$3:$B$7,2,FALSE)),AVERAGE(VLOOKUP(AJ207,'Writing Logic'!$A$3:$B$7,2,FALSE),VLOOKUP(AK207,'Writing Logic'!$A$3:$B$7,2,FALSE),VLOOKUP(AL207,'Writing Logic'!$A$3:$B$7,2,FALSE),VLOOKUP(AM207,'Writing Logic'!$A$3:$B$7,2,FALSE))))),"Fill All 4")</f>
        <v>Fill All 4</v>
      </c>
      <c r="AO207" s="95" t="str">
        <f t="shared" si="18"/>
        <v/>
      </c>
      <c r="AP207" s="120"/>
      <c r="AQ207" s="120"/>
      <c r="AR207" s="120"/>
      <c r="AS207" s="120"/>
      <c r="AT207" s="95" t="str">
        <f>IFERROR(IF(YES_Writing_ELA[[#This Row],[Literacy IPP]]='Writing Logic'!$E$26,"IPP",IF(OR(AP207="EAL",AQ207="EAL",AR207="EAL",AS207="EAL"),"EAL",IF(AP207='Writing Logic'!$A$10,AVERAGE(VLOOKUP(AQ207,'Writing Logic'!$A$3:$B$7,2,FALSE),VLOOKUP(AR207,'Writing Logic'!$A$3:$B$7,2,FALSE),VLOOKUP(AS207,'Writing Logic'!$A$3:$B$7,2,FALSE)),AVERAGE(VLOOKUP(AP207,'Writing Logic'!$A$3:$B$7,2,FALSE),VLOOKUP(AQ207,'Writing Logic'!$A$3:$B$7,2,FALSE),VLOOKUP(AR207,'Writing Logic'!$A$3:$B$7,2,FALSE),VLOOKUP(AS207,'Writing Logic'!$A$3:$B$7,2,FALSE))))),"Fill All 4")</f>
        <v>Fill All 4</v>
      </c>
      <c r="AU207" s="95" t="str">
        <f t="shared" si="19"/>
        <v/>
      </c>
    </row>
    <row r="208" spans="1:47" x14ac:dyDescent="0.25">
      <c r="A208" s="245"/>
      <c r="B208" s="236"/>
      <c r="C208" s="13"/>
      <c r="D208" s="236"/>
      <c r="E208" s="237"/>
      <c r="F208" s="49"/>
      <c r="G208" s="49"/>
      <c r="H208" s="49"/>
      <c r="I208" s="49"/>
      <c r="J208" s="49"/>
      <c r="K208" s="183"/>
      <c r="L208" s="184"/>
      <c r="M208" s="120"/>
      <c r="N208" s="120"/>
      <c r="O208" s="120"/>
      <c r="P208" s="120"/>
      <c r="Q208" s="95" t="str">
        <f>IFERROR(IF(YES_Writing_ELA[[#This Row],[Literacy IPP]]='Writing Logic'!$E$26,"IPP",IF(OR(M208="EAL",N208="EAL",O208="EAL",P208="EAL"),"EAL",IF(M208='Writing Logic'!$A$10,AVERAGE(VLOOKUP(N208,'Writing Logic'!$A$3:$B$7,2,FALSE),VLOOKUP(O208,'Writing Logic'!$A$3:$B$7,2,FALSE),VLOOKUP(P208,'Writing Logic'!$A$3:$B$7,2,FALSE)),AVERAGE(VLOOKUP(M208,'Writing Logic'!$A$3:$B$7,2,FALSE),VLOOKUP(N208,'Writing Logic'!$A$3:$B$7,2,FALSE),VLOOKUP(O208,'Writing Logic'!$A$3:$B$7,2,FALSE),VLOOKUP(P208,'Writing Logic'!$A$3:$B$7,2,FALSE))))),"Fill All 4")</f>
        <v>Fill All 4</v>
      </c>
      <c r="R208" s="120"/>
      <c r="S208" s="120"/>
      <c r="T208" s="120"/>
      <c r="U208" s="120"/>
      <c r="V208" s="95" t="str">
        <f>IFERROR(IF(YES_Writing_ELA[[#This Row],[Literacy IPP]]='Writing Logic'!$E$26,"IPP",IF(OR(R208="EAL",S208="EAL",T208="EAL",U208="EAL"),"EAL",IF(R208='Writing Logic'!$A$10,AVERAGE(VLOOKUP(S208,'Writing Logic'!$A$3:$B$7,2,FALSE),VLOOKUP(T208,'Writing Logic'!$A$3:$B$7,2,FALSE),VLOOKUP(U208,'Writing Logic'!$A$3:$B$7,2,FALSE)),AVERAGE(VLOOKUP(R208,'Writing Logic'!$A$3:$B$7,2,FALSE),VLOOKUP(S208,'Writing Logic'!$A$3:$B$7,2,FALSE),VLOOKUP(T208,'Writing Logic'!$A$3:$B$7,2,FALSE),VLOOKUP(U208,'Writing Logic'!$A$3:$B$7,2,FALSE))))),"Fill All 4")</f>
        <v>Fill All 4</v>
      </c>
      <c r="W208" s="95" t="str">
        <f t="shared" si="15"/>
        <v/>
      </c>
      <c r="X208" s="120"/>
      <c r="Y208" s="120"/>
      <c r="Z208" s="120"/>
      <c r="AA208" s="120"/>
      <c r="AB208" s="95" t="str">
        <f>IFERROR(IF(YES_Writing_ELA[[#This Row],[Literacy IPP]]='Writing Logic'!$E$26,"IPP",IF(OR(X208="EAL",Y208="EAL",Z208="EAL",AA208="EAL"),"EAL",IF(X208='Writing Logic'!$A$10,AVERAGE(VLOOKUP(Y208,'Writing Logic'!$A$3:$B$7,2,FALSE),VLOOKUP(Z208,'Writing Logic'!$A$3:$B$7,2,FALSE),VLOOKUP(AA208,'Writing Logic'!$A$3:$B$7,2,FALSE)),AVERAGE(VLOOKUP(X208,'Writing Logic'!$A$3:$B$7,2,FALSE),VLOOKUP(Y208,'Writing Logic'!$A$3:$B$7,2,FALSE),VLOOKUP(Z208,'Writing Logic'!$A$3:$B$7,2,FALSE),VLOOKUP(AA208,'Writing Logic'!$A$3:$B$7,2,FALSE))))),"Fill All 4")</f>
        <v>Fill All 4</v>
      </c>
      <c r="AC208" s="95" t="str">
        <f t="shared" si="16"/>
        <v/>
      </c>
      <c r="AD208" s="120"/>
      <c r="AE208" s="120"/>
      <c r="AF208" s="120"/>
      <c r="AG208" s="120"/>
      <c r="AH208" s="95" t="str">
        <f>IFERROR(IF(YES_Writing_ELA[[#This Row],[Literacy IPP]]='Writing Logic'!$E$26,"IPP",IF(OR(AD208="EAL",AE208="EAL",AF208="EAL",AG208="EAL"),"EAL",IF(AD208='Writing Logic'!$A$10,AVERAGE(VLOOKUP(AE208,'Writing Logic'!$A$3:$B$7,2,FALSE),VLOOKUP(AF208,'Writing Logic'!$A$3:$B$7,2,FALSE),VLOOKUP(AG208,'Writing Logic'!$A$3:$B$7,2,FALSE)),AVERAGE(VLOOKUP(AD208,'Writing Logic'!$A$3:$B$7,2,FALSE),VLOOKUP(AE208,'Writing Logic'!$A$3:$B$7,2,FALSE),VLOOKUP(AF208,'Writing Logic'!$A$3:$B$7,2,FALSE),VLOOKUP(AG208,'Writing Logic'!$A$3:$B$7,2,FALSE))))),"Fill All 4")</f>
        <v>Fill All 4</v>
      </c>
      <c r="AI208" s="95" t="str">
        <f t="shared" si="17"/>
        <v/>
      </c>
      <c r="AJ208" s="183"/>
      <c r="AK208" s="120"/>
      <c r="AL208" s="120"/>
      <c r="AM208" s="120"/>
      <c r="AN208" s="95" t="str">
        <f>IFERROR(IF(YES_Writing_ELA[[#This Row],[Literacy IPP]]='Writing Logic'!$E$26,"IPP",IF(OR(AJ208="EAL",AK208="EAL",AL208="EAL",AM208="EAL"),"EAL",IF(AJ208='Writing Logic'!$A$10,AVERAGE(VLOOKUP(AK208,'Writing Logic'!$A$3:$B$7,2,FALSE),VLOOKUP(AL208,'Writing Logic'!$A$3:$B$7,2,FALSE),VLOOKUP(AM208,'Writing Logic'!$A$3:$B$7,2,FALSE)),AVERAGE(VLOOKUP(AJ208,'Writing Logic'!$A$3:$B$7,2,FALSE),VLOOKUP(AK208,'Writing Logic'!$A$3:$B$7,2,FALSE),VLOOKUP(AL208,'Writing Logic'!$A$3:$B$7,2,FALSE),VLOOKUP(AM208,'Writing Logic'!$A$3:$B$7,2,FALSE))))),"Fill All 4")</f>
        <v>Fill All 4</v>
      </c>
      <c r="AO208" s="95" t="str">
        <f t="shared" si="18"/>
        <v/>
      </c>
      <c r="AP208" s="120"/>
      <c r="AQ208" s="120"/>
      <c r="AR208" s="120"/>
      <c r="AS208" s="120"/>
      <c r="AT208" s="95" t="str">
        <f>IFERROR(IF(YES_Writing_ELA[[#This Row],[Literacy IPP]]='Writing Logic'!$E$26,"IPP",IF(OR(AP208="EAL",AQ208="EAL",AR208="EAL",AS208="EAL"),"EAL",IF(AP208='Writing Logic'!$A$10,AVERAGE(VLOOKUP(AQ208,'Writing Logic'!$A$3:$B$7,2,FALSE),VLOOKUP(AR208,'Writing Logic'!$A$3:$B$7,2,FALSE),VLOOKUP(AS208,'Writing Logic'!$A$3:$B$7,2,FALSE)),AVERAGE(VLOOKUP(AP208,'Writing Logic'!$A$3:$B$7,2,FALSE),VLOOKUP(AQ208,'Writing Logic'!$A$3:$B$7,2,FALSE),VLOOKUP(AR208,'Writing Logic'!$A$3:$B$7,2,FALSE),VLOOKUP(AS208,'Writing Logic'!$A$3:$B$7,2,FALSE))))),"Fill All 4")</f>
        <v>Fill All 4</v>
      </c>
      <c r="AU208" s="95" t="str">
        <f t="shared" si="19"/>
        <v/>
      </c>
    </row>
    <row r="209" spans="1:47" x14ac:dyDescent="0.25">
      <c r="A209" s="245"/>
      <c r="B209" s="236"/>
      <c r="C209" s="13"/>
      <c r="D209" s="236"/>
      <c r="E209" s="237"/>
      <c r="F209" s="49"/>
      <c r="G209" s="49"/>
      <c r="H209" s="49"/>
      <c r="I209" s="49"/>
      <c r="J209" s="49"/>
      <c r="K209" s="183"/>
      <c r="L209" s="184"/>
      <c r="M209" s="120"/>
      <c r="N209" s="120"/>
      <c r="O209" s="120"/>
      <c r="P209" s="120"/>
      <c r="Q209" s="95" t="str">
        <f>IFERROR(IF(YES_Writing_ELA[[#This Row],[Literacy IPP]]='Writing Logic'!$E$26,"IPP",IF(OR(M209="EAL",N209="EAL",O209="EAL",P209="EAL"),"EAL",IF(M209='Writing Logic'!$A$10,AVERAGE(VLOOKUP(N209,'Writing Logic'!$A$3:$B$7,2,FALSE),VLOOKUP(O209,'Writing Logic'!$A$3:$B$7,2,FALSE),VLOOKUP(P209,'Writing Logic'!$A$3:$B$7,2,FALSE)),AVERAGE(VLOOKUP(M209,'Writing Logic'!$A$3:$B$7,2,FALSE),VLOOKUP(N209,'Writing Logic'!$A$3:$B$7,2,FALSE),VLOOKUP(O209,'Writing Logic'!$A$3:$B$7,2,FALSE),VLOOKUP(P209,'Writing Logic'!$A$3:$B$7,2,FALSE))))),"Fill All 4")</f>
        <v>Fill All 4</v>
      </c>
      <c r="R209" s="120"/>
      <c r="S209" s="120"/>
      <c r="T209" s="120"/>
      <c r="U209" s="120"/>
      <c r="V209" s="95" t="str">
        <f>IFERROR(IF(YES_Writing_ELA[[#This Row],[Literacy IPP]]='Writing Logic'!$E$26,"IPP",IF(OR(R209="EAL",S209="EAL",T209="EAL",U209="EAL"),"EAL",IF(R209='Writing Logic'!$A$10,AVERAGE(VLOOKUP(S209,'Writing Logic'!$A$3:$B$7,2,FALSE),VLOOKUP(T209,'Writing Logic'!$A$3:$B$7,2,FALSE),VLOOKUP(U209,'Writing Logic'!$A$3:$B$7,2,FALSE)),AVERAGE(VLOOKUP(R209,'Writing Logic'!$A$3:$B$7,2,FALSE),VLOOKUP(S209,'Writing Logic'!$A$3:$B$7,2,FALSE),VLOOKUP(T209,'Writing Logic'!$A$3:$B$7,2,FALSE),VLOOKUP(U209,'Writing Logic'!$A$3:$B$7,2,FALSE))))),"Fill All 4")</f>
        <v>Fill All 4</v>
      </c>
      <c r="W209" s="95" t="str">
        <f t="shared" si="15"/>
        <v/>
      </c>
      <c r="X209" s="120"/>
      <c r="Y209" s="120"/>
      <c r="Z209" s="120"/>
      <c r="AA209" s="120"/>
      <c r="AB209" s="95" t="str">
        <f>IFERROR(IF(YES_Writing_ELA[[#This Row],[Literacy IPP]]='Writing Logic'!$E$26,"IPP",IF(OR(X209="EAL",Y209="EAL",Z209="EAL",AA209="EAL"),"EAL",IF(X209='Writing Logic'!$A$10,AVERAGE(VLOOKUP(Y209,'Writing Logic'!$A$3:$B$7,2,FALSE),VLOOKUP(Z209,'Writing Logic'!$A$3:$B$7,2,FALSE),VLOOKUP(AA209,'Writing Logic'!$A$3:$B$7,2,FALSE)),AVERAGE(VLOOKUP(X209,'Writing Logic'!$A$3:$B$7,2,FALSE),VLOOKUP(Y209,'Writing Logic'!$A$3:$B$7,2,FALSE),VLOOKUP(Z209,'Writing Logic'!$A$3:$B$7,2,FALSE),VLOOKUP(AA209,'Writing Logic'!$A$3:$B$7,2,FALSE))))),"Fill All 4")</f>
        <v>Fill All 4</v>
      </c>
      <c r="AC209" s="95" t="str">
        <f t="shared" si="16"/>
        <v/>
      </c>
      <c r="AD209" s="120"/>
      <c r="AE209" s="120"/>
      <c r="AF209" s="120"/>
      <c r="AG209" s="120"/>
      <c r="AH209" s="95" t="str">
        <f>IFERROR(IF(YES_Writing_ELA[[#This Row],[Literacy IPP]]='Writing Logic'!$E$26,"IPP",IF(OR(AD209="EAL",AE209="EAL",AF209="EAL",AG209="EAL"),"EAL",IF(AD209='Writing Logic'!$A$10,AVERAGE(VLOOKUP(AE209,'Writing Logic'!$A$3:$B$7,2,FALSE),VLOOKUP(AF209,'Writing Logic'!$A$3:$B$7,2,FALSE),VLOOKUP(AG209,'Writing Logic'!$A$3:$B$7,2,FALSE)),AVERAGE(VLOOKUP(AD209,'Writing Logic'!$A$3:$B$7,2,FALSE),VLOOKUP(AE209,'Writing Logic'!$A$3:$B$7,2,FALSE),VLOOKUP(AF209,'Writing Logic'!$A$3:$B$7,2,FALSE),VLOOKUP(AG209,'Writing Logic'!$A$3:$B$7,2,FALSE))))),"Fill All 4")</f>
        <v>Fill All 4</v>
      </c>
      <c r="AI209" s="95" t="str">
        <f t="shared" si="17"/>
        <v/>
      </c>
      <c r="AJ209" s="183"/>
      <c r="AK209" s="120"/>
      <c r="AL209" s="120"/>
      <c r="AM209" s="120"/>
      <c r="AN209" s="95" t="str">
        <f>IFERROR(IF(YES_Writing_ELA[[#This Row],[Literacy IPP]]='Writing Logic'!$E$26,"IPP",IF(OR(AJ209="EAL",AK209="EAL",AL209="EAL",AM209="EAL"),"EAL",IF(AJ209='Writing Logic'!$A$10,AVERAGE(VLOOKUP(AK209,'Writing Logic'!$A$3:$B$7,2,FALSE),VLOOKUP(AL209,'Writing Logic'!$A$3:$B$7,2,FALSE),VLOOKUP(AM209,'Writing Logic'!$A$3:$B$7,2,FALSE)),AVERAGE(VLOOKUP(AJ209,'Writing Logic'!$A$3:$B$7,2,FALSE),VLOOKUP(AK209,'Writing Logic'!$A$3:$B$7,2,FALSE),VLOOKUP(AL209,'Writing Logic'!$A$3:$B$7,2,FALSE),VLOOKUP(AM209,'Writing Logic'!$A$3:$B$7,2,FALSE))))),"Fill All 4")</f>
        <v>Fill All 4</v>
      </c>
      <c r="AO209" s="95" t="str">
        <f t="shared" si="18"/>
        <v/>
      </c>
      <c r="AP209" s="120"/>
      <c r="AQ209" s="120"/>
      <c r="AR209" s="120"/>
      <c r="AS209" s="120"/>
      <c r="AT209" s="95" t="str">
        <f>IFERROR(IF(YES_Writing_ELA[[#This Row],[Literacy IPP]]='Writing Logic'!$E$26,"IPP",IF(OR(AP209="EAL",AQ209="EAL",AR209="EAL",AS209="EAL"),"EAL",IF(AP209='Writing Logic'!$A$10,AVERAGE(VLOOKUP(AQ209,'Writing Logic'!$A$3:$B$7,2,FALSE),VLOOKUP(AR209,'Writing Logic'!$A$3:$B$7,2,FALSE),VLOOKUP(AS209,'Writing Logic'!$A$3:$B$7,2,FALSE)),AVERAGE(VLOOKUP(AP209,'Writing Logic'!$A$3:$B$7,2,FALSE),VLOOKUP(AQ209,'Writing Logic'!$A$3:$B$7,2,FALSE),VLOOKUP(AR209,'Writing Logic'!$A$3:$B$7,2,FALSE),VLOOKUP(AS209,'Writing Logic'!$A$3:$B$7,2,FALSE))))),"Fill All 4")</f>
        <v>Fill All 4</v>
      </c>
      <c r="AU209" s="95" t="str">
        <f t="shared" si="19"/>
        <v/>
      </c>
    </row>
    <row r="210" spans="1:47" x14ac:dyDescent="0.25">
      <c r="A210" s="245"/>
      <c r="B210" s="236"/>
      <c r="C210" s="13"/>
      <c r="D210" s="236"/>
      <c r="E210" s="237"/>
      <c r="F210" s="49"/>
      <c r="G210" s="49"/>
      <c r="H210" s="49"/>
      <c r="I210" s="49"/>
      <c r="J210" s="49"/>
      <c r="K210" s="183"/>
      <c r="L210" s="184"/>
      <c r="M210" s="120"/>
      <c r="N210" s="120"/>
      <c r="O210" s="120"/>
      <c r="P210" s="120"/>
      <c r="Q210" s="95" t="str">
        <f>IFERROR(IF(YES_Writing_ELA[[#This Row],[Literacy IPP]]='Writing Logic'!$E$26,"IPP",IF(OR(M210="EAL",N210="EAL",O210="EAL",P210="EAL"),"EAL",IF(M210='Writing Logic'!$A$10,AVERAGE(VLOOKUP(N210,'Writing Logic'!$A$3:$B$7,2,FALSE),VLOOKUP(O210,'Writing Logic'!$A$3:$B$7,2,FALSE),VLOOKUP(P210,'Writing Logic'!$A$3:$B$7,2,FALSE)),AVERAGE(VLOOKUP(M210,'Writing Logic'!$A$3:$B$7,2,FALSE),VLOOKUP(N210,'Writing Logic'!$A$3:$B$7,2,FALSE),VLOOKUP(O210,'Writing Logic'!$A$3:$B$7,2,FALSE),VLOOKUP(P210,'Writing Logic'!$A$3:$B$7,2,FALSE))))),"Fill All 4")</f>
        <v>Fill All 4</v>
      </c>
      <c r="R210" s="120"/>
      <c r="S210" s="120"/>
      <c r="T210" s="120"/>
      <c r="U210" s="120"/>
      <c r="V210" s="95" t="str">
        <f>IFERROR(IF(YES_Writing_ELA[[#This Row],[Literacy IPP]]='Writing Logic'!$E$26,"IPP",IF(OR(R210="EAL",S210="EAL",T210="EAL",U210="EAL"),"EAL",IF(R210='Writing Logic'!$A$10,AVERAGE(VLOOKUP(S210,'Writing Logic'!$A$3:$B$7,2,FALSE),VLOOKUP(T210,'Writing Logic'!$A$3:$B$7,2,FALSE),VLOOKUP(U210,'Writing Logic'!$A$3:$B$7,2,FALSE)),AVERAGE(VLOOKUP(R210,'Writing Logic'!$A$3:$B$7,2,FALSE),VLOOKUP(S210,'Writing Logic'!$A$3:$B$7,2,FALSE),VLOOKUP(T210,'Writing Logic'!$A$3:$B$7,2,FALSE),VLOOKUP(U210,'Writing Logic'!$A$3:$B$7,2,FALSE))))),"Fill All 4")</f>
        <v>Fill All 4</v>
      </c>
      <c r="W210" s="95" t="str">
        <f t="shared" si="15"/>
        <v/>
      </c>
      <c r="X210" s="120"/>
      <c r="Y210" s="120"/>
      <c r="Z210" s="120"/>
      <c r="AA210" s="120"/>
      <c r="AB210" s="95" t="str">
        <f>IFERROR(IF(YES_Writing_ELA[[#This Row],[Literacy IPP]]='Writing Logic'!$E$26,"IPP",IF(OR(X210="EAL",Y210="EAL",Z210="EAL",AA210="EAL"),"EAL",IF(X210='Writing Logic'!$A$10,AVERAGE(VLOOKUP(Y210,'Writing Logic'!$A$3:$B$7,2,FALSE),VLOOKUP(Z210,'Writing Logic'!$A$3:$B$7,2,FALSE),VLOOKUP(AA210,'Writing Logic'!$A$3:$B$7,2,FALSE)),AVERAGE(VLOOKUP(X210,'Writing Logic'!$A$3:$B$7,2,FALSE),VLOOKUP(Y210,'Writing Logic'!$A$3:$B$7,2,FALSE),VLOOKUP(Z210,'Writing Logic'!$A$3:$B$7,2,FALSE),VLOOKUP(AA210,'Writing Logic'!$A$3:$B$7,2,FALSE))))),"Fill All 4")</f>
        <v>Fill All 4</v>
      </c>
      <c r="AC210" s="95" t="str">
        <f t="shared" si="16"/>
        <v/>
      </c>
      <c r="AD210" s="120"/>
      <c r="AE210" s="120"/>
      <c r="AF210" s="120"/>
      <c r="AG210" s="120"/>
      <c r="AH210" s="95" t="str">
        <f>IFERROR(IF(YES_Writing_ELA[[#This Row],[Literacy IPP]]='Writing Logic'!$E$26,"IPP",IF(OR(AD210="EAL",AE210="EAL",AF210="EAL",AG210="EAL"),"EAL",IF(AD210='Writing Logic'!$A$10,AVERAGE(VLOOKUP(AE210,'Writing Logic'!$A$3:$B$7,2,FALSE),VLOOKUP(AF210,'Writing Logic'!$A$3:$B$7,2,FALSE),VLOOKUP(AG210,'Writing Logic'!$A$3:$B$7,2,FALSE)),AVERAGE(VLOOKUP(AD210,'Writing Logic'!$A$3:$B$7,2,FALSE),VLOOKUP(AE210,'Writing Logic'!$A$3:$B$7,2,FALSE),VLOOKUP(AF210,'Writing Logic'!$A$3:$B$7,2,FALSE),VLOOKUP(AG210,'Writing Logic'!$A$3:$B$7,2,FALSE))))),"Fill All 4")</f>
        <v>Fill All 4</v>
      </c>
      <c r="AI210" s="95" t="str">
        <f t="shared" si="17"/>
        <v/>
      </c>
      <c r="AJ210" s="183"/>
      <c r="AK210" s="120"/>
      <c r="AL210" s="120"/>
      <c r="AM210" s="120"/>
      <c r="AN210" s="95" t="str">
        <f>IFERROR(IF(YES_Writing_ELA[[#This Row],[Literacy IPP]]='Writing Logic'!$E$26,"IPP",IF(OR(AJ210="EAL",AK210="EAL",AL210="EAL",AM210="EAL"),"EAL",IF(AJ210='Writing Logic'!$A$10,AVERAGE(VLOOKUP(AK210,'Writing Logic'!$A$3:$B$7,2,FALSE),VLOOKUP(AL210,'Writing Logic'!$A$3:$B$7,2,FALSE),VLOOKUP(AM210,'Writing Logic'!$A$3:$B$7,2,FALSE)),AVERAGE(VLOOKUP(AJ210,'Writing Logic'!$A$3:$B$7,2,FALSE),VLOOKUP(AK210,'Writing Logic'!$A$3:$B$7,2,FALSE),VLOOKUP(AL210,'Writing Logic'!$A$3:$B$7,2,FALSE),VLOOKUP(AM210,'Writing Logic'!$A$3:$B$7,2,FALSE))))),"Fill All 4")</f>
        <v>Fill All 4</v>
      </c>
      <c r="AO210" s="95" t="str">
        <f t="shared" si="18"/>
        <v/>
      </c>
      <c r="AP210" s="120"/>
      <c r="AQ210" s="120"/>
      <c r="AR210" s="120"/>
      <c r="AS210" s="120"/>
      <c r="AT210" s="95" t="str">
        <f>IFERROR(IF(YES_Writing_ELA[[#This Row],[Literacy IPP]]='Writing Logic'!$E$26,"IPP",IF(OR(AP210="EAL",AQ210="EAL",AR210="EAL",AS210="EAL"),"EAL",IF(AP210='Writing Logic'!$A$10,AVERAGE(VLOOKUP(AQ210,'Writing Logic'!$A$3:$B$7,2,FALSE),VLOOKUP(AR210,'Writing Logic'!$A$3:$B$7,2,FALSE),VLOOKUP(AS210,'Writing Logic'!$A$3:$B$7,2,FALSE)),AVERAGE(VLOOKUP(AP210,'Writing Logic'!$A$3:$B$7,2,FALSE),VLOOKUP(AQ210,'Writing Logic'!$A$3:$B$7,2,FALSE),VLOOKUP(AR210,'Writing Logic'!$A$3:$B$7,2,FALSE),VLOOKUP(AS210,'Writing Logic'!$A$3:$B$7,2,FALSE))))),"Fill All 4")</f>
        <v>Fill All 4</v>
      </c>
      <c r="AU210" s="95" t="str">
        <f t="shared" si="19"/>
        <v/>
      </c>
    </row>
    <row r="211" spans="1:47" x14ac:dyDescent="0.25">
      <c r="A211" s="245"/>
      <c r="B211" s="236"/>
      <c r="C211" s="13"/>
      <c r="D211" s="236"/>
      <c r="E211" s="237"/>
      <c r="F211" s="49"/>
      <c r="G211" s="49"/>
      <c r="H211" s="49"/>
      <c r="I211" s="49"/>
      <c r="J211" s="49"/>
      <c r="K211" s="183"/>
      <c r="L211" s="184"/>
      <c r="M211" s="120"/>
      <c r="N211" s="120"/>
      <c r="O211" s="120"/>
      <c r="P211" s="120"/>
      <c r="Q211" s="95" t="str">
        <f>IFERROR(IF(YES_Writing_ELA[[#This Row],[Literacy IPP]]='Writing Logic'!$E$26,"IPP",IF(OR(M211="EAL",N211="EAL",O211="EAL",P211="EAL"),"EAL",IF(M211='Writing Logic'!$A$10,AVERAGE(VLOOKUP(N211,'Writing Logic'!$A$3:$B$7,2,FALSE),VLOOKUP(O211,'Writing Logic'!$A$3:$B$7,2,FALSE),VLOOKUP(P211,'Writing Logic'!$A$3:$B$7,2,FALSE)),AVERAGE(VLOOKUP(M211,'Writing Logic'!$A$3:$B$7,2,FALSE),VLOOKUP(N211,'Writing Logic'!$A$3:$B$7,2,FALSE),VLOOKUP(O211,'Writing Logic'!$A$3:$B$7,2,FALSE),VLOOKUP(P211,'Writing Logic'!$A$3:$B$7,2,FALSE))))),"Fill All 4")</f>
        <v>Fill All 4</v>
      </c>
      <c r="R211" s="120"/>
      <c r="S211" s="120"/>
      <c r="T211" s="120"/>
      <c r="U211" s="120"/>
      <c r="V211" s="95" t="str">
        <f>IFERROR(IF(YES_Writing_ELA[[#This Row],[Literacy IPP]]='Writing Logic'!$E$26,"IPP",IF(OR(R211="EAL",S211="EAL",T211="EAL",U211="EAL"),"EAL",IF(R211='Writing Logic'!$A$10,AVERAGE(VLOOKUP(S211,'Writing Logic'!$A$3:$B$7,2,FALSE),VLOOKUP(T211,'Writing Logic'!$A$3:$B$7,2,FALSE),VLOOKUP(U211,'Writing Logic'!$A$3:$B$7,2,FALSE)),AVERAGE(VLOOKUP(R211,'Writing Logic'!$A$3:$B$7,2,FALSE),VLOOKUP(S211,'Writing Logic'!$A$3:$B$7,2,FALSE),VLOOKUP(T211,'Writing Logic'!$A$3:$B$7,2,FALSE),VLOOKUP(U211,'Writing Logic'!$A$3:$B$7,2,FALSE))))),"Fill All 4")</f>
        <v>Fill All 4</v>
      </c>
      <c r="W211" s="95" t="str">
        <f t="shared" si="15"/>
        <v/>
      </c>
      <c r="X211" s="120"/>
      <c r="Y211" s="120"/>
      <c r="Z211" s="120"/>
      <c r="AA211" s="120"/>
      <c r="AB211" s="95" t="str">
        <f>IFERROR(IF(YES_Writing_ELA[[#This Row],[Literacy IPP]]='Writing Logic'!$E$26,"IPP",IF(OR(X211="EAL",Y211="EAL",Z211="EAL",AA211="EAL"),"EAL",IF(X211='Writing Logic'!$A$10,AVERAGE(VLOOKUP(Y211,'Writing Logic'!$A$3:$B$7,2,FALSE),VLOOKUP(Z211,'Writing Logic'!$A$3:$B$7,2,FALSE),VLOOKUP(AA211,'Writing Logic'!$A$3:$B$7,2,FALSE)),AVERAGE(VLOOKUP(X211,'Writing Logic'!$A$3:$B$7,2,FALSE),VLOOKUP(Y211,'Writing Logic'!$A$3:$B$7,2,FALSE),VLOOKUP(Z211,'Writing Logic'!$A$3:$B$7,2,FALSE),VLOOKUP(AA211,'Writing Logic'!$A$3:$B$7,2,FALSE))))),"Fill All 4")</f>
        <v>Fill All 4</v>
      </c>
      <c r="AC211" s="95" t="str">
        <f t="shared" si="16"/>
        <v/>
      </c>
      <c r="AD211" s="120"/>
      <c r="AE211" s="120"/>
      <c r="AF211" s="120"/>
      <c r="AG211" s="120"/>
      <c r="AH211" s="95" t="str">
        <f>IFERROR(IF(YES_Writing_ELA[[#This Row],[Literacy IPP]]='Writing Logic'!$E$26,"IPP",IF(OR(AD211="EAL",AE211="EAL",AF211="EAL",AG211="EAL"),"EAL",IF(AD211='Writing Logic'!$A$10,AVERAGE(VLOOKUP(AE211,'Writing Logic'!$A$3:$B$7,2,FALSE),VLOOKUP(AF211,'Writing Logic'!$A$3:$B$7,2,FALSE),VLOOKUP(AG211,'Writing Logic'!$A$3:$B$7,2,FALSE)),AVERAGE(VLOOKUP(AD211,'Writing Logic'!$A$3:$B$7,2,FALSE),VLOOKUP(AE211,'Writing Logic'!$A$3:$B$7,2,FALSE),VLOOKUP(AF211,'Writing Logic'!$A$3:$B$7,2,FALSE),VLOOKUP(AG211,'Writing Logic'!$A$3:$B$7,2,FALSE))))),"Fill All 4")</f>
        <v>Fill All 4</v>
      </c>
      <c r="AI211" s="95" t="str">
        <f t="shared" si="17"/>
        <v/>
      </c>
      <c r="AJ211" s="183"/>
      <c r="AK211" s="120"/>
      <c r="AL211" s="120"/>
      <c r="AM211" s="120"/>
      <c r="AN211" s="95" t="str">
        <f>IFERROR(IF(YES_Writing_ELA[[#This Row],[Literacy IPP]]='Writing Logic'!$E$26,"IPP",IF(OR(AJ211="EAL",AK211="EAL",AL211="EAL",AM211="EAL"),"EAL",IF(AJ211='Writing Logic'!$A$10,AVERAGE(VLOOKUP(AK211,'Writing Logic'!$A$3:$B$7,2,FALSE),VLOOKUP(AL211,'Writing Logic'!$A$3:$B$7,2,FALSE),VLOOKUP(AM211,'Writing Logic'!$A$3:$B$7,2,FALSE)),AVERAGE(VLOOKUP(AJ211,'Writing Logic'!$A$3:$B$7,2,FALSE),VLOOKUP(AK211,'Writing Logic'!$A$3:$B$7,2,FALSE),VLOOKUP(AL211,'Writing Logic'!$A$3:$B$7,2,FALSE),VLOOKUP(AM211,'Writing Logic'!$A$3:$B$7,2,FALSE))))),"Fill All 4")</f>
        <v>Fill All 4</v>
      </c>
      <c r="AO211" s="95" t="str">
        <f t="shared" si="18"/>
        <v/>
      </c>
      <c r="AP211" s="120"/>
      <c r="AQ211" s="120"/>
      <c r="AR211" s="120"/>
      <c r="AS211" s="120"/>
      <c r="AT211" s="95" t="str">
        <f>IFERROR(IF(YES_Writing_ELA[[#This Row],[Literacy IPP]]='Writing Logic'!$E$26,"IPP",IF(OR(AP211="EAL",AQ211="EAL",AR211="EAL",AS211="EAL"),"EAL",IF(AP211='Writing Logic'!$A$10,AVERAGE(VLOOKUP(AQ211,'Writing Logic'!$A$3:$B$7,2,FALSE),VLOOKUP(AR211,'Writing Logic'!$A$3:$B$7,2,FALSE),VLOOKUP(AS211,'Writing Logic'!$A$3:$B$7,2,FALSE)),AVERAGE(VLOOKUP(AP211,'Writing Logic'!$A$3:$B$7,2,FALSE),VLOOKUP(AQ211,'Writing Logic'!$A$3:$B$7,2,FALSE),VLOOKUP(AR211,'Writing Logic'!$A$3:$B$7,2,FALSE),VLOOKUP(AS211,'Writing Logic'!$A$3:$B$7,2,FALSE))))),"Fill All 4")</f>
        <v>Fill All 4</v>
      </c>
      <c r="AU211" s="95" t="str">
        <f t="shared" si="19"/>
        <v/>
      </c>
    </row>
    <row r="212" spans="1:47" x14ac:dyDescent="0.25">
      <c r="A212" s="245"/>
      <c r="B212" s="236"/>
      <c r="C212" s="13"/>
      <c r="D212" s="236"/>
      <c r="E212" s="237"/>
      <c r="F212" s="49"/>
      <c r="G212" s="49"/>
      <c r="H212" s="49"/>
      <c r="I212" s="49"/>
      <c r="J212" s="49"/>
      <c r="K212" s="183"/>
      <c r="L212" s="184"/>
      <c r="M212" s="120"/>
      <c r="N212" s="120"/>
      <c r="O212" s="120"/>
      <c r="P212" s="120"/>
      <c r="Q212" s="95" t="str">
        <f>IFERROR(IF(YES_Writing_ELA[[#This Row],[Literacy IPP]]='Writing Logic'!$E$26,"IPP",IF(OR(M212="EAL",N212="EAL",O212="EAL",P212="EAL"),"EAL",IF(M212='Writing Logic'!$A$10,AVERAGE(VLOOKUP(N212,'Writing Logic'!$A$3:$B$7,2,FALSE),VLOOKUP(O212,'Writing Logic'!$A$3:$B$7,2,FALSE),VLOOKUP(P212,'Writing Logic'!$A$3:$B$7,2,FALSE)),AVERAGE(VLOOKUP(M212,'Writing Logic'!$A$3:$B$7,2,FALSE),VLOOKUP(N212,'Writing Logic'!$A$3:$B$7,2,FALSE),VLOOKUP(O212,'Writing Logic'!$A$3:$B$7,2,FALSE),VLOOKUP(P212,'Writing Logic'!$A$3:$B$7,2,FALSE))))),"Fill All 4")</f>
        <v>Fill All 4</v>
      </c>
      <c r="R212" s="120"/>
      <c r="S212" s="120"/>
      <c r="T212" s="120"/>
      <c r="U212" s="120"/>
      <c r="V212" s="95" t="str">
        <f>IFERROR(IF(YES_Writing_ELA[[#This Row],[Literacy IPP]]='Writing Logic'!$E$26,"IPP",IF(OR(R212="EAL",S212="EAL",T212="EAL",U212="EAL"),"EAL",IF(R212='Writing Logic'!$A$10,AVERAGE(VLOOKUP(S212,'Writing Logic'!$A$3:$B$7,2,FALSE),VLOOKUP(T212,'Writing Logic'!$A$3:$B$7,2,FALSE),VLOOKUP(U212,'Writing Logic'!$A$3:$B$7,2,FALSE)),AVERAGE(VLOOKUP(R212,'Writing Logic'!$A$3:$B$7,2,FALSE),VLOOKUP(S212,'Writing Logic'!$A$3:$B$7,2,FALSE),VLOOKUP(T212,'Writing Logic'!$A$3:$B$7,2,FALSE),VLOOKUP(U212,'Writing Logic'!$A$3:$B$7,2,FALSE))))),"Fill All 4")</f>
        <v>Fill All 4</v>
      </c>
      <c r="W212" s="95" t="str">
        <f t="shared" si="15"/>
        <v/>
      </c>
      <c r="X212" s="120"/>
      <c r="Y212" s="120"/>
      <c r="Z212" s="120"/>
      <c r="AA212" s="120"/>
      <c r="AB212" s="95" t="str">
        <f>IFERROR(IF(YES_Writing_ELA[[#This Row],[Literacy IPP]]='Writing Logic'!$E$26,"IPP",IF(OR(X212="EAL",Y212="EAL",Z212="EAL",AA212="EAL"),"EAL",IF(X212='Writing Logic'!$A$10,AVERAGE(VLOOKUP(Y212,'Writing Logic'!$A$3:$B$7,2,FALSE),VLOOKUP(Z212,'Writing Logic'!$A$3:$B$7,2,FALSE),VLOOKUP(AA212,'Writing Logic'!$A$3:$B$7,2,FALSE)),AVERAGE(VLOOKUP(X212,'Writing Logic'!$A$3:$B$7,2,FALSE),VLOOKUP(Y212,'Writing Logic'!$A$3:$B$7,2,FALSE),VLOOKUP(Z212,'Writing Logic'!$A$3:$B$7,2,FALSE),VLOOKUP(AA212,'Writing Logic'!$A$3:$B$7,2,FALSE))))),"Fill All 4")</f>
        <v>Fill All 4</v>
      </c>
      <c r="AC212" s="95" t="str">
        <f t="shared" si="16"/>
        <v/>
      </c>
      <c r="AD212" s="120"/>
      <c r="AE212" s="120"/>
      <c r="AF212" s="120"/>
      <c r="AG212" s="120"/>
      <c r="AH212" s="95" t="str">
        <f>IFERROR(IF(YES_Writing_ELA[[#This Row],[Literacy IPP]]='Writing Logic'!$E$26,"IPP",IF(OR(AD212="EAL",AE212="EAL",AF212="EAL",AG212="EAL"),"EAL",IF(AD212='Writing Logic'!$A$10,AVERAGE(VLOOKUP(AE212,'Writing Logic'!$A$3:$B$7,2,FALSE),VLOOKUP(AF212,'Writing Logic'!$A$3:$B$7,2,FALSE),VLOOKUP(AG212,'Writing Logic'!$A$3:$B$7,2,FALSE)),AVERAGE(VLOOKUP(AD212,'Writing Logic'!$A$3:$B$7,2,FALSE),VLOOKUP(AE212,'Writing Logic'!$A$3:$B$7,2,FALSE),VLOOKUP(AF212,'Writing Logic'!$A$3:$B$7,2,FALSE),VLOOKUP(AG212,'Writing Logic'!$A$3:$B$7,2,FALSE))))),"Fill All 4")</f>
        <v>Fill All 4</v>
      </c>
      <c r="AI212" s="95" t="str">
        <f t="shared" si="17"/>
        <v/>
      </c>
      <c r="AJ212" s="183"/>
      <c r="AK212" s="120"/>
      <c r="AL212" s="120"/>
      <c r="AM212" s="120"/>
      <c r="AN212" s="95" t="str">
        <f>IFERROR(IF(YES_Writing_ELA[[#This Row],[Literacy IPP]]='Writing Logic'!$E$26,"IPP",IF(OR(AJ212="EAL",AK212="EAL",AL212="EAL",AM212="EAL"),"EAL",IF(AJ212='Writing Logic'!$A$10,AVERAGE(VLOOKUP(AK212,'Writing Logic'!$A$3:$B$7,2,FALSE),VLOOKUP(AL212,'Writing Logic'!$A$3:$B$7,2,FALSE),VLOOKUP(AM212,'Writing Logic'!$A$3:$B$7,2,FALSE)),AVERAGE(VLOOKUP(AJ212,'Writing Logic'!$A$3:$B$7,2,FALSE),VLOOKUP(AK212,'Writing Logic'!$A$3:$B$7,2,FALSE),VLOOKUP(AL212,'Writing Logic'!$A$3:$B$7,2,FALSE),VLOOKUP(AM212,'Writing Logic'!$A$3:$B$7,2,FALSE))))),"Fill All 4")</f>
        <v>Fill All 4</v>
      </c>
      <c r="AO212" s="95" t="str">
        <f t="shared" si="18"/>
        <v/>
      </c>
      <c r="AP212" s="120"/>
      <c r="AQ212" s="120"/>
      <c r="AR212" s="120"/>
      <c r="AS212" s="120"/>
      <c r="AT212" s="95" t="str">
        <f>IFERROR(IF(YES_Writing_ELA[[#This Row],[Literacy IPP]]='Writing Logic'!$E$26,"IPP",IF(OR(AP212="EAL",AQ212="EAL",AR212="EAL",AS212="EAL"),"EAL",IF(AP212='Writing Logic'!$A$10,AVERAGE(VLOOKUP(AQ212,'Writing Logic'!$A$3:$B$7,2,FALSE),VLOOKUP(AR212,'Writing Logic'!$A$3:$B$7,2,FALSE),VLOOKUP(AS212,'Writing Logic'!$A$3:$B$7,2,FALSE)),AVERAGE(VLOOKUP(AP212,'Writing Logic'!$A$3:$B$7,2,FALSE),VLOOKUP(AQ212,'Writing Logic'!$A$3:$B$7,2,FALSE),VLOOKUP(AR212,'Writing Logic'!$A$3:$B$7,2,FALSE),VLOOKUP(AS212,'Writing Logic'!$A$3:$B$7,2,FALSE))))),"Fill All 4")</f>
        <v>Fill All 4</v>
      </c>
      <c r="AU212" s="95" t="str">
        <f t="shared" si="19"/>
        <v/>
      </c>
    </row>
    <row r="213" spans="1:47" x14ac:dyDescent="0.25">
      <c r="A213" s="13"/>
      <c r="B213" s="13"/>
      <c r="C213" s="13"/>
      <c r="D213" s="13"/>
      <c r="E213" s="13"/>
      <c r="F213" s="13"/>
      <c r="G213" s="13"/>
      <c r="H213" s="13"/>
      <c r="I213" s="13"/>
      <c r="J213" s="13"/>
      <c r="K213" s="183"/>
      <c r="L213" s="184"/>
      <c r="M213" s="120"/>
      <c r="N213" s="120"/>
      <c r="O213" s="120"/>
      <c r="P213" s="120"/>
      <c r="Q213" s="95">
        <v>1</v>
      </c>
      <c r="R213" s="120"/>
      <c r="S213" s="120"/>
      <c r="T213" s="120"/>
      <c r="U213" s="120"/>
      <c r="V213" s="95" t="str">
        <f>IFERROR(IF(YES_Writing_ELA[[#This Row],[Literacy IPP]]='Writing Logic'!$E$26,"IPP",IF(OR(R213="EAL",S213="EAL",T213="EAL",U213="EAL"),"EAL",IF(R213='Writing Logic'!$A$10,AVERAGE(VLOOKUP(S213,'Writing Logic'!$A$3:$B$7,2,FALSE),VLOOKUP(T213,'Writing Logic'!$A$3:$B$7,2,FALSE),VLOOKUP(U213,'Writing Logic'!$A$3:$B$7,2,FALSE)),AVERAGE(VLOOKUP(R213,'Writing Logic'!$A$3:$B$7,2,FALSE),VLOOKUP(S213,'Writing Logic'!$A$3:$B$7,2,FALSE),VLOOKUP(T213,'Writing Logic'!$A$3:$B$7,2,FALSE),VLOOKUP(U213,'Writing Logic'!$A$3:$B$7,2,FALSE))))),"Fill All 4")</f>
        <v>Fill All 4</v>
      </c>
      <c r="W213" s="95" t="str">
        <f t="shared" si="15"/>
        <v/>
      </c>
      <c r="X213" s="120"/>
      <c r="Y213" s="120"/>
      <c r="Z213" s="120"/>
      <c r="AA213" s="120"/>
      <c r="AB213" s="95" t="str">
        <f>IFERROR(IF(YES_Writing_ELA[[#This Row],[Literacy IPP]]='Writing Logic'!$E$26,"IPP",IF(OR(X213="EAL",Y213="EAL",Z213="EAL",AA213="EAL"),"EAL",IF(X213='Writing Logic'!$A$10,AVERAGE(VLOOKUP(Y213,'Writing Logic'!$A$3:$B$7,2,FALSE),VLOOKUP(Z213,'Writing Logic'!$A$3:$B$7,2,FALSE),VLOOKUP(AA213,'Writing Logic'!$A$3:$B$7,2,FALSE)),AVERAGE(VLOOKUP(X213,'Writing Logic'!$A$3:$B$7,2,FALSE),VLOOKUP(Y213,'Writing Logic'!$A$3:$B$7,2,FALSE),VLOOKUP(Z213,'Writing Logic'!$A$3:$B$7,2,FALSE),VLOOKUP(AA213,'Writing Logic'!$A$3:$B$7,2,FALSE))))),"Fill All 4")</f>
        <v>Fill All 4</v>
      </c>
      <c r="AC213" s="95" t="str">
        <f t="shared" si="16"/>
        <v/>
      </c>
      <c r="AD213" s="120"/>
      <c r="AE213" s="120"/>
      <c r="AF213" s="120"/>
      <c r="AG213" s="120"/>
      <c r="AH213" s="95" t="str">
        <f>IFERROR(IF(YES_Writing_ELA[[#This Row],[Literacy IPP]]='Writing Logic'!$E$26,"IPP",IF(OR(AD213="EAL",AE213="EAL",AF213="EAL",AG213="EAL"),"EAL",IF(AD213='Writing Logic'!$A$10,AVERAGE(VLOOKUP(AE213,'Writing Logic'!$A$3:$B$7,2,FALSE),VLOOKUP(AF213,'Writing Logic'!$A$3:$B$7,2,FALSE),VLOOKUP(AG213,'Writing Logic'!$A$3:$B$7,2,FALSE)),AVERAGE(VLOOKUP(AD213,'Writing Logic'!$A$3:$B$7,2,FALSE),VLOOKUP(AE213,'Writing Logic'!$A$3:$B$7,2,FALSE),VLOOKUP(AF213,'Writing Logic'!$A$3:$B$7,2,FALSE),VLOOKUP(AG213,'Writing Logic'!$A$3:$B$7,2,FALSE))))),"Fill All 4")</f>
        <v>Fill All 4</v>
      </c>
      <c r="AI213" s="95" t="str">
        <f t="shared" si="17"/>
        <v/>
      </c>
      <c r="AJ213" s="183"/>
      <c r="AK213" s="120"/>
      <c r="AL213" s="120"/>
      <c r="AM213" s="120"/>
      <c r="AN213" s="95" t="str">
        <f>IFERROR(IF(YES_Writing_ELA[[#This Row],[Literacy IPP]]='Writing Logic'!$E$26,"IPP",IF(OR(AJ213="EAL",AK213="EAL",AL213="EAL",AM213="EAL"),"EAL",IF(AJ213='Writing Logic'!$A$10,AVERAGE(VLOOKUP(AK213,'Writing Logic'!$A$3:$B$7,2,FALSE),VLOOKUP(AL213,'Writing Logic'!$A$3:$B$7,2,FALSE),VLOOKUP(AM213,'Writing Logic'!$A$3:$B$7,2,FALSE)),AVERAGE(VLOOKUP(AJ213,'Writing Logic'!$A$3:$B$7,2,FALSE),VLOOKUP(AK213,'Writing Logic'!$A$3:$B$7,2,FALSE),VLOOKUP(AL213,'Writing Logic'!$A$3:$B$7,2,FALSE),VLOOKUP(AM213,'Writing Logic'!$A$3:$B$7,2,FALSE))))),"Fill All 4")</f>
        <v>Fill All 4</v>
      </c>
      <c r="AO213" s="95" t="str">
        <f t="shared" si="18"/>
        <v/>
      </c>
      <c r="AP213" s="120"/>
      <c r="AQ213" s="120"/>
      <c r="AR213" s="120"/>
      <c r="AS213" s="120"/>
      <c r="AT213" s="95" t="str">
        <f>IFERROR(IF(YES_Writing_ELA[[#This Row],[Literacy IPP]]='Writing Logic'!$E$26,"IPP",IF(OR(AP213="EAL",AQ213="EAL",AR213="EAL",AS213="EAL"),"EAL",IF(AP213='Writing Logic'!$A$10,AVERAGE(VLOOKUP(AQ213,'Writing Logic'!$A$3:$B$7,2,FALSE),VLOOKUP(AR213,'Writing Logic'!$A$3:$B$7,2,FALSE),VLOOKUP(AS213,'Writing Logic'!$A$3:$B$7,2,FALSE)),AVERAGE(VLOOKUP(AP213,'Writing Logic'!$A$3:$B$7,2,FALSE),VLOOKUP(AQ213,'Writing Logic'!$A$3:$B$7,2,FALSE),VLOOKUP(AR213,'Writing Logic'!$A$3:$B$7,2,FALSE),VLOOKUP(AS213,'Writing Logic'!$A$3:$B$7,2,FALSE))))),"Fill All 4")</f>
        <v>Fill All 4</v>
      </c>
      <c r="AU213" s="95" t="str">
        <f t="shared" si="19"/>
        <v/>
      </c>
    </row>
    <row r="214" spans="1:47" x14ac:dyDescent="0.25">
      <c r="A214" s="13"/>
      <c r="B214" s="13"/>
      <c r="C214" s="13"/>
      <c r="D214" s="13"/>
      <c r="E214" s="13"/>
      <c r="F214" s="13"/>
      <c r="G214" s="13"/>
      <c r="H214" s="13"/>
      <c r="I214" s="13"/>
      <c r="J214" s="13"/>
      <c r="K214" s="183"/>
      <c r="L214" s="184"/>
      <c r="M214" s="120"/>
      <c r="N214" s="120"/>
      <c r="O214" s="120"/>
      <c r="P214" s="120"/>
      <c r="Q214" s="95" t="str">
        <f>IFERROR(IF(YES_Writing_ELA[[#This Row],[Literacy IPP]]='Writing Logic'!$E$26,"IPP",IF(OR(M214="EAL",N214="EAL",O214="EAL",P214="EAL"),"EAL",IF(M214='Writing Logic'!$A$10,AVERAGE(VLOOKUP(N214,'Writing Logic'!$A$3:$B$7,2,FALSE),VLOOKUP(O214,'Writing Logic'!$A$3:$B$7,2,FALSE),VLOOKUP(P214,'Writing Logic'!$A$3:$B$7,2,FALSE)),AVERAGE(VLOOKUP(M214,'Writing Logic'!$A$3:$B$7,2,FALSE),VLOOKUP(N214,'Writing Logic'!$A$3:$B$7,2,FALSE),VLOOKUP(O214,'Writing Logic'!$A$3:$B$7,2,FALSE),VLOOKUP(P214,'Writing Logic'!$A$3:$B$7,2,FALSE))))),"Fill All 4")</f>
        <v>Fill All 4</v>
      </c>
      <c r="R214" s="120"/>
      <c r="S214" s="120"/>
      <c r="T214" s="120"/>
      <c r="U214" s="120"/>
      <c r="V214" s="95" t="str">
        <f>IFERROR(IF(YES_Writing_ELA[[#This Row],[Literacy IPP]]='Writing Logic'!$E$26,"IPP",IF(OR(R214="EAL",S214="EAL",T214="EAL",U214="EAL"),"EAL",IF(R214='Writing Logic'!$A$10,AVERAGE(VLOOKUP(S214,'Writing Logic'!$A$3:$B$7,2,FALSE),VLOOKUP(T214,'Writing Logic'!$A$3:$B$7,2,FALSE),VLOOKUP(U214,'Writing Logic'!$A$3:$B$7,2,FALSE)),AVERAGE(VLOOKUP(R214,'Writing Logic'!$A$3:$B$7,2,FALSE),VLOOKUP(S214,'Writing Logic'!$A$3:$B$7,2,FALSE),VLOOKUP(T214,'Writing Logic'!$A$3:$B$7,2,FALSE),VLOOKUP(U214,'Writing Logic'!$A$3:$B$7,2,FALSE))))),"Fill All 4")</f>
        <v>Fill All 4</v>
      </c>
      <c r="W214" s="95" t="str">
        <f t="shared" si="15"/>
        <v/>
      </c>
      <c r="X214" s="120"/>
      <c r="Y214" s="120"/>
      <c r="Z214" s="120"/>
      <c r="AA214" s="120"/>
      <c r="AB214" s="95" t="str">
        <f>IFERROR(IF(YES_Writing_ELA[[#This Row],[Literacy IPP]]='Writing Logic'!$E$26,"IPP",IF(OR(X214="EAL",Y214="EAL",Z214="EAL",AA214="EAL"),"EAL",IF(X214='Writing Logic'!$A$10,AVERAGE(VLOOKUP(Y214,'Writing Logic'!$A$3:$B$7,2,FALSE),VLOOKUP(Z214,'Writing Logic'!$A$3:$B$7,2,FALSE),VLOOKUP(AA214,'Writing Logic'!$A$3:$B$7,2,FALSE)),AVERAGE(VLOOKUP(X214,'Writing Logic'!$A$3:$B$7,2,FALSE),VLOOKUP(Y214,'Writing Logic'!$A$3:$B$7,2,FALSE),VLOOKUP(Z214,'Writing Logic'!$A$3:$B$7,2,FALSE),VLOOKUP(AA214,'Writing Logic'!$A$3:$B$7,2,FALSE))))),"Fill All 4")</f>
        <v>Fill All 4</v>
      </c>
      <c r="AC214" s="95" t="str">
        <f t="shared" si="16"/>
        <v/>
      </c>
      <c r="AD214" s="120"/>
      <c r="AE214" s="120"/>
      <c r="AF214" s="120"/>
      <c r="AG214" s="120"/>
      <c r="AH214" s="95" t="str">
        <f>IFERROR(IF(YES_Writing_ELA[[#This Row],[Literacy IPP]]='Writing Logic'!$E$26,"IPP",IF(OR(AD214="EAL",AE214="EAL",AF214="EAL",AG214="EAL"),"EAL",IF(AD214='Writing Logic'!$A$10,AVERAGE(VLOOKUP(AE214,'Writing Logic'!$A$3:$B$7,2,FALSE),VLOOKUP(AF214,'Writing Logic'!$A$3:$B$7,2,FALSE),VLOOKUP(AG214,'Writing Logic'!$A$3:$B$7,2,FALSE)),AVERAGE(VLOOKUP(AD214,'Writing Logic'!$A$3:$B$7,2,FALSE),VLOOKUP(AE214,'Writing Logic'!$A$3:$B$7,2,FALSE),VLOOKUP(AF214,'Writing Logic'!$A$3:$B$7,2,FALSE),VLOOKUP(AG214,'Writing Logic'!$A$3:$B$7,2,FALSE))))),"Fill All 4")</f>
        <v>Fill All 4</v>
      </c>
      <c r="AI214" s="95" t="str">
        <f t="shared" si="17"/>
        <v/>
      </c>
      <c r="AJ214" s="183"/>
      <c r="AK214" s="120"/>
      <c r="AL214" s="120"/>
      <c r="AM214" s="120"/>
      <c r="AN214" s="95" t="str">
        <f>IFERROR(IF(YES_Writing_ELA[[#This Row],[Literacy IPP]]='Writing Logic'!$E$26,"IPP",IF(OR(AJ214="EAL",AK214="EAL",AL214="EAL",AM214="EAL"),"EAL",IF(AJ214='Writing Logic'!$A$10,AVERAGE(VLOOKUP(AK214,'Writing Logic'!$A$3:$B$7,2,FALSE),VLOOKUP(AL214,'Writing Logic'!$A$3:$B$7,2,FALSE),VLOOKUP(AM214,'Writing Logic'!$A$3:$B$7,2,FALSE)),AVERAGE(VLOOKUP(AJ214,'Writing Logic'!$A$3:$B$7,2,FALSE),VLOOKUP(AK214,'Writing Logic'!$A$3:$B$7,2,FALSE),VLOOKUP(AL214,'Writing Logic'!$A$3:$B$7,2,FALSE),VLOOKUP(AM214,'Writing Logic'!$A$3:$B$7,2,FALSE))))),"Fill All 4")</f>
        <v>Fill All 4</v>
      </c>
      <c r="AO214" s="95" t="str">
        <f t="shared" si="18"/>
        <v/>
      </c>
      <c r="AP214" s="120"/>
      <c r="AQ214" s="120"/>
      <c r="AR214" s="120"/>
      <c r="AS214" s="120"/>
      <c r="AT214" s="95" t="str">
        <f>IFERROR(IF(YES_Writing_ELA[[#This Row],[Literacy IPP]]='Writing Logic'!$E$26,"IPP",IF(OR(AP214="EAL",AQ214="EAL",AR214="EAL",AS214="EAL"),"EAL",IF(AP214='Writing Logic'!$A$10,AVERAGE(VLOOKUP(AQ214,'Writing Logic'!$A$3:$B$7,2,FALSE),VLOOKUP(AR214,'Writing Logic'!$A$3:$B$7,2,FALSE),VLOOKUP(AS214,'Writing Logic'!$A$3:$B$7,2,FALSE)),AVERAGE(VLOOKUP(AP214,'Writing Logic'!$A$3:$B$7,2,FALSE),VLOOKUP(AQ214,'Writing Logic'!$A$3:$B$7,2,FALSE),VLOOKUP(AR214,'Writing Logic'!$A$3:$B$7,2,FALSE),VLOOKUP(AS214,'Writing Logic'!$A$3:$B$7,2,FALSE))))),"Fill All 4")</f>
        <v>Fill All 4</v>
      </c>
      <c r="AU214" s="95" t="str">
        <f t="shared" si="19"/>
        <v/>
      </c>
    </row>
    <row r="215" spans="1:47" x14ac:dyDescent="0.25">
      <c r="A215" s="13"/>
      <c r="B215" s="13"/>
      <c r="C215" s="13"/>
      <c r="D215" s="13"/>
      <c r="E215" s="13"/>
      <c r="F215" s="13"/>
      <c r="G215" s="13"/>
      <c r="H215" s="13"/>
      <c r="I215" s="13"/>
      <c r="J215" s="13"/>
      <c r="K215" s="183"/>
      <c r="L215" s="184"/>
      <c r="M215" s="120"/>
      <c r="N215" s="120"/>
      <c r="O215" s="120"/>
      <c r="P215" s="120"/>
      <c r="Q215" s="95" t="str">
        <f>IFERROR(IF(YES_Writing_ELA[[#This Row],[Literacy IPP]]='Writing Logic'!$E$26,"IPP",IF(OR(M215="EAL",N215="EAL",O215="EAL",P215="EAL"),"EAL",IF(M215='Writing Logic'!$A$10,AVERAGE(VLOOKUP(N215,'Writing Logic'!$A$3:$B$7,2,FALSE),VLOOKUP(O215,'Writing Logic'!$A$3:$B$7,2,FALSE),VLOOKUP(P215,'Writing Logic'!$A$3:$B$7,2,FALSE)),AVERAGE(VLOOKUP(M215,'Writing Logic'!$A$3:$B$7,2,FALSE),VLOOKUP(N215,'Writing Logic'!$A$3:$B$7,2,FALSE),VLOOKUP(O215,'Writing Logic'!$A$3:$B$7,2,FALSE),VLOOKUP(P215,'Writing Logic'!$A$3:$B$7,2,FALSE))))),"Fill All 4")</f>
        <v>Fill All 4</v>
      </c>
      <c r="R215" s="120"/>
      <c r="S215" s="120"/>
      <c r="T215" s="120"/>
      <c r="U215" s="120"/>
      <c r="V215" s="95" t="str">
        <f>IFERROR(IF(YES_Writing_ELA[[#This Row],[Literacy IPP]]='Writing Logic'!$E$26,"IPP",IF(OR(R215="EAL",S215="EAL",T215="EAL",U215="EAL"),"EAL",IF(R215='Writing Logic'!$A$10,AVERAGE(VLOOKUP(S215,'Writing Logic'!$A$3:$B$7,2,FALSE),VLOOKUP(T215,'Writing Logic'!$A$3:$B$7,2,FALSE),VLOOKUP(U215,'Writing Logic'!$A$3:$B$7,2,FALSE)),AVERAGE(VLOOKUP(R215,'Writing Logic'!$A$3:$B$7,2,FALSE),VLOOKUP(S215,'Writing Logic'!$A$3:$B$7,2,FALSE),VLOOKUP(T215,'Writing Logic'!$A$3:$B$7,2,FALSE),VLOOKUP(U215,'Writing Logic'!$A$3:$B$7,2,FALSE))))),"Fill All 4")</f>
        <v>Fill All 4</v>
      </c>
      <c r="W215" s="95" t="str">
        <f t="shared" si="15"/>
        <v/>
      </c>
      <c r="X215" s="120"/>
      <c r="Y215" s="120"/>
      <c r="Z215" s="120"/>
      <c r="AA215" s="120"/>
      <c r="AB215" s="95" t="str">
        <f>IFERROR(IF(YES_Writing_ELA[[#This Row],[Literacy IPP]]='Writing Logic'!$E$26,"IPP",IF(OR(X215="EAL",Y215="EAL",Z215="EAL",AA215="EAL"),"EAL",IF(X215='Writing Logic'!$A$10,AVERAGE(VLOOKUP(Y215,'Writing Logic'!$A$3:$B$7,2,FALSE),VLOOKUP(Z215,'Writing Logic'!$A$3:$B$7,2,FALSE),VLOOKUP(AA215,'Writing Logic'!$A$3:$B$7,2,FALSE)),AVERAGE(VLOOKUP(X215,'Writing Logic'!$A$3:$B$7,2,FALSE),VLOOKUP(Y215,'Writing Logic'!$A$3:$B$7,2,FALSE),VLOOKUP(Z215,'Writing Logic'!$A$3:$B$7,2,FALSE),VLOOKUP(AA215,'Writing Logic'!$A$3:$B$7,2,FALSE))))),"Fill All 4")</f>
        <v>Fill All 4</v>
      </c>
      <c r="AC215" s="95" t="str">
        <f t="shared" si="16"/>
        <v/>
      </c>
      <c r="AD215" s="120"/>
      <c r="AE215" s="120"/>
      <c r="AF215" s="120"/>
      <c r="AG215" s="120"/>
      <c r="AH215" s="95" t="str">
        <f>IFERROR(IF(YES_Writing_ELA[[#This Row],[Literacy IPP]]='Writing Logic'!$E$26,"IPP",IF(OR(AD215="EAL",AE215="EAL",AF215="EAL",AG215="EAL"),"EAL",IF(AD215='Writing Logic'!$A$10,AVERAGE(VLOOKUP(AE215,'Writing Logic'!$A$3:$B$7,2,FALSE),VLOOKUP(AF215,'Writing Logic'!$A$3:$B$7,2,FALSE),VLOOKUP(AG215,'Writing Logic'!$A$3:$B$7,2,FALSE)),AVERAGE(VLOOKUP(AD215,'Writing Logic'!$A$3:$B$7,2,FALSE),VLOOKUP(AE215,'Writing Logic'!$A$3:$B$7,2,FALSE),VLOOKUP(AF215,'Writing Logic'!$A$3:$B$7,2,FALSE),VLOOKUP(AG215,'Writing Logic'!$A$3:$B$7,2,FALSE))))),"Fill All 4")</f>
        <v>Fill All 4</v>
      </c>
      <c r="AI215" s="95" t="str">
        <f t="shared" si="17"/>
        <v/>
      </c>
      <c r="AJ215" s="183"/>
      <c r="AK215" s="120"/>
      <c r="AL215" s="120"/>
      <c r="AM215" s="120"/>
      <c r="AN215" s="95" t="str">
        <f>IFERROR(IF(YES_Writing_ELA[[#This Row],[Literacy IPP]]='Writing Logic'!$E$26,"IPP",IF(OR(AJ215="EAL",AK215="EAL",AL215="EAL",AM215="EAL"),"EAL",IF(AJ215='Writing Logic'!$A$10,AVERAGE(VLOOKUP(AK215,'Writing Logic'!$A$3:$B$7,2,FALSE),VLOOKUP(AL215,'Writing Logic'!$A$3:$B$7,2,FALSE),VLOOKUP(AM215,'Writing Logic'!$A$3:$B$7,2,FALSE)),AVERAGE(VLOOKUP(AJ215,'Writing Logic'!$A$3:$B$7,2,FALSE),VLOOKUP(AK215,'Writing Logic'!$A$3:$B$7,2,FALSE),VLOOKUP(AL215,'Writing Logic'!$A$3:$B$7,2,FALSE),VLOOKUP(AM215,'Writing Logic'!$A$3:$B$7,2,FALSE))))),"Fill All 4")</f>
        <v>Fill All 4</v>
      </c>
      <c r="AO215" s="95" t="str">
        <f t="shared" si="18"/>
        <v/>
      </c>
      <c r="AP215" s="120"/>
      <c r="AQ215" s="120"/>
      <c r="AR215" s="120"/>
      <c r="AS215" s="120"/>
      <c r="AT215" s="95" t="str">
        <f>IFERROR(IF(YES_Writing_ELA[[#This Row],[Literacy IPP]]='Writing Logic'!$E$26,"IPP",IF(OR(AP215="EAL",AQ215="EAL",AR215="EAL",AS215="EAL"),"EAL",IF(AP215='Writing Logic'!$A$10,AVERAGE(VLOOKUP(AQ215,'Writing Logic'!$A$3:$B$7,2,FALSE),VLOOKUP(AR215,'Writing Logic'!$A$3:$B$7,2,FALSE),VLOOKUP(AS215,'Writing Logic'!$A$3:$B$7,2,FALSE)),AVERAGE(VLOOKUP(AP215,'Writing Logic'!$A$3:$B$7,2,FALSE),VLOOKUP(AQ215,'Writing Logic'!$A$3:$B$7,2,FALSE),VLOOKUP(AR215,'Writing Logic'!$A$3:$B$7,2,FALSE),VLOOKUP(AS215,'Writing Logic'!$A$3:$B$7,2,FALSE))))),"Fill All 4")</f>
        <v>Fill All 4</v>
      </c>
      <c r="AU215" s="95" t="str">
        <f t="shared" si="19"/>
        <v/>
      </c>
    </row>
    <row r="216" spans="1:47" x14ac:dyDescent="0.25">
      <c r="A216" s="13"/>
      <c r="B216" s="13"/>
      <c r="C216" s="13"/>
      <c r="D216" s="13"/>
      <c r="E216" s="13"/>
      <c r="F216" s="13"/>
      <c r="G216" s="13"/>
      <c r="H216" s="13"/>
      <c r="I216" s="13"/>
      <c r="J216" s="13"/>
      <c r="K216" s="183"/>
      <c r="L216" s="184"/>
      <c r="M216" s="120"/>
      <c r="N216" s="120"/>
      <c r="O216" s="120"/>
      <c r="P216" s="120"/>
      <c r="Q216" s="95" t="str">
        <f>IFERROR(IF(YES_Writing_ELA[[#This Row],[Literacy IPP]]='Writing Logic'!$E$26,"IPP",IF(OR(M216="EAL",N216="EAL",O216="EAL",P216="EAL"),"EAL",IF(M216='Writing Logic'!$A$10,AVERAGE(VLOOKUP(N216,'Writing Logic'!$A$3:$B$7,2,FALSE),VLOOKUP(O216,'Writing Logic'!$A$3:$B$7,2,FALSE),VLOOKUP(P216,'Writing Logic'!$A$3:$B$7,2,FALSE)),AVERAGE(VLOOKUP(M216,'Writing Logic'!$A$3:$B$7,2,FALSE),VLOOKUP(N216,'Writing Logic'!$A$3:$B$7,2,FALSE),VLOOKUP(O216,'Writing Logic'!$A$3:$B$7,2,FALSE),VLOOKUP(P216,'Writing Logic'!$A$3:$B$7,2,FALSE))))),"Fill All 4")</f>
        <v>Fill All 4</v>
      </c>
      <c r="R216" s="120"/>
      <c r="S216" s="120"/>
      <c r="T216" s="120"/>
      <c r="U216" s="120"/>
      <c r="V216" s="95" t="str">
        <f>IFERROR(IF(YES_Writing_ELA[[#This Row],[Literacy IPP]]='Writing Logic'!$E$26,"IPP",IF(OR(R216="EAL",S216="EAL",T216="EAL",U216="EAL"),"EAL",IF(R216='Writing Logic'!$A$10,AVERAGE(VLOOKUP(S216,'Writing Logic'!$A$3:$B$7,2,FALSE),VLOOKUP(T216,'Writing Logic'!$A$3:$B$7,2,FALSE),VLOOKUP(U216,'Writing Logic'!$A$3:$B$7,2,FALSE)),AVERAGE(VLOOKUP(R216,'Writing Logic'!$A$3:$B$7,2,FALSE),VLOOKUP(S216,'Writing Logic'!$A$3:$B$7,2,FALSE),VLOOKUP(T216,'Writing Logic'!$A$3:$B$7,2,FALSE),VLOOKUP(U216,'Writing Logic'!$A$3:$B$7,2,FALSE))))),"Fill All 4")</f>
        <v>Fill All 4</v>
      </c>
      <c r="W216" s="95" t="str">
        <f t="shared" si="15"/>
        <v/>
      </c>
      <c r="X216" s="120"/>
      <c r="Y216" s="120"/>
      <c r="Z216" s="120"/>
      <c r="AA216" s="120"/>
      <c r="AB216" s="95" t="str">
        <f>IFERROR(IF(YES_Writing_ELA[[#This Row],[Literacy IPP]]='Writing Logic'!$E$26,"IPP",IF(OR(X216="EAL",Y216="EAL",Z216="EAL",AA216="EAL"),"EAL",IF(X216='Writing Logic'!$A$10,AVERAGE(VLOOKUP(Y216,'Writing Logic'!$A$3:$B$7,2,FALSE),VLOOKUP(Z216,'Writing Logic'!$A$3:$B$7,2,FALSE),VLOOKUP(AA216,'Writing Logic'!$A$3:$B$7,2,FALSE)),AVERAGE(VLOOKUP(X216,'Writing Logic'!$A$3:$B$7,2,FALSE),VLOOKUP(Y216,'Writing Logic'!$A$3:$B$7,2,FALSE),VLOOKUP(Z216,'Writing Logic'!$A$3:$B$7,2,FALSE),VLOOKUP(AA216,'Writing Logic'!$A$3:$B$7,2,FALSE))))),"Fill All 4")</f>
        <v>Fill All 4</v>
      </c>
      <c r="AC216" s="95" t="str">
        <f t="shared" si="16"/>
        <v/>
      </c>
      <c r="AD216" s="120"/>
      <c r="AE216" s="120"/>
      <c r="AF216" s="120"/>
      <c r="AG216" s="120"/>
      <c r="AH216" s="95" t="str">
        <f>IFERROR(IF(YES_Writing_ELA[[#This Row],[Literacy IPP]]='Writing Logic'!$E$26,"IPP",IF(OR(AD216="EAL",AE216="EAL",AF216="EAL",AG216="EAL"),"EAL",IF(AD216='Writing Logic'!$A$10,AVERAGE(VLOOKUP(AE216,'Writing Logic'!$A$3:$B$7,2,FALSE),VLOOKUP(AF216,'Writing Logic'!$A$3:$B$7,2,FALSE),VLOOKUP(AG216,'Writing Logic'!$A$3:$B$7,2,FALSE)),AVERAGE(VLOOKUP(AD216,'Writing Logic'!$A$3:$B$7,2,FALSE),VLOOKUP(AE216,'Writing Logic'!$A$3:$B$7,2,FALSE),VLOOKUP(AF216,'Writing Logic'!$A$3:$B$7,2,FALSE),VLOOKUP(AG216,'Writing Logic'!$A$3:$B$7,2,FALSE))))),"Fill All 4")</f>
        <v>Fill All 4</v>
      </c>
      <c r="AI216" s="95" t="str">
        <f t="shared" si="17"/>
        <v/>
      </c>
      <c r="AJ216" s="183"/>
      <c r="AK216" s="120"/>
      <c r="AL216" s="120"/>
      <c r="AM216" s="120"/>
      <c r="AN216" s="95" t="str">
        <f>IFERROR(IF(YES_Writing_ELA[[#This Row],[Literacy IPP]]='Writing Logic'!$E$26,"IPP",IF(OR(AJ216="EAL",AK216="EAL",AL216="EAL",AM216="EAL"),"EAL",IF(AJ216='Writing Logic'!$A$10,AVERAGE(VLOOKUP(AK216,'Writing Logic'!$A$3:$B$7,2,FALSE),VLOOKUP(AL216,'Writing Logic'!$A$3:$B$7,2,FALSE),VLOOKUP(AM216,'Writing Logic'!$A$3:$B$7,2,FALSE)),AVERAGE(VLOOKUP(AJ216,'Writing Logic'!$A$3:$B$7,2,FALSE),VLOOKUP(AK216,'Writing Logic'!$A$3:$B$7,2,FALSE),VLOOKUP(AL216,'Writing Logic'!$A$3:$B$7,2,FALSE),VLOOKUP(AM216,'Writing Logic'!$A$3:$B$7,2,FALSE))))),"Fill All 4")</f>
        <v>Fill All 4</v>
      </c>
      <c r="AO216" s="95" t="str">
        <f t="shared" si="18"/>
        <v/>
      </c>
      <c r="AP216" s="120"/>
      <c r="AQ216" s="120"/>
      <c r="AR216" s="120"/>
      <c r="AS216" s="120"/>
      <c r="AT216" s="95" t="str">
        <f>IFERROR(IF(YES_Writing_ELA[[#This Row],[Literacy IPP]]='Writing Logic'!$E$26,"IPP",IF(OR(AP216="EAL",AQ216="EAL",AR216="EAL",AS216="EAL"),"EAL",IF(AP216='Writing Logic'!$A$10,AVERAGE(VLOOKUP(AQ216,'Writing Logic'!$A$3:$B$7,2,FALSE),VLOOKUP(AR216,'Writing Logic'!$A$3:$B$7,2,FALSE),VLOOKUP(AS216,'Writing Logic'!$A$3:$B$7,2,FALSE)),AVERAGE(VLOOKUP(AP216,'Writing Logic'!$A$3:$B$7,2,FALSE),VLOOKUP(AQ216,'Writing Logic'!$A$3:$B$7,2,FALSE),VLOOKUP(AR216,'Writing Logic'!$A$3:$B$7,2,FALSE),VLOOKUP(AS216,'Writing Logic'!$A$3:$B$7,2,FALSE))))),"Fill All 4")</f>
        <v>Fill All 4</v>
      </c>
      <c r="AU216" s="95" t="str">
        <f t="shared" si="19"/>
        <v/>
      </c>
    </row>
    <row r="217" spans="1:47" x14ac:dyDescent="0.25">
      <c r="A217" s="13"/>
      <c r="B217" s="13"/>
      <c r="C217" s="13"/>
      <c r="D217" s="13"/>
      <c r="E217" s="13"/>
      <c r="F217" s="13"/>
      <c r="G217" s="13"/>
      <c r="H217" s="13"/>
      <c r="I217" s="13"/>
      <c r="J217" s="13"/>
      <c r="K217" s="183"/>
      <c r="L217" s="184"/>
      <c r="M217" s="120"/>
      <c r="N217" s="120"/>
      <c r="O217" s="120"/>
      <c r="P217" s="120"/>
      <c r="Q217" s="95" t="str">
        <f>IFERROR(IF(YES_Writing_ELA[[#This Row],[Literacy IPP]]='Writing Logic'!$E$26,"IPP",IF(OR(M217="EAL",N217="EAL",O217="EAL",P217="EAL"),"EAL",IF(M217='Writing Logic'!$A$10,AVERAGE(VLOOKUP(N217,'Writing Logic'!$A$3:$B$7,2,FALSE),VLOOKUP(O217,'Writing Logic'!$A$3:$B$7,2,FALSE),VLOOKUP(P217,'Writing Logic'!$A$3:$B$7,2,FALSE)),AVERAGE(VLOOKUP(M217,'Writing Logic'!$A$3:$B$7,2,FALSE),VLOOKUP(N217,'Writing Logic'!$A$3:$B$7,2,FALSE),VLOOKUP(O217,'Writing Logic'!$A$3:$B$7,2,FALSE),VLOOKUP(P217,'Writing Logic'!$A$3:$B$7,2,FALSE))))),"Fill All 4")</f>
        <v>Fill All 4</v>
      </c>
      <c r="R217" s="120"/>
      <c r="S217" s="120"/>
      <c r="T217" s="120"/>
      <c r="U217" s="120"/>
      <c r="V217" s="95" t="str">
        <f>IFERROR(IF(YES_Writing_ELA[[#This Row],[Literacy IPP]]='Writing Logic'!$E$26,"IPP",IF(OR(R217="EAL",S217="EAL",T217="EAL",U217="EAL"),"EAL",IF(R217='Writing Logic'!$A$10,AVERAGE(VLOOKUP(S217,'Writing Logic'!$A$3:$B$7,2,FALSE),VLOOKUP(T217,'Writing Logic'!$A$3:$B$7,2,FALSE),VLOOKUP(U217,'Writing Logic'!$A$3:$B$7,2,FALSE)),AVERAGE(VLOOKUP(R217,'Writing Logic'!$A$3:$B$7,2,FALSE),VLOOKUP(S217,'Writing Logic'!$A$3:$B$7,2,FALSE),VLOOKUP(T217,'Writing Logic'!$A$3:$B$7,2,FALSE),VLOOKUP(U217,'Writing Logic'!$A$3:$B$7,2,FALSE))))),"Fill All 4")</f>
        <v>Fill All 4</v>
      </c>
      <c r="W217" s="95" t="str">
        <f t="shared" si="15"/>
        <v/>
      </c>
      <c r="X217" s="120"/>
      <c r="Y217" s="120"/>
      <c r="Z217" s="120"/>
      <c r="AA217" s="120"/>
      <c r="AB217" s="95" t="str">
        <f>IFERROR(IF(YES_Writing_ELA[[#This Row],[Literacy IPP]]='Writing Logic'!$E$26,"IPP",IF(OR(X217="EAL",Y217="EAL",Z217="EAL",AA217="EAL"),"EAL",IF(X217='Writing Logic'!$A$10,AVERAGE(VLOOKUP(Y217,'Writing Logic'!$A$3:$B$7,2,FALSE),VLOOKUP(Z217,'Writing Logic'!$A$3:$B$7,2,FALSE),VLOOKUP(AA217,'Writing Logic'!$A$3:$B$7,2,FALSE)),AVERAGE(VLOOKUP(X217,'Writing Logic'!$A$3:$B$7,2,FALSE),VLOOKUP(Y217,'Writing Logic'!$A$3:$B$7,2,FALSE),VLOOKUP(Z217,'Writing Logic'!$A$3:$B$7,2,FALSE),VLOOKUP(AA217,'Writing Logic'!$A$3:$B$7,2,FALSE))))),"Fill All 4")</f>
        <v>Fill All 4</v>
      </c>
      <c r="AC217" s="95" t="str">
        <f t="shared" si="16"/>
        <v/>
      </c>
      <c r="AD217" s="120"/>
      <c r="AE217" s="120"/>
      <c r="AF217" s="120"/>
      <c r="AG217" s="120"/>
      <c r="AH217" s="95" t="str">
        <f>IFERROR(IF(YES_Writing_ELA[[#This Row],[Literacy IPP]]='Writing Logic'!$E$26,"IPP",IF(OR(AD217="EAL",AE217="EAL",AF217="EAL",AG217="EAL"),"EAL",IF(AD217='Writing Logic'!$A$10,AVERAGE(VLOOKUP(AE217,'Writing Logic'!$A$3:$B$7,2,FALSE),VLOOKUP(AF217,'Writing Logic'!$A$3:$B$7,2,FALSE),VLOOKUP(AG217,'Writing Logic'!$A$3:$B$7,2,FALSE)),AVERAGE(VLOOKUP(AD217,'Writing Logic'!$A$3:$B$7,2,FALSE),VLOOKUP(AE217,'Writing Logic'!$A$3:$B$7,2,FALSE),VLOOKUP(AF217,'Writing Logic'!$A$3:$B$7,2,FALSE),VLOOKUP(AG217,'Writing Logic'!$A$3:$B$7,2,FALSE))))),"Fill All 4")</f>
        <v>Fill All 4</v>
      </c>
      <c r="AI217" s="95" t="str">
        <f t="shared" si="17"/>
        <v/>
      </c>
      <c r="AJ217" s="183"/>
      <c r="AK217" s="120"/>
      <c r="AL217" s="120"/>
      <c r="AM217" s="120"/>
      <c r="AN217" s="95" t="str">
        <f>IFERROR(IF(YES_Writing_ELA[[#This Row],[Literacy IPP]]='Writing Logic'!$E$26,"IPP",IF(OR(AJ217="EAL",AK217="EAL",AL217="EAL",AM217="EAL"),"EAL",IF(AJ217='Writing Logic'!$A$10,AVERAGE(VLOOKUP(AK217,'Writing Logic'!$A$3:$B$7,2,FALSE),VLOOKUP(AL217,'Writing Logic'!$A$3:$B$7,2,FALSE),VLOOKUP(AM217,'Writing Logic'!$A$3:$B$7,2,FALSE)),AVERAGE(VLOOKUP(AJ217,'Writing Logic'!$A$3:$B$7,2,FALSE),VLOOKUP(AK217,'Writing Logic'!$A$3:$B$7,2,FALSE),VLOOKUP(AL217,'Writing Logic'!$A$3:$B$7,2,FALSE),VLOOKUP(AM217,'Writing Logic'!$A$3:$B$7,2,FALSE))))),"Fill All 4")</f>
        <v>Fill All 4</v>
      </c>
      <c r="AO217" s="95" t="str">
        <f t="shared" si="18"/>
        <v/>
      </c>
      <c r="AP217" s="120"/>
      <c r="AQ217" s="120"/>
      <c r="AR217" s="120"/>
      <c r="AS217" s="120"/>
      <c r="AT217" s="95" t="str">
        <f>IFERROR(IF(YES_Writing_ELA[[#This Row],[Literacy IPP]]='Writing Logic'!$E$26,"IPP",IF(OR(AP217="EAL",AQ217="EAL",AR217="EAL",AS217="EAL"),"EAL",IF(AP217='Writing Logic'!$A$10,AVERAGE(VLOOKUP(AQ217,'Writing Logic'!$A$3:$B$7,2,FALSE),VLOOKUP(AR217,'Writing Logic'!$A$3:$B$7,2,FALSE),VLOOKUP(AS217,'Writing Logic'!$A$3:$B$7,2,FALSE)),AVERAGE(VLOOKUP(AP217,'Writing Logic'!$A$3:$B$7,2,FALSE),VLOOKUP(AQ217,'Writing Logic'!$A$3:$B$7,2,FALSE),VLOOKUP(AR217,'Writing Logic'!$A$3:$B$7,2,FALSE),VLOOKUP(AS217,'Writing Logic'!$A$3:$B$7,2,FALSE))))),"Fill All 4")</f>
        <v>Fill All 4</v>
      </c>
      <c r="AU217" s="95" t="str">
        <f t="shared" si="19"/>
        <v/>
      </c>
    </row>
    <row r="218" spans="1:47" x14ac:dyDescent="0.25">
      <c r="A218" s="13"/>
      <c r="B218" s="13"/>
      <c r="C218" s="13"/>
      <c r="D218" s="13"/>
      <c r="E218" s="13"/>
      <c r="F218" s="13"/>
      <c r="G218" s="13"/>
      <c r="H218" s="13"/>
      <c r="I218" s="13"/>
      <c r="J218" s="13"/>
      <c r="K218" s="183"/>
      <c r="L218" s="184"/>
      <c r="M218" s="120"/>
      <c r="N218" s="120"/>
      <c r="O218" s="120"/>
      <c r="P218" s="120"/>
      <c r="Q218" s="95" t="str">
        <f>IFERROR(IF(YES_Writing_ELA[[#This Row],[Literacy IPP]]='Writing Logic'!$E$26,"IPP",IF(OR(M218="EAL",N218="EAL",O218="EAL",P218="EAL"),"EAL",IF(M218='Writing Logic'!$A$10,AVERAGE(VLOOKUP(N218,'Writing Logic'!$A$3:$B$7,2,FALSE),VLOOKUP(O218,'Writing Logic'!$A$3:$B$7,2,FALSE),VLOOKUP(P218,'Writing Logic'!$A$3:$B$7,2,FALSE)),AVERAGE(VLOOKUP(M218,'Writing Logic'!$A$3:$B$7,2,FALSE),VLOOKUP(N218,'Writing Logic'!$A$3:$B$7,2,FALSE),VLOOKUP(O218,'Writing Logic'!$A$3:$B$7,2,FALSE),VLOOKUP(P218,'Writing Logic'!$A$3:$B$7,2,FALSE))))),"Fill All 4")</f>
        <v>Fill All 4</v>
      </c>
      <c r="R218" s="120"/>
      <c r="S218" s="120"/>
      <c r="T218" s="120"/>
      <c r="U218" s="120"/>
      <c r="V218" s="95" t="str">
        <f>IFERROR(IF(YES_Writing_ELA[[#This Row],[Literacy IPP]]='Writing Logic'!$E$26,"IPP",IF(OR(R218="EAL",S218="EAL",T218="EAL",U218="EAL"),"EAL",IF(R218='Writing Logic'!$A$10,AVERAGE(VLOOKUP(S218,'Writing Logic'!$A$3:$B$7,2,FALSE),VLOOKUP(T218,'Writing Logic'!$A$3:$B$7,2,FALSE),VLOOKUP(U218,'Writing Logic'!$A$3:$B$7,2,FALSE)),AVERAGE(VLOOKUP(R218,'Writing Logic'!$A$3:$B$7,2,FALSE),VLOOKUP(S218,'Writing Logic'!$A$3:$B$7,2,FALSE),VLOOKUP(T218,'Writing Logic'!$A$3:$B$7,2,FALSE),VLOOKUP(U218,'Writing Logic'!$A$3:$B$7,2,FALSE))))),"Fill All 4")</f>
        <v>Fill All 4</v>
      </c>
      <c r="W218" s="95" t="str">
        <f t="shared" si="15"/>
        <v/>
      </c>
      <c r="X218" s="120"/>
      <c r="Y218" s="120"/>
      <c r="Z218" s="120"/>
      <c r="AA218" s="120"/>
      <c r="AB218" s="95" t="str">
        <f>IFERROR(IF(YES_Writing_ELA[[#This Row],[Literacy IPP]]='Writing Logic'!$E$26,"IPP",IF(OR(X218="EAL",Y218="EAL",Z218="EAL",AA218="EAL"),"EAL",IF(X218='Writing Logic'!$A$10,AVERAGE(VLOOKUP(Y218,'Writing Logic'!$A$3:$B$7,2,FALSE),VLOOKUP(Z218,'Writing Logic'!$A$3:$B$7,2,FALSE),VLOOKUP(AA218,'Writing Logic'!$A$3:$B$7,2,FALSE)),AVERAGE(VLOOKUP(X218,'Writing Logic'!$A$3:$B$7,2,FALSE),VLOOKUP(Y218,'Writing Logic'!$A$3:$B$7,2,FALSE),VLOOKUP(Z218,'Writing Logic'!$A$3:$B$7,2,FALSE),VLOOKUP(AA218,'Writing Logic'!$A$3:$B$7,2,FALSE))))),"Fill All 4")</f>
        <v>Fill All 4</v>
      </c>
      <c r="AC218" s="95" t="str">
        <f t="shared" si="16"/>
        <v/>
      </c>
      <c r="AD218" s="120"/>
      <c r="AE218" s="120"/>
      <c r="AF218" s="120"/>
      <c r="AG218" s="120"/>
      <c r="AH218" s="95" t="str">
        <f>IFERROR(IF(YES_Writing_ELA[[#This Row],[Literacy IPP]]='Writing Logic'!$E$26,"IPP",IF(OR(AD218="EAL",AE218="EAL",AF218="EAL",AG218="EAL"),"EAL",IF(AD218='Writing Logic'!$A$10,AVERAGE(VLOOKUP(AE218,'Writing Logic'!$A$3:$B$7,2,FALSE),VLOOKUP(AF218,'Writing Logic'!$A$3:$B$7,2,FALSE),VLOOKUP(AG218,'Writing Logic'!$A$3:$B$7,2,FALSE)),AVERAGE(VLOOKUP(AD218,'Writing Logic'!$A$3:$B$7,2,FALSE),VLOOKUP(AE218,'Writing Logic'!$A$3:$B$7,2,FALSE),VLOOKUP(AF218,'Writing Logic'!$A$3:$B$7,2,FALSE),VLOOKUP(AG218,'Writing Logic'!$A$3:$B$7,2,FALSE))))),"Fill All 4")</f>
        <v>Fill All 4</v>
      </c>
      <c r="AI218" s="95" t="str">
        <f t="shared" si="17"/>
        <v/>
      </c>
      <c r="AJ218" s="183"/>
      <c r="AK218" s="120"/>
      <c r="AL218" s="120"/>
      <c r="AM218" s="120"/>
      <c r="AN218" s="95" t="str">
        <f>IFERROR(IF(YES_Writing_ELA[[#This Row],[Literacy IPP]]='Writing Logic'!$E$26,"IPP",IF(OR(AJ218="EAL",AK218="EAL",AL218="EAL",AM218="EAL"),"EAL",IF(AJ218='Writing Logic'!$A$10,AVERAGE(VLOOKUP(AK218,'Writing Logic'!$A$3:$B$7,2,FALSE),VLOOKUP(AL218,'Writing Logic'!$A$3:$B$7,2,FALSE),VLOOKUP(AM218,'Writing Logic'!$A$3:$B$7,2,FALSE)),AVERAGE(VLOOKUP(AJ218,'Writing Logic'!$A$3:$B$7,2,FALSE),VLOOKUP(AK218,'Writing Logic'!$A$3:$B$7,2,FALSE),VLOOKUP(AL218,'Writing Logic'!$A$3:$B$7,2,FALSE),VLOOKUP(AM218,'Writing Logic'!$A$3:$B$7,2,FALSE))))),"Fill All 4")</f>
        <v>Fill All 4</v>
      </c>
      <c r="AO218" s="95" t="str">
        <f t="shared" si="18"/>
        <v/>
      </c>
      <c r="AP218" s="120"/>
      <c r="AQ218" s="120"/>
      <c r="AR218" s="120"/>
      <c r="AS218" s="120"/>
      <c r="AT218" s="95" t="str">
        <f>IFERROR(IF(YES_Writing_ELA[[#This Row],[Literacy IPP]]='Writing Logic'!$E$26,"IPP",IF(OR(AP218="EAL",AQ218="EAL",AR218="EAL",AS218="EAL"),"EAL",IF(AP218='Writing Logic'!$A$10,AVERAGE(VLOOKUP(AQ218,'Writing Logic'!$A$3:$B$7,2,FALSE),VLOOKUP(AR218,'Writing Logic'!$A$3:$B$7,2,FALSE),VLOOKUP(AS218,'Writing Logic'!$A$3:$B$7,2,FALSE)),AVERAGE(VLOOKUP(AP218,'Writing Logic'!$A$3:$B$7,2,FALSE),VLOOKUP(AQ218,'Writing Logic'!$A$3:$B$7,2,FALSE),VLOOKUP(AR218,'Writing Logic'!$A$3:$B$7,2,FALSE),VLOOKUP(AS218,'Writing Logic'!$A$3:$B$7,2,FALSE))))),"Fill All 4")</f>
        <v>Fill All 4</v>
      </c>
      <c r="AU218" s="95" t="str">
        <f t="shared" si="19"/>
        <v/>
      </c>
    </row>
    <row r="219" spans="1:47" x14ac:dyDescent="0.25">
      <c r="A219" s="13"/>
      <c r="B219" s="13"/>
      <c r="C219" s="13"/>
      <c r="D219" s="13"/>
      <c r="E219" s="13"/>
      <c r="F219" s="13"/>
      <c r="G219" s="13"/>
      <c r="H219" s="13"/>
      <c r="I219" s="13"/>
      <c r="J219" s="13"/>
      <c r="K219" s="183"/>
      <c r="L219" s="184"/>
      <c r="M219" s="120"/>
      <c r="N219" s="120"/>
      <c r="O219" s="120"/>
      <c r="P219" s="120"/>
      <c r="Q219" s="95" t="str">
        <f>IFERROR(IF(YES_Writing_ELA[[#This Row],[Literacy IPP]]='Writing Logic'!$E$26,"IPP",IF(OR(M219="EAL",N219="EAL",O219="EAL",P219="EAL"),"EAL",IF(M219='Writing Logic'!$A$10,AVERAGE(VLOOKUP(N219,'Writing Logic'!$A$3:$B$7,2,FALSE),VLOOKUP(O219,'Writing Logic'!$A$3:$B$7,2,FALSE),VLOOKUP(P219,'Writing Logic'!$A$3:$B$7,2,FALSE)),AVERAGE(VLOOKUP(M219,'Writing Logic'!$A$3:$B$7,2,FALSE),VLOOKUP(N219,'Writing Logic'!$A$3:$B$7,2,FALSE),VLOOKUP(O219,'Writing Logic'!$A$3:$B$7,2,FALSE),VLOOKUP(P219,'Writing Logic'!$A$3:$B$7,2,FALSE))))),"Fill All 4")</f>
        <v>Fill All 4</v>
      </c>
      <c r="R219" s="120"/>
      <c r="S219" s="120"/>
      <c r="T219" s="120"/>
      <c r="U219" s="120"/>
      <c r="V219" s="95" t="str">
        <f>IFERROR(IF(YES_Writing_ELA[[#This Row],[Literacy IPP]]='Writing Logic'!$E$26,"IPP",IF(OR(R219="EAL",S219="EAL",T219="EAL",U219="EAL"),"EAL",IF(R219='Writing Logic'!$A$10,AVERAGE(VLOOKUP(S219,'Writing Logic'!$A$3:$B$7,2,FALSE),VLOOKUP(T219,'Writing Logic'!$A$3:$B$7,2,FALSE),VLOOKUP(U219,'Writing Logic'!$A$3:$B$7,2,FALSE)),AVERAGE(VLOOKUP(R219,'Writing Logic'!$A$3:$B$7,2,FALSE),VLOOKUP(S219,'Writing Logic'!$A$3:$B$7,2,FALSE),VLOOKUP(T219,'Writing Logic'!$A$3:$B$7,2,FALSE),VLOOKUP(U219,'Writing Logic'!$A$3:$B$7,2,FALSE))))),"Fill All 4")</f>
        <v>Fill All 4</v>
      </c>
      <c r="W219" s="95" t="str">
        <f t="shared" si="15"/>
        <v/>
      </c>
      <c r="X219" s="120"/>
      <c r="Y219" s="120"/>
      <c r="Z219" s="120"/>
      <c r="AA219" s="120"/>
      <c r="AB219" s="95" t="str">
        <f>IFERROR(IF(YES_Writing_ELA[[#This Row],[Literacy IPP]]='Writing Logic'!$E$26,"IPP",IF(OR(X219="EAL",Y219="EAL",Z219="EAL",AA219="EAL"),"EAL",IF(X219='Writing Logic'!$A$10,AVERAGE(VLOOKUP(Y219,'Writing Logic'!$A$3:$B$7,2,FALSE),VLOOKUP(Z219,'Writing Logic'!$A$3:$B$7,2,FALSE),VLOOKUP(AA219,'Writing Logic'!$A$3:$B$7,2,FALSE)),AVERAGE(VLOOKUP(X219,'Writing Logic'!$A$3:$B$7,2,FALSE),VLOOKUP(Y219,'Writing Logic'!$A$3:$B$7,2,FALSE),VLOOKUP(Z219,'Writing Logic'!$A$3:$B$7,2,FALSE),VLOOKUP(AA219,'Writing Logic'!$A$3:$B$7,2,FALSE))))),"Fill All 4")</f>
        <v>Fill All 4</v>
      </c>
      <c r="AC219" s="95" t="str">
        <f t="shared" si="16"/>
        <v/>
      </c>
      <c r="AD219" s="120"/>
      <c r="AE219" s="120"/>
      <c r="AF219" s="120"/>
      <c r="AG219" s="120"/>
      <c r="AH219" s="95" t="str">
        <f>IFERROR(IF(YES_Writing_ELA[[#This Row],[Literacy IPP]]='Writing Logic'!$E$26,"IPP",IF(OR(AD219="EAL",AE219="EAL",AF219="EAL",AG219="EAL"),"EAL",IF(AD219='Writing Logic'!$A$10,AVERAGE(VLOOKUP(AE219,'Writing Logic'!$A$3:$B$7,2,FALSE),VLOOKUP(AF219,'Writing Logic'!$A$3:$B$7,2,FALSE),VLOOKUP(AG219,'Writing Logic'!$A$3:$B$7,2,FALSE)),AVERAGE(VLOOKUP(AD219,'Writing Logic'!$A$3:$B$7,2,FALSE),VLOOKUP(AE219,'Writing Logic'!$A$3:$B$7,2,FALSE),VLOOKUP(AF219,'Writing Logic'!$A$3:$B$7,2,FALSE),VLOOKUP(AG219,'Writing Logic'!$A$3:$B$7,2,FALSE))))),"Fill All 4")</f>
        <v>Fill All 4</v>
      </c>
      <c r="AI219" s="95" t="str">
        <f t="shared" si="17"/>
        <v/>
      </c>
      <c r="AJ219" s="183"/>
      <c r="AK219" s="120"/>
      <c r="AL219" s="120"/>
      <c r="AM219" s="120"/>
      <c r="AN219" s="95" t="str">
        <f>IFERROR(IF(YES_Writing_ELA[[#This Row],[Literacy IPP]]='Writing Logic'!$E$26,"IPP",IF(OR(AJ219="EAL",AK219="EAL",AL219="EAL",AM219="EAL"),"EAL",IF(AJ219='Writing Logic'!$A$10,AVERAGE(VLOOKUP(AK219,'Writing Logic'!$A$3:$B$7,2,FALSE),VLOOKUP(AL219,'Writing Logic'!$A$3:$B$7,2,FALSE),VLOOKUP(AM219,'Writing Logic'!$A$3:$B$7,2,FALSE)),AVERAGE(VLOOKUP(AJ219,'Writing Logic'!$A$3:$B$7,2,FALSE),VLOOKUP(AK219,'Writing Logic'!$A$3:$B$7,2,FALSE),VLOOKUP(AL219,'Writing Logic'!$A$3:$B$7,2,FALSE),VLOOKUP(AM219,'Writing Logic'!$A$3:$B$7,2,FALSE))))),"Fill All 4")</f>
        <v>Fill All 4</v>
      </c>
      <c r="AO219" s="95" t="str">
        <f t="shared" si="18"/>
        <v/>
      </c>
      <c r="AP219" s="120"/>
      <c r="AQ219" s="120"/>
      <c r="AR219" s="120"/>
      <c r="AS219" s="120"/>
      <c r="AT219" s="95" t="str">
        <f>IFERROR(IF(YES_Writing_ELA[[#This Row],[Literacy IPP]]='Writing Logic'!$E$26,"IPP",IF(OR(AP219="EAL",AQ219="EAL",AR219="EAL",AS219="EAL"),"EAL",IF(AP219='Writing Logic'!$A$10,AVERAGE(VLOOKUP(AQ219,'Writing Logic'!$A$3:$B$7,2,FALSE),VLOOKUP(AR219,'Writing Logic'!$A$3:$B$7,2,FALSE),VLOOKUP(AS219,'Writing Logic'!$A$3:$B$7,2,FALSE)),AVERAGE(VLOOKUP(AP219,'Writing Logic'!$A$3:$B$7,2,FALSE),VLOOKUP(AQ219,'Writing Logic'!$A$3:$B$7,2,FALSE),VLOOKUP(AR219,'Writing Logic'!$A$3:$B$7,2,FALSE),VLOOKUP(AS219,'Writing Logic'!$A$3:$B$7,2,FALSE))))),"Fill All 4")</f>
        <v>Fill All 4</v>
      </c>
      <c r="AU219" s="95" t="str">
        <f t="shared" si="19"/>
        <v/>
      </c>
    </row>
    <row r="220" spans="1:47" x14ac:dyDescent="0.25">
      <c r="A220" s="13"/>
      <c r="B220" s="13"/>
      <c r="C220" s="13"/>
      <c r="D220" s="13"/>
      <c r="E220" s="13"/>
      <c r="F220" s="13"/>
      <c r="G220" s="13"/>
      <c r="H220" s="13"/>
      <c r="I220" s="13"/>
      <c r="J220" s="13"/>
      <c r="K220" s="183"/>
      <c r="L220" s="184"/>
      <c r="M220" s="120"/>
      <c r="N220" s="120"/>
      <c r="O220" s="120"/>
      <c r="P220" s="120"/>
      <c r="Q220" s="95" t="str">
        <f>IFERROR(IF(YES_Writing_ELA[[#This Row],[Literacy IPP]]='Writing Logic'!$E$26,"IPP",IF(OR(M220="EAL",N220="EAL",O220="EAL",P220="EAL"),"EAL",IF(M220='Writing Logic'!$A$10,AVERAGE(VLOOKUP(N220,'Writing Logic'!$A$3:$B$7,2,FALSE),VLOOKUP(O220,'Writing Logic'!$A$3:$B$7,2,FALSE),VLOOKUP(P220,'Writing Logic'!$A$3:$B$7,2,FALSE)),AVERAGE(VLOOKUP(M220,'Writing Logic'!$A$3:$B$7,2,FALSE),VLOOKUP(N220,'Writing Logic'!$A$3:$B$7,2,FALSE),VLOOKUP(O220,'Writing Logic'!$A$3:$B$7,2,FALSE),VLOOKUP(P220,'Writing Logic'!$A$3:$B$7,2,FALSE))))),"Fill All 4")</f>
        <v>Fill All 4</v>
      </c>
      <c r="R220" s="120"/>
      <c r="S220" s="120"/>
      <c r="T220" s="120"/>
      <c r="U220" s="120"/>
      <c r="V220" s="95" t="str">
        <f>IFERROR(IF(YES_Writing_ELA[[#This Row],[Literacy IPP]]='Writing Logic'!$E$26,"IPP",IF(OR(R220="EAL",S220="EAL",T220="EAL",U220="EAL"),"EAL",IF(R220='Writing Logic'!$A$10,AVERAGE(VLOOKUP(S220,'Writing Logic'!$A$3:$B$7,2,FALSE),VLOOKUP(T220,'Writing Logic'!$A$3:$B$7,2,FALSE),VLOOKUP(U220,'Writing Logic'!$A$3:$B$7,2,FALSE)),AVERAGE(VLOOKUP(R220,'Writing Logic'!$A$3:$B$7,2,FALSE),VLOOKUP(S220,'Writing Logic'!$A$3:$B$7,2,FALSE),VLOOKUP(T220,'Writing Logic'!$A$3:$B$7,2,FALSE),VLOOKUP(U220,'Writing Logic'!$A$3:$B$7,2,FALSE))))),"Fill All 4")</f>
        <v>Fill All 4</v>
      </c>
      <c r="W220" s="95" t="str">
        <f t="shared" si="15"/>
        <v/>
      </c>
      <c r="X220" s="120"/>
      <c r="Y220" s="120"/>
      <c r="Z220" s="120"/>
      <c r="AA220" s="120"/>
      <c r="AB220" s="95" t="str">
        <f>IFERROR(IF(YES_Writing_ELA[[#This Row],[Literacy IPP]]='Writing Logic'!$E$26,"IPP",IF(OR(X220="EAL",Y220="EAL",Z220="EAL",AA220="EAL"),"EAL",IF(X220='Writing Logic'!$A$10,AVERAGE(VLOOKUP(Y220,'Writing Logic'!$A$3:$B$7,2,FALSE),VLOOKUP(Z220,'Writing Logic'!$A$3:$B$7,2,FALSE),VLOOKUP(AA220,'Writing Logic'!$A$3:$B$7,2,FALSE)),AVERAGE(VLOOKUP(X220,'Writing Logic'!$A$3:$B$7,2,FALSE),VLOOKUP(Y220,'Writing Logic'!$A$3:$B$7,2,FALSE),VLOOKUP(Z220,'Writing Logic'!$A$3:$B$7,2,FALSE),VLOOKUP(AA220,'Writing Logic'!$A$3:$B$7,2,FALSE))))),"Fill All 4")</f>
        <v>Fill All 4</v>
      </c>
      <c r="AC220" s="95" t="str">
        <f t="shared" si="16"/>
        <v/>
      </c>
      <c r="AD220" s="120"/>
      <c r="AE220" s="120"/>
      <c r="AF220" s="120"/>
      <c r="AG220" s="120"/>
      <c r="AH220" s="95" t="str">
        <f>IFERROR(IF(YES_Writing_ELA[[#This Row],[Literacy IPP]]='Writing Logic'!$E$26,"IPP",IF(OR(AD220="EAL",AE220="EAL",AF220="EAL",AG220="EAL"),"EAL",IF(AD220='Writing Logic'!$A$10,AVERAGE(VLOOKUP(AE220,'Writing Logic'!$A$3:$B$7,2,FALSE),VLOOKUP(AF220,'Writing Logic'!$A$3:$B$7,2,FALSE),VLOOKUP(AG220,'Writing Logic'!$A$3:$B$7,2,FALSE)),AVERAGE(VLOOKUP(AD220,'Writing Logic'!$A$3:$B$7,2,FALSE),VLOOKUP(AE220,'Writing Logic'!$A$3:$B$7,2,FALSE),VLOOKUP(AF220,'Writing Logic'!$A$3:$B$7,2,FALSE),VLOOKUP(AG220,'Writing Logic'!$A$3:$B$7,2,FALSE))))),"Fill All 4")</f>
        <v>Fill All 4</v>
      </c>
      <c r="AI220" s="95" t="str">
        <f t="shared" si="17"/>
        <v/>
      </c>
      <c r="AJ220" s="183"/>
      <c r="AK220" s="120"/>
      <c r="AL220" s="120"/>
      <c r="AM220" s="120"/>
      <c r="AN220" s="95" t="str">
        <f>IFERROR(IF(YES_Writing_ELA[[#This Row],[Literacy IPP]]='Writing Logic'!$E$26,"IPP",IF(OR(AJ220="EAL",AK220="EAL",AL220="EAL",AM220="EAL"),"EAL",IF(AJ220='Writing Logic'!$A$10,AVERAGE(VLOOKUP(AK220,'Writing Logic'!$A$3:$B$7,2,FALSE),VLOOKUP(AL220,'Writing Logic'!$A$3:$B$7,2,FALSE),VLOOKUP(AM220,'Writing Logic'!$A$3:$B$7,2,FALSE)),AVERAGE(VLOOKUP(AJ220,'Writing Logic'!$A$3:$B$7,2,FALSE),VLOOKUP(AK220,'Writing Logic'!$A$3:$B$7,2,FALSE),VLOOKUP(AL220,'Writing Logic'!$A$3:$B$7,2,FALSE),VLOOKUP(AM220,'Writing Logic'!$A$3:$B$7,2,FALSE))))),"Fill All 4")</f>
        <v>Fill All 4</v>
      </c>
      <c r="AO220" s="95" t="str">
        <f t="shared" si="18"/>
        <v/>
      </c>
      <c r="AP220" s="120"/>
      <c r="AQ220" s="120"/>
      <c r="AR220" s="120"/>
      <c r="AS220" s="120"/>
      <c r="AT220" s="95" t="str">
        <f>IFERROR(IF(YES_Writing_ELA[[#This Row],[Literacy IPP]]='Writing Logic'!$E$26,"IPP",IF(OR(AP220="EAL",AQ220="EAL",AR220="EAL",AS220="EAL"),"EAL",IF(AP220='Writing Logic'!$A$10,AVERAGE(VLOOKUP(AQ220,'Writing Logic'!$A$3:$B$7,2,FALSE),VLOOKUP(AR220,'Writing Logic'!$A$3:$B$7,2,FALSE),VLOOKUP(AS220,'Writing Logic'!$A$3:$B$7,2,FALSE)),AVERAGE(VLOOKUP(AP220,'Writing Logic'!$A$3:$B$7,2,FALSE),VLOOKUP(AQ220,'Writing Logic'!$A$3:$B$7,2,FALSE),VLOOKUP(AR220,'Writing Logic'!$A$3:$B$7,2,FALSE),VLOOKUP(AS220,'Writing Logic'!$A$3:$B$7,2,FALSE))))),"Fill All 4")</f>
        <v>Fill All 4</v>
      </c>
      <c r="AU220" s="95" t="str">
        <f t="shared" si="19"/>
        <v/>
      </c>
    </row>
    <row r="221" spans="1:47" x14ac:dyDescent="0.25">
      <c r="A221" s="13"/>
      <c r="B221" s="13"/>
      <c r="C221" s="13"/>
      <c r="D221" s="13"/>
      <c r="E221" s="13"/>
      <c r="F221" s="13"/>
      <c r="G221" s="13"/>
      <c r="H221" s="13"/>
      <c r="I221" s="13"/>
      <c r="J221" s="13"/>
      <c r="K221" s="183"/>
      <c r="L221" s="184"/>
      <c r="M221" s="120"/>
      <c r="N221" s="120"/>
      <c r="O221" s="120"/>
      <c r="P221" s="120"/>
      <c r="Q221" s="95" t="str">
        <f>IFERROR(IF(YES_Writing_ELA[[#This Row],[Literacy IPP]]='Writing Logic'!$E$26,"IPP",IF(OR(M221="EAL",N221="EAL",O221="EAL",P221="EAL"),"EAL",IF(M221='Writing Logic'!$A$10,AVERAGE(VLOOKUP(N221,'Writing Logic'!$A$3:$B$7,2,FALSE),VLOOKUP(O221,'Writing Logic'!$A$3:$B$7,2,FALSE),VLOOKUP(P221,'Writing Logic'!$A$3:$B$7,2,FALSE)),AVERAGE(VLOOKUP(M221,'Writing Logic'!$A$3:$B$7,2,FALSE),VLOOKUP(N221,'Writing Logic'!$A$3:$B$7,2,FALSE),VLOOKUP(O221,'Writing Logic'!$A$3:$B$7,2,FALSE),VLOOKUP(P221,'Writing Logic'!$A$3:$B$7,2,FALSE))))),"Fill All 4")</f>
        <v>Fill All 4</v>
      </c>
      <c r="R221" s="120"/>
      <c r="S221" s="120"/>
      <c r="T221" s="120"/>
      <c r="U221" s="120"/>
      <c r="V221" s="95" t="str">
        <f>IFERROR(IF(YES_Writing_ELA[[#This Row],[Literacy IPP]]='Writing Logic'!$E$26,"IPP",IF(OR(R221="EAL",S221="EAL",T221="EAL",U221="EAL"),"EAL",IF(R221='Writing Logic'!$A$10,AVERAGE(VLOOKUP(S221,'Writing Logic'!$A$3:$B$7,2,FALSE),VLOOKUP(T221,'Writing Logic'!$A$3:$B$7,2,FALSE),VLOOKUP(U221,'Writing Logic'!$A$3:$B$7,2,FALSE)),AVERAGE(VLOOKUP(R221,'Writing Logic'!$A$3:$B$7,2,FALSE),VLOOKUP(S221,'Writing Logic'!$A$3:$B$7,2,FALSE),VLOOKUP(T221,'Writing Logic'!$A$3:$B$7,2,FALSE),VLOOKUP(U221,'Writing Logic'!$A$3:$B$7,2,FALSE))))),"Fill All 4")</f>
        <v>Fill All 4</v>
      </c>
      <c r="W221" s="95" t="str">
        <f t="shared" si="15"/>
        <v/>
      </c>
      <c r="X221" s="120"/>
      <c r="Y221" s="120"/>
      <c r="Z221" s="120"/>
      <c r="AA221" s="120"/>
      <c r="AB221" s="95" t="str">
        <f>IFERROR(IF(YES_Writing_ELA[[#This Row],[Literacy IPP]]='Writing Logic'!$E$26,"IPP",IF(OR(X221="EAL",Y221="EAL",Z221="EAL",AA221="EAL"),"EAL",IF(X221='Writing Logic'!$A$10,AVERAGE(VLOOKUP(Y221,'Writing Logic'!$A$3:$B$7,2,FALSE),VLOOKUP(Z221,'Writing Logic'!$A$3:$B$7,2,FALSE),VLOOKUP(AA221,'Writing Logic'!$A$3:$B$7,2,FALSE)),AVERAGE(VLOOKUP(X221,'Writing Logic'!$A$3:$B$7,2,FALSE),VLOOKUP(Y221,'Writing Logic'!$A$3:$B$7,2,FALSE),VLOOKUP(Z221,'Writing Logic'!$A$3:$B$7,2,FALSE),VLOOKUP(AA221,'Writing Logic'!$A$3:$B$7,2,FALSE))))),"Fill All 4")</f>
        <v>Fill All 4</v>
      </c>
      <c r="AC221" s="95" t="str">
        <f t="shared" si="16"/>
        <v/>
      </c>
      <c r="AD221" s="120"/>
      <c r="AE221" s="120"/>
      <c r="AF221" s="120"/>
      <c r="AG221" s="120"/>
      <c r="AH221" s="95" t="str">
        <f>IFERROR(IF(YES_Writing_ELA[[#This Row],[Literacy IPP]]='Writing Logic'!$E$26,"IPP",IF(OR(AD221="EAL",AE221="EAL",AF221="EAL",AG221="EAL"),"EAL",IF(AD221='Writing Logic'!$A$10,AVERAGE(VLOOKUP(AE221,'Writing Logic'!$A$3:$B$7,2,FALSE),VLOOKUP(AF221,'Writing Logic'!$A$3:$B$7,2,FALSE),VLOOKUP(AG221,'Writing Logic'!$A$3:$B$7,2,FALSE)),AVERAGE(VLOOKUP(AD221,'Writing Logic'!$A$3:$B$7,2,FALSE),VLOOKUP(AE221,'Writing Logic'!$A$3:$B$7,2,FALSE),VLOOKUP(AF221,'Writing Logic'!$A$3:$B$7,2,FALSE),VLOOKUP(AG221,'Writing Logic'!$A$3:$B$7,2,FALSE))))),"Fill All 4")</f>
        <v>Fill All 4</v>
      </c>
      <c r="AI221" s="95" t="str">
        <f t="shared" si="17"/>
        <v/>
      </c>
      <c r="AJ221" s="183"/>
      <c r="AK221" s="120"/>
      <c r="AL221" s="120"/>
      <c r="AM221" s="120"/>
      <c r="AN221" s="95" t="str">
        <f>IFERROR(IF(YES_Writing_ELA[[#This Row],[Literacy IPP]]='Writing Logic'!$E$26,"IPP",IF(OR(AJ221="EAL",AK221="EAL",AL221="EAL",AM221="EAL"),"EAL",IF(AJ221='Writing Logic'!$A$10,AVERAGE(VLOOKUP(AK221,'Writing Logic'!$A$3:$B$7,2,FALSE),VLOOKUP(AL221,'Writing Logic'!$A$3:$B$7,2,FALSE),VLOOKUP(AM221,'Writing Logic'!$A$3:$B$7,2,FALSE)),AVERAGE(VLOOKUP(AJ221,'Writing Logic'!$A$3:$B$7,2,FALSE),VLOOKUP(AK221,'Writing Logic'!$A$3:$B$7,2,FALSE),VLOOKUP(AL221,'Writing Logic'!$A$3:$B$7,2,FALSE),VLOOKUP(AM221,'Writing Logic'!$A$3:$B$7,2,FALSE))))),"Fill All 4")</f>
        <v>Fill All 4</v>
      </c>
      <c r="AO221" s="95" t="str">
        <f t="shared" si="18"/>
        <v/>
      </c>
      <c r="AP221" s="120"/>
      <c r="AQ221" s="120"/>
      <c r="AR221" s="120"/>
      <c r="AS221" s="120"/>
      <c r="AT221" s="95" t="str">
        <f>IFERROR(IF(YES_Writing_ELA[[#This Row],[Literacy IPP]]='Writing Logic'!$E$26,"IPP",IF(OR(AP221="EAL",AQ221="EAL",AR221="EAL",AS221="EAL"),"EAL",IF(AP221='Writing Logic'!$A$10,AVERAGE(VLOOKUP(AQ221,'Writing Logic'!$A$3:$B$7,2,FALSE),VLOOKUP(AR221,'Writing Logic'!$A$3:$B$7,2,FALSE),VLOOKUP(AS221,'Writing Logic'!$A$3:$B$7,2,FALSE)),AVERAGE(VLOOKUP(AP221,'Writing Logic'!$A$3:$B$7,2,FALSE),VLOOKUP(AQ221,'Writing Logic'!$A$3:$B$7,2,FALSE),VLOOKUP(AR221,'Writing Logic'!$A$3:$B$7,2,FALSE),VLOOKUP(AS221,'Writing Logic'!$A$3:$B$7,2,FALSE))))),"Fill All 4")</f>
        <v>Fill All 4</v>
      </c>
      <c r="AU221" s="95" t="str">
        <f t="shared" si="19"/>
        <v/>
      </c>
    </row>
    <row r="222" spans="1:47" x14ac:dyDescent="0.25">
      <c r="A222" s="13"/>
      <c r="B222" s="13"/>
      <c r="C222" s="13"/>
      <c r="D222" s="13"/>
      <c r="E222" s="13"/>
      <c r="F222" s="13"/>
      <c r="G222" s="13"/>
      <c r="H222" s="13"/>
      <c r="I222" s="13"/>
      <c r="J222" s="13"/>
      <c r="K222" s="183"/>
      <c r="L222" s="184"/>
      <c r="M222" s="120"/>
      <c r="N222" s="120"/>
      <c r="O222" s="120"/>
      <c r="P222" s="120"/>
      <c r="Q222" s="95" t="str">
        <f>IFERROR(IF(YES_Writing_ELA[[#This Row],[Literacy IPP]]='Writing Logic'!$E$26,"IPP",IF(OR(M222="EAL",N222="EAL",O222="EAL",P222="EAL"),"EAL",IF(M222='Writing Logic'!$A$10,AVERAGE(VLOOKUP(N222,'Writing Logic'!$A$3:$B$7,2,FALSE),VLOOKUP(O222,'Writing Logic'!$A$3:$B$7,2,FALSE),VLOOKUP(P222,'Writing Logic'!$A$3:$B$7,2,FALSE)),AVERAGE(VLOOKUP(M222,'Writing Logic'!$A$3:$B$7,2,FALSE),VLOOKUP(N222,'Writing Logic'!$A$3:$B$7,2,FALSE),VLOOKUP(O222,'Writing Logic'!$A$3:$B$7,2,FALSE),VLOOKUP(P222,'Writing Logic'!$A$3:$B$7,2,FALSE))))),"Fill All 4")</f>
        <v>Fill All 4</v>
      </c>
      <c r="R222" s="120"/>
      <c r="S222" s="120"/>
      <c r="T222" s="120"/>
      <c r="U222" s="120"/>
      <c r="V222" s="95" t="str">
        <f>IFERROR(IF(YES_Writing_ELA[[#This Row],[Literacy IPP]]='Writing Logic'!$E$26,"IPP",IF(OR(R222="EAL",S222="EAL",T222="EAL",U222="EAL"),"EAL",IF(R222='Writing Logic'!$A$10,AVERAGE(VLOOKUP(S222,'Writing Logic'!$A$3:$B$7,2,FALSE),VLOOKUP(T222,'Writing Logic'!$A$3:$B$7,2,FALSE),VLOOKUP(U222,'Writing Logic'!$A$3:$B$7,2,FALSE)),AVERAGE(VLOOKUP(R222,'Writing Logic'!$A$3:$B$7,2,FALSE),VLOOKUP(S222,'Writing Logic'!$A$3:$B$7,2,FALSE),VLOOKUP(T222,'Writing Logic'!$A$3:$B$7,2,FALSE),VLOOKUP(U222,'Writing Logic'!$A$3:$B$7,2,FALSE))))),"Fill All 4")</f>
        <v>Fill All 4</v>
      </c>
      <c r="W222" s="95" t="str">
        <f t="shared" si="15"/>
        <v/>
      </c>
      <c r="X222" s="120"/>
      <c r="Y222" s="120"/>
      <c r="Z222" s="120"/>
      <c r="AA222" s="120"/>
      <c r="AB222" s="95" t="str">
        <f>IFERROR(IF(YES_Writing_ELA[[#This Row],[Literacy IPP]]='Writing Logic'!$E$26,"IPP",IF(OR(X222="EAL",Y222="EAL",Z222="EAL",AA222="EAL"),"EAL",IF(X222='Writing Logic'!$A$10,AVERAGE(VLOOKUP(Y222,'Writing Logic'!$A$3:$B$7,2,FALSE),VLOOKUP(Z222,'Writing Logic'!$A$3:$B$7,2,FALSE),VLOOKUP(AA222,'Writing Logic'!$A$3:$B$7,2,FALSE)),AVERAGE(VLOOKUP(X222,'Writing Logic'!$A$3:$B$7,2,FALSE),VLOOKUP(Y222,'Writing Logic'!$A$3:$B$7,2,FALSE),VLOOKUP(Z222,'Writing Logic'!$A$3:$B$7,2,FALSE),VLOOKUP(AA222,'Writing Logic'!$A$3:$B$7,2,FALSE))))),"Fill All 4")</f>
        <v>Fill All 4</v>
      </c>
      <c r="AC222" s="95" t="str">
        <f t="shared" si="16"/>
        <v/>
      </c>
      <c r="AD222" s="120"/>
      <c r="AE222" s="120"/>
      <c r="AF222" s="120"/>
      <c r="AG222" s="120"/>
      <c r="AH222" s="95" t="str">
        <f>IFERROR(IF(YES_Writing_ELA[[#This Row],[Literacy IPP]]='Writing Logic'!$E$26,"IPP",IF(OR(AD222="EAL",AE222="EAL",AF222="EAL",AG222="EAL"),"EAL",IF(AD222='Writing Logic'!$A$10,AVERAGE(VLOOKUP(AE222,'Writing Logic'!$A$3:$B$7,2,FALSE),VLOOKUP(AF222,'Writing Logic'!$A$3:$B$7,2,FALSE),VLOOKUP(AG222,'Writing Logic'!$A$3:$B$7,2,FALSE)),AVERAGE(VLOOKUP(AD222,'Writing Logic'!$A$3:$B$7,2,FALSE),VLOOKUP(AE222,'Writing Logic'!$A$3:$B$7,2,FALSE),VLOOKUP(AF222,'Writing Logic'!$A$3:$B$7,2,FALSE),VLOOKUP(AG222,'Writing Logic'!$A$3:$B$7,2,FALSE))))),"Fill All 4")</f>
        <v>Fill All 4</v>
      </c>
      <c r="AI222" s="95" t="str">
        <f t="shared" si="17"/>
        <v/>
      </c>
      <c r="AJ222" s="183"/>
      <c r="AK222" s="120"/>
      <c r="AL222" s="120"/>
      <c r="AM222" s="120"/>
      <c r="AN222" s="95" t="str">
        <f>IFERROR(IF(YES_Writing_ELA[[#This Row],[Literacy IPP]]='Writing Logic'!$E$26,"IPP",IF(OR(AJ222="EAL",AK222="EAL",AL222="EAL",AM222="EAL"),"EAL",IF(AJ222='Writing Logic'!$A$10,AVERAGE(VLOOKUP(AK222,'Writing Logic'!$A$3:$B$7,2,FALSE),VLOOKUP(AL222,'Writing Logic'!$A$3:$B$7,2,FALSE),VLOOKUP(AM222,'Writing Logic'!$A$3:$B$7,2,FALSE)),AVERAGE(VLOOKUP(AJ222,'Writing Logic'!$A$3:$B$7,2,FALSE),VLOOKUP(AK222,'Writing Logic'!$A$3:$B$7,2,FALSE),VLOOKUP(AL222,'Writing Logic'!$A$3:$B$7,2,FALSE),VLOOKUP(AM222,'Writing Logic'!$A$3:$B$7,2,FALSE))))),"Fill All 4")</f>
        <v>Fill All 4</v>
      </c>
      <c r="AO222" s="95" t="str">
        <f t="shared" si="18"/>
        <v/>
      </c>
      <c r="AP222" s="120"/>
      <c r="AQ222" s="120"/>
      <c r="AR222" s="120"/>
      <c r="AS222" s="120"/>
      <c r="AT222" s="95" t="str">
        <f>IFERROR(IF(YES_Writing_ELA[[#This Row],[Literacy IPP]]='Writing Logic'!$E$26,"IPP",IF(OR(AP222="EAL",AQ222="EAL",AR222="EAL",AS222="EAL"),"EAL",IF(AP222='Writing Logic'!$A$10,AVERAGE(VLOOKUP(AQ222,'Writing Logic'!$A$3:$B$7,2,FALSE),VLOOKUP(AR222,'Writing Logic'!$A$3:$B$7,2,FALSE),VLOOKUP(AS222,'Writing Logic'!$A$3:$B$7,2,FALSE)),AVERAGE(VLOOKUP(AP222,'Writing Logic'!$A$3:$B$7,2,FALSE),VLOOKUP(AQ222,'Writing Logic'!$A$3:$B$7,2,FALSE),VLOOKUP(AR222,'Writing Logic'!$A$3:$B$7,2,FALSE),VLOOKUP(AS222,'Writing Logic'!$A$3:$B$7,2,FALSE))))),"Fill All 4")</f>
        <v>Fill All 4</v>
      </c>
      <c r="AU222" s="95" t="str">
        <f t="shared" si="19"/>
        <v/>
      </c>
    </row>
    <row r="223" spans="1:47" x14ac:dyDescent="0.25">
      <c r="A223" s="13"/>
      <c r="B223" s="13"/>
      <c r="C223" s="13"/>
      <c r="D223" s="13"/>
      <c r="E223" s="13"/>
      <c r="F223" s="13"/>
      <c r="G223" s="13"/>
      <c r="H223" s="13"/>
      <c r="I223" s="13"/>
      <c r="J223" s="13"/>
      <c r="K223" s="183"/>
      <c r="L223" s="184"/>
      <c r="M223" s="120"/>
      <c r="N223" s="120"/>
      <c r="O223" s="120"/>
      <c r="P223" s="120"/>
      <c r="Q223" s="95" t="str">
        <f>IFERROR(IF(YES_Writing_ELA[[#This Row],[Literacy IPP]]='Writing Logic'!$E$26,"IPP",IF(OR(M223="EAL",N223="EAL",O223="EAL",P223="EAL"),"EAL",IF(M223='Writing Logic'!$A$10,AVERAGE(VLOOKUP(N223,'Writing Logic'!$A$3:$B$7,2,FALSE),VLOOKUP(O223,'Writing Logic'!$A$3:$B$7,2,FALSE),VLOOKUP(P223,'Writing Logic'!$A$3:$B$7,2,FALSE)),AVERAGE(VLOOKUP(M223,'Writing Logic'!$A$3:$B$7,2,FALSE),VLOOKUP(N223,'Writing Logic'!$A$3:$B$7,2,FALSE),VLOOKUP(O223,'Writing Logic'!$A$3:$B$7,2,FALSE),VLOOKUP(P223,'Writing Logic'!$A$3:$B$7,2,FALSE))))),"Fill All 4")</f>
        <v>Fill All 4</v>
      </c>
      <c r="R223" s="120"/>
      <c r="S223" s="120"/>
      <c r="T223" s="120"/>
      <c r="U223" s="120"/>
      <c r="V223" s="95" t="str">
        <f>IFERROR(IF(YES_Writing_ELA[[#This Row],[Literacy IPP]]='Writing Logic'!$E$26,"IPP",IF(OR(R223="EAL",S223="EAL",T223="EAL",U223="EAL"),"EAL",IF(R223='Writing Logic'!$A$10,AVERAGE(VLOOKUP(S223,'Writing Logic'!$A$3:$B$7,2,FALSE),VLOOKUP(T223,'Writing Logic'!$A$3:$B$7,2,FALSE),VLOOKUP(U223,'Writing Logic'!$A$3:$B$7,2,FALSE)),AVERAGE(VLOOKUP(R223,'Writing Logic'!$A$3:$B$7,2,FALSE),VLOOKUP(S223,'Writing Logic'!$A$3:$B$7,2,FALSE),VLOOKUP(T223,'Writing Logic'!$A$3:$B$7,2,FALSE),VLOOKUP(U223,'Writing Logic'!$A$3:$B$7,2,FALSE))))),"Fill All 4")</f>
        <v>Fill All 4</v>
      </c>
      <c r="W223" s="95" t="str">
        <f t="shared" si="15"/>
        <v/>
      </c>
      <c r="X223" s="120"/>
      <c r="Y223" s="120"/>
      <c r="Z223" s="120"/>
      <c r="AA223" s="120"/>
      <c r="AB223" s="95" t="str">
        <f>IFERROR(IF(YES_Writing_ELA[[#This Row],[Literacy IPP]]='Writing Logic'!$E$26,"IPP",IF(OR(X223="EAL",Y223="EAL",Z223="EAL",AA223="EAL"),"EAL",IF(X223='Writing Logic'!$A$10,AVERAGE(VLOOKUP(Y223,'Writing Logic'!$A$3:$B$7,2,FALSE),VLOOKUP(Z223,'Writing Logic'!$A$3:$B$7,2,FALSE),VLOOKUP(AA223,'Writing Logic'!$A$3:$B$7,2,FALSE)),AVERAGE(VLOOKUP(X223,'Writing Logic'!$A$3:$B$7,2,FALSE),VLOOKUP(Y223,'Writing Logic'!$A$3:$B$7,2,FALSE),VLOOKUP(Z223,'Writing Logic'!$A$3:$B$7,2,FALSE),VLOOKUP(AA223,'Writing Logic'!$A$3:$B$7,2,FALSE))))),"Fill All 4")</f>
        <v>Fill All 4</v>
      </c>
      <c r="AC223" s="95" t="str">
        <f t="shared" si="16"/>
        <v/>
      </c>
      <c r="AD223" s="120"/>
      <c r="AE223" s="120"/>
      <c r="AF223" s="120"/>
      <c r="AG223" s="120"/>
      <c r="AH223" s="95" t="str">
        <f>IFERROR(IF(YES_Writing_ELA[[#This Row],[Literacy IPP]]='Writing Logic'!$E$26,"IPP",IF(OR(AD223="EAL",AE223="EAL",AF223="EAL",AG223="EAL"),"EAL",IF(AD223='Writing Logic'!$A$10,AVERAGE(VLOOKUP(AE223,'Writing Logic'!$A$3:$B$7,2,FALSE),VLOOKUP(AF223,'Writing Logic'!$A$3:$B$7,2,FALSE),VLOOKUP(AG223,'Writing Logic'!$A$3:$B$7,2,FALSE)),AVERAGE(VLOOKUP(AD223,'Writing Logic'!$A$3:$B$7,2,FALSE),VLOOKUP(AE223,'Writing Logic'!$A$3:$B$7,2,FALSE),VLOOKUP(AF223,'Writing Logic'!$A$3:$B$7,2,FALSE),VLOOKUP(AG223,'Writing Logic'!$A$3:$B$7,2,FALSE))))),"Fill All 4")</f>
        <v>Fill All 4</v>
      </c>
      <c r="AI223" s="95" t="str">
        <f t="shared" si="17"/>
        <v/>
      </c>
      <c r="AJ223" s="183"/>
      <c r="AK223" s="120"/>
      <c r="AL223" s="120"/>
      <c r="AM223" s="120"/>
      <c r="AN223" s="95" t="str">
        <f>IFERROR(IF(YES_Writing_ELA[[#This Row],[Literacy IPP]]='Writing Logic'!$E$26,"IPP",IF(OR(AJ223="EAL",AK223="EAL",AL223="EAL",AM223="EAL"),"EAL",IF(AJ223='Writing Logic'!$A$10,AVERAGE(VLOOKUP(AK223,'Writing Logic'!$A$3:$B$7,2,FALSE),VLOOKUP(AL223,'Writing Logic'!$A$3:$B$7,2,FALSE),VLOOKUP(AM223,'Writing Logic'!$A$3:$B$7,2,FALSE)),AVERAGE(VLOOKUP(AJ223,'Writing Logic'!$A$3:$B$7,2,FALSE),VLOOKUP(AK223,'Writing Logic'!$A$3:$B$7,2,FALSE),VLOOKUP(AL223,'Writing Logic'!$A$3:$B$7,2,FALSE),VLOOKUP(AM223,'Writing Logic'!$A$3:$B$7,2,FALSE))))),"Fill All 4")</f>
        <v>Fill All 4</v>
      </c>
      <c r="AO223" s="95" t="str">
        <f t="shared" si="18"/>
        <v/>
      </c>
      <c r="AP223" s="120"/>
      <c r="AQ223" s="120"/>
      <c r="AR223" s="120"/>
      <c r="AS223" s="120"/>
      <c r="AT223" s="95" t="str">
        <f>IFERROR(IF(YES_Writing_ELA[[#This Row],[Literacy IPP]]='Writing Logic'!$E$26,"IPP",IF(OR(AP223="EAL",AQ223="EAL",AR223="EAL",AS223="EAL"),"EAL",IF(AP223='Writing Logic'!$A$10,AVERAGE(VLOOKUP(AQ223,'Writing Logic'!$A$3:$B$7,2,FALSE),VLOOKUP(AR223,'Writing Logic'!$A$3:$B$7,2,FALSE),VLOOKUP(AS223,'Writing Logic'!$A$3:$B$7,2,FALSE)),AVERAGE(VLOOKUP(AP223,'Writing Logic'!$A$3:$B$7,2,FALSE),VLOOKUP(AQ223,'Writing Logic'!$A$3:$B$7,2,FALSE),VLOOKUP(AR223,'Writing Logic'!$A$3:$B$7,2,FALSE),VLOOKUP(AS223,'Writing Logic'!$A$3:$B$7,2,FALSE))))),"Fill All 4")</f>
        <v>Fill All 4</v>
      </c>
      <c r="AU223" s="95" t="str">
        <f t="shared" si="19"/>
        <v/>
      </c>
    </row>
    <row r="224" spans="1:47" x14ac:dyDescent="0.25">
      <c r="A224" s="13"/>
      <c r="B224" s="13"/>
      <c r="C224" s="13"/>
      <c r="D224" s="13"/>
      <c r="E224" s="13"/>
      <c r="F224" s="13"/>
      <c r="G224" s="13"/>
      <c r="H224" s="13"/>
      <c r="I224" s="13"/>
      <c r="J224" s="13"/>
      <c r="K224" s="183"/>
      <c r="L224" s="184"/>
      <c r="M224" s="120"/>
      <c r="N224" s="120"/>
      <c r="O224" s="120"/>
      <c r="P224" s="120"/>
      <c r="Q224" s="95" t="str">
        <f>IFERROR(IF(YES_Writing_ELA[[#This Row],[Literacy IPP]]='Writing Logic'!$E$26,"IPP",IF(OR(M224="EAL",N224="EAL",O224="EAL",P224="EAL"),"EAL",IF(M224='Writing Logic'!$A$10,AVERAGE(VLOOKUP(N224,'Writing Logic'!$A$3:$B$7,2,FALSE),VLOOKUP(O224,'Writing Logic'!$A$3:$B$7,2,FALSE),VLOOKUP(P224,'Writing Logic'!$A$3:$B$7,2,FALSE)),AVERAGE(VLOOKUP(M224,'Writing Logic'!$A$3:$B$7,2,FALSE),VLOOKUP(N224,'Writing Logic'!$A$3:$B$7,2,FALSE),VLOOKUP(O224,'Writing Logic'!$A$3:$B$7,2,FALSE),VLOOKUP(P224,'Writing Logic'!$A$3:$B$7,2,FALSE))))),"Fill All 4")</f>
        <v>Fill All 4</v>
      </c>
      <c r="R224" s="120"/>
      <c r="S224" s="120"/>
      <c r="T224" s="120"/>
      <c r="U224" s="120"/>
      <c r="V224" s="95" t="str">
        <f>IFERROR(IF(YES_Writing_ELA[[#This Row],[Literacy IPP]]='Writing Logic'!$E$26,"IPP",IF(OR(R224="EAL",S224="EAL",T224="EAL",U224="EAL"),"EAL",IF(R224='Writing Logic'!$A$10,AVERAGE(VLOOKUP(S224,'Writing Logic'!$A$3:$B$7,2,FALSE),VLOOKUP(T224,'Writing Logic'!$A$3:$B$7,2,FALSE),VLOOKUP(U224,'Writing Logic'!$A$3:$B$7,2,FALSE)),AVERAGE(VLOOKUP(R224,'Writing Logic'!$A$3:$B$7,2,FALSE),VLOOKUP(S224,'Writing Logic'!$A$3:$B$7,2,FALSE),VLOOKUP(T224,'Writing Logic'!$A$3:$B$7,2,FALSE),VLOOKUP(U224,'Writing Logic'!$A$3:$B$7,2,FALSE))))),"Fill All 4")</f>
        <v>Fill All 4</v>
      </c>
      <c r="W224" s="95" t="str">
        <f t="shared" si="15"/>
        <v/>
      </c>
      <c r="X224" s="120"/>
      <c r="Y224" s="120"/>
      <c r="Z224" s="120"/>
      <c r="AA224" s="120"/>
      <c r="AB224" s="95" t="str">
        <f>IFERROR(IF(YES_Writing_ELA[[#This Row],[Literacy IPP]]='Writing Logic'!$E$26,"IPP",IF(OR(X224="EAL",Y224="EAL",Z224="EAL",AA224="EAL"),"EAL",IF(X224='Writing Logic'!$A$10,AVERAGE(VLOOKUP(Y224,'Writing Logic'!$A$3:$B$7,2,FALSE),VLOOKUP(Z224,'Writing Logic'!$A$3:$B$7,2,FALSE),VLOOKUP(AA224,'Writing Logic'!$A$3:$B$7,2,FALSE)),AVERAGE(VLOOKUP(X224,'Writing Logic'!$A$3:$B$7,2,FALSE),VLOOKUP(Y224,'Writing Logic'!$A$3:$B$7,2,FALSE),VLOOKUP(Z224,'Writing Logic'!$A$3:$B$7,2,FALSE),VLOOKUP(AA224,'Writing Logic'!$A$3:$B$7,2,FALSE))))),"Fill All 4")</f>
        <v>Fill All 4</v>
      </c>
      <c r="AC224" s="95" t="str">
        <f t="shared" si="16"/>
        <v/>
      </c>
      <c r="AD224" s="120"/>
      <c r="AE224" s="120"/>
      <c r="AF224" s="120"/>
      <c r="AG224" s="120"/>
      <c r="AH224" s="95" t="str">
        <f>IFERROR(IF(YES_Writing_ELA[[#This Row],[Literacy IPP]]='Writing Logic'!$E$26,"IPP",IF(OR(AD224="EAL",AE224="EAL",AF224="EAL",AG224="EAL"),"EAL",IF(AD224='Writing Logic'!$A$10,AVERAGE(VLOOKUP(AE224,'Writing Logic'!$A$3:$B$7,2,FALSE),VLOOKUP(AF224,'Writing Logic'!$A$3:$B$7,2,FALSE),VLOOKUP(AG224,'Writing Logic'!$A$3:$B$7,2,FALSE)),AVERAGE(VLOOKUP(AD224,'Writing Logic'!$A$3:$B$7,2,FALSE),VLOOKUP(AE224,'Writing Logic'!$A$3:$B$7,2,FALSE),VLOOKUP(AF224,'Writing Logic'!$A$3:$B$7,2,FALSE),VLOOKUP(AG224,'Writing Logic'!$A$3:$B$7,2,FALSE))))),"Fill All 4")</f>
        <v>Fill All 4</v>
      </c>
      <c r="AI224" s="95" t="str">
        <f t="shared" si="17"/>
        <v/>
      </c>
      <c r="AJ224" s="183"/>
      <c r="AK224" s="120"/>
      <c r="AL224" s="120"/>
      <c r="AM224" s="120"/>
      <c r="AN224" s="95" t="str">
        <f>IFERROR(IF(YES_Writing_ELA[[#This Row],[Literacy IPP]]='Writing Logic'!$E$26,"IPP",IF(OR(AJ224="EAL",AK224="EAL",AL224="EAL",AM224="EAL"),"EAL",IF(AJ224='Writing Logic'!$A$10,AVERAGE(VLOOKUP(AK224,'Writing Logic'!$A$3:$B$7,2,FALSE),VLOOKUP(AL224,'Writing Logic'!$A$3:$B$7,2,FALSE),VLOOKUP(AM224,'Writing Logic'!$A$3:$B$7,2,FALSE)),AVERAGE(VLOOKUP(AJ224,'Writing Logic'!$A$3:$B$7,2,FALSE),VLOOKUP(AK224,'Writing Logic'!$A$3:$B$7,2,FALSE),VLOOKUP(AL224,'Writing Logic'!$A$3:$B$7,2,FALSE),VLOOKUP(AM224,'Writing Logic'!$A$3:$B$7,2,FALSE))))),"Fill All 4")</f>
        <v>Fill All 4</v>
      </c>
      <c r="AO224" s="95" t="str">
        <f t="shared" si="18"/>
        <v/>
      </c>
      <c r="AP224" s="120"/>
      <c r="AQ224" s="120"/>
      <c r="AR224" s="120"/>
      <c r="AS224" s="120"/>
      <c r="AT224" s="95" t="str">
        <f>IFERROR(IF(YES_Writing_ELA[[#This Row],[Literacy IPP]]='Writing Logic'!$E$26,"IPP",IF(OR(AP224="EAL",AQ224="EAL",AR224="EAL",AS224="EAL"),"EAL",IF(AP224='Writing Logic'!$A$10,AVERAGE(VLOOKUP(AQ224,'Writing Logic'!$A$3:$B$7,2,FALSE),VLOOKUP(AR224,'Writing Logic'!$A$3:$B$7,2,FALSE),VLOOKUP(AS224,'Writing Logic'!$A$3:$B$7,2,FALSE)),AVERAGE(VLOOKUP(AP224,'Writing Logic'!$A$3:$B$7,2,FALSE),VLOOKUP(AQ224,'Writing Logic'!$A$3:$B$7,2,FALSE),VLOOKUP(AR224,'Writing Logic'!$A$3:$B$7,2,FALSE),VLOOKUP(AS224,'Writing Logic'!$A$3:$B$7,2,FALSE))))),"Fill All 4")</f>
        <v>Fill All 4</v>
      </c>
      <c r="AU224" s="95" t="str">
        <f t="shared" si="19"/>
        <v/>
      </c>
    </row>
    <row r="225" spans="1:47" x14ac:dyDescent="0.25">
      <c r="A225" s="13"/>
      <c r="B225" s="13"/>
      <c r="C225" s="13"/>
      <c r="D225" s="13"/>
      <c r="E225" s="13"/>
      <c r="F225" s="13"/>
      <c r="G225" s="13"/>
      <c r="H225" s="13"/>
      <c r="I225" s="13"/>
      <c r="J225" s="13"/>
      <c r="K225" s="183"/>
      <c r="L225" s="184"/>
      <c r="M225" s="120"/>
      <c r="N225" s="120"/>
      <c r="O225" s="120"/>
      <c r="P225" s="120"/>
      <c r="Q225" s="95" t="str">
        <f>IFERROR(IF(YES_Writing_ELA[[#This Row],[Literacy IPP]]='Writing Logic'!$E$26,"IPP",IF(OR(M225="EAL",N225="EAL",O225="EAL",P225="EAL"),"EAL",IF(M225='Writing Logic'!$A$10,AVERAGE(VLOOKUP(N225,'Writing Logic'!$A$3:$B$7,2,FALSE),VLOOKUP(O225,'Writing Logic'!$A$3:$B$7,2,FALSE),VLOOKUP(P225,'Writing Logic'!$A$3:$B$7,2,FALSE)),AVERAGE(VLOOKUP(M225,'Writing Logic'!$A$3:$B$7,2,FALSE),VLOOKUP(N225,'Writing Logic'!$A$3:$B$7,2,FALSE),VLOOKUP(O225,'Writing Logic'!$A$3:$B$7,2,FALSE),VLOOKUP(P225,'Writing Logic'!$A$3:$B$7,2,FALSE))))),"Fill All 4")</f>
        <v>Fill All 4</v>
      </c>
      <c r="R225" s="120"/>
      <c r="S225" s="120"/>
      <c r="T225" s="120"/>
      <c r="U225" s="120"/>
      <c r="V225" s="95" t="str">
        <f>IFERROR(IF(YES_Writing_ELA[[#This Row],[Literacy IPP]]='Writing Logic'!$E$26,"IPP",IF(OR(R225="EAL",S225="EAL",T225="EAL",U225="EAL"),"EAL",IF(R225='Writing Logic'!$A$10,AVERAGE(VLOOKUP(S225,'Writing Logic'!$A$3:$B$7,2,FALSE),VLOOKUP(T225,'Writing Logic'!$A$3:$B$7,2,FALSE),VLOOKUP(U225,'Writing Logic'!$A$3:$B$7,2,FALSE)),AVERAGE(VLOOKUP(R225,'Writing Logic'!$A$3:$B$7,2,FALSE),VLOOKUP(S225,'Writing Logic'!$A$3:$B$7,2,FALSE),VLOOKUP(T225,'Writing Logic'!$A$3:$B$7,2,FALSE),VLOOKUP(U225,'Writing Logic'!$A$3:$B$7,2,FALSE))))),"Fill All 4")</f>
        <v>Fill All 4</v>
      </c>
      <c r="W225" s="95" t="str">
        <f t="shared" si="15"/>
        <v/>
      </c>
      <c r="X225" s="120"/>
      <c r="Y225" s="120"/>
      <c r="Z225" s="120"/>
      <c r="AA225" s="120"/>
      <c r="AB225" s="95" t="str">
        <f>IFERROR(IF(YES_Writing_ELA[[#This Row],[Literacy IPP]]='Writing Logic'!$E$26,"IPP",IF(OR(X225="EAL",Y225="EAL",Z225="EAL",AA225="EAL"),"EAL",IF(X225='Writing Logic'!$A$10,AVERAGE(VLOOKUP(Y225,'Writing Logic'!$A$3:$B$7,2,FALSE),VLOOKUP(Z225,'Writing Logic'!$A$3:$B$7,2,FALSE),VLOOKUP(AA225,'Writing Logic'!$A$3:$B$7,2,FALSE)),AVERAGE(VLOOKUP(X225,'Writing Logic'!$A$3:$B$7,2,FALSE),VLOOKUP(Y225,'Writing Logic'!$A$3:$B$7,2,FALSE),VLOOKUP(Z225,'Writing Logic'!$A$3:$B$7,2,FALSE),VLOOKUP(AA225,'Writing Logic'!$A$3:$B$7,2,FALSE))))),"Fill All 4")</f>
        <v>Fill All 4</v>
      </c>
      <c r="AC225" s="95" t="str">
        <f t="shared" si="16"/>
        <v/>
      </c>
      <c r="AD225" s="120"/>
      <c r="AE225" s="120"/>
      <c r="AF225" s="120"/>
      <c r="AG225" s="120"/>
      <c r="AH225" s="95" t="str">
        <f>IFERROR(IF(YES_Writing_ELA[[#This Row],[Literacy IPP]]='Writing Logic'!$E$26,"IPP",IF(OR(AD225="EAL",AE225="EAL",AF225="EAL",AG225="EAL"),"EAL",IF(AD225='Writing Logic'!$A$10,AVERAGE(VLOOKUP(AE225,'Writing Logic'!$A$3:$B$7,2,FALSE),VLOOKUP(AF225,'Writing Logic'!$A$3:$B$7,2,FALSE),VLOOKUP(AG225,'Writing Logic'!$A$3:$B$7,2,FALSE)),AVERAGE(VLOOKUP(AD225,'Writing Logic'!$A$3:$B$7,2,FALSE),VLOOKUP(AE225,'Writing Logic'!$A$3:$B$7,2,FALSE),VLOOKUP(AF225,'Writing Logic'!$A$3:$B$7,2,FALSE),VLOOKUP(AG225,'Writing Logic'!$A$3:$B$7,2,FALSE))))),"Fill All 4")</f>
        <v>Fill All 4</v>
      </c>
      <c r="AI225" s="95" t="str">
        <f t="shared" si="17"/>
        <v/>
      </c>
      <c r="AJ225" s="183"/>
      <c r="AK225" s="120"/>
      <c r="AL225" s="120"/>
      <c r="AM225" s="120"/>
      <c r="AN225" s="95" t="str">
        <f>IFERROR(IF(YES_Writing_ELA[[#This Row],[Literacy IPP]]='Writing Logic'!$E$26,"IPP",IF(OR(AJ225="EAL",AK225="EAL",AL225="EAL",AM225="EAL"),"EAL",IF(AJ225='Writing Logic'!$A$10,AVERAGE(VLOOKUP(AK225,'Writing Logic'!$A$3:$B$7,2,FALSE),VLOOKUP(AL225,'Writing Logic'!$A$3:$B$7,2,FALSE),VLOOKUP(AM225,'Writing Logic'!$A$3:$B$7,2,FALSE)),AVERAGE(VLOOKUP(AJ225,'Writing Logic'!$A$3:$B$7,2,FALSE),VLOOKUP(AK225,'Writing Logic'!$A$3:$B$7,2,FALSE),VLOOKUP(AL225,'Writing Logic'!$A$3:$B$7,2,FALSE),VLOOKUP(AM225,'Writing Logic'!$A$3:$B$7,2,FALSE))))),"Fill All 4")</f>
        <v>Fill All 4</v>
      </c>
      <c r="AO225" s="95" t="str">
        <f t="shared" si="18"/>
        <v/>
      </c>
      <c r="AP225" s="120"/>
      <c r="AQ225" s="120"/>
      <c r="AR225" s="120"/>
      <c r="AS225" s="120"/>
      <c r="AT225" s="95" t="str">
        <f>IFERROR(IF(YES_Writing_ELA[[#This Row],[Literacy IPP]]='Writing Logic'!$E$26,"IPP",IF(OR(AP225="EAL",AQ225="EAL",AR225="EAL",AS225="EAL"),"EAL",IF(AP225='Writing Logic'!$A$10,AVERAGE(VLOOKUP(AQ225,'Writing Logic'!$A$3:$B$7,2,FALSE),VLOOKUP(AR225,'Writing Logic'!$A$3:$B$7,2,FALSE),VLOOKUP(AS225,'Writing Logic'!$A$3:$B$7,2,FALSE)),AVERAGE(VLOOKUP(AP225,'Writing Logic'!$A$3:$B$7,2,FALSE),VLOOKUP(AQ225,'Writing Logic'!$A$3:$B$7,2,FALSE),VLOOKUP(AR225,'Writing Logic'!$A$3:$B$7,2,FALSE),VLOOKUP(AS225,'Writing Logic'!$A$3:$B$7,2,FALSE))))),"Fill All 4")</f>
        <v>Fill All 4</v>
      </c>
      <c r="AU225" s="95" t="str">
        <f t="shared" si="19"/>
        <v/>
      </c>
    </row>
    <row r="226" spans="1:47" x14ac:dyDescent="0.25">
      <c r="A226" s="13"/>
      <c r="B226" s="13"/>
      <c r="C226" s="13"/>
      <c r="D226" s="13"/>
      <c r="E226" s="13"/>
      <c r="F226" s="13"/>
      <c r="G226" s="13"/>
      <c r="H226" s="13"/>
      <c r="I226" s="13"/>
      <c r="J226" s="13"/>
      <c r="K226" s="183"/>
      <c r="L226" s="184"/>
      <c r="M226" s="120"/>
      <c r="N226" s="120"/>
      <c r="O226" s="120"/>
      <c r="P226" s="120"/>
      <c r="Q226" s="95" t="str">
        <f>IFERROR(IF(YES_Writing_ELA[[#This Row],[Literacy IPP]]='Writing Logic'!$E$26,"IPP",IF(OR(M226="EAL",N226="EAL",O226="EAL",P226="EAL"),"EAL",IF(M226='Writing Logic'!$A$10,AVERAGE(VLOOKUP(N226,'Writing Logic'!$A$3:$B$7,2,FALSE),VLOOKUP(O226,'Writing Logic'!$A$3:$B$7,2,FALSE),VLOOKUP(P226,'Writing Logic'!$A$3:$B$7,2,FALSE)),AVERAGE(VLOOKUP(M226,'Writing Logic'!$A$3:$B$7,2,FALSE),VLOOKUP(N226,'Writing Logic'!$A$3:$B$7,2,FALSE),VLOOKUP(O226,'Writing Logic'!$A$3:$B$7,2,FALSE),VLOOKUP(P226,'Writing Logic'!$A$3:$B$7,2,FALSE))))),"Fill All 4")</f>
        <v>Fill All 4</v>
      </c>
      <c r="R226" s="120"/>
      <c r="S226" s="120"/>
      <c r="T226" s="120"/>
      <c r="U226" s="120"/>
      <c r="V226" s="95" t="str">
        <f>IFERROR(IF(YES_Writing_ELA[[#This Row],[Literacy IPP]]='Writing Logic'!$E$26,"IPP",IF(OR(R226="EAL",S226="EAL",T226="EAL",U226="EAL"),"EAL",IF(R226='Writing Logic'!$A$10,AVERAGE(VLOOKUP(S226,'Writing Logic'!$A$3:$B$7,2,FALSE),VLOOKUP(T226,'Writing Logic'!$A$3:$B$7,2,FALSE),VLOOKUP(U226,'Writing Logic'!$A$3:$B$7,2,FALSE)),AVERAGE(VLOOKUP(R226,'Writing Logic'!$A$3:$B$7,2,FALSE),VLOOKUP(S226,'Writing Logic'!$A$3:$B$7,2,FALSE),VLOOKUP(T226,'Writing Logic'!$A$3:$B$7,2,FALSE),VLOOKUP(U226,'Writing Logic'!$A$3:$B$7,2,FALSE))))),"Fill All 4")</f>
        <v>Fill All 4</v>
      </c>
      <c r="W226" s="95" t="str">
        <f t="shared" si="15"/>
        <v/>
      </c>
      <c r="X226" s="120"/>
      <c r="Y226" s="120"/>
      <c r="Z226" s="120"/>
      <c r="AA226" s="120"/>
      <c r="AB226" s="95" t="str">
        <f>IFERROR(IF(YES_Writing_ELA[[#This Row],[Literacy IPP]]='Writing Logic'!$E$26,"IPP",IF(OR(X226="EAL",Y226="EAL",Z226="EAL",AA226="EAL"),"EAL",IF(X226='Writing Logic'!$A$10,AVERAGE(VLOOKUP(Y226,'Writing Logic'!$A$3:$B$7,2,FALSE),VLOOKUP(Z226,'Writing Logic'!$A$3:$B$7,2,FALSE),VLOOKUP(AA226,'Writing Logic'!$A$3:$B$7,2,FALSE)),AVERAGE(VLOOKUP(X226,'Writing Logic'!$A$3:$B$7,2,FALSE),VLOOKUP(Y226,'Writing Logic'!$A$3:$B$7,2,FALSE),VLOOKUP(Z226,'Writing Logic'!$A$3:$B$7,2,FALSE),VLOOKUP(AA226,'Writing Logic'!$A$3:$B$7,2,FALSE))))),"Fill All 4")</f>
        <v>Fill All 4</v>
      </c>
      <c r="AC226" s="95" t="str">
        <f t="shared" si="16"/>
        <v/>
      </c>
      <c r="AD226" s="120"/>
      <c r="AE226" s="120"/>
      <c r="AF226" s="120"/>
      <c r="AG226" s="120"/>
      <c r="AH226" s="95" t="str">
        <f>IFERROR(IF(YES_Writing_ELA[[#This Row],[Literacy IPP]]='Writing Logic'!$E$26,"IPP",IF(OR(AD226="EAL",AE226="EAL",AF226="EAL",AG226="EAL"),"EAL",IF(AD226='Writing Logic'!$A$10,AVERAGE(VLOOKUP(AE226,'Writing Logic'!$A$3:$B$7,2,FALSE),VLOOKUP(AF226,'Writing Logic'!$A$3:$B$7,2,FALSE),VLOOKUP(AG226,'Writing Logic'!$A$3:$B$7,2,FALSE)),AVERAGE(VLOOKUP(AD226,'Writing Logic'!$A$3:$B$7,2,FALSE),VLOOKUP(AE226,'Writing Logic'!$A$3:$B$7,2,FALSE),VLOOKUP(AF226,'Writing Logic'!$A$3:$B$7,2,FALSE),VLOOKUP(AG226,'Writing Logic'!$A$3:$B$7,2,FALSE))))),"Fill All 4")</f>
        <v>Fill All 4</v>
      </c>
      <c r="AI226" s="95" t="str">
        <f t="shared" si="17"/>
        <v/>
      </c>
      <c r="AJ226" s="183"/>
      <c r="AK226" s="120"/>
      <c r="AL226" s="120"/>
      <c r="AM226" s="120"/>
      <c r="AN226" s="95" t="str">
        <f>IFERROR(IF(YES_Writing_ELA[[#This Row],[Literacy IPP]]='Writing Logic'!$E$26,"IPP",IF(OR(AJ226="EAL",AK226="EAL",AL226="EAL",AM226="EAL"),"EAL",IF(AJ226='Writing Logic'!$A$10,AVERAGE(VLOOKUP(AK226,'Writing Logic'!$A$3:$B$7,2,FALSE),VLOOKUP(AL226,'Writing Logic'!$A$3:$B$7,2,FALSE),VLOOKUP(AM226,'Writing Logic'!$A$3:$B$7,2,FALSE)),AVERAGE(VLOOKUP(AJ226,'Writing Logic'!$A$3:$B$7,2,FALSE),VLOOKUP(AK226,'Writing Logic'!$A$3:$B$7,2,FALSE),VLOOKUP(AL226,'Writing Logic'!$A$3:$B$7,2,FALSE),VLOOKUP(AM226,'Writing Logic'!$A$3:$B$7,2,FALSE))))),"Fill All 4")</f>
        <v>Fill All 4</v>
      </c>
      <c r="AO226" s="95" t="str">
        <f t="shared" si="18"/>
        <v/>
      </c>
      <c r="AP226" s="120"/>
      <c r="AQ226" s="120"/>
      <c r="AR226" s="120"/>
      <c r="AS226" s="120"/>
      <c r="AT226" s="95" t="str">
        <f>IFERROR(IF(YES_Writing_ELA[[#This Row],[Literacy IPP]]='Writing Logic'!$E$26,"IPP",IF(OR(AP226="EAL",AQ226="EAL",AR226="EAL",AS226="EAL"),"EAL",IF(AP226='Writing Logic'!$A$10,AVERAGE(VLOOKUP(AQ226,'Writing Logic'!$A$3:$B$7,2,FALSE),VLOOKUP(AR226,'Writing Logic'!$A$3:$B$7,2,FALSE),VLOOKUP(AS226,'Writing Logic'!$A$3:$B$7,2,FALSE)),AVERAGE(VLOOKUP(AP226,'Writing Logic'!$A$3:$B$7,2,FALSE),VLOOKUP(AQ226,'Writing Logic'!$A$3:$B$7,2,FALSE),VLOOKUP(AR226,'Writing Logic'!$A$3:$B$7,2,FALSE),VLOOKUP(AS226,'Writing Logic'!$A$3:$B$7,2,FALSE))))),"Fill All 4")</f>
        <v>Fill All 4</v>
      </c>
      <c r="AU226" s="95" t="str">
        <f t="shared" si="19"/>
        <v/>
      </c>
    </row>
    <row r="227" spans="1:47" x14ac:dyDescent="0.25">
      <c r="A227" s="13"/>
      <c r="B227" s="13"/>
      <c r="C227" s="13"/>
      <c r="D227" s="13"/>
      <c r="E227" s="13"/>
      <c r="F227" s="13"/>
      <c r="G227" s="13"/>
      <c r="H227" s="13"/>
      <c r="I227" s="13"/>
      <c r="J227" s="13"/>
      <c r="K227" s="183"/>
      <c r="L227" s="184"/>
      <c r="M227" s="120"/>
      <c r="N227" s="120"/>
      <c r="O227" s="120"/>
      <c r="P227" s="120"/>
      <c r="Q227" s="95" t="str">
        <f>IFERROR(IF(YES_Writing_ELA[[#This Row],[Literacy IPP]]='Writing Logic'!$E$26,"IPP",IF(OR(M227="EAL",N227="EAL",O227="EAL",P227="EAL"),"EAL",IF(M227='Writing Logic'!$A$10,AVERAGE(VLOOKUP(N227,'Writing Logic'!$A$3:$B$7,2,FALSE),VLOOKUP(O227,'Writing Logic'!$A$3:$B$7,2,FALSE),VLOOKUP(P227,'Writing Logic'!$A$3:$B$7,2,FALSE)),AVERAGE(VLOOKUP(M227,'Writing Logic'!$A$3:$B$7,2,FALSE),VLOOKUP(N227,'Writing Logic'!$A$3:$B$7,2,FALSE),VLOOKUP(O227,'Writing Logic'!$A$3:$B$7,2,FALSE),VLOOKUP(P227,'Writing Logic'!$A$3:$B$7,2,FALSE))))),"Fill All 4")</f>
        <v>Fill All 4</v>
      </c>
      <c r="R227" s="120"/>
      <c r="S227" s="120"/>
      <c r="T227" s="120"/>
      <c r="U227" s="120"/>
      <c r="V227" s="95" t="str">
        <f>IFERROR(IF(YES_Writing_ELA[[#This Row],[Literacy IPP]]='Writing Logic'!$E$26,"IPP",IF(OR(R227="EAL",S227="EAL",T227="EAL",U227="EAL"),"EAL",IF(R227='Writing Logic'!$A$10,AVERAGE(VLOOKUP(S227,'Writing Logic'!$A$3:$B$7,2,FALSE),VLOOKUP(T227,'Writing Logic'!$A$3:$B$7,2,FALSE),VLOOKUP(U227,'Writing Logic'!$A$3:$B$7,2,FALSE)),AVERAGE(VLOOKUP(R227,'Writing Logic'!$A$3:$B$7,2,FALSE),VLOOKUP(S227,'Writing Logic'!$A$3:$B$7,2,FALSE),VLOOKUP(T227,'Writing Logic'!$A$3:$B$7,2,FALSE),VLOOKUP(U227,'Writing Logic'!$A$3:$B$7,2,FALSE))))),"Fill All 4")</f>
        <v>Fill All 4</v>
      </c>
      <c r="W227" s="95" t="str">
        <f t="shared" si="15"/>
        <v/>
      </c>
      <c r="X227" s="120"/>
      <c r="Y227" s="120"/>
      <c r="Z227" s="120"/>
      <c r="AA227" s="120"/>
      <c r="AB227" s="95" t="str">
        <f>IFERROR(IF(YES_Writing_ELA[[#This Row],[Literacy IPP]]='Writing Logic'!$E$26,"IPP",IF(OR(X227="EAL",Y227="EAL",Z227="EAL",AA227="EAL"),"EAL",IF(X227='Writing Logic'!$A$10,AVERAGE(VLOOKUP(Y227,'Writing Logic'!$A$3:$B$7,2,FALSE),VLOOKUP(Z227,'Writing Logic'!$A$3:$B$7,2,FALSE),VLOOKUP(AA227,'Writing Logic'!$A$3:$B$7,2,FALSE)),AVERAGE(VLOOKUP(X227,'Writing Logic'!$A$3:$B$7,2,FALSE),VLOOKUP(Y227,'Writing Logic'!$A$3:$B$7,2,FALSE),VLOOKUP(Z227,'Writing Logic'!$A$3:$B$7,2,FALSE),VLOOKUP(AA227,'Writing Logic'!$A$3:$B$7,2,FALSE))))),"Fill All 4")</f>
        <v>Fill All 4</v>
      </c>
      <c r="AC227" s="95" t="str">
        <f t="shared" si="16"/>
        <v/>
      </c>
      <c r="AD227" s="120"/>
      <c r="AE227" s="120"/>
      <c r="AF227" s="120"/>
      <c r="AG227" s="120"/>
      <c r="AH227" s="95" t="str">
        <f>IFERROR(IF(YES_Writing_ELA[[#This Row],[Literacy IPP]]='Writing Logic'!$E$26,"IPP",IF(OR(AD227="EAL",AE227="EAL",AF227="EAL",AG227="EAL"),"EAL",IF(AD227='Writing Logic'!$A$10,AVERAGE(VLOOKUP(AE227,'Writing Logic'!$A$3:$B$7,2,FALSE),VLOOKUP(AF227,'Writing Logic'!$A$3:$B$7,2,FALSE),VLOOKUP(AG227,'Writing Logic'!$A$3:$B$7,2,FALSE)),AVERAGE(VLOOKUP(AD227,'Writing Logic'!$A$3:$B$7,2,FALSE),VLOOKUP(AE227,'Writing Logic'!$A$3:$B$7,2,FALSE),VLOOKUP(AF227,'Writing Logic'!$A$3:$B$7,2,FALSE),VLOOKUP(AG227,'Writing Logic'!$A$3:$B$7,2,FALSE))))),"Fill All 4")</f>
        <v>Fill All 4</v>
      </c>
      <c r="AI227" s="95" t="str">
        <f t="shared" si="17"/>
        <v/>
      </c>
      <c r="AJ227" s="183"/>
      <c r="AK227" s="120"/>
      <c r="AL227" s="120"/>
      <c r="AM227" s="120"/>
      <c r="AN227" s="95" t="str">
        <f>IFERROR(IF(YES_Writing_ELA[[#This Row],[Literacy IPP]]='Writing Logic'!$E$26,"IPP",IF(OR(AJ227="EAL",AK227="EAL",AL227="EAL",AM227="EAL"),"EAL",IF(AJ227='Writing Logic'!$A$10,AVERAGE(VLOOKUP(AK227,'Writing Logic'!$A$3:$B$7,2,FALSE),VLOOKUP(AL227,'Writing Logic'!$A$3:$B$7,2,FALSE),VLOOKUP(AM227,'Writing Logic'!$A$3:$B$7,2,FALSE)),AVERAGE(VLOOKUP(AJ227,'Writing Logic'!$A$3:$B$7,2,FALSE),VLOOKUP(AK227,'Writing Logic'!$A$3:$B$7,2,FALSE),VLOOKUP(AL227,'Writing Logic'!$A$3:$B$7,2,FALSE),VLOOKUP(AM227,'Writing Logic'!$A$3:$B$7,2,FALSE))))),"Fill All 4")</f>
        <v>Fill All 4</v>
      </c>
      <c r="AO227" s="95" t="str">
        <f t="shared" si="18"/>
        <v/>
      </c>
      <c r="AP227" s="120"/>
      <c r="AQ227" s="120"/>
      <c r="AR227" s="120"/>
      <c r="AS227" s="120"/>
      <c r="AT227" s="95" t="str">
        <f>IFERROR(IF(YES_Writing_ELA[[#This Row],[Literacy IPP]]='Writing Logic'!$E$26,"IPP",IF(OR(AP227="EAL",AQ227="EAL",AR227="EAL",AS227="EAL"),"EAL",IF(AP227='Writing Logic'!$A$10,AVERAGE(VLOOKUP(AQ227,'Writing Logic'!$A$3:$B$7,2,FALSE),VLOOKUP(AR227,'Writing Logic'!$A$3:$B$7,2,FALSE),VLOOKUP(AS227,'Writing Logic'!$A$3:$B$7,2,FALSE)),AVERAGE(VLOOKUP(AP227,'Writing Logic'!$A$3:$B$7,2,FALSE),VLOOKUP(AQ227,'Writing Logic'!$A$3:$B$7,2,FALSE),VLOOKUP(AR227,'Writing Logic'!$A$3:$B$7,2,FALSE),VLOOKUP(AS227,'Writing Logic'!$A$3:$B$7,2,FALSE))))),"Fill All 4")</f>
        <v>Fill All 4</v>
      </c>
      <c r="AU227" s="95" t="str">
        <f t="shared" si="19"/>
        <v/>
      </c>
    </row>
    <row r="228" spans="1:47" x14ac:dyDescent="0.25">
      <c r="A228" s="13"/>
      <c r="B228" s="13"/>
      <c r="C228" s="13"/>
      <c r="D228" s="13"/>
      <c r="E228" s="13"/>
      <c r="F228" s="13"/>
      <c r="G228" s="13"/>
      <c r="H228" s="13"/>
      <c r="I228" s="13"/>
      <c r="J228" s="13"/>
      <c r="K228" s="183"/>
      <c r="L228" s="184"/>
      <c r="M228" s="120"/>
      <c r="N228" s="120"/>
      <c r="O228" s="120"/>
      <c r="P228" s="120"/>
      <c r="Q228" s="95" t="str">
        <f>IFERROR(IF(YES_Writing_ELA[[#This Row],[Literacy IPP]]='Writing Logic'!$E$26,"IPP",IF(OR(M228="EAL",N228="EAL",O228="EAL",P228="EAL"),"EAL",IF(M228='Writing Logic'!$A$10,AVERAGE(VLOOKUP(N228,'Writing Logic'!$A$3:$B$7,2,FALSE),VLOOKUP(O228,'Writing Logic'!$A$3:$B$7,2,FALSE),VLOOKUP(P228,'Writing Logic'!$A$3:$B$7,2,FALSE)),AVERAGE(VLOOKUP(M228,'Writing Logic'!$A$3:$B$7,2,FALSE),VLOOKUP(N228,'Writing Logic'!$A$3:$B$7,2,FALSE),VLOOKUP(O228,'Writing Logic'!$A$3:$B$7,2,FALSE),VLOOKUP(P228,'Writing Logic'!$A$3:$B$7,2,FALSE))))),"Fill All 4")</f>
        <v>Fill All 4</v>
      </c>
      <c r="R228" s="120"/>
      <c r="S228" s="120"/>
      <c r="T228" s="120"/>
      <c r="U228" s="120"/>
      <c r="V228" s="95" t="str">
        <f>IFERROR(IF(YES_Writing_ELA[[#This Row],[Literacy IPP]]='Writing Logic'!$E$26,"IPP",IF(OR(R228="EAL",S228="EAL",T228="EAL",U228="EAL"),"EAL",IF(R228='Writing Logic'!$A$10,AVERAGE(VLOOKUP(S228,'Writing Logic'!$A$3:$B$7,2,FALSE),VLOOKUP(T228,'Writing Logic'!$A$3:$B$7,2,FALSE),VLOOKUP(U228,'Writing Logic'!$A$3:$B$7,2,FALSE)),AVERAGE(VLOOKUP(R228,'Writing Logic'!$A$3:$B$7,2,FALSE),VLOOKUP(S228,'Writing Logic'!$A$3:$B$7,2,FALSE),VLOOKUP(T228,'Writing Logic'!$A$3:$B$7,2,FALSE),VLOOKUP(U228,'Writing Logic'!$A$3:$B$7,2,FALSE))))),"Fill All 4")</f>
        <v>Fill All 4</v>
      </c>
      <c r="W228" s="95" t="str">
        <f t="shared" si="15"/>
        <v/>
      </c>
      <c r="X228" s="120"/>
      <c r="Y228" s="120"/>
      <c r="Z228" s="120"/>
      <c r="AA228" s="120"/>
      <c r="AB228" s="95" t="str">
        <f>IFERROR(IF(YES_Writing_ELA[[#This Row],[Literacy IPP]]='Writing Logic'!$E$26,"IPP",IF(OR(X228="EAL",Y228="EAL",Z228="EAL",AA228="EAL"),"EAL",IF(X228='Writing Logic'!$A$10,AVERAGE(VLOOKUP(Y228,'Writing Logic'!$A$3:$B$7,2,FALSE),VLOOKUP(Z228,'Writing Logic'!$A$3:$B$7,2,FALSE),VLOOKUP(AA228,'Writing Logic'!$A$3:$B$7,2,FALSE)),AVERAGE(VLOOKUP(X228,'Writing Logic'!$A$3:$B$7,2,FALSE),VLOOKUP(Y228,'Writing Logic'!$A$3:$B$7,2,FALSE),VLOOKUP(Z228,'Writing Logic'!$A$3:$B$7,2,FALSE),VLOOKUP(AA228,'Writing Logic'!$A$3:$B$7,2,FALSE))))),"Fill All 4")</f>
        <v>Fill All 4</v>
      </c>
      <c r="AC228" s="95" t="str">
        <f t="shared" si="16"/>
        <v/>
      </c>
      <c r="AD228" s="120"/>
      <c r="AE228" s="120"/>
      <c r="AF228" s="120"/>
      <c r="AG228" s="120"/>
      <c r="AH228" s="95" t="str">
        <f>IFERROR(IF(YES_Writing_ELA[[#This Row],[Literacy IPP]]='Writing Logic'!$E$26,"IPP",IF(OR(AD228="EAL",AE228="EAL",AF228="EAL",AG228="EAL"),"EAL",IF(AD228='Writing Logic'!$A$10,AVERAGE(VLOOKUP(AE228,'Writing Logic'!$A$3:$B$7,2,FALSE),VLOOKUP(AF228,'Writing Logic'!$A$3:$B$7,2,FALSE),VLOOKUP(AG228,'Writing Logic'!$A$3:$B$7,2,FALSE)),AVERAGE(VLOOKUP(AD228,'Writing Logic'!$A$3:$B$7,2,FALSE),VLOOKUP(AE228,'Writing Logic'!$A$3:$B$7,2,FALSE),VLOOKUP(AF228,'Writing Logic'!$A$3:$B$7,2,FALSE),VLOOKUP(AG228,'Writing Logic'!$A$3:$B$7,2,FALSE))))),"Fill All 4")</f>
        <v>Fill All 4</v>
      </c>
      <c r="AI228" s="95" t="str">
        <f t="shared" si="17"/>
        <v/>
      </c>
      <c r="AJ228" s="183"/>
      <c r="AK228" s="120"/>
      <c r="AL228" s="120"/>
      <c r="AM228" s="120"/>
      <c r="AN228" s="95" t="str">
        <f>IFERROR(IF(YES_Writing_ELA[[#This Row],[Literacy IPP]]='Writing Logic'!$E$26,"IPP",IF(OR(AJ228="EAL",AK228="EAL",AL228="EAL",AM228="EAL"),"EAL",IF(AJ228='Writing Logic'!$A$10,AVERAGE(VLOOKUP(AK228,'Writing Logic'!$A$3:$B$7,2,FALSE),VLOOKUP(AL228,'Writing Logic'!$A$3:$B$7,2,FALSE),VLOOKUP(AM228,'Writing Logic'!$A$3:$B$7,2,FALSE)),AVERAGE(VLOOKUP(AJ228,'Writing Logic'!$A$3:$B$7,2,FALSE),VLOOKUP(AK228,'Writing Logic'!$A$3:$B$7,2,FALSE),VLOOKUP(AL228,'Writing Logic'!$A$3:$B$7,2,FALSE),VLOOKUP(AM228,'Writing Logic'!$A$3:$B$7,2,FALSE))))),"Fill All 4")</f>
        <v>Fill All 4</v>
      </c>
      <c r="AO228" s="95" t="str">
        <f t="shared" si="18"/>
        <v/>
      </c>
      <c r="AP228" s="120"/>
      <c r="AQ228" s="120"/>
      <c r="AR228" s="120"/>
      <c r="AS228" s="120"/>
      <c r="AT228" s="95" t="str">
        <f>IFERROR(IF(YES_Writing_ELA[[#This Row],[Literacy IPP]]='Writing Logic'!$E$26,"IPP",IF(OR(AP228="EAL",AQ228="EAL",AR228="EAL",AS228="EAL"),"EAL",IF(AP228='Writing Logic'!$A$10,AVERAGE(VLOOKUP(AQ228,'Writing Logic'!$A$3:$B$7,2,FALSE),VLOOKUP(AR228,'Writing Logic'!$A$3:$B$7,2,FALSE),VLOOKUP(AS228,'Writing Logic'!$A$3:$B$7,2,FALSE)),AVERAGE(VLOOKUP(AP228,'Writing Logic'!$A$3:$B$7,2,FALSE),VLOOKUP(AQ228,'Writing Logic'!$A$3:$B$7,2,FALSE),VLOOKUP(AR228,'Writing Logic'!$A$3:$B$7,2,FALSE),VLOOKUP(AS228,'Writing Logic'!$A$3:$B$7,2,FALSE))))),"Fill All 4")</f>
        <v>Fill All 4</v>
      </c>
      <c r="AU228" s="95" t="str">
        <f t="shared" si="19"/>
        <v/>
      </c>
    </row>
    <row r="229" spans="1:47" x14ac:dyDescent="0.25">
      <c r="A229" s="13"/>
      <c r="B229" s="13"/>
      <c r="C229" s="13"/>
      <c r="D229" s="13"/>
      <c r="E229" s="13"/>
      <c r="F229" s="13"/>
      <c r="G229" s="13"/>
      <c r="H229" s="13"/>
      <c r="I229" s="13"/>
      <c r="J229" s="13"/>
      <c r="K229" s="183"/>
      <c r="L229" s="184"/>
      <c r="M229" s="120"/>
      <c r="N229" s="120"/>
      <c r="O229" s="120"/>
      <c r="P229" s="120"/>
      <c r="Q229" s="95" t="str">
        <f>IFERROR(IF(YES_Writing_ELA[[#This Row],[Literacy IPP]]='Writing Logic'!$E$26,"IPP",IF(OR(M229="EAL",N229="EAL",O229="EAL",P229="EAL"),"EAL",IF(M229='Writing Logic'!$A$10,AVERAGE(VLOOKUP(N229,'Writing Logic'!$A$3:$B$7,2,FALSE),VLOOKUP(O229,'Writing Logic'!$A$3:$B$7,2,FALSE),VLOOKUP(P229,'Writing Logic'!$A$3:$B$7,2,FALSE)),AVERAGE(VLOOKUP(M229,'Writing Logic'!$A$3:$B$7,2,FALSE),VLOOKUP(N229,'Writing Logic'!$A$3:$B$7,2,FALSE),VLOOKUP(O229,'Writing Logic'!$A$3:$B$7,2,FALSE),VLOOKUP(P229,'Writing Logic'!$A$3:$B$7,2,FALSE))))),"Fill All 4")</f>
        <v>Fill All 4</v>
      </c>
      <c r="R229" s="120"/>
      <c r="S229" s="120"/>
      <c r="T229" s="120"/>
      <c r="U229" s="120"/>
      <c r="V229" s="95" t="str">
        <f>IFERROR(IF(YES_Writing_ELA[[#This Row],[Literacy IPP]]='Writing Logic'!$E$26,"IPP",IF(OR(R229="EAL",S229="EAL",T229="EAL",U229="EAL"),"EAL",IF(R229='Writing Logic'!$A$10,AVERAGE(VLOOKUP(S229,'Writing Logic'!$A$3:$B$7,2,FALSE),VLOOKUP(T229,'Writing Logic'!$A$3:$B$7,2,FALSE),VLOOKUP(U229,'Writing Logic'!$A$3:$B$7,2,FALSE)),AVERAGE(VLOOKUP(R229,'Writing Logic'!$A$3:$B$7,2,FALSE),VLOOKUP(S229,'Writing Logic'!$A$3:$B$7,2,FALSE),VLOOKUP(T229,'Writing Logic'!$A$3:$B$7,2,FALSE),VLOOKUP(U229,'Writing Logic'!$A$3:$B$7,2,FALSE))))),"Fill All 4")</f>
        <v>Fill All 4</v>
      </c>
      <c r="W229" s="95" t="str">
        <f t="shared" si="15"/>
        <v/>
      </c>
      <c r="X229" s="120"/>
      <c r="Y229" s="120"/>
      <c r="Z229" s="120"/>
      <c r="AA229" s="120"/>
      <c r="AB229" s="95" t="str">
        <f>IFERROR(IF(YES_Writing_ELA[[#This Row],[Literacy IPP]]='Writing Logic'!$E$26,"IPP",IF(OR(X229="EAL",Y229="EAL",Z229="EAL",AA229="EAL"),"EAL",IF(X229='Writing Logic'!$A$10,AVERAGE(VLOOKUP(Y229,'Writing Logic'!$A$3:$B$7,2,FALSE),VLOOKUP(Z229,'Writing Logic'!$A$3:$B$7,2,FALSE),VLOOKUP(AA229,'Writing Logic'!$A$3:$B$7,2,FALSE)),AVERAGE(VLOOKUP(X229,'Writing Logic'!$A$3:$B$7,2,FALSE),VLOOKUP(Y229,'Writing Logic'!$A$3:$B$7,2,FALSE),VLOOKUP(Z229,'Writing Logic'!$A$3:$B$7,2,FALSE),VLOOKUP(AA229,'Writing Logic'!$A$3:$B$7,2,FALSE))))),"Fill All 4")</f>
        <v>Fill All 4</v>
      </c>
      <c r="AC229" s="95" t="str">
        <f t="shared" si="16"/>
        <v/>
      </c>
      <c r="AD229" s="120"/>
      <c r="AE229" s="120"/>
      <c r="AF229" s="120"/>
      <c r="AG229" s="120"/>
      <c r="AH229" s="95" t="str">
        <f>IFERROR(IF(YES_Writing_ELA[[#This Row],[Literacy IPP]]='Writing Logic'!$E$26,"IPP",IF(OR(AD229="EAL",AE229="EAL",AF229="EAL",AG229="EAL"),"EAL",IF(AD229='Writing Logic'!$A$10,AVERAGE(VLOOKUP(AE229,'Writing Logic'!$A$3:$B$7,2,FALSE),VLOOKUP(AF229,'Writing Logic'!$A$3:$B$7,2,FALSE),VLOOKUP(AG229,'Writing Logic'!$A$3:$B$7,2,FALSE)),AVERAGE(VLOOKUP(AD229,'Writing Logic'!$A$3:$B$7,2,FALSE),VLOOKUP(AE229,'Writing Logic'!$A$3:$B$7,2,FALSE),VLOOKUP(AF229,'Writing Logic'!$A$3:$B$7,2,FALSE),VLOOKUP(AG229,'Writing Logic'!$A$3:$B$7,2,FALSE))))),"Fill All 4")</f>
        <v>Fill All 4</v>
      </c>
      <c r="AI229" s="95" t="str">
        <f t="shared" si="17"/>
        <v/>
      </c>
      <c r="AJ229" s="183"/>
      <c r="AK229" s="120"/>
      <c r="AL229" s="120"/>
      <c r="AM229" s="120"/>
      <c r="AN229" s="95" t="str">
        <f>IFERROR(IF(YES_Writing_ELA[[#This Row],[Literacy IPP]]='Writing Logic'!$E$26,"IPP",IF(OR(AJ229="EAL",AK229="EAL",AL229="EAL",AM229="EAL"),"EAL",IF(AJ229='Writing Logic'!$A$10,AVERAGE(VLOOKUP(AK229,'Writing Logic'!$A$3:$B$7,2,FALSE),VLOOKUP(AL229,'Writing Logic'!$A$3:$B$7,2,FALSE),VLOOKUP(AM229,'Writing Logic'!$A$3:$B$7,2,FALSE)),AVERAGE(VLOOKUP(AJ229,'Writing Logic'!$A$3:$B$7,2,FALSE),VLOOKUP(AK229,'Writing Logic'!$A$3:$B$7,2,FALSE),VLOOKUP(AL229,'Writing Logic'!$A$3:$B$7,2,FALSE),VLOOKUP(AM229,'Writing Logic'!$A$3:$B$7,2,FALSE))))),"Fill All 4")</f>
        <v>Fill All 4</v>
      </c>
      <c r="AO229" s="95" t="str">
        <f t="shared" si="18"/>
        <v/>
      </c>
      <c r="AP229" s="120"/>
      <c r="AQ229" s="120"/>
      <c r="AR229" s="120"/>
      <c r="AS229" s="120"/>
      <c r="AT229" s="95" t="str">
        <f>IFERROR(IF(YES_Writing_ELA[[#This Row],[Literacy IPP]]='Writing Logic'!$E$26,"IPP",IF(OR(AP229="EAL",AQ229="EAL",AR229="EAL",AS229="EAL"),"EAL",IF(AP229='Writing Logic'!$A$10,AVERAGE(VLOOKUP(AQ229,'Writing Logic'!$A$3:$B$7,2,FALSE),VLOOKUP(AR229,'Writing Logic'!$A$3:$B$7,2,FALSE),VLOOKUP(AS229,'Writing Logic'!$A$3:$B$7,2,FALSE)),AVERAGE(VLOOKUP(AP229,'Writing Logic'!$A$3:$B$7,2,FALSE),VLOOKUP(AQ229,'Writing Logic'!$A$3:$B$7,2,FALSE),VLOOKUP(AR229,'Writing Logic'!$A$3:$B$7,2,FALSE),VLOOKUP(AS229,'Writing Logic'!$A$3:$B$7,2,FALSE))))),"Fill All 4")</f>
        <v>Fill All 4</v>
      </c>
      <c r="AU229" s="95" t="str">
        <f t="shared" si="19"/>
        <v/>
      </c>
    </row>
    <row r="230" spans="1:47" x14ac:dyDescent="0.25">
      <c r="A230" s="13"/>
      <c r="B230" s="13"/>
      <c r="C230" s="13"/>
      <c r="D230" s="13"/>
      <c r="E230" s="13"/>
      <c r="F230" s="13"/>
      <c r="G230" s="13"/>
      <c r="H230" s="13"/>
      <c r="I230" s="13"/>
      <c r="J230" s="13"/>
      <c r="K230" s="183"/>
      <c r="L230" s="184"/>
      <c r="M230" s="120"/>
      <c r="N230" s="120"/>
      <c r="O230" s="120"/>
      <c r="P230" s="120"/>
      <c r="Q230" s="95" t="str">
        <f>IFERROR(IF(YES_Writing_ELA[[#This Row],[Literacy IPP]]='Writing Logic'!$E$26,"IPP",IF(OR(M230="EAL",N230="EAL",O230="EAL",P230="EAL"),"EAL",IF(M230='Writing Logic'!$A$10,AVERAGE(VLOOKUP(N230,'Writing Logic'!$A$3:$B$7,2,FALSE),VLOOKUP(O230,'Writing Logic'!$A$3:$B$7,2,FALSE),VLOOKUP(P230,'Writing Logic'!$A$3:$B$7,2,FALSE)),AVERAGE(VLOOKUP(M230,'Writing Logic'!$A$3:$B$7,2,FALSE),VLOOKUP(N230,'Writing Logic'!$A$3:$B$7,2,FALSE),VLOOKUP(O230,'Writing Logic'!$A$3:$B$7,2,FALSE),VLOOKUP(P230,'Writing Logic'!$A$3:$B$7,2,FALSE))))),"Fill All 4")</f>
        <v>Fill All 4</v>
      </c>
      <c r="R230" s="120"/>
      <c r="S230" s="120"/>
      <c r="T230" s="120"/>
      <c r="U230" s="120"/>
      <c r="V230" s="95" t="str">
        <f>IFERROR(IF(YES_Writing_ELA[[#This Row],[Literacy IPP]]='Writing Logic'!$E$26,"IPP",IF(OR(R230="EAL",S230="EAL",T230="EAL",U230="EAL"),"EAL",IF(R230='Writing Logic'!$A$10,AVERAGE(VLOOKUP(S230,'Writing Logic'!$A$3:$B$7,2,FALSE),VLOOKUP(T230,'Writing Logic'!$A$3:$B$7,2,FALSE),VLOOKUP(U230,'Writing Logic'!$A$3:$B$7,2,FALSE)),AVERAGE(VLOOKUP(R230,'Writing Logic'!$A$3:$B$7,2,FALSE),VLOOKUP(S230,'Writing Logic'!$A$3:$B$7,2,FALSE),VLOOKUP(T230,'Writing Logic'!$A$3:$B$7,2,FALSE),VLOOKUP(U230,'Writing Logic'!$A$3:$B$7,2,FALSE))))),"Fill All 4")</f>
        <v>Fill All 4</v>
      </c>
      <c r="W230" s="95" t="str">
        <f t="shared" si="15"/>
        <v/>
      </c>
      <c r="X230" s="120"/>
      <c r="Y230" s="120"/>
      <c r="Z230" s="120"/>
      <c r="AA230" s="120"/>
      <c r="AB230" s="95" t="str">
        <f>IFERROR(IF(YES_Writing_ELA[[#This Row],[Literacy IPP]]='Writing Logic'!$E$26,"IPP",IF(OR(X230="EAL",Y230="EAL",Z230="EAL",AA230="EAL"),"EAL",IF(X230='Writing Logic'!$A$10,AVERAGE(VLOOKUP(Y230,'Writing Logic'!$A$3:$B$7,2,FALSE),VLOOKUP(Z230,'Writing Logic'!$A$3:$B$7,2,FALSE),VLOOKUP(AA230,'Writing Logic'!$A$3:$B$7,2,FALSE)),AVERAGE(VLOOKUP(X230,'Writing Logic'!$A$3:$B$7,2,FALSE),VLOOKUP(Y230,'Writing Logic'!$A$3:$B$7,2,FALSE),VLOOKUP(Z230,'Writing Logic'!$A$3:$B$7,2,FALSE),VLOOKUP(AA230,'Writing Logic'!$A$3:$B$7,2,FALSE))))),"Fill All 4")</f>
        <v>Fill All 4</v>
      </c>
      <c r="AC230" s="95" t="str">
        <f t="shared" si="16"/>
        <v/>
      </c>
      <c r="AD230" s="120"/>
      <c r="AE230" s="120"/>
      <c r="AF230" s="120"/>
      <c r="AG230" s="120"/>
      <c r="AH230" s="95" t="str">
        <f>IFERROR(IF(YES_Writing_ELA[[#This Row],[Literacy IPP]]='Writing Logic'!$E$26,"IPP",IF(OR(AD230="EAL",AE230="EAL",AF230="EAL",AG230="EAL"),"EAL",IF(AD230='Writing Logic'!$A$10,AVERAGE(VLOOKUP(AE230,'Writing Logic'!$A$3:$B$7,2,FALSE),VLOOKUP(AF230,'Writing Logic'!$A$3:$B$7,2,FALSE),VLOOKUP(AG230,'Writing Logic'!$A$3:$B$7,2,FALSE)),AVERAGE(VLOOKUP(AD230,'Writing Logic'!$A$3:$B$7,2,FALSE),VLOOKUP(AE230,'Writing Logic'!$A$3:$B$7,2,FALSE),VLOOKUP(AF230,'Writing Logic'!$A$3:$B$7,2,FALSE),VLOOKUP(AG230,'Writing Logic'!$A$3:$B$7,2,FALSE))))),"Fill All 4")</f>
        <v>Fill All 4</v>
      </c>
      <c r="AI230" s="95" t="str">
        <f t="shared" si="17"/>
        <v/>
      </c>
      <c r="AJ230" s="183"/>
      <c r="AK230" s="120"/>
      <c r="AL230" s="120"/>
      <c r="AM230" s="120"/>
      <c r="AN230" s="95" t="str">
        <f>IFERROR(IF(YES_Writing_ELA[[#This Row],[Literacy IPP]]='Writing Logic'!$E$26,"IPP",IF(OR(AJ230="EAL",AK230="EAL",AL230="EAL",AM230="EAL"),"EAL",IF(AJ230='Writing Logic'!$A$10,AVERAGE(VLOOKUP(AK230,'Writing Logic'!$A$3:$B$7,2,FALSE),VLOOKUP(AL230,'Writing Logic'!$A$3:$B$7,2,FALSE),VLOOKUP(AM230,'Writing Logic'!$A$3:$B$7,2,FALSE)),AVERAGE(VLOOKUP(AJ230,'Writing Logic'!$A$3:$B$7,2,FALSE),VLOOKUP(AK230,'Writing Logic'!$A$3:$B$7,2,FALSE),VLOOKUP(AL230,'Writing Logic'!$A$3:$B$7,2,FALSE),VLOOKUP(AM230,'Writing Logic'!$A$3:$B$7,2,FALSE))))),"Fill All 4")</f>
        <v>Fill All 4</v>
      </c>
      <c r="AO230" s="95" t="str">
        <f t="shared" si="18"/>
        <v/>
      </c>
      <c r="AP230" s="120"/>
      <c r="AQ230" s="120"/>
      <c r="AR230" s="120"/>
      <c r="AS230" s="120"/>
      <c r="AT230" s="95" t="str">
        <f>IFERROR(IF(YES_Writing_ELA[[#This Row],[Literacy IPP]]='Writing Logic'!$E$26,"IPP",IF(OR(AP230="EAL",AQ230="EAL",AR230="EAL",AS230="EAL"),"EAL",IF(AP230='Writing Logic'!$A$10,AVERAGE(VLOOKUP(AQ230,'Writing Logic'!$A$3:$B$7,2,FALSE),VLOOKUP(AR230,'Writing Logic'!$A$3:$B$7,2,FALSE),VLOOKUP(AS230,'Writing Logic'!$A$3:$B$7,2,FALSE)),AVERAGE(VLOOKUP(AP230,'Writing Logic'!$A$3:$B$7,2,FALSE),VLOOKUP(AQ230,'Writing Logic'!$A$3:$B$7,2,FALSE),VLOOKUP(AR230,'Writing Logic'!$A$3:$B$7,2,FALSE),VLOOKUP(AS230,'Writing Logic'!$A$3:$B$7,2,FALSE))))),"Fill All 4")</f>
        <v>Fill All 4</v>
      </c>
      <c r="AU230" s="95" t="str">
        <f t="shared" si="19"/>
        <v/>
      </c>
    </row>
    <row r="231" spans="1:47" x14ac:dyDescent="0.25">
      <c r="A231" s="13"/>
      <c r="B231" s="13"/>
      <c r="C231" s="13"/>
      <c r="D231" s="13"/>
      <c r="E231" s="13"/>
      <c r="F231" s="13"/>
      <c r="G231" s="13"/>
      <c r="H231" s="13"/>
      <c r="I231" s="13"/>
      <c r="J231" s="13"/>
      <c r="K231" s="183"/>
      <c r="L231" s="184"/>
      <c r="M231" s="120"/>
      <c r="N231" s="120"/>
      <c r="O231" s="120"/>
      <c r="P231" s="120"/>
      <c r="Q231" s="95" t="str">
        <f>IFERROR(IF(YES_Writing_ELA[[#This Row],[Literacy IPP]]='Writing Logic'!$E$26,"IPP",IF(OR(M231="EAL",N231="EAL",O231="EAL",P231="EAL"),"EAL",IF(M231='Writing Logic'!$A$10,AVERAGE(VLOOKUP(N231,'Writing Logic'!$A$3:$B$7,2,FALSE),VLOOKUP(O231,'Writing Logic'!$A$3:$B$7,2,FALSE),VLOOKUP(P231,'Writing Logic'!$A$3:$B$7,2,FALSE)),AVERAGE(VLOOKUP(M231,'Writing Logic'!$A$3:$B$7,2,FALSE),VLOOKUP(N231,'Writing Logic'!$A$3:$B$7,2,FALSE),VLOOKUP(O231,'Writing Logic'!$A$3:$B$7,2,FALSE),VLOOKUP(P231,'Writing Logic'!$A$3:$B$7,2,FALSE))))),"Fill All 4")</f>
        <v>Fill All 4</v>
      </c>
      <c r="R231" s="120"/>
      <c r="S231" s="120"/>
      <c r="T231" s="120"/>
      <c r="U231" s="120"/>
      <c r="V231" s="95" t="str">
        <f>IFERROR(IF(YES_Writing_ELA[[#This Row],[Literacy IPP]]='Writing Logic'!$E$26,"IPP",IF(OR(R231="EAL",S231="EAL",T231="EAL",U231="EAL"),"EAL",IF(R231='Writing Logic'!$A$10,AVERAGE(VLOOKUP(S231,'Writing Logic'!$A$3:$B$7,2,FALSE),VLOOKUP(T231,'Writing Logic'!$A$3:$B$7,2,FALSE),VLOOKUP(U231,'Writing Logic'!$A$3:$B$7,2,FALSE)),AVERAGE(VLOOKUP(R231,'Writing Logic'!$A$3:$B$7,2,FALSE),VLOOKUP(S231,'Writing Logic'!$A$3:$B$7,2,FALSE),VLOOKUP(T231,'Writing Logic'!$A$3:$B$7,2,FALSE),VLOOKUP(U231,'Writing Logic'!$A$3:$B$7,2,FALSE))))),"Fill All 4")</f>
        <v>Fill All 4</v>
      </c>
      <c r="W231" s="95" t="str">
        <f t="shared" si="15"/>
        <v/>
      </c>
      <c r="X231" s="120"/>
      <c r="Y231" s="120"/>
      <c r="Z231" s="120"/>
      <c r="AA231" s="120"/>
      <c r="AB231" s="95" t="str">
        <f>IFERROR(IF(YES_Writing_ELA[[#This Row],[Literacy IPP]]='Writing Logic'!$E$26,"IPP",IF(OR(X231="EAL",Y231="EAL",Z231="EAL",AA231="EAL"),"EAL",IF(X231='Writing Logic'!$A$10,AVERAGE(VLOOKUP(Y231,'Writing Logic'!$A$3:$B$7,2,FALSE),VLOOKUP(Z231,'Writing Logic'!$A$3:$B$7,2,FALSE),VLOOKUP(AA231,'Writing Logic'!$A$3:$B$7,2,FALSE)),AVERAGE(VLOOKUP(X231,'Writing Logic'!$A$3:$B$7,2,FALSE),VLOOKUP(Y231,'Writing Logic'!$A$3:$B$7,2,FALSE),VLOOKUP(Z231,'Writing Logic'!$A$3:$B$7,2,FALSE),VLOOKUP(AA231,'Writing Logic'!$A$3:$B$7,2,FALSE))))),"Fill All 4")</f>
        <v>Fill All 4</v>
      </c>
      <c r="AC231" s="95" t="str">
        <f t="shared" si="16"/>
        <v/>
      </c>
      <c r="AD231" s="120"/>
      <c r="AE231" s="120"/>
      <c r="AF231" s="120"/>
      <c r="AG231" s="120"/>
      <c r="AH231" s="95" t="str">
        <f>IFERROR(IF(YES_Writing_ELA[[#This Row],[Literacy IPP]]='Writing Logic'!$E$26,"IPP",IF(OR(AD231="EAL",AE231="EAL",AF231="EAL",AG231="EAL"),"EAL",IF(AD231='Writing Logic'!$A$10,AVERAGE(VLOOKUP(AE231,'Writing Logic'!$A$3:$B$7,2,FALSE),VLOOKUP(AF231,'Writing Logic'!$A$3:$B$7,2,FALSE),VLOOKUP(AG231,'Writing Logic'!$A$3:$B$7,2,FALSE)),AVERAGE(VLOOKUP(AD231,'Writing Logic'!$A$3:$B$7,2,FALSE),VLOOKUP(AE231,'Writing Logic'!$A$3:$B$7,2,FALSE),VLOOKUP(AF231,'Writing Logic'!$A$3:$B$7,2,FALSE),VLOOKUP(AG231,'Writing Logic'!$A$3:$B$7,2,FALSE))))),"Fill All 4")</f>
        <v>Fill All 4</v>
      </c>
      <c r="AI231" s="95" t="str">
        <f t="shared" si="17"/>
        <v/>
      </c>
      <c r="AJ231" s="183"/>
      <c r="AK231" s="120"/>
      <c r="AL231" s="120"/>
      <c r="AM231" s="120"/>
      <c r="AN231" s="95" t="str">
        <f>IFERROR(IF(YES_Writing_ELA[[#This Row],[Literacy IPP]]='Writing Logic'!$E$26,"IPP",IF(OR(AJ231="EAL",AK231="EAL",AL231="EAL",AM231="EAL"),"EAL",IF(AJ231='Writing Logic'!$A$10,AVERAGE(VLOOKUP(AK231,'Writing Logic'!$A$3:$B$7,2,FALSE),VLOOKUP(AL231,'Writing Logic'!$A$3:$B$7,2,FALSE),VLOOKUP(AM231,'Writing Logic'!$A$3:$B$7,2,FALSE)),AVERAGE(VLOOKUP(AJ231,'Writing Logic'!$A$3:$B$7,2,FALSE),VLOOKUP(AK231,'Writing Logic'!$A$3:$B$7,2,FALSE),VLOOKUP(AL231,'Writing Logic'!$A$3:$B$7,2,FALSE),VLOOKUP(AM231,'Writing Logic'!$A$3:$B$7,2,FALSE))))),"Fill All 4")</f>
        <v>Fill All 4</v>
      </c>
      <c r="AO231" s="95" t="str">
        <f t="shared" si="18"/>
        <v/>
      </c>
      <c r="AP231" s="120"/>
      <c r="AQ231" s="120"/>
      <c r="AR231" s="120"/>
      <c r="AS231" s="120"/>
      <c r="AT231" s="95" t="str">
        <f>IFERROR(IF(YES_Writing_ELA[[#This Row],[Literacy IPP]]='Writing Logic'!$E$26,"IPP",IF(OR(AP231="EAL",AQ231="EAL",AR231="EAL",AS231="EAL"),"EAL",IF(AP231='Writing Logic'!$A$10,AVERAGE(VLOOKUP(AQ231,'Writing Logic'!$A$3:$B$7,2,FALSE),VLOOKUP(AR231,'Writing Logic'!$A$3:$B$7,2,FALSE),VLOOKUP(AS231,'Writing Logic'!$A$3:$B$7,2,FALSE)),AVERAGE(VLOOKUP(AP231,'Writing Logic'!$A$3:$B$7,2,FALSE),VLOOKUP(AQ231,'Writing Logic'!$A$3:$B$7,2,FALSE),VLOOKUP(AR231,'Writing Logic'!$A$3:$B$7,2,FALSE),VLOOKUP(AS231,'Writing Logic'!$A$3:$B$7,2,FALSE))))),"Fill All 4")</f>
        <v>Fill All 4</v>
      </c>
      <c r="AU231" s="95" t="str">
        <f t="shared" si="19"/>
        <v/>
      </c>
    </row>
    <row r="232" spans="1:47" x14ac:dyDescent="0.25">
      <c r="A232" s="13"/>
      <c r="B232" s="13"/>
      <c r="C232" s="13"/>
      <c r="D232" s="13"/>
      <c r="E232" s="13"/>
      <c r="F232" s="13"/>
      <c r="G232" s="13"/>
      <c r="H232" s="13"/>
      <c r="I232" s="13"/>
      <c r="J232" s="13"/>
      <c r="K232" s="183"/>
      <c r="L232" s="184"/>
      <c r="M232" s="120"/>
      <c r="N232" s="120"/>
      <c r="O232" s="120"/>
      <c r="P232" s="120"/>
      <c r="Q232" s="95" t="str">
        <f>IFERROR(IF(YES_Writing_ELA[[#This Row],[Literacy IPP]]='Writing Logic'!$E$26,"IPP",IF(OR(M232="EAL",N232="EAL",O232="EAL",P232="EAL"),"EAL",IF(M232='Writing Logic'!$A$10,AVERAGE(VLOOKUP(N232,'Writing Logic'!$A$3:$B$7,2,FALSE),VLOOKUP(O232,'Writing Logic'!$A$3:$B$7,2,FALSE),VLOOKUP(P232,'Writing Logic'!$A$3:$B$7,2,FALSE)),AVERAGE(VLOOKUP(M232,'Writing Logic'!$A$3:$B$7,2,FALSE),VLOOKUP(N232,'Writing Logic'!$A$3:$B$7,2,FALSE),VLOOKUP(O232,'Writing Logic'!$A$3:$B$7,2,FALSE),VLOOKUP(P232,'Writing Logic'!$A$3:$B$7,2,FALSE))))),"Fill All 4")</f>
        <v>Fill All 4</v>
      </c>
      <c r="R232" s="120"/>
      <c r="S232" s="120"/>
      <c r="T232" s="120"/>
      <c r="U232" s="120"/>
      <c r="V232" s="95" t="str">
        <f>IFERROR(IF(YES_Writing_ELA[[#This Row],[Literacy IPP]]='Writing Logic'!$E$26,"IPP",IF(OR(R232="EAL",S232="EAL",T232="EAL",U232="EAL"),"EAL",IF(R232='Writing Logic'!$A$10,AVERAGE(VLOOKUP(S232,'Writing Logic'!$A$3:$B$7,2,FALSE),VLOOKUP(T232,'Writing Logic'!$A$3:$B$7,2,FALSE),VLOOKUP(U232,'Writing Logic'!$A$3:$B$7,2,FALSE)),AVERAGE(VLOOKUP(R232,'Writing Logic'!$A$3:$B$7,2,FALSE),VLOOKUP(S232,'Writing Logic'!$A$3:$B$7,2,FALSE),VLOOKUP(T232,'Writing Logic'!$A$3:$B$7,2,FALSE),VLOOKUP(U232,'Writing Logic'!$A$3:$B$7,2,FALSE))))),"Fill All 4")</f>
        <v>Fill All 4</v>
      </c>
      <c r="W232" s="95" t="str">
        <f t="shared" si="15"/>
        <v/>
      </c>
      <c r="X232" s="120"/>
      <c r="Y232" s="120"/>
      <c r="Z232" s="120"/>
      <c r="AA232" s="120"/>
      <c r="AB232" s="95" t="str">
        <f>IFERROR(IF(YES_Writing_ELA[[#This Row],[Literacy IPP]]='Writing Logic'!$E$26,"IPP",IF(OR(X232="EAL",Y232="EAL",Z232="EAL",AA232="EAL"),"EAL",IF(X232='Writing Logic'!$A$10,AVERAGE(VLOOKUP(Y232,'Writing Logic'!$A$3:$B$7,2,FALSE),VLOOKUP(Z232,'Writing Logic'!$A$3:$B$7,2,FALSE),VLOOKUP(AA232,'Writing Logic'!$A$3:$B$7,2,FALSE)),AVERAGE(VLOOKUP(X232,'Writing Logic'!$A$3:$B$7,2,FALSE),VLOOKUP(Y232,'Writing Logic'!$A$3:$B$7,2,FALSE),VLOOKUP(Z232,'Writing Logic'!$A$3:$B$7,2,FALSE),VLOOKUP(AA232,'Writing Logic'!$A$3:$B$7,2,FALSE))))),"Fill All 4")</f>
        <v>Fill All 4</v>
      </c>
      <c r="AC232" s="95" t="str">
        <f t="shared" si="16"/>
        <v/>
      </c>
      <c r="AD232" s="120"/>
      <c r="AE232" s="120"/>
      <c r="AF232" s="120"/>
      <c r="AG232" s="120"/>
      <c r="AH232" s="95" t="str">
        <f>IFERROR(IF(YES_Writing_ELA[[#This Row],[Literacy IPP]]='Writing Logic'!$E$26,"IPP",IF(OR(AD232="EAL",AE232="EAL",AF232="EAL",AG232="EAL"),"EAL",IF(AD232='Writing Logic'!$A$10,AVERAGE(VLOOKUP(AE232,'Writing Logic'!$A$3:$B$7,2,FALSE),VLOOKUP(AF232,'Writing Logic'!$A$3:$B$7,2,FALSE),VLOOKUP(AG232,'Writing Logic'!$A$3:$B$7,2,FALSE)),AVERAGE(VLOOKUP(AD232,'Writing Logic'!$A$3:$B$7,2,FALSE),VLOOKUP(AE232,'Writing Logic'!$A$3:$B$7,2,FALSE),VLOOKUP(AF232,'Writing Logic'!$A$3:$B$7,2,FALSE),VLOOKUP(AG232,'Writing Logic'!$A$3:$B$7,2,FALSE))))),"Fill All 4")</f>
        <v>Fill All 4</v>
      </c>
      <c r="AI232" s="95" t="str">
        <f t="shared" si="17"/>
        <v/>
      </c>
      <c r="AJ232" s="183"/>
      <c r="AK232" s="120"/>
      <c r="AL232" s="120"/>
      <c r="AM232" s="120"/>
      <c r="AN232" s="95" t="str">
        <f>IFERROR(IF(YES_Writing_ELA[[#This Row],[Literacy IPP]]='Writing Logic'!$E$26,"IPP",IF(OR(AJ232="EAL",AK232="EAL",AL232="EAL",AM232="EAL"),"EAL",IF(AJ232='Writing Logic'!$A$10,AVERAGE(VLOOKUP(AK232,'Writing Logic'!$A$3:$B$7,2,FALSE),VLOOKUP(AL232,'Writing Logic'!$A$3:$B$7,2,FALSE),VLOOKUP(AM232,'Writing Logic'!$A$3:$B$7,2,FALSE)),AVERAGE(VLOOKUP(AJ232,'Writing Logic'!$A$3:$B$7,2,FALSE),VLOOKUP(AK232,'Writing Logic'!$A$3:$B$7,2,FALSE),VLOOKUP(AL232,'Writing Logic'!$A$3:$B$7,2,FALSE),VLOOKUP(AM232,'Writing Logic'!$A$3:$B$7,2,FALSE))))),"Fill All 4")</f>
        <v>Fill All 4</v>
      </c>
      <c r="AO232" s="95" t="str">
        <f t="shared" si="18"/>
        <v/>
      </c>
      <c r="AP232" s="120"/>
      <c r="AQ232" s="120"/>
      <c r="AR232" s="120"/>
      <c r="AS232" s="120"/>
      <c r="AT232" s="95" t="str">
        <f>IFERROR(IF(YES_Writing_ELA[[#This Row],[Literacy IPP]]='Writing Logic'!$E$26,"IPP",IF(OR(AP232="EAL",AQ232="EAL",AR232="EAL",AS232="EAL"),"EAL",IF(AP232='Writing Logic'!$A$10,AVERAGE(VLOOKUP(AQ232,'Writing Logic'!$A$3:$B$7,2,FALSE),VLOOKUP(AR232,'Writing Logic'!$A$3:$B$7,2,FALSE),VLOOKUP(AS232,'Writing Logic'!$A$3:$B$7,2,FALSE)),AVERAGE(VLOOKUP(AP232,'Writing Logic'!$A$3:$B$7,2,FALSE),VLOOKUP(AQ232,'Writing Logic'!$A$3:$B$7,2,FALSE),VLOOKUP(AR232,'Writing Logic'!$A$3:$B$7,2,FALSE),VLOOKUP(AS232,'Writing Logic'!$A$3:$B$7,2,FALSE))))),"Fill All 4")</f>
        <v>Fill All 4</v>
      </c>
      <c r="AU232" s="95" t="str">
        <f t="shared" si="19"/>
        <v/>
      </c>
    </row>
    <row r="233" spans="1:47" x14ac:dyDescent="0.25">
      <c r="A233" s="13"/>
      <c r="B233" s="13"/>
      <c r="C233" s="13"/>
      <c r="D233" s="13"/>
      <c r="E233" s="13"/>
      <c r="F233" s="13"/>
      <c r="G233" s="13"/>
      <c r="H233" s="13"/>
      <c r="I233" s="13"/>
      <c r="J233" s="13"/>
      <c r="K233" s="183"/>
      <c r="L233" s="184"/>
      <c r="M233" s="120"/>
      <c r="N233" s="120"/>
      <c r="O233" s="120"/>
      <c r="P233" s="120"/>
      <c r="Q233" s="95" t="str">
        <f>IFERROR(IF(YES_Writing_ELA[[#This Row],[Literacy IPP]]='Writing Logic'!$E$26,"IPP",IF(OR(M233="EAL",N233="EAL",O233="EAL",P233="EAL"),"EAL",IF(M233='Writing Logic'!$A$10,AVERAGE(VLOOKUP(N233,'Writing Logic'!$A$3:$B$7,2,FALSE),VLOOKUP(O233,'Writing Logic'!$A$3:$B$7,2,FALSE),VLOOKUP(P233,'Writing Logic'!$A$3:$B$7,2,FALSE)),AVERAGE(VLOOKUP(M233,'Writing Logic'!$A$3:$B$7,2,FALSE),VLOOKUP(N233,'Writing Logic'!$A$3:$B$7,2,FALSE),VLOOKUP(O233,'Writing Logic'!$A$3:$B$7,2,FALSE),VLOOKUP(P233,'Writing Logic'!$A$3:$B$7,2,FALSE))))),"Fill All 4")</f>
        <v>Fill All 4</v>
      </c>
      <c r="R233" s="120"/>
      <c r="S233" s="120"/>
      <c r="T233" s="120"/>
      <c r="U233" s="120"/>
      <c r="V233" s="95" t="str">
        <f>IFERROR(IF(YES_Writing_ELA[[#This Row],[Literacy IPP]]='Writing Logic'!$E$26,"IPP",IF(OR(R233="EAL",S233="EAL",T233="EAL",U233="EAL"),"EAL",IF(R233='Writing Logic'!$A$10,AVERAGE(VLOOKUP(S233,'Writing Logic'!$A$3:$B$7,2,FALSE),VLOOKUP(T233,'Writing Logic'!$A$3:$B$7,2,FALSE),VLOOKUP(U233,'Writing Logic'!$A$3:$B$7,2,FALSE)),AVERAGE(VLOOKUP(R233,'Writing Logic'!$A$3:$B$7,2,FALSE),VLOOKUP(S233,'Writing Logic'!$A$3:$B$7,2,FALSE),VLOOKUP(T233,'Writing Logic'!$A$3:$B$7,2,FALSE),VLOOKUP(U233,'Writing Logic'!$A$3:$B$7,2,FALSE))))),"Fill All 4")</f>
        <v>Fill All 4</v>
      </c>
      <c r="W233" s="95" t="str">
        <f t="shared" si="15"/>
        <v/>
      </c>
      <c r="X233" s="120"/>
      <c r="Y233" s="120"/>
      <c r="Z233" s="120"/>
      <c r="AA233" s="120"/>
      <c r="AB233" s="95" t="str">
        <f>IFERROR(IF(YES_Writing_ELA[[#This Row],[Literacy IPP]]='Writing Logic'!$E$26,"IPP",IF(OR(X233="EAL",Y233="EAL",Z233="EAL",AA233="EAL"),"EAL",IF(X233='Writing Logic'!$A$10,AVERAGE(VLOOKUP(Y233,'Writing Logic'!$A$3:$B$7,2,FALSE),VLOOKUP(Z233,'Writing Logic'!$A$3:$B$7,2,FALSE),VLOOKUP(AA233,'Writing Logic'!$A$3:$B$7,2,FALSE)),AVERAGE(VLOOKUP(X233,'Writing Logic'!$A$3:$B$7,2,FALSE),VLOOKUP(Y233,'Writing Logic'!$A$3:$B$7,2,FALSE),VLOOKUP(Z233,'Writing Logic'!$A$3:$B$7,2,FALSE),VLOOKUP(AA233,'Writing Logic'!$A$3:$B$7,2,FALSE))))),"Fill All 4")</f>
        <v>Fill All 4</v>
      </c>
      <c r="AC233" s="95" t="str">
        <f t="shared" si="16"/>
        <v/>
      </c>
      <c r="AD233" s="120"/>
      <c r="AE233" s="120"/>
      <c r="AF233" s="120"/>
      <c r="AG233" s="120"/>
      <c r="AH233" s="95" t="str">
        <f>IFERROR(IF(YES_Writing_ELA[[#This Row],[Literacy IPP]]='Writing Logic'!$E$26,"IPP",IF(OR(AD233="EAL",AE233="EAL",AF233="EAL",AG233="EAL"),"EAL",IF(AD233='Writing Logic'!$A$10,AVERAGE(VLOOKUP(AE233,'Writing Logic'!$A$3:$B$7,2,FALSE),VLOOKUP(AF233,'Writing Logic'!$A$3:$B$7,2,FALSE),VLOOKUP(AG233,'Writing Logic'!$A$3:$B$7,2,FALSE)),AVERAGE(VLOOKUP(AD233,'Writing Logic'!$A$3:$B$7,2,FALSE),VLOOKUP(AE233,'Writing Logic'!$A$3:$B$7,2,FALSE),VLOOKUP(AF233,'Writing Logic'!$A$3:$B$7,2,FALSE),VLOOKUP(AG233,'Writing Logic'!$A$3:$B$7,2,FALSE))))),"Fill All 4")</f>
        <v>Fill All 4</v>
      </c>
      <c r="AI233" s="95" t="str">
        <f t="shared" si="17"/>
        <v/>
      </c>
      <c r="AJ233" s="183"/>
      <c r="AK233" s="120"/>
      <c r="AL233" s="120"/>
      <c r="AM233" s="120"/>
      <c r="AN233" s="95" t="str">
        <f>IFERROR(IF(YES_Writing_ELA[[#This Row],[Literacy IPP]]='Writing Logic'!$E$26,"IPP",IF(OR(AJ233="EAL",AK233="EAL",AL233="EAL",AM233="EAL"),"EAL",IF(AJ233='Writing Logic'!$A$10,AVERAGE(VLOOKUP(AK233,'Writing Logic'!$A$3:$B$7,2,FALSE),VLOOKUP(AL233,'Writing Logic'!$A$3:$B$7,2,FALSE),VLOOKUP(AM233,'Writing Logic'!$A$3:$B$7,2,FALSE)),AVERAGE(VLOOKUP(AJ233,'Writing Logic'!$A$3:$B$7,2,FALSE),VLOOKUP(AK233,'Writing Logic'!$A$3:$B$7,2,FALSE),VLOOKUP(AL233,'Writing Logic'!$A$3:$B$7,2,FALSE),VLOOKUP(AM233,'Writing Logic'!$A$3:$B$7,2,FALSE))))),"Fill All 4")</f>
        <v>Fill All 4</v>
      </c>
      <c r="AO233" s="95" t="str">
        <f t="shared" si="18"/>
        <v/>
      </c>
      <c r="AP233" s="120"/>
      <c r="AQ233" s="120"/>
      <c r="AR233" s="120"/>
      <c r="AS233" s="120"/>
      <c r="AT233" s="95" t="str">
        <f>IFERROR(IF(YES_Writing_ELA[[#This Row],[Literacy IPP]]='Writing Logic'!$E$26,"IPP",IF(OR(AP233="EAL",AQ233="EAL",AR233="EAL",AS233="EAL"),"EAL",IF(AP233='Writing Logic'!$A$10,AVERAGE(VLOOKUP(AQ233,'Writing Logic'!$A$3:$B$7,2,FALSE),VLOOKUP(AR233,'Writing Logic'!$A$3:$B$7,2,FALSE),VLOOKUP(AS233,'Writing Logic'!$A$3:$B$7,2,FALSE)),AVERAGE(VLOOKUP(AP233,'Writing Logic'!$A$3:$B$7,2,FALSE),VLOOKUP(AQ233,'Writing Logic'!$A$3:$B$7,2,FALSE),VLOOKUP(AR233,'Writing Logic'!$A$3:$B$7,2,FALSE),VLOOKUP(AS233,'Writing Logic'!$A$3:$B$7,2,FALSE))))),"Fill All 4")</f>
        <v>Fill All 4</v>
      </c>
      <c r="AU233" s="95" t="str">
        <f t="shared" si="19"/>
        <v/>
      </c>
    </row>
    <row r="234" spans="1:47" x14ac:dyDescent="0.25">
      <c r="A234" s="13"/>
      <c r="B234" s="13"/>
      <c r="C234" s="13"/>
      <c r="D234" s="13"/>
      <c r="E234" s="13"/>
      <c r="F234" s="13"/>
      <c r="G234" s="13"/>
      <c r="H234" s="13"/>
      <c r="I234" s="13"/>
      <c r="J234" s="13"/>
      <c r="K234" s="183"/>
      <c r="L234" s="184"/>
      <c r="M234" s="120"/>
      <c r="N234" s="120"/>
      <c r="O234" s="120"/>
      <c r="P234" s="120"/>
      <c r="Q234" s="95" t="str">
        <f>IFERROR(IF(YES_Writing_ELA[[#This Row],[Literacy IPP]]='Writing Logic'!$E$26,"IPP",IF(OR(M234="EAL",N234="EAL",O234="EAL",P234="EAL"),"EAL",IF(M234='Writing Logic'!$A$10,AVERAGE(VLOOKUP(N234,'Writing Logic'!$A$3:$B$7,2,FALSE),VLOOKUP(O234,'Writing Logic'!$A$3:$B$7,2,FALSE),VLOOKUP(P234,'Writing Logic'!$A$3:$B$7,2,FALSE)),AVERAGE(VLOOKUP(M234,'Writing Logic'!$A$3:$B$7,2,FALSE),VLOOKUP(N234,'Writing Logic'!$A$3:$B$7,2,FALSE),VLOOKUP(O234,'Writing Logic'!$A$3:$B$7,2,FALSE),VLOOKUP(P234,'Writing Logic'!$A$3:$B$7,2,FALSE))))),"Fill All 4")</f>
        <v>Fill All 4</v>
      </c>
      <c r="R234" s="120"/>
      <c r="S234" s="120"/>
      <c r="T234" s="120"/>
      <c r="U234" s="120"/>
      <c r="V234" s="95" t="str">
        <f>IFERROR(IF(YES_Writing_ELA[[#This Row],[Literacy IPP]]='Writing Logic'!$E$26,"IPP",IF(OR(R234="EAL",S234="EAL",T234="EAL",U234="EAL"),"EAL",IF(R234='Writing Logic'!$A$10,AVERAGE(VLOOKUP(S234,'Writing Logic'!$A$3:$B$7,2,FALSE),VLOOKUP(T234,'Writing Logic'!$A$3:$B$7,2,FALSE),VLOOKUP(U234,'Writing Logic'!$A$3:$B$7,2,FALSE)),AVERAGE(VLOOKUP(R234,'Writing Logic'!$A$3:$B$7,2,FALSE),VLOOKUP(S234,'Writing Logic'!$A$3:$B$7,2,FALSE),VLOOKUP(T234,'Writing Logic'!$A$3:$B$7,2,FALSE),VLOOKUP(U234,'Writing Logic'!$A$3:$B$7,2,FALSE))))),"Fill All 4")</f>
        <v>Fill All 4</v>
      </c>
      <c r="W234" s="95" t="str">
        <f t="shared" si="15"/>
        <v/>
      </c>
      <c r="X234" s="120"/>
      <c r="Y234" s="120"/>
      <c r="Z234" s="120"/>
      <c r="AA234" s="120"/>
      <c r="AB234" s="95" t="str">
        <f>IFERROR(IF(YES_Writing_ELA[[#This Row],[Literacy IPP]]='Writing Logic'!$E$26,"IPP",IF(OR(X234="EAL",Y234="EAL",Z234="EAL",AA234="EAL"),"EAL",IF(X234='Writing Logic'!$A$10,AVERAGE(VLOOKUP(Y234,'Writing Logic'!$A$3:$B$7,2,FALSE),VLOOKUP(Z234,'Writing Logic'!$A$3:$B$7,2,FALSE),VLOOKUP(AA234,'Writing Logic'!$A$3:$B$7,2,FALSE)),AVERAGE(VLOOKUP(X234,'Writing Logic'!$A$3:$B$7,2,FALSE),VLOOKUP(Y234,'Writing Logic'!$A$3:$B$7,2,FALSE),VLOOKUP(Z234,'Writing Logic'!$A$3:$B$7,2,FALSE),VLOOKUP(AA234,'Writing Logic'!$A$3:$B$7,2,FALSE))))),"Fill All 4")</f>
        <v>Fill All 4</v>
      </c>
      <c r="AC234" s="95" t="str">
        <f t="shared" si="16"/>
        <v/>
      </c>
      <c r="AD234" s="120"/>
      <c r="AE234" s="120"/>
      <c r="AF234" s="120"/>
      <c r="AG234" s="120"/>
      <c r="AH234" s="95" t="str">
        <f>IFERROR(IF(YES_Writing_ELA[[#This Row],[Literacy IPP]]='Writing Logic'!$E$26,"IPP",IF(OR(AD234="EAL",AE234="EAL",AF234="EAL",AG234="EAL"),"EAL",IF(AD234='Writing Logic'!$A$10,AVERAGE(VLOOKUP(AE234,'Writing Logic'!$A$3:$B$7,2,FALSE),VLOOKUP(AF234,'Writing Logic'!$A$3:$B$7,2,FALSE),VLOOKUP(AG234,'Writing Logic'!$A$3:$B$7,2,FALSE)),AVERAGE(VLOOKUP(AD234,'Writing Logic'!$A$3:$B$7,2,FALSE),VLOOKUP(AE234,'Writing Logic'!$A$3:$B$7,2,FALSE),VLOOKUP(AF234,'Writing Logic'!$A$3:$B$7,2,FALSE),VLOOKUP(AG234,'Writing Logic'!$A$3:$B$7,2,FALSE))))),"Fill All 4")</f>
        <v>Fill All 4</v>
      </c>
      <c r="AI234" s="95" t="str">
        <f t="shared" si="17"/>
        <v/>
      </c>
      <c r="AJ234" s="183"/>
      <c r="AK234" s="120"/>
      <c r="AL234" s="120"/>
      <c r="AM234" s="120"/>
      <c r="AN234" s="95" t="str">
        <f>IFERROR(IF(YES_Writing_ELA[[#This Row],[Literacy IPP]]='Writing Logic'!$E$26,"IPP",IF(OR(AJ234="EAL",AK234="EAL",AL234="EAL",AM234="EAL"),"EAL",IF(AJ234='Writing Logic'!$A$10,AVERAGE(VLOOKUP(AK234,'Writing Logic'!$A$3:$B$7,2,FALSE),VLOOKUP(AL234,'Writing Logic'!$A$3:$B$7,2,FALSE),VLOOKUP(AM234,'Writing Logic'!$A$3:$B$7,2,FALSE)),AVERAGE(VLOOKUP(AJ234,'Writing Logic'!$A$3:$B$7,2,FALSE),VLOOKUP(AK234,'Writing Logic'!$A$3:$B$7,2,FALSE),VLOOKUP(AL234,'Writing Logic'!$A$3:$B$7,2,FALSE),VLOOKUP(AM234,'Writing Logic'!$A$3:$B$7,2,FALSE))))),"Fill All 4")</f>
        <v>Fill All 4</v>
      </c>
      <c r="AO234" s="95" t="str">
        <f t="shared" si="18"/>
        <v/>
      </c>
      <c r="AP234" s="120"/>
      <c r="AQ234" s="120"/>
      <c r="AR234" s="120"/>
      <c r="AS234" s="120"/>
      <c r="AT234" s="95" t="str">
        <f>IFERROR(IF(YES_Writing_ELA[[#This Row],[Literacy IPP]]='Writing Logic'!$E$26,"IPP",IF(OR(AP234="EAL",AQ234="EAL",AR234="EAL",AS234="EAL"),"EAL",IF(AP234='Writing Logic'!$A$10,AVERAGE(VLOOKUP(AQ234,'Writing Logic'!$A$3:$B$7,2,FALSE),VLOOKUP(AR234,'Writing Logic'!$A$3:$B$7,2,FALSE),VLOOKUP(AS234,'Writing Logic'!$A$3:$B$7,2,FALSE)),AVERAGE(VLOOKUP(AP234,'Writing Logic'!$A$3:$B$7,2,FALSE),VLOOKUP(AQ234,'Writing Logic'!$A$3:$B$7,2,FALSE),VLOOKUP(AR234,'Writing Logic'!$A$3:$B$7,2,FALSE),VLOOKUP(AS234,'Writing Logic'!$A$3:$B$7,2,FALSE))))),"Fill All 4")</f>
        <v>Fill All 4</v>
      </c>
      <c r="AU234" s="95" t="str">
        <f t="shared" si="19"/>
        <v/>
      </c>
    </row>
    <row r="235" spans="1:47" x14ac:dyDescent="0.25">
      <c r="A235" s="13"/>
      <c r="B235" s="13"/>
      <c r="C235" s="13"/>
      <c r="D235" s="13"/>
      <c r="E235" s="13"/>
      <c r="F235" s="13"/>
      <c r="G235" s="13"/>
      <c r="H235" s="13"/>
      <c r="I235" s="13"/>
      <c r="J235" s="13"/>
      <c r="K235" s="183"/>
      <c r="L235" s="184"/>
      <c r="M235" s="120"/>
      <c r="N235" s="120"/>
      <c r="O235" s="120"/>
      <c r="P235" s="120"/>
      <c r="Q235" s="95" t="str">
        <f>IFERROR(IF(YES_Writing_ELA[[#This Row],[Literacy IPP]]='Writing Logic'!$E$26,"IPP",IF(OR(M235="EAL",N235="EAL",O235="EAL",P235="EAL"),"EAL",IF(M235='Writing Logic'!$A$10,AVERAGE(VLOOKUP(N235,'Writing Logic'!$A$3:$B$7,2,FALSE),VLOOKUP(O235,'Writing Logic'!$A$3:$B$7,2,FALSE),VLOOKUP(P235,'Writing Logic'!$A$3:$B$7,2,FALSE)),AVERAGE(VLOOKUP(M235,'Writing Logic'!$A$3:$B$7,2,FALSE),VLOOKUP(N235,'Writing Logic'!$A$3:$B$7,2,FALSE),VLOOKUP(O235,'Writing Logic'!$A$3:$B$7,2,FALSE),VLOOKUP(P235,'Writing Logic'!$A$3:$B$7,2,FALSE))))),"Fill All 4")</f>
        <v>Fill All 4</v>
      </c>
      <c r="R235" s="120"/>
      <c r="S235" s="120"/>
      <c r="T235" s="120"/>
      <c r="U235" s="120"/>
      <c r="V235" s="95" t="str">
        <f>IFERROR(IF(YES_Writing_ELA[[#This Row],[Literacy IPP]]='Writing Logic'!$E$26,"IPP",IF(OR(R235="EAL",S235="EAL",T235="EAL",U235="EAL"),"EAL",IF(R235='Writing Logic'!$A$10,AVERAGE(VLOOKUP(S235,'Writing Logic'!$A$3:$B$7,2,FALSE),VLOOKUP(T235,'Writing Logic'!$A$3:$B$7,2,FALSE),VLOOKUP(U235,'Writing Logic'!$A$3:$B$7,2,FALSE)),AVERAGE(VLOOKUP(R235,'Writing Logic'!$A$3:$B$7,2,FALSE),VLOOKUP(S235,'Writing Logic'!$A$3:$B$7,2,FALSE),VLOOKUP(T235,'Writing Logic'!$A$3:$B$7,2,FALSE),VLOOKUP(U235,'Writing Logic'!$A$3:$B$7,2,FALSE))))),"Fill All 4")</f>
        <v>Fill All 4</v>
      </c>
      <c r="W235" s="95" t="str">
        <f t="shared" si="15"/>
        <v/>
      </c>
      <c r="X235" s="120"/>
      <c r="Y235" s="120"/>
      <c r="Z235" s="120"/>
      <c r="AA235" s="120"/>
      <c r="AB235" s="95" t="str">
        <f>IFERROR(IF(YES_Writing_ELA[[#This Row],[Literacy IPP]]='Writing Logic'!$E$26,"IPP",IF(OR(X235="EAL",Y235="EAL",Z235="EAL",AA235="EAL"),"EAL",IF(X235='Writing Logic'!$A$10,AVERAGE(VLOOKUP(Y235,'Writing Logic'!$A$3:$B$7,2,FALSE),VLOOKUP(Z235,'Writing Logic'!$A$3:$B$7,2,FALSE),VLOOKUP(AA235,'Writing Logic'!$A$3:$B$7,2,FALSE)),AVERAGE(VLOOKUP(X235,'Writing Logic'!$A$3:$B$7,2,FALSE),VLOOKUP(Y235,'Writing Logic'!$A$3:$B$7,2,FALSE),VLOOKUP(Z235,'Writing Logic'!$A$3:$B$7,2,FALSE),VLOOKUP(AA235,'Writing Logic'!$A$3:$B$7,2,FALSE))))),"Fill All 4")</f>
        <v>Fill All 4</v>
      </c>
      <c r="AC235" s="95" t="str">
        <f t="shared" si="16"/>
        <v/>
      </c>
      <c r="AD235" s="120"/>
      <c r="AE235" s="120"/>
      <c r="AF235" s="120"/>
      <c r="AG235" s="120"/>
      <c r="AH235" s="95" t="str">
        <f>IFERROR(IF(YES_Writing_ELA[[#This Row],[Literacy IPP]]='Writing Logic'!$E$26,"IPP",IF(OR(AD235="EAL",AE235="EAL",AF235="EAL",AG235="EAL"),"EAL",IF(AD235='Writing Logic'!$A$10,AVERAGE(VLOOKUP(AE235,'Writing Logic'!$A$3:$B$7,2,FALSE),VLOOKUP(AF235,'Writing Logic'!$A$3:$B$7,2,FALSE),VLOOKUP(AG235,'Writing Logic'!$A$3:$B$7,2,FALSE)),AVERAGE(VLOOKUP(AD235,'Writing Logic'!$A$3:$B$7,2,FALSE),VLOOKUP(AE235,'Writing Logic'!$A$3:$B$7,2,FALSE),VLOOKUP(AF235,'Writing Logic'!$A$3:$B$7,2,FALSE),VLOOKUP(AG235,'Writing Logic'!$A$3:$B$7,2,FALSE))))),"Fill All 4")</f>
        <v>Fill All 4</v>
      </c>
      <c r="AI235" s="95" t="str">
        <f t="shared" si="17"/>
        <v/>
      </c>
      <c r="AJ235" s="183"/>
      <c r="AK235" s="120"/>
      <c r="AL235" s="120"/>
      <c r="AM235" s="120"/>
      <c r="AN235" s="95" t="str">
        <f>IFERROR(IF(YES_Writing_ELA[[#This Row],[Literacy IPP]]='Writing Logic'!$E$26,"IPP",IF(OR(AJ235="EAL",AK235="EAL",AL235="EAL",AM235="EAL"),"EAL",IF(AJ235='Writing Logic'!$A$10,AVERAGE(VLOOKUP(AK235,'Writing Logic'!$A$3:$B$7,2,FALSE),VLOOKUP(AL235,'Writing Logic'!$A$3:$B$7,2,FALSE),VLOOKUP(AM235,'Writing Logic'!$A$3:$B$7,2,FALSE)),AVERAGE(VLOOKUP(AJ235,'Writing Logic'!$A$3:$B$7,2,FALSE),VLOOKUP(AK235,'Writing Logic'!$A$3:$B$7,2,FALSE),VLOOKUP(AL235,'Writing Logic'!$A$3:$B$7,2,FALSE),VLOOKUP(AM235,'Writing Logic'!$A$3:$B$7,2,FALSE))))),"Fill All 4")</f>
        <v>Fill All 4</v>
      </c>
      <c r="AO235" s="95" t="str">
        <f t="shared" si="18"/>
        <v/>
      </c>
      <c r="AP235" s="120"/>
      <c r="AQ235" s="120"/>
      <c r="AR235" s="120"/>
      <c r="AS235" s="120"/>
      <c r="AT235" s="95" t="str">
        <f>IFERROR(IF(YES_Writing_ELA[[#This Row],[Literacy IPP]]='Writing Logic'!$E$26,"IPP",IF(OR(AP235="EAL",AQ235="EAL",AR235="EAL",AS235="EAL"),"EAL",IF(AP235='Writing Logic'!$A$10,AVERAGE(VLOOKUP(AQ235,'Writing Logic'!$A$3:$B$7,2,FALSE),VLOOKUP(AR235,'Writing Logic'!$A$3:$B$7,2,FALSE),VLOOKUP(AS235,'Writing Logic'!$A$3:$B$7,2,FALSE)),AVERAGE(VLOOKUP(AP235,'Writing Logic'!$A$3:$B$7,2,FALSE),VLOOKUP(AQ235,'Writing Logic'!$A$3:$B$7,2,FALSE),VLOOKUP(AR235,'Writing Logic'!$A$3:$B$7,2,FALSE),VLOOKUP(AS235,'Writing Logic'!$A$3:$B$7,2,FALSE))))),"Fill All 4")</f>
        <v>Fill All 4</v>
      </c>
      <c r="AU235" s="95" t="str">
        <f t="shared" si="19"/>
        <v/>
      </c>
    </row>
    <row r="236" spans="1:47" x14ac:dyDescent="0.25">
      <c r="A236" s="13"/>
      <c r="B236" s="13"/>
      <c r="C236" s="13"/>
      <c r="D236" s="13"/>
      <c r="E236" s="13"/>
      <c r="F236" s="13"/>
      <c r="G236" s="13"/>
      <c r="H236" s="13"/>
      <c r="I236" s="13"/>
      <c r="J236" s="13"/>
      <c r="K236" s="183"/>
      <c r="L236" s="184"/>
      <c r="M236" s="120"/>
      <c r="N236" s="120"/>
      <c r="O236" s="120"/>
      <c r="P236" s="120"/>
      <c r="Q236" s="95" t="str">
        <f>IFERROR(IF(YES_Writing_ELA[[#This Row],[Literacy IPP]]='Writing Logic'!$E$26,"IPP",IF(OR(M236="EAL",N236="EAL",O236="EAL",P236="EAL"),"EAL",IF(M236='Writing Logic'!$A$10,AVERAGE(VLOOKUP(N236,'Writing Logic'!$A$3:$B$7,2,FALSE),VLOOKUP(O236,'Writing Logic'!$A$3:$B$7,2,FALSE),VLOOKUP(P236,'Writing Logic'!$A$3:$B$7,2,FALSE)),AVERAGE(VLOOKUP(M236,'Writing Logic'!$A$3:$B$7,2,FALSE),VLOOKUP(N236,'Writing Logic'!$A$3:$B$7,2,FALSE),VLOOKUP(O236,'Writing Logic'!$A$3:$B$7,2,FALSE),VLOOKUP(P236,'Writing Logic'!$A$3:$B$7,2,FALSE))))),"Fill All 4")</f>
        <v>Fill All 4</v>
      </c>
      <c r="R236" s="120"/>
      <c r="S236" s="120"/>
      <c r="T236" s="120"/>
      <c r="U236" s="120"/>
      <c r="V236" s="95" t="str">
        <f>IFERROR(IF(YES_Writing_ELA[[#This Row],[Literacy IPP]]='Writing Logic'!$E$26,"IPP",IF(OR(R236="EAL",S236="EAL",T236="EAL",U236="EAL"),"EAL",IF(R236='Writing Logic'!$A$10,AVERAGE(VLOOKUP(S236,'Writing Logic'!$A$3:$B$7,2,FALSE),VLOOKUP(T236,'Writing Logic'!$A$3:$B$7,2,FALSE),VLOOKUP(U236,'Writing Logic'!$A$3:$B$7,2,FALSE)),AVERAGE(VLOOKUP(R236,'Writing Logic'!$A$3:$B$7,2,FALSE),VLOOKUP(S236,'Writing Logic'!$A$3:$B$7,2,FALSE),VLOOKUP(T236,'Writing Logic'!$A$3:$B$7,2,FALSE),VLOOKUP(U236,'Writing Logic'!$A$3:$B$7,2,FALSE))))),"Fill All 4")</f>
        <v>Fill All 4</v>
      </c>
      <c r="W236" s="95" t="str">
        <f t="shared" si="15"/>
        <v/>
      </c>
      <c r="X236" s="120"/>
      <c r="Y236" s="120"/>
      <c r="Z236" s="120"/>
      <c r="AA236" s="120"/>
      <c r="AB236" s="95" t="str">
        <f>IFERROR(IF(YES_Writing_ELA[[#This Row],[Literacy IPP]]='Writing Logic'!$E$26,"IPP",IF(OR(X236="EAL",Y236="EAL",Z236="EAL",AA236="EAL"),"EAL",IF(X236='Writing Logic'!$A$10,AVERAGE(VLOOKUP(Y236,'Writing Logic'!$A$3:$B$7,2,FALSE),VLOOKUP(Z236,'Writing Logic'!$A$3:$B$7,2,FALSE),VLOOKUP(AA236,'Writing Logic'!$A$3:$B$7,2,FALSE)),AVERAGE(VLOOKUP(X236,'Writing Logic'!$A$3:$B$7,2,FALSE),VLOOKUP(Y236,'Writing Logic'!$A$3:$B$7,2,FALSE),VLOOKUP(Z236,'Writing Logic'!$A$3:$B$7,2,FALSE),VLOOKUP(AA236,'Writing Logic'!$A$3:$B$7,2,FALSE))))),"Fill All 4")</f>
        <v>Fill All 4</v>
      </c>
      <c r="AC236" s="95" t="str">
        <f t="shared" si="16"/>
        <v/>
      </c>
      <c r="AD236" s="120"/>
      <c r="AE236" s="120"/>
      <c r="AF236" s="120"/>
      <c r="AG236" s="120"/>
      <c r="AH236" s="95" t="str">
        <f>IFERROR(IF(YES_Writing_ELA[[#This Row],[Literacy IPP]]='Writing Logic'!$E$26,"IPP",IF(OR(AD236="EAL",AE236="EAL",AF236="EAL",AG236="EAL"),"EAL",IF(AD236='Writing Logic'!$A$10,AVERAGE(VLOOKUP(AE236,'Writing Logic'!$A$3:$B$7,2,FALSE),VLOOKUP(AF236,'Writing Logic'!$A$3:$B$7,2,FALSE),VLOOKUP(AG236,'Writing Logic'!$A$3:$B$7,2,FALSE)),AVERAGE(VLOOKUP(AD236,'Writing Logic'!$A$3:$B$7,2,FALSE),VLOOKUP(AE236,'Writing Logic'!$A$3:$B$7,2,FALSE),VLOOKUP(AF236,'Writing Logic'!$A$3:$B$7,2,FALSE),VLOOKUP(AG236,'Writing Logic'!$A$3:$B$7,2,FALSE))))),"Fill All 4")</f>
        <v>Fill All 4</v>
      </c>
      <c r="AI236" s="95" t="str">
        <f t="shared" si="17"/>
        <v/>
      </c>
      <c r="AJ236" s="183"/>
      <c r="AK236" s="120"/>
      <c r="AL236" s="120"/>
      <c r="AM236" s="120"/>
      <c r="AN236" s="95" t="str">
        <f>IFERROR(IF(YES_Writing_ELA[[#This Row],[Literacy IPP]]='Writing Logic'!$E$26,"IPP",IF(OR(AJ236="EAL",AK236="EAL",AL236="EAL",AM236="EAL"),"EAL",IF(AJ236='Writing Logic'!$A$10,AVERAGE(VLOOKUP(AK236,'Writing Logic'!$A$3:$B$7,2,FALSE),VLOOKUP(AL236,'Writing Logic'!$A$3:$B$7,2,FALSE),VLOOKUP(AM236,'Writing Logic'!$A$3:$B$7,2,FALSE)),AVERAGE(VLOOKUP(AJ236,'Writing Logic'!$A$3:$B$7,2,FALSE),VLOOKUP(AK236,'Writing Logic'!$A$3:$B$7,2,FALSE),VLOOKUP(AL236,'Writing Logic'!$A$3:$B$7,2,FALSE),VLOOKUP(AM236,'Writing Logic'!$A$3:$B$7,2,FALSE))))),"Fill All 4")</f>
        <v>Fill All 4</v>
      </c>
      <c r="AO236" s="95" t="str">
        <f t="shared" si="18"/>
        <v/>
      </c>
      <c r="AP236" s="120"/>
      <c r="AQ236" s="120"/>
      <c r="AR236" s="120"/>
      <c r="AS236" s="120"/>
      <c r="AT236" s="95" t="str">
        <f>IFERROR(IF(YES_Writing_ELA[[#This Row],[Literacy IPP]]='Writing Logic'!$E$26,"IPP",IF(OR(AP236="EAL",AQ236="EAL",AR236="EAL",AS236="EAL"),"EAL",IF(AP236='Writing Logic'!$A$10,AVERAGE(VLOOKUP(AQ236,'Writing Logic'!$A$3:$B$7,2,FALSE),VLOOKUP(AR236,'Writing Logic'!$A$3:$B$7,2,FALSE),VLOOKUP(AS236,'Writing Logic'!$A$3:$B$7,2,FALSE)),AVERAGE(VLOOKUP(AP236,'Writing Logic'!$A$3:$B$7,2,FALSE),VLOOKUP(AQ236,'Writing Logic'!$A$3:$B$7,2,FALSE),VLOOKUP(AR236,'Writing Logic'!$A$3:$B$7,2,FALSE),VLOOKUP(AS236,'Writing Logic'!$A$3:$B$7,2,FALSE))))),"Fill All 4")</f>
        <v>Fill All 4</v>
      </c>
      <c r="AU236" s="95" t="str">
        <f t="shared" si="19"/>
        <v/>
      </c>
    </row>
    <row r="237" spans="1:47" x14ac:dyDescent="0.25">
      <c r="A237" s="13"/>
      <c r="B237" s="13"/>
      <c r="C237" s="13"/>
      <c r="D237" s="13"/>
      <c r="E237" s="13"/>
      <c r="F237" s="13"/>
      <c r="G237" s="13"/>
      <c r="H237" s="13"/>
      <c r="I237" s="13"/>
      <c r="J237" s="13"/>
      <c r="K237" s="183"/>
      <c r="L237" s="184"/>
      <c r="M237" s="120"/>
      <c r="N237" s="120"/>
      <c r="O237" s="120"/>
      <c r="P237" s="120"/>
      <c r="Q237" s="95" t="str">
        <f>IFERROR(IF(YES_Writing_ELA[[#This Row],[Literacy IPP]]='Writing Logic'!$E$26,"IPP",IF(OR(M237="EAL",N237="EAL",O237="EAL",P237="EAL"),"EAL",IF(M237='Writing Logic'!$A$10,AVERAGE(VLOOKUP(N237,'Writing Logic'!$A$3:$B$7,2,FALSE),VLOOKUP(O237,'Writing Logic'!$A$3:$B$7,2,FALSE),VLOOKUP(P237,'Writing Logic'!$A$3:$B$7,2,FALSE)),AVERAGE(VLOOKUP(M237,'Writing Logic'!$A$3:$B$7,2,FALSE),VLOOKUP(N237,'Writing Logic'!$A$3:$B$7,2,FALSE),VLOOKUP(O237,'Writing Logic'!$A$3:$B$7,2,FALSE),VLOOKUP(P237,'Writing Logic'!$A$3:$B$7,2,FALSE))))),"Fill All 4")</f>
        <v>Fill All 4</v>
      </c>
      <c r="R237" s="120"/>
      <c r="S237" s="120"/>
      <c r="T237" s="120"/>
      <c r="U237" s="120"/>
      <c r="V237" s="95" t="str">
        <f>IFERROR(IF(YES_Writing_ELA[[#This Row],[Literacy IPP]]='Writing Logic'!$E$26,"IPP",IF(OR(R237="EAL",S237="EAL",T237="EAL",U237="EAL"),"EAL",IF(R237='Writing Logic'!$A$10,AVERAGE(VLOOKUP(S237,'Writing Logic'!$A$3:$B$7,2,FALSE),VLOOKUP(T237,'Writing Logic'!$A$3:$B$7,2,FALSE),VLOOKUP(U237,'Writing Logic'!$A$3:$B$7,2,FALSE)),AVERAGE(VLOOKUP(R237,'Writing Logic'!$A$3:$B$7,2,FALSE),VLOOKUP(S237,'Writing Logic'!$A$3:$B$7,2,FALSE),VLOOKUP(T237,'Writing Logic'!$A$3:$B$7,2,FALSE),VLOOKUP(U237,'Writing Logic'!$A$3:$B$7,2,FALSE))))),"Fill All 4")</f>
        <v>Fill All 4</v>
      </c>
      <c r="W237" s="95" t="str">
        <f t="shared" si="15"/>
        <v/>
      </c>
      <c r="X237" s="120"/>
      <c r="Y237" s="120"/>
      <c r="Z237" s="120"/>
      <c r="AA237" s="120"/>
      <c r="AB237" s="95" t="str">
        <f>IFERROR(IF(YES_Writing_ELA[[#This Row],[Literacy IPP]]='Writing Logic'!$E$26,"IPP",IF(OR(X237="EAL",Y237="EAL",Z237="EAL",AA237="EAL"),"EAL",IF(X237='Writing Logic'!$A$10,AVERAGE(VLOOKUP(Y237,'Writing Logic'!$A$3:$B$7,2,FALSE),VLOOKUP(Z237,'Writing Logic'!$A$3:$B$7,2,FALSE),VLOOKUP(AA237,'Writing Logic'!$A$3:$B$7,2,FALSE)),AVERAGE(VLOOKUP(X237,'Writing Logic'!$A$3:$B$7,2,FALSE),VLOOKUP(Y237,'Writing Logic'!$A$3:$B$7,2,FALSE),VLOOKUP(Z237,'Writing Logic'!$A$3:$B$7,2,FALSE),VLOOKUP(AA237,'Writing Logic'!$A$3:$B$7,2,FALSE))))),"Fill All 4")</f>
        <v>Fill All 4</v>
      </c>
      <c r="AC237" s="95" t="str">
        <f t="shared" si="16"/>
        <v/>
      </c>
      <c r="AD237" s="120"/>
      <c r="AE237" s="120"/>
      <c r="AF237" s="120"/>
      <c r="AG237" s="120"/>
      <c r="AH237" s="95" t="str">
        <f>IFERROR(IF(YES_Writing_ELA[[#This Row],[Literacy IPP]]='Writing Logic'!$E$26,"IPP",IF(OR(AD237="EAL",AE237="EAL",AF237="EAL",AG237="EAL"),"EAL",IF(AD237='Writing Logic'!$A$10,AVERAGE(VLOOKUP(AE237,'Writing Logic'!$A$3:$B$7,2,FALSE),VLOOKUP(AF237,'Writing Logic'!$A$3:$B$7,2,FALSE),VLOOKUP(AG237,'Writing Logic'!$A$3:$B$7,2,FALSE)),AVERAGE(VLOOKUP(AD237,'Writing Logic'!$A$3:$B$7,2,FALSE),VLOOKUP(AE237,'Writing Logic'!$A$3:$B$7,2,FALSE),VLOOKUP(AF237,'Writing Logic'!$A$3:$B$7,2,FALSE),VLOOKUP(AG237,'Writing Logic'!$A$3:$B$7,2,FALSE))))),"Fill All 4")</f>
        <v>Fill All 4</v>
      </c>
      <c r="AI237" s="95" t="str">
        <f t="shared" si="17"/>
        <v/>
      </c>
      <c r="AJ237" s="183"/>
      <c r="AK237" s="120"/>
      <c r="AL237" s="120"/>
      <c r="AM237" s="120"/>
      <c r="AN237" s="95" t="str">
        <f>IFERROR(IF(YES_Writing_ELA[[#This Row],[Literacy IPP]]='Writing Logic'!$E$26,"IPP",IF(OR(AJ237="EAL",AK237="EAL",AL237="EAL",AM237="EAL"),"EAL",IF(AJ237='Writing Logic'!$A$10,AVERAGE(VLOOKUP(AK237,'Writing Logic'!$A$3:$B$7,2,FALSE),VLOOKUP(AL237,'Writing Logic'!$A$3:$B$7,2,FALSE),VLOOKUP(AM237,'Writing Logic'!$A$3:$B$7,2,FALSE)),AVERAGE(VLOOKUP(AJ237,'Writing Logic'!$A$3:$B$7,2,FALSE),VLOOKUP(AK237,'Writing Logic'!$A$3:$B$7,2,FALSE),VLOOKUP(AL237,'Writing Logic'!$A$3:$B$7,2,FALSE),VLOOKUP(AM237,'Writing Logic'!$A$3:$B$7,2,FALSE))))),"Fill All 4")</f>
        <v>Fill All 4</v>
      </c>
      <c r="AO237" s="95" t="str">
        <f t="shared" si="18"/>
        <v/>
      </c>
      <c r="AP237" s="120"/>
      <c r="AQ237" s="120"/>
      <c r="AR237" s="120"/>
      <c r="AS237" s="120"/>
      <c r="AT237" s="95" t="str">
        <f>IFERROR(IF(YES_Writing_ELA[[#This Row],[Literacy IPP]]='Writing Logic'!$E$26,"IPP",IF(OR(AP237="EAL",AQ237="EAL",AR237="EAL",AS237="EAL"),"EAL",IF(AP237='Writing Logic'!$A$10,AVERAGE(VLOOKUP(AQ237,'Writing Logic'!$A$3:$B$7,2,FALSE),VLOOKUP(AR237,'Writing Logic'!$A$3:$B$7,2,FALSE),VLOOKUP(AS237,'Writing Logic'!$A$3:$B$7,2,FALSE)),AVERAGE(VLOOKUP(AP237,'Writing Logic'!$A$3:$B$7,2,FALSE),VLOOKUP(AQ237,'Writing Logic'!$A$3:$B$7,2,FALSE),VLOOKUP(AR237,'Writing Logic'!$A$3:$B$7,2,FALSE),VLOOKUP(AS237,'Writing Logic'!$A$3:$B$7,2,FALSE))))),"Fill All 4")</f>
        <v>Fill All 4</v>
      </c>
      <c r="AU237" s="95" t="str">
        <f t="shared" si="19"/>
        <v/>
      </c>
    </row>
    <row r="238" spans="1:47" x14ac:dyDescent="0.25">
      <c r="A238" s="13"/>
      <c r="B238" s="13"/>
      <c r="C238" s="13"/>
      <c r="D238" s="13"/>
      <c r="E238" s="13"/>
      <c r="F238" s="13"/>
      <c r="G238" s="13"/>
      <c r="H238" s="13"/>
      <c r="I238" s="13"/>
      <c r="J238" s="13"/>
      <c r="K238" s="183"/>
      <c r="L238" s="184"/>
      <c r="M238" s="120"/>
      <c r="N238" s="120"/>
      <c r="O238" s="120"/>
      <c r="P238" s="120"/>
      <c r="Q238" s="95" t="str">
        <f>IFERROR(IF(YES_Writing_ELA[[#This Row],[Literacy IPP]]='Writing Logic'!$E$26,"IPP",IF(OR(M238="EAL",N238="EAL",O238="EAL",P238="EAL"),"EAL",IF(M238='Writing Logic'!$A$10,AVERAGE(VLOOKUP(N238,'Writing Logic'!$A$3:$B$7,2,FALSE),VLOOKUP(O238,'Writing Logic'!$A$3:$B$7,2,FALSE),VLOOKUP(P238,'Writing Logic'!$A$3:$B$7,2,FALSE)),AVERAGE(VLOOKUP(M238,'Writing Logic'!$A$3:$B$7,2,FALSE),VLOOKUP(N238,'Writing Logic'!$A$3:$B$7,2,FALSE),VLOOKUP(O238,'Writing Logic'!$A$3:$B$7,2,FALSE),VLOOKUP(P238,'Writing Logic'!$A$3:$B$7,2,FALSE))))),"Fill All 4")</f>
        <v>Fill All 4</v>
      </c>
      <c r="R238" s="120"/>
      <c r="S238" s="120"/>
      <c r="T238" s="120"/>
      <c r="U238" s="120"/>
      <c r="V238" s="95" t="str">
        <f>IFERROR(IF(YES_Writing_ELA[[#This Row],[Literacy IPP]]='Writing Logic'!$E$26,"IPP",IF(OR(R238="EAL",S238="EAL",T238="EAL",U238="EAL"),"EAL",IF(R238='Writing Logic'!$A$10,AVERAGE(VLOOKUP(S238,'Writing Logic'!$A$3:$B$7,2,FALSE),VLOOKUP(T238,'Writing Logic'!$A$3:$B$7,2,FALSE),VLOOKUP(U238,'Writing Logic'!$A$3:$B$7,2,FALSE)),AVERAGE(VLOOKUP(R238,'Writing Logic'!$A$3:$B$7,2,FALSE),VLOOKUP(S238,'Writing Logic'!$A$3:$B$7,2,FALSE),VLOOKUP(T238,'Writing Logic'!$A$3:$B$7,2,FALSE),VLOOKUP(U238,'Writing Logic'!$A$3:$B$7,2,FALSE))))),"Fill All 4")</f>
        <v>Fill All 4</v>
      </c>
      <c r="W238" s="95" t="str">
        <f t="shared" si="15"/>
        <v/>
      </c>
      <c r="X238" s="120"/>
      <c r="Y238" s="120"/>
      <c r="Z238" s="120"/>
      <c r="AA238" s="120"/>
      <c r="AB238" s="95" t="str">
        <f>IFERROR(IF(YES_Writing_ELA[[#This Row],[Literacy IPP]]='Writing Logic'!$E$26,"IPP",IF(OR(X238="EAL",Y238="EAL",Z238="EAL",AA238="EAL"),"EAL",IF(X238='Writing Logic'!$A$10,AVERAGE(VLOOKUP(Y238,'Writing Logic'!$A$3:$B$7,2,FALSE),VLOOKUP(Z238,'Writing Logic'!$A$3:$B$7,2,FALSE),VLOOKUP(AA238,'Writing Logic'!$A$3:$B$7,2,FALSE)),AVERAGE(VLOOKUP(X238,'Writing Logic'!$A$3:$B$7,2,FALSE),VLOOKUP(Y238,'Writing Logic'!$A$3:$B$7,2,FALSE),VLOOKUP(Z238,'Writing Logic'!$A$3:$B$7,2,FALSE),VLOOKUP(AA238,'Writing Logic'!$A$3:$B$7,2,FALSE))))),"Fill All 4")</f>
        <v>Fill All 4</v>
      </c>
      <c r="AC238" s="95" t="str">
        <f t="shared" si="16"/>
        <v/>
      </c>
      <c r="AD238" s="120"/>
      <c r="AE238" s="120"/>
      <c r="AF238" s="120"/>
      <c r="AG238" s="120"/>
      <c r="AH238" s="95" t="str">
        <f>IFERROR(IF(YES_Writing_ELA[[#This Row],[Literacy IPP]]='Writing Logic'!$E$26,"IPP",IF(OR(AD238="EAL",AE238="EAL",AF238="EAL",AG238="EAL"),"EAL",IF(AD238='Writing Logic'!$A$10,AVERAGE(VLOOKUP(AE238,'Writing Logic'!$A$3:$B$7,2,FALSE),VLOOKUP(AF238,'Writing Logic'!$A$3:$B$7,2,FALSE),VLOOKUP(AG238,'Writing Logic'!$A$3:$B$7,2,FALSE)),AVERAGE(VLOOKUP(AD238,'Writing Logic'!$A$3:$B$7,2,FALSE),VLOOKUP(AE238,'Writing Logic'!$A$3:$B$7,2,FALSE),VLOOKUP(AF238,'Writing Logic'!$A$3:$B$7,2,FALSE),VLOOKUP(AG238,'Writing Logic'!$A$3:$B$7,2,FALSE))))),"Fill All 4")</f>
        <v>Fill All 4</v>
      </c>
      <c r="AI238" s="95" t="str">
        <f t="shared" si="17"/>
        <v/>
      </c>
      <c r="AJ238" s="183"/>
      <c r="AK238" s="120"/>
      <c r="AL238" s="120"/>
      <c r="AM238" s="120"/>
      <c r="AN238" s="95" t="str">
        <f>IFERROR(IF(YES_Writing_ELA[[#This Row],[Literacy IPP]]='Writing Logic'!$E$26,"IPP",IF(OR(AJ238="EAL",AK238="EAL",AL238="EAL",AM238="EAL"),"EAL",IF(AJ238='Writing Logic'!$A$10,AVERAGE(VLOOKUP(AK238,'Writing Logic'!$A$3:$B$7,2,FALSE),VLOOKUP(AL238,'Writing Logic'!$A$3:$B$7,2,FALSE),VLOOKUP(AM238,'Writing Logic'!$A$3:$B$7,2,FALSE)),AVERAGE(VLOOKUP(AJ238,'Writing Logic'!$A$3:$B$7,2,FALSE),VLOOKUP(AK238,'Writing Logic'!$A$3:$B$7,2,FALSE),VLOOKUP(AL238,'Writing Logic'!$A$3:$B$7,2,FALSE),VLOOKUP(AM238,'Writing Logic'!$A$3:$B$7,2,FALSE))))),"Fill All 4")</f>
        <v>Fill All 4</v>
      </c>
      <c r="AO238" s="95" t="str">
        <f t="shared" si="18"/>
        <v/>
      </c>
      <c r="AP238" s="120"/>
      <c r="AQ238" s="120"/>
      <c r="AR238" s="120"/>
      <c r="AS238" s="120"/>
      <c r="AT238" s="95" t="str">
        <f>IFERROR(IF(YES_Writing_ELA[[#This Row],[Literacy IPP]]='Writing Logic'!$E$26,"IPP",IF(OR(AP238="EAL",AQ238="EAL",AR238="EAL",AS238="EAL"),"EAL",IF(AP238='Writing Logic'!$A$10,AVERAGE(VLOOKUP(AQ238,'Writing Logic'!$A$3:$B$7,2,FALSE),VLOOKUP(AR238,'Writing Logic'!$A$3:$B$7,2,FALSE),VLOOKUP(AS238,'Writing Logic'!$A$3:$B$7,2,FALSE)),AVERAGE(VLOOKUP(AP238,'Writing Logic'!$A$3:$B$7,2,FALSE),VLOOKUP(AQ238,'Writing Logic'!$A$3:$B$7,2,FALSE),VLOOKUP(AR238,'Writing Logic'!$A$3:$B$7,2,FALSE),VLOOKUP(AS238,'Writing Logic'!$A$3:$B$7,2,FALSE))))),"Fill All 4")</f>
        <v>Fill All 4</v>
      </c>
      <c r="AU238" s="95" t="str">
        <f t="shared" si="19"/>
        <v/>
      </c>
    </row>
    <row r="239" spans="1:47" x14ac:dyDescent="0.25">
      <c r="A239" s="13"/>
      <c r="B239" s="13"/>
      <c r="C239" s="13"/>
      <c r="D239" s="13"/>
      <c r="E239" s="13"/>
      <c r="F239" s="13"/>
      <c r="G239" s="13"/>
      <c r="H239" s="13"/>
      <c r="I239" s="13"/>
      <c r="J239" s="13"/>
      <c r="K239" s="183"/>
      <c r="L239" s="184"/>
      <c r="M239" s="120"/>
      <c r="N239" s="120"/>
      <c r="O239" s="120"/>
      <c r="P239" s="120"/>
      <c r="Q239" s="95" t="str">
        <f>IFERROR(IF(YES_Writing_ELA[[#This Row],[Literacy IPP]]='Writing Logic'!$E$26,"IPP",IF(OR(M239="EAL",N239="EAL",O239="EAL",P239="EAL"),"EAL",IF(M239='Writing Logic'!$A$10,AVERAGE(VLOOKUP(N239,'Writing Logic'!$A$3:$B$7,2,FALSE),VLOOKUP(O239,'Writing Logic'!$A$3:$B$7,2,FALSE),VLOOKUP(P239,'Writing Logic'!$A$3:$B$7,2,FALSE)),AVERAGE(VLOOKUP(M239,'Writing Logic'!$A$3:$B$7,2,FALSE),VLOOKUP(N239,'Writing Logic'!$A$3:$B$7,2,FALSE),VLOOKUP(O239,'Writing Logic'!$A$3:$B$7,2,FALSE),VLOOKUP(P239,'Writing Logic'!$A$3:$B$7,2,FALSE))))),"Fill All 4")</f>
        <v>Fill All 4</v>
      </c>
      <c r="R239" s="120"/>
      <c r="S239" s="120"/>
      <c r="T239" s="120"/>
      <c r="U239" s="120"/>
      <c r="V239" s="95" t="str">
        <f>IFERROR(IF(YES_Writing_ELA[[#This Row],[Literacy IPP]]='Writing Logic'!$E$26,"IPP",IF(OR(R239="EAL",S239="EAL",T239="EAL",U239="EAL"),"EAL",IF(R239='Writing Logic'!$A$10,AVERAGE(VLOOKUP(S239,'Writing Logic'!$A$3:$B$7,2,FALSE),VLOOKUP(T239,'Writing Logic'!$A$3:$B$7,2,FALSE),VLOOKUP(U239,'Writing Logic'!$A$3:$B$7,2,FALSE)),AVERAGE(VLOOKUP(R239,'Writing Logic'!$A$3:$B$7,2,FALSE),VLOOKUP(S239,'Writing Logic'!$A$3:$B$7,2,FALSE),VLOOKUP(T239,'Writing Logic'!$A$3:$B$7,2,FALSE),VLOOKUP(U239,'Writing Logic'!$A$3:$B$7,2,FALSE))))),"Fill All 4")</f>
        <v>Fill All 4</v>
      </c>
      <c r="W239" s="95" t="str">
        <f t="shared" si="15"/>
        <v/>
      </c>
      <c r="X239" s="120"/>
      <c r="Y239" s="120"/>
      <c r="Z239" s="120"/>
      <c r="AA239" s="120"/>
      <c r="AB239" s="95" t="str">
        <f>IFERROR(IF(YES_Writing_ELA[[#This Row],[Literacy IPP]]='Writing Logic'!$E$26,"IPP",IF(OR(X239="EAL",Y239="EAL",Z239="EAL",AA239="EAL"),"EAL",IF(X239='Writing Logic'!$A$10,AVERAGE(VLOOKUP(Y239,'Writing Logic'!$A$3:$B$7,2,FALSE),VLOOKUP(Z239,'Writing Logic'!$A$3:$B$7,2,FALSE),VLOOKUP(AA239,'Writing Logic'!$A$3:$B$7,2,FALSE)),AVERAGE(VLOOKUP(X239,'Writing Logic'!$A$3:$B$7,2,FALSE),VLOOKUP(Y239,'Writing Logic'!$A$3:$B$7,2,FALSE),VLOOKUP(Z239,'Writing Logic'!$A$3:$B$7,2,FALSE),VLOOKUP(AA239,'Writing Logic'!$A$3:$B$7,2,FALSE))))),"Fill All 4")</f>
        <v>Fill All 4</v>
      </c>
      <c r="AC239" s="95" t="str">
        <f t="shared" si="16"/>
        <v/>
      </c>
      <c r="AD239" s="120"/>
      <c r="AE239" s="120"/>
      <c r="AF239" s="120"/>
      <c r="AG239" s="120"/>
      <c r="AH239" s="95" t="str">
        <f>IFERROR(IF(YES_Writing_ELA[[#This Row],[Literacy IPP]]='Writing Logic'!$E$26,"IPP",IF(OR(AD239="EAL",AE239="EAL",AF239="EAL",AG239="EAL"),"EAL",IF(AD239='Writing Logic'!$A$10,AVERAGE(VLOOKUP(AE239,'Writing Logic'!$A$3:$B$7,2,FALSE),VLOOKUP(AF239,'Writing Logic'!$A$3:$B$7,2,FALSE),VLOOKUP(AG239,'Writing Logic'!$A$3:$B$7,2,FALSE)),AVERAGE(VLOOKUP(AD239,'Writing Logic'!$A$3:$B$7,2,FALSE),VLOOKUP(AE239,'Writing Logic'!$A$3:$B$7,2,FALSE),VLOOKUP(AF239,'Writing Logic'!$A$3:$B$7,2,FALSE),VLOOKUP(AG239,'Writing Logic'!$A$3:$B$7,2,FALSE))))),"Fill All 4")</f>
        <v>Fill All 4</v>
      </c>
      <c r="AI239" s="95" t="str">
        <f t="shared" si="17"/>
        <v/>
      </c>
      <c r="AJ239" s="183"/>
      <c r="AK239" s="120"/>
      <c r="AL239" s="120"/>
      <c r="AM239" s="120"/>
      <c r="AN239" s="95" t="str">
        <f>IFERROR(IF(YES_Writing_ELA[[#This Row],[Literacy IPP]]='Writing Logic'!$E$26,"IPP",IF(OR(AJ239="EAL",AK239="EAL",AL239="EAL",AM239="EAL"),"EAL",IF(AJ239='Writing Logic'!$A$10,AVERAGE(VLOOKUP(AK239,'Writing Logic'!$A$3:$B$7,2,FALSE),VLOOKUP(AL239,'Writing Logic'!$A$3:$B$7,2,FALSE),VLOOKUP(AM239,'Writing Logic'!$A$3:$B$7,2,FALSE)),AVERAGE(VLOOKUP(AJ239,'Writing Logic'!$A$3:$B$7,2,FALSE),VLOOKUP(AK239,'Writing Logic'!$A$3:$B$7,2,FALSE),VLOOKUP(AL239,'Writing Logic'!$A$3:$B$7,2,FALSE),VLOOKUP(AM239,'Writing Logic'!$A$3:$B$7,2,FALSE))))),"Fill All 4")</f>
        <v>Fill All 4</v>
      </c>
      <c r="AO239" s="95" t="str">
        <f t="shared" si="18"/>
        <v/>
      </c>
      <c r="AP239" s="120"/>
      <c r="AQ239" s="120"/>
      <c r="AR239" s="120"/>
      <c r="AS239" s="120"/>
      <c r="AT239" s="95" t="str">
        <f>IFERROR(IF(YES_Writing_ELA[[#This Row],[Literacy IPP]]='Writing Logic'!$E$26,"IPP",IF(OR(AP239="EAL",AQ239="EAL",AR239="EAL",AS239="EAL"),"EAL",IF(AP239='Writing Logic'!$A$10,AVERAGE(VLOOKUP(AQ239,'Writing Logic'!$A$3:$B$7,2,FALSE),VLOOKUP(AR239,'Writing Logic'!$A$3:$B$7,2,FALSE),VLOOKUP(AS239,'Writing Logic'!$A$3:$B$7,2,FALSE)),AVERAGE(VLOOKUP(AP239,'Writing Logic'!$A$3:$B$7,2,FALSE),VLOOKUP(AQ239,'Writing Logic'!$A$3:$B$7,2,FALSE),VLOOKUP(AR239,'Writing Logic'!$A$3:$B$7,2,FALSE),VLOOKUP(AS239,'Writing Logic'!$A$3:$B$7,2,FALSE))))),"Fill All 4")</f>
        <v>Fill All 4</v>
      </c>
      <c r="AU239" s="95" t="str">
        <f t="shared" si="19"/>
        <v/>
      </c>
    </row>
    <row r="240" spans="1:47" x14ac:dyDescent="0.25">
      <c r="A240" s="13"/>
      <c r="B240" s="13"/>
      <c r="C240" s="13"/>
      <c r="D240" s="13"/>
      <c r="E240" s="13"/>
      <c r="F240" s="13"/>
      <c r="G240" s="13"/>
      <c r="H240" s="13"/>
      <c r="I240" s="13"/>
      <c r="J240" s="13"/>
      <c r="K240" s="183"/>
      <c r="L240" s="184"/>
      <c r="M240" s="120"/>
      <c r="N240" s="120"/>
      <c r="O240" s="120"/>
      <c r="P240" s="120"/>
      <c r="Q240" s="95" t="str">
        <f>IFERROR(IF(YES_Writing_ELA[[#This Row],[Literacy IPP]]='Writing Logic'!$E$26,"IPP",IF(OR(M240="EAL",N240="EAL",O240="EAL",P240="EAL"),"EAL",IF(M240='Writing Logic'!$A$10,AVERAGE(VLOOKUP(N240,'Writing Logic'!$A$3:$B$7,2,FALSE),VLOOKUP(O240,'Writing Logic'!$A$3:$B$7,2,FALSE),VLOOKUP(P240,'Writing Logic'!$A$3:$B$7,2,FALSE)),AVERAGE(VLOOKUP(M240,'Writing Logic'!$A$3:$B$7,2,FALSE),VLOOKUP(N240,'Writing Logic'!$A$3:$B$7,2,FALSE),VLOOKUP(O240,'Writing Logic'!$A$3:$B$7,2,FALSE),VLOOKUP(P240,'Writing Logic'!$A$3:$B$7,2,FALSE))))),"Fill All 4")</f>
        <v>Fill All 4</v>
      </c>
      <c r="R240" s="120"/>
      <c r="S240" s="120"/>
      <c r="T240" s="120"/>
      <c r="U240" s="120"/>
      <c r="V240" s="95" t="str">
        <f>IFERROR(IF(YES_Writing_ELA[[#This Row],[Literacy IPP]]='Writing Logic'!$E$26,"IPP",IF(OR(R240="EAL",S240="EAL",T240="EAL",U240="EAL"),"EAL",IF(R240='Writing Logic'!$A$10,AVERAGE(VLOOKUP(S240,'Writing Logic'!$A$3:$B$7,2,FALSE),VLOOKUP(T240,'Writing Logic'!$A$3:$B$7,2,FALSE),VLOOKUP(U240,'Writing Logic'!$A$3:$B$7,2,FALSE)),AVERAGE(VLOOKUP(R240,'Writing Logic'!$A$3:$B$7,2,FALSE),VLOOKUP(S240,'Writing Logic'!$A$3:$B$7,2,FALSE),VLOOKUP(T240,'Writing Logic'!$A$3:$B$7,2,FALSE),VLOOKUP(U240,'Writing Logic'!$A$3:$B$7,2,FALSE))))),"Fill All 4")</f>
        <v>Fill All 4</v>
      </c>
      <c r="W240" s="95" t="str">
        <f t="shared" si="15"/>
        <v/>
      </c>
      <c r="X240" s="120"/>
      <c r="Y240" s="120"/>
      <c r="Z240" s="120"/>
      <c r="AA240" s="120"/>
      <c r="AB240" s="95" t="str">
        <f>IFERROR(IF(YES_Writing_ELA[[#This Row],[Literacy IPP]]='Writing Logic'!$E$26,"IPP",IF(OR(X240="EAL",Y240="EAL",Z240="EAL",AA240="EAL"),"EAL",IF(X240='Writing Logic'!$A$10,AVERAGE(VLOOKUP(Y240,'Writing Logic'!$A$3:$B$7,2,FALSE),VLOOKUP(Z240,'Writing Logic'!$A$3:$B$7,2,FALSE),VLOOKUP(AA240,'Writing Logic'!$A$3:$B$7,2,FALSE)),AVERAGE(VLOOKUP(X240,'Writing Logic'!$A$3:$B$7,2,FALSE),VLOOKUP(Y240,'Writing Logic'!$A$3:$B$7,2,FALSE),VLOOKUP(Z240,'Writing Logic'!$A$3:$B$7,2,FALSE),VLOOKUP(AA240,'Writing Logic'!$A$3:$B$7,2,FALSE))))),"Fill All 4")</f>
        <v>Fill All 4</v>
      </c>
      <c r="AC240" s="95" t="str">
        <f t="shared" si="16"/>
        <v/>
      </c>
      <c r="AD240" s="120"/>
      <c r="AE240" s="120"/>
      <c r="AF240" s="120"/>
      <c r="AG240" s="120"/>
      <c r="AH240" s="95" t="str">
        <f>IFERROR(IF(YES_Writing_ELA[[#This Row],[Literacy IPP]]='Writing Logic'!$E$26,"IPP",IF(OR(AD240="EAL",AE240="EAL",AF240="EAL",AG240="EAL"),"EAL",IF(AD240='Writing Logic'!$A$10,AVERAGE(VLOOKUP(AE240,'Writing Logic'!$A$3:$B$7,2,FALSE),VLOOKUP(AF240,'Writing Logic'!$A$3:$B$7,2,FALSE),VLOOKUP(AG240,'Writing Logic'!$A$3:$B$7,2,FALSE)),AVERAGE(VLOOKUP(AD240,'Writing Logic'!$A$3:$B$7,2,FALSE),VLOOKUP(AE240,'Writing Logic'!$A$3:$B$7,2,FALSE),VLOOKUP(AF240,'Writing Logic'!$A$3:$B$7,2,FALSE),VLOOKUP(AG240,'Writing Logic'!$A$3:$B$7,2,FALSE))))),"Fill All 4")</f>
        <v>Fill All 4</v>
      </c>
      <c r="AI240" s="95" t="str">
        <f t="shared" si="17"/>
        <v/>
      </c>
      <c r="AJ240" s="183"/>
      <c r="AK240" s="120"/>
      <c r="AL240" s="120"/>
      <c r="AM240" s="120"/>
      <c r="AN240" s="95" t="str">
        <f>IFERROR(IF(YES_Writing_ELA[[#This Row],[Literacy IPP]]='Writing Logic'!$E$26,"IPP",IF(OR(AJ240="EAL",AK240="EAL",AL240="EAL",AM240="EAL"),"EAL",IF(AJ240='Writing Logic'!$A$10,AVERAGE(VLOOKUP(AK240,'Writing Logic'!$A$3:$B$7,2,FALSE),VLOOKUP(AL240,'Writing Logic'!$A$3:$B$7,2,FALSE),VLOOKUP(AM240,'Writing Logic'!$A$3:$B$7,2,FALSE)),AVERAGE(VLOOKUP(AJ240,'Writing Logic'!$A$3:$B$7,2,FALSE),VLOOKUP(AK240,'Writing Logic'!$A$3:$B$7,2,FALSE),VLOOKUP(AL240,'Writing Logic'!$A$3:$B$7,2,FALSE),VLOOKUP(AM240,'Writing Logic'!$A$3:$B$7,2,FALSE))))),"Fill All 4")</f>
        <v>Fill All 4</v>
      </c>
      <c r="AO240" s="95" t="str">
        <f t="shared" si="18"/>
        <v/>
      </c>
      <c r="AP240" s="120"/>
      <c r="AQ240" s="120"/>
      <c r="AR240" s="120"/>
      <c r="AS240" s="120"/>
      <c r="AT240" s="95" t="str">
        <f>IFERROR(IF(YES_Writing_ELA[[#This Row],[Literacy IPP]]='Writing Logic'!$E$26,"IPP",IF(OR(AP240="EAL",AQ240="EAL",AR240="EAL",AS240="EAL"),"EAL",IF(AP240='Writing Logic'!$A$10,AVERAGE(VLOOKUP(AQ240,'Writing Logic'!$A$3:$B$7,2,FALSE),VLOOKUP(AR240,'Writing Logic'!$A$3:$B$7,2,FALSE),VLOOKUP(AS240,'Writing Logic'!$A$3:$B$7,2,FALSE)),AVERAGE(VLOOKUP(AP240,'Writing Logic'!$A$3:$B$7,2,FALSE),VLOOKUP(AQ240,'Writing Logic'!$A$3:$B$7,2,FALSE),VLOOKUP(AR240,'Writing Logic'!$A$3:$B$7,2,FALSE),VLOOKUP(AS240,'Writing Logic'!$A$3:$B$7,2,FALSE))))),"Fill All 4")</f>
        <v>Fill All 4</v>
      </c>
      <c r="AU240" s="95" t="str">
        <f t="shared" si="19"/>
        <v/>
      </c>
    </row>
    <row r="241" spans="1:47" x14ac:dyDescent="0.25">
      <c r="A241" s="13"/>
      <c r="B241" s="13"/>
      <c r="C241" s="13"/>
      <c r="D241" s="13"/>
      <c r="E241" s="13"/>
      <c r="F241" s="13"/>
      <c r="G241" s="13"/>
      <c r="H241" s="13"/>
      <c r="I241" s="13"/>
      <c r="J241" s="13"/>
      <c r="K241" s="120"/>
      <c r="L241" s="121"/>
      <c r="M241" s="120"/>
      <c r="N241" s="120"/>
      <c r="O241" s="120"/>
      <c r="P241" s="120"/>
      <c r="Q241" s="95" t="str">
        <f>IFERROR(IF(YES_Writing_ELA[[#This Row],[Literacy IPP]]='Writing Logic'!$E$26,"IPP",IF(OR(M241="EAL",N241="EAL",O241="EAL",P241="EAL"),"EAL",IF(M241='Writing Logic'!$A$10,AVERAGE(VLOOKUP(N241,'Writing Logic'!$A$3:$B$7,2,FALSE),VLOOKUP(O241,'Writing Logic'!$A$3:$B$7,2,FALSE),VLOOKUP(P241,'Writing Logic'!$A$3:$B$7,2,FALSE)),AVERAGE(VLOOKUP(M241,'Writing Logic'!$A$3:$B$7,2,FALSE),VLOOKUP(N241,'Writing Logic'!$A$3:$B$7,2,FALSE),VLOOKUP(O241,'Writing Logic'!$A$3:$B$7,2,FALSE),VLOOKUP(P241,'Writing Logic'!$A$3:$B$7,2,FALSE))))),"Fill All 4")</f>
        <v>Fill All 4</v>
      </c>
      <c r="R241" s="120"/>
      <c r="S241" s="120"/>
      <c r="T241" s="120"/>
      <c r="U241" s="120"/>
      <c r="V241" s="95" t="str">
        <f>IFERROR(IF(YES_Writing_ELA[[#This Row],[Literacy IPP]]='Writing Logic'!$E$26,"IPP",IF(OR(R241="EAL",S241="EAL",T241="EAL",U241="EAL"),"EAL",IF(R241='Writing Logic'!$A$10,AVERAGE(VLOOKUP(S241,'Writing Logic'!$A$3:$B$7,2,FALSE),VLOOKUP(T241,'Writing Logic'!$A$3:$B$7,2,FALSE),VLOOKUP(U241,'Writing Logic'!$A$3:$B$7,2,FALSE)),AVERAGE(VLOOKUP(R241,'Writing Logic'!$A$3:$B$7,2,FALSE),VLOOKUP(S241,'Writing Logic'!$A$3:$B$7,2,FALSE),VLOOKUP(T241,'Writing Logic'!$A$3:$B$7,2,FALSE),VLOOKUP(U241,'Writing Logic'!$A$3:$B$7,2,FALSE))))),"Fill All 4")</f>
        <v>Fill All 4</v>
      </c>
      <c r="W241" s="95" t="str">
        <f t="shared" si="15"/>
        <v/>
      </c>
      <c r="X241" s="120"/>
      <c r="Y241" s="120"/>
      <c r="Z241" s="120"/>
      <c r="AA241" s="120"/>
      <c r="AB241" s="95" t="str">
        <f>IFERROR(IF(YES_Writing_ELA[[#This Row],[Literacy IPP]]='Writing Logic'!$E$26,"IPP",IF(OR(X241="EAL",Y241="EAL",Z241="EAL",AA241="EAL"),"EAL",IF(X241='Writing Logic'!$A$10,AVERAGE(VLOOKUP(Y241,'Writing Logic'!$A$3:$B$7,2,FALSE),VLOOKUP(Z241,'Writing Logic'!$A$3:$B$7,2,FALSE),VLOOKUP(AA241,'Writing Logic'!$A$3:$B$7,2,FALSE)),AVERAGE(VLOOKUP(X241,'Writing Logic'!$A$3:$B$7,2,FALSE),VLOOKUP(Y241,'Writing Logic'!$A$3:$B$7,2,FALSE),VLOOKUP(Z241,'Writing Logic'!$A$3:$B$7,2,FALSE),VLOOKUP(AA241,'Writing Logic'!$A$3:$B$7,2,FALSE))))),"Fill All 4")</f>
        <v>Fill All 4</v>
      </c>
      <c r="AC241" s="95" t="str">
        <f t="shared" si="16"/>
        <v/>
      </c>
      <c r="AD241" s="120"/>
      <c r="AE241" s="120"/>
      <c r="AF241" s="120"/>
      <c r="AG241" s="120"/>
      <c r="AH241" s="95" t="str">
        <f>IFERROR(IF(YES_Writing_ELA[[#This Row],[Literacy IPP]]='Writing Logic'!$E$26,"IPP",IF(OR(AD241="EAL",AE241="EAL",AF241="EAL",AG241="EAL"),"EAL",IF(AD241='Writing Logic'!$A$10,AVERAGE(VLOOKUP(AE241,'Writing Logic'!$A$3:$B$7,2,FALSE),VLOOKUP(AF241,'Writing Logic'!$A$3:$B$7,2,FALSE),VLOOKUP(AG241,'Writing Logic'!$A$3:$B$7,2,FALSE)),AVERAGE(VLOOKUP(AD241,'Writing Logic'!$A$3:$B$7,2,FALSE),VLOOKUP(AE241,'Writing Logic'!$A$3:$B$7,2,FALSE),VLOOKUP(AF241,'Writing Logic'!$A$3:$B$7,2,FALSE),VLOOKUP(AG241,'Writing Logic'!$A$3:$B$7,2,FALSE))))),"Fill All 4")</f>
        <v>Fill All 4</v>
      </c>
      <c r="AI241" s="95" t="str">
        <f t="shared" si="17"/>
        <v/>
      </c>
      <c r="AJ241" s="183"/>
      <c r="AK241" s="120"/>
      <c r="AL241" s="120"/>
      <c r="AM241" s="120"/>
      <c r="AN241" s="95" t="str">
        <f>IFERROR(IF(YES_Writing_ELA[[#This Row],[Literacy IPP]]='Writing Logic'!$E$26,"IPP",IF(OR(AJ241="EAL",AK241="EAL",AL241="EAL",AM241="EAL"),"EAL",IF(AJ241='Writing Logic'!$A$10,AVERAGE(VLOOKUP(AK241,'Writing Logic'!$A$3:$B$7,2,FALSE),VLOOKUP(AL241,'Writing Logic'!$A$3:$B$7,2,FALSE),VLOOKUP(AM241,'Writing Logic'!$A$3:$B$7,2,FALSE)),AVERAGE(VLOOKUP(AJ241,'Writing Logic'!$A$3:$B$7,2,FALSE),VLOOKUP(AK241,'Writing Logic'!$A$3:$B$7,2,FALSE),VLOOKUP(AL241,'Writing Logic'!$A$3:$B$7,2,FALSE),VLOOKUP(AM241,'Writing Logic'!$A$3:$B$7,2,FALSE))))),"Fill All 4")</f>
        <v>Fill All 4</v>
      </c>
      <c r="AO241" s="95" t="str">
        <f t="shared" si="18"/>
        <v/>
      </c>
      <c r="AP241" s="120"/>
      <c r="AQ241" s="120"/>
      <c r="AR241" s="120"/>
      <c r="AS241" s="120"/>
      <c r="AT241" s="95" t="str">
        <f>IFERROR(IF(YES_Writing_ELA[[#This Row],[Literacy IPP]]='Writing Logic'!$E$26,"IPP",IF(OR(AP241="EAL",AQ241="EAL",AR241="EAL",AS241="EAL"),"EAL",IF(AP241='Writing Logic'!$A$10,AVERAGE(VLOOKUP(AQ241,'Writing Logic'!$A$3:$B$7,2,FALSE),VLOOKUP(AR241,'Writing Logic'!$A$3:$B$7,2,FALSE),VLOOKUP(AS241,'Writing Logic'!$A$3:$B$7,2,FALSE)),AVERAGE(VLOOKUP(AP241,'Writing Logic'!$A$3:$B$7,2,FALSE),VLOOKUP(AQ241,'Writing Logic'!$A$3:$B$7,2,FALSE),VLOOKUP(AR241,'Writing Logic'!$A$3:$B$7,2,FALSE),VLOOKUP(AS241,'Writing Logic'!$A$3:$B$7,2,FALSE))))),"Fill All 4")</f>
        <v>Fill All 4</v>
      </c>
      <c r="AU241" s="95" t="str">
        <f t="shared" si="19"/>
        <v/>
      </c>
    </row>
    <row r="242" spans="1:47" x14ac:dyDescent="0.25">
      <c r="A242" s="13"/>
      <c r="B242" s="13"/>
      <c r="C242" s="13"/>
      <c r="D242" s="13"/>
      <c r="E242" s="13"/>
      <c r="F242" s="13"/>
      <c r="G242" s="13"/>
      <c r="H242" s="13"/>
      <c r="I242" s="13"/>
      <c r="J242" s="13"/>
      <c r="K242" s="183"/>
      <c r="L242" s="184"/>
      <c r="M242" s="183"/>
      <c r="N242" s="183"/>
      <c r="O242" s="183"/>
      <c r="P242" s="183"/>
      <c r="Q242" s="96" t="str">
        <f>IFERROR(IF(YES_Writing_ELA[[#This Row],[Literacy IPP]]='Writing Logic'!$E$26,"IPP",IF(OR(M242="EAL",N242="EAL",O242="EAL",P242="EAL"),"EAL",IF(M242='Writing Logic'!$A$10,AVERAGE(VLOOKUP(N242,'Writing Logic'!$A$3:$B$7,2,FALSE),VLOOKUP(O242,'Writing Logic'!$A$3:$B$7,2,FALSE),VLOOKUP(P242,'Writing Logic'!$A$3:$B$7,2,FALSE)),AVERAGE(VLOOKUP(M242,'Writing Logic'!$A$3:$B$7,2,FALSE),VLOOKUP(N242,'Writing Logic'!$A$3:$B$7,2,FALSE),VLOOKUP(O242,'Writing Logic'!$A$3:$B$7,2,FALSE),VLOOKUP(P242,'Writing Logic'!$A$3:$B$7,2,FALSE))))),"Fill All 4")</f>
        <v>Fill All 4</v>
      </c>
      <c r="R242" s="120"/>
      <c r="S242" s="120"/>
      <c r="T242" s="120"/>
      <c r="U242" s="120"/>
      <c r="V242" s="95" t="str">
        <f>IFERROR(IF(YES_Writing_ELA[[#This Row],[Literacy IPP]]='Writing Logic'!$E$26,"IPP",IF(OR(R242="EAL",S242="EAL",T242="EAL",U242="EAL"),"EAL",IF(R242='Writing Logic'!$A$10,AVERAGE(VLOOKUP(S242,'Writing Logic'!$A$3:$B$7,2,FALSE),VLOOKUP(T242,'Writing Logic'!$A$3:$B$7,2,FALSE),VLOOKUP(U242,'Writing Logic'!$A$3:$B$7,2,FALSE)),AVERAGE(VLOOKUP(R242,'Writing Logic'!$A$3:$B$7,2,FALSE),VLOOKUP(S242,'Writing Logic'!$A$3:$B$7,2,FALSE),VLOOKUP(T242,'Writing Logic'!$A$3:$B$7,2,FALSE),VLOOKUP(U242,'Writing Logic'!$A$3:$B$7,2,FALSE))))),"Fill All 4")</f>
        <v>Fill All 4</v>
      </c>
      <c r="W242" s="96" t="str">
        <f t="shared" si="15"/>
        <v/>
      </c>
      <c r="X242" s="120"/>
      <c r="Y242" s="120"/>
      <c r="Z242" s="120"/>
      <c r="AA242" s="120"/>
      <c r="AB242" s="95" t="str">
        <f>IFERROR(IF(YES_Writing_ELA[[#This Row],[Literacy IPP]]='Writing Logic'!$E$26,"IPP",IF(OR(X242="EAL",Y242="EAL",Z242="EAL",AA242="EAL"),"EAL",IF(X242='Writing Logic'!$A$10,AVERAGE(VLOOKUP(Y242,'Writing Logic'!$A$3:$B$7,2,FALSE),VLOOKUP(Z242,'Writing Logic'!$A$3:$B$7,2,FALSE),VLOOKUP(AA242,'Writing Logic'!$A$3:$B$7,2,FALSE)),AVERAGE(VLOOKUP(X242,'Writing Logic'!$A$3:$B$7,2,FALSE),VLOOKUP(Y242,'Writing Logic'!$A$3:$B$7,2,FALSE),VLOOKUP(Z242,'Writing Logic'!$A$3:$B$7,2,FALSE),VLOOKUP(AA242,'Writing Logic'!$A$3:$B$7,2,FALSE))))),"Fill All 4")</f>
        <v>Fill All 4</v>
      </c>
      <c r="AC242" s="96" t="str">
        <f t="shared" si="16"/>
        <v/>
      </c>
      <c r="AD242" s="120"/>
      <c r="AE242" s="120"/>
      <c r="AF242" s="120"/>
      <c r="AG242" s="120"/>
      <c r="AH242" s="95" t="str">
        <f>IFERROR(IF(YES_Writing_ELA[[#This Row],[Literacy IPP]]='Writing Logic'!$E$26,"IPP",IF(OR(AD242="EAL",AE242="EAL",AF242="EAL",AG242="EAL"),"EAL",IF(AD242='Writing Logic'!$A$10,AVERAGE(VLOOKUP(AE242,'Writing Logic'!$A$3:$B$7,2,FALSE),VLOOKUP(AF242,'Writing Logic'!$A$3:$B$7,2,FALSE),VLOOKUP(AG242,'Writing Logic'!$A$3:$B$7,2,FALSE)),AVERAGE(VLOOKUP(AD242,'Writing Logic'!$A$3:$B$7,2,FALSE),VLOOKUP(AE242,'Writing Logic'!$A$3:$B$7,2,FALSE),VLOOKUP(AF242,'Writing Logic'!$A$3:$B$7,2,FALSE),VLOOKUP(AG242,'Writing Logic'!$A$3:$B$7,2,FALSE))))),"Fill All 4")</f>
        <v>Fill All 4</v>
      </c>
      <c r="AI242" s="96" t="str">
        <f t="shared" si="17"/>
        <v/>
      </c>
      <c r="AJ242" s="183"/>
      <c r="AK242" s="120"/>
      <c r="AL242" s="120"/>
      <c r="AM242" s="120"/>
      <c r="AN242" s="95" t="str">
        <f>IFERROR(IF(YES_Writing_ELA[[#This Row],[Literacy IPP]]='Writing Logic'!$E$26,"IPP",IF(OR(AJ242="EAL",AK242="EAL",AL242="EAL",AM242="EAL"),"EAL",IF(AJ242='Writing Logic'!$A$10,AVERAGE(VLOOKUP(AK242,'Writing Logic'!$A$3:$B$7,2,FALSE),VLOOKUP(AL242,'Writing Logic'!$A$3:$B$7,2,FALSE),VLOOKUP(AM242,'Writing Logic'!$A$3:$B$7,2,FALSE)),AVERAGE(VLOOKUP(AJ242,'Writing Logic'!$A$3:$B$7,2,FALSE),VLOOKUP(AK242,'Writing Logic'!$A$3:$B$7,2,FALSE),VLOOKUP(AL242,'Writing Logic'!$A$3:$B$7,2,FALSE),VLOOKUP(AM242,'Writing Logic'!$A$3:$B$7,2,FALSE))))),"Fill All 4")</f>
        <v>Fill All 4</v>
      </c>
      <c r="AO242" s="96" t="str">
        <f t="shared" si="18"/>
        <v/>
      </c>
      <c r="AP242" s="120"/>
      <c r="AQ242" s="120"/>
      <c r="AR242" s="120"/>
      <c r="AS242" s="120"/>
      <c r="AT242" s="95" t="str">
        <f>IFERROR(IF(YES_Writing_ELA[[#This Row],[Literacy IPP]]='Writing Logic'!$E$26,"IPP",IF(OR(AP242="EAL",AQ242="EAL",AR242="EAL",AS242="EAL"),"EAL",IF(AP242='Writing Logic'!$A$10,AVERAGE(VLOOKUP(AQ242,'Writing Logic'!$A$3:$B$7,2,FALSE),VLOOKUP(AR242,'Writing Logic'!$A$3:$B$7,2,FALSE),VLOOKUP(AS242,'Writing Logic'!$A$3:$B$7,2,FALSE)),AVERAGE(VLOOKUP(AP242,'Writing Logic'!$A$3:$B$7,2,FALSE),VLOOKUP(AQ242,'Writing Logic'!$A$3:$B$7,2,FALSE),VLOOKUP(AR242,'Writing Logic'!$A$3:$B$7,2,FALSE),VLOOKUP(AS242,'Writing Logic'!$A$3:$B$7,2,FALSE))))),"Fill All 4")</f>
        <v>Fill All 4</v>
      </c>
      <c r="AU242" s="96" t="str">
        <f t="shared" si="19"/>
        <v/>
      </c>
    </row>
    <row r="243" spans="1:47" x14ac:dyDescent="0.25">
      <c r="A243" s="13"/>
      <c r="B243" s="13"/>
      <c r="C243" s="13"/>
      <c r="D243" s="13"/>
      <c r="E243" s="13"/>
      <c r="F243" s="13"/>
      <c r="G243" s="13"/>
      <c r="H243" s="13"/>
      <c r="I243" s="13"/>
      <c r="J243" s="13"/>
      <c r="K243" s="183"/>
      <c r="L243" s="184"/>
      <c r="M243" s="183"/>
      <c r="N243" s="183"/>
      <c r="O243" s="183"/>
      <c r="P243" s="183"/>
      <c r="Q243" s="96" t="str">
        <f>IFERROR(IF(YES_Writing_ELA[[#This Row],[Literacy IPP]]='Writing Logic'!$E$26,"IPP",IF(OR(M243="EAL",N243="EAL",O243="EAL",P243="EAL"),"EAL",IF(M243='Writing Logic'!$A$10,AVERAGE(VLOOKUP(N243,'Writing Logic'!$A$3:$B$7,2,FALSE),VLOOKUP(O243,'Writing Logic'!$A$3:$B$7,2,FALSE),VLOOKUP(P243,'Writing Logic'!$A$3:$B$7,2,FALSE)),AVERAGE(VLOOKUP(M243,'Writing Logic'!$A$3:$B$7,2,FALSE),VLOOKUP(N243,'Writing Logic'!$A$3:$B$7,2,FALSE),VLOOKUP(O243,'Writing Logic'!$A$3:$B$7,2,FALSE),VLOOKUP(P243,'Writing Logic'!$A$3:$B$7,2,FALSE))))),"Fill All 4")</f>
        <v>Fill All 4</v>
      </c>
      <c r="R243" s="120"/>
      <c r="S243" s="120"/>
      <c r="T243" s="120"/>
      <c r="U243" s="120"/>
      <c r="V243" s="95" t="str">
        <f>IFERROR(IF(YES_Writing_ELA[[#This Row],[Literacy IPP]]='Writing Logic'!$E$26,"IPP",IF(OR(R243="EAL",S243="EAL",T243="EAL",U243="EAL"),"EAL",IF(R243='Writing Logic'!$A$10,AVERAGE(VLOOKUP(S243,'Writing Logic'!$A$3:$B$7,2,FALSE),VLOOKUP(T243,'Writing Logic'!$A$3:$B$7,2,FALSE),VLOOKUP(U243,'Writing Logic'!$A$3:$B$7,2,FALSE)),AVERAGE(VLOOKUP(R243,'Writing Logic'!$A$3:$B$7,2,FALSE),VLOOKUP(S243,'Writing Logic'!$A$3:$B$7,2,FALSE),VLOOKUP(T243,'Writing Logic'!$A$3:$B$7,2,FALSE),VLOOKUP(U243,'Writing Logic'!$A$3:$B$7,2,FALSE))))),"Fill All 4")</f>
        <v>Fill All 4</v>
      </c>
      <c r="W243" s="96" t="str">
        <f t="shared" si="15"/>
        <v/>
      </c>
      <c r="X243" s="120"/>
      <c r="Y243" s="120"/>
      <c r="Z243" s="120"/>
      <c r="AA243" s="120"/>
      <c r="AB243" s="95" t="str">
        <f>IFERROR(IF(YES_Writing_ELA[[#This Row],[Literacy IPP]]='Writing Logic'!$E$26,"IPP",IF(OR(X243="EAL",Y243="EAL",Z243="EAL",AA243="EAL"),"EAL",IF(X243='Writing Logic'!$A$10,AVERAGE(VLOOKUP(Y243,'Writing Logic'!$A$3:$B$7,2,FALSE),VLOOKUP(Z243,'Writing Logic'!$A$3:$B$7,2,FALSE),VLOOKUP(AA243,'Writing Logic'!$A$3:$B$7,2,FALSE)),AVERAGE(VLOOKUP(X243,'Writing Logic'!$A$3:$B$7,2,FALSE),VLOOKUP(Y243,'Writing Logic'!$A$3:$B$7,2,FALSE),VLOOKUP(Z243,'Writing Logic'!$A$3:$B$7,2,FALSE),VLOOKUP(AA243,'Writing Logic'!$A$3:$B$7,2,FALSE))))),"Fill All 4")</f>
        <v>Fill All 4</v>
      </c>
      <c r="AC243" s="96" t="str">
        <f t="shared" si="16"/>
        <v/>
      </c>
      <c r="AD243" s="120"/>
      <c r="AE243" s="120"/>
      <c r="AF243" s="120"/>
      <c r="AG243" s="120"/>
      <c r="AH243" s="95" t="str">
        <f>IFERROR(IF(YES_Writing_ELA[[#This Row],[Literacy IPP]]='Writing Logic'!$E$26,"IPP",IF(OR(AD243="EAL",AE243="EAL",AF243="EAL",AG243="EAL"),"EAL",IF(AD243='Writing Logic'!$A$10,AVERAGE(VLOOKUP(AE243,'Writing Logic'!$A$3:$B$7,2,FALSE),VLOOKUP(AF243,'Writing Logic'!$A$3:$B$7,2,FALSE),VLOOKUP(AG243,'Writing Logic'!$A$3:$B$7,2,FALSE)),AVERAGE(VLOOKUP(AD243,'Writing Logic'!$A$3:$B$7,2,FALSE),VLOOKUP(AE243,'Writing Logic'!$A$3:$B$7,2,FALSE),VLOOKUP(AF243,'Writing Logic'!$A$3:$B$7,2,FALSE),VLOOKUP(AG243,'Writing Logic'!$A$3:$B$7,2,FALSE))))),"Fill All 4")</f>
        <v>Fill All 4</v>
      </c>
      <c r="AI243" s="96" t="str">
        <f t="shared" si="17"/>
        <v/>
      </c>
      <c r="AJ243" s="183"/>
      <c r="AK243" s="120"/>
      <c r="AL243" s="120"/>
      <c r="AM243" s="120"/>
      <c r="AN243" s="95" t="str">
        <f>IFERROR(IF(YES_Writing_ELA[[#This Row],[Literacy IPP]]='Writing Logic'!$E$26,"IPP",IF(OR(AJ243="EAL",AK243="EAL",AL243="EAL",AM243="EAL"),"EAL",IF(AJ243='Writing Logic'!$A$10,AVERAGE(VLOOKUP(AK243,'Writing Logic'!$A$3:$B$7,2,FALSE),VLOOKUP(AL243,'Writing Logic'!$A$3:$B$7,2,FALSE),VLOOKUP(AM243,'Writing Logic'!$A$3:$B$7,2,FALSE)),AVERAGE(VLOOKUP(AJ243,'Writing Logic'!$A$3:$B$7,2,FALSE),VLOOKUP(AK243,'Writing Logic'!$A$3:$B$7,2,FALSE),VLOOKUP(AL243,'Writing Logic'!$A$3:$B$7,2,FALSE),VLOOKUP(AM243,'Writing Logic'!$A$3:$B$7,2,FALSE))))),"Fill All 4")</f>
        <v>Fill All 4</v>
      </c>
      <c r="AO243" s="96" t="str">
        <f t="shared" si="18"/>
        <v/>
      </c>
      <c r="AP243" s="120"/>
      <c r="AQ243" s="120"/>
      <c r="AR243" s="120"/>
      <c r="AS243" s="120"/>
      <c r="AT243" s="95" t="str">
        <f>IFERROR(IF(YES_Writing_ELA[[#This Row],[Literacy IPP]]='Writing Logic'!$E$26,"IPP",IF(OR(AP243="EAL",AQ243="EAL",AR243="EAL",AS243="EAL"),"EAL",IF(AP243='Writing Logic'!$A$10,AVERAGE(VLOOKUP(AQ243,'Writing Logic'!$A$3:$B$7,2,FALSE),VLOOKUP(AR243,'Writing Logic'!$A$3:$B$7,2,FALSE),VLOOKUP(AS243,'Writing Logic'!$A$3:$B$7,2,FALSE)),AVERAGE(VLOOKUP(AP243,'Writing Logic'!$A$3:$B$7,2,FALSE),VLOOKUP(AQ243,'Writing Logic'!$A$3:$B$7,2,FALSE),VLOOKUP(AR243,'Writing Logic'!$A$3:$B$7,2,FALSE),VLOOKUP(AS243,'Writing Logic'!$A$3:$B$7,2,FALSE))))),"Fill All 4")</f>
        <v>Fill All 4</v>
      </c>
      <c r="AU243" s="96" t="str">
        <f t="shared" si="19"/>
        <v/>
      </c>
    </row>
    <row r="244" spans="1:47" x14ac:dyDescent="0.25">
      <c r="A244" s="13"/>
      <c r="B244" s="13"/>
      <c r="C244" s="13"/>
      <c r="D244" s="13"/>
      <c r="E244" s="13"/>
      <c r="F244" s="13"/>
      <c r="G244" s="13"/>
      <c r="H244" s="13"/>
      <c r="I244" s="13"/>
      <c r="J244" s="13"/>
      <c r="K244" s="183"/>
      <c r="L244" s="184"/>
      <c r="M244" s="183"/>
      <c r="N244" s="183"/>
      <c r="O244" s="183"/>
      <c r="P244" s="183"/>
      <c r="Q244" s="96" t="str">
        <f>IFERROR(IF(YES_Writing_ELA[[#This Row],[Literacy IPP]]='Writing Logic'!$E$26,"IPP",IF(OR(M244="EAL",N244="EAL",O244="EAL",P244="EAL"),"EAL",IF(M244='Writing Logic'!$A$10,AVERAGE(VLOOKUP(N244,'Writing Logic'!$A$3:$B$7,2,FALSE),VLOOKUP(O244,'Writing Logic'!$A$3:$B$7,2,FALSE),VLOOKUP(P244,'Writing Logic'!$A$3:$B$7,2,FALSE)),AVERAGE(VLOOKUP(M244,'Writing Logic'!$A$3:$B$7,2,FALSE),VLOOKUP(N244,'Writing Logic'!$A$3:$B$7,2,FALSE),VLOOKUP(O244,'Writing Logic'!$A$3:$B$7,2,FALSE),VLOOKUP(P244,'Writing Logic'!$A$3:$B$7,2,FALSE))))),"Fill All 4")</f>
        <v>Fill All 4</v>
      </c>
      <c r="R244" s="120"/>
      <c r="S244" s="120"/>
      <c r="T244" s="120"/>
      <c r="U244" s="120"/>
      <c r="V244" s="95" t="str">
        <f>IFERROR(IF(YES_Writing_ELA[[#This Row],[Literacy IPP]]='Writing Logic'!$E$26,"IPP",IF(OR(R244="EAL",S244="EAL",T244="EAL",U244="EAL"),"EAL",IF(R244='Writing Logic'!$A$10,AVERAGE(VLOOKUP(S244,'Writing Logic'!$A$3:$B$7,2,FALSE),VLOOKUP(T244,'Writing Logic'!$A$3:$B$7,2,FALSE),VLOOKUP(U244,'Writing Logic'!$A$3:$B$7,2,FALSE)),AVERAGE(VLOOKUP(R244,'Writing Logic'!$A$3:$B$7,2,FALSE),VLOOKUP(S244,'Writing Logic'!$A$3:$B$7,2,FALSE),VLOOKUP(T244,'Writing Logic'!$A$3:$B$7,2,FALSE),VLOOKUP(U244,'Writing Logic'!$A$3:$B$7,2,FALSE))))),"Fill All 4")</f>
        <v>Fill All 4</v>
      </c>
      <c r="W244" s="96" t="str">
        <f t="shared" si="15"/>
        <v/>
      </c>
      <c r="X244" s="120"/>
      <c r="Y244" s="120"/>
      <c r="Z244" s="120"/>
      <c r="AA244" s="120"/>
      <c r="AB244" s="95" t="str">
        <f>IFERROR(IF(YES_Writing_ELA[[#This Row],[Literacy IPP]]='Writing Logic'!$E$26,"IPP",IF(OR(X244="EAL",Y244="EAL",Z244="EAL",AA244="EAL"),"EAL",IF(X244='Writing Logic'!$A$10,AVERAGE(VLOOKUP(Y244,'Writing Logic'!$A$3:$B$7,2,FALSE),VLOOKUP(Z244,'Writing Logic'!$A$3:$B$7,2,FALSE),VLOOKUP(AA244,'Writing Logic'!$A$3:$B$7,2,FALSE)),AVERAGE(VLOOKUP(X244,'Writing Logic'!$A$3:$B$7,2,FALSE),VLOOKUP(Y244,'Writing Logic'!$A$3:$B$7,2,FALSE),VLOOKUP(Z244,'Writing Logic'!$A$3:$B$7,2,FALSE),VLOOKUP(AA244,'Writing Logic'!$A$3:$B$7,2,FALSE))))),"Fill All 4")</f>
        <v>Fill All 4</v>
      </c>
      <c r="AC244" s="96" t="str">
        <f t="shared" si="16"/>
        <v/>
      </c>
      <c r="AD244" s="120"/>
      <c r="AE244" s="120"/>
      <c r="AF244" s="120"/>
      <c r="AG244" s="120"/>
      <c r="AH244" s="95" t="str">
        <f>IFERROR(IF(YES_Writing_ELA[[#This Row],[Literacy IPP]]='Writing Logic'!$E$26,"IPP",IF(OR(AD244="EAL",AE244="EAL",AF244="EAL",AG244="EAL"),"EAL",IF(AD244='Writing Logic'!$A$10,AVERAGE(VLOOKUP(AE244,'Writing Logic'!$A$3:$B$7,2,FALSE),VLOOKUP(AF244,'Writing Logic'!$A$3:$B$7,2,FALSE),VLOOKUP(AG244,'Writing Logic'!$A$3:$B$7,2,FALSE)),AVERAGE(VLOOKUP(AD244,'Writing Logic'!$A$3:$B$7,2,FALSE),VLOOKUP(AE244,'Writing Logic'!$A$3:$B$7,2,FALSE),VLOOKUP(AF244,'Writing Logic'!$A$3:$B$7,2,FALSE),VLOOKUP(AG244,'Writing Logic'!$A$3:$B$7,2,FALSE))))),"Fill All 4")</f>
        <v>Fill All 4</v>
      </c>
      <c r="AI244" s="96" t="str">
        <f t="shared" si="17"/>
        <v/>
      </c>
      <c r="AJ244" s="183"/>
      <c r="AK244" s="120"/>
      <c r="AL244" s="120"/>
      <c r="AM244" s="120"/>
      <c r="AN244" s="95" t="str">
        <f>IFERROR(IF(YES_Writing_ELA[[#This Row],[Literacy IPP]]='Writing Logic'!$E$26,"IPP",IF(OR(AJ244="EAL",AK244="EAL",AL244="EAL",AM244="EAL"),"EAL",IF(AJ244='Writing Logic'!$A$10,AVERAGE(VLOOKUP(AK244,'Writing Logic'!$A$3:$B$7,2,FALSE),VLOOKUP(AL244,'Writing Logic'!$A$3:$B$7,2,FALSE),VLOOKUP(AM244,'Writing Logic'!$A$3:$B$7,2,FALSE)),AVERAGE(VLOOKUP(AJ244,'Writing Logic'!$A$3:$B$7,2,FALSE),VLOOKUP(AK244,'Writing Logic'!$A$3:$B$7,2,FALSE),VLOOKUP(AL244,'Writing Logic'!$A$3:$B$7,2,FALSE),VLOOKUP(AM244,'Writing Logic'!$A$3:$B$7,2,FALSE))))),"Fill All 4")</f>
        <v>Fill All 4</v>
      </c>
      <c r="AO244" s="96" t="str">
        <f t="shared" si="18"/>
        <v/>
      </c>
      <c r="AP244" s="120"/>
      <c r="AQ244" s="120"/>
      <c r="AR244" s="120"/>
      <c r="AS244" s="120"/>
      <c r="AT244" s="95" t="str">
        <f>IFERROR(IF(YES_Writing_ELA[[#This Row],[Literacy IPP]]='Writing Logic'!$E$26,"IPP",IF(OR(AP244="EAL",AQ244="EAL",AR244="EAL",AS244="EAL"),"EAL",IF(AP244='Writing Logic'!$A$10,AVERAGE(VLOOKUP(AQ244,'Writing Logic'!$A$3:$B$7,2,FALSE),VLOOKUP(AR244,'Writing Logic'!$A$3:$B$7,2,FALSE),VLOOKUP(AS244,'Writing Logic'!$A$3:$B$7,2,FALSE)),AVERAGE(VLOOKUP(AP244,'Writing Logic'!$A$3:$B$7,2,FALSE),VLOOKUP(AQ244,'Writing Logic'!$A$3:$B$7,2,FALSE),VLOOKUP(AR244,'Writing Logic'!$A$3:$B$7,2,FALSE),VLOOKUP(AS244,'Writing Logic'!$A$3:$B$7,2,FALSE))))),"Fill All 4")</f>
        <v>Fill All 4</v>
      </c>
      <c r="AU244" s="96" t="str">
        <f t="shared" si="19"/>
        <v/>
      </c>
    </row>
    <row r="245" spans="1:47" x14ac:dyDescent="0.25">
      <c r="A245" s="13"/>
      <c r="B245" s="13"/>
      <c r="C245" s="13"/>
      <c r="D245" s="13"/>
      <c r="E245" s="13"/>
      <c r="F245" s="13"/>
      <c r="G245" s="13"/>
      <c r="H245" s="13"/>
      <c r="I245" s="13"/>
      <c r="J245" s="13"/>
      <c r="K245" s="183"/>
      <c r="L245" s="184"/>
      <c r="M245" s="183"/>
      <c r="N245" s="183"/>
      <c r="O245" s="183"/>
      <c r="P245" s="183"/>
      <c r="Q245" s="96" t="str">
        <f>IFERROR(IF(YES_Writing_ELA[[#This Row],[Literacy IPP]]='Writing Logic'!$E$26,"IPP",IF(OR(M245="EAL",N245="EAL",O245="EAL",P245="EAL"),"EAL",IF(M245='Writing Logic'!$A$10,AVERAGE(VLOOKUP(N245,'Writing Logic'!$A$3:$B$7,2,FALSE),VLOOKUP(O245,'Writing Logic'!$A$3:$B$7,2,FALSE),VLOOKUP(P245,'Writing Logic'!$A$3:$B$7,2,FALSE)),AVERAGE(VLOOKUP(M245,'Writing Logic'!$A$3:$B$7,2,FALSE),VLOOKUP(N245,'Writing Logic'!$A$3:$B$7,2,FALSE),VLOOKUP(O245,'Writing Logic'!$A$3:$B$7,2,FALSE),VLOOKUP(P245,'Writing Logic'!$A$3:$B$7,2,FALSE))))),"Fill All 4")</f>
        <v>Fill All 4</v>
      </c>
      <c r="R245" s="120"/>
      <c r="S245" s="120"/>
      <c r="T245" s="120"/>
      <c r="U245" s="120"/>
      <c r="V245" s="95" t="str">
        <f>IFERROR(IF(YES_Writing_ELA[[#This Row],[Literacy IPP]]='Writing Logic'!$E$26,"IPP",IF(OR(R245="EAL",S245="EAL",T245="EAL",U245="EAL"),"EAL",IF(R245='Writing Logic'!$A$10,AVERAGE(VLOOKUP(S245,'Writing Logic'!$A$3:$B$7,2,FALSE),VLOOKUP(T245,'Writing Logic'!$A$3:$B$7,2,FALSE),VLOOKUP(U245,'Writing Logic'!$A$3:$B$7,2,FALSE)),AVERAGE(VLOOKUP(R245,'Writing Logic'!$A$3:$B$7,2,FALSE),VLOOKUP(S245,'Writing Logic'!$A$3:$B$7,2,FALSE),VLOOKUP(T245,'Writing Logic'!$A$3:$B$7,2,FALSE),VLOOKUP(U245,'Writing Logic'!$A$3:$B$7,2,FALSE))))),"Fill All 4")</f>
        <v>Fill All 4</v>
      </c>
      <c r="W245" s="96" t="str">
        <f t="shared" si="15"/>
        <v/>
      </c>
      <c r="X245" s="120"/>
      <c r="Y245" s="120"/>
      <c r="Z245" s="120"/>
      <c r="AA245" s="120"/>
      <c r="AB245" s="95" t="str">
        <f>IFERROR(IF(YES_Writing_ELA[[#This Row],[Literacy IPP]]='Writing Logic'!$E$26,"IPP",IF(OR(X245="EAL",Y245="EAL",Z245="EAL",AA245="EAL"),"EAL",IF(X245='Writing Logic'!$A$10,AVERAGE(VLOOKUP(Y245,'Writing Logic'!$A$3:$B$7,2,FALSE),VLOOKUP(Z245,'Writing Logic'!$A$3:$B$7,2,FALSE),VLOOKUP(AA245,'Writing Logic'!$A$3:$B$7,2,FALSE)),AVERAGE(VLOOKUP(X245,'Writing Logic'!$A$3:$B$7,2,FALSE),VLOOKUP(Y245,'Writing Logic'!$A$3:$B$7,2,FALSE),VLOOKUP(Z245,'Writing Logic'!$A$3:$B$7,2,FALSE),VLOOKUP(AA245,'Writing Logic'!$A$3:$B$7,2,FALSE))))),"Fill All 4")</f>
        <v>Fill All 4</v>
      </c>
      <c r="AC245" s="96" t="str">
        <f t="shared" si="16"/>
        <v/>
      </c>
      <c r="AD245" s="120"/>
      <c r="AE245" s="120"/>
      <c r="AF245" s="120"/>
      <c r="AG245" s="120"/>
      <c r="AH245" s="95" t="str">
        <f>IFERROR(IF(YES_Writing_ELA[[#This Row],[Literacy IPP]]='Writing Logic'!$E$26,"IPP",IF(OR(AD245="EAL",AE245="EAL",AF245="EAL",AG245="EAL"),"EAL",IF(AD245='Writing Logic'!$A$10,AVERAGE(VLOOKUP(AE245,'Writing Logic'!$A$3:$B$7,2,FALSE),VLOOKUP(AF245,'Writing Logic'!$A$3:$B$7,2,FALSE),VLOOKUP(AG245,'Writing Logic'!$A$3:$B$7,2,FALSE)),AVERAGE(VLOOKUP(AD245,'Writing Logic'!$A$3:$B$7,2,FALSE),VLOOKUP(AE245,'Writing Logic'!$A$3:$B$7,2,FALSE),VLOOKUP(AF245,'Writing Logic'!$A$3:$B$7,2,FALSE),VLOOKUP(AG245,'Writing Logic'!$A$3:$B$7,2,FALSE))))),"Fill All 4")</f>
        <v>Fill All 4</v>
      </c>
      <c r="AI245" s="96" t="str">
        <f t="shared" si="17"/>
        <v/>
      </c>
      <c r="AJ245" s="183"/>
      <c r="AK245" s="120"/>
      <c r="AL245" s="120"/>
      <c r="AM245" s="120"/>
      <c r="AN245" s="95" t="str">
        <f>IFERROR(IF(YES_Writing_ELA[[#This Row],[Literacy IPP]]='Writing Logic'!$E$26,"IPP",IF(OR(AJ245="EAL",AK245="EAL",AL245="EAL",AM245="EAL"),"EAL",IF(AJ245='Writing Logic'!$A$10,AVERAGE(VLOOKUP(AK245,'Writing Logic'!$A$3:$B$7,2,FALSE),VLOOKUP(AL245,'Writing Logic'!$A$3:$B$7,2,FALSE),VLOOKUP(AM245,'Writing Logic'!$A$3:$B$7,2,FALSE)),AVERAGE(VLOOKUP(AJ245,'Writing Logic'!$A$3:$B$7,2,FALSE),VLOOKUP(AK245,'Writing Logic'!$A$3:$B$7,2,FALSE),VLOOKUP(AL245,'Writing Logic'!$A$3:$B$7,2,FALSE),VLOOKUP(AM245,'Writing Logic'!$A$3:$B$7,2,FALSE))))),"Fill All 4")</f>
        <v>Fill All 4</v>
      </c>
      <c r="AO245" s="96" t="str">
        <f t="shared" si="18"/>
        <v/>
      </c>
      <c r="AP245" s="120"/>
      <c r="AQ245" s="120"/>
      <c r="AR245" s="120"/>
      <c r="AS245" s="120"/>
      <c r="AT245" s="95" t="str">
        <f>IFERROR(IF(YES_Writing_ELA[[#This Row],[Literacy IPP]]='Writing Logic'!$E$26,"IPP",IF(OR(AP245="EAL",AQ245="EAL",AR245="EAL",AS245="EAL"),"EAL",IF(AP245='Writing Logic'!$A$10,AVERAGE(VLOOKUP(AQ245,'Writing Logic'!$A$3:$B$7,2,FALSE),VLOOKUP(AR245,'Writing Logic'!$A$3:$B$7,2,FALSE),VLOOKUP(AS245,'Writing Logic'!$A$3:$B$7,2,FALSE)),AVERAGE(VLOOKUP(AP245,'Writing Logic'!$A$3:$B$7,2,FALSE),VLOOKUP(AQ245,'Writing Logic'!$A$3:$B$7,2,FALSE),VLOOKUP(AR245,'Writing Logic'!$A$3:$B$7,2,FALSE),VLOOKUP(AS245,'Writing Logic'!$A$3:$B$7,2,FALSE))))),"Fill All 4")</f>
        <v>Fill All 4</v>
      </c>
      <c r="AU245" s="96" t="str">
        <f t="shared" si="19"/>
        <v/>
      </c>
    </row>
    <row r="246" spans="1:47" x14ac:dyDescent="0.25">
      <c r="A246" s="13"/>
      <c r="B246" s="13"/>
      <c r="C246" s="13"/>
      <c r="D246" s="13"/>
      <c r="E246" s="13"/>
      <c r="F246" s="13"/>
      <c r="G246" s="13"/>
      <c r="H246" s="13"/>
      <c r="I246" s="13"/>
      <c r="J246" s="13"/>
      <c r="K246" s="183"/>
      <c r="L246" s="184"/>
      <c r="M246" s="183"/>
      <c r="N246" s="183"/>
      <c r="O246" s="183"/>
      <c r="P246" s="183"/>
      <c r="Q246" s="96" t="str">
        <f>IFERROR(IF(YES_Writing_ELA[[#This Row],[Literacy IPP]]='Writing Logic'!$E$26,"IPP",IF(OR(M246="EAL",N246="EAL",O246="EAL",P246="EAL"),"EAL",IF(M246='Writing Logic'!$A$10,AVERAGE(VLOOKUP(N246,'Writing Logic'!$A$3:$B$7,2,FALSE),VLOOKUP(O246,'Writing Logic'!$A$3:$B$7,2,FALSE),VLOOKUP(P246,'Writing Logic'!$A$3:$B$7,2,FALSE)),AVERAGE(VLOOKUP(M246,'Writing Logic'!$A$3:$B$7,2,FALSE),VLOOKUP(N246,'Writing Logic'!$A$3:$B$7,2,FALSE),VLOOKUP(O246,'Writing Logic'!$A$3:$B$7,2,FALSE),VLOOKUP(P246,'Writing Logic'!$A$3:$B$7,2,FALSE))))),"Fill All 4")</f>
        <v>Fill All 4</v>
      </c>
      <c r="R246" s="120"/>
      <c r="S246" s="120"/>
      <c r="T246" s="120"/>
      <c r="U246" s="120"/>
      <c r="V246" s="95" t="str">
        <f>IFERROR(IF(YES_Writing_ELA[[#This Row],[Literacy IPP]]='Writing Logic'!$E$26,"IPP",IF(OR(R246="EAL",S246="EAL",T246="EAL",U246="EAL"),"EAL",IF(R246='Writing Logic'!$A$10,AVERAGE(VLOOKUP(S246,'Writing Logic'!$A$3:$B$7,2,FALSE),VLOOKUP(T246,'Writing Logic'!$A$3:$B$7,2,FALSE),VLOOKUP(U246,'Writing Logic'!$A$3:$B$7,2,FALSE)),AVERAGE(VLOOKUP(R246,'Writing Logic'!$A$3:$B$7,2,FALSE),VLOOKUP(S246,'Writing Logic'!$A$3:$B$7,2,FALSE),VLOOKUP(T246,'Writing Logic'!$A$3:$B$7,2,FALSE),VLOOKUP(U246,'Writing Logic'!$A$3:$B$7,2,FALSE))))),"Fill All 4")</f>
        <v>Fill All 4</v>
      </c>
      <c r="W246" s="96" t="str">
        <f t="shared" si="15"/>
        <v/>
      </c>
      <c r="X246" s="120"/>
      <c r="Y246" s="120"/>
      <c r="Z246" s="120"/>
      <c r="AA246" s="120"/>
      <c r="AB246" s="95" t="str">
        <f>IFERROR(IF(YES_Writing_ELA[[#This Row],[Literacy IPP]]='Writing Logic'!$E$26,"IPP",IF(OR(X246="EAL",Y246="EAL",Z246="EAL",AA246="EAL"),"EAL",IF(X246='Writing Logic'!$A$10,AVERAGE(VLOOKUP(Y246,'Writing Logic'!$A$3:$B$7,2,FALSE),VLOOKUP(Z246,'Writing Logic'!$A$3:$B$7,2,FALSE),VLOOKUP(AA246,'Writing Logic'!$A$3:$B$7,2,FALSE)),AVERAGE(VLOOKUP(X246,'Writing Logic'!$A$3:$B$7,2,FALSE),VLOOKUP(Y246,'Writing Logic'!$A$3:$B$7,2,FALSE),VLOOKUP(Z246,'Writing Logic'!$A$3:$B$7,2,FALSE),VLOOKUP(AA246,'Writing Logic'!$A$3:$B$7,2,FALSE))))),"Fill All 4")</f>
        <v>Fill All 4</v>
      </c>
      <c r="AC246" s="96" t="str">
        <f t="shared" si="16"/>
        <v/>
      </c>
      <c r="AD246" s="120"/>
      <c r="AE246" s="120"/>
      <c r="AF246" s="120"/>
      <c r="AG246" s="120"/>
      <c r="AH246" s="95" t="str">
        <f>IFERROR(IF(YES_Writing_ELA[[#This Row],[Literacy IPP]]='Writing Logic'!$E$26,"IPP",IF(OR(AD246="EAL",AE246="EAL",AF246="EAL",AG246="EAL"),"EAL",IF(AD246='Writing Logic'!$A$10,AVERAGE(VLOOKUP(AE246,'Writing Logic'!$A$3:$B$7,2,FALSE),VLOOKUP(AF246,'Writing Logic'!$A$3:$B$7,2,FALSE),VLOOKUP(AG246,'Writing Logic'!$A$3:$B$7,2,FALSE)),AVERAGE(VLOOKUP(AD246,'Writing Logic'!$A$3:$B$7,2,FALSE),VLOOKUP(AE246,'Writing Logic'!$A$3:$B$7,2,FALSE),VLOOKUP(AF246,'Writing Logic'!$A$3:$B$7,2,FALSE),VLOOKUP(AG246,'Writing Logic'!$A$3:$B$7,2,FALSE))))),"Fill All 4")</f>
        <v>Fill All 4</v>
      </c>
      <c r="AI246" s="96" t="str">
        <f t="shared" si="17"/>
        <v/>
      </c>
      <c r="AJ246" s="183"/>
      <c r="AK246" s="120"/>
      <c r="AL246" s="120"/>
      <c r="AM246" s="120"/>
      <c r="AN246" s="95" t="str">
        <f>IFERROR(IF(YES_Writing_ELA[[#This Row],[Literacy IPP]]='Writing Logic'!$E$26,"IPP",IF(OR(AJ246="EAL",AK246="EAL",AL246="EAL",AM246="EAL"),"EAL",IF(AJ246='Writing Logic'!$A$10,AVERAGE(VLOOKUP(AK246,'Writing Logic'!$A$3:$B$7,2,FALSE),VLOOKUP(AL246,'Writing Logic'!$A$3:$B$7,2,FALSE),VLOOKUP(AM246,'Writing Logic'!$A$3:$B$7,2,FALSE)),AVERAGE(VLOOKUP(AJ246,'Writing Logic'!$A$3:$B$7,2,FALSE),VLOOKUP(AK246,'Writing Logic'!$A$3:$B$7,2,FALSE),VLOOKUP(AL246,'Writing Logic'!$A$3:$B$7,2,FALSE),VLOOKUP(AM246,'Writing Logic'!$A$3:$B$7,2,FALSE))))),"Fill All 4")</f>
        <v>Fill All 4</v>
      </c>
      <c r="AO246" s="96" t="str">
        <f t="shared" si="18"/>
        <v/>
      </c>
      <c r="AP246" s="120"/>
      <c r="AQ246" s="120"/>
      <c r="AR246" s="120"/>
      <c r="AS246" s="120"/>
      <c r="AT246" s="95" t="str">
        <f>IFERROR(IF(YES_Writing_ELA[[#This Row],[Literacy IPP]]='Writing Logic'!$E$26,"IPP",IF(OR(AP246="EAL",AQ246="EAL",AR246="EAL",AS246="EAL"),"EAL",IF(AP246='Writing Logic'!$A$10,AVERAGE(VLOOKUP(AQ246,'Writing Logic'!$A$3:$B$7,2,FALSE),VLOOKUP(AR246,'Writing Logic'!$A$3:$B$7,2,FALSE),VLOOKUP(AS246,'Writing Logic'!$A$3:$B$7,2,FALSE)),AVERAGE(VLOOKUP(AP246,'Writing Logic'!$A$3:$B$7,2,FALSE),VLOOKUP(AQ246,'Writing Logic'!$A$3:$B$7,2,FALSE),VLOOKUP(AR246,'Writing Logic'!$A$3:$B$7,2,FALSE),VLOOKUP(AS246,'Writing Logic'!$A$3:$B$7,2,FALSE))))),"Fill All 4")</f>
        <v>Fill All 4</v>
      </c>
      <c r="AU246" s="96" t="str">
        <f t="shared" si="19"/>
        <v/>
      </c>
    </row>
    <row r="247" spans="1:47" x14ac:dyDescent="0.25">
      <c r="A247" s="13"/>
      <c r="B247" s="13"/>
      <c r="C247" s="13"/>
      <c r="D247" s="13"/>
      <c r="E247" s="13"/>
      <c r="F247" s="13"/>
      <c r="G247" s="13"/>
      <c r="H247" s="13"/>
      <c r="I247" s="13"/>
      <c r="J247" s="13"/>
      <c r="K247" s="183"/>
      <c r="L247" s="184"/>
      <c r="M247" s="183"/>
      <c r="N247" s="183"/>
      <c r="O247" s="183"/>
      <c r="P247" s="183"/>
      <c r="Q247" s="96" t="str">
        <f>IFERROR(IF(YES_Writing_ELA[[#This Row],[Literacy IPP]]='Writing Logic'!$E$26,"IPP",IF(OR(M247="EAL",N247="EAL",O247="EAL",P247="EAL"),"EAL",IF(M247='Writing Logic'!$A$10,AVERAGE(VLOOKUP(N247,'Writing Logic'!$A$3:$B$7,2,FALSE),VLOOKUP(O247,'Writing Logic'!$A$3:$B$7,2,FALSE),VLOOKUP(P247,'Writing Logic'!$A$3:$B$7,2,FALSE)),AVERAGE(VLOOKUP(M247,'Writing Logic'!$A$3:$B$7,2,FALSE),VLOOKUP(N247,'Writing Logic'!$A$3:$B$7,2,FALSE),VLOOKUP(O247,'Writing Logic'!$A$3:$B$7,2,FALSE),VLOOKUP(P247,'Writing Logic'!$A$3:$B$7,2,FALSE))))),"Fill All 4")</f>
        <v>Fill All 4</v>
      </c>
      <c r="R247" s="120"/>
      <c r="S247" s="120"/>
      <c r="T247" s="120"/>
      <c r="U247" s="120"/>
      <c r="V247" s="95" t="str">
        <f>IFERROR(IF(YES_Writing_ELA[[#This Row],[Literacy IPP]]='Writing Logic'!$E$26,"IPP",IF(OR(R247="EAL",S247="EAL",T247="EAL",U247="EAL"),"EAL",IF(R247='Writing Logic'!$A$10,AVERAGE(VLOOKUP(S247,'Writing Logic'!$A$3:$B$7,2,FALSE),VLOOKUP(T247,'Writing Logic'!$A$3:$B$7,2,FALSE),VLOOKUP(U247,'Writing Logic'!$A$3:$B$7,2,FALSE)),AVERAGE(VLOOKUP(R247,'Writing Logic'!$A$3:$B$7,2,FALSE),VLOOKUP(S247,'Writing Logic'!$A$3:$B$7,2,FALSE),VLOOKUP(T247,'Writing Logic'!$A$3:$B$7,2,FALSE),VLOOKUP(U247,'Writing Logic'!$A$3:$B$7,2,FALSE))))),"Fill All 4")</f>
        <v>Fill All 4</v>
      </c>
      <c r="W247" s="96" t="str">
        <f t="shared" si="15"/>
        <v/>
      </c>
      <c r="X247" s="120"/>
      <c r="Y247" s="120"/>
      <c r="Z247" s="120"/>
      <c r="AA247" s="120"/>
      <c r="AB247" s="95" t="str">
        <f>IFERROR(IF(YES_Writing_ELA[[#This Row],[Literacy IPP]]='Writing Logic'!$E$26,"IPP",IF(OR(X247="EAL",Y247="EAL",Z247="EAL",AA247="EAL"),"EAL",IF(X247='Writing Logic'!$A$10,AVERAGE(VLOOKUP(Y247,'Writing Logic'!$A$3:$B$7,2,FALSE),VLOOKUP(Z247,'Writing Logic'!$A$3:$B$7,2,FALSE),VLOOKUP(AA247,'Writing Logic'!$A$3:$B$7,2,FALSE)),AVERAGE(VLOOKUP(X247,'Writing Logic'!$A$3:$B$7,2,FALSE),VLOOKUP(Y247,'Writing Logic'!$A$3:$B$7,2,FALSE),VLOOKUP(Z247,'Writing Logic'!$A$3:$B$7,2,FALSE),VLOOKUP(AA247,'Writing Logic'!$A$3:$B$7,2,FALSE))))),"Fill All 4")</f>
        <v>Fill All 4</v>
      </c>
      <c r="AC247" s="96" t="str">
        <f t="shared" si="16"/>
        <v/>
      </c>
      <c r="AD247" s="120"/>
      <c r="AE247" s="120"/>
      <c r="AF247" s="120"/>
      <c r="AG247" s="120"/>
      <c r="AH247" s="95" t="str">
        <f>IFERROR(IF(YES_Writing_ELA[[#This Row],[Literacy IPP]]='Writing Logic'!$E$26,"IPP",IF(OR(AD247="EAL",AE247="EAL",AF247="EAL",AG247="EAL"),"EAL",IF(AD247='Writing Logic'!$A$10,AVERAGE(VLOOKUP(AE247,'Writing Logic'!$A$3:$B$7,2,FALSE),VLOOKUP(AF247,'Writing Logic'!$A$3:$B$7,2,FALSE),VLOOKUP(AG247,'Writing Logic'!$A$3:$B$7,2,FALSE)),AVERAGE(VLOOKUP(AD247,'Writing Logic'!$A$3:$B$7,2,FALSE),VLOOKUP(AE247,'Writing Logic'!$A$3:$B$7,2,FALSE),VLOOKUP(AF247,'Writing Logic'!$A$3:$B$7,2,FALSE),VLOOKUP(AG247,'Writing Logic'!$A$3:$B$7,2,FALSE))))),"Fill All 4")</f>
        <v>Fill All 4</v>
      </c>
      <c r="AI247" s="96" t="str">
        <f t="shared" si="17"/>
        <v/>
      </c>
      <c r="AJ247" s="183"/>
      <c r="AK247" s="120"/>
      <c r="AL247" s="120"/>
      <c r="AM247" s="120"/>
      <c r="AN247" s="95" t="str">
        <f>IFERROR(IF(YES_Writing_ELA[[#This Row],[Literacy IPP]]='Writing Logic'!$E$26,"IPP",IF(OR(AJ247="EAL",AK247="EAL",AL247="EAL",AM247="EAL"),"EAL",IF(AJ247='Writing Logic'!$A$10,AVERAGE(VLOOKUP(AK247,'Writing Logic'!$A$3:$B$7,2,FALSE),VLOOKUP(AL247,'Writing Logic'!$A$3:$B$7,2,FALSE),VLOOKUP(AM247,'Writing Logic'!$A$3:$B$7,2,FALSE)),AVERAGE(VLOOKUP(AJ247,'Writing Logic'!$A$3:$B$7,2,FALSE),VLOOKUP(AK247,'Writing Logic'!$A$3:$B$7,2,FALSE),VLOOKUP(AL247,'Writing Logic'!$A$3:$B$7,2,FALSE),VLOOKUP(AM247,'Writing Logic'!$A$3:$B$7,2,FALSE))))),"Fill All 4")</f>
        <v>Fill All 4</v>
      </c>
      <c r="AO247" s="96" t="str">
        <f t="shared" si="18"/>
        <v/>
      </c>
      <c r="AP247" s="120"/>
      <c r="AQ247" s="120"/>
      <c r="AR247" s="120"/>
      <c r="AS247" s="120"/>
      <c r="AT247" s="95" t="str">
        <f>IFERROR(IF(YES_Writing_ELA[[#This Row],[Literacy IPP]]='Writing Logic'!$E$26,"IPP",IF(OR(AP247="EAL",AQ247="EAL",AR247="EAL",AS247="EAL"),"EAL",IF(AP247='Writing Logic'!$A$10,AVERAGE(VLOOKUP(AQ247,'Writing Logic'!$A$3:$B$7,2,FALSE),VLOOKUP(AR247,'Writing Logic'!$A$3:$B$7,2,FALSE),VLOOKUP(AS247,'Writing Logic'!$A$3:$B$7,2,FALSE)),AVERAGE(VLOOKUP(AP247,'Writing Logic'!$A$3:$B$7,2,FALSE),VLOOKUP(AQ247,'Writing Logic'!$A$3:$B$7,2,FALSE),VLOOKUP(AR247,'Writing Logic'!$A$3:$B$7,2,FALSE),VLOOKUP(AS247,'Writing Logic'!$A$3:$B$7,2,FALSE))))),"Fill All 4")</f>
        <v>Fill All 4</v>
      </c>
      <c r="AU247" s="96" t="str">
        <f t="shared" si="19"/>
        <v/>
      </c>
    </row>
    <row r="248" spans="1:47" x14ac:dyDescent="0.25">
      <c r="A248" s="13"/>
      <c r="B248" s="13"/>
      <c r="C248" s="13"/>
      <c r="D248" s="13"/>
      <c r="E248" s="13"/>
      <c r="F248" s="13"/>
      <c r="G248" s="13"/>
      <c r="H248" s="13"/>
      <c r="I248" s="13"/>
      <c r="J248" s="13"/>
      <c r="K248" s="183"/>
      <c r="L248" s="184"/>
      <c r="M248" s="183"/>
      <c r="N248" s="183"/>
      <c r="O248" s="183"/>
      <c r="P248" s="183"/>
      <c r="Q248" s="96" t="str">
        <f>IFERROR(IF(YES_Writing_ELA[[#This Row],[Literacy IPP]]='Writing Logic'!$E$26,"IPP",IF(OR(M248="EAL",N248="EAL",O248="EAL",P248="EAL"),"EAL",IF(M248='Writing Logic'!$A$10,AVERAGE(VLOOKUP(N248,'Writing Logic'!$A$3:$B$7,2,FALSE),VLOOKUP(O248,'Writing Logic'!$A$3:$B$7,2,FALSE),VLOOKUP(P248,'Writing Logic'!$A$3:$B$7,2,FALSE)),AVERAGE(VLOOKUP(M248,'Writing Logic'!$A$3:$B$7,2,FALSE),VLOOKUP(N248,'Writing Logic'!$A$3:$B$7,2,FALSE),VLOOKUP(O248,'Writing Logic'!$A$3:$B$7,2,FALSE),VLOOKUP(P248,'Writing Logic'!$A$3:$B$7,2,FALSE))))),"Fill All 4")</f>
        <v>Fill All 4</v>
      </c>
      <c r="R248" s="120"/>
      <c r="S248" s="120"/>
      <c r="T248" s="120"/>
      <c r="U248" s="120"/>
      <c r="V248" s="95" t="str">
        <f>IFERROR(IF(YES_Writing_ELA[[#This Row],[Literacy IPP]]='Writing Logic'!$E$26,"IPP",IF(OR(R248="EAL",S248="EAL",T248="EAL",U248="EAL"),"EAL",IF(R248='Writing Logic'!$A$10,AVERAGE(VLOOKUP(S248,'Writing Logic'!$A$3:$B$7,2,FALSE),VLOOKUP(T248,'Writing Logic'!$A$3:$B$7,2,FALSE),VLOOKUP(U248,'Writing Logic'!$A$3:$B$7,2,FALSE)),AVERAGE(VLOOKUP(R248,'Writing Logic'!$A$3:$B$7,2,FALSE),VLOOKUP(S248,'Writing Logic'!$A$3:$B$7,2,FALSE),VLOOKUP(T248,'Writing Logic'!$A$3:$B$7,2,FALSE),VLOOKUP(U248,'Writing Logic'!$A$3:$B$7,2,FALSE))))),"Fill All 4")</f>
        <v>Fill All 4</v>
      </c>
      <c r="W248" s="96" t="str">
        <f t="shared" si="15"/>
        <v/>
      </c>
      <c r="X248" s="120"/>
      <c r="Y248" s="120"/>
      <c r="Z248" s="120"/>
      <c r="AA248" s="120"/>
      <c r="AB248" s="95" t="str">
        <f>IFERROR(IF(YES_Writing_ELA[[#This Row],[Literacy IPP]]='Writing Logic'!$E$26,"IPP",IF(OR(X248="EAL",Y248="EAL",Z248="EAL",AA248="EAL"),"EAL",IF(X248='Writing Logic'!$A$10,AVERAGE(VLOOKUP(Y248,'Writing Logic'!$A$3:$B$7,2,FALSE),VLOOKUP(Z248,'Writing Logic'!$A$3:$B$7,2,FALSE),VLOOKUP(AA248,'Writing Logic'!$A$3:$B$7,2,FALSE)),AVERAGE(VLOOKUP(X248,'Writing Logic'!$A$3:$B$7,2,FALSE),VLOOKUP(Y248,'Writing Logic'!$A$3:$B$7,2,FALSE),VLOOKUP(Z248,'Writing Logic'!$A$3:$B$7,2,FALSE),VLOOKUP(AA248,'Writing Logic'!$A$3:$B$7,2,FALSE))))),"Fill All 4")</f>
        <v>Fill All 4</v>
      </c>
      <c r="AC248" s="96" t="str">
        <f t="shared" si="16"/>
        <v/>
      </c>
      <c r="AD248" s="120"/>
      <c r="AE248" s="120"/>
      <c r="AF248" s="120"/>
      <c r="AG248" s="120"/>
      <c r="AH248" s="95" t="str">
        <f>IFERROR(IF(YES_Writing_ELA[[#This Row],[Literacy IPP]]='Writing Logic'!$E$26,"IPP",IF(OR(AD248="EAL",AE248="EAL",AF248="EAL",AG248="EAL"),"EAL",IF(AD248='Writing Logic'!$A$10,AVERAGE(VLOOKUP(AE248,'Writing Logic'!$A$3:$B$7,2,FALSE),VLOOKUP(AF248,'Writing Logic'!$A$3:$B$7,2,FALSE),VLOOKUP(AG248,'Writing Logic'!$A$3:$B$7,2,FALSE)),AVERAGE(VLOOKUP(AD248,'Writing Logic'!$A$3:$B$7,2,FALSE),VLOOKUP(AE248,'Writing Logic'!$A$3:$B$7,2,FALSE),VLOOKUP(AF248,'Writing Logic'!$A$3:$B$7,2,FALSE),VLOOKUP(AG248,'Writing Logic'!$A$3:$B$7,2,FALSE))))),"Fill All 4")</f>
        <v>Fill All 4</v>
      </c>
      <c r="AI248" s="96" t="str">
        <f t="shared" si="17"/>
        <v/>
      </c>
      <c r="AJ248" s="183"/>
      <c r="AK248" s="120"/>
      <c r="AL248" s="120"/>
      <c r="AM248" s="120"/>
      <c r="AN248" s="95" t="str">
        <f>IFERROR(IF(YES_Writing_ELA[[#This Row],[Literacy IPP]]='Writing Logic'!$E$26,"IPP",IF(OR(AJ248="EAL",AK248="EAL",AL248="EAL",AM248="EAL"),"EAL",IF(AJ248='Writing Logic'!$A$10,AVERAGE(VLOOKUP(AK248,'Writing Logic'!$A$3:$B$7,2,FALSE),VLOOKUP(AL248,'Writing Logic'!$A$3:$B$7,2,FALSE),VLOOKUP(AM248,'Writing Logic'!$A$3:$B$7,2,FALSE)),AVERAGE(VLOOKUP(AJ248,'Writing Logic'!$A$3:$B$7,2,FALSE),VLOOKUP(AK248,'Writing Logic'!$A$3:$B$7,2,FALSE),VLOOKUP(AL248,'Writing Logic'!$A$3:$B$7,2,FALSE),VLOOKUP(AM248,'Writing Logic'!$A$3:$B$7,2,FALSE))))),"Fill All 4")</f>
        <v>Fill All 4</v>
      </c>
      <c r="AO248" s="96" t="str">
        <f t="shared" si="18"/>
        <v/>
      </c>
      <c r="AP248" s="120"/>
      <c r="AQ248" s="120"/>
      <c r="AR248" s="120"/>
      <c r="AS248" s="120"/>
      <c r="AT248" s="95" t="str">
        <f>IFERROR(IF(YES_Writing_ELA[[#This Row],[Literacy IPP]]='Writing Logic'!$E$26,"IPP",IF(OR(AP248="EAL",AQ248="EAL",AR248="EAL",AS248="EAL"),"EAL",IF(AP248='Writing Logic'!$A$10,AVERAGE(VLOOKUP(AQ248,'Writing Logic'!$A$3:$B$7,2,FALSE),VLOOKUP(AR248,'Writing Logic'!$A$3:$B$7,2,FALSE),VLOOKUP(AS248,'Writing Logic'!$A$3:$B$7,2,FALSE)),AVERAGE(VLOOKUP(AP248,'Writing Logic'!$A$3:$B$7,2,FALSE),VLOOKUP(AQ248,'Writing Logic'!$A$3:$B$7,2,FALSE),VLOOKUP(AR248,'Writing Logic'!$A$3:$B$7,2,FALSE),VLOOKUP(AS248,'Writing Logic'!$A$3:$B$7,2,FALSE))))),"Fill All 4")</f>
        <v>Fill All 4</v>
      </c>
      <c r="AU248" s="96" t="str">
        <f t="shared" si="19"/>
        <v/>
      </c>
    </row>
    <row r="249" spans="1:47" x14ac:dyDescent="0.25">
      <c r="A249" s="13"/>
      <c r="B249" s="13"/>
      <c r="C249" s="13"/>
      <c r="D249" s="13"/>
      <c r="E249" s="13"/>
      <c r="F249" s="13"/>
      <c r="G249" s="13"/>
      <c r="H249" s="13"/>
      <c r="I249" s="13"/>
      <c r="J249" s="13"/>
      <c r="K249" s="183"/>
      <c r="L249" s="184"/>
      <c r="M249" s="183"/>
      <c r="N249" s="183"/>
      <c r="O249" s="183"/>
      <c r="P249" s="183"/>
      <c r="Q249" s="96" t="str">
        <f>IFERROR(IF(YES_Writing_ELA[[#This Row],[Literacy IPP]]='Writing Logic'!$E$26,"IPP",IF(OR(M249="EAL",N249="EAL",O249="EAL",P249="EAL"),"EAL",IF(M249='Writing Logic'!$A$10,AVERAGE(VLOOKUP(N249,'Writing Logic'!$A$3:$B$7,2,FALSE),VLOOKUP(O249,'Writing Logic'!$A$3:$B$7,2,FALSE),VLOOKUP(P249,'Writing Logic'!$A$3:$B$7,2,FALSE)),AVERAGE(VLOOKUP(M249,'Writing Logic'!$A$3:$B$7,2,FALSE),VLOOKUP(N249,'Writing Logic'!$A$3:$B$7,2,FALSE),VLOOKUP(O249,'Writing Logic'!$A$3:$B$7,2,FALSE),VLOOKUP(P249,'Writing Logic'!$A$3:$B$7,2,FALSE))))),"Fill All 4")</f>
        <v>Fill All 4</v>
      </c>
      <c r="R249" s="120"/>
      <c r="S249" s="120"/>
      <c r="T249" s="120"/>
      <c r="U249" s="120"/>
      <c r="V249" s="95" t="str">
        <f>IFERROR(IF(YES_Writing_ELA[[#This Row],[Literacy IPP]]='Writing Logic'!$E$26,"IPP",IF(OR(R249="EAL",S249="EAL",T249="EAL",U249="EAL"),"EAL",IF(R249='Writing Logic'!$A$10,AVERAGE(VLOOKUP(S249,'Writing Logic'!$A$3:$B$7,2,FALSE),VLOOKUP(T249,'Writing Logic'!$A$3:$B$7,2,FALSE),VLOOKUP(U249,'Writing Logic'!$A$3:$B$7,2,FALSE)),AVERAGE(VLOOKUP(R249,'Writing Logic'!$A$3:$B$7,2,FALSE),VLOOKUP(S249,'Writing Logic'!$A$3:$B$7,2,FALSE),VLOOKUP(T249,'Writing Logic'!$A$3:$B$7,2,FALSE),VLOOKUP(U249,'Writing Logic'!$A$3:$B$7,2,FALSE))))),"Fill All 4")</f>
        <v>Fill All 4</v>
      </c>
      <c r="W249" s="96" t="str">
        <f t="shared" si="15"/>
        <v/>
      </c>
      <c r="X249" s="120"/>
      <c r="Y249" s="120"/>
      <c r="Z249" s="120"/>
      <c r="AA249" s="120"/>
      <c r="AB249" s="95" t="str">
        <f>IFERROR(IF(YES_Writing_ELA[[#This Row],[Literacy IPP]]='Writing Logic'!$E$26,"IPP",IF(OR(X249="EAL",Y249="EAL",Z249="EAL",AA249="EAL"),"EAL",IF(X249='Writing Logic'!$A$10,AVERAGE(VLOOKUP(Y249,'Writing Logic'!$A$3:$B$7,2,FALSE),VLOOKUP(Z249,'Writing Logic'!$A$3:$B$7,2,FALSE),VLOOKUP(AA249,'Writing Logic'!$A$3:$B$7,2,FALSE)),AVERAGE(VLOOKUP(X249,'Writing Logic'!$A$3:$B$7,2,FALSE),VLOOKUP(Y249,'Writing Logic'!$A$3:$B$7,2,FALSE),VLOOKUP(Z249,'Writing Logic'!$A$3:$B$7,2,FALSE),VLOOKUP(AA249,'Writing Logic'!$A$3:$B$7,2,FALSE))))),"Fill All 4")</f>
        <v>Fill All 4</v>
      </c>
      <c r="AC249" s="96" t="str">
        <f t="shared" si="16"/>
        <v/>
      </c>
      <c r="AD249" s="120"/>
      <c r="AE249" s="120"/>
      <c r="AF249" s="120"/>
      <c r="AG249" s="120"/>
      <c r="AH249" s="95" t="str">
        <f>IFERROR(IF(YES_Writing_ELA[[#This Row],[Literacy IPP]]='Writing Logic'!$E$26,"IPP",IF(OR(AD249="EAL",AE249="EAL",AF249="EAL",AG249="EAL"),"EAL",IF(AD249='Writing Logic'!$A$10,AVERAGE(VLOOKUP(AE249,'Writing Logic'!$A$3:$B$7,2,FALSE),VLOOKUP(AF249,'Writing Logic'!$A$3:$B$7,2,FALSE),VLOOKUP(AG249,'Writing Logic'!$A$3:$B$7,2,FALSE)),AVERAGE(VLOOKUP(AD249,'Writing Logic'!$A$3:$B$7,2,FALSE),VLOOKUP(AE249,'Writing Logic'!$A$3:$B$7,2,FALSE),VLOOKUP(AF249,'Writing Logic'!$A$3:$B$7,2,FALSE),VLOOKUP(AG249,'Writing Logic'!$A$3:$B$7,2,FALSE))))),"Fill All 4")</f>
        <v>Fill All 4</v>
      </c>
      <c r="AI249" s="96" t="str">
        <f t="shared" si="17"/>
        <v/>
      </c>
      <c r="AJ249" s="183"/>
      <c r="AK249" s="120"/>
      <c r="AL249" s="120"/>
      <c r="AM249" s="120"/>
      <c r="AN249" s="95" t="str">
        <f>IFERROR(IF(YES_Writing_ELA[[#This Row],[Literacy IPP]]='Writing Logic'!$E$26,"IPP",IF(OR(AJ249="EAL",AK249="EAL",AL249="EAL",AM249="EAL"),"EAL",IF(AJ249='Writing Logic'!$A$10,AVERAGE(VLOOKUP(AK249,'Writing Logic'!$A$3:$B$7,2,FALSE),VLOOKUP(AL249,'Writing Logic'!$A$3:$B$7,2,FALSE),VLOOKUP(AM249,'Writing Logic'!$A$3:$B$7,2,FALSE)),AVERAGE(VLOOKUP(AJ249,'Writing Logic'!$A$3:$B$7,2,FALSE),VLOOKUP(AK249,'Writing Logic'!$A$3:$B$7,2,FALSE),VLOOKUP(AL249,'Writing Logic'!$A$3:$B$7,2,FALSE),VLOOKUP(AM249,'Writing Logic'!$A$3:$B$7,2,FALSE))))),"Fill All 4")</f>
        <v>Fill All 4</v>
      </c>
      <c r="AO249" s="96" t="str">
        <f t="shared" si="18"/>
        <v/>
      </c>
      <c r="AP249" s="120"/>
      <c r="AQ249" s="120"/>
      <c r="AR249" s="120"/>
      <c r="AS249" s="120"/>
      <c r="AT249" s="95" t="str">
        <f>IFERROR(IF(YES_Writing_ELA[[#This Row],[Literacy IPP]]='Writing Logic'!$E$26,"IPP",IF(OR(AP249="EAL",AQ249="EAL",AR249="EAL",AS249="EAL"),"EAL",IF(AP249='Writing Logic'!$A$10,AVERAGE(VLOOKUP(AQ249,'Writing Logic'!$A$3:$B$7,2,FALSE),VLOOKUP(AR249,'Writing Logic'!$A$3:$B$7,2,FALSE),VLOOKUP(AS249,'Writing Logic'!$A$3:$B$7,2,FALSE)),AVERAGE(VLOOKUP(AP249,'Writing Logic'!$A$3:$B$7,2,FALSE),VLOOKUP(AQ249,'Writing Logic'!$A$3:$B$7,2,FALSE),VLOOKUP(AR249,'Writing Logic'!$A$3:$B$7,2,FALSE),VLOOKUP(AS249,'Writing Logic'!$A$3:$B$7,2,FALSE))))),"Fill All 4")</f>
        <v>Fill All 4</v>
      </c>
      <c r="AU249" s="96" t="str">
        <f t="shared" si="19"/>
        <v/>
      </c>
    </row>
    <row r="250" spans="1:47" x14ac:dyDescent="0.25">
      <c r="A250" s="13"/>
      <c r="B250" s="13"/>
      <c r="C250" s="13"/>
      <c r="D250" s="13"/>
      <c r="E250" s="13"/>
      <c r="F250" s="13"/>
      <c r="G250" s="13"/>
      <c r="H250" s="13"/>
      <c r="I250" s="13"/>
      <c r="J250" s="13"/>
      <c r="K250" s="183"/>
      <c r="L250" s="184"/>
      <c r="M250" s="183"/>
      <c r="N250" s="183"/>
      <c r="O250" s="183"/>
      <c r="P250" s="183"/>
      <c r="Q250" s="96" t="str">
        <f>IFERROR(IF(YES_Writing_ELA[[#This Row],[Literacy IPP]]='Writing Logic'!$E$26,"IPP",IF(OR(M250="EAL",N250="EAL",O250="EAL",P250="EAL"),"EAL",IF(M250='Writing Logic'!$A$10,AVERAGE(VLOOKUP(N250,'Writing Logic'!$A$3:$B$7,2,FALSE),VLOOKUP(O250,'Writing Logic'!$A$3:$B$7,2,FALSE),VLOOKUP(P250,'Writing Logic'!$A$3:$B$7,2,FALSE)),AVERAGE(VLOOKUP(M250,'Writing Logic'!$A$3:$B$7,2,FALSE),VLOOKUP(N250,'Writing Logic'!$A$3:$B$7,2,FALSE),VLOOKUP(O250,'Writing Logic'!$A$3:$B$7,2,FALSE),VLOOKUP(P250,'Writing Logic'!$A$3:$B$7,2,FALSE))))),"Fill All 4")</f>
        <v>Fill All 4</v>
      </c>
      <c r="R250" s="120"/>
      <c r="S250" s="120"/>
      <c r="T250" s="120"/>
      <c r="U250" s="120"/>
      <c r="V250" s="95" t="str">
        <f>IFERROR(IF(YES_Writing_ELA[[#This Row],[Literacy IPP]]='Writing Logic'!$E$26,"IPP",IF(OR(R250="EAL",S250="EAL",T250="EAL",U250="EAL"),"EAL",IF(R250='Writing Logic'!$A$10,AVERAGE(VLOOKUP(S250,'Writing Logic'!$A$3:$B$7,2,FALSE),VLOOKUP(T250,'Writing Logic'!$A$3:$B$7,2,FALSE),VLOOKUP(U250,'Writing Logic'!$A$3:$B$7,2,FALSE)),AVERAGE(VLOOKUP(R250,'Writing Logic'!$A$3:$B$7,2,FALSE),VLOOKUP(S250,'Writing Logic'!$A$3:$B$7,2,FALSE),VLOOKUP(T250,'Writing Logic'!$A$3:$B$7,2,FALSE),VLOOKUP(U250,'Writing Logic'!$A$3:$B$7,2,FALSE))))),"Fill All 4")</f>
        <v>Fill All 4</v>
      </c>
      <c r="W250" s="96" t="str">
        <f t="shared" si="15"/>
        <v/>
      </c>
      <c r="X250" s="120"/>
      <c r="Y250" s="120"/>
      <c r="Z250" s="120"/>
      <c r="AA250" s="120"/>
      <c r="AB250" s="95" t="str">
        <f>IFERROR(IF(YES_Writing_ELA[[#This Row],[Literacy IPP]]='Writing Logic'!$E$26,"IPP",IF(OR(X250="EAL",Y250="EAL",Z250="EAL",AA250="EAL"),"EAL",IF(X250='Writing Logic'!$A$10,AVERAGE(VLOOKUP(Y250,'Writing Logic'!$A$3:$B$7,2,FALSE),VLOOKUP(Z250,'Writing Logic'!$A$3:$B$7,2,FALSE),VLOOKUP(AA250,'Writing Logic'!$A$3:$B$7,2,FALSE)),AVERAGE(VLOOKUP(X250,'Writing Logic'!$A$3:$B$7,2,FALSE),VLOOKUP(Y250,'Writing Logic'!$A$3:$B$7,2,FALSE),VLOOKUP(Z250,'Writing Logic'!$A$3:$B$7,2,FALSE),VLOOKUP(AA250,'Writing Logic'!$A$3:$B$7,2,FALSE))))),"Fill All 4")</f>
        <v>Fill All 4</v>
      </c>
      <c r="AC250" s="96" t="str">
        <f t="shared" si="16"/>
        <v/>
      </c>
      <c r="AD250" s="120"/>
      <c r="AE250" s="120"/>
      <c r="AF250" s="120"/>
      <c r="AG250" s="120"/>
      <c r="AH250" s="95" t="str">
        <f>IFERROR(IF(YES_Writing_ELA[[#This Row],[Literacy IPP]]='Writing Logic'!$E$26,"IPP",IF(OR(AD250="EAL",AE250="EAL",AF250="EAL",AG250="EAL"),"EAL",IF(AD250='Writing Logic'!$A$10,AVERAGE(VLOOKUP(AE250,'Writing Logic'!$A$3:$B$7,2,FALSE),VLOOKUP(AF250,'Writing Logic'!$A$3:$B$7,2,FALSE),VLOOKUP(AG250,'Writing Logic'!$A$3:$B$7,2,FALSE)),AVERAGE(VLOOKUP(AD250,'Writing Logic'!$A$3:$B$7,2,FALSE),VLOOKUP(AE250,'Writing Logic'!$A$3:$B$7,2,FALSE),VLOOKUP(AF250,'Writing Logic'!$A$3:$B$7,2,FALSE),VLOOKUP(AG250,'Writing Logic'!$A$3:$B$7,2,FALSE))))),"Fill All 4")</f>
        <v>Fill All 4</v>
      </c>
      <c r="AI250" s="96" t="str">
        <f t="shared" si="17"/>
        <v/>
      </c>
      <c r="AJ250" s="183"/>
      <c r="AK250" s="120"/>
      <c r="AL250" s="120"/>
      <c r="AM250" s="120"/>
      <c r="AN250" s="95" t="str">
        <f>IFERROR(IF(YES_Writing_ELA[[#This Row],[Literacy IPP]]='Writing Logic'!$E$26,"IPP",IF(OR(AJ250="EAL",AK250="EAL",AL250="EAL",AM250="EAL"),"EAL",IF(AJ250='Writing Logic'!$A$10,AVERAGE(VLOOKUP(AK250,'Writing Logic'!$A$3:$B$7,2,FALSE),VLOOKUP(AL250,'Writing Logic'!$A$3:$B$7,2,FALSE),VLOOKUP(AM250,'Writing Logic'!$A$3:$B$7,2,FALSE)),AVERAGE(VLOOKUP(AJ250,'Writing Logic'!$A$3:$B$7,2,FALSE),VLOOKUP(AK250,'Writing Logic'!$A$3:$B$7,2,FALSE),VLOOKUP(AL250,'Writing Logic'!$A$3:$B$7,2,FALSE),VLOOKUP(AM250,'Writing Logic'!$A$3:$B$7,2,FALSE))))),"Fill All 4")</f>
        <v>Fill All 4</v>
      </c>
      <c r="AO250" s="96" t="str">
        <f t="shared" si="18"/>
        <v/>
      </c>
      <c r="AP250" s="120"/>
      <c r="AQ250" s="120"/>
      <c r="AR250" s="120"/>
      <c r="AS250" s="120"/>
      <c r="AT250" s="95" t="str">
        <f>IFERROR(IF(YES_Writing_ELA[[#This Row],[Literacy IPP]]='Writing Logic'!$E$26,"IPP",IF(OR(AP250="EAL",AQ250="EAL",AR250="EAL",AS250="EAL"),"EAL",IF(AP250='Writing Logic'!$A$10,AVERAGE(VLOOKUP(AQ250,'Writing Logic'!$A$3:$B$7,2,FALSE),VLOOKUP(AR250,'Writing Logic'!$A$3:$B$7,2,FALSE),VLOOKUP(AS250,'Writing Logic'!$A$3:$B$7,2,FALSE)),AVERAGE(VLOOKUP(AP250,'Writing Logic'!$A$3:$B$7,2,FALSE),VLOOKUP(AQ250,'Writing Logic'!$A$3:$B$7,2,FALSE),VLOOKUP(AR250,'Writing Logic'!$A$3:$B$7,2,FALSE),VLOOKUP(AS250,'Writing Logic'!$A$3:$B$7,2,FALSE))))),"Fill All 4")</f>
        <v>Fill All 4</v>
      </c>
      <c r="AU250" s="96" t="str">
        <f t="shared" si="19"/>
        <v/>
      </c>
    </row>
    <row r="251" spans="1:47" x14ac:dyDescent="0.25">
      <c r="A251" s="13"/>
      <c r="B251" s="13"/>
      <c r="C251" s="13"/>
      <c r="D251" s="13"/>
      <c r="E251" s="13"/>
      <c r="F251" s="13"/>
      <c r="G251" s="13"/>
      <c r="H251" s="13"/>
      <c r="I251" s="13"/>
      <c r="J251" s="13"/>
      <c r="K251" s="183"/>
      <c r="L251" s="184"/>
      <c r="M251" s="183"/>
      <c r="N251" s="183"/>
      <c r="O251" s="183"/>
      <c r="P251" s="183"/>
      <c r="Q251" s="96" t="str">
        <f>IFERROR(IF(YES_Writing_ELA[[#This Row],[Literacy IPP]]='Writing Logic'!$E$26,"IPP",IF(OR(M251="EAL",N251="EAL",O251="EAL",P251="EAL"),"EAL",IF(M251='Writing Logic'!$A$10,AVERAGE(VLOOKUP(N251,'Writing Logic'!$A$3:$B$7,2,FALSE),VLOOKUP(O251,'Writing Logic'!$A$3:$B$7,2,FALSE),VLOOKUP(P251,'Writing Logic'!$A$3:$B$7,2,FALSE)),AVERAGE(VLOOKUP(M251,'Writing Logic'!$A$3:$B$7,2,FALSE),VLOOKUP(N251,'Writing Logic'!$A$3:$B$7,2,FALSE),VLOOKUP(O251,'Writing Logic'!$A$3:$B$7,2,FALSE),VLOOKUP(P251,'Writing Logic'!$A$3:$B$7,2,FALSE))))),"Fill All 4")</f>
        <v>Fill All 4</v>
      </c>
      <c r="R251" s="120"/>
      <c r="S251" s="120"/>
      <c r="T251" s="120"/>
      <c r="U251" s="120"/>
      <c r="V251" s="95" t="str">
        <f>IFERROR(IF(YES_Writing_ELA[[#This Row],[Literacy IPP]]='Writing Logic'!$E$26,"IPP",IF(OR(R251="EAL",S251="EAL",T251="EAL",U251="EAL"),"EAL",IF(R251='Writing Logic'!$A$10,AVERAGE(VLOOKUP(S251,'Writing Logic'!$A$3:$B$7,2,FALSE),VLOOKUP(T251,'Writing Logic'!$A$3:$B$7,2,FALSE),VLOOKUP(U251,'Writing Logic'!$A$3:$B$7,2,FALSE)),AVERAGE(VLOOKUP(R251,'Writing Logic'!$A$3:$B$7,2,FALSE),VLOOKUP(S251,'Writing Logic'!$A$3:$B$7,2,FALSE),VLOOKUP(T251,'Writing Logic'!$A$3:$B$7,2,FALSE),VLOOKUP(U251,'Writing Logic'!$A$3:$B$7,2,FALSE))))),"Fill All 4")</f>
        <v>Fill All 4</v>
      </c>
      <c r="W251" s="96" t="str">
        <f t="shared" si="15"/>
        <v/>
      </c>
      <c r="X251" s="120"/>
      <c r="Y251" s="120"/>
      <c r="Z251" s="120"/>
      <c r="AA251" s="120"/>
      <c r="AB251" s="95" t="str">
        <f>IFERROR(IF(YES_Writing_ELA[[#This Row],[Literacy IPP]]='Writing Logic'!$E$26,"IPP",IF(OR(X251="EAL",Y251="EAL",Z251="EAL",AA251="EAL"),"EAL",IF(X251='Writing Logic'!$A$10,AVERAGE(VLOOKUP(Y251,'Writing Logic'!$A$3:$B$7,2,FALSE),VLOOKUP(Z251,'Writing Logic'!$A$3:$B$7,2,FALSE),VLOOKUP(AA251,'Writing Logic'!$A$3:$B$7,2,FALSE)),AVERAGE(VLOOKUP(X251,'Writing Logic'!$A$3:$B$7,2,FALSE),VLOOKUP(Y251,'Writing Logic'!$A$3:$B$7,2,FALSE),VLOOKUP(Z251,'Writing Logic'!$A$3:$B$7,2,FALSE),VLOOKUP(AA251,'Writing Logic'!$A$3:$B$7,2,FALSE))))),"Fill All 4")</f>
        <v>Fill All 4</v>
      </c>
      <c r="AC251" s="96" t="str">
        <f t="shared" si="16"/>
        <v/>
      </c>
      <c r="AD251" s="120"/>
      <c r="AE251" s="120"/>
      <c r="AF251" s="120"/>
      <c r="AG251" s="120"/>
      <c r="AH251" s="95" t="str">
        <f>IFERROR(IF(YES_Writing_ELA[[#This Row],[Literacy IPP]]='Writing Logic'!$E$26,"IPP",IF(OR(AD251="EAL",AE251="EAL",AF251="EAL",AG251="EAL"),"EAL",IF(AD251='Writing Logic'!$A$10,AVERAGE(VLOOKUP(AE251,'Writing Logic'!$A$3:$B$7,2,FALSE),VLOOKUP(AF251,'Writing Logic'!$A$3:$B$7,2,FALSE),VLOOKUP(AG251,'Writing Logic'!$A$3:$B$7,2,FALSE)),AVERAGE(VLOOKUP(AD251,'Writing Logic'!$A$3:$B$7,2,FALSE),VLOOKUP(AE251,'Writing Logic'!$A$3:$B$7,2,FALSE),VLOOKUP(AF251,'Writing Logic'!$A$3:$B$7,2,FALSE),VLOOKUP(AG251,'Writing Logic'!$A$3:$B$7,2,FALSE))))),"Fill All 4")</f>
        <v>Fill All 4</v>
      </c>
      <c r="AI251" s="96" t="str">
        <f t="shared" si="17"/>
        <v/>
      </c>
      <c r="AJ251" s="183"/>
      <c r="AK251" s="120"/>
      <c r="AL251" s="120"/>
      <c r="AM251" s="120"/>
      <c r="AN251" s="95" t="str">
        <f>IFERROR(IF(YES_Writing_ELA[[#This Row],[Literacy IPP]]='Writing Logic'!$E$26,"IPP",IF(OR(AJ251="EAL",AK251="EAL",AL251="EAL",AM251="EAL"),"EAL",IF(AJ251='Writing Logic'!$A$10,AVERAGE(VLOOKUP(AK251,'Writing Logic'!$A$3:$B$7,2,FALSE),VLOOKUP(AL251,'Writing Logic'!$A$3:$B$7,2,FALSE),VLOOKUP(AM251,'Writing Logic'!$A$3:$B$7,2,FALSE)),AVERAGE(VLOOKUP(AJ251,'Writing Logic'!$A$3:$B$7,2,FALSE),VLOOKUP(AK251,'Writing Logic'!$A$3:$B$7,2,FALSE),VLOOKUP(AL251,'Writing Logic'!$A$3:$B$7,2,FALSE),VLOOKUP(AM251,'Writing Logic'!$A$3:$B$7,2,FALSE))))),"Fill All 4")</f>
        <v>Fill All 4</v>
      </c>
      <c r="AO251" s="96" t="str">
        <f t="shared" si="18"/>
        <v/>
      </c>
      <c r="AP251" s="120"/>
      <c r="AQ251" s="120"/>
      <c r="AR251" s="120"/>
      <c r="AS251" s="120"/>
      <c r="AT251" s="95" t="str">
        <f>IFERROR(IF(YES_Writing_ELA[[#This Row],[Literacy IPP]]='Writing Logic'!$E$26,"IPP",IF(OR(AP251="EAL",AQ251="EAL",AR251="EAL",AS251="EAL"),"EAL",IF(AP251='Writing Logic'!$A$10,AVERAGE(VLOOKUP(AQ251,'Writing Logic'!$A$3:$B$7,2,FALSE),VLOOKUP(AR251,'Writing Logic'!$A$3:$B$7,2,FALSE),VLOOKUP(AS251,'Writing Logic'!$A$3:$B$7,2,FALSE)),AVERAGE(VLOOKUP(AP251,'Writing Logic'!$A$3:$B$7,2,FALSE),VLOOKUP(AQ251,'Writing Logic'!$A$3:$B$7,2,FALSE),VLOOKUP(AR251,'Writing Logic'!$A$3:$B$7,2,FALSE),VLOOKUP(AS251,'Writing Logic'!$A$3:$B$7,2,FALSE))))),"Fill All 4")</f>
        <v>Fill All 4</v>
      </c>
      <c r="AU251" s="96" t="str">
        <f t="shared" si="19"/>
        <v/>
      </c>
    </row>
    <row r="252" spans="1:47" x14ac:dyDescent="0.25">
      <c r="A252" s="13"/>
      <c r="B252" s="13"/>
      <c r="C252" s="13"/>
      <c r="D252" s="13"/>
      <c r="E252" s="13"/>
      <c r="F252" s="13"/>
      <c r="G252" s="13"/>
      <c r="H252" s="13"/>
      <c r="I252" s="13"/>
      <c r="J252" s="13"/>
      <c r="K252" s="183"/>
      <c r="L252" s="184"/>
      <c r="M252" s="183"/>
      <c r="N252" s="183"/>
      <c r="O252" s="183"/>
      <c r="P252" s="183"/>
      <c r="Q252" s="96" t="str">
        <f>IFERROR(IF(YES_Writing_ELA[[#This Row],[Literacy IPP]]='Writing Logic'!$E$26,"IPP",IF(OR(M252="EAL",N252="EAL",O252="EAL",P252="EAL"),"EAL",IF(M252='Writing Logic'!$A$10,AVERAGE(VLOOKUP(N252,'Writing Logic'!$A$3:$B$7,2,FALSE),VLOOKUP(O252,'Writing Logic'!$A$3:$B$7,2,FALSE),VLOOKUP(P252,'Writing Logic'!$A$3:$B$7,2,FALSE)),AVERAGE(VLOOKUP(M252,'Writing Logic'!$A$3:$B$7,2,FALSE),VLOOKUP(N252,'Writing Logic'!$A$3:$B$7,2,FALSE),VLOOKUP(O252,'Writing Logic'!$A$3:$B$7,2,FALSE),VLOOKUP(P252,'Writing Logic'!$A$3:$B$7,2,FALSE))))),"Fill All 4")</f>
        <v>Fill All 4</v>
      </c>
      <c r="R252" s="120"/>
      <c r="S252" s="120"/>
      <c r="T252" s="120"/>
      <c r="U252" s="120"/>
      <c r="V252" s="95" t="str">
        <f>IFERROR(IF(YES_Writing_ELA[[#This Row],[Literacy IPP]]='Writing Logic'!$E$26,"IPP",IF(OR(R252="EAL",S252="EAL",T252="EAL",U252="EAL"),"EAL",IF(R252='Writing Logic'!$A$10,AVERAGE(VLOOKUP(S252,'Writing Logic'!$A$3:$B$7,2,FALSE),VLOOKUP(T252,'Writing Logic'!$A$3:$B$7,2,FALSE),VLOOKUP(U252,'Writing Logic'!$A$3:$B$7,2,FALSE)),AVERAGE(VLOOKUP(R252,'Writing Logic'!$A$3:$B$7,2,FALSE),VLOOKUP(S252,'Writing Logic'!$A$3:$B$7,2,FALSE),VLOOKUP(T252,'Writing Logic'!$A$3:$B$7,2,FALSE),VLOOKUP(U252,'Writing Logic'!$A$3:$B$7,2,FALSE))))),"Fill All 4")</f>
        <v>Fill All 4</v>
      </c>
      <c r="W252" s="96" t="str">
        <f t="shared" si="15"/>
        <v/>
      </c>
      <c r="X252" s="120"/>
      <c r="Y252" s="120"/>
      <c r="Z252" s="120"/>
      <c r="AA252" s="120"/>
      <c r="AB252" s="95" t="str">
        <f>IFERROR(IF(YES_Writing_ELA[[#This Row],[Literacy IPP]]='Writing Logic'!$E$26,"IPP",IF(OR(X252="EAL",Y252="EAL",Z252="EAL",AA252="EAL"),"EAL",IF(X252='Writing Logic'!$A$10,AVERAGE(VLOOKUP(Y252,'Writing Logic'!$A$3:$B$7,2,FALSE),VLOOKUP(Z252,'Writing Logic'!$A$3:$B$7,2,FALSE),VLOOKUP(AA252,'Writing Logic'!$A$3:$B$7,2,FALSE)),AVERAGE(VLOOKUP(X252,'Writing Logic'!$A$3:$B$7,2,FALSE),VLOOKUP(Y252,'Writing Logic'!$A$3:$B$7,2,FALSE),VLOOKUP(Z252,'Writing Logic'!$A$3:$B$7,2,FALSE),VLOOKUP(AA252,'Writing Logic'!$A$3:$B$7,2,FALSE))))),"Fill All 4")</f>
        <v>Fill All 4</v>
      </c>
      <c r="AC252" s="96" t="str">
        <f t="shared" si="16"/>
        <v/>
      </c>
      <c r="AD252" s="120"/>
      <c r="AE252" s="120"/>
      <c r="AF252" s="120"/>
      <c r="AG252" s="120"/>
      <c r="AH252" s="95" t="str">
        <f>IFERROR(IF(YES_Writing_ELA[[#This Row],[Literacy IPP]]='Writing Logic'!$E$26,"IPP",IF(OR(AD252="EAL",AE252="EAL",AF252="EAL",AG252="EAL"),"EAL",IF(AD252='Writing Logic'!$A$10,AVERAGE(VLOOKUP(AE252,'Writing Logic'!$A$3:$B$7,2,FALSE),VLOOKUP(AF252,'Writing Logic'!$A$3:$B$7,2,FALSE),VLOOKUP(AG252,'Writing Logic'!$A$3:$B$7,2,FALSE)),AVERAGE(VLOOKUP(AD252,'Writing Logic'!$A$3:$B$7,2,FALSE),VLOOKUP(AE252,'Writing Logic'!$A$3:$B$7,2,FALSE),VLOOKUP(AF252,'Writing Logic'!$A$3:$B$7,2,FALSE),VLOOKUP(AG252,'Writing Logic'!$A$3:$B$7,2,FALSE))))),"Fill All 4")</f>
        <v>Fill All 4</v>
      </c>
      <c r="AI252" s="96" t="str">
        <f t="shared" si="17"/>
        <v/>
      </c>
      <c r="AJ252" s="183"/>
      <c r="AK252" s="120"/>
      <c r="AL252" s="120"/>
      <c r="AM252" s="120"/>
      <c r="AN252" s="95" t="str">
        <f>IFERROR(IF(YES_Writing_ELA[[#This Row],[Literacy IPP]]='Writing Logic'!$E$26,"IPP",IF(OR(AJ252="EAL",AK252="EAL",AL252="EAL",AM252="EAL"),"EAL",IF(AJ252='Writing Logic'!$A$10,AVERAGE(VLOOKUP(AK252,'Writing Logic'!$A$3:$B$7,2,FALSE),VLOOKUP(AL252,'Writing Logic'!$A$3:$B$7,2,FALSE),VLOOKUP(AM252,'Writing Logic'!$A$3:$B$7,2,FALSE)),AVERAGE(VLOOKUP(AJ252,'Writing Logic'!$A$3:$B$7,2,FALSE),VLOOKUP(AK252,'Writing Logic'!$A$3:$B$7,2,FALSE),VLOOKUP(AL252,'Writing Logic'!$A$3:$B$7,2,FALSE),VLOOKUP(AM252,'Writing Logic'!$A$3:$B$7,2,FALSE))))),"Fill All 4")</f>
        <v>Fill All 4</v>
      </c>
      <c r="AO252" s="96" t="str">
        <f t="shared" si="18"/>
        <v/>
      </c>
      <c r="AP252" s="120"/>
      <c r="AQ252" s="120"/>
      <c r="AR252" s="120"/>
      <c r="AS252" s="120"/>
      <c r="AT252" s="95" t="str">
        <f>IFERROR(IF(YES_Writing_ELA[[#This Row],[Literacy IPP]]='Writing Logic'!$E$26,"IPP",IF(OR(AP252="EAL",AQ252="EAL",AR252="EAL",AS252="EAL"),"EAL",IF(AP252='Writing Logic'!$A$10,AVERAGE(VLOOKUP(AQ252,'Writing Logic'!$A$3:$B$7,2,FALSE),VLOOKUP(AR252,'Writing Logic'!$A$3:$B$7,2,FALSE),VLOOKUP(AS252,'Writing Logic'!$A$3:$B$7,2,FALSE)),AVERAGE(VLOOKUP(AP252,'Writing Logic'!$A$3:$B$7,2,FALSE),VLOOKUP(AQ252,'Writing Logic'!$A$3:$B$7,2,FALSE),VLOOKUP(AR252,'Writing Logic'!$A$3:$B$7,2,FALSE),VLOOKUP(AS252,'Writing Logic'!$A$3:$B$7,2,FALSE))))),"Fill All 4")</f>
        <v>Fill All 4</v>
      </c>
      <c r="AU252" s="96" t="str">
        <f t="shared" si="19"/>
        <v/>
      </c>
    </row>
    <row r="253" spans="1:47" x14ac:dyDescent="0.25">
      <c r="A253" s="13"/>
      <c r="B253" s="13"/>
      <c r="C253" s="13"/>
      <c r="D253" s="13"/>
      <c r="E253" s="13"/>
      <c r="F253" s="13"/>
      <c r="G253" s="13"/>
      <c r="H253" s="13"/>
      <c r="I253" s="13"/>
      <c r="J253" s="13"/>
      <c r="K253" s="183"/>
      <c r="L253" s="184"/>
      <c r="M253" s="183"/>
      <c r="N253" s="183"/>
      <c r="O253" s="183"/>
      <c r="P253" s="183"/>
      <c r="Q253" s="96" t="str">
        <f>IFERROR(IF(YES_Writing_ELA[[#This Row],[Literacy IPP]]='Writing Logic'!$E$26,"IPP",IF(OR(M253="EAL",N253="EAL",O253="EAL",P253="EAL"),"EAL",IF(M253='Writing Logic'!$A$10,AVERAGE(VLOOKUP(N253,'Writing Logic'!$A$3:$B$7,2,FALSE),VLOOKUP(O253,'Writing Logic'!$A$3:$B$7,2,FALSE),VLOOKUP(P253,'Writing Logic'!$A$3:$B$7,2,FALSE)),AVERAGE(VLOOKUP(M253,'Writing Logic'!$A$3:$B$7,2,FALSE),VLOOKUP(N253,'Writing Logic'!$A$3:$B$7,2,FALSE),VLOOKUP(O253,'Writing Logic'!$A$3:$B$7,2,FALSE),VLOOKUP(P253,'Writing Logic'!$A$3:$B$7,2,FALSE))))),"Fill All 4")</f>
        <v>Fill All 4</v>
      </c>
      <c r="R253" s="120"/>
      <c r="S253" s="120"/>
      <c r="T253" s="120"/>
      <c r="U253" s="120"/>
      <c r="V253" s="95" t="str">
        <f>IFERROR(IF(YES_Writing_ELA[[#This Row],[Literacy IPP]]='Writing Logic'!$E$26,"IPP",IF(OR(R253="EAL",S253="EAL",T253="EAL",U253="EAL"),"EAL",IF(R253='Writing Logic'!$A$10,AVERAGE(VLOOKUP(S253,'Writing Logic'!$A$3:$B$7,2,FALSE),VLOOKUP(T253,'Writing Logic'!$A$3:$B$7,2,FALSE),VLOOKUP(U253,'Writing Logic'!$A$3:$B$7,2,FALSE)),AVERAGE(VLOOKUP(R253,'Writing Logic'!$A$3:$B$7,2,FALSE),VLOOKUP(S253,'Writing Logic'!$A$3:$B$7,2,FALSE),VLOOKUP(T253,'Writing Logic'!$A$3:$B$7,2,FALSE),VLOOKUP(U253,'Writing Logic'!$A$3:$B$7,2,FALSE))))),"Fill All 4")</f>
        <v>Fill All 4</v>
      </c>
      <c r="W253" s="96" t="str">
        <f t="shared" si="15"/>
        <v/>
      </c>
      <c r="X253" s="120"/>
      <c r="Y253" s="120"/>
      <c r="Z253" s="120"/>
      <c r="AA253" s="120"/>
      <c r="AB253" s="95" t="str">
        <f>IFERROR(IF(YES_Writing_ELA[[#This Row],[Literacy IPP]]='Writing Logic'!$E$26,"IPP",IF(OR(X253="EAL",Y253="EAL",Z253="EAL",AA253="EAL"),"EAL",IF(X253='Writing Logic'!$A$10,AVERAGE(VLOOKUP(Y253,'Writing Logic'!$A$3:$B$7,2,FALSE),VLOOKUP(Z253,'Writing Logic'!$A$3:$B$7,2,FALSE),VLOOKUP(AA253,'Writing Logic'!$A$3:$B$7,2,FALSE)),AVERAGE(VLOOKUP(X253,'Writing Logic'!$A$3:$B$7,2,FALSE),VLOOKUP(Y253,'Writing Logic'!$A$3:$B$7,2,FALSE),VLOOKUP(Z253,'Writing Logic'!$A$3:$B$7,2,FALSE),VLOOKUP(AA253,'Writing Logic'!$A$3:$B$7,2,FALSE))))),"Fill All 4")</f>
        <v>Fill All 4</v>
      </c>
      <c r="AC253" s="96" t="str">
        <f t="shared" si="16"/>
        <v/>
      </c>
      <c r="AD253" s="120"/>
      <c r="AE253" s="120"/>
      <c r="AF253" s="120"/>
      <c r="AG253" s="120"/>
      <c r="AH253" s="95" t="str">
        <f>IFERROR(IF(YES_Writing_ELA[[#This Row],[Literacy IPP]]='Writing Logic'!$E$26,"IPP",IF(OR(AD253="EAL",AE253="EAL",AF253="EAL",AG253="EAL"),"EAL",IF(AD253='Writing Logic'!$A$10,AVERAGE(VLOOKUP(AE253,'Writing Logic'!$A$3:$B$7,2,FALSE),VLOOKUP(AF253,'Writing Logic'!$A$3:$B$7,2,FALSE),VLOOKUP(AG253,'Writing Logic'!$A$3:$B$7,2,FALSE)),AVERAGE(VLOOKUP(AD253,'Writing Logic'!$A$3:$B$7,2,FALSE),VLOOKUP(AE253,'Writing Logic'!$A$3:$B$7,2,FALSE),VLOOKUP(AF253,'Writing Logic'!$A$3:$B$7,2,FALSE),VLOOKUP(AG253,'Writing Logic'!$A$3:$B$7,2,FALSE))))),"Fill All 4")</f>
        <v>Fill All 4</v>
      </c>
      <c r="AI253" s="96" t="str">
        <f t="shared" si="17"/>
        <v/>
      </c>
      <c r="AJ253" s="183"/>
      <c r="AK253" s="120"/>
      <c r="AL253" s="120"/>
      <c r="AM253" s="120"/>
      <c r="AN253" s="95" t="str">
        <f>IFERROR(IF(YES_Writing_ELA[[#This Row],[Literacy IPP]]='Writing Logic'!$E$26,"IPP",IF(OR(AJ253="EAL",AK253="EAL",AL253="EAL",AM253="EAL"),"EAL",IF(AJ253='Writing Logic'!$A$10,AVERAGE(VLOOKUP(AK253,'Writing Logic'!$A$3:$B$7,2,FALSE),VLOOKUP(AL253,'Writing Logic'!$A$3:$B$7,2,FALSE),VLOOKUP(AM253,'Writing Logic'!$A$3:$B$7,2,FALSE)),AVERAGE(VLOOKUP(AJ253,'Writing Logic'!$A$3:$B$7,2,FALSE),VLOOKUP(AK253,'Writing Logic'!$A$3:$B$7,2,FALSE),VLOOKUP(AL253,'Writing Logic'!$A$3:$B$7,2,FALSE),VLOOKUP(AM253,'Writing Logic'!$A$3:$B$7,2,FALSE))))),"Fill All 4")</f>
        <v>Fill All 4</v>
      </c>
      <c r="AO253" s="96" t="str">
        <f t="shared" si="18"/>
        <v/>
      </c>
      <c r="AP253" s="120"/>
      <c r="AQ253" s="120"/>
      <c r="AR253" s="120"/>
      <c r="AS253" s="120"/>
      <c r="AT253" s="95" t="str">
        <f>IFERROR(IF(YES_Writing_ELA[[#This Row],[Literacy IPP]]='Writing Logic'!$E$26,"IPP",IF(OR(AP253="EAL",AQ253="EAL",AR253="EAL",AS253="EAL"),"EAL",IF(AP253='Writing Logic'!$A$10,AVERAGE(VLOOKUP(AQ253,'Writing Logic'!$A$3:$B$7,2,FALSE),VLOOKUP(AR253,'Writing Logic'!$A$3:$B$7,2,FALSE),VLOOKUP(AS253,'Writing Logic'!$A$3:$B$7,2,FALSE)),AVERAGE(VLOOKUP(AP253,'Writing Logic'!$A$3:$B$7,2,FALSE),VLOOKUP(AQ253,'Writing Logic'!$A$3:$B$7,2,FALSE),VLOOKUP(AR253,'Writing Logic'!$A$3:$B$7,2,FALSE),VLOOKUP(AS253,'Writing Logic'!$A$3:$B$7,2,FALSE))))),"Fill All 4")</f>
        <v>Fill All 4</v>
      </c>
      <c r="AU253" s="96" t="str">
        <f t="shared" si="19"/>
        <v/>
      </c>
    </row>
    <row r="254" spans="1:47" x14ac:dyDescent="0.25">
      <c r="A254" s="13"/>
      <c r="B254" s="13"/>
      <c r="C254" s="13"/>
      <c r="D254" s="13"/>
      <c r="E254" s="13"/>
      <c r="F254" s="13"/>
      <c r="G254" s="13"/>
      <c r="H254" s="13"/>
      <c r="I254" s="13"/>
      <c r="J254" s="13"/>
      <c r="K254" s="183"/>
      <c r="L254" s="184"/>
      <c r="M254" s="183"/>
      <c r="N254" s="183"/>
      <c r="O254" s="183"/>
      <c r="P254" s="183"/>
      <c r="Q254" s="96" t="str">
        <f>IFERROR(IF(YES_Writing_ELA[[#This Row],[Literacy IPP]]='Writing Logic'!$E$26,"IPP",IF(OR(M254="EAL",N254="EAL",O254="EAL",P254="EAL"),"EAL",IF(M254='Writing Logic'!$A$10,AVERAGE(VLOOKUP(N254,'Writing Logic'!$A$3:$B$7,2,FALSE),VLOOKUP(O254,'Writing Logic'!$A$3:$B$7,2,FALSE),VLOOKUP(P254,'Writing Logic'!$A$3:$B$7,2,FALSE)),AVERAGE(VLOOKUP(M254,'Writing Logic'!$A$3:$B$7,2,FALSE),VLOOKUP(N254,'Writing Logic'!$A$3:$B$7,2,FALSE),VLOOKUP(O254,'Writing Logic'!$A$3:$B$7,2,FALSE),VLOOKUP(P254,'Writing Logic'!$A$3:$B$7,2,FALSE))))),"Fill All 4")</f>
        <v>Fill All 4</v>
      </c>
      <c r="R254" s="120"/>
      <c r="S254" s="120"/>
      <c r="T254" s="120"/>
      <c r="U254" s="120"/>
      <c r="V254" s="95" t="str">
        <f>IFERROR(IF(YES_Writing_ELA[[#This Row],[Literacy IPP]]='Writing Logic'!$E$26,"IPP",IF(OR(R254="EAL",S254="EAL",T254="EAL",U254="EAL"),"EAL",IF(R254='Writing Logic'!$A$10,AVERAGE(VLOOKUP(S254,'Writing Logic'!$A$3:$B$7,2,FALSE),VLOOKUP(T254,'Writing Logic'!$A$3:$B$7,2,FALSE),VLOOKUP(U254,'Writing Logic'!$A$3:$B$7,2,FALSE)),AVERAGE(VLOOKUP(R254,'Writing Logic'!$A$3:$B$7,2,FALSE),VLOOKUP(S254,'Writing Logic'!$A$3:$B$7,2,FALSE),VLOOKUP(T254,'Writing Logic'!$A$3:$B$7,2,FALSE),VLOOKUP(U254,'Writing Logic'!$A$3:$B$7,2,FALSE))))),"Fill All 4")</f>
        <v>Fill All 4</v>
      </c>
      <c r="W254" s="96" t="str">
        <f t="shared" si="15"/>
        <v/>
      </c>
      <c r="X254" s="120"/>
      <c r="Y254" s="120"/>
      <c r="Z254" s="120"/>
      <c r="AA254" s="120"/>
      <c r="AB254" s="95" t="str">
        <f>IFERROR(IF(YES_Writing_ELA[[#This Row],[Literacy IPP]]='Writing Logic'!$E$26,"IPP",IF(OR(X254="EAL",Y254="EAL",Z254="EAL",AA254="EAL"),"EAL",IF(X254='Writing Logic'!$A$10,AVERAGE(VLOOKUP(Y254,'Writing Logic'!$A$3:$B$7,2,FALSE),VLOOKUP(Z254,'Writing Logic'!$A$3:$B$7,2,FALSE),VLOOKUP(AA254,'Writing Logic'!$A$3:$B$7,2,FALSE)),AVERAGE(VLOOKUP(X254,'Writing Logic'!$A$3:$B$7,2,FALSE),VLOOKUP(Y254,'Writing Logic'!$A$3:$B$7,2,FALSE),VLOOKUP(Z254,'Writing Logic'!$A$3:$B$7,2,FALSE),VLOOKUP(AA254,'Writing Logic'!$A$3:$B$7,2,FALSE))))),"Fill All 4")</f>
        <v>Fill All 4</v>
      </c>
      <c r="AC254" s="96" t="str">
        <f t="shared" si="16"/>
        <v/>
      </c>
      <c r="AD254" s="120"/>
      <c r="AE254" s="120"/>
      <c r="AF254" s="120"/>
      <c r="AG254" s="120"/>
      <c r="AH254" s="95" t="str">
        <f>IFERROR(IF(YES_Writing_ELA[[#This Row],[Literacy IPP]]='Writing Logic'!$E$26,"IPP",IF(OR(AD254="EAL",AE254="EAL",AF254="EAL",AG254="EAL"),"EAL",IF(AD254='Writing Logic'!$A$10,AVERAGE(VLOOKUP(AE254,'Writing Logic'!$A$3:$B$7,2,FALSE),VLOOKUP(AF254,'Writing Logic'!$A$3:$B$7,2,FALSE),VLOOKUP(AG254,'Writing Logic'!$A$3:$B$7,2,FALSE)),AVERAGE(VLOOKUP(AD254,'Writing Logic'!$A$3:$B$7,2,FALSE),VLOOKUP(AE254,'Writing Logic'!$A$3:$B$7,2,FALSE),VLOOKUP(AF254,'Writing Logic'!$A$3:$B$7,2,FALSE),VLOOKUP(AG254,'Writing Logic'!$A$3:$B$7,2,FALSE))))),"Fill All 4")</f>
        <v>Fill All 4</v>
      </c>
      <c r="AI254" s="96" t="str">
        <f t="shared" si="17"/>
        <v/>
      </c>
      <c r="AJ254" s="183"/>
      <c r="AK254" s="120"/>
      <c r="AL254" s="120"/>
      <c r="AM254" s="120"/>
      <c r="AN254" s="95" t="str">
        <f>IFERROR(IF(YES_Writing_ELA[[#This Row],[Literacy IPP]]='Writing Logic'!$E$26,"IPP",IF(OR(AJ254="EAL",AK254="EAL",AL254="EAL",AM254="EAL"),"EAL",IF(AJ254='Writing Logic'!$A$10,AVERAGE(VLOOKUP(AK254,'Writing Logic'!$A$3:$B$7,2,FALSE),VLOOKUP(AL254,'Writing Logic'!$A$3:$B$7,2,FALSE),VLOOKUP(AM254,'Writing Logic'!$A$3:$B$7,2,FALSE)),AVERAGE(VLOOKUP(AJ254,'Writing Logic'!$A$3:$B$7,2,FALSE),VLOOKUP(AK254,'Writing Logic'!$A$3:$B$7,2,FALSE),VLOOKUP(AL254,'Writing Logic'!$A$3:$B$7,2,FALSE),VLOOKUP(AM254,'Writing Logic'!$A$3:$B$7,2,FALSE))))),"Fill All 4")</f>
        <v>Fill All 4</v>
      </c>
      <c r="AO254" s="96" t="str">
        <f t="shared" si="18"/>
        <v/>
      </c>
      <c r="AP254" s="120"/>
      <c r="AQ254" s="120"/>
      <c r="AR254" s="120"/>
      <c r="AS254" s="120"/>
      <c r="AT254" s="95" t="str">
        <f>IFERROR(IF(YES_Writing_ELA[[#This Row],[Literacy IPP]]='Writing Logic'!$E$26,"IPP",IF(OR(AP254="EAL",AQ254="EAL",AR254="EAL",AS254="EAL"),"EAL",IF(AP254='Writing Logic'!$A$10,AVERAGE(VLOOKUP(AQ254,'Writing Logic'!$A$3:$B$7,2,FALSE),VLOOKUP(AR254,'Writing Logic'!$A$3:$B$7,2,FALSE),VLOOKUP(AS254,'Writing Logic'!$A$3:$B$7,2,FALSE)),AVERAGE(VLOOKUP(AP254,'Writing Logic'!$A$3:$B$7,2,FALSE),VLOOKUP(AQ254,'Writing Logic'!$A$3:$B$7,2,FALSE),VLOOKUP(AR254,'Writing Logic'!$A$3:$B$7,2,FALSE),VLOOKUP(AS254,'Writing Logic'!$A$3:$B$7,2,FALSE))))),"Fill All 4")</f>
        <v>Fill All 4</v>
      </c>
      <c r="AU254" s="96" t="str">
        <f t="shared" si="19"/>
        <v/>
      </c>
    </row>
    <row r="255" spans="1:47" x14ac:dyDescent="0.25">
      <c r="A255" s="13"/>
      <c r="B255" s="13"/>
      <c r="C255" s="13"/>
      <c r="D255" s="13"/>
      <c r="E255" s="13"/>
      <c r="F255" s="13"/>
      <c r="G255" s="13"/>
      <c r="H255" s="13"/>
      <c r="I255" s="13"/>
      <c r="J255" s="13"/>
      <c r="K255" s="183"/>
      <c r="L255" s="184"/>
      <c r="M255" s="183"/>
      <c r="N255" s="183"/>
      <c r="O255" s="183"/>
      <c r="P255" s="183"/>
      <c r="Q255" s="96" t="str">
        <f>IFERROR(IF(YES_Writing_ELA[[#This Row],[Literacy IPP]]='Writing Logic'!$E$26,"IPP",IF(OR(M255="EAL",N255="EAL",O255="EAL",P255="EAL"),"EAL",IF(M255='Writing Logic'!$A$10,AVERAGE(VLOOKUP(N255,'Writing Logic'!$A$3:$B$7,2,FALSE),VLOOKUP(O255,'Writing Logic'!$A$3:$B$7,2,FALSE),VLOOKUP(P255,'Writing Logic'!$A$3:$B$7,2,FALSE)),AVERAGE(VLOOKUP(M255,'Writing Logic'!$A$3:$B$7,2,FALSE),VLOOKUP(N255,'Writing Logic'!$A$3:$B$7,2,FALSE),VLOOKUP(O255,'Writing Logic'!$A$3:$B$7,2,FALSE),VLOOKUP(P255,'Writing Logic'!$A$3:$B$7,2,FALSE))))),"Fill All 4")</f>
        <v>Fill All 4</v>
      </c>
      <c r="R255" s="120"/>
      <c r="S255" s="120"/>
      <c r="T255" s="120"/>
      <c r="U255" s="120"/>
      <c r="V255" s="95" t="str">
        <f>IFERROR(IF(YES_Writing_ELA[[#This Row],[Literacy IPP]]='Writing Logic'!$E$26,"IPP",IF(OR(R255="EAL",S255="EAL",T255="EAL",U255="EAL"),"EAL",IF(R255='Writing Logic'!$A$10,AVERAGE(VLOOKUP(S255,'Writing Logic'!$A$3:$B$7,2,FALSE),VLOOKUP(T255,'Writing Logic'!$A$3:$B$7,2,FALSE),VLOOKUP(U255,'Writing Logic'!$A$3:$B$7,2,FALSE)),AVERAGE(VLOOKUP(R255,'Writing Logic'!$A$3:$B$7,2,FALSE),VLOOKUP(S255,'Writing Logic'!$A$3:$B$7,2,FALSE),VLOOKUP(T255,'Writing Logic'!$A$3:$B$7,2,FALSE),VLOOKUP(U255,'Writing Logic'!$A$3:$B$7,2,FALSE))))),"Fill All 4")</f>
        <v>Fill All 4</v>
      </c>
      <c r="W255" s="96" t="str">
        <f t="shared" si="15"/>
        <v/>
      </c>
      <c r="X255" s="120"/>
      <c r="Y255" s="120"/>
      <c r="Z255" s="120"/>
      <c r="AA255" s="120"/>
      <c r="AB255" s="95" t="str">
        <f>IFERROR(IF(YES_Writing_ELA[[#This Row],[Literacy IPP]]='Writing Logic'!$E$26,"IPP",IF(OR(X255="EAL",Y255="EAL",Z255="EAL",AA255="EAL"),"EAL",IF(X255='Writing Logic'!$A$10,AVERAGE(VLOOKUP(Y255,'Writing Logic'!$A$3:$B$7,2,FALSE),VLOOKUP(Z255,'Writing Logic'!$A$3:$B$7,2,FALSE),VLOOKUP(AA255,'Writing Logic'!$A$3:$B$7,2,FALSE)),AVERAGE(VLOOKUP(X255,'Writing Logic'!$A$3:$B$7,2,FALSE),VLOOKUP(Y255,'Writing Logic'!$A$3:$B$7,2,FALSE),VLOOKUP(Z255,'Writing Logic'!$A$3:$B$7,2,FALSE),VLOOKUP(AA255,'Writing Logic'!$A$3:$B$7,2,FALSE))))),"Fill All 4")</f>
        <v>Fill All 4</v>
      </c>
      <c r="AC255" s="96" t="str">
        <f t="shared" si="16"/>
        <v/>
      </c>
      <c r="AD255" s="120"/>
      <c r="AE255" s="120"/>
      <c r="AF255" s="120"/>
      <c r="AG255" s="120"/>
      <c r="AH255" s="95" t="str">
        <f>IFERROR(IF(YES_Writing_ELA[[#This Row],[Literacy IPP]]='Writing Logic'!$E$26,"IPP",IF(OR(AD255="EAL",AE255="EAL",AF255="EAL",AG255="EAL"),"EAL",IF(AD255='Writing Logic'!$A$10,AVERAGE(VLOOKUP(AE255,'Writing Logic'!$A$3:$B$7,2,FALSE),VLOOKUP(AF255,'Writing Logic'!$A$3:$B$7,2,FALSE),VLOOKUP(AG255,'Writing Logic'!$A$3:$B$7,2,FALSE)),AVERAGE(VLOOKUP(AD255,'Writing Logic'!$A$3:$B$7,2,FALSE),VLOOKUP(AE255,'Writing Logic'!$A$3:$B$7,2,FALSE),VLOOKUP(AF255,'Writing Logic'!$A$3:$B$7,2,FALSE),VLOOKUP(AG255,'Writing Logic'!$A$3:$B$7,2,FALSE))))),"Fill All 4")</f>
        <v>Fill All 4</v>
      </c>
      <c r="AI255" s="96" t="str">
        <f t="shared" si="17"/>
        <v/>
      </c>
      <c r="AJ255" s="183"/>
      <c r="AK255" s="120"/>
      <c r="AL255" s="120"/>
      <c r="AM255" s="120"/>
      <c r="AN255" s="95" t="str">
        <f>IFERROR(IF(YES_Writing_ELA[[#This Row],[Literacy IPP]]='Writing Logic'!$E$26,"IPP",IF(OR(AJ255="EAL",AK255="EAL",AL255="EAL",AM255="EAL"),"EAL",IF(AJ255='Writing Logic'!$A$10,AVERAGE(VLOOKUP(AK255,'Writing Logic'!$A$3:$B$7,2,FALSE),VLOOKUP(AL255,'Writing Logic'!$A$3:$B$7,2,FALSE),VLOOKUP(AM255,'Writing Logic'!$A$3:$B$7,2,FALSE)),AVERAGE(VLOOKUP(AJ255,'Writing Logic'!$A$3:$B$7,2,FALSE),VLOOKUP(AK255,'Writing Logic'!$A$3:$B$7,2,FALSE),VLOOKUP(AL255,'Writing Logic'!$A$3:$B$7,2,FALSE),VLOOKUP(AM255,'Writing Logic'!$A$3:$B$7,2,FALSE))))),"Fill All 4")</f>
        <v>Fill All 4</v>
      </c>
      <c r="AO255" s="96" t="str">
        <f t="shared" si="18"/>
        <v/>
      </c>
      <c r="AP255" s="120"/>
      <c r="AQ255" s="120"/>
      <c r="AR255" s="120"/>
      <c r="AS255" s="120"/>
      <c r="AT255" s="95" t="str">
        <f>IFERROR(IF(YES_Writing_ELA[[#This Row],[Literacy IPP]]='Writing Logic'!$E$26,"IPP",IF(OR(AP255="EAL",AQ255="EAL",AR255="EAL",AS255="EAL"),"EAL",IF(AP255='Writing Logic'!$A$10,AVERAGE(VLOOKUP(AQ255,'Writing Logic'!$A$3:$B$7,2,FALSE),VLOOKUP(AR255,'Writing Logic'!$A$3:$B$7,2,FALSE),VLOOKUP(AS255,'Writing Logic'!$A$3:$B$7,2,FALSE)),AVERAGE(VLOOKUP(AP255,'Writing Logic'!$A$3:$B$7,2,FALSE),VLOOKUP(AQ255,'Writing Logic'!$A$3:$B$7,2,FALSE),VLOOKUP(AR255,'Writing Logic'!$A$3:$B$7,2,FALSE),VLOOKUP(AS255,'Writing Logic'!$A$3:$B$7,2,FALSE))))),"Fill All 4")</f>
        <v>Fill All 4</v>
      </c>
      <c r="AU255" s="96" t="str">
        <f t="shared" si="19"/>
        <v/>
      </c>
    </row>
    <row r="256" spans="1:47" x14ac:dyDescent="0.25">
      <c r="A256" s="13"/>
      <c r="B256" s="13"/>
      <c r="C256" s="13"/>
      <c r="D256" s="13"/>
      <c r="E256" s="13"/>
      <c r="F256" s="13"/>
      <c r="G256" s="13"/>
      <c r="H256" s="13"/>
      <c r="I256" s="13"/>
      <c r="J256" s="13"/>
      <c r="K256" s="183"/>
      <c r="L256" s="184"/>
      <c r="M256" s="183"/>
      <c r="N256" s="183"/>
      <c r="O256" s="183"/>
      <c r="P256" s="183"/>
      <c r="Q256" s="96" t="str">
        <f>IFERROR(IF(YES_Writing_ELA[[#This Row],[Literacy IPP]]='Writing Logic'!$E$26,"IPP",IF(OR(M256="EAL",N256="EAL",O256="EAL",P256="EAL"),"EAL",IF(M256='Writing Logic'!$A$10,AVERAGE(VLOOKUP(N256,'Writing Logic'!$A$3:$B$7,2,FALSE),VLOOKUP(O256,'Writing Logic'!$A$3:$B$7,2,FALSE),VLOOKUP(P256,'Writing Logic'!$A$3:$B$7,2,FALSE)),AVERAGE(VLOOKUP(M256,'Writing Logic'!$A$3:$B$7,2,FALSE),VLOOKUP(N256,'Writing Logic'!$A$3:$B$7,2,FALSE),VLOOKUP(O256,'Writing Logic'!$A$3:$B$7,2,FALSE),VLOOKUP(P256,'Writing Logic'!$A$3:$B$7,2,FALSE))))),"Fill All 4")</f>
        <v>Fill All 4</v>
      </c>
      <c r="R256" s="120"/>
      <c r="S256" s="120"/>
      <c r="T256" s="120"/>
      <c r="U256" s="120"/>
      <c r="V256" s="95" t="str">
        <f>IFERROR(IF(YES_Writing_ELA[[#This Row],[Literacy IPP]]='Writing Logic'!$E$26,"IPP",IF(OR(R256="EAL",S256="EAL",T256="EAL",U256="EAL"),"EAL",IF(R256='Writing Logic'!$A$10,AVERAGE(VLOOKUP(S256,'Writing Logic'!$A$3:$B$7,2,FALSE),VLOOKUP(T256,'Writing Logic'!$A$3:$B$7,2,FALSE),VLOOKUP(U256,'Writing Logic'!$A$3:$B$7,2,FALSE)),AVERAGE(VLOOKUP(R256,'Writing Logic'!$A$3:$B$7,2,FALSE),VLOOKUP(S256,'Writing Logic'!$A$3:$B$7,2,FALSE),VLOOKUP(T256,'Writing Logic'!$A$3:$B$7,2,FALSE),VLOOKUP(U256,'Writing Logic'!$A$3:$B$7,2,FALSE))))),"Fill All 4")</f>
        <v>Fill All 4</v>
      </c>
      <c r="W256" s="96" t="str">
        <f t="shared" si="15"/>
        <v/>
      </c>
      <c r="X256" s="120"/>
      <c r="Y256" s="120"/>
      <c r="Z256" s="120"/>
      <c r="AA256" s="120"/>
      <c r="AB256" s="95" t="str">
        <f>IFERROR(IF(YES_Writing_ELA[[#This Row],[Literacy IPP]]='Writing Logic'!$E$26,"IPP",IF(OR(X256="EAL",Y256="EAL",Z256="EAL",AA256="EAL"),"EAL",IF(X256='Writing Logic'!$A$10,AVERAGE(VLOOKUP(Y256,'Writing Logic'!$A$3:$B$7,2,FALSE),VLOOKUP(Z256,'Writing Logic'!$A$3:$B$7,2,FALSE),VLOOKUP(AA256,'Writing Logic'!$A$3:$B$7,2,FALSE)),AVERAGE(VLOOKUP(X256,'Writing Logic'!$A$3:$B$7,2,FALSE),VLOOKUP(Y256,'Writing Logic'!$A$3:$B$7,2,FALSE),VLOOKUP(Z256,'Writing Logic'!$A$3:$B$7,2,FALSE),VLOOKUP(AA256,'Writing Logic'!$A$3:$B$7,2,FALSE))))),"Fill All 4")</f>
        <v>Fill All 4</v>
      </c>
      <c r="AC256" s="96" t="str">
        <f t="shared" si="16"/>
        <v/>
      </c>
      <c r="AD256" s="120"/>
      <c r="AE256" s="120"/>
      <c r="AF256" s="120"/>
      <c r="AG256" s="120"/>
      <c r="AH256" s="95" t="str">
        <f>IFERROR(IF(YES_Writing_ELA[[#This Row],[Literacy IPP]]='Writing Logic'!$E$26,"IPP",IF(OR(AD256="EAL",AE256="EAL",AF256="EAL",AG256="EAL"),"EAL",IF(AD256='Writing Logic'!$A$10,AVERAGE(VLOOKUP(AE256,'Writing Logic'!$A$3:$B$7,2,FALSE),VLOOKUP(AF256,'Writing Logic'!$A$3:$B$7,2,FALSE),VLOOKUP(AG256,'Writing Logic'!$A$3:$B$7,2,FALSE)),AVERAGE(VLOOKUP(AD256,'Writing Logic'!$A$3:$B$7,2,FALSE),VLOOKUP(AE256,'Writing Logic'!$A$3:$B$7,2,FALSE),VLOOKUP(AF256,'Writing Logic'!$A$3:$B$7,2,FALSE),VLOOKUP(AG256,'Writing Logic'!$A$3:$B$7,2,FALSE))))),"Fill All 4")</f>
        <v>Fill All 4</v>
      </c>
      <c r="AI256" s="96" t="str">
        <f t="shared" si="17"/>
        <v/>
      </c>
      <c r="AJ256" s="183"/>
      <c r="AK256" s="120"/>
      <c r="AL256" s="120"/>
      <c r="AM256" s="120"/>
      <c r="AN256" s="95" t="str">
        <f>IFERROR(IF(YES_Writing_ELA[[#This Row],[Literacy IPP]]='Writing Logic'!$E$26,"IPP",IF(OR(AJ256="EAL",AK256="EAL",AL256="EAL",AM256="EAL"),"EAL",IF(AJ256='Writing Logic'!$A$10,AVERAGE(VLOOKUP(AK256,'Writing Logic'!$A$3:$B$7,2,FALSE),VLOOKUP(AL256,'Writing Logic'!$A$3:$B$7,2,FALSE),VLOOKUP(AM256,'Writing Logic'!$A$3:$B$7,2,FALSE)),AVERAGE(VLOOKUP(AJ256,'Writing Logic'!$A$3:$B$7,2,FALSE),VLOOKUP(AK256,'Writing Logic'!$A$3:$B$7,2,FALSE),VLOOKUP(AL256,'Writing Logic'!$A$3:$B$7,2,FALSE),VLOOKUP(AM256,'Writing Logic'!$A$3:$B$7,2,FALSE))))),"Fill All 4")</f>
        <v>Fill All 4</v>
      </c>
      <c r="AO256" s="96" t="str">
        <f t="shared" si="18"/>
        <v/>
      </c>
      <c r="AP256" s="120"/>
      <c r="AQ256" s="120"/>
      <c r="AR256" s="120"/>
      <c r="AS256" s="120"/>
      <c r="AT256" s="95" t="str">
        <f>IFERROR(IF(YES_Writing_ELA[[#This Row],[Literacy IPP]]='Writing Logic'!$E$26,"IPP",IF(OR(AP256="EAL",AQ256="EAL",AR256="EAL",AS256="EAL"),"EAL",IF(AP256='Writing Logic'!$A$10,AVERAGE(VLOOKUP(AQ256,'Writing Logic'!$A$3:$B$7,2,FALSE),VLOOKUP(AR256,'Writing Logic'!$A$3:$B$7,2,FALSE),VLOOKUP(AS256,'Writing Logic'!$A$3:$B$7,2,FALSE)),AVERAGE(VLOOKUP(AP256,'Writing Logic'!$A$3:$B$7,2,FALSE),VLOOKUP(AQ256,'Writing Logic'!$A$3:$B$7,2,FALSE),VLOOKUP(AR256,'Writing Logic'!$A$3:$B$7,2,FALSE),VLOOKUP(AS256,'Writing Logic'!$A$3:$B$7,2,FALSE))))),"Fill All 4")</f>
        <v>Fill All 4</v>
      </c>
      <c r="AU256" s="96" t="str">
        <f t="shared" si="19"/>
        <v/>
      </c>
    </row>
    <row r="257" spans="1:47" x14ac:dyDescent="0.25">
      <c r="A257" s="30"/>
      <c r="B257" s="30"/>
      <c r="C257" s="13"/>
      <c r="D257" s="30"/>
      <c r="E257" s="30"/>
      <c r="F257" s="30"/>
      <c r="G257" s="30"/>
      <c r="H257" s="30"/>
      <c r="I257" s="30"/>
      <c r="J257" s="30"/>
      <c r="K257" s="120"/>
      <c r="L257" s="121"/>
      <c r="M257" s="120"/>
      <c r="N257" s="120"/>
      <c r="O257" s="120"/>
      <c r="P257" s="120"/>
      <c r="Q257" s="95" t="str">
        <f>IFERROR(IF(YES_Writing_ELA[[#This Row],[Literacy IPP]]='Writing Logic'!$E$26,"IPP",IF(OR(M257="EAL",N257="EAL",O257="EAL",P257="EAL"),"EAL",IF(M257='Writing Logic'!$A$10,AVERAGE(VLOOKUP(N257,'Writing Logic'!$A$3:$B$7,2,FALSE),VLOOKUP(O257,'Writing Logic'!$A$3:$B$7,2,FALSE),VLOOKUP(P257,'Writing Logic'!$A$3:$B$7,2,FALSE)),AVERAGE(VLOOKUP(M257,'Writing Logic'!$A$3:$B$7,2,FALSE),VLOOKUP(N257,'Writing Logic'!$A$3:$B$7,2,FALSE),VLOOKUP(O257,'Writing Logic'!$A$3:$B$7,2,FALSE),VLOOKUP(P257,'Writing Logic'!$A$3:$B$7,2,FALSE))))),"Fill All 4")</f>
        <v>Fill All 4</v>
      </c>
      <c r="R257" s="120"/>
      <c r="S257" s="120"/>
      <c r="T257" s="120"/>
      <c r="U257" s="120"/>
      <c r="V257" s="95" t="str">
        <f>IFERROR(IF(YES_Writing_ELA[[#This Row],[Literacy IPP]]='Writing Logic'!$E$26,"IPP",IF(OR(R257="EAL",S257="EAL",T257="EAL",U257="EAL"),"EAL",IF(R257='Writing Logic'!$A$10,AVERAGE(VLOOKUP(S257,'Writing Logic'!$A$3:$B$7,2,FALSE),VLOOKUP(T257,'Writing Logic'!$A$3:$B$7,2,FALSE),VLOOKUP(U257,'Writing Logic'!$A$3:$B$7,2,FALSE)),AVERAGE(VLOOKUP(R257,'Writing Logic'!$A$3:$B$7,2,FALSE),VLOOKUP(S257,'Writing Logic'!$A$3:$B$7,2,FALSE),VLOOKUP(T257,'Writing Logic'!$A$3:$B$7,2,FALSE),VLOOKUP(U257,'Writing Logic'!$A$3:$B$7,2,FALSE))))),"Fill All 4")</f>
        <v>Fill All 4</v>
      </c>
      <c r="W257" s="95" t="str">
        <f t="shared" si="15"/>
        <v/>
      </c>
      <c r="X257" s="120"/>
      <c r="Y257" s="120"/>
      <c r="Z257" s="120"/>
      <c r="AA257" s="120"/>
      <c r="AB257" s="95" t="str">
        <f>IFERROR(IF(YES_Writing_ELA[[#This Row],[Literacy IPP]]='Writing Logic'!$E$26,"IPP",IF(OR(X257="EAL",Y257="EAL",Z257="EAL",AA257="EAL"),"EAL",IF(X257='Writing Logic'!$A$10,AVERAGE(VLOOKUP(Y257,'Writing Logic'!$A$3:$B$7,2,FALSE),VLOOKUP(Z257,'Writing Logic'!$A$3:$B$7,2,FALSE),VLOOKUP(AA257,'Writing Logic'!$A$3:$B$7,2,FALSE)),AVERAGE(VLOOKUP(X257,'Writing Logic'!$A$3:$B$7,2,FALSE),VLOOKUP(Y257,'Writing Logic'!$A$3:$B$7,2,FALSE),VLOOKUP(Z257,'Writing Logic'!$A$3:$B$7,2,FALSE),VLOOKUP(AA257,'Writing Logic'!$A$3:$B$7,2,FALSE))))),"Fill All 4")</f>
        <v>Fill All 4</v>
      </c>
      <c r="AC257" s="95" t="str">
        <f t="shared" si="16"/>
        <v/>
      </c>
      <c r="AD257" s="120"/>
      <c r="AE257" s="120"/>
      <c r="AF257" s="120"/>
      <c r="AG257" s="120"/>
      <c r="AH257" s="95" t="str">
        <f>IFERROR(IF(YES_Writing_ELA[[#This Row],[Literacy IPP]]='Writing Logic'!$E$26,"IPP",IF(OR(AD257="EAL",AE257="EAL",AF257="EAL",AG257="EAL"),"EAL",IF(AD257='Writing Logic'!$A$10,AVERAGE(VLOOKUP(AE257,'Writing Logic'!$A$3:$B$7,2,FALSE),VLOOKUP(AF257,'Writing Logic'!$A$3:$B$7,2,FALSE),VLOOKUP(AG257,'Writing Logic'!$A$3:$B$7,2,FALSE)),AVERAGE(VLOOKUP(AD257,'Writing Logic'!$A$3:$B$7,2,FALSE),VLOOKUP(AE257,'Writing Logic'!$A$3:$B$7,2,FALSE),VLOOKUP(AF257,'Writing Logic'!$A$3:$B$7,2,FALSE),VLOOKUP(AG257,'Writing Logic'!$A$3:$B$7,2,FALSE))))),"Fill All 4")</f>
        <v>Fill All 4</v>
      </c>
      <c r="AI257" s="95" t="str">
        <f t="shared" si="17"/>
        <v/>
      </c>
      <c r="AJ257" s="120"/>
      <c r="AK257" s="120"/>
      <c r="AL257" s="120"/>
      <c r="AM257" s="120"/>
      <c r="AN257" s="95" t="str">
        <f>IFERROR(IF(YES_Writing_ELA[[#This Row],[Literacy IPP]]='Writing Logic'!$E$26,"IPP",IF(OR(AJ257="EAL",AK257="EAL",AL257="EAL",AM257="EAL"),"EAL",IF(AJ257='Writing Logic'!$A$10,AVERAGE(VLOOKUP(AK257,'Writing Logic'!$A$3:$B$7,2,FALSE),VLOOKUP(AL257,'Writing Logic'!$A$3:$B$7,2,FALSE),VLOOKUP(AM257,'Writing Logic'!$A$3:$B$7,2,FALSE)),AVERAGE(VLOOKUP(AJ257,'Writing Logic'!$A$3:$B$7,2,FALSE),VLOOKUP(AK257,'Writing Logic'!$A$3:$B$7,2,FALSE),VLOOKUP(AL257,'Writing Logic'!$A$3:$B$7,2,FALSE),VLOOKUP(AM257,'Writing Logic'!$A$3:$B$7,2,FALSE))))),"Fill All 4")</f>
        <v>Fill All 4</v>
      </c>
      <c r="AO257" s="95" t="str">
        <f t="shared" si="18"/>
        <v/>
      </c>
      <c r="AP257" s="120"/>
      <c r="AQ257" s="120"/>
      <c r="AR257" s="120"/>
      <c r="AS257" s="120"/>
      <c r="AT257" s="95" t="str">
        <f>IFERROR(IF(YES_Writing_ELA[[#This Row],[Literacy IPP]]='Writing Logic'!$E$26,"IPP",IF(OR(AP257="EAL",AQ257="EAL",AR257="EAL",AS257="EAL"),"EAL",IF(AP257='Writing Logic'!$A$10,AVERAGE(VLOOKUP(AQ257,'Writing Logic'!$A$3:$B$7,2,FALSE),VLOOKUP(AR257,'Writing Logic'!$A$3:$B$7,2,FALSE),VLOOKUP(AS257,'Writing Logic'!$A$3:$B$7,2,FALSE)),AVERAGE(VLOOKUP(AP257,'Writing Logic'!$A$3:$B$7,2,FALSE),VLOOKUP(AQ257,'Writing Logic'!$A$3:$B$7,2,FALSE),VLOOKUP(AR257,'Writing Logic'!$A$3:$B$7,2,FALSE),VLOOKUP(AS257,'Writing Logic'!$A$3:$B$7,2,FALSE))))),"Fill All 4")</f>
        <v>Fill All 4</v>
      </c>
      <c r="AU257" s="95" t="str">
        <f t="shared" si="19"/>
        <v/>
      </c>
    </row>
    <row r="258" spans="1:47" x14ac:dyDescent="0.25">
      <c r="A258" s="30"/>
      <c r="B258" s="30"/>
      <c r="C258" s="13"/>
      <c r="D258" s="30"/>
      <c r="E258" s="30"/>
      <c r="F258" s="30"/>
      <c r="G258" s="30"/>
      <c r="H258" s="30"/>
      <c r="I258" s="30"/>
      <c r="J258" s="30"/>
      <c r="K258" s="120"/>
      <c r="L258" s="121"/>
      <c r="M258" s="120"/>
      <c r="N258" s="120"/>
      <c r="O258" s="120"/>
      <c r="P258" s="120"/>
      <c r="Q258" s="95" t="str">
        <f>IFERROR(IF(YES_Writing_ELA[[#This Row],[Literacy IPP]]='Writing Logic'!$E$26,"IPP",IF(OR(M258="EAL",N258="EAL",O258="EAL",P258="EAL"),"EAL",IF(M258='Writing Logic'!$A$10,AVERAGE(VLOOKUP(N258,'Writing Logic'!$A$3:$B$7,2,FALSE),VLOOKUP(O258,'Writing Logic'!$A$3:$B$7,2,FALSE),VLOOKUP(P258,'Writing Logic'!$A$3:$B$7,2,FALSE)),AVERAGE(VLOOKUP(M258,'Writing Logic'!$A$3:$B$7,2,FALSE),VLOOKUP(N258,'Writing Logic'!$A$3:$B$7,2,FALSE),VLOOKUP(O258,'Writing Logic'!$A$3:$B$7,2,FALSE),VLOOKUP(P258,'Writing Logic'!$A$3:$B$7,2,FALSE))))),"Fill All 4")</f>
        <v>Fill All 4</v>
      </c>
      <c r="R258" s="120"/>
      <c r="S258" s="120"/>
      <c r="T258" s="120"/>
      <c r="U258" s="120"/>
      <c r="V258" s="95" t="str">
        <f>IFERROR(IF(YES_Writing_ELA[[#This Row],[Literacy IPP]]='Writing Logic'!$E$26,"IPP",IF(OR(R258="EAL",S258="EAL",T258="EAL",U258="EAL"),"EAL",IF(R258='Writing Logic'!$A$10,AVERAGE(VLOOKUP(S258,'Writing Logic'!$A$3:$B$7,2,FALSE),VLOOKUP(T258,'Writing Logic'!$A$3:$B$7,2,FALSE),VLOOKUP(U258,'Writing Logic'!$A$3:$B$7,2,FALSE)),AVERAGE(VLOOKUP(R258,'Writing Logic'!$A$3:$B$7,2,FALSE),VLOOKUP(S258,'Writing Logic'!$A$3:$B$7,2,FALSE),VLOOKUP(T258,'Writing Logic'!$A$3:$B$7,2,FALSE),VLOOKUP(U258,'Writing Logic'!$A$3:$B$7,2,FALSE))))),"Fill All 4")</f>
        <v>Fill All 4</v>
      </c>
      <c r="W258" s="95" t="str">
        <f t="shared" si="15"/>
        <v/>
      </c>
      <c r="X258" s="120"/>
      <c r="Y258" s="120"/>
      <c r="Z258" s="120"/>
      <c r="AA258" s="120"/>
      <c r="AB258" s="95" t="str">
        <f>IFERROR(IF(YES_Writing_ELA[[#This Row],[Literacy IPP]]='Writing Logic'!$E$26,"IPP",IF(OR(X258="EAL",Y258="EAL",Z258="EAL",AA258="EAL"),"EAL",IF(X258='Writing Logic'!$A$10,AVERAGE(VLOOKUP(Y258,'Writing Logic'!$A$3:$B$7,2,FALSE),VLOOKUP(Z258,'Writing Logic'!$A$3:$B$7,2,FALSE),VLOOKUP(AA258,'Writing Logic'!$A$3:$B$7,2,FALSE)),AVERAGE(VLOOKUP(X258,'Writing Logic'!$A$3:$B$7,2,FALSE),VLOOKUP(Y258,'Writing Logic'!$A$3:$B$7,2,FALSE),VLOOKUP(Z258,'Writing Logic'!$A$3:$B$7,2,FALSE),VLOOKUP(AA258,'Writing Logic'!$A$3:$B$7,2,FALSE))))),"Fill All 4")</f>
        <v>Fill All 4</v>
      </c>
      <c r="AC258" s="95" t="str">
        <f t="shared" si="16"/>
        <v/>
      </c>
      <c r="AD258" s="120"/>
      <c r="AE258" s="120"/>
      <c r="AF258" s="120"/>
      <c r="AG258" s="120"/>
      <c r="AH258" s="95" t="str">
        <f>IFERROR(IF(YES_Writing_ELA[[#This Row],[Literacy IPP]]='Writing Logic'!$E$26,"IPP",IF(OR(AD258="EAL",AE258="EAL",AF258="EAL",AG258="EAL"),"EAL",IF(AD258='Writing Logic'!$A$10,AVERAGE(VLOOKUP(AE258,'Writing Logic'!$A$3:$B$7,2,FALSE),VLOOKUP(AF258,'Writing Logic'!$A$3:$B$7,2,FALSE),VLOOKUP(AG258,'Writing Logic'!$A$3:$B$7,2,FALSE)),AVERAGE(VLOOKUP(AD258,'Writing Logic'!$A$3:$B$7,2,FALSE),VLOOKUP(AE258,'Writing Logic'!$A$3:$B$7,2,FALSE),VLOOKUP(AF258,'Writing Logic'!$A$3:$B$7,2,FALSE),VLOOKUP(AG258,'Writing Logic'!$A$3:$B$7,2,FALSE))))),"Fill All 4")</f>
        <v>Fill All 4</v>
      </c>
      <c r="AI258" s="95" t="str">
        <f t="shared" si="17"/>
        <v/>
      </c>
      <c r="AJ258" s="120"/>
      <c r="AK258" s="120"/>
      <c r="AL258" s="120"/>
      <c r="AM258" s="120"/>
      <c r="AN258" s="95" t="str">
        <f>IFERROR(IF(YES_Writing_ELA[[#This Row],[Literacy IPP]]='Writing Logic'!$E$26,"IPP",IF(OR(AJ258="EAL",AK258="EAL",AL258="EAL",AM258="EAL"),"EAL",IF(AJ258='Writing Logic'!$A$10,AVERAGE(VLOOKUP(AK258,'Writing Logic'!$A$3:$B$7,2,FALSE),VLOOKUP(AL258,'Writing Logic'!$A$3:$B$7,2,FALSE),VLOOKUP(AM258,'Writing Logic'!$A$3:$B$7,2,FALSE)),AVERAGE(VLOOKUP(AJ258,'Writing Logic'!$A$3:$B$7,2,FALSE),VLOOKUP(AK258,'Writing Logic'!$A$3:$B$7,2,FALSE),VLOOKUP(AL258,'Writing Logic'!$A$3:$B$7,2,FALSE),VLOOKUP(AM258,'Writing Logic'!$A$3:$B$7,2,FALSE))))),"Fill All 4")</f>
        <v>Fill All 4</v>
      </c>
      <c r="AO258" s="95" t="str">
        <f t="shared" si="18"/>
        <v/>
      </c>
      <c r="AP258" s="120"/>
      <c r="AQ258" s="120"/>
      <c r="AR258" s="120"/>
      <c r="AS258" s="120"/>
      <c r="AT258" s="95" t="str">
        <f>IFERROR(IF(YES_Writing_ELA[[#This Row],[Literacy IPP]]='Writing Logic'!$E$26,"IPP",IF(OR(AP258="EAL",AQ258="EAL",AR258="EAL",AS258="EAL"),"EAL",IF(AP258='Writing Logic'!$A$10,AVERAGE(VLOOKUP(AQ258,'Writing Logic'!$A$3:$B$7,2,FALSE),VLOOKUP(AR258,'Writing Logic'!$A$3:$B$7,2,FALSE),VLOOKUP(AS258,'Writing Logic'!$A$3:$B$7,2,FALSE)),AVERAGE(VLOOKUP(AP258,'Writing Logic'!$A$3:$B$7,2,FALSE),VLOOKUP(AQ258,'Writing Logic'!$A$3:$B$7,2,FALSE),VLOOKUP(AR258,'Writing Logic'!$A$3:$B$7,2,FALSE),VLOOKUP(AS258,'Writing Logic'!$A$3:$B$7,2,FALSE))))),"Fill All 4")</f>
        <v>Fill All 4</v>
      </c>
      <c r="AU258" s="95" t="str">
        <f t="shared" si="19"/>
        <v/>
      </c>
    </row>
    <row r="259" spans="1:47" x14ac:dyDescent="0.25">
      <c r="A259" s="30"/>
      <c r="B259" s="30"/>
      <c r="C259" s="13"/>
      <c r="D259" s="30"/>
      <c r="E259" s="30"/>
      <c r="F259" s="30"/>
      <c r="G259" s="30"/>
      <c r="H259" s="30"/>
      <c r="I259" s="30"/>
      <c r="J259" s="30"/>
      <c r="K259" s="120"/>
      <c r="L259" s="121"/>
      <c r="M259" s="120"/>
      <c r="N259" s="120"/>
      <c r="O259" s="120"/>
      <c r="P259" s="120"/>
      <c r="Q259" s="95" t="str">
        <f>IFERROR(IF(YES_Writing_ELA[[#This Row],[Literacy IPP]]='Writing Logic'!$E$26,"IPP",IF(OR(M259="EAL",N259="EAL",O259="EAL",P259="EAL"),"EAL",IF(M259='Writing Logic'!$A$10,AVERAGE(VLOOKUP(N259,'Writing Logic'!$A$3:$B$7,2,FALSE),VLOOKUP(O259,'Writing Logic'!$A$3:$B$7,2,FALSE),VLOOKUP(P259,'Writing Logic'!$A$3:$B$7,2,FALSE)),AVERAGE(VLOOKUP(M259,'Writing Logic'!$A$3:$B$7,2,FALSE),VLOOKUP(N259,'Writing Logic'!$A$3:$B$7,2,FALSE),VLOOKUP(O259,'Writing Logic'!$A$3:$B$7,2,FALSE),VLOOKUP(P259,'Writing Logic'!$A$3:$B$7,2,FALSE))))),"Fill All 4")</f>
        <v>Fill All 4</v>
      </c>
      <c r="R259" s="120"/>
      <c r="S259" s="120"/>
      <c r="T259" s="120"/>
      <c r="U259" s="120"/>
      <c r="V259" s="95" t="str">
        <f>IFERROR(IF(YES_Writing_ELA[[#This Row],[Literacy IPP]]='Writing Logic'!$E$26,"IPP",IF(OR(R259="EAL",S259="EAL",T259="EAL",U259="EAL"),"EAL",IF(R259='Writing Logic'!$A$10,AVERAGE(VLOOKUP(S259,'Writing Logic'!$A$3:$B$7,2,FALSE),VLOOKUP(T259,'Writing Logic'!$A$3:$B$7,2,FALSE),VLOOKUP(U259,'Writing Logic'!$A$3:$B$7,2,FALSE)),AVERAGE(VLOOKUP(R259,'Writing Logic'!$A$3:$B$7,2,FALSE),VLOOKUP(S259,'Writing Logic'!$A$3:$B$7,2,FALSE),VLOOKUP(T259,'Writing Logic'!$A$3:$B$7,2,FALSE),VLOOKUP(U259,'Writing Logic'!$A$3:$B$7,2,FALSE))))),"Fill All 4")</f>
        <v>Fill All 4</v>
      </c>
      <c r="W259" s="95" t="str">
        <f t="shared" si="15"/>
        <v/>
      </c>
      <c r="X259" s="120"/>
      <c r="Y259" s="120"/>
      <c r="Z259" s="120"/>
      <c r="AA259" s="120"/>
      <c r="AB259" s="95" t="str">
        <f>IFERROR(IF(YES_Writing_ELA[[#This Row],[Literacy IPP]]='Writing Logic'!$E$26,"IPP",IF(OR(X259="EAL",Y259="EAL",Z259="EAL",AA259="EAL"),"EAL",IF(X259='Writing Logic'!$A$10,AVERAGE(VLOOKUP(Y259,'Writing Logic'!$A$3:$B$7,2,FALSE),VLOOKUP(Z259,'Writing Logic'!$A$3:$B$7,2,FALSE),VLOOKUP(AA259,'Writing Logic'!$A$3:$B$7,2,FALSE)),AVERAGE(VLOOKUP(X259,'Writing Logic'!$A$3:$B$7,2,FALSE),VLOOKUP(Y259,'Writing Logic'!$A$3:$B$7,2,FALSE),VLOOKUP(Z259,'Writing Logic'!$A$3:$B$7,2,FALSE),VLOOKUP(AA259,'Writing Logic'!$A$3:$B$7,2,FALSE))))),"Fill All 4")</f>
        <v>Fill All 4</v>
      </c>
      <c r="AC259" s="95" t="str">
        <f t="shared" si="16"/>
        <v/>
      </c>
      <c r="AD259" s="120"/>
      <c r="AE259" s="120"/>
      <c r="AF259" s="120"/>
      <c r="AG259" s="120"/>
      <c r="AH259" s="95" t="str">
        <f>IFERROR(IF(YES_Writing_ELA[[#This Row],[Literacy IPP]]='Writing Logic'!$E$26,"IPP",IF(OR(AD259="EAL",AE259="EAL",AF259="EAL",AG259="EAL"),"EAL",IF(AD259='Writing Logic'!$A$10,AVERAGE(VLOOKUP(AE259,'Writing Logic'!$A$3:$B$7,2,FALSE),VLOOKUP(AF259,'Writing Logic'!$A$3:$B$7,2,FALSE),VLOOKUP(AG259,'Writing Logic'!$A$3:$B$7,2,FALSE)),AVERAGE(VLOOKUP(AD259,'Writing Logic'!$A$3:$B$7,2,FALSE),VLOOKUP(AE259,'Writing Logic'!$A$3:$B$7,2,FALSE),VLOOKUP(AF259,'Writing Logic'!$A$3:$B$7,2,FALSE),VLOOKUP(AG259,'Writing Logic'!$A$3:$B$7,2,FALSE))))),"Fill All 4")</f>
        <v>Fill All 4</v>
      </c>
      <c r="AI259" s="95" t="str">
        <f t="shared" si="17"/>
        <v/>
      </c>
      <c r="AJ259" s="120"/>
      <c r="AK259" s="120"/>
      <c r="AL259" s="120"/>
      <c r="AM259" s="120"/>
      <c r="AN259" s="95" t="str">
        <f>IFERROR(IF(YES_Writing_ELA[[#This Row],[Literacy IPP]]='Writing Logic'!$E$26,"IPP",IF(OR(AJ259="EAL",AK259="EAL",AL259="EAL",AM259="EAL"),"EAL",IF(AJ259='Writing Logic'!$A$10,AVERAGE(VLOOKUP(AK259,'Writing Logic'!$A$3:$B$7,2,FALSE),VLOOKUP(AL259,'Writing Logic'!$A$3:$B$7,2,FALSE),VLOOKUP(AM259,'Writing Logic'!$A$3:$B$7,2,FALSE)),AVERAGE(VLOOKUP(AJ259,'Writing Logic'!$A$3:$B$7,2,FALSE),VLOOKUP(AK259,'Writing Logic'!$A$3:$B$7,2,FALSE),VLOOKUP(AL259,'Writing Logic'!$A$3:$B$7,2,FALSE),VLOOKUP(AM259,'Writing Logic'!$A$3:$B$7,2,FALSE))))),"Fill All 4")</f>
        <v>Fill All 4</v>
      </c>
      <c r="AO259" s="95" t="str">
        <f t="shared" si="18"/>
        <v/>
      </c>
      <c r="AP259" s="120"/>
      <c r="AQ259" s="120"/>
      <c r="AR259" s="120"/>
      <c r="AS259" s="120"/>
      <c r="AT259" s="95" t="str">
        <f>IFERROR(IF(YES_Writing_ELA[[#This Row],[Literacy IPP]]='Writing Logic'!$E$26,"IPP",IF(OR(AP259="EAL",AQ259="EAL",AR259="EAL",AS259="EAL"),"EAL",IF(AP259='Writing Logic'!$A$10,AVERAGE(VLOOKUP(AQ259,'Writing Logic'!$A$3:$B$7,2,FALSE),VLOOKUP(AR259,'Writing Logic'!$A$3:$B$7,2,FALSE),VLOOKUP(AS259,'Writing Logic'!$A$3:$B$7,2,FALSE)),AVERAGE(VLOOKUP(AP259,'Writing Logic'!$A$3:$B$7,2,FALSE),VLOOKUP(AQ259,'Writing Logic'!$A$3:$B$7,2,FALSE),VLOOKUP(AR259,'Writing Logic'!$A$3:$B$7,2,FALSE),VLOOKUP(AS259,'Writing Logic'!$A$3:$B$7,2,FALSE))))),"Fill All 4")</f>
        <v>Fill All 4</v>
      </c>
      <c r="AU259" s="95" t="str">
        <f t="shared" si="19"/>
        <v/>
      </c>
    </row>
    <row r="260" spans="1:47" x14ac:dyDescent="0.25">
      <c r="A260" s="30"/>
      <c r="B260" s="30"/>
      <c r="C260" s="13"/>
      <c r="D260" s="30"/>
      <c r="E260" s="30"/>
      <c r="F260" s="30"/>
      <c r="G260" s="30"/>
      <c r="H260" s="30"/>
      <c r="I260" s="30"/>
      <c r="J260" s="30"/>
      <c r="K260" s="120"/>
      <c r="L260" s="121"/>
      <c r="M260" s="120"/>
      <c r="N260" s="120"/>
      <c r="O260" s="120"/>
      <c r="P260" s="120"/>
      <c r="Q260" s="95" t="str">
        <f>IFERROR(IF(YES_Writing_ELA[[#This Row],[Literacy IPP]]='Writing Logic'!$E$26,"IPP",IF(OR(M260="EAL",N260="EAL",O260="EAL",P260="EAL"),"EAL",IF(M260='Writing Logic'!$A$10,AVERAGE(VLOOKUP(N260,'Writing Logic'!$A$3:$B$7,2,FALSE),VLOOKUP(O260,'Writing Logic'!$A$3:$B$7,2,FALSE),VLOOKUP(P260,'Writing Logic'!$A$3:$B$7,2,FALSE)),AVERAGE(VLOOKUP(M260,'Writing Logic'!$A$3:$B$7,2,FALSE),VLOOKUP(N260,'Writing Logic'!$A$3:$B$7,2,FALSE),VLOOKUP(O260,'Writing Logic'!$A$3:$B$7,2,FALSE),VLOOKUP(P260,'Writing Logic'!$A$3:$B$7,2,FALSE))))),"Fill All 4")</f>
        <v>Fill All 4</v>
      </c>
      <c r="R260" s="120"/>
      <c r="S260" s="120"/>
      <c r="T260" s="120"/>
      <c r="U260" s="120"/>
      <c r="V260" s="95" t="str">
        <f>IFERROR(IF(YES_Writing_ELA[[#This Row],[Literacy IPP]]='Writing Logic'!$E$26,"IPP",IF(OR(R260="EAL",S260="EAL",T260="EAL",U260="EAL"),"EAL",IF(R260='Writing Logic'!$A$10,AVERAGE(VLOOKUP(S260,'Writing Logic'!$A$3:$B$7,2,FALSE),VLOOKUP(T260,'Writing Logic'!$A$3:$B$7,2,FALSE),VLOOKUP(U260,'Writing Logic'!$A$3:$B$7,2,FALSE)),AVERAGE(VLOOKUP(R260,'Writing Logic'!$A$3:$B$7,2,FALSE),VLOOKUP(S260,'Writing Logic'!$A$3:$B$7,2,FALSE),VLOOKUP(T260,'Writing Logic'!$A$3:$B$7,2,FALSE),VLOOKUP(U260,'Writing Logic'!$A$3:$B$7,2,FALSE))))),"Fill All 4")</f>
        <v>Fill All 4</v>
      </c>
      <c r="W260" s="95" t="str">
        <f t="shared" si="15"/>
        <v/>
      </c>
      <c r="X260" s="120"/>
      <c r="Y260" s="120"/>
      <c r="Z260" s="120"/>
      <c r="AA260" s="120"/>
      <c r="AB260" s="95" t="str">
        <f>IFERROR(IF(YES_Writing_ELA[[#This Row],[Literacy IPP]]='Writing Logic'!$E$26,"IPP",IF(OR(X260="EAL",Y260="EAL",Z260="EAL",AA260="EAL"),"EAL",IF(X260='Writing Logic'!$A$10,AVERAGE(VLOOKUP(Y260,'Writing Logic'!$A$3:$B$7,2,FALSE),VLOOKUP(Z260,'Writing Logic'!$A$3:$B$7,2,FALSE),VLOOKUP(AA260,'Writing Logic'!$A$3:$B$7,2,FALSE)),AVERAGE(VLOOKUP(X260,'Writing Logic'!$A$3:$B$7,2,FALSE),VLOOKUP(Y260,'Writing Logic'!$A$3:$B$7,2,FALSE),VLOOKUP(Z260,'Writing Logic'!$A$3:$B$7,2,FALSE),VLOOKUP(AA260,'Writing Logic'!$A$3:$B$7,2,FALSE))))),"Fill All 4")</f>
        <v>Fill All 4</v>
      </c>
      <c r="AC260" s="95" t="str">
        <f t="shared" si="16"/>
        <v/>
      </c>
      <c r="AD260" s="120"/>
      <c r="AE260" s="120"/>
      <c r="AF260" s="120"/>
      <c r="AG260" s="120"/>
      <c r="AH260" s="95" t="str">
        <f>IFERROR(IF(YES_Writing_ELA[[#This Row],[Literacy IPP]]='Writing Logic'!$E$26,"IPP",IF(OR(AD260="EAL",AE260="EAL",AF260="EAL",AG260="EAL"),"EAL",IF(AD260='Writing Logic'!$A$10,AVERAGE(VLOOKUP(AE260,'Writing Logic'!$A$3:$B$7,2,FALSE),VLOOKUP(AF260,'Writing Logic'!$A$3:$B$7,2,FALSE),VLOOKUP(AG260,'Writing Logic'!$A$3:$B$7,2,FALSE)),AVERAGE(VLOOKUP(AD260,'Writing Logic'!$A$3:$B$7,2,FALSE),VLOOKUP(AE260,'Writing Logic'!$A$3:$B$7,2,FALSE),VLOOKUP(AF260,'Writing Logic'!$A$3:$B$7,2,FALSE),VLOOKUP(AG260,'Writing Logic'!$A$3:$B$7,2,FALSE))))),"Fill All 4")</f>
        <v>Fill All 4</v>
      </c>
      <c r="AI260" s="95" t="str">
        <f t="shared" si="17"/>
        <v/>
      </c>
      <c r="AJ260" s="120"/>
      <c r="AK260" s="120"/>
      <c r="AL260" s="120"/>
      <c r="AM260" s="120"/>
      <c r="AN260" s="95" t="str">
        <f>IFERROR(IF(YES_Writing_ELA[[#This Row],[Literacy IPP]]='Writing Logic'!$E$26,"IPP",IF(OR(AJ260="EAL",AK260="EAL",AL260="EAL",AM260="EAL"),"EAL",IF(AJ260='Writing Logic'!$A$10,AVERAGE(VLOOKUP(AK260,'Writing Logic'!$A$3:$B$7,2,FALSE),VLOOKUP(AL260,'Writing Logic'!$A$3:$B$7,2,FALSE),VLOOKUP(AM260,'Writing Logic'!$A$3:$B$7,2,FALSE)),AVERAGE(VLOOKUP(AJ260,'Writing Logic'!$A$3:$B$7,2,FALSE),VLOOKUP(AK260,'Writing Logic'!$A$3:$B$7,2,FALSE),VLOOKUP(AL260,'Writing Logic'!$A$3:$B$7,2,FALSE),VLOOKUP(AM260,'Writing Logic'!$A$3:$B$7,2,FALSE))))),"Fill All 4")</f>
        <v>Fill All 4</v>
      </c>
      <c r="AO260" s="95" t="str">
        <f t="shared" si="18"/>
        <v/>
      </c>
      <c r="AP260" s="120"/>
      <c r="AQ260" s="120"/>
      <c r="AR260" s="120"/>
      <c r="AS260" s="120"/>
      <c r="AT260" s="95" t="str">
        <f>IFERROR(IF(YES_Writing_ELA[[#This Row],[Literacy IPP]]='Writing Logic'!$E$26,"IPP",IF(OR(AP260="EAL",AQ260="EAL",AR260="EAL",AS260="EAL"),"EAL",IF(AP260='Writing Logic'!$A$10,AVERAGE(VLOOKUP(AQ260,'Writing Logic'!$A$3:$B$7,2,FALSE),VLOOKUP(AR260,'Writing Logic'!$A$3:$B$7,2,FALSE),VLOOKUP(AS260,'Writing Logic'!$A$3:$B$7,2,FALSE)),AVERAGE(VLOOKUP(AP260,'Writing Logic'!$A$3:$B$7,2,FALSE),VLOOKUP(AQ260,'Writing Logic'!$A$3:$B$7,2,FALSE),VLOOKUP(AR260,'Writing Logic'!$A$3:$B$7,2,FALSE),VLOOKUP(AS260,'Writing Logic'!$A$3:$B$7,2,FALSE))))),"Fill All 4")</f>
        <v>Fill All 4</v>
      </c>
      <c r="AU260" s="95" t="str">
        <f t="shared" si="19"/>
        <v/>
      </c>
    </row>
    <row r="261" spans="1:47" x14ac:dyDescent="0.25">
      <c r="A261" s="13"/>
      <c r="B261" s="13"/>
      <c r="C261" s="13"/>
      <c r="D261" s="13"/>
      <c r="E261" s="13"/>
      <c r="F261" s="13"/>
      <c r="G261" s="13"/>
      <c r="H261" s="13"/>
      <c r="I261" s="13"/>
      <c r="J261" s="13"/>
      <c r="K261" s="183"/>
      <c r="L261" s="184"/>
      <c r="M261" s="183"/>
      <c r="N261" s="183"/>
      <c r="O261" s="183"/>
      <c r="P261" s="183"/>
      <c r="Q261" s="96" t="str">
        <f>IFERROR(IF(YES_Writing_ELA[[#This Row],[Literacy IPP]]='Writing Logic'!$E$26,"IPP",IF(OR(M261="EAL",N261="EAL",O261="EAL",P261="EAL"),"EAL",IF(M261='Writing Logic'!$A$10,AVERAGE(VLOOKUP(N261,'Writing Logic'!$A$3:$B$7,2,FALSE),VLOOKUP(O261,'Writing Logic'!$A$3:$B$7,2,FALSE),VLOOKUP(P261,'Writing Logic'!$A$3:$B$7,2,FALSE)),AVERAGE(VLOOKUP(M261,'Writing Logic'!$A$3:$B$7,2,FALSE),VLOOKUP(N261,'Writing Logic'!$A$3:$B$7,2,FALSE),VLOOKUP(O261,'Writing Logic'!$A$3:$B$7,2,FALSE),VLOOKUP(P261,'Writing Logic'!$A$3:$B$7,2,FALSE))))),"Fill All 4")</f>
        <v>Fill All 4</v>
      </c>
      <c r="R261" s="120"/>
      <c r="S261" s="120"/>
      <c r="T261" s="120"/>
      <c r="U261" s="120"/>
      <c r="V261" s="95" t="str">
        <f>IFERROR(IF(YES_Writing_ELA[[#This Row],[Literacy IPP]]='Writing Logic'!$E$26,"IPP",IF(OR(R261="EAL",S261="EAL",T261="EAL",U261="EAL"),"EAL",IF(R261='Writing Logic'!$A$10,AVERAGE(VLOOKUP(S261,'Writing Logic'!$A$3:$B$7,2,FALSE),VLOOKUP(T261,'Writing Logic'!$A$3:$B$7,2,FALSE),VLOOKUP(U261,'Writing Logic'!$A$3:$B$7,2,FALSE)),AVERAGE(VLOOKUP(R261,'Writing Logic'!$A$3:$B$7,2,FALSE),VLOOKUP(S261,'Writing Logic'!$A$3:$B$7,2,FALSE),VLOOKUP(T261,'Writing Logic'!$A$3:$B$7,2,FALSE),VLOOKUP(U261,'Writing Logic'!$A$3:$B$7,2,FALSE))))),"Fill All 4")</f>
        <v>Fill All 4</v>
      </c>
      <c r="W261" s="96" t="str">
        <f t="shared" si="15"/>
        <v/>
      </c>
      <c r="X261" s="120"/>
      <c r="Y261" s="120"/>
      <c r="Z261" s="120"/>
      <c r="AA261" s="120"/>
      <c r="AB261" s="95" t="str">
        <f>IFERROR(IF(YES_Writing_ELA[[#This Row],[Literacy IPP]]='Writing Logic'!$E$26,"IPP",IF(OR(X261="EAL",Y261="EAL",Z261="EAL",AA261="EAL"),"EAL",IF(X261='Writing Logic'!$A$10,AVERAGE(VLOOKUP(Y261,'Writing Logic'!$A$3:$B$7,2,FALSE),VLOOKUP(Z261,'Writing Logic'!$A$3:$B$7,2,FALSE),VLOOKUP(AA261,'Writing Logic'!$A$3:$B$7,2,FALSE)),AVERAGE(VLOOKUP(X261,'Writing Logic'!$A$3:$B$7,2,FALSE),VLOOKUP(Y261,'Writing Logic'!$A$3:$B$7,2,FALSE),VLOOKUP(Z261,'Writing Logic'!$A$3:$B$7,2,FALSE),VLOOKUP(AA261,'Writing Logic'!$A$3:$B$7,2,FALSE))))),"Fill All 4")</f>
        <v>Fill All 4</v>
      </c>
      <c r="AC261" s="96" t="str">
        <f t="shared" si="16"/>
        <v/>
      </c>
      <c r="AD261" s="120"/>
      <c r="AE261" s="120"/>
      <c r="AF261" s="120"/>
      <c r="AG261" s="120"/>
      <c r="AH261" s="95" t="str">
        <f>IFERROR(IF(YES_Writing_ELA[[#This Row],[Literacy IPP]]='Writing Logic'!$E$26,"IPP",IF(OR(AD261="EAL",AE261="EAL",AF261="EAL",AG261="EAL"),"EAL",IF(AD261='Writing Logic'!$A$10,AVERAGE(VLOOKUP(AE261,'Writing Logic'!$A$3:$B$7,2,FALSE),VLOOKUP(AF261,'Writing Logic'!$A$3:$B$7,2,FALSE),VLOOKUP(AG261,'Writing Logic'!$A$3:$B$7,2,FALSE)),AVERAGE(VLOOKUP(AD261,'Writing Logic'!$A$3:$B$7,2,FALSE),VLOOKUP(AE261,'Writing Logic'!$A$3:$B$7,2,FALSE),VLOOKUP(AF261,'Writing Logic'!$A$3:$B$7,2,FALSE),VLOOKUP(AG261,'Writing Logic'!$A$3:$B$7,2,FALSE))))),"Fill All 4")</f>
        <v>Fill All 4</v>
      </c>
      <c r="AI261" s="96" t="str">
        <f t="shared" si="17"/>
        <v/>
      </c>
      <c r="AJ261" s="183"/>
      <c r="AK261" s="120"/>
      <c r="AL261" s="120"/>
      <c r="AM261" s="120"/>
      <c r="AN261" s="95" t="str">
        <f>IFERROR(IF(YES_Writing_ELA[[#This Row],[Literacy IPP]]='Writing Logic'!$E$26,"IPP",IF(OR(AJ261="EAL",AK261="EAL",AL261="EAL",AM261="EAL"),"EAL",IF(AJ261='Writing Logic'!$A$10,AVERAGE(VLOOKUP(AK261,'Writing Logic'!$A$3:$B$7,2,FALSE),VLOOKUP(AL261,'Writing Logic'!$A$3:$B$7,2,FALSE),VLOOKUP(AM261,'Writing Logic'!$A$3:$B$7,2,FALSE)),AVERAGE(VLOOKUP(AJ261,'Writing Logic'!$A$3:$B$7,2,FALSE),VLOOKUP(AK261,'Writing Logic'!$A$3:$B$7,2,FALSE),VLOOKUP(AL261,'Writing Logic'!$A$3:$B$7,2,FALSE),VLOOKUP(AM261,'Writing Logic'!$A$3:$B$7,2,FALSE))))),"Fill All 4")</f>
        <v>Fill All 4</v>
      </c>
      <c r="AO261" s="96" t="str">
        <f t="shared" si="18"/>
        <v/>
      </c>
      <c r="AP261" s="120"/>
      <c r="AQ261" s="120"/>
      <c r="AR261" s="120"/>
      <c r="AS261" s="120"/>
      <c r="AT261" s="95" t="str">
        <f>IFERROR(IF(YES_Writing_ELA[[#This Row],[Literacy IPP]]='Writing Logic'!$E$26,"IPP",IF(OR(AP261="EAL",AQ261="EAL",AR261="EAL",AS261="EAL"),"EAL",IF(AP261='Writing Logic'!$A$10,AVERAGE(VLOOKUP(AQ261,'Writing Logic'!$A$3:$B$7,2,FALSE),VLOOKUP(AR261,'Writing Logic'!$A$3:$B$7,2,FALSE),VLOOKUP(AS261,'Writing Logic'!$A$3:$B$7,2,FALSE)),AVERAGE(VLOOKUP(AP261,'Writing Logic'!$A$3:$B$7,2,FALSE),VLOOKUP(AQ261,'Writing Logic'!$A$3:$B$7,2,FALSE),VLOOKUP(AR261,'Writing Logic'!$A$3:$B$7,2,FALSE),VLOOKUP(AS261,'Writing Logic'!$A$3:$B$7,2,FALSE))))),"Fill All 4")</f>
        <v>Fill All 4</v>
      </c>
      <c r="AU261" s="96" t="str">
        <f t="shared" si="19"/>
        <v/>
      </c>
    </row>
    <row r="262" spans="1:47" x14ac:dyDescent="0.25">
      <c r="A262" s="30"/>
      <c r="B262" s="30"/>
      <c r="C262" s="13"/>
      <c r="D262" s="30"/>
      <c r="E262" s="30"/>
      <c r="F262" s="30"/>
      <c r="G262" s="30"/>
      <c r="H262" s="30"/>
      <c r="I262" s="30"/>
      <c r="J262" s="30"/>
      <c r="K262" s="120"/>
      <c r="L262" s="121"/>
      <c r="M262" s="120"/>
      <c r="N262" s="120"/>
      <c r="O262" s="120"/>
      <c r="P262" s="120"/>
      <c r="Q262" s="95" t="str">
        <f>IFERROR(IF(YES_Writing_ELA[[#This Row],[Literacy IPP]]='Writing Logic'!$E$26,"IPP",IF(OR(M262="EAL",N262="EAL",O262="EAL",P262="EAL"),"EAL",IF(M262='Writing Logic'!$A$10,AVERAGE(VLOOKUP(N262,'Writing Logic'!$A$3:$B$7,2,FALSE),VLOOKUP(O262,'Writing Logic'!$A$3:$B$7,2,FALSE),VLOOKUP(P262,'Writing Logic'!$A$3:$B$7,2,FALSE)),AVERAGE(VLOOKUP(M262,'Writing Logic'!$A$3:$B$7,2,FALSE),VLOOKUP(N262,'Writing Logic'!$A$3:$B$7,2,FALSE),VLOOKUP(O262,'Writing Logic'!$A$3:$B$7,2,FALSE),VLOOKUP(P262,'Writing Logic'!$A$3:$B$7,2,FALSE))))),"Fill All 4")</f>
        <v>Fill All 4</v>
      </c>
      <c r="R262" s="120"/>
      <c r="S262" s="120"/>
      <c r="T262" s="120"/>
      <c r="U262" s="120"/>
      <c r="V262" s="95" t="str">
        <f>IFERROR(IF(YES_Writing_ELA[[#This Row],[Literacy IPP]]='Writing Logic'!$E$26,"IPP",IF(OR(R262="EAL",S262="EAL",T262="EAL",U262="EAL"),"EAL",IF(R262='Writing Logic'!$A$10,AVERAGE(VLOOKUP(S262,'Writing Logic'!$A$3:$B$7,2,FALSE),VLOOKUP(T262,'Writing Logic'!$A$3:$B$7,2,FALSE),VLOOKUP(U262,'Writing Logic'!$A$3:$B$7,2,FALSE)),AVERAGE(VLOOKUP(R262,'Writing Logic'!$A$3:$B$7,2,FALSE),VLOOKUP(S262,'Writing Logic'!$A$3:$B$7,2,FALSE),VLOOKUP(T262,'Writing Logic'!$A$3:$B$7,2,FALSE),VLOOKUP(U262,'Writing Logic'!$A$3:$B$7,2,FALSE))))),"Fill All 4")</f>
        <v>Fill All 4</v>
      </c>
      <c r="W262" s="95" t="str">
        <f t="shared" ref="W262" si="20">IFERROR(V262-$Q262,"")</f>
        <v/>
      </c>
      <c r="X262" s="120"/>
      <c r="Y262" s="120"/>
      <c r="Z262" s="120"/>
      <c r="AA262" s="120"/>
      <c r="AB262" s="95" t="str">
        <f>IFERROR(IF(YES_Writing_ELA[[#This Row],[Literacy IPP]]='Writing Logic'!$E$26,"IPP",IF(OR(X262="EAL",Y262="EAL",Z262="EAL",AA262="EAL"),"EAL",IF(X262='Writing Logic'!$A$10,AVERAGE(VLOOKUP(Y262,'Writing Logic'!$A$3:$B$7,2,FALSE),VLOOKUP(Z262,'Writing Logic'!$A$3:$B$7,2,FALSE),VLOOKUP(AA262,'Writing Logic'!$A$3:$B$7,2,FALSE)),AVERAGE(VLOOKUP(X262,'Writing Logic'!$A$3:$B$7,2,FALSE),VLOOKUP(Y262,'Writing Logic'!$A$3:$B$7,2,FALSE),VLOOKUP(Z262,'Writing Logic'!$A$3:$B$7,2,FALSE),VLOOKUP(AA262,'Writing Logic'!$A$3:$B$7,2,FALSE))))),"Fill All 4")</f>
        <v>Fill All 4</v>
      </c>
      <c r="AC262" s="95" t="str">
        <f t="shared" ref="AC262" si="21">IFERROR(AB262-$Q262,"")</f>
        <v/>
      </c>
      <c r="AD262" s="120"/>
      <c r="AE262" s="120"/>
      <c r="AF262" s="120"/>
      <c r="AG262" s="120"/>
      <c r="AH262" s="95" t="str">
        <f>IFERROR(IF(YES_Writing_ELA[[#This Row],[Literacy IPP]]='Writing Logic'!$E$26,"IPP",IF(OR(AD262="EAL",AE262="EAL",AF262="EAL",AG262="EAL"),"EAL",IF(AD262='Writing Logic'!$A$10,AVERAGE(VLOOKUP(AE262,'Writing Logic'!$A$3:$B$7,2,FALSE),VLOOKUP(AF262,'Writing Logic'!$A$3:$B$7,2,FALSE),VLOOKUP(AG262,'Writing Logic'!$A$3:$B$7,2,FALSE)),AVERAGE(VLOOKUP(AD262,'Writing Logic'!$A$3:$B$7,2,FALSE),VLOOKUP(AE262,'Writing Logic'!$A$3:$B$7,2,FALSE),VLOOKUP(AF262,'Writing Logic'!$A$3:$B$7,2,FALSE),VLOOKUP(AG262,'Writing Logic'!$A$3:$B$7,2,FALSE))))),"Fill All 4")</f>
        <v>Fill All 4</v>
      </c>
      <c r="AI262" s="95" t="str">
        <f t="shared" ref="AI262" si="22">IFERROR(AH262-$Q262,"")</f>
        <v/>
      </c>
      <c r="AJ262" s="120"/>
      <c r="AK262" s="120"/>
      <c r="AL262" s="120"/>
      <c r="AM262" s="120"/>
      <c r="AN262" s="95" t="str">
        <f>IFERROR(IF(YES_Writing_ELA[[#This Row],[Literacy IPP]]='Writing Logic'!$E$26,"IPP",IF(OR(AJ262="EAL",AK262="EAL",AL262="EAL",AM262="EAL"),"EAL",IF(AJ262='Writing Logic'!$A$10,AVERAGE(VLOOKUP(AK262,'Writing Logic'!$A$3:$B$7,2,FALSE),VLOOKUP(AL262,'Writing Logic'!$A$3:$B$7,2,FALSE),VLOOKUP(AM262,'Writing Logic'!$A$3:$B$7,2,FALSE)),AVERAGE(VLOOKUP(AJ262,'Writing Logic'!$A$3:$B$7,2,FALSE),VLOOKUP(AK262,'Writing Logic'!$A$3:$B$7,2,FALSE),VLOOKUP(AL262,'Writing Logic'!$A$3:$B$7,2,FALSE),VLOOKUP(AM262,'Writing Logic'!$A$3:$B$7,2,FALSE))))),"Fill All 4")</f>
        <v>Fill All 4</v>
      </c>
      <c r="AO262" s="95" t="str">
        <f t="shared" ref="AO262" si="23">IFERROR(AN262-$Q262,"")</f>
        <v/>
      </c>
      <c r="AP262" s="120"/>
      <c r="AQ262" s="120"/>
      <c r="AR262" s="120"/>
      <c r="AS262" s="120"/>
      <c r="AT262" s="95" t="str">
        <f>IFERROR(IF(YES_Writing_ELA[[#This Row],[Literacy IPP]]='Writing Logic'!$E$26,"IPP",IF(OR(AP262="EAL",AQ262="EAL",AR262="EAL",AS262="EAL"),"EAL",IF(AP262='Writing Logic'!$A$10,AVERAGE(VLOOKUP(AQ262,'Writing Logic'!$A$3:$B$7,2,FALSE),VLOOKUP(AR262,'Writing Logic'!$A$3:$B$7,2,FALSE),VLOOKUP(AS262,'Writing Logic'!$A$3:$B$7,2,FALSE)),AVERAGE(VLOOKUP(AP262,'Writing Logic'!$A$3:$B$7,2,FALSE),VLOOKUP(AQ262,'Writing Logic'!$A$3:$B$7,2,FALSE),VLOOKUP(AR262,'Writing Logic'!$A$3:$B$7,2,FALSE),VLOOKUP(AS262,'Writing Logic'!$A$3:$B$7,2,FALSE))))),"Fill All 4")</f>
        <v>Fill All 4</v>
      </c>
      <c r="AU262" s="95" t="str">
        <f t="shared" ref="AU262" si="24">IFERROR(AT262-$Q262,"")</f>
        <v/>
      </c>
    </row>
    <row r="265" spans="1:47" x14ac:dyDescent="0.25">
      <c r="W265" t="s">
        <v>168</v>
      </c>
      <c r="X265">
        <f>COUNTIF(YES_Writing_ELA[Conventions - Per 3],$W265)</f>
        <v>0</v>
      </c>
      <c r="Y265">
        <f>COUNTIF(YES_Writing_ELA[Organization - Per 3],$W265)</f>
        <v>0</v>
      </c>
      <c r="Z265">
        <f>COUNTIF(YES_Writing_ELA[Ideas - Per 3],$W265)</f>
        <v>0</v>
      </c>
      <c r="AA265">
        <f>COUNTIF(YES_Writing_ELA[Language Use - Per 3],$W265)</f>
        <v>0</v>
      </c>
    </row>
    <row r="266" spans="1:47" x14ac:dyDescent="0.25">
      <c r="W266">
        <v>1</v>
      </c>
      <c r="X266">
        <f>COUNTIF(YES_Writing_ELA[Conventions - Per 3],$W266)</f>
        <v>0</v>
      </c>
      <c r="Y266">
        <f>COUNTIF(YES_Writing_ELA[Organization - Per 3],$W266)</f>
        <v>0</v>
      </c>
      <c r="Z266">
        <f>COUNTIF(YES_Writing_ELA[Ideas - Per 3],$W266)</f>
        <v>0</v>
      </c>
      <c r="AA266">
        <f>COUNTIF(YES_Writing_ELA[Language Use - Per 3],$W266)</f>
        <v>0</v>
      </c>
    </row>
    <row r="267" spans="1:47" x14ac:dyDescent="0.25">
      <c r="W267">
        <v>2</v>
      </c>
      <c r="X267">
        <f>COUNTIF(YES_Writing_ELA[Conventions - Per 3],$W267)</f>
        <v>0</v>
      </c>
      <c r="Y267">
        <f>COUNTIF(YES_Writing_ELA[Organization - Per 3],$W267)</f>
        <v>0</v>
      </c>
      <c r="Z267">
        <f>COUNTIF(YES_Writing_ELA[Ideas - Per 3],$W267)</f>
        <v>0</v>
      </c>
      <c r="AA267">
        <f>COUNTIF(YES_Writing_ELA[Language Use - Per 3],$W267)</f>
        <v>0</v>
      </c>
    </row>
    <row r="268" spans="1:47" x14ac:dyDescent="0.25">
      <c r="W268">
        <v>3</v>
      </c>
      <c r="X268">
        <f>COUNTIF(YES_Writing_ELA[Conventions - Per 3],$W268)</f>
        <v>0</v>
      </c>
      <c r="Y268">
        <f>COUNTIF(YES_Writing_ELA[Organization - Per 3],$W268)</f>
        <v>0</v>
      </c>
      <c r="Z268">
        <f>COUNTIF(YES_Writing_ELA[Ideas - Per 3],$W268)</f>
        <v>0</v>
      </c>
      <c r="AA268">
        <f>COUNTIF(YES_Writing_ELA[Language Use - Per 3],$W268)</f>
        <v>0</v>
      </c>
    </row>
    <row r="269" spans="1:47" x14ac:dyDescent="0.25">
      <c r="W269">
        <v>4</v>
      </c>
      <c r="X269">
        <f>COUNTIF(YES_Writing_ELA[Conventions - Per 3],$W269)</f>
        <v>0</v>
      </c>
      <c r="Y269">
        <f>COUNTIF(YES_Writing_ELA[Organization - Per 3],$W269)</f>
        <v>0</v>
      </c>
      <c r="Z269">
        <f>COUNTIF(YES_Writing_ELA[Ideas - Per 3],$W269)</f>
        <v>0</v>
      </c>
      <c r="AA269">
        <f>COUNTIF(YES_Writing_ELA[Language Use - Per 3],$W269)</f>
        <v>0</v>
      </c>
    </row>
    <row r="270" spans="1:47" x14ac:dyDescent="0.25">
      <c r="W270" t="s">
        <v>171</v>
      </c>
      <c r="X270">
        <f>COUNTIF(YES_Writing_ELA[Conventions - Per 3],$W270)</f>
        <v>0</v>
      </c>
      <c r="Y270">
        <f>COUNTIF(YES_Writing_ELA[Organization - Per 3],$W270)</f>
        <v>0</v>
      </c>
      <c r="Z270">
        <f>COUNTIF(YES_Writing_ELA[Ideas - Per 3],$W270)</f>
        <v>0</v>
      </c>
      <c r="AA270">
        <f>COUNTIF(YES_Writing_ELA[Language Use - Per 3],$W270)</f>
        <v>0</v>
      </c>
    </row>
    <row r="271" spans="1:47" x14ac:dyDescent="0.25">
      <c r="X271">
        <f>SUM(X265:X270)</f>
        <v>0</v>
      </c>
      <c r="Y271">
        <f t="shared" ref="Y271:AA271" si="25">SUM(Y265:Y270)</f>
        <v>0</v>
      </c>
      <c r="Z271">
        <f t="shared" si="25"/>
        <v>0</v>
      </c>
      <c r="AA271">
        <f t="shared" si="25"/>
        <v>0</v>
      </c>
    </row>
  </sheetData>
  <mergeCells count="6">
    <mergeCell ref="AP1:AU1"/>
    <mergeCell ref="M1:Q1"/>
    <mergeCell ref="R1:W1"/>
    <mergeCell ref="X1:AC1"/>
    <mergeCell ref="AD1:AI1"/>
    <mergeCell ref="AJ1:AO1"/>
  </mergeCells>
  <conditionalFormatting sqref="W3:W262 AO3:AO262 AC3:AC262 AI3:AI262 AU3:AU262">
    <cfRule type="cellIs" dxfId="337" priority="10" operator="equal">
      <formula>"INS"</formula>
    </cfRule>
    <cfRule type="cellIs" priority="11" stopIfTrue="1" operator="notBetween">
      <formula>1</formula>
      <formula>4</formula>
    </cfRule>
    <cfRule type="cellIs" priority="12" stopIfTrue="1" operator="equal">
      <formula>""</formula>
    </cfRule>
  </conditionalFormatting>
  <conditionalFormatting sqref="W3:W262 AC3:AC262 AI3:AI262 AO3:AO262 AU3:AU262">
    <cfRule type="cellIs" dxfId="336" priority="28" operator="equal">
      <formula>0</formula>
    </cfRule>
    <cfRule type="cellIs" dxfId="335" priority="29" operator="greaterThan">
      <formula>0</formula>
    </cfRule>
    <cfRule type="cellIs" dxfId="334" priority="30" operator="lessThan">
      <formula>0</formula>
    </cfRule>
  </conditionalFormatting>
  <conditionalFormatting sqref="W3:W262 AC3:AC262 AI3:AI262 AO3:AO262 AU3:AU262">
    <cfRule type="cellIs" priority="6" stopIfTrue="1" operator="equal">
      <formula>""</formula>
    </cfRule>
    <cfRule type="cellIs" dxfId="333" priority="7" operator="equal">
      <formula>0</formula>
    </cfRule>
    <cfRule type="cellIs" dxfId="332" priority="8" operator="lessThan">
      <formula>0</formula>
    </cfRule>
    <cfRule type="cellIs" dxfId="331" priority="9" operator="greaterThan">
      <formula>0</formula>
    </cfRule>
  </conditionalFormatting>
  <conditionalFormatting sqref="AP3:AT262 AJ3:AN262 AD3:AH262 X3:AB262 M3:V262">
    <cfRule type="cellIs" priority="2" stopIfTrue="1" operator="equal">
      <formula>""</formula>
    </cfRule>
  </conditionalFormatting>
  <conditionalFormatting sqref="AP3:AT262 AJ3:AN262 AD3:AH262 X3:AB262 M3:V262">
    <cfRule type="cellIs" priority="1" stopIfTrue="1" operator="equal">
      <formula>"Fill All 4"</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ellIs" priority="5" operator="greaterThan" id="{DB9F4D6F-7CA2-44C2-95B7-09D22FC74E52}">
            <xm:f>'Writing Logic'!$F$3</xm:f>
            <x14:dxf>
              <font>
                <color rgb="FF006100"/>
              </font>
              <fill>
                <patternFill>
                  <bgColor rgb="FFC6EFCE"/>
                </patternFill>
              </fill>
            </x14:dxf>
          </x14:cfRule>
          <xm:sqref>AP3:AT262 AJ3:AN262 AD3:AH262 X3:AB262 M3:V262</xm:sqref>
        </x14:conditionalFormatting>
        <x14:conditionalFormatting xmlns:xm="http://schemas.microsoft.com/office/excel/2006/main">
          <x14:cfRule type="cellIs" priority="4" operator="lessThan" id="{C425C068-9507-45D8-B9C9-E9C8492C7CB7}">
            <xm:f>'Writing Logic'!$F$4</xm:f>
            <x14:dxf>
              <font>
                <color rgb="FF9C0006"/>
              </font>
              <fill>
                <patternFill>
                  <bgColor rgb="FFFFC7CE"/>
                </patternFill>
              </fill>
            </x14:dxf>
          </x14:cfRule>
          <xm:sqref>AP3:AT262 AJ3:AN262 AD3:AH262 X3:AB262 M3:V262</xm:sqref>
        </x14:conditionalFormatting>
        <x14:conditionalFormatting xmlns:xm="http://schemas.microsoft.com/office/excel/2006/main">
          <x14:cfRule type="cellIs" priority="3" operator="between" id="{AB6F4A27-45FE-4390-BEDC-B4B92405FBF8}">
            <xm:f>'Writing Logic'!$F$5</xm:f>
            <xm:f>'Writing Logic'!$G$5</xm:f>
            <x14:dxf>
              <font>
                <color rgb="FF9C5700"/>
              </font>
              <fill>
                <patternFill>
                  <bgColor rgb="FFFFEB9C"/>
                </patternFill>
              </fill>
            </x14:dxf>
          </x14:cfRule>
          <xm:sqref>AP3:AT262 AJ3:AN262 AD3:AH262 X3:AB262 M3:V262</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E03B806-C4A0-49D8-ABD2-EB2F050784A4}">
          <x14:formula1>
            <xm:f>'FLA Reading Logic'!$G$22:$G$28</xm:f>
          </x14:formula1>
          <xm:sqref>E248:E262</xm:sqref>
        </x14:dataValidation>
        <x14:dataValidation type="list" allowBlank="1" showInputMessage="1" showErrorMessage="1" xr:uid="{6EF00580-60AA-4DE1-9444-A3A36976225F}">
          <x14:formula1>
            <xm:f>'Writing Logic'!$E$26:$E$27</xm:f>
          </x14:formula1>
          <xm:sqref>K3:K262</xm:sqref>
        </x14:dataValidation>
        <x14:dataValidation type="list" allowBlank="1" showInputMessage="1" showErrorMessage="1" xr:uid="{FC08B2F7-6C86-42FF-ADD0-D85C04F70B11}">
          <x14:formula1>
            <xm:f>'Writing Logic'!$A$3:$A$10</xm:f>
          </x14:formula1>
          <xm:sqref>M3:P262 X3:AA262 AD3:AG262 AJ3:AM262 AP3:AS262 R3:U262</xm:sqref>
        </x14:dataValidation>
        <x14:dataValidation type="list" allowBlank="1" showInputMessage="1" showErrorMessage="1" xr:uid="{34EB4C97-2400-4B82-B2E5-22862F6F2454}">
          <x14:formula1>
            <xm:f>'Writing Logic'!$J$26:$J$35</xm:f>
          </x14:formula1>
          <xm:sqref>M1:AU1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17FE8-88EB-4D86-A0E2-1B7F45525CD1}">
  <sheetPr codeName="Sheet13"/>
  <dimension ref="A1:AU42"/>
  <sheetViews>
    <sheetView workbookViewId="0">
      <pane xSplit="4" ySplit="2" topLeftCell="AJ26" activePane="bottomRight" state="frozen"/>
      <selection pane="topRight" activeCell="C10" sqref="C10:F10"/>
      <selection pane="bottomLeft" activeCell="C10" sqref="C10:F10"/>
      <selection pane="bottomRight" activeCell="AV2" sqref="AV1:BA1048576"/>
    </sheetView>
  </sheetViews>
  <sheetFormatPr defaultRowHeight="15" x14ac:dyDescent="0.25"/>
  <cols>
    <col min="1" max="1" width="18" customWidth="1"/>
    <col min="2" max="2" width="32.5703125" customWidth="1"/>
    <col min="3" max="3" width="29.42578125" customWidth="1"/>
    <col min="4" max="4" width="16.28515625" bestFit="1" customWidth="1"/>
  </cols>
  <sheetData>
    <row r="1" spans="1:47" ht="24" customHeight="1" thickBot="1" x14ac:dyDescent="0.3">
      <c r="A1" s="11"/>
      <c r="B1" s="12"/>
      <c r="C1" s="11"/>
      <c r="D1" s="10"/>
      <c r="E1" s="116"/>
      <c r="F1" s="3"/>
      <c r="G1" s="3"/>
      <c r="H1" s="3"/>
      <c r="I1" s="3"/>
      <c r="J1" s="3"/>
      <c r="K1" s="3"/>
      <c r="L1" s="117"/>
      <c r="M1" s="305" t="str">
        <f>IF('ELA Writing Data'!M1="","",'ELA Writing Data'!M1)</f>
        <v>November</v>
      </c>
      <c r="N1" s="306"/>
      <c r="O1" s="306"/>
      <c r="P1" s="306"/>
      <c r="Q1" s="307"/>
      <c r="R1" s="305" t="str">
        <f>IF('ELA Writing Data'!R1="","",'ELA Writing Data'!R1)</f>
        <v>December</v>
      </c>
      <c r="S1" s="306"/>
      <c r="T1" s="306"/>
      <c r="U1" s="306"/>
      <c r="V1" s="306"/>
      <c r="W1" s="307"/>
      <c r="X1" s="302" t="str">
        <f>IF('ELA Writing Data'!X1="","",'ELA Writing Data'!X1)</f>
        <v>February</v>
      </c>
      <c r="Y1" s="303"/>
      <c r="Z1" s="303"/>
      <c r="AA1" s="303"/>
      <c r="AB1" s="303"/>
      <c r="AC1" s="304"/>
      <c r="AD1" s="302" t="str">
        <f>IF('ELA Writing Data'!AD1="","",'ELA Writing Data'!AD1)</f>
        <v>March</v>
      </c>
      <c r="AE1" s="303"/>
      <c r="AF1" s="303"/>
      <c r="AG1" s="303"/>
      <c r="AH1" s="303"/>
      <c r="AI1" s="304"/>
      <c r="AJ1" s="302" t="str">
        <f>IF('ELA Writing Data'!AJ1="","",'ELA Writing Data'!AJ1)</f>
        <v>April</v>
      </c>
      <c r="AK1" s="303"/>
      <c r="AL1" s="303"/>
      <c r="AM1" s="303"/>
      <c r="AN1" s="303"/>
      <c r="AO1" s="304"/>
      <c r="AP1" s="302" t="str">
        <f>IF('ELA Writing Data'!AP1="","",'ELA Writing Data'!AP1)</f>
        <v>May</v>
      </c>
      <c r="AQ1" s="303"/>
      <c r="AR1" s="303"/>
      <c r="AS1" s="303"/>
      <c r="AT1" s="303"/>
      <c r="AU1" s="304"/>
    </row>
    <row r="2" spans="1:47" ht="87.75" x14ac:dyDescent="0.25">
      <c r="A2" s="101" t="s">
        <v>44</v>
      </c>
      <c r="B2" s="102" t="s">
        <v>45</v>
      </c>
      <c r="C2" s="102" t="s">
        <v>46</v>
      </c>
      <c r="D2" s="102" t="s">
        <v>47</v>
      </c>
      <c r="E2" s="103" t="s">
        <v>53</v>
      </c>
      <c r="F2" s="103" t="s">
        <v>54</v>
      </c>
      <c r="G2" s="103" t="s">
        <v>55</v>
      </c>
      <c r="H2" s="103" t="s">
        <v>56</v>
      </c>
      <c r="I2" s="103" t="s">
        <v>57</v>
      </c>
      <c r="J2" s="103" t="s">
        <v>58</v>
      </c>
      <c r="K2" s="103" t="s">
        <v>48</v>
      </c>
      <c r="L2" s="104" t="s">
        <v>59</v>
      </c>
      <c r="M2" s="103" t="s">
        <v>132</v>
      </c>
      <c r="N2" s="103" t="s">
        <v>133</v>
      </c>
      <c r="O2" s="103" t="s">
        <v>134</v>
      </c>
      <c r="P2" s="103" t="s">
        <v>135</v>
      </c>
      <c r="Q2" s="103" t="s">
        <v>136</v>
      </c>
      <c r="R2" s="103" t="s">
        <v>137</v>
      </c>
      <c r="S2" s="103" t="s">
        <v>138</v>
      </c>
      <c r="T2" s="103" t="s">
        <v>139</v>
      </c>
      <c r="U2" s="103" t="s">
        <v>140</v>
      </c>
      <c r="V2" s="103" t="s">
        <v>141</v>
      </c>
      <c r="W2" s="103" t="s">
        <v>142</v>
      </c>
      <c r="X2" s="103" t="s">
        <v>143</v>
      </c>
      <c r="Y2" s="103" t="s">
        <v>144</v>
      </c>
      <c r="Z2" s="103" t="s">
        <v>145</v>
      </c>
      <c r="AA2" s="103" t="s">
        <v>146</v>
      </c>
      <c r="AB2" s="103" t="s">
        <v>147</v>
      </c>
      <c r="AC2" s="103" t="s">
        <v>148</v>
      </c>
      <c r="AD2" s="103" t="s">
        <v>149</v>
      </c>
      <c r="AE2" s="103" t="s">
        <v>150</v>
      </c>
      <c r="AF2" s="103" t="s">
        <v>151</v>
      </c>
      <c r="AG2" s="103" t="s">
        <v>152</v>
      </c>
      <c r="AH2" s="103" t="s">
        <v>153</v>
      </c>
      <c r="AI2" s="103" t="s">
        <v>154</v>
      </c>
      <c r="AJ2" s="103" t="s">
        <v>155</v>
      </c>
      <c r="AK2" s="103" t="s">
        <v>156</v>
      </c>
      <c r="AL2" s="103" t="s">
        <v>157</v>
      </c>
      <c r="AM2" s="103" t="s">
        <v>158</v>
      </c>
      <c r="AN2" s="103" t="s">
        <v>159</v>
      </c>
      <c r="AO2" s="103" t="s">
        <v>160</v>
      </c>
      <c r="AP2" s="103" t="s">
        <v>161</v>
      </c>
      <c r="AQ2" s="103" t="s">
        <v>162</v>
      </c>
      <c r="AR2" s="103" t="s">
        <v>163</v>
      </c>
      <c r="AS2" s="103" t="s">
        <v>164</v>
      </c>
      <c r="AT2" s="103" t="s">
        <v>165</v>
      </c>
      <c r="AU2" s="103" t="s">
        <v>166</v>
      </c>
    </row>
    <row r="3" spans="1:47" ht="22.5" customHeight="1" x14ac:dyDescent="0.25">
      <c r="A3" s="96"/>
      <c r="B3" s="96"/>
      <c r="C3" s="96"/>
      <c r="D3" s="96"/>
      <c r="E3" s="96"/>
      <c r="F3" s="96"/>
      <c r="G3" s="96"/>
      <c r="H3" s="96"/>
      <c r="I3" s="96"/>
      <c r="J3" s="96"/>
      <c r="K3" s="120"/>
      <c r="L3" s="121"/>
      <c r="M3" s="120"/>
      <c r="N3" s="120"/>
      <c r="O3" s="120"/>
      <c r="P3" s="120"/>
      <c r="Q3" s="95" t="str">
        <f>IFERROR(IF(YES_Writing_FLA[[#This Row],[Literacy IPP]]='Writing Logic'!$E$26,"IPP",IF(OR(M3="EAL",N3="EAL",O3="EAL",P3="EAL"),"EAL",IF(M3='Writing Logic'!$A$10,AVERAGE(VLOOKUP(N3,'Writing Logic'!$A$3:$B$7,2,FALSE),VLOOKUP(O3,'Writing Logic'!$A$3:$B$7,2,FALSE),VLOOKUP(P3,'Writing Logic'!$A$3:$B$7,2,FALSE)),AVERAGE(VLOOKUP(M3,'Writing Logic'!$A$3:$B$7,2,FALSE),VLOOKUP(N3,'Writing Logic'!$A$3:$B$7,2,FALSE),VLOOKUP(O3,'Writing Logic'!$A$3:$B$7,2,FALSE),VLOOKUP(P3,'Writing Logic'!$A$3:$B$7,2,FALSE))))),"Fill All 4")</f>
        <v>Fill All 4</v>
      </c>
      <c r="R3" s="120"/>
      <c r="S3" s="120"/>
      <c r="T3" s="120"/>
      <c r="U3" s="120"/>
      <c r="V3" s="95" t="str">
        <f>IFERROR(IF(YES_Writing_FLA[[#This Row],[Literacy IPP]]='Writing Logic'!$E$26,"IPP",IF(OR(R3="EAL",S3="EAL",T3="EAL",U3="EAL"),"EAL",IF(R3='Writing Logic'!$A$10,AVERAGE(VLOOKUP(S3,'Writing Logic'!$A$3:$B$7,2,FALSE),VLOOKUP(T3,'Writing Logic'!$A$3:$B$7,2,FALSE),VLOOKUP(U3,'Writing Logic'!$A$3:$B$7,2,FALSE)),AVERAGE(VLOOKUP(R3,'Writing Logic'!$A$3:$B$7,2,FALSE),VLOOKUP(S3,'Writing Logic'!$A$3:$B$7,2,FALSE),VLOOKUP(T3,'Writing Logic'!$A$3:$B$7,2,FALSE),VLOOKUP(U3,'Writing Logic'!$A$3:$B$7,2,FALSE))))),"Fill All 4")</f>
        <v>Fill All 4</v>
      </c>
      <c r="W3" s="95" t="str">
        <f>IFERROR(V3-$Q3,"")</f>
        <v/>
      </c>
      <c r="X3" s="120"/>
      <c r="Y3" s="120"/>
      <c r="Z3" s="120"/>
      <c r="AA3" s="120"/>
      <c r="AB3" s="95" t="str">
        <f>IFERROR(IF(YES_Writing_FLA[[#This Row],[Literacy IPP]]='Writing Logic'!$E$26,"IPP",IF(OR(X3="EAL",Y3="EAL",Z3="EAL",AA3="EAL"),"EAL",IF(X3='Writing Logic'!$A$10,AVERAGE(VLOOKUP(Y3,'Writing Logic'!$A$3:$B$7,2,FALSE),VLOOKUP(Z3,'Writing Logic'!$A$3:$B$7,2,FALSE),VLOOKUP(AA3,'Writing Logic'!$A$3:$B$7,2,FALSE)),AVERAGE(VLOOKUP(X3,'Writing Logic'!$A$3:$B$7,2,FALSE),VLOOKUP(Y3,'Writing Logic'!$A$3:$B$7,2,FALSE),VLOOKUP(Z3,'Writing Logic'!$A$3:$B$7,2,FALSE),VLOOKUP(AA3,'Writing Logic'!$A$3:$B$7,2,FALSE))))),"Fill All 4")</f>
        <v>Fill All 4</v>
      </c>
      <c r="AC3" s="95" t="str">
        <f>IFERROR(AB3-$Q3,"")</f>
        <v/>
      </c>
      <c r="AD3" s="120"/>
      <c r="AE3" s="120"/>
      <c r="AF3" s="120"/>
      <c r="AG3" s="120"/>
      <c r="AH3" s="95" t="str">
        <f>IFERROR(IF(YES_Writing_FLA[[#This Row],[Literacy IPP]]='Writing Logic'!$E$26,"IPP",IF(OR(AD3="EAL",AE3="EAL",AF3="EAL",AG3="EAL"),"EAL",IF(AD3='Writing Logic'!$A$10,AVERAGE(VLOOKUP(AE3,'Writing Logic'!$A$3:$B$7,2,FALSE),VLOOKUP(AF3,'Writing Logic'!$A$3:$B$7,2,FALSE),VLOOKUP(AG3,'Writing Logic'!$A$3:$B$7,2,FALSE)),AVERAGE(VLOOKUP(AD3,'Writing Logic'!$A$3:$B$7,2,FALSE),VLOOKUP(AE3,'Writing Logic'!$A$3:$B$7,2,FALSE),VLOOKUP(AF3,'Writing Logic'!$A$3:$B$7,2,FALSE),VLOOKUP(AG3,'Writing Logic'!$A$3:$B$7,2,FALSE))))),"Fill All 4")</f>
        <v>Fill All 4</v>
      </c>
      <c r="AI3" s="95" t="str">
        <f>IFERROR(AH3-$Q3,"")</f>
        <v/>
      </c>
      <c r="AJ3" s="183"/>
      <c r="AK3" s="120"/>
      <c r="AL3" s="120"/>
      <c r="AM3" s="120"/>
      <c r="AN3" s="95" t="str">
        <f>IFERROR(IF(YES_Writing_FLA[[#This Row],[Literacy IPP]]='Writing Logic'!$E$26,"IPP",IF(OR(AJ3="EAL",AK3="EAL",AL3="EAL",AM3="EAL"),"EAL",IF(AJ3='Writing Logic'!$A$10,AVERAGE(VLOOKUP(AK3,'Writing Logic'!$A$3:$B$7,2,FALSE),VLOOKUP(AL3,'Writing Logic'!$A$3:$B$7,2,FALSE),VLOOKUP(AM3,'Writing Logic'!$A$3:$B$7,2,FALSE)),AVERAGE(VLOOKUP(AJ3,'Writing Logic'!$A$3:$B$7,2,FALSE),VLOOKUP(AK3,'Writing Logic'!$A$3:$B$7,2,FALSE),VLOOKUP(AL3,'Writing Logic'!$A$3:$B$7,2,FALSE),VLOOKUP(AM3,'Writing Logic'!$A$3:$B$7,2,FALSE))))),"Fill All 4")</f>
        <v>Fill All 4</v>
      </c>
      <c r="AO3" s="95" t="str">
        <f>IFERROR(AN3-$Q3,"")</f>
        <v/>
      </c>
      <c r="AP3" s="120"/>
      <c r="AQ3" s="120"/>
      <c r="AR3" s="120"/>
      <c r="AS3" s="120"/>
      <c r="AT3" s="95" t="str">
        <f>IFERROR(IF(YES_Writing_FLA[[#This Row],[Literacy IPP]]='Writing Logic'!$E$26,"IPP",IF(OR(AP3="EAL",AQ3="EAL",AR3="EAL",AS3="EAL"),"EAL",IF(AP3='Writing Logic'!$A$10,AVERAGE(VLOOKUP(AQ3,'Writing Logic'!$A$3:$B$7,2,FALSE),VLOOKUP(AR3,'Writing Logic'!$A$3:$B$7,2,FALSE),VLOOKUP(AS3,'Writing Logic'!$A$3:$B$7,2,FALSE)),AVERAGE(VLOOKUP(AP3,'Writing Logic'!$A$3:$B$7,2,FALSE),VLOOKUP(AQ3,'Writing Logic'!$A$3:$B$7,2,FALSE),VLOOKUP(AR3,'Writing Logic'!$A$3:$B$7,2,FALSE),VLOOKUP(AS3,'Writing Logic'!$A$3:$B$7,2,FALSE))))),"Fill All 4")</f>
        <v>Fill All 4</v>
      </c>
      <c r="AU3" s="95" t="str">
        <f>IFERROR(AT3-$Q3,"")</f>
        <v/>
      </c>
    </row>
    <row r="4" spans="1:47" ht="22.5" customHeight="1" x14ac:dyDescent="0.25">
      <c r="A4" s="95"/>
      <c r="B4" s="97"/>
      <c r="C4" s="97"/>
      <c r="D4" s="97"/>
      <c r="E4" s="96"/>
      <c r="F4" s="96"/>
      <c r="G4" s="96"/>
      <c r="H4" s="96"/>
      <c r="I4" s="96"/>
      <c r="J4" s="96"/>
      <c r="K4" s="120"/>
      <c r="L4" s="121"/>
      <c r="M4" s="120"/>
      <c r="N4" s="120"/>
      <c r="O4" s="120"/>
      <c r="P4" s="120"/>
      <c r="Q4" s="95" t="str">
        <f>IFERROR(IF(YES_Writing_FLA[[#This Row],[Literacy IPP]]='Writing Logic'!$E$26,"IPP",IF(OR(M4="EAL",N4="EAL",O4="EAL",P4="EAL"),"EAL",IF(M4='Writing Logic'!$A$10,AVERAGE(VLOOKUP(N4,'Writing Logic'!$A$3:$B$7,2,FALSE),VLOOKUP(O4,'Writing Logic'!$A$3:$B$7,2,FALSE),VLOOKUP(P4,'Writing Logic'!$A$3:$B$7,2,FALSE)),AVERAGE(VLOOKUP(M4,'Writing Logic'!$A$3:$B$7,2,FALSE),VLOOKUP(N4,'Writing Logic'!$A$3:$B$7,2,FALSE),VLOOKUP(O4,'Writing Logic'!$A$3:$B$7,2,FALSE),VLOOKUP(P4,'Writing Logic'!$A$3:$B$7,2,FALSE))))),"Fill All 4")</f>
        <v>Fill All 4</v>
      </c>
      <c r="R4" s="120"/>
      <c r="S4" s="120"/>
      <c r="T4" s="120"/>
      <c r="U4" s="120"/>
      <c r="V4" s="95" t="str">
        <f>IFERROR(IF(YES_Writing_FLA[[#This Row],[Literacy IPP]]='Writing Logic'!$E$26,"IPP",IF(OR(R4="EAL",S4="EAL",T4="EAL",U4="EAL"),"EAL",IF(R4='Writing Logic'!$A$10,AVERAGE(VLOOKUP(S4,'Writing Logic'!$A$3:$B$7,2,FALSE),VLOOKUP(T4,'Writing Logic'!$A$3:$B$7,2,FALSE),VLOOKUP(U4,'Writing Logic'!$A$3:$B$7,2,FALSE)),AVERAGE(VLOOKUP(R4,'Writing Logic'!$A$3:$B$7,2,FALSE),VLOOKUP(S4,'Writing Logic'!$A$3:$B$7,2,FALSE),VLOOKUP(T4,'Writing Logic'!$A$3:$B$7,2,FALSE),VLOOKUP(U4,'Writing Logic'!$A$3:$B$7,2,FALSE))))),"Fill All 4")</f>
        <v>Fill All 4</v>
      </c>
      <c r="W4" s="95" t="str">
        <f>IFERROR(V4-$Q4,"")</f>
        <v/>
      </c>
      <c r="X4" s="120"/>
      <c r="Y4" s="120"/>
      <c r="Z4" s="120"/>
      <c r="AA4" s="120"/>
      <c r="AB4" s="95" t="str">
        <f>IFERROR(IF(YES_Writing_FLA[[#This Row],[Literacy IPP]]='Writing Logic'!$E$26,"IPP",IF(OR(X4="EAL",Y4="EAL",Z4="EAL",AA4="EAL"),"EAL",IF(X4='Writing Logic'!$A$10,AVERAGE(VLOOKUP(Y4,'Writing Logic'!$A$3:$B$7,2,FALSE),VLOOKUP(Z4,'Writing Logic'!$A$3:$B$7,2,FALSE),VLOOKUP(AA4,'Writing Logic'!$A$3:$B$7,2,FALSE)),AVERAGE(VLOOKUP(X4,'Writing Logic'!$A$3:$B$7,2,FALSE),VLOOKUP(Y4,'Writing Logic'!$A$3:$B$7,2,FALSE),VLOOKUP(Z4,'Writing Logic'!$A$3:$B$7,2,FALSE),VLOOKUP(AA4,'Writing Logic'!$A$3:$B$7,2,FALSE))))),"Fill All 4")</f>
        <v>Fill All 4</v>
      </c>
      <c r="AC4" s="95" t="str">
        <f>IFERROR(AB4-$Q4,"")</f>
        <v/>
      </c>
      <c r="AD4" s="120"/>
      <c r="AE4" s="120"/>
      <c r="AF4" s="120"/>
      <c r="AG4" s="120"/>
      <c r="AH4" s="95" t="str">
        <f>IFERROR(IF(YES_Writing_FLA[[#This Row],[Literacy IPP]]='Writing Logic'!$E$26,"IPP",IF(OR(AD4="EAL",AE4="EAL",AF4="EAL",AG4="EAL"),"EAL",IF(AD4='Writing Logic'!$A$10,AVERAGE(VLOOKUP(AE4,'Writing Logic'!$A$3:$B$7,2,FALSE),VLOOKUP(AF4,'Writing Logic'!$A$3:$B$7,2,FALSE),VLOOKUP(AG4,'Writing Logic'!$A$3:$B$7,2,FALSE)),AVERAGE(VLOOKUP(AD4,'Writing Logic'!$A$3:$B$7,2,FALSE),VLOOKUP(AE4,'Writing Logic'!$A$3:$B$7,2,FALSE),VLOOKUP(AF4,'Writing Logic'!$A$3:$B$7,2,FALSE),VLOOKUP(AG4,'Writing Logic'!$A$3:$B$7,2,FALSE))))),"Fill All 4")</f>
        <v>Fill All 4</v>
      </c>
      <c r="AI4" s="95" t="str">
        <f>IFERROR(AH4-$Q4,"")</f>
        <v/>
      </c>
      <c r="AJ4" s="183"/>
      <c r="AK4" s="120"/>
      <c r="AL4" s="120"/>
      <c r="AM4" s="120"/>
      <c r="AN4" s="95" t="str">
        <f>IFERROR(IF(YES_Writing_FLA[[#This Row],[Literacy IPP]]='Writing Logic'!$E$26,"IPP",IF(OR(AJ4="EAL",AK4="EAL",AL4="EAL",AM4="EAL"),"EAL",IF(AJ4='Writing Logic'!$A$10,AVERAGE(VLOOKUP(AK4,'Writing Logic'!$A$3:$B$7,2,FALSE),VLOOKUP(AL4,'Writing Logic'!$A$3:$B$7,2,FALSE),VLOOKUP(AM4,'Writing Logic'!$A$3:$B$7,2,FALSE)),AVERAGE(VLOOKUP(AJ4,'Writing Logic'!$A$3:$B$7,2,FALSE),VLOOKUP(AK4,'Writing Logic'!$A$3:$B$7,2,FALSE),VLOOKUP(AL4,'Writing Logic'!$A$3:$B$7,2,FALSE),VLOOKUP(AM4,'Writing Logic'!$A$3:$B$7,2,FALSE))))),"Fill All 4")</f>
        <v>Fill All 4</v>
      </c>
      <c r="AO4" s="95" t="str">
        <f>IFERROR(AN4-$Q4,"")</f>
        <v/>
      </c>
      <c r="AP4" s="120"/>
      <c r="AQ4" s="120"/>
      <c r="AR4" s="120"/>
      <c r="AS4" s="120"/>
      <c r="AT4" s="95" t="str">
        <f>IFERROR(IF(YES_Writing_FLA[[#This Row],[Literacy IPP]]='Writing Logic'!$E$26,"IPP",IF(OR(AP4="EAL",AQ4="EAL",AR4="EAL",AS4="EAL"),"EAL",IF(AP4='Writing Logic'!$A$10,AVERAGE(VLOOKUP(AQ4,'Writing Logic'!$A$3:$B$7,2,FALSE),VLOOKUP(AR4,'Writing Logic'!$A$3:$B$7,2,FALSE),VLOOKUP(AS4,'Writing Logic'!$A$3:$B$7,2,FALSE)),AVERAGE(VLOOKUP(AP4,'Writing Logic'!$A$3:$B$7,2,FALSE),VLOOKUP(AQ4,'Writing Logic'!$A$3:$B$7,2,FALSE),VLOOKUP(AR4,'Writing Logic'!$A$3:$B$7,2,FALSE),VLOOKUP(AS4,'Writing Logic'!$A$3:$B$7,2,FALSE))))),"Fill All 4")</f>
        <v>Fill All 4</v>
      </c>
      <c r="AU4" s="95" t="str">
        <f>IFERROR(AT4-$Q4,"")</f>
        <v/>
      </c>
    </row>
    <row r="5" spans="1:47" ht="22.5" customHeight="1" x14ac:dyDescent="0.25">
      <c r="A5" s="96"/>
      <c r="B5" s="98"/>
      <c r="C5" s="98"/>
      <c r="D5" s="98"/>
      <c r="E5" s="180"/>
      <c r="F5" s="98"/>
      <c r="G5" s="98"/>
      <c r="H5" s="98"/>
      <c r="I5" s="98"/>
      <c r="J5" s="98"/>
      <c r="K5" s="183"/>
      <c r="L5" s="184"/>
      <c r="M5" s="120"/>
      <c r="N5" s="120"/>
      <c r="O5" s="120"/>
      <c r="P5" s="120"/>
      <c r="Q5" s="95" t="str">
        <f>IFERROR(IF(YES_Writing_FLA[[#This Row],[Literacy IPP]]='Writing Logic'!$E$26,"IPP",IF(OR(M5="EAL",N5="EAL",O5="EAL",P5="EAL"),"EAL",IF(M5='Writing Logic'!$A$10,AVERAGE(VLOOKUP(N5,'Writing Logic'!$A$3:$B$7,2,FALSE),VLOOKUP(O5,'Writing Logic'!$A$3:$B$7,2,FALSE),VLOOKUP(P5,'Writing Logic'!$A$3:$B$7,2,FALSE)),AVERAGE(VLOOKUP(M5,'Writing Logic'!$A$3:$B$7,2,FALSE),VLOOKUP(N5,'Writing Logic'!$A$3:$B$7,2,FALSE),VLOOKUP(O5,'Writing Logic'!$A$3:$B$7,2,FALSE),VLOOKUP(P5,'Writing Logic'!$A$3:$B$7,2,FALSE))))),"Fill All 4")</f>
        <v>Fill All 4</v>
      </c>
      <c r="R5" s="120"/>
      <c r="S5" s="120"/>
      <c r="T5" s="120"/>
      <c r="U5" s="120"/>
      <c r="V5" s="95" t="str">
        <f>IFERROR(IF(YES_Writing_FLA[[#This Row],[Literacy IPP]]='Writing Logic'!$E$26,"IPP",IF(OR(R5="EAL",S5="EAL",T5="EAL",U5="EAL"),"EAL",IF(R5='Writing Logic'!$A$10,AVERAGE(VLOOKUP(S5,'Writing Logic'!$A$3:$B$7,2,FALSE),VLOOKUP(T5,'Writing Logic'!$A$3:$B$7,2,FALSE),VLOOKUP(U5,'Writing Logic'!$A$3:$B$7,2,FALSE)),AVERAGE(VLOOKUP(R5,'Writing Logic'!$A$3:$B$7,2,FALSE),VLOOKUP(S5,'Writing Logic'!$A$3:$B$7,2,FALSE),VLOOKUP(T5,'Writing Logic'!$A$3:$B$7,2,FALSE),VLOOKUP(U5,'Writing Logic'!$A$3:$B$7,2,FALSE))))),"Fill All 4")</f>
        <v>Fill All 4</v>
      </c>
      <c r="W5" s="95" t="str">
        <f t="shared" ref="W5:W42" si="0">IFERROR(V5-$Q5,"")</f>
        <v/>
      </c>
      <c r="X5" s="120"/>
      <c r="Y5" s="120"/>
      <c r="Z5" s="120"/>
      <c r="AA5" s="120"/>
      <c r="AB5" s="95" t="str">
        <f>IFERROR(IF(YES_Writing_FLA[[#This Row],[Literacy IPP]]='Writing Logic'!$E$26,"IPP",IF(OR(X5="EAL",Y5="EAL",Z5="EAL",AA5="EAL"),"EAL",IF(X5='Writing Logic'!$A$10,AVERAGE(VLOOKUP(Y5,'Writing Logic'!$A$3:$B$7,2,FALSE),VLOOKUP(Z5,'Writing Logic'!$A$3:$B$7,2,FALSE),VLOOKUP(AA5,'Writing Logic'!$A$3:$B$7,2,FALSE)),AVERAGE(VLOOKUP(X5,'Writing Logic'!$A$3:$B$7,2,FALSE),VLOOKUP(Y5,'Writing Logic'!$A$3:$B$7,2,FALSE),VLOOKUP(Z5,'Writing Logic'!$A$3:$B$7,2,FALSE),VLOOKUP(AA5,'Writing Logic'!$A$3:$B$7,2,FALSE))))),"Fill All 4")</f>
        <v>Fill All 4</v>
      </c>
      <c r="AC5" s="95" t="str">
        <f t="shared" ref="AC5:AC42" si="1">IFERROR(AB5-$Q5,"")</f>
        <v/>
      </c>
      <c r="AD5" s="120"/>
      <c r="AE5" s="120"/>
      <c r="AF5" s="120"/>
      <c r="AG5" s="120"/>
      <c r="AH5" s="95" t="str">
        <f>IFERROR(IF(YES_Writing_FLA[[#This Row],[Literacy IPP]]='Writing Logic'!$E$26,"IPP",IF(OR(AD5="EAL",AE5="EAL",AF5="EAL",AG5="EAL"),"EAL",IF(AD5='Writing Logic'!$A$10,AVERAGE(VLOOKUP(AE5,'Writing Logic'!$A$3:$B$7,2,FALSE),VLOOKUP(AF5,'Writing Logic'!$A$3:$B$7,2,FALSE),VLOOKUP(AG5,'Writing Logic'!$A$3:$B$7,2,FALSE)),AVERAGE(VLOOKUP(AD5,'Writing Logic'!$A$3:$B$7,2,FALSE),VLOOKUP(AE5,'Writing Logic'!$A$3:$B$7,2,FALSE),VLOOKUP(AF5,'Writing Logic'!$A$3:$B$7,2,FALSE),VLOOKUP(AG5,'Writing Logic'!$A$3:$B$7,2,FALSE))))),"Fill All 4")</f>
        <v>Fill All 4</v>
      </c>
      <c r="AI5" s="95" t="str">
        <f t="shared" ref="AI5:AI42" si="2">IFERROR(AH5-$Q5,"")</f>
        <v/>
      </c>
      <c r="AJ5" s="183"/>
      <c r="AK5" s="120"/>
      <c r="AL5" s="120"/>
      <c r="AM5" s="120"/>
      <c r="AN5" s="95" t="str">
        <f>IFERROR(IF(YES_Writing_FLA[[#This Row],[Literacy IPP]]='Writing Logic'!$E$26,"IPP",IF(OR(AJ5="EAL",AK5="EAL",AL5="EAL",AM5="EAL"),"EAL",IF(AJ5='Writing Logic'!$A$10,AVERAGE(VLOOKUP(AK5,'Writing Logic'!$A$3:$B$7,2,FALSE),VLOOKUP(AL5,'Writing Logic'!$A$3:$B$7,2,FALSE),VLOOKUP(AM5,'Writing Logic'!$A$3:$B$7,2,FALSE)),AVERAGE(VLOOKUP(AJ5,'Writing Logic'!$A$3:$B$7,2,FALSE),VLOOKUP(AK5,'Writing Logic'!$A$3:$B$7,2,FALSE),VLOOKUP(AL5,'Writing Logic'!$A$3:$B$7,2,FALSE),VLOOKUP(AM5,'Writing Logic'!$A$3:$B$7,2,FALSE))))),"Fill All 4")</f>
        <v>Fill All 4</v>
      </c>
      <c r="AO5" s="95" t="str">
        <f t="shared" ref="AO5:AO42" si="3">IFERROR(AN5-$Q5,"")</f>
        <v/>
      </c>
      <c r="AP5" s="120"/>
      <c r="AQ5" s="120"/>
      <c r="AR5" s="120"/>
      <c r="AS5" s="120"/>
      <c r="AT5" s="95" t="str">
        <f>IFERROR(IF(YES_Writing_FLA[[#This Row],[Literacy IPP]]='Writing Logic'!$E$26,"IPP",IF(OR(AP5="EAL",AQ5="EAL",AR5="EAL",AS5="EAL"),"EAL",IF(AP5='Writing Logic'!$A$10,AVERAGE(VLOOKUP(AQ5,'Writing Logic'!$A$3:$B$7,2,FALSE),VLOOKUP(AR5,'Writing Logic'!$A$3:$B$7,2,FALSE),VLOOKUP(AS5,'Writing Logic'!$A$3:$B$7,2,FALSE)),AVERAGE(VLOOKUP(AP5,'Writing Logic'!$A$3:$B$7,2,FALSE),VLOOKUP(AQ5,'Writing Logic'!$A$3:$B$7,2,FALSE),VLOOKUP(AR5,'Writing Logic'!$A$3:$B$7,2,FALSE),VLOOKUP(AS5,'Writing Logic'!$A$3:$B$7,2,FALSE))))),"Fill All 4")</f>
        <v>Fill All 4</v>
      </c>
      <c r="AU5" s="95" t="str">
        <f t="shared" ref="AU5:AU42" si="4">IFERROR(AT5-$Q5,"")</f>
        <v/>
      </c>
    </row>
    <row r="6" spans="1:47" ht="22.5" customHeight="1" x14ac:dyDescent="0.25">
      <c r="A6" s="96"/>
      <c r="B6" s="98"/>
      <c r="C6" s="98"/>
      <c r="D6" s="98"/>
      <c r="E6" s="180"/>
      <c r="F6" s="98"/>
      <c r="G6" s="98"/>
      <c r="H6" s="98"/>
      <c r="I6" s="98"/>
      <c r="J6" s="98"/>
      <c r="K6" s="183"/>
      <c r="L6" s="184"/>
      <c r="M6" s="120"/>
      <c r="N6" s="120"/>
      <c r="O6" s="120"/>
      <c r="P6" s="120"/>
      <c r="Q6" s="95" t="str">
        <f>IFERROR(IF(YES_Writing_FLA[[#This Row],[Literacy IPP]]='Writing Logic'!$E$26,"IPP",IF(OR(M6="EAL",N6="EAL",O6="EAL",P6="EAL"),"EAL",IF(M6='Writing Logic'!$A$10,AVERAGE(VLOOKUP(N6,'Writing Logic'!$A$3:$B$7,2,FALSE),VLOOKUP(O6,'Writing Logic'!$A$3:$B$7,2,FALSE),VLOOKUP(P6,'Writing Logic'!$A$3:$B$7,2,FALSE)),AVERAGE(VLOOKUP(M6,'Writing Logic'!$A$3:$B$7,2,FALSE),VLOOKUP(N6,'Writing Logic'!$A$3:$B$7,2,FALSE),VLOOKUP(O6,'Writing Logic'!$A$3:$B$7,2,FALSE),VLOOKUP(P6,'Writing Logic'!$A$3:$B$7,2,FALSE))))),"Fill All 4")</f>
        <v>Fill All 4</v>
      </c>
      <c r="R6" s="120"/>
      <c r="S6" s="120"/>
      <c r="T6" s="120"/>
      <c r="U6" s="120"/>
      <c r="V6" s="95" t="str">
        <f>IFERROR(IF(YES_Writing_FLA[[#This Row],[Literacy IPP]]='Writing Logic'!$E$26,"IPP",IF(OR(R6="EAL",S6="EAL",T6="EAL",U6="EAL"),"EAL",IF(R6='Writing Logic'!$A$10,AVERAGE(VLOOKUP(S6,'Writing Logic'!$A$3:$B$7,2,FALSE),VLOOKUP(T6,'Writing Logic'!$A$3:$B$7,2,FALSE),VLOOKUP(U6,'Writing Logic'!$A$3:$B$7,2,FALSE)),AVERAGE(VLOOKUP(R6,'Writing Logic'!$A$3:$B$7,2,FALSE),VLOOKUP(S6,'Writing Logic'!$A$3:$B$7,2,FALSE),VLOOKUP(T6,'Writing Logic'!$A$3:$B$7,2,FALSE),VLOOKUP(U6,'Writing Logic'!$A$3:$B$7,2,FALSE))))),"Fill All 4")</f>
        <v>Fill All 4</v>
      </c>
      <c r="W6" s="95" t="str">
        <f t="shared" si="0"/>
        <v/>
      </c>
      <c r="X6" s="120"/>
      <c r="Y6" s="120"/>
      <c r="Z6" s="120"/>
      <c r="AA6" s="120"/>
      <c r="AB6" s="95" t="str">
        <f>IFERROR(IF(YES_Writing_FLA[[#This Row],[Literacy IPP]]='Writing Logic'!$E$26,"IPP",IF(OR(X6="EAL",Y6="EAL",Z6="EAL",AA6="EAL"),"EAL",IF(X6='Writing Logic'!$A$10,AVERAGE(VLOOKUP(Y6,'Writing Logic'!$A$3:$B$7,2,FALSE),VLOOKUP(Z6,'Writing Logic'!$A$3:$B$7,2,FALSE),VLOOKUP(AA6,'Writing Logic'!$A$3:$B$7,2,FALSE)),AVERAGE(VLOOKUP(X6,'Writing Logic'!$A$3:$B$7,2,FALSE),VLOOKUP(Y6,'Writing Logic'!$A$3:$B$7,2,FALSE),VLOOKUP(Z6,'Writing Logic'!$A$3:$B$7,2,FALSE),VLOOKUP(AA6,'Writing Logic'!$A$3:$B$7,2,FALSE))))),"Fill All 4")</f>
        <v>Fill All 4</v>
      </c>
      <c r="AC6" s="95" t="str">
        <f t="shared" si="1"/>
        <v/>
      </c>
      <c r="AD6" s="120"/>
      <c r="AE6" s="120"/>
      <c r="AF6" s="120"/>
      <c r="AG6" s="120"/>
      <c r="AH6" s="95" t="str">
        <f>IFERROR(IF(YES_Writing_FLA[[#This Row],[Literacy IPP]]='Writing Logic'!$E$26,"IPP",IF(OR(AD6="EAL",AE6="EAL",AF6="EAL",AG6="EAL"),"EAL",IF(AD6='Writing Logic'!$A$10,AVERAGE(VLOOKUP(AE6,'Writing Logic'!$A$3:$B$7,2,FALSE),VLOOKUP(AF6,'Writing Logic'!$A$3:$B$7,2,FALSE),VLOOKUP(AG6,'Writing Logic'!$A$3:$B$7,2,FALSE)),AVERAGE(VLOOKUP(AD6,'Writing Logic'!$A$3:$B$7,2,FALSE),VLOOKUP(AE6,'Writing Logic'!$A$3:$B$7,2,FALSE),VLOOKUP(AF6,'Writing Logic'!$A$3:$B$7,2,FALSE),VLOOKUP(AG6,'Writing Logic'!$A$3:$B$7,2,FALSE))))),"Fill All 4")</f>
        <v>Fill All 4</v>
      </c>
      <c r="AI6" s="95" t="str">
        <f t="shared" si="2"/>
        <v/>
      </c>
      <c r="AJ6" s="183"/>
      <c r="AK6" s="120"/>
      <c r="AL6" s="120"/>
      <c r="AM6" s="120"/>
      <c r="AN6" s="95" t="str">
        <f>IFERROR(IF(YES_Writing_FLA[[#This Row],[Literacy IPP]]='Writing Logic'!$E$26,"IPP",IF(OR(AJ6="EAL",AK6="EAL",AL6="EAL",AM6="EAL"),"EAL",IF(AJ6='Writing Logic'!$A$10,AVERAGE(VLOOKUP(AK6,'Writing Logic'!$A$3:$B$7,2,FALSE),VLOOKUP(AL6,'Writing Logic'!$A$3:$B$7,2,FALSE),VLOOKUP(AM6,'Writing Logic'!$A$3:$B$7,2,FALSE)),AVERAGE(VLOOKUP(AJ6,'Writing Logic'!$A$3:$B$7,2,FALSE),VLOOKUP(AK6,'Writing Logic'!$A$3:$B$7,2,FALSE),VLOOKUP(AL6,'Writing Logic'!$A$3:$B$7,2,FALSE),VLOOKUP(AM6,'Writing Logic'!$A$3:$B$7,2,FALSE))))),"Fill All 4")</f>
        <v>Fill All 4</v>
      </c>
      <c r="AO6" s="95" t="str">
        <f t="shared" si="3"/>
        <v/>
      </c>
      <c r="AP6" s="120"/>
      <c r="AQ6" s="120"/>
      <c r="AR6" s="120"/>
      <c r="AS6" s="120"/>
      <c r="AT6" s="95" t="str">
        <f>IFERROR(IF(YES_Writing_FLA[[#This Row],[Literacy IPP]]='Writing Logic'!$E$26,"IPP",IF(OR(AP6="EAL",AQ6="EAL",AR6="EAL",AS6="EAL"),"EAL",IF(AP6='Writing Logic'!$A$10,AVERAGE(VLOOKUP(AQ6,'Writing Logic'!$A$3:$B$7,2,FALSE),VLOOKUP(AR6,'Writing Logic'!$A$3:$B$7,2,FALSE),VLOOKUP(AS6,'Writing Logic'!$A$3:$B$7,2,FALSE)),AVERAGE(VLOOKUP(AP6,'Writing Logic'!$A$3:$B$7,2,FALSE),VLOOKUP(AQ6,'Writing Logic'!$A$3:$B$7,2,FALSE),VLOOKUP(AR6,'Writing Logic'!$A$3:$B$7,2,FALSE),VLOOKUP(AS6,'Writing Logic'!$A$3:$B$7,2,FALSE))))),"Fill All 4")</f>
        <v>Fill All 4</v>
      </c>
      <c r="AU6" s="95" t="str">
        <f t="shared" si="4"/>
        <v/>
      </c>
    </row>
    <row r="7" spans="1:47" ht="22.5" customHeight="1" x14ac:dyDescent="0.25">
      <c r="A7" s="96"/>
      <c r="B7" s="98"/>
      <c r="C7" s="98"/>
      <c r="D7" s="98"/>
      <c r="E7" s="180"/>
      <c r="F7" s="98"/>
      <c r="G7" s="98"/>
      <c r="H7" s="98"/>
      <c r="I7" s="98"/>
      <c r="J7" s="98"/>
      <c r="K7" s="183"/>
      <c r="L7" s="184"/>
      <c r="M7" s="120"/>
      <c r="N7" s="120"/>
      <c r="O7" s="120"/>
      <c r="P7" s="120"/>
      <c r="Q7" s="95" t="str">
        <f>IFERROR(IF(YES_Writing_FLA[[#This Row],[Literacy IPP]]='Writing Logic'!$E$26,"IPP",IF(OR(M7="EAL",N7="EAL",O7="EAL",P7="EAL"),"EAL",IF(M7='Writing Logic'!$A$10,AVERAGE(VLOOKUP(N7,'Writing Logic'!$A$3:$B$7,2,FALSE),VLOOKUP(O7,'Writing Logic'!$A$3:$B$7,2,FALSE),VLOOKUP(P7,'Writing Logic'!$A$3:$B$7,2,FALSE)),AVERAGE(VLOOKUP(M7,'Writing Logic'!$A$3:$B$7,2,FALSE),VLOOKUP(N7,'Writing Logic'!$A$3:$B$7,2,FALSE),VLOOKUP(O7,'Writing Logic'!$A$3:$B$7,2,FALSE),VLOOKUP(P7,'Writing Logic'!$A$3:$B$7,2,FALSE))))),"Fill All 4")</f>
        <v>Fill All 4</v>
      </c>
      <c r="R7" s="120"/>
      <c r="S7" s="120"/>
      <c r="T7" s="120"/>
      <c r="U7" s="120"/>
      <c r="V7" s="95" t="str">
        <f>IFERROR(IF(YES_Writing_FLA[[#This Row],[Literacy IPP]]='Writing Logic'!$E$26,"IPP",IF(OR(R7="EAL",S7="EAL",T7="EAL",U7="EAL"),"EAL",IF(R7='Writing Logic'!$A$10,AVERAGE(VLOOKUP(S7,'Writing Logic'!$A$3:$B$7,2,FALSE),VLOOKUP(T7,'Writing Logic'!$A$3:$B$7,2,FALSE),VLOOKUP(U7,'Writing Logic'!$A$3:$B$7,2,FALSE)),AVERAGE(VLOOKUP(R7,'Writing Logic'!$A$3:$B$7,2,FALSE),VLOOKUP(S7,'Writing Logic'!$A$3:$B$7,2,FALSE),VLOOKUP(T7,'Writing Logic'!$A$3:$B$7,2,FALSE),VLOOKUP(U7,'Writing Logic'!$A$3:$B$7,2,FALSE))))),"Fill All 4")</f>
        <v>Fill All 4</v>
      </c>
      <c r="W7" s="95" t="str">
        <f t="shared" si="0"/>
        <v/>
      </c>
      <c r="X7" s="120"/>
      <c r="Y7" s="120"/>
      <c r="Z7" s="120"/>
      <c r="AA7" s="120"/>
      <c r="AB7" s="95" t="str">
        <f>IFERROR(IF(YES_Writing_FLA[[#This Row],[Literacy IPP]]='Writing Logic'!$E$26,"IPP",IF(OR(X7="EAL",Y7="EAL",Z7="EAL",AA7="EAL"),"EAL",IF(X7='Writing Logic'!$A$10,AVERAGE(VLOOKUP(Y7,'Writing Logic'!$A$3:$B$7,2,FALSE),VLOOKUP(Z7,'Writing Logic'!$A$3:$B$7,2,FALSE),VLOOKUP(AA7,'Writing Logic'!$A$3:$B$7,2,FALSE)),AVERAGE(VLOOKUP(X7,'Writing Logic'!$A$3:$B$7,2,FALSE),VLOOKUP(Y7,'Writing Logic'!$A$3:$B$7,2,FALSE),VLOOKUP(Z7,'Writing Logic'!$A$3:$B$7,2,FALSE),VLOOKUP(AA7,'Writing Logic'!$A$3:$B$7,2,FALSE))))),"Fill All 4")</f>
        <v>Fill All 4</v>
      </c>
      <c r="AC7" s="95" t="str">
        <f t="shared" si="1"/>
        <v/>
      </c>
      <c r="AD7" s="120"/>
      <c r="AE7" s="120"/>
      <c r="AF7" s="120"/>
      <c r="AG7" s="120"/>
      <c r="AH7" s="95" t="str">
        <f>IFERROR(IF(YES_Writing_FLA[[#This Row],[Literacy IPP]]='Writing Logic'!$E$26,"IPP",IF(OR(AD7="EAL",AE7="EAL",AF7="EAL",AG7="EAL"),"EAL",IF(AD7='Writing Logic'!$A$10,AVERAGE(VLOOKUP(AE7,'Writing Logic'!$A$3:$B$7,2,FALSE),VLOOKUP(AF7,'Writing Logic'!$A$3:$B$7,2,FALSE),VLOOKUP(AG7,'Writing Logic'!$A$3:$B$7,2,FALSE)),AVERAGE(VLOOKUP(AD7,'Writing Logic'!$A$3:$B$7,2,FALSE),VLOOKUP(AE7,'Writing Logic'!$A$3:$B$7,2,FALSE),VLOOKUP(AF7,'Writing Logic'!$A$3:$B$7,2,FALSE),VLOOKUP(AG7,'Writing Logic'!$A$3:$B$7,2,FALSE))))),"Fill All 4")</f>
        <v>Fill All 4</v>
      </c>
      <c r="AI7" s="95" t="str">
        <f t="shared" si="2"/>
        <v/>
      </c>
      <c r="AJ7" s="183"/>
      <c r="AK7" s="120"/>
      <c r="AL7" s="120"/>
      <c r="AM7" s="120"/>
      <c r="AN7" s="95" t="str">
        <f>IFERROR(IF(YES_Writing_FLA[[#This Row],[Literacy IPP]]='Writing Logic'!$E$26,"IPP",IF(OR(AJ7="EAL",AK7="EAL",AL7="EAL",AM7="EAL"),"EAL",IF(AJ7='Writing Logic'!$A$10,AVERAGE(VLOOKUP(AK7,'Writing Logic'!$A$3:$B$7,2,FALSE),VLOOKUP(AL7,'Writing Logic'!$A$3:$B$7,2,FALSE),VLOOKUP(AM7,'Writing Logic'!$A$3:$B$7,2,FALSE)),AVERAGE(VLOOKUP(AJ7,'Writing Logic'!$A$3:$B$7,2,FALSE),VLOOKUP(AK7,'Writing Logic'!$A$3:$B$7,2,FALSE),VLOOKUP(AL7,'Writing Logic'!$A$3:$B$7,2,FALSE),VLOOKUP(AM7,'Writing Logic'!$A$3:$B$7,2,FALSE))))),"Fill All 4")</f>
        <v>Fill All 4</v>
      </c>
      <c r="AO7" s="95" t="str">
        <f t="shared" si="3"/>
        <v/>
      </c>
      <c r="AP7" s="120"/>
      <c r="AQ7" s="120"/>
      <c r="AR7" s="120"/>
      <c r="AS7" s="120"/>
      <c r="AT7" s="95" t="str">
        <f>IFERROR(IF(YES_Writing_FLA[[#This Row],[Literacy IPP]]='Writing Logic'!$E$26,"IPP",IF(OR(AP7="EAL",AQ7="EAL",AR7="EAL",AS7="EAL"),"EAL",IF(AP7='Writing Logic'!$A$10,AVERAGE(VLOOKUP(AQ7,'Writing Logic'!$A$3:$B$7,2,FALSE),VLOOKUP(AR7,'Writing Logic'!$A$3:$B$7,2,FALSE),VLOOKUP(AS7,'Writing Logic'!$A$3:$B$7,2,FALSE)),AVERAGE(VLOOKUP(AP7,'Writing Logic'!$A$3:$B$7,2,FALSE),VLOOKUP(AQ7,'Writing Logic'!$A$3:$B$7,2,FALSE),VLOOKUP(AR7,'Writing Logic'!$A$3:$B$7,2,FALSE),VLOOKUP(AS7,'Writing Logic'!$A$3:$B$7,2,FALSE))))),"Fill All 4")</f>
        <v>Fill All 4</v>
      </c>
      <c r="AU7" s="95" t="str">
        <f t="shared" si="4"/>
        <v/>
      </c>
    </row>
    <row r="8" spans="1:47" ht="22.5" customHeight="1" x14ac:dyDescent="0.25">
      <c r="A8" s="96"/>
      <c r="B8" s="98"/>
      <c r="C8" s="98"/>
      <c r="D8" s="98"/>
      <c r="E8" s="180"/>
      <c r="F8" s="98"/>
      <c r="G8" s="98"/>
      <c r="H8" s="98"/>
      <c r="I8" s="98"/>
      <c r="J8" s="98"/>
      <c r="K8" s="183"/>
      <c r="L8" s="184"/>
      <c r="M8" s="120"/>
      <c r="N8" s="120"/>
      <c r="O8" s="120"/>
      <c r="P8" s="120"/>
      <c r="Q8" s="95" t="str">
        <f>IFERROR(IF(YES_Writing_FLA[[#This Row],[Literacy IPP]]='Writing Logic'!$E$26,"IPP",IF(OR(M8="EAL",N8="EAL",O8="EAL",P8="EAL"),"EAL",IF(M8='Writing Logic'!$A$10,AVERAGE(VLOOKUP(N8,'Writing Logic'!$A$3:$B$7,2,FALSE),VLOOKUP(O8,'Writing Logic'!$A$3:$B$7,2,FALSE),VLOOKUP(P8,'Writing Logic'!$A$3:$B$7,2,FALSE)),AVERAGE(VLOOKUP(M8,'Writing Logic'!$A$3:$B$7,2,FALSE),VLOOKUP(N8,'Writing Logic'!$A$3:$B$7,2,FALSE),VLOOKUP(O8,'Writing Logic'!$A$3:$B$7,2,FALSE),VLOOKUP(P8,'Writing Logic'!$A$3:$B$7,2,FALSE))))),"Fill All 4")</f>
        <v>Fill All 4</v>
      </c>
      <c r="R8" s="120"/>
      <c r="S8" s="120"/>
      <c r="T8" s="120"/>
      <c r="U8" s="120"/>
      <c r="V8" s="95" t="str">
        <f>IFERROR(IF(YES_Writing_FLA[[#This Row],[Literacy IPP]]='Writing Logic'!$E$26,"IPP",IF(OR(R8="EAL",S8="EAL",T8="EAL",U8="EAL"),"EAL",IF(R8='Writing Logic'!$A$10,AVERAGE(VLOOKUP(S8,'Writing Logic'!$A$3:$B$7,2,FALSE),VLOOKUP(T8,'Writing Logic'!$A$3:$B$7,2,FALSE),VLOOKUP(U8,'Writing Logic'!$A$3:$B$7,2,FALSE)),AVERAGE(VLOOKUP(R8,'Writing Logic'!$A$3:$B$7,2,FALSE),VLOOKUP(S8,'Writing Logic'!$A$3:$B$7,2,FALSE),VLOOKUP(T8,'Writing Logic'!$A$3:$B$7,2,FALSE),VLOOKUP(U8,'Writing Logic'!$A$3:$B$7,2,FALSE))))),"Fill All 4")</f>
        <v>Fill All 4</v>
      </c>
      <c r="W8" s="95" t="str">
        <f t="shared" si="0"/>
        <v/>
      </c>
      <c r="X8" s="120"/>
      <c r="Y8" s="120"/>
      <c r="Z8" s="120"/>
      <c r="AA8" s="120"/>
      <c r="AB8" s="95" t="str">
        <f>IFERROR(IF(YES_Writing_FLA[[#This Row],[Literacy IPP]]='Writing Logic'!$E$26,"IPP",IF(OR(X8="EAL",Y8="EAL",Z8="EAL",AA8="EAL"),"EAL",IF(X8='Writing Logic'!$A$10,AVERAGE(VLOOKUP(Y8,'Writing Logic'!$A$3:$B$7,2,FALSE),VLOOKUP(Z8,'Writing Logic'!$A$3:$B$7,2,FALSE),VLOOKUP(AA8,'Writing Logic'!$A$3:$B$7,2,FALSE)),AVERAGE(VLOOKUP(X8,'Writing Logic'!$A$3:$B$7,2,FALSE),VLOOKUP(Y8,'Writing Logic'!$A$3:$B$7,2,FALSE),VLOOKUP(Z8,'Writing Logic'!$A$3:$B$7,2,FALSE),VLOOKUP(AA8,'Writing Logic'!$A$3:$B$7,2,FALSE))))),"Fill All 4")</f>
        <v>Fill All 4</v>
      </c>
      <c r="AC8" s="95" t="str">
        <f t="shared" si="1"/>
        <v/>
      </c>
      <c r="AD8" s="120"/>
      <c r="AE8" s="120"/>
      <c r="AF8" s="120"/>
      <c r="AG8" s="120"/>
      <c r="AH8" s="95" t="str">
        <f>IFERROR(IF(YES_Writing_FLA[[#This Row],[Literacy IPP]]='Writing Logic'!$E$26,"IPP",IF(OR(AD8="EAL",AE8="EAL",AF8="EAL",AG8="EAL"),"EAL",IF(AD8='Writing Logic'!$A$10,AVERAGE(VLOOKUP(AE8,'Writing Logic'!$A$3:$B$7,2,FALSE),VLOOKUP(AF8,'Writing Logic'!$A$3:$B$7,2,FALSE),VLOOKUP(AG8,'Writing Logic'!$A$3:$B$7,2,FALSE)),AVERAGE(VLOOKUP(AD8,'Writing Logic'!$A$3:$B$7,2,FALSE),VLOOKUP(AE8,'Writing Logic'!$A$3:$B$7,2,FALSE),VLOOKUP(AF8,'Writing Logic'!$A$3:$B$7,2,FALSE),VLOOKUP(AG8,'Writing Logic'!$A$3:$B$7,2,FALSE))))),"Fill All 4")</f>
        <v>Fill All 4</v>
      </c>
      <c r="AI8" s="95" t="str">
        <f t="shared" si="2"/>
        <v/>
      </c>
      <c r="AJ8" s="183"/>
      <c r="AK8" s="120"/>
      <c r="AL8" s="120"/>
      <c r="AM8" s="120"/>
      <c r="AN8" s="95" t="str">
        <f>IFERROR(IF(YES_Writing_FLA[[#This Row],[Literacy IPP]]='Writing Logic'!$E$26,"IPP",IF(OR(AJ8="EAL",AK8="EAL",AL8="EAL",AM8="EAL"),"EAL",IF(AJ8='Writing Logic'!$A$10,AVERAGE(VLOOKUP(AK8,'Writing Logic'!$A$3:$B$7,2,FALSE),VLOOKUP(AL8,'Writing Logic'!$A$3:$B$7,2,FALSE),VLOOKUP(AM8,'Writing Logic'!$A$3:$B$7,2,FALSE)),AVERAGE(VLOOKUP(AJ8,'Writing Logic'!$A$3:$B$7,2,FALSE),VLOOKUP(AK8,'Writing Logic'!$A$3:$B$7,2,FALSE),VLOOKUP(AL8,'Writing Logic'!$A$3:$B$7,2,FALSE),VLOOKUP(AM8,'Writing Logic'!$A$3:$B$7,2,FALSE))))),"Fill All 4")</f>
        <v>Fill All 4</v>
      </c>
      <c r="AO8" s="95" t="str">
        <f t="shared" si="3"/>
        <v/>
      </c>
      <c r="AP8" s="120"/>
      <c r="AQ8" s="120"/>
      <c r="AR8" s="120"/>
      <c r="AS8" s="120"/>
      <c r="AT8" s="95" t="str">
        <f>IFERROR(IF(YES_Writing_FLA[[#This Row],[Literacy IPP]]='Writing Logic'!$E$26,"IPP",IF(OR(AP8="EAL",AQ8="EAL",AR8="EAL",AS8="EAL"),"EAL",IF(AP8='Writing Logic'!$A$10,AVERAGE(VLOOKUP(AQ8,'Writing Logic'!$A$3:$B$7,2,FALSE),VLOOKUP(AR8,'Writing Logic'!$A$3:$B$7,2,FALSE),VLOOKUP(AS8,'Writing Logic'!$A$3:$B$7,2,FALSE)),AVERAGE(VLOOKUP(AP8,'Writing Logic'!$A$3:$B$7,2,FALSE),VLOOKUP(AQ8,'Writing Logic'!$A$3:$B$7,2,FALSE),VLOOKUP(AR8,'Writing Logic'!$A$3:$B$7,2,FALSE),VLOOKUP(AS8,'Writing Logic'!$A$3:$B$7,2,FALSE))))),"Fill All 4")</f>
        <v>Fill All 4</v>
      </c>
      <c r="AU8" s="95" t="str">
        <f t="shared" si="4"/>
        <v/>
      </c>
    </row>
    <row r="9" spans="1:47" ht="22.5" customHeight="1" x14ac:dyDescent="0.25">
      <c r="A9" s="96"/>
      <c r="B9" s="98"/>
      <c r="C9" s="98"/>
      <c r="D9" s="98"/>
      <c r="E9" s="180"/>
      <c r="F9" s="98"/>
      <c r="G9" s="98"/>
      <c r="H9" s="98"/>
      <c r="I9" s="98"/>
      <c r="J9" s="98"/>
      <c r="K9" s="183"/>
      <c r="L9" s="184"/>
      <c r="M9" s="120"/>
      <c r="N9" s="120"/>
      <c r="O9" s="120"/>
      <c r="P9" s="120"/>
      <c r="Q9" s="95" t="str">
        <f>IFERROR(IF(YES_Writing_FLA[[#This Row],[Literacy IPP]]='Writing Logic'!$E$26,"IPP",IF(OR(M9="EAL",N9="EAL",O9="EAL",P9="EAL"),"EAL",IF(M9='Writing Logic'!$A$10,AVERAGE(VLOOKUP(N9,'Writing Logic'!$A$3:$B$7,2,FALSE),VLOOKUP(O9,'Writing Logic'!$A$3:$B$7,2,FALSE),VLOOKUP(P9,'Writing Logic'!$A$3:$B$7,2,FALSE)),AVERAGE(VLOOKUP(M9,'Writing Logic'!$A$3:$B$7,2,FALSE),VLOOKUP(N9,'Writing Logic'!$A$3:$B$7,2,FALSE),VLOOKUP(O9,'Writing Logic'!$A$3:$B$7,2,FALSE),VLOOKUP(P9,'Writing Logic'!$A$3:$B$7,2,FALSE))))),"Fill All 4")</f>
        <v>Fill All 4</v>
      </c>
      <c r="R9" s="120"/>
      <c r="S9" s="120"/>
      <c r="T9" s="120"/>
      <c r="U9" s="120"/>
      <c r="V9" s="95" t="str">
        <f>IFERROR(IF(YES_Writing_FLA[[#This Row],[Literacy IPP]]='Writing Logic'!$E$26,"IPP",IF(OR(R9="EAL",S9="EAL",T9="EAL",U9="EAL"),"EAL",IF(R9='Writing Logic'!$A$10,AVERAGE(VLOOKUP(S9,'Writing Logic'!$A$3:$B$7,2,FALSE),VLOOKUP(T9,'Writing Logic'!$A$3:$B$7,2,FALSE),VLOOKUP(U9,'Writing Logic'!$A$3:$B$7,2,FALSE)),AVERAGE(VLOOKUP(R9,'Writing Logic'!$A$3:$B$7,2,FALSE),VLOOKUP(S9,'Writing Logic'!$A$3:$B$7,2,FALSE),VLOOKUP(T9,'Writing Logic'!$A$3:$B$7,2,FALSE),VLOOKUP(U9,'Writing Logic'!$A$3:$B$7,2,FALSE))))),"Fill All 4")</f>
        <v>Fill All 4</v>
      </c>
      <c r="W9" s="95" t="str">
        <f t="shared" si="0"/>
        <v/>
      </c>
      <c r="X9" s="120"/>
      <c r="Y9" s="120"/>
      <c r="Z9" s="120"/>
      <c r="AA9" s="120"/>
      <c r="AB9" s="95" t="str">
        <f>IFERROR(IF(YES_Writing_FLA[[#This Row],[Literacy IPP]]='Writing Logic'!$E$26,"IPP",IF(OR(X9="EAL",Y9="EAL",Z9="EAL",AA9="EAL"),"EAL",IF(X9='Writing Logic'!$A$10,AVERAGE(VLOOKUP(Y9,'Writing Logic'!$A$3:$B$7,2,FALSE),VLOOKUP(Z9,'Writing Logic'!$A$3:$B$7,2,FALSE),VLOOKUP(AA9,'Writing Logic'!$A$3:$B$7,2,FALSE)),AVERAGE(VLOOKUP(X9,'Writing Logic'!$A$3:$B$7,2,FALSE),VLOOKUP(Y9,'Writing Logic'!$A$3:$B$7,2,FALSE),VLOOKUP(Z9,'Writing Logic'!$A$3:$B$7,2,FALSE),VLOOKUP(AA9,'Writing Logic'!$A$3:$B$7,2,FALSE))))),"Fill All 4")</f>
        <v>Fill All 4</v>
      </c>
      <c r="AC9" s="95" t="str">
        <f t="shared" si="1"/>
        <v/>
      </c>
      <c r="AD9" s="120"/>
      <c r="AE9" s="120"/>
      <c r="AF9" s="120"/>
      <c r="AG9" s="120"/>
      <c r="AH9" s="95" t="str">
        <f>IFERROR(IF(YES_Writing_FLA[[#This Row],[Literacy IPP]]='Writing Logic'!$E$26,"IPP",IF(OR(AD9="EAL",AE9="EAL",AF9="EAL",AG9="EAL"),"EAL",IF(AD9='Writing Logic'!$A$10,AVERAGE(VLOOKUP(AE9,'Writing Logic'!$A$3:$B$7,2,FALSE),VLOOKUP(AF9,'Writing Logic'!$A$3:$B$7,2,FALSE),VLOOKUP(AG9,'Writing Logic'!$A$3:$B$7,2,FALSE)),AVERAGE(VLOOKUP(AD9,'Writing Logic'!$A$3:$B$7,2,FALSE),VLOOKUP(AE9,'Writing Logic'!$A$3:$B$7,2,FALSE),VLOOKUP(AF9,'Writing Logic'!$A$3:$B$7,2,FALSE),VLOOKUP(AG9,'Writing Logic'!$A$3:$B$7,2,FALSE))))),"Fill All 4")</f>
        <v>Fill All 4</v>
      </c>
      <c r="AI9" s="95" t="str">
        <f t="shared" si="2"/>
        <v/>
      </c>
      <c r="AJ9" s="183"/>
      <c r="AK9" s="120"/>
      <c r="AL9" s="120"/>
      <c r="AM9" s="120"/>
      <c r="AN9" s="95" t="str">
        <f>IFERROR(IF(YES_Writing_FLA[[#This Row],[Literacy IPP]]='Writing Logic'!$E$26,"IPP",IF(OR(AJ9="EAL",AK9="EAL",AL9="EAL",AM9="EAL"),"EAL",IF(AJ9='Writing Logic'!$A$10,AVERAGE(VLOOKUP(AK9,'Writing Logic'!$A$3:$B$7,2,FALSE),VLOOKUP(AL9,'Writing Logic'!$A$3:$B$7,2,FALSE),VLOOKUP(AM9,'Writing Logic'!$A$3:$B$7,2,FALSE)),AVERAGE(VLOOKUP(AJ9,'Writing Logic'!$A$3:$B$7,2,FALSE),VLOOKUP(AK9,'Writing Logic'!$A$3:$B$7,2,FALSE),VLOOKUP(AL9,'Writing Logic'!$A$3:$B$7,2,FALSE),VLOOKUP(AM9,'Writing Logic'!$A$3:$B$7,2,FALSE))))),"Fill All 4")</f>
        <v>Fill All 4</v>
      </c>
      <c r="AO9" s="95" t="str">
        <f t="shared" si="3"/>
        <v/>
      </c>
      <c r="AP9" s="120"/>
      <c r="AQ9" s="120"/>
      <c r="AR9" s="120"/>
      <c r="AS9" s="120"/>
      <c r="AT9" s="95" t="str">
        <f>IFERROR(IF(YES_Writing_FLA[[#This Row],[Literacy IPP]]='Writing Logic'!$E$26,"IPP",IF(OR(AP9="EAL",AQ9="EAL",AR9="EAL",AS9="EAL"),"EAL",IF(AP9='Writing Logic'!$A$10,AVERAGE(VLOOKUP(AQ9,'Writing Logic'!$A$3:$B$7,2,FALSE),VLOOKUP(AR9,'Writing Logic'!$A$3:$B$7,2,FALSE),VLOOKUP(AS9,'Writing Logic'!$A$3:$B$7,2,FALSE)),AVERAGE(VLOOKUP(AP9,'Writing Logic'!$A$3:$B$7,2,FALSE),VLOOKUP(AQ9,'Writing Logic'!$A$3:$B$7,2,FALSE),VLOOKUP(AR9,'Writing Logic'!$A$3:$B$7,2,FALSE),VLOOKUP(AS9,'Writing Logic'!$A$3:$B$7,2,FALSE))))),"Fill All 4")</f>
        <v>Fill All 4</v>
      </c>
      <c r="AU9" s="95" t="str">
        <f t="shared" si="4"/>
        <v/>
      </c>
    </row>
    <row r="10" spans="1:47" ht="22.5" customHeight="1" x14ac:dyDescent="0.25">
      <c r="A10" s="96"/>
      <c r="B10" s="98"/>
      <c r="C10" s="98"/>
      <c r="D10" s="98"/>
      <c r="E10" s="180"/>
      <c r="F10" s="98"/>
      <c r="G10" s="98"/>
      <c r="H10" s="98"/>
      <c r="I10" s="98"/>
      <c r="J10" s="98"/>
      <c r="K10" s="183"/>
      <c r="L10" s="184"/>
      <c r="M10" s="120"/>
      <c r="N10" s="120"/>
      <c r="O10" s="120"/>
      <c r="P10" s="120"/>
      <c r="Q10" s="95" t="str">
        <f>IFERROR(IF(YES_Writing_FLA[[#This Row],[Literacy IPP]]='Writing Logic'!$E$26,"IPP",IF(OR(M10="EAL",N10="EAL",O10="EAL",P10="EAL"),"EAL",IF(M10='Writing Logic'!$A$10,AVERAGE(VLOOKUP(N10,'Writing Logic'!$A$3:$B$7,2,FALSE),VLOOKUP(O10,'Writing Logic'!$A$3:$B$7,2,FALSE),VLOOKUP(P10,'Writing Logic'!$A$3:$B$7,2,FALSE)),AVERAGE(VLOOKUP(M10,'Writing Logic'!$A$3:$B$7,2,FALSE),VLOOKUP(N10,'Writing Logic'!$A$3:$B$7,2,FALSE),VLOOKUP(O10,'Writing Logic'!$A$3:$B$7,2,FALSE),VLOOKUP(P10,'Writing Logic'!$A$3:$B$7,2,FALSE))))),"Fill All 4")</f>
        <v>Fill All 4</v>
      </c>
      <c r="R10" s="120"/>
      <c r="S10" s="120"/>
      <c r="T10" s="120"/>
      <c r="U10" s="120"/>
      <c r="V10" s="95" t="str">
        <f>IFERROR(IF(YES_Writing_FLA[[#This Row],[Literacy IPP]]='Writing Logic'!$E$26,"IPP",IF(OR(R10="EAL",S10="EAL",T10="EAL",U10="EAL"),"EAL",IF(R10='Writing Logic'!$A$10,AVERAGE(VLOOKUP(S10,'Writing Logic'!$A$3:$B$7,2,FALSE),VLOOKUP(T10,'Writing Logic'!$A$3:$B$7,2,FALSE),VLOOKUP(U10,'Writing Logic'!$A$3:$B$7,2,FALSE)),AVERAGE(VLOOKUP(R10,'Writing Logic'!$A$3:$B$7,2,FALSE),VLOOKUP(S10,'Writing Logic'!$A$3:$B$7,2,FALSE),VLOOKUP(T10,'Writing Logic'!$A$3:$B$7,2,FALSE),VLOOKUP(U10,'Writing Logic'!$A$3:$B$7,2,FALSE))))),"Fill All 4")</f>
        <v>Fill All 4</v>
      </c>
      <c r="W10" s="95" t="str">
        <f t="shared" si="0"/>
        <v/>
      </c>
      <c r="X10" s="120"/>
      <c r="Y10" s="120"/>
      <c r="Z10" s="120"/>
      <c r="AA10" s="120"/>
      <c r="AB10" s="95" t="str">
        <f>IFERROR(IF(YES_Writing_FLA[[#This Row],[Literacy IPP]]='Writing Logic'!$E$26,"IPP",IF(OR(X10="EAL",Y10="EAL",Z10="EAL",AA10="EAL"),"EAL",IF(X10='Writing Logic'!$A$10,AVERAGE(VLOOKUP(Y10,'Writing Logic'!$A$3:$B$7,2,FALSE),VLOOKUP(Z10,'Writing Logic'!$A$3:$B$7,2,FALSE),VLOOKUP(AA10,'Writing Logic'!$A$3:$B$7,2,FALSE)),AVERAGE(VLOOKUP(X10,'Writing Logic'!$A$3:$B$7,2,FALSE),VLOOKUP(Y10,'Writing Logic'!$A$3:$B$7,2,FALSE),VLOOKUP(Z10,'Writing Logic'!$A$3:$B$7,2,FALSE),VLOOKUP(AA10,'Writing Logic'!$A$3:$B$7,2,FALSE))))),"Fill All 4")</f>
        <v>Fill All 4</v>
      </c>
      <c r="AC10" s="95" t="str">
        <f t="shared" si="1"/>
        <v/>
      </c>
      <c r="AD10" s="120"/>
      <c r="AE10" s="120"/>
      <c r="AF10" s="120"/>
      <c r="AG10" s="120"/>
      <c r="AH10" s="95" t="str">
        <f>IFERROR(IF(YES_Writing_FLA[[#This Row],[Literacy IPP]]='Writing Logic'!$E$26,"IPP",IF(OR(AD10="EAL",AE10="EAL",AF10="EAL",AG10="EAL"),"EAL",IF(AD10='Writing Logic'!$A$10,AVERAGE(VLOOKUP(AE10,'Writing Logic'!$A$3:$B$7,2,FALSE),VLOOKUP(AF10,'Writing Logic'!$A$3:$B$7,2,FALSE),VLOOKUP(AG10,'Writing Logic'!$A$3:$B$7,2,FALSE)),AVERAGE(VLOOKUP(AD10,'Writing Logic'!$A$3:$B$7,2,FALSE),VLOOKUP(AE10,'Writing Logic'!$A$3:$B$7,2,FALSE),VLOOKUP(AF10,'Writing Logic'!$A$3:$B$7,2,FALSE),VLOOKUP(AG10,'Writing Logic'!$A$3:$B$7,2,FALSE))))),"Fill All 4")</f>
        <v>Fill All 4</v>
      </c>
      <c r="AI10" s="95" t="str">
        <f t="shared" si="2"/>
        <v/>
      </c>
      <c r="AJ10" s="183"/>
      <c r="AK10" s="120"/>
      <c r="AL10" s="120"/>
      <c r="AM10" s="120"/>
      <c r="AN10" s="95" t="str">
        <f>IFERROR(IF(YES_Writing_FLA[[#This Row],[Literacy IPP]]='Writing Logic'!$E$26,"IPP",IF(OR(AJ10="EAL",AK10="EAL",AL10="EAL",AM10="EAL"),"EAL",IF(AJ10='Writing Logic'!$A$10,AVERAGE(VLOOKUP(AK10,'Writing Logic'!$A$3:$B$7,2,FALSE),VLOOKUP(AL10,'Writing Logic'!$A$3:$B$7,2,FALSE),VLOOKUP(AM10,'Writing Logic'!$A$3:$B$7,2,FALSE)),AVERAGE(VLOOKUP(AJ10,'Writing Logic'!$A$3:$B$7,2,FALSE),VLOOKUP(AK10,'Writing Logic'!$A$3:$B$7,2,FALSE),VLOOKUP(AL10,'Writing Logic'!$A$3:$B$7,2,FALSE),VLOOKUP(AM10,'Writing Logic'!$A$3:$B$7,2,FALSE))))),"Fill All 4")</f>
        <v>Fill All 4</v>
      </c>
      <c r="AO10" s="95" t="str">
        <f t="shared" si="3"/>
        <v/>
      </c>
      <c r="AP10" s="120"/>
      <c r="AQ10" s="120"/>
      <c r="AR10" s="120"/>
      <c r="AS10" s="120"/>
      <c r="AT10" s="95" t="str">
        <f>IFERROR(IF(YES_Writing_FLA[[#This Row],[Literacy IPP]]='Writing Logic'!$E$26,"IPP",IF(OR(AP10="EAL",AQ10="EAL",AR10="EAL",AS10="EAL"),"EAL",IF(AP10='Writing Logic'!$A$10,AVERAGE(VLOOKUP(AQ10,'Writing Logic'!$A$3:$B$7,2,FALSE),VLOOKUP(AR10,'Writing Logic'!$A$3:$B$7,2,FALSE),VLOOKUP(AS10,'Writing Logic'!$A$3:$B$7,2,FALSE)),AVERAGE(VLOOKUP(AP10,'Writing Logic'!$A$3:$B$7,2,FALSE),VLOOKUP(AQ10,'Writing Logic'!$A$3:$B$7,2,FALSE),VLOOKUP(AR10,'Writing Logic'!$A$3:$B$7,2,FALSE),VLOOKUP(AS10,'Writing Logic'!$A$3:$B$7,2,FALSE))))),"Fill All 4")</f>
        <v>Fill All 4</v>
      </c>
      <c r="AU10" s="95" t="str">
        <f t="shared" si="4"/>
        <v/>
      </c>
    </row>
    <row r="11" spans="1:47" ht="22.5" customHeight="1" x14ac:dyDescent="0.25">
      <c r="A11" s="96"/>
      <c r="B11" s="98"/>
      <c r="C11" s="98"/>
      <c r="D11" s="98"/>
      <c r="E11" s="180"/>
      <c r="F11" s="98"/>
      <c r="G11" s="98"/>
      <c r="H11" s="98"/>
      <c r="I11" s="98"/>
      <c r="J11" s="98"/>
      <c r="K11" s="183"/>
      <c r="L11" s="184"/>
      <c r="M11" s="120"/>
      <c r="N11" s="120"/>
      <c r="O11" s="120"/>
      <c r="P11" s="120"/>
      <c r="Q11" s="95" t="str">
        <f>IFERROR(IF(YES_Writing_FLA[[#This Row],[Literacy IPP]]='Writing Logic'!$E$26,"IPP",IF(OR(M11="EAL",N11="EAL",O11="EAL",P11="EAL"),"EAL",IF(M11='Writing Logic'!$A$10,AVERAGE(VLOOKUP(N11,'Writing Logic'!$A$3:$B$7,2,FALSE),VLOOKUP(O11,'Writing Logic'!$A$3:$B$7,2,FALSE),VLOOKUP(P11,'Writing Logic'!$A$3:$B$7,2,FALSE)),AVERAGE(VLOOKUP(M11,'Writing Logic'!$A$3:$B$7,2,FALSE),VLOOKUP(N11,'Writing Logic'!$A$3:$B$7,2,FALSE),VLOOKUP(O11,'Writing Logic'!$A$3:$B$7,2,FALSE),VLOOKUP(P11,'Writing Logic'!$A$3:$B$7,2,FALSE))))),"Fill All 4")</f>
        <v>Fill All 4</v>
      </c>
      <c r="R11" s="120"/>
      <c r="S11" s="120"/>
      <c r="T11" s="120"/>
      <c r="U11" s="120"/>
      <c r="V11" s="95" t="str">
        <f>IFERROR(IF(YES_Writing_FLA[[#This Row],[Literacy IPP]]='Writing Logic'!$E$26,"IPP",IF(OR(R11="EAL",S11="EAL",T11="EAL",U11="EAL"),"EAL",IF(R11='Writing Logic'!$A$10,AVERAGE(VLOOKUP(S11,'Writing Logic'!$A$3:$B$7,2,FALSE),VLOOKUP(T11,'Writing Logic'!$A$3:$B$7,2,FALSE),VLOOKUP(U11,'Writing Logic'!$A$3:$B$7,2,FALSE)),AVERAGE(VLOOKUP(R11,'Writing Logic'!$A$3:$B$7,2,FALSE),VLOOKUP(S11,'Writing Logic'!$A$3:$B$7,2,FALSE),VLOOKUP(T11,'Writing Logic'!$A$3:$B$7,2,FALSE),VLOOKUP(U11,'Writing Logic'!$A$3:$B$7,2,FALSE))))),"Fill All 4")</f>
        <v>Fill All 4</v>
      </c>
      <c r="W11" s="95" t="str">
        <f t="shared" si="0"/>
        <v/>
      </c>
      <c r="X11" s="120"/>
      <c r="Y11" s="120"/>
      <c r="Z11" s="120"/>
      <c r="AA11" s="120"/>
      <c r="AB11" s="95" t="str">
        <f>IFERROR(IF(YES_Writing_FLA[[#This Row],[Literacy IPP]]='Writing Logic'!$E$26,"IPP",IF(OR(X11="EAL",Y11="EAL",Z11="EAL",AA11="EAL"),"EAL",IF(X11='Writing Logic'!$A$10,AVERAGE(VLOOKUP(Y11,'Writing Logic'!$A$3:$B$7,2,FALSE),VLOOKUP(Z11,'Writing Logic'!$A$3:$B$7,2,FALSE),VLOOKUP(AA11,'Writing Logic'!$A$3:$B$7,2,FALSE)),AVERAGE(VLOOKUP(X11,'Writing Logic'!$A$3:$B$7,2,FALSE),VLOOKUP(Y11,'Writing Logic'!$A$3:$B$7,2,FALSE),VLOOKUP(Z11,'Writing Logic'!$A$3:$B$7,2,FALSE),VLOOKUP(AA11,'Writing Logic'!$A$3:$B$7,2,FALSE))))),"Fill All 4")</f>
        <v>Fill All 4</v>
      </c>
      <c r="AC11" s="95" t="str">
        <f t="shared" si="1"/>
        <v/>
      </c>
      <c r="AD11" s="120"/>
      <c r="AE11" s="120"/>
      <c r="AF11" s="120"/>
      <c r="AG11" s="120"/>
      <c r="AH11" s="95" t="str">
        <f>IFERROR(IF(YES_Writing_FLA[[#This Row],[Literacy IPP]]='Writing Logic'!$E$26,"IPP",IF(OR(AD11="EAL",AE11="EAL",AF11="EAL",AG11="EAL"),"EAL",IF(AD11='Writing Logic'!$A$10,AVERAGE(VLOOKUP(AE11,'Writing Logic'!$A$3:$B$7,2,FALSE),VLOOKUP(AF11,'Writing Logic'!$A$3:$B$7,2,FALSE),VLOOKUP(AG11,'Writing Logic'!$A$3:$B$7,2,FALSE)),AVERAGE(VLOOKUP(AD11,'Writing Logic'!$A$3:$B$7,2,FALSE),VLOOKUP(AE11,'Writing Logic'!$A$3:$B$7,2,FALSE),VLOOKUP(AF11,'Writing Logic'!$A$3:$B$7,2,FALSE),VLOOKUP(AG11,'Writing Logic'!$A$3:$B$7,2,FALSE))))),"Fill All 4")</f>
        <v>Fill All 4</v>
      </c>
      <c r="AI11" s="95" t="str">
        <f t="shared" si="2"/>
        <v/>
      </c>
      <c r="AJ11" s="183"/>
      <c r="AK11" s="120"/>
      <c r="AL11" s="120"/>
      <c r="AM11" s="120"/>
      <c r="AN11" s="95" t="str">
        <f>IFERROR(IF(YES_Writing_FLA[[#This Row],[Literacy IPP]]='Writing Logic'!$E$26,"IPP",IF(OR(AJ11="EAL",AK11="EAL",AL11="EAL",AM11="EAL"),"EAL",IF(AJ11='Writing Logic'!$A$10,AVERAGE(VLOOKUP(AK11,'Writing Logic'!$A$3:$B$7,2,FALSE),VLOOKUP(AL11,'Writing Logic'!$A$3:$B$7,2,FALSE),VLOOKUP(AM11,'Writing Logic'!$A$3:$B$7,2,FALSE)),AVERAGE(VLOOKUP(AJ11,'Writing Logic'!$A$3:$B$7,2,FALSE),VLOOKUP(AK11,'Writing Logic'!$A$3:$B$7,2,FALSE),VLOOKUP(AL11,'Writing Logic'!$A$3:$B$7,2,FALSE),VLOOKUP(AM11,'Writing Logic'!$A$3:$B$7,2,FALSE))))),"Fill All 4")</f>
        <v>Fill All 4</v>
      </c>
      <c r="AO11" s="95" t="str">
        <f t="shared" si="3"/>
        <v/>
      </c>
      <c r="AP11" s="120"/>
      <c r="AQ11" s="120"/>
      <c r="AR11" s="120"/>
      <c r="AS11" s="120"/>
      <c r="AT11" s="95" t="str">
        <f>IFERROR(IF(YES_Writing_FLA[[#This Row],[Literacy IPP]]='Writing Logic'!$E$26,"IPP",IF(OR(AP11="EAL",AQ11="EAL",AR11="EAL",AS11="EAL"),"EAL",IF(AP11='Writing Logic'!$A$10,AVERAGE(VLOOKUP(AQ11,'Writing Logic'!$A$3:$B$7,2,FALSE),VLOOKUP(AR11,'Writing Logic'!$A$3:$B$7,2,FALSE),VLOOKUP(AS11,'Writing Logic'!$A$3:$B$7,2,FALSE)),AVERAGE(VLOOKUP(AP11,'Writing Logic'!$A$3:$B$7,2,FALSE),VLOOKUP(AQ11,'Writing Logic'!$A$3:$B$7,2,FALSE),VLOOKUP(AR11,'Writing Logic'!$A$3:$B$7,2,FALSE),VLOOKUP(AS11,'Writing Logic'!$A$3:$B$7,2,FALSE))))),"Fill All 4")</f>
        <v>Fill All 4</v>
      </c>
      <c r="AU11" s="95" t="str">
        <f t="shared" si="4"/>
        <v/>
      </c>
    </row>
    <row r="12" spans="1:47" ht="22.5" customHeight="1" x14ac:dyDescent="0.25">
      <c r="A12" s="96"/>
      <c r="B12" s="98"/>
      <c r="C12" s="98"/>
      <c r="D12" s="98"/>
      <c r="E12" s="180"/>
      <c r="F12" s="98"/>
      <c r="G12" s="98"/>
      <c r="H12" s="98"/>
      <c r="I12" s="98"/>
      <c r="J12" s="98"/>
      <c r="K12" s="183"/>
      <c r="L12" s="184"/>
      <c r="M12" s="120"/>
      <c r="N12" s="120"/>
      <c r="O12" s="120"/>
      <c r="P12" s="120"/>
      <c r="Q12" s="95" t="str">
        <f>IFERROR(IF(YES_Writing_FLA[[#This Row],[Literacy IPP]]='Writing Logic'!$E$26,"IPP",IF(OR(M12="EAL",N12="EAL",O12="EAL",P12="EAL"),"EAL",IF(M12='Writing Logic'!$A$10,AVERAGE(VLOOKUP(N12,'Writing Logic'!$A$3:$B$7,2,FALSE),VLOOKUP(O12,'Writing Logic'!$A$3:$B$7,2,FALSE),VLOOKUP(P12,'Writing Logic'!$A$3:$B$7,2,FALSE)),AVERAGE(VLOOKUP(M12,'Writing Logic'!$A$3:$B$7,2,FALSE),VLOOKUP(N12,'Writing Logic'!$A$3:$B$7,2,FALSE),VLOOKUP(O12,'Writing Logic'!$A$3:$B$7,2,FALSE),VLOOKUP(P12,'Writing Logic'!$A$3:$B$7,2,FALSE))))),"Fill All 4")</f>
        <v>Fill All 4</v>
      </c>
      <c r="R12" s="120"/>
      <c r="S12" s="120"/>
      <c r="T12" s="120"/>
      <c r="U12" s="120"/>
      <c r="V12" s="95" t="str">
        <f>IFERROR(IF(YES_Writing_FLA[[#This Row],[Literacy IPP]]='Writing Logic'!$E$26,"IPP",IF(OR(R12="EAL",S12="EAL",T12="EAL",U12="EAL"),"EAL",IF(R12='Writing Logic'!$A$10,AVERAGE(VLOOKUP(S12,'Writing Logic'!$A$3:$B$7,2,FALSE),VLOOKUP(T12,'Writing Logic'!$A$3:$B$7,2,FALSE),VLOOKUP(U12,'Writing Logic'!$A$3:$B$7,2,FALSE)),AVERAGE(VLOOKUP(R12,'Writing Logic'!$A$3:$B$7,2,FALSE),VLOOKUP(S12,'Writing Logic'!$A$3:$B$7,2,FALSE),VLOOKUP(T12,'Writing Logic'!$A$3:$B$7,2,FALSE),VLOOKUP(U12,'Writing Logic'!$A$3:$B$7,2,FALSE))))),"Fill All 4")</f>
        <v>Fill All 4</v>
      </c>
      <c r="W12" s="95" t="str">
        <f t="shared" si="0"/>
        <v/>
      </c>
      <c r="X12" s="120"/>
      <c r="Y12" s="120"/>
      <c r="Z12" s="120"/>
      <c r="AA12" s="120"/>
      <c r="AB12" s="95" t="str">
        <f>IFERROR(IF(YES_Writing_FLA[[#This Row],[Literacy IPP]]='Writing Logic'!$E$26,"IPP",IF(OR(X12="EAL",Y12="EAL",Z12="EAL",AA12="EAL"),"EAL",IF(X12='Writing Logic'!$A$10,AVERAGE(VLOOKUP(Y12,'Writing Logic'!$A$3:$B$7,2,FALSE),VLOOKUP(Z12,'Writing Logic'!$A$3:$B$7,2,FALSE),VLOOKUP(AA12,'Writing Logic'!$A$3:$B$7,2,FALSE)),AVERAGE(VLOOKUP(X12,'Writing Logic'!$A$3:$B$7,2,FALSE),VLOOKUP(Y12,'Writing Logic'!$A$3:$B$7,2,FALSE),VLOOKUP(Z12,'Writing Logic'!$A$3:$B$7,2,FALSE),VLOOKUP(AA12,'Writing Logic'!$A$3:$B$7,2,FALSE))))),"Fill All 4")</f>
        <v>Fill All 4</v>
      </c>
      <c r="AC12" s="95" t="str">
        <f t="shared" si="1"/>
        <v/>
      </c>
      <c r="AD12" s="120"/>
      <c r="AE12" s="120"/>
      <c r="AF12" s="120"/>
      <c r="AG12" s="120"/>
      <c r="AH12" s="95" t="str">
        <f>IFERROR(IF(YES_Writing_FLA[[#This Row],[Literacy IPP]]='Writing Logic'!$E$26,"IPP",IF(OR(AD12="EAL",AE12="EAL",AF12="EAL",AG12="EAL"),"EAL",IF(AD12='Writing Logic'!$A$10,AVERAGE(VLOOKUP(AE12,'Writing Logic'!$A$3:$B$7,2,FALSE),VLOOKUP(AF12,'Writing Logic'!$A$3:$B$7,2,FALSE),VLOOKUP(AG12,'Writing Logic'!$A$3:$B$7,2,FALSE)),AVERAGE(VLOOKUP(AD12,'Writing Logic'!$A$3:$B$7,2,FALSE),VLOOKUP(AE12,'Writing Logic'!$A$3:$B$7,2,FALSE),VLOOKUP(AF12,'Writing Logic'!$A$3:$B$7,2,FALSE),VLOOKUP(AG12,'Writing Logic'!$A$3:$B$7,2,FALSE))))),"Fill All 4")</f>
        <v>Fill All 4</v>
      </c>
      <c r="AI12" s="95" t="str">
        <f t="shared" si="2"/>
        <v/>
      </c>
      <c r="AJ12" s="183"/>
      <c r="AK12" s="120"/>
      <c r="AL12" s="120"/>
      <c r="AM12" s="120"/>
      <c r="AN12" s="95" t="str">
        <f>IFERROR(IF(YES_Writing_FLA[[#This Row],[Literacy IPP]]='Writing Logic'!$E$26,"IPP",IF(OR(AJ12="EAL",AK12="EAL",AL12="EAL",AM12="EAL"),"EAL",IF(AJ12='Writing Logic'!$A$10,AVERAGE(VLOOKUP(AK12,'Writing Logic'!$A$3:$B$7,2,FALSE),VLOOKUP(AL12,'Writing Logic'!$A$3:$B$7,2,FALSE),VLOOKUP(AM12,'Writing Logic'!$A$3:$B$7,2,FALSE)),AVERAGE(VLOOKUP(AJ12,'Writing Logic'!$A$3:$B$7,2,FALSE),VLOOKUP(AK12,'Writing Logic'!$A$3:$B$7,2,FALSE),VLOOKUP(AL12,'Writing Logic'!$A$3:$B$7,2,FALSE),VLOOKUP(AM12,'Writing Logic'!$A$3:$B$7,2,FALSE))))),"Fill All 4")</f>
        <v>Fill All 4</v>
      </c>
      <c r="AO12" s="95" t="str">
        <f t="shared" si="3"/>
        <v/>
      </c>
      <c r="AP12" s="120"/>
      <c r="AQ12" s="120"/>
      <c r="AR12" s="120"/>
      <c r="AS12" s="120"/>
      <c r="AT12" s="95" t="str">
        <f>IFERROR(IF(YES_Writing_FLA[[#This Row],[Literacy IPP]]='Writing Logic'!$E$26,"IPP",IF(OR(AP12="EAL",AQ12="EAL",AR12="EAL",AS12="EAL"),"EAL",IF(AP12='Writing Logic'!$A$10,AVERAGE(VLOOKUP(AQ12,'Writing Logic'!$A$3:$B$7,2,FALSE),VLOOKUP(AR12,'Writing Logic'!$A$3:$B$7,2,FALSE),VLOOKUP(AS12,'Writing Logic'!$A$3:$B$7,2,FALSE)),AVERAGE(VLOOKUP(AP12,'Writing Logic'!$A$3:$B$7,2,FALSE),VLOOKUP(AQ12,'Writing Logic'!$A$3:$B$7,2,FALSE),VLOOKUP(AR12,'Writing Logic'!$A$3:$B$7,2,FALSE),VLOOKUP(AS12,'Writing Logic'!$A$3:$B$7,2,FALSE))))),"Fill All 4")</f>
        <v>Fill All 4</v>
      </c>
      <c r="AU12" s="95" t="str">
        <f t="shared" si="4"/>
        <v/>
      </c>
    </row>
    <row r="13" spans="1:47" ht="22.5" customHeight="1" x14ac:dyDescent="0.25">
      <c r="A13" s="96"/>
      <c r="B13" s="98"/>
      <c r="C13" s="98"/>
      <c r="D13" s="98"/>
      <c r="E13" s="180"/>
      <c r="F13" s="98"/>
      <c r="G13" s="98"/>
      <c r="H13" s="98"/>
      <c r="I13" s="98"/>
      <c r="J13" s="98"/>
      <c r="K13" s="183"/>
      <c r="L13" s="184"/>
      <c r="M13" s="120"/>
      <c r="N13" s="120"/>
      <c r="O13" s="120"/>
      <c r="P13" s="120"/>
      <c r="Q13" s="95" t="str">
        <f>IFERROR(IF(YES_Writing_FLA[[#This Row],[Literacy IPP]]='Writing Logic'!$E$26,"IPP",IF(OR(M13="EAL",N13="EAL",O13="EAL",P13="EAL"),"EAL",IF(M13='Writing Logic'!$A$10,AVERAGE(VLOOKUP(N13,'Writing Logic'!$A$3:$B$7,2,FALSE),VLOOKUP(O13,'Writing Logic'!$A$3:$B$7,2,FALSE),VLOOKUP(P13,'Writing Logic'!$A$3:$B$7,2,FALSE)),AVERAGE(VLOOKUP(M13,'Writing Logic'!$A$3:$B$7,2,FALSE),VLOOKUP(N13,'Writing Logic'!$A$3:$B$7,2,FALSE),VLOOKUP(O13,'Writing Logic'!$A$3:$B$7,2,FALSE),VLOOKUP(P13,'Writing Logic'!$A$3:$B$7,2,FALSE))))),"Fill All 4")</f>
        <v>Fill All 4</v>
      </c>
      <c r="R13" s="120"/>
      <c r="S13" s="120"/>
      <c r="T13" s="120"/>
      <c r="U13" s="120"/>
      <c r="V13" s="95" t="str">
        <f>IFERROR(IF(YES_Writing_FLA[[#This Row],[Literacy IPP]]='Writing Logic'!$E$26,"IPP",IF(OR(R13="EAL",S13="EAL",T13="EAL",U13="EAL"),"EAL",IF(R13='Writing Logic'!$A$10,AVERAGE(VLOOKUP(S13,'Writing Logic'!$A$3:$B$7,2,FALSE),VLOOKUP(T13,'Writing Logic'!$A$3:$B$7,2,FALSE),VLOOKUP(U13,'Writing Logic'!$A$3:$B$7,2,FALSE)),AVERAGE(VLOOKUP(R13,'Writing Logic'!$A$3:$B$7,2,FALSE),VLOOKUP(S13,'Writing Logic'!$A$3:$B$7,2,FALSE),VLOOKUP(T13,'Writing Logic'!$A$3:$B$7,2,FALSE),VLOOKUP(U13,'Writing Logic'!$A$3:$B$7,2,FALSE))))),"Fill All 4")</f>
        <v>Fill All 4</v>
      </c>
      <c r="W13" s="95" t="str">
        <f t="shared" si="0"/>
        <v/>
      </c>
      <c r="X13" s="120"/>
      <c r="Y13" s="120"/>
      <c r="Z13" s="120"/>
      <c r="AA13" s="120"/>
      <c r="AB13" s="95" t="str">
        <f>IFERROR(IF(YES_Writing_FLA[[#This Row],[Literacy IPP]]='Writing Logic'!$E$26,"IPP",IF(OR(X13="EAL",Y13="EAL",Z13="EAL",AA13="EAL"),"EAL",IF(X13='Writing Logic'!$A$10,AVERAGE(VLOOKUP(Y13,'Writing Logic'!$A$3:$B$7,2,FALSE),VLOOKUP(Z13,'Writing Logic'!$A$3:$B$7,2,FALSE),VLOOKUP(AA13,'Writing Logic'!$A$3:$B$7,2,FALSE)),AVERAGE(VLOOKUP(X13,'Writing Logic'!$A$3:$B$7,2,FALSE),VLOOKUP(Y13,'Writing Logic'!$A$3:$B$7,2,FALSE),VLOOKUP(Z13,'Writing Logic'!$A$3:$B$7,2,FALSE),VLOOKUP(AA13,'Writing Logic'!$A$3:$B$7,2,FALSE))))),"Fill All 4")</f>
        <v>Fill All 4</v>
      </c>
      <c r="AC13" s="95" t="str">
        <f t="shared" si="1"/>
        <v/>
      </c>
      <c r="AD13" s="120"/>
      <c r="AE13" s="120"/>
      <c r="AF13" s="120"/>
      <c r="AG13" s="120"/>
      <c r="AH13" s="95" t="str">
        <f>IFERROR(IF(YES_Writing_FLA[[#This Row],[Literacy IPP]]='Writing Logic'!$E$26,"IPP",IF(OR(AD13="EAL",AE13="EAL",AF13="EAL",AG13="EAL"),"EAL",IF(AD13='Writing Logic'!$A$10,AVERAGE(VLOOKUP(AE13,'Writing Logic'!$A$3:$B$7,2,FALSE),VLOOKUP(AF13,'Writing Logic'!$A$3:$B$7,2,FALSE),VLOOKUP(AG13,'Writing Logic'!$A$3:$B$7,2,FALSE)),AVERAGE(VLOOKUP(AD13,'Writing Logic'!$A$3:$B$7,2,FALSE),VLOOKUP(AE13,'Writing Logic'!$A$3:$B$7,2,FALSE),VLOOKUP(AF13,'Writing Logic'!$A$3:$B$7,2,FALSE),VLOOKUP(AG13,'Writing Logic'!$A$3:$B$7,2,FALSE))))),"Fill All 4")</f>
        <v>Fill All 4</v>
      </c>
      <c r="AI13" s="95" t="str">
        <f t="shared" si="2"/>
        <v/>
      </c>
      <c r="AJ13" s="183"/>
      <c r="AK13" s="120"/>
      <c r="AL13" s="120"/>
      <c r="AM13" s="120"/>
      <c r="AN13" s="95" t="str">
        <f>IFERROR(IF(YES_Writing_FLA[[#This Row],[Literacy IPP]]='Writing Logic'!$E$26,"IPP",IF(OR(AJ13="EAL",AK13="EAL",AL13="EAL",AM13="EAL"),"EAL",IF(AJ13='Writing Logic'!$A$10,AVERAGE(VLOOKUP(AK13,'Writing Logic'!$A$3:$B$7,2,FALSE),VLOOKUP(AL13,'Writing Logic'!$A$3:$B$7,2,FALSE),VLOOKUP(AM13,'Writing Logic'!$A$3:$B$7,2,FALSE)),AVERAGE(VLOOKUP(AJ13,'Writing Logic'!$A$3:$B$7,2,FALSE),VLOOKUP(AK13,'Writing Logic'!$A$3:$B$7,2,FALSE),VLOOKUP(AL13,'Writing Logic'!$A$3:$B$7,2,FALSE),VLOOKUP(AM13,'Writing Logic'!$A$3:$B$7,2,FALSE))))),"Fill All 4")</f>
        <v>Fill All 4</v>
      </c>
      <c r="AO13" s="95" t="str">
        <f t="shared" si="3"/>
        <v/>
      </c>
      <c r="AP13" s="120"/>
      <c r="AQ13" s="120"/>
      <c r="AR13" s="120"/>
      <c r="AS13" s="120"/>
      <c r="AT13" s="95" t="str">
        <f>IFERROR(IF(YES_Writing_FLA[[#This Row],[Literacy IPP]]='Writing Logic'!$E$26,"IPP",IF(OR(AP13="EAL",AQ13="EAL",AR13="EAL",AS13="EAL"),"EAL",IF(AP13='Writing Logic'!$A$10,AVERAGE(VLOOKUP(AQ13,'Writing Logic'!$A$3:$B$7,2,FALSE),VLOOKUP(AR13,'Writing Logic'!$A$3:$B$7,2,FALSE),VLOOKUP(AS13,'Writing Logic'!$A$3:$B$7,2,FALSE)),AVERAGE(VLOOKUP(AP13,'Writing Logic'!$A$3:$B$7,2,FALSE),VLOOKUP(AQ13,'Writing Logic'!$A$3:$B$7,2,FALSE),VLOOKUP(AR13,'Writing Logic'!$A$3:$B$7,2,FALSE),VLOOKUP(AS13,'Writing Logic'!$A$3:$B$7,2,FALSE))))),"Fill All 4")</f>
        <v>Fill All 4</v>
      </c>
      <c r="AU13" s="95" t="str">
        <f t="shared" si="4"/>
        <v/>
      </c>
    </row>
    <row r="14" spans="1:47" ht="22.5" customHeight="1" x14ac:dyDescent="0.25">
      <c r="A14" s="96"/>
      <c r="B14" s="98"/>
      <c r="C14" s="98"/>
      <c r="D14" s="98"/>
      <c r="E14" s="180"/>
      <c r="F14" s="98"/>
      <c r="G14" s="98"/>
      <c r="H14" s="98"/>
      <c r="I14" s="98"/>
      <c r="J14" s="98"/>
      <c r="K14" s="183"/>
      <c r="L14" s="184"/>
      <c r="M14" s="120"/>
      <c r="N14" s="120"/>
      <c r="O14" s="120"/>
      <c r="P14" s="120"/>
      <c r="Q14" s="95" t="str">
        <f>IFERROR(IF(YES_Writing_FLA[[#This Row],[Literacy IPP]]='Writing Logic'!$E$26,"IPP",IF(OR(M14="EAL",N14="EAL",O14="EAL",P14="EAL"),"EAL",IF(M14='Writing Logic'!$A$10,AVERAGE(VLOOKUP(N14,'Writing Logic'!$A$3:$B$7,2,FALSE),VLOOKUP(O14,'Writing Logic'!$A$3:$B$7,2,FALSE),VLOOKUP(P14,'Writing Logic'!$A$3:$B$7,2,FALSE)),AVERAGE(VLOOKUP(M14,'Writing Logic'!$A$3:$B$7,2,FALSE),VLOOKUP(N14,'Writing Logic'!$A$3:$B$7,2,FALSE),VLOOKUP(O14,'Writing Logic'!$A$3:$B$7,2,FALSE),VLOOKUP(P14,'Writing Logic'!$A$3:$B$7,2,FALSE))))),"Fill All 4")</f>
        <v>Fill All 4</v>
      </c>
      <c r="R14" s="120"/>
      <c r="S14" s="120"/>
      <c r="T14" s="120"/>
      <c r="U14" s="120"/>
      <c r="V14" s="95" t="str">
        <f>IFERROR(IF(YES_Writing_FLA[[#This Row],[Literacy IPP]]='Writing Logic'!$E$26,"IPP",IF(OR(R14="EAL",S14="EAL",T14="EAL",U14="EAL"),"EAL",IF(R14='Writing Logic'!$A$10,AVERAGE(VLOOKUP(S14,'Writing Logic'!$A$3:$B$7,2,FALSE),VLOOKUP(T14,'Writing Logic'!$A$3:$B$7,2,FALSE),VLOOKUP(U14,'Writing Logic'!$A$3:$B$7,2,FALSE)),AVERAGE(VLOOKUP(R14,'Writing Logic'!$A$3:$B$7,2,FALSE),VLOOKUP(S14,'Writing Logic'!$A$3:$B$7,2,FALSE),VLOOKUP(T14,'Writing Logic'!$A$3:$B$7,2,FALSE),VLOOKUP(U14,'Writing Logic'!$A$3:$B$7,2,FALSE))))),"Fill All 4")</f>
        <v>Fill All 4</v>
      </c>
      <c r="W14" s="95" t="str">
        <f t="shared" si="0"/>
        <v/>
      </c>
      <c r="X14" s="120"/>
      <c r="Y14" s="120"/>
      <c r="Z14" s="120"/>
      <c r="AA14" s="120"/>
      <c r="AB14" s="95" t="str">
        <f>IFERROR(IF(YES_Writing_FLA[[#This Row],[Literacy IPP]]='Writing Logic'!$E$26,"IPP",IF(OR(X14="EAL",Y14="EAL",Z14="EAL",AA14="EAL"),"EAL",IF(X14='Writing Logic'!$A$10,AVERAGE(VLOOKUP(Y14,'Writing Logic'!$A$3:$B$7,2,FALSE),VLOOKUP(Z14,'Writing Logic'!$A$3:$B$7,2,FALSE),VLOOKUP(AA14,'Writing Logic'!$A$3:$B$7,2,FALSE)),AVERAGE(VLOOKUP(X14,'Writing Logic'!$A$3:$B$7,2,FALSE),VLOOKUP(Y14,'Writing Logic'!$A$3:$B$7,2,FALSE),VLOOKUP(Z14,'Writing Logic'!$A$3:$B$7,2,FALSE),VLOOKUP(AA14,'Writing Logic'!$A$3:$B$7,2,FALSE))))),"Fill All 4")</f>
        <v>Fill All 4</v>
      </c>
      <c r="AC14" s="95" t="str">
        <f t="shared" si="1"/>
        <v/>
      </c>
      <c r="AD14" s="120"/>
      <c r="AE14" s="120"/>
      <c r="AF14" s="120"/>
      <c r="AG14" s="120"/>
      <c r="AH14" s="95" t="str">
        <f>IFERROR(IF(YES_Writing_FLA[[#This Row],[Literacy IPP]]='Writing Logic'!$E$26,"IPP",IF(OR(AD14="EAL",AE14="EAL",AF14="EAL",AG14="EAL"),"EAL",IF(AD14='Writing Logic'!$A$10,AVERAGE(VLOOKUP(AE14,'Writing Logic'!$A$3:$B$7,2,FALSE),VLOOKUP(AF14,'Writing Logic'!$A$3:$B$7,2,FALSE),VLOOKUP(AG14,'Writing Logic'!$A$3:$B$7,2,FALSE)),AVERAGE(VLOOKUP(AD14,'Writing Logic'!$A$3:$B$7,2,FALSE),VLOOKUP(AE14,'Writing Logic'!$A$3:$B$7,2,FALSE),VLOOKUP(AF14,'Writing Logic'!$A$3:$B$7,2,FALSE),VLOOKUP(AG14,'Writing Logic'!$A$3:$B$7,2,FALSE))))),"Fill All 4")</f>
        <v>Fill All 4</v>
      </c>
      <c r="AI14" s="95" t="str">
        <f t="shared" si="2"/>
        <v/>
      </c>
      <c r="AJ14" s="183"/>
      <c r="AK14" s="120"/>
      <c r="AL14" s="120"/>
      <c r="AM14" s="120"/>
      <c r="AN14" s="95" t="str">
        <f>IFERROR(IF(YES_Writing_FLA[[#This Row],[Literacy IPP]]='Writing Logic'!$E$26,"IPP",IF(OR(AJ14="EAL",AK14="EAL",AL14="EAL",AM14="EAL"),"EAL",IF(AJ14='Writing Logic'!$A$10,AVERAGE(VLOOKUP(AK14,'Writing Logic'!$A$3:$B$7,2,FALSE),VLOOKUP(AL14,'Writing Logic'!$A$3:$B$7,2,FALSE),VLOOKUP(AM14,'Writing Logic'!$A$3:$B$7,2,FALSE)),AVERAGE(VLOOKUP(AJ14,'Writing Logic'!$A$3:$B$7,2,FALSE),VLOOKUP(AK14,'Writing Logic'!$A$3:$B$7,2,FALSE),VLOOKUP(AL14,'Writing Logic'!$A$3:$B$7,2,FALSE),VLOOKUP(AM14,'Writing Logic'!$A$3:$B$7,2,FALSE))))),"Fill All 4")</f>
        <v>Fill All 4</v>
      </c>
      <c r="AO14" s="95" t="str">
        <f t="shared" si="3"/>
        <v/>
      </c>
      <c r="AP14" s="120"/>
      <c r="AQ14" s="120"/>
      <c r="AR14" s="120"/>
      <c r="AS14" s="120"/>
      <c r="AT14" s="95" t="str">
        <f>IFERROR(IF(YES_Writing_FLA[[#This Row],[Literacy IPP]]='Writing Logic'!$E$26,"IPP",IF(OR(AP14="EAL",AQ14="EAL",AR14="EAL",AS14="EAL"),"EAL",IF(AP14='Writing Logic'!$A$10,AVERAGE(VLOOKUP(AQ14,'Writing Logic'!$A$3:$B$7,2,FALSE),VLOOKUP(AR14,'Writing Logic'!$A$3:$B$7,2,FALSE),VLOOKUP(AS14,'Writing Logic'!$A$3:$B$7,2,FALSE)),AVERAGE(VLOOKUP(AP14,'Writing Logic'!$A$3:$B$7,2,FALSE),VLOOKUP(AQ14,'Writing Logic'!$A$3:$B$7,2,FALSE),VLOOKUP(AR14,'Writing Logic'!$A$3:$B$7,2,FALSE),VLOOKUP(AS14,'Writing Logic'!$A$3:$B$7,2,FALSE))))),"Fill All 4")</f>
        <v>Fill All 4</v>
      </c>
      <c r="AU14" s="95" t="str">
        <f t="shared" si="4"/>
        <v/>
      </c>
    </row>
    <row r="15" spans="1:47" ht="22.5" customHeight="1" x14ac:dyDescent="0.25">
      <c r="A15" s="96"/>
      <c r="B15" s="98"/>
      <c r="C15" s="98"/>
      <c r="D15" s="98"/>
      <c r="E15" s="180"/>
      <c r="F15" s="98"/>
      <c r="G15" s="98"/>
      <c r="H15" s="98"/>
      <c r="I15" s="98"/>
      <c r="J15" s="98"/>
      <c r="K15" s="183"/>
      <c r="L15" s="184"/>
      <c r="M15" s="120"/>
      <c r="N15" s="120"/>
      <c r="O15" s="120"/>
      <c r="P15" s="120"/>
      <c r="Q15" s="95" t="str">
        <f>IFERROR(IF(YES_Writing_FLA[[#This Row],[Literacy IPP]]='Writing Logic'!$E$26,"IPP",IF(OR(M15="EAL",N15="EAL",O15="EAL",P15="EAL"),"EAL",IF(M15='Writing Logic'!$A$10,AVERAGE(VLOOKUP(N15,'Writing Logic'!$A$3:$B$7,2,FALSE),VLOOKUP(O15,'Writing Logic'!$A$3:$B$7,2,FALSE),VLOOKUP(P15,'Writing Logic'!$A$3:$B$7,2,FALSE)),AVERAGE(VLOOKUP(M15,'Writing Logic'!$A$3:$B$7,2,FALSE),VLOOKUP(N15,'Writing Logic'!$A$3:$B$7,2,FALSE),VLOOKUP(O15,'Writing Logic'!$A$3:$B$7,2,FALSE),VLOOKUP(P15,'Writing Logic'!$A$3:$B$7,2,FALSE))))),"Fill All 4")</f>
        <v>Fill All 4</v>
      </c>
      <c r="R15" s="120"/>
      <c r="S15" s="120"/>
      <c r="T15" s="120"/>
      <c r="U15" s="120"/>
      <c r="V15" s="95" t="str">
        <f>IFERROR(IF(YES_Writing_FLA[[#This Row],[Literacy IPP]]='Writing Logic'!$E$26,"IPP",IF(OR(R15="EAL",S15="EAL",T15="EAL",U15="EAL"),"EAL",IF(R15='Writing Logic'!$A$10,AVERAGE(VLOOKUP(S15,'Writing Logic'!$A$3:$B$7,2,FALSE),VLOOKUP(T15,'Writing Logic'!$A$3:$B$7,2,FALSE),VLOOKUP(U15,'Writing Logic'!$A$3:$B$7,2,FALSE)),AVERAGE(VLOOKUP(R15,'Writing Logic'!$A$3:$B$7,2,FALSE),VLOOKUP(S15,'Writing Logic'!$A$3:$B$7,2,FALSE),VLOOKUP(T15,'Writing Logic'!$A$3:$B$7,2,FALSE),VLOOKUP(U15,'Writing Logic'!$A$3:$B$7,2,FALSE))))),"Fill All 4")</f>
        <v>Fill All 4</v>
      </c>
      <c r="W15" s="95" t="str">
        <f t="shared" si="0"/>
        <v/>
      </c>
      <c r="X15" s="120"/>
      <c r="Y15" s="120"/>
      <c r="Z15" s="120"/>
      <c r="AA15" s="120"/>
      <c r="AB15" s="95" t="str">
        <f>IFERROR(IF(YES_Writing_FLA[[#This Row],[Literacy IPP]]='Writing Logic'!$E$26,"IPP",IF(OR(X15="EAL",Y15="EAL",Z15="EAL",AA15="EAL"),"EAL",IF(X15='Writing Logic'!$A$10,AVERAGE(VLOOKUP(Y15,'Writing Logic'!$A$3:$B$7,2,FALSE),VLOOKUP(Z15,'Writing Logic'!$A$3:$B$7,2,FALSE),VLOOKUP(AA15,'Writing Logic'!$A$3:$B$7,2,FALSE)),AVERAGE(VLOOKUP(X15,'Writing Logic'!$A$3:$B$7,2,FALSE),VLOOKUP(Y15,'Writing Logic'!$A$3:$B$7,2,FALSE),VLOOKUP(Z15,'Writing Logic'!$A$3:$B$7,2,FALSE),VLOOKUP(AA15,'Writing Logic'!$A$3:$B$7,2,FALSE))))),"Fill All 4")</f>
        <v>Fill All 4</v>
      </c>
      <c r="AC15" s="95" t="str">
        <f t="shared" si="1"/>
        <v/>
      </c>
      <c r="AD15" s="120"/>
      <c r="AE15" s="120"/>
      <c r="AF15" s="120"/>
      <c r="AG15" s="120"/>
      <c r="AH15" s="95" t="str">
        <f>IFERROR(IF(YES_Writing_FLA[[#This Row],[Literacy IPP]]='Writing Logic'!$E$26,"IPP",IF(OR(AD15="EAL",AE15="EAL",AF15="EAL",AG15="EAL"),"EAL",IF(AD15='Writing Logic'!$A$10,AVERAGE(VLOOKUP(AE15,'Writing Logic'!$A$3:$B$7,2,FALSE),VLOOKUP(AF15,'Writing Logic'!$A$3:$B$7,2,FALSE),VLOOKUP(AG15,'Writing Logic'!$A$3:$B$7,2,FALSE)),AVERAGE(VLOOKUP(AD15,'Writing Logic'!$A$3:$B$7,2,FALSE),VLOOKUP(AE15,'Writing Logic'!$A$3:$B$7,2,FALSE),VLOOKUP(AF15,'Writing Logic'!$A$3:$B$7,2,FALSE),VLOOKUP(AG15,'Writing Logic'!$A$3:$B$7,2,FALSE))))),"Fill All 4")</f>
        <v>Fill All 4</v>
      </c>
      <c r="AI15" s="95" t="str">
        <f t="shared" si="2"/>
        <v/>
      </c>
      <c r="AJ15" s="183"/>
      <c r="AK15" s="120"/>
      <c r="AL15" s="120"/>
      <c r="AM15" s="120"/>
      <c r="AN15" s="95" t="str">
        <f>IFERROR(IF(YES_Writing_FLA[[#This Row],[Literacy IPP]]='Writing Logic'!$E$26,"IPP",IF(OR(AJ15="EAL",AK15="EAL",AL15="EAL",AM15="EAL"),"EAL",IF(AJ15='Writing Logic'!$A$10,AVERAGE(VLOOKUP(AK15,'Writing Logic'!$A$3:$B$7,2,FALSE),VLOOKUP(AL15,'Writing Logic'!$A$3:$B$7,2,FALSE),VLOOKUP(AM15,'Writing Logic'!$A$3:$B$7,2,FALSE)),AVERAGE(VLOOKUP(AJ15,'Writing Logic'!$A$3:$B$7,2,FALSE),VLOOKUP(AK15,'Writing Logic'!$A$3:$B$7,2,FALSE),VLOOKUP(AL15,'Writing Logic'!$A$3:$B$7,2,FALSE),VLOOKUP(AM15,'Writing Logic'!$A$3:$B$7,2,FALSE))))),"Fill All 4")</f>
        <v>Fill All 4</v>
      </c>
      <c r="AO15" s="95" t="str">
        <f t="shared" si="3"/>
        <v/>
      </c>
      <c r="AP15" s="120"/>
      <c r="AQ15" s="120"/>
      <c r="AR15" s="120"/>
      <c r="AS15" s="120"/>
      <c r="AT15" s="95" t="str">
        <f>IFERROR(IF(YES_Writing_FLA[[#This Row],[Literacy IPP]]='Writing Logic'!$E$26,"IPP",IF(OR(AP15="EAL",AQ15="EAL",AR15="EAL",AS15="EAL"),"EAL",IF(AP15='Writing Logic'!$A$10,AVERAGE(VLOOKUP(AQ15,'Writing Logic'!$A$3:$B$7,2,FALSE),VLOOKUP(AR15,'Writing Logic'!$A$3:$B$7,2,FALSE),VLOOKUP(AS15,'Writing Logic'!$A$3:$B$7,2,FALSE)),AVERAGE(VLOOKUP(AP15,'Writing Logic'!$A$3:$B$7,2,FALSE),VLOOKUP(AQ15,'Writing Logic'!$A$3:$B$7,2,FALSE),VLOOKUP(AR15,'Writing Logic'!$A$3:$B$7,2,FALSE),VLOOKUP(AS15,'Writing Logic'!$A$3:$B$7,2,FALSE))))),"Fill All 4")</f>
        <v>Fill All 4</v>
      </c>
      <c r="AU15" s="95" t="str">
        <f t="shared" si="4"/>
        <v/>
      </c>
    </row>
    <row r="16" spans="1:47" ht="22.5" customHeight="1" x14ac:dyDescent="0.25">
      <c r="A16" s="96"/>
      <c r="B16" s="98"/>
      <c r="C16" s="98"/>
      <c r="D16" s="98"/>
      <c r="E16" s="180"/>
      <c r="F16" s="98"/>
      <c r="G16" s="98"/>
      <c r="H16" s="98"/>
      <c r="I16" s="98"/>
      <c r="J16" s="98"/>
      <c r="K16" s="183"/>
      <c r="L16" s="184"/>
      <c r="M16" s="120"/>
      <c r="N16" s="120"/>
      <c r="O16" s="120"/>
      <c r="P16" s="120"/>
      <c r="Q16" s="95" t="str">
        <f>IFERROR(IF(YES_Writing_FLA[[#This Row],[Literacy IPP]]='Writing Logic'!$E$26,"IPP",IF(OR(M16="EAL",N16="EAL",O16="EAL",P16="EAL"),"EAL",IF(M16='Writing Logic'!$A$10,AVERAGE(VLOOKUP(N16,'Writing Logic'!$A$3:$B$7,2,FALSE),VLOOKUP(O16,'Writing Logic'!$A$3:$B$7,2,FALSE),VLOOKUP(P16,'Writing Logic'!$A$3:$B$7,2,FALSE)),AVERAGE(VLOOKUP(M16,'Writing Logic'!$A$3:$B$7,2,FALSE),VLOOKUP(N16,'Writing Logic'!$A$3:$B$7,2,FALSE),VLOOKUP(O16,'Writing Logic'!$A$3:$B$7,2,FALSE),VLOOKUP(P16,'Writing Logic'!$A$3:$B$7,2,FALSE))))),"Fill All 4")</f>
        <v>Fill All 4</v>
      </c>
      <c r="R16" s="120"/>
      <c r="S16" s="120"/>
      <c r="T16" s="120"/>
      <c r="U16" s="120"/>
      <c r="V16" s="95" t="str">
        <f>IFERROR(IF(YES_Writing_FLA[[#This Row],[Literacy IPP]]='Writing Logic'!$E$26,"IPP",IF(OR(R16="EAL",S16="EAL",T16="EAL",U16="EAL"),"EAL",IF(R16='Writing Logic'!$A$10,AVERAGE(VLOOKUP(S16,'Writing Logic'!$A$3:$B$7,2,FALSE),VLOOKUP(T16,'Writing Logic'!$A$3:$B$7,2,FALSE),VLOOKUP(U16,'Writing Logic'!$A$3:$B$7,2,FALSE)),AVERAGE(VLOOKUP(R16,'Writing Logic'!$A$3:$B$7,2,FALSE),VLOOKUP(S16,'Writing Logic'!$A$3:$B$7,2,FALSE),VLOOKUP(T16,'Writing Logic'!$A$3:$B$7,2,FALSE),VLOOKUP(U16,'Writing Logic'!$A$3:$B$7,2,FALSE))))),"Fill All 4")</f>
        <v>Fill All 4</v>
      </c>
      <c r="W16" s="95" t="str">
        <f t="shared" si="0"/>
        <v/>
      </c>
      <c r="X16" s="120"/>
      <c r="Y16" s="120"/>
      <c r="Z16" s="120"/>
      <c r="AA16" s="120"/>
      <c r="AB16" s="95" t="str">
        <f>IFERROR(IF(YES_Writing_FLA[[#This Row],[Literacy IPP]]='Writing Logic'!$E$26,"IPP",IF(OR(X16="EAL",Y16="EAL",Z16="EAL",AA16="EAL"),"EAL",IF(X16='Writing Logic'!$A$10,AVERAGE(VLOOKUP(Y16,'Writing Logic'!$A$3:$B$7,2,FALSE),VLOOKUP(Z16,'Writing Logic'!$A$3:$B$7,2,FALSE),VLOOKUP(AA16,'Writing Logic'!$A$3:$B$7,2,FALSE)),AVERAGE(VLOOKUP(X16,'Writing Logic'!$A$3:$B$7,2,FALSE),VLOOKUP(Y16,'Writing Logic'!$A$3:$B$7,2,FALSE),VLOOKUP(Z16,'Writing Logic'!$A$3:$B$7,2,FALSE),VLOOKUP(AA16,'Writing Logic'!$A$3:$B$7,2,FALSE))))),"Fill All 4")</f>
        <v>Fill All 4</v>
      </c>
      <c r="AC16" s="95" t="str">
        <f t="shared" si="1"/>
        <v/>
      </c>
      <c r="AD16" s="120"/>
      <c r="AE16" s="120"/>
      <c r="AF16" s="120"/>
      <c r="AG16" s="120"/>
      <c r="AH16" s="95" t="str">
        <f>IFERROR(IF(YES_Writing_FLA[[#This Row],[Literacy IPP]]='Writing Logic'!$E$26,"IPP",IF(OR(AD16="EAL",AE16="EAL",AF16="EAL",AG16="EAL"),"EAL",IF(AD16='Writing Logic'!$A$10,AVERAGE(VLOOKUP(AE16,'Writing Logic'!$A$3:$B$7,2,FALSE),VLOOKUP(AF16,'Writing Logic'!$A$3:$B$7,2,FALSE),VLOOKUP(AG16,'Writing Logic'!$A$3:$B$7,2,FALSE)),AVERAGE(VLOOKUP(AD16,'Writing Logic'!$A$3:$B$7,2,FALSE),VLOOKUP(AE16,'Writing Logic'!$A$3:$B$7,2,FALSE),VLOOKUP(AF16,'Writing Logic'!$A$3:$B$7,2,FALSE),VLOOKUP(AG16,'Writing Logic'!$A$3:$B$7,2,FALSE))))),"Fill All 4")</f>
        <v>Fill All 4</v>
      </c>
      <c r="AI16" s="95" t="str">
        <f t="shared" si="2"/>
        <v/>
      </c>
      <c r="AJ16" s="183"/>
      <c r="AK16" s="120"/>
      <c r="AL16" s="120"/>
      <c r="AM16" s="120"/>
      <c r="AN16" s="95" t="str">
        <f>IFERROR(IF(YES_Writing_FLA[[#This Row],[Literacy IPP]]='Writing Logic'!$E$26,"IPP",IF(OR(AJ16="EAL",AK16="EAL",AL16="EAL",AM16="EAL"),"EAL",IF(AJ16='Writing Logic'!$A$10,AVERAGE(VLOOKUP(AK16,'Writing Logic'!$A$3:$B$7,2,FALSE),VLOOKUP(AL16,'Writing Logic'!$A$3:$B$7,2,FALSE),VLOOKUP(AM16,'Writing Logic'!$A$3:$B$7,2,FALSE)),AVERAGE(VLOOKUP(AJ16,'Writing Logic'!$A$3:$B$7,2,FALSE),VLOOKUP(AK16,'Writing Logic'!$A$3:$B$7,2,FALSE),VLOOKUP(AL16,'Writing Logic'!$A$3:$B$7,2,FALSE),VLOOKUP(AM16,'Writing Logic'!$A$3:$B$7,2,FALSE))))),"Fill All 4")</f>
        <v>Fill All 4</v>
      </c>
      <c r="AO16" s="95" t="str">
        <f t="shared" si="3"/>
        <v/>
      </c>
      <c r="AP16" s="120"/>
      <c r="AQ16" s="120"/>
      <c r="AR16" s="120"/>
      <c r="AS16" s="120"/>
      <c r="AT16" s="95" t="str">
        <f>IFERROR(IF(YES_Writing_FLA[[#This Row],[Literacy IPP]]='Writing Logic'!$E$26,"IPP",IF(OR(AP16="EAL",AQ16="EAL",AR16="EAL",AS16="EAL"),"EAL",IF(AP16='Writing Logic'!$A$10,AVERAGE(VLOOKUP(AQ16,'Writing Logic'!$A$3:$B$7,2,FALSE),VLOOKUP(AR16,'Writing Logic'!$A$3:$B$7,2,FALSE),VLOOKUP(AS16,'Writing Logic'!$A$3:$B$7,2,FALSE)),AVERAGE(VLOOKUP(AP16,'Writing Logic'!$A$3:$B$7,2,FALSE),VLOOKUP(AQ16,'Writing Logic'!$A$3:$B$7,2,FALSE),VLOOKUP(AR16,'Writing Logic'!$A$3:$B$7,2,FALSE),VLOOKUP(AS16,'Writing Logic'!$A$3:$B$7,2,FALSE))))),"Fill All 4")</f>
        <v>Fill All 4</v>
      </c>
      <c r="AU16" s="95" t="str">
        <f t="shared" si="4"/>
        <v/>
      </c>
    </row>
    <row r="17" spans="1:47" ht="22.5" customHeight="1" x14ac:dyDescent="0.25">
      <c r="A17" s="96"/>
      <c r="B17" s="98"/>
      <c r="C17" s="98"/>
      <c r="D17" s="98"/>
      <c r="E17" s="180"/>
      <c r="F17" s="98"/>
      <c r="G17" s="98"/>
      <c r="H17" s="98"/>
      <c r="I17" s="98"/>
      <c r="J17" s="98"/>
      <c r="K17" s="183"/>
      <c r="L17" s="184"/>
      <c r="M17" s="120"/>
      <c r="N17" s="120"/>
      <c r="O17" s="120"/>
      <c r="P17" s="120"/>
      <c r="Q17" s="95" t="str">
        <f>IFERROR(IF(YES_Writing_FLA[[#This Row],[Literacy IPP]]='Writing Logic'!$E$26,"IPP",IF(OR(M17="EAL",N17="EAL",O17="EAL",P17="EAL"),"EAL",IF(M17='Writing Logic'!$A$10,AVERAGE(VLOOKUP(N17,'Writing Logic'!$A$3:$B$7,2,FALSE),VLOOKUP(O17,'Writing Logic'!$A$3:$B$7,2,FALSE),VLOOKUP(P17,'Writing Logic'!$A$3:$B$7,2,FALSE)),AVERAGE(VLOOKUP(M17,'Writing Logic'!$A$3:$B$7,2,FALSE),VLOOKUP(N17,'Writing Logic'!$A$3:$B$7,2,FALSE),VLOOKUP(O17,'Writing Logic'!$A$3:$B$7,2,FALSE),VLOOKUP(P17,'Writing Logic'!$A$3:$B$7,2,FALSE))))),"Fill All 4")</f>
        <v>Fill All 4</v>
      </c>
      <c r="R17" s="120"/>
      <c r="S17" s="120"/>
      <c r="T17" s="120"/>
      <c r="U17" s="120"/>
      <c r="V17" s="95" t="str">
        <f>IFERROR(IF(YES_Writing_FLA[[#This Row],[Literacy IPP]]='Writing Logic'!$E$26,"IPP",IF(OR(R17="EAL",S17="EAL",T17="EAL",U17="EAL"),"EAL",IF(R17='Writing Logic'!$A$10,AVERAGE(VLOOKUP(S17,'Writing Logic'!$A$3:$B$7,2,FALSE),VLOOKUP(T17,'Writing Logic'!$A$3:$B$7,2,FALSE),VLOOKUP(U17,'Writing Logic'!$A$3:$B$7,2,FALSE)),AVERAGE(VLOOKUP(R17,'Writing Logic'!$A$3:$B$7,2,FALSE),VLOOKUP(S17,'Writing Logic'!$A$3:$B$7,2,FALSE),VLOOKUP(T17,'Writing Logic'!$A$3:$B$7,2,FALSE),VLOOKUP(U17,'Writing Logic'!$A$3:$B$7,2,FALSE))))),"Fill All 4")</f>
        <v>Fill All 4</v>
      </c>
      <c r="W17" s="95" t="str">
        <f t="shared" si="0"/>
        <v/>
      </c>
      <c r="X17" s="120"/>
      <c r="Y17" s="120"/>
      <c r="Z17" s="120"/>
      <c r="AA17" s="120"/>
      <c r="AB17" s="95" t="str">
        <f>IFERROR(IF(YES_Writing_FLA[[#This Row],[Literacy IPP]]='Writing Logic'!$E$26,"IPP",IF(OR(X17="EAL",Y17="EAL",Z17="EAL",AA17="EAL"),"EAL",IF(X17='Writing Logic'!$A$10,AVERAGE(VLOOKUP(Y17,'Writing Logic'!$A$3:$B$7,2,FALSE),VLOOKUP(Z17,'Writing Logic'!$A$3:$B$7,2,FALSE),VLOOKUP(AA17,'Writing Logic'!$A$3:$B$7,2,FALSE)),AVERAGE(VLOOKUP(X17,'Writing Logic'!$A$3:$B$7,2,FALSE),VLOOKUP(Y17,'Writing Logic'!$A$3:$B$7,2,FALSE),VLOOKUP(Z17,'Writing Logic'!$A$3:$B$7,2,FALSE),VLOOKUP(AA17,'Writing Logic'!$A$3:$B$7,2,FALSE))))),"Fill All 4")</f>
        <v>Fill All 4</v>
      </c>
      <c r="AC17" s="95" t="str">
        <f t="shared" si="1"/>
        <v/>
      </c>
      <c r="AD17" s="120"/>
      <c r="AE17" s="120"/>
      <c r="AF17" s="120"/>
      <c r="AG17" s="120"/>
      <c r="AH17" s="95" t="str">
        <f>IFERROR(IF(YES_Writing_FLA[[#This Row],[Literacy IPP]]='Writing Logic'!$E$26,"IPP",IF(OR(AD17="EAL",AE17="EAL",AF17="EAL",AG17="EAL"),"EAL",IF(AD17='Writing Logic'!$A$10,AVERAGE(VLOOKUP(AE17,'Writing Logic'!$A$3:$B$7,2,FALSE),VLOOKUP(AF17,'Writing Logic'!$A$3:$B$7,2,FALSE),VLOOKUP(AG17,'Writing Logic'!$A$3:$B$7,2,FALSE)),AVERAGE(VLOOKUP(AD17,'Writing Logic'!$A$3:$B$7,2,FALSE),VLOOKUP(AE17,'Writing Logic'!$A$3:$B$7,2,FALSE),VLOOKUP(AF17,'Writing Logic'!$A$3:$B$7,2,FALSE),VLOOKUP(AG17,'Writing Logic'!$A$3:$B$7,2,FALSE))))),"Fill All 4")</f>
        <v>Fill All 4</v>
      </c>
      <c r="AI17" s="95" t="str">
        <f t="shared" si="2"/>
        <v/>
      </c>
      <c r="AJ17" s="183"/>
      <c r="AK17" s="120"/>
      <c r="AL17" s="120"/>
      <c r="AM17" s="120"/>
      <c r="AN17" s="95" t="str">
        <f>IFERROR(IF(YES_Writing_FLA[[#This Row],[Literacy IPP]]='Writing Logic'!$E$26,"IPP",IF(OR(AJ17="EAL",AK17="EAL",AL17="EAL",AM17="EAL"),"EAL",IF(AJ17='Writing Logic'!$A$10,AVERAGE(VLOOKUP(AK17,'Writing Logic'!$A$3:$B$7,2,FALSE),VLOOKUP(AL17,'Writing Logic'!$A$3:$B$7,2,FALSE),VLOOKUP(AM17,'Writing Logic'!$A$3:$B$7,2,FALSE)),AVERAGE(VLOOKUP(AJ17,'Writing Logic'!$A$3:$B$7,2,FALSE),VLOOKUP(AK17,'Writing Logic'!$A$3:$B$7,2,FALSE),VLOOKUP(AL17,'Writing Logic'!$A$3:$B$7,2,FALSE),VLOOKUP(AM17,'Writing Logic'!$A$3:$B$7,2,FALSE))))),"Fill All 4")</f>
        <v>Fill All 4</v>
      </c>
      <c r="AO17" s="95" t="str">
        <f t="shared" si="3"/>
        <v/>
      </c>
      <c r="AP17" s="120"/>
      <c r="AQ17" s="120"/>
      <c r="AR17" s="120"/>
      <c r="AS17" s="120"/>
      <c r="AT17" s="95" t="str">
        <f>IFERROR(IF(YES_Writing_FLA[[#This Row],[Literacy IPP]]='Writing Logic'!$E$26,"IPP",IF(OR(AP17="EAL",AQ17="EAL",AR17="EAL",AS17="EAL"),"EAL",IF(AP17='Writing Logic'!$A$10,AVERAGE(VLOOKUP(AQ17,'Writing Logic'!$A$3:$B$7,2,FALSE),VLOOKUP(AR17,'Writing Logic'!$A$3:$B$7,2,FALSE),VLOOKUP(AS17,'Writing Logic'!$A$3:$B$7,2,FALSE)),AVERAGE(VLOOKUP(AP17,'Writing Logic'!$A$3:$B$7,2,FALSE),VLOOKUP(AQ17,'Writing Logic'!$A$3:$B$7,2,FALSE),VLOOKUP(AR17,'Writing Logic'!$A$3:$B$7,2,FALSE),VLOOKUP(AS17,'Writing Logic'!$A$3:$B$7,2,FALSE))))),"Fill All 4")</f>
        <v>Fill All 4</v>
      </c>
      <c r="AU17" s="95" t="str">
        <f t="shared" si="4"/>
        <v/>
      </c>
    </row>
    <row r="18" spans="1:47" ht="22.5" customHeight="1" x14ac:dyDescent="0.25">
      <c r="A18" s="96"/>
      <c r="B18" s="98"/>
      <c r="C18" s="98"/>
      <c r="D18" s="98"/>
      <c r="E18" s="180"/>
      <c r="F18" s="98"/>
      <c r="G18" s="98"/>
      <c r="H18" s="98"/>
      <c r="I18" s="98"/>
      <c r="J18" s="98"/>
      <c r="K18" s="183"/>
      <c r="L18" s="184"/>
      <c r="M18" s="120"/>
      <c r="N18" s="120"/>
      <c r="O18" s="120"/>
      <c r="P18" s="120"/>
      <c r="Q18" s="95" t="str">
        <f>IFERROR(IF(YES_Writing_FLA[[#This Row],[Literacy IPP]]='Writing Logic'!$E$26,"IPP",IF(OR(M18="EAL",N18="EAL",O18="EAL",P18="EAL"),"EAL",IF(M18='Writing Logic'!$A$10,AVERAGE(VLOOKUP(N18,'Writing Logic'!$A$3:$B$7,2,FALSE),VLOOKUP(O18,'Writing Logic'!$A$3:$B$7,2,FALSE),VLOOKUP(P18,'Writing Logic'!$A$3:$B$7,2,FALSE)),AVERAGE(VLOOKUP(M18,'Writing Logic'!$A$3:$B$7,2,FALSE),VLOOKUP(N18,'Writing Logic'!$A$3:$B$7,2,FALSE),VLOOKUP(O18,'Writing Logic'!$A$3:$B$7,2,FALSE),VLOOKUP(P18,'Writing Logic'!$A$3:$B$7,2,FALSE))))),"Fill All 4")</f>
        <v>Fill All 4</v>
      </c>
      <c r="R18" s="120"/>
      <c r="S18" s="120"/>
      <c r="T18" s="120"/>
      <c r="U18" s="120"/>
      <c r="V18" s="95" t="str">
        <f>IFERROR(IF(YES_Writing_FLA[[#This Row],[Literacy IPP]]='Writing Logic'!$E$26,"IPP",IF(OR(R18="EAL",S18="EAL",T18="EAL",U18="EAL"),"EAL",IF(R18='Writing Logic'!$A$10,AVERAGE(VLOOKUP(S18,'Writing Logic'!$A$3:$B$7,2,FALSE),VLOOKUP(T18,'Writing Logic'!$A$3:$B$7,2,FALSE),VLOOKUP(U18,'Writing Logic'!$A$3:$B$7,2,FALSE)),AVERAGE(VLOOKUP(R18,'Writing Logic'!$A$3:$B$7,2,FALSE),VLOOKUP(S18,'Writing Logic'!$A$3:$B$7,2,FALSE),VLOOKUP(T18,'Writing Logic'!$A$3:$B$7,2,FALSE),VLOOKUP(U18,'Writing Logic'!$A$3:$B$7,2,FALSE))))),"Fill All 4")</f>
        <v>Fill All 4</v>
      </c>
      <c r="W18" s="95" t="str">
        <f t="shared" si="0"/>
        <v/>
      </c>
      <c r="X18" s="120"/>
      <c r="Y18" s="120"/>
      <c r="Z18" s="120"/>
      <c r="AA18" s="120"/>
      <c r="AB18" s="95" t="str">
        <f>IFERROR(IF(YES_Writing_FLA[[#This Row],[Literacy IPP]]='Writing Logic'!$E$26,"IPP",IF(OR(X18="EAL",Y18="EAL",Z18="EAL",AA18="EAL"),"EAL",IF(X18='Writing Logic'!$A$10,AVERAGE(VLOOKUP(Y18,'Writing Logic'!$A$3:$B$7,2,FALSE),VLOOKUP(Z18,'Writing Logic'!$A$3:$B$7,2,FALSE),VLOOKUP(AA18,'Writing Logic'!$A$3:$B$7,2,FALSE)),AVERAGE(VLOOKUP(X18,'Writing Logic'!$A$3:$B$7,2,FALSE),VLOOKUP(Y18,'Writing Logic'!$A$3:$B$7,2,FALSE),VLOOKUP(Z18,'Writing Logic'!$A$3:$B$7,2,FALSE),VLOOKUP(AA18,'Writing Logic'!$A$3:$B$7,2,FALSE))))),"Fill All 4")</f>
        <v>Fill All 4</v>
      </c>
      <c r="AC18" s="95" t="str">
        <f t="shared" si="1"/>
        <v/>
      </c>
      <c r="AD18" s="120"/>
      <c r="AE18" s="120"/>
      <c r="AF18" s="120"/>
      <c r="AG18" s="120"/>
      <c r="AH18" s="95" t="str">
        <f>IFERROR(IF(YES_Writing_FLA[[#This Row],[Literacy IPP]]='Writing Logic'!$E$26,"IPP",IF(OR(AD18="EAL",AE18="EAL",AF18="EAL",AG18="EAL"),"EAL",IF(AD18='Writing Logic'!$A$10,AVERAGE(VLOOKUP(AE18,'Writing Logic'!$A$3:$B$7,2,FALSE),VLOOKUP(AF18,'Writing Logic'!$A$3:$B$7,2,FALSE),VLOOKUP(AG18,'Writing Logic'!$A$3:$B$7,2,FALSE)),AVERAGE(VLOOKUP(AD18,'Writing Logic'!$A$3:$B$7,2,FALSE),VLOOKUP(AE18,'Writing Logic'!$A$3:$B$7,2,FALSE),VLOOKUP(AF18,'Writing Logic'!$A$3:$B$7,2,FALSE),VLOOKUP(AG18,'Writing Logic'!$A$3:$B$7,2,FALSE))))),"Fill All 4")</f>
        <v>Fill All 4</v>
      </c>
      <c r="AI18" s="95" t="str">
        <f t="shared" si="2"/>
        <v/>
      </c>
      <c r="AJ18" s="183"/>
      <c r="AK18" s="120"/>
      <c r="AL18" s="120"/>
      <c r="AM18" s="120"/>
      <c r="AN18" s="95" t="str">
        <f>IFERROR(IF(YES_Writing_FLA[[#This Row],[Literacy IPP]]='Writing Logic'!$E$26,"IPP",IF(OR(AJ18="EAL",AK18="EAL",AL18="EAL",AM18="EAL"),"EAL",IF(AJ18='Writing Logic'!$A$10,AVERAGE(VLOOKUP(AK18,'Writing Logic'!$A$3:$B$7,2,FALSE),VLOOKUP(AL18,'Writing Logic'!$A$3:$B$7,2,FALSE),VLOOKUP(AM18,'Writing Logic'!$A$3:$B$7,2,FALSE)),AVERAGE(VLOOKUP(AJ18,'Writing Logic'!$A$3:$B$7,2,FALSE),VLOOKUP(AK18,'Writing Logic'!$A$3:$B$7,2,FALSE),VLOOKUP(AL18,'Writing Logic'!$A$3:$B$7,2,FALSE),VLOOKUP(AM18,'Writing Logic'!$A$3:$B$7,2,FALSE))))),"Fill All 4")</f>
        <v>Fill All 4</v>
      </c>
      <c r="AO18" s="95" t="str">
        <f t="shared" si="3"/>
        <v/>
      </c>
      <c r="AP18" s="120"/>
      <c r="AQ18" s="120"/>
      <c r="AR18" s="120"/>
      <c r="AS18" s="120"/>
      <c r="AT18" s="95" t="str">
        <f>IFERROR(IF(YES_Writing_FLA[[#This Row],[Literacy IPP]]='Writing Logic'!$E$26,"IPP",IF(OR(AP18="EAL",AQ18="EAL",AR18="EAL",AS18="EAL"),"EAL",IF(AP18='Writing Logic'!$A$10,AVERAGE(VLOOKUP(AQ18,'Writing Logic'!$A$3:$B$7,2,FALSE),VLOOKUP(AR18,'Writing Logic'!$A$3:$B$7,2,FALSE),VLOOKUP(AS18,'Writing Logic'!$A$3:$B$7,2,FALSE)),AVERAGE(VLOOKUP(AP18,'Writing Logic'!$A$3:$B$7,2,FALSE),VLOOKUP(AQ18,'Writing Logic'!$A$3:$B$7,2,FALSE),VLOOKUP(AR18,'Writing Logic'!$A$3:$B$7,2,FALSE),VLOOKUP(AS18,'Writing Logic'!$A$3:$B$7,2,FALSE))))),"Fill All 4")</f>
        <v>Fill All 4</v>
      </c>
      <c r="AU18" s="95" t="str">
        <f t="shared" si="4"/>
        <v/>
      </c>
    </row>
    <row r="19" spans="1:47" ht="22.5" customHeight="1" x14ac:dyDescent="0.25">
      <c r="A19" s="96"/>
      <c r="B19" s="98"/>
      <c r="C19" s="98"/>
      <c r="D19" s="98"/>
      <c r="E19" s="180"/>
      <c r="F19" s="98"/>
      <c r="G19" s="98"/>
      <c r="H19" s="98"/>
      <c r="I19" s="98"/>
      <c r="J19" s="98"/>
      <c r="K19" s="183"/>
      <c r="L19" s="184"/>
      <c r="M19" s="120"/>
      <c r="N19" s="120"/>
      <c r="O19" s="120"/>
      <c r="P19" s="120"/>
      <c r="Q19" s="95" t="str">
        <f>IFERROR(IF(YES_Writing_FLA[[#This Row],[Literacy IPP]]='Writing Logic'!$E$26,"IPP",IF(OR(M19="EAL",N19="EAL",O19="EAL",P19="EAL"),"EAL",IF(M19='Writing Logic'!$A$10,AVERAGE(VLOOKUP(N19,'Writing Logic'!$A$3:$B$7,2,FALSE),VLOOKUP(O19,'Writing Logic'!$A$3:$B$7,2,FALSE),VLOOKUP(P19,'Writing Logic'!$A$3:$B$7,2,FALSE)),AVERAGE(VLOOKUP(M19,'Writing Logic'!$A$3:$B$7,2,FALSE),VLOOKUP(N19,'Writing Logic'!$A$3:$B$7,2,FALSE),VLOOKUP(O19,'Writing Logic'!$A$3:$B$7,2,FALSE),VLOOKUP(P19,'Writing Logic'!$A$3:$B$7,2,FALSE))))),"Fill All 4")</f>
        <v>Fill All 4</v>
      </c>
      <c r="R19" s="120"/>
      <c r="S19" s="120"/>
      <c r="T19" s="120"/>
      <c r="U19" s="120"/>
      <c r="V19" s="95" t="str">
        <f>IFERROR(IF(YES_Writing_FLA[[#This Row],[Literacy IPP]]='Writing Logic'!$E$26,"IPP",IF(OR(R19="EAL",S19="EAL",T19="EAL",U19="EAL"),"EAL",IF(R19='Writing Logic'!$A$10,AVERAGE(VLOOKUP(S19,'Writing Logic'!$A$3:$B$7,2,FALSE),VLOOKUP(T19,'Writing Logic'!$A$3:$B$7,2,FALSE),VLOOKUP(U19,'Writing Logic'!$A$3:$B$7,2,FALSE)),AVERAGE(VLOOKUP(R19,'Writing Logic'!$A$3:$B$7,2,FALSE),VLOOKUP(S19,'Writing Logic'!$A$3:$B$7,2,FALSE),VLOOKUP(T19,'Writing Logic'!$A$3:$B$7,2,FALSE),VLOOKUP(U19,'Writing Logic'!$A$3:$B$7,2,FALSE))))),"Fill All 4")</f>
        <v>Fill All 4</v>
      </c>
      <c r="W19" s="95" t="str">
        <f t="shared" si="0"/>
        <v/>
      </c>
      <c r="X19" s="120"/>
      <c r="Y19" s="120"/>
      <c r="Z19" s="120"/>
      <c r="AA19" s="120"/>
      <c r="AB19" s="95" t="str">
        <f>IFERROR(IF(YES_Writing_FLA[[#This Row],[Literacy IPP]]='Writing Logic'!$E$26,"IPP",IF(OR(X19="EAL",Y19="EAL",Z19="EAL",AA19="EAL"),"EAL",IF(X19='Writing Logic'!$A$10,AVERAGE(VLOOKUP(Y19,'Writing Logic'!$A$3:$B$7,2,FALSE),VLOOKUP(Z19,'Writing Logic'!$A$3:$B$7,2,FALSE),VLOOKUP(AA19,'Writing Logic'!$A$3:$B$7,2,FALSE)),AVERAGE(VLOOKUP(X19,'Writing Logic'!$A$3:$B$7,2,FALSE),VLOOKUP(Y19,'Writing Logic'!$A$3:$B$7,2,FALSE),VLOOKUP(Z19,'Writing Logic'!$A$3:$B$7,2,FALSE),VLOOKUP(AA19,'Writing Logic'!$A$3:$B$7,2,FALSE))))),"Fill All 4")</f>
        <v>Fill All 4</v>
      </c>
      <c r="AC19" s="95" t="str">
        <f t="shared" si="1"/>
        <v/>
      </c>
      <c r="AD19" s="120"/>
      <c r="AE19" s="120"/>
      <c r="AF19" s="120"/>
      <c r="AG19" s="120"/>
      <c r="AH19" s="95" t="str">
        <f>IFERROR(IF(YES_Writing_FLA[[#This Row],[Literacy IPP]]='Writing Logic'!$E$26,"IPP",IF(OR(AD19="EAL",AE19="EAL",AF19="EAL",AG19="EAL"),"EAL",IF(AD19='Writing Logic'!$A$10,AVERAGE(VLOOKUP(AE19,'Writing Logic'!$A$3:$B$7,2,FALSE),VLOOKUP(AF19,'Writing Logic'!$A$3:$B$7,2,FALSE),VLOOKUP(AG19,'Writing Logic'!$A$3:$B$7,2,FALSE)),AVERAGE(VLOOKUP(AD19,'Writing Logic'!$A$3:$B$7,2,FALSE),VLOOKUP(AE19,'Writing Logic'!$A$3:$B$7,2,FALSE),VLOOKUP(AF19,'Writing Logic'!$A$3:$B$7,2,FALSE),VLOOKUP(AG19,'Writing Logic'!$A$3:$B$7,2,FALSE))))),"Fill All 4")</f>
        <v>Fill All 4</v>
      </c>
      <c r="AI19" s="95" t="str">
        <f t="shared" si="2"/>
        <v/>
      </c>
      <c r="AJ19" s="183"/>
      <c r="AK19" s="120"/>
      <c r="AL19" s="120"/>
      <c r="AM19" s="120"/>
      <c r="AN19" s="95" t="str">
        <f>IFERROR(IF(YES_Writing_FLA[[#This Row],[Literacy IPP]]='Writing Logic'!$E$26,"IPP",IF(OR(AJ19="EAL",AK19="EAL",AL19="EAL",AM19="EAL"),"EAL",IF(AJ19='Writing Logic'!$A$10,AVERAGE(VLOOKUP(AK19,'Writing Logic'!$A$3:$B$7,2,FALSE),VLOOKUP(AL19,'Writing Logic'!$A$3:$B$7,2,FALSE),VLOOKUP(AM19,'Writing Logic'!$A$3:$B$7,2,FALSE)),AVERAGE(VLOOKUP(AJ19,'Writing Logic'!$A$3:$B$7,2,FALSE),VLOOKUP(AK19,'Writing Logic'!$A$3:$B$7,2,FALSE),VLOOKUP(AL19,'Writing Logic'!$A$3:$B$7,2,FALSE),VLOOKUP(AM19,'Writing Logic'!$A$3:$B$7,2,FALSE))))),"Fill All 4")</f>
        <v>Fill All 4</v>
      </c>
      <c r="AO19" s="95" t="str">
        <f t="shared" si="3"/>
        <v/>
      </c>
      <c r="AP19" s="120"/>
      <c r="AQ19" s="120"/>
      <c r="AR19" s="120"/>
      <c r="AS19" s="120"/>
      <c r="AT19" s="95" t="str">
        <f>IFERROR(IF(YES_Writing_FLA[[#This Row],[Literacy IPP]]='Writing Logic'!$E$26,"IPP",IF(OR(AP19="EAL",AQ19="EAL",AR19="EAL",AS19="EAL"),"EAL",IF(AP19='Writing Logic'!$A$10,AVERAGE(VLOOKUP(AQ19,'Writing Logic'!$A$3:$B$7,2,FALSE),VLOOKUP(AR19,'Writing Logic'!$A$3:$B$7,2,FALSE),VLOOKUP(AS19,'Writing Logic'!$A$3:$B$7,2,FALSE)),AVERAGE(VLOOKUP(AP19,'Writing Logic'!$A$3:$B$7,2,FALSE),VLOOKUP(AQ19,'Writing Logic'!$A$3:$B$7,2,FALSE),VLOOKUP(AR19,'Writing Logic'!$A$3:$B$7,2,FALSE),VLOOKUP(AS19,'Writing Logic'!$A$3:$B$7,2,FALSE))))),"Fill All 4")</f>
        <v>Fill All 4</v>
      </c>
      <c r="AU19" s="95" t="str">
        <f t="shared" si="4"/>
        <v/>
      </c>
    </row>
    <row r="20" spans="1:47" ht="22.5" customHeight="1" x14ac:dyDescent="0.25">
      <c r="A20" s="96"/>
      <c r="B20" s="98"/>
      <c r="C20" s="98"/>
      <c r="D20" s="98"/>
      <c r="E20" s="180"/>
      <c r="F20" s="98"/>
      <c r="G20" s="98"/>
      <c r="H20" s="98"/>
      <c r="I20" s="98"/>
      <c r="J20" s="98"/>
      <c r="K20" s="183"/>
      <c r="L20" s="184"/>
      <c r="M20" s="120"/>
      <c r="N20" s="120"/>
      <c r="O20" s="120"/>
      <c r="P20" s="120"/>
      <c r="Q20" s="95" t="str">
        <f>IFERROR(IF(YES_Writing_FLA[[#This Row],[Literacy IPP]]='Writing Logic'!$E$26,"IPP",IF(OR(M20="EAL",N20="EAL",O20="EAL",P20="EAL"),"EAL",IF(M20='Writing Logic'!$A$10,AVERAGE(VLOOKUP(N20,'Writing Logic'!$A$3:$B$7,2,FALSE),VLOOKUP(O20,'Writing Logic'!$A$3:$B$7,2,FALSE),VLOOKUP(P20,'Writing Logic'!$A$3:$B$7,2,FALSE)),AVERAGE(VLOOKUP(M20,'Writing Logic'!$A$3:$B$7,2,FALSE),VLOOKUP(N20,'Writing Logic'!$A$3:$B$7,2,FALSE),VLOOKUP(O20,'Writing Logic'!$A$3:$B$7,2,FALSE),VLOOKUP(P20,'Writing Logic'!$A$3:$B$7,2,FALSE))))),"Fill All 4")</f>
        <v>Fill All 4</v>
      </c>
      <c r="R20" s="120"/>
      <c r="S20" s="120"/>
      <c r="T20" s="120"/>
      <c r="U20" s="120"/>
      <c r="V20" s="95" t="str">
        <f>IFERROR(IF(YES_Writing_FLA[[#This Row],[Literacy IPP]]='Writing Logic'!$E$26,"IPP",IF(OR(R20="EAL",S20="EAL",T20="EAL",U20="EAL"),"EAL",IF(R20='Writing Logic'!$A$10,AVERAGE(VLOOKUP(S20,'Writing Logic'!$A$3:$B$7,2,FALSE),VLOOKUP(T20,'Writing Logic'!$A$3:$B$7,2,FALSE),VLOOKUP(U20,'Writing Logic'!$A$3:$B$7,2,FALSE)),AVERAGE(VLOOKUP(R20,'Writing Logic'!$A$3:$B$7,2,FALSE),VLOOKUP(S20,'Writing Logic'!$A$3:$B$7,2,FALSE),VLOOKUP(T20,'Writing Logic'!$A$3:$B$7,2,FALSE),VLOOKUP(U20,'Writing Logic'!$A$3:$B$7,2,FALSE))))),"Fill All 4")</f>
        <v>Fill All 4</v>
      </c>
      <c r="W20" s="95" t="str">
        <f t="shared" si="0"/>
        <v/>
      </c>
      <c r="X20" s="120"/>
      <c r="Y20" s="120"/>
      <c r="Z20" s="120"/>
      <c r="AA20" s="120"/>
      <c r="AB20" s="95" t="str">
        <f>IFERROR(IF(YES_Writing_FLA[[#This Row],[Literacy IPP]]='Writing Logic'!$E$26,"IPP",IF(OR(X20="EAL",Y20="EAL",Z20="EAL",AA20="EAL"),"EAL",IF(X20='Writing Logic'!$A$10,AVERAGE(VLOOKUP(Y20,'Writing Logic'!$A$3:$B$7,2,FALSE),VLOOKUP(Z20,'Writing Logic'!$A$3:$B$7,2,FALSE),VLOOKUP(AA20,'Writing Logic'!$A$3:$B$7,2,FALSE)),AVERAGE(VLOOKUP(X20,'Writing Logic'!$A$3:$B$7,2,FALSE),VLOOKUP(Y20,'Writing Logic'!$A$3:$B$7,2,FALSE),VLOOKUP(Z20,'Writing Logic'!$A$3:$B$7,2,FALSE),VLOOKUP(AA20,'Writing Logic'!$A$3:$B$7,2,FALSE))))),"Fill All 4")</f>
        <v>Fill All 4</v>
      </c>
      <c r="AC20" s="95" t="str">
        <f t="shared" si="1"/>
        <v/>
      </c>
      <c r="AD20" s="120"/>
      <c r="AE20" s="120"/>
      <c r="AF20" s="120"/>
      <c r="AG20" s="120"/>
      <c r="AH20" s="95" t="str">
        <f>IFERROR(IF(YES_Writing_FLA[[#This Row],[Literacy IPP]]='Writing Logic'!$E$26,"IPP",IF(OR(AD20="EAL",AE20="EAL",AF20="EAL",AG20="EAL"),"EAL",IF(AD20='Writing Logic'!$A$10,AVERAGE(VLOOKUP(AE20,'Writing Logic'!$A$3:$B$7,2,FALSE),VLOOKUP(AF20,'Writing Logic'!$A$3:$B$7,2,FALSE),VLOOKUP(AG20,'Writing Logic'!$A$3:$B$7,2,FALSE)),AVERAGE(VLOOKUP(AD20,'Writing Logic'!$A$3:$B$7,2,FALSE),VLOOKUP(AE20,'Writing Logic'!$A$3:$B$7,2,FALSE),VLOOKUP(AF20,'Writing Logic'!$A$3:$B$7,2,FALSE),VLOOKUP(AG20,'Writing Logic'!$A$3:$B$7,2,FALSE))))),"Fill All 4")</f>
        <v>Fill All 4</v>
      </c>
      <c r="AI20" s="95" t="str">
        <f t="shared" si="2"/>
        <v/>
      </c>
      <c r="AJ20" s="183"/>
      <c r="AK20" s="120"/>
      <c r="AL20" s="120"/>
      <c r="AM20" s="120"/>
      <c r="AN20" s="95" t="str">
        <f>IFERROR(IF(YES_Writing_FLA[[#This Row],[Literacy IPP]]='Writing Logic'!$E$26,"IPP",IF(OR(AJ20="EAL",AK20="EAL",AL20="EAL",AM20="EAL"),"EAL",IF(AJ20='Writing Logic'!$A$10,AVERAGE(VLOOKUP(AK20,'Writing Logic'!$A$3:$B$7,2,FALSE),VLOOKUP(AL20,'Writing Logic'!$A$3:$B$7,2,FALSE),VLOOKUP(AM20,'Writing Logic'!$A$3:$B$7,2,FALSE)),AVERAGE(VLOOKUP(AJ20,'Writing Logic'!$A$3:$B$7,2,FALSE),VLOOKUP(AK20,'Writing Logic'!$A$3:$B$7,2,FALSE),VLOOKUP(AL20,'Writing Logic'!$A$3:$B$7,2,FALSE),VLOOKUP(AM20,'Writing Logic'!$A$3:$B$7,2,FALSE))))),"Fill All 4")</f>
        <v>Fill All 4</v>
      </c>
      <c r="AO20" s="95" t="str">
        <f t="shared" si="3"/>
        <v/>
      </c>
      <c r="AP20" s="120"/>
      <c r="AQ20" s="120"/>
      <c r="AR20" s="120"/>
      <c r="AS20" s="120"/>
      <c r="AT20" s="95" t="str">
        <f>IFERROR(IF(YES_Writing_FLA[[#This Row],[Literacy IPP]]='Writing Logic'!$E$26,"IPP",IF(OR(AP20="EAL",AQ20="EAL",AR20="EAL",AS20="EAL"),"EAL",IF(AP20='Writing Logic'!$A$10,AVERAGE(VLOOKUP(AQ20,'Writing Logic'!$A$3:$B$7,2,FALSE),VLOOKUP(AR20,'Writing Logic'!$A$3:$B$7,2,FALSE),VLOOKUP(AS20,'Writing Logic'!$A$3:$B$7,2,FALSE)),AVERAGE(VLOOKUP(AP20,'Writing Logic'!$A$3:$B$7,2,FALSE),VLOOKUP(AQ20,'Writing Logic'!$A$3:$B$7,2,FALSE),VLOOKUP(AR20,'Writing Logic'!$A$3:$B$7,2,FALSE),VLOOKUP(AS20,'Writing Logic'!$A$3:$B$7,2,FALSE))))),"Fill All 4")</f>
        <v>Fill All 4</v>
      </c>
      <c r="AU20" s="95" t="str">
        <f t="shared" si="4"/>
        <v/>
      </c>
    </row>
    <row r="21" spans="1:47" ht="22.5" customHeight="1" x14ac:dyDescent="0.25">
      <c r="A21" s="96"/>
      <c r="B21" s="98"/>
      <c r="C21" s="98"/>
      <c r="D21" s="98"/>
      <c r="E21" s="180"/>
      <c r="F21" s="98"/>
      <c r="G21" s="98"/>
      <c r="H21" s="98"/>
      <c r="I21" s="98"/>
      <c r="J21" s="98"/>
      <c r="K21" s="183"/>
      <c r="L21" s="184"/>
      <c r="M21" s="120"/>
      <c r="N21" s="120"/>
      <c r="O21" s="120"/>
      <c r="P21" s="120"/>
      <c r="Q21" s="95" t="str">
        <f>IFERROR(IF(YES_Writing_FLA[[#This Row],[Literacy IPP]]='Writing Logic'!$E$26,"IPP",IF(OR(M21="EAL",N21="EAL",O21="EAL",P21="EAL"),"EAL",IF(M21='Writing Logic'!$A$10,AVERAGE(VLOOKUP(N21,'Writing Logic'!$A$3:$B$7,2,FALSE),VLOOKUP(O21,'Writing Logic'!$A$3:$B$7,2,FALSE),VLOOKUP(P21,'Writing Logic'!$A$3:$B$7,2,FALSE)),AVERAGE(VLOOKUP(M21,'Writing Logic'!$A$3:$B$7,2,FALSE),VLOOKUP(N21,'Writing Logic'!$A$3:$B$7,2,FALSE),VLOOKUP(O21,'Writing Logic'!$A$3:$B$7,2,FALSE),VLOOKUP(P21,'Writing Logic'!$A$3:$B$7,2,FALSE))))),"Fill All 4")</f>
        <v>Fill All 4</v>
      </c>
      <c r="R21" s="120"/>
      <c r="S21" s="120"/>
      <c r="T21" s="120"/>
      <c r="U21" s="120"/>
      <c r="V21" s="95" t="str">
        <f>IFERROR(IF(YES_Writing_FLA[[#This Row],[Literacy IPP]]='Writing Logic'!$E$26,"IPP",IF(OR(R21="EAL",S21="EAL",T21="EAL",U21="EAL"),"EAL",IF(R21='Writing Logic'!$A$10,AVERAGE(VLOOKUP(S21,'Writing Logic'!$A$3:$B$7,2,FALSE),VLOOKUP(T21,'Writing Logic'!$A$3:$B$7,2,FALSE),VLOOKUP(U21,'Writing Logic'!$A$3:$B$7,2,FALSE)),AVERAGE(VLOOKUP(R21,'Writing Logic'!$A$3:$B$7,2,FALSE),VLOOKUP(S21,'Writing Logic'!$A$3:$B$7,2,FALSE),VLOOKUP(T21,'Writing Logic'!$A$3:$B$7,2,FALSE),VLOOKUP(U21,'Writing Logic'!$A$3:$B$7,2,FALSE))))),"Fill All 4")</f>
        <v>Fill All 4</v>
      </c>
      <c r="W21" s="95" t="str">
        <f t="shared" si="0"/>
        <v/>
      </c>
      <c r="X21" s="120"/>
      <c r="Y21" s="120"/>
      <c r="Z21" s="120"/>
      <c r="AA21" s="120"/>
      <c r="AB21" s="95" t="str">
        <f>IFERROR(IF(YES_Writing_FLA[[#This Row],[Literacy IPP]]='Writing Logic'!$E$26,"IPP",IF(OR(X21="EAL",Y21="EAL",Z21="EAL",AA21="EAL"),"EAL",IF(X21='Writing Logic'!$A$10,AVERAGE(VLOOKUP(Y21,'Writing Logic'!$A$3:$B$7,2,FALSE),VLOOKUP(Z21,'Writing Logic'!$A$3:$B$7,2,FALSE),VLOOKUP(AA21,'Writing Logic'!$A$3:$B$7,2,FALSE)),AVERAGE(VLOOKUP(X21,'Writing Logic'!$A$3:$B$7,2,FALSE),VLOOKUP(Y21,'Writing Logic'!$A$3:$B$7,2,FALSE),VLOOKUP(Z21,'Writing Logic'!$A$3:$B$7,2,FALSE),VLOOKUP(AA21,'Writing Logic'!$A$3:$B$7,2,FALSE))))),"Fill All 4")</f>
        <v>Fill All 4</v>
      </c>
      <c r="AC21" s="95" t="str">
        <f t="shared" si="1"/>
        <v/>
      </c>
      <c r="AD21" s="120"/>
      <c r="AE21" s="120"/>
      <c r="AF21" s="120"/>
      <c r="AG21" s="120"/>
      <c r="AH21" s="95" t="str">
        <f>IFERROR(IF(YES_Writing_FLA[[#This Row],[Literacy IPP]]='Writing Logic'!$E$26,"IPP",IF(OR(AD21="EAL",AE21="EAL",AF21="EAL",AG21="EAL"),"EAL",IF(AD21='Writing Logic'!$A$10,AVERAGE(VLOOKUP(AE21,'Writing Logic'!$A$3:$B$7,2,FALSE),VLOOKUP(AF21,'Writing Logic'!$A$3:$B$7,2,FALSE),VLOOKUP(AG21,'Writing Logic'!$A$3:$B$7,2,FALSE)),AVERAGE(VLOOKUP(AD21,'Writing Logic'!$A$3:$B$7,2,FALSE),VLOOKUP(AE21,'Writing Logic'!$A$3:$B$7,2,FALSE),VLOOKUP(AF21,'Writing Logic'!$A$3:$B$7,2,FALSE),VLOOKUP(AG21,'Writing Logic'!$A$3:$B$7,2,FALSE))))),"Fill All 4")</f>
        <v>Fill All 4</v>
      </c>
      <c r="AI21" s="95" t="str">
        <f t="shared" si="2"/>
        <v/>
      </c>
      <c r="AJ21" s="183"/>
      <c r="AK21" s="120"/>
      <c r="AL21" s="120"/>
      <c r="AM21" s="120"/>
      <c r="AN21" s="95" t="str">
        <f>IFERROR(IF(YES_Writing_FLA[[#This Row],[Literacy IPP]]='Writing Logic'!$E$26,"IPP",IF(OR(AJ21="EAL",AK21="EAL",AL21="EAL",AM21="EAL"),"EAL",IF(AJ21='Writing Logic'!$A$10,AVERAGE(VLOOKUP(AK21,'Writing Logic'!$A$3:$B$7,2,FALSE),VLOOKUP(AL21,'Writing Logic'!$A$3:$B$7,2,FALSE),VLOOKUP(AM21,'Writing Logic'!$A$3:$B$7,2,FALSE)),AVERAGE(VLOOKUP(AJ21,'Writing Logic'!$A$3:$B$7,2,FALSE),VLOOKUP(AK21,'Writing Logic'!$A$3:$B$7,2,FALSE),VLOOKUP(AL21,'Writing Logic'!$A$3:$B$7,2,FALSE),VLOOKUP(AM21,'Writing Logic'!$A$3:$B$7,2,FALSE))))),"Fill All 4")</f>
        <v>Fill All 4</v>
      </c>
      <c r="AO21" s="95" t="str">
        <f t="shared" si="3"/>
        <v/>
      </c>
      <c r="AP21" s="120"/>
      <c r="AQ21" s="120"/>
      <c r="AR21" s="120"/>
      <c r="AS21" s="120"/>
      <c r="AT21" s="95" t="str">
        <f>IFERROR(IF(YES_Writing_FLA[[#This Row],[Literacy IPP]]='Writing Logic'!$E$26,"IPP",IF(OR(AP21="EAL",AQ21="EAL",AR21="EAL",AS21="EAL"),"EAL",IF(AP21='Writing Logic'!$A$10,AVERAGE(VLOOKUP(AQ21,'Writing Logic'!$A$3:$B$7,2,FALSE),VLOOKUP(AR21,'Writing Logic'!$A$3:$B$7,2,FALSE),VLOOKUP(AS21,'Writing Logic'!$A$3:$B$7,2,FALSE)),AVERAGE(VLOOKUP(AP21,'Writing Logic'!$A$3:$B$7,2,FALSE),VLOOKUP(AQ21,'Writing Logic'!$A$3:$B$7,2,FALSE),VLOOKUP(AR21,'Writing Logic'!$A$3:$B$7,2,FALSE),VLOOKUP(AS21,'Writing Logic'!$A$3:$B$7,2,FALSE))))),"Fill All 4")</f>
        <v>Fill All 4</v>
      </c>
      <c r="AU21" s="95" t="str">
        <f t="shared" si="4"/>
        <v/>
      </c>
    </row>
    <row r="22" spans="1:47" ht="22.5" customHeight="1" x14ac:dyDescent="0.25">
      <c r="A22" s="96"/>
      <c r="B22" s="98"/>
      <c r="C22" s="98"/>
      <c r="D22" s="98"/>
      <c r="E22" s="180"/>
      <c r="F22" s="98"/>
      <c r="G22" s="98"/>
      <c r="H22" s="98"/>
      <c r="I22" s="98"/>
      <c r="J22" s="98"/>
      <c r="K22" s="183"/>
      <c r="L22" s="184"/>
      <c r="M22" s="120"/>
      <c r="N22" s="120"/>
      <c r="O22" s="120"/>
      <c r="P22" s="120"/>
      <c r="Q22" s="95" t="str">
        <f>IFERROR(IF(YES_Writing_FLA[[#This Row],[Literacy IPP]]='Writing Logic'!$E$26,"IPP",IF(OR(M22="EAL",N22="EAL",O22="EAL",P22="EAL"),"EAL",IF(M22='Writing Logic'!$A$10,AVERAGE(VLOOKUP(N22,'Writing Logic'!$A$3:$B$7,2,FALSE),VLOOKUP(O22,'Writing Logic'!$A$3:$B$7,2,FALSE),VLOOKUP(P22,'Writing Logic'!$A$3:$B$7,2,FALSE)),AVERAGE(VLOOKUP(M22,'Writing Logic'!$A$3:$B$7,2,FALSE),VLOOKUP(N22,'Writing Logic'!$A$3:$B$7,2,FALSE),VLOOKUP(O22,'Writing Logic'!$A$3:$B$7,2,FALSE),VLOOKUP(P22,'Writing Logic'!$A$3:$B$7,2,FALSE))))),"Fill All 4")</f>
        <v>Fill All 4</v>
      </c>
      <c r="R22" s="120"/>
      <c r="S22" s="120"/>
      <c r="T22" s="120"/>
      <c r="U22" s="120"/>
      <c r="V22" s="95" t="str">
        <f>IFERROR(IF(YES_Writing_FLA[[#This Row],[Literacy IPP]]='Writing Logic'!$E$26,"IPP",IF(OR(R22="EAL",S22="EAL",T22="EAL",U22="EAL"),"EAL",IF(R22='Writing Logic'!$A$10,AVERAGE(VLOOKUP(S22,'Writing Logic'!$A$3:$B$7,2,FALSE),VLOOKUP(T22,'Writing Logic'!$A$3:$B$7,2,FALSE),VLOOKUP(U22,'Writing Logic'!$A$3:$B$7,2,FALSE)),AVERAGE(VLOOKUP(R22,'Writing Logic'!$A$3:$B$7,2,FALSE),VLOOKUP(S22,'Writing Logic'!$A$3:$B$7,2,FALSE),VLOOKUP(T22,'Writing Logic'!$A$3:$B$7,2,FALSE),VLOOKUP(U22,'Writing Logic'!$A$3:$B$7,2,FALSE))))),"Fill All 4")</f>
        <v>Fill All 4</v>
      </c>
      <c r="W22" s="95" t="str">
        <f t="shared" si="0"/>
        <v/>
      </c>
      <c r="X22" s="120"/>
      <c r="Y22" s="120"/>
      <c r="Z22" s="120"/>
      <c r="AA22" s="120"/>
      <c r="AB22" s="95" t="str">
        <f>IFERROR(IF(YES_Writing_FLA[[#This Row],[Literacy IPP]]='Writing Logic'!$E$26,"IPP",IF(OR(X22="EAL",Y22="EAL",Z22="EAL",AA22="EAL"),"EAL",IF(X22='Writing Logic'!$A$10,AVERAGE(VLOOKUP(Y22,'Writing Logic'!$A$3:$B$7,2,FALSE),VLOOKUP(Z22,'Writing Logic'!$A$3:$B$7,2,FALSE),VLOOKUP(AA22,'Writing Logic'!$A$3:$B$7,2,FALSE)),AVERAGE(VLOOKUP(X22,'Writing Logic'!$A$3:$B$7,2,FALSE),VLOOKUP(Y22,'Writing Logic'!$A$3:$B$7,2,FALSE),VLOOKUP(Z22,'Writing Logic'!$A$3:$B$7,2,FALSE),VLOOKUP(AA22,'Writing Logic'!$A$3:$B$7,2,FALSE))))),"Fill All 4")</f>
        <v>Fill All 4</v>
      </c>
      <c r="AC22" s="95" t="str">
        <f t="shared" si="1"/>
        <v/>
      </c>
      <c r="AD22" s="120"/>
      <c r="AE22" s="120"/>
      <c r="AF22" s="120"/>
      <c r="AG22" s="120"/>
      <c r="AH22" s="95" t="str">
        <f>IFERROR(IF(YES_Writing_FLA[[#This Row],[Literacy IPP]]='Writing Logic'!$E$26,"IPP",IF(OR(AD22="EAL",AE22="EAL",AF22="EAL",AG22="EAL"),"EAL",IF(AD22='Writing Logic'!$A$10,AVERAGE(VLOOKUP(AE22,'Writing Logic'!$A$3:$B$7,2,FALSE),VLOOKUP(AF22,'Writing Logic'!$A$3:$B$7,2,FALSE),VLOOKUP(AG22,'Writing Logic'!$A$3:$B$7,2,FALSE)),AVERAGE(VLOOKUP(AD22,'Writing Logic'!$A$3:$B$7,2,FALSE),VLOOKUP(AE22,'Writing Logic'!$A$3:$B$7,2,FALSE),VLOOKUP(AF22,'Writing Logic'!$A$3:$B$7,2,FALSE),VLOOKUP(AG22,'Writing Logic'!$A$3:$B$7,2,FALSE))))),"Fill All 4")</f>
        <v>Fill All 4</v>
      </c>
      <c r="AI22" s="95" t="str">
        <f t="shared" si="2"/>
        <v/>
      </c>
      <c r="AJ22" s="183"/>
      <c r="AK22" s="120"/>
      <c r="AL22" s="120"/>
      <c r="AM22" s="120"/>
      <c r="AN22" s="95" t="str">
        <f>IFERROR(IF(YES_Writing_FLA[[#This Row],[Literacy IPP]]='Writing Logic'!$E$26,"IPP",IF(OR(AJ22="EAL",AK22="EAL",AL22="EAL",AM22="EAL"),"EAL",IF(AJ22='Writing Logic'!$A$10,AVERAGE(VLOOKUP(AK22,'Writing Logic'!$A$3:$B$7,2,FALSE),VLOOKUP(AL22,'Writing Logic'!$A$3:$B$7,2,FALSE),VLOOKUP(AM22,'Writing Logic'!$A$3:$B$7,2,FALSE)),AVERAGE(VLOOKUP(AJ22,'Writing Logic'!$A$3:$B$7,2,FALSE),VLOOKUP(AK22,'Writing Logic'!$A$3:$B$7,2,FALSE),VLOOKUP(AL22,'Writing Logic'!$A$3:$B$7,2,FALSE),VLOOKUP(AM22,'Writing Logic'!$A$3:$B$7,2,FALSE))))),"Fill All 4")</f>
        <v>Fill All 4</v>
      </c>
      <c r="AO22" s="95" t="str">
        <f t="shared" si="3"/>
        <v/>
      </c>
      <c r="AP22" s="120"/>
      <c r="AQ22" s="120"/>
      <c r="AR22" s="120"/>
      <c r="AS22" s="120"/>
      <c r="AT22" s="95" t="str">
        <f>IFERROR(IF(YES_Writing_FLA[[#This Row],[Literacy IPP]]='Writing Logic'!$E$26,"IPP",IF(OR(AP22="EAL",AQ22="EAL",AR22="EAL",AS22="EAL"),"EAL",IF(AP22='Writing Logic'!$A$10,AVERAGE(VLOOKUP(AQ22,'Writing Logic'!$A$3:$B$7,2,FALSE),VLOOKUP(AR22,'Writing Logic'!$A$3:$B$7,2,FALSE),VLOOKUP(AS22,'Writing Logic'!$A$3:$B$7,2,FALSE)),AVERAGE(VLOOKUP(AP22,'Writing Logic'!$A$3:$B$7,2,FALSE),VLOOKUP(AQ22,'Writing Logic'!$A$3:$B$7,2,FALSE),VLOOKUP(AR22,'Writing Logic'!$A$3:$B$7,2,FALSE),VLOOKUP(AS22,'Writing Logic'!$A$3:$B$7,2,FALSE))))),"Fill All 4")</f>
        <v>Fill All 4</v>
      </c>
      <c r="AU22" s="95" t="str">
        <f t="shared" si="4"/>
        <v/>
      </c>
    </row>
    <row r="23" spans="1:47" ht="22.5" customHeight="1" x14ac:dyDescent="0.25">
      <c r="A23" s="96"/>
      <c r="B23" s="98"/>
      <c r="C23" s="98"/>
      <c r="D23" s="98"/>
      <c r="E23" s="180"/>
      <c r="F23" s="98"/>
      <c r="G23" s="98"/>
      <c r="H23" s="98"/>
      <c r="I23" s="98"/>
      <c r="J23" s="98"/>
      <c r="K23" s="183"/>
      <c r="L23" s="184"/>
      <c r="M23" s="120"/>
      <c r="N23" s="120"/>
      <c r="O23" s="120"/>
      <c r="P23" s="120"/>
      <c r="Q23" s="95" t="str">
        <f>IFERROR(IF(YES_Writing_FLA[[#This Row],[Literacy IPP]]='Writing Logic'!$E$26,"IPP",IF(OR(M23="EAL",N23="EAL",O23="EAL",P23="EAL"),"EAL",IF(M23='Writing Logic'!$A$10,AVERAGE(VLOOKUP(N23,'Writing Logic'!$A$3:$B$7,2,FALSE),VLOOKUP(O23,'Writing Logic'!$A$3:$B$7,2,FALSE),VLOOKUP(P23,'Writing Logic'!$A$3:$B$7,2,FALSE)),AVERAGE(VLOOKUP(M23,'Writing Logic'!$A$3:$B$7,2,FALSE),VLOOKUP(N23,'Writing Logic'!$A$3:$B$7,2,FALSE),VLOOKUP(O23,'Writing Logic'!$A$3:$B$7,2,FALSE),VLOOKUP(P23,'Writing Logic'!$A$3:$B$7,2,FALSE))))),"Fill All 4")</f>
        <v>Fill All 4</v>
      </c>
      <c r="R23" s="120"/>
      <c r="S23" s="120"/>
      <c r="T23" s="120"/>
      <c r="U23" s="120"/>
      <c r="V23" s="95" t="str">
        <f>IFERROR(IF(YES_Writing_FLA[[#This Row],[Literacy IPP]]='Writing Logic'!$E$26,"IPP",IF(OR(R23="EAL",S23="EAL",T23="EAL",U23="EAL"),"EAL",IF(R23='Writing Logic'!$A$10,AVERAGE(VLOOKUP(S23,'Writing Logic'!$A$3:$B$7,2,FALSE),VLOOKUP(T23,'Writing Logic'!$A$3:$B$7,2,FALSE),VLOOKUP(U23,'Writing Logic'!$A$3:$B$7,2,FALSE)),AVERAGE(VLOOKUP(R23,'Writing Logic'!$A$3:$B$7,2,FALSE),VLOOKUP(S23,'Writing Logic'!$A$3:$B$7,2,FALSE),VLOOKUP(T23,'Writing Logic'!$A$3:$B$7,2,FALSE),VLOOKUP(U23,'Writing Logic'!$A$3:$B$7,2,FALSE))))),"Fill All 4")</f>
        <v>Fill All 4</v>
      </c>
      <c r="W23" s="95" t="str">
        <f t="shared" si="0"/>
        <v/>
      </c>
      <c r="X23" s="120"/>
      <c r="Y23" s="120"/>
      <c r="Z23" s="120"/>
      <c r="AA23" s="120"/>
      <c r="AB23" s="95" t="str">
        <f>IFERROR(IF(YES_Writing_FLA[[#This Row],[Literacy IPP]]='Writing Logic'!$E$26,"IPP",IF(OR(X23="EAL",Y23="EAL",Z23="EAL",AA23="EAL"),"EAL",IF(X23='Writing Logic'!$A$10,AVERAGE(VLOOKUP(Y23,'Writing Logic'!$A$3:$B$7,2,FALSE),VLOOKUP(Z23,'Writing Logic'!$A$3:$B$7,2,FALSE),VLOOKUP(AA23,'Writing Logic'!$A$3:$B$7,2,FALSE)),AVERAGE(VLOOKUP(X23,'Writing Logic'!$A$3:$B$7,2,FALSE),VLOOKUP(Y23,'Writing Logic'!$A$3:$B$7,2,FALSE),VLOOKUP(Z23,'Writing Logic'!$A$3:$B$7,2,FALSE),VLOOKUP(AA23,'Writing Logic'!$A$3:$B$7,2,FALSE))))),"Fill All 4")</f>
        <v>Fill All 4</v>
      </c>
      <c r="AC23" s="95" t="str">
        <f t="shared" si="1"/>
        <v/>
      </c>
      <c r="AD23" s="120"/>
      <c r="AE23" s="120"/>
      <c r="AF23" s="120"/>
      <c r="AG23" s="120"/>
      <c r="AH23" s="95" t="str">
        <f>IFERROR(IF(YES_Writing_FLA[[#This Row],[Literacy IPP]]='Writing Logic'!$E$26,"IPP",IF(OR(AD23="EAL",AE23="EAL",AF23="EAL",AG23="EAL"),"EAL",IF(AD23='Writing Logic'!$A$10,AVERAGE(VLOOKUP(AE23,'Writing Logic'!$A$3:$B$7,2,FALSE),VLOOKUP(AF23,'Writing Logic'!$A$3:$B$7,2,FALSE),VLOOKUP(AG23,'Writing Logic'!$A$3:$B$7,2,FALSE)),AVERAGE(VLOOKUP(AD23,'Writing Logic'!$A$3:$B$7,2,FALSE),VLOOKUP(AE23,'Writing Logic'!$A$3:$B$7,2,FALSE),VLOOKUP(AF23,'Writing Logic'!$A$3:$B$7,2,FALSE),VLOOKUP(AG23,'Writing Logic'!$A$3:$B$7,2,FALSE))))),"Fill All 4")</f>
        <v>Fill All 4</v>
      </c>
      <c r="AI23" s="95" t="str">
        <f t="shared" si="2"/>
        <v/>
      </c>
      <c r="AJ23" s="183"/>
      <c r="AK23" s="120"/>
      <c r="AL23" s="120"/>
      <c r="AM23" s="120"/>
      <c r="AN23" s="95" t="str">
        <f>IFERROR(IF(YES_Writing_FLA[[#This Row],[Literacy IPP]]='Writing Logic'!$E$26,"IPP",IF(OR(AJ23="EAL",AK23="EAL",AL23="EAL",AM23="EAL"),"EAL",IF(AJ23='Writing Logic'!$A$10,AVERAGE(VLOOKUP(AK23,'Writing Logic'!$A$3:$B$7,2,FALSE),VLOOKUP(AL23,'Writing Logic'!$A$3:$B$7,2,FALSE),VLOOKUP(AM23,'Writing Logic'!$A$3:$B$7,2,FALSE)),AVERAGE(VLOOKUP(AJ23,'Writing Logic'!$A$3:$B$7,2,FALSE),VLOOKUP(AK23,'Writing Logic'!$A$3:$B$7,2,FALSE),VLOOKUP(AL23,'Writing Logic'!$A$3:$B$7,2,FALSE),VLOOKUP(AM23,'Writing Logic'!$A$3:$B$7,2,FALSE))))),"Fill All 4")</f>
        <v>Fill All 4</v>
      </c>
      <c r="AO23" s="95" t="str">
        <f t="shared" si="3"/>
        <v/>
      </c>
      <c r="AP23" s="120"/>
      <c r="AQ23" s="120"/>
      <c r="AR23" s="120"/>
      <c r="AS23" s="120"/>
      <c r="AT23" s="95" t="str">
        <f>IFERROR(IF(YES_Writing_FLA[[#This Row],[Literacy IPP]]='Writing Logic'!$E$26,"IPP",IF(OR(AP23="EAL",AQ23="EAL",AR23="EAL",AS23="EAL"),"EAL",IF(AP23='Writing Logic'!$A$10,AVERAGE(VLOOKUP(AQ23,'Writing Logic'!$A$3:$B$7,2,FALSE),VLOOKUP(AR23,'Writing Logic'!$A$3:$B$7,2,FALSE),VLOOKUP(AS23,'Writing Logic'!$A$3:$B$7,2,FALSE)),AVERAGE(VLOOKUP(AP23,'Writing Logic'!$A$3:$B$7,2,FALSE),VLOOKUP(AQ23,'Writing Logic'!$A$3:$B$7,2,FALSE),VLOOKUP(AR23,'Writing Logic'!$A$3:$B$7,2,FALSE),VLOOKUP(AS23,'Writing Logic'!$A$3:$B$7,2,FALSE))))),"Fill All 4")</f>
        <v>Fill All 4</v>
      </c>
      <c r="AU23" s="95" t="str">
        <f t="shared" si="4"/>
        <v/>
      </c>
    </row>
    <row r="24" spans="1:47" ht="22.5" customHeight="1" x14ac:dyDescent="0.25">
      <c r="A24" s="96"/>
      <c r="B24" s="98"/>
      <c r="C24" s="98"/>
      <c r="D24" s="98"/>
      <c r="E24" s="180"/>
      <c r="F24" s="98"/>
      <c r="G24" s="98"/>
      <c r="H24" s="98"/>
      <c r="I24" s="98"/>
      <c r="J24" s="98"/>
      <c r="K24" s="183"/>
      <c r="L24" s="184"/>
      <c r="M24" s="120"/>
      <c r="N24" s="120"/>
      <c r="O24" s="120"/>
      <c r="P24" s="120"/>
      <c r="Q24" s="95" t="str">
        <f>IFERROR(IF(YES_Writing_FLA[[#This Row],[Literacy IPP]]='Writing Logic'!$E$26,"IPP",IF(OR(M24="EAL",N24="EAL",O24="EAL",P24="EAL"),"EAL",IF(M24='Writing Logic'!$A$10,AVERAGE(VLOOKUP(N24,'Writing Logic'!$A$3:$B$7,2,FALSE),VLOOKUP(O24,'Writing Logic'!$A$3:$B$7,2,FALSE),VLOOKUP(P24,'Writing Logic'!$A$3:$B$7,2,FALSE)),AVERAGE(VLOOKUP(M24,'Writing Logic'!$A$3:$B$7,2,FALSE),VLOOKUP(N24,'Writing Logic'!$A$3:$B$7,2,FALSE),VLOOKUP(O24,'Writing Logic'!$A$3:$B$7,2,FALSE),VLOOKUP(P24,'Writing Logic'!$A$3:$B$7,2,FALSE))))),"Fill All 4")</f>
        <v>Fill All 4</v>
      </c>
      <c r="R24" s="120"/>
      <c r="S24" s="120"/>
      <c r="T24" s="120"/>
      <c r="U24" s="120"/>
      <c r="V24" s="95" t="str">
        <f>IFERROR(IF(YES_Writing_FLA[[#This Row],[Literacy IPP]]='Writing Logic'!$E$26,"IPP",IF(OR(R24="EAL",S24="EAL",T24="EAL",U24="EAL"),"EAL",IF(R24='Writing Logic'!$A$10,AVERAGE(VLOOKUP(S24,'Writing Logic'!$A$3:$B$7,2,FALSE),VLOOKUP(T24,'Writing Logic'!$A$3:$B$7,2,FALSE),VLOOKUP(U24,'Writing Logic'!$A$3:$B$7,2,FALSE)),AVERAGE(VLOOKUP(R24,'Writing Logic'!$A$3:$B$7,2,FALSE),VLOOKUP(S24,'Writing Logic'!$A$3:$B$7,2,FALSE),VLOOKUP(T24,'Writing Logic'!$A$3:$B$7,2,FALSE),VLOOKUP(U24,'Writing Logic'!$A$3:$B$7,2,FALSE))))),"Fill All 4")</f>
        <v>Fill All 4</v>
      </c>
      <c r="W24" s="95" t="str">
        <f t="shared" si="0"/>
        <v/>
      </c>
      <c r="X24" s="120"/>
      <c r="Y24" s="120"/>
      <c r="Z24" s="120"/>
      <c r="AA24" s="120"/>
      <c r="AB24" s="95" t="str">
        <f>IFERROR(IF(YES_Writing_FLA[[#This Row],[Literacy IPP]]='Writing Logic'!$E$26,"IPP",IF(OR(X24="EAL",Y24="EAL",Z24="EAL",AA24="EAL"),"EAL",IF(X24='Writing Logic'!$A$10,AVERAGE(VLOOKUP(Y24,'Writing Logic'!$A$3:$B$7,2,FALSE),VLOOKUP(Z24,'Writing Logic'!$A$3:$B$7,2,FALSE),VLOOKUP(AA24,'Writing Logic'!$A$3:$B$7,2,FALSE)),AVERAGE(VLOOKUP(X24,'Writing Logic'!$A$3:$B$7,2,FALSE),VLOOKUP(Y24,'Writing Logic'!$A$3:$B$7,2,FALSE),VLOOKUP(Z24,'Writing Logic'!$A$3:$B$7,2,FALSE),VLOOKUP(AA24,'Writing Logic'!$A$3:$B$7,2,FALSE))))),"Fill All 4")</f>
        <v>Fill All 4</v>
      </c>
      <c r="AC24" s="95" t="str">
        <f t="shared" si="1"/>
        <v/>
      </c>
      <c r="AD24" s="120"/>
      <c r="AE24" s="120"/>
      <c r="AF24" s="120"/>
      <c r="AG24" s="120"/>
      <c r="AH24" s="95" t="str">
        <f>IFERROR(IF(YES_Writing_FLA[[#This Row],[Literacy IPP]]='Writing Logic'!$E$26,"IPP",IF(OR(AD24="EAL",AE24="EAL",AF24="EAL",AG24="EAL"),"EAL",IF(AD24='Writing Logic'!$A$10,AVERAGE(VLOOKUP(AE24,'Writing Logic'!$A$3:$B$7,2,FALSE),VLOOKUP(AF24,'Writing Logic'!$A$3:$B$7,2,FALSE),VLOOKUP(AG24,'Writing Logic'!$A$3:$B$7,2,FALSE)),AVERAGE(VLOOKUP(AD24,'Writing Logic'!$A$3:$B$7,2,FALSE),VLOOKUP(AE24,'Writing Logic'!$A$3:$B$7,2,FALSE),VLOOKUP(AF24,'Writing Logic'!$A$3:$B$7,2,FALSE),VLOOKUP(AG24,'Writing Logic'!$A$3:$B$7,2,FALSE))))),"Fill All 4")</f>
        <v>Fill All 4</v>
      </c>
      <c r="AI24" s="95" t="str">
        <f t="shared" si="2"/>
        <v/>
      </c>
      <c r="AJ24" s="183"/>
      <c r="AK24" s="120"/>
      <c r="AL24" s="120"/>
      <c r="AM24" s="120"/>
      <c r="AN24" s="95" t="str">
        <f>IFERROR(IF(YES_Writing_FLA[[#This Row],[Literacy IPP]]='Writing Logic'!$E$26,"IPP",IF(OR(AJ24="EAL",AK24="EAL",AL24="EAL",AM24="EAL"),"EAL",IF(AJ24='Writing Logic'!$A$10,AVERAGE(VLOOKUP(AK24,'Writing Logic'!$A$3:$B$7,2,FALSE),VLOOKUP(AL24,'Writing Logic'!$A$3:$B$7,2,FALSE),VLOOKUP(AM24,'Writing Logic'!$A$3:$B$7,2,FALSE)),AVERAGE(VLOOKUP(AJ24,'Writing Logic'!$A$3:$B$7,2,FALSE),VLOOKUP(AK24,'Writing Logic'!$A$3:$B$7,2,FALSE),VLOOKUP(AL24,'Writing Logic'!$A$3:$B$7,2,FALSE),VLOOKUP(AM24,'Writing Logic'!$A$3:$B$7,2,FALSE))))),"Fill All 4")</f>
        <v>Fill All 4</v>
      </c>
      <c r="AO24" s="95" t="str">
        <f t="shared" si="3"/>
        <v/>
      </c>
      <c r="AP24" s="120"/>
      <c r="AQ24" s="120"/>
      <c r="AR24" s="120"/>
      <c r="AS24" s="120"/>
      <c r="AT24" s="95" t="str">
        <f>IFERROR(IF(YES_Writing_FLA[[#This Row],[Literacy IPP]]='Writing Logic'!$E$26,"IPP",IF(OR(AP24="EAL",AQ24="EAL",AR24="EAL",AS24="EAL"),"EAL",IF(AP24='Writing Logic'!$A$10,AVERAGE(VLOOKUP(AQ24,'Writing Logic'!$A$3:$B$7,2,FALSE),VLOOKUP(AR24,'Writing Logic'!$A$3:$B$7,2,FALSE),VLOOKUP(AS24,'Writing Logic'!$A$3:$B$7,2,FALSE)),AVERAGE(VLOOKUP(AP24,'Writing Logic'!$A$3:$B$7,2,FALSE),VLOOKUP(AQ24,'Writing Logic'!$A$3:$B$7,2,FALSE),VLOOKUP(AR24,'Writing Logic'!$A$3:$B$7,2,FALSE),VLOOKUP(AS24,'Writing Logic'!$A$3:$B$7,2,FALSE))))),"Fill All 4")</f>
        <v>Fill All 4</v>
      </c>
      <c r="AU24" s="95" t="str">
        <f t="shared" si="4"/>
        <v/>
      </c>
    </row>
    <row r="25" spans="1:47" ht="22.5" customHeight="1" x14ac:dyDescent="0.25">
      <c r="A25" s="96"/>
      <c r="B25" s="98"/>
      <c r="C25" s="98"/>
      <c r="D25" s="98"/>
      <c r="E25" s="180"/>
      <c r="F25" s="98"/>
      <c r="G25" s="98"/>
      <c r="H25" s="98"/>
      <c r="I25" s="98"/>
      <c r="J25" s="98"/>
      <c r="K25" s="183"/>
      <c r="L25" s="184"/>
      <c r="M25" s="120"/>
      <c r="N25" s="120"/>
      <c r="O25" s="120"/>
      <c r="P25" s="120"/>
      <c r="Q25" s="95" t="str">
        <f>IFERROR(IF(YES_Writing_FLA[[#This Row],[Literacy IPP]]='Writing Logic'!$E$26,"IPP",IF(OR(M25="EAL",N25="EAL",O25="EAL",P25="EAL"),"EAL",IF(M25='Writing Logic'!$A$10,AVERAGE(VLOOKUP(N25,'Writing Logic'!$A$3:$B$7,2,FALSE),VLOOKUP(O25,'Writing Logic'!$A$3:$B$7,2,FALSE),VLOOKUP(P25,'Writing Logic'!$A$3:$B$7,2,FALSE)),AVERAGE(VLOOKUP(M25,'Writing Logic'!$A$3:$B$7,2,FALSE),VLOOKUP(N25,'Writing Logic'!$A$3:$B$7,2,FALSE),VLOOKUP(O25,'Writing Logic'!$A$3:$B$7,2,FALSE),VLOOKUP(P25,'Writing Logic'!$A$3:$B$7,2,FALSE))))),"Fill All 4")</f>
        <v>Fill All 4</v>
      </c>
      <c r="R25" s="120"/>
      <c r="S25" s="120"/>
      <c r="T25" s="120"/>
      <c r="U25" s="120"/>
      <c r="V25" s="95" t="str">
        <f>IFERROR(IF(YES_Writing_FLA[[#This Row],[Literacy IPP]]='Writing Logic'!$E$26,"IPP",IF(OR(R25="EAL",S25="EAL",T25="EAL",U25="EAL"),"EAL",IF(R25='Writing Logic'!$A$10,AVERAGE(VLOOKUP(S25,'Writing Logic'!$A$3:$B$7,2,FALSE),VLOOKUP(T25,'Writing Logic'!$A$3:$B$7,2,FALSE),VLOOKUP(U25,'Writing Logic'!$A$3:$B$7,2,FALSE)),AVERAGE(VLOOKUP(R25,'Writing Logic'!$A$3:$B$7,2,FALSE),VLOOKUP(S25,'Writing Logic'!$A$3:$B$7,2,FALSE),VLOOKUP(T25,'Writing Logic'!$A$3:$B$7,2,FALSE),VLOOKUP(U25,'Writing Logic'!$A$3:$B$7,2,FALSE))))),"Fill All 4")</f>
        <v>Fill All 4</v>
      </c>
      <c r="W25" s="95" t="str">
        <f t="shared" si="0"/>
        <v/>
      </c>
      <c r="X25" s="120"/>
      <c r="Y25" s="120"/>
      <c r="Z25" s="120"/>
      <c r="AA25" s="120"/>
      <c r="AB25" s="95" t="str">
        <f>IFERROR(IF(YES_Writing_FLA[[#This Row],[Literacy IPP]]='Writing Logic'!$E$26,"IPP",IF(OR(X25="EAL",Y25="EAL",Z25="EAL",AA25="EAL"),"EAL",IF(X25='Writing Logic'!$A$10,AVERAGE(VLOOKUP(Y25,'Writing Logic'!$A$3:$B$7,2,FALSE),VLOOKUP(Z25,'Writing Logic'!$A$3:$B$7,2,FALSE),VLOOKUP(AA25,'Writing Logic'!$A$3:$B$7,2,FALSE)),AVERAGE(VLOOKUP(X25,'Writing Logic'!$A$3:$B$7,2,FALSE),VLOOKUP(Y25,'Writing Logic'!$A$3:$B$7,2,FALSE),VLOOKUP(Z25,'Writing Logic'!$A$3:$B$7,2,FALSE),VLOOKUP(AA25,'Writing Logic'!$A$3:$B$7,2,FALSE))))),"Fill All 4")</f>
        <v>Fill All 4</v>
      </c>
      <c r="AC25" s="95" t="str">
        <f t="shared" si="1"/>
        <v/>
      </c>
      <c r="AD25" s="120"/>
      <c r="AE25" s="120"/>
      <c r="AF25" s="120"/>
      <c r="AG25" s="120"/>
      <c r="AH25" s="95" t="str">
        <f>IFERROR(IF(YES_Writing_FLA[[#This Row],[Literacy IPP]]='Writing Logic'!$E$26,"IPP",IF(OR(AD25="EAL",AE25="EAL",AF25="EAL",AG25="EAL"),"EAL",IF(AD25='Writing Logic'!$A$10,AVERAGE(VLOOKUP(AE25,'Writing Logic'!$A$3:$B$7,2,FALSE),VLOOKUP(AF25,'Writing Logic'!$A$3:$B$7,2,FALSE),VLOOKUP(AG25,'Writing Logic'!$A$3:$B$7,2,FALSE)),AVERAGE(VLOOKUP(AD25,'Writing Logic'!$A$3:$B$7,2,FALSE),VLOOKUP(AE25,'Writing Logic'!$A$3:$B$7,2,FALSE),VLOOKUP(AF25,'Writing Logic'!$A$3:$B$7,2,FALSE),VLOOKUP(AG25,'Writing Logic'!$A$3:$B$7,2,FALSE))))),"Fill All 4")</f>
        <v>Fill All 4</v>
      </c>
      <c r="AI25" s="95" t="str">
        <f t="shared" si="2"/>
        <v/>
      </c>
      <c r="AJ25" s="183"/>
      <c r="AK25" s="120"/>
      <c r="AL25" s="120"/>
      <c r="AM25" s="120"/>
      <c r="AN25" s="95" t="str">
        <f>IFERROR(IF(YES_Writing_FLA[[#This Row],[Literacy IPP]]='Writing Logic'!$E$26,"IPP",IF(OR(AJ25="EAL",AK25="EAL",AL25="EAL",AM25="EAL"),"EAL",IF(AJ25='Writing Logic'!$A$10,AVERAGE(VLOOKUP(AK25,'Writing Logic'!$A$3:$B$7,2,FALSE),VLOOKUP(AL25,'Writing Logic'!$A$3:$B$7,2,FALSE),VLOOKUP(AM25,'Writing Logic'!$A$3:$B$7,2,FALSE)),AVERAGE(VLOOKUP(AJ25,'Writing Logic'!$A$3:$B$7,2,FALSE),VLOOKUP(AK25,'Writing Logic'!$A$3:$B$7,2,FALSE),VLOOKUP(AL25,'Writing Logic'!$A$3:$B$7,2,FALSE),VLOOKUP(AM25,'Writing Logic'!$A$3:$B$7,2,FALSE))))),"Fill All 4")</f>
        <v>Fill All 4</v>
      </c>
      <c r="AO25" s="95" t="str">
        <f t="shared" si="3"/>
        <v/>
      </c>
      <c r="AP25" s="120"/>
      <c r="AQ25" s="120"/>
      <c r="AR25" s="120"/>
      <c r="AS25" s="120"/>
      <c r="AT25" s="95" t="str">
        <f>IFERROR(IF(YES_Writing_FLA[[#This Row],[Literacy IPP]]='Writing Logic'!$E$26,"IPP",IF(OR(AP25="EAL",AQ25="EAL",AR25="EAL",AS25="EAL"),"EAL",IF(AP25='Writing Logic'!$A$10,AVERAGE(VLOOKUP(AQ25,'Writing Logic'!$A$3:$B$7,2,FALSE),VLOOKUP(AR25,'Writing Logic'!$A$3:$B$7,2,FALSE),VLOOKUP(AS25,'Writing Logic'!$A$3:$B$7,2,FALSE)),AVERAGE(VLOOKUP(AP25,'Writing Logic'!$A$3:$B$7,2,FALSE),VLOOKUP(AQ25,'Writing Logic'!$A$3:$B$7,2,FALSE),VLOOKUP(AR25,'Writing Logic'!$A$3:$B$7,2,FALSE),VLOOKUP(AS25,'Writing Logic'!$A$3:$B$7,2,FALSE))))),"Fill All 4")</f>
        <v>Fill All 4</v>
      </c>
      <c r="AU25" s="95" t="str">
        <f t="shared" si="4"/>
        <v/>
      </c>
    </row>
    <row r="26" spans="1:47" ht="22.5" customHeight="1" x14ac:dyDescent="0.25">
      <c r="A26" s="96"/>
      <c r="B26" s="98"/>
      <c r="C26" s="98"/>
      <c r="D26" s="98"/>
      <c r="E26" s="180"/>
      <c r="F26" s="98"/>
      <c r="G26" s="98"/>
      <c r="H26" s="98"/>
      <c r="I26" s="98"/>
      <c r="J26" s="98"/>
      <c r="K26" s="183"/>
      <c r="L26" s="184"/>
      <c r="M26" s="120"/>
      <c r="N26" s="120"/>
      <c r="O26" s="120"/>
      <c r="P26" s="120"/>
      <c r="Q26" s="95" t="str">
        <f>IFERROR(IF(YES_Writing_FLA[[#This Row],[Literacy IPP]]='Writing Logic'!$E$26,"IPP",IF(OR(M26="EAL",N26="EAL",O26="EAL",P26="EAL"),"EAL",IF(M26='Writing Logic'!$A$10,AVERAGE(VLOOKUP(N26,'Writing Logic'!$A$3:$B$7,2,FALSE),VLOOKUP(O26,'Writing Logic'!$A$3:$B$7,2,FALSE),VLOOKUP(P26,'Writing Logic'!$A$3:$B$7,2,FALSE)),AVERAGE(VLOOKUP(M26,'Writing Logic'!$A$3:$B$7,2,FALSE),VLOOKUP(N26,'Writing Logic'!$A$3:$B$7,2,FALSE),VLOOKUP(O26,'Writing Logic'!$A$3:$B$7,2,FALSE),VLOOKUP(P26,'Writing Logic'!$A$3:$B$7,2,FALSE))))),"Fill All 4")</f>
        <v>Fill All 4</v>
      </c>
      <c r="R26" s="120"/>
      <c r="S26" s="120"/>
      <c r="T26" s="120"/>
      <c r="U26" s="120"/>
      <c r="V26" s="95" t="str">
        <f>IFERROR(IF(YES_Writing_FLA[[#This Row],[Literacy IPP]]='Writing Logic'!$E$26,"IPP",IF(OR(R26="EAL",S26="EAL",T26="EAL",U26="EAL"),"EAL",IF(R26='Writing Logic'!$A$10,AVERAGE(VLOOKUP(S26,'Writing Logic'!$A$3:$B$7,2,FALSE),VLOOKUP(T26,'Writing Logic'!$A$3:$B$7,2,FALSE),VLOOKUP(U26,'Writing Logic'!$A$3:$B$7,2,FALSE)),AVERAGE(VLOOKUP(R26,'Writing Logic'!$A$3:$B$7,2,FALSE),VLOOKUP(S26,'Writing Logic'!$A$3:$B$7,2,FALSE),VLOOKUP(T26,'Writing Logic'!$A$3:$B$7,2,FALSE),VLOOKUP(U26,'Writing Logic'!$A$3:$B$7,2,FALSE))))),"Fill All 4")</f>
        <v>Fill All 4</v>
      </c>
      <c r="W26" s="95" t="str">
        <f t="shared" si="0"/>
        <v/>
      </c>
      <c r="X26" s="120"/>
      <c r="Y26" s="120"/>
      <c r="Z26" s="120"/>
      <c r="AA26" s="120"/>
      <c r="AB26" s="95" t="str">
        <f>IFERROR(IF(YES_Writing_FLA[[#This Row],[Literacy IPP]]='Writing Logic'!$E$26,"IPP",IF(OR(X26="EAL",Y26="EAL",Z26="EAL",AA26="EAL"),"EAL",IF(X26='Writing Logic'!$A$10,AVERAGE(VLOOKUP(Y26,'Writing Logic'!$A$3:$B$7,2,FALSE),VLOOKUP(Z26,'Writing Logic'!$A$3:$B$7,2,FALSE),VLOOKUP(AA26,'Writing Logic'!$A$3:$B$7,2,FALSE)),AVERAGE(VLOOKUP(X26,'Writing Logic'!$A$3:$B$7,2,FALSE),VLOOKUP(Y26,'Writing Logic'!$A$3:$B$7,2,FALSE),VLOOKUP(Z26,'Writing Logic'!$A$3:$B$7,2,FALSE),VLOOKUP(AA26,'Writing Logic'!$A$3:$B$7,2,FALSE))))),"Fill All 4")</f>
        <v>Fill All 4</v>
      </c>
      <c r="AC26" s="95" t="str">
        <f t="shared" si="1"/>
        <v/>
      </c>
      <c r="AD26" s="120"/>
      <c r="AE26" s="120"/>
      <c r="AF26" s="120"/>
      <c r="AG26" s="120"/>
      <c r="AH26" s="95" t="str">
        <f>IFERROR(IF(YES_Writing_FLA[[#This Row],[Literacy IPP]]='Writing Logic'!$E$26,"IPP",IF(OR(AD26="EAL",AE26="EAL",AF26="EAL",AG26="EAL"),"EAL",IF(AD26='Writing Logic'!$A$10,AVERAGE(VLOOKUP(AE26,'Writing Logic'!$A$3:$B$7,2,FALSE),VLOOKUP(AF26,'Writing Logic'!$A$3:$B$7,2,FALSE),VLOOKUP(AG26,'Writing Logic'!$A$3:$B$7,2,FALSE)),AVERAGE(VLOOKUP(AD26,'Writing Logic'!$A$3:$B$7,2,FALSE),VLOOKUP(AE26,'Writing Logic'!$A$3:$B$7,2,FALSE),VLOOKUP(AF26,'Writing Logic'!$A$3:$B$7,2,FALSE),VLOOKUP(AG26,'Writing Logic'!$A$3:$B$7,2,FALSE))))),"Fill All 4")</f>
        <v>Fill All 4</v>
      </c>
      <c r="AI26" s="95" t="str">
        <f t="shared" si="2"/>
        <v/>
      </c>
      <c r="AJ26" s="183"/>
      <c r="AK26" s="120"/>
      <c r="AL26" s="120"/>
      <c r="AM26" s="120"/>
      <c r="AN26" s="95" t="str">
        <f>IFERROR(IF(YES_Writing_FLA[[#This Row],[Literacy IPP]]='Writing Logic'!$E$26,"IPP",IF(OR(AJ26="EAL",AK26="EAL",AL26="EAL",AM26="EAL"),"EAL",IF(AJ26='Writing Logic'!$A$10,AVERAGE(VLOOKUP(AK26,'Writing Logic'!$A$3:$B$7,2,FALSE),VLOOKUP(AL26,'Writing Logic'!$A$3:$B$7,2,FALSE),VLOOKUP(AM26,'Writing Logic'!$A$3:$B$7,2,FALSE)),AVERAGE(VLOOKUP(AJ26,'Writing Logic'!$A$3:$B$7,2,FALSE),VLOOKUP(AK26,'Writing Logic'!$A$3:$B$7,2,FALSE),VLOOKUP(AL26,'Writing Logic'!$A$3:$B$7,2,FALSE),VLOOKUP(AM26,'Writing Logic'!$A$3:$B$7,2,FALSE))))),"Fill All 4")</f>
        <v>Fill All 4</v>
      </c>
      <c r="AO26" s="95" t="str">
        <f t="shared" si="3"/>
        <v/>
      </c>
      <c r="AP26" s="120"/>
      <c r="AQ26" s="120"/>
      <c r="AR26" s="120"/>
      <c r="AS26" s="120"/>
      <c r="AT26" s="95" t="str">
        <f>IFERROR(IF(YES_Writing_FLA[[#This Row],[Literacy IPP]]='Writing Logic'!$E$26,"IPP",IF(OR(AP26="EAL",AQ26="EAL",AR26="EAL",AS26="EAL"),"EAL",IF(AP26='Writing Logic'!$A$10,AVERAGE(VLOOKUP(AQ26,'Writing Logic'!$A$3:$B$7,2,FALSE),VLOOKUP(AR26,'Writing Logic'!$A$3:$B$7,2,FALSE),VLOOKUP(AS26,'Writing Logic'!$A$3:$B$7,2,FALSE)),AVERAGE(VLOOKUP(AP26,'Writing Logic'!$A$3:$B$7,2,FALSE),VLOOKUP(AQ26,'Writing Logic'!$A$3:$B$7,2,FALSE),VLOOKUP(AR26,'Writing Logic'!$A$3:$B$7,2,FALSE),VLOOKUP(AS26,'Writing Logic'!$A$3:$B$7,2,FALSE))))),"Fill All 4")</f>
        <v>Fill All 4</v>
      </c>
      <c r="AU26" s="95" t="str">
        <f t="shared" si="4"/>
        <v/>
      </c>
    </row>
    <row r="27" spans="1:47" ht="22.5" customHeight="1" x14ac:dyDescent="0.25">
      <c r="A27" s="96"/>
      <c r="B27" s="98"/>
      <c r="C27" s="98"/>
      <c r="D27" s="98"/>
      <c r="E27" s="180"/>
      <c r="F27" s="98"/>
      <c r="G27" s="98"/>
      <c r="H27" s="98"/>
      <c r="I27" s="98"/>
      <c r="J27" s="98"/>
      <c r="K27" s="183"/>
      <c r="L27" s="184"/>
      <c r="M27" s="120"/>
      <c r="N27" s="120"/>
      <c r="O27" s="120"/>
      <c r="P27" s="120"/>
      <c r="Q27" s="95" t="str">
        <f>IFERROR(IF(YES_Writing_FLA[[#This Row],[Literacy IPP]]='Writing Logic'!$E$26,"IPP",IF(OR(M27="EAL",N27="EAL",O27="EAL",P27="EAL"),"EAL",IF(M27='Writing Logic'!$A$10,AVERAGE(VLOOKUP(N27,'Writing Logic'!$A$3:$B$7,2,FALSE),VLOOKUP(O27,'Writing Logic'!$A$3:$B$7,2,FALSE),VLOOKUP(P27,'Writing Logic'!$A$3:$B$7,2,FALSE)),AVERAGE(VLOOKUP(M27,'Writing Logic'!$A$3:$B$7,2,FALSE),VLOOKUP(N27,'Writing Logic'!$A$3:$B$7,2,FALSE),VLOOKUP(O27,'Writing Logic'!$A$3:$B$7,2,FALSE),VLOOKUP(P27,'Writing Logic'!$A$3:$B$7,2,FALSE))))),"Fill All 4")</f>
        <v>Fill All 4</v>
      </c>
      <c r="R27" s="120"/>
      <c r="S27" s="120"/>
      <c r="T27" s="120"/>
      <c r="U27" s="120"/>
      <c r="V27" s="95" t="str">
        <f>IFERROR(IF(YES_Writing_FLA[[#This Row],[Literacy IPP]]='Writing Logic'!$E$26,"IPP",IF(OR(R27="EAL",S27="EAL",T27="EAL",U27="EAL"),"EAL",IF(R27='Writing Logic'!$A$10,AVERAGE(VLOOKUP(S27,'Writing Logic'!$A$3:$B$7,2,FALSE),VLOOKUP(T27,'Writing Logic'!$A$3:$B$7,2,FALSE),VLOOKUP(U27,'Writing Logic'!$A$3:$B$7,2,FALSE)),AVERAGE(VLOOKUP(R27,'Writing Logic'!$A$3:$B$7,2,FALSE),VLOOKUP(S27,'Writing Logic'!$A$3:$B$7,2,FALSE),VLOOKUP(T27,'Writing Logic'!$A$3:$B$7,2,FALSE),VLOOKUP(U27,'Writing Logic'!$A$3:$B$7,2,FALSE))))),"Fill All 4")</f>
        <v>Fill All 4</v>
      </c>
      <c r="W27" s="95" t="str">
        <f t="shared" si="0"/>
        <v/>
      </c>
      <c r="X27" s="120"/>
      <c r="Y27" s="120"/>
      <c r="Z27" s="120"/>
      <c r="AA27" s="120"/>
      <c r="AB27" s="95" t="str">
        <f>IFERROR(IF(YES_Writing_FLA[[#This Row],[Literacy IPP]]='Writing Logic'!$E$26,"IPP",IF(OR(X27="EAL",Y27="EAL",Z27="EAL",AA27="EAL"),"EAL",IF(X27='Writing Logic'!$A$10,AVERAGE(VLOOKUP(Y27,'Writing Logic'!$A$3:$B$7,2,FALSE),VLOOKUP(Z27,'Writing Logic'!$A$3:$B$7,2,FALSE),VLOOKUP(AA27,'Writing Logic'!$A$3:$B$7,2,FALSE)),AVERAGE(VLOOKUP(X27,'Writing Logic'!$A$3:$B$7,2,FALSE),VLOOKUP(Y27,'Writing Logic'!$A$3:$B$7,2,FALSE),VLOOKUP(Z27,'Writing Logic'!$A$3:$B$7,2,FALSE),VLOOKUP(AA27,'Writing Logic'!$A$3:$B$7,2,FALSE))))),"Fill All 4")</f>
        <v>Fill All 4</v>
      </c>
      <c r="AC27" s="95" t="str">
        <f t="shared" si="1"/>
        <v/>
      </c>
      <c r="AD27" s="120"/>
      <c r="AE27" s="120"/>
      <c r="AF27" s="120"/>
      <c r="AG27" s="120"/>
      <c r="AH27" s="95" t="str">
        <f>IFERROR(IF(YES_Writing_FLA[[#This Row],[Literacy IPP]]='Writing Logic'!$E$26,"IPP",IF(OR(AD27="EAL",AE27="EAL",AF27="EAL",AG27="EAL"),"EAL",IF(AD27='Writing Logic'!$A$10,AVERAGE(VLOOKUP(AE27,'Writing Logic'!$A$3:$B$7,2,FALSE),VLOOKUP(AF27,'Writing Logic'!$A$3:$B$7,2,FALSE),VLOOKUP(AG27,'Writing Logic'!$A$3:$B$7,2,FALSE)),AVERAGE(VLOOKUP(AD27,'Writing Logic'!$A$3:$B$7,2,FALSE),VLOOKUP(AE27,'Writing Logic'!$A$3:$B$7,2,FALSE),VLOOKUP(AF27,'Writing Logic'!$A$3:$B$7,2,FALSE),VLOOKUP(AG27,'Writing Logic'!$A$3:$B$7,2,FALSE))))),"Fill All 4")</f>
        <v>Fill All 4</v>
      </c>
      <c r="AI27" s="95" t="str">
        <f t="shared" si="2"/>
        <v/>
      </c>
      <c r="AJ27" s="183"/>
      <c r="AK27" s="120"/>
      <c r="AL27" s="120"/>
      <c r="AM27" s="120"/>
      <c r="AN27" s="95" t="str">
        <f>IFERROR(IF(YES_Writing_FLA[[#This Row],[Literacy IPP]]='Writing Logic'!$E$26,"IPP",IF(OR(AJ27="EAL",AK27="EAL",AL27="EAL",AM27="EAL"),"EAL",IF(AJ27='Writing Logic'!$A$10,AVERAGE(VLOOKUP(AK27,'Writing Logic'!$A$3:$B$7,2,FALSE),VLOOKUP(AL27,'Writing Logic'!$A$3:$B$7,2,FALSE),VLOOKUP(AM27,'Writing Logic'!$A$3:$B$7,2,FALSE)),AVERAGE(VLOOKUP(AJ27,'Writing Logic'!$A$3:$B$7,2,FALSE),VLOOKUP(AK27,'Writing Logic'!$A$3:$B$7,2,FALSE),VLOOKUP(AL27,'Writing Logic'!$A$3:$B$7,2,FALSE),VLOOKUP(AM27,'Writing Logic'!$A$3:$B$7,2,FALSE))))),"Fill All 4")</f>
        <v>Fill All 4</v>
      </c>
      <c r="AO27" s="95" t="str">
        <f t="shared" si="3"/>
        <v/>
      </c>
      <c r="AP27" s="120"/>
      <c r="AQ27" s="120"/>
      <c r="AR27" s="120"/>
      <c r="AS27" s="120"/>
      <c r="AT27" s="95" t="str">
        <f>IFERROR(IF(YES_Writing_FLA[[#This Row],[Literacy IPP]]='Writing Logic'!$E$26,"IPP",IF(OR(AP27="EAL",AQ27="EAL",AR27="EAL",AS27="EAL"),"EAL",IF(AP27='Writing Logic'!$A$10,AVERAGE(VLOOKUP(AQ27,'Writing Logic'!$A$3:$B$7,2,FALSE),VLOOKUP(AR27,'Writing Logic'!$A$3:$B$7,2,FALSE),VLOOKUP(AS27,'Writing Logic'!$A$3:$B$7,2,FALSE)),AVERAGE(VLOOKUP(AP27,'Writing Logic'!$A$3:$B$7,2,FALSE),VLOOKUP(AQ27,'Writing Logic'!$A$3:$B$7,2,FALSE),VLOOKUP(AR27,'Writing Logic'!$A$3:$B$7,2,FALSE),VLOOKUP(AS27,'Writing Logic'!$A$3:$B$7,2,FALSE))))),"Fill All 4")</f>
        <v>Fill All 4</v>
      </c>
      <c r="AU27" s="95" t="str">
        <f t="shared" si="4"/>
        <v/>
      </c>
    </row>
    <row r="28" spans="1:47" ht="22.5" customHeight="1" x14ac:dyDescent="0.25">
      <c r="A28" s="96"/>
      <c r="B28" s="98"/>
      <c r="C28" s="98"/>
      <c r="D28" s="98"/>
      <c r="E28" s="180"/>
      <c r="F28" s="98"/>
      <c r="G28" s="98"/>
      <c r="H28" s="98"/>
      <c r="I28" s="98"/>
      <c r="J28" s="98"/>
      <c r="K28" s="183"/>
      <c r="L28" s="184"/>
      <c r="M28" s="120"/>
      <c r="N28" s="120"/>
      <c r="O28" s="120"/>
      <c r="P28" s="120"/>
      <c r="Q28" s="95" t="str">
        <f>IFERROR(IF(YES_Writing_FLA[[#This Row],[Literacy IPP]]='Writing Logic'!$E$26,"IPP",IF(OR(M28="EAL",N28="EAL",O28="EAL",P28="EAL"),"EAL",IF(M28='Writing Logic'!$A$10,AVERAGE(VLOOKUP(N28,'Writing Logic'!$A$3:$B$7,2,FALSE),VLOOKUP(O28,'Writing Logic'!$A$3:$B$7,2,FALSE),VLOOKUP(P28,'Writing Logic'!$A$3:$B$7,2,FALSE)),AVERAGE(VLOOKUP(M28,'Writing Logic'!$A$3:$B$7,2,FALSE),VLOOKUP(N28,'Writing Logic'!$A$3:$B$7,2,FALSE),VLOOKUP(O28,'Writing Logic'!$A$3:$B$7,2,FALSE),VLOOKUP(P28,'Writing Logic'!$A$3:$B$7,2,FALSE))))),"Fill All 4")</f>
        <v>Fill All 4</v>
      </c>
      <c r="R28" s="120"/>
      <c r="S28" s="120"/>
      <c r="T28" s="120"/>
      <c r="U28" s="120"/>
      <c r="V28" s="95" t="str">
        <f>IFERROR(IF(YES_Writing_FLA[[#This Row],[Literacy IPP]]='Writing Logic'!$E$26,"IPP",IF(OR(R28="EAL",S28="EAL",T28="EAL",U28="EAL"),"EAL",IF(R28='Writing Logic'!$A$10,AVERAGE(VLOOKUP(S28,'Writing Logic'!$A$3:$B$7,2,FALSE),VLOOKUP(T28,'Writing Logic'!$A$3:$B$7,2,FALSE),VLOOKUP(U28,'Writing Logic'!$A$3:$B$7,2,FALSE)),AVERAGE(VLOOKUP(R28,'Writing Logic'!$A$3:$B$7,2,FALSE),VLOOKUP(S28,'Writing Logic'!$A$3:$B$7,2,FALSE),VLOOKUP(T28,'Writing Logic'!$A$3:$B$7,2,FALSE),VLOOKUP(U28,'Writing Logic'!$A$3:$B$7,2,FALSE))))),"Fill All 4")</f>
        <v>Fill All 4</v>
      </c>
      <c r="W28" s="95" t="str">
        <f t="shared" si="0"/>
        <v/>
      </c>
      <c r="X28" s="120"/>
      <c r="Y28" s="120"/>
      <c r="Z28" s="120"/>
      <c r="AA28" s="120"/>
      <c r="AB28" s="95" t="str">
        <f>IFERROR(IF(YES_Writing_FLA[[#This Row],[Literacy IPP]]='Writing Logic'!$E$26,"IPP",IF(OR(X28="EAL",Y28="EAL",Z28="EAL",AA28="EAL"),"EAL",IF(X28='Writing Logic'!$A$10,AVERAGE(VLOOKUP(Y28,'Writing Logic'!$A$3:$B$7,2,FALSE),VLOOKUP(Z28,'Writing Logic'!$A$3:$B$7,2,FALSE),VLOOKUP(AA28,'Writing Logic'!$A$3:$B$7,2,FALSE)),AVERAGE(VLOOKUP(X28,'Writing Logic'!$A$3:$B$7,2,FALSE),VLOOKUP(Y28,'Writing Logic'!$A$3:$B$7,2,FALSE),VLOOKUP(Z28,'Writing Logic'!$A$3:$B$7,2,FALSE),VLOOKUP(AA28,'Writing Logic'!$A$3:$B$7,2,FALSE))))),"Fill All 4")</f>
        <v>Fill All 4</v>
      </c>
      <c r="AC28" s="95" t="str">
        <f t="shared" si="1"/>
        <v/>
      </c>
      <c r="AD28" s="120"/>
      <c r="AE28" s="120"/>
      <c r="AF28" s="120"/>
      <c r="AG28" s="120"/>
      <c r="AH28" s="95" t="str">
        <f>IFERROR(IF(YES_Writing_FLA[[#This Row],[Literacy IPP]]='Writing Logic'!$E$26,"IPP",IF(OR(AD28="EAL",AE28="EAL",AF28="EAL",AG28="EAL"),"EAL",IF(AD28='Writing Logic'!$A$10,AVERAGE(VLOOKUP(AE28,'Writing Logic'!$A$3:$B$7,2,FALSE),VLOOKUP(AF28,'Writing Logic'!$A$3:$B$7,2,FALSE),VLOOKUP(AG28,'Writing Logic'!$A$3:$B$7,2,FALSE)),AVERAGE(VLOOKUP(AD28,'Writing Logic'!$A$3:$B$7,2,FALSE),VLOOKUP(AE28,'Writing Logic'!$A$3:$B$7,2,FALSE),VLOOKUP(AF28,'Writing Logic'!$A$3:$B$7,2,FALSE),VLOOKUP(AG28,'Writing Logic'!$A$3:$B$7,2,FALSE))))),"Fill All 4")</f>
        <v>Fill All 4</v>
      </c>
      <c r="AI28" s="95" t="str">
        <f t="shared" si="2"/>
        <v/>
      </c>
      <c r="AJ28" s="183"/>
      <c r="AK28" s="120"/>
      <c r="AL28" s="120"/>
      <c r="AM28" s="120"/>
      <c r="AN28" s="95" t="str">
        <f>IFERROR(IF(YES_Writing_FLA[[#This Row],[Literacy IPP]]='Writing Logic'!$E$26,"IPP",IF(OR(AJ28="EAL",AK28="EAL",AL28="EAL",AM28="EAL"),"EAL",IF(AJ28='Writing Logic'!$A$10,AVERAGE(VLOOKUP(AK28,'Writing Logic'!$A$3:$B$7,2,FALSE),VLOOKUP(AL28,'Writing Logic'!$A$3:$B$7,2,FALSE),VLOOKUP(AM28,'Writing Logic'!$A$3:$B$7,2,FALSE)),AVERAGE(VLOOKUP(AJ28,'Writing Logic'!$A$3:$B$7,2,FALSE),VLOOKUP(AK28,'Writing Logic'!$A$3:$B$7,2,FALSE),VLOOKUP(AL28,'Writing Logic'!$A$3:$B$7,2,FALSE),VLOOKUP(AM28,'Writing Logic'!$A$3:$B$7,2,FALSE))))),"Fill All 4")</f>
        <v>Fill All 4</v>
      </c>
      <c r="AO28" s="95" t="str">
        <f t="shared" si="3"/>
        <v/>
      </c>
      <c r="AP28" s="120"/>
      <c r="AQ28" s="120"/>
      <c r="AR28" s="120"/>
      <c r="AS28" s="120"/>
      <c r="AT28" s="95" t="str">
        <f>IFERROR(IF(YES_Writing_FLA[[#This Row],[Literacy IPP]]='Writing Logic'!$E$26,"IPP",IF(OR(AP28="EAL",AQ28="EAL",AR28="EAL",AS28="EAL"),"EAL",IF(AP28='Writing Logic'!$A$10,AVERAGE(VLOOKUP(AQ28,'Writing Logic'!$A$3:$B$7,2,FALSE),VLOOKUP(AR28,'Writing Logic'!$A$3:$B$7,2,FALSE),VLOOKUP(AS28,'Writing Logic'!$A$3:$B$7,2,FALSE)),AVERAGE(VLOOKUP(AP28,'Writing Logic'!$A$3:$B$7,2,FALSE),VLOOKUP(AQ28,'Writing Logic'!$A$3:$B$7,2,FALSE),VLOOKUP(AR28,'Writing Logic'!$A$3:$B$7,2,FALSE),VLOOKUP(AS28,'Writing Logic'!$A$3:$B$7,2,FALSE))))),"Fill All 4")</f>
        <v>Fill All 4</v>
      </c>
      <c r="AU28" s="95" t="str">
        <f t="shared" si="4"/>
        <v/>
      </c>
    </row>
    <row r="29" spans="1:47" ht="22.5" customHeight="1" x14ac:dyDescent="0.25">
      <c r="A29" s="96"/>
      <c r="B29" s="98"/>
      <c r="C29" s="98"/>
      <c r="D29" s="98"/>
      <c r="E29" s="180"/>
      <c r="F29" s="98"/>
      <c r="G29" s="98"/>
      <c r="H29" s="98"/>
      <c r="I29" s="98"/>
      <c r="J29" s="98"/>
      <c r="K29" s="183"/>
      <c r="L29" s="184"/>
      <c r="M29" s="120"/>
      <c r="N29" s="120"/>
      <c r="O29" s="120"/>
      <c r="P29" s="120"/>
      <c r="Q29" s="95" t="str">
        <f>IFERROR(IF(YES_Writing_FLA[[#This Row],[Literacy IPP]]='Writing Logic'!$E$26,"IPP",IF(OR(M29="EAL",N29="EAL",O29="EAL",P29="EAL"),"EAL",IF(M29='Writing Logic'!$A$10,AVERAGE(VLOOKUP(N29,'Writing Logic'!$A$3:$B$7,2,FALSE),VLOOKUP(O29,'Writing Logic'!$A$3:$B$7,2,FALSE),VLOOKUP(P29,'Writing Logic'!$A$3:$B$7,2,FALSE)),AVERAGE(VLOOKUP(M29,'Writing Logic'!$A$3:$B$7,2,FALSE),VLOOKUP(N29,'Writing Logic'!$A$3:$B$7,2,FALSE),VLOOKUP(O29,'Writing Logic'!$A$3:$B$7,2,FALSE),VLOOKUP(P29,'Writing Logic'!$A$3:$B$7,2,FALSE))))),"Fill All 4")</f>
        <v>Fill All 4</v>
      </c>
      <c r="R29" s="120"/>
      <c r="S29" s="120"/>
      <c r="T29" s="120"/>
      <c r="U29" s="120"/>
      <c r="V29" s="95" t="str">
        <f>IFERROR(IF(YES_Writing_FLA[[#This Row],[Literacy IPP]]='Writing Logic'!$E$26,"IPP",IF(OR(R29="EAL",S29="EAL",T29="EAL",U29="EAL"),"EAL",IF(R29='Writing Logic'!$A$10,AVERAGE(VLOOKUP(S29,'Writing Logic'!$A$3:$B$7,2,FALSE),VLOOKUP(T29,'Writing Logic'!$A$3:$B$7,2,FALSE),VLOOKUP(U29,'Writing Logic'!$A$3:$B$7,2,FALSE)),AVERAGE(VLOOKUP(R29,'Writing Logic'!$A$3:$B$7,2,FALSE),VLOOKUP(S29,'Writing Logic'!$A$3:$B$7,2,FALSE),VLOOKUP(T29,'Writing Logic'!$A$3:$B$7,2,FALSE),VLOOKUP(U29,'Writing Logic'!$A$3:$B$7,2,FALSE))))),"Fill All 4")</f>
        <v>Fill All 4</v>
      </c>
      <c r="W29" s="95" t="str">
        <f t="shared" si="0"/>
        <v/>
      </c>
      <c r="X29" s="120"/>
      <c r="Y29" s="120"/>
      <c r="Z29" s="120"/>
      <c r="AA29" s="120"/>
      <c r="AB29" s="95" t="str">
        <f>IFERROR(IF(YES_Writing_FLA[[#This Row],[Literacy IPP]]='Writing Logic'!$E$26,"IPP",IF(OR(X29="EAL",Y29="EAL",Z29="EAL",AA29="EAL"),"EAL",IF(X29='Writing Logic'!$A$10,AVERAGE(VLOOKUP(Y29,'Writing Logic'!$A$3:$B$7,2,FALSE),VLOOKUP(Z29,'Writing Logic'!$A$3:$B$7,2,FALSE),VLOOKUP(AA29,'Writing Logic'!$A$3:$B$7,2,FALSE)),AVERAGE(VLOOKUP(X29,'Writing Logic'!$A$3:$B$7,2,FALSE),VLOOKUP(Y29,'Writing Logic'!$A$3:$B$7,2,FALSE),VLOOKUP(Z29,'Writing Logic'!$A$3:$B$7,2,FALSE),VLOOKUP(AA29,'Writing Logic'!$A$3:$B$7,2,FALSE))))),"Fill All 4")</f>
        <v>Fill All 4</v>
      </c>
      <c r="AC29" s="95" t="str">
        <f t="shared" si="1"/>
        <v/>
      </c>
      <c r="AD29" s="120"/>
      <c r="AE29" s="120"/>
      <c r="AF29" s="120"/>
      <c r="AG29" s="120"/>
      <c r="AH29" s="95" t="str">
        <f>IFERROR(IF(YES_Writing_FLA[[#This Row],[Literacy IPP]]='Writing Logic'!$E$26,"IPP",IF(OR(AD29="EAL",AE29="EAL",AF29="EAL",AG29="EAL"),"EAL",IF(AD29='Writing Logic'!$A$10,AVERAGE(VLOOKUP(AE29,'Writing Logic'!$A$3:$B$7,2,FALSE),VLOOKUP(AF29,'Writing Logic'!$A$3:$B$7,2,FALSE),VLOOKUP(AG29,'Writing Logic'!$A$3:$B$7,2,FALSE)),AVERAGE(VLOOKUP(AD29,'Writing Logic'!$A$3:$B$7,2,FALSE),VLOOKUP(AE29,'Writing Logic'!$A$3:$B$7,2,FALSE),VLOOKUP(AF29,'Writing Logic'!$A$3:$B$7,2,FALSE),VLOOKUP(AG29,'Writing Logic'!$A$3:$B$7,2,FALSE))))),"Fill All 4")</f>
        <v>Fill All 4</v>
      </c>
      <c r="AI29" s="95" t="str">
        <f t="shared" si="2"/>
        <v/>
      </c>
      <c r="AJ29" s="183"/>
      <c r="AK29" s="120"/>
      <c r="AL29" s="120"/>
      <c r="AM29" s="120"/>
      <c r="AN29" s="95" t="str">
        <f>IFERROR(IF(YES_Writing_FLA[[#This Row],[Literacy IPP]]='Writing Logic'!$E$26,"IPP",IF(OR(AJ29="EAL",AK29="EAL",AL29="EAL",AM29="EAL"),"EAL",IF(AJ29='Writing Logic'!$A$10,AVERAGE(VLOOKUP(AK29,'Writing Logic'!$A$3:$B$7,2,FALSE),VLOOKUP(AL29,'Writing Logic'!$A$3:$B$7,2,FALSE),VLOOKUP(AM29,'Writing Logic'!$A$3:$B$7,2,FALSE)),AVERAGE(VLOOKUP(AJ29,'Writing Logic'!$A$3:$B$7,2,FALSE),VLOOKUP(AK29,'Writing Logic'!$A$3:$B$7,2,FALSE),VLOOKUP(AL29,'Writing Logic'!$A$3:$B$7,2,FALSE),VLOOKUP(AM29,'Writing Logic'!$A$3:$B$7,2,FALSE))))),"Fill All 4")</f>
        <v>Fill All 4</v>
      </c>
      <c r="AO29" s="95" t="str">
        <f t="shared" si="3"/>
        <v/>
      </c>
      <c r="AP29" s="120"/>
      <c r="AQ29" s="120"/>
      <c r="AR29" s="120"/>
      <c r="AS29" s="120"/>
      <c r="AT29" s="95" t="str">
        <f>IFERROR(IF(YES_Writing_FLA[[#This Row],[Literacy IPP]]='Writing Logic'!$E$26,"IPP",IF(OR(AP29="EAL",AQ29="EAL",AR29="EAL",AS29="EAL"),"EAL",IF(AP29='Writing Logic'!$A$10,AVERAGE(VLOOKUP(AQ29,'Writing Logic'!$A$3:$B$7,2,FALSE),VLOOKUP(AR29,'Writing Logic'!$A$3:$B$7,2,FALSE),VLOOKUP(AS29,'Writing Logic'!$A$3:$B$7,2,FALSE)),AVERAGE(VLOOKUP(AP29,'Writing Logic'!$A$3:$B$7,2,FALSE),VLOOKUP(AQ29,'Writing Logic'!$A$3:$B$7,2,FALSE),VLOOKUP(AR29,'Writing Logic'!$A$3:$B$7,2,FALSE),VLOOKUP(AS29,'Writing Logic'!$A$3:$B$7,2,FALSE))))),"Fill All 4")</f>
        <v>Fill All 4</v>
      </c>
      <c r="AU29" s="95" t="str">
        <f t="shared" si="4"/>
        <v/>
      </c>
    </row>
    <row r="30" spans="1:47" ht="22.5" customHeight="1" x14ac:dyDescent="0.25">
      <c r="A30" s="96"/>
      <c r="B30" s="98"/>
      <c r="C30" s="98"/>
      <c r="D30" s="98"/>
      <c r="E30" s="180"/>
      <c r="F30" s="98"/>
      <c r="G30" s="98"/>
      <c r="H30" s="98"/>
      <c r="I30" s="98"/>
      <c r="J30" s="98"/>
      <c r="K30" s="183"/>
      <c r="L30" s="184"/>
      <c r="M30" s="120"/>
      <c r="N30" s="120"/>
      <c r="O30" s="120"/>
      <c r="P30" s="120"/>
      <c r="Q30" s="95" t="str">
        <f>IFERROR(IF(YES_Writing_FLA[[#This Row],[Literacy IPP]]='Writing Logic'!$E$26,"IPP",IF(OR(M30="EAL",N30="EAL",O30="EAL",P30="EAL"),"EAL",IF(M30='Writing Logic'!$A$10,AVERAGE(VLOOKUP(N30,'Writing Logic'!$A$3:$B$7,2,FALSE),VLOOKUP(O30,'Writing Logic'!$A$3:$B$7,2,FALSE),VLOOKUP(P30,'Writing Logic'!$A$3:$B$7,2,FALSE)),AVERAGE(VLOOKUP(M30,'Writing Logic'!$A$3:$B$7,2,FALSE),VLOOKUP(N30,'Writing Logic'!$A$3:$B$7,2,FALSE),VLOOKUP(O30,'Writing Logic'!$A$3:$B$7,2,FALSE),VLOOKUP(P30,'Writing Logic'!$A$3:$B$7,2,FALSE))))),"Fill All 4")</f>
        <v>Fill All 4</v>
      </c>
      <c r="R30" s="120"/>
      <c r="S30" s="120"/>
      <c r="T30" s="120"/>
      <c r="U30" s="120"/>
      <c r="V30" s="95" t="str">
        <f>IFERROR(IF(YES_Writing_FLA[[#This Row],[Literacy IPP]]='Writing Logic'!$E$26,"IPP",IF(OR(R30="EAL",S30="EAL",T30="EAL",U30="EAL"),"EAL",IF(R30='Writing Logic'!$A$10,AVERAGE(VLOOKUP(S30,'Writing Logic'!$A$3:$B$7,2,FALSE),VLOOKUP(T30,'Writing Logic'!$A$3:$B$7,2,FALSE),VLOOKUP(U30,'Writing Logic'!$A$3:$B$7,2,FALSE)),AVERAGE(VLOOKUP(R30,'Writing Logic'!$A$3:$B$7,2,FALSE),VLOOKUP(S30,'Writing Logic'!$A$3:$B$7,2,FALSE),VLOOKUP(T30,'Writing Logic'!$A$3:$B$7,2,FALSE),VLOOKUP(U30,'Writing Logic'!$A$3:$B$7,2,FALSE))))),"Fill All 4")</f>
        <v>Fill All 4</v>
      </c>
      <c r="W30" s="95" t="str">
        <f t="shared" si="0"/>
        <v/>
      </c>
      <c r="X30" s="120"/>
      <c r="Y30" s="120"/>
      <c r="Z30" s="120"/>
      <c r="AA30" s="120"/>
      <c r="AB30" s="95" t="str">
        <f>IFERROR(IF(YES_Writing_FLA[[#This Row],[Literacy IPP]]='Writing Logic'!$E$26,"IPP",IF(OR(X30="EAL",Y30="EAL",Z30="EAL",AA30="EAL"),"EAL",IF(X30='Writing Logic'!$A$10,AVERAGE(VLOOKUP(Y30,'Writing Logic'!$A$3:$B$7,2,FALSE),VLOOKUP(Z30,'Writing Logic'!$A$3:$B$7,2,FALSE),VLOOKUP(AA30,'Writing Logic'!$A$3:$B$7,2,FALSE)),AVERAGE(VLOOKUP(X30,'Writing Logic'!$A$3:$B$7,2,FALSE),VLOOKUP(Y30,'Writing Logic'!$A$3:$B$7,2,FALSE),VLOOKUP(Z30,'Writing Logic'!$A$3:$B$7,2,FALSE),VLOOKUP(AA30,'Writing Logic'!$A$3:$B$7,2,FALSE))))),"Fill All 4")</f>
        <v>Fill All 4</v>
      </c>
      <c r="AC30" s="95" t="str">
        <f t="shared" si="1"/>
        <v/>
      </c>
      <c r="AD30" s="120"/>
      <c r="AE30" s="120"/>
      <c r="AF30" s="120"/>
      <c r="AG30" s="120"/>
      <c r="AH30" s="95" t="str">
        <f>IFERROR(IF(YES_Writing_FLA[[#This Row],[Literacy IPP]]='Writing Logic'!$E$26,"IPP",IF(OR(AD30="EAL",AE30="EAL",AF30="EAL",AG30="EAL"),"EAL",IF(AD30='Writing Logic'!$A$10,AVERAGE(VLOOKUP(AE30,'Writing Logic'!$A$3:$B$7,2,FALSE),VLOOKUP(AF30,'Writing Logic'!$A$3:$B$7,2,FALSE),VLOOKUP(AG30,'Writing Logic'!$A$3:$B$7,2,FALSE)),AVERAGE(VLOOKUP(AD30,'Writing Logic'!$A$3:$B$7,2,FALSE),VLOOKUP(AE30,'Writing Logic'!$A$3:$B$7,2,FALSE),VLOOKUP(AF30,'Writing Logic'!$A$3:$B$7,2,FALSE),VLOOKUP(AG30,'Writing Logic'!$A$3:$B$7,2,FALSE))))),"Fill All 4")</f>
        <v>Fill All 4</v>
      </c>
      <c r="AI30" s="95" t="str">
        <f t="shared" si="2"/>
        <v/>
      </c>
      <c r="AJ30" s="183"/>
      <c r="AK30" s="120"/>
      <c r="AL30" s="120"/>
      <c r="AM30" s="120"/>
      <c r="AN30" s="95" t="str">
        <f>IFERROR(IF(YES_Writing_FLA[[#This Row],[Literacy IPP]]='Writing Logic'!$E$26,"IPP",IF(OR(AJ30="EAL",AK30="EAL",AL30="EAL",AM30="EAL"),"EAL",IF(AJ30='Writing Logic'!$A$10,AVERAGE(VLOOKUP(AK30,'Writing Logic'!$A$3:$B$7,2,FALSE),VLOOKUP(AL30,'Writing Logic'!$A$3:$B$7,2,FALSE),VLOOKUP(AM30,'Writing Logic'!$A$3:$B$7,2,FALSE)),AVERAGE(VLOOKUP(AJ30,'Writing Logic'!$A$3:$B$7,2,FALSE),VLOOKUP(AK30,'Writing Logic'!$A$3:$B$7,2,FALSE),VLOOKUP(AL30,'Writing Logic'!$A$3:$B$7,2,FALSE),VLOOKUP(AM30,'Writing Logic'!$A$3:$B$7,2,FALSE))))),"Fill All 4")</f>
        <v>Fill All 4</v>
      </c>
      <c r="AO30" s="95" t="str">
        <f t="shared" si="3"/>
        <v/>
      </c>
      <c r="AP30" s="120"/>
      <c r="AQ30" s="120"/>
      <c r="AR30" s="120"/>
      <c r="AS30" s="120"/>
      <c r="AT30" s="95" t="str">
        <f>IFERROR(IF(YES_Writing_FLA[[#This Row],[Literacy IPP]]='Writing Logic'!$E$26,"IPP",IF(OR(AP30="EAL",AQ30="EAL",AR30="EAL",AS30="EAL"),"EAL",IF(AP30='Writing Logic'!$A$10,AVERAGE(VLOOKUP(AQ30,'Writing Logic'!$A$3:$B$7,2,FALSE),VLOOKUP(AR30,'Writing Logic'!$A$3:$B$7,2,FALSE),VLOOKUP(AS30,'Writing Logic'!$A$3:$B$7,2,FALSE)),AVERAGE(VLOOKUP(AP30,'Writing Logic'!$A$3:$B$7,2,FALSE),VLOOKUP(AQ30,'Writing Logic'!$A$3:$B$7,2,FALSE),VLOOKUP(AR30,'Writing Logic'!$A$3:$B$7,2,FALSE),VLOOKUP(AS30,'Writing Logic'!$A$3:$B$7,2,FALSE))))),"Fill All 4")</f>
        <v>Fill All 4</v>
      </c>
      <c r="AU30" s="95" t="str">
        <f t="shared" si="4"/>
        <v/>
      </c>
    </row>
    <row r="31" spans="1:47" ht="22.5" customHeight="1" x14ac:dyDescent="0.25">
      <c r="A31" s="96"/>
      <c r="B31" s="98"/>
      <c r="C31" s="98"/>
      <c r="D31" s="98"/>
      <c r="E31" s="180"/>
      <c r="F31" s="98"/>
      <c r="G31" s="98"/>
      <c r="H31" s="98"/>
      <c r="I31" s="98"/>
      <c r="J31" s="98"/>
      <c r="K31" s="183"/>
      <c r="L31" s="184"/>
      <c r="M31" s="120"/>
      <c r="N31" s="120"/>
      <c r="O31" s="120"/>
      <c r="P31" s="120"/>
      <c r="Q31" s="95" t="str">
        <f>IFERROR(IF(YES_Writing_FLA[[#This Row],[Literacy IPP]]='Writing Logic'!$E$26,"IPP",IF(OR(M31="EAL",N31="EAL",O31="EAL",P31="EAL"),"EAL",IF(M31='Writing Logic'!$A$10,AVERAGE(VLOOKUP(N31,'Writing Logic'!$A$3:$B$7,2,FALSE),VLOOKUP(O31,'Writing Logic'!$A$3:$B$7,2,FALSE),VLOOKUP(P31,'Writing Logic'!$A$3:$B$7,2,FALSE)),AVERAGE(VLOOKUP(M31,'Writing Logic'!$A$3:$B$7,2,FALSE),VLOOKUP(N31,'Writing Logic'!$A$3:$B$7,2,FALSE),VLOOKUP(O31,'Writing Logic'!$A$3:$B$7,2,FALSE),VLOOKUP(P31,'Writing Logic'!$A$3:$B$7,2,FALSE))))),"Fill All 4")</f>
        <v>Fill All 4</v>
      </c>
      <c r="R31" s="120"/>
      <c r="S31" s="120"/>
      <c r="T31" s="120"/>
      <c r="U31" s="120"/>
      <c r="V31" s="95" t="str">
        <f>IFERROR(IF(YES_Writing_FLA[[#This Row],[Literacy IPP]]='Writing Logic'!$E$26,"IPP",IF(OR(R31="EAL",S31="EAL",T31="EAL",U31="EAL"),"EAL",IF(R31='Writing Logic'!$A$10,AVERAGE(VLOOKUP(S31,'Writing Logic'!$A$3:$B$7,2,FALSE),VLOOKUP(T31,'Writing Logic'!$A$3:$B$7,2,FALSE),VLOOKUP(U31,'Writing Logic'!$A$3:$B$7,2,FALSE)),AVERAGE(VLOOKUP(R31,'Writing Logic'!$A$3:$B$7,2,FALSE),VLOOKUP(S31,'Writing Logic'!$A$3:$B$7,2,FALSE),VLOOKUP(T31,'Writing Logic'!$A$3:$B$7,2,FALSE),VLOOKUP(U31,'Writing Logic'!$A$3:$B$7,2,FALSE))))),"Fill All 4")</f>
        <v>Fill All 4</v>
      </c>
      <c r="W31" s="95" t="str">
        <f t="shared" si="0"/>
        <v/>
      </c>
      <c r="X31" s="120"/>
      <c r="Y31" s="120"/>
      <c r="Z31" s="120"/>
      <c r="AA31" s="120"/>
      <c r="AB31" s="95" t="str">
        <f>IFERROR(IF(YES_Writing_FLA[[#This Row],[Literacy IPP]]='Writing Logic'!$E$26,"IPP",IF(OR(X31="EAL",Y31="EAL",Z31="EAL",AA31="EAL"),"EAL",IF(X31='Writing Logic'!$A$10,AVERAGE(VLOOKUP(Y31,'Writing Logic'!$A$3:$B$7,2,FALSE),VLOOKUP(Z31,'Writing Logic'!$A$3:$B$7,2,FALSE),VLOOKUP(AA31,'Writing Logic'!$A$3:$B$7,2,FALSE)),AVERAGE(VLOOKUP(X31,'Writing Logic'!$A$3:$B$7,2,FALSE),VLOOKUP(Y31,'Writing Logic'!$A$3:$B$7,2,FALSE),VLOOKUP(Z31,'Writing Logic'!$A$3:$B$7,2,FALSE),VLOOKUP(AA31,'Writing Logic'!$A$3:$B$7,2,FALSE))))),"Fill All 4")</f>
        <v>Fill All 4</v>
      </c>
      <c r="AC31" s="95" t="str">
        <f t="shared" si="1"/>
        <v/>
      </c>
      <c r="AD31" s="120"/>
      <c r="AE31" s="120"/>
      <c r="AF31" s="120"/>
      <c r="AG31" s="120"/>
      <c r="AH31" s="95" t="str">
        <f>IFERROR(IF(YES_Writing_FLA[[#This Row],[Literacy IPP]]='Writing Logic'!$E$26,"IPP",IF(OR(AD31="EAL",AE31="EAL",AF31="EAL",AG31="EAL"),"EAL",IF(AD31='Writing Logic'!$A$10,AVERAGE(VLOOKUP(AE31,'Writing Logic'!$A$3:$B$7,2,FALSE),VLOOKUP(AF31,'Writing Logic'!$A$3:$B$7,2,FALSE),VLOOKUP(AG31,'Writing Logic'!$A$3:$B$7,2,FALSE)),AVERAGE(VLOOKUP(AD31,'Writing Logic'!$A$3:$B$7,2,FALSE),VLOOKUP(AE31,'Writing Logic'!$A$3:$B$7,2,FALSE),VLOOKUP(AF31,'Writing Logic'!$A$3:$B$7,2,FALSE),VLOOKUP(AG31,'Writing Logic'!$A$3:$B$7,2,FALSE))))),"Fill All 4")</f>
        <v>Fill All 4</v>
      </c>
      <c r="AI31" s="95" t="str">
        <f t="shared" si="2"/>
        <v/>
      </c>
      <c r="AJ31" s="183"/>
      <c r="AK31" s="120"/>
      <c r="AL31" s="120"/>
      <c r="AM31" s="120"/>
      <c r="AN31" s="95" t="str">
        <f>IFERROR(IF(YES_Writing_FLA[[#This Row],[Literacy IPP]]='Writing Logic'!$E$26,"IPP",IF(OR(AJ31="EAL",AK31="EAL",AL31="EAL",AM31="EAL"),"EAL",IF(AJ31='Writing Logic'!$A$10,AVERAGE(VLOOKUP(AK31,'Writing Logic'!$A$3:$B$7,2,FALSE),VLOOKUP(AL31,'Writing Logic'!$A$3:$B$7,2,FALSE),VLOOKUP(AM31,'Writing Logic'!$A$3:$B$7,2,FALSE)),AVERAGE(VLOOKUP(AJ31,'Writing Logic'!$A$3:$B$7,2,FALSE),VLOOKUP(AK31,'Writing Logic'!$A$3:$B$7,2,FALSE),VLOOKUP(AL31,'Writing Logic'!$A$3:$B$7,2,FALSE),VLOOKUP(AM31,'Writing Logic'!$A$3:$B$7,2,FALSE))))),"Fill All 4")</f>
        <v>Fill All 4</v>
      </c>
      <c r="AO31" s="95" t="str">
        <f t="shared" si="3"/>
        <v/>
      </c>
      <c r="AP31" s="120"/>
      <c r="AQ31" s="120"/>
      <c r="AR31" s="120"/>
      <c r="AS31" s="120"/>
      <c r="AT31" s="95" t="str">
        <f>IFERROR(IF(YES_Writing_FLA[[#This Row],[Literacy IPP]]='Writing Logic'!$E$26,"IPP",IF(OR(AP31="EAL",AQ31="EAL",AR31="EAL",AS31="EAL"),"EAL",IF(AP31='Writing Logic'!$A$10,AVERAGE(VLOOKUP(AQ31,'Writing Logic'!$A$3:$B$7,2,FALSE),VLOOKUP(AR31,'Writing Logic'!$A$3:$B$7,2,FALSE),VLOOKUP(AS31,'Writing Logic'!$A$3:$B$7,2,FALSE)),AVERAGE(VLOOKUP(AP31,'Writing Logic'!$A$3:$B$7,2,FALSE),VLOOKUP(AQ31,'Writing Logic'!$A$3:$B$7,2,FALSE),VLOOKUP(AR31,'Writing Logic'!$A$3:$B$7,2,FALSE),VLOOKUP(AS31,'Writing Logic'!$A$3:$B$7,2,FALSE))))),"Fill All 4")</f>
        <v>Fill All 4</v>
      </c>
      <c r="AU31" s="95" t="str">
        <f t="shared" si="4"/>
        <v/>
      </c>
    </row>
    <row r="32" spans="1:47" ht="22.5" customHeight="1" x14ac:dyDescent="0.25">
      <c r="A32" s="96"/>
      <c r="B32" s="98"/>
      <c r="C32" s="98"/>
      <c r="D32" s="98"/>
      <c r="E32" s="180"/>
      <c r="F32" s="98"/>
      <c r="G32" s="98"/>
      <c r="H32" s="98"/>
      <c r="I32" s="98"/>
      <c r="J32" s="98"/>
      <c r="K32" s="183"/>
      <c r="L32" s="184"/>
      <c r="M32" s="120"/>
      <c r="N32" s="120"/>
      <c r="O32" s="120"/>
      <c r="P32" s="120"/>
      <c r="Q32" s="95" t="str">
        <f>IFERROR(IF(YES_Writing_FLA[[#This Row],[Literacy IPP]]='Writing Logic'!$E$26,"IPP",IF(OR(M32="EAL",N32="EAL",O32="EAL",P32="EAL"),"EAL",IF(M32='Writing Logic'!$A$10,AVERAGE(VLOOKUP(N32,'Writing Logic'!$A$3:$B$7,2,FALSE),VLOOKUP(O32,'Writing Logic'!$A$3:$B$7,2,FALSE),VLOOKUP(P32,'Writing Logic'!$A$3:$B$7,2,FALSE)),AVERAGE(VLOOKUP(M32,'Writing Logic'!$A$3:$B$7,2,FALSE),VLOOKUP(N32,'Writing Logic'!$A$3:$B$7,2,FALSE),VLOOKUP(O32,'Writing Logic'!$A$3:$B$7,2,FALSE),VLOOKUP(P32,'Writing Logic'!$A$3:$B$7,2,FALSE))))),"Fill All 4")</f>
        <v>Fill All 4</v>
      </c>
      <c r="R32" s="120"/>
      <c r="S32" s="120"/>
      <c r="T32" s="120"/>
      <c r="U32" s="120"/>
      <c r="V32" s="95" t="str">
        <f>IFERROR(IF(YES_Writing_FLA[[#This Row],[Literacy IPP]]='Writing Logic'!$E$26,"IPP",IF(OR(R32="EAL",S32="EAL",T32="EAL",U32="EAL"),"EAL",IF(R32='Writing Logic'!$A$10,AVERAGE(VLOOKUP(S32,'Writing Logic'!$A$3:$B$7,2,FALSE),VLOOKUP(T32,'Writing Logic'!$A$3:$B$7,2,FALSE),VLOOKUP(U32,'Writing Logic'!$A$3:$B$7,2,FALSE)),AVERAGE(VLOOKUP(R32,'Writing Logic'!$A$3:$B$7,2,FALSE),VLOOKUP(S32,'Writing Logic'!$A$3:$B$7,2,FALSE),VLOOKUP(T32,'Writing Logic'!$A$3:$B$7,2,FALSE),VLOOKUP(U32,'Writing Logic'!$A$3:$B$7,2,FALSE))))),"Fill All 4")</f>
        <v>Fill All 4</v>
      </c>
      <c r="W32" s="95" t="str">
        <f t="shared" si="0"/>
        <v/>
      </c>
      <c r="X32" s="120"/>
      <c r="Y32" s="120"/>
      <c r="Z32" s="120"/>
      <c r="AA32" s="120"/>
      <c r="AB32" s="95" t="str">
        <f>IFERROR(IF(YES_Writing_FLA[[#This Row],[Literacy IPP]]='Writing Logic'!$E$26,"IPP",IF(OR(X32="EAL",Y32="EAL",Z32="EAL",AA32="EAL"),"EAL",IF(X32='Writing Logic'!$A$10,AVERAGE(VLOOKUP(Y32,'Writing Logic'!$A$3:$B$7,2,FALSE),VLOOKUP(Z32,'Writing Logic'!$A$3:$B$7,2,FALSE),VLOOKUP(AA32,'Writing Logic'!$A$3:$B$7,2,FALSE)),AVERAGE(VLOOKUP(X32,'Writing Logic'!$A$3:$B$7,2,FALSE),VLOOKUP(Y32,'Writing Logic'!$A$3:$B$7,2,FALSE),VLOOKUP(Z32,'Writing Logic'!$A$3:$B$7,2,FALSE),VLOOKUP(AA32,'Writing Logic'!$A$3:$B$7,2,FALSE))))),"Fill All 4")</f>
        <v>Fill All 4</v>
      </c>
      <c r="AC32" s="95" t="str">
        <f t="shared" si="1"/>
        <v/>
      </c>
      <c r="AD32" s="120"/>
      <c r="AE32" s="120"/>
      <c r="AF32" s="120"/>
      <c r="AG32" s="120"/>
      <c r="AH32" s="95" t="str">
        <f>IFERROR(IF(YES_Writing_FLA[[#This Row],[Literacy IPP]]='Writing Logic'!$E$26,"IPP",IF(OR(AD32="EAL",AE32="EAL",AF32="EAL",AG32="EAL"),"EAL",IF(AD32='Writing Logic'!$A$10,AVERAGE(VLOOKUP(AE32,'Writing Logic'!$A$3:$B$7,2,FALSE),VLOOKUP(AF32,'Writing Logic'!$A$3:$B$7,2,FALSE),VLOOKUP(AG32,'Writing Logic'!$A$3:$B$7,2,FALSE)),AVERAGE(VLOOKUP(AD32,'Writing Logic'!$A$3:$B$7,2,FALSE),VLOOKUP(AE32,'Writing Logic'!$A$3:$B$7,2,FALSE),VLOOKUP(AF32,'Writing Logic'!$A$3:$B$7,2,FALSE),VLOOKUP(AG32,'Writing Logic'!$A$3:$B$7,2,FALSE))))),"Fill All 4")</f>
        <v>Fill All 4</v>
      </c>
      <c r="AI32" s="95" t="str">
        <f t="shared" si="2"/>
        <v/>
      </c>
      <c r="AJ32" s="183"/>
      <c r="AK32" s="120"/>
      <c r="AL32" s="120"/>
      <c r="AM32" s="120"/>
      <c r="AN32" s="95" t="str">
        <f>IFERROR(IF(YES_Writing_FLA[[#This Row],[Literacy IPP]]='Writing Logic'!$E$26,"IPP",IF(OR(AJ32="EAL",AK32="EAL",AL32="EAL",AM32="EAL"),"EAL",IF(AJ32='Writing Logic'!$A$10,AVERAGE(VLOOKUP(AK32,'Writing Logic'!$A$3:$B$7,2,FALSE),VLOOKUP(AL32,'Writing Logic'!$A$3:$B$7,2,FALSE),VLOOKUP(AM32,'Writing Logic'!$A$3:$B$7,2,FALSE)),AVERAGE(VLOOKUP(AJ32,'Writing Logic'!$A$3:$B$7,2,FALSE),VLOOKUP(AK32,'Writing Logic'!$A$3:$B$7,2,FALSE),VLOOKUP(AL32,'Writing Logic'!$A$3:$B$7,2,FALSE),VLOOKUP(AM32,'Writing Logic'!$A$3:$B$7,2,FALSE))))),"Fill All 4")</f>
        <v>Fill All 4</v>
      </c>
      <c r="AO32" s="95" t="str">
        <f t="shared" si="3"/>
        <v/>
      </c>
      <c r="AP32" s="120"/>
      <c r="AQ32" s="120"/>
      <c r="AR32" s="120"/>
      <c r="AS32" s="120"/>
      <c r="AT32" s="95" t="str">
        <f>IFERROR(IF(YES_Writing_FLA[[#This Row],[Literacy IPP]]='Writing Logic'!$E$26,"IPP",IF(OR(AP32="EAL",AQ32="EAL",AR32="EAL",AS32="EAL"),"EAL",IF(AP32='Writing Logic'!$A$10,AVERAGE(VLOOKUP(AQ32,'Writing Logic'!$A$3:$B$7,2,FALSE),VLOOKUP(AR32,'Writing Logic'!$A$3:$B$7,2,FALSE),VLOOKUP(AS32,'Writing Logic'!$A$3:$B$7,2,FALSE)),AVERAGE(VLOOKUP(AP32,'Writing Logic'!$A$3:$B$7,2,FALSE),VLOOKUP(AQ32,'Writing Logic'!$A$3:$B$7,2,FALSE),VLOOKUP(AR32,'Writing Logic'!$A$3:$B$7,2,FALSE),VLOOKUP(AS32,'Writing Logic'!$A$3:$B$7,2,FALSE))))),"Fill All 4")</f>
        <v>Fill All 4</v>
      </c>
      <c r="AU32" s="95" t="str">
        <f t="shared" si="4"/>
        <v/>
      </c>
    </row>
    <row r="33" spans="1:47" ht="22.5" customHeight="1" x14ac:dyDescent="0.25">
      <c r="A33" s="96"/>
      <c r="B33" s="98"/>
      <c r="C33" s="98"/>
      <c r="D33" s="98"/>
      <c r="E33" s="180"/>
      <c r="F33" s="98"/>
      <c r="G33" s="98"/>
      <c r="H33" s="98"/>
      <c r="I33" s="98"/>
      <c r="J33" s="98"/>
      <c r="K33" s="183"/>
      <c r="L33" s="184"/>
      <c r="M33" s="120"/>
      <c r="N33" s="120"/>
      <c r="O33" s="120"/>
      <c r="P33" s="120"/>
      <c r="Q33" s="95" t="str">
        <f>IFERROR(IF(YES_Writing_FLA[[#This Row],[Literacy IPP]]='Writing Logic'!$E$26,"IPP",IF(OR(M33="EAL",N33="EAL",O33="EAL",P33="EAL"),"EAL",IF(M33='Writing Logic'!$A$10,AVERAGE(VLOOKUP(N33,'Writing Logic'!$A$3:$B$7,2,FALSE),VLOOKUP(O33,'Writing Logic'!$A$3:$B$7,2,FALSE),VLOOKUP(P33,'Writing Logic'!$A$3:$B$7,2,FALSE)),AVERAGE(VLOOKUP(M33,'Writing Logic'!$A$3:$B$7,2,FALSE),VLOOKUP(N33,'Writing Logic'!$A$3:$B$7,2,FALSE),VLOOKUP(O33,'Writing Logic'!$A$3:$B$7,2,FALSE),VLOOKUP(P33,'Writing Logic'!$A$3:$B$7,2,FALSE))))),"Fill All 4")</f>
        <v>Fill All 4</v>
      </c>
      <c r="R33" s="120"/>
      <c r="S33" s="120"/>
      <c r="T33" s="120"/>
      <c r="U33" s="120"/>
      <c r="V33" s="95" t="str">
        <f>IFERROR(IF(YES_Writing_FLA[[#This Row],[Literacy IPP]]='Writing Logic'!$E$26,"IPP",IF(OR(R33="EAL",S33="EAL",T33="EAL",U33="EAL"),"EAL",IF(R33='Writing Logic'!$A$10,AVERAGE(VLOOKUP(S33,'Writing Logic'!$A$3:$B$7,2,FALSE),VLOOKUP(T33,'Writing Logic'!$A$3:$B$7,2,FALSE),VLOOKUP(U33,'Writing Logic'!$A$3:$B$7,2,FALSE)),AVERAGE(VLOOKUP(R33,'Writing Logic'!$A$3:$B$7,2,FALSE),VLOOKUP(S33,'Writing Logic'!$A$3:$B$7,2,FALSE),VLOOKUP(T33,'Writing Logic'!$A$3:$B$7,2,FALSE),VLOOKUP(U33,'Writing Logic'!$A$3:$B$7,2,FALSE))))),"Fill All 4")</f>
        <v>Fill All 4</v>
      </c>
      <c r="W33" s="95" t="str">
        <f t="shared" si="0"/>
        <v/>
      </c>
      <c r="X33" s="120"/>
      <c r="Y33" s="120"/>
      <c r="Z33" s="120"/>
      <c r="AA33" s="120"/>
      <c r="AB33" s="95" t="str">
        <f>IFERROR(IF(YES_Writing_FLA[[#This Row],[Literacy IPP]]='Writing Logic'!$E$26,"IPP",IF(OR(X33="EAL",Y33="EAL",Z33="EAL",AA33="EAL"),"EAL",IF(X33='Writing Logic'!$A$10,AVERAGE(VLOOKUP(Y33,'Writing Logic'!$A$3:$B$7,2,FALSE),VLOOKUP(Z33,'Writing Logic'!$A$3:$B$7,2,FALSE),VLOOKUP(AA33,'Writing Logic'!$A$3:$B$7,2,FALSE)),AVERAGE(VLOOKUP(X33,'Writing Logic'!$A$3:$B$7,2,FALSE),VLOOKUP(Y33,'Writing Logic'!$A$3:$B$7,2,FALSE),VLOOKUP(Z33,'Writing Logic'!$A$3:$B$7,2,FALSE),VLOOKUP(AA33,'Writing Logic'!$A$3:$B$7,2,FALSE))))),"Fill All 4")</f>
        <v>Fill All 4</v>
      </c>
      <c r="AC33" s="95" t="str">
        <f t="shared" si="1"/>
        <v/>
      </c>
      <c r="AD33" s="120"/>
      <c r="AE33" s="120"/>
      <c r="AF33" s="120"/>
      <c r="AG33" s="120"/>
      <c r="AH33" s="95" t="str">
        <f>IFERROR(IF(YES_Writing_FLA[[#This Row],[Literacy IPP]]='Writing Logic'!$E$26,"IPP",IF(OR(AD33="EAL",AE33="EAL",AF33="EAL",AG33="EAL"),"EAL",IF(AD33='Writing Logic'!$A$10,AVERAGE(VLOOKUP(AE33,'Writing Logic'!$A$3:$B$7,2,FALSE),VLOOKUP(AF33,'Writing Logic'!$A$3:$B$7,2,FALSE),VLOOKUP(AG33,'Writing Logic'!$A$3:$B$7,2,FALSE)),AVERAGE(VLOOKUP(AD33,'Writing Logic'!$A$3:$B$7,2,FALSE),VLOOKUP(AE33,'Writing Logic'!$A$3:$B$7,2,FALSE),VLOOKUP(AF33,'Writing Logic'!$A$3:$B$7,2,FALSE),VLOOKUP(AG33,'Writing Logic'!$A$3:$B$7,2,FALSE))))),"Fill All 4")</f>
        <v>Fill All 4</v>
      </c>
      <c r="AI33" s="95" t="str">
        <f t="shared" si="2"/>
        <v/>
      </c>
      <c r="AJ33" s="183"/>
      <c r="AK33" s="120"/>
      <c r="AL33" s="120"/>
      <c r="AM33" s="120"/>
      <c r="AN33" s="95" t="str">
        <f>IFERROR(IF(YES_Writing_FLA[[#This Row],[Literacy IPP]]='Writing Logic'!$E$26,"IPP",IF(OR(AJ33="EAL",AK33="EAL",AL33="EAL",AM33="EAL"),"EAL",IF(AJ33='Writing Logic'!$A$10,AVERAGE(VLOOKUP(AK33,'Writing Logic'!$A$3:$B$7,2,FALSE),VLOOKUP(AL33,'Writing Logic'!$A$3:$B$7,2,FALSE),VLOOKUP(AM33,'Writing Logic'!$A$3:$B$7,2,FALSE)),AVERAGE(VLOOKUP(AJ33,'Writing Logic'!$A$3:$B$7,2,FALSE),VLOOKUP(AK33,'Writing Logic'!$A$3:$B$7,2,FALSE),VLOOKUP(AL33,'Writing Logic'!$A$3:$B$7,2,FALSE),VLOOKUP(AM33,'Writing Logic'!$A$3:$B$7,2,FALSE))))),"Fill All 4")</f>
        <v>Fill All 4</v>
      </c>
      <c r="AO33" s="95" t="str">
        <f t="shared" si="3"/>
        <v/>
      </c>
      <c r="AP33" s="120"/>
      <c r="AQ33" s="120"/>
      <c r="AR33" s="120"/>
      <c r="AS33" s="120"/>
      <c r="AT33" s="95" t="str">
        <f>IFERROR(IF(YES_Writing_FLA[[#This Row],[Literacy IPP]]='Writing Logic'!$E$26,"IPP",IF(OR(AP33="EAL",AQ33="EAL",AR33="EAL",AS33="EAL"),"EAL",IF(AP33='Writing Logic'!$A$10,AVERAGE(VLOOKUP(AQ33,'Writing Logic'!$A$3:$B$7,2,FALSE),VLOOKUP(AR33,'Writing Logic'!$A$3:$B$7,2,FALSE),VLOOKUP(AS33,'Writing Logic'!$A$3:$B$7,2,FALSE)),AVERAGE(VLOOKUP(AP33,'Writing Logic'!$A$3:$B$7,2,FALSE),VLOOKUP(AQ33,'Writing Logic'!$A$3:$B$7,2,FALSE),VLOOKUP(AR33,'Writing Logic'!$A$3:$B$7,2,FALSE),VLOOKUP(AS33,'Writing Logic'!$A$3:$B$7,2,FALSE))))),"Fill All 4")</f>
        <v>Fill All 4</v>
      </c>
      <c r="AU33" s="95" t="str">
        <f t="shared" si="4"/>
        <v/>
      </c>
    </row>
    <row r="34" spans="1:47" ht="22.5" customHeight="1" x14ac:dyDescent="0.25">
      <c r="A34" s="96"/>
      <c r="B34" s="98"/>
      <c r="C34" s="98"/>
      <c r="D34" s="98"/>
      <c r="E34" s="180"/>
      <c r="F34" s="98"/>
      <c r="G34" s="98"/>
      <c r="H34" s="98"/>
      <c r="I34" s="98"/>
      <c r="J34" s="98"/>
      <c r="K34" s="183"/>
      <c r="L34" s="184"/>
      <c r="M34" s="120"/>
      <c r="N34" s="120"/>
      <c r="O34" s="120"/>
      <c r="P34" s="120"/>
      <c r="Q34" s="95" t="str">
        <f>IFERROR(IF(YES_Writing_FLA[[#This Row],[Literacy IPP]]='Writing Logic'!$E$26,"IPP",IF(OR(M34="EAL",N34="EAL",O34="EAL",P34="EAL"),"EAL",IF(M34='Writing Logic'!$A$10,AVERAGE(VLOOKUP(N34,'Writing Logic'!$A$3:$B$7,2,FALSE),VLOOKUP(O34,'Writing Logic'!$A$3:$B$7,2,FALSE),VLOOKUP(P34,'Writing Logic'!$A$3:$B$7,2,FALSE)),AVERAGE(VLOOKUP(M34,'Writing Logic'!$A$3:$B$7,2,FALSE),VLOOKUP(N34,'Writing Logic'!$A$3:$B$7,2,FALSE),VLOOKUP(O34,'Writing Logic'!$A$3:$B$7,2,FALSE),VLOOKUP(P34,'Writing Logic'!$A$3:$B$7,2,FALSE))))),"Fill All 4")</f>
        <v>Fill All 4</v>
      </c>
      <c r="R34" s="120"/>
      <c r="S34" s="120"/>
      <c r="T34" s="120"/>
      <c r="U34" s="120"/>
      <c r="V34" s="95" t="str">
        <f>IFERROR(IF(YES_Writing_FLA[[#This Row],[Literacy IPP]]='Writing Logic'!$E$26,"IPP",IF(OR(R34="EAL",S34="EAL",T34="EAL",U34="EAL"),"EAL",IF(R34='Writing Logic'!$A$10,AVERAGE(VLOOKUP(S34,'Writing Logic'!$A$3:$B$7,2,FALSE),VLOOKUP(T34,'Writing Logic'!$A$3:$B$7,2,FALSE),VLOOKUP(U34,'Writing Logic'!$A$3:$B$7,2,FALSE)),AVERAGE(VLOOKUP(R34,'Writing Logic'!$A$3:$B$7,2,FALSE),VLOOKUP(S34,'Writing Logic'!$A$3:$B$7,2,FALSE),VLOOKUP(T34,'Writing Logic'!$A$3:$B$7,2,FALSE),VLOOKUP(U34,'Writing Logic'!$A$3:$B$7,2,FALSE))))),"Fill All 4")</f>
        <v>Fill All 4</v>
      </c>
      <c r="W34" s="95" t="str">
        <f t="shared" si="0"/>
        <v/>
      </c>
      <c r="X34" s="120"/>
      <c r="Y34" s="120"/>
      <c r="Z34" s="120"/>
      <c r="AA34" s="120"/>
      <c r="AB34" s="95" t="str">
        <f>IFERROR(IF(YES_Writing_FLA[[#This Row],[Literacy IPP]]='Writing Logic'!$E$26,"IPP",IF(OR(X34="EAL",Y34="EAL",Z34="EAL",AA34="EAL"),"EAL",IF(X34='Writing Logic'!$A$10,AVERAGE(VLOOKUP(Y34,'Writing Logic'!$A$3:$B$7,2,FALSE),VLOOKUP(Z34,'Writing Logic'!$A$3:$B$7,2,FALSE),VLOOKUP(AA34,'Writing Logic'!$A$3:$B$7,2,FALSE)),AVERAGE(VLOOKUP(X34,'Writing Logic'!$A$3:$B$7,2,FALSE),VLOOKUP(Y34,'Writing Logic'!$A$3:$B$7,2,FALSE),VLOOKUP(Z34,'Writing Logic'!$A$3:$B$7,2,FALSE),VLOOKUP(AA34,'Writing Logic'!$A$3:$B$7,2,FALSE))))),"Fill All 4")</f>
        <v>Fill All 4</v>
      </c>
      <c r="AC34" s="95" t="str">
        <f t="shared" si="1"/>
        <v/>
      </c>
      <c r="AD34" s="120"/>
      <c r="AE34" s="120"/>
      <c r="AF34" s="120"/>
      <c r="AG34" s="120"/>
      <c r="AH34" s="95" t="str">
        <f>IFERROR(IF(YES_Writing_FLA[[#This Row],[Literacy IPP]]='Writing Logic'!$E$26,"IPP",IF(OR(AD34="EAL",AE34="EAL",AF34="EAL",AG34="EAL"),"EAL",IF(AD34='Writing Logic'!$A$10,AVERAGE(VLOOKUP(AE34,'Writing Logic'!$A$3:$B$7,2,FALSE),VLOOKUP(AF34,'Writing Logic'!$A$3:$B$7,2,FALSE),VLOOKUP(AG34,'Writing Logic'!$A$3:$B$7,2,FALSE)),AVERAGE(VLOOKUP(AD34,'Writing Logic'!$A$3:$B$7,2,FALSE),VLOOKUP(AE34,'Writing Logic'!$A$3:$B$7,2,FALSE),VLOOKUP(AF34,'Writing Logic'!$A$3:$B$7,2,FALSE),VLOOKUP(AG34,'Writing Logic'!$A$3:$B$7,2,FALSE))))),"Fill All 4")</f>
        <v>Fill All 4</v>
      </c>
      <c r="AI34" s="95" t="str">
        <f t="shared" si="2"/>
        <v/>
      </c>
      <c r="AJ34" s="183"/>
      <c r="AK34" s="120"/>
      <c r="AL34" s="120"/>
      <c r="AM34" s="120"/>
      <c r="AN34" s="95" t="str">
        <f>IFERROR(IF(YES_Writing_FLA[[#This Row],[Literacy IPP]]='Writing Logic'!$E$26,"IPP",IF(OR(AJ34="EAL",AK34="EAL",AL34="EAL",AM34="EAL"),"EAL",IF(AJ34='Writing Logic'!$A$10,AVERAGE(VLOOKUP(AK34,'Writing Logic'!$A$3:$B$7,2,FALSE),VLOOKUP(AL34,'Writing Logic'!$A$3:$B$7,2,FALSE),VLOOKUP(AM34,'Writing Logic'!$A$3:$B$7,2,FALSE)),AVERAGE(VLOOKUP(AJ34,'Writing Logic'!$A$3:$B$7,2,FALSE),VLOOKUP(AK34,'Writing Logic'!$A$3:$B$7,2,FALSE),VLOOKUP(AL34,'Writing Logic'!$A$3:$B$7,2,FALSE),VLOOKUP(AM34,'Writing Logic'!$A$3:$B$7,2,FALSE))))),"Fill All 4")</f>
        <v>Fill All 4</v>
      </c>
      <c r="AO34" s="95" t="str">
        <f t="shared" si="3"/>
        <v/>
      </c>
      <c r="AP34" s="120"/>
      <c r="AQ34" s="120"/>
      <c r="AR34" s="120"/>
      <c r="AS34" s="120"/>
      <c r="AT34" s="95" t="str">
        <f>IFERROR(IF(YES_Writing_FLA[[#This Row],[Literacy IPP]]='Writing Logic'!$E$26,"IPP",IF(OR(AP34="EAL",AQ34="EAL",AR34="EAL",AS34="EAL"),"EAL",IF(AP34='Writing Logic'!$A$10,AVERAGE(VLOOKUP(AQ34,'Writing Logic'!$A$3:$B$7,2,FALSE),VLOOKUP(AR34,'Writing Logic'!$A$3:$B$7,2,FALSE),VLOOKUP(AS34,'Writing Logic'!$A$3:$B$7,2,FALSE)),AVERAGE(VLOOKUP(AP34,'Writing Logic'!$A$3:$B$7,2,FALSE),VLOOKUP(AQ34,'Writing Logic'!$A$3:$B$7,2,FALSE),VLOOKUP(AR34,'Writing Logic'!$A$3:$B$7,2,FALSE),VLOOKUP(AS34,'Writing Logic'!$A$3:$B$7,2,FALSE))))),"Fill All 4")</f>
        <v>Fill All 4</v>
      </c>
      <c r="AU34" s="95" t="str">
        <f t="shared" si="4"/>
        <v/>
      </c>
    </row>
    <row r="35" spans="1:47" ht="22.5" customHeight="1" x14ac:dyDescent="0.25">
      <c r="A35" s="96"/>
      <c r="B35" s="98"/>
      <c r="C35" s="98"/>
      <c r="D35" s="98"/>
      <c r="E35" s="180"/>
      <c r="F35" s="98"/>
      <c r="G35" s="98"/>
      <c r="H35" s="98"/>
      <c r="I35" s="98"/>
      <c r="J35" s="98"/>
      <c r="K35" s="183"/>
      <c r="L35" s="184"/>
      <c r="M35" s="120"/>
      <c r="N35" s="120"/>
      <c r="O35" s="120"/>
      <c r="P35" s="120"/>
      <c r="Q35" s="95" t="str">
        <f>IFERROR(IF(YES_Writing_FLA[[#This Row],[Literacy IPP]]='Writing Logic'!$E$26,"IPP",IF(OR(M35="EAL",N35="EAL",O35="EAL",P35="EAL"),"EAL",IF(M35='Writing Logic'!$A$10,AVERAGE(VLOOKUP(N35,'Writing Logic'!$A$3:$B$7,2,FALSE),VLOOKUP(O35,'Writing Logic'!$A$3:$B$7,2,FALSE),VLOOKUP(P35,'Writing Logic'!$A$3:$B$7,2,FALSE)),AVERAGE(VLOOKUP(M35,'Writing Logic'!$A$3:$B$7,2,FALSE),VLOOKUP(N35,'Writing Logic'!$A$3:$B$7,2,FALSE),VLOOKUP(O35,'Writing Logic'!$A$3:$B$7,2,FALSE),VLOOKUP(P35,'Writing Logic'!$A$3:$B$7,2,FALSE))))),"Fill All 4")</f>
        <v>Fill All 4</v>
      </c>
      <c r="R35" s="120"/>
      <c r="S35" s="120"/>
      <c r="T35" s="120"/>
      <c r="U35" s="120"/>
      <c r="V35" s="95" t="str">
        <f>IFERROR(IF(YES_Writing_FLA[[#This Row],[Literacy IPP]]='Writing Logic'!$E$26,"IPP",IF(OR(R35="EAL",S35="EAL",T35="EAL",U35="EAL"),"EAL",IF(R35='Writing Logic'!$A$10,AVERAGE(VLOOKUP(S35,'Writing Logic'!$A$3:$B$7,2,FALSE),VLOOKUP(T35,'Writing Logic'!$A$3:$B$7,2,FALSE),VLOOKUP(U35,'Writing Logic'!$A$3:$B$7,2,FALSE)),AVERAGE(VLOOKUP(R35,'Writing Logic'!$A$3:$B$7,2,FALSE),VLOOKUP(S35,'Writing Logic'!$A$3:$B$7,2,FALSE),VLOOKUP(T35,'Writing Logic'!$A$3:$B$7,2,FALSE),VLOOKUP(U35,'Writing Logic'!$A$3:$B$7,2,FALSE))))),"Fill All 4")</f>
        <v>Fill All 4</v>
      </c>
      <c r="W35" s="95" t="str">
        <f t="shared" si="0"/>
        <v/>
      </c>
      <c r="X35" s="120"/>
      <c r="Y35" s="120"/>
      <c r="Z35" s="120"/>
      <c r="AA35" s="120"/>
      <c r="AB35" s="95" t="str">
        <f>IFERROR(IF(YES_Writing_FLA[[#This Row],[Literacy IPP]]='Writing Logic'!$E$26,"IPP",IF(OR(X35="EAL",Y35="EAL",Z35="EAL",AA35="EAL"),"EAL",IF(X35='Writing Logic'!$A$10,AVERAGE(VLOOKUP(Y35,'Writing Logic'!$A$3:$B$7,2,FALSE),VLOOKUP(Z35,'Writing Logic'!$A$3:$B$7,2,FALSE),VLOOKUP(AA35,'Writing Logic'!$A$3:$B$7,2,FALSE)),AVERAGE(VLOOKUP(X35,'Writing Logic'!$A$3:$B$7,2,FALSE),VLOOKUP(Y35,'Writing Logic'!$A$3:$B$7,2,FALSE),VLOOKUP(Z35,'Writing Logic'!$A$3:$B$7,2,FALSE),VLOOKUP(AA35,'Writing Logic'!$A$3:$B$7,2,FALSE))))),"Fill All 4")</f>
        <v>Fill All 4</v>
      </c>
      <c r="AC35" s="95" t="str">
        <f t="shared" si="1"/>
        <v/>
      </c>
      <c r="AD35" s="120"/>
      <c r="AE35" s="120"/>
      <c r="AF35" s="120"/>
      <c r="AG35" s="120"/>
      <c r="AH35" s="95" t="str">
        <f>IFERROR(IF(YES_Writing_FLA[[#This Row],[Literacy IPP]]='Writing Logic'!$E$26,"IPP",IF(OR(AD35="EAL",AE35="EAL",AF35="EAL",AG35="EAL"),"EAL",IF(AD35='Writing Logic'!$A$10,AVERAGE(VLOOKUP(AE35,'Writing Logic'!$A$3:$B$7,2,FALSE),VLOOKUP(AF35,'Writing Logic'!$A$3:$B$7,2,FALSE),VLOOKUP(AG35,'Writing Logic'!$A$3:$B$7,2,FALSE)),AVERAGE(VLOOKUP(AD35,'Writing Logic'!$A$3:$B$7,2,FALSE),VLOOKUP(AE35,'Writing Logic'!$A$3:$B$7,2,FALSE),VLOOKUP(AF35,'Writing Logic'!$A$3:$B$7,2,FALSE),VLOOKUP(AG35,'Writing Logic'!$A$3:$B$7,2,FALSE))))),"Fill All 4")</f>
        <v>Fill All 4</v>
      </c>
      <c r="AI35" s="95" t="str">
        <f t="shared" si="2"/>
        <v/>
      </c>
      <c r="AJ35" s="183"/>
      <c r="AK35" s="120"/>
      <c r="AL35" s="120"/>
      <c r="AM35" s="120"/>
      <c r="AN35" s="95" t="str">
        <f>IFERROR(IF(YES_Writing_FLA[[#This Row],[Literacy IPP]]='Writing Logic'!$E$26,"IPP",IF(OR(AJ35="EAL",AK35="EAL",AL35="EAL",AM35="EAL"),"EAL",IF(AJ35='Writing Logic'!$A$10,AVERAGE(VLOOKUP(AK35,'Writing Logic'!$A$3:$B$7,2,FALSE),VLOOKUP(AL35,'Writing Logic'!$A$3:$B$7,2,FALSE),VLOOKUP(AM35,'Writing Logic'!$A$3:$B$7,2,FALSE)),AVERAGE(VLOOKUP(AJ35,'Writing Logic'!$A$3:$B$7,2,FALSE),VLOOKUP(AK35,'Writing Logic'!$A$3:$B$7,2,FALSE),VLOOKUP(AL35,'Writing Logic'!$A$3:$B$7,2,FALSE),VLOOKUP(AM35,'Writing Logic'!$A$3:$B$7,2,FALSE))))),"Fill All 4")</f>
        <v>Fill All 4</v>
      </c>
      <c r="AO35" s="95" t="str">
        <f t="shared" si="3"/>
        <v/>
      </c>
      <c r="AP35" s="120"/>
      <c r="AQ35" s="120"/>
      <c r="AR35" s="120"/>
      <c r="AS35" s="120"/>
      <c r="AT35" s="95" t="str">
        <f>IFERROR(IF(YES_Writing_FLA[[#This Row],[Literacy IPP]]='Writing Logic'!$E$26,"IPP",IF(OR(AP35="EAL",AQ35="EAL",AR35="EAL",AS35="EAL"),"EAL",IF(AP35='Writing Logic'!$A$10,AVERAGE(VLOOKUP(AQ35,'Writing Logic'!$A$3:$B$7,2,FALSE),VLOOKUP(AR35,'Writing Logic'!$A$3:$B$7,2,FALSE),VLOOKUP(AS35,'Writing Logic'!$A$3:$B$7,2,FALSE)),AVERAGE(VLOOKUP(AP35,'Writing Logic'!$A$3:$B$7,2,FALSE),VLOOKUP(AQ35,'Writing Logic'!$A$3:$B$7,2,FALSE),VLOOKUP(AR35,'Writing Logic'!$A$3:$B$7,2,FALSE),VLOOKUP(AS35,'Writing Logic'!$A$3:$B$7,2,FALSE))))),"Fill All 4")</f>
        <v>Fill All 4</v>
      </c>
      <c r="AU35" s="95" t="str">
        <f t="shared" si="4"/>
        <v/>
      </c>
    </row>
    <row r="36" spans="1:47" ht="22.5" customHeight="1" x14ac:dyDescent="0.25">
      <c r="A36" s="96"/>
      <c r="B36" s="98"/>
      <c r="C36" s="98"/>
      <c r="D36" s="98"/>
      <c r="E36" s="180"/>
      <c r="F36" s="98"/>
      <c r="G36" s="98"/>
      <c r="H36" s="98"/>
      <c r="I36" s="98"/>
      <c r="J36" s="98"/>
      <c r="K36" s="183"/>
      <c r="L36" s="184"/>
      <c r="M36" s="120"/>
      <c r="N36" s="120"/>
      <c r="O36" s="120"/>
      <c r="P36" s="120"/>
      <c r="Q36" s="95" t="str">
        <f>IFERROR(IF(YES_Writing_FLA[[#This Row],[Literacy IPP]]='Writing Logic'!$E$26,"IPP",IF(OR(M36="EAL",N36="EAL",O36="EAL",P36="EAL"),"EAL",IF(M36='Writing Logic'!$A$10,AVERAGE(VLOOKUP(N36,'Writing Logic'!$A$3:$B$7,2,FALSE),VLOOKUP(O36,'Writing Logic'!$A$3:$B$7,2,FALSE),VLOOKUP(P36,'Writing Logic'!$A$3:$B$7,2,FALSE)),AVERAGE(VLOOKUP(M36,'Writing Logic'!$A$3:$B$7,2,FALSE),VLOOKUP(N36,'Writing Logic'!$A$3:$B$7,2,FALSE),VLOOKUP(O36,'Writing Logic'!$A$3:$B$7,2,FALSE),VLOOKUP(P36,'Writing Logic'!$A$3:$B$7,2,FALSE))))),"Fill All 4")</f>
        <v>Fill All 4</v>
      </c>
      <c r="R36" s="120"/>
      <c r="S36" s="120"/>
      <c r="T36" s="120"/>
      <c r="U36" s="120"/>
      <c r="V36" s="95" t="str">
        <f>IFERROR(IF(YES_Writing_FLA[[#This Row],[Literacy IPP]]='Writing Logic'!$E$26,"IPP",IF(OR(R36="EAL",S36="EAL",T36="EAL",U36="EAL"),"EAL",IF(R36='Writing Logic'!$A$10,AVERAGE(VLOOKUP(S36,'Writing Logic'!$A$3:$B$7,2,FALSE),VLOOKUP(T36,'Writing Logic'!$A$3:$B$7,2,FALSE),VLOOKUP(U36,'Writing Logic'!$A$3:$B$7,2,FALSE)),AVERAGE(VLOOKUP(R36,'Writing Logic'!$A$3:$B$7,2,FALSE),VLOOKUP(S36,'Writing Logic'!$A$3:$B$7,2,FALSE),VLOOKUP(T36,'Writing Logic'!$A$3:$B$7,2,FALSE),VLOOKUP(U36,'Writing Logic'!$A$3:$B$7,2,FALSE))))),"Fill All 4")</f>
        <v>Fill All 4</v>
      </c>
      <c r="W36" s="95" t="str">
        <f t="shared" si="0"/>
        <v/>
      </c>
      <c r="X36" s="120"/>
      <c r="Y36" s="120"/>
      <c r="Z36" s="120"/>
      <c r="AA36" s="120"/>
      <c r="AB36" s="95" t="str">
        <f>IFERROR(IF(YES_Writing_FLA[[#This Row],[Literacy IPP]]='Writing Logic'!$E$26,"IPP",IF(OR(X36="EAL",Y36="EAL",Z36="EAL",AA36="EAL"),"EAL",IF(X36='Writing Logic'!$A$10,AVERAGE(VLOOKUP(Y36,'Writing Logic'!$A$3:$B$7,2,FALSE),VLOOKUP(Z36,'Writing Logic'!$A$3:$B$7,2,FALSE),VLOOKUP(AA36,'Writing Logic'!$A$3:$B$7,2,FALSE)),AVERAGE(VLOOKUP(X36,'Writing Logic'!$A$3:$B$7,2,FALSE),VLOOKUP(Y36,'Writing Logic'!$A$3:$B$7,2,FALSE),VLOOKUP(Z36,'Writing Logic'!$A$3:$B$7,2,FALSE),VLOOKUP(AA36,'Writing Logic'!$A$3:$B$7,2,FALSE))))),"Fill All 4")</f>
        <v>Fill All 4</v>
      </c>
      <c r="AC36" s="95" t="str">
        <f t="shared" si="1"/>
        <v/>
      </c>
      <c r="AD36" s="120"/>
      <c r="AE36" s="120"/>
      <c r="AF36" s="120"/>
      <c r="AG36" s="120"/>
      <c r="AH36" s="95" t="str">
        <f>IFERROR(IF(YES_Writing_FLA[[#This Row],[Literacy IPP]]='Writing Logic'!$E$26,"IPP",IF(OR(AD36="EAL",AE36="EAL",AF36="EAL",AG36="EAL"),"EAL",IF(AD36='Writing Logic'!$A$10,AVERAGE(VLOOKUP(AE36,'Writing Logic'!$A$3:$B$7,2,FALSE),VLOOKUP(AF36,'Writing Logic'!$A$3:$B$7,2,FALSE),VLOOKUP(AG36,'Writing Logic'!$A$3:$B$7,2,FALSE)),AVERAGE(VLOOKUP(AD36,'Writing Logic'!$A$3:$B$7,2,FALSE),VLOOKUP(AE36,'Writing Logic'!$A$3:$B$7,2,FALSE),VLOOKUP(AF36,'Writing Logic'!$A$3:$B$7,2,FALSE),VLOOKUP(AG36,'Writing Logic'!$A$3:$B$7,2,FALSE))))),"Fill All 4")</f>
        <v>Fill All 4</v>
      </c>
      <c r="AI36" s="95" t="str">
        <f t="shared" si="2"/>
        <v/>
      </c>
      <c r="AJ36" s="183"/>
      <c r="AK36" s="120"/>
      <c r="AL36" s="120"/>
      <c r="AM36" s="120"/>
      <c r="AN36" s="95" t="str">
        <f>IFERROR(IF(YES_Writing_FLA[[#This Row],[Literacy IPP]]='Writing Logic'!$E$26,"IPP",IF(OR(AJ36="EAL",AK36="EAL",AL36="EAL",AM36="EAL"),"EAL",IF(AJ36='Writing Logic'!$A$10,AVERAGE(VLOOKUP(AK36,'Writing Logic'!$A$3:$B$7,2,FALSE),VLOOKUP(AL36,'Writing Logic'!$A$3:$B$7,2,FALSE),VLOOKUP(AM36,'Writing Logic'!$A$3:$B$7,2,FALSE)),AVERAGE(VLOOKUP(AJ36,'Writing Logic'!$A$3:$B$7,2,FALSE),VLOOKUP(AK36,'Writing Logic'!$A$3:$B$7,2,FALSE),VLOOKUP(AL36,'Writing Logic'!$A$3:$B$7,2,FALSE),VLOOKUP(AM36,'Writing Logic'!$A$3:$B$7,2,FALSE))))),"Fill All 4")</f>
        <v>Fill All 4</v>
      </c>
      <c r="AO36" s="95" t="str">
        <f t="shared" si="3"/>
        <v/>
      </c>
      <c r="AP36" s="120"/>
      <c r="AQ36" s="120"/>
      <c r="AR36" s="120"/>
      <c r="AS36" s="120"/>
      <c r="AT36" s="95" t="str">
        <f>IFERROR(IF(YES_Writing_FLA[[#This Row],[Literacy IPP]]='Writing Logic'!$E$26,"IPP",IF(OR(AP36="EAL",AQ36="EAL",AR36="EAL",AS36="EAL"),"EAL",IF(AP36='Writing Logic'!$A$10,AVERAGE(VLOOKUP(AQ36,'Writing Logic'!$A$3:$B$7,2,FALSE),VLOOKUP(AR36,'Writing Logic'!$A$3:$B$7,2,FALSE),VLOOKUP(AS36,'Writing Logic'!$A$3:$B$7,2,FALSE)),AVERAGE(VLOOKUP(AP36,'Writing Logic'!$A$3:$B$7,2,FALSE),VLOOKUP(AQ36,'Writing Logic'!$A$3:$B$7,2,FALSE),VLOOKUP(AR36,'Writing Logic'!$A$3:$B$7,2,FALSE),VLOOKUP(AS36,'Writing Logic'!$A$3:$B$7,2,FALSE))))),"Fill All 4")</f>
        <v>Fill All 4</v>
      </c>
      <c r="AU36" s="95" t="str">
        <f t="shared" si="4"/>
        <v/>
      </c>
    </row>
    <row r="37" spans="1:47" ht="22.5" customHeight="1" x14ac:dyDescent="0.25">
      <c r="A37" s="96"/>
      <c r="B37" s="98"/>
      <c r="C37" s="98"/>
      <c r="D37" s="98"/>
      <c r="E37" s="180"/>
      <c r="F37" s="98"/>
      <c r="G37" s="98"/>
      <c r="H37" s="98"/>
      <c r="I37" s="98"/>
      <c r="J37" s="98"/>
      <c r="K37" s="183"/>
      <c r="L37" s="184"/>
      <c r="M37" s="120"/>
      <c r="N37" s="120"/>
      <c r="O37" s="120"/>
      <c r="P37" s="120"/>
      <c r="Q37" s="95" t="str">
        <f>IFERROR(IF(YES_Writing_FLA[[#This Row],[Literacy IPP]]='Writing Logic'!$E$26,"IPP",IF(OR(M37="EAL",N37="EAL",O37="EAL",P37="EAL"),"EAL",IF(M37='Writing Logic'!$A$10,AVERAGE(VLOOKUP(N37,'Writing Logic'!$A$3:$B$7,2,FALSE),VLOOKUP(O37,'Writing Logic'!$A$3:$B$7,2,FALSE),VLOOKUP(P37,'Writing Logic'!$A$3:$B$7,2,FALSE)),AVERAGE(VLOOKUP(M37,'Writing Logic'!$A$3:$B$7,2,FALSE),VLOOKUP(N37,'Writing Logic'!$A$3:$B$7,2,FALSE),VLOOKUP(O37,'Writing Logic'!$A$3:$B$7,2,FALSE),VLOOKUP(P37,'Writing Logic'!$A$3:$B$7,2,FALSE))))),"Fill All 4")</f>
        <v>Fill All 4</v>
      </c>
      <c r="R37" s="120"/>
      <c r="S37" s="120"/>
      <c r="T37" s="120"/>
      <c r="U37" s="120"/>
      <c r="V37" s="95" t="str">
        <f>IFERROR(IF(YES_Writing_FLA[[#This Row],[Literacy IPP]]='Writing Logic'!$E$26,"IPP",IF(OR(R37="EAL",S37="EAL",T37="EAL",U37="EAL"),"EAL",IF(R37='Writing Logic'!$A$10,AVERAGE(VLOOKUP(S37,'Writing Logic'!$A$3:$B$7,2,FALSE),VLOOKUP(T37,'Writing Logic'!$A$3:$B$7,2,FALSE),VLOOKUP(U37,'Writing Logic'!$A$3:$B$7,2,FALSE)),AVERAGE(VLOOKUP(R37,'Writing Logic'!$A$3:$B$7,2,FALSE),VLOOKUP(S37,'Writing Logic'!$A$3:$B$7,2,FALSE),VLOOKUP(T37,'Writing Logic'!$A$3:$B$7,2,FALSE),VLOOKUP(U37,'Writing Logic'!$A$3:$B$7,2,FALSE))))),"Fill All 4")</f>
        <v>Fill All 4</v>
      </c>
      <c r="W37" s="95" t="str">
        <f t="shared" si="0"/>
        <v/>
      </c>
      <c r="X37" s="120"/>
      <c r="Y37" s="120"/>
      <c r="Z37" s="120"/>
      <c r="AA37" s="120"/>
      <c r="AB37" s="95" t="str">
        <f>IFERROR(IF(YES_Writing_FLA[[#This Row],[Literacy IPP]]='Writing Logic'!$E$26,"IPP",IF(OR(X37="EAL",Y37="EAL",Z37="EAL",AA37="EAL"),"EAL",IF(X37='Writing Logic'!$A$10,AVERAGE(VLOOKUP(Y37,'Writing Logic'!$A$3:$B$7,2,FALSE),VLOOKUP(Z37,'Writing Logic'!$A$3:$B$7,2,FALSE),VLOOKUP(AA37,'Writing Logic'!$A$3:$B$7,2,FALSE)),AVERAGE(VLOOKUP(X37,'Writing Logic'!$A$3:$B$7,2,FALSE),VLOOKUP(Y37,'Writing Logic'!$A$3:$B$7,2,FALSE),VLOOKUP(Z37,'Writing Logic'!$A$3:$B$7,2,FALSE),VLOOKUP(AA37,'Writing Logic'!$A$3:$B$7,2,FALSE))))),"Fill All 4")</f>
        <v>Fill All 4</v>
      </c>
      <c r="AC37" s="95" t="str">
        <f t="shared" si="1"/>
        <v/>
      </c>
      <c r="AD37" s="120"/>
      <c r="AE37" s="120"/>
      <c r="AF37" s="120"/>
      <c r="AG37" s="120"/>
      <c r="AH37" s="95" t="str">
        <f>IFERROR(IF(YES_Writing_FLA[[#This Row],[Literacy IPP]]='Writing Logic'!$E$26,"IPP",IF(OR(AD37="EAL",AE37="EAL",AF37="EAL",AG37="EAL"),"EAL",IF(AD37='Writing Logic'!$A$10,AVERAGE(VLOOKUP(AE37,'Writing Logic'!$A$3:$B$7,2,FALSE),VLOOKUP(AF37,'Writing Logic'!$A$3:$B$7,2,FALSE),VLOOKUP(AG37,'Writing Logic'!$A$3:$B$7,2,FALSE)),AVERAGE(VLOOKUP(AD37,'Writing Logic'!$A$3:$B$7,2,FALSE),VLOOKUP(AE37,'Writing Logic'!$A$3:$B$7,2,FALSE),VLOOKUP(AF37,'Writing Logic'!$A$3:$B$7,2,FALSE),VLOOKUP(AG37,'Writing Logic'!$A$3:$B$7,2,FALSE))))),"Fill All 4")</f>
        <v>Fill All 4</v>
      </c>
      <c r="AI37" s="95" t="str">
        <f t="shared" si="2"/>
        <v/>
      </c>
      <c r="AJ37" s="183"/>
      <c r="AK37" s="120"/>
      <c r="AL37" s="120"/>
      <c r="AM37" s="120"/>
      <c r="AN37" s="95" t="str">
        <f>IFERROR(IF(YES_Writing_FLA[[#This Row],[Literacy IPP]]='Writing Logic'!$E$26,"IPP",IF(OR(AJ37="EAL",AK37="EAL",AL37="EAL",AM37="EAL"),"EAL",IF(AJ37='Writing Logic'!$A$10,AVERAGE(VLOOKUP(AK37,'Writing Logic'!$A$3:$B$7,2,FALSE),VLOOKUP(AL37,'Writing Logic'!$A$3:$B$7,2,FALSE),VLOOKUP(AM37,'Writing Logic'!$A$3:$B$7,2,FALSE)),AVERAGE(VLOOKUP(AJ37,'Writing Logic'!$A$3:$B$7,2,FALSE),VLOOKUP(AK37,'Writing Logic'!$A$3:$B$7,2,FALSE),VLOOKUP(AL37,'Writing Logic'!$A$3:$B$7,2,FALSE),VLOOKUP(AM37,'Writing Logic'!$A$3:$B$7,2,FALSE))))),"Fill All 4")</f>
        <v>Fill All 4</v>
      </c>
      <c r="AO37" s="95" t="str">
        <f t="shared" si="3"/>
        <v/>
      </c>
      <c r="AP37" s="120"/>
      <c r="AQ37" s="120"/>
      <c r="AR37" s="120"/>
      <c r="AS37" s="120"/>
      <c r="AT37" s="95" t="str">
        <f>IFERROR(IF(YES_Writing_FLA[[#This Row],[Literacy IPP]]='Writing Logic'!$E$26,"IPP",IF(OR(AP37="EAL",AQ37="EAL",AR37="EAL",AS37="EAL"),"EAL",IF(AP37='Writing Logic'!$A$10,AVERAGE(VLOOKUP(AQ37,'Writing Logic'!$A$3:$B$7,2,FALSE),VLOOKUP(AR37,'Writing Logic'!$A$3:$B$7,2,FALSE),VLOOKUP(AS37,'Writing Logic'!$A$3:$B$7,2,FALSE)),AVERAGE(VLOOKUP(AP37,'Writing Logic'!$A$3:$B$7,2,FALSE),VLOOKUP(AQ37,'Writing Logic'!$A$3:$B$7,2,FALSE),VLOOKUP(AR37,'Writing Logic'!$A$3:$B$7,2,FALSE),VLOOKUP(AS37,'Writing Logic'!$A$3:$B$7,2,FALSE))))),"Fill All 4")</f>
        <v>Fill All 4</v>
      </c>
      <c r="AU37" s="95" t="str">
        <f t="shared" si="4"/>
        <v/>
      </c>
    </row>
    <row r="38" spans="1:47" ht="22.5" customHeight="1" x14ac:dyDescent="0.25">
      <c r="A38" s="96"/>
      <c r="B38" s="98"/>
      <c r="C38" s="98"/>
      <c r="D38" s="98"/>
      <c r="E38" s="180"/>
      <c r="F38" s="98"/>
      <c r="G38" s="98"/>
      <c r="H38" s="98"/>
      <c r="I38" s="98"/>
      <c r="J38" s="98"/>
      <c r="K38" s="183"/>
      <c r="L38" s="184"/>
      <c r="M38" s="120"/>
      <c r="N38" s="120"/>
      <c r="O38" s="120"/>
      <c r="P38" s="120"/>
      <c r="Q38" s="95" t="str">
        <f>IFERROR(IF(YES_Writing_FLA[[#This Row],[Literacy IPP]]='Writing Logic'!$E$26,"IPP",IF(OR(M38="EAL",N38="EAL",O38="EAL",P38="EAL"),"EAL",IF(M38='Writing Logic'!$A$10,AVERAGE(VLOOKUP(N38,'Writing Logic'!$A$3:$B$7,2,FALSE),VLOOKUP(O38,'Writing Logic'!$A$3:$B$7,2,FALSE),VLOOKUP(P38,'Writing Logic'!$A$3:$B$7,2,FALSE)),AVERAGE(VLOOKUP(M38,'Writing Logic'!$A$3:$B$7,2,FALSE),VLOOKUP(N38,'Writing Logic'!$A$3:$B$7,2,FALSE),VLOOKUP(O38,'Writing Logic'!$A$3:$B$7,2,FALSE),VLOOKUP(P38,'Writing Logic'!$A$3:$B$7,2,FALSE))))),"Fill All 4")</f>
        <v>Fill All 4</v>
      </c>
      <c r="R38" s="120"/>
      <c r="S38" s="120"/>
      <c r="T38" s="120"/>
      <c r="U38" s="120"/>
      <c r="V38" s="95" t="str">
        <f>IFERROR(IF(YES_Writing_FLA[[#This Row],[Literacy IPP]]='Writing Logic'!$E$26,"IPP",IF(OR(R38="EAL",S38="EAL",T38="EAL",U38="EAL"),"EAL",IF(R38='Writing Logic'!$A$10,AVERAGE(VLOOKUP(S38,'Writing Logic'!$A$3:$B$7,2,FALSE),VLOOKUP(T38,'Writing Logic'!$A$3:$B$7,2,FALSE),VLOOKUP(U38,'Writing Logic'!$A$3:$B$7,2,FALSE)),AVERAGE(VLOOKUP(R38,'Writing Logic'!$A$3:$B$7,2,FALSE),VLOOKUP(S38,'Writing Logic'!$A$3:$B$7,2,FALSE),VLOOKUP(T38,'Writing Logic'!$A$3:$B$7,2,FALSE),VLOOKUP(U38,'Writing Logic'!$A$3:$B$7,2,FALSE))))),"Fill All 4")</f>
        <v>Fill All 4</v>
      </c>
      <c r="W38" s="95" t="str">
        <f t="shared" si="0"/>
        <v/>
      </c>
      <c r="X38" s="120"/>
      <c r="Y38" s="120"/>
      <c r="Z38" s="120"/>
      <c r="AA38" s="120"/>
      <c r="AB38" s="95" t="str">
        <f>IFERROR(IF(YES_Writing_FLA[[#This Row],[Literacy IPP]]='Writing Logic'!$E$26,"IPP",IF(OR(X38="EAL",Y38="EAL",Z38="EAL",AA38="EAL"),"EAL",IF(X38='Writing Logic'!$A$10,AVERAGE(VLOOKUP(Y38,'Writing Logic'!$A$3:$B$7,2,FALSE),VLOOKUP(Z38,'Writing Logic'!$A$3:$B$7,2,FALSE),VLOOKUP(AA38,'Writing Logic'!$A$3:$B$7,2,FALSE)),AVERAGE(VLOOKUP(X38,'Writing Logic'!$A$3:$B$7,2,FALSE),VLOOKUP(Y38,'Writing Logic'!$A$3:$B$7,2,FALSE),VLOOKUP(Z38,'Writing Logic'!$A$3:$B$7,2,FALSE),VLOOKUP(AA38,'Writing Logic'!$A$3:$B$7,2,FALSE))))),"Fill All 4")</f>
        <v>Fill All 4</v>
      </c>
      <c r="AC38" s="95" t="str">
        <f t="shared" si="1"/>
        <v/>
      </c>
      <c r="AD38" s="120"/>
      <c r="AE38" s="120"/>
      <c r="AF38" s="120"/>
      <c r="AG38" s="120"/>
      <c r="AH38" s="95" t="str">
        <f>IFERROR(IF(YES_Writing_FLA[[#This Row],[Literacy IPP]]='Writing Logic'!$E$26,"IPP",IF(OR(AD38="EAL",AE38="EAL",AF38="EAL",AG38="EAL"),"EAL",IF(AD38='Writing Logic'!$A$10,AVERAGE(VLOOKUP(AE38,'Writing Logic'!$A$3:$B$7,2,FALSE),VLOOKUP(AF38,'Writing Logic'!$A$3:$B$7,2,FALSE),VLOOKUP(AG38,'Writing Logic'!$A$3:$B$7,2,FALSE)),AVERAGE(VLOOKUP(AD38,'Writing Logic'!$A$3:$B$7,2,FALSE),VLOOKUP(AE38,'Writing Logic'!$A$3:$B$7,2,FALSE),VLOOKUP(AF38,'Writing Logic'!$A$3:$B$7,2,FALSE),VLOOKUP(AG38,'Writing Logic'!$A$3:$B$7,2,FALSE))))),"Fill All 4")</f>
        <v>Fill All 4</v>
      </c>
      <c r="AI38" s="95" t="str">
        <f t="shared" si="2"/>
        <v/>
      </c>
      <c r="AJ38" s="183"/>
      <c r="AK38" s="120"/>
      <c r="AL38" s="120"/>
      <c r="AM38" s="120"/>
      <c r="AN38" s="95" t="str">
        <f>IFERROR(IF(YES_Writing_FLA[[#This Row],[Literacy IPP]]='Writing Logic'!$E$26,"IPP",IF(OR(AJ38="EAL",AK38="EAL",AL38="EAL",AM38="EAL"),"EAL",IF(AJ38='Writing Logic'!$A$10,AVERAGE(VLOOKUP(AK38,'Writing Logic'!$A$3:$B$7,2,FALSE),VLOOKUP(AL38,'Writing Logic'!$A$3:$B$7,2,FALSE),VLOOKUP(AM38,'Writing Logic'!$A$3:$B$7,2,FALSE)),AVERAGE(VLOOKUP(AJ38,'Writing Logic'!$A$3:$B$7,2,FALSE),VLOOKUP(AK38,'Writing Logic'!$A$3:$B$7,2,FALSE),VLOOKUP(AL38,'Writing Logic'!$A$3:$B$7,2,FALSE),VLOOKUP(AM38,'Writing Logic'!$A$3:$B$7,2,FALSE))))),"Fill All 4")</f>
        <v>Fill All 4</v>
      </c>
      <c r="AO38" s="95" t="str">
        <f t="shared" si="3"/>
        <v/>
      </c>
      <c r="AP38" s="120"/>
      <c r="AQ38" s="120"/>
      <c r="AR38" s="120"/>
      <c r="AS38" s="120"/>
      <c r="AT38" s="95" t="str">
        <f>IFERROR(IF(YES_Writing_FLA[[#This Row],[Literacy IPP]]='Writing Logic'!$E$26,"IPP",IF(OR(AP38="EAL",AQ38="EAL",AR38="EAL",AS38="EAL"),"EAL",IF(AP38='Writing Logic'!$A$10,AVERAGE(VLOOKUP(AQ38,'Writing Logic'!$A$3:$B$7,2,FALSE),VLOOKUP(AR38,'Writing Logic'!$A$3:$B$7,2,FALSE),VLOOKUP(AS38,'Writing Logic'!$A$3:$B$7,2,FALSE)),AVERAGE(VLOOKUP(AP38,'Writing Logic'!$A$3:$B$7,2,FALSE),VLOOKUP(AQ38,'Writing Logic'!$A$3:$B$7,2,FALSE),VLOOKUP(AR38,'Writing Logic'!$A$3:$B$7,2,FALSE),VLOOKUP(AS38,'Writing Logic'!$A$3:$B$7,2,FALSE))))),"Fill All 4")</f>
        <v>Fill All 4</v>
      </c>
      <c r="AU38" s="95" t="str">
        <f t="shared" si="4"/>
        <v/>
      </c>
    </row>
    <row r="39" spans="1:47" ht="22.5" customHeight="1" x14ac:dyDescent="0.25">
      <c r="A39" s="96"/>
      <c r="B39" s="98"/>
      <c r="C39" s="98"/>
      <c r="D39" s="98"/>
      <c r="E39" s="180"/>
      <c r="F39" s="98"/>
      <c r="G39" s="98"/>
      <c r="H39" s="98"/>
      <c r="I39" s="98"/>
      <c r="J39" s="98"/>
      <c r="K39" s="183"/>
      <c r="L39" s="184"/>
      <c r="M39" s="120"/>
      <c r="N39" s="120"/>
      <c r="O39" s="120"/>
      <c r="P39" s="120"/>
      <c r="Q39" s="95" t="str">
        <f>IFERROR(IF(YES_Writing_FLA[[#This Row],[Literacy IPP]]='Writing Logic'!$E$26,"IPP",IF(OR(M39="EAL",N39="EAL",O39="EAL",P39="EAL"),"EAL",IF(M39='Writing Logic'!$A$10,AVERAGE(VLOOKUP(N39,'Writing Logic'!$A$3:$B$7,2,FALSE),VLOOKUP(O39,'Writing Logic'!$A$3:$B$7,2,FALSE),VLOOKUP(P39,'Writing Logic'!$A$3:$B$7,2,FALSE)),AVERAGE(VLOOKUP(M39,'Writing Logic'!$A$3:$B$7,2,FALSE),VLOOKUP(N39,'Writing Logic'!$A$3:$B$7,2,FALSE),VLOOKUP(O39,'Writing Logic'!$A$3:$B$7,2,FALSE),VLOOKUP(P39,'Writing Logic'!$A$3:$B$7,2,FALSE))))),"Fill All 4")</f>
        <v>Fill All 4</v>
      </c>
      <c r="R39" s="120"/>
      <c r="S39" s="120"/>
      <c r="T39" s="120"/>
      <c r="U39" s="120"/>
      <c r="V39" s="95" t="str">
        <f>IFERROR(IF(YES_Writing_FLA[[#This Row],[Literacy IPP]]='Writing Logic'!$E$26,"IPP",IF(OR(R39="EAL",S39="EAL",T39="EAL",U39="EAL"),"EAL",IF(R39='Writing Logic'!$A$10,AVERAGE(VLOOKUP(S39,'Writing Logic'!$A$3:$B$7,2,FALSE),VLOOKUP(T39,'Writing Logic'!$A$3:$B$7,2,FALSE),VLOOKUP(U39,'Writing Logic'!$A$3:$B$7,2,FALSE)),AVERAGE(VLOOKUP(R39,'Writing Logic'!$A$3:$B$7,2,FALSE),VLOOKUP(S39,'Writing Logic'!$A$3:$B$7,2,FALSE),VLOOKUP(T39,'Writing Logic'!$A$3:$B$7,2,FALSE),VLOOKUP(U39,'Writing Logic'!$A$3:$B$7,2,FALSE))))),"Fill All 4")</f>
        <v>Fill All 4</v>
      </c>
      <c r="W39" s="95" t="str">
        <f t="shared" si="0"/>
        <v/>
      </c>
      <c r="X39" s="120"/>
      <c r="Y39" s="120"/>
      <c r="Z39" s="120"/>
      <c r="AA39" s="120"/>
      <c r="AB39" s="95" t="str">
        <f>IFERROR(IF(YES_Writing_FLA[[#This Row],[Literacy IPP]]='Writing Logic'!$E$26,"IPP",IF(OR(X39="EAL",Y39="EAL",Z39="EAL",AA39="EAL"),"EAL",IF(X39='Writing Logic'!$A$10,AVERAGE(VLOOKUP(Y39,'Writing Logic'!$A$3:$B$7,2,FALSE),VLOOKUP(Z39,'Writing Logic'!$A$3:$B$7,2,FALSE),VLOOKUP(AA39,'Writing Logic'!$A$3:$B$7,2,FALSE)),AVERAGE(VLOOKUP(X39,'Writing Logic'!$A$3:$B$7,2,FALSE),VLOOKUP(Y39,'Writing Logic'!$A$3:$B$7,2,FALSE),VLOOKUP(Z39,'Writing Logic'!$A$3:$B$7,2,FALSE),VLOOKUP(AA39,'Writing Logic'!$A$3:$B$7,2,FALSE))))),"Fill All 4")</f>
        <v>Fill All 4</v>
      </c>
      <c r="AC39" s="95" t="str">
        <f t="shared" si="1"/>
        <v/>
      </c>
      <c r="AD39" s="120"/>
      <c r="AE39" s="120"/>
      <c r="AF39" s="120"/>
      <c r="AG39" s="120"/>
      <c r="AH39" s="95" t="str">
        <f>IFERROR(IF(YES_Writing_FLA[[#This Row],[Literacy IPP]]='Writing Logic'!$E$26,"IPP",IF(OR(AD39="EAL",AE39="EAL",AF39="EAL",AG39="EAL"),"EAL",IF(AD39='Writing Logic'!$A$10,AVERAGE(VLOOKUP(AE39,'Writing Logic'!$A$3:$B$7,2,FALSE),VLOOKUP(AF39,'Writing Logic'!$A$3:$B$7,2,FALSE),VLOOKUP(AG39,'Writing Logic'!$A$3:$B$7,2,FALSE)),AVERAGE(VLOOKUP(AD39,'Writing Logic'!$A$3:$B$7,2,FALSE),VLOOKUP(AE39,'Writing Logic'!$A$3:$B$7,2,FALSE),VLOOKUP(AF39,'Writing Logic'!$A$3:$B$7,2,FALSE),VLOOKUP(AG39,'Writing Logic'!$A$3:$B$7,2,FALSE))))),"Fill All 4")</f>
        <v>Fill All 4</v>
      </c>
      <c r="AI39" s="95" t="str">
        <f t="shared" si="2"/>
        <v/>
      </c>
      <c r="AJ39" s="183"/>
      <c r="AK39" s="120"/>
      <c r="AL39" s="120"/>
      <c r="AM39" s="120"/>
      <c r="AN39" s="95" t="str">
        <f>IFERROR(IF(YES_Writing_FLA[[#This Row],[Literacy IPP]]='Writing Logic'!$E$26,"IPP",IF(OR(AJ39="EAL",AK39="EAL",AL39="EAL",AM39="EAL"),"EAL",IF(AJ39='Writing Logic'!$A$10,AVERAGE(VLOOKUP(AK39,'Writing Logic'!$A$3:$B$7,2,FALSE),VLOOKUP(AL39,'Writing Logic'!$A$3:$B$7,2,FALSE),VLOOKUP(AM39,'Writing Logic'!$A$3:$B$7,2,FALSE)),AVERAGE(VLOOKUP(AJ39,'Writing Logic'!$A$3:$B$7,2,FALSE),VLOOKUP(AK39,'Writing Logic'!$A$3:$B$7,2,FALSE),VLOOKUP(AL39,'Writing Logic'!$A$3:$B$7,2,FALSE),VLOOKUP(AM39,'Writing Logic'!$A$3:$B$7,2,FALSE))))),"Fill All 4")</f>
        <v>Fill All 4</v>
      </c>
      <c r="AO39" s="95" t="str">
        <f t="shared" si="3"/>
        <v/>
      </c>
      <c r="AP39" s="120"/>
      <c r="AQ39" s="120"/>
      <c r="AR39" s="120"/>
      <c r="AS39" s="120"/>
      <c r="AT39" s="95" t="str">
        <f>IFERROR(IF(YES_Writing_FLA[[#This Row],[Literacy IPP]]='Writing Logic'!$E$26,"IPP",IF(OR(AP39="EAL",AQ39="EAL",AR39="EAL",AS39="EAL"),"EAL",IF(AP39='Writing Logic'!$A$10,AVERAGE(VLOOKUP(AQ39,'Writing Logic'!$A$3:$B$7,2,FALSE),VLOOKUP(AR39,'Writing Logic'!$A$3:$B$7,2,FALSE),VLOOKUP(AS39,'Writing Logic'!$A$3:$B$7,2,FALSE)),AVERAGE(VLOOKUP(AP39,'Writing Logic'!$A$3:$B$7,2,FALSE),VLOOKUP(AQ39,'Writing Logic'!$A$3:$B$7,2,FALSE),VLOOKUP(AR39,'Writing Logic'!$A$3:$B$7,2,FALSE),VLOOKUP(AS39,'Writing Logic'!$A$3:$B$7,2,FALSE))))),"Fill All 4")</f>
        <v>Fill All 4</v>
      </c>
      <c r="AU39" s="95" t="str">
        <f t="shared" si="4"/>
        <v/>
      </c>
    </row>
    <row r="40" spans="1:47" ht="22.5" customHeight="1" x14ac:dyDescent="0.25">
      <c r="A40" s="96"/>
      <c r="B40" s="98"/>
      <c r="C40" s="98"/>
      <c r="D40" s="98"/>
      <c r="E40" s="180"/>
      <c r="F40" s="98"/>
      <c r="G40" s="98"/>
      <c r="H40" s="98"/>
      <c r="I40" s="98"/>
      <c r="J40" s="98"/>
      <c r="K40" s="183"/>
      <c r="L40" s="184"/>
      <c r="M40" s="120"/>
      <c r="N40" s="120"/>
      <c r="O40" s="120"/>
      <c r="P40" s="120"/>
      <c r="Q40" s="95" t="str">
        <f>IFERROR(IF(YES_Writing_FLA[[#This Row],[Literacy IPP]]='Writing Logic'!$E$26,"IPP",IF(OR(M40="EAL",N40="EAL",O40="EAL",P40="EAL"),"EAL",IF(M40='Writing Logic'!$A$10,AVERAGE(VLOOKUP(N40,'Writing Logic'!$A$3:$B$7,2,FALSE),VLOOKUP(O40,'Writing Logic'!$A$3:$B$7,2,FALSE),VLOOKUP(P40,'Writing Logic'!$A$3:$B$7,2,FALSE)),AVERAGE(VLOOKUP(M40,'Writing Logic'!$A$3:$B$7,2,FALSE),VLOOKUP(N40,'Writing Logic'!$A$3:$B$7,2,FALSE),VLOOKUP(O40,'Writing Logic'!$A$3:$B$7,2,FALSE),VLOOKUP(P40,'Writing Logic'!$A$3:$B$7,2,FALSE))))),"Fill All 4")</f>
        <v>Fill All 4</v>
      </c>
      <c r="R40" s="120"/>
      <c r="S40" s="120"/>
      <c r="T40" s="120"/>
      <c r="U40" s="120"/>
      <c r="V40" s="95" t="str">
        <f>IFERROR(IF(YES_Writing_FLA[[#This Row],[Literacy IPP]]='Writing Logic'!$E$26,"IPP",IF(OR(R40="EAL",S40="EAL",T40="EAL",U40="EAL"),"EAL",IF(R40='Writing Logic'!$A$10,AVERAGE(VLOOKUP(S40,'Writing Logic'!$A$3:$B$7,2,FALSE),VLOOKUP(T40,'Writing Logic'!$A$3:$B$7,2,FALSE),VLOOKUP(U40,'Writing Logic'!$A$3:$B$7,2,FALSE)),AVERAGE(VLOOKUP(R40,'Writing Logic'!$A$3:$B$7,2,FALSE),VLOOKUP(S40,'Writing Logic'!$A$3:$B$7,2,FALSE),VLOOKUP(T40,'Writing Logic'!$A$3:$B$7,2,FALSE),VLOOKUP(U40,'Writing Logic'!$A$3:$B$7,2,FALSE))))),"Fill All 4")</f>
        <v>Fill All 4</v>
      </c>
      <c r="W40" s="95" t="str">
        <f t="shared" si="0"/>
        <v/>
      </c>
      <c r="X40" s="120"/>
      <c r="Y40" s="120"/>
      <c r="Z40" s="120"/>
      <c r="AA40" s="120"/>
      <c r="AB40" s="95" t="str">
        <f>IFERROR(IF(YES_Writing_FLA[[#This Row],[Literacy IPP]]='Writing Logic'!$E$26,"IPP",IF(OR(X40="EAL",Y40="EAL",Z40="EAL",AA40="EAL"),"EAL",IF(X40='Writing Logic'!$A$10,AVERAGE(VLOOKUP(Y40,'Writing Logic'!$A$3:$B$7,2,FALSE),VLOOKUP(Z40,'Writing Logic'!$A$3:$B$7,2,FALSE),VLOOKUP(AA40,'Writing Logic'!$A$3:$B$7,2,FALSE)),AVERAGE(VLOOKUP(X40,'Writing Logic'!$A$3:$B$7,2,FALSE),VLOOKUP(Y40,'Writing Logic'!$A$3:$B$7,2,FALSE),VLOOKUP(Z40,'Writing Logic'!$A$3:$B$7,2,FALSE),VLOOKUP(AA40,'Writing Logic'!$A$3:$B$7,2,FALSE))))),"Fill All 4")</f>
        <v>Fill All 4</v>
      </c>
      <c r="AC40" s="95" t="str">
        <f t="shared" si="1"/>
        <v/>
      </c>
      <c r="AD40" s="120"/>
      <c r="AE40" s="120"/>
      <c r="AF40" s="120"/>
      <c r="AG40" s="120"/>
      <c r="AH40" s="95" t="str">
        <f>IFERROR(IF(YES_Writing_FLA[[#This Row],[Literacy IPP]]='Writing Logic'!$E$26,"IPP",IF(OR(AD40="EAL",AE40="EAL",AF40="EAL",AG40="EAL"),"EAL",IF(AD40='Writing Logic'!$A$10,AVERAGE(VLOOKUP(AE40,'Writing Logic'!$A$3:$B$7,2,FALSE),VLOOKUP(AF40,'Writing Logic'!$A$3:$B$7,2,FALSE),VLOOKUP(AG40,'Writing Logic'!$A$3:$B$7,2,FALSE)),AVERAGE(VLOOKUP(AD40,'Writing Logic'!$A$3:$B$7,2,FALSE),VLOOKUP(AE40,'Writing Logic'!$A$3:$B$7,2,FALSE),VLOOKUP(AF40,'Writing Logic'!$A$3:$B$7,2,FALSE),VLOOKUP(AG40,'Writing Logic'!$A$3:$B$7,2,FALSE))))),"Fill All 4")</f>
        <v>Fill All 4</v>
      </c>
      <c r="AI40" s="95" t="str">
        <f t="shared" si="2"/>
        <v/>
      </c>
      <c r="AJ40" s="183"/>
      <c r="AK40" s="120"/>
      <c r="AL40" s="120"/>
      <c r="AM40" s="120"/>
      <c r="AN40" s="95" t="str">
        <f>IFERROR(IF(YES_Writing_FLA[[#This Row],[Literacy IPP]]='Writing Logic'!$E$26,"IPP",IF(OR(AJ40="EAL",AK40="EAL",AL40="EAL",AM40="EAL"),"EAL",IF(AJ40='Writing Logic'!$A$10,AVERAGE(VLOOKUP(AK40,'Writing Logic'!$A$3:$B$7,2,FALSE),VLOOKUP(AL40,'Writing Logic'!$A$3:$B$7,2,FALSE),VLOOKUP(AM40,'Writing Logic'!$A$3:$B$7,2,FALSE)),AVERAGE(VLOOKUP(AJ40,'Writing Logic'!$A$3:$B$7,2,FALSE),VLOOKUP(AK40,'Writing Logic'!$A$3:$B$7,2,FALSE),VLOOKUP(AL40,'Writing Logic'!$A$3:$B$7,2,FALSE),VLOOKUP(AM40,'Writing Logic'!$A$3:$B$7,2,FALSE))))),"Fill All 4")</f>
        <v>Fill All 4</v>
      </c>
      <c r="AO40" s="95" t="str">
        <f t="shared" si="3"/>
        <v/>
      </c>
      <c r="AP40" s="120"/>
      <c r="AQ40" s="120"/>
      <c r="AR40" s="120"/>
      <c r="AS40" s="120"/>
      <c r="AT40" s="95" t="str">
        <f>IFERROR(IF(YES_Writing_FLA[[#This Row],[Literacy IPP]]='Writing Logic'!$E$26,"IPP",IF(OR(AP40="EAL",AQ40="EAL",AR40="EAL",AS40="EAL"),"EAL",IF(AP40='Writing Logic'!$A$10,AVERAGE(VLOOKUP(AQ40,'Writing Logic'!$A$3:$B$7,2,FALSE),VLOOKUP(AR40,'Writing Logic'!$A$3:$B$7,2,FALSE),VLOOKUP(AS40,'Writing Logic'!$A$3:$B$7,2,FALSE)),AVERAGE(VLOOKUP(AP40,'Writing Logic'!$A$3:$B$7,2,FALSE),VLOOKUP(AQ40,'Writing Logic'!$A$3:$B$7,2,FALSE),VLOOKUP(AR40,'Writing Logic'!$A$3:$B$7,2,FALSE),VLOOKUP(AS40,'Writing Logic'!$A$3:$B$7,2,FALSE))))),"Fill All 4")</f>
        <v>Fill All 4</v>
      </c>
      <c r="AU40" s="95" t="str">
        <f t="shared" si="4"/>
        <v/>
      </c>
    </row>
    <row r="41" spans="1:47" ht="22.5" customHeight="1" x14ac:dyDescent="0.25">
      <c r="A41" s="96"/>
      <c r="B41" s="98"/>
      <c r="C41" s="98"/>
      <c r="D41" s="98"/>
      <c r="E41" s="180"/>
      <c r="F41" s="98"/>
      <c r="G41" s="98"/>
      <c r="H41" s="98"/>
      <c r="I41" s="98"/>
      <c r="J41" s="98"/>
      <c r="K41" s="183"/>
      <c r="L41" s="184"/>
      <c r="M41" s="120"/>
      <c r="N41" s="120"/>
      <c r="O41" s="120"/>
      <c r="P41" s="120"/>
      <c r="Q41" s="95" t="str">
        <f>IFERROR(IF(YES_Writing_FLA[[#This Row],[Literacy IPP]]='Writing Logic'!$E$26,"IPP",IF(OR(M41="EAL",N41="EAL",O41="EAL",P41="EAL"),"EAL",IF(M41='Writing Logic'!$A$10,AVERAGE(VLOOKUP(N41,'Writing Logic'!$A$3:$B$7,2,FALSE),VLOOKUP(O41,'Writing Logic'!$A$3:$B$7,2,FALSE),VLOOKUP(P41,'Writing Logic'!$A$3:$B$7,2,FALSE)),AVERAGE(VLOOKUP(M41,'Writing Logic'!$A$3:$B$7,2,FALSE),VLOOKUP(N41,'Writing Logic'!$A$3:$B$7,2,FALSE),VLOOKUP(O41,'Writing Logic'!$A$3:$B$7,2,FALSE),VLOOKUP(P41,'Writing Logic'!$A$3:$B$7,2,FALSE))))),"Fill All 4")</f>
        <v>Fill All 4</v>
      </c>
      <c r="R41" s="120"/>
      <c r="S41" s="120"/>
      <c r="T41" s="120"/>
      <c r="U41" s="120"/>
      <c r="V41" s="95" t="str">
        <f>IFERROR(IF(YES_Writing_FLA[[#This Row],[Literacy IPP]]='Writing Logic'!$E$26,"IPP",IF(OR(R41="EAL",S41="EAL",T41="EAL",U41="EAL"),"EAL",IF(R41='Writing Logic'!$A$10,AVERAGE(VLOOKUP(S41,'Writing Logic'!$A$3:$B$7,2,FALSE),VLOOKUP(T41,'Writing Logic'!$A$3:$B$7,2,FALSE),VLOOKUP(U41,'Writing Logic'!$A$3:$B$7,2,FALSE)),AVERAGE(VLOOKUP(R41,'Writing Logic'!$A$3:$B$7,2,FALSE),VLOOKUP(S41,'Writing Logic'!$A$3:$B$7,2,FALSE),VLOOKUP(T41,'Writing Logic'!$A$3:$B$7,2,FALSE),VLOOKUP(U41,'Writing Logic'!$A$3:$B$7,2,FALSE))))),"Fill All 4")</f>
        <v>Fill All 4</v>
      </c>
      <c r="W41" s="95" t="str">
        <f t="shared" si="0"/>
        <v/>
      </c>
      <c r="X41" s="120"/>
      <c r="Y41" s="120"/>
      <c r="Z41" s="120"/>
      <c r="AA41" s="120"/>
      <c r="AB41" s="95" t="str">
        <f>IFERROR(IF(YES_Writing_FLA[[#This Row],[Literacy IPP]]='Writing Logic'!$E$26,"IPP",IF(OR(X41="EAL",Y41="EAL",Z41="EAL",AA41="EAL"),"EAL",IF(X41='Writing Logic'!$A$10,AVERAGE(VLOOKUP(Y41,'Writing Logic'!$A$3:$B$7,2,FALSE),VLOOKUP(Z41,'Writing Logic'!$A$3:$B$7,2,FALSE),VLOOKUP(AA41,'Writing Logic'!$A$3:$B$7,2,FALSE)),AVERAGE(VLOOKUP(X41,'Writing Logic'!$A$3:$B$7,2,FALSE),VLOOKUP(Y41,'Writing Logic'!$A$3:$B$7,2,FALSE),VLOOKUP(Z41,'Writing Logic'!$A$3:$B$7,2,FALSE),VLOOKUP(AA41,'Writing Logic'!$A$3:$B$7,2,FALSE))))),"Fill All 4")</f>
        <v>Fill All 4</v>
      </c>
      <c r="AC41" s="95" t="str">
        <f t="shared" si="1"/>
        <v/>
      </c>
      <c r="AD41" s="120"/>
      <c r="AE41" s="120"/>
      <c r="AF41" s="120"/>
      <c r="AG41" s="120"/>
      <c r="AH41" s="95" t="str">
        <f>IFERROR(IF(YES_Writing_FLA[[#This Row],[Literacy IPP]]='Writing Logic'!$E$26,"IPP",IF(OR(AD41="EAL",AE41="EAL",AF41="EAL",AG41="EAL"),"EAL",IF(AD41='Writing Logic'!$A$10,AVERAGE(VLOOKUP(AE41,'Writing Logic'!$A$3:$B$7,2,FALSE),VLOOKUP(AF41,'Writing Logic'!$A$3:$B$7,2,FALSE),VLOOKUP(AG41,'Writing Logic'!$A$3:$B$7,2,FALSE)),AVERAGE(VLOOKUP(AD41,'Writing Logic'!$A$3:$B$7,2,FALSE),VLOOKUP(AE41,'Writing Logic'!$A$3:$B$7,2,FALSE),VLOOKUP(AF41,'Writing Logic'!$A$3:$B$7,2,FALSE),VLOOKUP(AG41,'Writing Logic'!$A$3:$B$7,2,FALSE))))),"Fill All 4")</f>
        <v>Fill All 4</v>
      </c>
      <c r="AI41" s="95" t="str">
        <f t="shared" si="2"/>
        <v/>
      </c>
      <c r="AJ41" s="183"/>
      <c r="AK41" s="120"/>
      <c r="AL41" s="120"/>
      <c r="AM41" s="120"/>
      <c r="AN41" s="95" t="str">
        <f>IFERROR(IF(YES_Writing_FLA[[#This Row],[Literacy IPP]]='Writing Logic'!$E$26,"IPP",IF(OR(AJ41="EAL",AK41="EAL",AL41="EAL",AM41="EAL"),"EAL",IF(AJ41='Writing Logic'!$A$10,AVERAGE(VLOOKUP(AK41,'Writing Logic'!$A$3:$B$7,2,FALSE),VLOOKUP(AL41,'Writing Logic'!$A$3:$B$7,2,FALSE),VLOOKUP(AM41,'Writing Logic'!$A$3:$B$7,2,FALSE)),AVERAGE(VLOOKUP(AJ41,'Writing Logic'!$A$3:$B$7,2,FALSE),VLOOKUP(AK41,'Writing Logic'!$A$3:$B$7,2,FALSE),VLOOKUP(AL41,'Writing Logic'!$A$3:$B$7,2,FALSE),VLOOKUP(AM41,'Writing Logic'!$A$3:$B$7,2,FALSE))))),"Fill All 4")</f>
        <v>Fill All 4</v>
      </c>
      <c r="AO41" s="95" t="str">
        <f t="shared" si="3"/>
        <v/>
      </c>
      <c r="AP41" s="120"/>
      <c r="AQ41" s="120"/>
      <c r="AR41" s="120"/>
      <c r="AS41" s="120"/>
      <c r="AT41" s="95" t="str">
        <f>IFERROR(IF(YES_Writing_FLA[[#This Row],[Literacy IPP]]='Writing Logic'!$E$26,"IPP",IF(OR(AP41="EAL",AQ41="EAL",AR41="EAL",AS41="EAL"),"EAL",IF(AP41='Writing Logic'!$A$10,AVERAGE(VLOOKUP(AQ41,'Writing Logic'!$A$3:$B$7,2,FALSE),VLOOKUP(AR41,'Writing Logic'!$A$3:$B$7,2,FALSE),VLOOKUP(AS41,'Writing Logic'!$A$3:$B$7,2,FALSE)),AVERAGE(VLOOKUP(AP41,'Writing Logic'!$A$3:$B$7,2,FALSE),VLOOKUP(AQ41,'Writing Logic'!$A$3:$B$7,2,FALSE),VLOOKUP(AR41,'Writing Logic'!$A$3:$B$7,2,FALSE),VLOOKUP(AS41,'Writing Logic'!$A$3:$B$7,2,FALSE))))),"Fill All 4")</f>
        <v>Fill All 4</v>
      </c>
      <c r="AU41" s="95" t="str">
        <f t="shared" si="4"/>
        <v/>
      </c>
    </row>
    <row r="42" spans="1:47" ht="22.5" customHeight="1" x14ac:dyDescent="0.25">
      <c r="A42" s="96"/>
      <c r="B42" s="98"/>
      <c r="C42" s="98"/>
      <c r="D42" s="98"/>
      <c r="E42" s="180"/>
      <c r="F42" s="98"/>
      <c r="G42" s="98"/>
      <c r="H42" s="98"/>
      <c r="I42" s="98"/>
      <c r="J42" s="98"/>
      <c r="K42" s="183"/>
      <c r="L42" s="184"/>
      <c r="M42" s="120"/>
      <c r="N42" s="120"/>
      <c r="O42" s="120"/>
      <c r="P42" s="120"/>
      <c r="Q42" s="95" t="str">
        <f>IFERROR(IF(YES_Writing_FLA[[#This Row],[Literacy IPP]]='Writing Logic'!$E$26,"IPP",IF(OR(M42="EAL",N42="EAL",O42="EAL",P42="EAL"),"EAL",IF(M42='Writing Logic'!$A$10,AVERAGE(VLOOKUP(N42,'Writing Logic'!$A$3:$B$7,2,FALSE),VLOOKUP(O42,'Writing Logic'!$A$3:$B$7,2,FALSE),VLOOKUP(P42,'Writing Logic'!$A$3:$B$7,2,FALSE)),AVERAGE(VLOOKUP(M42,'Writing Logic'!$A$3:$B$7,2,FALSE),VLOOKUP(N42,'Writing Logic'!$A$3:$B$7,2,FALSE),VLOOKUP(O42,'Writing Logic'!$A$3:$B$7,2,FALSE),VLOOKUP(P42,'Writing Logic'!$A$3:$B$7,2,FALSE))))),"Fill All 4")</f>
        <v>Fill All 4</v>
      </c>
      <c r="R42" s="120"/>
      <c r="S42" s="120"/>
      <c r="T42" s="120"/>
      <c r="U42" s="120"/>
      <c r="V42" s="95" t="str">
        <f>IFERROR(IF(YES_Writing_FLA[[#This Row],[Literacy IPP]]='Writing Logic'!$E$26,"IPP",IF(OR(R42="EAL",S42="EAL",T42="EAL",U42="EAL"),"EAL",IF(R42='Writing Logic'!$A$10,AVERAGE(VLOOKUP(S42,'Writing Logic'!$A$3:$B$7,2,FALSE),VLOOKUP(T42,'Writing Logic'!$A$3:$B$7,2,FALSE),VLOOKUP(U42,'Writing Logic'!$A$3:$B$7,2,FALSE)),AVERAGE(VLOOKUP(R42,'Writing Logic'!$A$3:$B$7,2,FALSE),VLOOKUP(S42,'Writing Logic'!$A$3:$B$7,2,FALSE),VLOOKUP(T42,'Writing Logic'!$A$3:$B$7,2,FALSE),VLOOKUP(U42,'Writing Logic'!$A$3:$B$7,2,FALSE))))),"Fill All 4")</f>
        <v>Fill All 4</v>
      </c>
      <c r="W42" s="95" t="str">
        <f t="shared" si="0"/>
        <v/>
      </c>
      <c r="X42" s="120"/>
      <c r="Y42" s="120"/>
      <c r="Z42" s="120"/>
      <c r="AA42" s="120"/>
      <c r="AB42" s="95" t="str">
        <f>IFERROR(IF(YES_Writing_FLA[[#This Row],[Literacy IPP]]='Writing Logic'!$E$26,"IPP",IF(OR(X42="EAL",Y42="EAL",Z42="EAL",AA42="EAL"),"EAL",IF(X42='Writing Logic'!$A$10,AVERAGE(VLOOKUP(Y42,'Writing Logic'!$A$3:$B$7,2,FALSE),VLOOKUP(Z42,'Writing Logic'!$A$3:$B$7,2,FALSE),VLOOKUP(AA42,'Writing Logic'!$A$3:$B$7,2,FALSE)),AVERAGE(VLOOKUP(X42,'Writing Logic'!$A$3:$B$7,2,FALSE),VLOOKUP(Y42,'Writing Logic'!$A$3:$B$7,2,FALSE),VLOOKUP(Z42,'Writing Logic'!$A$3:$B$7,2,FALSE),VLOOKUP(AA42,'Writing Logic'!$A$3:$B$7,2,FALSE))))),"Fill All 4")</f>
        <v>Fill All 4</v>
      </c>
      <c r="AC42" s="95" t="str">
        <f t="shared" si="1"/>
        <v/>
      </c>
      <c r="AD42" s="120"/>
      <c r="AE42" s="120"/>
      <c r="AF42" s="120"/>
      <c r="AG42" s="120"/>
      <c r="AH42" s="95" t="str">
        <f>IFERROR(IF(YES_Writing_FLA[[#This Row],[Literacy IPP]]='Writing Logic'!$E$26,"IPP",IF(OR(AD42="EAL",AE42="EAL",AF42="EAL",AG42="EAL"),"EAL",IF(AD42='Writing Logic'!$A$10,AVERAGE(VLOOKUP(AE42,'Writing Logic'!$A$3:$B$7,2,FALSE),VLOOKUP(AF42,'Writing Logic'!$A$3:$B$7,2,FALSE),VLOOKUP(AG42,'Writing Logic'!$A$3:$B$7,2,FALSE)),AVERAGE(VLOOKUP(AD42,'Writing Logic'!$A$3:$B$7,2,FALSE),VLOOKUP(AE42,'Writing Logic'!$A$3:$B$7,2,FALSE),VLOOKUP(AF42,'Writing Logic'!$A$3:$B$7,2,FALSE),VLOOKUP(AG42,'Writing Logic'!$A$3:$B$7,2,FALSE))))),"Fill All 4")</f>
        <v>Fill All 4</v>
      </c>
      <c r="AI42" s="95" t="str">
        <f t="shared" si="2"/>
        <v/>
      </c>
      <c r="AJ42" s="183"/>
      <c r="AK42" s="120"/>
      <c r="AL42" s="120"/>
      <c r="AM42" s="120"/>
      <c r="AN42" s="95" t="str">
        <f>IFERROR(IF(YES_Writing_FLA[[#This Row],[Literacy IPP]]='Writing Logic'!$E$26,"IPP",IF(OR(AJ42="EAL",AK42="EAL",AL42="EAL",AM42="EAL"),"EAL",IF(AJ42='Writing Logic'!$A$10,AVERAGE(VLOOKUP(AK42,'Writing Logic'!$A$3:$B$7,2,FALSE),VLOOKUP(AL42,'Writing Logic'!$A$3:$B$7,2,FALSE),VLOOKUP(AM42,'Writing Logic'!$A$3:$B$7,2,FALSE)),AVERAGE(VLOOKUP(AJ42,'Writing Logic'!$A$3:$B$7,2,FALSE),VLOOKUP(AK42,'Writing Logic'!$A$3:$B$7,2,FALSE),VLOOKUP(AL42,'Writing Logic'!$A$3:$B$7,2,FALSE),VLOOKUP(AM42,'Writing Logic'!$A$3:$B$7,2,FALSE))))),"Fill All 4")</f>
        <v>Fill All 4</v>
      </c>
      <c r="AO42" s="95" t="str">
        <f t="shared" si="3"/>
        <v/>
      </c>
      <c r="AP42" s="120"/>
      <c r="AQ42" s="120"/>
      <c r="AR42" s="120"/>
      <c r="AS42" s="120"/>
      <c r="AT42" s="95" t="str">
        <f>IFERROR(IF(YES_Writing_FLA[[#This Row],[Literacy IPP]]='Writing Logic'!$E$26,"IPP",IF(OR(AP42="EAL",AQ42="EAL",AR42="EAL",AS42="EAL"),"EAL",IF(AP42='Writing Logic'!$A$10,AVERAGE(VLOOKUP(AQ42,'Writing Logic'!$A$3:$B$7,2,FALSE),VLOOKUP(AR42,'Writing Logic'!$A$3:$B$7,2,FALSE),VLOOKUP(AS42,'Writing Logic'!$A$3:$B$7,2,FALSE)),AVERAGE(VLOOKUP(AP42,'Writing Logic'!$A$3:$B$7,2,FALSE),VLOOKUP(AQ42,'Writing Logic'!$A$3:$B$7,2,FALSE),VLOOKUP(AR42,'Writing Logic'!$A$3:$B$7,2,FALSE),VLOOKUP(AS42,'Writing Logic'!$A$3:$B$7,2,FALSE))))),"Fill All 4")</f>
        <v>Fill All 4</v>
      </c>
      <c r="AU42" s="95" t="str">
        <f t="shared" si="4"/>
        <v/>
      </c>
    </row>
  </sheetData>
  <mergeCells count="6">
    <mergeCell ref="AP1:AU1"/>
    <mergeCell ref="M1:Q1"/>
    <mergeCell ref="R1:W1"/>
    <mergeCell ref="X1:AC1"/>
    <mergeCell ref="AD1:AI1"/>
    <mergeCell ref="AJ1:AO1"/>
  </mergeCells>
  <conditionalFormatting sqref="M3:Q42">
    <cfRule type="cellIs" priority="32" stopIfTrue="1" operator="equal">
      <formula>""</formula>
    </cfRule>
  </conditionalFormatting>
  <conditionalFormatting sqref="M3:Q42">
    <cfRule type="cellIs" priority="31" stopIfTrue="1" operator="equal">
      <formula>"Fill All 4"</formula>
    </cfRule>
  </conditionalFormatting>
  <conditionalFormatting sqref="W3:W42 AC3:AC42 AO3:AO42 AI3:AI42 AU3:AU42">
    <cfRule type="cellIs" dxfId="275" priority="10" operator="equal">
      <formula>"INS"</formula>
    </cfRule>
    <cfRule type="cellIs" priority="11" stopIfTrue="1" operator="notBetween">
      <formula>1</formula>
      <formula>4</formula>
    </cfRule>
    <cfRule type="cellIs" priority="12" stopIfTrue="1" operator="equal">
      <formula>""</formula>
    </cfRule>
  </conditionalFormatting>
  <conditionalFormatting sqref="W3:W42">
    <cfRule type="cellIs" dxfId="274" priority="28" operator="equal">
      <formula>0</formula>
    </cfRule>
    <cfRule type="cellIs" dxfId="273" priority="29" operator="greaterThan">
      <formula>0</formula>
    </cfRule>
    <cfRule type="cellIs" dxfId="272" priority="30" operator="lessThan">
      <formula>0</formula>
    </cfRule>
  </conditionalFormatting>
  <conditionalFormatting sqref="AC3:AC42">
    <cfRule type="cellIs" dxfId="271" priority="25" operator="equal">
      <formula>0</formula>
    </cfRule>
    <cfRule type="cellIs" dxfId="270" priority="26" operator="greaterThan">
      <formula>0</formula>
    </cfRule>
    <cfRule type="cellIs" dxfId="269" priority="27" operator="lessThan">
      <formula>0</formula>
    </cfRule>
  </conditionalFormatting>
  <conditionalFormatting sqref="AI3:AI42">
    <cfRule type="cellIs" dxfId="268" priority="22" operator="equal">
      <formula>0</formula>
    </cfRule>
    <cfRule type="cellIs" dxfId="267" priority="23" operator="greaterThan">
      <formula>0</formula>
    </cfRule>
    <cfRule type="cellIs" dxfId="266" priority="24" operator="lessThan">
      <formula>0</formula>
    </cfRule>
  </conditionalFormatting>
  <conditionalFormatting sqref="AO3:AO42">
    <cfRule type="cellIs" dxfId="265" priority="19" operator="equal">
      <formula>0</formula>
    </cfRule>
    <cfRule type="cellIs" dxfId="264" priority="20" operator="greaterThan">
      <formula>0</formula>
    </cfRule>
    <cfRule type="cellIs" dxfId="263" priority="21" operator="lessThan">
      <formula>0</formula>
    </cfRule>
  </conditionalFormatting>
  <conditionalFormatting sqref="AU3:AU42">
    <cfRule type="cellIs" dxfId="262" priority="16" operator="equal">
      <formula>0</formula>
    </cfRule>
    <cfRule type="cellIs" dxfId="261" priority="17" operator="greaterThan">
      <formula>0</formula>
    </cfRule>
    <cfRule type="cellIs" dxfId="260" priority="18" operator="lessThan">
      <formula>0</formula>
    </cfRule>
  </conditionalFormatting>
  <conditionalFormatting sqref="W3:W42 AC3:AC42 AI3:AI42 AO3:AO42 AU3:AU42">
    <cfRule type="cellIs" priority="6" stopIfTrue="1" operator="equal">
      <formula>""</formula>
    </cfRule>
    <cfRule type="cellIs" dxfId="259" priority="7" operator="equal">
      <formula>0</formula>
    </cfRule>
    <cfRule type="cellIs" dxfId="258" priority="8" operator="lessThan">
      <formula>0</formula>
    </cfRule>
    <cfRule type="cellIs" dxfId="257" priority="9" operator="greaterThan">
      <formula>0</formula>
    </cfRule>
  </conditionalFormatting>
  <conditionalFormatting sqref="R3:V42 X3:AB42 AP3:AT42 AJ3:AN42 AD3:AH42">
    <cfRule type="cellIs" priority="2" stopIfTrue="1" operator="equal">
      <formula>""</formula>
    </cfRule>
  </conditionalFormatting>
  <conditionalFormatting sqref="R3:V42 X3:AB42 AP3:AT42 AJ3:AN42 AD3:AH42">
    <cfRule type="cellIs" priority="1" stopIfTrue="1" operator="equal">
      <formula>"Fill All 4"</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cellIs" priority="35" operator="greaterThan" id="{EF568D08-719E-4E37-8B00-B5CAAC43A77D}">
            <xm:f>'Writing Logic'!$F$3</xm:f>
            <x14:dxf>
              <font>
                <color rgb="FF006100"/>
              </font>
              <fill>
                <patternFill>
                  <bgColor rgb="FFC6EFCE"/>
                </patternFill>
              </fill>
            </x14:dxf>
          </x14:cfRule>
          <xm:sqref>M3:Q42</xm:sqref>
        </x14:conditionalFormatting>
        <x14:conditionalFormatting xmlns:xm="http://schemas.microsoft.com/office/excel/2006/main">
          <x14:cfRule type="cellIs" priority="34" operator="lessThan" id="{A5812475-EA16-4114-BB70-D22E3A302ADD}">
            <xm:f>'Writing Logic'!$F$4</xm:f>
            <x14:dxf>
              <font>
                <color rgb="FF9C0006"/>
              </font>
              <fill>
                <patternFill>
                  <bgColor rgb="FFFFC7CE"/>
                </patternFill>
              </fill>
            </x14:dxf>
          </x14:cfRule>
          <xm:sqref>M3:Q42</xm:sqref>
        </x14:conditionalFormatting>
        <x14:conditionalFormatting xmlns:xm="http://schemas.microsoft.com/office/excel/2006/main">
          <x14:cfRule type="cellIs" priority="33" operator="between" id="{CF32B299-EED3-4E59-8B73-0EE7CD381C34}">
            <xm:f>'Writing Logic'!$F$5</xm:f>
            <xm:f>'Writing Logic'!$G$5</xm:f>
            <x14:dxf>
              <font>
                <color rgb="FF9C5700"/>
              </font>
              <fill>
                <patternFill>
                  <bgColor rgb="FFFFEB9C"/>
                </patternFill>
              </fill>
            </x14:dxf>
          </x14:cfRule>
          <xm:sqref>M3:Q42</xm:sqref>
        </x14:conditionalFormatting>
        <x14:conditionalFormatting xmlns:xm="http://schemas.microsoft.com/office/excel/2006/main">
          <x14:cfRule type="cellIs" priority="5" operator="greaterThan" id="{C492FEF8-24F1-4ACB-A3CB-30B6F4A2E1FC}">
            <xm:f>'Writing Logic'!$F$3</xm:f>
            <x14:dxf>
              <font>
                <color rgb="FF006100"/>
              </font>
              <fill>
                <patternFill>
                  <bgColor rgb="FFC6EFCE"/>
                </patternFill>
              </fill>
            </x14:dxf>
          </x14:cfRule>
          <xm:sqref>R3:V42 X3:AB42 AP3:AT42 AJ3:AN42 AD3:AH42</xm:sqref>
        </x14:conditionalFormatting>
        <x14:conditionalFormatting xmlns:xm="http://schemas.microsoft.com/office/excel/2006/main">
          <x14:cfRule type="cellIs" priority="4" operator="lessThan" id="{E24DCA4C-D217-4B46-A7DE-07E78D9C3EAB}">
            <xm:f>'Writing Logic'!$F$4</xm:f>
            <x14:dxf>
              <font>
                <color rgb="FF9C0006"/>
              </font>
              <fill>
                <patternFill>
                  <bgColor rgb="FFFFC7CE"/>
                </patternFill>
              </fill>
            </x14:dxf>
          </x14:cfRule>
          <xm:sqref>R3:V42 X3:AB42 AP3:AT42 AJ3:AN42 AD3:AH42</xm:sqref>
        </x14:conditionalFormatting>
        <x14:conditionalFormatting xmlns:xm="http://schemas.microsoft.com/office/excel/2006/main">
          <x14:cfRule type="cellIs" priority="3" operator="between" id="{D299C488-B725-4B13-B82C-69ECBB554EA9}">
            <xm:f>'Writing Logic'!$F$5</xm:f>
            <xm:f>'Writing Logic'!$G$5</xm:f>
            <x14:dxf>
              <font>
                <color rgb="FF9C5700"/>
              </font>
              <fill>
                <patternFill>
                  <bgColor rgb="FFFFEB9C"/>
                </patternFill>
              </fill>
            </x14:dxf>
          </x14:cfRule>
          <xm:sqref>R3:V42 X3:AB42 AP3:AT42 AJ3:AN42 AD3:AH42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9DB9864-3460-4100-8D3F-6B33692675FC}">
          <x14:formula1>
            <xm:f>'FLA Reading Logic'!$G$22:$G$28</xm:f>
          </x14:formula1>
          <xm:sqref>E3:E42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19173-4DEE-4DBB-AFFD-29CEC27D4156}">
  <sheetPr codeName="Sheet17">
    <pageSetUpPr fitToPage="1"/>
  </sheetPr>
  <dimension ref="A1:O600"/>
  <sheetViews>
    <sheetView tabSelected="1" zoomScaleNormal="100" workbookViewId="0">
      <selection activeCell="L35" sqref="L35"/>
    </sheetView>
  </sheetViews>
  <sheetFormatPr defaultRowHeight="15" x14ac:dyDescent="0.25"/>
  <cols>
    <col min="1" max="1" width="11" customWidth="1"/>
    <col min="2" max="2" width="34.42578125" bestFit="1" customWidth="1"/>
    <col min="3" max="3" width="18.140625" customWidth="1"/>
    <col min="4" max="9" width="8.28515625" customWidth="1"/>
    <col min="10" max="10" width="2.140625" customWidth="1"/>
    <col min="11" max="11" width="19.28515625" customWidth="1"/>
    <col min="12" max="14" width="11.140625" customWidth="1"/>
    <col min="15" max="15" width="8.85546875" customWidth="1"/>
  </cols>
  <sheetData>
    <row r="1" spans="1:15" ht="24" x14ac:dyDescent="0.4">
      <c r="A1" s="313" t="s">
        <v>172</v>
      </c>
      <c r="B1" s="313"/>
      <c r="C1" s="313"/>
      <c r="D1" s="313"/>
      <c r="E1" s="313"/>
      <c r="F1" s="313"/>
      <c r="G1" s="313"/>
      <c r="H1" s="313"/>
      <c r="I1" s="313"/>
      <c r="J1" s="313"/>
      <c r="K1" s="313"/>
      <c r="L1" s="313"/>
      <c r="M1" s="313"/>
      <c r="N1" s="313"/>
      <c r="O1" s="313"/>
    </row>
    <row r="2" spans="1:15" ht="14.25" customHeight="1" x14ac:dyDescent="0.25">
      <c r="B2" s="46" t="s">
        <v>173</v>
      </c>
      <c r="C2" s="310" t="s">
        <v>90</v>
      </c>
      <c r="D2" s="310"/>
      <c r="E2" s="310"/>
      <c r="F2" s="310"/>
      <c r="G2" s="310"/>
    </row>
    <row r="3" spans="1:15" ht="14.25" customHeight="1" x14ac:dyDescent="0.25">
      <c r="B3" s="46" t="s">
        <v>174</v>
      </c>
      <c r="C3" s="45" t="s">
        <v>175</v>
      </c>
      <c r="F3" s="46" t="s">
        <v>176</v>
      </c>
      <c r="G3" s="310" t="s">
        <v>177</v>
      </c>
      <c r="H3" s="310"/>
    </row>
    <row r="4" spans="1:15" ht="14.25" customHeight="1" x14ac:dyDescent="0.25">
      <c r="B4" s="46" t="s">
        <v>178</v>
      </c>
      <c r="C4" s="314" t="s">
        <v>131</v>
      </c>
      <c r="D4" s="314"/>
      <c r="E4" s="308" t="s">
        <v>179</v>
      </c>
      <c r="F4" s="308"/>
      <c r="G4" s="309">
        <v>45716</v>
      </c>
      <c r="H4" s="309"/>
    </row>
    <row r="5" spans="1:15" ht="14.25" customHeight="1" x14ac:dyDescent="0.25">
      <c r="B5" s="46" t="s">
        <v>180</v>
      </c>
      <c r="C5" s="87">
        <f ca="1">NOW()</f>
        <v>46168.387202314814</v>
      </c>
      <c r="D5" s="86"/>
      <c r="F5" s="43"/>
      <c r="G5" s="43"/>
    </row>
    <row r="6" spans="1:15" ht="6" customHeight="1" x14ac:dyDescent="0.25"/>
    <row r="7" spans="1:15" s="99" customFormat="1" ht="14.25" customHeight="1" x14ac:dyDescent="0.25">
      <c r="A7" s="311" t="s">
        <v>181</v>
      </c>
      <c r="B7" s="311" t="s">
        <v>45</v>
      </c>
      <c r="C7" s="311" t="s">
        <v>121</v>
      </c>
      <c r="D7" s="311" t="s">
        <v>182</v>
      </c>
      <c r="E7" s="311" t="s">
        <v>183</v>
      </c>
      <c r="F7" s="311" t="s">
        <v>184</v>
      </c>
      <c r="G7" s="311" t="s">
        <v>185</v>
      </c>
      <c r="H7" s="311" t="s">
        <v>186</v>
      </c>
      <c r="I7" s="311" t="s">
        <v>7</v>
      </c>
      <c r="J7"/>
      <c r="K7" s="316" t="s">
        <v>121</v>
      </c>
      <c r="L7" s="316" t="s">
        <v>187</v>
      </c>
      <c r="M7" s="317" t="s">
        <v>188</v>
      </c>
      <c r="N7" s="317" t="s">
        <v>189</v>
      </c>
      <c r="O7" s="316" t="s">
        <v>190</v>
      </c>
    </row>
    <row r="8" spans="1:15" s="99" customFormat="1" ht="14.25" customHeight="1" x14ac:dyDescent="0.25">
      <c r="A8" s="315"/>
      <c r="B8" s="315"/>
      <c r="C8" s="315"/>
      <c r="D8" s="315"/>
      <c r="E8" s="315"/>
      <c r="F8" s="315"/>
      <c r="G8" s="315"/>
      <c r="H8" s="315"/>
      <c r="I8" s="312"/>
      <c r="J8"/>
      <c r="K8" s="316"/>
      <c r="L8" s="316"/>
      <c r="M8" s="318"/>
      <c r="N8" s="318"/>
      <c r="O8" s="316"/>
    </row>
    <row r="9" spans="1:15" s="99" customFormat="1" ht="14.25" customHeight="1" x14ac:dyDescent="0.25">
      <c r="A9" s="133"/>
      <c r="B9" s="133" t="str">
        <f>$C$2</f>
        <v>Yarmouth Elementary School</v>
      </c>
      <c r="C9" s="133" t="s">
        <v>186</v>
      </c>
      <c r="D9" s="135" t="str">
        <f t="shared" ref="D9:I9" si="0">IFERROR(AVERAGE(D10:D600),"")</f>
        <v/>
      </c>
      <c r="E9" s="135" t="str">
        <f t="shared" si="0"/>
        <v/>
      </c>
      <c r="F9" s="135" t="str">
        <f t="shared" si="0"/>
        <v/>
      </c>
      <c r="G9" s="135" t="str">
        <f t="shared" si="0"/>
        <v/>
      </c>
      <c r="H9" s="222" t="str">
        <f t="shared" si="0"/>
        <v/>
      </c>
      <c r="I9" s="225" t="str">
        <f t="shared" ca="1" si="0"/>
        <v/>
      </c>
      <c r="J9" s="136"/>
      <c r="K9" s="109" t="s">
        <v>46</v>
      </c>
      <c r="L9" s="109">
        <f>IF(K9="","",COUNTIFS($H$10:$H$600,"&gt;="&amp;'Writing Logic'!$F$1))</f>
        <v>0</v>
      </c>
      <c r="M9" s="109">
        <f ca="1">IF($K9="","",COUNTIFS($I$10:$I$600,"&gt;=0"))</f>
        <v>0</v>
      </c>
      <c r="N9" s="109">
        <f>IF($K9="","",COUNTIFS($I$10:$I$600,"&gt;=0",$H$10:$H$600,"&gt;="&amp;'Writing Logic'!$F$1))</f>
        <v>0</v>
      </c>
      <c r="O9" s="134" t="str">
        <f>IFERROR(N9/(COUNTIFS($H$10:$H$600,"&lt;&gt;"&amp;"")-COUNTIFS($H$10:$H$600,"=IPP")-COUNTIFS($H$10:$H$600,"")),"")</f>
        <v/>
      </c>
    </row>
    <row r="10" spans="1:15" s="99" customFormat="1" ht="14.25" customHeight="1" x14ac:dyDescent="0.25">
      <c r="A10" s="137" t="str" cm="1">
        <f t="array" ref="A10">_xlfn.UNIQUE(_xlfn._xlws.FILTER(IF($G$3="ELA",_xlfn.VSTACK(YES_Writing_ELA[Student Number], YES_Reading_ELA[Student Number]),IF($G$3="FLA",_xlfn.VSTACK(YES_Writing_FLA[Student Number], YES_Reading_FLA[Student Number]),IF($G$3="Combined",_xlfn.VSTACK(YES_Writing_ELA[Student Number],YES_Writing_FLA[Student Number], YES_Reading_ELA[Student Number], YES_Reading_FLA[Student Number]),))),IF($C$2="TCRCE",IF($G$3="ELA",_xlfn.VSTACK(YES_Writing_ELA[Student Number], YES_Reading_ELA[Student Number]),IF($G$3="FLA",_xlfn.VSTACK(YES_Writing_FLA[Student Number], YES_Reading_FLA[Student Number]),IF($G$3="Combined",_xlfn.VSTACK(YES_Writing_ELA[Student Number],YES_Writing_FLA[Student Number], YES_Reading_ELA[Student Number], YES_Reading_FLA[Student Number]),)))&lt;&gt;0,IF($G$3="ELA",_xlfn.VSTACK(YES_Writing_ELA[School], YES_Reading_ELA[School]),IF($G$3="FLA",_xlfn.VSTACK(YES_Writing_FLA[School], YES_Reading_FLA[School]),IF($G$3="Combined",_xlfn.VSTACK(YES_Writing_ELA[School],YES_Writing_FLA[School], YES_Reading_ELA[School], YES_Reading_FLA[School]),)))=$C$2)*IF($C$3="All",IF($G$3="ELA",_xlfn.VSTACK(YES_Writing_ELA[Grade], YES_Reading_ELA[Grade]),IF($G$3="FLA",_xlfn.VSTACK(YES_Writing_FLA[Grade], YES_Reading_FLA[Grade]),IF($G$3="Combined",_xlfn.VSTACK(YES_Writing_ELA[Grade],YES_Writing_FLA[Grade], YES_Reading_ELA[Grade], YES_Reading_FLA[Grade]),)))&lt;&gt;0,IF($G$3="ELA",_xlfn.VSTACK(YES_Writing_ELA[Grade], YES_Reading_ELA[Grade]),IF($G$3="FLA",_xlfn.VSTACK(YES_Writing_FLA[Grade], YES_Reading_FLA[Grade]),IF($G$3="Combined",_xlfn.VSTACK(YES_Writing_ELA[Grade],YES_Writing_FLA[Grade], YES_Reading_ELA[Grade], YES_Reading_FLA[Grade]),)))=$C$3),""))</f>
        <v/>
      </c>
      <c r="B10" s="137" t="str">
        <f>IFERROR(INDEX(_xlfn.VSTACK(YES_Writing_ELA[#Data], YES_Writing_FLA[#Data]),MATCH($A10,_xlfn.VSTACK(YES_Writing_ELA[Student Number], YES_Writing_FLA[Student Number]),0),MATCH(B$7,YES_Writing_ELA[#Headers],0)),IFERROR(INDEX(_xlfn.VSTACK(YES_Reading_ELA[#Data], YES_Reading_FLA[#Data]),MATCH($A10,_xlfn.VSTACK(YES_Reading_ELA[Student Number], YES_Reading_FLA[Student Number]),0),MATCH(B$7,YES_Reading_ELA[#Headers],0)),""))</f>
        <v/>
      </c>
      <c r="C10" s="137" t="str">
        <f>IFERROR(INDEX(_xlfn.VSTACK(YES_Writing_ELA[#Data], YES_Writing_FLA[#Data]),MATCH($A10,_xlfn.VSTACK(YES_Writing_ELA[Student Number], YES_Writing_FLA[Student Number]),0),MATCH(C$7,YES_Writing_ELA[#Headers],0)),IFERROR(INDEX(_xlfn.VSTACK(YES_Reading_ELA[#Data], YES_Reading_FLA[#Data]),MATCH($A10,_xlfn.VSTACK(YES_Reading_ELA[Student Number], YES_Reading_FLA[Student Number]),0),MATCH(C$7,YES_Reading_ELA[#Headers],0)),""))</f>
        <v/>
      </c>
      <c r="D10" s="138" t="str">
        <f>IFERROR(IF(IF(INDEX(_xlfn.VSTACK(YES_Writing_ELA[#Data],YES_Writing_FLA[#Data]),MATCH($A10,_xlfn.VSTACK(YES_Writing_ELA[Student Number],YES_Writing_FLA[Student Number]),0),MATCH(VLOOKUP(D$7,'Writing Logic'!$J$7:$K$11,2,FALSE)&amp;" - Per "&amp;VLOOKUP($C$4,'Writing Logic'!$G$8:$H$14,2,FALSE),YES_Writing_ELA[#Headers],0))=0,"",INDEX(_xlfn.VSTACK(YES_Writing_ELA[#Data],YES_Writing_FLA[#Data]),MATCH($A10,_xlfn.VSTACK(YES_Writing_ELA[Student Number],YES_Writing_FLA[Student Number]),0),MATCH(VLOOKUP(D$7,'Writing Logic'!$J$7:$K$11,2,FALSE)&amp;" - Per "&amp;VLOOKUP($C$4,'Writing Logic'!$G$8:$H$14,2,FALSE),YES_Writing_ELA[#Headers],0)))="INS",'Writing Logic'!$B$7,IF(INDEX(_xlfn.VSTACK(YES_Writing_ELA[#Data],YES_Writing_FLA[#Data]),MATCH($A10,_xlfn.VSTACK(YES_Writing_ELA[Student Number],YES_Writing_FLA[Student Number]),0),MATCH(VLOOKUP(D$7,'Writing Logic'!$J$7:$K$11,2,FALSE)&amp;" - Per "&amp;VLOOKUP($C$4,'Writing Logic'!$G$8:$H$14,2,FALSE),YES_Writing_ELA[#Headers],0))=0,"",INDEX(_xlfn.VSTACK(YES_Writing_ELA[#Data],YES_Writing_FLA[#Data]),MATCH($A10,_xlfn.VSTACK(YES_Writing_ELA[Student Number],YES_Writing_FLA[Student Number]),0),MATCH(VLOOKUP(D$7,'Writing Logic'!$J$7:$K$11,2,FALSE)&amp;" - Per "&amp;VLOOKUP($C$4,'Writing Logic'!$G$8:$H$14,2,FALSE),YES_Writing_ELA[#Headers],0)))),"")</f>
        <v/>
      </c>
      <c r="E10" s="138" t="str">
        <f>IFERROR(IF(IF(INDEX(_xlfn.VSTACK(YES_Writing_ELA[#Data],YES_Writing_FLA[#Data]),MATCH($A10,_xlfn.VSTACK(YES_Writing_ELA[Student Number],YES_Writing_FLA[Student Number]),0),MATCH(VLOOKUP(E$7,'Writing Logic'!$J$7:$K$11,2,FALSE)&amp;" - Per "&amp;VLOOKUP($C$4,'Writing Logic'!$G$8:$H$14,2,FALSE),YES_Writing_ELA[#Headers],0))=0,"",INDEX(_xlfn.VSTACK(YES_Writing_ELA[#Data],YES_Writing_FLA[#Data]),MATCH($A10,_xlfn.VSTACK(YES_Writing_ELA[Student Number],YES_Writing_FLA[Student Number]),0),MATCH(VLOOKUP(E$7,'Writing Logic'!$J$7:$K$11,2,FALSE)&amp;" - Per "&amp;VLOOKUP($C$4,'Writing Logic'!$G$8:$H$14,2,FALSE),YES_Writing_ELA[#Headers],0)))="INS",'Writing Logic'!$B$7,IF(INDEX(_xlfn.VSTACK(YES_Writing_ELA[#Data],YES_Writing_FLA[#Data]),MATCH($A10,_xlfn.VSTACK(YES_Writing_ELA[Student Number],YES_Writing_FLA[Student Number]),0),MATCH(VLOOKUP(E$7,'Writing Logic'!$J$7:$K$11,2,FALSE)&amp;" - Per "&amp;VLOOKUP($C$4,'Writing Logic'!$G$8:$H$14,2,FALSE),YES_Writing_ELA[#Headers],0))=0,"",INDEX(_xlfn.VSTACK(YES_Writing_ELA[#Data],YES_Writing_FLA[#Data]),MATCH($A10,_xlfn.VSTACK(YES_Writing_ELA[Student Number],YES_Writing_FLA[Student Number]),0),MATCH(VLOOKUP(E$7,'Writing Logic'!$J$7:$K$11,2,FALSE)&amp;" - Per "&amp;VLOOKUP($C$4,'Writing Logic'!$G$8:$H$14,2,FALSE),YES_Writing_ELA[#Headers],0)))),"")</f>
        <v/>
      </c>
      <c r="F10" s="138" t="str">
        <f>IFERROR(IF(IF(INDEX(_xlfn.VSTACK(YES_Writing_ELA[#Data],YES_Writing_FLA[#Data]),MATCH($A10,_xlfn.VSTACK(YES_Writing_ELA[Student Number],YES_Writing_FLA[Student Number]),0),MATCH(VLOOKUP(F$7,'Writing Logic'!$J$7:$K$11,2,FALSE)&amp;" - Per "&amp;VLOOKUP($C$4,'Writing Logic'!$G$8:$H$14,2,FALSE),YES_Writing_ELA[#Headers],0))=0,"",INDEX(_xlfn.VSTACK(YES_Writing_ELA[#Data],YES_Writing_FLA[#Data]),MATCH($A10,_xlfn.VSTACK(YES_Writing_ELA[Student Number],YES_Writing_FLA[Student Number]),0),MATCH(VLOOKUP(F$7,'Writing Logic'!$J$7:$K$11,2,FALSE)&amp;" - Per "&amp;VLOOKUP($C$4,'Writing Logic'!$G$8:$H$14,2,FALSE),YES_Writing_ELA[#Headers],0)))="INS",'Writing Logic'!$B$7,IF(INDEX(_xlfn.VSTACK(YES_Writing_ELA[#Data],YES_Writing_FLA[#Data]),MATCH($A10,_xlfn.VSTACK(YES_Writing_ELA[Student Number],YES_Writing_FLA[Student Number]),0),MATCH(VLOOKUP(F$7,'Writing Logic'!$J$7:$K$11,2,FALSE)&amp;" - Per "&amp;VLOOKUP($C$4,'Writing Logic'!$G$8:$H$14,2,FALSE),YES_Writing_ELA[#Headers],0))=0,"",INDEX(_xlfn.VSTACK(YES_Writing_ELA[#Data],YES_Writing_FLA[#Data]),MATCH($A10,_xlfn.VSTACK(YES_Writing_ELA[Student Number],YES_Writing_FLA[Student Number]),0),MATCH(VLOOKUP(F$7,'Writing Logic'!$J$7:$K$11,2,FALSE)&amp;" - Per "&amp;VLOOKUP($C$4,'Writing Logic'!$G$8:$H$14,2,FALSE),YES_Writing_ELA[#Headers],0)))),"")</f>
        <v/>
      </c>
      <c r="G10" s="138" t="str">
        <f>IFERROR(IF(IF(INDEX(_xlfn.VSTACK(YES_Writing_ELA[#Data],YES_Writing_FLA[#Data]),MATCH($A10,_xlfn.VSTACK(YES_Writing_ELA[Student Number],YES_Writing_FLA[Student Number]),0),MATCH(VLOOKUP(G$7,'Writing Logic'!$J$7:$K$11,2,FALSE)&amp;" - Per "&amp;VLOOKUP($C$4,'Writing Logic'!$G$8:$H$14,2,FALSE),YES_Writing_ELA[#Headers],0))=0,"",INDEX(_xlfn.VSTACK(YES_Writing_ELA[#Data],YES_Writing_FLA[#Data]),MATCH($A10,_xlfn.VSTACK(YES_Writing_ELA[Student Number],YES_Writing_FLA[Student Number]),0),MATCH(VLOOKUP(G$7,'Writing Logic'!$J$7:$K$11,2,FALSE)&amp;" - Per "&amp;VLOOKUP($C$4,'Writing Logic'!$G$8:$H$14,2,FALSE),YES_Writing_ELA[#Headers],0)))="INS",'Writing Logic'!$B$7,IF(INDEX(_xlfn.VSTACK(YES_Writing_ELA[#Data],YES_Writing_FLA[#Data]),MATCH($A10,_xlfn.VSTACK(YES_Writing_ELA[Student Number],YES_Writing_FLA[Student Number]),0),MATCH(VLOOKUP(G$7,'Writing Logic'!$J$7:$K$11,2,FALSE)&amp;" - Per "&amp;VLOOKUP($C$4,'Writing Logic'!$G$8:$H$14,2,FALSE),YES_Writing_ELA[#Headers],0))=0,"",INDEX(_xlfn.VSTACK(YES_Writing_ELA[#Data],YES_Writing_FLA[#Data]),MATCH($A10,_xlfn.VSTACK(YES_Writing_ELA[Student Number],YES_Writing_FLA[Student Number]),0),MATCH(VLOOKUP(G$7,'Writing Logic'!$J$7:$K$11,2,FALSE)&amp;" - Per "&amp;VLOOKUP($C$4,'Writing Logic'!$G$8:$H$14,2,FALSE),YES_Writing_ELA[#Headers],0)))),"")</f>
        <v/>
      </c>
      <c r="H10" s="223" t="str">
        <f>IFERROR(IF(IF(INDEX(_xlfn.VSTACK(YES_Writing_ELA[#Data],YES_Writing_FLA[#Data]),MATCH($A10,_xlfn.VSTACK(YES_Writing_ELA[Student Number],YES_Writing_FLA[Student Number]),0),MATCH(VLOOKUP(H$7,'Writing Logic'!$J$7:$K$11,2,FALSE)&amp;" - Per "&amp;VLOOKUP($C$4,'Writing Logic'!$G$8:$H$14,2,FALSE),YES_Writing_ELA[#Headers],0))=0,"",INDEX(_xlfn.VSTACK(YES_Writing_ELA[#Data],YES_Writing_FLA[#Data]),MATCH($A10,_xlfn.VSTACK(YES_Writing_ELA[Student Number],YES_Writing_FLA[Student Number]),0),MATCH(VLOOKUP(H$7,'Writing Logic'!$J$7:$K$11,2,FALSE)&amp;" - Per "&amp;VLOOKUP($C$4,'Writing Logic'!$G$8:$H$14,2,FALSE),YES_Writing_ELA[#Headers],0)))="INS",'Writing Logic'!$B$7,IF(INDEX(_xlfn.VSTACK(YES_Writing_ELA[#Data],YES_Writing_FLA[#Data]),MATCH($A10,_xlfn.VSTACK(YES_Writing_ELA[Student Number],YES_Writing_FLA[Student Number]),0),MATCH(VLOOKUP(H$7,'Writing Logic'!$J$7:$K$11,2,FALSE)&amp;" - Per "&amp;VLOOKUP($C$4,'Writing Logic'!$G$8:$H$14,2,FALSE),YES_Writing_ELA[#Headers],0))=0,"",INDEX(_xlfn.VSTACK(YES_Writing_ELA[#Data],YES_Writing_FLA[#Data]),MATCH($A10,_xlfn.VSTACK(YES_Writing_ELA[Student Number],YES_Writing_FLA[Student Number]),0),MATCH(VLOOKUP(H$7,'Writing Logic'!$J$7:$K$11,2,FALSE)&amp;" - Per "&amp;VLOOKUP($C$4,'Writing Logic'!$G$8:$H$14,2,FALSE),YES_Writing_ELA[#Headers],0)))),"")</f>
        <v/>
      </c>
      <c r="I10" s="224" t="str" cm="1">
        <f t="array" aca="1" ref="I10" ca="1">IFERROR(
IF($G$3="ELA",
IF(VLOOKUP($A10, YES_Reading_ELA[], COLUMN(INDIRECT("YES_Reading_ELA[Difference - Per "&amp;VLOOKUP($G$4, 'Reading Report Logic'!$A$2:$B$8, 2, FALSE)&amp;"]")), FALSE)="", "",
VLOOKUP($A10,YES_Reading_ELA[], COLUMN(INDIRECT("YES_Reading_ELA[Difference - Per "&amp;VLOOKUP($G$4,'Reading Report Logic'!$A$2:$B$8,2,FALSE)&amp;"]")), FALSE)),
IF($G$3="FLA",
IF(VLOOKUP($A10, YES_Reading_FLA[], COLUMN(INDIRECT("YES_Reading_FLA[Difference - Per "&amp;VLOOKUP($G$4,'Reading Report Logic'!$A$2:$B$8,2,FALSE)&amp;"]")),FALSE)="","",
VLOOKUP($A10,YES_Reading_FLA[],COLUMN(INDIRECT("YES_Reading_FLA[Difference - Per "&amp;VLOOKUP($G$4,'Reading Report Logic'!$A$2:$B$8,2,FALSE)&amp;"]")),FALSE)),
IF($G$3="Combined",
IFERROR(
IF(VLOOKUP($A10, YES_Reading_ELA[], COLUMN(INDIRECT("YES_Reading_ELA[Difference - Per "&amp;VLOOKUP($G$4, 'Reading Report Logic'!$A$2:$B$8,2,FALSE)&amp;"]")), FALSE)="", "",
VLOOKUP($A10,YES_Reading_ELA[],COLUMN(INDIRECT("YES_Reading_ELA[Difference - Per "&amp;VLOOKUP($G$4,'Reading Report Logic'!$A$2:$B$8,2,FALSE)&amp;"]")),FALSE)),
IF(VLOOKUP($A10, YES_Reading_FLA[], COLUMN(INDIRECT("YES_Reading_FLA[Difference - Per "&amp;VLOOKUP($G$4, 'Reading Report Logic'!$A$2:$B$8, 2, FALSE)&amp;"]")),FALSE)="", "", VLOOKUP($A10,YES_Reading_FLA[],COLUMN(INDIRECT("YES_Reading_FLA[Difference - Per "&amp;VLOOKUP($G$4, 'Reading Report Logic'!$A$2:$B$8, 2, FALSE)&amp;"]")),FALSE))),""))),"")</f>
        <v/>
      </c>
      <c r="J10" s="136"/>
      <c r="K10" s="108" t="str" cm="1">
        <f t="array" ref="K10">IFERROR(_xlfn.UNIQUE(_xlfn._xlws.FILTER($C$10:$C$600,$C$10:$C$600&lt;&gt;""),FALSE,FALSE),"")</f>
        <v/>
      </c>
      <c r="L10" s="109" t="str">
        <f>IF(K10="","",COUNTIFS($C$10:$C$600,$K10,$H$10:$H$600,"&gt;="&amp;'Writing Logic'!$F$1))</f>
        <v/>
      </c>
      <c r="M10" s="109" t="str">
        <f>IF($K10="","",COUNTIFS($C$10:$C$600,$K10,$I$10:$I$600,"&gt;=0"))</f>
        <v/>
      </c>
      <c r="N10" s="109" t="str">
        <f>IF($K10="","",COUNTIFS($C$10:$C$600,$K10,$I$10:$I$600,"&gt;=0",$H$10:$H$600,"&gt;="&amp;'Writing Logic'!$F$1))</f>
        <v/>
      </c>
      <c r="O10" s="134" t="str">
        <f>IFERROR(N10/(COUNTIFS($C$10:$C$600,$K10,$H$10:$H$600,"&lt;&gt;"&amp;"")-COUNTIFS($C$10:$C$600,$K10,$H$10:$H$600,"=IPP")-COUNTIFS($C$10:$C$600,$K10,$H$10:$H$600,"")),"")</f>
        <v/>
      </c>
    </row>
    <row r="11" spans="1:15" s="99" customFormat="1" ht="14.25" customHeight="1" x14ac:dyDescent="0.25">
      <c r="A11" s="137"/>
      <c r="B11" s="137" t="str">
        <f>IFERROR(INDEX(_xlfn.VSTACK(YES_Writing_ELA[#Data], YES_Writing_FLA[#Data]),MATCH($A11,_xlfn.VSTACK(YES_Writing_ELA[Student Number], YES_Writing_FLA[Student Number]),0),MATCH(B$7,YES_Writing_ELA[#Headers],0)),IFERROR(INDEX(_xlfn.VSTACK(YES_Reading_ELA[#Data], YES_Reading_FLA[#Data]),MATCH($A11,_xlfn.VSTACK(YES_Reading_ELA[Student Number], YES_Reading_FLA[Student Number]),0),MATCH(B$7,YES_Reading_ELA[#Headers],0)),""))</f>
        <v/>
      </c>
      <c r="C11" s="137" t="str">
        <f>IFERROR(INDEX(_xlfn.VSTACK(YES_Writing_ELA[#Data], YES_Writing_FLA[#Data]),MATCH($A11,_xlfn.VSTACK(YES_Writing_ELA[Student Number], YES_Writing_FLA[Student Number]),0),MATCH(C$7,YES_Writing_ELA[#Headers],0)),IFERROR(INDEX(_xlfn.VSTACK(YES_Reading_ELA[#Data], YES_Reading_FLA[#Data]),MATCH($A11,_xlfn.VSTACK(YES_Reading_ELA[Student Number], YES_Reading_FLA[Student Number]),0),MATCH(C$7,YES_Reading_ELA[#Headers],0)),""))</f>
        <v/>
      </c>
      <c r="D11" s="138" t="str">
        <f>IFERROR(IF(IF(INDEX(_xlfn.VSTACK(YES_Writing_ELA[#Data],YES_Writing_FLA[#Data]),MATCH($A11,_xlfn.VSTACK(YES_Writing_ELA[Student Number],YES_Writing_FLA[Student Number]),0),MATCH(VLOOKUP(D$7,'Writing Logic'!$J$7:$K$11,2,FALSE)&amp;" - Per "&amp;VLOOKUP($C$4,'Writing Logic'!$G$8:$H$14,2,FALSE),YES_Writing_ELA[#Headers],0))=0,"",INDEX(_xlfn.VSTACK(YES_Writing_ELA[#Data],YES_Writing_FLA[#Data]),MATCH($A11,_xlfn.VSTACK(YES_Writing_ELA[Student Number],YES_Writing_FLA[Student Number]),0),MATCH(VLOOKUP(D$7,'Writing Logic'!$J$7:$K$11,2,FALSE)&amp;" - Per "&amp;VLOOKUP($C$4,'Writing Logic'!$G$8:$H$14,2,FALSE),YES_Writing_ELA[#Headers],0)))="INS",'Writing Logic'!$B$7,IF(INDEX(_xlfn.VSTACK(YES_Writing_ELA[#Data],YES_Writing_FLA[#Data]),MATCH($A11,_xlfn.VSTACK(YES_Writing_ELA[Student Number],YES_Writing_FLA[Student Number]),0),MATCH(VLOOKUP(D$7,'Writing Logic'!$J$7:$K$11,2,FALSE)&amp;" - Per "&amp;VLOOKUP($C$4,'Writing Logic'!$G$8:$H$14,2,FALSE),YES_Writing_ELA[#Headers],0))=0,"",INDEX(_xlfn.VSTACK(YES_Writing_ELA[#Data],YES_Writing_FLA[#Data]),MATCH($A11,_xlfn.VSTACK(YES_Writing_ELA[Student Number],YES_Writing_FLA[Student Number]),0),MATCH(VLOOKUP(D$7,'Writing Logic'!$J$7:$K$11,2,FALSE)&amp;" - Per "&amp;VLOOKUP($C$4,'Writing Logic'!$G$8:$H$14,2,FALSE),YES_Writing_ELA[#Headers],0)))),"")</f>
        <v/>
      </c>
      <c r="E11" s="138" t="str">
        <f>IFERROR(IF(IF(INDEX(_xlfn.VSTACK(YES_Writing_ELA[#Data],YES_Writing_FLA[#Data]),MATCH($A11,_xlfn.VSTACK(YES_Writing_ELA[Student Number],YES_Writing_FLA[Student Number]),0),MATCH(VLOOKUP(E$7,'Writing Logic'!$J$7:$K$11,2,FALSE)&amp;" - Per "&amp;VLOOKUP($C$4,'Writing Logic'!$G$8:$H$14,2,FALSE),YES_Writing_ELA[#Headers],0))=0,"",INDEX(_xlfn.VSTACK(YES_Writing_ELA[#Data],YES_Writing_FLA[#Data]),MATCH($A11,_xlfn.VSTACK(YES_Writing_ELA[Student Number],YES_Writing_FLA[Student Number]),0),MATCH(VLOOKUP(E$7,'Writing Logic'!$J$7:$K$11,2,FALSE)&amp;" - Per "&amp;VLOOKUP($C$4,'Writing Logic'!$G$8:$H$14,2,FALSE),YES_Writing_ELA[#Headers],0)))="INS",'Writing Logic'!$B$7,IF(INDEX(_xlfn.VSTACK(YES_Writing_ELA[#Data],YES_Writing_FLA[#Data]),MATCH($A11,_xlfn.VSTACK(YES_Writing_ELA[Student Number],YES_Writing_FLA[Student Number]),0),MATCH(VLOOKUP(E$7,'Writing Logic'!$J$7:$K$11,2,FALSE)&amp;" - Per "&amp;VLOOKUP($C$4,'Writing Logic'!$G$8:$H$14,2,FALSE),YES_Writing_ELA[#Headers],0))=0,"",INDEX(_xlfn.VSTACK(YES_Writing_ELA[#Data],YES_Writing_FLA[#Data]),MATCH($A11,_xlfn.VSTACK(YES_Writing_ELA[Student Number],YES_Writing_FLA[Student Number]),0),MATCH(VLOOKUP(E$7,'Writing Logic'!$J$7:$K$11,2,FALSE)&amp;" - Per "&amp;VLOOKUP($C$4,'Writing Logic'!$G$8:$H$14,2,FALSE),YES_Writing_ELA[#Headers],0)))),"")</f>
        <v/>
      </c>
      <c r="F11" s="138" t="str">
        <f>IFERROR(IF(IF(INDEX(_xlfn.VSTACK(YES_Writing_ELA[#Data],YES_Writing_FLA[#Data]),MATCH($A11,_xlfn.VSTACK(YES_Writing_ELA[Student Number],YES_Writing_FLA[Student Number]),0),MATCH(VLOOKUP(F$7,'Writing Logic'!$J$7:$K$11,2,FALSE)&amp;" - Per "&amp;VLOOKUP($C$4,'Writing Logic'!$G$8:$H$14,2,FALSE),YES_Writing_ELA[#Headers],0))=0,"",INDEX(_xlfn.VSTACK(YES_Writing_ELA[#Data],YES_Writing_FLA[#Data]),MATCH($A11,_xlfn.VSTACK(YES_Writing_ELA[Student Number],YES_Writing_FLA[Student Number]),0),MATCH(VLOOKUP(F$7,'Writing Logic'!$J$7:$K$11,2,FALSE)&amp;" - Per "&amp;VLOOKUP($C$4,'Writing Logic'!$G$8:$H$14,2,FALSE),YES_Writing_ELA[#Headers],0)))="INS",'Writing Logic'!$B$7,IF(INDEX(_xlfn.VSTACK(YES_Writing_ELA[#Data],YES_Writing_FLA[#Data]),MATCH($A11,_xlfn.VSTACK(YES_Writing_ELA[Student Number],YES_Writing_FLA[Student Number]),0),MATCH(VLOOKUP(F$7,'Writing Logic'!$J$7:$K$11,2,FALSE)&amp;" - Per "&amp;VLOOKUP($C$4,'Writing Logic'!$G$8:$H$14,2,FALSE),YES_Writing_ELA[#Headers],0))=0,"",INDEX(_xlfn.VSTACK(YES_Writing_ELA[#Data],YES_Writing_FLA[#Data]),MATCH($A11,_xlfn.VSTACK(YES_Writing_ELA[Student Number],YES_Writing_FLA[Student Number]),0),MATCH(VLOOKUP(F$7,'Writing Logic'!$J$7:$K$11,2,FALSE)&amp;" - Per "&amp;VLOOKUP($C$4,'Writing Logic'!$G$8:$H$14,2,FALSE),YES_Writing_ELA[#Headers],0)))),"")</f>
        <v/>
      </c>
      <c r="G11" s="138" t="str">
        <f>IFERROR(IF(IF(INDEX(_xlfn.VSTACK(YES_Writing_ELA[#Data],YES_Writing_FLA[#Data]),MATCH($A11,_xlfn.VSTACK(YES_Writing_ELA[Student Number],YES_Writing_FLA[Student Number]),0),MATCH(VLOOKUP(G$7,'Writing Logic'!$J$7:$K$11,2,FALSE)&amp;" - Per "&amp;VLOOKUP($C$4,'Writing Logic'!$G$8:$H$14,2,FALSE),YES_Writing_ELA[#Headers],0))=0,"",INDEX(_xlfn.VSTACK(YES_Writing_ELA[#Data],YES_Writing_FLA[#Data]),MATCH($A11,_xlfn.VSTACK(YES_Writing_ELA[Student Number],YES_Writing_FLA[Student Number]),0),MATCH(VLOOKUP(G$7,'Writing Logic'!$J$7:$K$11,2,FALSE)&amp;" - Per "&amp;VLOOKUP($C$4,'Writing Logic'!$G$8:$H$14,2,FALSE),YES_Writing_ELA[#Headers],0)))="INS",'Writing Logic'!$B$7,IF(INDEX(_xlfn.VSTACK(YES_Writing_ELA[#Data],YES_Writing_FLA[#Data]),MATCH($A11,_xlfn.VSTACK(YES_Writing_ELA[Student Number],YES_Writing_FLA[Student Number]),0),MATCH(VLOOKUP(G$7,'Writing Logic'!$J$7:$K$11,2,FALSE)&amp;" - Per "&amp;VLOOKUP($C$4,'Writing Logic'!$G$8:$H$14,2,FALSE),YES_Writing_ELA[#Headers],0))=0,"",INDEX(_xlfn.VSTACK(YES_Writing_ELA[#Data],YES_Writing_FLA[#Data]),MATCH($A11,_xlfn.VSTACK(YES_Writing_ELA[Student Number],YES_Writing_FLA[Student Number]),0),MATCH(VLOOKUP(G$7,'Writing Logic'!$J$7:$K$11,2,FALSE)&amp;" - Per "&amp;VLOOKUP($C$4,'Writing Logic'!$G$8:$H$14,2,FALSE),YES_Writing_ELA[#Headers],0)))),"")</f>
        <v/>
      </c>
      <c r="H11" s="223" t="str">
        <f>IFERROR(IF(IF(INDEX(_xlfn.VSTACK(YES_Writing_ELA[#Data],YES_Writing_FLA[#Data]),MATCH($A11,_xlfn.VSTACK(YES_Writing_ELA[Student Number],YES_Writing_FLA[Student Number]),0),MATCH(VLOOKUP(H$7,'Writing Logic'!$J$7:$K$11,2,FALSE)&amp;" - Per "&amp;VLOOKUP($C$4,'Writing Logic'!$G$8:$H$14,2,FALSE),YES_Writing_ELA[#Headers],0))=0,"",INDEX(_xlfn.VSTACK(YES_Writing_ELA[#Data],YES_Writing_FLA[#Data]),MATCH($A11,_xlfn.VSTACK(YES_Writing_ELA[Student Number],YES_Writing_FLA[Student Number]),0),MATCH(VLOOKUP(H$7,'Writing Logic'!$J$7:$K$11,2,FALSE)&amp;" - Per "&amp;VLOOKUP($C$4,'Writing Logic'!$G$8:$H$14,2,FALSE),YES_Writing_ELA[#Headers],0)))="INS",'Writing Logic'!$B$7,IF(INDEX(_xlfn.VSTACK(YES_Writing_ELA[#Data],YES_Writing_FLA[#Data]),MATCH($A11,_xlfn.VSTACK(YES_Writing_ELA[Student Number],YES_Writing_FLA[Student Number]),0),MATCH(VLOOKUP(H$7,'Writing Logic'!$J$7:$K$11,2,FALSE)&amp;" - Per "&amp;VLOOKUP($C$4,'Writing Logic'!$G$8:$H$14,2,FALSE),YES_Writing_ELA[#Headers],0))=0,"",INDEX(_xlfn.VSTACK(YES_Writing_ELA[#Data],YES_Writing_FLA[#Data]),MATCH($A11,_xlfn.VSTACK(YES_Writing_ELA[Student Number],YES_Writing_FLA[Student Number]),0),MATCH(VLOOKUP(H$7,'Writing Logic'!$J$7:$K$11,2,FALSE)&amp;" - Per "&amp;VLOOKUP($C$4,'Writing Logic'!$G$8:$H$14,2,FALSE),YES_Writing_ELA[#Headers],0)))),"")</f>
        <v/>
      </c>
      <c r="I11" s="224" t="str" cm="1">
        <f t="array" aca="1" ref="I11" ca="1">IFERROR(
IF($G$3="ELA",
IF(VLOOKUP($A11, YES_Reading_ELA[], COLUMN(INDIRECT("YES_Reading_ELA[Difference - Per "&amp;VLOOKUP($G$4, 'Reading Report Logic'!$A$2:$B$8, 2, FALSE)&amp;"]")), FALSE)="", "",
VLOOKUP($A11,YES_Reading_ELA[], COLUMN(INDIRECT("YES_Reading_ELA[Difference - Per "&amp;VLOOKUP($G$4,'Reading Report Logic'!$A$2:$B$8,2,FALSE)&amp;"]")), FALSE)),
IF($G$3="FLA",
IF(VLOOKUP($A11, YES_Reading_FLA[], COLUMN(INDIRECT("YES_Reading_FLA[Difference - Per "&amp;VLOOKUP($G$4,'Reading Report Logic'!$A$2:$B$8,2,FALSE)&amp;"]")),FALSE)="","",
VLOOKUP($A11,YES_Reading_FLA[],COLUMN(INDIRECT("YES_Reading_FLA[Difference - Per "&amp;VLOOKUP($G$4,'Reading Report Logic'!$A$2:$B$8,2,FALSE)&amp;"]")),FALSE)),
IF($G$3="Combined",
IFERROR(
IF(VLOOKUP($A11, YES_Reading_ELA[], COLUMN(INDIRECT("YES_Reading_ELA[Difference - Per "&amp;VLOOKUP($G$4, 'Reading Report Logic'!$A$2:$B$8,2,FALSE)&amp;"]")), FALSE)="", "",
VLOOKUP($A11,YES_Reading_ELA[],COLUMN(INDIRECT("YES_Reading_ELA[Difference - Per "&amp;VLOOKUP($G$4,'Reading Report Logic'!$A$2:$B$8,2,FALSE)&amp;"]")),FALSE)),
IF(VLOOKUP($A11, YES_Reading_FLA[], COLUMN(INDIRECT("YES_Reading_FLA[Difference - Per "&amp;VLOOKUP($G$4, 'Reading Report Logic'!$A$2:$B$8, 2, FALSE)&amp;"]")),FALSE)="", "", VLOOKUP($A11,YES_Reading_FLA[],COLUMN(INDIRECT("YES_Reading_FLA[Difference - Per "&amp;VLOOKUP($G$4, 'Reading Report Logic'!$A$2:$B$8, 2, FALSE)&amp;"]")),FALSE))),""))),"")</f>
        <v/>
      </c>
      <c r="J11" s="136"/>
      <c r="K11" s="108"/>
      <c r="L11" s="109" t="str">
        <f>IF(K11="","",COUNTIFS($C$10:$C$600,$K11,$H$10:$H$600,"&gt;="&amp;'Writing Logic'!$F$1))</f>
        <v/>
      </c>
      <c r="M11" s="109" t="str">
        <f t="shared" ref="M11:M34" si="1">IF($K11="","",COUNTIFS($C$10:$C$600,$K11,$I$10:$I$600,"&gt;=0"))</f>
        <v/>
      </c>
      <c r="N11" s="109" t="str">
        <f>IF($K11="","",COUNTIFS($C$10:$C$600,$K11,$I$10:$I$600,"&gt;=0",$H$10:$H$600,"&gt;="&amp;'Writing Logic'!$F$1))</f>
        <v/>
      </c>
      <c r="O11" s="134" t="str">
        <f>IFERROR(N11/(COUNTIFS($C$10:$C$600,$K11,$H$10:$H$600,"&lt;&gt;"&amp;"")-COUNTIFS($C$10:$C$600,$K11,$H$10:$H$600,"=IPP")-COUNTIFS($C$10:$C$600,$K11,$H$10:$H$600,"")),"")</f>
        <v/>
      </c>
    </row>
    <row r="12" spans="1:15" s="99" customFormat="1" ht="14.25" customHeight="1" x14ac:dyDescent="0.25">
      <c r="A12" s="137"/>
      <c r="B12" s="137" t="str">
        <f>IFERROR(INDEX(_xlfn.VSTACK(YES_Writing_ELA[#Data], YES_Writing_FLA[#Data]),MATCH($A12,_xlfn.VSTACK(YES_Writing_ELA[Student Number], YES_Writing_FLA[Student Number]),0),MATCH(B$7,YES_Writing_ELA[#Headers],0)),IFERROR(INDEX(_xlfn.VSTACK(YES_Reading_ELA[#Data], YES_Reading_FLA[#Data]),MATCH($A12,_xlfn.VSTACK(YES_Reading_ELA[Student Number], YES_Reading_FLA[Student Number]),0),MATCH(B$7,YES_Reading_ELA[#Headers],0)),""))</f>
        <v/>
      </c>
      <c r="C12" s="137" t="str">
        <f>IFERROR(INDEX(_xlfn.VSTACK(YES_Writing_ELA[#Data], YES_Writing_FLA[#Data]),MATCH($A12,_xlfn.VSTACK(YES_Writing_ELA[Student Number], YES_Writing_FLA[Student Number]),0),MATCH(C$7,YES_Writing_ELA[#Headers],0)),IFERROR(INDEX(_xlfn.VSTACK(YES_Reading_ELA[#Data], YES_Reading_FLA[#Data]),MATCH($A12,_xlfn.VSTACK(YES_Reading_ELA[Student Number], YES_Reading_FLA[Student Number]),0),MATCH(C$7,YES_Reading_ELA[#Headers],0)),""))</f>
        <v/>
      </c>
      <c r="D12" s="138" t="str">
        <f>IFERROR(IF(IF(INDEX(_xlfn.VSTACK(YES_Writing_ELA[#Data],YES_Writing_FLA[#Data]),MATCH($A12,_xlfn.VSTACK(YES_Writing_ELA[Student Number],YES_Writing_FLA[Student Number]),0),MATCH(VLOOKUP(D$7,'Writing Logic'!$J$7:$K$11,2,FALSE)&amp;" - Per "&amp;VLOOKUP($C$4,'Writing Logic'!$G$8:$H$14,2,FALSE),YES_Writing_ELA[#Headers],0))=0,"",INDEX(_xlfn.VSTACK(YES_Writing_ELA[#Data],YES_Writing_FLA[#Data]),MATCH($A12,_xlfn.VSTACK(YES_Writing_ELA[Student Number],YES_Writing_FLA[Student Number]),0),MATCH(VLOOKUP(D$7,'Writing Logic'!$J$7:$K$11,2,FALSE)&amp;" - Per "&amp;VLOOKUP($C$4,'Writing Logic'!$G$8:$H$14,2,FALSE),YES_Writing_ELA[#Headers],0)))="INS",'Writing Logic'!$B$7,IF(INDEX(_xlfn.VSTACK(YES_Writing_ELA[#Data],YES_Writing_FLA[#Data]),MATCH($A12,_xlfn.VSTACK(YES_Writing_ELA[Student Number],YES_Writing_FLA[Student Number]),0),MATCH(VLOOKUP(D$7,'Writing Logic'!$J$7:$K$11,2,FALSE)&amp;" - Per "&amp;VLOOKUP($C$4,'Writing Logic'!$G$8:$H$14,2,FALSE),YES_Writing_ELA[#Headers],0))=0,"",INDEX(_xlfn.VSTACK(YES_Writing_ELA[#Data],YES_Writing_FLA[#Data]),MATCH($A12,_xlfn.VSTACK(YES_Writing_ELA[Student Number],YES_Writing_FLA[Student Number]),0),MATCH(VLOOKUP(D$7,'Writing Logic'!$J$7:$K$11,2,FALSE)&amp;" - Per "&amp;VLOOKUP($C$4,'Writing Logic'!$G$8:$H$14,2,FALSE),YES_Writing_ELA[#Headers],0)))),"")</f>
        <v/>
      </c>
      <c r="E12" s="138" t="str">
        <f>IFERROR(IF(IF(INDEX(_xlfn.VSTACK(YES_Writing_ELA[#Data],YES_Writing_FLA[#Data]),MATCH($A12,_xlfn.VSTACK(YES_Writing_ELA[Student Number],YES_Writing_FLA[Student Number]),0),MATCH(VLOOKUP(E$7,'Writing Logic'!$J$7:$K$11,2,FALSE)&amp;" - Per "&amp;VLOOKUP($C$4,'Writing Logic'!$G$8:$H$14,2,FALSE),YES_Writing_ELA[#Headers],0))=0,"",INDEX(_xlfn.VSTACK(YES_Writing_ELA[#Data],YES_Writing_FLA[#Data]),MATCH($A12,_xlfn.VSTACK(YES_Writing_ELA[Student Number],YES_Writing_FLA[Student Number]),0),MATCH(VLOOKUP(E$7,'Writing Logic'!$J$7:$K$11,2,FALSE)&amp;" - Per "&amp;VLOOKUP($C$4,'Writing Logic'!$G$8:$H$14,2,FALSE),YES_Writing_ELA[#Headers],0)))="INS",'Writing Logic'!$B$7,IF(INDEX(_xlfn.VSTACK(YES_Writing_ELA[#Data],YES_Writing_FLA[#Data]),MATCH($A12,_xlfn.VSTACK(YES_Writing_ELA[Student Number],YES_Writing_FLA[Student Number]),0),MATCH(VLOOKUP(E$7,'Writing Logic'!$J$7:$K$11,2,FALSE)&amp;" - Per "&amp;VLOOKUP($C$4,'Writing Logic'!$G$8:$H$14,2,FALSE),YES_Writing_ELA[#Headers],0))=0,"",INDEX(_xlfn.VSTACK(YES_Writing_ELA[#Data],YES_Writing_FLA[#Data]),MATCH($A12,_xlfn.VSTACK(YES_Writing_ELA[Student Number],YES_Writing_FLA[Student Number]),0),MATCH(VLOOKUP(E$7,'Writing Logic'!$J$7:$K$11,2,FALSE)&amp;" - Per "&amp;VLOOKUP($C$4,'Writing Logic'!$G$8:$H$14,2,FALSE),YES_Writing_ELA[#Headers],0)))),"")</f>
        <v/>
      </c>
      <c r="F12" s="138" t="str">
        <f>IFERROR(IF(IF(INDEX(_xlfn.VSTACK(YES_Writing_ELA[#Data],YES_Writing_FLA[#Data]),MATCH($A12,_xlfn.VSTACK(YES_Writing_ELA[Student Number],YES_Writing_FLA[Student Number]),0),MATCH(VLOOKUP(F$7,'Writing Logic'!$J$7:$K$11,2,FALSE)&amp;" - Per "&amp;VLOOKUP($C$4,'Writing Logic'!$G$8:$H$14,2,FALSE),YES_Writing_ELA[#Headers],0))=0,"",INDEX(_xlfn.VSTACK(YES_Writing_ELA[#Data],YES_Writing_FLA[#Data]),MATCH($A12,_xlfn.VSTACK(YES_Writing_ELA[Student Number],YES_Writing_FLA[Student Number]),0),MATCH(VLOOKUP(F$7,'Writing Logic'!$J$7:$K$11,2,FALSE)&amp;" - Per "&amp;VLOOKUP($C$4,'Writing Logic'!$G$8:$H$14,2,FALSE),YES_Writing_ELA[#Headers],0)))="INS",'Writing Logic'!$B$7,IF(INDEX(_xlfn.VSTACK(YES_Writing_ELA[#Data],YES_Writing_FLA[#Data]),MATCH($A12,_xlfn.VSTACK(YES_Writing_ELA[Student Number],YES_Writing_FLA[Student Number]),0),MATCH(VLOOKUP(F$7,'Writing Logic'!$J$7:$K$11,2,FALSE)&amp;" - Per "&amp;VLOOKUP($C$4,'Writing Logic'!$G$8:$H$14,2,FALSE),YES_Writing_ELA[#Headers],0))=0,"",INDEX(_xlfn.VSTACK(YES_Writing_ELA[#Data],YES_Writing_FLA[#Data]),MATCH($A12,_xlfn.VSTACK(YES_Writing_ELA[Student Number],YES_Writing_FLA[Student Number]),0),MATCH(VLOOKUP(F$7,'Writing Logic'!$J$7:$K$11,2,FALSE)&amp;" - Per "&amp;VLOOKUP($C$4,'Writing Logic'!$G$8:$H$14,2,FALSE),YES_Writing_ELA[#Headers],0)))),"")</f>
        <v/>
      </c>
      <c r="G12" s="138" t="str">
        <f>IFERROR(IF(IF(INDEX(_xlfn.VSTACK(YES_Writing_ELA[#Data],YES_Writing_FLA[#Data]),MATCH($A12,_xlfn.VSTACK(YES_Writing_ELA[Student Number],YES_Writing_FLA[Student Number]),0),MATCH(VLOOKUP(G$7,'Writing Logic'!$J$7:$K$11,2,FALSE)&amp;" - Per "&amp;VLOOKUP($C$4,'Writing Logic'!$G$8:$H$14,2,FALSE),YES_Writing_ELA[#Headers],0))=0,"",INDEX(_xlfn.VSTACK(YES_Writing_ELA[#Data],YES_Writing_FLA[#Data]),MATCH($A12,_xlfn.VSTACK(YES_Writing_ELA[Student Number],YES_Writing_FLA[Student Number]),0),MATCH(VLOOKUP(G$7,'Writing Logic'!$J$7:$K$11,2,FALSE)&amp;" - Per "&amp;VLOOKUP($C$4,'Writing Logic'!$G$8:$H$14,2,FALSE),YES_Writing_ELA[#Headers],0)))="INS",'Writing Logic'!$B$7,IF(INDEX(_xlfn.VSTACK(YES_Writing_ELA[#Data],YES_Writing_FLA[#Data]),MATCH($A12,_xlfn.VSTACK(YES_Writing_ELA[Student Number],YES_Writing_FLA[Student Number]),0),MATCH(VLOOKUP(G$7,'Writing Logic'!$J$7:$K$11,2,FALSE)&amp;" - Per "&amp;VLOOKUP($C$4,'Writing Logic'!$G$8:$H$14,2,FALSE),YES_Writing_ELA[#Headers],0))=0,"",INDEX(_xlfn.VSTACK(YES_Writing_ELA[#Data],YES_Writing_FLA[#Data]),MATCH($A12,_xlfn.VSTACK(YES_Writing_ELA[Student Number],YES_Writing_FLA[Student Number]),0),MATCH(VLOOKUP(G$7,'Writing Logic'!$J$7:$K$11,2,FALSE)&amp;" - Per "&amp;VLOOKUP($C$4,'Writing Logic'!$G$8:$H$14,2,FALSE),YES_Writing_ELA[#Headers],0)))),"")</f>
        <v/>
      </c>
      <c r="H12" s="223" t="str">
        <f>IFERROR(IF(IF(INDEX(_xlfn.VSTACK(YES_Writing_ELA[#Data],YES_Writing_FLA[#Data]),MATCH($A12,_xlfn.VSTACK(YES_Writing_ELA[Student Number],YES_Writing_FLA[Student Number]),0),MATCH(VLOOKUP(H$7,'Writing Logic'!$J$7:$K$11,2,FALSE)&amp;" - Per "&amp;VLOOKUP($C$4,'Writing Logic'!$G$8:$H$14,2,FALSE),YES_Writing_ELA[#Headers],0))=0,"",INDEX(_xlfn.VSTACK(YES_Writing_ELA[#Data],YES_Writing_FLA[#Data]),MATCH($A12,_xlfn.VSTACK(YES_Writing_ELA[Student Number],YES_Writing_FLA[Student Number]),0),MATCH(VLOOKUP(H$7,'Writing Logic'!$J$7:$K$11,2,FALSE)&amp;" - Per "&amp;VLOOKUP($C$4,'Writing Logic'!$G$8:$H$14,2,FALSE),YES_Writing_ELA[#Headers],0)))="INS",'Writing Logic'!$B$7,IF(INDEX(_xlfn.VSTACK(YES_Writing_ELA[#Data],YES_Writing_FLA[#Data]),MATCH($A12,_xlfn.VSTACK(YES_Writing_ELA[Student Number],YES_Writing_FLA[Student Number]),0),MATCH(VLOOKUP(H$7,'Writing Logic'!$J$7:$K$11,2,FALSE)&amp;" - Per "&amp;VLOOKUP($C$4,'Writing Logic'!$G$8:$H$14,2,FALSE),YES_Writing_ELA[#Headers],0))=0,"",INDEX(_xlfn.VSTACK(YES_Writing_ELA[#Data],YES_Writing_FLA[#Data]),MATCH($A12,_xlfn.VSTACK(YES_Writing_ELA[Student Number],YES_Writing_FLA[Student Number]),0),MATCH(VLOOKUP(H$7,'Writing Logic'!$J$7:$K$11,2,FALSE)&amp;" - Per "&amp;VLOOKUP($C$4,'Writing Logic'!$G$8:$H$14,2,FALSE),YES_Writing_ELA[#Headers],0)))),"")</f>
        <v/>
      </c>
      <c r="I12" s="224" t="str" cm="1">
        <f t="array" aca="1" ref="I12" ca="1">IFERROR(
IF($G$3="ELA",
IF(VLOOKUP($A12, YES_Reading_ELA[], COLUMN(INDIRECT("YES_Reading_ELA[Difference - Per "&amp;VLOOKUP($G$4, 'Reading Report Logic'!$A$2:$B$8, 2, FALSE)&amp;"]")), FALSE)="", "",
VLOOKUP($A12,YES_Reading_ELA[], COLUMN(INDIRECT("YES_Reading_ELA[Difference - Per "&amp;VLOOKUP($G$4,'Reading Report Logic'!$A$2:$B$8,2,FALSE)&amp;"]")), FALSE)),
IF($G$3="FLA",
IF(VLOOKUP($A12, YES_Reading_FLA[], COLUMN(INDIRECT("YES_Reading_FLA[Difference - Per "&amp;VLOOKUP($G$4,'Reading Report Logic'!$A$2:$B$8,2,FALSE)&amp;"]")),FALSE)="","",
VLOOKUP($A12,YES_Reading_FLA[],COLUMN(INDIRECT("YES_Reading_FLA[Difference - Per "&amp;VLOOKUP($G$4,'Reading Report Logic'!$A$2:$B$8,2,FALSE)&amp;"]")),FALSE)),
IF($G$3="Combined",
IFERROR(
IF(VLOOKUP($A12, YES_Reading_ELA[], COLUMN(INDIRECT("YES_Reading_ELA[Difference - Per "&amp;VLOOKUP($G$4, 'Reading Report Logic'!$A$2:$B$8,2,FALSE)&amp;"]")), FALSE)="", "",
VLOOKUP($A12,YES_Reading_ELA[],COLUMN(INDIRECT("YES_Reading_ELA[Difference - Per "&amp;VLOOKUP($G$4,'Reading Report Logic'!$A$2:$B$8,2,FALSE)&amp;"]")),FALSE)),
IF(VLOOKUP($A12, YES_Reading_FLA[], COLUMN(INDIRECT("YES_Reading_FLA[Difference - Per "&amp;VLOOKUP($G$4, 'Reading Report Logic'!$A$2:$B$8, 2, FALSE)&amp;"]")),FALSE)="", "", VLOOKUP($A12,YES_Reading_FLA[],COLUMN(INDIRECT("YES_Reading_FLA[Difference - Per "&amp;VLOOKUP($G$4, 'Reading Report Logic'!$A$2:$B$8, 2, FALSE)&amp;"]")),FALSE))),""))),"")</f>
        <v/>
      </c>
      <c r="J12" s="136"/>
      <c r="K12" s="108"/>
      <c r="L12" s="109" t="str">
        <f>IF(K12="","",COUNTIFS($C$10:$C$600,$K12,$H$10:$H$600,"&gt;="&amp;'Writing Logic'!$F$1))</f>
        <v/>
      </c>
      <c r="M12" s="109" t="str">
        <f t="shared" si="1"/>
        <v/>
      </c>
      <c r="N12" s="109" t="str">
        <f>IF($K12="","",COUNTIFS($C$10:$C$600,$K12,$I$10:$I$600,"&gt;=0",$H$10:$H$600,"&gt;="&amp;'Writing Logic'!$F$1))</f>
        <v/>
      </c>
      <c r="O12" s="134" t="str">
        <f>IFERROR(N12/(COUNTIFS($C$10:$C$600,$K12,$H$10:$H$600,"&lt;&gt;"&amp;"")-COUNTIFS($C$10:$C$600,$K12,$H$10:$H$600,"=IPP")-COUNTIFS($C$10:$C$600,$K12,$H$10:$H$600,"")),"")</f>
        <v/>
      </c>
    </row>
    <row r="13" spans="1:15" s="99" customFormat="1" ht="14.25" customHeight="1" x14ac:dyDescent="0.25">
      <c r="A13" s="137"/>
      <c r="B13" s="137" t="str">
        <f>IFERROR(INDEX(_xlfn.VSTACK(YES_Writing_ELA[#Data], YES_Writing_FLA[#Data]),MATCH($A13,_xlfn.VSTACK(YES_Writing_ELA[Student Number], YES_Writing_FLA[Student Number]),0),MATCH(B$7,YES_Writing_ELA[#Headers],0)),IFERROR(INDEX(_xlfn.VSTACK(YES_Reading_ELA[#Data], YES_Reading_FLA[#Data]),MATCH($A13,_xlfn.VSTACK(YES_Reading_ELA[Student Number], YES_Reading_FLA[Student Number]),0),MATCH(B$7,YES_Reading_ELA[#Headers],0)),""))</f>
        <v/>
      </c>
      <c r="C13" s="137" t="str">
        <f>IFERROR(INDEX(_xlfn.VSTACK(YES_Writing_ELA[#Data], YES_Writing_FLA[#Data]),MATCH($A13,_xlfn.VSTACK(YES_Writing_ELA[Student Number], YES_Writing_FLA[Student Number]),0),MATCH(C$7,YES_Writing_ELA[#Headers],0)),IFERROR(INDEX(_xlfn.VSTACK(YES_Reading_ELA[#Data], YES_Reading_FLA[#Data]),MATCH($A13,_xlfn.VSTACK(YES_Reading_ELA[Student Number], YES_Reading_FLA[Student Number]),0),MATCH(C$7,YES_Reading_ELA[#Headers],0)),""))</f>
        <v/>
      </c>
      <c r="D13" s="138" t="str">
        <f>IFERROR(IF(IF(INDEX(_xlfn.VSTACK(YES_Writing_ELA[#Data],YES_Writing_FLA[#Data]),MATCH($A13,_xlfn.VSTACK(YES_Writing_ELA[Student Number],YES_Writing_FLA[Student Number]),0),MATCH(VLOOKUP(D$7,'Writing Logic'!$J$7:$K$11,2,FALSE)&amp;" - Per "&amp;VLOOKUP($C$4,'Writing Logic'!$G$8:$H$14,2,FALSE),YES_Writing_ELA[#Headers],0))=0,"",INDEX(_xlfn.VSTACK(YES_Writing_ELA[#Data],YES_Writing_FLA[#Data]),MATCH($A13,_xlfn.VSTACK(YES_Writing_ELA[Student Number],YES_Writing_FLA[Student Number]),0),MATCH(VLOOKUP(D$7,'Writing Logic'!$J$7:$K$11,2,FALSE)&amp;" - Per "&amp;VLOOKUP($C$4,'Writing Logic'!$G$8:$H$14,2,FALSE),YES_Writing_ELA[#Headers],0)))="INS",'Writing Logic'!$B$7,IF(INDEX(_xlfn.VSTACK(YES_Writing_ELA[#Data],YES_Writing_FLA[#Data]),MATCH($A13,_xlfn.VSTACK(YES_Writing_ELA[Student Number],YES_Writing_FLA[Student Number]),0),MATCH(VLOOKUP(D$7,'Writing Logic'!$J$7:$K$11,2,FALSE)&amp;" - Per "&amp;VLOOKUP($C$4,'Writing Logic'!$G$8:$H$14,2,FALSE),YES_Writing_ELA[#Headers],0))=0,"",INDEX(_xlfn.VSTACK(YES_Writing_ELA[#Data],YES_Writing_FLA[#Data]),MATCH($A13,_xlfn.VSTACK(YES_Writing_ELA[Student Number],YES_Writing_FLA[Student Number]),0),MATCH(VLOOKUP(D$7,'Writing Logic'!$J$7:$K$11,2,FALSE)&amp;" - Per "&amp;VLOOKUP($C$4,'Writing Logic'!$G$8:$H$14,2,FALSE),YES_Writing_ELA[#Headers],0)))),"")</f>
        <v/>
      </c>
      <c r="E13" s="138" t="str">
        <f>IFERROR(IF(IF(INDEX(_xlfn.VSTACK(YES_Writing_ELA[#Data],YES_Writing_FLA[#Data]),MATCH($A13,_xlfn.VSTACK(YES_Writing_ELA[Student Number],YES_Writing_FLA[Student Number]),0),MATCH(VLOOKUP(E$7,'Writing Logic'!$J$7:$K$11,2,FALSE)&amp;" - Per "&amp;VLOOKUP($C$4,'Writing Logic'!$G$8:$H$14,2,FALSE),YES_Writing_ELA[#Headers],0))=0,"",INDEX(_xlfn.VSTACK(YES_Writing_ELA[#Data],YES_Writing_FLA[#Data]),MATCH($A13,_xlfn.VSTACK(YES_Writing_ELA[Student Number],YES_Writing_FLA[Student Number]),0),MATCH(VLOOKUP(E$7,'Writing Logic'!$J$7:$K$11,2,FALSE)&amp;" - Per "&amp;VLOOKUP($C$4,'Writing Logic'!$G$8:$H$14,2,FALSE),YES_Writing_ELA[#Headers],0)))="INS",'Writing Logic'!$B$7,IF(INDEX(_xlfn.VSTACK(YES_Writing_ELA[#Data],YES_Writing_FLA[#Data]),MATCH($A13,_xlfn.VSTACK(YES_Writing_ELA[Student Number],YES_Writing_FLA[Student Number]),0),MATCH(VLOOKUP(E$7,'Writing Logic'!$J$7:$K$11,2,FALSE)&amp;" - Per "&amp;VLOOKUP($C$4,'Writing Logic'!$G$8:$H$14,2,FALSE),YES_Writing_ELA[#Headers],0))=0,"",INDEX(_xlfn.VSTACK(YES_Writing_ELA[#Data],YES_Writing_FLA[#Data]),MATCH($A13,_xlfn.VSTACK(YES_Writing_ELA[Student Number],YES_Writing_FLA[Student Number]),0),MATCH(VLOOKUP(E$7,'Writing Logic'!$J$7:$K$11,2,FALSE)&amp;" - Per "&amp;VLOOKUP($C$4,'Writing Logic'!$G$8:$H$14,2,FALSE),YES_Writing_ELA[#Headers],0)))),"")</f>
        <v/>
      </c>
      <c r="F13" s="138" t="str">
        <f>IFERROR(IF(IF(INDEX(_xlfn.VSTACK(YES_Writing_ELA[#Data],YES_Writing_FLA[#Data]),MATCH($A13,_xlfn.VSTACK(YES_Writing_ELA[Student Number],YES_Writing_FLA[Student Number]),0),MATCH(VLOOKUP(F$7,'Writing Logic'!$J$7:$K$11,2,FALSE)&amp;" - Per "&amp;VLOOKUP($C$4,'Writing Logic'!$G$8:$H$14,2,FALSE),YES_Writing_ELA[#Headers],0))=0,"",INDEX(_xlfn.VSTACK(YES_Writing_ELA[#Data],YES_Writing_FLA[#Data]),MATCH($A13,_xlfn.VSTACK(YES_Writing_ELA[Student Number],YES_Writing_FLA[Student Number]),0),MATCH(VLOOKUP(F$7,'Writing Logic'!$J$7:$K$11,2,FALSE)&amp;" - Per "&amp;VLOOKUP($C$4,'Writing Logic'!$G$8:$H$14,2,FALSE),YES_Writing_ELA[#Headers],0)))="INS",'Writing Logic'!$B$7,IF(INDEX(_xlfn.VSTACK(YES_Writing_ELA[#Data],YES_Writing_FLA[#Data]),MATCH($A13,_xlfn.VSTACK(YES_Writing_ELA[Student Number],YES_Writing_FLA[Student Number]),0),MATCH(VLOOKUP(F$7,'Writing Logic'!$J$7:$K$11,2,FALSE)&amp;" - Per "&amp;VLOOKUP($C$4,'Writing Logic'!$G$8:$H$14,2,FALSE),YES_Writing_ELA[#Headers],0))=0,"",INDEX(_xlfn.VSTACK(YES_Writing_ELA[#Data],YES_Writing_FLA[#Data]),MATCH($A13,_xlfn.VSTACK(YES_Writing_ELA[Student Number],YES_Writing_FLA[Student Number]),0),MATCH(VLOOKUP(F$7,'Writing Logic'!$J$7:$K$11,2,FALSE)&amp;" - Per "&amp;VLOOKUP($C$4,'Writing Logic'!$G$8:$H$14,2,FALSE),YES_Writing_ELA[#Headers],0)))),"")</f>
        <v/>
      </c>
      <c r="G13" s="138" t="str">
        <f>IFERROR(IF(IF(INDEX(_xlfn.VSTACK(YES_Writing_ELA[#Data],YES_Writing_FLA[#Data]),MATCH($A13,_xlfn.VSTACK(YES_Writing_ELA[Student Number],YES_Writing_FLA[Student Number]),0),MATCH(VLOOKUP(G$7,'Writing Logic'!$J$7:$K$11,2,FALSE)&amp;" - Per "&amp;VLOOKUP($C$4,'Writing Logic'!$G$8:$H$14,2,FALSE),YES_Writing_ELA[#Headers],0))=0,"",INDEX(_xlfn.VSTACK(YES_Writing_ELA[#Data],YES_Writing_FLA[#Data]),MATCH($A13,_xlfn.VSTACK(YES_Writing_ELA[Student Number],YES_Writing_FLA[Student Number]),0),MATCH(VLOOKUP(G$7,'Writing Logic'!$J$7:$K$11,2,FALSE)&amp;" - Per "&amp;VLOOKUP($C$4,'Writing Logic'!$G$8:$H$14,2,FALSE),YES_Writing_ELA[#Headers],0)))="INS",'Writing Logic'!$B$7,IF(INDEX(_xlfn.VSTACK(YES_Writing_ELA[#Data],YES_Writing_FLA[#Data]),MATCH($A13,_xlfn.VSTACK(YES_Writing_ELA[Student Number],YES_Writing_FLA[Student Number]),0),MATCH(VLOOKUP(G$7,'Writing Logic'!$J$7:$K$11,2,FALSE)&amp;" - Per "&amp;VLOOKUP($C$4,'Writing Logic'!$G$8:$H$14,2,FALSE),YES_Writing_ELA[#Headers],0))=0,"",INDEX(_xlfn.VSTACK(YES_Writing_ELA[#Data],YES_Writing_FLA[#Data]),MATCH($A13,_xlfn.VSTACK(YES_Writing_ELA[Student Number],YES_Writing_FLA[Student Number]),0),MATCH(VLOOKUP(G$7,'Writing Logic'!$J$7:$K$11,2,FALSE)&amp;" - Per "&amp;VLOOKUP($C$4,'Writing Logic'!$G$8:$H$14,2,FALSE),YES_Writing_ELA[#Headers],0)))),"")</f>
        <v/>
      </c>
      <c r="H13" s="223" t="str">
        <f>IFERROR(IF(IF(INDEX(_xlfn.VSTACK(YES_Writing_ELA[#Data],YES_Writing_FLA[#Data]),MATCH($A13,_xlfn.VSTACK(YES_Writing_ELA[Student Number],YES_Writing_FLA[Student Number]),0),MATCH(VLOOKUP(H$7,'Writing Logic'!$J$7:$K$11,2,FALSE)&amp;" - Per "&amp;VLOOKUP($C$4,'Writing Logic'!$G$8:$H$14,2,FALSE),YES_Writing_ELA[#Headers],0))=0,"",INDEX(_xlfn.VSTACK(YES_Writing_ELA[#Data],YES_Writing_FLA[#Data]),MATCH($A13,_xlfn.VSTACK(YES_Writing_ELA[Student Number],YES_Writing_FLA[Student Number]),0),MATCH(VLOOKUP(H$7,'Writing Logic'!$J$7:$K$11,2,FALSE)&amp;" - Per "&amp;VLOOKUP($C$4,'Writing Logic'!$G$8:$H$14,2,FALSE),YES_Writing_ELA[#Headers],0)))="INS",'Writing Logic'!$B$7,IF(INDEX(_xlfn.VSTACK(YES_Writing_ELA[#Data],YES_Writing_FLA[#Data]),MATCH($A13,_xlfn.VSTACK(YES_Writing_ELA[Student Number],YES_Writing_FLA[Student Number]),0),MATCH(VLOOKUP(H$7,'Writing Logic'!$J$7:$K$11,2,FALSE)&amp;" - Per "&amp;VLOOKUP($C$4,'Writing Logic'!$G$8:$H$14,2,FALSE),YES_Writing_ELA[#Headers],0))=0,"",INDEX(_xlfn.VSTACK(YES_Writing_ELA[#Data],YES_Writing_FLA[#Data]),MATCH($A13,_xlfn.VSTACK(YES_Writing_ELA[Student Number],YES_Writing_FLA[Student Number]),0),MATCH(VLOOKUP(H$7,'Writing Logic'!$J$7:$K$11,2,FALSE)&amp;" - Per "&amp;VLOOKUP($C$4,'Writing Logic'!$G$8:$H$14,2,FALSE),YES_Writing_ELA[#Headers],0)))),"")</f>
        <v/>
      </c>
      <c r="I13" s="224" t="str" cm="1">
        <f t="array" aca="1" ref="I13" ca="1">IFERROR(
IF($G$3="ELA",
IF(VLOOKUP($A13, YES_Reading_ELA[], COLUMN(INDIRECT("YES_Reading_ELA[Difference - Per "&amp;VLOOKUP($G$4, 'Reading Report Logic'!$A$2:$B$8, 2, FALSE)&amp;"]")), FALSE)="", "",
VLOOKUP($A13,YES_Reading_ELA[], COLUMN(INDIRECT("YES_Reading_ELA[Difference - Per "&amp;VLOOKUP($G$4,'Reading Report Logic'!$A$2:$B$8,2,FALSE)&amp;"]")), FALSE)),
IF($G$3="FLA",
IF(VLOOKUP($A13, YES_Reading_FLA[], COLUMN(INDIRECT("YES_Reading_FLA[Difference - Per "&amp;VLOOKUP($G$4,'Reading Report Logic'!$A$2:$B$8,2,FALSE)&amp;"]")),FALSE)="","",
VLOOKUP($A13,YES_Reading_FLA[],COLUMN(INDIRECT("YES_Reading_FLA[Difference - Per "&amp;VLOOKUP($G$4,'Reading Report Logic'!$A$2:$B$8,2,FALSE)&amp;"]")),FALSE)),
IF($G$3="Combined",
IFERROR(
IF(VLOOKUP($A13, YES_Reading_ELA[], COLUMN(INDIRECT("YES_Reading_ELA[Difference - Per "&amp;VLOOKUP($G$4, 'Reading Report Logic'!$A$2:$B$8,2,FALSE)&amp;"]")), FALSE)="", "",
VLOOKUP($A13,YES_Reading_ELA[],COLUMN(INDIRECT("YES_Reading_ELA[Difference - Per "&amp;VLOOKUP($G$4,'Reading Report Logic'!$A$2:$B$8,2,FALSE)&amp;"]")),FALSE)),
IF(VLOOKUP($A13, YES_Reading_FLA[], COLUMN(INDIRECT("YES_Reading_FLA[Difference - Per "&amp;VLOOKUP($G$4, 'Reading Report Logic'!$A$2:$B$8, 2, FALSE)&amp;"]")),FALSE)="", "", VLOOKUP($A13,YES_Reading_FLA[],COLUMN(INDIRECT("YES_Reading_FLA[Difference - Per "&amp;VLOOKUP($G$4, 'Reading Report Logic'!$A$2:$B$8, 2, FALSE)&amp;"]")),FALSE))),""))),"")</f>
        <v/>
      </c>
      <c r="J13" s="136"/>
      <c r="K13" s="108"/>
      <c r="L13" s="109" t="str">
        <f>IF(K13="","",COUNTIFS($C$10:$C$600,$K13,$H$10:$H$600,"&gt;="&amp;'Writing Logic'!$F$1))</f>
        <v/>
      </c>
      <c r="M13" s="109" t="str">
        <f t="shared" si="1"/>
        <v/>
      </c>
      <c r="N13" s="109" t="str">
        <f>IF($K13="","",COUNTIFS($C$10:$C$600,$K13,$I$10:$I$600,"&gt;=0",$H$10:$H$600,"&gt;="&amp;'Writing Logic'!$F$1))</f>
        <v/>
      </c>
      <c r="O13" s="134" t="str">
        <f t="shared" ref="O13:O33" si="2">IFERROR(L13/(COUNTIFS($C$10:$C$600,$K13,$H$10:$H$600,"&lt;&gt;"&amp;"")-COUNTIFS($C$10:$C$600,$K13,$H$10:$H$600,"=IPP")-COUNTIFS($C$10:$C$600,$K13,$H$10:$H$600,"")),"")</f>
        <v/>
      </c>
    </row>
    <row r="14" spans="1:15" s="99" customFormat="1" ht="14.25" customHeight="1" x14ac:dyDescent="0.25">
      <c r="A14" s="137"/>
      <c r="B14" s="137" t="str">
        <f>IFERROR(INDEX(_xlfn.VSTACK(YES_Writing_ELA[#Data], YES_Writing_FLA[#Data]),MATCH($A14,_xlfn.VSTACK(YES_Writing_ELA[Student Number], YES_Writing_FLA[Student Number]),0),MATCH(B$7,YES_Writing_ELA[#Headers],0)),IFERROR(INDEX(_xlfn.VSTACK(YES_Reading_ELA[#Data], YES_Reading_FLA[#Data]),MATCH($A14,_xlfn.VSTACK(YES_Reading_ELA[Student Number], YES_Reading_FLA[Student Number]),0),MATCH(B$7,YES_Reading_ELA[#Headers],0)),""))</f>
        <v/>
      </c>
      <c r="C14" s="137" t="str">
        <f>IFERROR(INDEX(_xlfn.VSTACK(YES_Writing_ELA[#Data], YES_Writing_FLA[#Data]),MATCH($A14,_xlfn.VSTACK(YES_Writing_ELA[Student Number], YES_Writing_FLA[Student Number]),0),MATCH(C$7,YES_Writing_ELA[#Headers],0)),IFERROR(INDEX(_xlfn.VSTACK(YES_Reading_ELA[#Data], YES_Reading_FLA[#Data]),MATCH($A14,_xlfn.VSTACK(YES_Reading_ELA[Student Number], YES_Reading_FLA[Student Number]),0),MATCH(C$7,YES_Reading_ELA[#Headers],0)),""))</f>
        <v/>
      </c>
      <c r="D14" s="138" t="str">
        <f>IFERROR(IF(IF(INDEX(_xlfn.VSTACK(YES_Writing_ELA[#Data],YES_Writing_FLA[#Data]),MATCH($A14,_xlfn.VSTACK(YES_Writing_ELA[Student Number],YES_Writing_FLA[Student Number]),0),MATCH(VLOOKUP(D$7,'Writing Logic'!$J$7:$K$11,2,FALSE)&amp;" - Per "&amp;VLOOKUP($C$4,'Writing Logic'!$G$8:$H$14,2,FALSE),YES_Writing_ELA[#Headers],0))=0,"",INDEX(_xlfn.VSTACK(YES_Writing_ELA[#Data],YES_Writing_FLA[#Data]),MATCH($A14,_xlfn.VSTACK(YES_Writing_ELA[Student Number],YES_Writing_FLA[Student Number]),0),MATCH(VLOOKUP(D$7,'Writing Logic'!$J$7:$K$11,2,FALSE)&amp;" - Per "&amp;VLOOKUP($C$4,'Writing Logic'!$G$8:$H$14,2,FALSE),YES_Writing_ELA[#Headers],0)))="INS",'Writing Logic'!$B$7,IF(INDEX(_xlfn.VSTACK(YES_Writing_ELA[#Data],YES_Writing_FLA[#Data]),MATCH($A14,_xlfn.VSTACK(YES_Writing_ELA[Student Number],YES_Writing_FLA[Student Number]),0),MATCH(VLOOKUP(D$7,'Writing Logic'!$J$7:$K$11,2,FALSE)&amp;" - Per "&amp;VLOOKUP($C$4,'Writing Logic'!$G$8:$H$14,2,FALSE),YES_Writing_ELA[#Headers],0))=0,"",INDEX(_xlfn.VSTACK(YES_Writing_ELA[#Data],YES_Writing_FLA[#Data]),MATCH($A14,_xlfn.VSTACK(YES_Writing_ELA[Student Number],YES_Writing_FLA[Student Number]),0),MATCH(VLOOKUP(D$7,'Writing Logic'!$J$7:$K$11,2,FALSE)&amp;" - Per "&amp;VLOOKUP($C$4,'Writing Logic'!$G$8:$H$14,2,FALSE),YES_Writing_ELA[#Headers],0)))),"")</f>
        <v/>
      </c>
      <c r="E14" s="138" t="str">
        <f>IFERROR(IF(IF(INDEX(_xlfn.VSTACK(YES_Writing_ELA[#Data],YES_Writing_FLA[#Data]),MATCH($A14,_xlfn.VSTACK(YES_Writing_ELA[Student Number],YES_Writing_FLA[Student Number]),0),MATCH(VLOOKUP(E$7,'Writing Logic'!$J$7:$K$11,2,FALSE)&amp;" - Per "&amp;VLOOKUP($C$4,'Writing Logic'!$G$8:$H$14,2,FALSE),YES_Writing_ELA[#Headers],0))=0,"",INDEX(_xlfn.VSTACK(YES_Writing_ELA[#Data],YES_Writing_FLA[#Data]),MATCH($A14,_xlfn.VSTACK(YES_Writing_ELA[Student Number],YES_Writing_FLA[Student Number]),0),MATCH(VLOOKUP(E$7,'Writing Logic'!$J$7:$K$11,2,FALSE)&amp;" - Per "&amp;VLOOKUP($C$4,'Writing Logic'!$G$8:$H$14,2,FALSE),YES_Writing_ELA[#Headers],0)))="INS",'Writing Logic'!$B$7,IF(INDEX(_xlfn.VSTACK(YES_Writing_ELA[#Data],YES_Writing_FLA[#Data]),MATCH($A14,_xlfn.VSTACK(YES_Writing_ELA[Student Number],YES_Writing_FLA[Student Number]),0),MATCH(VLOOKUP(E$7,'Writing Logic'!$J$7:$K$11,2,FALSE)&amp;" - Per "&amp;VLOOKUP($C$4,'Writing Logic'!$G$8:$H$14,2,FALSE),YES_Writing_ELA[#Headers],0))=0,"",INDEX(_xlfn.VSTACK(YES_Writing_ELA[#Data],YES_Writing_FLA[#Data]),MATCH($A14,_xlfn.VSTACK(YES_Writing_ELA[Student Number],YES_Writing_FLA[Student Number]),0),MATCH(VLOOKUP(E$7,'Writing Logic'!$J$7:$K$11,2,FALSE)&amp;" - Per "&amp;VLOOKUP($C$4,'Writing Logic'!$G$8:$H$14,2,FALSE),YES_Writing_ELA[#Headers],0)))),"")</f>
        <v/>
      </c>
      <c r="F14" s="138" t="str">
        <f>IFERROR(IF(IF(INDEX(_xlfn.VSTACK(YES_Writing_ELA[#Data],YES_Writing_FLA[#Data]),MATCH($A14,_xlfn.VSTACK(YES_Writing_ELA[Student Number],YES_Writing_FLA[Student Number]),0),MATCH(VLOOKUP(F$7,'Writing Logic'!$J$7:$K$11,2,FALSE)&amp;" - Per "&amp;VLOOKUP($C$4,'Writing Logic'!$G$8:$H$14,2,FALSE),YES_Writing_ELA[#Headers],0))=0,"",INDEX(_xlfn.VSTACK(YES_Writing_ELA[#Data],YES_Writing_FLA[#Data]),MATCH($A14,_xlfn.VSTACK(YES_Writing_ELA[Student Number],YES_Writing_FLA[Student Number]),0),MATCH(VLOOKUP(F$7,'Writing Logic'!$J$7:$K$11,2,FALSE)&amp;" - Per "&amp;VLOOKUP($C$4,'Writing Logic'!$G$8:$H$14,2,FALSE),YES_Writing_ELA[#Headers],0)))="INS",'Writing Logic'!$B$7,IF(INDEX(_xlfn.VSTACK(YES_Writing_ELA[#Data],YES_Writing_FLA[#Data]),MATCH($A14,_xlfn.VSTACK(YES_Writing_ELA[Student Number],YES_Writing_FLA[Student Number]),0),MATCH(VLOOKUP(F$7,'Writing Logic'!$J$7:$K$11,2,FALSE)&amp;" - Per "&amp;VLOOKUP($C$4,'Writing Logic'!$G$8:$H$14,2,FALSE),YES_Writing_ELA[#Headers],0))=0,"",INDEX(_xlfn.VSTACK(YES_Writing_ELA[#Data],YES_Writing_FLA[#Data]),MATCH($A14,_xlfn.VSTACK(YES_Writing_ELA[Student Number],YES_Writing_FLA[Student Number]),0),MATCH(VLOOKUP(F$7,'Writing Logic'!$J$7:$K$11,2,FALSE)&amp;" - Per "&amp;VLOOKUP($C$4,'Writing Logic'!$G$8:$H$14,2,FALSE),YES_Writing_ELA[#Headers],0)))),"")</f>
        <v/>
      </c>
      <c r="G14" s="138" t="str">
        <f>IFERROR(IF(IF(INDEX(_xlfn.VSTACK(YES_Writing_ELA[#Data],YES_Writing_FLA[#Data]),MATCH($A14,_xlfn.VSTACK(YES_Writing_ELA[Student Number],YES_Writing_FLA[Student Number]),0),MATCH(VLOOKUP(G$7,'Writing Logic'!$J$7:$K$11,2,FALSE)&amp;" - Per "&amp;VLOOKUP($C$4,'Writing Logic'!$G$8:$H$14,2,FALSE),YES_Writing_ELA[#Headers],0))=0,"",INDEX(_xlfn.VSTACK(YES_Writing_ELA[#Data],YES_Writing_FLA[#Data]),MATCH($A14,_xlfn.VSTACK(YES_Writing_ELA[Student Number],YES_Writing_FLA[Student Number]),0),MATCH(VLOOKUP(G$7,'Writing Logic'!$J$7:$K$11,2,FALSE)&amp;" - Per "&amp;VLOOKUP($C$4,'Writing Logic'!$G$8:$H$14,2,FALSE),YES_Writing_ELA[#Headers],0)))="INS",'Writing Logic'!$B$7,IF(INDEX(_xlfn.VSTACK(YES_Writing_ELA[#Data],YES_Writing_FLA[#Data]),MATCH($A14,_xlfn.VSTACK(YES_Writing_ELA[Student Number],YES_Writing_FLA[Student Number]),0),MATCH(VLOOKUP(G$7,'Writing Logic'!$J$7:$K$11,2,FALSE)&amp;" - Per "&amp;VLOOKUP($C$4,'Writing Logic'!$G$8:$H$14,2,FALSE),YES_Writing_ELA[#Headers],0))=0,"",INDEX(_xlfn.VSTACK(YES_Writing_ELA[#Data],YES_Writing_FLA[#Data]),MATCH($A14,_xlfn.VSTACK(YES_Writing_ELA[Student Number],YES_Writing_FLA[Student Number]),0),MATCH(VLOOKUP(G$7,'Writing Logic'!$J$7:$K$11,2,FALSE)&amp;" - Per "&amp;VLOOKUP($C$4,'Writing Logic'!$G$8:$H$14,2,FALSE),YES_Writing_ELA[#Headers],0)))),"")</f>
        <v/>
      </c>
      <c r="H14" s="223" t="str">
        <f>IFERROR(IF(IF(INDEX(_xlfn.VSTACK(YES_Writing_ELA[#Data],YES_Writing_FLA[#Data]),MATCH($A14,_xlfn.VSTACK(YES_Writing_ELA[Student Number],YES_Writing_FLA[Student Number]),0),MATCH(VLOOKUP(H$7,'Writing Logic'!$J$7:$K$11,2,FALSE)&amp;" - Per "&amp;VLOOKUP($C$4,'Writing Logic'!$G$8:$H$14,2,FALSE),YES_Writing_ELA[#Headers],0))=0,"",INDEX(_xlfn.VSTACK(YES_Writing_ELA[#Data],YES_Writing_FLA[#Data]),MATCH($A14,_xlfn.VSTACK(YES_Writing_ELA[Student Number],YES_Writing_FLA[Student Number]),0),MATCH(VLOOKUP(H$7,'Writing Logic'!$J$7:$K$11,2,FALSE)&amp;" - Per "&amp;VLOOKUP($C$4,'Writing Logic'!$G$8:$H$14,2,FALSE),YES_Writing_ELA[#Headers],0)))="INS",'Writing Logic'!$B$7,IF(INDEX(_xlfn.VSTACK(YES_Writing_ELA[#Data],YES_Writing_FLA[#Data]),MATCH($A14,_xlfn.VSTACK(YES_Writing_ELA[Student Number],YES_Writing_FLA[Student Number]),0),MATCH(VLOOKUP(H$7,'Writing Logic'!$J$7:$K$11,2,FALSE)&amp;" - Per "&amp;VLOOKUP($C$4,'Writing Logic'!$G$8:$H$14,2,FALSE),YES_Writing_ELA[#Headers],0))=0,"",INDEX(_xlfn.VSTACK(YES_Writing_ELA[#Data],YES_Writing_FLA[#Data]),MATCH($A14,_xlfn.VSTACK(YES_Writing_ELA[Student Number],YES_Writing_FLA[Student Number]),0),MATCH(VLOOKUP(H$7,'Writing Logic'!$J$7:$K$11,2,FALSE)&amp;" - Per "&amp;VLOOKUP($C$4,'Writing Logic'!$G$8:$H$14,2,FALSE),YES_Writing_ELA[#Headers],0)))),"")</f>
        <v/>
      </c>
      <c r="I14" s="224" t="str" cm="1">
        <f t="array" aca="1" ref="I14" ca="1">IFERROR(
IF($G$3="ELA",
IF(VLOOKUP($A14, YES_Reading_ELA[], COLUMN(INDIRECT("YES_Reading_ELA[Difference - Per "&amp;VLOOKUP($G$4, 'Reading Report Logic'!$A$2:$B$8, 2, FALSE)&amp;"]")), FALSE)="", "",
VLOOKUP($A14,YES_Reading_ELA[], COLUMN(INDIRECT("YES_Reading_ELA[Difference - Per "&amp;VLOOKUP($G$4,'Reading Report Logic'!$A$2:$B$8,2,FALSE)&amp;"]")), FALSE)),
IF($G$3="FLA",
IF(VLOOKUP($A14, YES_Reading_FLA[], COLUMN(INDIRECT("YES_Reading_FLA[Difference - Per "&amp;VLOOKUP($G$4,'Reading Report Logic'!$A$2:$B$8,2,FALSE)&amp;"]")),FALSE)="","",
VLOOKUP($A14,YES_Reading_FLA[],COLUMN(INDIRECT("YES_Reading_FLA[Difference - Per "&amp;VLOOKUP($G$4,'Reading Report Logic'!$A$2:$B$8,2,FALSE)&amp;"]")),FALSE)),
IF($G$3="Combined",
IFERROR(
IF(VLOOKUP($A14, YES_Reading_ELA[], COLUMN(INDIRECT("YES_Reading_ELA[Difference - Per "&amp;VLOOKUP($G$4, 'Reading Report Logic'!$A$2:$B$8,2,FALSE)&amp;"]")), FALSE)="", "",
VLOOKUP($A14,YES_Reading_ELA[],COLUMN(INDIRECT("YES_Reading_ELA[Difference - Per "&amp;VLOOKUP($G$4,'Reading Report Logic'!$A$2:$B$8,2,FALSE)&amp;"]")),FALSE)),
IF(VLOOKUP($A14, YES_Reading_FLA[], COLUMN(INDIRECT("YES_Reading_FLA[Difference - Per "&amp;VLOOKUP($G$4, 'Reading Report Logic'!$A$2:$B$8, 2, FALSE)&amp;"]")),FALSE)="", "", VLOOKUP($A14,YES_Reading_FLA[],COLUMN(INDIRECT("YES_Reading_FLA[Difference - Per "&amp;VLOOKUP($G$4, 'Reading Report Logic'!$A$2:$B$8, 2, FALSE)&amp;"]")),FALSE))),""))),"")</f>
        <v/>
      </c>
      <c r="J14" s="136"/>
      <c r="K14" s="108"/>
      <c r="L14" s="109" t="str">
        <f>IF(K14="","",COUNTIFS($C$10:$C$600,$K14,$H$10:$H$600,"&gt;="&amp;'Writing Logic'!$F$1))</f>
        <v/>
      </c>
      <c r="M14" s="109" t="str">
        <f t="shared" si="1"/>
        <v/>
      </c>
      <c r="N14" s="109" t="str">
        <f>IF($K14="","",COUNTIFS($C$10:$C$600,$K14,$I$10:$I$600,"&gt;=0",$H$10:$H$600,"&gt;="&amp;'Writing Logic'!$F$1))</f>
        <v/>
      </c>
      <c r="O14" s="134" t="str">
        <f t="shared" si="2"/>
        <v/>
      </c>
    </row>
    <row r="15" spans="1:15" s="99" customFormat="1" ht="14.25" customHeight="1" x14ac:dyDescent="0.25">
      <c r="A15" s="137"/>
      <c r="B15" s="137" t="str">
        <f>IFERROR(INDEX(_xlfn.VSTACK(YES_Writing_ELA[#Data], YES_Writing_FLA[#Data]),MATCH($A15,_xlfn.VSTACK(YES_Writing_ELA[Student Number], YES_Writing_FLA[Student Number]),0),MATCH(B$7,YES_Writing_ELA[#Headers],0)),IFERROR(INDEX(_xlfn.VSTACK(YES_Reading_ELA[#Data], YES_Reading_FLA[#Data]),MATCH($A15,_xlfn.VSTACK(YES_Reading_ELA[Student Number], YES_Reading_FLA[Student Number]),0),MATCH(B$7,YES_Reading_ELA[#Headers],0)),""))</f>
        <v/>
      </c>
      <c r="C15" s="137" t="str">
        <f>IFERROR(INDEX(_xlfn.VSTACK(YES_Writing_ELA[#Data], YES_Writing_FLA[#Data]),MATCH($A15,_xlfn.VSTACK(YES_Writing_ELA[Student Number], YES_Writing_FLA[Student Number]),0),MATCH(C$7,YES_Writing_ELA[#Headers],0)),IFERROR(INDEX(_xlfn.VSTACK(YES_Reading_ELA[#Data], YES_Reading_FLA[#Data]),MATCH($A15,_xlfn.VSTACK(YES_Reading_ELA[Student Number], YES_Reading_FLA[Student Number]),0),MATCH(C$7,YES_Reading_ELA[#Headers],0)),""))</f>
        <v/>
      </c>
      <c r="D15" s="138" t="str">
        <f>IFERROR(IF(IF(INDEX(_xlfn.VSTACK(YES_Writing_ELA[#Data],YES_Writing_FLA[#Data]),MATCH($A15,_xlfn.VSTACK(YES_Writing_ELA[Student Number],YES_Writing_FLA[Student Number]),0),MATCH(VLOOKUP(D$7,'Writing Logic'!$J$7:$K$11,2,FALSE)&amp;" - Per "&amp;VLOOKUP($C$4,'Writing Logic'!$G$8:$H$14,2,FALSE),YES_Writing_ELA[#Headers],0))=0,"",INDEX(_xlfn.VSTACK(YES_Writing_ELA[#Data],YES_Writing_FLA[#Data]),MATCH($A15,_xlfn.VSTACK(YES_Writing_ELA[Student Number],YES_Writing_FLA[Student Number]),0),MATCH(VLOOKUP(D$7,'Writing Logic'!$J$7:$K$11,2,FALSE)&amp;" - Per "&amp;VLOOKUP($C$4,'Writing Logic'!$G$8:$H$14,2,FALSE),YES_Writing_ELA[#Headers],0)))="INS",'Writing Logic'!$B$7,IF(INDEX(_xlfn.VSTACK(YES_Writing_ELA[#Data],YES_Writing_FLA[#Data]),MATCH($A15,_xlfn.VSTACK(YES_Writing_ELA[Student Number],YES_Writing_FLA[Student Number]),0),MATCH(VLOOKUP(D$7,'Writing Logic'!$J$7:$K$11,2,FALSE)&amp;" - Per "&amp;VLOOKUP($C$4,'Writing Logic'!$G$8:$H$14,2,FALSE),YES_Writing_ELA[#Headers],0))=0,"",INDEX(_xlfn.VSTACK(YES_Writing_ELA[#Data],YES_Writing_FLA[#Data]),MATCH($A15,_xlfn.VSTACK(YES_Writing_ELA[Student Number],YES_Writing_FLA[Student Number]),0),MATCH(VLOOKUP(D$7,'Writing Logic'!$J$7:$K$11,2,FALSE)&amp;" - Per "&amp;VLOOKUP($C$4,'Writing Logic'!$G$8:$H$14,2,FALSE),YES_Writing_ELA[#Headers],0)))),"")</f>
        <v/>
      </c>
      <c r="E15" s="138" t="str">
        <f>IFERROR(IF(IF(INDEX(_xlfn.VSTACK(YES_Writing_ELA[#Data],YES_Writing_FLA[#Data]),MATCH($A15,_xlfn.VSTACK(YES_Writing_ELA[Student Number],YES_Writing_FLA[Student Number]),0),MATCH(VLOOKUP(E$7,'Writing Logic'!$J$7:$K$11,2,FALSE)&amp;" - Per "&amp;VLOOKUP($C$4,'Writing Logic'!$G$8:$H$14,2,FALSE),YES_Writing_ELA[#Headers],0))=0,"",INDEX(_xlfn.VSTACK(YES_Writing_ELA[#Data],YES_Writing_FLA[#Data]),MATCH($A15,_xlfn.VSTACK(YES_Writing_ELA[Student Number],YES_Writing_FLA[Student Number]),0),MATCH(VLOOKUP(E$7,'Writing Logic'!$J$7:$K$11,2,FALSE)&amp;" - Per "&amp;VLOOKUP($C$4,'Writing Logic'!$G$8:$H$14,2,FALSE),YES_Writing_ELA[#Headers],0)))="INS",'Writing Logic'!$B$7,IF(INDEX(_xlfn.VSTACK(YES_Writing_ELA[#Data],YES_Writing_FLA[#Data]),MATCH($A15,_xlfn.VSTACK(YES_Writing_ELA[Student Number],YES_Writing_FLA[Student Number]),0),MATCH(VLOOKUP(E$7,'Writing Logic'!$J$7:$K$11,2,FALSE)&amp;" - Per "&amp;VLOOKUP($C$4,'Writing Logic'!$G$8:$H$14,2,FALSE),YES_Writing_ELA[#Headers],0))=0,"",INDEX(_xlfn.VSTACK(YES_Writing_ELA[#Data],YES_Writing_FLA[#Data]),MATCH($A15,_xlfn.VSTACK(YES_Writing_ELA[Student Number],YES_Writing_FLA[Student Number]),0),MATCH(VLOOKUP(E$7,'Writing Logic'!$J$7:$K$11,2,FALSE)&amp;" - Per "&amp;VLOOKUP($C$4,'Writing Logic'!$G$8:$H$14,2,FALSE),YES_Writing_ELA[#Headers],0)))),"")</f>
        <v/>
      </c>
      <c r="F15" s="138" t="str">
        <f>IFERROR(IF(IF(INDEX(_xlfn.VSTACK(YES_Writing_ELA[#Data],YES_Writing_FLA[#Data]),MATCH($A15,_xlfn.VSTACK(YES_Writing_ELA[Student Number],YES_Writing_FLA[Student Number]),0),MATCH(VLOOKUP(F$7,'Writing Logic'!$J$7:$K$11,2,FALSE)&amp;" - Per "&amp;VLOOKUP($C$4,'Writing Logic'!$G$8:$H$14,2,FALSE),YES_Writing_ELA[#Headers],0))=0,"",INDEX(_xlfn.VSTACK(YES_Writing_ELA[#Data],YES_Writing_FLA[#Data]),MATCH($A15,_xlfn.VSTACK(YES_Writing_ELA[Student Number],YES_Writing_FLA[Student Number]),0),MATCH(VLOOKUP(F$7,'Writing Logic'!$J$7:$K$11,2,FALSE)&amp;" - Per "&amp;VLOOKUP($C$4,'Writing Logic'!$G$8:$H$14,2,FALSE),YES_Writing_ELA[#Headers],0)))="INS",'Writing Logic'!$B$7,IF(INDEX(_xlfn.VSTACK(YES_Writing_ELA[#Data],YES_Writing_FLA[#Data]),MATCH($A15,_xlfn.VSTACK(YES_Writing_ELA[Student Number],YES_Writing_FLA[Student Number]),0),MATCH(VLOOKUP(F$7,'Writing Logic'!$J$7:$K$11,2,FALSE)&amp;" - Per "&amp;VLOOKUP($C$4,'Writing Logic'!$G$8:$H$14,2,FALSE),YES_Writing_ELA[#Headers],0))=0,"",INDEX(_xlfn.VSTACK(YES_Writing_ELA[#Data],YES_Writing_FLA[#Data]),MATCH($A15,_xlfn.VSTACK(YES_Writing_ELA[Student Number],YES_Writing_FLA[Student Number]),0),MATCH(VLOOKUP(F$7,'Writing Logic'!$J$7:$K$11,2,FALSE)&amp;" - Per "&amp;VLOOKUP($C$4,'Writing Logic'!$G$8:$H$14,2,FALSE),YES_Writing_ELA[#Headers],0)))),"")</f>
        <v/>
      </c>
      <c r="G15" s="138" t="str">
        <f>IFERROR(IF(IF(INDEX(_xlfn.VSTACK(YES_Writing_ELA[#Data],YES_Writing_FLA[#Data]),MATCH($A15,_xlfn.VSTACK(YES_Writing_ELA[Student Number],YES_Writing_FLA[Student Number]),0),MATCH(VLOOKUP(G$7,'Writing Logic'!$J$7:$K$11,2,FALSE)&amp;" - Per "&amp;VLOOKUP($C$4,'Writing Logic'!$G$8:$H$14,2,FALSE),YES_Writing_ELA[#Headers],0))=0,"",INDEX(_xlfn.VSTACK(YES_Writing_ELA[#Data],YES_Writing_FLA[#Data]),MATCH($A15,_xlfn.VSTACK(YES_Writing_ELA[Student Number],YES_Writing_FLA[Student Number]),0),MATCH(VLOOKUP(G$7,'Writing Logic'!$J$7:$K$11,2,FALSE)&amp;" - Per "&amp;VLOOKUP($C$4,'Writing Logic'!$G$8:$H$14,2,FALSE),YES_Writing_ELA[#Headers],0)))="INS",'Writing Logic'!$B$7,IF(INDEX(_xlfn.VSTACK(YES_Writing_ELA[#Data],YES_Writing_FLA[#Data]),MATCH($A15,_xlfn.VSTACK(YES_Writing_ELA[Student Number],YES_Writing_FLA[Student Number]),0),MATCH(VLOOKUP(G$7,'Writing Logic'!$J$7:$K$11,2,FALSE)&amp;" - Per "&amp;VLOOKUP($C$4,'Writing Logic'!$G$8:$H$14,2,FALSE),YES_Writing_ELA[#Headers],0))=0,"",INDEX(_xlfn.VSTACK(YES_Writing_ELA[#Data],YES_Writing_FLA[#Data]),MATCH($A15,_xlfn.VSTACK(YES_Writing_ELA[Student Number],YES_Writing_FLA[Student Number]),0),MATCH(VLOOKUP(G$7,'Writing Logic'!$J$7:$K$11,2,FALSE)&amp;" - Per "&amp;VLOOKUP($C$4,'Writing Logic'!$G$8:$H$14,2,FALSE),YES_Writing_ELA[#Headers],0)))),"")</f>
        <v/>
      </c>
      <c r="H15" s="223" t="str">
        <f>IFERROR(IF(IF(INDEX(_xlfn.VSTACK(YES_Writing_ELA[#Data],YES_Writing_FLA[#Data]),MATCH($A15,_xlfn.VSTACK(YES_Writing_ELA[Student Number],YES_Writing_FLA[Student Number]),0),MATCH(VLOOKUP(H$7,'Writing Logic'!$J$7:$K$11,2,FALSE)&amp;" - Per "&amp;VLOOKUP($C$4,'Writing Logic'!$G$8:$H$14,2,FALSE),YES_Writing_ELA[#Headers],0))=0,"",INDEX(_xlfn.VSTACK(YES_Writing_ELA[#Data],YES_Writing_FLA[#Data]),MATCH($A15,_xlfn.VSTACK(YES_Writing_ELA[Student Number],YES_Writing_FLA[Student Number]),0),MATCH(VLOOKUP(H$7,'Writing Logic'!$J$7:$K$11,2,FALSE)&amp;" - Per "&amp;VLOOKUP($C$4,'Writing Logic'!$G$8:$H$14,2,FALSE),YES_Writing_ELA[#Headers],0)))="INS",'Writing Logic'!$B$7,IF(INDEX(_xlfn.VSTACK(YES_Writing_ELA[#Data],YES_Writing_FLA[#Data]),MATCH($A15,_xlfn.VSTACK(YES_Writing_ELA[Student Number],YES_Writing_FLA[Student Number]),0),MATCH(VLOOKUP(H$7,'Writing Logic'!$J$7:$K$11,2,FALSE)&amp;" - Per "&amp;VLOOKUP($C$4,'Writing Logic'!$G$8:$H$14,2,FALSE),YES_Writing_ELA[#Headers],0))=0,"",INDEX(_xlfn.VSTACK(YES_Writing_ELA[#Data],YES_Writing_FLA[#Data]),MATCH($A15,_xlfn.VSTACK(YES_Writing_ELA[Student Number],YES_Writing_FLA[Student Number]),0),MATCH(VLOOKUP(H$7,'Writing Logic'!$J$7:$K$11,2,FALSE)&amp;" - Per "&amp;VLOOKUP($C$4,'Writing Logic'!$G$8:$H$14,2,FALSE),YES_Writing_ELA[#Headers],0)))),"")</f>
        <v/>
      </c>
      <c r="I15" s="224" t="str" cm="1">
        <f t="array" aca="1" ref="I15" ca="1">IFERROR(
IF($G$3="ELA",
IF(VLOOKUP($A15, YES_Reading_ELA[], COLUMN(INDIRECT("YES_Reading_ELA[Difference - Per "&amp;VLOOKUP($G$4, 'Reading Report Logic'!$A$2:$B$8, 2, FALSE)&amp;"]")), FALSE)="", "",
VLOOKUP($A15,YES_Reading_ELA[], COLUMN(INDIRECT("YES_Reading_ELA[Difference - Per "&amp;VLOOKUP($G$4,'Reading Report Logic'!$A$2:$B$8,2,FALSE)&amp;"]")), FALSE)),
IF($G$3="FLA",
IF(VLOOKUP($A15, YES_Reading_FLA[], COLUMN(INDIRECT("YES_Reading_FLA[Difference - Per "&amp;VLOOKUP($G$4,'Reading Report Logic'!$A$2:$B$8,2,FALSE)&amp;"]")),FALSE)="","",
VLOOKUP($A15,YES_Reading_FLA[],COLUMN(INDIRECT("YES_Reading_FLA[Difference - Per "&amp;VLOOKUP($G$4,'Reading Report Logic'!$A$2:$B$8,2,FALSE)&amp;"]")),FALSE)),
IF($G$3="Combined",
IFERROR(
IF(VLOOKUP($A15, YES_Reading_ELA[], COLUMN(INDIRECT("YES_Reading_ELA[Difference - Per "&amp;VLOOKUP($G$4, 'Reading Report Logic'!$A$2:$B$8,2,FALSE)&amp;"]")), FALSE)="", "",
VLOOKUP($A15,YES_Reading_ELA[],COLUMN(INDIRECT("YES_Reading_ELA[Difference - Per "&amp;VLOOKUP($G$4,'Reading Report Logic'!$A$2:$B$8,2,FALSE)&amp;"]")),FALSE)),
IF(VLOOKUP($A15, YES_Reading_FLA[], COLUMN(INDIRECT("YES_Reading_FLA[Difference - Per "&amp;VLOOKUP($G$4, 'Reading Report Logic'!$A$2:$B$8, 2, FALSE)&amp;"]")),FALSE)="", "", VLOOKUP($A15,YES_Reading_FLA[],COLUMN(INDIRECT("YES_Reading_FLA[Difference - Per "&amp;VLOOKUP($G$4, 'Reading Report Logic'!$A$2:$B$8, 2, FALSE)&amp;"]")),FALSE))),""))),"")</f>
        <v/>
      </c>
      <c r="J15" s="136"/>
      <c r="K15" s="108"/>
      <c r="L15" s="109" t="str">
        <f>IF(K15="","",COUNTIFS($C$10:$C$600,$K15,$H$10:$H$600,"&gt;="&amp;'Writing Logic'!$F$1))</f>
        <v/>
      </c>
      <c r="M15" s="109" t="str">
        <f t="shared" si="1"/>
        <v/>
      </c>
      <c r="N15" s="109" t="str">
        <f>IF($K15="","",COUNTIFS($C$10:$C$600,$K15,$I$10:$I$600,"&gt;=0",$H$10:$H$600,"&gt;="&amp;'Writing Logic'!$F$1))</f>
        <v/>
      </c>
      <c r="O15" s="134" t="str">
        <f t="shared" si="2"/>
        <v/>
      </c>
    </row>
    <row r="16" spans="1:15" s="99" customFormat="1" ht="14.25" customHeight="1" x14ac:dyDescent="0.25">
      <c r="A16" s="137"/>
      <c r="B16" s="137" t="str">
        <f>IFERROR(INDEX(_xlfn.VSTACK(YES_Writing_ELA[#Data], YES_Writing_FLA[#Data]),MATCH($A16,_xlfn.VSTACK(YES_Writing_ELA[Student Number], YES_Writing_FLA[Student Number]),0),MATCH(B$7,YES_Writing_ELA[#Headers],0)),IFERROR(INDEX(_xlfn.VSTACK(YES_Reading_ELA[#Data], YES_Reading_FLA[#Data]),MATCH($A16,_xlfn.VSTACK(YES_Reading_ELA[Student Number], YES_Reading_FLA[Student Number]),0),MATCH(B$7,YES_Reading_ELA[#Headers],0)),""))</f>
        <v/>
      </c>
      <c r="C16" s="137" t="str">
        <f>IFERROR(INDEX(_xlfn.VSTACK(YES_Writing_ELA[#Data], YES_Writing_FLA[#Data]),MATCH($A16,_xlfn.VSTACK(YES_Writing_ELA[Student Number], YES_Writing_FLA[Student Number]),0),MATCH(C$7,YES_Writing_ELA[#Headers],0)),IFERROR(INDEX(_xlfn.VSTACK(YES_Reading_ELA[#Data], YES_Reading_FLA[#Data]),MATCH($A16,_xlfn.VSTACK(YES_Reading_ELA[Student Number], YES_Reading_FLA[Student Number]),0),MATCH(C$7,YES_Reading_ELA[#Headers],0)),""))</f>
        <v/>
      </c>
      <c r="D16" s="138" t="str">
        <f>IFERROR(IF(IF(INDEX(_xlfn.VSTACK(YES_Writing_ELA[#Data],YES_Writing_FLA[#Data]),MATCH($A16,_xlfn.VSTACK(YES_Writing_ELA[Student Number],YES_Writing_FLA[Student Number]),0),MATCH(VLOOKUP(D$7,'Writing Logic'!$J$7:$K$11,2,FALSE)&amp;" - Per "&amp;VLOOKUP($C$4,'Writing Logic'!$G$8:$H$14,2,FALSE),YES_Writing_ELA[#Headers],0))=0,"",INDEX(_xlfn.VSTACK(YES_Writing_ELA[#Data],YES_Writing_FLA[#Data]),MATCH($A16,_xlfn.VSTACK(YES_Writing_ELA[Student Number],YES_Writing_FLA[Student Number]),0),MATCH(VLOOKUP(D$7,'Writing Logic'!$J$7:$K$11,2,FALSE)&amp;" - Per "&amp;VLOOKUP($C$4,'Writing Logic'!$G$8:$H$14,2,FALSE),YES_Writing_ELA[#Headers],0)))="INS",'Writing Logic'!$B$7,IF(INDEX(_xlfn.VSTACK(YES_Writing_ELA[#Data],YES_Writing_FLA[#Data]),MATCH($A16,_xlfn.VSTACK(YES_Writing_ELA[Student Number],YES_Writing_FLA[Student Number]),0),MATCH(VLOOKUP(D$7,'Writing Logic'!$J$7:$K$11,2,FALSE)&amp;" - Per "&amp;VLOOKUP($C$4,'Writing Logic'!$G$8:$H$14,2,FALSE),YES_Writing_ELA[#Headers],0))=0,"",INDEX(_xlfn.VSTACK(YES_Writing_ELA[#Data],YES_Writing_FLA[#Data]),MATCH($A16,_xlfn.VSTACK(YES_Writing_ELA[Student Number],YES_Writing_FLA[Student Number]),0),MATCH(VLOOKUP(D$7,'Writing Logic'!$J$7:$K$11,2,FALSE)&amp;" - Per "&amp;VLOOKUP($C$4,'Writing Logic'!$G$8:$H$14,2,FALSE),YES_Writing_ELA[#Headers],0)))),"")</f>
        <v/>
      </c>
      <c r="E16" s="138" t="str">
        <f>IFERROR(IF(IF(INDEX(_xlfn.VSTACK(YES_Writing_ELA[#Data],YES_Writing_FLA[#Data]),MATCH($A16,_xlfn.VSTACK(YES_Writing_ELA[Student Number],YES_Writing_FLA[Student Number]),0),MATCH(VLOOKUP(E$7,'Writing Logic'!$J$7:$K$11,2,FALSE)&amp;" - Per "&amp;VLOOKUP($C$4,'Writing Logic'!$G$8:$H$14,2,FALSE),YES_Writing_ELA[#Headers],0))=0,"",INDEX(_xlfn.VSTACK(YES_Writing_ELA[#Data],YES_Writing_FLA[#Data]),MATCH($A16,_xlfn.VSTACK(YES_Writing_ELA[Student Number],YES_Writing_FLA[Student Number]),0),MATCH(VLOOKUP(E$7,'Writing Logic'!$J$7:$K$11,2,FALSE)&amp;" - Per "&amp;VLOOKUP($C$4,'Writing Logic'!$G$8:$H$14,2,FALSE),YES_Writing_ELA[#Headers],0)))="INS",'Writing Logic'!$B$7,IF(INDEX(_xlfn.VSTACK(YES_Writing_ELA[#Data],YES_Writing_FLA[#Data]),MATCH($A16,_xlfn.VSTACK(YES_Writing_ELA[Student Number],YES_Writing_FLA[Student Number]),0),MATCH(VLOOKUP(E$7,'Writing Logic'!$J$7:$K$11,2,FALSE)&amp;" - Per "&amp;VLOOKUP($C$4,'Writing Logic'!$G$8:$H$14,2,FALSE),YES_Writing_ELA[#Headers],0))=0,"",INDEX(_xlfn.VSTACK(YES_Writing_ELA[#Data],YES_Writing_FLA[#Data]),MATCH($A16,_xlfn.VSTACK(YES_Writing_ELA[Student Number],YES_Writing_FLA[Student Number]),0),MATCH(VLOOKUP(E$7,'Writing Logic'!$J$7:$K$11,2,FALSE)&amp;" - Per "&amp;VLOOKUP($C$4,'Writing Logic'!$G$8:$H$14,2,FALSE),YES_Writing_ELA[#Headers],0)))),"")</f>
        <v/>
      </c>
      <c r="F16" s="138" t="str">
        <f>IFERROR(IF(IF(INDEX(_xlfn.VSTACK(YES_Writing_ELA[#Data],YES_Writing_FLA[#Data]),MATCH($A16,_xlfn.VSTACK(YES_Writing_ELA[Student Number],YES_Writing_FLA[Student Number]),0),MATCH(VLOOKUP(F$7,'Writing Logic'!$J$7:$K$11,2,FALSE)&amp;" - Per "&amp;VLOOKUP($C$4,'Writing Logic'!$G$8:$H$14,2,FALSE),YES_Writing_ELA[#Headers],0))=0,"",INDEX(_xlfn.VSTACK(YES_Writing_ELA[#Data],YES_Writing_FLA[#Data]),MATCH($A16,_xlfn.VSTACK(YES_Writing_ELA[Student Number],YES_Writing_FLA[Student Number]),0),MATCH(VLOOKUP(F$7,'Writing Logic'!$J$7:$K$11,2,FALSE)&amp;" - Per "&amp;VLOOKUP($C$4,'Writing Logic'!$G$8:$H$14,2,FALSE),YES_Writing_ELA[#Headers],0)))="INS",'Writing Logic'!$B$7,IF(INDEX(_xlfn.VSTACK(YES_Writing_ELA[#Data],YES_Writing_FLA[#Data]),MATCH($A16,_xlfn.VSTACK(YES_Writing_ELA[Student Number],YES_Writing_FLA[Student Number]),0),MATCH(VLOOKUP(F$7,'Writing Logic'!$J$7:$K$11,2,FALSE)&amp;" - Per "&amp;VLOOKUP($C$4,'Writing Logic'!$G$8:$H$14,2,FALSE),YES_Writing_ELA[#Headers],0))=0,"",INDEX(_xlfn.VSTACK(YES_Writing_ELA[#Data],YES_Writing_FLA[#Data]),MATCH($A16,_xlfn.VSTACK(YES_Writing_ELA[Student Number],YES_Writing_FLA[Student Number]),0),MATCH(VLOOKUP(F$7,'Writing Logic'!$J$7:$K$11,2,FALSE)&amp;" - Per "&amp;VLOOKUP($C$4,'Writing Logic'!$G$8:$H$14,2,FALSE),YES_Writing_ELA[#Headers],0)))),"")</f>
        <v/>
      </c>
      <c r="G16" s="138" t="str">
        <f>IFERROR(IF(IF(INDEX(_xlfn.VSTACK(YES_Writing_ELA[#Data],YES_Writing_FLA[#Data]),MATCH($A16,_xlfn.VSTACK(YES_Writing_ELA[Student Number],YES_Writing_FLA[Student Number]),0),MATCH(VLOOKUP(G$7,'Writing Logic'!$J$7:$K$11,2,FALSE)&amp;" - Per "&amp;VLOOKUP($C$4,'Writing Logic'!$G$8:$H$14,2,FALSE),YES_Writing_ELA[#Headers],0))=0,"",INDEX(_xlfn.VSTACK(YES_Writing_ELA[#Data],YES_Writing_FLA[#Data]),MATCH($A16,_xlfn.VSTACK(YES_Writing_ELA[Student Number],YES_Writing_FLA[Student Number]),0),MATCH(VLOOKUP(G$7,'Writing Logic'!$J$7:$K$11,2,FALSE)&amp;" - Per "&amp;VLOOKUP($C$4,'Writing Logic'!$G$8:$H$14,2,FALSE),YES_Writing_ELA[#Headers],0)))="INS",'Writing Logic'!$B$7,IF(INDEX(_xlfn.VSTACK(YES_Writing_ELA[#Data],YES_Writing_FLA[#Data]),MATCH($A16,_xlfn.VSTACK(YES_Writing_ELA[Student Number],YES_Writing_FLA[Student Number]),0),MATCH(VLOOKUP(G$7,'Writing Logic'!$J$7:$K$11,2,FALSE)&amp;" - Per "&amp;VLOOKUP($C$4,'Writing Logic'!$G$8:$H$14,2,FALSE),YES_Writing_ELA[#Headers],0))=0,"",INDEX(_xlfn.VSTACK(YES_Writing_ELA[#Data],YES_Writing_FLA[#Data]),MATCH($A16,_xlfn.VSTACK(YES_Writing_ELA[Student Number],YES_Writing_FLA[Student Number]),0),MATCH(VLOOKUP(G$7,'Writing Logic'!$J$7:$K$11,2,FALSE)&amp;" - Per "&amp;VLOOKUP($C$4,'Writing Logic'!$G$8:$H$14,2,FALSE),YES_Writing_ELA[#Headers],0)))),"")</f>
        <v/>
      </c>
      <c r="H16" s="223" t="str">
        <f>IFERROR(IF(IF(INDEX(_xlfn.VSTACK(YES_Writing_ELA[#Data],YES_Writing_FLA[#Data]),MATCH($A16,_xlfn.VSTACK(YES_Writing_ELA[Student Number],YES_Writing_FLA[Student Number]),0),MATCH(VLOOKUP(H$7,'Writing Logic'!$J$7:$K$11,2,FALSE)&amp;" - Per "&amp;VLOOKUP($C$4,'Writing Logic'!$G$8:$H$14,2,FALSE),YES_Writing_ELA[#Headers],0))=0,"",INDEX(_xlfn.VSTACK(YES_Writing_ELA[#Data],YES_Writing_FLA[#Data]),MATCH($A16,_xlfn.VSTACK(YES_Writing_ELA[Student Number],YES_Writing_FLA[Student Number]),0),MATCH(VLOOKUP(H$7,'Writing Logic'!$J$7:$K$11,2,FALSE)&amp;" - Per "&amp;VLOOKUP($C$4,'Writing Logic'!$G$8:$H$14,2,FALSE),YES_Writing_ELA[#Headers],0)))="INS",'Writing Logic'!$B$7,IF(INDEX(_xlfn.VSTACK(YES_Writing_ELA[#Data],YES_Writing_FLA[#Data]),MATCH($A16,_xlfn.VSTACK(YES_Writing_ELA[Student Number],YES_Writing_FLA[Student Number]),0),MATCH(VLOOKUP(H$7,'Writing Logic'!$J$7:$K$11,2,FALSE)&amp;" - Per "&amp;VLOOKUP($C$4,'Writing Logic'!$G$8:$H$14,2,FALSE),YES_Writing_ELA[#Headers],0))=0,"",INDEX(_xlfn.VSTACK(YES_Writing_ELA[#Data],YES_Writing_FLA[#Data]),MATCH($A16,_xlfn.VSTACK(YES_Writing_ELA[Student Number],YES_Writing_FLA[Student Number]),0),MATCH(VLOOKUP(H$7,'Writing Logic'!$J$7:$K$11,2,FALSE)&amp;" - Per "&amp;VLOOKUP($C$4,'Writing Logic'!$G$8:$H$14,2,FALSE),YES_Writing_ELA[#Headers],0)))),"")</f>
        <v/>
      </c>
      <c r="I16" s="224" t="str" cm="1">
        <f t="array" aca="1" ref="I16" ca="1">IFERROR(
IF($G$3="ELA",
IF(VLOOKUP($A16, YES_Reading_ELA[], COLUMN(INDIRECT("YES_Reading_ELA[Difference - Per "&amp;VLOOKUP($G$4, 'Reading Report Logic'!$A$2:$B$8, 2, FALSE)&amp;"]")), FALSE)="", "",
VLOOKUP($A16,YES_Reading_ELA[], COLUMN(INDIRECT("YES_Reading_ELA[Difference - Per "&amp;VLOOKUP($G$4,'Reading Report Logic'!$A$2:$B$8,2,FALSE)&amp;"]")), FALSE)),
IF($G$3="FLA",
IF(VLOOKUP($A16, YES_Reading_FLA[], COLUMN(INDIRECT("YES_Reading_FLA[Difference - Per "&amp;VLOOKUP($G$4,'Reading Report Logic'!$A$2:$B$8,2,FALSE)&amp;"]")),FALSE)="","",
VLOOKUP($A16,YES_Reading_FLA[],COLUMN(INDIRECT("YES_Reading_FLA[Difference - Per "&amp;VLOOKUP($G$4,'Reading Report Logic'!$A$2:$B$8,2,FALSE)&amp;"]")),FALSE)),
IF($G$3="Combined",
IFERROR(
IF(VLOOKUP($A16, YES_Reading_ELA[], COLUMN(INDIRECT("YES_Reading_ELA[Difference - Per "&amp;VLOOKUP($G$4, 'Reading Report Logic'!$A$2:$B$8,2,FALSE)&amp;"]")), FALSE)="", "",
VLOOKUP($A16,YES_Reading_ELA[],COLUMN(INDIRECT("YES_Reading_ELA[Difference - Per "&amp;VLOOKUP($G$4,'Reading Report Logic'!$A$2:$B$8,2,FALSE)&amp;"]")),FALSE)),
IF(VLOOKUP($A16, YES_Reading_FLA[], COLUMN(INDIRECT("YES_Reading_FLA[Difference - Per "&amp;VLOOKUP($G$4, 'Reading Report Logic'!$A$2:$B$8, 2, FALSE)&amp;"]")),FALSE)="", "", VLOOKUP($A16,YES_Reading_FLA[],COLUMN(INDIRECT("YES_Reading_FLA[Difference - Per "&amp;VLOOKUP($G$4, 'Reading Report Logic'!$A$2:$B$8, 2, FALSE)&amp;"]")),FALSE))),""))),"")</f>
        <v/>
      </c>
      <c r="J16" s="136"/>
      <c r="K16" s="108"/>
      <c r="L16" s="109" t="str">
        <f>IF(K16="","",COUNTIFS($C$10:$C$600,$K16,$H$10:$H$600,"&gt;="&amp;'Writing Logic'!$F$1))</f>
        <v/>
      </c>
      <c r="M16" s="109" t="str">
        <f t="shared" si="1"/>
        <v/>
      </c>
      <c r="N16" s="109" t="str">
        <f>IF($K16="","",COUNTIFS($C$10:$C$600,$K16,$I$10:$I$600,"&gt;=0",$H$10:$H$600,"&gt;="&amp;'Writing Logic'!$F$1))</f>
        <v/>
      </c>
      <c r="O16" s="134" t="str">
        <f t="shared" si="2"/>
        <v/>
      </c>
    </row>
    <row r="17" spans="1:15" s="99" customFormat="1" ht="14.25" customHeight="1" x14ac:dyDescent="0.25">
      <c r="A17" s="137"/>
      <c r="B17" s="137" t="str">
        <f>IFERROR(INDEX(_xlfn.VSTACK(YES_Writing_ELA[#Data], YES_Writing_FLA[#Data]),MATCH($A17,_xlfn.VSTACK(YES_Writing_ELA[Student Number], YES_Writing_FLA[Student Number]),0),MATCH(B$7,YES_Writing_ELA[#Headers],0)),IFERROR(INDEX(_xlfn.VSTACK(YES_Reading_ELA[#Data], YES_Reading_FLA[#Data]),MATCH($A17,_xlfn.VSTACK(YES_Reading_ELA[Student Number], YES_Reading_FLA[Student Number]),0),MATCH(B$7,YES_Reading_ELA[#Headers],0)),""))</f>
        <v/>
      </c>
      <c r="C17" s="137" t="str">
        <f>IFERROR(INDEX(_xlfn.VSTACK(YES_Writing_ELA[#Data], YES_Writing_FLA[#Data]),MATCH($A17,_xlfn.VSTACK(YES_Writing_ELA[Student Number], YES_Writing_FLA[Student Number]),0),MATCH(C$7,YES_Writing_ELA[#Headers],0)),IFERROR(INDEX(_xlfn.VSTACK(YES_Reading_ELA[#Data], YES_Reading_FLA[#Data]),MATCH($A17,_xlfn.VSTACK(YES_Reading_ELA[Student Number], YES_Reading_FLA[Student Number]),0),MATCH(C$7,YES_Reading_ELA[#Headers],0)),""))</f>
        <v/>
      </c>
      <c r="D17" s="138" t="str">
        <f>IFERROR(IF(IF(INDEX(_xlfn.VSTACK(YES_Writing_ELA[#Data],YES_Writing_FLA[#Data]),MATCH($A17,_xlfn.VSTACK(YES_Writing_ELA[Student Number],YES_Writing_FLA[Student Number]),0),MATCH(VLOOKUP(D$7,'Writing Logic'!$J$7:$K$11,2,FALSE)&amp;" - Per "&amp;VLOOKUP($C$4,'Writing Logic'!$G$8:$H$14,2,FALSE),YES_Writing_ELA[#Headers],0))=0,"",INDEX(_xlfn.VSTACK(YES_Writing_ELA[#Data],YES_Writing_FLA[#Data]),MATCH($A17,_xlfn.VSTACK(YES_Writing_ELA[Student Number],YES_Writing_FLA[Student Number]),0),MATCH(VLOOKUP(D$7,'Writing Logic'!$J$7:$K$11,2,FALSE)&amp;" - Per "&amp;VLOOKUP($C$4,'Writing Logic'!$G$8:$H$14,2,FALSE),YES_Writing_ELA[#Headers],0)))="INS",'Writing Logic'!$B$7,IF(INDEX(_xlfn.VSTACK(YES_Writing_ELA[#Data],YES_Writing_FLA[#Data]),MATCH($A17,_xlfn.VSTACK(YES_Writing_ELA[Student Number],YES_Writing_FLA[Student Number]),0),MATCH(VLOOKUP(D$7,'Writing Logic'!$J$7:$K$11,2,FALSE)&amp;" - Per "&amp;VLOOKUP($C$4,'Writing Logic'!$G$8:$H$14,2,FALSE),YES_Writing_ELA[#Headers],0))=0,"",INDEX(_xlfn.VSTACK(YES_Writing_ELA[#Data],YES_Writing_FLA[#Data]),MATCH($A17,_xlfn.VSTACK(YES_Writing_ELA[Student Number],YES_Writing_FLA[Student Number]),0),MATCH(VLOOKUP(D$7,'Writing Logic'!$J$7:$K$11,2,FALSE)&amp;" - Per "&amp;VLOOKUP($C$4,'Writing Logic'!$G$8:$H$14,2,FALSE),YES_Writing_ELA[#Headers],0)))),"")</f>
        <v/>
      </c>
      <c r="E17" s="138" t="str">
        <f>IFERROR(IF(IF(INDEX(_xlfn.VSTACK(YES_Writing_ELA[#Data],YES_Writing_FLA[#Data]),MATCH($A17,_xlfn.VSTACK(YES_Writing_ELA[Student Number],YES_Writing_FLA[Student Number]),0),MATCH(VLOOKUP(E$7,'Writing Logic'!$J$7:$K$11,2,FALSE)&amp;" - Per "&amp;VLOOKUP($C$4,'Writing Logic'!$G$8:$H$14,2,FALSE),YES_Writing_ELA[#Headers],0))=0,"",INDEX(_xlfn.VSTACK(YES_Writing_ELA[#Data],YES_Writing_FLA[#Data]),MATCH($A17,_xlfn.VSTACK(YES_Writing_ELA[Student Number],YES_Writing_FLA[Student Number]),0),MATCH(VLOOKUP(E$7,'Writing Logic'!$J$7:$K$11,2,FALSE)&amp;" - Per "&amp;VLOOKUP($C$4,'Writing Logic'!$G$8:$H$14,2,FALSE),YES_Writing_ELA[#Headers],0)))="INS",'Writing Logic'!$B$7,IF(INDEX(_xlfn.VSTACK(YES_Writing_ELA[#Data],YES_Writing_FLA[#Data]),MATCH($A17,_xlfn.VSTACK(YES_Writing_ELA[Student Number],YES_Writing_FLA[Student Number]),0),MATCH(VLOOKUP(E$7,'Writing Logic'!$J$7:$K$11,2,FALSE)&amp;" - Per "&amp;VLOOKUP($C$4,'Writing Logic'!$G$8:$H$14,2,FALSE),YES_Writing_ELA[#Headers],0))=0,"",INDEX(_xlfn.VSTACK(YES_Writing_ELA[#Data],YES_Writing_FLA[#Data]),MATCH($A17,_xlfn.VSTACK(YES_Writing_ELA[Student Number],YES_Writing_FLA[Student Number]),0),MATCH(VLOOKUP(E$7,'Writing Logic'!$J$7:$K$11,2,FALSE)&amp;" - Per "&amp;VLOOKUP($C$4,'Writing Logic'!$G$8:$H$14,2,FALSE),YES_Writing_ELA[#Headers],0)))),"")</f>
        <v/>
      </c>
      <c r="F17" s="138" t="str">
        <f>IFERROR(IF(IF(INDEX(_xlfn.VSTACK(YES_Writing_ELA[#Data],YES_Writing_FLA[#Data]),MATCH($A17,_xlfn.VSTACK(YES_Writing_ELA[Student Number],YES_Writing_FLA[Student Number]),0),MATCH(VLOOKUP(F$7,'Writing Logic'!$J$7:$K$11,2,FALSE)&amp;" - Per "&amp;VLOOKUP($C$4,'Writing Logic'!$G$8:$H$14,2,FALSE),YES_Writing_ELA[#Headers],0))=0,"",INDEX(_xlfn.VSTACK(YES_Writing_ELA[#Data],YES_Writing_FLA[#Data]),MATCH($A17,_xlfn.VSTACK(YES_Writing_ELA[Student Number],YES_Writing_FLA[Student Number]),0),MATCH(VLOOKUP(F$7,'Writing Logic'!$J$7:$K$11,2,FALSE)&amp;" - Per "&amp;VLOOKUP($C$4,'Writing Logic'!$G$8:$H$14,2,FALSE),YES_Writing_ELA[#Headers],0)))="INS",'Writing Logic'!$B$7,IF(INDEX(_xlfn.VSTACK(YES_Writing_ELA[#Data],YES_Writing_FLA[#Data]),MATCH($A17,_xlfn.VSTACK(YES_Writing_ELA[Student Number],YES_Writing_FLA[Student Number]),0),MATCH(VLOOKUP(F$7,'Writing Logic'!$J$7:$K$11,2,FALSE)&amp;" - Per "&amp;VLOOKUP($C$4,'Writing Logic'!$G$8:$H$14,2,FALSE),YES_Writing_ELA[#Headers],0))=0,"",INDEX(_xlfn.VSTACK(YES_Writing_ELA[#Data],YES_Writing_FLA[#Data]),MATCH($A17,_xlfn.VSTACK(YES_Writing_ELA[Student Number],YES_Writing_FLA[Student Number]),0),MATCH(VLOOKUP(F$7,'Writing Logic'!$J$7:$K$11,2,FALSE)&amp;" - Per "&amp;VLOOKUP($C$4,'Writing Logic'!$G$8:$H$14,2,FALSE),YES_Writing_ELA[#Headers],0)))),"")</f>
        <v/>
      </c>
      <c r="G17" s="138" t="str">
        <f>IFERROR(IF(IF(INDEX(_xlfn.VSTACK(YES_Writing_ELA[#Data],YES_Writing_FLA[#Data]),MATCH($A17,_xlfn.VSTACK(YES_Writing_ELA[Student Number],YES_Writing_FLA[Student Number]),0),MATCH(VLOOKUP(G$7,'Writing Logic'!$J$7:$K$11,2,FALSE)&amp;" - Per "&amp;VLOOKUP($C$4,'Writing Logic'!$G$8:$H$14,2,FALSE),YES_Writing_ELA[#Headers],0))=0,"",INDEX(_xlfn.VSTACK(YES_Writing_ELA[#Data],YES_Writing_FLA[#Data]),MATCH($A17,_xlfn.VSTACK(YES_Writing_ELA[Student Number],YES_Writing_FLA[Student Number]),0),MATCH(VLOOKUP(G$7,'Writing Logic'!$J$7:$K$11,2,FALSE)&amp;" - Per "&amp;VLOOKUP($C$4,'Writing Logic'!$G$8:$H$14,2,FALSE),YES_Writing_ELA[#Headers],0)))="INS",'Writing Logic'!$B$7,IF(INDEX(_xlfn.VSTACK(YES_Writing_ELA[#Data],YES_Writing_FLA[#Data]),MATCH($A17,_xlfn.VSTACK(YES_Writing_ELA[Student Number],YES_Writing_FLA[Student Number]),0),MATCH(VLOOKUP(G$7,'Writing Logic'!$J$7:$K$11,2,FALSE)&amp;" - Per "&amp;VLOOKUP($C$4,'Writing Logic'!$G$8:$H$14,2,FALSE),YES_Writing_ELA[#Headers],0))=0,"",INDEX(_xlfn.VSTACK(YES_Writing_ELA[#Data],YES_Writing_FLA[#Data]),MATCH($A17,_xlfn.VSTACK(YES_Writing_ELA[Student Number],YES_Writing_FLA[Student Number]),0),MATCH(VLOOKUP(G$7,'Writing Logic'!$J$7:$K$11,2,FALSE)&amp;" - Per "&amp;VLOOKUP($C$4,'Writing Logic'!$G$8:$H$14,2,FALSE),YES_Writing_ELA[#Headers],0)))),"")</f>
        <v/>
      </c>
      <c r="H17" s="223" t="str">
        <f>IFERROR(IF(IF(INDEX(_xlfn.VSTACK(YES_Writing_ELA[#Data],YES_Writing_FLA[#Data]),MATCH($A17,_xlfn.VSTACK(YES_Writing_ELA[Student Number],YES_Writing_FLA[Student Number]),0),MATCH(VLOOKUP(H$7,'Writing Logic'!$J$7:$K$11,2,FALSE)&amp;" - Per "&amp;VLOOKUP($C$4,'Writing Logic'!$G$8:$H$14,2,FALSE),YES_Writing_ELA[#Headers],0))=0,"",INDEX(_xlfn.VSTACK(YES_Writing_ELA[#Data],YES_Writing_FLA[#Data]),MATCH($A17,_xlfn.VSTACK(YES_Writing_ELA[Student Number],YES_Writing_FLA[Student Number]),0),MATCH(VLOOKUP(H$7,'Writing Logic'!$J$7:$K$11,2,FALSE)&amp;" - Per "&amp;VLOOKUP($C$4,'Writing Logic'!$G$8:$H$14,2,FALSE),YES_Writing_ELA[#Headers],0)))="INS",'Writing Logic'!$B$7,IF(INDEX(_xlfn.VSTACK(YES_Writing_ELA[#Data],YES_Writing_FLA[#Data]),MATCH($A17,_xlfn.VSTACK(YES_Writing_ELA[Student Number],YES_Writing_FLA[Student Number]),0),MATCH(VLOOKUP(H$7,'Writing Logic'!$J$7:$K$11,2,FALSE)&amp;" - Per "&amp;VLOOKUP($C$4,'Writing Logic'!$G$8:$H$14,2,FALSE),YES_Writing_ELA[#Headers],0))=0,"",INDEX(_xlfn.VSTACK(YES_Writing_ELA[#Data],YES_Writing_FLA[#Data]),MATCH($A17,_xlfn.VSTACK(YES_Writing_ELA[Student Number],YES_Writing_FLA[Student Number]),0),MATCH(VLOOKUP(H$7,'Writing Logic'!$J$7:$K$11,2,FALSE)&amp;" - Per "&amp;VLOOKUP($C$4,'Writing Logic'!$G$8:$H$14,2,FALSE),YES_Writing_ELA[#Headers],0)))),"")</f>
        <v/>
      </c>
      <c r="I17" s="224" t="str" cm="1">
        <f t="array" aca="1" ref="I17" ca="1">IFERROR(
IF($G$3="ELA",
IF(VLOOKUP($A17, YES_Reading_ELA[], COLUMN(INDIRECT("YES_Reading_ELA[Difference - Per "&amp;VLOOKUP($G$4, 'Reading Report Logic'!$A$2:$B$8, 2, FALSE)&amp;"]")), FALSE)="", "",
VLOOKUP($A17,YES_Reading_ELA[], COLUMN(INDIRECT("YES_Reading_ELA[Difference - Per "&amp;VLOOKUP($G$4,'Reading Report Logic'!$A$2:$B$8,2,FALSE)&amp;"]")), FALSE)),
IF($G$3="FLA",
IF(VLOOKUP($A17, YES_Reading_FLA[], COLUMN(INDIRECT("YES_Reading_FLA[Difference - Per "&amp;VLOOKUP($G$4,'Reading Report Logic'!$A$2:$B$8,2,FALSE)&amp;"]")),FALSE)="","",
VLOOKUP($A17,YES_Reading_FLA[],COLUMN(INDIRECT("YES_Reading_FLA[Difference - Per "&amp;VLOOKUP($G$4,'Reading Report Logic'!$A$2:$B$8,2,FALSE)&amp;"]")),FALSE)),
IF($G$3="Combined",
IFERROR(
IF(VLOOKUP($A17, YES_Reading_ELA[], COLUMN(INDIRECT("YES_Reading_ELA[Difference - Per "&amp;VLOOKUP($G$4, 'Reading Report Logic'!$A$2:$B$8,2,FALSE)&amp;"]")), FALSE)="", "",
VLOOKUP($A17,YES_Reading_ELA[],COLUMN(INDIRECT("YES_Reading_ELA[Difference - Per "&amp;VLOOKUP($G$4,'Reading Report Logic'!$A$2:$B$8,2,FALSE)&amp;"]")),FALSE)),
IF(VLOOKUP($A17, YES_Reading_FLA[], COLUMN(INDIRECT("YES_Reading_FLA[Difference - Per "&amp;VLOOKUP($G$4, 'Reading Report Logic'!$A$2:$B$8, 2, FALSE)&amp;"]")),FALSE)="", "", VLOOKUP($A17,YES_Reading_FLA[],COLUMN(INDIRECT("YES_Reading_FLA[Difference - Per "&amp;VLOOKUP($G$4, 'Reading Report Logic'!$A$2:$B$8, 2, FALSE)&amp;"]")),FALSE))),""))),"")</f>
        <v/>
      </c>
      <c r="J17" s="136"/>
      <c r="K17" s="108"/>
      <c r="L17" s="109" t="str">
        <f>IF(K17="","",COUNTIFS($C$10:$C$600,$K17,$H$10:$H$600,"&gt;="&amp;'Writing Logic'!$F$1))</f>
        <v/>
      </c>
      <c r="M17" s="109" t="str">
        <f t="shared" si="1"/>
        <v/>
      </c>
      <c r="N17" s="109" t="str">
        <f>IF($K17="","",COUNTIFS($C$10:$C$600,$K17,$I$10:$I$600,"&gt;=0",$H$10:$H$600,"&gt;="&amp;'Writing Logic'!$F$1))</f>
        <v/>
      </c>
      <c r="O17" s="134" t="str">
        <f t="shared" si="2"/>
        <v/>
      </c>
    </row>
    <row r="18" spans="1:15" s="99" customFormat="1" ht="14.25" customHeight="1" x14ac:dyDescent="0.25">
      <c r="A18" s="137"/>
      <c r="B18" s="137" t="str">
        <f>IFERROR(INDEX(_xlfn.VSTACK(YES_Writing_ELA[#Data], YES_Writing_FLA[#Data]),MATCH($A18,_xlfn.VSTACK(YES_Writing_ELA[Student Number], YES_Writing_FLA[Student Number]),0),MATCH(B$7,YES_Writing_ELA[#Headers],0)),IFERROR(INDEX(_xlfn.VSTACK(YES_Reading_ELA[#Data], YES_Reading_FLA[#Data]),MATCH($A18,_xlfn.VSTACK(YES_Reading_ELA[Student Number], YES_Reading_FLA[Student Number]),0),MATCH(B$7,YES_Reading_ELA[#Headers],0)),""))</f>
        <v/>
      </c>
      <c r="C18" s="137" t="str">
        <f>IFERROR(INDEX(_xlfn.VSTACK(YES_Writing_ELA[#Data], YES_Writing_FLA[#Data]),MATCH($A18,_xlfn.VSTACK(YES_Writing_ELA[Student Number], YES_Writing_FLA[Student Number]),0),MATCH(C$7,YES_Writing_ELA[#Headers],0)),IFERROR(INDEX(_xlfn.VSTACK(YES_Reading_ELA[#Data], YES_Reading_FLA[#Data]),MATCH($A18,_xlfn.VSTACK(YES_Reading_ELA[Student Number], YES_Reading_FLA[Student Number]),0),MATCH(C$7,YES_Reading_ELA[#Headers],0)),""))</f>
        <v/>
      </c>
      <c r="D18" s="138" t="str">
        <f>IFERROR(IF(IF(INDEX(_xlfn.VSTACK(YES_Writing_ELA[#Data],YES_Writing_FLA[#Data]),MATCH($A18,_xlfn.VSTACK(YES_Writing_ELA[Student Number],YES_Writing_FLA[Student Number]),0),MATCH(VLOOKUP(D$7,'Writing Logic'!$J$7:$K$11,2,FALSE)&amp;" - Per "&amp;VLOOKUP($C$4,'Writing Logic'!$G$8:$H$14,2,FALSE),YES_Writing_ELA[#Headers],0))=0,"",INDEX(_xlfn.VSTACK(YES_Writing_ELA[#Data],YES_Writing_FLA[#Data]),MATCH($A18,_xlfn.VSTACK(YES_Writing_ELA[Student Number],YES_Writing_FLA[Student Number]),0),MATCH(VLOOKUP(D$7,'Writing Logic'!$J$7:$K$11,2,FALSE)&amp;" - Per "&amp;VLOOKUP($C$4,'Writing Logic'!$G$8:$H$14,2,FALSE),YES_Writing_ELA[#Headers],0)))="INS",'Writing Logic'!$B$7,IF(INDEX(_xlfn.VSTACK(YES_Writing_ELA[#Data],YES_Writing_FLA[#Data]),MATCH($A18,_xlfn.VSTACK(YES_Writing_ELA[Student Number],YES_Writing_FLA[Student Number]),0),MATCH(VLOOKUP(D$7,'Writing Logic'!$J$7:$K$11,2,FALSE)&amp;" - Per "&amp;VLOOKUP($C$4,'Writing Logic'!$G$8:$H$14,2,FALSE),YES_Writing_ELA[#Headers],0))=0,"",INDEX(_xlfn.VSTACK(YES_Writing_ELA[#Data],YES_Writing_FLA[#Data]),MATCH($A18,_xlfn.VSTACK(YES_Writing_ELA[Student Number],YES_Writing_FLA[Student Number]),0),MATCH(VLOOKUP(D$7,'Writing Logic'!$J$7:$K$11,2,FALSE)&amp;" - Per "&amp;VLOOKUP($C$4,'Writing Logic'!$G$8:$H$14,2,FALSE),YES_Writing_ELA[#Headers],0)))),"")</f>
        <v/>
      </c>
      <c r="E18" s="138" t="str">
        <f>IFERROR(IF(IF(INDEX(_xlfn.VSTACK(YES_Writing_ELA[#Data],YES_Writing_FLA[#Data]),MATCH($A18,_xlfn.VSTACK(YES_Writing_ELA[Student Number],YES_Writing_FLA[Student Number]),0),MATCH(VLOOKUP(E$7,'Writing Logic'!$J$7:$K$11,2,FALSE)&amp;" - Per "&amp;VLOOKUP($C$4,'Writing Logic'!$G$8:$H$14,2,FALSE),YES_Writing_ELA[#Headers],0))=0,"",INDEX(_xlfn.VSTACK(YES_Writing_ELA[#Data],YES_Writing_FLA[#Data]),MATCH($A18,_xlfn.VSTACK(YES_Writing_ELA[Student Number],YES_Writing_FLA[Student Number]),0),MATCH(VLOOKUP(E$7,'Writing Logic'!$J$7:$K$11,2,FALSE)&amp;" - Per "&amp;VLOOKUP($C$4,'Writing Logic'!$G$8:$H$14,2,FALSE),YES_Writing_ELA[#Headers],0)))="INS",'Writing Logic'!$B$7,IF(INDEX(_xlfn.VSTACK(YES_Writing_ELA[#Data],YES_Writing_FLA[#Data]),MATCH($A18,_xlfn.VSTACK(YES_Writing_ELA[Student Number],YES_Writing_FLA[Student Number]),0),MATCH(VLOOKUP(E$7,'Writing Logic'!$J$7:$K$11,2,FALSE)&amp;" - Per "&amp;VLOOKUP($C$4,'Writing Logic'!$G$8:$H$14,2,FALSE),YES_Writing_ELA[#Headers],0))=0,"",INDEX(_xlfn.VSTACK(YES_Writing_ELA[#Data],YES_Writing_FLA[#Data]),MATCH($A18,_xlfn.VSTACK(YES_Writing_ELA[Student Number],YES_Writing_FLA[Student Number]),0),MATCH(VLOOKUP(E$7,'Writing Logic'!$J$7:$K$11,2,FALSE)&amp;" - Per "&amp;VLOOKUP($C$4,'Writing Logic'!$G$8:$H$14,2,FALSE),YES_Writing_ELA[#Headers],0)))),"")</f>
        <v/>
      </c>
      <c r="F18" s="138" t="str">
        <f>IFERROR(IF(IF(INDEX(_xlfn.VSTACK(YES_Writing_ELA[#Data],YES_Writing_FLA[#Data]),MATCH($A18,_xlfn.VSTACK(YES_Writing_ELA[Student Number],YES_Writing_FLA[Student Number]),0),MATCH(VLOOKUP(F$7,'Writing Logic'!$J$7:$K$11,2,FALSE)&amp;" - Per "&amp;VLOOKUP($C$4,'Writing Logic'!$G$8:$H$14,2,FALSE),YES_Writing_ELA[#Headers],0))=0,"",INDEX(_xlfn.VSTACK(YES_Writing_ELA[#Data],YES_Writing_FLA[#Data]),MATCH($A18,_xlfn.VSTACK(YES_Writing_ELA[Student Number],YES_Writing_FLA[Student Number]),0),MATCH(VLOOKUP(F$7,'Writing Logic'!$J$7:$K$11,2,FALSE)&amp;" - Per "&amp;VLOOKUP($C$4,'Writing Logic'!$G$8:$H$14,2,FALSE),YES_Writing_ELA[#Headers],0)))="INS",'Writing Logic'!$B$7,IF(INDEX(_xlfn.VSTACK(YES_Writing_ELA[#Data],YES_Writing_FLA[#Data]),MATCH($A18,_xlfn.VSTACK(YES_Writing_ELA[Student Number],YES_Writing_FLA[Student Number]),0),MATCH(VLOOKUP(F$7,'Writing Logic'!$J$7:$K$11,2,FALSE)&amp;" - Per "&amp;VLOOKUP($C$4,'Writing Logic'!$G$8:$H$14,2,FALSE),YES_Writing_ELA[#Headers],0))=0,"",INDEX(_xlfn.VSTACK(YES_Writing_ELA[#Data],YES_Writing_FLA[#Data]),MATCH($A18,_xlfn.VSTACK(YES_Writing_ELA[Student Number],YES_Writing_FLA[Student Number]),0),MATCH(VLOOKUP(F$7,'Writing Logic'!$J$7:$K$11,2,FALSE)&amp;" - Per "&amp;VLOOKUP($C$4,'Writing Logic'!$G$8:$H$14,2,FALSE),YES_Writing_ELA[#Headers],0)))),"")</f>
        <v/>
      </c>
      <c r="G18" s="138" t="str">
        <f>IFERROR(IF(IF(INDEX(_xlfn.VSTACK(YES_Writing_ELA[#Data],YES_Writing_FLA[#Data]),MATCH($A18,_xlfn.VSTACK(YES_Writing_ELA[Student Number],YES_Writing_FLA[Student Number]),0),MATCH(VLOOKUP(G$7,'Writing Logic'!$J$7:$K$11,2,FALSE)&amp;" - Per "&amp;VLOOKUP($C$4,'Writing Logic'!$G$8:$H$14,2,FALSE),YES_Writing_ELA[#Headers],0))=0,"",INDEX(_xlfn.VSTACK(YES_Writing_ELA[#Data],YES_Writing_FLA[#Data]),MATCH($A18,_xlfn.VSTACK(YES_Writing_ELA[Student Number],YES_Writing_FLA[Student Number]),0),MATCH(VLOOKUP(G$7,'Writing Logic'!$J$7:$K$11,2,FALSE)&amp;" - Per "&amp;VLOOKUP($C$4,'Writing Logic'!$G$8:$H$14,2,FALSE),YES_Writing_ELA[#Headers],0)))="INS",'Writing Logic'!$B$7,IF(INDEX(_xlfn.VSTACK(YES_Writing_ELA[#Data],YES_Writing_FLA[#Data]),MATCH($A18,_xlfn.VSTACK(YES_Writing_ELA[Student Number],YES_Writing_FLA[Student Number]),0),MATCH(VLOOKUP(G$7,'Writing Logic'!$J$7:$K$11,2,FALSE)&amp;" - Per "&amp;VLOOKUP($C$4,'Writing Logic'!$G$8:$H$14,2,FALSE),YES_Writing_ELA[#Headers],0))=0,"",INDEX(_xlfn.VSTACK(YES_Writing_ELA[#Data],YES_Writing_FLA[#Data]),MATCH($A18,_xlfn.VSTACK(YES_Writing_ELA[Student Number],YES_Writing_FLA[Student Number]),0),MATCH(VLOOKUP(G$7,'Writing Logic'!$J$7:$K$11,2,FALSE)&amp;" - Per "&amp;VLOOKUP($C$4,'Writing Logic'!$G$8:$H$14,2,FALSE),YES_Writing_ELA[#Headers],0)))),"")</f>
        <v/>
      </c>
      <c r="H18" s="223" t="str">
        <f>IFERROR(IF(IF(INDEX(_xlfn.VSTACK(YES_Writing_ELA[#Data],YES_Writing_FLA[#Data]),MATCH($A18,_xlfn.VSTACK(YES_Writing_ELA[Student Number],YES_Writing_FLA[Student Number]),0),MATCH(VLOOKUP(H$7,'Writing Logic'!$J$7:$K$11,2,FALSE)&amp;" - Per "&amp;VLOOKUP($C$4,'Writing Logic'!$G$8:$H$14,2,FALSE),YES_Writing_ELA[#Headers],0))=0,"",INDEX(_xlfn.VSTACK(YES_Writing_ELA[#Data],YES_Writing_FLA[#Data]),MATCH($A18,_xlfn.VSTACK(YES_Writing_ELA[Student Number],YES_Writing_FLA[Student Number]),0),MATCH(VLOOKUP(H$7,'Writing Logic'!$J$7:$K$11,2,FALSE)&amp;" - Per "&amp;VLOOKUP($C$4,'Writing Logic'!$G$8:$H$14,2,FALSE),YES_Writing_ELA[#Headers],0)))="INS",'Writing Logic'!$B$7,IF(INDEX(_xlfn.VSTACK(YES_Writing_ELA[#Data],YES_Writing_FLA[#Data]),MATCH($A18,_xlfn.VSTACK(YES_Writing_ELA[Student Number],YES_Writing_FLA[Student Number]),0),MATCH(VLOOKUP(H$7,'Writing Logic'!$J$7:$K$11,2,FALSE)&amp;" - Per "&amp;VLOOKUP($C$4,'Writing Logic'!$G$8:$H$14,2,FALSE),YES_Writing_ELA[#Headers],0))=0,"",INDEX(_xlfn.VSTACK(YES_Writing_ELA[#Data],YES_Writing_FLA[#Data]),MATCH($A18,_xlfn.VSTACK(YES_Writing_ELA[Student Number],YES_Writing_FLA[Student Number]),0),MATCH(VLOOKUP(H$7,'Writing Logic'!$J$7:$K$11,2,FALSE)&amp;" - Per "&amp;VLOOKUP($C$4,'Writing Logic'!$G$8:$H$14,2,FALSE),YES_Writing_ELA[#Headers],0)))),"")</f>
        <v/>
      </c>
      <c r="I18" s="224" t="str" cm="1">
        <f t="array" aca="1" ref="I18" ca="1">IFERROR(
IF($G$3="ELA",
IF(VLOOKUP($A18, YES_Reading_ELA[], COLUMN(INDIRECT("YES_Reading_ELA[Difference - Per "&amp;VLOOKUP($G$4, 'Reading Report Logic'!$A$2:$B$8, 2, FALSE)&amp;"]")), FALSE)="", "",
VLOOKUP($A18,YES_Reading_ELA[], COLUMN(INDIRECT("YES_Reading_ELA[Difference - Per "&amp;VLOOKUP($G$4,'Reading Report Logic'!$A$2:$B$8,2,FALSE)&amp;"]")), FALSE)),
IF($G$3="FLA",
IF(VLOOKUP($A18, YES_Reading_FLA[], COLUMN(INDIRECT("YES_Reading_FLA[Difference - Per "&amp;VLOOKUP($G$4,'Reading Report Logic'!$A$2:$B$8,2,FALSE)&amp;"]")),FALSE)="","",
VLOOKUP($A18,YES_Reading_FLA[],COLUMN(INDIRECT("YES_Reading_FLA[Difference - Per "&amp;VLOOKUP($G$4,'Reading Report Logic'!$A$2:$B$8,2,FALSE)&amp;"]")),FALSE)),
IF($G$3="Combined",
IFERROR(
IF(VLOOKUP($A18, YES_Reading_ELA[], COLUMN(INDIRECT("YES_Reading_ELA[Difference - Per "&amp;VLOOKUP($G$4, 'Reading Report Logic'!$A$2:$B$8,2,FALSE)&amp;"]")), FALSE)="", "",
VLOOKUP($A18,YES_Reading_ELA[],COLUMN(INDIRECT("YES_Reading_ELA[Difference - Per "&amp;VLOOKUP($G$4,'Reading Report Logic'!$A$2:$B$8,2,FALSE)&amp;"]")),FALSE)),
IF(VLOOKUP($A18, YES_Reading_FLA[], COLUMN(INDIRECT("YES_Reading_FLA[Difference - Per "&amp;VLOOKUP($G$4, 'Reading Report Logic'!$A$2:$B$8, 2, FALSE)&amp;"]")),FALSE)="", "", VLOOKUP($A18,YES_Reading_FLA[],COLUMN(INDIRECT("YES_Reading_FLA[Difference - Per "&amp;VLOOKUP($G$4, 'Reading Report Logic'!$A$2:$B$8, 2, FALSE)&amp;"]")),FALSE))),""))),"")</f>
        <v/>
      </c>
      <c r="J18" s="136"/>
      <c r="K18" s="108"/>
      <c r="L18" s="109" t="str">
        <f>IF(K18="","",COUNTIFS($C$10:$C$600,$K18,$H$10:$H$600,"&gt;="&amp;'Writing Logic'!$F$1))</f>
        <v/>
      </c>
      <c r="M18" s="109" t="str">
        <f t="shared" si="1"/>
        <v/>
      </c>
      <c r="N18" s="109" t="str">
        <f>IF($K18="","",COUNTIFS($C$10:$C$600,$K18,$I$10:$I$600,"&gt;=0",$H$10:$H$600,"&gt;="&amp;'Writing Logic'!$F$1))</f>
        <v/>
      </c>
      <c r="O18" s="134" t="str">
        <f t="shared" si="2"/>
        <v/>
      </c>
    </row>
    <row r="19" spans="1:15" s="99" customFormat="1" ht="14.25" customHeight="1" x14ac:dyDescent="0.25">
      <c r="A19" s="137"/>
      <c r="B19" s="137" t="str">
        <f>IFERROR(INDEX(_xlfn.VSTACK(YES_Writing_ELA[#Data], YES_Writing_FLA[#Data]),MATCH($A19,_xlfn.VSTACK(YES_Writing_ELA[Student Number], YES_Writing_FLA[Student Number]),0),MATCH(B$7,YES_Writing_ELA[#Headers],0)),IFERROR(INDEX(_xlfn.VSTACK(YES_Reading_ELA[#Data], YES_Reading_FLA[#Data]),MATCH($A19,_xlfn.VSTACK(YES_Reading_ELA[Student Number], YES_Reading_FLA[Student Number]),0),MATCH(B$7,YES_Reading_ELA[#Headers],0)),""))</f>
        <v/>
      </c>
      <c r="C19" s="137" t="str">
        <f>IFERROR(INDEX(_xlfn.VSTACK(YES_Writing_ELA[#Data], YES_Writing_FLA[#Data]),MATCH($A19,_xlfn.VSTACK(YES_Writing_ELA[Student Number], YES_Writing_FLA[Student Number]),0),MATCH(C$7,YES_Writing_ELA[#Headers],0)),IFERROR(INDEX(_xlfn.VSTACK(YES_Reading_ELA[#Data], YES_Reading_FLA[#Data]),MATCH($A19,_xlfn.VSTACK(YES_Reading_ELA[Student Number], YES_Reading_FLA[Student Number]),0),MATCH(C$7,YES_Reading_ELA[#Headers],0)),""))</f>
        <v/>
      </c>
      <c r="D19" s="138" t="str">
        <f>IFERROR(IF(IF(INDEX(_xlfn.VSTACK(YES_Writing_ELA[#Data],YES_Writing_FLA[#Data]),MATCH($A19,_xlfn.VSTACK(YES_Writing_ELA[Student Number],YES_Writing_FLA[Student Number]),0),MATCH(VLOOKUP(D$7,'Writing Logic'!$J$7:$K$11,2,FALSE)&amp;" - Per "&amp;VLOOKUP($C$4,'Writing Logic'!$G$8:$H$14,2,FALSE),YES_Writing_ELA[#Headers],0))=0,"",INDEX(_xlfn.VSTACK(YES_Writing_ELA[#Data],YES_Writing_FLA[#Data]),MATCH($A19,_xlfn.VSTACK(YES_Writing_ELA[Student Number],YES_Writing_FLA[Student Number]),0),MATCH(VLOOKUP(D$7,'Writing Logic'!$J$7:$K$11,2,FALSE)&amp;" - Per "&amp;VLOOKUP($C$4,'Writing Logic'!$G$8:$H$14,2,FALSE),YES_Writing_ELA[#Headers],0)))="INS",'Writing Logic'!$B$7,IF(INDEX(_xlfn.VSTACK(YES_Writing_ELA[#Data],YES_Writing_FLA[#Data]),MATCH($A19,_xlfn.VSTACK(YES_Writing_ELA[Student Number],YES_Writing_FLA[Student Number]),0),MATCH(VLOOKUP(D$7,'Writing Logic'!$J$7:$K$11,2,FALSE)&amp;" - Per "&amp;VLOOKUP($C$4,'Writing Logic'!$G$8:$H$14,2,FALSE),YES_Writing_ELA[#Headers],0))=0,"",INDEX(_xlfn.VSTACK(YES_Writing_ELA[#Data],YES_Writing_FLA[#Data]),MATCH($A19,_xlfn.VSTACK(YES_Writing_ELA[Student Number],YES_Writing_FLA[Student Number]),0),MATCH(VLOOKUP(D$7,'Writing Logic'!$J$7:$K$11,2,FALSE)&amp;" - Per "&amp;VLOOKUP($C$4,'Writing Logic'!$G$8:$H$14,2,FALSE),YES_Writing_ELA[#Headers],0)))),"")</f>
        <v/>
      </c>
      <c r="E19" s="138" t="str">
        <f>IFERROR(IF(IF(INDEX(_xlfn.VSTACK(YES_Writing_ELA[#Data],YES_Writing_FLA[#Data]),MATCH($A19,_xlfn.VSTACK(YES_Writing_ELA[Student Number],YES_Writing_FLA[Student Number]),0),MATCH(VLOOKUP(E$7,'Writing Logic'!$J$7:$K$11,2,FALSE)&amp;" - Per "&amp;VLOOKUP($C$4,'Writing Logic'!$G$8:$H$14,2,FALSE),YES_Writing_ELA[#Headers],0))=0,"",INDEX(_xlfn.VSTACK(YES_Writing_ELA[#Data],YES_Writing_FLA[#Data]),MATCH($A19,_xlfn.VSTACK(YES_Writing_ELA[Student Number],YES_Writing_FLA[Student Number]),0),MATCH(VLOOKUP(E$7,'Writing Logic'!$J$7:$K$11,2,FALSE)&amp;" - Per "&amp;VLOOKUP($C$4,'Writing Logic'!$G$8:$H$14,2,FALSE),YES_Writing_ELA[#Headers],0)))="INS",'Writing Logic'!$B$7,IF(INDEX(_xlfn.VSTACK(YES_Writing_ELA[#Data],YES_Writing_FLA[#Data]),MATCH($A19,_xlfn.VSTACK(YES_Writing_ELA[Student Number],YES_Writing_FLA[Student Number]),0),MATCH(VLOOKUP(E$7,'Writing Logic'!$J$7:$K$11,2,FALSE)&amp;" - Per "&amp;VLOOKUP($C$4,'Writing Logic'!$G$8:$H$14,2,FALSE),YES_Writing_ELA[#Headers],0))=0,"",INDEX(_xlfn.VSTACK(YES_Writing_ELA[#Data],YES_Writing_FLA[#Data]),MATCH($A19,_xlfn.VSTACK(YES_Writing_ELA[Student Number],YES_Writing_FLA[Student Number]),0),MATCH(VLOOKUP(E$7,'Writing Logic'!$J$7:$K$11,2,FALSE)&amp;" - Per "&amp;VLOOKUP($C$4,'Writing Logic'!$G$8:$H$14,2,FALSE),YES_Writing_ELA[#Headers],0)))),"")</f>
        <v/>
      </c>
      <c r="F19" s="138" t="str">
        <f>IFERROR(IF(IF(INDEX(_xlfn.VSTACK(YES_Writing_ELA[#Data],YES_Writing_FLA[#Data]),MATCH($A19,_xlfn.VSTACK(YES_Writing_ELA[Student Number],YES_Writing_FLA[Student Number]),0),MATCH(VLOOKUP(F$7,'Writing Logic'!$J$7:$K$11,2,FALSE)&amp;" - Per "&amp;VLOOKUP($C$4,'Writing Logic'!$G$8:$H$14,2,FALSE),YES_Writing_ELA[#Headers],0))=0,"",INDEX(_xlfn.VSTACK(YES_Writing_ELA[#Data],YES_Writing_FLA[#Data]),MATCH($A19,_xlfn.VSTACK(YES_Writing_ELA[Student Number],YES_Writing_FLA[Student Number]),0),MATCH(VLOOKUP(F$7,'Writing Logic'!$J$7:$K$11,2,FALSE)&amp;" - Per "&amp;VLOOKUP($C$4,'Writing Logic'!$G$8:$H$14,2,FALSE),YES_Writing_ELA[#Headers],0)))="INS",'Writing Logic'!$B$7,IF(INDEX(_xlfn.VSTACK(YES_Writing_ELA[#Data],YES_Writing_FLA[#Data]),MATCH($A19,_xlfn.VSTACK(YES_Writing_ELA[Student Number],YES_Writing_FLA[Student Number]),0),MATCH(VLOOKUP(F$7,'Writing Logic'!$J$7:$K$11,2,FALSE)&amp;" - Per "&amp;VLOOKUP($C$4,'Writing Logic'!$G$8:$H$14,2,FALSE),YES_Writing_ELA[#Headers],0))=0,"",INDEX(_xlfn.VSTACK(YES_Writing_ELA[#Data],YES_Writing_FLA[#Data]),MATCH($A19,_xlfn.VSTACK(YES_Writing_ELA[Student Number],YES_Writing_FLA[Student Number]),0),MATCH(VLOOKUP(F$7,'Writing Logic'!$J$7:$K$11,2,FALSE)&amp;" - Per "&amp;VLOOKUP($C$4,'Writing Logic'!$G$8:$H$14,2,FALSE),YES_Writing_ELA[#Headers],0)))),"")</f>
        <v/>
      </c>
      <c r="G19" s="138" t="str">
        <f>IFERROR(IF(IF(INDEX(_xlfn.VSTACK(YES_Writing_ELA[#Data],YES_Writing_FLA[#Data]),MATCH($A19,_xlfn.VSTACK(YES_Writing_ELA[Student Number],YES_Writing_FLA[Student Number]),0),MATCH(VLOOKUP(G$7,'Writing Logic'!$J$7:$K$11,2,FALSE)&amp;" - Per "&amp;VLOOKUP($C$4,'Writing Logic'!$G$8:$H$14,2,FALSE),YES_Writing_ELA[#Headers],0))=0,"",INDEX(_xlfn.VSTACK(YES_Writing_ELA[#Data],YES_Writing_FLA[#Data]),MATCH($A19,_xlfn.VSTACK(YES_Writing_ELA[Student Number],YES_Writing_FLA[Student Number]),0),MATCH(VLOOKUP(G$7,'Writing Logic'!$J$7:$K$11,2,FALSE)&amp;" - Per "&amp;VLOOKUP($C$4,'Writing Logic'!$G$8:$H$14,2,FALSE),YES_Writing_ELA[#Headers],0)))="INS",'Writing Logic'!$B$7,IF(INDEX(_xlfn.VSTACK(YES_Writing_ELA[#Data],YES_Writing_FLA[#Data]),MATCH($A19,_xlfn.VSTACK(YES_Writing_ELA[Student Number],YES_Writing_FLA[Student Number]),0),MATCH(VLOOKUP(G$7,'Writing Logic'!$J$7:$K$11,2,FALSE)&amp;" - Per "&amp;VLOOKUP($C$4,'Writing Logic'!$G$8:$H$14,2,FALSE),YES_Writing_ELA[#Headers],0))=0,"",INDEX(_xlfn.VSTACK(YES_Writing_ELA[#Data],YES_Writing_FLA[#Data]),MATCH($A19,_xlfn.VSTACK(YES_Writing_ELA[Student Number],YES_Writing_FLA[Student Number]),0),MATCH(VLOOKUP(G$7,'Writing Logic'!$J$7:$K$11,2,FALSE)&amp;" - Per "&amp;VLOOKUP($C$4,'Writing Logic'!$G$8:$H$14,2,FALSE),YES_Writing_ELA[#Headers],0)))),"")</f>
        <v/>
      </c>
      <c r="H19" s="223" t="str">
        <f>IFERROR(IF(IF(INDEX(_xlfn.VSTACK(YES_Writing_ELA[#Data],YES_Writing_FLA[#Data]),MATCH($A19,_xlfn.VSTACK(YES_Writing_ELA[Student Number],YES_Writing_FLA[Student Number]),0),MATCH(VLOOKUP(H$7,'Writing Logic'!$J$7:$K$11,2,FALSE)&amp;" - Per "&amp;VLOOKUP($C$4,'Writing Logic'!$G$8:$H$14,2,FALSE),YES_Writing_ELA[#Headers],0))=0,"",INDEX(_xlfn.VSTACK(YES_Writing_ELA[#Data],YES_Writing_FLA[#Data]),MATCH($A19,_xlfn.VSTACK(YES_Writing_ELA[Student Number],YES_Writing_FLA[Student Number]),0),MATCH(VLOOKUP(H$7,'Writing Logic'!$J$7:$K$11,2,FALSE)&amp;" - Per "&amp;VLOOKUP($C$4,'Writing Logic'!$G$8:$H$14,2,FALSE),YES_Writing_ELA[#Headers],0)))="INS",'Writing Logic'!$B$7,IF(INDEX(_xlfn.VSTACK(YES_Writing_ELA[#Data],YES_Writing_FLA[#Data]),MATCH($A19,_xlfn.VSTACK(YES_Writing_ELA[Student Number],YES_Writing_FLA[Student Number]),0),MATCH(VLOOKUP(H$7,'Writing Logic'!$J$7:$K$11,2,FALSE)&amp;" - Per "&amp;VLOOKUP($C$4,'Writing Logic'!$G$8:$H$14,2,FALSE),YES_Writing_ELA[#Headers],0))=0,"",INDEX(_xlfn.VSTACK(YES_Writing_ELA[#Data],YES_Writing_FLA[#Data]),MATCH($A19,_xlfn.VSTACK(YES_Writing_ELA[Student Number],YES_Writing_FLA[Student Number]),0),MATCH(VLOOKUP(H$7,'Writing Logic'!$J$7:$K$11,2,FALSE)&amp;" - Per "&amp;VLOOKUP($C$4,'Writing Logic'!$G$8:$H$14,2,FALSE),YES_Writing_ELA[#Headers],0)))),"")</f>
        <v/>
      </c>
      <c r="I19" s="224" t="str" cm="1">
        <f t="array" aca="1" ref="I19" ca="1">IFERROR(
IF($G$3="ELA",
IF(VLOOKUP($A19, YES_Reading_ELA[], COLUMN(INDIRECT("YES_Reading_ELA[Difference - Per "&amp;VLOOKUP($G$4, 'Reading Report Logic'!$A$2:$B$8, 2, FALSE)&amp;"]")), FALSE)="", "",
VLOOKUP($A19,YES_Reading_ELA[], COLUMN(INDIRECT("YES_Reading_ELA[Difference - Per "&amp;VLOOKUP($G$4,'Reading Report Logic'!$A$2:$B$8,2,FALSE)&amp;"]")), FALSE)),
IF($G$3="FLA",
IF(VLOOKUP($A19, YES_Reading_FLA[], COLUMN(INDIRECT("YES_Reading_FLA[Difference - Per "&amp;VLOOKUP($G$4,'Reading Report Logic'!$A$2:$B$8,2,FALSE)&amp;"]")),FALSE)="","",
VLOOKUP($A19,YES_Reading_FLA[],COLUMN(INDIRECT("YES_Reading_FLA[Difference - Per "&amp;VLOOKUP($G$4,'Reading Report Logic'!$A$2:$B$8,2,FALSE)&amp;"]")),FALSE)),
IF($G$3="Combined",
IFERROR(
IF(VLOOKUP($A19, YES_Reading_ELA[], COLUMN(INDIRECT("YES_Reading_ELA[Difference - Per "&amp;VLOOKUP($G$4, 'Reading Report Logic'!$A$2:$B$8,2,FALSE)&amp;"]")), FALSE)="", "",
VLOOKUP($A19,YES_Reading_ELA[],COLUMN(INDIRECT("YES_Reading_ELA[Difference - Per "&amp;VLOOKUP($G$4,'Reading Report Logic'!$A$2:$B$8,2,FALSE)&amp;"]")),FALSE)),
IF(VLOOKUP($A19, YES_Reading_FLA[], COLUMN(INDIRECT("YES_Reading_FLA[Difference - Per "&amp;VLOOKUP($G$4, 'Reading Report Logic'!$A$2:$B$8, 2, FALSE)&amp;"]")),FALSE)="", "", VLOOKUP($A19,YES_Reading_FLA[],COLUMN(INDIRECT("YES_Reading_FLA[Difference - Per "&amp;VLOOKUP($G$4, 'Reading Report Logic'!$A$2:$B$8, 2, FALSE)&amp;"]")),FALSE))),""))),"")</f>
        <v/>
      </c>
      <c r="J19" s="136"/>
      <c r="K19" s="108"/>
      <c r="L19" s="109" t="str">
        <f>IF(K19="","",COUNTIFS($C$10:$C$600,$K19,$H$10:$H$600,"&gt;="&amp;'Writing Logic'!$F$1))</f>
        <v/>
      </c>
      <c r="M19" s="109" t="str">
        <f t="shared" si="1"/>
        <v/>
      </c>
      <c r="N19" s="109" t="str">
        <f>IF($K19="","",COUNTIFS($C$10:$C$600,$K19,$I$10:$I$600,"&gt;=0",$H$10:$H$600,"&gt;="&amp;'Writing Logic'!$F$1))</f>
        <v/>
      </c>
      <c r="O19" s="134" t="str">
        <f t="shared" si="2"/>
        <v/>
      </c>
    </row>
    <row r="20" spans="1:15" s="99" customFormat="1" ht="14.25" customHeight="1" x14ac:dyDescent="0.25">
      <c r="A20" s="137"/>
      <c r="B20" s="137" t="str">
        <f>IFERROR(INDEX(_xlfn.VSTACK(YES_Writing_ELA[#Data], YES_Writing_FLA[#Data]),MATCH($A20,_xlfn.VSTACK(YES_Writing_ELA[Student Number], YES_Writing_FLA[Student Number]),0),MATCH(B$7,YES_Writing_ELA[#Headers],0)),IFERROR(INDEX(_xlfn.VSTACK(YES_Reading_ELA[#Data], YES_Reading_FLA[#Data]),MATCH($A20,_xlfn.VSTACK(YES_Reading_ELA[Student Number], YES_Reading_FLA[Student Number]),0),MATCH(B$7,YES_Reading_ELA[#Headers],0)),""))</f>
        <v/>
      </c>
      <c r="C20" s="137" t="str">
        <f>IFERROR(INDEX(_xlfn.VSTACK(YES_Writing_ELA[#Data], YES_Writing_FLA[#Data]),MATCH($A20,_xlfn.VSTACK(YES_Writing_ELA[Student Number], YES_Writing_FLA[Student Number]),0),MATCH(C$7,YES_Writing_ELA[#Headers],0)),IFERROR(INDEX(_xlfn.VSTACK(YES_Reading_ELA[#Data], YES_Reading_FLA[#Data]),MATCH($A20,_xlfn.VSTACK(YES_Reading_ELA[Student Number], YES_Reading_FLA[Student Number]),0),MATCH(C$7,YES_Reading_ELA[#Headers],0)),""))</f>
        <v/>
      </c>
      <c r="D20" s="138" t="str">
        <f>IFERROR(IF(IF(INDEX(_xlfn.VSTACK(YES_Writing_ELA[#Data],YES_Writing_FLA[#Data]),MATCH($A20,_xlfn.VSTACK(YES_Writing_ELA[Student Number],YES_Writing_FLA[Student Number]),0),MATCH(VLOOKUP(D$7,'Writing Logic'!$J$7:$K$11,2,FALSE)&amp;" - Per "&amp;VLOOKUP($C$4,'Writing Logic'!$G$8:$H$14,2,FALSE),YES_Writing_ELA[#Headers],0))=0,"",INDEX(_xlfn.VSTACK(YES_Writing_ELA[#Data],YES_Writing_FLA[#Data]),MATCH($A20,_xlfn.VSTACK(YES_Writing_ELA[Student Number],YES_Writing_FLA[Student Number]),0),MATCH(VLOOKUP(D$7,'Writing Logic'!$J$7:$K$11,2,FALSE)&amp;" - Per "&amp;VLOOKUP($C$4,'Writing Logic'!$G$8:$H$14,2,FALSE),YES_Writing_ELA[#Headers],0)))="INS",'Writing Logic'!$B$7,IF(INDEX(_xlfn.VSTACK(YES_Writing_ELA[#Data],YES_Writing_FLA[#Data]),MATCH($A20,_xlfn.VSTACK(YES_Writing_ELA[Student Number],YES_Writing_FLA[Student Number]),0),MATCH(VLOOKUP(D$7,'Writing Logic'!$J$7:$K$11,2,FALSE)&amp;" - Per "&amp;VLOOKUP($C$4,'Writing Logic'!$G$8:$H$14,2,FALSE),YES_Writing_ELA[#Headers],0))=0,"",INDEX(_xlfn.VSTACK(YES_Writing_ELA[#Data],YES_Writing_FLA[#Data]),MATCH($A20,_xlfn.VSTACK(YES_Writing_ELA[Student Number],YES_Writing_FLA[Student Number]),0),MATCH(VLOOKUP(D$7,'Writing Logic'!$J$7:$K$11,2,FALSE)&amp;" - Per "&amp;VLOOKUP($C$4,'Writing Logic'!$G$8:$H$14,2,FALSE),YES_Writing_ELA[#Headers],0)))),"")</f>
        <v/>
      </c>
      <c r="E20" s="138" t="str">
        <f>IFERROR(IF(IF(INDEX(_xlfn.VSTACK(YES_Writing_ELA[#Data],YES_Writing_FLA[#Data]),MATCH($A20,_xlfn.VSTACK(YES_Writing_ELA[Student Number],YES_Writing_FLA[Student Number]),0),MATCH(VLOOKUP(E$7,'Writing Logic'!$J$7:$K$11,2,FALSE)&amp;" - Per "&amp;VLOOKUP($C$4,'Writing Logic'!$G$8:$H$14,2,FALSE),YES_Writing_ELA[#Headers],0))=0,"",INDEX(_xlfn.VSTACK(YES_Writing_ELA[#Data],YES_Writing_FLA[#Data]),MATCH($A20,_xlfn.VSTACK(YES_Writing_ELA[Student Number],YES_Writing_FLA[Student Number]),0),MATCH(VLOOKUP(E$7,'Writing Logic'!$J$7:$K$11,2,FALSE)&amp;" - Per "&amp;VLOOKUP($C$4,'Writing Logic'!$G$8:$H$14,2,FALSE),YES_Writing_ELA[#Headers],0)))="INS",'Writing Logic'!$B$7,IF(INDEX(_xlfn.VSTACK(YES_Writing_ELA[#Data],YES_Writing_FLA[#Data]),MATCH($A20,_xlfn.VSTACK(YES_Writing_ELA[Student Number],YES_Writing_FLA[Student Number]),0),MATCH(VLOOKUP(E$7,'Writing Logic'!$J$7:$K$11,2,FALSE)&amp;" - Per "&amp;VLOOKUP($C$4,'Writing Logic'!$G$8:$H$14,2,FALSE),YES_Writing_ELA[#Headers],0))=0,"",INDEX(_xlfn.VSTACK(YES_Writing_ELA[#Data],YES_Writing_FLA[#Data]),MATCH($A20,_xlfn.VSTACK(YES_Writing_ELA[Student Number],YES_Writing_FLA[Student Number]),0),MATCH(VLOOKUP(E$7,'Writing Logic'!$J$7:$K$11,2,FALSE)&amp;" - Per "&amp;VLOOKUP($C$4,'Writing Logic'!$G$8:$H$14,2,FALSE),YES_Writing_ELA[#Headers],0)))),"")</f>
        <v/>
      </c>
      <c r="F20" s="138" t="str">
        <f>IFERROR(IF(IF(INDEX(_xlfn.VSTACK(YES_Writing_ELA[#Data],YES_Writing_FLA[#Data]),MATCH($A20,_xlfn.VSTACK(YES_Writing_ELA[Student Number],YES_Writing_FLA[Student Number]),0),MATCH(VLOOKUP(F$7,'Writing Logic'!$J$7:$K$11,2,FALSE)&amp;" - Per "&amp;VLOOKUP($C$4,'Writing Logic'!$G$8:$H$14,2,FALSE),YES_Writing_ELA[#Headers],0))=0,"",INDEX(_xlfn.VSTACK(YES_Writing_ELA[#Data],YES_Writing_FLA[#Data]),MATCH($A20,_xlfn.VSTACK(YES_Writing_ELA[Student Number],YES_Writing_FLA[Student Number]),0),MATCH(VLOOKUP(F$7,'Writing Logic'!$J$7:$K$11,2,FALSE)&amp;" - Per "&amp;VLOOKUP($C$4,'Writing Logic'!$G$8:$H$14,2,FALSE),YES_Writing_ELA[#Headers],0)))="INS",'Writing Logic'!$B$7,IF(INDEX(_xlfn.VSTACK(YES_Writing_ELA[#Data],YES_Writing_FLA[#Data]),MATCH($A20,_xlfn.VSTACK(YES_Writing_ELA[Student Number],YES_Writing_FLA[Student Number]),0),MATCH(VLOOKUP(F$7,'Writing Logic'!$J$7:$K$11,2,FALSE)&amp;" - Per "&amp;VLOOKUP($C$4,'Writing Logic'!$G$8:$H$14,2,FALSE),YES_Writing_ELA[#Headers],0))=0,"",INDEX(_xlfn.VSTACK(YES_Writing_ELA[#Data],YES_Writing_FLA[#Data]),MATCH($A20,_xlfn.VSTACK(YES_Writing_ELA[Student Number],YES_Writing_FLA[Student Number]),0),MATCH(VLOOKUP(F$7,'Writing Logic'!$J$7:$K$11,2,FALSE)&amp;" - Per "&amp;VLOOKUP($C$4,'Writing Logic'!$G$8:$H$14,2,FALSE),YES_Writing_ELA[#Headers],0)))),"")</f>
        <v/>
      </c>
      <c r="G20" s="138" t="str">
        <f>IFERROR(IF(IF(INDEX(_xlfn.VSTACK(YES_Writing_ELA[#Data],YES_Writing_FLA[#Data]),MATCH($A20,_xlfn.VSTACK(YES_Writing_ELA[Student Number],YES_Writing_FLA[Student Number]),0),MATCH(VLOOKUP(G$7,'Writing Logic'!$J$7:$K$11,2,FALSE)&amp;" - Per "&amp;VLOOKUP($C$4,'Writing Logic'!$G$8:$H$14,2,FALSE),YES_Writing_ELA[#Headers],0))=0,"",INDEX(_xlfn.VSTACK(YES_Writing_ELA[#Data],YES_Writing_FLA[#Data]),MATCH($A20,_xlfn.VSTACK(YES_Writing_ELA[Student Number],YES_Writing_FLA[Student Number]),0),MATCH(VLOOKUP(G$7,'Writing Logic'!$J$7:$K$11,2,FALSE)&amp;" - Per "&amp;VLOOKUP($C$4,'Writing Logic'!$G$8:$H$14,2,FALSE),YES_Writing_ELA[#Headers],0)))="INS",'Writing Logic'!$B$7,IF(INDEX(_xlfn.VSTACK(YES_Writing_ELA[#Data],YES_Writing_FLA[#Data]),MATCH($A20,_xlfn.VSTACK(YES_Writing_ELA[Student Number],YES_Writing_FLA[Student Number]),0),MATCH(VLOOKUP(G$7,'Writing Logic'!$J$7:$K$11,2,FALSE)&amp;" - Per "&amp;VLOOKUP($C$4,'Writing Logic'!$G$8:$H$14,2,FALSE),YES_Writing_ELA[#Headers],0))=0,"",INDEX(_xlfn.VSTACK(YES_Writing_ELA[#Data],YES_Writing_FLA[#Data]),MATCH($A20,_xlfn.VSTACK(YES_Writing_ELA[Student Number],YES_Writing_FLA[Student Number]),0),MATCH(VLOOKUP(G$7,'Writing Logic'!$J$7:$K$11,2,FALSE)&amp;" - Per "&amp;VLOOKUP($C$4,'Writing Logic'!$G$8:$H$14,2,FALSE),YES_Writing_ELA[#Headers],0)))),"")</f>
        <v/>
      </c>
      <c r="H20" s="223" t="str">
        <f>IFERROR(IF(IF(INDEX(_xlfn.VSTACK(YES_Writing_ELA[#Data],YES_Writing_FLA[#Data]),MATCH($A20,_xlfn.VSTACK(YES_Writing_ELA[Student Number],YES_Writing_FLA[Student Number]),0),MATCH(VLOOKUP(H$7,'Writing Logic'!$J$7:$K$11,2,FALSE)&amp;" - Per "&amp;VLOOKUP($C$4,'Writing Logic'!$G$8:$H$14,2,FALSE),YES_Writing_ELA[#Headers],0))=0,"",INDEX(_xlfn.VSTACK(YES_Writing_ELA[#Data],YES_Writing_FLA[#Data]),MATCH($A20,_xlfn.VSTACK(YES_Writing_ELA[Student Number],YES_Writing_FLA[Student Number]),0),MATCH(VLOOKUP(H$7,'Writing Logic'!$J$7:$K$11,2,FALSE)&amp;" - Per "&amp;VLOOKUP($C$4,'Writing Logic'!$G$8:$H$14,2,FALSE),YES_Writing_ELA[#Headers],0)))="INS",'Writing Logic'!$B$7,IF(INDEX(_xlfn.VSTACK(YES_Writing_ELA[#Data],YES_Writing_FLA[#Data]),MATCH($A20,_xlfn.VSTACK(YES_Writing_ELA[Student Number],YES_Writing_FLA[Student Number]),0),MATCH(VLOOKUP(H$7,'Writing Logic'!$J$7:$K$11,2,FALSE)&amp;" - Per "&amp;VLOOKUP($C$4,'Writing Logic'!$G$8:$H$14,2,FALSE),YES_Writing_ELA[#Headers],0))=0,"",INDEX(_xlfn.VSTACK(YES_Writing_ELA[#Data],YES_Writing_FLA[#Data]),MATCH($A20,_xlfn.VSTACK(YES_Writing_ELA[Student Number],YES_Writing_FLA[Student Number]),0),MATCH(VLOOKUP(H$7,'Writing Logic'!$J$7:$K$11,2,FALSE)&amp;" - Per "&amp;VLOOKUP($C$4,'Writing Logic'!$G$8:$H$14,2,FALSE),YES_Writing_ELA[#Headers],0)))),"")</f>
        <v/>
      </c>
      <c r="I20" s="224" t="str" cm="1">
        <f t="array" aca="1" ref="I20" ca="1">IFERROR(
IF($G$3="ELA",
IF(VLOOKUP($A20, YES_Reading_ELA[], COLUMN(INDIRECT("YES_Reading_ELA[Difference - Per "&amp;VLOOKUP($G$4, 'Reading Report Logic'!$A$2:$B$8, 2, FALSE)&amp;"]")), FALSE)="", "",
VLOOKUP($A20,YES_Reading_ELA[], COLUMN(INDIRECT("YES_Reading_ELA[Difference - Per "&amp;VLOOKUP($G$4,'Reading Report Logic'!$A$2:$B$8,2,FALSE)&amp;"]")), FALSE)),
IF($G$3="FLA",
IF(VLOOKUP($A20, YES_Reading_FLA[], COLUMN(INDIRECT("YES_Reading_FLA[Difference - Per "&amp;VLOOKUP($G$4,'Reading Report Logic'!$A$2:$B$8,2,FALSE)&amp;"]")),FALSE)="","",
VLOOKUP($A20,YES_Reading_FLA[],COLUMN(INDIRECT("YES_Reading_FLA[Difference - Per "&amp;VLOOKUP($G$4,'Reading Report Logic'!$A$2:$B$8,2,FALSE)&amp;"]")),FALSE)),
IF($G$3="Combined",
IFERROR(
IF(VLOOKUP($A20, YES_Reading_ELA[], COLUMN(INDIRECT("YES_Reading_ELA[Difference - Per "&amp;VLOOKUP($G$4, 'Reading Report Logic'!$A$2:$B$8,2,FALSE)&amp;"]")), FALSE)="", "",
VLOOKUP($A20,YES_Reading_ELA[],COLUMN(INDIRECT("YES_Reading_ELA[Difference - Per "&amp;VLOOKUP($G$4,'Reading Report Logic'!$A$2:$B$8,2,FALSE)&amp;"]")),FALSE)),
IF(VLOOKUP($A20, YES_Reading_FLA[], COLUMN(INDIRECT("YES_Reading_FLA[Difference - Per "&amp;VLOOKUP($G$4, 'Reading Report Logic'!$A$2:$B$8, 2, FALSE)&amp;"]")),FALSE)="", "", VLOOKUP($A20,YES_Reading_FLA[],COLUMN(INDIRECT("YES_Reading_FLA[Difference - Per "&amp;VLOOKUP($G$4, 'Reading Report Logic'!$A$2:$B$8, 2, FALSE)&amp;"]")),FALSE))),""))),"")</f>
        <v/>
      </c>
      <c r="J20" s="136"/>
      <c r="K20" s="108"/>
      <c r="L20" s="109" t="str">
        <f>IF(K20="","",COUNTIFS($C$10:$C$600,$K20,$H$10:$H$600,"&gt;="&amp;'Writing Logic'!$F$1))</f>
        <v/>
      </c>
      <c r="M20" s="109" t="str">
        <f t="shared" si="1"/>
        <v/>
      </c>
      <c r="N20" s="109" t="str">
        <f>IF($K20="","",COUNTIFS($C$10:$C$600,$K20,$I$10:$I$600,"&gt;=0",$H$10:$H$600,"&gt;="&amp;'Writing Logic'!$F$1))</f>
        <v/>
      </c>
      <c r="O20" s="134" t="str">
        <f t="shared" si="2"/>
        <v/>
      </c>
    </row>
    <row r="21" spans="1:15" s="99" customFormat="1" ht="14.25" customHeight="1" x14ac:dyDescent="0.25">
      <c r="A21" s="137"/>
      <c r="B21" s="137" t="str">
        <f>IFERROR(INDEX(_xlfn.VSTACK(YES_Writing_ELA[#Data], YES_Writing_FLA[#Data]),MATCH($A21,_xlfn.VSTACK(YES_Writing_ELA[Student Number], YES_Writing_FLA[Student Number]),0),MATCH(B$7,YES_Writing_ELA[#Headers],0)),IFERROR(INDEX(_xlfn.VSTACK(YES_Reading_ELA[#Data], YES_Reading_FLA[#Data]),MATCH($A21,_xlfn.VSTACK(YES_Reading_ELA[Student Number], YES_Reading_FLA[Student Number]),0),MATCH(B$7,YES_Reading_ELA[#Headers],0)),""))</f>
        <v/>
      </c>
      <c r="C21" s="137" t="str">
        <f>IFERROR(INDEX(_xlfn.VSTACK(YES_Writing_ELA[#Data], YES_Writing_FLA[#Data]),MATCH($A21,_xlfn.VSTACK(YES_Writing_ELA[Student Number], YES_Writing_FLA[Student Number]),0),MATCH(C$7,YES_Writing_ELA[#Headers],0)),IFERROR(INDEX(_xlfn.VSTACK(YES_Reading_ELA[#Data], YES_Reading_FLA[#Data]),MATCH($A21,_xlfn.VSTACK(YES_Reading_ELA[Student Number], YES_Reading_FLA[Student Number]),0),MATCH(C$7,YES_Reading_ELA[#Headers],0)),""))</f>
        <v/>
      </c>
      <c r="D21" s="138" t="str">
        <f>IFERROR(IF(IF(INDEX(_xlfn.VSTACK(YES_Writing_ELA[#Data],YES_Writing_FLA[#Data]),MATCH($A21,_xlfn.VSTACK(YES_Writing_ELA[Student Number],YES_Writing_FLA[Student Number]),0),MATCH(VLOOKUP(D$7,'Writing Logic'!$J$7:$K$11,2,FALSE)&amp;" - Per "&amp;VLOOKUP($C$4,'Writing Logic'!$G$8:$H$14,2,FALSE),YES_Writing_ELA[#Headers],0))=0,"",INDEX(_xlfn.VSTACK(YES_Writing_ELA[#Data],YES_Writing_FLA[#Data]),MATCH($A21,_xlfn.VSTACK(YES_Writing_ELA[Student Number],YES_Writing_FLA[Student Number]),0),MATCH(VLOOKUP(D$7,'Writing Logic'!$J$7:$K$11,2,FALSE)&amp;" - Per "&amp;VLOOKUP($C$4,'Writing Logic'!$G$8:$H$14,2,FALSE),YES_Writing_ELA[#Headers],0)))="INS",'Writing Logic'!$B$7,IF(INDEX(_xlfn.VSTACK(YES_Writing_ELA[#Data],YES_Writing_FLA[#Data]),MATCH($A21,_xlfn.VSTACK(YES_Writing_ELA[Student Number],YES_Writing_FLA[Student Number]),0),MATCH(VLOOKUP(D$7,'Writing Logic'!$J$7:$K$11,2,FALSE)&amp;" - Per "&amp;VLOOKUP($C$4,'Writing Logic'!$G$8:$H$14,2,FALSE),YES_Writing_ELA[#Headers],0))=0,"",INDEX(_xlfn.VSTACK(YES_Writing_ELA[#Data],YES_Writing_FLA[#Data]),MATCH($A21,_xlfn.VSTACK(YES_Writing_ELA[Student Number],YES_Writing_FLA[Student Number]),0),MATCH(VLOOKUP(D$7,'Writing Logic'!$J$7:$K$11,2,FALSE)&amp;" - Per "&amp;VLOOKUP($C$4,'Writing Logic'!$G$8:$H$14,2,FALSE),YES_Writing_ELA[#Headers],0)))),"")</f>
        <v/>
      </c>
      <c r="E21" s="138" t="str">
        <f>IFERROR(IF(IF(INDEX(_xlfn.VSTACK(YES_Writing_ELA[#Data],YES_Writing_FLA[#Data]),MATCH($A21,_xlfn.VSTACK(YES_Writing_ELA[Student Number],YES_Writing_FLA[Student Number]),0),MATCH(VLOOKUP(E$7,'Writing Logic'!$J$7:$K$11,2,FALSE)&amp;" - Per "&amp;VLOOKUP($C$4,'Writing Logic'!$G$8:$H$14,2,FALSE),YES_Writing_ELA[#Headers],0))=0,"",INDEX(_xlfn.VSTACK(YES_Writing_ELA[#Data],YES_Writing_FLA[#Data]),MATCH($A21,_xlfn.VSTACK(YES_Writing_ELA[Student Number],YES_Writing_FLA[Student Number]),0),MATCH(VLOOKUP(E$7,'Writing Logic'!$J$7:$K$11,2,FALSE)&amp;" - Per "&amp;VLOOKUP($C$4,'Writing Logic'!$G$8:$H$14,2,FALSE),YES_Writing_ELA[#Headers],0)))="INS",'Writing Logic'!$B$7,IF(INDEX(_xlfn.VSTACK(YES_Writing_ELA[#Data],YES_Writing_FLA[#Data]),MATCH($A21,_xlfn.VSTACK(YES_Writing_ELA[Student Number],YES_Writing_FLA[Student Number]),0),MATCH(VLOOKUP(E$7,'Writing Logic'!$J$7:$K$11,2,FALSE)&amp;" - Per "&amp;VLOOKUP($C$4,'Writing Logic'!$G$8:$H$14,2,FALSE),YES_Writing_ELA[#Headers],0))=0,"",INDEX(_xlfn.VSTACK(YES_Writing_ELA[#Data],YES_Writing_FLA[#Data]),MATCH($A21,_xlfn.VSTACK(YES_Writing_ELA[Student Number],YES_Writing_FLA[Student Number]),0),MATCH(VLOOKUP(E$7,'Writing Logic'!$J$7:$K$11,2,FALSE)&amp;" - Per "&amp;VLOOKUP($C$4,'Writing Logic'!$G$8:$H$14,2,FALSE),YES_Writing_ELA[#Headers],0)))),"")</f>
        <v/>
      </c>
      <c r="F21" s="138" t="str">
        <f>IFERROR(IF(IF(INDEX(_xlfn.VSTACK(YES_Writing_ELA[#Data],YES_Writing_FLA[#Data]),MATCH($A21,_xlfn.VSTACK(YES_Writing_ELA[Student Number],YES_Writing_FLA[Student Number]),0),MATCH(VLOOKUP(F$7,'Writing Logic'!$J$7:$K$11,2,FALSE)&amp;" - Per "&amp;VLOOKUP($C$4,'Writing Logic'!$G$8:$H$14,2,FALSE),YES_Writing_ELA[#Headers],0))=0,"",INDEX(_xlfn.VSTACK(YES_Writing_ELA[#Data],YES_Writing_FLA[#Data]),MATCH($A21,_xlfn.VSTACK(YES_Writing_ELA[Student Number],YES_Writing_FLA[Student Number]),0),MATCH(VLOOKUP(F$7,'Writing Logic'!$J$7:$K$11,2,FALSE)&amp;" - Per "&amp;VLOOKUP($C$4,'Writing Logic'!$G$8:$H$14,2,FALSE),YES_Writing_ELA[#Headers],0)))="INS",'Writing Logic'!$B$7,IF(INDEX(_xlfn.VSTACK(YES_Writing_ELA[#Data],YES_Writing_FLA[#Data]),MATCH($A21,_xlfn.VSTACK(YES_Writing_ELA[Student Number],YES_Writing_FLA[Student Number]),0),MATCH(VLOOKUP(F$7,'Writing Logic'!$J$7:$K$11,2,FALSE)&amp;" - Per "&amp;VLOOKUP($C$4,'Writing Logic'!$G$8:$H$14,2,FALSE),YES_Writing_ELA[#Headers],0))=0,"",INDEX(_xlfn.VSTACK(YES_Writing_ELA[#Data],YES_Writing_FLA[#Data]),MATCH($A21,_xlfn.VSTACK(YES_Writing_ELA[Student Number],YES_Writing_FLA[Student Number]),0),MATCH(VLOOKUP(F$7,'Writing Logic'!$J$7:$K$11,2,FALSE)&amp;" - Per "&amp;VLOOKUP($C$4,'Writing Logic'!$G$8:$H$14,2,FALSE),YES_Writing_ELA[#Headers],0)))),"")</f>
        <v/>
      </c>
      <c r="G21" s="138" t="str">
        <f>IFERROR(IF(IF(INDEX(_xlfn.VSTACK(YES_Writing_ELA[#Data],YES_Writing_FLA[#Data]),MATCH($A21,_xlfn.VSTACK(YES_Writing_ELA[Student Number],YES_Writing_FLA[Student Number]),0),MATCH(VLOOKUP(G$7,'Writing Logic'!$J$7:$K$11,2,FALSE)&amp;" - Per "&amp;VLOOKUP($C$4,'Writing Logic'!$G$8:$H$14,2,FALSE),YES_Writing_ELA[#Headers],0))=0,"",INDEX(_xlfn.VSTACK(YES_Writing_ELA[#Data],YES_Writing_FLA[#Data]),MATCH($A21,_xlfn.VSTACK(YES_Writing_ELA[Student Number],YES_Writing_FLA[Student Number]),0),MATCH(VLOOKUP(G$7,'Writing Logic'!$J$7:$K$11,2,FALSE)&amp;" - Per "&amp;VLOOKUP($C$4,'Writing Logic'!$G$8:$H$14,2,FALSE),YES_Writing_ELA[#Headers],0)))="INS",'Writing Logic'!$B$7,IF(INDEX(_xlfn.VSTACK(YES_Writing_ELA[#Data],YES_Writing_FLA[#Data]),MATCH($A21,_xlfn.VSTACK(YES_Writing_ELA[Student Number],YES_Writing_FLA[Student Number]),0),MATCH(VLOOKUP(G$7,'Writing Logic'!$J$7:$K$11,2,FALSE)&amp;" - Per "&amp;VLOOKUP($C$4,'Writing Logic'!$G$8:$H$14,2,FALSE),YES_Writing_ELA[#Headers],0))=0,"",INDEX(_xlfn.VSTACK(YES_Writing_ELA[#Data],YES_Writing_FLA[#Data]),MATCH($A21,_xlfn.VSTACK(YES_Writing_ELA[Student Number],YES_Writing_FLA[Student Number]),0),MATCH(VLOOKUP(G$7,'Writing Logic'!$J$7:$K$11,2,FALSE)&amp;" - Per "&amp;VLOOKUP($C$4,'Writing Logic'!$G$8:$H$14,2,FALSE),YES_Writing_ELA[#Headers],0)))),"")</f>
        <v/>
      </c>
      <c r="H21" s="223" t="str">
        <f>IFERROR(IF(IF(INDEX(_xlfn.VSTACK(YES_Writing_ELA[#Data],YES_Writing_FLA[#Data]),MATCH($A21,_xlfn.VSTACK(YES_Writing_ELA[Student Number],YES_Writing_FLA[Student Number]),0),MATCH(VLOOKUP(H$7,'Writing Logic'!$J$7:$K$11,2,FALSE)&amp;" - Per "&amp;VLOOKUP($C$4,'Writing Logic'!$G$8:$H$14,2,FALSE),YES_Writing_ELA[#Headers],0))=0,"",INDEX(_xlfn.VSTACK(YES_Writing_ELA[#Data],YES_Writing_FLA[#Data]),MATCH($A21,_xlfn.VSTACK(YES_Writing_ELA[Student Number],YES_Writing_FLA[Student Number]),0),MATCH(VLOOKUP(H$7,'Writing Logic'!$J$7:$K$11,2,FALSE)&amp;" - Per "&amp;VLOOKUP($C$4,'Writing Logic'!$G$8:$H$14,2,FALSE),YES_Writing_ELA[#Headers],0)))="INS",'Writing Logic'!$B$7,IF(INDEX(_xlfn.VSTACK(YES_Writing_ELA[#Data],YES_Writing_FLA[#Data]),MATCH($A21,_xlfn.VSTACK(YES_Writing_ELA[Student Number],YES_Writing_FLA[Student Number]),0),MATCH(VLOOKUP(H$7,'Writing Logic'!$J$7:$K$11,2,FALSE)&amp;" - Per "&amp;VLOOKUP($C$4,'Writing Logic'!$G$8:$H$14,2,FALSE),YES_Writing_ELA[#Headers],0))=0,"",INDEX(_xlfn.VSTACK(YES_Writing_ELA[#Data],YES_Writing_FLA[#Data]),MATCH($A21,_xlfn.VSTACK(YES_Writing_ELA[Student Number],YES_Writing_FLA[Student Number]),0),MATCH(VLOOKUP(H$7,'Writing Logic'!$J$7:$K$11,2,FALSE)&amp;" - Per "&amp;VLOOKUP($C$4,'Writing Logic'!$G$8:$H$14,2,FALSE),YES_Writing_ELA[#Headers],0)))),"")</f>
        <v/>
      </c>
      <c r="I21" s="224" t="str" cm="1">
        <f t="array" aca="1" ref="I21" ca="1">IFERROR(
IF($G$3="ELA",
IF(VLOOKUP($A21, YES_Reading_ELA[], COLUMN(INDIRECT("YES_Reading_ELA[Difference - Per "&amp;VLOOKUP($G$4, 'Reading Report Logic'!$A$2:$B$8, 2, FALSE)&amp;"]")), FALSE)="", "",
VLOOKUP($A21,YES_Reading_ELA[], COLUMN(INDIRECT("YES_Reading_ELA[Difference - Per "&amp;VLOOKUP($G$4,'Reading Report Logic'!$A$2:$B$8,2,FALSE)&amp;"]")), FALSE)),
IF($G$3="FLA",
IF(VLOOKUP($A21, YES_Reading_FLA[], COLUMN(INDIRECT("YES_Reading_FLA[Difference - Per "&amp;VLOOKUP($G$4,'Reading Report Logic'!$A$2:$B$8,2,FALSE)&amp;"]")),FALSE)="","",
VLOOKUP($A21,YES_Reading_FLA[],COLUMN(INDIRECT("YES_Reading_FLA[Difference - Per "&amp;VLOOKUP($G$4,'Reading Report Logic'!$A$2:$B$8,2,FALSE)&amp;"]")),FALSE)),
IF($G$3="Combined",
IFERROR(
IF(VLOOKUP($A21, YES_Reading_ELA[], COLUMN(INDIRECT("YES_Reading_ELA[Difference - Per "&amp;VLOOKUP($G$4, 'Reading Report Logic'!$A$2:$B$8,2,FALSE)&amp;"]")), FALSE)="", "",
VLOOKUP($A21,YES_Reading_ELA[],COLUMN(INDIRECT("YES_Reading_ELA[Difference - Per "&amp;VLOOKUP($G$4,'Reading Report Logic'!$A$2:$B$8,2,FALSE)&amp;"]")),FALSE)),
IF(VLOOKUP($A21, YES_Reading_FLA[], COLUMN(INDIRECT("YES_Reading_FLA[Difference - Per "&amp;VLOOKUP($G$4, 'Reading Report Logic'!$A$2:$B$8, 2, FALSE)&amp;"]")),FALSE)="", "", VLOOKUP($A21,YES_Reading_FLA[],COLUMN(INDIRECT("YES_Reading_FLA[Difference - Per "&amp;VLOOKUP($G$4, 'Reading Report Logic'!$A$2:$B$8, 2, FALSE)&amp;"]")),FALSE))),""))),"")</f>
        <v/>
      </c>
      <c r="J21" s="136"/>
      <c r="K21" s="108"/>
      <c r="L21" s="109" t="str">
        <f>IF(K21="","",COUNTIFS($C$10:$C$600,$K21,$H$10:$H$600,"&gt;="&amp;'Writing Logic'!$F$1))</f>
        <v/>
      </c>
      <c r="M21" s="109" t="str">
        <f t="shared" si="1"/>
        <v/>
      </c>
      <c r="N21" s="109" t="str">
        <f>IF($K21="","",COUNTIFS($C$10:$C$600,$K21,$I$10:$I$600,"&gt;=0",$H$10:$H$600,"&gt;="&amp;'Writing Logic'!$F$1))</f>
        <v/>
      </c>
      <c r="O21" s="134" t="str">
        <f t="shared" si="2"/>
        <v/>
      </c>
    </row>
    <row r="22" spans="1:15" s="99" customFormat="1" ht="14.25" customHeight="1" x14ac:dyDescent="0.25">
      <c r="A22" s="137"/>
      <c r="B22" s="137" t="str">
        <f>IFERROR(INDEX(_xlfn.VSTACK(YES_Writing_ELA[#Data], YES_Writing_FLA[#Data]),MATCH($A22,_xlfn.VSTACK(YES_Writing_ELA[Student Number], YES_Writing_FLA[Student Number]),0),MATCH(B$7,YES_Writing_ELA[#Headers],0)),IFERROR(INDEX(_xlfn.VSTACK(YES_Reading_ELA[#Data], YES_Reading_FLA[#Data]),MATCH($A22,_xlfn.VSTACK(YES_Reading_ELA[Student Number], YES_Reading_FLA[Student Number]),0),MATCH(B$7,YES_Reading_ELA[#Headers],0)),""))</f>
        <v/>
      </c>
      <c r="C22" s="137" t="str">
        <f>IFERROR(INDEX(_xlfn.VSTACK(YES_Writing_ELA[#Data], YES_Writing_FLA[#Data]),MATCH($A22,_xlfn.VSTACK(YES_Writing_ELA[Student Number], YES_Writing_FLA[Student Number]),0),MATCH(C$7,YES_Writing_ELA[#Headers],0)),IFERROR(INDEX(_xlfn.VSTACK(YES_Reading_ELA[#Data], YES_Reading_FLA[#Data]),MATCH($A22,_xlfn.VSTACK(YES_Reading_ELA[Student Number], YES_Reading_FLA[Student Number]),0),MATCH(C$7,YES_Reading_ELA[#Headers],0)),""))</f>
        <v/>
      </c>
      <c r="D22" s="138" t="str">
        <f>IFERROR(IF(IF(INDEX(_xlfn.VSTACK(YES_Writing_ELA[#Data],YES_Writing_FLA[#Data]),MATCH($A22,_xlfn.VSTACK(YES_Writing_ELA[Student Number],YES_Writing_FLA[Student Number]),0),MATCH(VLOOKUP(D$7,'Writing Logic'!$J$7:$K$11,2,FALSE)&amp;" - Per "&amp;VLOOKUP($C$4,'Writing Logic'!$G$8:$H$14,2,FALSE),YES_Writing_ELA[#Headers],0))=0,"",INDEX(_xlfn.VSTACK(YES_Writing_ELA[#Data],YES_Writing_FLA[#Data]),MATCH($A22,_xlfn.VSTACK(YES_Writing_ELA[Student Number],YES_Writing_FLA[Student Number]),0),MATCH(VLOOKUP(D$7,'Writing Logic'!$J$7:$K$11,2,FALSE)&amp;" - Per "&amp;VLOOKUP($C$4,'Writing Logic'!$G$8:$H$14,2,FALSE),YES_Writing_ELA[#Headers],0)))="INS",'Writing Logic'!$B$7,IF(INDEX(_xlfn.VSTACK(YES_Writing_ELA[#Data],YES_Writing_FLA[#Data]),MATCH($A22,_xlfn.VSTACK(YES_Writing_ELA[Student Number],YES_Writing_FLA[Student Number]),0),MATCH(VLOOKUP(D$7,'Writing Logic'!$J$7:$K$11,2,FALSE)&amp;" - Per "&amp;VLOOKUP($C$4,'Writing Logic'!$G$8:$H$14,2,FALSE),YES_Writing_ELA[#Headers],0))=0,"",INDEX(_xlfn.VSTACK(YES_Writing_ELA[#Data],YES_Writing_FLA[#Data]),MATCH($A22,_xlfn.VSTACK(YES_Writing_ELA[Student Number],YES_Writing_FLA[Student Number]),0),MATCH(VLOOKUP(D$7,'Writing Logic'!$J$7:$K$11,2,FALSE)&amp;" - Per "&amp;VLOOKUP($C$4,'Writing Logic'!$G$8:$H$14,2,FALSE),YES_Writing_ELA[#Headers],0)))),"")</f>
        <v/>
      </c>
      <c r="E22" s="138" t="str">
        <f>IFERROR(IF(IF(INDEX(_xlfn.VSTACK(YES_Writing_ELA[#Data],YES_Writing_FLA[#Data]),MATCH($A22,_xlfn.VSTACK(YES_Writing_ELA[Student Number],YES_Writing_FLA[Student Number]),0),MATCH(VLOOKUP(E$7,'Writing Logic'!$J$7:$K$11,2,FALSE)&amp;" - Per "&amp;VLOOKUP($C$4,'Writing Logic'!$G$8:$H$14,2,FALSE),YES_Writing_ELA[#Headers],0))=0,"",INDEX(_xlfn.VSTACK(YES_Writing_ELA[#Data],YES_Writing_FLA[#Data]),MATCH($A22,_xlfn.VSTACK(YES_Writing_ELA[Student Number],YES_Writing_FLA[Student Number]),0),MATCH(VLOOKUP(E$7,'Writing Logic'!$J$7:$K$11,2,FALSE)&amp;" - Per "&amp;VLOOKUP($C$4,'Writing Logic'!$G$8:$H$14,2,FALSE),YES_Writing_ELA[#Headers],0)))="INS",'Writing Logic'!$B$7,IF(INDEX(_xlfn.VSTACK(YES_Writing_ELA[#Data],YES_Writing_FLA[#Data]),MATCH($A22,_xlfn.VSTACK(YES_Writing_ELA[Student Number],YES_Writing_FLA[Student Number]),0),MATCH(VLOOKUP(E$7,'Writing Logic'!$J$7:$K$11,2,FALSE)&amp;" - Per "&amp;VLOOKUP($C$4,'Writing Logic'!$G$8:$H$14,2,FALSE),YES_Writing_ELA[#Headers],0))=0,"",INDEX(_xlfn.VSTACK(YES_Writing_ELA[#Data],YES_Writing_FLA[#Data]),MATCH($A22,_xlfn.VSTACK(YES_Writing_ELA[Student Number],YES_Writing_FLA[Student Number]),0),MATCH(VLOOKUP(E$7,'Writing Logic'!$J$7:$K$11,2,FALSE)&amp;" - Per "&amp;VLOOKUP($C$4,'Writing Logic'!$G$8:$H$14,2,FALSE),YES_Writing_ELA[#Headers],0)))),"")</f>
        <v/>
      </c>
      <c r="F22" s="138" t="str">
        <f>IFERROR(IF(IF(INDEX(_xlfn.VSTACK(YES_Writing_ELA[#Data],YES_Writing_FLA[#Data]),MATCH($A22,_xlfn.VSTACK(YES_Writing_ELA[Student Number],YES_Writing_FLA[Student Number]),0),MATCH(VLOOKUP(F$7,'Writing Logic'!$J$7:$K$11,2,FALSE)&amp;" - Per "&amp;VLOOKUP($C$4,'Writing Logic'!$G$8:$H$14,2,FALSE),YES_Writing_ELA[#Headers],0))=0,"",INDEX(_xlfn.VSTACK(YES_Writing_ELA[#Data],YES_Writing_FLA[#Data]),MATCH($A22,_xlfn.VSTACK(YES_Writing_ELA[Student Number],YES_Writing_FLA[Student Number]),0),MATCH(VLOOKUP(F$7,'Writing Logic'!$J$7:$K$11,2,FALSE)&amp;" - Per "&amp;VLOOKUP($C$4,'Writing Logic'!$G$8:$H$14,2,FALSE),YES_Writing_ELA[#Headers],0)))="INS",'Writing Logic'!$B$7,IF(INDEX(_xlfn.VSTACK(YES_Writing_ELA[#Data],YES_Writing_FLA[#Data]),MATCH($A22,_xlfn.VSTACK(YES_Writing_ELA[Student Number],YES_Writing_FLA[Student Number]),0),MATCH(VLOOKUP(F$7,'Writing Logic'!$J$7:$K$11,2,FALSE)&amp;" - Per "&amp;VLOOKUP($C$4,'Writing Logic'!$G$8:$H$14,2,FALSE),YES_Writing_ELA[#Headers],0))=0,"",INDEX(_xlfn.VSTACK(YES_Writing_ELA[#Data],YES_Writing_FLA[#Data]),MATCH($A22,_xlfn.VSTACK(YES_Writing_ELA[Student Number],YES_Writing_FLA[Student Number]),0),MATCH(VLOOKUP(F$7,'Writing Logic'!$J$7:$K$11,2,FALSE)&amp;" - Per "&amp;VLOOKUP($C$4,'Writing Logic'!$G$8:$H$14,2,FALSE),YES_Writing_ELA[#Headers],0)))),"")</f>
        <v/>
      </c>
      <c r="G22" s="138" t="str">
        <f>IFERROR(IF(IF(INDEX(_xlfn.VSTACK(YES_Writing_ELA[#Data],YES_Writing_FLA[#Data]),MATCH($A22,_xlfn.VSTACK(YES_Writing_ELA[Student Number],YES_Writing_FLA[Student Number]),0),MATCH(VLOOKUP(G$7,'Writing Logic'!$J$7:$K$11,2,FALSE)&amp;" - Per "&amp;VLOOKUP($C$4,'Writing Logic'!$G$8:$H$14,2,FALSE),YES_Writing_ELA[#Headers],0))=0,"",INDEX(_xlfn.VSTACK(YES_Writing_ELA[#Data],YES_Writing_FLA[#Data]),MATCH($A22,_xlfn.VSTACK(YES_Writing_ELA[Student Number],YES_Writing_FLA[Student Number]),0),MATCH(VLOOKUP(G$7,'Writing Logic'!$J$7:$K$11,2,FALSE)&amp;" - Per "&amp;VLOOKUP($C$4,'Writing Logic'!$G$8:$H$14,2,FALSE),YES_Writing_ELA[#Headers],0)))="INS",'Writing Logic'!$B$7,IF(INDEX(_xlfn.VSTACK(YES_Writing_ELA[#Data],YES_Writing_FLA[#Data]),MATCH($A22,_xlfn.VSTACK(YES_Writing_ELA[Student Number],YES_Writing_FLA[Student Number]),0),MATCH(VLOOKUP(G$7,'Writing Logic'!$J$7:$K$11,2,FALSE)&amp;" - Per "&amp;VLOOKUP($C$4,'Writing Logic'!$G$8:$H$14,2,FALSE),YES_Writing_ELA[#Headers],0))=0,"",INDEX(_xlfn.VSTACK(YES_Writing_ELA[#Data],YES_Writing_FLA[#Data]),MATCH($A22,_xlfn.VSTACK(YES_Writing_ELA[Student Number],YES_Writing_FLA[Student Number]),0),MATCH(VLOOKUP(G$7,'Writing Logic'!$J$7:$K$11,2,FALSE)&amp;" - Per "&amp;VLOOKUP($C$4,'Writing Logic'!$G$8:$H$14,2,FALSE),YES_Writing_ELA[#Headers],0)))),"")</f>
        <v/>
      </c>
      <c r="H22" s="223" t="str">
        <f>IFERROR(IF(IF(INDEX(_xlfn.VSTACK(YES_Writing_ELA[#Data],YES_Writing_FLA[#Data]),MATCH($A22,_xlfn.VSTACK(YES_Writing_ELA[Student Number],YES_Writing_FLA[Student Number]),0),MATCH(VLOOKUP(H$7,'Writing Logic'!$J$7:$K$11,2,FALSE)&amp;" - Per "&amp;VLOOKUP($C$4,'Writing Logic'!$G$8:$H$14,2,FALSE),YES_Writing_ELA[#Headers],0))=0,"",INDEX(_xlfn.VSTACK(YES_Writing_ELA[#Data],YES_Writing_FLA[#Data]),MATCH($A22,_xlfn.VSTACK(YES_Writing_ELA[Student Number],YES_Writing_FLA[Student Number]),0),MATCH(VLOOKUP(H$7,'Writing Logic'!$J$7:$K$11,2,FALSE)&amp;" - Per "&amp;VLOOKUP($C$4,'Writing Logic'!$G$8:$H$14,2,FALSE),YES_Writing_ELA[#Headers],0)))="INS",'Writing Logic'!$B$7,IF(INDEX(_xlfn.VSTACK(YES_Writing_ELA[#Data],YES_Writing_FLA[#Data]),MATCH($A22,_xlfn.VSTACK(YES_Writing_ELA[Student Number],YES_Writing_FLA[Student Number]),0),MATCH(VLOOKUP(H$7,'Writing Logic'!$J$7:$K$11,2,FALSE)&amp;" - Per "&amp;VLOOKUP($C$4,'Writing Logic'!$G$8:$H$14,2,FALSE),YES_Writing_ELA[#Headers],0))=0,"",INDEX(_xlfn.VSTACK(YES_Writing_ELA[#Data],YES_Writing_FLA[#Data]),MATCH($A22,_xlfn.VSTACK(YES_Writing_ELA[Student Number],YES_Writing_FLA[Student Number]),0),MATCH(VLOOKUP(H$7,'Writing Logic'!$J$7:$K$11,2,FALSE)&amp;" - Per "&amp;VLOOKUP($C$4,'Writing Logic'!$G$8:$H$14,2,FALSE),YES_Writing_ELA[#Headers],0)))),"")</f>
        <v/>
      </c>
      <c r="I22" s="224" t="str" cm="1">
        <f t="array" aca="1" ref="I22" ca="1">IFERROR(
IF($G$3="ELA",
IF(VLOOKUP($A22, YES_Reading_ELA[], COLUMN(INDIRECT("YES_Reading_ELA[Difference - Per "&amp;VLOOKUP($G$4, 'Reading Report Logic'!$A$2:$B$8, 2, FALSE)&amp;"]")), FALSE)="", "",
VLOOKUP($A22,YES_Reading_ELA[], COLUMN(INDIRECT("YES_Reading_ELA[Difference - Per "&amp;VLOOKUP($G$4,'Reading Report Logic'!$A$2:$B$8,2,FALSE)&amp;"]")), FALSE)),
IF($G$3="FLA",
IF(VLOOKUP($A22, YES_Reading_FLA[], COLUMN(INDIRECT("YES_Reading_FLA[Difference - Per "&amp;VLOOKUP($G$4,'Reading Report Logic'!$A$2:$B$8,2,FALSE)&amp;"]")),FALSE)="","",
VLOOKUP($A22,YES_Reading_FLA[],COLUMN(INDIRECT("YES_Reading_FLA[Difference - Per "&amp;VLOOKUP($G$4,'Reading Report Logic'!$A$2:$B$8,2,FALSE)&amp;"]")),FALSE)),
IF($G$3="Combined",
IFERROR(
IF(VLOOKUP($A22, YES_Reading_ELA[], COLUMN(INDIRECT("YES_Reading_ELA[Difference - Per "&amp;VLOOKUP($G$4, 'Reading Report Logic'!$A$2:$B$8,2,FALSE)&amp;"]")), FALSE)="", "",
VLOOKUP($A22,YES_Reading_ELA[],COLUMN(INDIRECT("YES_Reading_ELA[Difference - Per "&amp;VLOOKUP($G$4,'Reading Report Logic'!$A$2:$B$8,2,FALSE)&amp;"]")),FALSE)),
IF(VLOOKUP($A22, YES_Reading_FLA[], COLUMN(INDIRECT("YES_Reading_FLA[Difference - Per "&amp;VLOOKUP($G$4, 'Reading Report Logic'!$A$2:$B$8, 2, FALSE)&amp;"]")),FALSE)="", "", VLOOKUP($A22,YES_Reading_FLA[],COLUMN(INDIRECT("YES_Reading_FLA[Difference - Per "&amp;VLOOKUP($G$4, 'Reading Report Logic'!$A$2:$B$8, 2, FALSE)&amp;"]")),FALSE))),""))),"")</f>
        <v/>
      </c>
      <c r="J22" s="136"/>
      <c r="K22" s="108"/>
      <c r="L22" s="109" t="str">
        <f>IF(K22="","",COUNTIFS($C$10:$C$600,$K22,$H$10:$H$600,"&gt;="&amp;'Writing Logic'!$F$1))</f>
        <v/>
      </c>
      <c r="M22" s="109" t="str">
        <f t="shared" si="1"/>
        <v/>
      </c>
      <c r="N22" s="109" t="str">
        <f>IF($K22="","",COUNTIFS($C$10:$C$600,$K22,$I$10:$I$600,"&gt;=0",$H$10:$H$600,"&gt;="&amp;'Writing Logic'!$F$1))</f>
        <v/>
      </c>
      <c r="O22" s="134" t="str">
        <f t="shared" si="2"/>
        <v/>
      </c>
    </row>
    <row r="23" spans="1:15" s="99" customFormat="1" ht="14.25" customHeight="1" x14ac:dyDescent="0.25">
      <c r="A23" s="137"/>
      <c r="B23" s="137" t="str">
        <f>IFERROR(INDEX(_xlfn.VSTACK(YES_Writing_ELA[#Data], YES_Writing_FLA[#Data]),MATCH($A23,_xlfn.VSTACK(YES_Writing_ELA[Student Number], YES_Writing_FLA[Student Number]),0),MATCH(B$7,YES_Writing_ELA[#Headers],0)),IFERROR(INDEX(_xlfn.VSTACK(YES_Reading_ELA[#Data], YES_Reading_FLA[#Data]),MATCH($A23,_xlfn.VSTACK(YES_Reading_ELA[Student Number], YES_Reading_FLA[Student Number]),0),MATCH(B$7,YES_Reading_ELA[#Headers],0)),""))</f>
        <v/>
      </c>
      <c r="C23" s="137" t="str">
        <f>IFERROR(INDEX(_xlfn.VSTACK(YES_Writing_ELA[#Data], YES_Writing_FLA[#Data]),MATCH($A23,_xlfn.VSTACK(YES_Writing_ELA[Student Number], YES_Writing_FLA[Student Number]),0),MATCH(C$7,YES_Writing_ELA[#Headers],0)),IFERROR(INDEX(_xlfn.VSTACK(YES_Reading_ELA[#Data], YES_Reading_FLA[#Data]),MATCH($A23,_xlfn.VSTACK(YES_Reading_ELA[Student Number], YES_Reading_FLA[Student Number]),0),MATCH(C$7,YES_Reading_ELA[#Headers],0)),""))</f>
        <v/>
      </c>
      <c r="D23" s="138" t="str">
        <f>IFERROR(IF(IF(INDEX(_xlfn.VSTACK(YES_Writing_ELA[#Data],YES_Writing_FLA[#Data]),MATCH($A23,_xlfn.VSTACK(YES_Writing_ELA[Student Number],YES_Writing_FLA[Student Number]),0),MATCH(VLOOKUP(D$7,'Writing Logic'!$J$7:$K$11,2,FALSE)&amp;" - Per "&amp;VLOOKUP($C$4,'Writing Logic'!$G$8:$H$14,2,FALSE),YES_Writing_ELA[#Headers],0))=0,"",INDEX(_xlfn.VSTACK(YES_Writing_ELA[#Data],YES_Writing_FLA[#Data]),MATCH($A23,_xlfn.VSTACK(YES_Writing_ELA[Student Number],YES_Writing_FLA[Student Number]),0),MATCH(VLOOKUP(D$7,'Writing Logic'!$J$7:$K$11,2,FALSE)&amp;" - Per "&amp;VLOOKUP($C$4,'Writing Logic'!$G$8:$H$14,2,FALSE),YES_Writing_ELA[#Headers],0)))="INS",'Writing Logic'!$B$7,IF(INDEX(_xlfn.VSTACK(YES_Writing_ELA[#Data],YES_Writing_FLA[#Data]),MATCH($A23,_xlfn.VSTACK(YES_Writing_ELA[Student Number],YES_Writing_FLA[Student Number]),0),MATCH(VLOOKUP(D$7,'Writing Logic'!$J$7:$K$11,2,FALSE)&amp;" - Per "&amp;VLOOKUP($C$4,'Writing Logic'!$G$8:$H$14,2,FALSE),YES_Writing_ELA[#Headers],0))=0,"",INDEX(_xlfn.VSTACK(YES_Writing_ELA[#Data],YES_Writing_FLA[#Data]),MATCH($A23,_xlfn.VSTACK(YES_Writing_ELA[Student Number],YES_Writing_FLA[Student Number]),0),MATCH(VLOOKUP(D$7,'Writing Logic'!$J$7:$K$11,2,FALSE)&amp;" - Per "&amp;VLOOKUP($C$4,'Writing Logic'!$G$8:$H$14,2,FALSE),YES_Writing_ELA[#Headers],0)))),"")</f>
        <v/>
      </c>
      <c r="E23" s="138" t="str">
        <f>IFERROR(IF(IF(INDEX(_xlfn.VSTACK(YES_Writing_ELA[#Data],YES_Writing_FLA[#Data]),MATCH($A23,_xlfn.VSTACK(YES_Writing_ELA[Student Number],YES_Writing_FLA[Student Number]),0),MATCH(VLOOKUP(E$7,'Writing Logic'!$J$7:$K$11,2,FALSE)&amp;" - Per "&amp;VLOOKUP($C$4,'Writing Logic'!$G$8:$H$14,2,FALSE),YES_Writing_ELA[#Headers],0))=0,"",INDEX(_xlfn.VSTACK(YES_Writing_ELA[#Data],YES_Writing_FLA[#Data]),MATCH($A23,_xlfn.VSTACK(YES_Writing_ELA[Student Number],YES_Writing_FLA[Student Number]),0),MATCH(VLOOKUP(E$7,'Writing Logic'!$J$7:$K$11,2,FALSE)&amp;" - Per "&amp;VLOOKUP($C$4,'Writing Logic'!$G$8:$H$14,2,FALSE),YES_Writing_ELA[#Headers],0)))="INS",'Writing Logic'!$B$7,IF(INDEX(_xlfn.VSTACK(YES_Writing_ELA[#Data],YES_Writing_FLA[#Data]),MATCH($A23,_xlfn.VSTACK(YES_Writing_ELA[Student Number],YES_Writing_FLA[Student Number]),0),MATCH(VLOOKUP(E$7,'Writing Logic'!$J$7:$K$11,2,FALSE)&amp;" - Per "&amp;VLOOKUP($C$4,'Writing Logic'!$G$8:$H$14,2,FALSE),YES_Writing_ELA[#Headers],0))=0,"",INDEX(_xlfn.VSTACK(YES_Writing_ELA[#Data],YES_Writing_FLA[#Data]),MATCH($A23,_xlfn.VSTACK(YES_Writing_ELA[Student Number],YES_Writing_FLA[Student Number]),0),MATCH(VLOOKUP(E$7,'Writing Logic'!$J$7:$K$11,2,FALSE)&amp;" - Per "&amp;VLOOKUP($C$4,'Writing Logic'!$G$8:$H$14,2,FALSE),YES_Writing_ELA[#Headers],0)))),"")</f>
        <v/>
      </c>
      <c r="F23" s="138" t="str">
        <f>IFERROR(IF(IF(INDEX(_xlfn.VSTACK(YES_Writing_ELA[#Data],YES_Writing_FLA[#Data]),MATCH($A23,_xlfn.VSTACK(YES_Writing_ELA[Student Number],YES_Writing_FLA[Student Number]),0),MATCH(VLOOKUP(F$7,'Writing Logic'!$J$7:$K$11,2,FALSE)&amp;" - Per "&amp;VLOOKUP($C$4,'Writing Logic'!$G$8:$H$14,2,FALSE),YES_Writing_ELA[#Headers],0))=0,"",INDEX(_xlfn.VSTACK(YES_Writing_ELA[#Data],YES_Writing_FLA[#Data]),MATCH($A23,_xlfn.VSTACK(YES_Writing_ELA[Student Number],YES_Writing_FLA[Student Number]),0),MATCH(VLOOKUP(F$7,'Writing Logic'!$J$7:$K$11,2,FALSE)&amp;" - Per "&amp;VLOOKUP($C$4,'Writing Logic'!$G$8:$H$14,2,FALSE),YES_Writing_ELA[#Headers],0)))="INS",'Writing Logic'!$B$7,IF(INDEX(_xlfn.VSTACK(YES_Writing_ELA[#Data],YES_Writing_FLA[#Data]),MATCH($A23,_xlfn.VSTACK(YES_Writing_ELA[Student Number],YES_Writing_FLA[Student Number]),0),MATCH(VLOOKUP(F$7,'Writing Logic'!$J$7:$K$11,2,FALSE)&amp;" - Per "&amp;VLOOKUP($C$4,'Writing Logic'!$G$8:$H$14,2,FALSE),YES_Writing_ELA[#Headers],0))=0,"",INDEX(_xlfn.VSTACK(YES_Writing_ELA[#Data],YES_Writing_FLA[#Data]),MATCH($A23,_xlfn.VSTACK(YES_Writing_ELA[Student Number],YES_Writing_FLA[Student Number]),0),MATCH(VLOOKUP(F$7,'Writing Logic'!$J$7:$K$11,2,FALSE)&amp;" - Per "&amp;VLOOKUP($C$4,'Writing Logic'!$G$8:$H$14,2,FALSE),YES_Writing_ELA[#Headers],0)))),"")</f>
        <v/>
      </c>
      <c r="G23" s="138" t="str">
        <f>IFERROR(IF(IF(INDEX(_xlfn.VSTACK(YES_Writing_ELA[#Data],YES_Writing_FLA[#Data]),MATCH($A23,_xlfn.VSTACK(YES_Writing_ELA[Student Number],YES_Writing_FLA[Student Number]),0),MATCH(VLOOKUP(G$7,'Writing Logic'!$J$7:$K$11,2,FALSE)&amp;" - Per "&amp;VLOOKUP($C$4,'Writing Logic'!$G$8:$H$14,2,FALSE),YES_Writing_ELA[#Headers],0))=0,"",INDEX(_xlfn.VSTACK(YES_Writing_ELA[#Data],YES_Writing_FLA[#Data]),MATCH($A23,_xlfn.VSTACK(YES_Writing_ELA[Student Number],YES_Writing_FLA[Student Number]),0),MATCH(VLOOKUP(G$7,'Writing Logic'!$J$7:$K$11,2,FALSE)&amp;" - Per "&amp;VLOOKUP($C$4,'Writing Logic'!$G$8:$H$14,2,FALSE),YES_Writing_ELA[#Headers],0)))="INS",'Writing Logic'!$B$7,IF(INDEX(_xlfn.VSTACK(YES_Writing_ELA[#Data],YES_Writing_FLA[#Data]),MATCH($A23,_xlfn.VSTACK(YES_Writing_ELA[Student Number],YES_Writing_FLA[Student Number]),0),MATCH(VLOOKUP(G$7,'Writing Logic'!$J$7:$K$11,2,FALSE)&amp;" - Per "&amp;VLOOKUP($C$4,'Writing Logic'!$G$8:$H$14,2,FALSE),YES_Writing_ELA[#Headers],0))=0,"",INDEX(_xlfn.VSTACK(YES_Writing_ELA[#Data],YES_Writing_FLA[#Data]),MATCH($A23,_xlfn.VSTACK(YES_Writing_ELA[Student Number],YES_Writing_FLA[Student Number]),0),MATCH(VLOOKUP(G$7,'Writing Logic'!$J$7:$K$11,2,FALSE)&amp;" - Per "&amp;VLOOKUP($C$4,'Writing Logic'!$G$8:$H$14,2,FALSE),YES_Writing_ELA[#Headers],0)))),"")</f>
        <v/>
      </c>
      <c r="H23" s="223" t="str">
        <f>IFERROR(IF(IF(INDEX(_xlfn.VSTACK(YES_Writing_ELA[#Data],YES_Writing_FLA[#Data]),MATCH($A23,_xlfn.VSTACK(YES_Writing_ELA[Student Number],YES_Writing_FLA[Student Number]),0),MATCH(VLOOKUP(H$7,'Writing Logic'!$J$7:$K$11,2,FALSE)&amp;" - Per "&amp;VLOOKUP($C$4,'Writing Logic'!$G$8:$H$14,2,FALSE),YES_Writing_ELA[#Headers],0))=0,"",INDEX(_xlfn.VSTACK(YES_Writing_ELA[#Data],YES_Writing_FLA[#Data]),MATCH($A23,_xlfn.VSTACK(YES_Writing_ELA[Student Number],YES_Writing_FLA[Student Number]),0),MATCH(VLOOKUP(H$7,'Writing Logic'!$J$7:$K$11,2,FALSE)&amp;" - Per "&amp;VLOOKUP($C$4,'Writing Logic'!$G$8:$H$14,2,FALSE),YES_Writing_ELA[#Headers],0)))="INS",'Writing Logic'!$B$7,IF(INDEX(_xlfn.VSTACK(YES_Writing_ELA[#Data],YES_Writing_FLA[#Data]),MATCH($A23,_xlfn.VSTACK(YES_Writing_ELA[Student Number],YES_Writing_FLA[Student Number]),0),MATCH(VLOOKUP(H$7,'Writing Logic'!$J$7:$K$11,2,FALSE)&amp;" - Per "&amp;VLOOKUP($C$4,'Writing Logic'!$G$8:$H$14,2,FALSE),YES_Writing_ELA[#Headers],0))=0,"",INDEX(_xlfn.VSTACK(YES_Writing_ELA[#Data],YES_Writing_FLA[#Data]),MATCH($A23,_xlfn.VSTACK(YES_Writing_ELA[Student Number],YES_Writing_FLA[Student Number]),0),MATCH(VLOOKUP(H$7,'Writing Logic'!$J$7:$K$11,2,FALSE)&amp;" - Per "&amp;VLOOKUP($C$4,'Writing Logic'!$G$8:$H$14,2,FALSE),YES_Writing_ELA[#Headers],0)))),"")</f>
        <v/>
      </c>
      <c r="I23" s="224" t="str" cm="1">
        <f t="array" aca="1" ref="I23" ca="1">IFERROR(
IF($G$3="ELA",
IF(VLOOKUP($A23, YES_Reading_ELA[], COLUMN(INDIRECT("YES_Reading_ELA[Difference - Per "&amp;VLOOKUP($G$4, 'Reading Report Logic'!$A$2:$B$8, 2, FALSE)&amp;"]")), FALSE)="", "",
VLOOKUP($A23,YES_Reading_ELA[], COLUMN(INDIRECT("YES_Reading_ELA[Difference - Per "&amp;VLOOKUP($G$4,'Reading Report Logic'!$A$2:$B$8,2,FALSE)&amp;"]")), FALSE)),
IF($G$3="FLA",
IF(VLOOKUP($A23, YES_Reading_FLA[], COLUMN(INDIRECT("YES_Reading_FLA[Difference - Per "&amp;VLOOKUP($G$4,'Reading Report Logic'!$A$2:$B$8,2,FALSE)&amp;"]")),FALSE)="","",
VLOOKUP($A23,YES_Reading_FLA[],COLUMN(INDIRECT("YES_Reading_FLA[Difference - Per "&amp;VLOOKUP($G$4,'Reading Report Logic'!$A$2:$B$8,2,FALSE)&amp;"]")),FALSE)),
IF($G$3="Combined",
IFERROR(
IF(VLOOKUP($A23, YES_Reading_ELA[], COLUMN(INDIRECT("YES_Reading_ELA[Difference - Per "&amp;VLOOKUP($G$4, 'Reading Report Logic'!$A$2:$B$8,2,FALSE)&amp;"]")), FALSE)="", "",
VLOOKUP($A23,YES_Reading_ELA[],COLUMN(INDIRECT("YES_Reading_ELA[Difference - Per "&amp;VLOOKUP($G$4,'Reading Report Logic'!$A$2:$B$8,2,FALSE)&amp;"]")),FALSE)),
IF(VLOOKUP($A23, YES_Reading_FLA[], COLUMN(INDIRECT("YES_Reading_FLA[Difference - Per "&amp;VLOOKUP($G$4, 'Reading Report Logic'!$A$2:$B$8, 2, FALSE)&amp;"]")),FALSE)="", "", VLOOKUP($A23,YES_Reading_FLA[],COLUMN(INDIRECT("YES_Reading_FLA[Difference - Per "&amp;VLOOKUP($G$4, 'Reading Report Logic'!$A$2:$B$8, 2, FALSE)&amp;"]")),FALSE))),""))),"")</f>
        <v/>
      </c>
      <c r="J23" s="136"/>
      <c r="K23" s="108"/>
      <c r="L23" s="109" t="str">
        <f>IF(K23="","",COUNTIFS($C$10:$C$600,$K23,$H$10:$H$600,"&gt;="&amp;'Writing Logic'!$F$1))</f>
        <v/>
      </c>
      <c r="M23" s="109" t="str">
        <f t="shared" si="1"/>
        <v/>
      </c>
      <c r="N23" s="109" t="str">
        <f>IF($K23="","",COUNTIFS($C$10:$C$600,$K23,$I$10:$I$600,"&gt;=0",$H$10:$H$600,"&gt;="&amp;'Writing Logic'!$F$1))</f>
        <v/>
      </c>
      <c r="O23" s="134" t="str">
        <f t="shared" si="2"/>
        <v/>
      </c>
    </row>
    <row r="24" spans="1:15" s="99" customFormat="1" ht="14.25" customHeight="1" x14ac:dyDescent="0.25">
      <c r="A24" s="137"/>
      <c r="B24" s="137" t="str">
        <f>IFERROR(INDEX(_xlfn.VSTACK(YES_Writing_ELA[#Data], YES_Writing_FLA[#Data]),MATCH($A24,_xlfn.VSTACK(YES_Writing_ELA[Student Number], YES_Writing_FLA[Student Number]),0),MATCH(B$7,YES_Writing_ELA[#Headers],0)),IFERROR(INDEX(_xlfn.VSTACK(YES_Reading_ELA[#Data], YES_Reading_FLA[#Data]),MATCH($A24,_xlfn.VSTACK(YES_Reading_ELA[Student Number], YES_Reading_FLA[Student Number]),0),MATCH(B$7,YES_Reading_ELA[#Headers],0)),""))</f>
        <v/>
      </c>
      <c r="C24" s="137" t="str">
        <f>IFERROR(INDEX(_xlfn.VSTACK(YES_Writing_ELA[#Data], YES_Writing_FLA[#Data]),MATCH($A24,_xlfn.VSTACK(YES_Writing_ELA[Student Number], YES_Writing_FLA[Student Number]),0),MATCH(C$7,YES_Writing_ELA[#Headers],0)),IFERROR(INDEX(_xlfn.VSTACK(YES_Reading_ELA[#Data], YES_Reading_FLA[#Data]),MATCH($A24,_xlfn.VSTACK(YES_Reading_ELA[Student Number], YES_Reading_FLA[Student Number]),0),MATCH(C$7,YES_Reading_ELA[#Headers],0)),""))</f>
        <v/>
      </c>
      <c r="D24" s="138" t="str">
        <f>IFERROR(IF(IF(INDEX(_xlfn.VSTACK(YES_Writing_ELA[#Data],YES_Writing_FLA[#Data]),MATCH($A24,_xlfn.VSTACK(YES_Writing_ELA[Student Number],YES_Writing_FLA[Student Number]),0),MATCH(VLOOKUP(D$7,'Writing Logic'!$J$7:$K$11,2,FALSE)&amp;" - Per "&amp;VLOOKUP($C$4,'Writing Logic'!$G$8:$H$14,2,FALSE),YES_Writing_ELA[#Headers],0))=0,"",INDEX(_xlfn.VSTACK(YES_Writing_ELA[#Data],YES_Writing_FLA[#Data]),MATCH($A24,_xlfn.VSTACK(YES_Writing_ELA[Student Number],YES_Writing_FLA[Student Number]),0),MATCH(VLOOKUP(D$7,'Writing Logic'!$J$7:$K$11,2,FALSE)&amp;" - Per "&amp;VLOOKUP($C$4,'Writing Logic'!$G$8:$H$14,2,FALSE),YES_Writing_ELA[#Headers],0)))="INS",'Writing Logic'!$B$7,IF(INDEX(_xlfn.VSTACK(YES_Writing_ELA[#Data],YES_Writing_FLA[#Data]),MATCH($A24,_xlfn.VSTACK(YES_Writing_ELA[Student Number],YES_Writing_FLA[Student Number]),0),MATCH(VLOOKUP(D$7,'Writing Logic'!$J$7:$K$11,2,FALSE)&amp;" - Per "&amp;VLOOKUP($C$4,'Writing Logic'!$G$8:$H$14,2,FALSE),YES_Writing_ELA[#Headers],0))=0,"",INDEX(_xlfn.VSTACK(YES_Writing_ELA[#Data],YES_Writing_FLA[#Data]),MATCH($A24,_xlfn.VSTACK(YES_Writing_ELA[Student Number],YES_Writing_FLA[Student Number]),0),MATCH(VLOOKUP(D$7,'Writing Logic'!$J$7:$K$11,2,FALSE)&amp;" - Per "&amp;VLOOKUP($C$4,'Writing Logic'!$G$8:$H$14,2,FALSE),YES_Writing_ELA[#Headers],0)))),"")</f>
        <v/>
      </c>
      <c r="E24" s="138" t="str">
        <f>IFERROR(IF(IF(INDEX(_xlfn.VSTACK(YES_Writing_ELA[#Data],YES_Writing_FLA[#Data]),MATCH($A24,_xlfn.VSTACK(YES_Writing_ELA[Student Number],YES_Writing_FLA[Student Number]),0),MATCH(VLOOKUP(E$7,'Writing Logic'!$J$7:$K$11,2,FALSE)&amp;" - Per "&amp;VLOOKUP($C$4,'Writing Logic'!$G$8:$H$14,2,FALSE),YES_Writing_ELA[#Headers],0))=0,"",INDEX(_xlfn.VSTACK(YES_Writing_ELA[#Data],YES_Writing_FLA[#Data]),MATCH($A24,_xlfn.VSTACK(YES_Writing_ELA[Student Number],YES_Writing_FLA[Student Number]),0),MATCH(VLOOKUP(E$7,'Writing Logic'!$J$7:$K$11,2,FALSE)&amp;" - Per "&amp;VLOOKUP($C$4,'Writing Logic'!$G$8:$H$14,2,FALSE),YES_Writing_ELA[#Headers],0)))="INS",'Writing Logic'!$B$7,IF(INDEX(_xlfn.VSTACK(YES_Writing_ELA[#Data],YES_Writing_FLA[#Data]),MATCH($A24,_xlfn.VSTACK(YES_Writing_ELA[Student Number],YES_Writing_FLA[Student Number]),0),MATCH(VLOOKUP(E$7,'Writing Logic'!$J$7:$K$11,2,FALSE)&amp;" - Per "&amp;VLOOKUP($C$4,'Writing Logic'!$G$8:$H$14,2,FALSE),YES_Writing_ELA[#Headers],0))=0,"",INDEX(_xlfn.VSTACK(YES_Writing_ELA[#Data],YES_Writing_FLA[#Data]),MATCH($A24,_xlfn.VSTACK(YES_Writing_ELA[Student Number],YES_Writing_FLA[Student Number]),0),MATCH(VLOOKUP(E$7,'Writing Logic'!$J$7:$K$11,2,FALSE)&amp;" - Per "&amp;VLOOKUP($C$4,'Writing Logic'!$G$8:$H$14,2,FALSE),YES_Writing_ELA[#Headers],0)))),"")</f>
        <v/>
      </c>
      <c r="F24" s="138" t="str">
        <f>IFERROR(IF(IF(INDEX(_xlfn.VSTACK(YES_Writing_ELA[#Data],YES_Writing_FLA[#Data]),MATCH($A24,_xlfn.VSTACK(YES_Writing_ELA[Student Number],YES_Writing_FLA[Student Number]),0),MATCH(VLOOKUP(F$7,'Writing Logic'!$J$7:$K$11,2,FALSE)&amp;" - Per "&amp;VLOOKUP($C$4,'Writing Logic'!$G$8:$H$14,2,FALSE),YES_Writing_ELA[#Headers],0))=0,"",INDEX(_xlfn.VSTACK(YES_Writing_ELA[#Data],YES_Writing_FLA[#Data]),MATCH($A24,_xlfn.VSTACK(YES_Writing_ELA[Student Number],YES_Writing_FLA[Student Number]),0),MATCH(VLOOKUP(F$7,'Writing Logic'!$J$7:$K$11,2,FALSE)&amp;" - Per "&amp;VLOOKUP($C$4,'Writing Logic'!$G$8:$H$14,2,FALSE),YES_Writing_ELA[#Headers],0)))="INS",'Writing Logic'!$B$7,IF(INDEX(_xlfn.VSTACK(YES_Writing_ELA[#Data],YES_Writing_FLA[#Data]),MATCH($A24,_xlfn.VSTACK(YES_Writing_ELA[Student Number],YES_Writing_FLA[Student Number]),0),MATCH(VLOOKUP(F$7,'Writing Logic'!$J$7:$K$11,2,FALSE)&amp;" - Per "&amp;VLOOKUP($C$4,'Writing Logic'!$G$8:$H$14,2,FALSE),YES_Writing_ELA[#Headers],0))=0,"",INDEX(_xlfn.VSTACK(YES_Writing_ELA[#Data],YES_Writing_FLA[#Data]),MATCH($A24,_xlfn.VSTACK(YES_Writing_ELA[Student Number],YES_Writing_FLA[Student Number]),0),MATCH(VLOOKUP(F$7,'Writing Logic'!$J$7:$K$11,2,FALSE)&amp;" - Per "&amp;VLOOKUP($C$4,'Writing Logic'!$G$8:$H$14,2,FALSE),YES_Writing_ELA[#Headers],0)))),"")</f>
        <v/>
      </c>
      <c r="G24" s="138" t="str">
        <f>IFERROR(IF(IF(INDEX(_xlfn.VSTACK(YES_Writing_ELA[#Data],YES_Writing_FLA[#Data]),MATCH($A24,_xlfn.VSTACK(YES_Writing_ELA[Student Number],YES_Writing_FLA[Student Number]),0),MATCH(VLOOKUP(G$7,'Writing Logic'!$J$7:$K$11,2,FALSE)&amp;" - Per "&amp;VLOOKUP($C$4,'Writing Logic'!$G$8:$H$14,2,FALSE),YES_Writing_ELA[#Headers],0))=0,"",INDEX(_xlfn.VSTACK(YES_Writing_ELA[#Data],YES_Writing_FLA[#Data]),MATCH($A24,_xlfn.VSTACK(YES_Writing_ELA[Student Number],YES_Writing_FLA[Student Number]),0),MATCH(VLOOKUP(G$7,'Writing Logic'!$J$7:$K$11,2,FALSE)&amp;" - Per "&amp;VLOOKUP($C$4,'Writing Logic'!$G$8:$H$14,2,FALSE),YES_Writing_ELA[#Headers],0)))="INS",'Writing Logic'!$B$7,IF(INDEX(_xlfn.VSTACK(YES_Writing_ELA[#Data],YES_Writing_FLA[#Data]),MATCH($A24,_xlfn.VSTACK(YES_Writing_ELA[Student Number],YES_Writing_FLA[Student Number]),0),MATCH(VLOOKUP(G$7,'Writing Logic'!$J$7:$K$11,2,FALSE)&amp;" - Per "&amp;VLOOKUP($C$4,'Writing Logic'!$G$8:$H$14,2,FALSE),YES_Writing_ELA[#Headers],0))=0,"",INDEX(_xlfn.VSTACK(YES_Writing_ELA[#Data],YES_Writing_FLA[#Data]),MATCH($A24,_xlfn.VSTACK(YES_Writing_ELA[Student Number],YES_Writing_FLA[Student Number]),0),MATCH(VLOOKUP(G$7,'Writing Logic'!$J$7:$K$11,2,FALSE)&amp;" - Per "&amp;VLOOKUP($C$4,'Writing Logic'!$G$8:$H$14,2,FALSE),YES_Writing_ELA[#Headers],0)))),"")</f>
        <v/>
      </c>
      <c r="H24" s="223" t="str">
        <f>IFERROR(IF(IF(INDEX(_xlfn.VSTACK(YES_Writing_ELA[#Data],YES_Writing_FLA[#Data]),MATCH($A24,_xlfn.VSTACK(YES_Writing_ELA[Student Number],YES_Writing_FLA[Student Number]),0),MATCH(VLOOKUP(H$7,'Writing Logic'!$J$7:$K$11,2,FALSE)&amp;" - Per "&amp;VLOOKUP($C$4,'Writing Logic'!$G$8:$H$14,2,FALSE),YES_Writing_ELA[#Headers],0))=0,"",INDEX(_xlfn.VSTACK(YES_Writing_ELA[#Data],YES_Writing_FLA[#Data]),MATCH($A24,_xlfn.VSTACK(YES_Writing_ELA[Student Number],YES_Writing_FLA[Student Number]),0),MATCH(VLOOKUP(H$7,'Writing Logic'!$J$7:$K$11,2,FALSE)&amp;" - Per "&amp;VLOOKUP($C$4,'Writing Logic'!$G$8:$H$14,2,FALSE),YES_Writing_ELA[#Headers],0)))="INS",'Writing Logic'!$B$7,IF(INDEX(_xlfn.VSTACK(YES_Writing_ELA[#Data],YES_Writing_FLA[#Data]),MATCH($A24,_xlfn.VSTACK(YES_Writing_ELA[Student Number],YES_Writing_FLA[Student Number]),0),MATCH(VLOOKUP(H$7,'Writing Logic'!$J$7:$K$11,2,FALSE)&amp;" - Per "&amp;VLOOKUP($C$4,'Writing Logic'!$G$8:$H$14,2,FALSE),YES_Writing_ELA[#Headers],0))=0,"",INDEX(_xlfn.VSTACK(YES_Writing_ELA[#Data],YES_Writing_FLA[#Data]),MATCH($A24,_xlfn.VSTACK(YES_Writing_ELA[Student Number],YES_Writing_FLA[Student Number]),0),MATCH(VLOOKUP(H$7,'Writing Logic'!$J$7:$K$11,2,FALSE)&amp;" - Per "&amp;VLOOKUP($C$4,'Writing Logic'!$G$8:$H$14,2,FALSE),YES_Writing_ELA[#Headers],0)))),"")</f>
        <v/>
      </c>
      <c r="I24" s="224" t="str" cm="1">
        <f t="array" aca="1" ref="I24" ca="1">IFERROR(
IF($G$3="ELA",
IF(VLOOKUP($A24, YES_Reading_ELA[], COLUMN(INDIRECT("YES_Reading_ELA[Difference - Per "&amp;VLOOKUP($G$4, 'Reading Report Logic'!$A$2:$B$8, 2, FALSE)&amp;"]")), FALSE)="", "",
VLOOKUP($A24,YES_Reading_ELA[], COLUMN(INDIRECT("YES_Reading_ELA[Difference - Per "&amp;VLOOKUP($G$4,'Reading Report Logic'!$A$2:$B$8,2,FALSE)&amp;"]")), FALSE)),
IF($G$3="FLA",
IF(VLOOKUP($A24, YES_Reading_FLA[], COLUMN(INDIRECT("YES_Reading_FLA[Difference - Per "&amp;VLOOKUP($G$4,'Reading Report Logic'!$A$2:$B$8,2,FALSE)&amp;"]")),FALSE)="","",
VLOOKUP($A24,YES_Reading_FLA[],COLUMN(INDIRECT("YES_Reading_FLA[Difference - Per "&amp;VLOOKUP($G$4,'Reading Report Logic'!$A$2:$B$8,2,FALSE)&amp;"]")),FALSE)),
IF($G$3="Combined",
IFERROR(
IF(VLOOKUP($A24, YES_Reading_ELA[], COLUMN(INDIRECT("YES_Reading_ELA[Difference - Per "&amp;VLOOKUP($G$4, 'Reading Report Logic'!$A$2:$B$8,2,FALSE)&amp;"]")), FALSE)="", "",
VLOOKUP($A24,YES_Reading_ELA[],COLUMN(INDIRECT("YES_Reading_ELA[Difference - Per "&amp;VLOOKUP($G$4,'Reading Report Logic'!$A$2:$B$8,2,FALSE)&amp;"]")),FALSE)),
IF(VLOOKUP($A24, YES_Reading_FLA[], COLUMN(INDIRECT("YES_Reading_FLA[Difference - Per "&amp;VLOOKUP($G$4, 'Reading Report Logic'!$A$2:$B$8, 2, FALSE)&amp;"]")),FALSE)="", "", VLOOKUP($A24,YES_Reading_FLA[],COLUMN(INDIRECT("YES_Reading_FLA[Difference - Per "&amp;VLOOKUP($G$4, 'Reading Report Logic'!$A$2:$B$8, 2, FALSE)&amp;"]")),FALSE))),""))),"")</f>
        <v/>
      </c>
      <c r="J24" s="136"/>
      <c r="K24" s="108"/>
      <c r="L24" s="109" t="str">
        <f>IF(K24="","",COUNTIFS($C$10:$C$600,$K24,$H$10:$H$600,"&gt;="&amp;'Writing Logic'!$F$1))</f>
        <v/>
      </c>
      <c r="M24" s="109" t="str">
        <f t="shared" si="1"/>
        <v/>
      </c>
      <c r="N24" s="109" t="str">
        <f>IF($K24="","",COUNTIFS($C$10:$C$600,$K24,$I$10:$I$600,"&gt;=0",$H$10:$H$600,"&gt;="&amp;'Writing Logic'!$F$1))</f>
        <v/>
      </c>
      <c r="O24" s="134" t="str">
        <f t="shared" si="2"/>
        <v/>
      </c>
    </row>
    <row r="25" spans="1:15" s="99" customFormat="1" ht="14.25" customHeight="1" x14ac:dyDescent="0.25">
      <c r="A25" s="137"/>
      <c r="B25" s="137" t="str">
        <f>IFERROR(INDEX(_xlfn.VSTACK(YES_Writing_ELA[#Data], YES_Writing_FLA[#Data]),MATCH($A25,_xlfn.VSTACK(YES_Writing_ELA[Student Number], YES_Writing_FLA[Student Number]),0),MATCH(B$7,YES_Writing_ELA[#Headers],0)),IFERROR(INDEX(_xlfn.VSTACK(YES_Reading_ELA[#Data], YES_Reading_FLA[#Data]),MATCH($A25,_xlfn.VSTACK(YES_Reading_ELA[Student Number], YES_Reading_FLA[Student Number]),0),MATCH(B$7,YES_Reading_ELA[#Headers],0)),""))</f>
        <v/>
      </c>
      <c r="C25" s="137" t="str">
        <f>IFERROR(INDEX(_xlfn.VSTACK(YES_Writing_ELA[#Data], YES_Writing_FLA[#Data]),MATCH($A25,_xlfn.VSTACK(YES_Writing_ELA[Student Number], YES_Writing_FLA[Student Number]),0),MATCH(C$7,YES_Writing_ELA[#Headers],0)),IFERROR(INDEX(_xlfn.VSTACK(YES_Reading_ELA[#Data], YES_Reading_FLA[#Data]),MATCH($A25,_xlfn.VSTACK(YES_Reading_ELA[Student Number], YES_Reading_FLA[Student Number]),0),MATCH(C$7,YES_Reading_ELA[#Headers],0)),""))</f>
        <v/>
      </c>
      <c r="D25" s="138" t="str">
        <f>IFERROR(IF(IF(INDEX(_xlfn.VSTACK(YES_Writing_ELA[#Data],YES_Writing_FLA[#Data]),MATCH($A25,_xlfn.VSTACK(YES_Writing_ELA[Student Number],YES_Writing_FLA[Student Number]),0),MATCH(VLOOKUP(D$7,'Writing Logic'!$J$7:$K$11,2,FALSE)&amp;" - Per "&amp;VLOOKUP($C$4,'Writing Logic'!$G$8:$H$14,2,FALSE),YES_Writing_ELA[#Headers],0))=0,"",INDEX(_xlfn.VSTACK(YES_Writing_ELA[#Data],YES_Writing_FLA[#Data]),MATCH($A25,_xlfn.VSTACK(YES_Writing_ELA[Student Number],YES_Writing_FLA[Student Number]),0),MATCH(VLOOKUP(D$7,'Writing Logic'!$J$7:$K$11,2,FALSE)&amp;" - Per "&amp;VLOOKUP($C$4,'Writing Logic'!$G$8:$H$14,2,FALSE),YES_Writing_ELA[#Headers],0)))="INS",'Writing Logic'!$B$7,IF(INDEX(_xlfn.VSTACK(YES_Writing_ELA[#Data],YES_Writing_FLA[#Data]),MATCH($A25,_xlfn.VSTACK(YES_Writing_ELA[Student Number],YES_Writing_FLA[Student Number]),0),MATCH(VLOOKUP(D$7,'Writing Logic'!$J$7:$K$11,2,FALSE)&amp;" - Per "&amp;VLOOKUP($C$4,'Writing Logic'!$G$8:$H$14,2,FALSE),YES_Writing_ELA[#Headers],0))=0,"",INDEX(_xlfn.VSTACK(YES_Writing_ELA[#Data],YES_Writing_FLA[#Data]),MATCH($A25,_xlfn.VSTACK(YES_Writing_ELA[Student Number],YES_Writing_FLA[Student Number]),0),MATCH(VLOOKUP(D$7,'Writing Logic'!$J$7:$K$11,2,FALSE)&amp;" - Per "&amp;VLOOKUP($C$4,'Writing Logic'!$G$8:$H$14,2,FALSE),YES_Writing_ELA[#Headers],0)))),"")</f>
        <v/>
      </c>
      <c r="E25" s="138" t="str">
        <f>IFERROR(IF(IF(INDEX(_xlfn.VSTACK(YES_Writing_ELA[#Data],YES_Writing_FLA[#Data]),MATCH($A25,_xlfn.VSTACK(YES_Writing_ELA[Student Number],YES_Writing_FLA[Student Number]),0),MATCH(VLOOKUP(E$7,'Writing Logic'!$J$7:$K$11,2,FALSE)&amp;" - Per "&amp;VLOOKUP($C$4,'Writing Logic'!$G$8:$H$14,2,FALSE),YES_Writing_ELA[#Headers],0))=0,"",INDEX(_xlfn.VSTACK(YES_Writing_ELA[#Data],YES_Writing_FLA[#Data]),MATCH($A25,_xlfn.VSTACK(YES_Writing_ELA[Student Number],YES_Writing_FLA[Student Number]),0),MATCH(VLOOKUP(E$7,'Writing Logic'!$J$7:$K$11,2,FALSE)&amp;" - Per "&amp;VLOOKUP($C$4,'Writing Logic'!$G$8:$H$14,2,FALSE),YES_Writing_ELA[#Headers],0)))="INS",'Writing Logic'!$B$7,IF(INDEX(_xlfn.VSTACK(YES_Writing_ELA[#Data],YES_Writing_FLA[#Data]),MATCH($A25,_xlfn.VSTACK(YES_Writing_ELA[Student Number],YES_Writing_FLA[Student Number]),0),MATCH(VLOOKUP(E$7,'Writing Logic'!$J$7:$K$11,2,FALSE)&amp;" - Per "&amp;VLOOKUP($C$4,'Writing Logic'!$G$8:$H$14,2,FALSE),YES_Writing_ELA[#Headers],0))=0,"",INDEX(_xlfn.VSTACK(YES_Writing_ELA[#Data],YES_Writing_FLA[#Data]),MATCH($A25,_xlfn.VSTACK(YES_Writing_ELA[Student Number],YES_Writing_FLA[Student Number]),0),MATCH(VLOOKUP(E$7,'Writing Logic'!$J$7:$K$11,2,FALSE)&amp;" - Per "&amp;VLOOKUP($C$4,'Writing Logic'!$G$8:$H$14,2,FALSE),YES_Writing_ELA[#Headers],0)))),"")</f>
        <v/>
      </c>
      <c r="F25" s="138" t="str">
        <f>IFERROR(IF(IF(INDEX(_xlfn.VSTACK(YES_Writing_ELA[#Data],YES_Writing_FLA[#Data]),MATCH($A25,_xlfn.VSTACK(YES_Writing_ELA[Student Number],YES_Writing_FLA[Student Number]),0),MATCH(VLOOKUP(F$7,'Writing Logic'!$J$7:$K$11,2,FALSE)&amp;" - Per "&amp;VLOOKUP($C$4,'Writing Logic'!$G$8:$H$14,2,FALSE),YES_Writing_ELA[#Headers],0))=0,"",INDEX(_xlfn.VSTACK(YES_Writing_ELA[#Data],YES_Writing_FLA[#Data]),MATCH($A25,_xlfn.VSTACK(YES_Writing_ELA[Student Number],YES_Writing_FLA[Student Number]),0),MATCH(VLOOKUP(F$7,'Writing Logic'!$J$7:$K$11,2,FALSE)&amp;" - Per "&amp;VLOOKUP($C$4,'Writing Logic'!$G$8:$H$14,2,FALSE),YES_Writing_ELA[#Headers],0)))="INS",'Writing Logic'!$B$7,IF(INDEX(_xlfn.VSTACK(YES_Writing_ELA[#Data],YES_Writing_FLA[#Data]),MATCH($A25,_xlfn.VSTACK(YES_Writing_ELA[Student Number],YES_Writing_FLA[Student Number]),0),MATCH(VLOOKUP(F$7,'Writing Logic'!$J$7:$K$11,2,FALSE)&amp;" - Per "&amp;VLOOKUP($C$4,'Writing Logic'!$G$8:$H$14,2,FALSE),YES_Writing_ELA[#Headers],0))=0,"",INDEX(_xlfn.VSTACK(YES_Writing_ELA[#Data],YES_Writing_FLA[#Data]),MATCH($A25,_xlfn.VSTACK(YES_Writing_ELA[Student Number],YES_Writing_FLA[Student Number]),0),MATCH(VLOOKUP(F$7,'Writing Logic'!$J$7:$K$11,2,FALSE)&amp;" - Per "&amp;VLOOKUP($C$4,'Writing Logic'!$G$8:$H$14,2,FALSE),YES_Writing_ELA[#Headers],0)))),"")</f>
        <v/>
      </c>
      <c r="G25" s="138" t="str">
        <f>IFERROR(IF(IF(INDEX(_xlfn.VSTACK(YES_Writing_ELA[#Data],YES_Writing_FLA[#Data]),MATCH($A25,_xlfn.VSTACK(YES_Writing_ELA[Student Number],YES_Writing_FLA[Student Number]),0),MATCH(VLOOKUP(G$7,'Writing Logic'!$J$7:$K$11,2,FALSE)&amp;" - Per "&amp;VLOOKUP($C$4,'Writing Logic'!$G$8:$H$14,2,FALSE),YES_Writing_ELA[#Headers],0))=0,"",INDEX(_xlfn.VSTACK(YES_Writing_ELA[#Data],YES_Writing_FLA[#Data]),MATCH($A25,_xlfn.VSTACK(YES_Writing_ELA[Student Number],YES_Writing_FLA[Student Number]),0),MATCH(VLOOKUP(G$7,'Writing Logic'!$J$7:$K$11,2,FALSE)&amp;" - Per "&amp;VLOOKUP($C$4,'Writing Logic'!$G$8:$H$14,2,FALSE),YES_Writing_ELA[#Headers],0)))="INS",'Writing Logic'!$B$7,IF(INDEX(_xlfn.VSTACK(YES_Writing_ELA[#Data],YES_Writing_FLA[#Data]),MATCH($A25,_xlfn.VSTACK(YES_Writing_ELA[Student Number],YES_Writing_FLA[Student Number]),0),MATCH(VLOOKUP(G$7,'Writing Logic'!$J$7:$K$11,2,FALSE)&amp;" - Per "&amp;VLOOKUP($C$4,'Writing Logic'!$G$8:$H$14,2,FALSE),YES_Writing_ELA[#Headers],0))=0,"",INDEX(_xlfn.VSTACK(YES_Writing_ELA[#Data],YES_Writing_FLA[#Data]),MATCH($A25,_xlfn.VSTACK(YES_Writing_ELA[Student Number],YES_Writing_FLA[Student Number]),0),MATCH(VLOOKUP(G$7,'Writing Logic'!$J$7:$K$11,2,FALSE)&amp;" - Per "&amp;VLOOKUP($C$4,'Writing Logic'!$G$8:$H$14,2,FALSE),YES_Writing_ELA[#Headers],0)))),"")</f>
        <v/>
      </c>
      <c r="H25" s="223" t="str">
        <f>IFERROR(IF(IF(INDEX(_xlfn.VSTACK(YES_Writing_ELA[#Data],YES_Writing_FLA[#Data]),MATCH($A25,_xlfn.VSTACK(YES_Writing_ELA[Student Number],YES_Writing_FLA[Student Number]),0),MATCH(VLOOKUP(H$7,'Writing Logic'!$J$7:$K$11,2,FALSE)&amp;" - Per "&amp;VLOOKUP($C$4,'Writing Logic'!$G$8:$H$14,2,FALSE),YES_Writing_ELA[#Headers],0))=0,"",INDEX(_xlfn.VSTACK(YES_Writing_ELA[#Data],YES_Writing_FLA[#Data]),MATCH($A25,_xlfn.VSTACK(YES_Writing_ELA[Student Number],YES_Writing_FLA[Student Number]),0),MATCH(VLOOKUP(H$7,'Writing Logic'!$J$7:$K$11,2,FALSE)&amp;" - Per "&amp;VLOOKUP($C$4,'Writing Logic'!$G$8:$H$14,2,FALSE),YES_Writing_ELA[#Headers],0)))="INS",'Writing Logic'!$B$7,IF(INDEX(_xlfn.VSTACK(YES_Writing_ELA[#Data],YES_Writing_FLA[#Data]),MATCH($A25,_xlfn.VSTACK(YES_Writing_ELA[Student Number],YES_Writing_FLA[Student Number]),0),MATCH(VLOOKUP(H$7,'Writing Logic'!$J$7:$K$11,2,FALSE)&amp;" - Per "&amp;VLOOKUP($C$4,'Writing Logic'!$G$8:$H$14,2,FALSE),YES_Writing_ELA[#Headers],0))=0,"",INDEX(_xlfn.VSTACK(YES_Writing_ELA[#Data],YES_Writing_FLA[#Data]),MATCH($A25,_xlfn.VSTACK(YES_Writing_ELA[Student Number],YES_Writing_FLA[Student Number]),0),MATCH(VLOOKUP(H$7,'Writing Logic'!$J$7:$K$11,2,FALSE)&amp;" - Per "&amp;VLOOKUP($C$4,'Writing Logic'!$G$8:$H$14,2,FALSE),YES_Writing_ELA[#Headers],0)))),"")</f>
        <v/>
      </c>
      <c r="I25" s="224" t="str" cm="1">
        <f t="array" aca="1" ref="I25" ca="1">IFERROR(
IF($G$3="ELA",
IF(VLOOKUP($A25, YES_Reading_ELA[], COLUMN(INDIRECT("YES_Reading_ELA[Difference - Per "&amp;VLOOKUP($G$4, 'Reading Report Logic'!$A$2:$B$8, 2, FALSE)&amp;"]")), FALSE)="", "",
VLOOKUP($A25,YES_Reading_ELA[], COLUMN(INDIRECT("YES_Reading_ELA[Difference - Per "&amp;VLOOKUP($G$4,'Reading Report Logic'!$A$2:$B$8,2,FALSE)&amp;"]")), FALSE)),
IF($G$3="FLA",
IF(VLOOKUP($A25, YES_Reading_FLA[], COLUMN(INDIRECT("YES_Reading_FLA[Difference - Per "&amp;VLOOKUP($G$4,'Reading Report Logic'!$A$2:$B$8,2,FALSE)&amp;"]")),FALSE)="","",
VLOOKUP($A25,YES_Reading_FLA[],COLUMN(INDIRECT("YES_Reading_FLA[Difference - Per "&amp;VLOOKUP($G$4,'Reading Report Logic'!$A$2:$B$8,2,FALSE)&amp;"]")),FALSE)),
IF($G$3="Combined",
IFERROR(
IF(VLOOKUP($A25, YES_Reading_ELA[], COLUMN(INDIRECT("YES_Reading_ELA[Difference - Per "&amp;VLOOKUP($G$4, 'Reading Report Logic'!$A$2:$B$8,2,FALSE)&amp;"]")), FALSE)="", "",
VLOOKUP($A25,YES_Reading_ELA[],COLUMN(INDIRECT("YES_Reading_ELA[Difference - Per "&amp;VLOOKUP($G$4,'Reading Report Logic'!$A$2:$B$8,2,FALSE)&amp;"]")),FALSE)),
IF(VLOOKUP($A25, YES_Reading_FLA[], COLUMN(INDIRECT("YES_Reading_FLA[Difference - Per "&amp;VLOOKUP($G$4, 'Reading Report Logic'!$A$2:$B$8, 2, FALSE)&amp;"]")),FALSE)="", "", VLOOKUP($A25,YES_Reading_FLA[],COLUMN(INDIRECT("YES_Reading_FLA[Difference - Per "&amp;VLOOKUP($G$4, 'Reading Report Logic'!$A$2:$B$8, 2, FALSE)&amp;"]")),FALSE))),""))),"")</f>
        <v/>
      </c>
      <c r="J25" s="136"/>
      <c r="K25" s="108"/>
      <c r="L25" s="109" t="str">
        <f>IF(K25="","",COUNTIFS($C$10:$C$600,$K25,$H$10:$H$600,"&gt;="&amp;'Writing Logic'!$F$1))</f>
        <v/>
      </c>
      <c r="M25" s="109" t="str">
        <f t="shared" si="1"/>
        <v/>
      </c>
      <c r="N25" s="109" t="str">
        <f>IF($K25="","",COUNTIFS($C$10:$C$600,$K25,$I$10:$I$600,"&gt;=0",$H$10:$H$600,"&gt;="&amp;'Writing Logic'!$F$1))</f>
        <v/>
      </c>
      <c r="O25" s="134" t="str">
        <f t="shared" si="2"/>
        <v/>
      </c>
    </row>
    <row r="26" spans="1:15" s="99" customFormat="1" ht="14.25" customHeight="1" x14ac:dyDescent="0.25">
      <c r="A26" s="137"/>
      <c r="B26" s="137" t="str">
        <f>IFERROR(INDEX(_xlfn.VSTACK(YES_Writing_ELA[#Data], YES_Writing_FLA[#Data]),MATCH($A26,_xlfn.VSTACK(YES_Writing_ELA[Student Number], YES_Writing_FLA[Student Number]),0),MATCH(B$7,YES_Writing_ELA[#Headers],0)),IFERROR(INDEX(_xlfn.VSTACK(YES_Reading_ELA[#Data], YES_Reading_FLA[#Data]),MATCH($A26,_xlfn.VSTACK(YES_Reading_ELA[Student Number], YES_Reading_FLA[Student Number]),0),MATCH(B$7,YES_Reading_ELA[#Headers],0)),""))</f>
        <v/>
      </c>
      <c r="C26" s="137" t="str">
        <f>IFERROR(INDEX(_xlfn.VSTACK(YES_Writing_ELA[#Data], YES_Writing_FLA[#Data]),MATCH($A26,_xlfn.VSTACK(YES_Writing_ELA[Student Number], YES_Writing_FLA[Student Number]),0),MATCH(C$7,YES_Writing_ELA[#Headers],0)),IFERROR(INDEX(_xlfn.VSTACK(YES_Reading_ELA[#Data], YES_Reading_FLA[#Data]),MATCH($A26,_xlfn.VSTACK(YES_Reading_ELA[Student Number], YES_Reading_FLA[Student Number]),0),MATCH(C$7,YES_Reading_ELA[#Headers],0)),""))</f>
        <v/>
      </c>
      <c r="D26" s="138" t="str">
        <f>IFERROR(IF(IF(INDEX(_xlfn.VSTACK(YES_Writing_ELA[#Data],YES_Writing_FLA[#Data]),MATCH($A26,_xlfn.VSTACK(YES_Writing_ELA[Student Number],YES_Writing_FLA[Student Number]),0),MATCH(VLOOKUP(D$7,'Writing Logic'!$J$7:$K$11,2,FALSE)&amp;" - Per "&amp;VLOOKUP($C$4,'Writing Logic'!$G$8:$H$14,2,FALSE),YES_Writing_ELA[#Headers],0))=0,"",INDEX(_xlfn.VSTACK(YES_Writing_ELA[#Data],YES_Writing_FLA[#Data]),MATCH($A26,_xlfn.VSTACK(YES_Writing_ELA[Student Number],YES_Writing_FLA[Student Number]),0),MATCH(VLOOKUP(D$7,'Writing Logic'!$J$7:$K$11,2,FALSE)&amp;" - Per "&amp;VLOOKUP($C$4,'Writing Logic'!$G$8:$H$14,2,FALSE),YES_Writing_ELA[#Headers],0)))="INS",'Writing Logic'!$B$7,IF(INDEX(_xlfn.VSTACK(YES_Writing_ELA[#Data],YES_Writing_FLA[#Data]),MATCH($A26,_xlfn.VSTACK(YES_Writing_ELA[Student Number],YES_Writing_FLA[Student Number]),0),MATCH(VLOOKUP(D$7,'Writing Logic'!$J$7:$K$11,2,FALSE)&amp;" - Per "&amp;VLOOKUP($C$4,'Writing Logic'!$G$8:$H$14,2,FALSE),YES_Writing_ELA[#Headers],0))=0,"",INDEX(_xlfn.VSTACK(YES_Writing_ELA[#Data],YES_Writing_FLA[#Data]),MATCH($A26,_xlfn.VSTACK(YES_Writing_ELA[Student Number],YES_Writing_FLA[Student Number]),0),MATCH(VLOOKUP(D$7,'Writing Logic'!$J$7:$K$11,2,FALSE)&amp;" - Per "&amp;VLOOKUP($C$4,'Writing Logic'!$G$8:$H$14,2,FALSE),YES_Writing_ELA[#Headers],0)))),"")</f>
        <v/>
      </c>
      <c r="E26" s="138" t="str">
        <f>IFERROR(IF(IF(INDEX(_xlfn.VSTACK(YES_Writing_ELA[#Data],YES_Writing_FLA[#Data]),MATCH($A26,_xlfn.VSTACK(YES_Writing_ELA[Student Number],YES_Writing_FLA[Student Number]),0),MATCH(VLOOKUP(E$7,'Writing Logic'!$J$7:$K$11,2,FALSE)&amp;" - Per "&amp;VLOOKUP($C$4,'Writing Logic'!$G$8:$H$14,2,FALSE),YES_Writing_ELA[#Headers],0))=0,"",INDEX(_xlfn.VSTACK(YES_Writing_ELA[#Data],YES_Writing_FLA[#Data]),MATCH($A26,_xlfn.VSTACK(YES_Writing_ELA[Student Number],YES_Writing_FLA[Student Number]),0),MATCH(VLOOKUP(E$7,'Writing Logic'!$J$7:$K$11,2,FALSE)&amp;" - Per "&amp;VLOOKUP($C$4,'Writing Logic'!$G$8:$H$14,2,FALSE),YES_Writing_ELA[#Headers],0)))="INS",'Writing Logic'!$B$7,IF(INDEX(_xlfn.VSTACK(YES_Writing_ELA[#Data],YES_Writing_FLA[#Data]),MATCH($A26,_xlfn.VSTACK(YES_Writing_ELA[Student Number],YES_Writing_FLA[Student Number]),0),MATCH(VLOOKUP(E$7,'Writing Logic'!$J$7:$K$11,2,FALSE)&amp;" - Per "&amp;VLOOKUP($C$4,'Writing Logic'!$G$8:$H$14,2,FALSE),YES_Writing_ELA[#Headers],0))=0,"",INDEX(_xlfn.VSTACK(YES_Writing_ELA[#Data],YES_Writing_FLA[#Data]),MATCH($A26,_xlfn.VSTACK(YES_Writing_ELA[Student Number],YES_Writing_FLA[Student Number]),0),MATCH(VLOOKUP(E$7,'Writing Logic'!$J$7:$K$11,2,FALSE)&amp;" - Per "&amp;VLOOKUP($C$4,'Writing Logic'!$G$8:$H$14,2,FALSE),YES_Writing_ELA[#Headers],0)))),"")</f>
        <v/>
      </c>
      <c r="F26" s="138" t="str">
        <f>IFERROR(IF(IF(INDEX(_xlfn.VSTACK(YES_Writing_ELA[#Data],YES_Writing_FLA[#Data]),MATCH($A26,_xlfn.VSTACK(YES_Writing_ELA[Student Number],YES_Writing_FLA[Student Number]),0),MATCH(VLOOKUP(F$7,'Writing Logic'!$J$7:$K$11,2,FALSE)&amp;" - Per "&amp;VLOOKUP($C$4,'Writing Logic'!$G$8:$H$14,2,FALSE),YES_Writing_ELA[#Headers],0))=0,"",INDEX(_xlfn.VSTACK(YES_Writing_ELA[#Data],YES_Writing_FLA[#Data]),MATCH($A26,_xlfn.VSTACK(YES_Writing_ELA[Student Number],YES_Writing_FLA[Student Number]),0),MATCH(VLOOKUP(F$7,'Writing Logic'!$J$7:$K$11,2,FALSE)&amp;" - Per "&amp;VLOOKUP($C$4,'Writing Logic'!$G$8:$H$14,2,FALSE),YES_Writing_ELA[#Headers],0)))="INS",'Writing Logic'!$B$7,IF(INDEX(_xlfn.VSTACK(YES_Writing_ELA[#Data],YES_Writing_FLA[#Data]),MATCH($A26,_xlfn.VSTACK(YES_Writing_ELA[Student Number],YES_Writing_FLA[Student Number]),0),MATCH(VLOOKUP(F$7,'Writing Logic'!$J$7:$K$11,2,FALSE)&amp;" - Per "&amp;VLOOKUP($C$4,'Writing Logic'!$G$8:$H$14,2,FALSE),YES_Writing_ELA[#Headers],0))=0,"",INDEX(_xlfn.VSTACK(YES_Writing_ELA[#Data],YES_Writing_FLA[#Data]),MATCH($A26,_xlfn.VSTACK(YES_Writing_ELA[Student Number],YES_Writing_FLA[Student Number]),0),MATCH(VLOOKUP(F$7,'Writing Logic'!$J$7:$K$11,2,FALSE)&amp;" - Per "&amp;VLOOKUP($C$4,'Writing Logic'!$G$8:$H$14,2,FALSE),YES_Writing_ELA[#Headers],0)))),"")</f>
        <v/>
      </c>
      <c r="G26" s="138" t="str">
        <f>IFERROR(IF(IF(INDEX(_xlfn.VSTACK(YES_Writing_ELA[#Data],YES_Writing_FLA[#Data]),MATCH($A26,_xlfn.VSTACK(YES_Writing_ELA[Student Number],YES_Writing_FLA[Student Number]),0),MATCH(VLOOKUP(G$7,'Writing Logic'!$J$7:$K$11,2,FALSE)&amp;" - Per "&amp;VLOOKUP($C$4,'Writing Logic'!$G$8:$H$14,2,FALSE),YES_Writing_ELA[#Headers],0))=0,"",INDEX(_xlfn.VSTACK(YES_Writing_ELA[#Data],YES_Writing_FLA[#Data]),MATCH($A26,_xlfn.VSTACK(YES_Writing_ELA[Student Number],YES_Writing_FLA[Student Number]),0),MATCH(VLOOKUP(G$7,'Writing Logic'!$J$7:$K$11,2,FALSE)&amp;" - Per "&amp;VLOOKUP($C$4,'Writing Logic'!$G$8:$H$14,2,FALSE),YES_Writing_ELA[#Headers],0)))="INS",'Writing Logic'!$B$7,IF(INDEX(_xlfn.VSTACK(YES_Writing_ELA[#Data],YES_Writing_FLA[#Data]),MATCH($A26,_xlfn.VSTACK(YES_Writing_ELA[Student Number],YES_Writing_FLA[Student Number]),0),MATCH(VLOOKUP(G$7,'Writing Logic'!$J$7:$K$11,2,FALSE)&amp;" - Per "&amp;VLOOKUP($C$4,'Writing Logic'!$G$8:$H$14,2,FALSE),YES_Writing_ELA[#Headers],0))=0,"",INDEX(_xlfn.VSTACK(YES_Writing_ELA[#Data],YES_Writing_FLA[#Data]),MATCH($A26,_xlfn.VSTACK(YES_Writing_ELA[Student Number],YES_Writing_FLA[Student Number]),0),MATCH(VLOOKUP(G$7,'Writing Logic'!$J$7:$K$11,2,FALSE)&amp;" - Per "&amp;VLOOKUP($C$4,'Writing Logic'!$G$8:$H$14,2,FALSE),YES_Writing_ELA[#Headers],0)))),"")</f>
        <v/>
      </c>
      <c r="H26" s="223" t="str">
        <f>IFERROR(IF(IF(INDEX(_xlfn.VSTACK(YES_Writing_ELA[#Data],YES_Writing_FLA[#Data]),MATCH($A26,_xlfn.VSTACK(YES_Writing_ELA[Student Number],YES_Writing_FLA[Student Number]),0),MATCH(VLOOKUP(H$7,'Writing Logic'!$J$7:$K$11,2,FALSE)&amp;" - Per "&amp;VLOOKUP($C$4,'Writing Logic'!$G$8:$H$14,2,FALSE),YES_Writing_ELA[#Headers],0))=0,"",INDEX(_xlfn.VSTACK(YES_Writing_ELA[#Data],YES_Writing_FLA[#Data]),MATCH($A26,_xlfn.VSTACK(YES_Writing_ELA[Student Number],YES_Writing_FLA[Student Number]),0),MATCH(VLOOKUP(H$7,'Writing Logic'!$J$7:$K$11,2,FALSE)&amp;" - Per "&amp;VLOOKUP($C$4,'Writing Logic'!$G$8:$H$14,2,FALSE),YES_Writing_ELA[#Headers],0)))="INS",'Writing Logic'!$B$7,IF(INDEX(_xlfn.VSTACK(YES_Writing_ELA[#Data],YES_Writing_FLA[#Data]),MATCH($A26,_xlfn.VSTACK(YES_Writing_ELA[Student Number],YES_Writing_FLA[Student Number]),0),MATCH(VLOOKUP(H$7,'Writing Logic'!$J$7:$K$11,2,FALSE)&amp;" - Per "&amp;VLOOKUP($C$4,'Writing Logic'!$G$8:$H$14,2,FALSE),YES_Writing_ELA[#Headers],0))=0,"",INDEX(_xlfn.VSTACK(YES_Writing_ELA[#Data],YES_Writing_FLA[#Data]),MATCH($A26,_xlfn.VSTACK(YES_Writing_ELA[Student Number],YES_Writing_FLA[Student Number]),0),MATCH(VLOOKUP(H$7,'Writing Logic'!$J$7:$K$11,2,FALSE)&amp;" - Per "&amp;VLOOKUP($C$4,'Writing Logic'!$G$8:$H$14,2,FALSE),YES_Writing_ELA[#Headers],0)))),"")</f>
        <v/>
      </c>
      <c r="I26" s="224" t="str" cm="1">
        <f t="array" aca="1" ref="I26" ca="1">IFERROR(
IF($G$3="ELA",
IF(VLOOKUP($A26, YES_Reading_ELA[], COLUMN(INDIRECT("YES_Reading_ELA[Difference - Per "&amp;VLOOKUP($G$4, 'Reading Report Logic'!$A$2:$B$8, 2, FALSE)&amp;"]")), FALSE)="", "",
VLOOKUP($A26,YES_Reading_ELA[], COLUMN(INDIRECT("YES_Reading_ELA[Difference - Per "&amp;VLOOKUP($G$4,'Reading Report Logic'!$A$2:$B$8,2,FALSE)&amp;"]")), FALSE)),
IF($G$3="FLA",
IF(VLOOKUP($A26, YES_Reading_FLA[], COLUMN(INDIRECT("YES_Reading_FLA[Difference - Per "&amp;VLOOKUP($G$4,'Reading Report Logic'!$A$2:$B$8,2,FALSE)&amp;"]")),FALSE)="","",
VLOOKUP($A26,YES_Reading_FLA[],COLUMN(INDIRECT("YES_Reading_FLA[Difference - Per "&amp;VLOOKUP($G$4,'Reading Report Logic'!$A$2:$B$8,2,FALSE)&amp;"]")),FALSE)),
IF($G$3="Combined",
IFERROR(
IF(VLOOKUP($A26, YES_Reading_ELA[], COLUMN(INDIRECT("YES_Reading_ELA[Difference - Per "&amp;VLOOKUP($G$4, 'Reading Report Logic'!$A$2:$B$8,2,FALSE)&amp;"]")), FALSE)="", "",
VLOOKUP($A26,YES_Reading_ELA[],COLUMN(INDIRECT("YES_Reading_ELA[Difference - Per "&amp;VLOOKUP($G$4,'Reading Report Logic'!$A$2:$B$8,2,FALSE)&amp;"]")),FALSE)),
IF(VLOOKUP($A26, YES_Reading_FLA[], COLUMN(INDIRECT("YES_Reading_FLA[Difference - Per "&amp;VLOOKUP($G$4, 'Reading Report Logic'!$A$2:$B$8, 2, FALSE)&amp;"]")),FALSE)="", "", VLOOKUP($A26,YES_Reading_FLA[],COLUMN(INDIRECT("YES_Reading_FLA[Difference - Per "&amp;VLOOKUP($G$4, 'Reading Report Logic'!$A$2:$B$8, 2, FALSE)&amp;"]")),FALSE))),""))),"")</f>
        <v/>
      </c>
      <c r="J26" s="136"/>
      <c r="K26" s="108"/>
      <c r="L26" s="109" t="str">
        <f>IF(K26="","",COUNTIFS($C$10:$C$600,$K26,$H$10:$H$600,"&gt;="&amp;'Writing Logic'!$F$1))</f>
        <v/>
      </c>
      <c r="M26" s="109" t="str">
        <f t="shared" si="1"/>
        <v/>
      </c>
      <c r="N26" s="109" t="str">
        <f>IF($K26="","",COUNTIFS($C$10:$C$600,$K26,$I$10:$I$600,"&gt;=0",$H$10:$H$600,"&gt;="&amp;'Writing Logic'!$F$1))</f>
        <v/>
      </c>
      <c r="O26" s="134" t="str">
        <f t="shared" si="2"/>
        <v/>
      </c>
    </row>
    <row r="27" spans="1:15" s="99" customFormat="1" ht="14.25" customHeight="1" x14ac:dyDescent="0.25">
      <c r="A27" s="137"/>
      <c r="B27" s="137" t="str">
        <f>IFERROR(INDEX(_xlfn.VSTACK(YES_Writing_ELA[#Data], YES_Writing_FLA[#Data]),MATCH($A27,_xlfn.VSTACK(YES_Writing_ELA[Student Number], YES_Writing_FLA[Student Number]),0),MATCH(B$7,YES_Writing_ELA[#Headers],0)),IFERROR(INDEX(_xlfn.VSTACK(YES_Reading_ELA[#Data], YES_Reading_FLA[#Data]),MATCH($A27,_xlfn.VSTACK(YES_Reading_ELA[Student Number], YES_Reading_FLA[Student Number]),0),MATCH(B$7,YES_Reading_ELA[#Headers],0)),""))</f>
        <v/>
      </c>
      <c r="C27" s="137" t="str">
        <f>IFERROR(INDEX(_xlfn.VSTACK(YES_Writing_ELA[#Data], YES_Writing_FLA[#Data]),MATCH($A27,_xlfn.VSTACK(YES_Writing_ELA[Student Number], YES_Writing_FLA[Student Number]),0),MATCH(C$7,YES_Writing_ELA[#Headers],0)),IFERROR(INDEX(_xlfn.VSTACK(YES_Reading_ELA[#Data], YES_Reading_FLA[#Data]),MATCH($A27,_xlfn.VSTACK(YES_Reading_ELA[Student Number], YES_Reading_FLA[Student Number]),0),MATCH(C$7,YES_Reading_ELA[#Headers],0)),""))</f>
        <v/>
      </c>
      <c r="D27" s="138" t="str">
        <f>IFERROR(IF(IF(INDEX(_xlfn.VSTACK(YES_Writing_ELA[#Data],YES_Writing_FLA[#Data]),MATCH($A27,_xlfn.VSTACK(YES_Writing_ELA[Student Number],YES_Writing_FLA[Student Number]),0),MATCH(VLOOKUP(D$7,'Writing Logic'!$J$7:$K$11,2,FALSE)&amp;" - Per "&amp;VLOOKUP($C$4,'Writing Logic'!$G$8:$H$14,2,FALSE),YES_Writing_ELA[#Headers],0))=0,"",INDEX(_xlfn.VSTACK(YES_Writing_ELA[#Data],YES_Writing_FLA[#Data]),MATCH($A27,_xlfn.VSTACK(YES_Writing_ELA[Student Number],YES_Writing_FLA[Student Number]),0),MATCH(VLOOKUP(D$7,'Writing Logic'!$J$7:$K$11,2,FALSE)&amp;" - Per "&amp;VLOOKUP($C$4,'Writing Logic'!$G$8:$H$14,2,FALSE),YES_Writing_ELA[#Headers],0)))="INS",'Writing Logic'!$B$7,IF(INDEX(_xlfn.VSTACK(YES_Writing_ELA[#Data],YES_Writing_FLA[#Data]),MATCH($A27,_xlfn.VSTACK(YES_Writing_ELA[Student Number],YES_Writing_FLA[Student Number]),0),MATCH(VLOOKUP(D$7,'Writing Logic'!$J$7:$K$11,2,FALSE)&amp;" - Per "&amp;VLOOKUP($C$4,'Writing Logic'!$G$8:$H$14,2,FALSE),YES_Writing_ELA[#Headers],0))=0,"",INDEX(_xlfn.VSTACK(YES_Writing_ELA[#Data],YES_Writing_FLA[#Data]),MATCH($A27,_xlfn.VSTACK(YES_Writing_ELA[Student Number],YES_Writing_FLA[Student Number]),0),MATCH(VLOOKUP(D$7,'Writing Logic'!$J$7:$K$11,2,FALSE)&amp;" - Per "&amp;VLOOKUP($C$4,'Writing Logic'!$G$8:$H$14,2,FALSE),YES_Writing_ELA[#Headers],0)))),"")</f>
        <v/>
      </c>
      <c r="E27" s="138" t="str">
        <f>IFERROR(IF(IF(INDEX(_xlfn.VSTACK(YES_Writing_ELA[#Data],YES_Writing_FLA[#Data]),MATCH($A27,_xlfn.VSTACK(YES_Writing_ELA[Student Number],YES_Writing_FLA[Student Number]),0),MATCH(VLOOKUP(E$7,'Writing Logic'!$J$7:$K$11,2,FALSE)&amp;" - Per "&amp;VLOOKUP($C$4,'Writing Logic'!$G$8:$H$14,2,FALSE),YES_Writing_ELA[#Headers],0))=0,"",INDEX(_xlfn.VSTACK(YES_Writing_ELA[#Data],YES_Writing_FLA[#Data]),MATCH($A27,_xlfn.VSTACK(YES_Writing_ELA[Student Number],YES_Writing_FLA[Student Number]),0),MATCH(VLOOKUP(E$7,'Writing Logic'!$J$7:$K$11,2,FALSE)&amp;" - Per "&amp;VLOOKUP($C$4,'Writing Logic'!$G$8:$H$14,2,FALSE),YES_Writing_ELA[#Headers],0)))="INS",'Writing Logic'!$B$7,IF(INDEX(_xlfn.VSTACK(YES_Writing_ELA[#Data],YES_Writing_FLA[#Data]),MATCH($A27,_xlfn.VSTACK(YES_Writing_ELA[Student Number],YES_Writing_FLA[Student Number]),0),MATCH(VLOOKUP(E$7,'Writing Logic'!$J$7:$K$11,2,FALSE)&amp;" - Per "&amp;VLOOKUP($C$4,'Writing Logic'!$G$8:$H$14,2,FALSE),YES_Writing_ELA[#Headers],0))=0,"",INDEX(_xlfn.VSTACK(YES_Writing_ELA[#Data],YES_Writing_FLA[#Data]),MATCH($A27,_xlfn.VSTACK(YES_Writing_ELA[Student Number],YES_Writing_FLA[Student Number]),0),MATCH(VLOOKUP(E$7,'Writing Logic'!$J$7:$K$11,2,FALSE)&amp;" - Per "&amp;VLOOKUP($C$4,'Writing Logic'!$G$8:$H$14,2,FALSE),YES_Writing_ELA[#Headers],0)))),"")</f>
        <v/>
      </c>
      <c r="F27" s="138" t="str">
        <f>IFERROR(IF(IF(INDEX(_xlfn.VSTACK(YES_Writing_ELA[#Data],YES_Writing_FLA[#Data]),MATCH($A27,_xlfn.VSTACK(YES_Writing_ELA[Student Number],YES_Writing_FLA[Student Number]),0),MATCH(VLOOKUP(F$7,'Writing Logic'!$J$7:$K$11,2,FALSE)&amp;" - Per "&amp;VLOOKUP($C$4,'Writing Logic'!$G$8:$H$14,2,FALSE),YES_Writing_ELA[#Headers],0))=0,"",INDEX(_xlfn.VSTACK(YES_Writing_ELA[#Data],YES_Writing_FLA[#Data]),MATCH($A27,_xlfn.VSTACK(YES_Writing_ELA[Student Number],YES_Writing_FLA[Student Number]),0),MATCH(VLOOKUP(F$7,'Writing Logic'!$J$7:$K$11,2,FALSE)&amp;" - Per "&amp;VLOOKUP($C$4,'Writing Logic'!$G$8:$H$14,2,FALSE),YES_Writing_ELA[#Headers],0)))="INS",'Writing Logic'!$B$7,IF(INDEX(_xlfn.VSTACK(YES_Writing_ELA[#Data],YES_Writing_FLA[#Data]),MATCH($A27,_xlfn.VSTACK(YES_Writing_ELA[Student Number],YES_Writing_FLA[Student Number]),0),MATCH(VLOOKUP(F$7,'Writing Logic'!$J$7:$K$11,2,FALSE)&amp;" - Per "&amp;VLOOKUP($C$4,'Writing Logic'!$G$8:$H$14,2,FALSE),YES_Writing_ELA[#Headers],0))=0,"",INDEX(_xlfn.VSTACK(YES_Writing_ELA[#Data],YES_Writing_FLA[#Data]),MATCH($A27,_xlfn.VSTACK(YES_Writing_ELA[Student Number],YES_Writing_FLA[Student Number]),0),MATCH(VLOOKUP(F$7,'Writing Logic'!$J$7:$K$11,2,FALSE)&amp;" - Per "&amp;VLOOKUP($C$4,'Writing Logic'!$G$8:$H$14,2,FALSE),YES_Writing_ELA[#Headers],0)))),"")</f>
        <v/>
      </c>
      <c r="G27" s="138" t="str">
        <f>IFERROR(IF(IF(INDEX(_xlfn.VSTACK(YES_Writing_ELA[#Data],YES_Writing_FLA[#Data]),MATCH($A27,_xlfn.VSTACK(YES_Writing_ELA[Student Number],YES_Writing_FLA[Student Number]),0),MATCH(VLOOKUP(G$7,'Writing Logic'!$J$7:$K$11,2,FALSE)&amp;" - Per "&amp;VLOOKUP($C$4,'Writing Logic'!$G$8:$H$14,2,FALSE),YES_Writing_ELA[#Headers],0))=0,"",INDEX(_xlfn.VSTACK(YES_Writing_ELA[#Data],YES_Writing_FLA[#Data]),MATCH($A27,_xlfn.VSTACK(YES_Writing_ELA[Student Number],YES_Writing_FLA[Student Number]),0),MATCH(VLOOKUP(G$7,'Writing Logic'!$J$7:$K$11,2,FALSE)&amp;" - Per "&amp;VLOOKUP($C$4,'Writing Logic'!$G$8:$H$14,2,FALSE),YES_Writing_ELA[#Headers],0)))="INS",'Writing Logic'!$B$7,IF(INDEX(_xlfn.VSTACK(YES_Writing_ELA[#Data],YES_Writing_FLA[#Data]),MATCH($A27,_xlfn.VSTACK(YES_Writing_ELA[Student Number],YES_Writing_FLA[Student Number]),0),MATCH(VLOOKUP(G$7,'Writing Logic'!$J$7:$K$11,2,FALSE)&amp;" - Per "&amp;VLOOKUP($C$4,'Writing Logic'!$G$8:$H$14,2,FALSE),YES_Writing_ELA[#Headers],0))=0,"",INDEX(_xlfn.VSTACK(YES_Writing_ELA[#Data],YES_Writing_FLA[#Data]),MATCH($A27,_xlfn.VSTACK(YES_Writing_ELA[Student Number],YES_Writing_FLA[Student Number]),0),MATCH(VLOOKUP(G$7,'Writing Logic'!$J$7:$K$11,2,FALSE)&amp;" - Per "&amp;VLOOKUP($C$4,'Writing Logic'!$G$8:$H$14,2,FALSE),YES_Writing_ELA[#Headers],0)))),"")</f>
        <v/>
      </c>
      <c r="H27" s="223" t="str">
        <f>IFERROR(IF(IF(INDEX(_xlfn.VSTACK(YES_Writing_ELA[#Data],YES_Writing_FLA[#Data]),MATCH($A27,_xlfn.VSTACK(YES_Writing_ELA[Student Number],YES_Writing_FLA[Student Number]),0),MATCH(VLOOKUP(H$7,'Writing Logic'!$J$7:$K$11,2,FALSE)&amp;" - Per "&amp;VLOOKUP($C$4,'Writing Logic'!$G$8:$H$14,2,FALSE),YES_Writing_ELA[#Headers],0))=0,"",INDEX(_xlfn.VSTACK(YES_Writing_ELA[#Data],YES_Writing_FLA[#Data]),MATCH($A27,_xlfn.VSTACK(YES_Writing_ELA[Student Number],YES_Writing_FLA[Student Number]),0),MATCH(VLOOKUP(H$7,'Writing Logic'!$J$7:$K$11,2,FALSE)&amp;" - Per "&amp;VLOOKUP($C$4,'Writing Logic'!$G$8:$H$14,2,FALSE),YES_Writing_ELA[#Headers],0)))="INS",'Writing Logic'!$B$7,IF(INDEX(_xlfn.VSTACK(YES_Writing_ELA[#Data],YES_Writing_FLA[#Data]),MATCH($A27,_xlfn.VSTACK(YES_Writing_ELA[Student Number],YES_Writing_FLA[Student Number]),0),MATCH(VLOOKUP(H$7,'Writing Logic'!$J$7:$K$11,2,FALSE)&amp;" - Per "&amp;VLOOKUP($C$4,'Writing Logic'!$G$8:$H$14,2,FALSE),YES_Writing_ELA[#Headers],0))=0,"",INDEX(_xlfn.VSTACK(YES_Writing_ELA[#Data],YES_Writing_FLA[#Data]),MATCH($A27,_xlfn.VSTACK(YES_Writing_ELA[Student Number],YES_Writing_FLA[Student Number]),0),MATCH(VLOOKUP(H$7,'Writing Logic'!$J$7:$K$11,2,FALSE)&amp;" - Per "&amp;VLOOKUP($C$4,'Writing Logic'!$G$8:$H$14,2,FALSE),YES_Writing_ELA[#Headers],0)))),"")</f>
        <v/>
      </c>
      <c r="I27" s="224" t="str" cm="1">
        <f t="array" aca="1" ref="I27" ca="1">IFERROR(
IF($G$3="ELA",
IF(VLOOKUP($A27, YES_Reading_ELA[], COLUMN(INDIRECT("YES_Reading_ELA[Difference - Per "&amp;VLOOKUP($G$4, 'Reading Report Logic'!$A$2:$B$8, 2, FALSE)&amp;"]")), FALSE)="", "",
VLOOKUP($A27,YES_Reading_ELA[], COLUMN(INDIRECT("YES_Reading_ELA[Difference - Per "&amp;VLOOKUP($G$4,'Reading Report Logic'!$A$2:$B$8,2,FALSE)&amp;"]")), FALSE)),
IF($G$3="FLA",
IF(VLOOKUP($A27, YES_Reading_FLA[], COLUMN(INDIRECT("YES_Reading_FLA[Difference - Per "&amp;VLOOKUP($G$4,'Reading Report Logic'!$A$2:$B$8,2,FALSE)&amp;"]")),FALSE)="","",
VLOOKUP($A27,YES_Reading_FLA[],COLUMN(INDIRECT("YES_Reading_FLA[Difference - Per "&amp;VLOOKUP($G$4,'Reading Report Logic'!$A$2:$B$8,2,FALSE)&amp;"]")),FALSE)),
IF($G$3="Combined",
IFERROR(
IF(VLOOKUP($A27, YES_Reading_ELA[], COLUMN(INDIRECT("YES_Reading_ELA[Difference - Per "&amp;VLOOKUP($G$4, 'Reading Report Logic'!$A$2:$B$8,2,FALSE)&amp;"]")), FALSE)="", "",
VLOOKUP($A27,YES_Reading_ELA[],COLUMN(INDIRECT("YES_Reading_ELA[Difference - Per "&amp;VLOOKUP($G$4,'Reading Report Logic'!$A$2:$B$8,2,FALSE)&amp;"]")),FALSE)),
IF(VLOOKUP($A27, YES_Reading_FLA[], COLUMN(INDIRECT("YES_Reading_FLA[Difference - Per "&amp;VLOOKUP($G$4, 'Reading Report Logic'!$A$2:$B$8, 2, FALSE)&amp;"]")),FALSE)="", "", VLOOKUP($A27,YES_Reading_FLA[],COLUMN(INDIRECT("YES_Reading_FLA[Difference - Per "&amp;VLOOKUP($G$4, 'Reading Report Logic'!$A$2:$B$8, 2, FALSE)&amp;"]")),FALSE))),""))),"")</f>
        <v/>
      </c>
      <c r="J27" s="136"/>
      <c r="K27" s="108"/>
      <c r="L27" s="109" t="str">
        <f>IF(K27="","",COUNTIFS($C$10:$C$600,$K27,$H$10:$H$600,"&gt;="&amp;'Writing Logic'!$F$1))</f>
        <v/>
      </c>
      <c r="M27" s="109" t="str">
        <f t="shared" si="1"/>
        <v/>
      </c>
      <c r="N27" s="109" t="str">
        <f>IF($K27="","",COUNTIFS($C$10:$C$600,$K27,$I$10:$I$600,"&gt;=0",$H$10:$H$600,"&gt;="&amp;'Writing Logic'!$F$1))</f>
        <v/>
      </c>
      <c r="O27" s="134" t="str">
        <f t="shared" si="2"/>
        <v/>
      </c>
    </row>
    <row r="28" spans="1:15" s="99" customFormat="1" ht="14.25" customHeight="1" x14ac:dyDescent="0.25">
      <c r="A28" s="137"/>
      <c r="B28" s="137" t="str">
        <f>IFERROR(INDEX(_xlfn.VSTACK(YES_Writing_ELA[#Data], YES_Writing_FLA[#Data]),MATCH($A28,_xlfn.VSTACK(YES_Writing_ELA[Student Number], YES_Writing_FLA[Student Number]),0),MATCH(B$7,YES_Writing_ELA[#Headers],0)),IFERROR(INDEX(_xlfn.VSTACK(YES_Reading_ELA[#Data], YES_Reading_FLA[#Data]),MATCH($A28,_xlfn.VSTACK(YES_Reading_ELA[Student Number], YES_Reading_FLA[Student Number]),0),MATCH(B$7,YES_Reading_ELA[#Headers],0)),""))</f>
        <v/>
      </c>
      <c r="C28" s="137" t="str">
        <f>IFERROR(INDEX(_xlfn.VSTACK(YES_Writing_ELA[#Data], YES_Writing_FLA[#Data]),MATCH($A28,_xlfn.VSTACK(YES_Writing_ELA[Student Number], YES_Writing_FLA[Student Number]),0),MATCH(C$7,YES_Writing_ELA[#Headers],0)),IFERROR(INDEX(_xlfn.VSTACK(YES_Reading_ELA[#Data], YES_Reading_FLA[#Data]),MATCH($A28,_xlfn.VSTACK(YES_Reading_ELA[Student Number], YES_Reading_FLA[Student Number]),0),MATCH(C$7,YES_Reading_ELA[#Headers],0)),""))</f>
        <v/>
      </c>
      <c r="D28" s="138" t="str">
        <f>IFERROR(IF(IF(INDEX(_xlfn.VSTACK(YES_Writing_ELA[#Data],YES_Writing_FLA[#Data]),MATCH($A28,_xlfn.VSTACK(YES_Writing_ELA[Student Number],YES_Writing_FLA[Student Number]),0),MATCH(VLOOKUP(D$7,'Writing Logic'!$J$7:$K$11,2,FALSE)&amp;" - Per "&amp;VLOOKUP($C$4,'Writing Logic'!$G$8:$H$14,2,FALSE),YES_Writing_ELA[#Headers],0))=0,"",INDEX(_xlfn.VSTACK(YES_Writing_ELA[#Data],YES_Writing_FLA[#Data]),MATCH($A28,_xlfn.VSTACK(YES_Writing_ELA[Student Number],YES_Writing_FLA[Student Number]),0),MATCH(VLOOKUP(D$7,'Writing Logic'!$J$7:$K$11,2,FALSE)&amp;" - Per "&amp;VLOOKUP($C$4,'Writing Logic'!$G$8:$H$14,2,FALSE),YES_Writing_ELA[#Headers],0)))="INS",'Writing Logic'!$B$7,IF(INDEX(_xlfn.VSTACK(YES_Writing_ELA[#Data],YES_Writing_FLA[#Data]),MATCH($A28,_xlfn.VSTACK(YES_Writing_ELA[Student Number],YES_Writing_FLA[Student Number]),0),MATCH(VLOOKUP(D$7,'Writing Logic'!$J$7:$K$11,2,FALSE)&amp;" - Per "&amp;VLOOKUP($C$4,'Writing Logic'!$G$8:$H$14,2,FALSE),YES_Writing_ELA[#Headers],0))=0,"",INDEX(_xlfn.VSTACK(YES_Writing_ELA[#Data],YES_Writing_FLA[#Data]),MATCH($A28,_xlfn.VSTACK(YES_Writing_ELA[Student Number],YES_Writing_FLA[Student Number]),0),MATCH(VLOOKUP(D$7,'Writing Logic'!$J$7:$K$11,2,FALSE)&amp;" - Per "&amp;VLOOKUP($C$4,'Writing Logic'!$G$8:$H$14,2,FALSE),YES_Writing_ELA[#Headers],0)))),"")</f>
        <v/>
      </c>
      <c r="E28" s="138" t="str">
        <f>IFERROR(IF(IF(INDEX(_xlfn.VSTACK(YES_Writing_ELA[#Data],YES_Writing_FLA[#Data]),MATCH($A28,_xlfn.VSTACK(YES_Writing_ELA[Student Number],YES_Writing_FLA[Student Number]),0),MATCH(VLOOKUP(E$7,'Writing Logic'!$J$7:$K$11,2,FALSE)&amp;" - Per "&amp;VLOOKUP($C$4,'Writing Logic'!$G$8:$H$14,2,FALSE),YES_Writing_ELA[#Headers],0))=0,"",INDEX(_xlfn.VSTACK(YES_Writing_ELA[#Data],YES_Writing_FLA[#Data]),MATCH($A28,_xlfn.VSTACK(YES_Writing_ELA[Student Number],YES_Writing_FLA[Student Number]),0),MATCH(VLOOKUP(E$7,'Writing Logic'!$J$7:$K$11,2,FALSE)&amp;" - Per "&amp;VLOOKUP($C$4,'Writing Logic'!$G$8:$H$14,2,FALSE),YES_Writing_ELA[#Headers],0)))="INS",'Writing Logic'!$B$7,IF(INDEX(_xlfn.VSTACK(YES_Writing_ELA[#Data],YES_Writing_FLA[#Data]),MATCH($A28,_xlfn.VSTACK(YES_Writing_ELA[Student Number],YES_Writing_FLA[Student Number]),0),MATCH(VLOOKUP(E$7,'Writing Logic'!$J$7:$K$11,2,FALSE)&amp;" - Per "&amp;VLOOKUP($C$4,'Writing Logic'!$G$8:$H$14,2,FALSE),YES_Writing_ELA[#Headers],0))=0,"",INDEX(_xlfn.VSTACK(YES_Writing_ELA[#Data],YES_Writing_FLA[#Data]),MATCH($A28,_xlfn.VSTACK(YES_Writing_ELA[Student Number],YES_Writing_FLA[Student Number]),0),MATCH(VLOOKUP(E$7,'Writing Logic'!$J$7:$K$11,2,FALSE)&amp;" - Per "&amp;VLOOKUP($C$4,'Writing Logic'!$G$8:$H$14,2,FALSE),YES_Writing_ELA[#Headers],0)))),"")</f>
        <v/>
      </c>
      <c r="F28" s="138" t="str">
        <f>IFERROR(IF(IF(INDEX(_xlfn.VSTACK(YES_Writing_ELA[#Data],YES_Writing_FLA[#Data]),MATCH($A28,_xlfn.VSTACK(YES_Writing_ELA[Student Number],YES_Writing_FLA[Student Number]),0),MATCH(VLOOKUP(F$7,'Writing Logic'!$J$7:$K$11,2,FALSE)&amp;" - Per "&amp;VLOOKUP($C$4,'Writing Logic'!$G$8:$H$14,2,FALSE),YES_Writing_ELA[#Headers],0))=0,"",INDEX(_xlfn.VSTACK(YES_Writing_ELA[#Data],YES_Writing_FLA[#Data]),MATCH($A28,_xlfn.VSTACK(YES_Writing_ELA[Student Number],YES_Writing_FLA[Student Number]),0),MATCH(VLOOKUP(F$7,'Writing Logic'!$J$7:$K$11,2,FALSE)&amp;" - Per "&amp;VLOOKUP($C$4,'Writing Logic'!$G$8:$H$14,2,FALSE),YES_Writing_ELA[#Headers],0)))="INS",'Writing Logic'!$B$7,IF(INDEX(_xlfn.VSTACK(YES_Writing_ELA[#Data],YES_Writing_FLA[#Data]),MATCH($A28,_xlfn.VSTACK(YES_Writing_ELA[Student Number],YES_Writing_FLA[Student Number]),0),MATCH(VLOOKUP(F$7,'Writing Logic'!$J$7:$K$11,2,FALSE)&amp;" - Per "&amp;VLOOKUP($C$4,'Writing Logic'!$G$8:$H$14,2,FALSE),YES_Writing_ELA[#Headers],0))=0,"",INDEX(_xlfn.VSTACK(YES_Writing_ELA[#Data],YES_Writing_FLA[#Data]),MATCH($A28,_xlfn.VSTACK(YES_Writing_ELA[Student Number],YES_Writing_FLA[Student Number]),0),MATCH(VLOOKUP(F$7,'Writing Logic'!$J$7:$K$11,2,FALSE)&amp;" - Per "&amp;VLOOKUP($C$4,'Writing Logic'!$G$8:$H$14,2,FALSE),YES_Writing_ELA[#Headers],0)))),"")</f>
        <v/>
      </c>
      <c r="G28" s="138" t="str">
        <f>IFERROR(IF(IF(INDEX(_xlfn.VSTACK(YES_Writing_ELA[#Data],YES_Writing_FLA[#Data]),MATCH($A28,_xlfn.VSTACK(YES_Writing_ELA[Student Number],YES_Writing_FLA[Student Number]),0),MATCH(VLOOKUP(G$7,'Writing Logic'!$J$7:$K$11,2,FALSE)&amp;" - Per "&amp;VLOOKUP($C$4,'Writing Logic'!$G$8:$H$14,2,FALSE),YES_Writing_ELA[#Headers],0))=0,"",INDEX(_xlfn.VSTACK(YES_Writing_ELA[#Data],YES_Writing_FLA[#Data]),MATCH($A28,_xlfn.VSTACK(YES_Writing_ELA[Student Number],YES_Writing_FLA[Student Number]),0),MATCH(VLOOKUP(G$7,'Writing Logic'!$J$7:$K$11,2,FALSE)&amp;" - Per "&amp;VLOOKUP($C$4,'Writing Logic'!$G$8:$H$14,2,FALSE),YES_Writing_ELA[#Headers],0)))="INS",'Writing Logic'!$B$7,IF(INDEX(_xlfn.VSTACK(YES_Writing_ELA[#Data],YES_Writing_FLA[#Data]),MATCH($A28,_xlfn.VSTACK(YES_Writing_ELA[Student Number],YES_Writing_FLA[Student Number]),0),MATCH(VLOOKUP(G$7,'Writing Logic'!$J$7:$K$11,2,FALSE)&amp;" - Per "&amp;VLOOKUP($C$4,'Writing Logic'!$G$8:$H$14,2,FALSE),YES_Writing_ELA[#Headers],0))=0,"",INDEX(_xlfn.VSTACK(YES_Writing_ELA[#Data],YES_Writing_FLA[#Data]),MATCH($A28,_xlfn.VSTACK(YES_Writing_ELA[Student Number],YES_Writing_FLA[Student Number]),0),MATCH(VLOOKUP(G$7,'Writing Logic'!$J$7:$K$11,2,FALSE)&amp;" - Per "&amp;VLOOKUP($C$4,'Writing Logic'!$G$8:$H$14,2,FALSE),YES_Writing_ELA[#Headers],0)))),"")</f>
        <v/>
      </c>
      <c r="H28" s="223" t="str">
        <f>IFERROR(IF(IF(INDEX(_xlfn.VSTACK(YES_Writing_ELA[#Data],YES_Writing_FLA[#Data]),MATCH($A28,_xlfn.VSTACK(YES_Writing_ELA[Student Number],YES_Writing_FLA[Student Number]),0),MATCH(VLOOKUP(H$7,'Writing Logic'!$J$7:$K$11,2,FALSE)&amp;" - Per "&amp;VLOOKUP($C$4,'Writing Logic'!$G$8:$H$14,2,FALSE),YES_Writing_ELA[#Headers],0))=0,"",INDEX(_xlfn.VSTACK(YES_Writing_ELA[#Data],YES_Writing_FLA[#Data]),MATCH($A28,_xlfn.VSTACK(YES_Writing_ELA[Student Number],YES_Writing_FLA[Student Number]),0),MATCH(VLOOKUP(H$7,'Writing Logic'!$J$7:$K$11,2,FALSE)&amp;" - Per "&amp;VLOOKUP($C$4,'Writing Logic'!$G$8:$H$14,2,FALSE),YES_Writing_ELA[#Headers],0)))="INS",'Writing Logic'!$B$7,IF(INDEX(_xlfn.VSTACK(YES_Writing_ELA[#Data],YES_Writing_FLA[#Data]),MATCH($A28,_xlfn.VSTACK(YES_Writing_ELA[Student Number],YES_Writing_FLA[Student Number]),0),MATCH(VLOOKUP(H$7,'Writing Logic'!$J$7:$K$11,2,FALSE)&amp;" - Per "&amp;VLOOKUP($C$4,'Writing Logic'!$G$8:$H$14,2,FALSE),YES_Writing_ELA[#Headers],0))=0,"",INDEX(_xlfn.VSTACK(YES_Writing_ELA[#Data],YES_Writing_FLA[#Data]),MATCH($A28,_xlfn.VSTACK(YES_Writing_ELA[Student Number],YES_Writing_FLA[Student Number]),0),MATCH(VLOOKUP(H$7,'Writing Logic'!$J$7:$K$11,2,FALSE)&amp;" - Per "&amp;VLOOKUP($C$4,'Writing Logic'!$G$8:$H$14,2,FALSE),YES_Writing_ELA[#Headers],0)))),"")</f>
        <v/>
      </c>
      <c r="I28" s="224" t="str" cm="1">
        <f t="array" aca="1" ref="I28" ca="1">IFERROR(
IF($G$3="ELA",
IF(VLOOKUP($A28, YES_Reading_ELA[], COLUMN(INDIRECT("YES_Reading_ELA[Difference - Per "&amp;VLOOKUP($G$4, 'Reading Report Logic'!$A$2:$B$8, 2, FALSE)&amp;"]")), FALSE)="", "",
VLOOKUP($A28,YES_Reading_ELA[], COLUMN(INDIRECT("YES_Reading_ELA[Difference - Per "&amp;VLOOKUP($G$4,'Reading Report Logic'!$A$2:$B$8,2,FALSE)&amp;"]")), FALSE)),
IF($G$3="FLA",
IF(VLOOKUP($A28, YES_Reading_FLA[], COLUMN(INDIRECT("YES_Reading_FLA[Difference - Per "&amp;VLOOKUP($G$4,'Reading Report Logic'!$A$2:$B$8,2,FALSE)&amp;"]")),FALSE)="","",
VLOOKUP($A28,YES_Reading_FLA[],COLUMN(INDIRECT("YES_Reading_FLA[Difference - Per "&amp;VLOOKUP($G$4,'Reading Report Logic'!$A$2:$B$8,2,FALSE)&amp;"]")),FALSE)),
IF($G$3="Combined",
IFERROR(
IF(VLOOKUP($A28, YES_Reading_ELA[], COLUMN(INDIRECT("YES_Reading_ELA[Difference - Per "&amp;VLOOKUP($G$4, 'Reading Report Logic'!$A$2:$B$8,2,FALSE)&amp;"]")), FALSE)="", "",
VLOOKUP($A28,YES_Reading_ELA[],COLUMN(INDIRECT("YES_Reading_ELA[Difference - Per "&amp;VLOOKUP($G$4,'Reading Report Logic'!$A$2:$B$8,2,FALSE)&amp;"]")),FALSE)),
IF(VLOOKUP($A28, YES_Reading_FLA[], COLUMN(INDIRECT("YES_Reading_FLA[Difference - Per "&amp;VLOOKUP($G$4, 'Reading Report Logic'!$A$2:$B$8, 2, FALSE)&amp;"]")),FALSE)="", "", VLOOKUP($A28,YES_Reading_FLA[],COLUMN(INDIRECT("YES_Reading_FLA[Difference - Per "&amp;VLOOKUP($G$4, 'Reading Report Logic'!$A$2:$B$8, 2, FALSE)&amp;"]")),FALSE))),""))),"")</f>
        <v/>
      </c>
      <c r="J28" s="136"/>
      <c r="K28" s="108"/>
      <c r="L28" s="109" t="str">
        <f>IF(K28="","",COUNTIFS($C$10:$C$600,$K28,$H$10:$H$600,"&gt;="&amp;'Writing Logic'!$F$1))</f>
        <v/>
      </c>
      <c r="M28" s="109" t="str">
        <f t="shared" si="1"/>
        <v/>
      </c>
      <c r="N28" s="109" t="str">
        <f>IF($K28="","",COUNTIFS($C$10:$C$600,$K28,$I$10:$I$600,"&gt;=0",$H$10:$H$600,"&gt;="&amp;'Writing Logic'!$F$1))</f>
        <v/>
      </c>
      <c r="O28" s="134" t="str">
        <f t="shared" si="2"/>
        <v/>
      </c>
    </row>
    <row r="29" spans="1:15" s="99" customFormat="1" ht="14.25" customHeight="1" x14ac:dyDescent="0.25">
      <c r="A29" s="137"/>
      <c r="B29" s="137" t="str">
        <f>IFERROR(INDEX(_xlfn.VSTACK(YES_Writing_ELA[#Data], YES_Writing_FLA[#Data]),MATCH($A29,_xlfn.VSTACK(YES_Writing_ELA[Student Number], YES_Writing_FLA[Student Number]),0),MATCH(B$7,YES_Writing_ELA[#Headers],0)),IFERROR(INDEX(_xlfn.VSTACK(YES_Reading_ELA[#Data], YES_Reading_FLA[#Data]),MATCH($A29,_xlfn.VSTACK(YES_Reading_ELA[Student Number], YES_Reading_FLA[Student Number]),0),MATCH(B$7,YES_Reading_ELA[#Headers],0)),""))</f>
        <v/>
      </c>
      <c r="C29" s="137" t="str">
        <f>IFERROR(INDEX(_xlfn.VSTACK(YES_Writing_ELA[#Data], YES_Writing_FLA[#Data]),MATCH($A29,_xlfn.VSTACK(YES_Writing_ELA[Student Number], YES_Writing_FLA[Student Number]),0),MATCH(C$7,YES_Writing_ELA[#Headers],0)),IFERROR(INDEX(_xlfn.VSTACK(YES_Reading_ELA[#Data], YES_Reading_FLA[#Data]),MATCH($A29,_xlfn.VSTACK(YES_Reading_ELA[Student Number], YES_Reading_FLA[Student Number]),0),MATCH(C$7,YES_Reading_ELA[#Headers],0)),""))</f>
        <v/>
      </c>
      <c r="D29" s="138" t="str">
        <f>IFERROR(IF(IF(INDEX(_xlfn.VSTACK(YES_Writing_ELA[#Data],YES_Writing_FLA[#Data]),MATCH($A29,_xlfn.VSTACK(YES_Writing_ELA[Student Number],YES_Writing_FLA[Student Number]),0),MATCH(VLOOKUP(D$7,'Writing Logic'!$J$7:$K$11,2,FALSE)&amp;" - Per "&amp;VLOOKUP($C$4,'Writing Logic'!$G$8:$H$14,2,FALSE),YES_Writing_ELA[#Headers],0))=0,"",INDEX(_xlfn.VSTACK(YES_Writing_ELA[#Data],YES_Writing_FLA[#Data]),MATCH($A29,_xlfn.VSTACK(YES_Writing_ELA[Student Number],YES_Writing_FLA[Student Number]),0),MATCH(VLOOKUP(D$7,'Writing Logic'!$J$7:$K$11,2,FALSE)&amp;" - Per "&amp;VLOOKUP($C$4,'Writing Logic'!$G$8:$H$14,2,FALSE),YES_Writing_ELA[#Headers],0)))="INS",'Writing Logic'!$B$7,IF(INDEX(_xlfn.VSTACK(YES_Writing_ELA[#Data],YES_Writing_FLA[#Data]),MATCH($A29,_xlfn.VSTACK(YES_Writing_ELA[Student Number],YES_Writing_FLA[Student Number]),0),MATCH(VLOOKUP(D$7,'Writing Logic'!$J$7:$K$11,2,FALSE)&amp;" - Per "&amp;VLOOKUP($C$4,'Writing Logic'!$G$8:$H$14,2,FALSE),YES_Writing_ELA[#Headers],0))=0,"",INDEX(_xlfn.VSTACK(YES_Writing_ELA[#Data],YES_Writing_FLA[#Data]),MATCH($A29,_xlfn.VSTACK(YES_Writing_ELA[Student Number],YES_Writing_FLA[Student Number]),0),MATCH(VLOOKUP(D$7,'Writing Logic'!$J$7:$K$11,2,FALSE)&amp;" - Per "&amp;VLOOKUP($C$4,'Writing Logic'!$G$8:$H$14,2,FALSE),YES_Writing_ELA[#Headers],0)))),"")</f>
        <v/>
      </c>
      <c r="E29" s="138" t="str">
        <f>IFERROR(IF(IF(INDEX(_xlfn.VSTACK(YES_Writing_ELA[#Data],YES_Writing_FLA[#Data]),MATCH($A29,_xlfn.VSTACK(YES_Writing_ELA[Student Number],YES_Writing_FLA[Student Number]),0),MATCH(VLOOKUP(E$7,'Writing Logic'!$J$7:$K$11,2,FALSE)&amp;" - Per "&amp;VLOOKUP($C$4,'Writing Logic'!$G$8:$H$14,2,FALSE),YES_Writing_ELA[#Headers],0))=0,"",INDEX(_xlfn.VSTACK(YES_Writing_ELA[#Data],YES_Writing_FLA[#Data]),MATCH($A29,_xlfn.VSTACK(YES_Writing_ELA[Student Number],YES_Writing_FLA[Student Number]),0),MATCH(VLOOKUP(E$7,'Writing Logic'!$J$7:$K$11,2,FALSE)&amp;" - Per "&amp;VLOOKUP($C$4,'Writing Logic'!$G$8:$H$14,2,FALSE),YES_Writing_ELA[#Headers],0)))="INS",'Writing Logic'!$B$7,IF(INDEX(_xlfn.VSTACK(YES_Writing_ELA[#Data],YES_Writing_FLA[#Data]),MATCH($A29,_xlfn.VSTACK(YES_Writing_ELA[Student Number],YES_Writing_FLA[Student Number]),0),MATCH(VLOOKUP(E$7,'Writing Logic'!$J$7:$K$11,2,FALSE)&amp;" - Per "&amp;VLOOKUP($C$4,'Writing Logic'!$G$8:$H$14,2,FALSE),YES_Writing_ELA[#Headers],0))=0,"",INDEX(_xlfn.VSTACK(YES_Writing_ELA[#Data],YES_Writing_FLA[#Data]),MATCH($A29,_xlfn.VSTACK(YES_Writing_ELA[Student Number],YES_Writing_FLA[Student Number]),0),MATCH(VLOOKUP(E$7,'Writing Logic'!$J$7:$K$11,2,FALSE)&amp;" - Per "&amp;VLOOKUP($C$4,'Writing Logic'!$G$8:$H$14,2,FALSE),YES_Writing_ELA[#Headers],0)))),"")</f>
        <v/>
      </c>
      <c r="F29" s="138" t="str">
        <f>IFERROR(IF(IF(INDEX(_xlfn.VSTACK(YES_Writing_ELA[#Data],YES_Writing_FLA[#Data]),MATCH($A29,_xlfn.VSTACK(YES_Writing_ELA[Student Number],YES_Writing_FLA[Student Number]),0),MATCH(VLOOKUP(F$7,'Writing Logic'!$J$7:$K$11,2,FALSE)&amp;" - Per "&amp;VLOOKUP($C$4,'Writing Logic'!$G$8:$H$14,2,FALSE),YES_Writing_ELA[#Headers],0))=0,"",INDEX(_xlfn.VSTACK(YES_Writing_ELA[#Data],YES_Writing_FLA[#Data]),MATCH($A29,_xlfn.VSTACK(YES_Writing_ELA[Student Number],YES_Writing_FLA[Student Number]),0),MATCH(VLOOKUP(F$7,'Writing Logic'!$J$7:$K$11,2,FALSE)&amp;" - Per "&amp;VLOOKUP($C$4,'Writing Logic'!$G$8:$H$14,2,FALSE),YES_Writing_ELA[#Headers],0)))="INS",'Writing Logic'!$B$7,IF(INDEX(_xlfn.VSTACK(YES_Writing_ELA[#Data],YES_Writing_FLA[#Data]),MATCH($A29,_xlfn.VSTACK(YES_Writing_ELA[Student Number],YES_Writing_FLA[Student Number]),0),MATCH(VLOOKUP(F$7,'Writing Logic'!$J$7:$K$11,2,FALSE)&amp;" - Per "&amp;VLOOKUP($C$4,'Writing Logic'!$G$8:$H$14,2,FALSE),YES_Writing_ELA[#Headers],0))=0,"",INDEX(_xlfn.VSTACK(YES_Writing_ELA[#Data],YES_Writing_FLA[#Data]),MATCH($A29,_xlfn.VSTACK(YES_Writing_ELA[Student Number],YES_Writing_FLA[Student Number]),0),MATCH(VLOOKUP(F$7,'Writing Logic'!$J$7:$K$11,2,FALSE)&amp;" - Per "&amp;VLOOKUP($C$4,'Writing Logic'!$G$8:$H$14,2,FALSE),YES_Writing_ELA[#Headers],0)))),"")</f>
        <v/>
      </c>
      <c r="G29" s="138" t="str">
        <f>IFERROR(IF(IF(INDEX(_xlfn.VSTACK(YES_Writing_ELA[#Data],YES_Writing_FLA[#Data]),MATCH($A29,_xlfn.VSTACK(YES_Writing_ELA[Student Number],YES_Writing_FLA[Student Number]),0),MATCH(VLOOKUP(G$7,'Writing Logic'!$J$7:$K$11,2,FALSE)&amp;" - Per "&amp;VLOOKUP($C$4,'Writing Logic'!$G$8:$H$14,2,FALSE),YES_Writing_ELA[#Headers],0))=0,"",INDEX(_xlfn.VSTACK(YES_Writing_ELA[#Data],YES_Writing_FLA[#Data]),MATCH($A29,_xlfn.VSTACK(YES_Writing_ELA[Student Number],YES_Writing_FLA[Student Number]),0),MATCH(VLOOKUP(G$7,'Writing Logic'!$J$7:$K$11,2,FALSE)&amp;" - Per "&amp;VLOOKUP($C$4,'Writing Logic'!$G$8:$H$14,2,FALSE),YES_Writing_ELA[#Headers],0)))="INS",'Writing Logic'!$B$7,IF(INDEX(_xlfn.VSTACK(YES_Writing_ELA[#Data],YES_Writing_FLA[#Data]),MATCH($A29,_xlfn.VSTACK(YES_Writing_ELA[Student Number],YES_Writing_FLA[Student Number]),0),MATCH(VLOOKUP(G$7,'Writing Logic'!$J$7:$K$11,2,FALSE)&amp;" - Per "&amp;VLOOKUP($C$4,'Writing Logic'!$G$8:$H$14,2,FALSE),YES_Writing_ELA[#Headers],0))=0,"",INDEX(_xlfn.VSTACK(YES_Writing_ELA[#Data],YES_Writing_FLA[#Data]),MATCH($A29,_xlfn.VSTACK(YES_Writing_ELA[Student Number],YES_Writing_FLA[Student Number]),0),MATCH(VLOOKUP(G$7,'Writing Logic'!$J$7:$K$11,2,FALSE)&amp;" - Per "&amp;VLOOKUP($C$4,'Writing Logic'!$G$8:$H$14,2,FALSE),YES_Writing_ELA[#Headers],0)))),"")</f>
        <v/>
      </c>
      <c r="H29" s="223" t="str">
        <f>IFERROR(IF(IF(INDEX(_xlfn.VSTACK(YES_Writing_ELA[#Data],YES_Writing_FLA[#Data]),MATCH($A29,_xlfn.VSTACK(YES_Writing_ELA[Student Number],YES_Writing_FLA[Student Number]),0),MATCH(VLOOKUP(H$7,'Writing Logic'!$J$7:$K$11,2,FALSE)&amp;" - Per "&amp;VLOOKUP($C$4,'Writing Logic'!$G$8:$H$14,2,FALSE),YES_Writing_ELA[#Headers],0))=0,"",INDEX(_xlfn.VSTACK(YES_Writing_ELA[#Data],YES_Writing_FLA[#Data]),MATCH($A29,_xlfn.VSTACK(YES_Writing_ELA[Student Number],YES_Writing_FLA[Student Number]),0),MATCH(VLOOKUP(H$7,'Writing Logic'!$J$7:$K$11,2,FALSE)&amp;" - Per "&amp;VLOOKUP($C$4,'Writing Logic'!$G$8:$H$14,2,FALSE),YES_Writing_ELA[#Headers],0)))="INS",'Writing Logic'!$B$7,IF(INDEX(_xlfn.VSTACK(YES_Writing_ELA[#Data],YES_Writing_FLA[#Data]),MATCH($A29,_xlfn.VSTACK(YES_Writing_ELA[Student Number],YES_Writing_FLA[Student Number]),0),MATCH(VLOOKUP(H$7,'Writing Logic'!$J$7:$K$11,2,FALSE)&amp;" - Per "&amp;VLOOKUP($C$4,'Writing Logic'!$G$8:$H$14,2,FALSE),YES_Writing_ELA[#Headers],0))=0,"",INDEX(_xlfn.VSTACK(YES_Writing_ELA[#Data],YES_Writing_FLA[#Data]),MATCH($A29,_xlfn.VSTACK(YES_Writing_ELA[Student Number],YES_Writing_FLA[Student Number]),0),MATCH(VLOOKUP(H$7,'Writing Logic'!$J$7:$K$11,2,FALSE)&amp;" - Per "&amp;VLOOKUP($C$4,'Writing Logic'!$G$8:$H$14,2,FALSE),YES_Writing_ELA[#Headers],0)))),"")</f>
        <v/>
      </c>
      <c r="I29" s="224" t="str" cm="1">
        <f t="array" aca="1" ref="I29" ca="1">IFERROR(
IF($G$3="ELA",
IF(VLOOKUP($A29, YES_Reading_ELA[], COLUMN(INDIRECT("YES_Reading_ELA[Difference - Per "&amp;VLOOKUP($G$4, 'Reading Report Logic'!$A$2:$B$8, 2, FALSE)&amp;"]")), FALSE)="", "",
VLOOKUP($A29,YES_Reading_ELA[], COLUMN(INDIRECT("YES_Reading_ELA[Difference - Per "&amp;VLOOKUP($G$4,'Reading Report Logic'!$A$2:$B$8,2,FALSE)&amp;"]")), FALSE)),
IF($G$3="FLA",
IF(VLOOKUP($A29, YES_Reading_FLA[], COLUMN(INDIRECT("YES_Reading_FLA[Difference - Per "&amp;VLOOKUP($G$4,'Reading Report Logic'!$A$2:$B$8,2,FALSE)&amp;"]")),FALSE)="","",
VLOOKUP($A29,YES_Reading_FLA[],COLUMN(INDIRECT("YES_Reading_FLA[Difference - Per "&amp;VLOOKUP($G$4,'Reading Report Logic'!$A$2:$B$8,2,FALSE)&amp;"]")),FALSE)),
IF($G$3="Combined",
IFERROR(
IF(VLOOKUP($A29, YES_Reading_ELA[], COLUMN(INDIRECT("YES_Reading_ELA[Difference - Per "&amp;VLOOKUP($G$4, 'Reading Report Logic'!$A$2:$B$8,2,FALSE)&amp;"]")), FALSE)="", "",
VLOOKUP($A29,YES_Reading_ELA[],COLUMN(INDIRECT("YES_Reading_ELA[Difference - Per "&amp;VLOOKUP($G$4,'Reading Report Logic'!$A$2:$B$8,2,FALSE)&amp;"]")),FALSE)),
IF(VLOOKUP($A29, YES_Reading_FLA[], COLUMN(INDIRECT("YES_Reading_FLA[Difference - Per "&amp;VLOOKUP($G$4, 'Reading Report Logic'!$A$2:$B$8, 2, FALSE)&amp;"]")),FALSE)="", "", VLOOKUP($A29,YES_Reading_FLA[],COLUMN(INDIRECT("YES_Reading_FLA[Difference - Per "&amp;VLOOKUP($G$4, 'Reading Report Logic'!$A$2:$B$8, 2, FALSE)&amp;"]")),FALSE))),""))),"")</f>
        <v/>
      </c>
      <c r="J29" s="136"/>
      <c r="K29" s="108"/>
      <c r="L29" s="109" t="str">
        <f>IF(K29="","",COUNTIFS($C$10:$C$600,$K29,$H$10:$H$600,"&gt;="&amp;'Writing Logic'!$F$1))</f>
        <v/>
      </c>
      <c r="M29" s="109" t="str">
        <f t="shared" si="1"/>
        <v/>
      </c>
      <c r="N29" s="109" t="str">
        <f>IF($K29="","",COUNTIFS($C$10:$C$600,$K29,$I$10:$I$600,"&gt;=0",$H$10:$H$600,"&gt;="&amp;'Writing Logic'!$F$1))</f>
        <v/>
      </c>
      <c r="O29" s="134" t="str">
        <f t="shared" si="2"/>
        <v/>
      </c>
    </row>
    <row r="30" spans="1:15" s="99" customFormat="1" ht="14.25" customHeight="1" x14ac:dyDescent="0.25">
      <c r="A30" s="137"/>
      <c r="B30" s="137" t="str">
        <f>IFERROR(INDEX(_xlfn.VSTACK(YES_Writing_ELA[#Data], YES_Writing_FLA[#Data]),MATCH($A30,_xlfn.VSTACK(YES_Writing_ELA[Student Number], YES_Writing_FLA[Student Number]),0),MATCH(B$7,YES_Writing_ELA[#Headers],0)),IFERROR(INDEX(_xlfn.VSTACK(YES_Reading_ELA[#Data], YES_Reading_FLA[#Data]),MATCH($A30,_xlfn.VSTACK(YES_Reading_ELA[Student Number], YES_Reading_FLA[Student Number]),0),MATCH(B$7,YES_Reading_ELA[#Headers],0)),""))</f>
        <v/>
      </c>
      <c r="C30" s="137" t="str">
        <f>IFERROR(INDEX(_xlfn.VSTACK(YES_Writing_ELA[#Data], YES_Writing_FLA[#Data]),MATCH($A30,_xlfn.VSTACK(YES_Writing_ELA[Student Number], YES_Writing_FLA[Student Number]),0),MATCH(C$7,YES_Writing_ELA[#Headers],0)),IFERROR(INDEX(_xlfn.VSTACK(YES_Reading_ELA[#Data], YES_Reading_FLA[#Data]),MATCH($A30,_xlfn.VSTACK(YES_Reading_ELA[Student Number], YES_Reading_FLA[Student Number]),0),MATCH(C$7,YES_Reading_ELA[#Headers],0)),""))</f>
        <v/>
      </c>
      <c r="D30" s="138" t="str">
        <f>IFERROR(IF(IF(INDEX(_xlfn.VSTACK(YES_Writing_ELA[#Data],YES_Writing_FLA[#Data]),MATCH($A30,_xlfn.VSTACK(YES_Writing_ELA[Student Number],YES_Writing_FLA[Student Number]),0),MATCH(VLOOKUP(D$7,'Writing Logic'!$J$7:$K$11,2,FALSE)&amp;" - Per "&amp;VLOOKUP($C$4,'Writing Logic'!$G$8:$H$14,2,FALSE),YES_Writing_ELA[#Headers],0))=0,"",INDEX(_xlfn.VSTACK(YES_Writing_ELA[#Data],YES_Writing_FLA[#Data]),MATCH($A30,_xlfn.VSTACK(YES_Writing_ELA[Student Number],YES_Writing_FLA[Student Number]),0),MATCH(VLOOKUP(D$7,'Writing Logic'!$J$7:$K$11,2,FALSE)&amp;" - Per "&amp;VLOOKUP($C$4,'Writing Logic'!$G$8:$H$14,2,FALSE),YES_Writing_ELA[#Headers],0)))="INS",'Writing Logic'!$B$7,IF(INDEX(_xlfn.VSTACK(YES_Writing_ELA[#Data],YES_Writing_FLA[#Data]),MATCH($A30,_xlfn.VSTACK(YES_Writing_ELA[Student Number],YES_Writing_FLA[Student Number]),0),MATCH(VLOOKUP(D$7,'Writing Logic'!$J$7:$K$11,2,FALSE)&amp;" - Per "&amp;VLOOKUP($C$4,'Writing Logic'!$G$8:$H$14,2,FALSE),YES_Writing_ELA[#Headers],0))=0,"",INDEX(_xlfn.VSTACK(YES_Writing_ELA[#Data],YES_Writing_FLA[#Data]),MATCH($A30,_xlfn.VSTACK(YES_Writing_ELA[Student Number],YES_Writing_FLA[Student Number]),0),MATCH(VLOOKUP(D$7,'Writing Logic'!$J$7:$K$11,2,FALSE)&amp;" - Per "&amp;VLOOKUP($C$4,'Writing Logic'!$G$8:$H$14,2,FALSE),YES_Writing_ELA[#Headers],0)))),"")</f>
        <v/>
      </c>
      <c r="E30" s="138" t="str">
        <f>IFERROR(IF(IF(INDEX(_xlfn.VSTACK(YES_Writing_ELA[#Data],YES_Writing_FLA[#Data]),MATCH($A30,_xlfn.VSTACK(YES_Writing_ELA[Student Number],YES_Writing_FLA[Student Number]),0),MATCH(VLOOKUP(E$7,'Writing Logic'!$J$7:$K$11,2,FALSE)&amp;" - Per "&amp;VLOOKUP($C$4,'Writing Logic'!$G$8:$H$14,2,FALSE),YES_Writing_ELA[#Headers],0))=0,"",INDEX(_xlfn.VSTACK(YES_Writing_ELA[#Data],YES_Writing_FLA[#Data]),MATCH($A30,_xlfn.VSTACK(YES_Writing_ELA[Student Number],YES_Writing_FLA[Student Number]),0),MATCH(VLOOKUP(E$7,'Writing Logic'!$J$7:$K$11,2,FALSE)&amp;" - Per "&amp;VLOOKUP($C$4,'Writing Logic'!$G$8:$H$14,2,FALSE),YES_Writing_ELA[#Headers],0)))="INS",'Writing Logic'!$B$7,IF(INDEX(_xlfn.VSTACK(YES_Writing_ELA[#Data],YES_Writing_FLA[#Data]),MATCH($A30,_xlfn.VSTACK(YES_Writing_ELA[Student Number],YES_Writing_FLA[Student Number]),0),MATCH(VLOOKUP(E$7,'Writing Logic'!$J$7:$K$11,2,FALSE)&amp;" - Per "&amp;VLOOKUP($C$4,'Writing Logic'!$G$8:$H$14,2,FALSE),YES_Writing_ELA[#Headers],0))=0,"",INDEX(_xlfn.VSTACK(YES_Writing_ELA[#Data],YES_Writing_FLA[#Data]),MATCH($A30,_xlfn.VSTACK(YES_Writing_ELA[Student Number],YES_Writing_FLA[Student Number]),0),MATCH(VLOOKUP(E$7,'Writing Logic'!$J$7:$K$11,2,FALSE)&amp;" - Per "&amp;VLOOKUP($C$4,'Writing Logic'!$G$8:$H$14,2,FALSE),YES_Writing_ELA[#Headers],0)))),"")</f>
        <v/>
      </c>
      <c r="F30" s="138" t="str">
        <f>IFERROR(IF(IF(INDEX(_xlfn.VSTACK(YES_Writing_ELA[#Data],YES_Writing_FLA[#Data]),MATCH($A30,_xlfn.VSTACK(YES_Writing_ELA[Student Number],YES_Writing_FLA[Student Number]),0),MATCH(VLOOKUP(F$7,'Writing Logic'!$J$7:$K$11,2,FALSE)&amp;" - Per "&amp;VLOOKUP($C$4,'Writing Logic'!$G$8:$H$14,2,FALSE),YES_Writing_ELA[#Headers],0))=0,"",INDEX(_xlfn.VSTACK(YES_Writing_ELA[#Data],YES_Writing_FLA[#Data]),MATCH($A30,_xlfn.VSTACK(YES_Writing_ELA[Student Number],YES_Writing_FLA[Student Number]),0),MATCH(VLOOKUP(F$7,'Writing Logic'!$J$7:$K$11,2,FALSE)&amp;" - Per "&amp;VLOOKUP($C$4,'Writing Logic'!$G$8:$H$14,2,FALSE),YES_Writing_ELA[#Headers],0)))="INS",'Writing Logic'!$B$7,IF(INDEX(_xlfn.VSTACK(YES_Writing_ELA[#Data],YES_Writing_FLA[#Data]),MATCH($A30,_xlfn.VSTACK(YES_Writing_ELA[Student Number],YES_Writing_FLA[Student Number]),0),MATCH(VLOOKUP(F$7,'Writing Logic'!$J$7:$K$11,2,FALSE)&amp;" - Per "&amp;VLOOKUP($C$4,'Writing Logic'!$G$8:$H$14,2,FALSE),YES_Writing_ELA[#Headers],0))=0,"",INDEX(_xlfn.VSTACK(YES_Writing_ELA[#Data],YES_Writing_FLA[#Data]),MATCH($A30,_xlfn.VSTACK(YES_Writing_ELA[Student Number],YES_Writing_FLA[Student Number]),0),MATCH(VLOOKUP(F$7,'Writing Logic'!$J$7:$K$11,2,FALSE)&amp;" - Per "&amp;VLOOKUP($C$4,'Writing Logic'!$G$8:$H$14,2,FALSE),YES_Writing_ELA[#Headers],0)))),"")</f>
        <v/>
      </c>
      <c r="G30" s="138" t="str">
        <f>IFERROR(IF(IF(INDEX(_xlfn.VSTACK(YES_Writing_ELA[#Data],YES_Writing_FLA[#Data]),MATCH($A30,_xlfn.VSTACK(YES_Writing_ELA[Student Number],YES_Writing_FLA[Student Number]),0),MATCH(VLOOKUP(G$7,'Writing Logic'!$J$7:$K$11,2,FALSE)&amp;" - Per "&amp;VLOOKUP($C$4,'Writing Logic'!$G$8:$H$14,2,FALSE),YES_Writing_ELA[#Headers],0))=0,"",INDEX(_xlfn.VSTACK(YES_Writing_ELA[#Data],YES_Writing_FLA[#Data]),MATCH($A30,_xlfn.VSTACK(YES_Writing_ELA[Student Number],YES_Writing_FLA[Student Number]),0),MATCH(VLOOKUP(G$7,'Writing Logic'!$J$7:$K$11,2,FALSE)&amp;" - Per "&amp;VLOOKUP($C$4,'Writing Logic'!$G$8:$H$14,2,FALSE),YES_Writing_ELA[#Headers],0)))="INS",'Writing Logic'!$B$7,IF(INDEX(_xlfn.VSTACK(YES_Writing_ELA[#Data],YES_Writing_FLA[#Data]),MATCH($A30,_xlfn.VSTACK(YES_Writing_ELA[Student Number],YES_Writing_FLA[Student Number]),0),MATCH(VLOOKUP(G$7,'Writing Logic'!$J$7:$K$11,2,FALSE)&amp;" - Per "&amp;VLOOKUP($C$4,'Writing Logic'!$G$8:$H$14,2,FALSE),YES_Writing_ELA[#Headers],0))=0,"",INDEX(_xlfn.VSTACK(YES_Writing_ELA[#Data],YES_Writing_FLA[#Data]),MATCH($A30,_xlfn.VSTACK(YES_Writing_ELA[Student Number],YES_Writing_FLA[Student Number]),0),MATCH(VLOOKUP(G$7,'Writing Logic'!$J$7:$K$11,2,FALSE)&amp;" - Per "&amp;VLOOKUP($C$4,'Writing Logic'!$G$8:$H$14,2,FALSE),YES_Writing_ELA[#Headers],0)))),"")</f>
        <v/>
      </c>
      <c r="H30" s="223" t="str">
        <f>IFERROR(IF(IF(INDEX(_xlfn.VSTACK(YES_Writing_ELA[#Data],YES_Writing_FLA[#Data]),MATCH($A30,_xlfn.VSTACK(YES_Writing_ELA[Student Number],YES_Writing_FLA[Student Number]),0),MATCH(VLOOKUP(H$7,'Writing Logic'!$J$7:$K$11,2,FALSE)&amp;" - Per "&amp;VLOOKUP($C$4,'Writing Logic'!$G$8:$H$14,2,FALSE),YES_Writing_ELA[#Headers],0))=0,"",INDEX(_xlfn.VSTACK(YES_Writing_ELA[#Data],YES_Writing_FLA[#Data]),MATCH($A30,_xlfn.VSTACK(YES_Writing_ELA[Student Number],YES_Writing_FLA[Student Number]),0),MATCH(VLOOKUP(H$7,'Writing Logic'!$J$7:$K$11,2,FALSE)&amp;" - Per "&amp;VLOOKUP($C$4,'Writing Logic'!$G$8:$H$14,2,FALSE),YES_Writing_ELA[#Headers],0)))="INS",'Writing Logic'!$B$7,IF(INDEX(_xlfn.VSTACK(YES_Writing_ELA[#Data],YES_Writing_FLA[#Data]),MATCH($A30,_xlfn.VSTACK(YES_Writing_ELA[Student Number],YES_Writing_FLA[Student Number]),0),MATCH(VLOOKUP(H$7,'Writing Logic'!$J$7:$K$11,2,FALSE)&amp;" - Per "&amp;VLOOKUP($C$4,'Writing Logic'!$G$8:$H$14,2,FALSE),YES_Writing_ELA[#Headers],0))=0,"",INDEX(_xlfn.VSTACK(YES_Writing_ELA[#Data],YES_Writing_FLA[#Data]),MATCH($A30,_xlfn.VSTACK(YES_Writing_ELA[Student Number],YES_Writing_FLA[Student Number]),0),MATCH(VLOOKUP(H$7,'Writing Logic'!$J$7:$K$11,2,FALSE)&amp;" - Per "&amp;VLOOKUP($C$4,'Writing Logic'!$G$8:$H$14,2,FALSE),YES_Writing_ELA[#Headers],0)))),"")</f>
        <v/>
      </c>
      <c r="I30" s="224" t="str" cm="1">
        <f t="array" aca="1" ref="I30" ca="1">IFERROR(
IF($G$3="ELA",
IF(VLOOKUP($A30, YES_Reading_ELA[], COLUMN(INDIRECT("YES_Reading_ELA[Difference - Per "&amp;VLOOKUP($G$4, 'Reading Report Logic'!$A$2:$B$8, 2, FALSE)&amp;"]")), FALSE)="", "",
VLOOKUP($A30,YES_Reading_ELA[], COLUMN(INDIRECT("YES_Reading_ELA[Difference - Per "&amp;VLOOKUP($G$4,'Reading Report Logic'!$A$2:$B$8,2,FALSE)&amp;"]")), FALSE)),
IF($G$3="FLA",
IF(VLOOKUP($A30, YES_Reading_FLA[], COLUMN(INDIRECT("YES_Reading_FLA[Difference - Per "&amp;VLOOKUP($G$4,'Reading Report Logic'!$A$2:$B$8,2,FALSE)&amp;"]")),FALSE)="","",
VLOOKUP($A30,YES_Reading_FLA[],COLUMN(INDIRECT("YES_Reading_FLA[Difference - Per "&amp;VLOOKUP($G$4,'Reading Report Logic'!$A$2:$B$8,2,FALSE)&amp;"]")),FALSE)),
IF($G$3="Combined",
IFERROR(
IF(VLOOKUP($A30, YES_Reading_ELA[], COLUMN(INDIRECT("YES_Reading_ELA[Difference - Per "&amp;VLOOKUP($G$4, 'Reading Report Logic'!$A$2:$B$8,2,FALSE)&amp;"]")), FALSE)="", "",
VLOOKUP($A30,YES_Reading_ELA[],COLUMN(INDIRECT("YES_Reading_ELA[Difference - Per "&amp;VLOOKUP($G$4,'Reading Report Logic'!$A$2:$B$8,2,FALSE)&amp;"]")),FALSE)),
IF(VLOOKUP($A30, YES_Reading_FLA[], COLUMN(INDIRECT("YES_Reading_FLA[Difference - Per "&amp;VLOOKUP($G$4, 'Reading Report Logic'!$A$2:$B$8, 2, FALSE)&amp;"]")),FALSE)="", "", VLOOKUP($A30,YES_Reading_FLA[],COLUMN(INDIRECT("YES_Reading_FLA[Difference - Per "&amp;VLOOKUP($G$4, 'Reading Report Logic'!$A$2:$B$8, 2, FALSE)&amp;"]")),FALSE))),""))),"")</f>
        <v/>
      </c>
      <c r="J30"/>
      <c r="K30" s="108"/>
      <c r="L30" s="109" t="str">
        <f>IF(K30="","",COUNTIFS($C$10:$C$600,$K30,$H$10:$H$600,"&gt;="&amp;'Writing Logic'!$F$1))</f>
        <v/>
      </c>
      <c r="M30" s="109" t="str">
        <f t="shared" si="1"/>
        <v/>
      </c>
      <c r="N30" s="109" t="str">
        <f>IF($K30="","",COUNTIFS($C$10:$C$600,$K30,$I$10:$I$600,"&gt;=0",$H$10:$H$600,"&gt;="&amp;'Writing Logic'!$F$1))</f>
        <v/>
      </c>
      <c r="O30" s="134" t="str">
        <f t="shared" si="2"/>
        <v/>
      </c>
    </row>
    <row r="31" spans="1:15" s="99" customFormat="1" ht="14.25" customHeight="1" x14ac:dyDescent="0.25">
      <c r="A31" s="137"/>
      <c r="B31" s="137" t="str">
        <f>IFERROR(INDEX(_xlfn.VSTACK(YES_Writing_ELA[#Data], YES_Writing_FLA[#Data]),MATCH($A31,_xlfn.VSTACK(YES_Writing_ELA[Student Number], YES_Writing_FLA[Student Number]),0),MATCH(B$7,YES_Writing_ELA[#Headers],0)),IFERROR(INDEX(_xlfn.VSTACK(YES_Reading_ELA[#Data], YES_Reading_FLA[#Data]),MATCH($A31,_xlfn.VSTACK(YES_Reading_ELA[Student Number], YES_Reading_FLA[Student Number]),0),MATCH(B$7,YES_Reading_ELA[#Headers],0)),""))</f>
        <v/>
      </c>
      <c r="C31" s="137" t="str">
        <f>IFERROR(INDEX(_xlfn.VSTACK(YES_Writing_ELA[#Data], YES_Writing_FLA[#Data]),MATCH($A31,_xlfn.VSTACK(YES_Writing_ELA[Student Number], YES_Writing_FLA[Student Number]),0),MATCH(C$7,YES_Writing_ELA[#Headers],0)),IFERROR(INDEX(_xlfn.VSTACK(YES_Reading_ELA[#Data], YES_Reading_FLA[#Data]),MATCH($A31,_xlfn.VSTACK(YES_Reading_ELA[Student Number], YES_Reading_FLA[Student Number]),0),MATCH(C$7,YES_Reading_ELA[#Headers],0)),""))</f>
        <v/>
      </c>
      <c r="D31" s="138" t="str">
        <f>IFERROR(IF(IF(INDEX(_xlfn.VSTACK(YES_Writing_ELA[#Data],YES_Writing_FLA[#Data]),MATCH($A31,_xlfn.VSTACK(YES_Writing_ELA[Student Number],YES_Writing_FLA[Student Number]),0),MATCH(VLOOKUP(D$7,'Writing Logic'!$J$7:$K$11,2,FALSE)&amp;" - Per "&amp;VLOOKUP($C$4,'Writing Logic'!$G$8:$H$14,2,FALSE),YES_Writing_ELA[#Headers],0))=0,"",INDEX(_xlfn.VSTACK(YES_Writing_ELA[#Data],YES_Writing_FLA[#Data]),MATCH($A31,_xlfn.VSTACK(YES_Writing_ELA[Student Number],YES_Writing_FLA[Student Number]),0),MATCH(VLOOKUP(D$7,'Writing Logic'!$J$7:$K$11,2,FALSE)&amp;" - Per "&amp;VLOOKUP($C$4,'Writing Logic'!$G$8:$H$14,2,FALSE),YES_Writing_ELA[#Headers],0)))="INS",'Writing Logic'!$B$7,IF(INDEX(_xlfn.VSTACK(YES_Writing_ELA[#Data],YES_Writing_FLA[#Data]),MATCH($A31,_xlfn.VSTACK(YES_Writing_ELA[Student Number],YES_Writing_FLA[Student Number]),0),MATCH(VLOOKUP(D$7,'Writing Logic'!$J$7:$K$11,2,FALSE)&amp;" - Per "&amp;VLOOKUP($C$4,'Writing Logic'!$G$8:$H$14,2,FALSE),YES_Writing_ELA[#Headers],0))=0,"",INDEX(_xlfn.VSTACK(YES_Writing_ELA[#Data],YES_Writing_FLA[#Data]),MATCH($A31,_xlfn.VSTACK(YES_Writing_ELA[Student Number],YES_Writing_FLA[Student Number]),0),MATCH(VLOOKUP(D$7,'Writing Logic'!$J$7:$K$11,2,FALSE)&amp;" - Per "&amp;VLOOKUP($C$4,'Writing Logic'!$G$8:$H$14,2,FALSE),YES_Writing_ELA[#Headers],0)))),"")</f>
        <v/>
      </c>
      <c r="E31" s="138" t="str">
        <f>IFERROR(IF(IF(INDEX(_xlfn.VSTACK(YES_Writing_ELA[#Data],YES_Writing_FLA[#Data]),MATCH($A31,_xlfn.VSTACK(YES_Writing_ELA[Student Number],YES_Writing_FLA[Student Number]),0),MATCH(VLOOKUP(E$7,'Writing Logic'!$J$7:$K$11,2,FALSE)&amp;" - Per "&amp;VLOOKUP($C$4,'Writing Logic'!$G$8:$H$14,2,FALSE),YES_Writing_ELA[#Headers],0))=0,"",INDEX(_xlfn.VSTACK(YES_Writing_ELA[#Data],YES_Writing_FLA[#Data]),MATCH($A31,_xlfn.VSTACK(YES_Writing_ELA[Student Number],YES_Writing_FLA[Student Number]),0),MATCH(VLOOKUP(E$7,'Writing Logic'!$J$7:$K$11,2,FALSE)&amp;" - Per "&amp;VLOOKUP($C$4,'Writing Logic'!$G$8:$H$14,2,FALSE),YES_Writing_ELA[#Headers],0)))="INS",'Writing Logic'!$B$7,IF(INDEX(_xlfn.VSTACK(YES_Writing_ELA[#Data],YES_Writing_FLA[#Data]),MATCH($A31,_xlfn.VSTACK(YES_Writing_ELA[Student Number],YES_Writing_FLA[Student Number]),0),MATCH(VLOOKUP(E$7,'Writing Logic'!$J$7:$K$11,2,FALSE)&amp;" - Per "&amp;VLOOKUP($C$4,'Writing Logic'!$G$8:$H$14,2,FALSE),YES_Writing_ELA[#Headers],0))=0,"",INDEX(_xlfn.VSTACK(YES_Writing_ELA[#Data],YES_Writing_FLA[#Data]),MATCH($A31,_xlfn.VSTACK(YES_Writing_ELA[Student Number],YES_Writing_FLA[Student Number]),0),MATCH(VLOOKUP(E$7,'Writing Logic'!$J$7:$K$11,2,FALSE)&amp;" - Per "&amp;VLOOKUP($C$4,'Writing Logic'!$G$8:$H$14,2,FALSE),YES_Writing_ELA[#Headers],0)))),"")</f>
        <v/>
      </c>
      <c r="F31" s="138" t="str">
        <f>IFERROR(IF(IF(INDEX(_xlfn.VSTACK(YES_Writing_ELA[#Data],YES_Writing_FLA[#Data]),MATCH($A31,_xlfn.VSTACK(YES_Writing_ELA[Student Number],YES_Writing_FLA[Student Number]),0),MATCH(VLOOKUP(F$7,'Writing Logic'!$J$7:$K$11,2,FALSE)&amp;" - Per "&amp;VLOOKUP($C$4,'Writing Logic'!$G$8:$H$14,2,FALSE),YES_Writing_ELA[#Headers],0))=0,"",INDEX(_xlfn.VSTACK(YES_Writing_ELA[#Data],YES_Writing_FLA[#Data]),MATCH($A31,_xlfn.VSTACK(YES_Writing_ELA[Student Number],YES_Writing_FLA[Student Number]),0),MATCH(VLOOKUP(F$7,'Writing Logic'!$J$7:$K$11,2,FALSE)&amp;" - Per "&amp;VLOOKUP($C$4,'Writing Logic'!$G$8:$H$14,2,FALSE),YES_Writing_ELA[#Headers],0)))="INS",'Writing Logic'!$B$7,IF(INDEX(_xlfn.VSTACK(YES_Writing_ELA[#Data],YES_Writing_FLA[#Data]),MATCH($A31,_xlfn.VSTACK(YES_Writing_ELA[Student Number],YES_Writing_FLA[Student Number]),0),MATCH(VLOOKUP(F$7,'Writing Logic'!$J$7:$K$11,2,FALSE)&amp;" - Per "&amp;VLOOKUP($C$4,'Writing Logic'!$G$8:$H$14,2,FALSE),YES_Writing_ELA[#Headers],0))=0,"",INDEX(_xlfn.VSTACK(YES_Writing_ELA[#Data],YES_Writing_FLA[#Data]),MATCH($A31,_xlfn.VSTACK(YES_Writing_ELA[Student Number],YES_Writing_FLA[Student Number]),0),MATCH(VLOOKUP(F$7,'Writing Logic'!$J$7:$K$11,2,FALSE)&amp;" - Per "&amp;VLOOKUP($C$4,'Writing Logic'!$G$8:$H$14,2,FALSE),YES_Writing_ELA[#Headers],0)))),"")</f>
        <v/>
      </c>
      <c r="G31" s="138" t="str">
        <f>IFERROR(IF(IF(INDEX(_xlfn.VSTACK(YES_Writing_ELA[#Data],YES_Writing_FLA[#Data]),MATCH($A31,_xlfn.VSTACK(YES_Writing_ELA[Student Number],YES_Writing_FLA[Student Number]),0),MATCH(VLOOKUP(G$7,'Writing Logic'!$J$7:$K$11,2,FALSE)&amp;" - Per "&amp;VLOOKUP($C$4,'Writing Logic'!$G$8:$H$14,2,FALSE),YES_Writing_ELA[#Headers],0))=0,"",INDEX(_xlfn.VSTACK(YES_Writing_ELA[#Data],YES_Writing_FLA[#Data]),MATCH($A31,_xlfn.VSTACK(YES_Writing_ELA[Student Number],YES_Writing_FLA[Student Number]),0),MATCH(VLOOKUP(G$7,'Writing Logic'!$J$7:$K$11,2,FALSE)&amp;" - Per "&amp;VLOOKUP($C$4,'Writing Logic'!$G$8:$H$14,2,FALSE),YES_Writing_ELA[#Headers],0)))="INS",'Writing Logic'!$B$7,IF(INDEX(_xlfn.VSTACK(YES_Writing_ELA[#Data],YES_Writing_FLA[#Data]),MATCH($A31,_xlfn.VSTACK(YES_Writing_ELA[Student Number],YES_Writing_FLA[Student Number]),0),MATCH(VLOOKUP(G$7,'Writing Logic'!$J$7:$K$11,2,FALSE)&amp;" - Per "&amp;VLOOKUP($C$4,'Writing Logic'!$G$8:$H$14,2,FALSE),YES_Writing_ELA[#Headers],0))=0,"",INDEX(_xlfn.VSTACK(YES_Writing_ELA[#Data],YES_Writing_FLA[#Data]),MATCH($A31,_xlfn.VSTACK(YES_Writing_ELA[Student Number],YES_Writing_FLA[Student Number]),0),MATCH(VLOOKUP(G$7,'Writing Logic'!$J$7:$K$11,2,FALSE)&amp;" - Per "&amp;VLOOKUP($C$4,'Writing Logic'!$G$8:$H$14,2,FALSE),YES_Writing_ELA[#Headers],0)))),"")</f>
        <v/>
      </c>
      <c r="H31" s="223" t="str">
        <f>IFERROR(IF(IF(INDEX(_xlfn.VSTACK(YES_Writing_ELA[#Data],YES_Writing_FLA[#Data]),MATCH($A31,_xlfn.VSTACK(YES_Writing_ELA[Student Number],YES_Writing_FLA[Student Number]),0),MATCH(VLOOKUP(H$7,'Writing Logic'!$J$7:$K$11,2,FALSE)&amp;" - Per "&amp;VLOOKUP($C$4,'Writing Logic'!$G$8:$H$14,2,FALSE),YES_Writing_ELA[#Headers],0))=0,"",INDEX(_xlfn.VSTACK(YES_Writing_ELA[#Data],YES_Writing_FLA[#Data]),MATCH($A31,_xlfn.VSTACK(YES_Writing_ELA[Student Number],YES_Writing_FLA[Student Number]),0),MATCH(VLOOKUP(H$7,'Writing Logic'!$J$7:$K$11,2,FALSE)&amp;" - Per "&amp;VLOOKUP($C$4,'Writing Logic'!$G$8:$H$14,2,FALSE),YES_Writing_ELA[#Headers],0)))="INS",'Writing Logic'!$B$7,IF(INDEX(_xlfn.VSTACK(YES_Writing_ELA[#Data],YES_Writing_FLA[#Data]),MATCH($A31,_xlfn.VSTACK(YES_Writing_ELA[Student Number],YES_Writing_FLA[Student Number]),0),MATCH(VLOOKUP(H$7,'Writing Logic'!$J$7:$K$11,2,FALSE)&amp;" - Per "&amp;VLOOKUP($C$4,'Writing Logic'!$G$8:$H$14,2,FALSE),YES_Writing_ELA[#Headers],0))=0,"",INDEX(_xlfn.VSTACK(YES_Writing_ELA[#Data],YES_Writing_FLA[#Data]),MATCH($A31,_xlfn.VSTACK(YES_Writing_ELA[Student Number],YES_Writing_FLA[Student Number]),0),MATCH(VLOOKUP(H$7,'Writing Logic'!$J$7:$K$11,2,FALSE)&amp;" - Per "&amp;VLOOKUP($C$4,'Writing Logic'!$G$8:$H$14,2,FALSE),YES_Writing_ELA[#Headers],0)))),"")</f>
        <v/>
      </c>
      <c r="I31" s="224" t="str" cm="1">
        <f t="array" aca="1" ref="I31" ca="1">IFERROR(
IF($G$3="ELA",
IF(VLOOKUP($A31, YES_Reading_ELA[], COLUMN(INDIRECT("YES_Reading_ELA[Difference - Per "&amp;VLOOKUP($G$4, 'Reading Report Logic'!$A$2:$B$8, 2, FALSE)&amp;"]")), FALSE)="", "",
VLOOKUP($A31,YES_Reading_ELA[], COLUMN(INDIRECT("YES_Reading_ELA[Difference - Per "&amp;VLOOKUP($G$4,'Reading Report Logic'!$A$2:$B$8,2,FALSE)&amp;"]")), FALSE)),
IF($G$3="FLA",
IF(VLOOKUP($A31, YES_Reading_FLA[], COLUMN(INDIRECT("YES_Reading_FLA[Difference - Per "&amp;VLOOKUP($G$4,'Reading Report Logic'!$A$2:$B$8,2,FALSE)&amp;"]")),FALSE)="","",
VLOOKUP($A31,YES_Reading_FLA[],COLUMN(INDIRECT("YES_Reading_FLA[Difference - Per "&amp;VLOOKUP($G$4,'Reading Report Logic'!$A$2:$B$8,2,FALSE)&amp;"]")),FALSE)),
IF($G$3="Combined",
IFERROR(
IF(VLOOKUP($A31, YES_Reading_ELA[], COLUMN(INDIRECT("YES_Reading_ELA[Difference - Per "&amp;VLOOKUP($G$4, 'Reading Report Logic'!$A$2:$B$8,2,FALSE)&amp;"]")), FALSE)="", "",
VLOOKUP($A31,YES_Reading_ELA[],COLUMN(INDIRECT("YES_Reading_ELA[Difference - Per "&amp;VLOOKUP($G$4,'Reading Report Logic'!$A$2:$B$8,2,FALSE)&amp;"]")),FALSE)),
IF(VLOOKUP($A31, YES_Reading_FLA[], COLUMN(INDIRECT("YES_Reading_FLA[Difference - Per "&amp;VLOOKUP($G$4, 'Reading Report Logic'!$A$2:$B$8, 2, FALSE)&amp;"]")),FALSE)="", "", VLOOKUP($A31,YES_Reading_FLA[],COLUMN(INDIRECT("YES_Reading_FLA[Difference - Per "&amp;VLOOKUP($G$4, 'Reading Report Logic'!$A$2:$B$8, 2, FALSE)&amp;"]")),FALSE))),""))),"")</f>
        <v/>
      </c>
      <c r="J31"/>
      <c r="K31" s="108"/>
      <c r="L31" s="109" t="str">
        <f>IF(K31="","",COUNTIFS($C$10:$C$600,$K31,$H$10:$H$600,"&gt;="&amp;'Writing Logic'!$F$1))</f>
        <v/>
      </c>
      <c r="M31" s="109" t="str">
        <f t="shared" si="1"/>
        <v/>
      </c>
      <c r="N31" s="109" t="str">
        <f>IF($K31="","",COUNTIFS($C$10:$C$600,$K31,$I$10:$I$600,"&gt;=0",$H$10:$H$600,"&gt;="&amp;'Writing Logic'!$F$1))</f>
        <v/>
      </c>
      <c r="O31" s="134" t="str">
        <f t="shared" si="2"/>
        <v/>
      </c>
    </row>
    <row r="32" spans="1:15" s="99" customFormat="1" ht="14.25" customHeight="1" x14ac:dyDescent="0.25">
      <c r="A32" s="137"/>
      <c r="B32" s="137" t="str">
        <f>IFERROR(INDEX(_xlfn.VSTACK(YES_Writing_ELA[#Data], YES_Writing_FLA[#Data]),MATCH($A32,_xlfn.VSTACK(YES_Writing_ELA[Student Number], YES_Writing_FLA[Student Number]),0),MATCH(B$7,YES_Writing_ELA[#Headers],0)),IFERROR(INDEX(_xlfn.VSTACK(YES_Reading_ELA[#Data], YES_Reading_FLA[#Data]),MATCH($A32,_xlfn.VSTACK(YES_Reading_ELA[Student Number], YES_Reading_FLA[Student Number]),0),MATCH(B$7,YES_Reading_ELA[#Headers],0)),""))</f>
        <v/>
      </c>
      <c r="C32" s="137" t="str">
        <f>IFERROR(INDEX(_xlfn.VSTACK(YES_Writing_ELA[#Data], YES_Writing_FLA[#Data]),MATCH($A32,_xlfn.VSTACK(YES_Writing_ELA[Student Number], YES_Writing_FLA[Student Number]),0),MATCH(C$7,YES_Writing_ELA[#Headers],0)),IFERROR(INDEX(_xlfn.VSTACK(YES_Reading_ELA[#Data], YES_Reading_FLA[#Data]),MATCH($A32,_xlfn.VSTACK(YES_Reading_ELA[Student Number], YES_Reading_FLA[Student Number]),0),MATCH(C$7,YES_Reading_ELA[#Headers],0)),""))</f>
        <v/>
      </c>
      <c r="D32" s="138" t="str">
        <f>IFERROR(IF(IF(INDEX(_xlfn.VSTACK(YES_Writing_ELA[#Data],YES_Writing_FLA[#Data]),MATCH($A32,_xlfn.VSTACK(YES_Writing_ELA[Student Number],YES_Writing_FLA[Student Number]),0),MATCH(VLOOKUP(D$7,'Writing Logic'!$J$7:$K$11,2,FALSE)&amp;" - Per "&amp;VLOOKUP($C$4,'Writing Logic'!$G$8:$H$14,2,FALSE),YES_Writing_ELA[#Headers],0))=0,"",INDEX(_xlfn.VSTACK(YES_Writing_ELA[#Data],YES_Writing_FLA[#Data]),MATCH($A32,_xlfn.VSTACK(YES_Writing_ELA[Student Number],YES_Writing_FLA[Student Number]),0),MATCH(VLOOKUP(D$7,'Writing Logic'!$J$7:$K$11,2,FALSE)&amp;" - Per "&amp;VLOOKUP($C$4,'Writing Logic'!$G$8:$H$14,2,FALSE),YES_Writing_ELA[#Headers],0)))="INS",'Writing Logic'!$B$7,IF(INDEX(_xlfn.VSTACK(YES_Writing_ELA[#Data],YES_Writing_FLA[#Data]),MATCH($A32,_xlfn.VSTACK(YES_Writing_ELA[Student Number],YES_Writing_FLA[Student Number]),0),MATCH(VLOOKUP(D$7,'Writing Logic'!$J$7:$K$11,2,FALSE)&amp;" - Per "&amp;VLOOKUP($C$4,'Writing Logic'!$G$8:$H$14,2,FALSE),YES_Writing_ELA[#Headers],0))=0,"",INDEX(_xlfn.VSTACK(YES_Writing_ELA[#Data],YES_Writing_FLA[#Data]),MATCH($A32,_xlfn.VSTACK(YES_Writing_ELA[Student Number],YES_Writing_FLA[Student Number]),0),MATCH(VLOOKUP(D$7,'Writing Logic'!$J$7:$K$11,2,FALSE)&amp;" - Per "&amp;VLOOKUP($C$4,'Writing Logic'!$G$8:$H$14,2,FALSE),YES_Writing_ELA[#Headers],0)))),"")</f>
        <v/>
      </c>
      <c r="E32" s="138" t="str">
        <f>IFERROR(IF(IF(INDEX(_xlfn.VSTACK(YES_Writing_ELA[#Data],YES_Writing_FLA[#Data]),MATCH($A32,_xlfn.VSTACK(YES_Writing_ELA[Student Number],YES_Writing_FLA[Student Number]),0),MATCH(VLOOKUP(E$7,'Writing Logic'!$J$7:$K$11,2,FALSE)&amp;" - Per "&amp;VLOOKUP($C$4,'Writing Logic'!$G$8:$H$14,2,FALSE),YES_Writing_ELA[#Headers],0))=0,"",INDEX(_xlfn.VSTACK(YES_Writing_ELA[#Data],YES_Writing_FLA[#Data]),MATCH($A32,_xlfn.VSTACK(YES_Writing_ELA[Student Number],YES_Writing_FLA[Student Number]),0),MATCH(VLOOKUP(E$7,'Writing Logic'!$J$7:$K$11,2,FALSE)&amp;" - Per "&amp;VLOOKUP($C$4,'Writing Logic'!$G$8:$H$14,2,FALSE),YES_Writing_ELA[#Headers],0)))="INS",'Writing Logic'!$B$7,IF(INDEX(_xlfn.VSTACK(YES_Writing_ELA[#Data],YES_Writing_FLA[#Data]),MATCH($A32,_xlfn.VSTACK(YES_Writing_ELA[Student Number],YES_Writing_FLA[Student Number]),0),MATCH(VLOOKUP(E$7,'Writing Logic'!$J$7:$K$11,2,FALSE)&amp;" - Per "&amp;VLOOKUP($C$4,'Writing Logic'!$G$8:$H$14,2,FALSE),YES_Writing_ELA[#Headers],0))=0,"",INDEX(_xlfn.VSTACK(YES_Writing_ELA[#Data],YES_Writing_FLA[#Data]),MATCH($A32,_xlfn.VSTACK(YES_Writing_ELA[Student Number],YES_Writing_FLA[Student Number]),0),MATCH(VLOOKUP(E$7,'Writing Logic'!$J$7:$K$11,2,FALSE)&amp;" - Per "&amp;VLOOKUP($C$4,'Writing Logic'!$G$8:$H$14,2,FALSE),YES_Writing_ELA[#Headers],0)))),"")</f>
        <v/>
      </c>
      <c r="F32" s="138" t="str">
        <f>IFERROR(IF(IF(INDEX(_xlfn.VSTACK(YES_Writing_ELA[#Data],YES_Writing_FLA[#Data]),MATCH($A32,_xlfn.VSTACK(YES_Writing_ELA[Student Number],YES_Writing_FLA[Student Number]),0),MATCH(VLOOKUP(F$7,'Writing Logic'!$J$7:$K$11,2,FALSE)&amp;" - Per "&amp;VLOOKUP($C$4,'Writing Logic'!$G$8:$H$14,2,FALSE),YES_Writing_ELA[#Headers],0))=0,"",INDEX(_xlfn.VSTACK(YES_Writing_ELA[#Data],YES_Writing_FLA[#Data]),MATCH($A32,_xlfn.VSTACK(YES_Writing_ELA[Student Number],YES_Writing_FLA[Student Number]),0),MATCH(VLOOKUP(F$7,'Writing Logic'!$J$7:$K$11,2,FALSE)&amp;" - Per "&amp;VLOOKUP($C$4,'Writing Logic'!$G$8:$H$14,2,FALSE),YES_Writing_ELA[#Headers],0)))="INS",'Writing Logic'!$B$7,IF(INDEX(_xlfn.VSTACK(YES_Writing_ELA[#Data],YES_Writing_FLA[#Data]),MATCH($A32,_xlfn.VSTACK(YES_Writing_ELA[Student Number],YES_Writing_FLA[Student Number]),0),MATCH(VLOOKUP(F$7,'Writing Logic'!$J$7:$K$11,2,FALSE)&amp;" - Per "&amp;VLOOKUP($C$4,'Writing Logic'!$G$8:$H$14,2,FALSE),YES_Writing_ELA[#Headers],0))=0,"",INDEX(_xlfn.VSTACK(YES_Writing_ELA[#Data],YES_Writing_FLA[#Data]),MATCH($A32,_xlfn.VSTACK(YES_Writing_ELA[Student Number],YES_Writing_FLA[Student Number]),0),MATCH(VLOOKUP(F$7,'Writing Logic'!$J$7:$K$11,2,FALSE)&amp;" - Per "&amp;VLOOKUP($C$4,'Writing Logic'!$G$8:$H$14,2,FALSE),YES_Writing_ELA[#Headers],0)))),"")</f>
        <v/>
      </c>
      <c r="G32" s="138" t="str">
        <f>IFERROR(IF(IF(INDEX(_xlfn.VSTACK(YES_Writing_ELA[#Data],YES_Writing_FLA[#Data]),MATCH($A32,_xlfn.VSTACK(YES_Writing_ELA[Student Number],YES_Writing_FLA[Student Number]),0),MATCH(VLOOKUP(G$7,'Writing Logic'!$J$7:$K$11,2,FALSE)&amp;" - Per "&amp;VLOOKUP($C$4,'Writing Logic'!$G$8:$H$14,2,FALSE),YES_Writing_ELA[#Headers],0))=0,"",INDEX(_xlfn.VSTACK(YES_Writing_ELA[#Data],YES_Writing_FLA[#Data]),MATCH($A32,_xlfn.VSTACK(YES_Writing_ELA[Student Number],YES_Writing_FLA[Student Number]),0),MATCH(VLOOKUP(G$7,'Writing Logic'!$J$7:$K$11,2,FALSE)&amp;" - Per "&amp;VLOOKUP($C$4,'Writing Logic'!$G$8:$H$14,2,FALSE),YES_Writing_ELA[#Headers],0)))="INS",'Writing Logic'!$B$7,IF(INDEX(_xlfn.VSTACK(YES_Writing_ELA[#Data],YES_Writing_FLA[#Data]),MATCH($A32,_xlfn.VSTACK(YES_Writing_ELA[Student Number],YES_Writing_FLA[Student Number]),0),MATCH(VLOOKUP(G$7,'Writing Logic'!$J$7:$K$11,2,FALSE)&amp;" - Per "&amp;VLOOKUP($C$4,'Writing Logic'!$G$8:$H$14,2,FALSE),YES_Writing_ELA[#Headers],0))=0,"",INDEX(_xlfn.VSTACK(YES_Writing_ELA[#Data],YES_Writing_FLA[#Data]),MATCH($A32,_xlfn.VSTACK(YES_Writing_ELA[Student Number],YES_Writing_FLA[Student Number]),0),MATCH(VLOOKUP(G$7,'Writing Logic'!$J$7:$K$11,2,FALSE)&amp;" - Per "&amp;VLOOKUP($C$4,'Writing Logic'!$G$8:$H$14,2,FALSE),YES_Writing_ELA[#Headers],0)))),"")</f>
        <v/>
      </c>
      <c r="H32" s="223" t="str">
        <f>IFERROR(IF(IF(INDEX(_xlfn.VSTACK(YES_Writing_ELA[#Data],YES_Writing_FLA[#Data]),MATCH($A32,_xlfn.VSTACK(YES_Writing_ELA[Student Number],YES_Writing_FLA[Student Number]),0),MATCH(VLOOKUP(H$7,'Writing Logic'!$J$7:$K$11,2,FALSE)&amp;" - Per "&amp;VLOOKUP($C$4,'Writing Logic'!$G$8:$H$14,2,FALSE),YES_Writing_ELA[#Headers],0))=0,"",INDEX(_xlfn.VSTACK(YES_Writing_ELA[#Data],YES_Writing_FLA[#Data]),MATCH($A32,_xlfn.VSTACK(YES_Writing_ELA[Student Number],YES_Writing_FLA[Student Number]),0),MATCH(VLOOKUP(H$7,'Writing Logic'!$J$7:$K$11,2,FALSE)&amp;" - Per "&amp;VLOOKUP($C$4,'Writing Logic'!$G$8:$H$14,2,FALSE),YES_Writing_ELA[#Headers],0)))="INS",'Writing Logic'!$B$7,IF(INDEX(_xlfn.VSTACK(YES_Writing_ELA[#Data],YES_Writing_FLA[#Data]),MATCH($A32,_xlfn.VSTACK(YES_Writing_ELA[Student Number],YES_Writing_FLA[Student Number]),0),MATCH(VLOOKUP(H$7,'Writing Logic'!$J$7:$K$11,2,FALSE)&amp;" - Per "&amp;VLOOKUP($C$4,'Writing Logic'!$G$8:$H$14,2,FALSE),YES_Writing_ELA[#Headers],0))=0,"",INDEX(_xlfn.VSTACK(YES_Writing_ELA[#Data],YES_Writing_FLA[#Data]),MATCH($A32,_xlfn.VSTACK(YES_Writing_ELA[Student Number],YES_Writing_FLA[Student Number]),0),MATCH(VLOOKUP(H$7,'Writing Logic'!$J$7:$K$11,2,FALSE)&amp;" - Per "&amp;VLOOKUP($C$4,'Writing Logic'!$G$8:$H$14,2,FALSE),YES_Writing_ELA[#Headers],0)))),"")</f>
        <v/>
      </c>
      <c r="I32" s="224" t="str" cm="1">
        <f t="array" aca="1" ref="I32" ca="1">IFERROR(
IF($G$3="ELA",
IF(VLOOKUP($A32, YES_Reading_ELA[], COLUMN(INDIRECT("YES_Reading_ELA[Difference - Per "&amp;VLOOKUP($G$4, 'Reading Report Logic'!$A$2:$B$8, 2, FALSE)&amp;"]")), FALSE)="", "",
VLOOKUP($A32,YES_Reading_ELA[], COLUMN(INDIRECT("YES_Reading_ELA[Difference - Per "&amp;VLOOKUP($G$4,'Reading Report Logic'!$A$2:$B$8,2,FALSE)&amp;"]")), FALSE)),
IF($G$3="FLA",
IF(VLOOKUP($A32, YES_Reading_FLA[], COLUMN(INDIRECT("YES_Reading_FLA[Difference - Per "&amp;VLOOKUP($G$4,'Reading Report Logic'!$A$2:$B$8,2,FALSE)&amp;"]")),FALSE)="","",
VLOOKUP($A32,YES_Reading_FLA[],COLUMN(INDIRECT("YES_Reading_FLA[Difference - Per "&amp;VLOOKUP($G$4,'Reading Report Logic'!$A$2:$B$8,2,FALSE)&amp;"]")),FALSE)),
IF($G$3="Combined",
IFERROR(
IF(VLOOKUP($A32, YES_Reading_ELA[], COLUMN(INDIRECT("YES_Reading_ELA[Difference - Per "&amp;VLOOKUP($G$4, 'Reading Report Logic'!$A$2:$B$8,2,FALSE)&amp;"]")), FALSE)="", "",
VLOOKUP($A32,YES_Reading_ELA[],COLUMN(INDIRECT("YES_Reading_ELA[Difference - Per "&amp;VLOOKUP($G$4,'Reading Report Logic'!$A$2:$B$8,2,FALSE)&amp;"]")),FALSE)),
IF(VLOOKUP($A32, YES_Reading_FLA[], COLUMN(INDIRECT("YES_Reading_FLA[Difference - Per "&amp;VLOOKUP($G$4, 'Reading Report Logic'!$A$2:$B$8, 2, FALSE)&amp;"]")),FALSE)="", "", VLOOKUP($A32,YES_Reading_FLA[],COLUMN(INDIRECT("YES_Reading_FLA[Difference - Per "&amp;VLOOKUP($G$4, 'Reading Report Logic'!$A$2:$B$8, 2, FALSE)&amp;"]")),FALSE))),""))),"")</f>
        <v/>
      </c>
      <c r="J32" s="136"/>
      <c r="K32" s="13"/>
      <c r="L32" s="109" t="str">
        <f>IF(K32="","",COUNTIFS($C$10:$C$600,$K32,$H$10:$H$600,"&gt;="&amp;'Writing Logic'!$F$1))</f>
        <v/>
      </c>
      <c r="M32" s="109" t="str">
        <f t="shared" si="1"/>
        <v/>
      </c>
      <c r="N32" s="109" t="str">
        <f>IF($K32="","",COUNTIFS($C$10:$C$600,$K32,$I$10:$I$600,"&gt;=0",$H$10:$H$600,"&gt;="&amp;'Writing Logic'!$F$1))</f>
        <v/>
      </c>
      <c r="O32" s="134" t="str">
        <f t="shared" si="2"/>
        <v/>
      </c>
    </row>
    <row r="33" spans="1:15" s="99" customFormat="1" ht="14.25" customHeight="1" x14ac:dyDescent="0.25">
      <c r="A33" s="137"/>
      <c r="B33" s="137" t="str">
        <f>IFERROR(INDEX(_xlfn.VSTACK(YES_Writing_ELA[#Data], YES_Writing_FLA[#Data]),MATCH($A33,_xlfn.VSTACK(YES_Writing_ELA[Student Number], YES_Writing_FLA[Student Number]),0),MATCH(B$7,YES_Writing_ELA[#Headers],0)),IFERROR(INDEX(_xlfn.VSTACK(YES_Reading_ELA[#Data], YES_Reading_FLA[#Data]),MATCH($A33,_xlfn.VSTACK(YES_Reading_ELA[Student Number], YES_Reading_FLA[Student Number]),0),MATCH(B$7,YES_Reading_ELA[#Headers],0)),""))</f>
        <v/>
      </c>
      <c r="C33" s="137" t="str">
        <f>IFERROR(INDEX(_xlfn.VSTACK(YES_Writing_ELA[#Data], YES_Writing_FLA[#Data]),MATCH($A33,_xlfn.VSTACK(YES_Writing_ELA[Student Number], YES_Writing_FLA[Student Number]),0),MATCH(C$7,YES_Writing_ELA[#Headers],0)),IFERROR(INDEX(_xlfn.VSTACK(YES_Reading_ELA[#Data], YES_Reading_FLA[#Data]),MATCH($A33,_xlfn.VSTACK(YES_Reading_ELA[Student Number], YES_Reading_FLA[Student Number]),0),MATCH(C$7,YES_Reading_ELA[#Headers],0)),""))</f>
        <v/>
      </c>
      <c r="D33" s="138" t="str">
        <f>IFERROR(IF(IF(INDEX(_xlfn.VSTACK(YES_Writing_ELA[#Data],YES_Writing_FLA[#Data]),MATCH($A33,_xlfn.VSTACK(YES_Writing_ELA[Student Number],YES_Writing_FLA[Student Number]),0),MATCH(VLOOKUP(D$7,'Writing Logic'!$J$7:$K$11,2,FALSE)&amp;" - Per "&amp;VLOOKUP($C$4,'Writing Logic'!$G$8:$H$14,2,FALSE),YES_Writing_ELA[#Headers],0))=0,"",INDEX(_xlfn.VSTACK(YES_Writing_ELA[#Data],YES_Writing_FLA[#Data]),MATCH($A33,_xlfn.VSTACK(YES_Writing_ELA[Student Number],YES_Writing_FLA[Student Number]),0),MATCH(VLOOKUP(D$7,'Writing Logic'!$J$7:$K$11,2,FALSE)&amp;" - Per "&amp;VLOOKUP($C$4,'Writing Logic'!$G$8:$H$14,2,FALSE),YES_Writing_ELA[#Headers],0)))="INS",'Writing Logic'!$B$7,IF(INDEX(_xlfn.VSTACK(YES_Writing_ELA[#Data],YES_Writing_FLA[#Data]),MATCH($A33,_xlfn.VSTACK(YES_Writing_ELA[Student Number],YES_Writing_FLA[Student Number]),0),MATCH(VLOOKUP(D$7,'Writing Logic'!$J$7:$K$11,2,FALSE)&amp;" - Per "&amp;VLOOKUP($C$4,'Writing Logic'!$G$8:$H$14,2,FALSE),YES_Writing_ELA[#Headers],0))=0,"",INDEX(_xlfn.VSTACK(YES_Writing_ELA[#Data],YES_Writing_FLA[#Data]),MATCH($A33,_xlfn.VSTACK(YES_Writing_ELA[Student Number],YES_Writing_FLA[Student Number]),0),MATCH(VLOOKUP(D$7,'Writing Logic'!$J$7:$K$11,2,FALSE)&amp;" - Per "&amp;VLOOKUP($C$4,'Writing Logic'!$G$8:$H$14,2,FALSE),YES_Writing_ELA[#Headers],0)))),"")</f>
        <v/>
      </c>
      <c r="E33" s="138" t="str">
        <f>IFERROR(IF(IF(INDEX(_xlfn.VSTACK(YES_Writing_ELA[#Data],YES_Writing_FLA[#Data]),MATCH($A33,_xlfn.VSTACK(YES_Writing_ELA[Student Number],YES_Writing_FLA[Student Number]),0),MATCH(VLOOKUP(E$7,'Writing Logic'!$J$7:$K$11,2,FALSE)&amp;" - Per "&amp;VLOOKUP($C$4,'Writing Logic'!$G$8:$H$14,2,FALSE),YES_Writing_ELA[#Headers],0))=0,"",INDEX(_xlfn.VSTACK(YES_Writing_ELA[#Data],YES_Writing_FLA[#Data]),MATCH($A33,_xlfn.VSTACK(YES_Writing_ELA[Student Number],YES_Writing_FLA[Student Number]),0),MATCH(VLOOKUP(E$7,'Writing Logic'!$J$7:$K$11,2,FALSE)&amp;" - Per "&amp;VLOOKUP($C$4,'Writing Logic'!$G$8:$H$14,2,FALSE),YES_Writing_ELA[#Headers],0)))="INS",'Writing Logic'!$B$7,IF(INDEX(_xlfn.VSTACK(YES_Writing_ELA[#Data],YES_Writing_FLA[#Data]),MATCH($A33,_xlfn.VSTACK(YES_Writing_ELA[Student Number],YES_Writing_FLA[Student Number]),0),MATCH(VLOOKUP(E$7,'Writing Logic'!$J$7:$K$11,2,FALSE)&amp;" - Per "&amp;VLOOKUP($C$4,'Writing Logic'!$G$8:$H$14,2,FALSE),YES_Writing_ELA[#Headers],0))=0,"",INDEX(_xlfn.VSTACK(YES_Writing_ELA[#Data],YES_Writing_FLA[#Data]),MATCH($A33,_xlfn.VSTACK(YES_Writing_ELA[Student Number],YES_Writing_FLA[Student Number]),0),MATCH(VLOOKUP(E$7,'Writing Logic'!$J$7:$K$11,2,FALSE)&amp;" - Per "&amp;VLOOKUP($C$4,'Writing Logic'!$G$8:$H$14,2,FALSE),YES_Writing_ELA[#Headers],0)))),"")</f>
        <v/>
      </c>
      <c r="F33" s="138" t="str">
        <f>IFERROR(IF(IF(INDEX(_xlfn.VSTACK(YES_Writing_ELA[#Data],YES_Writing_FLA[#Data]),MATCH($A33,_xlfn.VSTACK(YES_Writing_ELA[Student Number],YES_Writing_FLA[Student Number]),0),MATCH(VLOOKUP(F$7,'Writing Logic'!$J$7:$K$11,2,FALSE)&amp;" - Per "&amp;VLOOKUP($C$4,'Writing Logic'!$G$8:$H$14,2,FALSE),YES_Writing_ELA[#Headers],0))=0,"",INDEX(_xlfn.VSTACK(YES_Writing_ELA[#Data],YES_Writing_FLA[#Data]),MATCH($A33,_xlfn.VSTACK(YES_Writing_ELA[Student Number],YES_Writing_FLA[Student Number]),0),MATCH(VLOOKUP(F$7,'Writing Logic'!$J$7:$K$11,2,FALSE)&amp;" - Per "&amp;VLOOKUP($C$4,'Writing Logic'!$G$8:$H$14,2,FALSE),YES_Writing_ELA[#Headers],0)))="INS",'Writing Logic'!$B$7,IF(INDEX(_xlfn.VSTACK(YES_Writing_ELA[#Data],YES_Writing_FLA[#Data]),MATCH($A33,_xlfn.VSTACK(YES_Writing_ELA[Student Number],YES_Writing_FLA[Student Number]),0),MATCH(VLOOKUP(F$7,'Writing Logic'!$J$7:$K$11,2,FALSE)&amp;" - Per "&amp;VLOOKUP($C$4,'Writing Logic'!$G$8:$H$14,2,FALSE),YES_Writing_ELA[#Headers],0))=0,"",INDEX(_xlfn.VSTACK(YES_Writing_ELA[#Data],YES_Writing_FLA[#Data]),MATCH($A33,_xlfn.VSTACK(YES_Writing_ELA[Student Number],YES_Writing_FLA[Student Number]),0),MATCH(VLOOKUP(F$7,'Writing Logic'!$J$7:$K$11,2,FALSE)&amp;" - Per "&amp;VLOOKUP($C$4,'Writing Logic'!$G$8:$H$14,2,FALSE),YES_Writing_ELA[#Headers],0)))),"")</f>
        <v/>
      </c>
      <c r="G33" s="138" t="str">
        <f>IFERROR(IF(IF(INDEX(_xlfn.VSTACK(YES_Writing_ELA[#Data],YES_Writing_FLA[#Data]),MATCH($A33,_xlfn.VSTACK(YES_Writing_ELA[Student Number],YES_Writing_FLA[Student Number]),0),MATCH(VLOOKUP(G$7,'Writing Logic'!$J$7:$K$11,2,FALSE)&amp;" - Per "&amp;VLOOKUP($C$4,'Writing Logic'!$G$8:$H$14,2,FALSE),YES_Writing_ELA[#Headers],0))=0,"",INDEX(_xlfn.VSTACK(YES_Writing_ELA[#Data],YES_Writing_FLA[#Data]),MATCH($A33,_xlfn.VSTACK(YES_Writing_ELA[Student Number],YES_Writing_FLA[Student Number]),0),MATCH(VLOOKUP(G$7,'Writing Logic'!$J$7:$K$11,2,FALSE)&amp;" - Per "&amp;VLOOKUP($C$4,'Writing Logic'!$G$8:$H$14,2,FALSE),YES_Writing_ELA[#Headers],0)))="INS",'Writing Logic'!$B$7,IF(INDEX(_xlfn.VSTACK(YES_Writing_ELA[#Data],YES_Writing_FLA[#Data]),MATCH($A33,_xlfn.VSTACK(YES_Writing_ELA[Student Number],YES_Writing_FLA[Student Number]),0),MATCH(VLOOKUP(G$7,'Writing Logic'!$J$7:$K$11,2,FALSE)&amp;" - Per "&amp;VLOOKUP($C$4,'Writing Logic'!$G$8:$H$14,2,FALSE),YES_Writing_ELA[#Headers],0))=0,"",INDEX(_xlfn.VSTACK(YES_Writing_ELA[#Data],YES_Writing_FLA[#Data]),MATCH($A33,_xlfn.VSTACK(YES_Writing_ELA[Student Number],YES_Writing_FLA[Student Number]),0),MATCH(VLOOKUP(G$7,'Writing Logic'!$J$7:$K$11,2,FALSE)&amp;" - Per "&amp;VLOOKUP($C$4,'Writing Logic'!$G$8:$H$14,2,FALSE),YES_Writing_ELA[#Headers],0)))),"")</f>
        <v/>
      </c>
      <c r="H33" s="223" t="str">
        <f>IFERROR(IF(IF(INDEX(_xlfn.VSTACK(YES_Writing_ELA[#Data],YES_Writing_FLA[#Data]),MATCH($A33,_xlfn.VSTACK(YES_Writing_ELA[Student Number],YES_Writing_FLA[Student Number]),0),MATCH(VLOOKUP(H$7,'Writing Logic'!$J$7:$K$11,2,FALSE)&amp;" - Per "&amp;VLOOKUP($C$4,'Writing Logic'!$G$8:$H$14,2,FALSE),YES_Writing_ELA[#Headers],0))=0,"",INDEX(_xlfn.VSTACK(YES_Writing_ELA[#Data],YES_Writing_FLA[#Data]),MATCH($A33,_xlfn.VSTACK(YES_Writing_ELA[Student Number],YES_Writing_FLA[Student Number]),0),MATCH(VLOOKUP(H$7,'Writing Logic'!$J$7:$K$11,2,FALSE)&amp;" - Per "&amp;VLOOKUP($C$4,'Writing Logic'!$G$8:$H$14,2,FALSE),YES_Writing_ELA[#Headers],0)))="INS",'Writing Logic'!$B$7,IF(INDEX(_xlfn.VSTACK(YES_Writing_ELA[#Data],YES_Writing_FLA[#Data]),MATCH($A33,_xlfn.VSTACK(YES_Writing_ELA[Student Number],YES_Writing_FLA[Student Number]),0),MATCH(VLOOKUP(H$7,'Writing Logic'!$J$7:$K$11,2,FALSE)&amp;" - Per "&amp;VLOOKUP($C$4,'Writing Logic'!$G$8:$H$14,2,FALSE),YES_Writing_ELA[#Headers],0))=0,"",INDEX(_xlfn.VSTACK(YES_Writing_ELA[#Data],YES_Writing_FLA[#Data]),MATCH($A33,_xlfn.VSTACK(YES_Writing_ELA[Student Number],YES_Writing_FLA[Student Number]),0),MATCH(VLOOKUP(H$7,'Writing Logic'!$J$7:$K$11,2,FALSE)&amp;" - Per "&amp;VLOOKUP($C$4,'Writing Logic'!$G$8:$H$14,2,FALSE),YES_Writing_ELA[#Headers],0)))),"")</f>
        <v/>
      </c>
      <c r="I33" s="224" t="str" cm="1">
        <f t="array" aca="1" ref="I33" ca="1">IFERROR(
IF($G$3="ELA",
IF(VLOOKUP($A33, YES_Reading_ELA[], COLUMN(INDIRECT("YES_Reading_ELA[Difference - Per "&amp;VLOOKUP($G$4, 'Reading Report Logic'!$A$2:$B$8, 2, FALSE)&amp;"]")), FALSE)="", "",
VLOOKUP($A33,YES_Reading_ELA[], COLUMN(INDIRECT("YES_Reading_ELA[Difference - Per "&amp;VLOOKUP($G$4,'Reading Report Logic'!$A$2:$B$8,2,FALSE)&amp;"]")), FALSE)),
IF($G$3="FLA",
IF(VLOOKUP($A33, YES_Reading_FLA[], COLUMN(INDIRECT("YES_Reading_FLA[Difference - Per "&amp;VLOOKUP($G$4,'Reading Report Logic'!$A$2:$B$8,2,FALSE)&amp;"]")),FALSE)="","",
VLOOKUP($A33,YES_Reading_FLA[],COLUMN(INDIRECT("YES_Reading_FLA[Difference - Per "&amp;VLOOKUP($G$4,'Reading Report Logic'!$A$2:$B$8,2,FALSE)&amp;"]")),FALSE)),
IF($G$3="Combined",
IFERROR(
IF(VLOOKUP($A33, YES_Reading_ELA[], COLUMN(INDIRECT("YES_Reading_ELA[Difference - Per "&amp;VLOOKUP($G$4, 'Reading Report Logic'!$A$2:$B$8,2,FALSE)&amp;"]")), FALSE)="", "",
VLOOKUP($A33,YES_Reading_ELA[],COLUMN(INDIRECT("YES_Reading_ELA[Difference - Per "&amp;VLOOKUP($G$4,'Reading Report Logic'!$A$2:$B$8,2,FALSE)&amp;"]")),FALSE)),
IF(VLOOKUP($A33, YES_Reading_FLA[], COLUMN(INDIRECT("YES_Reading_FLA[Difference - Per "&amp;VLOOKUP($G$4, 'Reading Report Logic'!$A$2:$B$8, 2, FALSE)&amp;"]")),FALSE)="", "", VLOOKUP($A33,YES_Reading_FLA[],COLUMN(INDIRECT("YES_Reading_FLA[Difference - Per "&amp;VLOOKUP($G$4, 'Reading Report Logic'!$A$2:$B$8, 2, FALSE)&amp;"]")),FALSE))),""))),"")</f>
        <v/>
      </c>
      <c r="J33" s="136"/>
      <c r="K33" s="13"/>
      <c r="L33" s="109" t="str">
        <f>IF(K33="","",COUNTIFS($C$10:$C$600,$K33,$H$10:$H$600,"&gt;="&amp;'Writing Logic'!$F$1))</f>
        <v/>
      </c>
      <c r="M33" s="109" t="str">
        <f t="shared" si="1"/>
        <v/>
      </c>
      <c r="N33" s="109" t="str">
        <f>IF($K33="","",COUNTIFS($C$10:$C$600,$K33,$I$10:$I$600,"&gt;=0",$H$10:$H$600,"&gt;="&amp;'Writing Logic'!$F$1))</f>
        <v/>
      </c>
      <c r="O33" s="134" t="str">
        <f t="shared" si="2"/>
        <v/>
      </c>
    </row>
    <row r="34" spans="1:15" s="99" customFormat="1" ht="14.25" customHeight="1" x14ac:dyDescent="0.25">
      <c r="A34" s="137"/>
      <c r="B34" s="137" t="str">
        <f>IFERROR(INDEX(_xlfn.VSTACK(YES_Writing_ELA[#Data], YES_Writing_FLA[#Data]),MATCH($A34,_xlfn.VSTACK(YES_Writing_ELA[Student Number], YES_Writing_FLA[Student Number]),0),MATCH(B$7,YES_Writing_ELA[#Headers],0)),IFERROR(INDEX(_xlfn.VSTACK(YES_Reading_ELA[#Data], YES_Reading_FLA[#Data]),MATCH($A34,_xlfn.VSTACK(YES_Reading_ELA[Student Number], YES_Reading_FLA[Student Number]),0),MATCH(B$7,YES_Reading_ELA[#Headers],0)),""))</f>
        <v/>
      </c>
      <c r="C34" s="137" t="str">
        <f>IFERROR(INDEX(_xlfn.VSTACK(YES_Writing_ELA[#Data], YES_Writing_FLA[#Data]),MATCH($A34,_xlfn.VSTACK(YES_Writing_ELA[Student Number], YES_Writing_FLA[Student Number]),0),MATCH(C$7,YES_Writing_ELA[#Headers],0)),IFERROR(INDEX(_xlfn.VSTACK(YES_Reading_ELA[#Data], YES_Reading_FLA[#Data]),MATCH($A34,_xlfn.VSTACK(YES_Reading_ELA[Student Number], YES_Reading_FLA[Student Number]),0),MATCH(C$7,YES_Reading_ELA[#Headers],0)),""))</f>
        <v/>
      </c>
      <c r="D34" s="138" t="str">
        <f>IFERROR(IF(IF(INDEX(_xlfn.VSTACK(YES_Writing_ELA[#Data],YES_Writing_FLA[#Data]),MATCH($A34,_xlfn.VSTACK(YES_Writing_ELA[Student Number],YES_Writing_FLA[Student Number]),0),MATCH(VLOOKUP(D$7,'Writing Logic'!$J$7:$K$11,2,FALSE)&amp;" - Per "&amp;VLOOKUP($C$4,'Writing Logic'!$G$8:$H$14,2,FALSE),YES_Writing_ELA[#Headers],0))=0,"",INDEX(_xlfn.VSTACK(YES_Writing_ELA[#Data],YES_Writing_FLA[#Data]),MATCH($A34,_xlfn.VSTACK(YES_Writing_ELA[Student Number],YES_Writing_FLA[Student Number]),0),MATCH(VLOOKUP(D$7,'Writing Logic'!$J$7:$K$11,2,FALSE)&amp;" - Per "&amp;VLOOKUP($C$4,'Writing Logic'!$G$8:$H$14,2,FALSE),YES_Writing_ELA[#Headers],0)))="INS",'Writing Logic'!$B$7,IF(INDEX(_xlfn.VSTACK(YES_Writing_ELA[#Data],YES_Writing_FLA[#Data]),MATCH($A34,_xlfn.VSTACK(YES_Writing_ELA[Student Number],YES_Writing_FLA[Student Number]),0),MATCH(VLOOKUP(D$7,'Writing Logic'!$J$7:$K$11,2,FALSE)&amp;" - Per "&amp;VLOOKUP($C$4,'Writing Logic'!$G$8:$H$14,2,FALSE),YES_Writing_ELA[#Headers],0))=0,"",INDEX(_xlfn.VSTACK(YES_Writing_ELA[#Data],YES_Writing_FLA[#Data]),MATCH($A34,_xlfn.VSTACK(YES_Writing_ELA[Student Number],YES_Writing_FLA[Student Number]),0),MATCH(VLOOKUP(D$7,'Writing Logic'!$J$7:$K$11,2,FALSE)&amp;" - Per "&amp;VLOOKUP($C$4,'Writing Logic'!$G$8:$H$14,2,FALSE),YES_Writing_ELA[#Headers],0)))),"")</f>
        <v/>
      </c>
      <c r="E34" s="138" t="str">
        <f>IFERROR(IF(IF(INDEX(_xlfn.VSTACK(YES_Writing_ELA[#Data],YES_Writing_FLA[#Data]),MATCH($A34,_xlfn.VSTACK(YES_Writing_ELA[Student Number],YES_Writing_FLA[Student Number]),0),MATCH(VLOOKUP(E$7,'Writing Logic'!$J$7:$K$11,2,FALSE)&amp;" - Per "&amp;VLOOKUP($C$4,'Writing Logic'!$G$8:$H$14,2,FALSE),YES_Writing_ELA[#Headers],0))=0,"",INDEX(_xlfn.VSTACK(YES_Writing_ELA[#Data],YES_Writing_FLA[#Data]),MATCH($A34,_xlfn.VSTACK(YES_Writing_ELA[Student Number],YES_Writing_FLA[Student Number]),0),MATCH(VLOOKUP(E$7,'Writing Logic'!$J$7:$K$11,2,FALSE)&amp;" - Per "&amp;VLOOKUP($C$4,'Writing Logic'!$G$8:$H$14,2,FALSE),YES_Writing_ELA[#Headers],0)))="INS",'Writing Logic'!$B$7,IF(INDEX(_xlfn.VSTACK(YES_Writing_ELA[#Data],YES_Writing_FLA[#Data]),MATCH($A34,_xlfn.VSTACK(YES_Writing_ELA[Student Number],YES_Writing_FLA[Student Number]),0),MATCH(VLOOKUP(E$7,'Writing Logic'!$J$7:$K$11,2,FALSE)&amp;" - Per "&amp;VLOOKUP($C$4,'Writing Logic'!$G$8:$H$14,2,FALSE),YES_Writing_ELA[#Headers],0))=0,"",INDEX(_xlfn.VSTACK(YES_Writing_ELA[#Data],YES_Writing_FLA[#Data]),MATCH($A34,_xlfn.VSTACK(YES_Writing_ELA[Student Number],YES_Writing_FLA[Student Number]),0),MATCH(VLOOKUP(E$7,'Writing Logic'!$J$7:$K$11,2,FALSE)&amp;" - Per "&amp;VLOOKUP($C$4,'Writing Logic'!$G$8:$H$14,2,FALSE),YES_Writing_ELA[#Headers],0)))),"")</f>
        <v/>
      </c>
      <c r="F34" s="138" t="str">
        <f>IFERROR(IF(IF(INDEX(_xlfn.VSTACK(YES_Writing_ELA[#Data],YES_Writing_FLA[#Data]),MATCH($A34,_xlfn.VSTACK(YES_Writing_ELA[Student Number],YES_Writing_FLA[Student Number]),0),MATCH(VLOOKUP(F$7,'Writing Logic'!$J$7:$K$11,2,FALSE)&amp;" - Per "&amp;VLOOKUP($C$4,'Writing Logic'!$G$8:$H$14,2,FALSE),YES_Writing_ELA[#Headers],0))=0,"",INDEX(_xlfn.VSTACK(YES_Writing_ELA[#Data],YES_Writing_FLA[#Data]),MATCH($A34,_xlfn.VSTACK(YES_Writing_ELA[Student Number],YES_Writing_FLA[Student Number]),0),MATCH(VLOOKUP(F$7,'Writing Logic'!$J$7:$K$11,2,FALSE)&amp;" - Per "&amp;VLOOKUP($C$4,'Writing Logic'!$G$8:$H$14,2,FALSE),YES_Writing_ELA[#Headers],0)))="INS",'Writing Logic'!$B$7,IF(INDEX(_xlfn.VSTACK(YES_Writing_ELA[#Data],YES_Writing_FLA[#Data]),MATCH($A34,_xlfn.VSTACK(YES_Writing_ELA[Student Number],YES_Writing_FLA[Student Number]),0),MATCH(VLOOKUP(F$7,'Writing Logic'!$J$7:$K$11,2,FALSE)&amp;" - Per "&amp;VLOOKUP($C$4,'Writing Logic'!$G$8:$H$14,2,FALSE),YES_Writing_ELA[#Headers],0))=0,"",INDEX(_xlfn.VSTACK(YES_Writing_ELA[#Data],YES_Writing_FLA[#Data]),MATCH($A34,_xlfn.VSTACK(YES_Writing_ELA[Student Number],YES_Writing_FLA[Student Number]),0),MATCH(VLOOKUP(F$7,'Writing Logic'!$J$7:$K$11,2,FALSE)&amp;" - Per "&amp;VLOOKUP($C$4,'Writing Logic'!$G$8:$H$14,2,FALSE),YES_Writing_ELA[#Headers],0)))),"")</f>
        <v/>
      </c>
      <c r="G34" s="138" t="str">
        <f>IFERROR(IF(IF(INDEX(_xlfn.VSTACK(YES_Writing_ELA[#Data],YES_Writing_FLA[#Data]),MATCH($A34,_xlfn.VSTACK(YES_Writing_ELA[Student Number],YES_Writing_FLA[Student Number]),0),MATCH(VLOOKUP(G$7,'Writing Logic'!$J$7:$K$11,2,FALSE)&amp;" - Per "&amp;VLOOKUP($C$4,'Writing Logic'!$G$8:$H$14,2,FALSE),YES_Writing_ELA[#Headers],0))=0,"",INDEX(_xlfn.VSTACK(YES_Writing_ELA[#Data],YES_Writing_FLA[#Data]),MATCH($A34,_xlfn.VSTACK(YES_Writing_ELA[Student Number],YES_Writing_FLA[Student Number]),0),MATCH(VLOOKUP(G$7,'Writing Logic'!$J$7:$K$11,2,FALSE)&amp;" - Per "&amp;VLOOKUP($C$4,'Writing Logic'!$G$8:$H$14,2,FALSE),YES_Writing_ELA[#Headers],0)))="INS",'Writing Logic'!$B$7,IF(INDEX(_xlfn.VSTACK(YES_Writing_ELA[#Data],YES_Writing_FLA[#Data]),MATCH($A34,_xlfn.VSTACK(YES_Writing_ELA[Student Number],YES_Writing_FLA[Student Number]),0),MATCH(VLOOKUP(G$7,'Writing Logic'!$J$7:$K$11,2,FALSE)&amp;" - Per "&amp;VLOOKUP($C$4,'Writing Logic'!$G$8:$H$14,2,FALSE),YES_Writing_ELA[#Headers],0))=0,"",INDEX(_xlfn.VSTACK(YES_Writing_ELA[#Data],YES_Writing_FLA[#Data]),MATCH($A34,_xlfn.VSTACK(YES_Writing_ELA[Student Number],YES_Writing_FLA[Student Number]),0),MATCH(VLOOKUP(G$7,'Writing Logic'!$J$7:$K$11,2,FALSE)&amp;" - Per "&amp;VLOOKUP($C$4,'Writing Logic'!$G$8:$H$14,2,FALSE),YES_Writing_ELA[#Headers],0)))),"")</f>
        <v/>
      </c>
      <c r="H34" s="223" t="str">
        <f>IFERROR(IF(IF(INDEX(_xlfn.VSTACK(YES_Writing_ELA[#Data],YES_Writing_FLA[#Data]),MATCH($A34,_xlfn.VSTACK(YES_Writing_ELA[Student Number],YES_Writing_FLA[Student Number]),0),MATCH(VLOOKUP(H$7,'Writing Logic'!$J$7:$K$11,2,FALSE)&amp;" - Per "&amp;VLOOKUP($C$4,'Writing Logic'!$G$8:$H$14,2,FALSE),YES_Writing_ELA[#Headers],0))=0,"",INDEX(_xlfn.VSTACK(YES_Writing_ELA[#Data],YES_Writing_FLA[#Data]),MATCH($A34,_xlfn.VSTACK(YES_Writing_ELA[Student Number],YES_Writing_FLA[Student Number]),0),MATCH(VLOOKUP(H$7,'Writing Logic'!$J$7:$K$11,2,FALSE)&amp;" - Per "&amp;VLOOKUP($C$4,'Writing Logic'!$G$8:$H$14,2,FALSE),YES_Writing_ELA[#Headers],0)))="INS",'Writing Logic'!$B$7,IF(INDEX(_xlfn.VSTACK(YES_Writing_ELA[#Data],YES_Writing_FLA[#Data]),MATCH($A34,_xlfn.VSTACK(YES_Writing_ELA[Student Number],YES_Writing_FLA[Student Number]),0),MATCH(VLOOKUP(H$7,'Writing Logic'!$J$7:$K$11,2,FALSE)&amp;" - Per "&amp;VLOOKUP($C$4,'Writing Logic'!$G$8:$H$14,2,FALSE),YES_Writing_ELA[#Headers],0))=0,"",INDEX(_xlfn.VSTACK(YES_Writing_ELA[#Data],YES_Writing_FLA[#Data]),MATCH($A34,_xlfn.VSTACK(YES_Writing_ELA[Student Number],YES_Writing_FLA[Student Number]),0),MATCH(VLOOKUP(H$7,'Writing Logic'!$J$7:$K$11,2,FALSE)&amp;" - Per "&amp;VLOOKUP($C$4,'Writing Logic'!$G$8:$H$14,2,FALSE),YES_Writing_ELA[#Headers],0)))),"")</f>
        <v/>
      </c>
      <c r="I34" s="224" t="str" cm="1">
        <f t="array" aca="1" ref="I34" ca="1">IFERROR(
IF($G$3="ELA",
IF(VLOOKUP($A34, YES_Reading_ELA[], COLUMN(INDIRECT("YES_Reading_ELA[Difference - Per "&amp;VLOOKUP($G$4, 'Reading Report Logic'!$A$2:$B$8, 2, FALSE)&amp;"]")), FALSE)="", "",
VLOOKUP($A34,YES_Reading_ELA[], COLUMN(INDIRECT("YES_Reading_ELA[Difference - Per "&amp;VLOOKUP($G$4,'Reading Report Logic'!$A$2:$B$8,2,FALSE)&amp;"]")), FALSE)),
IF($G$3="FLA",
IF(VLOOKUP($A34, YES_Reading_FLA[], COLUMN(INDIRECT("YES_Reading_FLA[Difference - Per "&amp;VLOOKUP($G$4,'Reading Report Logic'!$A$2:$B$8,2,FALSE)&amp;"]")),FALSE)="","",
VLOOKUP($A34,YES_Reading_FLA[],COLUMN(INDIRECT("YES_Reading_FLA[Difference - Per "&amp;VLOOKUP($G$4,'Reading Report Logic'!$A$2:$B$8,2,FALSE)&amp;"]")),FALSE)),
IF($G$3="Combined",
IFERROR(
IF(VLOOKUP($A34, YES_Reading_ELA[], COLUMN(INDIRECT("YES_Reading_ELA[Difference - Per "&amp;VLOOKUP($G$4, 'Reading Report Logic'!$A$2:$B$8,2,FALSE)&amp;"]")), FALSE)="", "",
VLOOKUP($A34,YES_Reading_ELA[],COLUMN(INDIRECT("YES_Reading_ELA[Difference - Per "&amp;VLOOKUP($G$4,'Reading Report Logic'!$A$2:$B$8,2,FALSE)&amp;"]")),FALSE)),
IF(VLOOKUP($A34, YES_Reading_FLA[], COLUMN(INDIRECT("YES_Reading_FLA[Difference - Per "&amp;VLOOKUP($G$4, 'Reading Report Logic'!$A$2:$B$8, 2, FALSE)&amp;"]")),FALSE)="", "", VLOOKUP($A34,YES_Reading_FLA[],COLUMN(INDIRECT("YES_Reading_FLA[Difference - Per "&amp;VLOOKUP($G$4, 'Reading Report Logic'!$A$2:$B$8, 2, FALSE)&amp;"]")),FALSE))),""))),"")</f>
        <v/>
      </c>
      <c r="J34" s="136"/>
      <c r="K34" s="13"/>
      <c r="L34" s="109" t="str">
        <f>IF(K34="","",COUNTIFS($C$10:$C$600,$K34,$H$10:$H$600,"&gt;="&amp;'Writing Logic'!$F$1))</f>
        <v/>
      </c>
      <c r="M34" s="109" t="str">
        <f t="shared" si="1"/>
        <v/>
      </c>
      <c r="N34" s="109" t="str">
        <f>IF($K34="","",COUNTIFS($C$10:$C$600,$K34,$I$10:$I$600,"&gt;=0",$H$10:$H$600,"&gt;="&amp;'Writing Logic'!$F$1))</f>
        <v/>
      </c>
      <c r="O34" s="134" t="str">
        <f t="shared" ref="O34" si="3">IFERROR(L34/(COUNTIFS($C$10:$C$600,$K34,$H$10:$H$600,"&lt;&gt;"&amp;"")-COUNTIFS($C$10:$C$600,$K34,$H$10:$H$600,"=IPP")-COUNTIFS($C$10:$C$600,$K34,$H$10:$H$600,"")),"")</f>
        <v/>
      </c>
    </row>
    <row r="35" spans="1:15" s="99" customFormat="1" ht="14.25" customHeight="1" x14ac:dyDescent="0.25">
      <c r="A35" s="137"/>
      <c r="B35" s="137" t="str">
        <f>IFERROR(INDEX(_xlfn.VSTACK(YES_Writing_ELA[#Data], YES_Writing_FLA[#Data]),MATCH($A35,_xlfn.VSTACK(YES_Writing_ELA[Student Number], YES_Writing_FLA[Student Number]),0),MATCH(B$7,YES_Writing_ELA[#Headers],0)),IFERROR(INDEX(_xlfn.VSTACK(YES_Reading_ELA[#Data], YES_Reading_FLA[#Data]),MATCH($A35,_xlfn.VSTACK(YES_Reading_ELA[Student Number], YES_Reading_FLA[Student Number]),0),MATCH(B$7,YES_Reading_ELA[#Headers],0)),""))</f>
        <v/>
      </c>
      <c r="C35" s="137" t="str">
        <f>IFERROR(INDEX(_xlfn.VSTACK(YES_Writing_ELA[#Data], YES_Writing_FLA[#Data]),MATCH($A35,_xlfn.VSTACK(YES_Writing_ELA[Student Number], YES_Writing_FLA[Student Number]),0),MATCH(C$7,YES_Writing_ELA[#Headers],0)),IFERROR(INDEX(_xlfn.VSTACK(YES_Reading_ELA[#Data], YES_Reading_FLA[#Data]),MATCH($A35,_xlfn.VSTACK(YES_Reading_ELA[Student Number], YES_Reading_FLA[Student Number]),0),MATCH(C$7,YES_Reading_ELA[#Headers],0)),""))</f>
        <v/>
      </c>
      <c r="D35" s="138" t="str">
        <f>IFERROR(IF(IF(INDEX(_xlfn.VSTACK(YES_Writing_ELA[#Data],YES_Writing_FLA[#Data]),MATCH($A35,_xlfn.VSTACK(YES_Writing_ELA[Student Number],YES_Writing_FLA[Student Number]),0),MATCH(VLOOKUP(D$7,'Writing Logic'!$J$7:$K$11,2,FALSE)&amp;" - Per "&amp;VLOOKUP($C$4,'Writing Logic'!$G$8:$H$14,2,FALSE),YES_Writing_ELA[#Headers],0))=0,"",INDEX(_xlfn.VSTACK(YES_Writing_ELA[#Data],YES_Writing_FLA[#Data]),MATCH($A35,_xlfn.VSTACK(YES_Writing_ELA[Student Number],YES_Writing_FLA[Student Number]),0),MATCH(VLOOKUP(D$7,'Writing Logic'!$J$7:$K$11,2,FALSE)&amp;" - Per "&amp;VLOOKUP($C$4,'Writing Logic'!$G$8:$H$14,2,FALSE),YES_Writing_ELA[#Headers],0)))="INS",'Writing Logic'!$B$7,IF(INDEX(_xlfn.VSTACK(YES_Writing_ELA[#Data],YES_Writing_FLA[#Data]),MATCH($A35,_xlfn.VSTACK(YES_Writing_ELA[Student Number],YES_Writing_FLA[Student Number]),0),MATCH(VLOOKUP(D$7,'Writing Logic'!$J$7:$K$11,2,FALSE)&amp;" - Per "&amp;VLOOKUP($C$4,'Writing Logic'!$G$8:$H$14,2,FALSE),YES_Writing_ELA[#Headers],0))=0,"",INDEX(_xlfn.VSTACK(YES_Writing_ELA[#Data],YES_Writing_FLA[#Data]),MATCH($A35,_xlfn.VSTACK(YES_Writing_ELA[Student Number],YES_Writing_FLA[Student Number]),0),MATCH(VLOOKUP(D$7,'Writing Logic'!$J$7:$K$11,2,FALSE)&amp;" - Per "&amp;VLOOKUP($C$4,'Writing Logic'!$G$8:$H$14,2,FALSE),YES_Writing_ELA[#Headers],0)))),"")</f>
        <v/>
      </c>
      <c r="E35" s="138" t="str">
        <f>IFERROR(IF(IF(INDEX(_xlfn.VSTACK(YES_Writing_ELA[#Data],YES_Writing_FLA[#Data]),MATCH($A35,_xlfn.VSTACK(YES_Writing_ELA[Student Number],YES_Writing_FLA[Student Number]),0),MATCH(VLOOKUP(E$7,'Writing Logic'!$J$7:$K$11,2,FALSE)&amp;" - Per "&amp;VLOOKUP($C$4,'Writing Logic'!$G$8:$H$14,2,FALSE),YES_Writing_ELA[#Headers],0))=0,"",INDEX(_xlfn.VSTACK(YES_Writing_ELA[#Data],YES_Writing_FLA[#Data]),MATCH($A35,_xlfn.VSTACK(YES_Writing_ELA[Student Number],YES_Writing_FLA[Student Number]),0),MATCH(VLOOKUP(E$7,'Writing Logic'!$J$7:$K$11,2,FALSE)&amp;" - Per "&amp;VLOOKUP($C$4,'Writing Logic'!$G$8:$H$14,2,FALSE),YES_Writing_ELA[#Headers],0)))="INS",'Writing Logic'!$B$7,IF(INDEX(_xlfn.VSTACK(YES_Writing_ELA[#Data],YES_Writing_FLA[#Data]),MATCH($A35,_xlfn.VSTACK(YES_Writing_ELA[Student Number],YES_Writing_FLA[Student Number]),0),MATCH(VLOOKUP(E$7,'Writing Logic'!$J$7:$K$11,2,FALSE)&amp;" - Per "&amp;VLOOKUP($C$4,'Writing Logic'!$G$8:$H$14,2,FALSE),YES_Writing_ELA[#Headers],0))=0,"",INDEX(_xlfn.VSTACK(YES_Writing_ELA[#Data],YES_Writing_FLA[#Data]),MATCH($A35,_xlfn.VSTACK(YES_Writing_ELA[Student Number],YES_Writing_FLA[Student Number]),0),MATCH(VLOOKUP(E$7,'Writing Logic'!$J$7:$K$11,2,FALSE)&amp;" - Per "&amp;VLOOKUP($C$4,'Writing Logic'!$G$8:$H$14,2,FALSE),YES_Writing_ELA[#Headers],0)))),"")</f>
        <v/>
      </c>
      <c r="F35" s="138" t="str">
        <f>IFERROR(IF(IF(INDEX(_xlfn.VSTACK(YES_Writing_ELA[#Data],YES_Writing_FLA[#Data]),MATCH($A35,_xlfn.VSTACK(YES_Writing_ELA[Student Number],YES_Writing_FLA[Student Number]),0),MATCH(VLOOKUP(F$7,'Writing Logic'!$J$7:$K$11,2,FALSE)&amp;" - Per "&amp;VLOOKUP($C$4,'Writing Logic'!$G$8:$H$14,2,FALSE),YES_Writing_ELA[#Headers],0))=0,"",INDEX(_xlfn.VSTACK(YES_Writing_ELA[#Data],YES_Writing_FLA[#Data]),MATCH($A35,_xlfn.VSTACK(YES_Writing_ELA[Student Number],YES_Writing_FLA[Student Number]),0),MATCH(VLOOKUP(F$7,'Writing Logic'!$J$7:$K$11,2,FALSE)&amp;" - Per "&amp;VLOOKUP($C$4,'Writing Logic'!$G$8:$H$14,2,FALSE),YES_Writing_ELA[#Headers],0)))="INS",'Writing Logic'!$B$7,IF(INDEX(_xlfn.VSTACK(YES_Writing_ELA[#Data],YES_Writing_FLA[#Data]),MATCH($A35,_xlfn.VSTACK(YES_Writing_ELA[Student Number],YES_Writing_FLA[Student Number]),0),MATCH(VLOOKUP(F$7,'Writing Logic'!$J$7:$K$11,2,FALSE)&amp;" - Per "&amp;VLOOKUP($C$4,'Writing Logic'!$G$8:$H$14,2,FALSE),YES_Writing_ELA[#Headers],0))=0,"",INDEX(_xlfn.VSTACK(YES_Writing_ELA[#Data],YES_Writing_FLA[#Data]),MATCH($A35,_xlfn.VSTACK(YES_Writing_ELA[Student Number],YES_Writing_FLA[Student Number]),0),MATCH(VLOOKUP(F$7,'Writing Logic'!$J$7:$K$11,2,FALSE)&amp;" - Per "&amp;VLOOKUP($C$4,'Writing Logic'!$G$8:$H$14,2,FALSE),YES_Writing_ELA[#Headers],0)))),"")</f>
        <v/>
      </c>
      <c r="G35" s="138" t="str">
        <f>IFERROR(IF(IF(INDEX(_xlfn.VSTACK(YES_Writing_ELA[#Data],YES_Writing_FLA[#Data]),MATCH($A35,_xlfn.VSTACK(YES_Writing_ELA[Student Number],YES_Writing_FLA[Student Number]),0),MATCH(VLOOKUP(G$7,'Writing Logic'!$J$7:$K$11,2,FALSE)&amp;" - Per "&amp;VLOOKUP($C$4,'Writing Logic'!$G$8:$H$14,2,FALSE),YES_Writing_ELA[#Headers],0))=0,"",INDEX(_xlfn.VSTACK(YES_Writing_ELA[#Data],YES_Writing_FLA[#Data]),MATCH($A35,_xlfn.VSTACK(YES_Writing_ELA[Student Number],YES_Writing_FLA[Student Number]),0),MATCH(VLOOKUP(G$7,'Writing Logic'!$J$7:$K$11,2,FALSE)&amp;" - Per "&amp;VLOOKUP($C$4,'Writing Logic'!$G$8:$H$14,2,FALSE),YES_Writing_ELA[#Headers],0)))="INS",'Writing Logic'!$B$7,IF(INDEX(_xlfn.VSTACK(YES_Writing_ELA[#Data],YES_Writing_FLA[#Data]),MATCH($A35,_xlfn.VSTACK(YES_Writing_ELA[Student Number],YES_Writing_FLA[Student Number]),0),MATCH(VLOOKUP(G$7,'Writing Logic'!$J$7:$K$11,2,FALSE)&amp;" - Per "&amp;VLOOKUP($C$4,'Writing Logic'!$G$8:$H$14,2,FALSE),YES_Writing_ELA[#Headers],0))=0,"",INDEX(_xlfn.VSTACK(YES_Writing_ELA[#Data],YES_Writing_FLA[#Data]),MATCH($A35,_xlfn.VSTACK(YES_Writing_ELA[Student Number],YES_Writing_FLA[Student Number]),0),MATCH(VLOOKUP(G$7,'Writing Logic'!$J$7:$K$11,2,FALSE)&amp;" - Per "&amp;VLOOKUP($C$4,'Writing Logic'!$G$8:$H$14,2,FALSE),YES_Writing_ELA[#Headers],0)))),"")</f>
        <v/>
      </c>
      <c r="H35" s="223" t="str">
        <f>IFERROR(IF(IF(INDEX(_xlfn.VSTACK(YES_Writing_ELA[#Data],YES_Writing_FLA[#Data]),MATCH($A35,_xlfn.VSTACK(YES_Writing_ELA[Student Number],YES_Writing_FLA[Student Number]),0),MATCH(VLOOKUP(H$7,'Writing Logic'!$J$7:$K$11,2,FALSE)&amp;" - Per "&amp;VLOOKUP($C$4,'Writing Logic'!$G$8:$H$14,2,FALSE),YES_Writing_ELA[#Headers],0))=0,"",INDEX(_xlfn.VSTACK(YES_Writing_ELA[#Data],YES_Writing_FLA[#Data]),MATCH($A35,_xlfn.VSTACK(YES_Writing_ELA[Student Number],YES_Writing_FLA[Student Number]),0),MATCH(VLOOKUP(H$7,'Writing Logic'!$J$7:$K$11,2,FALSE)&amp;" - Per "&amp;VLOOKUP($C$4,'Writing Logic'!$G$8:$H$14,2,FALSE),YES_Writing_ELA[#Headers],0)))="INS",'Writing Logic'!$B$7,IF(INDEX(_xlfn.VSTACK(YES_Writing_ELA[#Data],YES_Writing_FLA[#Data]),MATCH($A35,_xlfn.VSTACK(YES_Writing_ELA[Student Number],YES_Writing_FLA[Student Number]),0),MATCH(VLOOKUP(H$7,'Writing Logic'!$J$7:$K$11,2,FALSE)&amp;" - Per "&amp;VLOOKUP($C$4,'Writing Logic'!$G$8:$H$14,2,FALSE),YES_Writing_ELA[#Headers],0))=0,"",INDEX(_xlfn.VSTACK(YES_Writing_ELA[#Data],YES_Writing_FLA[#Data]),MATCH($A35,_xlfn.VSTACK(YES_Writing_ELA[Student Number],YES_Writing_FLA[Student Number]),0),MATCH(VLOOKUP(H$7,'Writing Logic'!$J$7:$K$11,2,FALSE)&amp;" - Per "&amp;VLOOKUP($C$4,'Writing Logic'!$G$8:$H$14,2,FALSE),YES_Writing_ELA[#Headers],0)))),"")</f>
        <v/>
      </c>
      <c r="I35" s="224" t="str" cm="1">
        <f t="array" aca="1" ref="I35" ca="1">IFERROR(
IF($G$3="ELA",
IF(VLOOKUP($A35, YES_Reading_ELA[], COLUMN(INDIRECT("YES_Reading_ELA[Difference - Per "&amp;VLOOKUP($G$4, 'Reading Report Logic'!$A$2:$B$8, 2, FALSE)&amp;"]")), FALSE)="", "",
VLOOKUP($A35,YES_Reading_ELA[], COLUMN(INDIRECT("YES_Reading_ELA[Difference - Per "&amp;VLOOKUP($G$4,'Reading Report Logic'!$A$2:$B$8,2,FALSE)&amp;"]")), FALSE)),
IF($G$3="FLA",
IF(VLOOKUP($A35, YES_Reading_FLA[], COLUMN(INDIRECT("YES_Reading_FLA[Difference - Per "&amp;VLOOKUP($G$4,'Reading Report Logic'!$A$2:$B$8,2,FALSE)&amp;"]")),FALSE)="","",
VLOOKUP($A35,YES_Reading_FLA[],COLUMN(INDIRECT("YES_Reading_FLA[Difference - Per "&amp;VLOOKUP($G$4,'Reading Report Logic'!$A$2:$B$8,2,FALSE)&amp;"]")),FALSE)),
IF($G$3="Combined",
IFERROR(
IF(VLOOKUP($A35, YES_Reading_ELA[], COLUMN(INDIRECT("YES_Reading_ELA[Difference - Per "&amp;VLOOKUP($G$4, 'Reading Report Logic'!$A$2:$B$8,2,FALSE)&amp;"]")), FALSE)="", "",
VLOOKUP($A35,YES_Reading_ELA[],COLUMN(INDIRECT("YES_Reading_ELA[Difference - Per "&amp;VLOOKUP($G$4,'Reading Report Logic'!$A$2:$B$8,2,FALSE)&amp;"]")),FALSE)),
IF(VLOOKUP($A35, YES_Reading_FLA[], COLUMN(INDIRECT("YES_Reading_FLA[Difference - Per "&amp;VLOOKUP($G$4, 'Reading Report Logic'!$A$2:$B$8, 2, FALSE)&amp;"]")),FALSE)="", "", VLOOKUP($A35,YES_Reading_FLA[],COLUMN(INDIRECT("YES_Reading_FLA[Difference - Per "&amp;VLOOKUP($G$4, 'Reading Report Logic'!$A$2:$B$8, 2, FALSE)&amp;"]")),FALSE))),""))),"")</f>
        <v/>
      </c>
      <c r="J35" s="136"/>
      <c r="K35"/>
      <c r="L35"/>
      <c r="M35"/>
      <c r="N35"/>
      <c r="O35"/>
    </row>
    <row r="36" spans="1:15" s="99" customFormat="1" ht="14.25" customHeight="1" x14ac:dyDescent="0.25">
      <c r="A36" s="137"/>
      <c r="B36" s="137" t="str">
        <f>IFERROR(INDEX(_xlfn.VSTACK(YES_Writing_ELA[#Data], YES_Writing_FLA[#Data]),MATCH($A36,_xlfn.VSTACK(YES_Writing_ELA[Student Number], YES_Writing_FLA[Student Number]),0),MATCH(B$7,YES_Writing_ELA[#Headers],0)),IFERROR(INDEX(_xlfn.VSTACK(YES_Reading_ELA[#Data], YES_Reading_FLA[#Data]),MATCH($A36,_xlfn.VSTACK(YES_Reading_ELA[Student Number], YES_Reading_FLA[Student Number]),0),MATCH(B$7,YES_Reading_ELA[#Headers],0)),""))</f>
        <v/>
      </c>
      <c r="C36" s="137" t="str">
        <f>IFERROR(INDEX(_xlfn.VSTACK(YES_Writing_ELA[#Data], YES_Writing_FLA[#Data]),MATCH($A36,_xlfn.VSTACK(YES_Writing_ELA[Student Number], YES_Writing_FLA[Student Number]),0),MATCH(C$7,YES_Writing_ELA[#Headers],0)),IFERROR(INDEX(_xlfn.VSTACK(YES_Reading_ELA[#Data], YES_Reading_FLA[#Data]),MATCH($A36,_xlfn.VSTACK(YES_Reading_ELA[Student Number], YES_Reading_FLA[Student Number]),0),MATCH(C$7,YES_Reading_ELA[#Headers],0)),""))</f>
        <v/>
      </c>
      <c r="D36" s="138" t="str">
        <f>IFERROR(IF(IF(INDEX(_xlfn.VSTACK(YES_Writing_ELA[#Data],YES_Writing_FLA[#Data]),MATCH($A36,_xlfn.VSTACK(YES_Writing_ELA[Student Number],YES_Writing_FLA[Student Number]),0),MATCH(VLOOKUP(D$7,'Writing Logic'!$J$7:$K$11,2,FALSE)&amp;" - Per "&amp;VLOOKUP($C$4,'Writing Logic'!$G$8:$H$14,2,FALSE),YES_Writing_ELA[#Headers],0))=0,"",INDEX(_xlfn.VSTACK(YES_Writing_ELA[#Data],YES_Writing_FLA[#Data]),MATCH($A36,_xlfn.VSTACK(YES_Writing_ELA[Student Number],YES_Writing_FLA[Student Number]),0),MATCH(VLOOKUP(D$7,'Writing Logic'!$J$7:$K$11,2,FALSE)&amp;" - Per "&amp;VLOOKUP($C$4,'Writing Logic'!$G$8:$H$14,2,FALSE),YES_Writing_ELA[#Headers],0)))="INS",'Writing Logic'!$B$7,IF(INDEX(_xlfn.VSTACK(YES_Writing_ELA[#Data],YES_Writing_FLA[#Data]),MATCH($A36,_xlfn.VSTACK(YES_Writing_ELA[Student Number],YES_Writing_FLA[Student Number]),0),MATCH(VLOOKUP(D$7,'Writing Logic'!$J$7:$K$11,2,FALSE)&amp;" - Per "&amp;VLOOKUP($C$4,'Writing Logic'!$G$8:$H$14,2,FALSE),YES_Writing_ELA[#Headers],0))=0,"",INDEX(_xlfn.VSTACK(YES_Writing_ELA[#Data],YES_Writing_FLA[#Data]),MATCH($A36,_xlfn.VSTACK(YES_Writing_ELA[Student Number],YES_Writing_FLA[Student Number]),0),MATCH(VLOOKUP(D$7,'Writing Logic'!$J$7:$K$11,2,FALSE)&amp;" - Per "&amp;VLOOKUP($C$4,'Writing Logic'!$G$8:$H$14,2,FALSE),YES_Writing_ELA[#Headers],0)))),"")</f>
        <v/>
      </c>
      <c r="E36" s="138" t="str">
        <f>IFERROR(IF(IF(INDEX(_xlfn.VSTACK(YES_Writing_ELA[#Data],YES_Writing_FLA[#Data]),MATCH($A36,_xlfn.VSTACK(YES_Writing_ELA[Student Number],YES_Writing_FLA[Student Number]),0),MATCH(VLOOKUP(E$7,'Writing Logic'!$J$7:$K$11,2,FALSE)&amp;" - Per "&amp;VLOOKUP($C$4,'Writing Logic'!$G$8:$H$14,2,FALSE),YES_Writing_ELA[#Headers],0))=0,"",INDEX(_xlfn.VSTACK(YES_Writing_ELA[#Data],YES_Writing_FLA[#Data]),MATCH($A36,_xlfn.VSTACK(YES_Writing_ELA[Student Number],YES_Writing_FLA[Student Number]),0),MATCH(VLOOKUP(E$7,'Writing Logic'!$J$7:$K$11,2,FALSE)&amp;" - Per "&amp;VLOOKUP($C$4,'Writing Logic'!$G$8:$H$14,2,FALSE),YES_Writing_ELA[#Headers],0)))="INS",'Writing Logic'!$B$7,IF(INDEX(_xlfn.VSTACK(YES_Writing_ELA[#Data],YES_Writing_FLA[#Data]),MATCH($A36,_xlfn.VSTACK(YES_Writing_ELA[Student Number],YES_Writing_FLA[Student Number]),0),MATCH(VLOOKUP(E$7,'Writing Logic'!$J$7:$K$11,2,FALSE)&amp;" - Per "&amp;VLOOKUP($C$4,'Writing Logic'!$G$8:$H$14,2,FALSE),YES_Writing_ELA[#Headers],0))=0,"",INDEX(_xlfn.VSTACK(YES_Writing_ELA[#Data],YES_Writing_FLA[#Data]),MATCH($A36,_xlfn.VSTACK(YES_Writing_ELA[Student Number],YES_Writing_FLA[Student Number]),0),MATCH(VLOOKUP(E$7,'Writing Logic'!$J$7:$K$11,2,FALSE)&amp;" - Per "&amp;VLOOKUP($C$4,'Writing Logic'!$G$8:$H$14,2,FALSE),YES_Writing_ELA[#Headers],0)))),"")</f>
        <v/>
      </c>
      <c r="F36" s="138" t="str">
        <f>IFERROR(IF(IF(INDEX(_xlfn.VSTACK(YES_Writing_ELA[#Data],YES_Writing_FLA[#Data]),MATCH($A36,_xlfn.VSTACK(YES_Writing_ELA[Student Number],YES_Writing_FLA[Student Number]),0),MATCH(VLOOKUP(F$7,'Writing Logic'!$J$7:$K$11,2,FALSE)&amp;" - Per "&amp;VLOOKUP($C$4,'Writing Logic'!$G$8:$H$14,2,FALSE),YES_Writing_ELA[#Headers],0))=0,"",INDEX(_xlfn.VSTACK(YES_Writing_ELA[#Data],YES_Writing_FLA[#Data]),MATCH($A36,_xlfn.VSTACK(YES_Writing_ELA[Student Number],YES_Writing_FLA[Student Number]),0),MATCH(VLOOKUP(F$7,'Writing Logic'!$J$7:$K$11,2,FALSE)&amp;" - Per "&amp;VLOOKUP($C$4,'Writing Logic'!$G$8:$H$14,2,FALSE),YES_Writing_ELA[#Headers],0)))="INS",'Writing Logic'!$B$7,IF(INDEX(_xlfn.VSTACK(YES_Writing_ELA[#Data],YES_Writing_FLA[#Data]),MATCH($A36,_xlfn.VSTACK(YES_Writing_ELA[Student Number],YES_Writing_FLA[Student Number]),0),MATCH(VLOOKUP(F$7,'Writing Logic'!$J$7:$K$11,2,FALSE)&amp;" - Per "&amp;VLOOKUP($C$4,'Writing Logic'!$G$8:$H$14,2,FALSE),YES_Writing_ELA[#Headers],0))=0,"",INDEX(_xlfn.VSTACK(YES_Writing_ELA[#Data],YES_Writing_FLA[#Data]),MATCH($A36,_xlfn.VSTACK(YES_Writing_ELA[Student Number],YES_Writing_FLA[Student Number]),0),MATCH(VLOOKUP(F$7,'Writing Logic'!$J$7:$K$11,2,FALSE)&amp;" - Per "&amp;VLOOKUP($C$4,'Writing Logic'!$G$8:$H$14,2,FALSE),YES_Writing_ELA[#Headers],0)))),"")</f>
        <v/>
      </c>
      <c r="G36" s="138" t="str">
        <f>IFERROR(IF(IF(INDEX(_xlfn.VSTACK(YES_Writing_ELA[#Data],YES_Writing_FLA[#Data]),MATCH($A36,_xlfn.VSTACK(YES_Writing_ELA[Student Number],YES_Writing_FLA[Student Number]),0),MATCH(VLOOKUP(G$7,'Writing Logic'!$J$7:$K$11,2,FALSE)&amp;" - Per "&amp;VLOOKUP($C$4,'Writing Logic'!$G$8:$H$14,2,FALSE),YES_Writing_ELA[#Headers],0))=0,"",INDEX(_xlfn.VSTACK(YES_Writing_ELA[#Data],YES_Writing_FLA[#Data]),MATCH($A36,_xlfn.VSTACK(YES_Writing_ELA[Student Number],YES_Writing_FLA[Student Number]),0),MATCH(VLOOKUP(G$7,'Writing Logic'!$J$7:$K$11,2,FALSE)&amp;" - Per "&amp;VLOOKUP($C$4,'Writing Logic'!$G$8:$H$14,2,FALSE),YES_Writing_ELA[#Headers],0)))="INS",'Writing Logic'!$B$7,IF(INDEX(_xlfn.VSTACK(YES_Writing_ELA[#Data],YES_Writing_FLA[#Data]),MATCH($A36,_xlfn.VSTACK(YES_Writing_ELA[Student Number],YES_Writing_FLA[Student Number]),0),MATCH(VLOOKUP(G$7,'Writing Logic'!$J$7:$K$11,2,FALSE)&amp;" - Per "&amp;VLOOKUP($C$4,'Writing Logic'!$G$8:$H$14,2,FALSE),YES_Writing_ELA[#Headers],0))=0,"",INDEX(_xlfn.VSTACK(YES_Writing_ELA[#Data],YES_Writing_FLA[#Data]),MATCH($A36,_xlfn.VSTACK(YES_Writing_ELA[Student Number],YES_Writing_FLA[Student Number]),0),MATCH(VLOOKUP(G$7,'Writing Logic'!$J$7:$K$11,2,FALSE)&amp;" - Per "&amp;VLOOKUP($C$4,'Writing Logic'!$G$8:$H$14,2,FALSE),YES_Writing_ELA[#Headers],0)))),"")</f>
        <v/>
      </c>
      <c r="H36" s="223" t="str">
        <f>IFERROR(IF(IF(INDEX(_xlfn.VSTACK(YES_Writing_ELA[#Data],YES_Writing_FLA[#Data]),MATCH($A36,_xlfn.VSTACK(YES_Writing_ELA[Student Number],YES_Writing_FLA[Student Number]),0),MATCH(VLOOKUP(H$7,'Writing Logic'!$J$7:$K$11,2,FALSE)&amp;" - Per "&amp;VLOOKUP($C$4,'Writing Logic'!$G$8:$H$14,2,FALSE),YES_Writing_ELA[#Headers],0))=0,"",INDEX(_xlfn.VSTACK(YES_Writing_ELA[#Data],YES_Writing_FLA[#Data]),MATCH($A36,_xlfn.VSTACK(YES_Writing_ELA[Student Number],YES_Writing_FLA[Student Number]),0),MATCH(VLOOKUP(H$7,'Writing Logic'!$J$7:$K$11,2,FALSE)&amp;" - Per "&amp;VLOOKUP($C$4,'Writing Logic'!$G$8:$H$14,2,FALSE),YES_Writing_ELA[#Headers],0)))="INS",'Writing Logic'!$B$7,IF(INDEX(_xlfn.VSTACK(YES_Writing_ELA[#Data],YES_Writing_FLA[#Data]),MATCH($A36,_xlfn.VSTACK(YES_Writing_ELA[Student Number],YES_Writing_FLA[Student Number]),0),MATCH(VLOOKUP(H$7,'Writing Logic'!$J$7:$K$11,2,FALSE)&amp;" - Per "&amp;VLOOKUP($C$4,'Writing Logic'!$G$8:$H$14,2,FALSE),YES_Writing_ELA[#Headers],0))=0,"",INDEX(_xlfn.VSTACK(YES_Writing_ELA[#Data],YES_Writing_FLA[#Data]),MATCH($A36,_xlfn.VSTACK(YES_Writing_ELA[Student Number],YES_Writing_FLA[Student Number]),0),MATCH(VLOOKUP(H$7,'Writing Logic'!$J$7:$K$11,2,FALSE)&amp;" - Per "&amp;VLOOKUP($C$4,'Writing Logic'!$G$8:$H$14,2,FALSE),YES_Writing_ELA[#Headers],0)))),"")</f>
        <v/>
      </c>
      <c r="I36" s="224" t="str" cm="1">
        <f t="array" aca="1" ref="I36" ca="1">IFERROR(
IF($G$3="ELA",
IF(VLOOKUP($A36, YES_Reading_ELA[], COLUMN(INDIRECT("YES_Reading_ELA[Difference - Per "&amp;VLOOKUP($G$4, 'Reading Report Logic'!$A$2:$B$8, 2, FALSE)&amp;"]")), FALSE)="", "",
VLOOKUP($A36,YES_Reading_ELA[], COLUMN(INDIRECT("YES_Reading_ELA[Difference - Per "&amp;VLOOKUP($G$4,'Reading Report Logic'!$A$2:$B$8,2,FALSE)&amp;"]")), FALSE)),
IF($G$3="FLA",
IF(VLOOKUP($A36, YES_Reading_FLA[], COLUMN(INDIRECT("YES_Reading_FLA[Difference - Per "&amp;VLOOKUP($G$4,'Reading Report Logic'!$A$2:$B$8,2,FALSE)&amp;"]")),FALSE)="","",
VLOOKUP($A36,YES_Reading_FLA[],COLUMN(INDIRECT("YES_Reading_FLA[Difference - Per "&amp;VLOOKUP($G$4,'Reading Report Logic'!$A$2:$B$8,2,FALSE)&amp;"]")),FALSE)),
IF($G$3="Combined",
IFERROR(
IF(VLOOKUP($A36, YES_Reading_ELA[], COLUMN(INDIRECT("YES_Reading_ELA[Difference - Per "&amp;VLOOKUP($G$4, 'Reading Report Logic'!$A$2:$B$8,2,FALSE)&amp;"]")), FALSE)="", "",
VLOOKUP($A36,YES_Reading_ELA[],COLUMN(INDIRECT("YES_Reading_ELA[Difference - Per "&amp;VLOOKUP($G$4,'Reading Report Logic'!$A$2:$B$8,2,FALSE)&amp;"]")),FALSE)),
IF(VLOOKUP($A36, YES_Reading_FLA[], COLUMN(INDIRECT("YES_Reading_FLA[Difference - Per "&amp;VLOOKUP($G$4, 'Reading Report Logic'!$A$2:$B$8, 2, FALSE)&amp;"]")),FALSE)="", "", VLOOKUP($A36,YES_Reading_FLA[],COLUMN(INDIRECT("YES_Reading_FLA[Difference - Per "&amp;VLOOKUP($G$4, 'Reading Report Logic'!$A$2:$B$8, 2, FALSE)&amp;"]")),FALSE))),""))),"")</f>
        <v/>
      </c>
      <c r="J36" s="136"/>
      <c r="K36"/>
      <c r="L36"/>
      <c r="M36"/>
      <c r="N36"/>
      <c r="O36"/>
    </row>
    <row r="37" spans="1:15" s="99" customFormat="1" ht="14.25" customHeight="1" x14ac:dyDescent="0.25">
      <c r="A37" s="137"/>
      <c r="B37" s="137" t="str">
        <f>IFERROR(INDEX(_xlfn.VSTACK(YES_Writing_ELA[#Data], YES_Writing_FLA[#Data]),MATCH($A37,_xlfn.VSTACK(YES_Writing_ELA[Student Number], YES_Writing_FLA[Student Number]),0),MATCH(B$7,YES_Writing_ELA[#Headers],0)),IFERROR(INDEX(_xlfn.VSTACK(YES_Reading_ELA[#Data], YES_Reading_FLA[#Data]),MATCH($A37,_xlfn.VSTACK(YES_Reading_ELA[Student Number], YES_Reading_FLA[Student Number]),0),MATCH(B$7,YES_Reading_ELA[#Headers],0)),""))</f>
        <v/>
      </c>
      <c r="C37" s="137" t="str">
        <f>IFERROR(INDEX(_xlfn.VSTACK(YES_Writing_ELA[#Data], YES_Writing_FLA[#Data]),MATCH($A37,_xlfn.VSTACK(YES_Writing_ELA[Student Number], YES_Writing_FLA[Student Number]),0),MATCH(C$7,YES_Writing_ELA[#Headers],0)),IFERROR(INDEX(_xlfn.VSTACK(YES_Reading_ELA[#Data], YES_Reading_FLA[#Data]),MATCH($A37,_xlfn.VSTACK(YES_Reading_ELA[Student Number], YES_Reading_FLA[Student Number]),0),MATCH(C$7,YES_Reading_ELA[#Headers],0)),""))</f>
        <v/>
      </c>
      <c r="D37" s="138" t="str">
        <f>IFERROR(IF(IF(INDEX(_xlfn.VSTACK(YES_Writing_ELA[#Data],YES_Writing_FLA[#Data]),MATCH($A37,_xlfn.VSTACK(YES_Writing_ELA[Student Number],YES_Writing_FLA[Student Number]),0),MATCH(VLOOKUP(D$7,'Writing Logic'!$J$7:$K$11,2,FALSE)&amp;" - Per "&amp;VLOOKUP($C$4,'Writing Logic'!$G$8:$H$14,2,FALSE),YES_Writing_ELA[#Headers],0))=0,"",INDEX(_xlfn.VSTACK(YES_Writing_ELA[#Data],YES_Writing_FLA[#Data]),MATCH($A37,_xlfn.VSTACK(YES_Writing_ELA[Student Number],YES_Writing_FLA[Student Number]),0),MATCH(VLOOKUP(D$7,'Writing Logic'!$J$7:$K$11,2,FALSE)&amp;" - Per "&amp;VLOOKUP($C$4,'Writing Logic'!$G$8:$H$14,2,FALSE),YES_Writing_ELA[#Headers],0)))="INS",'Writing Logic'!$B$7,IF(INDEX(_xlfn.VSTACK(YES_Writing_ELA[#Data],YES_Writing_FLA[#Data]),MATCH($A37,_xlfn.VSTACK(YES_Writing_ELA[Student Number],YES_Writing_FLA[Student Number]),0),MATCH(VLOOKUP(D$7,'Writing Logic'!$J$7:$K$11,2,FALSE)&amp;" - Per "&amp;VLOOKUP($C$4,'Writing Logic'!$G$8:$H$14,2,FALSE),YES_Writing_ELA[#Headers],0))=0,"",INDEX(_xlfn.VSTACK(YES_Writing_ELA[#Data],YES_Writing_FLA[#Data]),MATCH($A37,_xlfn.VSTACK(YES_Writing_ELA[Student Number],YES_Writing_FLA[Student Number]),0),MATCH(VLOOKUP(D$7,'Writing Logic'!$J$7:$K$11,2,FALSE)&amp;" - Per "&amp;VLOOKUP($C$4,'Writing Logic'!$G$8:$H$14,2,FALSE),YES_Writing_ELA[#Headers],0)))),"")</f>
        <v/>
      </c>
      <c r="E37" s="138" t="str">
        <f>IFERROR(IF(IF(INDEX(_xlfn.VSTACK(YES_Writing_ELA[#Data],YES_Writing_FLA[#Data]),MATCH($A37,_xlfn.VSTACK(YES_Writing_ELA[Student Number],YES_Writing_FLA[Student Number]),0),MATCH(VLOOKUP(E$7,'Writing Logic'!$J$7:$K$11,2,FALSE)&amp;" - Per "&amp;VLOOKUP($C$4,'Writing Logic'!$G$8:$H$14,2,FALSE),YES_Writing_ELA[#Headers],0))=0,"",INDEX(_xlfn.VSTACK(YES_Writing_ELA[#Data],YES_Writing_FLA[#Data]),MATCH($A37,_xlfn.VSTACK(YES_Writing_ELA[Student Number],YES_Writing_FLA[Student Number]),0),MATCH(VLOOKUP(E$7,'Writing Logic'!$J$7:$K$11,2,FALSE)&amp;" - Per "&amp;VLOOKUP($C$4,'Writing Logic'!$G$8:$H$14,2,FALSE),YES_Writing_ELA[#Headers],0)))="INS",'Writing Logic'!$B$7,IF(INDEX(_xlfn.VSTACK(YES_Writing_ELA[#Data],YES_Writing_FLA[#Data]),MATCH($A37,_xlfn.VSTACK(YES_Writing_ELA[Student Number],YES_Writing_FLA[Student Number]),0),MATCH(VLOOKUP(E$7,'Writing Logic'!$J$7:$K$11,2,FALSE)&amp;" - Per "&amp;VLOOKUP($C$4,'Writing Logic'!$G$8:$H$14,2,FALSE),YES_Writing_ELA[#Headers],0))=0,"",INDEX(_xlfn.VSTACK(YES_Writing_ELA[#Data],YES_Writing_FLA[#Data]),MATCH($A37,_xlfn.VSTACK(YES_Writing_ELA[Student Number],YES_Writing_FLA[Student Number]),0),MATCH(VLOOKUP(E$7,'Writing Logic'!$J$7:$K$11,2,FALSE)&amp;" - Per "&amp;VLOOKUP($C$4,'Writing Logic'!$G$8:$H$14,2,FALSE),YES_Writing_ELA[#Headers],0)))),"")</f>
        <v/>
      </c>
      <c r="F37" s="138" t="str">
        <f>IFERROR(IF(IF(INDEX(_xlfn.VSTACK(YES_Writing_ELA[#Data],YES_Writing_FLA[#Data]),MATCH($A37,_xlfn.VSTACK(YES_Writing_ELA[Student Number],YES_Writing_FLA[Student Number]),0),MATCH(VLOOKUP(F$7,'Writing Logic'!$J$7:$K$11,2,FALSE)&amp;" - Per "&amp;VLOOKUP($C$4,'Writing Logic'!$G$8:$H$14,2,FALSE),YES_Writing_ELA[#Headers],0))=0,"",INDEX(_xlfn.VSTACK(YES_Writing_ELA[#Data],YES_Writing_FLA[#Data]),MATCH($A37,_xlfn.VSTACK(YES_Writing_ELA[Student Number],YES_Writing_FLA[Student Number]),0),MATCH(VLOOKUP(F$7,'Writing Logic'!$J$7:$K$11,2,FALSE)&amp;" - Per "&amp;VLOOKUP($C$4,'Writing Logic'!$G$8:$H$14,2,FALSE),YES_Writing_ELA[#Headers],0)))="INS",'Writing Logic'!$B$7,IF(INDEX(_xlfn.VSTACK(YES_Writing_ELA[#Data],YES_Writing_FLA[#Data]),MATCH($A37,_xlfn.VSTACK(YES_Writing_ELA[Student Number],YES_Writing_FLA[Student Number]),0),MATCH(VLOOKUP(F$7,'Writing Logic'!$J$7:$K$11,2,FALSE)&amp;" - Per "&amp;VLOOKUP($C$4,'Writing Logic'!$G$8:$H$14,2,FALSE),YES_Writing_ELA[#Headers],0))=0,"",INDEX(_xlfn.VSTACK(YES_Writing_ELA[#Data],YES_Writing_FLA[#Data]),MATCH($A37,_xlfn.VSTACK(YES_Writing_ELA[Student Number],YES_Writing_FLA[Student Number]),0),MATCH(VLOOKUP(F$7,'Writing Logic'!$J$7:$K$11,2,FALSE)&amp;" - Per "&amp;VLOOKUP($C$4,'Writing Logic'!$G$8:$H$14,2,FALSE),YES_Writing_ELA[#Headers],0)))),"")</f>
        <v/>
      </c>
      <c r="G37" s="138" t="str">
        <f>IFERROR(IF(IF(INDEX(_xlfn.VSTACK(YES_Writing_ELA[#Data],YES_Writing_FLA[#Data]),MATCH($A37,_xlfn.VSTACK(YES_Writing_ELA[Student Number],YES_Writing_FLA[Student Number]),0),MATCH(VLOOKUP(G$7,'Writing Logic'!$J$7:$K$11,2,FALSE)&amp;" - Per "&amp;VLOOKUP($C$4,'Writing Logic'!$G$8:$H$14,2,FALSE),YES_Writing_ELA[#Headers],0))=0,"",INDEX(_xlfn.VSTACK(YES_Writing_ELA[#Data],YES_Writing_FLA[#Data]),MATCH($A37,_xlfn.VSTACK(YES_Writing_ELA[Student Number],YES_Writing_FLA[Student Number]),0),MATCH(VLOOKUP(G$7,'Writing Logic'!$J$7:$K$11,2,FALSE)&amp;" - Per "&amp;VLOOKUP($C$4,'Writing Logic'!$G$8:$H$14,2,FALSE),YES_Writing_ELA[#Headers],0)))="INS",'Writing Logic'!$B$7,IF(INDEX(_xlfn.VSTACK(YES_Writing_ELA[#Data],YES_Writing_FLA[#Data]),MATCH($A37,_xlfn.VSTACK(YES_Writing_ELA[Student Number],YES_Writing_FLA[Student Number]),0),MATCH(VLOOKUP(G$7,'Writing Logic'!$J$7:$K$11,2,FALSE)&amp;" - Per "&amp;VLOOKUP($C$4,'Writing Logic'!$G$8:$H$14,2,FALSE),YES_Writing_ELA[#Headers],0))=0,"",INDEX(_xlfn.VSTACK(YES_Writing_ELA[#Data],YES_Writing_FLA[#Data]),MATCH($A37,_xlfn.VSTACK(YES_Writing_ELA[Student Number],YES_Writing_FLA[Student Number]),0),MATCH(VLOOKUP(G$7,'Writing Logic'!$J$7:$K$11,2,FALSE)&amp;" - Per "&amp;VLOOKUP($C$4,'Writing Logic'!$G$8:$H$14,2,FALSE),YES_Writing_ELA[#Headers],0)))),"")</f>
        <v/>
      </c>
      <c r="H37" s="223" t="str">
        <f>IFERROR(IF(IF(INDEX(_xlfn.VSTACK(YES_Writing_ELA[#Data],YES_Writing_FLA[#Data]),MATCH($A37,_xlfn.VSTACK(YES_Writing_ELA[Student Number],YES_Writing_FLA[Student Number]),0),MATCH(VLOOKUP(H$7,'Writing Logic'!$J$7:$K$11,2,FALSE)&amp;" - Per "&amp;VLOOKUP($C$4,'Writing Logic'!$G$8:$H$14,2,FALSE),YES_Writing_ELA[#Headers],0))=0,"",INDEX(_xlfn.VSTACK(YES_Writing_ELA[#Data],YES_Writing_FLA[#Data]),MATCH($A37,_xlfn.VSTACK(YES_Writing_ELA[Student Number],YES_Writing_FLA[Student Number]),0),MATCH(VLOOKUP(H$7,'Writing Logic'!$J$7:$K$11,2,FALSE)&amp;" - Per "&amp;VLOOKUP($C$4,'Writing Logic'!$G$8:$H$14,2,FALSE),YES_Writing_ELA[#Headers],0)))="INS",'Writing Logic'!$B$7,IF(INDEX(_xlfn.VSTACK(YES_Writing_ELA[#Data],YES_Writing_FLA[#Data]),MATCH($A37,_xlfn.VSTACK(YES_Writing_ELA[Student Number],YES_Writing_FLA[Student Number]),0),MATCH(VLOOKUP(H$7,'Writing Logic'!$J$7:$K$11,2,FALSE)&amp;" - Per "&amp;VLOOKUP($C$4,'Writing Logic'!$G$8:$H$14,2,FALSE),YES_Writing_ELA[#Headers],0))=0,"",INDEX(_xlfn.VSTACK(YES_Writing_ELA[#Data],YES_Writing_FLA[#Data]),MATCH($A37,_xlfn.VSTACK(YES_Writing_ELA[Student Number],YES_Writing_FLA[Student Number]),0),MATCH(VLOOKUP(H$7,'Writing Logic'!$J$7:$K$11,2,FALSE)&amp;" - Per "&amp;VLOOKUP($C$4,'Writing Logic'!$G$8:$H$14,2,FALSE),YES_Writing_ELA[#Headers],0)))),"")</f>
        <v/>
      </c>
      <c r="I37" s="224" t="str" cm="1">
        <f t="array" aca="1" ref="I37" ca="1">IFERROR(
IF($G$3="ELA",
IF(VLOOKUP($A37, YES_Reading_ELA[], COLUMN(INDIRECT("YES_Reading_ELA[Difference - Per "&amp;VLOOKUP($G$4, 'Reading Report Logic'!$A$2:$B$8, 2, FALSE)&amp;"]")), FALSE)="", "",
VLOOKUP($A37,YES_Reading_ELA[], COLUMN(INDIRECT("YES_Reading_ELA[Difference - Per "&amp;VLOOKUP($G$4,'Reading Report Logic'!$A$2:$B$8,2,FALSE)&amp;"]")), FALSE)),
IF($G$3="FLA",
IF(VLOOKUP($A37, YES_Reading_FLA[], COLUMN(INDIRECT("YES_Reading_FLA[Difference - Per "&amp;VLOOKUP($G$4,'Reading Report Logic'!$A$2:$B$8,2,FALSE)&amp;"]")),FALSE)="","",
VLOOKUP($A37,YES_Reading_FLA[],COLUMN(INDIRECT("YES_Reading_FLA[Difference - Per "&amp;VLOOKUP($G$4,'Reading Report Logic'!$A$2:$B$8,2,FALSE)&amp;"]")),FALSE)),
IF($G$3="Combined",
IFERROR(
IF(VLOOKUP($A37, YES_Reading_ELA[], COLUMN(INDIRECT("YES_Reading_ELA[Difference - Per "&amp;VLOOKUP($G$4, 'Reading Report Logic'!$A$2:$B$8,2,FALSE)&amp;"]")), FALSE)="", "",
VLOOKUP($A37,YES_Reading_ELA[],COLUMN(INDIRECT("YES_Reading_ELA[Difference - Per "&amp;VLOOKUP($G$4,'Reading Report Logic'!$A$2:$B$8,2,FALSE)&amp;"]")),FALSE)),
IF(VLOOKUP($A37, YES_Reading_FLA[], COLUMN(INDIRECT("YES_Reading_FLA[Difference - Per "&amp;VLOOKUP($G$4, 'Reading Report Logic'!$A$2:$B$8, 2, FALSE)&amp;"]")),FALSE)="", "", VLOOKUP($A37,YES_Reading_FLA[],COLUMN(INDIRECT("YES_Reading_FLA[Difference - Per "&amp;VLOOKUP($G$4, 'Reading Report Logic'!$A$2:$B$8, 2, FALSE)&amp;"]")),FALSE))),""))),"")</f>
        <v/>
      </c>
      <c r="J37" s="136"/>
      <c r="K37"/>
      <c r="L37"/>
      <c r="M37"/>
      <c r="N37"/>
      <c r="O37"/>
    </row>
    <row r="38" spans="1:15" ht="14.25" customHeight="1" x14ac:dyDescent="0.25">
      <c r="A38" s="137"/>
      <c r="B38" s="137" t="str">
        <f>IFERROR(INDEX(_xlfn.VSTACK(YES_Writing_ELA[#Data], YES_Writing_FLA[#Data]),MATCH($A38,_xlfn.VSTACK(YES_Writing_ELA[Student Number], YES_Writing_FLA[Student Number]),0),MATCH(B$7,YES_Writing_ELA[#Headers],0)),IFERROR(INDEX(_xlfn.VSTACK(YES_Reading_ELA[#Data], YES_Reading_FLA[#Data]),MATCH($A38,_xlfn.VSTACK(YES_Reading_ELA[Student Number], YES_Reading_FLA[Student Number]),0),MATCH(B$7,YES_Reading_ELA[#Headers],0)),""))</f>
        <v/>
      </c>
      <c r="C38" s="137" t="str">
        <f>IFERROR(INDEX(_xlfn.VSTACK(YES_Writing_ELA[#Data], YES_Writing_FLA[#Data]),MATCH($A38,_xlfn.VSTACK(YES_Writing_ELA[Student Number], YES_Writing_FLA[Student Number]),0),MATCH(C$7,YES_Writing_ELA[#Headers],0)),IFERROR(INDEX(_xlfn.VSTACK(YES_Reading_ELA[#Data], YES_Reading_FLA[#Data]),MATCH($A38,_xlfn.VSTACK(YES_Reading_ELA[Student Number], YES_Reading_FLA[Student Number]),0),MATCH(C$7,YES_Reading_ELA[#Headers],0)),""))</f>
        <v/>
      </c>
      <c r="D38" s="138" t="str">
        <f>IFERROR(IF(IF(INDEX(_xlfn.VSTACK(YES_Writing_ELA[#Data],YES_Writing_FLA[#Data]),MATCH($A38,_xlfn.VSTACK(YES_Writing_ELA[Student Number],YES_Writing_FLA[Student Number]),0),MATCH(VLOOKUP(D$7,'Writing Logic'!$J$7:$K$11,2,FALSE)&amp;" - Per "&amp;VLOOKUP($C$4,'Writing Logic'!$G$8:$H$14,2,FALSE),YES_Writing_ELA[#Headers],0))=0,"",INDEX(_xlfn.VSTACK(YES_Writing_ELA[#Data],YES_Writing_FLA[#Data]),MATCH($A38,_xlfn.VSTACK(YES_Writing_ELA[Student Number],YES_Writing_FLA[Student Number]),0),MATCH(VLOOKUP(D$7,'Writing Logic'!$J$7:$K$11,2,FALSE)&amp;" - Per "&amp;VLOOKUP($C$4,'Writing Logic'!$G$8:$H$14,2,FALSE),YES_Writing_ELA[#Headers],0)))="INS",'Writing Logic'!$B$7,IF(INDEX(_xlfn.VSTACK(YES_Writing_ELA[#Data],YES_Writing_FLA[#Data]),MATCH($A38,_xlfn.VSTACK(YES_Writing_ELA[Student Number],YES_Writing_FLA[Student Number]),0),MATCH(VLOOKUP(D$7,'Writing Logic'!$J$7:$K$11,2,FALSE)&amp;" - Per "&amp;VLOOKUP($C$4,'Writing Logic'!$G$8:$H$14,2,FALSE),YES_Writing_ELA[#Headers],0))=0,"",INDEX(_xlfn.VSTACK(YES_Writing_ELA[#Data],YES_Writing_FLA[#Data]),MATCH($A38,_xlfn.VSTACK(YES_Writing_ELA[Student Number],YES_Writing_FLA[Student Number]),0),MATCH(VLOOKUP(D$7,'Writing Logic'!$J$7:$K$11,2,FALSE)&amp;" - Per "&amp;VLOOKUP($C$4,'Writing Logic'!$G$8:$H$14,2,FALSE),YES_Writing_ELA[#Headers],0)))),"")</f>
        <v/>
      </c>
      <c r="E38" s="138" t="str">
        <f>IFERROR(IF(IF(INDEX(_xlfn.VSTACK(YES_Writing_ELA[#Data],YES_Writing_FLA[#Data]),MATCH($A38,_xlfn.VSTACK(YES_Writing_ELA[Student Number],YES_Writing_FLA[Student Number]),0),MATCH(VLOOKUP(E$7,'Writing Logic'!$J$7:$K$11,2,FALSE)&amp;" - Per "&amp;VLOOKUP($C$4,'Writing Logic'!$G$8:$H$14,2,FALSE),YES_Writing_ELA[#Headers],0))=0,"",INDEX(_xlfn.VSTACK(YES_Writing_ELA[#Data],YES_Writing_FLA[#Data]),MATCH($A38,_xlfn.VSTACK(YES_Writing_ELA[Student Number],YES_Writing_FLA[Student Number]),0),MATCH(VLOOKUP(E$7,'Writing Logic'!$J$7:$K$11,2,FALSE)&amp;" - Per "&amp;VLOOKUP($C$4,'Writing Logic'!$G$8:$H$14,2,FALSE),YES_Writing_ELA[#Headers],0)))="INS",'Writing Logic'!$B$7,IF(INDEX(_xlfn.VSTACK(YES_Writing_ELA[#Data],YES_Writing_FLA[#Data]),MATCH($A38,_xlfn.VSTACK(YES_Writing_ELA[Student Number],YES_Writing_FLA[Student Number]),0),MATCH(VLOOKUP(E$7,'Writing Logic'!$J$7:$K$11,2,FALSE)&amp;" - Per "&amp;VLOOKUP($C$4,'Writing Logic'!$G$8:$H$14,2,FALSE),YES_Writing_ELA[#Headers],0))=0,"",INDEX(_xlfn.VSTACK(YES_Writing_ELA[#Data],YES_Writing_FLA[#Data]),MATCH($A38,_xlfn.VSTACK(YES_Writing_ELA[Student Number],YES_Writing_FLA[Student Number]),0),MATCH(VLOOKUP(E$7,'Writing Logic'!$J$7:$K$11,2,FALSE)&amp;" - Per "&amp;VLOOKUP($C$4,'Writing Logic'!$G$8:$H$14,2,FALSE),YES_Writing_ELA[#Headers],0)))),"")</f>
        <v/>
      </c>
      <c r="F38" s="138" t="str">
        <f>IFERROR(IF(IF(INDEX(_xlfn.VSTACK(YES_Writing_ELA[#Data],YES_Writing_FLA[#Data]),MATCH($A38,_xlfn.VSTACK(YES_Writing_ELA[Student Number],YES_Writing_FLA[Student Number]),0),MATCH(VLOOKUP(F$7,'Writing Logic'!$J$7:$K$11,2,FALSE)&amp;" - Per "&amp;VLOOKUP($C$4,'Writing Logic'!$G$8:$H$14,2,FALSE),YES_Writing_ELA[#Headers],0))=0,"",INDEX(_xlfn.VSTACK(YES_Writing_ELA[#Data],YES_Writing_FLA[#Data]),MATCH($A38,_xlfn.VSTACK(YES_Writing_ELA[Student Number],YES_Writing_FLA[Student Number]),0),MATCH(VLOOKUP(F$7,'Writing Logic'!$J$7:$K$11,2,FALSE)&amp;" - Per "&amp;VLOOKUP($C$4,'Writing Logic'!$G$8:$H$14,2,FALSE),YES_Writing_ELA[#Headers],0)))="INS",'Writing Logic'!$B$7,IF(INDEX(_xlfn.VSTACK(YES_Writing_ELA[#Data],YES_Writing_FLA[#Data]),MATCH($A38,_xlfn.VSTACK(YES_Writing_ELA[Student Number],YES_Writing_FLA[Student Number]),0),MATCH(VLOOKUP(F$7,'Writing Logic'!$J$7:$K$11,2,FALSE)&amp;" - Per "&amp;VLOOKUP($C$4,'Writing Logic'!$G$8:$H$14,2,FALSE),YES_Writing_ELA[#Headers],0))=0,"",INDEX(_xlfn.VSTACK(YES_Writing_ELA[#Data],YES_Writing_FLA[#Data]),MATCH($A38,_xlfn.VSTACK(YES_Writing_ELA[Student Number],YES_Writing_FLA[Student Number]),0),MATCH(VLOOKUP(F$7,'Writing Logic'!$J$7:$K$11,2,FALSE)&amp;" - Per "&amp;VLOOKUP($C$4,'Writing Logic'!$G$8:$H$14,2,FALSE),YES_Writing_ELA[#Headers],0)))),"")</f>
        <v/>
      </c>
      <c r="G38" s="138" t="str">
        <f>IFERROR(IF(IF(INDEX(_xlfn.VSTACK(YES_Writing_ELA[#Data],YES_Writing_FLA[#Data]),MATCH($A38,_xlfn.VSTACK(YES_Writing_ELA[Student Number],YES_Writing_FLA[Student Number]),0),MATCH(VLOOKUP(G$7,'Writing Logic'!$J$7:$K$11,2,FALSE)&amp;" - Per "&amp;VLOOKUP($C$4,'Writing Logic'!$G$8:$H$14,2,FALSE),YES_Writing_ELA[#Headers],0))=0,"",INDEX(_xlfn.VSTACK(YES_Writing_ELA[#Data],YES_Writing_FLA[#Data]),MATCH($A38,_xlfn.VSTACK(YES_Writing_ELA[Student Number],YES_Writing_FLA[Student Number]),0),MATCH(VLOOKUP(G$7,'Writing Logic'!$J$7:$K$11,2,FALSE)&amp;" - Per "&amp;VLOOKUP($C$4,'Writing Logic'!$G$8:$H$14,2,FALSE),YES_Writing_ELA[#Headers],0)))="INS",'Writing Logic'!$B$7,IF(INDEX(_xlfn.VSTACK(YES_Writing_ELA[#Data],YES_Writing_FLA[#Data]),MATCH($A38,_xlfn.VSTACK(YES_Writing_ELA[Student Number],YES_Writing_FLA[Student Number]),0),MATCH(VLOOKUP(G$7,'Writing Logic'!$J$7:$K$11,2,FALSE)&amp;" - Per "&amp;VLOOKUP($C$4,'Writing Logic'!$G$8:$H$14,2,FALSE),YES_Writing_ELA[#Headers],0))=0,"",INDEX(_xlfn.VSTACK(YES_Writing_ELA[#Data],YES_Writing_FLA[#Data]),MATCH($A38,_xlfn.VSTACK(YES_Writing_ELA[Student Number],YES_Writing_FLA[Student Number]),0),MATCH(VLOOKUP(G$7,'Writing Logic'!$J$7:$K$11,2,FALSE)&amp;" - Per "&amp;VLOOKUP($C$4,'Writing Logic'!$G$8:$H$14,2,FALSE),YES_Writing_ELA[#Headers],0)))),"")</f>
        <v/>
      </c>
      <c r="H38" s="223" t="str">
        <f>IFERROR(IF(IF(INDEX(_xlfn.VSTACK(YES_Writing_ELA[#Data],YES_Writing_FLA[#Data]),MATCH($A38,_xlfn.VSTACK(YES_Writing_ELA[Student Number],YES_Writing_FLA[Student Number]),0),MATCH(VLOOKUP(H$7,'Writing Logic'!$J$7:$K$11,2,FALSE)&amp;" - Per "&amp;VLOOKUP($C$4,'Writing Logic'!$G$8:$H$14,2,FALSE),YES_Writing_ELA[#Headers],0))=0,"",INDEX(_xlfn.VSTACK(YES_Writing_ELA[#Data],YES_Writing_FLA[#Data]),MATCH($A38,_xlfn.VSTACK(YES_Writing_ELA[Student Number],YES_Writing_FLA[Student Number]),0),MATCH(VLOOKUP(H$7,'Writing Logic'!$J$7:$K$11,2,FALSE)&amp;" - Per "&amp;VLOOKUP($C$4,'Writing Logic'!$G$8:$H$14,2,FALSE),YES_Writing_ELA[#Headers],0)))="INS",'Writing Logic'!$B$7,IF(INDEX(_xlfn.VSTACK(YES_Writing_ELA[#Data],YES_Writing_FLA[#Data]),MATCH($A38,_xlfn.VSTACK(YES_Writing_ELA[Student Number],YES_Writing_FLA[Student Number]),0),MATCH(VLOOKUP(H$7,'Writing Logic'!$J$7:$K$11,2,FALSE)&amp;" - Per "&amp;VLOOKUP($C$4,'Writing Logic'!$G$8:$H$14,2,FALSE),YES_Writing_ELA[#Headers],0))=0,"",INDEX(_xlfn.VSTACK(YES_Writing_ELA[#Data],YES_Writing_FLA[#Data]),MATCH($A38,_xlfn.VSTACK(YES_Writing_ELA[Student Number],YES_Writing_FLA[Student Number]),0),MATCH(VLOOKUP(H$7,'Writing Logic'!$J$7:$K$11,2,FALSE)&amp;" - Per "&amp;VLOOKUP($C$4,'Writing Logic'!$G$8:$H$14,2,FALSE),YES_Writing_ELA[#Headers],0)))),"")</f>
        <v/>
      </c>
      <c r="I38" s="224" t="str" cm="1">
        <f t="array" aca="1" ref="I38" ca="1">IFERROR(
IF($G$3="ELA",
IF(VLOOKUP($A38, YES_Reading_ELA[], COLUMN(INDIRECT("YES_Reading_ELA[Difference - Per "&amp;VLOOKUP($G$4, 'Reading Report Logic'!$A$2:$B$8, 2, FALSE)&amp;"]")), FALSE)="", "",
VLOOKUP($A38,YES_Reading_ELA[], COLUMN(INDIRECT("YES_Reading_ELA[Difference - Per "&amp;VLOOKUP($G$4,'Reading Report Logic'!$A$2:$B$8,2,FALSE)&amp;"]")), FALSE)),
IF($G$3="FLA",
IF(VLOOKUP($A38, YES_Reading_FLA[], COLUMN(INDIRECT("YES_Reading_FLA[Difference - Per "&amp;VLOOKUP($G$4,'Reading Report Logic'!$A$2:$B$8,2,FALSE)&amp;"]")),FALSE)="","",
VLOOKUP($A38,YES_Reading_FLA[],COLUMN(INDIRECT("YES_Reading_FLA[Difference - Per "&amp;VLOOKUP($G$4,'Reading Report Logic'!$A$2:$B$8,2,FALSE)&amp;"]")),FALSE)),
IF($G$3="Combined",
IFERROR(
IF(VLOOKUP($A38, YES_Reading_ELA[], COLUMN(INDIRECT("YES_Reading_ELA[Difference - Per "&amp;VLOOKUP($G$4, 'Reading Report Logic'!$A$2:$B$8,2,FALSE)&amp;"]")), FALSE)="", "",
VLOOKUP($A38,YES_Reading_ELA[],COLUMN(INDIRECT("YES_Reading_ELA[Difference - Per "&amp;VLOOKUP($G$4,'Reading Report Logic'!$A$2:$B$8,2,FALSE)&amp;"]")),FALSE)),
IF(VLOOKUP($A38, YES_Reading_FLA[], COLUMN(INDIRECT("YES_Reading_FLA[Difference - Per "&amp;VLOOKUP($G$4, 'Reading Report Logic'!$A$2:$B$8, 2, FALSE)&amp;"]")),FALSE)="", "", VLOOKUP($A38,YES_Reading_FLA[],COLUMN(INDIRECT("YES_Reading_FLA[Difference - Per "&amp;VLOOKUP($G$4, 'Reading Report Logic'!$A$2:$B$8, 2, FALSE)&amp;"]")),FALSE))),""))),"")</f>
        <v/>
      </c>
    </row>
    <row r="39" spans="1:15" ht="14.25" customHeight="1" x14ac:dyDescent="0.25">
      <c r="A39" s="137"/>
      <c r="B39" s="137" t="str">
        <f>IFERROR(INDEX(_xlfn.VSTACK(YES_Writing_ELA[#Data], YES_Writing_FLA[#Data]),MATCH($A39,_xlfn.VSTACK(YES_Writing_ELA[Student Number], YES_Writing_FLA[Student Number]),0),MATCH(B$7,YES_Writing_ELA[#Headers],0)),IFERROR(INDEX(_xlfn.VSTACK(YES_Reading_ELA[#Data], YES_Reading_FLA[#Data]),MATCH($A39,_xlfn.VSTACK(YES_Reading_ELA[Student Number], YES_Reading_FLA[Student Number]),0),MATCH(B$7,YES_Reading_ELA[#Headers],0)),""))</f>
        <v/>
      </c>
      <c r="C39" s="137" t="str">
        <f>IFERROR(INDEX(_xlfn.VSTACK(YES_Writing_ELA[#Data], YES_Writing_FLA[#Data]),MATCH($A39,_xlfn.VSTACK(YES_Writing_ELA[Student Number], YES_Writing_FLA[Student Number]),0),MATCH(C$7,YES_Writing_ELA[#Headers],0)),IFERROR(INDEX(_xlfn.VSTACK(YES_Reading_ELA[#Data], YES_Reading_FLA[#Data]),MATCH($A39,_xlfn.VSTACK(YES_Reading_ELA[Student Number], YES_Reading_FLA[Student Number]),0),MATCH(C$7,YES_Reading_ELA[#Headers],0)),""))</f>
        <v/>
      </c>
      <c r="D39" s="138" t="str">
        <f>IFERROR(IF(IF(INDEX(_xlfn.VSTACK(YES_Writing_ELA[#Data],YES_Writing_FLA[#Data]),MATCH($A39,_xlfn.VSTACK(YES_Writing_ELA[Student Number],YES_Writing_FLA[Student Number]),0),MATCH(VLOOKUP(D$7,'Writing Logic'!$J$7:$K$11,2,FALSE)&amp;" - Per "&amp;VLOOKUP($C$4,'Writing Logic'!$G$8:$H$14,2,FALSE),YES_Writing_ELA[#Headers],0))=0,"",INDEX(_xlfn.VSTACK(YES_Writing_ELA[#Data],YES_Writing_FLA[#Data]),MATCH($A39,_xlfn.VSTACK(YES_Writing_ELA[Student Number],YES_Writing_FLA[Student Number]),0),MATCH(VLOOKUP(D$7,'Writing Logic'!$J$7:$K$11,2,FALSE)&amp;" - Per "&amp;VLOOKUP($C$4,'Writing Logic'!$G$8:$H$14,2,FALSE),YES_Writing_ELA[#Headers],0)))="INS",'Writing Logic'!$B$7,IF(INDEX(_xlfn.VSTACK(YES_Writing_ELA[#Data],YES_Writing_FLA[#Data]),MATCH($A39,_xlfn.VSTACK(YES_Writing_ELA[Student Number],YES_Writing_FLA[Student Number]),0),MATCH(VLOOKUP(D$7,'Writing Logic'!$J$7:$K$11,2,FALSE)&amp;" - Per "&amp;VLOOKUP($C$4,'Writing Logic'!$G$8:$H$14,2,FALSE),YES_Writing_ELA[#Headers],0))=0,"",INDEX(_xlfn.VSTACK(YES_Writing_ELA[#Data],YES_Writing_FLA[#Data]),MATCH($A39,_xlfn.VSTACK(YES_Writing_ELA[Student Number],YES_Writing_FLA[Student Number]),0),MATCH(VLOOKUP(D$7,'Writing Logic'!$J$7:$K$11,2,FALSE)&amp;" - Per "&amp;VLOOKUP($C$4,'Writing Logic'!$G$8:$H$14,2,FALSE),YES_Writing_ELA[#Headers],0)))),"")</f>
        <v/>
      </c>
      <c r="E39" s="138" t="str">
        <f>IFERROR(IF(IF(INDEX(_xlfn.VSTACK(YES_Writing_ELA[#Data],YES_Writing_FLA[#Data]),MATCH($A39,_xlfn.VSTACK(YES_Writing_ELA[Student Number],YES_Writing_FLA[Student Number]),0),MATCH(VLOOKUP(E$7,'Writing Logic'!$J$7:$K$11,2,FALSE)&amp;" - Per "&amp;VLOOKUP($C$4,'Writing Logic'!$G$8:$H$14,2,FALSE),YES_Writing_ELA[#Headers],0))=0,"",INDEX(_xlfn.VSTACK(YES_Writing_ELA[#Data],YES_Writing_FLA[#Data]),MATCH($A39,_xlfn.VSTACK(YES_Writing_ELA[Student Number],YES_Writing_FLA[Student Number]),0),MATCH(VLOOKUP(E$7,'Writing Logic'!$J$7:$K$11,2,FALSE)&amp;" - Per "&amp;VLOOKUP($C$4,'Writing Logic'!$G$8:$H$14,2,FALSE),YES_Writing_ELA[#Headers],0)))="INS",'Writing Logic'!$B$7,IF(INDEX(_xlfn.VSTACK(YES_Writing_ELA[#Data],YES_Writing_FLA[#Data]),MATCH($A39,_xlfn.VSTACK(YES_Writing_ELA[Student Number],YES_Writing_FLA[Student Number]),0),MATCH(VLOOKUP(E$7,'Writing Logic'!$J$7:$K$11,2,FALSE)&amp;" - Per "&amp;VLOOKUP($C$4,'Writing Logic'!$G$8:$H$14,2,FALSE),YES_Writing_ELA[#Headers],0))=0,"",INDEX(_xlfn.VSTACK(YES_Writing_ELA[#Data],YES_Writing_FLA[#Data]),MATCH($A39,_xlfn.VSTACK(YES_Writing_ELA[Student Number],YES_Writing_FLA[Student Number]),0),MATCH(VLOOKUP(E$7,'Writing Logic'!$J$7:$K$11,2,FALSE)&amp;" - Per "&amp;VLOOKUP($C$4,'Writing Logic'!$G$8:$H$14,2,FALSE),YES_Writing_ELA[#Headers],0)))),"")</f>
        <v/>
      </c>
      <c r="F39" s="138" t="str">
        <f>IFERROR(IF(IF(INDEX(_xlfn.VSTACK(YES_Writing_ELA[#Data],YES_Writing_FLA[#Data]),MATCH($A39,_xlfn.VSTACK(YES_Writing_ELA[Student Number],YES_Writing_FLA[Student Number]),0),MATCH(VLOOKUP(F$7,'Writing Logic'!$J$7:$K$11,2,FALSE)&amp;" - Per "&amp;VLOOKUP($C$4,'Writing Logic'!$G$8:$H$14,2,FALSE),YES_Writing_ELA[#Headers],0))=0,"",INDEX(_xlfn.VSTACK(YES_Writing_ELA[#Data],YES_Writing_FLA[#Data]),MATCH($A39,_xlfn.VSTACK(YES_Writing_ELA[Student Number],YES_Writing_FLA[Student Number]),0),MATCH(VLOOKUP(F$7,'Writing Logic'!$J$7:$K$11,2,FALSE)&amp;" - Per "&amp;VLOOKUP($C$4,'Writing Logic'!$G$8:$H$14,2,FALSE),YES_Writing_ELA[#Headers],0)))="INS",'Writing Logic'!$B$7,IF(INDEX(_xlfn.VSTACK(YES_Writing_ELA[#Data],YES_Writing_FLA[#Data]),MATCH($A39,_xlfn.VSTACK(YES_Writing_ELA[Student Number],YES_Writing_FLA[Student Number]),0),MATCH(VLOOKUP(F$7,'Writing Logic'!$J$7:$K$11,2,FALSE)&amp;" - Per "&amp;VLOOKUP($C$4,'Writing Logic'!$G$8:$H$14,2,FALSE),YES_Writing_ELA[#Headers],0))=0,"",INDEX(_xlfn.VSTACK(YES_Writing_ELA[#Data],YES_Writing_FLA[#Data]),MATCH($A39,_xlfn.VSTACK(YES_Writing_ELA[Student Number],YES_Writing_FLA[Student Number]),0),MATCH(VLOOKUP(F$7,'Writing Logic'!$J$7:$K$11,2,FALSE)&amp;" - Per "&amp;VLOOKUP($C$4,'Writing Logic'!$G$8:$H$14,2,FALSE),YES_Writing_ELA[#Headers],0)))),"")</f>
        <v/>
      </c>
      <c r="G39" s="138" t="str">
        <f>IFERROR(IF(IF(INDEX(_xlfn.VSTACK(YES_Writing_ELA[#Data],YES_Writing_FLA[#Data]),MATCH($A39,_xlfn.VSTACK(YES_Writing_ELA[Student Number],YES_Writing_FLA[Student Number]),0),MATCH(VLOOKUP(G$7,'Writing Logic'!$J$7:$K$11,2,FALSE)&amp;" - Per "&amp;VLOOKUP($C$4,'Writing Logic'!$G$8:$H$14,2,FALSE),YES_Writing_ELA[#Headers],0))=0,"",INDEX(_xlfn.VSTACK(YES_Writing_ELA[#Data],YES_Writing_FLA[#Data]),MATCH($A39,_xlfn.VSTACK(YES_Writing_ELA[Student Number],YES_Writing_FLA[Student Number]),0),MATCH(VLOOKUP(G$7,'Writing Logic'!$J$7:$K$11,2,FALSE)&amp;" - Per "&amp;VLOOKUP($C$4,'Writing Logic'!$G$8:$H$14,2,FALSE),YES_Writing_ELA[#Headers],0)))="INS",'Writing Logic'!$B$7,IF(INDEX(_xlfn.VSTACK(YES_Writing_ELA[#Data],YES_Writing_FLA[#Data]),MATCH($A39,_xlfn.VSTACK(YES_Writing_ELA[Student Number],YES_Writing_FLA[Student Number]),0),MATCH(VLOOKUP(G$7,'Writing Logic'!$J$7:$K$11,2,FALSE)&amp;" - Per "&amp;VLOOKUP($C$4,'Writing Logic'!$G$8:$H$14,2,FALSE),YES_Writing_ELA[#Headers],0))=0,"",INDEX(_xlfn.VSTACK(YES_Writing_ELA[#Data],YES_Writing_FLA[#Data]),MATCH($A39,_xlfn.VSTACK(YES_Writing_ELA[Student Number],YES_Writing_FLA[Student Number]),0),MATCH(VLOOKUP(G$7,'Writing Logic'!$J$7:$K$11,2,FALSE)&amp;" - Per "&amp;VLOOKUP($C$4,'Writing Logic'!$G$8:$H$14,2,FALSE),YES_Writing_ELA[#Headers],0)))),"")</f>
        <v/>
      </c>
      <c r="H39" s="223" t="str">
        <f>IFERROR(IF(IF(INDEX(_xlfn.VSTACK(YES_Writing_ELA[#Data],YES_Writing_FLA[#Data]),MATCH($A39,_xlfn.VSTACK(YES_Writing_ELA[Student Number],YES_Writing_FLA[Student Number]),0),MATCH(VLOOKUP(H$7,'Writing Logic'!$J$7:$K$11,2,FALSE)&amp;" - Per "&amp;VLOOKUP($C$4,'Writing Logic'!$G$8:$H$14,2,FALSE),YES_Writing_ELA[#Headers],0))=0,"",INDEX(_xlfn.VSTACK(YES_Writing_ELA[#Data],YES_Writing_FLA[#Data]),MATCH($A39,_xlfn.VSTACK(YES_Writing_ELA[Student Number],YES_Writing_FLA[Student Number]),0),MATCH(VLOOKUP(H$7,'Writing Logic'!$J$7:$K$11,2,FALSE)&amp;" - Per "&amp;VLOOKUP($C$4,'Writing Logic'!$G$8:$H$14,2,FALSE),YES_Writing_ELA[#Headers],0)))="INS",'Writing Logic'!$B$7,IF(INDEX(_xlfn.VSTACK(YES_Writing_ELA[#Data],YES_Writing_FLA[#Data]),MATCH($A39,_xlfn.VSTACK(YES_Writing_ELA[Student Number],YES_Writing_FLA[Student Number]),0),MATCH(VLOOKUP(H$7,'Writing Logic'!$J$7:$K$11,2,FALSE)&amp;" - Per "&amp;VLOOKUP($C$4,'Writing Logic'!$G$8:$H$14,2,FALSE),YES_Writing_ELA[#Headers],0))=0,"",INDEX(_xlfn.VSTACK(YES_Writing_ELA[#Data],YES_Writing_FLA[#Data]),MATCH($A39,_xlfn.VSTACK(YES_Writing_ELA[Student Number],YES_Writing_FLA[Student Number]),0),MATCH(VLOOKUP(H$7,'Writing Logic'!$J$7:$K$11,2,FALSE)&amp;" - Per "&amp;VLOOKUP($C$4,'Writing Logic'!$G$8:$H$14,2,FALSE),YES_Writing_ELA[#Headers],0)))),"")</f>
        <v/>
      </c>
      <c r="I39" s="224" t="str" cm="1">
        <f t="array" aca="1" ref="I39" ca="1">IFERROR(
IF($G$3="ELA",
IF(VLOOKUP($A39, YES_Reading_ELA[], COLUMN(INDIRECT("YES_Reading_ELA[Difference - Per "&amp;VLOOKUP($G$4, 'Reading Report Logic'!$A$2:$B$8, 2, FALSE)&amp;"]")), FALSE)="", "",
VLOOKUP($A39,YES_Reading_ELA[], COLUMN(INDIRECT("YES_Reading_ELA[Difference - Per "&amp;VLOOKUP($G$4,'Reading Report Logic'!$A$2:$B$8,2,FALSE)&amp;"]")), FALSE)),
IF($G$3="FLA",
IF(VLOOKUP($A39, YES_Reading_FLA[], COLUMN(INDIRECT("YES_Reading_FLA[Difference - Per "&amp;VLOOKUP($G$4,'Reading Report Logic'!$A$2:$B$8,2,FALSE)&amp;"]")),FALSE)="","",
VLOOKUP($A39,YES_Reading_FLA[],COLUMN(INDIRECT("YES_Reading_FLA[Difference - Per "&amp;VLOOKUP($G$4,'Reading Report Logic'!$A$2:$B$8,2,FALSE)&amp;"]")),FALSE)),
IF($G$3="Combined",
IFERROR(
IF(VLOOKUP($A39, YES_Reading_ELA[], COLUMN(INDIRECT("YES_Reading_ELA[Difference - Per "&amp;VLOOKUP($G$4, 'Reading Report Logic'!$A$2:$B$8,2,FALSE)&amp;"]")), FALSE)="", "",
VLOOKUP($A39,YES_Reading_ELA[],COLUMN(INDIRECT("YES_Reading_ELA[Difference - Per "&amp;VLOOKUP($G$4,'Reading Report Logic'!$A$2:$B$8,2,FALSE)&amp;"]")),FALSE)),
IF(VLOOKUP($A39, YES_Reading_FLA[], COLUMN(INDIRECT("YES_Reading_FLA[Difference - Per "&amp;VLOOKUP($G$4, 'Reading Report Logic'!$A$2:$B$8, 2, FALSE)&amp;"]")),FALSE)="", "", VLOOKUP($A39,YES_Reading_FLA[],COLUMN(INDIRECT("YES_Reading_FLA[Difference - Per "&amp;VLOOKUP($G$4, 'Reading Report Logic'!$A$2:$B$8, 2, FALSE)&amp;"]")),FALSE))),""))),"")</f>
        <v/>
      </c>
    </row>
    <row r="40" spans="1:15" ht="14.25" customHeight="1" x14ac:dyDescent="0.25">
      <c r="A40" s="137"/>
      <c r="B40" s="137" t="str">
        <f>IFERROR(INDEX(_xlfn.VSTACK(YES_Writing_ELA[#Data], YES_Writing_FLA[#Data]),MATCH($A40,_xlfn.VSTACK(YES_Writing_ELA[Student Number], YES_Writing_FLA[Student Number]),0),MATCH(B$7,YES_Writing_ELA[#Headers],0)),IFERROR(INDEX(_xlfn.VSTACK(YES_Reading_ELA[#Data], YES_Reading_FLA[#Data]),MATCH($A40,_xlfn.VSTACK(YES_Reading_ELA[Student Number], YES_Reading_FLA[Student Number]),0),MATCH(B$7,YES_Reading_ELA[#Headers],0)),""))</f>
        <v/>
      </c>
      <c r="C40" s="137" t="str">
        <f>IFERROR(INDEX(_xlfn.VSTACK(YES_Writing_ELA[#Data], YES_Writing_FLA[#Data]),MATCH($A40,_xlfn.VSTACK(YES_Writing_ELA[Student Number], YES_Writing_FLA[Student Number]),0),MATCH(C$7,YES_Writing_ELA[#Headers],0)),IFERROR(INDEX(_xlfn.VSTACK(YES_Reading_ELA[#Data], YES_Reading_FLA[#Data]),MATCH($A40,_xlfn.VSTACK(YES_Reading_ELA[Student Number], YES_Reading_FLA[Student Number]),0),MATCH(C$7,YES_Reading_ELA[#Headers],0)),""))</f>
        <v/>
      </c>
      <c r="D40" s="138" t="str">
        <f>IFERROR(IF(IF(INDEX(_xlfn.VSTACK(YES_Writing_ELA[#Data],YES_Writing_FLA[#Data]),MATCH($A40,_xlfn.VSTACK(YES_Writing_ELA[Student Number],YES_Writing_FLA[Student Number]),0),MATCH(VLOOKUP(D$7,'Writing Logic'!$J$7:$K$11,2,FALSE)&amp;" - Per "&amp;VLOOKUP($C$4,'Writing Logic'!$G$8:$H$14,2,FALSE),YES_Writing_ELA[#Headers],0))=0,"",INDEX(_xlfn.VSTACK(YES_Writing_ELA[#Data],YES_Writing_FLA[#Data]),MATCH($A40,_xlfn.VSTACK(YES_Writing_ELA[Student Number],YES_Writing_FLA[Student Number]),0),MATCH(VLOOKUP(D$7,'Writing Logic'!$J$7:$K$11,2,FALSE)&amp;" - Per "&amp;VLOOKUP($C$4,'Writing Logic'!$G$8:$H$14,2,FALSE),YES_Writing_ELA[#Headers],0)))="INS",'Writing Logic'!$B$7,IF(INDEX(_xlfn.VSTACK(YES_Writing_ELA[#Data],YES_Writing_FLA[#Data]),MATCH($A40,_xlfn.VSTACK(YES_Writing_ELA[Student Number],YES_Writing_FLA[Student Number]),0),MATCH(VLOOKUP(D$7,'Writing Logic'!$J$7:$K$11,2,FALSE)&amp;" - Per "&amp;VLOOKUP($C$4,'Writing Logic'!$G$8:$H$14,2,FALSE),YES_Writing_ELA[#Headers],0))=0,"",INDEX(_xlfn.VSTACK(YES_Writing_ELA[#Data],YES_Writing_FLA[#Data]),MATCH($A40,_xlfn.VSTACK(YES_Writing_ELA[Student Number],YES_Writing_FLA[Student Number]),0),MATCH(VLOOKUP(D$7,'Writing Logic'!$J$7:$K$11,2,FALSE)&amp;" - Per "&amp;VLOOKUP($C$4,'Writing Logic'!$G$8:$H$14,2,FALSE),YES_Writing_ELA[#Headers],0)))),"")</f>
        <v/>
      </c>
      <c r="E40" s="138" t="str">
        <f>IFERROR(IF(IF(INDEX(_xlfn.VSTACK(YES_Writing_ELA[#Data],YES_Writing_FLA[#Data]),MATCH($A40,_xlfn.VSTACK(YES_Writing_ELA[Student Number],YES_Writing_FLA[Student Number]),0),MATCH(VLOOKUP(E$7,'Writing Logic'!$J$7:$K$11,2,FALSE)&amp;" - Per "&amp;VLOOKUP($C$4,'Writing Logic'!$G$8:$H$14,2,FALSE),YES_Writing_ELA[#Headers],0))=0,"",INDEX(_xlfn.VSTACK(YES_Writing_ELA[#Data],YES_Writing_FLA[#Data]),MATCH($A40,_xlfn.VSTACK(YES_Writing_ELA[Student Number],YES_Writing_FLA[Student Number]),0),MATCH(VLOOKUP(E$7,'Writing Logic'!$J$7:$K$11,2,FALSE)&amp;" - Per "&amp;VLOOKUP($C$4,'Writing Logic'!$G$8:$H$14,2,FALSE),YES_Writing_ELA[#Headers],0)))="INS",'Writing Logic'!$B$7,IF(INDEX(_xlfn.VSTACK(YES_Writing_ELA[#Data],YES_Writing_FLA[#Data]),MATCH($A40,_xlfn.VSTACK(YES_Writing_ELA[Student Number],YES_Writing_FLA[Student Number]),0),MATCH(VLOOKUP(E$7,'Writing Logic'!$J$7:$K$11,2,FALSE)&amp;" - Per "&amp;VLOOKUP($C$4,'Writing Logic'!$G$8:$H$14,2,FALSE),YES_Writing_ELA[#Headers],0))=0,"",INDEX(_xlfn.VSTACK(YES_Writing_ELA[#Data],YES_Writing_FLA[#Data]),MATCH($A40,_xlfn.VSTACK(YES_Writing_ELA[Student Number],YES_Writing_FLA[Student Number]),0),MATCH(VLOOKUP(E$7,'Writing Logic'!$J$7:$K$11,2,FALSE)&amp;" - Per "&amp;VLOOKUP($C$4,'Writing Logic'!$G$8:$H$14,2,FALSE),YES_Writing_ELA[#Headers],0)))),"")</f>
        <v/>
      </c>
      <c r="F40" s="138" t="str">
        <f>IFERROR(IF(IF(INDEX(_xlfn.VSTACK(YES_Writing_ELA[#Data],YES_Writing_FLA[#Data]),MATCH($A40,_xlfn.VSTACK(YES_Writing_ELA[Student Number],YES_Writing_FLA[Student Number]),0),MATCH(VLOOKUP(F$7,'Writing Logic'!$J$7:$K$11,2,FALSE)&amp;" - Per "&amp;VLOOKUP($C$4,'Writing Logic'!$G$8:$H$14,2,FALSE),YES_Writing_ELA[#Headers],0))=0,"",INDEX(_xlfn.VSTACK(YES_Writing_ELA[#Data],YES_Writing_FLA[#Data]),MATCH($A40,_xlfn.VSTACK(YES_Writing_ELA[Student Number],YES_Writing_FLA[Student Number]),0),MATCH(VLOOKUP(F$7,'Writing Logic'!$J$7:$K$11,2,FALSE)&amp;" - Per "&amp;VLOOKUP($C$4,'Writing Logic'!$G$8:$H$14,2,FALSE),YES_Writing_ELA[#Headers],0)))="INS",'Writing Logic'!$B$7,IF(INDEX(_xlfn.VSTACK(YES_Writing_ELA[#Data],YES_Writing_FLA[#Data]),MATCH($A40,_xlfn.VSTACK(YES_Writing_ELA[Student Number],YES_Writing_FLA[Student Number]),0),MATCH(VLOOKUP(F$7,'Writing Logic'!$J$7:$K$11,2,FALSE)&amp;" - Per "&amp;VLOOKUP($C$4,'Writing Logic'!$G$8:$H$14,2,FALSE),YES_Writing_ELA[#Headers],0))=0,"",INDEX(_xlfn.VSTACK(YES_Writing_ELA[#Data],YES_Writing_FLA[#Data]),MATCH($A40,_xlfn.VSTACK(YES_Writing_ELA[Student Number],YES_Writing_FLA[Student Number]),0),MATCH(VLOOKUP(F$7,'Writing Logic'!$J$7:$K$11,2,FALSE)&amp;" - Per "&amp;VLOOKUP($C$4,'Writing Logic'!$G$8:$H$14,2,FALSE),YES_Writing_ELA[#Headers],0)))),"")</f>
        <v/>
      </c>
      <c r="G40" s="138" t="str">
        <f>IFERROR(IF(IF(INDEX(_xlfn.VSTACK(YES_Writing_ELA[#Data],YES_Writing_FLA[#Data]),MATCH($A40,_xlfn.VSTACK(YES_Writing_ELA[Student Number],YES_Writing_FLA[Student Number]),0),MATCH(VLOOKUP(G$7,'Writing Logic'!$J$7:$K$11,2,FALSE)&amp;" - Per "&amp;VLOOKUP($C$4,'Writing Logic'!$G$8:$H$14,2,FALSE),YES_Writing_ELA[#Headers],0))=0,"",INDEX(_xlfn.VSTACK(YES_Writing_ELA[#Data],YES_Writing_FLA[#Data]),MATCH($A40,_xlfn.VSTACK(YES_Writing_ELA[Student Number],YES_Writing_FLA[Student Number]),0),MATCH(VLOOKUP(G$7,'Writing Logic'!$J$7:$K$11,2,FALSE)&amp;" - Per "&amp;VLOOKUP($C$4,'Writing Logic'!$G$8:$H$14,2,FALSE),YES_Writing_ELA[#Headers],0)))="INS",'Writing Logic'!$B$7,IF(INDEX(_xlfn.VSTACK(YES_Writing_ELA[#Data],YES_Writing_FLA[#Data]),MATCH($A40,_xlfn.VSTACK(YES_Writing_ELA[Student Number],YES_Writing_FLA[Student Number]),0),MATCH(VLOOKUP(G$7,'Writing Logic'!$J$7:$K$11,2,FALSE)&amp;" - Per "&amp;VLOOKUP($C$4,'Writing Logic'!$G$8:$H$14,2,FALSE),YES_Writing_ELA[#Headers],0))=0,"",INDEX(_xlfn.VSTACK(YES_Writing_ELA[#Data],YES_Writing_FLA[#Data]),MATCH($A40,_xlfn.VSTACK(YES_Writing_ELA[Student Number],YES_Writing_FLA[Student Number]),0),MATCH(VLOOKUP(G$7,'Writing Logic'!$J$7:$K$11,2,FALSE)&amp;" - Per "&amp;VLOOKUP($C$4,'Writing Logic'!$G$8:$H$14,2,FALSE),YES_Writing_ELA[#Headers],0)))),"")</f>
        <v/>
      </c>
      <c r="H40" s="223" t="str">
        <f>IFERROR(IF(IF(INDEX(_xlfn.VSTACK(YES_Writing_ELA[#Data],YES_Writing_FLA[#Data]),MATCH($A40,_xlfn.VSTACK(YES_Writing_ELA[Student Number],YES_Writing_FLA[Student Number]),0),MATCH(VLOOKUP(H$7,'Writing Logic'!$J$7:$K$11,2,FALSE)&amp;" - Per "&amp;VLOOKUP($C$4,'Writing Logic'!$G$8:$H$14,2,FALSE),YES_Writing_ELA[#Headers],0))=0,"",INDEX(_xlfn.VSTACK(YES_Writing_ELA[#Data],YES_Writing_FLA[#Data]),MATCH($A40,_xlfn.VSTACK(YES_Writing_ELA[Student Number],YES_Writing_FLA[Student Number]),0),MATCH(VLOOKUP(H$7,'Writing Logic'!$J$7:$K$11,2,FALSE)&amp;" - Per "&amp;VLOOKUP($C$4,'Writing Logic'!$G$8:$H$14,2,FALSE),YES_Writing_ELA[#Headers],0)))="INS",'Writing Logic'!$B$7,IF(INDEX(_xlfn.VSTACK(YES_Writing_ELA[#Data],YES_Writing_FLA[#Data]),MATCH($A40,_xlfn.VSTACK(YES_Writing_ELA[Student Number],YES_Writing_FLA[Student Number]),0),MATCH(VLOOKUP(H$7,'Writing Logic'!$J$7:$K$11,2,FALSE)&amp;" - Per "&amp;VLOOKUP($C$4,'Writing Logic'!$G$8:$H$14,2,FALSE),YES_Writing_ELA[#Headers],0))=0,"",INDEX(_xlfn.VSTACK(YES_Writing_ELA[#Data],YES_Writing_FLA[#Data]),MATCH($A40,_xlfn.VSTACK(YES_Writing_ELA[Student Number],YES_Writing_FLA[Student Number]),0),MATCH(VLOOKUP(H$7,'Writing Logic'!$J$7:$K$11,2,FALSE)&amp;" - Per "&amp;VLOOKUP($C$4,'Writing Logic'!$G$8:$H$14,2,FALSE),YES_Writing_ELA[#Headers],0)))),"")</f>
        <v/>
      </c>
      <c r="I40" s="224" t="str" cm="1">
        <f t="array" aca="1" ref="I40" ca="1">IFERROR(
IF($G$3="ELA",
IF(VLOOKUP($A40, YES_Reading_ELA[], COLUMN(INDIRECT("YES_Reading_ELA[Difference - Per "&amp;VLOOKUP($G$4, 'Reading Report Logic'!$A$2:$B$8, 2, FALSE)&amp;"]")), FALSE)="", "",
VLOOKUP($A40,YES_Reading_ELA[], COLUMN(INDIRECT("YES_Reading_ELA[Difference - Per "&amp;VLOOKUP($G$4,'Reading Report Logic'!$A$2:$B$8,2,FALSE)&amp;"]")), FALSE)),
IF($G$3="FLA",
IF(VLOOKUP($A40, YES_Reading_FLA[], COLUMN(INDIRECT("YES_Reading_FLA[Difference - Per "&amp;VLOOKUP($G$4,'Reading Report Logic'!$A$2:$B$8,2,FALSE)&amp;"]")),FALSE)="","",
VLOOKUP($A40,YES_Reading_FLA[],COLUMN(INDIRECT("YES_Reading_FLA[Difference - Per "&amp;VLOOKUP($G$4,'Reading Report Logic'!$A$2:$B$8,2,FALSE)&amp;"]")),FALSE)),
IF($G$3="Combined",
IFERROR(
IF(VLOOKUP($A40, YES_Reading_ELA[], COLUMN(INDIRECT("YES_Reading_ELA[Difference - Per "&amp;VLOOKUP($G$4, 'Reading Report Logic'!$A$2:$B$8,2,FALSE)&amp;"]")), FALSE)="", "",
VLOOKUP($A40,YES_Reading_ELA[],COLUMN(INDIRECT("YES_Reading_ELA[Difference - Per "&amp;VLOOKUP($G$4,'Reading Report Logic'!$A$2:$B$8,2,FALSE)&amp;"]")),FALSE)),
IF(VLOOKUP($A40, YES_Reading_FLA[], COLUMN(INDIRECT("YES_Reading_FLA[Difference - Per "&amp;VLOOKUP($G$4, 'Reading Report Logic'!$A$2:$B$8, 2, FALSE)&amp;"]")),FALSE)="", "", VLOOKUP($A40,YES_Reading_FLA[],COLUMN(INDIRECT("YES_Reading_FLA[Difference - Per "&amp;VLOOKUP($G$4, 'Reading Report Logic'!$A$2:$B$8, 2, FALSE)&amp;"]")),FALSE))),""))),"")</f>
        <v/>
      </c>
    </row>
    <row r="41" spans="1:15" ht="14.25" customHeight="1" x14ac:dyDescent="0.25">
      <c r="A41" s="137"/>
      <c r="B41" s="137" t="str">
        <f>IFERROR(INDEX(_xlfn.VSTACK(YES_Writing_ELA[#Data], YES_Writing_FLA[#Data]),MATCH($A41,_xlfn.VSTACK(YES_Writing_ELA[Student Number], YES_Writing_FLA[Student Number]),0),MATCH(B$7,YES_Writing_ELA[#Headers],0)),IFERROR(INDEX(_xlfn.VSTACK(YES_Reading_ELA[#Data], YES_Reading_FLA[#Data]),MATCH($A41,_xlfn.VSTACK(YES_Reading_ELA[Student Number], YES_Reading_FLA[Student Number]),0),MATCH(B$7,YES_Reading_ELA[#Headers],0)),""))</f>
        <v/>
      </c>
      <c r="C41" s="137" t="str">
        <f>IFERROR(INDEX(_xlfn.VSTACK(YES_Writing_ELA[#Data], YES_Writing_FLA[#Data]),MATCH($A41,_xlfn.VSTACK(YES_Writing_ELA[Student Number], YES_Writing_FLA[Student Number]),0),MATCH(C$7,YES_Writing_ELA[#Headers],0)),IFERROR(INDEX(_xlfn.VSTACK(YES_Reading_ELA[#Data], YES_Reading_FLA[#Data]),MATCH($A41,_xlfn.VSTACK(YES_Reading_ELA[Student Number], YES_Reading_FLA[Student Number]),0),MATCH(C$7,YES_Reading_ELA[#Headers],0)),""))</f>
        <v/>
      </c>
      <c r="D41" s="138" t="str">
        <f>IFERROR(IF(IF(INDEX(_xlfn.VSTACK(YES_Writing_ELA[#Data],YES_Writing_FLA[#Data]),MATCH($A41,_xlfn.VSTACK(YES_Writing_ELA[Student Number],YES_Writing_FLA[Student Number]),0),MATCH(VLOOKUP(D$7,'Writing Logic'!$J$7:$K$11,2,FALSE)&amp;" - Per "&amp;VLOOKUP($C$4,'Writing Logic'!$G$8:$H$14,2,FALSE),YES_Writing_ELA[#Headers],0))=0,"",INDEX(_xlfn.VSTACK(YES_Writing_ELA[#Data],YES_Writing_FLA[#Data]),MATCH($A41,_xlfn.VSTACK(YES_Writing_ELA[Student Number],YES_Writing_FLA[Student Number]),0),MATCH(VLOOKUP(D$7,'Writing Logic'!$J$7:$K$11,2,FALSE)&amp;" - Per "&amp;VLOOKUP($C$4,'Writing Logic'!$G$8:$H$14,2,FALSE),YES_Writing_ELA[#Headers],0)))="INS",'Writing Logic'!$B$7,IF(INDEX(_xlfn.VSTACK(YES_Writing_ELA[#Data],YES_Writing_FLA[#Data]),MATCH($A41,_xlfn.VSTACK(YES_Writing_ELA[Student Number],YES_Writing_FLA[Student Number]),0),MATCH(VLOOKUP(D$7,'Writing Logic'!$J$7:$K$11,2,FALSE)&amp;" - Per "&amp;VLOOKUP($C$4,'Writing Logic'!$G$8:$H$14,2,FALSE),YES_Writing_ELA[#Headers],0))=0,"",INDEX(_xlfn.VSTACK(YES_Writing_ELA[#Data],YES_Writing_FLA[#Data]),MATCH($A41,_xlfn.VSTACK(YES_Writing_ELA[Student Number],YES_Writing_FLA[Student Number]),0),MATCH(VLOOKUP(D$7,'Writing Logic'!$J$7:$K$11,2,FALSE)&amp;" - Per "&amp;VLOOKUP($C$4,'Writing Logic'!$G$8:$H$14,2,FALSE),YES_Writing_ELA[#Headers],0)))),"")</f>
        <v/>
      </c>
      <c r="E41" s="138" t="str">
        <f>IFERROR(IF(IF(INDEX(_xlfn.VSTACK(YES_Writing_ELA[#Data],YES_Writing_FLA[#Data]),MATCH($A41,_xlfn.VSTACK(YES_Writing_ELA[Student Number],YES_Writing_FLA[Student Number]),0),MATCH(VLOOKUP(E$7,'Writing Logic'!$J$7:$K$11,2,FALSE)&amp;" - Per "&amp;VLOOKUP($C$4,'Writing Logic'!$G$8:$H$14,2,FALSE),YES_Writing_ELA[#Headers],0))=0,"",INDEX(_xlfn.VSTACK(YES_Writing_ELA[#Data],YES_Writing_FLA[#Data]),MATCH($A41,_xlfn.VSTACK(YES_Writing_ELA[Student Number],YES_Writing_FLA[Student Number]),0),MATCH(VLOOKUP(E$7,'Writing Logic'!$J$7:$K$11,2,FALSE)&amp;" - Per "&amp;VLOOKUP($C$4,'Writing Logic'!$G$8:$H$14,2,FALSE),YES_Writing_ELA[#Headers],0)))="INS",'Writing Logic'!$B$7,IF(INDEX(_xlfn.VSTACK(YES_Writing_ELA[#Data],YES_Writing_FLA[#Data]),MATCH($A41,_xlfn.VSTACK(YES_Writing_ELA[Student Number],YES_Writing_FLA[Student Number]),0),MATCH(VLOOKUP(E$7,'Writing Logic'!$J$7:$K$11,2,FALSE)&amp;" - Per "&amp;VLOOKUP($C$4,'Writing Logic'!$G$8:$H$14,2,FALSE),YES_Writing_ELA[#Headers],0))=0,"",INDEX(_xlfn.VSTACK(YES_Writing_ELA[#Data],YES_Writing_FLA[#Data]),MATCH($A41,_xlfn.VSTACK(YES_Writing_ELA[Student Number],YES_Writing_FLA[Student Number]),0),MATCH(VLOOKUP(E$7,'Writing Logic'!$J$7:$K$11,2,FALSE)&amp;" - Per "&amp;VLOOKUP($C$4,'Writing Logic'!$G$8:$H$14,2,FALSE),YES_Writing_ELA[#Headers],0)))),"")</f>
        <v/>
      </c>
      <c r="F41" s="138" t="str">
        <f>IFERROR(IF(IF(INDEX(_xlfn.VSTACK(YES_Writing_ELA[#Data],YES_Writing_FLA[#Data]),MATCH($A41,_xlfn.VSTACK(YES_Writing_ELA[Student Number],YES_Writing_FLA[Student Number]),0),MATCH(VLOOKUP(F$7,'Writing Logic'!$J$7:$K$11,2,FALSE)&amp;" - Per "&amp;VLOOKUP($C$4,'Writing Logic'!$G$8:$H$14,2,FALSE),YES_Writing_ELA[#Headers],0))=0,"",INDEX(_xlfn.VSTACK(YES_Writing_ELA[#Data],YES_Writing_FLA[#Data]),MATCH($A41,_xlfn.VSTACK(YES_Writing_ELA[Student Number],YES_Writing_FLA[Student Number]),0),MATCH(VLOOKUP(F$7,'Writing Logic'!$J$7:$K$11,2,FALSE)&amp;" - Per "&amp;VLOOKUP($C$4,'Writing Logic'!$G$8:$H$14,2,FALSE),YES_Writing_ELA[#Headers],0)))="INS",'Writing Logic'!$B$7,IF(INDEX(_xlfn.VSTACK(YES_Writing_ELA[#Data],YES_Writing_FLA[#Data]),MATCH($A41,_xlfn.VSTACK(YES_Writing_ELA[Student Number],YES_Writing_FLA[Student Number]),0),MATCH(VLOOKUP(F$7,'Writing Logic'!$J$7:$K$11,2,FALSE)&amp;" - Per "&amp;VLOOKUP($C$4,'Writing Logic'!$G$8:$H$14,2,FALSE),YES_Writing_ELA[#Headers],0))=0,"",INDEX(_xlfn.VSTACK(YES_Writing_ELA[#Data],YES_Writing_FLA[#Data]),MATCH($A41,_xlfn.VSTACK(YES_Writing_ELA[Student Number],YES_Writing_FLA[Student Number]),0),MATCH(VLOOKUP(F$7,'Writing Logic'!$J$7:$K$11,2,FALSE)&amp;" - Per "&amp;VLOOKUP($C$4,'Writing Logic'!$G$8:$H$14,2,FALSE),YES_Writing_ELA[#Headers],0)))),"")</f>
        <v/>
      </c>
      <c r="G41" s="138" t="str">
        <f>IFERROR(IF(IF(INDEX(_xlfn.VSTACK(YES_Writing_ELA[#Data],YES_Writing_FLA[#Data]),MATCH($A41,_xlfn.VSTACK(YES_Writing_ELA[Student Number],YES_Writing_FLA[Student Number]),0),MATCH(VLOOKUP(G$7,'Writing Logic'!$J$7:$K$11,2,FALSE)&amp;" - Per "&amp;VLOOKUP($C$4,'Writing Logic'!$G$8:$H$14,2,FALSE),YES_Writing_ELA[#Headers],0))=0,"",INDEX(_xlfn.VSTACK(YES_Writing_ELA[#Data],YES_Writing_FLA[#Data]),MATCH($A41,_xlfn.VSTACK(YES_Writing_ELA[Student Number],YES_Writing_FLA[Student Number]),0),MATCH(VLOOKUP(G$7,'Writing Logic'!$J$7:$K$11,2,FALSE)&amp;" - Per "&amp;VLOOKUP($C$4,'Writing Logic'!$G$8:$H$14,2,FALSE),YES_Writing_ELA[#Headers],0)))="INS",'Writing Logic'!$B$7,IF(INDEX(_xlfn.VSTACK(YES_Writing_ELA[#Data],YES_Writing_FLA[#Data]),MATCH($A41,_xlfn.VSTACK(YES_Writing_ELA[Student Number],YES_Writing_FLA[Student Number]),0),MATCH(VLOOKUP(G$7,'Writing Logic'!$J$7:$K$11,2,FALSE)&amp;" - Per "&amp;VLOOKUP($C$4,'Writing Logic'!$G$8:$H$14,2,FALSE),YES_Writing_ELA[#Headers],0))=0,"",INDEX(_xlfn.VSTACK(YES_Writing_ELA[#Data],YES_Writing_FLA[#Data]),MATCH($A41,_xlfn.VSTACK(YES_Writing_ELA[Student Number],YES_Writing_FLA[Student Number]),0),MATCH(VLOOKUP(G$7,'Writing Logic'!$J$7:$K$11,2,FALSE)&amp;" - Per "&amp;VLOOKUP($C$4,'Writing Logic'!$G$8:$H$14,2,FALSE),YES_Writing_ELA[#Headers],0)))),"")</f>
        <v/>
      </c>
      <c r="H41" s="223" t="str">
        <f>IFERROR(IF(IF(INDEX(_xlfn.VSTACK(YES_Writing_ELA[#Data],YES_Writing_FLA[#Data]),MATCH($A41,_xlfn.VSTACK(YES_Writing_ELA[Student Number],YES_Writing_FLA[Student Number]),0),MATCH(VLOOKUP(H$7,'Writing Logic'!$J$7:$K$11,2,FALSE)&amp;" - Per "&amp;VLOOKUP($C$4,'Writing Logic'!$G$8:$H$14,2,FALSE),YES_Writing_ELA[#Headers],0))=0,"",INDEX(_xlfn.VSTACK(YES_Writing_ELA[#Data],YES_Writing_FLA[#Data]),MATCH($A41,_xlfn.VSTACK(YES_Writing_ELA[Student Number],YES_Writing_FLA[Student Number]),0),MATCH(VLOOKUP(H$7,'Writing Logic'!$J$7:$K$11,2,FALSE)&amp;" - Per "&amp;VLOOKUP($C$4,'Writing Logic'!$G$8:$H$14,2,FALSE),YES_Writing_ELA[#Headers],0)))="INS",'Writing Logic'!$B$7,IF(INDEX(_xlfn.VSTACK(YES_Writing_ELA[#Data],YES_Writing_FLA[#Data]),MATCH($A41,_xlfn.VSTACK(YES_Writing_ELA[Student Number],YES_Writing_FLA[Student Number]),0),MATCH(VLOOKUP(H$7,'Writing Logic'!$J$7:$K$11,2,FALSE)&amp;" - Per "&amp;VLOOKUP($C$4,'Writing Logic'!$G$8:$H$14,2,FALSE),YES_Writing_ELA[#Headers],0))=0,"",INDEX(_xlfn.VSTACK(YES_Writing_ELA[#Data],YES_Writing_FLA[#Data]),MATCH($A41,_xlfn.VSTACK(YES_Writing_ELA[Student Number],YES_Writing_FLA[Student Number]),0),MATCH(VLOOKUP(H$7,'Writing Logic'!$J$7:$K$11,2,FALSE)&amp;" - Per "&amp;VLOOKUP($C$4,'Writing Logic'!$G$8:$H$14,2,FALSE),YES_Writing_ELA[#Headers],0)))),"")</f>
        <v/>
      </c>
      <c r="I41" s="224" t="str" cm="1">
        <f t="array" aca="1" ref="I41" ca="1">IFERROR(
IF($G$3="ELA",
IF(VLOOKUP($A41, YES_Reading_ELA[], COLUMN(INDIRECT("YES_Reading_ELA[Difference - Per "&amp;VLOOKUP($G$4, 'Reading Report Logic'!$A$2:$B$8, 2, FALSE)&amp;"]")), FALSE)="", "",
VLOOKUP($A41,YES_Reading_ELA[], COLUMN(INDIRECT("YES_Reading_ELA[Difference - Per "&amp;VLOOKUP($G$4,'Reading Report Logic'!$A$2:$B$8,2,FALSE)&amp;"]")), FALSE)),
IF($G$3="FLA",
IF(VLOOKUP($A41, YES_Reading_FLA[], COLUMN(INDIRECT("YES_Reading_FLA[Difference - Per "&amp;VLOOKUP($G$4,'Reading Report Logic'!$A$2:$B$8,2,FALSE)&amp;"]")),FALSE)="","",
VLOOKUP($A41,YES_Reading_FLA[],COLUMN(INDIRECT("YES_Reading_FLA[Difference - Per "&amp;VLOOKUP($G$4,'Reading Report Logic'!$A$2:$B$8,2,FALSE)&amp;"]")),FALSE)),
IF($G$3="Combined",
IFERROR(
IF(VLOOKUP($A41, YES_Reading_ELA[], COLUMN(INDIRECT("YES_Reading_ELA[Difference - Per "&amp;VLOOKUP($G$4, 'Reading Report Logic'!$A$2:$B$8,2,FALSE)&amp;"]")), FALSE)="", "",
VLOOKUP($A41,YES_Reading_ELA[],COLUMN(INDIRECT("YES_Reading_ELA[Difference - Per "&amp;VLOOKUP($G$4,'Reading Report Logic'!$A$2:$B$8,2,FALSE)&amp;"]")),FALSE)),
IF(VLOOKUP($A41, YES_Reading_FLA[], COLUMN(INDIRECT("YES_Reading_FLA[Difference - Per "&amp;VLOOKUP($G$4, 'Reading Report Logic'!$A$2:$B$8, 2, FALSE)&amp;"]")),FALSE)="", "", VLOOKUP($A41,YES_Reading_FLA[],COLUMN(INDIRECT("YES_Reading_FLA[Difference - Per "&amp;VLOOKUP($G$4, 'Reading Report Logic'!$A$2:$B$8, 2, FALSE)&amp;"]")),FALSE))),""))),"")</f>
        <v/>
      </c>
    </row>
    <row r="42" spans="1:15" ht="14.25" customHeight="1" x14ac:dyDescent="0.25">
      <c r="A42" s="137"/>
      <c r="B42" s="137" t="str">
        <f>IFERROR(INDEX(_xlfn.VSTACK(YES_Writing_ELA[#Data], YES_Writing_FLA[#Data]),MATCH($A42,_xlfn.VSTACK(YES_Writing_ELA[Student Number], YES_Writing_FLA[Student Number]),0),MATCH(B$7,YES_Writing_ELA[#Headers],0)),IFERROR(INDEX(_xlfn.VSTACK(YES_Reading_ELA[#Data], YES_Reading_FLA[#Data]),MATCH($A42,_xlfn.VSTACK(YES_Reading_ELA[Student Number], YES_Reading_FLA[Student Number]),0),MATCH(B$7,YES_Reading_ELA[#Headers],0)),""))</f>
        <v/>
      </c>
      <c r="C42" s="137" t="str">
        <f>IFERROR(INDEX(_xlfn.VSTACK(YES_Writing_ELA[#Data], YES_Writing_FLA[#Data]),MATCH($A42,_xlfn.VSTACK(YES_Writing_ELA[Student Number], YES_Writing_FLA[Student Number]),0),MATCH(C$7,YES_Writing_ELA[#Headers],0)),IFERROR(INDEX(_xlfn.VSTACK(YES_Reading_ELA[#Data], YES_Reading_FLA[#Data]),MATCH($A42,_xlfn.VSTACK(YES_Reading_ELA[Student Number], YES_Reading_FLA[Student Number]),0),MATCH(C$7,YES_Reading_ELA[#Headers],0)),""))</f>
        <v/>
      </c>
      <c r="D42" s="138" t="str">
        <f>IFERROR(IF(IF(INDEX(_xlfn.VSTACK(YES_Writing_ELA[#Data],YES_Writing_FLA[#Data]),MATCH($A42,_xlfn.VSTACK(YES_Writing_ELA[Student Number],YES_Writing_FLA[Student Number]),0),MATCH(VLOOKUP(D$7,'Writing Logic'!$J$7:$K$11,2,FALSE)&amp;" - Per "&amp;VLOOKUP($C$4,'Writing Logic'!$G$8:$H$14,2,FALSE),YES_Writing_ELA[#Headers],0))=0,"",INDEX(_xlfn.VSTACK(YES_Writing_ELA[#Data],YES_Writing_FLA[#Data]),MATCH($A42,_xlfn.VSTACK(YES_Writing_ELA[Student Number],YES_Writing_FLA[Student Number]),0),MATCH(VLOOKUP(D$7,'Writing Logic'!$J$7:$K$11,2,FALSE)&amp;" - Per "&amp;VLOOKUP($C$4,'Writing Logic'!$G$8:$H$14,2,FALSE),YES_Writing_ELA[#Headers],0)))="INS",'Writing Logic'!$B$7,IF(INDEX(_xlfn.VSTACK(YES_Writing_ELA[#Data],YES_Writing_FLA[#Data]),MATCH($A42,_xlfn.VSTACK(YES_Writing_ELA[Student Number],YES_Writing_FLA[Student Number]),0),MATCH(VLOOKUP(D$7,'Writing Logic'!$J$7:$K$11,2,FALSE)&amp;" - Per "&amp;VLOOKUP($C$4,'Writing Logic'!$G$8:$H$14,2,FALSE),YES_Writing_ELA[#Headers],0))=0,"",INDEX(_xlfn.VSTACK(YES_Writing_ELA[#Data],YES_Writing_FLA[#Data]),MATCH($A42,_xlfn.VSTACK(YES_Writing_ELA[Student Number],YES_Writing_FLA[Student Number]),0),MATCH(VLOOKUP(D$7,'Writing Logic'!$J$7:$K$11,2,FALSE)&amp;" - Per "&amp;VLOOKUP($C$4,'Writing Logic'!$G$8:$H$14,2,FALSE),YES_Writing_ELA[#Headers],0)))),"")</f>
        <v/>
      </c>
      <c r="E42" s="138" t="str">
        <f>IFERROR(IF(IF(INDEX(_xlfn.VSTACK(YES_Writing_ELA[#Data],YES_Writing_FLA[#Data]),MATCH($A42,_xlfn.VSTACK(YES_Writing_ELA[Student Number],YES_Writing_FLA[Student Number]),0),MATCH(VLOOKUP(E$7,'Writing Logic'!$J$7:$K$11,2,FALSE)&amp;" - Per "&amp;VLOOKUP($C$4,'Writing Logic'!$G$8:$H$14,2,FALSE),YES_Writing_ELA[#Headers],0))=0,"",INDEX(_xlfn.VSTACK(YES_Writing_ELA[#Data],YES_Writing_FLA[#Data]),MATCH($A42,_xlfn.VSTACK(YES_Writing_ELA[Student Number],YES_Writing_FLA[Student Number]),0),MATCH(VLOOKUP(E$7,'Writing Logic'!$J$7:$K$11,2,FALSE)&amp;" - Per "&amp;VLOOKUP($C$4,'Writing Logic'!$G$8:$H$14,2,FALSE),YES_Writing_ELA[#Headers],0)))="INS",'Writing Logic'!$B$7,IF(INDEX(_xlfn.VSTACK(YES_Writing_ELA[#Data],YES_Writing_FLA[#Data]),MATCH($A42,_xlfn.VSTACK(YES_Writing_ELA[Student Number],YES_Writing_FLA[Student Number]),0),MATCH(VLOOKUP(E$7,'Writing Logic'!$J$7:$K$11,2,FALSE)&amp;" - Per "&amp;VLOOKUP($C$4,'Writing Logic'!$G$8:$H$14,2,FALSE),YES_Writing_ELA[#Headers],0))=0,"",INDEX(_xlfn.VSTACK(YES_Writing_ELA[#Data],YES_Writing_FLA[#Data]),MATCH($A42,_xlfn.VSTACK(YES_Writing_ELA[Student Number],YES_Writing_FLA[Student Number]),0),MATCH(VLOOKUP(E$7,'Writing Logic'!$J$7:$K$11,2,FALSE)&amp;" - Per "&amp;VLOOKUP($C$4,'Writing Logic'!$G$8:$H$14,2,FALSE),YES_Writing_ELA[#Headers],0)))),"")</f>
        <v/>
      </c>
      <c r="F42" s="138" t="str">
        <f>IFERROR(IF(IF(INDEX(_xlfn.VSTACK(YES_Writing_ELA[#Data],YES_Writing_FLA[#Data]),MATCH($A42,_xlfn.VSTACK(YES_Writing_ELA[Student Number],YES_Writing_FLA[Student Number]),0),MATCH(VLOOKUP(F$7,'Writing Logic'!$J$7:$K$11,2,FALSE)&amp;" - Per "&amp;VLOOKUP($C$4,'Writing Logic'!$G$8:$H$14,2,FALSE),YES_Writing_ELA[#Headers],0))=0,"",INDEX(_xlfn.VSTACK(YES_Writing_ELA[#Data],YES_Writing_FLA[#Data]),MATCH($A42,_xlfn.VSTACK(YES_Writing_ELA[Student Number],YES_Writing_FLA[Student Number]),0),MATCH(VLOOKUP(F$7,'Writing Logic'!$J$7:$K$11,2,FALSE)&amp;" - Per "&amp;VLOOKUP($C$4,'Writing Logic'!$G$8:$H$14,2,FALSE),YES_Writing_ELA[#Headers],0)))="INS",'Writing Logic'!$B$7,IF(INDEX(_xlfn.VSTACK(YES_Writing_ELA[#Data],YES_Writing_FLA[#Data]),MATCH($A42,_xlfn.VSTACK(YES_Writing_ELA[Student Number],YES_Writing_FLA[Student Number]),0),MATCH(VLOOKUP(F$7,'Writing Logic'!$J$7:$K$11,2,FALSE)&amp;" - Per "&amp;VLOOKUP($C$4,'Writing Logic'!$G$8:$H$14,2,FALSE),YES_Writing_ELA[#Headers],0))=0,"",INDEX(_xlfn.VSTACK(YES_Writing_ELA[#Data],YES_Writing_FLA[#Data]),MATCH($A42,_xlfn.VSTACK(YES_Writing_ELA[Student Number],YES_Writing_FLA[Student Number]),0),MATCH(VLOOKUP(F$7,'Writing Logic'!$J$7:$K$11,2,FALSE)&amp;" - Per "&amp;VLOOKUP($C$4,'Writing Logic'!$G$8:$H$14,2,FALSE),YES_Writing_ELA[#Headers],0)))),"")</f>
        <v/>
      </c>
      <c r="G42" s="138" t="str">
        <f>IFERROR(IF(IF(INDEX(_xlfn.VSTACK(YES_Writing_ELA[#Data],YES_Writing_FLA[#Data]),MATCH($A42,_xlfn.VSTACK(YES_Writing_ELA[Student Number],YES_Writing_FLA[Student Number]),0),MATCH(VLOOKUP(G$7,'Writing Logic'!$J$7:$K$11,2,FALSE)&amp;" - Per "&amp;VLOOKUP($C$4,'Writing Logic'!$G$8:$H$14,2,FALSE),YES_Writing_ELA[#Headers],0))=0,"",INDEX(_xlfn.VSTACK(YES_Writing_ELA[#Data],YES_Writing_FLA[#Data]),MATCH($A42,_xlfn.VSTACK(YES_Writing_ELA[Student Number],YES_Writing_FLA[Student Number]),0),MATCH(VLOOKUP(G$7,'Writing Logic'!$J$7:$K$11,2,FALSE)&amp;" - Per "&amp;VLOOKUP($C$4,'Writing Logic'!$G$8:$H$14,2,FALSE),YES_Writing_ELA[#Headers],0)))="INS",'Writing Logic'!$B$7,IF(INDEX(_xlfn.VSTACK(YES_Writing_ELA[#Data],YES_Writing_FLA[#Data]),MATCH($A42,_xlfn.VSTACK(YES_Writing_ELA[Student Number],YES_Writing_FLA[Student Number]),0),MATCH(VLOOKUP(G$7,'Writing Logic'!$J$7:$K$11,2,FALSE)&amp;" - Per "&amp;VLOOKUP($C$4,'Writing Logic'!$G$8:$H$14,2,FALSE),YES_Writing_ELA[#Headers],0))=0,"",INDEX(_xlfn.VSTACK(YES_Writing_ELA[#Data],YES_Writing_FLA[#Data]),MATCH($A42,_xlfn.VSTACK(YES_Writing_ELA[Student Number],YES_Writing_FLA[Student Number]),0),MATCH(VLOOKUP(G$7,'Writing Logic'!$J$7:$K$11,2,FALSE)&amp;" - Per "&amp;VLOOKUP($C$4,'Writing Logic'!$G$8:$H$14,2,FALSE),YES_Writing_ELA[#Headers],0)))),"")</f>
        <v/>
      </c>
      <c r="H42" s="223" t="str">
        <f>IFERROR(IF(IF(INDEX(_xlfn.VSTACK(YES_Writing_ELA[#Data],YES_Writing_FLA[#Data]),MATCH($A42,_xlfn.VSTACK(YES_Writing_ELA[Student Number],YES_Writing_FLA[Student Number]),0),MATCH(VLOOKUP(H$7,'Writing Logic'!$J$7:$K$11,2,FALSE)&amp;" - Per "&amp;VLOOKUP($C$4,'Writing Logic'!$G$8:$H$14,2,FALSE),YES_Writing_ELA[#Headers],0))=0,"",INDEX(_xlfn.VSTACK(YES_Writing_ELA[#Data],YES_Writing_FLA[#Data]),MATCH($A42,_xlfn.VSTACK(YES_Writing_ELA[Student Number],YES_Writing_FLA[Student Number]),0),MATCH(VLOOKUP(H$7,'Writing Logic'!$J$7:$K$11,2,FALSE)&amp;" - Per "&amp;VLOOKUP($C$4,'Writing Logic'!$G$8:$H$14,2,FALSE),YES_Writing_ELA[#Headers],0)))="INS",'Writing Logic'!$B$7,IF(INDEX(_xlfn.VSTACK(YES_Writing_ELA[#Data],YES_Writing_FLA[#Data]),MATCH($A42,_xlfn.VSTACK(YES_Writing_ELA[Student Number],YES_Writing_FLA[Student Number]),0),MATCH(VLOOKUP(H$7,'Writing Logic'!$J$7:$K$11,2,FALSE)&amp;" - Per "&amp;VLOOKUP($C$4,'Writing Logic'!$G$8:$H$14,2,FALSE),YES_Writing_ELA[#Headers],0))=0,"",INDEX(_xlfn.VSTACK(YES_Writing_ELA[#Data],YES_Writing_FLA[#Data]),MATCH($A42,_xlfn.VSTACK(YES_Writing_ELA[Student Number],YES_Writing_FLA[Student Number]),0),MATCH(VLOOKUP(H$7,'Writing Logic'!$J$7:$K$11,2,FALSE)&amp;" - Per "&amp;VLOOKUP($C$4,'Writing Logic'!$G$8:$H$14,2,FALSE),YES_Writing_ELA[#Headers],0)))),"")</f>
        <v/>
      </c>
      <c r="I42" s="224" t="str" cm="1">
        <f t="array" aca="1" ref="I42" ca="1">IFERROR(
IF($G$3="ELA",
IF(VLOOKUP($A42, YES_Reading_ELA[], COLUMN(INDIRECT("YES_Reading_ELA[Difference - Per "&amp;VLOOKUP($G$4, 'Reading Report Logic'!$A$2:$B$8, 2, FALSE)&amp;"]")), FALSE)="", "",
VLOOKUP($A42,YES_Reading_ELA[], COLUMN(INDIRECT("YES_Reading_ELA[Difference - Per "&amp;VLOOKUP($G$4,'Reading Report Logic'!$A$2:$B$8,2,FALSE)&amp;"]")), FALSE)),
IF($G$3="FLA",
IF(VLOOKUP($A42, YES_Reading_FLA[], COLUMN(INDIRECT("YES_Reading_FLA[Difference - Per "&amp;VLOOKUP($G$4,'Reading Report Logic'!$A$2:$B$8,2,FALSE)&amp;"]")),FALSE)="","",
VLOOKUP($A42,YES_Reading_FLA[],COLUMN(INDIRECT("YES_Reading_FLA[Difference - Per "&amp;VLOOKUP($G$4,'Reading Report Logic'!$A$2:$B$8,2,FALSE)&amp;"]")),FALSE)),
IF($G$3="Combined",
IFERROR(
IF(VLOOKUP($A42, YES_Reading_ELA[], COLUMN(INDIRECT("YES_Reading_ELA[Difference - Per "&amp;VLOOKUP($G$4, 'Reading Report Logic'!$A$2:$B$8,2,FALSE)&amp;"]")), FALSE)="", "",
VLOOKUP($A42,YES_Reading_ELA[],COLUMN(INDIRECT("YES_Reading_ELA[Difference - Per "&amp;VLOOKUP($G$4,'Reading Report Logic'!$A$2:$B$8,2,FALSE)&amp;"]")),FALSE)),
IF(VLOOKUP($A42, YES_Reading_FLA[], COLUMN(INDIRECT("YES_Reading_FLA[Difference - Per "&amp;VLOOKUP($G$4, 'Reading Report Logic'!$A$2:$B$8, 2, FALSE)&amp;"]")),FALSE)="", "", VLOOKUP($A42,YES_Reading_FLA[],COLUMN(INDIRECT("YES_Reading_FLA[Difference - Per "&amp;VLOOKUP($G$4, 'Reading Report Logic'!$A$2:$B$8, 2, FALSE)&amp;"]")),FALSE))),""))),"")</f>
        <v/>
      </c>
    </row>
    <row r="43" spans="1:15" ht="14.25" customHeight="1" x14ac:dyDescent="0.25">
      <c r="A43" s="137"/>
      <c r="B43" s="137" t="str">
        <f>IFERROR(INDEX(_xlfn.VSTACK(YES_Writing_ELA[#Data], YES_Writing_FLA[#Data]),MATCH($A43,_xlfn.VSTACK(YES_Writing_ELA[Student Number], YES_Writing_FLA[Student Number]),0),MATCH(B$7,YES_Writing_ELA[#Headers],0)),IFERROR(INDEX(_xlfn.VSTACK(YES_Reading_ELA[#Data], YES_Reading_FLA[#Data]),MATCH($A43,_xlfn.VSTACK(YES_Reading_ELA[Student Number], YES_Reading_FLA[Student Number]),0),MATCH(B$7,YES_Reading_ELA[#Headers],0)),""))</f>
        <v/>
      </c>
      <c r="C43" s="137" t="str">
        <f>IFERROR(INDEX(_xlfn.VSTACK(YES_Writing_ELA[#Data], YES_Writing_FLA[#Data]),MATCH($A43,_xlfn.VSTACK(YES_Writing_ELA[Student Number], YES_Writing_FLA[Student Number]),0),MATCH(C$7,YES_Writing_ELA[#Headers],0)),IFERROR(INDEX(_xlfn.VSTACK(YES_Reading_ELA[#Data], YES_Reading_FLA[#Data]),MATCH($A43,_xlfn.VSTACK(YES_Reading_ELA[Student Number], YES_Reading_FLA[Student Number]),0),MATCH(C$7,YES_Reading_ELA[#Headers],0)),""))</f>
        <v/>
      </c>
      <c r="D43" s="138" t="str">
        <f>IFERROR(IF(IF(INDEX(_xlfn.VSTACK(YES_Writing_ELA[#Data],YES_Writing_FLA[#Data]),MATCH($A43,_xlfn.VSTACK(YES_Writing_ELA[Student Number],YES_Writing_FLA[Student Number]),0),MATCH(VLOOKUP(D$7,'Writing Logic'!$J$7:$K$11,2,FALSE)&amp;" - Per "&amp;VLOOKUP($C$4,'Writing Logic'!$G$8:$H$14,2,FALSE),YES_Writing_ELA[#Headers],0))=0,"",INDEX(_xlfn.VSTACK(YES_Writing_ELA[#Data],YES_Writing_FLA[#Data]),MATCH($A43,_xlfn.VSTACK(YES_Writing_ELA[Student Number],YES_Writing_FLA[Student Number]),0),MATCH(VLOOKUP(D$7,'Writing Logic'!$J$7:$K$11,2,FALSE)&amp;" - Per "&amp;VLOOKUP($C$4,'Writing Logic'!$G$8:$H$14,2,FALSE),YES_Writing_ELA[#Headers],0)))="INS",'Writing Logic'!$B$7,IF(INDEX(_xlfn.VSTACK(YES_Writing_ELA[#Data],YES_Writing_FLA[#Data]),MATCH($A43,_xlfn.VSTACK(YES_Writing_ELA[Student Number],YES_Writing_FLA[Student Number]),0),MATCH(VLOOKUP(D$7,'Writing Logic'!$J$7:$K$11,2,FALSE)&amp;" - Per "&amp;VLOOKUP($C$4,'Writing Logic'!$G$8:$H$14,2,FALSE),YES_Writing_ELA[#Headers],0))=0,"",INDEX(_xlfn.VSTACK(YES_Writing_ELA[#Data],YES_Writing_FLA[#Data]),MATCH($A43,_xlfn.VSTACK(YES_Writing_ELA[Student Number],YES_Writing_FLA[Student Number]),0),MATCH(VLOOKUP(D$7,'Writing Logic'!$J$7:$K$11,2,FALSE)&amp;" - Per "&amp;VLOOKUP($C$4,'Writing Logic'!$G$8:$H$14,2,FALSE),YES_Writing_ELA[#Headers],0)))),"")</f>
        <v/>
      </c>
      <c r="E43" s="138" t="str">
        <f>IFERROR(IF(IF(INDEX(_xlfn.VSTACK(YES_Writing_ELA[#Data],YES_Writing_FLA[#Data]),MATCH($A43,_xlfn.VSTACK(YES_Writing_ELA[Student Number],YES_Writing_FLA[Student Number]),0),MATCH(VLOOKUP(E$7,'Writing Logic'!$J$7:$K$11,2,FALSE)&amp;" - Per "&amp;VLOOKUP($C$4,'Writing Logic'!$G$8:$H$14,2,FALSE),YES_Writing_ELA[#Headers],0))=0,"",INDEX(_xlfn.VSTACK(YES_Writing_ELA[#Data],YES_Writing_FLA[#Data]),MATCH($A43,_xlfn.VSTACK(YES_Writing_ELA[Student Number],YES_Writing_FLA[Student Number]),0),MATCH(VLOOKUP(E$7,'Writing Logic'!$J$7:$K$11,2,FALSE)&amp;" - Per "&amp;VLOOKUP($C$4,'Writing Logic'!$G$8:$H$14,2,FALSE),YES_Writing_ELA[#Headers],0)))="INS",'Writing Logic'!$B$7,IF(INDEX(_xlfn.VSTACK(YES_Writing_ELA[#Data],YES_Writing_FLA[#Data]),MATCH($A43,_xlfn.VSTACK(YES_Writing_ELA[Student Number],YES_Writing_FLA[Student Number]),0),MATCH(VLOOKUP(E$7,'Writing Logic'!$J$7:$K$11,2,FALSE)&amp;" - Per "&amp;VLOOKUP($C$4,'Writing Logic'!$G$8:$H$14,2,FALSE),YES_Writing_ELA[#Headers],0))=0,"",INDEX(_xlfn.VSTACK(YES_Writing_ELA[#Data],YES_Writing_FLA[#Data]),MATCH($A43,_xlfn.VSTACK(YES_Writing_ELA[Student Number],YES_Writing_FLA[Student Number]),0),MATCH(VLOOKUP(E$7,'Writing Logic'!$J$7:$K$11,2,FALSE)&amp;" - Per "&amp;VLOOKUP($C$4,'Writing Logic'!$G$8:$H$14,2,FALSE),YES_Writing_ELA[#Headers],0)))),"")</f>
        <v/>
      </c>
      <c r="F43" s="138" t="str">
        <f>IFERROR(IF(IF(INDEX(_xlfn.VSTACK(YES_Writing_ELA[#Data],YES_Writing_FLA[#Data]),MATCH($A43,_xlfn.VSTACK(YES_Writing_ELA[Student Number],YES_Writing_FLA[Student Number]),0),MATCH(VLOOKUP(F$7,'Writing Logic'!$J$7:$K$11,2,FALSE)&amp;" - Per "&amp;VLOOKUP($C$4,'Writing Logic'!$G$8:$H$14,2,FALSE),YES_Writing_ELA[#Headers],0))=0,"",INDEX(_xlfn.VSTACK(YES_Writing_ELA[#Data],YES_Writing_FLA[#Data]),MATCH($A43,_xlfn.VSTACK(YES_Writing_ELA[Student Number],YES_Writing_FLA[Student Number]),0),MATCH(VLOOKUP(F$7,'Writing Logic'!$J$7:$K$11,2,FALSE)&amp;" - Per "&amp;VLOOKUP($C$4,'Writing Logic'!$G$8:$H$14,2,FALSE),YES_Writing_ELA[#Headers],0)))="INS",'Writing Logic'!$B$7,IF(INDEX(_xlfn.VSTACK(YES_Writing_ELA[#Data],YES_Writing_FLA[#Data]),MATCH($A43,_xlfn.VSTACK(YES_Writing_ELA[Student Number],YES_Writing_FLA[Student Number]),0),MATCH(VLOOKUP(F$7,'Writing Logic'!$J$7:$K$11,2,FALSE)&amp;" - Per "&amp;VLOOKUP($C$4,'Writing Logic'!$G$8:$H$14,2,FALSE),YES_Writing_ELA[#Headers],0))=0,"",INDEX(_xlfn.VSTACK(YES_Writing_ELA[#Data],YES_Writing_FLA[#Data]),MATCH($A43,_xlfn.VSTACK(YES_Writing_ELA[Student Number],YES_Writing_FLA[Student Number]),0),MATCH(VLOOKUP(F$7,'Writing Logic'!$J$7:$K$11,2,FALSE)&amp;" - Per "&amp;VLOOKUP($C$4,'Writing Logic'!$G$8:$H$14,2,FALSE),YES_Writing_ELA[#Headers],0)))),"")</f>
        <v/>
      </c>
      <c r="G43" s="138" t="str">
        <f>IFERROR(IF(IF(INDEX(_xlfn.VSTACK(YES_Writing_ELA[#Data],YES_Writing_FLA[#Data]),MATCH($A43,_xlfn.VSTACK(YES_Writing_ELA[Student Number],YES_Writing_FLA[Student Number]),0),MATCH(VLOOKUP(G$7,'Writing Logic'!$J$7:$K$11,2,FALSE)&amp;" - Per "&amp;VLOOKUP($C$4,'Writing Logic'!$G$8:$H$14,2,FALSE),YES_Writing_ELA[#Headers],0))=0,"",INDEX(_xlfn.VSTACK(YES_Writing_ELA[#Data],YES_Writing_FLA[#Data]),MATCH($A43,_xlfn.VSTACK(YES_Writing_ELA[Student Number],YES_Writing_FLA[Student Number]),0),MATCH(VLOOKUP(G$7,'Writing Logic'!$J$7:$K$11,2,FALSE)&amp;" - Per "&amp;VLOOKUP($C$4,'Writing Logic'!$G$8:$H$14,2,FALSE),YES_Writing_ELA[#Headers],0)))="INS",'Writing Logic'!$B$7,IF(INDEX(_xlfn.VSTACK(YES_Writing_ELA[#Data],YES_Writing_FLA[#Data]),MATCH($A43,_xlfn.VSTACK(YES_Writing_ELA[Student Number],YES_Writing_FLA[Student Number]),0),MATCH(VLOOKUP(G$7,'Writing Logic'!$J$7:$K$11,2,FALSE)&amp;" - Per "&amp;VLOOKUP($C$4,'Writing Logic'!$G$8:$H$14,2,FALSE),YES_Writing_ELA[#Headers],0))=0,"",INDEX(_xlfn.VSTACK(YES_Writing_ELA[#Data],YES_Writing_FLA[#Data]),MATCH($A43,_xlfn.VSTACK(YES_Writing_ELA[Student Number],YES_Writing_FLA[Student Number]),0),MATCH(VLOOKUP(G$7,'Writing Logic'!$J$7:$K$11,2,FALSE)&amp;" - Per "&amp;VLOOKUP($C$4,'Writing Logic'!$G$8:$H$14,2,FALSE),YES_Writing_ELA[#Headers],0)))),"")</f>
        <v/>
      </c>
      <c r="H43" s="223" t="str">
        <f>IFERROR(IF(IF(INDEX(_xlfn.VSTACK(YES_Writing_ELA[#Data],YES_Writing_FLA[#Data]),MATCH($A43,_xlfn.VSTACK(YES_Writing_ELA[Student Number],YES_Writing_FLA[Student Number]),0),MATCH(VLOOKUP(H$7,'Writing Logic'!$J$7:$K$11,2,FALSE)&amp;" - Per "&amp;VLOOKUP($C$4,'Writing Logic'!$G$8:$H$14,2,FALSE),YES_Writing_ELA[#Headers],0))=0,"",INDEX(_xlfn.VSTACK(YES_Writing_ELA[#Data],YES_Writing_FLA[#Data]),MATCH($A43,_xlfn.VSTACK(YES_Writing_ELA[Student Number],YES_Writing_FLA[Student Number]),0),MATCH(VLOOKUP(H$7,'Writing Logic'!$J$7:$K$11,2,FALSE)&amp;" - Per "&amp;VLOOKUP($C$4,'Writing Logic'!$G$8:$H$14,2,FALSE),YES_Writing_ELA[#Headers],0)))="INS",'Writing Logic'!$B$7,IF(INDEX(_xlfn.VSTACK(YES_Writing_ELA[#Data],YES_Writing_FLA[#Data]),MATCH($A43,_xlfn.VSTACK(YES_Writing_ELA[Student Number],YES_Writing_FLA[Student Number]),0),MATCH(VLOOKUP(H$7,'Writing Logic'!$J$7:$K$11,2,FALSE)&amp;" - Per "&amp;VLOOKUP($C$4,'Writing Logic'!$G$8:$H$14,2,FALSE),YES_Writing_ELA[#Headers],0))=0,"",INDEX(_xlfn.VSTACK(YES_Writing_ELA[#Data],YES_Writing_FLA[#Data]),MATCH($A43,_xlfn.VSTACK(YES_Writing_ELA[Student Number],YES_Writing_FLA[Student Number]),0),MATCH(VLOOKUP(H$7,'Writing Logic'!$J$7:$K$11,2,FALSE)&amp;" - Per "&amp;VLOOKUP($C$4,'Writing Logic'!$G$8:$H$14,2,FALSE),YES_Writing_ELA[#Headers],0)))),"")</f>
        <v/>
      </c>
      <c r="I43" s="224" t="str" cm="1">
        <f t="array" aca="1" ref="I43" ca="1">IFERROR(
IF($G$3="ELA",
IF(VLOOKUP($A43, YES_Reading_ELA[], COLUMN(INDIRECT("YES_Reading_ELA[Difference - Per "&amp;VLOOKUP($G$4, 'Reading Report Logic'!$A$2:$B$8, 2, FALSE)&amp;"]")), FALSE)="", "",
VLOOKUP($A43,YES_Reading_ELA[], COLUMN(INDIRECT("YES_Reading_ELA[Difference - Per "&amp;VLOOKUP($G$4,'Reading Report Logic'!$A$2:$B$8,2,FALSE)&amp;"]")), FALSE)),
IF($G$3="FLA",
IF(VLOOKUP($A43, YES_Reading_FLA[], COLUMN(INDIRECT("YES_Reading_FLA[Difference - Per "&amp;VLOOKUP($G$4,'Reading Report Logic'!$A$2:$B$8,2,FALSE)&amp;"]")),FALSE)="","",
VLOOKUP($A43,YES_Reading_FLA[],COLUMN(INDIRECT("YES_Reading_FLA[Difference - Per "&amp;VLOOKUP($G$4,'Reading Report Logic'!$A$2:$B$8,2,FALSE)&amp;"]")),FALSE)),
IF($G$3="Combined",
IFERROR(
IF(VLOOKUP($A43, YES_Reading_ELA[], COLUMN(INDIRECT("YES_Reading_ELA[Difference - Per "&amp;VLOOKUP($G$4, 'Reading Report Logic'!$A$2:$B$8,2,FALSE)&amp;"]")), FALSE)="", "",
VLOOKUP($A43,YES_Reading_ELA[],COLUMN(INDIRECT("YES_Reading_ELA[Difference - Per "&amp;VLOOKUP($G$4,'Reading Report Logic'!$A$2:$B$8,2,FALSE)&amp;"]")),FALSE)),
IF(VLOOKUP($A43, YES_Reading_FLA[], COLUMN(INDIRECT("YES_Reading_FLA[Difference - Per "&amp;VLOOKUP($G$4, 'Reading Report Logic'!$A$2:$B$8, 2, FALSE)&amp;"]")),FALSE)="", "", VLOOKUP($A43,YES_Reading_FLA[],COLUMN(INDIRECT("YES_Reading_FLA[Difference - Per "&amp;VLOOKUP($G$4, 'Reading Report Logic'!$A$2:$B$8, 2, FALSE)&amp;"]")),FALSE))),""))),"")</f>
        <v/>
      </c>
    </row>
    <row r="44" spans="1:15" ht="14.25" customHeight="1" x14ac:dyDescent="0.25">
      <c r="A44" s="137"/>
      <c r="B44" s="137" t="str">
        <f>IFERROR(INDEX(_xlfn.VSTACK(YES_Writing_ELA[#Data], YES_Writing_FLA[#Data]),MATCH($A44,_xlfn.VSTACK(YES_Writing_ELA[Student Number], YES_Writing_FLA[Student Number]),0),MATCH(B$7,YES_Writing_ELA[#Headers],0)),IFERROR(INDEX(_xlfn.VSTACK(YES_Reading_ELA[#Data], YES_Reading_FLA[#Data]),MATCH($A44,_xlfn.VSTACK(YES_Reading_ELA[Student Number], YES_Reading_FLA[Student Number]),0),MATCH(B$7,YES_Reading_ELA[#Headers],0)),""))</f>
        <v/>
      </c>
      <c r="C44" s="137" t="str">
        <f>IFERROR(INDEX(_xlfn.VSTACK(YES_Writing_ELA[#Data], YES_Writing_FLA[#Data]),MATCH($A44,_xlfn.VSTACK(YES_Writing_ELA[Student Number], YES_Writing_FLA[Student Number]),0),MATCH(C$7,YES_Writing_ELA[#Headers],0)),IFERROR(INDEX(_xlfn.VSTACK(YES_Reading_ELA[#Data], YES_Reading_FLA[#Data]),MATCH($A44,_xlfn.VSTACK(YES_Reading_ELA[Student Number], YES_Reading_FLA[Student Number]),0),MATCH(C$7,YES_Reading_ELA[#Headers],0)),""))</f>
        <v/>
      </c>
      <c r="D44" s="138" t="str">
        <f>IFERROR(IF(IF(INDEX(_xlfn.VSTACK(YES_Writing_ELA[#Data],YES_Writing_FLA[#Data]),MATCH($A44,_xlfn.VSTACK(YES_Writing_ELA[Student Number],YES_Writing_FLA[Student Number]),0),MATCH(VLOOKUP(D$7,'Writing Logic'!$J$7:$K$11,2,FALSE)&amp;" - Per "&amp;VLOOKUP($C$4,'Writing Logic'!$G$8:$H$14,2,FALSE),YES_Writing_ELA[#Headers],0))=0,"",INDEX(_xlfn.VSTACK(YES_Writing_ELA[#Data],YES_Writing_FLA[#Data]),MATCH($A44,_xlfn.VSTACK(YES_Writing_ELA[Student Number],YES_Writing_FLA[Student Number]),0),MATCH(VLOOKUP(D$7,'Writing Logic'!$J$7:$K$11,2,FALSE)&amp;" - Per "&amp;VLOOKUP($C$4,'Writing Logic'!$G$8:$H$14,2,FALSE),YES_Writing_ELA[#Headers],0)))="INS",'Writing Logic'!$B$7,IF(INDEX(_xlfn.VSTACK(YES_Writing_ELA[#Data],YES_Writing_FLA[#Data]),MATCH($A44,_xlfn.VSTACK(YES_Writing_ELA[Student Number],YES_Writing_FLA[Student Number]),0),MATCH(VLOOKUP(D$7,'Writing Logic'!$J$7:$K$11,2,FALSE)&amp;" - Per "&amp;VLOOKUP($C$4,'Writing Logic'!$G$8:$H$14,2,FALSE),YES_Writing_ELA[#Headers],0))=0,"",INDEX(_xlfn.VSTACK(YES_Writing_ELA[#Data],YES_Writing_FLA[#Data]),MATCH($A44,_xlfn.VSTACK(YES_Writing_ELA[Student Number],YES_Writing_FLA[Student Number]),0),MATCH(VLOOKUP(D$7,'Writing Logic'!$J$7:$K$11,2,FALSE)&amp;" - Per "&amp;VLOOKUP($C$4,'Writing Logic'!$G$8:$H$14,2,FALSE),YES_Writing_ELA[#Headers],0)))),"")</f>
        <v/>
      </c>
      <c r="E44" s="138" t="str">
        <f>IFERROR(IF(IF(INDEX(_xlfn.VSTACK(YES_Writing_ELA[#Data],YES_Writing_FLA[#Data]),MATCH($A44,_xlfn.VSTACK(YES_Writing_ELA[Student Number],YES_Writing_FLA[Student Number]),0),MATCH(VLOOKUP(E$7,'Writing Logic'!$J$7:$K$11,2,FALSE)&amp;" - Per "&amp;VLOOKUP($C$4,'Writing Logic'!$G$8:$H$14,2,FALSE),YES_Writing_ELA[#Headers],0))=0,"",INDEX(_xlfn.VSTACK(YES_Writing_ELA[#Data],YES_Writing_FLA[#Data]),MATCH($A44,_xlfn.VSTACK(YES_Writing_ELA[Student Number],YES_Writing_FLA[Student Number]),0),MATCH(VLOOKUP(E$7,'Writing Logic'!$J$7:$K$11,2,FALSE)&amp;" - Per "&amp;VLOOKUP($C$4,'Writing Logic'!$G$8:$H$14,2,FALSE),YES_Writing_ELA[#Headers],0)))="INS",'Writing Logic'!$B$7,IF(INDEX(_xlfn.VSTACK(YES_Writing_ELA[#Data],YES_Writing_FLA[#Data]),MATCH($A44,_xlfn.VSTACK(YES_Writing_ELA[Student Number],YES_Writing_FLA[Student Number]),0),MATCH(VLOOKUP(E$7,'Writing Logic'!$J$7:$K$11,2,FALSE)&amp;" - Per "&amp;VLOOKUP($C$4,'Writing Logic'!$G$8:$H$14,2,FALSE),YES_Writing_ELA[#Headers],0))=0,"",INDEX(_xlfn.VSTACK(YES_Writing_ELA[#Data],YES_Writing_FLA[#Data]),MATCH($A44,_xlfn.VSTACK(YES_Writing_ELA[Student Number],YES_Writing_FLA[Student Number]),0),MATCH(VLOOKUP(E$7,'Writing Logic'!$J$7:$K$11,2,FALSE)&amp;" - Per "&amp;VLOOKUP($C$4,'Writing Logic'!$G$8:$H$14,2,FALSE),YES_Writing_ELA[#Headers],0)))),"")</f>
        <v/>
      </c>
      <c r="F44" s="138" t="str">
        <f>IFERROR(IF(IF(INDEX(_xlfn.VSTACK(YES_Writing_ELA[#Data],YES_Writing_FLA[#Data]),MATCH($A44,_xlfn.VSTACK(YES_Writing_ELA[Student Number],YES_Writing_FLA[Student Number]),0),MATCH(VLOOKUP(F$7,'Writing Logic'!$J$7:$K$11,2,FALSE)&amp;" - Per "&amp;VLOOKUP($C$4,'Writing Logic'!$G$8:$H$14,2,FALSE),YES_Writing_ELA[#Headers],0))=0,"",INDEX(_xlfn.VSTACK(YES_Writing_ELA[#Data],YES_Writing_FLA[#Data]),MATCH($A44,_xlfn.VSTACK(YES_Writing_ELA[Student Number],YES_Writing_FLA[Student Number]),0),MATCH(VLOOKUP(F$7,'Writing Logic'!$J$7:$K$11,2,FALSE)&amp;" - Per "&amp;VLOOKUP($C$4,'Writing Logic'!$G$8:$H$14,2,FALSE),YES_Writing_ELA[#Headers],0)))="INS",'Writing Logic'!$B$7,IF(INDEX(_xlfn.VSTACK(YES_Writing_ELA[#Data],YES_Writing_FLA[#Data]),MATCH($A44,_xlfn.VSTACK(YES_Writing_ELA[Student Number],YES_Writing_FLA[Student Number]),0),MATCH(VLOOKUP(F$7,'Writing Logic'!$J$7:$K$11,2,FALSE)&amp;" - Per "&amp;VLOOKUP($C$4,'Writing Logic'!$G$8:$H$14,2,FALSE),YES_Writing_ELA[#Headers],0))=0,"",INDEX(_xlfn.VSTACK(YES_Writing_ELA[#Data],YES_Writing_FLA[#Data]),MATCH($A44,_xlfn.VSTACK(YES_Writing_ELA[Student Number],YES_Writing_FLA[Student Number]),0),MATCH(VLOOKUP(F$7,'Writing Logic'!$J$7:$K$11,2,FALSE)&amp;" - Per "&amp;VLOOKUP($C$4,'Writing Logic'!$G$8:$H$14,2,FALSE),YES_Writing_ELA[#Headers],0)))),"")</f>
        <v/>
      </c>
      <c r="G44" s="138" t="str">
        <f>IFERROR(IF(IF(INDEX(_xlfn.VSTACK(YES_Writing_ELA[#Data],YES_Writing_FLA[#Data]),MATCH($A44,_xlfn.VSTACK(YES_Writing_ELA[Student Number],YES_Writing_FLA[Student Number]),0),MATCH(VLOOKUP(G$7,'Writing Logic'!$J$7:$K$11,2,FALSE)&amp;" - Per "&amp;VLOOKUP($C$4,'Writing Logic'!$G$8:$H$14,2,FALSE),YES_Writing_ELA[#Headers],0))=0,"",INDEX(_xlfn.VSTACK(YES_Writing_ELA[#Data],YES_Writing_FLA[#Data]),MATCH($A44,_xlfn.VSTACK(YES_Writing_ELA[Student Number],YES_Writing_FLA[Student Number]),0),MATCH(VLOOKUP(G$7,'Writing Logic'!$J$7:$K$11,2,FALSE)&amp;" - Per "&amp;VLOOKUP($C$4,'Writing Logic'!$G$8:$H$14,2,FALSE),YES_Writing_ELA[#Headers],0)))="INS",'Writing Logic'!$B$7,IF(INDEX(_xlfn.VSTACK(YES_Writing_ELA[#Data],YES_Writing_FLA[#Data]),MATCH($A44,_xlfn.VSTACK(YES_Writing_ELA[Student Number],YES_Writing_FLA[Student Number]),0),MATCH(VLOOKUP(G$7,'Writing Logic'!$J$7:$K$11,2,FALSE)&amp;" - Per "&amp;VLOOKUP($C$4,'Writing Logic'!$G$8:$H$14,2,FALSE),YES_Writing_ELA[#Headers],0))=0,"",INDEX(_xlfn.VSTACK(YES_Writing_ELA[#Data],YES_Writing_FLA[#Data]),MATCH($A44,_xlfn.VSTACK(YES_Writing_ELA[Student Number],YES_Writing_FLA[Student Number]),0),MATCH(VLOOKUP(G$7,'Writing Logic'!$J$7:$K$11,2,FALSE)&amp;" - Per "&amp;VLOOKUP($C$4,'Writing Logic'!$G$8:$H$14,2,FALSE),YES_Writing_ELA[#Headers],0)))),"")</f>
        <v/>
      </c>
      <c r="H44" s="223" t="str">
        <f>IFERROR(IF(IF(INDEX(_xlfn.VSTACK(YES_Writing_ELA[#Data],YES_Writing_FLA[#Data]),MATCH($A44,_xlfn.VSTACK(YES_Writing_ELA[Student Number],YES_Writing_FLA[Student Number]),0),MATCH(VLOOKUP(H$7,'Writing Logic'!$J$7:$K$11,2,FALSE)&amp;" - Per "&amp;VLOOKUP($C$4,'Writing Logic'!$G$8:$H$14,2,FALSE),YES_Writing_ELA[#Headers],0))=0,"",INDEX(_xlfn.VSTACK(YES_Writing_ELA[#Data],YES_Writing_FLA[#Data]),MATCH($A44,_xlfn.VSTACK(YES_Writing_ELA[Student Number],YES_Writing_FLA[Student Number]),0),MATCH(VLOOKUP(H$7,'Writing Logic'!$J$7:$K$11,2,FALSE)&amp;" - Per "&amp;VLOOKUP($C$4,'Writing Logic'!$G$8:$H$14,2,FALSE),YES_Writing_ELA[#Headers],0)))="INS",'Writing Logic'!$B$7,IF(INDEX(_xlfn.VSTACK(YES_Writing_ELA[#Data],YES_Writing_FLA[#Data]),MATCH($A44,_xlfn.VSTACK(YES_Writing_ELA[Student Number],YES_Writing_FLA[Student Number]),0),MATCH(VLOOKUP(H$7,'Writing Logic'!$J$7:$K$11,2,FALSE)&amp;" - Per "&amp;VLOOKUP($C$4,'Writing Logic'!$G$8:$H$14,2,FALSE),YES_Writing_ELA[#Headers],0))=0,"",INDEX(_xlfn.VSTACK(YES_Writing_ELA[#Data],YES_Writing_FLA[#Data]),MATCH($A44,_xlfn.VSTACK(YES_Writing_ELA[Student Number],YES_Writing_FLA[Student Number]),0),MATCH(VLOOKUP(H$7,'Writing Logic'!$J$7:$K$11,2,FALSE)&amp;" - Per "&amp;VLOOKUP($C$4,'Writing Logic'!$G$8:$H$14,2,FALSE),YES_Writing_ELA[#Headers],0)))),"")</f>
        <v/>
      </c>
      <c r="I44" s="224" t="str" cm="1">
        <f t="array" aca="1" ref="I44" ca="1">IFERROR(
IF($G$3="ELA",
IF(VLOOKUP($A44, YES_Reading_ELA[], COLUMN(INDIRECT("YES_Reading_ELA[Difference - Per "&amp;VLOOKUP($G$4, 'Reading Report Logic'!$A$2:$B$8, 2, FALSE)&amp;"]")), FALSE)="", "",
VLOOKUP($A44,YES_Reading_ELA[], COLUMN(INDIRECT("YES_Reading_ELA[Difference - Per "&amp;VLOOKUP($G$4,'Reading Report Logic'!$A$2:$B$8,2,FALSE)&amp;"]")), FALSE)),
IF($G$3="FLA",
IF(VLOOKUP($A44, YES_Reading_FLA[], COLUMN(INDIRECT("YES_Reading_FLA[Difference - Per "&amp;VLOOKUP($G$4,'Reading Report Logic'!$A$2:$B$8,2,FALSE)&amp;"]")),FALSE)="","",
VLOOKUP($A44,YES_Reading_FLA[],COLUMN(INDIRECT("YES_Reading_FLA[Difference - Per "&amp;VLOOKUP($G$4,'Reading Report Logic'!$A$2:$B$8,2,FALSE)&amp;"]")),FALSE)),
IF($G$3="Combined",
IFERROR(
IF(VLOOKUP($A44, YES_Reading_ELA[], COLUMN(INDIRECT("YES_Reading_ELA[Difference - Per "&amp;VLOOKUP($G$4, 'Reading Report Logic'!$A$2:$B$8,2,FALSE)&amp;"]")), FALSE)="", "",
VLOOKUP($A44,YES_Reading_ELA[],COLUMN(INDIRECT("YES_Reading_ELA[Difference - Per "&amp;VLOOKUP($G$4,'Reading Report Logic'!$A$2:$B$8,2,FALSE)&amp;"]")),FALSE)),
IF(VLOOKUP($A44, YES_Reading_FLA[], COLUMN(INDIRECT("YES_Reading_FLA[Difference - Per "&amp;VLOOKUP($G$4, 'Reading Report Logic'!$A$2:$B$8, 2, FALSE)&amp;"]")),FALSE)="", "", VLOOKUP($A44,YES_Reading_FLA[],COLUMN(INDIRECT("YES_Reading_FLA[Difference - Per "&amp;VLOOKUP($G$4, 'Reading Report Logic'!$A$2:$B$8, 2, FALSE)&amp;"]")),FALSE))),""))),"")</f>
        <v/>
      </c>
    </row>
    <row r="45" spans="1:15" ht="14.25" customHeight="1" x14ac:dyDescent="0.25">
      <c r="A45" s="137"/>
      <c r="B45" s="137" t="str">
        <f>IFERROR(INDEX(_xlfn.VSTACK(YES_Writing_ELA[#Data], YES_Writing_FLA[#Data]),MATCH($A45,_xlfn.VSTACK(YES_Writing_ELA[Student Number], YES_Writing_FLA[Student Number]),0),MATCH(B$7,YES_Writing_ELA[#Headers],0)),IFERROR(INDEX(_xlfn.VSTACK(YES_Reading_ELA[#Data], YES_Reading_FLA[#Data]),MATCH($A45,_xlfn.VSTACK(YES_Reading_ELA[Student Number], YES_Reading_FLA[Student Number]),0),MATCH(B$7,YES_Reading_ELA[#Headers],0)),""))</f>
        <v/>
      </c>
      <c r="C45" s="137" t="str">
        <f>IFERROR(INDEX(_xlfn.VSTACK(YES_Writing_ELA[#Data], YES_Writing_FLA[#Data]),MATCH($A45,_xlfn.VSTACK(YES_Writing_ELA[Student Number], YES_Writing_FLA[Student Number]),0),MATCH(C$7,YES_Writing_ELA[#Headers],0)),IFERROR(INDEX(_xlfn.VSTACK(YES_Reading_ELA[#Data], YES_Reading_FLA[#Data]),MATCH($A45,_xlfn.VSTACK(YES_Reading_ELA[Student Number], YES_Reading_FLA[Student Number]),0),MATCH(C$7,YES_Reading_ELA[#Headers],0)),""))</f>
        <v/>
      </c>
      <c r="D45" s="138" t="str">
        <f>IFERROR(IF(IF(INDEX(_xlfn.VSTACK(YES_Writing_ELA[#Data],YES_Writing_FLA[#Data]),MATCH($A45,_xlfn.VSTACK(YES_Writing_ELA[Student Number],YES_Writing_FLA[Student Number]),0),MATCH(VLOOKUP(D$7,'Writing Logic'!$J$7:$K$11,2,FALSE)&amp;" - Per "&amp;VLOOKUP($C$4,'Writing Logic'!$G$8:$H$14,2,FALSE),YES_Writing_ELA[#Headers],0))=0,"",INDEX(_xlfn.VSTACK(YES_Writing_ELA[#Data],YES_Writing_FLA[#Data]),MATCH($A45,_xlfn.VSTACK(YES_Writing_ELA[Student Number],YES_Writing_FLA[Student Number]),0),MATCH(VLOOKUP(D$7,'Writing Logic'!$J$7:$K$11,2,FALSE)&amp;" - Per "&amp;VLOOKUP($C$4,'Writing Logic'!$G$8:$H$14,2,FALSE),YES_Writing_ELA[#Headers],0)))="INS",'Writing Logic'!$B$7,IF(INDEX(_xlfn.VSTACK(YES_Writing_ELA[#Data],YES_Writing_FLA[#Data]),MATCH($A45,_xlfn.VSTACK(YES_Writing_ELA[Student Number],YES_Writing_FLA[Student Number]),0),MATCH(VLOOKUP(D$7,'Writing Logic'!$J$7:$K$11,2,FALSE)&amp;" - Per "&amp;VLOOKUP($C$4,'Writing Logic'!$G$8:$H$14,2,FALSE),YES_Writing_ELA[#Headers],0))=0,"",INDEX(_xlfn.VSTACK(YES_Writing_ELA[#Data],YES_Writing_FLA[#Data]),MATCH($A45,_xlfn.VSTACK(YES_Writing_ELA[Student Number],YES_Writing_FLA[Student Number]),0),MATCH(VLOOKUP(D$7,'Writing Logic'!$J$7:$K$11,2,FALSE)&amp;" - Per "&amp;VLOOKUP($C$4,'Writing Logic'!$G$8:$H$14,2,FALSE),YES_Writing_ELA[#Headers],0)))),"")</f>
        <v/>
      </c>
      <c r="E45" s="138" t="str">
        <f>IFERROR(IF(IF(INDEX(_xlfn.VSTACK(YES_Writing_ELA[#Data],YES_Writing_FLA[#Data]),MATCH($A45,_xlfn.VSTACK(YES_Writing_ELA[Student Number],YES_Writing_FLA[Student Number]),0),MATCH(VLOOKUP(E$7,'Writing Logic'!$J$7:$K$11,2,FALSE)&amp;" - Per "&amp;VLOOKUP($C$4,'Writing Logic'!$G$8:$H$14,2,FALSE),YES_Writing_ELA[#Headers],0))=0,"",INDEX(_xlfn.VSTACK(YES_Writing_ELA[#Data],YES_Writing_FLA[#Data]),MATCH($A45,_xlfn.VSTACK(YES_Writing_ELA[Student Number],YES_Writing_FLA[Student Number]),0),MATCH(VLOOKUP(E$7,'Writing Logic'!$J$7:$K$11,2,FALSE)&amp;" - Per "&amp;VLOOKUP($C$4,'Writing Logic'!$G$8:$H$14,2,FALSE),YES_Writing_ELA[#Headers],0)))="INS",'Writing Logic'!$B$7,IF(INDEX(_xlfn.VSTACK(YES_Writing_ELA[#Data],YES_Writing_FLA[#Data]),MATCH($A45,_xlfn.VSTACK(YES_Writing_ELA[Student Number],YES_Writing_FLA[Student Number]),0),MATCH(VLOOKUP(E$7,'Writing Logic'!$J$7:$K$11,2,FALSE)&amp;" - Per "&amp;VLOOKUP($C$4,'Writing Logic'!$G$8:$H$14,2,FALSE),YES_Writing_ELA[#Headers],0))=0,"",INDEX(_xlfn.VSTACK(YES_Writing_ELA[#Data],YES_Writing_FLA[#Data]),MATCH($A45,_xlfn.VSTACK(YES_Writing_ELA[Student Number],YES_Writing_FLA[Student Number]),0),MATCH(VLOOKUP(E$7,'Writing Logic'!$J$7:$K$11,2,FALSE)&amp;" - Per "&amp;VLOOKUP($C$4,'Writing Logic'!$G$8:$H$14,2,FALSE),YES_Writing_ELA[#Headers],0)))),"")</f>
        <v/>
      </c>
      <c r="F45" s="138" t="str">
        <f>IFERROR(IF(IF(INDEX(_xlfn.VSTACK(YES_Writing_ELA[#Data],YES_Writing_FLA[#Data]),MATCH($A45,_xlfn.VSTACK(YES_Writing_ELA[Student Number],YES_Writing_FLA[Student Number]),0),MATCH(VLOOKUP(F$7,'Writing Logic'!$J$7:$K$11,2,FALSE)&amp;" - Per "&amp;VLOOKUP($C$4,'Writing Logic'!$G$8:$H$14,2,FALSE),YES_Writing_ELA[#Headers],0))=0,"",INDEX(_xlfn.VSTACK(YES_Writing_ELA[#Data],YES_Writing_FLA[#Data]),MATCH($A45,_xlfn.VSTACK(YES_Writing_ELA[Student Number],YES_Writing_FLA[Student Number]),0),MATCH(VLOOKUP(F$7,'Writing Logic'!$J$7:$K$11,2,FALSE)&amp;" - Per "&amp;VLOOKUP($C$4,'Writing Logic'!$G$8:$H$14,2,FALSE),YES_Writing_ELA[#Headers],0)))="INS",'Writing Logic'!$B$7,IF(INDEX(_xlfn.VSTACK(YES_Writing_ELA[#Data],YES_Writing_FLA[#Data]),MATCH($A45,_xlfn.VSTACK(YES_Writing_ELA[Student Number],YES_Writing_FLA[Student Number]),0),MATCH(VLOOKUP(F$7,'Writing Logic'!$J$7:$K$11,2,FALSE)&amp;" - Per "&amp;VLOOKUP($C$4,'Writing Logic'!$G$8:$H$14,2,FALSE),YES_Writing_ELA[#Headers],0))=0,"",INDEX(_xlfn.VSTACK(YES_Writing_ELA[#Data],YES_Writing_FLA[#Data]),MATCH($A45,_xlfn.VSTACK(YES_Writing_ELA[Student Number],YES_Writing_FLA[Student Number]),0),MATCH(VLOOKUP(F$7,'Writing Logic'!$J$7:$K$11,2,FALSE)&amp;" - Per "&amp;VLOOKUP($C$4,'Writing Logic'!$G$8:$H$14,2,FALSE),YES_Writing_ELA[#Headers],0)))),"")</f>
        <v/>
      </c>
      <c r="G45" s="138" t="str">
        <f>IFERROR(IF(IF(INDEX(_xlfn.VSTACK(YES_Writing_ELA[#Data],YES_Writing_FLA[#Data]),MATCH($A45,_xlfn.VSTACK(YES_Writing_ELA[Student Number],YES_Writing_FLA[Student Number]),0),MATCH(VLOOKUP(G$7,'Writing Logic'!$J$7:$K$11,2,FALSE)&amp;" - Per "&amp;VLOOKUP($C$4,'Writing Logic'!$G$8:$H$14,2,FALSE),YES_Writing_ELA[#Headers],0))=0,"",INDEX(_xlfn.VSTACK(YES_Writing_ELA[#Data],YES_Writing_FLA[#Data]),MATCH($A45,_xlfn.VSTACK(YES_Writing_ELA[Student Number],YES_Writing_FLA[Student Number]),0),MATCH(VLOOKUP(G$7,'Writing Logic'!$J$7:$K$11,2,FALSE)&amp;" - Per "&amp;VLOOKUP($C$4,'Writing Logic'!$G$8:$H$14,2,FALSE),YES_Writing_ELA[#Headers],0)))="INS",'Writing Logic'!$B$7,IF(INDEX(_xlfn.VSTACK(YES_Writing_ELA[#Data],YES_Writing_FLA[#Data]),MATCH($A45,_xlfn.VSTACK(YES_Writing_ELA[Student Number],YES_Writing_FLA[Student Number]),0),MATCH(VLOOKUP(G$7,'Writing Logic'!$J$7:$K$11,2,FALSE)&amp;" - Per "&amp;VLOOKUP($C$4,'Writing Logic'!$G$8:$H$14,2,FALSE),YES_Writing_ELA[#Headers],0))=0,"",INDEX(_xlfn.VSTACK(YES_Writing_ELA[#Data],YES_Writing_FLA[#Data]),MATCH($A45,_xlfn.VSTACK(YES_Writing_ELA[Student Number],YES_Writing_FLA[Student Number]),0),MATCH(VLOOKUP(G$7,'Writing Logic'!$J$7:$K$11,2,FALSE)&amp;" - Per "&amp;VLOOKUP($C$4,'Writing Logic'!$G$8:$H$14,2,FALSE),YES_Writing_ELA[#Headers],0)))),"")</f>
        <v/>
      </c>
      <c r="H45" s="223" t="str">
        <f>IFERROR(IF(IF(INDEX(_xlfn.VSTACK(YES_Writing_ELA[#Data],YES_Writing_FLA[#Data]),MATCH($A45,_xlfn.VSTACK(YES_Writing_ELA[Student Number],YES_Writing_FLA[Student Number]),0),MATCH(VLOOKUP(H$7,'Writing Logic'!$J$7:$K$11,2,FALSE)&amp;" - Per "&amp;VLOOKUP($C$4,'Writing Logic'!$G$8:$H$14,2,FALSE),YES_Writing_ELA[#Headers],0))=0,"",INDEX(_xlfn.VSTACK(YES_Writing_ELA[#Data],YES_Writing_FLA[#Data]),MATCH($A45,_xlfn.VSTACK(YES_Writing_ELA[Student Number],YES_Writing_FLA[Student Number]),0),MATCH(VLOOKUP(H$7,'Writing Logic'!$J$7:$K$11,2,FALSE)&amp;" - Per "&amp;VLOOKUP($C$4,'Writing Logic'!$G$8:$H$14,2,FALSE),YES_Writing_ELA[#Headers],0)))="INS",'Writing Logic'!$B$7,IF(INDEX(_xlfn.VSTACK(YES_Writing_ELA[#Data],YES_Writing_FLA[#Data]),MATCH($A45,_xlfn.VSTACK(YES_Writing_ELA[Student Number],YES_Writing_FLA[Student Number]),0),MATCH(VLOOKUP(H$7,'Writing Logic'!$J$7:$K$11,2,FALSE)&amp;" - Per "&amp;VLOOKUP($C$4,'Writing Logic'!$G$8:$H$14,2,FALSE),YES_Writing_ELA[#Headers],0))=0,"",INDEX(_xlfn.VSTACK(YES_Writing_ELA[#Data],YES_Writing_FLA[#Data]),MATCH($A45,_xlfn.VSTACK(YES_Writing_ELA[Student Number],YES_Writing_FLA[Student Number]),0),MATCH(VLOOKUP(H$7,'Writing Logic'!$J$7:$K$11,2,FALSE)&amp;" - Per "&amp;VLOOKUP($C$4,'Writing Logic'!$G$8:$H$14,2,FALSE),YES_Writing_ELA[#Headers],0)))),"")</f>
        <v/>
      </c>
      <c r="I45" s="224" t="str" cm="1">
        <f t="array" aca="1" ref="I45" ca="1">IFERROR(
IF($G$3="ELA",
IF(VLOOKUP($A45, YES_Reading_ELA[], COLUMN(INDIRECT("YES_Reading_ELA[Difference - Per "&amp;VLOOKUP($G$4, 'Reading Report Logic'!$A$2:$B$8, 2, FALSE)&amp;"]")), FALSE)="", "",
VLOOKUP($A45,YES_Reading_ELA[], COLUMN(INDIRECT("YES_Reading_ELA[Difference - Per "&amp;VLOOKUP($G$4,'Reading Report Logic'!$A$2:$B$8,2,FALSE)&amp;"]")), FALSE)),
IF($G$3="FLA",
IF(VLOOKUP($A45, YES_Reading_FLA[], COLUMN(INDIRECT("YES_Reading_FLA[Difference - Per "&amp;VLOOKUP($G$4,'Reading Report Logic'!$A$2:$B$8,2,FALSE)&amp;"]")),FALSE)="","",
VLOOKUP($A45,YES_Reading_FLA[],COLUMN(INDIRECT("YES_Reading_FLA[Difference - Per "&amp;VLOOKUP($G$4,'Reading Report Logic'!$A$2:$B$8,2,FALSE)&amp;"]")),FALSE)),
IF($G$3="Combined",
IFERROR(
IF(VLOOKUP($A45, YES_Reading_ELA[], COLUMN(INDIRECT("YES_Reading_ELA[Difference - Per "&amp;VLOOKUP($G$4, 'Reading Report Logic'!$A$2:$B$8,2,FALSE)&amp;"]")), FALSE)="", "",
VLOOKUP($A45,YES_Reading_ELA[],COLUMN(INDIRECT("YES_Reading_ELA[Difference - Per "&amp;VLOOKUP($G$4,'Reading Report Logic'!$A$2:$B$8,2,FALSE)&amp;"]")),FALSE)),
IF(VLOOKUP($A45, YES_Reading_FLA[], COLUMN(INDIRECT("YES_Reading_FLA[Difference - Per "&amp;VLOOKUP($G$4, 'Reading Report Logic'!$A$2:$B$8, 2, FALSE)&amp;"]")),FALSE)="", "", VLOOKUP($A45,YES_Reading_FLA[],COLUMN(INDIRECT("YES_Reading_FLA[Difference - Per "&amp;VLOOKUP($G$4, 'Reading Report Logic'!$A$2:$B$8, 2, FALSE)&amp;"]")),FALSE))),""))),"")</f>
        <v/>
      </c>
    </row>
    <row r="46" spans="1:15" ht="14.25" customHeight="1" x14ac:dyDescent="0.25">
      <c r="A46" s="137"/>
      <c r="B46" s="137" t="str">
        <f>IFERROR(INDEX(_xlfn.VSTACK(YES_Writing_ELA[#Data], YES_Writing_FLA[#Data]),MATCH($A46,_xlfn.VSTACK(YES_Writing_ELA[Student Number], YES_Writing_FLA[Student Number]),0),MATCH(B$7,YES_Writing_ELA[#Headers],0)),IFERROR(INDEX(_xlfn.VSTACK(YES_Reading_ELA[#Data], YES_Reading_FLA[#Data]),MATCH($A46,_xlfn.VSTACK(YES_Reading_ELA[Student Number], YES_Reading_FLA[Student Number]),0),MATCH(B$7,YES_Reading_ELA[#Headers],0)),""))</f>
        <v/>
      </c>
      <c r="C46" s="137" t="str">
        <f>IFERROR(INDEX(_xlfn.VSTACK(YES_Writing_ELA[#Data], YES_Writing_FLA[#Data]),MATCH($A46,_xlfn.VSTACK(YES_Writing_ELA[Student Number], YES_Writing_FLA[Student Number]),0),MATCH(C$7,YES_Writing_ELA[#Headers],0)),IFERROR(INDEX(_xlfn.VSTACK(YES_Reading_ELA[#Data], YES_Reading_FLA[#Data]),MATCH($A46,_xlfn.VSTACK(YES_Reading_ELA[Student Number], YES_Reading_FLA[Student Number]),0),MATCH(C$7,YES_Reading_ELA[#Headers],0)),""))</f>
        <v/>
      </c>
      <c r="D46" s="138" t="str">
        <f>IFERROR(IF(IF(INDEX(_xlfn.VSTACK(YES_Writing_ELA[#Data],YES_Writing_FLA[#Data]),MATCH($A46,_xlfn.VSTACK(YES_Writing_ELA[Student Number],YES_Writing_FLA[Student Number]),0),MATCH(VLOOKUP(D$7,'Writing Logic'!$J$7:$K$11,2,FALSE)&amp;" - Per "&amp;VLOOKUP($C$4,'Writing Logic'!$G$8:$H$14,2,FALSE),YES_Writing_ELA[#Headers],0))=0,"",INDEX(_xlfn.VSTACK(YES_Writing_ELA[#Data],YES_Writing_FLA[#Data]),MATCH($A46,_xlfn.VSTACK(YES_Writing_ELA[Student Number],YES_Writing_FLA[Student Number]),0),MATCH(VLOOKUP(D$7,'Writing Logic'!$J$7:$K$11,2,FALSE)&amp;" - Per "&amp;VLOOKUP($C$4,'Writing Logic'!$G$8:$H$14,2,FALSE),YES_Writing_ELA[#Headers],0)))="INS",'Writing Logic'!$B$7,IF(INDEX(_xlfn.VSTACK(YES_Writing_ELA[#Data],YES_Writing_FLA[#Data]),MATCH($A46,_xlfn.VSTACK(YES_Writing_ELA[Student Number],YES_Writing_FLA[Student Number]),0),MATCH(VLOOKUP(D$7,'Writing Logic'!$J$7:$K$11,2,FALSE)&amp;" - Per "&amp;VLOOKUP($C$4,'Writing Logic'!$G$8:$H$14,2,FALSE),YES_Writing_ELA[#Headers],0))=0,"",INDEX(_xlfn.VSTACK(YES_Writing_ELA[#Data],YES_Writing_FLA[#Data]),MATCH($A46,_xlfn.VSTACK(YES_Writing_ELA[Student Number],YES_Writing_FLA[Student Number]),0),MATCH(VLOOKUP(D$7,'Writing Logic'!$J$7:$K$11,2,FALSE)&amp;" - Per "&amp;VLOOKUP($C$4,'Writing Logic'!$G$8:$H$14,2,FALSE),YES_Writing_ELA[#Headers],0)))),"")</f>
        <v/>
      </c>
      <c r="E46" s="138" t="str">
        <f>IFERROR(IF(IF(INDEX(_xlfn.VSTACK(YES_Writing_ELA[#Data],YES_Writing_FLA[#Data]),MATCH($A46,_xlfn.VSTACK(YES_Writing_ELA[Student Number],YES_Writing_FLA[Student Number]),0),MATCH(VLOOKUP(E$7,'Writing Logic'!$J$7:$K$11,2,FALSE)&amp;" - Per "&amp;VLOOKUP($C$4,'Writing Logic'!$G$8:$H$14,2,FALSE),YES_Writing_ELA[#Headers],0))=0,"",INDEX(_xlfn.VSTACK(YES_Writing_ELA[#Data],YES_Writing_FLA[#Data]),MATCH($A46,_xlfn.VSTACK(YES_Writing_ELA[Student Number],YES_Writing_FLA[Student Number]),0),MATCH(VLOOKUP(E$7,'Writing Logic'!$J$7:$K$11,2,FALSE)&amp;" - Per "&amp;VLOOKUP($C$4,'Writing Logic'!$G$8:$H$14,2,FALSE),YES_Writing_ELA[#Headers],0)))="INS",'Writing Logic'!$B$7,IF(INDEX(_xlfn.VSTACK(YES_Writing_ELA[#Data],YES_Writing_FLA[#Data]),MATCH($A46,_xlfn.VSTACK(YES_Writing_ELA[Student Number],YES_Writing_FLA[Student Number]),0),MATCH(VLOOKUP(E$7,'Writing Logic'!$J$7:$K$11,2,FALSE)&amp;" - Per "&amp;VLOOKUP($C$4,'Writing Logic'!$G$8:$H$14,2,FALSE),YES_Writing_ELA[#Headers],0))=0,"",INDEX(_xlfn.VSTACK(YES_Writing_ELA[#Data],YES_Writing_FLA[#Data]),MATCH($A46,_xlfn.VSTACK(YES_Writing_ELA[Student Number],YES_Writing_FLA[Student Number]),0),MATCH(VLOOKUP(E$7,'Writing Logic'!$J$7:$K$11,2,FALSE)&amp;" - Per "&amp;VLOOKUP($C$4,'Writing Logic'!$G$8:$H$14,2,FALSE),YES_Writing_ELA[#Headers],0)))),"")</f>
        <v/>
      </c>
      <c r="F46" s="138" t="str">
        <f>IFERROR(IF(IF(INDEX(_xlfn.VSTACK(YES_Writing_ELA[#Data],YES_Writing_FLA[#Data]),MATCH($A46,_xlfn.VSTACK(YES_Writing_ELA[Student Number],YES_Writing_FLA[Student Number]),0),MATCH(VLOOKUP(F$7,'Writing Logic'!$J$7:$K$11,2,FALSE)&amp;" - Per "&amp;VLOOKUP($C$4,'Writing Logic'!$G$8:$H$14,2,FALSE),YES_Writing_ELA[#Headers],0))=0,"",INDEX(_xlfn.VSTACK(YES_Writing_ELA[#Data],YES_Writing_FLA[#Data]),MATCH($A46,_xlfn.VSTACK(YES_Writing_ELA[Student Number],YES_Writing_FLA[Student Number]),0),MATCH(VLOOKUP(F$7,'Writing Logic'!$J$7:$K$11,2,FALSE)&amp;" - Per "&amp;VLOOKUP($C$4,'Writing Logic'!$G$8:$H$14,2,FALSE),YES_Writing_ELA[#Headers],0)))="INS",'Writing Logic'!$B$7,IF(INDEX(_xlfn.VSTACK(YES_Writing_ELA[#Data],YES_Writing_FLA[#Data]),MATCH($A46,_xlfn.VSTACK(YES_Writing_ELA[Student Number],YES_Writing_FLA[Student Number]),0),MATCH(VLOOKUP(F$7,'Writing Logic'!$J$7:$K$11,2,FALSE)&amp;" - Per "&amp;VLOOKUP($C$4,'Writing Logic'!$G$8:$H$14,2,FALSE),YES_Writing_ELA[#Headers],0))=0,"",INDEX(_xlfn.VSTACK(YES_Writing_ELA[#Data],YES_Writing_FLA[#Data]),MATCH($A46,_xlfn.VSTACK(YES_Writing_ELA[Student Number],YES_Writing_FLA[Student Number]),0),MATCH(VLOOKUP(F$7,'Writing Logic'!$J$7:$K$11,2,FALSE)&amp;" - Per "&amp;VLOOKUP($C$4,'Writing Logic'!$G$8:$H$14,2,FALSE),YES_Writing_ELA[#Headers],0)))),"")</f>
        <v/>
      </c>
      <c r="G46" s="138" t="str">
        <f>IFERROR(IF(IF(INDEX(_xlfn.VSTACK(YES_Writing_ELA[#Data],YES_Writing_FLA[#Data]),MATCH($A46,_xlfn.VSTACK(YES_Writing_ELA[Student Number],YES_Writing_FLA[Student Number]),0),MATCH(VLOOKUP(G$7,'Writing Logic'!$J$7:$K$11,2,FALSE)&amp;" - Per "&amp;VLOOKUP($C$4,'Writing Logic'!$G$8:$H$14,2,FALSE),YES_Writing_ELA[#Headers],0))=0,"",INDEX(_xlfn.VSTACK(YES_Writing_ELA[#Data],YES_Writing_FLA[#Data]),MATCH($A46,_xlfn.VSTACK(YES_Writing_ELA[Student Number],YES_Writing_FLA[Student Number]),0),MATCH(VLOOKUP(G$7,'Writing Logic'!$J$7:$K$11,2,FALSE)&amp;" - Per "&amp;VLOOKUP($C$4,'Writing Logic'!$G$8:$H$14,2,FALSE),YES_Writing_ELA[#Headers],0)))="INS",'Writing Logic'!$B$7,IF(INDEX(_xlfn.VSTACK(YES_Writing_ELA[#Data],YES_Writing_FLA[#Data]),MATCH($A46,_xlfn.VSTACK(YES_Writing_ELA[Student Number],YES_Writing_FLA[Student Number]),0),MATCH(VLOOKUP(G$7,'Writing Logic'!$J$7:$K$11,2,FALSE)&amp;" - Per "&amp;VLOOKUP($C$4,'Writing Logic'!$G$8:$H$14,2,FALSE),YES_Writing_ELA[#Headers],0))=0,"",INDEX(_xlfn.VSTACK(YES_Writing_ELA[#Data],YES_Writing_FLA[#Data]),MATCH($A46,_xlfn.VSTACK(YES_Writing_ELA[Student Number],YES_Writing_FLA[Student Number]),0),MATCH(VLOOKUP(G$7,'Writing Logic'!$J$7:$K$11,2,FALSE)&amp;" - Per "&amp;VLOOKUP($C$4,'Writing Logic'!$G$8:$H$14,2,FALSE),YES_Writing_ELA[#Headers],0)))),"")</f>
        <v/>
      </c>
      <c r="H46" s="223" t="str">
        <f>IFERROR(IF(IF(INDEX(_xlfn.VSTACK(YES_Writing_ELA[#Data],YES_Writing_FLA[#Data]),MATCH($A46,_xlfn.VSTACK(YES_Writing_ELA[Student Number],YES_Writing_FLA[Student Number]),0),MATCH(VLOOKUP(H$7,'Writing Logic'!$J$7:$K$11,2,FALSE)&amp;" - Per "&amp;VLOOKUP($C$4,'Writing Logic'!$G$8:$H$14,2,FALSE),YES_Writing_ELA[#Headers],0))=0,"",INDEX(_xlfn.VSTACK(YES_Writing_ELA[#Data],YES_Writing_FLA[#Data]),MATCH($A46,_xlfn.VSTACK(YES_Writing_ELA[Student Number],YES_Writing_FLA[Student Number]),0),MATCH(VLOOKUP(H$7,'Writing Logic'!$J$7:$K$11,2,FALSE)&amp;" - Per "&amp;VLOOKUP($C$4,'Writing Logic'!$G$8:$H$14,2,FALSE),YES_Writing_ELA[#Headers],0)))="INS",'Writing Logic'!$B$7,IF(INDEX(_xlfn.VSTACK(YES_Writing_ELA[#Data],YES_Writing_FLA[#Data]),MATCH($A46,_xlfn.VSTACK(YES_Writing_ELA[Student Number],YES_Writing_FLA[Student Number]),0),MATCH(VLOOKUP(H$7,'Writing Logic'!$J$7:$K$11,2,FALSE)&amp;" - Per "&amp;VLOOKUP($C$4,'Writing Logic'!$G$8:$H$14,2,FALSE),YES_Writing_ELA[#Headers],0))=0,"",INDEX(_xlfn.VSTACK(YES_Writing_ELA[#Data],YES_Writing_FLA[#Data]),MATCH($A46,_xlfn.VSTACK(YES_Writing_ELA[Student Number],YES_Writing_FLA[Student Number]),0),MATCH(VLOOKUP(H$7,'Writing Logic'!$J$7:$K$11,2,FALSE)&amp;" - Per "&amp;VLOOKUP($C$4,'Writing Logic'!$G$8:$H$14,2,FALSE),YES_Writing_ELA[#Headers],0)))),"")</f>
        <v/>
      </c>
      <c r="I46" s="224" t="str" cm="1">
        <f t="array" aca="1" ref="I46" ca="1">IFERROR(
IF($G$3="ELA",
IF(VLOOKUP($A46, YES_Reading_ELA[], COLUMN(INDIRECT("YES_Reading_ELA[Difference - Per "&amp;VLOOKUP($G$4, 'Reading Report Logic'!$A$2:$B$8, 2, FALSE)&amp;"]")), FALSE)="", "",
VLOOKUP($A46,YES_Reading_ELA[], COLUMN(INDIRECT("YES_Reading_ELA[Difference - Per "&amp;VLOOKUP($G$4,'Reading Report Logic'!$A$2:$B$8,2,FALSE)&amp;"]")), FALSE)),
IF($G$3="FLA",
IF(VLOOKUP($A46, YES_Reading_FLA[], COLUMN(INDIRECT("YES_Reading_FLA[Difference - Per "&amp;VLOOKUP($G$4,'Reading Report Logic'!$A$2:$B$8,2,FALSE)&amp;"]")),FALSE)="","",
VLOOKUP($A46,YES_Reading_FLA[],COLUMN(INDIRECT("YES_Reading_FLA[Difference - Per "&amp;VLOOKUP($G$4,'Reading Report Logic'!$A$2:$B$8,2,FALSE)&amp;"]")),FALSE)),
IF($G$3="Combined",
IFERROR(
IF(VLOOKUP($A46, YES_Reading_ELA[], COLUMN(INDIRECT("YES_Reading_ELA[Difference - Per "&amp;VLOOKUP($G$4, 'Reading Report Logic'!$A$2:$B$8,2,FALSE)&amp;"]")), FALSE)="", "",
VLOOKUP($A46,YES_Reading_ELA[],COLUMN(INDIRECT("YES_Reading_ELA[Difference - Per "&amp;VLOOKUP($G$4,'Reading Report Logic'!$A$2:$B$8,2,FALSE)&amp;"]")),FALSE)),
IF(VLOOKUP($A46, YES_Reading_FLA[], COLUMN(INDIRECT("YES_Reading_FLA[Difference - Per "&amp;VLOOKUP($G$4, 'Reading Report Logic'!$A$2:$B$8, 2, FALSE)&amp;"]")),FALSE)="", "", VLOOKUP($A46,YES_Reading_FLA[],COLUMN(INDIRECT("YES_Reading_FLA[Difference - Per "&amp;VLOOKUP($G$4, 'Reading Report Logic'!$A$2:$B$8, 2, FALSE)&amp;"]")),FALSE))),""))),"")</f>
        <v/>
      </c>
    </row>
    <row r="47" spans="1:15" ht="14.25" customHeight="1" x14ac:dyDescent="0.25">
      <c r="A47" s="137"/>
      <c r="B47" s="137" t="str">
        <f>IFERROR(INDEX(_xlfn.VSTACK(YES_Writing_ELA[#Data], YES_Writing_FLA[#Data]),MATCH($A47,_xlfn.VSTACK(YES_Writing_ELA[Student Number], YES_Writing_FLA[Student Number]),0),MATCH(B$7,YES_Writing_ELA[#Headers],0)),IFERROR(INDEX(_xlfn.VSTACK(YES_Reading_ELA[#Data], YES_Reading_FLA[#Data]),MATCH($A47,_xlfn.VSTACK(YES_Reading_ELA[Student Number], YES_Reading_FLA[Student Number]),0),MATCH(B$7,YES_Reading_ELA[#Headers],0)),""))</f>
        <v/>
      </c>
      <c r="C47" s="137" t="str">
        <f>IFERROR(INDEX(_xlfn.VSTACK(YES_Writing_ELA[#Data], YES_Writing_FLA[#Data]),MATCH($A47,_xlfn.VSTACK(YES_Writing_ELA[Student Number], YES_Writing_FLA[Student Number]),0),MATCH(C$7,YES_Writing_ELA[#Headers],0)),IFERROR(INDEX(_xlfn.VSTACK(YES_Reading_ELA[#Data], YES_Reading_FLA[#Data]),MATCH($A47,_xlfn.VSTACK(YES_Reading_ELA[Student Number], YES_Reading_FLA[Student Number]),0),MATCH(C$7,YES_Reading_ELA[#Headers],0)),""))</f>
        <v/>
      </c>
      <c r="D47" s="138" t="str">
        <f>IFERROR(IF(IF(INDEX(_xlfn.VSTACK(YES_Writing_ELA[#Data],YES_Writing_FLA[#Data]),MATCH($A47,_xlfn.VSTACK(YES_Writing_ELA[Student Number],YES_Writing_FLA[Student Number]),0),MATCH(VLOOKUP(D$7,'Writing Logic'!$J$7:$K$11,2,FALSE)&amp;" - Per "&amp;VLOOKUP($C$4,'Writing Logic'!$G$8:$H$14,2,FALSE),YES_Writing_ELA[#Headers],0))=0,"",INDEX(_xlfn.VSTACK(YES_Writing_ELA[#Data],YES_Writing_FLA[#Data]),MATCH($A47,_xlfn.VSTACK(YES_Writing_ELA[Student Number],YES_Writing_FLA[Student Number]),0),MATCH(VLOOKUP(D$7,'Writing Logic'!$J$7:$K$11,2,FALSE)&amp;" - Per "&amp;VLOOKUP($C$4,'Writing Logic'!$G$8:$H$14,2,FALSE),YES_Writing_ELA[#Headers],0)))="INS",'Writing Logic'!$B$7,IF(INDEX(_xlfn.VSTACK(YES_Writing_ELA[#Data],YES_Writing_FLA[#Data]),MATCH($A47,_xlfn.VSTACK(YES_Writing_ELA[Student Number],YES_Writing_FLA[Student Number]),0),MATCH(VLOOKUP(D$7,'Writing Logic'!$J$7:$K$11,2,FALSE)&amp;" - Per "&amp;VLOOKUP($C$4,'Writing Logic'!$G$8:$H$14,2,FALSE),YES_Writing_ELA[#Headers],0))=0,"",INDEX(_xlfn.VSTACK(YES_Writing_ELA[#Data],YES_Writing_FLA[#Data]),MATCH($A47,_xlfn.VSTACK(YES_Writing_ELA[Student Number],YES_Writing_FLA[Student Number]),0),MATCH(VLOOKUP(D$7,'Writing Logic'!$J$7:$K$11,2,FALSE)&amp;" - Per "&amp;VLOOKUP($C$4,'Writing Logic'!$G$8:$H$14,2,FALSE),YES_Writing_ELA[#Headers],0)))),"")</f>
        <v/>
      </c>
      <c r="E47" s="138" t="str">
        <f>IFERROR(IF(IF(INDEX(_xlfn.VSTACK(YES_Writing_ELA[#Data],YES_Writing_FLA[#Data]),MATCH($A47,_xlfn.VSTACK(YES_Writing_ELA[Student Number],YES_Writing_FLA[Student Number]),0),MATCH(VLOOKUP(E$7,'Writing Logic'!$J$7:$K$11,2,FALSE)&amp;" - Per "&amp;VLOOKUP($C$4,'Writing Logic'!$G$8:$H$14,2,FALSE),YES_Writing_ELA[#Headers],0))=0,"",INDEX(_xlfn.VSTACK(YES_Writing_ELA[#Data],YES_Writing_FLA[#Data]),MATCH($A47,_xlfn.VSTACK(YES_Writing_ELA[Student Number],YES_Writing_FLA[Student Number]),0),MATCH(VLOOKUP(E$7,'Writing Logic'!$J$7:$K$11,2,FALSE)&amp;" - Per "&amp;VLOOKUP($C$4,'Writing Logic'!$G$8:$H$14,2,FALSE),YES_Writing_ELA[#Headers],0)))="INS",'Writing Logic'!$B$7,IF(INDEX(_xlfn.VSTACK(YES_Writing_ELA[#Data],YES_Writing_FLA[#Data]),MATCH($A47,_xlfn.VSTACK(YES_Writing_ELA[Student Number],YES_Writing_FLA[Student Number]),0),MATCH(VLOOKUP(E$7,'Writing Logic'!$J$7:$K$11,2,FALSE)&amp;" - Per "&amp;VLOOKUP($C$4,'Writing Logic'!$G$8:$H$14,2,FALSE),YES_Writing_ELA[#Headers],0))=0,"",INDEX(_xlfn.VSTACK(YES_Writing_ELA[#Data],YES_Writing_FLA[#Data]),MATCH($A47,_xlfn.VSTACK(YES_Writing_ELA[Student Number],YES_Writing_FLA[Student Number]),0),MATCH(VLOOKUP(E$7,'Writing Logic'!$J$7:$K$11,2,FALSE)&amp;" - Per "&amp;VLOOKUP($C$4,'Writing Logic'!$G$8:$H$14,2,FALSE),YES_Writing_ELA[#Headers],0)))),"")</f>
        <v/>
      </c>
      <c r="F47" s="138" t="str">
        <f>IFERROR(IF(IF(INDEX(_xlfn.VSTACK(YES_Writing_ELA[#Data],YES_Writing_FLA[#Data]),MATCH($A47,_xlfn.VSTACK(YES_Writing_ELA[Student Number],YES_Writing_FLA[Student Number]),0),MATCH(VLOOKUP(F$7,'Writing Logic'!$J$7:$K$11,2,FALSE)&amp;" - Per "&amp;VLOOKUP($C$4,'Writing Logic'!$G$8:$H$14,2,FALSE),YES_Writing_ELA[#Headers],0))=0,"",INDEX(_xlfn.VSTACK(YES_Writing_ELA[#Data],YES_Writing_FLA[#Data]),MATCH($A47,_xlfn.VSTACK(YES_Writing_ELA[Student Number],YES_Writing_FLA[Student Number]),0),MATCH(VLOOKUP(F$7,'Writing Logic'!$J$7:$K$11,2,FALSE)&amp;" - Per "&amp;VLOOKUP($C$4,'Writing Logic'!$G$8:$H$14,2,FALSE),YES_Writing_ELA[#Headers],0)))="INS",'Writing Logic'!$B$7,IF(INDEX(_xlfn.VSTACK(YES_Writing_ELA[#Data],YES_Writing_FLA[#Data]),MATCH($A47,_xlfn.VSTACK(YES_Writing_ELA[Student Number],YES_Writing_FLA[Student Number]),0),MATCH(VLOOKUP(F$7,'Writing Logic'!$J$7:$K$11,2,FALSE)&amp;" - Per "&amp;VLOOKUP($C$4,'Writing Logic'!$G$8:$H$14,2,FALSE),YES_Writing_ELA[#Headers],0))=0,"",INDEX(_xlfn.VSTACK(YES_Writing_ELA[#Data],YES_Writing_FLA[#Data]),MATCH($A47,_xlfn.VSTACK(YES_Writing_ELA[Student Number],YES_Writing_FLA[Student Number]),0),MATCH(VLOOKUP(F$7,'Writing Logic'!$J$7:$K$11,2,FALSE)&amp;" - Per "&amp;VLOOKUP($C$4,'Writing Logic'!$G$8:$H$14,2,FALSE),YES_Writing_ELA[#Headers],0)))),"")</f>
        <v/>
      </c>
      <c r="G47" s="138" t="str">
        <f>IFERROR(IF(IF(INDEX(_xlfn.VSTACK(YES_Writing_ELA[#Data],YES_Writing_FLA[#Data]),MATCH($A47,_xlfn.VSTACK(YES_Writing_ELA[Student Number],YES_Writing_FLA[Student Number]),0),MATCH(VLOOKUP(G$7,'Writing Logic'!$J$7:$K$11,2,FALSE)&amp;" - Per "&amp;VLOOKUP($C$4,'Writing Logic'!$G$8:$H$14,2,FALSE),YES_Writing_ELA[#Headers],0))=0,"",INDEX(_xlfn.VSTACK(YES_Writing_ELA[#Data],YES_Writing_FLA[#Data]),MATCH($A47,_xlfn.VSTACK(YES_Writing_ELA[Student Number],YES_Writing_FLA[Student Number]),0),MATCH(VLOOKUP(G$7,'Writing Logic'!$J$7:$K$11,2,FALSE)&amp;" - Per "&amp;VLOOKUP($C$4,'Writing Logic'!$G$8:$H$14,2,FALSE),YES_Writing_ELA[#Headers],0)))="INS",'Writing Logic'!$B$7,IF(INDEX(_xlfn.VSTACK(YES_Writing_ELA[#Data],YES_Writing_FLA[#Data]),MATCH($A47,_xlfn.VSTACK(YES_Writing_ELA[Student Number],YES_Writing_FLA[Student Number]),0),MATCH(VLOOKUP(G$7,'Writing Logic'!$J$7:$K$11,2,FALSE)&amp;" - Per "&amp;VLOOKUP($C$4,'Writing Logic'!$G$8:$H$14,2,FALSE),YES_Writing_ELA[#Headers],0))=0,"",INDEX(_xlfn.VSTACK(YES_Writing_ELA[#Data],YES_Writing_FLA[#Data]),MATCH($A47,_xlfn.VSTACK(YES_Writing_ELA[Student Number],YES_Writing_FLA[Student Number]),0),MATCH(VLOOKUP(G$7,'Writing Logic'!$J$7:$K$11,2,FALSE)&amp;" - Per "&amp;VLOOKUP($C$4,'Writing Logic'!$G$8:$H$14,2,FALSE),YES_Writing_ELA[#Headers],0)))),"")</f>
        <v/>
      </c>
      <c r="H47" s="223" t="str">
        <f>IFERROR(IF(IF(INDEX(_xlfn.VSTACK(YES_Writing_ELA[#Data],YES_Writing_FLA[#Data]),MATCH($A47,_xlfn.VSTACK(YES_Writing_ELA[Student Number],YES_Writing_FLA[Student Number]),0),MATCH(VLOOKUP(H$7,'Writing Logic'!$J$7:$K$11,2,FALSE)&amp;" - Per "&amp;VLOOKUP($C$4,'Writing Logic'!$G$8:$H$14,2,FALSE),YES_Writing_ELA[#Headers],0))=0,"",INDEX(_xlfn.VSTACK(YES_Writing_ELA[#Data],YES_Writing_FLA[#Data]),MATCH($A47,_xlfn.VSTACK(YES_Writing_ELA[Student Number],YES_Writing_FLA[Student Number]),0),MATCH(VLOOKUP(H$7,'Writing Logic'!$J$7:$K$11,2,FALSE)&amp;" - Per "&amp;VLOOKUP($C$4,'Writing Logic'!$G$8:$H$14,2,FALSE),YES_Writing_ELA[#Headers],0)))="INS",'Writing Logic'!$B$7,IF(INDEX(_xlfn.VSTACK(YES_Writing_ELA[#Data],YES_Writing_FLA[#Data]),MATCH($A47,_xlfn.VSTACK(YES_Writing_ELA[Student Number],YES_Writing_FLA[Student Number]),0),MATCH(VLOOKUP(H$7,'Writing Logic'!$J$7:$K$11,2,FALSE)&amp;" - Per "&amp;VLOOKUP($C$4,'Writing Logic'!$G$8:$H$14,2,FALSE),YES_Writing_ELA[#Headers],0))=0,"",INDEX(_xlfn.VSTACK(YES_Writing_ELA[#Data],YES_Writing_FLA[#Data]),MATCH($A47,_xlfn.VSTACK(YES_Writing_ELA[Student Number],YES_Writing_FLA[Student Number]),0),MATCH(VLOOKUP(H$7,'Writing Logic'!$J$7:$K$11,2,FALSE)&amp;" - Per "&amp;VLOOKUP($C$4,'Writing Logic'!$G$8:$H$14,2,FALSE),YES_Writing_ELA[#Headers],0)))),"")</f>
        <v/>
      </c>
      <c r="I47" s="224" t="str" cm="1">
        <f t="array" aca="1" ref="I47" ca="1">IFERROR(
IF($G$3="ELA",
IF(VLOOKUP($A47, YES_Reading_ELA[], COLUMN(INDIRECT("YES_Reading_ELA[Difference - Per "&amp;VLOOKUP($G$4, 'Reading Report Logic'!$A$2:$B$8, 2, FALSE)&amp;"]")), FALSE)="", "",
VLOOKUP($A47,YES_Reading_ELA[], COLUMN(INDIRECT("YES_Reading_ELA[Difference - Per "&amp;VLOOKUP($G$4,'Reading Report Logic'!$A$2:$B$8,2,FALSE)&amp;"]")), FALSE)),
IF($G$3="FLA",
IF(VLOOKUP($A47, YES_Reading_FLA[], COLUMN(INDIRECT("YES_Reading_FLA[Difference - Per "&amp;VLOOKUP($G$4,'Reading Report Logic'!$A$2:$B$8,2,FALSE)&amp;"]")),FALSE)="","",
VLOOKUP($A47,YES_Reading_FLA[],COLUMN(INDIRECT("YES_Reading_FLA[Difference - Per "&amp;VLOOKUP($G$4,'Reading Report Logic'!$A$2:$B$8,2,FALSE)&amp;"]")),FALSE)),
IF($G$3="Combined",
IFERROR(
IF(VLOOKUP($A47, YES_Reading_ELA[], COLUMN(INDIRECT("YES_Reading_ELA[Difference - Per "&amp;VLOOKUP($G$4, 'Reading Report Logic'!$A$2:$B$8,2,FALSE)&amp;"]")), FALSE)="", "",
VLOOKUP($A47,YES_Reading_ELA[],COLUMN(INDIRECT("YES_Reading_ELA[Difference - Per "&amp;VLOOKUP($G$4,'Reading Report Logic'!$A$2:$B$8,2,FALSE)&amp;"]")),FALSE)),
IF(VLOOKUP($A47, YES_Reading_FLA[], COLUMN(INDIRECT("YES_Reading_FLA[Difference - Per "&amp;VLOOKUP($G$4, 'Reading Report Logic'!$A$2:$B$8, 2, FALSE)&amp;"]")),FALSE)="", "", VLOOKUP($A47,YES_Reading_FLA[],COLUMN(INDIRECT("YES_Reading_FLA[Difference - Per "&amp;VLOOKUP($G$4, 'Reading Report Logic'!$A$2:$B$8, 2, FALSE)&amp;"]")),FALSE))),""))),"")</f>
        <v/>
      </c>
    </row>
    <row r="48" spans="1:15" ht="14.25" customHeight="1" x14ac:dyDescent="0.25">
      <c r="A48" s="137"/>
      <c r="B48" s="137" t="str">
        <f>IFERROR(INDEX(_xlfn.VSTACK(YES_Writing_ELA[#Data], YES_Writing_FLA[#Data]),MATCH($A48,_xlfn.VSTACK(YES_Writing_ELA[Student Number], YES_Writing_FLA[Student Number]),0),MATCH(B$7,YES_Writing_ELA[#Headers],0)),IFERROR(INDEX(_xlfn.VSTACK(YES_Reading_ELA[#Data], YES_Reading_FLA[#Data]),MATCH($A48,_xlfn.VSTACK(YES_Reading_ELA[Student Number], YES_Reading_FLA[Student Number]),0),MATCH(B$7,YES_Reading_ELA[#Headers],0)),""))</f>
        <v/>
      </c>
      <c r="C48" s="137" t="str">
        <f>IFERROR(INDEX(_xlfn.VSTACK(YES_Writing_ELA[#Data], YES_Writing_FLA[#Data]),MATCH($A48,_xlfn.VSTACK(YES_Writing_ELA[Student Number], YES_Writing_FLA[Student Number]),0),MATCH(C$7,YES_Writing_ELA[#Headers],0)),IFERROR(INDEX(_xlfn.VSTACK(YES_Reading_ELA[#Data], YES_Reading_FLA[#Data]),MATCH($A48,_xlfn.VSTACK(YES_Reading_ELA[Student Number], YES_Reading_FLA[Student Number]),0),MATCH(C$7,YES_Reading_ELA[#Headers],0)),""))</f>
        <v/>
      </c>
      <c r="D48" s="138" t="str">
        <f>IFERROR(IF(IF(INDEX(_xlfn.VSTACK(YES_Writing_ELA[#Data],YES_Writing_FLA[#Data]),MATCH($A48,_xlfn.VSTACK(YES_Writing_ELA[Student Number],YES_Writing_FLA[Student Number]),0),MATCH(VLOOKUP(D$7,'Writing Logic'!$J$7:$K$11,2,FALSE)&amp;" - Per "&amp;VLOOKUP($C$4,'Writing Logic'!$G$8:$H$14,2,FALSE),YES_Writing_ELA[#Headers],0))=0,"",INDEX(_xlfn.VSTACK(YES_Writing_ELA[#Data],YES_Writing_FLA[#Data]),MATCH($A48,_xlfn.VSTACK(YES_Writing_ELA[Student Number],YES_Writing_FLA[Student Number]),0),MATCH(VLOOKUP(D$7,'Writing Logic'!$J$7:$K$11,2,FALSE)&amp;" - Per "&amp;VLOOKUP($C$4,'Writing Logic'!$G$8:$H$14,2,FALSE),YES_Writing_ELA[#Headers],0)))="INS",'Writing Logic'!$B$7,IF(INDEX(_xlfn.VSTACK(YES_Writing_ELA[#Data],YES_Writing_FLA[#Data]),MATCH($A48,_xlfn.VSTACK(YES_Writing_ELA[Student Number],YES_Writing_FLA[Student Number]),0),MATCH(VLOOKUP(D$7,'Writing Logic'!$J$7:$K$11,2,FALSE)&amp;" - Per "&amp;VLOOKUP($C$4,'Writing Logic'!$G$8:$H$14,2,FALSE),YES_Writing_ELA[#Headers],0))=0,"",INDEX(_xlfn.VSTACK(YES_Writing_ELA[#Data],YES_Writing_FLA[#Data]),MATCH($A48,_xlfn.VSTACK(YES_Writing_ELA[Student Number],YES_Writing_FLA[Student Number]),0),MATCH(VLOOKUP(D$7,'Writing Logic'!$J$7:$K$11,2,FALSE)&amp;" - Per "&amp;VLOOKUP($C$4,'Writing Logic'!$G$8:$H$14,2,FALSE),YES_Writing_ELA[#Headers],0)))),"")</f>
        <v/>
      </c>
      <c r="E48" s="138" t="str">
        <f>IFERROR(IF(IF(INDEX(_xlfn.VSTACK(YES_Writing_ELA[#Data],YES_Writing_FLA[#Data]),MATCH($A48,_xlfn.VSTACK(YES_Writing_ELA[Student Number],YES_Writing_FLA[Student Number]),0),MATCH(VLOOKUP(E$7,'Writing Logic'!$J$7:$K$11,2,FALSE)&amp;" - Per "&amp;VLOOKUP($C$4,'Writing Logic'!$G$8:$H$14,2,FALSE),YES_Writing_ELA[#Headers],0))=0,"",INDEX(_xlfn.VSTACK(YES_Writing_ELA[#Data],YES_Writing_FLA[#Data]),MATCH($A48,_xlfn.VSTACK(YES_Writing_ELA[Student Number],YES_Writing_FLA[Student Number]),0),MATCH(VLOOKUP(E$7,'Writing Logic'!$J$7:$K$11,2,FALSE)&amp;" - Per "&amp;VLOOKUP($C$4,'Writing Logic'!$G$8:$H$14,2,FALSE),YES_Writing_ELA[#Headers],0)))="INS",'Writing Logic'!$B$7,IF(INDEX(_xlfn.VSTACK(YES_Writing_ELA[#Data],YES_Writing_FLA[#Data]),MATCH($A48,_xlfn.VSTACK(YES_Writing_ELA[Student Number],YES_Writing_FLA[Student Number]),0),MATCH(VLOOKUP(E$7,'Writing Logic'!$J$7:$K$11,2,FALSE)&amp;" - Per "&amp;VLOOKUP($C$4,'Writing Logic'!$G$8:$H$14,2,FALSE),YES_Writing_ELA[#Headers],0))=0,"",INDEX(_xlfn.VSTACK(YES_Writing_ELA[#Data],YES_Writing_FLA[#Data]),MATCH($A48,_xlfn.VSTACK(YES_Writing_ELA[Student Number],YES_Writing_FLA[Student Number]),0),MATCH(VLOOKUP(E$7,'Writing Logic'!$J$7:$K$11,2,FALSE)&amp;" - Per "&amp;VLOOKUP($C$4,'Writing Logic'!$G$8:$H$14,2,FALSE),YES_Writing_ELA[#Headers],0)))),"")</f>
        <v/>
      </c>
      <c r="F48" s="138" t="str">
        <f>IFERROR(IF(IF(INDEX(_xlfn.VSTACK(YES_Writing_ELA[#Data],YES_Writing_FLA[#Data]),MATCH($A48,_xlfn.VSTACK(YES_Writing_ELA[Student Number],YES_Writing_FLA[Student Number]),0),MATCH(VLOOKUP(F$7,'Writing Logic'!$J$7:$K$11,2,FALSE)&amp;" - Per "&amp;VLOOKUP($C$4,'Writing Logic'!$G$8:$H$14,2,FALSE),YES_Writing_ELA[#Headers],0))=0,"",INDEX(_xlfn.VSTACK(YES_Writing_ELA[#Data],YES_Writing_FLA[#Data]),MATCH($A48,_xlfn.VSTACK(YES_Writing_ELA[Student Number],YES_Writing_FLA[Student Number]),0),MATCH(VLOOKUP(F$7,'Writing Logic'!$J$7:$K$11,2,FALSE)&amp;" - Per "&amp;VLOOKUP($C$4,'Writing Logic'!$G$8:$H$14,2,FALSE),YES_Writing_ELA[#Headers],0)))="INS",'Writing Logic'!$B$7,IF(INDEX(_xlfn.VSTACK(YES_Writing_ELA[#Data],YES_Writing_FLA[#Data]),MATCH($A48,_xlfn.VSTACK(YES_Writing_ELA[Student Number],YES_Writing_FLA[Student Number]),0),MATCH(VLOOKUP(F$7,'Writing Logic'!$J$7:$K$11,2,FALSE)&amp;" - Per "&amp;VLOOKUP($C$4,'Writing Logic'!$G$8:$H$14,2,FALSE),YES_Writing_ELA[#Headers],0))=0,"",INDEX(_xlfn.VSTACK(YES_Writing_ELA[#Data],YES_Writing_FLA[#Data]),MATCH($A48,_xlfn.VSTACK(YES_Writing_ELA[Student Number],YES_Writing_FLA[Student Number]),0),MATCH(VLOOKUP(F$7,'Writing Logic'!$J$7:$K$11,2,FALSE)&amp;" - Per "&amp;VLOOKUP($C$4,'Writing Logic'!$G$8:$H$14,2,FALSE),YES_Writing_ELA[#Headers],0)))),"")</f>
        <v/>
      </c>
      <c r="G48" s="138" t="str">
        <f>IFERROR(IF(IF(INDEX(_xlfn.VSTACK(YES_Writing_ELA[#Data],YES_Writing_FLA[#Data]),MATCH($A48,_xlfn.VSTACK(YES_Writing_ELA[Student Number],YES_Writing_FLA[Student Number]),0),MATCH(VLOOKUP(G$7,'Writing Logic'!$J$7:$K$11,2,FALSE)&amp;" - Per "&amp;VLOOKUP($C$4,'Writing Logic'!$G$8:$H$14,2,FALSE),YES_Writing_ELA[#Headers],0))=0,"",INDEX(_xlfn.VSTACK(YES_Writing_ELA[#Data],YES_Writing_FLA[#Data]),MATCH($A48,_xlfn.VSTACK(YES_Writing_ELA[Student Number],YES_Writing_FLA[Student Number]),0),MATCH(VLOOKUP(G$7,'Writing Logic'!$J$7:$K$11,2,FALSE)&amp;" - Per "&amp;VLOOKUP($C$4,'Writing Logic'!$G$8:$H$14,2,FALSE),YES_Writing_ELA[#Headers],0)))="INS",'Writing Logic'!$B$7,IF(INDEX(_xlfn.VSTACK(YES_Writing_ELA[#Data],YES_Writing_FLA[#Data]),MATCH($A48,_xlfn.VSTACK(YES_Writing_ELA[Student Number],YES_Writing_FLA[Student Number]),0),MATCH(VLOOKUP(G$7,'Writing Logic'!$J$7:$K$11,2,FALSE)&amp;" - Per "&amp;VLOOKUP($C$4,'Writing Logic'!$G$8:$H$14,2,FALSE),YES_Writing_ELA[#Headers],0))=0,"",INDEX(_xlfn.VSTACK(YES_Writing_ELA[#Data],YES_Writing_FLA[#Data]),MATCH($A48,_xlfn.VSTACK(YES_Writing_ELA[Student Number],YES_Writing_FLA[Student Number]),0),MATCH(VLOOKUP(G$7,'Writing Logic'!$J$7:$K$11,2,FALSE)&amp;" - Per "&amp;VLOOKUP($C$4,'Writing Logic'!$G$8:$H$14,2,FALSE),YES_Writing_ELA[#Headers],0)))),"")</f>
        <v/>
      </c>
      <c r="H48" s="223" t="str">
        <f>IFERROR(IF(IF(INDEX(_xlfn.VSTACK(YES_Writing_ELA[#Data],YES_Writing_FLA[#Data]),MATCH($A48,_xlfn.VSTACK(YES_Writing_ELA[Student Number],YES_Writing_FLA[Student Number]),0),MATCH(VLOOKUP(H$7,'Writing Logic'!$J$7:$K$11,2,FALSE)&amp;" - Per "&amp;VLOOKUP($C$4,'Writing Logic'!$G$8:$H$14,2,FALSE),YES_Writing_ELA[#Headers],0))=0,"",INDEX(_xlfn.VSTACK(YES_Writing_ELA[#Data],YES_Writing_FLA[#Data]),MATCH($A48,_xlfn.VSTACK(YES_Writing_ELA[Student Number],YES_Writing_FLA[Student Number]),0),MATCH(VLOOKUP(H$7,'Writing Logic'!$J$7:$K$11,2,FALSE)&amp;" - Per "&amp;VLOOKUP($C$4,'Writing Logic'!$G$8:$H$14,2,FALSE),YES_Writing_ELA[#Headers],0)))="INS",'Writing Logic'!$B$7,IF(INDEX(_xlfn.VSTACK(YES_Writing_ELA[#Data],YES_Writing_FLA[#Data]),MATCH($A48,_xlfn.VSTACK(YES_Writing_ELA[Student Number],YES_Writing_FLA[Student Number]),0),MATCH(VLOOKUP(H$7,'Writing Logic'!$J$7:$K$11,2,FALSE)&amp;" - Per "&amp;VLOOKUP($C$4,'Writing Logic'!$G$8:$H$14,2,FALSE),YES_Writing_ELA[#Headers],0))=0,"",INDEX(_xlfn.VSTACK(YES_Writing_ELA[#Data],YES_Writing_FLA[#Data]),MATCH($A48,_xlfn.VSTACK(YES_Writing_ELA[Student Number],YES_Writing_FLA[Student Number]),0),MATCH(VLOOKUP(H$7,'Writing Logic'!$J$7:$K$11,2,FALSE)&amp;" - Per "&amp;VLOOKUP($C$4,'Writing Logic'!$G$8:$H$14,2,FALSE),YES_Writing_ELA[#Headers],0)))),"")</f>
        <v/>
      </c>
      <c r="I48" s="224" t="str" cm="1">
        <f t="array" aca="1" ref="I48" ca="1">IFERROR(
IF($G$3="ELA",
IF(VLOOKUP($A48, YES_Reading_ELA[], COLUMN(INDIRECT("YES_Reading_ELA[Difference - Per "&amp;VLOOKUP($G$4, 'Reading Report Logic'!$A$2:$B$8, 2, FALSE)&amp;"]")), FALSE)="", "",
VLOOKUP($A48,YES_Reading_ELA[], COLUMN(INDIRECT("YES_Reading_ELA[Difference - Per "&amp;VLOOKUP($G$4,'Reading Report Logic'!$A$2:$B$8,2,FALSE)&amp;"]")), FALSE)),
IF($G$3="FLA",
IF(VLOOKUP($A48, YES_Reading_FLA[], COLUMN(INDIRECT("YES_Reading_FLA[Difference - Per "&amp;VLOOKUP($G$4,'Reading Report Logic'!$A$2:$B$8,2,FALSE)&amp;"]")),FALSE)="","",
VLOOKUP($A48,YES_Reading_FLA[],COLUMN(INDIRECT("YES_Reading_FLA[Difference - Per "&amp;VLOOKUP($G$4,'Reading Report Logic'!$A$2:$B$8,2,FALSE)&amp;"]")),FALSE)),
IF($G$3="Combined",
IFERROR(
IF(VLOOKUP($A48, YES_Reading_ELA[], COLUMN(INDIRECT("YES_Reading_ELA[Difference - Per "&amp;VLOOKUP($G$4, 'Reading Report Logic'!$A$2:$B$8,2,FALSE)&amp;"]")), FALSE)="", "",
VLOOKUP($A48,YES_Reading_ELA[],COLUMN(INDIRECT("YES_Reading_ELA[Difference - Per "&amp;VLOOKUP($G$4,'Reading Report Logic'!$A$2:$B$8,2,FALSE)&amp;"]")),FALSE)),
IF(VLOOKUP($A48, YES_Reading_FLA[], COLUMN(INDIRECT("YES_Reading_FLA[Difference - Per "&amp;VLOOKUP($G$4, 'Reading Report Logic'!$A$2:$B$8, 2, FALSE)&amp;"]")),FALSE)="", "", VLOOKUP($A48,YES_Reading_FLA[],COLUMN(INDIRECT("YES_Reading_FLA[Difference - Per "&amp;VLOOKUP($G$4, 'Reading Report Logic'!$A$2:$B$8, 2, FALSE)&amp;"]")),FALSE))),""))),"")</f>
        <v/>
      </c>
    </row>
    <row r="49" spans="1:9" ht="14.25" customHeight="1" x14ac:dyDescent="0.25">
      <c r="A49" s="137"/>
      <c r="B49" s="137" t="str">
        <f>IFERROR(INDEX(_xlfn.VSTACK(YES_Writing_ELA[#Data], YES_Writing_FLA[#Data]),MATCH($A49,_xlfn.VSTACK(YES_Writing_ELA[Student Number], YES_Writing_FLA[Student Number]),0),MATCH(B$7,YES_Writing_ELA[#Headers],0)),IFERROR(INDEX(_xlfn.VSTACK(YES_Reading_ELA[#Data], YES_Reading_FLA[#Data]),MATCH($A49,_xlfn.VSTACK(YES_Reading_ELA[Student Number], YES_Reading_FLA[Student Number]),0),MATCH(B$7,YES_Reading_ELA[#Headers],0)),""))</f>
        <v/>
      </c>
      <c r="C49" s="137" t="str">
        <f>IFERROR(INDEX(_xlfn.VSTACK(YES_Writing_ELA[#Data], YES_Writing_FLA[#Data]),MATCH($A49,_xlfn.VSTACK(YES_Writing_ELA[Student Number], YES_Writing_FLA[Student Number]),0),MATCH(C$7,YES_Writing_ELA[#Headers],0)),IFERROR(INDEX(_xlfn.VSTACK(YES_Reading_ELA[#Data], YES_Reading_FLA[#Data]),MATCH($A49,_xlfn.VSTACK(YES_Reading_ELA[Student Number], YES_Reading_FLA[Student Number]),0),MATCH(C$7,YES_Reading_ELA[#Headers],0)),""))</f>
        <v/>
      </c>
      <c r="D49" s="138" t="str">
        <f>IFERROR(IF(IF(INDEX(_xlfn.VSTACK(YES_Writing_ELA[#Data],YES_Writing_FLA[#Data]),MATCH($A49,_xlfn.VSTACK(YES_Writing_ELA[Student Number],YES_Writing_FLA[Student Number]),0),MATCH(VLOOKUP(D$7,'Writing Logic'!$J$7:$K$11,2,FALSE)&amp;" - Per "&amp;VLOOKUP($C$4,'Writing Logic'!$G$8:$H$14,2,FALSE),YES_Writing_ELA[#Headers],0))=0,"",INDEX(_xlfn.VSTACK(YES_Writing_ELA[#Data],YES_Writing_FLA[#Data]),MATCH($A49,_xlfn.VSTACK(YES_Writing_ELA[Student Number],YES_Writing_FLA[Student Number]),0),MATCH(VLOOKUP(D$7,'Writing Logic'!$J$7:$K$11,2,FALSE)&amp;" - Per "&amp;VLOOKUP($C$4,'Writing Logic'!$G$8:$H$14,2,FALSE),YES_Writing_ELA[#Headers],0)))="INS",'Writing Logic'!$B$7,IF(INDEX(_xlfn.VSTACK(YES_Writing_ELA[#Data],YES_Writing_FLA[#Data]),MATCH($A49,_xlfn.VSTACK(YES_Writing_ELA[Student Number],YES_Writing_FLA[Student Number]),0),MATCH(VLOOKUP(D$7,'Writing Logic'!$J$7:$K$11,2,FALSE)&amp;" - Per "&amp;VLOOKUP($C$4,'Writing Logic'!$G$8:$H$14,2,FALSE),YES_Writing_ELA[#Headers],0))=0,"",INDEX(_xlfn.VSTACK(YES_Writing_ELA[#Data],YES_Writing_FLA[#Data]),MATCH($A49,_xlfn.VSTACK(YES_Writing_ELA[Student Number],YES_Writing_FLA[Student Number]),0),MATCH(VLOOKUP(D$7,'Writing Logic'!$J$7:$K$11,2,FALSE)&amp;" - Per "&amp;VLOOKUP($C$4,'Writing Logic'!$G$8:$H$14,2,FALSE),YES_Writing_ELA[#Headers],0)))),"")</f>
        <v/>
      </c>
      <c r="E49" s="138" t="str">
        <f>IFERROR(IF(IF(INDEX(_xlfn.VSTACK(YES_Writing_ELA[#Data],YES_Writing_FLA[#Data]),MATCH($A49,_xlfn.VSTACK(YES_Writing_ELA[Student Number],YES_Writing_FLA[Student Number]),0),MATCH(VLOOKUP(E$7,'Writing Logic'!$J$7:$K$11,2,FALSE)&amp;" - Per "&amp;VLOOKUP($C$4,'Writing Logic'!$G$8:$H$14,2,FALSE),YES_Writing_ELA[#Headers],0))=0,"",INDEX(_xlfn.VSTACK(YES_Writing_ELA[#Data],YES_Writing_FLA[#Data]),MATCH($A49,_xlfn.VSTACK(YES_Writing_ELA[Student Number],YES_Writing_FLA[Student Number]),0),MATCH(VLOOKUP(E$7,'Writing Logic'!$J$7:$K$11,2,FALSE)&amp;" - Per "&amp;VLOOKUP($C$4,'Writing Logic'!$G$8:$H$14,2,FALSE),YES_Writing_ELA[#Headers],0)))="INS",'Writing Logic'!$B$7,IF(INDEX(_xlfn.VSTACK(YES_Writing_ELA[#Data],YES_Writing_FLA[#Data]),MATCH($A49,_xlfn.VSTACK(YES_Writing_ELA[Student Number],YES_Writing_FLA[Student Number]),0),MATCH(VLOOKUP(E$7,'Writing Logic'!$J$7:$K$11,2,FALSE)&amp;" - Per "&amp;VLOOKUP($C$4,'Writing Logic'!$G$8:$H$14,2,FALSE),YES_Writing_ELA[#Headers],0))=0,"",INDEX(_xlfn.VSTACK(YES_Writing_ELA[#Data],YES_Writing_FLA[#Data]),MATCH($A49,_xlfn.VSTACK(YES_Writing_ELA[Student Number],YES_Writing_FLA[Student Number]),0),MATCH(VLOOKUP(E$7,'Writing Logic'!$J$7:$K$11,2,FALSE)&amp;" - Per "&amp;VLOOKUP($C$4,'Writing Logic'!$G$8:$H$14,2,FALSE),YES_Writing_ELA[#Headers],0)))),"")</f>
        <v/>
      </c>
      <c r="F49" s="138" t="str">
        <f>IFERROR(IF(IF(INDEX(_xlfn.VSTACK(YES_Writing_ELA[#Data],YES_Writing_FLA[#Data]),MATCH($A49,_xlfn.VSTACK(YES_Writing_ELA[Student Number],YES_Writing_FLA[Student Number]),0),MATCH(VLOOKUP(F$7,'Writing Logic'!$J$7:$K$11,2,FALSE)&amp;" - Per "&amp;VLOOKUP($C$4,'Writing Logic'!$G$8:$H$14,2,FALSE),YES_Writing_ELA[#Headers],0))=0,"",INDEX(_xlfn.VSTACK(YES_Writing_ELA[#Data],YES_Writing_FLA[#Data]),MATCH($A49,_xlfn.VSTACK(YES_Writing_ELA[Student Number],YES_Writing_FLA[Student Number]),0),MATCH(VLOOKUP(F$7,'Writing Logic'!$J$7:$K$11,2,FALSE)&amp;" - Per "&amp;VLOOKUP($C$4,'Writing Logic'!$G$8:$H$14,2,FALSE),YES_Writing_ELA[#Headers],0)))="INS",'Writing Logic'!$B$7,IF(INDEX(_xlfn.VSTACK(YES_Writing_ELA[#Data],YES_Writing_FLA[#Data]),MATCH($A49,_xlfn.VSTACK(YES_Writing_ELA[Student Number],YES_Writing_FLA[Student Number]),0),MATCH(VLOOKUP(F$7,'Writing Logic'!$J$7:$K$11,2,FALSE)&amp;" - Per "&amp;VLOOKUP($C$4,'Writing Logic'!$G$8:$H$14,2,FALSE),YES_Writing_ELA[#Headers],0))=0,"",INDEX(_xlfn.VSTACK(YES_Writing_ELA[#Data],YES_Writing_FLA[#Data]),MATCH($A49,_xlfn.VSTACK(YES_Writing_ELA[Student Number],YES_Writing_FLA[Student Number]),0),MATCH(VLOOKUP(F$7,'Writing Logic'!$J$7:$K$11,2,FALSE)&amp;" - Per "&amp;VLOOKUP($C$4,'Writing Logic'!$G$8:$H$14,2,FALSE),YES_Writing_ELA[#Headers],0)))),"")</f>
        <v/>
      </c>
      <c r="G49" s="138" t="str">
        <f>IFERROR(IF(IF(INDEX(_xlfn.VSTACK(YES_Writing_ELA[#Data],YES_Writing_FLA[#Data]),MATCH($A49,_xlfn.VSTACK(YES_Writing_ELA[Student Number],YES_Writing_FLA[Student Number]),0),MATCH(VLOOKUP(G$7,'Writing Logic'!$J$7:$K$11,2,FALSE)&amp;" - Per "&amp;VLOOKUP($C$4,'Writing Logic'!$G$8:$H$14,2,FALSE),YES_Writing_ELA[#Headers],0))=0,"",INDEX(_xlfn.VSTACK(YES_Writing_ELA[#Data],YES_Writing_FLA[#Data]),MATCH($A49,_xlfn.VSTACK(YES_Writing_ELA[Student Number],YES_Writing_FLA[Student Number]),0),MATCH(VLOOKUP(G$7,'Writing Logic'!$J$7:$K$11,2,FALSE)&amp;" - Per "&amp;VLOOKUP($C$4,'Writing Logic'!$G$8:$H$14,2,FALSE),YES_Writing_ELA[#Headers],0)))="INS",'Writing Logic'!$B$7,IF(INDEX(_xlfn.VSTACK(YES_Writing_ELA[#Data],YES_Writing_FLA[#Data]),MATCH($A49,_xlfn.VSTACK(YES_Writing_ELA[Student Number],YES_Writing_FLA[Student Number]),0),MATCH(VLOOKUP(G$7,'Writing Logic'!$J$7:$K$11,2,FALSE)&amp;" - Per "&amp;VLOOKUP($C$4,'Writing Logic'!$G$8:$H$14,2,FALSE),YES_Writing_ELA[#Headers],0))=0,"",INDEX(_xlfn.VSTACK(YES_Writing_ELA[#Data],YES_Writing_FLA[#Data]),MATCH($A49,_xlfn.VSTACK(YES_Writing_ELA[Student Number],YES_Writing_FLA[Student Number]),0),MATCH(VLOOKUP(G$7,'Writing Logic'!$J$7:$K$11,2,FALSE)&amp;" - Per "&amp;VLOOKUP($C$4,'Writing Logic'!$G$8:$H$14,2,FALSE),YES_Writing_ELA[#Headers],0)))),"")</f>
        <v/>
      </c>
      <c r="H49" s="223" t="str">
        <f>IFERROR(IF(IF(INDEX(_xlfn.VSTACK(YES_Writing_ELA[#Data],YES_Writing_FLA[#Data]),MATCH($A49,_xlfn.VSTACK(YES_Writing_ELA[Student Number],YES_Writing_FLA[Student Number]),0),MATCH(VLOOKUP(H$7,'Writing Logic'!$J$7:$K$11,2,FALSE)&amp;" - Per "&amp;VLOOKUP($C$4,'Writing Logic'!$G$8:$H$14,2,FALSE),YES_Writing_ELA[#Headers],0))=0,"",INDEX(_xlfn.VSTACK(YES_Writing_ELA[#Data],YES_Writing_FLA[#Data]),MATCH($A49,_xlfn.VSTACK(YES_Writing_ELA[Student Number],YES_Writing_FLA[Student Number]),0),MATCH(VLOOKUP(H$7,'Writing Logic'!$J$7:$K$11,2,FALSE)&amp;" - Per "&amp;VLOOKUP($C$4,'Writing Logic'!$G$8:$H$14,2,FALSE),YES_Writing_ELA[#Headers],0)))="INS",'Writing Logic'!$B$7,IF(INDEX(_xlfn.VSTACK(YES_Writing_ELA[#Data],YES_Writing_FLA[#Data]),MATCH($A49,_xlfn.VSTACK(YES_Writing_ELA[Student Number],YES_Writing_FLA[Student Number]),0),MATCH(VLOOKUP(H$7,'Writing Logic'!$J$7:$K$11,2,FALSE)&amp;" - Per "&amp;VLOOKUP($C$4,'Writing Logic'!$G$8:$H$14,2,FALSE),YES_Writing_ELA[#Headers],0))=0,"",INDEX(_xlfn.VSTACK(YES_Writing_ELA[#Data],YES_Writing_FLA[#Data]),MATCH($A49,_xlfn.VSTACK(YES_Writing_ELA[Student Number],YES_Writing_FLA[Student Number]),0),MATCH(VLOOKUP(H$7,'Writing Logic'!$J$7:$K$11,2,FALSE)&amp;" - Per "&amp;VLOOKUP($C$4,'Writing Logic'!$G$8:$H$14,2,FALSE),YES_Writing_ELA[#Headers],0)))),"")</f>
        <v/>
      </c>
      <c r="I49" s="224" t="str" cm="1">
        <f t="array" aca="1" ref="I49" ca="1">IFERROR(
IF($G$3="ELA",
IF(VLOOKUP($A49, YES_Reading_ELA[], COLUMN(INDIRECT("YES_Reading_ELA[Difference - Per "&amp;VLOOKUP($G$4, 'Reading Report Logic'!$A$2:$B$8, 2, FALSE)&amp;"]")), FALSE)="", "",
VLOOKUP($A49,YES_Reading_ELA[], COLUMN(INDIRECT("YES_Reading_ELA[Difference - Per "&amp;VLOOKUP($G$4,'Reading Report Logic'!$A$2:$B$8,2,FALSE)&amp;"]")), FALSE)),
IF($G$3="FLA",
IF(VLOOKUP($A49, YES_Reading_FLA[], COLUMN(INDIRECT("YES_Reading_FLA[Difference - Per "&amp;VLOOKUP($G$4,'Reading Report Logic'!$A$2:$B$8,2,FALSE)&amp;"]")),FALSE)="","",
VLOOKUP($A49,YES_Reading_FLA[],COLUMN(INDIRECT("YES_Reading_FLA[Difference - Per "&amp;VLOOKUP($G$4,'Reading Report Logic'!$A$2:$B$8,2,FALSE)&amp;"]")),FALSE)),
IF($G$3="Combined",
IFERROR(
IF(VLOOKUP($A49, YES_Reading_ELA[], COLUMN(INDIRECT("YES_Reading_ELA[Difference - Per "&amp;VLOOKUP($G$4, 'Reading Report Logic'!$A$2:$B$8,2,FALSE)&amp;"]")), FALSE)="", "",
VLOOKUP($A49,YES_Reading_ELA[],COLUMN(INDIRECT("YES_Reading_ELA[Difference - Per "&amp;VLOOKUP($G$4,'Reading Report Logic'!$A$2:$B$8,2,FALSE)&amp;"]")),FALSE)),
IF(VLOOKUP($A49, YES_Reading_FLA[], COLUMN(INDIRECT("YES_Reading_FLA[Difference - Per "&amp;VLOOKUP($G$4, 'Reading Report Logic'!$A$2:$B$8, 2, FALSE)&amp;"]")),FALSE)="", "", VLOOKUP($A49,YES_Reading_FLA[],COLUMN(INDIRECT("YES_Reading_FLA[Difference - Per "&amp;VLOOKUP($G$4, 'Reading Report Logic'!$A$2:$B$8, 2, FALSE)&amp;"]")),FALSE))),""))),"")</f>
        <v/>
      </c>
    </row>
    <row r="50" spans="1:9" ht="14.25" customHeight="1" x14ac:dyDescent="0.25">
      <c r="A50" s="137"/>
      <c r="B50" s="137" t="str">
        <f>IFERROR(INDEX(_xlfn.VSTACK(YES_Writing_ELA[#Data], YES_Writing_FLA[#Data]),MATCH($A50,_xlfn.VSTACK(YES_Writing_ELA[Student Number], YES_Writing_FLA[Student Number]),0),MATCH(B$7,YES_Writing_ELA[#Headers],0)),IFERROR(INDEX(_xlfn.VSTACK(YES_Reading_ELA[#Data], YES_Reading_FLA[#Data]),MATCH($A50,_xlfn.VSTACK(YES_Reading_ELA[Student Number], YES_Reading_FLA[Student Number]),0),MATCH(B$7,YES_Reading_ELA[#Headers],0)),""))</f>
        <v/>
      </c>
      <c r="C50" s="137" t="str">
        <f>IFERROR(INDEX(_xlfn.VSTACK(YES_Writing_ELA[#Data], YES_Writing_FLA[#Data]),MATCH($A50,_xlfn.VSTACK(YES_Writing_ELA[Student Number], YES_Writing_FLA[Student Number]),0),MATCH(C$7,YES_Writing_ELA[#Headers],0)),IFERROR(INDEX(_xlfn.VSTACK(YES_Reading_ELA[#Data], YES_Reading_FLA[#Data]),MATCH($A50,_xlfn.VSTACK(YES_Reading_ELA[Student Number], YES_Reading_FLA[Student Number]),0),MATCH(C$7,YES_Reading_ELA[#Headers],0)),""))</f>
        <v/>
      </c>
      <c r="D50" s="138" t="str">
        <f>IFERROR(IF(IF(INDEX(_xlfn.VSTACK(YES_Writing_ELA[#Data],YES_Writing_FLA[#Data]),MATCH($A50,_xlfn.VSTACK(YES_Writing_ELA[Student Number],YES_Writing_FLA[Student Number]),0),MATCH(VLOOKUP(D$7,'Writing Logic'!$J$7:$K$11,2,FALSE)&amp;" - Per "&amp;VLOOKUP($C$4,'Writing Logic'!$G$8:$H$14,2,FALSE),YES_Writing_ELA[#Headers],0))=0,"",INDEX(_xlfn.VSTACK(YES_Writing_ELA[#Data],YES_Writing_FLA[#Data]),MATCH($A50,_xlfn.VSTACK(YES_Writing_ELA[Student Number],YES_Writing_FLA[Student Number]),0),MATCH(VLOOKUP(D$7,'Writing Logic'!$J$7:$K$11,2,FALSE)&amp;" - Per "&amp;VLOOKUP($C$4,'Writing Logic'!$G$8:$H$14,2,FALSE),YES_Writing_ELA[#Headers],0)))="INS",'Writing Logic'!$B$7,IF(INDEX(_xlfn.VSTACK(YES_Writing_ELA[#Data],YES_Writing_FLA[#Data]),MATCH($A50,_xlfn.VSTACK(YES_Writing_ELA[Student Number],YES_Writing_FLA[Student Number]),0),MATCH(VLOOKUP(D$7,'Writing Logic'!$J$7:$K$11,2,FALSE)&amp;" - Per "&amp;VLOOKUP($C$4,'Writing Logic'!$G$8:$H$14,2,FALSE),YES_Writing_ELA[#Headers],0))=0,"",INDEX(_xlfn.VSTACK(YES_Writing_ELA[#Data],YES_Writing_FLA[#Data]),MATCH($A50,_xlfn.VSTACK(YES_Writing_ELA[Student Number],YES_Writing_FLA[Student Number]),0),MATCH(VLOOKUP(D$7,'Writing Logic'!$J$7:$K$11,2,FALSE)&amp;" - Per "&amp;VLOOKUP($C$4,'Writing Logic'!$G$8:$H$14,2,FALSE),YES_Writing_ELA[#Headers],0)))),"")</f>
        <v/>
      </c>
      <c r="E50" s="138" t="str">
        <f>IFERROR(IF(IF(INDEX(_xlfn.VSTACK(YES_Writing_ELA[#Data],YES_Writing_FLA[#Data]),MATCH($A50,_xlfn.VSTACK(YES_Writing_ELA[Student Number],YES_Writing_FLA[Student Number]),0),MATCH(VLOOKUP(E$7,'Writing Logic'!$J$7:$K$11,2,FALSE)&amp;" - Per "&amp;VLOOKUP($C$4,'Writing Logic'!$G$8:$H$14,2,FALSE),YES_Writing_ELA[#Headers],0))=0,"",INDEX(_xlfn.VSTACK(YES_Writing_ELA[#Data],YES_Writing_FLA[#Data]),MATCH($A50,_xlfn.VSTACK(YES_Writing_ELA[Student Number],YES_Writing_FLA[Student Number]),0),MATCH(VLOOKUP(E$7,'Writing Logic'!$J$7:$K$11,2,FALSE)&amp;" - Per "&amp;VLOOKUP($C$4,'Writing Logic'!$G$8:$H$14,2,FALSE),YES_Writing_ELA[#Headers],0)))="INS",'Writing Logic'!$B$7,IF(INDEX(_xlfn.VSTACK(YES_Writing_ELA[#Data],YES_Writing_FLA[#Data]),MATCH($A50,_xlfn.VSTACK(YES_Writing_ELA[Student Number],YES_Writing_FLA[Student Number]),0),MATCH(VLOOKUP(E$7,'Writing Logic'!$J$7:$K$11,2,FALSE)&amp;" - Per "&amp;VLOOKUP($C$4,'Writing Logic'!$G$8:$H$14,2,FALSE),YES_Writing_ELA[#Headers],0))=0,"",INDEX(_xlfn.VSTACK(YES_Writing_ELA[#Data],YES_Writing_FLA[#Data]),MATCH($A50,_xlfn.VSTACK(YES_Writing_ELA[Student Number],YES_Writing_FLA[Student Number]),0),MATCH(VLOOKUP(E$7,'Writing Logic'!$J$7:$K$11,2,FALSE)&amp;" - Per "&amp;VLOOKUP($C$4,'Writing Logic'!$G$8:$H$14,2,FALSE),YES_Writing_ELA[#Headers],0)))),"")</f>
        <v/>
      </c>
      <c r="F50" s="138" t="str">
        <f>IFERROR(IF(IF(INDEX(_xlfn.VSTACK(YES_Writing_ELA[#Data],YES_Writing_FLA[#Data]),MATCH($A50,_xlfn.VSTACK(YES_Writing_ELA[Student Number],YES_Writing_FLA[Student Number]),0),MATCH(VLOOKUP(F$7,'Writing Logic'!$J$7:$K$11,2,FALSE)&amp;" - Per "&amp;VLOOKUP($C$4,'Writing Logic'!$G$8:$H$14,2,FALSE),YES_Writing_ELA[#Headers],0))=0,"",INDEX(_xlfn.VSTACK(YES_Writing_ELA[#Data],YES_Writing_FLA[#Data]),MATCH($A50,_xlfn.VSTACK(YES_Writing_ELA[Student Number],YES_Writing_FLA[Student Number]),0),MATCH(VLOOKUP(F$7,'Writing Logic'!$J$7:$K$11,2,FALSE)&amp;" - Per "&amp;VLOOKUP($C$4,'Writing Logic'!$G$8:$H$14,2,FALSE),YES_Writing_ELA[#Headers],0)))="INS",'Writing Logic'!$B$7,IF(INDEX(_xlfn.VSTACK(YES_Writing_ELA[#Data],YES_Writing_FLA[#Data]),MATCH($A50,_xlfn.VSTACK(YES_Writing_ELA[Student Number],YES_Writing_FLA[Student Number]),0),MATCH(VLOOKUP(F$7,'Writing Logic'!$J$7:$K$11,2,FALSE)&amp;" - Per "&amp;VLOOKUP($C$4,'Writing Logic'!$G$8:$H$14,2,FALSE),YES_Writing_ELA[#Headers],0))=0,"",INDEX(_xlfn.VSTACK(YES_Writing_ELA[#Data],YES_Writing_FLA[#Data]),MATCH($A50,_xlfn.VSTACK(YES_Writing_ELA[Student Number],YES_Writing_FLA[Student Number]),0),MATCH(VLOOKUP(F$7,'Writing Logic'!$J$7:$K$11,2,FALSE)&amp;" - Per "&amp;VLOOKUP($C$4,'Writing Logic'!$G$8:$H$14,2,FALSE),YES_Writing_ELA[#Headers],0)))),"")</f>
        <v/>
      </c>
      <c r="G50" s="138" t="str">
        <f>IFERROR(IF(IF(INDEX(_xlfn.VSTACK(YES_Writing_ELA[#Data],YES_Writing_FLA[#Data]),MATCH($A50,_xlfn.VSTACK(YES_Writing_ELA[Student Number],YES_Writing_FLA[Student Number]),0),MATCH(VLOOKUP(G$7,'Writing Logic'!$J$7:$K$11,2,FALSE)&amp;" - Per "&amp;VLOOKUP($C$4,'Writing Logic'!$G$8:$H$14,2,FALSE),YES_Writing_ELA[#Headers],0))=0,"",INDEX(_xlfn.VSTACK(YES_Writing_ELA[#Data],YES_Writing_FLA[#Data]),MATCH($A50,_xlfn.VSTACK(YES_Writing_ELA[Student Number],YES_Writing_FLA[Student Number]),0),MATCH(VLOOKUP(G$7,'Writing Logic'!$J$7:$K$11,2,FALSE)&amp;" - Per "&amp;VLOOKUP($C$4,'Writing Logic'!$G$8:$H$14,2,FALSE),YES_Writing_ELA[#Headers],0)))="INS",'Writing Logic'!$B$7,IF(INDEX(_xlfn.VSTACK(YES_Writing_ELA[#Data],YES_Writing_FLA[#Data]),MATCH($A50,_xlfn.VSTACK(YES_Writing_ELA[Student Number],YES_Writing_FLA[Student Number]),0),MATCH(VLOOKUP(G$7,'Writing Logic'!$J$7:$K$11,2,FALSE)&amp;" - Per "&amp;VLOOKUP($C$4,'Writing Logic'!$G$8:$H$14,2,FALSE),YES_Writing_ELA[#Headers],0))=0,"",INDEX(_xlfn.VSTACK(YES_Writing_ELA[#Data],YES_Writing_FLA[#Data]),MATCH($A50,_xlfn.VSTACK(YES_Writing_ELA[Student Number],YES_Writing_FLA[Student Number]),0),MATCH(VLOOKUP(G$7,'Writing Logic'!$J$7:$K$11,2,FALSE)&amp;" - Per "&amp;VLOOKUP($C$4,'Writing Logic'!$G$8:$H$14,2,FALSE),YES_Writing_ELA[#Headers],0)))),"")</f>
        <v/>
      </c>
      <c r="H50" s="223" t="str">
        <f>IFERROR(IF(IF(INDEX(_xlfn.VSTACK(YES_Writing_ELA[#Data],YES_Writing_FLA[#Data]),MATCH($A50,_xlfn.VSTACK(YES_Writing_ELA[Student Number],YES_Writing_FLA[Student Number]),0),MATCH(VLOOKUP(H$7,'Writing Logic'!$J$7:$K$11,2,FALSE)&amp;" - Per "&amp;VLOOKUP($C$4,'Writing Logic'!$G$8:$H$14,2,FALSE),YES_Writing_ELA[#Headers],0))=0,"",INDEX(_xlfn.VSTACK(YES_Writing_ELA[#Data],YES_Writing_FLA[#Data]),MATCH($A50,_xlfn.VSTACK(YES_Writing_ELA[Student Number],YES_Writing_FLA[Student Number]),0),MATCH(VLOOKUP(H$7,'Writing Logic'!$J$7:$K$11,2,FALSE)&amp;" - Per "&amp;VLOOKUP($C$4,'Writing Logic'!$G$8:$H$14,2,FALSE),YES_Writing_ELA[#Headers],0)))="INS",'Writing Logic'!$B$7,IF(INDEX(_xlfn.VSTACK(YES_Writing_ELA[#Data],YES_Writing_FLA[#Data]),MATCH($A50,_xlfn.VSTACK(YES_Writing_ELA[Student Number],YES_Writing_FLA[Student Number]),0),MATCH(VLOOKUP(H$7,'Writing Logic'!$J$7:$K$11,2,FALSE)&amp;" - Per "&amp;VLOOKUP($C$4,'Writing Logic'!$G$8:$H$14,2,FALSE),YES_Writing_ELA[#Headers],0))=0,"",INDEX(_xlfn.VSTACK(YES_Writing_ELA[#Data],YES_Writing_FLA[#Data]),MATCH($A50,_xlfn.VSTACK(YES_Writing_ELA[Student Number],YES_Writing_FLA[Student Number]),0),MATCH(VLOOKUP(H$7,'Writing Logic'!$J$7:$K$11,2,FALSE)&amp;" - Per "&amp;VLOOKUP($C$4,'Writing Logic'!$G$8:$H$14,2,FALSE),YES_Writing_ELA[#Headers],0)))),"")</f>
        <v/>
      </c>
      <c r="I50" s="224" t="str" cm="1">
        <f t="array" aca="1" ref="I50" ca="1">IFERROR(
IF($G$3="ELA",
IF(VLOOKUP($A50, YES_Reading_ELA[], COLUMN(INDIRECT("YES_Reading_ELA[Difference - Per "&amp;VLOOKUP($G$4, 'Reading Report Logic'!$A$2:$B$8, 2, FALSE)&amp;"]")), FALSE)="", "",
VLOOKUP($A50,YES_Reading_ELA[], COLUMN(INDIRECT("YES_Reading_ELA[Difference - Per "&amp;VLOOKUP($G$4,'Reading Report Logic'!$A$2:$B$8,2,FALSE)&amp;"]")), FALSE)),
IF($G$3="FLA",
IF(VLOOKUP($A50, YES_Reading_FLA[], COLUMN(INDIRECT("YES_Reading_FLA[Difference - Per "&amp;VLOOKUP($G$4,'Reading Report Logic'!$A$2:$B$8,2,FALSE)&amp;"]")),FALSE)="","",
VLOOKUP($A50,YES_Reading_FLA[],COLUMN(INDIRECT("YES_Reading_FLA[Difference - Per "&amp;VLOOKUP($G$4,'Reading Report Logic'!$A$2:$B$8,2,FALSE)&amp;"]")),FALSE)),
IF($G$3="Combined",
IFERROR(
IF(VLOOKUP($A50, YES_Reading_ELA[], COLUMN(INDIRECT("YES_Reading_ELA[Difference - Per "&amp;VLOOKUP($G$4, 'Reading Report Logic'!$A$2:$B$8,2,FALSE)&amp;"]")), FALSE)="", "",
VLOOKUP($A50,YES_Reading_ELA[],COLUMN(INDIRECT("YES_Reading_ELA[Difference - Per "&amp;VLOOKUP($G$4,'Reading Report Logic'!$A$2:$B$8,2,FALSE)&amp;"]")),FALSE)),
IF(VLOOKUP($A50, YES_Reading_FLA[], COLUMN(INDIRECT("YES_Reading_FLA[Difference - Per "&amp;VLOOKUP($G$4, 'Reading Report Logic'!$A$2:$B$8, 2, FALSE)&amp;"]")),FALSE)="", "", VLOOKUP($A50,YES_Reading_FLA[],COLUMN(INDIRECT("YES_Reading_FLA[Difference - Per "&amp;VLOOKUP($G$4, 'Reading Report Logic'!$A$2:$B$8, 2, FALSE)&amp;"]")),FALSE))),""))),"")</f>
        <v/>
      </c>
    </row>
    <row r="51" spans="1:9" ht="14.25" customHeight="1" x14ac:dyDescent="0.25">
      <c r="A51" s="137"/>
      <c r="B51" s="137" t="str">
        <f>IFERROR(INDEX(_xlfn.VSTACK(YES_Writing_ELA[#Data], YES_Writing_FLA[#Data]),MATCH($A51,_xlfn.VSTACK(YES_Writing_ELA[Student Number], YES_Writing_FLA[Student Number]),0),MATCH(B$7,YES_Writing_ELA[#Headers],0)),IFERROR(INDEX(_xlfn.VSTACK(YES_Reading_ELA[#Data], YES_Reading_FLA[#Data]),MATCH($A51,_xlfn.VSTACK(YES_Reading_ELA[Student Number], YES_Reading_FLA[Student Number]),0),MATCH(B$7,YES_Reading_ELA[#Headers],0)),""))</f>
        <v/>
      </c>
      <c r="C51" s="137" t="str">
        <f>IFERROR(INDEX(_xlfn.VSTACK(YES_Writing_ELA[#Data], YES_Writing_FLA[#Data]),MATCH($A51,_xlfn.VSTACK(YES_Writing_ELA[Student Number], YES_Writing_FLA[Student Number]),0),MATCH(C$7,YES_Writing_ELA[#Headers],0)),IFERROR(INDEX(_xlfn.VSTACK(YES_Reading_ELA[#Data], YES_Reading_FLA[#Data]),MATCH($A51,_xlfn.VSTACK(YES_Reading_ELA[Student Number], YES_Reading_FLA[Student Number]),0),MATCH(C$7,YES_Reading_ELA[#Headers],0)),""))</f>
        <v/>
      </c>
      <c r="D51" s="138" t="str">
        <f>IFERROR(IF(IF(INDEX(_xlfn.VSTACK(YES_Writing_ELA[#Data],YES_Writing_FLA[#Data]),MATCH($A51,_xlfn.VSTACK(YES_Writing_ELA[Student Number],YES_Writing_FLA[Student Number]),0),MATCH(VLOOKUP(D$7,'Writing Logic'!$J$7:$K$11,2,FALSE)&amp;" - Per "&amp;VLOOKUP($C$4,'Writing Logic'!$G$8:$H$14,2,FALSE),YES_Writing_ELA[#Headers],0))=0,"",INDEX(_xlfn.VSTACK(YES_Writing_ELA[#Data],YES_Writing_FLA[#Data]),MATCH($A51,_xlfn.VSTACK(YES_Writing_ELA[Student Number],YES_Writing_FLA[Student Number]),0),MATCH(VLOOKUP(D$7,'Writing Logic'!$J$7:$K$11,2,FALSE)&amp;" - Per "&amp;VLOOKUP($C$4,'Writing Logic'!$G$8:$H$14,2,FALSE),YES_Writing_ELA[#Headers],0)))="INS",'Writing Logic'!$B$7,IF(INDEX(_xlfn.VSTACK(YES_Writing_ELA[#Data],YES_Writing_FLA[#Data]),MATCH($A51,_xlfn.VSTACK(YES_Writing_ELA[Student Number],YES_Writing_FLA[Student Number]),0),MATCH(VLOOKUP(D$7,'Writing Logic'!$J$7:$K$11,2,FALSE)&amp;" - Per "&amp;VLOOKUP($C$4,'Writing Logic'!$G$8:$H$14,2,FALSE),YES_Writing_ELA[#Headers],0))=0,"",INDEX(_xlfn.VSTACK(YES_Writing_ELA[#Data],YES_Writing_FLA[#Data]),MATCH($A51,_xlfn.VSTACK(YES_Writing_ELA[Student Number],YES_Writing_FLA[Student Number]),0),MATCH(VLOOKUP(D$7,'Writing Logic'!$J$7:$K$11,2,FALSE)&amp;" - Per "&amp;VLOOKUP($C$4,'Writing Logic'!$G$8:$H$14,2,FALSE),YES_Writing_ELA[#Headers],0)))),"")</f>
        <v/>
      </c>
      <c r="E51" s="138" t="str">
        <f>IFERROR(IF(IF(INDEX(_xlfn.VSTACK(YES_Writing_ELA[#Data],YES_Writing_FLA[#Data]),MATCH($A51,_xlfn.VSTACK(YES_Writing_ELA[Student Number],YES_Writing_FLA[Student Number]),0),MATCH(VLOOKUP(E$7,'Writing Logic'!$J$7:$K$11,2,FALSE)&amp;" - Per "&amp;VLOOKUP($C$4,'Writing Logic'!$G$8:$H$14,2,FALSE),YES_Writing_ELA[#Headers],0))=0,"",INDEX(_xlfn.VSTACK(YES_Writing_ELA[#Data],YES_Writing_FLA[#Data]),MATCH($A51,_xlfn.VSTACK(YES_Writing_ELA[Student Number],YES_Writing_FLA[Student Number]),0),MATCH(VLOOKUP(E$7,'Writing Logic'!$J$7:$K$11,2,FALSE)&amp;" - Per "&amp;VLOOKUP($C$4,'Writing Logic'!$G$8:$H$14,2,FALSE),YES_Writing_ELA[#Headers],0)))="INS",'Writing Logic'!$B$7,IF(INDEX(_xlfn.VSTACK(YES_Writing_ELA[#Data],YES_Writing_FLA[#Data]),MATCH($A51,_xlfn.VSTACK(YES_Writing_ELA[Student Number],YES_Writing_FLA[Student Number]),0),MATCH(VLOOKUP(E$7,'Writing Logic'!$J$7:$K$11,2,FALSE)&amp;" - Per "&amp;VLOOKUP($C$4,'Writing Logic'!$G$8:$H$14,2,FALSE),YES_Writing_ELA[#Headers],0))=0,"",INDEX(_xlfn.VSTACK(YES_Writing_ELA[#Data],YES_Writing_FLA[#Data]),MATCH($A51,_xlfn.VSTACK(YES_Writing_ELA[Student Number],YES_Writing_FLA[Student Number]),0),MATCH(VLOOKUP(E$7,'Writing Logic'!$J$7:$K$11,2,FALSE)&amp;" - Per "&amp;VLOOKUP($C$4,'Writing Logic'!$G$8:$H$14,2,FALSE),YES_Writing_ELA[#Headers],0)))),"")</f>
        <v/>
      </c>
      <c r="F51" s="138" t="str">
        <f>IFERROR(IF(IF(INDEX(_xlfn.VSTACK(YES_Writing_ELA[#Data],YES_Writing_FLA[#Data]),MATCH($A51,_xlfn.VSTACK(YES_Writing_ELA[Student Number],YES_Writing_FLA[Student Number]),0),MATCH(VLOOKUP(F$7,'Writing Logic'!$J$7:$K$11,2,FALSE)&amp;" - Per "&amp;VLOOKUP($C$4,'Writing Logic'!$G$8:$H$14,2,FALSE),YES_Writing_ELA[#Headers],0))=0,"",INDEX(_xlfn.VSTACK(YES_Writing_ELA[#Data],YES_Writing_FLA[#Data]),MATCH($A51,_xlfn.VSTACK(YES_Writing_ELA[Student Number],YES_Writing_FLA[Student Number]),0),MATCH(VLOOKUP(F$7,'Writing Logic'!$J$7:$K$11,2,FALSE)&amp;" - Per "&amp;VLOOKUP($C$4,'Writing Logic'!$G$8:$H$14,2,FALSE),YES_Writing_ELA[#Headers],0)))="INS",'Writing Logic'!$B$7,IF(INDEX(_xlfn.VSTACK(YES_Writing_ELA[#Data],YES_Writing_FLA[#Data]),MATCH($A51,_xlfn.VSTACK(YES_Writing_ELA[Student Number],YES_Writing_FLA[Student Number]),0),MATCH(VLOOKUP(F$7,'Writing Logic'!$J$7:$K$11,2,FALSE)&amp;" - Per "&amp;VLOOKUP($C$4,'Writing Logic'!$G$8:$H$14,2,FALSE),YES_Writing_ELA[#Headers],0))=0,"",INDEX(_xlfn.VSTACK(YES_Writing_ELA[#Data],YES_Writing_FLA[#Data]),MATCH($A51,_xlfn.VSTACK(YES_Writing_ELA[Student Number],YES_Writing_FLA[Student Number]),0),MATCH(VLOOKUP(F$7,'Writing Logic'!$J$7:$K$11,2,FALSE)&amp;" - Per "&amp;VLOOKUP($C$4,'Writing Logic'!$G$8:$H$14,2,FALSE),YES_Writing_ELA[#Headers],0)))),"")</f>
        <v/>
      </c>
      <c r="G51" s="138" t="str">
        <f>IFERROR(IF(IF(INDEX(_xlfn.VSTACK(YES_Writing_ELA[#Data],YES_Writing_FLA[#Data]),MATCH($A51,_xlfn.VSTACK(YES_Writing_ELA[Student Number],YES_Writing_FLA[Student Number]),0),MATCH(VLOOKUP(G$7,'Writing Logic'!$J$7:$K$11,2,FALSE)&amp;" - Per "&amp;VLOOKUP($C$4,'Writing Logic'!$G$8:$H$14,2,FALSE),YES_Writing_ELA[#Headers],0))=0,"",INDEX(_xlfn.VSTACK(YES_Writing_ELA[#Data],YES_Writing_FLA[#Data]),MATCH($A51,_xlfn.VSTACK(YES_Writing_ELA[Student Number],YES_Writing_FLA[Student Number]),0),MATCH(VLOOKUP(G$7,'Writing Logic'!$J$7:$K$11,2,FALSE)&amp;" - Per "&amp;VLOOKUP($C$4,'Writing Logic'!$G$8:$H$14,2,FALSE),YES_Writing_ELA[#Headers],0)))="INS",'Writing Logic'!$B$7,IF(INDEX(_xlfn.VSTACK(YES_Writing_ELA[#Data],YES_Writing_FLA[#Data]),MATCH($A51,_xlfn.VSTACK(YES_Writing_ELA[Student Number],YES_Writing_FLA[Student Number]),0),MATCH(VLOOKUP(G$7,'Writing Logic'!$J$7:$K$11,2,FALSE)&amp;" - Per "&amp;VLOOKUP($C$4,'Writing Logic'!$G$8:$H$14,2,FALSE),YES_Writing_ELA[#Headers],0))=0,"",INDEX(_xlfn.VSTACK(YES_Writing_ELA[#Data],YES_Writing_FLA[#Data]),MATCH($A51,_xlfn.VSTACK(YES_Writing_ELA[Student Number],YES_Writing_FLA[Student Number]),0),MATCH(VLOOKUP(G$7,'Writing Logic'!$J$7:$K$11,2,FALSE)&amp;" - Per "&amp;VLOOKUP($C$4,'Writing Logic'!$G$8:$H$14,2,FALSE),YES_Writing_ELA[#Headers],0)))),"")</f>
        <v/>
      </c>
      <c r="H51" s="223" t="str">
        <f>IFERROR(IF(IF(INDEX(_xlfn.VSTACK(YES_Writing_ELA[#Data],YES_Writing_FLA[#Data]),MATCH($A51,_xlfn.VSTACK(YES_Writing_ELA[Student Number],YES_Writing_FLA[Student Number]),0),MATCH(VLOOKUP(H$7,'Writing Logic'!$J$7:$K$11,2,FALSE)&amp;" - Per "&amp;VLOOKUP($C$4,'Writing Logic'!$G$8:$H$14,2,FALSE),YES_Writing_ELA[#Headers],0))=0,"",INDEX(_xlfn.VSTACK(YES_Writing_ELA[#Data],YES_Writing_FLA[#Data]),MATCH($A51,_xlfn.VSTACK(YES_Writing_ELA[Student Number],YES_Writing_FLA[Student Number]),0),MATCH(VLOOKUP(H$7,'Writing Logic'!$J$7:$K$11,2,FALSE)&amp;" - Per "&amp;VLOOKUP($C$4,'Writing Logic'!$G$8:$H$14,2,FALSE),YES_Writing_ELA[#Headers],0)))="INS",'Writing Logic'!$B$7,IF(INDEX(_xlfn.VSTACK(YES_Writing_ELA[#Data],YES_Writing_FLA[#Data]),MATCH($A51,_xlfn.VSTACK(YES_Writing_ELA[Student Number],YES_Writing_FLA[Student Number]),0),MATCH(VLOOKUP(H$7,'Writing Logic'!$J$7:$K$11,2,FALSE)&amp;" - Per "&amp;VLOOKUP($C$4,'Writing Logic'!$G$8:$H$14,2,FALSE),YES_Writing_ELA[#Headers],0))=0,"",INDEX(_xlfn.VSTACK(YES_Writing_ELA[#Data],YES_Writing_FLA[#Data]),MATCH($A51,_xlfn.VSTACK(YES_Writing_ELA[Student Number],YES_Writing_FLA[Student Number]),0),MATCH(VLOOKUP(H$7,'Writing Logic'!$J$7:$K$11,2,FALSE)&amp;" - Per "&amp;VLOOKUP($C$4,'Writing Logic'!$G$8:$H$14,2,FALSE),YES_Writing_ELA[#Headers],0)))),"")</f>
        <v/>
      </c>
      <c r="I51" s="224" t="str" cm="1">
        <f t="array" aca="1" ref="I51" ca="1">IFERROR(
IF($G$3="ELA",
IF(VLOOKUP($A51, YES_Reading_ELA[], COLUMN(INDIRECT("YES_Reading_ELA[Difference - Per "&amp;VLOOKUP($G$4, 'Reading Report Logic'!$A$2:$B$8, 2, FALSE)&amp;"]")), FALSE)="", "",
VLOOKUP($A51,YES_Reading_ELA[], COLUMN(INDIRECT("YES_Reading_ELA[Difference - Per "&amp;VLOOKUP($G$4,'Reading Report Logic'!$A$2:$B$8,2,FALSE)&amp;"]")), FALSE)),
IF($G$3="FLA",
IF(VLOOKUP($A51, YES_Reading_FLA[], COLUMN(INDIRECT("YES_Reading_FLA[Difference - Per "&amp;VLOOKUP($G$4,'Reading Report Logic'!$A$2:$B$8,2,FALSE)&amp;"]")),FALSE)="","",
VLOOKUP($A51,YES_Reading_FLA[],COLUMN(INDIRECT("YES_Reading_FLA[Difference - Per "&amp;VLOOKUP($G$4,'Reading Report Logic'!$A$2:$B$8,2,FALSE)&amp;"]")),FALSE)),
IF($G$3="Combined",
IFERROR(
IF(VLOOKUP($A51, YES_Reading_ELA[], COLUMN(INDIRECT("YES_Reading_ELA[Difference - Per "&amp;VLOOKUP($G$4, 'Reading Report Logic'!$A$2:$B$8,2,FALSE)&amp;"]")), FALSE)="", "",
VLOOKUP($A51,YES_Reading_ELA[],COLUMN(INDIRECT("YES_Reading_ELA[Difference - Per "&amp;VLOOKUP($G$4,'Reading Report Logic'!$A$2:$B$8,2,FALSE)&amp;"]")),FALSE)),
IF(VLOOKUP($A51, YES_Reading_FLA[], COLUMN(INDIRECT("YES_Reading_FLA[Difference - Per "&amp;VLOOKUP($G$4, 'Reading Report Logic'!$A$2:$B$8, 2, FALSE)&amp;"]")),FALSE)="", "", VLOOKUP($A51,YES_Reading_FLA[],COLUMN(INDIRECT("YES_Reading_FLA[Difference - Per "&amp;VLOOKUP($G$4, 'Reading Report Logic'!$A$2:$B$8, 2, FALSE)&amp;"]")),FALSE))),""))),"")</f>
        <v/>
      </c>
    </row>
    <row r="52" spans="1:9" ht="14.25" customHeight="1" x14ac:dyDescent="0.25">
      <c r="A52" s="137"/>
      <c r="B52" s="137" t="str">
        <f>IFERROR(INDEX(_xlfn.VSTACK(YES_Writing_ELA[#Data], YES_Writing_FLA[#Data]),MATCH($A52,_xlfn.VSTACK(YES_Writing_ELA[Student Number], YES_Writing_FLA[Student Number]),0),MATCH(B$7,YES_Writing_ELA[#Headers],0)),IFERROR(INDEX(_xlfn.VSTACK(YES_Reading_ELA[#Data], YES_Reading_FLA[#Data]),MATCH($A52,_xlfn.VSTACK(YES_Reading_ELA[Student Number], YES_Reading_FLA[Student Number]),0),MATCH(B$7,YES_Reading_ELA[#Headers],0)),""))</f>
        <v/>
      </c>
      <c r="C52" s="137" t="str">
        <f>IFERROR(INDEX(_xlfn.VSTACK(YES_Writing_ELA[#Data], YES_Writing_FLA[#Data]),MATCH($A52,_xlfn.VSTACK(YES_Writing_ELA[Student Number], YES_Writing_FLA[Student Number]),0),MATCH(C$7,YES_Writing_ELA[#Headers],0)),IFERROR(INDEX(_xlfn.VSTACK(YES_Reading_ELA[#Data], YES_Reading_FLA[#Data]),MATCH($A52,_xlfn.VSTACK(YES_Reading_ELA[Student Number], YES_Reading_FLA[Student Number]),0),MATCH(C$7,YES_Reading_ELA[#Headers],0)),""))</f>
        <v/>
      </c>
      <c r="D52" s="138" t="str">
        <f>IFERROR(IF(IF(INDEX(_xlfn.VSTACK(YES_Writing_ELA[#Data],YES_Writing_FLA[#Data]),MATCH($A52,_xlfn.VSTACK(YES_Writing_ELA[Student Number],YES_Writing_FLA[Student Number]),0),MATCH(VLOOKUP(D$7,'Writing Logic'!$J$7:$K$11,2,FALSE)&amp;" - Per "&amp;VLOOKUP($C$4,'Writing Logic'!$G$8:$H$14,2,FALSE),YES_Writing_ELA[#Headers],0))=0,"",INDEX(_xlfn.VSTACK(YES_Writing_ELA[#Data],YES_Writing_FLA[#Data]),MATCH($A52,_xlfn.VSTACK(YES_Writing_ELA[Student Number],YES_Writing_FLA[Student Number]),0),MATCH(VLOOKUP(D$7,'Writing Logic'!$J$7:$K$11,2,FALSE)&amp;" - Per "&amp;VLOOKUP($C$4,'Writing Logic'!$G$8:$H$14,2,FALSE),YES_Writing_ELA[#Headers],0)))="INS",'Writing Logic'!$B$7,IF(INDEX(_xlfn.VSTACK(YES_Writing_ELA[#Data],YES_Writing_FLA[#Data]),MATCH($A52,_xlfn.VSTACK(YES_Writing_ELA[Student Number],YES_Writing_FLA[Student Number]),0),MATCH(VLOOKUP(D$7,'Writing Logic'!$J$7:$K$11,2,FALSE)&amp;" - Per "&amp;VLOOKUP($C$4,'Writing Logic'!$G$8:$H$14,2,FALSE),YES_Writing_ELA[#Headers],0))=0,"",INDEX(_xlfn.VSTACK(YES_Writing_ELA[#Data],YES_Writing_FLA[#Data]),MATCH($A52,_xlfn.VSTACK(YES_Writing_ELA[Student Number],YES_Writing_FLA[Student Number]),0),MATCH(VLOOKUP(D$7,'Writing Logic'!$J$7:$K$11,2,FALSE)&amp;" - Per "&amp;VLOOKUP($C$4,'Writing Logic'!$G$8:$H$14,2,FALSE),YES_Writing_ELA[#Headers],0)))),"")</f>
        <v/>
      </c>
      <c r="E52" s="138" t="str">
        <f>IFERROR(IF(IF(INDEX(_xlfn.VSTACK(YES_Writing_ELA[#Data],YES_Writing_FLA[#Data]),MATCH($A52,_xlfn.VSTACK(YES_Writing_ELA[Student Number],YES_Writing_FLA[Student Number]),0),MATCH(VLOOKUP(E$7,'Writing Logic'!$J$7:$K$11,2,FALSE)&amp;" - Per "&amp;VLOOKUP($C$4,'Writing Logic'!$G$8:$H$14,2,FALSE),YES_Writing_ELA[#Headers],0))=0,"",INDEX(_xlfn.VSTACK(YES_Writing_ELA[#Data],YES_Writing_FLA[#Data]),MATCH($A52,_xlfn.VSTACK(YES_Writing_ELA[Student Number],YES_Writing_FLA[Student Number]),0),MATCH(VLOOKUP(E$7,'Writing Logic'!$J$7:$K$11,2,FALSE)&amp;" - Per "&amp;VLOOKUP($C$4,'Writing Logic'!$G$8:$H$14,2,FALSE),YES_Writing_ELA[#Headers],0)))="INS",'Writing Logic'!$B$7,IF(INDEX(_xlfn.VSTACK(YES_Writing_ELA[#Data],YES_Writing_FLA[#Data]),MATCH($A52,_xlfn.VSTACK(YES_Writing_ELA[Student Number],YES_Writing_FLA[Student Number]),0),MATCH(VLOOKUP(E$7,'Writing Logic'!$J$7:$K$11,2,FALSE)&amp;" - Per "&amp;VLOOKUP($C$4,'Writing Logic'!$G$8:$H$14,2,FALSE),YES_Writing_ELA[#Headers],0))=0,"",INDEX(_xlfn.VSTACK(YES_Writing_ELA[#Data],YES_Writing_FLA[#Data]),MATCH($A52,_xlfn.VSTACK(YES_Writing_ELA[Student Number],YES_Writing_FLA[Student Number]),0),MATCH(VLOOKUP(E$7,'Writing Logic'!$J$7:$K$11,2,FALSE)&amp;" - Per "&amp;VLOOKUP($C$4,'Writing Logic'!$G$8:$H$14,2,FALSE),YES_Writing_ELA[#Headers],0)))),"")</f>
        <v/>
      </c>
      <c r="F52" s="138" t="str">
        <f>IFERROR(IF(IF(INDEX(_xlfn.VSTACK(YES_Writing_ELA[#Data],YES_Writing_FLA[#Data]),MATCH($A52,_xlfn.VSTACK(YES_Writing_ELA[Student Number],YES_Writing_FLA[Student Number]),0),MATCH(VLOOKUP(F$7,'Writing Logic'!$J$7:$K$11,2,FALSE)&amp;" - Per "&amp;VLOOKUP($C$4,'Writing Logic'!$G$8:$H$14,2,FALSE),YES_Writing_ELA[#Headers],0))=0,"",INDEX(_xlfn.VSTACK(YES_Writing_ELA[#Data],YES_Writing_FLA[#Data]),MATCH($A52,_xlfn.VSTACK(YES_Writing_ELA[Student Number],YES_Writing_FLA[Student Number]),0),MATCH(VLOOKUP(F$7,'Writing Logic'!$J$7:$K$11,2,FALSE)&amp;" - Per "&amp;VLOOKUP($C$4,'Writing Logic'!$G$8:$H$14,2,FALSE),YES_Writing_ELA[#Headers],0)))="INS",'Writing Logic'!$B$7,IF(INDEX(_xlfn.VSTACK(YES_Writing_ELA[#Data],YES_Writing_FLA[#Data]),MATCH($A52,_xlfn.VSTACK(YES_Writing_ELA[Student Number],YES_Writing_FLA[Student Number]),0),MATCH(VLOOKUP(F$7,'Writing Logic'!$J$7:$K$11,2,FALSE)&amp;" - Per "&amp;VLOOKUP($C$4,'Writing Logic'!$G$8:$H$14,2,FALSE),YES_Writing_ELA[#Headers],0))=0,"",INDEX(_xlfn.VSTACK(YES_Writing_ELA[#Data],YES_Writing_FLA[#Data]),MATCH($A52,_xlfn.VSTACK(YES_Writing_ELA[Student Number],YES_Writing_FLA[Student Number]),0),MATCH(VLOOKUP(F$7,'Writing Logic'!$J$7:$K$11,2,FALSE)&amp;" - Per "&amp;VLOOKUP($C$4,'Writing Logic'!$G$8:$H$14,2,FALSE),YES_Writing_ELA[#Headers],0)))),"")</f>
        <v/>
      </c>
      <c r="G52" s="138" t="str">
        <f>IFERROR(IF(IF(INDEX(_xlfn.VSTACK(YES_Writing_ELA[#Data],YES_Writing_FLA[#Data]),MATCH($A52,_xlfn.VSTACK(YES_Writing_ELA[Student Number],YES_Writing_FLA[Student Number]),0),MATCH(VLOOKUP(G$7,'Writing Logic'!$J$7:$K$11,2,FALSE)&amp;" - Per "&amp;VLOOKUP($C$4,'Writing Logic'!$G$8:$H$14,2,FALSE),YES_Writing_ELA[#Headers],0))=0,"",INDEX(_xlfn.VSTACK(YES_Writing_ELA[#Data],YES_Writing_FLA[#Data]),MATCH($A52,_xlfn.VSTACK(YES_Writing_ELA[Student Number],YES_Writing_FLA[Student Number]),0),MATCH(VLOOKUP(G$7,'Writing Logic'!$J$7:$K$11,2,FALSE)&amp;" - Per "&amp;VLOOKUP($C$4,'Writing Logic'!$G$8:$H$14,2,FALSE),YES_Writing_ELA[#Headers],0)))="INS",'Writing Logic'!$B$7,IF(INDEX(_xlfn.VSTACK(YES_Writing_ELA[#Data],YES_Writing_FLA[#Data]),MATCH($A52,_xlfn.VSTACK(YES_Writing_ELA[Student Number],YES_Writing_FLA[Student Number]),0),MATCH(VLOOKUP(G$7,'Writing Logic'!$J$7:$K$11,2,FALSE)&amp;" - Per "&amp;VLOOKUP($C$4,'Writing Logic'!$G$8:$H$14,2,FALSE),YES_Writing_ELA[#Headers],0))=0,"",INDEX(_xlfn.VSTACK(YES_Writing_ELA[#Data],YES_Writing_FLA[#Data]),MATCH($A52,_xlfn.VSTACK(YES_Writing_ELA[Student Number],YES_Writing_FLA[Student Number]),0),MATCH(VLOOKUP(G$7,'Writing Logic'!$J$7:$K$11,2,FALSE)&amp;" - Per "&amp;VLOOKUP($C$4,'Writing Logic'!$G$8:$H$14,2,FALSE),YES_Writing_ELA[#Headers],0)))),"")</f>
        <v/>
      </c>
      <c r="H52" s="223" t="str">
        <f>IFERROR(IF(IF(INDEX(_xlfn.VSTACK(YES_Writing_ELA[#Data],YES_Writing_FLA[#Data]),MATCH($A52,_xlfn.VSTACK(YES_Writing_ELA[Student Number],YES_Writing_FLA[Student Number]),0),MATCH(VLOOKUP(H$7,'Writing Logic'!$J$7:$K$11,2,FALSE)&amp;" - Per "&amp;VLOOKUP($C$4,'Writing Logic'!$G$8:$H$14,2,FALSE),YES_Writing_ELA[#Headers],0))=0,"",INDEX(_xlfn.VSTACK(YES_Writing_ELA[#Data],YES_Writing_FLA[#Data]),MATCH($A52,_xlfn.VSTACK(YES_Writing_ELA[Student Number],YES_Writing_FLA[Student Number]),0),MATCH(VLOOKUP(H$7,'Writing Logic'!$J$7:$K$11,2,FALSE)&amp;" - Per "&amp;VLOOKUP($C$4,'Writing Logic'!$G$8:$H$14,2,FALSE),YES_Writing_ELA[#Headers],0)))="INS",'Writing Logic'!$B$7,IF(INDEX(_xlfn.VSTACK(YES_Writing_ELA[#Data],YES_Writing_FLA[#Data]),MATCH($A52,_xlfn.VSTACK(YES_Writing_ELA[Student Number],YES_Writing_FLA[Student Number]),0),MATCH(VLOOKUP(H$7,'Writing Logic'!$J$7:$K$11,2,FALSE)&amp;" - Per "&amp;VLOOKUP($C$4,'Writing Logic'!$G$8:$H$14,2,FALSE),YES_Writing_ELA[#Headers],0))=0,"",INDEX(_xlfn.VSTACK(YES_Writing_ELA[#Data],YES_Writing_FLA[#Data]),MATCH($A52,_xlfn.VSTACK(YES_Writing_ELA[Student Number],YES_Writing_FLA[Student Number]),0),MATCH(VLOOKUP(H$7,'Writing Logic'!$J$7:$K$11,2,FALSE)&amp;" - Per "&amp;VLOOKUP($C$4,'Writing Logic'!$G$8:$H$14,2,FALSE),YES_Writing_ELA[#Headers],0)))),"")</f>
        <v/>
      </c>
      <c r="I52" s="224" t="str" cm="1">
        <f t="array" aca="1" ref="I52" ca="1">IFERROR(
IF($G$3="ELA",
IF(VLOOKUP($A52, YES_Reading_ELA[], COLUMN(INDIRECT("YES_Reading_ELA[Difference - Per "&amp;VLOOKUP($G$4, 'Reading Report Logic'!$A$2:$B$8, 2, FALSE)&amp;"]")), FALSE)="", "",
VLOOKUP($A52,YES_Reading_ELA[], COLUMN(INDIRECT("YES_Reading_ELA[Difference - Per "&amp;VLOOKUP($G$4,'Reading Report Logic'!$A$2:$B$8,2,FALSE)&amp;"]")), FALSE)),
IF($G$3="FLA",
IF(VLOOKUP($A52, YES_Reading_FLA[], COLUMN(INDIRECT("YES_Reading_FLA[Difference - Per "&amp;VLOOKUP($G$4,'Reading Report Logic'!$A$2:$B$8,2,FALSE)&amp;"]")),FALSE)="","",
VLOOKUP($A52,YES_Reading_FLA[],COLUMN(INDIRECT("YES_Reading_FLA[Difference - Per "&amp;VLOOKUP($G$4,'Reading Report Logic'!$A$2:$B$8,2,FALSE)&amp;"]")),FALSE)),
IF($G$3="Combined",
IFERROR(
IF(VLOOKUP($A52, YES_Reading_ELA[], COLUMN(INDIRECT("YES_Reading_ELA[Difference - Per "&amp;VLOOKUP($G$4, 'Reading Report Logic'!$A$2:$B$8,2,FALSE)&amp;"]")), FALSE)="", "",
VLOOKUP($A52,YES_Reading_ELA[],COLUMN(INDIRECT("YES_Reading_ELA[Difference - Per "&amp;VLOOKUP($G$4,'Reading Report Logic'!$A$2:$B$8,2,FALSE)&amp;"]")),FALSE)),
IF(VLOOKUP($A52, YES_Reading_FLA[], COLUMN(INDIRECT("YES_Reading_FLA[Difference - Per "&amp;VLOOKUP($G$4, 'Reading Report Logic'!$A$2:$B$8, 2, FALSE)&amp;"]")),FALSE)="", "", VLOOKUP($A52,YES_Reading_FLA[],COLUMN(INDIRECT("YES_Reading_FLA[Difference - Per "&amp;VLOOKUP($G$4, 'Reading Report Logic'!$A$2:$B$8, 2, FALSE)&amp;"]")),FALSE))),""))),"")</f>
        <v/>
      </c>
    </row>
    <row r="53" spans="1:9" ht="14.25" customHeight="1" x14ac:dyDescent="0.25">
      <c r="A53" s="137"/>
      <c r="B53" s="137" t="str">
        <f>IFERROR(INDEX(_xlfn.VSTACK(YES_Writing_ELA[#Data], YES_Writing_FLA[#Data]),MATCH($A53,_xlfn.VSTACK(YES_Writing_ELA[Student Number], YES_Writing_FLA[Student Number]),0),MATCH(B$7,YES_Writing_ELA[#Headers],0)),IFERROR(INDEX(_xlfn.VSTACK(YES_Reading_ELA[#Data], YES_Reading_FLA[#Data]),MATCH($A53,_xlfn.VSTACK(YES_Reading_ELA[Student Number], YES_Reading_FLA[Student Number]),0),MATCH(B$7,YES_Reading_ELA[#Headers],0)),""))</f>
        <v/>
      </c>
      <c r="C53" s="137" t="str">
        <f>IFERROR(INDEX(_xlfn.VSTACK(YES_Writing_ELA[#Data], YES_Writing_FLA[#Data]),MATCH($A53,_xlfn.VSTACK(YES_Writing_ELA[Student Number], YES_Writing_FLA[Student Number]),0),MATCH(C$7,YES_Writing_ELA[#Headers],0)),IFERROR(INDEX(_xlfn.VSTACK(YES_Reading_ELA[#Data], YES_Reading_FLA[#Data]),MATCH($A53,_xlfn.VSTACK(YES_Reading_ELA[Student Number], YES_Reading_FLA[Student Number]),0),MATCH(C$7,YES_Reading_ELA[#Headers],0)),""))</f>
        <v/>
      </c>
      <c r="D53" s="138" t="str">
        <f>IFERROR(IF(IF(INDEX(_xlfn.VSTACK(YES_Writing_ELA[#Data],YES_Writing_FLA[#Data]),MATCH($A53,_xlfn.VSTACK(YES_Writing_ELA[Student Number],YES_Writing_FLA[Student Number]),0),MATCH(VLOOKUP(D$7,'Writing Logic'!$J$7:$K$11,2,FALSE)&amp;" - Per "&amp;VLOOKUP($C$4,'Writing Logic'!$G$8:$H$14,2,FALSE),YES_Writing_ELA[#Headers],0))=0,"",INDEX(_xlfn.VSTACK(YES_Writing_ELA[#Data],YES_Writing_FLA[#Data]),MATCH($A53,_xlfn.VSTACK(YES_Writing_ELA[Student Number],YES_Writing_FLA[Student Number]),0),MATCH(VLOOKUP(D$7,'Writing Logic'!$J$7:$K$11,2,FALSE)&amp;" - Per "&amp;VLOOKUP($C$4,'Writing Logic'!$G$8:$H$14,2,FALSE),YES_Writing_ELA[#Headers],0)))="INS",'Writing Logic'!$B$7,IF(INDEX(_xlfn.VSTACK(YES_Writing_ELA[#Data],YES_Writing_FLA[#Data]),MATCH($A53,_xlfn.VSTACK(YES_Writing_ELA[Student Number],YES_Writing_FLA[Student Number]),0),MATCH(VLOOKUP(D$7,'Writing Logic'!$J$7:$K$11,2,FALSE)&amp;" - Per "&amp;VLOOKUP($C$4,'Writing Logic'!$G$8:$H$14,2,FALSE),YES_Writing_ELA[#Headers],0))=0,"",INDEX(_xlfn.VSTACK(YES_Writing_ELA[#Data],YES_Writing_FLA[#Data]),MATCH($A53,_xlfn.VSTACK(YES_Writing_ELA[Student Number],YES_Writing_FLA[Student Number]),0),MATCH(VLOOKUP(D$7,'Writing Logic'!$J$7:$K$11,2,FALSE)&amp;" - Per "&amp;VLOOKUP($C$4,'Writing Logic'!$G$8:$H$14,2,FALSE),YES_Writing_ELA[#Headers],0)))),"")</f>
        <v/>
      </c>
      <c r="E53" s="138" t="str">
        <f>IFERROR(IF(IF(INDEX(_xlfn.VSTACK(YES_Writing_ELA[#Data],YES_Writing_FLA[#Data]),MATCH($A53,_xlfn.VSTACK(YES_Writing_ELA[Student Number],YES_Writing_FLA[Student Number]),0),MATCH(VLOOKUP(E$7,'Writing Logic'!$J$7:$K$11,2,FALSE)&amp;" - Per "&amp;VLOOKUP($C$4,'Writing Logic'!$G$8:$H$14,2,FALSE),YES_Writing_ELA[#Headers],0))=0,"",INDEX(_xlfn.VSTACK(YES_Writing_ELA[#Data],YES_Writing_FLA[#Data]),MATCH($A53,_xlfn.VSTACK(YES_Writing_ELA[Student Number],YES_Writing_FLA[Student Number]),0),MATCH(VLOOKUP(E$7,'Writing Logic'!$J$7:$K$11,2,FALSE)&amp;" - Per "&amp;VLOOKUP($C$4,'Writing Logic'!$G$8:$H$14,2,FALSE),YES_Writing_ELA[#Headers],0)))="INS",'Writing Logic'!$B$7,IF(INDEX(_xlfn.VSTACK(YES_Writing_ELA[#Data],YES_Writing_FLA[#Data]),MATCH($A53,_xlfn.VSTACK(YES_Writing_ELA[Student Number],YES_Writing_FLA[Student Number]),0),MATCH(VLOOKUP(E$7,'Writing Logic'!$J$7:$K$11,2,FALSE)&amp;" - Per "&amp;VLOOKUP($C$4,'Writing Logic'!$G$8:$H$14,2,FALSE),YES_Writing_ELA[#Headers],0))=0,"",INDEX(_xlfn.VSTACK(YES_Writing_ELA[#Data],YES_Writing_FLA[#Data]),MATCH($A53,_xlfn.VSTACK(YES_Writing_ELA[Student Number],YES_Writing_FLA[Student Number]),0),MATCH(VLOOKUP(E$7,'Writing Logic'!$J$7:$K$11,2,FALSE)&amp;" - Per "&amp;VLOOKUP($C$4,'Writing Logic'!$G$8:$H$14,2,FALSE),YES_Writing_ELA[#Headers],0)))),"")</f>
        <v/>
      </c>
      <c r="F53" s="138" t="str">
        <f>IFERROR(IF(IF(INDEX(_xlfn.VSTACK(YES_Writing_ELA[#Data],YES_Writing_FLA[#Data]),MATCH($A53,_xlfn.VSTACK(YES_Writing_ELA[Student Number],YES_Writing_FLA[Student Number]),0),MATCH(VLOOKUP(F$7,'Writing Logic'!$J$7:$K$11,2,FALSE)&amp;" - Per "&amp;VLOOKUP($C$4,'Writing Logic'!$G$8:$H$14,2,FALSE),YES_Writing_ELA[#Headers],0))=0,"",INDEX(_xlfn.VSTACK(YES_Writing_ELA[#Data],YES_Writing_FLA[#Data]),MATCH($A53,_xlfn.VSTACK(YES_Writing_ELA[Student Number],YES_Writing_FLA[Student Number]),0),MATCH(VLOOKUP(F$7,'Writing Logic'!$J$7:$K$11,2,FALSE)&amp;" - Per "&amp;VLOOKUP($C$4,'Writing Logic'!$G$8:$H$14,2,FALSE),YES_Writing_ELA[#Headers],0)))="INS",'Writing Logic'!$B$7,IF(INDEX(_xlfn.VSTACK(YES_Writing_ELA[#Data],YES_Writing_FLA[#Data]),MATCH($A53,_xlfn.VSTACK(YES_Writing_ELA[Student Number],YES_Writing_FLA[Student Number]),0),MATCH(VLOOKUP(F$7,'Writing Logic'!$J$7:$K$11,2,FALSE)&amp;" - Per "&amp;VLOOKUP($C$4,'Writing Logic'!$G$8:$H$14,2,FALSE),YES_Writing_ELA[#Headers],0))=0,"",INDEX(_xlfn.VSTACK(YES_Writing_ELA[#Data],YES_Writing_FLA[#Data]),MATCH($A53,_xlfn.VSTACK(YES_Writing_ELA[Student Number],YES_Writing_FLA[Student Number]),0),MATCH(VLOOKUP(F$7,'Writing Logic'!$J$7:$K$11,2,FALSE)&amp;" - Per "&amp;VLOOKUP($C$4,'Writing Logic'!$G$8:$H$14,2,FALSE),YES_Writing_ELA[#Headers],0)))),"")</f>
        <v/>
      </c>
      <c r="G53" s="138" t="str">
        <f>IFERROR(IF(IF(INDEX(_xlfn.VSTACK(YES_Writing_ELA[#Data],YES_Writing_FLA[#Data]),MATCH($A53,_xlfn.VSTACK(YES_Writing_ELA[Student Number],YES_Writing_FLA[Student Number]),0),MATCH(VLOOKUP(G$7,'Writing Logic'!$J$7:$K$11,2,FALSE)&amp;" - Per "&amp;VLOOKUP($C$4,'Writing Logic'!$G$8:$H$14,2,FALSE),YES_Writing_ELA[#Headers],0))=0,"",INDEX(_xlfn.VSTACK(YES_Writing_ELA[#Data],YES_Writing_FLA[#Data]),MATCH($A53,_xlfn.VSTACK(YES_Writing_ELA[Student Number],YES_Writing_FLA[Student Number]),0),MATCH(VLOOKUP(G$7,'Writing Logic'!$J$7:$K$11,2,FALSE)&amp;" - Per "&amp;VLOOKUP($C$4,'Writing Logic'!$G$8:$H$14,2,FALSE),YES_Writing_ELA[#Headers],0)))="INS",'Writing Logic'!$B$7,IF(INDEX(_xlfn.VSTACK(YES_Writing_ELA[#Data],YES_Writing_FLA[#Data]),MATCH($A53,_xlfn.VSTACK(YES_Writing_ELA[Student Number],YES_Writing_FLA[Student Number]),0),MATCH(VLOOKUP(G$7,'Writing Logic'!$J$7:$K$11,2,FALSE)&amp;" - Per "&amp;VLOOKUP($C$4,'Writing Logic'!$G$8:$H$14,2,FALSE),YES_Writing_ELA[#Headers],0))=0,"",INDEX(_xlfn.VSTACK(YES_Writing_ELA[#Data],YES_Writing_FLA[#Data]),MATCH($A53,_xlfn.VSTACK(YES_Writing_ELA[Student Number],YES_Writing_FLA[Student Number]),0),MATCH(VLOOKUP(G$7,'Writing Logic'!$J$7:$K$11,2,FALSE)&amp;" - Per "&amp;VLOOKUP($C$4,'Writing Logic'!$G$8:$H$14,2,FALSE),YES_Writing_ELA[#Headers],0)))),"")</f>
        <v/>
      </c>
      <c r="H53" s="223" t="str">
        <f>IFERROR(IF(IF(INDEX(_xlfn.VSTACK(YES_Writing_ELA[#Data],YES_Writing_FLA[#Data]),MATCH($A53,_xlfn.VSTACK(YES_Writing_ELA[Student Number],YES_Writing_FLA[Student Number]),0),MATCH(VLOOKUP(H$7,'Writing Logic'!$J$7:$K$11,2,FALSE)&amp;" - Per "&amp;VLOOKUP($C$4,'Writing Logic'!$G$8:$H$14,2,FALSE),YES_Writing_ELA[#Headers],0))=0,"",INDEX(_xlfn.VSTACK(YES_Writing_ELA[#Data],YES_Writing_FLA[#Data]),MATCH($A53,_xlfn.VSTACK(YES_Writing_ELA[Student Number],YES_Writing_FLA[Student Number]),0),MATCH(VLOOKUP(H$7,'Writing Logic'!$J$7:$K$11,2,FALSE)&amp;" - Per "&amp;VLOOKUP($C$4,'Writing Logic'!$G$8:$H$14,2,FALSE),YES_Writing_ELA[#Headers],0)))="INS",'Writing Logic'!$B$7,IF(INDEX(_xlfn.VSTACK(YES_Writing_ELA[#Data],YES_Writing_FLA[#Data]),MATCH($A53,_xlfn.VSTACK(YES_Writing_ELA[Student Number],YES_Writing_FLA[Student Number]),0),MATCH(VLOOKUP(H$7,'Writing Logic'!$J$7:$K$11,2,FALSE)&amp;" - Per "&amp;VLOOKUP($C$4,'Writing Logic'!$G$8:$H$14,2,FALSE),YES_Writing_ELA[#Headers],0))=0,"",INDEX(_xlfn.VSTACK(YES_Writing_ELA[#Data],YES_Writing_FLA[#Data]),MATCH($A53,_xlfn.VSTACK(YES_Writing_ELA[Student Number],YES_Writing_FLA[Student Number]),0),MATCH(VLOOKUP(H$7,'Writing Logic'!$J$7:$K$11,2,FALSE)&amp;" - Per "&amp;VLOOKUP($C$4,'Writing Logic'!$G$8:$H$14,2,FALSE),YES_Writing_ELA[#Headers],0)))),"")</f>
        <v/>
      </c>
      <c r="I53" s="224" t="str" cm="1">
        <f t="array" aca="1" ref="I53" ca="1">IFERROR(
IF($G$3="ELA",
IF(VLOOKUP($A53, YES_Reading_ELA[], COLUMN(INDIRECT("YES_Reading_ELA[Difference - Per "&amp;VLOOKUP($G$4, 'Reading Report Logic'!$A$2:$B$8, 2, FALSE)&amp;"]")), FALSE)="", "",
VLOOKUP($A53,YES_Reading_ELA[], COLUMN(INDIRECT("YES_Reading_ELA[Difference - Per "&amp;VLOOKUP($G$4,'Reading Report Logic'!$A$2:$B$8,2,FALSE)&amp;"]")), FALSE)),
IF($G$3="FLA",
IF(VLOOKUP($A53, YES_Reading_FLA[], COLUMN(INDIRECT("YES_Reading_FLA[Difference - Per "&amp;VLOOKUP($G$4,'Reading Report Logic'!$A$2:$B$8,2,FALSE)&amp;"]")),FALSE)="","",
VLOOKUP($A53,YES_Reading_FLA[],COLUMN(INDIRECT("YES_Reading_FLA[Difference - Per "&amp;VLOOKUP($G$4,'Reading Report Logic'!$A$2:$B$8,2,FALSE)&amp;"]")),FALSE)),
IF($G$3="Combined",
IFERROR(
IF(VLOOKUP($A53, YES_Reading_ELA[], COLUMN(INDIRECT("YES_Reading_ELA[Difference - Per "&amp;VLOOKUP($G$4, 'Reading Report Logic'!$A$2:$B$8,2,FALSE)&amp;"]")), FALSE)="", "",
VLOOKUP($A53,YES_Reading_ELA[],COLUMN(INDIRECT("YES_Reading_ELA[Difference - Per "&amp;VLOOKUP($G$4,'Reading Report Logic'!$A$2:$B$8,2,FALSE)&amp;"]")),FALSE)),
IF(VLOOKUP($A53, YES_Reading_FLA[], COLUMN(INDIRECT("YES_Reading_FLA[Difference - Per "&amp;VLOOKUP($G$4, 'Reading Report Logic'!$A$2:$B$8, 2, FALSE)&amp;"]")),FALSE)="", "", VLOOKUP($A53,YES_Reading_FLA[],COLUMN(INDIRECT("YES_Reading_FLA[Difference - Per "&amp;VLOOKUP($G$4, 'Reading Report Logic'!$A$2:$B$8, 2, FALSE)&amp;"]")),FALSE))),""))),"")</f>
        <v/>
      </c>
    </row>
    <row r="54" spans="1:9" ht="14.25" customHeight="1" x14ac:dyDescent="0.25">
      <c r="A54" s="137"/>
      <c r="B54" s="137" t="str">
        <f>IFERROR(INDEX(_xlfn.VSTACK(YES_Writing_ELA[#Data], YES_Writing_FLA[#Data]),MATCH($A54,_xlfn.VSTACK(YES_Writing_ELA[Student Number], YES_Writing_FLA[Student Number]),0),MATCH(B$7,YES_Writing_ELA[#Headers],0)),IFERROR(INDEX(_xlfn.VSTACK(YES_Reading_ELA[#Data], YES_Reading_FLA[#Data]),MATCH($A54,_xlfn.VSTACK(YES_Reading_ELA[Student Number], YES_Reading_FLA[Student Number]),0),MATCH(B$7,YES_Reading_ELA[#Headers],0)),""))</f>
        <v/>
      </c>
      <c r="C54" s="137" t="str">
        <f>IFERROR(INDEX(_xlfn.VSTACK(YES_Writing_ELA[#Data], YES_Writing_FLA[#Data]),MATCH($A54,_xlfn.VSTACK(YES_Writing_ELA[Student Number], YES_Writing_FLA[Student Number]),0),MATCH(C$7,YES_Writing_ELA[#Headers],0)),IFERROR(INDEX(_xlfn.VSTACK(YES_Reading_ELA[#Data], YES_Reading_FLA[#Data]),MATCH($A54,_xlfn.VSTACK(YES_Reading_ELA[Student Number], YES_Reading_FLA[Student Number]),0),MATCH(C$7,YES_Reading_ELA[#Headers],0)),""))</f>
        <v/>
      </c>
      <c r="D54" s="138" t="str">
        <f>IFERROR(IF(IF(INDEX(_xlfn.VSTACK(YES_Writing_ELA[#Data],YES_Writing_FLA[#Data]),MATCH($A54,_xlfn.VSTACK(YES_Writing_ELA[Student Number],YES_Writing_FLA[Student Number]),0),MATCH(VLOOKUP(D$7,'Writing Logic'!$J$7:$K$11,2,FALSE)&amp;" - Per "&amp;VLOOKUP($C$4,'Writing Logic'!$G$8:$H$14,2,FALSE),YES_Writing_ELA[#Headers],0))=0,"",INDEX(_xlfn.VSTACK(YES_Writing_ELA[#Data],YES_Writing_FLA[#Data]),MATCH($A54,_xlfn.VSTACK(YES_Writing_ELA[Student Number],YES_Writing_FLA[Student Number]),0),MATCH(VLOOKUP(D$7,'Writing Logic'!$J$7:$K$11,2,FALSE)&amp;" - Per "&amp;VLOOKUP($C$4,'Writing Logic'!$G$8:$H$14,2,FALSE),YES_Writing_ELA[#Headers],0)))="INS",'Writing Logic'!$B$7,IF(INDEX(_xlfn.VSTACK(YES_Writing_ELA[#Data],YES_Writing_FLA[#Data]),MATCH($A54,_xlfn.VSTACK(YES_Writing_ELA[Student Number],YES_Writing_FLA[Student Number]),0),MATCH(VLOOKUP(D$7,'Writing Logic'!$J$7:$K$11,2,FALSE)&amp;" - Per "&amp;VLOOKUP($C$4,'Writing Logic'!$G$8:$H$14,2,FALSE),YES_Writing_ELA[#Headers],0))=0,"",INDEX(_xlfn.VSTACK(YES_Writing_ELA[#Data],YES_Writing_FLA[#Data]),MATCH($A54,_xlfn.VSTACK(YES_Writing_ELA[Student Number],YES_Writing_FLA[Student Number]),0),MATCH(VLOOKUP(D$7,'Writing Logic'!$J$7:$K$11,2,FALSE)&amp;" - Per "&amp;VLOOKUP($C$4,'Writing Logic'!$G$8:$H$14,2,FALSE),YES_Writing_ELA[#Headers],0)))),"")</f>
        <v/>
      </c>
      <c r="E54" s="138" t="str">
        <f>IFERROR(IF(IF(INDEX(_xlfn.VSTACK(YES_Writing_ELA[#Data],YES_Writing_FLA[#Data]),MATCH($A54,_xlfn.VSTACK(YES_Writing_ELA[Student Number],YES_Writing_FLA[Student Number]),0),MATCH(VLOOKUP(E$7,'Writing Logic'!$J$7:$K$11,2,FALSE)&amp;" - Per "&amp;VLOOKUP($C$4,'Writing Logic'!$G$8:$H$14,2,FALSE),YES_Writing_ELA[#Headers],0))=0,"",INDEX(_xlfn.VSTACK(YES_Writing_ELA[#Data],YES_Writing_FLA[#Data]),MATCH($A54,_xlfn.VSTACK(YES_Writing_ELA[Student Number],YES_Writing_FLA[Student Number]),0),MATCH(VLOOKUP(E$7,'Writing Logic'!$J$7:$K$11,2,FALSE)&amp;" - Per "&amp;VLOOKUP($C$4,'Writing Logic'!$G$8:$H$14,2,FALSE),YES_Writing_ELA[#Headers],0)))="INS",'Writing Logic'!$B$7,IF(INDEX(_xlfn.VSTACK(YES_Writing_ELA[#Data],YES_Writing_FLA[#Data]),MATCH($A54,_xlfn.VSTACK(YES_Writing_ELA[Student Number],YES_Writing_FLA[Student Number]),0),MATCH(VLOOKUP(E$7,'Writing Logic'!$J$7:$K$11,2,FALSE)&amp;" - Per "&amp;VLOOKUP($C$4,'Writing Logic'!$G$8:$H$14,2,FALSE),YES_Writing_ELA[#Headers],0))=0,"",INDEX(_xlfn.VSTACK(YES_Writing_ELA[#Data],YES_Writing_FLA[#Data]),MATCH($A54,_xlfn.VSTACK(YES_Writing_ELA[Student Number],YES_Writing_FLA[Student Number]),0),MATCH(VLOOKUP(E$7,'Writing Logic'!$J$7:$K$11,2,FALSE)&amp;" - Per "&amp;VLOOKUP($C$4,'Writing Logic'!$G$8:$H$14,2,FALSE),YES_Writing_ELA[#Headers],0)))),"")</f>
        <v/>
      </c>
      <c r="F54" s="138" t="str">
        <f>IFERROR(IF(IF(INDEX(_xlfn.VSTACK(YES_Writing_ELA[#Data],YES_Writing_FLA[#Data]),MATCH($A54,_xlfn.VSTACK(YES_Writing_ELA[Student Number],YES_Writing_FLA[Student Number]),0),MATCH(VLOOKUP(F$7,'Writing Logic'!$J$7:$K$11,2,FALSE)&amp;" - Per "&amp;VLOOKUP($C$4,'Writing Logic'!$G$8:$H$14,2,FALSE),YES_Writing_ELA[#Headers],0))=0,"",INDEX(_xlfn.VSTACK(YES_Writing_ELA[#Data],YES_Writing_FLA[#Data]),MATCH($A54,_xlfn.VSTACK(YES_Writing_ELA[Student Number],YES_Writing_FLA[Student Number]),0),MATCH(VLOOKUP(F$7,'Writing Logic'!$J$7:$K$11,2,FALSE)&amp;" - Per "&amp;VLOOKUP($C$4,'Writing Logic'!$G$8:$H$14,2,FALSE),YES_Writing_ELA[#Headers],0)))="INS",'Writing Logic'!$B$7,IF(INDEX(_xlfn.VSTACK(YES_Writing_ELA[#Data],YES_Writing_FLA[#Data]),MATCH($A54,_xlfn.VSTACK(YES_Writing_ELA[Student Number],YES_Writing_FLA[Student Number]),0),MATCH(VLOOKUP(F$7,'Writing Logic'!$J$7:$K$11,2,FALSE)&amp;" - Per "&amp;VLOOKUP($C$4,'Writing Logic'!$G$8:$H$14,2,FALSE),YES_Writing_ELA[#Headers],0))=0,"",INDEX(_xlfn.VSTACK(YES_Writing_ELA[#Data],YES_Writing_FLA[#Data]),MATCH($A54,_xlfn.VSTACK(YES_Writing_ELA[Student Number],YES_Writing_FLA[Student Number]),0),MATCH(VLOOKUP(F$7,'Writing Logic'!$J$7:$K$11,2,FALSE)&amp;" - Per "&amp;VLOOKUP($C$4,'Writing Logic'!$G$8:$H$14,2,FALSE),YES_Writing_ELA[#Headers],0)))),"")</f>
        <v/>
      </c>
      <c r="G54" s="138" t="str">
        <f>IFERROR(IF(IF(INDEX(_xlfn.VSTACK(YES_Writing_ELA[#Data],YES_Writing_FLA[#Data]),MATCH($A54,_xlfn.VSTACK(YES_Writing_ELA[Student Number],YES_Writing_FLA[Student Number]),0),MATCH(VLOOKUP(G$7,'Writing Logic'!$J$7:$K$11,2,FALSE)&amp;" - Per "&amp;VLOOKUP($C$4,'Writing Logic'!$G$8:$H$14,2,FALSE),YES_Writing_ELA[#Headers],0))=0,"",INDEX(_xlfn.VSTACK(YES_Writing_ELA[#Data],YES_Writing_FLA[#Data]),MATCH($A54,_xlfn.VSTACK(YES_Writing_ELA[Student Number],YES_Writing_FLA[Student Number]),0),MATCH(VLOOKUP(G$7,'Writing Logic'!$J$7:$K$11,2,FALSE)&amp;" - Per "&amp;VLOOKUP($C$4,'Writing Logic'!$G$8:$H$14,2,FALSE),YES_Writing_ELA[#Headers],0)))="INS",'Writing Logic'!$B$7,IF(INDEX(_xlfn.VSTACK(YES_Writing_ELA[#Data],YES_Writing_FLA[#Data]),MATCH($A54,_xlfn.VSTACK(YES_Writing_ELA[Student Number],YES_Writing_FLA[Student Number]),0),MATCH(VLOOKUP(G$7,'Writing Logic'!$J$7:$K$11,2,FALSE)&amp;" - Per "&amp;VLOOKUP($C$4,'Writing Logic'!$G$8:$H$14,2,FALSE),YES_Writing_ELA[#Headers],0))=0,"",INDEX(_xlfn.VSTACK(YES_Writing_ELA[#Data],YES_Writing_FLA[#Data]),MATCH($A54,_xlfn.VSTACK(YES_Writing_ELA[Student Number],YES_Writing_FLA[Student Number]),0),MATCH(VLOOKUP(G$7,'Writing Logic'!$J$7:$K$11,2,FALSE)&amp;" - Per "&amp;VLOOKUP($C$4,'Writing Logic'!$G$8:$H$14,2,FALSE),YES_Writing_ELA[#Headers],0)))),"")</f>
        <v/>
      </c>
      <c r="H54" s="223" t="str">
        <f>IFERROR(IF(IF(INDEX(_xlfn.VSTACK(YES_Writing_ELA[#Data],YES_Writing_FLA[#Data]),MATCH($A54,_xlfn.VSTACK(YES_Writing_ELA[Student Number],YES_Writing_FLA[Student Number]),0),MATCH(VLOOKUP(H$7,'Writing Logic'!$J$7:$K$11,2,FALSE)&amp;" - Per "&amp;VLOOKUP($C$4,'Writing Logic'!$G$8:$H$14,2,FALSE),YES_Writing_ELA[#Headers],0))=0,"",INDEX(_xlfn.VSTACK(YES_Writing_ELA[#Data],YES_Writing_FLA[#Data]),MATCH($A54,_xlfn.VSTACK(YES_Writing_ELA[Student Number],YES_Writing_FLA[Student Number]),0),MATCH(VLOOKUP(H$7,'Writing Logic'!$J$7:$K$11,2,FALSE)&amp;" - Per "&amp;VLOOKUP($C$4,'Writing Logic'!$G$8:$H$14,2,FALSE),YES_Writing_ELA[#Headers],0)))="INS",'Writing Logic'!$B$7,IF(INDEX(_xlfn.VSTACK(YES_Writing_ELA[#Data],YES_Writing_FLA[#Data]),MATCH($A54,_xlfn.VSTACK(YES_Writing_ELA[Student Number],YES_Writing_FLA[Student Number]),0),MATCH(VLOOKUP(H$7,'Writing Logic'!$J$7:$K$11,2,FALSE)&amp;" - Per "&amp;VLOOKUP($C$4,'Writing Logic'!$G$8:$H$14,2,FALSE),YES_Writing_ELA[#Headers],0))=0,"",INDEX(_xlfn.VSTACK(YES_Writing_ELA[#Data],YES_Writing_FLA[#Data]),MATCH($A54,_xlfn.VSTACK(YES_Writing_ELA[Student Number],YES_Writing_FLA[Student Number]),0),MATCH(VLOOKUP(H$7,'Writing Logic'!$J$7:$K$11,2,FALSE)&amp;" - Per "&amp;VLOOKUP($C$4,'Writing Logic'!$G$8:$H$14,2,FALSE),YES_Writing_ELA[#Headers],0)))),"")</f>
        <v/>
      </c>
      <c r="I54" s="224" t="str" cm="1">
        <f t="array" aca="1" ref="I54" ca="1">IFERROR(
IF($G$3="ELA",
IF(VLOOKUP($A54, YES_Reading_ELA[], COLUMN(INDIRECT("YES_Reading_ELA[Difference - Per "&amp;VLOOKUP($G$4, 'Reading Report Logic'!$A$2:$B$8, 2, FALSE)&amp;"]")), FALSE)="", "",
VLOOKUP($A54,YES_Reading_ELA[], COLUMN(INDIRECT("YES_Reading_ELA[Difference - Per "&amp;VLOOKUP($G$4,'Reading Report Logic'!$A$2:$B$8,2,FALSE)&amp;"]")), FALSE)),
IF($G$3="FLA",
IF(VLOOKUP($A54, YES_Reading_FLA[], COLUMN(INDIRECT("YES_Reading_FLA[Difference - Per "&amp;VLOOKUP($G$4,'Reading Report Logic'!$A$2:$B$8,2,FALSE)&amp;"]")),FALSE)="","",
VLOOKUP($A54,YES_Reading_FLA[],COLUMN(INDIRECT("YES_Reading_FLA[Difference - Per "&amp;VLOOKUP($G$4,'Reading Report Logic'!$A$2:$B$8,2,FALSE)&amp;"]")),FALSE)),
IF($G$3="Combined",
IFERROR(
IF(VLOOKUP($A54, YES_Reading_ELA[], COLUMN(INDIRECT("YES_Reading_ELA[Difference - Per "&amp;VLOOKUP($G$4, 'Reading Report Logic'!$A$2:$B$8,2,FALSE)&amp;"]")), FALSE)="", "",
VLOOKUP($A54,YES_Reading_ELA[],COLUMN(INDIRECT("YES_Reading_ELA[Difference - Per "&amp;VLOOKUP($G$4,'Reading Report Logic'!$A$2:$B$8,2,FALSE)&amp;"]")),FALSE)),
IF(VLOOKUP($A54, YES_Reading_FLA[], COLUMN(INDIRECT("YES_Reading_FLA[Difference - Per "&amp;VLOOKUP($G$4, 'Reading Report Logic'!$A$2:$B$8, 2, FALSE)&amp;"]")),FALSE)="", "", VLOOKUP($A54,YES_Reading_FLA[],COLUMN(INDIRECT("YES_Reading_FLA[Difference - Per "&amp;VLOOKUP($G$4, 'Reading Report Logic'!$A$2:$B$8, 2, FALSE)&amp;"]")),FALSE))),""))),"")</f>
        <v/>
      </c>
    </row>
    <row r="55" spans="1:9" ht="14.25" customHeight="1" x14ac:dyDescent="0.25">
      <c r="A55" s="137"/>
      <c r="B55" s="137" t="str">
        <f>IFERROR(INDEX(_xlfn.VSTACK(YES_Writing_ELA[#Data], YES_Writing_FLA[#Data]),MATCH($A55,_xlfn.VSTACK(YES_Writing_ELA[Student Number], YES_Writing_FLA[Student Number]),0),MATCH(B$7,YES_Writing_ELA[#Headers],0)),IFERROR(INDEX(_xlfn.VSTACK(YES_Reading_ELA[#Data], YES_Reading_FLA[#Data]),MATCH($A55,_xlfn.VSTACK(YES_Reading_ELA[Student Number], YES_Reading_FLA[Student Number]),0),MATCH(B$7,YES_Reading_ELA[#Headers],0)),""))</f>
        <v/>
      </c>
      <c r="C55" s="137" t="str">
        <f>IFERROR(INDEX(_xlfn.VSTACK(YES_Writing_ELA[#Data], YES_Writing_FLA[#Data]),MATCH($A55,_xlfn.VSTACK(YES_Writing_ELA[Student Number], YES_Writing_FLA[Student Number]),0),MATCH(C$7,YES_Writing_ELA[#Headers],0)),IFERROR(INDEX(_xlfn.VSTACK(YES_Reading_ELA[#Data], YES_Reading_FLA[#Data]),MATCH($A55,_xlfn.VSTACK(YES_Reading_ELA[Student Number], YES_Reading_FLA[Student Number]),0),MATCH(C$7,YES_Reading_ELA[#Headers],0)),""))</f>
        <v/>
      </c>
      <c r="D55" s="138" t="str">
        <f>IFERROR(IF(IF(INDEX(_xlfn.VSTACK(YES_Writing_ELA[#Data],YES_Writing_FLA[#Data]),MATCH($A55,_xlfn.VSTACK(YES_Writing_ELA[Student Number],YES_Writing_FLA[Student Number]),0),MATCH(VLOOKUP(D$7,'Writing Logic'!$J$7:$K$11,2,FALSE)&amp;" - Per "&amp;VLOOKUP($C$4,'Writing Logic'!$G$8:$H$14,2,FALSE),YES_Writing_ELA[#Headers],0))=0,"",INDEX(_xlfn.VSTACK(YES_Writing_ELA[#Data],YES_Writing_FLA[#Data]),MATCH($A55,_xlfn.VSTACK(YES_Writing_ELA[Student Number],YES_Writing_FLA[Student Number]),0),MATCH(VLOOKUP(D$7,'Writing Logic'!$J$7:$K$11,2,FALSE)&amp;" - Per "&amp;VLOOKUP($C$4,'Writing Logic'!$G$8:$H$14,2,FALSE),YES_Writing_ELA[#Headers],0)))="INS",'Writing Logic'!$B$7,IF(INDEX(_xlfn.VSTACK(YES_Writing_ELA[#Data],YES_Writing_FLA[#Data]),MATCH($A55,_xlfn.VSTACK(YES_Writing_ELA[Student Number],YES_Writing_FLA[Student Number]),0),MATCH(VLOOKUP(D$7,'Writing Logic'!$J$7:$K$11,2,FALSE)&amp;" - Per "&amp;VLOOKUP($C$4,'Writing Logic'!$G$8:$H$14,2,FALSE),YES_Writing_ELA[#Headers],0))=0,"",INDEX(_xlfn.VSTACK(YES_Writing_ELA[#Data],YES_Writing_FLA[#Data]),MATCH($A55,_xlfn.VSTACK(YES_Writing_ELA[Student Number],YES_Writing_FLA[Student Number]),0),MATCH(VLOOKUP(D$7,'Writing Logic'!$J$7:$K$11,2,FALSE)&amp;" - Per "&amp;VLOOKUP($C$4,'Writing Logic'!$G$8:$H$14,2,FALSE),YES_Writing_ELA[#Headers],0)))),"")</f>
        <v/>
      </c>
      <c r="E55" s="138" t="str">
        <f>IFERROR(IF(IF(INDEX(_xlfn.VSTACK(YES_Writing_ELA[#Data],YES_Writing_FLA[#Data]),MATCH($A55,_xlfn.VSTACK(YES_Writing_ELA[Student Number],YES_Writing_FLA[Student Number]),0),MATCH(VLOOKUP(E$7,'Writing Logic'!$J$7:$K$11,2,FALSE)&amp;" - Per "&amp;VLOOKUP($C$4,'Writing Logic'!$G$8:$H$14,2,FALSE),YES_Writing_ELA[#Headers],0))=0,"",INDEX(_xlfn.VSTACK(YES_Writing_ELA[#Data],YES_Writing_FLA[#Data]),MATCH($A55,_xlfn.VSTACK(YES_Writing_ELA[Student Number],YES_Writing_FLA[Student Number]),0),MATCH(VLOOKUP(E$7,'Writing Logic'!$J$7:$K$11,2,FALSE)&amp;" - Per "&amp;VLOOKUP($C$4,'Writing Logic'!$G$8:$H$14,2,FALSE),YES_Writing_ELA[#Headers],0)))="INS",'Writing Logic'!$B$7,IF(INDEX(_xlfn.VSTACK(YES_Writing_ELA[#Data],YES_Writing_FLA[#Data]),MATCH($A55,_xlfn.VSTACK(YES_Writing_ELA[Student Number],YES_Writing_FLA[Student Number]),0),MATCH(VLOOKUP(E$7,'Writing Logic'!$J$7:$K$11,2,FALSE)&amp;" - Per "&amp;VLOOKUP($C$4,'Writing Logic'!$G$8:$H$14,2,FALSE),YES_Writing_ELA[#Headers],0))=0,"",INDEX(_xlfn.VSTACK(YES_Writing_ELA[#Data],YES_Writing_FLA[#Data]),MATCH($A55,_xlfn.VSTACK(YES_Writing_ELA[Student Number],YES_Writing_FLA[Student Number]),0),MATCH(VLOOKUP(E$7,'Writing Logic'!$J$7:$K$11,2,FALSE)&amp;" - Per "&amp;VLOOKUP($C$4,'Writing Logic'!$G$8:$H$14,2,FALSE),YES_Writing_ELA[#Headers],0)))),"")</f>
        <v/>
      </c>
      <c r="F55" s="138" t="str">
        <f>IFERROR(IF(IF(INDEX(_xlfn.VSTACK(YES_Writing_ELA[#Data],YES_Writing_FLA[#Data]),MATCH($A55,_xlfn.VSTACK(YES_Writing_ELA[Student Number],YES_Writing_FLA[Student Number]),0),MATCH(VLOOKUP(F$7,'Writing Logic'!$J$7:$K$11,2,FALSE)&amp;" - Per "&amp;VLOOKUP($C$4,'Writing Logic'!$G$8:$H$14,2,FALSE),YES_Writing_ELA[#Headers],0))=0,"",INDEX(_xlfn.VSTACK(YES_Writing_ELA[#Data],YES_Writing_FLA[#Data]),MATCH($A55,_xlfn.VSTACK(YES_Writing_ELA[Student Number],YES_Writing_FLA[Student Number]),0),MATCH(VLOOKUP(F$7,'Writing Logic'!$J$7:$K$11,2,FALSE)&amp;" - Per "&amp;VLOOKUP($C$4,'Writing Logic'!$G$8:$H$14,2,FALSE),YES_Writing_ELA[#Headers],0)))="INS",'Writing Logic'!$B$7,IF(INDEX(_xlfn.VSTACK(YES_Writing_ELA[#Data],YES_Writing_FLA[#Data]),MATCH($A55,_xlfn.VSTACK(YES_Writing_ELA[Student Number],YES_Writing_FLA[Student Number]),0),MATCH(VLOOKUP(F$7,'Writing Logic'!$J$7:$K$11,2,FALSE)&amp;" - Per "&amp;VLOOKUP($C$4,'Writing Logic'!$G$8:$H$14,2,FALSE),YES_Writing_ELA[#Headers],0))=0,"",INDEX(_xlfn.VSTACK(YES_Writing_ELA[#Data],YES_Writing_FLA[#Data]),MATCH($A55,_xlfn.VSTACK(YES_Writing_ELA[Student Number],YES_Writing_FLA[Student Number]),0),MATCH(VLOOKUP(F$7,'Writing Logic'!$J$7:$K$11,2,FALSE)&amp;" - Per "&amp;VLOOKUP($C$4,'Writing Logic'!$G$8:$H$14,2,FALSE),YES_Writing_ELA[#Headers],0)))),"")</f>
        <v/>
      </c>
      <c r="G55" s="138" t="str">
        <f>IFERROR(IF(IF(INDEX(_xlfn.VSTACK(YES_Writing_ELA[#Data],YES_Writing_FLA[#Data]),MATCH($A55,_xlfn.VSTACK(YES_Writing_ELA[Student Number],YES_Writing_FLA[Student Number]),0),MATCH(VLOOKUP(G$7,'Writing Logic'!$J$7:$K$11,2,FALSE)&amp;" - Per "&amp;VLOOKUP($C$4,'Writing Logic'!$G$8:$H$14,2,FALSE),YES_Writing_ELA[#Headers],0))=0,"",INDEX(_xlfn.VSTACK(YES_Writing_ELA[#Data],YES_Writing_FLA[#Data]),MATCH($A55,_xlfn.VSTACK(YES_Writing_ELA[Student Number],YES_Writing_FLA[Student Number]),0),MATCH(VLOOKUP(G$7,'Writing Logic'!$J$7:$K$11,2,FALSE)&amp;" - Per "&amp;VLOOKUP($C$4,'Writing Logic'!$G$8:$H$14,2,FALSE),YES_Writing_ELA[#Headers],0)))="INS",'Writing Logic'!$B$7,IF(INDEX(_xlfn.VSTACK(YES_Writing_ELA[#Data],YES_Writing_FLA[#Data]),MATCH($A55,_xlfn.VSTACK(YES_Writing_ELA[Student Number],YES_Writing_FLA[Student Number]),0),MATCH(VLOOKUP(G$7,'Writing Logic'!$J$7:$K$11,2,FALSE)&amp;" - Per "&amp;VLOOKUP($C$4,'Writing Logic'!$G$8:$H$14,2,FALSE),YES_Writing_ELA[#Headers],0))=0,"",INDEX(_xlfn.VSTACK(YES_Writing_ELA[#Data],YES_Writing_FLA[#Data]),MATCH($A55,_xlfn.VSTACK(YES_Writing_ELA[Student Number],YES_Writing_FLA[Student Number]),0),MATCH(VLOOKUP(G$7,'Writing Logic'!$J$7:$K$11,2,FALSE)&amp;" - Per "&amp;VLOOKUP($C$4,'Writing Logic'!$G$8:$H$14,2,FALSE),YES_Writing_ELA[#Headers],0)))),"")</f>
        <v/>
      </c>
      <c r="H55" s="223" t="str">
        <f>IFERROR(IF(IF(INDEX(_xlfn.VSTACK(YES_Writing_ELA[#Data],YES_Writing_FLA[#Data]),MATCH($A55,_xlfn.VSTACK(YES_Writing_ELA[Student Number],YES_Writing_FLA[Student Number]),0),MATCH(VLOOKUP(H$7,'Writing Logic'!$J$7:$K$11,2,FALSE)&amp;" - Per "&amp;VLOOKUP($C$4,'Writing Logic'!$G$8:$H$14,2,FALSE),YES_Writing_ELA[#Headers],0))=0,"",INDEX(_xlfn.VSTACK(YES_Writing_ELA[#Data],YES_Writing_FLA[#Data]),MATCH($A55,_xlfn.VSTACK(YES_Writing_ELA[Student Number],YES_Writing_FLA[Student Number]),0),MATCH(VLOOKUP(H$7,'Writing Logic'!$J$7:$K$11,2,FALSE)&amp;" - Per "&amp;VLOOKUP($C$4,'Writing Logic'!$G$8:$H$14,2,FALSE),YES_Writing_ELA[#Headers],0)))="INS",'Writing Logic'!$B$7,IF(INDEX(_xlfn.VSTACK(YES_Writing_ELA[#Data],YES_Writing_FLA[#Data]),MATCH($A55,_xlfn.VSTACK(YES_Writing_ELA[Student Number],YES_Writing_FLA[Student Number]),0),MATCH(VLOOKUP(H$7,'Writing Logic'!$J$7:$K$11,2,FALSE)&amp;" - Per "&amp;VLOOKUP($C$4,'Writing Logic'!$G$8:$H$14,2,FALSE),YES_Writing_ELA[#Headers],0))=0,"",INDEX(_xlfn.VSTACK(YES_Writing_ELA[#Data],YES_Writing_FLA[#Data]),MATCH($A55,_xlfn.VSTACK(YES_Writing_ELA[Student Number],YES_Writing_FLA[Student Number]),0),MATCH(VLOOKUP(H$7,'Writing Logic'!$J$7:$K$11,2,FALSE)&amp;" - Per "&amp;VLOOKUP($C$4,'Writing Logic'!$G$8:$H$14,2,FALSE),YES_Writing_ELA[#Headers],0)))),"")</f>
        <v/>
      </c>
      <c r="I55" s="224" t="str" cm="1">
        <f t="array" aca="1" ref="I55" ca="1">IFERROR(
IF($G$3="ELA",
IF(VLOOKUP($A55, YES_Reading_ELA[], COLUMN(INDIRECT("YES_Reading_ELA[Difference - Per "&amp;VLOOKUP($G$4, 'Reading Report Logic'!$A$2:$B$8, 2, FALSE)&amp;"]")), FALSE)="", "",
VLOOKUP($A55,YES_Reading_ELA[], COLUMN(INDIRECT("YES_Reading_ELA[Difference - Per "&amp;VLOOKUP($G$4,'Reading Report Logic'!$A$2:$B$8,2,FALSE)&amp;"]")), FALSE)),
IF($G$3="FLA",
IF(VLOOKUP($A55, YES_Reading_FLA[], COLUMN(INDIRECT("YES_Reading_FLA[Difference - Per "&amp;VLOOKUP($G$4,'Reading Report Logic'!$A$2:$B$8,2,FALSE)&amp;"]")),FALSE)="","",
VLOOKUP($A55,YES_Reading_FLA[],COLUMN(INDIRECT("YES_Reading_FLA[Difference - Per "&amp;VLOOKUP($G$4,'Reading Report Logic'!$A$2:$B$8,2,FALSE)&amp;"]")),FALSE)),
IF($G$3="Combined",
IFERROR(
IF(VLOOKUP($A55, YES_Reading_ELA[], COLUMN(INDIRECT("YES_Reading_ELA[Difference - Per "&amp;VLOOKUP($G$4, 'Reading Report Logic'!$A$2:$B$8,2,FALSE)&amp;"]")), FALSE)="", "",
VLOOKUP($A55,YES_Reading_ELA[],COLUMN(INDIRECT("YES_Reading_ELA[Difference - Per "&amp;VLOOKUP($G$4,'Reading Report Logic'!$A$2:$B$8,2,FALSE)&amp;"]")),FALSE)),
IF(VLOOKUP($A55, YES_Reading_FLA[], COLUMN(INDIRECT("YES_Reading_FLA[Difference - Per "&amp;VLOOKUP($G$4, 'Reading Report Logic'!$A$2:$B$8, 2, FALSE)&amp;"]")),FALSE)="", "", VLOOKUP($A55,YES_Reading_FLA[],COLUMN(INDIRECT("YES_Reading_FLA[Difference - Per "&amp;VLOOKUP($G$4, 'Reading Report Logic'!$A$2:$B$8, 2, FALSE)&amp;"]")),FALSE))),""))),"")</f>
        <v/>
      </c>
    </row>
    <row r="56" spans="1:9" ht="14.25" customHeight="1" x14ac:dyDescent="0.25">
      <c r="A56" s="137"/>
      <c r="B56" s="137" t="str">
        <f>IFERROR(INDEX(_xlfn.VSTACK(YES_Writing_ELA[#Data], YES_Writing_FLA[#Data]),MATCH($A56,_xlfn.VSTACK(YES_Writing_ELA[Student Number], YES_Writing_FLA[Student Number]),0),MATCH(B$7,YES_Writing_ELA[#Headers],0)),IFERROR(INDEX(_xlfn.VSTACK(YES_Reading_ELA[#Data], YES_Reading_FLA[#Data]),MATCH($A56,_xlfn.VSTACK(YES_Reading_ELA[Student Number], YES_Reading_FLA[Student Number]),0),MATCH(B$7,YES_Reading_ELA[#Headers],0)),""))</f>
        <v/>
      </c>
      <c r="C56" s="137" t="str">
        <f>IFERROR(INDEX(_xlfn.VSTACK(YES_Writing_ELA[#Data], YES_Writing_FLA[#Data]),MATCH($A56,_xlfn.VSTACK(YES_Writing_ELA[Student Number], YES_Writing_FLA[Student Number]),0),MATCH(C$7,YES_Writing_ELA[#Headers],0)),IFERROR(INDEX(_xlfn.VSTACK(YES_Reading_ELA[#Data], YES_Reading_FLA[#Data]),MATCH($A56,_xlfn.VSTACK(YES_Reading_ELA[Student Number], YES_Reading_FLA[Student Number]),0),MATCH(C$7,YES_Reading_ELA[#Headers],0)),""))</f>
        <v/>
      </c>
      <c r="D56" s="138" t="str">
        <f>IFERROR(IF(IF(INDEX(_xlfn.VSTACK(YES_Writing_ELA[#Data],YES_Writing_FLA[#Data]),MATCH($A56,_xlfn.VSTACK(YES_Writing_ELA[Student Number],YES_Writing_FLA[Student Number]),0),MATCH(VLOOKUP(D$7,'Writing Logic'!$J$7:$K$11,2,FALSE)&amp;" - Per "&amp;VLOOKUP($C$4,'Writing Logic'!$G$8:$H$14,2,FALSE),YES_Writing_ELA[#Headers],0))=0,"",INDEX(_xlfn.VSTACK(YES_Writing_ELA[#Data],YES_Writing_FLA[#Data]),MATCH($A56,_xlfn.VSTACK(YES_Writing_ELA[Student Number],YES_Writing_FLA[Student Number]),0),MATCH(VLOOKUP(D$7,'Writing Logic'!$J$7:$K$11,2,FALSE)&amp;" - Per "&amp;VLOOKUP($C$4,'Writing Logic'!$G$8:$H$14,2,FALSE),YES_Writing_ELA[#Headers],0)))="INS",'Writing Logic'!$B$7,IF(INDEX(_xlfn.VSTACK(YES_Writing_ELA[#Data],YES_Writing_FLA[#Data]),MATCH($A56,_xlfn.VSTACK(YES_Writing_ELA[Student Number],YES_Writing_FLA[Student Number]),0),MATCH(VLOOKUP(D$7,'Writing Logic'!$J$7:$K$11,2,FALSE)&amp;" - Per "&amp;VLOOKUP($C$4,'Writing Logic'!$G$8:$H$14,2,FALSE),YES_Writing_ELA[#Headers],0))=0,"",INDEX(_xlfn.VSTACK(YES_Writing_ELA[#Data],YES_Writing_FLA[#Data]),MATCH($A56,_xlfn.VSTACK(YES_Writing_ELA[Student Number],YES_Writing_FLA[Student Number]),0),MATCH(VLOOKUP(D$7,'Writing Logic'!$J$7:$K$11,2,FALSE)&amp;" - Per "&amp;VLOOKUP($C$4,'Writing Logic'!$G$8:$H$14,2,FALSE),YES_Writing_ELA[#Headers],0)))),"")</f>
        <v/>
      </c>
      <c r="E56" s="138" t="str">
        <f>IFERROR(IF(IF(INDEX(_xlfn.VSTACK(YES_Writing_ELA[#Data],YES_Writing_FLA[#Data]),MATCH($A56,_xlfn.VSTACK(YES_Writing_ELA[Student Number],YES_Writing_FLA[Student Number]),0),MATCH(VLOOKUP(E$7,'Writing Logic'!$J$7:$K$11,2,FALSE)&amp;" - Per "&amp;VLOOKUP($C$4,'Writing Logic'!$G$8:$H$14,2,FALSE),YES_Writing_ELA[#Headers],0))=0,"",INDEX(_xlfn.VSTACK(YES_Writing_ELA[#Data],YES_Writing_FLA[#Data]),MATCH($A56,_xlfn.VSTACK(YES_Writing_ELA[Student Number],YES_Writing_FLA[Student Number]),0),MATCH(VLOOKUP(E$7,'Writing Logic'!$J$7:$K$11,2,FALSE)&amp;" - Per "&amp;VLOOKUP($C$4,'Writing Logic'!$G$8:$H$14,2,FALSE),YES_Writing_ELA[#Headers],0)))="INS",'Writing Logic'!$B$7,IF(INDEX(_xlfn.VSTACK(YES_Writing_ELA[#Data],YES_Writing_FLA[#Data]),MATCH($A56,_xlfn.VSTACK(YES_Writing_ELA[Student Number],YES_Writing_FLA[Student Number]),0),MATCH(VLOOKUP(E$7,'Writing Logic'!$J$7:$K$11,2,FALSE)&amp;" - Per "&amp;VLOOKUP($C$4,'Writing Logic'!$G$8:$H$14,2,FALSE),YES_Writing_ELA[#Headers],0))=0,"",INDEX(_xlfn.VSTACK(YES_Writing_ELA[#Data],YES_Writing_FLA[#Data]),MATCH($A56,_xlfn.VSTACK(YES_Writing_ELA[Student Number],YES_Writing_FLA[Student Number]),0),MATCH(VLOOKUP(E$7,'Writing Logic'!$J$7:$K$11,2,FALSE)&amp;" - Per "&amp;VLOOKUP($C$4,'Writing Logic'!$G$8:$H$14,2,FALSE),YES_Writing_ELA[#Headers],0)))),"")</f>
        <v/>
      </c>
      <c r="F56" s="138" t="str">
        <f>IFERROR(IF(IF(INDEX(_xlfn.VSTACK(YES_Writing_ELA[#Data],YES_Writing_FLA[#Data]),MATCH($A56,_xlfn.VSTACK(YES_Writing_ELA[Student Number],YES_Writing_FLA[Student Number]),0),MATCH(VLOOKUP(F$7,'Writing Logic'!$J$7:$K$11,2,FALSE)&amp;" - Per "&amp;VLOOKUP($C$4,'Writing Logic'!$G$8:$H$14,2,FALSE),YES_Writing_ELA[#Headers],0))=0,"",INDEX(_xlfn.VSTACK(YES_Writing_ELA[#Data],YES_Writing_FLA[#Data]),MATCH($A56,_xlfn.VSTACK(YES_Writing_ELA[Student Number],YES_Writing_FLA[Student Number]),0),MATCH(VLOOKUP(F$7,'Writing Logic'!$J$7:$K$11,2,FALSE)&amp;" - Per "&amp;VLOOKUP($C$4,'Writing Logic'!$G$8:$H$14,2,FALSE),YES_Writing_ELA[#Headers],0)))="INS",'Writing Logic'!$B$7,IF(INDEX(_xlfn.VSTACK(YES_Writing_ELA[#Data],YES_Writing_FLA[#Data]),MATCH($A56,_xlfn.VSTACK(YES_Writing_ELA[Student Number],YES_Writing_FLA[Student Number]),0),MATCH(VLOOKUP(F$7,'Writing Logic'!$J$7:$K$11,2,FALSE)&amp;" - Per "&amp;VLOOKUP($C$4,'Writing Logic'!$G$8:$H$14,2,FALSE),YES_Writing_ELA[#Headers],0))=0,"",INDEX(_xlfn.VSTACK(YES_Writing_ELA[#Data],YES_Writing_FLA[#Data]),MATCH($A56,_xlfn.VSTACK(YES_Writing_ELA[Student Number],YES_Writing_FLA[Student Number]),0),MATCH(VLOOKUP(F$7,'Writing Logic'!$J$7:$K$11,2,FALSE)&amp;" - Per "&amp;VLOOKUP($C$4,'Writing Logic'!$G$8:$H$14,2,FALSE),YES_Writing_ELA[#Headers],0)))),"")</f>
        <v/>
      </c>
      <c r="G56" s="138" t="str">
        <f>IFERROR(IF(IF(INDEX(_xlfn.VSTACK(YES_Writing_ELA[#Data],YES_Writing_FLA[#Data]),MATCH($A56,_xlfn.VSTACK(YES_Writing_ELA[Student Number],YES_Writing_FLA[Student Number]),0),MATCH(VLOOKUP(G$7,'Writing Logic'!$J$7:$K$11,2,FALSE)&amp;" - Per "&amp;VLOOKUP($C$4,'Writing Logic'!$G$8:$H$14,2,FALSE),YES_Writing_ELA[#Headers],0))=0,"",INDEX(_xlfn.VSTACK(YES_Writing_ELA[#Data],YES_Writing_FLA[#Data]),MATCH($A56,_xlfn.VSTACK(YES_Writing_ELA[Student Number],YES_Writing_FLA[Student Number]),0),MATCH(VLOOKUP(G$7,'Writing Logic'!$J$7:$K$11,2,FALSE)&amp;" - Per "&amp;VLOOKUP($C$4,'Writing Logic'!$G$8:$H$14,2,FALSE),YES_Writing_ELA[#Headers],0)))="INS",'Writing Logic'!$B$7,IF(INDEX(_xlfn.VSTACK(YES_Writing_ELA[#Data],YES_Writing_FLA[#Data]),MATCH($A56,_xlfn.VSTACK(YES_Writing_ELA[Student Number],YES_Writing_FLA[Student Number]),0),MATCH(VLOOKUP(G$7,'Writing Logic'!$J$7:$K$11,2,FALSE)&amp;" - Per "&amp;VLOOKUP($C$4,'Writing Logic'!$G$8:$H$14,2,FALSE),YES_Writing_ELA[#Headers],0))=0,"",INDEX(_xlfn.VSTACK(YES_Writing_ELA[#Data],YES_Writing_FLA[#Data]),MATCH($A56,_xlfn.VSTACK(YES_Writing_ELA[Student Number],YES_Writing_FLA[Student Number]),0),MATCH(VLOOKUP(G$7,'Writing Logic'!$J$7:$K$11,2,FALSE)&amp;" - Per "&amp;VLOOKUP($C$4,'Writing Logic'!$G$8:$H$14,2,FALSE),YES_Writing_ELA[#Headers],0)))),"")</f>
        <v/>
      </c>
      <c r="H56" s="223" t="str">
        <f>IFERROR(IF(IF(INDEX(_xlfn.VSTACK(YES_Writing_ELA[#Data],YES_Writing_FLA[#Data]),MATCH($A56,_xlfn.VSTACK(YES_Writing_ELA[Student Number],YES_Writing_FLA[Student Number]),0),MATCH(VLOOKUP(H$7,'Writing Logic'!$J$7:$K$11,2,FALSE)&amp;" - Per "&amp;VLOOKUP($C$4,'Writing Logic'!$G$8:$H$14,2,FALSE),YES_Writing_ELA[#Headers],0))=0,"",INDEX(_xlfn.VSTACK(YES_Writing_ELA[#Data],YES_Writing_FLA[#Data]),MATCH($A56,_xlfn.VSTACK(YES_Writing_ELA[Student Number],YES_Writing_FLA[Student Number]),0),MATCH(VLOOKUP(H$7,'Writing Logic'!$J$7:$K$11,2,FALSE)&amp;" - Per "&amp;VLOOKUP($C$4,'Writing Logic'!$G$8:$H$14,2,FALSE),YES_Writing_ELA[#Headers],0)))="INS",'Writing Logic'!$B$7,IF(INDEX(_xlfn.VSTACK(YES_Writing_ELA[#Data],YES_Writing_FLA[#Data]),MATCH($A56,_xlfn.VSTACK(YES_Writing_ELA[Student Number],YES_Writing_FLA[Student Number]),0),MATCH(VLOOKUP(H$7,'Writing Logic'!$J$7:$K$11,2,FALSE)&amp;" - Per "&amp;VLOOKUP($C$4,'Writing Logic'!$G$8:$H$14,2,FALSE),YES_Writing_ELA[#Headers],0))=0,"",INDEX(_xlfn.VSTACK(YES_Writing_ELA[#Data],YES_Writing_FLA[#Data]),MATCH($A56,_xlfn.VSTACK(YES_Writing_ELA[Student Number],YES_Writing_FLA[Student Number]),0),MATCH(VLOOKUP(H$7,'Writing Logic'!$J$7:$K$11,2,FALSE)&amp;" - Per "&amp;VLOOKUP($C$4,'Writing Logic'!$G$8:$H$14,2,FALSE),YES_Writing_ELA[#Headers],0)))),"")</f>
        <v/>
      </c>
      <c r="I56" s="224" t="str" cm="1">
        <f t="array" aca="1" ref="I56" ca="1">IFERROR(
IF($G$3="ELA",
IF(VLOOKUP($A56, YES_Reading_ELA[], COLUMN(INDIRECT("YES_Reading_ELA[Difference - Per "&amp;VLOOKUP($G$4, 'Reading Report Logic'!$A$2:$B$8, 2, FALSE)&amp;"]")), FALSE)="", "",
VLOOKUP($A56,YES_Reading_ELA[], COLUMN(INDIRECT("YES_Reading_ELA[Difference - Per "&amp;VLOOKUP($G$4,'Reading Report Logic'!$A$2:$B$8,2,FALSE)&amp;"]")), FALSE)),
IF($G$3="FLA",
IF(VLOOKUP($A56, YES_Reading_FLA[], COLUMN(INDIRECT("YES_Reading_FLA[Difference - Per "&amp;VLOOKUP($G$4,'Reading Report Logic'!$A$2:$B$8,2,FALSE)&amp;"]")),FALSE)="","",
VLOOKUP($A56,YES_Reading_FLA[],COLUMN(INDIRECT("YES_Reading_FLA[Difference - Per "&amp;VLOOKUP($G$4,'Reading Report Logic'!$A$2:$B$8,2,FALSE)&amp;"]")),FALSE)),
IF($G$3="Combined",
IFERROR(
IF(VLOOKUP($A56, YES_Reading_ELA[], COLUMN(INDIRECT("YES_Reading_ELA[Difference - Per "&amp;VLOOKUP($G$4, 'Reading Report Logic'!$A$2:$B$8,2,FALSE)&amp;"]")), FALSE)="", "",
VLOOKUP($A56,YES_Reading_ELA[],COLUMN(INDIRECT("YES_Reading_ELA[Difference - Per "&amp;VLOOKUP($G$4,'Reading Report Logic'!$A$2:$B$8,2,FALSE)&amp;"]")),FALSE)),
IF(VLOOKUP($A56, YES_Reading_FLA[], COLUMN(INDIRECT("YES_Reading_FLA[Difference - Per "&amp;VLOOKUP($G$4, 'Reading Report Logic'!$A$2:$B$8, 2, FALSE)&amp;"]")),FALSE)="", "", VLOOKUP($A56,YES_Reading_FLA[],COLUMN(INDIRECT("YES_Reading_FLA[Difference - Per "&amp;VLOOKUP($G$4, 'Reading Report Logic'!$A$2:$B$8, 2, FALSE)&amp;"]")),FALSE))),""))),"")</f>
        <v/>
      </c>
    </row>
    <row r="57" spans="1:9" ht="14.25" customHeight="1" x14ac:dyDescent="0.25">
      <c r="A57" s="137"/>
      <c r="B57" s="137" t="str">
        <f>IFERROR(INDEX(_xlfn.VSTACK(YES_Writing_ELA[#Data], YES_Writing_FLA[#Data]),MATCH($A57,_xlfn.VSTACK(YES_Writing_ELA[Student Number], YES_Writing_FLA[Student Number]),0),MATCH(B$7,YES_Writing_ELA[#Headers],0)),IFERROR(INDEX(_xlfn.VSTACK(YES_Reading_ELA[#Data], YES_Reading_FLA[#Data]),MATCH($A57,_xlfn.VSTACK(YES_Reading_ELA[Student Number], YES_Reading_FLA[Student Number]),0),MATCH(B$7,YES_Reading_ELA[#Headers],0)),""))</f>
        <v/>
      </c>
      <c r="C57" s="137" t="str">
        <f>IFERROR(INDEX(_xlfn.VSTACK(YES_Writing_ELA[#Data], YES_Writing_FLA[#Data]),MATCH($A57,_xlfn.VSTACK(YES_Writing_ELA[Student Number], YES_Writing_FLA[Student Number]),0),MATCH(C$7,YES_Writing_ELA[#Headers],0)),IFERROR(INDEX(_xlfn.VSTACK(YES_Reading_ELA[#Data], YES_Reading_FLA[#Data]),MATCH($A57,_xlfn.VSTACK(YES_Reading_ELA[Student Number], YES_Reading_FLA[Student Number]),0),MATCH(C$7,YES_Reading_ELA[#Headers],0)),""))</f>
        <v/>
      </c>
      <c r="D57" s="138" t="str">
        <f>IFERROR(IF(IF(INDEX(_xlfn.VSTACK(YES_Writing_ELA[#Data],YES_Writing_FLA[#Data]),MATCH($A57,_xlfn.VSTACK(YES_Writing_ELA[Student Number],YES_Writing_FLA[Student Number]),0),MATCH(VLOOKUP(D$7,'Writing Logic'!$J$7:$K$11,2,FALSE)&amp;" - Per "&amp;VLOOKUP($C$4,'Writing Logic'!$G$8:$H$14,2,FALSE),YES_Writing_ELA[#Headers],0))=0,"",INDEX(_xlfn.VSTACK(YES_Writing_ELA[#Data],YES_Writing_FLA[#Data]),MATCH($A57,_xlfn.VSTACK(YES_Writing_ELA[Student Number],YES_Writing_FLA[Student Number]),0),MATCH(VLOOKUP(D$7,'Writing Logic'!$J$7:$K$11,2,FALSE)&amp;" - Per "&amp;VLOOKUP($C$4,'Writing Logic'!$G$8:$H$14,2,FALSE),YES_Writing_ELA[#Headers],0)))="INS",'Writing Logic'!$B$7,IF(INDEX(_xlfn.VSTACK(YES_Writing_ELA[#Data],YES_Writing_FLA[#Data]),MATCH($A57,_xlfn.VSTACK(YES_Writing_ELA[Student Number],YES_Writing_FLA[Student Number]),0),MATCH(VLOOKUP(D$7,'Writing Logic'!$J$7:$K$11,2,FALSE)&amp;" - Per "&amp;VLOOKUP($C$4,'Writing Logic'!$G$8:$H$14,2,FALSE),YES_Writing_ELA[#Headers],0))=0,"",INDEX(_xlfn.VSTACK(YES_Writing_ELA[#Data],YES_Writing_FLA[#Data]),MATCH($A57,_xlfn.VSTACK(YES_Writing_ELA[Student Number],YES_Writing_FLA[Student Number]),0),MATCH(VLOOKUP(D$7,'Writing Logic'!$J$7:$K$11,2,FALSE)&amp;" - Per "&amp;VLOOKUP($C$4,'Writing Logic'!$G$8:$H$14,2,FALSE),YES_Writing_ELA[#Headers],0)))),"")</f>
        <v/>
      </c>
      <c r="E57" s="138" t="str">
        <f>IFERROR(IF(IF(INDEX(_xlfn.VSTACK(YES_Writing_ELA[#Data],YES_Writing_FLA[#Data]),MATCH($A57,_xlfn.VSTACK(YES_Writing_ELA[Student Number],YES_Writing_FLA[Student Number]),0),MATCH(VLOOKUP(E$7,'Writing Logic'!$J$7:$K$11,2,FALSE)&amp;" - Per "&amp;VLOOKUP($C$4,'Writing Logic'!$G$8:$H$14,2,FALSE),YES_Writing_ELA[#Headers],0))=0,"",INDEX(_xlfn.VSTACK(YES_Writing_ELA[#Data],YES_Writing_FLA[#Data]),MATCH($A57,_xlfn.VSTACK(YES_Writing_ELA[Student Number],YES_Writing_FLA[Student Number]),0),MATCH(VLOOKUP(E$7,'Writing Logic'!$J$7:$K$11,2,FALSE)&amp;" - Per "&amp;VLOOKUP($C$4,'Writing Logic'!$G$8:$H$14,2,FALSE),YES_Writing_ELA[#Headers],0)))="INS",'Writing Logic'!$B$7,IF(INDEX(_xlfn.VSTACK(YES_Writing_ELA[#Data],YES_Writing_FLA[#Data]),MATCH($A57,_xlfn.VSTACK(YES_Writing_ELA[Student Number],YES_Writing_FLA[Student Number]),0),MATCH(VLOOKUP(E$7,'Writing Logic'!$J$7:$K$11,2,FALSE)&amp;" - Per "&amp;VLOOKUP($C$4,'Writing Logic'!$G$8:$H$14,2,FALSE),YES_Writing_ELA[#Headers],0))=0,"",INDEX(_xlfn.VSTACK(YES_Writing_ELA[#Data],YES_Writing_FLA[#Data]),MATCH($A57,_xlfn.VSTACK(YES_Writing_ELA[Student Number],YES_Writing_FLA[Student Number]),0),MATCH(VLOOKUP(E$7,'Writing Logic'!$J$7:$K$11,2,FALSE)&amp;" - Per "&amp;VLOOKUP($C$4,'Writing Logic'!$G$8:$H$14,2,FALSE),YES_Writing_ELA[#Headers],0)))),"")</f>
        <v/>
      </c>
      <c r="F57" s="138" t="str">
        <f>IFERROR(IF(IF(INDEX(_xlfn.VSTACK(YES_Writing_ELA[#Data],YES_Writing_FLA[#Data]),MATCH($A57,_xlfn.VSTACK(YES_Writing_ELA[Student Number],YES_Writing_FLA[Student Number]),0),MATCH(VLOOKUP(F$7,'Writing Logic'!$J$7:$K$11,2,FALSE)&amp;" - Per "&amp;VLOOKUP($C$4,'Writing Logic'!$G$8:$H$14,2,FALSE),YES_Writing_ELA[#Headers],0))=0,"",INDEX(_xlfn.VSTACK(YES_Writing_ELA[#Data],YES_Writing_FLA[#Data]),MATCH($A57,_xlfn.VSTACK(YES_Writing_ELA[Student Number],YES_Writing_FLA[Student Number]),0),MATCH(VLOOKUP(F$7,'Writing Logic'!$J$7:$K$11,2,FALSE)&amp;" - Per "&amp;VLOOKUP($C$4,'Writing Logic'!$G$8:$H$14,2,FALSE),YES_Writing_ELA[#Headers],0)))="INS",'Writing Logic'!$B$7,IF(INDEX(_xlfn.VSTACK(YES_Writing_ELA[#Data],YES_Writing_FLA[#Data]),MATCH($A57,_xlfn.VSTACK(YES_Writing_ELA[Student Number],YES_Writing_FLA[Student Number]),0),MATCH(VLOOKUP(F$7,'Writing Logic'!$J$7:$K$11,2,FALSE)&amp;" - Per "&amp;VLOOKUP($C$4,'Writing Logic'!$G$8:$H$14,2,FALSE),YES_Writing_ELA[#Headers],0))=0,"",INDEX(_xlfn.VSTACK(YES_Writing_ELA[#Data],YES_Writing_FLA[#Data]),MATCH($A57,_xlfn.VSTACK(YES_Writing_ELA[Student Number],YES_Writing_FLA[Student Number]),0),MATCH(VLOOKUP(F$7,'Writing Logic'!$J$7:$K$11,2,FALSE)&amp;" - Per "&amp;VLOOKUP($C$4,'Writing Logic'!$G$8:$H$14,2,FALSE),YES_Writing_ELA[#Headers],0)))),"")</f>
        <v/>
      </c>
      <c r="G57" s="138" t="str">
        <f>IFERROR(IF(IF(INDEX(_xlfn.VSTACK(YES_Writing_ELA[#Data],YES_Writing_FLA[#Data]),MATCH($A57,_xlfn.VSTACK(YES_Writing_ELA[Student Number],YES_Writing_FLA[Student Number]),0),MATCH(VLOOKUP(G$7,'Writing Logic'!$J$7:$K$11,2,FALSE)&amp;" - Per "&amp;VLOOKUP($C$4,'Writing Logic'!$G$8:$H$14,2,FALSE),YES_Writing_ELA[#Headers],0))=0,"",INDEX(_xlfn.VSTACK(YES_Writing_ELA[#Data],YES_Writing_FLA[#Data]),MATCH($A57,_xlfn.VSTACK(YES_Writing_ELA[Student Number],YES_Writing_FLA[Student Number]),0),MATCH(VLOOKUP(G$7,'Writing Logic'!$J$7:$K$11,2,FALSE)&amp;" - Per "&amp;VLOOKUP($C$4,'Writing Logic'!$G$8:$H$14,2,FALSE),YES_Writing_ELA[#Headers],0)))="INS",'Writing Logic'!$B$7,IF(INDEX(_xlfn.VSTACK(YES_Writing_ELA[#Data],YES_Writing_FLA[#Data]),MATCH($A57,_xlfn.VSTACK(YES_Writing_ELA[Student Number],YES_Writing_FLA[Student Number]),0),MATCH(VLOOKUP(G$7,'Writing Logic'!$J$7:$K$11,2,FALSE)&amp;" - Per "&amp;VLOOKUP($C$4,'Writing Logic'!$G$8:$H$14,2,FALSE),YES_Writing_ELA[#Headers],0))=0,"",INDEX(_xlfn.VSTACK(YES_Writing_ELA[#Data],YES_Writing_FLA[#Data]),MATCH($A57,_xlfn.VSTACK(YES_Writing_ELA[Student Number],YES_Writing_FLA[Student Number]),0),MATCH(VLOOKUP(G$7,'Writing Logic'!$J$7:$K$11,2,FALSE)&amp;" - Per "&amp;VLOOKUP($C$4,'Writing Logic'!$G$8:$H$14,2,FALSE),YES_Writing_ELA[#Headers],0)))),"")</f>
        <v/>
      </c>
      <c r="H57" s="223" t="str">
        <f>IFERROR(IF(IF(INDEX(_xlfn.VSTACK(YES_Writing_ELA[#Data],YES_Writing_FLA[#Data]),MATCH($A57,_xlfn.VSTACK(YES_Writing_ELA[Student Number],YES_Writing_FLA[Student Number]),0),MATCH(VLOOKUP(H$7,'Writing Logic'!$J$7:$K$11,2,FALSE)&amp;" - Per "&amp;VLOOKUP($C$4,'Writing Logic'!$G$8:$H$14,2,FALSE),YES_Writing_ELA[#Headers],0))=0,"",INDEX(_xlfn.VSTACK(YES_Writing_ELA[#Data],YES_Writing_FLA[#Data]),MATCH($A57,_xlfn.VSTACK(YES_Writing_ELA[Student Number],YES_Writing_FLA[Student Number]),0),MATCH(VLOOKUP(H$7,'Writing Logic'!$J$7:$K$11,2,FALSE)&amp;" - Per "&amp;VLOOKUP($C$4,'Writing Logic'!$G$8:$H$14,2,FALSE),YES_Writing_ELA[#Headers],0)))="INS",'Writing Logic'!$B$7,IF(INDEX(_xlfn.VSTACK(YES_Writing_ELA[#Data],YES_Writing_FLA[#Data]),MATCH($A57,_xlfn.VSTACK(YES_Writing_ELA[Student Number],YES_Writing_FLA[Student Number]),0),MATCH(VLOOKUP(H$7,'Writing Logic'!$J$7:$K$11,2,FALSE)&amp;" - Per "&amp;VLOOKUP($C$4,'Writing Logic'!$G$8:$H$14,2,FALSE),YES_Writing_ELA[#Headers],0))=0,"",INDEX(_xlfn.VSTACK(YES_Writing_ELA[#Data],YES_Writing_FLA[#Data]),MATCH($A57,_xlfn.VSTACK(YES_Writing_ELA[Student Number],YES_Writing_FLA[Student Number]),0),MATCH(VLOOKUP(H$7,'Writing Logic'!$J$7:$K$11,2,FALSE)&amp;" - Per "&amp;VLOOKUP($C$4,'Writing Logic'!$G$8:$H$14,2,FALSE),YES_Writing_ELA[#Headers],0)))),"")</f>
        <v/>
      </c>
      <c r="I57" s="224" t="str" cm="1">
        <f t="array" aca="1" ref="I57" ca="1">IFERROR(
IF($G$3="ELA",
IF(VLOOKUP($A57, YES_Reading_ELA[], COLUMN(INDIRECT("YES_Reading_ELA[Difference - Per "&amp;VLOOKUP($G$4, 'Reading Report Logic'!$A$2:$B$8, 2, FALSE)&amp;"]")), FALSE)="", "",
VLOOKUP($A57,YES_Reading_ELA[], COLUMN(INDIRECT("YES_Reading_ELA[Difference - Per "&amp;VLOOKUP($G$4,'Reading Report Logic'!$A$2:$B$8,2,FALSE)&amp;"]")), FALSE)),
IF($G$3="FLA",
IF(VLOOKUP($A57, YES_Reading_FLA[], COLUMN(INDIRECT("YES_Reading_FLA[Difference - Per "&amp;VLOOKUP($G$4,'Reading Report Logic'!$A$2:$B$8,2,FALSE)&amp;"]")),FALSE)="","",
VLOOKUP($A57,YES_Reading_FLA[],COLUMN(INDIRECT("YES_Reading_FLA[Difference - Per "&amp;VLOOKUP($G$4,'Reading Report Logic'!$A$2:$B$8,2,FALSE)&amp;"]")),FALSE)),
IF($G$3="Combined",
IFERROR(
IF(VLOOKUP($A57, YES_Reading_ELA[], COLUMN(INDIRECT("YES_Reading_ELA[Difference - Per "&amp;VLOOKUP($G$4, 'Reading Report Logic'!$A$2:$B$8,2,FALSE)&amp;"]")), FALSE)="", "",
VLOOKUP($A57,YES_Reading_ELA[],COLUMN(INDIRECT("YES_Reading_ELA[Difference - Per "&amp;VLOOKUP($G$4,'Reading Report Logic'!$A$2:$B$8,2,FALSE)&amp;"]")),FALSE)),
IF(VLOOKUP($A57, YES_Reading_FLA[], COLUMN(INDIRECT("YES_Reading_FLA[Difference - Per "&amp;VLOOKUP($G$4, 'Reading Report Logic'!$A$2:$B$8, 2, FALSE)&amp;"]")),FALSE)="", "", VLOOKUP($A57,YES_Reading_FLA[],COLUMN(INDIRECT("YES_Reading_FLA[Difference - Per "&amp;VLOOKUP($G$4, 'Reading Report Logic'!$A$2:$B$8, 2, FALSE)&amp;"]")),FALSE))),""))),"")</f>
        <v/>
      </c>
    </row>
    <row r="58" spans="1:9" ht="14.25" customHeight="1" x14ac:dyDescent="0.25">
      <c r="A58" s="137"/>
      <c r="B58" s="137" t="str">
        <f>IFERROR(INDEX(_xlfn.VSTACK(YES_Writing_ELA[#Data], YES_Writing_FLA[#Data]),MATCH($A58,_xlfn.VSTACK(YES_Writing_ELA[Student Number], YES_Writing_FLA[Student Number]),0),MATCH(B$7,YES_Writing_ELA[#Headers],0)),IFERROR(INDEX(_xlfn.VSTACK(YES_Reading_ELA[#Data], YES_Reading_FLA[#Data]),MATCH($A58,_xlfn.VSTACK(YES_Reading_ELA[Student Number], YES_Reading_FLA[Student Number]),0),MATCH(B$7,YES_Reading_ELA[#Headers],0)),""))</f>
        <v/>
      </c>
      <c r="C58" s="137" t="str">
        <f>IFERROR(INDEX(_xlfn.VSTACK(YES_Writing_ELA[#Data], YES_Writing_FLA[#Data]),MATCH($A58,_xlfn.VSTACK(YES_Writing_ELA[Student Number], YES_Writing_FLA[Student Number]),0),MATCH(C$7,YES_Writing_ELA[#Headers],0)),IFERROR(INDEX(_xlfn.VSTACK(YES_Reading_ELA[#Data], YES_Reading_FLA[#Data]),MATCH($A58,_xlfn.VSTACK(YES_Reading_ELA[Student Number], YES_Reading_FLA[Student Number]),0),MATCH(C$7,YES_Reading_ELA[#Headers],0)),""))</f>
        <v/>
      </c>
      <c r="D58" s="138" t="str">
        <f>IFERROR(IF(IF(INDEX(_xlfn.VSTACK(YES_Writing_ELA[#Data],YES_Writing_FLA[#Data]),MATCH($A58,_xlfn.VSTACK(YES_Writing_ELA[Student Number],YES_Writing_FLA[Student Number]),0),MATCH(VLOOKUP(D$7,'Writing Logic'!$J$7:$K$11,2,FALSE)&amp;" - Per "&amp;VLOOKUP($C$4,'Writing Logic'!$G$8:$H$14,2,FALSE),YES_Writing_ELA[#Headers],0))=0,"",INDEX(_xlfn.VSTACK(YES_Writing_ELA[#Data],YES_Writing_FLA[#Data]),MATCH($A58,_xlfn.VSTACK(YES_Writing_ELA[Student Number],YES_Writing_FLA[Student Number]),0),MATCH(VLOOKUP(D$7,'Writing Logic'!$J$7:$K$11,2,FALSE)&amp;" - Per "&amp;VLOOKUP($C$4,'Writing Logic'!$G$8:$H$14,2,FALSE),YES_Writing_ELA[#Headers],0)))="INS",'Writing Logic'!$B$7,IF(INDEX(_xlfn.VSTACK(YES_Writing_ELA[#Data],YES_Writing_FLA[#Data]),MATCH($A58,_xlfn.VSTACK(YES_Writing_ELA[Student Number],YES_Writing_FLA[Student Number]),0),MATCH(VLOOKUP(D$7,'Writing Logic'!$J$7:$K$11,2,FALSE)&amp;" - Per "&amp;VLOOKUP($C$4,'Writing Logic'!$G$8:$H$14,2,FALSE),YES_Writing_ELA[#Headers],0))=0,"",INDEX(_xlfn.VSTACK(YES_Writing_ELA[#Data],YES_Writing_FLA[#Data]),MATCH($A58,_xlfn.VSTACK(YES_Writing_ELA[Student Number],YES_Writing_FLA[Student Number]),0),MATCH(VLOOKUP(D$7,'Writing Logic'!$J$7:$K$11,2,FALSE)&amp;" - Per "&amp;VLOOKUP($C$4,'Writing Logic'!$G$8:$H$14,2,FALSE),YES_Writing_ELA[#Headers],0)))),"")</f>
        <v/>
      </c>
      <c r="E58" s="138" t="str">
        <f>IFERROR(IF(IF(INDEX(_xlfn.VSTACK(YES_Writing_ELA[#Data],YES_Writing_FLA[#Data]),MATCH($A58,_xlfn.VSTACK(YES_Writing_ELA[Student Number],YES_Writing_FLA[Student Number]),0),MATCH(VLOOKUP(E$7,'Writing Logic'!$J$7:$K$11,2,FALSE)&amp;" - Per "&amp;VLOOKUP($C$4,'Writing Logic'!$G$8:$H$14,2,FALSE),YES_Writing_ELA[#Headers],0))=0,"",INDEX(_xlfn.VSTACK(YES_Writing_ELA[#Data],YES_Writing_FLA[#Data]),MATCH($A58,_xlfn.VSTACK(YES_Writing_ELA[Student Number],YES_Writing_FLA[Student Number]),0),MATCH(VLOOKUP(E$7,'Writing Logic'!$J$7:$K$11,2,FALSE)&amp;" - Per "&amp;VLOOKUP($C$4,'Writing Logic'!$G$8:$H$14,2,FALSE),YES_Writing_ELA[#Headers],0)))="INS",'Writing Logic'!$B$7,IF(INDEX(_xlfn.VSTACK(YES_Writing_ELA[#Data],YES_Writing_FLA[#Data]),MATCH($A58,_xlfn.VSTACK(YES_Writing_ELA[Student Number],YES_Writing_FLA[Student Number]),0),MATCH(VLOOKUP(E$7,'Writing Logic'!$J$7:$K$11,2,FALSE)&amp;" - Per "&amp;VLOOKUP($C$4,'Writing Logic'!$G$8:$H$14,2,FALSE),YES_Writing_ELA[#Headers],0))=0,"",INDEX(_xlfn.VSTACK(YES_Writing_ELA[#Data],YES_Writing_FLA[#Data]),MATCH($A58,_xlfn.VSTACK(YES_Writing_ELA[Student Number],YES_Writing_FLA[Student Number]),0),MATCH(VLOOKUP(E$7,'Writing Logic'!$J$7:$K$11,2,FALSE)&amp;" - Per "&amp;VLOOKUP($C$4,'Writing Logic'!$G$8:$H$14,2,FALSE),YES_Writing_ELA[#Headers],0)))),"")</f>
        <v/>
      </c>
      <c r="F58" s="138" t="str">
        <f>IFERROR(IF(IF(INDEX(_xlfn.VSTACK(YES_Writing_ELA[#Data],YES_Writing_FLA[#Data]),MATCH($A58,_xlfn.VSTACK(YES_Writing_ELA[Student Number],YES_Writing_FLA[Student Number]),0),MATCH(VLOOKUP(F$7,'Writing Logic'!$J$7:$K$11,2,FALSE)&amp;" - Per "&amp;VLOOKUP($C$4,'Writing Logic'!$G$8:$H$14,2,FALSE),YES_Writing_ELA[#Headers],0))=0,"",INDEX(_xlfn.VSTACK(YES_Writing_ELA[#Data],YES_Writing_FLA[#Data]),MATCH($A58,_xlfn.VSTACK(YES_Writing_ELA[Student Number],YES_Writing_FLA[Student Number]),0),MATCH(VLOOKUP(F$7,'Writing Logic'!$J$7:$K$11,2,FALSE)&amp;" - Per "&amp;VLOOKUP($C$4,'Writing Logic'!$G$8:$H$14,2,FALSE),YES_Writing_ELA[#Headers],0)))="INS",'Writing Logic'!$B$7,IF(INDEX(_xlfn.VSTACK(YES_Writing_ELA[#Data],YES_Writing_FLA[#Data]),MATCH($A58,_xlfn.VSTACK(YES_Writing_ELA[Student Number],YES_Writing_FLA[Student Number]),0),MATCH(VLOOKUP(F$7,'Writing Logic'!$J$7:$K$11,2,FALSE)&amp;" - Per "&amp;VLOOKUP($C$4,'Writing Logic'!$G$8:$H$14,2,FALSE),YES_Writing_ELA[#Headers],0))=0,"",INDEX(_xlfn.VSTACK(YES_Writing_ELA[#Data],YES_Writing_FLA[#Data]),MATCH($A58,_xlfn.VSTACK(YES_Writing_ELA[Student Number],YES_Writing_FLA[Student Number]),0),MATCH(VLOOKUP(F$7,'Writing Logic'!$J$7:$K$11,2,FALSE)&amp;" - Per "&amp;VLOOKUP($C$4,'Writing Logic'!$G$8:$H$14,2,FALSE),YES_Writing_ELA[#Headers],0)))),"")</f>
        <v/>
      </c>
      <c r="G58" s="138" t="str">
        <f>IFERROR(IF(IF(INDEX(_xlfn.VSTACK(YES_Writing_ELA[#Data],YES_Writing_FLA[#Data]),MATCH($A58,_xlfn.VSTACK(YES_Writing_ELA[Student Number],YES_Writing_FLA[Student Number]),0),MATCH(VLOOKUP(G$7,'Writing Logic'!$J$7:$K$11,2,FALSE)&amp;" - Per "&amp;VLOOKUP($C$4,'Writing Logic'!$G$8:$H$14,2,FALSE),YES_Writing_ELA[#Headers],0))=0,"",INDEX(_xlfn.VSTACK(YES_Writing_ELA[#Data],YES_Writing_FLA[#Data]),MATCH($A58,_xlfn.VSTACK(YES_Writing_ELA[Student Number],YES_Writing_FLA[Student Number]),0),MATCH(VLOOKUP(G$7,'Writing Logic'!$J$7:$K$11,2,FALSE)&amp;" - Per "&amp;VLOOKUP($C$4,'Writing Logic'!$G$8:$H$14,2,FALSE),YES_Writing_ELA[#Headers],0)))="INS",'Writing Logic'!$B$7,IF(INDEX(_xlfn.VSTACK(YES_Writing_ELA[#Data],YES_Writing_FLA[#Data]),MATCH($A58,_xlfn.VSTACK(YES_Writing_ELA[Student Number],YES_Writing_FLA[Student Number]),0),MATCH(VLOOKUP(G$7,'Writing Logic'!$J$7:$K$11,2,FALSE)&amp;" - Per "&amp;VLOOKUP($C$4,'Writing Logic'!$G$8:$H$14,2,FALSE),YES_Writing_ELA[#Headers],0))=0,"",INDEX(_xlfn.VSTACK(YES_Writing_ELA[#Data],YES_Writing_FLA[#Data]),MATCH($A58,_xlfn.VSTACK(YES_Writing_ELA[Student Number],YES_Writing_FLA[Student Number]),0),MATCH(VLOOKUP(G$7,'Writing Logic'!$J$7:$K$11,2,FALSE)&amp;" - Per "&amp;VLOOKUP($C$4,'Writing Logic'!$G$8:$H$14,2,FALSE),YES_Writing_ELA[#Headers],0)))),"")</f>
        <v/>
      </c>
      <c r="H58" s="223" t="str">
        <f>IFERROR(IF(IF(INDEX(_xlfn.VSTACK(YES_Writing_ELA[#Data],YES_Writing_FLA[#Data]),MATCH($A58,_xlfn.VSTACK(YES_Writing_ELA[Student Number],YES_Writing_FLA[Student Number]),0),MATCH(VLOOKUP(H$7,'Writing Logic'!$J$7:$K$11,2,FALSE)&amp;" - Per "&amp;VLOOKUP($C$4,'Writing Logic'!$G$8:$H$14,2,FALSE),YES_Writing_ELA[#Headers],0))=0,"",INDEX(_xlfn.VSTACK(YES_Writing_ELA[#Data],YES_Writing_FLA[#Data]),MATCH($A58,_xlfn.VSTACK(YES_Writing_ELA[Student Number],YES_Writing_FLA[Student Number]),0),MATCH(VLOOKUP(H$7,'Writing Logic'!$J$7:$K$11,2,FALSE)&amp;" - Per "&amp;VLOOKUP($C$4,'Writing Logic'!$G$8:$H$14,2,FALSE),YES_Writing_ELA[#Headers],0)))="INS",'Writing Logic'!$B$7,IF(INDEX(_xlfn.VSTACK(YES_Writing_ELA[#Data],YES_Writing_FLA[#Data]),MATCH($A58,_xlfn.VSTACK(YES_Writing_ELA[Student Number],YES_Writing_FLA[Student Number]),0),MATCH(VLOOKUP(H$7,'Writing Logic'!$J$7:$K$11,2,FALSE)&amp;" - Per "&amp;VLOOKUP($C$4,'Writing Logic'!$G$8:$H$14,2,FALSE),YES_Writing_ELA[#Headers],0))=0,"",INDEX(_xlfn.VSTACK(YES_Writing_ELA[#Data],YES_Writing_FLA[#Data]),MATCH($A58,_xlfn.VSTACK(YES_Writing_ELA[Student Number],YES_Writing_FLA[Student Number]),0),MATCH(VLOOKUP(H$7,'Writing Logic'!$J$7:$K$11,2,FALSE)&amp;" - Per "&amp;VLOOKUP($C$4,'Writing Logic'!$G$8:$H$14,2,FALSE),YES_Writing_ELA[#Headers],0)))),"")</f>
        <v/>
      </c>
      <c r="I58" s="224" t="str" cm="1">
        <f t="array" aca="1" ref="I58" ca="1">IFERROR(
IF($G$3="ELA",
IF(VLOOKUP($A58, YES_Reading_ELA[], COLUMN(INDIRECT("YES_Reading_ELA[Difference - Per "&amp;VLOOKUP($G$4, 'Reading Report Logic'!$A$2:$B$8, 2, FALSE)&amp;"]")), FALSE)="", "",
VLOOKUP($A58,YES_Reading_ELA[], COLUMN(INDIRECT("YES_Reading_ELA[Difference - Per "&amp;VLOOKUP($G$4,'Reading Report Logic'!$A$2:$B$8,2,FALSE)&amp;"]")), FALSE)),
IF($G$3="FLA",
IF(VLOOKUP($A58, YES_Reading_FLA[], COLUMN(INDIRECT("YES_Reading_FLA[Difference - Per "&amp;VLOOKUP($G$4,'Reading Report Logic'!$A$2:$B$8,2,FALSE)&amp;"]")),FALSE)="","",
VLOOKUP($A58,YES_Reading_FLA[],COLUMN(INDIRECT("YES_Reading_FLA[Difference - Per "&amp;VLOOKUP($G$4,'Reading Report Logic'!$A$2:$B$8,2,FALSE)&amp;"]")),FALSE)),
IF($G$3="Combined",
IFERROR(
IF(VLOOKUP($A58, YES_Reading_ELA[], COLUMN(INDIRECT("YES_Reading_ELA[Difference - Per "&amp;VLOOKUP($G$4, 'Reading Report Logic'!$A$2:$B$8,2,FALSE)&amp;"]")), FALSE)="", "",
VLOOKUP($A58,YES_Reading_ELA[],COLUMN(INDIRECT("YES_Reading_ELA[Difference - Per "&amp;VLOOKUP($G$4,'Reading Report Logic'!$A$2:$B$8,2,FALSE)&amp;"]")),FALSE)),
IF(VLOOKUP($A58, YES_Reading_FLA[], COLUMN(INDIRECT("YES_Reading_FLA[Difference - Per "&amp;VLOOKUP($G$4, 'Reading Report Logic'!$A$2:$B$8, 2, FALSE)&amp;"]")),FALSE)="", "", VLOOKUP($A58,YES_Reading_FLA[],COLUMN(INDIRECT("YES_Reading_FLA[Difference - Per "&amp;VLOOKUP($G$4, 'Reading Report Logic'!$A$2:$B$8, 2, FALSE)&amp;"]")),FALSE))),""))),"")</f>
        <v/>
      </c>
    </row>
    <row r="59" spans="1:9" ht="14.25" customHeight="1" x14ac:dyDescent="0.25">
      <c r="A59" s="137"/>
      <c r="B59" s="137" t="str">
        <f>IFERROR(INDEX(_xlfn.VSTACK(YES_Writing_ELA[#Data], YES_Writing_FLA[#Data]),MATCH($A59,_xlfn.VSTACK(YES_Writing_ELA[Student Number], YES_Writing_FLA[Student Number]),0),MATCH(B$7,YES_Writing_ELA[#Headers],0)),IFERROR(INDEX(_xlfn.VSTACK(YES_Reading_ELA[#Data], YES_Reading_FLA[#Data]),MATCH($A59,_xlfn.VSTACK(YES_Reading_ELA[Student Number], YES_Reading_FLA[Student Number]),0),MATCH(B$7,YES_Reading_ELA[#Headers],0)),""))</f>
        <v/>
      </c>
      <c r="C59" s="137" t="str">
        <f>IFERROR(INDEX(_xlfn.VSTACK(YES_Writing_ELA[#Data], YES_Writing_FLA[#Data]),MATCH($A59,_xlfn.VSTACK(YES_Writing_ELA[Student Number], YES_Writing_FLA[Student Number]),0),MATCH(C$7,YES_Writing_ELA[#Headers],0)),IFERROR(INDEX(_xlfn.VSTACK(YES_Reading_ELA[#Data], YES_Reading_FLA[#Data]),MATCH($A59,_xlfn.VSTACK(YES_Reading_ELA[Student Number], YES_Reading_FLA[Student Number]),0),MATCH(C$7,YES_Reading_ELA[#Headers],0)),""))</f>
        <v/>
      </c>
      <c r="D59" s="138" t="str">
        <f>IFERROR(IF(IF(INDEX(_xlfn.VSTACK(YES_Writing_ELA[#Data],YES_Writing_FLA[#Data]),MATCH($A59,_xlfn.VSTACK(YES_Writing_ELA[Student Number],YES_Writing_FLA[Student Number]),0),MATCH(VLOOKUP(D$7,'Writing Logic'!$J$7:$K$11,2,FALSE)&amp;" - Per "&amp;VLOOKUP($C$4,'Writing Logic'!$G$8:$H$14,2,FALSE),YES_Writing_ELA[#Headers],0))=0,"",INDEX(_xlfn.VSTACK(YES_Writing_ELA[#Data],YES_Writing_FLA[#Data]),MATCH($A59,_xlfn.VSTACK(YES_Writing_ELA[Student Number],YES_Writing_FLA[Student Number]),0),MATCH(VLOOKUP(D$7,'Writing Logic'!$J$7:$K$11,2,FALSE)&amp;" - Per "&amp;VLOOKUP($C$4,'Writing Logic'!$G$8:$H$14,2,FALSE),YES_Writing_ELA[#Headers],0)))="INS",'Writing Logic'!$B$7,IF(INDEX(_xlfn.VSTACK(YES_Writing_ELA[#Data],YES_Writing_FLA[#Data]),MATCH($A59,_xlfn.VSTACK(YES_Writing_ELA[Student Number],YES_Writing_FLA[Student Number]),0),MATCH(VLOOKUP(D$7,'Writing Logic'!$J$7:$K$11,2,FALSE)&amp;" - Per "&amp;VLOOKUP($C$4,'Writing Logic'!$G$8:$H$14,2,FALSE),YES_Writing_ELA[#Headers],0))=0,"",INDEX(_xlfn.VSTACK(YES_Writing_ELA[#Data],YES_Writing_FLA[#Data]),MATCH($A59,_xlfn.VSTACK(YES_Writing_ELA[Student Number],YES_Writing_FLA[Student Number]),0),MATCH(VLOOKUP(D$7,'Writing Logic'!$J$7:$K$11,2,FALSE)&amp;" - Per "&amp;VLOOKUP($C$4,'Writing Logic'!$G$8:$H$14,2,FALSE),YES_Writing_ELA[#Headers],0)))),"")</f>
        <v/>
      </c>
      <c r="E59" s="138" t="str">
        <f>IFERROR(IF(IF(INDEX(_xlfn.VSTACK(YES_Writing_ELA[#Data],YES_Writing_FLA[#Data]),MATCH($A59,_xlfn.VSTACK(YES_Writing_ELA[Student Number],YES_Writing_FLA[Student Number]),0),MATCH(VLOOKUP(E$7,'Writing Logic'!$J$7:$K$11,2,FALSE)&amp;" - Per "&amp;VLOOKUP($C$4,'Writing Logic'!$G$8:$H$14,2,FALSE),YES_Writing_ELA[#Headers],0))=0,"",INDEX(_xlfn.VSTACK(YES_Writing_ELA[#Data],YES_Writing_FLA[#Data]),MATCH($A59,_xlfn.VSTACK(YES_Writing_ELA[Student Number],YES_Writing_FLA[Student Number]),0),MATCH(VLOOKUP(E$7,'Writing Logic'!$J$7:$K$11,2,FALSE)&amp;" - Per "&amp;VLOOKUP($C$4,'Writing Logic'!$G$8:$H$14,2,FALSE),YES_Writing_ELA[#Headers],0)))="INS",'Writing Logic'!$B$7,IF(INDEX(_xlfn.VSTACK(YES_Writing_ELA[#Data],YES_Writing_FLA[#Data]),MATCH($A59,_xlfn.VSTACK(YES_Writing_ELA[Student Number],YES_Writing_FLA[Student Number]),0),MATCH(VLOOKUP(E$7,'Writing Logic'!$J$7:$K$11,2,FALSE)&amp;" - Per "&amp;VLOOKUP($C$4,'Writing Logic'!$G$8:$H$14,2,FALSE),YES_Writing_ELA[#Headers],0))=0,"",INDEX(_xlfn.VSTACK(YES_Writing_ELA[#Data],YES_Writing_FLA[#Data]),MATCH($A59,_xlfn.VSTACK(YES_Writing_ELA[Student Number],YES_Writing_FLA[Student Number]),0),MATCH(VLOOKUP(E$7,'Writing Logic'!$J$7:$K$11,2,FALSE)&amp;" - Per "&amp;VLOOKUP($C$4,'Writing Logic'!$G$8:$H$14,2,FALSE),YES_Writing_ELA[#Headers],0)))),"")</f>
        <v/>
      </c>
      <c r="F59" s="138" t="str">
        <f>IFERROR(IF(IF(INDEX(_xlfn.VSTACK(YES_Writing_ELA[#Data],YES_Writing_FLA[#Data]),MATCH($A59,_xlfn.VSTACK(YES_Writing_ELA[Student Number],YES_Writing_FLA[Student Number]),0),MATCH(VLOOKUP(F$7,'Writing Logic'!$J$7:$K$11,2,FALSE)&amp;" - Per "&amp;VLOOKUP($C$4,'Writing Logic'!$G$8:$H$14,2,FALSE),YES_Writing_ELA[#Headers],0))=0,"",INDEX(_xlfn.VSTACK(YES_Writing_ELA[#Data],YES_Writing_FLA[#Data]),MATCH($A59,_xlfn.VSTACK(YES_Writing_ELA[Student Number],YES_Writing_FLA[Student Number]),0),MATCH(VLOOKUP(F$7,'Writing Logic'!$J$7:$K$11,2,FALSE)&amp;" - Per "&amp;VLOOKUP($C$4,'Writing Logic'!$G$8:$H$14,2,FALSE),YES_Writing_ELA[#Headers],0)))="INS",'Writing Logic'!$B$7,IF(INDEX(_xlfn.VSTACK(YES_Writing_ELA[#Data],YES_Writing_FLA[#Data]),MATCH($A59,_xlfn.VSTACK(YES_Writing_ELA[Student Number],YES_Writing_FLA[Student Number]),0),MATCH(VLOOKUP(F$7,'Writing Logic'!$J$7:$K$11,2,FALSE)&amp;" - Per "&amp;VLOOKUP($C$4,'Writing Logic'!$G$8:$H$14,2,FALSE),YES_Writing_ELA[#Headers],0))=0,"",INDEX(_xlfn.VSTACK(YES_Writing_ELA[#Data],YES_Writing_FLA[#Data]),MATCH($A59,_xlfn.VSTACK(YES_Writing_ELA[Student Number],YES_Writing_FLA[Student Number]),0),MATCH(VLOOKUP(F$7,'Writing Logic'!$J$7:$K$11,2,FALSE)&amp;" - Per "&amp;VLOOKUP($C$4,'Writing Logic'!$G$8:$H$14,2,FALSE),YES_Writing_ELA[#Headers],0)))),"")</f>
        <v/>
      </c>
      <c r="G59" s="138" t="str">
        <f>IFERROR(IF(IF(INDEX(_xlfn.VSTACK(YES_Writing_ELA[#Data],YES_Writing_FLA[#Data]),MATCH($A59,_xlfn.VSTACK(YES_Writing_ELA[Student Number],YES_Writing_FLA[Student Number]),0),MATCH(VLOOKUP(G$7,'Writing Logic'!$J$7:$K$11,2,FALSE)&amp;" - Per "&amp;VLOOKUP($C$4,'Writing Logic'!$G$8:$H$14,2,FALSE),YES_Writing_ELA[#Headers],0))=0,"",INDEX(_xlfn.VSTACK(YES_Writing_ELA[#Data],YES_Writing_FLA[#Data]),MATCH($A59,_xlfn.VSTACK(YES_Writing_ELA[Student Number],YES_Writing_FLA[Student Number]),0),MATCH(VLOOKUP(G$7,'Writing Logic'!$J$7:$K$11,2,FALSE)&amp;" - Per "&amp;VLOOKUP($C$4,'Writing Logic'!$G$8:$H$14,2,FALSE),YES_Writing_ELA[#Headers],0)))="INS",'Writing Logic'!$B$7,IF(INDEX(_xlfn.VSTACK(YES_Writing_ELA[#Data],YES_Writing_FLA[#Data]),MATCH($A59,_xlfn.VSTACK(YES_Writing_ELA[Student Number],YES_Writing_FLA[Student Number]),0),MATCH(VLOOKUP(G$7,'Writing Logic'!$J$7:$K$11,2,FALSE)&amp;" - Per "&amp;VLOOKUP($C$4,'Writing Logic'!$G$8:$H$14,2,FALSE),YES_Writing_ELA[#Headers],0))=0,"",INDEX(_xlfn.VSTACK(YES_Writing_ELA[#Data],YES_Writing_FLA[#Data]),MATCH($A59,_xlfn.VSTACK(YES_Writing_ELA[Student Number],YES_Writing_FLA[Student Number]),0),MATCH(VLOOKUP(G$7,'Writing Logic'!$J$7:$K$11,2,FALSE)&amp;" - Per "&amp;VLOOKUP($C$4,'Writing Logic'!$G$8:$H$14,2,FALSE),YES_Writing_ELA[#Headers],0)))),"")</f>
        <v/>
      </c>
      <c r="H59" s="223" t="str">
        <f>IFERROR(IF(IF(INDEX(_xlfn.VSTACK(YES_Writing_ELA[#Data],YES_Writing_FLA[#Data]),MATCH($A59,_xlfn.VSTACK(YES_Writing_ELA[Student Number],YES_Writing_FLA[Student Number]),0),MATCH(VLOOKUP(H$7,'Writing Logic'!$J$7:$K$11,2,FALSE)&amp;" - Per "&amp;VLOOKUP($C$4,'Writing Logic'!$G$8:$H$14,2,FALSE),YES_Writing_ELA[#Headers],0))=0,"",INDEX(_xlfn.VSTACK(YES_Writing_ELA[#Data],YES_Writing_FLA[#Data]),MATCH($A59,_xlfn.VSTACK(YES_Writing_ELA[Student Number],YES_Writing_FLA[Student Number]),0),MATCH(VLOOKUP(H$7,'Writing Logic'!$J$7:$K$11,2,FALSE)&amp;" - Per "&amp;VLOOKUP($C$4,'Writing Logic'!$G$8:$H$14,2,FALSE),YES_Writing_ELA[#Headers],0)))="INS",'Writing Logic'!$B$7,IF(INDEX(_xlfn.VSTACK(YES_Writing_ELA[#Data],YES_Writing_FLA[#Data]),MATCH($A59,_xlfn.VSTACK(YES_Writing_ELA[Student Number],YES_Writing_FLA[Student Number]),0),MATCH(VLOOKUP(H$7,'Writing Logic'!$J$7:$K$11,2,FALSE)&amp;" - Per "&amp;VLOOKUP($C$4,'Writing Logic'!$G$8:$H$14,2,FALSE),YES_Writing_ELA[#Headers],0))=0,"",INDEX(_xlfn.VSTACK(YES_Writing_ELA[#Data],YES_Writing_FLA[#Data]),MATCH($A59,_xlfn.VSTACK(YES_Writing_ELA[Student Number],YES_Writing_FLA[Student Number]),0),MATCH(VLOOKUP(H$7,'Writing Logic'!$J$7:$K$11,2,FALSE)&amp;" - Per "&amp;VLOOKUP($C$4,'Writing Logic'!$G$8:$H$14,2,FALSE),YES_Writing_ELA[#Headers],0)))),"")</f>
        <v/>
      </c>
      <c r="I59" s="224" t="str" cm="1">
        <f t="array" aca="1" ref="I59" ca="1">IFERROR(
IF($G$3="ELA",
IF(VLOOKUP($A59, YES_Reading_ELA[], COLUMN(INDIRECT("YES_Reading_ELA[Difference - Per "&amp;VLOOKUP($G$4, 'Reading Report Logic'!$A$2:$B$8, 2, FALSE)&amp;"]")), FALSE)="", "",
VLOOKUP($A59,YES_Reading_ELA[], COLUMN(INDIRECT("YES_Reading_ELA[Difference - Per "&amp;VLOOKUP($G$4,'Reading Report Logic'!$A$2:$B$8,2,FALSE)&amp;"]")), FALSE)),
IF($G$3="FLA",
IF(VLOOKUP($A59, YES_Reading_FLA[], COLUMN(INDIRECT("YES_Reading_FLA[Difference - Per "&amp;VLOOKUP($G$4,'Reading Report Logic'!$A$2:$B$8,2,FALSE)&amp;"]")),FALSE)="","",
VLOOKUP($A59,YES_Reading_FLA[],COLUMN(INDIRECT("YES_Reading_FLA[Difference - Per "&amp;VLOOKUP($G$4,'Reading Report Logic'!$A$2:$B$8,2,FALSE)&amp;"]")),FALSE)),
IF($G$3="Combined",
IFERROR(
IF(VLOOKUP($A59, YES_Reading_ELA[], COLUMN(INDIRECT("YES_Reading_ELA[Difference - Per "&amp;VLOOKUP($G$4, 'Reading Report Logic'!$A$2:$B$8,2,FALSE)&amp;"]")), FALSE)="", "",
VLOOKUP($A59,YES_Reading_ELA[],COLUMN(INDIRECT("YES_Reading_ELA[Difference - Per "&amp;VLOOKUP($G$4,'Reading Report Logic'!$A$2:$B$8,2,FALSE)&amp;"]")),FALSE)),
IF(VLOOKUP($A59, YES_Reading_FLA[], COLUMN(INDIRECT("YES_Reading_FLA[Difference - Per "&amp;VLOOKUP($G$4, 'Reading Report Logic'!$A$2:$B$8, 2, FALSE)&amp;"]")),FALSE)="", "", VLOOKUP($A59,YES_Reading_FLA[],COLUMN(INDIRECT("YES_Reading_FLA[Difference - Per "&amp;VLOOKUP($G$4, 'Reading Report Logic'!$A$2:$B$8, 2, FALSE)&amp;"]")),FALSE))),""))),"")</f>
        <v/>
      </c>
    </row>
    <row r="60" spans="1:9" ht="14.25" customHeight="1" x14ac:dyDescent="0.25">
      <c r="A60" s="137"/>
      <c r="B60" s="137" t="str">
        <f>IFERROR(INDEX(_xlfn.VSTACK(YES_Writing_ELA[#Data], YES_Writing_FLA[#Data]),MATCH($A60,_xlfn.VSTACK(YES_Writing_ELA[Student Number], YES_Writing_FLA[Student Number]),0),MATCH(B$7,YES_Writing_ELA[#Headers],0)),IFERROR(INDEX(_xlfn.VSTACK(YES_Reading_ELA[#Data], YES_Reading_FLA[#Data]),MATCH($A60,_xlfn.VSTACK(YES_Reading_ELA[Student Number], YES_Reading_FLA[Student Number]),0),MATCH(B$7,YES_Reading_ELA[#Headers],0)),""))</f>
        <v/>
      </c>
      <c r="C60" s="137" t="str">
        <f>IFERROR(INDEX(_xlfn.VSTACK(YES_Writing_ELA[#Data], YES_Writing_FLA[#Data]),MATCH($A60,_xlfn.VSTACK(YES_Writing_ELA[Student Number], YES_Writing_FLA[Student Number]),0),MATCH(C$7,YES_Writing_ELA[#Headers],0)),IFERROR(INDEX(_xlfn.VSTACK(YES_Reading_ELA[#Data], YES_Reading_FLA[#Data]),MATCH($A60,_xlfn.VSTACK(YES_Reading_ELA[Student Number], YES_Reading_FLA[Student Number]),0),MATCH(C$7,YES_Reading_ELA[#Headers],0)),""))</f>
        <v/>
      </c>
      <c r="D60" s="138" t="str">
        <f>IFERROR(IF(IF(INDEX(_xlfn.VSTACK(YES_Writing_ELA[#Data],YES_Writing_FLA[#Data]),MATCH($A60,_xlfn.VSTACK(YES_Writing_ELA[Student Number],YES_Writing_FLA[Student Number]),0),MATCH(VLOOKUP(D$7,'Writing Logic'!$J$7:$K$11,2,FALSE)&amp;" - Per "&amp;VLOOKUP($C$4,'Writing Logic'!$G$8:$H$14,2,FALSE),YES_Writing_ELA[#Headers],0))=0,"",INDEX(_xlfn.VSTACK(YES_Writing_ELA[#Data],YES_Writing_FLA[#Data]),MATCH($A60,_xlfn.VSTACK(YES_Writing_ELA[Student Number],YES_Writing_FLA[Student Number]),0),MATCH(VLOOKUP(D$7,'Writing Logic'!$J$7:$K$11,2,FALSE)&amp;" - Per "&amp;VLOOKUP($C$4,'Writing Logic'!$G$8:$H$14,2,FALSE),YES_Writing_ELA[#Headers],0)))="INS",'Writing Logic'!$B$7,IF(INDEX(_xlfn.VSTACK(YES_Writing_ELA[#Data],YES_Writing_FLA[#Data]),MATCH($A60,_xlfn.VSTACK(YES_Writing_ELA[Student Number],YES_Writing_FLA[Student Number]),0),MATCH(VLOOKUP(D$7,'Writing Logic'!$J$7:$K$11,2,FALSE)&amp;" - Per "&amp;VLOOKUP($C$4,'Writing Logic'!$G$8:$H$14,2,FALSE),YES_Writing_ELA[#Headers],0))=0,"",INDEX(_xlfn.VSTACK(YES_Writing_ELA[#Data],YES_Writing_FLA[#Data]),MATCH($A60,_xlfn.VSTACK(YES_Writing_ELA[Student Number],YES_Writing_FLA[Student Number]),0),MATCH(VLOOKUP(D$7,'Writing Logic'!$J$7:$K$11,2,FALSE)&amp;" - Per "&amp;VLOOKUP($C$4,'Writing Logic'!$G$8:$H$14,2,FALSE),YES_Writing_ELA[#Headers],0)))),"")</f>
        <v/>
      </c>
      <c r="E60" s="138" t="str">
        <f>IFERROR(IF(IF(INDEX(_xlfn.VSTACK(YES_Writing_ELA[#Data],YES_Writing_FLA[#Data]),MATCH($A60,_xlfn.VSTACK(YES_Writing_ELA[Student Number],YES_Writing_FLA[Student Number]),0),MATCH(VLOOKUP(E$7,'Writing Logic'!$J$7:$K$11,2,FALSE)&amp;" - Per "&amp;VLOOKUP($C$4,'Writing Logic'!$G$8:$H$14,2,FALSE),YES_Writing_ELA[#Headers],0))=0,"",INDEX(_xlfn.VSTACK(YES_Writing_ELA[#Data],YES_Writing_FLA[#Data]),MATCH($A60,_xlfn.VSTACK(YES_Writing_ELA[Student Number],YES_Writing_FLA[Student Number]),0),MATCH(VLOOKUP(E$7,'Writing Logic'!$J$7:$K$11,2,FALSE)&amp;" - Per "&amp;VLOOKUP($C$4,'Writing Logic'!$G$8:$H$14,2,FALSE),YES_Writing_ELA[#Headers],0)))="INS",'Writing Logic'!$B$7,IF(INDEX(_xlfn.VSTACK(YES_Writing_ELA[#Data],YES_Writing_FLA[#Data]),MATCH($A60,_xlfn.VSTACK(YES_Writing_ELA[Student Number],YES_Writing_FLA[Student Number]),0),MATCH(VLOOKUP(E$7,'Writing Logic'!$J$7:$K$11,2,FALSE)&amp;" - Per "&amp;VLOOKUP($C$4,'Writing Logic'!$G$8:$H$14,2,FALSE),YES_Writing_ELA[#Headers],0))=0,"",INDEX(_xlfn.VSTACK(YES_Writing_ELA[#Data],YES_Writing_FLA[#Data]),MATCH($A60,_xlfn.VSTACK(YES_Writing_ELA[Student Number],YES_Writing_FLA[Student Number]),0),MATCH(VLOOKUP(E$7,'Writing Logic'!$J$7:$K$11,2,FALSE)&amp;" - Per "&amp;VLOOKUP($C$4,'Writing Logic'!$G$8:$H$14,2,FALSE),YES_Writing_ELA[#Headers],0)))),"")</f>
        <v/>
      </c>
      <c r="F60" s="138" t="str">
        <f>IFERROR(IF(IF(INDEX(_xlfn.VSTACK(YES_Writing_ELA[#Data],YES_Writing_FLA[#Data]),MATCH($A60,_xlfn.VSTACK(YES_Writing_ELA[Student Number],YES_Writing_FLA[Student Number]),0),MATCH(VLOOKUP(F$7,'Writing Logic'!$J$7:$K$11,2,FALSE)&amp;" - Per "&amp;VLOOKUP($C$4,'Writing Logic'!$G$8:$H$14,2,FALSE),YES_Writing_ELA[#Headers],0))=0,"",INDEX(_xlfn.VSTACK(YES_Writing_ELA[#Data],YES_Writing_FLA[#Data]),MATCH($A60,_xlfn.VSTACK(YES_Writing_ELA[Student Number],YES_Writing_FLA[Student Number]),0),MATCH(VLOOKUP(F$7,'Writing Logic'!$J$7:$K$11,2,FALSE)&amp;" - Per "&amp;VLOOKUP($C$4,'Writing Logic'!$G$8:$H$14,2,FALSE),YES_Writing_ELA[#Headers],0)))="INS",'Writing Logic'!$B$7,IF(INDEX(_xlfn.VSTACK(YES_Writing_ELA[#Data],YES_Writing_FLA[#Data]),MATCH($A60,_xlfn.VSTACK(YES_Writing_ELA[Student Number],YES_Writing_FLA[Student Number]),0),MATCH(VLOOKUP(F$7,'Writing Logic'!$J$7:$K$11,2,FALSE)&amp;" - Per "&amp;VLOOKUP($C$4,'Writing Logic'!$G$8:$H$14,2,FALSE),YES_Writing_ELA[#Headers],0))=0,"",INDEX(_xlfn.VSTACK(YES_Writing_ELA[#Data],YES_Writing_FLA[#Data]),MATCH($A60,_xlfn.VSTACK(YES_Writing_ELA[Student Number],YES_Writing_FLA[Student Number]),0),MATCH(VLOOKUP(F$7,'Writing Logic'!$J$7:$K$11,2,FALSE)&amp;" - Per "&amp;VLOOKUP($C$4,'Writing Logic'!$G$8:$H$14,2,FALSE),YES_Writing_ELA[#Headers],0)))),"")</f>
        <v/>
      </c>
      <c r="G60" s="138" t="str">
        <f>IFERROR(IF(IF(INDEX(_xlfn.VSTACK(YES_Writing_ELA[#Data],YES_Writing_FLA[#Data]),MATCH($A60,_xlfn.VSTACK(YES_Writing_ELA[Student Number],YES_Writing_FLA[Student Number]),0),MATCH(VLOOKUP(G$7,'Writing Logic'!$J$7:$K$11,2,FALSE)&amp;" - Per "&amp;VLOOKUP($C$4,'Writing Logic'!$G$8:$H$14,2,FALSE),YES_Writing_ELA[#Headers],0))=0,"",INDEX(_xlfn.VSTACK(YES_Writing_ELA[#Data],YES_Writing_FLA[#Data]),MATCH($A60,_xlfn.VSTACK(YES_Writing_ELA[Student Number],YES_Writing_FLA[Student Number]),0),MATCH(VLOOKUP(G$7,'Writing Logic'!$J$7:$K$11,2,FALSE)&amp;" - Per "&amp;VLOOKUP($C$4,'Writing Logic'!$G$8:$H$14,2,FALSE),YES_Writing_ELA[#Headers],0)))="INS",'Writing Logic'!$B$7,IF(INDEX(_xlfn.VSTACK(YES_Writing_ELA[#Data],YES_Writing_FLA[#Data]),MATCH($A60,_xlfn.VSTACK(YES_Writing_ELA[Student Number],YES_Writing_FLA[Student Number]),0),MATCH(VLOOKUP(G$7,'Writing Logic'!$J$7:$K$11,2,FALSE)&amp;" - Per "&amp;VLOOKUP($C$4,'Writing Logic'!$G$8:$H$14,2,FALSE),YES_Writing_ELA[#Headers],0))=0,"",INDEX(_xlfn.VSTACK(YES_Writing_ELA[#Data],YES_Writing_FLA[#Data]),MATCH($A60,_xlfn.VSTACK(YES_Writing_ELA[Student Number],YES_Writing_FLA[Student Number]),0),MATCH(VLOOKUP(G$7,'Writing Logic'!$J$7:$K$11,2,FALSE)&amp;" - Per "&amp;VLOOKUP($C$4,'Writing Logic'!$G$8:$H$14,2,FALSE),YES_Writing_ELA[#Headers],0)))),"")</f>
        <v/>
      </c>
      <c r="H60" s="223" t="str">
        <f>IFERROR(IF(IF(INDEX(_xlfn.VSTACK(YES_Writing_ELA[#Data],YES_Writing_FLA[#Data]),MATCH($A60,_xlfn.VSTACK(YES_Writing_ELA[Student Number],YES_Writing_FLA[Student Number]),0),MATCH(VLOOKUP(H$7,'Writing Logic'!$J$7:$K$11,2,FALSE)&amp;" - Per "&amp;VLOOKUP($C$4,'Writing Logic'!$G$8:$H$14,2,FALSE),YES_Writing_ELA[#Headers],0))=0,"",INDEX(_xlfn.VSTACK(YES_Writing_ELA[#Data],YES_Writing_FLA[#Data]),MATCH($A60,_xlfn.VSTACK(YES_Writing_ELA[Student Number],YES_Writing_FLA[Student Number]),0),MATCH(VLOOKUP(H$7,'Writing Logic'!$J$7:$K$11,2,FALSE)&amp;" - Per "&amp;VLOOKUP($C$4,'Writing Logic'!$G$8:$H$14,2,FALSE),YES_Writing_ELA[#Headers],0)))="INS",'Writing Logic'!$B$7,IF(INDEX(_xlfn.VSTACK(YES_Writing_ELA[#Data],YES_Writing_FLA[#Data]),MATCH($A60,_xlfn.VSTACK(YES_Writing_ELA[Student Number],YES_Writing_FLA[Student Number]),0),MATCH(VLOOKUP(H$7,'Writing Logic'!$J$7:$K$11,2,FALSE)&amp;" - Per "&amp;VLOOKUP($C$4,'Writing Logic'!$G$8:$H$14,2,FALSE),YES_Writing_ELA[#Headers],0))=0,"",INDEX(_xlfn.VSTACK(YES_Writing_ELA[#Data],YES_Writing_FLA[#Data]),MATCH($A60,_xlfn.VSTACK(YES_Writing_ELA[Student Number],YES_Writing_FLA[Student Number]),0),MATCH(VLOOKUP(H$7,'Writing Logic'!$J$7:$K$11,2,FALSE)&amp;" - Per "&amp;VLOOKUP($C$4,'Writing Logic'!$G$8:$H$14,2,FALSE),YES_Writing_ELA[#Headers],0)))),"")</f>
        <v/>
      </c>
      <c r="I60" s="224" t="str" cm="1">
        <f t="array" aca="1" ref="I60" ca="1">IFERROR(
IF($G$3="ELA",
IF(VLOOKUP($A60, YES_Reading_ELA[], COLUMN(INDIRECT("YES_Reading_ELA[Difference - Per "&amp;VLOOKUP($G$4, 'Reading Report Logic'!$A$2:$B$8, 2, FALSE)&amp;"]")), FALSE)="", "",
VLOOKUP($A60,YES_Reading_ELA[], COLUMN(INDIRECT("YES_Reading_ELA[Difference - Per "&amp;VLOOKUP($G$4,'Reading Report Logic'!$A$2:$B$8,2,FALSE)&amp;"]")), FALSE)),
IF($G$3="FLA",
IF(VLOOKUP($A60, YES_Reading_FLA[], COLUMN(INDIRECT("YES_Reading_FLA[Difference - Per "&amp;VLOOKUP($G$4,'Reading Report Logic'!$A$2:$B$8,2,FALSE)&amp;"]")),FALSE)="","",
VLOOKUP($A60,YES_Reading_FLA[],COLUMN(INDIRECT("YES_Reading_FLA[Difference - Per "&amp;VLOOKUP($G$4,'Reading Report Logic'!$A$2:$B$8,2,FALSE)&amp;"]")),FALSE)),
IF($G$3="Combined",
IFERROR(
IF(VLOOKUP($A60, YES_Reading_ELA[], COLUMN(INDIRECT("YES_Reading_ELA[Difference - Per "&amp;VLOOKUP($G$4, 'Reading Report Logic'!$A$2:$B$8,2,FALSE)&amp;"]")), FALSE)="", "",
VLOOKUP($A60,YES_Reading_ELA[],COLUMN(INDIRECT("YES_Reading_ELA[Difference - Per "&amp;VLOOKUP($G$4,'Reading Report Logic'!$A$2:$B$8,2,FALSE)&amp;"]")),FALSE)),
IF(VLOOKUP($A60, YES_Reading_FLA[], COLUMN(INDIRECT("YES_Reading_FLA[Difference - Per "&amp;VLOOKUP($G$4, 'Reading Report Logic'!$A$2:$B$8, 2, FALSE)&amp;"]")),FALSE)="", "", VLOOKUP($A60,YES_Reading_FLA[],COLUMN(INDIRECT("YES_Reading_FLA[Difference - Per "&amp;VLOOKUP($G$4, 'Reading Report Logic'!$A$2:$B$8, 2, FALSE)&amp;"]")),FALSE))),""))),"")</f>
        <v/>
      </c>
    </row>
    <row r="61" spans="1:9" ht="14.25" customHeight="1" x14ac:dyDescent="0.25">
      <c r="A61" s="137"/>
      <c r="B61" s="137" t="str">
        <f>IFERROR(INDEX(_xlfn.VSTACK(YES_Writing_ELA[#Data], YES_Writing_FLA[#Data]),MATCH($A61,_xlfn.VSTACK(YES_Writing_ELA[Student Number], YES_Writing_FLA[Student Number]),0),MATCH(B$7,YES_Writing_ELA[#Headers],0)),IFERROR(INDEX(_xlfn.VSTACK(YES_Reading_ELA[#Data], YES_Reading_FLA[#Data]),MATCH($A61,_xlfn.VSTACK(YES_Reading_ELA[Student Number], YES_Reading_FLA[Student Number]),0),MATCH(B$7,YES_Reading_ELA[#Headers],0)),""))</f>
        <v/>
      </c>
      <c r="C61" s="137" t="str">
        <f>IFERROR(INDEX(_xlfn.VSTACK(YES_Writing_ELA[#Data], YES_Writing_FLA[#Data]),MATCH($A61,_xlfn.VSTACK(YES_Writing_ELA[Student Number], YES_Writing_FLA[Student Number]),0),MATCH(C$7,YES_Writing_ELA[#Headers],0)),IFERROR(INDEX(_xlfn.VSTACK(YES_Reading_ELA[#Data], YES_Reading_FLA[#Data]),MATCH($A61,_xlfn.VSTACK(YES_Reading_ELA[Student Number], YES_Reading_FLA[Student Number]),0),MATCH(C$7,YES_Reading_ELA[#Headers],0)),""))</f>
        <v/>
      </c>
      <c r="D61" s="138" t="str">
        <f>IFERROR(IF(IF(INDEX(_xlfn.VSTACK(YES_Writing_ELA[#Data],YES_Writing_FLA[#Data]),MATCH($A61,_xlfn.VSTACK(YES_Writing_ELA[Student Number],YES_Writing_FLA[Student Number]),0),MATCH(VLOOKUP(D$7,'Writing Logic'!$J$7:$K$11,2,FALSE)&amp;" - Per "&amp;VLOOKUP($C$4,'Writing Logic'!$G$8:$H$14,2,FALSE),YES_Writing_ELA[#Headers],0))=0,"",INDEX(_xlfn.VSTACK(YES_Writing_ELA[#Data],YES_Writing_FLA[#Data]),MATCH($A61,_xlfn.VSTACK(YES_Writing_ELA[Student Number],YES_Writing_FLA[Student Number]),0),MATCH(VLOOKUP(D$7,'Writing Logic'!$J$7:$K$11,2,FALSE)&amp;" - Per "&amp;VLOOKUP($C$4,'Writing Logic'!$G$8:$H$14,2,FALSE),YES_Writing_ELA[#Headers],0)))="INS",'Writing Logic'!$B$7,IF(INDEX(_xlfn.VSTACK(YES_Writing_ELA[#Data],YES_Writing_FLA[#Data]),MATCH($A61,_xlfn.VSTACK(YES_Writing_ELA[Student Number],YES_Writing_FLA[Student Number]),0),MATCH(VLOOKUP(D$7,'Writing Logic'!$J$7:$K$11,2,FALSE)&amp;" - Per "&amp;VLOOKUP($C$4,'Writing Logic'!$G$8:$H$14,2,FALSE),YES_Writing_ELA[#Headers],0))=0,"",INDEX(_xlfn.VSTACK(YES_Writing_ELA[#Data],YES_Writing_FLA[#Data]),MATCH($A61,_xlfn.VSTACK(YES_Writing_ELA[Student Number],YES_Writing_FLA[Student Number]),0),MATCH(VLOOKUP(D$7,'Writing Logic'!$J$7:$K$11,2,FALSE)&amp;" - Per "&amp;VLOOKUP($C$4,'Writing Logic'!$G$8:$H$14,2,FALSE),YES_Writing_ELA[#Headers],0)))),"")</f>
        <v/>
      </c>
      <c r="E61" s="138" t="str">
        <f>IFERROR(IF(IF(INDEX(_xlfn.VSTACK(YES_Writing_ELA[#Data],YES_Writing_FLA[#Data]),MATCH($A61,_xlfn.VSTACK(YES_Writing_ELA[Student Number],YES_Writing_FLA[Student Number]),0),MATCH(VLOOKUP(E$7,'Writing Logic'!$J$7:$K$11,2,FALSE)&amp;" - Per "&amp;VLOOKUP($C$4,'Writing Logic'!$G$8:$H$14,2,FALSE),YES_Writing_ELA[#Headers],0))=0,"",INDEX(_xlfn.VSTACK(YES_Writing_ELA[#Data],YES_Writing_FLA[#Data]),MATCH($A61,_xlfn.VSTACK(YES_Writing_ELA[Student Number],YES_Writing_FLA[Student Number]),0),MATCH(VLOOKUP(E$7,'Writing Logic'!$J$7:$K$11,2,FALSE)&amp;" - Per "&amp;VLOOKUP($C$4,'Writing Logic'!$G$8:$H$14,2,FALSE),YES_Writing_ELA[#Headers],0)))="INS",'Writing Logic'!$B$7,IF(INDEX(_xlfn.VSTACK(YES_Writing_ELA[#Data],YES_Writing_FLA[#Data]),MATCH($A61,_xlfn.VSTACK(YES_Writing_ELA[Student Number],YES_Writing_FLA[Student Number]),0),MATCH(VLOOKUP(E$7,'Writing Logic'!$J$7:$K$11,2,FALSE)&amp;" - Per "&amp;VLOOKUP($C$4,'Writing Logic'!$G$8:$H$14,2,FALSE),YES_Writing_ELA[#Headers],0))=0,"",INDEX(_xlfn.VSTACK(YES_Writing_ELA[#Data],YES_Writing_FLA[#Data]),MATCH($A61,_xlfn.VSTACK(YES_Writing_ELA[Student Number],YES_Writing_FLA[Student Number]),0),MATCH(VLOOKUP(E$7,'Writing Logic'!$J$7:$K$11,2,FALSE)&amp;" - Per "&amp;VLOOKUP($C$4,'Writing Logic'!$G$8:$H$14,2,FALSE),YES_Writing_ELA[#Headers],0)))),"")</f>
        <v/>
      </c>
      <c r="F61" s="138" t="str">
        <f>IFERROR(IF(IF(INDEX(_xlfn.VSTACK(YES_Writing_ELA[#Data],YES_Writing_FLA[#Data]),MATCH($A61,_xlfn.VSTACK(YES_Writing_ELA[Student Number],YES_Writing_FLA[Student Number]),0),MATCH(VLOOKUP(F$7,'Writing Logic'!$J$7:$K$11,2,FALSE)&amp;" - Per "&amp;VLOOKUP($C$4,'Writing Logic'!$G$8:$H$14,2,FALSE),YES_Writing_ELA[#Headers],0))=0,"",INDEX(_xlfn.VSTACK(YES_Writing_ELA[#Data],YES_Writing_FLA[#Data]),MATCH($A61,_xlfn.VSTACK(YES_Writing_ELA[Student Number],YES_Writing_FLA[Student Number]),0),MATCH(VLOOKUP(F$7,'Writing Logic'!$J$7:$K$11,2,FALSE)&amp;" - Per "&amp;VLOOKUP($C$4,'Writing Logic'!$G$8:$H$14,2,FALSE),YES_Writing_ELA[#Headers],0)))="INS",'Writing Logic'!$B$7,IF(INDEX(_xlfn.VSTACK(YES_Writing_ELA[#Data],YES_Writing_FLA[#Data]),MATCH($A61,_xlfn.VSTACK(YES_Writing_ELA[Student Number],YES_Writing_FLA[Student Number]),0),MATCH(VLOOKUP(F$7,'Writing Logic'!$J$7:$K$11,2,FALSE)&amp;" - Per "&amp;VLOOKUP($C$4,'Writing Logic'!$G$8:$H$14,2,FALSE),YES_Writing_ELA[#Headers],0))=0,"",INDEX(_xlfn.VSTACK(YES_Writing_ELA[#Data],YES_Writing_FLA[#Data]),MATCH($A61,_xlfn.VSTACK(YES_Writing_ELA[Student Number],YES_Writing_FLA[Student Number]),0),MATCH(VLOOKUP(F$7,'Writing Logic'!$J$7:$K$11,2,FALSE)&amp;" - Per "&amp;VLOOKUP($C$4,'Writing Logic'!$G$8:$H$14,2,FALSE),YES_Writing_ELA[#Headers],0)))),"")</f>
        <v/>
      </c>
      <c r="G61" s="138" t="str">
        <f>IFERROR(IF(IF(INDEX(_xlfn.VSTACK(YES_Writing_ELA[#Data],YES_Writing_FLA[#Data]),MATCH($A61,_xlfn.VSTACK(YES_Writing_ELA[Student Number],YES_Writing_FLA[Student Number]),0),MATCH(VLOOKUP(G$7,'Writing Logic'!$J$7:$K$11,2,FALSE)&amp;" - Per "&amp;VLOOKUP($C$4,'Writing Logic'!$G$8:$H$14,2,FALSE),YES_Writing_ELA[#Headers],0))=0,"",INDEX(_xlfn.VSTACK(YES_Writing_ELA[#Data],YES_Writing_FLA[#Data]),MATCH($A61,_xlfn.VSTACK(YES_Writing_ELA[Student Number],YES_Writing_FLA[Student Number]),0),MATCH(VLOOKUP(G$7,'Writing Logic'!$J$7:$K$11,2,FALSE)&amp;" - Per "&amp;VLOOKUP($C$4,'Writing Logic'!$G$8:$H$14,2,FALSE),YES_Writing_ELA[#Headers],0)))="INS",'Writing Logic'!$B$7,IF(INDEX(_xlfn.VSTACK(YES_Writing_ELA[#Data],YES_Writing_FLA[#Data]),MATCH($A61,_xlfn.VSTACK(YES_Writing_ELA[Student Number],YES_Writing_FLA[Student Number]),0),MATCH(VLOOKUP(G$7,'Writing Logic'!$J$7:$K$11,2,FALSE)&amp;" - Per "&amp;VLOOKUP($C$4,'Writing Logic'!$G$8:$H$14,2,FALSE),YES_Writing_ELA[#Headers],0))=0,"",INDEX(_xlfn.VSTACK(YES_Writing_ELA[#Data],YES_Writing_FLA[#Data]),MATCH($A61,_xlfn.VSTACK(YES_Writing_ELA[Student Number],YES_Writing_FLA[Student Number]),0),MATCH(VLOOKUP(G$7,'Writing Logic'!$J$7:$K$11,2,FALSE)&amp;" - Per "&amp;VLOOKUP($C$4,'Writing Logic'!$G$8:$H$14,2,FALSE),YES_Writing_ELA[#Headers],0)))),"")</f>
        <v/>
      </c>
      <c r="H61" s="223" t="str">
        <f>IFERROR(IF(IF(INDEX(_xlfn.VSTACK(YES_Writing_ELA[#Data],YES_Writing_FLA[#Data]),MATCH($A61,_xlfn.VSTACK(YES_Writing_ELA[Student Number],YES_Writing_FLA[Student Number]),0),MATCH(VLOOKUP(H$7,'Writing Logic'!$J$7:$K$11,2,FALSE)&amp;" - Per "&amp;VLOOKUP($C$4,'Writing Logic'!$G$8:$H$14,2,FALSE),YES_Writing_ELA[#Headers],0))=0,"",INDEX(_xlfn.VSTACK(YES_Writing_ELA[#Data],YES_Writing_FLA[#Data]),MATCH($A61,_xlfn.VSTACK(YES_Writing_ELA[Student Number],YES_Writing_FLA[Student Number]),0),MATCH(VLOOKUP(H$7,'Writing Logic'!$J$7:$K$11,2,FALSE)&amp;" - Per "&amp;VLOOKUP($C$4,'Writing Logic'!$G$8:$H$14,2,FALSE),YES_Writing_ELA[#Headers],0)))="INS",'Writing Logic'!$B$7,IF(INDEX(_xlfn.VSTACK(YES_Writing_ELA[#Data],YES_Writing_FLA[#Data]),MATCH($A61,_xlfn.VSTACK(YES_Writing_ELA[Student Number],YES_Writing_FLA[Student Number]),0),MATCH(VLOOKUP(H$7,'Writing Logic'!$J$7:$K$11,2,FALSE)&amp;" - Per "&amp;VLOOKUP($C$4,'Writing Logic'!$G$8:$H$14,2,FALSE),YES_Writing_ELA[#Headers],0))=0,"",INDEX(_xlfn.VSTACK(YES_Writing_ELA[#Data],YES_Writing_FLA[#Data]),MATCH($A61,_xlfn.VSTACK(YES_Writing_ELA[Student Number],YES_Writing_FLA[Student Number]),0),MATCH(VLOOKUP(H$7,'Writing Logic'!$J$7:$K$11,2,FALSE)&amp;" - Per "&amp;VLOOKUP($C$4,'Writing Logic'!$G$8:$H$14,2,FALSE),YES_Writing_ELA[#Headers],0)))),"")</f>
        <v/>
      </c>
      <c r="I61" s="224" t="str" cm="1">
        <f t="array" aca="1" ref="I61" ca="1">IFERROR(
IF($G$3="ELA",
IF(VLOOKUP($A61, YES_Reading_ELA[], COLUMN(INDIRECT("YES_Reading_ELA[Difference - Per "&amp;VLOOKUP($G$4, 'Reading Report Logic'!$A$2:$B$8, 2, FALSE)&amp;"]")), FALSE)="", "",
VLOOKUP($A61,YES_Reading_ELA[], COLUMN(INDIRECT("YES_Reading_ELA[Difference - Per "&amp;VLOOKUP($G$4,'Reading Report Logic'!$A$2:$B$8,2,FALSE)&amp;"]")), FALSE)),
IF($G$3="FLA",
IF(VLOOKUP($A61, YES_Reading_FLA[], COLUMN(INDIRECT("YES_Reading_FLA[Difference - Per "&amp;VLOOKUP($G$4,'Reading Report Logic'!$A$2:$B$8,2,FALSE)&amp;"]")),FALSE)="","",
VLOOKUP($A61,YES_Reading_FLA[],COLUMN(INDIRECT("YES_Reading_FLA[Difference - Per "&amp;VLOOKUP($G$4,'Reading Report Logic'!$A$2:$B$8,2,FALSE)&amp;"]")),FALSE)),
IF($G$3="Combined",
IFERROR(
IF(VLOOKUP($A61, YES_Reading_ELA[], COLUMN(INDIRECT("YES_Reading_ELA[Difference - Per "&amp;VLOOKUP($G$4, 'Reading Report Logic'!$A$2:$B$8,2,FALSE)&amp;"]")), FALSE)="", "",
VLOOKUP($A61,YES_Reading_ELA[],COLUMN(INDIRECT("YES_Reading_ELA[Difference - Per "&amp;VLOOKUP($G$4,'Reading Report Logic'!$A$2:$B$8,2,FALSE)&amp;"]")),FALSE)),
IF(VLOOKUP($A61, YES_Reading_FLA[], COLUMN(INDIRECT("YES_Reading_FLA[Difference - Per "&amp;VLOOKUP($G$4, 'Reading Report Logic'!$A$2:$B$8, 2, FALSE)&amp;"]")),FALSE)="", "", VLOOKUP($A61,YES_Reading_FLA[],COLUMN(INDIRECT("YES_Reading_FLA[Difference - Per "&amp;VLOOKUP($G$4, 'Reading Report Logic'!$A$2:$B$8, 2, FALSE)&amp;"]")),FALSE))),""))),"")</f>
        <v/>
      </c>
    </row>
    <row r="62" spans="1:9" ht="14.25" customHeight="1" x14ac:dyDescent="0.25">
      <c r="A62" s="137"/>
      <c r="B62" s="137" t="str">
        <f>IFERROR(INDEX(_xlfn.VSTACK(YES_Writing_ELA[#Data], YES_Writing_FLA[#Data]),MATCH($A62,_xlfn.VSTACK(YES_Writing_ELA[Student Number], YES_Writing_FLA[Student Number]),0),MATCH(B$7,YES_Writing_ELA[#Headers],0)),IFERROR(INDEX(_xlfn.VSTACK(YES_Reading_ELA[#Data], YES_Reading_FLA[#Data]),MATCH($A62,_xlfn.VSTACK(YES_Reading_ELA[Student Number], YES_Reading_FLA[Student Number]),0),MATCH(B$7,YES_Reading_ELA[#Headers],0)),""))</f>
        <v/>
      </c>
      <c r="C62" s="137" t="str">
        <f>IFERROR(INDEX(_xlfn.VSTACK(YES_Writing_ELA[#Data], YES_Writing_FLA[#Data]),MATCH($A62,_xlfn.VSTACK(YES_Writing_ELA[Student Number], YES_Writing_FLA[Student Number]),0),MATCH(C$7,YES_Writing_ELA[#Headers],0)),IFERROR(INDEX(_xlfn.VSTACK(YES_Reading_ELA[#Data], YES_Reading_FLA[#Data]),MATCH($A62,_xlfn.VSTACK(YES_Reading_ELA[Student Number], YES_Reading_FLA[Student Number]),0),MATCH(C$7,YES_Reading_ELA[#Headers],0)),""))</f>
        <v/>
      </c>
      <c r="D62" s="138" t="str">
        <f>IFERROR(IF(IF(INDEX(_xlfn.VSTACK(YES_Writing_ELA[#Data],YES_Writing_FLA[#Data]),MATCH($A62,_xlfn.VSTACK(YES_Writing_ELA[Student Number],YES_Writing_FLA[Student Number]),0),MATCH(VLOOKUP(D$7,'Writing Logic'!$J$7:$K$11,2,FALSE)&amp;" - Per "&amp;VLOOKUP($C$4,'Writing Logic'!$G$8:$H$14,2,FALSE),YES_Writing_ELA[#Headers],0))=0,"",INDEX(_xlfn.VSTACK(YES_Writing_ELA[#Data],YES_Writing_FLA[#Data]),MATCH($A62,_xlfn.VSTACK(YES_Writing_ELA[Student Number],YES_Writing_FLA[Student Number]),0),MATCH(VLOOKUP(D$7,'Writing Logic'!$J$7:$K$11,2,FALSE)&amp;" - Per "&amp;VLOOKUP($C$4,'Writing Logic'!$G$8:$H$14,2,FALSE),YES_Writing_ELA[#Headers],0)))="INS",'Writing Logic'!$B$7,IF(INDEX(_xlfn.VSTACK(YES_Writing_ELA[#Data],YES_Writing_FLA[#Data]),MATCH($A62,_xlfn.VSTACK(YES_Writing_ELA[Student Number],YES_Writing_FLA[Student Number]),0),MATCH(VLOOKUP(D$7,'Writing Logic'!$J$7:$K$11,2,FALSE)&amp;" - Per "&amp;VLOOKUP($C$4,'Writing Logic'!$G$8:$H$14,2,FALSE),YES_Writing_ELA[#Headers],0))=0,"",INDEX(_xlfn.VSTACK(YES_Writing_ELA[#Data],YES_Writing_FLA[#Data]),MATCH($A62,_xlfn.VSTACK(YES_Writing_ELA[Student Number],YES_Writing_FLA[Student Number]),0),MATCH(VLOOKUP(D$7,'Writing Logic'!$J$7:$K$11,2,FALSE)&amp;" - Per "&amp;VLOOKUP($C$4,'Writing Logic'!$G$8:$H$14,2,FALSE),YES_Writing_ELA[#Headers],0)))),"")</f>
        <v/>
      </c>
      <c r="E62" s="138" t="str">
        <f>IFERROR(IF(IF(INDEX(_xlfn.VSTACK(YES_Writing_ELA[#Data],YES_Writing_FLA[#Data]),MATCH($A62,_xlfn.VSTACK(YES_Writing_ELA[Student Number],YES_Writing_FLA[Student Number]),0),MATCH(VLOOKUP(E$7,'Writing Logic'!$J$7:$K$11,2,FALSE)&amp;" - Per "&amp;VLOOKUP($C$4,'Writing Logic'!$G$8:$H$14,2,FALSE),YES_Writing_ELA[#Headers],0))=0,"",INDEX(_xlfn.VSTACK(YES_Writing_ELA[#Data],YES_Writing_FLA[#Data]),MATCH($A62,_xlfn.VSTACK(YES_Writing_ELA[Student Number],YES_Writing_FLA[Student Number]),0),MATCH(VLOOKUP(E$7,'Writing Logic'!$J$7:$K$11,2,FALSE)&amp;" - Per "&amp;VLOOKUP($C$4,'Writing Logic'!$G$8:$H$14,2,FALSE),YES_Writing_ELA[#Headers],0)))="INS",'Writing Logic'!$B$7,IF(INDEX(_xlfn.VSTACK(YES_Writing_ELA[#Data],YES_Writing_FLA[#Data]),MATCH($A62,_xlfn.VSTACK(YES_Writing_ELA[Student Number],YES_Writing_FLA[Student Number]),0),MATCH(VLOOKUP(E$7,'Writing Logic'!$J$7:$K$11,2,FALSE)&amp;" - Per "&amp;VLOOKUP($C$4,'Writing Logic'!$G$8:$H$14,2,FALSE),YES_Writing_ELA[#Headers],0))=0,"",INDEX(_xlfn.VSTACK(YES_Writing_ELA[#Data],YES_Writing_FLA[#Data]),MATCH($A62,_xlfn.VSTACK(YES_Writing_ELA[Student Number],YES_Writing_FLA[Student Number]),0),MATCH(VLOOKUP(E$7,'Writing Logic'!$J$7:$K$11,2,FALSE)&amp;" - Per "&amp;VLOOKUP($C$4,'Writing Logic'!$G$8:$H$14,2,FALSE),YES_Writing_ELA[#Headers],0)))),"")</f>
        <v/>
      </c>
      <c r="F62" s="138" t="str">
        <f>IFERROR(IF(IF(INDEX(_xlfn.VSTACK(YES_Writing_ELA[#Data],YES_Writing_FLA[#Data]),MATCH($A62,_xlfn.VSTACK(YES_Writing_ELA[Student Number],YES_Writing_FLA[Student Number]),0),MATCH(VLOOKUP(F$7,'Writing Logic'!$J$7:$K$11,2,FALSE)&amp;" - Per "&amp;VLOOKUP($C$4,'Writing Logic'!$G$8:$H$14,2,FALSE),YES_Writing_ELA[#Headers],0))=0,"",INDEX(_xlfn.VSTACK(YES_Writing_ELA[#Data],YES_Writing_FLA[#Data]),MATCH($A62,_xlfn.VSTACK(YES_Writing_ELA[Student Number],YES_Writing_FLA[Student Number]),0),MATCH(VLOOKUP(F$7,'Writing Logic'!$J$7:$K$11,2,FALSE)&amp;" - Per "&amp;VLOOKUP($C$4,'Writing Logic'!$G$8:$H$14,2,FALSE),YES_Writing_ELA[#Headers],0)))="INS",'Writing Logic'!$B$7,IF(INDEX(_xlfn.VSTACK(YES_Writing_ELA[#Data],YES_Writing_FLA[#Data]),MATCH($A62,_xlfn.VSTACK(YES_Writing_ELA[Student Number],YES_Writing_FLA[Student Number]),0),MATCH(VLOOKUP(F$7,'Writing Logic'!$J$7:$K$11,2,FALSE)&amp;" - Per "&amp;VLOOKUP($C$4,'Writing Logic'!$G$8:$H$14,2,FALSE),YES_Writing_ELA[#Headers],0))=0,"",INDEX(_xlfn.VSTACK(YES_Writing_ELA[#Data],YES_Writing_FLA[#Data]),MATCH($A62,_xlfn.VSTACK(YES_Writing_ELA[Student Number],YES_Writing_FLA[Student Number]),0),MATCH(VLOOKUP(F$7,'Writing Logic'!$J$7:$K$11,2,FALSE)&amp;" - Per "&amp;VLOOKUP($C$4,'Writing Logic'!$G$8:$H$14,2,FALSE),YES_Writing_ELA[#Headers],0)))),"")</f>
        <v/>
      </c>
      <c r="G62" s="138" t="str">
        <f>IFERROR(IF(IF(INDEX(_xlfn.VSTACK(YES_Writing_ELA[#Data],YES_Writing_FLA[#Data]),MATCH($A62,_xlfn.VSTACK(YES_Writing_ELA[Student Number],YES_Writing_FLA[Student Number]),0),MATCH(VLOOKUP(G$7,'Writing Logic'!$J$7:$K$11,2,FALSE)&amp;" - Per "&amp;VLOOKUP($C$4,'Writing Logic'!$G$8:$H$14,2,FALSE),YES_Writing_ELA[#Headers],0))=0,"",INDEX(_xlfn.VSTACK(YES_Writing_ELA[#Data],YES_Writing_FLA[#Data]),MATCH($A62,_xlfn.VSTACK(YES_Writing_ELA[Student Number],YES_Writing_FLA[Student Number]),0),MATCH(VLOOKUP(G$7,'Writing Logic'!$J$7:$K$11,2,FALSE)&amp;" - Per "&amp;VLOOKUP($C$4,'Writing Logic'!$G$8:$H$14,2,FALSE),YES_Writing_ELA[#Headers],0)))="INS",'Writing Logic'!$B$7,IF(INDEX(_xlfn.VSTACK(YES_Writing_ELA[#Data],YES_Writing_FLA[#Data]),MATCH($A62,_xlfn.VSTACK(YES_Writing_ELA[Student Number],YES_Writing_FLA[Student Number]),0),MATCH(VLOOKUP(G$7,'Writing Logic'!$J$7:$K$11,2,FALSE)&amp;" - Per "&amp;VLOOKUP($C$4,'Writing Logic'!$G$8:$H$14,2,FALSE),YES_Writing_ELA[#Headers],0))=0,"",INDEX(_xlfn.VSTACK(YES_Writing_ELA[#Data],YES_Writing_FLA[#Data]),MATCH($A62,_xlfn.VSTACK(YES_Writing_ELA[Student Number],YES_Writing_FLA[Student Number]),0),MATCH(VLOOKUP(G$7,'Writing Logic'!$J$7:$K$11,2,FALSE)&amp;" - Per "&amp;VLOOKUP($C$4,'Writing Logic'!$G$8:$H$14,2,FALSE),YES_Writing_ELA[#Headers],0)))),"")</f>
        <v/>
      </c>
      <c r="H62" s="223" t="str">
        <f>IFERROR(IF(IF(INDEX(_xlfn.VSTACK(YES_Writing_ELA[#Data],YES_Writing_FLA[#Data]),MATCH($A62,_xlfn.VSTACK(YES_Writing_ELA[Student Number],YES_Writing_FLA[Student Number]),0),MATCH(VLOOKUP(H$7,'Writing Logic'!$J$7:$K$11,2,FALSE)&amp;" - Per "&amp;VLOOKUP($C$4,'Writing Logic'!$G$8:$H$14,2,FALSE),YES_Writing_ELA[#Headers],0))=0,"",INDEX(_xlfn.VSTACK(YES_Writing_ELA[#Data],YES_Writing_FLA[#Data]),MATCH($A62,_xlfn.VSTACK(YES_Writing_ELA[Student Number],YES_Writing_FLA[Student Number]),0),MATCH(VLOOKUP(H$7,'Writing Logic'!$J$7:$K$11,2,FALSE)&amp;" - Per "&amp;VLOOKUP($C$4,'Writing Logic'!$G$8:$H$14,2,FALSE),YES_Writing_ELA[#Headers],0)))="INS",'Writing Logic'!$B$7,IF(INDEX(_xlfn.VSTACK(YES_Writing_ELA[#Data],YES_Writing_FLA[#Data]),MATCH($A62,_xlfn.VSTACK(YES_Writing_ELA[Student Number],YES_Writing_FLA[Student Number]),0),MATCH(VLOOKUP(H$7,'Writing Logic'!$J$7:$K$11,2,FALSE)&amp;" - Per "&amp;VLOOKUP($C$4,'Writing Logic'!$G$8:$H$14,2,FALSE),YES_Writing_ELA[#Headers],0))=0,"",INDEX(_xlfn.VSTACK(YES_Writing_ELA[#Data],YES_Writing_FLA[#Data]),MATCH($A62,_xlfn.VSTACK(YES_Writing_ELA[Student Number],YES_Writing_FLA[Student Number]),0),MATCH(VLOOKUP(H$7,'Writing Logic'!$J$7:$K$11,2,FALSE)&amp;" - Per "&amp;VLOOKUP($C$4,'Writing Logic'!$G$8:$H$14,2,FALSE),YES_Writing_ELA[#Headers],0)))),"")</f>
        <v/>
      </c>
      <c r="I62" s="224" t="str" cm="1">
        <f t="array" aca="1" ref="I62" ca="1">IFERROR(
IF($G$3="ELA",
IF(VLOOKUP($A62, YES_Reading_ELA[], COLUMN(INDIRECT("YES_Reading_ELA[Difference - Per "&amp;VLOOKUP($G$4, 'Reading Report Logic'!$A$2:$B$8, 2, FALSE)&amp;"]")), FALSE)="", "",
VLOOKUP($A62,YES_Reading_ELA[], COLUMN(INDIRECT("YES_Reading_ELA[Difference - Per "&amp;VLOOKUP($G$4,'Reading Report Logic'!$A$2:$B$8,2,FALSE)&amp;"]")), FALSE)),
IF($G$3="FLA",
IF(VLOOKUP($A62, YES_Reading_FLA[], COLUMN(INDIRECT("YES_Reading_FLA[Difference - Per "&amp;VLOOKUP($G$4,'Reading Report Logic'!$A$2:$B$8,2,FALSE)&amp;"]")),FALSE)="","",
VLOOKUP($A62,YES_Reading_FLA[],COLUMN(INDIRECT("YES_Reading_FLA[Difference - Per "&amp;VLOOKUP($G$4,'Reading Report Logic'!$A$2:$B$8,2,FALSE)&amp;"]")),FALSE)),
IF($G$3="Combined",
IFERROR(
IF(VLOOKUP($A62, YES_Reading_ELA[], COLUMN(INDIRECT("YES_Reading_ELA[Difference - Per "&amp;VLOOKUP($G$4, 'Reading Report Logic'!$A$2:$B$8,2,FALSE)&amp;"]")), FALSE)="", "",
VLOOKUP($A62,YES_Reading_ELA[],COLUMN(INDIRECT("YES_Reading_ELA[Difference - Per "&amp;VLOOKUP($G$4,'Reading Report Logic'!$A$2:$B$8,2,FALSE)&amp;"]")),FALSE)),
IF(VLOOKUP($A62, YES_Reading_FLA[], COLUMN(INDIRECT("YES_Reading_FLA[Difference - Per "&amp;VLOOKUP($G$4, 'Reading Report Logic'!$A$2:$B$8, 2, FALSE)&amp;"]")),FALSE)="", "", VLOOKUP($A62,YES_Reading_FLA[],COLUMN(INDIRECT("YES_Reading_FLA[Difference - Per "&amp;VLOOKUP($G$4, 'Reading Report Logic'!$A$2:$B$8, 2, FALSE)&amp;"]")),FALSE))),""))),"")</f>
        <v/>
      </c>
    </row>
    <row r="63" spans="1:9" ht="14.25" customHeight="1" x14ac:dyDescent="0.25">
      <c r="A63" s="137"/>
      <c r="B63" s="137" t="str">
        <f>IFERROR(INDEX(_xlfn.VSTACK(YES_Writing_ELA[#Data], YES_Writing_FLA[#Data]),MATCH($A63,_xlfn.VSTACK(YES_Writing_ELA[Student Number], YES_Writing_FLA[Student Number]),0),MATCH(B$7,YES_Writing_ELA[#Headers],0)),IFERROR(INDEX(_xlfn.VSTACK(YES_Reading_ELA[#Data], YES_Reading_FLA[#Data]),MATCH($A63,_xlfn.VSTACK(YES_Reading_ELA[Student Number], YES_Reading_FLA[Student Number]),0),MATCH(B$7,YES_Reading_ELA[#Headers],0)),""))</f>
        <v/>
      </c>
      <c r="C63" s="137" t="str">
        <f>IFERROR(INDEX(_xlfn.VSTACK(YES_Writing_ELA[#Data], YES_Writing_FLA[#Data]),MATCH($A63,_xlfn.VSTACK(YES_Writing_ELA[Student Number], YES_Writing_FLA[Student Number]),0),MATCH(C$7,YES_Writing_ELA[#Headers],0)),IFERROR(INDEX(_xlfn.VSTACK(YES_Reading_ELA[#Data], YES_Reading_FLA[#Data]),MATCH($A63,_xlfn.VSTACK(YES_Reading_ELA[Student Number], YES_Reading_FLA[Student Number]),0),MATCH(C$7,YES_Reading_ELA[#Headers],0)),""))</f>
        <v/>
      </c>
      <c r="D63" s="138" t="str">
        <f>IFERROR(IF(IF(INDEX(_xlfn.VSTACK(YES_Writing_ELA[#Data],YES_Writing_FLA[#Data]),MATCH($A63,_xlfn.VSTACK(YES_Writing_ELA[Student Number],YES_Writing_FLA[Student Number]),0),MATCH(VLOOKUP(D$7,'Writing Logic'!$J$7:$K$11,2,FALSE)&amp;" - Per "&amp;VLOOKUP($C$4,'Writing Logic'!$G$8:$H$14,2,FALSE),YES_Writing_ELA[#Headers],0))=0,"",INDEX(_xlfn.VSTACK(YES_Writing_ELA[#Data],YES_Writing_FLA[#Data]),MATCH($A63,_xlfn.VSTACK(YES_Writing_ELA[Student Number],YES_Writing_FLA[Student Number]),0),MATCH(VLOOKUP(D$7,'Writing Logic'!$J$7:$K$11,2,FALSE)&amp;" - Per "&amp;VLOOKUP($C$4,'Writing Logic'!$G$8:$H$14,2,FALSE),YES_Writing_ELA[#Headers],0)))="INS",'Writing Logic'!$B$7,IF(INDEX(_xlfn.VSTACK(YES_Writing_ELA[#Data],YES_Writing_FLA[#Data]),MATCH($A63,_xlfn.VSTACK(YES_Writing_ELA[Student Number],YES_Writing_FLA[Student Number]),0),MATCH(VLOOKUP(D$7,'Writing Logic'!$J$7:$K$11,2,FALSE)&amp;" - Per "&amp;VLOOKUP($C$4,'Writing Logic'!$G$8:$H$14,2,FALSE),YES_Writing_ELA[#Headers],0))=0,"",INDEX(_xlfn.VSTACK(YES_Writing_ELA[#Data],YES_Writing_FLA[#Data]),MATCH($A63,_xlfn.VSTACK(YES_Writing_ELA[Student Number],YES_Writing_FLA[Student Number]),0),MATCH(VLOOKUP(D$7,'Writing Logic'!$J$7:$K$11,2,FALSE)&amp;" - Per "&amp;VLOOKUP($C$4,'Writing Logic'!$G$8:$H$14,2,FALSE),YES_Writing_ELA[#Headers],0)))),"")</f>
        <v/>
      </c>
      <c r="E63" s="138" t="str">
        <f>IFERROR(IF(IF(INDEX(_xlfn.VSTACK(YES_Writing_ELA[#Data],YES_Writing_FLA[#Data]),MATCH($A63,_xlfn.VSTACK(YES_Writing_ELA[Student Number],YES_Writing_FLA[Student Number]),0),MATCH(VLOOKUP(E$7,'Writing Logic'!$J$7:$K$11,2,FALSE)&amp;" - Per "&amp;VLOOKUP($C$4,'Writing Logic'!$G$8:$H$14,2,FALSE),YES_Writing_ELA[#Headers],0))=0,"",INDEX(_xlfn.VSTACK(YES_Writing_ELA[#Data],YES_Writing_FLA[#Data]),MATCH($A63,_xlfn.VSTACK(YES_Writing_ELA[Student Number],YES_Writing_FLA[Student Number]),0),MATCH(VLOOKUP(E$7,'Writing Logic'!$J$7:$K$11,2,FALSE)&amp;" - Per "&amp;VLOOKUP($C$4,'Writing Logic'!$G$8:$H$14,2,FALSE),YES_Writing_ELA[#Headers],0)))="INS",'Writing Logic'!$B$7,IF(INDEX(_xlfn.VSTACK(YES_Writing_ELA[#Data],YES_Writing_FLA[#Data]),MATCH($A63,_xlfn.VSTACK(YES_Writing_ELA[Student Number],YES_Writing_FLA[Student Number]),0),MATCH(VLOOKUP(E$7,'Writing Logic'!$J$7:$K$11,2,FALSE)&amp;" - Per "&amp;VLOOKUP($C$4,'Writing Logic'!$G$8:$H$14,2,FALSE),YES_Writing_ELA[#Headers],0))=0,"",INDEX(_xlfn.VSTACK(YES_Writing_ELA[#Data],YES_Writing_FLA[#Data]),MATCH($A63,_xlfn.VSTACK(YES_Writing_ELA[Student Number],YES_Writing_FLA[Student Number]),0),MATCH(VLOOKUP(E$7,'Writing Logic'!$J$7:$K$11,2,FALSE)&amp;" - Per "&amp;VLOOKUP($C$4,'Writing Logic'!$G$8:$H$14,2,FALSE),YES_Writing_ELA[#Headers],0)))),"")</f>
        <v/>
      </c>
      <c r="F63" s="138" t="str">
        <f>IFERROR(IF(IF(INDEX(_xlfn.VSTACK(YES_Writing_ELA[#Data],YES_Writing_FLA[#Data]),MATCH($A63,_xlfn.VSTACK(YES_Writing_ELA[Student Number],YES_Writing_FLA[Student Number]),0),MATCH(VLOOKUP(F$7,'Writing Logic'!$J$7:$K$11,2,FALSE)&amp;" - Per "&amp;VLOOKUP($C$4,'Writing Logic'!$G$8:$H$14,2,FALSE),YES_Writing_ELA[#Headers],0))=0,"",INDEX(_xlfn.VSTACK(YES_Writing_ELA[#Data],YES_Writing_FLA[#Data]),MATCH($A63,_xlfn.VSTACK(YES_Writing_ELA[Student Number],YES_Writing_FLA[Student Number]),0),MATCH(VLOOKUP(F$7,'Writing Logic'!$J$7:$K$11,2,FALSE)&amp;" - Per "&amp;VLOOKUP($C$4,'Writing Logic'!$G$8:$H$14,2,FALSE),YES_Writing_ELA[#Headers],0)))="INS",'Writing Logic'!$B$7,IF(INDEX(_xlfn.VSTACK(YES_Writing_ELA[#Data],YES_Writing_FLA[#Data]),MATCH($A63,_xlfn.VSTACK(YES_Writing_ELA[Student Number],YES_Writing_FLA[Student Number]),0),MATCH(VLOOKUP(F$7,'Writing Logic'!$J$7:$K$11,2,FALSE)&amp;" - Per "&amp;VLOOKUP($C$4,'Writing Logic'!$G$8:$H$14,2,FALSE),YES_Writing_ELA[#Headers],0))=0,"",INDEX(_xlfn.VSTACK(YES_Writing_ELA[#Data],YES_Writing_FLA[#Data]),MATCH($A63,_xlfn.VSTACK(YES_Writing_ELA[Student Number],YES_Writing_FLA[Student Number]),0),MATCH(VLOOKUP(F$7,'Writing Logic'!$J$7:$K$11,2,FALSE)&amp;" - Per "&amp;VLOOKUP($C$4,'Writing Logic'!$G$8:$H$14,2,FALSE),YES_Writing_ELA[#Headers],0)))),"")</f>
        <v/>
      </c>
      <c r="G63" s="138" t="str">
        <f>IFERROR(IF(IF(INDEX(_xlfn.VSTACK(YES_Writing_ELA[#Data],YES_Writing_FLA[#Data]),MATCH($A63,_xlfn.VSTACK(YES_Writing_ELA[Student Number],YES_Writing_FLA[Student Number]),0),MATCH(VLOOKUP(G$7,'Writing Logic'!$J$7:$K$11,2,FALSE)&amp;" - Per "&amp;VLOOKUP($C$4,'Writing Logic'!$G$8:$H$14,2,FALSE),YES_Writing_ELA[#Headers],0))=0,"",INDEX(_xlfn.VSTACK(YES_Writing_ELA[#Data],YES_Writing_FLA[#Data]),MATCH($A63,_xlfn.VSTACK(YES_Writing_ELA[Student Number],YES_Writing_FLA[Student Number]),0),MATCH(VLOOKUP(G$7,'Writing Logic'!$J$7:$K$11,2,FALSE)&amp;" - Per "&amp;VLOOKUP($C$4,'Writing Logic'!$G$8:$H$14,2,FALSE),YES_Writing_ELA[#Headers],0)))="INS",'Writing Logic'!$B$7,IF(INDEX(_xlfn.VSTACK(YES_Writing_ELA[#Data],YES_Writing_FLA[#Data]),MATCH($A63,_xlfn.VSTACK(YES_Writing_ELA[Student Number],YES_Writing_FLA[Student Number]),0),MATCH(VLOOKUP(G$7,'Writing Logic'!$J$7:$K$11,2,FALSE)&amp;" - Per "&amp;VLOOKUP($C$4,'Writing Logic'!$G$8:$H$14,2,FALSE),YES_Writing_ELA[#Headers],0))=0,"",INDEX(_xlfn.VSTACK(YES_Writing_ELA[#Data],YES_Writing_FLA[#Data]),MATCH($A63,_xlfn.VSTACK(YES_Writing_ELA[Student Number],YES_Writing_FLA[Student Number]),0),MATCH(VLOOKUP(G$7,'Writing Logic'!$J$7:$K$11,2,FALSE)&amp;" - Per "&amp;VLOOKUP($C$4,'Writing Logic'!$G$8:$H$14,2,FALSE),YES_Writing_ELA[#Headers],0)))),"")</f>
        <v/>
      </c>
      <c r="H63" s="223" t="str">
        <f>IFERROR(IF(IF(INDEX(_xlfn.VSTACK(YES_Writing_ELA[#Data],YES_Writing_FLA[#Data]),MATCH($A63,_xlfn.VSTACK(YES_Writing_ELA[Student Number],YES_Writing_FLA[Student Number]),0),MATCH(VLOOKUP(H$7,'Writing Logic'!$J$7:$K$11,2,FALSE)&amp;" - Per "&amp;VLOOKUP($C$4,'Writing Logic'!$G$8:$H$14,2,FALSE),YES_Writing_ELA[#Headers],0))=0,"",INDEX(_xlfn.VSTACK(YES_Writing_ELA[#Data],YES_Writing_FLA[#Data]),MATCH($A63,_xlfn.VSTACK(YES_Writing_ELA[Student Number],YES_Writing_FLA[Student Number]),0),MATCH(VLOOKUP(H$7,'Writing Logic'!$J$7:$K$11,2,FALSE)&amp;" - Per "&amp;VLOOKUP($C$4,'Writing Logic'!$G$8:$H$14,2,FALSE),YES_Writing_ELA[#Headers],0)))="INS",'Writing Logic'!$B$7,IF(INDEX(_xlfn.VSTACK(YES_Writing_ELA[#Data],YES_Writing_FLA[#Data]),MATCH($A63,_xlfn.VSTACK(YES_Writing_ELA[Student Number],YES_Writing_FLA[Student Number]),0),MATCH(VLOOKUP(H$7,'Writing Logic'!$J$7:$K$11,2,FALSE)&amp;" - Per "&amp;VLOOKUP($C$4,'Writing Logic'!$G$8:$H$14,2,FALSE),YES_Writing_ELA[#Headers],0))=0,"",INDEX(_xlfn.VSTACK(YES_Writing_ELA[#Data],YES_Writing_FLA[#Data]),MATCH($A63,_xlfn.VSTACK(YES_Writing_ELA[Student Number],YES_Writing_FLA[Student Number]),0),MATCH(VLOOKUP(H$7,'Writing Logic'!$J$7:$K$11,2,FALSE)&amp;" - Per "&amp;VLOOKUP($C$4,'Writing Logic'!$G$8:$H$14,2,FALSE),YES_Writing_ELA[#Headers],0)))),"")</f>
        <v/>
      </c>
      <c r="I63" s="224" t="str" cm="1">
        <f t="array" aca="1" ref="I63" ca="1">IFERROR(
IF($G$3="ELA",
IF(VLOOKUP($A63, YES_Reading_ELA[], COLUMN(INDIRECT("YES_Reading_ELA[Difference - Per "&amp;VLOOKUP($G$4, 'Reading Report Logic'!$A$2:$B$8, 2, FALSE)&amp;"]")), FALSE)="", "",
VLOOKUP($A63,YES_Reading_ELA[], COLUMN(INDIRECT("YES_Reading_ELA[Difference - Per "&amp;VLOOKUP($G$4,'Reading Report Logic'!$A$2:$B$8,2,FALSE)&amp;"]")), FALSE)),
IF($G$3="FLA",
IF(VLOOKUP($A63, YES_Reading_FLA[], COLUMN(INDIRECT("YES_Reading_FLA[Difference - Per "&amp;VLOOKUP($G$4,'Reading Report Logic'!$A$2:$B$8,2,FALSE)&amp;"]")),FALSE)="","",
VLOOKUP($A63,YES_Reading_FLA[],COLUMN(INDIRECT("YES_Reading_FLA[Difference - Per "&amp;VLOOKUP($G$4,'Reading Report Logic'!$A$2:$B$8,2,FALSE)&amp;"]")),FALSE)),
IF($G$3="Combined",
IFERROR(
IF(VLOOKUP($A63, YES_Reading_ELA[], COLUMN(INDIRECT("YES_Reading_ELA[Difference - Per "&amp;VLOOKUP($G$4, 'Reading Report Logic'!$A$2:$B$8,2,FALSE)&amp;"]")), FALSE)="", "",
VLOOKUP($A63,YES_Reading_ELA[],COLUMN(INDIRECT("YES_Reading_ELA[Difference - Per "&amp;VLOOKUP($G$4,'Reading Report Logic'!$A$2:$B$8,2,FALSE)&amp;"]")),FALSE)),
IF(VLOOKUP($A63, YES_Reading_FLA[], COLUMN(INDIRECT("YES_Reading_FLA[Difference - Per "&amp;VLOOKUP($G$4, 'Reading Report Logic'!$A$2:$B$8, 2, FALSE)&amp;"]")),FALSE)="", "", VLOOKUP($A63,YES_Reading_FLA[],COLUMN(INDIRECT("YES_Reading_FLA[Difference - Per "&amp;VLOOKUP($G$4, 'Reading Report Logic'!$A$2:$B$8, 2, FALSE)&amp;"]")),FALSE))),""))),"")</f>
        <v/>
      </c>
    </row>
    <row r="64" spans="1:9" ht="14.25" customHeight="1" x14ac:dyDescent="0.25">
      <c r="A64" s="137"/>
      <c r="B64" s="137" t="str">
        <f>IFERROR(INDEX(_xlfn.VSTACK(YES_Writing_ELA[#Data], YES_Writing_FLA[#Data]),MATCH($A64,_xlfn.VSTACK(YES_Writing_ELA[Student Number], YES_Writing_FLA[Student Number]),0),MATCH(B$7,YES_Writing_ELA[#Headers],0)),IFERROR(INDEX(_xlfn.VSTACK(YES_Reading_ELA[#Data], YES_Reading_FLA[#Data]),MATCH($A64,_xlfn.VSTACK(YES_Reading_ELA[Student Number], YES_Reading_FLA[Student Number]),0),MATCH(B$7,YES_Reading_ELA[#Headers],0)),""))</f>
        <v/>
      </c>
      <c r="C64" s="137" t="str">
        <f>IFERROR(INDEX(_xlfn.VSTACK(YES_Writing_ELA[#Data], YES_Writing_FLA[#Data]),MATCH($A64,_xlfn.VSTACK(YES_Writing_ELA[Student Number], YES_Writing_FLA[Student Number]),0),MATCH(C$7,YES_Writing_ELA[#Headers],0)),IFERROR(INDEX(_xlfn.VSTACK(YES_Reading_ELA[#Data], YES_Reading_FLA[#Data]),MATCH($A64,_xlfn.VSTACK(YES_Reading_ELA[Student Number], YES_Reading_FLA[Student Number]),0),MATCH(C$7,YES_Reading_ELA[#Headers],0)),""))</f>
        <v/>
      </c>
      <c r="D64" s="138" t="str">
        <f>IFERROR(IF(IF(INDEX(_xlfn.VSTACK(YES_Writing_ELA[#Data],YES_Writing_FLA[#Data]),MATCH($A64,_xlfn.VSTACK(YES_Writing_ELA[Student Number],YES_Writing_FLA[Student Number]),0),MATCH(VLOOKUP(D$7,'Writing Logic'!$J$7:$K$11,2,FALSE)&amp;" - Per "&amp;VLOOKUP($C$4,'Writing Logic'!$G$8:$H$14,2,FALSE),YES_Writing_ELA[#Headers],0))=0,"",INDEX(_xlfn.VSTACK(YES_Writing_ELA[#Data],YES_Writing_FLA[#Data]),MATCH($A64,_xlfn.VSTACK(YES_Writing_ELA[Student Number],YES_Writing_FLA[Student Number]),0),MATCH(VLOOKUP(D$7,'Writing Logic'!$J$7:$K$11,2,FALSE)&amp;" - Per "&amp;VLOOKUP($C$4,'Writing Logic'!$G$8:$H$14,2,FALSE),YES_Writing_ELA[#Headers],0)))="INS",'Writing Logic'!$B$7,IF(INDEX(_xlfn.VSTACK(YES_Writing_ELA[#Data],YES_Writing_FLA[#Data]),MATCH($A64,_xlfn.VSTACK(YES_Writing_ELA[Student Number],YES_Writing_FLA[Student Number]),0),MATCH(VLOOKUP(D$7,'Writing Logic'!$J$7:$K$11,2,FALSE)&amp;" - Per "&amp;VLOOKUP($C$4,'Writing Logic'!$G$8:$H$14,2,FALSE),YES_Writing_ELA[#Headers],0))=0,"",INDEX(_xlfn.VSTACK(YES_Writing_ELA[#Data],YES_Writing_FLA[#Data]),MATCH($A64,_xlfn.VSTACK(YES_Writing_ELA[Student Number],YES_Writing_FLA[Student Number]),0),MATCH(VLOOKUP(D$7,'Writing Logic'!$J$7:$K$11,2,FALSE)&amp;" - Per "&amp;VLOOKUP($C$4,'Writing Logic'!$G$8:$H$14,2,FALSE),YES_Writing_ELA[#Headers],0)))),"")</f>
        <v/>
      </c>
      <c r="E64" s="138" t="str">
        <f>IFERROR(IF(IF(INDEX(_xlfn.VSTACK(YES_Writing_ELA[#Data],YES_Writing_FLA[#Data]),MATCH($A64,_xlfn.VSTACK(YES_Writing_ELA[Student Number],YES_Writing_FLA[Student Number]),0),MATCH(VLOOKUP(E$7,'Writing Logic'!$J$7:$K$11,2,FALSE)&amp;" - Per "&amp;VLOOKUP($C$4,'Writing Logic'!$G$8:$H$14,2,FALSE),YES_Writing_ELA[#Headers],0))=0,"",INDEX(_xlfn.VSTACK(YES_Writing_ELA[#Data],YES_Writing_FLA[#Data]),MATCH($A64,_xlfn.VSTACK(YES_Writing_ELA[Student Number],YES_Writing_FLA[Student Number]),0),MATCH(VLOOKUP(E$7,'Writing Logic'!$J$7:$K$11,2,FALSE)&amp;" - Per "&amp;VLOOKUP($C$4,'Writing Logic'!$G$8:$H$14,2,FALSE),YES_Writing_ELA[#Headers],0)))="INS",'Writing Logic'!$B$7,IF(INDEX(_xlfn.VSTACK(YES_Writing_ELA[#Data],YES_Writing_FLA[#Data]),MATCH($A64,_xlfn.VSTACK(YES_Writing_ELA[Student Number],YES_Writing_FLA[Student Number]),0),MATCH(VLOOKUP(E$7,'Writing Logic'!$J$7:$K$11,2,FALSE)&amp;" - Per "&amp;VLOOKUP($C$4,'Writing Logic'!$G$8:$H$14,2,FALSE),YES_Writing_ELA[#Headers],0))=0,"",INDEX(_xlfn.VSTACK(YES_Writing_ELA[#Data],YES_Writing_FLA[#Data]),MATCH($A64,_xlfn.VSTACK(YES_Writing_ELA[Student Number],YES_Writing_FLA[Student Number]),0),MATCH(VLOOKUP(E$7,'Writing Logic'!$J$7:$K$11,2,FALSE)&amp;" - Per "&amp;VLOOKUP($C$4,'Writing Logic'!$G$8:$H$14,2,FALSE),YES_Writing_ELA[#Headers],0)))),"")</f>
        <v/>
      </c>
      <c r="F64" s="138" t="str">
        <f>IFERROR(IF(IF(INDEX(_xlfn.VSTACK(YES_Writing_ELA[#Data],YES_Writing_FLA[#Data]),MATCH($A64,_xlfn.VSTACK(YES_Writing_ELA[Student Number],YES_Writing_FLA[Student Number]),0),MATCH(VLOOKUP(F$7,'Writing Logic'!$J$7:$K$11,2,FALSE)&amp;" - Per "&amp;VLOOKUP($C$4,'Writing Logic'!$G$8:$H$14,2,FALSE),YES_Writing_ELA[#Headers],0))=0,"",INDEX(_xlfn.VSTACK(YES_Writing_ELA[#Data],YES_Writing_FLA[#Data]),MATCH($A64,_xlfn.VSTACK(YES_Writing_ELA[Student Number],YES_Writing_FLA[Student Number]),0),MATCH(VLOOKUP(F$7,'Writing Logic'!$J$7:$K$11,2,FALSE)&amp;" - Per "&amp;VLOOKUP($C$4,'Writing Logic'!$G$8:$H$14,2,FALSE),YES_Writing_ELA[#Headers],0)))="INS",'Writing Logic'!$B$7,IF(INDEX(_xlfn.VSTACK(YES_Writing_ELA[#Data],YES_Writing_FLA[#Data]),MATCH($A64,_xlfn.VSTACK(YES_Writing_ELA[Student Number],YES_Writing_FLA[Student Number]),0),MATCH(VLOOKUP(F$7,'Writing Logic'!$J$7:$K$11,2,FALSE)&amp;" - Per "&amp;VLOOKUP($C$4,'Writing Logic'!$G$8:$H$14,2,FALSE),YES_Writing_ELA[#Headers],0))=0,"",INDEX(_xlfn.VSTACK(YES_Writing_ELA[#Data],YES_Writing_FLA[#Data]),MATCH($A64,_xlfn.VSTACK(YES_Writing_ELA[Student Number],YES_Writing_FLA[Student Number]),0),MATCH(VLOOKUP(F$7,'Writing Logic'!$J$7:$K$11,2,FALSE)&amp;" - Per "&amp;VLOOKUP($C$4,'Writing Logic'!$G$8:$H$14,2,FALSE),YES_Writing_ELA[#Headers],0)))),"")</f>
        <v/>
      </c>
      <c r="G64" s="138" t="str">
        <f>IFERROR(IF(IF(INDEX(_xlfn.VSTACK(YES_Writing_ELA[#Data],YES_Writing_FLA[#Data]),MATCH($A64,_xlfn.VSTACK(YES_Writing_ELA[Student Number],YES_Writing_FLA[Student Number]),0),MATCH(VLOOKUP(G$7,'Writing Logic'!$J$7:$K$11,2,FALSE)&amp;" - Per "&amp;VLOOKUP($C$4,'Writing Logic'!$G$8:$H$14,2,FALSE),YES_Writing_ELA[#Headers],0))=0,"",INDEX(_xlfn.VSTACK(YES_Writing_ELA[#Data],YES_Writing_FLA[#Data]),MATCH($A64,_xlfn.VSTACK(YES_Writing_ELA[Student Number],YES_Writing_FLA[Student Number]),0),MATCH(VLOOKUP(G$7,'Writing Logic'!$J$7:$K$11,2,FALSE)&amp;" - Per "&amp;VLOOKUP($C$4,'Writing Logic'!$G$8:$H$14,2,FALSE),YES_Writing_ELA[#Headers],0)))="INS",'Writing Logic'!$B$7,IF(INDEX(_xlfn.VSTACK(YES_Writing_ELA[#Data],YES_Writing_FLA[#Data]),MATCH($A64,_xlfn.VSTACK(YES_Writing_ELA[Student Number],YES_Writing_FLA[Student Number]),0),MATCH(VLOOKUP(G$7,'Writing Logic'!$J$7:$K$11,2,FALSE)&amp;" - Per "&amp;VLOOKUP($C$4,'Writing Logic'!$G$8:$H$14,2,FALSE),YES_Writing_ELA[#Headers],0))=0,"",INDEX(_xlfn.VSTACK(YES_Writing_ELA[#Data],YES_Writing_FLA[#Data]),MATCH($A64,_xlfn.VSTACK(YES_Writing_ELA[Student Number],YES_Writing_FLA[Student Number]),0),MATCH(VLOOKUP(G$7,'Writing Logic'!$J$7:$K$11,2,FALSE)&amp;" - Per "&amp;VLOOKUP($C$4,'Writing Logic'!$G$8:$H$14,2,FALSE),YES_Writing_ELA[#Headers],0)))),"")</f>
        <v/>
      </c>
      <c r="H64" s="223" t="str">
        <f>IFERROR(IF(IF(INDEX(_xlfn.VSTACK(YES_Writing_ELA[#Data],YES_Writing_FLA[#Data]),MATCH($A64,_xlfn.VSTACK(YES_Writing_ELA[Student Number],YES_Writing_FLA[Student Number]),0),MATCH(VLOOKUP(H$7,'Writing Logic'!$J$7:$K$11,2,FALSE)&amp;" - Per "&amp;VLOOKUP($C$4,'Writing Logic'!$G$8:$H$14,2,FALSE),YES_Writing_ELA[#Headers],0))=0,"",INDEX(_xlfn.VSTACK(YES_Writing_ELA[#Data],YES_Writing_FLA[#Data]),MATCH($A64,_xlfn.VSTACK(YES_Writing_ELA[Student Number],YES_Writing_FLA[Student Number]),0),MATCH(VLOOKUP(H$7,'Writing Logic'!$J$7:$K$11,2,FALSE)&amp;" - Per "&amp;VLOOKUP($C$4,'Writing Logic'!$G$8:$H$14,2,FALSE),YES_Writing_ELA[#Headers],0)))="INS",'Writing Logic'!$B$7,IF(INDEX(_xlfn.VSTACK(YES_Writing_ELA[#Data],YES_Writing_FLA[#Data]),MATCH($A64,_xlfn.VSTACK(YES_Writing_ELA[Student Number],YES_Writing_FLA[Student Number]),0),MATCH(VLOOKUP(H$7,'Writing Logic'!$J$7:$K$11,2,FALSE)&amp;" - Per "&amp;VLOOKUP($C$4,'Writing Logic'!$G$8:$H$14,2,FALSE),YES_Writing_ELA[#Headers],0))=0,"",INDEX(_xlfn.VSTACK(YES_Writing_ELA[#Data],YES_Writing_FLA[#Data]),MATCH($A64,_xlfn.VSTACK(YES_Writing_ELA[Student Number],YES_Writing_FLA[Student Number]),0),MATCH(VLOOKUP(H$7,'Writing Logic'!$J$7:$K$11,2,FALSE)&amp;" - Per "&amp;VLOOKUP($C$4,'Writing Logic'!$G$8:$H$14,2,FALSE),YES_Writing_ELA[#Headers],0)))),"")</f>
        <v/>
      </c>
      <c r="I64" s="224" t="str" cm="1">
        <f t="array" aca="1" ref="I64" ca="1">IFERROR(
IF($G$3="ELA",
IF(VLOOKUP($A64, YES_Reading_ELA[], COLUMN(INDIRECT("YES_Reading_ELA[Difference - Per "&amp;VLOOKUP($G$4, 'Reading Report Logic'!$A$2:$B$8, 2, FALSE)&amp;"]")), FALSE)="", "",
VLOOKUP($A64,YES_Reading_ELA[], COLUMN(INDIRECT("YES_Reading_ELA[Difference - Per "&amp;VLOOKUP($G$4,'Reading Report Logic'!$A$2:$B$8,2,FALSE)&amp;"]")), FALSE)),
IF($G$3="FLA",
IF(VLOOKUP($A64, YES_Reading_FLA[], COLUMN(INDIRECT("YES_Reading_FLA[Difference - Per "&amp;VLOOKUP($G$4,'Reading Report Logic'!$A$2:$B$8,2,FALSE)&amp;"]")),FALSE)="","",
VLOOKUP($A64,YES_Reading_FLA[],COLUMN(INDIRECT("YES_Reading_FLA[Difference - Per "&amp;VLOOKUP($G$4,'Reading Report Logic'!$A$2:$B$8,2,FALSE)&amp;"]")),FALSE)),
IF($G$3="Combined",
IFERROR(
IF(VLOOKUP($A64, YES_Reading_ELA[], COLUMN(INDIRECT("YES_Reading_ELA[Difference - Per "&amp;VLOOKUP($G$4, 'Reading Report Logic'!$A$2:$B$8,2,FALSE)&amp;"]")), FALSE)="", "",
VLOOKUP($A64,YES_Reading_ELA[],COLUMN(INDIRECT("YES_Reading_ELA[Difference - Per "&amp;VLOOKUP($G$4,'Reading Report Logic'!$A$2:$B$8,2,FALSE)&amp;"]")),FALSE)),
IF(VLOOKUP($A64, YES_Reading_FLA[], COLUMN(INDIRECT("YES_Reading_FLA[Difference - Per "&amp;VLOOKUP($G$4, 'Reading Report Logic'!$A$2:$B$8, 2, FALSE)&amp;"]")),FALSE)="", "", VLOOKUP($A64,YES_Reading_FLA[],COLUMN(INDIRECT("YES_Reading_FLA[Difference - Per "&amp;VLOOKUP($G$4, 'Reading Report Logic'!$A$2:$B$8, 2, FALSE)&amp;"]")),FALSE))),""))),"")</f>
        <v/>
      </c>
    </row>
    <row r="65" spans="1:15" ht="14.25" customHeight="1" x14ac:dyDescent="0.25">
      <c r="A65" s="137"/>
      <c r="B65" s="137" t="str">
        <f>IFERROR(INDEX(_xlfn.VSTACK(YES_Writing_ELA[#Data], YES_Writing_FLA[#Data]),MATCH($A65,_xlfn.VSTACK(YES_Writing_ELA[Student Number], YES_Writing_FLA[Student Number]),0),MATCH(B$7,YES_Writing_ELA[#Headers],0)),IFERROR(INDEX(_xlfn.VSTACK(YES_Reading_ELA[#Data], YES_Reading_FLA[#Data]),MATCH($A65,_xlfn.VSTACK(YES_Reading_ELA[Student Number], YES_Reading_FLA[Student Number]),0),MATCH(B$7,YES_Reading_ELA[#Headers],0)),""))</f>
        <v/>
      </c>
      <c r="C65" s="137" t="str">
        <f>IFERROR(INDEX(_xlfn.VSTACK(YES_Writing_ELA[#Data], YES_Writing_FLA[#Data]),MATCH($A65,_xlfn.VSTACK(YES_Writing_ELA[Student Number], YES_Writing_FLA[Student Number]),0),MATCH(C$7,YES_Writing_ELA[#Headers],0)),IFERROR(INDEX(_xlfn.VSTACK(YES_Reading_ELA[#Data], YES_Reading_FLA[#Data]),MATCH($A65,_xlfn.VSTACK(YES_Reading_ELA[Student Number], YES_Reading_FLA[Student Number]),0),MATCH(C$7,YES_Reading_ELA[#Headers],0)),""))</f>
        <v/>
      </c>
      <c r="D65" s="138" t="str">
        <f>IFERROR(IF(IF(INDEX(_xlfn.VSTACK(YES_Writing_ELA[#Data],YES_Writing_FLA[#Data]),MATCH($A65,_xlfn.VSTACK(YES_Writing_ELA[Student Number],YES_Writing_FLA[Student Number]),0),MATCH(VLOOKUP(D$7,'Writing Logic'!$J$7:$K$11,2,FALSE)&amp;" - Per "&amp;VLOOKUP($C$4,'Writing Logic'!$G$8:$H$14,2,FALSE),YES_Writing_ELA[#Headers],0))=0,"",INDEX(_xlfn.VSTACK(YES_Writing_ELA[#Data],YES_Writing_FLA[#Data]),MATCH($A65,_xlfn.VSTACK(YES_Writing_ELA[Student Number],YES_Writing_FLA[Student Number]),0),MATCH(VLOOKUP(D$7,'Writing Logic'!$J$7:$K$11,2,FALSE)&amp;" - Per "&amp;VLOOKUP($C$4,'Writing Logic'!$G$8:$H$14,2,FALSE),YES_Writing_ELA[#Headers],0)))="INS",'Writing Logic'!$B$7,IF(INDEX(_xlfn.VSTACK(YES_Writing_ELA[#Data],YES_Writing_FLA[#Data]),MATCH($A65,_xlfn.VSTACK(YES_Writing_ELA[Student Number],YES_Writing_FLA[Student Number]),0),MATCH(VLOOKUP(D$7,'Writing Logic'!$J$7:$K$11,2,FALSE)&amp;" - Per "&amp;VLOOKUP($C$4,'Writing Logic'!$G$8:$H$14,2,FALSE),YES_Writing_ELA[#Headers],0))=0,"",INDEX(_xlfn.VSTACK(YES_Writing_ELA[#Data],YES_Writing_FLA[#Data]),MATCH($A65,_xlfn.VSTACK(YES_Writing_ELA[Student Number],YES_Writing_FLA[Student Number]),0),MATCH(VLOOKUP(D$7,'Writing Logic'!$J$7:$K$11,2,FALSE)&amp;" - Per "&amp;VLOOKUP($C$4,'Writing Logic'!$G$8:$H$14,2,FALSE),YES_Writing_ELA[#Headers],0)))),"")</f>
        <v/>
      </c>
      <c r="E65" s="138" t="str">
        <f>IFERROR(IF(IF(INDEX(_xlfn.VSTACK(YES_Writing_ELA[#Data],YES_Writing_FLA[#Data]),MATCH($A65,_xlfn.VSTACK(YES_Writing_ELA[Student Number],YES_Writing_FLA[Student Number]),0),MATCH(VLOOKUP(E$7,'Writing Logic'!$J$7:$K$11,2,FALSE)&amp;" - Per "&amp;VLOOKUP($C$4,'Writing Logic'!$G$8:$H$14,2,FALSE),YES_Writing_ELA[#Headers],0))=0,"",INDEX(_xlfn.VSTACK(YES_Writing_ELA[#Data],YES_Writing_FLA[#Data]),MATCH($A65,_xlfn.VSTACK(YES_Writing_ELA[Student Number],YES_Writing_FLA[Student Number]),0),MATCH(VLOOKUP(E$7,'Writing Logic'!$J$7:$K$11,2,FALSE)&amp;" - Per "&amp;VLOOKUP($C$4,'Writing Logic'!$G$8:$H$14,2,FALSE),YES_Writing_ELA[#Headers],0)))="INS",'Writing Logic'!$B$7,IF(INDEX(_xlfn.VSTACK(YES_Writing_ELA[#Data],YES_Writing_FLA[#Data]),MATCH($A65,_xlfn.VSTACK(YES_Writing_ELA[Student Number],YES_Writing_FLA[Student Number]),0),MATCH(VLOOKUP(E$7,'Writing Logic'!$J$7:$K$11,2,FALSE)&amp;" - Per "&amp;VLOOKUP($C$4,'Writing Logic'!$G$8:$H$14,2,FALSE),YES_Writing_ELA[#Headers],0))=0,"",INDEX(_xlfn.VSTACK(YES_Writing_ELA[#Data],YES_Writing_FLA[#Data]),MATCH($A65,_xlfn.VSTACK(YES_Writing_ELA[Student Number],YES_Writing_FLA[Student Number]),0),MATCH(VLOOKUP(E$7,'Writing Logic'!$J$7:$K$11,2,FALSE)&amp;" - Per "&amp;VLOOKUP($C$4,'Writing Logic'!$G$8:$H$14,2,FALSE),YES_Writing_ELA[#Headers],0)))),"")</f>
        <v/>
      </c>
      <c r="F65" s="138" t="str">
        <f>IFERROR(IF(IF(INDEX(_xlfn.VSTACK(YES_Writing_ELA[#Data],YES_Writing_FLA[#Data]),MATCH($A65,_xlfn.VSTACK(YES_Writing_ELA[Student Number],YES_Writing_FLA[Student Number]),0),MATCH(VLOOKUP(F$7,'Writing Logic'!$J$7:$K$11,2,FALSE)&amp;" - Per "&amp;VLOOKUP($C$4,'Writing Logic'!$G$8:$H$14,2,FALSE),YES_Writing_ELA[#Headers],0))=0,"",INDEX(_xlfn.VSTACK(YES_Writing_ELA[#Data],YES_Writing_FLA[#Data]),MATCH($A65,_xlfn.VSTACK(YES_Writing_ELA[Student Number],YES_Writing_FLA[Student Number]),0),MATCH(VLOOKUP(F$7,'Writing Logic'!$J$7:$K$11,2,FALSE)&amp;" - Per "&amp;VLOOKUP($C$4,'Writing Logic'!$G$8:$H$14,2,FALSE),YES_Writing_ELA[#Headers],0)))="INS",'Writing Logic'!$B$7,IF(INDEX(_xlfn.VSTACK(YES_Writing_ELA[#Data],YES_Writing_FLA[#Data]),MATCH($A65,_xlfn.VSTACK(YES_Writing_ELA[Student Number],YES_Writing_FLA[Student Number]),0),MATCH(VLOOKUP(F$7,'Writing Logic'!$J$7:$K$11,2,FALSE)&amp;" - Per "&amp;VLOOKUP($C$4,'Writing Logic'!$G$8:$H$14,2,FALSE),YES_Writing_ELA[#Headers],0))=0,"",INDEX(_xlfn.VSTACK(YES_Writing_ELA[#Data],YES_Writing_FLA[#Data]),MATCH($A65,_xlfn.VSTACK(YES_Writing_ELA[Student Number],YES_Writing_FLA[Student Number]),0),MATCH(VLOOKUP(F$7,'Writing Logic'!$J$7:$K$11,2,FALSE)&amp;" - Per "&amp;VLOOKUP($C$4,'Writing Logic'!$G$8:$H$14,2,FALSE),YES_Writing_ELA[#Headers],0)))),"")</f>
        <v/>
      </c>
      <c r="G65" s="138" t="str">
        <f>IFERROR(IF(IF(INDEX(_xlfn.VSTACK(YES_Writing_ELA[#Data],YES_Writing_FLA[#Data]),MATCH($A65,_xlfn.VSTACK(YES_Writing_ELA[Student Number],YES_Writing_FLA[Student Number]),0),MATCH(VLOOKUP(G$7,'Writing Logic'!$J$7:$K$11,2,FALSE)&amp;" - Per "&amp;VLOOKUP($C$4,'Writing Logic'!$G$8:$H$14,2,FALSE),YES_Writing_ELA[#Headers],0))=0,"",INDEX(_xlfn.VSTACK(YES_Writing_ELA[#Data],YES_Writing_FLA[#Data]),MATCH($A65,_xlfn.VSTACK(YES_Writing_ELA[Student Number],YES_Writing_FLA[Student Number]),0),MATCH(VLOOKUP(G$7,'Writing Logic'!$J$7:$K$11,2,FALSE)&amp;" - Per "&amp;VLOOKUP($C$4,'Writing Logic'!$G$8:$H$14,2,FALSE),YES_Writing_ELA[#Headers],0)))="INS",'Writing Logic'!$B$7,IF(INDEX(_xlfn.VSTACK(YES_Writing_ELA[#Data],YES_Writing_FLA[#Data]),MATCH($A65,_xlfn.VSTACK(YES_Writing_ELA[Student Number],YES_Writing_FLA[Student Number]),0),MATCH(VLOOKUP(G$7,'Writing Logic'!$J$7:$K$11,2,FALSE)&amp;" - Per "&amp;VLOOKUP($C$4,'Writing Logic'!$G$8:$H$14,2,FALSE),YES_Writing_ELA[#Headers],0))=0,"",INDEX(_xlfn.VSTACK(YES_Writing_ELA[#Data],YES_Writing_FLA[#Data]),MATCH($A65,_xlfn.VSTACK(YES_Writing_ELA[Student Number],YES_Writing_FLA[Student Number]),0),MATCH(VLOOKUP(G$7,'Writing Logic'!$J$7:$K$11,2,FALSE)&amp;" - Per "&amp;VLOOKUP($C$4,'Writing Logic'!$G$8:$H$14,2,FALSE),YES_Writing_ELA[#Headers],0)))),"")</f>
        <v/>
      </c>
      <c r="H65" s="223" t="str">
        <f>IFERROR(IF(IF(INDEX(_xlfn.VSTACK(YES_Writing_ELA[#Data],YES_Writing_FLA[#Data]),MATCH($A65,_xlfn.VSTACK(YES_Writing_ELA[Student Number],YES_Writing_FLA[Student Number]),0),MATCH(VLOOKUP(H$7,'Writing Logic'!$J$7:$K$11,2,FALSE)&amp;" - Per "&amp;VLOOKUP($C$4,'Writing Logic'!$G$8:$H$14,2,FALSE),YES_Writing_ELA[#Headers],0))=0,"",INDEX(_xlfn.VSTACK(YES_Writing_ELA[#Data],YES_Writing_FLA[#Data]),MATCH($A65,_xlfn.VSTACK(YES_Writing_ELA[Student Number],YES_Writing_FLA[Student Number]),0),MATCH(VLOOKUP(H$7,'Writing Logic'!$J$7:$K$11,2,FALSE)&amp;" - Per "&amp;VLOOKUP($C$4,'Writing Logic'!$G$8:$H$14,2,FALSE),YES_Writing_ELA[#Headers],0)))="INS",'Writing Logic'!$B$7,IF(INDEX(_xlfn.VSTACK(YES_Writing_ELA[#Data],YES_Writing_FLA[#Data]),MATCH($A65,_xlfn.VSTACK(YES_Writing_ELA[Student Number],YES_Writing_FLA[Student Number]),0),MATCH(VLOOKUP(H$7,'Writing Logic'!$J$7:$K$11,2,FALSE)&amp;" - Per "&amp;VLOOKUP($C$4,'Writing Logic'!$G$8:$H$14,2,FALSE),YES_Writing_ELA[#Headers],0))=0,"",INDEX(_xlfn.VSTACK(YES_Writing_ELA[#Data],YES_Writing_FLA[#Data]),MATCH($A65,_xlfn.VSTACK(YES_Writing_ELA[Student Number],YES_Writing_FLA[Student Number]),0),MATCH(VLOOKUP(H$7,'Writing Logic'!$J$7:$K$11,2,FALSE)&amp;" - Per "&amp;VLOOKUP($C$4,'Writing Logic'!$G$8:$H$14,2,FALSE),YES_Writing_ELA[#Headers],0)))),"")</f>
        <v/>
      </c>
      <c r="I65" s="224" t="str" cm="1">
        <f t="array" aca="1" ref="I65" ca="1">IFERROR(
IF($G$3="ELA",
IF(VLOOKUP($A65, YES_Reading_ELA[], COLUMN(INDIRECT("YES_Reading_ELA[Difference - Per "&amp;VLOOKUP($G$4, 'Reading Report Logic'!$A$2:$B$8, 2, FALSE)&amp;"]")), FALSE)="", "",
VLOOKUP($A65,YES_Reading_ELA[], COLUMN(INDIRECT("YES_Reading_ELA[Difference - Per "&amp;VLOOKUP($G$4,'Reading Report Logic'!$A$2:$B$8,2,FALSE)&amp;"]")), FALSE)),
IF($G$3="FLA",
IF(VLOOKUP($A65, YES_Reading_FLA[], COLUMN(INDIRECT("YES_Reading_FLA[Difference - Per "&amp;VLOOKUP($G$4,'Reading Report Logic'!$A$2:$B$8,2,FALSE)&amp;"]")),FALSE)="","",
VLOOKUP($A65,YES_Reading_FLA[],COLUMN(INDIRECT("YES_Reading_FLA[Difference - Per "&amp;VLOOKUP($G$4,'Reading Report Logic'!$A$2:$B$8,2,FALSE)&amp;"]")),FALSE)),
IF($G$3="Combined",
IFERROR(
IF(VLOOKUP($A65, YES_Reading_ELA[], COLUMN(INDIRECT("YES_Reading_ELA[Difference - Per "&amp;VLOOKUP($G$4, 'Reading Report Logic'!$A$2:$B$8,2,FALSE)&amp;"]")), FALSE)="", "",
VLOOKUP($A65,YES_Reading_ELA[],COLUMN(INDIRECT("YES_Reading_ELA[Difference - Per "&amp;VLOOKUP($G$4,'Reading Report Logic'!$A$2:$B$8,2,FALSE)&amp;"]")),FALSE)),
IF(VLOOKUP($A65, YES_Reading_FLA[], COLUMN(INDIRECT("YES_Reading_FLA[Difference - Per "&amp;VLOOKUP($G$4, 'Reading Report Logic'!$A$2:$B$8, 2, FALSE)&amp;"]")),FALSE)="", "", VLOOKUP($A65,YES_Reading_FLA[],COLUMN(INDIRECT("YES_Reading_FLA[Difference - Per "&amp;VLOOKUP($G$4, 'Reading Report Logic'!$A$2:$B$8, 2, FALSE)&amp;"]")),FALSE))),""))),"")</f>
        <v/>
      </c>
    </row>
    <row r="66" spans="1:15" ht="14.25" customHeight="1" x14ac:dyDescent="0.25">
      <c r="A66" s="137"/>
      <c r="B66" s="137" t="str">
        <f>IFERROR(INDEX(_xlfn.VSTACK(YES_Writing_ELA[#Data], YES_Writing_FLA[#Data]),MATCH($A66,_xlfn.VSTACK(YES_Writing_ELA[Student Number], YES_Writing_FLA[Student Number]),0),MATCH(B$7,YES_Writing_ELA[#Headers],0)),IFERROR(INDEX(_xlfn.VSTACK(YES_Reading_ELA[#Data], YES_Reading_FLA[#Data]),MATCH($A66,_xlfn.VSTACK(YES_Reading_ELA[Student Number], YES_Reading_FLA[Student Number]),0),MATCH(B$7,YES_Reading_ELA[#Headers],0)),""))</f>
        <v/>
      </c>
      <c r="C66" s="137" t="str">
        <f>IFERROR(INDEX(_xlfn.VSTACK(YES_Writing_ELA[#Data], YES_Writing_FLA[#Data]),MATCH($A66,_xlfn.VSTACK(YES_Writing_ELA[Student Number], YES_Writing_FLA[Student Number]),0),MATCH(C$7,YES_Writing_ELA[#Headers],0)),IFERROR(INDEX(_xlfn.VSTACK(YES_Reading_ELA[#Data], YES_Reading_FLA[#Data]),MATCH($A66,_xlfn.VSTACK(YES_Reading_ELA[Student Number], YES_Reading_FLA[Student Number]),0),MATCH(C$7,YES_Reading_ELA[#Headers],0)),""))</f>
        <v/>
      </c>
      <c r="D66" s="138" t="str">
        <f>IFERROR(IF(IF(INDEX(_xlfn.VSTACK(YES_Writing_ELA[#Data],YES_Writing_FLA[#Data]),MATCH($A66,_xlfn.VSTACK(YES_Writing_ELA[Student Number],YES_Writing_FLA[Student Number]),0),MATCH(VLOOKUP(D$7,'Writing Logic'!$J$7:$K$11,2,FALSE)&amp;" - Per "&amp;VLOOKUP($C$4,'Writing Logic'!$G$8:$H$14,2,FALSE),YES_Writing_ELA[#Headers],0))=0,"",INDEX(_xlfn.VSTACK(YES_Writing_ELA[#Data],YES_Writing_FLA[#Data]),MATCH($A66,_xlfn.VSTACK(YES_Writing_ELA[Student Number],YES_Writing_FLA[Student Number]),0),MATCH(VLOOKUP(D$7,'Writing Logic'!$J$7:$K$11,2,FALSE)&amp;" - Per "&amp;VLOOKUP($C$4,'Writing Logic'!$G$8:$H$14,2,FALSE),YES_Writing_ELA[#Headers],0)))="INS",'Writing Logic'!$B$7,IF(INDEX(_xlfn.VSTACK(YES_Writing_ELA[#Data],YES_Writing_FLA[#Data]),MATCH($A66,_xlfn.VSTACK(YES_Writing_ELA[Student Number],YES_Writing_FLA[Student Number]),0),MATCH(VLOOKUP(D$7,'Writing Logic'!$J$7:$K$11,2,FALSE)&amp;" - Per "&amp;VLOOKUP($C$4,'Writing Logic'!$G$8:$H$14,2,FALSE),YES_Writing_ELA[#Headers],0))=0,"",INDEX(_xlfn.VSTACK(YES_Writing_ELA[#Data],YES_Writing_FLA[#Data]),MATCH($A66,_xlfn.VSTACK(YES_Writing_ELA[Student Number],YES_Writing_FLA[Student Number]),0),MATCH(VLOOKUP(D$7,'Writing Logic'!$J$7:$K$11,2,FALSE)&amp;" - Per "&amp;VLOOKUP($C$4,'Writing Logic'!$G$8:$H$14,2,FALSE),YES_Writing_ELA[#Headers],0)))),"")</f>
        <v/>
      </c>
      <c r="E66" s="138" t="str">
        <f>IFERROR(IF(IF(INDEX(_xlfn.VSTACK(YES_Writing_ELA[#Data],YES_Writing_FLA[#Data]),MATCH($A66,_xlfn.VSTACK(YES_Writing_ELA[Student Number],YES_Writing_FLA[Student Number]),0),MATCH(VLOOKUP(E$7,'Writing Logic'!$J$7:$K$11,2,FALSE)&amp;" - Per "&amp;VLOOKUP($C$4,'Writing Logic'!$G$8:$H$14,2,FALSE),YES_Writing_ELA[#Headers],0))=0,"",INDEX(_xlfn.VSTACK(YES_Writing_ELA[#Data],YES_Writing_FLA[#Data]),MATCH($A66,_xlfn.VSTACK(YES_Writing_ELA[Student Number],YES_Writing_FLA[Student Number]),0),MATCH(VLOOKUP(E$7,'Writing Logic'!$J$7:$K$11,2,FALSE)&amp;" - Per "&amp;VLOOKUP($C$4,'Writing Logic'!$G$8:$H$14,2,FALSE),YES_Writing_ELA[#Headers],0)))="INS",'Writing Logic'!$B$7,IF(INDEX(_xlfn.VSTACK(YES_Writing_ELA[#Data],YES_Writing_FLA[#Data]),MATCH($A66,_xlfn.VSTACK(YES_Writing_ELA[Student Number],YES_Writing_FLA[Student Number]),0),MATCH(VLOOKUP(E$7,'Writing Logic'!$J$7:$K$11,2,FALSE)&amp;" - Per "&amp;VLOOKUP($C$4,'Writing Logic'!$G$8:$H$14,2,FALSE),YES_Writing_ELA[#Headers],0))=0,"",INDEX(_xlfn.VSTACK(YES_Writing_ELA[#Data],YES_Writing_FLA[#Data]),MATCH($A66,_xlfn.VSTACK(YES_Writing_ELA[Student Number],YES_Writing_FLA[Student Number]),0),MATCH(VLOOKUP(E$7,'Writing Logic'!$J$7:$K$11,2,FALSE)&amp;" - Per "&amp;VLOOKUP($C$4,'Writing Logic'!$G$8:$H$14,2,FALSE),YES_Writing_ELA[#Headers],0)))),"")</f>
        <v/>
      </c>
      <c r="F66" s="138" t="str">
        <f>IFERROR(IF(IF(INDEX(_xlfn.VSTACK(YES_Writing_ELA[#Data],YES_Writing_FLA[#Data]),MATCH($A66,_xlfn.VSTACK(YES_Writing_ELA[Student Number],YES_Writing_FLA[Student Number]),0),MATCH(VLOOKUP(F$7,'Writing Logic'!$J$7:$K$11,2,FALSE)&amp;" - Per "&amp;VLOOKUP($C$4,'Writing Logic'!$G$8:$H$14,2,FALSE),YES_Writing_ELA[#Headers],0))=0,"",INDEX(_xlfn.VSTACK(YES_Writing_ELA[#Data],YES_Writing_FLA[#Data]),MATCH($A66,_xlfn.VSTACK(YES_Writing_ELA[Student Number],YES_Writing_FLA[Student Number]),0),MATCH(VLOOKUP(F$7,'Writing Logic'!$J$7:$K$11,2,FALSE)&amp;" - Per "&amp;VLOOKUP($C$4,'Writing Logic'!$G$8:$H$14,2,FALSE),YES_Writing_ELA[#Headers],0)))="INS",'Writing Logic'!$B$7,IF(INDEX(_xlfn.VSTACK(YES_Writing_ELA[#Data],YES_Writing_FLA[#Data]),MATCH($A66,_xlfn.VSTACK(YES_Writing_ELA[Student Number],YES_Writing_FLA[Student Number]),0),MATCH(VLOOKUP(F$7,'Writing Logic'!$J$7:$K$11,2,FALSE)&amp;" - Per "&amp;VLOOKUP($C$4,'Writing Logic'!$G$8:$H$14,2,FALSE),YES_Writing_ELA[#Headers],0))=0,"",INDEX(_xlfn.VSTACK(YES_Writing_ELA[#Data],YES_Writing_FLA[#Data]),MATCH($A66,_xlfn.VSTACK(YES_Writing_ELA[Student Number],YES_Writing_FLA[Student Number]),0),MATCH(VLOOKUP(F$7,'Writing Logic'!$J$7:$K$11,2,FALSE)&amp;" - Per "&amp;VLOOKUP($C$4,'Writing Logic'!$G$8:$H$14,2,FALSE),YES_Writing_ELA[#Headers],0)))),"")</f>
        <v/>
      </c>
      <c r="G66" s="138" t="str">
        <f>IFERROR(IF(IF(INDEX(_xlfn.VSTACK(YES_Writing_ELA[#Data],YES_Writing_FLA[#Data]),MATCH($A66,_xlfn.VSTACK(YES_Writing_ELA[Student Number],YES_Writing_FLA[Student Number]),0),MATCH(VLOOKUP(G$7,'Writing Logic'!$J$7:$K$11,2,FALSE)&amp;" - Per "&amp;VLOOKUP($C$4,'Writing Logic'!$G$8:$H$14,2,FALSE),YES_Writing_ELA[#Headers],0))=0,"",INDEX(_xlfn.VSTACK(YES_Writing_ELA[#Data],YES_Writing_FLA[#Data]),MATCH($A66,_xlfn.VSTACK(YES_Writing_ELA[Student Number],YES_Writing_FLA[Student Number]),0),MATCH(VLOOKUP(G$7,'Writing Logic'!$J$7:$K$11,2,FALSE)&amp;" - Per "&amp;VLOOKUP($C$4,'Writing Logic'!$G$8:$H$14,2,FALSE),YES_Writing_ELA[#Headers],0)))="INS",'Writing Logic'!$B$7,IF(INDEX(_xlfn.VSTACK(YES_Writing_ELA[#Data],YES_Writing_FLA[#Data]),MATCH($A66,_xlfn.VSTACK(YES_Writing_ELA[Student Number],YES_Writing_FLA[Student Number]),0),MATCH(VLOOKUP(G$7,'Writing Logic'!$J$7:$K$11,2,FALSE)&amp;" - Per "&amp;VLOOKUP($C$4,'Writing Logic'!$G$8:$H$14,2,FALSE),YES_Writing_ELA[#Headers],0))=0,"",INDEX(_xlfn.VSTACK(YES_Writing_ELA[#Data],YES_Writing_FLA[#Data]),MATCH($A66,_xlfn.VSTACK(YES_Writing_ELA[Student Number],YES_Writing_FLA[Student Number]),0),MATCH(VLOOKUP(G$7,'Writing Logic'!$J$7:$K$11,2,FALSE)&amp;" - Per "&amp;VLOOKUP($C$4,'Writing Logic'!$G$8:$H$14,2,FALSE),YES_Writing_ELA[#Headers],0)))),"")</f>
        <v/>
      </c>
      <c r="H66" s="223" t="str">
        <f>IFERROR(IF(IF(INDEX(_xlfn.VSTACK(YES_Writing_ELA[#Data],YES_Writing_FLA[#Data]),MATCH($A66,_xlfn.VSTACK(YES_Writing_ELA[Student Number],YES_Writing_FLA[Student Number]),0),MATCH(VLOOKUP(H$7,'Writing Logic'!$J$7:$K$11,2,FALSE)&amp;" - Per "&amp;VLOOKUP($C$4,'Writing Logic'!$G$8:$H$14,2,FALSE),YES_Writing_ELA[#Headers],0))=0,"",INDEX(_xlfn.VSTACK(YES_Writing_ELA[#Data],YES_Writing_FLA[#Data]),MATCH($A66,_xlfn.VSTACK(YES_Writing_ELA[Student Number],YES_Writing_FLA[Student Number]),0),MATCH(VLOOKUP(H$7,'Writing Logic'!$J$7:$K$11,2,FALSE)&amp;" - Per "&amp;VLOOKUP($C$4,'Writing Logic'!$G$8:$H$14,2,FALSE),YES_Writing_ELA[#Headers],0)))="INS",'Writing Logic'!$B$7,IF(INDEX(_xlfn.VSTACK(YES_Writing_ELA[#Data],YES_Writing_FLA[#Data]),MATCH($A66,_xlfn.VSTACK(YES_Writing_ELA[Student Number],YES_Writing_FLA[Student Number]),0),MATCH(VLOOKUP(H$7,'Writing Logic'!$J$7:$K$11,2,FALSE)&amp;" - Per "&amp;VLOOKUP($C$4,'Writing Logic'!$G$8:$H$14,2,FALSE),YES_Writing_ELA[#Headers],0))=0,"",INDEX(_xlfn.VSTACK(YES_Writing_ELA[#Data],YES_Writing_FLA[#Data]),MATCH($A66,_xlfn.VSTACK(YES_Writing_ELA[Student Number],YES_Writing_FLA[Student Number]),0),MATCH(VLOOKUP(H$7,'Writing Logic'!$J$7:$K$11,2,FALSE)&amp;" - Per "&amp;VLOOKUP($C$4,'Writing Logic'!$G$8:$H$14,2,FALSE),YES_Writing_ELA[#Headers],0)))),"")</f>
        <v/>
      </c>
      <c r="I66" s="224" t="str" cm="1">
        <f t="array" aca="1" ref="I66" ca="1">IFERROR(
IF($G$3="ELA",
IF(VLOOKUP($A66, YES_Reading_ELA[], COLUMN(INDIRECT("YES_Reading_ELA[Difference - Per "&amp;VLOOKUP($G$4, 'Reading Report Logic'!$A$2:$B$8, 2, FALSE)&amp;"]")), FALSE)="", "",
VLOOKUP($A66,YES_Reading_ELA[], COLUMN(INDIRECT("YES_Reading_ELA[Difference - Per "&amp;VLOOKUP($G$4,'Reading Report Logic'!$A$2:$B$8,2,FALSE)&amp;"]")), FALSE)),
IF($G$3="FLA",
IF(VLOOKUP($A66, YES_Reading_FLA[], COLUMN(INDIRECT("YES_Reading_FLA[Difference - Per "&amp;VLOOKUP($G$4,'Reading Report Logic'!$A$2:$B$8,2,FALSE)&amp;"]")),FALSE)="","",
VLOOKUP($A66,YES_Reading_FLA[],COLUMN(INDIRECT("YES_Reading_FLA[Difference - Per "&amp;VLOOKUP($G$4,'Reading Report Logic'!$A$2:$B$8,2,FALSE)&amp;"]")),FALSE)),
IF($G$3="Combined",
IFERROR(
IF(VLOOKUP($A66, YES_Reading_ELA[], COLUMN(INDIRECT("YES_Reading_ELA[Difference - Per "&amp;VLOOKUP($G$4, 'Reading Report Logic'!$A$2:$B$8,2,FALSE)&amp;"]")), FALSE)="", "",
VLOOKUP($A66,YES_Reading_ELA[],COLUMN(INDIRECT("YES_Reading_ELA[Difference - Per "&amp;VLOOKUP($G$4,'Reading Report Logic'!$A$2:$B$8,2,FALSE)&amp;"]")),FALSE)),
IF(VLOOKUP($A66, YES_Reading_FLA[], COLUMN(INDIRECT("YES_Reading_FLA[Difference - Per "&amp;VLOOKUP($G$4, 'Reading Report Logic'!$A$2:$B$8, 2, FALSE)&amp;"]")),FALSE)="", "", VLOOKUP($A66,YES_Reading_FLA[],COLUMN(INDIRECT("YES_Reading_FLA[Difference - Per "&amp;VLOOKUP($G$4, 'Reading Report Logic'!$A$2:$B$8, 2, FALSE)&amp;"]")),FALSE))),""))),"")</f>
        <v/>
      </c>
    </row>
    <row r="67" spans="1:15" ht="14.25" customHeight="1" x14ac:dyDescent="0.25">
      <c r="A67" s="137"/>
      <c r="B67" s="137" t="str">
        <f>IFERROR(INDEX(_xlfn.VSTACK(YES_Writing_ELA[#Data], YES_Writing_FLA[#Data]),MATCH($A67,_xlfn.VSTACK(YES_Writing_ELA[Student Number], YES_Writing_FLA[Student Number]),0),MATCH(B$7,YES_Writing_ELA[#Headers],0)),IFERROR(INDEX(_xlfn.VSTACK(YES_Reading_ELA[#Data], YES_Reading_FLA[#Data]),MATCH($A67,_xlfn.VSTACK(YES_Reading_ELA[Student Number], YES_Reading_FLA[Student Number]),0),MATCH(B$7,YES_Reading_ELA[#Headers],0)),""))</f>
        <v/>
      </c>
      <c r="C67" s="137" t="str">
        <f>IFERROR(INDEX(_xlfn.VSTACK(YES_Writing_ELA[#Data], YES_Writing_FLA[#Data]),MATCH($A67,_xlfn.VSTACK(YES_Writing_ELA[Student Number], YES_Writing_FLA[Student Number]),0),MATCH(C$7,YES_Writing_ELA[#Headers],0)),IFERROR(INDEX(_xlfn.VSTACK(YES_Reading_ELA[#Data], YES_Reading_FLA[#Data]),MATCH($A67,_xlfn.VSTACK(YES_Reading_ELA[Student Number], YES_Reading_FLA[Student Number]),0),MATCH(C$7,YES_Reading_ELA[#Headers],0)),""))</f>
        <v/>
      </c>
      <c r="D67" s="138" t="str">
        <f>IFERROR(IF(IF(INDEX(_xlfn.VSTACK(YES_Writing_ELA[#Data],YES_Writing_FLA[#Data]),MATCH($A67,_xlfn.VSTACK(YES_Writing_ELA[Student Number],YES_Writing_FLA[Student Number]),0),MATCH(VLOOKUP(D$7,'Writing Logic'!$J$7:$K$11,2,FALSE)&amp;" - Per "&amp;VLOOKUP($C$4,'Writing Logic'!$G$8:$H$14,2,FALSE),YES_Writing_ELA[#Headers],0))=0,"",INDEX(_xlfn.VSTACK(YES_Writing_ELA[#Data],YES_Writing_FLA[#Data]),MATCH($A67,_xlfn.VSTACK(YES_Writing_ELA[Student Number],YES_Writing_FLA[Student Number]),0),MATCH(VLOOKUP(D$7,'Writing Logic'!$J$7:$K$11,2,FALSE)&amp;" - Per "&amp;VLOOKUP($C$4,'Writing Logic'!$G$8:$H$14,2,FALSE),YES_Writing_ELA[#Headers],0)))="INS",'Writing Logic'!$B$7,IF(INDEX(_xlfn.VSTACK(YES_Writing_ELA[#Data],YES_Writing_FLA[#Data]),MATCH($A67,_xlfn.VSTACK(YES_Writing_ELA[Student Number],YES_Writing_FLA[Student Number]),0),MATCH(VLOOKUP(D$7,'Writing Logic'!$J$7:$K$11,2,FALSE)&amp;" - Per "&amp;VLOOKUP($C$4,'Writing Logic'!$G$8:$H$14,2,FALSE),YES_Writing_ELA[#Headers],0))=0,"",INDEX(_xlfn.VSTACK(YES_Writing_ELA[#Data],YES_Writing_FLA[#Data]),MATCH($A67,_xlfn.VSTACK(YES_Writing_ELA[Student Number],YES_Writing_FLA[Student Number]),0),MATCH(VLOOKUP(D$7,'Writing Logic'!$J$7:$K$11,2,FALSE)&amp;" - Per "&amp;VLOOKUP($C$4,'Writing Logic'!$G$8:$H$14,2,FALSE),YES_Writing_ELA[#Headers],0)))),"")</f>
        <v/>
      </c>
      <c r="E67" s="138" t="str">
        <f>IFERROR(IF(IF(INDEX(_xlfn.VSTACK(YES_Writing_ELA[#Data],YES_Writing_FLA[#Data]),MATCH($A67,_xlfn.VSTACK(YES_Writing_ELA[Student Number],YES_Writing_FLA[Student Number]),0),MATCH(VLOOKUP(E$7,'Writing Logic'!$J$7:$K$11,2,FALSE)&amp;" - Per "&amp;VLOOKUP($C$4,'Writing Logic'!$G$8:$H$14,2,FALSE),YES_Writing_ELA[#Headers],0))=0,"",INDEX(_xlfn.VSTACK(YES_Writing_ELA[#Data],YES_Writing_FLA[#Data]),MATCH($A67,_xlfn.VSTACK(YES_Writing_ELA[Student Number],YES_Writing_FLA[Student Number]),0),MATCH(VLOOKUP(E$7,'Writing Logic'!$J$7:$K$11,2,FALSE)&amp;" - Per "&amp;VLOOKUP($C$4,'Writing Logic'!$G$8:$H$14,2,FALSE),YES_Writing_ELA[#Headers],0)))="INS",'Writing Logic'!$B$7,IF(INDEX(_xlfn.VSTACK(YES_Writing_ELA[#Data],YES_Writing_FLA[#Data]),MATCH($A67,_xlfn.VSTACK(YES_Writing_ELA[Student Number],YES_Writing_FLA[Student Number]),0),MATCH(VLOOKUP(E$7,'Writing Logic'!$J$7:$K$11,2,FALSE)&amp;" - Per "&amp;VLOOKUP($C$4,'Writing Logic'!$G$8:$H$14,2,FALSE),YES_Writing_ELA[#Headers],0))=0,"",INDEX(_xlfn.VSTACK(YES_Writing_ELA[#Data],YES_Writing_FLA[#Data]),MATCH($A67,_xlfn.VSTACK(YES_Writing_ELA[Student Number],YES_Writing_FLA[Student Number]),0),MATCH(VLOOKUP(E$7,'Writing Logic'!$J$7:$K$11,2,FALSE)&amp;" - Per "&amp;VLOOKUP($C$4,'Writing Logic'!$G$8:$H$14,2,FALSE),YES_Writing_ELA[#Headers],0)))),"")</f>
        <v/>
      </c>
      <c r="F67" s="138" t="str">
        <f>IFERROR(IF(IF(INDEX(_xlfn.VSTACK(YES_Writing_ELA[#Data],YES_Writing_FLA[#Data]),MATCH($A67,_xlfn.VSTACK(YES_Writing_ELA[Student Number],YES_Writing_FLA[Student Number]),0),MATCH(VLOOKUP(F$7,'Writing Logic'!$J$7:$K$11,2,FALSE)&amp;" - Per "&amp;VLOOKUP($C$4,'Writing Logic'!$G$8:$H$14,2,FALSE),YES_Writing_ELA[#Headers],0))=0,"",INDEX(_xlfn.VSTACK(YES_Writing_ELA[#Data],YES_Writing_FLA[#Data]),MATCH($A67,_xlfn.VSTACK(YES_Writing_ELA[Student Number],YES_Writing_FLA[Student Number]),0),MATCH(VLOOKUP(F$7,'Writing Logic'!$J$7:$K$11,2,FALSE)&amp;" - Per "&amp;VLOOKUP($C$4,'Writing Logic'!$G$8:$H$14,2,FALSE),YES_Writing_ELA[#Headers],0)))="INS",'Writing Logic'!$B$7,IF(INDEX(_xlfn.VSTACK(YES_Writing_ELA[#Data],YES_Writing_FLA[#Data]),MATCH($A67,_xlfn.VSTACK(YES_Writing_ELA[Student Number],YES_Writing_FLA[Student Number]),0),MATCH(VLOOKUP(F$7,'Writing Logic'!$J$7:$K$11,2,FALSE)&amp;" - Per "&amp;VLOOKUP($C$4,'Writing Logic'!$G$8:$H$14,2,FALSE),YES_Writing_ELA[#Headers],0))=0,"",INDEX(_xlfn.VSTACK(YES_Writing_ELA[#Data],YES_Writing_FLA[#Data]),MATCH($A67,_xlfn.VSTACK(YES_Writing_ELA[Student Number],YES_Writing_FLA[Student Number]),0),MATCH(VLOOKUP(F$7,'Writing Logic'!$J$7:$K$11,2,FALSE)&amp;" - Per "&amp;VLOOKUP($C$4,'Writing Logic'!$G$8:$H$14,2,FALSE),YES_Writing_ELA[#Headers],0)))),"")</f>
        <v/>
      </c>
      <c r="G67" s="138" t="str">
        <f>IFERROR(IF(IF(INDEX(_xlfn.VSTACK(YES_Writing_ELA[#Data],YES_Writing_FLA[#Data]),MATCH($A67,_xlfn.VSTACK(YES_Writing_ELA[Student Number],YES_Writing_FLA[Student Number]),0),MATCH(VLOOKUP(G$7,'Writing Logic'!$J$7:$K$11,2,FALSE)&amp;" - Per "&amp;VLOOKUP($C$4,'Writing Logic'!$G$8:$H$14,2,FALSE),YES_Writing_ELA[#Headers],0))=0,"",INDEX(_xlfn.VSTACK(YES_Writing_ELA[#Data],YES_Writing_FLA[#Data]),MATCH($A67,_xlfn.VSTACK(YES_Writing_ELA[Student Number],YES_Writing_FLA[Student Number]),0),MATCH(VLOOKUP(G$7,'Writing Logic'!$J$7:$K$11,2,FALSE)&amp;" - Per "&amp;VLOOKUP($C$4,'Writing Logic'!$G$8:$H$14,2,FALSE),YES_Writing_ELA[#Headers],0)))="INS",'Writing Logic'!$B$7,IF(INDEX(_xlfn.VSTACK(YES_Writing_ELA[#Data],YES_Writing_FLA[#Data]),MATCH($A67,_xlfn.VSTACK(YES_Writing_ELA[Student Number],YES_Writing_FLA[Student Number]),0),MATCH(VLOOKUP(G$7,'Writing Logic'!$J$7:$K$11,2,FALSE)&amp;" - Per "&amp;VLOOKUP($C$4,'Writing Logic'!$G$8:$H$14,2,FALSE),YES_Writing_ELA[#Headers],0))=0,"",INDEX(_xlfn.VSTACK(YES_Writing_ELA[#Data],YES_Writing_FLA[#Data]),MATCH($A67,_xlfn.VSTACK(YES_Writing_ELA[Student Number],YES_Writing_FLA[Student Number]),0),MATCH(VLOOKUP(G$7,'Writing Logic'!$J$7:$K$11,2,FALSE)&amp;" - Per "&amp;VLOOKUP($C$4,'Writing Logic'!$G$8:$H$14,2,FALSE),YES_Writing_ELA[#Headers],0)))),"")</f>
        <v/>
      </c>
      <c r="H67" s="223" t="str">
        <f>IFERROR(IF(IF(INDEX(_xlfn.VSTACK(YES_Writing_ELA[#Data],YES_Writing_FLA[#Data]),MATCH($A67,_xlfn.VSTACK(YES_Writing_ELA[Student Number],YES_Writing_FLA[Student Number]),0),MATCH(VLOOKUP(H$7,'Writing Logic'!$J$7:$K$11,2,FALSE)&amp;" - Per "&amp;VLOOKUP($C$4,'Writing Logic'!$G$8:$H$14,2,FALSE),YES_Writing_ELA[#Headers],0))=0,"",INDEX(_xlfn.VSTACK(YES_Writing_ELA[#Data],YES_Writing_FLA[#Data]),MATCH($A67,_xlfn.VSTACK(YES_Writing_ELA[Student Number],YES_Writing_FLA[Student Number]),0),MATCH(VLOOKUP(H$7,'Writing Logic'!$J$7:$K$11,2,FALSE)&amp;" - Per "&amp;VLOOKUP($C$4,'Writing Logic'!$G$8:$H$14,2,FALSE),YES_Writing_ELA[#Headers],0)))="INS",'Writing Logic'!$B$7,IF(INDEX(_xlfn.VSTACK(YES_Writing_ELA[#Data],YES_Writing_FLA[#Data]),MATCH($A67,_xlfn.VSTACK(YES_Writing_ELA[Student Number],YES_Writing_FLA[Student Number]),0),MATCH(VLOOKUP(H$7,'Writing Logic'!$J$7:$K$11,2,FALSE)&amp;" - Per "&amp;VLOOKUP($C$4,'Writing Logic'!$G$8:$H$14,2,FALSE),YES_Writing_ELA[#Headers],0))=0,"",INDEX(_xlfn.VSTACK(YES_Writing_ELA[#Data],YES_Writing_FLA[#Data]),MATCH($A67,_xlfn.VSTACK(YES_Writing_ELA[Student Number],YES_Writing_FLA[Student Number]),0),MATCH(VLOOKUP(H$7,'Writing Logic'!$J$7:$K$11,2,FALSE)&amp;" - Per "&amp;VLOOKUP($C$4,'Writing Logic'!$G$8:$H$14,2,FALSE),YES_Writing_ELA[#Headers],0)))),"")</f>
        <v/>
      </c>
      <c r="I67" s="224" t="str" cm="1">
        <f t="array" aca="1" ref="I67" ca="1">IFERROR(
IF($G$3="ELA",
IF(VLOOKUP($A67, YES_Reading_ELA[], COLUMN(INDIRECT("YES_Reading_ELA[Difference - Per "&amp;VLOOKUP($G$4, 'Reading Report Logic'!$A$2:$B$8, 2, FALSE)&amp;"]")), FALSE)="", "",
VLOOKUP($A67,YES_Reading_ELA[], COLUMN(INDIRECT("YES_Reading_ELA[Difference - Per "&amp;VLOOKUP($G$4,'Reading Report Logic'!$A$2:$B$8,2,FALSE)&amp;"]")), FALSE)),
IF($G$3="FLA",
IF(VLOOKUP($A67, YES_Reading_FLA[], COLUMN(INDIRECT("YES_Reading_FLA[Difference - Per "&amp;VLOOKUP($G$4,'Reading Report Logic'!$A$2:$B$8,2,FALSE)&amp;"]")),FALSE)="","",
VLOOKUP($A67,YES_Reading_FLA[],COLUMN(INDIRECT("YES_Reading_FLA[Difference - Per "&amp;VLOOKUP($G$4,'Reading Report Logic'!$A$2:$B$8,2,FALSE)&amp;"]")),FALSE)),
IF($G$3="Combined",
IFERROR(
IF(VLOOKUP($A67, YES_Reading_ELA[], COLUMN(INDIRECT("YES_Reading_ELA[Difference - Per "&amp;VLOOKUP($G$4, 'Reading Report Logic'!$A$2:$B$8,2,FALSE)&amp;"]")), FALSE)="", "",
VLOOKUP($A67,YES_Reading_ELA[],COLUMN(INDIRECT("YES_Reading_ELA[Difference - Per "&amp;VLOOKUP($G$4,'Reading Report Logic'!$A$2:$B$8,2,FALSE)&amp;"]")),FALSE)),
IF(VLOOKUP($A67, YES_Reading_FLA[], COLUMN(INDIRECT("YES_Reading_FLA[Difference - Per "&amp;VLOOKUP($G$4, 'Reading Report Logic'!$A$2:$B$8, 2, FALSE)&amp;"]")),FALSE)="", "", VLOOKUP($A67,YES_Reading_FLA[],COLUMN(INDIRECT("YES_Reading_FLA[Difference - Per "&amp;VLOOKUP($G$4, 'Reading Report Logic'!$A$2:$B$8, 2, FALSE)&amp;"]")),FALSE))),""))),"")</f>
        <v/>
      </c>
    </row>
    <row r="68" spans="1:15" ht="14.25" customHeight="1" x14ac:dyDescent="0.25">
      <c r="A68" s="137"/>
      <c r="B68" s="137" t="str">
        <f>IFERROR(INDEX(_xlfn.VSTACK(YES_Writing_ELA[#Data], YES_Writing_FLA[#Data]),MATCH($A68,_xlfn.VSTACK(YES_Writing_ELA[Student Number], YES_Writing_FLA[Student Number]),0),MATCH(B$7,YES_Writing_ELA[#Headers],0)),IFERROR(INDEX(_xlfn.VSTACK(YES_Reading_ELA[#Data], YES_Reading_FLA[#Data]),MATCH($A68,_xlfn.VSTACK(YES_Reading_ELA[Student Number], YES_Reading_FLA[Student Number]),0),MATCH(B$7,YES_Reading_ELA[#Headers],0)),""))</f>
        <v/>
      </c>
      <c r="C68" s="137" t="str">
        <f>IFERROR(INDEX(_xlfn.VSTACK(YES_Writing_ELA[#Data], YES_Writing_FLA[#Data]),MATCH($A68,_xlfn.VSTACK(YES_Writing_ELA[Student Number], YES_Writing_FLA[Student Number]),0),MATCH(C$7,YES_Writing_ELA[#Headers],0)),IFERROR(INDEX(_xlfn.VSTACK(YES_Reading_ELA[#Data], YES_Reading_FLA[#Data]),MATCH($A68,_xlfn.VSTACK(YES_Reading_ELA[Student Number], YES_Reading_FLA[Student Number]),0),MATCH(C$7,YES_Reading_ELA[#Headers],0)),""))</f>
        <v/>
      </c>
      <c r="D68" s="138" t="str">
        <f>IFERROR(IF(IF(INDEX(_xlfn.VSTACK(YES_Writing_ELA[#Data],YES_Writing_FLA[#Data]),MATCH($A68,_xlfn.VSTACK(YES_Writing_ELA[Student Number],YES_Writing_FLA[Student Number]),0),MATCH(VLOOKUP(D$7,'Writing Logic'!$J$7:$K$11,2,FALSE)&amp;" - Per "&amp;VLOOKUP($C$4,'Writing Logic'!$G$8:$H$14,2,FALSE),YES_Writing_ELA[#Headers],0))=0,"",INDEX(_xlfn.VSTACK(YES_Writing_ELA[#Data],YES_Writing_FLA[#Data]),MATCH($A68,_xlfn.VSTACK(YES_Writing_ELA[Student Number],YES_Writing_FLA[Student Number]),0),MATCH(VLOOKUP(D$7,'Writing Logic'!$J$7:$K$11,2,FALSE)&amp;" - Per "&amp;VLOOKUP($C$4,'Writing Logic'!$G$8:$H$14,2,FALSE),YES_Writing_ELA[#Headers],0)))="INS",'Writing Logic'!$B$7,IF(INDEX(_xlfn.VSTACK(YES_Writing_ELA[#Data],YES_Writing_FLA[#Data]),MATCH($A68,_xlfn.VSTACK(YES_Writing_ELA[Student Number],YES_Writing_FLA[Student Number]),0),MATCH(VLOOKUP(D$7,'Writing Logic'!$J$7:$K$11,2,FALSE)&amp;" - Per "&amp;VLOOKUP($C$4,'Writing Logic'!$G$8:$H$14,2,FALSE),YES_Writing_ELA[#Headers],0))=0,"",INDEX(_xlfn.VSTACK(YES_Writing_ELA[#Data],YES_Writing_FLA[#Data]),MATCH($A68,_xlfn.VSTACK(YES_Writing_ELA[Student Number],YES_Writing_FLA[Student Number]),0),MATCH(VLOOKUP(D$7,'Writing Logic'!$J$7:$K$11,2,FALSE)&amp;" - Per "&amp;VLOOKUP($C$4,'Writing Logic'!$G$8:$H$14,2,FALSE),YES_Writing_ELA[#Headers],0)))),"")</f>
        <v/>
      </c>
      <c r="E68" s="138" t="str">
        <f>IFERROR(IF(IF(INDEX(_xlfn.VSTACK(YES_Writing_ELA[#Data],YES_Writing_FLA[#Data]),MATCH($A68,_xlfn.VSTACK(YES_Writing_ELA[Student Number],YES_Writing_FLA[Student Number]),0),MATCH(VLOOKUP(E$7,'Writing Logic'!$J$7:$K$11,2,FALSE)&amp;" - Per "&amp;VLOOKUP($C$4,'Writing Logic'!$G$8:$H$14,2,FALSE),YES_Writing_ELA[#Headers],0))=0,"",INDEX(_xlfn.VSTACK(YES_Writing_ELA[#Data],YES_Writing_FLA[#Data]),MATCH($A68,_xlfn.VSTACK(YES_Writing_ELA[Student Number],YES_Writing_FLA[Student Number]),0),MATCH(VLOOKUP(E$7,'Writing Logic'!$J$7:$K$11,2,FALSE)&amp;" - Per "&amp;VLOOKUP($C$4,'Writing Logic'!$G$8:$H$14,2,FALSE),YES_Writing_ELA[#Headers],0)))="INS",'Writing Logic'!$B$7,IF(INDEX(_xlfn.VSTACK(YES_Writing_ELA[#Data],YES_Writing_FLA[#Data]),MATCH($A68,_xlfn.VSTACK(YES_Writing_ELA[Student Number],YES_Writing_FLA[Student Number]),0),MATCH(VLOOKUP(E$7,'Writing Logic'!$J$7:$K$11,2,FALSE)&amp;" - Per "&amp;VLOOKUP($C$4,'Writing Logic'!$G$8:$H$14,2,FALSE),YES_Writing_ELA[#Headers],0))=0,"",INDEX(_xlfn.VSTACK(YES_Writing_ELA[#Data],YES_Writing_FLA[#Data]),MATCH($A68,_xlfn.VSTACK(YES_Writing_ELA[Student Number],YES_Writing_FLA[Student Number]),0),MATCH(VLOOKUP(E$7,'Writing Logic'!$J$7:$K$11,2,FALSE)&amp;" - Per "&amp;VLOOKUP($C$4,'Writing Logic'!$G$8:$H$14,2,FALSE),YES_Writing_ELA[#Headers],0)))),"")</f>
        <v/>
      </c>
      <c r="F68" s="138" t="str">
        <f>IFERROR(IF(IF(INDEX(_xlfn.VSTACK(YES_Writing_ELA[#Data],YES_Writing_FLA[#Data]),MATCH($A68,_xlfn.VSTACK(YES_Writing_ELA[Student Number],YES_Writing_FLA[Student Number]),0),MATCH(VLOOKUP(F$7,'Writing Logic'!$J$7:$K$11,2,FALSE)&amp;" - Per "&amp;VLOOKUP($C$4,'Writing Logic'!$G$8:$H$14,2,FALSE),YES_Writing_ELA[#Headers],0))=0,"",INDEX(_xlfn.VSTACK(YES_Writing_ELA[#Data],YES_Writing_FLA[#Data]),MATCH($A68,_xlfn.VSTACK(YES_Writing_ELA[Student Number],YES_Writing_FLA[Student Number]),0),MATCH(VLOOKUP(F$7,'Writing Logic'!$J$7:$K$11,2,FALSE)&amp;" - Per "&amp;VLOOKUP($C$4,'Writing Logic'!$G$8:$H$14,2,FALSE),YES_Writing_ELA[#Headers],0)))="INS",'Writing Logic'!$B$7,IF(INDEX(_xlfn.VSTACK(YES_Writing_ELA[#Data],YES_Writing_FLA[#Data]),MATCH($A68,_xlfn.VSTACK(YES_Writing_ELA[Student Number],YES_Writing_FLA[Student Number]),0),MATCH(VLOOKUP(F$7,'Writing Logic'!$J$7:$K$11,2,FALSE)&amp;" - Per "&amp;VLOOKUP($C$4,'Writing Logic'!$G$8:$H$14,2,FALSE),YES_Writing_ELA[#Headers],0))=0,"",INDEX(_xlfn.VSTACK(YES_Writing_ELA[#Data],YES_Writing_FLA[#Data]),MATCH($A68,_xlfn.VSTACK(YES_Writing_ELA[Student Number],YES_Writing_FLA[Student Number]),0),MATCH(VLOOKUP(F$7,'Writing Logic'!$J$7:$K$11,2,FALSE)&amp;" - Per "&amp;VLOOKUP($C$4,'Writing Logic'!$G$8:$H$14,2,FALSE),YES_Writing_ELA[#Headers],0)))),"")</f>
        <v/>
      </c>
      <c r="G68" s="138" t="str">
        <f>IFERROR(IF(IF(INDEX(_xlfn.VSTACK(YES_Writing_ELA[#Data],YES_Writing_FLA[#Data]),MATCH($A68,_xlfn.VSTACK(YES_Writing_ELA[Student Number],YES_Writing_FLA[Student Number]),0),MATCH(VLOOKUP(G$7,'Writing Logic'!$J$7:$K$11,2,FALSE)&amp;" - Per "&amp;VLOOKUP($C$4,'Writing Logic'!$G$8:$H$14,2,FALSE),YES_Writing_ELA[#Headers],0))=0,"",INDEX(_xlfn.VSTACK(YES_Writing_ELA[#Data],YES_Writing_FLA[#Data]),MATCH($A68,_xlfn.VSTACK(YES_Writing_ELA[Student Number],YES_Writing_FLA[Student Number]),0),MATCH(VLOOKUP(G$7,'Writing Logic'!$J$7:$K$11,2,FALSE)&amp;" - Per "&amp;VLOOKUP($C$4,'Writing Logic'!$G$8:$H$14,2,FALSE),YES_Writing_ELA[#Headers],0)))="INS",'Writing Logic'!$B$7,IF(INDEX(_xlfn.VSTACK(YES_Writing_ELA[#Data],YES_Writing_FLA[#Data]),MATCH($A68,_xlfn.VSTACK(YES_Writing_ELA[Student Number],YES_Writing_FLA[Student Number]),0),MATCH(VLOOKUP(G$7,'Writing Logic'!$J$7:$K$11,2,FALSE)&amp;" - Per "&amp;VLOOKUP($C$4,'Writing Logic'!$G$8:$H$14,2,FALSE),YES_Writing_ELA[#Headers],0))=0,"",INDEX(_xlfn.VSTACK(YES_Writing_ELA[#Data],YES_Writing_FLA[#Data]),MATCH($A68,_xlfn.VSTACK(YES_Writing_ELA[Student Number],YES_Writing_FLA[Student Number]),0),MATCH(VLOOKUP(G$7,'Writing Logic'!$J$7:$K$11,2,FALSE)&amp;" - Per "&amp;VLOOKUP($C$4,'Writing Logic'!$G$8:$H$14,2,FALSE),YES_Writing_ELA[#Headers],0)))),"")</f>
        <v/>
      </c>
      <c r="H68" s="223" t="str">
        <f>IFERROR(IF(IF(INDEX(_xlfn.VSTACK(YES_Writing_ELA[#Data],YES_Writing_FLA[#Data]),MATCH($A68,_xlfn.VSTACK(YES_Writing_ELA[Student Number],YES_Writing_FLA[Student Number]),0),MATCH(VLOOKUP(H$7,'Writing Logic'!$J$7:$K$11,2,FALSE)&amp;" - Per "&amp;VLOOKUP($C$4,'Writing Logic'!$G$8:$H$14,2,FALSE),YES_Writing_ELA[#Headers],0))=0,"",INDEX(_xlfn.VSTACK(YES_Writing_ELA[#Data],YES_Writing_FLA[#Data]),MATCH($A68,_xlfn.VSTACK(YES_Writing_ELA[Student Number],YES_Writing_FLA[Student Number]),0),MATCH(VLOOKUP(H$7,'Writing Logic'!$J$7:$K$11,2,FALSE)&amp;" - Per "&amp;VLOOKUP($C$4,'Writing Logic'!$G$8:$H$14,2,FALSE),YES_Writing_ELA[#Headers],0)))="INS",'Writing Logic'!$B$7,IF(INDEX(_xlfn.VSTACK(YES_Writing_ELA[#Data],YES_Writing_FLA[#Data]),MATCH($A68,_xlfn.VSTACK(YES_Writing_ELA[Student Number],YES_Writing_FLA[Student Number]),0),MATCH(VLOOKUP(H$7,'Writing Logic'!$J$7:$K$11,2,FALSE)&amp;" - Per "&amp;VLOOKUP($C$4,'Writing Logic'!$G$8:$H$14,2,FALSE),YES_Writing_ELA[#Headers],0))=0,"",INDEX(_xlfn.VSTACK(YES_Writing_ELA[#Data],YES_Writing_FLA[#Data]),MATCH($A68,_xlfn.VSTACK(YES_Writing_ELA[Student Number],YES_Writing_FLA[Student Number]),0),MATCH(VLOOKUP(H$7,'Writing Logic'!$J$7:$K$11,2,FALSE)&amp;" - Per "&amp;VLOOKUP($C$4,'Writing Logic'!$G$8:$H$14,2,FALSE),YES_Writing_ELA[#Headers],0)))),"")</f>
        <v/>
      </c>
      <c r="I68" s="224" t="str" cm="1">
        <f t="array" aca="1" ref="I68" ca="1">IFERROR(
IF($G$3="ELA",
IF(VLOOKUP($A68, YES_Reading_ELA[], COLUMN(INDIRECT("YES_Reading_ELA[Difference - Per "&amp;VLOOKUP($G$4, 'Reading Report Logic'!$A$2:$B$8, 2, FALSE)&amp;"]")), FALSE)="", "",
VLOOKUP($A68,YES_Reading_ELA[], COLUMN(INDIRECT("YES_Reading_ELA[Difference - Per "&amp;VLOOKUP($G$4,'Reading Report Logic'!$A$2:$B$8,2,FALSE)&amp;"]")), FALSE)),
IF($G$3="FLA",
IF(VLOOKUP($A68, YES_Reading_FLA[], COLUMN(INDIRECT("YES_Reading_FLA[Difference - Per "&amp;VLOOKUP($G$4,'Reading Report Logic'!$A$2:$B$8,2,FALSE)&amp;"]")),FALSE)="","",
VLOOKUP($A68,YES_Reading_FLA[],COLUMN(INDIRECT("YES_Reading_FLA[Difference - Per "&amp;VLOOKUP($G$4,'Reading Report Logic'!$A$2:$B$8,2,FALSE)&amp;"]")),FALSE)),
IF($G$3="Combined",
IFERROR(
IF(VLOOKUP($A68, YES_Reading_ELA[], COLUMN(INDIRECT("YES_Reading_ELA[Difference - Per "&amp;VLOOKUP($G$4, 'Reading Report Logic'!$A$2:$B$8,2,FALSE)&amp;"]")), FALSE)="", "",
VLOOKUP($A68,YES_Reading_ELA[],COLUMN(INDIRECT("YES_Reading_ELA[Difference - Per "&amp;VLOOKUP($G$4,'Reading Report Logic'!$A$2:$B$8,2,FALSE)&amp;"]")),FALSE)),
IF(VLOOKUP($A68, YES_Reading_FLA[], COLUMN(INDIRECT("YES_Reading_FLA[Difference - Per "&amp;VLOOKUP($G$4, 'Reading Report Logic'!$A$2:$B$8, 2, FALSE)&amp;"]")),FALSE)="", "", VLOOKUP($A68,YES_Reading_FLA[],COLUMN(INDIRECT("YES_Reading_FLA[Difference - Per "&amp;VLOOKUP($G$4, 'Reading Report Logic'!$A$2:$B$8, 2, FALSE)&amp;"]")),FALSE))),""))),"")</f>
        <v/>
      </c>
    </row>
    <row r="69" spans="1:15" ht="14.25" customHeight="1" x14ac:dyDescent="0.25">
      <c r="A69" s="137"/>
      <c r="B69" s="137" t="str">
        <f>IFERROR(INDEX(_xlfn.VSTACK(YES_Writing_ELA[#Data], YES_Writing_FLA[#Data]),MATCH($A69,_xlfn.VSTACK(YES_Writing_ELA[Student Number], YES_Writing_FLA[Student Number]),0),MATCH(B$7,YES_Writing_ELA[#Headers],0)),IFERROR(INDEX(_xlfn.VSTACK(YES_Reading_ELA[#Data], YES_Reading_FLA[#Data]),MATCH($A69,_xlfn.VSTACK(YES_Reading_ELA[Student Number], YES_Reading_FLA[Student Number]),0),MATCH(B$7,YES_Reading_ELA[#Headers],0)),""))</f>
        <v/>
      </c>
      <c r="C69" s="137" t="str">
        <f>IFERROR(INDEX(_xlfn.VSTACK(YES_Writing_ELA[#Data], YES_Writing_FLA[#Data]),MATCH($A69,_xlfn.VSTACK(YES_Writing_ELA[Student Number], YES_Writing_FLA[Student Number]),0),MATCH(C$7,YES_Writing_ELA[#Headers],0)),IFERROR(INDEX(_xlfn.VSTACK(YES_Reading_ELA[#Data], YES_Reading_FLA[#Data]),MATCH($A69,_xlfn.VSTACK(YES_Reading_ELA[Student Number], YES_Reading_FLA[Student Number]),0),MATCH(C$7,YES_Reading_ELA[#Headers],0)),""))</f>
        <v/>
      </c>
      <c r="D69" s="138" t="str">
        <f>IFERROR(IF(IF(INDEX(_xlfn.VSTACK(YES_Writing_ELA[#Data],YES_Writing_FLA[#Data]),MATCH($A69,_xlfn.VSTACK(YES_Writing_ELA[Student Number],YES_Writing_FLA[Student Number]),0),MATCH(VLOOKUP(D$7,'Writing Logic'!$J$7:$K$11,2,FALSE)&amp;" - Per "&amp;VLOOKUP($C$4,'Writing Logic'!$G$8:$H$14,2,FALSE),YES_Writing_ELA[#Headers],0))=0,"",INDEX(_xlfn.VSTACK(YES_Writing_ELA[#Data],YES_Writing_FLA[#Data]),MATCH($A69,_xlfn.VSTACK(YES_Writing_ELA[Student Number],YES_Writing_FLA[Student Number]),0),MATCH(VLOOKUP(D$7,'Writing Logic'!$J$7:$K$11,2,FALSE)&amp;" - Per "&amp;VLOOKUP($C$4,'Writing Logic'!$G$8:$H$14,2,FALSE),YES_Writing_ELA[#Headers],0)))="INS",'Writing Logic'!$B$7,IF(INDEX(_xlfn.VSTACK(YES_Writing_ELA[#Data],YES_Writing_FLA[#Data]),MATCH($A69,_xlfn.VSTACK(YES_Writing_ELA[Student Number],YES_Writing_FLA[Student Number]),0),MATCH(VLOOKUP(D$7,'Writing Logic'!$J$7:$K$11,2,FALSE)&amp;" - Per "&amp;VLOOKUP($C$4,'Writing Logic'!$G$8:$H$14,2,FALSE),YES_Writing_ELA[#Headers],0))=0,"",INDEX(_xlfn.VSTACK(YES_Writing_ELA[#Data],YES_Writing_FLA[#Data]),MATCH($A69,_xlfn.VSTACK(YES_Writing_ELA[Student Number],YES_Writing_FLA[Student Number]),0),MATCH(VLOOKUP(D$7,'Writing Logic'!$J$7:$K$11,2,FALSE)&amp;" - Per "&amp;VLOOKUP($C$4,'Writing Logic'!$G$8:$H$14,2,FALSE),YES_Writing_ELA[#Headers],0)))),"")</f>
        <v/>
      </c>
      <c r="E69" s="138" t="str">
        <f>IFERROR(IF(IF(INDEX(_xlfn.VSTACK(YES_Writing_ELA[#Data],YES_Writing_FLA[#Data]),MATCH($A69,_xlfn.VSTACK(YES_Writing_ELA[Student Number],YES_Writing_FLA[Student Number]),0),MATCH(VLOOKUP(E$7,'Writing Logic'!$J$7:$K$11,2,FALSE)&amp;" - Per "&amp;VLOOKUP($C$4,'Writing Logic'!$G$8:$H$14,2,FALSE),YES_Writing_ELA[#Headers],0))=0,"",INDEX(_xlfn.VSTACK(YES_Writing_ELA[#Data],YES_Writing_FLA[#Data]),MATCH($A69,_xlfn.VSTACK(YES_Writing_ELA[Student Number],YES_Writing_FLA[Student Number]),0),MATCH(VLOOKUP(E$7,'Writing Logic'!$J$7:$K$11,2,FALSE)&amp;" - Per "&amp;VLOOKUP($C$4,'Writing Logic'!$G$8:$H$14,2,FALSE),YES_Writing_ELA[#Headers],0)))="INS",'Writing Logic'!$B$7,IF(INDEX(_xlfn.VSTACK(YES_Writing_ELA[#Data],YES_Writing_FLA[#Data]),MATCH($A69,_xlfn.VSTACK(YES_Writing_ELA[Student Number],YES_Writing_FLA[Student Number]),0),MATCH(VLOOKUP(E$7,'Writing Logic'!$J$7:$K$11,2,FALSE)&amp;" - Per "&amp;VLOOKUP($C$4,'Writing Logic'!$G$8:$H$14,2,FALSE),YES_Writing_ELA[#Headers],0))=0,"",INDEX(_xlfn.VSTACK(YES_Writing_ELA[#Data],YES_Writing_FLA[#Data]),MATCH($A69,_xlfn.VSTACK(YES_Writing_ELA[Student Number],YES_Writing_FLA[Student Number]),0),MATCH(VLOOKUP(E$7,'Writing Logic'!$J$7:$K$11,2,FALSE)&amp;" - Per "&amp;VLOOKUP($C$4,'Writing Logic'!$G$8:$H$14,2,FALSE),YES_Writing_ELA[#Headers],0)))),"")</f>
        <v/>
      </c>
      <c r="F69" s="138" t="str">
        <f>IFERROR(IF(IF(INDEX(_xlfn.VSTACK(YES_Writing_ELA[#Data],YES_Writing_FLA[#Data]),MATCH($A69,_xlfn.VSTACK(YES_Writing_ELA[Student Number],YES_Writing_FLA[Student Number]),0),MATCH(VLOOKUP(F$7,'Writing Logic'!$J$7:$K$11,2,FALSE)&amp;" - Per "&amp;VLOOKUP($C$4,'Writing Logic'!$G$8:$H$14,2,FALSE),YES_Writing_ELA[#Headers],0))=0,"",INDEX(_xlfn.VSTACK(YES_Writing_ELA[#Data],YES_Writing_FLA[#Data]),MATCH($A69,_xlfn.VSTACK(YES_Writing_ELA[Student Number],YES_Writing_FLA[Student Number]),0),MATCH(VLOOKUP(F$7,'Writing Logic'!$J$7:$K$11,2,FALSE)&amp;" - Per "&amp;VLOOKUP($C$4,'Writing Logic'!$G$8:$H$14,2,FALSE),YES_Writing_ELA[#Headers],0)))="INS",'Writing Logic'!$B$7,IF(INDEX(_xlfn.VSTACK(YES_Writing_ELA[#Data],YES_Writing_FLA[#Data]),MATCH($A69,_xlfn.VSTACK(YES_Writing_ELA[Student Number],YES_Writing_FLA[Student Number]),0),MATCH(VLOOKUP(F$7,'Writing Logic'!$J$7:$K$11,2,FALSE)&amp;" - Per "&amp;VLOOKUP($C$4,'Writing Logic'!$G$8:$H$14,2,FALSE),YES_Writing_ELA[#Headers],0))=0,"",INDEX(_xlfn.VSTACK(YES_Writing_ELA[#Data],YES_Writing_FLA[#Data]),MATCH($A69,_xlfn.VSTACK(YES_Writing_ELA[Student Number],YES_Writing_FLA[Student Number]),0),MATCH(VLOOKUP(F$7,'Writing Logic'!$J$7:$K$11,2,FALSE)&amp;" - Per "&amp;VLOOKUP($C$4,'Writing Logic'!$G$8:$H$14,2,FALSE),YES_Writing_ELA[#Headers],0)))),"")</f>
        <v/>
      </c>
      <c r="G69" s="138" t="str">
        <f>IFERROR(IF(IF(INDEX(_xlfn.VSTACK(YES_Writing_ELA[#Data],YES_Writing_FLA[#Data]),MATCH($A69,_xlfn.VSTACK(YES_Writing_ELA[Student Number],YES_Writing_FLA[Student Number]),0),MATCH(VLOOKUP(G$7,'Writing Logic'!$J$7:$K$11,2,FALSE)&amp;" - Per "&amp;VLOOKUP($C$4,'Writing Logic'!$G$8:$H$14,2,FALSE),YES_Writing_ELA[#Headers],0))=0,"",INDEX(_xlfn.VSTACK(YES_Writing_ELA[#Data],YES_Writing_FLA[#Data]),MATCH($A69,_xlfn.VSTACK(YES_Writing_ELA[Student Number],YES_Writing_FLA[Student Number]),0),MATCH(VLOOKUP(G$7,'Writing Logic'!$J$7:$K$11,2,FALSE)&amp;" - Per "&amp;VLOOKUP($C$4,'Writing Logic'!$G$8:$H$14,2,FALSE),YES_Writing_ELA[#Headers],0)))="INS",'Writing Logic'!$B$7,IF(INDEX(_xlfn.VSTACK(YES_Writing_ELA[#Data],YES_Writing_FLA[#Data]),MATCH($A69,_xlfn.VSTACK(YES_Writing_ELA[Student Number],YES_Writing_FLA[Student Number]),0),MATCH(VLOOKUP(G$7,'Writing Logic'!$J$7:$K$11,2,FALSE)&amp;" - Per "&amp;VLOOKUP($C$4,'Writing Logic'!$G$8:$H$14,2,FALSE),YES_Writing_ELA[#Headers],0))=0,"",INDEX(_xlfn.VSTACK(YES_Writing_ELA[#Data],YES_Writing_FLA[#Data]),MATCH($A69,_xlfn.VSTACK(YES_Writing_ELA[Student Number],YES_Writing_FLA[Student Number]),0),MATCH(VLOOKUP(G$7,'Writing Logic'!$J$7:$K$11,2,FALSE)&amp;" - Per "&amp;VLOOKUP($C$4,'Writing Logic'!$G$8:$H$14,2,FALSE),YES_Writing_ELA[#Headers],0)))),"")</f>
        <v/>
      </c>
      <c r="H69" s="223" t="str">
        <f>IFERROR(IF(IF(INDEX(_xlfn.VSTACK(YES_Writing_ELA[#Data],YES_Writing_FLA[#Data]),MATCH($A69,_xlfn.VSTACK(YES_Writing_ELA[Student Number],YES_Writing_FLA[Student Number]),0),MATCH(VLOOKUP(H$7,'Writing Logic'!$J$7:$K$11,2,FALSE)&amp;" - Per "&amp;VLOOKUP($C$4,'Writing Logic'!$G$8:$H$14,2,FALSE),YES_Writing_ELA[#Headers],0))=0,"",INDEX(_xlfn.VSTACK(YES_Writing_ELA[#Data],YES_Writing_FLA[#Data]),MATCH($A69,_xlfn.VSTACK(YES_Writing_ELA[Student Number],YES_Writing_FLA[Student Number]),0),MATCH(VLOOKUP(H$7,'Writing Logic'!$J$7:$K$11,2,FALSE)&amp;" - Per "&amp;VLOOKUP($C$4,'Writing Logic'!$G$8:$H$14,2,FALSE),YES_Writing_ELA[#Headers],0)))="INS",'Writing Logic'!$B$7,IF(INDEX(_xlfn.VSTACK(YES_Writing_ELA[#Data],YES_Writing_FLA[#Data]),MATCH($A69,_xlfn.VSTACK(YES_Writing_ELA[Student Number],YES_Writing_FLA[Student Number]),0),MATCH(VLOOKUP(H$7,'Writing Logic'!$J$7:$K$11,2,FALSE)&amp;" - Per "&amp;VLOOKUP($C$4,'Writing Logic'!$G$8:$H$14,2,FALSE),YES_Writing_ELA[#Headers],0))=0,"",INDEX(_xlfn.VSTACK(YES_Writing_ELA[#Data],YES_Writing_FLA[#Data]),MATCH($A69,_xlfn.VSTACK(YES_Writing_ELA[Student Number],YES_Writing_FLA[Student Number]),0),MATCH(VLOOKUP(H$7,'Writing Logic'!$J$7:$K$11,2,FALSE)&amp;" - Per "&amp;VLOOKUP($C$4,'Writing Logic'!$G$8:$H$14,2,FALSE),YES_Writing_ELA[#Headers],0)))),"")</f>
        <v/>
      </c>
      <c r="I69" s="224" t="str" cm="1">
        <f t="array" aca="1" ref="I69" ca="1">IFERROR(
IF($G$3="ELA",
IF(VLOOKUP($A69, YES_Reading_ELA[], COLUMN(INDIRECT("YES_Reading_ELA[Difference - Per "&amp;VLOOKUP($G$4, 'Reading Report Logic'!$A$2:$B$8, 2, FALSE)&amp;"]")), FALSE)="", "",
VLOOKUP($A69,YES_Reading_ELA[], COLUMN(INDIRECT("YES_Reading_ELA[Difference - Per "&amp;VLOOKUP($G$4,'Reading Report Logic'!$A$2:$B$8,2,FALSE)&amp;"]")), FALSE)),
IF($G$3="FLA",
IF(VLOOKUP($A69, YES_Reading_FLA[], COLUMN(INDIRECT("YES_Reading_FLA[Difference - Per "&amp;VLOOKUP($G$4,'Reading Report Logic'!$A$2:$B$8,2,FALSE)&amp;"]")),FALSE)="","",
VLOOKUP($A69,YES_Reading_FLA[],COLUMN(INDIRECT("YES_Reading_FLA[Difference - Per "&amp;VLOOKUP($G$4,'Reading Report Logic'!$A$2:$B$8,2,FALSE)&amp;"]")),FALSE)),
IF($G$3="Combined",
IFERROR(
IF(VLOOKUP($A69, YES_Reading_ELA[], COLUMN(INDIRECT("YES_Reading_ELA[Difference - Per "&amp;VLOOKUP($G$4, 'Reading Report Logic'!$A$2:$B$8,2,FALSE)&amp;"]")), FALSE)="", "",
VLOOKUP($A69,YES_Reading_ELA[],COLUMN(INDIRECT("YES_Reading_ELA[Difference - Per "&amp;VLOOKUP($G$4,'Reading Report Logic'!$A$2:$B$8,2,FALSE)&amp;"]")),FALSE)),
IF(VLOOKUP($A69, YES_Reading_FLA[], COLUMN(INDIRECT("YES_Reading_FLA[Difference - Per "&amp;VLOOKUP($G$4, 'Reading Report Logic'!$A$2:$B$8, 2, FALSE)&amp;"]")),FALSE)="", "", VLOOKUP($A69,YES_Reading_FLA[],COLUMN(INDIRECT("YES_Reading_FLA[Difference - Per "&amp;VLOOKUP($G$4, 'Reading Report Logic'!$A$2:$B$8, 2, FALSE)&amp;"]")),FALSE))),""))),"")</f>
        <v/>
      </c>
    </row>
    <row r="70" spans="1:15" ht="14.25" customHeight="1" x14ac:dyDescent="0.25">
      <c r="A70" s="137"/>
      <c r="B70" s="137" t="str">
        <f>IFERROR(INDEX(_xlfn.VSTACK(YES_Writing_ELA[#Data], YES_Writing_FLA[#Data]),MATCH($A70,_xlfn.VSTACK(YES_Writing_ELA[Student Number], YES_Writing_FLA[Student Number]),0),MATCH(B$7,YES_Writing_ELA[#Headers],0)),IFERROR(INDEX(_xlfn.VSTACK(YES_Reading_ELA[#Data], YES_Reading_FLA[#Data]),MATCH($A70,_xlfn.VSTACK(YES_Reading_ELA[Student Number], YES_Reading_FLA[Student Number]),0),MATCH(B$7,YES_Reading_ELA[#Headers],0)),""))</f>
        <v/>
      </c>
      <c r="C70" s="137" t="str">
        <f>IFERROR(INDEX(_xlfn.VSTACK(YES_Writing_ELA[#Data], YES_Writing_FLA[#Data]),MATCH($A70,_xlfn.VSTACK(YES_Writing_ELA[Student Number], YES_Writing_FLA[Student Number]),0),MATCH(C$7,YES_Writing_ELA[#Headers],0)),IFERROR(INDEX(_xlfn.VSTACK(YES_Reading_ELA[#Data], YES_Reading_FLA[#Data]),MATCH($A70,_xlfn.VSTACK(YES_Reading_ELA[Student Number], YES_Reading_FLA[Student Number]),0),MATCH(C$7,YES_Reading_ELA[#Headers],0)),""))</f>
        <v/>
      </c>
      <c r="D70" s="138" t="str">
        <f>IFERROR(IF(IF(INDEX(_xlfn.VSTACK(YES_Writing_ELA[#Data],YES_Writing_FLA[#Data]),MATCH($A70,_xlfn.VSTACK(YES_Writing_ELA[Student Number],YES_Writing_FLA[Student Number]),0),MATCH(VLOOKUP(D$7,'Writing Logic'!$J$7:$K$11,2,FALSE)&amp;" - Per "&amp;VLOOKUP($C$4,'Writing Logic'!$G$8:$H$14,2,FALSE),YES_Writing_ELA[#Headers],0))=0,"",INDEX(_xlfn.VSTACK(YES_Writing_ELA[#Data],YES_Writing_FLA[#Data]),MATCH($A70,_xlfn.VSTACK(YES_Writing_ELA[Student Number],YES_Writing_FLA[Student Number]),0),MATCH(VLOOKUP(D$7,'Writing Logic'!$J$7:$K$11,2,FALSE)&amp;" - Per "&amp;VLOOKUP($C$4,'Writing Logic'!$G$8:$H$14,2,FALSE),YES_Writing_ELA[#Headers],0)))="INS",'Writing Logic'!$B$7,IF(INDEX(_xlfn.VSTACK(YES_Writing_ELA[#Data],YES_Writing_FLA[#Data]),MATCH($A70,_xlfn.VSTACK(YES_Writing_ELA[Student Number],YES_Writing_FLA[Student Number]),0),MATCH(VLOOKUP(D$7,'Writing Logic'!$J$7:$K$11,2,FALSE)&amp;" - Per "&amp;VLOOKUP($C$4,'Writing Logic'!$G$8:$H$14,2,FALSE),YES_Writing_ELA[#Headers],0))=0,"",INDEX(_xlfn.VSTACK(YES_Writing_ELA[#Data],YES_Writing_FLA[#Data]),MATCH($A70,_xlfn.VSTACK(YES_Writing_ELA[Student Number],YES_Writing_FLA[Student Number]),0),MATCH(VLOOKUP(D$7,'Writing Logic'!$J$7:$K$11,2,FALSE)&amp;" - Per "&amp;VLOOKUP($C$4,'Writing Logic'!$G$8:$H$14,2,FALSE),YES_Writing_ELA[#Headers],0)))),"")</f>
        <v/>
      </c>
      <c r="E70" s="138" t="str">
        <f>IFERROR(IF(IF(INDEX(_xlfn.VSTACK(YES_Writing_ELA[#Data],YES_Writing_FLA[#Data]),MATCH($A70,_xlfn.VSTACK(YES_Writing_ELA[Student Number],YES_Writing_FLA[Student Number]),0),MATCH(VLOOKUP(E$7,'Writing Logic'!$J$7:$K$11,2,FALSE)&amp;" - Per "&amp;VLOOKUP($C$4,'Writing Logic'!$G$8:$H$14,2,FALSE),YES_Writing_ELA[#Headers],0))=0,"",INDEX(_xlfn.VSTACK(YES_Writing_ELA[#Data],YES_Writing_FLA[#Data]),MATCH($A70,_xlfn.VSTACK(YES_Writing_ELA[Student Number],YES_Writing_FLA[Student Number]),0),MATCH(VLOOKUP(E$7,'Writing Logic'!$J$7:$K$11,2,FALSE)&amp;" - Per "&amp;VLOOKUP($C$4,'Writing Logic'!$G$8:$H$14,2,FALSE),YES_Writing_ELA[#Headers],0)))="INS",'Writing Logic'!$B$7,IF(INDEX(_xlfn.VSTACK(YES_Writing_ELA[#Data],YES_Writing_FLA[#Data]),MATCH($A70,_xlfn.VSTACK(YES_Writing_ELA[Student Number],YES_Writing_FLA[Student Number]),0),MATCH(VLOOKUP(E$7,'Writing Logic'!$J$7:$K$11,2,FALSE)&amp;" - Per "&amp;VLOOKUP($C$4,'Writing Logic'!$G$8:$H$14,2,FALSE),YES_Writing_ELA[#Headers],0))=0,"",INDEX(_xlfn.VSTACK(YES_Writing_ELA[#Data],YES_Writing_FLA[#Data]),MATCH($A70,_xlfn.VSTACK(YES_Writing_ELA[Student Number],YES_Writing_FLA[Student Number]),0),MATCH(VLOOKUP(E$7,'Writing Logic'!$J$7:$K$11,2,FALSE)&amp;" - Per "&amp;VLOOKUP($C$4,'Writing Logic'!$G$8:$H$14,2,FALSE),YES_Writing_ELA[#Headers],0)))),"")</f>
        <v/>
      </c>
      <c r="F70" s="138" t="str">
        <f>IFERROR(IF(IF(INDEX(_xlfn.VSTACK(YES_Writing_ELA[#Data],YES_Writing_FLA[#Data]),MATCH($A70,_xlfn.VSTACK(YES_Writing_ELA[Student Number],YES_Writing_FLA[Student Number]),0),MATCH(VLOOKUP(F$7,'Writing Logic'!$J$7:$K$11,2,FALSE)&amp;" - Per "&amp;VLOOKUP($C$4,'Writing Logic'!$G$8:$H$14,2,FALSE),YES_Writing_ELA[#Headers],0))=0,"",INDEX(_xlfn.VSTACK(YES_Writing_ELA[#Data],YES_Writing_FLA[#Data]),MATCH($A70,_xlfn.VSTACK(YES_Writing_ELA[Student Number],YES_Writing_FLA[Student Number]),0),MATCH(VLOOKUP(F$7,'Writing Logic'!$J$7:$K$11,2,FALSE)&amp;" - Per "&amp;VLOOKUP($C$4,'Writing Logic'!$G$8:$H$14,2,FALSE),YES_Writing_ELA[#Headers],0)))="INS",'Writing Logic'!$B$7,IF(INDEX(_xlfn.VSTACK(YES_Writing_ELA[#Data],YES_Writing_FLA[#Data]),MATCH($A70,_xlfn.VSTACK(YES_Writing_ELA[Student Number],YES_Writing_FLA[Student Number]),0),MATCH(VLOOKUP(F$7,'Writing Logic'!$J$7:$K$11,2,FALSE)&amp;" - Per "&amp;VLOOKUP($C$4,'Writing Logic'!$G$8:$H$14,2,FALSE),YES_Writing_ELA[#Headers],0))=0,"",INDEX(_xlfn.VSTACK(YES_Writing_ELA[#Data],YES_Writing_FLA[#Data]),MATCH($A70,_xlfn.VSTACK(YES_Writing_ELA[Student Number],YES_Writing_FLA[Student Number]),0),MATCH(VLOOKUP(F$7,'Writing Logic'!$J$7:$K$11,2,FALSE)&amp;" - Per "&amp;VLOOKUP($C$4,'Writing Logic'!$G$8:$H$14,2,FALSE),YES_Writing_ELA[#Headers],0)))),"")</f>
        <v/>
      </c>
      <c r="G70" s="138" t="str">
        <f>IFERROR(IF(IF(INDEX(_xlfn.VSTACK(YES_Writing_ELA[#Data],YES_Writing_FLA[#Data]),MATCH($A70,_xlfn.VSTACK(YES_Writing_ELA[Student Number],YES_Writing_FLA[Student Number]),0),MATCH(VLOOKUP(G$7,'Writing Logic'!$J$7:$K$11,2,FALSE)&amp;" - Per "&amp;VLOOKUP($C$4,'Writing Logic'!$G$8:$H$14,2,FALSE),YES_Writing_ELA[#Headers],0))=0,"",INDEX(_xlfn.VSTACK(YES_Writing_ELA[#Data],YES_Writing_FLA[#Data]),MATCH($A70,_xlfn.VSTACK(YES_Writing_ELA[Student Number],YES_Writing_FLA[Student Number]),0),MATCH(VLOOKUP(G$7,'Writing Logic'!$J$7:$K$11,2,FALSE)&amp;" - Per "&amp;VLOOKUP($C$4,'Writing Logic'!$G$8:$H$14,2,FALSE),YES_Writing_ELA[#Headers],0)))="INS",'Writing Logic'!$B$7,IF(INDEX(_xlfn.VSTACK(YES_Writing_ELA[#Data],YES_Writing_FLA[#Data]),MATCH($A70,_xlfn.VSTACK(YES_Writing_ELA[Student Number],YES_Writing_FLA[Student Number]),0),MATCH(VLOOKUP(G$7,'Writing Logic'!$J$7:$K$11,2,FALSE)&amp;" - Per "&amp;VLOOKUP($C$4,'Writing Logic'!$G$8:$H$14,2,FALSE),YES_Writing_ELA[#Headers],0))=0,"",INDEX(_xlfn.VSTACK(YES_Writing_ELA[#Data],YES_Writing_FLA[#Data]),MATCH($A70,_xlfn.VSTACK(YES_Writing_ELA[Student Number],YES_Writing_FLA[Student Number]),0),MATCH(VLOOKUP(G$7,'Writing Logic'!$J$7:$K$11,2,FALSE)&amp;" - Per "&amp;VLOOKUP($C$4,'Writing Logic'!$G$8:$H$14,2,FALSE),YES_Writing_ELA[#Headers],0)))),"")</f>
        <v/>
      </c>
      <c r="H70" s="223" t="str">
        <f>IFERROR(IF(IF(INDEX(_xlfn.VSTACK(YES_Writing_ELA[#Data],YES_Writing_FLA[#Data]),MATCH($A70,_xlfn.VSTACK(YES_Writing_ELA[Student Number],YES_Writing_FLA[Student Number]),0),MATCH(VLOOKUP(H$7,'Writing Logic'!$J$7:$K$11,2,FALSE)&amp;" - Per "&amp;VLOOKUP($C$4,'Writing Logic'!$G$8:$H$14,2,FALSE),YES_Writing_ELA[#Headers],0))=0,"",INDEX(_xlfn.VSTACK(YES_Writing_ELA[#Data],YES_Writing_FLA[#Data]),MATCH($A70,_xlfn.VSTACK(YES_Writing_ELA[Student Number],YES_Writing_FLA[Student Number]),0),MATCH(VLOOKUP(H$7,'Writing Logic'!$J$7:$K$11,2,FALSE)&amp;" - Per "&amp;VLOOKUP($C$4,'Writing Logic'!$G$8:$H$14,2,FALSE),YES_Writing_ELA[#Headers],0)))="INS",'Writing Logic'!$B$7,IF(INDEX(_xlfn.VSTACK(YES_Writing_ELA[#Data],YES_Writing_FLA[#Data]),MATCH($A70,_xlfn.VSTACK(YES_Writing_ELA[Student Number],YES_Writing_FLA[Student Number]),0),MATCH(VLOOKUP(H$7,'Writing Logic'!$J$7:$K$11,2,FALSE)&amp;" - Per "&amp;VLOOKUP($C$4,'Writing Logic'!$G$8:$H$14,2,FALSE),YES_Writing_ELA[#Headers],0))=0,"",INDEX(_xlfn.VSTACK(YES_Writing_ELA[#Data],YES_Writing_FLA[#Data]),MATCH($A70,_xlfn.VSTACK(YES_Writing_ELA[Student Number],YES_Writing_FLA[Student Number]),0),MATCH(VLOOKUP(H$7,'Writing Logic'!$J$7:$K$11,2,FALSE)&amp;" - Per "&amp;VLOOKUP($C$4,'Writing Logic'!$G$8:$H$14,2,FALSE),YES_Writing_ELA[#Headers],0)))),"")</f>
        <v/>
      </c>
      <c r="I70" s="224" t="str" cm="1">
        <f t="array" aca="1" ref="I70" ca="1">IFERROR(
IF($G$3="ELA",
IF(VLOOKUP($A70, YES_Reading_ELA[], COLUMN(INDIRECT("YES_Reading_ELA[Difference - Per "&amp;VLOOKUP($G$4, 'Reading Report Logic'!$A$2:$B$8, 2, FALSE)&amp;"]")), FALSE)="", "",
VLOOKUP($A70,YES_Reading_ELA[], COLUMN(INDIRECT("YES_Reading_ELA[Difference - Per "&amp;VLOOKUP($G$4,'Reading Report Logic'!$A$2:$B$8,2,FALSE)&amp;"]")), FALSE)),
IF($G$3="FLA",
IF(VLOOKUP($A70, YES_Reading_FLA[], COLUMN(INDIRECT("YES_Reading_FLA[Difference - Per "&amp;VLOOKUP($G$4,'Reading Report Logic'!$A$2:$B$8,2,FALSE)&amp;"]")),FALSE)="","",
VLOOKUP($A70,YES_Reading_FLA[],COLUMN(INDIRECT("YES_Reading_FLA[Difference - Per "&amp;VLOOKUP($G$4,'Reading Report Logic'!$A$2:$B$8,2,FALSE)&amp;"]")),FALSE)),
IF($G$3="Combined",
IFERROR(
IF(VLOOKUP($A70, YES_Reading_ELA[], COLUMN(INDIRECT("YES_Reading_ELA[Difference - Per "&amp;VLOOKUP($G$4, 'Reading Report Logic'!$A$2:$B$8,2,FALSE)&amp;"]")), FALSE)="", "",
VLOOKUP($A70,YES_Reading_ELA[],COLUMN(INDIRECT("YES_Reading_ELA[Difference - Per "&amp;VLOOKUP($G$4,'Reading Report Logic'!$A$2:$B$8,2,FALSE)&amp;"]")),FALSE)),
IF(VLOOKUP($A70, YES_Reading_FLA[], COLUMN(INDIRECT("YES_Reading_FLA[Difference - Per "&amp;VLOOKUP($G$4, 'Reading Report Logic'!$A$2:$B$8, 2, FALSE)&amp;"]")),FALSE)="", "", VLOOKUP($A70,YES_Reading_FLA[],COLUMN(INDIRECT("YES_Reading_FLA[Difference - Per "&amp;VLOOKUP($G$4, 'Reading Report Logic'!$A$2:$B$8, 2, FALSE)&amp;"]")),FALSE))),""))),"")</f>
        <v/>
      </c>
    </row>
    <row r="71" spans="1:15" ht="14.25" customHeight="1" x14ac:dyDescent="0.25">
      <c r="A71" s="137"/>
      <c r="B71" s="137" t="str">
        <f>IFERROR(INDEX(_xlfn.VSTACK(YES_Writing_ELA[#Data], YES_Writing_FLA[#Data]),MATCH($A71,_xlfn.VSTACK(YES_Writing_ELA[Student Number], YES_Writing_FLA[Student Number]),0),MATCH(B$7,YES_Writing_ELA[#Headers],0)),IFERROR(INDEX(_xlfn.VSTACK(YES_Reading_ELA[#Data], YES_Reading_FLA[#Data]),MATCH($A71,_xlfn.VSTACK(YES_Reading_ELA[Student Number], YES_Reading_FLA[Student Number]),0),MATCH(B$7,YES_Reading_ELA[#Headers],0)),""))</f>
        <v/>
      </c>
      <c r="C71" s="137" t="str">
        <f>IFERROR(INDEX(_xlfn.VSTACK(YES_Writing_ELA[#Data], YES_Writing_FLA[#Data]),MATCH($A71,_xlfn.VSTACK(YES_Writing_ELA[Student Number], YES_Writing_FLA[Student Number]),0),MATCH(C$7,YES_Writing_ELA[#Headers],0)),IFERROR(INDEX(_xlfn.VSTACK(YES_Reading_ELA[#Data], YES_Reading_FLA[#Data]),MATCH($A71,_xlfn.VSTACK(YES_Reading_ELA[Student Number], YES_Reading_FLA[Student Number]),0),MATCH(C$7,YES_Reading_ELA[#Headers],0)),""))</f>
        <v/>
      </c>
      <c r="D71" s="138" t="str">
        <f>IFERROR(IF(IF(INDEX(_xlfn.VSTACK(YES_Writing_ELA[#Data],YES_Writing_FLA[#Data]),MATCH($A71,_xlfn.VSTACK(YES_Writing_ELA[Student Number],YES_Writing_FLA[Student Number]),0),MATCH(VLOOKUP(D$7,'Writing Logic'!$J$7:$K$11,2,FALSE)&amp;" - Per "&amp;VLOOKUP($C$4,'Writing Logic'!$G$8:$H$14,2,FALSE),YES_Writing_ELA[#Headers],0))=0,"",INDEX(_xlfn.VSTACK(YES_Writing_ELA[#Data],YES_Writing_FLA[#Data]),MATCH($A71,_xlfn.VSTACK(YES_Writing_ELA[Student Number],YES_Writing_FLA[Student Number]),0),MATCH(VLOOKUP(D$7,'Writing Logic'!$J$7:$K$11,2,FALSE)&amp;" - Per "&amp;VLOOKUP($C$4,'Writing Logic'!$G$8:$H$14,2,FALSE),YES_Writing_ELA[#Headers],0)))="INS",'Writing Logic'!$B$7,IF(INDEX(_xlfn.VSTACK(YES_Writing_ELA[#Data],YES_Writing_FLA[#Data]),MATCH($A71,_xlfn.VSTACK(YES_Writing_ELA[Student Number],YES_Writing_FLA[Student Number]),0),MATCH(VLOOKUP(D$7,'Writing Logic'!$J$7:$K$11,2,FALSE)&amp;" - Per "&amp;VLOOKUP($C$4,'Writing Logic'!$G$8:$H$14,2,FALSE),YES_Writing_ELA[#Headers],0))=0,"",INDEX(_xlfn.VSTACK(YES_Writing_ELA[#Data],YES_Writing_FLA[#Data]),MATCH($A71,_xlfn.VSTACK(YES_Writing_ELA[Student Number],YES_Writing_FLA[Student Number]),0),MATCH(VLOOKUP(D$7,'Writing Logic'!$J$7:$K$11,2,FALSE)&amp;" - Per "&amp;VLOOKUP($C$4,'Writing Logic'!$G$8:$H$14,2,FALSE),YES_Writing_ELA[#Headers],0)))),"")</f>
        <v/>
      </c>
      <c r="E71" s="138" t="str">
        <f>IFERROR(IF(IF(INDEX(_xlfn.VSTACK(YES_Writing_ELA[#Data],YES_Writing_FLA[#Data]),MATCH($A71,_xlfn.VSTACK(YES_Writing_ELA[Student Number],YES_Writing_FLA[Student Number]),0),MATCH(VLOOKUP(E$7,'Writing Logic'!$J$7:$K$11,2,FALSE)&amp;" - Per "&amp;VLOOKUP($C$4,'Writing Logic'!$G$8:$H$14,2,FALSE),YES_Writing_ELA[#Headers],0))=0,"",INDEX(_xlfn.VSTACK(YES_Writing_ELA[#Data],YES_Writing_FLA[#Data]),MATCH($A71,_xlfn.VSTACK(YES_Writing_ELA[Student Number],YES_Writing_FLA[Student Number]),0),MATCH(VLOOKUP(E$7,'Writing Logic'!$J$7:$K$11,2,FALSE)&amp;" - Per "&amp;VLOOKUP($C$4,'Writing Logic'!$G$8:$H$14,2,FALSE),YES_Writing_ELA[#Headers],0)))="INS",'Writing Logic'!$B$7,IF(INDEX(_xlfn.VSTACK(YES_Writing_ELA[#Data],YES_Writing_FLA[#Data]),MATCH($A71,_xlfn.VSTACK(YES_Writing_ELA[Student Number],YES_Writing_FLA[Student Number]),0),MATCH(VLOOKUP(E$7,'Writing Logic'!$J$7:$K$11,2,FALSE)&amp;" - Per "&amp;VLOOKUP($C$4,'Writing Logic'!$G$8:$H$14,2,FALSE),YES_Writing_ELA[#Headers],0))=0,"",INDEX(_xlfn.VSTACK(YES_Writing_ELA[#Data],YES_Writing_FLA[#Data]),MATCH($A71,_xlfn.VSTACK(YES_Writing_ELA[Student Number],YES_Writing_FLA[Student Number]),0),MATCH(VLOOKUP(E$7,'Writing Logic'!$J$7:$K$11,2,FALSE)&amp;" - Per "&amp;VLOOKUP($C$4,'Writing Logic'!$G$8:$H$14,2,FALSE),YES_Writing_ELA[#Headers],0)))),"")</f>
        <v/>
      </c>
      <c r="F71" s="138" t="str">
        <f>IFERROR(IF(IF(INDEX(_xlfn.VSTACK(YES_Writing_ELA[#Data],YES_Writing_FLA[#Data]),MATCH($A71,_xlfn.VSTACK(YES_Writing_ELA[Student Number],YES_Writing_FLA[Student Number]),0),MATCH(VLOOKUP(F$7,'Writing Logic'!$J$7:$K$11,2,FALSE)&amp;" - Per "&amp;VLOOKUP($C$4,'Writing Logic'!$G$8:$H$14,2,FALSE),YES_Writing_ELA[#Headers],0))=0,"",INDEX(_xlfn.VSTACK(YES_Writing_ELA[#Data],YES_Writing_FLA[#Data]),MATCH($A71,_xlfn.VSTACK(YES_Writing_ELA[Student Number],YES_Writing_FLA[Student Number]),0),MATCH(VLOOKUP(F$7,'Writing Logic'!$J$7:$K$11,2,FALSE)&amp;" - Per "&amp;VLOOKUP($C$4,'Writing Logic'!$G$8:$H$14,2,FALSE),YES_Writing_ELA[#Headers],0)))="INS",'Writing Logic'!$B$7,IF(INDEX(_xlfn.VSTACK(YES_Writing_ELA[#Data],YES_Writing_FLA[#Data]),MATCH($A71,_xlfn.VSTACK(YES_Writing_ELA[Student Number],YES_Writing_FLA[Student Number]),0),MATCH(VLOOKUP(F$7,'Writing Logic'!$J$7:$K$11,2,FALSE)&amp;" - Per "&amp;VLOOKUP($C$4,'Writing Logic'!$G$8:$H$14,2,FALSE),YES_Writing_ELA[#Headers],0))=0,"",INDEX(_xlfn.VSTACK(YES_Writing_ELA[#Data],YES_Writing_FLA[#Data]),MATCH($A71,_xlfn.VSTACK(YES_Writing_ELA[Student Number],YES_Writing_FLA[Student Number]),0),MATCH(VLOOKUP(F$7,'Writing Logic'!$J$7:$K$11,2,FALSE)&amp;" - Per "&amp;VLOOKUP($C$4,'Writing Logic'!$G$8:$H$14,2,FALSE),YES_Writing_ELA[#Headers],0)))),"")</f>
        <v/>
      </c>
      <c r="G71" s="138" t="str">
        <f>IFERROR(IF(IF(INDEX(_xlfn.VSTACK(YES_Writing_ELA[#Data],YES_Writing_FLA[#Data]),MATCH($A71,_xlfn.VSTACK(YES_Writing_ELA[Student Number],YES_Writing_FLA[Student Number]),0),MATCH(VLOOKUP(G$7,'Writing Logic'!$J$7:$K$11,2,FALSE)&amp;" - Per "&amp;VLOOKUP($C$4,'Writing Logic'!$G$8:$H$14,2,FALSE),YES_Writing_ELA[#Headers],0))=0,"",INDEX(_xlfn.VSTACK(YES_Writing_ELA[#Data],YES_Writing_FLA[#Data]),MATCH($A71,_xlfn.VSTACK(YES_Writing_ELA[Student Number],YES_Writing_FLA[Student Number]),0),MATCH(VLOOKUP(G$7,'Writing Logic'!$J$7:$K$11,2,FALSE)&amp;" - Per "&amp;VLOOKUP($C$4,'Writing Logic'!$G$8:$H$14,2,FALSE),YES_Writing_ELA[#Headers],0)))="INS",'Writing Logic'!$B$7,IF(INDEX(_xlfn.VSTACK(YES_Writing_ELA[#Data],YES_Writing_FLA[#Data]),MATCH($A71,_xlfn.VSTACK(YES_Writing_ELA[Student Number],YES_Writing_FLA[Student Number]),0),MATCH(VLOOKUP(G$7,'Writing Logic'!$J$7:$K$11,2,FALSE)&amp;" - Per "&amp;VLOOKUP($C$4,'Writing Logic'!$G$8:$H$14,2,FALSE),YES_Writing_ELA[#Headers],0))=0,"",INDEX(_xlfn.VSTACK(YES_Writing_ELA[#Data],YES_Writing_FLA[#Data]),MATCH($A71,_xlfn.VSTACK(YES_Writing_ELA[Student Number],YES_Writing_FLA[Student Number]),0),MATCH(VLOOKUP(G$7,'Writing Logic'!$J$7:$K$11,2,FALSE)&amp;" - Per "&amp;VLOOKUP($C$4,'Writing Logic'!$G$8:$H$14,2,FALSE),YES_Writing_ELA[#Headers],0)))),"")</f>
        <v/>
      </c>
      <c r="H71" s="223" t="str">
        <f>IFERROR(IF(IF(INDEX(_xlfn.VSTACK(YES_Writing_ELA[#Data],YES_Writing_FLA[#Data]),MATCH($A71,_xlfn.VSTACK(YES_Writing_ELA[Student Number],YES_Writing_FLA[Student Number]),0),MATCH(VLOOKUP(H$7,'Writing Logic'!$J$7:$K$11,2,FALSE)&amp;" - Per "&amp;VLOOKUP($C$4,'Writing Logic'!$G$8:$H$14,2,FALSE),YES_Writing_ELA[#Headers],0))=0,"",INDEX(_xlfn.VSTACK(YES_Writing_ELA[#Data],YES_Writing_FLA[#Data]),MATCH($A71,_xlfn.VSTACK(YES_Writing_ELA[Student Number],YES_Writing_FLA[Student Number]),0),MATCH(VLOOKUP(H$7,'Writing Logic'!$J$7:$K$11,2,FALSE)&amp;" - Per "&amp;VLOOKUP($C$4,'Writing Logic'!$G$8:$H$14,2,FALSE),YES_Writing_ELA[#Headers],0)))="INS",'Writing Logic'!$B$7,IF(INDEX(_xlfn.VSTACK(YES_Writing_ELA[#Data],YES_Writing_FLA[#Data]),MATCH($A71,_xlfn.VSTACK(YES_Writing_ELA[Student Number],YES_Writing_FLA[Student Number]),0),MATCH(VLOOKUP(H$7,'Writing Logic'!$J$7:$K$11,2,FALSE)&amp;" - Per "&amp;VLOOKUP($C$4,'Writing Logic'!$G$8:$H$14,2,FALSE),YES_Writing_ELA[#Headers],0))=0,"",INDEX(_xlfn.VSTACK(YES_Writing_ELA[#Data],YES_Writing_FLA[#Data]),MATCH($A71,_xlfn.VSTACK(YES_Writing_ELA[Student Number],YES_Writing_FLA[Student Number]),0),MATCH(VLOOKUP(H$7,'Writing Logic'!$J$7:$K$11,2,FALSE)&amp;" - Per "&amp;VLOOKUP($C$4,'Writing Logic'!$G$8:$H$14,2,FALSE),YES_Writing_ELA[#Headers],0)))),"")</f>
        <v/>
      </c>
      <c r="I71" s="224" t="str" cm="1">
        <f t="array" aca="1" ref="I71" ca="1">IFERROR(
IF($G$3="ELA",
IF(VLOOKUP($A71, YES_Reading_ELA[], COLUMN(INDIRECT("YES_Reading_ELA[Difference - Per "&amp;VLOOKUP($G$4, 'Reading Report Logic'!$A$2:$B$8, 2, FALSE)&amp;"]")), FALSE)="", "",
VLOOKUP($A71,YES_Reading_ELA[], COLUMN(INDIRECT("YES_Reading_ELA[Difference - Per "&amp;VLOOKUP($G$4,'Reading Report Logic'!$A$2:$B$8,2,FALSE)&amp;"]")), FALSE)),
IF($G$3="FLA",
IF(VLOOKUP($A71, YES_Reading_FLA[], COLUMN(INDIRECT("YES_Reading_FLA[Difference - Per "&amp;VLOOKUP($G$4,'Reading Report Logic'!$A$2:$B$8,2,FALSE)&amp;"]")),FALSE)="","",
VLOOKUP($A71,YES_Reading_FLA[],COLUMN(INDIRECT("YES_Reading_FLA[Difference - Per "&amp;VLOOKUP($G$4,'Reading Report Logic'!$A$2:$B$8,2,FALSE)&amp;"]")),FALSE)),
IF($G$3="Combined",
IFERROR(
IF(VLOOKUP($A71, YES_Reading_ELA[], COLUMN(INDIRECT("YES_Reading_ELA[Difference - Per "&amp;VLOOKUP($G$4, 'Reading Report Logic'!$A$2:$B$8,2,FALSE)&amp;"]")), FALSE)="", "",
VLOOKUP($A71,YES_Reading_ELA[],COLUMN(INDIRECT("YES_Reading_ELA[Difference - Per "&amp;VLOOKUP($G$4,'Reading Report Logic'!$A$2:$B$8,2,FALSE)&amp;"]")),FALSE)),
IF(VLOOKUP($A71, YES_Reading_FLA[], COLUMN(INDIRECT("YES_Reading_FLA[Difference - Per "&amp;VLOOKUP($G$4, 'Reading Report Logic'!$A$2:$B$8, 2, FALSE)&amp;"]")),FALSE)="", "", VLOOKUP($A71,YES_Reading_FLA[],COLUMN(INDIRECT("YES_Reading_FLA[Difference - Per "&amp;VLOOKUP($G$4, 'Reading Report Logic'!$A$2:$B$8, 2, FALSE)&amp;"]")),FALSE))),""))),"")</f>
        <v/>
      </c>
    </row>
    <row r="72" spans="1:15" ht="14.25" customHeight="1" x14ac:dyDescent="0.25">
      <c r="A72" s="137"/>
      <c r="B72" s="137" t="str">
        <f>IFERROR(INDEX(_xlfn.VSTACK(YES_Writing_ELA[#Data], YES_Writing_FLA[#Data]),MATCH($A72,_xlfn.VSTACK(YES_Writing_ELA[Student Number], YES_Writing_FLA[Student Number]),0),MATCH(B$7,YES_Writing_ELA[#Headers],0)),IFERROR(INDEX(_xlfn.VSTACK(YES_Reading_ELA[#Data], YES_Reading_FLA[#Data]),MATCH($A72,_xlfn.VSTACK(YES_Reading_ELA[Student Number], YES_Reading_FLA[Student Number]),0),MATCH(B$7,YES_Reading_ELA[#Headers],0)),""))</f>
        <v/>
      </c>
      <c r="C72" s="137" t="str">
        <f>IFERROR(INDEX(_xlfn.VSTACK(YES_Writing_ELA[#Data], YES_Writing_FLA[#Data]),MATCH($A72,_xlfn.VSTACK(YES_Writing_ELA[Student Number], YES_Writing_FLA[Student Number]),0),MATCH(C$7,YES_Writing_ELA[#Headers],0)),IFERROR(INDEX(_xlfn.VSTACK(YES_Reading_ELA[#Data], YES_Reading_FLA[#Data]),MATCH($A72,_xlfn.VSTACK(YES_Reading_ELA[Student Number], YES_Reading_FLA[Student Number]),0),MATCH(C$7,YES_Reading_ELA[#Headers],0)),""))</f>
        <v/>
      </c>
      <c r="D72" s="138" t="str">
        <f>IFERROR(IF(IF(INDEX(_xlfn.VSTACK(YES_Writing_ELA[#Data],YES_Writing_FLA[#Data]),MATCH($A72,_xlfn.VSTACK(YES_Writing_ELA[Student Number],YES_Writing_FLA[Student Number]),0),MATCH(VLOOKUP(D$7,'Writing Logic'!$J$7:$K$11,2,FALSE)&amp;" - Per "&amp;VLOOKUP($C$4,'Writing Logic'!$G$8:$H$14,2,FALSE),YES_Writing_ELA[#Headers],0))=0,"",INDEX(_xlfn.VSTACK(YES_Writing_ELA[#Data],YES_Writing_FLA[#Data]),MATCH($A72,_xlfn.VSTACK(YES_Writing_ELA[Student Number],YES_Writing_FLA[Student Number]),0),MATCH(VLOOKUP(D$7,'Writing Logic'!$J$7:$K$11,2,FALSE)&amp;" - Per "&amp;VLOOKUP($C$4,'Writing Logic'!$G$8:$H$14,2,FALSE),YES_Writing_ELA[#Headers],0)))="INS",'Writing Logic'!$B$7,IF(INDEX(_xlfn.VSTACK(YES_Writing_ELA[#Data],YES_Writing_FLA[#Data]),MATCH($A72,_xlfn.VSTACK(YES_Writing_ELA[Student Number],YES_Writing_FLA[Student Number]),0),MATCH(VLOOKUP(D$7,'Writing Logic'!$J$7:$K$11,2,FALSE)&amp;" - Per "&amp;VLOOKUP($C$4,'Writing Logic'!$G$8:$H$14,2,FALSE),YES_Writing_ELA[#Headers],0))=0,"",INDEX(_xlfn.VSTACK(YES_Writing_ELA[#Data],YES_Writing_FLA[#Data]),MATCH($A72,_xlfn.VSTACK(YES_Writing_ELA[Student Number],YES_Writing_FLA[Student Number]),0),MATCH(VLOOKUP(D$7,'Writing Logic'!$J$7:$K$11,2,FALSE)&amp;" - Per "&amp;VLOOKUP($C$4,'Writing Logic'!$G$8:$H$14,2,FALSE),YES_Writing_ELA[#Headers],0)))),"")</f>
        <v/>
      </c>
      <c r="E72" s="138" t="str">
        <f>IFERROR(IF(IF(INDEX(_xlfn.VSTACK(YES_Writing_ELA[#Data],YES_Writing_FLA[#Data]),MATCH($A72,_xlfn.VSTACK(YES_Writing_ELA[Student Number],YES_Writing_FLA[Student Number]),0),MATCH(VLOOKUP(E$7,'Writing Logic'!$J$7:$K$11,2,FALSE)&amp;" - Per "&amp;VLOOKUP($C$4,'Writing Logic'!$G$8:$H$14,2,FALSE),YES_Writing_ELA[#Headers],0))=0,"",INDEX(_xlfn.VSTACK(YES_Writing_ELA[#Data],YES_Writing_FLA[#Data]),MATCH($A72,_xlfn.VSTACK(YES_Writing_ELA[Student Number],YES_Writing_FLA[Student Number]),0),MATCH(VLOOKUP(E$7,'Writing Logic'!$J$7:$K$11,2,FALSE)&amp;" - Per "&amp;VLOOKUP($C$4,'Writing Logic'!$G$8:$H$14,2,FALSE),YES_Writing_ELA[#Headers],0)))="INS",'Writing Logic'!$B$7,IF(INDEX(_xlfn.VSTACK(YES_Writing_ELA[#Data],YES_Writing_FLA[#Data]),MATCH($A72,_xlfn.VSTACK(YES_Writing_ELA[Student Number],YES_Writing_FLA[Student Number]),0),MATCH(VLOOKUP(E$7,'Writing Logic'!$J$7:$K$11,2,FALSE)&amp;" - Per "&amp;VLOOKUP($C$4,'Writing Logic'!$G$8:$H$14,2,FALSE),YES_Writing_ELA[#Headers],0))=0,"",INDEX(_xlfn.VSTACK(YES_Writing_ELA[#Data],YES_Writing_FLA[#Data]),MATCH($A72,_xlfn.VSTACK(YES_Writing_ELA[Student Number],YES_Writing_FLA[Student Number]),0),MATCH(VLOOKUP(E$7,'Writing Logic'!$J$7:$K$11,2,FALSE)&amp;" - Per "&amp;VLOOKUP($C$4,'Writing Logic'!$G$8:$H$14,2,FALSE),YES_Writing_ELA[#Headers],0)))),"")</f>
        <v/>
      </c>
      <c r="F72" s="138" t="str">
        <f>IFERROR(IF(IF(INDEX(_xlfn.VSTACK(YES_Writing_ELA[#Data],YES_Writing_FLA[#Data]),MATCH($A72,_xlfn.VSTACK(YES_Writing_ELA[Student Number],YES_Writing_FLA[Student Number]),0),MATCH(VLOOKUP(F$7,'Writing Logic'!$J$7:$K$11,2,FALSE)&amp;" - Per "&amp;VLOOKUP($C$4,'Writing Logic'!$G$8:$H$14,2,FALSE),YES_Writing_ELA[#Headers],0))=0,"",INDEX(_xlfn.VSTACK(YES_Writing_ELA[#Data],YES_Writing_FLA[#Data]),MATCH($A72,_xlfn.VSTACK(YES_Writing_ELA[Student Number],YES_Writing_FLA[Student Number]),0),MATCH(VLOOKUP(F$7,'Writing Logic'!$J$7:$K$11,2,FALSE)&amp;" - Per "&amp;VLOOKUP($C$4,'Writing Logic'!$G$8:$H$14,2,FALSE),YES_Writing_ELA[#Headers],0)))="INS",'Writing Logic'!$B$7,IF(INDEX(_xlfn.VSTACK(YES_Writing_ELA[#Data],YES_Writing_FLA[#Data]),MATCH($A72,_xlfn.VSTACK(YES_Writing_ELA[Student Number],YES_Writing_FLA[Student Number]),0),MATCH(VLOOKUP(F$7,'Writing Logic'!$J$7:$K$11,2,FALSE)&amp;" - Per "&amp;VLOOKUP($C$4,'Writing Logic'!$G$8:$H$14,2,FALSE),YES_Writing_ELA[#Headers],0))=0,"",INDEX(_xlfn.VSTACK(YES_Writing_ELA[#Data],YES_Writing_FLA[#Data]),MATCH($A72,_xlfn.VSTACK(YES_Writing_ELA[Student Number],YES_Writing_FLA[Student Number]),0),MATCH(VLOOKUP(F$7,'Writing Logic'!$J$7:$K$11,2,FALSE)&amp;" - Per "&amp;VLOOKUP($C$4,'Writing Logic'!$G$8:$H$14,2,FALSE),YES_Writing_ELA[#Headers],0)))),"")</f>
        <v/>
      </c>
      <c r="G72" s="138" t="str">
        <f>IFERROR(IF(IF(INDEX(_xlfn.VSTACK(YES_Writing_ELA[#Data],YES_Writing_FLA[#Data]),MATCH($A72,_xlfn.VSTACK(YES_Writing_ELA[Student Number],YES_Writing_FLA[Student Number]),0),MATCH(VLOOKUP(G$7,'Writing Logic'!$J$7:$K$11,2,FALSE)&amp;" - Per "&amp;VLOOKUP($C$4,'Writing Logic'!$G$8:$H$14,2,FALSE),YES_Writing_ELA[#Headers],0))=0,"",INDEX(_xlfn.VSTACK(YES_Writing_ELA[#Data],YES_Writing_FLA[#Data]),MATCH($A72,_xlfn.VSTACK(YES_Writing_ELA[Student Number],YES_Writing_FLA[Student Number]),0),MATCH(VLOOKUP(G$7,'Writing Logic'!$J$7:$K$11,2,FALSE)&amp;" - Per "&amp;VLOOKUP($C$4,'Writing Logic'!$G$8:$H$14,2,FALSE),YES_Writing_ELA[#Headers],0)))="INS",'Writing Logic'!$B$7,IF(INDEX(_xlfn.VSTACK(YES_Writing_ELA[#Data],YES_Writing_FLA[#Data]),MATCH($A72,_xlfn.VSTACK(YES_Writing_ELA[Student Number],YES_Writing_FLA[Student Number]),0),MATCH(VLOOKUP(G$7,'Writing Logic'!$J$7:$K$11,2,FALSE)&amp;" - Per "&amp;VLOOKUP($C$4,'Writing Logic'!$G$8:$H$14,2,FALSE),YES_Writing_ELA[#Headers],0))=0,"",INDEX(_xlfn.VSTACK(YES_Writing_ELA[#Data],YES_Writing_FLA[#Data]),MATCH($A72,_xlfn.VSTACK(YES_Writing_ELA[Student Number],YES_Writing_FLA[Student Number]),0),MATCH(VLOOKUP(G$7,'Writing Logic'!$J$7:$K$11,2,FALSE)&amp;" - Per "&amp;VLOOKUP($C$4,'Writing Logic'!$G$8:$H$14,2,FALSE),YES_Writing_ELA[#Headers],0)))),"")</f>
        <v/>
      </c>
      <c r="H72" s="223" t="str">
        <f>IFERROR(IF(IF(INDEX(_xlfn.VSTACK(YES_Writing_ELA[#Data],YES_Writing_FLA[#Data]),MATCH($A72,_xlfn.VSTACK(YES_Writing_ELA[Student Number],YES_Writing_FLA[Student Number]),0),MATCH(VLOOKUP(H$7,'Writing Logic'!$J$7:$K$11,2,FALSE)&amp;" - Per "&amp;VLOOKUP($C$4,'Writing Logic'!$G$8:$H$14,2,FALSE),YES_Writing_ELA[#Headers],0))=0,"",INDEX(_xlfn.VSTACK(YES_Writing_ELA[#Data],YES_Writing_FLA[#Data]),MATCH($A72,_xlfn.VSTACK(YES_Writing_ELA[Student Number],YES_Writing_FLA[Student Number]),0),MATCH(VLOOKUP(H$7,'Writing Logic'!$J$7:$K$11,2,FALSE)&amp;" - Per "&amp;VLOOKUP($C$4,'Writing Logic'!$G$8:$H$14,2,FALSE),YES_Writing_ELA[#Headers],0)))="INS",'Writing Logic'!$B$7,IF(INDEX(_xlfn.VSTACK(YES_Writing_ELA[#Data],YES_Writing_FLA[#Data]),MATCH($A72,_xlfn.VSTACK(YES_Writing_ELA[Student Number],YES_Writing_FLA[Student Number]),0),MATCH(VLOOKUP(H$7,'Writing Logic'!$J$7:$K$11,2,FALSE)&amp;" - Per "&amp;VLOOKUP($C$4,'Writing Logic'!$G$8:$H$14,2,FALSE),YES_Writing_ELA[#Headers],0))=0,"",INDEX(_xlfn.VSTACK(YES_Writing_ELA[#Data],YES_Writing_FLA[#Data]),MATCH($A72,_xlfn.VSTACK(YES_Writing_ELA[Student Number],YES_Writing_FLA[Student Number]),0),MATCH(VLOOKUP(H$7,'Writing Logic'!$J$7:$K$11,2,FALSE)&amp;" - Per "&amp;VLOOKUP($C$4,'Writing Logic'!$G$8:$H$14,2,FALSE),YES_Writing_ELA[#Headers],0)))),"")</f>
        <v/>
      </c>
      <c r="I72" s="224" t="str" cm="1">
        <f t="array" aca="1" ref="I72" ca="1">IFERROR(
IF($G$3="ELA",
IF(VLOOKUP($A72, YES_Reading_ELA[], COLUMN(INDIRECT("YES_Reading_ELA[Difference - Per "&amp;VLOOKUP($G$4, 'Reading Report Logic'!$A$2:$B$8, 2, FALSE)&amp;"]")), FALSE)="", "",
VLOOKUP($A72,YES_Reading_ELA[], COLUMN(INDIRECT("YES_Reading_ELA[Difference - Per "&amp;VLOOKUP($G$4,'Reading Report Logic'!$A$2:$B$8,2,FALSE)&amp;"]")), FALSE)),
IF($G$3="FLA",
IF(VLOOKUP($A72, YES_Reading_FLA[], COLUMN(INDIRECT("YES_Reading_FLA[Difference - Per "&amp;VLOOKUP($G$4,'Reading Report Logic'!$A$2:$B$8,2,FALSE)&amp;"]")),FALSE)="","",
VLOOKUP($A72,YES_Reading_FLA[],COLUMN(INDIRECT("YES_Reading_FLA[Difference - Per "&amp;VLOOKUP($G$4,'Reading Report Logic'!$A$2:$B$8,2,FALSE)&amp;"]")),FALSE)),
IF($G$3="Combined",
IFERROR(
IF(VLOOKUP($A72, YES_Reading_ELA[], COLUMN(INDIRECT("YES_Reading_ELA[Difference - Per "&amp;VLOOKUP($G$4, 'Reading Report Logic'!$A$2:$B$8,2,FALSE)&amp;"]")), FALSE)="", "",
VLOOKUP($A72,YES_Reading_ELA[],COLUMN(INDIRECT("YES_Reading_ELA[Difference - Per "&amp;VLOOKUP($G$4,'Reading Report Logic'!$A$2:$B$8,2,FALSE)&amp;"]")),FALSE)),
IF(VLOOKUP($A72, YES_Reading_FLA[], COLUMN(INDIRECT("YES_Reading_FLA[Difference - Per "&amp;VLOOKUP($G$4, 'Reading Report Logic'!$A$2:$B$8, 2, FALSE)&amp;"]")),FALSE)="", "", VLOOKUP($A72,YES_Reading_FLA[],COLUMN(INDIRECT("YES_Reading_FLA[Difference - Per "&amp;VLOOKUP($G$4, 'Reading Report Logic'!$A$2:$B$8, 2, FALSE)&amp;"]")),FALSE))),""))),"")</f>
        <v/>
      </c>
    </row>
    <row r="73" spans="1:15" ht="14.25" customHeight="1" x14ac:dyDescent="0.25">
      <c r="A73" s="137"/>
      <c r="B73" s="137" t="str">
        <f>IFERROR(INDEX(_xlfn.VSTACK(YES_Writing_ELA[#Data], YES_Writing_FLA[#Data]),MATCH($A73,_xlfn.VSTACK(YES_Writing_ELA[Student Number], YES_Writing_FLA[Student Number]),0),MATCH(B$7,YES_Writing_ELA[#Headers],0)),IFERROR(INDEX(_xlfn.VSTACK(YES_Reading_ELA[#Data], YES_Reading_FLA[#Data]),MATCH($A73,_xlfn.VSTACK(YES_Reading_ELA[Student Number], YES_Reading_FLA[Student Number]),0),MATCH(B$7,YES_Reading_ELA[#Headers],0)),""))</f>
        <v/>
      </c>
      <c r="C73" s="137" t="str">
        <f>IFERROR(INDEX(_xlfn.VSTACK(YES_Writing_ELA[#Data], YES_Writing_FLA[#Data]),MATCH($A73,_xlfn.VSTACK(YES_Writing_ELA[Student Number], YES_Writing_FLA[Student Number]),0),MATCH(C$7,YES_Writing_ELA[#Headers],0)),IFERROR(INDEX(_xlfn.VSTACK(YES_Reading_ELA[#Data], YES_Reading_FLA[#Data]),MATCH($A73,_xlfn.VSTACK(YES_Reading_ELA[Student Number], YES_Reading_FLA[Student Number]),0),MATCH(C$7,YES_Reading_ELA[#Headers],0)),""))</f>
        <v/>
      </c>
      <c r="D73" s="138" t="str">
        <f>IFERROR(IF(IF(INDEX(_xlfn.VSTACK(YES_Writing_ELA[#Data],YES_Writing_FLA[#Data]),MATCH($A73,_xlfn.VSTACK(YES_Writing_ELA[Student Number],YES_Writing_FLA[Student Number]),0),MATCH(VLOOKUP(D$7,'Writing Logic'!$J$7:$K$11,2,FALSE)&amp;" - Per "&amp;VLOOKUP($C$4,'Writing Logic'!$G$8:$H$14,2,FALSE),YES_Writing_ELA[#Headers],0))=0,"",INDEX(_xlfn.VSTACK(YES_Writing_ELA[#Data],YES_Writing_FLA[#Data]),MATCH($A73,_xlfn.VSTACK(YES_Writing_ELA[Student Number],YES_Writing_FLA[Student Number]),0),MATCH(VLOOKUP(D$7,'Writing Logic'!$J$7:$K$11,2,FALSE)&amp;" - Per "&amp;VLOOKUP($C$4,'Writing Logic'!$G$8:$H$14,2,FALSE),YES_Writing_ELA[#Headers],0)))="INS",'Writing Logic'!$B$7,IF(INDEX(_xlfn.VSTACK(YES_Writing_ELA[#Data],YES_Writing_FLA[#Data]),MATCH($A73,_xlfn.VSTACK(YES_Writing_ELA[Student Number],YES_Writing_FLA[Student Number]),0),MATCH(VLOOKUP(D$7,'Writing Logic'!$J$7:$K$11,2,FALSE)&amp;" - Per "&amp;VLOOKUP($C$4,'Writing Logic'!$G$8:$H$14,2,FALSE),YES_Writing_ELA[#Headers],0))=0,"",INDEX(_xlfn.VSTACK(YES_Writing_ELA[#Data],YES_Writing_FLA[#Data]),MATCH($A73,_xlfn.VSTACK(YES_Writing_ELA[Student Number],YES_Writing_FLA[Student Number]),0),MATCH(VLOOKUP(D$7,'Writing Logic'!$J$7:$K$11,2,FALSE)&amp;" - Per "&amp;VLOOKUP($C$4,'Writing Logic'!$G$8:$H$14,2,FALSE),YES_Writing_ELA[#Headers],0)))),"")</f>
        <v/>
      </c>
      <c r="E73" s="138" t="str">
        <f>IFERROR(IF(IF(INDEX(_xlfn.VSTACK(YES_Writing_ELA[#Data],YES_Writing_FLA[#Data]),MATCH($A73,_xlfn.VSTACK(YES_Writing_ELA[Student Number],YES_Writing_FLA[Student Number]),0),MATCH(VLOOKUP(E$7,'Writing Logic'!$J$7:$K$11,2,FALSE)&amp;" - Per "&amp;VLOOKUP($C$4,'Writing Logic'!$G$8:$H$14,2,FALSE),YES_Writing_ELA[#Headers],0))=0,"",INDEX(_xlfn.VSTACK(YES_Writing_ELA[#Data],YES_Writing_FLA[#Data]),MATCH($A73,_xlfn.VSTACK(YES_Writing_ELA[Student Number],YES_Writing_FLA[Student Number]),0),MATCH(VLOOKUP(E$7,'Writing Logic'!$J$7:$K$11,2,FALSE)&amp;" - Per "&amp;VLOOKUP($C$4,'Writing Logic'!$G$8:$H$14,2,FALSE),YES_Writing_ELA[#Headers],0)))="INS",'Writing Logic'!$B$7,IF(INDEX(_xlfn.VSTACK(YES_Writing_ELA[#Data],YES_Writing_FLA[#Data]),MATCH($A73,_xlfn.VSTACK(YES_Writing_ELA[Student Number],YES_Writing_FLA[Student Number]),0),MATCH(VLOOKUP(E$7,'Writing Logic'!$J$7:$K$11,2,FALSE)&amp;" - Per "&amp;VLOOKUP($C$4,'Writing Logic'!$G$8:$H$14,2,FALSE),YES_Writing_ELA[#Headers],0))=0,"",INDEX(_xlfn.VSTACK(YES_Writing_ELA[#Data],YES_Writing_FLA[#Data]),MATCH($A73,_xlfn.VSTACK(YES_Writing_ELA[Student Number],YES_Writing_FLA[Student Number]),0),MATCH(VLOOKUP(E$7,'Writing Logic'!$J$7:$K$11,2,FALSE)&amp;" - Per "&amp;VLOOKUP($C$4,'Writing Logic'!$G$8:$H$14,2,FALSE),YES_Writing_ELA[#Headers],0)))),"")</f>
        <v/>
      </c>
      <c r="F73" s="138" t="str">
        <f>IFERROR(IF(IF(INDEX(_xlfn.VSTACK(YES_Writing_ELA[#Data],YES_Writing_FLA[#Data]),MATCH($A73,_xlfn.VSTACK(YES_Writing_ELA[Student Number],YES_Writing_FLA[Student Number]),0),MATCH(VLOOKUP(F$7,'Writing Logic'!$J$7:$K$11,2,FALSE)&amp;" - Per "&amp;VLOOKUP($C$4,'Writing Logic'!$G$8:$H$14,2,FALSE),YES_Writing_ELA[#Headers],0))=0,"",INDEX(_xlfn.VSTACK(YES_Writing_ELA[#Data],YES_Writing_FLA[#Data]),MATCH($A73,_xlfn.VSTACK(YES_Writing_ELA[Student Number],YES_Writing_FLA[Student Number]),0),MATCH(VLOOKUP(F$7,'Writing Logic'!$J$7:$K$11,2,FALSE)&amp;" - Per "&amp;VLOOKUP($C$4,'Writing Logic'!$G$8:$H$14,2,FALSE),YES_Writing_ELA[#Headers],0)))="INS",'Writing Logic'!$B$7,IF(INDEX(_xlfn.VSTACK(YES_Writing_ELA[#Data],YES_Writing_FLA[#Data]),MATCH($A73,_xlfn.VSTACK(YES_Writing_ELA[Student Number],YES_Writing_FLA[Student Number]),0),MATCH(VLOOKUP(F$7,'Writing Logic'!$J$7:$K$11,2,FALSE)&amp;" - Per "&amp;VLOOKUP($C$4,'Writing Logic'!$G$8:$H$14,2,FALSE),YES_Writing_ELA[#Headers],0))=0,"",INDEX(_xlfn.VSTACK(YES_Writing_ELA[#Data],YES_Writing_FLA[#Data]),MATCH($A73,_xlfn.VSTACK(YES_Writing_ELA[Student Number],YES_Writing_FLA[Student Number]),0),MATCH(VLOOKUP(F$7,'Writing Logic'!$J$7:$K$11,2,FALSE)&amp;" - Per "&amp;VLOOKUP($C$4,'Writing Logic'!$G$8:$H$14,2,FALSE),YES_Writing_ELA[#Headers],0)))),"")</f>
        <v/>
      </c>
      <c r="G73" s="138" t="str">
        <f>IFERROR(IF(IF(INDEX(_xlfn.VSTACK(YES_Writing_ELA[#Data],YES_Writing_FLA[#Data]),MATCH($A73,_xlfn.VSTACK(YES_Writing_ELA[Student Number],YES_Writing_FLA[Student Number]),0),MATCH(VLOOKUP(G$7,'Writing Logic'!$J$7:$K$11,2,FALSE)&amp;" - Per "&amp;VLOOKUP($C$4,'Writing Logic'!$G$8:$H$14,2,FALSE),YES_Writing_ELA[#Headers],0))=0,"",INDEX(_xlfn.VSTACK(YES_Writing_ELA[#Data],YES_Writing_FLA[#Data]),MATCH($A73,_xlfn.VSTACK(YES_Writing_ELA[Student Number],YES_Writing_FLA[Student Number]),0),MATCH(VLOOKUP(G$7,'Writing Logic'!$J$7:$K$11,2,FALSE)&amp;" - Per "&amp;VLOOKUP($C$4,'Writing Logic'!$G$8:$H$14,2,FALSE),YES_Writing_ELA[#Headers],0)))="INS",'Writing Logic'!$B$7,IF(INDEX(_xlfn.VSTACK(YES_Writing_ELA[#Data],YES_Writing_FLA[#Data]),MATCH($A73,_xlfn.VSTACK(YES_Writing_ELA[Student Number],YES_Writing_FLA[Student Number]),0),MATCH(VLOOKUP(G$7,'Writing Logic'!$J$7:$K$11,2,FALSE)&amp;" - Per "&amp;VLOOKUP($C$4,'Writing Logic'!$G$8:$H$14,2,FALSE),YES_Writing_ELA[#Headers],0))=0,"",INDEX(_xlfn.VSTACK(YES_Writing_ELA[#Data],YES_Writing_FLA[#Data]),MATCH($A73,_xlfn.VSTACK(YES_Writing_ELA[Student Number],YES_Writing_FLA[Student Number]),0),MATCH(VLOOKUP(G$7,'Writing Logic'!$J$7:$K$11,2,FALSE)&amp;" - Per "&amp;VLOOKUP($C$4,'Writing Logic'!$G$8:$H$14,2,FALSE),YES_Writing_ELA[#Headers],0)))),"")</f>
        <v/>
      </c>
      <c r="H73" s="223" t="str">
        <f>IFERROR(IF(IF(INDEX(_xlfn.VSTACK(YES_Writing_ELA[#Data],YES_Writing_FLA[#Data]),MATCH($A73,_xlfn.VSTACK(YES_Writing_ELA[Student Number],YES_Writing_FLA[Student Number]),0),MATCH(VLOOKUP(H$7,'Writing Logic'!$J$7:$K$11,2,FALSE)&amp;" - Per "&amp;VLOOKUP($C$4,'Writing Logic'!$G$8:$H$14,2,FALSE),YES_Writing_ELA[#Headers],0))=0,"",INDEX(_xlfn.VSTACK(YES_Writing_ELA[#Data],YES_Writing_FLA[#Data]),MATCH($A73,_xlfn.VSTACK(YES_Writing_ELA[Student Number],YES_Writing_FLA[Student Number]),0),MATCH(VLOOKUP(H$7,'Writing Logic'!$J$7:$K$11,2,FALSE)&amp;" - Per "&amp;VLOOKUP($C$4,'Writing Logic'!$G$8:$H$14,2,FALSE),YES_Writing_ELA[#Headers],0)))="INS",'Writing Logic'!$B$7,IF(INDEX(_xlfn.VSTACK(YES_Writing_ELA[#Data],YES_Writing_FLA[#Data]),MATCH($A73,_xlfn.VSTACK(YES_Writing_ELA[Student Number],YES_Writing_FLA[Student Number]),0),MATCH(VLOOKUP(H$7,'Writing Logic'!$J$7:$K$11,2,FALSE)&amp;" - Per "&amp;VLOOKUP($C$4,'Writing Logic'!$G$8:$H$14,2,FALSE),YES_Writing_ELA[#Headers],0))=0,"",INDEX(_xlfn.VSTACK(YES_Writing_ELA[#Data],YES_Writing_FLA[#Data]),MATCH($A73,_xlfn.VSTACK(YES_Writing_ELA[Student Number],YES_Writing_FLA[Student Number]),0),MATCH(VLOOKUP(H$7,'Writing Logic'!$J$7:$K$11,2,FALSE)&amp;" - Per "&amp;VLOOKUP($C$4,'Writing Logic'!$G$8:$H$14,2,FALSE),YES_Writing_ELA[#Headers],0)))),"")</f>
        <v/>
      </c>
      <c r="I73" s="224" t="str" cm="1">
        <f t="array" aca="1" ref="I73" ca="1">IFERROR(
IF($G$3="ELA",
IF(VLOOKUP($A73, YES_Reading_ELA[], COLUMN(INDIRECT("YES_Reading_ELA[Difference - Per "&amp;VLOOKUP($G$4, 'Reading Report Logic'!$A$2:$B$8, 2, FALSE)&amp;"]")), FALSE)="", "",
VLOOKUP($A73,YES_Reading_ELA[], COLUMN(INDIRECT("YES_Reading_ELA[Difference - Per "&amp;VLOOKUP($G$4,'Reading Report Logic'!$A$2:$B$8,2,FALSE)&amp;"]")), FALSE)),
IF($G$3="FLA",
IF(VLOOKUP($A73, YES_Reading_FLA[], COLUMN(INDIRECT("YES_Reading_FLA[Difference - Per "&amp;VLOOKUP($G$4,'Reading Report Logic'!$A$2:$B$8,2,FALSE)&amp;"]")),FALSE)="","",
VLOOKUP($A73,YES_Reading_FLA[],COLUMN(INDIRECT("YES_Reading_FLA[Difference - Per "&amp;VLOOKUP($G$4,'Reading Report Logic'!$A$2:$B$8,2,FALSE)&amp;"]")),FALSE)),
IF($G$3="Combined",
IFERROR(
IF(VLOOKUP($A73, YES_Reading_ELA[], COLUMN(INDIRECT("YES_Reading_ELA[Difference - Per "&amp;VLOOKUP($G$4, 'Reading Report Logic'!$A$2:$B$8,2,FALSE)&amp;"]")), FALSE)="", "",
VLOOKUP($A73,YES_Reading_ELA[],COLUMN(INDIRECT("YES_Reading_ELA[Difference - Per "&amp;VLOOKUP($G$4,'Reading Report Logic'!$A$2:$B$8,2,FALSE)&amp;"]")),FALSE)),
IF(VLOOKUP($A73, YES_Reading_FLA[], COLUMN(INDIRECT("YES_Reading_FLA[Difference - Per "&amp;VLOOKUP($G$4, 'Reading Report Logic'!$A$2:$B$8, 2, FALSE)&amp;"]")),FALSE)="", "", VLOOKUP($A73,YES_Reading_FLA[],COLUMN(INDIRECT("YES_Reading_FLA[Difference - Per "&amp;VLOOKUP($G$4, 'Reading Report Logic'!$A$2:$B$8, 2, FALSE)&amp;"]")),FALSE))),""))),"")</f>
        <v/>
      </c>
    </row>
    <row r="74" spans="1:15" s="99" customFormat="1" ht="14.25" customHeight="1" x14ac:dyDescent="0.25">
      <c r="A74" s="137"/>
      <c r="B74" s="137" t="str">
        <f>IFERROR(INDEX(_xlfn.VSTACK(YES_Writing_ELA[#Data], YES_Writing_FLA[#Data]),MATCH($A74,_xlfn.VSTACK(YES_Writing_ELA[Student Number], YES_Writing_FLA[Student Number]),0),MATCH(B$7,YES_Writing_ELA[#Headers],0)),IFERROR(INDEX(_xlfn.VSTACK(YES_Reading_ELA[#Data], YES_Reading_FLA[#Data]),MATCH($A74,_xlfn.VSTACK(YES_Reading_ELA[Student Number], YES_Reading_FLA[Student Number]),0),MATCH(B$7,YES_Reading_ELA[#Headers],0)),""))</f>
        <v/>
      </c>
      <c r="C74" s="137" t="str">
        <f>IFERROR(INDEX(_xlfn.VSTACK(YES_Writing_ELA[#Data], YES_Writing_FLA[#Data]),MATCH($A74,_xlfn.VSTACK(YES_Writing_ELA[Student Number], YES_Writing_FLA[Student Number]),0),MATCH(C$7,YES_Writing_ELA[#Headers],0)),IFERROR(INDEX(_xlfn.VSTACK(YES_Reading_ELA[#Data], YES_Reading_FLA[#Data]),MATCH($A74,_xlfn.VSTACK(YES_Reading_ELA[Student Number], YES_Reading_FLA[Student Number]),0),MATCH(C$7,YES_Reading_ELA[#Headers],0)),""))</f>
        <v/>
      </c>
      <c r="D74" s="138" t="str">
        <f>IFERROR(IF(IF(INDEX(_xlfn.VSTACK(YES_Writing_ELA[#Data],YES_Writing_FLA[#Data]),MATCH($A74,_xlfn.VSTACK(YES_Writing_ELA[Student Number],YES_Writing_FLA[Student Number]),0),MATCH(VLOOKUP(D$7,'Writing Logic'!$J$7:$K$11,2,FALSE)&amp;" - Per "&amp;VLOOKUP($C$4,'Writing Logic'!$G$8:$H$14,2,FALSE),YES_Writing_ELA[#Headers],0))=0,"",INDEX(_xlfn.VSTACK(YES_Writing_ELA[#Data],YES_Writing_FLA[#Data]),MATCH($A74,_xlfn.VSTACK(YES_Writing_ELA[Student Number],YES_Writing_FLA[Student Number]),0),MATCH(VLOOKUP(D$7,'Writing Logic'!$J$7:$K$11,2,FALSE)&amp;" - Per "&amp;VLOOKUP($C$4,'Writing Logic'!$G$8:$H$14,2,FALSE),YES_Writing_ELA[#Headers],0)))="INS",'Writing Logic'!$B$7,IF(INDEX(_xlfn.VSTACK(YES_Writing_ELA[#Data],YES_Writing_FLA[#Data]),MATCH($A74,_xlfn.VSTACK(YES_Writing_ELA[Student Number],YES_Writing_FLA[Student Number]),0),MATCH(VLOOKUP(D$7,'Writing Logic'!$J$7:$K$11,2,FALSE)&amp;" - Per "&amp;VLOOKUP($C$4,'Writing Logic'!$G$8:$H$14,2,FALSE),YES_Writing_ELA[#Headers],0))=0,"",INDEX(_xlfn.VSTACK(YES_Writing_ELA[#Data],YES_Writing_FLA[#Data]),MATCH($A74,_xlfn.VSTACK(YES_Writing_ELA[Student Number],YES_Writing_FLA[Student Number]),0),MATCH(VLOOKUP(D$7,'Writing Logic'!$J$7:$K$11,2,FALSE)&amp;" - Per "&amp;VLOOKUP($C$4,'Writing Logic'!$G$8:$H$14,2,FALSE),YES_Writing_ELA[#Headers],0)))),"")</f>
        <v/>
      </c>
      <c r="E74" s="138" t="str">
        <f>IFERROR(IF(IF(INDEX(_xlfn.VSTACK(YES_Writing_ELA[#Data],YES_Writing_FLA[#Data]),MATCH($A74,_xlfn.VSTACK(YES_Writing_ELA[Student Number],YES_Writing_FLA[Student Number]),0),MATCH(VLOOKUP(E$7,'Writing Logic'!$J$7:$K$11,2,FALSE)&amp;" - Per "&amp;VLOOKUP($C$4,'Writing Logic'!$G$8:$H$14,2,FALSE),YES_Writing_ELA[#Headers],0))=0,"",INDEX(_xlfn.VSTACK(YES_Writing_ELA[#Data],YES_Writing_FLA[#Data]),MATCH($A74,_xlfn.VSTACK(YES_Writing_ELA[Student Number],YES_Writing_FLA[Student Number]),0),MATCH(VLOOKUP(E$7,'Writing Logic'!$J$7:$K$11,2,FALSE)&amp;" - Per "&amp;VLOOKUP($C$4,'Writing Logic'!$G$8:$H$14,2,FALSE),YES_Writing_ELA[#Headers],0)))="INS",'Writing Logic'!$B$7,IF(INDEX(_xlfn.VSTACK(YES_Writing_ELA[#Data],YES_Writing_FLA[#Data]),MATCH($A74,_xlfn.VSTACK(YES_Writing_ELA[Student Number],YES_Writing_FLA[Student Number]),0),MATCH(VLOOKUP(E$7,'Writing Logic'!$J$7:$K$11,2,FALSE)&amp;" - Per "&amp;VLOOKUP($C$4,'Writing Logic'!$G$8:$H$14,2,FALSE),YES_Writing_ELA[#Headers],0))=0,"",INDEX(_xlfn.VSTACK(YES_Writing_ELA[#Data],YES_Writing_FLA[#Data]),MATCH($A74,_xlfn.VSTACK(YES_Writing_ELA[Student Number],YES_Writing_FLA[Student Number]),0),MATCH(VLOOKUP(E$7,'Writing Logic'!$J$7:$K$11,2,FALSE)&amp;" - Per "&amp;VLOOKUP($C$4,'Writing Logic'!$G$8:$H$14,2,FALSE),YES_Writing_ELA[#Headers],0)))),"")</f>
        <v/>
      </c>
      <c r="F74" s="138" t="str">
        <f>IFERROR(IF(IF(INDEX(_xlfn.VSTACK(YES_Writing_ELA[#Data],YES_Writing_FLA[#Data]),MATCH($A74,_xlfn.VSTACK(YES_Writing_ELA[Student Number],YES_Writing_FLA[Student Number]),0),MATCH(VLOOKUP(F$7,'Writing Logic'!$J$7:$K$11,2,FALSE)&amp;" - Per "&amp;VLOOKUP($C$4,'Writing Logic'!$G$8:$H$14,2,FALSE),YES_Writing_ELA[#Headers],0))=0,"",INDEX(_xlfn.VSTACK(YES_Writing_ELA[#Data],YES_Writing_FLA[#Data]),MATCH($A74,_xlfn.VSTACK(YES_Writing_ELA[Student Number],YES_Writing_FLA[Student Number]),0),MATCH(VLOOKUP(F$7,'Writing Logic'!$J$7:$K$11,2,FALSE)&amp;" - Per "&amp;VLOOKUP($C$4,'Writing Logic'!$G$8:$H$14,2,FALSE),YES_Writing_ELA[#Headers],0)))="INS",'Writing Logic'!$B$7,IF(INDEX(_xlfn.VSTACK(YES_Writing_ELA[#Data],YES_Writing_FLA[#Data]),MATCH($A74,_xlfn.VSTACK(YES_Writing_ELA[Student Number],YES_Writing_FLA[Student Number]),0),MATCH(VLOOKUP(F$7,'Writing Logic'!$J$7:$K$11,2,FALSE)&amp;" - Per "&amp;VLOOKUP($C$4,'Writing Logic'!$G$8:$H$14,2,FALSE),YES_Writing_ELA[#Headers],0))=0,"",INDEX(_xlfn.VSTACK(YES_Writing_ELA[#Data],YES_Writing_FLA[#Data]),MATCH($A74,_xlfn.VSTACK(YES_Writing_ELA[Student Number],YES_Writing_FLA[Student Number]),0),MATCH(VLOOKUP(F$7,'Writing Logic'!$J$7:$K$11,2,FALSE)&amp;" - Per "&amp;VLOOKUP($C$4,'Writing Logic'!$G$8:$H$14,2,FALSE),YES_Writing_ELA[#Headers],0)))),"")</f>
        <v/>
      </c>
      <c r="G74" s="138" t="str">
        <f>IFERROR(IF(IF(INDEX(_xlfn.VSTACK(YES_Writing_ELA[#Data],YES_Writing_FLA[#Data]),MATCH($A74,_xlfn.VSTACK(YES_Writing_ELA[Student Number],YES_Writing_FLA[Student Number]),0),MATCH(VLOOKUP(G$7,'Writing Logic'!$J$7:$K$11,2,FALSE)&amp;" - Per "&amp;VLOOKUP($C$4,'Writing Logic'!$G$8:$H$14,2,FALSE),YES_Writing_ELA[#Headers],0))=0,"",INDEX(_xlfn.VSTACK(YES_Writing_ELA[#Data],YES_Writing_FLA[#Data]),MATCH($A74,_xlfn.VSTACK(YES_Writing_ELA[Student Number],YES_Writing_FLA[Student Number]),0),MATCH(VLOOKUP(G$7,'Writing Logic'!$J$7:$K$11,2,FALSE)&amp;" - Per "&amp;VLOOKUP($C$4,'Writing Logic'!$G$8:$H$14,2,FALSE),YES_Writing_ELA[#Headers],0)))="INS",'Writing Logic'!$B$7,IF(INDEX(_xlfn.VSTACK(YES_Writing_ELA[#Data],YES_Writing_FLA[#Data]),MATCH($A74,_xlfn.VSTACK(YES_Writing_ELA[Student Number],YES_Writing_FLA[Student Number]),0),MATCH(VLOOKUP(G$7,'Writing Logic'!$J$7:$K$11,2,FALSE)&amp;" - Per "&amp;VLOOKUP($C$4,'Writing Logic'!$G$8:$H$14,2,FALSE),YES_Writing_ELA[#Headers],0))=0,"",INDEX(_xlfn.VSTACK(YES_Writing_ELA[#Data],YES_Writing_FLA[#Data]),MATCH($A74,_xlfn.VSTACK(YES_Writing_ELA[Student Number],YES_Writing_FLA[Student Number]),0),MATCH(VLOOKUP(G$7,'Writing Logic'!$J$7:$K$11,2,FALSE)&amp;" - Per "&amp;VLOOKUP($C$4,'Writing Logic'!$G$8:$H$14,2,FALSE),YES_Writing_ELA[#Headers],0)))),"")</f>
        <v/>
      </c>
      <c r="H74" s="223" t="str">
        <f>IFERROR(IF(IF(INDEX(_xlfn.VSTACK(YES_Writing_ELA[#Data],YES_Writing_FLA[#Data]),MATCH($A74,_xlfn.VSTACK(YES_Writing_ELA[Student Number],YES_Writing_FLA[Student Number]),0),MATCH(VLOOKUP(H$7,'Writing Logic'!$J$7:$K$11,2,FALSE)&amp;" - Per "&amp;VLOOKUP($C$4,'Writing Logic'!$G$8:$H$14,2,FALSE),YES_Writing_ELA[#Headers],0))=0,"",INDEX(_xlfn.VSTACK(YES_Writing_ELA[#Data],YES_Writing_FLA[#Data]),MATCH($A74,_xlfn.VSTACK(YES_Writing_ELA[Student Number],YES_Writing_FLA[Student Number]),0),MATCH(VLOOKUP(H$7,'Writing Logic'!$J$7:$K$11,2,FALSE)&amp;" - Per "&amp;VLOOKUP($C$4,'Writing Logic'!$G$8:$H$14,2,FALSE),YES_Writing_ELA[#Headers],0)))="INS",'Writing Logic'!$B$7,IF(INDEX(_xlfn.VSTACK(YES_Writing_ELA[#Data],YES_Writing_FLA[#Data]),MATCH($A74,_xlfn.VSTACK(YES_Writing_ELA[Student Number],YES_Writing_FLA[Student Number]),0),MATCH(VLOOKUP(H$7,'Writing Logic'!$J$7:$K$11,2,FALSE)&amp;" - Per "&amp;VLOOKUP($C$4,'Writing Logic'!$G$8:$H$14,2,FALSE),YES_Writing_ELA[#Headers],0))=0,"",INDEX(_xlfn.VSTACK(YES_Writing_ELA[#Data],YES_Writing_FLA[#Data]),MATCH($A74,_xlfn.VSTACK(YES_Writing_ELA[Student Number],YES_Writing_FLA[Student Number]),0),MATCH(VLOOKUP(H$7,'Writing Logic'!$J$7:$K$11,2,FALSE)&amp;" - Per "&amp;VLOOKUP($C$4,'Writing Logic'!$G$8:$H$14,2,FALSE),YES_Writing_ELA[#Headers],0)))),"")</f>
        <v/>
      </c>
      <c r="I74" s="224" t="str" cm="1">
        <f t="array" aca="1" ref="I74" ca="1">IFERROR(
IF($G$3="ELA",
IF(VLOOKUP($A74, YES_Reading_ELA[], COLUMN(INDIRECT("YES_Reading_ELA[Difference - Per "&amp;VLOOKUP($G$4, 'Reading Report Logic'!$A$2:$B$8, 2, FALSE)&amp;"]")), FALSE)="", "",
VLOOKUP($A74,YES_Reading_ELA[], COLUMN(INDIRECT("YES_Reading_ELA[Difference - Per "&amp;VLOOKUP($G$4,'Reading Report Logic'!$A$2:$B$8,2,FALSE)&amp;"]")), FALSE)),
IF($G$3="FLA",
IF(VLOOKUP($A74, YES_Reading_FLA[], COLUMN(INDIRECT("YES_Reading_FLA[Difference - Per "&amp;VLOOKUP($G$4,'Reading Report Logic'!$A$2:$B$8,2,FALSE)&amp;"]")),FALSE)="","",
VLOOKUP($A74,YES_Reading_FLA[],COLUMN(INDIRECT("YES_Reading_FLA[Difference - Per "&amp;VLOOKUP($G$4,'Reading Report Logic'!$A$2:$B$8,2,FALSE)&amp;"]")),FALSE)),
IF($G$3="Combined",
IFERROR(
IF(VLOOKUP($A74, YES_Reading_ELA[], COLUMN(INDIRECT("YES_Reading_ELA[Difference - Per "&amp;VLOOKUP($G$4, 'Reading Report Logic'!$A$2:$B$8,2,FALSE)&amp;"]")), FALSE)="", "",
VLOOKUP($A74,YES_Reading_ELA[],COLUMN(INDIRECT("YES_Reading_ELA[Difference - Per "&amp;VLOOKUP($G$4,'Reading Report Logic'!$A$2:$B$8,2,FALSE)&amp;"]")),FALSE)),
IF(VLOOKUP($A74, YES_Reading_FLA[], COLUMN(INDIRECT("YES_Reading_FLA[Difference - Per "&amp;VLOOKUP($G$4, 'Reading Report Logic'!$A$2:$B$8, 2, FALSE)&amp;"]")),FALSE)="", "", VLOOKUP($A74,YES_Reading_FLA[],COLUMN(INDIRECT("YES_Reading_FLA[Difference - Per "&amp;VLOOKUP($G$4, 'Reading Report Logic'!$A$2:$B$8, 2, FALSE)&amp;"]")),FALSE))),""))),"")</f>
        <v/>
      </c>
      <c r="J74" s="136"/>
      <c r="K74"/>
      <c r="L74"/>
      <c r="M74"/>
      <c r="N74"/>
      <c r="O74"/>
    </row>
    <row r="75" spans="1:15" s="99" customFormat="1" ht="14.25" customHeight="1" x14ac:dyDescent="0.25">
      <c r="A75" s="137"/>
      <c r="B75" s="137" t="str">
        <f>IFERROR(INDEX(_xlfn.VSTACK(YES_Writing_ELA[#Data], YES_Writing_FLA[#Data]),MATCH($A75,_xlfn.VSTACK(YES_Writing_ELA[Student Number], YES_Writing_FLA[Student Number]),0),MATCH(B$7,YES_Writing_ELA[#Headers],0)),IFERROR(INDEX(_xlfn.VSTACK(YES_Reading_ELA[#Data], YES_Reading_FLA[#Data]),MATCH($A75,_xlfn.VSTACK(YES_Reading_ELA[Student Number], YES_Reading_FLA[Student Number]),0),MATCH(B$7,YES_Reading_ELA[#Headers],0)),""))</f>
        <v/>
      </c>
      <c r="C75" s="137" t="str">
        <f>IFERROR(INDEX(_xlfn.VSTACK(YES_Writing_ELA[#Data], YES_Writing_FLA[#Data]),MATCH($A75,_xlfn.VSTACK(YES_Writing_ELA[Student Number], YES_Writing_FLA[Student Number]),0),MATCH(C$7,YES_Writing_ELA[#Headers],0)),IFERROR(INDEX(_xlfn.VSTACK(YES_Reading_ELA[#Data], YES_Reading_FLA[#Data]),MATCH($A75,_xlfn.VSTACK(YES_Reading_ELA[Student Number], YES_Reading_FLA[Student Number]),0),MATCH(C$7,YES_Reading_ELA[#Headers],0)),""))</f>
        <v/>
      </c>
      <c r="D75" s="138" t="str">
        <f>IFERROR(IF(IF(INDEX(_xlfn.VSTACK(YES_Writing_ELA[#Data],YES_Writing_FLA[#Data]),MATCH($A75,_xlfn.VSTACK(YES_Writing_ELA[Student Number],YES_Writing_FLA[Student Number]),0),MATCH(VLOOKUP(D$7,'Writing Logic'!$J$7:$K$11,2,FALSE)&amp;" - Per "&amp;VLOOKUP($C$4,'Writing Logic'!$G$8:$H$14,2,FALSE),YES_Writing_ELA[#Headers],0))=0,"",INDEX(_xlfn.VSTACK(YES_Writing_ELA[#Data],YES_Writing_FLA[#Data]),MATCH($A75,_xlfn.VSTACK(YES_Writing_ELA[Student Number],YES_Writing_FLA[Student Number]),0),MATCH(VLOOKUP(D$7,'Writing Logic'!$J$7:$K$11,2,FALSE)&amp;" - Per "&amp;VLOOKUP($C$4,'Writing Logic'!$G$8:$H$14,2,FALSE),YES_Writing_ELA[#Headers],0)))="INS",'Writing Logic'!$B$7,IF(INDEX(_xlfn.VSTACK(YES_Writing_ELA[#Data],YES_Writing_FLA[#Data]),MATCH($A75,_xlfn.VSTACK(YES_Writing_ELA[Student Number],YES_Writing_FLA[Student Number]),0),MATCH(VLOOKUP(D$7,'Writing Logic'!$J$7:$K$11,2,FALSE)&amp;" - Per "&amp;VLOOKUP($C$4,'Writing Logic'!$G$8:$H$14,2,FALSE),YES_Writing_ELA[#Headers],0))=0,"",INDEX(_xlfn.VSTACK(YES_Writing_ELA[#Data],YES_Writing_FLA[#Data]),MATCH($A75,_xlfn.VSTACK(YES_Writing_ELA[Student Number],YES_Writing_FLA[Student Number]),0),MATCH(VLOOKUP(D$7,'Writing Logic'!$J$7:$K$11,2,FALSE)&amp;" - Per "&amp;VLOOKUP($C$4,'Writing Logic'!$G$8:$H$14,2,FALSE),YES_Writing_ELA[#Headers],0)))),"")</f>
        <v/>
      </c>
      <c r="E75" s="138" t="str">
        <f>IFERROR(IF(IF(INDEX(_xlfn.VSTACK(YES_Writing_ELA[#Data],YES_Writing_FLA[#Data]),MATCH($A75,_xlfn.VSTACK(YES_Writing_ELA[Student Number],YES_Writing_FLA[Student Number]),0),MATCH(VLOOKUP(E$7,'Writing Logic'!$J$7:$K$11,2,FALSE)&amp;" - Per "&amp;VLOOKUP($C$4,'Writing Logic'!$G$8:$H$14,2,FALSE),YES_Writing_ELA[#Headers],0))=0,"",INDEX(_xlfn.VSTACK(YES_Writing_ELA[#Data],YES_Writing_FLA[#Data]),MATCH($A75,_xlfn.VSTACK(YES_Writing_ELA[Student Number],YES_Writing_FLA[Student Number]),0),MATCH(VLOOKUP(E$7,'Writing Logic'!$J$7:$K$11,2,FALSE)&amp;" - Per "&amp;VLOOKUP($C$4,'Writing Logic'!$G$8:$H$14,2,FALSE),YES_Writing_ELA[#Headers],0)))="INS",'Writing Logic'!$B$7,IF(INDEX(_xlfn.VSTACK(YES_Writing_ELA[#Data],YES_Writing_FLA[#Data]),MATCH($A75,_xlfn.VSTACK(YES_Writing_ELA[Student Number],YES_Writing_FLA[Student Number]),0),MATCH(VLOOKUP(E$7,'Writing Logic'!$J$7:$K$11,2,FALSE)&amp;" - Per "&amp;VLOOKUP($C$4,'Writing Logic'!$G$8:$H$14,2,FALSE),YES_Writing_ELA[#Headers],0))=0,"",INDEX(_xlfn.VSTACK(YES_Writing_ELA[#Data],YES_Writing_FLA[#Data]),MATCH($A75,_xlfn.VSTACK(YES_Writing_ELA[Student Number],YES_Writing_FLA[Student Number]),0),MATCH(VLOOKUP(E$7,'Writing Logic'!$J$7:$K$11,2,FALSE)&amp;" - Per "&amp;VLOOKUP($C$4,'Writing Logic'!$G$8:$H$14,2,FALSE),YES_Writing_ELA[#Headers],0)))),"")</f>
        <v/>
      </c>
      <c r="F75" s="138" t="str">
        <f>IFERROR(IF(IF(INDEX(_xlfn.VSTACK(YES_Writing_ELA[#Data],YES_Writing_FLA[#Data]),MATCH($A75,_xlfn.VSTACK(YES_Writing_ELA[Student Number],YES_Writing_FLA[Student Number]),0),MATCH(VLOOKUP(F$7,'Writing Logic'!$J$7:$K$11,2,FALSE)&amp;" - Per "&amp;VLOOKUP($C$4,'Writing Logic'!$G$8:$H$14,2,FALSE),YES_Writing_ELA[#Headers],0))=0,"",INDEX(_xlfn.VSTACK(YES_Writing_ELA[#Data],YES_Writing_FLA[#Data]),MATCH($A75,_xlfn.VSTACK(YES_Writing_ELA[Student Number],YES_Writing_FLA[Student Number]),0),MATCH(VLOOKUP(F$7,'Writing Logic'!$J$7:$K$11,2,FALSE)&amp;" - Per "&amp;VLOOKUP($C$4,'Writing Logic'!$G$8:$H$14,2,FALSE),YES_Writing_ELA[#Headers],0)))="INS",'Writing Logic'!$B$7,IF(INDEX(_xlfn.VSTACK(YES_Writing_ELA[#Data],YES_Writing_FLA[#Data]),MATCH($A75,_xlfn.VSTACK(YES_Writing_ELA[Student Number],YES_Writing_FLA[Student Number]),0),MATCH(VLOOKUP(F$7,'Writing Logic'!$J$7:$K$11,2,FALSE)&amp;" - Per "&amp;VLOOKUP($C$4,'Writing Logic'!$G$8:$H$14,2,FALSE),YES_Writing_ELA[#Headers],0))=0,"",INDEX(_xlfn.VSTACK(YES_Writing_ELA[#Data],YES_Writing_FLA[#Data]),MATCH($A75,_xlfn.VSTACK(YES_Writing_ELA[Student Number],YES_Writing_FLA[Student Number]),0),MATCH(VLOOKUP(F$7,'Writing Logic'!$J$7:$K$11,2,FALSE)&amp;" - Per "&amp;VLOOKUP($C$4,'Writing Logic'!$G$8:$H$14,2,FALSE),YES_Writing_ELA[#Headers],0)))),"")</f>
        <v/>
      </c>
      <c r="G75" s="138" t="str">
        <f>IFERROR(IF(IF(INDEX(_xlfn.VSTACK(YES_Writing_ELA[#Data],YES_Writing_FLA[#Data]),MATCH($A75,_xlfn.VSTACK(YES_Writing_ELA[Student Number],YES_Writing_FLA[Student Number]),0),MATCH(VLOOKUP(G$7,'Writing Logic'!$J$7:$K$11,2,FALSE)&amp;" - Per "&amp;VLOOKUP($C$4,'Writing Logic'!$G$8:$H$14,2,FALSE),YES_Writing_ELA[#Headers],0))=0,"",INDEX(_xlfn.VSTACK(YES_Writing_ELA[#Data],YES_Writing_FLA[#Data]),MATCH($A75,_xlfn.VSTACK(YES_Writing_ELA[Student Number],YES_Writing_FLA[Student Number]),0),MATCH(VLOOKUP(G$7,'Writing Logic'!$J$7:$K$11,2,FALSE)&amp;" - Per "&amp;VLOOKUP($C$4,'Writing Logic'!$G$8:$H$14,2,FALSE),YES_Writing_ELA[#Headers],0)))="INS",'Writing Logic'!$B$7,IF(INDEX(_xlfn.VSTACK(YES_Writing_ELA[#Data],YES_Writing_FLA[#Data]),MATCH($A75,_xlfn.VSTACK(YES_Writing_ELA[Student Number],YES_Writing_FLA[Student Number]),0),MATCH(VLOOKUP(G$7,'Writing Logic'!$J$7:$K$11,2,FALSE)&amp;" - Per "&amp;VLOOKUP($C$4,'Writing Logic'!$G$8:$H$14,2,FALSE),YES_Writing_ELA[#Headers],0))=0,"",INDEX(_xlfn.VSTACK(YES_Writing_ELA[#Data],YES_Writing_FLA[#Data]),MATCH($A75,_xlfn.VSTACK(YES_Writing_ELA[Student Number],YES_Writing_FLA[Student Number]),0),MATCH(VLOOKUP(G$7,'Writing Logic'!$J$7:$K$11,2,FALSE)&amp;" - Per "&amp;VLOOKUP($C$4,'Writing Logic'!$G$8:$H$14,2,FALSE),YES_Writing_ELA[#Headers],0)))),"")</f>
        <v/>
      </c>
      <c r="H75" s="223" t="str">
        <f>IFERROR(IF(IF(INDEX(_xlfn.VSTACK(YES_Writing_ELA[#Data],YES_Writing_FLA[#Data]),MATCH($A75,_xlfn.VSTACK(YES_Writing_ELA[Student Number],YES_Writing_FLA[Student Number]),0),MATCH(VLOOKUP(H$7,'Writing Logic'!$J$7:$K$11,2,FALSE)&amp;" - Per "&amp;VLOOKUP($C$4,'Writing Logic'!$G$8:$H$14,2,FALSE),YES_Writing_ELA[#Headers],0))=0,"",INDEX(_xlfn.VSTACK(YES_Writing_ELA[#Data],YES_Writing_FLA[#Data]),MATCH($A75,_xlfn.VSTACK(YES_Writing_ELA[Student Number],YES_Writing_FLA[Student Number]),0),MATCH(VLOOKUP(H$7,'Writing Logic'!$J$7:$K$11,2,FALSE)&amp;" - Per "&amp;VLOOKUP($C$4,'Writing Logic'!$G$8:$H$14,2,FALSE),YES_Writing_ELA[#Headers],0)))="INS",'Writing Logic'!$B$7,IF(INDEX(_xlfn.VSTACK(YES_Writing_ELA[#Data],YES_Writing_FLA[#Data]),MATCH($A75,_xlfn.VSTACK(YES_Writing_ELA[Student Number],YES_Writing_FLA[Student Number]),0),MATCH(VLOOKUP(H$7,'Writing Logic'!$J$7:$K$11,2,FALSE)&amp;" - Per "&amp;VLOOKUP($C$4,'Writing Logic'!$G$8:$H$14,2,FALSE),YES_Writing_ELA[#Headers],0))=0,"",INDEX(_xlfn.VSTACK(YES_Writing_ELA[#Data],YES_Writing_FLA[#Data]),MATCH($A75,_xlfn.VSTACK(YES_Writing_ELA[Student Number],YES_Writing_FLA[Student Number]),0),MATCH(VLOOKUP(H$7,'Writing Logic'!$J$7:$K$11,2,FALSE)&amp;" - Per "&amp;VLOOKUP($C$4,'Writing Logic'!$G$8:$H$14,2,FALSE),YES_Writing_ELA[#Headers],0)))),"")</f>
        <v/>
      </c>
      <c r="I75" s="224" t="str" cm="1">
        <f t="array" aca="1" ref="I75" ca="1">IFERROR(
IF($G$3="ELA",
IF(VLOOKUP($A75, YES_Reading_ELA[], COLUMN(INDIRECT("YES_Reading_ELA[Difference - Per "&amp;VLOOKUP($G$4, 'Reading Report Logic'!$A$2:$B$8, 2, FALSE)&amp;"]")), FALSE)="", "",
VLOOKUP($A75,YES_Reading_ELA[], COLUMN(INDIRECT("YES_Reading_ELA[Difference - Per "&amp;VLOOKUP($G$4,'Reading Report Logic'!$A$2:$B$8,2,FALSE)&amp;"]")), FALSE)),
IF($G$3="FLA",
IF(VLOOKUP($A75, YES_Reading_FLA[], COLUMN(INDIRECT("YES_Reading_FLA[Difference - Per "&amp;VLOOKUP($G$4,'Reading Report Logic'!$A$2:$B$8,2,FALSE)&amp;"]")),FALSE)="","",
VLOOKUP($A75,YES_Reading_FLA[],COLUMN(INDIRECT("YES_Reading_FLA[Difference - Per "&amp;VLOOKUP($G$4,'Reading Report Logic'!$A$2:$B$8,2,FALSE)&amp;"]")),FALSE)),
IF($G$3="Combined",
IFERROR(
IF(VLOOKUP($A75, YES_Reading_ELA[], COLUMN(INDIRECT("YES_Reading_ELA[Difference - Per "&amp;VLOOKUP($G$4, 'Reading Report Logic'!$A$2:$B$8,2,FALSE)&amp;"]")), FALSE)="", "",
VLOOKUP($A75,YES_Reading_ELA[],COLUMN(INDIRECT("YES_Reading_ELA[Difference - Per "&amp;VLOOKUP($G$4,'Reading Report Logic'!$A$2:$B$8,2,FALSE)&amp;"]")),FALSE)),
IF(VLOOKUP($A75, YES_Reading_FLA[], COLUMN(INDIRECT("YES_Reading_FLA[Difference - Per "&amp;VLOOKUP($G$4, 'Reading Report Logic'!$A$2:$B$8, 2, FALSE)&amp;"]")),FALSE)="", "", VLOOKUP($A75,YES_Reading_FLA[],COLUMN(INDIRECT("YES_Reading_FLA[Difference - Per "&amp;VLOOKUP($G$4, 'Reading Report Logic'!$A$2:$B$8, 2, FALSE)&amp;"]")),FALSE))),""))),"")</f>
        <v/>
      </c>
      <c r="J75" s="136"/>
      <c r="K75" s="136"/>
      <c r="L75" s="136"/>
      <c r="M75" s="136"/>
      <c r="N75" s="136"/>
      <c r="O75" s="136"/>
    </row>
    <row r="76" spans="1:15" s="99" customFormat="1" ht="14.25" customHeight="1" x14ac:dyDescent="0.25">
      <c r="A76" s="137"/>
      <c r="B76" s="137" t="str">
        <f>IFERROR(INDEX(_xlfn.VSTACK(YES_Writing_ELA[#Data], YES_Writing_FLA[#Data]),MATCH($A76,_xlfn.VSTACK(YES_Writing_ELA[Student Number], YES_Writing_FLA[Student Number]),0),MATCH(B$7,YES_Writing_ELA[#Headers],0)),IFERROR(INDEX(_xlfn.VSTACK(YES_Reading_ELA[#Data], YES_Reading_FLA[#Data]),MATCH($A76,_xlfn.VSTACK(YES_Reading_ELA[Student Number], YES_Reading_FLA[Student Number]),0),MATCH(B$7,YES_Reading_ELA[#Headers],0)),""))</f>
        <v/>
      </c>
      <c r="C76" s="137" t="str">
        <f>IFERROR(INDEX(_xlfn.VSTACK(YES_Writing_ELA[#Data], YES_Writing_FLA[#Data]),MATCH($A76,_xlfn.VSTACK(YES_Writing_ELA[Student Number], YES_Writing_FLA[Student Number]),0),MATCH(C$7,YES_Writing_ELA[#Headers],0)),IFERROR(INDEX(_xlfn.VSTACK(YES_Reading_ELA[#Data], YES_Reading_FLA[#Data]),MATCH($A76,_xlfn.VSTACK(YES_Reading_ELA[Student Number], YES_Reading_FLA[Student Number]),0),MATCH(C$7,YES_Reading_ELA[#Headers],0)),""))</f>
        <v/>
      </c>
      <c r="D76" s="138" t="str">
        <f>IFERROR(IF(IF(INDEX(_xlfn.VSTACK(YES_Writing_ELA[#Data],YES_Writing_FLA[#Data]),MATCH($A76,_xlfn.VSTACK(YES_Writing_ELA[Student Number],YES_Writing_FLA[Student Number]),0),MATCH(VLOOKUP(D$7,'Writing Logic'!$J$7:$K$11,2,FALSE)&amp;" - Per "&amp;VLOOKUP($C$4,'Writing Logic'!$G$8:$H$14,2,FALSE),YES_Writing_ELA[#Headers],0))=0,"",INDEX(_xlfn.VSTACK(YES_Writing_ELA[#Data],YES_Writing_FLA[#Data]),MATCH($A76,_xlfn.VSTACK(YES_Writing_ELA[Student Number],YES_Writing_FLA[Student Number]),0),MATCH(VLOOKUP(D$7,'Writing Logic'!$J$7:$K$11,2,FALSE)&amp;" - Per "&amp;VLOOKUP($C$4,'Writing Logic'!$G$8:$H$14,2,FALSE),YES_Writing_ELA[#Headers],0)))="INS",'Writing Logic'!$B$7,IF(INDEX(_xlfn.VSTACK(YES_Writing_ELA[#Data],YES_Writing_FLA[#Data]),MATCH($A76,_xlfn.VSTACK(YES_Writing_ELA[Student Number],YES_Writing_FLA[Student Number]),0),MATCH(VLOOKUP(D$7,'Writing Logic'!$J$7:$K$11,2,FALSE)&amp;" - Per "&amp;VLOOKUP($C$4,'Writing Logic'!$G$8:$H$14,2,FALSE),YES_Writing_ELA[#Headers],0))=0,"",INDEX(_xlfn.VSTACK(YES_Writing_ELA[#Data],YES_Writing_FLA[#Data]),MATCH($A76,_xlfn.VSTACK(YES_Writing_ELA[Student Number],YES_Writing_FLA[Student Number]),0),MATCH(VLOOKUP(D$7,'Writing Logic'!$J$7:$K$11,2,FALSE)&amp;" - Per "&amp;VLOOKUP($C$4,'Writing Logic'!$G$8:$H$14,2,FALSE),YES_Writing_ELA[#Headers],0)))),"")</f>
        <v/>
      </c>
      <c r="E76" s="138" t="str">
        <f>IFERROR(IF(IF(INDEX(_xlfn.VSTACK(YES_Writing_ELA[#Data],YES_Writing_FLA[#Data]),MATCH($A76,_xlfn.VSTACK(YES_Writing_ELA[Student Number],YES_Writing_FLA[Student Number]),0),MATCH(VLOOKUP(E$7,'Writing Logic'!$J$7:$K$11,2,FALSE)&amp;" - Per "&amp;VLOOKUP($C$4,'Writing Logic'!$G$8:$H$14,2,FALSE),YES_Writing_ELA[#Headers],0))=0,"",INDEX(_xlfn.VSTACK(YES_Writing_ELA[#Data],YES_Writing_FLA[#Data]),MATCH($A76,_xlfn.VSTACK(YES_Writing_ELA[Student Number],YES_Writing_FLA[Student Number]),0),MATCH(VLOOKUP(E$7,'Writing Logic'!$J$7:$K$11,2,FALSE)&amp;" - Per "&amp;VLOOKUP($C$4,'Writing Logic'!$G$8:$H$14,2,FALSE),YES_Writing_ELA[#Headers],0)))="INS",'Writing Logic'!$B$7,IF(INDEX(_xlfn.VSTACK(YES_Writing_ELA[#Data],YES_Writing_FLA[#Data]),MATCH($A76,_xlfn.VSTACK(YES_Writing_ELA[Student Number],YES_Writing_FLA[Student Number]),0),MATCH(VLOOKUP(E$7,'Writing Logic'!$J$7:$K$11,2,FALSE)&amp;" - Per "&amp;VLOOKUP($C$4,'Writing Logic'!$G$8:$H$14,2,FALSE),YES_Writing_ELA[#Headers],0))=0,"",INDEX(_xlfn.VSTACK(YES_Writing_ELA[#Data],YES_Writing_FLA[#Data]),MATCH($A76,_xlfn.VSTACK(YES_Writing_ELA[Student Number],YES_Writing_FLA[Student Number]),0),MATCH(VLOOKUP(E$7,'Writing Logic'!$J$7:$K$11,2,FALSE)&amp;" - Per "&amp;VLOOKUP($C$4,'Writing Logic'!$G$8:$H$14,2,FALSE),YES_Writing_ELA[#Headers],0)))),"")</f>
        <v/>
      </c>
      <c r="F76" s="138" t="str">
        <f>IFERROR(IF(IF(INDEX(_xlfn.VSTACK(YES_Writing_ELA[#Data],YES_Writing_FLA[#Data]),MATCH($A76,_xlfn.VSTACK(YES_Writing_ELA[Student Number],YES_Writing_FLA[Student Number]),0),MATCH(VLOOKUP(F$7,'Writing Logic'!$J$7:$K$11,2,FALSE)&amp;" - Per "&amp;VLOOKUP($C$4,'Writing Logic'!$G$8:$H$14,2,FALSE),YES_Writing_ELA[#Headers],0))=0,"",INDEX(_xlfn.VSTACK(YES_Writing_ELA[#Data],YES_Writing_FLA[#Data]),MATCH($A76,_xlfn.VSTACK(YES_Writing_ELA[Student Number],YES_Writing_FLA[Student Number]),0),MATCH(VLOOKUP(F$7,'Writing Logic'!$J$7:$K$11,2,FALSE)&amp;" - Per "&amp;VLOOKUP($C$4,'Writing Logic'!$G$8:$H$14,2,FALSE),YES_Writing_ELA[#Headers],0)))="INS",'Writing Logic'!$B$7,IF(INDEX(_xlfn.VSTACK(YES_Writing_ELA[#Data],YES_Writing_FLA[#Data]),MATCH($A76,_xlfn.VSTACK(YES_Writing_ELA[Student Number],YES_Writing_FLA[Student Number]),0),MATCH(VLOOKUP(F$7,'Writing Logic'!$J$7:$K$11,2,FALSE)&amp;" - Per "&amp;VLOOKUP($C$4,'Writing Logic'!$G$8:$H$14,2,FALSE),YES_Writing_ELA[#Headers],0))=0,"",INDEX(_xlfn.VSTACK(YES_Writing_ELA[#Data],YES_Writing_FLA[#Data]),MATCH($A76,_xlfn.VSTACK(YES_Writing_ELA[Student Number],YES_Writing_FLA[Student Number]),0),MATCH(VLOOKUP(F$7,'Writing Logic'!$J$7:$K$11,2,FALSE)&amp;" - Per "&amp;VLOOKUP($C$4,'Writing Logic'!$G$8:$H$14,2,FALSE),YES_Writing_ELA[#Headers],0)))),"")</f>
        <v/>
      </c>
      <c r="G76" s="138" t="str">
        <f>IFERROR(IF(IF(INDEX(_xlfn.VSTACK(YES_Writing_ELA[#Data],YES_Writing_FLA[#Data]),MATCH($A76,_xlfn.VSTACK(YES_Writing_ELA[Student Number],YES_Writing_FLA[Student Number]),0),MATCH(VLOOKUP(G$7,'Writing Logic'!$J$7:$K$11,2,FALSE)&amp;" - Per "&amp;VLOOKUP($C$4,'Writing Logic'!$G$8:$H$14,2,FALSE),YES_Writing_ELA[#Headers],0))=0,"",INDEX(_xlfn.VSTACK(YES_Writing_ELA[#Data],YES_Writing_FLA[#Data]),MATCH($A76,_xlfn.VSTACK(YES_Writing_ELA[Student Number],YES_Writing_FLA[Student Number]),0),MATCH(VLOOKUP(G$7,'Writing Logic'!$J$7:$K$11,2,FALSE)&amp;" - Per "&amp;VLOOKUP($C$4,'Writing Logic'!$G$8:$H$14,2,FALSE),YES_Writing_ELA[#Headers],0)))="INS",'Writing Logic'!$B$7,IF(INDEX(_xlfn.VSTACK(YES_Writing_ELA[#Data],YES_Writing_FLA[#Data]),MATCH($A76,_xlfn.VSTACK(YES_Writing_ELA[Student Number],YES_Writing_FLA[Student Number]),0),MATCH(VLOOKUP(G$7,'Writing Logic'!$J$7:$K$11,2,FALSE)&amp;" - Per "&amp;VLOOKUP($C$4,'Writing Logic'!$G$8:$H$14,2,FALSE),YES_Writing_ELA[#Headers],0))=0,"",INDEX(_xlfn.VSTACK(YES_Writing_ELA[#Data],YES_Writing_FLA[#Data]),MATCH($A76,_xlfn.VSTACK(YES_Writing_ELA[Student Number],YES_Writing_FLA[Student Number]),0),MATCH(VLOOKUP(G$7,'Writing Logic'!$J$7:$K$11,2,FALSE)&amp;" - Per "&amp;VLOOKUP($C$4,'Writing Logic'!$G$8:$H$14,2,FALSE),YES_Writing_ELA[#Headers],0)))),"")</f>
        <v/>
      </c>
      <c r="H76" s="223" t="str">
        <f>IFERROR(IF(IF(INDEX(_xlfn.VSTACK(YES_Writing_ELA[#Data],YES_Writing_FLA[#Data]),MATCH($A76,_xlfn.VSTACK(YES_Writing_ELA[Student Number],YES_Writing_FLA[Student Number]),0),MATCH(VLOOKUP(H$7,'Writing Logic'!$J$7:$K$11,2,FALSE)&amp;" - Per "&amp;VLOOKUP($C$4,'Writing Logic'!$G$8:$H$14,2,FALSE),YES_Writing_ELA[#Headers],0))=0,"",INDEX(_xlfn.VSTACK(YES_Writing_ELA[#Data],YES_Writing_FLA[#Data]),MATCH($A76,_xlfn.VSTACK(YES_Writing_ELA[Student Number],YES_Writing_FLA[Student Number]),0),MATCH(VLOOKUP(H$7,'Writing Logic'!$J$7:$K$11,2,FALSE)&amp;" - Per "&amp;VLOOKUP($C$4,'Writing Logic'!$G$8:$H$14,2,FALSE),YES_Writing_ELA[#Headers],0)))="INS",'Writing Logic'!$B$7,IF(INDEX(_xlfn.VSTACK(YES_Writing_ELA[#Data],YES_Writing_FLA[#Data]),MATCH($A76,_xlfn.VSTACK(YES_Writing_ELA[Student Number],YES_Writing_FLA[Student Number]),0),MATCH(VLOOKUP(H$7,'Writing Logic'!$J$7:$K$11,2,FALSE)&amp;" - Per "&amp;VLOOKUP($C$4,'Writing Logic'!$G$8:$H$14,2,FALSE),YES_Writing_ELA[#Headers],0))=0,"",INDEX(_xlfn.VSTACK(YES_Writing_ELA[#Data],YES_Writing_FLA[#Data]),MATCH($A76,_xlfn.VSTACK(YES_Writing_ELA[Student Number],YES_Writing_FLA[Student Number]),0),MATCH(VLOOKUP(H$7,'Writing Logic'!$J$7:$K$11,2,FALSE)&amp;" - Per "&amp;VLOOKUP($C$4,'Writing Logic'!$G$8:$H$14,2,FALSE),YES_Writing_ELA[#Headers],0)))),"")</f>
        <v/>
      </c>
      <c r="I76" s="224" t="str" cm="1">
        <f t="array" aca="1" ref="I76" ca="1">IFERROR(
IF($G$3="ELA",
IF(VLOOKUP($A76, YES_Reading_ELA[], COLUMN(INDIRECT("YES_Reading_ELA[Difference - Per "&amp;VLOOKUP($G$4, 'Reading Report Logic'!$A$2:$B$8, 2, FALSE)&amp;"]")), FALSE)="", "",
VLOOKUP($A76,YES_Reading_ELA[], COLUMN(INDIRECT("YES_Reading_ELA[Difference - Per "&amp;VLOOKUP($G$4,'Reading Report Logic'!$A$2:$B$8,2,FALSE)&amp;"]")), FALSE)),
IF($G$3="FLA",
IF(VLOOKUP($A76, YES_Reading_FLA[], COLUMN(INDIRECT("YES_Reading_FLA[Difference - Per "&amp;VLOOKUP($G$4,'Reading Report Logic'!$A$2:$B$8,2,FALSE)&amp;"]")),FALSE)="","",
VLOOKUP($A76,YES_Reading_FLA[],COLUMN(INDIRECT("YES_Reading_FLA[Difference - Per "&amp;VLOOKUP($G$4,'Reading Report Logic'!$A$2:$B$8,2,FALSE)&amp;"]")),FALSE)),
IF($G$3="Combined",
IFERROR(
IF(VLOOKUP($A76, YES_Reading_ELA[], COLUMN(INDIRECT("YES_Reading_ELA[Difference - Per "&amp;VLOOKUP($G$4, 'Reading Report Logic'!$A$2:$B$8,2,FALSE)&amp;"]")), FALSE)="", "",
VLOOKUP($A76,YES_Reading_ELA[],COLUMN(INDIRECT("YES_Reading_ELA[Difference - Per "&amp;VLOOKUP($G$4,'Reading Report Logic'!$A$2:$B$8,2,FALSE)&amp;"]")),FALSE)),
IF(VLOOKUP($A76, YES_Reading_FLA[], COLUMN(INDIRECT("YES_Reading_FLA[Difference - Per "&amp;VLOOKUP($G$4, 'Reading Report Logic'!$A$2:$B$8, 2, FALSE)&amp;"]")),FALSE)="", "", VLOOKUP($A76,YES_Reading_FLA[],COLUMN(INDIRECT("YES_Reading_FLA[Difference - Per "&amp;VLOOKUP($G$4, 'Reading Report Logic'!$A$2:$B$8, 2, FALSE)&amp;"]")),FALSE))),""))),"")</f>
        <v/>
      </c>
      <c r="J76" s="136"/>
      <c r="K76" s="136"/>
      <c r="L76" s="136"/>
      <c r="M76" s="136"/>
      <c r="N76" s="136"/>
      <c r="O76" s="136"/>
    </row>
    <row r="77" spans="1:15" s="99" customFormat="1" ht="14.25" customHeight="1" x14ac:dyDescent="0.25">
      <c r="A77" s="137"/>
      <c r="B77" s="137" t="str">
        <f>IFERROR(INDEX(_xlfn.VSTACK(YES_Writing_ELA[#Data], YES_Writing_FLA[#Data]),MATCH($A77,_xlfn.VSTACK(YES_Writing_ELA[Student Number], YES_Writing_FLA[Student Number]),0),MATCH(B$7,YES_Writing_ELA[#Headers],0)),IFERROR(INDEX(_xlfn.VSTACK(YES_Reading_ELA[#Data], YES_Reading_FLA[#Data]),MATCH($A77,_xlfn.VSTACK(YES_Reading_ELA[Student Number], YES_Reading_FLA[Student Number]),0),MATCH(B$7,YES_Reading_ELA[#Headers],0)),""))</f>
        <v/>
      </c>
      <c r="C77" s="137" t="str">
        <f>IFERROR(INDEX(_xlfn.VSTACK(YES_Writing_ELA[#Data], YES_Writing_FLA[#Data]),MATCH($A77,_xlfn.VSTACK(YES_Writing_ELA[Student Number], YES_Writing_FLA[Student Number]),0),MATCH(C$7,YES_Writing_ELA[#Headers],0)),IFERROR(INDEX(_xlfn.VSTACK(YES_Reading_ELA[#Data], YES_Reading_FLA[#Data]),MATCH($A77,_xlfn.VSTACK(YES_Reading_ELA[Student Number], YES_Reading_FLA[Student Number]),0),MATCH(C$7,YES_Reading_ELA[#Headers],0)),""))</f>
        <v/>
      </c>
      <c r="D77" s="138" t="str">
        <f>IFERROR(IF(IF(INDEX(_xlfn.VSTACK(YES_Writing_ELA[#Data],YES_Writing_FLA[#Data]),MATCH($A77,_xlfn.VSTACK(YES_Writing_ELA[Student Number],YES_Writing_FLA[Student Number]),0),MATCH(VLOOKUP(D$7,'Writing Logic'!$J$7:$K$11,2,FALSE)&amp;" - Per "&amp;VLOOKUP($C$4,'Writing Logic'!$G$8:$H$14,2,FALSE),YES_Writing_ELA[#Headers],0))=0,"",INDEX(_xlfn.VSTACK(YES_Writing_ELA[#Data],YES_Writing_FLA[#Data]),MATCH($A77,_xlfn.VSTACK(YES_Writing_ELA[Student Number],YES_Writing_FLA[Student Number]),0),MATCH(VLOOKUP(D$7,'Writing Logic'!$J$7:$K$11,2,FALSE)&amp;" - Per "&amp;VLOOKUP($C$4,'Writing Logic'!$G$8:$H$14,2,FALSE),YES_Writing_ELA[#Headers],0)))="INS",'Writing Logic'!$B$7,IF(INDEX(_xlfn.VSTACK(YES_Writing_ELA[#Data],YES_Writing_FLA[#Data]),MATCH($A77,_xlfn.VSTACK(YES_Writing_ELA[Student Number],YES_Writing_FLA[Student Number]),0),MATCH(VLOOKUP(D$7,'Writing Logic'!$J$7:$K$11,2,FALSE)&amp;" - Per "&amp;VLOOKUP($C$4,'Writing Logic'!$G$8:$H$14,2,FALSE),YES_Writing_ELA[#Headers],0))=0,"",INDEX(_xlfn.VSTACK(YES_Writing_ELA[#Data],YES_Writing_FLA[#Data]),MATCH($A77,_xlfn.VSTACK(YES_Writing_ELA[Student Number],YES_Writing_FLA[Student Number]),0),MATCH(VLOOKUP(D$7,'Writing Logic'!$J$7:$K$11,2,FALSE)&amp;" - Per "&amp;VLOOKUP($C$4,'Writing Logic'!$G$8:$H$14,2,FALSE),YES_Writing_ELA[#Headers],0)))),"")</f>
        <v/>
      </c>
      <c r="E77" s="138" t="str">
        <f>IFERROR(IF(IF(INDEX(_xlfn.VSTACK(YES_Writing_ELA[#Data],YES_Writing_FLA[#Data]),MATCH($A77,_xlfn.VSTACK(YES_Writing_ELA[Student Number],YES_Writing_FLA[Student Number]),0),MATCH(VLOOKUP(E$7,'Writing Logic'!$J$7:$K$11,2,FALSE)&amp;" - Per "&amp;VLOOKUP($C$4,'Writing Logic'!$G$8:$H$14,2,FALSE),YES_Writing_ELA[#Headers],0))=0,"",INDEX(_xlfn.VSTACK(YES_Writing_ELA[#Data],YES_Writing_FLA[#Data]),MATCH($A77,_xlfn.VSTACK(YES_Writing_ELA[Student Number],YES_Writing_FLA[Student Number]),0),MATCH(VLOOKUP(E$7,'Writing Logic'!$J$7:$K$11,2,FALSE)&amp;" - Per "&amp;VLOOKUP($C$4,'Writing Logic'!$G$8:$H$14,2,FALSE),YES_Writing_ELA[#Headers],0)))="INS",'Writing Logic'!$B$7,IF(INDEX(_xlfn.VSTACK(YES_Writing_ELA[#Data],YES_Writing_FLA[#Data]),MATCH($A77,_xlfn.VSTACK(YES_Writing_ELA[Student Number],YES_Writing_FLA[Student Number]),0),MATCH(VLOOKUP(E$7,'Writing Logic'!$J$7:$K$11,2,FALSE)&amp;" - Per "&amp;VLOOKUP($C$4,'Writing Logic'!$G$8:$H$14,2,FALSE),YES_Writing_ELA[#Headers],0))=0,"",INDEX(_xlfn.VSTACK(YES_Writing_ELA[#Data],YES_Writing_FLA[#Data]),MATCH($A77,_xlfn.VSTACK(YES_Writing_ELA[Student Number],YES_Writing_FLA[Student Number]),0),MATCH(VLOOKUP(E$7,'Writing Logic'!$J$7:$K$11,2,FALSE)&amp;" - Per "&amp;VLOOKUP($C$4,'Writing Logic'!$G$8:$H$14,2,FALSE),YES_Writing_ELA[#Headers],0)))),"")</f>
        <v/>
      </c>
      <c r="F77" s="138" t="str">
        <f>IFERROR(IF(IF(INDEX(_xlfn.VSTACK(YES_Writing_ELA[#Data],YES_Writing_FLA[#Data]),MATCH($A77,_xlfn.VSTACK(YES_Writing_ELA[Student Number],YES_Writing_FLA[Student Number]),0),MATCH(VLOOKUP(F$7,'Writing Logic'!$J$7:$K$11,2,FALSE)&amp;" - Per "&amp;VLOOKUP($C$4,'Writing Logic'!$G$8:$H$14,2,FALSE),YES_Writing_ELA[#Headers],0))=0,"",INDEX(_xlfn.VSTACK(YES_Writing_ELA[#Data],YES_Writing_FLA[#Data]),MATCH($A77,_xlfn.VSTACK(YES_Writing_ELA[Student Number],YES_Writing_FLA[Student Number]),0),MATCH(VLOOKUP(F$7,'Writing Logic'!$J$7:$K$11,2,FALSE)&amp;" - Per "&amp;VLOOKUP($C$4,'Writing Logic'!$G$8:$H$14,2,FALSE),YES_Writing_ELA[#Headers],0)))="INS",'Writing Logic'!$B$7,IF(INDEX(_xlfn.VSTACK(YES_Writing_ELA[#Data],YES_Writing_FLA[#Data]),MATCH($A77,_xlfn.VSTACK(YES_Writing_ELA[Student Number],YES_Writing_FLA[Student Number]),0),MATCH(VLOOKUP(F$7,'Writing Logic'!$J$7:$K$11,2,FALSE)&amp;" - Per "&amp;VLOOKUP($C$4,'Writing Logic'!$G$8:$H$14,2,FALSE),YES_Writing_ELA[#Headers],0))=0,"",INDEX(_xlfn.VSTACK(YES_Writing_ELA[#Data],YES_Writing_FLA[#Data]),MATCH($A77,_xlfn.VSTACK(YES_Writing_ELA[Student Number],YES_Writing_FLA[Student Number]),0),MATCH(VLOOKUP(F$7,'Writing Logic'!$J$7:$K$11,2,FALSE)&amp;" - Per "&amp;VLOOKUP($C$4,'Writing Logic'!$G$8:$H$14,2,FALSE),YES_Writing_ELA[#Headers],0)))),"")</f>
        <v/>
      </c>
      <c r="G77" s="138" t="str">
        <f>IFERROR(IF(IF(INDEX(_xlfn.VSTACK(YES_Writing_ELA[#Data],YES_Writing_FLA[#Data]),MATCH($A77,_xlfn.VSTACK(YES_Writing_ELA[Student Number],YES_Writing_FLA[Student Number]),0),MATCH(VLOOKUP(G$7,'Writing Logic'!$J$7:$K$11,2,FALSE)&amp;" - Per "&amp;VLOOKUP($C$4,'Writing Logic'!$G$8:$H$14,2,FALSE),YES_Writing_ELA[#Headers],0))=0,"",INDEX(_xlfn.VSTACK(YES_Writing_ELA[#Data],YES_Writing_FLA[#Data]),MATCH($A77,_xlfn.VSTACK(YES_Writing_ELA[Student Number],YES_Writing_FLA[Student Number]),0),MATCH(VLOOKUP(G$7,'Writing Logic'!$J$7:$K$11,2,FALSE)&amp;" - Per "&amp;VLOOKUP($C$4,'Writing Logic'!$G$8:$H$14,2,FALSE),YES_Writing_ELA[#Headers],0)))="INS",'Writing Logic'!$B$7,IF(INDEX(_xlfn.VSTACK(YES_Writing_ELA[#Data],YES_Writing_FLA[#Data]),MATCH($A77,_xlfn.VSTACK(YES_Writing_ELA[Student Number],YES_Writing_FLA[Student Number]),0),MATCH(VLOOKUP(G$7,'Writing Logic'!$J$7:$K$11,2,FALSE)&amp;" - Per "&amp;VLOOKUP($C$4,'Writing Logic'!$G$8:$H$14,2,FALSE),YES_Writing_ELA[#Headers],0))=0,"",INDEX(_xlfn.VSTACK(YES_Writing_ELA[#Data],YES_Writing_FLA[#Data]),MATCH($A77,_xlfn.VSTACK(YES_Writing_ELA[Student Number],YES_Writing_FLA[Student Number]),0),MATCH(VLOOKUP(G$7,'Writing Logic'!$J$7:$K$11,2,FALSE)&amp;" - Per "&amp;VLOOKUP($C$4,'Writing Logic'!$G$8:$H$14,2,FALSE),YES_Writing_ELA[#Headers],0)))),"")</f>
        <v/>
      </c>
      <c r="H77" s="223" t="str">
        <f>IFERROR(IF(IF(INDEX(_xlfn.VSTACK(YES_Writing_ELA[#Data],YES_Writing_FLA[#Data]),MATCH($A77,_xlfn.VSTACK(YES_Writing_ELA[Student Number],YES_Writing_FLA[Student Number]),0),MATCH(VLOOKUP(H$7,'Writing Logic'!$J$7:$K$11,2,FALSE)&amp;" - Per "&amp;VLOOKUP($C$4,'Writing Logic'!$G$8:$H$14,2,FALSE),YES_Writing_ELA[#Headers],0))=0,"",INDEX(_xlfn.VSTACK(YES_Writing_ELA[#Data],YES_Writing_FLA[#Data]),MATCH($A77,_xlfn.VSTACK(YES_Writing_ELA[Student Number],YES_Writing_FLA[Student Number]),0),MATCH(VLOOKUP(H$7,'Writing Logic'!$J$7:$K$11,2,FALSE)&amp;" - Per "&amp;VLOOKUP($C$4,'Writing Logic'!$G$8:$H$14,2,FALSE),YES_Writing_ELA[#Headers],0)))="INS",'Writing Logic'!$B$7,IF(INDEX(_xlfn.VSTACK(YES_Writing_ELA[#Data],YES_Writing_FLA[#Data]),MATCH($A77,_xlfn.VSTACK(YES_Writing_ELA[Student Number],YES_Writing_FLA[Student Number]),0),MATCH(VLOOKUP(H$7,'Writing Logic'!$J$7:$K$11,2,FALSE)&amp;" - Per "&amp;VLOOKUP($C$4,'Writing Logic'!$G$8:$H$14,2,FALSE),YES_Writing_ELA[#Headers],0))=0,"",INDEX(_xlfn.VSTACK(YES_Writing_ELA[#Data],YES_Writing_FLA[#Data]),MATCH($A77,_xlfn.VSTACK(YES_Writing_ELA[Student Number],YES_Writing_FLA[Student Number]),0),MATCH(VLOOKUP(H$7,'Writing Logic'!$J$7:$K$11,2,FALSE)&amp;" - Per "&amp;VLOOKUP($C$4,'Writing Logic'!$G$8:$H$14,2,FALSE),YES_Writing_ELA[#Headers],0)))),"")</f>
        <v/>
      </c>
      <c r="I77" s="224" t="str" cm="1">
        <f t="array" aca="1" ref="I77" ca="1">IFERROR(
IF($G$3="ELA",
IF(VLOOKUP($A77, YES_Reading_ELA[], COLUMN(INDIRECT("YES_Reading_ELA[Difference - Per "&amp;VLOOKUP($G$4, 'Reading Report Logic'!$A$2:$B$8, 2, FALSE)&amp;"]")), FALSE)="", "",
VLOOKUP($A77,YES_Reading_ELA[], COLUMN(INDIRECT("YES_Reading_ELA[Difference - Per "&amp;VLOOKUP($G$4,'Reading Report Logic'!$A$2:$B$8,2,FALSE)&amp;"]")), FALSE)),
IF($G$3="FLA",
IF(VLOOKUP($A77, YES_Reading_FLA[], COLUMN(INDIRECT("YES_Reading_FLA[Difference - Per "&amp;VLOOKUP($G$4,'Reading Report Logic'!$A$2:$B$8,2,FALSE)&amp;"]")),FALSE)="","",
VLOOKUP($A77,YES_Reading_FLA[],COLUMN(INDIRECT("YES_Reading_FLA[Difference - Per "&amp;VLOOKUP($G$4,'Reading Report Logic'!$A$2:$B$8,2,FALSE)&amp;"]")),FALSE)),
IF($G$3="Combined",
IFERROR(
IF(VLOOKUP($A77, YES_Reading_ELA[], COLUMN(INDIRECT("YES_Reading_ELA[Difference - Per "&amp;VLOOKUP($G$4, 'Reading Report Logic'!$A$2:$B$8,2,FALSE)&amp;"]")), FALSE)="", "",
VLOOKUP($A77,YES_Reading_ELA[],COLUMN(INDIRECT("YES_Reading_ELA[Difference - Per "&amp;VLOOKUP($G$4,'Reading Report Logic'!$A$2:$B$8,2,FALSE)&amp;"]")),FALSE)),
IF(VLOOKUP($A77, YES_Reading_FLA[], COLUMN(INDIRECT("YES_Reading_FLA[Difference - Per "&amp;VLOOKUP($G$4, 'Reading Report Logic'!$A$2:$B$8, 2, FALSE)&amp;"]")),FALSE)="", "", VLOOKUP($A77,YES_Reading_FLA[],COLUMN(INDIRECT("YES_Reading_FLA[Difference - Per "&amp;VLOOKUP($G$4, 'Reading Report Logic'!$A$2:$B$8, 2, FALSE)&amp;"]")),FALSE))),""))),"")</f>
        <v/>
      </c>
      <c r="J77" s="136"/>
      <c r="K77" s="136"/>
      <c r="L77" s="136"/>
      <c r="M77" s="136"/>
      <c r="N77" s="136"/>
      <c r="O77" s="136"/>
    </row>
    <row r="78" spans="1:15" s="99" customFormat="1" ht="14.25" customHeight="1" x14ac:dyDescent="0.25">
      <c r="A78" s="137"/>
      <c r="B78" s="137" t="str">
        <f>IFERROR(INDEX(_xlfn.VSTACK(YES_Writing_ELA[#Data], YES_Writing_FLA[#Data]),MATCH($A78,_xlfn.VSTACK(YES_Writing_ELA[Student Number], YES_Writing_FLA[Student Number]),0),MATCH(B$7,YES_Writing_ELA[#Headers],0)),IFERROR(INDEX(_xlfn.VSTACK(YES_Reading_ELA[#Data], YES_Reading_FLA[#Data]),MATCH($A78,_xlfn.VSTACK(YES_Reading_ELA[Student Number], YES_Reading_FLA[Student Number]),0),MATCH(B$7,YES_Reading_ELA[#Headers],0)),""))</f>
        <v/>
      </c>
      <c r="C78" s="137" t="str">
        <f>IFERROR(INDEX(_xlfn.VSTACK(YES_Writing_ELA[#Data], YES_Writing_FLA[#Data]),MATCH($A78,_xlfn.VSTACK(YES_Writing_ELA[Student Number], YES_Writing_FLA[Student Number]),0),MATCH(C$7,YES_Writing_ELA[#Headers],0)),IFERROR(INDEX(_xlfn.VSTACK(YES_Reading_ELA[#Data], YES_Reading_FLA[#Data]),MATCH($A78,_xlfn.VSTACK(YES_Reading_ELA[Student Number], YES_Reading_FLA[Student Number]),0),MATCH(C$7,YES_Reading_ELA[#Headers],0)),""))</f>
        <v/>
      </c>
      <c r="D78" s="138" t="str">
        <f>IFERROR(IF(IF(INDEX(_xlfn.VSTACK(YES_Writing_ELA[#Data],YES_Writing_FLA[#Data]),MATCH($A78,_xlfn.VSTACK(YES_Writing_ELA[Student Number],YES_Writing_FLA[Student Number]),0),MATCH(VLOOKUP(D$7,'Writing Logic'!$J$7:$K$11,2,FALSE)&amp;" - Per "&amp;VLOOKUP($C$4,'Writing Logic'!$G$8:$H$14,2,FALSE),YES_Writing_ELA[#Headers],0))=0,"",INDEX(_xlfn.VSTACK(YES_Writing_ELA[#Data],YES_Writing_FLA[#Data]),MATCH($A78,_xlfn.VSTACK(YES_Writing_ELA[Student Number],YES_Writing_FLA[Student Number]),0),MATCH(VLOOKUP(D$7,'Writing Logic'!$J$7:$K$11,2,FALSE)&amp;" - Per "&amp;VLOOKUP($C$4,'Writing Logic'!$G$8:$H$14,2,FALSE),YES_Writing_ELA[#Headers],0)))="INS",'Writing Logic'!$B$7,IF(INDEX(_xlfn.VSTACK(YES_Writing_ELA[#Data],YES_Writing_FLA[#Data]),MATCH($A78,_xlfn.VSTACK(YES_Writing_ELA[Student Number],YES_Writing_FLA[Student Number]),0),MATCH(VLOOKUP(D$7,'Writing Logic'!$J$7:$K$11,2,FALSE)&amp;" - Per "&amp;VLOOKUP($C$4,'Writing Logic'!$G$8:$H$14,2,FALSE),YES_Writing_ELA[#Headers],0))=0,"",INDEX(_xlfn.VSTACK(YES_Writing_ELA[#Data],YES_Writing_FLA[#Data]),MATCH($A78,_xlfn.VSTACK(YES_Writing_ELA[Student Number],YES_Writing_FLA[Student Number]),0),MATCH(VLOOKUP(D$7,'Writing Logic'!$J$7:$K$11,2,FALSE)&amp;" - Per "&amp;VLOOKUP($C$4,'Writing Logic'!$G$8:$H$14,2,FALSE),YES_Writing_ELA[#Headers],0)))),"")</f>
        <v/>
      </c>
      <c r="E78" s="138" t="str">
        <f>IFERROR(IF(IF(INDEX(_xlfn.VSTACK(YES_Writing_ELA[#Data],YES_Writing_FLA[#Data]),MATCH($A78,_xlfn.VSTACK(YES_Writing_ELA[Student Number],YES_Writing_FLA[Student Number]),0),MATCH(VLOOKUP(E$7,'Writing Logic'!$J$7:$K$11,2,FALSE)&amp;" - Per "&amp;VLOOKUP($C$4,'Writing Logic'!$G$8:$H$14,2,FALSE),YES_Writing_ELA[#Headers],0))=0,"",INDEX(_xlfn.VSTACK(YES_Writing_ELA[#Data],YES_Writing_FLA[#Data]),MATCH($A78,_xlfn.VSTACK(YES_Writing_ELA[Student Number],YES_Writing_FLA[Student Number]),0),MATCH(VLOOKUP(E$7,'Writing Logic'!$J$7:$K$11,2,FALSE)&amp;" - Per "&amp;VLOOKUP($C$4,'Writing Logic'!$G$8:$H$14,2,FALSE),YES_Writing_ELA[#Headers],0)))="INS",'Writing Logic'!$B$7,IF(INDEX(_xlfn.VSTACK(YES_Writing_ELA[#Data],YES_Writing_FLA[#Data]),MATCH($A78,_xlfn.VSTACK(YES_Writing_ELA[Student Number],YES_Writing_FLA[Student Number]),0),MATCH(VLOOKUP(E$7,'Writing Logic'!$J$7:$K$11,2,FALSE)&amp;" - Per "&amp;VLOOKUP($C$4,'Writing Logic'!$G$8:$H$14,2,FALSE),YES_Writing_ELA[#Headers],0))=0,"",INDEX(_xlfn.VSTACK(YES_Writing_ELA[#Data],YES_Writing_FLA[#Data]),MATCH($A78,_xlfn.VSTACK(YES_Writing_ELA[Student Number],YES_Writing_FLA[Student Number]),0),MATCH(VLOOKUP(E$7,'Writing Logic'!$J$7:$K$11,2,FALSE)&amp;" - Per "&amp;VLOOKUP($C$4,'Writing Logic'!$G$8:$H$14,2,FALSE),YES_Writing_ELA[#Headers],0)))),"")</f>
        <v/>
      </c>
      <c r="F78" s="138" t="str">
        <f>IFERROR(IF(IF(INDEX(_xlfn.VSTACK(YES_Writing_ELA[#Data],YES_Writing_FLA[#Data]),MATCH($A78,_xlfn.VSTACK(YES_Writing_ELA[Student Number],YES_Writing_FLA[Student Number]),0),MATCH(VLOOKUP(F$7,'Writing Logic'!$J$7:$K$11,2,FALSE)&amp;" - Per "&amp;VLOOKUP($C$4,'Writing Logic'!$G$8:$H$14,2,FALSE),YES_Writing_ELA[#Headers],0))=0,"",INDEX(_xlfn.VSTACK(YES_Writing_ELA[#Data],YES_Writing_FLA[#Data]),MATCH($A78,_xlfn.VSTACK(YES_Writing_ELA[Student Number],YES_Writing_FLA[Student Number]),0),MATCH(VLOOKUP(F$7,'Writing Logic'!$J$7:$K$11,2,FALSE)&amp;" - Per "&amp;VLOOKUP($C$4,'Writing Logic'!$G$8:$H$14,2,FALSE),YES_Writing_ELA[#Headers],0)))="INS",'Writing Logic'!$B$7,IF(INDEX(_xlfn.VSTACK(YES_Writing_ELA[#Data],YES_Writing_FLA[#Data]),MATCH($A78,_xlfn.VSTACK(YES_Writing_ELA[Student Number],YES_Writing_FLA[Student Number]),0),MATCH(VLOOKUP(F$7,'Writing Logic'!$J$7:$K$11,2,FALSE)&amp;" - Per "&amp;VLOOKUP($C$4,'Writing Logic'!$G$8:$H$14,2,FALSE),YES_Writing_ELA[#Headers],0))=0,"",INDEX(_xlfn.VSTACK(YES_Writing_ELA[#Data],YES_Writing_FLA[#Data]),MATCH($A78,_xlfn.VSTACK(YES_Writing_ELA[Student Number],YES_Writing_FLA[Student Number]),0),MATCH(VLOOKUP(F$7,'Writing Logic'!$J$7:$K$11,2,FALSE)&amp;" - Per "&amp;VLOOKUP($C$4,'Writing Logic'!$G$8:$H$14,2,FALSE),YES_Writing_ELA[#Headers],0)))),"")</f>
        <v/>
      </c>
      <c r="G78" s="138" t="str">
        <f>IFERROR(IF(IF(INDEX(_xlfn.VSTACK(YES_Writing_ELA[#Data],YES_Writing_FLA[#Data]),MATCH($A78,_xlfn.VSTACK(YES_Writing_ELA[Student Number],YES_Writing_FLA[Student Number]),0),MATCH(VLOOKUP(G$7,'Writing Logic'!$J$7:$K$11,2,FALSE)&amp;" - Per "&amp;VLOOKUP($C$4,'Writing Logic'!$G$8:$H$14,2,FALSE),YES_Writing_ELA[#Headers],0))=0,"",INDEX(_xlfn.VSTACK(YES_Writing_ELA[#Data],YES_Writing_FLA[#Data]),MATCH($A78,_xlfn.VSTACK(YES_Writing_ELA[Student Number],YES_Writing_FLA[Student Number]),0),MATCH(VLOOKUP(G$7,'Writing Logic'!$J$7:$K$11,2,FALSE)&amp;" - Per "&amp;VLOOKUP($C$4,'Writing Logic'!$G$8:$H$14,2,FALSE),YES_Writing_ELA[#Headers],0)))="INS",'Writing Logic'!$B$7,IF(INDEX(_xlfn.VSTACK(YES_Writing_ELA[#Data],YES_Writing_FLA[#Data]),MATCH($A78,_xlfn.VSTACK(YES_Writing_ELA[Student Number],YES_Writing_FLA[Student Number]),0),MATCH(VLOOKUP(G$7,'Writing Logic'!$J$7:$K$11,2,FALSE)&amp;" - Per "&amp;VLOOKUP($C$4,'Writing Logic'!$G$8:$H$14,2,FALSE),YES_Writing_ELA[#Headers],0))=0,"",INDEX(_xlfn.VSTACK(YES_Writing_ELA[#Data],YES_Writing_FLA[#Data]),MATCH($A78,_xlfn.VSTACK(YES_Writing_ELA[Student Number],YES_Writing_FLA[Student Number]),0),MATCH(VLOOKUP(G$7,'Writing Logic'!$J$7:$K$11,2,FALSE)&amp;" - Per "&amp;VLOOKUP($C$4,'Writing Logic'!$G$8:$H$14,2,FALSE),YES_Writing_ELA[#Headers],0)))),"")</f>
        <v/>
      </c>
      <c r="H78" s="223" t="str">
        <f>IFERROR(IF(IF(INDEX(_xlfn.VSTACK(YES_Writing_ELA[#Data],YES_Writing_FLA[#Data]),MATCH($A78,_xlfn.VSTACK(YES_Writing_ELA[Student Number],YES_Writing_FLA[Student Number]),0),MATCH(VLOOKUP(H$7,'Writing Logic'!$J$7:$K$11,2,FALSE)&amp;" - Per "&amp;VLOOKUP($C$4,'Writing Logic'!$G$8:$H$14,2,FALSE),YES_Writing_ELA[#Headers],0))=0,"",INDEX(_xlfn.VSTACK(YES_Writing_ELA[#Data],YES_Writing_FLA[#Data]),MATCH($A78,_xlfn.VSTACK(YES_Writing_ELA[Student Number],YES_Writing_FLA[Student Number]),0),MATCH(VLOOKUP(H$7,'Writing Logic'!$J$7:$K$11,2,FALSE)&amp;" - Per "&amp;VLOOKUP($C$4,'Writing Logic'!$G$8:$H$14,2,FALSE),YES_Writing_ELA[#Headers],0)))="INS",'Writing Logic'!$B$7,IF(INDEX(_xlfn.VSTACK(YES_Writing_ELA[#Data],YES_Writing_FLA[#Data]),MATCH($A78,_xlfn.VSTACK(YES_Writing_ELA[Student Number],YES_Writing_FLA[Student Number]),0),MATCH(VLOOKUP(H$7,'Writing Logic'!$J$7:$K$11,2,FALSE)&amp;" - Per "&amp;VLOOKUP($C$4,'Writing Logic'!$G$8:$H$14,2,FALSE),YES_Writing_ELA[#Headers],0))=0,"",INDEX(_xlfn.VSTACK(YES_Writing_ELA[#Data],YES_Writing_FLA[#Data]),MATCH($A78,_xlfn.VSTACK(YES_Writing_ELA[Student Number],YES_Writing_FLA[Student Number]),0),MATCH(VLOOKUP(H$7,'Writing Logic'!$J$7:$K$11,2,FALSE)&amp;" - Per "&amp;VLOOKUP($C$4,'Writing Logic'!$G$8:$H$14,2,FALSE),YES_Writing_ELA[#Headers],0)))),"")</f>
        <v/>
      </c>
      <c r="I78" s="224" t="str" cm="1">
        <f t="array" aca="1" ref="I78" ca="1">IFERROR(
IF($G$3="ELA",
IF(VLOOKUP($A78, YES_Reading_ELA[], COLUMN(INDIRECT("YES_Reading_ELA[Difference - Per "&amp;VLOOKUP($G$4, 'Reading Report Logic'!$A$2:$B$8, 2, FALSE)&amp;"]")), FALSE)="", "",
VLOOKUP($A78,YES_Reading_ELA[], COLUMN(INDIRECT("YES_Reading_ELA[Difference - Per "&amp;VLOOKUP($G$4,'Reading Report Logic'!$A$2:$B$8,2,FALSE)&amp;"]")), FALSE)),
IF($G$3="FLA",
IF(VLOOKUP($A78, YES_Reading_FLA[], COLUMN(INDIRECT("YES_Reading_FLA[Difference - Per "&amp;VLOOKUP($G$4,'Reading Report Logic'!$A$2:$B$8,2,FALSE)&amp;"]")),FALSE)="","",
VLOOKUP($A78,YES_Reading_FLA[],COLUMN(INDIRECT("YES_Reading_FLA[Difference - Per "&amp;VLOOKUP($G$4,'Reading Report Logic'!$A$2:$B$8,2,FALSE)&amp;"]")),FALSE)),
IF($G$3="Combined",
IFERROR(
IF(VLOOKUP($A78, YES_Reading_ELA[], COLUMN(INDIRECT("YES_Reading_ELA[Difference - Per "&amp;VLOOKUP($G$4, 'Reading Report Logic'!$A$2:$B$8,2,FALSE)&amp;"]")), FALSE)="", "",
VLOOKUP($A78,YES_Reading_ELA[],COLUMN(INDIRECT("YES_Reading_ELA[Difference - Per "&amp;VLOOKUP($G$4,'Reading Report Logic'!$A$2:$B$8,2,FALSE)&amp;"]")),FALSE)),
IF(VLOOKUP($A78, YES_Reading_FLA[], COLUMN(INDIRECT("YES_Reading_FLA[Difference - Per "&amp;VLOOKUP($G$4, 'Reading Report Logic'!$A$2:$B$8, 2, FALSE)&amp;"]")),FALSE)="", "", VLOOKUP($A78,YES_Reading_FLA[],COLUMN(INDIRECT("YES_Reading_FLA[Difference - Per "&amp;VLOOKUP($G$4, 'Reading Report Logic'!$A$2:$B$8, 2, FALSE)&amp;"]")),FALSE))),""))),"")</f>
        <v/>
      </c>
      <c r="J78" s="136"/>
      <c r="K78" s="136"/>
      <c r="L78" s="136"/>
      <c r="M78" s="136"/>
      <c r="N78" s="136"/>
      <c r="O78" s="136"/>
    </row>
    <row r="79" spans="1:15" s="99" customFormat="1" ht="14.25" customHeight="1" x14ac:dyDescent="0.25">
      <c r="A79" s="137"/>
      <c r="B79" s="137" t="str">
        <f>IFERROR(INDEX(_xlfn.VSTACK(YES_Writing_ELA[#Data], YES_Writing_FLA[#Data]),MATCH($A79,_xlfn.VSTACK(YES_Writing_ELA[Student Number], YES_Writing_FLA[Student Number]),0),MATCH(B$7,YES_Writing_ELA[#Headers],0)),IFERROR(INDEX(_xlfn.VSTACK(YES_Reading_ELA[#Data], YES_Reading_FLA[#Data]),MATCH($A79,_xlfn.VSTACK(YES_Reading_ELA[Student Number], YES_Reading_FLA[Student Number]),0),MATCH(B$7,YES_Reading_ELA[#Headers],0)),""))</f>
        <v/>
      </c>
      <c r="C79" s="137" t="str">
        <f>IFERROR(INDEX(_xlfn.VSTACK(YES_Writing_ELA[#Data], YES_Writing_FLA[#Data]),MATCH($A79,_xlfn.VSTACK(YES_Writing_ELA[Student Number], YES_Writing_FLA[Student Number]),0),MATCH(C$7,YES_Writing_ELA[#Headers],0)),IFERROR(INDEX(_xlfn.VSTACK(YES_Reading_ELA[#Data], YES_Reading_FLA[#Data]),MATCH($A79,_xlfn.VSTACK(YES_Reading_ELA[Student Number], YES_Reading_FLA[Student Number]),0),MATCH(C$7,YES_Reading_ELA[#Headers],0)),""))</f>
        <v/>
      </c>
      <c r="D79" s="138" t="str">
        <f>IFERROR(IF(IF(INDEX(_xlfn.VSTACK(YES_Writing_ELA[#Data],YES_Writing_FLA[#Data]),MATCH($A79,_xlfn.VSTACK(YES_Writing_ELA[Student Number],YES_Writing_FLA[Student Number]),0),MATCH(VLOOKUP(D$7,'Writing Logic'!$J$7:$K$11,2,FALSE)&amp;" - Per "&amp;VLOOKUP($C$4,'Writing Logic'!$G$8:$H$14,2,FALSE),YES_Writing_ELA[#Headers],0))=0,"",INDEX(_xlfn.VSTACK(YES_Writing_ELA[#Data],YES_Writing_FLA[#Data]),MATCH($A79,_xlfn.VSTACK(YES_Writing_ELA[Student Number],YES_Writing_FLA[Student Number]),0),MATCH(VLOOKUP(D$7,'Writing Logic'!$J$7:$K$11,2,FALSE)&amp;" - Per "&amp;VLOOKUP($C$4,'Writing Logic'!$G$8:$H$14,2,FALSE),YES_Writing_ELA[#Headers],0)))="INS",'Writing Logic'!$B$7,IF(INDEX(_xlfn.VSTACK(YES_Writing_ELA[#Data],YES_Writing_FLA[#Data]),MATCH($A79,_xlfn.VSTACK(YES_Writing_ELA[Student Number],YES_Writing_FLA[Student Number]),0),MATCH(VLOOKUP(D$7,'Writing Logic'!$J$7:$K$11,2,FALSE)&amp;" - Per "&amp;VLOOKUP($C$4,'Writing Logic'!$G$8:$H$14,2,FALSE),YES_Writing_ELA[#Headers],0))=0,"",INDEX(_xlfn.VSTACK(YES_Writing_ELA[#Data],YES_Writing_FLA[#Data]),MATCH($A79,_xlfn.VSTACK(YES_Writing_ELA[Student Number],YES_Writing_FLA[Student Number]),0),MATCH(VLOOKUP(D$7,'Writing Logic'!$J$7:$K$11,2,FALSE)&amp;" - Per "&amp;VLOOKUP($C$4,'Writing Logic'!$G$8:$H$14,2,FALSE),YES_Writing_ELA[#Headers],0)))),"")</f>
        <v/>
      </c>
      <c r="E79" s="138" t="str">
        <f>IFERROR(IF(IF(INDEX(_xlfn.VSTACK(YES_Writing_ELA[#Data],YES_Writing_FLA[#Data]),MATCH($A79,_xlfn.VSTACK(YES_Writing_ELA[Student Number],YES_Writing_FLA[Student Number]),0),MATCH(VLOOKUP(E$7,'Writing Logic'!$J$7:$K$11,2,FALSE)&amp;" - Per "&amp;VLOOKUP($C$4,'Writing Logic'!$G$8:$H$14,2,FALSE),YES_Writing_ELA[#Headers],0))=0,"",INDEX(_xlfn.VSTACK(YES_Writing_ELA[#Data],YES_Writing_FLA[#Data]),MATCH($A79,_xlfn.VSTACK(YES_Writing_ELA[Student Number],YES_Writing_FLA[Student Number]),0),MATCH(VLOOKUP(E$7,'Writing Logic'!$J$7:$K$11,2,FALSE)&amp;" - Per "&amp;VLOOKUP($C$4,'Writing Logic'!$G$8:$H$14,2,FALSE),YES_Writing_ELA[#Headers],0)))="INS",'Writing Logic'!$B$7,IF(INDEX(_xlfn.VSTACK(YES_Writing_ELA[#Data],YES_Writing_FLA[#Data]),MATCH($A79,_xlfn.VSTACK(YES_Writing_ELA[Student Number],YES_Writing_FLA[Student Number]),0),MATCH(VLOOKUP(E$7,'Writing Logic'!$J$7:$K$11,2,FALSE)&amp;" - Per "&amp;VLOOKUP($C$4,'Writing Logic'!$G$8:$H$14,2,FALSE),YES_Writing_ELA[#Headers],0))=0,"",INDEX(_xlfn.VSTACK(YES_Writing_ELA[#Data],YES_Writing_FLA[#Data]),MATCH($A79,_xlfn.VSTACK(YES_Writing_ELA[Student Number],YES_Writing_FLA[Student Number]),0),MATCH(VLOOKUP(E$7,'Writing Logic'!$J$7:$K$11,2,FALSE)&amp;" - Per "&amp;VLOOKUP($C$4,'Writing Logic'!$G$8:$H$14,2,FALSE),YES_Writing_ELA[#Headers],0)))),"")</f>
        <v/>
      </c>
      <c r="F79" s="138" t="str">
        <f>IFERROR(IF(IF(INDEX(_xlfn.VSTACK(YES_Writing_ELA[#Data],YES_Writing_FLA[#Data]),MATCH($A79,_xlfn.VSTACK(YES_Writing_ELA[Student Number],YES_Writing_FLA[Student Number]),0),MATCH(VLOOKUP(F$7,'Writing Logic'!$J$7:$K$11,2,FALSE)&amp;" - Per "&amp;VLOOKUP($C$4,'Writing Logic'!$G$8:$H$14,2,FALSE),YES_Writing_ELA[#Headers],0))=0,"",INDEX(_xlfn.VSTACK(YES_Writing_ELA[#Data],YES_Writing_FLA[#Data]),MATCH($A79,_xlfn.VSTACK(YES_Writing_ELA[Student Number],YES_Writing_FLA[Student Number]),0),MATCH(VLOOKUP(F$7,'Writing Logic'!$J$7:$K$11,2,FALSE)&amp;" - Per "&amp;VLOOKUP($C$4,'Writing Logic'!$G$8:$H$14,2,FALSE),YES_Writing_ELA[#Headers],0)))="INS",'Writing Logic'!$B$7,IF(INDEX(_xlfn.VSTACK(YES_Writing_ELA[#Data],YES_Writing_FLA[#Data]),MATCH($A79,_xlfn.VSTACK(YES_Writing_ELA[Student Number],YES_Writing_FLA[Student Number]),0),MATCH(VLOOKUP(F$7,'Writing Logic'!$J$7:$K$11,2,FALSE)&amp;" - Per "&amp;VLOOKUP($C$4,'Writing Logic'!$G$8:$H$14,2,FALSE),YES_Writing_ELA[#Headers],0))=0,"",INDEX(_xlfn.VSTACK(YES_Writing_ELA[#Data],YES_Writing_FLA[#Data]),MATCH($A79,_xlfn.VSTACK(YES_Writing_ELA[Student Number],YES_Writing_FLA[Student Number]),0),MATCH(VLOOKUP(F$7,'Writing Logic'!$J$7:$K$11,2,FALSE)&amp;" - Per "&amp;VLOOKUP($C$4,'Writing Logic'!$G$8:$H$14,2,FALSE),YES_Writing_ELA[#Headers],0)))),"")</f>
        <v/>
      </c>
      <c r="G79" s="138" t="str">
        <f>IFERROR(IF(IF(INDEX(_xlfn.VSTACK(YES_Writing_ELA[#Data],YES_Writing_FLA[#Data]),MATCH($A79,_xlfn.VSTACK(YES_Writing_ELA[Student Number],YES_Writing_FLA[Student Number]),0),MATCH(VLOOKUP(G$7,'Writing Logic'!$J$7:$K$11,2,FALSE)&amp;" - Per "&amp;VLOOKUP($C$4,'Writing Logic'!$G$8:$H$14,2,FALSE),YES_Writing_ELA[#Headers],0))=0,"",INDEX(_xlfn.VSTACK(YES_Writing_ELA[#Data],YES_Writing_FLA[#Data]),MATCH($A79,_xlfn.VSTACK(YES_Writing_ELA[Student Number],YES_Writing_FLA[Student Number]),0),MATCH(VLOOKUP(G$7,'Writing Logic'!$J$7:$K$11,2,FALSE)&amp;" - Per "&amp;VLOOKUP($C$4,'Writing Logic'!$G$8:$H$14,2,FALSE),YES_Writing_ELA[#Headers],0)))="INS",'Writing Logic'!$B$7,IF(INDEX(_xlfn.VSTACK(YES_Writing_ELA[#Data],YES_Writing_FLA[#Data]),MATCH($A79,_xlfn.VSTACK(YES_Writing_ELA[Student Number],YES_Writing_FLA[Student Number]),0),MATCH(VLOOKUP(G$7,'Writing Logic'!$J$7:$K$11,2,FALSE)&amp;" - Per "&amp;VLOOKUP($C$4,'Writing Logic'!$G$8:$H$14,2,FALSE),YES_Writing_ELA[#Headers],0))=0,"",INDEX(_xlfn.VSTACK(YES_Writing_ELA[#Data],YES_Writing_FLA[#Data]),MATCH($A79,_xlfn.VSTACK(YES_Writing_ELA[Student Number],YES_Writing_FLA[Student Number]),0),MATCH(VLOOKUP(G$7,'Writing Logic'!$J$7:$K$11,2,FALSE)&amp;" - Per "&amp;VLOOKUP($C$4,'Writing Logic'!$G$8:$H$14,2,FALSE),YES_Writing_ELA[#Headers],0)))),"")</f>
        <v/>
      </c>
      <c r="H79" s="223" t="str">
        <f>IFERROR(IF(IF(INDEX(_xlfn.VSTACK(YES_Writing_ELA[#Data],YES_Writing_FLA[#Data]),MATCH($A79,_xlfn.VSTACK(YES_Writing_ELA[Student Number],YES_Writing_FLA[Student Number]),0),MATCH(VLOOKUP(H$7,'Writing Logic'!$J$7:$K$11,2,FALSE)&amp;" - Per "&amp;VLOOKUP($C$4,'Writing Logic'!$G$8:$H$14,2,FALSE),YES_Writing_ELA[#Headers],0))=0,"",INDEX(_xlfn.VSTACK(YES_Writing_ELA[#Data],YES_Writing_FLA[#Data]),MATCH($A79,_xlfn.VSTACK(YES_Writing_ELA[Student Number],YES_Writing_FLA[Student Number]),0),MATCH(VLOOKUP(H$7,'Writing Logic'!$J$7:$K$11,2,FALSE)&amp;" - Per "&amp;VLOOKUP($C$4,'Writing Logic'!$G$8:$H$14,2,FALSE),YES_Writing_ELA[#Headers],0)))="INS",'Writing Logic'!$B$7,IF(INDEX(_xlfn.VSTACK(YES_Writing_ELA[#Data],YES_Writing_FLA[#Data]),MATCH($A79,_xlfn.VSTACK(YES_Writing_ELA[Student Number],YES_Writing_FLA[Student Number]),0),MATCH(VLOOKUP(H$7,'Writing Logic'!$J$7:$K$11,2,FALSE)&amp;" - Per "&amp;VLOOKUP($C$4,'Writing Logic'!$G$8:$H$14,2,FALSE),YES_Writing_ELA[#Headers],0))=0,"",INDEX(_xlfn.VSTACK(YES_Writing_ELA[#Data],YES_Writing_FLA[#Data]),MATCH($A79,_xlfn.VSTACK(YES_Writing_ELA[Student Number],YES_Writing_FLA[Student Number]),0),MATCH(VLOOKUP(H$7,'Writing Logic'!$J$7:$K$11,2,FALSE)&amp;" - Per "&amp;VLOOKUP($C$4,'Writing Logic'!$G$8:$H$14,2,FALSE),YES_Writing_ELA[#Headers],0)))),"")</f>
        <v/>
      </c>
      <c r="I79" s="224" t="str" cm="1">
        <f t="array" aca="1" ref="I79" ca="1">IFERROR(
IF($G$3="ELA",
IF(VLOOKUP($A79, YES_Reading_ELA[], COLUMN(INDIRECT("YES_Reading_ELA[Difference - Per "&amp;VLOOKUP($G$4, 'Reading Report Logic'!$A$2:$B$8, 2, FALSE)&amp;"]")), FALSE)="", "",
VLOOKUP($A79,YES_Reading_ELA[], COLUMN(INDIRECT("YES_Reading_ELA[Difference - Per "&amp;VLOOKUP($G$4,'Reading Report Logic'!$A$2:$B$8,2,FALSE)&amp;"]")), FALSE)),
IF($G$3="FLA",
IF(VLOOKUP($A79, YES_Reading_FLA[], COLUMN(INDIRECT("YES_Reading_FLA[Difference - Per "&amp;VLOOKUP($G$4,'Reading Report Logic'!$A$2:$B$8,2,FALSE)&amp;"]")),FALSE)="","",
VLOOKUP($A79,YES_Reading_FLA[],COLUMN(INDIRECT("YES_Reading_FLA[Difference - Per "&amp;VLOOKUP($G$4,'Reading Report Logic'!$A$2:$B$8,2,FALSE)&amp;"]")),FALSE)),
IF($G$3="Combined",
IFERROR(
IF(VLOOKUP($A79, YES_Reading_ELA[], COLUMN(INDIRECT("YES_Reading_ELA[Difference - Per "&amp;VLOOKUP($G$4, 'Reading Report Logic'!$A$2:$B$8,2,FALSE)&amp;"]")), FALSE)="", "",
VLOOKUP($A79,YES_Reading_ELA[],COLUMN(INDIRECT("YES_Reading_ELA[Difference - Per "&amp;VLOOKUP($G$4,'Reading Report Logic'!$A$2:$B$8,2,FALSE)&amp;"]")),FALSE)),
IF(VLOOKUP($A79, YES_Reading_FLA[], COLUMN(INDIRECT("YES_Reading_FLA[Difference - Per "&amp;VLOOKUP($G$4, 'Reading Report Logic'!$A$2:$B$8, 2, FALSE)&amp;"]")),FALSE)="", "", VLOOKUP($A79,YES_Reading_FLA[],COLUMN(INDIRECT("YES_Reading_FLA[Difference - Per "&amp;VLOOKUP($G$4, 'Reading Report Logic'!$A$2:$B$8, 2, FALSE)&amp;"]")),FALSE))),""))),"")</f>
        <v/>
      </c>
      <c r="J79" s="136"/>
      <c r="K79" s="136"/>
      <c r="L79" s="136"/>
      <c r="M79" s="136"/>
      <c r="N79" s="136"/>
      <c r="O79" s="136"/>
    </row>
    <row r="80" spans="1:15" ht="14.25" customHeight="1" x14ac:dyDescent="0.25">
      <c r="A80" s="137"/>
      <c r="B80" s="137" t="str">
        <f>IFERROR(INDEX(_xlfn.VSTACK(YES_Writing_ELA[#Data], YES_Writing_FLA[#Data]),MATCH($A80,_xlfn.VSTACK(YES_Writing_ELA[Student Number], YES_Writing_FLA[Student Number]),0),MATCH(B$7,YES_Writing_ELA[#Headers],0)),IFERROR(INDEX(_xlfn.VSTACK(YES_Reading_ELA[#Data], YES_Reading_FLA[#Data]),MATCH($A80,_xlfn.VSTACK(YES_Reading_ELA[Student Number], YES_Reading_FLA[Student Number]),0),MATCH(B$7,YES_Reading_ELA[#Headers],0)),""))</f>
        <v/>
      </c>
      <c r="C80" s="137" t="str">
        <f>IFERROR(INDEX(_xlfn.VSTACK(YES_Writing_ELA[#Data], YES_Writing_FLA[#Data]),MATCH($A80,_xlfn.VSTACK(YES_Writing_ELA[Student Number], YES_Writing_FLA[Student Number]),0),MATCH(C$7,YES_Writing_ELA[#Headers],0)),IFERROR(INDEX(_xlfn.VSTACK(YES_Reading_ELA[#Data], YES_Reading_FLA[#Data]),MATCH($A80,_xlfn.VSTACK(YES_Reading_ELA[Student Number], YES_Reading_FLA[Student Number]),0),MATCH(C$7,YES_Reading_ELA[#Headers],0)),""))</f>
        <v/>
      </c>
      <c r="D80" s="138" t="str">
        <f>IFERROR(IF(IF(INDEX(_xlfn.VSTACK(YES_Writing_ELA[#Data],YES_Writing_FLA[#Data]),MATCH($A80,_xlfn.VSTACK(YES_Writing_ELA[Student Number],YES_Writing_FLA[Student Number]),0),MATCH(VLOOKUP(D$7,'Writing Logic'!$J$7:$K$11,2,FALSE)&amp;" - Per "&amp;VLOOKUP($C$4,'Writing Logic'!$G$8:$H$14,2,FALSE),YES_Writing_ELA[#Headers],0))=0,"",INDEX(_xlfn.VSTACK(YES_Writing_ELA[#Data],YES_Writing_FLA[#Data]),MATCH($A80,_xlfn.VSTACK(YES_Writing_ELA[Student Number],YES_Writing_FLA[Student Number]),0),MATCH(VLOOKUP(D$7,'Writing Logic'!$J$7:$K$11,2,FALSE)&amp;" - Per "&amp;VLOOKUP($C$4,'Writing Logic'!$G$8:$H$14,2,FALSE),YES_Writing_ELA[#Headers],0)))="INS",'Writing Logic'!$B$7,IF(INDEX(_xlfn.VSTACK(YES_Writing_ELA[#Data],YES_Writing_FLA[#Data]),MATCH($A80,_xlfn.VSTACK(YES_Writing_ELA[Student Number],YES_Writing_FLA[Student Number]),0),MATCH(VLOOKUP(D$7,'Writing Logic'!$J$7:$K$11,2,FALSE)&amp;" - Per "&amp;VLOOKUP($C$4,'Writing Logic'!$G$8:$H$14,2,FALSE),YES_Writing_ELA[#Headers],0))=0,"",INDEX(_xlfn.VSTACK(YES_Writing_ELA[#Data],YES_Writing_FLA[#Data]),MATCH($A80,_xlfn.VSTACK(YES_Writing_ELA[Student Number],YES_Writing_FLA[Student Number]),0),MATCH(VLOOKUP(D$7,'Writing Logic'!$J$7:$K$11,2,FALSE)&amp;" - Per "&amp;VLOOKUP($C$4,'Writing Logic'!$G$8:$H$14,2,FALSE),YES_Writing_ELA[#Headers],0)))),"")</f>
        <v/>
      </c>
      <c r="E80" s="138" t="str">
        <f>IFERROR(IF(IF(INDEX(_xlfn.VSTACK(YES_Writing_ELA[#Data],YES_Writing_FLA[#Data]),MATCH($A80,_xlfn.VSTACK(YES_Writing_ELA[Student Number],YES_Writing_FLA[Student Number]),0),MATCH(VLOOKUP(E$7,'Writing Logic'!$J$7:$K$11,2,FALSE)&amp;" - Per "&amp;VLOOKUP($C$4,'Writing Logic'!$G$8:$H$14,2,FALSE),YES_Writing_ELA[#Headers],0))=0,"",INDEX(_xlfn.VSTACK(YES_Writing_ELA[#Data],YES_Writing_FLA[#Data]),MATCH($A80,_xlfn.VSTACK(YES_Writing_ELA[Student Number],YES_Writing_FLA[Student Number]),0),MATCH(VLOOKUP(E$7,'Writing Logic'!$J$7:$K$11,2,FALSE)&amp;" - Per "&amp;VLOOKUP($C$4,'Writing Logic'!$G$8:$H$14,2,FALSE),YES_Writing_ELA[#Headers],0)))="INS",'Writing Logic'!$B$7,IF(INDEX(_xlfn.VSTACK(YES_Writing_ELA[#Data],YES_Writing_FLA[#Data]),MATCH($A80,_xlfn.VSTACK(YES_Writing_ELA[Student Number],YES_Writing_FLA[Student Number]),0),MATCH(VLOOKUP(E$7,'Writing Logic'!$J$7:$K$11,2,FALSE)&amp;" - Per "&amp;VLOOKUP($C$4,'Writing Logic'!$G$8:$H$14,2,FALSE),YES_Writing_ELA[#Headers],0))=0,"",INDEX(_xlfn.VSTACK(YES_Writing_ELA[#Data],YES_Writing_FLA[#Data]),MATCH($A80,_xlfn.VSTACK(YES_Writing_ELA[Student Number],YES_Writing_FLA[Student Number]),0),MATCH(VLOOKUP(E$7,'Writing Logic'!$J$7:$K$11,2,FALSE)&amp;" - Per "&amp;VLOOKUP($C$4,'Writing Logic'!$G$8:$H$14,2,FALSE),YES_Writing_ELA[#Headers],0)))),"")</f>
        <v/>
      </c>
      <c r="F80" s="138" t="str">
        <f>IFERROR(IF(IF(INDEX(_xlfn.VSTACK(YES_Writing_ELA[#Data],YES_Writing_FLA[#Data]),MATCH($A80,_xlfn.VSTACK(YES_Writing_ELA[Student Number],YES_Writing_FLA[Student Number]),0),MATCH(VLOOKUP(F$7,'Writing Logic'!$J$7:$K$11,2,FALSE)&amp;" - Per "&amp;VLOOKUP($C$4,'Writing Logic'!$G$8:$H$14,2,FALSE),YES_Writing_ELA[#Headers],0))=0,"",INDEX(_xlfn.VSTACK(YES_Writing_ELA[#Data],YES_Writing_FLA[#Data]),MATCH($A80,_xlfn.VSTACK(YES_Writing_ELA[Student Number],YES_Writing_FLA[Student Number]),0),MATCH(VLOOKUP(F$7,'Writing Logic'!$J$7:$K$11,2,FALSE)&amp;" - Per "&amp;VLOOKUP($C$4,'Writing Logic'!$G$8:$H$14,2,FALSE),YES_Writing_ELA[#Headers],0)))="INS",'Writing Logic'!$B$7,IF(INDEX(_xlfn.VSTACK(YES_Writing_ELA[#Data],YES_Writing_FLA[#Data]),MATCH($A80,_xlfn.VSTACK(YES_Writing_ELA[Student Number],YES_Writing_FLA[Student Number]),0),MATCH(VLOOKUP(F$7,'Writing Logic'!$J$7:$K$11,2,FALSE)&amp;" - Per "&amp;VLOOKUP($C$4,'Writing Logic'!$G$8:$H$14,2,FALSE),YES_Writing_ELA[#Headers],0))=0,"",INDEX(_xlfn.VSTACK(YES_Writing_ELA[#Data],YES_Writing_FLA[#Data]),MATCH($A80,_xlfn.VSTACK(YES_Writing_ELA[Student Number],YES_Writing_FLA[Student Number]),0),MATCH(VLOOKUP(F$7,'Writing Logic'!$J$7:$K$11,2,FALSE)&amp;" - Per "&amp;VLOOKUP($C$4,'Writing Logic'!$G$8:$H$14,2,FALSE),YES_Writing_ELA[#Headers],0)))),"")</f>
        <v/>
      </c>
      <c r="G80" s="138" t="str">
        <f>IFERROR(IF(IF(INDEX(_xlfn.VSTACK(YES_Writing_ELA[#Data],YES_Writing_FLA[#Data]),MATCH($A80,_xlfn.VSTACK(YES_Writing_ELA[Student Number],YES_Writing_FLA[Student Number]),0),MATCH(VLOOKUP(G$7,'Writing Logic'!$J$7:$K$11,2,FALSE)&amp;" - Per "&amp;VLOOKUP($C$4,'Writing Logic'!$G$8:$H$14,2,FALSE),YES_Writing_ELA[#Headers],0))=0,"",INDEX(_xlfn.VSTACK(YES_Writing_ELA[#Data],YES_Writing_FLA[#Data]),MATCH($A80,_xlfn.VSTACK(YES_Writing_ELA[Student Number],YES_Writing_FLA[Student Number]),0),MATCH(VLOOKUP(G$7,'Writing Logic'!$J$7:$K$11,2,FALSE)&amp;" - Per "&amp;VLOOKUP($C$4,'Writing Logic'!$G$8:$H$14,2,FALSE),YES_Writing_ELA[#Headers],0)))="INS",'Writing Logic'!$B$7,IF(INDEX(_xlfn.VSTACK(YES_Writing_ELA[#Data],YES_Writing_FLA[#Data]),MATCH($A80,_xlfn.VSTACK(YES_Writing_ELA[Student Number],YES_Writing_FLA[Student Number]),0),MATCH(VLOOKUP(G$7,'Writing Logic'!$J$7:$K$11,2,FALSE)&amp;" - Per "&amp;VLOOKUP($C$4,'Writing Logic'!$G$8:$H$14,2,FALSE),YES_Writing_ELA[#Headers],0))=0,"",INDEX(_xlfn.VSTACK(YES_Writing_ELA[#Data],YES_Writing_FLA[#Data]),MATCH($A80,_xlfn.VSTACK(YES_Writing_ELA[Student Number],YES_Writing_FLA[Student Number]),0),MATCH(VLOOKUP(G$7,'Writing Logic'!$J$7:$K$11,2,FALSE)&amp;" - Per "&amp;VLOOKUP($C$4,'Writing Logic'!$G$8:$H$14,2,FALSE),YES_Writing_ELA[#Headers],0)))),"")</f>
        <v/>
      </c>
      <c r="H80" s="223" t="str">
        <f>IFERROR(IF(IF(INDEX(_xlfn.VSTACK(YES_Writing_ELA[#Data],YES_Writing_FLA[#Data]),MATCH($A80,_xlfn.VSTACK(YES_Writing_ELA[Student Number],YES_Writing_FLA[Student Number]),0),MATCH(VLOOKUP(H$7,'Writing Logic'!$J$7:$K$11,2,FALSE)&amp;" - Per "&amp;VLOOKUP($C$4,'Writing Logic'!$G$8:$H$14,2,FALSE),YES_Writing_ELA[#Headers],0))=0,"",INDEX(_xlfn.VSTACK(YES_Writing_ELA[#Data],YES_Writing_FLA[#Data]),MATCH($A80,_xlfn.VSTACK(YES_Writing_ELA[Student Number],YES_Writing_FLA[Student Number]),0),MATCH(VLOOKUP(H$7,'Writing Logic'!$J$7:$K$11,2,FALSE)&amp;" - Per "&amp;VLOOKUP($C$4,'Writing Logic'!$G$8:$H$14,2,FALSE),YES_Writing_ELA[#Headers],0)))="INS",'Writing Logic'!$B$7,IF(INDEX(_xlfn.VSTACK(YES_Writing_ELA[#Data],YES_Writing_FLA[#Data]),MATCH($A80,_xlfn.VSTACK(YES_Writing_ELA[Student Number],YES_Writing_FLA[Student Number]),0),MATCH(VLOOKUP(H$7,'Writing Logic'!$J$7:$K$11,2,FALSE)&amp;" - Per "&amp;VLOOKUP($C$4,'Writing Logic'!$G$8:$H$14,2,FALSE),YES_Writing_ELA[#Headers],0))=0,"",INDEX(_xlfn.VSTACK(YES_Writing_ELA[#Data],YES_Writing_FLA[#Data]),MATCH($A80,_xlfn.VSTACK(YES_Writing_ELA[Student Number],YES_Writing_FLA[Student Number]),0),MATCH(VLOOKUP(H$7,'Writing Logic'!$J$7:$K$11,2,FALSE)&amp;" - Per "&amp;VLOOKUP($C$4,'Writing Logic'!$G$8:$H$14,2,FALSE),YES_Writing_ELA[#Headers],0)))),"")</f>
        <v/>
      </c>
      <c r="I80" s="224" t="str" cm="1">
        <f t="array" aca="1" ref="I80" ca="1">IFERROR(
IF($G$3="ELA",
IF(VLOOKUP($A80, YES_Reading_ELA[], COLUMN(INDIRECT("YES_Reading_ELA[Difference - Per "&amp;VLOOKUP($G$4, 'Reading Report Logic'!$A$2:$B$8, 2, FALSE)&amp;"]")), FALSE)="", "",
VLOOKUP($A80,YES_Reading_ELA[], COLUMN(INDIRECT("YES_Reading_ELA[Difference - Per "&amp;VLOOKUP($G$4,'Reading Report Logic'!$A$2:$B$8,2,FALSE)&amp;"]")), FALSE)),
IF($G$3="FLA",
IF(VLOOKUP($A80, YES_Reading_FLA[], COLUMN(INDIRECT("YES_Reading_FLA[Difference - Per "&amp;VLOOKUP($G$4,'Reading Report Logic'!$A$2:$B$8,2,FALSE)&amp;"]")),FALSE)="","",
VLOOKUP($A80,YES_Reading_FLA[],COLUMN(INDIRECT("YES_Reading_FLA[Difference - Per "&amp;VLOOKUP($G$4,'Reading Report Logic'!$A$2:$B$8,2,FALSE)&amp;"]")),FALSE)),
IF($G$3="Combined",
IFERROR(
IF(VLOOKUP($A80, YES_Reading_ELA[], COLUMN(INDIRECT("YES_Reading_ELA[Difference - Per "&amp;VLOOKUP($G$4, 'Reading Report Logic'!$A$2:$B$8,2,FALSE)&amp;"]")), FALSE)="", "",
VLOOKUP($A80,YES_Reading_ELA[],COLUMN(INDIRECT("YES_Reading_ELA[Difference - Per "&amp;VLOOKUP($G$4,'Reading Report Logic'!$A$2:$B$8,2,FALSE)&amp;"]")),FALSE)),
IF(VLOOKUP($A80, YES_Reading_FLA[], COLUMN(INDIRECT("YES_Reading_FLA[Difference - Per "&amp;VLOOKUP($G$4, 'Reading Report Logic'!$A$2:$B$8, 2, FALSE)&amp;"]")),FALSE)="", "", VLOOKUP($A80,YES_Reading_FLA[],COLUMN(INDIRECT("YES_Reading_FLA[Difference - Per "&amp;VLOOKUP($G$4, 'Reading Report Logic'!$A$2:$B$8, 2, FALSE)&amp;"]")),FALSE))),""))),"")</f>
        <v/>
      </c>
      <c r="K80" s="136"/>
      <c r="L80" s="136"/>
      <c r="M80" s="136"/>
      <c r="N80" s="136"/>
      <c r="O80" s="136"/>
    </row>
    <row r="81" spans="1:9" ht="14.25" customHeight="1" x14ac:dyDescent="0.25">
      <c r="A81" s="137"/>
      <c r="B81" s="137" t="str">
        <f>IFERROR(INDEX(_xlfn.VSTACK(YES_Writing_ELA[#Data], YES_Writing_FLA[#Data]),MATCH($A81,_xlfn.VSTACK(YES_Writing_ELA[Student Number], YES_Writing_FLA[Student Number]),0),MATCH(B$7,YES_Writing_ELA[#Headers],0)),IFERROR(INDEX(_xlfn.VSTACK(YES_Reading_ELA[#Data], YES_Reading_FLA[#Data]),MATCH($A81,_xlfn.VSTACK(YES_Reading_ELA[Student Number], YES_Reading_FLA[Student Number]),0),MATCH(B$7,YES_Reading_ELA[#Headers],0)),""))</f>
        <v/>
      </c>
      <c r="C81" s="137" t="str">
        <f>IFERROR(INDEX(_xlfn.VSTACK(YES_Writing_ELA[#Data], YES_Writing_FLA[#Data]),MATCH($A81,_xlfn.VSTACK(YES_Writing_ELA[Student Number], YES_Writing_FLA[Student Number]),0),MATCH(C$7,YES_Writing_ELA[#Headers],0)),IFERROR(INDEX(_xlfn.VSTACK(YES_Reading_ELA[#Data], YES_Reading_FLA[#Data]),MATCH($A81,_xlfn.VSTACK(YES_Reading_ELA[Student Number], YES_Reading_FLA[Student Number]),0),MATCH(C$7,YES_Reading_ELA[#Headers],0)),""))</f>
        <v/>
      </c>
      <c r="D81" s="138" t="str">
        <f>IFERROR(IF(IF(INDEX(_xlfn.VSTACK(YES_Writing_ELA[#Data],YES_Writing_FLA[#Data]),MATCH($A81,_xlfn.VSTACK(YES_Writing_ELA[Student Number],YES_Writing_FLA[Student Number]),0),MATCH(VLOOKUP(D$7,'Writing Logic'!$J$7:$K$11,2,FALSE)&amp;" - Per "&amp;VLOOKUP($C$4,'Writing Logic'!$G$8:$H$14,2,FALSE),YES_Writing_ELA[#Headers],0))=0,"",INDEX(_xlfn.VSTACK(YES_Writing_ELA[#Data],YES_Writing_FLA[#Data]),MATCH($A81,_xlfn.VSTACK(YES_Writing_ELA[Student Number],YES_Writing_FLA[Student Number]),0),MATCH(VLOOKUP(D$7,'Writing Logic'!$J$7:$K$11,2,FALSE)&amp;" - Per "&amp;VLOOKUP($C$4,'Writing Logic'!$G$8:$H$14,2,FALSE),YES_Writing_ELA[#Headers],0)))="INS",'Writing Logic'!$B$7,IF(INDEX(_xlfn.VSTACK(YES_Writing_ELA[#Data],YES_Writing_FLA[#Data]),MATCH($A81,_xlfn.VSTACK(YES_Writing_ELA[Student Number],YES_Writing_FLA[Student Number]),0),MATCH(VLOOKUP(D$7,'Writing Logic'!$J$7:$K$11,2,FALSE)&amp;" - Per "&amp;VLOOKUP($C$4,'Writing Logic'!$G$8:$H$14,2,FALSE),YES_Writing_ELA[#Headers],0))=0,"",INDEX(_xlfn.VSTACK(YES_Writing_ELA[#Data],YES_Writing_FLA[#Data]),MATCH($A81,_xlfn.VSTACK(YES_Writing_ELA[Student Number],YES_Writing_FLA[Student Number]),0),MATCH(VLOOKUP(D$7,'Writing Logic'!$J$7:$K$11,2,FALSE)&amp;" - Per "&amp;VLOOKUP($C$4,'Writing Logic'!$G$8:$H$14,2,FALSE),YES_Writing_ELA[#Headers],0)))),"")</f>
        <v/>
      </c>
      <c r="E81" s="138" t="str">
        <f>IFERROR(IF(IF(INDEX(_xlfn.VSTACK(YES_Writing_ELA[#Data],YES_Writing_FLA[#Data]),MATCH($A81,_xlfn.VSTACK(YES_Writing_ELA[Student Number],YES_Writing_FLA[Student Number]),0),MATCH(VLOOKUP(E$7,'Writing Logic'!$J$7:$K$11,2,FALSE)&amp;" - Per "&amp;VLOOKUP($C$4,'Writing Logic'!$G$8:$H$14,2,FALSE),YES_Writing_ELA[#Headers],0))=0,"",INDEX(_xlfn.VSTACK(YES_Writing_ELA[#Data],YES_Writing_FLA[#Data]),MATCH($A81,_xlfn.VSTACK(YES_Writing_ELA[Student Number],YES_Writing_FLA[Student Number]),0),MATCH(VLOOKUP(E$7,'Writing Logic'!$J$7:$K$11,2,FALSE)&amp;" - Per "&amp;VLOOKUP($C$4,'Writing Logic'!$G$8:$H$14,2,FALSE),YES_Writing_ELA[#Headers],0)))="INS",'Writing Logic'!$B$7,IF(INDEX(_xlfn.VSTACK(YES_Writing_ELA[#Data],YES_Writing_FLA[#Data]),MATCH($A81,_xlfn.VSTACK(YES_Writing_ELA[Student Number],YES_Writing_FLA[Student Number]),0),MATCH(VLOOKUP(E$7,'Writing Logic'!$J$7:$K$11,2,FALSE)&amp;" - Per "&amp;VLOOKUP($C$4,'Writing Logic'!$G$8:$H$14,2,FALSE),YES_Writing_ELA[#Headers],0))=0,"",INDEX(_xlfn.VSTACK(YES_Writing_ELA[#Data],YES_Writing_FLA[#Data]),MATCH($A81,_xlfn.VSTACK(YES_Writing_ELA[Student Number],YES_Writing_FLA[Student Number]),0),MATCH(VLOOKUP(E$7,'Writing Logic'!$J$7:$K$11,2,FALSE)&amp;" - Per "&amp;VLOOKUP($C$4,'Writing Logic'!$G$8:$H$14,2,FALSE),YES_Writing_ELA[#Headers],0)))),"")</f>
        <v/>
      </c>
      <c r="F81" s="138" t="str">
        <f>IFERROR(IF(IF(INDEX(_xlfn.VSTACK(YES_Writing_ELA[#Data],YES_Writing_FLA[#Data]),MATCH($A81,_xlfn.VSTACK(YES_Writing_ELA[Student Number],YES_Writing_FLA[Student Number]),0),MATCH(VLOOKUP(F$7,'Writing Logic'!$J$7:$K$11,2,FALSE)&amp;" - Per "&amp;VLOOKUP($C$4,'Writing Logic'!$G$8:$H$14,2,FALSE),YES_Writing_ELA[#Headers],0))=0,"",INDEX(_xlfn.VSTACK(YES_Writing_ELA[#Data],YES_Writing_FLA[#Data]),MATCH($A81,_xlfn.VSTACK(YES_Writing_ELA[Student Number],YES_Writing_FLA[Student Number]),0),MATCH(VLOOKUP(F$7,'Writing Logic'!$J$7:$K$11,2,FALSE)&amp;" - Per "&amp;VLOOKUP($C$4,'Writing Logic'!$G$8:$H$14,2,FALSE),YES_Writing_ELA[#Headers],0)))="INS",'Writing Logic'!$B$7,IF(INDEX(_xlfn.VSTACK(YES_Writing_ELA[#Data],YES_Writing_FLA[#Data]),MATCH($A81,_xlfn.VSTACK(YES_Writing_ELA[Student Number],YES_Writing_FLA[Student Number]),0),MATCH(VLOOKUP(F$7,'Writing Logic'!$J$7:$K$11,2,FALSE)&amp;" - Per "&amp;VLOOKUP($C$4,'Writing Logic'!$G$8:$H$14,2,FALSE),YES_Writing_ELA[#Headers],0))=0,"",INDEX(_xlfn.VSTACK(YES_Writing_ELA[#Data],YES_Writing_FLA[#Data]),MATCH($A81,_xlfn.VSTACK(YES_Writing_ELA[Student Number],YES_Writing_FLA[Student Number]),0),MATCH(VLOOKUP(F$7,'Writing Logic'!$J$7:$K$11,2,FALSE)&amp;" - Per "&amp;VLOOKUP($C$4,'Writing Logic'!$G$8:$H$14,2,FALSE),YES_Writing_ELA[#Headers],0)))),"")</f>
        <v/>
      </c>
      <c r="G81" s="138" t="str">
        <f>IFERROR(IF(IF(INDEX(_xlfn.VSTACK(YES_Writing_ELA[#Data],YES_Writing_FLA[#Data]),MATCH($A81,_xlfn.VSTACK(YES_Writing_ELA[Student Number],YES_Writing_FLA[Student Number]),0),MATCH(VLOOKUP(G$7,'Writing Logic'!$J$7:$K$11,2,FALSE)&amp;" - Per "&amp;VLOOKUP($C$4,'Writing Logic'!$G$8:$H$14,2,FALSE),YES_Writing_ELA[#Headers],0))=0,"",INDEX(_xlfn.VSTACK(YES_Writing_ELA[#Data],YES_Writing_FLA[#Data]),MATCH($A81,_xlfn.VSTACK(YES_Writing_ELA[Student Number],YES_Writing_FLA[Student Number]),0),MATCH(VLOOKUP(G$7,'Writing Logic'!$J$7:$K$11,2,FALSE)&amp;" - Per "&amp;VLOOKUP($C$4,'Writing Logic'!$G$8:$H$14,2,FALSE),YES_Writing_ELA[#Headers],0)))="INS",'Writing Logic'!$B$7,IF(INDEX(_xlfn.VSTACK(YES_Writing_ELA[#Data],YES_Writing_FLA[#Data]),MATCH($A81,_xlfn.VSTACK(YES_Writing_ELA[Student Number],YES_Writing_FLA[Student Number]),0),MATCH(VLOOKUP(G$7,'Writing Logic'!$J$7:$K$11,2,FALSE)&amp;" - Per "&amp;VLOOKUP($C$4,'Writing Logic'!$G$8:$H$14,2,FALSE),YES_Writing_ELA[#Headers],0))=0,"",INDEX(_xlfn.VSTACK(YES_Writing_ELA[#Data],YES_Writing_FLA[#Data]),MATCH($A81,_xlfn.VSTACK(YES_Writing_ELA[Student Number],YES_Writing_FLA[Student Number]),0),MATCH(VLOOKUP(G$7,'Writing Logic'!$J$7:$K$11,2,FALSE)&amp;" - Per "&amp;VLOOKUP($C$4,'Writing Logic'!$G$8:$H$14,2,FALSE),YES_Writing_ELA[#Headers],0)))),"")</f>
        <v/>
      </c>
      <c r="H81" s="223" t="str">
        <f>IFERROR(IF(IF(INDEX(_xlfn.VSTACK(YES_Writing_ELA[#Data],YES_Writing_FLA[#Data]),MATCH($A81,_xlfn.VSTACK(YES_Writing_ELA[Student Number],YES_Writing_FLA[Student Number]),0),MATCH(VLOOKUP(H$7,'Writing Logic'!$J$7:$K$11,2,FALSE)&amp;" - Per "&amp;VLOOKUP($C$4,'Writing Logic'!$G$8:$H$14,2,FALSE),YES_Writing_ELA[#Headers],0))=0,"",INDEX(_xlfn.VSTACK(YES_Writing_ELA[#Data],YES_Writing_FLA[#Data]),MATCH($A81,_xlfn.VSTACK(YES_Writing_ELA[Student Number],YES_Writing_FLA[Student Number]),0),MATCH(VLOOKUP(H$7,'Writing Logic'!$J$7:$K$11,2,FALSE)&amp;" - Per "&amp;VLOOKUP($C$4,'Writing Logic'!$G$8:$H$14,2,FALSE),YES_Writing_ELA[#Headers],0)))="INS",'Writing Logic'!$B$7,IF(INDEX(_xlfn.VSTACK(YES_Writing_ELA[#Data],YES_Writing_FLA[#Data]),MATCH($A81,_xlfn.VSTACK(YES_Writing_ELA[Student Number],YES_Writing_FLA[Student Number]),0),MATCH(VLOOKUP(H$7,'Writing Logic'!$J$7:$K$11,2,FALSE)&amp;" - Per "&amp;VLOOKUP($C$4,'Writing Logic'!$G$8:$H$14,2,FALSE),YES_Writing_ELA[#Headers],0))=0,"",INDEX(_xlfn.VSTACK(YES_Writing_ELA[#Data],YES_Writing_FLA[#Data]),MATCH($A81,_xlfn.VSTACK(YES_Writing_ELA[Student Number],YES_Writing_FLA[Student Number]),0),MATCH(VLOOKUP(H$7,'Writing Logic'!$J$7:$K$11,2,FALSE)&amp;" - Per "&amp;VLOOKUP($C$4,'Writing Logic'!$G$8:$H$14,2,FALSE),YES_Writing_ELA[#Headers],0)))),"")</f>
        <v/>
      </c>
      <c r="I81" s="224" t="str" cm="1">
        <f t="array" aca="1" ref="I81" ca="1">IFERROR(
IF($G$3="ELA",
IF(VLOOKUP($A81, YES_Reading_ELA[], COLUMN(INDIRECT("YES_Reading_ELA[Difference - Per "&amp;VLOOKUP($G$4, 'Reading Report Logic'!$A$2:$B$8, 2, FALSE)&amp;"]")), FALSE)="", "",
VLOOKUP($A81,YES_Reading_ELA[], COLUMN(INDIRECT("YES_Reading_ELA[Difference - Per "&amp;VLOOKUP($G$4,'Reading Report Logic'!$A$2:$B$8,2,FALSE)&amp;"]")), FALSE)),
IF($G$3="FLA",
IF(VLOOKUP($A81, YES_Reading_FLA[], COLUMN(INDIRECT("YES_Reading_FLA[Difference - Per "&amp;VLOOKUP($G$4,'Reading Report Logic'!$A$2:$B$8,2,FALSE)&amp;"]")),FALSE)="","",
VLOOKUP($A81,YES_Reading_FLA[],COLUMN(INDIRECT("YES_Reading_FLA[Difference - Per "&amp;VLOOKUP($G$4,'Reading Report Logic'!$A$2:$B$8,2,FALSE)&amp;"]")),FALSE)),
IF($G$3="Combined",
IFERROR(
IF(VLOOKUP($A81, YES_Reading_ELA[], COLUMN(INDIRECT("YES_Reading_ELA[Difference - Per "&amp;VLOOKUP($G$4, 'Reading Report Logic'!$A$2:$B$8,2,FALSE)&amp;"]")), FALSE)="", "",
VLOOKUP($A81,YES_Reading_ELA[],COLUMN(INDIRECT("YES_Reading_ELA[Difference - Per "&amp;VLOOKUP($G$4,'Reading Report Logic'!$A$2:$B$8,2,FALSE)&amp;"]")),FALSE)),
IF(VLOOKUP($A81, YES_Reading_FLA[], COLUMN(INDIRECT("YES_Reading_FLA[Difference - Per "&amp;VLOOKUP($G$4, 'Reading Report Logic'!$A$2:$B$8, 2, FALSE)&amp;"]")),FALSE)="", "", VLOOKUP($A81,YES_Reading_FLA[],COLUMN(INDIRECT("YES_Reading_FLA[Difference - Per "&amp;VLOOKUP($G$4, 'Reading Report Logic'!$A$2:$B$8, 2, FALSE)&amp;"]")),FALSE))),""))),"")</f>
        <v/>
      </c>
    </row>
    <row r="82" spans="1:9" ht="14.25" customHeight="1" x14ac:dyDescent="0.25">
      <c r="A82" s="137"/>
      <c r="B82" s="137" t="str">
        <f>IFERROR(INDEX(_xlfn.VSTACK(YES_Writing_ELA[#Data], YES_Writing_FLA[#Data]),MATCH($A82,_xlfn.VSTACK(YES_Writing_ELA[Student Number], YES_Writing_FLA[Student Number]),0),MATCH(B$7,YES_Writing_ELA[#Headers],0)),IFERROR(INDEX(_xlfn.VSTACK(YES_Reading_ELA[#Data], YES_Reading_FLA[#Data]),MATCH($A82,_xlfn.VSTACK(YES_Reading_ELA[Student Number], YES_Reading_FLA[Student Number]),0),MATCH(B$7,YES_Reading_ELA[#Headers],0)),""))</f>
        <v/>
      </c>
      <c r="C82" s="137" t="str">
        <f>IFERROR(INDEX(_xlfn.VSTACK(YES_Writing_ELA[#Data], YES_Writing_FLA[#Data]),MATCH($A82,_xlfn.VSTACK(YES_Writing_ELA[Student Number], YES_Writing_FLA[Student Number]),0),MATCH(C$7,YES_Writing_ELA[#Headers],0)),IFERROR(INDEX(_xlfn.VSTACK(YES_Reading_ELA[#Data], YES_Reading_FLA[#Data]),MATCH($A82,_xlfn.VSTACK(YES_Reading_ELA[Student Number], YES_Reading_FLA[Student Number]),0),MATCH(C$7,YES_Reading_ELA[#Headers],0)),""))</f>
        <v/>
      </c>
      <c r="D82" s="138" t="str">
        <f>IFERROR(IF(IF(INDEX(_xlfn.VSTACK(YES_Writing_ELA[#Data],YES_Writing_FLA[#Data]),MATCH($A82,_xlfn.VSTACK(YES_Writing_ELA[Student Number],YES_Writing_FLA[Student Number]),0),MATCH(VLOOKUP(D$7,'Writing Logic'!$J$7:$K$11,2,FALSE)&amp;" - Per "&amp;VLOOKUP($C$4,'Writing Logic'!$G$8:$H$14,2,FALSE),YES_Writing_ELA[#Headers],0))=0,"",INDEX(_xlfn.VSTACK(YES_Writing_ELA[#Data],YES_Writing_FLA[#Data]),MATCH($A82,_xlfn.VSTACK(YES_Writing_ELA[Student Number],YES_Writing_FLA[Student Number]),0),MATCH(VLOOKUP(D$7,'Writing Logic'!$J$7:$K$11,2,FALSE)&amp;" - Per "&amp;VLOOKUP($C$4,'Writing Logic'!$G$8:$H$14,2,FALSE),YES_Writing_ELA[#Headers],0)))="INS",'Writing Logic'!$B$7,IF(INDEX(_xlfn.VSTACK(YES_Writing_ELA[#Data],YES_Writing_FLA[#Data]),MATCH($A82,_xlfn.VSTACK(YES_Writing_ELA[Student Number],YES_Writing_FLA[Student Number]),0),MATCH(VLOOKUP(D$7,'Writing Logic'!$J$7:$K$11,2,FALSE)&amp;" - Per "&amp;VLOOKUP($C$4,'Writing Logic'!$G$8:$H$14,2,FALSE),YES_Writing_ELA[#Headers],0))=0,"",INDEX(_xlfn.VSTACK(YES_Writing_ELA[#Data],YES_Writing_FLA[#Data]),MATCH($A82,_xlfn.VSTACK(YES_Writing_ELA[Student Number],YES_Writing_FLA[Student Number]),0),MATCH(VLOOKUP(D$7,'Writing Logic'!$J$7:$K$11,2,FALSE)&amp;" - Per "&amp;VLOOKUP($C$4,'Writing Logic'!$G$8:$H$14,2,FALSE),YES_Writing_ELA[#Headers],0)))),"")</f>
        <v/>
      </c>
      <c r="E82" s="138" t="str">
        <f>IFERROR(IF(IF(INDEX(_xlfn.VSTACK(YES_Writing_ELA[#Data],YES_Writing_FLA[#Data]),MATCH($A82,_xlfn.VSTACK(YES_Writing_ELA[Student Number],YES_Writing_FLA[Student Number]),0),MATCH(VLOOKUP(E$7,'Writing Logic'!$J$7:$K$11,2,FALSE)&amp;" - Per "&amp;VLOOKUP($C$4,'Writing Logic'!$G$8:$H$14,2,FALSE),YES_Writing_ELA[#Headers],0))=0,"",INDEX(_xlfn.VSTACK(YES_Writing_ELA[#Data],YES_Writing_FLA[#Data]),MATCH($A82,_xlfn.VSTACK(YES_Writing_ELA[Student Number],YES_Writing_FLA[Student Number]),0),MATCH(VLOOKUP(E$7,'Writing Logic'!$J$7:$K$11,2,FALSE)&amp;" - Per "&amp;VLOOKUP($C$4,'Writing Logic'!$G$8:$H$14,2,FALSE),YES_Writing_ELA[#Headers],0)))="INS",'Writing Logic'!$B$7,IF(INDEX(_xlfn.VSTACK(YES_Writing_ELA[#Data],YES_Writing_FLA[#Data]),MATCH($A82,_xlfn.VSTACK(YES_Writing_ELA[Student Number],YES_Writing_FLA[Student Number]),0),MATCH(VLOOKUP(E$7,'Writing Logic'!$J$7:$K$11,2,FALSE)&amp;" - Per "&amp;VLOOKUP($C$4,'Writing Logic'!$G$8:$H$14,2,FALSE),YES_Writing_ELA[#Headers],0))=0,"",INDEX(_xlfn.VSTACK(YES_Writing_ELA[#Data],YES_Writing_FLA[#Data]),MATCH($A82,_xlfn.VSTACK(YES_Writing_ELA[Student Number],YES_Writing_FLA[Student Number]),0),MATCH(VLOOKUP(E$7,'Writing Logic'!$J$7:$K$11,2,FALSE)&amp;" - Per "&amp;VLOOKUP($C$4,'Writing Logic'!$G$8:$H$14,2,FALSE),YES_Writing_ELA[#Headers],0)))),"")</f>
        <v/>
      </c>
      <c r="F82" s="138" t="str">
        <f>IFERROR(IF(IF(INDEX(_xlfn.VSTACK(YES_Writing_ELA[#Data],YES_Writing_FLA[#Data]),MATCH($A82,_xlfn.VSTACK(YES_Writing_ELA[Student Number],YES_Writing_FLA[Student Number]),0),MATCH(VLOOKUP(F$7,'Writing Logic'!$J$7:$K$11,2,FALSE)&amp;" - Per "&amp;VLOOKUP($C$4,'Writing Logic'!$G$8:$H$14,2,FALSE),YES_Writing_ELA[#Headers],0))=0,"",INDEX(_xlfn.VSTACK(YES_Writing_ELA[#Data],YES_Writing_FLA[#Data]),MATCH($A82,_xlfn.VSTACK(YES_Writing_ELA[Student Number],YES_Writing_FLA[Student Number]),0),MATCH(VLOOKUP(F$7,'Writing Logic'!$J$7:$K$11,2,FALSE)&amp;" - Per "&amp;VLOOKUP($C$4,'Writing Logic'!$G$8:$H$14,2,FALSE),YES_Writing_ELA[#Headers],0)))="INS",'Writing Logic'!$B$7,IF(INDEX(_xlfn.VSTACK(YES_Writing_ELA[#Data],YES_Writing_FLA[#Data]),MATCH($A82,_xlfn.VSTACK(YES_Writing_ELA[Student Number],YES_Writing_FLA[Student Number]),0),MATCH(VLOOKUP(F$7,'Writing Logic'!$J$7:$K$11,2,FALSE)&amp;" - Per "&amp;VLOOKUP($C$4,'Writing Logic'!$G$8:$H$14,2,FALSE),YES_Writing_ELA[#Headers],0))=0,"",INDEX(_xlfn.VSTACK(YES_Writing_ELA[#Data],YES_Writing_FLA[#Data]),MATCH($A82,_xlfn.VSTACK(YES_Writing_ELA[Student Number],YES_Writing_FLA[Student Number]),0),MATCH(VLOOKUP(F$7,'Writing Logic'!$J$7:$K$11,2,FALSE)&amp;" - Per "&amp;VLOOKUP($C$4,'Writing Logic'!$G$8:$H$14,2,FALSE),YES_Writing_ELA[#Headers],0)))),"")</f>
        <v/>
      </c>
      <c r="G82" s="138" t="str">
        <f>IFERROR(IF(IF(INDEX(_xlfn.VSTACK(YES_Writing_ELA[#Data],YES_Writing_FLA[#Data]),MATCH($A82,_xlfn.VSTACK(YES_Writing_ELA[Student Number],YES_Writing_FLA[Student Number]),0),MATCH(VLOOKUP(G$7,'Writing Logic'!$J$7:$K$11,2,FALSE)&amp;" - Per "&amp;VLOOKUP($C$4,'Writing Logic'!$G$8:$H$14,2,FALSE),YES_Writing_ELA[#Headers],0))=0,"",INDEX(_xlfn.VSTACK(YES_Writing_ELA[#Data],YES_Writing_FLA[#Data]),MATCH($A82,_xlfn.VSTACK(YES_Writing_ELA[Student Number],YES_Writing_FLA[Student Number]),0),MATCH(VLOOKUP(G$7,'Writing Logic'!$J$7:$K$11,2,FALSE)&amp;" - Per "&amp;VLOOKUP($C$4,'Writing Logic'!$G$8:$H$14,2,FALSE),YES_Writing_ELA[#Headers],0)))="INS",'Writing Logic'!$B$7,IF(INDEX(_xlfn.VSTACK(YES_Writing_ELA[#Data],YES_Writing_FLA[#Data]),MATCH($A82,_xlfn.VSTACK(YES_Writing_ELA[Student Number],YES_Writing_FLA[Student Number]),0),MATCH(VLOOKUP(G$7,'Writing Logic'!$J$7:$K$11,2,FALSE)&amp;" - Per "&amp;VLOOKUP($C$4,'Writing Logic'!$G$8:$H$14,2,FALSE),YES_Writing_ELA[#Headers],0))=0,"",INDEX(_xlfn.VSTACK(YES_Writing_ELA[#Data],YES_Writing_FLA[#Data]),MATCH($A82,_xlfn.VSTACK(YES_Writing_ELA[Student Number],YES_Writing_FLA[Student Number]),0),MATCH(VLOOKUP(G$7,'Writing Logic'!$J$7:$K$11,2,FALSE)&amp;" - Per "&amp;VLOOKUP($C$4,'Writing Logic'!$G$8:$H$14,2,FALSE),YES_Writing_ELA[#Headers],0)))),"")</f>
        <v/>
      </c>
      <c r="H82" s="223" t="str">
        <f>IFERROR(IF(IF(INDEX(_xlfn.VSTACK(YES_Writing_ELA[#Data],YES_Writing_FLA[#Data]),MATCH($A82,_xlfn.VSTACK(YES_Writing_ELA[Student Number],YES_Writing_FLA[Student Number]),0),MATCH(VLOOKUP(H$7,'Writing Logic'!$J$7:$K$11,2,FALSE)&amp;" - Per "&amp;VLOOKUP($C$4,'Writing Logic'!$G$8:$H$14,2,FALSE),YES_Writing_ELA[#Headers],0))=0,"",INDEX(_xlfn.VSTACK(YES_Writing_ELA[#Data],YES_Writing_FLA[#Data]),MATCH($A82,_xlfn.VSTACK(YES_Writing_ELA[Student Number],YES_Writing_FLA[Student Number]),0),MATCH(VLOOKUP(H$7,'Writing Logic'!$J$7:$K$11,2,FALSE)&amp;" - Per "&amp;VLOOKUP($C$4,'Writing Logic'!$G$8:$H$14,2,FALSE),YES_Writing_ELA[#Headers],0)))="INS",'Writing Logic'!$B$7,IF(INDEX(_xlfn.VSTACK(YES_Writing_ELA[#Data],YES_Writing_FLA[#Data]),MATCH($A82,_xlfn.VSTACK(YES_Writing_ELA[Student Number],YES_Writing_FLA[Student Number]),0),MATCH(VLOOKUP(H$7,'Writing Logic'!$J$7:$K$11,2,FALSE)&amp;" - Per "&amp;VLOOKUP($C$4,'Writing Logic'!$G$8:$H$14,2,FALSE),YES_Writing_ELA[#Headers],0))=0,"",INDEX(_xlfn.VSTACK(YES_Writing_ELA[#Data],YES_Writing_FLA[#Data]),MATCH($A82,_xlfn.VSTACK(YES_Writing_ELA[Student Number],YES_Writing_FLA[Student Number]),0),MATCH(VLOOKUP(H$7,'Writing Logic'!$J$7:$K$11,2,FALSE)&amp;" - Per "&amp;VLOOKUP($C$4,'Writing Logic'!$G$8:$H$14,2,FALSE),YES_Writing_ELA[#Headers],0)))),"")</f>
        <v/>
      </c>
      <c r="I82" s="224" t="str" cm="1">
        <f t="array" aca="1" ref="I82" ca="1">IFERROR(
IF($G$3="ELA",
IF(VLOOKUP($A82, YES_Reading_ELA[], COLUMN(INDIRECT("YES_Reading_ELA[Difference - Per "&amp;VLOOKUP($G$4, 'Reading Report Logic'!$A$2:$B$8, 2, FALSE)&amp;"]")), FALSE)="", "",
VLOOKUP($A82,YES_Reading_ELA[], COLUMN(INDIRECT("YES_Reading_ELA[Difference - Per "&amp;VLOOKUP($G$4,'Reading Report Logic'!$A$2:$B$8,2,FALSE)&amp;"]")), FALSE)),
IF($G$3="FLA",
IF(VLOOKUP($A82, YES_Reading_FLA[], COLUMN(INDIRECT("YES_Reading_FLA[Difference - Per "&amp;VLOOKUP($G$4,'Reading Report Logic'!$A$2:$B$8,2,FALSE)&amp;"]")),FALSE)="","",
VLOOKUP($A82,YES_Reading_FLA[],COLUMN(INDIRECT("YES_Reading_FLA[Difference - Per "&amp;VLOOKUP($G$4,'Reading Report Logic'!$A$2:$B$8,2,FALSE)&amp;"]")),FALSE)),
IF($G$3="Combined",
IFERROR(
IF(VLOOKUP($A82, YES_Reading_ELA[], COLUMN(INDIRECT("YES_Reading_ELA[Difference - Per "&amp;VLOOKUP($G$4, 'Reading Report Logic'!$A$2:$B$8,2,FALSE)&amp;"]")), FALSE)="", "",
VLOOKUP($A82,YES_Reading_ELA[],COLUMN(INDIRECT("YES_Reading_ELA[Difference - Per "&amp;VLOOKUP($G$4,'Reading Report Logic'!$A$2:$B$8,2,FALSE)&amp;"]")),FALSE)),
IF(VLOOKUP($A82, YES_Reading_FLA[], COLUMN(INDIRECT("YES_Reading_FLA[Difference - Per "&amp;VLOOKUP($G$4, 'Reading Report Logic'!$A$2:$B$8, 2, FALSE)&amp;"]")),FALSE)="", "", VLOOKUP($A82,YES_Reading_FLA[],COLUMN(INDIRECT("YES_Reading_FLA[Difference - Per "&amp;VLOOKUP($G$4, 'Reading Report Logic'!$A$2:$B$8, 2, FALSE)&amp;"]")),FALSE))),""))),"")</f>
        <v/>
      </c>
    </row>
    <row r="83" spans="1:9" ht="14.25" customHeight="1" x14ac:dyDescent="0.25">
      <c r="A83" s="137"/>
      <c r="B83" s="137" t="str">
        <f>IFERROR(INDEX(_xlfn.VSTACK(YES_Writing_ELA[#Data], YES_Writing_FLA[#Data]),MATCH($A83,_xlfn.VSTACK(YES_Writing_ELA[Student Number], YES_Writing_FLA[Student Number]),0),MATCH(B$7,YES_Writing_ELA[#Headers],0)),IFERROR(INDEX(_xlfn.VSTACK(YES_Reading_ELA[#Data], YES_Reading_FLA[#Data]),MATCH($A83,_xlfn.VSTACK(YES_Reading_ELA[Student Number], YES_Reading_FLA[Student Number]),0),MATCH(B$7,YES_Reading_ELA[#Headers],0)),""))</f>
        <v/>
      </c>
      <c r="C83" s="137" t="str">
        <f>IFERROR(INDEX(_xlfn.VSTACK(YES_Writing_ELA[#Data], YES_Writing_FLA[#Data]),MATCH($A83,_xlfn.VSTACK(YES_Writing_ELA[Student Number], YES_Writing_FLA[Student Number]),0),MATCH(C$7,YES_Writing_ELA[#Headers],0)),IFERROR(INDEX(_xlfn.VSTACK(YES_Reading_ELA[#Data], YES_Reading_FLA[#Data]),MATCH($A83,_xlfn.VSTACK(YES_Reading_ELA[Student Number], YES_Reading_FLA[Student Number]),0),MATCH(C$7,YES_Reading_ELA[#Headers],0)),""))</f>
        <v/>
      </c>
      <c r="D83" s="138" t="str">
        <f>IFERROR(IF(IF(INDEX(_xlfn.VSTACK(YES_Writing_ELA[#Data],YES_Writing_FLA[#Data]),MATCH($A83,_xlfn.VSTACK(YES_Writing_ELA[Student Number],YES_Writing_FLA[Student Number]),0),MATCH(VLOOKUP(D$7,'Writing Logic'!$J$7:$K$11,2,FALSE)&amp;" - Per "&amp;VLOOKUP($C$4,'Writing Logic'!$G$8:$H$14,2,FALSE),YES_Writing_ELA[#Headers],0))=0,"",INDEX(_xlfn.VSTACK(YES_Writing_ELA[#Data],YES_Writing_FLA[#Data]),MATCH($A83,_xlfn.VSTACK(YES_Writing_ELA[Student Number],YES_Writing_FLA[Student Number]),0),MATCH(VLOOKUP(D$7,'Writing Logic'!$J$7:$K$11,2,FALSE)&amp;" - Per "&amp;VLOOKUP($C$4,'Writing Logic'!$G$8:$H$14,2,FALSE),YES_Writing_ELA[#Headers],0)))="INS",'Writing Logic'!$B$7,IF(INDEX(_xlfn.VSTACK(YES_Writing_ELA[#Data],YES_Writing_FLA[#Data]),MATCH($A83,_xlfn.VSTACK(YES_Writing_ELA[Student Number],YES_Writing_FLA[Student Number]),0),MATCH(VLOOKUP(D$7,'Writing Logic'!$J$7:$K$11,2,FALSE)&amp;" - Per "&amp;VLOOKUP($C$4,'Writing Logic'!$G$8:$H$14,2,FALSE),YES_Writing_ELA[#Headers],0))=0,"",INDEX(_xlfn.VSTACK(YES_Writing_ELA[#Data],YES_Writing_FLA[#Data]),MATCH($A83,_xlfn.VSTACK(YES_Writing_ELA[Student Number],YES_Writing_FLA[Student Number]),0),MATCH(VLOOKUP(D$7,'Writing Logic'!$J$7:$K$11,2,FALSE)&amp;" - Per "&amp;VLOOKUP($C$4,'Writing Logic'!$G$8:$H$14,2,FALSE),YES_Writing_ELA[#Headers],0)))),"")</f>
        <v/>
      </c>
      <c r="E83" s="138" t="str">
        <f>IFERROR(IF(IF(INDEX(_xlfn.VSTACK(YES_Writing_ELA[#Data],YES_Writing_FLA[#Data]),MATCH($A83,_xlfn.VSTACK(YES_Writing_ELA[Student Number],YES_Writing_FLA[Student Number]),0),MATCH(VLOOKUP(E$7,'Writing Logic'!$J$7:$K$11,2,FALSE)&amp;" - Per "&amp;VLOOKUP($C$4,'Writing Logic'!$G$8:$H$14,2,FALSE),YES_Writing_ELA[#Headers],0))=0,"",INDEX(_xlfn.VSTACK(YES_Writing_ELA[#Data],YES_Writing_FLA[#Data]),MATCH($A83,_xlfn.VSTACK(YES_Writing_ELA[Student Number],YES_Writing_FLA[Student Number]),0),MATCH(VLOOKUP(E$7,'Writing Logic'!$J$7:$K$11,2,FALSE)&amp;" - Per "&amp;VLOOKUP($C$4,'Writing Logic'!$G$8:$H$14,2,FALSE),YES_Writing_ELA[#Headers],0)))="INS",'Writing Logic'!$B$7,IF(INDEX(_xlfn.VSTACK(YES_Writing_ELA[#Data],YES_Writing_FLA[#Data]),MATCH($A83,_xlfn.VSTACK(YES_Writing_ELA[Student Number],YES_Writing_FLA[Student Number]),0),MATCH(VLOOKUP(E$7,'Writing Logic'!$J$7:$K$11,2,FALSE)&amp;" - Per "&amp;VLOOKUP($C$4,'Writing Logic'!$G$8:$H$14,2,FALSE),YES_Writing_ELA[#Headers],0))=0,"",INDEX(_xlfn.VSTACK(YES_Writing_ELA[#Data],YES_Writing_FLA[#Data]),MATCH($A83,_xlfn.VSTACK(YES_Writing_ELA[Student Number],YES_Writing_FLA[Student Number]),0),MATCH(VLOOKUP(E$7,'Writing Logic'!$J$7:$K$11,2,FALSE)&amp;" - Per "&amp;VLOOKUP($C$4,'Writing Logic'!$G$8:$H$14,2,FALSE),YES_Writing_ELA[#Headers],0)))),"")</f>
        <v/>
      </c>
      <c r="F83" s="138" t="str">
        <f>IFERROR(IF(IF(INDEX(_xlfn.VSTACK(YES_Writing_ELA[#Data],YES_Writing_FLA[#Data]),MATCH($A83,_xlfn.VSTACK(YES_Writing_ELA[Student Number],YES_Writing_FLA[Student Number]),0),MATCH(VLOOKUP(F$7,'Writing Logic'!$J$7:$K$11,2,FALSE)&amp;" - Per "&amp;VLOOKUP($C$4,'Writing Logic'!$G$8:$H$14,2,FALSE),YES_Writing_ELA[#Headers],0))=0,"",INDEX(_xlfn.VSTACK(YES_Writing_ELA[#Data],YES_Writing_FLA[#Data]),MATCH($A83,_xlfn.VSTACK(YES_Writing_ELA[Student Number],YES_Writing_FLA[Student Number]),0),MATCH(VLOOKUP(F$7,'Writing Logic'!$J$7:$K$11,2,FALSE)&amp;" - Per "&amp;VLOOKUP($C$4,'Writing Logic'!$G$8:$H$14,2,FALSE),YES_Writing_ELA[#Headers],0)))="INS",'Writing Logic'!$B$7,IF(INDEX(_xlfn.VSTACK(YES_Writing_ELA[#Data],YES_Writing_FLA[#Data]),MATCH($A83,_xlfn.VSTACK(YES_Writing_ELA[Student Number],YES_Writing_FLA[Student Number]),0),MATCH(VLOOKUP(F$7,'Writing Logic'!$J$7:$K$11,2,FALSE)&amp;" - Per "&amp;VLOOKUP($C$4,'Writing Logic'!$G$8:$H$14,2,FALSE),YES_Writing_ELA[#Headers],0))=0,"",INDEX(_xlfn.VSTACK(YES_Writing_ELA[#Data],YES_Writing_FLA[#Data]),MATCH($A83,_xlfn.VSTACK(YES_Writing_ELA[Student Number],YES_Writing_FLA[Student Number]),0),MATCH(VLOOKUP(F$7,'Writing Logic'!$J$7:$K$11,2,FALSE)&amp;" - Per "&amp;VLOOKUP($C$4,'Writing Logic'!$G$8:$H$14,2,FALSE),YES_Writing_ELA[#Headers],0)))),"")</f>
        <v/>
      </c>
      <c r="G83" s="138" t="str">
        <f>IFERROR(IF(IF(INDEX(_xlfn.VSTACK(YES_Writing_ELA[#Data],YES_Writing_FLA[#Data]),MATCH($A83,_xlfn.VSTACK(YES_Writing_ELA[Student Number],YES_Writing_FLA[Student Number]),0),MATCH(VLOOKUP(G$7,'Writing Logic'!$J$7:$K$11,2,FALSE)&amp;" - Per "&amp;VLOOKUP($C$4,'Writing Logic'!$G$8:$H$14,2,FALSE),YES_Writing_ELA[#Headers],0))=0,"",INDEX(_xlfn.VSTACK(YES_Writing_ELA[#Data],YES_Writing_FLA[#Data]),MATCH($A83,_xlfn.VSTACK(YES_Writing_ELA[Student Number],YES_Writing_FLA[Student Number]),0),MATCH(VLOOKUP(G$7,'Writing Logic'!$J$7:$K$11,2,FALSE)&amp;" - Per "&amp;VLOOKUP($C$4,'Writing Logic'!$G$8:$H$14,2,FALSE),YES_Writing_ELA[#Headers],0)))="INS",'Writing Logic'!$B$7,IF(INDEX(_xlfn.VSTACK(YES_Writing_ELA[#Data],YES_Writing_FLA[#Data]),MATCH($A83,_xlfn.VSTACK(YES_Writing_ELA[Student Number],YES_Writing_FLA[Student Number]),0),MATCH(VLOOKUP(G$7,'Writing Logic'!$J$7:$K$11,2,FALSE)&amp;" - Per "&amp;VLOOKUP($C$4,'Writing Logic'!$G$8:$H$14,2,FALSE),YES_Writing_ELA[#Headers],0))=0,"",INDEX(_xlfn.VSTACK(YES_Writing_ELA[#Data],YES_Writing_FLA[#Data]),MATCH($A83,_xlfn.VSTACK(YES_Writing_ELA[Student Number],YES_Writing_FLA[Student Number]),0),MATCH(VLOOKUP(G$7,'Writing Logic'!$J$7:$K$11,2,FALSE)&amp;" - Per "&amp;VLOOKUP($C$4,'Writing Logic'!$G$8:$H$14,2,FALSE),YES_Writing_ELA[#Headers],0)))),"")</f>
        <v/>
      </c>
      <c r="H83" s="223" t="str">
        <f>IFERROR(IF(IF(INDEX(_xlfn.VSTACK(YES_Writing_ELA[#Data],YES_Writing_FLA[#Data]),MATCH($A83,_xlfn.VSTACK(YES_Writing_ELA[Student Number],YES_Writing_FLA[Student Number]),0),MATCH(VLOOKUP(H$7,'Writing Logic'!$J$7:$K$11,2,FALSE)&amp;" - Per "&amp;VLOOKUP($C$4,'Writing Logic'!$G$8:$H$14,2,FALSE),YES_Writing_ELA[#Headers],0))=0,"",INDEX(_xlfn.VSTACK(YES_Writing_ELA[#Data],YES_Writing_FLA[#Data]),MATCH($A83,_xlfn.VSTACK(YES_Writing_ELA[Student Number],YES_Writing_FLA[Student Number]),0),MATCH(VLOOKUP(H$7,'Writing Logic'!$J$7:$K$11,2,FALSE)&amp;" - Per "&amp;VLOOKUP($C$4,'Writing Logic'!$G$8:$H$14,2,FALSE),YES_Writing_ELA[#Headers],0)))="INS",'Writing Logic'!$B$7,IF(INDEX(_xlfn.VSTACK(YES_Writing_ELA[#Data],YES_Writing_FLA[#Data]),MATCH($A83,_xlfn.VSTACK(YES_Writing_ELA[Student Number],YES_Writing_FLA[Student Number]),0),MATCH(VLOOKUP(H$7,'Writing Logic'!$J$7:$K$11,2,FALSE)&amp;" - Per "&amp;VLOOKUP($C$4,'Writing Logic'!$G$8:$H$14,2,FALSE),YES_Writing_ELA[#Headers],0))=0,"",INDEX(_xlfn.VSTACK(YES_Writing_ELA[#Data],YES_Writing_FLA[#Data]),MATCH($A83,_xlfn.VSTACK(YES_Writing_ELA[Student Number],YES_Writing_FLA[Student Number]),0),MATCH(VLOOKUP(H$7,'Writing Logic'!$J$7:$K$11,2,FALSE)&amp;" - Per "&amp;VLOOKUP($C$4,'Writing Logic'!$G$8:$H$14,2,FALSE),YES_Writing_ELA[#Headers],0)))),"")</f>
        <v/>
      </c>
      <c r="I83" s="224" t="str" cm="1">
        <f t="array" aca="1" ref="I83" ca="1">IFERROR(
IF($G$3="ELA",
IF(VLOOKUP($A83, YES_Reading_ELA[], COLUMN(INDIRECT("YES_Reading_ELA[Difference - Per "&amp;VLOOKUP($G$4, 'Reading Report Logic'!$A$2:$B$8, 2, FALSE)&amp;"]")), FALSE)="", "",
VLOOKUP($A83,YES_Reading_ELA[], COLUMN(INDIRECT("YES_Reading_ELA[Difference - Per "&amp;VLOOKUP($G$4,'Reading Report Logic'!$A$2:$B$8,2,FALSE)&amp;"]")), FALSE)),
IF($G$3="FLA",
IF(VLOOKUP($A83, YES_Reading_FLA[], COLUMN(INDIRECT("YES_Reading_FLA[Difference - Per "&amp;VLOOKUP($G$4,'Reading Report Logic'!$A$2:$B$8,2,FALSE)&amp;"]")),FALSE)="","",
VLOOKUP($A83,YES_Reading_FLA[],COLUMN(INDIRECT("YES_Reading_FLA[Difference - Per "&amp;VLOOKUP($G$4,'Reading Report Logic'!$A$2:$B$8,2,FALSE)&amp;"]")),FALSE)),
IF($G$3="Combined",
IFERROR(
IF(VLOOKUP($A83, YES_Reading_ELA[], COLUMN(INDIRECT("YES_Reading_ELA[Difference - Per "&amp;VLOOKUP($G$4, 'Reading Report Logic'!$A$2:$B$8,2,FALSE)&amp;"]")), FALSE)="", "",
VLOOKUP($A83,YES_Reading_ELA[],COLUMN(INDIRECT("YES_Reading_ELA[Difference - Per "&amp;VLOOKUP($G$4,'Reading Report Logic'!$A$2:$B$8,2,FALSE)&amp;"]")),FALSE)),
IF(VLOOKUP($A83, YES_Reading_FLA[], COLUMN(INDIRECT("YES_Reading_FLA[Difference - Per "&amp;VLOOKUP($G$4, 'Reading Report Logic'!$A$2:$B$8, 2, FALSE)&amp;"]")),FALSE)="", "", VLOOKUP($A83,YES_Reading_FLA[],COLUMN(INDIRECT("YES_Reading_FLA[Difference - Per "&amp;VLOOKUP($G$4, 'Reading Report Logic'!$A$2:$B$8, 2, FALSE)&amp;"]")),FALSE))),""))),"")</f>
        <v/>
      </c>
    </row>
    <row r="84" spans="1:9" ht="14.25" customHeight="1" x14ac:dyDescent="0.25">
      <c r="A84" s="137"/>
      <c r="B84" s="137" t="str">
        <f>IFERROR(INDEX(_xlfn.VSTACK(YES_Writing_ELA[#Data], YES_Writing_FLA[#Data]),MATCH($A84,_xlfn.VSTACK(YES_Writing_ELA[Student Number], YES_Writing_FLA[Student Number]),0),MATCH(B$7,YES_Writing_ELA[#Headers],0)),IFERROR(INDEX(_xlfn.VSTACK(YES_Reading_ELA[#Data], YES_Reading_FLA[#Data]),MATCH($A84,_xlfn.VSTACK(YES_Reading_ELA[Student Number], YES_Reading_FLA[Student Number]),0),MATCH(B$7,YES_Reading_ELA[#Headers],0)),""))</f>
        <v/>
      </c>
      <c r="C84" s="137" t="str">
        <f>IFERROR(INDEX(_xlfn.VSTACK(YES_Writing_ELA[#Data], YES_Writing_FLA[#Data]),MATCH($A84,_xlfn.VSTACK(YES_Writing_ELA[Student Number], YES_Writing_FLA[Student Number]),0),MATCH(C$7,YES_Writing_ELA[#Headers],0)),IFERROR(INDEX(_xlfn.VSTACK(YES_Reading_ELA[#Data], YES_Reading_FLA[#Data]),MATCH($A84,_xlfn.VSTACK(YES_Reading_ELA[Student Number], YES_Reading_FLA[Student Number]),0),MATCH(C$7,YES_Reading_ELA[#Headers],0)),""))</f>
        <v/>
      </c>
      <c r="D84" s="138" t="str">
        <f>IFERROR(IF(IF(INDEX(_xlfn.VSTACK(YES_Writing_ELA[#Data],YES_Writing_FLA[#Data]),MATCH($A84,_xlfn.VSTACK(YES_Writing_ELA[Student Number],YES_Writing_FLA[Student Number]),0),MATCH(VLOOKUP(D$7,'Writing Logic'!$J$7:$K$11,2,FALSE)&amp;" - Per "&amp;VLOOKUP($C$4,'Writing Logic'!$G$8:$H$14,2,FALSE),YES_Writing_ELA[#Headers],0))=0,"",INDEX(_xlfn.VSTACK(YES_Writing_ELA[#Data],YES_Writing_FLA[#Data]),MATCH($A84,_xlfn.VSTACK(YES_Writing_ELA[Student Number],YES_Writing_FLA[Student Number]),0),MATCH(VLOOKUP(D$7,'Writing Logic'!$J$7:$K$11,2,FALSE)&amp;" - Per "&amp;VLOOKUP($C$4,'Writing Logic'!$G$8:$H$14,2,FALSE),YES_Writing_ELA[#Headers],0)))="INS",'Writing Logic'!$B$7,IF(INDEX(_xlfn.VSTACK(YES_Writing_ELA[#Data],YES_Writing_FLA[#Data]),MATCH($A84,_xlfn.VSTACK(YES_Writing_ELA[Student Number],YES_Writing_FLA[Student Number]),0),MATCH(VLOOKUP(D$7,'Writing Logic'!$J$7:$K$11,2,FALSE)&amp;" - Per "&amp;VLOOKUP($C$4,'Writing Logic'!$G$8:$H$14,2,FALSE),YES_Writing_ELA[#Headers],0))=0,"",INDEX(_xlfn.VSTACK(YES_Writing_ELA[#Data],YES_Writing_FLA[#Data]),MATCH($A84,_xlfn.VSTACK(YES_Writing_ELA[Student Number],YES_Writing_FLA[Student Number]),0),MATCH(VLOOKUP(D$7,'Writing Logic'!$J$7:$K$11,2,FALSE)&amp;" - Per "&amp;VLOOKUP($C$4,'Writing Logic'!$G$8:$H$14,2,FALSE),YES_Writing_ELA[#Headers],0)))),"")</f>
        <v/>
      </c>
      <c r="E84" s="138" t="str">
        <f>IFERROR(IF(IF(INDEX(_xlfn.VSTACK(YES_Writing_ELA[#Data],YES_Writing_FLA[#Data]),MATCH($A84,_xlfn.VSTACK(YES_Writing_ELA[Student Number],YES_Writing_FLA[Student Number]),0),MATCH(VLOOKUP(E$7,'Writing Logic'!$J$7:$K$11,2,FALSE)&amp;" - Per "&amp;VLOOKUP($C$4,'Writing Logic'!$G$8:$H$14,2,FALSE),YES_Writing_ELA[#Headers],0))=0,"",INDEX(_xlfn.VSTACK(YES_Writing_ELA[#Data],YES_Writing_FLA[#Data]),MATCH($A84,_xlfn.VSTACK(YES_Writing_ELA[Student Number],YES_Writing_FLA[Student Number]),0),MATCH(VLOOKUP(E$7,'Writing Logic'!$J$7:$K$11,2,FALSE)&amp;" - Per "&amp;VLOOKUP($C$4,'Writing Logic'!$G$8:$H$14,2,FALSE),YES_Writing_ELA[#Headers],0)))="INS",'Writing Logic'!$B$7,IF(INDEX(_xlfn.VSTACK(YES_Writing_ELA[#Data],YES_Writing_FLA[#Data]),MATCH($A84,_xlfn.VSTACK(YES_Writing_ELA[Student Number],YES_Writing_FLA[Student Number]),0),MATCH(VLOOKUP(E$7,'Writing Logic'!$J$7:$K$11,2,FALSE)&amp;" - Per "&amp;VLOOKUP($C$4,'Writing Logic'!$G$8:$H$14,2,FALSE),YES_Writing_ELA[#Headers],0))=0,"",INDEX(_xlfn.VSTACK(YES_Writing_ELA[#Data],YES_Writing_FLA[#Data]),MATCH($A84,_xlfn.VSTACK(YES_Writing_ELA[Student Number],YES_Writing_FLA[Student Number]),0),MATCH(VLOOKUP(E$7,'Writing Logic'!$J$7:$K$11,2,FALSE)&amp;" - Per "&amp;VLOOKUP($C$4,'Writing Logic'!$G$8:$H$14,2,FALSE),YES_Writing_ELA[#Headers],0)))),"")</f>
        <v/>
      </c>
      <c r="F84" s="138" t="str">
        <f>IFERROR(IF(IF(INDEX(_xlfn.VSTACK(YES_Writing_ELA[#Data],YES_Writing_FLA[#Data]),MATCH($A84,_xlfn.VSTACK(YES_Writing_ELA[Student Number],YES_Writing_FLA[Student Number]),0),MATCH(VLOOKUP(F$7,'Writing Logic'!$J$7:$K$11,2,FALSE)&amp;" - Per "&amp;VLOOKUP($C$4,'Writing Logic'!$G$8:$H$14,2,FALSE),YES_Writing_ELA[#Headers],0))=0,"",INDEX(_xlfn.VSTACK(YES_Writing_ELA[#Data],YES_Writing_FLA[#Data]),MATCH($A84,_xlfn.VSTACK(YES_Writing_ELA[Student Number],YES_Writing_FLA[Student Number]),0),MATCH(VLOOKUP(F$7,'Writing Logic'!$J$7:$K$11,2,FALSE)&amp;" - Per "&amp;VLOOKUP($C$4,'Writing Logic'!$G$8:$H$14,2,FALSE),YES_Writing_ELA[#Headers],0)))="INS",'Writing Logic'!$B$7,IF(INDEX(_xlfn.VSTACK(YES_Writing_ELA[#Data],YES_Writing_FLA[#Data]),MATCH($A84,_xlfn.VSTACK(YES_Writing_ELA[Student Number],YES_Writing_FLA[Student Number]),0),MATCH(VLOOKUP(F$7,'Writing Logic'!$J$7:$K$11,2,FALSE)&amp;" - Per "&amp;VLOOKUP($C$4,'Writing Logic'!$G$8:$H$14,2,FALSE),YES_Writing_ELA[#Headers],0))=0,"",INDEX(_xlfn.VSTACK(YES_Writing_ELA[#Data],YES_Writing_FLA[#Data]),MATCH($A84,_xlfn.VSTACK(YES_Writing_ELA[Student Number],YES_Writing_FLA[Student Number]),0),MATCH(VLOOKUP(F$7,'Writing Logic'!$J$7:$K$11,2,FALSE)&amp;" - Per "&amp;VLOOKUP($C$4,'Writing Logic'!$G$8:$H$14,2,FALSE),YES_Writing_ELA[#Headers],0)))),"")</f>
        <v/>
      </c>
      <c r="G84" s="138" t="str">
        <f>IFERROR(IF(IF(INDEX(_xlfn.VSTACK(YES_Writing_ELA[#Data],YES_Writing_FLA[#Data]),MATCH($A84,_xlfn.VSTACK(YES_Writing_ELA[Student Number],YES_Writing_FLA[Student Number]),0),MATCH(VLOOKUP(G$7,'Writing Logic'!$J$7:$K$11,2,FALSE)&amp;" - Per "&amp;VLOOKUP($C$4,'Writing Logic'!$G$8:$H$14,2,FALSE),YES_Writing_ELA[#Headers],0))=0,"",INDEX(_xlfn.VSTACK(YES_Writing_ELA[#Data],YES_Writing_FLA[#Data]),MATCH($A84,_xlfn.VSTACK(YES_Writing_ELA[Student Number],YES_Writing_FLA[Student Number]),0),MATCH(VLOOKUP(G$7,'Writing Logic'!$J$7:$K$11,2,FALSE)&amp;" - Per "&amp;VLOOKUP($C$4,'Writing Logic'!$G$8:$H$14,2,FALSE),YES_Writing_ELA[#Headers],0)))="INS",'Writing Logic'!$B$7,IF(INDEX(_xlfn.VSTACK(YES_Writing_ELA[#Data],YES_Writing_FLA[#Data]),MATCH($A84,_xlfn.VSTACK(YES_Writing_ELA[Student Number],YES_Writing_FLA[Student Number]),0),MATCH(VLOOKUP(G$7,'Writing Logic'!$J$7:$K$11,2,FALSE)&amp;" - Per "&amp;VLOOKUP($C$4,'Writing Logic'!$G$8:$H$14,2,FALSE),YES_Writing_ELA[#Headers],0))=0,"",INDEX(_xlfn.VSTACK(YES_Writing_ELA[#Data],YES_Writing_FLA[#Data]),MATCH($A84,_xlfn.VSTACK(YES_Writing_ELA[Student Number],YES_Writing_FLA[Student Number]),0),MATCH(VLOOKUP(G$7,'Writing Logic'!$J$7:$K$11,2,FALSE)&amp;" - Per "&amp;VLOOKUP($C$4,'Writing Logic'!$G$8:$H$14,2,FALSE),YES_Writing_ELA[#Headers],0)))),"")</f>
        <v/>
      </c>
      <c r="H84" s="223" t="str">
        <f>IFERROR(IF(IF(INDEX(_xlfn.VSTACK(YES_Writing_ELA[#Data],YES_Writing_FLA[#Data]),MATCH($A84,_xlfn.VSTACK(YES_Writing_ELA[Student Number],YES_Writing_FLA[Student Number]),0),MATCH(VLOOKUP(H$7,'Writing Logic'!$J$7:$K$11,2,FALSE)&amp;" - Per "&amp;VLOOKUP($C$4,'Writing Logic'!$G$8:$H$14,2,FALSE),YES_Writing_ELA[#Headers],0))=0,"",INDEX(_xlfn.VSTACK(YES_Writing_ELA[#Data],YES_Writing_FLA[#Data]),MATCH($A84,_xlfn.VSTACK(YES_Writing_ELA[Student Number],YES_Writing_FLA[Student Number]),0),MATCH(VLOOKUP(H$7,'Writing Logic'!$J$7:$K$11,2,FALSE)&amp;" - Per "&amp;VLOOKUP($C$4,'Writing Logic'!$G$8:$H$14,2,FALSE),YES_Writing_ELA[#Headers],0)))="INS",'Writing Logic'!$B$7,IF(INDEX(_xlfn.VSTACK(YES_Writing_ELA[#Data],YES_Writing_FLA[#Data]),MATCH($A84,_xlfn.VSTACK(YES_Writing_ELA[Student Number],YES_Writing_FLA[Student Number]),0),MATCH(VLOOKUP(H$7,'Writing Logic'!$J$7:$K$11,2,FALSE)&amp;" - Per "&amp;VLOOKUP($C$4,'Writing Logic'!$G$8:$H$14,2,FALSE),YES_Writing_ELA[#Headers],0))=0,"",INDEX(_xlfn.VSTACK(YES_Writing_ELA[#Data],YES_Writing_FLA[#Data]),MATCH($A84,_xlfn.VSTACK(YES_Writing_ELA[Student Number],YES_Writing_FLA[Student Number]),0),MATCH(VLOOKUP(H$7,'Writing Logic'!$J$7:$K$11,2,FALSE)&amp;" - Per "&amp;VLOOKUP($C$4,'Writing Logic'!$G$8:$H$14,2,FALSE),YES_Writing_ELA[#Headers],0)))),"")</f>
        <v/>
      </c>
      <c r="I84" s="224" t="str" cm="1">
        <f t="array" aca="1" ref="I84" ca="1">IFERROR(
IF($G$3="ELA",
IF(VLOOKUP($A84, YES_Reading_ELA[], COLUMN(INDIRECT("YES_Reading_ELA[Difference - Per "&amp;VLOOKUP($G$4, 'Reading Report Logic'!$A$2:$B$8, 2, FALSE)&amp;"]")), FALSE)="", "",
VLOOKUP($A84,YES_Reading_ELA[], COLUMN(INDIRECT("YES_Reading_ELA[Difference - Per "&amp;VLOOKUP($G$4,'Reading Report Logic'!$A$2:$B$8,2,FALSE)&amp;"]")), FALSE)),
IF($G$3="FLA",
IF(VLOOKUP($A84, YES_Reading_FLA[], COLUMN(INDIRECT("YES_Reading_FLA[Difference - Per "&amp;VLOOKUP($G$4,'Reading Report Logic'!$A$2:$B$8,2,FALSE)&amp;"]")),FALSE)="","",
VLOOKUP($A84,YES_Reading_FLA[],COLUMN(INDIRECT("YES_Reading_FLA[Difference - Per "&amp;VLOOKUP($G$4,'Reading Report Logic'!$A$2:$B$8,2,FALSE)&amp;"]")),FALSE)),
IF($G$3="Combined",
IFERROR(
IF(VLOOKUP($A84, YES_Reading_ELA[], COLUMN(INDIRECT("YES_Reading_ELA[Difference - Per "&amp;VLOOKUP($G$4, 'Reading Report Logic'!$A$2:$B$8,2,FALSE)&amp;"]")), FALSE)="", "",
VLOOKUP($A84,YES_Reading_ELA[],COLUMN(INDIRECT("YES_Reading_ELA[Difference - Per "&amp;VLOOKUP($G$4,'Reading Report Logic'!$A$2:$B$8,2,FALSE)&amp;"]")),FALSE)),
IF(VLOOKUP($A84, YES_Reading_FLA[], COLUMN(INDIRECT("YES_Reading_FLA[Difference - Per "&amp;VLOOKUP($G$4, 'Reading Report Logic'!$A$2:$B$8, 2, FALSE)&amp;"]")),FALSE)="", "", VLOOKUP($A84,YES_Reading_FLA[],COLUMN(INDIRECT("YES_Reading_FLA[Difference - Per "&amp;VLOOKUP($G$4, 'Reading Report Logic'!$A$2:$B$8, 2, FALSE)&amp;"]")),FALSE))),""))),"")</f>
        <v/>
      </c>
    </row>
    <row r="85" spans="1:9" ht="14.25" customHeight="1" x14ac:dyDescent="0.25">
      <c r="A85" s="137"/>
      <c r="B85" s="137" t="str">
        <f>IFERROR(INDEX(_xlfn.VSTACK(YES_Writing_ELA[#Data], YES_Writing_FLA[#Data]),MATCH($A85,_xlfn.VSTACK(YES_Writing_ELA[Student Number], YES_Writing_FLA[Student Number]),0),MATCH(B$7,YES_Writing_ELA[#Headers],0)),IFERROR(INDEX(_xlfn.VSTACK(YES_Reading_ELA[#Data], YES_Reading_FLA[#Data]),MATCH($A85,_xlfn.VSTACK(YES_Reading_ELA[Student Number], YES_Reading_FLA[Student Number]),0),MATCH(B$7,YES_Reading_ELA[#Headers],0)),""))</f>
        <v/>
      </c>
      <c r="C85" s="137" t="str">
        <f>IFERROR(INDEX(_xlfn.VSTACK(YES_Writing_ELA[#Data], YES_Writing_FLA[#Data]),MATCH($A85,_xlfn.VSTACK(YES_Writing_ELA[Student Number], YES_Writing_FLA[Student Number]),0),MATCH(C$7,YES_Writing_ELA[#Headers],0)),IFERROR(INDEX(_xlfn.VSTACK(YES_Reading_ELA[#Data], YES_Reading_FLA[#Data]),MATCH($A85,_xlfn.VSTACK(YES_Reading_ELA[Student Number], YES_Reading_FLA[Student Number]),0),MATCH(C$7,YES_Reading_ELA[#Headers],0)),""))</f>
        <v/>
      </c>
      <c r="D85" s="138" t="str">
        <f>IFERROR(IF(IF(INDEX(_xlfn.VSTACK(YES_Writing_ELA[#Data],YES_Writing_FLA[#Data]),MATCH($A85,_xlfn.VSTACK(YES_Writing_ELA[Student Number],YES_Writing_FLA[Student Number]),0),MATCH(VLOOKUP(D$7,'Writing Logic'!$J$7:$K$11,2,FALSE)&amp;" - Per "&amp;VLOOKUP($C$4,'Writing Logic'!$G$8:$H$14,2,FALSE),YES_Writing_ELA[#Headers],0))=0,"",INDEX(_xlfn.VSTACK(YES_Writing_ELA[#Data],YES_Writing_FLA[#Data]),MATCH($A85,_xlfn.VSTACK(YES_Writing_ELA[Student Number],YES_Writing_FLA[Student Number]),0),MATCH(VLOOKUP(D$7,'Writing Logic'!$J$7:$K$11,2,FALSE)&amp;" - Per "&amp;VLOOKUP($C$4,'Writing Logic'!$G$8:$H$14,2,FALSE),YES_Writing_ELA[#Headers],0)))="INS",'Writing Logic'!$B$7,IF(INDEX(_xlfn.VSTACK(YES_Writing_ELA[#Data],YES_Writing_FLA[#Data]),MATCH($A85,_xlfn.VSTACK(YES_Writing_ELA[Student Number],YES_Writing_FLA[Student Number]),0),MATCH(VLOOKUP(D$7,'Writing Logic'!$J$7:$K$11,2,FALSE)&amp;" - Per "&amp;VLOOKUP($C$4,'Writing Logic'!$G$8:$H$14,2,FALSE),YES_Writing_ELA[#Headers],0))=0,"",INDEX(_xlfn.VSTACK(YES_Writing_ELA[#Data],YES_Writing_FLA[#Data]),MATCH($A85,_xlfn.VSTACK(YES_Writing_ELA[Student Number],YES_Writing_FLA[Student Number]),0),MATCH(VLOOKUP(D$7,'Writing Logic'!$J$7:$K$11,2,FALSE)&amp;" - Per "&amp;VLOOKUP($C$4,'Writing Logic'!$G$8:$H$14,2,FALSE),YES_Writing_ELA[#Headers],0)))),"")</f>
        <v/>
      </c>
      <c r="E85" s="138" t="str">
        <f>IFERROR(IF(IF(INDEX(_xlfn.VSTACK(YES_Writing_ELA[#Data],YES_Writing_FLA[#Data]),MATCH($A85,_xlfn.VSTACK(YES_Writing_ELA[Student Number],YES_Writing_FLA[Student Number]),0),MATCH(VLOOKUP(E$7,'Writing Logic'!$J$7:$K$11,2,FALSE)&amp;" - Per "&amp;VLOOKUP($C$4,'Writing Logic'!$G$8:$H$14,2,FALSE),YES_Writing_ELA[#Headers],0))=0,"",INDEX(_xlfn.VSTACK(YES_Writing_ELA[#Data],YES_Writing_FLA[#Data]),MATCH($A85,_xlfn.VSTACK(YES_Writing_ELA[Student Number],YES_Writing_FLA[Student Number]),0),MATCH(VLOOKUP(E$7,'Writing Logic'!$J$7:$K$11,2,FALSE)&amp;" - Per "&amp;VLOOKUP($C$4,'Writing Logic'!$G$8:$H$14,2,FALSE),YES_Writing_ELA[#Headers],0)))="INS",'Writing Logic'!$B$7,IF(INDEX(_xlfn.VSTACK(YES_Writing_ELA[#Data],YES_Writing_FLA[#Data]),MATCH($A85,_xlfn.VSTACK(YES_Writing_ELA[Student Number],YES_Writing_FLA[Student Number]),0),MATCH(VLOOKUP(E$7,'Writing Logic'!$J$7:$K$11,2,FALSE)&amp;" - Per "&amp;VLOOKUP($C$4,'Writing Logic'!$G$8:$H$14,2,FALSE),YES_Writing_ELA[#Headers],0))=0,"",INDEX(_xlfn.VSTACK(YES_Writing_ELA[#Data],YES_Writing_FLA[#Data]),MATCH($A85,_xlfn.VSTACK(YES_Writing_ELA[Student Number],YES_Writing_FLA[Student Number]),0),MATCH(VLOOKUP(E$7,'Writing Logic'!$J$7:$K$11,2,FALSE)&amp;" - Per "&amp;VLOOKUP($C$4,'Writing Logic'!$G$8:$H$14,2,FALSE),YES_Writing_ELA[#Headers],0)))),"")</f>
        <v/>
      </c>
      <c r="F85" s="138" t="str">
        <f>IFERROR(IF(IF(INDEX(_xlfn.VSTACK(YES_Writing_ELA[#Data],YES_Writing_FLA[#Data]),MATCH($A85,_xlfn.VSTACK(YES_Writing_ELA[Student Number],YES_Writing_FLA[Student Number]),0),MATCH(VLOOKUP(F$7,'Writing Logic'!$J$7:$K$11,2,FALSE)&amp;" - Per "&amp;VLOOKUP($C$4,'Writing Logic'!$G$8:$H$14,2,FALSE),YES_Writing_ELA[#Headers],0))=0,"",INDEX(_xlfn.VSTACK(YES_Writing_ELA[#Data],YES_Writing_FLA[#Data]),MATCH($A85,_xlfn.VSTACK(YES_Writing_ELA[Student Number],YES_Writing_FLA[Student Number]),0),MATCH(VLOOKUP(F$7,'Writing Logic'!$J$7:$K$11,2,FALSE)&amp;" - Per "&amp;VLOOKUP($C$4,'Writing Logic'!$G$8:$H$14,2,FALSE),YES_Writing_ELA[#Headers],0)))="INS",'Writing Logic'!$B$7,IF(INDEX(_xlfn.VSTACK(YES_Writing_ELA[#Data],YES_Writing_FLA[#Data]),MATCH($A85,_xlfn.VSTACK(YES_Writing_ELA[Student Number],YES_Writing_FLA[Student Number]),0),MATCH(VLOOKUP(F$7,'Writing Logic'!$J$7:$K$11,2,FALSE)&amp;" - Per "&amp;VLOOKUP($C$4,'Writing Logic'!$G$8:$H$14,2,FALSE),YES_Writing_ELA[#Headers],0))=0,"",INDEX(_xlfn.VSTACK(YES_Writing_ELA[#Data],YES_Writing_FLA[#Data]),MATCH($A85,_xlfn.VSTACK(YES_Writing_ELA[Student Number],YES_Writing_FLA[Student Number]),0),MATCH(VLOOKUP(F$7,'Writing Logic'!$J$7:$K$11,2,FALSE)&amp;" - Per "&amp;VLOOKUP($C$4,'Writing Logic'!$G$8:$H$14,2,FALSE),YES_Writing_ELA[#Headers],0)))),"")</f>
        <v/>
      </c>
      <c r="G85" s="138" t="str">
        <f>IFERROR(IF(IF(INDEX(_xlfn.VSTACK(YES_Writing_ELA[#Data],YES_Writing_FLA[#Data]),MATCH($A85,_xlfn.VSTACK(YES_Writing_ELA[Student Number],YES_Writing_FLA[Student Number]),0),MATCH(VLOOKUP(G$7,'Writing Logic'!$J$7:$K$11,2,FALSE)&amp;" - Per "&amp;VLOOKUP($C$4,'Writing Logic'!$G$8:$H$14,2,FALSE),YES_Writing_ELA[#Headers],0))=0,"",INDEX(_xlfn.VSTACK(YES_Writing_ELA[#Data],YES_Writing_FLA[#Data]),MATCH($A85,_xlfn.VSTACK(YES_Writing_ELA[Student Number],YES_Writing_FLA[Student Number]),0),MATCH(VLOOKUP(G$7,'Writing Logic'!$J$7:$K$11,2,FALSE)&amp;" - Per "&amp;VLOOKUP($C$4,'Writing Logic'!$G$8:$H$14,2,FALSE),YES_Writing_ELA[#Headers],0)))="INS",'Writing Logic'!$B$7,IF(INDEX(_xlfn.VSTACK(YES_Writing_ELA[#Data],YES_Writing_FLA[#Data]),MATCH($A85,_xlfn.VSTACK(YES_Writing_ELA[Student Number],YES_Writing_FLA[Student Number]),0),MATCH(VLOOKUP(G$7,'Writing Logic'!$J$7:$K$11,2,FALSE)&amp;" - Per "&amp;VLOOKUP($C$4,'Writing Logic'!$G$8:$H$14,2,FALSE),YES_Writing_ELA[#Headers],0))=0,"",INDEX(_xlfn.VSTACK(YES_Writing_ELA[#Data],YES_Writing_FLA[#Data]),MATCH($A85,_xlfn.VSTACK(YES_Writing_ELA[Student Number],YES_Writing_FLA[Student Number]),0),MATCH(VLOOKUP(G$7,'Writing Logic'!$J$7:$K$11,2,FALSE)&amp;" - Per "&amp;VLOOKUP($C$4,'Writing Logic'!$G$8:$H$14,2,FALSE),YES_Writing_ELA[#Headers],0)))),"")</f>
        <v/>
      </c>
      <c r="H85" s="223" t="str">
        <f>IFERROR(IF(IF(INDEX(_xlfn.VSTACK(YES_Writing_ELA[#Data],YES_Writing_FLA[#Data]),MATCH($A85,_xlfn.VSTACK(YES_Writing_ELA[Student Number],YES_Writing_FLA[Student Number]),0),MATCH(VLOOKUP(H$7,'Writing Logic'!$J$7:$K$11,2,FALSE)&amp;" - Per "&amp;VLOOKUP($C$4,'Writing Logic'!$G$8:$H$14,2,FALSE),YES_Writing_ELA[#Headers],0))=0,"",INDEX(_xlfn.VSTACK(YES_Writing_ELA[#Data],YES_Writing_FLA[#Data]),MATCH($A85,_xlfn.VSTACK(YES_Writing_ELA[Student Number],YES_Writing_FLA[Student Number]),0),MATCH(VLOOKUP(H$7,'Writing Logic'!$J$7:$K$11,2,FALSE)&amp;" - Per "&amp;VLOOKUP($C$4,'Writing Logic'!$G$8:$H$14,2,FALSE),YES_Writing_ELA[#Headers],0)))="INS",'Writing Logic'!$B$7,IF(INDEX(_xlfn.VSTACK(YES_Writing_ELA[#Data],YES_Writing_FLA[#Data]),MATCH($A85,_xlfn.VSTACK(YES_Writing_ELA[Student Number],YES_Writing_FLA[Student Number]),0),MATCH(VLOOKUP(H$7,'Writing Logic'!$J$7:$K$11,2,FALSE)&amp;" - Per "&amp;VLOOKUP($C$4,'Writing Logic'!$G$8:$H$14,2,FALSE),YES_Writing_ELA[#Headers],0))=0,"",INDEX(_xlfn.VSTACK(YES_Writing_ELA[#Data],YES_Writing_FLA[#Data]),MATCH($A85,_xlfn.VSTACK(YES_Writing_ELA[Student Number],YES_Writing_FLA[Student Number]),0),MATCH(VLOOKUP(H$7,'Writing Logic'!$J$7:$K$11,2,FALSE)&amp;" - Per "&amp;VLOOKUP($C$4,'Writing Logic'!$G$8:$H$14,2,FALSE),YES_Writing_ELA[#Headers],0)))),"")</f>
        <v/>
      </c>
      <c r="I85" s="224" t="str" cm="1">
        <f t="array" aca="1" ref="I85" ca="1">IFERROR(
IF($G$3="ELA",
IF(VLOOKUP($A85, YES_Reading_ELA[], COLUMN(INDIRECT("YES_Reading_ELA[Difference - Per "&amp;VLOOKUP($G$4, 'Reading Report Logic'!$A$2:$B$8, 2, FALSE)&amp;"]")), FALSE)="", "",
VLOOKUP($A85,YES_Reading_ELA[], COLUMN(INDIRECT("YES_Reading_ELA[Difference - Per "&amp;VLOOKUP($G$4,'Reading Report Logic'!$A$2:$B$8,2,FALSE)&amp;"]")), FALSE)),
IF($G$3="FLA",
IF(VLOOKUP($A85, YES_Reading_FLA[], COLUMN(INDIRECT("YES_Reading_FLA[Difference - Per "&amp;VLOOKUP($G$4,'Reading Report Logic'!$A$2:$B$8,2,FALSE)&amp;"]")),FALSE)="","",
VLOOKUP($A85,YES_Reading_FLA[],COLUMN(INDIRECT("YES_Reading_FLA[Difference - Per "&amp;VLOOKUP($G$4,'Reading Report Logic'!$A$2:$B$8,2,FALSE)&amp;"]")),FALSE)),
IF($G$3="Combined",
IFERROR(
IF(VLOOKUP($A85, YES_Reading_ELA[], COLUMN(INDIRECT("YES_Reading_ELA[Difference - Per "&amp;VLOOKUP($G$4, 'Reading Report Logic'!$A$2:$B$8,2,FALSE)&amp;"]")), FALSE)="", "",
VLOOKUP($A85,YES_Reading_ELA[],COLUMN(INDIRECT("YES_Reading_ELA[Difference - Per "&amp;VLOOKUP($G$4,'Reading Report Logic'!$A$2:$B$8,2,FALSE)&amp;"]")),FALSE)),
IF(VLOOKUP($A85, YES_Reading_FLA[], COLUMN(INDIRECT("YES_Reading_FLA[Difference - Per "&amp;VLOOKUP($G$4, 'Reading Report Logic'!$A$2:$B$8, 2, FALSE)&amp;"]")),FALSE)="", "", VLOOKUP($A85,YES_Reading_FLA[],COLUMN(INDIRECT("YES_Reading_FLA[Difference - Per "&amp;VLOOKUP($G$4, 'Reading Report Logic'!$A$2:$B$8, 2, FALSE)&amp;"]")),FALSE))),""))),"")</f>
        <v/>
      </c>
    </row>
    <row r="86" spans="1:9" ht="14.25" customHeight="1" x14ac:dyDescent="0.25">
      <c r="A86" s="137"/>
      <c r="B86" s="137" t="str">
        <f>IFERROR(INDEX(_xlfn.VSTACK(YES_Writing_ELA[#Data], YES_Writing_FLA[#Data]),MATCH($A86,_xlfn.VSTACK(YES_Writing_ELA[Student Number], YES_Writing_FLA[Student Number]),0),MATCH(B$7,YES_Writing_ELA[#Headers],0)),IFERROR(INDEX(_xlfn.VSTACK(YES_Reading_ELA[#Data], YES_Reading_FLA[#Data]),MATCH($A86,_xlfn.VSTACK(YES_Reading_ELA[Student Number], YES_Reading_FLA[Student Number]),0),MATCH(B$7,YES_Reading_ELA[#Headers],0)),""))</f>
        <v/>
      </c>
      <c r="C86" s="137" t="str">
        <f>IFERROR(INDEX(_xlfn.VSTACK(YES_Writing_ELA[#Data], YES_Writing_FLA[#Data]),MATCH($A86,_xlfn.VSTACK(YES_Writing_ELA[Student Number], YES_Writing_FLA[Student Number]),0),MATCH(C$7,YES_Writing_ELA[#Headers],0)),IFERROR(INDEX(_xlfn.VSTACK(YES_Reading_ELA[#Data], YES_Reading_FLA[#Data]),MATCH($A86,_xlfn.VSTACK(YES_Reading_ELA[Student Number], YES_Reading_FLA[Student Number]),0),MATCH(C$7,YES_Reading_ELA[#Headers],0)),""))</f>
        <v/>
      </c>
      <c r="D86" s="138" t="str">
        <f>IFERROR(IF(IF(INDEX(_xlfn.VSTACK(YES_Writing_ELA[#Data],YES_Writing_FLA[#Data]),MATCH($A86,_xlfn.VSTACK(YES_Writing_ELA[Student Number],YES_Writing_FLA[Student Number]),0),MATCH(VLOOKUP(D$7,'Writing Logic'!$J$7:$K$11,2,FALSE)&amp;" - Per "&amp;VLOOKUP($C$4,'Writing Logic'!$G$8:$H$14,2,FALSE),YES_Writing_ELA[#Headers],0))=0,"",INDEX(_xlfn.VSTACK(YES_Writing_ELA[#Data],YES_Writing_FLA[#Data]),MATCH($A86,_xlfn.VSTACK(YES_Writing_ELA[Student Number],YES_Writing_FLA[Student Number]),0),MATCH(VLOOKUP(D$7,'Writing Logic'!$J$7:$K$11,2,FALSE)&amp;" - Per "&amp;VLOOKUP($C$4,'Writing Logic'!$G$8:$H$14,2,FALSE),YES_Writing_ELA[#Headers],0)))="INS",'Writing Logic'!$B$7,IF(INDEX(_xlfn.VSTACK(YES_Writing_ELA[#Data],YES_Writing_FLA[#Data]),MATCH($A86,_xlfn.VSTACK(YES_Writing_ELA[Student Number],YES_Writing_FLA[Student Number]),0),MATCH(VLOOKUP(D$7,'Writing Logic'!$J$7:$K$11,2,FALSE)&amp;" - Per "&amp;VLOOKUP($C$4,'Writing Logic'!$G$8:$H$14,2,FALSE),YES_Writing_ELA[#Headers],0))=0,"",INDEX(_xlfn.VSTACK(YES_Writing_ELA[#Data],YES_Writing_FLA[#Data]),MATCH($A86,_xlfn.VSTACK(YES_Writing_ELA[Student Number],YES_Writing_FLA[Student Number]),0),MATCH(VLOOKUP(D$7,'Writing Logic'!$J$7:$K$11,2,FALSE)&amp;" - Per "&amp;VLOOKUP($C$4,'Writing Logic'!$G$8:$H$14,2,FALSE),YES_Writing_ELA[#Headers],0)))),"")</f>
        <v/>
      </c>
      <c r="E86" s="138" t="str">
        <f>IFERROR(IF(IF(INDEX(_xlfn.VSTACK(YES_Writing_ELA[#Data],YES_Writing_FLA[#Data]),MATCH($A86,_xlfn.VSTACK(YES_Writing_ELA[Student Number],YES_Writing_FLA[Student Number]),0),MATCH(VLOOKUP(E$7,'Writing Logic'!$J$7:$K$11,2,FALSE)&amp;" - Per "&amp;VLOOKUP($C$4,'Writing Logic'!$G$8:$H$14,2,FALSE),YES_Writing_ELA[#Headers],0))=0,"",INDEX(_xlfn.VSTACK(YES_Writing_ELA[#Data],YES_Writing_FLA[#Data]),MATCH($A86,_xlfn.VSTACK(YES_Writing_ELA[Student Number],YES_Writing_FLA[Student Number]),0),MATCH(VLOOKUP(E$7,'Writing Logic'!$J$7:$K$11,2,FALSE)&amp;" - Per "&amp;VLOOKUP($C$4,'Writing Logic'!$G$8:$H$14,2,FALSE),YES_Writing_ELA[#Headers],0)))="INS",'Writing Logic'!$B$7,IF(INDEX(_xlfn.VSTACK(YES_Writing_ELA[#Data],YES_Writing_FLA[#Data]),MATCH($A86,_xlfn.VSTACK(YES_Writing_ELA[Student Number],YES_Writing_FLA[Student Number]),0),MATCH(VLOOKUP(E$7,'Writing Logic'!$J$7:$K$11,2,FALSE)&amp;" - Per "&amp;VLOOKUP($C$4,'Writing Logic'!$G$8:$H$14,2,FALSE),YES_Writing_ELA[#Headers],0))=0,"",INDEX(_xlfn.VSTACK(YES_Writing_ELA[#Data],YES_Writing_FLA[#Data]),MATCH($A86,_xlfn.VSTACK(YES_Writing_ELA[Student Number],YES_Writing_FLA[Student Number]),0),MATCH(VLOOKUP(E$7,'Writing Logic'!$J$7:$K$11,2,FALSE)&amp;" - Per "&amp;VLOOKUP($C$4,'Writing Logic'!$G$8:$H$14,2,FALSE),YES_Writing_ELA[#Headers],0)))),"")</f>
        <v/>
      </c>
      <c r="F86" s="138" t="str">
        <f>IFERROR(IF(IF(INDEX(_xlfn.VSTACK(YES_Writing_ELA[#Data],YES_Writing_FLA[#Data]),MATCH($A86,_xlfn.VSTACK(YES_Writing_ELA[Student Number],YES_Writing_FLA[Student Number]),0),MATCH(VLOOKUP(F$7,'Writing Logic'!$J$7:$K$11,2,FALSE)&amp;" - Per "&amp;VLOOKUP($C$4,'Writing Logic'!$G$8:$H$14,2,FALSE),YES_Writing_ELA[#Headers],0))=0,"",INDEX(_xlfn.VSTACK(YES_Writing_ELA[#Data],YES_Writing_FLA[#Data]),MATCH($A86,_xlfn.VSTACK(YES_Writing_ELA[Student Number],YES_Writing_FLA[Student Number]),0),MATCH(VLOOKUP(F$7,'Writing Logic'!$J$7:$K$11,2,FALSE)&amp;" - Per "&amp;VLOOKUP($C$4,'Writing Logic'!$G$8:$H$14,2,FALSE),YES_Writing_ELA[#Headers],0)))="INS",'Writing Logic'!$B$7,IF(INDEX(_xlfn.VSTACK(YES_Writing_ELA[#Data],YES_Writing_FLA[#Data]),MATCH($A86,_xlfn.VSTACK(YES_Writing_ELA[Student Number],YES_Writing_FLA[Student Number]),0),MATCH(VLOOKUP(F$7,'Writing Logic'!$J$7:$K$11,2,FALSE)&amp;" - Per "&amp;VLOOKUP($C$4,'Writing Logic'!$G$8:$H$14,2,FALSE),YES_Writing_ELA[#Headers],0))=0,"",INDEX(_xlfn.VSTACK(YES_Writing_ELA[#Data],YES_Writing_FLA[#Data]),MATCH($A86,_xlfn.VSTACK(YES_Writing_ELA[Student Number],YES_Writing_FLA[Student Number]),0),MATCH(VLOOKUP(F$7,'Writing Logic'!$J$7:$K$11,2,FALSE)&amp;" - Per "&amp;VLOOKUP($C$4,'Writing Logic'!$G$8:$H$14,2,FALSE),YES_Writing_ELA[#Headers],0)))),"")</f>
        <v/>
      </c>
      <c r="G86" s="138" t="str">
        <f>IFERROR(IF(IF(INDEX(_xlfn.VSTACK(YES_Writing_ELA[#Data],YES_Writing_FLA[#Data]),MATCH($A86,_xlfn.VSTACK(YES_Writing_ELA[Student Number],YES_Writing_FLA[Student Number]),0),MATCH(VLOOKUP(G$7,'Writing Logic'!$J$7:$K$11,2,FALSE)&amp;" - Per "&amp;VLOOKUP($C$4,'Writing Logic'!$G$8:$H$14,2,FALSE),YES_Writing_ELA[#Headers],0))=0,"",INDEX(_xlfn.VSTACK(YES_Writing_ELA[#Data],YES_Writing_FLA[#Data]),MATCH($A86,_xlfn.VSTACK(YES_Writing_ELA[Student Number],YES_Writing_FLA[Student Number]),0),MATCH(VLOOKUP(G$7,'Writing Logic'!$J$7:$K$11,2,FALSE)&amp;" - Per "&amp;VLOOKUP($C$4,'Writing Logic'!$G$8:$H$14,2,FALSE),YES_Writing_ELA[#Headers],0)))="INS",'Writing Logic'!$B$7,IF(INDEX(_xlfn.VSTACK(YES_Writing_ELA[#Data],YES_Writing_FLA[#Data]),MATCH($A86,_xlfn.VSTACK(YES_Writing_ELA[Student Number],YES_Writing_FLA[Student Number]),0),MATCH(VLOOKUP(G$7,'Writing Logic'!$J$7:$K$11,2,FALSE)&amp;" - Per "&amp;VLOOKUP($C$4,'Writing Logic'!$G$8:$H$14,2,FALSE),YES_Writing_ELA[#Headers],0))=0,"",INDEX(_xlfn.VSTACK(YES_Writing_ELA[#Data],YES_Writing_FLA[#Data]),MATCH($A86,_xlfn.VSTACK(YES_Writing_ELA[Student Number],YES_Writing_FLA[Student Number]),0),MATCH(VLOOKUP(G$7,'Writing Logic'!$J$7:$K$11,2,FALSE)&amp;" - Per "&amp;VLOOKUP($C$4,'Writing Logic'!$G$8:$H$14,2,FALSE),YES_Writing_ELA[#Headers],0)))),"")</f>
        <v/>
      </c>
      <c r="H86" s="223" t="str">
        <f>IFERROR(IF(IF(INDEX(_xlfn.VSTACK(YES_Writing_ELA[#Data],YES_Writing_FLA[#Data]),MATCH($A86,_xlfn.VSTACK(YES_Writing_ELA[Student Number],YES_Writing_FLA[Student Number]),0),MATCH(VLOOKUP(H$7,'Writing Logic'!$J$7:$K$11,2,FALSE)&amp;" - Per "&amp;VLOOKUP($C$4,'Writing Logic'!$G$8:$H$14,2,FALSE),YES_Writing_ELA[#Headers],0))=0,"",INDEX(_xlfn.VSTACK(YES_Writing_ELA[#Data],YES_Writing_FLA[#Data]),MATCH($A86,_xlfn.VSTACK(YES_Writing_ELA[Student Number],YES_Writing_FLA[Student Number]),0),MATCH(VLOOKUP(H$7,'Writing Logic'!$J$7:$K$11,2,FALSE)&amp;" - Per "&amp;VLOOKUP($C$4,'Writing Logic'!$G$8:$H$14,2,FALSE),YES_Writing_ELA[#Headers],0)))="INS",'Writing Logic'!$B$7,IF(INDEX(_xlfn.VSTACK(YES_Writing_ELA[#Data],YES_Writing_FLA[#Data]),MATCH($A86,_xlfn.VSTACK(YES_Writing_ELA[Student Number],YES_Writing_FLA[Student Number]),0),MATCH(VLOOKUP(H$7,'Writing Logic'!$J$7:$K$11,2,FALSE)&amp;" - Per "&amp;VLOOKUP($C$4,'Writing Logic'!$G$8:$H$14,2,FALSE),YES_Writing_ELA[#Headers],0))=0,"",INDEX(_xlfn.VSTACK(YES_Writing_ELA[#Data],YES_Writing_FLA[#Data]),MATCH($A86,_xlfn.VSTACK(YES_Writing_ELA[Student Number],YES_Writing_FLA[Student Number]),0),MATCH(VLOOKUP(H$7,'Writing Logic'!$J$7:$K$11,2,FALSE)&amp;" - Per "&amp;VLOOKUP($C$4,'Writing Logic'!$G$8:$H$14,2,FALSE),YES_Writing_ELA[#Headers],0)))),"")</f>
        <v/>
      </c>
      <c r="I86" s="224" t="str" cm="1">
        <f t="array" aca="1" ref="I86" ca="1">IFERROR(
IF($G$3="ELA",
IF(VLOOKUP($A86, YES_Reading_ELA[], COLUMN(INDIRECT("YES_Reading_ELA[Difference - Per "&amp;VLOOKUP($G$4, 'Reading Report Logic'!$A$2:$B$8, 2, FALSE)&amp;"]")), FALSE)="", "",
VLOOKUP($A86,YES_Reading_ELA[], COLUMN(INDIRECT("YES_Reading_ELA[Difference - Per "&amp;VLOOKUP($G$4,'Reading Report Logic'!$A$2:$B$8,2,FALSE)&amp;"]")), FALSE)),
IF($G$3="FLA",
IF(VLOOKUP($A86, YES_Reading_FLA[], COLUMN(INDIRECT("YES_Reading_FLA[Difference - Per "&amp;VLOOKUP($G$4,'Reading Report Logic'!$A$2:$B$8,2,FALSE)&amp;"]")),FALSE)="","",
VLOOKUP($A86,YES_Reading_FLA[],COLUMN(INDIRECT("YES_Reading_FLA[Difference - Per "&amp;VLOOKUP($G$4,'Reading Report Logic'!$A$2:$B$8,2,FALSE)&amp;"]")),FALSE)),
IF($G$3="Combined",
IFERROR(
IF(VLOOKUP($A86, YES_Reading_ELA[], COLUMN(INDIRECT("YES_Reading_ELA[Difference - Per "&amp;VLOOKUP($G$4, 'Reading Report Logic'!$A$2:$B$8,2,FALSE)&amp;"]")), FALSE)="", "",
VLOOKUP($A86,YES_Reading_ELA[],COLUMN(INDIRECT("YES_Reading_ELA[Difference - Per "&amp;VLOOKUP($G$4,'Reading Report Logic'!$A$2:$B$8,2,FALSE)&amp;"]")),FALSE)),
IF(VLOOKUP($A86, YES_Reading_FLA[], COLUMN(INDIRECT("YES_Reading_FLA[Difference - Per "&amp;VLOOKUP($G$4, 'Reading Report Logic'!$A$2:$B$8, 2, FALSE)&amp;"]")),FALSE)="", "", VLOOKUP($A86,YES_Reading_FLA[],COLUMN(INDIRECT("YES_Reading_FLA[Difference - Per "&amp;VLOOKUP($G$4, 'Reading Report Logic'!$A$2:$B$8, 2, FALSE)&amp;"]")),FALSE))),""))),"")</f>
        <v/>
      </c>
    </row>
    <row r="87" spans="1:9" ht="14.25" customHeight="1" x14ac:dyDescent="0.25">
      <c r="A87" s="137"/>
      <c r="B87" s="137" t="str">
        <f>IFERROR(INDEX(_xlfn.VSTACK(YES_Writing_ELA[#Data], YES_Writing_FLA[#Data]),MATCH($A87,_xlfn.VSTACK(YES_Writing_ELA[Student Number], YES_Writing_FLA[Student Number]),0),MATCH(B$7,YES_Writing_ELA[#Headers],0)),IFERROR(INDEX(_xlfn.VSTACK(YES_Reading_ELA[#Data], YES_Reading_FLA[#Data]),MATCH($A87,_xlfn.VSTACK(YES_Reading_ELA[Student Number], YES_Reading_FLA[Student Number]),0),MATCH(B$7,YES_Reading_ELA[#Headers],0)),""))</f>
        <v/>
      </c>
      <c r="C87" s="137" t="str">
        <f>IFERROR(INDEX(_xlfn.VSTACK(YES_Writing_ELA[#Data], YES_Writing_FLA[#Data]),MATCH($A87,_xlfn.VSTACK(YES_Writing_ELA[Student Number], YES_Writing_FLA[Student Number]),0),MATCH(C$7,YES_Writing_ELA[#Headers],0)),IFERROR(INDEX(_xlfn.VSTACK(YES_Reading_ELA[#Data], YES_Reading_FLA[#Data]),MATCH($A87,_xlfn.VSTACK(YES_Reading_ELA[Student Number], YES_Reading_FLA[Student Number]),0),MATCH(C$7,YES_Reading_ELA[#Headers],0)),""))</f>
        <v/>
      </c>
      <c r="D87" s="138" t="str">
        <f>IFERROR(IF(IF(INDEX(_xlfn.VSTACK(YES_Writing_ELA[#Data],YES_Writing_FLA[#Data]),MATCH($A87,_xlfn.VSTACK(YES_Writing_ELA[Student Number],YES_Writing_FLA[Student Number]),0),MATCH(VLOOKUP(D$7,'Writing Logic'!$J$7:$K$11,2,FALSE)&amp;" - Per "&amp;VLOOKUP($C$4,'Writing Logic'!$G$8:$H$14,2,FALSE),YES_Writing_ELA[#Headers],0))=0,"",INDEX(_xlfn.VSTACK(YES_Writing_ELA[#Data],YES_Writing_FLA[#Data]),MATCH($A87,_xlfn.VSTACK(YES_Writing_ELA[Student Number],YES_Writing_FLA[Student Number]),0),MATCH(VLOOKUP(D$7,'Writing Logic'!$J$7:$K$11,2,FALSE)&amp;" - Per "&amp;VLOOKUP($C$4,'Writing Logic'!$G$8:$H$14,2,FALSE),YES_Writing_ELA[#Headers],0)))="INS",'Writing Logic'!$B$7,IF(INDEX(_xlfn.VSTACK(YES_Writing_ELA[#Data],YES_Writing_FLA[#Data]),MATCH($A87,_xlfn.VSTACK(YES_Writing_ELA[Student Number],YES_Writing_FLA[Student Number]),0),MATCH(VLOOKUP(D$7,'Writing Logic'!$J$7:$K$11,2,FALSE)&amp;" - Per "&amp;VLOOKUP($C$4,'Writing Logic'!$G$8:$H$14,2,FALSE),YES_Writing_ELA[#Headers],0))=0,"",INDEX(_xlfn.VSTACK(YES_Writing_ELA[#Data],YES_Writing_FLA[#Data]),MATCH($A87,_xlfn.VSTACK(YES_Writing_ELA[Student Number],YES_Writing_FLA[Student Number]),0),MATCH(VLOOKUP(D$7,'Writing Logic'!$J$7:$K$11,2,FALSE)&amp;" - Per "&amp;VLOOKUP($C$4,'Writing Logic'!$G$8:$H$14,2,FALSE),YES_Writing_ELA[#Headers],0)))),"")</f>
        <v/>
      </c>
      <c r="E87" s="138" t="str">
        <f>IFERROR(IF(IF(INDEX(_xlfn.VSTACK(YES_Writing_ELA[#Data],YES_Writing_FLA[#Data]),MATCH($A87,_xlfn.VSTACK(YES_Writing_ELA[Student Number],YES_Writing_FLA[Student Number]),0),MATCH(VLOOKUP(E$7,'Writing Logic'!$J$7:$K$11,2,FALSE)&amp;" - Per "&amp;VLOOKUP($C$4,'Writing Logic'!$G$8:$H$14,2,FALSE),YES_Writing_ELA[#Headers],0))=0,"",INDEX(_xlfn.VSTACK(YES_Writing_ELA[#Data],YES_Writing_FLA[#Data]),MATCH($A87,_xlfn.VSTACK(YES_Writing_ELA[Student Number],YES_Writing_FLA[Student Number]),0),MATCH(VLOOKUP(E$7,'Writing Logic'!$J$7:$K$11,2,FALSE)&amp;" - Per "&amp;VLOOKUP($C$4,'Writing Logic'!$G$8:$H$14,2,FALSE),YES_Writing_ELA[#Headers],0)))="INS",'Writing Logic'!$B$7,IF(INDEX(_xlfn.VSTACK(YES_Writing_ELA[#Data],YES_Writing_FLA[#Data]),MATCH($A87,_xlfn.VSTACK(YES_Writing_ELA[Student Number],YES_Writing_FLA[Student Number]),0),MATCH(VLOOKUP(E$7,'Writing Logic'!$J$7:$K$11,2,FALSE)&amp;" - Per "&amp;VLOOKUP($C$4,'Writing Logic'!$G$8:$H$14,2,FALSE),YES_Writing_ELA[#Headers],0))=0,"",INDEX(_xlfn.VSTACK(YES_Writing_ELA[#Data],YES_Writing_FLA[#Data]),MATCH($A87,_xlfn.VSTACK(YES_Writing_ELA[Student Number],YES_Writing_FLA[Student Number]),0),MATCH(VLOOKUP(E$7,'Writing Logic'!$J$7:$K$11,2,FALSE)&amp;" - Per "&amp;VLOOKUP($C$4,'Writing Logic'!$G$8:$H$14,2,FALSE),YES_Writing_ELA[#Headers],0)))),"")</f>
        <v/>
      </c>
      <c r="F87" s="138" t="str">
        <f>IFERROR(IF(IF(INDEX(_xlfn.VSTACK(YES_Writing_ELA[#Data],YES_Writing_FLA[#Data]),MATCH($A87,_xlfn.VSTACK(YES_Writing_ELA[Student Number],YES_Writing_FLA[Student Number]),0),MATCH(VLOOKUP(F$7,'Writing Logic'!$J$7:$K$11,2,FALSE)&amp;" - Per "&amp;VLOOKUP($C$4,'Writing Logic'!$G$8:$H$14,2,FALSE),YES_Writing_ELA[#Headers],0))=0,"",INDEX(_xlfn.VSTACK(YES_Writing_ELA[#Data],YES_Writing_FLA[#Data]),MATCH($A87,_xlfn.VSTACK(YES_Writing_ELA[Student Number],YES_Writing_FLA[Student Number]),0),MATCH(VLOOKUP(F$7,'Writing Logic'!$J$7:$K$11,2,FALSE)&amp;" - Per "&amp;VLOOKUP($C$4,'Writing Logic'!$G$8:$H$14,2,FALSE),YES_Writing_ELA[#Headers],0)))="INS",'Writing Logic'!$B$7,IF(INDEX(_xlfn.VSTACK(YES_Writing_ELA[#Data],YES_Writing_FLA[#Data]),MATCH($A87,_xlfn.VSTACK(YES_Writing_ELA[Student Number],YES_Writing_FLA[Student Number]),0),MATCH(VLOOKUP(F$7,'Writing Logic'!$J$7:$K$11,2,FALSE)&amp;" - Per "&amp;VLOOKUP($C$4,'Writing Logic'!$G$8:$H$14,2,FALSE),YES_Writing_ELA[#Headers],0))=0,"",INDEX(_xlfn.VSTACK(YES_Writing_ELA[#Data],YES_Writing_FLA[#Data]),MATCH($A87,_xlfn.VSTACK(YES_Writing_ELA[Student Number],YES_Writing_FLA[Student Number]),0),MATCH(VLOOKUP(F$7,'Writing Logic'!$J$7:$K$11,2,FALSE)&amp;" - Per "&amp;VLOOKUP($C$4,'Writing Logic'!$G$8:$H$14,2,FALSE),YES_Writing_ELA[#Headers],0)))),"")</f>
        <v/>
      </c>
      <c r="G87" s="138" t="str">
        <f>IFERROR(IF(IF(INDEX(_xlfn.VSTACK(YES_Writing_ELA[#Data],YES_Writing_FLA[#Data]),MATCH($A87,_xlfn.VSTACK(YES_Writing_ELA[Student Number],YES_Writing_FLA[Student Number]),0),MATCH(VLOOKUP(G$7,'Writing Logic'!$J$7:$K$11,2,FALSE)&amp;" - Per "&amp;VLOOKUP($C$4,'Writing Logic'!$G$8:$H$14,2,FALSE),YES_Writing_ELA[#Headers],0))=0,"",INDEX(_xlfn.VSTACK(YES_Writing_ELA[#Data],YES_Writing_FLA[#Data]),MATCH($A87,_xlfn.VSTACK(YES_Writing_ELA[Student Number],YES_Writing_FLA[Student Number]),0),MATCH(VLOOKUP(G$7,'Writing Logic'!$J$7:$K$11,2,FALSE)&amp;" - Per "&amp;VLOOKUP($C$4,'Writing Logic'!$G$8:$H$14,2,FALSE),YES_Writing_ELA[#Headers],0)))="INS",'Writing Logic'!$B$7,IF(INDEX(_xlfn.VSTACK(YES_Writing_ELA[#Data],YES_Writing_FLA[#Data]),MATCH($A87,_xlfn.VSTACK(YES_Writing_ELA[Student Number],YES_Writing_FLA[Student Number]),0),MATCH(VLOOKUP(G$7,'Writing Logic'!$J$7:$K$11,2,FALSE)&amp;" - Per "&amp;VLOOKUP($C$4,'Writing Logic'!$G$8:$H$14,2,FALSE),YES_Writing_ELA[#Headers],0))=0,"",INDEX(_xlfn.VSTACK(YES_Writing_ELA[#Data],YES_Writing_FLA[#Data]),MATCH($A87,_xlfn.VSTACK(YES_Writing_ELA[Student Number],YES_Writing_FLA[Student Number]),0),MATCH(VLOOKUP(G$7,'Writing Logic'!$J$7:$K$11,2,FALSE)&amp;" - Per "&amp;VLOOKUP($C$4,'Writing Logic'!$G$8:$H$14,2,FALSE),YES_Writing_ELA[#Headers],0)))),"")</f>
        <v/>
      </c>
      <c r="H87" s="223" t="str">
        <f>IFERROR(IF(IF(INDEX(_xlfn.VSTACK(YES_Writing_ELA[#Data],YES_Writing_FLA[#Data]),MATCH($A87,_xlfn.VSTACK(YES_Writing_ELA[Student Number],YES_Writing_FLA[Student Number]),0),MATCH(VLOOKUP(H$7,'Writing Logic'!$J$7:$K$11,2,FALSE)&amp;" - Per "&amp;VLOOKUP($C$4,'Writing Logic'!$G$8:$H$14,2,FALSE),YES_Writing_ELA[#Headers],0))=0,"",INDEX(_xlfn.VSTACK(YES_Writing_ELA[#Data],YES_Writing_FLA[#Data]),MATCH($A87,_xlfn.VSTACK(YES_Writing_ELA[Student Number],YES_Writing_FLA[Student Number]),0),MATCH(VLOOKUP(H$7,'Writing Logic'!$J$7:$K$11,2,FALSE)&amp;" - Per "&amp;VLOOKUP($C$4,'Writing Logic'!$G$8:$H$14,2,FALSE),YES_Writing_ELA[#Headers],0)))="INS",'Writing Logic'!$B$7,IF(INDEX(_xlfn.VSTACK(YES_Writing_ELA[#Data],YES_Writing_FLA[#Data]),MATCH($A87,_xlfn.VSTACK(YES_Writing_ELA[Student Number],YES_Writing_FLA[Student Number]),0),MATCH(VLOOKUP(H$7,'Writing Logic'!$J$7:$K$11,2,FALSE)&amp;" - Per "&amp;VLOOKUP($C$4,'Writing Logic'!$G$8:$H$14,2,FALSE),YES_Writing_ELA[#Headers],0))=0,"",INDEX(_xlfn.VSTACK(YES_Writing_ELA[#Data],YES_Writing_FLA[#Data]),MATCH($A87,_xlfn.VSTACK(YES_Writing_ELA[Student Number],YES_Writing_FLA[Student Number]),0),MATCH(VLOOKUP(H$7,'Writing Logic'!$J$7:$K$11,2,FALSE)&amp;" - Per "&amp;VLOOKUP($C$4,'Writing Logic'!$G$8:$H$14,2,FALSE),YES_Writing_ELA[#Headers],0)))),"")</f>
        <v/>
      </c>
      <c r="I87" s="224" t="str" cm="1">
        <f t="array" aca="1" ref="I87" ca="1">IFERROR(
IF($G$3="ELA",
IF(VLOOKUP($A87, YES_Reading_ELA[], COLUMN(INDIRECT("YES_Reading_ELA[Difference - Per "&amp;VLOOKUP($G$4, 'Reading Report Logic'!$A$2:$B$8, 2, FALSE)&amp;"]")), FALSE)="", "",
VLOOKUP($A87,YES_Reading_ELA[], COLUMN(INDIRECT("YES_Reading_ELA[Difference - Per "&amp;VLOOKUP($G$4,'Reading Report Logic'!$A$2:$B$8,2,FALSE)&amp;"]")), FALSE)),
IF($G$3="FLA",
IF(VLOOKUP($A87, YES_Reading_FLA[], COLUMN(INDIRECT("YES_Reading_FLA[Difference - Per "&amp;VLOOKUP($G$4,'Reading Report Logic'!$A$2:$B$8,2,FALSE)&amp;"]")),FALSE)="","",
VLOOKUP($A87,YES_Reading_FLA[],COLUMN(INDIRECT("YES_Reading_FLA[Difference - Per "&amp;VLOOKUP($G$4,'Reading Report Logic'!$A$2:$B$8,2,FALSE)&amp;"]")),FALSE)),
IF($G$3="Combined",
IFERROR(
IF(VLOOKUP($A87, YES_Reading_ELA[], COLUMN(INDIRECT("YES_Reading_ELA[Difference - Per "&amp;VLOOKUP($G$4, 'Reading Report Logic'!$A$2:$B$8,2,FALSE)&amp;"]")), FALSE)="", "",
VLOOKUP($A87,YES_Reading_ELA[],COLUMN(INDIRECT("YES_Reading_ELA[Difference - Per "&amp;VLOOKUP($G$4,'Reading Report Logic'!$A$2:$B$8,2,FALSE)&amp;"]")),FALSE)),
IF(VLOOKUP($A87, YES_Reading_FLA[], COLUMN(INDIRECT("YES_Reading_FLA[Difference - Per "&amp;VLOOKUP($G$4, 'Reading Report Logic'!$A$2:$B$8, 2, FALSE)&amp;"]")),FALSE)="", "", VLOOKUP($A87,YES_Reading_FLA[],COLUMN(INDIRECT("YES_Reading_FLA[Difference - Per "&amp;VLOOKUP($G$4, 'Reading Report Logic'!$A$2:$B$8, 2, FALSE)&amp;"]")),FALSE))),""))),"")</f>
        <v/>
      </c>
    </row>
    <row r="88" spans="1:9" ht="14.25" customHeight="1" x14ac:dyDescent="0.25">
      <c r="A88" s="137"/>
      <c r="B88" s="137" t="str">
        <f>IFERROR(INDEX(_xlfn.VSTACK(YES_Writing_ELA[#Data], YES_Writing_FLA[#Data]),MATCH($A88,_xlfn.VSTACK(YES_Writing_ELA[Student Number], YES_Writing_FLA[Student Number]),0),MATCH(B$7,YES_Writing_ELA[#Headers],0)),IFERROR(INDEX(_xlfn.VSTACK(YES_Reading_ELA[#Data], YES_Reading_FLA[#Data]),MATCH($A88,_xlfn.VSTACK(YES_Reading_ELA[Student Number], YES_Reading_FLA[Student Number]),0),MATCH(B$7,YES_Reading_ELA[#Headers],0)),""))</f>
        <v/>
      </c>
      <c r="C88" s="137" t="str">
        <f>IFERROR(INDEX(_xlfn.VSTACK(YES_Writing_ELA[#Data], YES_Writing_FLA[#Data]),MATCH($A88,_xlfn.VSTACK(YES_Writing_ELA[Student Number], YES_Writing_FLA[Student Number]),0),MATCH(C$7,YES_Writing_ELA[#Headers],0)),IFERROR(INDEX(_xlfn.VSTACK(YES_Reading_ELA[#Data], YES_Reading_FLA[#Data]),MATCH($A88,_xlfn.VSTACK(YES_Reading_ELA[Student Number], YES_Reading_FLA[Student Number]),0),MATCH(C$7,YES_Reading_ELA[#Headers],0)),""))</f>
        <v/>
      </c>
      <c r="D88" s="138" t="str">
        <f>IFERROR(IF(IF(INDEX(_xlfn.VSTACK(YES_Writing_ELA[#Data],YES_Writing_FLA[#Data]),MATCH($A88,_xlfn.VSTACK(YES_Writing_ELA[Student Number],YES_Writing_FLA[Student Number]),0),MATCH(VLOOKUP(D$7,'Writing Logic'!$J$7:$K$11,2,FALSE)&amp;" - Per "&amp;VLOOKUP($C$4,'Writing Logic'!$G$8:$H$14,2,FALSE),YES_Writing_ELA[#Headers],0))=0,"",INDEX(_xlfn.VSTACK(YES_Writing_ELA[#Data],YES_Writing_FLA[#Data]),MATCH($A88,_xlfn.VSTACK(YES_Writing_ELA[Student Number],YES_Writing_FLA[Student Number]),0),MATCH(VLOOKUP(D$7,'Writing Logic'!$J$7:$K$11,2,FALSE)&amp;" - Per "&amp;VLOOKUP($C$4,'Writing Logic'!$G$8:$H$14,2,FALSE),YES_Writing_ELA[#Headers],0)))="INS",'Writing Logic'!$B$7,IF(INDEX(_xlfn.VSTACK(YES_Writing_ELA[#Data],YES_Writing_FLA[#Data]),MATCH($A88,_xlfn.VSTACK(YES_Writing_ELA[Student Number],YES_Writing_FLA[Student Number]),0),MATCH(VLOOKUP(D$7,'Writing Logic'!$J$7:$K$11,2,FALSE)&amp;" - Per "&amp;VLOOKUP($C$4,'Writing Logic'!$G$8:$H$14,2,FALSE),YES_Writing_ELA[#Headers],0))=0,"",INDEX(_xlfn.VSTACK(YES_Writing_ELA[#Data],YES_Writing_FLA[#Data]),MATCH($A88,_xlfn.VSTACK(YES_Writing_ELA[Student Number],YES_Writing_FLA[Student Number]),0),MATCH(VLOOKUP(D$7,'Writing Logic'!$J$7:$K$11,2,FALSE)&amp;" - Per "&amp;VLOOKUP($C$4,'Writing Logic'!$G$8:$H$14,2,FALSE),YES_Writing_ELA[#Headers],0)))),"")</f>
        <v/>
      </c>
      <c r="E88" s="138" t="str">
        <f>IFERROR(IF(IF(INDEX(_xlfn.VSTACK(YES_Writing_ELA[#Data],YES_Writing_FLA[#Data]),MATCH($A88,_xlfn.VSTACK(YES_Writing_ELA[Student Number],YES_Writing_FLA[Student Number]),0),MATCH(VLOOKUP(E$7,'Writing Logic'!$J$7:$K$11,2,FALSE)&amp;" - Per "&amp;VLOOKUP($C$4,'Writing Logic'!$G$8:$H$14,2,FALSE),YES_Writing_ELA[#Headers],0))=0,"",INDEX(_xlfn.VSTACK(YES_Writing_ELA[#Data],YES_Writing_FLA[#Data]),MATCH($A88,_xlfn.VSTACK(YES_Writing_ELA[Student Number],YES_Writing_FLA[Student Number]),0),MATCH(VLOOKUP(E$7,'Writing Logic'!$J$7:$K$11,2,FALSE)&amp;" - Per "&amp;VLOOKUP($C$4,'Writing Logic'!$G$8:$H$14,2,FALSE),YES_Writing_ELA[#Headers],0)))="INS",'Writing Logic'!$B$7,IF(INDEX(_xlfn.VSTACK(YES_Writing_ELA[#Data],YES_Writing_FLA[#Data]),MATCH($A88,_xlfn.VSTACK(YES_Writing_ELA[Student Number],YES_Writing_FLA[Student Number]),0),MATCH(VLOOKUP(E$7,'Writing Logic'!$J$7:$K$11,2,FALSE)&amp;" - Per "&amp;VLOOKUP($C$4,'Writing Logic'!$G$8:$H$14,2,FALSE),YES_Writing_ELA[#Headers],0))=0,"",INDEX(_xlfn.VSTACK(YES_Writing_ELA[#Data],YES_Writing_FLA[#Data]),MATCH($A88,_xlfn.VSTACK(YES_Writing_ELA[Student Number],YES_Writing_FLA[Student Number]),0),MATCH(VLOOKUP(E$7,'Writing Logic'!$J$7:$K$11,2,FALSE)&amp;" - Per "&amp;VLOOKUP($C$4,'Writing Logic'!$G$8:$H$14,2,FALSE),YES_Writing_ELA[#Headers],0)))),"")</f>
        <v/>
      </c>
      <c r="F88" s="138" t="str">
        <f>IFERROR(IF(IF(INDEX(_xlfn.VSTACK(YES_Writing_ELA[#Data],YES_Writing_FLA[#Data]),MATCH($A88,_xlfn.VSTACK(YES_Writing_ELA[Student Number],YES_Writing_FLA[Student Number]),0),MATCH(VLOOKUP(F$7,'Writing Logic'!$J$7:$K$11,2,FALSE)&amp;" - Per "&amp;VLOOKUP($C$4,'Writing Logic'!$G$8:$H$14,2,FALSE),YES_Writing_ELA[#Headers],0))=0,"",INDEX(_xlfn.VSTACK(YES_Writing_ELA[#Data],YES_Writing_FLA[#Data]),MATCH($A88,_xlfn.VSTACK(YES_Writing_ELA[Student Number],YES_Writing_FLA[Student Number]),0),MATCH(VLOOKUP(F$7,'Writing Logic'!$J$7:$K$11,2,FALSE)&amp;" - Per "&amp;VLOOKUP($C$4,'Writing Logic'!$G$8:$H$14,2,FALSE),YES_Writing_ELA[#Headers],0)))="INS",'Writing Logic'!$B$7,IF(INDEX(_xlfn.VSTACK(YES_Writing_ELA[#Data],YES_Writing_FLA[#Data]),MATCH($A88,_xlfn.VSTACK(YES_Writing_ELA[Student Number],YES_Writing_FLA[Student Number]),0),MATCH(VLOOKUP(F$7,'Writing Logic'!$J$7:$K$11,2,FALSE)&amp;" - Per "&amp;VLOOKUP($C$4,'Writing Logic'!$G$8:$H$14,2,FALSE),YES_Writing_ELA[#Headers],0))=0,"",INDEX(_xlfn.VSTACK(YES_Writing_ELA[#Data],YES_Writing_FLA[#Data]),MATCH($A88,_xlfn.VSTACK(YES_Writing_ELA[Student Number],YES_Writing_FLA[Student Number]),0),MATCH(VLOOKUP(F$7,'Writing Logic'!$J$7:$K$11,2,FALSE)&amp;" - Per "&amp;VLOOKUP($C$4,'Writing Logic'!$G$8:$H$14,2,FALSE),YES_Writing_ELA[#Headers],0)))),"")</f>
        <v/>
      </c>
      <c r="G88" s="138" t="str">
        <f>IFERROR(IF(IF(INDEX(_xlfn.VSTACK(YES_Writing_ELA[#Data],YES_Writing_FLA[#Data]),MATCH($A88,_xlfn.VSTACK(YES_Writing_ELA[Student Number],YES_Writing_FLA[Student Number]),0),MATCH(VLOOKUP(G$7,'Writing Logic'!$J$7:$K$11,2,FALSE)&amp;" - Per "&amp;VLOOKUP($C$4,'Writing Logic'!$G$8:$H$14,2,FALSE),YES_Writing_ELA[#Headers],0))=0,"",INDEX(_xlfn.VSTACK(YES_Writing_ELA[#Data],YES_Writing_FLA[#Data]),MATCH($A88,_xlfn.VSTACK(YES_Writing_ELA[Student Number],YES_Writing_FLA[Student Number]),0),MATCH(VLOOKUP(G$7,'Writing Logic'!$J$7:$K$11,2,FALSE)&amp;" - Per "&amp;VLOOKUP($C$4,'Writing Logic'!$G$8:$H$14,2,FALSE),YES_Writing_ELA[#Headers],0)))="INS",'Writing Logic'!$B$7,IF(INDEX(_xlfn.VSTACK(YES_Writing_ELA[#Data],YES_Writing_FLA[#Data]),MATCH($A88,_xlfn.VSTACK(YES_Writing_ELA[Student Number],YES_Writing_FLA[Student Number]),0),MATCH(VLOOKUP(G$7,'Writing Logic'!$J$7:$K$11,2,FALSE)&amp;" - Per "&amp;VLOOKUP($C$4,'Writing Logic'!$G$8:$H$14,2,FALSE),YES_Writing_ELA[#Headers],0))=0,"",INDEX(_xlfn.VSTACK(YES_Writing_ELA[#Data],YES_Writing_FLA[#Data]),MATCH($A88,_xlfn.VSTACK(YES_Writing_ELA[Student Number],YES_Writing_FLA[Student Number]),0),MATCH(VLOOKUP(G$7,'Writing Logic'!$J$7:$K$11,2,FALSE)&amp;" - Per "&amp;VLOOKUP($C$4,'Writing Logic'!$G$8:$H$14,2,FALSE),YES_Writing_ELA[#Headers],0)))),"")</f>
        <v/>
      </c>
      <c r="H88" s="223" t="str">
        <f>IFERROR(IF(IF(INDEX(_xlfn.VSTACK(YES_Writing_ELA[#Data],YES_Writing_FLA[#Data]),MATCH($A88,_xlfn.VSTACK(YES_Writing_ELA[Student Number],YES_Writing_FLA[Student Number]),0),MATCH(VLOOKUP(H$7,'Writing Logic'!$J$7:$K$11,2,FALSE)&amp;" - Per "&amp;VLOOKUP($C$4,'Writing Logic'!$G$8:$H$14,2,FALSE),YES_Writing_ELA[#Headers],0))=0,"",INDEX(_xlfn.VSTACK(YES_Writing_ELA[#Data],YES_Writing_FLA[#Data]),MATCH($A88,_xlfn.VSTACK(YES_Writing_ELA[Student Number],YES_Writing_FLA[Student Number]),0),MATCH(VLOOKUP(H$7,'Writing Logic'!$J$7:$K$11,2,FALSE)&amp;" - Per "&amp;VLOOKUP($C$4,'Writing Logic'!$G$8:$H$14,2,FALSE),YES_Writing_ELA[#Headers],0)))="INS",'Writing Logic'!$B$7,IF(INDEX(_xlfn.VSTACK(YES_Writing_ELA[#Data],YES_Writing_FLA[#Data]),MATCH($A88,_xlfn.VSTACK(YES_Writing_ELA[Student Number],YES_Writing_FLA[Student Number]),0),MATCH(VLOOKUP(H$7,'Writing Logic'!$J$7:$K$11,2,FALSE)&amp;" - Per "&amp;VLOOKUP($C$4,'Writing Logic'!$G$8:$H$14,2,FALSE),YES_Writing_ELA[#Headers],0))=0,"",INDEX(_xlfn.VSTACK(YES_Writing_ELA[#Data],YES_Writing_FLA[#Data]),MATCH($A88,_xlfn.VSTACK(YES_Writing_ELA[Student Number],YES_Writing_FLA[Student Number]),0),MATCH(VLOOKUP(H$7,'Writing Logic'!$J$7:$K$11,2,FALSE)&amp;" - Per "&amp;VLOOKUP($C$4,'Writing Logic'!$G$8:$H$14,2,FALSE),YES_Writing_ELA[#Headers],0)))),"")</f>
        <v/>
      </c>
      <c r="I88" s="224" t="str" cm="1">
        <f t="array" aca="1" ref="I88" ca="1">IFERROR(
IF($G$3="ELA",
IF(VLOOKUP($A88, YES_Reading_ELA[], COLUMN(INDIRECT("YES_Reading_ELA[Difference - Per "&amp;VLOOKUP($G$4, 'Reading Report Logic'!$A$2:$B$8, 2, FALSE)&amp;"]")), FALSE)="", "",
VLOOKUP($A88,YES_Reading_ELA[], COLUMN(INDIRECT("YES_Reading_ELA[Difference - Per "&amp;VLOOKUP($G$4,'Reading Report Logic'!$A$2:$B$8,2,FALSE)&amp;"]")), FALSE)),
IF($G$3="FLA",
IF(VLOOKUP($A88, YES_Reading_FLA[], COLUMN(INDIRECT("YES_Reading_FLA[Difference - Per "&amp;VLOOKUP($G$4,'Reading Report Logic'!$A$2:$B$8,2,FALSE)&amp;"]")),FALSE)="","",
VLOOKUP($A88,YES_Reading_FLA[],COLUMN(INDIRECT("YES_Reading_FLA[Difference - Per "&amp;VLOOKUP($G$4,'Reading Report Logic'!$A$2:$B$8,2,FALSE)&amp;"]")),FALSE)),
IF($G$3="Combined",
IFERROR(
IF(VLOOKUP($A88, YES_Reading_ELA[], COLUMN(INDIRECT("YES_Reading_ELA[Difference - Per "&amp;VLOOKUP($G$4, 'Reading Report Logic'!$A$2:$B$8,2,FALSE)&amp;"]")), FALSE)="", "",
VLOOKUP($A88,YES_Reading_ELA[],COLUMN(INDIRECT("YES_Reading_ELA[Difference - Per "&amp;VLOOKUP($G$4,'Reading Report Logic'!$A$2:$B$8,2,FALSE)&amp;"]")),FALSE)),
IF(VLOOKUP($A88, YES_Reading_FLA[], COLUMN(INDIRECT("YES_Reading_FLA[Difference - Per "&amp;VLOOKUP($G$4, 'Reading Report Logic'!$A$2:$B$8, 2, FALSE)&amp;"]")),FALSE)="", "", VLOOKUP($A88,YES_Reading_FLA[],COLUMN(INDIRECT("YES_Reading_FLA[Difference - Per "&amp;VLOOKUP($G$4, 'Reading Report Logic'!$A$2:$B$8, 2, FALSE)&amp;"]")),FALSE))),""))),"")</f>
        <v/>
      </c>
    </row>
    <row r="89" spans="1:9" ht="14.25" customHeight="1" x14ac:dyDescent="0.25">
      <c r="A89" s="137"/>
      <c r="B89" s="137" t="str">
        <f>IFERROR(INDEX(_xlfn.VSTACK(YES_Writing_ELA[#Data], YES_Writing_FLA[#Data]),MATCH($A89,_xlfn.VSTACK(YES_Writing_ELA[Student Number], YES_Writing_FLA[Student Number]),0),MATCH(B$7,YES_Writing_ELA[#Headers],0)),IFERROR(INDEX(_xlfn.VSTACK(YES_Reading_ELA[#Data], YES_Reading_FLA[#Data]),MATCH($A89,_xlfn.VSTACK(YES_Reading_ELA[Student Number], YES_Reading_FLA[Student Number]),0),MATCH(B$7,YES_Reading_ELA[#Headers],0)),""))</f>
        <v/>
      </c>
      <c r="C89" s="137" t="str">
        <f>IFERROR(INDEX(_xlfn.VSTACK(YES_Writing_ELA[#Data], YES_Writing_FLA[#Data]),MATCH($A89,_xlfn.VSTACK(YES_Writing_ELA[Student Number], YES_Writing_FLA[Student Number]),0),MATCH(C$7,YES_Writing_ELA[#Headers],0)),IFERROR(INDEX(_xlfn.VSTACK(YES_Reading_ELA[#Data], YES_Reading_FLA[#Data]),MATCH($A89,_xlfn.VSTACK(YES_Reading_ELA[Student Number], YES_Reading_FLA[Student Number]),0),MATCH(C$7,YES_Reading_ELA[#Headers],0)),""))</f>
        <v/>
      </c>
      <c r="D89" s="138" t="str">
        <f>IFERROR(IF(IF(INDEX(_xlfn.VSTACK(YES_Writing_ELA[#Data],YES_Writing_FLA[#Data]),MATCH($A89,_xlfn.VSTACK(YES_Writing_ELA[Student Number],YES_Writing_FLA[Student Number]),0),MATCH(VLOOKUP(D$7,'Writing Logic'!$J$7:$K$11,2,FALSE)&amp;" - Per "&amp;VLOOKUP($C$4,'Writing Logic'!$G$8:$H$14,2,FALSE),YES_Writing_ELA[#Headers],0))=0,"",INDEX(_xlfn.VSTACK(YES_Writing_ELA[#Data],YES_Writing_FLA[#Data]),MATCH($A89,_xlfn.VSTACK(YES_Writing_ELA[Student Number],YES_Writing_FLA[Student Number]),0),MATCH(VLOOKUP(D$7,'Writing Logic'!$J$7:$K$11,2,FALSE)&amp;" - Per "&amp;VLOOKUP($C$4,'Writing Logic'!$G$8:$H$14,2,FALSE),YES_Writing_ELA[#Headers],0)))="INS",'Writing Logic'!$B$7,IF(INDEX(_xlfn.VSTACK(YES_Writing_ELA[#Data],YES_Writing_FLA[#Data]),MATCH($A89,_xlfn.VSTACK(YES_Writing_ELA[Student Number],YES_Writing_FLA[Student Number]),0),MATCH(VLOOKUP(D$7,'Writing Logic'!$J$7:$K$11,2,FALSE)&amp;" - Per "&amp;VLOOKUP($C$4,'Writing Logic'!$G$8:$H$14,2,FALSE),YES_Writing_ELA[#Headers],0))=0,"",INDEX(_xlfn.VSTACK(YES_Writing_ELA[#Data],YES_Writing_FLA[#Data]),MATCH($A89,_xlfn.VSTACK(YES_Writing_ELA[Student Number],YES_Writing_FLA[Student Number]),0),MATCH(VLOOKUP(D$7,'Writing Logic'!$J$7:$K$11,2,FALSE)&amp;" - Per "&amp;VLOOKUP($C$4,'Writing Logic'!$G$8:$H$14,2,FALSE),YES_Writing_ELA[#Headers],0)))),"")</f>
        <v/>
      </c>
      <c r="E89" s="138" t="str">
        <f>IFERROR(IF(IF(INDEX(_xlfn.VSTACK(YES_Writing_ELA[#Data],YES_Writing_FLA[#Data]),MATCH($A89,_xlfn.VSTACK(YES_Writing_ELA[Student Number],YES_Writing_FLA[Student Number]),0),MATCH(VLOOKUP(E$7,'Writing Logic'!$J$7:$K$11,2,FALSE)&amp;" - Per "&amp;VLOOKUP($C$4,'Writing Logic'!$G$8:$H$14,2,FALSE),YES_Writing_ELA[#Headers],0))=0,"",INDEX(_xlfn.VSTACK(YES_Writing_ELA[#Data],YES_Writing_FLA[#Data]),MATCH($A89,_xlfn.VSTACK(YES_Writing_ELA[Student Number],YES_Writing_FLA[Student Number]),0),MATCH(VLOOKUP(E$7,'Writing Logic'!$J$7:$K$11,2,FALSE)&amp;" - Per "&amp;VLOOKUP($C$4,'Writing Logic'!$G$8:$H$14,2,FALSE),YES_Writing_ELA[#Headers],0)))="INS",'Writing Logic'!$B$7,IF(INDEX(_xlfn.VSTACK(YES_Writing_ELA[#Data],YES_Writing_FLA[#Data]),MATCH($A89,_xlfn.VSTACK(YES_Writing_ELA[Student Number],YES_Writing_FLA[Student Number]),0),MATCH(VLOOKUP(E$7,'Writing Logic'!$J$7:$K$11,2,FALSE)&amp;" - Per "&amp;VLOOKUP($C$4,'Writing Logic'!$G$8:$H$14,2,FALSE),YES_Writing_ELA[#Headers],0))=0,"",INDEX(_xlfn.VSTACK(YES_Writing_ELA[#Data],YES_Writing_FLA[#Data]),MATCH($A89,_xlfn.VSTACK(YES_Writing_ELA[Student Number],YES_Writing_FLA[Student Number]),0),MATCH(VLOOKUP(E$7,'Writing Logic'!$J$7:$K$11,2,FALSE)&amp;" - Per "&amp;VLOOKUP($C$4,'Writing Logic'!$G$8:$H$14,2,FALSE),YES_Writing_ELA[#Headers],0)))),"")</f>
        <v/>
      </c>
      <c r="F89" s="138" t="str">
        <f>IFERROR(IF(IF(INDEX(_xlfn.VSTACK(YES_Writing_ELA[#Data],YES_Writing_FLA[#Data]),MATCH($A89,_xlfn.VSTACK(YES_Writing_ELA[Student Number],YES_Writing_FLA[Student Number]),0),MATCH(VLOOKUP(F$7,'Writing Logic'!$J$7:$K$11,2,FALSE)&amp;" - Per "&amp;VLOOKUP($C$4,'Writing Logic'!$G$8:$H$14,2,FALSE),YES_Writing_ELA[#Headers],0))=0,"",INDEX(_xlfn.VSTACK(YES_Writing_ELA[#Data],YES_Writing_FLA[#Data]),MATCH($A89,_xlfn.VSTACK(YES_Writing_ELA[Student Number],YES_Writing_FLA[Student Number]),0),MATCH(VLOOKUP(F$7,'Writing Logic'!$J$7:$K$11,2,FALSE)&amp;" - Per "&amp;VLOOKUP($C$4,'Writing Logic'!$G$8:$H$14,2,FALSE),YES_Writing_ELA[#Headers],0)))="INS",'Writing Logic'!$B$7,IF(INDEX(_xlfn.VSTACK(YES_Writing_ELA[#Data],YES_Writing_FLA[#Data]),MATCH($A89,_xlfn.VSTACK(YES_Writing_ELA[Student Number],YES_Writing_FLA[Student Number]),0),MATCH(VLOOKUP(F$7,'Writing Logic'!$J$7:$K$11,2,FALSE)&amp;" - Per "&amp;VLOOKUP($C$4,'Writing Logic'!$G$8:$H$14,2,FALSE),YES_Writing_ELA[#Headers],0))=0,"",INDEX(_xlfn.VSTACK(YES_Writing_ELA[#Data],YES_Writing_FLA[#Data]),MATCH($A89,_xlfn.VSTACK(YES_Writing_ELA[Student Number],YES_Writing_FLA[Student Number]),0),MATCH(VLOOKUP(F$7,'Writing Logic'!$J$7:$K$11,2,FALSE)&amp;" - Per "&amp;VLOOKUP($C$4,'Writing Logic'!$G$8:$H$14,2,FALSE),YES_Writing_ELA[#Headers],0)))),"")</f>
        <v/>
      </c>
      <c r="G89" s="138" t="str">
        <f>IFERROR(IF(IF(INDEX(_xlfn.VSTACK(YES_Writing_ELA[#Data],YES_Writing_FLA[#Data]),MATCH($A89,_xlfn.VSTACK(YES_Writing_ELA[Student Number],YES_Writing_FLA[Student Number]),0),MATCH(VLOOKUP(G$7,'Writing Logic'!$J$7:$K$11,2,FALSE)&amp;" - Per "&amp;VLOOKUP($C$4,'Writing Logic'!$G$8:$H$14,2,FALSE),YES_Writing_ELA[#Headers],0))=0,"",INDEX(_xlfn.VSTACK(YES_Writing_ELA[#Data],YES_Writing_FLA[#Data]),MATCH($A89,_xlfn.VSTACK(YES_Writing_ELA[Student Number],YES_Writing_FLA[Student Number]),0),MATCH(VLOOKUP(G$7,'Writing Logic'!$J$7:$K$11,2,FALSE)&amp;" - Per "&amp;VLOOKUP($C$4,'Writing Logic'!$G$8:$H$14,2,FALSE),YES_Writing_ELA[#Headers],0)))="INS",'Writing Logic'!$B$7,IF(INDEX(_xlfn.VSTACK(YES_Writing_ELA[#Data],YES_Writing_FLA[#Data]),MATCH($A89,_xlfn.VSTACK(YES_Writing_ELA[Student Number],YES_Writing_FLA[Student Number]),0),MATCH(VLOOKUP(G$7,'Writing Logic'!$J$7:$K$11,2,FALSE)&amp;" - Per "&amp;VLOOKUP($C$4,'Writing Logic'!$G$8:$H$14,2,FALSE),YES_Writing_ELA[#Headers],0))=0,"",INDEX(_xlfn.VSTACK(YES_Writing_ELA[#Data],YES_Writing_FLA[#Data]),MATCH($A89,_xlfn.VSTACK(YES_Writing_ELA[Student Number],YES_Writing_FLA[Student Number]),0),MATCH(VLOOKUP(G$7,'Writing Logic'!$J$7:$K$11,2,FALSE)&amp;" - Per "&amp;VLOOKUP($C$4,'Writing Logic'!$G$8:$H$14,2,FALSE),YES_Writing_ELA[#Headers],0)))),"")</f>
        <v/>
      </c>
      <c r="H89" s="223" t="str">
        <f>IFERROR(IF(IF(INDEX(_xlfn.VSTACK(YES_Writing_ELA[#Data],YES_Writing_FLA[#Data]),MATCH($A89,_xlfn.VSTACK(YES_Writing_ELA[Student Number],YES_Writing_FLA[Student Number]),0),MATCH(VLOOKUP(H$7,'Writing Logic'!$J$7:$K$11,2,FALSE)&amp;" - Per "&amp;VLOOKUP($C$4,'Writing Logic'!$G$8:$H$14,2,FALSE),YES_Writing_ELA[#Headers],0))=0,"",INDEX(_xlfn.VSTACK(YES_Writing_ELA[#Data],YES_Writing_FLA[#Data]),MATCH($A89,_xlfn.VSTACK(YES_Writing_ELA[Student Number],YES_Writing_FLA[Student Number]),0),MATCH(VLOOKUP(H$7,'Writing Logic'!$J$7:$K$11,2,FALSE)&amp;" - Per "&amp;VLOOKUP($C$4,'Writing Logic'!$G$8:$H$14,2,FALSE),YES_Writing_ELA[#Headers],0)))="INS",'Writing Logic'!$B$7,IF(INDEX(_xlfn.VSTACK(YES_Writing_ELA[#Data],YES_Writing_FLA[#Data]),MATCH($A89,_xlfn.VSTACK(YES_Writing_ELA[Student Number],YES_Writing_FLA[Student Number]),0),MATCH(VLOOKUP(H$7,'Writing Logic'!$J$7:$K$11,2,FALSE)&amp;" - Per "&amp;VLOOKUP($C$4,'Writing Logic'!$G$8:$H$14,2,FALSE),YES_Writing_ELA[#Headers],0))=0,"",INDEX(_xlfn.VSTACK(YES_Writing_ELA[#Data],YES_Writing_FLA[#Data]),MATCH($A89,_xlfn.VSTACK(YES_Writing_ELA[Student Number],YES_Writing_FLA[Student Number]),0),MATCH(VLOOKUP(H$7,'Writing Logic'!$J$7:$K$11,2,FALSE)&amp;" - Per "&amp;VLOOKUP($C$4,'Writing Logic'!$G$8:$H$14,2,FALSE),YES_Writing_ELA[#Headers],0)))),"")</f>
        <v/>
      </c>
      <c r="I89" s="224" t="str" cm="1">
        <f t="array" aca="1" ref="I89" ca="1">IFERROR(
IF($G$3="ELA",
IF(VLOOKUP($A89, YES_Reading_ELA[], COLUMN(INDIRECT("YES_Reading_ELA[Difference - Per "&amp;VLOOKUP($G$4, 'Reading Report Logic'!$A$2:$B$8, 2, FALSE)&amp;"]")), FALSE)="", "",
VLOOKUP($A89,YES_Reading_ELA[], COLUMN(INDIRECT("YES_Reading_ELA[Difference - Per "&amp;VLOOKUP($G$4,'Reading Report Logic'!$A$2:$B$8,2,FALSE)&amp;"]")), FALSE)),
IF($G$3="FLA",
IF(VLOOKUP($A89, YES_Reading_FLA[], COLUMN(INDIRECT("YES_Reading_FLA[Difference - Per "&amp;VLOOKUP($G$4,'Reading Report Logic'!$A$2:$B$8,2,FALSE)&amp;"]")),FALSE)="","",
VLOOKUP($A89,YES_Reading_FLA[],COLUMN(INDIRECT("YES_Reading_FLA[Difference - Per "&amp;VLOOKUP($G$4,'Reading Report Logic'!$A$2:$B$8,2,FALSE)&amp;"]")),FALSE)),
IF($G$3="Combined",
IFERROR(
IF(VLOOKUP($A89, YES_Reading_ELA[], COLUMN(INDIRECT("YES_Reading_ELA[Difference - Per "&amp;VLOOKUP($G$4, 'Reading Report Logic'!$A$2:$B$8,2,FALSE)&amp;"]")), FALSE)="", "",
VLOOKUP($A89,YES_Reading_ELA[],COLUMN(INDIRECT("YES_Reading_ELA[Difference - Per "&amp;VLOOKUP($G$4,'Reading Report Logic'!$A$2:$B$8,2,FALSE)&amp;"]")),FALSE)),
IF(VLOOKUP($A89, YES_Reading_FLA[], COLUMN(INDIRECT("YES_Reading_FLA[Difference - Per "&amp;VLOOKUP($G$4, 'Reading Report Logic'!$A$2:$B$8, 2, FALSE)&amp;"]")),FALSE)="", "", VLOOKUP($A89,YES_Reading_FLA[],COLUMN(INDIRECT("YES_Reading_FLA[Difference - Per "&amp;VLOOKUP($G$4, 'Reading Report Logic'!$A$2:$B$8, 2, FALSE)&amp;"]")),FALSE))),""))),"")</f>
        <v/>
      </c>
    </row>
    <row r="90" spans="1:9" ht="14.25" customHeight="1" x14ac:dyDescent="0.25">
      <c r="A90" s="137"/>
      <c r="B90" s="137" t="str">
        <f>IFERROR(INDEX(_xlfn.VSTACK(YES_Writing_ELA[#Data], YES_Writing_FLA[#Data]),MATCH($A90,_xlfn.VSTACK(YES_Writing_ELA[Student Number], YES_Writing_FLA[Student Number]),0),MATCH(B$7,YES_Writing_ELA[#Headers],0)),IFERROR(INDEX(_xlfn.VSTACK(YES_Reading_ELA[#Data], YES_Reading_FLA[#Data]),MATCH($A90,_xlfn.VSTACK(YES_Reading_ELA[Student Number], YES_Reading_FLA[Student Number]),0),MATCH(B$7,YES_Reading_ELA[#Headers],0)),""))</f>
        <v/>
      </c>
      <c r="C90" s="137" t="str">
        <f>IFERROR(INDEX(_xlfn.VSTACK(YES_Writing_ELA[#Data], YES_Writing_FLA[#Data]),MATCH($A90,_xlfn.VSTACK(YES_Writing_ELA[Student Number], YES_Writing_FLA[Student Number]),0),MATCH(C$7,YES_Writing_ELA[#Headers],0)),IFERROR(INDEX(_xlfn.VSTACK(YES_Reading_ELA[#Data], YES_Reading_FLA[#Data]),MATCH($A90,_xlfn.VSTACK(YES_Reading_ELA[Student Number], YES_Reading_FLA[Student Number]),0),MATCH(C$7,YES_Reading_ELA[#Headers],0)),""))</f>
        <v/>
      </c>
      <c r="D90" s="138" t="str">
        <f>IFERROR(IF(IF(INDEX(_xlfn.VSTACK(YES_Writing_ELA[#Data],YES_Writing_FLA[#Data]),MATCH($A90,_xlfn.VSTACK(YES_Writing_ELA[Student Number],YES_Writing_FLA[Student Number]),0),MATCH(VLOOKUP(D$7,'Writing Logic'!$J$7:$K$11,2,FALSE)&amp;" - Per "&amp;VLOOKUP($C$4,'Writing Logic'!$G$8:$H$14,2,FALSE),YES_Writing_ELA[#Headers],0))=0,"",INDEX(_xlfn.VSTACK(YES_Writing_ELA[#Data],YES_Writing_FLA[#Data]),MATCH($A90,_xlfn.VSTACK(YES_Writing_ELA[Student Number],YES_Writing_FLA[Student Number]),0),MATCH(VLOOKUP(D$7,'Writing Logic'!$J$7:$K$11,2,FALSE)&amp;" - Per "&amp;VLOOKUP($C$4,'Writing Logic'!$G$8:$H$14,2,FALSE),YES_Writing_ELA[#Headers],0)))="INS",'Writing Logic'!$B$7,IF(INDEX(_xlfn.VSTACK(YES_Writing_ELA[#Data],YES_Writing_FLA[#Data]),MATCH($A90,_xlfn.VSTACK(YES_Writing_ELA[Student Number],YES_Writing_FLA[Student Number]),0),MATCH(VLOOKUP(D$7,'Writing Logic'!$J$7:$K$11,2,FALSE)&amp;" - Per "&amp;VLOOKUP($C$4,'Writing Logic'!$G$8:$H$14,2,FALSE),YES_Writing_ELA[#Headers],0))=0,"",INDEX(_xlfn.VSTACK(YES_Writing_ELA[#Data],YES_Writing_FLA[#Data]),MATCH($A90,_xlfn.VSTACK(YES_Writing_ELA[Student Number],YES_Writing_FLA[Student Number]),0),MATCH(VLOOKUP(D$7,'Writing Logic'!$J$7:$K$11,2,FALSE)&amp;" - Per "&amp;VLOOKUP($C$4,'Writing Logic'!$G$8:$H$14,2,FALSE),YES_Writing_ELA[#Headers],0)))),"")</f>
        <v/>
      </c>
      <c r="E90" s="138" t="str">
        <f>IFERROR(IF(IF(INDEX(_xlfn.VSTACK(YES_Writing_ELA[#Data],YES_Writing_FLA[#Data]),MATCH($A90,_xlfn.VSTACK(YES_Writing_ELA[Student Number],YES_Writing_FLA[Student Number]),0),MATCH(VLOOKUP(E$7,'Writing Logic'!$J$7:$K$11,2,FALSE)&amp;" - Per "&amp;VLOOKUP($C$4,'Writing Logic'!$G$8:$H$14,2,FALSE),YES_Writing_ELA[#Headers],0))=0,"",INDEX(_xlfn.VSTACK(YES_Writing_ELA[#Data],YES_Writing_FLA[#Data]),MATCH($A90,_xlfn.VSTACK(YES_Writing_ELA[Student Number],YES_Writing_FLA[Student Number]),0),MATCH(VLOOKUP(E$7,'Writing Logic'!$J$7:$K$11,2,FALSE)&amp;" - Per "&amp;VLOOKUP($C$4,'Writing Logic'!$G$8:$H$14,2,FALSE),YES_Writing_ELA[#Headers],0)))="INS",'Writing Logic'!$B$7,IF(INDEX(_xlfn.VSTACK(YES_Writing_ELA[#Data],YES_Writing_FLA[#Data]),MATCH($A90,_xlfn.VSTACK(YES_Writing_ELA[Student Number],YES_Writing_FLA[Student Number]),0),MATCH(VLOOKUP(E$7,'Writing Logic'!$J$7:$K$11,2,FALSE)&amp;" - Per "&amp;VLOOKUP($C$4,'Writing Logic'!$G$8:$H$14,2,FALSE),YES_Writing_ELA[#Headers],0))=0,"",INDEX(_xlfn.VSTACK(YES_Writing_ELA[#Data],YES_Writing_FLA[#Data]),MATCH($A90,_xlfn.VSTACK(YES_Writing_ELA[Student Number],YES_Writing_FLA[Student Number]),0),MATCH(VLOOKUP(E$7,'Writing Logic'!$J$7:$K$11,2,FALSE)&amp;" - Per "&amp;VLOOKUP($C$4,'Writing Logic'!$G$8:$H$14,2,FALSE),YES_Writing_ELA[#Headers],0)))),"")</f>
        <v/>
      </c>
      <c r="F90" s="138" t="str">
        <f>IFERROR(IF(IF(INDEX(_xlfn.VSTACK(YES_Writing_ELA[#Data],YES_Writing_FLA[#Data]),MATCH($A90,_xlfn.VSTACK(YES_Writing_ELA[Student Number],YES_Writing_FLA[Student Number]),0),MATCH(VLOOKUP(F$7,'Writing Logic'!$J$7:$K$11,2,FALSE)&amp;" - Per "&amp;VLOOKUP($C$4,'Writing Logic'!$G$8:$H$14,2,FALSE),YES_Writing_ELA[#Headers],0))=0,"",INDEX(_xlfn.VSTACK(YES_Writing_ELA[#Data],YES_Writing_FLA[#Data]),MATCH($A90,_xlfn.VSTACK(YES_Writing_ELA[Student Number],YES_Writing_FLA[Student Number]),0),MATCH(VLOOKUP(F$7,'Writing Logic'!$J$7:$K$11,2,FALSE)&amp;" - Per "&amp;VLOOKUP($C$4,'Writing Logic'!$G$8:$H$14,2,FALSE),YES_Writing_ELA[#Headers],0)))="INS",'Writing Logic'!$B$7,IF(INDEX(_xlfn.VSTACK(YES_Writing_ELA[#Data],YES_Writing_FLA[#Data]),MATCH($A90,_xlfn.VSTACK(YES_Writing_ELA[Student Number],YES_Writing_FLA[Student Number]),0),MATCH(VLOOKUP(F$7,'Writing Logic'!$J$7:$K$11,2,FALSE)&amp;" - Per "&amp;VLOOKUP($C$4,'Writing Logic'!$G$8:$H$14,2,FALSE),YES_Writing_ELA[#Headers],0))=0,"",INDEX(_xlfn.VSTACK(YES_Writing_ELA[#Data],YES_Writing_FLA[#Data]),MATCH($A90,_xlfn.VSTACK(YES_Writing_ELA[Student Number],YES_Writing_FLA[Student Number]),0),MATCH(VLOOKUP(F$7,'Writing Logic'!$J$7:$K$11,2,FALSE)&amp;" - Per "&amp;VLOOKUP($C$4,'Writing Logic'!$G$8:$H$14,2,FALSE),YES_Writing_ELA[#Headers],0)))),"")</f>
        <v/>
      </c>
      <c r="G90" s="138" t="str">
        <f>IFERROR(IF(IF(INDEX(_xlfn.VSTACK(YES_Writing_ELA[#Data],YES_Writing_FLA[#Data]),MATCH($A90,_xlfn.VSTACK(YES_Writing_ELA[Student Number],YES_Writing_FLA[Student Number]),0),MATCH(VLOOKUP(G$7,'Writing Logic'!$J$7:$K$11,2,FALSE)&amp;" - Per "&amp;VLOOKUP($C$4,'Writing Logic'!$G$8:$H$14,2,FALSE),YES_Writing_ELA[#Headers],0))=0,"",INDEX(_xlfn.VSTACK(YES_Writing_ELA[#Data],YES_Writing_FLA[#Data]),MATCH($A90,_xlfn.VSTACK(YES_Writing_ELA[Student Number],YES_Writing_FLA[Student Number]),0),MATCH(VLOOKUP(G$7,'Writing Logic'!$J$7:$K$11,2,FALSE)&amp;" - Per "&amp;VLOOKUP($C$4,'Writing Logic'!$G$8:$H$14,2,FALSE),YES_Writing_ELA[#Headers],0)))="INS",'Writing Logic'!$B$7,IF(INDEX(_xlfn.VSTACK(YES_Writing_ELA[#Data],YES_Writing_FLA[#Data]),MATCH($A90,_xlfn.VSTACK(YES_Writing_ELA[Student Number],YES_Writing_FLA[Student Number]),0),MATCH(VLOOKUP(G$7,'Writing Logic'!$J$7:$K$11,2,FALSE)&amp;" - Per "&amp;VLOOKUP($C$4,'Writing Logic'!$G$8:$H$14,2,FALSE),YES_Writing_ELA[#Headers],0))=0,"",INDEX(_xlfn.VSTACK(YES_Writing_ELA[#Data],YES_Writing_FLA[#Data]),MATCH($A90,_xlfn.VSTACK(YES_Writing_ELA[Student Number],YES_Writing_FLA[Student Number]),0),MATCH(VLOOKUP(G$7,'Writing Logic'!$J$7:$K$11,2,FALSE)&amp;" - Per "&amp;VLOOKUP($C$4,'Writing Logic'!$G$8:$H$14,2,FALSE),YES_Writing_ELA[#Headers],0)))),"")</f>
        <v/>
      </c>
      <c r="H90" s="223" t="str">
        <f>IFERROR(IF(IF(INDEX(_xlfn.VSTACK(YES_Writing_ELA[#Data],YES_Writing_FLA[#Data]),MATCH($A90,_xlfn.VSTACK(YES_Writing_ELA[Student Number],YES_Writing_FLA[Student Number]),0),MATCH(VLOOKUP(H$7,'Writing Logic'!$J$7:$K$11,2,FALSE)&amp;" - Per "&amp;VLOOKUP($C$4,'Writing Logic'!$G$8:$H$14,2,FALSE),YES_Writing_ELA[#Headers],0))=0,"",INDEX(_xlfn.VSTACK(YES_Writing_ELA[#Data],YES_Writing_FLA[#Data]),MATCH($A90,_xlfn.VSTACK(YES_Writing_ELA[Student Number],YES_Writing_FLA[Student Number]),0),MATCH(VLOOKUP(H$7,'Writing Logic'!$J$7:$K$11,2,FALSE)&amp;" - Per "&amp;VLOOKUP($C$4,'Writing Logic'!$G$8:$H$14,2,FALSE),YES_Writing_ELA[#Headers],0)))="INS",'Writing Logic'!$B$7,IF(INDEX(_xlfn.VSTACK(YES_Writing_ELA[#Data],YES_Writing_FLA[#Data]),MATCH($A90,_xlfn.VSTACK(YES_Writing_ELA[Student Number],YES_Writing_FLA[Student Number]),0),MATCH(VLOOKUP(H$7,'Writing Logic'!$J$7:$K$11,2,FALSE)&amp;" - Per "&amp;VLOOKUP($C$4,'Writing Logic'!$G$8:$H$14,2,FALSE),YES_Writing_ELA[#Headers],0))=0,"",INDEX(_xlfn.VSTACK(YES_Writing_ELA[#Data],YES_Writing_FLA[#Data]),MATCH($A90,_xlfn.VSTACK(YES_Writing_ELA[Student Number],YES_Writing_FLA[Student Number]),0),MATCH(VLOOKUP(H$7,'Writing Logic'!$J$7:$K$11,2,FALSE)&amp;" - Per "&amp;VLOOKUP($C$4,'Writing Logic'!$G$8:$H$14,2,FALSE),YES_Writing_ELA[#Headers],0)))),"")</f>
        <v/>
      </c>
      <c r="I90" s="224" t="str" cm="1">
        <f t="array" aca="1" ref="I90" ca="1">IFERROR(
IF($G$3="ELA",
IF(VLOOKUP($A90, YES_Reading_ELA[], COLUMN(INDIRECT("YES_Reading_ELA[Difference - Per "&amp;VLOOKUP($G$4, 'Reading Report Logic'!$A$2:$B$8, 2, FALSE)&amp;"]")), FALSE)="", "",
VLOOKUP($A90,YES_Reading_ELA[], COLUMN(INDIRECT("YES_Reading_ELA[Difference - Per "&amp;VLOOKUP($G$4,'Reading Report Logic'!$A$2:$B$8,2,FALSE)&amp;"]")), FALSE)),
IF($G$3="FLA",
IF(VLOOKUP($A90, YES_Reading_FLA[], COLUMN(INDIRECT("YES_Reading_FLA[Difference - Per "&amp;VLOOKUP($G$4,'Reading Report Logic'!$A$2:$B$8,2,FALSE)&amp;"]")),FALSE)="","",
VLOOKUP($A90,YES_Reading_FLA[],COLUMN(INDIRECT("YES_Reading_FLA[Difference - Per "&amp;VLOOKUP($G$4,'Reading Report Logic'!$A$2:$B$8,2,FALSE)&amp;"]")),FALSE)),
IF($G$3="Combined",
IFERROR(
IF(VLOOKUP($A90, YES_Reading_ELA[], COLUMN(INDIRECT("YES_Reading_ELA[Difference - Per "&amp;VLOOKUP($G$4, 'Reading Report Logic'!$A$2:$B$8,2,FALSE)&amp;"]")), FALSE)="", "",
VLOOKUP($A90,YES_Reading_ELA[],COLUMN(INDIRECT("YES_Reading_ELA[Difference - Per "&amp;VLOOKUP($G$4,'Reading Report Logic'!$A$2:$B$8,2,FALSE)&amp;"]")),FALSE)),
IF(VLOOKUP($A90, YES_Reading_FLA[], COLUMN(INDIRECT("YES_Reading_FLA[Difference - Per "&amp;VLOOKUP($G$4, 'Reading Report Logic'!$A$2:$B$8, 2, FALSE)&amp;"]")),FALSE)="", "", VLOOKUP($A90,YES_Reading_FLA[],COLUMN(INDIRECT("YES_Reading_FLA[Difference - Per "&amp;VLOOKUP($G$4, 'Reading Report Logic'!$A$2:$B$8, 2, FALSE)&amp;"]")),FALSE))),""))),"")</f>
        <v/>
      </c>
    </row>
    <row r="91" spans="1:9" ht="14.25" customHeight="1" x14ac:dyDescent="0.25">
      <c r="A91" s="137"/>
      <c r="B91" s="137" t="str">
        <f>IFERROR(INDEX(_xlfn.VSTACK(YES_Writing_ELA[#Data], YES_Writing_FLA[#Data]),MATCH($A91,_xlfn.VSTACK(YES_Writing_ELA[Student Number], YES_Writing_FLA[Student Number]),0),MATCH(B$7,YES_Writing_ELA[#Headers],0)),IFERROR(INDEX(_xlfn.VSTACK(YES_Reading_ELA[#Data], YES_Reading_FLA[#Data]),MATCH($A91,_xlfn.VSTACK(YES_Reading_ELA[Student Number], YES_Reading_FLA[Student Number]),0),MATCH(B$7,YES_Reading_ELA[#Headers],0)),""))</f>
        <v/>
      </c>
      <c r="C91" s="137" t="str">
        <f>IFERROR(INDEX(_xlfn.VSTACK(YES_Writing_ELA[#Data], YES_Writing_FLA[#Data]),MATCH($A91,_xlfn.VSTACK(YES_Writing_ELA[Student Number], YES_Writing_FLA[Student Number]),0),MATCH(C$7,YES_Writing_ELA[#Headers],0)),IFERROR(INDEX(_xlfn.VSTACK(YES_Reading_ELA[#Data], YES_Reading_FLA[#Data]),MATCH($A91,_xlfn.VSTACK(YES_Reading_ELA[Student Number], YES_Reading_FLA[Student Number]),0),MATCH(C$7,YES_Reading_ELA[#Headers],0)),""))</f>
        <v/>
      </c>
      <c r="D91" s="138" t="str">
        <f>IFERROR(IF(IF(INDEX(_xlfn.VSTACK(YES_Writing_ELA[#Data],YES_Writing_FLA[#Data]),MATCH($A91,_xlfn.VSTACK(YES_Writing_ELA[Student Number],YES_Writing_FLA[Student Number]),0),MATCH(VLOOKUP(D$7,'Writing Logic'!$J$7:$K$11,2,FALSE)&amp;" - Per "&amp;VLOOKUP($C$4,'Writing Logic'!$G$8:$H$14,2,FALSE),YES_Writing_ELA[#Headers],0))=0,"",INDEX(_xlfn.VSTACK(YES_Writing_ELA[#Data],YES_Writing_FLA[#Data]),MATCH($A91,_xlfn.VSTACK(YES_Writing_ELA[Student Number],YES_Writing_FLA[Student Number]),0),MATCH(VLOOKUP(D$7,'Writing Logic'!$J$7:$K$11,2,FALSE)&amp;" - Per "&amp;VLOOKUP($C$4,'Writing Logic'!$G$8:$H$14,2,FALSE),YES_Writing_ELA[#Headers],0)))="INS",'Writing Logic'!$B$7,IF(INDEX(_xlfn.VSTACK(YES_Writing_ELA[#Data],YES_Writing_FLA[#Data]),MATCH($A91,_xlfn.VSTACK(YES_Writing_ELA[Student Number],YES_Writing_FLA[Student Number]),0),MATCH(VLOOKUP(D$7,'Writing Logic'!$J$7:$K$11,2,FALSE)&amp;" - Per "&amp;VLOOKUP($C$4,'Writing Logic'!$G$8:$H$14,2,FALSE),YES_Writing_ELA[#Headers],0))=0,"",INDEX(_xlfn.VSTACK(YES_Writing_ELA[#Data],YES_Writing_FLA[#Data]),MATCH($A91,_xlfn.VSTACK(YES_Writing_ELA[Student Number],YES_Writing_FLA[Student Number]),0),MATCH(VLOOKUP(D$7,'Writing Logic'!$J$7:$K$11,2,FALSE)&amp;" - Per "&amp;VLOOKUP($C$4,'Writing Logic'!$G$8:$H$14,2,FALSE),YES_Writing_ELA[#Headers],0)))),"")</f>
        <v/>
      </c>
      <c r="E91" s="138" t="str">
        <f>IFERROR(IF(IF(INDEX(_xlfn.VSTACK(YES_Writing_ELA[#Data],YES_Writing_FLA[#Data]),MATCH($A91,_xlfn.VSTACK(YES_Writing_ELA[Student Number],YES_Writing_FLA[Student Number]),0),MATCH(VLOOKUP(E$7,'Writing Logic'!$J$7:$K$11,2,FALSE)&amp;" - Per "&amp;VLOOKUP($C$4,'Writing Logic'!$G$8:$H$14,2,FALSE),YES_Writing_ELA[#Headers],0))=0,"",INDEX(_xlfn.VSTACK(YES_Writing_ELA[#Data],YES_Writing_FLA[#Data]),MATCH($A91,_xlfn.VSTACK(YES_Writing_ELA[Student Number],YES_Writing_FLA[Student Number]),0),MATCH(VLOOKUP(E$7,'Writing Logic'!$J$7:$K$11,2,FALSE)&amp;" - Per "&amp;VLOOKUP($C$4,'Writing Logic'!$G$8:$H$14,2,FALSE),YES_Writing_ELA[#Headers],0)))="INS",'Writing Logic'!$B$7,IF(INDEX(_xlfn.VSTACK(YES_Writing_ELA[#Data],YES_Writing_FLA[#Data]),MATCH($A91,_xlfn.VSTACK(YES_Writing_ELA[Student Number],YES_Writing_FLA[Student Number]),0),MATCH(VLOOKUP(E$7,'Writing Logic'!$J$7:$K$11,2,FALSE)&amp;" - Per "&amp;VLOOKUP($C$4,'Writing Logic'!$G$8:$H$14,2,FALSE),YES_Writing_ELA[#Headers],0))=0,"",INDEX(_xlfn.VSTACK(YES_Writing_ELA[#Data],YES_Writing_FLA[#Data]),MATCH($A91,_xlfn.VSTACK(YES_Writing_ELA[Student Number],YES_Writing_FLA[Student Number]),0),MATCH(VLOOKUP(E$7,'Writing Logic'!$J$7:$K$11,2,FALSE)&amp;" - Per "&amp;VLOOKUP($C$4,'Writing Logic'!$G$8:$H$14,2,FALSE),YES_Writing_ELA[#Headers],0)))),"")</f>
        <v/>
      </c>
      <c r="F91" s="138" t="str">
        <f>IFERROR(IF(IF(INDEX(_xlfn.VSTACK(YES_Writing_ELA[#Data],YES_Writing_FLA[#Data]),MATCH($A91,_xlfn.VSTACK(YES_Writing_ELA[Student Number],YES_Writing_FLA[Student Number]),0),MATCH(VLOOKUP(F$7,'Writing Logic'!$J$7:$K$11,2,FALSE)&amp;" - Per "&amp;VLOOKUP($C$4,'Writing Logic'!$G$8:$H$14,2,FALSE),YES_Writing_ELA[#Headers],0))=0,"",INDEX(_xlfn.VSTACK(YES_Writing_ELA[#Data],YES_Writing_FLA[#Data]),MATCH($A91,_xlfn.VSTACK(YES_Writing_ELA[Student Number],YES_Writing_FLA[Student Number]),0),MATCH(VLOOKUP(F$7,'Writing Logic'!$J$7:$K$11,2,FALSE)&amp;" - Per "&amp;VLOOKUP($C$4,'Writing Logic'!$G$8:$H$14,2,FALSE),YES_Writing_ELA[#Headers],0)))="INS",'Writing Logic'!$B$7,IF(INDEX(_xlfn.VSTACK(YES_Writing_ELA[#Data],YES_Writing_FLA[#Data]),MATCH($A91,_xlfn.VSTACK(YES_Writing_ELA[Student Number],YES_Writing_FLA[Student Number]),0),MATCH(VLOOKUP(F$7,'Writing Logic'!$J$7:$K$11,2,FALSE)&amp;" - Per "&amp;VLOOKUP($C$4,'Writing Logic'!$G$8:$H$14,2,FALSE),YES_Writing_ELA[#Headers],0))=0,"",INDEX(_xlfn.VSTACK(YES_Writing_ELA[#Data],YES_Writing_FLA[#Data]),MATCH($A91,_xlfn.VSTACK(YES_Writing_ELA[Student Number],YES_Writing_FLA[Student Number]),0),MATCH(VLOOKUP(F$7,'Writing Logic'!$J$7:$K$11,2,FALSE)&amp;" - Per "&amp;VLOOKUP($C$4,'Writing Logic'!$G$8:$H$14,2,FALSE),YES_Writing_ELA[#Headers],0)))),"")</f>
        <v/>
      </c>
      <c r="G91" s="138" t="str">
        <f>IFERROR(IF(IF(INDEX(_xlfn.VSTACK(YES_Writing_ELA[#Data],YES_Writing_FLA[#Data]),MATCH($A91,_xlfn.VSTACK(YES_Writing_ELA[Student Number],YES_Writing_FLA[Student Number]),0),MATCH(VLOOKUP(G$7,'Writing Logic'!$J$7:$K$11,2,FALSE)&amp;" - Per "&amp;VLOOKUP($C$4,'Writing Logic'!$G$8:$H$14,2,FALSE),YES_Writing_ELA[#Headers],0))=0,"",INDEX(_xlfn.VSTACK(YES_Writing_ELA[#Data],YES_Writing_FLA[#Data]),MATCH($A91,_xlfn.VSTACK(YES_Writing_ELA[Student Number],YES_Writing_FLA[Student Number]),0),MATCH(VLOOKUP(G$7,'Writing Logic'!$J$7:$K$11,2,FALSE)&amp;" - Per "&amp;VLOOKUP($C$4,'Writing Logic'!$G$8:$H$14,2,FALSE),YES_Writing_ELA[#Headers],0)))="INS",'Writing Logic'!$B$7,IF(INDEX(_xlfn.VSTACK(YES_Writing_ELA[#Data],YES_Writing_FLA[#Data]),MATCH($A91,_xlfn.VSTACK(YES_Writing_ELA[Student Number],YES_Writing_FLA[Student Number]),0),MATCH(VLOOKUP(G$7,'Writing Logic'!$J$7:$K$11,2,FALSE)&amp;" - Per "&amp;VLOOKUP($C$4,'Writing Logic'!$G$8:$H$14,2,FALSE),YES_Writing_ELA[#Headers],0))=0,"",INDEX(_xlfn.VSTACK(YES_Writing_ELA[#Data],YES_Writing_FLA[#Data]),MATCH($A91,_xlfn.VSTACK(YES_Writing_ELA[Student Number],YES_Writing_FLA[Student Number]),0),MATCH(VLOOKUP(G$7,'Writing Logic'!$J$7:$K$11,2,FALSE)&amp;" - Per "&amp;VLOOKUP($C$4,'Writing Logic'!$G$8:$H$14,2,FALSE),YES_Writing_ELA[#Headers],0)))),"")</f>
        <v/>
      </c>
      <c r="H91" s="223" t="str">
        <f>IFERROR(IF(IF(INDEX(_xlfn.VSTACK(YES_Writing_ELA[#Data],YES_Writing_FLA[#Data]),MATCH($A91,_xlfn.VSTACK(YES_Writing_ELA[Student Number],YES_Writing_FLA[Student Number]),0),MATCH(VLOOKUP(H$7,'Writing Logic'!$J$7:$K$11,2,FALSE)&amp;" - Per "&amp;VLOOKUP($C$4,'Writing Logic'!$G$8:$H$14,2,FALSE),YES_Writing_ELA[#Headers],0))=0,"",INDEX(_xlfn.VSTACK(YES_Writing_ELA[#Data],YES_Writing_FLA[#Data]),MATCH($A91,_xlfn.VSTACK(YES_Writing_ELA[Student Number],YES_Writing_FLA[Student Number]),0),MATCH(VLOOKUP(H$7,'Writing Logic'!$J$7:$K$11,2,FALSE)&amp;" - Per "&amp;VLOOKUP($C$4,'Writing Logic'!$G$8:$H$14,2,FALSE),YES_Writing_ELA[#Headers],0)))="INS",'Writing Logic'!$B$7,IF(INDEX(_xlfn.VSTACK(YES_Writing_ELA[#Data],YES_Writing_FLA[#Data]),MATCH($A91,_xlfn.VSTACK(YES_Writing_ELA[Student Number],YES_Writing_FLA[Student Number]),0),MATCH(VLOOKUP(H$7,'Writing Logic'!$J$7:$K$11,2,FALSE)&amp;" - Per "&amp;VLOOKUP($C$4,'Writing Logic'!$G$8:$H$14,2,FALSE),YES_Writing_ELA[#Headers],0))=0,"",INDEX(_xlfn.VSTACK(YES_Writing_ELA[#Data],YES_Writing_FLA[#Data]),MATCH($A91,_xlfn.VSTACK(YES_Writing_ELA[Student Number],YES_Writing_FLA[Student Number]),0),MATCH(VLOOKUP(H$7,'Writing Logic'!$J$7:$K$11,2,FALSE)&amp;" - Per "&amp;VLOOKUP($C$4,'Writing Logic'!$G$8:$H$14,2,FALSE),YES_Writing_ELA[#Headers],0)))),"")</f>
        <v/>
      </c>
      <c r="I91" s="224" t="str" cm="1">
        <f t="array" aca="1" ref="I91" ca="1">IFERROR(
IF($G$3="ELA",
IF(VLOOKUP($A91, YES_Reading_ELA[], COLUMN(INDIRECT("YES_Reading_ELA[Difference - Per "&amp;VLOOKUP($G$4, 'Reading Report Logic'!$A$2:$B$8, 2, FALSE)&amp;"]")), FALSE)="", "",
VLOOKUP($A91,YES_Reading_ELA[], COLUMN(INDIRECT("YES_Reading_ELA[Difference - Per "&amp;VLOOKUP($G$4,'Reading Report Logic'!$A$2:$B$8,2,FALSE)&amp;"]")), FALSE)),
IF($G$3="FLA",
IF(VLOOKUP($A91, YES_Reading_FLA[], COLUMN(INDIRECT("YES_Reading_FLA[Difference - Per "&amp;VLOOKUP($G$4,'Reading Report Logic'!$A$2:$B$8,2,FALSE)&amp;"]")),FALSE)="","",
VLOOKUP($A91,YES_Reading_FLA[],COLUMN(INDIRECT("YES_Reading_FLA[Difference - Per "&amp;VLOOKUP($G$4,'Reading Report Logic'!$A$2:$B$8,2,FALSE)&amp;"]")),FALSE)),
IF($G$3="Combined",
IFERROR(
IF(VLOOKUP($A91, YES_Reading_ELA[], COLUMN(INDIRECT("YES_Reading_ELA[Difference - Per "&amp;VLOOKUP($G$4, 'Reading Report Logic'!$A$2:$B$8,2,FALSE)&amp;"]")), FALSE)="", "",
VLOOKUP($A91,YES_Reading_ELA[],COLUMN(INDIRECT("YES_Reading_ELA[Difference - Per "&amp;VLOOKUP($G$4,'Reading Report Logic'!$A$2:$B$8,2,FALSE)&amp;"]")),FALSE)),
IF(VLOOKUP($A91, YES_Reading_FLA[], COLUMN(INDIRECT("YES_Reading_FLA[Difference - Per "&amp;VLOOKUP($G$4, 'Reading Report Logic'!$A$2:$B$8, 2, FALSE)&amp;"]")),FALSE)="", "", VLOOKUP($A91,YES_Reading_FLA[],COLUMN(INDIRECT("YES_Reading_FLA[Difference - Per "&amp;VLOOKUP($G$4, 'Reading Report Logic'!$A$2:$B$8, 2, FALSE)&amp;"]")),FALSE))),""))),"")</f>
        <v/>
      </c>
    </row>
    <row r="92" spans="1:9" ht="14.25" customHeight="1" x14ac:dyDescent="0.25">
      <c r="A92" s="137"/>
      <c r="B92" s="137" t="str">
        <f>IFERROR(INDEX(_xlfn.VSTACK(YES_Writing_ELA[#Data], YES_Writing_FLA[#Data]),MATCH($A92,_xlfn.VSTACK(YES_Writing_ELA[Student Number], YES_Writing_FLA[Student Number]),0),MATCH(B$7,YES_Writing_ELA[#Headers],0)),IFERROR(INDEX(_xlfn.VSTACK(YES_Reading_ELA[#Data], YES_Reading_FLA[#Data]),MATCH($A92,_xlfn.VSTACK(YES_Reading_ELA[Student Number], YES_Reading_FLA[Student Number]),0),MATCH(B$7,YES_Reading_ELA[#Headers],0)),""))</f>
        <v/>
      </c>
      <c r="C92" s="137" t="str">
        <f>IFERROR(INDEX(_xlfn.VSTACK(YES_Writing_ELA[#Data], YES_Writing_FLA[#Data]),MATCH($A92,_xlfn.VSTACK(YES_Writing_ELA[Student Number], YES_Writing_FLA[Student Number]),0),MATCH(C$7,YES_Writing_ELA[#Headers],0)),IFERROR(INDEX(_xlfn.VSTACK(YES_Reading_ELA[#Data], YES_Reading_FLA[#Data]),MATCH($A92,_xlfn.VSTACK(YES_Reading_ELA[Student Number], YES_Reading_FLA[Student Number]),0),MATCH(C$7,YES_Reading_ELA[#Headers],0)),""))</f>
        <v/>
      </c>
      <c r="D92" s="138" t="str">
        <f>IFERROR(IF(IF(INDEX(_xlfn.VSTACK(YES_Writing_ELA[#Data],YES_Writing_FLA[#Data]),MATCH($A92,_xlfn.VSTACK(YES_Writing_ELA[Student Number],YES_Writing_FLA[Student Number]),0),MATCH(VLOOKUP(D$7,'Writing Logic'!$J$7:$K$11,2,FALSE)&amp;" - Per "&amp;VLOOKUP($C$4,'Writing Logic'!$G$8:$H$14,2,FALSE),YES_Writing_ELA[#Headers],0))=0,"",INDEX(_xlfn.VSTACK(YES_Writing_ELA[#Data],YES_Writing_FLA[#Data]),MATCH($A92,_xlfn.VSTACK(YES_Writing_ELA[Student Number],YES_Writing_FLA[Student Number]),0),MATCH(VLOOKUP(D$7,'Writing Logic'!$J$7:$K$11,2,FALSE)&amp;" - Per "&amp;VLOOKUP($C$4,'Writing Logic'!$G$8:$H$14,2,FALSE),YES_Writing_ELA[#Headers],0)))="INS",'Writing Logic'!$B$7,IF(INDEX(_xlfn.VSTACK(YES_Writing_ELA[#Data],YES_Writing_FLA[#Data]),MATCH($A92,_xlfn.VSTACK(YES_Writing_ELA[Student Number],YES_Writing_FLA[Student Number]),0),MATCH(VLOOKUP(D$7,'Writing Logic'!$J$7:$K$11,2,FALSE)&amp;" - Per "&amp;VLOOKUP($C$4,'Writing Logic'!$G$8:$H$14,2,FALSE),YES_Writing_ELA[#Headers],0))=0,"",INDEX(_xlfn.VSTACK(YES_Writing_ELA[#Data],YES_Writing_FLA[#Data]),MATCH($A92,_xlfn.VSTACK(YES_Writing_ELA[Student Number],YES_Writing_FLA[Student Number]),0),MATCH(VLOOKUP(D$7,'Writing Logic'!$J$7:$K$11,2,FALSE)&amp;" - Per "&amp;VLOOKUP($C$4,'Writing Logic'!$G$8:$H$14,2,FALSE),YES_Writing_ELA[#Headers],0)))),"")</f>
        <v/>
      </c>
      <c r="E92" s="138" t="str">
        <f>IFERROR(IF(IF(INDEX(_xlfn.VSTACK(YES_Writing_ELA[#Data],YES_Writing_FLA[#Data]),MATCH($A92,_xlfn.VSTACK(YES_Writing_ELA[Student Number],YES_Writing_FLA[Student Number]),0),MATCH(VLOOKUP(E$7,'Writing Logic'!$J$7:$K$11,2,FALSE)&amp;" - Per "&amp;VLOOKUP($C$4,'Writing Logic'!$G$8:$H$14,2,FALSE),YES_Writing_ELA[#Headers],0))=0,"",INDEX(_xlfn.VSTACK(YES_Writing_ELA[#Data],YES_Writing_FLA[#Data]),MATCH($A92,_xlfn.VSTACK(YES_Writing_ELA[Student Number],YES_Writing_FLA[Student Number]),0),MATCH(VLOOKUP(E$7,'Writing Logic'!$J$7:$K$11,2,FALSE)&amp;" - Per "&amp;VLOOKUP($C$4,'Writing Logic'!$G$8:$H$14,2,FALSE),YES_Writing_ELA[#Headers],0)))="INS",'Writing Logic'!$B$7,IF(INDEX(_xlfn.VSTACK(YES_Writing_ELA[#Data],YES_Writing_FLA[#Data]),MATCH($A92,_xlfn.VSTACK(YES_Writing_ELA[Student Number],YES_Writing_FLA[Student Number]),0),MATCH(VLOOKUP(E$7,'Writing Logic'!$J$7:$K$11,2,FALSE)&amp;" - Per "&amp;VLOOKUP($C$4,'Writing Logic'!$G$8:$H$14,2,FALSE),YES_Writing_ELA[#Headers],0))=0,"",INDEX(_xlfn.VSTACK(YES_Writing_ELA[#Data],YES_Writing_FLA[#Data]),MATCH($A92,_xlfn.VSTACK(YES_Writing_ELA[Student Number],YES_Writing_FLA[Student Number]),0),MATCH(VLOOKUP(E$7,'Writing Logic'!$J$7:$K$11,2,FALSE)&amp;" - Per "&amp;VLOOKUP($C$4,'Writing Logic'!$G$8:$H$14,2,FALSE),YES_Writing_ELA[#Headers],0)))),"")</f>
        <v/>
      </c>
      <c r="F92" s="138" t="str">
        <f>IFERROR(IF(IF(INDEX(_xlfn.VSTACK(YES_Writing_ELA[#Data],YES_Writing_FLA[#Data]),MATCH($A92,_xlfn.VSTACK(YES_Writing_ELA[Student Number],YES_Writing_FLA[Student Number]),0),MATCH(VLOOKUP(F$7,'Writing Logic'!$J$7:$K$11,2,FALSE)&amp;" - Per "&amp;VLOOKUP($C$4,'Writing Logic'!$G$8:$H$14,2,FALSE),YES_Writing_ELA[#Headers],0))=0,"",INDEX(_xlfn.VSTACK(YES_Writing_ELA[#Data],YES_Writing_FLA[#Data]),MATCH($A92,_xlfn.VSTACK(YES_Writing_ELA[Student Number],YES_Writing_FLA[Student Number]),0),MATCH(VLOOKUP(F$7,'Writing Logic'!$J$7:$K$11,2,FALSE)&amp;" - Per "&amp;VLOOKUP($C$4,'Writing Logic'!$G$8:$H$14,2,FALSE),YES_Writing_ELA[#Headers],0)))="INS",'Writing Logic'!$B$7,IF(INDEX(_xlfn.VSTACK(YES_Writing_ELA[#Data],YES_Writing_FLA[#Data]),MATCH($A92,_xlfn.VSTACK(YES_Writing_ELA[Student Number],YES_Writing_FLA[Student Number]),0),MATCH(VLOOKUP(F$7,'Writing Logic'!$J$7:$K$11,2,FALSE)&amp;" - Per "&amp;VLOOKUP($C$4,'Writing Logic'!$G$8:$H$14,2,FALSE),YES_Writing_ELA[#Headers],0))=0,"",INDEX(_xlfn.VSTACK(YES_Writing_ELA[#Data],YES_Writing_FLA[#Data]),MATCH($A92,_xlfn.VSTACK(YES_Writing_ELA[Student Number],YES_Writing_FLA[Student Number]),0),MATCH(VLOOKUP(F$7,'Writing Logic'!$J$7:$K$11,2,FALSE)&amp;" - Per "&amp;VLOOKUP($C$4,'Writing Logic'!$G$8:$H$14,2,FALSE),YES_Writing_ELA[#Headers],0)))),"")</f>
        <v/>
      </c>
      <c r="G92" s="138" t="str">
        <f>IFERROR(IF(IF(INDEX(_xlfn.VSTACK(YES_Writing_ELA[#Data],YES_Writing_FLA[#Data]),MATCH($A92,_xlfn.VSTACK(YES_Writing_ELA[Student Number],YES_Writing_FLA[Student Number]),0),MATCH(VLOOKUP(G$7,'Writing Logic'!$J$7:$K$11,2,FALSE)&amp;" - Per "&amp;VLOOKUP($C$4,'Writing Logic'!$G$8:$H$14,2,FALSE),YES_Writing_ELA[#Headers],0))=0,"",INDEX(_xlfn.VSTACK(YES_Writing_ELA[#Data],YES_Writing_FLA[#Data]),MATCH($A92,_xlfn.VSTACK(YES_Writing_ELA[Student Number],YES_Writing_FLA[Student Number]),0),MATCH(VLOOKUP(G$7,'Writing Logic'!$J$7:$K$11,2,FALSE)&amp;" - Per "&amp;VLOOKUP($C$4,'Writing Logic'!$G$8:$H$14,2,FALSE),YES_Writing_ELA[#Headers],0)))="INS",'Writing Logic'!$B$7,IF(INDEX(_xlfn.VSTACK(YES_Writing_ELA[#Data],YES_Writing_FLA[#Data]),MATCH($A92,_xlfn.VSTACK(YES_Writing_ELA[Student Number],YES_Writing_FLA[Student Number]),0),MATCH(VLOOKUP(G$7,'Writing Logic'!$J$7:$K$11,2,FALSE)&amp;" - Per "&amp;VLOOKUP($C$4,'Writing Logic'!$G$8:$H$14,2,FALSE),YES_Writing_ELA[#Headers],0))=0,"",INDEX(_xlfn.VSTACK(YES_Writing_ELA[#Data],YES_Writing_FLA[#Data]),MATCH($A92,_xlfn.VSTACK(YES_Writing_ELA[Student Number],YES_Writing_FLA[Student Number]),0),MATCH(VLOOKUP(G$7,'Writing Logic'!$J$7:$K$11,2,FALSE)&amp;" - Per "&amp;VLOOKUP($C$4,'Writing Logic'!$G$8:$H$14,2,FALSE),YES_Writing_ELA[#Headers],0)))),"")</f>
        <v/>
      </c>
      <c r="H92" s="223" t="str">
        <f>IFERROR(IF(IF(INDEX(_xlfn.VSTACK(YES_Writing_ELA[#Data],YES_Writing_FLA[#Data]),MATCH($A92,_xlfn.VSTACK(YES_Writing_ELA[Student Number],YES_Writing_FLA[Student Number]),0),MATCH(VLOOKUP(H$7,'Writing Logic'!$J$7:$K$11,2,FALSE)&amp;" - Per "&amp;VLOOKUP($C$4,'Writing Logic'!$G$8:$H$14,2,FALSE),YES_Writing_ELA[#Headers],0))=0,"",INDEX(_xlfn.VSTACK(YES_Writing_ELA[#Data],YES_Writing_FLA[#Data]),MATCH($A92,_xlfn.VSTACK(YES_Writing_ELA[Student Number],YES_Writing_FLA[Student Number]),0),MATCH(VLOOKUP(H$7,'Writing Logic'!$J$7:$K$11,2,FALSE)&amp;" - Per "&amp;VLOOKUP($C$4,'Writing Logic'!$G$8:$H$14,2,FALSE),YES_Writing_ELA[#Headers],0)))="INS",'Writing Logic'!$B$7,IF(INDEX(_xlfn.VSTACK(YES_Writing_ELA[#Data],YES_Writing_FLA[#Data]),MATCH($A92,_xlfn.VSTACK(YES_Writing_ELA[Student Number],YES_Writing_FLA[Student Number]),0),MATCH(VLOOKUP(H$7,'Writing Logic'!$J$7:$K$11,2,FALSE)&amp;" - Per "&amp;VLOOKUP($C$4,'Writing Logic'!$G$8:$H$14,2,FALSE),YES_Writing_ELA[#Headers],0))=0,"",INDEX(_xlfn.VSTACK(YES_Writing_ELA[#Data],YES_Writing_FLA[#Data]),MATCH($A92,_xlfn.VSTACK(YES_Writing_ELA[Student Number],YES_Writing_FLA[Student Number]),0),MATCH(VLOOKUP(H$7,'Writing Logic'!$J$7:$K$11,2,FALSE)&amp;" - Per "&amp;VLOOKUP($C$4,'Writing Logic'!$G$8:$H$14,2,FALSE),YES_Writing_ELA[#Headers],0)))),"")</f>
        <v/>
      </c>
      <c r="I92" s="224" t="str" cm="1">
        <f t="array" aca="1" ref="I92" ca="1">IFERROR(
IF($G$3="ELA",
IF(VLOOKUP($A92, YES_Reading_ELA[], COLUMN(INDIRECT("YES_Reading_ELA[Difference - Per "&amp;VLOOKUP($G$4, 'Reading Report Logic'!$A$2:$B$8, 2, FALSE)&amp;"]")), FALSE)="", "",
VLOOKUP($A92,YES_Reading_ELA[], COLUMN(INDIRECT("YES_Reading_ELA[Difference - Per "&amp;VLOOKUP($G$4,'Reading Report Logic'!$A$2:$B$8,2,FALSE)&amp;"]")), FALSE)),
IF($G$3="FLA",
IF(VLOOKUP($A92, YES_Reading_FLA[], COLUMN(INDIRECT("YES_Reading_FLA[Difference - Per "&amp;VLOOKUP($G$4,'Reading Report Logic'!$A$2:$B$8,2,FALSE)&amp;"]")),FALSE)="","",
VLOOKUP($A92,YES_Reading_FLA[],COLUMN(INDIRECT("YES_Reading_FLA[Difference - Per "&amp;VLOOKUP($G$4,'Reading Report Logic'!$A$2:$B$8,2,FALSE)&amp;"]")),FALSE)),
IF($G$3="Combined",
IFERROR(
IF(VLOOKUP($A92, YES_Reading_ELA[], COLUMN(INDIRECT("YES_Reading_ELA[Difference - Per "&amp;VLOOKUP($G$4, 'Reading Report Logic'!$A$2:$B$8,2,FALSE)&amp;"]")), FALSE)="", "",
VLOOKUP($A92,YES_Reading_ELA[],COLUMN(INDIRECT("YES_Reading_ELA[Difference - Per "&amp;VLOOKUP($G$4,'Reading Report Logic'!$A$2:$B$8,2,FALSE)&amp;"]")),FALSE)),
IF(VLOOKUP($A92, YES_Reading_FLA[], COLUMN(INDIRECT("YES_Reading_FLA[Difference - Per "&amp;VLOOKUP($G$4, 'Reading Report Logic'!$A$2:$B$8, 2, FALSE)&amp;"]")),FALSE)="", "", VLOOKUP($A92,YES_Reading_FLA[],COLUMN(INDIRECT("YES_Reading_FLA[Difference - Per "&amp;VLOOKUP($G$4, 'Reading Report Logic'!$A$2:$B$8, 2, FALSE)&amp;"]")),FALSE))),""))),"")</f>
        <v/>
      </c>
    </row>
    <row r="93" spans="1:9" ht="14.25" customHeight="1" x14ac:dyDescent="0.25">
      <c r="A93" s="137"/>
      <c r="B93" s="137" t="str">
        <f>IFERROR(INDEX(_xlfn.VSTACK(YES_Writing_ELA[#Data], YES_Writing_FLA[#Data]),MATCH($A93,_xlfn.VSTACK(YES_Writing_ELA[Student Number], YES_Writing_FLA[Student Number]),0),MATCH(B$7,YES_Writing_ELA[#Headers],0)),IFERROR(INDEX(_xlfn.VSTACK(YES_Reading_ELA[#Data], YES_Reading_FLA[#Data]),MATCH($A93,_xlfn.VSTACK(YES_Reading_ELA[Student Number], YES_Reading_FLA[Student Number]),0),MATCH(B$7,YES_Reading_ELA[#Headers],0)),""))</f>
        <v/>
      </c>
      <c r="C93" s="137" t="str">
        <f>IFERROR(INDEX(_xlfn.VSTACK(YES_Writing_ELA[#Data], YES_Writing_FLA[#Data]),MATCH($A93,_xlfn.VSTACK(YES_Writing_ELA[Student Number], YES_Writing_FLA[Student Number]),0),MATCH(C$7,YES_Writing_ELA[#Headers],0)),IFERROR(INDEX(_xlfn.VSTACK(YES_Reading_ELA[#Data], YES_Reading_FLA[#Data]),MATCH($A93,_xlfn.VSTACK(YES_Reading_ELA[Student Number], YES_Reading_FLA[Student Number]),0),MATCH(C$7,YES_Reading_ELA[#Headers],0)),""))</f>
        <v/>
      </c>
      <c r="D93" s="138" t="str">
        <f>IFERROR(IF(IF(INDEX(_xlfn.VSTACK(YES_Writing_ELA[#Data],YES_Writing_FLA[#Data]),MATCH($A93,_xlfn.VSTACK(YES_Writing_ELA[Student Number],YES_Writing_FLA[Student Number]),0),MATCH(VLOOKUP(D$7,'Writing Logic'!$J$7:$K$11,2,FALSE)&amp;" - Per "&amp;VLOOKUP($C$4,'Writing Logic'!$G$8:$H$14,2,FALSE),YES_Writing_ELA[#Headers],0))=0,"",INDEX(_xlfn.VSTACK(YES_Writing_ELA[#Data],YES_Writing_FLA[#Data]),MATCH($A93,_xlfn.VSTACK(YES_Writing_ELA[Student Number],YES_Writing_FLA[Student Number]),0),MATCH(VLOOKUP(D$7,'Writing Logic'!$J$7:$K$11,2,FALSE)&amp;" - Per "&amp;VLOOKUP($C$4,'Writing Logic'!$G$8:$H$14,2,FALSE),YES_Writing_ELA[#Headers],0)))="INS",'Writing Logic'!$B$7,IF(INDEX(_xlfn.VSTACK(YES_Writing_ELA[#Data],YES_Writing_FLA[#Data]),MATCH($A93,_xlfn.VSTACK(YES_Writing_ELA[Student Number],YES_Writing_FLA[Student Number]),0),MATCH(VLOOKUP(D$7,'Writing Logic'!$J$7:$K$11,2,FALSE)&amp;" - Per "&amp;VLOOKUP($C$4,'Writing Logic'!$G$8:$H$14,2,FALSE),YES_Writing_ELA[#Headers],0))=0,"",INDEX(_xlfn.VSTACK(YES_Writing_ELA[#Data],YES_Writing_FLA[#Data]),MATCH($A93,_xlfn.VSTACK(YES_Writing_ELA[Student Number],YES_Writing_FLA[Student Number]),0),MATCH(VLOOKUP(D$7,'Writing Logic'!$J$7:$K$11,2,FALSE)&amp;" - Per "&amp;VLOOKUP($C$4,'Writing Logic'!$G$8:$H$14,2,FALSE),YES_Writing_ELA[#Headers],0)))),"")</f>
        <v/>
      </c>
      <c r="E93" s="138" t="str">
        <f>IFERROR(IF(IF(INDEX(_xlfn.VSTACK(YES_Writing_ELA[#Data],YES_Writing_FLA[#Data]),MATCH($A93,_xlfn.VSTACK(YES_Writing_ELA[Student Number],YES_Writing_FLA[Student Number]),0),MATCH(VLOOKUP(E$7,'Writing Logic'!$J$7:$K$11,2,FALSE)&amp;" - Per "&amp;VLOOKUP($C$4,'Writing Logic'!$G$8:$H$14,2,FALSE),YES_Writing_ELA[#Headers],0))=0,"",INDEX(_xlfn.VSTACK(YES_Writing_ELA[#Data],YES_Writing_FLA[#Data]),MATCH($A93,_xlfn.VSTACK(YES_Writing_ELA[Student Number],YES_Writing_FLA[Student Number]),0),MATCH(VLOOKUP(E$7,'Writing Logic'!$J$7:$K$11,2,FALSE)&amp;" - Per "&amp;VLOOKUP($C$4,'Writing Logic'!$G$8:$H$14,2,FALSE),YES_Writing_ELA[#Headers],0)))="INS",'Writing Logic'!$B$7,IF(INDEX(_xlfn.VSTACK(YES_Writing_ELA[#Data],YES_Writing_FLA[#Data]),MATCH($A93,_xlfn.VSTACK(YES_Writing_ELA[Student Number],YES_Writing_FLA[Student Number]),0),MATCH(VLOOKUP(E$7,'Writing Logic'!$J$7:$K$11,2,FALSE)&amp;" - Per "&amp;VLOOKUP($C$4,'Writing Logic'!$G$8:$H$14,2,FALSE),YES_Writing_ELA[#Headers],0))=0,"",INDEX(_xlfn.VSTACK(YES_Writing_ELA[#Data],YES_Writing_FLA[#Data]),MATCH($A93,_xlfn.VSTACK(YES_Writing_ELA[Student Number],YES_Writing_FLA[Student Number]),0),MATCH(VLOOKUP(E$7,'Writing Logic'!$J$7:$K$11,2,FALSE)&amp;" - Per "&amp;VLOOKUP($C$4,'Writing Logic'!$G$8:$H$14,2,FALSE),YES_Writing_ELA[#Headers],0)))),"")</f>
        <v/>
      </c>
      <c r="F93" s="138" t="str">
        <f>IFERROR(IF(IF(INDEX(_xlfn.VSTACK(YES_Writing_ELA[#Data],YES_Writing_FLA[#Data]),MATCH($A93,_xlfn.VSTACK(YES_Writing_ELA[Student Number],YES_Writing_FLA[Student Number]),0),MATCH(VLOOKUP(F$7,'Writing Logic'!$J$7:$K$11,2,FALSE)&amp;" - Per "&amp;VLOOKUP($C$4,'Writing Logic'!$G$8:$H$14,2,FALSE),YES_Writing_ELA[#Headers],0))=0,"",INDEX(_xlfn.VSTACK(YES_Writing_ELA[#Data],YES_Writing_FLA[#Data]),MATCH($A93,_xlfn.VSTACK(YES_Writing_ELA[Student Number],YES_Writing_FLA[Student Number]),0),MATCH(VLOOKUP(F$7,'Writing Logic'!$J$7:$K$11,2,FALSE)&amp;" - Per "&amp;VLOOKUP($C$4,'Writing Logic'!$G$8:$H$14,2,FALSE),YES_Writing_ELA[#Headers],0)))="INS",'Writing Logic'!$B$7,IF(INDEX(_xlfn.VSTACK(YES_Writing_ELA[#Data],YES_Writing_FLA[#Data]),MATCH($A93,_xlfn.VSTACK(YES_Writing_ELA[Student Number],YES_Writing_FLA[Student Number]),0),MATCH(VLOOKUP(F$7,'Writing Logic'!$J$7:$K$11,2,FALSE)&amp;" - Per "&amp;VLOOKUP($C$4,'Writing Logic'!$G$8:$H$14,2,FALSE),YES_Writing_ELA[#Headers],0))=0,"",INDEX(_xlfn.VSTACK(YES_Writing_ELA[#Data],YES_Writing_FLA[#Data]),MATCH($A93,_xlfn.VSTACK(YES_Writing_ELA[Student Number],YES_Writing_FLA[Student Number]),0),MATCH(VLOOKUP(F$7,'Writing Logic'!$J$7:$K$11,2,FALSE)&amp;" - Per "&amp;VLOOKUP($C$4,'Writing Logic'!$G$8:$H$14,2,FALSE),YES_Writing_ELA[#Headers],0)))),"")</f>
        <v/>
      </c>
      <c r="G93" s="138" t="str">
        <f>IFERROR(IF(IF(INDEX(_xlfn.VSTACK(YES_Writing_ELA[#Data],YES_Writing_FLA[#Data]),MATCH($A93,_xlfn.VSTACK(YES_Writing_ELA[Student Number],YES_Writing_FLA[Student Number]),0),MATCH(VLOOKUP(G$7,'Writing Logic'!$J$7:$K$11,2,FALSE)&amp;" - Per "&amp;VLOOKUP($C$4,'Writing Logic'!$G$8:$H$14,2,FALSE),YES_Writing_ELA[#Headers],0))=0,"",INDEX(_xlfn.VSTACK(YES_Writing_ELA[#Data],YES_Writing_FLA[#Data]),MATCH($A93,_xlfn.VSTACK(YES_Writing_ELA[Student Number],YES_Writing_FLA[Student Number]),0),MATCH(VLOOKUP(G$7,'Writing Logic'!$J$7:$K$11,2,FALSE)&amp;" - Per "&amp;VLOOKUP($C$4,'Writing Logic'!$G$8:$H$14,2,FALSE),YES_Writing_ELA[#Headers],0)))="INS",'Writing Logic'!$B$7,IF(INDEX(_xlfn.VSTACK(YES_Writing_ELA[#Data],YES_Writing_FLA[#Data]),MATCH($A93,_xlfn.VSTACK(YES_Writing_ELA[Student Number],YES_Writing_FLA[Student Number]),0),MATCH(VLOOKUP(G$7,'Writing Logic'!$J$7:$K$11,2,FALSE)&amp;" - Per "&amp;VLOOKUP($C$4,'Writing Logic'!$G$8:$H$14,2,FALSE),YES_Writing_ELA[#Headers],0))=0,"",INDEX(_xlfn.VSTACK(YES_Writing_ELA[#Data],YES_Writing_FLA[#Data]),MATCH($A93,_xlfn.VSTACK(YES_Writing_ELA[Student Number],YES_Writing_FLA[Student Number]),0),MATCH(VLOOKUP(G$7,'Writing Logic'!$J$7:$K$11,2,FALSE)&amp;" - Per "&amp;VLOOKUP($C$4,'Writing Logic'!$G$8:$H$14,2,FALSE),YES_Writing_ELA[#Headers],0)))),"")</f>
        <v/>
      </c>
      <c r="H93" s="223" t="str">
        <f>IFERROR(IF(IF(INDEX(_xlfn.VSTACK(YES_Writing_ELA[#Data],YES_Writing_FLA[#Data]),MATCH($A93,_xlfn.VSTACK(YES_Writing_ELA[Student Number],YES_Writing_FLA[Student Number]),0),MATCH(VLOOKUP(H$7,'Writing Logic'!$J$7:$K$11,2,FALSE)&amp;" - Per "&amp;VLOOKUP($C$4,'Writing Logic'!$G$8:$H$14,2,FALSE),YES_Writing_ELA[#Headers],0))=0,"",INDEX(_xlfn.VSTACK(YES_Writing_ELA[#Data],YES_Writing_FLA[#Data]),MATCH($A93,_xlfn.VSTACK(YES_Writing_ELA[Student Number],YES_Writing_FLA[Student Number]),0),MATCH(VLOOKUP(H$7,'Writing Logic'!$J$7:$K$11,2,FALSE)&amp;" - Per "&amp;VLOOKUP($C$4,'Writing Logic'!$G$8:$H$14,2,FALSE),YES_Writing_ELA[#Headers],0)))="INS",'Writing Logic'!$B$7,IF(INDEX(_xlfn.VSTACK(YES_Writing_ELA[#Data],YES_Writing_FLA[#Data]),MATCH($A93,_xlfn.VSTACK(YES_Writing_ELA[Student Number],YES_Writing_FLA[Student Number]),0),MATCH(VLOOKUP(H$7,'Writing Logic'!$J$7:$K$11,2,FALSE)&amp;" - Per "&amp;VLOOKUP($C$4,'Writing Logic'!$G$8:$H$14,2,FALSE),YES_Writing_ELA[#Headers],0))=0,"",INDEX(_xlfn.VSTACK(YES_Writing_ELA[#Data],YES_Writing_FLA[#Data]),MATCH($A93,_xlfn.VSTACK(YES_Writing_ELA[Student Number],YES_Writing_FLA[Student Number]),0),MATCH(VLOOKUP(H$7,'Writing Logic'!$J$7:$K$11,2,FALSE)&amp;" - Per "&amp;VLOOKUP($C$4,'Writing Logic'!$G$8:$H$14,2,FALSE),YES_Writing_ELA[#Headers],0)))),"")</f>
        <v/>
      </c>
      <c r="I93" s="224" t="str" cm="1">
        <f t="array" aca="1" ref="I93" ca="1">IFERROR(
IF($G$3="ELA",
IF(VLOOKUP($A93, YES_Reading_ELA[], COLUMN(INDIRECT("YES_Reading_ELA[Difference - Per "&amp;VLOOKUP($G$4, 'Reading Report Logic'!$A$2:$B$8, 2, FALSE)&amp;"]")), FALSE)="", "",
VLOOKUP($A93,YES_Reading_ELA[], COLUMN(INDIRECT("YES_Reading_ELA[Difference - Per "&amp;VLOOKUP($G$4,'Reading Report Logic'!$A$2:$B$8,2,FALSE)&amp;"]")), FALSE)),
IF($G$3="FLA",
IF(VLOOKUP($A93, YES_Reading_FLA[], COLUMN(INDIRECT("YES_Reading_FLA[Difference - Per "&amp;VLOOKUP($G$4,'Reading Report Logic'!$A$2:$B$8,2,FALSE)&amp;"]")),FALSE)="","",
VLOOKUP($A93,YES_Reading_FLA[],COLUMN(INDIRECT("YES_Reading_FLA[Difference - Per "&amp;VLOOKUP($G$4,'Reading Report Logic'!$A$2:$B$8,2,FALSE)&amp;"]")),FALSE)),
IF($G$3="Combined",
IFERROR(
IF(VLOOKUP($A93, YES_Reading_ELA[], COLUMN(INDIRECT("YES_Reading_ELA[Difference - Per "&amp;VLOOKUP($G$4, 'Reading Report Logic'!$A$2:$B$8,2,FALSE)&amp;"]")), FALSE)="", "",
VLOOKUP($A93,YES_Reading_ELA[],COLUMN(INDIRECT("YES_Reading_ELA[Difference - Per "&amp;VLOOKUP($G$4,'Reading Report Logic'!$A$2:$B$8,2,FALSE)&amp;"]")),FALSE)),
IF(VLOOKUP($A93, YES_Reading_FLA[], COLUMN(INDIRECT("YES_Reading_FLA[Difference - Per "&amp;VLOOKUP($G$4, 'Reading Report Logic'!$A$2:$B$8, 2, FALSE)&amp;"]")),FALSE)="", "", VLOOKUP($A93,YES_Reading_FLA[],COLUMN(INDIRECT("YES_Reading_FLA[Difference - Per "&amp;VLOOKUP($G$4, 'Reading Report Logic'!$A$2:$B$8, 2, FALSE)&amp;"]")),FALSE))),""))),"")</f>
        <v/>
      </c>
    </row>
    <row r="94" spans="1:9" ht="14.25" customHeight="1" x14ac:dyDescent="0.25">
      <c r="A94" s="137"/>
      <c r="B94" s="137" t="str">
        <f>IFERROR(INDEX(_xlfn.VSTACK(YES_Writing_ELA[#Data], YES_Writing_FLA[#Data]),MATCH($A94,_xlfn.VSTACK(YES_Writing_ELA[Student Number], YES_Writing_FLA[Student Number]),0),MATCH(B$7,YES_Writing_ELA[#Headers],0)),IFERROR(INDEX(_xlfn.VSTACK(YES_Reading_ELA[#Data], YES_Reading_FLA[#Data]),MATCH($A94,_xlfn.VSTACK(YES_Reading_ELA[Student Number], YES_Reading_FLA[Student Number]),0),MATCH(B$7,YES_Reading_ELA[#Headers],0)),""))</f>
        <v/>
      </c>
      <c r="C94" s="137" t="str">
        <f>IFERROR(INDEX(_xlfn.VSTACK(YES_Writing_ELA[#Data], YES_Writing_FLA[#Data]),MATCH($A94,_xlfn.VSTACK(YES_Writing_ELA[Student Number], YES_Writing_FLA[Student Number]),0),MATCH(C$7,YES_Writing_ELA[#Headers],0)),IFERROR(INDEX(_xlfn.VSTACK(YES_Reading_ELA[#Data], YES_Reading_FLA[#Data]),MATCH($A94,_xlfn.VSTACK(YES_Reading_ELA[Student Number], YES_Reading_FLA[Student Number]),0),MATCH(C$7,YES_Reading_ELA[#Headers],0)),""))</f>
        <v/>
      </c>
      <c r="D94" s="138" t="str">
        <f>IFERROR(IF(IF(INDEX(_xlfn.VSTACK(YES_Writing_ELA[#Data],YES_Writing_FLA[#Data]),MATCH($A94,_xlfn.VSTACK(YES_Writing_ELA[Student Number],YES_Writing_FLA[Student Number]),0),MATCH(VLOOKUP(D$7,'Writing Logic'!$J$7:$K$11,2,FALSE)&amp;" - Per "&amp;VLOOKUP($C$4,'Writing Logic'!$G$8:$H$14,2,FALSE),YES_Writing_ELA[#Headers],0))=0,"",INDEX(_xlfn.VSTACK(YES_Writing_ELA[#Data],YES_Writing_FLA[#Data]),MATCH($A94,_xlfn.VSTACK(YES_Writing_ELA[Student Number],YES_Writing_FLA[Student Number]),0),MATCH(VLOOKUP(D$7,'Writing Logic'!$J$7:$K$11,2,FALSE)&amp;" - Per "&amp;VLOOKUP($C$4,'Writing Logic'!$G$8:$H$14,2,FALSE),YES_Writing_ELA[#Headers],0)))="INS",'Writing Logic'!$B$7,IF(INDEX(_xlfn.VSTACK(YES_Writing_ELA[#Data],YES_Writing_FLA[#Data]),MATCH($A94,_xlfn.VSTACK(YES_Writing_ELA[Student Number],YES_Writing_FLA[Student Number]),0),MATCH(VLOOKUP(D$7,'Writing Logic'!$J$7:$K$11,2,FALSE)&amp;" - Per "&amp;VLOOKUP($C$4,'Writing Logic'!$G$8:$H$14,2,FALSE),YES_Writing_ELA[#Headers],0))=0,"",INDEX(_xlfn.VSTACK(YES_Writing_ELA[#Data],YES_Writing_FLA[#Data]),MATCH($A94,_xlfn.VSTACK(YES_Writing_ELA[Student Number],YES_Writing_FLA[Student Number]),0),MATCH(VLOOKUP(D$7,'Writing Logic'!$J$7:$K$11,2,FALSE)&amp;" - Per "&amp;VLOOKUP($C$4,'Writing Logic'!$G$8:$H$14,2,FALSE),YES_Writing_ELA[#Headers],0)))),"")</f>
        <v/>
      </c>
      <c r="E94" s="138" t="str">
        <f>IFERROR(IF(IF(INDEX(_xlfn.VSTACK(YES_Writing_ELA[#Data],YES_Writing_FLA[#Data]),MATCH($A94,_xlfn.VSTACK(YES_Writing_ELA[Student Number],YES_Writing_FLA[Student Number]),0),MATCH(VLOOKUP(E$7,'Writing Logic'!$J$7:$K$11,2,FALSE)&amp;" - Per "&amp;VLOOKUP($C$4,'Writing Logic'!$G$8:$H$14,2,FALSE),YES_Writing_ELA[#Headers],0))=0,"",INDEX(_xlfn.VSTACK(YES_Writing_ELA[#Data],YES_Writing_FLA[#Data]),MATCH($A94,_xlfn.VSTACK(YES_Writing_ELA[Student Number],YES_Writing_FLA[Student Number]),0),MATCH(VLOOKUP(E$7,'Writing Logic'!$J$7:$K$11,2,FALSE)&amp;" - Per "&amp;VLOOKUP($C$4,'Writing Logic'!$G$8:$H$14,2,FALSE),YES_Writing_ELA[#Headers],0)))="INS",'Writing Logic'!$B$7,IF(INDEX(_xlfn.VSTACK(YES_Writing_ELA[#Data],YES_Writing_FLA[#Data]),MATCH($A94,_xlfn.VSTACK(YES_Writing_ELA[Student Number],YES_Writing_FLA[Student Number]),0),MATCH(VLOOKUP(E$7,'Writing Logic'!$J$7:$K$11,2,FALSE)&amp;" - Per "&amp;VLOOKUP($C$4,'Writing Logic'!$G$8:$H$14,2,FALSE),YES_Writing_ELA[#Headers],0))=0,"",INDEX(_xlfn.VSTACK(YES_Writing_ELA[#Data],YES_Writing_FLA[#Data]),MATCH($A94,_xlfn.VSTACK(YES_Writing_ELA[Student Number],YES_Writing_FLA[Student Number]),0),MATCH(VLOOKUP(E$7,'Writing Logic'!$J$7:$K$11,2,FALSE)&amp;" - Per "&amp;VLOOKUP($C$4,'Writing Logic'!$G$8:$H$14,2,FALSE),YES_Writing_ELA[#Headers],0)))),"")</f>
        <v/>
      </c>
      <c r="F94" s="138" t="str">
        <f>IFERROR(IF(IF(INDEX(_xlfn.VSTACK(YES_Writing_ELA[#Data],YES_Writing_FLA[#Data]),MATCH($A94,_xlfn.VSTACK(YES_Writing_ELA[Student Number],YES_Writing_FLA[Student Number]),0),MATCH(VLOOKUP(F$7,'Writing Logic'!$J$7:$K$11,2,FALSE)&amp;" - Per "&amp;VLOOKUP($C$4,'Writing Logic'!$G$8:$H$14,2,FALSE),YES_Writing_ELA[#Headers],0))=0,"",INDEX(_xlfn.VSTACK(YES_Writing_ELA[#Data],YES_Writing_FLA[#Data]),MATCH($A94,_xlfn.VSTACK(YES_Writing_ELA[Student Number],YES_Writing_FLA[Student Number]),0),MATCH(VLOOKUP(F$7,'Writing Logic'!$J$7:$K$11,2,FALSE)&amp;" - Per "&amp;VLOOKUP($C$4,'Writing Logic'!$G$8:$H$14,2,FALSE),YES_Writing_ELA[#Headers],0)))="INS",'Writing Logic'!$B$7,IF(INDEX(_xlfn.VSTACK(YES_Writing_ELA[#Data],YES_Writing_FLA[#Data]),MATCH($A94,_xlfn.VSTACK(YES_Writing_ELA[Student Number],YES_Writing_FLA[Student Number]),0),MATCH(VLOOKUP(F$7,'Writing Logic'!$J$7:$K$11,2,FALSE)&amp;" - Per "&amp;VLOOKUP($C$4,'Writing Logic'!$G$8:$H$14,2,FALSE),YES_Writing_ELA[#Headers],0))=0,"",INDEX(_xlfn.VSTACK(YES_Writing_ELA[#Data],YES_Writing_FLA[#Data]),MATCH($A94,_xlfn.VSTACK(YES_Writing_ELA[Student Number],YES_Writing_FLA[Student Number]),0),MATCH(VLOOKUP(F$7,'Writing Logic'!$J$7:$K$11,2,FALSE)&amp;" - Per "&amp;VLOOKUP($C$4,'Writing Logic'!$G$8:$H$14,2,FALSE),YES_Writing_ELA[#Headers],0)))),"")</f>
        <v/>
      </c>
      <c r="G94" s="138" t="str">
        <f>IFERROR(IF(IF(INDEX(_xlfn.VSTACK(YES_Writing_ELA[#Data],YES_Writing_FLA[#Data]),MATCH($A94,_xlfn.VSTACK(YES_Writing_ELA[Student Number],YES_Writing_FLA[Student Number]),0),MATCH(VLOOKUP(G$7,'Writing Logic'!$J$7:$K$11,2,FALSE)&amp;" - Per "&amp;VLOOKUP($C$4,'Writing Logic'!$G$8:$H$14,2,FALSE),YES_Writing_ELA[#Headers],0))=0,"",INDEX(_xlfn.VSTACK(YES_Writing_ELA[#Data],YES_Writing_FLA[#Data]),MATCH($A94,_xlfn.VSTACK(YES_Writing_ELA[Student Number],YES_Writing_FLA[Student Number]),0),MATCH(VLOOKUP(G$7,'Writing Logic'!$J$7:$K$11,2,FALSE)&amp;" - Per "&amp;VLOOKUP($C$4,'Writing Logic'!$G$8:$H$14,2,FALSE),YES_Writing_ELA[#Headers],0)))="INS",'Writing Logic'!$B$7,IF(INDEX(_xlfn.VSTACK(YES_Writing_ELA[#Data],YES_Writing_FLA[#Data]),MATCH($A94,_xlfn.VSTACK(YES_Writing_ELA[Student Number],YES_Writing_FLA[Student Number]),0),MATCH(VLOOKUP(G$7,'Writing Logic'!$J$7:$K$11,2,FALSE)&amp;" - Per "&amp;VLOOKUP($C$4,'Writing Logic'!$G$8:$H$14,2,FALSE),YES_Writing_ELA[#Headers],0))=0,"",INDEX(_xlfn.VSTACK(YES_Writing_ELA[#Data],YES_Writing_FLA[#Data]),MATCH($A94,_xlfn.VSTACK(YES_Writing_ELA[Student Number],YES_Writing_FLA[Student Number]),0),MATCH(VLOOKUP(G$7,'Writing Logic'!$J$7:$K$11,2,FALSE)&amp;" - Per "&amp;VLOOKUP($C$4,'Writing Logic'!$G$8:$H$14,2,FALSE),YES_Writing_ELA[#Headers],0)))),"")</f>
        <v/>
      </c>
      <c r="H94" s="223" t="str">
        <f>IFERROR(IF(IF(INDEX(_xlfn.VSTACK(YES_Writing_ELA[#Data],YES_Writing_FLA[#Data]),MATCH($A94,_xlfn.VSTACK(YES_Writing_ELA[Student Number],YES_Writing_FLA[Student Number]),0),MATCH(VLOOKUP(H$7,'Writing Logic'!$J$7:$K$11,2,FALSE)&amp;" - Per "&amp;VLOOKUP($C$4,'Writing Logic'!$G$8:$H$14,2,FALSE),YES_Writing_ELA[#Headers],0))=0,"",INDEX(_xlfn.VSTACK(YES_Writing_ELA[#Data],YES_Writing_FLA[#Data]),MATCH($A94,_xlfn.VSTACK(YES_Writing_ELA[Student Number],YES_Writing_FLA[Student Number]),0),MATCH(VLOOKUP(H$7,'Writing Logic'!$J$7:$K$11,2,FALSE)&amp;" - Per "&amp;VLOOKUP($C$4,'Writing Logic'!$G$8:$H$14,2,FALSE),YES_Writing_ELA[#Headers],0)))="INS",'Writing Logic'!$B$7,IF(INDEX(_xlfn.VSTACK(YES_Writing_ELA[#Data],YES_Writing_FLA[#Data]),MATCH($A94,_xlfn.VSTACK(YES_Writing_ELA[Student Number],YES_Writing_FLA[Student Number]),0),MATCH(VLOOKUP(H$7,'Writing Logic'!$J$7:$K$11,2,FALSE)&amp;" - Per "&amp;VLOOKUP($C$4,'Writing Logic'!$G$8:$H$14,2,FALSE),YES_Writing_ELA[#Headers],0))=0,"",INDEX(_xlfn.VSTACK(YES_Writing_ELA[#Data],YES_Writing_FLA[#Data]),MATCH($A94,_xlfn.VSTACK(YES_Writing_ELA[Student Number],YES_Writing_FLA[Student Number]),0),MATCH(VLOOKUP(H$7,'Writing Logic'!$J$7:$K$11,2,FALSE)&amp;" - Per "&amp;VLOOKUP($C$4,'Writing Logic'!$G$8:$H$14,2,FALSE),YES_Writing_ELA[#Headers],0)))),"")</f>
        <v/>
      </c>
      <c r="I94" s="224" t="str" cm="1">
        <f t="array" aca="1" ref="I94" ca="1">IFERROR(
IF($G$3="ELA",
IF(VLOOKUP($A94, YES_Reading_ELA[], COLUMN(INDIRECT("YES_Reading_ELA[Difference - Per "&amp;VLOOKUP($G$4, 'Reading Report Logic'!$A$2:$B$8, 2, FALSE)&amp;"]")), FALSE)="", "",
VLOOKUP($A94,YES_Reading_ELA[], COLUMN(INDIRECT("YES_Reading_ELA[Difference - Per "&amp;VLOOKUP($G$4,'Reading Report Logic'!$A$2:$B$8,2,FALSE)&amp;"]")), FALSE)),
IF($G$3="FLA",
IF(VLOOKUP($A94, YES_Reading_FLA[], COLUMN(INDIRECT("YES_Reading_FLA[Difference - Per "&amp;VLOOKUP($G$4,'Reading Report Logic'!$A$2:$B$8,2,FALSE)&amp;"]")),FALSE)="","",
VLOOKUP($A94,YES_Reading_FLA[],COLUMN(INDIRECT("YES_Reading_FLA[Difference - Per "&amp;VLOOKUP($G$4,'Reading Report Logic'!$A$2:$B$8,2,FALSE)&amp;"]")),FALSE)),
IF($G$3="Combined",
IFERROR(
IF(VLOOKUP($A94, YES_Reading_ELA[], COLUMN(INDIRECT("YES_Reading_ELA[Difference - Per "&amp;VLOOKUP($G$4, 'Reading Report Logic'!$A$2:$B$8,2,FALSE)&amp;"]")), FALSE)="", "",
VLOOKUP($A94,YES_Reading_ELA[],COLUMN(INDIRECT("YES_Reading_ELA[Difference - Per "&amp;VLOOKUP($G$4,'Reading Report Logic'!$A$2:$B$8,2,FALSE)&amp;"]")),FALSE)),
IF(VLOOKUP($A94, YES_Reading_FLA[], COLUMN(INDIRECT("YES_Reading_FLA[Difference - Per "&amp;VLOOKUP($G$4, 'Reading Report Logic'!$A$2:$B$8, 2, FALSE)&amp;"]")),FALSE)="", "", VLOOKUP($A94,YES_Reading_FLA[],COLUMN(INDIRECT("YES_Reading_FLA[Difference - Per "&amp;VLOOKUP($G$4, 'Reading Report Logic'!$A$2:$B$8, 2, FALSE)&amp;"]")),FALSE))),""))),"")</f>
        <v/>
      </c>
    </row>
    <row r="95" spans="1:9" ht="14.25" customHeight="1" x14ac:dyDescent="0.25">
      <c r="A95" s="137"/>
      <c r="B95" s="137" t="str">
        <f>IFERROR(INDEX(_xlfn.VSTACK(YES_Writing_ELA[#Data], YES_Writing_FLA[#Data]),MATCH($A95,_xlfn.VSTACK(YES_Writing_ELA[Student Number], YES_Writing_FLA[Student Number]),0),MATCH(B$7,YES_Writing_ELA[#Headers],0)),IFERROR(INDEX(_xlfn.VSTACK(YES_Reading_ELA[#Data], YES_Reading_FLA[#Data]),MATCH($A95,_xlfn.VSTACK(YES_Reading_ELA[Student Number], YES_Reading_FLA[Student Number]),0),MATCH(B$7,YES_Reading_ELA[#Headers],0)),""))</f>
        <v/>
      </c>
      <c r="C95" s="137" t="str">
        <f>IFERROR(INDEX(_xlfn.VSTACK(YES_Writing_ELA[#Data], YES_Writing_FLA[#Data]),MATCH($A95,_xlfn.VSTACK(YES_Writing_ELA[Student Number], YES_Writing_FLA[Student Number]),0),MATCH(C$7,YES_Writing_ELA[#Headers],0)),IFERROR(INDEX(_xlfn.VSTACK(YES_Reading_ELA[#Data], YES_Reading_FLA[#Data]),MATCH($A95,_xlfn.VSTACK(YES_Reading_ELA[Student Number], YES_Reading_FLA[Student Number]),0),MATCH(C$7,YES_Reading_ELA[#Headers],0)),""))</f>
        <v/>
      </c>
      <c r="D95" s="138" t="str">
        <f>IFERROR(IF(IF(INDEX(_xlfn.VSTACK(YES_Writing_ELA[#Data],YES_Writing_FLA[#Data]),MATCH($A95,_xlfn.VSTACK(YES_Writing_ELA[Student Number],YES_Writing_FLA[Student Number]),0),MATCH(VLOOKUP(D$7,'Writing Logic'!$J$7:$K$11,2,FALSE)&amp;" - Per "&amp;VLOOKUP($C$4,'Writing Logic'!$G$8:$H$14,2,FALSE),YES_Writing_ELA[#Headers],0))=0,"",INDEX(_xlfn.VSTACK(YES_Writing_ELA[#Data],YES_Writing_FLA[#Data]),MATCH($A95,_xlfn.VSTACK(YES_Writing_ELA[Student Number],YES_Writing_FLA[Student Number]),0),MATCH(VLOOKUP(D$7,'Writing Logic'!$J$7:$K$11,2,FALSE)&amp;" - Per "&amp;VLOOKUP($C$4,'Writing Logic'!$G$8:$H$14,2,FALSE),YES_Writing_ELA[#Headers],0)))="INS",'Writing Logic'!$B$7,IF(INDEX(_xlfn.VSTACK(YES_Writing_ELA[#Data],YES_Writing_FLA[#Data]),MATCH($A95,_xlfn.VSTACK(YES_Writing_ELA[Student Number],YES_Writing_FLA[Student Number]),0),MATCH(VLOOKUP(D$7,'Writing Logic'!$J$7:$K$11,2,FALSE)&amp;" - Per "&amp;VLOOKUP($C$4,'Writing Logic'!$G$8:$H$14,2,FALSE),YES_Writing_ELA[#Headers],0))=0,"",INDEX(_xlfn.VSTACK(YES_Writing_ELA[#Data],YES_Writing_FLA[#Data]),MATCH($A95,_xlfn.VSTACK(YES_Writing_ELA[Student Number],YES_Writing_FLA[Student Number]),0),MATCH(VLOOKUP(D$7,'Writing Logic'!$J$7:$K$11,2,FALSE)&amp;" - Per "&amp;VLOOKUP($C$4,'Writing Logic'!$G$8:$H$14,2,FALSE),YES_Writing_ELA[#Headers],0)))),"")</f>
        <v/>
      </c>
      <c r="E95" s="138" t="str">
        <f>IFERROR(IF(IF(INDEX(_xlfn.VSTACK(YES_Writing_ELA[#Data],YES_Writing_FLA[#Data]),MATCH($A95,_xlfn.VSTACK(YES_Writing_ELA[Student Number],YES_Writing_FLA[Student Number]),0),MATCH(VLOOKUP(E$7,'Writing Logic'!$J$7:$K$11,2,FALSE)&amp;" - Per "&amp;VLOOKUP($C$4,'Writing Logic'!$G$8:$H$14,2,FALSE),YES_Writing_ELA[#Headers],0))=0,"",INDEX(_xlfn.VSTACK(YES_Writing_ELA[#Data],YES_Writing_FLA[#Data]),MATCH($A95,_xlfn.VSTACK(YES_Writing_ELA[Student Number],YES_Writing_FLA[Student Number]),0),MATCH(VLOOKUP(E$7,'Writing Logic'!$J$7:$K$11,2,FALSE)&amp;" - Per "&amp;VLOOKUP($C$4,'Writing Logic'!$G$8:$H$14,2,FALSE),YES_Writing_ELA[#Headers],0)))="INS",'Writing Logic'!$B$7,IF(INDEX(_xlfn.VSTACK(YES_Writing_ELA[#Data],YES_Writing_FLA[#Data]),MATCH($A95,_xlfn.VSTACK(YES_Writing_ELA[Student Number],YES_Writing_FLA[Student Number]),0),MATCH(VLOOKUP(E$7,'Writing Logic'!$J$7:$K$11,2,FALSE)&amp;" - Per "&amp;VLOOKUP($C$4,'Writing Logic'!$G$8:$H$14,2,FALSE),YES_Writing_ELA[#Headers],0))=0,"",INDEX(_xlfn.VSTACK(YES_Writing_ELA[#Data],YES_Writing_FLA[#Data]),MATCH($A95,_xlfn.VSTACK(YES_Writing_ELA[Student Number],YES_Writing_FLA[Student Number]),0),MATCH(VLOOKUP(E$7,'Writing Logic'!$J$7:$K$11,2,FALSE)&amp;" - Per "&amp;VLOOKUP($C$4,'Writing Logic'!$G$8:$H$14,2,FALSE),YES_Writing_ELA[#Headers],0)))),"")</f>
        <v/>
      </c>
      <c r="F95" s="138" t="str">
        <f>IFERROR(IF(IF(INDEX(_xlfn.VSTACK(YES_Writing_ELA[#Data],YES_Writing_FLA[#Data]),MATCH($A95,_xlfn.VSTACK(YES_Writing_ELA[Student Number],YES_Writing_FLA[Student Number]),0),MATCH(VLOOKUP(F$7,'Writing Logic'!$J$7:$K$11,2,FALSE)&amp;" - Per "&amp;VLOOKUP($C$4,'Writing Logic'!$G$8:$H$14,2,FALSE),YES_Writing_ELA[#Headers],0))=0,"",INDEX(_xlfn.VSTACK(YES_Writing_ELA[#Data],YES_Writing_FLA[#Data]),MATCH($A95,_xlfn.VSTACK(YES_Writing_ELA[Student Number],YES_Writing_FLA[Student Number]),0),MATCH(VLOOKUP(F$7,'Writing Logic'!$J$7:$K$11,2,FALSE)&amp;" - Per "&amp;VLOOKUP($C$4,'Writing Logic'!$G$8:$H$14,2,FALSE),YES_Writing_ELA[#Headers],0)))="INS",'Writing Logic'!$B$7,IF(INDEX(_xlfn.VSTACK(YES_Writing_ELA[#Data],YES_Writing_FLA[#Data]),MATCH($A95,_xlfn.VSTACK(YES_Writing_ELA[Student Number],YES_Writing_FLA[Student Number]),0),MATCH(VLOOKUP(F$7,'Writing Logic'!$J$7:$K$11,2,FALSE)&amp;" - Per "&amp;VLOOKUP($C$4,'Writing Logic'!$G$8:$H$14,2,FALSE),YES_Writing_ELA[#Headers],0))=0,"",INDEX(_xlfn.VSTACK(YES_Writing_ELA[#Data],YES_Writing_FLA[#Data]),MATCH($A95,_xlfn.VSTACK(YES_Writing_ELA[Student Number],YES_Writing_FLA[Student Number]),0),MATCH(VLOOKUP(F$7,'Writing Logic'!$J$7:$K$11,2,FALSE)&amp;" - Per "&amp;VLOOKUP($C$4,'Writing Logic'!$G$8:$H$14,2,FALSE),YES_Writing_ELA[#Headers],0)))),"")</f>
        <v/>
      </c>
      <c r="G95" s="138" t="str">
        <f>IFERROR(IF(IF(INDEX(_xlfn.VSTACK(YES_Writing_ELA[#Data],YES_Writing_FLA[#Data]),MATCH($A95,_xlfn.VSTACK(YES_Writing_ELA[Student Number],YES_Writing_FLA[Student Number]),0),MATCH(VLOOKUP(G$7,'Writing Logic'!$J$7:$K$11,2,FALSE)&amp;" - Per "&amp;VLOOKUP($C$4,'Writing Logic'!$G$8:$H$14,2,FALSE),YES_Writing_ELA[#Headers],0))=0,"",INDEX(_xlfn.VSTACK(YES_Writing_ELA[#Data],YES_Writing_FLA[#Data]),MATCH($A95,_xlfn.VSTACK(YES_Writing_ELA[Student Number],YES_Writing_FLA[Student Number]),0),MATCH(VLOOKUP(G$7,'Writing Logic'!$J$7:$K$11,2,FALSE)&amp;" - Per "&amp;VLOOKUP($C$4,'Writing Logic'!$G$8:$H$14,2,FALSE),YES_Writing_ELA[#Headers],0)))="INS",'Writing Logic'!$B$7,IF(INDEX(_xlfn.VSTACK(YES_Writing_ELA[#Data],YES_Writing_FLA[#Data]),MATCH($A95,_xlfn.VSTACK(YES_Writing_ELA[Student Number],YES_Writing_FLA[Student Number]),0),MATCH(VLOOKUP(G$7,'Writing Logic'!$J$7:$K$11,2,FALSE)&amp;" - Per "&amp;VLOOKUP($C$4,'Writing Logic'!$G$8:$H$14,2,FALSE),YES_Writing_ELA[#Headers],0))=0,"",INDEX(_xlfn.VSTACK(YES_Writing_ELA[#Data],YES_Writing_FLA[#Data]),MATCH($A95,_xlfn.VSTACK(YES_Writing_ELA[Student Number],YES_Writing_FLA[Student Number]),0),MATCH(VLOOKUP(G$7,'Writing Logic'!$J$7:$K$11,2,FALSE)&amp;" - Per "&amp;VLOOKUP($C$4,'Writing Logic'!$G$8:$H$14,2,FALSE),YES_Writing_ELA[#Headers],0)))),"")</f>
        <v/>
      </c>
      <c r="H95" s="223" t="str">
        <f>IFERROR(IF(IF(INDEX(_xlfn.VSTACK(YES_Writing_ELA[#Data],YES_Writing_FLA[#Data]),MATCH($A95,_xlfn.VSTACK(YES_Writing_ELA[Student Number],YES_Writing_FLA[Student Number]),0),MATCH(VLOOKUP(H$7,'Writing Logic'!$J$7:$K$11,2,FALSE)&amp;" - Per "&amp;VLOOKUP($C$4,'Writing Logic'!$G$8:$H$14,2,FALSE),YES_Writing_ELA[#Headers],0))=0,"",INDEX(_xlfn.VSTACK(YES_Writing_ELA[#Data],YES_Writing_FLA[#Data]),MATCH($A95,_xlfn.VSTACK(YES_Writing_ELA[Student Number],YES_Writing_FLA[Student Number]),0),MATCH(VLOOKUP(H$7,'Writing Logic'!$J$7:$K$11,2,FALSE)&amp;" - Per "&amp;VLOOKUP($C$4,'Writing Logic'!$G$8:$H$14,2,FALSE),YES_Writing_ELA[#Headers],0)))="INS",'Writing Logic'!$B$7,IF(INDEX(_xlfn.VSTACK(YES_Writing_ELA[#Data],YES_Writing_FLA[#Data]),MATCH($A95,_xlfn.VSTACK(YES_Writing_ELA[Student Number],YES_Writing_FLA[Student Number]),0),MATCH(VLOOKUP(H$7,'Writing Logic'!$J$7:$K$11,2,FALSE)&amp;" - Per "&amp;VLOOKUP($C$4,'Writing Logic'!$G$8:$H$14,2,FALSE),YES_Writing_ELA[#Headers],0))=0,"",INDEX(_xlfn.VSTACK(YES_Writing_ELA[#Data],YES_Writing_FLA[#Data]),MATCH($A95,_xlfn.VSTACK(YES_Writing_ELA[Student Number],YES_Writing_FLA[Student Number]),0),MATCH(VLOOKUP(H$7,'Writing Logic'!$J$7:$K$11,2,FALSE)&amp;" - Per "&amp;VLOOKUP($C$4,'Writing Logic'!$G$8:$H$14,2,FALSE),YES_Writing_ELA[#Headers],0)))),"")</f>
        <v/>
      </c>
      <c r="I95" s="224" t="str" cm="1">
        <f t="array" aca="1" ref="I95" ca="1">IFERROR(
IF($G$3="ELA",
IF(VLOOKUP($A95, YES_Reading_ELA[], COLUMN(INDIRECT("YES_Reading_ELA[Difference - Per "&amp;VLOOKUP($G$4, 'Reading Report Logic'!$A$2:$B$8, 2, FALSE)&amp;"]")), FALSE)="", "",
VLOOKUP($A95,YES_Reading_ELA[], COLUMN(INDIRECT("YES_Reading_ELA[Difference - Per "&amp;VLOOKUP($G$4,'Reading Report Logic'!$A$2:$B$8,2,FALSE)&amp;"]")), FALSE)),
IF($G$3="FLA",
IF(VLOOKUP($A95, YES_Reading_FLA[], COLUMN(INDIRECT("YES_Reading_FLA[Difference - Per "&amp;VLOOKUP($G$4,'Reading Report Logic'!$A$2:$B$8,2,FALSE)&amp;"]")),FALSE)="","",
VLOOKUP($A95,YES_Reading_FLA[],COLUMN(INDIRECT("YES_Reading_FLA[Difference - Per "&amp;VLOOKUP($G$4,'Reading Report Logic'!$A$2:$B$8,2,FALSE)&amp;"]")),FALSE)),
IF($G$3="Combined",
IFERROR(
IF(VLOOKUP($A95, YES_Reading_ELA[], COLUMN(INDIRECT("YES_Reading_ELA[Difference - Per "&amp;VLOOKUP($G$4, 'Reading Report Logic'!$A$2:$B$8,2,FALSE)&amp;"]")), FALSE)="", "",
VLOOKUP($A95,YES_Reading_ELA[],COLUMN(INDIRECT("YES_Reading_ELA[Difference - Per "&amp;VLOOKUP($G$4,'Reading Report Logic'!$A$2:$B$8,2,FALSE)&amp;"]")),FALSE)),
IF(VLOOKUP($A95, YES_Reading_FLA[], COLUMN(INDIRECT("YES_Reading_FLA[Difference - Per "&amp;VLOOKUP($G$4, 'Reading Report Logic'!$A$2:$B$8, 2, FALSE)&amp;"]")),FALSE)="", "", VLOOKUP($A95,YES_Reading_FLA[],COLUMN(INDIRECT("YES_Reading_FLA[Difference - Per "&amp;VLOOKUP($G$4, 'Reading Report Logic'!$A$2:$B$8, 2, FALSE)&amp;"]")),FALSE))),""))),"")</f>
        <v/>
      </c>
    </row>
    <row r="96" spans="1:9" ht="14.25" customHeight="1" x14ac:dyDescent="0.25">
      <c r="A96" s="137"/>
      <c r="B96" s="137" t="str">
        <f>IFERROR(INDEX(_xlfn.VSTACK(YES_Writing_ELA[#Data], YES_Writing_FLA[#Data]),MATCH($A96,_xlfn.VSTACK(YES_Writing_ELA[Student Number], YES_Writing_FLA[Student Number]),0),MATCH(B$7,YES_Writing_ELA[#Headers],0)),IFERROR(INDEX(_xlfn.VSTACK(YES_Reading_ELA[#Data], YES_Reading_FLA[#Data]),MATCH($A96,_xlfn.VSTACK(YES_Reading_ELA[Student Number], YES_Reading_FLA[Student Number]),0),MATCH(B$7,YES_Reading_ELA[#Headers],0)),""))</f>
        <v/>
      </c>
      <c r="C96" s="137" t="str">
        <f>IFERROR(INDEX(_xlfn.VSTACK(YES_Writing_ELA[#Data], YES_Writing_FLA[#Data]),MATCH($A96,_xlfn.VSTACK(YES_Writing_ELA[Student Number], YES_Writing_FLA[Student Number]),0),MATCH(C$7,YES_Writing_ELA[#Headers],0)),IFERROR(INDEX(_xlfn.VSTACK(YES_Reading_ELA[#Data], YES_Reading_FLA[#Data]),MATCH($A96,_xlfn.VSTACK(YES_Reading_ELA[Student Number], YES_Reading_FLA[Student Number]),0),MATCH(C$7,YES_Reading_ELA[#Headers],0)),""))</f>
        <v/>
      </c>
      <c r="D96" s="138" t="str">
        <f>IFERROR(IF(IF(INDEX(_xlfn.VSTACK(YES_Writing_ELA[#Data],YES_Writing_FLA[#Data]),MATCH($A96,_xlfn.VSTACK(YES_Writing_ELA[Student Number],YES_Writing_FLA[Student Number]),0),MATCH(VLOOKUP(D$7,'Writing Logic'!$J$7:$K$11,2,FALSE)&amp;" - Per "&amp;VLOOKUP($C$4,'Writing Logic'!$G$8:$H$14,2,FALSE),YES_Writing_ELA[#Headers],0))=0,"",INDEX(_xlfn.VSTACK(YES_Writing_ELA[#Data],YES_Writing_FLA[#Data]),MATCH($A96,_xlfn.VSTACK(YES_Writing_ELA[Student Number],YES_Writing_FLA[Student Number]),0),MATCH(VLOOKUP(D$7,'Writing Logic'!$J$7:$K$11,2,FALSE)&amp;" - Per "&amp;VLOOKUP($C$4,'Writing Logic'!$G$8:$H$14,2,FALSE),YES_Writing_ELA[#Headers],0)))="INS",'Writing Logic'!$B$7,IF(INDEX(_xlfn.VSTACK(YES_Writing_ELA[#Data],YES_Writing_FLA[#Data]),MATCH($A96,_xlfn.VSTACK(YES_Writing_ELA[Student Number],YES_Writing_FLA[Student Number]),0),MATCH(VLOOKUP(D$7,'Writing Logic'!$J$7:$K$11,2,FALSE)&amp;" - Per "&amp;VLOOKUP($C$4,'Writing Logic'!$G$8:$H$14,2,FALSE),YES_Writing_ELA[#Headers],0))=0,"",INDEX(_xlfn.VSTACK(YES_Writing_ELA[#Data],YES_Writing_FLA[#Data]),MATCH($A96,_xlfn.VSTACK(YES_Writing_ELA[Student Number],YES_Writing_FLA[Student Number]),0),MATCH(VLOOKUP(D$7,'Writing Logic'!$J$7:$K$11,2,FALSE)&amp;" - Per "&amp;VLOOKUP($C$4,'Writing Logic'!$G$8:$H$14,2,FALSE),YES_Writing_ELA[#Headers],0)))),"")</f>
        <v/>
      </c>
      <c r="E96" s="138" t="str">
        <f>IFERROR(IF(IF(INDEX(_xlfn.VSTACK(YES_Writing_ELA[#Data],YES_Writing_FLA[#Data]),MATCH($A96,_xlfn.VSTACK(YES_Writing_ELA[Student Number],YES_Writing_FLA[Student Number]),0),MATCH(VLOOKUP(E$7,'Writing Logic'!$J$7:$K$11,2,FALSE)&amp;" - Per "&amp;VLOOKUP($C$4,'Writing Logic'!$G$8:$H$14,2,FALSE),YES_Writing_ELA[#Headers],0))=0,"",INDEX(_xlfn.VSTACK(YES_Writing_ELA[#Data],YES_Writing_FLA[#Data]),MATCH($A96,_xlfn.VSTACK(YES_Writing_ELA[Student Number],YES_Writing_FLA[Student Number]),0),MATCH(VLOOKUP(E$7,'Writing Logic'!$J$7:$K$11,2,FALSE)&amp;" - Per "&amp;VLOOKUP($C$4,'Writing Logic'!$G$8:$H$14,2,FALSE),YES_Writing_ELA[#Headers],0)))="INS",'Writing Logic'!$B$7,IF(INDEX(_xlfn.VSTACK(YES_Writing_ELA[#Data],YES_Writing_FLA[#Data]),MATCH($A96,_xlfn.VSTACK(YES_Writing_ELA[Student Number],YES_Writing_FLA[Student Number]),0),MATCH(VLOOKUP(E$7,'Writing Logic'!$J$7:$K$11,2,FALSE)&amp;" - Per "&amp;VLOOKUP($C$4,'Writing Logic'!$G$8:$H$14,2,FALSE),YES_Writing_ELA[#Headers],0))=0,"",INDEX(_xlfn.VSTACK(YES_Writing_ELA[#Data],YES_Writing_FLA[#Data]),MATCH($A96,_xlfn.VSTACK(YES_Writing_ELA[Student Number],YES_Writing_FLA[Student Number]),0),MATCH(VLOOKUP(E$7,'Writing Logic'!$J$7:$K$11,2,FALSE)&amp;" - Per "&amp;VLOOKUP($C$4,'Writing Logic'!$G$8:$H$14,2,FALSE),YES_Writing_ELA[#Headers],0)))),"")</f>
        <v/>
      </c>
      <c r="F96" s="138" t="str">
        <f>IFERROR(IF(IF(INDEX(_xlfn.VSTACK(YES_Writing_ELA[#Data],YES_Writing_FLA[#Data]),MATCH($A96,_xlfn.VSTACK(YES_Writing_ELA[Student Number],YES_Writing_FLA[Student Number]),0),MATCH(VLOOKUP(F$7,'Writing Logic'!$J$7:$K$11,2,FALSE)&amp;" - Per "&amp;VLOOKUP($C$4,'Writing Logic'!$G$8:$H$14,2,FALSE),YES_Writing_ELA[#Headers],0))=0,"",INDEX(_xlfn.VSTACK(YES_Writing_ELA[#Data],YES_Writing_FLA[#Data]),MATCH($A96,_xlfn.VSTACK(YES_Writing_ELA[Student Number],YES_Writing_FLA[Student Number]),0),MATCH(VLOOKUP(F$7,'Writing Logic'!$J$7:$K$11,2,FALSE)&amp;" - Per "&amp;VLOOKUP($C$4,'Writing Logic'!$G$8:$H$14,2,FALSE),YES_Writing_ELA[#Headers],0)))="INS",'Writing Logic'!$B$7,IF(INDEX(_xlfn.VSTACK(YES_Writing_ELA[#Data],YES_Writing_FLA[#Data]),MATCH($A96,_xlfn.VSTACK(YES_Writing_ELA[Student Number],YES_Writing_FLA[Student Number]),0),MATCH(VLOOKUP(F$7,'Writing Logic'!$J$7:$K$11,2,FALSE)&amp;" - Per "&amp;VLOOKUP($C$4,'Writing Logic'!$G$8:$H$14,2,FALSE),YES_Writing_ELA[#Headers],0))=0,"",INDEX(_xlfn.VSTACK(YES_Writing_ELA[#Data],YES_Writing_FLA[#Data]),MATCH($A96,_xlfn.VSTACK(YES_Writing_ELA[Student Number],YES_Writing_FLA[Student Number]),0),MATCH(VLOOKUP(F$7,'Writing Logic'!$J$7:$K$11,2,FALSE)&amp;" - Per "&amp;VLOOKUP($C$4,'Writing Logic'!$G$8:$H$14,2,FALSE),YES_Writing_ELA[#Headers],0)))),"")</f>
        <v/>
      </c>
      <c r="G96" s="138" t="str">
        <f>IFERROR(IF(IF(INDEX(_xlfn.VSTACK(YES_Writing_ELA[#Data],YES_Writing_FLA[#Data]),MATCH($A96,_xlfn.VSTACK(YES_Writing_ELA[Student Number],YES_Writing_FLA[Student Number]),0),MATCH(VLOOKUP(G$7,'Writing Logic'!$J$7:$K$11,2,FALSE)&amp;" - Per "&amp;VLOOKUP($C$4,'Writing Logic'!$G$8:$H$14,2,FALSE),YES_Writing_ELA[#Headers],0))=0,"",INDEX(_xlfn.VSTACK(YES_Writing_ELA[#Data],YES_Writing_FLA[#Data]),MATCH($A96,_xlfn.VSTACK(YES_Writing_ELA[Student Number],YES_Writing_FLA[Student Number]),0),MATCH(VLOOKUP(G$7,'Writing Logic'!$J$7:$K$11,2,FALSE)&amp;" - Per "&amp;VLOOKUP($C$4,'Writing Logic'!$G$8:$H$14,2,FALSE),YES_Writing_ELA[#Headers],0)))="INS",'Writing Logic'!$B$7,IF(INDEX(_xlfn.VSTACK(YES_Writing_ELA[#Data],YES_Writing_FLA[#Data]),MATCH($A96,_xlfn.VSTACK(YES_Writing_ELA[Student Number],YES_Writing_FLA[Student Number]),0),MATCH(VLOOKUP(G$7,'Writing Logic'!$J$7:$K$11,2,FALSE)&amp;" - Per "&amp;VLOOKUP($C$4,'Writing Logic'!$G$8:$H$14,2,FALSE),YES_Writing_ELA[#Headers],0))=0,"",INDEX(_xlfn.VSTACK(YES_Writing_ELA[#Data],YES_Writing_FLA[#Data]),MATCH($A96,_xlfn.VSTACK(YES_Writing_ELA[Student Number],YES_Writing_FLA[Student Number]),0),MATCH(VLOOKUP(G$7,'Writing Logic'!$J$7:$K$11,2,FALSE)&amp;" - Per "&amp;VLOOKUP($C$4,'Writing Logic'!$G$8:$H$14,2,FALSE),YES_Writing_ELA[#Headers],0)))),"")</f>
        <v/>
      </c>
      <c r="H96" s="223" t="str">
        <f>IFERROR(IF(IF(INDEX(_xlfn.VSTACK(YES_Writing_ELA[#Data],YES_Writing_FLA[#Data]),MATCH($A96,_xlfn.VSTACK(YES_Writing_ELA[Student Number],YES_Writing_FLA[Student Number]),0),MATCH(VLOOKUP(H$7,'Writing Logic'!$J$7:$K$11,2,FALSE)&amp;" - Per "&amp;VLOOKUP($C$4,'Writing Logic'!$G$8:$H$14,2,FALSE),YES_Writing_ELA[#Headers],0))=0,"",INDEX(_xlfn.VSTACK(YES_Writing_ELA[#Data],YES_Writing_FLA[#Data]),MATCH($A96,_xlfn.VSTACK(YES_Writing_ELA[Student Number],YES_Writing_FLA[Student Number]),0),MATCH(VLOOKUP(H$7,'Writing Logic'!$J$7:$K$11,2,FALSE)&amp;" - Per "&amp;VLOOKUP($C$4,'Writing Logic'!$G$8:$H$14,2,FALSE),YES_Writing_ELA[#Headers],0)))="INS",'Writing Logic'!$B$7,IF(INDEX(_xlfn.VSTACK(YES_Writing_ELA[#Data],YES_Writing_FLA[#Data]),MATCH($A96,_xlfn.VSTACK(YES_Writing_ELA[Student Number],YES_Writing_FLA[Student Number]),0),MATCH(VLOOKUP(H$7,'Writing Logic'!$J$7:$K$11,2,FALSE)&amp;" - Per "&amp;VLOOKUP($C$4,'Writing Logic'!$G$8:$H$14,2,FALSE),YES_Writing_ELA[#Headers],0))=0,"",INDEX(_xlfn.VSTACK(YES_Writing_ELA[#Data],YES_Writing_FLA[#Data]),MATCH($A96,_xlfn.VSTACK(YES_Writing_ELA[Student Number],YES_Writing_FLA[Student Number]),0),MATCH(VLOOKUP(H$7,'Writing Logic'!$J$7:$K$11,2,FALSE)&amp;" - Per "&amp;VLOOKUP($C$4,'Writing Logic'!$G$8:$H$14,2,FALSE),YES_Writing_ELA[#Headers],0)))),"")</f>
        <v/>
      </c>
      <c r="I96" s="224" t="str" cm="1">
        <f t="array" aca="1" ref="I96" ca="1">IFERROR(
IF($G$3="ELA",
IF(VLOOKUP($A96, YES_Reading_ELA[], COLUMN(INDIRECT("YES_Reading_ELA[Difference - Per "&amp;VLOOKUP($G$4, 'Reading Report Logic'!$A$2:$B$8, 2, FALSE)&amp;"]")), FALSE)="", "",
VLOOKUP($A96,YES_Reading_ELA[], COLUMN(INDIRECT("YES_Reading_ELA[Difference - Per "&amp;VLOOKUP($G$4,'Reading Report Logic'!$A$2:$B$8,2,FALSE)&amp;"]")), FALSE)),
IF($G$3="FLA",
IF(VLOOKUP($A96, YES_Reading_FLA[], COLUMN(INDIRECT("YES_Reading_FLA[Difference - Per "&amp;VLOOKUP($G$4,'Reading Report Logic'!$A$2:$B$8,2,FALSE)&amp;"]")),FALSE)="","",
VLOOKUP($A96,YES_Reading_FLA[],COLUMN(INDIRECT("YES_Reading_FLA[Difference - Per "&amp;VLOOKUP($G$4,'Reading Report Logic'!$A$2:$B$8,2,FALSE)&amp;"]")),FALSE)),
IF($G$3="Combined",
IFERROR(
IF(VLOOKUP($A96, YES_Reading_ELA[], COLUMN(INDIRECT("YES_Reading_ELA[Difference - Per "&amp;VLOOKUP($G$4, 'Reading Report Logic'!$A$2:$B$8,2,FALSE)&amp;"]")), FALSE)="", "",
VLOOKUP($A96,YES_Reading_ELA[],COLUMN(INDIRECT("YES_Reading_ELA[Difference - Per "&amp;VLOOKUP($G$4,'Reading Report Logic'!$A$2:$B$8,2,FALSE)&amp;"]")),FALSE)),
IF(VLOOKUP($A96, YES_Reading_FLA[], COLUMN(INDIRECT("YES_Reading_FLA[Difference - Per "&amp;VLOOKUP($G$4, 'Reading Report Logic'!$A$2:$B$8, 2, FALSE)&amp;"]")),FALSE)="", "", VLOOKUP($A96,YES_Reading_FLA[],COLUMN(INDIRECT("YES_Reading_FLA[Difference - Per "&amp;VLOOKUP($G$4, 'Reading Report Logic'!$A$2:$B$8, 2, FALSE)&amp;"]")),FALSE))),""))),"")</f>
        <v/>
      </c>
    </row>
    <row r="97" spans="1:9" ht="14.25" customHeight="1" x14ac:dyDescent="0.25">
      <c r="A97" s="137"/>
      <c r="B97" s="137" t="str">
        <f>IFERROR(INDEX(_xlfn.VSTACK(YES_Writing_ELA[#Data], YES_Writing_FLA[#Data]),MATCH($A97,_xlfn.VSTACK(YES_Writing_ELA[Student Number], YES_Writing_FLA[Student Number]),0),MATCH(B$7,YES_Writing_ELA[#Headers],0)),IFERROR(INDEX(_xlfn.VSTACK(YES_Reading_ELA[#Data], YES_Reading_FLA[#Data]),MATCH($A97,_xlfn.VSTACK(YES_Reading_ELA[Student Number], YES_Reading_FLA[Student Number]),0),MATCH(B$7,YES_Reading_ELA[#Headers],0)),""))</f>
        <v/>
      </c>
      <c r="C97" s="137" t="str">
        <f>IFERROR(INDEX(_xlfn.VSTACK(YES_Writing_ELA[#Data], YES_Writing_FLA[#Data]),MATCH($A97,_xlfn.VSTACK(YES_Writing_ELA[Student Number], YES_Writing_FLA[Student Number]),0),MATCH(C$7,YES_Writing_ELA[#Headers],0)),IFERROR(INDEX(_xlfn.VSTACK(YES_Reading_ELA[#Data], YES_Reading_FLA[#Data]),MATCH($A97,_xlfn.VSTACK(YES_Reading_ELA[Student Number], YES_Reading_FLA[Student Number]),0),MATCH(C$7,YES_Reading_ELA[#Headers],0)),""))</f>
        <v/>
      </c>
      <c r="D97" s="138" t="str">
        <f>IFERROR(IF(IF(INDEX(_xlfn.VSTACK(YES_Writing_ELA[#Data],YES_Writing_FLA[#Data]),MATCH($A97,_xlfn.VSTACK(YES_Writing_ELA[Student Number],YES_Writing_FLA[Student Number]),0),MATCH(VLOOKUP(D$7,'Writing Logic'!$J$7:$K$11,2,FALSE)&amp;" - Per "&amp;VLOOKUP($C$4,'Writing Logic'!$G$8:$H$14,2,FALSE),YES_Writing_ELA[#Headers],0))=0,"",INDEX(_xlfn.VSTACK(YES_Writing_ELA[#Data],YES_Writing_FLA[#Data]),MATCH($A97,_xlfn.VSTACK(YES_Writing_ELA[Student Number],YES_Writing_FLA[Student Number]),0),MATCH(VLOOKUP(D$7,'Writing Logic'!$J$7:$K$11,2,FALSE)&amp;" - Per "&amp;VLOOKUP($C$4,'Writing Logic'!$G$8:$H$14,2,FALSE),YES_Writing_ELA[#Headers],0)))="INS",'Writing Logic'!$B$7,IF(INDEX(_xlfn.VSTACK(YES_Writing_ELA[#Data],YES_Writing_FLA[#Data]),MATCH($A97,_xlfn.VSTACK(YES_Writing_ELA[Student Number],YES_Writing_FLA[Student Number]),0),MATCH(VLOOKUP(D$7,'Writing Logic'!$J$7:$K$11,2,FALSE)&amp;" - Per "&amp;VLOOKUP($C$4,'Writing Logic'!$G$8:$H$14,2,FALSE),YES_Writing_ELA[#Headers],0))=0,"",INDEX(_xlfn.VSTACK(YES_Writing_ELA[#Data],YES_Writing_FLA[#Data]),MATCH($A97,_xlfn.VSTACK(YES_Writing_ELA[Student Number],YES_Writing_FLA[Student Number]),0),MATCH(VLOOKUP(D$7,'Writing Logic'!$J$7:$K$11,2,FALSE)&amp;" - Per "&amp;VLOOKUP($C$4,'Writing Logic'!$G$8:$H$14,2,FALSE),YES_Writing_ELA[#Headers],0)))),"")</f>
        <v/>
      </c>
      <c r="E97" s="138" t="str">
        <f>IFERROR(IF(IF(INDEX(_xlfn.VSTACK(YES_Writing_ELA[#Data],YES_Writing_FLA[#Data]),MATCH($A97,_xlfn.VSTACK(YES_Writing_ELA[Student Number],YES_Writing_FLA[Student Number]),0),MATCH(VLOOKUP(E$7,'Writing Logic'!$J$7:$K$11,2,FALSE)&amp;" - Per "&amp;VLOOKUP($C$4,'Writing Logic'!$G$8:$H$14,2,FALSE),YES_Writing_ELA[#Headers],0))=0,"",INDEX(_xlfn.VSTACK(YES_Writing_ELA[#Data],YES_Writing_FLA[#Data]),MATCH($A97,_xlfn.VSTACK(YES_Writing_ELA[Student Number],YES_Writing_FLA[Student Number]),0),MATCH(VLOOKUP(E$7,'Writing Logic'!$J$7:$K$11,2,FALSE)&amp;" - Per "&amp;VLOOKUP($C$4,'Writing Logic'!$G$8:$H$14,2,FALSE),YES_Writing_ELA[#Headers],0)))="INS",'Writing Logic'!$B$7,IF(INDEX(_xlfn.VSTACK(YES_Writing_ELA[#Data],YES_Writing_FLA[#Data]),MATCH($A97,_xlfn.VSTACK(YES_Writing_ELA[Student Number],YES_Writing_FLA[Student Number]),0),MATCH(VLOOKUP(E$7,'Writing Logic'!$J$7:$K$11,2,FALSE)&amp;" - Per "&amp;VLOOKUP($C$4,'Writing Logic'!$G$8:$H$14,2,FALSE),YES_Writing_ELA[#Headers],0))=0,"",INDEX(_xlfn.VSTACK(YES_Writing_ELA[#Data],YES_Writing_FLA[#Data]),MATCH($A97,_xlfn.VSTACK(YES_Writing_ELA[Student Number],YES_Writing_FLA[Student Number]),0),MATCH(VLOOKUP(E$7,'Writing Logic'!$J$7:$K$11,2,FALSE)&amp;" - Per "&amp;VLOOKUP($C$4,'Writing Logic'!$G$8:$H$14,2,FALSE),YES_Writing_ELA[#Headers],0)))),"")</f>
        <v/>
      </c>
      <c r="F97" s="138" t="str">
        <f>IFERROR(IF(IF(INDEX(_xlfn.VSTACK(YES_Writing_ELA[#Data],YES_Writing_FLA[#Data]),MATCH($A97,_xlfn.VSTACK(YES_Writing_ELA[Student Number],YES_Writing_FLA[Student Number]),0),MATCH(VLOOKUP(F$7,'Writing Logic'!$J$7:$K$11,2,FALSE)&amp;" - Per "&amp;VLOOKUP($C$4,'Writing Logic'!$G$8:$H$14,2,FALSE),YES_Writing_ELA[#Headers],0))=0,"",INDEX(_xlfn.VSTACK(YES_Writing_ELA[#Data],YES_Writing_FLA[#Data]),MATCH($A97,_xlfn.VSTACK(YES_Writing_ELA[Student Number],YES_Writing_FLA[Student Number]),0),MATCH(VLOOKUP(F$7,'Writing Logic'!$J$7:$K$11,2,FALSE)&amp;" - Per "&amp;VLOOKUP($C$4,'Writing Logic'!$G$8:$H$14,2,FALSE),YES_Writing_ELA[#Headers],0)))="INS",'Writing Logic'!$B$7,IF(INDEX(_xlfn.VSTACK(YES_Writing_ELA[#Data],YES_Writing_FLA[#Data]),MATCH($A97,_xlfn.VSTACK(YES_Writing_ELA[Student Number],YES_Writing_FLA[Student Number]),0),MATCH(VLOOKUP(F$7,'Writing Logic'!$J$7:$K$11,2,FALSE)&amp;" - Per "&amp;VLOOKUP($C$4,'Writing Logic'!$G$8:$H$14,2,FALSE),YES_Writing_ELA[#Headers],0))=0,"",INDEX(_xlfn.VSTACK(YES_Writing_ELA[#Data],YES_Writing_FLA[#Data]),MATCH($A97,_xlfn.VSTACK(YES_Writing_ELA[Student Number],YES_Writing_FLA[Student Number]),0),MATCH(VLOOKUP(F$7,'Writing Logic'!$J$7:$K$11,2,FALSE)&amp;" - Per "&amp;VLOOKUP($C$4,'Writing Logic'!$G$8:$H$14,2,FALSE),YES_Writing_ELA[#Headers],0)))),"")</f>
        <v/>
      </c>
      <c r="G97" s="138" t="str">
        <f>IFERROR(IF(IF(INDEX(_xlfn.VSTACK(YES_Writing_ELA[#Data],YES_Writing_FLA[#Data]),MATCH($A97,_xlfn.VSTACK(YES_Writing_ELA[Student Number],YES_Writing_FLA[Student Number]),0),MATCH(VLOOKUP(G$7,'Writing Logic'!$J$7:$K$11,2,FALSE)&amp;" - Per "&amp;VLOOKUP($C$4,'Writing Logic'!$G$8:$H$14,2,FALSE),YES_Writing_ELA[#Headers],0))=0,"",INDEX(_xlfn.VSTACK(YES_Writing_ELA[#Data],YES_Writing_FLA[#Data]),MATCH($A97,_xlfn.VSTACK(YES_Writing_ELA[Student Number],YES_Writing_FLA[Student Number]),0),MATCH(VLOOKUP(G$7,'Writing Logic'!$J$7:$K$11,2,FALSE)&amp;" - Per "&amp;VLOOKUP($C$4,'Writing Logic'!$G$8:$H$14,2,FALSE),YES_Writing_ELA[#Headers],0)))="INS",'Writing Logic'!$B$7,IF(INDEX(_xlfn.VSTACK(YES_Writing_ELA[#Data],YES_Writing_FLA[#Data]),MATCH($A97,_xlfn.VSTACK(YES_Writing_ELA[Student Number],YES_Writing_FLA[Student Number]),0),MATCH(VLOOKUP(G$7,'Writing Logic'!$J$7:$K$11,2,FALSE)&amp;" - Per "&amp;VLOOKUP($C$4,'Writing Logic'!$G$8:$H$14,2,FALSE),YES_Writing_ELA[#Headers],0))=0,"",INDEX(_xlfn.VSTACK(YES_Writing_ELA[#Data],YES_Writing_FLA[#Data]),MATCH($A97,_xlfn.VSTACK(YES_Writing_ELA[Student Number],YES_Writing_FLA[Student Number]),0),MATCH(VLOOKUP(G$7,'Writing Logic'!$J$7:$K$11,2,FALSE)&amp;" - Per "&amp;VLOOKUP($C$4,'Writing Logic'!$G$8:$H$14,2,FALSE),YES_Writing_ELA[#Headers],0)))),"")</f>
        <v/>
      </c>
      <c r="H97" s="223" t="str">
        <f>IFERROR(IF(IF(INDEX(_xlfn.VSTACK(YES_Writing_ELA[#Data],YES_Writing_FLA[#Data]),MATCH($A97,_xlfn.VSTACK(YES_Writing_ELA[Student Number],YES_Writing_FLA[Student Number]),0),MATCH(VLOOKUP(H$7,'Writing Logic'!$J$7:$K$11,2,FALSE)&amp;" - Per "&amp;VLOOKUP($C$4,'Writing Logic'!$G$8:$H$14,2,FALSE),YES_Writing_ELA[#Headers],0))=0,"",INDEX(_xlfn.VSTACK(YES_Writing_ELA[#Data],YES_Writing_FLA[#Data]),MATCH($A97,_xlfn.VSTACK(YES_Writing_ELA[Student Number],YES_Writing_FLA[Student Number]),0),MATCH(VLOOKUP(H$7,'Writing Logic'!$J$7:$K$11,2,FALSE)&amp;" - Per "&amp;VLOOKUP($C$4,'Writing Logic'!$G$8:$H$14,2,FALSE),YES_Writing_ELA[#Headers],0)))="INS",'Writing Logic'!$B$7,IF(INDEX(_xlfn.VSTACK(YES_Writing_ELA[#Data],YES_Writing_FLA[#Data]),MATCH($A97,_xlfn.VSTACK(YES_Writing_ELA[Student Number],YES_Writing_FLA[Student Number]),0),MATCH(VLOOKUP(H$7,'Writing Logic'!$J$7:$K$11,2,FALSE)&amp;" - Per "&amp;VLOOKUP($C$4,'Writing Logic'!$G$8:$H$14,2,FALSE),YES_Writing_ELA[#Headers],0))=0,"",INDEX(_xlfn.VSTACK(YES_Writing_ELA[#Data],YES_Writing_FLA[#Data]),MATCH($A97,_xlfn.VSTACK(YES_Writing_ELA[Student Number],YES_Writing_FLA[Student Number]),0),MATCH(VLOOKUP(H$7,'Writing Logic'!$J$7:$K$11,2,FALSE)&amp;" - Per "&amp;VLOOKUP($C$4,'Writing Logic'!$G$8:$H$14,2,FALSE),YES_Writing_ELA[#Headers],0)))),"")</f>
        <v/>
      </c>
      <c r="I97" s="224" t="str" cm="1">
        <f t="array" aca="1" ref="I97" ca="1">IFERROR(
IF($G$3="ELA",
IF(VLOOKUP($A97, YES_Reading_ELA[], COLUMN(INDIRECT("YES_Reading_ELA[Difference - Per "&amp;VLOOKUP($G$4, 'Reading Report Logic'!$A$2:$B$8, 2, FALSE)&amp;"]")), FALSE)="", "",
VLOOKUP($A97,YES_Reading_ELA[], COLUMN(INDIRECT("YES_Reading_ELA[Difference - Per "&amp;VLOOKUP($G$4,'Reading Report Logic'!$A$2:$B$8,2,FALSE)&amp;"]")), FALSE)),
IF($G$3="FLA",
IF(VLOOKUP($A97, YES_Reading_FLA[], COLUMN(INDIRECT("YES_Reading_FLA[Difference - Per "&amp;VLOOKUP($G$4,'Reading Report Logic'!$A$2:$B$8,2,FALSE)&amp;"]")),FALSE)="","",
VLOOKUP($A97,YES_Reading_FLA[],COLUMN(INDIRECT("YES_Reading_FLA[Difference - Per "&amp;VLOOKUP($G$4,'Reading Report Logic'!$A$2:$B$8,2,FALSE)&amp;"]")),FALSE)),
IF($G$3="Combined",
IFERROR(
IF(VLOOKUP($A97, YES_Reading_ELA[], COLUMN(INDIRECT("YES_Reading_ELA[Difference - Per "&amp;VLOOKUP($G$4, 'Reading Report Logic'!$A$2:$B$8,2,FALSE)&amp;"]")), FALSE)="", "",
VLOOKUP($A97,YES_Reading_ELA[],COLUMN(INDIRECT("YES_Reading_ELA[Difference - Per "&amp;VLOOKUP($G$4,'Reading Report Logic'!$A$2:$B$8,2,FALSE)&amp;"]")),FALSE)),
IF(VLOOKUP($A97, YES_Reading_FLA[], COLUMN(INDIRECT("YES_Reading_FLA[Difference - Per "&amp;VLOOKUP($G$4, 'Reading Report Logic'!$A$2:$B$8, 2, FALSE)&amp;"]")),FALSE)="", "", VLOOKUP($A97,YES_Reading_FLA[],COLUMN(INDIRECT("YES_Reading_FLA[Difference - Per "&amp;VLOOKUP($G$4, 'Reading Report Logic'!$A$2:$B$8, 2, FALSE)&amp;"]")),FALSE))),""))),"")</f>
        <v/>
      </c>
    </row>
    <row r="98" spans="1:9" ht="14.25" customHeight="1" x14ac:dyDescent="0.25">
      <c r="A98" s="137"/>
      <c r="B98" s="137" t="str">
        <f>IFERROR(INDEX(_xlfn.VSTACK(YES_Writing_ELA[#Data], YES_Writing_FLA[#Data]),MATCH($A98,_xlfn.VSTACK(YES_Writing_ELA[Student Number], YES_Writing_FLA[Student Number]),0),MATCH(B$7,YES_Writing_ELA[#Headers],0)),IFERROR(INDEX(_xlfn.VSTACK(YES_Reading_ELA[#Data], YES_Reading_FLA[#Data]),MATCH($A98,_xlfn.VSTACK(YES_Reading_ELA[Student Number], YES_Reading_FLA[Student Number]),0),MATCH(B$7,YES_Reading_ELA[#Headers],0)),""))</f>
        <v/>
      </c>
      <c r="C98" s="137" t="str">
        <f>IFERROR(INDEX(_xlfn.VSTACK(YES_Writing_ELA[#Data], YES_Writing_FLA[#Data]),MATCH($A98,_xlfn.VSTACK(YES_Writing_ELA[Student Number], YES_Writing_FLA[Student Number]),0),MATCH(C$7,YES_Writing_ELA[#Headers],0)),IFERROR(INDEX(_xlfn.VSTACK(YES_Reading_ELA[#Data], YES_Reading_FLA[#Data]),MATCH($A98,_xlfn.VSTACK(YES_Reading_ELA[Student Number], YES_Reading_FLA[Student Number]),0),MATCH(C$7,YES_Reading_ELA[#Headers],0)),""))</f>
        <v/>
      </c>
      <c r="D98" s="138" t="str">
        <f>IFERROR(IF(IF(INDEX(_xlfn.VSTACK(YES_Writing_ELA[#Data],YES_Writing_FLA[#Data]),MATCH($A98,_xlfn.VSTACK(YES_Writing_ELA[Student Number],YES_Writing_FLA[Student Number]),0),MATCH(VLOOKUP(D$7,'Writing Logic'!$J$7:$K$11,2,FALSE)&amp;" - Per "&amp;VLOOKUP($C$4,'Writing Logic'!$G$8:$H$14,2,FALSE),YES_Writing_ELA[#Headers],0))=0,"",INDEX(_xlfn.VSTACK(YES_Writing_ELA[#Data],YES_Writing_FLA[#Data]),MATCH($A98,_xlfn.VSTACK(YES_Writing_ELA[Student Number],YES_Writing_FLA[Student Number]),0),MATCH(VLOOKUP(D$7,'Writing Logic'!$J$7:$K$11,2,FALSE)&amp;" - Per "&amp;VLOOKUP($C$4,'Writing Logic'!$G$8:$H$14,2,FALSE),YES_Writing_ELA[#Headers],0)))="INS",'Writing Logic'!$B$7,IF(INDEX(_xlfn.VSTACK(YES_Writing_ELA[#Data],YES_Writing_FLA[#Data]),MATCH($A98,_xlfn.VSTACK(YES_Writing_ELA[Student Number],YES_Writing_FLA[Student Number]),0),MATCH(VLOOKUP(D$7,'Writing Logic'!$J$7:$K$11,2,FALSE)&amp;" - Per "&amp;VLOOKUP($C$4,'Writing Logic'!$G$8:$H$14,2,FALSE),YES_Writing_ELA[#Headers],0))=0,"",INDEX(_xlfn.VSTACK(YES_Writing_ELA[#Data],YES_Writing_FLA[#Data]),MATCH($A98,_xlfn.VSTACK(YES_Writing_ELA[Student Number],YES_Writing_FLA[Student Number]),0),MATCH(VLOOKUP(D$7,'Writing Logic'!$J$7:$K$11,2,FALSE)&amp;" - Per "&amp;VLOOKUP($C$4,'Writing Logic'!$G$8:$H$14,2,FALSE),YES_Writing_ELA[#Headers],0)))),"")</f>
        <v/>
      </c>
      <c r="E98" s="138" t="str">
        <f>IFERROR(IF(IF(INDEX(_xlfn.VSTACK(YES_Writing_ELA[#Data],YES_Writing_FLA[#Data]),MATCH($A98,_xlfn.VSTACK(YES_Writing_ELA[Student Number],YES_Writing_FLA[Student Number]),0),MATCH(VLOOKUP(E$7,'Writing Logic'!$J$7:$K$11,2,FALSE)&amp;" - Per "&amp;VLOOKUP($C$4,'Writing Logic'!$G$8:$H$14,2,FALSE),YES_Writing_ELA[#Headers],0))=0,"",INDEX(_xlfn.VSTACK(YES_Writing_ELA[#Data],YES_Writing_FLA[#Data]),MATCH($A98,_xlfn.VSTACK(YES_Writing_ELA[Student Number],YES_Writing_FLA[Student Number]),0),MATCH(VLOOKUP(E$7,'Writing Logic'!$J$7:$K$11,2,FALSE)&amp;" - Per "&amp;VLOOKUP($C$4,'Writing Logic'!$G$8:$H$14,2,FALSE),YES_Writing_ELA[#Headers],0)))="INS",'Writing Logic'!$B$7,IF(INDEX(_xlfn.VSTACK(YES_Writing_ELA[#Data],YES_Writing_FLA[#Data]),MATCH($A98,_xlfn.VSTACK(YES_Writing_ELA[Student Number],YES_Writing_FLA[Student Number]),0),MATCH(VLOOKUP(E$7,'Writing Logic'!$J$7:$K$11,2,FALSE)&amp;" - Per "&amp;VLOOKUP($C$4,'Writing Logic'!$G$8:$H$14,2,FALSE),YES_Writing_ELA[#Headers],0))=0,"",INDEX(_xlfn.VSTACK(YES_Writing_ELA[#Data],YES_Writing_FLA[#Data]),MATCH($A98,_xlfn.VSTACK(YES_Writing_ELA[Student Number],YES_Writing_FLA[Student Number]),0),MATCH(VLOOKUP(E$7,'Writing Logic'!$J$7:$K$11,2,FALSE)&amp;" - Per "&amp;VLOOKUP($C$4,'Writing Logic'!$G$8:$H$14,2,FALSE),YES_Writing_ELA[#Headers],0)))),"")</f>
        <v/>
      </c>
      <c r="F98" s="138" t="str">
        <f>IFERROR(IF(IF(INDEX(_xlfn.VSTACK(YES_Writing_ELA[#Data],YES_Writing_FLA[#Data]),MATCH($A98,_xlfn.VSTACK(YES_Writing_ELA[Student Number],YES_Writing_FLA[Student Number]),0),MATCH(VLOOKUP(F$7,'Writing Logic'!$J$7:$K$11,2,FALSE)&amp;" - Per "&amp;VLOOKUP($C$4,'Writing Logic'!$G$8:$H$14,2,FALSE),YES_Writing_ELA[#Headers],0))=0,"",INDEX(_xlfn.VSTACK(YES_Writing_ELA[#Data],YES_Writing_FLA[#Data]),MATCH($A98,_xlfn.VSTACK(YES_Writing_ELA[Student Number],YES_Writing_FLA[Student Number]),0),MATCH(VLOOKUP(F$7,'Writing Logic'!$J$7:$K$11,2,FALSE)&amp;" - Per "&amp;VLOOKUP($C$4,'Writing Logic'!$G$8:$H$14,2,FALSE),YES_Writing_ELA[#Headers],0)))="INS",'Writing Logic'!$B$7,IF(INDEX(_xlfn.VSTACK(YES_Writing_ELA[#Data],YES_Writing_FLA[#Data]),MATCH($A98,_xlfn.VSTACK(YES_Writing_ELA[Student Number],YES_Writing_FLA[Student Number]),0),MATCH(VLOOKUP(F$7,'Writing Logic'!$J$7:$K$11,2,FALSE)&amp;" - Per "&amp;VLOOKUP($C$4,'Writing Logic'!$G$8:$H$14,2,FALSE),YES_Writing_ELA[#Headers],0))=0,"",INDEX(_xlfn.VSTACK(YES_Writing_ELA[#Data],YES_Writing_FLA[#Data]),MATCH($A98,_xlfn.VSTACK(YES_Writing_ELA[Student Number],YES_Writing_FLA[Student Number]),0),MATCH(VLOOKUP(F$7,'Writing Logic'!$J$7:$K$11,2,FALSE)&amp;" - Per "&amp;VLOOKUP($C$4,'Writing Logic'!$G$8:$H$14,2,FALSE),YES_Writing_ELA[#Headers],0)))),"")</f>
        <v/>
      </c>
      <c r="G98" s="138" t="str">
        <f>IFERROR(IF(IF(INDEX(_xlfn.VSTACK(YES_Writing_ELA[#Data],YES_Writing_FLA[#Data]),MATCH($A98,_xlfn.VSTACK(YES_Writing_ELA[Student Number],YES_Writing_FLA[Student Number]),0),MATCH(VLOOKUP(G$7,'Writing Logic'!$J$7:$K$11,2,FALSE)&amp;" - Per "&amp;VLOOKUP($C$4,'Writing Logic'!$G$8:$H$14,2,FALSE),YES_Writing_ELA[#Headers],0))=0,"",INDEX(_xlfn.VSTACK(YES_Writing_ELA[#Data],YES_Writing_FLA[#Data]),MATCH($A98,_xlfn.VSTACK(YES_Writing_ELA[Student Number],YES_Writing_FLA[Student Number]),0),MATCH(VLOOKUP(G$7,'Writing Logic'!$J$7:$K$11,2,FALSE)&amp;" - Per "&amp;VLOOKUP($C$4,'Writing Logic'!$G$8:$H$14,2,FALSE),YES_Writing_ELA[#Headers],0)))="INS",'Writing Logic'!$B$7,IF(INDEX(_xlfn.VSTACK(YES_Writing_ELA[#Data],YES_Writing_FLA[#Data]),MATCH($A98,_xlfn.VSTACK(YES_Writing_ELA[Student Number],YES_Writing_FLA[Student Number]),0),MATCH(VLOOKUP(G$7,'Writing Logic'!$J$7:$K$11,2,FALSE)&amp;" - Per "&amp;VLOOKUP($C$4,'Writing Logic'!$G$8:$H$14,2,FALSE),YES_Writing_ELA[#Headers],0))=0,"",INDEX(_xlfn.VSTACK(YES_Writing_ELA[#Data],YES_Writing_FLA[#Data]),MATCH($A98,_xlfn.VSTACK(YES_Writing_ELA[Student Number],YES_Writing_FLA[Student Number]),0),MATCH(VLOOKUP(G$7,'Writing Logic'!$J$7:$K$11,2,FALSE)&amp;" - Per "&amp;VLOOKUP($C$4,'Writing Logic'!$G$8:$H$14,2,FALSE),YES_Writing_ELA[#Headers],0)))),"")</f>
        <v/>
      </c>
      <c r="H98" s="223" t="str">
        <f>IFERROR(IF(IF(INDEX(_xlfn.VSTACK(YES_Writing_ELA[#Data],YES_Writing_FLA[#Data]),MATCH($A98,_xlfn.VSTACK(YES_Writing_ELA[Student Number],YES_Writing_FLA[Student Number]),0),MATCH(VLOOKUP(H$7,'Writing Logic'!$J$7:$K$11,2,FALSE)&amp;" - Per "&amp;VLOOKUP($C$4,'Writing Logic'!$G$8:$H$14,2,FALSE),YES_Writing_ELA[#Headers],0))=0,"",INDEX(_xlfn.VSTACK(YES_Writing_ELA[#Data],YES_Writing_FLA[#Data]),MATCH($A98,_xlfn.VSTACK(YES_Writing_ELA[Student Number],YES_Writing_FLA[Student Number]),0),MATCH(VLOOKUP(H$7,'Writing Logic'!$J$7:$K$11,2,FALSE)&amp;" - Per "&amp;VLOOKUP($C$4,'Writing Logic'!$G$8:$H$14,2,FALSE),YES_Writing_ELA[#Headers],0)))="INS",'Writing Logic'!$B$7,IF(INDEX(_xlfn.VSTACK(YES_Writing_ELA[#Data],YES_Writing_FLA[#Data]),MATCH($A98,_xlfn.VSTACK(YES_Writing_ELA[Student Number],YES_Writing_FLA[Student Number]),0),MATCH(VLOOKUP(H$7,'Writing Logic'!$J$7:$K$11,2,FALSE)&amp;" - Per "&amp;VLOOKUP($C$4,'Writing Logic'!$G$8:$H$14,2,FALSE),YES_Writing_ELA[#Headers],0))=0,"",INDEX(_xlfn.VSTACK(YES_Writing_ELA[#Data],YES_Writing_FLA[#Data]),MATCH($A98,_xlfn.VSTACK(YES_Writing_ELA[Student Number],YES_Writing_FLA[Student Number]),0),MATCH(VLOOKUP(H$7,'Writing Logic'!$J$7:$K$11,2,FALSE)&amp;" - Per "&amp;VLOOKUP($C$4,'Writing Logic'!$G$8:$H$14,2,FALSE),YES_Writing_ELA[#Headers],0)))),"")</f>
        <v/>
      </c>
      <c r="I98" s="224" t="str" cm="1">
        <f t="array" aca="1" ref="I98" ca="1">IFERROR(
IF($G$3="ELA",
IF(VLOOKUP($A98, YES_Reading_ELA[], COLUMN(INDIRECT("YES_Reading_ELA[Difference - Per "&amp;VLOOKUP($G$4, 'Reading Report Logic'!$A$2:$B$8, 2, FALSE)&amp;"]")), FALSE)="", "",
VLOOKUP($A98,YES_Reading_ELA[], COLUMN(INDIRECT("YES_Reading_ELA[Difference - Per "&amp;VLOOKUP($G$4,'Reading Report Logic'!$A$2:$B$8,2,FALSE)&amp;"]")), FALSE)),
IF($G$3="FLA",
IF(VLOOKUP($A98, YES_Reading_FLA[], COLUMN(INDIRECT("YES_Reading_FLA[Difference - Per "&amp;VLOOKUP($G$4,'Reading Report Logic'!$A$2:$B$8,2,FALSE)&amp;"]")),FALSE)="","",
VLOOKUP($A98,YES_Reading_FLA[],COLUMN(INDIRECT("YES_Reading_FLA[Difference - Per "&amp;VLOOKUP($G$4,'Reading Report Logic'!$A$2:$B$8,2,FALSE)&amp;"]")),FALSE)),
IF($G$3="Combined",
IFERROR(
IF(VLOOKUP($A98, YES_Reading_ELA[], COLUMN(INDIRECT("YES_Reading_ELA[Difference - Per "&amp;VLOOKUP($G$4, 'Reading Report Logic'!$A$2:$B$8,2,FALSE)&amp;"]")), FALSE)="", "",
VLOOKUP($A98,YES_Reading_ELA[],COLUMN(INDIRECT("YES_Reading_ELA[Difference - Per "&amp;VLOOKUP($G$4,'Reading Report Logic'!$A$2:$B$8,2,FALSE)&amp;"]")),FALSE)),
IF(VLOOKUP($A98, YES_Reading_FLA[], COLUMN(INDIRECT("YES_Reading_FLA[Difference - Per "&amp;VLOOKUP($G$4, 'Reading Report Logic'!$A$2:$B$8, 2, FALSE)&amp;"]")),FALSE)="", "", VLOOKUP($A98,YES_Reading_FLA[],COLUMN(INDIRECT("YES_Reading_FLA[Difference - Per "&amp;VLOOKUP($G$4, 'Reading Report Logic'!$A$2:$B$8, 2, FALSE)&amp;"]")),FALSE))),""))),"")</f>
        <v/>
      </c>
    </row>
    <row r="99" spans="1:9" ht="14.25" customHeight="1" x14ac:dyDescent="0.25">
      <c r="A99" s="137"/>
      <c r="B99" s="137" t="str">
        <f>IFERROR(INDEX(_xlfn.VSTACK(YES_Writing_ELA[#Data], YES_Writing_FLA[#Data]),MATCH($A99,_xlfn.VSTACK(YES_Writing_ELA[Student Number], YES_Writing_FLA[Student Number]),0),MATCH(B$7,YES_Writing_ELA[#Headers],0)),IFERROR(INDEX(_xlfn.VSTACK(YES_Reading_ELA[#Data], YES_Reading_FLA[#Data]),MATCH($A99,_xlfn.VSTACK(YES_Reading_ELA[Student Number], YES_Reading_FLA[Student Number]),0),MATCH(B$7,YES_Reading_ELA[#Headers],0)),""))</f>
        <v/>
      </c>
      <c r="C99" s="137" t="str">
        <f>IFERROR(INDEX(_xlfn.VSTACK(YES_Writing_ELA[#Data], YES_Writing_FLA[#Data]),MATCH($A99,_xlfn.VSTACK(YES_Writing_ELA[Student Number], YES_Writing_FLA[Student Number]),0),MATCH(C$7,YES_Writing_ELA[#Headers],0)),IFERROR(INDEX(_xlfn.VSTACK(YES_Reading_ELA[#Data], YES_Reading_FLA[#Data]),MATCH($A99,_xlfn.VSTACK(YES_Reading_ELA[Student Number], YES_Reading_FLA[Student Number]),0),MATCH(C$7,YES_Reading_ELA[#Headers],0)),""))</f>
        <v/>
      </c>
      <c r="D99" s="138" t="str">
        <f>IFERROR(IF(IF(INDEX(_xlfn.VSTACK(YES_Writing_ELA[#Data],YES_Writing_FLA[#Data]),MATCH($A99,_xlfn.VSTACK(YES_Writing_ELA[Student Number],YES_Writing_FLA[Student Number]),0),MATCH(VLOOKUP(D$7,'Writing Logic'!$J$7:$K$11,2,FALSE)&amp;" - Per "&amp;VLOOKUP($C$4,'Writing Logic'!$G$8:$H$14,2,FALSE),YES_Writing_ELA[#Headers],0))=0,"",INDEX(_xlfn.VSTACK(YES_Writing_ELA[#Data],YES_Writing_FLA[#Data]),MATCH($A99,_xlfn.VSTACK(YES_Writing_ELA[Student Number],YES_Writing_FLA[Student Number]),0),MATCH(VLOOKUP(D$7,'Writing Logic'!$J$7:$K$11,2,FALSE)&amp;" - Per "&amp;VLOOKUP($C$4,'Writing Logic'!$G$8:$H$14,2,FALSE),YES_Writing_ELA[#Headers],0)))="INS",'Writing Logic'!$B$7,IF(INDEX(_xlfn.VSTACK(YES_Writing_ELA[#Data],YES_Writing_FLA[#Data]),MATCH($A99,_xlfn.VSTACK(YES_Writing_ELA[Student Number],YES_Writing_FLA[Student Number]),0),MATCH(VLOOKUP(D$7,'Writing Logic'!$J$7:$K$11,2,FALSE)&amp;" - Per "&amp;VLOOKUP($C$4,'Writing Logic'!$G$8:$H$14,2,FALSE),YES_Writing_ELA[#Headers],0))=0,"",INDEX(_xlfn.VSTACK(YES_Writing_ELA[#Data],YES_Writing_FLA[#Data]),MATCH($A99,_xlfn.VSTACK(YES_Writing_ELA[Student Number],YES_Writing_FLA[Student Number]),0),MATCH(VLOOKUP(D$7,'Writing Logic'!$J$7:$K$11,2,FALSE)&amp;" - Per "&amp;VLOOKUP($C$4,'Writing Logic'!$G$8:$H$14,2,FALSE),YES_Writing_ELA[#Headers],0)))),"")</f>
        <v/>
      </c>
      <c r="E99" s="138" t="str">
        <f>IFERROR(IF(IF(INDEX(_xlfn.VSTACK(YES_Writing_ELA[#Data],YES_Writing_FLA[#Data]),MATCH($A99,_xlfn.VSTACK(YES_Writing_ELA[Student Number],YES_Writing_FLA[Student Number]),0),MATCH(VLOOKUP(E$7,'Writing Logic'!$J$7:$K$11,2,FALSE)&amp;" - Per "&amp;VLOOKUP($C$4,'Writing Logic'!$G$8:$H$14,2,FALSE),YES_Writing_ELA[#Headers],0))=0,"",INDEX(_xlfn.VSTACK(YES_Writing_ELA[#Data],YES_Writing_FLA[#Data]),MATCH($A99,_xlfn.VSTACK(YES_Writing_ELA[Student Number],YES_Writing_FLA[Student Number]),0),MATCH(VLOOKUP(E$7,'Writing Logic'!$J$7:$K$11,2,FALSE)&amp;" - Per "&amp;VLOOKUP($C$4,'Writing Logic'!$G$8:$H$14,2,FALSE),YES_Writing_ELA[#Headers],0)))="INS",'Writing Logic'!$B$7,IF(INDEX(_xlfn.VSTACK(YES_Writing_ELA[#Data],YES_Writing_FLA[#Data]),MATCH($A99,_xlfn.VSTACK(YES_Writing_ELA[Student Number],YES_Writing_FLA[Student Number]),0),MATCH(VLOOKUP(E$7,'Writing Logic'!$J$7:$K$11,2,FALSE)&amp;" - Per "&amp;VLOOKUP($C$4,'Writing Logic'!$G$8:$H$14,2,FALSE),YES_Writing_ELA[#Headers],0))=0,"",INDEX(_xlfn.VSTACK(YES_Writing_ELA[#Data],YES_Writing_FLA[#Data]),MATCH($A99,_xlfn.VSTACK(YES_Writing_ELA[Student Number],YES_Writing_FLA[Student Number]),0),MATCH(VLOOKUP(E$7,'Writing Logic'!$J$7:$K$11,2,FALSE)&amp;" - Per "&amp;VLOOKUP($C$4,'Writing Logic'!$G$8:$H$14,2,FALSE),YES_Writing_ELA[#Headers],0)))),"")</f>
        <v/>
      </c>
      <c r="F99" s="138" t="str">
        <f>IFERROR(IF(IF(INDEX(_xlfn.VSTACK(YES_Writing_ELA[#Data],YES_Writing_FLA[#Data]),MATCH($A99,_xlfn.VSTACK(YES_Writing_ELA[Student Number],YES_Writing_FLA[Student Number]),0),MATCH(VLOOKUP(F$7,'Writing Logic'!$J$7:$K$11,2,FALSE)&amp;" - Per "&amp;VLOOKUP($C$4,'Writing Logic'!$G$8:$H$14,2,FALSE),YES_Writing_ELA[#Headers],0))=0,"",INDEX(_xlfn.VSTACK(YES_Writing_ELA[#Data],YES_Writing_FLA[#Data]),MATCH($A99,_xlfn.VSTACK(YES_Writing_ELA[Student Number],YES_Writing_FLA[Student Number]),0),MATCH(VLOOKUP(F$7,'Writing Logic'!$J$7:$K$11,2,FALSE)&amp;" - Per "&amp;VLOOKUP($C$4,'Writing Logic'!$G$8:$H$14,2,FALSE),YES_Writing_ELA[#Headers],0)))="INS",'Writing Logic'!$B$7,IF(INDEX(_xlfn.VSTACK(YES_Writing_ELA[#Data],YES_Writing_FLA[#Data]),MATCH($A99,_xlfn.VSTACK(YES_Writing_ELA[Student Number],YES_Writing_FLA[Student Number]),0),MATCH(VLOOKUP(F$7,'Writing Logic'!$J$7:$K$11,2,FALSE)&amp;" - Per "&amp;VLOOKUP($C$4,'Writing Logic'!$G$8:$H$14,2,FALSE),YES_Writing_ELA[#Headers],0))=0,"",INDEX(_xlfn.VSTACK(YES_Writing_ELA[#Data],YES_Writing_FLA[#Data]),MATCH($A99,_xlfn.VSTACK(YES_Writing_ELA[Student Number],YES_Writing_FLA[Student Number]),0),MATCH(VLOOKUP(F$7,'Writing Logic'!$J$7:$K$11,2,FALSE)&amp;" - Per "&amp;VLOOKUP($C$4,'Writing Logic'!$G$8:$H$14,2,FALSE),YES_Writing_ELA[#Headers],0)))),"")</f>
        <v/>
      </c>
      <c r="G99" s="138" t="str">
        <f>IFERROR(IF(IF(INDEX(_xlfn.VSTACK(YES_Writing_ELA[#Data],YES_Writing_FLA[#Data]),MATCH($A99,_xlfn.VSTACK(YES_Writing_ELA[Student Number],YES_Writing_FLA[Student Number]),0),MATCH(VLOOKUP(G$7,'Writing Logic'!$J$7:$K$11,2,FALSE)&amp;" - Per "&amp;VLOOKUP($C$4,'Writing Logic'!$G$8:$H$14,2,FALSE),YES_Writing_ELA[#Headers],0))=0,"",INDEX(_xlfn.VSTACK(YES_Writing_ELA[#Data],YES_Writing_FLA[#Data]),MATCH($A99,_xlfn.VSTACK(YES_Writing_ELA[Student Number],YES_Writing_FLA[Student Number]),0),MATCH(VLOOKUP(G$7,'Writing Logic'!$J$7:$K$11,2,FALSE)&amp;" - Per "&amp;VLOOKUP($C$4,'Writing Logic'!$G$8:$H$14,2,FALSE),YES_Writing_ELA[#Headers],0)))="INS",'Writing Logic'!$B$7,IF(INDEX(_xlfn.VSTACK(YES_Writing_ELA[#Data],YES_Writing_FLA[#Data]),MATCH($A99,_xlfn.VSTACK(YES_Writing_ELA[Student Number],YES_Writing_FLA[Student Number]),0),MATCH(VLOOKUP(G$7,'Writing Logic'!$J$7:$K$11,2,FALSE)&amp;" - Per "&amp;VLOOKUP($C$4,'Writing Logic'!$G$8:$H$14,2,FALSE),YES_Writing_ELA[#Headers],0))=0,"",INDEX(_xlfn.VSTACK(YES_Writing_ELA[#Data],YES_Writing_FLA[#Data]),MATCH($A99,_xlfn.VSTACK(YES_Writing_ELA[Student Number],YES_Writing_FLA[Student Number]),0),MATCH(VLOOKUP(G$7,'Writing Logic'!$J$7:$K$11,2,FALSE)&amp;" - Per "&amp;VLOOKUP($C$4,'Writing Logic'!$G$8:$H$14,2,FALSE),YES_Writing_ELA[#Headers],0)))),"")</f>
        <v/>
      </c>
      <c r="H99" s="223" t="str">
        <f>IFERROR(IF(IF(INDEX(_xlfn.VSTACK(YES_Writing_ELA[#Data],YES_Writing_FLA[#Data]),MATCH($A99,_xlfn.VSTACK(YES_Writing_ELA[Student Number],YES_Writing_FLA[Student Number]),0),MATCH(VLOOKUP(H$7,'Writing Logic'!$J$7:$K$11,2,FALSE)&amp;" - Per "&amp;VLOOKUP($C$4,'Writing Logic'!$G$8:$H$14,2,FALSE),YES_Writing_ELA[#Headers],0))=0,"",INDEX(_xlfn.VSTACK(YES_Writing_ELA[#Data],YES_Writing_FLA[#Data]),MATCH($A99,_xlfn.VSTACK(YES_Writing_ELA[Student Number],YES_Writing_FLA[Student Number]),0),MATCH(VLOOKUP(H$7,'Writing Logic'!$J$7:$K$11,2,FALSE)&amp;" - Per "&amp;VLOOKUP($C$4,'Writing Logic'!$G$8:$H$14,2,FALSE),YES_Writing_ELA[#Headers],0)))="INS",'Writing Logic'!$B$7,IF(INDEX(_xlfn.VSTACK(YES_Writing_ELA[#Data],YES_Writing_FLA[#Data]),MATCH($A99,_xlfn.VSTACK(YES_Writing_ELA[Student Number],YES_Writing_FLA[Student Number]),0),MATCH(VLOOKUP(H$7,'Writing Logic'!$J$7:$K$11,2,FALSE)&amp;" - Per "&amp;VLOOKUP($C$4,'Writing Logic'!$G$8:$H$14,2,FALSE),YES_Writing_ELA[#Headers],0))=0,"",INDEX(_xlfn.VSTACK(YES_Writing_ELA[#Data],YES_Writing_FLA[#Data]),MATCH($A99,_xlfn.VSTACK(YES_Writing_ELA[Student Number],YES_Writing_FLA[Student Number]),0),MATCH(VLOOKUP(H$7,'Writing Logic'!$J$7:$K$11,2,FALSE)&amp;" - Per "&amp;VLOOKUP($C$4,'Writing Logic'!$G$8:$H$14,2,FALSE),YES_Writing_ELA[#Headers],0)))),"")</f>
        <v/>
      </c>
      <c r="I99" s="224" t="str" cm="1">
        <f t="array" aca="1" ref="I99" ca="1">IFERROR(
IF($G$3="ELA",
IF(VLOOKUP($A99, YES_Reading_ELA[], COLUMN(INDIRECT("YES_Reading_ELA[Difference - Per "&amp;VLOOKUP($G$4, 'Reading Report Logic'!$A$2:$B$8, 2, FALSE)&amp;"]")), FALSE)="", "",
VLOOKUP($A99,YES_Reading_ELA[], COLUMN(INDIRECT("YES_Reading_ELA[Difference - Per "&amp;VLOOKUP($G$4,'Reading Report Logic'!$A$2:$B$8,2,FALSE)&amp;"]")), FALSE)),
IF($G$3="FLA",
IF(VLOOKUP($A99, YES_Reading_FLA[], COLUMN(INDIRECT("YES_Reading_FLA[Difference - Per "&amp;VLOOKUP($G$4,'Reading Report Logic'!$A$2:$B$8,2,FALSE)&amp;"]")),FALSE)="","",
VLOOKUP($A99,YES_Reading_FLA[],COLUMN(INDIRECT("YES_Reading_FLA[Difference - Per "&amp;VLOOKUP($G$4,'Reading Report Logic'!$A$2:$B$8,2,FALSE)&amp;"]")),FALSE)),
IF($G$3="Combined",
IFERROR(
IF(VLOOKUP($A99, YES_Reading_ELA[], COLUMN(INDIRECT("YES_Reading_ELA[Difference - Per "&amp;VLOOKUP($G$4, 'Reading Report Logic'!$A$2:$B$8,2,FALSE)&amp;"]")), FALSE)="", "",
VLOOKUP($A99,YES_Reading_ELA[],COLUMN(INDIRECT("YES_Reading_ELA[Difference - Per "&amp;VLOOKUP($G$4,'Reading Report Logic'!$A$2:$B$8,2,FALSE)&amp;"]")),FALSE)),
IF(VLOOKUP($A99, YES_Reading_FLA[], COLUMN(INDIRECT("YES_Reading_FLA[Difference - Per "&amp;VLOOKUP($G$4, 'Reading Report Logic'!$A$2:$B$8, 2, FALSE)&amp;"]")),FALSE)="", "", VLOOKUP($A99,YES_Reading_FLA[],COLUMN(INDIRECT("YES_Reading_FLA[Difference - Per "&amp;VLOOKUP($G$4, 'Reading Report Logic'!$A$2:$B$8, 2, FALSE)&amp;"]")),FALSE))),""))),"")</f>
        <v/>
      </c>
    </row>
    <row r="100" spans="1:9" ht="14.25" customHeight="1" x14ac:dyDescent="0.25">
      <c r="A100" s="137"/>
      <c r="B100" s="137" t="str">
        <f>IFERROR(INDEX(_xlfn.VSTACK(YES_Writing_ELA[#Data], YES_Writing_FLA[#Data]),MATCH($A100,_xlfn.VSTACK(YES_Writing_ELA[Student Number], YES_Writing_FLA[Student Number]),0),MATCH(B$7,YES_Writing_ELA[#Headers],0)),IFERROR(INDEX(_xlfn.VSTACK(YES_Reading_ELA[#Data], YES_Reading_FLA[#Data]),MATCH($A100,_xlfn.VSTACK(YES_Reading_ELA[Student Number], YES_Reading_FLA[Student Number]),0),MATCH(B$7,YES_Reading_ELA[#Headers],0)),""))</f>
        <v/>
      </c>
      <c r="C100" s="137" t="str">
        <f>IFERROR(INDEX(_xlfn.VSTACK(YES_Writing_ELA[#Data], YES_Writing_FLA[#Data]),MATCH($A100,_xlfn.VSTACK(YES_Writing_ELA[Student Number], YES_Writing_FLA[Student Number]),0),MATCH(C$7,YES_Writing_ELA[#Headers],0)),IFERROR(INDEX(_xlfn.VSTACK(YES_Reading_ELA[#Data], YES_Reading_FLA[#Data]),MATCH($A100,_xlfn.VSTACK(YES_Reading_ELA[Student Number], YES_Reading_FLA[Student Number]),0),MATCH(C$7,YES_Reading_ELA[#Headers],0)),""))</f>
        <v/>
      </c>
      <c r="D100" s="138" t="str">
        <f>IFERROR(IF(IF(INDEX(_xlfn.VSTACK(YES_Writing_ELA[#Data],YES_Writing_FLA[#Data]),MATCH($A100,_xlfn.VSTACK(YES_Writing_ELA[Student Number],YES_Writing_FLA[Student Number]),0),MATCH(VLOOKUP(D$7,'Writing Logic'!$J$7:$K$11,2,FALSE)&amp;" - Per "&amp;VLOOKUP($C$4,'Writing Logic'!$G$8:$H$14,2,FALSE),YES_Writing_ELA[#Headers],0))=0,"",INDEX(_xlfn.VSTACK(YES_Writing_ELA[#Data],YES_Writing_FLA[#Data]),MATCH($A100,_xlfn.VSTACK(YES_Writing_ELA[Student Number],YES_Writing_FLA[Student Number]),0),MATCH(VLOOKUP(D$7,'Writing Logic'!$J$7:$K$11,2,FALSE)&amp;" - Per "&amp;VLOOKUP($C$4,'Writing Logic'!$G$8:$H$14,2,FALSE),YES_Writing_ELA[#Headers],0)))="INS",'Writing Logic'!$B$7,IF(INDEX(_xlfn.VSTACK(YES_Writing_ELA[#Data],YES_Writing_FLA[#Data]),MATCH($A100,_xlfn.VSTACK(YES_Writing_ELA[Student Number],YES_Writing_FLA[Student Number]),0),MATCH(VLOOKUP(D$7,'Writing Logic'!$J$7:$K$11,2,FALSE)&amp;" - Per "&amp;VLOOKUP($C$4,'Writing Logic'!$G$8:$H$14,2,FALSE),YES_Writing_ELA[#Headers],0))=0,"",INDEX(_xlfn.VSTACK(YES_Writing_ELA[#Data],YES_Writing_FLA[#Data]),MATCH($A100,_xlfn.VSTACK(YES_Writing_ELA[Student Number],YES_Writing_FLA[Student Number]),0),MATCH(VLOOKUP(D$7,'Writing Logic'!$J$7:$K$11,2,FALSE)&amp;" - Per "&amp;VLOOKUP($C$4,'Writing Logic'!$G$8:$H$14,2,FALSE),YES_Writing_ELA[#Headers],0)))),"")</f>
        <v/>
      </c>
      <c r="E100" s="138" t="str">
        <f>IFERROR(IF(IF(INDEX(_xlfn.VSTACK(YES_Writing_ELA[#Data],YES_Writing_FLA[#Data]),MATCH($A100,_xlfn.VSTACK(YES_Writing_ELA[Student Number],YES_Writing_FLA[Student Number]),0),MATCH(VLOOKUP(E$7,'Writing Logic'!$J$7:$K$11,2,FALSE)&amp;" - Per "&amp;VLOOKUP($C$4,'Writing Logic'!$G$8:$H$14,2,FALSE),YES_Writing_ELA[#Headers],0))=0,"",INDEX(_xlfn.VSTACK(YES_Writing_ELA[#Data],YES_Writing_FLA[#Data]),MATCH($A100,_xlfn.VSTACK(YES_Writing_ELA[Student Number],YES_Writing_FLA[Student Number]),0),MATCH(VLOOKUP(E$7,'Writing Logic'!$J$7:$K$11,2,FALSE)&amp;" - Per "&amp;VLOOKUP($C$4,'Writing Logic'!$G$8:$H$14,2,FALSE),YES_Writing_ELA[#Headers],0)))="INS",'Writing Logic'!$B$7,IF(INDEX(_xlfn.VSTACK(YES_Writing_ELA[#Data],YES_Writing_FLA[#Data]),MATCH($A100,_xlfn.VSTACK(YES_Writing_ELA[Student Number],YES_Writing_FLA[Student Number]),0),MATCH(VLOOKUP(E$7,'Writing Logic'!$J$7:$K$11,2,FALSE)&amp;" - Per "&amp;VLOOKUP($C$4,'Writing Logic'!$G$8:$H$14,2,FALSE),YES_Writing_ELA[#Headers],0))=0,"",INDEX(_xlfn.VSTACK(YES_Writing_ELA[#Data],YES_Writing_FLA[#Data]),MATCH($A100,_xlfn.VSTACK(YES_Writing_ELA[Student Number],YES_Writing_FLA[Student Number]),0),MATCH(VLOOKUP(E$7,'Writing Logic'!$J$7:$K$11,2,FALSE)&amp;" - Per "&amp;VLOOKUP($C$4,'Writing Logic'!$G$8:$H$14,2,FALSE),YES_Writing_ELA[#Headers],0)))),"")</f>
        <v/>
      </c>
      <c r="F100" s="138" t="str">
        <f>IFERROR(IF(IF(INDEX(_xlfn.VSTACK(YES_Writing_ELA[#Data],YES_Writing_FLA[#Data]),MATCH($A100,_xlfn.VSTACK(YES_Writing_ELA[Student Number],YES_Writing_FLA[Student Number]),0),MATCH(VLOOKUP(F$7,'Writing Logic'!$J$7:$K$11,2,FALSE)&amp;" - Per "&amp;VLOOKUP($C$4,'Writing Logic'!$G$8:$H$14,2,FALSE),YES_Writing_ELA[#Headers],0))=0,"",INDEX(_xlfn.VSTACK(YES_Writing_ELA[#Data],YES_Writing_FLA[#Data]),MATCH($A100,_xlfn.VSTACK(YES_Writing_ELA[Student Number],YES_Writing_FLA[Student Number]),0),MATCH(VLOOKUP(F$7,'Writing Logic'!$J$7:$K$11,2,FALSE)&amp;" - Per "&amp;VLOOKUP($C$4,'Writing Logic'!$G$8:$H$14,2,FALSE),YES_Writing_ELA[#Headers],0)))="INS",'Writing Logic'!$B$7,IF(INDEX(_xlfn.VSTACK(YES_Writing_ELA[#Data],YES_Writing_FLA[#Data]),MATCH($A100,_xlfn.VSTACK(YES_Writing_ELA[Student Number],YES_Writing_FLA[Student Number]),0),MATCH(VLOOKUP(F$7,'Writing Logic'!$J$7:$K$11,2,FALSE)&amp;" - Per "&amp;VLOOKUP($C$4,'Writing Logic'!$G$8:$H$14,2,FALSE),YES_Writing_ELA[#Headers],0))=0,"",INDEX(_xlfn.VSTACK(YES_Writing_ELA[#Data],YES_Writing_FLA[#Data]),MATCH($A100,_xlfn.VSTACK(YES_Writing_ELA[Student Number],YES_Writing_FLA[Student Number]),0),MATCH(VLOOKUP(F$7,'Writing Logic'!$J$7:$K$11,2,FALSE)&amp;" - Per "&amp;VLOOKUP($C$4,'Writing Logic'!$G$8:$H$14,2,FALSE),YES_Writing_ELA[#Headers],0)))),"")</f>
        <v/>
      </c>
      <c r="G100" s="138" t="str">
        <f>IFERROR(IF(IF(INDEX(_xlfn.VSTACK(YES_Writing_ELA[#Data],YES_Writing_FLA[#Data]),MATCH($A100,_xlfn.VSTACK(YES_Writing_ELA[Student Number],YES_Writing_FLA[Student Number]),0),MATCH(VLOOKUP(G$7,'Writing Logic'!$J$7:$K$11,2,FALSE)&amp;" - Per "&amp;VLOOKUP($C$4,'Writing Logic'!$G$8:$H$14,2,FALSE),YES_Writing_ELA[#Headers],0))=0,"",INDEX(_xlfn.VSTACK(YES_Writing_ELA[#Data],YES_Writing_FLA[#Data]),MATCH($A100,_xlfn.VSTACK(YES_Writing_ELA[Student Number],YES_Writing_FLA[Student Number]),0),MATCH(VLOOKUP(G$7,'Writing Logic'!$J$7:$K$11,2,FALSE)&amp;" - Per "&amp;VLOOKUP($C$4,'Writing Logic'!$G$8:$H$14,2,FALSE),YES_Writing_ELA[#Headers],0)))="INS",'Writing Logic'!$B$7,IF(INDEX(_xlfn.VSTACK(YES_Writing_ELA[#Data],YES_Writing_FLA[#Data]),MATCH($A100,_xlfn.VSTACK(YES_Writing_ELA[Student Number],YES_Writing_FLA[Student Number]),0),MATCH(VLOOKUP(G$7,'Writing Logic'!$J$7:$K$11,2,FALSE)&amp;" - Per "&amp;VLOOKUP($C$4,'Writing Logic'!$G$8:$H$14,2,FALSE),YES_Writing_ELA[#Headers],0))=0,"",INDEX(_xlfn.VSTACK(YES_Writing_ELA[#Data],YES_Writing_FLA[#Data]),MATCH($A100,_xlfn.VSTACK(YES_Writing_ELA[Student Number],YES_Writing_FLA[Student Number]),0),MATCH(VLOOKUP(G$7,'Writing Logic'!$J$7:$K$11,2,FALSE)&amp;" - Per "&amp;VLOOKUP($C$4,'Writing Logic'!$G$8:$H$14,2,FALSE),YES_Writing_ELA[#Headers],0)))),"")</f>
        <v/>
      </c>
      <c r="H100" s="223" t="str">
        <f>IFERROR(IF(IF(INDEX(_xlfn.VSTACK(YES_Writing_ELA[#Data],YES_Writing_FLA[#Data]),MATCH($A100,_xlfn.VSTACK(YES_Writing_ELA[Student Number],YES_Writing_FLA[Student Number]),0),MATCH(VLOOKUP(H$7,'Writing Logic'!$J$7:$K$11,2,FALSE)&amp;" - Per "&amp;VLOOKUP($C$4,'Writing Logic'!$G$8:$H$14,2,FALSE),YES_Writing_ELA[#Headers],0))=0,"",INDEX(_xlfn.VSTACK(YES_Writing_ELA[#Data],YES_Writing_FLA[#Data]),MATCH($A100,_xlfn.VSTACK(YES_Writing_ELA[Student Number],YES_Writing_FLA[Student Number]),0),MATCH(VLOOKUP(H$7,'Writing Logic'!$J$7:$K$11,2,FALSE)&amp;" - Per "&amp;VLOOKUP($C$4,'Writing Logic'!$G$8:$H$14,2,FALSE),YES_Writing_ELA[#Headers],0)))="INS",'Writing Logic'!$B$7,IF(INDEX(_xlfn.VSTACK(YES_Writing_ELA[#Data],YES_Writing_FLA[#Data]),MATCH($A100,_xlfn.VSTACK(YES_Writing_ELA[Student Number],YES_Writing_FLA[Student Number]),0),MATCH(VLOOKUP(H$7,'Writing Logic'!$J$7:$K$11,2,FALSE)&amp;" - Per "&amp;VLOOKUP($C$4,'Writing Logic'!$G$8:$H$14,2,FALSE),YES_Writing_ELA[#Headers],0))=0,"",INDEX(_xlfn.VSTACK(YES_Writing_ELA[#Data],YES_Writing_FLA[#Data]),MATCH($A100,_xlfn.VSTACK(YES_Writing_ELA[Student Number],YES_Writing_FLA[Student Number]),0),MATCH(VLOOKUP(H$7,'Writing Logic'!$J$7:$K$11,2,FALSE)&amp;" - Per "&amp;VLOOKUP($C$4,'Writing Logic'!$G$8:$H$14,2,FALSE),YES_Writing_ELA[#Headers],0)))),"")</f>
        <v/>
      </c>
      <c r="I100" s="224" t="str" cm="1">
        <f t="array" aca="1" ref="I100" ca="1">IFERROR(
IF($G$3="ELA",
IF(VLOOKUP($A100, YES_Reading_ELA[], COLUMN(INDIRECT("YES_Reading_ELA[Difference - Per "&amp;VLOOKUP($G$4, 'Reading Report Logic'!$A$2:$B$8, 2, FALSE)&amp;"]")), FALSE)="", "",
VLOOKUP($A100,YES_Reading_ELA[], COLUMN(INDIRECT("YES_Reading_ELA[Difference - Per "&amp;VLOOKUP($G$4,'Reading Report Logic'!$A$2:$B$8,2,FALSE)&amp;"]")), FALSE)),
IF($G$3="FLA",
IF(VLOOKUP($A100, YES_Reading_FLA[], COLUMN(INDIRECT("YES_Reading_FLA[Difference - Per "&amp;VLOOKUP($G$4,'Reading Report Logic'!$A$2:$B$8,2,FALSE)&amp;"]")),FALSE)="","",
VLOOKUP($A100,YES_Reading_FLA[],COLUMN(INDIRECT("YES_Reading_FLA[Difference - Per "&amp;VLOOKUP($G$4,'Reading Report Logic'!$A$2:$B$8,2,FALSE)&amp;"]")),FALSE)),
IF($G$3="Combined",
IFERROR(
IF(VLOOKUP($A100, YES_Reading_ELA[], COLUMN(INDIRECT("YES_Reading_ELA[Difference - Per "&amp;VLOOKUP($G$4, 'Reading Report Logic'!$A$2:$B$8,2,FALSE)&amp;"]")), FALSE)="", "",
VLOOKUP($A100,YES_Reading_ELA[],COLUMN(INDIRECT("YES_Reading_ELA[Difference - Per "&amp;VLOOKUP($G$4,'Reading Report Logic'!$A$2:$B$8,2,FALSE)&amp;"]")),FALSE)),
IF(VLOOKUP($A100, YES_Reading_FLA[], COLUMN(INDIRECT("YES_Reading_FLA[Difference - Per "&amp;VLOOKUP($G$4, 'Reading Report Logic'!$A$2:$B$8, 2, FALSE)&amp;"]")),FALSE)="", "", VLOOKUP($A100,YES_Reading_FLA[],COLUMN(INDIRECT("YES_Reading_FLA[Difference - Per "&amp;VLOOKUP($G$4, 'Reading Report Logic'!$A$2:$B$8, 2, FALSE)&amp;"]")),FALSE))),""))),"")</f>
        <v/>
      </c>
    </row>
    <row r="101" spans="1:9" ht="14.25" customHeight="1" x14ac:dyDescent="0.25">
      <c r="A101" s="137"/>
      <c r="B101" s="137" t="str">
        <f>IFERROR(INDEX(_xlfn.VSTACK(YES_Writing_ELA[#Data], YES_Writing_FLA[#Data]),MATCH($A101,_xlfn.VSTACK(YES_Writing_ELA[Student Number], YES_Writing_FLA[Student Number]),0),MATCH(B$7,YES_Writing_ELA[#Headers],0)),IFERROR(INDEX(_xlfn.VSTACK(YES_Reading_ELA[#Data], YES_Reading_FLA[#Data]),MATCH($A101,_xlfn.VSTACK(YES_Reading_ELA[Student Number], YES_Reading_FLA[Student Number]),0),MATCH(B$7,YES_Reading_ELA[#Headers],0)),""))</f>
        <v/>
      </c>
      <c r="C101" s="137" t="str">
        <f>IFERROR(INDEX(_xlfn.VSTACK(YES_Writing_ELA[#Data], YES_Writing_FLA[#Data]),MATCH($A101,_xlfn.VSTACK(YES_Writing_ELA[Student Number], YES_Writing_FLA[Student Number]),0),MATCH(C$7,YES_Writing_ELA[#Headers],0)),IFERROR(INDEX(_xlfn.VSTACK(YES_Reading_ELA[#Data], YES_Reading_FLA[#Data]),MATCH($A101,_xlfn.VSTACK(YES_Reading_ELA[Student Number], YES_Reading_FLA[Student Number]),0),MATCH(C$7,YES_Reading_ELA[#Headers],0)),""))</f>
        <v/>
      </c>
      <c r="D101" s="138" t="str">
        <f>IFERROR(IF(IF(INDEX(_xlfn.VSTACK(YES_Writing_ELA[#Data],YES_Writing_FLA[#Data]),MATCH($A101,_xlfn.VSTACK(YES_Writing_ELA[Student Number],YES_Writing_FLA[Student Number]),0),MATCH(VLOOKUP(D$7,'Writing Logic'!$J$7:$K$11,2,FALSE)&amp;" - Per "&amp;VLOOKUP($C$4,'Writing Logic'!$G$8:$H$14,2,FALSE),YES_Writing_ELA[#Headers],0))=0,"",INDEX(_xlfn.VSTACK(YES_Writing_ELA[#Data],YES_Writing_FLA[#Data]),MATCH($A101,_xlfn.VSTACK(YES_Writing_ELA[Student Number],YES_Writing_FLA[Student Number]),0),MATCH(VLOOKUP(D$7,'Writing Logic'!$J$7:$K$11,2,FALSE)&amp;" - Per "&amp;VLOOKUP($C$4,'Writing Logic'!$G$8:$H$14,2,FALSE),YES_Writing_ELA[#Headers],0)))="INS",'Writing Logic'!$B$7,IF(INDEX(_xlfn.VSTACK(YES_Writing_ELA[#Data],YES_Writing_FLA[#Data]),MATCH($A101,_xlfn.VSTACK(YES_Writing_ELA[Student Number],YES_Writing_FLA[Student Number]),0),MATCH(VLOOKUP(D$7,'Writing Logic'!$J$7:$K$11,2,FALSE)&amp;" - Per "&amp;VLOOKUP($C$4,'Writing Logic'!$G$8:$H$14,2,FALSE),YES_Writing_ELA[#Headers],0))=0,"",INDEX(_xlfn.VSTACK(YES_Writing_ELA[#Data],YES_Writing_FLA[#Data]),MATCH($A101,_xlfn.VSTACK(YES_Writing_ELA[Student Number],YES_Writing_FLA[Student Number]),0),MATCH(VLOOKUP(D$7,'Writing Logic'!$J$7:$K$11,2,FALSE)&amp;" - Per "&amp;VLOOKUP($C$4,'Writing Logic'!$G$8:$H$14,2,FALSE),YES_Writing_ELA[#Headers],0)))),"")</f>
        <v/>
      </c>
      <c r="E101" s="138" t="str">
        <f>IFERROR(IF(IF(INDEX(_xlfn.VSTACK(YES_Writing_ELA[#Data],YES_Writing_FLA[#Data]),MATCH($A101,_xlfn.VSTACK(YES_Writing_ELA[Student Number],YES_Writing_FLA[Student Number]),0),MATCH(VLOOKUP(E$7,'Writing Logic'!$J$7:$K$11,2,FALSE)&amp;" - Per "&amp;VLOOKUP($C$4,'Writing Logic'!$G$8:$H$14,2,FALSE),YES_Writing_ELA[#Headers],0))=0,"",INDEX(_xlfn.VSTACK(YES_Writing_ELA[#Data],YES_Writing_FLA[#Data]),MATCH($A101,_xlfn.VSTACK(YES_Writing_ELA[Student Number],YES_Writing_FLA[Student Number]),0),MATCH(VLOOKUP(E$7,'Writing Logic'!$J$7:$K$11,2,FALSE)&amp;" - Per "&amp;VLOOKUP($C$4,'Writing Logic'!$G$8:$H$14,2,FALSE),YES_Writing_ELA[#Headers],0)))="INS",'Writing Logic'!$B$7,IF(INDEX(_xlfn.VSTACK(YES_Writing_ELA[#Data],YES_Writing_FLA[#Data]),MATCH($A101,_xlfn.VSTACK(YES_Writing_ELA[Student Number],YES_Writing_FLA[Student Number]),0),MATCH(VLOOKUP(E$7,'Writing Logic'!$J$7:$K$11,2,FALSE)&amp;" - Per "&amp;VLOOKUP($C$4,'Writing Logic'!$G$8:$H$14,2,FALSE),YES_Writing_ELA[#Headers],0))=0,"",INDEX(_xlfn.VSTACK(YES_Writing_ELA[#Data],YES_Writing_FLA[#Data]),MATCH($A101,_xlfn.VSTACK(YES_Writing_ELA[Student Number],YES_Writing_FLA[Student Number]),0),MATCH(VLOOKUP(E$7,'Writing Logic'!$J$7:$K$11,2,FALSE)&amp;" - Per "&amp;VLOOKUP($C$4,'Writing Logic'!$G$8:$H$14,2,FALSE),YES_Writing_ELA[#Headers],0)))),"")</f>
        <v/>
      </c>
      <c r="F101" s="138" t="str">
        <f>IFERROR(IF(IF(INDEX(_xlfn.VSTACK(YES_Writing_ELA[#Data],YES_Writing_FLA[#Data]),MATCH($A101,_xlfn.VSTACK(YES_Writing_ELA[Student Number],YES_Writing_FLA[Student Number]),0),MATCH(VLOOKUP(F$7,'Writing Logic'!$J$7:$K$11,2,FALSE)&amp;" - Per "&amp;VLOOKUP($C$4,'Writing Logic'!$G$8:$H$14,2,FALSE),YES_Writing_ELA[#Headers],0))=0,"",INDEX(_xlfn.VSTACK(YES_Writing_ELA[#Data],YES_Writing_FLA[#Data]),MATCH($A101,_xlfn.VSTACK(YES_Writing_ELA[Student Number],YES_Writing_FLA[Student Number]),0),MATCH(VLOOKUP(F$7,'Writing Logic'!$J$7:$K$11,2,FALSE)&amp;" - Per "&amp;VLOOKUP($C$4,'Writing Logic'!$G$8:$H$14,2,FALSE),YES_Writing_ELA[#Headers],0)))="INS",'Writing Logic'!$B$7,IF(INDEX(_xlfn.VSTACK(YES_Writing_ELA[#Data],YES_Writing_FLA[#Data]),MATCH($A101,_xlfn.VSTACK(YES_Writing_ELA[Student Number],YES_Writing_FLA[Student Number]),0),MATCH(VLOOKUP(F$7,'Writing Logic'!$J$7:$K$11,2,FALSE)&amp;" - Per "&amp;VLOOKUP($C$4,'Writing Logic'!$G$8:$H$14,2,FALSE),YES_Writing_ELA[#Headers],0))=0,"",INDEX(_xlfn.VSTACK(YES_Writing_ELA[#Data],YES_Writing_FLA[#Data]),MATCH($A101,_xlfn.VSTACK(YES_Writing_ELA[Student Number],YES_Writing_FLA[Student Number]),0),MATCH(VLOOKUP(F$7,'Writing Logic'!$J$7:$K$11,2,FALSE)&amp;" - Per "&amp;VLOOKUP($C$4,'Writing Logic'!$G$8:$H$14,2,FALSE),YES_Writing_ELA[#Headers],0)))),"")</f>
        <v/>
      </c>
      <c r="G101" s="138" t="str">
        <f>IFERROR(IF(IF(INDEX(_xlfn.VSTACK(YES_Writing_ELA[#Data],YES_Writing_FLA[#Data]),MATCH($A101,_xlfn.VSTACK(YES_Writing_ELA[Student Number],YES_Writing_FLA[Student Number]),0),MATCH(VLOOKUP(G$7,'Writing Logic'!$J$7:$K$11,2,FALSE)&amp;" - Per "&amp;VLOOKUP($C$4,'Writing Logic'!$G$8:$H$14,2,FALSE),YES_Writing_ELA[#Headers],0))=0,"",INDEX(_xlfn.VSTACK(YES_Writing_ELA[#Data],YES_Writing_FLA[#Data]),MATCH($A101,_xlfn.VSTACK(YES_Writing_ELA[Student Number],YES_Writing_FLA[Student Number]),0),MATCH(VLOOKUP(G$7,'Writing Logic'!$J$7:$K$11,2,FALSE)&amp;" - Per "&amp;VLOOKUP($C$4,'Writing Logic'!$G$8:$H$14,2,FALSE),YES_Writing_ELA[#Headers],0)))="INS",'Writing Logic'!$B$7,IF(INDEX(_xlfn.VSTACK(YES_Writing_ELA[#Data],YES_Writing_FLA[#Data]),MATCH($A101,_xlfn.VSTACK(YES_Writing_ELA[Student Number],YES_Writing_FLA[Student Number]),0),MATCH(VLOOKUP(G$7,'Writing Logic'!$J$7:$K$11,2,FALSE)&amp;" - Per "&amp;VLOOKUP($C$4,'Writing Logic'!$G$8:$H$14,2,FALSE),YES_Writing_ELA[#Headers],0))=0,"",INDEX(_xlfn.VSTACK(YES_Writing_ELA[#Data],YES_Writing_FLA[#Data]),MATCH($A101,_xlfn.VSTACK(YES_Writing_ELA[Student Number],YES_Writing_FLA[Student Number]),0),MATCH(VLOOKUP(G$7,'Writing Logic'!$J$7:$K$11,2,FALSE)&amp;" - Per "&amp;VLOOKUP($C$4,'Writing Logic'!$G$8:$H$14,2,FALSE),YES_Writing_ELA[#Headers],0)))),"")</f>
        <v/>
      </c>
      <c r="H101" s="223" t="str">
        <f>IFERROR(IF(IF(INDEX(_xlfn.VSTACK(YES_Writing_ELA[#Data],YES_Writing_FLA[#Data]),MATCH($A101,_xlfn.VSTACK(YES_Writing_ELA[Student Number],YES_Writing_FLA[Student Number]),0),MATCH(VLOOKUP(H$7,'Writing Logic'!$J$7:$K$11,2,FALSE)&amp;" - Per "&amp;VLOOKUP($C$4,'Writing Logic'!$G$8:$H$14,2,FALSE),YES_Writing_ELA[#Headers],0))=0,"",INDEX(_xlfn.VSTACK(YES_Writing_ELA[#Data],YES_Writing_FLA[#Data]),MATCH($A101,_xlfn.VSTACK(YES_Writing_ELA[Student Number],YES_Writing_FLA[Student Number]),0),MATCH(VLOOKUP(H$7,'Writing Logic'!$J$7:$K$11,2,FALSE)&amp;" - Per "&amp;VLOOKUP($C$4,'Writing Logic'!$G$8:$H$14,2,FALSE),YES_Writing_ELA[#Headers],0)))="INS",'Writing Logic'!$B$7,IF(INDEX(_xlfn.VSTACK(YES_Writing_ELA[#Data],YES_Writing_FLA[#Data]),MATCH($A101,_xlfn.VSTACK(YES_Writing_ELA[Student Number],YES_Writing_FLA[Student Number]),0),MATCH(VLOOKUP(H$7,'Writing Logic'!$J$7:$K$11,2,FALSE)&amp;" - Per "&amp;VLOOKUP($C$4,'Writing Logic'!$G$8:$H$14,2,FALSE),YES_Writing_ELA[#Headers],0))=0,"",INDEX(_xlfn.VSTACK(YES_Writing_ELA[#Data],YES_Writing_FLA[#Data]),MATCH($A101,_xlfn.VSTACK(YES_Writing_ELA[Student Number],YES_Writing_FLA[Student Number]),0),MATCH(VLOOKUP(H$7,'Writing Logic'!$J$7:$K$11,2,FALSE)&amp;" - Per "&amp;VLOOKUP($C$4,'Writing Logic'!$G$8:$H$14,2,FALSE),YES_Writing_ELA[#Headers],0)))),"")</f>
        <v/>
      </c>
      <c r="I101" s="224" t="str" cm="1">
        <f t="array" aca="1" ref="I101" ca="1">IFERROR(
IF($G$3="ELA",
IF(VLOOKUP($A101, YES_Reading_ELA[], COLUMN(INDIRECT("YES_Reading_ELA[Difference - Per "&amp;VLOOKUP($G$4, 'Reading Report Logic'!$A$2:$B$8, 2, FALSE)&amp;"]")), FALSE)="", "",
VLOOKUP($A101,YES_Reading_ELA[], COLUMN(INDIRECT("YES_Reading_ELA[Difference - Per "&amp;VLOOKUP($G$4,'Reading Report Logic'!$A$2:$B$8,2,FALSE)&amp;"]")), FALSE)),
IF($G$3="FLA",
IF(VLOOKUP($A101, YES_Reading_FLA[], COLUMN(INDIRECT("YES_Reading_FLA[Difference - Per "&amp;VLOOKUP($G$4,'Reading Report Logic'!$A$2:$B$8,2,FALSE)&amp;"]")),FALSE)="","",
VLOOKUP($A101,YES_Reading_FLA[],COLUMN(INDIRECT("YES_Reading_FLA[Difference - Per "&amp;VLOOKUP($G$4,'Reading Report Logic'!$A$2:$B$8,2,FALSE)&amp;"]")),FALSE)),
IF($G$3="Combined",
IFERROR(
IF(VLOOKUP($A101, YES_Reading_ELA[], COLUMN(INDIRECT("YES_Reading_ELA[Difference - Per "&amp;VLOOKUP($G$4, 'Reading Report Logic'!$A$2:$B$8,2,FALSE)&amp;"]")), FALSE)="", "",
VLOOKUP($A101,YES_Reading_ELA[],COLUMN(INDIRECT("YES_Reading_ELA[Difference - Per "&amp;VLOOKUP($G$4,'Reading Report Logic'!$A$2:$B$8,2,FALSE)&amp;"]")),FALSE)),
IF(VLOOKUP($A101, YES_Reading_FLA[], COLUMN(INDIRECT("YES_Reading_FLA[Difference - Per "&amp;VLOOKUP($G$4, 'Reading Report Logic'!$A$2:$B$8, 2, FALSE)&amp;"]")),FALSE)="", "", VLOOKUP($A101,YES_Reading_FLA[],COLUMN(INDIRECT("YES_Reading_FLA[Difference - Per "&amp;VLOOKUP($G$4, 'Reading Report Logic'!$A$2:$B$8, 2, FALSE)&amp;"]")),FALSE))),""))),"")</f>
        <v/>
      </c>
    </row>
    <row r="102" spans="1:9" ht="14.25" customHeight="1" x14ac:dyDescent="0.25">
      <c r="A102" s="137"/>
      <c r="B102" s="137" t="str">
        <f>IFERROR(INDEX(_xlfn.VSTACK(YES_Writing_ELA[#Data], YES_Writing_FLA[#Data]),MATCH($A102,_xlfn.VSTACK(YES_Writing_ELA[Student Number], YES_Writing_FLA[Student Number]),0),MATCH(B$7,YES_Writing_ELA[#Headers],0)),IFERROR(INDEX(_xlfn.VSTACK(YES_Reading_ELA[#Data], YES_Reading_FLA[#Data]),MATCH($A102,_xlfn.VSTACK(YES_Reading_ELA[Student Number], YES_Reading_FLA[Student Number]),0),MATCH(B$7,YES_Reading_ELA[#Headers],0)),""))</f>
        <v/>
      </c>
      <c r="C102" s="137" t="str">
        <f>IFERROR(INDEX(_xlfn.VSTACK(YES_Writing_ELA[#Data], YES_Writing_FLA[#Data]),MATCH($A102,_xlfn.VSTACK(YES_Writing_ELA[Student Number], YES_Writing_FLA[Student Number]),0),MATCH(C$7,YES_Writing_ELA[#Headers],0)),IFERROR(INDEX(_xlfn.VSTACK(YES_Reading_ELA[#Data], YES_Reading_FLA[#Data]),MATCH($A102,_xlfn.VSTACK(YES_Reading_ELA[Student Number], YES_Reading_FLA[Student Number]),0),MATCH(C$7,YES_Reading_ELA[#Headers],0)),""))</f>
        <v/>
      </c>
      <c r="D102" s="138" t="str">
        <f>IFERROR(IF(IF(INDEX(_xlfn.VSTACK(YES_Writing_ELA[#Data],YES_Writing_FLA[#Data]),MATCH($A102,_xlfn.VSTACK(YES_Writing_ELA[Student Number],YES_Writing_FLA[Student Number]),0),MATCH(VLOOKUP(D$7,'Writing Logic'!$J$7:$K$11,2,FALSE)&amp;" - Per "&amp;VLOOKUP($C$4,'Writing Logic'!$G$8:$H$14,2,FALSE),YES_Writing_ELA[#Headers],0))=0,"",INDEX(_xlfn.VSTACK(YES_Writing_ELA[#Data],YES_Writing_FLA[#Data]),MATCH($A102,_xlfn.VSTACK(YES_Writing_ELA[Student Number],YES_Writing_FLA[Student Number]),0),MATCH(VLOOKUP(D$7,'Writing Logic'!$J$7:$K$11,2,FALSE)&amp;" - Per "&amp;VLOOKUP($C$4,'Writing Logic'!$G$8:$H$14,2,FALSE),YES_Writing_ELA[#Headers],0)))="INS",'Writing Logic'!$B$7,IF(INDEX(_xlfn.VSTACK(YES_Writing_ELA[#Data],YES_Writing_FLA[#Data]),MATCH($A102,_xlfn.VSTACK(YES_Writing_ELA[Student Number],YES_Writing_FLA[Student Number]),0),MATCH(VLOOKUP(D$7,'Writing Logic'!$J$7:$K$11,2,FALSE)&amp;" - Per "&amp;VLOOKUP($C$4,'Writing Logic'!$G$8:$H$14,2,FALSE),YES_Writing_ELA[#Headers],0))=0,"",INDEX(_xlfn.VSTACK(YES_Writing_ELA[#Data],YES_Writing_FLA[#Data]),MATCH($A102,_xlfn.VSTACK(YES_Writing_ELA[Student Number],YES_Writing_FLA[Student Number]),0),MATCH(VLOOKUP(D$7,'Writing Logic'!$J$7:$K$11,2,FALSE)&amp;" - Per "&amp;VLOOKUP($C$4,'Writing Logic'!$G$8:$H$14,2,FALSE),YES_Writing_ELA[#Headers],0)))),"")</f>
        <v/>
      </c>
      <c r="E102" s="138" t="str">
        <f>IFERROR(IF(IF(INDEX(_xlfn.VSTACK(YES_Writing_ELA[#Data],YES_Writing_FLA[#Data]),MATCH($A102,_xlfn.VSTACK(YES_Writing_ELA[Student Number],YES_Writing_FLA[Student Number]),0),MATCH(VLOOKUP(E$7,'Writing Logic'!$J$7:$K$11,2,FALSE)&amp;" - Per "&amp;VLOOKUP($C$4,'Writing Logic'!$G$8:$H$14,2,FALSE),YES_Writing_ELA[#Headers],0))=0,"",INDEX(_xlfn.VSTACK(YES_Writing_ELA[#Data],YES_Writing_FLA[#Data]),MATCH($A102,_xlfn.VSTACK(YES_Writing_ELA[Student Number],YES_Writing_FLA[Student Number]),0),MATCH(VLOOKUP(E$7,'Writing Logic'!$J$7:$K$11,2,FALSE)&amp;" - Per "&amp;VLOOKUP($C$4,'Writing Logic'!$G$8:$H$14,2,FALSE),YES_Writing_ELA[#Headers],0)))="INS",'Writing Logic'!$B$7,IF(INDEX(_xlfn.VSTACK(YES_Writing_ELA[#Data],YES_Writing_FLA[#Data]),MATCH($A102,_xlfn.VSTACK(YES_Writing_ELA[Student Number],YES_Writing_FLA[Student Number]),0),MATCH(VLOOKUP(E$7,'Writing Logic'!$J$7:$K$11,2,FALSE)&amp;" - Per "&amp;VLOOKUP($C$4,'Writing Logic'!$G$8:$H$14,2,FALSE),YES_Writing_ELA[#Headers],0))=0,"",INDEX(_xlfn.VSTACK(YES_Writing_ELA[#Data],YES_Writing_FLA[#Data]),MATCH($A102,_xlfn.VSTACK(YES_Writing_ELA[Student Number],YES_Writing_FLA[Student Number]),0),MATCH(VLOOKUP(E$7,'Writing Logic'!$J$7:$K$11,2,FALSE)&amp;" - Per "&amp;VLOOKUP($C$4,'Writing Logic'!$G$8:$H$14,2,FALSE),YES_Writing_ELA[#Headers],0)))),"")</f>
        <v/>
      </c>
      <c r="F102" s="138" t="str">
        <f>IFERROR(IF(IF(INDEX(_xlfn.VSTACK(YES_Writing_ELA[#Data],YES_Writing_FLA[#Data]),MATCH($A102,_xlfn.VSTACK(YES_Writing_ELA[Student Number],YES_Writing_FLA[Student Number]),0),MATCH(VLOOKUP(F$7,'Writing Logic'!$J$7:$K$11,2,FALSE)&amp;" - Per "&amp;VLOOKUP($C$4,'Writing Logic'!$G$8:$H$14,2,FALSE),YES_Writing_ELA[#Headers],0))=0,"",INDEX(_xlfn.VSTACK(YES_Writing_ELA[#Data],YES_Writing_FLA[#Data]),MATCH($A102,_xlfn.VSTACK(YES_Writing_ELA[Student Number],YES_Writing_FLA[Student Number]),0),MATCH(VLOOKUP(F$7,'Writing Logic'!$J$7:$K$11,2,FALSE)&amp;" - Per "&amp;VLOOKUP($C$4,'Writing Logic'!$G$8:$H$14,2,FALSE),YES_Writing_ELA[#Headers],0)))="INS",'Writing Logic'!$B$7,IF(INDEX(_xlfn.VSTACK(YES_Writing_ELA[#Data],YES_Writing_FLA[#Data]),MATCH($A102,_xlfn.VSTACK(YES_Writing_ELA[Student Number],YES_Writing_FLA[Student Number]),0),MATCH(VLOOKUP(F$7,'Writing Logic'!$J$7:$K$11,2,FALSE)&amp;" - Per "&amp;VLOOKUP($C$4,'Writing Logic'!$G$8:$H$14,2,FALSE),YES_Writing_ELA[#Headers],0))=0,"",INDEX(_xlfn.VSTACK(YES_Writing_ELA[#Data],YES_Writing_FLA[#Data]),MATCH($A102,_xlfn.VSTACK(YES_Writing_ELA[Student Number],YES_Writing_FLA[Student Number]),0),MATCH(VLOOKUP(F$7,'Writing Logic'!$J$7:$K$11,2,FALSE)&amp;" - Per "&amp;VLOOKUP($C$4,'Writing Logic'!$G$8:$H$14,2,FALSE),YES_Writing_ELA[#Headers],0)))),"")</f>
        <v/>
      </c>
      <c r="G102" s="138" t="str">
        <f>IFERROR(IF(IF(INDEX(_xlfn.VSTACK(YES_Writing_ELA[#Data],YES_Writing_FLA[#Data]),MATCH($A102,_xlfn.VSTACK(YES_Writing_ELA[Student Number],YES_Writing_FLA[Student Number]),0),MATCH(VLOOKUP(G$7,'Writing Logic'!$J$7:$K$11,2,FALSE)&amp;" - Per "&amp;VLOOKUP($C$4,'Writing Logic'!$G$8:$H$14,2,FALSE),YES_Writing_ELA[#Headers],0))=0,"",INDEX(_xlfn.VSTACK(YES_Writing_ELA[#Data],YES_Writing_FLA[#Data]),MATCH($A102,_xlfn.VSTACK(YES_Writing_ELA[Student Number],YES_Writing_FLA[Student Number]),0),MATCH(VLOOKUP(G$7,'Writing Logic'!$J$7:$K$11,2,FALSE)&amp;" - Per "&amp;VLOOKUP($C$4,'Writing Logic'!$G$8:$H$14,2,FALSE),YES_Writing_ELA[#Headers],0)))="INS",'Writing Logic'!$B$7,IF(INDEX(_xlfn.VSTACK(YES_Writing_ELA[#Data],YES_Writing_FLA[#Data]),MATCH($A102,_xlfn.VSTACK(YES_Writing_ELA[Student Number],YES_Writing_FLA[Student Number]),0),MATCH(VLOOKUP(G$7,'Writing Logic'!$J$7:$K$11,2,FALSE)&amp;" - Per "&amp;VLOOKUP($C$4,'Writing Logic'!$G$8:$H$14,2,FALSE),YES_Writing_ELA[#Headers],0))=0,"",INDEX(_xlfn.VSTACK(YES_Writing_ELA[#Data],YES_Writing_FLA[#Data]),MATCH($A102,_xlfn.VSTACK(YES_Writing_ELA[Student Number],YES_Writing_FLA[Student Number]),0),MATCH(VLOOKUP(G$7,'Writing Logic'!$J$7:$K$11,2,FALSE)&amp;" - Per "&amp;VLOOKUP($C$4,'Writing Logic'!$G$8:$H$14,2,FALSE),YES_Writing_ELA[#Headers],0)))),"")</f>
        <v/>
      </c>
      <c r="H102" s="223" t="str">
        <f>IFERROR(IF(IF(INDEX(_xlfn.VSTACK(YES_Writing_ELA[#Data],YES_Writing_FLA[#Data]),MATCH($A102,_xlfn.VSTACK(YES_Writing_ELA[Student Number],YES_Writing_FLA[Student Number]),0),MATCH(VLOOKUP(H$7,'Writing Logic'!$J$7:$K$11,2,FALSE)&amp;" - Per "&amp;VLOOKUP($C$4,'Writing Logic'!$G$8:$H$14,2,FALSE),YES_Writing_ELA[#Headers],0))=0,"",INDEX(_xlfn.VSTACK(YES_Writing_ELA[#Data],YES_Writing_FLA[#Data]),MATCH($A102,_xlfn.VSTACK(YES_Writing_ELA[Student Number],YES_Writing_FLA[Student Number]),0),MATCH(VLOOKUP(H$7,'Writing Logic'!$J$7:$K$11,2,FALSE)&amp;" - Per "&amp;VLOOKUP($C$4,'Writing Logic'!$G$8:$H$14,2,FALSE),YES_Writing_ELA[#Headers],0)))="INS",'Writing Logic'!$B$7,IF(INDEX(_xlfn.VSTACK(YES_Writing_ELA[#Data],YES_Writing_FLA[#Data]),MATCH($A102,_xlfn.VSTACK(YES_Writing_ELA[Student Number],YES_Writing_FLA[Student Number]),0),MATCH(VLOOKUP(H$7,'Writing Logic'!$J$7:$K$11,2,FALSE)&amp;" - Per "&amp;VLOOKUP($C$4,'Writing Logic'!$G$8:$H$14,2,FALSE),YES_Writing_ELA[#Headers],0))=0,"",INDEX(_xlfn.VSTACK(YES_Writing_ELA[#Data],YES_Writing_FLA[#Data]),MATCH($A102,_xlfn.VSTACK(YES_Writing_ELA[Student Number],YES_Writing_FLA[Student Number]),0),MATCH(VLOOKUP(H$7,'Writing Logic'!$J$7:$K$11,2,FALSE)&amp;" - Per "&amp;VLOOKUP($C$4,'Writing Logic'!$G$8:$H$14,2,FALSE),YES_Writing_ELA[#Headers],0)))),"")</f>
        <v/>
      </c>
      <c r="I102" s="224" t="str" cm="1">
        <f t="array" aca="1" ref="I102" ca="1">IFERROR(
IF($G$3="ELA",
IF(VLOOKUP($A102, YES_Reading_ELA[], COLUMN(INDIRECT("YES_Reading_ELA[Difference - Per "&amp;VLOOKUP($G$4, 'Reading Report Logic'!$A$2:$B$8, 2, FALSE)&amp;"]")), FALSE)="", "",
VLOOKUP($A102,YES_Reading_ELA[], COLUMN(INDIRECT("YES_Reading_ELA[Difference - Per "&amp;VLOOKUP($G$4,'Reading Report Logic'!$A$2:$B$8,2,FALSE)&amp;"]")), FALSE)),
IF($G$3="FLA",
IF(VLOOKUP($A102, YES_Reading_FLA[], COLUMN(INDIRECT("YES_Reading_FLA[Difference - Per "&amp;VLOOKUP($G$4,'Reading Report Logic'!$A$2:$B$8,2,FALSE)&amp;"]")),FALSE)="","",
VLOOKUP($A102,YES_Reading_FLA[],COLUMN(INDIRECT("YES_Reading_FLA[Difference - Per "&amp;VLOOKUP($G$4,'Reading Report Logic'!$A$2:$B$8,2,FALSE)&amp;"]")),FALSE)),
IF($G$3="Combined",
IFERROR(
IF(VLOOKUP($A102, YES_Reading_ELA[], COLUMN(INDIRECT("YES_Reading_ELA[Difference - Per "&amp;VLOOKUP($G$4, 'Reading Report Logic'!$A$2:$B$8,2,FALSE)&amp;"]")), FALSE)="", "",
VLOOKUP($A102,YES_Reading_ELA[],COLUMN(INDIRECT("YES_Reading_ELA[Difference - Per "&amp;VLOOKUP($G$4,'Reading Report Logic'!$A$2:$B$8,2,FALSE)&amp;"]")),FALSE)),
IF(VLOOKUP($A102, YES_Reading_FLA[], COLUMN(INDIRECT("YES_Reading_FLA[Difference - Per "&amp;VLOOKUP($G$4, 'Reading Report Logic'!$A$2:$B$8, 2, FALSE)&amp;"]")),FALSE)="", "", VLOOKUP($A102,YES_Reading_FLA[],COLUMN(INDIRECT("YES_Reading_FLA[Difference - Per "&amp;VLOOKUP($G$4, 'Reading Report Logic'!$A$2:$B$8, 2, FALSE)&amp;"]")),FALSE))),""))),"")</f>
        <v/>
      </c>
    </row>
    <row r="103" spans="1:9" ht="14.25" customHeight="1" x14ac:dyDescent="0.25">
      <c r="A103" s="137"/>
      <c r="B103" s="137" t="str">
        <f>IFERROR(INDEX(_xlfn.VSTACK(YES_Writing_ELA[#Data], YES_Writing_FLA[#Data]),MATCH($A103,_xlfn.VSTACK(YES_Writing_ELA[Student Number], YES_Writing_FLA[Student Number]),0),MATCH(B$7,YES_Writing_ELA[#Headers],0)),IFERROR(INDEX(_xlfn.VSTACK(YES_Reading_ELA[#Data], YES_Reading_FLA[#Data]),MATCH($A103,_xlfn.VSTACK(YES_Reading_ELA[Student Number], YES_Reading_FLA[Student Number]),0),MATCH(B$7,YES_Reading_ELA[#Headers],0)),""))</f>
        <v/>
      </c>
      <c r="C103" s="137" t="str">
        <f>IFERROR(INDEX(_xlfn.VSTACK(YES_Writing_ELA[#Data], YES_Writing_FLA[#Data]),MATCH($A103,_xlfn.VSTACK(YES_Writing_ELA[Student Number], YES_Writing_FLA[Student Number]),0),MATCH(C$7,YES_Writing_ELA[#Headers],0)),IFERROR(INDEX(_xlfn.VSTACK(YES_Reading_ELA[#Data], YES_Reading_FLA[#Data]),MATCH($A103,_xlfn.VSTACK(YES_Reading_ELA[Student Number], YES_Reading_FLA[Student Number]),0),MATCH(C$7,YES_Reading_ELA[#Headers],0)),""))</f>
        <v/>
      </c>
      <c r="D103" s="138" t="str">
        <f>IFERROR(IF(IF(INDEX(_xlfn.VSTACK(YES_Writing_ELA[#Data],YES_Writing_FLA[#Data]),MATCH($A103,_xlfn.VSTACK(YES_Writing_ELA[Student Number],YES_Writing_FLA[Student Number]),0),MATCH(VLOOKUP(D$7,'Writing Logic'!$J$7:$K$11,2,FALSE)&amp;" - Per "&amp;VLOOKUP($C$4,'Writing Logic'!$G$8:$H$14,2,FALSE),YES_Writing_ELA[#Headers],0))=0,"",INDEX(_xlfn.VSTACK(YES_Writing_ELA[#Data],YES_Writing_FLA[#Data]),MATCH($A103,_xlfn.VSTACK(YES_Writing_ELA[Student Number],YES_Writing_FLA[Student Number]),0),MATCH(VLOOKUP(D$7,'Writing Logic'!$J$7:$K$11,2,FALSE)&amp;" - Per "&amp;VLOOKUP($C$4,'Writing Logic'!$G$8:$H$14,2,FALSE),YES_Writing_ELA[#Headers],0)))="INS",'Writing Logic'!$B$7,IF(INDEX(_xlfn.VSTACK(YES_Writing_ELA[#Data],YES_Writing_FLA[#Data]),MATCH($A103,_xlfn.VSTACK(YES_Writing_ELA[Student Number],YES_Writing_FLA[Student Number]),0),MATCH(VLOOKUP(D$7,'Writing Logic'!$J$7:$K$11,2,FALSE)&amp;" - Per "&amp;VLOOKUP($C$4,'Writing Logic'!$G$8:$H$14,2,FALSE),YES_Writing_ELA[#Headers],0))=0,"",INDEX(_xlfn.VSTACK(YES_Writing_ELA[#Data],YES_Writing_FLA[#Data]),MATCH($A103,_xlfn.VSTACK(YES_Writing_ELA[Student Number],YES_Writing_FLA[Student Number]),0),MATCH(VLOOKUP(D$7,'Writing Logic'!$J$7:$K$11,2,FALSE)&amp;" - Per "&amp;VLOOKUP($C$4,'Writing Logic'!$G$8:$H$14,2,FALSE),YES_Writing_ELA[#Headers],0)))),"")</f>
        <v/>
      </c>
      <c r="E103" s="138" t="str">
        <f>IFERROR(IF(IF(INDEX(_xlfn.VSTACK(YES_Writing_ELA[#Data],YES_Writing_FLA[#Data]),MATCH($A103,_xlfn.VSTACK(YES_Writing_ELA[Student Number],YES_Writing_FLA[Student Number]),0),MATCH(VLOOKUP(E$7,'Writing Logic'!$J$7:$K$11,2,FALSE)&amp;" - Per "&amp;VLOOKUP($C$4,'Writing Logic'!$G$8:$H$14,2,FALSE),YES_Writing_ELA[#Headers],0))=0,"",INDEX(_xlfn.VSTACK(YES_Writing_ELA[#Data],YES_Writing_FLA[#Data]),MATCH($A103,_xlfn.VSTACK(YES_Writing_ELA[Student Number],YES_Writing_FLA[Student Number]),0),MATCH(VLOOKUP(E$7,'Writing Logic'!$J$7:$K$11,2,FALSE)&amp;" - Per "&amp;VLOOKUP($C$4,'Writing Logic'!$G$8:$H$14,2,FALSE),YES_Writing_ELA[#Headers],0)))="INS",'Writing Logic'!$B$7,IF(INDEX(_xlfn.VSTACK(YES_Writing_ELA[#Data],YES_Writing_FLA[#Data]),MATCH($A103,_xlfn.VSTACK(YES_Writing_ELA[Student Number],YES_Writing_FLA[Student Number]),0),MATCH(VLOOKUP(E$7,'Writing Logic'!$J$7:$K$11,2,FALSE)&amp;" - Per "&amp;VLOOKUP($C$4,'Writing Logic'!$G$8:$H$14,2,FALSE),YES_Writing_ELA[#Headers],0))=0,"",INDEX(_xlfn.VSTACK(YES_Writing_ELA[#Data],YES_Writing_FLA[#Data]),MATCH($A103,_xlfn.VSTACK(YES_Writing_ELA[Student Number],YES_Writing_FLA[Student Number]),0),MATCH(VLOOKUP(E$7,'Writing Logic'!$J$7:$K$11,2,FALSE)&amp;" - Per "&amp;VLOOKUP($C$4,'Writing Logic'!$G$8:$H$14,2,FALSE),YES_Writing_ELA[#Headers],0)))),"")</f>
        <v/>
      </c>
      <c r="F103" s="138" t="str">
        <f>IFERROR(IF(IF(INDEX(_xlfn.VSTACK(YES_Writing_ELA[#Data],YES_Writing_FLA[#Data]),MATCH($A103,_xlfn.VSTACK(YES_Writing_ELA[Student Number],YES_Writing_FLA[Student Number]),0),MATCH(VLOOKUP(F$7,'Writing Logic'!$J$7:$K$11,2,FALSE)&amp;" - Per "&amp;VLOOKUP($C$4,'Writing Logic'!$G$8:$H$14,2,FALSE),YES_Writing_ELA[#Headers],0))=0,"",INDEX(_xlfn.VSTACK(YES_Writing_ELA[#Data],YES_Writing_FLA[#Data]),MATCH($A103,_xlfn.VSTACK(YES_Writing_ELA[Student Number],YES_Writing_FLA[Student Number]),0),MATCH(VLOOKUP(F$7,'Writing Logic'!$J$7:$K$11,2,FALSE)&amp;" - Per "&amp;VLOOKUP($C$4,'Writing Logic'!$G$8:$H$14,2,FALSE),YES_Writing_ELA[#Headers],0)))="INS",'Writing Logic'!$B$7,IF(INDEX(_xlfn.VSTACK(YES_Writing_ELA[#Data],YES_Writing_FLA[#Data]),MATCH($A103,_xlfn.VSTACK(YES_Writing_ELA[Student Number],YES_Writing_FLA[Student Number]),0),MATCH(VLOOKUP(F$7,'Writing Logic'!$J$7:$K$11,2,FALSE)&amp;" - Per "&amp;VLOOKUP($C$4,'Writing Logic'!$G$8:$H$14,2,FALSE),YES_Writing_ELA[#Headers],0))=0,"",INDEX(_xlfn.VSTACK(YES_Writing_ELA[#Data],YES_Writing_FLA[#Data]),MATCH($A103,_xlfn.VSTACK(YES_Writing_ELA[Student Number],YES_Writing_FLA[Student Number]),0),MATCH(VLOOKUP(F$7,'Writing Logic'!$J$7:$K$11,2,FALSE)&amp;" - Per "&amp;VLOOKUP($C$4,'Writing Logic'!$G$8:$H$14,2,FALSE),YES_Writing_ELA[#Headers],0)))),"")</f>
        <v/>
      </c>
      <c r="G103" s="138" t="str">
        <f>IFERROR(IF(IF(INDEX(_xlfn.VSTACK(YES_Writing_ELA[#Data],YES_Writing_FLA[#Data]),MATCH($A103,_xlfn.VSTACK(YES_Writing_ELA[Student Number],YES_Writing_FLA[Student Number]),0),MATCH(VLOOKUP(G$7,'Writing Logic'!$J$7:$K$11,2,FALSE)&amp;" - Per "&amp;VLOOKUP($C$4,'Writing Logic'!$G$8:$H$14,2,FALSE),YES_Writing_ELA[#Headers],0))=0,"",INDEX(_xlfn.VSTACK(YES_Writing_ELA[#Data],YES_Writing_FLA[#Data]),MATCH($A103,_xlfn.VSTACK(YES_Writing_ELA[Student Number],YES_Writing_FLA[Student Number]),0),MATCH(VLOOKUP(G$7,'Writing Logic'!$J$7:$K$11,2,FALSE)&amp;" - Per "&amp;VLOOKUP($C$4,'Writing Logic'!$G$8:$H$14,2,FALSE),YES_Writing_ELA[#Headers],0)))="INS",'Writing Logic'!$B$7,IF(INDEX(_xlfn.VSTACK(YES_Writing_ELA[#Data],YES_Writing_FLA[#Data]),MATCH($A103,_xlfn.VSTACK(YES_Writing_ELA[Student Number],YES_Writing_FLA[Student Number]),0),MATCH(VLOOKUP(G$7,'Writing Logic'!$J$7:$K$11,2,FALSE)&amp;" - Per "&amp;VLOOKUP($C$4,'Writing Logic'!$G$8:$H$14,2,FALSE),YES_Writing_ELA[#Headers],0))=0,"",INDEX(_xlfn.VSTACK(YES_Writing_ELA[#Data],YES_Writing_FLA[#Data]),MATCH($A103,_xlfn.VSTACK(YES_Writing_ELA[Student Number],YES_Writing_FLA[Student Number]),0),MATCH(VLOOKUP(G$7,'Writing Logic'!$J$7:$K$11,2,FALSE)&amp;" - Per "&amp;VLOOKUP($C$4,'Writing Logic'!$G$8:$H$14,2,FALSE),YES_Writing_ELA[#Headers],0)))),"")</f>
        <v/>
      </c>
      <c r="H103" s="223" t="str">
        <f>IFERROR(IF(IF(INDEX(_xlfn.VSTACK(YES_Writing_ELA[#Data],YES_Writing_FLA[#Data]),MATCH($A103,_xlfn.VSTACK(YES_Writing_ELA[Student Number],YES_Writing_FLA[Student Number]),0),MATCH(VLOOKUP(H$7,'Writing Logic'!$J$7:$K$11,2,FALSE)&amp;" - Per "&amp;VLOOKUP($C$4,'Writing Logic'!$G$8:$H$14,2,FALSE),YES_Writing_ELA[#Headers],0))=0,"",INDEX(_xlfn.VSTACK(YES_Writing_ELA[#Data],YES_Writing_FLA[#Data]),MATCH($A103,_xlfn.VSTACK(YES_Writing_ELA[Student Number],YES_Writing_FLA[Student Number]),0),MATCH(VLOOKUP(H$7,'Writing Logic'!$J$7:$K$11,2,FALSE)&amp;" - Per "&amp;VLOOKUP($C$4,'Writing Logic'!$G$8:$H$14,2,FALSE),YES_Writing_ELA[#Headers],0)))="INS",'Writing Logic'!$B$7,IF(INDEX(_xlfn.VSTACK(YES_Writing_ELA[#Data],YES_Writing_FLA[#Data]),MATCH($A103,_xlfn.VSTACK(YES_Writing_ELA[Student Number],YES_Writing_FLA[Student Number]),0),MATCH(VLOOKUP(H$7,'Writing Logic'!$J$7:$K$11,2,FALSE)&amp;" - Per "&amp;VLOOKUP($C$4,'Writing Logic'!$G$8:$H$14,2,FALSE),YES_Writing_ELA[#Headers],0))=0,"",INDEX(_xlfn.VSTACK(YES_Writing_ELA[#Data],YES_Writing_FLA[#Data]),MATCH($A103,_xlfn.VSTACK(YES_Writing_ELA[Student Number],YES_Writing_FLA[Student Number]),0),MATCH(VLOOKUP(H$7,'Writing Logic'!$J$7:$K$11,2,FALSE)&amp;" - Per "&amp;VLOOKUP($C$4,'Writing Logic'!$G$8:$H$14,2,FALSE),YES_Writing_ELA[#Headers],0)))),"")</f>
        <v/>
      </c>
      <c r="I103" s="224" t="str" cm="1">
        <f t="array" aca="1" ref="I103" ca="1">IFERROR(
IF($G$3="ELA",
IF(VLOOKUP($A103, YES_Reading_ELA[], COLUMN(INDIRECT("YES_Reading_ELA[Difference - Per "&amp;VLOOKUP($G$4, 'Reading Report Logic'!$A$2:$B$8, 2, FALSE)&amp;"]")), FALSE)="", "",
VLOOKUP($A103,YES_Reading_ELA[], COLUMN(INDIRECT("YES_Reading_ELA[Difference - Per "&amp;VLOOKUP($G$4,'Reading Report Logic'!$A$2:$B$8,2,FALSE)&amp;"]")), FALSE)),
IF($G$3="FLA",
IF(VLOOKUP($A103, YES_Reading_FLA[], COLUMN(INDIRECT("YES_Reading_FLA[Difference - Per "&amp;VLOOKUP($G$4,'Reading Report Logic'!$A$2:$B$8,2,FALSE)&amp;"]")),FALSE)="","",
VLOOKUP($A103,YES_Reading_FLA[],COLUMN(INDIRECT("YES_Reading_FLA[Difference - Per "&amp;VLOOKUP($G$4,'Reading Report Logic'!$A$2:$B$8,2,FALSE)&amp;"]")),FALSE)),
IF($G$3="Combined",
IFERROR(
IF(VLOOKUP($A103, YES_Reading_ELA[], COLUMN(INDIRECT("YES_Reading_ELA[Difference - Per "&amp;VLOOKUP($G$4, 'Reading Report Logic'!$A$2:$B$8,2,FALSE)&amp;"]")), FALSE)="", "",
VLOOKUP($A103,YES_Reading_ELA[],COLUMN(INDIRECT("YES_Reading_ELA[Difference - Per "&amp;VLOOKUP($G$4,'Reading Report Logic'!$A$2:$B$8,2,FALSE)&amp;"]")),FALSE)),
IF(VLOOKUP($A103, YES_Reading_FLA[], COLUMN(INDIRECT("YES_Reading_FLA[Difference - Per "&amp;VLOOKUP($G$4, 'Reading Report Logic'!$A$2:$B$8, 2, FALSE)&amp;"]")),FALSE)="", "", VLOOKUP($A103,YES_Reading_FLA[],COLUMN(INDIRECT("YES_Reading_FLA[Difference - Per "&amp;VLOOKUP($G$4, 'Reading Report Logic'!$A$2:$B$8, 2, FALSE)&amp;"]")),FALSE))),""))),"")</f>
        <v/>
      </c>
    </row>
    <row r="104" spans="1:9" ht="14.25" customHeight="1" x14ac:dyDescent="0.25">
      <c r="A104" s="137"/>
      <c r="B104" s="137" t="str">
        <f>IFERROR(INDEX(_xlfn.VSTACK(YES_Writing_ELA[#Data], YES_Writing_FLA[#Data]),MATCH($A104,_xlfn.VSTACK(YES_Writing_ELA[Student Number], YES_Writing_FLA[Student Number]),0),MATCH(B$7,YES_Writing_ELA[#Headers],0)),IFERROR(INDEX(_xlfn.VSTACK(YES_Reading_ELA[#Data], YES_Reading_FLA[#Data]),MATCH($A104,_xlfn.VSTACK(YES_Reading_ELA[Student Number], YES_Reading_FLA[Student Number]),0),MATCH(B$7,YES_Reading_ELA[#Headers],0)),""))</f>
        <v/>
      </c>
      <c r="C104" s="137" t="str">
        <f>IFERROR(INDEX(_xlfn.VSTACK(YES_Writing_ELA[#Data], YES_Writing_FLA[#Data]),MATCH($A104,_xlfn.VSTACK(YES_Writing_ELA[Student Number], YES_Writing_FLA[Student Number]),0),MATCH(C$7,YES_Writing_ELA[#Headers],0)),IFERROR(INDEX(_xlfn.VSTACK(YES_Reading_ELA[#Data], YES_Reading_FLA[#Data]),MATCH($A104,_xlfn.VSTACK(YES_Reading_ELA[Student Number], YES_Reading_FLA[Student Number]),0),MATCH(C$7,YES_Reading_ELA[#Headers],0)),""))</f>
        <v/>
      </c>
      <c r="D104" s="138" t="str">
        <f>IFERROR(IF(IF(INDEX(_xlfn.VSTACK(YES_Writing_ELA[#Data],YES_Writing_FLA[#Data]),MATCH($A104,_xlfn.VSTACK(YES_Writing_ELA[Student Number],YES_Writing_FLA[Student Number]),0),MATCH(VLOOKUP(D$7,'Writing Logic'!$J$7:$K$11,2,FALSE)&amp;" - Per "&amp;VLOOKUP($C$4,'Writing Logic'!$G$8:$H$14,2,FALSE),YES_Writing_ELA[#Headers],0))=0,"",INDEX(_xlfn.VSTACK(YES_Writing_ELA[#Data],YES_Writing_FLA[#Data]),MATCH($A104,_xlfn.VSTACK(YES_Writing_ELA[Student Number],YES_Writing_FLA[Student Number]),0),MATCH(VLOOKUP(D$7,'Writing Logic'!$J$7:$K$11,2,FALSE)&amp;" - Per "&amp;VLOOKUP($C$4,'Writing Logic'!$G$8:$H$14,2,FALSE),YES_Writing_ELA[#Headers],0)))="INS",'Writing Logic'!$B$7,IF(INDEX(_xlfn.VSTACK(YES_Writing_ELA[#Data],YES_Writing_FLA[#Data]),MATCH($A104,_xlfn.VSTACK(YES_Writing_ELA[Student Number],YES_Writing_FLA[Student Number]),0),MATCH(VLOOKUP(D$7,'Writing Logic'!$J$7:$K$11,2,FALSE)&amp;" - Per "&amp;VLOOKUP($C$4,'Writing Logic'!$G$8:$H$14,2,FALSE),YES_Writing_ELA[#Headers],0))=0,"",INDEX(_xlfn.VSTACK(YES_Writing_ELA[#Data],YES_Writing_FLA[#Data]),MATCH($A104,_xlfn.VSTACK(YES_Writing_ELA[Student Number],YES_Writing_FLA[Student Number]),0),MATCH(VLOOKUP(D$7,'Writing Logic'!$J$7:$K$11,2,FALSE)&amp;" - Per "&amp;VLOOKUP($C$4,'Writing Logic'!$G$8:$H$14,2,FALSE),YES_Writing_ELA[#Headers],0)))),"")</f>
        <v/>
      </c>
      <c r="E104" s="138" t="str">
        <f>IFERROR(IF(IF(INDEX(_xlfn.VSTACK(YES_Writing_ELA[#Data],YES_Writing_FLA[#Data]),MATCH($A104,_xlfn.VSTACK(YES_Writing_ELA[Student Number],YES_Writing_FLA[Student Number]),0),MATCH(VLOOKUP(E$7,'Writing Logic'!$J$7:$K$11,2,FALSE)&amp;" - Per "&amp;VLOOKUP($C$4,'Writing Logic'!$G$8:$H$14,2,FALSE),YES_Writing_ELA[#Headers],0))=0,"",INDEX(_xlfn.VSTACK(YES_Writing_ELA[#Data],YES_Writing_FLA[#Data]),MATCH($A104,_xlfn.VSTACK(YES_Writing_ELA[Student Number],YES_Writing_FLA[Student Number]),0),MATCH(VLOOKUP(E$7,'Writing Logic'!$J$7:$K$11,2,FALSE)&amp;" - Per "&amp;VLOOKUP($C$4,'Writing Logic'!$G$8:$H$14,2,FALSE),YES_Writing_ELA[#Headers],0)))="INS",'Writing Logic'!$B$7,IF(INDEX(_xlfn.VSTACK(YES_Writing_ELA[#Data],YES_Writing_FLA[#Data]),MATCH($A104,_xlfn.VSTACK(YES_Writing_ELA[Student Number],YES_Writing_FLA[Student Number]),0),MATCH(VLOOKUP(E$7,'Writing Logic'!$J$7:$K$11,2,FALSE)&amp;" - Per "&amp;VLOOKUP($C$4,'Writing Logic'!$G$8:$H$14,2,FALSE),YES_Writing_ELA[#Headers],0))=0,"",INDEX(_xlfn.VSTACK(YES_Writing_ELA[#Data],YES_Writing_FLA[#Data]),MATCH($A104,_xlfn.VSTACK(YES_Writing_ELA[Student Number],YES_Writing_FLA[Student Number]),0),MATCH(VLOOKUP(E$7,'Writing Logic'!$J$7:$K$11,2,FALSE)&amp;" - Per "&amp;VLOOKUP($C$4,'Writing Logic'!$G$8:$H$14,2,FALSE),YES_Writing_ELA[#Headers],0)))),"")</f>
        <v/>
      </c>
      <c r="F104" s="138" t="str">
        <f>IFERROR(IF(IF(INDEX(_xlfn.VSTACK(YES_Writing_ELA[#Data],YES_Writing_FLA[#Data]),MATCH($A104,_xlfn.VSTACK(YES_Writing_ELA[Student Number],YES_Writing_FLA[Student Number]),0),MATCH(VLOOKUP(F$7,'Writing Logic'!$J$7:$K$11,2,FALSE)&amp;" - Per "&amp;VLOOKUP($C$4,'Writing Logic'!$G$8:$H$14,2,FALSE),YES_Writing_ELA[#Headers],0))=0,"",INDEX(_xlfn.VSTACK(YES_Writing_ELA[#Data],YES_Writing_FLA[#Data]),MATCH($A104,_xlfn.VSTACK(YES_Writing_ELA[Student Number],YES_Writing_FLA[Student Number]),0),MATCH(VLOOKUP(F$7,'Writing Logic'!$J$7:$K$11,2,FALSE)&amp;" - Per "&amp;VLOOKUP($C$4,'Writing Logic'!$G$8:$H$14,2,FALSE),YES_Writing_ELA[#Headers],0)))="INS",'Writing Logic'!$B$7,IF(INDEX(_xlfn.VSTACK(YES_Writing_ELA[#Data],YES_Writing_FLA[#Data]),MATCH($A104,_xlfn.VSTACK(YES_Writing_ELA[Student Number],YES_Writing_FLA[Student Number]),0),MATCH(VLOOKUP(F$7,'Writing Logic'!$J$7:$K$11,2,FALSE)&amp;" - Per "&amp;VLOOKUP($C$4,'Writing Logic'!$G$8:$H$14,2,FALSE),YES_Writing_ELA[#Headers],0))=0,"",INDEX(_xlfn.VSTACK(YES_Writing_ELA[#Data],YES_Writing_FLA[#Data]),MATCH($A104,_xlfn.VSTACK(YES_Writing_ELA[Student Number],YES_Writing_FLA[Student Number]),0),MATCH(VLOOKUP(F$7,'Writing Logic'!$J$7:$K$11,2,FALSE)&amp;" - Per "&amp;VLOOKUP($C$4,'Writing Logic'!$G$8:$H$14,2,FALSE),YES_Writing_ELA[#Headers],0)))),"")</f>
        <v/>
      </c>
      <c r="G104" s="138" t="str">
        <f>IFERROR(IF(IF(INDEX(_xlfn.VSTACK(YES_Writing_ELA[#Data],YES_Writing_FLA[#Data]),MATCH($A104,_xlfn.VSTACK(YES_Writing_ELA[Student Number],YES_Writing_FLA[Student Number]),0),MATCH(VLOOKUP(G$7,'Writing Logic'!$J$7:$K$11,2,FALSE)&amp;" - Per "&amp;VLOOKUP($C$4,'Writing Logic'!$G$8:$H$14,2,FALSE),YES_Writing_ELA[#Headers],0))=0,"",INDEX(_xlfn.VSTACK(YES_Writing_ELA[#Data],YES_Writing_FLA[#Data]),MATCH($A104,_xlfn.VSTACK(YES_Writing_ELA[Student Number],YES_Writing_FLA[Student Number]),0),MATCH(VLOOKUP(G$7,'Writing Logic'!$J$7:$K$11,2,FALSE)&amp;" - Per "&amp;VLOOKUP($C$4,'Writing Logic'!$G$8:$H$14,2,FALSE),YES_Writing_ELA[#Headers],0)))="INS",'Writing Logic'!$B$7,IF(INDEX(_xlfn.VSTACK(YES_Writing_ELA[#Data],YES_Writing_FLA[#Data]),MATCH($A104,_xlfn.VSTACK(YES_Writing_ELA[Student Number],YES_Writing_FLA[Student Number]),0),MATCH(VLOOKUP(G$7,'Writing Logic'!$J$7:$K$11,2,FALSE)&amp;" - Per "&amp;VLOOKUP($C$4,'Writing Logic'!$G$8:$H$14,2,FALSE),YES_Writing_ELA[#Headers],0))=0,"",INDEX(_xlfn.VSTACK(YES_Writing_ELA[#Data],YES_Writing_FLA[#Data]),MATCH($A104,_xlfn.VSTACK(YES_Writing_ELA[Student Number],YES_Writing_FLA[Student Number]),0),MATCH(VLOOKUP(G$7,'Writing Logic'!$J$7:$K$11,2,FALSE)&amp;" - Per "&amp;VLOOKUP($C$4,'Writing Logic'!$G$8:$H$14,2,FALSE),YES_Writing_ELA[#Headers],0)))),"")</f>
        <v/>
      </c>
      <c r="H104" s="223" t="str">
        <f>IFERROR(IF(IF(INDEX(_xlfn.VSTACK(YES_Writing_ELA[#Data],YES_Writing_FLA[#Data]),MATCH($A104,_xlfn.VSTACK(YES_Writing_ELA[Student Number],YES_Writing_FLA[Student Number]),0),MATCH(VLOOKUP(H$7,'Writing Logic'!$J$7:$K$11,2,FALSE)&amp;" - Per "&amp;VLOOKUP($C$4,'Writing Logic'!$G$8:$H$14,2,FALSE),YES_Writing_ELA[#Headers],0))=0,"",INDEX(_xlfn.VSTACK(YES_Writing_ELA[#Data],YES_Writing_FLA[#Data]),MATCH($A104,_xlfn.VSTACK(YES_Writing_ELA[Student Number],YES_Writing_FLA[Student Number]),0),MATCH(VLOOKUP(H$7,'Writing Logic'!$J$7:$K$11,2,FALSE)&amp;" - Per "&amp;VLOOKUP($C$4,'Writing Logic'!$G$8:$H$14,2,FALSE),YES_Writing_ELA[#Headers],0)))="INS",'Writing Logic'!$B$7,IF(INDEX(_xlfn.VSTACK(YES_Writing_ELA[#Data],YES_Writing_FLA[#Data]),MATCH($A104,_xlfn.VSTACK(YES_Writing_ELA[Student Number],YES_Writing_FLA[Student Number]),0),MATCH(VLOOKUP(H$7,'Writing Logic'!$J$7:$K$11,2,FALSE)&amp;" - Per "&amp;VLOOKUP($C$4,'Writing Logic'!$G$8:$H$14,2,FALSE),YES_Writing_ELA[#Headers],0))=0,"",INDEX(_xlfn.VSTACK(YES_Writing_ELA[#Data],YES_Writing_FLA[#Data]),MATCH($A104,_xlfn.VSTACK(YES_Writing_ELA[Student Number],YES_Writing_FLA[Student Number]),0),MATCH(VLOOKUP(H$7,'Writing Logic'!$J$7:$K$11,2,FALSE)&amp;" - Per "&amp;VLOOKUP($C$4,'Writing Logic'!$G$8:$H$14,2,FALSE),YES_Writing_ELA[#Headers],0)))),"")</f>
        <v/>
      </c>
      <c r="I104" s="224" t="str" cm="1">
        <f t="array" aca="1" ref="I104" ca="1">IFERROR(
IF($G$3="ELA",
IF(VLOOKUP($A104, YES_Reading_ELA[], COLUMN(INDIRECT("YES_Reading_ELA[Difference - Per "&amp;VLOOKUP($G$4, 'Reading Report Logic'!$A$2:$B$8, 2, FALSE)&amp;"]")), FALSE)="", "",
VLOOKUP($A104,YES_Reading_ELA[], COLUMN(INDIRECT("YES_Reading_ELA[Difference - Per "&amp;VLOOKUP($G$4,'Reading Report Logic'!$A$2:$B$8,2,FALSE)&amp;"]")), FALSE)),
IF($G$3="FLA",
IF(VLOOKUP($A104, YES_Reading_FLA[], COLUMN(INDIRECT("YES_Reading_FLA[Difference - Per "&amp;VLOOKUP($G$4,'Reading Report Logic'!$A$2:$B$8,2,FALSE)&amp;"]")),FALSE)="","",
VLOOKUP($A104,YES_Reading_FLA[],COLUMN(INDIRECT("YES_Reading_FLA[Difference - Per "&amp;VLOOKUP($G$4,'Reading Report Logic'!$A$2:$B$8,2,FALSE)&amp;"]")),FALSE)),
IF($G$3="Combined",
IFERROR(
IF(VLOOKUP($A104, YES_Reading_ELA[], COLUMN(INDIRECT("YES_Reading_ELA[Difference - Per "&amp;VLOOKUP($G$4, 'Reading Report Logic'!$A$2:$B$8,2,FALSE)&amp;"]")), FALSE)="", "",
VLOOKUP($A104,YES_Reading_ELA[],COLUMN(INDIRECT("YES_Reading_ELA[Difference - Per "&amp;VLOOKUP($G$4,'Reading Report Logic'!$A$2:$B$8,2,FALSE)&amp;"]")),FALSE)),
IF(VLOOKUP($A104, YES_Reading_FLA[], COLUMN(INDIRECT("YES_Reading_FLA[Difference - Per "&amp;VLOOKUP($G$4, 'Reading Report Logic'!$A$2:$B$8, 2, FALSE)&amp;"]")),FALSE)="", "", VLOOKUP($A104,YES_Reading_FLA[],COLUMN(INDIRECT("YES_Reading_FLA[Difference - Per "&amp;VLOOKUP($G$4, 'Reading Report Logic'!$A$2:$B$8, 2, FALSE)&amp;"]")),FALSE))),""))),"")</f>
        <v/>
      </c>
    </row>
    <row r="105" spans="1:9" ht="14.25" customHeight="1" x14ac:dyDescent="0.25">
      <c r="A105" s="137"/>
      <c r="B105" s="137" t="str">
        <f>IFERROR(INDEX(_xlfn.VSTACK(YES_Writing_ELA[#Data], YES_Writing_FLA[#Data]),MATCH($A105,_xlfn.VSTACK(YES_Writing_ELA[Student Number], YES_Writing_FLA[Student Number]),0),MATCH(B$7,YES_Writing_ELA[#Headers],0)),IFERROR(INDEX(_xlfn.VSTACK(YES_Reading_ELA[#Data], YES_Reading_FLA[#Data]),MATCH($A105,_xlfn.VSTACK(YES_Reading_ELA[Student Number], YES_Reading_FLA[Student Number]),0),MATCH(B$7,YES_Reading_ELA[#Headers],0)),""))</f>
        <v/>
      </c>
      <c r="C105" s="137" t="str">
        <f>IFERROR(INDEX(_xlfn.VSTACK(YES_Writing_ELA[#Data], YES_Writing_FLA[#Data]),MATCH($A105,_xlfn.VSTACK(YES_Writing_ELA[Student Number], YES_Writing_FLA[Student Number]),0),MATCH(C$7,YES_Writing_ELA[#Headers],0)),IFERROR(INDEX(_xlfn.VSTACK(YES_Reading_ELA[#Data], YES_Reading_FLA[#Data]),MATCH($A105,_xlfn.VSTACK(YES_Reading_ELA[Student Number], YES_Reading_FLA[Student Number]),0),MATCH(C$7,YES_Reading_ELA[#Headers],0)),""))</f>
        <v/>
      </c>
      <c r="D105" s="138" t="str">
        <f>IFERROR(IF(IF(INDEX(_xlfn.VSTACK(YES_Writing_ELA[#Data],YES_Writing_FLA[#Data]),MATCH($A105,_xlfn.VSTACK(YES_Writing_ELA[Student Number],YES_Writing_FLA[Student Number]),0),MATCH(VLOOKUP(D$7,'Writing Logic'!$J$7:$K$11,2,FALSE)&amp;" - Per "&amp;VLOOKUP($C$4,'Writing Logic'!$G$8:$H$14,2,FALSE),YES_Writing_ELA[#Headers],0))=0,"",INDEX(_xlfn.VSTACK(YES_Writing_ELA[#Data],YES_Writing_FLA[#Data]),MATCH($A105,_xlfn.VSTACK(YES_Writing_ELA[Student Number],YES_Writing_FLA[Student Number]),0),MATCH(VLOOKUP(D$7,'Writing Logic'!$J$7:$K$11,2,FALSE)&amp;" - Per "&amp;VLOOKUP($C$4,'Writing Logic'!$G$8:$H$14,2,FALSE),YES_Writing_ELA[#Headers],0)))="INS",'Writing Logic'!$B$7,IF(INDEX(_xlfn.VSTACK(YES_Writing_ELA[#Data],YES_Writing_FLA[#Data]),MATCH($A105,_xlfn.VSTACK(YES_Writing_ELA[Student Number],YES_Writing_FLA[Student Number]),0),MATCH(VLOOKUP(D$7,'Writing Logic'!$J$7:$K$11,2,FALSE)&amp;" - Per "&amp;VLOOKUP($C$4,'Writing Logic'!$G$8:$H$14,2,FALSE),YES_Writing_ELA[#Headers],0))=0,"",INDEX(_xlfn.VSTACK(YES_Writing_ELA[#Data],YES_Writing_FLA[#Data]),MATCH($A105,_xlfn.VSTACK(YES_Writing_ELA[Student Number],YES_Writing_FLA[Student Number]),0),MATCH(VLOOKUP(D$7,'Writing Logic'!$J$7:$K$11,2,FALSE)&amp;" - Per "&amp;VLOOKUP($C$4,'Writing Logic'!$G$8:$H$14,2,FALSE),YES_Writing_ELA[#Headers],0)))),"")</f>
        <v/>
      </c>
      <c r="E105" s="138" t="str">
        <f>IFERROR(IF(IF(INDEX(_xlfn.VSTACK(YES_Writing_ELA[#Data],YES_Writing_FLA[#Data]),MATCH($A105,_xlfn.VSTACK(YES_Writing_ELA[Student Number],YES_Writing_FLA[Student Number]),0),MATCH(VLOOKUP(E$7,'Writing Logic'!$J$7:$K$11,2,FALSE)&amp;" - Per "&amp;VLOOKUP($C$4,'Writing Logic'!$G$8:$H$14,2,FALSE),YES_Writing_ELA[#Headers],0))=0,"",INDEX(_xlfn.VSTACK(YES_Writing_ELA[#Data],YES_Writing_FLA[#Data]),MATCH($A105,_xlfn.VSTACK(YES_Writing_ELA[Student Number],YES_Writing_FLA[Student Number]),0),MATCH(VLOOKUP(E$7,'Writing Logic'!$J$7:$K$11,2,FALSE)&amp;" - Per "&amp;VLOOKUP($C$4,'Writing Logic'!$G$8:$H$14,2,FALSE),YES_Writing_ELA[#Headers],0)))="INS",'Writing Logic'!$B$7,IF(INDEX(_xlfn.VSTACK(YES_Writing_ELA[#Data],YES_Writing_FLA[#Data]),MATCH($A105,_xlfn.VSTACK(YES_Writing_ELA[Student Number],YES_Writing_FLA[Student Number]),0),MATCH(VLOOKUP(E$7,'Writing Logic'!$J$7:$K$11,2,FALSE)&amp;" - Per "&amp;VLOOKUP($C$4,'Writing Logic'!$G$8:$H$14,2,FALSE),YES_Writing_ELA[#Headers],0))=0,"",INDEX(_xlfn.VSTACK(YES_Writing_ELA[#Data],YES_Writing_FLA[#Data]),MATCH($A105,_xlfn.VSTACK(YES_Writing_ELA[Student Number],YES_Writing_FLA[Student Number]),0),MATCH(VLOOKUP(E$7,'Writing Logic'!$J$7:$K$11,2,FALSE)&amp;" - Per "&amp;VLOOKUP($C$4,'Writing Logic'!$G$8:$H$14,2,FALSE),YES_Writing_ELA[#Headers],0)))),"")</f>
        <v/>
      </c>
      <c r="F105" s="138" t="str">
        <f>IFERROR(IF(IF(INDEX(_xlfn.VSTACK(YES_Writing_ELA[#Data],YES_Writing_FLA[#Data]),MATCH($A105,_xlfn.VSTACK(YES_Writing_ELA[Student Number],YES_Writing_FLA[Student Number]),0),MATCH(VLOOKUP(F$7,'Writing Logic'!$J$7:$K$11,2,FALSE)&amp;" - Per "&amp;VLOOKUP($C$4,'Writing Logic'!$G$8:$H$14,2,FALSE),YES_Writing_ELA[#Headers],0))=0,"",INDEX(_xlfn.VSTACK(YES_Writing_ELA[#Data],YES_Writing_FLA[#Data]),MATCH($A105,_xlfn.VSTACK(YES_Writing_ELA[Student Number],YES_Writing_FLA[Student Number]),0),MATCH(VLOOKUP(F$7,'Writing Logic'!$J$7:$K$11,2,FALSE)&amp;" - Per "&amp;VLOOKUP($C$4,'Writing Logic'!$G$8:$H$14,2,FALSE),YES_Writing_ELA[#Headers],0)))="INS",'Writing Logic'!$B$7,IF(INDEX(_xlfn.VSTACK(YES_Writing_ELA[#Data],YES_Writing_FLA[#Data]),MATCH($A105,_xlfn.VSTACK(YES_Writing_ELA[Student Number],YES_Writing_FLA[Student Number]),0),MATCH(VLOOKUP(F$7,'Writing Logic'!$J$7:$K$11,2,FALSE)&amp;" - Per "&amp;VLOOKUP($C$4,'Writing Logic'!$G$8:$H$14,2,FALSE),YES_Writing_ELA[#Headers],0))=0,"",INDEX(_xlfn.VSTACK(YES_Writing_ELA[#Data],YES_Writing_FLA[#Data]),MATCH($A105,_xlfn.VSTACK(YES_Writing_ELA[Student Number],YES_Writing_FLA[Student Number]),0),MATCH(VLOOKUP(F$7,'Writing Logic'!$J$7:$K$11,2,FALSE)&amp;" - Per "&amp;VLOOKUP($C$4,'Writing Logic'!$G$8:$H$14,2,FALSE),YES_Writing_ELA[#Headers],0)))),"")</f>
        <v/>
      </c>
      <c r="G105" s="138" t="str">
        <f>IFERROR(IF(IF(INDEX(_xlfn.VSTACK(YES_Writing_ELA[#Data],YES_Writing_FLA[#Data]),MATCH($A105,_xlfn.VSTACK(YES_Writing_ELA[Student Number],YES_Writing_FLA[Student Number]),0),MATCH(VLOOKUP(G$7,'Writing Logic'!$J$7:$K$11,2,FALSE)&amp;" - Per "&amp;VLOOKUP($C$4,'Writing Logic'!$G$8:$H$14,2,FALSE),YES_Writing_ELA[#Headers],0))=0,"",INDEX(_xlfn.VSTACK(YES_Writing_ELA[#Data],YES_Writing_FLA[#Data]),MATCH($A105,_xlfn.VSTACK(YES_Writing_ELA[Student Number],YES_Writing_FLA[Student Number]),0),MATCH(VLOOKUP(G$7,'Writing Logic'!$J$7:$K$11,2,FALSE)&amp;" - Per "&amp;VLOOKUP($C$4,'Writing Logic'!$G$8:$H$14,2,FALSE),YES_Writing_ELA[#Headers],0)))="INS",'Writing Logic'!$B$7,IF(INDEX(_xlfn.VSTACK(YES_Writing_ELA[#Data],YES_Writing_FLA[#Data]),MATCH($A105,_xlfn.VSTACK(YES_Writing_ELA[Student Number],YES_Writing_FLA[Student Number]),0),MATCH(VLOOKUP(G$7,'Writing Logic'!$J$7:$K$11,2,FALSE)&amp;" - Per "&amp;VLOOKUP($C$4,'Writing Logic'!$G$8:$H$14,2,FALSE),YES_Writing_ELA[#Headers],0))=0,"",INDEX(_xlfn.VSTACK(YES_Writing_ELA[#Data],YES_Writing_FLA[#Data]),MATCH($A105,_xlfn.VSTACK(YES_Writing_ELA[Student Number],YES_Writing_FLA[Student Number]),0),MATCH(VLOOKUP(G$7,'Writing Logic'!$J$7:$K$11,2,FALSE)&amp;" - Per "&amp;VLOOKUP($C$4,'Writing Logic'!$G$8:$H$14,2,FALSE),YES_Writing_ELA[#Headers],0)))),"")</f>
        <v/>
      </c>
      <c r="H105" s="223" t="str">
        <f>IFERROR(IF(IF(INDEX(_xlfn.VSTACK(YES_Writing_ELA[#Data],YES_Writing_FLA[#Data]),MATCH($A105,_xlfn.VSTACK(YES_Writing_ELA[Student Number],YES_Writing_FLA[Student Number]),0),MATCH(VLOOKUP(H$7,'Writing Logic'!$J$7:$K$11,2,FALSE)&amp;" - Per "&amp;VLOOKUP($C$4,'Writing Logic'!$G$8:$H$14,2,FALSE),YES_Writing_ELA[#Headers],0))=0,"",INDEX(_xlfn.VSTACK(YES_Writing_ELA[#Data],YES_Writing_FLA[#Data]),MATCH($A105,_xlfn.VSTACK(YES_Writing_ELA[Student Number],YES_Writing_FLA[Student Number]),0),MATCH(VLOOKUP(H$7,'Writing Logic'!$J$7:$K$11,2,FALSE)&amp;" - Per "&amp;VLOOKUP($C$4,'Writing Logic'!$G$8:$H$14,2,FALSE),YES_Writing_ELA[#Headers],0)))="INS",'Writing Logic'!$B$7,IF(INDEX(_xlfn.VSTACK(YES_Writing_ELA[#Data],YES_Writing_FLA[#Data]),MATCH($A105,_xlfn.VSTACK(YES_Writing_ELA[Student Number],YES_Writing_FLA[Student Number]),0),MATCH(VLOOKUP(H$7,'Writing Logic'!$J$7:$K$11,2,FALSE)&amp;" - Per "&amp;VLOOKUP($C$4,'Writing Logic'!$G$8:$H$14,2,FALSE),YES_Writing_ELA[#Headers],0))=0,"",INDEX(_xlfn.VSTACK(YES_Writing_ELA[#Data],YES_Writing_FLA[#Data]),MATCH($A105,_xlfn.VSTACK(YES_Writing_ELA[Student Number],YES_Writing_FLA[Student Number]),0),MATCH(VLOOKUP(H$7,'Writing Logic'!$J$7:$K$11,2,FALSE)&amp;" - Per "&amp;VLOOKUP($C$4,'Writing Logic'!$G$8:$H$14,2,FALSE),YES_Writing_ELA[#Headers],0)))),"")</f>
        <v/>
      </c>
      <c r="I105" s="224" t="str" cm="1">
        <f t="array" aca="1" ref="I105" ca="1">IFERROR(
IF($G$3="ELA",
IF(VLOOKUP($A105, YES_Reading_ELA[], COLUMN(INDIRECT("YES_Reading_ELA[Difference - Per "&amp;VLOOKUP($G$4, 'Reading Report Logic'!$A$2:$B$8, 2, FALSE)&amp;"]")), FALSE)="", "",
VLOOKUP($A105,YES_Reading_ELA[], COLUMN(INDIRECT("YES_Reading_ELA[Difference - Per "&amp;VLOOKUP($G$4,'Reading Report Logic'!$A$2:$B$8,2,FALSE)&amp;"]")), FALSE)),
IF($G$3="FLA",
IF(VLOOKUP($A105, YES_Reading_FLA[], COLUMN(INDIRECT("YES_Reading_FLA[Difference - Per "&amp;VLOOKUP($G$4,'Reading Report Logic'!$A$2:$B$8,2,FALSE)&amp;"]")),FALSE)="","",
VLOOKUP($A105,YES_Reading_FLA[],COLUMN(INDIRECT("YES_Reading_FLA[Difference - Per "&amp;VLOOKUP($G$4,'Reading Report Logic'!$A$2:$B$8,2,FALSE)&amp;"]")),FALSE)),
IF($G$3="Combined",
IFERROR(
IF(VLOOKUP($A105, YES_Reading_ELA[], COLUMN(INDIRECT("YES_Reading_ELA[Difference - Per "&amp;VLOOKUP($G$4, 'Reading Report Logic'!$A$2:$B$8,2,FALSE)&amp;"]")), FALSE)="", "",
VLOOKUP($A105,YES_Reading_ELA[],COLUMN(INDIRECT("YES_Reading_ELA[Difference - Per "&amp;VLOOKUP($G$4,'Reading Report Logic'!$A$2:$B$8,2,FALSE)&amp;"]")),FALSE)),
IF(VLOOKUP($A105, YES_Reading_FLA[], COLUMN(INDIRECT("YES_Reading_FLA[Difference - Per "&amp;VLOOKUP($G$4, 'Reading Report Logic'!$A$2:$B$8, 2, FALSE)&amp;"]")),FALSE)="", "", VLOOKUP($A105,YES_Reading_FLA[],COLUMN(INDIRECT("YES_Reading_FLA[Difference - Per "&amp;VLOOKUP($G$4, 'Reading Report Logic'!$A$2:$B$8, 2, FALSE)&amp;"]")),FALSE))),""))),"")</f>
        <v/>
      </c>
    </row>
    <row r="106" spans="1:9" ht="14.25" customHeight="1" x14ac:dyDescent="0.25">
      <c r="A106" s="137"/>
      <c r="B106" s="137" t="str">
        <f>IFERROR(INDEX(_xlfn.VSTACK(YES_Writing_ELA[#Data], YES_Writing_FLA[#Data]),MATCH($A106,_xlfn.VSTACK(YES_Writing_ELA[Student Number], YES_Writing_FLA[Student Number]),0),MATCH(B$7,YES_Writing_ELA[#Headers],0)),IFERROR(INDEX(_xlfn.VSTACK(YES_Reading_ELA[#Data], YES_Reading_FLA[#Data]),MATCH($A106,_xlfn.VSTACK(YES_Reading_ELA[Student Number], YES_Reading_FLA[Student Number]),0),MATCH(B$7,YES_Reading_ELA[#Headers],0)),""))</f>
        <v/>
      </c>
      <c r="C106" s="137" t="str">
        <f>IFERROR(INDEX(_xlfn.VSTACK(YES_Writing_ELA[#Data], YES_Writing_FLA[#Data]),MATCH($A106,_xlfn.VSTACK(YES_Writing_ELA[Student Number], YES_Writing_FLA[Student Number]),0),MATCH(C$7,YES_Writing_ELA[#Headers],0)),IFERROR(INDEX(_xlfn.VSTACK(YES_Reading_ELA[#Data], YES_Reading_FLA[#Data]),MATCH($A106,_xlfn.VSTACK(YES_Reading_ELA[Student Number], YES_Reading_FLA[Student Number]),0),MATCH(C$7,YES_Reading_ELA[#Headers],0)),""))</f>
        <v/>
      </c>
      <c r="D106" s="138" t="str">
        <f>IFERROR(IF(IF(INDEX(_xlfn.VSTACK(YES_Writing_ELA[#Data],YES_Writing_FLA[#Data]),MATCH($A106,_xlfn.VSTACK(YES_Writing_ELA[Student Number],YES_Writing_FLA[Student Number]),0),MATCH(VLOOKUP(D$7,'Writing Logic'!$J$7:$K$11,2,FALSE)&amp;" - Per "&amp;VLOOKUP($C$4,'Writing Logic'!$G$8:$H$14,2,FALSE),YES_Writing_ELA[#Headers],0))=0,"",INDEX(_xlfn.VSTACK(YES_Writing_ELA[#Data],YES_Writing_FLA[#Data]),MATCH($A106,_xlfn.VSTACK(YES_Writing_ELA[Student Number],YES_Writing_FLA[Student Number]),0),MATCH(VLOOKUP(D$7,'Writing Logic'!$J$7:$K$11,2,FALSE)&amp;" - Per "&amp;VLOOKUP($C$4,'Writing Logic'!$G$8:$H$14,2,FALSE),YES_Writing_ELA[#Headers],0)))="INS",'Writing Logic'!$B$7,IF(INDEX(_xlfn.VSTACK(YES_Writing_ELA[#Data],YES_Writing_FLA[#Data]),MATCH($A106,_xlfn.VSTACK(YES_Writing_ELA[Student Number],YES_Writing_FLA[Student Number]),0),MATCH(VLOOKUP(D$7,'Writing Logic'!$J$7:$K$11,2,FALSE)&amp;" - Per "&amp;VLOOKUP($C$4,'Writing Logic'!$G$8:$H$14,2,FALSE),YES_Writing_ELA[#Headers],0))=0,"",INDEX(_xlfn.VSTACK(YES_Writing_ELA[#Data],YES_Writing_FLA[#Data]),MATCH($A106,_xlfn.VSTACK(YES_Writing_ELA[Student Number],YES_Writing_FLA[Student Number]),0),MATCH(VLOOKUP(D$7,'Writing Logic'!$J$7:$K$11,2,FALSE)&amp;" - Per "&amp;VLOOKUP($C$4,'Writing Logic'!$G$8:$H$14,2,FALSE),YES_Writing_ELA[#Headers],0)))),"")</f>
        <v/>
      </c>
      <c r="E106" s="138" t="str">
        <f>IFERROR(IF(IF(INDEX(_xlfn.VSTACK(YES_Writing_ELA[#Data],YES_Writing_FLA[#Data]),MATCH($A106,_xlfn.VSTACK(YES_Writing_ELA[Student Number],YES_Writing_FLA[Student Number]),0),MATCH(VLOOKUP(E$7,'Writing Logic'!$J$7:$K$11,2,FALSE)&amp;" - Per "&amp;VLOOKUP($C$4,'Writing Logic'!$G$8:$H$14,2,FALSE),YES_Writing_ELA[#Headers],0))=0,"",INDEX(_xlfn.VSTACK(YES_Writing_ELA[#Data],YES_Writing_FLA[#Data]),MATCH($A106,_xlfn.VSTACK(YES_Writing_ELA[Student Number],YES_Writing_FLA[Student Number]),0),MATCH(VLOOKUP(E$7,'Writing Logic'!$J$7:$K$11,2,FALSE)&amp;" - Per "&amp;VLOOKUP($C$4,'Writing Logic'!$G$8:$H$14,2,FALSE),YES_Writing_ELA[#Headers],0)))="INS",'Writing Logic'!$B$7,IF(INDEX(_xlfn.VSTACK(YES_Writing_ELA[#Data],YES_Writing_FLA[#Data]),MATCH($A106,_xlfn.VSTACK(YES_Writing_ELA[Student Number],YES_Writing_FLA[Student Number]),0),MATCH(VLOOKUP(E$7,'Writing Logic'!$J$7:$K$11,2,FALSE)&amp;" - Per "&amp;VLOOKUP($C$4,'Writing Logic'!$G$8:$H$14,2,FALSE),YES_Writing_ELA[#Headers],0))=0,"",INDEX(_xlfn.VSTACK(YES_Writing_ELA[#Data],YES_Writing_FLA[#Data]),MATCH($A106,_xlfn.VSTACK(YES_Writing_ELA[Student Number],YES_Writing_FLA[Student Number]),0),MATCH(VLOOKUP(E$7,'Writing Logic'!$J$7:$K$11,2,FALSE)&amp;" - Per "&amp;VLOOKUP($C$4,'Writing Logic'!$G$8:$H$14,2,FALSE),YES_Writing_ELA[#Headers],0)))),"")</f>
        <v/>
      </c>
      <c r="F106" s="138" t="str">
        <f>IFERROR(IF(IF(INDEX(_xlfn.VSTACK(YES_Writing_ELA[#Data],YES_Writing_FLA[#Data]),MATCH($A106,_xlfn.VSTACK(YES_Writing_ELA[Student Number],YES_Writing_FLA[Student Number]),0),MATCH(VLOOKUP(F$7,'Writing Logic'!$J$7:$K$11,2,FALSE)&amp;" - Per "&amp;VLOOKUP($C$4,'Writing Logic'!$G$8:$H$14,2,FALSE),YES_Writing_ELA[#Headers],0))=0,"",INDEX(_xlfn.VSTACK(YES_Writing_ELA[#Data],YES_Writing_FLA[#Data]),MATCH($A106,_xlfn.VSTACK(YES_Writing_ELA[Student Number],YES_Writing_FLA[Student Number]),0),MATCH(VLOOKUP(F$7,'Writing Logic'!$J$7:$K$11,2,FALSE)&amp;" - Per "&amp;VLOOKUP($C$4,'Writing Logic'!$G$8:$H$14,2,FALSE),YES_Writing_ELA[#Headers],0)))="INS",'Writing Logic'!$B$7,IF(INDEX(_xlfn.VSTACK(YES_Writing_ELA[#Data],YES_Writing_FLA[#Data]),MATCH($A106,_xlfn.VSTACK(YES_Writing_ELA[Student Number],YES_Writing_FLA[Student Number]),0),MATCH(VLOOKUP(F$7,'Writing Logic'!$J$7:$K$11,2,FALSE)&amp;" - Per "&amp;VLOOKUP($C$4,'Writing Logic'!$G$8:$H$14,2,FALSE),YES_Writing_ELA[#Headers],0))=0,"",INDEX(_xlfn.VSTACK(YES_Writing_ELA[#Data],YES_Writing_FLA[#Data]),MATCH($A106,_xlfn.VSTACK(YES_Writing_ELA[Student Number],YES_Writing_FLA[Student Number]),0),MATCH(VLOOKUP(F$7,'Writing Logic'!$J$7:$K$11,2,FALSE)&amp;" - Per "&amp;VLOOKUP($C$4,'Writing Logic'!$G$8:$H$14,2,FALSE),YES_Writing_ELA[#Headers],0)))),"")</f>
        <v/>
      </c>
      <c r="G106" s="138" t="str">
        <f>IFERROR(IF(IF(INDEX(_xlfn.VSTACK(YES_Writing_ELA[#Data],YES_Writing_FLA[#Data]),MATCH($A106,_xlfn.VSTACK(YES_Writing_ELA[Student Number],YES_Writing_FLA[Student Number]),0),MATCH(VLOOKUP(G$7,'Writing Logic'!$J$7:$K$11,2,FALSE)&amp;" - Per "&amp;VLOOKUP($C$4,'Writing Logic'!$G$8:$H$14,2,FALSE),YES_Writing_ELA[#Headers],0))=0,"",INDEX(_xlfn.VSTACK(YES_Writing_ELA[#Data],YES_Writing_FLA[#Data]),MATCH($A106,_xlfn.VSTACK(YES_Writing_ELA[Student Number],YES_Writing_FLA[Student Number]),0),MATCH(VLOOKUP(G$7,'Writing Logic'!$J$7:$K$11,2,FALSE)&amp;" - Per "&amp;VLOOKUP($C$4,'Writing Logic'!$G$8:$H$14,2,FALSE),YES_Writing_ELA[#Headers],0)))="INS",'Writing Logic'!$B$7,IF(INDEX(_xlfn.VSTACK(YES_Writing_ELA[#Data],YES_Writing_FLA[#Data]),MATCH($A106,_xlfn.VSTACK(YES_Writing_ELA[Student Number],YES_Writing_FLA[Student Number]),0),MATCH(VLOOKUP(G$7,'Writing Logic'!$J$7:$K$11,2,FALSE)&amp;" - Per "&amp;VLOOKUP($C$4,'Writing Logic'!$G$8:$H$14,2,FALSE),YES_Writing_ELA[#Headers],0))=0,"",INDEX(_xlfn.VSTACK(YES_Writing_ELA[#Data],YES_Writing_FLA[#Data]),MATCH($A106,_xlfn.VSTACK(YES_Writing_ELA[Student Number],YES_Writing_FLA[Student Number]),0),MATCH(VLOOKUP(G$7,'Writing Logic'!$J$7:$K$11,2,FALSE)&amp;" - Per "&amp;VLOOKUP($C$4,'Writing Logic'!$G$8:$H$14,2,FALSE),YES_Writing_ELA[#Headers],0)))),"")</f>
        <v/>
      </c>
      <c r="H106" s="223" t="str">
        <f>IFERROR(IF(IF(INDEX(_xlfn.VSTACK(YES_Writing_ELA[#Data],YES_Writing_FLA[#Data]),MATCH($A106,_xlfn.VSTACK(YES_Writing_ELA[Student Number],YES_Writing_FLA[Student Number]),0),MATCH(VLOOKUP(H$7,'Writing Logic'!$J$7:$K$11,2,FALSE)&amp;" - Per "&amp;VLOOKUP($C$4,'Writing Logic'!$G$8:$H$14,2,FALSE),YES_Writing_ELA[#Headers],0))=0,"",INDEX(_xlfn.VSTACK(YES_Writing_ELA[#Data],YES_Writing_FLA[#Data]),MATCH($A106,_xlfn.VSTACK(YES_Writing_ELA[Student Number],YES_Writing_FLA[Student Number]),0),MATCH(VLOOKUP(H$7,'Writing Logic'!$J$7:$K$11,2,FALSE)&amp;" - Per "&amp;VLOOKUP($C$4,'Writing Logic'!$G$8:$H$14,2,FALSE),YES_Writing_ELA[#Headers],0)))="INS",'Writing Logic'!$B$7,IF(INDEX(_xlfn.VSTACK(YES_Writing_ELA[#Data],YES_Writing_FLA[#Data]),MATCH($A106,_xlfn.VSTACK(YES_Writing_ELA[Student Number],YES_Writing_FLA[Student Number]),0),MATCH(VLOOKUP(H$7,'Writing Logic'!$J$7:$K$11,2,FALSE)&amp;" - Per "&amp;VLOOKUP($C$4,'Writing Logic'!$G$8:$H$14,2,FALSE),YES_Writing_ELA[#Headers],0))=0,"",INDEX(_xlfn.VSTACK(YES_Writing_ELA[#Data],YES_Writing_FLA[#Data]),MATCH($A106,_xlfn.VSTACK(YES_Writing_ELA[Student Number],YES_Writing_FLA[Student Number]),0),MATCH(VLOOKUP(H$7,'Writing Logic'!$J$7:$K$11,2,FALSE)&amp;" - Per "&amp;VLOOKUP($C$4,'Writing Logic'!$G$8:$H$14,2,FALSE),YES_Writing_ELA[#Headers],0)))),"")</f>
        <v/>
      </c>
      <c r="I106" s="224" t="str" cm="1">
        <f t="array" aca="1" ref="I106" ca="1">IFERROR(
IF($G$3="ELA",
IF(VLOOKUP($A106, YES_Reading_ELA[], COLUMN(INDIRECT("YES_Reading_ELA[Difference - Per "&amp;VLOOKUP($G$4, 'Reading Report Logic'!$A$2:$B$8, 2, FALSE)&amp;"]")), FALSE)="", "",
VLOOKUP($A106,YES_Reading_ELA[], COLUMN(INDIRECT("YES_Reading_ELA[Difference - Per "&amp;VLOOKUP($G$4,'Reading Report Logic'!$A$2:$B$8,2,FALSE)&amp;"]")), FALSE)),
IF($G$3="FLA",
IF(VLOOKUP($A106, YES_Reading_FLA[], COLUMN(INDIRECT("YES_Reading_FLA[Difference - Per "&amp;VLOOKUP($G$4,'Reading Report Logic'!$A$2:$B$8,2,FALSE)&amp;"]")),FALSE)="","",
VLOOKUP($A106,YES_Reading_FLA[],COLUMN(INDIRECT("YES_Reading_FLA[Difference - Per "&amp;VLOOKUP($G$4,'Reading Report Logic'!$A$2:$B$8,2,FALSE)&amp;"]")),FALSE)),
IF($G$3="Combined",
IFERROR(
IF(VLOOKUP($A106, YES_Reading_ELA[], COLUMN(INDIRECT("YES_Reading_ELA[Difference - Per "&amp;VLOOKUP($G$4, 'Reading Report Logic'!$A$2:$B$8,2,FALSE)&amp;"]")), FALSE)="", "",
VLOOKUP($A106,YES_Reading_ELA[],COLUMN(INDIRECT("YES_Reading_ELA[Difference - Per "&amp;VLOOKUP($G$4,'Reading Report Logic'!$A$2:$B$8,2,FALSE)&amp;"]")),FALSE)),
IF(VLOOKUP($A106, YES_Reading_FLA[], COLUMN(INDIRECT("YES_Reading_FLA[Difference - Per "&amp;VLOOKUP($G$4, 'Reading Report Logic'!$A$2:$B$8, 2, FALSE)&amp;"]")),FALSE)="", "", VLOOKUP($A106,YES_Reading_FLA[],COLUMN(INDIRECT("YES_Reading_FLA[Difference - Per "&amp;VLOOKUP($G$4, 'Reading Report Logic'!$A$2:$B$8, 2, FALSE)&amp;"]")),FALSE))),""))),"")</f>
        <v/>
      </c>
    </row>
    <row r="107" spans="1:9" ht="14.25" customHeight="1" x14ac:dyDescent="0.25">
      <c r="A107" s="137"/>
      <c r="B107" s="137" t="str">
        <f>IFERROR(INDEX(_xlfn.VSTACK(YES_Writing_ELA[#Data], YES_Writing_FLA[#Data]),MATCH($A107,_xlfn.VSTACK(YES_Writing_ELA[Student Number], YES_Writing_FLA[Student Number]),0),MATCH(B$7,YES_Writing_ELA[#Headers],0)),IFERROR(INDEX(_xlfn.VSTACK(YES_Reading_ELA[#Data], YES_Reading_FLA[#Data]),MATCH($A107,_xlfn.VSTACK(YES_Reading_ELA[Student Number], YES_Reading_FLA[Student Number]),0),MATCH(B$7,YES_Reading_ELA[#Headers],0)),""))</f>
        <v/>
      </c>
      <c r="C107" s="137" t="str">
        <f>IFERROR(INDEX(_xlfn.VSTACK(YES_Writing_ELA[#Data], YES_Writing_FLA[#Data]),MATCH($A107,_xlfn.VSTACK(YES_Writing_ELA[Student Number], YES_Writing_FLA[Student Number]),0),MATCH(C$7,YES_Writing_ELA[#Headers],0)),IFERROR(INDEX(_xlfn.VSTACK(YES_Reading_ELA[#Data], YES_Reading_FLA[#Data]),MATCH($A107,_xlfn.VSTACK(YES_Reading_ELA[Student Number], YES_Reading_FLA[Student Number]),0),MATCH(C$7,YES_Reading_ELA[#Headers],0)),""))</f>
        <v/>
      </c>
      <c r="D107" s="138" t="str">
        <f>IFERROR(IF(IF(INDEX(_xlfn.VSTACK(YES_Writing_ELA[#Data],YES_Writing_FLA[#Data]),MATCH($A107,_xlfn.VSTACK(YES_Writing_ELA[Student Number],YES_Writing_FLA[Student Number]),0),MATCH(VLOOKUP(D$7,'Writing Logic'!$J$7:$K$11,2,FALSE)&amp;" - Per "&amp;VLOOKUP($C$4,'Writing Logic'!$G$8:$H$14,2,FALSE),YES_Writing_ELA[#Headers],0))=0,"",INDEX(_xlfn.VSTACK(YES_Writing_ELA[#Data],YES_Writing_FLA[#Data]),MATCH($A107,_xlfn.VSTACK(YES_Writing_ELA[Student Number],YES_Writing_FLA[Student Number]),0),MATCH(VLOOKUP(D$7,'Writing Logic'!$J$7:$K$11,2,FALSE)&amp;" - Per "&amp;VLOOKUP($C$4,'Writing Logic'!$G$8:$H$14,2,FALSE),YES_Writing_ELA[#Headers],0)))="INS",'Writing Logic'!$B$7,IF(INDEX(_xlfn.VSTACK(YES_Writing_ELA[#Data],YES_Writing_FLA[#Data]),MATCH($A107,_xlfn.VSTACK(YES_Writing_ELA[Student Number],YES_Writing_FLA[Student Number]),0),MATCH(VLOOKUP(D$7,'Writing Logic'!$J$7:$K$11,2,FALSE)&amp;" - Per "&amp;VLOOKUP($C$4,'Writing Logic'!$G$8:$H$14,2,FALSE),YES_Writing_ELA[#Headers],0))=0,"",INDEX(_xlfn.VSTACK(YES_Writing_ELA[#Data],YES_Writing_FLA[#Data]),MATCH($A107,_xlfn.VSTACK(YES_Writing_ELA[Student Number],YES_Writing_FLA[Student Number]),0),MATCH(VLOOKUP(D$7,'Writing Logic'!$J$7:$K$11,2,FALSE)&amp;" - Per "&amp;VLOOKUP($C$4,'Writing Logic'!$G$8:$H$14,2,FALSE),YES_Writing_ELA[#Headers],0)))),"")</f>
        <v/>
      </c>
      <c r="E107" s="138" t="str">
        <f>IFERROR(IF(IF(INDEX(_xlfn.VSTACK(YES_Writing_ELA[#Data],YES_Writing_FLA[#Data]),MATCH($A107,_xlfn.VSTACK(YES_Writing_ELA[Student Number],YES_Writing_FLA[Student Number]),0),MATCH(VLOOKUP(E$7,'Writing Logic'!$J$7:$K$11,2,FALSE)&amp;" - Per "&amp;VLOOKUP($C$4,'Writing Logic'!$G$8:$H$14,2,FALSE),YES_Writing_ELA[#Headers],0))=0,"",INDEX(_xlfn.VSTACK(YES_Writing_ELA[#Data],YES_Writing_FLA[#Data]),MATCH($A107,_xlfn.VSTACK(YES_Writing_ELA[Student Number],YES_Writing_FLA[Student Number]),0),MATCH(VLOOKUP(E$7,'Writing Logic'!$J$7:$K$11,2,FALSE)&amp;" - Per "&amp;VLOOKUP($C$4,'Writing Logic'!$G$8:$H$14,2,FALSE),YES_Writing_ELA[#Headers],0)))="INS",'Writing Logic'!$B$7,IF(INDEX(_xlfn.VSTACK(YES_Writing_ELA[#Data],YES_Writing_FLA[#Data]),MATCH($A107,_xlfn.VSTACK(YES_Writing_ELA[Student Number],YES_Writing_FLA[Student Number]),0),MATCH(VLOOKUP(E$7,'Writing Logic'!$J$7:$K$11,2,FALSE)&amp;" - Per "&amp;VLOOKUP($C$4,'Writing Logic'!$G$8:$H$14,2,FALSE),YES_Writing_ELA[#Headers],0))=0,"",INDEX(_xlfn.VSTACK(YES_Writing_ELA[#Data],YES_Writing_FLA[#Data]),MATCH($A107,_xlfn.VSTACK(YES_Writing_ELA[Student Number],YES_Writing_FLA[Student Number]),0),MATCH(VLOOKUP(E$7,'Writing Logic'!$J$7:$K$11,2,FALSE)&amp;" - Per "&amp;VLOOKUP($C$4,'Writing Logic'!$G$8:$H$14,2,FALSE),YES_Writing_ELA[#Headers],0)))),"")</f>
        <v/>
      </c>
      <c r="F107" s="138" t="str">
        <f>IFERROR(IF(IF(INDEX(_xlfn.VSTACK(YES_Writing_ELA[#Data],YES_Writing_FLA[#Data]),MATCH($A107,_xlfn.VSTACK(YES_Writing_ELA[Student Number],YES_Writing_FLA[Student Number]),0),MATCH(VLOOKUP(F$7,'Writing Logic'!$J$7:$K$11,2,FALSE)&amp;" - Per "&amp;VLOOKUP($C$4,'Writing Logic'!$G$8:$H$14,2,FALSE),YES_Writing_ELA[#Headers],0))=0,"",INDEX(_xlfn.VSTACK(YES_Writing_ELA[#Data],YES_Writing_FLA[#Data]),MATCH($A107,_xlfn.VSTACK(YES_Writing_ELA[Student Number],YES_Writing_FLA[Student Number]),0),MATCH(VLOOKUP(F$7,'Writing Logic'!$J$7:$K$11,2,FALSE)&amp;" - Per "&amp;VLOOKUP($C$4,'Writing Logic'!$G$8:$H$14,2,FALSE),YES_Writing_ELA[#Headers],0)))="INS",'Writing Logic'!$B$7,IF(INDEX(_xlfn.VSTACK(YES_Writing_ELA[#Data],YES_Writing_FLA[#Data]),MATCH($A107,_xlfn.VSTACK(YES_Writing_ELA[Student Number],YES_Writing_FLA[Student Number]),0),MATCH(VLOOKUP(F$7,'Writing Logic'!$J$7:$K$11,2,FALSE)&amp;" - Per "&amp;VLOOKUP($C$4,'Writing Logic'!$G$8:$H$14,2,FALSE),YES_Writing_ELA[#Headers],0))=0,"",INDEX(_xlfn.VSTACK(YES_Writing_ELA[#Data],YES_Writing_FLA[#Data]),MATCH($A107,_xlfn.VSTACK(YES_Writing_ELA[Student Number],YES_Writing_FLA[Student Number]),0),MATCH(VLOOKUP(F$7,'Writing Logic'!$J$7:$K$11,2,FALSE)&amp;" - Per "&amp;VLOOKUP($C$4,'Writing Logic'!$G$8:$H$14,2,FALSE),YES_Writing_ELA[#Headers],0)))),"")</f>
        <v/>
      </c>
      <c r="G107" s="138" t="str">
        <f>IFERROR(IF(IF(INDEX(_xlfn.VSTACK(YES_Writing_ELA[#Data],YES_Writing_FLA[#Data]),MATCH($A107,_xlfn.VSTACK(YES_Writing_ELA[Student Number],YES_Writing_FLA[Student Number]),0),MATCH(VLOOKUP(G$7,'Writing Logic'!$J$7:$K$11,2,FALSE)&amp;" - Per "&amp;VLOOKUP($C$4,'Writing Logic'!$G$8:$H$14,2,FALSE),YES_Writing_ELA[#Headers],0))=0,"",INDEX(_xlfn.VSTACK(YES_Writing_ELA[#Data],YES_Writing_FLA[#Data]),MATCH($A107,_xlfn.VSTACK(YES_Writing_ELA[Student Number],YES_Writing_FLA[Student Number]),0),MATCH(VLOOKUP(G$7,'Writing Logic'!$J$7:$K$11,2,FALSE)&amp;" - Per "&amp;VLOOKUP($C$4,'Writing Logic'!$G$8:$H$14,2,FALSE),YES_Writing_ELA[#Headers],0)))="INS",'Writing Logic'!$B$7,IF(INDEX(_xlfn.VSTACK(YES_Writing_ELA[#Data],YES_Writing_FLA[#Data]),MATCH($A107,_xlfn.VSTACK(YES_Writing_ELA[Student Number],YES_Writing_FLA[Student Number]),0),MATCH(VLOOKUP(G$7,'Writing Logic'!$J$7:$K$11,2,FALSE)&amp;" - Per "&amp;VLOOKUP($C$4,'Writing Logic'!$G$8:$H$14,2,FALSE),YES_Writing_ELA[#Headers],0))=0,"",INDEX(_xlfn.VSTACK(YES_Writing_ELA[#Data],YES_Writing_FLA[#Data]),MATCH($A107,_xlfn.VSTACK(YES_Writing_ELA[Student Number],YES_Writing_FLA[Student Number]),0),MATCH(VLOOKUP(G$7,'Writing Logic'!$J$7:$K$11,2,FALSE)&amp;" - Per "&amp;VLOOKUP($C$4,'Writing Logic'!$G$8:$H$14,2,FALSE),YES_Writing_ELA[#Headers],0)))),"")</f>
        <v/>
      </c>
      <c r="H107" s="223" t="str">
        <f>IFERROR(IF(IF(INDEX(_xlfn.VSTACK(YES_Writing_ELA[#Data],YES_Writing_FLA[#Data]),MATCH($A107,_xlfn.VSTACK(YES_Writing_ELA[Student Number],YES_Writing_FLA[Student Number]),0),MATCH(VLOOKUP(H$7,'Writing Logic'!$J$7:$K$11,2,FALSE)&amp;" - Per "&amp;VLOOKUP($C$4,'Writing Logic'!$G$8:$H$14,2,FALSE),YES_Writing_ELA[#Headers],0))=0,"",INDEX(_xlfn.VSTACK(YES_Writing_ELA[#Data],YES_Writing_FLA[#Data]),MATCH($A107,_xlfn.VSTACK(YES_Writing_ELA[Student Number],YES_Writing_FLA[Student Number]),0),MATCH(VLOOKUP(H$7,'Writing Logic'!$J$7:$K$11,2,FALSE)&amp;" - Per "&amp;VLOOKUP($C$4,'Writing Logic'!$G$8:$H$14,2,FALSE),YES_Writing_ELA[#Headers],0)))="INS",'Writing Logic'!$B$7,IF(INDEX(_xlfn.VSTACK(YES_Writing_ELA[#Data],YES_Writing_FLA[#Data]),MATCH($A107,_xlfn.VSTACK(YES_Writing_ELA[Student Number],YES_Writing_FLA[Student Number]),0),MATCH(VLOOKUP(H$7,'Writing Logic'!$J$7:$K$11,2,FALSE)&amp;" - Per "&amp;VLOOKUP($C$4,'Writing Logic'!$G$8:$H$14,2,FALSE),YES_Writing_ELA[#Headers],0))=0,"",INDEX(_xlfn.VSTACK(YES_Writing_ELA[#Data],YES_Writing_FLA[#Data]),MATCH($A107,_xlfn.VSTACK(YES_Writing_ELA[Student Number],YES_Writing_FLA[Student Number]),0),MATCH(VLOOKUP(H$7,'Writing Logic'!$J$7:$K$11,2,FALSE)&amp;" - Per "&amp;VLOOKUP($C$4,'Writing Logic'!$G$8:$H$14,2,FALSE),YES_Writing_ELA[#Headers],0)))),"")</f>
        <v/>
      </c>
      <c r="I107" s="224" t="str" cm="1">
        <f t="array" aca="1" ref="I107" ca="1">IFERROR(
IF($G$3="ELA",
IF(VLOOKUP($A107, YES_Reading_ELA[], COLUMN(INDIRECT("YES_Reading_ELA[Difference - Per "&amp;VLOOKUP($G$4, 'Reading Report Logic'!$A$2:$B$8, 2, FALSE)&amp;"]")), FALSE)="", "",
VLOOKUP($A107,YES_Reading_ELA[], COLUMN(INDIRECT("YES_Reading_ELA[Difference - Per "&amp;VLOOKUP($G$4,'Reading Report Logic'!$A$2:$B$8,2,FALSE)&amp;"]")), FALSE)),
IF($G$3="FLA",
IF(VLOOKUP($A107, YES_Reading_FLA[], COLUMN(INDIRECT("YES_Reading_FLA[Difference - Per "&amp;VLOOKUP($G$4,'Reading Report Logic'!$A$2:$B$8,2,FALSE)&amp;"]")),FALSE)="","",
VLOOKUP($A107,YES_Reading_FLA[],COLUMN(INDIRECT("YES_Reading_FLA[Difference - Per "&amp;VLOOKUP($G$4,'Reading Report Logic'!$A$2:$B$8,2,FALSE)&amp;"]")),FALSE)),
IF($G$3="Combined",
IFERROR(
IF(VLOOKUP($A107, YES_Reading_ELA[], COLUMN(INDIRECT("YES_Reading_ELA[Difference - Per "&amp;VLOOKUP($G$4, 'Reading Report Logic'!$A$2:$B$8,2,FALSE)&amp;"]")), FALSE)="", "",
VLOOKUP($A107,YES_Reading_ELA[],COLUMN(INDIRECT("YES_Reading_ELA[Difference - Per "&amp;VLOOKUP($G$4,'Reading Report Logic'!$A$2:$B$8,2,FALSE)&amp;"]")),FALSE)),
IF(VLOOKUP($A107, YES_Reading_FLA[], COLUMN(INDIRECT("YES_Reading_FLA[Difference - Per "&amp;VLOOKUP($G$4, 'Reading Report Logic'!$A$2:$B$8, 2, FALSE)&amp;"]")),FALSE)="", "", VLOOKUP($A107,YES_Reading_FLA[],COLUMN(INDIRECT("YES_Reading_FLA[Difference - Per "&amp;VLOOKUP($G$4, 'Reading Report Logic'!$A$2:$B$8, 2, FALSE)&amp;"]")),FALSE))),""))),"")</f>
        <v/>
      </c>
    </row>
    <row r="108" spans="1:9" ht="14.25" customHeight="1" x14ac:dyDescent="0.25">
      <c r="A108" s="137"/>
      <c r="B108" s="137" t="str">
        <f>IFERROR(INDEX(_xlfn.VSTACK(YES_Writing_ELA[#Data], YES_Writing_FLA[#Data]),MATCH($A108,_xlfn.VSTACK(YES_Writing_ELA[Student Number], YES_Writing_FLA[Student Number]),0),MATCH(B$7,YES_Writing_ELA[#Headers],0)),IFERROR(INDEX(_xlfn.VSTACK(YES_Reading_ELA[#Data], YES_Reading_FLA[#Data]),MATCH($A108,_xlfn.VSTACK(YES_Reading_ELA[Student Number], YES_Reading_FLA[Student Number]),0),MATCH(B$7,YES_Reading_ELA[#Headers],0)),""))</f>
        <v/>
      </c>
      <c r="C108" s="137" t="str">
        <f>IFERROR(INDEX(_xlfn.VSTACK(YES_Writing_ELA[#Data], YES_Writing_FLA[#Data]),MATCH($A108,_xlfn.VSTACK(YES_Writing_ELA[Student Number], YES_Writing_FLA[Student Number]),0),MATCH(C$7,YES_Writing_ELA[#Headers],0)),IFERROR(INDEX(_xlfn.VSTACK(YES_Reading_ELA[#Data], YES_Reading_FLA[#Data]),MATCH($A108,_xlfn.VSTACK(YES_Reading_ELA[Student Number], YES_Reading_FLA[Student Number]),0),MATCH(C$7,YES_Reading_ELA[#Headers],0)),""))</f>
        <v/>
      </c>
      <c r="D108" s="138" t="str">
        <f>IFERROR(IF(IF(INDEX(_xlfn.VSTACK(YES_Writing_ELA[#Data],YES_Writing_FLA[#Data]),MATCH($A108,_xlfn.VSTACK(YES_Writing_ELA[Student Number],YES_Writing_FLA[Student Number]),0),MATCH(VLOOKUP(D$7,'Writing Logic'!$J$7:$K$11,2,FALSE)&amp;" - Per "&amp;VLOOKUP($C$4,'Writing Logic'!$G$8:$H$14,2,FALSE),YES_Writing_ELA[#Headers],0))=0,"",INDEX(_xlfn.VSTACK(YES_Writing_ELA[#Data],YES_Writing_FLA[#Data]),MATCH($A108,_xlfn.VSTACK(YES_Writing_ELA[Student Number],YES_Writing_FLA[Student Number]),0),MATCH(VLOOKUP(D$7,'Writing Logic'!$J$7:$K$11,2,FALSE)&amp;" - Per "&amp;VLOOKUP($C$4,'Writing Logic'!$G$8:$H$14,2,FALSE),YES_Writing_ELA[#Headers],0)))="INS",'Writing Logic'!$B$7,IF(INDEX(_xlfn.VSTACK(YES_Writing_ELA[#Data],YES_Writing_FLA[#Data]),MATCH($A108,_xlfn.VSTACK(YES_Writing_ELA[Student Number],YES_Writing_FLA[Student Number]),0),MATCH(VLOOKUP(D$7,'Writing Logic'!$J$7:$K$11,2,FALSE)&amp;" - Per "&amp;VLOOKUP($C$4,'Writing Logic'!$G$8:$H$14,2,FALSE),YES_Writing_ELA[#Headers],0))=0,"",INDEX(_xlfn.VSTACK(YES_Writing_ELA[#Data],YES_Writing_FLA[#Data]),MATCH($A108,_xlfn.VSTACK(YES_Writing_ELA[Student Number],YES_Writing_FLA[Student Number]),0),MATCH(VLOOKUP(D$7,'Writing Logic'!$J$7:$K$11,2,FALSE)&amp;" - Per "&amp;VLOOKUP($C$4,'Writing Logic'!$G$8:$H$14,2,FALSE),YES_Writing_ELA[#Headers],0)))),"")</f>
        <v/>
      </c>
      <c r="E108" s="138" t="str">
        <f>IFERROR(IF(IF(INDEX(_xlfn.VSTACK(YES_Writing_ELA[#Data],YES_Writing_FLA[#Data]),MATCH($A108,_xlfn.VSTACK(YES_Writing_ELA[Student Number],YES_Writing_FLA[Student Number]),0),MATCH(VLOOKUP(E$7,'Writing Logic'!$J$7:$K$11,2,FALSE)&amp;" - Per "&amp;VLOOKUP($C$4,'Writing Logic'!$G$8:$H$14,2,FALSE),YES_Writing_ELA[#Headers],0))=0,"",INDEX(_xlfn.VSTACK(YES_Writing_ELA[#Data],YES_Writing_FLA[#Data]),MATCH($A108,_xlfn.VSTACK(YES_Writing_ELA[Student Number],YES_Writing_FLA[Student Number]),0),MATCH(VLOOKUP(E$7,'Writing Logic'!$J$7:$K$11,2,FALSE)&amp;" - Per "&amp;VLOOKUP($C$4,'Writing Logic'!$G$8:$H$14,2,FALSE),YES_Writing_ELA[#Headers],0)))="INS",'Writing Logic'!$B$7,IF(INDEX(_xlfn.VSTACK(YES_Writing_ELA[#Data],YES_Writing_FLA[#Data]),MATCH($A108,_xlfn.VSTACK(YES_Writing_ELA[Student Number],YES_Writing_FLA[Student Number]),0),MATCH(VLOOKUP(E$7,'Writing Logic'!$J$7:$K$11,2,FALSE)&amp;" - Per "&amp;VLOOKUP($C$4,'Writing Logic'!$G$8:$H$14,2,FALSE),YES_Writing_ELA[#Headers],0))=0,"",INDEX(_xlfn.VSTACK(YES_Writing_ELA[#Data],YES_Writing_FLA[#Data]),MATCH($A108,_xlfn.VSTACK(YES_Writing_ELA[Student Number],YES_Writing_FLA[Student Number]),0),MATCH(VLOOKUP(E$7,'Writing Logic'!$J$7:$K$11,2,FALSE)&amp;" - Per "&amp;VLOOKUP($C$4,'Writing Logic'!$G$8:$H$14,2,FALSE),YES_Writing_ELA[#Headers],0)))),"")</f>
        <v/>
      </c>
      <c r="F108" s="138" t="str">
        <f>IFERROR(IF(IF(INDEX(_xlfn.VSTACK(YES_Writing_ELA[#Data],YES_Writing_FLA[#Data]),MATCH($A108,_xlfn.VSTACK(YES_Writing_ELA[Student Number],YES_Writing_FLA[Student Number]),0),MATCH(VLOOKUP(F$7,'Writing Logic'!$J$7:$K$11,2,FALSE)&amp;" - Per "&amp;VLOOKUP($C$4,'Writing Logic'!$G$8:$H$14,2,FALSE),YES_Writing_ELA[#Headers],0))=0,"",INDEX(_xlfn.VSTACK(YES_Writing_ELA[#Data],YES_Writing_FLA[#Data]),MATCH($A108,_xlfn.VSTACK(YES_Writing_ELA[Student Number],YES_Writing_FLA[Student Number]),0),MATCH(VLOOKUP(F$7,'Writing Logic'!$J$7:$K$11,2,FALSE)&amp;" - Per "&amp;VLOOKUP($C$4,'Writing Logic'!$G$8:$H$14,2,FALSE),YES_Writing_ELA[#Headers],0)))="INS",'Writing Logic'!$B$7,IF(INDEX(_xlfn.VSTACK(YES_Writing_ELA[#Data],YES_Writing_FLA[#Data]),MATCH($A108,_xlfn.VSTACK(YES_Writing_ELA[Student Number],YES_Writing_FLA[Student Number]),0),MATCH(VLOOKUP(F$7,'Writing Logic'!$J$7:$K$11,2,FALSE)&amp;" - Per "&amp;VLOOKUP($C$4,'Writing Logic'!$G$8:$H$14,2,FALSE),YES_Writing_ELA[#Headers],0))=0,"",INDEX(_xlfn.VSTACK(YES_Writing_ELA[#Data],YES_Writing_FLA[#Data]),MATCH($A108,_xlfn.VSTACK(YES_Writing_ELA[Student Number],YES_Writing_FLA[Student Number]),0),MATCH(VLOOKUP(F$7,'Writing Logic'!$J$7:$K$11,2,FALSE)&amp;" - Per "&amp;VLOOKUP($C$4,'Writing Logic'!$G$8:$H$14,2,FALSE),YES_Writing_ELA[#Headers],0)))),"")</f>
        <v/>
      </c>
      <c r="G108" s="138" t="str">
        <f>IFERROR(IF(IF(INDEX(_xlfn.VSTACK(YES_Writing_ELA[#Data],YES_Writing_FLA[#Data]),MATCH($A108,_xlfn.VSTACK(YES_Writing_ELA[Student Number],YES_Writing_FLA[Student Number]),0),MATCH(VLOOKUP(G$7,'Writing Logic'!$J$7:$K$11,2,FALSE)&amp;" - Per "&amp;VLOOKUP($C$4,'Writing Logic'!$G$8:$H$14,2,FALSE),YES_Writing_ELA[#Headers],0))=0,"",INDEX(_xlfn.VSTACK(YES_Writing_ELA[#Data],YES_Writing_FLA[#Data]),MATCH($A108,_xlfn.VSTACK(YES_Writing_ELA[Student Number],YES_Writing_FLA[Student Number]),0),MATCH(VLOOKUP(G$7,'Writing Logic'!$J$7:$K$11,2,FALSE)&amp;" - Per "&amp;VLOOKUP($C$4,'Writing Logic'!$G$8:$H$14,2,FALSE),YES_Writing_ELA[#Headers],0)))="INS",'Writing Logic'!$B$7,IF(INDEX(_xlfn.VSTACK(YES_Writing_ELA[#Data],YES_Writing_FLA[#Data]),MATCH($A108,_xlfn.VSTACK(YES_Writing_ELA[Student Number],YES_Writing_FLA[Student Number]),0),MATCH(VLOOKUP(G$7,'Writing Logic'!$J$7:$K$11,2,FALSE)&amp;" - Per "&amp;VLOOKUP($C$4,'Writing Logic'!$G$8:$H$14,2,FALSE),YES_Writing_ELA[#Headers],0))=0,"",INDEX(_xlfn.VSTACK(YES_Writing_ELA[#Data],YES_Writing_FLA[#Data]),MATCH($A108,_xlfn.VSTACK(YES_Writing_ELA[Student Number],YES_Writing_FLA[Student Number]),0),MATCH(VLOOKUP(G$7,'Writing Logic'!$J$7:$K$11,2,FALSE)&amp;" - Per "&amp;VLOOKUP($C$4,'Writing Logic'!$G$8:$H$14,2,FALSE),YES_Writing_ELA[#Headers],0)))),"")</f>
        <v/>
      </c>
      <c r="H108" s="223" t="str">
        <f>IFERROR(IF(IF(INDEX(_xlfn.VSTACK(YES_Writing_ELA[#Data],YES_Writing_FLA[#Data]),MATCH($A108,_xlfn.VSTACK(YES_Writing_ELA[Student Number],YES_Writing_FLA[Student Number]),0),MATCH(VLOOKUP(H$7,'Writing Logic'!$J$7:$K$11,2,FALSE)&amp;" - Per "&amp;VLOOKUP($C$4,'Writing Logic'!$G$8:$H$14,2,FALSE),YES_Writing_ELA[#Headers],0))=0,"",INDEX(_xlfn.VSTACK(YES_Writing_ELA[#Data],YES_Writing_FLA[#Data]),MATCH($A108,_xlfn.VSTACK(YES_Writing_ELA[Student Number],YES_Writing_FLA[Student Number]),0),MATCH(VLOOKUP(H$7,'Writing Logic'!$J$7:$K$11,2,FALSE)&amp;" - Per "&amp;VLOOKUP($C$4,'Writing Logic'!$G$8:$H$14,2,FALSE),YES_Writing_ELA[#Headers],0)))="INS",'Writing Logic'!$B$7,IF(INDEX(_xlfn.VSTACK(YES_Writing_ELA[#Data],YES_Writing_FLA[#Data]),MATCH($A108,_xlfn.VSTACK(YES_Writing_ELA[Student Number],YES_Writing_FLA[Student Number]),0),MATCH(VLOOKUP(H$7,'Writing Logic'!$J$7:$K$11,2,FALSE)&amp;" - Per "&amp;VLOOKUP($C$4,'Writing Logic'!$G$8:$H$14,2,FALSE),YES_Writing_ELA[#Headers],0))=0,"",INDEX(_xlfn.VSTACK(YES_Writing_ELA[#Data],YES_Writing_FLA[#Data]),MATCH($A108,_xlfn.VSTACK(YES_Writing_ELA[Student Number],YES_Writing_FLA[Student Number]),0),MATCH(VLOOKUP(H$7,'Writing Logic'!$J$7:$K$11,2,FALSE)&amp;" - Per "&amp;VLOOKUP($C$4,'Writing Logic'!$G$8:$H$14,2,FALSE),YES_Writing_ELA[#Headers],0)))),"")</f>
        <v/>
      </c>
      <c r="I108" s="224" t="str" cm="1">
        <f t="array" aca="1" ref="I108" ca="1">IFERROR(
IF($G$3="ELA",
IF(VLOOKUP($A108, YES_Reading_ELA[], COLUMN(INDIRECT("YES_Reading_ELA[Difference - Per "&amp;VLOOKUP($G$4, 'Reading Report Logic'!$A$2:$B$8, 2, FALSE)&amp;"]")), FALSE)="", "",
VLOOKUP($A108,YES_Reading_ELA[], COLUMN(INDIRECT("YES_Reading_ELA[Difference - Per "&amp;VLOOKUP($G$4,'Reading Report Logic'!$A$2:$B$8,2,FALSE)&amp;"]")), FALSE)),
IF($G$3="FLA",
IF(VLOOKUP($A108, YES_Reading_FLA[], COLUMN(INDIRECT("YES_Reading_FLA[Difference - Per "&amp;VLOOKUP($G$4,'Reading Report Logic'!$A$2:$B$8,2,FALSE)&amp;"]")),FALSE)="","",
VLOOKUP($A108,YES_Reading_FLA[],COLUMN(INDIRECT("YES_Reading_FLA[Difference - Per "&amp;VLOOKUP($G$4,'Reading Report Logic'!$A$2:$B$8,2,FALSE)&amp;"]")),FALSE)),
IF($G$3="Combined",
IFERROR(
IF(VLOOKUP($A108, YES_Reading_ELA[], COLUMN(INDIRECT("YES_Reading_ELA[Difference - Per "&amp;VLOOKUP($G$4, 'Reading Report Logic'!$A$2:$B$8,2,FALSE)&amp;"]")), FALSE)="", "",
VLOOKUP($A108,YES_Reading_ELA[],COLUMN(INDIRECT("YES_Reading_ELA[Difference - Per "&amp;VLOOKUP($G$4,'Reading Report Logic'!$A$2:$B$8,2,FALSE)&amp;"]")),FALSE)),
IF(VLOOKUP($A108, YES_Reading_FLA[], COLUMN(INDIRECT("YES_Reading_FLA[Difference - Per "&amp;VLOOKUP($G$4, 'Reading Report Logic'!$A$2:$B$8, 2, FALSE)&amp;"]")),FALSE)="", "", VLOOKUP($A108,YES_Reading_FLA[],COLUMN(INDIRECT("YES_Reading_FLA[Difference - Per "&amp;VLOOKUP($G$4, 'Reading Report Logic'!$A$2:$B$8, 2, FALSE)&amp;"]")),FALSE))),""))),"")</f>
        <v/>
      </c>
    </row>
    <row r="109" spans="1:9" ht="14.25" customHeight="1" x14ac:dyDescent="0.25">
      <c r="A109" s="137"/>
      <c r="B109" s="137" t="str">
        <f>IFERROR(INDEX(_xlfn.VSTACK(YES_Writing_ELA[#Data], YES_Writing_FLA[#Data]),MATCH($A109,_xlfn.VSTACK(YES_Writing_ELA[Student Number], YES_Writing_FLA[Student Number]),0),MATCH(B$7,YES_Writing_ELA[#Headers],0)),IFERROR(INDEX(_xlfn.VSTACK(YES_Reading_ELA[#Data], YES_Reading_FLA[#Data]),MATCH($A109,_xlfn.VSTACK(YES_Reading_ELA[Student Number], YES_Reading_FLA[Student Number]),0),MATCH(B$7,YES_Reading_ELA[#Headers],0)),""))</f>
        <v/>
      </c>
      <c r="C109" s="137" t="str">
        <f>IFERROR(INDEX(_xlfn.VSTACK(YES_Writing_ELA[#Data], YES_Writing_FLA[#Data]),MATCH($A109,_xlfn.VSTACK(YES_Writing_ELA[Student Number], YES_Writing_FLA[Student Number]),0),MATCH(C$7,YES_Writing_ELA[#Headers],0)),IFERROR(INDEX(_xlfn.VSTACK(YES_Reading_ELA[#Data], YES_Reading_FLA[#Data]),MATCH($A109,_xlfn.VSTACK(YES_Reading_ELA[Student Number], YES_Reading_FLA[Student Number]),0),MATCH(C$7,YES_Reading_ELA[#Headers],0)),""))</f>
        <v/>
      </c>
      <c r="D109" s="138" t="str">
        <f>IFERROR(IF(IF(INDEX(_xlfn.VSTACK(YES_Writing_ELA[#Data],YES_Writing_FLA[#Data]),MATCH($A109,_xlfn.VSTACK(YES_Writing_ELA[Student Number],YES_Writing_FLA[Student Number]),0),MATCH(VLOOKUP(D$7,'Writing Logic'!$J$7:$K$11,2,FALSE)&amp;" - Per "&amp;VLOOKUP($C$4,'Writing Logic'!$G$8:$H$14,2,FALSE),YES_Writing_ELA[#Headers],0))=0,"",INDEX(_xlfn.VSTACK(YES_Writing_ELA[#Data],YES_Writing_FLA[#Data]),MATCH($A109,_xlfn.VSTACK(YES_Writing_ELA[Student Number],YES_Writing_FLA[Student Number]),0),MATCH(VLOOKUP(D$7,'Writing Logic'!$J$7:$K$11,2,FALSE)&amp;" - Per "&amp;VLOOKUP($C$4,'Writing Logic'!$G$8:$H$14,2,FALSE),YES_Writing_ELA[#Headers],0)))="INS",'Writing Logic'!$B$7,IF(INDEX(_xlfn.VSTACK(YES_Writing_ELA[#Data],YES_Writing_FLA[#Data]),MATCH($A109,_xlfn.VSTACK(YES_Writing_ELA[Student Number],YES_Writing_FLA[Student Number]),0),MATCH(VLOOKUP(D$7,'Writing Logic'!$J$7:$K$11,2,FALSE)&amp;" - Per "&amp;VLOOKUP($C$4,'Writing Logic'!$G$8:$H$14,2,FALSE),YES_Writing_ELA[#Headers],0))=0,"",INDEX(_xlfn.VSTACK(YES_Writing_ELA[#Data],YES_Writing_FLA[#Data]),MATCH($A109,_xlfn.VSTACK(YES_Writing_ELA[Student Number],YES_Writing_FLA[Student Number]),0),MATCH(VLOOKUP(D$7,'Writing Logic'!$J$7:$K$11,2,FALSE)&amp;" - Per "&amp;VLOOKUP($C$4,'Writing Logic'!$G$8:$H$14,2,FALSE),YES_Writing_ELA[#Headers],0)))),"")</f>
        <v/>
      </c>
      <c r="E109" s="138" t="str">
        <f>IFERROR(IF(IF(INDEX(_xlfn.VSTACK(YES_Writing_ELA[#Data],YES_Writing_FLA[#Data]),MATCH($A109,_xlfn.VSTACK(YES_Writing_ELA[Student Number],YES_Writing_FLA[Student Number]),0),MATCH(VLOOKUP(E$7,'Writing Logic'!$J$7:$K$11,2,FALSE)&amp;" - Per "&amp;VLOOKUP($C$4,'Writing Logic'!$G$8:$H$14,2,FALSE),YES_Writing_ELA[#Headers],0))=0,"",INDEX(_xlfn.VSTACK(YES_Writing_ELA[#Data],YES_Writing_FLA[#Data]),MATCH($A109,_xlfn.VSTACK(YES_Writing_ELA[Student Number],YES_Writing_FLA[Student Number]),0),MATCH(VLOOKUP(E$7,'Writing Logic'!$J$7:$K$11,2,FALSE)&amp;" - Per "&amp;VLOOKUP($C$4,'Writing Logic'!$G$8:$H$14,2,FALSE),YES_Writing_ELA[#Headers],0)))="INS",'Writing Logic'!$B$7,IF(INDEX(_xlfn.VSTACK(YES_Writing_ELA[#Data],YES_Writing_FLA[#Data]),MATCH($A109,_xlfn.VSTACK(YES_Writing_ELA[Student Number],YES_Writing_FLA[Student Number]),0),MATCH(VLOOKUP(E$7,'Writing Logic'!$J$7:$K$11,2,FALSE)&amp;" - Per "&amp;VLOOKUP($C$4,'Writing Logic'!$G$8:$H$14,2,FALSE),YES_Writing_ELA[#Headers],0))=0,"",INDEX(_xlfn.VSTACK(YES_Writing_ELA[#Data],YES_Writing_FLA[#Data]),MATCH($A109,_xlfn.VSTACK(YES_Writing_ELA[Student Number],YES_Writing_FLA[Student Number]),0),MATCH(VLOOKUP(E$7,'Writing Logic'!$J$7:$K$11,2,FALSE)&amp;" - Per "&amp;VLOOKUP($C$4,'Writing Logic'!$G$8:$H$14,2,FALSE),YES_Writing_ELA[#Headers],0)))),"")</f>
        <v/>
      </c>
      <c r="F109" s="138" t="str">
        <f>IFERROR(IF(IF(INDEX(_xlfn.VSTACK(YES_Writing_ELA[#Data],YES_Writing_FLA[#Data]),MATCH($A109,_xlfn.VSTACK(YES_Writing_ELA[Student Number],YES_Writing_FLA[Student Number]),0),MATCH(VLOOKUP(F$7,'Writing Logic'!$J$7:$K$11,2,FALSE)&amp;" - Per "&amp;VLOOKUP($C$4,'Writing Logic'!$G$8:$H$14,2,FALSE),YES_Writing_ELA[#Headers],0))=0,"",INDEX(_xlfn.VSTACK(YES_Writing_ELA[#Data],YES_Writing_FLA[#Data]),MATCH($A109,_xlfn.VSTACK(YES_Writing_ELA[Student Number],YES_Writing_FLA[Student Number]),0),MATCH(VLOOKUP(F$7,'Writing Logic'!$J$7:$K$11,2,FALSE)&amp;" - Per "&amp;VLOOKUP($C$4,'Writing Logic'!$G$8:$H$14,2,FALSE),YES_Writing_ELA[#Headers],0)))="INS",'Writing Logic'!$B$7,IF(INDEX(_xlfn.VSTACK(YES_Writing_ELA[#Data],YES_Writing_FLA[#Data]),MATCH($A109,_xlfn.VSTACK(YES_Writing_ELA[Student Number],YES_Writing_FLA[Student Number]),0),MATCH(VLOOKUP(F$7,'Writing Logic'!$J$7:$K$11,2,FALSE)&amp;" - Per "&amp;VLOOKUP($C$4,'Writing Logic'!$G$8:$H$14,2,FALSE),YES_Writing_ELA[#Headers],0))=0,"",INDEX(_xlfn.VSTACK(YES_Writing_ELA[#Data],YES_Writing_FLA[#Data]),MATCH($A109,_xlfn.VSTACK(YES_Writing_ELA[Student Number],YES_Writing_FLA[Student Number]),0),MATCH(VLOOKUP(F$7,'Writing Logic'!$J$7:$K$11,2,FALSE)&amp;" - Per "&amp;VLOOKUP($C$4,'Writing Logic'!$G$8:$H$14,2,FALSE),YES_Writing_ELA[#Headers],0)))),"")</f>
        <v/>
      </c>
      <c r="G109" s="138" t="str">
        <f>IFERROR(IF(IF(INDEX(_xlfn.VSTACK(YES_Writing_ELA[#Data],YES_Writing_FLA[#Data]),MATCH($A109,_xlfn.VSTACK(YES_Writing_ELA[Student Number],YES_Writing_FLA[Student Number]),0),MATCH(VLOOKUP(G$7,'Writing Logic'!$J$7:$K$11,2,FALSE)&amp;" - Per "&amp;VLOOKUP($C$4,'Writing Logic'!$G$8:$H$14,2,FALSE),YES_Writing_ELA[#Headers],0))=0,"",INDEX(_xlfn.VSTACK(YES_Writing_ELA[#Data],YES_Writing_FLA[#Data]),MATCH($A109,_xlfn.VSTACK(YES_Writing_ELA[Student Number],YES_Writing_FLA[Student Number]),0),MATCH(VLOOKUP(G$7,'Writing Logic'!$J$7:$K$11,2,FALSE)&amp;" - Per "&amp;VLOOKUP($C$4,'Writing Logic'!$G$8:$H$14,2,FALSE),YES_Writing_ELA[#Headers],0)))="INS",'Writing Logic'!$B$7,IF(INDEX(_xlfn.VSTACK(YES_Writing_ELA[#Data],YES_Writing_FLA[#Data]),MATCH($A109,_xlfn.VSTACK(YES_Writing_ELA[Student Number],YES_Writing_FLA[Student Number]),0),MATCH(VLOOKUP(G$7,'Writing Logic'!$J$7:$K$11,2,FALSE)&amp;" - Per "&amp;VLOOKUP($C$4,'Writing Logic'!$G$8:$H$14,2,FALSE),YES_Writing_ELA[#Headers],0))=0,"",INDEX(_xlfn.VSTACK(YES_Writing_ELA[#Data],YES_Writing_FLA[#Data]),MATCH($A109,_xlfn.VSTACK(YES_Writing_ELA[Student Number],YES_Writing_FLA[Student Number]),0),MATCH(VLOOKUP(G$7,'Writing Logic'!$J$7:$K$11,2,FALSE)&amp;" - Per "&amp;VLOOKUP($C$4,'Writing Logic'!$G$8:$H$14,2,FALSE),YES_Writing_ELA[#Headers],0)))),"")</f>
        <v/>
      </c>
      <c r="H109" s="223" t="str">
        <f>IFERROR(IF(IF(INDEX(_xlfn.VSTACK(YES_Writing_ELA[#Data],YES_Writing_FLA[#Data]),MATCH($A109,_xlfn.VSTACK(YES_Writing_ELA[Student Number],YES_Writing_FLA[Student Number]),0),MATCH(VLOOKUP(H$7,'Writing Logic'!$J$7:$K$11,2,FALSE)&amp;" - Per "&amp;VLOOKUP($C$4,'Writing Logic'!$G$8:$H$14,2,FALSE),YES_Writing_ELA[#Headers],0))=0,"",INDEX(_xlfn.VSTACK(YES_Writing_ELA[#Data],YES_Writing_FLA[#Data]),MATCH($A109,_xlfn.VSTACK(YES_Writing_ELA[Student Number],YES_Writing_FLA[Student Number]),0),MATCH(VLOOKUP(H$7,'Writing Logic'!$J$7:$K$11,2,FALSE)&amp;" - Per "&amp;VLOOKUP($C$4,'Writing Logic'!$G$8:$H$14,2,FALSE),YES_Writing_ELA[#Headers],0)))="INS",'Writing Logic'!$B$7,IF(INDEX(_xlfn.VSTACK(YES_Writing_ELA[#Data],YES_Writing_FLA[#Data]),MATCH($A109,_xlfn.VSTACK(YES_Writing_ELA[Student Number],YES_Writing_FLA[Student Number]),0),MATCH(VLOOKUP(H$7,'Writing Logic'!$J$7:$K$11,2,FALSE)&amp;" - Per "&amp;VLOOKUP($C$4,'Writing Logic'!$G$8:$H$14,2,FALSE),YES_Writing_ELA[#Headers],0))=0,"",INDEX(_xlfn.VSTACK(YES_Writing_ELA[#Data],YES_Writing_FLA[#Data]),MATCH($A109,_xlfn.VSTACK(YES_Writing_ELA[Student Number],YES_Writing_FLA[Student Number]),0),MATCH(VLOOKUP(H$7,'Writing Logic'!$J$7:$K$11,2,FALSE)&amp;" - Per "&amp;VLOOKUP($C$4,'Writing Logic'!$G$8:$H$14,2,FALSE),YES_Writing_ELA[#Headers],0)))),"")</f>
        <v/>
      </c>
      <c r="I109" s="224" t="str" cm="1">
        <f t="array" aca="1" ref="I109" ca="1">IFERROR(
IF($G$3="ELA",
IF(VLOOKUP($A109, YES_Reading_ELA[], COLUMN(INDIRECT("YES_Reading_ELA[Difference - Per "&amp;VLOOKUP($G$4, 'Reading Report Logic'!$A$2:$B$8, 2, FALSE)&amp;"]")), FALSE)="", "",
VLOOKUP($A109,YES_Reading_ELA[], COLUMN(INDIRECT("YES_Reading_ELA[Difference - Per "&amp;VLOOKUP($G$4,'Reading Report Logic'!$A$2:$B$8,2,FALSE)&amp;"]")), FALSE)),
IF($G$3="FLA",
IF(VLOOKUP($A109, YES_Reading_FLA[], COLUMN(INDIRECT("YES_Reading_FLA[Difference - Per "&amp;VLOOKUP($G$4,'Reading Report Logic'!$A$2:$B$8,2,FALSE)&amp;"]")),FALSE)="","",
VLOOKUP($A109,YES_Reading_FLA[],COLUMN(INDIRECT("YES_Reading_FLA[Difference - Per "&amp;VLOOKUP($G$4,'Reading Report Logic'!$A$2:$B$8,2,FALSE)&amp;"]")),FALSE)),
IF($G$3="Combined",
IFERROR(
IF(VLOOKUP($A109, YES_Reading_ELA[], COLUMN(INDIRECT("YES_Reading_ELA[Difference - Per "&amp;VLOOKUP($G$4, 'Reading Report Logic'!$A$2:$B$8,2,FALSE)&amp;"]")), FALSE)="", "",
VLOOKUP($A109,YES_Reading_ELA[],COLUMN(INDIRECT("YES_Reading_ELA[Difference - Per "&amp;VLOOKUP($G$4,'Reading Report Logic'!$A$2:$B$8,2,FALSE)&amp;"]")),FALSE)),
IF(VLOOKUP($A109, YES_Reading_FLA[], COLUMN(INDIRECT("YES_Reading_FLA[Difference - Per "&amp;VLOOKUP($G$4, 'Reading Report Logic'!$A$2:$B$8, 2, FALSE)&amp;"]")),FALSE)="", "", VLOOKUP($A109,YES_Reading_FLA[],COLUMN(INDIRECT("YES_Reading_FLA[Difference - Per "&amp;VLOOKUP($G$4, 'Reading Report Logic'!$A$2:$B$8, 2, FALSE)&amp;"]")),FALSE))),""))),"")</f>
        <v/>
      </c>
    </row>
    <row r="110" spans="1:9" ht="14.25" customHeight="1" x14ac:dyDescent="0.25">
      <c r="A110" s="137"/>
      <c r="B110" s="137" t="str">
        <f>IFERROR(INDEX(_xlfn.VSTACK(YES_Writing_ELA[#Data], YES_Writing_FLA[#Data]),MATCH($A110,_xlfn.VSTACK(YES_Writing_ELA[Student Number], YES_Writing_FLA[Student Number]),0),MATCH(B$7,YES_Writing_ELA[#Headers],0)),IFERROR(INDEX(_xlfn.VSTACK(YES_Reading_ELA[#Data], YES_Reading_FLA[#Data]),MATCH($A110,_xlfn.VSTACK(YES_Reading_ELA[Student Number], YES_Reading_FLA[Student Number]),0),MATCH(B$7,YES_Reading_ELA[#Headers],0)),""))</f>
        <v/>
      </c>
      <c r="C110" s="137" t="str">
        <f>IFERROR(INDEX(_xlfn.VSTACK(YES_Writing_ELA[#Data], YES_Writing_FLA[#Data]),MATCH($A110,_xlfn.VSTACK(YES_Writing_ELA[Student Number], YES_Writing_FLA[Student Number]),0),MATCH(C$7,YES_Writing_ELA[#Headers],0)),IFERROR(INDEX(_xlfn.VSTACK(YES_Reading_ELA[#Data], YES_Reading_FLA[#Data]),MATCH($A110,_xlfn.VSTACK(YES_Reading_ELA[Student Number], YES_Reading_FLA[Student Number]),0),MATCH(C$7,YES_Reading_ELA[#Headers],0)),""))</f>
        <v/>
      </c>
      <c r="D110" s="138" t="str">
        <f>IFERROR(IF(IF(INDEX(_xlfn.VSTACK(YES_Writing_ELA[#Data],YES_Writing_FLA[#Data]),MATCH($A110,_xlfn.VSTACK(YES_Writing_ELA[Student Number],YES_Writing_FLA[Student Number]),0),MATCH(VLOOKUP(D$7,'Writing Logic'!$J$7:$K$11,2,FALSE)&amp;" - Per "&amp;VLOOKUP($C$4,'Writing Logic'!$G$8:$H$14,2,FALSE),YES_Writing_ELA[#Headers],0))=0,"",INDEX(_xlfn.VSTACK(YES_Writing_ELA[#Data],YES_Writing_FLA[#Data]),MATCH($A110,_xlfn.VSTACK(YES_Writing_ELA[Student Number],YES_Writing_FLA[Student Number]),0),MATCH(VLOOKUP(D$7,'Writing Logic'!$J$7:$K$11,2,FALSE)&amp;" - Per "&amp;VLOOKUP($C$4,'Writing Logic'!$G$8:$H$14,2,FALSE),YES_Writing_ELA[#Headers],0)))="INS",'Writing Logic'!$B$7,IF(INDEX(_xlfn.VSTACK(YES_Writing_ELA[#Data],YES_Writing_FLA[#Data]),MATCH($A110,_xlfn.VSTACK(YES_Writing_ELA[Student Number],YES_Writing_FLA[Student Number]),0),MATCH(VLOOKUP(D$7,'Writing Logic'!$J$7:$K$11,2,FALSE)&amp;" - Per "&amp;VLOOKUP($C$4,'Writing Logic'!$G$8:$H$14,2,FALSE),YES_Writing_ELA[#Headers],0))=0,"",INDEX(_xlfn.VSTACK(YES_Writing_ELA[#Data],YES_Writing_FLA[#Data]),MATCH($A110,_xlfn.VSTACK(YES_Writing_ELA[Student Number],YES_Writing_FLA[Student Number]),0),MATCH(VLOOKUP(D$7,'Writing Logic'!$J$7:$K$11,2,FALSE)&amp;" - Per "&amp;VLOOKUP($C$4,'Writing Logic'!$G$8:$H$14,2,FALSE),YES_Writing_ELA[#Headers],0)))),"")</f>
        <v/>
      </c>
      <c r="E110" s="138" t="str">
        <f>IFERROR(IF(IF(INDEX(_xlfn.VSTACK(YES_Writing_ELA[#Data],YES_Writing_FLA[#Data]),MATCH($A110,_xlfn.VSTACK(YES_Writing_ELA[Student Number],YES_Writing_FLA[Student Number]),0),MATCH(VLOOKUP(E$7,'Writing Logic'!$J$7:$K$11,2,FALSE)&amp;" - Per "&amp;VLOOKUP($C$4,'Writing Logic'!$G$8:$H$14,2,FALSE),YES_Writing_ELA[#Headers],0))=0,"",INDEX(_xlfn.VSTACK(YES_Writing_ELA[#Data],YES_Writing_FLA[#Data]),MATCH($A110,_xlfn.VSTACK(YES_Writing_ELA[Student Number],YES_Writing_FLA[Student Number]),0),MATCH(VLOOKUP(E$7,'Writing Logic'!$J$7:$K$11,2,FALSE)&amp;" - Per "&amp;VLOOKUP($C$4,'Writing Logic'!$G$8:$H$14,2,FALSE),YES_Writing_ELA[#Headers],0)))="INS",'Writing Logic'!$B$7,IF(INDEX(_xlfn.VSTACK(YES_Writing_ELA[#Data],YES_Writing_FLA[#Data]),MATCH($A110,_xlfn.VSTACK(YES_Writing_ELA[Student Number],YES_Writing_FLA[Student Number]),0),MATCH(VLOOKUP(E$7,'Writing Logic'!$J$7:$K$11,2,FALSE)&amp;" - Per "&amp;VLOOKUP($C$4,'Writing Logic'!$G$8:$H$14,2,FALSE),YES_Writing_ELA[#Headers],0))=0,"",INDEX(_xlfn.VSTACK(YES_Writing_ELA[#Data],YES_Writing_FLA[#Data]),MATCH($A110,_xlfn.VSTACK(YES_Writing_ELA[Student Number],YES_Writing_FLA[Student Number]),0),MATCH(VLOOKUP(E$7,'Writing Logic'!$J$7:$K$11,2,FALSE)&amp;" - Per "&amp;VLOOKUP($C$4,'Writing Logic'!$G$8:$H$14,2,FALSE),YES_Writing_ELA[#Headers],0)))),"")</f>
        <v/>
      </c>
      <c r="F110" s="138" t="str">
        <f>IFERROR(IF(IF(INDEX(_xlfn.VSTACK(YES_Writing_ELA[#Data],YES_Writing_FLA[#Data]),MATCH($A110,_xlfn.VSTACK(YES_Writing_ELA[Student Number],YES_Writing_FLA[Student Number]),0),MATCH(VLOOKUP(F$7,'Writing Logic'!$J$7:$K$11,2,FALSE)&amp;" - Per "&amp;VLOOKUP($C$4,'Writing Logic'!$G$8:$H$14,2,FALSE),YES_Writing_ELA[#Headers],0))=0,"",INDEX(_xlfn.VSTACK(YES_Writing_ELA[#Data],YES_Writing_FLA[#Data]),MATCH($A110,_xlfn.VSTACK(YES_Writing_ELA[Student Number],YES_Writing_FLA[Student Number]),0),MATCH(VLOOKUP(F$7,'Writing Logic'!$J$7:$K$11,2,FALSE)&amp;" - Per "&amp;VLOOKUP($C$4,'Writing Logic'!$G$8:$H$14,2,FALSE),YES_Writing_ELA[#Headers],0)))="INS",'Writing Logic'!$B$7,IF(INDEX(_xlfn.VSTACK(YES_Writing_ELA[#Data],YES_Writing_FLA[#Data]),MATCH($A110,_xlfn.VSTACK(YES_Writing_ELA[Student Number],YES_Writing_FLA[Student Number]),0),MATCH(VLOOKUP(F$7,'Writing Logic'!$J$7:$K$11,2,FALSE)&amp;" - Per "&amp;VLOOKUP($C$4,'Writing Logic'!$G$8:$H$14,2,FALSE),YES_Writing_ELA[#Headers],0))=0,"",INDEX(_xlfn.VSTACK(YES_Writing_ELA[#Data],YES_Writing_FLA[#Data]),MATCH($A110,_xlfn.VSTACK(YES_Writing_ELA[Student Number],YES_Writing_FLA[Student Number]),0),MATCH(VLOOKUP(F$7,'Writing Logic'!$J$7:$K$11,2,FALSE)&amp;" - Per "&amp;VLOOKUP($C$4,'Writing Logic'!$G$8:$H$14,2,FALSE),YES_Writing_ELA[#Headers],0)))),"")</f>
        <v/>
      </c>
      <c r="G110" s="138" t="str">
        <f>IFERROR(IF(IF(INDEX(_xlfn.VSTACK(YES_Writing_ELA[#Data],YES_Writing_FLA[#Data]),MATCH($A110,_xlfn.VSTACK(YES_Writing_ELA[Student Number],YES_Writing_FLA[Student Number]),0),MATCH(VLOOKUP(G$7,'Writing Logic'!$J$7:$K$11,2,FALSE)&amp;" - Per "&amp;VLOOKUP($C$4,'Writing Logic'!$G$8:$H$14,2,FALSE),YES_Writing_ELA[#Headers],0))=0,"",INDEX(_xlfn.VSTACK(YES_Writing_ELA[#Data],YES_Writing_FLA[#Data]),MATCH($A110,_xlfn.VSTACK(YES_Writing_ELA[Student Number],YES_Writing_FLA[Student Number]),0),MATCH(VLOOKUP(G$7,'Writing Logic'!$J$7:$K$11,2,FALSE)&amp;" - Per "&amp;VLOOKUP($C$4,'Writing Logic'!$G$8:$H$14,2,FALSE),YES_Writing_ELA[#Headers],0)))="INS",'Writing Logic'!$B$7,IF(INDEX(_xlfn.VSTACK(YES_Writing_ELA[#Data],YES_Writing_FLA[#Data]),MATCH($A110,_xlfn.VSTACK(YES_Writing_ELA[Student Number],YES_Writing_FLA[Student Number]),0),MATCH(VLOOKUP(G$7,'Writing Logic'!$J$7:$K$11,2,FALSE)&amp;" - Per "&amp;VLOOKUP($C$4,'Writing Logic'!$G$8:$H$14,2,FALSE),YES_Writing_ELA[#Headers],0))=0,"",INDEX(_xlfn.VSTACK(YES_Writing_ELA[#Data],YES_Writing_FLA[#Data]),MATCH($A110,_xlfn.VSTACK(YES_Writing_ELA[Student Number],YES_Writing_FLA[Student Number]),0),MATCH(VLOOKUP(G$7,'Writing Logic'!$J$7:$K$11,2,FALSE)&amp;" - Per "&amp;VLOOKUP($C$4,'Writing Logic'!$G$8:$H$14,2,FALSE),YES_Writing_ELA[#Headers],0)))),"")</f>
        <v/>
      </c>
      <c r="H110" s="223" t="str">
        <f>IFERROR(IF(IF(INDEX(_xlfn.VSTACK(YES_Writing_ELA[#Data],YES_Writing_FLA[#Data]),MATCH($A110,_xlfn.VSTACK(YES_Writing_ELA[Student Number],YES_Writing_FLA[Student Number]),0),MATCH(VLOOKUP(H$7,'Writing Logic'!$J$7:$K$11,2,FALSE)&amp;" - Per "&amp;VLOOKUP($C$4,'Writing Logic'!$G$8:$H$14,2,FALSE),YES_Writing_ELA[#Headers],0))=0,"",INDEX(_xlfn.VSTACK(YES_Writing_ELA[#Data],YES_Writing_FLA[#Data]),MATCH($A110,_xlfn.VSTACK(YES_Writing_ELA[Student Number],YES_Writing_FLA[Student Number]),0),MATCH(VLOOKUP(H$7,'Writing Logic'!$J$7:$K$11,2,FALSE)&amp;" - Per "&amp;VLOOKUP($C$4,'Writing Logic'!$G$8:$H$14,2,FALSE),YES_Writing_ELA[#Headers],0)))="INS",'Writing Logic'!$B$7,IF(INDEX(_xlfn.VSTACK(YES_Writing_ELA[#Data],YES_Writing_FLA[#Data]),MATCH($A110,_xlfn.VSTACK(YES_Writing_ELA[Student Number],YES_Writing_FLA[Student Number]),0),MATCH(VLOOKUP(H$7,'Writing Logic'!$J$7:$K$11,2,FALSE)&amp;" - Per "&amp;VLOOKUP($C$4,'Writing Logic'!$G$8:$H$14,2,FALSE),YES_Writing_ELA[#Headers],0))=0,"",INDEX(_xlfn.VSTACK(YES_Writing_ELA[#Data],YES_Writing_FLA[#Data]),MATCH($A110,_xlfn.VSTACK(YES_Writing_ELA[Student Number],YES_Writing_FLA[Student Number]),0),MATCH(VLOOKUP(H$7,'Writing Logic'!$J$7:$K$11,2,FALSE)&amp;" - Per "&amp;VLOOKUP($C$4,'Writing Logic'!$G$8:$H$14,2,FALSE),YES_Writing_ELA[#Headers],0)))),"")</f>
        <v/>
      </c>
      <c r="I110" s="224" t="str" cm="1">
        <f t="array" aca="1" ref="I110" ca="1">IFERROR(
IF($G$3="ELA",
IF(VLOOKUP($A110, YES_Reading_ELA[], COLUMN(INDIRECT("YES_Reading_ELA[Difference - Per "&amp;VLOOKUP($G$4, 'Reading Report Logic'!$A$2:$B$8, 2, FALSE)&amp;"]")), FALSE)="", "",
VLOOKUP($A110,YES_Reading_ELA[], COLUMN(INDIRECT("YES_Reading_ELA[Difference - Per "&amp;VLOOKUP($G$4,'Reading Report Logic'!$A$2:$B$8,2,FALSE)&amp;"]")), FALSE)),
IF($G$3="FLA",
IF(VLOOKUP($A110, YES_Reading_FLA[], COLUMN(INDIRECT("YES_Reading_FLA[Difference - Per "&amp;VLOOKUP($G$4,'Reading Report Logic'!$A$2:$B$8,2,FALSE)&amp;"]")),FALSE)="","",
VLOOKUP($A110,YES_Reading_FLA[],COLUMN(INDIRECT("YES_Reading_FLA[Difference - Per "&amp;VLOOKUP($G$4,'Reading Report Logic'!$A$2:$B$8,2,FALSE)&amp;"]")),FALSE)),
IF($G$3="Combined",
IFERROR(
IF(VLOOKUP($A110, YES_Reading_ELA[], COLUMN(INDIRECT("YES_Reading_ELA[Difference - Per "&amp;VLOOKUP($G$4, 'Reading Report Logic'!$A$2:$B$8,2,FALSE)&amp;"]")), FALSE)="", "",
VLOOKUP($A110,YES_Reading_ELA[],COLUMN(INDIRECT("YES_Reading_ELA[Difference - Per "&amp;VLOOKUP($G$4,'Reading Report Logic'!$A$2:$B$8,2,FALSE)&amp;"]")),FALSE)),
IF(VLOOKUP($A110, YES_Reading_FLA[], COLUMN(INDIRECT("YES_Reading_FLA[Difference - Per "&amp;VLOOKUP($G$4, 'Reading Report Logic'!$A$2:$B$8, 2, FALSE)&amp;"]")),FALSE)="", "", VLOOKUP($A110,YES_Reading_FLA[],COLUMN(INDIRECT("YES_Reading_FLA[Difference - Per "&amp;VLOOKUP($G$4, 'Reading Report Logic'!$A$2:$B$8, 2, FALSE)&amp;"]")),FALSE))),""))),"")</f>
        <v/>
      </c>
    </row>
    <row r="111" spans="1:9" ht="14.25" customHeight="1" x14ac:dyDescent="0.25">
      <c r="A111" s="137"/>
      <c r="B111" s="137" t="str">
        <f>IFERROR(INDEX(_xlfn.VSTACK(YES_Writing_ELA[#Data], YES_Writing_FLA[#Data]),MATCH($A111,_xlfn.VSTACK(YES_Writing_ELA[Student Number], YES_Writing_FLA[Student Number]),0),MATCH(B$7,YES_Writing_ELA[#Headers],0)),IFERROR(INDEX(_xlfn.VSTACK(YES_Reading_ELA[#Data], YES_Reading_FLA[#Data]),MATCH($A111,_xlfn.VSTACK(YES_Reading_ELA[Student Number], YES_Reading_FLA[Student Number]),0),MATCH(B$7,YES_Reading_ELA[#Headers],0)),""))</f>
        <v/>
      </c>
      <c r="C111" s="137" t="str">
        <f>IFERROR(INDEX(_xlfn.VSTACK(YES_Writing_ELA[#Data], YES_Writing_FLA[#Data]),MATCH($A111,_xlfn.VSTACK(YES_Writing_ELA[Student Number], YES_Writing_FLA[Student Number]),0),MATCH(C$7,YES_Writing_ELA[#Headers],0)),IFERROR(INDEX(_xlfn.VSTACK(YES_Reading_ELA[#Data], YES_Reading_FLA[#Data]),MATCH($A111,_xlfn.VSTACK(YES_Reading_ELA[Student Number], YES_Reading_FLA[Student Number]),0),MATCH(C$7,YES_Reading_ELA[#Headers],0)),""))</f>
        <v/>
      </c>
      <c r="D111" s="138" t="str">
        <f>IFERROR(IF(IF(INDEX(_xlfn.VSTACK(YES_Writing_ELA[#Data],YES_Writing_FLA[#Data]),MATCH($A111,_xlfn.VSTACK(YES_Writing_ELA[Student Number],YES_Writing_FLA[Student Number]),0),MATCH(VLOOKUP(D$7,'Writing Logic'!$J$7:$K$11,2,FALSE)&amp;" - Per "&amp;VLOOKUP($C$4,'Writing Logic'!$G$8:$H$14,2,FALSE),YES_Writing_ELA[#Headers],0))=0,"",INDEX(_xlfn.VSTACK(YES_Writing_ELA[#Data],YES_Writing_FLA[#Data]),MATCH($A111,_xlfn.VSTACK(YES_Writing_ELA[Student Number],YES_Writing_FLA[Student Number]),0),MATCH(VLOOKUP(D$7,'Writing Logic'!$J$7:$K$11,2,FALSE)&amp;" - Per "&amp;VLOOKUP($C$4,'Writing Logic'!$G$8:$H$14,2,FALSE),YES_Writing_ELA[#Headers],0)))="INS",'Writing Logic'!$B$7,IF(INDEX(_xlfn.VSTACK(YES_Writing_ELA[#Data],YES_Writing_FLA[#Data]),MATCH($A111,_xlfn.VSTACK(YES_Writing_ELA[Student Number],YES_Writing_FLA[Student Number]),0),MATCH(VLOOKUP(D$7,'Writing Logic'!$J$7:$K$11,2,FALSE)&amp;" - Per "&amp;VLOOKUP($C$4,'Writing Logic'!$G$8:$H$14,2,FALSE),YES_Writing_ELA[#Headers],0))=0,"",INDEX(_xlfn.VSTACK(YES_Writing_ELA[#Data],YES_Writing_FLA[#Data]),MATCH($A111,_xlfn.VSTACK(YES_Writing_ELA[Student Number],YES_Writing_FLA[Student Number]),0),MATCH(VLOOKUP(D$7,'Writing Logic'!$J$7:$K$11,2,FALSE)&amp;" - Per "&amp;VLOOKUP($C$4,'Writing Logic'!$G$8:$H$14,2,FALSE),YES_Writing_ELA[#Headers],0)))),"")</f>
        <v/>
      </c>
      <c r="E111" s="138" t="str">
        <f>IFERROR(IF(IF(INDEX(_xlfn.VSTACK(YES_Writing_ELA[#Data],YES_Writing_FLA[#Data]),MATCH($A111,_xlfn.VSTACK(YES_Writing_ELA[Student Number],YES_Writing_FLA[Student Number]),0),MATCH(VLOOKUP(E$7,'Writing Logic'!$J$7:$K$11,2,FALSE)&amp;" - Per "&amp;VLOOKUP($C$4,'Writing Logic'!$G$8:$H$14,2,FALSE),YES_Writing_ELA[#Headers],0))=0,"",INDEX(_xlfn.VSTACK(YES_Writing_ELA[#Data],YES_Writing_FLA[#Data]),MATCH($A111,_xlfn.VSTACK(YES_Writing_ELA[Student Number],YES_Writing_FLA[Student Number]),0),MATCH(VLOOKUP(E$7,'Writing Logic'!$J$7:$K$11,2,FALSE)&amp;" - Per "&amp;VLOOKUP($C$4,'Writing Logic'!$G$8:$H$14,2,FALSE),YES_Writing_ELA[#Headers],0)))="INS",'Writing Logic'!$B$7,IF(INDEX(_xlfn.VSTACK(YES_Writing_ELA[#Data],YES_Writing_FLA[#Data]),MATCH($A111,_xlfn.VSTACK(YES_Writing_ELA[Student Number],YES_Writing_FLA[Student Number]),0),MATCH(VLOOKUP(E$7,'Writing Logic'!$J$7:$K$11,2,FALSE)&amp;" - Per "&amp;VLOOKUP($C$4,'Writing Logic'!$G$8:$H$14,2,FALSE),YES_Writing_ELA[#Headers],0))=0,"",INDEX(_xlfn.VSTACK(YES_Writing_ELA[#Data],YES_Writing_FLA[#Data]),MATCH($A111,_xlfn.VSTACK(YES_Writing_ELA[Student Number],YES_Writing_FLA[Student Number]),0),MATCH(VLOOKUP(E$7,'Writing Logic'!$J$7:$K$11,2,FALSE)&amp;" - Per "&amp;VLOOKUP($C$4,'Writing Logic'!$G$8:$H$14,2,FALSE),YES_Writing_ELA[#Headers],0)))),"")</f>
        <v/>
      </c>
      <c r="F111" s="138" t="str">
        <f>IFERROR(IF(IF(INDEX(_xlfn.VSTACK(YES_Writing_ELA[#Data],YES_Writing_FLA[#Data]),MATCH($A111,_xlfn.VSTACK(YES_Writing_ELA[Student Number],YES_Writing_FLA[Student Number]),0),MATCH(VLOOKUP(F$7,'Writing Logic'!$J$7:$K$11,2,FALSE)&amp;" - Per "&amp;VLOOKUP($C$4,'Writing Logic'!$G$8:$H$14,2,FALSE),YES_Writing_ELA[#Headers],0))=0,"",INDEX(_xlfn.VSTACK(YES_Writing_ELA[#Data],YES_Writing_FLA[#Data]),MATCH($A111,_xlfn.VSTACK(YES_Writing_ELA[Student Number],YES_Writing_FLA[Student Number]),0),MATCH(VLOOKUP(F$7,'Writing Logic'!$J$7:$K$11,2,FALSE)&amp;" - Per "&amp;VLOOKUP($C$4,'Writing Logic'!$G$8:$H$14,2,FALSE),YES_Writing_ELA[#Headers],0)))="INS",'Writing Logic'!$B$7,IF(INDEX(_xlfn.VSTACK(YES_Writing_ELA[#Data],YES_Writing_FLA[#Data]),MATCH($A111,_xlfn.VSTACK(YES_Writing_ELA[Student Number],YES_Writing_FLA[Student Number]),0),MATCH(VLOOKUP(F$7,'Writing Logic'!$J$7:$K$11,2,FALSE)&amp;" - Per "&amp;VLOOKUP($C$4,'Writing Logic'!$G$8:$H$14,2,FALSE),YES_Writing_ELA[#Headers],0))=0,"",INDEX(_xlfn.VSTACK(YES_Writing_ELA[#Data],YES_Writing_FLA[#Data]),MATCH($A111,_xlfn.VSTACK(YES_Writing_ELA[Student Number],YES_Writing_FLA[Student Number]),0),MATCH(VLOOKUP(F$7,'Writing Logic'!$J$7:$K$11,2,FALSE)&amp;" - Per "&amp;VLOOKUP($C$4,'Writing Logic'!$G$8:$H$14,2,FALSE),YES_Writing_ELA[#Headers],0)))),"")</f>
        <v/>
      </c>
      <c r="G111" s="138" t="str">
        <f>IFERROR(IF(IF(INDEX(_xlfn.VSTACK(YES_Writing_ELA[#Data],YES_Writing_FLA[#Data]),MATCH($A111,_xlfn.VSTACK(YES_Writing_ELA[Student Number],YES_Writing_FLA[Student Number]),0),MATCH(VLOOKUP(G$7,'Writing Logic'!$J$7:$K$11,2,FALSE)&amp;" - Per "&amp;VLOOKUP($C$4,'Writing Logic'!$G$8:$H$14,2,FALSE),YES_Writing_ELA[#Headers],0))=0,"",INDEX(_xlfn.VSTACK(YES_Writing_ELA[#Data],YES_Writing_FLA[#Data]),MATCH($A111,_xlfn.VSTACK(YES_Writing_ELA[Student Number],YES_Writing_FLA[Student Number]),0),MATCH(VLOOKUP(G$7,'Writing Logic'!$J$7:$K$11,2,FALSE)&amp;" - Per "&amp;VLOOKUP($C$4,'Writing Logic'!$G$8:$H$14,2,FALSE),YES_Writing_ELA[#Headers],0)))="INS",'Writing Logic'!$B$7,IF(INDEX(_xlfn.VSTACK(YES_Writing_ELA[#Data],YES_Writing_FLA[#Data]),MATCH($A111,_xlfn.VSTACK(YES_Writing_ELA[Student Number],YES_Writing_FLA[Student Number]),0),MATCH(VLOOKUP(G$7,'Writing Logic'!$J$7:$K$11,2,FALSE)&amp;" - Per "&amp;VLOOKUP($C$4,'Writing Logic'!$G$8:$H$14,2,FALSE),YES_Writing_ELA[#Headers],0))=0,"",INDEX(_xlfn.VSTACK(YES_Writing_ELA[#Data],YES_Writing_FLA[#Data]),MATCH($A111,_xlfn.VSTACK(YES_Writing_ELA[Student Number],YES_Writing_FLA[Student Number]),0),MATCH(VLOOKUP(G$7,'Writing Logic'!$J$7:$K$11,2,FALSE)&amp;" - Per "&amp;VLOOKUP($C$4,'Writing Logic'!$G$8:$H$14,2,FALSE),YES_Writing_ELA[#Headers],0)))),"")</f>
        <v/>
      </c>
      <c r="H111" s="223" t="str">
        <f>IFERROR(IF(IF(INDEX(_xlfn.VSTACK(YES_Writing_ELA[#Data],YES_Writing_FLA[#Data]),MATCH($A111,_xlfn.VSTACK(YES_Writing_ELA[Student Number],YES_Writing_FLA[Student Number]),0),MATCH(VLOOKUP(H$7,'Writing Logic'!$J$7:$K$11,2,FALSE)&amp;" - Per "&amp;VLOOKUP($C$4,'Writing Logic'!$G$8:$H$14,2,FALSE),YES_Writing_ELA[#Headers],0))=0,"",INDEX(_xlfn.VSTACK(YES_Writing_ELA[#Data],YES_Writing_FLA[#Data]),MATCH($A111,_xlfn.VSTACK(YES_Writing_ELA[Student Number],YES_Writing_FLA[Student Number]),0),MATCH(VLOOKUP(H$7,'Writing Logic'!$J$7:$K$11,2,FALSE)&amp;" - Per "&amp;VLOOKUP($C$4,'Writing Logic'!$G$8:$H$14,2,FALSE),YES_Writing_ELA[#Headers],0)))="INS",'Writing Logic'!$B$7,IF(INDEX(_xlfn.VSTACK(YES_Writing_ELA[#Data],YES_Writing_FLA[#Data]),MATCH($A111,_xlfn.VSTACK(YES_Writing_ELA[Student Number],YES_Writing_FLA[Student Number]),0),MATCH(VLOOKUP(H$7,'Writing Logic'!$J$7:$K$11,2,FALSE)&amp;" - Per "&amp;VLOOKUP($C$4,'Writing Logic'!$G$8:$H$14,2,FALSE),YES_Writing_ELA[#Headers],0))=0,"",INDEX(_xlfn.VSTACK(YES_Writing_ELA[#Data],YES_Writing_FLA[#Data]),MATCH($A111,_xlfn.VSTACK(YES_Writing_ELA[Student Number],YES_Writing_FLA[Student Number]),0),MATCH(VLOOKUP(H$7,'Writing Logic'!$J$7:$K$11,2,FALSE)&amp;" - Per "&amp;VLOOKUP($C$4,'Writing Logic'!$G$8:$H$14,2,FALSE),YES_Writing_ELA[#Headers],0)))),"")</f>
        <v/>
      </c>
      <c r="I111" s="224" t="str" cm="1">
        <f t="array" aca="1" ref="I111" ca="1">IFERROR(
IF($G$3="ELA",
IF(VLOOKUP($A111, YES_Reading_ELA[], COLUMN(INDIRECT("YES_Reading_ELA[Difference - Per "&amp;VLOOKUP($G$4, 'Reading Report Logic'!$A$2:$B$8, 2, FALSE)&amp;"]")), FALSE)="", "",
VLOOKUP($A111,YES_Reading_ELA[], COLUMN(INDIRECT("YES_Reading_ELA[Difference - Per "&amp;VLOOKUP($G$4,'Reading Report Logic'!$A$2:$B$8,2,FALSE)&amp;"]")), FALSE)),
IF($G$3="FLA",
IF(VLOOKUP($A111, YES_Reading_FLA[], COLUMN(INDIRECT("YES_Reading_FLA[Difference - Per "&amp;VLOOKUP($G$4,'Reading Report Logic'!$A$2:$B$8,2,FALSE)&amp;"]")),FALSE)="","",
VLOOKUP($A111,YES_Reading_FLA[],COLUMN(INDIRECT("YES_Reading_FLA[Difference - Per "&amp;VLOOKUP($G$4,'Reading Report Logic'!$A$2:$B$8,2,FALSE)&amp;"]")),FALSE)),
IF($G$3="Combined",
IFERROR(
IF(VLOOKUP($A111, YES_Reading_ELA[], COLUMN(INDIRECT("YES_Reading_ELA[Difference - Per "&amp;VLOOKUP($G$4, 'Reading Report Logic'!$A$2:$B$8,2,FALSE)&amp;"]")), FALSE)="", "",
VLOOKUP($A111,YES_Reading_ELA[],COLUMN(INDIRECT("YES_Reading_ELA[Difference - Per "&amp;VLOOKUP($G$4,'Reading Report Logic'!$A$2:$B$8,2,FALSE)&amp;"]")),FALSE)),
IF(VLOOKUP($A111, YES_Reading_FLA[], COLUMN(INDIRECT("YES_Reading_FLA[Difference - Per "&amp;VLOOKUP($G$4, 'Reading Report Logic'!$A$2:$B$8, 2, FALSE)&amp;"]")),FALSE)="", "", VLOOKUP($A111,YES_Reading_FLA[],COLUMN(INDIRECT("YES_Reading_FLA[Difference - Per "&amp;VLOOKUP($G$4, 'Reading Report Logic'!$A$2:$B$8, 2, FALSE)&amp;"]")),FALSE))),""))),"")</f>
        <v/>
      </c>
    </row>
    <row r="112" spans="1:9" ht="14.25" customHeight="1" x14ac:dyDescent="0.25">
      <c r="A112" s="137"/>
      <c r="B112" s="137" t="str">
        <f>IFERROR(INDEX(_xlfn.VSTACK(YES_Writing_ELA[#Data], YES_Writing_FLA[#Data]),MATCH($A112,_xlfn.VSTACK(YES_Writing_ELA[Student Number], YES_Writing_FLA[Student Number]),0),MATCH(B$7,YES_Writing_ELA[#Headers],0)),IFERROR(INDEX(_xlfn.VSTACK(YES_Reading_ELA[#Data], YES_Reading_FLA[#Data]),MATCH($A112,_xlfn.VSTACK(YES_Reading_ELA[Student Number], YES_Reading_FLA[Student Number]),0),MATCH(B$7,YES_Reading_ELA[#Headers],0)),""))</f>
        <v/>
      </c>
      <c r="C112" s="137" t="str">
        <f>IFERROR(INDEX(_xlfn.VSTACK(YES_Writing_ELA[#Data], YES_Writing_FLA[#Data]),MATCH($A112,_xlfn.VSTACK(YES_Writing_ELA[Student Number], YES_Writing_FLA[Student Number]),0),MATCH(C$7,YES_Writing_ELA[#Headers],0)),IFERROR(INDEX(_xlfn.VSTACK(YES_Reading_ELA[#Data], YES_Reading_FLA[#Data]),MATCH($A112,_xlfn.VSTACK(YES_Reading_ELA[Student Number], YES_Reading_FLA[Student Number]),0),MATCH(C$7,YES_Reading_ELA[#Headers],0)),""))</f>
        <v/>
      </c>
      <c r="D112" s="138" t="str">
        <f>IFERROR(IF(IF(INDEX(_xlfn.VSTACK(YES_Writing_ELA[#Data],YES_Writing_FLA[#Data]),MATCH($A112,_xlfn.VSTACK(YES_Writing_ELA[Student Number],YES_Writing_FLA[Student Number]),0),MATCH(VLOOKUP(D$7,'Writing Logic'!$J$7:$K$11,2,FALSE)&amp;" - Per "&amp;VLOOKUP($C$4,'Writing Logic'!$G$8:$H$14,2,FALSE),YES_Writing_ELA[#Headers],0))=0,"",INDEX(_xlfn.VSTACK(YES_Writing_ELA[#Data],YES_Writing_FLA[#Data]),MATCH($A112,_xlfn.VSTACK(YES_Writing_ELA[Student Number],YES_Writing_FLA[Student Number]),0),MATCH(VLOOKUP(D$7,'Writing Logic'!$J$7:$K$11,2,FALSE)&amp;" - Per "&amp;VLOOKUP($C$4,'Writing Logic'!$G$8:$H$14,2,FALSE),YES_Writing_ELA[#Headers],0)))="INS",'Writing Logic'!$B$7,IF(INDEX(_xlfn.VSTACK(YES_Writing_ELA[#Data],YES_Writing_FLA[#Data]),MATCH($A112,_xlfn.VSTACK(YES_Writing_ELA[Student Number],YES_Writing_FLA[Student Number]),0),MATCH(VLOOKUP(D$7,'Writing Logic'!$J$7:$K$11,2,FALSE)&amp;" - Per "&amp;VLOOKUP($C$4,'Writing Logic'!$G$8:$H$14,2,FALSE),YES_Writing_ELA[#Headers],0))=0,"",INDEX(_xlfn.VSTACK(YES_Writing_ELA[#Data],YES_Writing_FLA[#Data]),MATCH($A112,_xlfn.VSTACK(YES_Writing_ELA[Student Number],YES_Writing_FLA[Student Number]),0),MATCH(VLOOKUP(D$7,'Writing Logic'!$J$7:$K$11,2,FALSE)&amp;" - Per "&amp;VLOOKUP($C$4,'Writing Logic'!$G$8:$H$14,2,FALSE),YES_Writing_ELA[#Headers],0)))),"")</f>
        <v/>
      </c>
      <c r="E112" s="138" t="str">
        <f>IFERROR(IF(IF(INDEX(_xlfn.VSTACK(YES_Writing_ELA[#Data],YES_Writing_FLA[#Data]),MATCH($A112,_xlfn.VSTACK(YES_Writing_ELA[Student Number],YES_Writing_FLA[Student Number]),0),MATCH(VLOOKUP(E$7,'Writing Logic'!$J$7:$K$11,2,FALSE)&amp;" - Per "&amp;VLOOKUP($C$4,'Writing Logic'!$G$8:$H$14,2,FALSE),YES_Writing_ELA[#Headers],0))=0,"",INDEX(_xlfn.VSTACK(YES_Writing_ELA[#Data],YES_Writing_FLA[#Data]),MATCH($A112,_xlfn.VSTACK(YES_Writing_ELA[Student Number],YES_Writing_FLA[Student Number]),0),MATCH(VLOOKUP(E$7,'Writing Logic'!$J$7:$K$11,2,FALSE)&amp;" - Per "&amp;VLOOKUP($C$4,'Writing Logic'!$G$8:$H$14,2,FALSE),YES_Writing_ELA[#Headers],0)))="INS",'Writing Logic'!$B$7,IF(INDEX(_xlfn.VSTACK(YES_Writing_ELA[#Data],YES_Writing_FLA[#Data]),MATCH($A112,_xlfn.VSTACK(YES_Writing_ELA[Student Number],YES_Writing_FLA[Student Number]),0),MATCH(VLOOKUP(E$7,'Writing Logic'!$J$7:$K$11,2,FALSE)&amp;" - Per "&amp;VLOOKUP($C$4,'Writing Logic'!$G$8:$H$14,2,FALSE),YES_Writing_ELA[#Headers],0))=0,"",INDEX(_xlfn.VSTACK(YES_Writing_ELA[#Data],YES_Writing_FLA[#Data]),MATCH($A112,_xlfn.VSTACK(YES_Writing_ELA[Student Number],YES_Writing_FLA[Student Number]),0),MATCH(VLOOKUP(E$7,'Writing Logic'!$J$7:$K$11,2,FALSE)&amp;" - Per "&amp;VLOOKUP($C$4,'Writing Logic'!$G$8:$H$14,2,FALSE),YES_Writing_ELA[#Headers],0)))),"")</f>
        <v/>
      </c>
      <c r="F112" s="138" t="str">
        <f>IFERROR(IF(IF(INDEX(_xlfn.VSTACK(YES_Writing_ELA[#Data],YES_Writing_FLA[#Data]),MATCH($A112,_xlfn.VSTACK(YES_Writing_ELA[Student Number],YES_Writing_FLA[Student Number]),0),MATCH(VLOOKUP(F$7,'Writing Logic'!$J$7:$K$11,2,FALSE)&amp;" - Per "&amp;VLOOKUP($C$4,'Writing Logic'!$G$8:$H$14,2,FALSE),YES_Writing_ELA[#Headers],0))=0,"",INDEX(_xlfn.VSTACK(YES_Writing_ELA[#Data],YES_Writing_FLA[#Data]),MATCH($A112,_xlfn.VSTACK(YES_Writing_ELA[Student Number],YES_Writing_FLA[Student Number]),0),MATCH(VLOOKUP(F$7,'Writing Logic'!$J$7:$K$11,2,FALSE)&amp;" - Per "&amp;VLOOKUP($C$4,'Writing Logic'!$G$8:$H$14,2,FALSE),YES_Writing_ELA[#Headers],0)))="INS",'Writing Logic'!$B$7,IF(INDEX(_xlfn.VSTACK(YES_Writing_ELA[#Data],YES_Writing_FLA[#Data]),MATCH($A112,_xlfn.VSTACK(YES_Writing_ELA[Student Number],YES_Writing_FLA[Student Number]),0),MATCH(VLOOKUP(F$7,'Writing Logic'!$J$7:$K$11,2,FALSE)&amp;" - Per "&amp;VLOOKUP($C$4,'Writing Logic'!$G$8:$H$14,2,FALSE),YES_Writing_ELA[#Headers],0))=0,"",INDEX(_xlfn.VSTACK(YES_Writing_ELA[#Data],YES_Writing_FLA[#Data]),MATCH($A112,_xlfn.VSTACK(YES_Writing_ELA[Student Number],YES_Writing_FLA[Student Number]),0),MATCH(VLOOKUP(F$7,'Writing Logic'!$J$7:$K$11,2,FALSE)&amp;" - Per "&amp;VLOOKUP($C$4,'Writing Logic'!$G$8:$H$14,2,FALSE),YES_Writing_ELA[#Headers],0)))),"")</f>
        <v/>
      </c>
      <c r="G112" s="138" t="str">
        <f>IFERROR(IF(IF(INDEX(_xlfn.VSTACK(YES_Writing_ELA[#Data],YES_Writing_FLA[#Data]),MATCH($A112,_xlfn.VSTACK(YES_Writing_ELA[Student Number],YES_Writing_FLA[Student Number]),0),MATCH(VLOOKUP(G$7,'Writing Logic'!$J$7:$K$11,2,FALSE)&amp;" - Per "&amp;VLOOKUP($C$4,'Writing Logic'!$G$8:$H$14,2,FALSE),YES_Writing_ELA[#Headers],0))=0,"",INDEX(_xlfn.VSTACK(YES_Writing_ELA[#Data],YES_Writing_FLA[#Data]),MATCH($A112,_xlfn.VSTACK(YES_Writing_ELA[Student Number],YES_Writing_FLA[Student Number]),0),MATCH(VLOOKUP(G$7,'Writing Logic'!$J$7:$K$11,2,FALSE)&amp;" - Per "&amp;VLOOKUP($C$4,'Writing Logic'!$G$8:$H$14,2,FALSE),YES_Writing_ELA[#Headers],0)))="INS",'Writing Logic'!$B$7,IF(INDEX(_xlfn.VSTACK(YES_Writing_ELA[#Data],YES_Writing_FLA[#Data]),MATCH($A112,_xlfn.VSTACK(YES_Writing_ELA[Student Number],YES_Writing_FLA[Student Number]),0),MATCH(VLOOKUP(G$7,'Writing Logic'!$J$7:$K$11,2,FALSE)&amp;" - Per "&amp;VLOOKUP($C$4,'Writing Logic'!$G$8:$H$14,2,FALSE),YES_Writing_ELA[#Headers],0))=0,"",INDEX(_xlfn.VSTACK(YES_Writing_ELA[#Data],YES_Writing_FLA[#Data]),MATCH($A112,_xlfn.VSTACK(YES_Writing_ELA[Student Number],YES_Writing_FLA[Student Number]),0),MATCH(VLOOKUP(G$7,'Writing Logic'!$J$7:$K$11,2,FALSE)&amp;" - Per "&amp;VLOOKUP($C$4,'Writing Logic'!$G$8:$H$14,2,FALSE),YES_Writing_ELA[#Headers],0)))),"")</f>
        <v/>
      </c>
      <c r="H112" s="223" t="str">
        <f>IFERROR(IF(IF(INDEX(_xlfn.VSTACK(YES_Writing_ELA[#Data],YES_Writing_FLA[#Data]),MATCH($A112,_xlfn.VSTACK(YES_Writing_ELA[Student Number],YES_Writing_FLA[Student Number]),0),MATCH(VLOOKUP(H$7,'Writing Logic'!$J$7:$K$11,2,FALSE)&amp;" - Per "&amp;VLOOKUP($C$4,'Writing Logic'!$G$8:$H$14,2,FALSE),YES_Writing_ELA[#Headers],0))=0,"",INDEX(_xlfn.VSTACK(YES_Writing_ELA[#Data],YES_Writing_FLA[#Data]),MATCH($A112,_xlfn.VSTACK(YES_Writing_ELA[Student Number],YES_Writing_FLA[Student Number]),0),MATCH(VLOOKUP(H$7,'Writing Logic'!$J$7:$K$11,2,FALSE)&amp;" - Per "&amp;VLOOKUP($C$4,'Writing Logic'!$G$8:$H$14,2,FALSE),YES_Writing_ELA[#Headers],0)))="INS",'Writing Logic'!$B$7,IF(INDEX(_xlfn.VSTACK(YES_Writing_ELA[#Data],YES_Writing_FLA[#Data]),MATCH($A112,_xlfn.VSTACK(YES_Writing_ELA[Student Number],YES_Writing_FLA[Student Number]),0),MATCH(VLOOKUP(H$7,'Writing Logic'!$J$7:$K$11,2,FALSE)&amp;" - Per "&amp;VLOOKUP($C$4,'Writing Logic'!$G$8:$H$14,2,FALSE),YES_Writing_ELA[#Headers],0))=0,"",INDEX(_xlfn.VSTACK(YES_Writing_ELA[#Data],YES_Writing_FLA[#Data]),MATCH($A112,_xlfn.VSTACK(YES_Writing_ELA[Student Number],YES_Writing_FLA[Student Number]),0),MATCH(VLOOKUP(H$7,'Writing Logic'!$J$7:$K$11,2,FALSE)&amp;" - Per "&amp;VLOOKUP($C$4,'Writing Logic'!$G$8:$H$14,2,FALSE),YES_Writing_ELA[#Headers],0)))),"")</f>
        <v/>
      </c>
      <c r="I112" s="224" t="str" cm="1">
        <f t="array" aca="1" ref="I112" ca="1">IFERROR(
IF($G$3="ELA",
IF(VLOOKUP($A112, YES_Reading_ELA[], COLUMN(INDIRECT("YES_Reading_ELA[Difference - Per "&amp;VLOOKUP($G$4, 'Reading Report Logic'!$A$2:$B$8, 2, FALSE)&amp;"]")), FALSE)="", "",
VLOOKUP($A112,YES_Reading_ELA[], COLUMN(INDIRECT("YES_Reading_ELA[Difference - Per "&amp;VLOOKUP($G$4,'Reading Report Logic'!$A$2:$B$8,2,FALSE)&amp;"]")), FALSE)),
IF($G$3="FLA",
IF(VLOOKUP($A112, YES_Reading_FLA[], COLUMN(INDIRECT("YES_Reading_FLA[Difference - Per "&amp;VLOOKUP($G$4,'Reading Report Logic'!$A$2:$B$8,2,FALSE)&amp;"]")),FALSE)="","",
VLOOKUP($A112,YES_Reading_FLA[],COLUMN(INDIRECT("YES_Reading_FLA[Difference - Per "&amp;VLOOKUP($G$4,'Reading Report Logic'!$A$2:$B$8,2,FALSE)&amp;"]")),FALSE)),
IF($G$3="Combined",
IFERROR(
IF(VLOOKUP($A112, YES_Reading_ELA[], COLUMN(INDIRECT("YES_Reading_ELA[Difference - Per "&amp;VLOOKUP($G$4, 'Reading Report Logic'!$A$2:$B$8,2,FALSE)&amp;"]")), FALSE)="", "",
VLOOKUP($A112,YES_Reading_ELA[],COLUMN(INDIRECT("YES_Reading_ELA[Difference - Per "&amp;VLOOKUP($G$4,'Reading Report Logic'!$A$2:$B$8,2,FALSE)&amp;"]")),FALSE)),
IF(VLOOKUP($A112, YES_Reading_FLA[], COLUMN(INDIRECT("YES_Reading_FLA[Difference - Per "&amp;VLOOKUP($G$4, 'Reading Report Logic'!$A$2:$B$8, 2, FALSE)&amp;"]")),FALSE)="", "", VLOOKUP($A112,YES_Reading_FLA[],COLUMN(INDIRECT("YES_Reading_FLA[Difference - Per "&amp;VLOOKUP($G$4, 'Reading Report Logic'!$A$2:$B$8, 2, FALSE)&amp;"]")),FALSE))),""))),"")</f>
        <v/>
      </c>
    </row>
    <row r="113" spans="1:9" ht="14.25" customHeight="1" x14ac:dyDescent="0.25">
      <c r="A113" s="137"/>
      <c r="B113" s="137" t="str">
        <f>IFERROR(INDEX(_xlfn.VSTACK(YES_Writing_ELA[#Data], YES_Writing_FLA[#Data]),MATCH($A113,_xlfn.VSTACK(YES_Writing_ELA[Student Number], YES_Writing_FLA[Student Number]),0),MATCH(B$7,YES_Writing_ELA[#Headers],0)),IFERROR(INDEX(_xlfn.VSTACK(YES_Reading_ELA[#Data], YES_Reading_FLA[#Data]),MATCH($A113,_xlfn.VSTACK(YES_Reading_ELA[Student Number], YES_Reading_FLA[Student Number]),0),MATCH(B$7,YES_Reading_ELA[#Headers],0)),""))</f>
        <v/>
      </c>
      <c r="C113" s="137" t="str">
        <f>IFERROR(INDEX(_xlfn.VSTACK(YES_Writing_ELA[#Data], YES_Writing_FLA[#Data]),MATCH($A113,_xlfn.VSTACK(YES_Writing_ELA[Student Number], YES_Writing_FLA[Student Number]),0),MATCH(C$7,YES_Writing_ELA[#Headers],0)),IFERROR(INDEX(_xlfn.VSTACK(YES_Reading_ELA[#Data], YES_Reading_FLA[#Data]),MATCH($A113,_xlfn.VSTACK(YES_Reading_ELA[Student Number], YES_Reading_FLA[Student Number]),0),MATCH(C$7,YES_Reading_ELA[#Headers],0)),""))</f>
        <v/>
      </c>
      <c r="D113" s="138" t="str">
        <f>IFERROR(IF(IF(INDEX(_xlfn.VSTACK(YES_Writing_ELA[#Data],YES_Writing_FLA[#Data]),MATCH($A113,_xlfn.VSTACK(YES_Writing_ELA[Student Number],YES_Writing_FLA[Student Number]),0),MATCH(VLOOKUP(D$7,'Writing Logic'!$J$7:$K$11,2,FALSE)&amp;" - Per "&amp;VLOOKUP($C$4,'Writing Logic'!$G$8:$H$14,2,FALSE),YES_Writing_ELA[#Headers],0))=0,"",INDEX(_xlfn.VSTACK(YES_Writing_ELA[#Data],YES_Writing_FLA[#Data]),MATCH($A113,_xlfn.VSTACK(YES_Writing_ELA[Student Number],YES_Writing_FLA[Student Number]),0),MATCH(VLOOKUP(D$7,'Writing Logic'!$J$7:$K$11,2,FALSE)&amp;" - Per "&amp;VLOOKUP($C$4,'Writing Logic'!$G$8:$H$14,2,FALSE),YES_Writing_ELA[#Headers],0)))="INS",'Writing Logic'!$B$7,IF(INDEX(_xlfn.VSTACK(YES_Writing_ELA[#Data],YES_Writing_FLA[#Data]),MATCH($A113,_xlfn.VSTACK(YES_Writing_ELA[Student Number],YES_Writing_FLA[Student Number]),0),MATCH(VLOOKUP(D$7,'Writing Logic'!$J$7:$K$11,2,FALSE)&amp;" - Per "&amp;VLOOKUP($C$4,'Writing Logic'!$G$8:$H$14,2,FALSE),YES_Writing_ELA[#Headers],0))=0,"",INDEX(_xlfn.VSTACK(YES_Writing_ELA[#Data],YES_Writing_FLA[#Data]),MATCH($A113,_xlfn.VSTACK(YES_Writing_ELA[Student Number],YES_Writing_FLA[Student Number]),0),MATCH(VLOOKUP(D$7,'Writing Logic'!$J$7:$K$11,2,FALSE)&amp;" - Per "&amp;VLOOKUP($C$4,'Writing Logic'!$G$8:$H$14,2,FALSE),YES_Writing_ELA[#Headers],0)))),"")</f>
        <v/>
      </c>
      <c r="E113" s="138" t="str">
        <f>IFERROR(IF(IF(INDEX(_xlfn.VSTACK(YES_Writing_ELA[#Data],YES_Writing_FLA[#Data]),MATCH($A113,_xlfn.VSTACK(YES_Writing_ELA[Student Number],YES_Writing_FLA[Student Number]),0),MATCH(VLOOKUP(E$7,'Writing Logic'!$J$7:$K$11,2,FALSE)&amp;" - Per "&amp;VLOOKUP($C$4,'Writing Logic'!$G$8:$H$14,2,FALSE),YES_Writing_ELA[#Headers],0))=0,"",INDEX(_xlfn.VSTACK(YES_Writing_ELA[#Data],YES_Writing_FLA[#Data]),MATCH($A113,_xlfn.VSTACK(YES_Writing_ELA[Student Number],YES_Writing_FLA[Student Number]),0),MATCH(VLOOKUP(E$7,'Writing Logic'!$J$7:$K$11,2,FALSE)&amp;" - Per "&amp;VLOOKUP($C$4,'Writing Logic'!$G$8:$H$14,2,FALSE),YES_Writing_ELA[#Headers],0)))="INS",'Writing Logic'!$B$7,IF(INDEX(_xlfn.VSTACK(YES_Writing_ELA[#Data],YES_Writing_FLA[#Data]),MATCH($A113,_xlfn.VSTACK(YES_Writing_ELA[Student Number],YES_Writing_FLA[Student Number]),0),MATCH(VLOOKUP(E$7,'Writing Logic'!$J$7:$K$11,2,FALSE)&amp;" - Per "&amp;VLOOKUP($C$4,'Writing Logic'!$G$8:$H$14,2,FALSE),YES_Writing_ELA[#Headers],0))=0,"",INDEX(_xlfn.VSTACK(YES_Writing_ELA[#Data],YES_Writing_FLA[#Data]),MATCH($A113,_xlfn.VSTACK(YES_Writing_ELA[Student Number],YES_Writing_FLA[Student Number]),0),MATCH(VLOOKUP(E$7,'Writing Logic'!$J$7:$K$11,2,FALSE)&amp;" - Per "&amp;VLOOKUP($C$4,'Writing Logic'!$G$8:$H$14,2,FALSE),YES_Writing_ELA[#Headers],0)))),"")</f>
        <v/>
      </c>
      <c r="F113" s="138" t="str">
        <f>IFERROR(IF(IF(INDEX(_xlfn.VSTACK(YES_Writing_ELA[#Data],YES_Writing_FLA[#Data]),MATCH($A113,_xlfn.VSTACK(YES_Writing_ELA[Student Number],YES_Writing_FLA[Student Number]),0),MATCH(VLOOKUP(F$7,'Writing Logic'!$J$7:$K$11,2,FALSE)&amp;" - Per "&amp;VLOOKUP($C$4,'Writing Logic'!$G$8:$H$14,2,FALSE),YES_Writing_ELA[#Headers],0))=0,"",INDEX(_xlfn.VSTACK(YES_Writing_ELA[#Data],YES_Writing_FLA[#Data]),MATCH($A113,_xlfn.VSTACK(YES_Writing_ELA[Student Number],YES_Writing_FLA[Student Number]),0),MATCH(VLOOKUP(F$7,'Writing Logic'!$J$7:$K$11,2,FALSE)&amp;" - Per "&amp;VLOOKUP($C$4,'Writing Logic'!$G$8:$H$14,2,FALSE),YES_Writing_ELA[#Headers],0)))="INS",'Writing Logic'!$B$7,IF(INDEX(_xlfn.VSTACK(YES_Writing_ELA[#Data],YES_Writing_FLA[#Data]),MATCH($A113,_xlfn.VSTACK(YES_Writing_ELA[Student Number],YES_Writing_FLA[Student Number]),0),MATCH(VLOOKUP(F$7,'Writing Logic'!$J$7:$K$11,2,FALSE)&amp;" - Per "&amp;VLOOKUP($C$4,'Writing Logic'!$G$8:$H$14,2,FALSE),YES_Writing_ELA[#Headers],0))=0,"",INDEX(_xlfn.VSTACK(YES_Writing_ELA[#Data],YES_Writing_FLA[#Data]),MATCH($A113,_xlfn.VSTACK(YES_Writing_ELA[Student Number],YES_Writing_FLA[Student Number]),0),MATCH(VLOOKUP(F$7,'Writing Logic'!$J$7:$K$11,2,FALSE)&amp;" - Per "&amp;VLOOKUP($C$4,'Writing Logic'!$G$8:$H$14,2,FALSE),YES_Writing_ELA[#Headers],0)))),"")</f>
        <v/>
      </c>
      <c r="G113" s="138" t="str">
        <f>IFERROR(IF(IF(INDEX(_xlfn.VSTACK(YES_Writing_ELA[#Data],YES_Writing_FLA[#Data]),MATCH($A113,_xlfn.VSTACK(YES_Writing_ELA[Student Number],YES_Writing_FLA[Student Number]),0),MATCH(VLOOKUP(G$7,'Writing Logic'!$J$7:$K$11,2,FALSE)&amp;" - Per "&amp;VLOOKUP($C$4,'Writing Logic'!$G$8:$H$14,2,FALSE),YES_Writing_ELA[#Headers],0))=0,"",INDEX(_xlfn.VSTACK(YES_Writing_ELA[#Data],YES_Writing_FLA[#Data]),MATCH($A113,_xlfn.VSTACK(YES_Writing_ELA[Student Number],YES_Writing_FLA[Student Number]),0),MATCH(VLOOKUP(G$7,'Writing Logic'!$J$7:$K$11,2,FALSE)&amp;" - Per "&amp;VLOOKUP($C$4,'Writing Logic'!$G$8:$H$14,2,FALSE),YES_Writing_ELA[#Headers],0)))="INS",'Writing Logic'!$B$7,IF(INDEX(_xlfn.VSTACK(YES_Writing_ELA[#Data],YES_Writing_FLA[#Data]),MATCH($A113,_xlfn.VSTACK(YES_Writing_ELA[Student Number],YES_Writing_FLA[Student Number]),0),MATCH(VLOOKUP(G$7,'Writing Logic'!$J$7:$K$11,2,FALSE)&amp;" - Per "&amp;VLOOKUP($C$4,'Writing Logic'!$G$8:$H$14,2,FALSE),YES_Writing_ELA[#Headers],0))=0,"",INDEX(_xlfn.VSTACK(YES_Writing_ELA[#Data],YES_Writing_FLA[#Data]),MATCH($A113,_xlfn.VSTACK(YES_Writing_ELA[Student Number],YES_Writing_FLA[Student Number]),0),MATCH(VLOOKUP(G$7,'Writing Logic'!$J$7:$K$11,2,FALSE)&amp;" - Per "&amp;VLOOKUP($C$4,'Writing Logic'!$G$8:$H$14,2,FALSE),YES_Writing_ELA[#Headers],0)))),"")</f>
        <v/>
      </c>
      <c r="H113" s="223" t="str">
        <f>IFERROR(IF(IF(INDEX(_xlfn.VSTACK(YES_Writing_ELA[#Data],YES_Writing_FLA[#Data]),MATCH($A113,_xlfn.VSTACK(YES_Writing_ELA[Student Number],YES_Writing_FLA[Student Number]),0),MATCH(VLOOKUP(H$7,'Writing Logic'!$J$7:$K$11,2,FALSE)&amp;" - Per "&amp;VLOOKUP($C$4,'Writing Logic'!$G$8:$H$14,2,FALSE),YES_Writing_ELA[#Headers],0))=0,"",INDEX(_xlfn.VSTACK(YES_Writing_ELA[#Data],YES_Writing_FLA[#Data]),MATCH($A113,_xlfn.VSTACK(YES_Writing_ELA[Student Number],YES_Writing_FLA[Student Number]),0),MATCH(VLOOKUP(H$7,'Writing Logic'!$J$7:$K$11,2,FALSE)&amp;" - Per "&amp;VLOOKUP($C$4,'Writing Logic'!$G$8:$H$14,2,FALSE),YES_Writing_ELA[#Headers],0)))="INS",'Writing Logic'!$B$7,IF(INDEX(_xlfn.VSTACK(YES_Writing_ELA[#Data],YES_Writing_FLA[#Data]),MATCH($A113,_xlfn.VSTACK(YES_Writing_ELA[Student Number],YES_Writing_FLA[Student Number]),0),MATCH(VLOOKUP(H$7,'Writing Logic'!$J$7:$K$11,2,FALSE)&amp;" - Per "&amp;VLOOKUP($C$4,'Writing Logic'!$G$8:$H$14,2,FALSE),YES_Writing_ELA[#Headers],0))=0,"",INDEX(_xlfn.VSTACK(YES_Writing_ELA[#Data],YES_Writing_FLA[#Data]),MATCH($A113,_xlfn.VSTACK(YES_Writing_ELA[Student Number],YES_Writing_FLA[Student Number]),0),MATCH(VLOOKUP(H$7,'Writing Logic'!$J$7:$K$11,2,FALSE)&amp;" - Per "&amp;VLOOKUP($C$4,'Writing Logic'!$G$8:$H$14,2,FALSE),YES_Writing_ELA[#Headers],0)))),"")</f>
        <v/>
      </c>
      <c r="I113" s="224" t="str" cm="1">
        <f t="array" aca="1" ref="I113" ca="1">IFERROR(
IF($G$3="ELA",
IF(VLOOKUP($A113, YES_Reading_ELA[], COLUMN(INDIRECT("YES_Reading_ELA[Difference - Per "&amp;VLOOKUP($G$4, 'Reading Report Logic'!$A$2:$B$8, 2, FALSE)&amp;"]")), FALSE)="", "",
VLOOKUP($A113,YES_Reading_ELA[], COLUMN(INDIRECT("YES_Reading_ELA[Difference - Per "&amp;VLOOKUP($G$4,'Reading Report Logic'!$A$2:$B$8,2,FALSE)&amp;"]")), FALSE)),
IF($G$3="FLA",
IF(VLOOKUP($A113, YES_Reading_FLA[], COLUMN(INDIRECT("YES_Reading_FLA[Difference - Per "&amp;VLOOKUP($G$4,'Reading Report Logic'!$A$2:$B$8,2,FALSE)&amp;"]")),FALSE)="","",
VLOOKUP($A113,YES_Reading_FLA[],COLUMN(INDIRECT("YES_Reading_FLA[Difference - Per "&amp;VLOOKUP($G$4,'Reading Report Logic'!$A$2:$B$8,2,FALSE)&amp;"]")),FALSE)),
IF($G$3="Combined",
IFERROR(
IF(VLOOKUP($A113, YES_Reading_ELA[], COLUMN(INDIRECT("YES_Reading_ELA[Difference - Per "&amp;VLOOKUP($G$4, 'Reading Report Logic'!$A$2:$B$8,2,FALSE)&amp;"]")), FALSE)="", "",
VLOOKUP($A113,YES_Reading_ELA[],COLUMN(INDIRECT("YES_Reading_ELA[Difference - Per "&amp;VLOOKUP($G$4,'Reading Report Logic'!$A$2:$B$8,2,FALSE)&amp;"]")),FALSE)),
IF(VLOOKUP($A113, YES_Reading_FLA[], COLUMN(INDIRECT("YES_Reading_FLA[Difference - Per "&amp;VLOOKUP($G$4, 'Reading Report Logic'!$A$2:$B$8, 2, FALSE)&amp;"]")),FALSE)="", "", VLOOKUP($A113,YES_Reading_FLA[],COLUMN(INDIRECT("YES_Reading_FLA[Difference - Per "&amp;VLOOKUP($G$4, 'Reading Report Logic'!$A$2:$B$8, 2, FALSE)&amp;"]")),FALSE))),""))),"")</f>
        <v/>
      </c>
    </row>
    <row r="114" spans="1:9" ht="14.25" customHeight="1" x14ac:dyDescent="0.25">
      <c r="A114" s="137"/>
      <c r="B114" s="137" t="str">
        <f>IFERROR(INDEX(_xlfn.VSTACK(YES_Writing_ELA[#Data], YES_Writing_FLA[#Data]),MATCH($A114,_xlfn.VSTACK(YES_Writing_ELA[Student Number], YES_Writing_FLA[Student Number]),0),MATCH(B$7,YES_Writing_ELA[#Headers],0)),IFERROR(INDEX(_xlfn.VSTACK(YES_Reading_ELA[#Data], YES_Reading_FLA[#Data]),MATCH($A114,_xlfn.VSTACK(YES_Reading_ELA[Student Number], YES_Reading_FLA[Student Number]),0),MATCH(B$7,YES_Reading_ELA[#Headers],0)),""))</f>
        <v/>
      </c>
      <c r="C114" s="137" t="str">
        <f>IFERROR(INDEX(_xlfn.VSTACK(YES_Writing_ELA[#Data], YES_Writing_FLA[#Data]),MATCH($A114,_xlfn.VSTACK(YES_Writing_ELA[Student Number], YES_Writing_FLA[Student Number]),0),MATCH(C$7,YES_Writing_ELA[#Headers],0)),IFERROR(INDEX(_xlfn.VSTACK(YES_Reading_ELA[#Data], YES_Reading_FLA[#Data]),MATCH($A114,_xlfn.VSTACK(YES_Reading_ELA[Student Number], YES_Reading_FLA[Student Number]),0),MATCH(C$7,YES_Reading_ELA[#Headers],0)),""))</f>
        <v/>
      </c>
      <c r="D114" s="138" t="str">
        <f>IFERROR(IF(IF(INDEX(_xlfn.VSTACK(YES_Writing_ELA[#Data],YES_Writing_FLA[#Data]),MATCH($A114,_xlfn.VSTACK(YES_Writing_ELA[Student Number],YES_Writing_FLA[Student Number]),0),MATCH(VLOOKUP(D$7,'Writing Logic'!$J$7:$K$11,2,FALSE)&amp;" - Per "&amp;VLOOKUP($C$4,'Writing Logic'!$G$8:$H$14,2,FALSE),YES_Writing_ELA[#Headers],0))=0,"",INDEX(_xlfn.VSTACK(YES_Writing_ELA[#Data],YES_Writing_FLA[#Data]),MATCH($A114,_xlfn.VSTACK(YES_Writing_ELA[Student Number],YES_Writing_FLA[Student Number]),0),MATCH(VLOOKUP(D$7,'Writing Logic'!$J$7:$K$11,2,FALSE)&amp;" - Per "&amp;VLOOKUP($C$4,'Writing Logic'!$G$8:$H$14,2,FALSE),YES_Writing_ELA[#Headers],0)))="INS",'Writing Logic'!$B$7,IF(INDEX(_xlfn.VSTACK(YES_Writing_ELA[#Data],YES_Writing_FLA[#Data]),MATCH($A114,_xlfn.VSTACK(YES_Writing_ELA[Student Number],YES_Writing_FLA[Student Number]),0),MATCH(VLOOKUP(D$7,'Writing Logic'!$J$7:$K$11,2,FALSE)&amp;" - Per "&amp;VLOOKUP($C$4,'Writing Logic'!$G$8:$H$14,2,FALSE),YES_Writing_ELA[#Headers],0))=0,"",INDEX(_xlfn.VSTACK(YES_Writing_ELA[#Data],YES_Writing_FLA[#Data]),MATCH($A114,_xlfn.VSTACK(YES_Writing_ELA[Student Number],YES_Writing_FLA[Student Number]),0),MATCH(VLOOKUP(D$7,'Writing Logic'!$J$7:$K$11,2,FALSE)&amp;" - Per "&amp;VLOOKUP($C$4,'Writing Logic'!$G$8:$H$14,2,FALSE),YES_Writing_ELA[#Headers],0)))),"")</f>
        <v/>
      </c>
      <c r="E114" s="138" t="str">
        <f>IFERROR(IF(IF(INDEX(_xlfn.VSTACK(YES_Writing_ELA[#Data],YES_Writing_FLA[#Data]),MATCH($A114,_xlfn.VSTACK(YES_Writing_ELA[Student Number],YES_Writing_FLA[Student Number]),0),MATCH(VLOOKUP(E$7,'Writing Logic'!$J$7:$K$11,2,FALSE)&amp;" - Per "&amp;VLOOKUP($C$4,'Writing Logic'!$G$8:$H$14,2,FALSE),YES_Writing_ELA[#Headers],0))=0,"",INDEX(_xlfn.VSTACK(YES_Writing_ELA[#Data],YES_Writing_FLA[#Data]),MATCH($A114,_xlfn.VSTACK(YES_Writing_ELA[Student Number],YES_Writing_FLA[Student Number]),0),MATCH(VLOOKUP(E$7,'Writing Logic'!$J$7:$K$11,2,FALSE)&amp;" - Per "&amp;VLOOKUP($C$4,'Writing Logic'!$G$8:$H$14,2,FALSE),YES_Writing_ELA[#Headers],0)))="INS",'Writing Logic'!$B$7,IF(INDEX(_xlfn.VSTACK(YES_Writing_ELA[#Data],YES_Writing_FLA[#Data]),MATCH($A114,_xlfn.VSTACK(YES_Writing_ELA[Student Number],YES_Writing_FLA[Student Number]),0),MATCH(VLOOKUP(E$7,'Writing Logic'!$J$7:$K$11,2,FALSE)&amp;" - Per "&amp;VLOOKUP($C$4,'Writing Logic'!$G$8:$H$14,2,FALSE),YES_Writing_ELA[#Headers],0))=0,"",INDEX(_xlfn.VSTACK(YES_Writing_ELA[#Data],YES_Writing_FLA[#Data]),MATCH($A114,_xlfn.VSTACK(YES_Writing_ELA[Student Number],YES_Writing_FLA[Student Number]),0),MATCH(VLOOKUP(E$7,'Writing Logic'!$J$7:$K$11,2,FALSE)&amp;" - Per "&amp;VLOOKUP($C$4,'Writing Logic'!$G$8:$H$14,2,FALSE),YES_Writing_ELA[#Headers],0)))),"")</f>
        <v/>
      </c>
      <c r="F114" s="138" t="str">
        <f>IFERROR(IF(IF(INDEX(_xlfn.VSTACK(YES_Writing_ELA[#Data],YES_Writing_FLA[#Data]),MATCH($A114,_xlfn.VSTACK(YES_Writing_ELA[Student Number],YES_Writing_FLA[Student Number]),0),MATCH(VLOOKUP(F$7,'Writing Logic'!$J$7:$K$11,2,FALSE)&amp;" - Per "&amp;VLOOKUP($C$4,'Writing Logic'!$G$8:$H$14,2,FALSE),YES_Writing_ELA[#Headers],0))=0,"",INDEX(_xlfn.VSTACK(YES_Writing_ELA[#Data],YES_Writing_FLA[#Data]),MATCH($A114,_xlfn.VSTACK(YES_Writing_ELA[Student Number],YES_Writing_FLA[Student Number]),0),MATCH(VLOOKUP(F$7,'Writing Logic'!$J$7:$K$11,2,FALSE)&amp;" - Per "&amp;VLOOKUP($C$4,'Writing Logic'!$G$8:$H$14,2,FALSE),YES_Writing_ELA[#Headers],0)))="INS",'Writing Logic'!$B$7,IF(INDEX(_xlfn.VSTACK(YES_Writing_ELA[#Data],YES_Writing_FLA[#Data]),MATCH($A114,_xlfn.VSTACK(YES_Writing_ELA[Student Number],YES_Writing_FLA[Student Number]),0),MATCH(VLOOKUP(F$7,'Writing Logic'!$J$7:$K$11,2,FALSE)&amp;" - Per "&amp;VLOOKUP($C$4,'Writing Logic'!$G$8:$H$14,2,FALSE),YES_Writing_ELA[#Headers],0))=0,"",INDEX(_xlfn.VSTACK(YES_Writing_ELA[#Data],YES_Writing_FLA[#Data]),MATCH($A114,_xlfn.VSTACK(YES_Writing_ELA[Student Number],YES_Writing_FLA[Student Number]),0),MATCH(VLOOKUP(F$7,'Writing Logic'!$J$7:$K$11,2,FALSE)&amp;" - Per "&amp;VLOOKUP($C$4,'Writing Logic'!$G$8:$H$14,2,FALSE),YES_Writing_ELA[#Headers],0)))),"")</f>
        <v/>
      </c>
      <c r="G114" s="138" t="str">
        <f>IFERROR(IF(IF(INDEX(_xlfn.VSTACK(YES_Writing_ELA[#Data],YES_Writing_FLA[#Data]),MATCH($A114,_xlfn.VSTACK(YES_Writing_ELA[Student Number],YES_Writing_FLA[Student Number]),0),MATCH(VLOOKUP(G$7,'Writing Logic'!$J$7:$K$11,2,FALSE)&amp;" - Per "&amp;VLOOKUP($C$4,'Writing Logic'!$G$8:$H$14,2,FALSE),YES_Writing_ELA[#Headers],0))=0,"",INDEX(_xlfn.VSTACK(YES_Writing_ELA[#Data],YES_Writing_FLA[#Data]),MATCH($A114,_xlfn.VSTACK(YES_Writing_ELA[Student Number],YES_Writing_FLA[Student Number]),0),MATCH(VLOOKUP(G$7,'Writing Logic'!$J$7:$K$11,2,FALSE)&amp;" - Per "&amp;VLOOKUP($C$4,'Writing Logic'!$G$8:$H$14,2,FALSE),YES_Writing_ELA[#Headers],0)))="INS",'Writing Logic'!$B$7,IF(INDEX(_xlfn.VSTACK(YES_Writing_ELA[#Data],YES_Writing_FLA[#Data]),MATCH($A114,_xlfn.VSTACK(YES_Writing_ELA[Student Number],YES_Writing_FLA[Student Number]),0),MATCH(VLOOKUP(G$7,'Writing Logic'!$J$7:$K$11,2,FALSE)&amp;" - Per "&amp;VLOOKUP($C$4,'Writing Logic'!$G$8:$H$14,2,FALSE),YES_Writing_ELA[#Headers],0))=0,"",INDEX(_xlfn.VSTACK(YES_Writing_ELA[#Data],YES_Writing_FLA[#Data]),MATCH($A114,_xlfn.VSTACK(YES_Writing_ELA[Student Number],YES_Writing_FLA[Student Number]),0),MATCH(VLOOKUP(G$7,'Writing Logic'!$J$7:$K$11,2,FALSE)&amp;" - Per "&amp;VLOOKUP($C$4,'Writing Logic'!$G$8:$H$14,2,FALSE),YES_Writing_ELA[#Headers],0)))),"")</f>
        <v/>
      </c>
      <c r="H114" s="223" t="str">
        <f>IFERROR(IF(IF(INDEX(_xlfn.VSTACK(YES_Writing_ELA[#Data],YES_Writing_FLA[#Data]),MATCH($A114,_xlfn.VSTACK(YES_Writing_ELA[Student Number],YES_Writing_FLA[Student Number]),0),MATCH(VLOOKUP(H$7,'Writing Logic'!$J$7:$K$11,2,FALSE)&amp;" - Per "&amp;VLOOKUP($C$4,'Writing Logic'!$G$8:$H$14,2,FALSE),YES_Writing_ELA[#Headers],0))=0,"",INDEX(_xlfn.VSTACK(YES_Writing_ELA[#Data],YES_Writing_FLA[#Data]),MATCH($A114,_xlfn.VSTACK(YES_Writing_ELA[Student Number],YES_Writing_FLA[Student Number]),0),MATCH(VLOOKUP(H$7,'Writing Logic'!$J$7:$K$11,2,FALSE)&amp;" - Per "&amp;VLOOKUP($C$4,'Writing Logic'!$G$8:$H$14,2,FALSE),YES_Writing_ELA[#Headers],0)))="INS",'Writing Logic'!$B$7,IF(INDEX(_xlfn.VSTACK(YES_Writing_ELA[#Data],YES_Writing_FLA[#Data]),MATCH($A114,_xlfn.VSTACK(YES_Writing_ELA[Student Number],YES_Writing_FLA[Student Number]),0),MATCH(VLOOKUP(H$7,'Writing Logic'!$J$7:$K$11,2,FALSE)&amp;" - Per "&amp;VLOOKUP($C$4,'Writing Logic'!$G$8:$H$14,2,FALSE),YES_Writing_ELA[#Headers],0))=0,"",INDEX(_xlfn.VSTACK(YES_Writing_ELA[#Data],YES_Writing_FLA[#Data]),MATCH($A114,_xlfn.VSTACK(YES_Writing_ELA[Student Number],YES_Writing_FLA[Student Number]),0),MATCH(VLOOKUP(H$7,'Writing Logic'!$J$7:$K$11,2,FALSE)&amp;" - Per "&amp;VLOOKUP($C$4,'Writing Logic'!$G$8:$H$14,2,FALSE),YES_Writing_ELA[#Headers],0)))),"")</f>
        <v/>
      </c>
      <c r="I114" s="224" t="str" cm="1">
        <f t="array" aca="1" ref="I114" ca="1">IFERROR(
IF($G$3="ELA",
IF(VLOOKUP($A114, YES_Reading_ELA[], COLUMN(INDIRECT("YES_Reading_ELA[Difference - Per "&amp;VLOOKUP($G$4, 'Reading Report Logic'!$A$2:$B$8, 2, FALSE)&amp;"]")), FALSE)="", "",
VLOOKUP($A114,YES_Reading_ELA[], COLUMN(INDIRECT("YES_Reading_ELA[Difference - Per "&amp;VLOOKUP($G$4,'Reading Report Logic'!$A$2:$B$8,2,FALSE)&amp;"]")), FALSE)),
IF($G$3="FLA",
IF(VLOOKUP($A114, YES_Reading_FLA[], COLUMN(INDIRECT("YES_Reading_FLA[Difference - Per "&amp;VLOOKUP($G$4,'Reading Report Logic'!$A$2:$B$8,2,FALSE)&amp;"]")),FALSE)="","",
VLOOKUP($A114,YES_Reading_FLA[],COLUMN(INDIRECT("YES_Reading_FLA[Difference - Per "&amp;VLOOKUP($G$4,'Reading Report Logic'!$A$2:$B$8,2,FALSE)&amp;"]")),FALSE)),
IF($G$3="Combined",
IFERROR(
IF(VLOOKUP($A114, YES_Reading_ELA[], COLUMN(INDIRECT("YES_Reading_ELA[Difference - Per "&amp;VLOOKUP($G$4, 'Reading Report Logic'!$A$2:$B$8,2,FALSE)&amp;"]")), FALSE)="", "",
VLOOKUP($A114,YES_Reading_ELA[],COLUMN(INDIRECT("YES_Reading_ELA[Difference - Per "&amp;VLOOKUP($G$4,'Reading Report Logic'!$A$2:$B$8,2,FALSE)&amp;"]")),FALSE)),
IF(VLOOKUP($A114, YES_Reading_FLA[], COLUMN(INDIRECT("YES_Reading_FLA[Difference - Per "&amp;VLOOKUP($G$4, 'Reading Report Logic'!$A$2:$B$8, 2, FALSE)&amp;"]")),FALSE)="", "", VLOOKUP($A114,YES_Reading_FLA[],COLUMN(INDIRECT("YES_Reading_FLA[Difference - Per "&amp;VLOOKUP($G$4, 'Reading Report Logic'!$A$2:$B$8, 2, FALSE)&amp;"]")),FALSE))),""))),"")</f>
        <v/>
      </c>
    </row>
    <row r="115" spans="1:9" ht="14.25" customHeight="1" x14ac:dyDescent="0.25">
      <c r="A115" s="137"/>
      <c r="B115" s="137" t="str">
        <f>IFERROR(INDEX(_xlfn.VSTACK(YES_Writing_ELA[#Data], YES_Writing_FLA[#Data]),MATCH($A115,_xlfn.VSTACK(YES_Writing_ELA[Student Number], YES_Writing_FLA[Student Number]),0),MATCH(B$7,YES_Writing_ELA[#Headers],0)),IFERROR(INDEX(_xlfn.VSTACK(YES_Reading_ELA[#Data], YES_Reading_FLA[#Data]),MATCH($A115,_xlfn.VSTACK(YES_Reading_ELA[Student Number], YES_Reading_FLA[Student Number]),0),MATCH(B$7,YES_Reading_ELA[#Headers],0)),""))</f>
        <v/>
      </c>
      <c r="C115" s="137" t="str">
        <f>IFERROR(INDEX(_xlfn.VSTACK(YES_Writing_ELA[#Data], YES_Writing_FLA[#Data]),MATCH($A115,_xlfn.VSTACK(YES_Writing_ELA[Student Number], YES_Writing_FLA[Student Number]),0),MATCH(C$7,YES_Writing_ELA[#Headers],0)),IFERROR(INDEX(_xlfn.VSTACK(YES_Reading_ELA[#Data], YES_Reading_FLA[#Data]),MATCH($A115,_xlfn.VSTACK(YES_Reading_ELA[Student Number], YES_Reading_FLA[Student Number]),0),MATCH(C$7,YES_Reading_ELA[#Headers],0)),""))</f>
        <v/>
      </c>
      <c r="D115" s="138" t="str">
        <f>IFERROR(IF(IF(INDEX(_xlfn.VSTACK(YES_Writing_ELA[#Data],YES_Writing_FLA[#Data]),MATCH($A115,_xlfn.VSTACK(YES_Writing_ELA[Student Number],YES_Writing_FLA[Student Number]),0),MATCH(VLOOKUP(D$7,'Writing Logic'!$J$7:$K$11,2,FALSE)&amp;" - Per "&amp;VLOOKUP($C$4,'Writing Logic'!$G$8:$H$14,2,FALSE),YES_Writing_ELA[#Headers],0))=0,"",INDEX(_xlfn.VSTACK(YES_Writing_ELA[#Data],YES_Writing_FLA[#Data]),MATCH($A115,_xlfn.VSTACK(YES_Writing_ELA[Student Number],YES_Writing_FLA[Student Number]),0),MATCH(VLOOKUP(D$7,'Writing Logic'!$J$7:$K$11,2,FALSE)&amp;" - Per "&amp;VLOOKUP($C$4,'Writing Logic'!$G$8:$H$14,2,FALSE),YES_Writing_ELA[#Headers],0)))="INS",'Writing Logic'!$B$7,IF(INDEX(_xlfn.VSTACK(YES_Writing_ELA[#Data],YES_Writing_FLA[#Data]),MATCH($A115,_xlfn.VSTACK(YES_Writing_ELA[Student Number],YES_Writing_FLA[Student Number]),0),MATCH(VLOOKUP(D$7,'Writing Logic'!$J$7:$K$11,2,FALSE)&amp;" - Per "&amp;VLOOKUP($C$4,'Writing Logic'!$G$8:$H$14,2,FALSE),YES_Writing_ELA[#Headers],0))=0,"",INDEX(_xlfn.VSTACK(YES_Writing_ELA[#Data],YES_Writing_FLA[#Data]),MATCH($A115,_xlfn.VSTACK(YES_Writing_ELA[Student Number],YES_Writing_FLA[Student Number]),0),MATCH(VLOOKUP(D$7,'Writing Logic'!$J$7:$K$11,2,FALSE)&amp;" - Per "&amp;VLOOKUP($C$4,'Writing Logic'!$G$8:$H$14,2,FALSE),YES_Writing_ELA[#Headers],0)))),"")</f>
        <v/>
      </c>
      <c r="E115" s="138" t="str">
        <f>IFERROR(IF(IF(INDEX(_xlfn.VSTACK(YES_Writing_ELA[#Data],YES_Writing_FLA[#Data]),MATCH($A115,_xlfn.VSTACK(YES_Writing_ELA[Student Number],YES_Writing_FLA[Student Number]),0),MATCH(VLOOKUP(E$7,'Writing Logic'!$J$7:$K$11,2,FALSE)&amp;" - Per "&amp;VLOOKUP($C$4,'Writing Logic'!$G$8:$H$14,2,FALSE),YES_Writing_ELA[#Headers],0))=0,"",INDEX(_xlfn.VSTACK(YES_Writing_ELA[#Data],YES_Writing_FLA[#Data]),MATCH($A115,_xlfn.VSTACK(YES_Writing_ELA[Student Number],YES_Writing_FLA[Student Number]),0),MATCH(VLOOKUP(E$7,'Writing Logic'!$J$7:$K$11,2,FALSE)&amp;" - Per "&amp;VLOOKUP($C$4,'Writing Logic'!$G$8:$H$14,2,FALSE),YES_Writing_ELA[#Headers],0)))="INS",'Writing Logic'!$B$7,IF(INDEX(_xlfn.VSTACK(YES_Writing_ELA[#Data],YES_Writing_FLA[#Data]),MATCH($A115,_xlfn.VSTACK(YES_Writing_ELA[Student Number],YES_Writing_FLA[Student Number]),0),MATCH(VLOOKUP(E$7,'Writing Logic'!$J$7:$K$11,2,FALSE)&amp;" - Per "&amp;VLOOKUP($C$4,'Writing Logic'!$G$8:$H$14,2,FALSE),YES_Writing_ELA[#Headers],0))=0,"",INDEX(_xlfn.VSTACK(YES_Writing_ELA[#Data],YES_Writing_FLA[#Data]),MATCH($A115,_xlfn.VSTACK(YES_Writing_ELA[Student Number],YES_Writing_FLA[Student Number]),0),MATCH(VLOOKUP(E$7,'Writing Logic'!$J$7:$K$11,2,FALSE)&amp;" - Per "&amp;VLOOKUP($C$4,'Writing Logic'!$G$8:$H$14,2,FALSE),YES_Writing_ELA[#Headers],0)))),"")</f>
        <v/>
      </c>
      <c r="F115" s="138" t="str">
        <f>IFERROR(IF(IF(INDEX(_xlfn.VSTACK(YES_Writing_ELA[#Data],YES_Writing_FLA[#Data]),MATCH($A115,_xlfn.VSTACK(YES_Writing_ELA[Student Number],YES_Writing_FLA[Student Number]),0),MATCH(VLOOKUP(F$7,'Writing Logic'!$J$7:$K$11,2,FALSE)&amp;" - Per "&amp;VLOOKUP($C$4,'Writing Logic'!$G$8:$H$14,2,FALSE),YES_Writing_ELA[#Headers],0))=0,"",INDEX(_xlfn.VSTACK(YES_Writing_ELA[#Data],YES_Writing_FLA[#Data]),MATCH($A115,_xlfn.VSTACK(YES_Writing_ELA[Student Number],YES_Writing_FLA[Student Number]),0),MATCH(VLOOKUP(F$7,'Writing Logic'!$J$7:$K$11,2,FALSE)&amp;" - Per "&amp;VLOOKUP($C$4,'Writing Logic'!$G$8:$H$14,2,FALSE),YES_Writing_ELA[#Headers],0)))="INS",'Writing Logic'!$B$7,IF(INDEX(_xlfn.VSTACK(YES_Writing_ELA[#Data],YES_Writing_FLA[#Data]),MATCH($A115,_xlfn.VSTACK(YES_Writing_ELA[Student Number],YES_Writing_FLA[Student Number]),0),MATCH(VLOOKUP(F$7,'Writing Logic'!$J$7:$K$11,2,FALSE)&amp;" - Per "&amp;VLOOKUP($C$4,'Writing Logic'!$G$8:$H$14,2,FALSE),YES_Writing_ELA[#Headers],0))=0,"",INDEX(_xlfn.VSTACK(YES_Writing_ELA[#Data],YES_Writing_FLA[#Data]),MATCH($A115,_xlfn.VSTACK(YES_Writing_ELA[Student Number],YES_Writing_FLA[Student Number]),0),MATCH(VLOOKUP(F$7,'Writing Logic'!$J$7:$K$11,2,FALSE)&amp;" - Per "&amp;VLOOKUP($C$4,'Writing Logic'!$G$8:$H$14,2,FALSE),YES_Writing_ELA[#Headers],0)))),"")</f>
        <v/>
      </c>
      <c r="G115" s="138" t="str">
        <f>IFERROR(IF(IF(INDEX(_xlfn.VSTACK(YES_Writing_ELA[#Data],YES_Writing_FLA[#Data]),MATCH($A115,_xlfn.VSTACK(YES_Writing_ELA[Student Number],YES_Writing_FLA[Student Number]),0),MATCH(VLOOKUP(G$7,'Writing Logic'!$J$7:$K$11,2,FALSE)&amp;" - Per "&amp;VLOOKUP($C$4,'Writing Logic'!$G$8:$H$14,2,FALSE),YES_Writing_ELA[#Headers],0))=0,"",INDEX(_xlfn.VSTACK(YES_Writing_ELA[#Data],YES_Writing_FLA[#Data]),MATCH($A115,_xlfn.VSTACK(YES_Writing_ELA[Student Number],YES_Writing_FLA[Student Number]),0),MATCH(VLOOKUP(G$7,'Writing Logic'!$J$7:$K$11,2,FALSE)&amp;" - Per "&amp;VLOOKUP($C$4,'Writing Logic'!$G$8:$H$14,2,FALSE),YES_Writing_ELA[#Headers],0)))="INS",'Writing Logic'!$B$7,IF(INDEX(_xlfn.VSTACK(YES_Writing_ELA[#Data],YES_Writing_FLA[#Data]),MATCH($A115,_xlfn.VSTACK(YES_Writing_ELA[Student Number],YES_Writing_FLA[Student Number]),0),MATCH(VLOOKUP(G$7,'Writing Logic'!$J$7:$K$11,2,FALSE)&amp;" - Per "&amp;VLOOKUP($C$4,'Writing Logic'!$G$8:$H$14,2,FALSE),YES_Writing_ELA[#Headers],0))=0,"",INDEX(_xlfn.VSTACK(YES_Writing_ELA[#Data],YES_Writing_FLA[#Data]),MATCH($A115,_xlfn.VSTACK(YES_Writing_ELA[Student Number],YES_Writing_FLA[Student Number]),0),MATCH(VLOOKUP(G$7,'Writing Logic'!$J$7:$K$11,2,FALSE)&amp;" - Per "&amp;VLOOKUP($C$4,'Writing Logic'!$G$8:$H$14,2,FALSE),YES_Writing_ELA[#Headers],0)))),"")</f>
        <v/>
      </c>
      <c r="H115" s="223" t="str">
        <f>IFERROR(IF(IF(INDEX(_xlfn.VSTACK(YES_Writing_ELA[#Data],YES_Writing_FLA[#Data]),MATCH($A115,_xlfn.VSTACK(YES_Writing_ELA[Student Number],YES_Writing_FLA[Student Number]),0),MATCH(VLOOKUP(H$7,'Writing Logic'!$J$7:$K$11,2,FALSE)&amp;" - Per "&amp;VLOOKUP($C$4,'Writing Logic'!$G$8:$H$14,2,FALSE),YES_Writing_ELA[#Headers],0))=0,"",INDEX(_xlfn.VSTACK(YES_Writing_ELA[#Data],YES_Writing_FLA[#Data]),MATCH($A115,_xlfn.VSTACK(YES_Writing_ELA[Student Number],YES_Writing_FLA[Student Number]),0),MATCH(VLOOKUP(H$7,'Writing Logic'!$J$7:$K$11,2,FALSE)&amp;" - Per "&amp;VLOOKUP($C$4,'Writing Logic'!$G$8:$H$14,2,FALSE),YES_Writing_ELA[#Headers],0)))="INS",'Writing Logic'!$B$7,IF(INDEX(_xlfn.VSTACK(YES_Writing_ELA[#Data],YES_Writing_FLA[#Data]),MATCH($A115,_xlfn.VSTACK(YES_Writing_ELA[Student Number],YES_Writing_FLA[Student Number]),0),MATCH(VLOOKUP(H$7,'Writing Logic'!$J$7:$K$11,2,FALSE)&amp;" - Per "&amp;VLOOKUP($C$4,'Writing Logic'!$G$8:$H$14,2,FALSE),YES_Writing_ELA[#Headers],0))=0,"",INDEX(_xlfn.VSTACK(YES_Writing_ELA[#Data],YES_Writing_FLA[#Data]),MATCH($A115,_xlfn.VSTACK(YES_Writing_ELA[Student Number],YES_Writing_FLA[Student Number]),0),MATCH(VLOOKUP(H$7,'Writing Logic'!$J$7:$K$11,2,FALSE)&amp;" - Per "&amp;VLOOKUP($C$4,'Writing Logic'!$G$8:$H$14,2,FALSE),YES_Writing_ELA[#Headers],0)))),"")</f>
        <v/>
      </c>
      <c r="I115" s="224" t="str" cm="1">
        <f t="array" aca="1" ref="I115" ca="1">IFERROR(
IF($G$3="ELA",
IF(VLOOKUP($A115, YES_Reading_ELA[], COLUMN(INDIRECT("YES_Reading_ELA[Difference - Per "&amp;VLOOKUP($G$4, 'Reading Report Logic'!$A$2:$B$8, 2, FALSE)&amp;"]")), FALSE)="", "",
VLOOKUP($A115,YES_Reading_ELA[], COLUMN(INDIRECT("YES_Reading_ELA[Difference - Per "&amp;VLOOKUP($G$4,'Reading Report Logic'!$A$2:$B$8,2,FALSE)&amp;"]")), FALSE)),
IF($G$3="FLA",
IF(VLOOKUP($A115, YES_Reading_FLA[], COLUMN(INDIRECT("YES_Reading_FLA[Difference - Per "&amp;VLOOKUP($G$4,'Reading Report Logic'!$A$2:$B$8,2,FALSE)&amp;"]")),FALSE)="","",
VLOOKUP($A115,YES_Reading_FLA[],COLUMN(INDIRECT("YES_Reading_FLA[Difference - Per "&amp;VLOOKUP($G$4,'Reading Report Logic'!$A$2:$B$8,2,FALSE)&amp;"]")),FALSE)),
IF($G$3="Combined",
IFERROR(
IF(VLOOKUP($A115, YES_Reading_ELA[], COLUMN(INDIRECT("YES_Reading_ELA[Difference - Per "&amp;VLOOKUP($G$4, 'Reading Report Logic'!$A$2:$B$8,2,FALSE)&amp;"]")), FALSE)="", "",
VLOOKUP($A115,YES_Reading_ELA[],COLUMN(INDIRECT("YES_Reading_ELA[Difference - Per "&amp;VLOOKUP($G$4,'Reading Report Logic'!$A$2:$B$8,2,FALSE)&amp;"]")),FALSE)),
IF(VLOOKUP($A115, YES_Reading_FLA[], COLUMN(INDIRECT("YES_Reading_FLA[Difference - Per "&amp;VLOOKUP($G$4, 'Reading Report Logic'!$A$2:$B$8, 2, FALSE)&amp;"]")),FALSE)="", "", VLOOKUP($A115,YES_Reading_FLA[],COLUMN(INDIRECT("YES_Reading_FLA[Difference - Per "&amp;VLOOKUP($G$4, 'Reading Report Logic'!$A$2:$B$8, 2, FALSE)&amp;"]")),FALSE))),""))),"")</f>
        <v/>
      </c>
    </row>
    <row r="116" spans="1:9" ht="14.25" customHeight="1" x14ac:dyDescent="0.25">
      <c r="A116" s="137"/>
      <c r="B116" s="137" t="str">
        <f>IFERROR(INDEX(_xlfn.VSTACK(YES_Writing_ELA[#Data], YES_Writing_FLA[#Data]),MATCH($A116,_xlfn.VSTACK(YES_Writing_ELA[Student Number], YES_Writing_FLA[Student Number]),0),MATCH(B$7,YES_Writing_ELA[#Headers],0)),IFERROR(INDEX(_xlfn.VSTACK(YES_Reading_ELA[#Data], YES_Reading_FLA[#Data]),MATCH($A116,_xlfn.VSTACK(YES_Reading_ELA[Student Number], YES_Reading_FLA[Student Number]),0),MATCH(B$7,YES_Reading_ELA[#Headers],0)),""))</f>
        <v/>
      </c>
      <c r="C116" s="137" t="str">
        <f>IFERROR(INDEX(_xlfn.VSTACK(YES_Writing_ELA[#Data], YES_Writing_FLA[#Data]),MATCH($A116,_xlfn.VSTACK(YES_Writing_ELA[Student Number], YES_Writing_FLA[Student Number]),0),MATCH(C$7,YES_Writing_ELA[#Headers],0)),IFERROR(INDEX(_xlfn.VSTACK(YES_Reading_ELA[#Data], YES_Reading_FLA[#Data]),MATCH($A116,_xlfn.VSTACK(YES_Reading_ELA[Student Number], YES_Reading_FLA[Student Number]),0),MATCH(C$7,YES_Reading_ELA[#Headers],0)),""))</f>
        <v/>
      </c>
      <c r="D116" s="138" t="str">
        <f>IFERROR(IF(IF(INDEX(_xlfn.VSTACK(YES_Writing_ELA[#Data],YES_Writing_FLA[#Data]),MATCH($A116,_xlfn.VSTACK(YES_Writing_ELA[Student Number],YES_Writing_FLA[Student Number]),0),MATCH(VLOOKUP(D$7,'Writing Logic'!$J$7:$K$11,2,FALSE)&amp;" - Per "&amp;VLOOKUP($C$4,'Writing Logic'!$G$8:$H$14,2,FALSE),YES_Writing_ELA[#Headers],0))=0,"",INDEX(_xlfn.VSTACK(YES_Writing_ELA[#Data],YES_Writing_FLA[#Data]),MATCH($A116,_xlfn.VSTACK(YES_Writing_ELA[Student Number],YES_Writing_FLA[Student Number]),0),MATCH(VLOOKUP(D$7,'Writing Logic'!$J$7:$K$11,2,FALSE)&amp;" - Per "&amp;VLOOKUP($C$4,'Writing Logic'!$G$8:$H$14,2,FALSE),YES_Writing_ELA[#Headers],0)))="INS",'Writing Logic'!$B$7,IF(INDEX(_xlfn.VSTACK(YES_Writing_ELA[#Data],YES_Writing_FLA[#Data]),MATCH($A116,_xlfn.VSTACK(YES_Writing_ELA[Student Number],YES_Writing_FLA[Student Number]),0),MATCH(VLOOKUP(D$7,'Writing Logic'!$J$7:$K$11,2,FALSE)&amp;" - Per "&amp;VLOOKUP($C$4,'Writing Logic'!$G$8:$H$14,2,FALSE),YES_Writing_ELA[#Headers],0))=0,"",INDEX(_xlfn.VSTACK(YES_Writing_ELA[#Data],YES_Writing_FLA[#Data]),MATCH($A116,_xlfn.VSTACK(YES_Writing_ELA[Student Number],YES_Writing_FLA[Student Number]),0),MATCH(VLOOKUP(D$7,'Writing Logic'!$J$7:$K$11,2,FALSE)&amp;" - Per "&amp;VLOOKUP($C$4,'Writing Logic'!$G$8:$H$14,2,FALSE),YES_Writing_ELA[#Headers],0)))),"")</f>
        <v/>
      </c>
      <c r="E116" s="138" t="str">
        <f>IFERROR(IF(IF(INDEX(_xlfn.VSTACK(YES_Writing_ELA[#Data],YES_Writing_FLA[#Data]),MATCH($A116,_xlfn.VSTACK(YES_Writing_ELA[Student Number],YES_Writing_FLA[Student Number]),0),MATCH(VLOOKUP(E$7,'Writing Logic'!$J$7:$K$11,2,FALSE)&amp;" - Per "&amp;VLOOKUP($C$4,'Writing Logic'!$G$8:$H$14,2,FALSE),YES_Writing_ELA[#Headers],0))=0,"",INDEX(_xlfn.VSTACK(YES_Writing_ELA[#Data],YES_Writing_FLA[#Data]),MATCH($A116,_xlfn.VSTACK(YES_Writing_ELA[Student Number],YES_Writing_FLA[Student Number]),0),MATCH(VLOOKUP(E$7,'Writing Logic'!$J$7:$K$11,2,FALSE)&amp;" - Per "&amp;VLOOKUP($C$4,'Writing Logic'!$G$8:$H$14,2,FALSE),YES_Writing_ELA[#Headers],0)))="INS",'Writing Logic'!$B$7,IF(INDEX(_xlfn.VSTACK(YES_Writing_ELA[#Data],YES_Writing_FLA[#Data]),MATCH($A116,_xlfn.VSTACK(YES_Writing_ELA[Student Number],YES_Writing_FLA[Student Number]),0),MATCH(VLOOKUP(E$7,'Writing Logic'!$J$7:$K$11,2,FALSE)&amp;" - Per "&amp;VLOOKUP($C$4,'Writing Logic'!$G$8:$H$14,2,FALSE),YES_Writing_ELA[#Headers],0))=0,"",INDEX(_xlfn.VSTACK(YES_Writing_ELA[#Data],YES_Writing_FLA[#Data]),MATCH($A116,_xlfn.VSTACK(YES_Writing_ELA[Student Number],YES_Writing_FLA[Student Number]),0),MATCH(VLOOKUP(E$7,'Writing Logic'!$J$7:$K$11,2,FALSE)&amp;" - Per "&amp;VLOOKUP($C$4,'Writing Logic'!$G$8:$H$14,2,FALSE),YES_Writing_ELA[#Headers],0)))),"")</f>
        <v/>
      </c>
      <c r="F116" s="138" t="str">
        <f>IFERROR(IF(IF(INDEX(_xlfn.VSTACK(YES_Writing_ELA[#Data],YES_Writing_FLA[#Data]),MATCH($A116,_xlfn.VSTACK(YES_Writing_ELA[Student Number],YES_Writing_FLA[Student Number]),0),MATCH(VLOOKUP(F$7,'Writing Logic'!$J$7:$K$11,2,FALSE)&amp;" - Per "&amp;VLOOKUP($C$4,'Writing Logic'!$G$8:$H$14,2,FALSE),YES_Writing_ELA[#Headers],0))=0,"",INDEX(_xlfn.VSTACK(YES_Writing_ELA[#Data],YES_Writing_FLA[#Data]),MATCH($A116,_xlfn.VSTACK(YES_Writing_ELA[Student Number],YES_Writing_FLA[Student Number]),0),MATCH(VLOOKUP(F$7,'Writing Logic'!$J$7:$K$11,2,FALSE)&amp;" - Per "&amp;VLOOKUP($C$4,'Writing Logic'!$G$8:$H$14,2,FALSE),YES_Writing_ELA[#Headers],0)))="INS",'Writing Logic'!$B$7,IF(INDEX(_xlfn.VSTACK(YES_Writing_ELA[#Data],YES_Writing_FLA[#Data]),MATCH($A116,_xlfn.VSTACK(YES_Writing_ELA[Student Number],YES_Writing_FLA[Student Number]),0),MATCH(VLOOKUP(F$7,'Writing Logic'!$J$7:$K$11,2,FALSE)&amp;" - Per "&amp;VLOOKUP($C$4,'Writing Logic'!$G$8:$H$14,2,FALSE),YES_Writing_ELA[#Headers],0))=0,"",INDEX(_xlfn.VSTACK(YES_Writing_ELA[#Data],YES_Writing_FLA[#Data]),MATCH($A116,_xlfn.VSTACK(YES_Writing_ELA[Student Number],YES_Writing_FLA[Student Number]),0),MATCH(VLOOKUP(F$7,'Writing Logic'!$J$7:$K$11,2,FALSE)&amp;" - Per "&amp;VLOOKUP($C$4,'Writing Logic'!$G$8:$H$14,2,FALSE),YES_Writing_ELA[#Headers],0)))),"")</f>
        <v/>
      </c>
      <c r="G116" s="138" t="str">
        <f>IFERROR(IF(IF(INDEX(_xlfn.VSTACK(YES_Writing_ELA[#Data],YES_Writing_FLA[#Data]),MATCH($A116,_xlfn.VSTACK(YES_Writing_ELA[Student Number],YES_Writing_FLA[Student Number]),0),MATCH(VLOOKUP(G$7,'Writing Logic'!$J$7:$K$11,2,FALSE)&amp;" - Per "&amp;VLOOKUP($C$4,'Writing Logic'!$G$8:$H$14,2,FALSE),YES_Writing_ELA[#Headers],0))=0,"",INDEX(_xlfn.VSTACK(YES_Writing_ELA[#Data],YES_Writing_FLA[#Data]),MATCH($A116,_xlfn.VSTACK(YES_Writing_ELA[Student Number],YES_Writing_FLA[Student Number]),0),MATCH(VLOOKUP(G$7,'Writing Logic'!$J$7:$K$11,2,FALSE)&amp;" - Per "&amp;VLOOKUP($C$4,'Writing Logic'!$G$8:$H$14,2,FALSE),YES_Writing_ELA[#Headers],0)))="INS",'Writing Logic'!$B$7,IF(INDEX(_xlfn.VSTACK(YES_Writing_ELA[#Data],YES_Writing_FLA[#Data]),MATCH($A116,_xlfn.VSTACK(YES_Writing_ELA[Student Number],YES_Writing_FLA[Student Number]),0),MATCH(VLOOKUP(G$7,'Writing Logic'!$J$7:$K$11,2,FALSE)&amp;" - Per "&amp;VLOOKUP($C$4,'Writing Logic'!$G$8:$H$14,2,FALSE),YES_Writing_ELA[#Headers],0))=0,"",INDEX(_xlfn.VSTACK(YES_Writing_ELA[#Data],YES_Writing_FLA[#Data]),MATCH($A116,_xlfn.VSTACK(YES_Writing_ELA[Student Number],YES_Writing_FLA[Student Number]),0),MATCH(VLOOKUP(G$7,'Writing Logic'!$J$7:$K$11,2,FALSE)&amp;" - Per "&amp;VLOOKUP($C$4,'Writing Logic'!$G$8:$H$14,2,FALSE),YES_Writing_ELA[#Headers],0)))),"")</f>
        <v/>
      </c>
      <c r="H116" s="223" t="str">
        <f>IFERROR(IF(IF(INDEX(_xlfn.VSTACK(YES_Writing_ELA[#Data],YES_Writing_FLA[#Data]),MATCH($A116,_xlfn.VSTACK(YES_Writing_ELA[Student Number],YES_Writing_FLA[Student Number]),0),MATCH(VLOOKUP(H$7,'Writing Logic'!$J$7:$K$11,2,FALSE)&amp;" - Per "&amp;VLOOKUP($C$4,'Writing Logic'!$G$8:$H$14,2,FALSE),YES_Writing_ELA[#Headers],0))=0,"",INDEX(_xlfn.VSTACK(YES_Writing_ELA[#Data],YES_Writing_FLA[#Data]),MATCH($A116,_xlfn.VSTACK(YES_Writing_ELA[Student Number],YES_Writing_FLA[Student Number]),0),MATCH(VLOOKUP(H$7,'Writing Logic'!$J$7:$K$11,2,FALSE)&amp;" - Per "&amp;VLOOKUP($C$4,'Writing Logic'!$G$8:$H$14,2,FALSE),YES_Writing_ELA[#Headers],0)))="INS",'Writing Logic'!$B$7,IF(INDEX(_xlfn.VSTACK(YES_Writing_ELA[#Data],YES_Writing_FLA[#Data]),MATCH($A116,_xlfn.VSTACK(YES_Writing_ELA[Student Number],YES_Writing_FLA[Student Number]),0),MATCH(VLOOKUP(H$7,'Writing Logic'!$J$7:$K$11,2,FALSE)&amp;" - Per "&amp;VLOOKUP($C$4,'Writing Logic'!$G$8:$H$14,2,FALSE),YES_Writing_ELA[#Headers],0))=0,"",INDEX(_xlfn.VSTACK(YES_Writing_ELA[#Data],YES_Writing_FLA[#Data]),MATCH($A116,_xlfn.VSTACK(YES_Writing_ELA[Student Number],YES_Writing_FLA[Student Number]),0),MATCH(VLOOKUP(H$7,'Writing Logic'!$J$7:$K$11,2,FALSE)&amp;" - Per "&amp;VLOOKUP($C$4,'Writing Logic'!$G$8:$H$14,2,FALSE),YES_Writing_ELA[#Headers],0)))),"")</f>
        <v/>
      </c>
      <c r="I116" s="224" t="str" cm="1">
        <f t="array" aca="1" ref="I116" ca="1">IFERROR(
IF($G$3="ELA",
IF(VLOOKUP($A116, YES_Reading_ELA[], COLUMN(INDIRECT("YES_Reading_ELA[Difference - Per "&amp;VLOOKUP($G$4, 'Reading Report Logic'!$A$2:$B$8, 2, FALSE)&amp;"]")), FALSE)="", "",
VLOOKUP($A116,YES_Reading_ELA[], COLUMN(INDIRECT("YES_Reading_ELA[Difference - Per "&amp;VLOOKUP($G$4,'Reading Report Logic'!$A$2:$B$8,2,FALSE)&amp;"]")), FALSE)),
IF($G$3="FLA",
IF(VLOOKUP($A116, YES_Reading_FLA[], COLUMN(INDIRECT("YES_Reading_FLA[Difference - Per "&amp;VLOOKUP($G$4,'Reading Report Logic'!$A$2:$B$8,2,FALSE)&amp;"]")),FALSE)="","",
VLOOKUP($A116,YES_Reading_FLA[],COLUMN(INDIRECT("YES_Reading_FLA[Difference - Per "&amp;VLOOKUP($G$4,'Reading Report Logic'!$A$2:$B$8,2,FALSE)&amp;"]")),FALSE)),
IF($G$3="Combined",
IFERROR(
IF(VLOOKUP($A116, YES_Reading_ELA[], COLUMN(INDIRECT("YES_Reading_ELA[Difference - Per "&amp;VLOOKUP($G$4, 'Reading Report Logic'!$A$2:$B$8,2,FALSE)&amp;"]")), FALSE)="", "",
VLOOKUP($A116,YES_Reading_ELA[],COLUMN(INDIRECT("YES_Reading_ELA[Difference - Per "&amp;VLOOKUP($G$4,'Reading Report Logic'!$A$2:$B$8,2,FALSE)&amp;"]")),FALSE)),
IF(VLOOKUP($A116, YES_Reading_FLA[], COLUMN(INDIRECT("YES_Reading_FLA[Difference - Per "&amp;VLOOKUP($G$4, 'Reading Report Logic'!$A$2:$B$8, 2, FALSE)&amp;"]")),FALSE)="", "", VLOOKUP($A116,YES_Reading_FLA[],COLUMN(INDIRECT("YES_Reading_FLA[Difference - Per "&amp;VLOOKUP($G$4, 'Reading Report Logic'!$A$2:$B$8, 2, FALSE)&amp;"]")),FALSE))),""))),"")</f>
        <v/>
      </c>
    </row>
    <row r="117" spans="1:9" ht="14.25" customHeight="1" x14ac:dyDescent="0.25">
      <c r="A117" s="137"/>
      <c r="B117" s="137" t="str">
        <f>IFERROR(INDEX(_xlfn.VSTACK(YES_Writing_ELA[#Data], YES_Writing_FLA[#Data]),MATCH($A117,_xlfn.VSTACK(YES_Writing_ELA[Student Number], YES_Writing_FLA[Student Number]),0),MATCH(B$7,YES_Writing_ELA[#Headers],0)),IFERROR(INDEX(_xlfn.VSTACK(YES_Reading_ELA[#Data], YES_Reading_FLA[#Data]),MATCH($A117,_xlfn.VSTACK(YES_Reading_ELA[Student Number], YES_Reading_FLA[Student Number]),0),MATCH(B$7,YES_Reading_ELA[#Headers],0)),""))</f>
        <v/>
      </c>
      <c r="C117" s="137" t="str">
        <f>IFERROR(INDEX(_xlfn.VSTACK(YES_Writing_ELA[#Data], YES_Writing_FLA[#Data]),MATCH($A117,_xlfn.VSTACK(YES_Writing_ELA[Student Number], YES_Writing_FLA[Student Number]),0),MATCH(C$7,YES_Writing_ELA[#Headers],0)),IFERROR(INDEX(_xlfn.VSTACK(YES_Reading_ELA[#Data], YES_Reading_FLA[#Data]),MATCH($A117,_xlfn.VSTACK(YES_Reading_ELA[Student Number], YES_Reading_FLA[Student Number]),0),MATCH(C$7,YES_Reading_ELA[#Headers],0)),""))</f>
        <v/>
      </c>
      <c r="D117" s="138" t="str">
        <f>IFERROR(IF(IF(INDEX(_xlfn.VSTACK(YES_Writing_ELA[#Data],YES_Writing_FLA[#Data]),MATCH($A117,_xlfn.VSTACK(YES_Writing_ELA[Student Number],YES_Writing_FLA[Student Number]),0),MATCH(VLOOKUP(D$7,'Writing Logic'!$J$7:$K$11,2,FALSE)&amp;" - Per "&amp;VLOOKUP($C$4,'Writing Logic'!$G$8:$H$14,2,FALSE),YES_Writing_ELA[#Headers],0))=0,"",INDEX(_xlfn.VSTACK(YES_Writing_ELA[#Data],YES_Writing_FLA[#Data]),MATCH($A117,_xlfn.VSTACK(YES_Writing_ELA[Student Number],YES_Writing_FLA[Student Number]),0),MATCH(VLOOKUP(D$7,'Writing Logic'!$J$7:$K$11,2,FALSE)&amp;" - Per "&amp;VLOOKUP($C$4,'Writing Logic'!$G$8:$H$14,2,FALSE),YES_Writing_ELA[#Headers],0)))="INS",'Writing Logic'!$B$7,IF(INDEX(_xlfn.VSTACK(YES_Writing_ELA[#Data],YES_Writing_FLA[#Data]),MATCH($A117,_xlfn.VSTACK(YES_Writing_ELA[Student Number],YES_Writing_FLA[Student Number]),0),MATCH(VLOOKUP(D$7,'Writing Logic'!$J$7:$K$11,2,FALSE)&amp;" - Per "&amp;VLOOKUP($C$4,'Writing Logic'!$G$8:$H$14,2,FALSE),YES_Writing_ELA[#Headers],0))=0,"",INDEX(_xlfn.VSTACK(YES_Writing_ELA[#Data],YES_Writing_FLA[#Data]),MATCH($A117,_xlfn.VSTACK(YES_Writing_ELA[Student Number],YES_Writing_FLA[Student Number]),0),MATCH(VLOOKUP(D$7,'Writing Logic'!$J$7:$K$11,2,FALSE)&amp;" - Per "&amp;VLOOKUP($C$4,'Writing Logic'!$G$8:$H$14,2,FALSE),YES_Writing_ELA[#Headers],0)))),"")</f>
        <v/>
      </c>
      <c r="E117" s="138" t="str">
        <f>IFERROR(IF(IF(INDEX(_xlfn.VSTACK(YES_Writing_ELA[#Data],YES_Writing_FLA[#Data]),MATCH($A117,_xlfn.VSTACK(YES_Writing_ELA[Student Number],YES_Writing_FLA[Student Number]),0),MATCH(VLOOKUP(E$7,'Writing Logic'!$J$7:$K$11,2,FALSE)&amp;" - Per "&amp;VLOOKUP($C$4,'Writing Logic'!$G$8:$H$14,2,FALSE),YES_Writing_ELA[#Headers],0))=0,"",INDEX(_xlfn.VSTACK(YES_Writing_ELA[#Data],YES_Writing_FLA[#Data]),MATCH($A117,_xlfn.VSTACK(YES_Writing_ELA[Student Number],YES_Writing_FLA[Student Number]),0),MATCH(VLOOKUP(E$7,'Writing Logic'!$J$7:$K$11,2,FALSE)&amp;" - Per "&amp;VLOOKUP($C$4,'Writing Logic'!$G$8:$H$14,2,FALSE),YES_Writing_ELA[#Headers],0)))="INS",'Writing Logic'!$B$7,IF(INDEX(_xlfn.VSTACK(YES_Writing_ELA[#Data],YES_Writing_FLA[#Data]),MATCH($A117,_xlfn.VSTACK(YES_Writing_ELA[Student Number],YES_Writing_FLA[Student Number]),0),MATCH(VLOOKUP(E$7,'Writing Logic'!$J$7:$K$11,2,FALSE)&amp;" - Per "&amp;VLOOKUP($C$4,'Writing Logic'!$G$8:$H$14,2,FALSE),YES_Writing_ELA[#Headers],0))=0,"",INDEX(_xlfn.VSTACK(YES_Writing_ELA[#Data],YES_Writing_FLA[#Data]),MATCH($A117,_xlfn.VSTACK(YES_Writing_ELA[Student Number],YES_Writing_FLA[Student Number]),0),MATCH(VLOOKUP(E$7,'Writing Logic'!$J$7:$K$11,2,FALSE)&amp;" - Per "&amp;VLOOKUP($C$4,'Writing Logic'!$G$8:$H$14,2,FALSE),YES_Writing_ELA[#Headers],0)))),"")</f>
        <v/>
      </c>
      <c r="F117" s="138" t="str">
        <f>IFERROR(IF(IF(INDEX(_xlfn.VSTACK(YES_Writing_ELA[#Data],YES_Writing_FLA[#Data]),MATCH($A117,_xlfn.VSTACK(YES_Writing_ELA[Student Number],YES_Writing_FLA[Student Number]),0),MATCH(VLOOKUP(F$7,'Writing Logic'!$J$7:$K$11,2,FALSE)&amp;" - Per "&amp;VLOOKUP($C$4,'Writing Logic'!$G$8:$H$14,2,FALSE),YES_Writing_ELA[#Headers],0))=0,"",INDEX(_xlfn.VSTACK(YES_Writing_ELA[#Data],YES_Writing_FLA[#Data]),MATCH($A117,_xlfn.VSTACK(YES_Writing_ELA[Student Number],YES_Writing_FLA[Student Number]),0),MATCH(VLOOKUP(F$7,'Writing Logic'!$J$7:$K$11,2,FALSE)&amp;" - Per "&amp;VLOOKUP($C$4,'Writing Logic'!$G$8:$H$14,2,FALSE),YES_Writing_ELA[#Headers],0)))="INS",'Writing Logic'!$B$7,IF(INDEX(_xlfn.VSTACK(YES_Writing_ELA[#Data],YES_Writing_FLA[#Data]),MATCH($A117,_xlfn.VSTACK(YES_Writing_ELA[Student Number],YES_Writing_FLA[Student Number]),0),MATCH(VLOOKUP(F$7,'Writing Logic'!$J$7:$K$11,2,FALSE)&amp;" - Per "&amp;VLOOKUP($C$4,'Writing Logic'!$G$8:$H$14,2,FALSE),YES_Writing_ELA[#Headers],0))=0,"",INDEX(_xlfn.VSTACK(YES_Writing_ELA[#Data],YES_Writing_FLA[#Data]),MATCH($A117,_xlfn.VSTACK(YES_Writing_ELA[Student Number],YES_Writing_FLA[Student Number]),0),MATCH(VLOOKUP(F$7,'Writing Logic'!$J$7:$K$11,2,FALSE)&amp;" - Per "&amp;VLOOKUP($C$4,'Writing Logic'!$G$8:$H$14,2,FALSE),YES_Writing_ELA[#Headers],0)))),"")</f>
        <v/>
      </c>
      <c r="G117" s="138" t="str">
        <f>IFERROR(IF(IF(INDEX(_xlfn.VSTACK(YES_Writing_ELA[#Data],YES_Writing_FLA[#Data]),MATCH($A117,_xlfn.VSTACK(YES_Writing_ELA[Student Number],YES_Writing_FLA[Student Number]),0),MATCH(VLOOKUP(G$7,'Writing Logic'!$J$7:$K$11,2,FALSE)&amp;" - Per "&amp;VLOOKUP($C$4,'Writing Logic'!$G$8:$H$14,2,FALSE),YES_Writing_ELA[#Headers],0))=0,"",INDEX(_xlfn.VSTACK(YES_Writing_ELA[#Data],YES_Writing_FLA[#Data]),MATCH($A117,_xlfn.VSTACK(YES_Writing_ELA[Student Number],YES_Writing_FLA[Student Number]),0),MATCH(VLOOKUP(G$7,'Writing Logic'!$J$7:$K$11,2,FALSE)&amp;" - Per "&amp;VLOOKUP($C$4,'Writing Logic'!$G$8:$H$14,2,FALSE),YES_Writing_ELA[#Headers],0)))="INS",'Writing Logic'!$B$7,IF(INDEX(_xlfn.VSTACK(YES_Writing_ELA[#Data],YES_Writing_FLA[#Data]),MATCH($A117,_xlfn.VSTACK(YES_Writing_ELA[Student Number],YES_Writing_FLA[Student Number]),0),MATCH(VLOOKUP(G$7,'Writing Logic'!$J$7:$K$11,2,FALSE)&amp;" - Per "&amp;VLOOKUP($C$4,'Writing Logic'!$G$8:$H$14,2,FALSE),YES_Writing_ELA[#Headers],0))=0,"",INDEX(_xlfn.VSTACK(YES_Writing_ELA[#Data],YES_Writing_FLA[#Data]),MATCH($A117,_xlfn.VSTACK(YES_Writing_ELA[Student Number],YES_Writing_FLA[Student Number]),0),MATCH(VLOOKUP(G$7,'Writing Logic'!$J$7:$K$11,2,FALSE)&amp;" - Per "&amp;VLOOKUP($C$4,'Writing Logic'!$G$8:$H$14,2,FALSE),YES_Writing_ELA[#Headers],0)))),"")</f>
        <v/>
      </c>
      <c r="H117" s="223" t="str">
        <f>IFERROR(IF(IF(INDEX(_xlfn.VSTACK(YES_Writing_ELA[#Data],YES_Writing_FLA[#Data]),MATCH($A117,_xlfn.VSTACK(YES_Writing_ELA[Student Number],YES_Writing_FLA[Student Number]),0),MATCH(VLOOKUP(H$7,'Writing Logic'!$J$7:$K$11,2,FALSE)&amp;" - Per "&amp;VLOOKUP($C$4,'Writing Logic'!$G$8:$H$14,2,FALSE),YES_Writing_ELA[#Headers],0))=0,"",INDEX(_xlfn.VSTACK(YES_Writing_ELA[#Data],YES_Writing_FLA[#Data]),MATCH($A117,_xlfn.VSTACK(YES_Writing_ELA[Student Number],YES_Writing_FLA[Student Number]),0),MATCH(VLOOKUP(H$7,'Writing Logic'!$J$7:$K$11,2,FALSE)&amp;" - Per "&amp;VLOOKUP($C$4,'Writing Logic'!$G$8:$H$14,2,FALSE),YES_Writing_ELA[#Headers],0)))="INS",'Writing Logic'!$B$7,IF(INDEX(_xlfn.VSTACK(YES_Writing_ELA[#Data],YES_Writing_FLA[#Data]),MATCH($A117,_xlfn.VSTACK(YES_Writing_ELA[Student Number],YES_Writing_FLA[Student Number]),0),MATCH(VLOOKUP(H$7,'Writing Logic'!$J$7:$K$11,2,FALSE)&amp;" - Per "&amp;VLOOKUP($C$4,'Writing Logic'!$G$8:$H$14,2,FALSE),YES_Writing_ELA[#Headers],0))=0,"",INDEX(_xlfn.VSTACK(YES_Writing_ELA[#Data],YES_Writing_FLA[#Data]),MATCH($A117,_xlfn.VSTACK(YES_Writing_ELA[Student Number],YES_Writing_FLA[Student Number]),0),MATCH(VLOOKUP(H$7,'Writing Logic'!$J$7:$K$11,2,FALSE)&amp;" - Per "&amp;VLOOKUP($C$4,'Writing Logic'!$G$8:$H$14,2,FALSE),YES_Writing_ELA[#Headers],0)))),"")</f>
        <v/>
      </c>
      <c r="I117" s="224" t="str" cm="1">
        <f t="array" aca="1" ref="I117" ca="1">IFERROR(
IF($G$3="ELA",
IF(VLOOKUP($A117, YES_Reading_ELA[], COLUMN(INDIRECT("YES_Reading_ELA[Difference - Per "&amp;VLOOKUP($G$4, 'Reading Report Logic'!$A$2:$B$8, 2, FALSE)&amp;"]")), FALSE)="", "",
VLOOKUP($A117,YES_Reading_ELA[], COLUMN(INDIRECT("YES_Reading_ELA[Difference - Per "&amp;VLOOKUP($G$4,'Reading Report Logic'!$A$2:$B$8,2,FALSE)&amp;"]")), FALSE)),
IF($G$3="FLA",
IF(VLOOKUP($A117, YES_Reading_FLA[], COLUMN(INDIRECT("YES_Reading_FLA[Difference - Per "&amp;VLOOKUP($G$4,'Reading Report Logic'!$A$2:$B$8,2,FALSE)&amp;"]")),FALSE)="","",
VLOOKUP($A117,YES_Reading_FLA[],COLUMN(INDIRECT("YES_Reading_FLA[Difference - Per "&amp;VLOOKUP($G$4,'Reading Report Logic'!$A$2:$B$8,2,FALSE)&amp;"]")),FALSE)),
IF($G$3="Combined",
IFERROR(
IF(VLOOKUP($A117, YES_Reading_ELA[], COLUMN(INDIRECT("YES_Reading_ELA[Difference - Per "&amp;VLOOKUP($G$4, 'Reading Report Logic'!$A$2:$B$8,2,FALSE)&amp;"]")), FALSE)="", "",
VLOOKUP($A117,YES_Reading_ELA[],COLUMN(INDIRECT("YES_Reading_ELA[Difference - Per "&amp;VLOOKUP($G$4,'Reading Report Logic'!$A$2:$B$8,2,FALSE)&amp;"]")),FALSE)),
IF(VLOOKUP($A117, YES_Reading_FLA[], COLUMN(INDIRECT("YES_Reading_FLA[Difference - Per "&amp;VLOOKUP($G$4, 'Reading Report Logic'!$A$2:$B$8, 2, FALSE)&amp;"]")),FALSE)="", "", VLOOKUP($A117,YES_Reading_FLA[],COLUMN(INDIRECT("YES_Reading_FLA[Difference - Per "&amp;VLOOKUP($G$4, 'Reading Report Logic'!$A$2:$B$8, 2, FALSE)&amp;"]")),FALSE))),""))),"")</f>
        <v/>
      </c>
    </row>
    <row r="118" spans="1:9" ht="14.25" customHeight="1" x14ac:dyDescent="0.25">
      <c r="A118" s="137"/>
      <c r="B118" s="137" t="str">
        <f>IFERROR(INDEX(_xlfn.VSTACK(YES_Writing_ELA[#Data], YES_Writing_FLA[#Data]),MATCH($A118,_xlfn.VSTACK(YES_Writing_ELA[Student Number], YES_Writing_FLA[Student Number]),0),MATCH(B$7,YES_Writing_ELA[#Headers],0)),IFERROR(INDEX(_xlfn.VSTACK(YES_Reading_ELA[#Data], YES_Reading_FLA[#Data]),MATCH($A118,_xlfn.VSTACK(YES_Reading_ELA[Student Number], YES_Reading_FLA[Student Number]),0),MATCH(B$7,YES_Reading_ELA[#Headers],0)),""))</f>
        <v/>
      </c>
      <c r="C118" s="137" t="str">
        <f>IFERROR(INDEX(_xlfn.VSTACK(YES_Writing_ELA[#Data], YES_Writing_FLA[#Data]),MATCH($A118,_xlfn.VSTACK(YES_Writing_ELA[Student Number], YES_Writing_FLA[Student Number]),0),MATCH(C$7,YES_Writing_ELA[#Headers],0)),IFERROR(INDEX(_xlfn.VSTACK(YES_Reading_ELA[#Data], YES_Reading_FLA[#Data]),MATCH($A118,_xlfn.VSTACK(YES_Reading_ELA[Student Number], YES_Reading_FLA[Student Number]),0),MATCH(C$7,YES_Reading_ELA[#Headers],0)),""))</f>
        <v/>
      </c>
      <c r="D118" s="138" t="str">
        <f>IFERROR(IF(IF(INDEX(_xlfn.VSTACK(YES_Writing_ELA[#Data],YES_Writing_FLA[#Data]),MATCH($A118,_xlfn.VSTACK(YES_Writing_ELA[Student Number],YES_Writing_FLA[Student Number]),0),MATCH(VLOOKUP(D$7,'Writing Logic'!$J$7:$K$11,2,FALSE)&amp;" - Per "&amp;VLOOKUP($C$4,'Writing Logic'!$G$8:$H$14,2,FALSE),YES_Writing_ELA[#Headers],0))=0,"",INDEX(_xlfn.VSTACK(YES_Writing_ELA[#Data],YES_Writing_FLA[#Data]),MATCH($A118,_xlfn.VSTACK(YES_Writing_ELA[Student Number],YES_Writing_FLA[Student Number]),0),MATCH(VLOOKUP(D$7,'Writing Logic'!$J$7:$K$11,2,FALSE)&amp;" - Per "&amp;VLOOKUP($C$4,'Writing Logic'!$G$8:$H$14,2,FALSE),YES_Writing_ELA[#Headers],0)))="INS",'Writing Logic'!$B$7,IF(INDEX(_xlfn.VSTACK(YES_Writing_ELA[#Data],YES_Writing_FLA[#Data]),MATCH($A118,_xlfn.VSTACK(YES_Writing_ELA[Student Number],YES_Writing_FLA[Student Number]),0),MATCH(VLOOKUP(D$7,'Writing Logic'!$J$7:$K$11,2,FALSE)&amp;" - Per "&amp;VLOOKUP($C$4,'Writing Logic'!$G$8:$H$14,2,FALSE),YES_Writing_ELA[#Headers],0))=0,"",INDEX(_xlfn.VSTACK(YES_Writing_ELA[#Data],YES_Writing_FLA[#Data]),MATCH($A118,_xlfn.VSTACK(YES_Writing_ELA[Student Number],YES_Writing_FLA[Student Number]),0),MATCH(VLOOKUP(D$7,'Writing Logic'!$J$7:$K$11,2,FALSE)&amp;" - Per "&amp;VLOOKUP($C$4,'Writing Logic'!$G$8:$H$14,2,FALSE),YES_Writing_ELA[#Headers],0)))),"")</f>
        <v/>
      </c>
      <c r="E118" s="138" t="str">
        <f>IFERROR(IF(IF(INDEX(_xlfn.VSTACK(YES_Writing_ELA[#Data],YES_Writing_FLA[#Data]),MATCH($A118,_xlfn.VSTACK(YES_Writing_ELA[Student Number],YES_Writing_FLA[Student Number]),0),MATCH(VLOOKUP(E$7,'Writing Logic'!$J$7:$K$11,2,FALSE)&amp;" - Per "&amp;VLOOKUP($C$4,'Writing Logic'!$G$8:$H$14,2,FALSE),YES_Writing_ELA[#Headers],0))=0,"",INDEX(_xlfn.VSTACK(YES_Writing_ELA[#Data],YES_Writing_FLA[#Data]),MATCH($A118,_xlfn.VSTACK(YES_Writing_ELA[Student Number],YES_Writing_FLA[Student Number]),0),MATCH(VLOOKUP(E$7,'Writing Logic'!$J$7:$K$11,2,FALSE)&amp;" - Per "&amp;VLOOKUP($C$4,'Writing Logic'!$G$8:$H$14,2,FALSE),YES_Writing_ELA[#Headers],0)))="INS",'Writing Logic'!$B$7,IF(INDEX(_xlfn.VSTACK(YES_Writing_ELA[#Data],YES_Writing_FLA[#Data]),MATCH($A118,_xlfn.VSTACK(YES_Writing_ELA[Student Number],YES_Writing_FLA[Student Number]),0),MATCH(VLOOKUP(E$7,'Writing Logic'!$J$7:$K$11,2,FALSE)&amp;" - Per "&amp;VLOOKUP($C$4,'Writing Logic'!$G$8:$H$14,2,FALSE),YES_Writing_ELA[#Headers],0))=0,"",INDEX(_xlfn.VSTACK(YES_Writing_ELA[#Data],YES_Writing_FLA[#Data]),MATCH($A118,_xlfn.VSTACK(YES_Writing_ELA[Student Number],YES_Writing_FLA[Student Number]),0),MATCH(VLOOKUP(E$7,'Writing Logic'!$J$7:$K$11,2,FALSE)&amp;" - Per "&amp;VLOOKUP($C$4,'Writing Logic'!$G$8:$H$14,2,FALSE),YES_Writing_ELA[#Headers],0)))),"")</f>
        <v/>
      </c>
      <c r="F118" s="138" t="str">
        <f>IFERROR(IF(IF(INDEX(_xlfn.VSTACK(YES_Writing_ELA[#Data],YES_Writing_FLA[#Data]),MATCH($A118,_xlfn.VSTACK(YES_Writing_ELA[Student Number],YES_Writing_FLA[Student Number]),0),MATCH(VLOOKUP(F$7,'Writing Logic'!$J$7:$K$11,2,FALSE)&amp;" - Per "&amp;VLOOKUP($C$4,'Writing Logic'!$G$8:$H$14,2,FALSE),YES_Writing_ELA[#Headers],0))=0,"",INDEX(_xlfn.VSTACK(YES_Writing_ELA[#Data],YES_Writing_FLA[#Data]),MATCH($A118,_xlfn.VSTACK(YES_Writing_ELA[Student Number],YES_Writing_FLA[Student Number]),0),MATCH(VLOOKUP(F$7,'Writing Logic'!$J$7:$K$11,2,FALSE)&amp;" - Per "&amp;VLOOKUP($C$4,'Writing Logic'!$G$8:$H$14,2,FALSE),YES_Writing_ELA[#Headers],0)))="INS",'Writing Logic'!$B$7,IF(INDEX(_xlfn.VSTACK(YES_Writing_ELA[#Data],YES_Writing_FLA[#Data]),MATCH($A118,_xlfn.VSTACK(YES_Writing_ELA[Student Number],YES_Writing_FLA[Student Number]),0),MATCH(VLOOKUP(F$7,'Writing Logic'!$J$7:$K$11,2,FALSE)&amp;" - Per "&amp;VLOOKUP($C$4,'Writing Logic'!$G$8:$H$14,2,FALSE),YES_Writing_ELA[#Headers],0))=0,"",INDEX(_xlfn.VSTACK(YES_Writing_ELA[#Data],YES_Writing_FLA[#Data]),MATCH($A118,_xlfn.VSTACK(YES_Writing_ELA[Student Number],YES_Writing_FLA[Student Number]),0),MATCH(VLOOKUP(F$7,'Writing Logic'!$J$7:$K$11,2,FALSE)&amp;" - Per "&amp;VLOOKUP($C$4,'Writing Logic'!$G$8:$H$14,2,FALSE),YES_Writing_ELA[#Headers],0)))),"")</f>
        <v/>
      </c>
      <c r="G118" s="138" t="str">
        <f>IFERROR(IF(IF(INDEX(_xlfn.VSTACK(YES_Writing_ELA[#Data],YES_Writing_FLA[#Data]),MATCH($A118,_xlfn.VSTACK(YES_Writing_ELA[Student Number],YES_Writing_FLA[Student Number]),0),MATCH(VLOOKUP(G$7,'Writing Logic'!$J$7:$K$11,2,FALSE)&amp;" - Per "&amp;VLOOKUP($C$4,'Writing Logic'!$G$8:$H$14,2,FALSE),YES_Writing_ELA[#Headers],0))=0,"",INDEX(_xlfn.VSTACK(YES_Writing_ELA[#Data],YES_Writing_FLA[#Data]),MATCH($A118,_xlfn.VSTACK(YES_Writing_ELA[Student Number],YES_Writing_FLA[Student Number]),0),MATCH(VLOOKUP(G$7,'Writing Logic'!$J$7:$K$11,2,FALSE)&amp;" - Per "&amp;VLOOKUP($C$4,'Writing Logic'!$G$8:$H$14,2,FALSE),YES_Writing_ELA[#Headers],0)))="INS",'Writing Logic'!$B$7,IF(INDEX(_xlfn.VSTACK(YES_Writing_ELA[#Data],YES_Writing_FLA[#Data]),MATCH($A118,_xlfn.VSTACK(YES_Writing_ELA[Student Number],YES_Writing_FLA[Student Number]),0),MATCH(VLOOKUP(G$7,'Writing Logic'!$J$7:$K$11,2,FALSE)&amp;" - Per "&amp;VLOOKUP($C$4,'Writing Logic'!$G$8:$H$14,2,FALSE),YES_Writing_ELA[#Headers],0))=0,"",INDEX(_xlfn.VSTACK(YES_Writing_ELA[#Data],YES_Writing_FLA[#Data]),MATCH($A118,_xlfn.VSTACK(YES_Writing_ELA[Student Number],YES_Writing_FLA[Student Number]),0),MATCH(VLOOKUP(G$7,'Writing Logic'!$J$7:$K$11,2,FALSE)&amp;" - Per "&amp;VLOOKUP($C$4,'Writing Logic'!$G$8:$H$14,2,FALSE),YES_Writing_ELA[#Headers],0)))),"")</f>
        <v/>
      </c>
      <c r="H118" s="223" t="str">
        <f>IFERROR(IF(IF(INDEX(_xlfn.VSTACK(YES_Writing_ELA[#Data],YES_Writing_FLA[#Data]),MATCH($A118,_xlfn.VSTACK(YES_Writing_ELA[Student Number],YES_Writing_FLA[Student Number]),0),MATCH(VLOOKUP(H$7,'Writing Logic'!$J$7:$K$11,2,FALSE)&amp;" - Per "&amp;VLOOKUP($C$4,'Writing Logic'!$G$8:$H$14,2,FALSE),YES_Writing_ELA[#Headers],0))=0,"",INDEX(_xlfn.VSTACK(YES_Writing_ELA[#Data],YES_Writing_FLA[#Data]),MATCH($A118,_xlfn.VSTACK(YES_Writing_ELA[Student Number],YES_Writing_FLA[Student Number]),0),MATCH(VLOOKUP(H$7,'Writing Logic'!$J$7:$K$11,2,FALSE)&amp;" - Per "&amp;VLOOKUP($C$4,'Writing Logic'!$G$8:$H$14,2,FALSE),YES_Writing_ELA[#Headers],0)))="INS",'Writing Logic'!$B$7,IF(INDEX(_xlfn.VSTACK(YES_Writing_ELA[#Data],YES_Writing_FLA[#Data]),MATCH($A118,_xlfn.VSTACK(YES_Writing_ELA[Student Number],YES_Writing_FLA[Student Number]),0),MATCH(VLOOKUP(H$7,'Writing Logic'!$J$7:$K$11,2,FALSE)&amp;" - Per "&amp;VLOOKUP($C$4,'Writing Logic'!$G$8:$H$14,2,FALSE),YES_Writing_ELA[#Headers],0))=0,"",INDEX(_xlfn.VSTACK(YES_Writing_ELA[#Data],YES_Writing_FLA[#Data]),MATCH($A118,_xlfn.VSTACK(YES_Writing_ELA[Student Number],YES_Writing_FLA[Student Number]),0),MATCH(VLOOKUP(H$7,'Writing Logic'!$J$7:$K$11,2,FALSE)&amp;" - Per "&amp;VLOOKUP($C$4,'Writing Logic'!$G$8:$H$14,2,FALSE),YES_Writing_ELA[#Headers],0)))),"")</f>
        <v/>
      </c>
      <c r="I118" s="224" t="str" cm="1">
        <f t="array" aca="1" ref="I118" ca="1">IFERROR(
IF($G$3="ELA",
IF(VLOOKUP($A118, YES_Reading_ELA[], COLUMN(INDIRECT("YES_Reading_ELA[Difference - Per "&amp;VLOOKUP($G$4, 'Reading Report Logic'!$A$2:$B$8, 2, FALSE)&amp;"]")), FALSE)="", "",
VLOOKUP($A118,YES_Reading_ELA[], COLUMN(INDIRECT("YES_Reading_ELA[Difference - Per "&amp;VLOOKUP($G$4,'Reading Report Logic'!$A$2:$B$8,2,FALSE)&amp;"]")), FALSE)),
IF($G$3="FLA",
IF(VLOOKUP($A118, YES_Reading_FLA[], COLUMN(INDIRECT("YES_Reading_FLA[Difference - Per "&amp;VLOOKUP($G$4,'Reading Report Logic'!$A$2:$B$8,2,FALSE)&amp;"]")),FALSE)="","",
VLOOKUP($A118,YES_Reading_FLA[],COLUMN(INDIRECT("YES_Reading_FLA[Difference - Per "&amp;VLOOKUP($G$4,'Reading Report Logic'!$A$2:$B$8,2,FALSE)&amp;"]")),FALSE)),
IF($G$3="Combined",
IFERROR(
IF(VLOOKUP($A118, YES_Reading_ELA[], COLUMN(INDIRECT("YES_Reading_ELA[Difference - Per "&amp;VLOOKUP($G$4, 'Reading Report Logic'!$A$2:$B$8,2,FALSE)&amp;"]")), FALSE)="", "",
VLOOKUP($A118,YES_Reading_ELA[],COLUMN(INDIRECT("YES_Reading_ELA[Difference - Per "&amp;VLOOKUP($G$4,'Reading Report Logic'!$A$2:$B$8,2,FALSE)&amp;"]")),FALSE)),
IF(VLOOKUP($A118, YES_Reading_FLA[], COLUMN(INDIRECT("YES_Reading_FLA[Difference - Per "&amp;VLOOKUP($G$4, 'Reading Report Logic'!$A$2:$B$8, 2, FALSE)&amp;"]")),FALSE)="", "", VLOOKUP($A118,YES_Reading_FLA[],COLUMN(INDIRECT("YES_Reading_FLA[Difference - Per "&amp;VLOOKUP($G$4, 'Reading Report Logic'!$A$2:$B$8, 2, FALSE)&amp;"]")),FALSE))),""))),"")</f>
        <v/>
      </c>
    </row>
    <row r="119" spans="1:9" ht="14.25" customHeight="1" x14ac:dyDescent="0.25">
      <c r="A119" s="137"/>
      <c r="B119" s="137" t="str">
        <f>IFERROR(INDEX(_xlfn.VSTACK(YES_Writing_ELA[#Data], YES_Writing_FLA[#Data]),MATCH($A119,_xlfn.VSTACK(YES_Writing_ELA[Student Number], YES_Writing_FLA[Student Number]),0),MATCH(B$7,YES_Writing_ELA[#Headers],0)),IFERROR(INDEX(_xlfn.VSTACK(YES_Reading_ELA[#Data], YES_Reading_FLA[#Data]),MATCH($A119,_xlfn.VSTACK(YES_Reading_ELA[Student Number], YES_Reading_FLA[Student Number]),0),MATCH(B$7,YES_Reading_ELA[#Headers],0)),""))</f>
        <v/>
      </c>
      <c r="C119" s="137" t="str">
        <f>IFERROR(INDEX(_xlfn.VSTACK(YES_Writing_ELA[#Data], YES_Writing_FLA[#Data]),MATCH($A119,_xlfn.VSTACK(YES_Writing_ELA[Student Number], YES_Writing_FLA[Student Number]),0),MATCH(C$7,YES_Writing_ELA[#Headers],0)),IFERROR(INDEX(_xlfn.VSTACK(YES_Reading_ELA[#Data], YES_Reading_FLA[#Data]),MATCH($A119,_xlfn.VSTACK(YES_Reading_ELA[Student Number], YES_Reading_FLA[Student Number]),0),MATCH(C$7,YES_Reading_ELA[#Headers],0)),""))</f>
        <v/>
      </c>
      <c r="D119" s="138" t="str">
        <f>IFERROR(IF(IF(INDEX(_xlfn.VSTACK(YES_Writing_ELA[#Data],YES_Writing_FLA[#Data]),MATCH($A119,_xlfn.VSTACK(YES_Writing_ELA[Student Number],YES_Writing_FLA[Student Number]),0),MATCH(VLOOKUP(D$7,'Writing Logic'!$J$7:$K$11,2,FALSE)&amp;" - Per "&amp;VLOOKUP($C$4,'Writing Logic'!$G$8:$H$14,2,FALSE),YES_Writing_ELA[#Headers],0))=0,"",INDEX(_xlfn.VSTACK(YES_Writing_ELA[#Data],YES_Writing_FLA[#Data]),MATCH($A119,_xlfn.VSTACK(YES_Writing_ELA[Student Number],YES_Writing_FLA[Student Number]),0),MATCH(VLOOKUP(D$7,'Writing Logic'!$J$7:$K$11,2,FALSE)&amp;" - Per "&amp;VLOOKUP($C$4,'Writing Logic'!$G$8:$H$14,2,FALSE),YES_Writing_ELA[#Headers],0)))="INS",'Writing Logic'!$B$7,IF(INDEX(_xlfn.VSTACK(YES_Writing_ELA[#Data],YES_Writing_FLA[#Data]),MATCH($A119,_xlfn.VSTACK(YES_Writing_ELA[Student Number],YES_Writing_FLA[Student Number]),0),MATCH(VLOOKUP(D$7,'Writing Logic'!$J$7:$K$11,2,FALSE)&amp;" - Per "&amp;VLOOKUP($C$4,'Writing Logic'!$G$8:$H$14,2,FALSE),YES_Writing_ELA[#Headers],0))=0,"",INDEX(_xlfn.VSTACK(YES_Writing_ELA[#Data],YES_Writing_FLA[#Data]),MATCH($A119,_xlfn.VSTACK(YES_Writing_ELA[Student Number],YES_Writing_FLA[Student Number]),0),MATCH(VLOOKUP(D$7,'Writing Logic'!$J$7:$K$11,2,FALSE)&amp;" - Per "&amp;VLOOKUP($C$4,'Writing Logic'!$G$8:$H$14,2,FALSE),YES_Writing_ELA[#Headers],0)))),"")</f>
        <v/>
      </c>
      <c r="E119" s="138" t="str">
        <f>IFERROR(IF(IF(INDEX(_xlfn.VSTACK(YES_Writing_ELA[#Data],YES_Writing_FLA[#Data]),MATCH($A119,_xlfn.VSTACK(YES_Writing_ELA[Student Number],YES_Writing_FLA[Student Number]),0),MATCH(VLOOKUP(E$7,'Writing Logic'!$J$7:$K$11,2,FALSE)&amp;" - Per "&amp;VLOOKUP($C$4,'Writing Logic'!$G$8:$H$14,2,FALSE),YES_Writing_ELA[#Headers],0))=0,"",INDEX(_xlfn.VSTACK(YES_Writing_ELA[#Data],YES_Writing_FLA[#Data]),MATCH($A119,_xlfn.VSTACK(YES_Writing_ELA[Student Number],YES_Writing_FLA[Student Number]),0),MATCH(VLOOKUP(E$7,'Writing Logic'!$J$7:$K$11,2,FALSE)&amp;" - Per "&amp;VLOOKUP($C$4,'Writing Logic'!$G$8:$H$14,2,FALSE),YES_Writing_ELA[#Headers],0)))="INS",'Writing Logic'!$B$7,IF(INDEX(_xlfn.VSTACK(YES_Writing_ELA[#Data],YES_Writing_FLA[#Data]),MATCH($A119,_xlfn.VSTACK(YES_Writing_ELA[Student Number],YES_Writing_FLA[Student Number]),0),MATCH(VLOOKUP(E$7,'Writing Logic'!$J$7:$K$11,2,FALSE)&amp;" - Per "&amp;VLOOKUP($C$4,'Writing Logic'!$G$8:$H$14,2,FALSE),YES_Writing_ELA[#Headers],0))=0,"",INDEX(_xlfn.VSTACK(YES_Writing_ELA[#Data],YES_Writing_FLA[#Data]),MATCH($A119,_xlfn.VSTACK(YES_Writing_ELA[Student Number],YES_Writing_FLA[Student Number]),0),MATCH(VLOOKUP(E$7,'Writing Logic'!$J$7:$K$11,2,FALSE)&amp;" - Per "&amp;VLOOKUP($C$4,'Writing Logic'!$G$8:$H$14,2,FALSE),YES_Writing_ELA[#Headers],0)))),"")</f>
        <v/>
      </c>
      <c r="F119" s="138" t="str">
        <f>IFERROR(IF(IF(INDEX(_xlfn.VSTACK(YES_Writing_ELA[#Data],YES_Writing_FLA[#Data]),MATCH($A119,_xlfn.VSTACK(YES_Writing_ELA[Student Number],YES_Writing_FLA[Student Number]),0),MATCH(VLOOKUP(F$7,'Writing Logic'!$J$7:$K$11,2,FALSE)&amp;" - Per "&amp;VLOOKUP($C$4,'Writing Logic'!$G$8:$H$14,2,FALSE),YES_Writing_ELA[#Headers],0))=0,"",INDEX(_xlfn.VSTACK(YES_Writing_ELA[#Data],YES_Writing_FLA[#Data]),MATCH($A119,_xlfn.VSTACK(YES_Writing_ELA[Student Number],YES_Writing_FLA[Student Number]),0),MATCH(VLOOKUP(F$7,'Writing Logic'!$J$7:$K$11,2,FALSE)&amp;" - Per "&amp;VLOOKUP($C$4,'Writing Logic'!$G$8:$H$14,2,FALSE),YES_Writing_ELA[#Headers],0)))="INS",'Writing Logic'!$B$7,IF(INDEX(_xlfn.VSTACK(YES_Writing_ELA[#Data],YES_Writing_FLA[#Data]),MATCH($A119,_xlfn.VSTACK(YES_Writing_ELA[Student Number],YES_Writing_FLA[Student Number]),0),MATCH(VLOOKUP(F$7,'Writing Logic'!$J$7:$K$11,2,FALSE)&amp;" - Per "&amp;VLOOKUP($C$4,'Writing Logic'!$G$8:$H$14,2,FALSE),YES_Writing_ELA[#Headers],0))=0,"",INDEX(_xlfn.VSTACK(YES_Writing_ELA[#Data],YES_Writing_FLA[#Data]),MATCH($A119,_xlfn.VSTACK(YES_Writing_ELA[Student Number],YES_Writing_FLA[Student Number]),0),MATCH(VLOOKUP(F$7,'Writing Logic'!$J$7:$K$11,2,FALSE)&amp;" - Per "&amp;VLOOKUP($C$4,'Writing Logic'!$G$8:$H$14,2,FALSE),YES_Writing_ELA[#Headers],0)))),"")</f>
        <v/>
      </c>
      <c r="G119" s="138" t="str">
        <f>IFERROR(IF(IF(INDEX(_xlfn.VSTACK(YES_Writing_ELA[#Data],YES_Writing_FLA[#Data]),MATCH($A119,_xlfn.VSTACK(YES_Writing_ELA[Student Number],YES_Writing_FLA[Student Number]),0),MATCH(VLOOKUP(G$7,'Writing Logic'!$J$7:$K$11,2,FALSE)&amp;" - Per "&amp;VLOOKUP($C$4,'Writing Logic'!$G$8:$H$14,2,FALSE),YES_Writing_ELA[#Headers],0))=0,"",INDEX(_xlfn.VSTACK(YES_Writing_ELA[#Data],YES_Writing_FLA[#Data]),MATCH($A119,_xlfn.VSTACK(YES_Writing_ELA[Student Number],YES_Writing_FLA[Student Number]),0),MATCH(VLOOKUP(G$7,'Writing Logic'!$J$7:$K$11,2,FALSE)&amp;" - Per "&amp;VLOOKUP($C$4,'Writing Logic'!$G$8:$H$14,2,FALSE),YES_Writing_ELA[#Headers],0)))="INS",'Writing Logic'!$B$7,IF(INDEX(_xlfn.VSTACK(YES_Writing_ELA[#Data],YES_Writing_FLA[#Data]),MATCH($A119,_xlfn.VSTACK(YES_Writing_ELA[Student Number],YES_Writing_FLA[Student Number]),0),MATCH(VLOOKUP(G$7,'Writing Logic'!$J$7:$K$11,2,FALSE)&amp;" - Per "&amp;VLOOKUP($C$4,'Writing Logic'!$G$8:$H$14,2,FALSE),YES_Writing_ELA[#Headers],0))=0,"",INDEX(_xlfn.VSTACK(YES_Writing_ELA[#Data],YES_Writing_FLA[#Data]),MATCH($A119,_xlfn.VSTACK(YES_Writing_ELA[Student Number],YES_Writing_FLA[Student Number]),0),MATCH(VLOOKUP(G$7,'Writing Logic'!$J$7:$K$11,2,FALSE)&amp;" - Per "&amp;VLOOKUP($C$4,'Writing Logic'!$G$8:$H$14,2,FALSE),YES_Writing_ELA[#Headers],0)))),"")</f>
        <v/>
      </c>
      <c r="H119" s="223" t="str">
        <f>IFERROR(IF(IF(INDEX(_xlfn.VSTACK(YES_Writing_ELA[#Data],YES_Writing_FLA[#Data]),MATCH($A119,_xlfn.VSTACK(YES_Writing_ELA[Student Number],YES_Writing_FLA[Student Number]),0),MATCH(VLOOKUP(H$7,'Writing Logic'!$J$7:$K$11,2,FALSE)&amp;" - Per "&amp;VLOOKUP($C$4,'Writing Logic'!$G$8:$H$14,2,FALSE),YES_Writing_ELA[#Headers],0))=0,"",INDEX(_xlfn.VSTACK(YES_Writing_ELA[#Data],YES_Writing_FLA[#Data]),MATCH($A119,_xlfn.VSTACK(YES_Writing_ELA[Student Number],YES_Writing_FLA[Student Number]),0),MATCH(VLOOKUP(H$7,'Writing Logic'!$J$7:$K$11,2,FALSE)&amp;" - Per "&amp;VLOOKUP($C$4,'Writing Logic'!$G$8:$H$14,2,FALSE),YES_Writing_ELA[#Headers],0)))="INS",'Writing Logic'!$B$7,IF(INDEX(_xlfn.VSTACK(YES_Writing_ELA[#Data],YES_Writing_FLA[#Data]),MATCH($A119,_xlfn.VSTACK(YES_Writing_ELA[Student Number],YES_Writing_FLA[Student Number]),0),MATCH(VLOOKUP(H$7,'Writing Logic'!$J$7:$K$11,2,FALSE)&amp;" - Per "&amp;VLOOKUP($C$4,'Writing Logic'!$G$8:$H$14,2,FALSE),YES_Writing_ELA[#Headers],0))=0,"",INDEX(_xlfn.VSTACK(YES_Writing_ELA[#Data],YES_Writing_FLA[#Data]),MATCH($A119,_xlfn.VSTACK(YES_Writing_ELA[Student Number],YES_Writing_FLA[Student Number]),0),MATCH(VLOOKUP(H$7,'Writing Logic'!$J$7:$K$11,2,FALSE)&amp;" - Per "&amp;VLOOKUP($C$4,'Writing Logic'!$G$8:$H$14,2,FALSE),YES_Writing_ELA[#Headers],0)))),"")</f>
        <v/>
      </c>
      <c r="I119" s="224" t="str" cm="1">
        <f t="array" aca="1" ref="I119" ca="1">IFERROR(
IF($G$3="ELA",
IF(VLOOKUP($A119, YES_Reading_ELA[], COLUMN(INDIRECT("YES_Reading_ELA[Difference - Per "&amp;VLOOKUP($G$4, 'Reading Report Logic'!$A$2:$B$8, 2, FALSE)&amp;"]")), FALSE)="", "",
VLOOKUP($A119,YES_Reading_ELA[], COLUMN(INDIRECT("YES_Reading_ELA[Difference - Per "&amp;VLOOKUP($G$4,'Reading Report Logic'!$A$2:$B$8,2,FALSE)&amp;"]")), FALSE)),
IF($G$3="FLA",
IF(VLOOKUP($A119, YES_Reading_FLA[], COLUMN(INDIRECT("YES_Reading_FLA[Difference - Per "&amp;VLOOKUP($G$4,'Reading Report Logic'!$A$2:$B$8,2,FALSE)&amp;"]")),FALSE)="","",
VLOOKUP($A119,YES_Reading_FLA[],COLUMN(INDIRECT("YES_Reading_FLA[Difference - Per "&amp;VLOOKUP($G$4,'Reading Report Logic'!$A$2:$B$8,2,FALSE)&amp;"]")),FALSE)),
IF($G$3="Combined",
IFERROR(
IF(VLOOKUP($A119, YES_Reading_ELA[], COLUMN(INDIRECT("YES_Reading_ELA[Difference - Per "&amp;VLOOKUP($G$4, 'Reading Report Logic'!$A$2:$B$8,2,FALSE)&amp;"]")), FALSE)="", "",
VLOOKUP($A119,YES_Reading_ELA[],COLUMN(INDIRECT("YES_Reading_ELA[Difference - Per "&amp;VLOOKUP($G$4,'Reading Report Logic'!$A$2:$B$8,2,FALSE)&amp;"]")),FALSE)),
IF(VLOOKUP($A119, YES_Reading_FLA[], COLUMN(INDIRECT("YES_Reading_FLA[Difference - Per "&amp;VLOOKUP($G$4, 'Reading Report Logic'!$A$2:$B$8, 2, FALSE)&amp;"]")),FALSE)="", "", VLOOKUP($A119,YES_Reading_FLA[],COLUMN(INDIRECT("YES_Reading_FLA[Difference - Per "&amp;VLOOKUP($G$4, 'Reading Report Logic'!$A$2:$B$8, 2, FALSE)&amp;"]")),FALSE))),""))),"")</f>
        <v/>
      </c>
    </row>
    <row r="120" spans="1:9" ht="14.25" customHeight="1" x14ac:dyDescent="0.25">
      <c r="A120" s="137"/>
      <c r="B120" s="137" t="str">
        <f>IFERROR(INDEX(_xlfn.VSTACK(YES_Writing_ELA[#Data], YES_Writing_FLA[#Data]),MATCH($A120,_xlfn.VSTACK(YES_Writing_ELA[Student Number], YES_Writing_FLA[Student Number]),0),MATCH(B$7,YES_Writing_ELA[#Headers],0)),IFERROR(INDEX(_xlfn.VSTACK(YES_Reading_ELA[#Data], YES_Reading_FLA[#Data]),MATCH($A120,_xlfn.VSTACK(YES_Reading_ELA[Student Number], YES_Reading_FLA[Student Number]),0),MATCH(B$7,YES_Reading_ELA[#Headers],0)),""))</f>
        <v/>
      </c>
      <c r="C120" s="137" t="str">
        <f>IFERROR(INDEX(_xlfn.VSTACK(YES_Writing_ELA[#Data], YES_Writing_FLA[#Data]),MATCH($A120,_xlfn.VSTACK(YES_Writing_ELA[Student Number], YES_Writing_FLA[Student Number]),0),MATCH(C$7,YES_Writing_ELA[#Headers],0)),IFERROR(INDEX(_xlfn.VSTACK(YES_Reading_ELA[#Data], YES_Reading_FLA[#Data]),MATCH($A120,_xlfn.VSTACK(YES_Reading_ELA[Student Number], YES_Reading_FLA[Student Number]),0),MATCH(C$7,YES_Reading_ELA[#Headers],0)),""))</f>
        <v/>
      </c>
      <c r="D120" s="138" t="str">
        <f>IFERROR(IF(IF(INDEX(_xlfn.VSTACK(YES_Writing_ELA[#Data],YES_Writing_FLA[#Data]),MATCH($A120,_xlfn.VSTACK(YES_Writing_ELA[Student Number],YES_Writing_FLA[Student Number]),0),MATCH(VLOOKUP(D$7,'Writing Logic'!$J$7:$K$11,2,FALSE)&amp;" - Per "&amp;VLOOKUP($C$4,'Writing Logic'!$G$8:$H$14,2,FALSE),YES_Writing_ELA[#Headers],0))=0,"",INDEX(_xlfn.VSTACK(YES_Writing_ELA[#Data],YES_Writing_FLA[#Data]),MATCH($A120,_xlfn.VSTACK(YES_Writing_ELA[Student Number],YES_Writing_FLA[Student Number]),0),MATCH(VLOOKUP(D$7,'Writing Logic'!$J$7:$K$11,2,FALSE)&amp;" - Per "&amp;VLOOKUP($C$4,'Writing Logic'!$G$8:$H$14,2,FALSE),YES_Writing_ELA[#Headers],0)))="INS",'Writing Logic'!$B$7,IF(INDEX(_xlfn.VSTACK(YES_Writing_ELA[#Data],YES_Writing_FLA[#Data]),MATCH($A120,_xlfn.VSTACK(YES_Writing_ELA[Student Number],YES_Writing_FLA[Student Number]),0),MATCH(VLOOKUP(D$7,'Writing Logic'!$J$7:$K$11,2,FALSE)&amp;" - Per "&amp;VLOOKUP($C$4,'Writing Logic'!$G$8:$H$14,2,FALSE),YES_Writing_ELA[#Headers],0))=0,"",INDEX(_xlfn.VSTACK(YES_Writing_ELA[#Data],YES_Writing_FLA[#Data]),MATCH($A120,_xlfn.VSTACK(YES_Writing_ELA[Student Number],YES_Writing_FLA[Student Number]),0),MATCH(VLOOKUP(D$7,'Writing Logic'!$J$7:$K$11,2,FALSE)&amp;" - Per "&amp;VLOOKUP($C$4,'Writing Logic'!$G$8:$H$14,2,FALSE),YES_Writing_ELA[#Headers],0)))),"")</f>
        <v/>
      </c>
      <c r="E120" s="138" t="str">
        <f>IFERROR(IF(IF(INDEX(_xlfn.VSTACK(YES_Writing_ELA[#Data],YES_Writing_FLA[#Data]),MATCH($A120,_xlfn.VSTACK(YES_Writing_ELA[Student Number],YES_Writing_FLA[Student Number]),0),MATCH(VLOOKUP(E$7,'Writing Logic'!$J$7:$K$11,2,FALSE)&amp;" - Per "&amp;VLOOKUP($C$4,'Writing Logic'!$G$8:$H$14,2,FALSE),YES_Writing_ELA[#Headers],0))=0,"",INDEX(_xlfn.VSTACK(YES_Writing_ELA[#Data],YES_Writing_FLA[#Data]),MATCH($A120,_xlfn.VSTACK(YES_Writing_ELA[Student Number],YES_Writing_FLA[Student Number]),0),MATCH(VLOOKUP(E$7,'Writing Logic'!$J$7:$K$11,2,FALSE)&amp;" - Per "&amp;VLOOKUP($C$4,'Writing Logic'!$G$8:$H$14,2,FALSE),YES_Writing_ELA[#Headers],0)))="INS",'Writing Logic'!$B$7,IF(INDEX(_xlfn.VSTACK(YES_Writing_ELA[#Data],YES_Writing_FLA[#Data]),MATCH($A120,_xlfn.VSTACK(YES_Writing_ELA[Student Number],YES_Writing_FLA[Student Number]),0),MATCH(VLOOKUP(E$7,'Writing Logic'!$J$7:$K$11,2,FALSE)&amp;" - Per "&amp;VLOOKUP($C$4,'Writing Logic'!$G$8:$H$14,2,FALSE),YES_Writing_ELA[#Headers],0))=0,"",INDEX(_xlfn.VSTACK(YES_Writing_ELA[#Data],YES_Writing_FLA[#Data]),MATCH($A120,_xlfn.VSTACK(YES_Writing_ELA[Student Number],YES_Writing_FLA[Student Number]),0),MATCH(VLOOKUP(E$7,'Writing Logic'!$J$7:$K$11,2,FALSE)&amp;" - Per "&amp;VLOOKUP($C$4,'Writing Logic'!$G$8:$H$14,2,FALSE),YES_Writing_ELA[#Headers],0)))),"")</f>
        <v/>
      </c>
      <c r="F120" s="138" t="str">
        <f>IFERROR(IF(IF(INDEX(_xlfn.VSTACK(YES_Writing_ELA[#Data],YES_Writing_FLA[#Data]),MATCH($A120,_xlfn.VSTACK(YES_Writing_ELA[Student Number],YES_Writing_FLA[Student Number]),0),MATCH(VLOOKUP(F$7,'Writing Logic'!$J$7:$K$11,2,FALSE)&amp;" - Per "&amp;VLOOKUP($C$4,'Writing Logic'!$G$8:$H$14,2,FALSE),YES_Writing_ELA[#Headers],0))=0,"",INDEX(_xlfn.VSTACK(YES_Writing_ELA[#Data],YES_Writing_FLA[#Data]),MATCH($A120,_xlfn.VSTACK(YES_Writing_ELA[Student Number],YES_Writing_FLA[Student Number]),0),MATCH(VLOOKUP(F$7,'Writing Logic'!$J$7:$K$11,2,FALSE)&amp;" - Per "&amp;VLOOKUP($C$4,'Writing Logic'!$G$8:$H$14,2,FALSE),YES_Writing_ELA[#Headers],0)))="INS",'Writing Logic'!$B$7,IF(INDEX(_xlfn.VSTACK(YES_Writing_ELA[#Data],YES_Writing_FLA[#Data]),MATCH($A120,_xlfn.VSTACK(YES_Writing_ELA[Student Number],YES_Writing_FLA[Student Number]),0),MATCH(VLOOKUP(F$7,'Writing Logic'!$J$7:$K$11,2,FALSE)&amp;" - Per "&amp;VLOOKUP($C$4,'Writing Logic'!$G$8:$H$14,2,FALSE),YES_Writing_ELA[#Headers],0))=0,"",INDEX(_xlfn.VSTACK(YES_Writing_ELA[#Data],YES_Writing_FLA[#Data]),MATCH($A120,_xlfn.VSTACK(YES_Writing_ELA[Student Number],YES_Writing_FLA[Student Number]),0),MATCH(VLOOKUP(F$7,'Writing Logic'!$J$7:$K$11,2,FALSE)&amp;" - Per "&amp;VLOOKUP($C$4,'Writing Logic'!$G$8:$H$14,2,FALSE),YES_Writing_ELA[#Headers],0)))),"")</f>
        <v/>
      </c>
      <c r="G120" s="138" t="str">
        <f>IFERROR(IF(IF(INDEX(_xlfn.VSTACK(YES_Writing_ELA[#Data],YES_Writing_FLA[#Data]),MATCH($A120,_xlfn.VSTACK(YES_Writing_ELA[Student Number],YES_Writing_FLA[Student Number]),0),MATCH(VLOOKUP(G$7,'Writing Logic'!$J$7:$K$11,2,FALSE)&amp;" - Per "&amp;VLOOKUP($C$4,'Writing Logic'!$G$8:$H$14,2,FALSE),YES_Writing_ELA[#Headers],0))=0,"",INDEX(_xlfn.VSTACK(YES_Writing_ELA[#Data],YES_Writing_FLA[#Data]),MATCH($A120,_xlfn.VSTACK(YES_Writing_ELA[Student Number],YES_Writing_FLA[Student Number]),0),MATCH(VLOOKUP(G$7,'Writing Logic'!$J$7:$K$11,2,FALSE)&amp;" - Per "&amp;VLOOKUP($C$4,'Writing Logic'!$G$8:$H$14,2,FALSE),YES_Writing_ELA[#Headers],0)))="INS",'Writing Logic'!$B$7,IF(INDEX(_xlfn.VSTACK(YES_Writing_ELA[#Data],YES_Writing_FLA[#Data]),MATCH($A120,_xlfn.VSTACK(YES_Writing_ELA[Student Number],YES_Writing_FLA[Student Number]),0),MATCH(VLOOKUP(G$7,'Writing Logic'!$J$7:$K$11,2,FALSE)&amp;" - Per "&amp;VLOOKUP($C$4,'Writing Logic'!$G$8:$H$14,2,FALSE),YES_Writing_ELA[#Headers],0))=0,"",INDEX(_xlfn.VSTACK(YES_Writing_ELA[#Data],YES_Writing_FLA[#Data]),MATCH($A120,_xlfn.VSTACK(YES_Writing_ELA[Student Number],YES_Writing_FLA[Student Number]),0),MATCH(VLOOKUP(G$7,'Writing Logic'!$J$7:$K$11,2,FALSE)&amp;" - Per "&amp;VLOOKUP($C$4,'Writing Logic'!$G$8:$H$14,2,FALSE),YES_Writing_ELA[#Headers],0)))),"")</f>
        <v/>
      </c>
      <c r="H120" s="223" t="str">
        <f>IFERROR(IF(IF(INDEX(_xlfn.VSTACK(YES_Writing_ELA[#Data],YES_Writing_FLA[#Data]),MATCH($A120,_xlfn.VSTACK(YES_Writing_ELA[Student Number],YES_Writing_FLA[Student Number]),0),MATCH(VLOOKUP(H$7,'Writing Logic'!$J$7:$K$11,2,FALSE)&amp;" - Per "&amp;VLOOKUP($C$4,'Writing Logic'!$G$8:$H$14,2,FALSE),YES_Writing_ELA[#Headers],0))=0,"",INDEX(_xlfn.VSTACK(YES_Writing_ELA[#Data],YES_Writing_FLA[#Data]),MATCH($A120,_xlfn.VSTACK(YES_Writing_ELA[Student Number],YES_Writing_FLA[Student Number]),0),MATCH(VLOOKUP(H$7,'Writing Logic'!$J$7:$K$11,2,FALSE)&amp;" - Per "&amp;VLOOKUP($C$4,'Writing Logic'!$G$8:$H$14,2,FALSE),YES_Writing_ELA[#Headers],0)))="INS",'Writing Logic'!$B$7,IF(INDEX(_xlfn.VSTACK(YES_Writing_ELA[#Data],YES_Writing_FLA[#Data]),MATCH($A120,_xlfn.VSTACK(YES_Writing_ELA[Student Number],YES_Writing_FLA[Student Number]),0),MATCH(VLOOKUP(H$7,'Writing Logic'!$J$7:$K$11,2,FALSE)&amp;" - Per "&amp;VLOOKUP($C$4,'Writing Logic'!$G$8:$H$14,2,FALSE),YES_Writing_ELA[#Headers],0))=0,"",INDEX(_xlfn.VSTACK(YES_Writing_ELA[#Data],YES_Writing_FLA[#Data]),MATCH($A120,_xlfn.VSTACK(YES_Writing_ELA[Student Number],YES_Writing_FLA[Student Number]),0),MATCH(VLOOKUP(H$7,'Writing Logic'!$J$7:$K$11,2,FALSE)&amp;" - Per "&amp;VLOOKUP($C$4,'Writing Logic'!$G$8:$H$14,2,FALSE),YES_Writing_ELA[#Headers],0)))),"")</f>
        <v/>
      </c>
      <c r="I120" s="224" t="str" cm="1">
        <f t="array" aca="1" ref="I120" ca="1">IFERROR(
IF($G$3="ELA",
IF(VLOOKUP($A120, YES_Reading_ELA[], COLUMN(INDIRECT("YES_Reading_ELA[Difference - Per "&amp;VLOOKUP($G$4, 'Reading Report Logic'!$A$2:$B$8, 2, FALSE)&amp;"]")), FALSE)="", "",
VLOOKUP($A120,YES_Reading_ELA[], COLUMN(INDIRECT("YES_Reading_ELA[Difference - Per "&amp;VLOOKUP($G$4,'Reading Report Logic'!$A$2:$B$8,2,FALSE)&amp;"]")), FALSE)),
IF($G$3="FLA",
IF(VLOOKUP($A120, YES_Reading_FLA[], COLUMN(INDIRECT("YES_Reading_FLA[Difference - Per "&amp;VLOOKUP($G$4,'Reading Report Logic'!$A$2:$B$8,2,FALSE)&amp;"]")),FALSE)="","",
VLOOKUP($A120,YES_Reading_FLA[],COLUMN(INDIRECT("YES_Reading_FLA[Difference - Per "&amp;VLOOKUP($G$4,'Reading Report Logic'!$A$2:$B$8,2,FALSE)&amp;"]")),FALSE)),
IF($G$3="Combined",
IFERROR(
IF(VLOOKUP($A120, YES_Reading_ELA[], COLUMN(INDIRECT("YES_Reading_ELA[Difference - Per "&amp;VLOOKUP($G$4, 'Reading Report Logic'!$A$2:$B$8,2,FALSE)&amp;"]")), FALSE)="", "",
VLOOKUP($A120,YES_Reading_ELA[],COLUMN(INDIRECT("YES_Reading_ELA[Difference - Per "&amp;VLOOKUP($G$4,'Reading Report Logic'!$A$2:$B$8,2,FALSE)&amp;"]")),FALSE)),
IF(VLOOKUP($A120, YES_Reading_FLA[], COLUMN(INDIRECT("YES_Reading_FLA[Difference - Per "&amp;VLOOKUP($G$4, 'Reading Report Logic'!$A$2:$B$8, 2, FALSE)&amp;"]")),FALSE)="", "", VLOOKUP($A120,YES_Reading_FLA[],COLUMN(INDIRECT("YES_Reading_FLA[Difference - Per "&amp;VLOOKUP($G$4, 'Reading Report Logic'!$A$2:$B$8, 2, FALSE)&amp;"]")),FALSE))),""))),"")</f>
        <v/>
      </c>
    </row>
    <row r="121" spans="1:9" ht="14.25" customHeight="1" x14ac:dyDescent="0.25">
      <c r="A121" s="137"/>
      <c r="B121" s="137" t="str">
        <f>IFERROR(INDEX(_xlfn.VSTACK(YES_Writing_ELA[#Data], YES_Writing_FLA[#Data]),MATCH($A121,_xlfn.VSTACK(YES_Writing_ELA[Student Number], YES_Writing_FLA[Student Number]),0),MATCH(B$7,YES_Writing_ELA[#Headers],0)),IFERROR(INDEX(_xlfn.VSTACK(YES_Reading_ELA[#Data], YES_Reading_FLA[#Data]),MATCH($A121,_xlfn.VSTACK(YES_Reading_ELA[Student Number], YES_Reading_FLA[Student Number]),0),MATCH(B$7,YES_Reading_ELA[#Headers],0)),""))</f>
        <v/>
      </c>
      <c r="C121" s="137" t="str">
        <f>IFERROR(INDEX(_xlfn.VSTACK(YES_Writing_ELA[#Data], YES_Writing_FLA[#Data]),MATCH($A121,_xlfn.VSTACK(YES_Writing_ELA[Student Number], YES_Writing_FLA[Student Number]),0),MATCH(C$7,YES_Writing_ELA[#Headers],0)),IFERROR(INDEX(_xlfn.VSTACK(YES_Reading_ELA[#Data], YES_Reading_FLA[#Data]),MATCH($A121,_xlfn.VSTACK(YES_Reading_ELA[Student Number], YES_Reading_FLA[Student Number]),0),MATCH(C$7,YES_Reading_ELA[#Headers],0)),""))</f>
        <v/>
      </c>
      <c r="D121" s="138" t="str">
        <f>IFERROR(IF(IF(INDEX(_xlfn.VSTACK(YES_Writing_ELA[#Data],YES_Writing_FLA[#Data]),MATCH($A121,_xlfn.VSTACK(YES_Writing_ELA[Student Number],YES_Writing_FLA[Student Number]),0),MATCH(VLOOKUP(D$7,'Writing Logic'!$J$7:$K$11,2,FALSE)&amp;" - Per "&amp;VLOOKUP($C$4,'Writing Logic'!$G$8:$H$14,2,FALSE),YES_Writing_ELA[#Headers],0))=0,"",INDEX(_xlfn.VSTACK(YES_Writing_ELA[#Data],YES_Writing_FLA[#Data]),MATCH($A121,_xlfn.VSTACK(YES_Writing_ELA[Student Number],YES_Writing_FLA[Student Number]),0),MATCH(VLOOKUP(D$7,'Writing Logic'!$J$7:$K$11,2,FALSE)&amp;" - Per "&amp;VLOOKUP($C$4,'Writing Logic'!$G$8:$H$14,2,FALSE),YES_Writing_ELA[#Headers],0)))="INS",'Writing Logic'!$B$7,IF(INDEX(_xlfn.VSTACK(YES_Writing_ELA[#Data],YES_Writing_FLA[#Data]),MATCH($A121,_xlfn.VSTACK(YES_Writing_ELA[Student Number],YES_Writing_FLA[Student Number]),0),MATCH(VLOOKUP(D$7,'Writing Logic'!$J$7:$K$11,2,FALSE)&amp;" - Per "&amp;VLOOKUP($C$4,'Writing Logic'!$G$8:$H$14,2,FALSE),YES_Writing_ELA[#Headers],0))=0,"",INDEX(_xlfn.VSTACK(YES_Writing_ELA[#Data],YES_Writing_FLA[#Data]),MATCH($A121,_xlfn.VSTACK(YES_Writing_ELA[Student Number],YES_Writing_FLA[Student Number]),0),MATCH(VLOOKUP(D$7,'Writing Logic'!$J$7:$K$11,2,FALSE)&amp;" - Per "&amp;VLOOKUP($C$4,'Writing Logic'!$G$8:$H$14,2,FALSE),YES_Writing_ELA[#Headers],0)))),"")</f>
        <v/>
      </c>
      <c r="E121" s="138" t="str">
        <f>IFERROR(IF(IF(INDEX(_xlfn.VSTACK(YES_Writing_ELA[#Data],YES_Writing_FLA[#Data]),MATCH($A121,_xlfn.VSTACK(YES_Writing_ELA[Student Number],YES_Writing_FLA[Student Number]),0),MATCH(VLOOKUP(E$7,'Writing Logic'!$J$7:$K$11,2,FALSE)&amp;" - Per "&amp;VLOOKUP($C$4,'Writing Logic'!$G$8:$H$14,2,FALSE),YES_Writing_ELA[#Headers],0))=0,"",INDEX(_xlfn.VSTACK(YES_Writing_ELA[#Data],YES_Writing_FLA[#Data]),MATCH($A121,_xlfn.VSTACK(YES_Writing_ELA[Student Number],YES_Writing_FLA[Student Number]),0),MATCH(VLOOKUP(E$7,'Writing Logic'!$J$7:$K$11,2,FALSE)&amp;" - Per "&amp;VLOOKUP($C$4,'Writing Logic'!$G$8:$H$14,2,FALSE),YES_Writing_ELA[#Headers],0)))="INS",'Writing Logic'!$B$7,IF(INDEX(_xlfn.VSTACK(YES_Writing_ELA[#Data],YES_Writing_FLA[#Data]),MATCH($A121,_xlfn.VSTACK(YES_Writing_ELA[Student Number],YES_Writing_FLA[Student Number]),0),MATCH(VLOOKUP(E$7,'Writing Logic'!$J$7:$K$11,2,FALSE)&amp;" - Per "&amp;VLOOKUP($C$4,'Writing Logic'!$G$8:$H$14,2,FALSE),YES_Writing_ELA[#Headers],0))=0,"",INDEX(_xlfn.VSTACK(YES_Writing_ELA[#Data],YES_Writing_FLA[#Data]),MATCH($A121,_xlfn.VSTACK(YES_Writing_ELA[Student Number],YES_Writing_FLA[Student Number]),0),MATCH(VLOOKUP(E$7,'Writing Logic'!$J$7:$K$11,2,FALSE)&amp;" - Per "&amp;VLOOKUP($C$4,'Writing Logic'!$G$8:$H$14,2,FALSE),YES_Writing_ELA[#Headers],0)))),"")</f>
        <v/>
      </c>
      <c r="F121" s="138" t="str">
        <f>IFERROR(IF(IF(INDEX(_xlfn.VSTACK(YES_Writing_ELA[#Data],YES_Writing_FLA[#Data]),MATCH($A121,_xlfn.VSTACK(YES_Writing_ELA[Student Number],YES_Writing_FLA[Student Number]),0),MATCH(VLOOKUP(F$7,'Writing Logic'!$J$7:$K$11,2,FALSE)&amp;" - Per "&amp;VLOOKUP($C$4,'Writing Logic'!$G$8:$H$14,2,FALSE),YES_Writing_ELA[#Headers],0))=0,"",INDEX(_xlfn.VSTACK(YES_Writing_ELA[#Data],YES_Writing_FLA[#Data]),MATCH($A121,_xlfn.VSTACK(YES_Writing_ELA[Student Number],YES_Writing_FLA[Student Number]),0),MATCH(VLOOKUP(F$7,'Writing Logic'!$J$7:$K$11,2,FALSE)&amp;" - Per "&amp;VLOOKUP($C$4,'Writing Logic'!$G$8:$H$14,2,FALSE),YES_Writing_ELA[#Headers],0)))="INS",'Writing Logic'!$B$7,IF(INDEX(_xlfn.VSTACK(YES_Writing_ELA[#Data],YES_Writing_FLA[#Data]),MATCH($A121,_xlfn.VSTACK(YES_Writing_ELA[Student Number],YES_Writing_FLA[Student Number]),0),MATCH(VLOOKUP(F$7,'Writing Logic'!$J$7:$K$11,2,FALSE)&amp;" - Per "&amp;VLOOKUP($C$4,'Writing Logic'!$G$8:$H$14,2,FALSE),YES_Writing_ELA[#Headers],0))=0,"",INDEX(_xlfn.VSTACK(YES_Writing_ELA[#Data],YES_Writing_FLA[#Data]),MATCH($A121,_xlfn.VSTACK(YES_Writing_ELA[Student Number],YES_Writing_FLA[Student Number]),0),MATCH(VLOOKUP(F$7,'Writing Logic'!$J$7:$K$11,2,FALSE)&amp;" - Per "&amp;VLOOKUP($C$4,'Writing Logic'!$G$8:$H$14,2,FALSE),YES_Writing_ELA[#Headers],0)))),"")</f>
        <v/>
      </c>
      <c r="G121" s="138" t="str">
        <f>IFERROR(IF(IF(INDEX(_xlfn.VSTACK(YES_Writing_ELA[#Data],YES_Writing_FLA[#Data]),MATCH($A121,_xlfn.VSTACK(YES_Writing_ELA[Student Number],YES_Writing_FLA[Student Number]),0),MATCH(VLOOKUP(G$7,'Writing Logic'!$J$7:$K$11,2,FALSE)&amp;" - Per "&amp;VLOOKUP($C$4,'Writing Logic'!$G$8:$H$14,2,FALSE),YES_Writing_ELA[#Headers],0))=0,"",INDEX(_xlfn.VSTACK(YES_Writing_ELA[#Data],YES_Writing_FLA[#Data]),MATCH($A121,_xlfn.VSTACK(YES_Writing_ELA[Student Number],YES_Writing_FLA[Student Number]),0),MATCH(VLOOKUP(G$7,'Writing Logic'!$J$7:$K$11,2,FALSE)&amp;" - Per "&amp;VLOOKUP($C$4,'Writing Logic'!$G$8:$H$14,2,FALSE),YES_Writing_ELA[#Headers],0)))="INS",'Writing Logic'!$B$7,IF(INDEX(_xlfn.VSTACK(YES_Writing_ELA[#Data],YES_Writing_FLA[#Data]),MATCH($A121,_xlfn.VSTACK(YES_Writing_ELA[Student Number],YES_Writing_FLA[Student Number]),0),MATCH(VLOOKUP(G$7,'Writing Logic'!$J$7:$K$11,2,FALSE)&amp;" - Per "&amp;VLOOKUP($C$4,'Writing Logic'!$G$8:$H$14,2,FALSE),YES_Writing_ELA[#Headers],0))=0,"",INDEX(_xlfn.VSTACK(YES_Writing_ELA[#Data],YES_Writing_FLA[#Data]),MATCH($A121,_xlfn.VSTACK(YES_Writing_ELA[Student Number],YES_Writing_FLA[Student Number]),0),MATCH(VLOOKUP(G$7,'Writing Logic'!$J$7:$K$11,2,FALSE)&amp;" - Per "&amp;VLOOKUP($C$4,'Writing Logic'!$G$8:$H$14,2,FALSE),YES_Writing_ELA[#Headers],0)))),"")</f>
        <v/>
      </c>
      <c r="H121" s="223" t="str">
        <f>IFERROR(IF(IF(INDEX(_xlfn.VSTACK(YES_Writing_ELA[#Data],YES_Writing_FLA[#Data]),MATCH($A121,_xlfn.VSTACK(YES_Writing_ELA[Student Number],YES_Writing_FLA[Student Number]),0),MATCH(VLOOKUP(H$7,'Writing Logic'!$J$7:$K$11,2,FALSE)&amp;" - Per "&amp;VLOOKUP($C$4,'Writing Logic'!$G$8:$H$14,2,FALSE),YES_Writing_ELA[#Headers],0))=0,"",INDEX(_xlfn.VSTACK(YES_Writing_ELA[#Data],YES_Writing_FLA[#Data]),MATCH($A121,_xlfn.VSTACK(YES_Writing_ELA[Student Number],YES_Writing_FLA[Student Number]),0),MATCH(VLOOKUP(H$7,'Writing Logic'!$J$7:$K$11,2,FALSE)&amp;" - Per "&amp;VLOOKUP($C$4,'Writing Logic'!$G$8:$H$14,2,FALSE),YES_Writing_ELA[#Headers],0)))="INS",'Writing Logic'!$B$7,IF(INDEX(_xlfn.VSTACK(YES_Writing_ELA[#Data],YES_Writing_FLA[#Data]),MATCH($A121,_xlfn.VSTACK(YES_Writing_ELA[Student Number],YES_Writing_FLA[Student Number]),0),MATCH(VLOOKUP(H$7,'Writing Logic'!$J$7:$K$11,2,FALSE)&amp;" - Per "&amp;VLOOKUP($C$4,'Writing Logic'!$G$8:$H$14,2,FALSE),YES_Writing_ELA[#Headers],0))=0,"",INDEX(_xlfn.VSTACK(YES_Writing_ELA[#Data],YES_Writing_FLA[#Data]),MATCH($A121,_xlfn.VSTACK(YES_Writing_ELA[Student Number],YES_Writing_FLA[Student Number]),0),MATCH(VLOOKUP(H$7,'Writing Logic'!$J$7:$K$11,2,FALSE)&amp;" - Per "&amp;VLOOKUP($C$4,'Writing Logic'!$G$8:$H$14,2,FALSE),YES_Writing_ELA[#Headers],0)))),"")</f>
        <v/>
      </c>
      <c r="I121" s="224" t="str" cm="1">
        <f t="array" aca="1" ref="I121" ca="1">IFERROR(
IF($G$3="ELA",
IF(VLOOKUP($A121, YES_Reading_ELA[], COLUMN(INDIRECT("YES_Reading_ELA[Difference - Per "&amp;VLOOKUP($G$4, 'Reading Report Logic'!$A$2:$B$8, 2, FALSE)&amp;"]")), FALSE)="", "",
VLOOKUP($A121,YES_Reading_ELA[], COLUMN(INDIRECT("YES_Reading_ELA[Difference - Per "&amp;VLOOKUP($G$4,'Reading Report Logic'!$A$2:$B$8,2,FALSE)&amp;"]")), FALSE)),
IF($G$3="FLA",
IF(VLOOKUP($A121, YES_Reading_FLA[], COLUMN(INDIRECT("YES_Reading_FLA[Difference - Per "&amp;VLOOKUP($G$4,'Reading Report Logic'!$A$2:$B$8,2,FALSE)&amp;"]")),FALSE)="","",
VLOOKUP($A121,YES_Reading_FLA[],COLUMN(INDIRECT("YES_Reading_FLA[Difference - Per "&amp;VLOOKUP($G$4,'Reading Report Logic'!$A$2:$B$8,2,FALSE)&amp;"]")),FALSE)),
IF($G$3="Combined",
IFERROR(
IF(VLOOKUP($A121, YES_Reading_ELA[], COLUMN(INDIRECT("YES_Reading_ELA[Difference - Per "&amp;VLOOKUP($G$4, 'Reading Report Logic'!$A$2:$B$8,2,FALSE)&amp;"]")), FALSE)="", "",
VLOOKUP($A121,YES_Reading_ELA[],COLUMN(INDIRECT("YES_Reading_ELA[Difference - Per "&amp;VLOOKUP($G$4,'Reading Report Logic'!$A$2:$B$8,2,FALSE)&amp;"]")),FALSE)),
IF(VLOOKUP($A121, YES_Reading_FLA[], COLUMN(INDIRECT("YES_Reading_FLA[Difference - Per "&amp;VLOOKUP($G$4, 'Reading Report Logic'!$A$2:$B$8, 2, FALSE)&amp;"]")),FALSE)="", "", VLOOKUP($A121,YES_Reading_FLA[],COLUMN(INDIRECT("YES_Reading_FLA[Difference - Per "&amp;VLOOKUP($G$4, 'Reading Report Logic'!$A$2:$B$8, 2, FALSE)&amp;"]")),FALSE))),""))),"")</f>
        <v/>
      </c>
    </row>
    <row r="122" spans="1:9" ht="14.25" customHeight="1" x14ac:dyDescent="0.25">
      <c r="A122" s="137"/>
      <c r="B122" s="137" t="str">
        <f>IFERROR(INDEX(_xlfn.VSTACK(YES_Writing_ELA[#Data], YES_Writing_FLA[#Data]),MATCH($A122,_xlfn.VSTACK(YES_Writing_ELA[Student Number], YES_Writing_FLA[Student Number]),0),MATCH(B$7,YES_Writing_ELA[#Headers],0)),IFERROR(INDEX(_xlfn.VSTACK(YES_Reading_ELA[#Data], YES_Reading_FLA[#Data]),MATCH($A122,_xlfn.VSTACK(YES_Reading_ELA[Student Number], YES_Reading_FLA[Student Number]),0),MATCH(B$7,YES_Reading_ELA[#Headers],0)),""))</f>
        <v/>
      </c>
      <c r="C122" s="137" t="str">
        <f>IFERROR(INDEX(_xlfn.VSTACK(YES_Writing_ELA[#Data], YES_Writing_FLA[#Data]),MATCH($A122,_xlfn.VSTACK(YES_Writing_ELA[Student Number], YES_Writing_FLA[Student Number]),0),MATCH(C$7,YES_Writing_ELA[#Headers],0)),IFERROR(INDEX(_xlfn.VSTACK(YES_Reading_ELA[#Data], YES_Reading_FLA[#Data]),MATCH($A122,_xlfn.VSTACK(YES_Reading_ELA[Student Number], YES_Reading_FLA[Student Number]),0),MATCH(C$7,YES_Reading_ELA[#Headers],0)),""))</f>
        <v/>
      </c>
      <c r="D122" s="138" t="str">
        <f>IFERROR(IF(IF(INDEX(_xlfn.VSTACK(YES_Writing_ELA[#Data],YES_Writing_FLA[#Data]),MATCH($A122,_xlfn.VSTACK(YES_Writing_ELA[Student Number],YES_Writing_FLA[Student Number]),0),MATCH(VLOOKUP(D$7,'Writing Logic'!$J$7:$K$11,2,FALSE)&amp;" - Per "&amp;VLOOKUP($C$4,'Writing Logic'!$G$8:$H$14,2,FALSE),YES_Writing_ELA[#Headers],0))=0,"",INDEX(_xlfn.VSTACK(YES_Writing_ELA[#Data],YES_Writing_FLA[#Data]),MATCH($A122,_xlfn.VSTACK(YES_Writing_ELA[Student Number],YES_Writing_FLA[Student Number]),0),MATCH(VLOOKUP(D$7,'Writing Logic'!$J$7:$K$11,2,FALSE)&amp;" - Per "&amp;VLOOKUP($C$4,'Writing Logic'!$G$8:$H$14,2,FALSE),YES_Writing_ELA[#Headers],0)))="INS",'Writing Logic'!$B$7,IF(INDEX(_xlfn.VSTACK(YES_Writing_ELA[#Data],YES_Writing_FLA[#Data]),MATCH($A122,_xlfn.VSTACK(YES_Writing_ELA[Student Number],YES_Writing_FLA[Student Number]),0),MATCH(VLOOKUP(D$7,'Writing Logic'!$J$7:$K$11,2,FALSE)&amp;" - Per "&amp;VLOOKUP($C$4,'Writing Logic'!$G$8:$H$14,2,FALSE),YES_Writing_ELA[#Headers],0))=0,"",INDEX(_xlfn.VSTACK(YES_Writing_ELA[#Data],YES_Writing_FLA[#Data]),MATCH($A122,_xlfn.VSTACK(YES_Writing_ELA[Student Number],YES_Writing_FLA[Student Number]),0),MATCH(VLOOKUP(D$7,'Writing Logic'!$J$7:$K$11,2,FALSE)&amp;" - Per "&amp;VLOOKUP($C$4,'Writing Logic'!$G$8:$H$14,2,FALSE),YES_Writing_ELA[#Headers],0)))),"")</f>
        <v/>
      </c>
      <c r="E122" s="138" t="str">
        <f>IFERROR(IF(IF(INDEX(_xlfn.VSTACK(YES_Writing_ELA[#Data],YES_Writing_FLA[#Data]),MATCH($A122,_xlfn.VSTACK(YES_Writing_ELA[Student Number],YES_Writing_FLA[Student Number]),0),MATCH(VLOOKUP(E$7,'Writing Logic'!$J$7:$K$11,2,FALSE)&amp;" - Per "&amp;VLOOKUP($C$4,'Writing Logic'!$G$8:$H$14,2,FALSE),YES_Writing_ELA[#Headers],0))=0,"",INDEX(_xlfn.VSTACK(YES_Writing_ELA[#Data],YES_Writing_FLA[#Data]),MATCH($A122,_xlfn.VSTACK(YES_Writing_ELA[Student Number],YES_Writing_FLA[Student Number]),0),MATCH(VLOOKUP(E$7,'Writing Logic'!$J$7:$K$11,2,FALSE)&amp;" - Per "&amp;VLOOKUP($C$4,'Writing Logic'!$G$8:$H$14,2,FALSE),YES_Writing_ELA[#Headers],0)))="INS",'Writing Logic'!$B$7,IF(INDEX(_xlfn.VSTACK(YES_Writing_ELA[#Data],YES_Writing_FLA[#Data]),MATCH($A122,_xlfn.VSTACK(YES_Writing_ELA[Student Number],YES_Writing_FLA[Student Number]),0),MATCH(VLOOKUP(E$7,'Writing Logic'!$J$7:$K$11,2,FALSE)&amp;" - Per "&amp;VLOOKUP($C$4,'Writing Logic'!$G$8:$H$14,2,FALSE),YES_Writing_ELA[#Headers],0))=0,"",INDEX(_xlfn.VSTACK(YES_Writing_ELA[#Data],YES_Writing_FLA[#Data]),MATCH($A122,_xlfn.VSTACK(YES_Writing_ELA[Student Number],YES_Writing_FLA[Student Number]),0),MATCH(VLOOKUP(E$7,'Writing Logic'!$J$7:$K$11,2,FALSE)&amp;" - Per "&amp;VLOOKUP($C$4,'Writing Logic'!$G$8:$H$14,2,FALSE),YES_Writing_ELA[#Headers],0)))),"")</f>
        <v/>
      </c>
      <c r="F122" s="138" t="str">
        <f>IFERROR(IF(IF(INDEX(_xlfn.VSTACK(YES_Writing_ELA[#Data],YES_Writing_FLA[#Data]),MATCH($A122,_xlfn.VSTACK(YES_Writing_ELA[Student Number],YES_Writing_FLA[Student Number]),0),MATCH(VLOOKUP(F$7,'Writing Logic'!$J$7:$K$11,2,FALSE)&amp;" - Per "&amp;VLOOKUP($C$4,'Writing Logic'!$G$8:$H$14,2,FALSE),YES_Writing_ELA[#Headers],0))=0,"",INDEX(_xlfn.VSTACK(YES_Writing_ELA[#Data],YES_Writing_FLA[#Data]),MATCH($A122,_xlfn.VSTACK(YES_Writing_ELA[Student Number],YES_Writing_FLA[Student Number]),0),MATCH(VLOOKUP(F$7,'Writing Logic'!$J$7:$K$11,2,FALSE)&amp;" - Per "&amp;VLOOKUP($C$4,'Writing Logic'!$G$8:$H$14,2,FALSE),YES_Writing_ELA[#Headers],0)))="INS",'Writing Logic'!$B$7,IF(INDEX(_xlfn.VSTACK(YES_Writing_ELA[#Data],YES_Writing_FLA[#Data]),MATCH($A122,_xlfn.VSTACK(YES_Writing_ELA[Student Number],YES_Writing_FLA[Student Number]),0),MATCH(VLOOKUP(F$7,'Writing Logic'!$J$7:$K$11,2,FALSE)&amp;" - Per "&amp;VLOOKUP($C$4,'Writing Logic'!$G$8:$H$14,2,FALSE),YES_Writing_ELA[#Headers],0))=0,"",INDEX(_xlfn.VSTACK(YES_Writing_ELA[#Data],YES_Writing_FLA[#Data]),MATCH($A122,_xlfn.VSTACK(YES_Writing_ELA[Student Number],YES_Writing_FLA[Student Number]),0),MATCH(VLOOKUP(F$7,'Writing Logic'!$J$7:$K$11,2,FALSE)&amp;" - Per "&amp;VLOOKUP($C$4,'Writing Logic'!$G$8:$H$14,2,FALSE),YES_Writing_ELA[#Headers],0)))),"")</f>
        <v/>
      </c>
      <c r="G122" s="138" t="str">
        <f>IFERROR(IF(IF(INDEX(_xlfn.VSTACK(YES_Writing_ELA[#Data],YES_Writing_FLA[#Data]),MATCH($A122,_xlfn.VSTACK(YES_Writing_ELA[Student Number],YES_Writing_FLA[Student Number]),0),MATCH(VLOOKUP(G$7,'Writing Logic'!$J$7:$K$11,2,FALSE)&amp;" - Per "&amp;VLOOKUP($C$4,'Writing Logic'!$G$8:$H$14,2,FALSE),YES_Writing_ELA[#Headers],0))=0,"",INDEX(_xlfn.VSTACK(YES_Writing_ELA[#Data],YES_Writing_FLA[#Data]),MATCH($A122,_xlfn.VSTACK(YES_Writing_ELA[Student Number],YES_Writing_FLA[Student Number]),0),MATCH(VLOOKUP(G$7,'Writing Logic'!$J$7:$K$11,2,FALSE)&amp;" - Per "&amp;VLOOKUP($C$4,'Writing Logic'!$G$8:$H$14,2,FALSE),YES_Writing_ELA[#Headers],0)))="INS",'Writing Logic'!$B$7,IF(INDEX(_xlfn.VSTACK(YES_Writing_ELA[#Data],YES_Writing_FLA[#Data]),MATCH($A122,_xlfn.VSTACK(YES_Writing_ELA[Student Number],YES_Writing_FLA[Student Number]),0),MATCH(VLOOKUP(G$7,'Writing Logic'!$J$7:$K$11,2,FALSE)&amp;" - Per "&amp;VLOOKUP($C$4,'Writing Logic'!$G$8:$H$14,2,FALSE),YES_Writing_ELA[#Headers],0))=0,"",INDEX(_xlfn.VSTACK(YES_Writing_ELA[#Data],YES_Writing_FLA[#Data]),MATCH($A122,_xlfn.VSTACK(YES_Writing_ELA[Student Number],YES_Writing_FLA[Student Number]),0),MATCH(VLOOKUP(G$7,'Writing Logic'!$J$7:$K$11,2,FALSE)&amp;" - Per "&amp;VLOOKUP($C$4,'Writing Logic'!$G$8:$H$14,2,FALSE),YES_Writing_ELA[#Headers],0)))),"")</f>
        <v/>
      </c>
      <c r="H122" s="223" t="str">
        <f>IFERROR(IF(IF(INDEX(_xlfn.VSTACK(YES_Writing_ELA[#Data],YES_Writing_FLA[#Data]),MATCH($A122,_xlfn.VSTACK(YES_Writing_ELA[Student Number],YES_Writing_FLA[Student Number]),0),MATCH(VLOOKUP(H$7,'Writing Logic'!$J$7:$K$11,2,FALSE)&amp;" - Per "&amp;VLOOKUP($C$4,'Writing Logic'!$G$8:$H$14,2,FALSE),YES_Writing_ELA[#Headers],0))=0,"",INDEX(_xlfn.VSTACK(YES_Writing_ELA[#Data],YES_Writing_FLA[#Data]),MATCH($A122,_xlfn.VSTACK(YES_Writing_ELA[Student Number],YES_Writing_FLA[Student Number]),0),MATCH(VLOOKUP(H$7,'Writing Logic'!$J$7:$K$11,2,FALSE)&amp;" - Per "&amp;VLOOKUP($C$4,'Writing Logic'!$G$8:$H$14,2,FALSE),YES_Writing_ELA[#Headers],0)))="INS",'Writing Logic'!$B$7,IF(INDEX(_xlfn.VSTACK(YES_Writing_ELA[#Data],YES_Writing_FLA[#Data]),MATCH($A122,_xlfn.VSTACK(YES_Writing_ELA[Student Number],YES_Writing_FLA[Student Number]),0),MATCH(VLOOKUP(H$7,'Writing Logic'!$J$7:$K$11,2,FALSE)&amp;" - Per "&amp;VLOOKUP($C$4,'Writing Logic'!$G$8:$H$14,2,FALSE),YES_Writing_ELA[#Headers],0))=0,"",INDEX(_xlfn.VSTACK(YES_Writing_ELA[#Data],YES_Writing_FLA[#Data]),MATCH($A122,_xlfn.VSTACK(YES_Writing_ELA[Student Number],YES_Writing_FLA[Student Number]),0),MATCH(VLOOKUP(H$7,'Writing Logic'!$J$7:$K$11,2,FALSE)&amp;" - Per "&amp;VLOOKUP($C$4,'Writing Logic'!$G$8:$H$14,2,FALSE),YES_Writing_ELA[#Headers],0)))),"")</f>
        <v/>
      </c>
      <c r="I122" s="224" t="str" cm="1">
        <f t="array" aca="1" ref="I122" ca="1">IFERROR(
IF($G$3="ELA",
IF(VLOOKUP($A122, YES_Reading_ELA[], COLUMN(INDIRECT("YES_Reading_ELA[Difference - Per "&amp;VLOOKUP($G$4, 'Reading Report Logic'!$A$2:$B$8, 2, FALSE)&amp;"]")), FALSE)="", "",
VLOOKUP($A122,YES_Reading_ELA[], COLUMN(INDIRECT("YES_Reading_ELA[Difference - Per "&amp;VLOOKUP($G$4,'Reading Report Logic'!$A$2:$B$8,2,FALSE)&amp;"]")), FALSE)),
IF($G$3="FLA",
IF(VLOOKUP($A122, YES_Reading_FLA[], COLUMN(INDIRECT("YES_Reading_FLA[Difference - Per "&amp;VLOOKUP($G$4,'Reading Report Logic'!$A$2:$B$8,2,FALSE)&amp;"]")),FALSE)="","",
VLOOKUP($A122,YES_Reading_FLA[],COLUMN(INDIRECT("YES_Reading_FLA[Difference - Per "&amp;VLOOKUP($G$4,'Reading Report Logic'!$A$2:$B$8,2,FALSE)&amp;"]")),FALSE)),
IF($G$3="Combined",
IFERROR(
IF(VLOOKUP($A122, YES_Reading_ELA[], COLUMN(INDIRECT("YES_Reading_ELA[Difference - Per "&amp;VLOOKUP($G$4, 'Reading Report Logic'!$A$2:$B$8,2,FALSE)&amp;"]")), FALSE)="", "",
VLOOKUP($A122,YES_Reading_ELA[],COLUMN(INDIRECT("YES_Reading_ELA[Difference - Per "&amp;VLOOKUP($G$4,'Reading Report Logic'!$A$2:$B$8,2,FALSE)&amp;"]")),FALSE)),
IF(VLOOKUP($A122, YES_Reading_FLA[], COLUMN(INDIRECT("YES_Reading_FLA[Difference - Per "&amp;VLOOKUP($G$4, 'Reading Report Logic'!$A$2:$B$8, 2, FALSE)&amp;"]")),FALSE)="", "", VLOOKUP($A122,YES_Reading_FLA[],COLUMN(INDIRECT("YES_Reading_FLA[Difference - Per "&amp;VLOOKUP($G$4, 'Reading Report Logic'!$A$2:$B$8, 2, FALSE)&amp;"]")),FALSE))),""))),"")</f>
        <v/>
      </c>
    </row>
    <row r="123" spans="1:9" ht="14.25" customHeight="1" x14ac:dyDescent="0.25">
      <c r="A123" s="137"/>
      <c r="B123" s="137" t="str">
        <f>IFERROR(INDEX(_xlfn.VSTACK(YES_Writing_ELA[#Data], YES_Writing_FLA[#Data]),MATCH($A123,_xlfn.VSTACK(YES_Writing_ELA[Student Number], YES_Writing_FLA[Student Number]),0),MATCH(B$7,YES_Writing_ELA[#Headers],0)),IFERROR(INDEX(_xlfn.VSTACK(YES_Reading_ELA[#Data], YES_Reading_FLA[#Data]),MATCH($A123,_xlfn.VSTACK(YES_Reading_ELA[Student Number], YES_Reading_FLA[Student Number]),0),MATCH(B$7,YES_Reading_ELA[#Headers],0)),""))</f>
        <v/>
      </c>
      <c r="C123" s="137" t="str">
        <f>IFERROR(INDEX(_xlfn.VSTACK(YES_Writing_ELA[#Data], YES_Writing_FLA[#Data]),MATCH($A123,_xlfn.VSTACK(YES_Writing_ELA[Student Number], YES_Writing_FLA[Student Number]),0),MATCH(C$7,YES_Writing_ELA[#Headers],0)),IFERROR(INDEX(_xlfn.VSTACK(YES_Reading_ELA[#Data], YES_Reading_FLA[#Data]),MATCH($A123,_xlfn.VSTACK(YES_Reading_ELA[Student Number], YES_Reading_FLA[Student Number]),0),MATCH(C$7,YES_Reading_ELA[#Headers],0)),""))</f>
        <v/>
      </c>
      <c r="D123" s="138" t="str">
        <f>IFERROR(IF(IF(INDEX(_xlfn.VSTACK(YES_Writing_ELA[#Data],YES_Writing_FLA[#Data]),MATCH($A123,_xlfn.VSTACK(YES_Writing_ELA[Student Number],YES_Writing_FLA[Student Number]),0),MATCH(VLOOKUP(D$7,'Writing Logic'!$J$7:$K$11,2,FALSE)&amp;" - Per "&amp;VLOOKUP($C$4,'Writing Logic'!$G$8:$H$14,2,FALSE),YES_Writing_ELA[#Headers],0))=0,"",INDEX(_xlfn.VSTACK(YES_Writing_ELA[#Data],YES_Writing_FLA[#Data]),MATCH($A123,_xlfn.VSTACK(YES_Writing_ELA[Student Number],YES_Writing_FLA[Student Number]),0),MATCH(VLOOKUP(D$7,'Writing Logic'!$J$7:$K$11,2,FALSE)&amp;" - Per "&amp;VLOOKUP($C$4,'Writing Logic'!$G$8:$H$14,2,FALSE),YES_Writing_ELA[#Headers],0)))="INS",'Writing Logic'!$B$7,IF(INDEX(_xlfn.VSTACK(YES_Writing_ELA[#Data],YES_Writing_FLA[#Data]),MATCH($A123,_xlfn.VSTACK(YES_Writing_ELA[Student Number],YES_Writing_FLA[Student Number]),0),MATCH(VLOOKUP(D$7,'Writing Logic'!$J$7:$K$11,2,FALSE)&amp;" - Per "&amp;VLOOKUP($C$4,'Writing Logic'!$G$8:$H$14,2,FALSE),YES_Writing_ELA[#Headers],0))=0,"",INDEX(_xlfn.VSTACK(YES_Writing_ELA[#Data],YES_Writing_FLA[#Data]),MATCH($A123,_xlfn.VSTACK(YES_Writing_ELA[Student Number],YES_Writing_FLA[Student Number]),0),MATCH(VLOOKUP(D$7,'Writing Logic'!$J$7:$K$11,2,FALSE)&amp;" - Per "&amp;VLOOKUP($C$4,'Writing Logic'!$G$8:$H$14,2,FALSE),YES_Writing_ELA[#Headers],0)))),"")</f>
        <v/>
      </c>
      <c r="E123" s="138" t="str">
        <f>IFERROR(IF(IF(INDEX(_xlfn.VSTACK(YES_Writing_ELA[#Data],YES_Writing_FLA[#Data]),MATCH($A123,_xlfn.VSTACK(YES_Writing_ELA[Student Number],YES_Writing_FLA[Student Number]),0),MATCH(VLOOKUP(E$7,'Writing Logic'!$J$7:$K$11,2,FALSE)&amp;" - Per "&amp;VLOOKUP($C$4,'Writing Logic'!$G$8:$H$14,2,FALSE),YES_Writing_ELA[#Headers],0))=0,"",INDEX(_xlfn.VSTACK(YES_Writing_ELA[#Data],YES_Writing_FLA[#Data]),MATCH($A123,_xlfn.VSTACK(YES_Writing_ELA[Student Number],YES_Writing_FLA[Student Number]),0),MATCH(VLOOKUP(E$7,'Writing Logic'!$J$7:$K$11,2,FALSE)&amp;" - Per "&amp;VLOOKUP($C$4,'Writing Logic'!$G$8:$H$14,2,FALSE),YES_Writing_ELA[#Headers],0)))="INS",'Writing Logic'!$B$7,IF(INDEX(_xlfn.VSTACK(YES_Writing_ELA[#Data],YES_Writing_FLA[#Data]),MATCH($A123,_xlfn.VSTACK(YES_Writing_ELA[Student Number],YES_Writing_FLA[Student Number]),0),MATCH(VLOOKUP(E$7,'Writing Logic'!$J$7:$K$11,2,FALSE)&amp;" - Per "&amp;VLOOKUP($C$4,'Writing Logic'!$G$8:$H$14,2,FALSE),YES_Writing_ELA[#Headers],0))=0,"",INDEX(_xlfn.VSTACK(YES_Writing_ELA[#Data],YES_Writing_FLA[#Data]),MATCH($A123,_xlfn.VSTACK(YES_Writing_ELA[Student Number],YES_Writing_FLA[Student Number]),0),MATCH(VLOOKUP(E$7,'Writing Logic'!$J$7:$K$11,2,FALSE)&amp;" - Per "&amp;VLOOKUP($C$4,'Writing Logic'!$G$8:$H$14,2,FALSE),YES_Writing_ELA[#Headers],0)))),"")</f>
        <v/>
      </c>
      <c r="F123" s="138" t="str">
        <f>IFERROR(IF(IF(INDEX(_xlfn.VSTACK(YES_Writing_ELA[#Data],YES_Writing_FLA[#Data]),MATCH($A123,_xlfn.VSTACK(YES_Writing_ELA[Student Number],YES_Writing_FLA[Student Number]),0),MATCH(VLOOKUP(F$7,'Writing Logic'!$J$7:$K$11,2,FALSE)&amp;" - Per "&amp;VLOOKUP($C$4,'Writing Logic'!$G$8:$H$14,2,FALSE),YES_Writing_ELA[#Headers],0))=0,"",INDEX(_xlfn.VSTACK(YES_Writing_ELA[#Data],YES_Writing_FLA[#Data]),MATCH($A123,_xlfn.VSTACK(YES_Writing_ELA[Student Number],YES_Writing_FLA[Student Number]),0),MATCH(VLOOKUP(F$7,'Writing Logic'!$J$7:$K$11,2,FALSE)&amp;" - Per "&amp;VLOOKUP($C$4,'Writing Logic'!$G$8:$H$14,2,FALSE),YES_Writing_ELA[#Headers],0)))="INS",'Writing Logic'!$B$7,IF(INDEX(_xlfn.VSTACK(YES_Writing_ELA[#Data],YES_Writing_FLA[#Data]),MATCH($A123,_xlfn.VSTACK(YES_Writing_ELA[Student Number],YES_Writing_FLA[Student Number]),0),MATCH(VLOOKUP(F$7,'Writing Logic'!$J$7:$K$11,2,FALSE)&amp;" - Per "&amp;VLOOKUP($C$4,'Writing Logic'!$G$8:$H$14,2,FALSE),YES_Writing_ELA[#Headers],0))=0,"",INDEX(_xlfn.VSTACK(YES_Writing_ELA[#Data],YES_Writing_FLA[#Data]),MATCH($A123,_xlfn.VSTACK(YES_Writing_ELA[Student Number],YES_Writing_FLA[Student Number]),0),MATCH(VLOOKUP(F$7,'Writing Logic'!$J$7:$K$11,2,FALSE)&amp;" - Per "&amp;VLOOKUP($C$4,'Writing Logic'!$G$8:$H$14,2,FALSE),YES_Writing_ELA[#Headers],0)))),"")</f>
        <v/>
      </c>
      <c r="G123" s="138" t="str">
        <f>IFERROR(IF(IF(INDEX(_xlfn.VSTACK(YES_Writing_ELA[#Data],YES_Writing_FLA[#Data]),MATCH($A123,_xlfn.VSTACK(YES_Writing_ELA[Student Number],YES_Writing_FLA[Student Number]),0),MATCH(VLOOKUP(G$7,'Writing Logic'!$J$7:$K$11,2,FALSE)&amp;" - Per "&amp;VLOOKUP($C$4,'Writing Logic'!$G$8:$H$14,2,FALSE),YES_Writing_ELA[#Headers],0))=0,"",INDEX(_xlfn.VSTACK(YES_Writing_ELA[#Data],YES_Writing_FLA[#Data]),MATCH($A123,_xlfn.VSTACK(YES_Writing_ELA[Student Number],YES_Writing_FLA[Student Number]),0),MATCH(VLOOKUP(G$7,'Writing Logic'!$J$7:$K$11,2,FALSE)&amp;" - Per "&amp;VLOOKUP($C$4,'Writing Logic'!$G$8:$H$14,2,FALSE),YES_Writing_ELA[#Headers],0)))="INS",'Writing Logic'!$B$7,IF(INDEX(_xlfn.VSTACK(YES_Writing_ELA[#Data],YES_Writing_FLA[#Data]),MATCH($A123,_xlfn.VSTACK(YES_Writing_ELA[Student Number],YES_Writing_FLA[Student Number]),0),MATCH(VLOOKUP(G$7,'Writing Logic'!$J$7:$K$11,2,FALSE)&amp;" - Per "&amp;VLOOKUP($C$4,'Writing Logic'!$G$8:$H$14,2,FALSE),YES_Writing_ELA[#Headers],0))=0,"",INDEX(_xlfn.VSTACK(YES_Writing_ELA[#Data],YES_Writing_FLA[#Data]),MATCH($A123,_xlfn.VSTACK(YES_Writing_ELA[Student Number],YES_Writing_FLA[Student Number]),0),MATCH(VLOOKUP(G$7,'Writing Logic'!$J$7:$K$11,2,FALSE)&amp;" - Per "&amp;VLOOKUP($C$4,'Writing Logic'!$G$8:$H$14,2,FALSE),YES_Writing_ELA[#Headers],0)))),"")</f>
        <v/>
      </c>
      <c r="H123" s="223" t="str">
        <f>IFERROR(IF(IF(INDEX(_xlfn.VSTACK(YES_Writing_ELA[#Data],YES_Writing_FLA[#Data]),MATCH($A123,_xlfn.VSTACK(YES_Writing_ELA[Student Number],YES_Writing_FLA[Student Number]),0),MATCH(VLOOKUP(H$7,'Writing Logic'!$J$7:$K$11,2,FALSE)&amp;" - Per "&amp;VLOOKUP($C$4,'Writing Logic'!$G$8:$H$14,2,FALSE),YES_Writing_ELA[#Headers],0))=0,"",INDEX(_xlfn.VSTACK(YES_Writing_ELA[#Data],YES_Writing_FLA[#Data]),MATCH($A123,_xlfn.VSTACK(YES_Writing_ELA[Student Number],YES_Writing_FLA[Student Number]),0),MATCH(VLOOKUP(H$7,'Writing Logic'!$J$7:$K$11,2,FALSE)&amp;" - Per "&amp;VLOOKUP($C$4,'Writing Logic'!$G$8:$H$14,2,FALSE),YES_Writing_ELA[#Headers],0)))="INS",'Writing Logic'!$B$7,IF(INDEX(_xlfn.VSTACK(YES_Writing_ELA[#Data],YES_Writing_FLA[#Data]),MATCH($A123,_xlfn.VSTACK(YES_Writing_ELA[Student Number],YES_Writing_FLA[Student Number]),0),MATCH(VLOOKUP(H$7,'Writing Logic'!$J$7:$K$11,2,FALSE)&amp;" - Per "&amp;VLOOKUP($C$4,'Writing Logic'!$G$8:$H$14,2,FALSE),YES_Writing_ELA[#Headers],0))=0,"",INDEX(_xlfn.VSTACK(YES_Writing_ELA[#Data],YES_Writing_FLA[#Data]),MATCH($A123,_xlfn.VSTACK(YES_Writing_ELA[Student Number],YES_Writing_FLA[Student Number]),0),MATCH(VLOOKUP(H$7,'Writing Logic'!$J$7:$K$11,2,FALSE)&amp;" - Per "&amp;VLOOKUP($C$4,'Writing Logic'!$G$8:$H$14,2,FALSE),YES_Writing_ELA[#Headers],0)))),"")</f>
        <v/>
      </c>
      <c r="I123" s="224" t="str" cm="1">
        <f t="array" aca="1" ref="I123" ca="1">IFERROR(
IF($G$3="ELA",
IF(VLOOKUP($A123, YES_Reading_ELA[], COLUMN(INDIRECT("YES_Reading_ELA[Difference - Per "&amp;VLOOKUP($G$4, 'Reading Report Logic'!$A$2:$B$8, 2, FALSE)&amp;"]")), FALSE)="", "",
VLOOKUP($A123,YES_Reading_ELA[], COLUMN(INDIRECT("YES_Reading_ELA[Difference - Per "&amp;VLOOKUP($G$4,'Reading Report Logic'!$A$2:$B$8,2,FALSE)&amp;"]")), FALSE)),
IF($G$3="FLA",
IF(VLOOKUP($A123, YES_Reading_FLA[], COLUMN(INDIRECT("YES_Reading_FLA[Difference - Per "&amp;VLOOKUP($G$4,'Reading Report Logic'!$A$2:$B$8,2,FALSE)&amp;"]")),FALSE)="","",
VLOOKUP($A123,YES_Reading_FLA[],COLUMN(INDIRECT("YES_Reading_FLA[Difference - Per "&amp;VLOOKUP($G$4,'Reading Report Logic'!$A$2:$B$8,2,FALSE)&amp;"]")),FALSE)),
IF($G$3="Combined",
IFERROR(
IF(VLOOKUP($A123, YES_Reading_ELA[], COLUMN(INDIRECT("YES_Reading_ELA[Difference - Per "&amp;VLOOKUP($G$4, 'Reading Report Logic'!$A$2:$B$8,2,FALSE)&amp;"]")), FALSE)="", "",
VLOOKUP($A123,YES_Reading_ELA[],COLUMN(INDIRECT("YES_Reading_ELA[Difference - Per "&amp;VLOOKUP($G$4,'Reading Report Logic'!$A$2:$B$8,2,FALSE)&amp;"]")),FALSE)),
IF(VLOOKUP($A123, YES_Reading_FLA[], COLUMN(INDIRECT("YES_Reading_FLA[Difference - Per "&amp;VLOOKUP($G$4, 'Reading Report Logic'!$A$2:$B$8, 2, FALSE)&amp;"]")),FALSE)="", "", VLOOKUP($A123,YES_Reading_FLA[],COLUMN(INDIRECT("YES_Reading_FLA[Difference - Per "&amp;VLOOKUP($G$4, 'Reading Report Logic'!$A$2:$B$8, 2, FALSE)&amp;"]")),FALSE))),""))),"")</f>
        <v/>
      </c>
    </row>
    <row r="124" spans="1:9" ht="14.25" customHeight="1" x14ac:dyDescent="0.25">
      <c r="A124" s="137"/>
      <c r="B124" s="137" t="str">
        <f>IFERROR(INDEX(_xlfn.VSTACK(YES_Writing_ELA[#Data], YES_Writing_FLA[#Data]),MATCH($A124,_xlfn.VSTACK(YES_Writing_ELA[Student Number], YES_Writing_FLA[Student Number]),0),MATCH(B$7,YES_Writing_ELA[#Headers],0)),IFERROR(INDEX(_xlfn.VSTACK(YES_Reading_ELA[#Data], YES_Reading_FLA[#Data]),MATCH($A124,_xlfn.VSTACK(YES_Reading_ELA[Student Number], YES_Reading_FLA[Student Number]),0),MATCH(B$7,YES_Reading_ELA[#Headers],0)),""))</f>
        <v/>
      </c>
      <c r="C124" s="137" t="str">
        <f>IFERROR(INDEX(_xlfn.VSTACK(YES_Writing_ELA[#Data], YES_Writing_FLA[#Data]),MATCH($A124,_xlfn.VSTACK(YES_Writing_ELA[Student Number], YES_Writing_FLA[Student Number]),0),MATCH(C$7,YES_Writing_ELA[#Headers],0)),IFERROR(INDEX(_xlfn.VSTACK(YES_Reading_ELA[#Data], YES_Reading_FLA[#Data]),MATCH($A124,_xlfn.VSTACK(YES_Reading_ELA[Student Number], YES_Reading_FLA[Student Number]),0),MATCH(C$7,YES_Reading_ELA[#Headers],0)),""))</f>
        <v/>
      </c>
      <c r="D124" s="138" t="str">
        <f>IFERROR(IF(IF(INDEX(_xlfn.VSTACK(YES_Writing_ELA[#Data],YES_Writing_FLA[#Data]),MATCH($A124,_xlfn.VSTACK(YES_Writing_ELA[Student Number],YES_Writing_FLA[Student Number]),0),MATCH(VLOOKUP(D$7,'Writing Logic'!$J$7:$K$11,2,FALSE)&amp;" - Per "&amp;VLOOKUP($C$4,'Writing Logic'!$G$8:$H$14,2,FALSE),YES_Writing_ELA[#Headers],0))=0,"",INDEX(_xlfn.VSTACK(YES_Writing_ELA[#Data],YES_Writing_FLA[#Data]),MATCH($A124,_xlfn.VSTACK(YES_Writing_ELA[Student Number],YES_Writing_FLA[Student Number]),0),MATCH(VLOOKUP(D$7,'Writing Logic'!$J$7:$K$11,2,FALSE)&amp;" - Per "&amp;VLOOKUP($C$4,'Writing Logic'!$G$8:$H$14,2,FALSE),YES_Writing_ELA[#Headers],0)))="INS",'Writing Logic'!$B$7,IF(INDEX(_xlfn.VSTACK(YES_Writing_ELA[#Data],YES_Writing_FLA[#Data]),MATCH($A124,_xlfn.VSTACK(YES_Writing_ELA[Student Number],YES_Writing_FLA[Student Number]),0),MATCH(VLOOKUP(D$7,'Writing Logic'!$J$7:$K$11,2,FALSE)&amp;" - Per "&amp;VLOOKUP($C$4,'Writing Logic'!$G$8:$H$14,2,FALSE),YES_Writing_ELA[#Headers],0))=0,"",INDEX(_xlfn.VSTACK(YES_Writing_ELA[#Data],YES_Writing_FLA[#Data]),MATCH($A124,_xlfn.VSTACK(YES_Writing_ELA[Student Number],YES_Writing_FLA[Student Number]),0),MATCH(VLOOKUP(D$7,'Writing Logic'!$J$7:$K$11,2,FALSE)&amp;" - Per "&amp;VLOOKUP($C$4,'Writing Logic'!$G$8:$H$14,2,FALSE),YES_Writing_ELA[#Headers],0)))),"")</f>
        <v/>
      </c>
      <c r="E124" s="138" t="str">
        <f>IFERROR(IF(IF(INDEX(_xlfn.VSTACK(YES_Writing_ELA[#Data],YES_Writing_FLA[#Data]),MATCH($A124,_xlfn.VSTACK(YES_Writing_ELA[Student Number],YES_Writing_FLA[Student Number]),0),MATCH(VLOOKUP(E$7,'Writing Logic'!$J$7:$K$11,2,FALSE)&amp;" - Per "&amp;VLOOKUP($C$4,'Writing Logic'!$G$8:$H$14,2,FALSE),YES_Writing_ELA[#Headers],0))=0,"",INDEX(_xlfn.VSTACK(YES_Writing_ELA[#Data],YES_Writing_FLA[#Data]),MATCH($A124,_xlfn.VSTACK(YES_Writing_ELA[Student Number],YES_Writing_FLA[Student Number]),0),MATCH(VLOOKUP(E$7,'Writing Logic'!$J$7:$K$11,2,FALSE)&amp;" - Per "&amp;VLOOKUP($C$4,'Writing Logic'!$G$8:$H$14,2,FALSE),YES_Writing_ELA[#Headers],0)))="INS",'Writing Logic'!$B$7,IF(INDEX(_xlfn.VSTACK(YES_Writing_ELA[#Data],YES_Writing_FLA[#Data]),MATCH($A124,_xlfn.VSTACK(YES_Writing_ELA[Student Number],YES_Writing_FLA[Student Number]),0),MATCH(VLOOKUP(E$7,'Writing Logic'!$J$7:$K$11,2,FALSE)&amp;" - Per "&amp;VLOOKUP($C$4,'Writing Logic'!$G$8:$H$14,2,FALSE),YES_Writing_ELA[#Headers],0))=0,"",INDEX(_xlfn.VSTACK(YES_Writing_ELA[#Data],YES_Writing_FLA[#Data]),MATCH($A124,_xlfn.VSTACK(YES_Writing_ELA[Student Number],YES_Writing_FLA[Student Number]),0),MATCH(VLOOKUP(E$7,'Writing Logic'!$J$7:$K$11,2,FALSE)&amp;" - Per "&amp;VLOOKUP($C$4,'Writing Logic'!$G$8:$H$14,2,FALSE),YES_Writing_ELA[#Headers],0)))),"")</f>
        <v/>
      </c>
      <c r="F124" s="138" t="str">
        <f>IFERROR(IF(IF(INDEX(_xlfn.VSTACK(YES_Writing_ELA[#Data],YES_Writing_FLA[#Data]),MATCH($A124,_xlfn.VSTACK(YES_Writing_ELA[Student Number],YES_Writing_FLA[Student Number]),0),MATCH(VLOOKUP(F$7,'Writing Logic'!$J$7:$K$11,2,FALSE)&amp;" - Per "&amp;VLOOKUP($C$4,'Writing Logic'!$G$8:$H$14,2,FALSE),YES_Writing_ELA[#Headers],0))=0,"",INDEX(_xlfn.VSTACK(YES_Writing_ELA[#Data],YES_Writing_FLA[#Data]),MATCH($A124,_xlfn.VSTACK(YES_Writing_ELA[Student Number],YES_Writing_FLA[Student Number]),0),MATCH(VLOOKUP(F$7,'Writing Logic'!$J$7:$K$11,2,FALSE)&amp;" - Per "&amp;VLOOKUP($C$4,'Writing Logic'!$G$8:$H$14,2,FALSE),YES_Writing_ELA[#Headers],0)))="INS",'Writing Logic'!$B$7,IF(INDEX(_xlfn.VSTACK(YES_Writing_ELA[#Data],YES_Writing_FLA[#Data]),MATCH($A124,_xlfn.VSTACK(YES_Writing_ELA[Student Number],YES_Writing_FLA[Student Number]),0),MATCH(VLOOKUP(F$7,'Writing Logic'!$J$7:$K$11,2,FALSE)&amp;" - Per "&amp;VLOOKUP($C$4,'Writing Logic'!$G$8:$H$14,2,FALSE),YES_Writing_ELA[#Headers],0))=0,"",INDEX(_xlfn.VSTACK(YES_Writing_ELA[#Data],YES_Writing_FLA[#Data]),MATCH($A124,_xlfn.VSTACK(YES_Writing_ELA[Student Number],YES_Writing_FLA[Student Number]),0),MATCH(VLOOKUP(F$7,'Writing Logic'!$J$7:$K$11,2,FALSE)&amp;" - Per "&amp;VLOOKUP($C$4,'Writing Logic'!$G$8:$H$14,2,FALSE),YES_Writing_ELA[#Headers],0)))),"")</f>
        <v/>
      </c>
      <c r="G124" s="138" t="str">
        <f>IFERROR(IF(IF(INDEX(_xlfn.VSTACK(YES_Writing_ELA[#Data],YES_Writing_FLA[#Data]),MATCH($A124,_xlfn.VSTACK(YES_Writing_ELA[Student Number],YES_Writing_FLA[Student Number]),0),MATCH(VLOOKUP(G$7,'Writing Logic'!$J$7:$K$11,2,FALSE)&amp;" - Per "&amp;VLOOKUP($C$4,'Writing Logic'!$G$8:$H$14,2,FALSE),YES_Writing_ELA[#Headers],0))=0,"",INDEX(_xlfn.VSTACK(YES_Writing_ELA[#Data],YES_Writing_FLA[#Data]),MATCH($A124,_xlfn.VSTACK(YES_Writing_ELA[Student Number],YES_Writing_FLA[Student Number]),0),MATCH(VLOOKUP(G$7,'Writing Logic'!$J$7:$K$11,2,FALSE)&amp;" - Per "&amp;VLOOKUP($C$4,'Writing Logic'!$G$8:$H$14,2,FALSE),YES_Writing_ELA[#Headers],0)))="INS",'Writing Logic'!$B$7,IF(INDEX(_xlfn.VSTACK(YES_Writing_ELA[#Data],YES_Writing_FLA[#Data]),MATCH($A124,_xlfn.VSTACK(YES_Writing_ELA[Student Number],YES_Writing_FLA[Student Number]),0),MATCH(VLOOKUP(G$7,'Writing Logic'!$J$7:$K$11,2,FALSE)&amp;" - Per "&amp;VLOOKUP($C$4,'Writing Logic'!$G$8:$H$14,2,FALSE),YES_Writing_ELA[#Headers],0))=0,"",INDEX(_xlfn.VSTACK(YES_Writing_ELA[#Data],YES_Writing_FLA[#Data]),MATCH($A124,_xlfn.VSTACK(YES_Writing_ELA[Student Number],YES_Writing_FLA[Student Number]),0),MATCH(VLOOKUP(G$7,'Writing Logic'!$J$7:$K$11,2,FALSE)&amp;" - Per "&amp;VLOOKUP($C$4,'Writing Logic'!$G$8:$H$14,2,FALSE),YES_Writing_ELA[#Headers],0)))),"")</f>
        <v/>
      </c>
      <c r="H124" s="223" t="str">
        <f>IFERROR(IF(IF(INDEX(_xlfn.VSTACK(YES_Writing_ELA[#Data],YES_Writing_FLA[#Data]),MATCH($A124,_xlfn.VSTACK(YES_Writing_ELA[Student Number],YES_Writing_FLA[Student Number]),0),MATCH(VLOOKUP(H$7,'Writing Logic'!$J$7:$K$11,2,FALSE)&amp;" - Per "&amp;VLOOKUP($C$4,'Writing Logic'!$G$8:$H$14,2,FALSE),YES_Writing_ELA[#Headers],0))=0,"",INDEX(_xlfn.VSTACK(YES_Writing_ELA[#Data],YES_Writing_FLA[#Data]),MATCH($A124,_xlfn.VSTACK(YES_Writing_ELA[Student Number],YES_Writing_FLA[Student Number]),0),MATCH(VLOOKUP(H$7,'Writing Logic'!$J$7:$K$11,2,FALSE)&amp;" - Per "&amp;VLOOKUP($C$4,'Writing Logic'!$G$8:$H$14,2,FALSE),YES_Writing_ELA[#Headers],0)))="INS",'Writing Logic'!$B$7,IF(INDEX(_xlfn.VSTACK(YES_Writing_ELA[#Data],YES_Writing_FLA[#Data]),MATCH($A124,_xlfn.VSTACK(YES_Writing_ELA[Student Number],YES_Writing_FLA[Student Number]),0),MATCH(VLOOKUP(H$7,'Writing Logic'!$J$7:$K$11,2,FALSE)&amp;" - Per "&amp;VLOOKUP($C$4,'Writing Logic'!$G$8:$H$14,2,FALSE),YES_Writing_ELA[#Headers],0))=0,"",INDEX(_xlfn.VSTACK(YES_Writing_ELA[#Data],YES_Writing_FLA[#Data]),MATCH($A124,_xlfn.VSTACK(YES_Writing_ELA[Student Number],YES_Writing_FLA[Student Number]),0),MATCH(VLOOKUP(H$7,'Writing Logic'!$J$7:$K$11,2,FALSE)&amp;" - Per "&amp;VLOOKUP($C$4,'Writing Logic'!$G$8:$H$14,2,FALSE),YES_Writing_ELA[#Headers],0)))),"")</f>
        <v/>
      </c>
      <c r="I124" s="224" t="str" cm="1">
        <f t="array" aca="1" ref="I124" ca="1">IFERROR(
IF($G$3="ELA",
IF(VLOOKUP($A124, YES_Reading_ELA[], COLUMN(INDIRECT("YES_Reading_ELA[Difference - Per "&amp;VLOOKUP($G$4, 'Reading Report Logic'!$A$2:$B$8, 2, FALSE)&amp;"]")), FALSE)="", "",
VLOOKUP($A124,YES_Reading_ELA[], COLUMN(INDIRECT("YES_Reading_ELA[Difference - Per "&amp;VLOOKUP($G$4,'Reading Report Logic'!$A$2:$B$8,2,FALSE)&amp;"]")), FALSE)),
IF($G$3="FLA",
IF(VLOOKUP($A124, YES_Reading_FLA[], COLUMN(INDIRECT("YES_Reading_FLA[Difference - Per "&amp;VLOOKUP($G$4,'Reading Report Logic'!$A$2:$B$8,2,FALSE)&amp;"]")),FALSE)="","",
VLOOKUP($A124,YES_Reading_FLA[],COLUMN(INDIRECT("YES_Reading_FLA[Difference - Per "&amp;VLOOKUP($G$4,'Reading Report Logic'!$A$2:$B$8,2,FALSE)&amp;"]")),FALSE)),
IF($G$3="Combined",
IFERROR(
IF(VLOOKUP($A124, YES_Reading_ELA[], COLUMN(INDIRECT("YES_Reading_ELA[Difference - Per "&amp;VLOOKUP($G$4, 'Reading Report Logic'!$A$2:$B$8,2,FALSE)&amp;"]")), FALSE)="", "",
VLOOKUP($A124,YES_Reading_ELA[],COLUMN(INDIRECT("YES_Reading_ELA[Difference - Per "&amp;VLOOKUP($G$4,'Reading Report Logic'!$A$2:$B$8,2,FALSE)&amp;"]")),FALSE)),
IF(VLOOKUP($A124, YES_Reading_FLA[], COLUMN(INDIRECT("YES_Reading_FLA[Difference - Per "&amp;VLOOKUP($G$4, 'Reading Report Logic'!$A$2:$B$8, 2, FALSE)&amp;"]")),FALSE)="", "", VLOOKUP($A124,YES_Reading_FLA[],COLUMN(INDIRECT("YES_Reading_FLA[Difference - Per "&amp;VLOOKUP($G$4, 'Reading Report Logic'!$A$2:$B$8, 2, FALSE)&amp;"]")),FALSE))),""))),"")</f>
        <v/>
      </c>
    </row>
    <row r="125" spans="1:9" ht="14.25" customHeight="1" x14ac:dyDescent="0.25">
      <c r="A125" s="137"/>
      <c r="B125" s="137" t="str">
        <f>IFERROR(INDEX(_xlfn.VSTACK(YES_Writing_ELA[#Data], YES_Writing_FLA[#Data]),MATCH($A125,_xlfn.VSTACK(YES_Writing_ELA[Student Number], YES_Writing_FLA[Student Number]),0),MATCH(B$7,YES_Writing_ELA[#Headers],0)),IFERROR(INDEX(_xlfn.VSTACK(YES_Reading_ELA[#Data], YES_Reading_FLA[#Data]),MATCH($A125,_xlfn.VSTACK(YES_Reading_ELA[Student Number], YES_Reading_FLA[Student Number]),0),MATCH(B$7,YES_Reading_ELA[#Headers],0)),""))</f>
        <v/>
      </c>
      <c r="C125" s="137" t="str">
        <f>IFERROR(INDEX(_xlfn.VSTACK(YES_Writing_ELA[#Data], YES_Writing_FLA[#Data]),MATCH($A125,_xlfn.VSTACK(YES_Writing_ELA[Student Number], YES_Writing_FLA[Student Number]),0),MATCH(C$7,YES_Writing_ELA[#Headers],0)),IFERROR(INDEX(_xlfn.VSTACK(YES_Reading_ELA[#Data], YES_Reading_FLA[#Data]),MATCH($A125,_xlfn.VSTACK(YES_Reading_ELA[Student Number], YES_Reading_FLA[Student Number]),0),MATCH(C$7,YES_Reading_ELA[#Headers],0)),""))</f>
        <v/>
      </c>
      <c r="D125" s="138" t="str">
        <f>IFERROR(IF(IF(INDEX(_xlfn.VSTACK(YES_Writing_ELA[#Data],YES_Writing_FLA[#Data]),MATCH($A125,_xlfn.VSTACK(YES_Writing_ELA[Student Number],YES_Writing_FLA[Student Number]),0),MATCH(VLOOKUP(D$7,'Writing Logic'!$J$7:$K$11,2,FALSE)&amp;" - Per "&amp;VLOOKUP($C$4,'Writing Logic'!$G$8:$H$14,2,FALSE),YES_Writing_ELA[#Headers],0))=0,"",INDEX(_xlfn.VSTACK(YES_Writing_ELA[#Data],YES_Writing_FLA[#Data]),MATCH($A125,_xlfn.VSTACK(YES_Writing_ELA[Student Number],YES_Writing_FLA[Student Number]),0),MATCH(VLOOKUP(D$7,'Writing Logic'!$J$7:$K$11,2,FALSE)&amp;" - Per "&amp;VLOOKUP($C$4,'Writing Logic'!$G$8:$H$14,2,FALSE),YES_Writing_ELA[#Headers],0)))="INS",'Writing Logic'!$B$7,IF(INDEX(_xlfn.VSTACK(YES_Writing_ELA[#Data],YES_Writing_FLA[#Data]),MATCH($A125,_xlfn.VSTACK(YES_Writing_ELA[Student Number],YES_Writing_FLA[Student Number]),0),MATCH(VLOOKUP(D$7,'Writing Logic'!$J$7:$K$11,2,FALSE)&amp;" - Per "&amp;VLOOKUP($C$4,'Writing Logic'!$G$8:$H$14,2,FALSE),YES_Writing_ELA[#Headers],0))=0,"",INDEX(_xlfn.VSTACK(YES_Writing_ELA[#Data],YES_Writing_FLA[#Data]),MATCH($A125,_xlfn.VSTACK(YES_Writing_ELA[Student Number],YES_Writing_FLA[Student Number]),0),MATCH(VLOOKUP(D$7,'Writing Logic'!$J$7:$K$11,2,FALSE)&amp;" - Per "&amp;VLOOKUP($C$4,'Writing Logic'!$G$8:$H$14,2,FALSE),YES_Writing_ELA[#Headers],0)))),"")</f>
        <v/>
      </c>
      <c r="E125" s="138" t="str">
        <f>IFERROR(IF(IF(INDEX(_xlfn.VSTACK(YES_Writing_ELA[#Data],YES_Writing_FLA[#Data]),MATCH($A125,_xlfn.VSTACK(YES_Writing_ELA[Student Number],YES_Writing_FLA[Student Number]),0),MATCH(VLOOKUP(E$7,'Writing Logic'!$J$7:$K$11,2,FALSE)&amp;" - Per "&amp;VLOOKUP($C$4,'Writing Logic'!$G$8:$H$14,2,FALSE),YES_Writing_ELA[#Headers],0))=0,"",INDEX(_xlfn.VSTACK(YES_Writing_ELA[#Data],YES_Writing_FLA[#Data]),MATCH($A125,_xlfn.VSTACK(YES_Writing_ELA[Student Number],YES_Writing_FLA[Student Number]),0),MATCH(VLOOKUP(E$7,'Writing Logic'!$J$7:$K$11,2,FALSE)&amp;" - Per "&amp;VLOOKUP($C$4,'Writing Logic'!$G$8:$H$14,2,FALSE),YES_Writing_ELA[#Headers],0)))="INS",'Writing Logic'!$B$7,IF(INDEX(_xlfn.VSTACK(YES_Writing_ELA[#Data],YES_Writing_FLA[#Data]),MATCH($A125,_xlfn.VSTACK(YES_Writing_ELA[Student Number],YES_Writing_FLA[Student Number]),0),MATCH(VLOOKUP(E$7,'Writing Logic'!$J$7:$K$11,2,FALSE)&amp;" - Per "&amp;VLOOKUP($C$4,'Writing Logic'!$G$8:$H$14,2,FALSE),YES_Writing_ELA[#Headers],0))=0,"",INDEX(_xlfn.VSTACK(YES_Writing_ELA[#Data],YES_Writing_FLA[#Data]),MATCH($A125,_xlfn.VSTACK(YES_Writing_ELA[Student Number],YES_Writing_FLA[Student Number]),0),MATCH(VLOOKUP(E$7,'Writing Logic'!$J$7:$K$11,2,FALSE)&amp;" - Per "&amp;VLOOKUP($C$4,'Writing Logic'!$G$8:$H$14,2,FALSE),YES_Writing_ELA[#Headers],0)))),"")</f>
        <v/>
      </c>
      <c r="F125" s="138" t="str">
        <f>IFERROR(IF(IF(INDEX(_xlfn.VSTACK(YES_Writing_ELA[#Data],YES_Writing_FLA[#Data]),MATCH($A125,_xlfn.VSTACK(YES_Writing_ELA[Student Number],YES_Writing_FLA[Student Number]),0),MATCH(VLOOKUP(F$7,'Writing Logic'!$J$7:$K$11,2,FALSE)&amp;" - Per "&amp;VLOOKUP($C$4,'Writing Logic'!$G$8:$H$14,2,FALSE),YES_Writing_ELA[#Headers],0))=0,"",INDEX(_xlfn.VSTACK(YES_Writing_ELA[#Data],YES_Writing_FLA[#Data]),MATCH($A125,_xlfn.VSTACK(YES_Writing_ELA[Student Number],YES_Writing_FLA[Student Number]),0),MATCH(VLOOKUP(F$7,'Writing Logic'!$J$7:$K$11,2,FALSE)&amp;" - Per "&amp;VLOOKUP($C$4,'Writing Logic'!$G$8:$H$14,2,FALSE),YES_Writing_ELA[#Headers],0)))="INS",'Writing Logic'!$B$7,IF(INDEX(_xlfn.VSTACK(YES_Writing_ELA[#Data],YES_Writing_FLA[#Data]),MATCH($A125,_xlfn.VSTACK(YES_Writing_ELA[Student Number],YES_Writing_FLA[Student Number]),0),MATCH(VLOOKUP(F$7,'Writing Logic'!$J$7:$K$11,2,FALSE)&amp;" - Per "&amp;VLOOKUP($C$4,'Writing Logic'!$G$8:$H$14,2,FALSE),YES_Writing_ELA[#Headers],0))=0,"",INDEX(_xlfn.VSTACK(YES_Writing_ELA[#Data],YES_Writing_FLA[#Data]),MATCH($A125,_xlfn.VSTACK(YES_Writing_ELA[Student Number],YES_Writing_FLA[Student Number]),0),MATCH(VLOOKUP(F$7,'Writing Logic'!$J$7:$K$11,2,FALSE)&amp;" - Per "&amp;VLOOKUP($C$4,'Writing Logic'!$G$8:$H$14,2,FALSE),YES_Writing_ELA[#Headers],0)))),"")</f>
        <v/>
      </c>
      <c r="G125" s="138" t="str">
        <f>IFERROR(IF(IF(INDEX(_xlfn.VSTACK(YES_Writing_ELA[#Data],YES_Writing_FLA[#Data]),MATCH($A125,_xlfn.VSTACK(YES_Writing_ELA[Student Number],YES_Writing_FLA[Student Number]),0),MATCH(VLOOKUP(G$7,'Writing Logic'!$J$7:$K$11,2,FALSE)&amp;" - Per "&amp;VLOOKUP($C$4,'Writing Logic'!$G$8:$H$14,2,FALSE),YES_Writing_ELA[#Headers],0))=0,"",INDEX(_xlfn.VSTACK(YES_Writing_ELA[#Data],YES_Writing_FLA[#Data]),MATCH($A125,_xlfn.VSTACK(YES_Writing_ELA[Student Number],YES_Writing_FLA[Student Number]),0),MATCH(VLOOKUP(G$7,'Writing Logic'!$J$7:$K$11,2,FALSE)&amp;" - Per "&amp;VLOOKUP($C$4,'Writing Logic'!$G$8:$H$14,2,FALSE),YES_Writing_ELA[#Headers],0)))="INS",'Writing Logic'!$B$7,IF(INDEX(_xlfn.VSTACK(YES_Writing_ELA[#Data],YES_Writing_FLA[#Data]),MATCH($A125,_xlfn.VSTACK(YES_Writing_ELA[Student Number],YES_Writing_FLA[Student Number]),0),MATCH(VLOOKUP(G$7,'Writing Logic'!$J$7:$K$11,2,FALSE)&amp;" - Per "&amp;VLOOKUP($C$4,'Writing Logic'!$G$8:$H$14,2,FALSE),YES_Writing_ELA[#Headers],0))=0,"",INDEX(_xlfn.VSTACK(YES_Writing_ELA[#Data],YES_Writing_FLA[#Data]),MATCH($A125,_xlfn.VSTACK(YES_Writing_ELA[Student Number],YES_Writing_FLA[Student Number]),0),MATCH(VLOOKUP(G$7,'Writing Logic'!$J$7:$K$11,2,FALSE)&amp;" - Per "&amp;VLOOKUP($C$4,'Writing Logic'!$G$8:$H$14,2,FALSE),YES_Writing_ELA[#Headers],0)))),"")</f>
        <v/>
      </c>
      <c r="H125" s="223" t="str">
        <f>IFERROR(IF(IF(INDEX(_xlfn.VSTACK(YES_Writing_ELA[#Data],YES_Writing_FLA[#Data]),MATCH($A125,_xlfn.VSTACK(YES_Writing_ELA[Student Number],YES_Writing_FLA[Student Number]),0),MATCH(VLOOKUP(H$7,'Writing Logic'!$J$7:$K$11,2,FALSE)&amp;" - Per "&amp;VLOOKUP($C$4,'Writing Logic'!$G$8:$H$14,2,FALSE),YES_Writing_ELA[#Headers],0))=0,"",INDEX(_xlfn.VSTACK(YES_Writing_ELA[#Data],YES_Writing_FLA[#Data]),MATCH($A125,_xlfn.VSTACK(YES_Writing_ELA[Student Number],YES_Writing_FLA[Student Number]),0),MATCH(VLOOKUP(H$7,'Writing Logic'!$J$7:$K$11,2,FALSE)&amp;" - Per "&amp;VLOOKUP($C$4,'Writing Logic'!$G$8:$H$14,2,FALSE),YES_Writing_ELA[#Headers],0)))="INS",'Writing Logic'!$B$7,IF(INDEX(_xlfn.VSTACK(YES_Writing_ELA[#Data],YES_Writing_FLA[#Data]),MATCH($A125,_xlfn.VSTACK(YES_Writing_ELA[Student Number],YES_Writing_FLA[Student Number]),0),MATCH(VLOOKUP(H$7,'Writing Logic'!$J$7:$K$11,2,FALSE)&amp;" - Per "&amp;VLOOKUP($C$4,'Writing Logic'!$G$8:$H$14,2,FALSE),YES_Writing_ELA[#Headers],0))=0,"",INDEX(_xlfn.VSTACK(YES_Writing_ELA[#Data],YES_Writing_FLA[#Data]),MATCH($A125,_xlfn.VSTACK(YES_Writing_ELA[Student Number],YES_Writing_FLA[Student Number]),0),MATCH(VLOOKUP(H$7,'Writing Logic'!$J$7:$K$11,2,FALSE)&amp;" - Per "&amp;VLOOKUP($C$4,'Writing Logic'!$G$8:$H$14,2,FALSE),YES_Writing_ELA[#Headers],0)))),"")</f>
        <v/>
      </c>
      <c r="I125" s="224" t="str" cm="1">
        <f t="array" aca="1" ref="I125" ca="1">IFERROR(
IF($G$3="ELA",
IF(VLOOKUP($A125, YES_Reading_ELA[], COLUMN(INDIRECT("YES_Reading_ELA[Difference - Per "&amp;VLOOKUP($G$4, 'Reading Report Logic'!$A$2:$B$8, 2, FALSE)&amp;"]")), FALSE)="", "",
VLOOKUP($A125,YES_Reading_ELA[], COLUMN(INDIRECT("YES_Reading_ELA[Difference - Per "&amp;VLOOKUP($G$4,'Reading Report Logic'!$A$2:$B$8,2,FALSE)&amp;"]")), FALSE)),
IF($G$3="FLA",
IF(VLOOKUP($A125, YES_Reading_FLA[], COLUMN(INDIRECT("YES_Reading_FLA[Difference - Per "&amp;VLOOKUP($G$4,'Reading Report Logic'!$A$2:$B$8,2,FALSE)&amp;"]")),FALSE)="","",
VLOOKUP($A125,YES_Reading_FLA[],COLUMN(INDIRECT("YES_Reading_FLA[Difference - Per "&amp;VLOOKUP($G$4,'Reading Report Logic'!$A$2:$B$8,2,FALSE)&amp;"]")),FALSE)),
IF($G$3="Combined",
IFERROR(
IF(VLOOKUP($A125, YES_Reading_ELA[], COLUMN(INDIRECT("YES_Reading_ELA[Difference - Per "&amp;VLOOKUP($G$4, 'Reading Report Logic'!$A$2:$B$8,2,FALSE)&amp;"]")), FALSE)="", "",
VLOOKUP($A125,YES_Reading_ELA[],COLUMN(INDIRECT("YES_Reading_ELA[Difference - Per "&amp;VLOOKUP($G$4,'Reading Report Logic'!$A$2:$B$8,2,FALSE)&amp;"]")),FALSE)),
IF(VLOOKUP($A125, YES_Reading_FLA[], COLUMN(INDIRECT("YES_Reading_FLA[Difference - Per "&amp;VLOOKUP($G$4, 'Reading Report Logic'!$A$2:$B$8, 2, FALSE)&amp;"]")),FALSE)="", "", VLOOKUP($A125,YES_Reading_FLA[],COLUMN(INDIRECT("YES_Reading_FLA[Difference - Per "&amp;VLOOKUP($G$4, 'Reading Report Logic'!$A$2:$B$8, 2, FALSE)&amp;"]")),FALSE))),""))),"")</f>
        <v/>
      </c>
    </row>
    <row r="126" spans="1:9" ht="14.25" customHeight="1" x14ac:dyDescent="0.25">
      <c r="A126" s="137"/>
      <c r="B126" s="137" t="str">
        <f>IFERROR(INDEX(_xlfn.VSTACK(YES_Writing_ELA[#Data], YES_Writing_FLA[#Data]),MATCH($A126,_xlfn.VSTACK(YES_Writing_ELA[Student Number], YES_Writing_FLA[Student Number]),0),MATCH(B$7,YES_Writing_ELA[#Headers],0)),IFERROR(INDEX(_xlfn.VSTACK(YES_Reading_ELA[#Data], YES_Reading_FLA[#Data]),MATCH($A126,_xlfn.VSTACK(YES_Reading_ELA[Student Number], YES_Reading_FLA[Student Number]),0),MATCH(B$7,YES_Reading_ELA[#Headers],0)),""))</f>
        <v/>
      </c>
      <c r="C126" s="137" t="str">
        <f>IFERROR(INDEX(_xlfn.VSTACK(YES_Writing_ELA[#Data], YES_Writing_FLA[#Data]),MATCH($A126,_xlfn.VSTACK(YES_Writing_ELA[Student Number], YES_Writing_FLA[Student Number]),0),MATCH(C$7,YES_Writing_ELA[#Headers],0)),IFERROR(INDEX(_xlfn.VSTACK(YES_Reading_ELA[#Data], YES_Reading_FLA[#Data]),MATCH($A126,_xlfn.VSTACK(YES_Reading_ELA[Student Number], YES_Reading_FLA[Student Number]),0),MATCH(C$7,YES_Reading_ELA[#Headers],0)),""))</f>
        <v/>
      </c>
      <c r="D126" s="138" t="str">
        <f>IFERROR(IF(IF(INDEX(_xlfn.VSTACK(YES_Writing_ELA[#Data],YES_Writing_FLA[#Data]),MATCH($A126,_xlfn.VSTACK(YES_Writing_ELA[Student Number],YES_Writing_FLA[Student Number]),0),MATCH(VLOOKUP(D$7,'Writing Logic'!$J$7:$K$11,2,FALSE)&amp;" - Per "&amp;VLOOKUP($C$4,'Writing Logic'!$G$8:$H$14,2,FALSE),YES_Writing_ELA[#Headers],0))=0,"",INDEX(_xlfn.VSTACK(YES_Writing_ELA[#Data],YES_Writing_FLA[#Data]),MATCH($A126,_xlfn.VSTACK(YES_Writing_ELA[Student Number],YES_Writing_FLA[Student Number]),0),MATCH(VLOOKUP(D$7,'Writing Logic'!$J$7:$K$11,2,FALSE)&amp;" - Per "&amp;VLOOKUP($C$4,'Writing Logic'!$G$8:$H$14,2,FALSE),YES_Writing_ELA[#Headers],0)))="INS",'Writing Logic'!$B$7,IF(INDEX(_xlfn.VSTACK(YES_Writing_ELA[#Data],YES_Writing_FLA[#Data]),MATCH($A126,_xlfn.VSTACK(YES_Writing_ELA[Student Number],YES_Writing_FLA[Student Number]),0),MATCH(VLOOKUP(D$7,'Writing Logic'!$J$7:$K$11,2,FALSE)&amp;" - Per "&amp;VLOOKUP($C$4,'Writing Logic'!$G$8:$H$14,2,FALSE),YES_Writing_ELA[#Headers],0))=0,"",INDEX(_xlfn.VSTACK(YES_Writing_ELA[#Data],YES_Writing_FLA[#Data]),MATCH($A126,_xlfn.VSTACK(YES_Writing_ELA[Student Number],YES_Writing_FLA[Student Number]),0),MATCH(VLOOKUP(D$7,'Writing Logic'!$J$7:$K$11,2,FALSE)&amp;" - Per "&amp;VLOOKUP($C$4,'Writing Logic'!$G$8:$H$14,2,FALSE),YES_Writing_ELA[#Headers],0)))),"")</f>
        <v/>
      </c>
      <c r="E126" s="138" t="str">
        <f>IFERROR(IF(IF(INDEX(_xlfn.VSTACK(YES_Writing_ELA[#Data],YES_Writing_FLA[#Data]),MATCH($A126,_xlfn.VSTACK(YES_Writing_ELA[Student Number],YES_Writing_FLA[Student Number]),0),MATCH(VLOOKUP(E$7,'Writing Logic'!$J$7:$K$11,2,FALSE)&amp;" - Per "&amp;VLOOKUP($C$4,'Writing Logic'!$G$8:$H$14,2,FALSE),YES_Writing_ELA[#Headers],0))=0,"",INDEX(_xlfn.VSTACK(YES_Writing_ELA[#Data],YES_Writing_FLA[#Data]),MATCH($A126,_xlfn.VSTACK(YES_Writing_ELA[Student Number],YES_Writing_FLA[Student Number]),0),MATCH(VLOOKUP(E$7,'Writing Logic'!$J$7:$K$11,2,FALSE)&amp;" - Per "&amp;VLOOKUP($C$4,'Writing Logic'!$G$8:$H$14,2,FALSE),YES_Writing_ELA[#Headers],0)))="INS",'Writing Logic'!$B$7,IF(INDEX(_xlfn.VSTACK(YES_Writing_ELA[#Data],YES_Writing_FLA[#Data]),MATCH($A126,_xlfn.VSTACK(YES_Writing_ELA[Student Number],YES_Writing_FLA[Student Number]),0),MATCH(VLOOKUP(E$7,'Writing Logic'!$J$7:$K$11,2,FALSE)&amp;" - Per "&amp;VLOOKUP($C$4,'Writing Logic'!$G$8:$H$14,2,FALSE),YES_Writing_ELA[#Headers],0))=0,"",INDEX(_xlfn.VSTACK(YES_Writing_ELA[#Data],YES_Writing_FLA[#Data]),MATCH($A126,_xlfn.VSTACK(YES_Writing_ELA[Student Number],YES_Writing_FLA[Student Number]),0),MATCH(VLOOKUP(E$7,'Writing Logic'!$J$7:$K$11,2,FALSE)&amp;" - Per "&amp;VLOOKUP($C$4,'Writing Logic'!$G$8:$H$14,2,FALSE),YES_Writing_ELA[#Headers],0)))),"")</f>
        <v/>
      </c>
      <c r="F126" s="138" t="str">
        <f>IFERROR(IF(IF(INDEX(_xlfn.VSTACK(YES_Writing_ELA[#Data],YES_Writing_FLA[#Data]),MATCH($A126,_xlfn.VSTACK(YES_Writing_ELA[Student Number],YES_Writing_FLA[Student Number]),0),MATCH(VLOOKUP(F$7,'Writing Logic'!$J$7:$K$11,2,FALSE)&amp;" - Per "&amp;VLOOKUP($C$4,'Writing Logic'!$G$8:$H$14,2,FALSE),YES_Writing_ELA[#Headers],0))=0,"",INDEX(_xlfn.VSTACK(YES_Writing_ELA[#Data],YES_Writing_FLA[#Data]),MATCH($A126,_xlfn.VSTACK(YES_Writing_ELA[Student Number],YES_Writing_FLA[Student Number]),0),MATCH(VLOOKUP(F$7,'Writing Logic'!$J$7:$K$11,2,FALSE)&amp;" - Per "&amp;VLOOKUP($C$4,'Writing Logic'!$G$8:$H$14,2,FALSE),YES_Writing_ELA[#Headers],0)))="INS",'Writing Logic'!$B$7,IF(INDEX(_xlfn.VSTACK(YES_Writing_ELA[#Data],YES_Writing_FLA[#Data]),MATCH($A126,_xlfn.VSTACK(YES_Writing_ELA[Student Number],YES_Writing_FLA[Student Number]),0),MATCH(VLOOKUP(F$7,'Writing Logic'!$J$7:$K$11,2,FALSE)&amp;" - Per "&amp;VLOOKUP($C$4,'Writing Logic'!$G$8:$H$14,2,FALSE),YES_Writing_ELA[#Headers],0))=0,"",INDEX(_xlfn.VSTACK(YES_Writing_ELA[#Data],YES_Writing_FLA[#Data]),MATCH($A126,_xlfn.VSTACK(YES_Writing_ELA[Student Number],YES_Writing_FLA[Student Number]),0),MATCH(VLOOKUP(F$7,'Writing Logic'!$J$7:$K$11,2,FALSE)&amp;" - Per "&amp;VLOOKUP($C$4,'Writing Logic'!$G$8:$H$14,2,FALSE),YES_Writing_ELA[#Headers],0)))),"")</f>
        <v/>
      </c>
      <c r="G126" s="138" t="str">
        <f>IFERROR(IF(IF(INDEX(_xlfn.VSTACK(YES_Writing_ELA[#Data],YES_Writing_FLA[#Data]),MATCH($A126,_xlfn.VSTACK(YES_Writing_ELA[Student Number],YES_Writing_FLA[Student Number]),0),MATCH(VLOOKUP(G$7,'Writing Logic'!$J$7:$K$11,2,FALSE)&amp;" - Per "&amp;VLOOKUP($C$4,'Writing Logic'!$G$8:$H$14,2,FALSE),YES_Writing_ELA[#Headers],0))=0,"",INDEX(_xlfn.VSTACK(YES_Writing_ELA[#Data],YES_Writing_FLA[#Data]),MATCH($A126,_xlfn.VSTACK(YES_Writing_ELA[Student Number],YES_Writing_FLA[Student Number]),0),MATCH(VLOOKUP(G$7,'Writing Logic'!$J$7:$K$11,2,FALSE)&amp;" - Per "&amp;VLOOKUP($C$4,'Writing Logic'!$G$8:$H$14,2,FALSE),YES_Writing_ELA[#Headers],0)))="INS",'Writing Logic'!$B$7,IF(INDEX(_xlfn.VSTACK(YES_Writing_ELA[#Data],YES_Writing_FLA[#Data]),MATCH($A126,_xlfn.VSTACK(YES_Writing_ELA[Student Number],YES_Writing_FLA[Student Number]),0),MATCH(VLOOKUP(G$7,'Writing Logic'!$J$7:$K$11,2,FALSE)&amp;" - Per "&amp;VLOOKUP($C$4,'Writing Logic'!$G$8:$H$14,2,FALSE),YES_Writing_ELA[#Headers],0))=0,"",INDEX(_xlfn.VSTACK(YES_Writing_ELA[#Data],YES_Writing_FLA[#Data]),MATCH($A126,_xlfn.VSTACK(YES_Writing_ELA[Student Number],YES_Writing_FLA[Student Number]),0),MATCH(VLOOKUP(G$7,'Writing Logic'!$J$7:$K$11,2,FALSE)&amp;" - Per "&amp;VLOOKUP($C$4,'Writing Logic'!$G$8:$H$14,2,FALSE),YES_Writing_ELA[#Headers],0)))),"")</f>
        <v/>
      </c>
      <c r="H126" s="223" t="str">
        <f>IFERROR(IF(IF(INDEX(_xlfn.VSTACK(YES_Writing_ELA[#Data],YES_Writing_FLA[#Data]),MATCH($A126,_xlfn.VSTACK(YES_Writing_ELA[Student Number],YES_Writing_FLA[Student Number]),0),MATCH(VLOOKUP(H$7,'Writing Logic'!$J$7:$K$11,2,FALSE)&amp;" - Per "&amp;VLOOKUP($C$4,'Writing Logic'!$G$8:$H$14,2,FALSE),YES_Writing_ELA[#Headers],0))=0,"",INDEX(_xlfn.VSTACK(YES_Writing_ELA[#Data],YES_Writing_FLA[#Data]),MATCH($A126,_xlfn.VSTACK(YES_Writing_ELA[Student Number],YES_Writing_FLA[Student Number]),0),MATCH(VLOOKUP(H$7,'Writing Logic'!$J$7:$K$11,2,FALSE)&amp;" - Per "&amp;VLOOKUP($C$4,'Writing Logic'!$G$8:$H$14,2,FALSE),YES_Writing_ELA[#Headers],0)))="INS",'Writing Logic'!$B$7,IF(INDEX(_xlfn.VSTACK(YES_Writing_ELA[#Data],YES_Writing_FLA[#Data]),MATCH($A126,_xlfn.VSTACK(YES_Writing_ELA[Student Number],YES_Writing_FLA[Student Number]),0),MATCH(VLOOKUP(H$7,'Writing Logic'!$J$7:$K$11,2,FALSE)&amp;" - Per "&amp;VLOOKUP($C$4,'Writing Logic'!$G$8:$H$14,2,FALSE),YES_Writing_ELA[#Headers],0))=0,"",INDEX(_xlfn.VSTACK(YES_Writing_ELA[#Data],YES_Writing_FLA[#Data]),MATCH($A126,_xlfn.VSTACK(YES_Writing_ELA[Student Number],YES_Writing_FLA[Student Number]),0),MATCH(VLOOKUP(H$7,'Writing Logic'!$J$7:$K$11,2,FALSE)&amp;" - Per "&amp;VLOOKUP($C$4,'Writing Logic'!$G$8:$H$14,2,FALSE),YES_Writing_ELA[#Headers],0)))),"")</f>
        <v/>
      </c>
      <c r="I126" s="224" t="str" cm="1">
        <f t="array" aca="1" ref="I126" ca="1">IFERROR(
IF($G$3="ELA",
IF(VLOOKUP($A126, YES_Reading_ELA[], COLUMN(INDIRECT("YES_Reading_ELA[Difference - Per "&amp;VLOOKUP($G$4, 'Reading Report Logic'!$A$2:$B$8, 2, FALSE)&amp;"]")), FALSE)="", "",
VLOOKUP($A126,YES_Reading_ELA[], COLUMN(INDIRECT("YES_Reading_ELA[Difference - Per "&amp;VLOOKUP($G$4,'Reading Report Logic'!$A$2:$B$8,2,FALSE)&amp;"]")), FALSE)),
IF($G$3="FLA",
IF(VLOOKUP($A126, YES_Reading_FLA[], COLUMN(INDIRECT("YES_Reading_FLA[Difference - Per "&amp;VLOOKUP($G$4,'Reading Report Logic'!$A$2:$B$8,2,FALSE)&amp;"]")),FALSE)="","",
VLOOKUP($A126,YES_Reading_FLA[],COLUMN(INDIRECT("YES_Reading_FLA[Difference - Per "&amp;VLOOKUP($G$4,'Reading Report Logic'!$A$2:$B$8,2,FALSE)&amp;"]")),FALSE)),
IF($G$3="Combined",
IFERROR(
IF(VLOOKUP($A126, YES_Reading_ELA[], COLUMN(INDIRECT("YES_Reading_ELA[Difference - Per "&amp;VLOOKUP($G$4, 'Reading Report Logic'!$A$2:$B$8,2,FALSE)&amp;"]")), FALSE)="", "",
VLOOKUP($A126,YES_Reading_ELA[],COLUMN(INDIRECT("YES_Reading_ELA[Difference - Per "&amp;VLOOKUP($G$4,'Reading Report Logic'!$A$2:$B$8,2,FALSE)&amp;"]")),FALSE)),
IF(VLOOKUP($A126, YES_Reading_FLA[], COLUMN(INDIRECT("YES_Reading_FLA[Difference - Per "&amp;VLOOKUP($G$4, 'Reading Report Logic'!$A$2:$B$8, 2, FALSE)&amp;"]")),FALSE)="", "", VLOOKUP($A126,YES_Reading_FLA[],COLUMN(INDIRECT("YES_Reading_FLA[Difference - Per "&amp;VLOOKUP($G$4, 'Reading Report Logic'!$A$2:$B$8, 2, FALSE)&amp;"]")),FALSE))),""))),"")</f>
        <v/>
      </c>
    </row>
    <row r="127" spans="1:9" ht="14.25" customHeight="1" x14ac:dyDescent="0.25">
      <c r="A127" s="137"/>
      <c r="B127" s="137" t="str">
        <f>IFERROR(INDEX(_xlfn.VSTACK(YES_Writing_ELA[#Data], YES_Writing_FLA[#Data]),MATCH($A127,_xlfn.VSTACK(YES_Writing_ELA[Student Number], YES_Writing_FLA[Student Number]),0),MATCH(B$7,YES_Writing_ELA[#Headers],0)),IFERROR(INDEX(_xlfn.VSTACK(YES_Reading_ELA[#Data], YES_Reading_FLA[#Data]),MATCH($A127,_xlfn.VSTACK(YES_Reading_ELA[Student Number], YES_Reading_FLA[Student Number]),0),MATCH(B$7,YES_Reading_ELA[#Headers],0)),""))</f>
        <v/>
      </c>
      <c r="C127" s="137" t="str">
        <f>IFERROR(INDEX(_xlfn.VSTACK(YES_Writing_ELA[#Data], YES_Writing_FLA[#Data]),MATCH($A127,_xlfn.VSTACK(YES_Writing_ELA[Student Number], YES_Writing_FLA[Student Number]),0),MATCH(C$7,YES_Writing_ELA[#Headers],0)),IFERROR(INDEX(_xlfn.VSTACK(YES_Reading_ELA[#Data], YES_Reading_FLA[#Data]),MATCH($A127,_xlfn.VSTACK(YES_Reading_ELA[Student Number], YES_Reading_FLA[Student Number]),0),MATCH(C$7,YES_Reading_ELA[#Headers],0)),""))</f>
        <v/>
      </c>
      <c r="D127" s="138" t="str">
        <f>IFERROR(IF(IF(INDEX(_xlfn.VSTACK(YES_Writing_ELA[#Data],YES_Writing_FLA[#Data]),MATCH($A127,_xlfn.VSTACK(YES_Writing_ELA[Student Number],YES_Writing_FLA[Student Number]),0),MATCH(VLOOKUP(D$7,'Writing Logic'!$J$7:$K$11,2,FALSE)&amp;" - Per "&amp;VLOOKUP($C$4,'Writing Logic'!$G$8:$H$14,2,FALSE),YES_Writing_ELA[#Headers],0))=0,"",INDEX(_xlfn.VSTACK(YES_Writing_ELA[#Data],YES_Writing_FLA[#Data]),MATCH($A127,_xlfn.VSTACK(YES_Writing_ELA[Student Number],YES_Writing_FLA[Student Number]),0),MATCH(VLOOKUP(D$7,'Writing Logic'!$J$7:$K$11,2,FALSE)&amp;" - Per "&amp;VLOOKUP($C$4,'Writing Logic'!$G$8:$H$14,2,FALSE),YES_Writing_ELA[#Headers],0)))="INS",'Writing Logic'!$B$7,IF(INDEX(_xlfn.VSTACK(YES_Writing_ELA[#Data],YES_Writing_FLA[#Data]),MATCH($A127,_xlfn.VSTACK(YES_Writing_ELA[Student Number],YES_Writing_FLA[Student Number]),0),MATCH(VLOOKUP(D$7,'Writing Logic'!$J$7:$K$11,2,FALSE)&amp;" - Per "&amp;VLOOKUP($C$4,'Writing Logic'!$G$8:$H$14,2,FALSE),YES_Writing_ELA[#Headers],0))=0,"",INDEX(_xlfn.VSTACK(YES_Writing_ELA[#Data],YES_Writing_FLA[#Data]),MATCH($A127,_xlfn.VSTACK(YES_Writing_ELA[Student Number],YES_Writing_FLA[Student Number]),0),MATCH(VLOOKUP(D$7,'Writing Logic'!$J$7:$K$11,2,FALSE)&amp;" - Per "&amp;VLOOKUP($C$4,'Writing Logic'!$G$8:$H$14,2,FALSE),YES_Writing_ELA[#Headers],0)))),"")</f>
        <v/>
      </c>
      <c r="E127" s="138" t="str">
        <f>IFERROR(IF(IF(INDEX(_xlfn.VSTACK(YES_Writing_ELA[#Data],YES_Writing_FLA[#Data]),MATCH($A127,_xlfn.VSTACK(YES_Writing_ELA[Student Number],YES_Writing_FLA[Student Number]),0),MATCH(VLOOKUP(E$7,'Writing Logic'!$J$7:$K$11,2,FALSE)&amp;" - Per "&amp;VLOOKUP($C$4,'Writing Logic'!$G$8:$H$14,2,FALSE),YES_Writing_ELA[#Headers],0))=0,"",INDEX(_xlfn.VSTACK(YES_Writing_ELA[#Data],YES_Writing_FLA[#Data]),MATCH($A127,_xlfn.VSTACK(YES_Writing_ELA[Student Number],YES_Writing_FLA[Student Number]),0),MATCH(VLOOKUP(E$7,'Writing Logic'!$J$7:$K$11,2,FALSE)&amp;" - Per "&amp;VLOOKUP($C$4,'Writing Logic'!$G$8:$H$14,2,FALSE),YES_Writing_ELA[#Headers],0)))="INS",'Writing Logic'!$B$7,IF(INDEX(_xlfn.VSTACK(YES_Writing_ELA[#Data],YES_Writing_FLA[#Data]),MATCH($A127,_xlfn.VSTACK(YES_Writing_ELA[Student Number],YES_Writing_FLA[Student Number]),0),MATCH(VLOOKUP(E$7,'Writing Logic'!$J$7:$K$11,2,FALSE)&amp;" - Per "&amp;VLOOKUP($C$4,'Writing Logic'!$G$8:$H$14,2,FALSE),YES_Writing_ELA[#Headers],0))=0,"",INDEX(_xlfn.VSTACK(YES_Writing_ELA[#Data],YES_Writing_FLA[#Data]),MATCH($A127,_xlfn.VSTACK(YES_Writing_ELA[Student Number],YES_Writing_FLA[Student Number]),0),MATCH(VLOOKUP(E$7,'Writing Logic'!$J$7:$K$11,2,FALSE)&amp;" - Per "&amp;VLOOKUP($C$4,'Writing Logic'!$G$8:$H$14,2,FALSE),YES_Writing_ELA[#Headers],0)))),"")</f>
        <v/>
      </c>
      <c r="F127" s="138" t="str">
        <f>IFERROR(IF(IF(INDEX(_xlfn.VSTACK(YES_Writing_ELA[#Data],YES_Writing_FLA[#Data]),MATCH($A127,_xlfn.VSTACK(YES_Writing_ELA[Student Number],YES_Writing_FLA[Student Number]),0),MATCH(VLOOKUP(F$7,'Writing Logic'!$J$7:$K$11,2,FALSE)&amp;" - Per "&amp;VLOOKUP($C$4,'Writing Logic'!$G$8:$H$14,2,FALSE),YES_Writing_ELA[#Headers],0))=0,"",INDEX(_xlfn.VSTACK(YES_Writing_ELA[#Data],YES_Writing_FLA[#Data]),MATCH($A127,_xlfn.VSTACK(YES_Writing_ELA[Student Number],YES_Writing_FLA[Student Number]),0),MATCH(VLOOKUP(F$7,'Writing Logic'!$J$7:$K$11,2,FALSE)&amp;" - Per "&amp;VLOOKUP($C$4,'Writing Logic'!$G$8:$H$14,2,FALSE),YES_Writing_ELA[#Headers],0)))="INS",'Writing Logic'!$B$7,IF(INDEX(_xlfn.VSTACK(YES_Writing_ELA[#Data],YES_Writing_FLA[#Data]),MATCH($A127,_xlfn.VSTACK(YES_Writing_ELA[Student Number],YES_Writing_FLA[Student Number]),0),MATCH(VLOOKUP(F$7,'Writing Logic'!$J$7:$K$11,2,FALSE)&amp;" - Per "&amp;VLOOKUP($C$4,'Writing Logic'!$G$8:$H$14,2,FALSE),YES_Writing_ELA[#Headers],0))=0,"",INDEX(_xlfn.VSTACK(YES_Writing_ELA[#Data],YES_Writing_FLA[#Data]),MATCH($A127,_xlfn.VSTACK(YES_Writing_ELA[Student Number],YES_Writing_FLA[Student Number]),0),MATCH(VLOOKUP(F$7,'Writing Logic'!$J$7:$K$11,2,FALSE)&amp;" - Per "&amp;VLOOKUP($C$4,'Writing Logic'!$G$8:$H$14,2,FALSE),YES_Writing_ELA[#Headers],0)))),"")</f>
        <v/>
      </c>
      <c r="G127" s="138" t="str">
        <f>IFERROR(IF(IF(INDEX(_xlfn.VSTACK(YES_Writing_ELA[#Data],YES_Writing_FLA[#Data]),MATCH($A127,_xlfn.VSTACK(YES_Writing_ELA[Student Number],YES_Writing_FLA[Student Number]),0),MATCH(VLOOKUP(G$7,'Writing Logic'!$J$7:$K$11,2,FALSE)&amp;" - Per "&amp;VLOOKUP($C$4,'Writing Logic'!$G$8:$H$14,2,FALSE),YES_Writing_ELA[#Headers],0))=0,"",INDEX(_xlfn.VSTACK(YES_Writing_ELA[#Data],YES_Writing_FLA[#Data]),MATCH($A127,_xlfn.VSTACK(YES_Writing_ELA[Student Number],YES_Writing_FLA[Student Number]),0),MATCH(VLOOKUP(G$7,'Writing Logic'!$J$7:$K$11,2,FALSE)&amp;" - Per "&amp;VLOOKUP($C$4,'Writing Logic'!$G$8:$H$14,2,FALSE),YES_Writing_ELA[#Headers],0)))="INS",'Writing Logic'!$B$7,IF(INDEX(_xlfn.VSTACK(YES_Writing_ELA[#Data],YES_Writing_FLA[#Data]),MATCH($A127,_xlfn.VSTACK(YES_Writing_ELA[Student Number],YES_Writing_FLA[Student Number]),0),MATCH(VLOOKUP(G$7,'Writing Logic'!$J$7:$K$11,2,FALSE)&amp;" - Per "&amp;VLOOKUP($C$4,'Writing Logic'!$G$8:$H$14,2,FALSE),YES_Writing_ELA[#Headers],0))=0,"",INDEX(_xlfn.VSTACK(YES_Writing_ELA[#Data],YES_Writing_FLA[#Data]),MATCH($A127,_xlfn.VSTACK(YES_Writing_ELA[Student Number],YES_Writing_FLA[Student Number]),0),MATCH(VLOOKUP(G$7,'Writing Logic'!$J$7:$K$11,2,FALSE)&amp;" - Per "&amp;VLOOKUP($C$4,'Writing Logic'!$G$8:$H$14,2,FALSE),YES_Writing_ELA[#Headers],0)))),"")</f>
        <v/>
      </c>
      <c r="H127" s="223" t="str">
        <f>IFERROR(IF(IF(INDEX(_xlfn.VSTACK(YES_Writing_ELA[#Data],YES_Writing_FLA[#Data]),MATCH($A127,_xlfn.VSTACK(YES_Writing_ELA[Student Number],YES_Writing_FLA[Student Number]),0),MATCH(VLOOKUP(H$7,'Writing Logic'!$J$7:$K$11,2,FALSE)&amp;" - Per "&amp;VLOOKUP($C$4,'Writing Logic'!$G$8:$H$14,2,FALSE),YES_Writing_ELA[#Headers],0))=0,"",INDEX(_xlfn.VSTACK(YES_Writing_ELA[#Data],YES_Writing_FLA[#Data]),MATCH($A127,_xlfn.VSTACK(YES_Writing_ELA[Student Number],YES_Writing_FLA[Student Number]),0),MATCH(VLOOKUP(H$7,'Writing Logic'!$J$7:$K$11,2,FALSE)&amp;" - Per "&amp;VLOOKUP($C$4,'Writing Logic'!$G$8:$H$14,2,FALSE),YES_Writing_ELA[#Headers],0)))="INS",'Writing Logic'!$B$7,IF(INDEX(_xlfn.VSTACK(YES_Writing_ELA[#Data],YES_Writing_FLA[#Data]),MATCH($A127,_xlfn.VSTACK(YES_Writing_ELA[Student Number],YES_Writing_FLA[Student Number]),0),MATCH(VLOOKUP(H$7,'Writing Logic'!$J$7:$K$11,2,FALSE)&amp;" - Per "&amp;VLOOKUP($C$4,'Writing Logic'!$G$8:$H$14,2,FALSE),YES_Writing_ELA[#Headers],0))=0,"",INDEX(_xlfn.VSTACK(YES_Writing_ELA[#Data],YES_Writing_FLA[#Data]),MATCH($A127,_xlfn.VSTACK(YES_Writing_ELA[Student Number],YES_Writing_FLA[Student Number]),0),MATCH(VLOOKUP(H$7,'Writing Logic'!$J$7:$K$11,2,FALSE)&amp;" - Per "&amp;VLOOKUP($C$4,'Writing Logic'!$G$8:$H$14,2,FALSE),YES_Writing_ELA[#Headers],0)))),"")</f>
        <v/>
      </c>
      <c r="I127" s="224" t="str" cm="1">
        <f t="array" aca="1" ref="I127" ca="1">IFERROR(
IF($G$3="ELA",
IF(VLOOKUP($A127, YES_Reading_ELA[], COLUMN(INDIRECT("YES_Reading_ELA[Difference - Per "&amp;VLOOKUP($G$4, 'Reading Report Logic'!$A$2:$B$8, 2, FALSE)&amp;"]")), FALSE)="", "",
VLOOKUP($A127,YES_Reading_ELA[], COLUMN(INDIRECT("YES_Reading_ELA[Difference - Per "&amp;VLOOKUP($G$4,'Reading Report Logic'!$A$2:$B$8,2,FALSE)&amp;"]")), FALSE)),
IF($G$3="FLA",
IF(VLOOKUP($A127, YES_Reading_FLA[], COLUMN(INDIRECT("YES_Reading_FLA[Difference - Per "&amp;VLOOKUP($G$4,'Reading Report Logic'!$A$2:$B$8,2,FALSE)&amp;"]")),FALSE)="","",
VLOOKUP($A127,YES_Reading_FLA[],COLUMN(INDIRECT("YES_Reading_FLA[Difference - Per "&amp;VLOOKUP($G$4,'Reading Report Logic'!$A$2:$B$8,2,FALSE)&amp;"]")),FALSE)),
IF($G$3="Combined",
IFERROR(
IF(VLOOKUP($A127, YES_Reading_ELA[], COLUMN(INDIRECT("YES_Reading_ELA[Difference - Per "&amp;VLOOKUP($G$4, 'Reading Report Logic'!$A$2:$B$8,2,FALSE)&amp;"]")), FALSE)="", "",
VLOOKUP($A127,YES_Reading_ELA[],COLUMN(INDIRECT("YES_Reading_ELA[Difference - Per "&amp;VLOOKUP($G$4,'Reading Report Logic'!$A$2:$B$8,2,FALSE)&amp;"]")),FALSE)),
IF(VLOOKUP($A127, YES_Reading_FLA[], COLUMN(INDIRECT("YES_Reading_FLA[Difference - Per "&amp;VLOOKUP($G$4, 'Reading Report Logic'!$A$2:$B$8, 2, FALSE)&amp;"]")),FALSE)="", "", VLOOKUP($A127,YES_Reading_FLA[],COLUMN(INDIRECT("YES_Reading_FLA[Difference - Per "&amp;VLOOKUP($G$4, 'Reading Report Logic'!$A$2:$B$8, 2, FALSE)&amp;"]")),FALSE))),""))),"")</f>
        <v/>
      </c>
    </row>
    <row r="128" spans="1:9" ht="14.25" customHeight="1" x14ac:dyDescent="0.25">
      <c r="A128" s="137"/>
      <c r="B128" s="137" t="str">
        <f>IFERROR(INDEX(_xlfn.VSTACK(YES_Writing_ELA[#Data], YES_Writing_FLA[#Data]),MATCH($A128,_xlfn.VSTACK(YES_Writing_ELA[Student Number], YES_Writing_FLA[Student Number]),0),MATCH(B$7,YES_Writing_ELA[#Headers],0)),IFERROR(INDEX(_xlfn.VSTACK(YES_Reading_ELA[#Data], YES_Reading_FLA[#Data]),MATCH($A128,_xlfn.VSTACK(YES_Reading_ELA[Student Number], YES_Reading_FLA[Student Number]),0),MATCH(B$7,YES_Reading_ELA[#Headers],0)),""))</f>
        <v/>
      </c>
      <c r="C128" s="137" t="str">
        <f>IFERROR(INDEX(_xlfn.VSTACK(YES_Writing_ELA[#Data], YES_Writing_FLA[#Data]),MATCH($A128,_xlfn.VSTACK(YES_Writing_ELA[Student Number], YES_Writing_FLA[Student Number]),0),MATCH(C$7,YES_Writing_ELA[#Headers],0)),IFERROR(INDEX(_xlfn.VSTACK(YES_Reading_ELA[#Data], YES_Reading_FLA[#Data]),MATCH($A128,_xlfn.VSTACK(YES_Reading_ELA[Student Number], YES_Reading_FLA[Student Number]),0),MATCH(C$7,YES_Reading_ELA[#Headers],0)),""))</f>
        <v/>
      </c>
      <c r="D128" s="138" t="str">
        <f>IFERROR(IF(IF(INDEX(_xlfn.VSTACK(YES_Writing_ELA[#Data],YES_Writing_FLA[#Data]),MATCH($A128,_xlfn.VSTACK(YES_Writing_ELA[Student Number],YES_Writing_FLA[Student Number]),0),MATCH(VLOOKUP(D$7,'Writing Logic'!$J$7:$K$11,2,FALSE)&amp;" - Per "&amp;VLOOKUP($C$4,'Writing Logic'!$G$8:$H$14,2,FALSE),YES_Writing_ELA[#Headers],0))=0,"",INDEX(_xlfn.VSTACK(YES_Writing_ELA[#Data],YES_Writing_FLA[#Data]),MATCH($A128,_xlfn.VSTACK(YES_Writing_ELA[Student Number],YES_Writing_FLA[Student Number]),0),MATCH(VLOOKUP(D$7,'Writing Logic'!$J$7:$K$11,2,FALSE)&amp;" - Per "&amp;VLOOKUP($C$4,'Writing Logic'!$G$8:$H$14,2,FALSE),YES_Writing_ELA[#Headers],0)))="INS",'Writing Logic'!$B$7,IF(INDEX(_xlfn.VSTACK(YES_Writing_ELA[#Data],YES_Writing_FLA[#Data]),MATCH($A128,_xlfn.VSTACK(YES_Writing_ELA[Student Number],YES_Writing_FLA[Student Number]),0),MATCH(VLOOKUP(D$7,'Writing Logic'!$J$7:$K$11,2,FALSE)&amp;" - Per "&amp;VLOOKUP($C$4,'Writing Logic'!$G$8:$H$14,2,FALSE),YES_Writing_ELA[#Headers],0))=0,"",INDEX(_xlfn.VSTACK(YES_Writing_ELA[#Data],YES_Writing_FLA[#Data]),MATCH($A128,_xlfn.VSTACK(YES_Writing_ELA[Student Number],YES_Writing_FLA[Student Number]),0),MATCH(VLOOKUP(D$7,'Writing Logic'!$J$7:$K$11,2,FALSE)&amp;" - Per "&amp;VLOOKUP($C$4,'Writing Logic'!$G$8:$H$14,2,FALSE),YES_Writing_ELA[#Headers],0)))),"")</f>
        <v/>
      </c>
      <c r="E128" s="138" t="str">
        <f>IFERROR(IF(IF(INDEX(_xlfn.VSTACK(YES_Writing_ELA[#Data],YES_Writing_FLA[#Data]),MATCH($A128,_xlfn.VSTACK(YES_Writing_ELA[Student Number],YES_Writing_FLA[Student Number]),0),MATCH(VLOOKUP(E$7,'Writing Logic'!$J$7:$K$11,2,FALSE)&amp;" - Per "&amp;VLOOKUP($C$4,'Writing Logic'!$G$8:$H$14,2,FALSE),YES_Writing_ELA[#Headers],0))=0,"",INDEX(_xlfn.VSTACK(YES_Writing_ELA[#Data],YES_Writing_FLA[#Data]),MATCH($A128,_xlfn.VSTACK(YES_Writing_ELA[Student Number],YES_Writing_FLA[Student Number]),0),MATCH(VLOOKUP(E$7,'Writing Logic'!$J$7:$K$11,2,FALSE)&amp;" - Per "&amp;VLOOKUP($C$4,'Writing Logic'!$G$8:$H$14,2,FALSE),YES_Writing_ELA[#Headers],0)))="INS",'Writing Logic'!$B$7,IF(INDEX(_xlfn.VSTACK(YES_Writing_ELA[#Data],YES_Writing_FLA[#Data]),MATCH($A128,_xlfn.VSTACK(YES_Writing_ELA[Student Number],YES_Writing_FLA[Student Number]),0),MATCH(VLOOKUP(E$7,'Writing Logic'!$J$7:$K$11,2,FALSE)&amp;" - Per "&amp;VLOOKUP($C$4,'Writing Logic'!$G$8:$H$14,2,FALSE),YES_Writing_ELA[#Headers],0))=0,"",INDEX(_xlfn.VSTACK(YES_Writing_ELA[#Data],YES_Writing_FLA[#Data]),MATCH($A128,_xlfn.VSTACK(YES_Writing_ELA[Student Number],YES_Writing_FLA[Student Number]),0),MATCH(VLOOKUP(E$7,'Writing Logic'!$J$7:$K$11,2,FALSE)&amp;" - Per "&amp;VLOOKUP($C$4,'Writing Logic'!$G$8:$H$14,2,FALSE),YES_Writing_ELA[#Headers],0)))),"")</f>
        <v/>
      </c>
      <c r="F128" s="138" t="str">
        <f>IFERROR(IF(IF(INDEX(_xlfn.VSTACK(YES_Writing_ELA[#Data],YES_Writing_FLA[#Data]),MATCH($A128,_xlfn.VSTACK(YES_Writing_ELA[Student Number],YES_Writing_FLA[Student Number]),0),MATCH(VLOOKUP(F$7,'Writing Logic'!$J$7:$K$11,2,FALSE)&amp;" - Per "&amp;VLOOKUP($C$4,'Writing Logic'!$G$8:$H$14,2,FALSE),YES_Writing_ELA[#Headers],0))=0,"",INDEX(_xlfn.VSTACK(YES_Writing_ELA[#Data],YES_Writing_FLA[#Data]),MATCH($A128,_xlfn.VSTACK(YES_Writing_ELA[Student Number],YES_Writing_FLA[Student Number]),0),MATCH(VLOOKUP(F$7,'Writing Logic'!$J$7:$K$11,2,FALSE)&amp;" - Per "&amp;VLOOKUP($C$4,'Writing Logic'!$G$8:$H$14,2,FALSE),YES_Writing_ELA[#Headers],0)))="INS",'Writing Logic'!$B$7,IF(INDEX(_xlfn.VSTACK(YES_Writing_ELA[#Data],YES_Writing_FLA[#Data]),MATCH($A128,_xlfn.VSTACK(YES_Writing_ELA[Student Number],YES_Writing_FLA[Student Number]),0),MATCH(VLOOKUP(F$7,'Writing Logic'!$J$7:$K$11,2,FALSE)&amp;" - Per "&amp;VLOOKUP($C$4,'Writing Logic'!$G$8:$H$14,2,FALSE),YES_Writing_ELA[#Headers],0))=0,"",INDEX(_xlfn.VSTACK(YES_Writing_ELA[#Data],YES_Writing_FLA[#Data]),MATCH($A128,_xlfn.VSTACK(YES_Writing_ELA[Student Number],YES_Writing_FLA[Student Number]),0),MATCH(VLOOKUP(F$7,'Writing Logic'!$J$7:$K$11,2,FALSE)&amp;" - Per "&amp;VLOOKUP($C$4,'Writing Logic'!$G$8:$H$14,2,FALSE),YES_Writing_ELA[#Headers],0)))),"")</f>
        <v/>
      </c>
      <c r="G128" s="138" t="str">
        <f>IFERROR(IF(IF(INDEX(_xlfn.VSTACK(YES_Writing_ELA[#Data],YES_Writing_FLA[#Data]),MATCH($A128,_xlfn.VSTACK(YES_Writing_ELA[Student Number],YES_Writing_FLA[Student Number]),0),MATCH(VLOOKUP(G$7,'Writing Logic'!$J$7:$K$11,2,FALSE)&amp;" - Per "&amp;VLOOKUP($C$4,'Writing Logic'!$G$8:$H$14,2,FALSE),YES_Writing_ELA[#Headers],0))=0,"",INDEX(_xlfn.VSTACK(YES_Writing_ELA[#Data],YES_Writing_FLA[#Data]),MATCH($A128,_xlfn.VSTACK(YES_Writing_ELA[Student Number],YES_Writing_FLA[Student Number]),0),MATCH(VLOOKUP(G$7,'Writing Logic'!$J$7:$K$11,2,FALSE)&amp;" - Per "&amp;VLOOKUP($C$4,'Writing Logic'!$G$8:$H$14,2,FALSE),YES_Writing_ELA[#Headers],0)))="INS",'Writing Logic'!$B$7,IF(INDEX(_xlfn.VSTACK(YES_Writing_ELA[#Data],YES_Writing_FLA[#Data]),MATCH($A128,_xlfn.VSTACK(YES_Writing_ELA[Student Number],YES_Writing_FLA[Student Number]),0),MATCH(VLOOKUP(G$7,'Writing Logic'!$J$7:$K$11,2,FALSE)&amp;" - Per "&amp;VLOOKUP($C$4,'Writing Logic'!$G$8:$H$14,2,FALSE),YES_Writing_ELA[#Headers],0))=0,"",INDEX(_xlfn.VSTACK(YES_Writing_ELA[#Data],YES_Writing_FLA[#Data]),MATCH($A128,_xlfn.VSTACK(YES_Writing_ELA[Student Number],YES_Writing_FLA[Student Number]),0),MATCH(VLOOKUP(G$7,'Writing Logic'!$J$7:$K$11,2,FALSE)&amp;" - Per "&amp;VLOOKUP($C$4,'Writing Logic'!$G$8:$H$14,2,FALSE),YES_Writing_ELA[#Headers],0)))),"")</f>
        <v/>
      </c>
      <c r="H128" s="223" t="str">
        <f>IFERROR(IF(IF(INDEX(_xlfn.VSTACK(YES_Writing_ELA[#Data],YES_Writing_FLA[#Data]),MATCH($A128,_xlfn.VSTACK(YES_Writing_ELA[Student Number],YES_Writing_FLA[Student Number]),0),MATCH(VLOOKUP(H$7,'Writing Logic'!$J$7:$K$11,2,FALSE)&amp;" - Per "&amp;VLOOKUP($C$4,'Writing Logic'!$G$8:$H$14,2,FALSE),YES_Writing_ELA[#Headers],0))=0,"",INDEX(_xlfn.VSTACK(YES_Writing_ELA[#Data],YES_Writing_FLA[#Data]),MATCH($A128,_xlfn.VSTACK(YES_Writing_ELA[Student Number],YES_Writing_FLA[Student Number]),0),MATCH(VLOOKUP(H$7,'Writing Logic'!$J$7:$K$11,2,FALSE)&amp;" - Per "&amp;VLOOKUP($C$4,'Writing Logic'!$G$8:$H$14,2,FALSE),YES_Writing_ELA[#Headers],0)))="INS",'Writing Logic'!$B$7,IF(INDEX(_xlfn.VSTACK(YES_Writing_ELA[#Data],YES_Writing_FLA[#Data]),MATCH($A128,_xlfn.VSTACK(YES_Writing_ELA[Student Number],YES_Writing_FLA[Student Number]),0),MATCH(VLOOKUP(H$7,'Writing Logic'!$J$7:$K$11,2,FALSE)&amp;" - Per "&amp;VLOOKUP($C$4,'Writing Logic'!$G$8:$H$14,2,FALSE),YES_Writing_ELA[#Headers],0))=0,"",INDEX(_xlfn.VSTACK(YES_Writing_ELA[#Data],YES_Writing_FLA[#Data]),MATCH($A128,_xlfn.VSTACK(YES_Writing_ELA[Student Number],YES_Writing_FLA[Student Number]),0),MATCH(VLOOKUP(H$7,'Writing Logic'!$J$7:$K$11,2,FALSE)&amp;" - Per "&amp;VLOOKUP($C$4,'Writing Logic'!$G$8:$H$14,2,FALSE),YES_Writing_ELA[#Headers],0)))),"")</f>
        <v/>
      </c>
      <c r="I128" s="224" t="str" cm="1">
        <f t="array" aca="1" ref="I128" ca="1">IFERROR(
IF($G$3="ELA",
IF(VLOOKUP($A128, YES_Reading_ELA[], COLUMN(INDIRECT("YES_Reading_ELA[Difference - Per "&amp;VLOOKUP($G$4, 'Reading Report Logic'!$A$2:$B$8, 2, FALSE)&amp;"]")), FALSE)="", "",
VLOOKUP($A128,YES_Reading_ELA[], COLUMN(INDIRECT("YES_Reading_ELA[Difference - Per "&amp;VLOOKUP($G$4,'Reading Report Logic'!$A$2:$B$8,2,FALSE)&amp;"]")), FALSE)),
IF($G$3="FLA",
IF(VLOOKUP($A128, YES_Reading_FLA[], COLUMN(INDIRECT("YES_Reading_FLA[Difference - Per "&amp;VLOOKUP($G$4,'Reading Report Logic'!$A$2:$B$8,2,FALSE)&amp;"]")),FALSE)="","",
VLOOKUP($A128,YES_Reading_FLA[],COLUMN(INDIRECT("YES_Reading_FLA[Difference - Per "&amp;VLOOKUP($G$4,'Reading Report Logic'!$A$2:$B$8,2,FALSE)&amp;"]")),FALSE)),
IF($G$3="Combined",
IFERROR(
IF(VLOOKUP($A128, YES_Reading_ELA[], COLUMN(INDIRECT("YES_Reading_ELA[Difference - Per "&amp;VLOOKUP($G$4, 'Reading Report Logic'!$A$2:$B$8,2,FALSE)&amp;"]")), FALSE)="", "",
VLOOKUP($A128,YES_Reading_ELA[],COLUMN(INDIRECT("YES_Reading_ELA[Difference - Per "&amp;VLOOKUP($G$4,'Reading Report Logic'!$A$2:$B$8,2,FALSE)&amp;"]")),FALSE)),
IF(VLOOKUP($A128, YES_Reading_FLA[], COLUMN(INDIRECT("YES_Reading_FLA[Difference - Per "&amp;VLOOKUP($G$4, 'Reading Report Logic'!$A$2:$B$8, 2, FALSE)&amp;"]")),FALSE)="", "", VLOOKUP($A128,YES_Reading_FLA[],COLUMN(INDIRECT("YES_Reading_FLA[Difference - Per "&amp;VLOOKUP($G$4, 'Reading Report Logic'!$A$2:$B$8, 2, FALSE)&amp;"]")),FALSE))),""))),"")</f>
        <v/>
      </c>
    </row>
    <row r="129" spans="1:9" ht="14.25" customHeight="1" x14ac:dyDescent="0.25">
      <c r="A129" s="137"/>
      <c r="B129" s="137" t="str">
        <f>IFERROR(INDEX(_xlfn.VSTACK(YES_Writing_ELA[#Data], YES_Writing_FLA[#Data]),MATCH($A129,_xlfn.VSTACK(YES_Writing_ELA[Student Number], YES_Writing_FLA[Student Number]),0),MATCH(B$7,YES_Writing_ELA[#Headers],0)),IFERROR(INDEX(_xlfn.VSTACK(YES_Reading_ELA[#Data], YES_Reading_FLA[#Data]),MATCH($A129,_xlfn.VSTACK(YES_Reading_ELA[Student Number], YES_Reading_FLA[Student Number]),0),MATCH(B$7,YES_Reading_ELA[#Headers],0)),""))</f>
        <v/>
      </c>
      <c r="C129" s="137" t="str">
        <f>IFERROR(INDEX(_xlfn.VSTACK(YES_Writing_ELA[#Data], YES_Writing_FLA[#Data]),MATCH($A129,_xlfn.VSTACK(YES_Writing_ELA[Student Number], YES_Writing_FLA[Student Number]),0),MATCH(C$7,YES_Writing_ELA[#Headers],0)),IFERROR(INDEX(_xlfn.VSTACK(YES_Reading_ELA[#Data], YES_Reading_FLA[#Data]),MATCH($A129,_xlfn.VSTACK(YES_Reading_ELA[Student Number], YES_Reading_FLA[Student Number]),0),MATCH(C$7,YES_Reading_ELA[#Headers],0)),""))</f>
        <v/>
      </c>
      <c r="D129" s="138" t="str">
        <f>IFERROR(IF(IF(INDEX(_xlfn.VSTACK(YES_Writing_ELA[#Data],YES_Writing_FLA[#Data]),MATCH($A129,_xlfn.VSTACK(YES_Writing_ELA[Student Number],YES_Writing_FLA[Student Number]),0),MATCH(VLOOKUP(D$7,'Writing Logic'!$J$7:$K$11,2,FALSE)&amp;" - Per "&amp;VLOOKUP($C$4,'Writing Logic'!$G$8:$H$14,2,FALSE),YES_Writing_ELA[#Headers],0))=0,"",INDEX(_xlfn.VSTACK(YES_Writing_ELA[#Data],YES_Writing_FLA[#Data]),MATCH($A129,_xlfn.VSTACK(YES_Writing_ELA[Student Number],YES_Writing_FLA[Student Number]),0),MATCH(VLOOKUP(D$7,'Writing Logic'!$J$7:$K$11,2,FALSE)&amp;" - Per "&amp;VLOOKUP($C$4,'Writing Logic'!$G$8:$H$14,2,FALSE),YES_Writing_ELA[#Headers],0)))="INS",'Writing Logic'!$B$7,IF(INDEX(_xlfn.VSTACK(YES_Writing_ELA[#Data],YES_Writing_FLA[#Data]),MATCH($A129,_xlfn.VSTACK(YES_Writing_ELA[Student Number],YES_Writing_FLA[Student Number]),0),MATCH(VLOOKUP(D$7,'Writing Logic'!$J$7:$K$11,2,FALSE)&amp;" - Per "&amp;VLOOKUP($C$4,'Writing Logic'!$G$8:$H$14,2,FALSE),YES_Writing_ELA[#Headers],0))=0,"",INDEX(_xlfn.VSTACK(YES_Writing_ELA[#Data],YES_Writing_FLA[#Data]),MATCH($A129,_xlfn.VSTACK(YES_Writing_ELA[Student Number],YES_Writing_FLA[Student Number]),0),MATCH(VLOOKUP(D$7,'Writing Logic'!$J$7:$K$11,2,FALSE)&amp;" - Per "&amp;VLOOKUP($C$4,'Writing Logic'!$G$8:$H$14,2,FALSE),YES_Writing_ELA[#Headers],0)))),"")</f>
        <v/>
      </c>
      <c r="E129" s="138" t="str">
        <f>IFERROR(IF(IF(INDEX(_xlfn.VSTACK(YES_Writing_ELA[#Data],YES_Writing_FLA[#Data]),MATCH($A129,_xlfn.VSTACK(YES_Writing_ELA[Student Number],YES_Writing_FLA[Student Number]),0),MATCH(VLOOKUP(E$7,'Writing Logic'!$J$7:$K$11,2,FALSE)&amp;" - Per "&amp;VLOOKUP($C$4,'Writing Logic'!$G$8:$H$14,2,FALSE),YES_Writing_ELA[#Headers],0))=0,"",INDEX(_xlfn.VSTACK(YES_Writing_ELA[#Data],YES_Writing_FLA[#Data]),MATCH($A129,_xlfn.VSTACK(YES_Writing_ELA[Student Number],YES_Writing_FLA[Student Number]),0),MATCH(VLOOKUP(E$7,'Writing Logic'!$J$7:$K$11,2,FALSE)&amp;" - Per "&amp;VLOOKUP($C$4,'Writing Logic'!$G$8:$H$14,2,FALSE),YES_Writing_ELA[#Headers],0)))="INS",'Writing Logic'!$B$7,IF(INDEX(_xlfn.VSTACK(YES_Writing_ELA[#Data],YES_Writing_FLA[#Data]),MATCH($A129,_xlfn.VSTACK(YES_Writing_ELA[Student Number],YES_Writing_FLA[Student Number]),0),MATCH(VLOOKUP(E$7,'Writing Logic'!$J$7:$K$11,2,FALSE)&amp;" - Per "&amp;VLOOKUP($C$4,'Writing Logic'!$G$8:$H$14,2,FALSE),YES_Writing_ELA[#Headers],0))=0,"",INDEX(_xlfn.VSTACK(YES_Writing_ELA[#Data],YES_Writing_FLA[#Data]),MATCH($A129,_xlfn.VSTACK(YES_Writing_ELA[Student Number],YES_Writing_FLA[Student Number]),0),MATCH(VLOOKUP(E$7,'Writing Logic'!$J$7:$K$11,2,FALSE)&amp;" - Per "&amp;VLOOKUP($C$4,'Writing Logic'!$G$8:$H$14,2,FALSE),YES_Writing_ELA[#Headers],0)))),"")</f>
        <v/>
      </c>
      <c r="F129" s="138" t="str">
        <f>IFERROR(IF(IF(INDEX(_xlfn.VSTACK(YES_Writing_ELA[#Data],YES_Writing_FLA[#Data]),MATCH($A129,_xlfn.VSTACK(YES_Writing_ELA[Student Number],YES_Writing_FLA[Student Number]),0),MATCH(VLOOKUP(F$7,'Writing Logic'!$J$7:$K$11,2,FALSE)&amp;" - Per "&amp;VLOOKUP($C$4,'Writing Logic'!$G$8:$H$14,2,FALSE),YES_Writing_ELA[#Headers],0))=0,"",INDEX(_xlfn.VSTACK(YES_Writing_ELA[#Data],YES_Writing_FLA[#Data]),MATCH($A129,_xlfn.VSTACK(YES_Writing_ELA[Student Number],YES_Writing_FLA[Student Number]),0),MATCH(VLOOKUP(F$7,'Writing Logic'!$J$7:$K$11,2,FALSE)&amp;" - Per "&amp;VLOOKUP($C$4,'Writing Logic'!$G$8:$H$14,2,FALSE),YES_Writing_ELA[#Headers],0)))="INS",'Writing Logic'!$B$7,IF(INDEX(_xlfn.VSTACK(YES_Writing_ELA[#Data],YES_Writing_FLA[#Data]),MATCH($A129,_xlfn.VSTACK(YES_Writing_ELA[Student Number],YES_Writing_FLA[Student Number]),0),MATCH(VLOOKUP(F$7,'Writing Logic'!$J$7:$K$11,2,FALSE)&amp;" - Per "&amp;VLOOKUP($C$4,'Writing Logic'!$G$8:$H$14,2,FALSE),YES_Writing_ELA[#Headers],0))=0,"",INDEX(_xlfn.VSTACK(YES_Writing_ELA[#Data],YES_Writing_FLA[#Data]),MATCH($A129,_xlfn.VSTACK(YES_Writing_ELA[Student Number],YES_Writing_FLA[Student Number]),0),MATCH(VLOOKUP(F$7,'Writing Logic'!$J$7:$K$11,2,FALSE)&amp;" - Per "&amp;VLOOKUP($C$4,'Writing Logic'!$G$8:$H$14,2,FALSE),YES_Writing_ELA[#Headers],0)))),"")</f>
        <v/>
      </c>
      <c r="G129" s="138" t="str">
        <f>IFERROR(IF(IF(INDEX(_xlfn.VSTACK(YES_Writing_ELA[#Data],YES_Writing_FLA[#Data]),MATCH($A129,_xlfn.VSTACK(YES_Writing_ELA[Student Number],YES_Writing_FLA[Student Number]),0),MATCH(VLOOKUP(G$7,'Writing Logic'!$J$7:$K$11,2,FALSE)&amp;" - Per "&amp;VLOOKUP($C$4,'Writing Logic'!$G$8:$H$14,2,FALSE),YES_Writing_ELA[#Headers],0))=0,"",INDEX(_xlfn.VSTACK(YES_Writing_ELA[#Data],YES_Writing_FLA[#Data]),MATCH($A129,_xlfn.VSTACK(YES_Writing_ELA[Student Number],YES_Writing_FLA[Student Number]),0),MATCH(VLOOKUP(G$7,'Writing Logic'!$J$7:$K$11,2,FALSE)&amp;" - Per "&amp;VLOOKUP($C$4,'Writing Logic'!$G$8:$H$14,2,FALSE),YES_Writing_ELA[#Headers],0)))="INS",'Writing Logic'!$B$7,IF(INDEX(_xlfn.VSTACK(YES_Writing_ELA[#Data],YES_Writing_FLA[#Data]),MATCH($A129,_xlfn.VSTACK(YES_Writing_ELA[Student Number],YES_Writing_FLA[Student Number]),0),MATCH(VLOOKUP(G$7,'Writing Logic'!$J$7:$K$11,2,FALSE)&amp;" - Per "&amp;VLOOKUP($C$4,'Writing Logic'!$G$8:$H$14,2,FALSE),YES_Writing_ELA[#Headers],0))=0,"",INDEX(_xlfn.VSTACK(YES_Writing_ELA[#Data],YES_Writing_FLA[#Data]),MATCH($A129,_xlfn.VSTACK(YES_Writing_ELA[Student Number],YES_Writing_FLA[Student Number]),0),MATCH(VLOOKUP(G$7,'Writing Logic'!$J$7:$K$11,2,FALSE)&amp;" - Per "&amp;VLOOKUP($C$4,'Writing Logic'!$G$8:$H$14,2,FALSE),YES_Writing_ELA[#Headers],0)))),"")</f>
        <v/>
      </c>
      <c r="H129" s="223" t="str">
        <f>IFERROR(IF(IF(INDEX(_xlfn.VSTACK(YES_Writing_ELA[#Data],YES_Writing_FLA[#Data]),MATCH($A129,_xlfn.VSTACK(YES_Writing_ELA[Student Number],YES_Writing_FLA[Student Number]),0),MATCH(VLOOKUP(H$7,'Writing Logic'!$J$7:$K$11,2,FALSE)&amp;" - Per "&amp;VLOOKUP($C$4,'Writing Logic'!$G$8:$H$14,2,FALSE),YES_Writing_ELA[#Headers],0))=0,"",INDEX(_xlfn.VSTACK(YES_Writing_ELA[#Data],YES_Writing_FLA[#Data]),MATCH($A129,_xlfn.VSTACK(YES_Writing_ELA[Student Number],YES_Writing_FLA[Student Number]),0),MATCH(VLOOKUP(H$7,'Writing Logic'!$J$7:$K$11,2,FALSE)&amp;" - Per "&amp;VLOOKUP($C$4,'Writing Logic'!$G$8:$H$14,2,FALSE),YES_Writing_ELA[#Headers],0)))="INS",'Writing Logic'!$B$7,IF(INDEX(_xlfn.VSTACK(YES_Writing_ELA[#Data],YES_Writing_FLA[#Data]),MATCH($A129,_xlfn.VSTACK(YES_Writing_ELA[Student Number],YES_Writing_FLA[Student Number]),0),MATCH(VLOOKUP(H$7,'Writing Logic'!$J$7:$K$11,2,FALSE)&amp;" - Per "&amp;VLOOKUP($C$4,'Writing Logic'!$G$8:$H$14,2,FALSE),YES_Writing_ELA[#Headers],0))=0,"",INDEX(_xlfn.VSTACK(YES_Writing_ELA[#Data],YES_Writing_FLA[#Data]),MATCH($A129,_xlfn.VSTACK(YES_Writing_ELA[Student Number],YES_Writing_FLA[Student Number]),0),MATCH(VLOOKUP(H$7,'Writing Logic'!$J$7:$K$11,2,FALSE)&amp;" - Per "&amp;VLOOKUP($C$4,'Writing Logic'!$G$8:$H$14,2,FALSE),YES_Writing_ELA[#Headers],0)))),"")</f>
        <v/>
      </c>
      <c r="I129" s="224" t="str" cm="1">
        <f t="array" aca="1" ref="I129" ca="1">IFERROR(
IF($G$3="ELA",
IF(VLOOKUP($A129, YES_Reading_ELA[], COLUMN(INDIRECT("YES_Reading_ELA[Difference - Per "&amp;VLOOKUP($G$4, 'Reading Report Logic'!$A$2:$B$8, 2, FALSE)&amp;"]")), FALSE)="", "",
VLOOKUP($A129,YES_Reading_ELA[], COLUMN(INDIRECT("YES_Reading_ELA[Difference - Per "&amp;VLOOKUP($G$4,'Reading Report Logic'!$A$2:$B$8,2,FALSE)&amp;"]")), FALSE)),
IF($G$3="FLA",
IF(VLOOKUP($A129, YES_Reading_FLA[], COLUMN(INDIRECT("YES_Reading_FLA[Difference - Per "&amp;VLOOKUP($G$4,'Reading Report Logic'!$A$2:$B$8,2,FALSE)&amp;"]")),FALSE)="","",
VLOOKUP($A129,YES_Reading_FLA[],COLUMN(INDIRECT("YES_Reading_FLA[Difference - Per "&amp;VLOOKUP($G$4,'Reading Report Logic'!$A$2:$B$8,2,FALSE)&amp;"]")),FALSE)),
IF($G$3="Combined",
IFERROR(
IF(VLOOKUP($A129, YES_Reading_ELA[], COLUMN(INDIRECT("YES_Reading_ELA[Difference - Per "&amp;VLOOKUP($G$4, 'Reading Report Logic'!$A$2:$B$8,2,FALSE)&amp;"]")), FALSE)="", "",
VLOOKUP($A129,YES_Reading_ELA[],COLUMN(INDIRECT("YES_Reading_ELA[Difference - Per "&amp;VLOOKUP($G$4,'Reading Report Logic'!$A$2:$B$8,2,FALSE)&amp;"]")),FALSE)),
IF(VLOOKUP($A129, YES_Reading_FLA[], COLUMN(INDIRECT("YES_Reading_FLA[Difference - Per "&amp;VLOOKUP($G$4, 'Reading Report Logic'!$A$2:$B$8, 2, FALSE)&amp;"]")),FALSE)="", "", VLOOKUP($A129,YES_Reading_FLA[],COLUMN(INDIRECT("YES_Reading_FLA[Difference - Per "&amp;VLOOKUP($G$4, 'Reading Report Logic'!$A$2:$B$8, 2, FALSE)&amp;"]")),FALSE))),""))),"")</f>
        <v/>
      </c>
    </row>
    <row r="130" spans="1:9" ht="14.25" customHeight="1" x14ac:dyDescent="0.25">
      <c r="A130" s="137"/>
      <c r="B130" s="137" t="str">
        <f>IFERROR(INDEX(_xlfn.VSTACK(YES_Writing_ELA[#Data], YES_Writing_FLA[#Data]),MATCH($A130,_xlfn.VSTACK(YES_Writing_ELA[Student Number], YES_Writing_FLA[Student Number]),0),MATCH(B$7,YES_Writing_ELA[#Headers],0)),IFERROR(INDEX(_xlfn.VSTACK(YES_Reading_ELA[#Data], YES_Reading_FLA[#Data]),MATCH($A130,_xlfn.VSTACK(YES_Reading_ELA[Student Number], YES_Reading_FLA[Student Number]),0),MATCH(B$7,YES_Reading_ELA[#Headers],0)),""))</f>
        <v/>
      </c>
      <c r="C130" s="137" t="str">
        <f>IFERROR(INDEX(_xlfn.VSTACK(YES_Writing_ELA[#Data], YES_Writing_FLA[#Data]),MATCH($A130,_xlfn.VSTACK(YES_Writing_ELA[Student Number], YES_Writing_FLA[Student Number]),0),MATCH(C$7,YES_Writing_ELA[#Headers],0)),IFERROR(INDEX(_xlfn.VSTACK(YES_Reading_ELA[#Data], YES_Reading_FLA[#Data]),MATCH($A130,_xlfn.VSTACK(YES_Reading_ELA[Student Number], YES_Reading_FLA[Student Number]),0),MATCH(C$7,YES_Reading_ELA[#Headers],0)),""))</f>
        <v/>
      </c>
      <c r="D130" s="138" t="str">
        <f>IFERROR(IF(IF(INDEX(_xlfn.VSTACK(YES_Writing_ELA[#Data],YES_Writing_FLA[#Data]),MATCH($A130,_xlfn.VSTACK(YES_Writing_ELA[Student Number],YES_Writing_FLA[Student Number]),0),MATCH(VLOOKUP(D$7,'Writing Logic'!$J$7:$K$11,2,FALSE)&amp;" - Per "&amp;VLOOKUP($C$4,'Writing Logic'!$G$8:$H$14,2,FALSE),YES_Writing_ELA[#Headers],0))=0,"",INDEX(_xlfn.VSTACK(YES_Writing_ELA[#Data],YES_Writing_FLA[#Data]),MATCH($A130,_xlfn.VSTACK(YES_Writing_ELA[Student Number],YES_Writing_FLA[Student Number]),0),MATCH(VLOOKUP(D$7,'Writing Logic'!$J$7:$K$11,2,FALSE)&amp;" - Per "&amp;VLOOKUP($C$4,'Writing Logic'!$G$8:$H$14,2,FALSE),YES_Writing_ELA[#Headers],0)))="INS",'Writing Logic'!$B$7,IF(INDEX(_xlfn.VSTACK(YES_Writing_ELA[#Data],YES_Writing_FLA[#Data]),MATCH($A130,_xlfn.VSTACK(YES_Writing_ELA[Student Number],YES_Writing_FLA[Student Number]),0),MATCH(VLOOKUP(D$7,'Writing Logic'!$J$7:$K$11,2,FALSE)&amp;" - Per "&amp;VLOOKUP($C$4,'Writing Logic'!$G$8:$H$14,2,FALSE),YES_Writing_ELA[#Headers],0))=0,"",INDEX(_xlfn.VSTACK(YES_Writing_ELA[#Data],YES_Writing_FLA[#Data]),MATCH($A130,_xlfn.VSTACK(YES_Writing_ELA[Student Number],YES_Writing_FLA[Student Number]),0),MATCH(VLOOKUP(D$7,'Writing Logic'!$J$7:$K$11,2,FALSE)&amp;" - Per "&amp;VLOOKUP($C$4,'Writing Logic'!$G$8:$H$14,2,FALSE),YES_Writing_ELA[#Headers],0)))),"")</f>
        <v/>
      </c>
      <c r="E130" s="138" t="str">
        <f>IFERROR(IF(IF(INDEX(_xlfn.VSTACK(YES_Writing_ELA[#Data],YES_Writing_FLA[#Data]),MATCH($A130,_xlfn.VSTACK(YES_Writing_ELA[Student Number],YES_Writing_FLA[Student Number]),0),MATCH(VLOOKUP(E$7,'Writing Logic'!$J$7:$K$11,2,FALSE)&amp;" - Per "&amp;VLOOKUP($C$4,'Writing Logic'!$G$8:$H$14,2,FALSE),YES_Writing_ELA[#Headers],0))=0,"",INDEX(_xlfn.VSTACK(YES_Writing_ELA[#Data],YES_Writing_FLA[#Data]),MATCH($A130,_xlfn.VSTACK(YES_Writing_ELA[Student Number],YES_Writing_FLA[Student Number]),0),MATCH(VLOOKUP(E$7,'Writing Logic'!$J$7:$K$11,2,FALSE)&amp;" - Per "&amp;VLOOKUP($C$4,'Writing Logic'!$G$8:$H$14,2,FALSE),YES_Writing_ELA[#Headers],0)))="INS",'Writing Logic'!$B$7,IF(INDEX(_xlfn.VSTACK(YES_Writing_ELA[#Data],YES_Writing_FLA[#Data]),MATCH($A130,_xlfn.VSTACK(YES_Writing_ELA[Student Number],YES_Writing_FLA[Student Number]),0),MATCH(VLOOKUP(E$7,'Writing Logic'!$J$7:$K$11,2,FALSE)&amp;" - Per "&amp;VLOOKUP($C$4,'Writing Logic'!$G$8:$H$14,2,FALSE),YES_Writing_ELA[#Headers],0))=0,"",INDEX(_xlfn.VSTACK(YES_Writing_ELA[#Data],YES_Writing_FLA[#Data]),MATCH($A130,_xlfn.VSTACK(YES_Writing_ELA[Student Number],YES_Writing_FLA[Student Number]),0),MATCH(VLOOKUP(E$7,'Writing Logic'!$J$7:$K$11,2,FALSE)&amp;" - Per "&amp;VLOOKUP($C$4,'Writing Logic'!$G$8:$H$14,2,FALSE),YES_Writing_ELA[#Headers],0)))),"")</f>
        <v/>
      </c>
      <c r="F130" s="138" t="str">
        <f>IFERROR(IF(IF(INDEX(_xlfn.VSTACK(YES_Writing_ELA[#Data],YES_Writing_FLA[#Data]),MATCH($A130,_xlfn.VSTACK(YES_Writing_ELA[Student Number],YES_Writing_FLA[Student Number]),0),MATCH(VLOOKUP(F$7,'Writing Logic'!$J$7:$K$11,2,FALSE)&amp;" - Per "&amp;VLOOKUP($C$4,'Writing Logic'!$G$8:$H$14,2,FALSE),YES_Writing_ELA[#Headers],0))=0,"",INDEX(_xlfn.VSTACK(YES_Writing_ELA[#Data],YES_Writing_FLA[#Data]),MATCH($A130,_xlfn.VSTACK(YES_Writing_ELA[Student Number],YES_Writing_FLA[Student Number]),0),MATCH(VLOOKUP(F$7,'Writing Logic'!$J$7:$K$11,2,FALSE)&amp;" - Per "&amp;VLOOKUP($C$4,'Writing Logic'!$G$8:$H$14,2,FALSE),YES_Writing_ELA[#Headers],0)))="INS",'Writing Logic'!$B$7,IF(INDEX(_xlfn.VSTACK(YES_Writing_ELA[#Data],YES_Writing_FLA[#Data]),MATCH($A130,_xlfn.VSTACK(YES_Writing_ELA[Student Number],YES_Writing_FLA[Student Number]),0),MATCH(VLOOKUP(F$7,'Writing Logic'!$J$7:$K$11,2,FALSE)&amp;" - Per "&amp;VLOOKUP($C$4,'Writing Logic'!$G$8:$H$14,2,FALSE),YES_Writing_ELA[#Headers],0))=0,"",INDEX(_xlfn.VSTACK(YES_Writing_ELA[#Data],YES_Writing_FLA[#Data]),MATCH($A130,_xlfn.VSTACK(YES_Writing_ELA[Student Number],YES_Writing_FLA[Student Number]),0),MATCH(VLOOKUP(F$7,'Writing Logic'!$J$7:$K$11,2,FALSE)&amp;" - Per "&amp;VLOOKUP($C$4,'Writing Logic'!$G$8:$H$14,2,FALSE),YES_Writing_ELA[#Headers],0)))),"")</f>
        <v/>
      </c>
      <c r="G130" s="138" t="str">
        <f>IFERROR(IF(IF(INDEX(_xlfn.VSTACK(YES_Writing_ELA[#Data],YES_Writing_FLA[#Data]),MATCH($A130,_xlfn.VSTACK(YES_Writing_ELA[Student Number],YES_Writing_FLA[Student Number]),0),MATCH(VLOOKUP(G$7,'Writing Logic'!$J$7:$K$11,2,FALSE)&amp;" - Per "&amp;VLOOKUP($C$4,'Writing Logic'!$G$8:$H$14,2,FALSE),YES_Writing_ELA[#Headers],0))=0,"",INDEX(_xlfn.VSTACK(YES_Writing_ELA[#Data],YES_Writing_FLA[#Data]),MATCH($A130,_xlfn.VSTACK(YES_Writing_ELA[Student Number],YES_Writing_FLA[Student Number]),0),MATCH(VLOOKUP(G$7,'Writing Logic'!$J$7:$K$11,2,FALSE)&amp;" - Per "&amp;VLOOKUP($C$4,'Writing Logic'!$G$8:$H$14,2,FALSE),YES_Writing_ELA[#Headers],0)))="INS",'Writing Logic'!$B$7,IF(INDEX(_xlfn.VSTACK(YES_Writing_ELA[#Data],YES_Writing_FLA[#Data]),MATCH($A130,_xlfn.VSTACK(YES_Writing_ELA[Student Number],YES_Writing_FLA[Student Number]),0),MATCH(VLOOKUP(G$7,'Writing Logic'!$J$7:$K$11,2,FALSE)&amp;" - Per "&amp;VLOOKUP($C$4,'Writing Logic'!$G$8:$H$14,2,FALSE),YES_Writing_ELA[#Headers],0))=0,"",INDEX(_xlfn.VSTACK(YES_Writing_ELA[#Data],YES_Writing_FLA[#Data]),MATCH($A130,_xlfn.VSTACK(YES_Writing_ELA[Student Number],YES_Writing_FLA[Student Number]),0),MATCH(VLOOKUP(G$7,'Writing Logic'!$J$7:$K$11,2,FALSE)&amp;" - Per "&amp;VLOOKUP($C$4,'Writing Logic'!$G$8:$H$14,2,FALSE),YES_Writing_ELA[#Headers],0)))),"")</f>
        <v/>
      </c>
      <c r="H130" s="223" t="str">
        <f>IFERROR(IF(IF(INDEX(_xlfn.VSTACK(YES_Writing_ELA[#Data],YES_Writing_FLA[#Data]),MATCH($A130,_xlfn.VSTACK(YES_Writing_ELA[Student Number],YES_Writing_FLA[Student Number]),0),MATCH(VLOOKUP(H$7,'Writing Logic'!$J$7:$K$11,2,FALSE)&amp;" - Per "&amp;VLOOKUP($C$4,'Writing Logic'!$G$8:$H$14,2,FALSE),YES_Writing_ELA[#Headers],0))=0,"",INDEX(_xlfn.VSTACK(YES_Writing_ELA[#Data],YES_Writing_FLA[#Data]),MATCH($A130,_xlfn.VSTACK(YES_Writing_ELA[Student Number],YES_Writing_FLA[Student Number]),0),MATCH(VLOOKUP(H$7,'Writing Logic'!$J$7:$K$11,2,FALSE)&amp;" - Per "&amp;VLOOKUP($C$4,'Writing Logic'!$G$8:$H$14,2,FALSE),YES_Writing_ELA[#Headers],0)))="INS",'Writing Logic'!$B$7,IF(INDEX(_xlfn.VSTACK(YES_Writing_ELA[#Data],YES_Writing_FLA[#Data]),MATCH($A130,_xlfn.VSTACK(YES_Writing_ELA[Student Number],YES_Writing_FLA[Student Number]),0),MATCH(VLOOKUP(H$7,'Writing Logic'!$J$7:$K$11,2,FALSE)&amp;" - Per "&amp;VLOOKUP($C$4,'Writing Logic'!$G$8:$H$14,2,FALSE),YES_Writing_ELA[#Headers],0))=0,"",INDEX(_xlfn.VSTACK(YES_Writing_ELA[#Data],YES_Writing_FLA[#Data]),MATCH($A130,_xlfn.VSTACK(YES_Writing_ELA[Student Number],YES_Writing_FLA[Student Number]),0),MATCH(VLOOKUP(H$7,'Writing Logic'!$J$7:$K$11,2,FALSE)&amp;" - Per "&amp;VLOOKUP($C$4,'Writing Logic'!$G$8:$H$14,2,FALSE),YES_Writing_ELA[#Headers],0)))),"")</f>
        <v/>
      </c>
      <c r="I130" s="224" t="str" cm="1">
        <f t="array" aca="1" ref="I130" ca="1">IFERROR(
IF($G$3="ELA",
IF(VLOOKUP($A130, YES_Reading_ELA[], COLUMN(INDIRECT("YES_Reading_ELA[Difference - Per "&amp;VLOOKUP($G$4, 'Reading Report Logic'!$A$2:$B$8, 2, FALSE)&amp;"]")), FALSE)="", "",
VLOOKUP($A130,YES_Reading_ELA[], COLUMN(INDIRECT("YES_Reading_ELA[Difference - Per "&amp;VLOOKUP($G$4,'Reading Report Logic'!$A$2:$B$8,2,FALSE)&amp;"]")), FALSE)),
IF($G$3="FLA",
IF(VLOOKUP($A130, YES_Reading_FLA[], COLUMN(INDIRECT("YES_Reading_FLA[Difference - Per "&amp;VLOOKUP($G$4,'Reading Report Logic'!$A$2:$B$8,2,FALSE)&amp;"]")),FALSE)="","",
VLOOKUP($A130,YES_Reading_FLA[],COLUMN(INDIRECT("YES_Reading_FLA[Difference - Per "&amp;VLOOKUP($G$4,'Reading Report Logic'!$A$2:$B$8,2,FALSE)&amp;"]")),FALSE)),
IF($G$3="Combined",
IFERROR(
IF(VLOOKUP($A130, YES_Reading_ELA[], COLUMN(INDIRECT("YES_Reading_ELA[Difference - Per "&amp;VLOOKUP($G$4, 'Reading Report Logic'!$A$2:$B$8,2,FALSE)&amp;"]")), FALSE)="", "",
VLOOKUP($A130,YES_Reading_ELA[],COLUMN(INDIRECT("YES_Reading_ELA[Difference - Per "&amp;VLOOKUP($G$4,'Reading Report Logic'!$A$2:$B$8,2,FALSE)&amp;"]")),FALSE)),
IF(VLOOKUP($A130, YES_Reading_FLA[], COLUMN(INDIRECT("YES_Reading_FLA[Difference - Per "&amp;VLOOKUP($G$4, 'Reading Report Logic'!$A$2:$B$8, 2, FALSE)&amp;"]")),FALSE)="", "", VLOOKUP($A130,YES_Reading_FLA[],COLUMN(INDIRECT("YES_Reading_FLA[Difference - Per "&amp;VLOOKUP($G$4, 'Reading Report Logic'!$A$2:$B$8, 2, FALSE)&amp;"]")),FALSE))),""))),"")</f>
        <v/>
      </c>
    </row>
    <row r="131" spans="1:9" ht="14.25" customHeight="1" x14ac:dyDescent="0.25">
      <c r="A131" s="137"/>
      <c r="B131" s="137" t="str">
        <f>IFERROR(INDEX(_xlfn.VSTACK(YES_Writing_ELA[#Data], YES_Writing_FLA[#Data]),MATCH($A131,_xlfn.VSTACK(YES_Writing_ELA[Student Number], YES_Writing_FLA[Student Number]),0),MATCH(B$7,YES_Writing_ELA[#Headers],0)),IFERROR(INDEX(_xlfn.VSTACK(YES_Reading_ELA[#Data], YES_Reading_FLA[#Data]),MATCH($A131,_xlfn.VSTACK(YES_Reading_ELA[Student Number], YES_Reading_FLA[Student Number]),0),MATCH(B$7,YES_Reading_ELA[#Headers],0)),""))</f>
        <v/>
      </c>
      <c r="C131" s="137" t="str">
        <f>IFERROR(INDEX(_xlfn.VSTACK(YES_Writing_ELA[#Data], YES_Writing_FLA[#Data]),MATCH($A131,_xlfn.VSTACK(YES_Writing_ELA[Student Number], YES_Writing_FLA[Student Number]),0),MATCH(C$7,YES_Writing_ELA[#Headers],0)),IFERROR(INDEX(_xlfn.VSTACK(YES_Reading_ELA[#Data], YES_Reading_FLA[#Data]),MATCH($A131,_xlfn.VSTACK(YES_Reading_ELA[Student Number], YES_Reading_FLA[Student Number]),0),MATCH(C$7,YES_Reading_ELA[#Headers],0)),""))</f>
        <v/>
      </c>
      <c r="D131" s="138" t="str">
        <f>IFERROR(IF(IF(INDEX(_xlfn.VSTACK(YES_Writing_ELA[#Data],YES_Writing_FLA[#Data]),MATCH($A131,_xlfn.VSTACK(YES_Writing_ELA[Student Number],YES_Writing_FLA[Student Number]),0),MATCH(VLOOKUP(D$7,'Writing Logic'!$J$7:$K$11,2,FALSE)&amp;" - Per "&amp;VLOOKUP($C$4,'Writing Logic'!$G$8:$H$14,2,FALSE),YES_Writing_ELA[#Headers],0))=0,"",INDEX(_xlfn.VSTACK(YES_Writing_ELA[#Data],YES_Writing_FLA[#Data]),MATCH($A131,_xlfn.VSTACK(YES_Writing_ELA[Student Number],YES_Writing_FLA[Student Number]),0),MATCH(VLOOKUP(D$7,'Writing Logic'!$J$7:$K$11,2,FALSE)&amp;" - Per "&amp;VLOOKUP($C$4,'Writing Logic'!$G$8:$H$14,2,FALSE),YES_Writing_ELA[#Headers],0)))="INS",'Writing Logic'!$B$7,IF(INDEX(_xlfn.VSTACK(YES_Writing_ELA[#Data],YES_Writing_FLA[#Data]),MATCH($A131,_xlfn.VSTACK(YES_Writing_ELA[Student Number],YES_Writing_FLA[Student Number]),0),MATCH(VLOOKUP(D$7,'Writing Logic'!$J$7:$K$11,2,FALSE)&amp;" - Per "&amp;VLOOKUP($C$4,'Writing Logic'!$G$8:$H$14,2,FALSE),YES_Writing_ELA[#Headers],0))=0,"",INDEX(_xlfn.VSTACK(YES_Writing_ELA[#Data],YES_Writing_FLA[#Data]),MATCH($A131,_xlfn.VSTACK(YES_Writing_ELA[Student Number],YES_Writing_FLA[Student Number]),0),MATCH(VLOOKUP(D$7,'Writing Logic'!$J$7:$K$11,2,FALSE)&amp;" - Per "&amp;VLOOKUP($C$4,'Writing Logic'!$G$8:$H$14,2,FALSE),YES_Writing_ELA[#Headers],0)))),"")</f>
        <v/>
      </c>
      <c r="E131" s="138" t="str">
        <f>IFERROR(IF(IF(INDEX(_xlfn.VSTACK(YES_Writing_ELA[#Data],YES_Writing_FLA[#Data]),MATCH($A131,_xlfn.VSTACK(YES_Writing_ELA[Student Number],YES_Writing_FLA[Student Number]),0),MATCH(VLOOKUP(E$7,'Writing Logic'!$J$7:$K$11,2,FALSE)&amp;" - Per "&amp;VLOOKUP($C$4,'Writing Logic'!$G$8:$H$14,2,FALSE),YES_Writing_ELA[#Headers],0))=0,"",INDEX(_xlfn.VSTACK(YES_Writing_ELA[#Data],YES_Writing_FLA[#Data]),MATCH($A131,_xlfn.VSTACK(YES_Writing_ELA[Student Number],YES_Writing_FLA[Student Number]),0),MATCH(VLOOKUP(E$7,'Writing Logic'!$J$7:$K$11,2,FALSE)&amp;" - Per "&amp;VLOOKUP($C$4,'Writing Logic'!$G$8:$H$14,2,FALSE),YES_Writing_ELA[#Headers],0)))="INS",'Writing Logic'!$B$7,IF(INDEX(_xlfn.VSTACK(YES_Writing_ELA[#Data],YES_Writing_FLA[#Data]),MATCH($A131,_xlfn.VSTACK(YES_Writing_ELA[Student Number],YES_Writing_FLA[Student Number]),0),MATCH(VLOOKUP(E$7,'Writing Logic'!$J$7:$K$11,2,FALSE)&amp;" - Per "&amp;VLOOKUP($C$4,'Writing Logic'!$G$8:$H$14,2,FALSE),YES_Writing_ELA[#Headers],0))=0,"",INDEX(_xlfn.VSTACK(YES_Writing_ELA[#Data],YES_Writing_FLA[#Data]),MATCH($A131,_xlfn.VSTACK(YES_Writing_ELA[Student Number],YES_Writing_FLA[Student Number]),0),MATCH(VLOOKUP(E$7,'Writing Logic'!$J$7:$K$11,2,FALSE)&amp;" - Per "&amp;VLOOKUP($C$4,'Writing Logic'!$G$8:$H$14,2,FALSE),YES_Writing_ELA[#Headers],0)))),"")</f>
        <v/>
      </c>
      <c r="F131" s="138" t="str">
        <f>IFERROR(IF(IF(INDEX(_xlfn.VSTACK(YES_Writing_ELA[#Data],YES_Writing_FLA[#Data]),MATCH($A131,_xlfn.VSTACK(YES_Writing_ELA[Student Number],YES_Writing_FLA[Student Number]),0),MATCH(VLOOKUP(F$7,'Writing Logic'!$J$7:$K$11,2,FALSE)&amp;" - Per "&amp;VLOOKUP($C$4,'Writing Logic'!$G$8:$H$14,2,FALSE),YES_Writing_ELA[#Headers],0))=0,"",INDEX(_xlfn.VSTACK(YES_Writing_ELA[#Data],YES_Writing_FLA[#Data]),MATCH($A131,_xlfn.VSTACK(YES_Writing_ELA[Student Number],YES_Writing_FLA[Student Number]),0),MATCH(VLOOKUP(F$7,'Writing Logic'!$J$7:$K$11,2,FALSE)&amp;" - Per "&amp;VLOOKUP($C$4,'Writing Logic'!$G$8:$H$14,2,FALSE),YES_Writing_ELA[#Headers],0)))="INS",'Writing Logic'!$B$7,IF(INDEX(_xlfn.VSTACK(YES_Writing_ELA[#Data],YES_Writing_FLA[#Data]),MATCH($A131,_xlfn.VSTACK(YES_Writing_ELA[Student Number],YES_Writing_FLA[Student Number]),0),MATCH(VLOOKUP(F$7,'Writing Logic'!$J$7:$K$11,2,FALSE)&amp;" - Per "&amp;VLOOKUP($C$4,'Writing Logic'!$G$8:$H$14,2,FALSE),YES_Writing_ELA[#Headers],0))=0,"",INDEX(_xlfn.VSTACK(YES_Writing_ELA[#Data],YES_Writing_FLA[#Data]),MATCH($A131,_xlfn.VSTACK(YES_Writing_ELA[Student Number],YES_Writing_FLA[Student Number]),0),MATCH(VLOOKUP(F$7,'Writing Logic'!$J$7:$K$11,2,FALSE)&amp;" - Per "&amp;VLOOKUP($C$4,'Writing Logic'!$G$8:$H$14,2,FALSE),YES_Writing_ELA[#Headers],0)))),"")</f>
        <v/>
      </c>
      <c r="G131" s="138" t="str">
        <f>IFERROR(IF(IF(INDEX(_xlfn.VSTACK(YES_Writing_ELA[#Data],YES_Writing_FLA[#Data]),MATCH($A131,_xlfn.VSTACK(YES_Writing_ELA[Student Number],YES_Writing_FLA[Student Number]),0),MATCH(VLOOKUP(G$7,'Writing Logic'!$J$7:$K$11,2,FALSE)&amp;" - Per "&amp;VLOOKUP($C$4,'Writing Logic'!$G$8:$H$14,2,FALSE),YES_Writing_ELA[#Headers],0))=0,"",INDEX(_xlfn.VSTACK(YES_Writing_ELA[#Data],YES_Writing_FLA[#Data]),MATCH($A131,_xlfn.VSTACK(YES_Writing_ELA[Student Number],YES_Writing_FLA[Student Number]),0),MATCH(VLOOKUP(G$7,'Writing Logic'!$J$7:$K$11,2,FALSE)&amp;" - Per "&amp;VLOOKUP($C$4,'Writing Logic'!$G$8:$H$14,2,FALSE),YES_Writing_ELA[#Headers],0)))="INS",'Writing Logic'!$B$7,IF(INDEX(_xlfn.VSTACK(YES_Writing_ELA[#Data],YES_Writing_FLA[#Data]),MATCH($A131,_xlfn.VSTACK(YES_Writing_ELA[Student Number],YES_Writing_FLA[Student Number]),0),MATCH(VLOOKUP(G$7,'Writing Logic'!$J$7:$K$11,2,FALSE)&amp;" - Per "&amp;VLOOKUP($C$4,'Writing Logic'!$G$8:$H$14,2,FALSE),YES_Writing_ELA[#Headers],0))=0,"",INDEX(_xlfn.VSTACK(YES_Writing_ELA[#Data],YES_Writing_FLA[#Data]),MATCH($A131,_xlfn.VSTACK(YES_Writing_ELA[Student Number],YES_Writing_FLA[Student Number]),0),MATCH(VLOOKUP(G$7,'Writing Logic'!$J$7:$K$11,2,FALSE)&amp;" - Per "&amp;VLOOKUP($C$4,'Writing Logic'!$G$8:$H$14,2,FALSE),YES_Writing_ELA[#Headers],0)))),"")</f>
        <v/>
      </c>
      <c r="H131" s="223" t="str">
        <f>IFERROR(IF(IF(INDEX(_xlfn.VSTACK(YES_Writing_ELA[#Data],YES_Writing_FLA[#Data]),MATCH($A131,_xlfn.VSTACK(YES_Writing_ELA[Student Number],YES_Writing_FLA[Student Number]),0),MATCH(VLOOKUP(H$7,'Writing Logic'!$J$7:$K$11,2,FALSE)&amp;" - Per "&amp;VLOOKUP($C$4,'Writing Logic'!$G$8:$H$14,2,FALSE),YES_Writing_ELA[#Headers],0))=0,"",INDEX(_xlfn.VSTACK(YES_Writing_ELA[#Data],YES_Writing_FLA[#Data]),MATCH($A131,_xlfn.VSTACK(YES_Writing_ELA[Student Number],YES_Writing_FLA[Student Number]),0),MATCH(VLOOKUP(H$7,'Writing Logic'!$J$7:$K$11,2,FALSE)&amp;" - Per "&amp;VLOOKUP($C$4,'Writing Logic'!$G$8:$H$14,2,FALSE),YES_Writing_ELA[#Headers],0)))="INS",'Writing Logic'!$B$7,IF(INDEX(_xlfn.VSTACK(YES_Writing_ELA[#Data],YES_Writing_FLA[#Data]),MATCH($A131,_xlfn.VSTACK(YES_Writing_ELA[Student Number],YES_Writing_FLA[Student Number]),0),MATCH(VLOOKUP(H$7,'Writing Logic'!$J$7:$K$11,2,FALSE)&amp;" - Per "&amp;VLOOKUP($C$4,'Writing Logic'!$G$8:$H$14,2,FALSE),YES_Writing_ELA[#Headers],0))=0,"",INDEX(_xlfn.VSTACK(YES_Writing_ELA[#Data],YES_Writing_FLA[#Data]),MATCH($A131,_xlfn.VSTACK(YES_Writing_ELA[Student Number],YES_Writing_FLA[Student Number]),0),MATCH(VLOOKUP(H$7,'Writing Logic'!$J$7:$K$11,2,FALSE)&amp;" - Per "&amp;VLOOKUP($C$4,'Writing Logic'!$G$8:$H$14,2,FALSE),YES_Writing_ELA[#Headers],0)))),"")</f>
        <v/>
      </c>
      <c r="I131" s="224" t="str" cm="1">
        <f t="array" aca="1" ref="I131" ca="1">IFERROR(
IF($G$3="ELA",
IF(VLOOKUP($A131, YES_Reading_ELA[], COLUMN(INDIRECT("YES_Reading_ELA[Difference - Per "&amp;VLOOKUP($G$4, 'Reading Report Logic'!$A$2:$B$8, 2, FALSE)&amp;"]")), FALSE)="", "",
VLOOKUP($A131,YES_Reading_ELA[], COLUMN(INDIRECT("YES_Reading_ELA[Difference - Per "&amp;VLOOKUP($G$4,'Reading Report Logic'!$A$2:$B$8,2,FALSE)&amp;"]")), FALSE)),
IF($G$3="FLA",
IF(VLOOKUP($A131, YES_Reading_FLA[], COLUMN(INDIRECT("YES_Reading_FLA[Difference - Per "&amp;VLOOKUP($G$4,'Reading Report Logic'!$A$2:$B$8,2,FALSE)&amp;"]")),FALSE)="","",
VLOOKUP($A131,YES_Reading_FLA[],COLUMN(INDIRECT("YES_Reading_FLA[Difference - Per "&amp;VLOOKUP($G$4,'Reading Report Logic'!$A$2:$B$8,2,FALSE)&amp;"]")),FALSE)),
IF($G$3="Combined",
IFERROR(
IF(VLOOKUP($A131, YES_Reading_ELA[], COLUMN(INDIRECT("YES_Reading_ELA[Difference - Per "&amp;VLOOKUP($G$4, 'Reading Report Logic'!$A$2:$B$8,2,FALSE)&amp;"]")), FALSE)="", "",
VLOOKUP($A131,YES_Reading_ELA[],COLUMN(INDIRECT("YES_Reading_ELA[Difference - Per "&amp;VLOOKUP($G$4,'Reading Report Logic'!$A$2:$B$8,2,FALSE)&amp;"]")),FALSE)),
IF(VLOOKUP($A131, YES_Reading_FLA[], COLUMN(INDIRECT("YES_Reading_FLA[Difference - Per "&amp;VLOOKUP($G$4, 'Reading Report Logic'!$A$2:$B$8, 2, FALSE)&amp;"]")),FALSE)="", "", VLOOKUP($A131,YES_Reading_FLA[],COLUMN(INDIRECT("YES_Reading_FLA[Difference - Per "&amp;VLOOKUP($G$4, 'Reading Report Logic'!$A$2:$B$8, 2, FALSE)&amp;"]")),FALSE))),""))),"")</f>
        <v/>
      </c>
    </row>
    <row r="132" spans="1:9" ht="14.25" customHeight="1" x14ac:dyDescent="0.25">
      <c r="A132" s="137"/>
      <c r="B132" s="137" t="str">
        <f>IFERROR(INDEX(_xlfn.VSTACK(YES_Writing_ELA[#Data], YES_Writing_FLA[#Data]),MATCH($A132,_xlfn.VSTACK(YES_Writing_ELA[Student Number], YES_Writing_FLA[Student Number]),0),MATCH(B$7,YES_Writing_ELA[#Headers],0)),IFERROR(INDEX(_xlfn.VSTACK(YES_Reading_ELA[#Data], YES_Reading_FLA[#Data]),MATCH($A132,_xlfn.VSTACK(YES_Reading_ELA[Student Number], YES_Reading_FLA[Student Number]),0),MATCH(B$7,YES_Reading_ELA[#Headers],0)),""))</f>
        <v/>
      </c>
      <c r="C132" s="137" t="str">
        <f>IFERROR(INDEX(_xlfn.VSTACK(YES_Writing_ELA[#Data], YES_Writing_FLA[#Data]),MATCH($A132,_xlfn.VSTACK(YES_Writing_ELA[Student Number], YES_Writing_FLA[Student Number]),0),MATCH(C$7,YES_Writing_ELA[#Headers],0)),IFERROR(INDEX(_xlfn.VSTACK(YES_Reading_ELA[#Data], YES_Reading_FLA[#Data]),MATCH($A132,_xlfn.VSTACK(YES_Reading_ELA[Student Number], YES_Reading_FLA[Student Number]),0),MATCH(C$7,YES_Reading_ELA[#Headers],0)),""))</f>
        <v/>
      </c>
      <c r="D132" s="138" t="str">
        <f>IFERROR(IF(IF(INDEX(_xlfn.VSTACK(YES_Writing_ELA[#Data],YES_Writing_FLA[#Data]),MATCH($A132,_xlfn.VSTACK(YES_Writing_ELA[Student Number],YES_Writing_FLA[Student Number]),0),MATCH(VLOOKUP(D$7,'Writing Logic'!$J$7:$K$11,2,FALSE)&amp;" - Per "&amp;VLOOKUP($C$4,'Writing Logic'!$G$8:$H$14,2,FALSE),YES_Writing_ELA[#Headers],0))=0,"",INDEX(_xlfn.VSTACK(YES_Writing_ELA[#Data],YES_Writing_FLA[#Data]),MATCH($A132,_xlfn.VSTACK(YES_Writing_ELA[Student Number],YES_Writing_FLA[Student Number]),0),MATCH(VLOOKUP(D$7,'Writing Logic'!$J$7:$K$11,2,FALSE)&amp;" - Per "&amp;VLOOKUP($C$4,'Writing Logic'!$G$8:$H$14,2,FALSE),YES_Writing_ELA[#Headers],0)))="INS",'Writing Logic'!$B$7,IF(INDEX(_xlfn.VSTACK(YES_Writing_ELA[#Data],YES_Writing_FLA[#Data]),MATCH($A132,_xlfn.VSTACK(YES_Writing_ELA[Student Number],YES_Writing_FLA[Student Number]),0),MATCH(VLOOKUP(D$7,'Writing Logic'!$J$7:$K$11,2,FALSE)&amp;" - Per "&amp;VLOOKUP($C$4,'Writing Logic'!$G$8:$H$14,2,FALSE),YES_Writing_ELA[#Headers],0))=0,"",INDEX(_xlfn.VSTACK(YES_Writing_ELA[#Data],YES_Writing_FLA[#Data]),MATCH($A132,_xlfn.VSTACK(YES_Writing_ELA[Student Number],YES_Writing_FLA[Student Number]),0),MATCH(VLOOKUP(D$7,'Writing Logic'!$J$7:$K$11,2,FALSE)&amp;" - Per "&amp;VLOOKUP($C$4,'Writing Logic'!$G$8:$H$14,2,FALSE),YES_Writing_ELA[#Headers],0)))),"")</f>
        <v/>
      </c>
      <c r="E132" s="138" t="str">
        <f>IFERROR(IF(IF(INDEX(_xlfn.VSTACK(YES_Writing_ELA[#Data],YES_Writing_FLA[#Data]),MATCH($A132,_xlfn.VSTACK(YES_Writing_ELA[Student Number],YES_Writing_FLA[Student Number]),0),MATCH(VLOOKUP(E$7,'Writing Logic'!$J$7:$K$11,2,FALSE)&amp;" - Per "&amp;VLOOKUP($C$4,'Writing Logic'!$G$8:$H$14,2,FALSE),YES_Writing_ELA[#Headers],0))=0,"",INDEX(_xlfn.VSTACK(YES_Writing_ELA[#Data],YES_Writing_FLA[#Data]),MATCH($A132,_xlfn.VSTACK(YES_Writing_ELA[Student Number],YES_Writing_FLA[Student Number]),0),MATCH(VLOOKUP(E$7,'Writing Logic'!$J$7:$K$11,2,FALSE)&amp;" - Per "&amp;VLOOKUP($C$4,'Writing Logic'!$G$8:$H$14,2,FALSE),YES_Writing_ELA[#Headers],0)))="INS",'Writing Logic'!$B$7,IF(INDEX(_xlfn.VSTACK(YES_Writing_ELA[#Data],YES_Writing_FLA[#Data]),MATCH($A132,_xlfn.VSTACK(YES_Writing_ELA[Student Number],YES_Writing_FLA[Student Number]),0),MATCH(VLOOKUP(E$7,'Writing Logic'!$J$7:$K$11,2,FALSE)&amp;" - Per "&amp;VLOOKUP($C$4,'Writing Logic'!$G$8:$H$14,2,FALSE),YES_Writing_ELA[#Headers],0))=0,"",INDEX(_xlfn.VSTACK(YES_Writing_ELA[#Data],YES_Writing_FLA[#Data]),MATCH($A132,_xlfn.VSTACK(YES_Writing_ELA[Student Number],YES_Writing_FLA[Student Number]),0),MATCH(VLOOKUP(E$7,'Writing Logic'!$J$7:$K$11,2,FALSE)&amp;" - Per "&amp;VLOOKUP($C$4,'Writing Logic'!$G$8:$H$14,2,FALSE),YES_Writing_ELA[#Headers],0)))),"")</f>
        <v/>
      </c>
      <c r="F132" s="138" t="str">
        <f>IFERROR(IF(IF(INDEX(_xlfn.VSTACK(YES_Writing_ELA[#Data],YES_Writing_FLA[#Data]),MATCH($A132,_xlfn.VSTACK(YES_Writing_ELA[Student Number],YES_Writing_FLA[Student Number]),0),MATCH(VLOOKUP(F$7,'Writing Logic'!$J$7:$K$11,2,FALSE)&amp;" - Per "&amp;VLOOKUP($C$4,'Writing Logic'!$G$8:$H$14,2,FALSE),YES_Writing_ELA[#Headers],0))=0,"",INDEX(_xlfn.VSTACK(YES_Writing_ELA[#Data],YES_Writing_FLA[#Data]),MATCH($A132,_xlfn.VSTACK(YES_Writing_ELA[Student Number],YES_Writing_FLA[Student Number]),0),MATCH(VLOOKUP(F$7,'Writing Logic'!$J$7:$K$11,2,FALSE)&amp;" - Per "&amp;VLOOKUP($C$4,'Writing Logic'!$G$8:$H$14,2,FALSE),YES_Writing_ELA[#Headers],0)))="INS",'Writing Logic'!$B$7,IF(INDEX(_xlfn.VSTACK(YES_Writing_ELA[#Data],YES_Writing_FLA[#Data]),MATCH($A132,_xlfn.VSTACK(YES_Writing_ELA[Student Number],YES_Writing_FLA[Student Number]),0),MATCH(VLOOKUP(F$7,'Writing Logic'!$J$7:$K$11,2,FALSE)&amp;" - Per "&amp;VLOOKUP($C$4,'Writing Logic'!$G$8:$H$14,2,FALSE),YES_Writing_ELA[#Headers],0))=0,"",INDEX(_xlfn.VSTACK(YES_Writing_ELA[#Data],YES_Writing_FLA[#Data]),MATCH($A132,_xlfn.VSTACK(YES_Writing_ELA[Student Number],YES_Writing_FLA[Student Number]),0),MATCH(VLOOKUP(F$7,'Writing Logic'!$J$7:$K$11,2,FALSE)&amp;" - Per "&amp;VLOOKUP($C$4,'Writing Logic'!$G$8:$H$14,2,FALSE),YES_Writing_ELA[#Headers],0)))),"")</f>
        <v/>
      </c>
      <c r="G132" s="138" t="str">
        <f>IFERROR(IF(IF(INDEX(_xlfn.VSTACK(YES_Writing_ELA[#Data],YES_Writing_FLA[#Data]),MATCH($A132,_xlfn.VSTACK(YES_Writing_ELA[Student Number],YES_Writing_FLA[Student Number]),0),MATCH(VLOOKUP(G$7,'Writing Logic'!$J$7:$K$11,2,FALSE)&amp;" - Per "&amp;VLOOKUP($C$4,'Writing Logic'!$G$8:$H$14,2,FALSE),YES_Writing_ELA[#Headers],0))=0,"",INDEX(_xlfn.VSTACK(YES_Writing_ELA[#Data],YES_Writing_FLA[#Data]),MATCH($A132,_xlfn.VSTACK(YES_Writing_ELA[Student Number],YES_Writing_FLA[Student Number]),0),MATCH(VLOOKUP(G$7,'Writing Logic'!$J$7:$K$11,2,FALSE)&amp;" - Per "&amp;VLOOKUP($C$4,'Writing Logic'!$G$8:$H$14,2,FALSE),YES_Writing_ELA[#Headers],0)))="INS",'Writing Logic'!$B$7,IF(INDEX(_xlfn.VSTACK(YES_Writing_ELA[#Data],YES_Writing_FLA[#Data]),MATCH($A132,_xlfn.VSTACK(YES_Writing_ELA[Student Number],YES_Writing_FLA[Student Number]),0),MATCH(VLOOKUP(G$7,'Writing Logic'!$J$7:$K$11,2,FALSE)&amp;" - Per "&amp;VLOOKUP($C$4,'Writing Logic'!$G$8:$H$14,2,FALSE),YES_Writing_ELA[#Headers],0))=0,"",INDEX(_xlfn.VSTACK(YES_Writing_ELA[#Data],YES_Writing_FLA[#Data]),MATCH($A132,_xlfn.VSTACK(YES_Writing_ELA[Student Number],YES_Writing_FLA[Student Number]),0),MATCH(VLOOKUP(G$7,'Writing Logic'!$J$7:$K$11,2,FALSE)&amp;" - Per "&amp;VLOOKUP($C$4,'Writing Logic'!$G$8:$H$14,2,FALSE),YES_Writing_ELA[#Headers],0)))),"")</f>
        <v/>
      </c>
      <c r="H132" s="223" t="str">
        <f>IFERROR(IF(IF(INDEX(_xlfn.VSTACK(YES_Writing_ELA[#Data],YES_Writing_FLA[#Data]),MATCH($A132,_xlfn.VSTACK(YES_Writing_ELA[Student Number],YES_Writing_FLA[Student Number]),0),MATCH(VLOOKUP(H$7,'Writing Logic'!$J$7:$K$11,2,FALSE)&amp;" - Per "&amp;VLOOKUP($C$4,'Writing Logic'!$G$8:$H$14,2,FALSE),YES_Writing_ELA[#Headers],0))=0,"",INDEX(_xlfn.VSTACK(YES_Writing_ELA[#Data],YES_Writing_FLA[#Data]),MATCH($A132,_xlfn.VSTACK(YES_Writing_ELA[Student Number],YES_Writing_FLA[Student Number]),0),MATCH(VLOOKUP(H$7,'Writing Logic'!$J$7:$K$11,2,FALSE)&amp;" - Per "&amp;VLOOKUP($C$4,'Writing Logic'!$G$8:$H$14,2,FALSE),YES_Writing_ELA[#Headers],0)))="INS",'Writing Logic'!$B$7,IF(INDEX(_xlfn.VSTACK(YES_Writing_ELA[#Data],YES_Writing_FLA[#Data]),MATCH($A132,_xlfn.VSTACK(YES_Writing_ELA[Student Number],YES_Writing_FLA[Student Number]),0),MATCH(VLOOKUP(H$7,'Writing Logic'!$J$7:$K$11,2,FALSE)&amp;" - Per "&amp;VLOOKUP($C$4,'Writing Logic'!$G$8:$H$14,2,FALSE),YES_Writing_ELA[#Headers],0))=0,"",INDEX(_xlfn.VSTACK(YES_Writing_ELA[#Data],YES_Writing_FLA[#Data]),MATCH($A132,_xlfn.VSTACK(YES_Writing_ELA[Student Number],YES_Writing_FLA[Student Number]),0),MATCH(VLOOKUP(H$7,'Writing Logic'!$J$7:$K$11,2,FALSE)&amp;" - Per "&amp;VLOOKUP($C$4,'Writing Logic'!$G$8:$H$14,2,FALSE),YES_Writing_ELA[#Headers],0)))),"")</f>
        <v/>
      </c>
      <c r="I132" s="224" t="str" cm="1">
        <f t="array" aca="1" ref="I132" ca="1">IFERROR(
IF($G$3="ELA",
IF(VLOOKUP($A132, YES_Reading_ELA[], COLUMN(INDIRECT("YES_Reading_ELA[Difference - Per "&amp;VLOOKUP($G$4, 'Reading Report Logic'!$A$2:$B$8, 2, FALSE)&amp;"]")), FALSE)="", "",
VLOOKUP($A132,YES_Reading_ELA[], COLUMN(INDIRECT("YES_Reading_ELA[Difference - Per "&amp;VLOOKUP($G$4,'Reading Report Logic'!$A$2:$B$8,2,FALSE)&amp;"]")), FALSE)),
IF($G$3="FLA",
IF(VLOOKUP($A132, YES_Reading_FLA[], COLUMN(INDIRECT("YES_Reading_FLA[Difference - Per "&amp;VLOOKUP($G$4,'Reading Report Logic'!$A$2:$B$8,2,FALSE)&amp;"]")),FALSE)="","",
VLOOKUP($A132,YES_Reading_FLA[],COLUMN(INDIRECT("YES_Reading_FLA[Difference - Per "&amp;VLOOKUP($G$4,'Reading Report Logic'!$A$2:$B$8,2,FALSE)&amp;"]")),FALSE)),
IF($G$3="Combined",
IFERROR(
IF(VLOOKUP($A132, YES_Reading_ELA[], COLUMN(INDIRECT("YES_Reading_ELA[Difference - Per "&amp;VLOOKUP($G$4, 'Reading Report Logic'!$A$2:$B$8,2,FALSE)&amp;"]")), FALSE)="", "",
VLOOKUP($A132,YES_Reading_ELA[],COLUMN(INDIRECT("YES_Reading_ELA[Difference - Per "&amp;VLOOKUP($G$4,'Reading Report Logic'!$A$2:$B$8,2,FALSE)&amp;"]")),FALSE)),
IF(VLOOKUP($A132, YES_Reading_FLA[], COLUMN(INDIRECT("YES_Reading_FLA[Difference - Per "&amp;VLOOKUP($G$4, 'Reading Report Logic'!$A$2:$B$8, 2, FALSE)&amp;"]")),FALSE)="", "", VLOOKUP($A132,YES_Reading_FLA[],COLUMN(INDIRECT("YES_Reading_FLA[Difference - Per "&amp;VLOOKUP($G$4, 'Reading Report Logic'!$A$2:$B$8, 2, FALSE)&amp;"]")),FALSE))),""))),"")</f>
        <v/>
      </c>
    </row>
    <row r="133" spans="1:9" ht="14.25" customHeight="1" x14ac:dyDescent="0.25">
      <c r="A133" s="137"/>
      <c r="B133" s="137" t="str">
        <f>IFERROR(INDEX(_xlfn.VSTACK(YES_Writing_ELA[#Data], YES_Writing_FLA[#Data]),MATCH($A133,_xlfn.VSTACK(YES_Writing_ELA[Student Number], YES_Writing_FLA[Student Number]),0),MATCH(B$7,YES_Writing_ELA[#Headers],0)),IFERROR(INDEX(_xlfn.VSTACK(YES_Reading_ELA[#Data], YES_Reading_FLA[#Data]),MATCH($A133,_xlfn.VSTACK(YES_Reading_ELA[Student Number], YES_Reading_FLA[Student Number]),0),MATCH(B$7,YES_Reading_ELA[#Headers],0)),""))</f>
        <v/>
      </c>
      <c r="C133" s="137" t="str">
        <f>IFERROR(INDEX(_xlfn.VSTACK(YES_Writing_ELA[#Data], YES_Writing_FLA[#Data]),MATCH($A133,_xlfn.VSTACK(YES_Writing_ELA[Student Number], YES_Writing_FLA[Student Number]),0),MATCH(C$7,YES_Writing_ELA[#Headers],0)),IFERROR(INDEX(_xlfn.VSTACK(YES_Reading_ELA[#Data], YES_Reading_FLA[#Data]),MATCH($A133,_xlfn.VSTACK(YES_Reading_ELA[Student Number], YES_Reading_FLA[Student Number]),0),MATCH(C$7,YES_Reading_ELA[#Headers],0)),""))</f>
        <v/>
      </c>
      <c r="D133" s="138" t="str">
        <f>IFERROR(IF(IF(INDEX(_xlfn.VSTACK(YES_Writing_ELA[#Data],YES_Writing_FLA[#Data]),MATCH($A133,_xlfn.VSTACK(YES_Writing_ELA[Student Number],YES_Writing_FLA[Student Number]),0),MATCH(VLOOKUP(D$7,'Writing Logic'!$J$7:$K$11,2,FALSE)&amp;" - Per "&amp;VLOOKUP($C$4,'Writing Logic'!$G$8:$H$14,2,FALSE),YES_Writing_ELA[#Headers],0))=0,"",INDEX(_xlfn.VSTACK(YES_Writing_ELA[#Data],YES_Writing_FLA[#Data]),MATCH($A133,_xlfn.VSTACK(YES_Writing_ELA[Student Number],YES_Writing_FLA[Student Number]),0),MATCH(VLOOKUP(D$7,'Writing Logic'!$J$7:$K$11,2,FALSE)&amp;" - Per "&amp;VLOOKUP($C$4,'Writing Logic'!$G$8:$H$14,2,FALSE),YES_Writing_ELA[#Headers],0)))="INS",'Writing Logic'!$B$7,IF(INDEX(_xlfn.VSTACK(YES_Writing_ELA[#Data],YES_Writing_FLA[#Data]),MATCH($A133,_xlfn.VSTACK(YES_Writing_ELA[Student Number],YES_Writing_FLA[Student Number]),0),MATCH(VLOOKUP(D$7,'Writing Logic'!$J$7:$K$11,2,FALSE)&amp;" - Per "&amp;VLOOKUP($C$4,'Writing Logic'!$G$8:$H$14,2,FALSE),YES_Writing_ELA[#Headers],0))=0,"",INDEX(_xlfn.VSTACK(YES_Writing_ELA[#Data],YES_Writing_FLA[#Data]),MATCH($A133,_xlfn.VSTACK(YES_Writing_ELA[Student Number],YES_Writing_FLA[Student Number]),0),MATCH(VLOOKUP(D$7,'Writing Logic'!$J$7:$K$11,2,FALSE)&amp;" - Per "&amp;VLOOKUP($C$4,'Writing Logic'!$G$8:$H$14,2,FALSE),YES_Writing_ELA[#Headers],0)))),"")</f>
        <v/>
      </c>
      <c r="E133" s="138" t="str">
        <f>IFERROR(IF(IF(INDEX(_xlfn.VSTACK(YES_Writing_ELA[#Data],YES_Writing_FLA[#Data]),MATCH($A133,_xlfn.VSTACK(YES_Writing_ELA[Student Number],YES_Writing_FLA[Student Number]),0),MATCH(VLOOKUP(E$7,'Writing Logic'!$J$7:$K$11,2,FALSE)&amp;" - Per "&amp;VLOOKUP($C$4,'Writing Logic'!$G$8:$H$14,2,FALSE),YES_Writing_ELA[#Headers],0))=0,"",INDEX(_xlfn.VSTACK(YES_Writing_ELA[#Data],YES_Writing_FLA[#Data]),MATCH($A133,_xlfn.VSTACK(YES_Writing_ELA[Student Number],YES_Writing_FLA[Student Number]),0),MATCH(VLOOKUP(E$7,'Writing Logic'!$J$7:$K$11,2,FALSE)&amp;" - Per "&amp;VLOOKUP($C$4,'Writing Logic'!$G$8:$H$14,2,FALSE),YES_Writing_ELA[#Headers],0)))="INS",'Writing Logic'!$B$7,IF(INDEX(_xlfn.VSTACK(YES_Writing_ELA[#Data],YES_Writing_FLA[#Data]),MATCH($A133,_xlfn.VSTACK(YES_Writing_ELA[Student Number],YES_Writing_FLA[Student Number]),0),MATCH(VLOOKUP(E$7,'Writing Logic'!$J$7:$K$11,2,FALSE)&amp;" - Per "&amp;VLOOKUP($C$4,'Writing Logic'!$G$8:$H$14,2,FALSE),YES_Writing_ELA[#Headers],0))=0,"",INDEX(_xlfn.VSTACK(YES_Writing_ELA[#Data],YES_Writing_FLA[#Data]),MATCH($A133,_xlfn.VSTACK(YES_Writing_ELA[Student Number],YES_Writing_FLA[Student Number]),0),MATCH(VLOOKUP(E$7,'Writing Logic'!$J$7:$K$11,2,FALSE)&amp;" - Per "&amp;VLOOKUP($C$4,'Writing Logic'!$G$8:$H$14,2,FALSE),YES_Writing_ELA[#Headers],0)))),"")</f>
        <v/>
      </c>
      <c r="F133" s="138" t="str">
        <f>IFERROR(IF(IF(INDEX(_xlfn.VSTACK(YES_Writing_ELA[#Data],YES_Writing_FLA[#Data]),MATCH($A133,_xlfn.VSTACK(YES_Writing_ELA[Student Number],YES_Writing_FLA[Student Number]),0),MATCH(VLOOKUP(F$7,'Writing Logic'!$J$7:$K$11,2,FALSE)&amp;" - Per "&amp;VLOOKUP($C$4,'Writing Logic'!$G$8:$H$14,2,FALSE),YES_Writing_ELA[#Headers],0))=0,"",INDEX(_xlfn.VSTACK(YES_Writing_ELA[#Data],YES_Writing_FLA[#Data]),MATCH($A133,_xlfn.VSTACK(YES_Writing_ELA[Student Number],YES_Writing_FLA[Student Number]),0),MATCH(VLOOKUP(F$7,'Writing Logic'!$J$7:$K$11,2,FALSE)&amp;" - Per "&amp;VLOOKUP($C$4,'Writing Logic'!$G$8:$H$14,2,FALSE),YES_Writing_ELA[#Headers],0)))="INS",'Writing Logic'!$B$7,IF(INDEX(_xlfn.VSTACK(YES_Writing_ELA[#Data],YES_Writing_FLA[#Data]),MATCH($A133,_xlfn.VSTACK(YES_Writing_ELA[Student Number],YES_Writing_FLA[Student Number]),0),MATCH(VLOOKUP(F$7,'Writing Logic'!$J$7:$K$11,2,FALSE)&amp;" - Per "&amp;VLOOKUP($C$4,'Writing Logic'!$G$8:$H$14,2,FALSE),YES_Writing_ELA[#Headers],0))=0,"",INDEX(_xlfn.VSTACK(YES_Writing_ELA[#Data],YES_Writing_FLA[#Data]),MATCH($A133,_xlfn.VSTACK(YES_Writing_ELA[Student Number],YES_Writing_FLA[Student Number]),0),MATCH(VLOOKUP(F$7,'Writing Logic'!$J$7:$K$11,2,FALSE)&amp;" - Per "&amp;VLOOKUP($C$4,'Writing Logic'!$G$8:$H$14,2,FALSE),YES_Writing_ELA[#Headers],0)))),"")</f>
        <v/>
      </c>
      <c r="G133" s="138" t="str">
        <f>IFERROR(IF(IF(INDEX(_xlfn.VSTACK(YES_Writing_ELA[#Data],YES_Writing_FLA[#Data]),MATCH($A133,_xlfn.VSTACK(YES_Writing_ELA[Student Number],YES_Writing_FLA[Student Number]),0),MATCH(VLOOKUP(G$7,'Writing Logic'!$J$7:$K$11,2,FALSE)&amp;" - Per "&amp;VLOOKUP($C$4,'Writing Logic'!$G$8:$H$14,2,FALSE),YES_Writing_ELA[#Headers],0))=0,"",INDEX(_xlfn.VSTACK(YES_Writing_ELA[#Data],YES_Writing_FLA[#Data]),MATCH($A133,_xlfn.VSTACK(YES_Writing_ELA[Student Number],YES_Writing_FLA[Student Number]),0),MATCH(VLOOKUP(G$7,'Writing Logic'!$J$7:$K$11,2,FALSE)&amp;" - Per "&amp;VLOOKUP($C$4,'Writing Logic'!$G$8:$H$14,2,FALSE),YES_Writing_ELA[#Headers],0)))="INS",'Writing Logic'!$B$7,IF(INDEX(_xlfn.VSTACK(YES_Writing_ELA[#Data],YES_Writing_FLA[#Data]),MATCH($A133,_xlfn.VSTACK(YES_Writing_ELA[Student Number],YES_Writing_FLA[Student Number]),0),MATCH(VLOOKUP(G$7,'Writing Logic'!$J$7:$K$11,2,FALSE)&amp;" - Per "&amp;VLOOKUP($C$4,'Writing Logic'!$G$8:$H$14,2,FALSE),YES_Writing_ELA[#Headers],0))=0,"",INDEX(_xlfn.VSTACK(YES_Writing_ELA[#Data],YES_Writing_FLA[#Data]),MATCH($A133,_xlfn.VSTACK(YES_Writing_ELA[Student Number],YES_Writing_FLA[Student Number]),0),MATCH(VLOOKUP(G$7,'Writing Logic'!$J$7:$K$11,2,FALSE)&amp;" - Per "&amp;VLOOKUP($C$4,'Writing Logic'!$G$8:$H$14,2,FALSE),YES_Writing_ELA[#Headers],0)))),"")</f>
        <v/>
      </c>
      <c r="H133" s="223" t="str">
        <f>IFERROR(IF(IF(INDEX(_xlfn.VSTACK(YES_Writing_ELA[#Data],YES_Writing_FLA[#Data]),MATCH($A133,_xlfn.VSTACK(YES_Writing_ELA[Student Number],YES_Writing_FLA[Student Number]),0),MATCH(VLOOKUP(H$7,'Writing Logic'!$J$7:$K$11,2,FALSE)&amp;" - Per "&amp;VLOOKUP($C$4,'Writing Logic'!$G$8:$H$14,2,FALSE),YES_Writing_ELA[#Headers],0))=0,"",INDEX(_xlfn.VSTACK(YES_Writing_ELA[#Data],YES_Writing_FLA[#Data]),MATCH($A133,_xlfn.VSTACK(YES_Writing_ELA[Student Number],YES_Writing_FLA[Student Number]),0),MATCH(VLOOKUP(H$7,'Writing Logic'!$J$7:$K$11,2,FALSE)&amp;" - Per "&amp;VLOOKUP($C$4,'Writing Logic'!$G$8:$H$14,2,FALSE),YES_Writing_ELA[#Headers],0)))="INS",'Writing Logic'!$B$7,IF(INDEX(_xlfn.VSTACK(YES_Writing_ELA[#Data],YES_Writing_FLA[#Data]),MATCH($A133,_xlfn.VSTACK(YES_Writing_ELA[Student Number],YES_Writing_FLA[Student Number]),0),MATCH(VLOOKUP(H$7,'Writing Logic'!$J$7:$K$11,2,FALSE)&amp;" - Per "&amp;VLOOKUP($C$4,'Writing Logic'!$G$8:$H$14,2,FALSE),YES_Writing_ELA[#Headers],0))=0,"",INDEX(_xlfn.VSTACK(YES_Writing_ELA[#Data],YES_Writing_FLA[#Data]),MATCH($A133,_xlfn.VSTACK(YES_Writing_ELA[Student Number],YES_Writing_FLA[Student Number]),0),MATCH(VLOOKUP(H$7,'Writing Logic'!$J$7:$K$11,2,FALSE)&amp;" - Per "&amp;VLOOKUP($C$4,'Writing Logic'!$G$8:$H$14,2,FALSE),YES_Writing_ELA[#Headers],0)))),"")</f>
        <v/>
      </c>
      <c r="I133" s="224" t="str" cm="1">
        <f t="array" aca="1" ref="I133" ca="1">IFERROR(
IF($G$3="ELA",
IF(VLOOKUP($A133, YES_Reading_ELA[], COLUMN(INDIRECT("YES_Reading_ELA[Difference - Per "&amp;VLOOKUP($G$4, 'Reading Report Logic'!$A$2:$B$8, 2, FALSE)&amp;"]")), FALSE)="", "",
VLOOKUP($A133,YES_Reading_ELA[], COLUMN(INDIRECT("YES_Reading_ELA[Difference - Per "&amp;VLOOKUP($G$4,'Reading Report Logic'!$A$2:$B$8,2,FALSE)&amp;"]")), FALSE)),
IF($G$3="FLA",
IF(VLOOKUP($A133, YES_Reading_FLA[], COLUMN(INDIRECT("YES_Reading_FLA[Difference - Per "&amp;VLOOKUP($G$4,'Reading Report Logic'!$A$2:$B$8,2,FALSE)&amp;"]")),FALSE)="","",
VLOOKUP($A133,YES_Reading_FLA[],COLUMN(INDIRECT("YES_Reading_FLA[Difference - Per "&amp;VLOOKUP($G$4,'Reading Report Logic'!$A$2:$B$8,2,FALSE)&amp;"]")),FALSE)),
IF($G$3="Combined",
IFERROR(
IF(VLOOKUP($A133, YES_Reading_ELA[], COLUMN(INDIRECT("YES_Reading_ELA[Difference - Per "&amp;VLOOKUP($G$4, 'Reading Report Logic'!$A$2:$B$8,2,FALSE)&amp;"]")), FALSE)="", "",
VLOOKUP($A133,YES_Reading_ELA[],COLUMN(INDIRECT("YES_Reading_ELA[Difference - Per "&amp;VLOOKUP($G$4,'Reading Report Logic'!$A$2:$B$8,2,FALSE)&amp;"]")),FALSE)),
IF(VLOOKUP($A133, YES_Reading_FLA[], COLUMN(INDIRECT("YES_Reading_FLA[Difference - Per "&amp;VLOOKUP($G$4, 'Reading Report Logic'!$A$2:$B$8, 2, FALSE)&amp;"]")),FALSE)="", "", VLOOKUP($A133,YES_Reading_FLA[],COLUMN(INDIRECT("YES_Reading_FLA[Difference - Per "&amp;VLOOKUP($G$4, 'Reading Report Logic'!$A$2:$B$8, 2, FALSE)&amp;"]")),FALSE))),""))),"")</f>
        <v/>
      </c>
    </row>
    <row r="134" spans="1:9" ht="14.25" customHeight="1" x14ac:dyDescent="0.25">
      <c r="A134" s="137"/>
      <c r="B134" s="137" t="str">
        <f>IFERROR(INDEX(_xlfn.VSTACK(YES_Writing_ELA[#Data], YES_Writing_FLA[#Data]),MATCH($A134,_xlfn.VSTACK(YES_Writing_ELA[Student Number], YES_Writing_FLA[Student Number]),0),MATCH(B$7,YES_Writing_ELA[#Headers],0)),IFERROR(INDEX(_xlfn.VSTACK(YES_Reading_ELA[#Data], YES_Reading_FLA[#Data]),MATCH($A134,_xlfn.VSTACK(YES_Reading_ELA[Student Number], YES_Reading_FLA[Student Number]),0),MATCH(B$7,YES_Reading_ELA[#Headers],0)),""))</f>
        <v/>
      </c>
      <c r="C134" s="137" t="str">
        <f>IFERROR(INDEX(_xlfn.VSTACK(YES_Writing_ELA[#Data], YES_Writing_FLA[#Data]),MATCH($A134,_xlfn.VSTACK(YES_Writing_ELA[Student Number], YES_Writing_FLA[Student Number]),0),MATCH(C$7,YES_Writing_ELA[#Headers],0)),IFERROR(INDEX(_xlfn.VSTACK(YES_Reading_ELA[#Data], YES_Reading_FLA[#Data]),MATCH($A134,_xlfn.VSTACK(YES_Reading_ELA[Student Number], YES_Reading_FLA[Student Number]),0),MATCH(C$7,YES_Reading_ELA[#Headers],0)),""))</f>
        <v/>
      </c>
      <c r="D134" s="138" t="str">
        <f>IFERROR(IF(IF(INDEX(_xlfn.VSTACK(YES_Writing_ELA[#Data],YES_Writing_FLA[#Data]),MATCH($A134,_xlfn.VSTACK(YES_Writing_ELA[Student Number],YES_Writing_FLA[Student Number]),0),MATCH(VLOOKUP(D$7,'Writing Logic'!$J$7:$K$11,2,FALSE)&amp;" - Per "&amp;VLOOKUP($C$4,'Writing Logic'!$G$8:$H$14,2,FALSE),YES_Writing_ELA[#Headers],0))=0,"",INDEX(_xlfn.VSTACK(YES_Writing_ELA[#Data],YES_Writing_FLA[#Data]),MATCH($A134,_xlfn.VSTACK(YES_Writing_ELA[Student Number],YES_Writing_FLA[Student Number]),0),MATCH(VLOOKUP(D$7,'Writing Logic'!$J$7:$K$11,2,FALSE)&amp;" - Per "&amp;VLOOKUP($C$4,'Writing Logic'!$G$8:$H$14,2,FALSE),YES_Writing_ELA[#Headers],0)))="INS",'Writing Logic'!$B$7,IF(INDEX(_xlfn.VSTACK(YES_Writing_ELA[#Data],YES_Writing_FLA[#Data]),MATCH($A134,_xlfn.VSTACK(YES_Writing_ELA[Student Number],YES_Writing_FLA[Student Number]),0),MATCH(VLOOKUP(D$7,'Writing Logic'!$J$7:$K$11,2,FALSE)&amp;" - Per "&amp;VLOOKUP($C$4,'Writing Logic'!$G$8:$H$14,2,FALSE),YES_Writing_ELA[#Headers],0))=0,"",INDEX(_xlfn.VSTACK(YES_Writing_ELA[#Data],YES_Writing_FLA[#Data]),MATCH($A134,_xlfn.VSTACK(YES_Writing_ELA[Student Number],YES_Writing_FLA[Student Number]),0),MATCH(VLOOKUP(D$7,'Writing Logic'!$J$7:$K$11,2,FALSE)&amp;" - Per "&amp;VLOOKUP($C$4,'Writing Logic'!$G$8:$H$14,2,FALSE),YES_Writing_ELA[#Headers],0)))),"")</f>
        <v/>
      </c>
      <c r="E134" s="138" t="str">
        <f>IFERROR(IF(IF(INDEX(_xlfn.VSTACK(YES_Writing_ELA[#Data],YES_Writing_FLA[#Data]),MATCH($A134,_xlfn.VSTACK(YES_Writing_ELA[Student Number],YES_Writing_FLA[Student Number]),0),MATCH(VLOOKUP(E$7,'Writing Logic'!$J$7:$K$11,2,FALSE)&amp;" - Per "&amp;VLOOKUP($C$4,'Writing Logic'!$G$8:$H$14,2,FALSE),YES_Writing_ELA[#Headers],0))=0,"",INDEX(_xlfn.VSTACK(YES_Writing_ELA[#Data],YES_Writing_FLA[#Data]),MATCH($A134,_xlfn.VSTACK(YES_Writing_ELA[Student Number],YES_Writing_FLA[Student Number]),0),MATCH(VLOOKUP(E$7,'Writing Logic'!$J$7:$K$11,2,FALSE)&amp;" - Per "&amp;VLOOKUP($C$4,'Writing Logic'!$G$8:$H$14,2,FALSE),YES_Writing_ELA[#Headers],0)))="INS",'Writing Logic'!$B$7,IF(INDEX(_xlfn.VSTACK(YES_Writing_ELA[#Data],YES_Writing_FLA[#Data]),MATCH($A134,_xlfn.VSTACK(YES_Writing_ELA[Student Number],YES_Writing_FLA[Student Number]),0),MATCH(VLOOKUP(E$7,'Writing Logic'!$J$7:$K$11,2,FALSE)&amp;" - Per "&amp;VLOOKUP($C$4,'Writing Logic'!$G$8:$H$14,2,FALSE),YES_Writing_ELA[#Headers],0))=0,"",INDEX(_xlfn.VSTACK(YES_Writing_ELA[#Data],YES_Writing_FLA[#Data]),MATCH($A134,_xlfn.VSTACK(YES_Writing_ELA[Student Number],YES_Writing_FLA[Student Number]),0),MATCH(VLOOKUP(E$7,'Writing Logic'!$J$7:$K$11,2,FALSE)&amp;" - Per "&amp;VLOOKUP($C$4,'Writing Logic'!$G$8:$H$14,2,FALSE),YES_Writing_ELA[#Headers],0)))),"")</f>
        <v/>
      </c>
      <c r="F134" s="138" t="str">
        <f>IFERROR(IF(IF(INDEX(_xlfn.VSTACK(YES_Writing_ELA[#Data],YES_Writing_FLA[#Data]),MATCH($A134,_xlfn.VSTACK(YES_Writing_ELA[Student Number],YES_Writing_FLA[Student Number]),0),MATCH(VLOOKUP(F$7,'Writing Logic'!$J$7:$K$11,2,FALSE)&amp;" - Per "&amp;VLOOKUP($C$4,'Writing Logic'!$G$8:$H$14,2,FALSE),YES_Writing_ELA[#Headers],0))=0,"",INDEX(_xlfn.VSTACK(YES_Writing_ELA[#Data],YES_Writing_FLA[#Data]),MATCH($A134,_xlfn.VSTACK(YES_Writing_ELA[Student Number],YES_Writing_FLA[Student Number]),0),MATCH(VLOOKUP(F$7,'Writing Logic'!$J$7:$K$11,2,FALSE)&amp;" - Per "&amp;VLOOKUP($C$4,'Writing Logic'!$G$8:$H$14,2,FALSE),YES_Writing_ELA[#Headers],0)))="INS",'Writing Logic'!$B$7,IF(INDEX(_xlfn.VSTACK(YES_Writing_ELA[#Data],YES_Writing_FLA[#Data]),MATCH($A134,_xlfn.VSTACK(YES_Writing_ELA[Student Number],YES_Writing_FLA[Student Number]),0),MATCH(VLOOKUP(F$7,'Writing Logic'!$J$7:$K$11,2,FALSE)&amp;" - Per "&amp;VLOOKUP($C$4,'Writing Logic'!$G$8:$H$14,2,FALSE),YES_Writing_ELA[#Headers],0))=0,"",INDEX(_xlfn.VSTACK(YES_Writing_ELA[#Data],YES_Writing_FLA[#Data]),MATCH($A134,_xlfn.VSTACK(YES_Writing_ELA[Student Number],YES_Writing_FLA[Student Number]),0),MATCH(VLOOKUP(F$7,'Writing Logic'!$J$7:$K$11,2,FALSE)&amp;" - Per "&amp;VLOOKUP($C$4,'Writing Logic'!$G$8:$H$14,2,FALSE),YES_Writing_ELA[#Headers],0)))),"")</f>
        <v/>
      </c>
      <c r="G134" s="138" t="str">
        <f>IFERROR(IF(IF(INDEX(_xlfn.VSTACK(YES_Writing_ELA[#Data],YES_Writing_FLA[#Data]),MATCH($A134,_xlfn.VSTACK(YES_Writing_ELA[Student Number],YES_Writing_FLA[Student Number]),0),MATCH(VLOOKUP(G$7,'Writing Logic'!$J$7:$K$11,2,FALSE)&amp;" - Per "&amp;VLOOKUP($C$4,'Writing Logic'!$G$8:$H$14,2,FALSE),YES_Writing_ELA[#Headers],0))=0,"",INDEX(_xlfn.VSTACK(YES_Writing_ELA[#Data],YES_Writing_FLA[#Data]),MATCH($A134,_xlfn.VSTACK(YES_Writing_ELA[Student Number],YES_Writing_FLA[Student Number]),0),MATCH(VLOOKUP(G$7,'Writing Logic'!$J$7:$K$11,2,FALSE)&amp;" - Per "&amp;VLOOKUP($C$4,'Writing Logic'!$G$8:$H$14,2,FALSE),YES_Writing_ELA[#Headers],0)))="INS",'Writing Logic'!$B$7,IF(INDEX(_xlfn.VSTACK(YES_Writing_ELA[#Data],YES_Writing_FLA[#Data]),MATCH($A134,_xlfn.VSTACK(YES_Writing_ELA[Student Number],YES_Writing_FLA[Student Number]),0),MATCH(VLOOKUP(G$7,'Writing Logic'!$J$7:$K$11,2,FALSE)&amp;" - Per "&amp;VLOOKUP($C$4,'Writing Logic'!$G$8:$H$14,2,FALSE),YES_Writing_ELA[#Headers],0))=0,"",INDEX(_xlfn.VSTACK(YES_Writing_ELA[#Data],YES_Writing_FLA[#Data]),MATCH($A134,_xlfn.VSTACK(YES_Writing_ELA[Student Number],YES_Writing_FLA[Student Number]),0),MATCH(VLOOKUP(G$7,'Writing Logic'!$J$7:$K$11,2,FALSE)&amp;" - Per "&amp;VLOOKUP($C$4,'Writing Logic'!$G$8:$H$14,2,FALSE),YES_Writing_ELA[#Headers],0)))),"")</f>
        <v/>
      </c>
      <c r="H134" s="223" t="str">
        <f>IFERROR(IF(IF(INDEX(_xlfn.VSTACK(YES_Writing_ELA[#Data],YES_Writing_FLA[#Data]),MATCH($A134,_xlfn.VSTACK(YES_Writing_ELA[Student Number],YES_Writing_FLA[Student Number]),0),MATCH(VLOOKUP(H$7,'Writing Logic'!$J$7:$K$11,2,FALSE)&amp;" - Per "&amp;VLOOKUP($C$4,'Writing Logic'!$G$8:$H$14,2,FALSE),YES_Writing_ELA[#Headers],0))=0,"",INDEX(_xlfn.VSTACK(YES_Writing_ELA[#Data],YES_Writing_FLA[#Data]),MATCH($A134,_xlfn.VSTACK(YES_Writing_ELA[Student Number],YES_Writing_FLA[Student Number]),0),MATCH(VLOOKUP(H$7,'Writing Logic'!$J$7:$K$11,2,FALSE)&amp;" - Per "&amp;VLOOKUP($C$4,'Writing Logic'!$G$8:$H$14,2,FALSE),YES_Writing_ELA[#Headers],0)))="INS",'Writing Logic'!$B$7,IF(INDEX(_xlfn.VSTACK(YES_Writing_ELA[#Data],YES_Writing_FLA[#Data]),MATCH($A134,_xlfn.VSTACK(YES_Writing_ELA[Student Number],YES_Writing_FLA[Student Number]),0),MATCH(VLOOKUP(H$7,'Writing Logic'!$J$7:$K$11,2,FALSE)&amp;" - Per "&amp;VLOOKUP($C$4,'Writing Logic'!$G$8:$H$14,2,FALSE),YES_Writing_ELA[#Headers],0))=0,"",INDEX(_xlfn.VSTACK(YES_Writing_ELA[#Data],YES_Writing_FLA[#Data]),MATCH($A134,_xlfn.VSTACK(YES_Writing_ELA[Student Number],YES_Writing_FLA[Student Number]),0),MATCH(VLOOKUP(H$7,'Writing Logic'!$J$7:$K$11,2,FALSE)&amp;" - Per "&amp;VLOOKUP($C$4,'Writing Logic'!$G$8:$H$14,2,FALSE),YES_Writing_ELA[#Headers],0)))),"")</f>
        <v/>
      </c>
      <c r="I134" s="224" t="str" cm="1">
        <f t="array" aca="1" ref="I134" ca="1">IFERROR(
IF($G$3="ELA",
IF(VLOOKUP($A134, YES_Reading_ELA[], COLUMN(INDIRECT("YES_Reading_ELA[Difference - Per "&amp;VLOOKUP($G$4, 'Reading Report Logic'!$A$2:$B$8, 2, FALSE)&amp;"]")), FALSE)="", "",
VLOOKUP($A134,YES_Reading_ELA[], COLUMN(INDIRECT("YES_Reading_ELA[Difference - Per "&amp;VLOOKUP($G$4,'Reading Report Logic'!$A$2:$B$8,2,FALSE)&amp;"]")), FALSE)),
IF($G$3="FLA",
IF(VLOOKUP($A134, YES_Reading_FLA[], COLUMN(INDIRECT("YES_Reading_FLA[Difference - Per "&amp;VLOOKUP($G$4,'Reading Report Logic'!$A$2:$B$8,2,FALSE)&amp;"]")),FALSE)="","",
VLOOKUP($A134,YES_Reading_FLA[],COLUMN(INDIRECT("YES_Reading_FLA[Difference - Per "&amp;VLOOKUP($G$4,'Reading Report Logic'!$A$2:$B$8,2,FALSE)&amp;"]")),FALSE)),
IF($G$3="Combined",
IFERROR(
IF(VLOOKUP($A134, YES_Reading_ELA[], COLUMN(INDIRECT("YES_Reading_ELA[Difference - Per "&amp;VLOOKUP($G$4, 'Reading Report Logic'!$A$2:$B$8,2,FALSE)&amp;"]")), FALSE)="", "",
VLOOKUP($A134,YES_Reading_ELA[],COLUMN(INDIRECT("YES_Reading_ELA[Difference - Per "&amp;VLOOKUP($G$4,'Reading Report Logic'!$A$2:$B$8,2,FALSE)&amp;"]")),FALSE)),
IF(VLOOKUP($A134, YES_Reading_FLA[], COLUMN(INDIRECT("YES_Reading_FLA[Difference - Per "&amp;VLOOKUP($G$4, 'Reading Report Logic'!$A$2:$B$8, 2, FALSE)&amp;"]")),FALSE)="", "", VLOOKUP($A134,YES_Reading_FLA[],COLUMN(INDIRECT("YES_Reading_FLA[Difference - Per "&amp;VLOOKUP($G$4, 'Reading Report Logic'!$A$2:$B$8, 2, FALSE)&amp;"]")),FALSE))),""))),"")</f>
        <v/>
      </c>
    </row>
    <row r="135" spans="1:9" ht="14.25" customHeight="1" x14ac:dyDescent="0.25">
      <c r="A135" s="137"/>
      <c r="B135" s="137" t="str">
        <f>IFERROR(INDEX(_xlfn.VSTACK(YES_Writing_ELA[#Data], YES_Writing_FLA[#Data]),MATCH($A135,_xlfn.VSTACK(YES_Writing_ELA[Student Number], YES_Writing_FLA[Student Number]),0),MATCH(B$7,YES_Writing_ELA[#Headers],0)),IFERROR(INDEX(_xlfn.VSTACK(YES_Reading_ELA[#Data], YES_Reading_FLA[#Data]),MATCH($A135,_xlfn.VSTACK(YES_Reading_ELA[Student Number], YES_Reading_FLA[Student Number]),0),MATCH(B$7,YES_Reading_ELA[#Headers],0)),""))</f>
        <v/>
      </c>
      <c r="C135" s="137" t="str">
        <f>IFERROR(INDEX(_xlfn.VSTACK(YES_Writing_ELA[#Data], YES_Writing_FLA[#Data]),MATCH($A135,_xlfn.VSTACK(YES_Writing_ELA[Student Number], YES_Writing_FLA[Student Number]),0),MATCH(C$7,YES_Writing_ELA[#Headers],0)),IFERROR(INDEX(_xlfn.VSTACK(YES_Reading_ELA[#Data], YES_Reading_FLA[#Data]),MATCH($A135,_xlfn.VSTACK(YES_Reading_ELA[Student Number], YES_Reading_FLA[Student Number]),0),MATCH(C$7,YES_Reading_ELA[#Headers],0)),""))</f>
        <v/>
      </c>
      <c r="D135" s="138" t="str">
        <f>IFERROR(IF(IF(INDEX(_xlfn.VSTACK(YES_Writing_ELA[#Data],YES_Writing_FLA[#Data]),MATCH($A135,_xlfn.VSTACK(YES_Writing_ELA[Student Number],YES_Writing_FLA[Student Number]),0),MATCH(VLOOKUP(D$7,'Writing Logic'!$J$7:$K$11,2,FALSE)&amp;" - Per "&amp;VLOOKUP($C$4,'Writing Logic'!$G$8:$H$14,2,FALSE),YES_Writing_ELA[#Headers],0))=0,"",INDEX(_xlfn.VSTACK(YES_Writing_ELA[#Data],YES_Writing_FLA[#Data]),MATCH($A135,_xlfn.VSTACK(YES_Writing_ELA[Student Number],YES_Writing_FLA[Student Number]),0),MATCH(VLOOKUP(D$7,'Writing Logic'!$J$7:$K$11,2,FALSE)&amp;" - Per "&amp;VLOOKUP($C$4,'Writing Logic'!$G$8:$H$14,2,FALSE),YES_Writing_ELA[#Headers],0)))="INS",'Writing Logic'!$B$7,IF(INDEX(_xlfn.VSTACK(YES_Writing_ELA[#Data],YES_Writing_FLA[#Data]),MATCH($A135,_xlfn.VSTACK(YES_Writing_ELA[Student Number],YES_Writing_FLA[Student Number]),0),MATCH(VLOOKUP(D$7,'Writing Logic'!$J$7:$K$11,2,FALSE)&amp;" - Per "&amp;VLOOKUP($C$4,'Writing Logic'!$G$8:$H$14,2,FALSE),YES_Writing_ELA[#Headers],0))=0,"",INDEX(_xlfn.VSTACK(YES_Writing_ELA[#Data],YES_Writing_FLA[#Data]),MATCH($A135,_xlfn.VSTACK(YES_Writing_ELA[Student Number],YES_Writing_FLA[Student Number]),0),MATCH(VLOOKUP(D$7,'Writing Logic'!$J$7:$K$11,2,FALSE)&amp;" - Per "&amp;VLOOKUP($C$4,'Writing Logic'!$G$8:$H$14,2,FALSE),YES_Writing_ELA[#Headers],0)))),"")</f>
        <v/>
      </c>
      <c r="E135" s="138" t="str">
        <f>IFERROR(IF(IF(INDEX(_xlfn.VSTACK(YES_Writing_ELA[#Data],YES_Writing_FLA[#Data]),MATCH($A135,_xlfn.VSTACK(YES_Writing_ELA[Student Number],YES_Writing_FLA[Student Number]),0),MATCH(VLOOKUP(E$7,'Writing Logic'!$J$7:$K$11,2,FALSE)&amp;" - Per "&amp;VLOOKUP($C$4,'Writing Logic'!$G$8:$H$14,2,FALSE),YES_Writing_ELA[#Headers],0))=0,"",INDEX(_xlfn.VSTACK(YES_Writing_ELA[#Data],YES_Writing_FLA[#Data]),MATCH($A135,_xlfn.VSTACK(YES_Writing_ELA[Student Number],YES_Writing_FLA[Student Number]),0),MATCH(VLOOKUP(E$7,'Writing Logic'!$J$7:$K$11,2,FALSE)&amp;" - Per "&amp;VLOOKUP($C$4,'Writing Logic'!$G$8:$H$14,2,FALSE),YES_Writing_ELA[#Headers],0)))="INS",'Writing Logic'!$B$7,IF(INDEX(_xlfn.VSTACK(YES_Writing_ELA[#Data],YES_Writing_FLA[#Data]),MATCH($A135,_xlfn.VSTACK(YES_Writing_ELA[Student Number],YES_Writing_FLA[Student Number]),0),MATCH(VLOOKUP(E$7,'Writing Logic'!$J$7:$K$11,2,FALSE)&amp;" - Per "&amp;VLOOKUP($C$4,'Writing Logic'!$G$8:$H$14,2,FALSE),YES_Writing_ELA[#Headers],0))=0,"",INDEX(_xlfn.VSTACK(YES_Writing_ELA[#Data],YES_Writing_FLA[#Data]),MATCH($A135,_xlfn.VSTACK(YES_Writing_ELA[Student Number],YES_Writing_FLA[Student Number]),0),MATCH(VLOOKUP(E$7,'Writing Logic'!$J$7:$K$11,2,FALSE)&amp;" - Per "&amp;VLOOKUP($C$4,'Writing Logic'!$G$8:$H$14,2,FALSE),YES_Writing_ELA[#Headers],0)))),"")</f>
        <v/>
      </c>
      <c r="F135" s="138" t="str">
        <f>IFERROR(IF(IF(INDEX(_xlfn.VSTACK(YES_Writing_ELA[#Data],YES_Writing_FLA[#Data]),MATCH($A135,_xlfn.VSTACK(YES_Writing_ELA[Student Number],YES_Writing_FLA[Student Number]),0),MATCH(VLOOKUP(F$7,'Writing Logic'!$J$7:$K$11,2,FALSE)&amp;" - Per "&amp;VLOOKUP($C$4,'Writing Logic'!$G$8:$H$14,2,FALSE),YES_Writing_ELA[#Headers],0))=0,"",INDEX(_xlfn.VSTACK(YES_Writing_ELA[#Data],YES_Writing_FLA[#Data]),MATCH($A135,_xlfn.VSTACK(YES_Writing_ELA[Student Number],YES_Writing_FLA[Student Number]),0),MATCH(VLOOKUP(F$7,'Writing Logic'!$J$7:$K$11,2,FALSE)&amp;" - Per "&amp;VLOOKUP($C$4,'Writing Logic'!$G$8:$H$14,2,FALSE),YES_Writing_ELA[#Headers],0)))="INS",'Writing Logic'!$B$7,IF(INDEX(_xlfn.VSTACK(YES_Writing_ELA[#Data],YES_Writing_FLA[#Data]),MATCH($A135,_xlfn.VSTACK(YES_Writing_ELA[Student Number],YES_Writing_FLA[Student Number]),0),MATCH(VLOOKUP(F$7,'Writing Logic'!$J$7:$K$11,2,FALSE)&amp;" - Per "&amp;VLOOKUP($C$4,'Writing Logic'!$G$8:$H$14,2,FALSE),YES_Writing_ELA[#Headers],0))=0,"",INDEX(_xlfn.VSTACK(YES_Writing_ELA[#Data],YES_Writing_FLA[#Data]),MATCH($A135,_xlfn.VSTACK(YES_Writing_ELA[Student Number],YES_Writing_FLA[Student Number]),0),MATCH(VLOOKUP(F$7,'Writing Logic'!$J$7:$K$11,2,FALSE)&amp;" - Per "&amp;VLOOKUP($C$4,'Writing Logic'!$G$8:$H$14,2,FALSE),YES_Writing_ELA[#Headers],0)))),"")</f>
        <v/>
      </c>
      <c r="G135" s="138" t="str">
        <f>IFERROR(IF(IF(INDEX(_xlfn.VSTACK(YES_Writing_ELA[#Data],YES_Writing_FLA[#Data]),MATCH($A135,_xlfn.VSTACK(YES_Writing_ELA[Student Number],YES_Writing_FLA[Student Number]),0),MATCH(VLOOKUP(G$7,'Writing Logic'!$J$7:$K$11,2,FALSE)&amp;" - Per "&amp;VLOOKUP($C$4,'Writing Logic'!$G$8:$H$14,2,FALSE),YES_Writing_ELA[#Headers],0))=0,"",INDEX(_xlfn.VSTACK(YES_Writing_ELA[#Data],YES_Writing_FLA[#Data]),MATCH($A135,_xlfn.VSTACK(YES_Writing_ELA[Student Number],YES_Writing_FLA[Student Number]),0),MATCH(VLOOKUP(G$7,'Writing Logic'!$J$7:$K$11,2,FALSE)&amp;" - Per "&amp;VLOOKUP($C$4,'Writing Logic'!$G$8:$H$14,2,FALSE),YES_Writing_ELA[#Headers],0)))="INS",'Writing Logic'!$B$7,IF(INDEX(_xlfn.VSTACK(YES_Writing_ELA[#Data],YES_Writing_FLA[#Data]),MATCH($A135,_xlfn.VSTACK(YES_Writing_ELA[Student Number],YES_Writing_FLA[Student Number]),0),MATCH(VLOOKUP(G$7,'Writing Logic'!$J$7:$K$11,2,FALSE)&amp;" - Per "&amp;VLOOKUP($C$4,'Writing Logic'!$G$8:$H$14,2,FALSE),YES_Writing_ELA[#Headers],0))=0,"",INDEX(_xlfn.VSTACK(YES_Writing_ELA[#Data],YES_Writing_FLA[#Data]),MATCH($A135,_xlfn.VSTACK(YES_Writing_ELA[Student Number],YES_Writing_FLA[Student Number]),0),MATCH(VLOOKUP(G$7,'Writing Logic'!$J$7:$K$11,2,FALSE)&amp;" - Per "&amp;VLOOKUP($C$4,'Writing Logic'!$G$8:$H$14,2,FALSE),YES_Writing_ELA[#Headers],0)))),"")</f>
        <v/>
      </c>
      <c r="H135" s="223" t="str">
        <f>IFERROR(IF(IF(INDEX(_xlfn.VSTACK(YES_Writing_ELA[#Data],YES_Writing_FLA[#Data]),MATCH($A135,_xlfn.VSTACK(YES_Writing_ELA[Student Number],YES_Writing_FLA[Student Number]),0),MATCH(VLOOKUP(H$7,'Writing Logic'!$J$7:$K$11,2,FALSE)&amp;" - Per "&amp;VLOOKUP($C$4,'Writing Logic'!$G$8:$H$14,2,FALSE),YES_Writing_ELA[#Headers],0))=0,"",INDEX(_xlfn.VSTACK(YES_Writing_ELA[#Data],YES_Writing_FLA[#Data]),MATCH($A135,_xlfn.VSTACK(YES_Writing_ELA[Student Number],YES_Writing_FLA[Student Number]),0),MATCH(VLOOKUP(H$7,'Writing Logic'!$J$7:$K$11,2,FALSE)&amp;" - Per "&amp;VLOOKUP($C$4,'Writing Logic'!$G$8:$H$14,2,FALSE),YES_Writing_ELA[#Headers],0)))="INS",'Writing Logic'!$B$7,IF(INDEX(_xlfn.VSTACK(YES_Writing_ELA[#Data],YES_Writing_FLA[#Data]),MATCH($A135,_xlfn.VSTACK(YES_Writing_ELA[Student Number],YES_Writing_FLA[Student Number]),0),MATCH(VLOOKUP(H$7,'Writing Logic'!$J$7:$K$11,2,FALSE)&amp;" - Per "&amp;VLOOKUP($C$4,'Writing Logic'!$G$8:$H$14,2,FALSE),YES_Writing_ELA[#Headers],0))=0,"",INDEX(_xlfn.VSTACK(YES_Writing_ELA[#Data],YES_Writing_FLA[#Data]),MATCH($A135,_xlfn.VSTACK(YES_Writing_ELA[Student Number],YES_Writing_FLA[Student Number]),0),MATCH(VLOOKUP(H$7,'Writing Logic'!$J$7:$K$11,2,FALSE)&amp;" - Per "&amp;VLOOKUP($C$4,'Writing Logic'!$G$8:$H$14,2,FALSE),YES_Writing_ELA[#Headers],0)))),"")</f>
        <v/>
      </c>
      <c r="I135" s="224" t="str" cm="1">
        <f t="array" aca="1" ref="I135" ca="1">IFERROR(
IF($G$3="ELA",
IF(VLOOKUP($A135, YES_Reading_ELA[], COLUMN(INDIRECT("YES_Reading_ELA[Difference - Per "&amp;VLOOKUP($G$4, 'Reading Report Logic'!$A$2:$B$8, 2, FALSE)&amp;"]")), FALSE)="", "",
VLOOKUP($A135,YES_Reading_ELA[], COLUMN(INDIRECT("YES_Reading_ELA[Difference - Per "&amp;VLOOKUP($G$4,'Reading Report Logic'!$A$2:$B$8,2,FALSE)&amp;"]")), FALSE)),
IF($G$3="FLA",
IF(VLOOKUP($A135, YES_Reading_FLA[], COLUMN(INDIRECT("YES_Reading_FLA[Difference - Per "&amp;VLOOKUP($G$4,'Reading Report Logic'!$A$2:$B$8,2,FALSE)&amp;"]")),FALSE)="","",
VLOOKUP($A135,YES_Reading_FLA[],COLUMN(INDIRECT("YES_Reading_FLA[Difference - Per "&amp;VLOOKUP($G$4,'Reading Report Logic'!$A$2:$B$8,2,FALSE)&amp;"]")),FALSE)),
IF($G$3="Combined",
IFERROR(
IF(VLOOKUP($A135, YES_Reading_ELA[], COLUMN(INDIRECT("YES_Reading_ELA[Difference - Per "&amp;VLOOKUP($G$4, 'Reading Report Logic'!$A$2:$B$8,2,FALSE)&amp;"]")), FALSE)="", "",
VLOOKUP($A135,YES_Reading_ELA[],COLUMN(INDIRECT("YES_Reading_ELA[Difference - Per "&amp;VLOOKUP($G$4,'Reading Report Logic'!$A$2:$B$8,2,FALSE)&amp;"]")),FALSE)),
IF(VLOOKUP($A135, YES_Reading_FLA[], COLUMN(INDIRECT("YES_Reading_FLA[Difference - Per "&amp;VLOOKUP($G$4, 'Reading Report Logic'!$A$2:$B$8, 2, FALSE)&amp;"]")),FALSE)="", "", VLOOKUP($A135,YES_Reading_FLA[],COLUMN(INDIRECT("YES_Reading_FLA[Difference - Per "&amp;VLOOKUP($G$4, 'Reading Report Logic'!$A$2:$B$8, 2, FALSE)&amp;"]")),FALSE))),""))),"")</f>
        <v/>
      </c>
    </row>
    <row r="136" spans="1:9" ht="14.25" customHeight="1" x14ac:dyDescent="0.25">
      <c r="A136" s="137"/>
      <c r="B136" s="137" t="str">
        <f>IFERROR(INDEX(_xlfn.VSTACK(YES_Writing_ELA[#Data], YES_Writing_FLA[#Data]),MATCH($A136,_xlfn.VSTACK(YES_Writing_ELA[Student Number], YES_Writing_FLA[Student Number]),0),MATCH(B$7,YES_Writing_ELA[#Headers],0)),IFERROR(INDEX(_xlfn.VSTACK(YES_Reading_ELA[#Data], YES_Reading_FLA[#Data]),MATCH($A136,_xlfn.VSTACK(YES_Reading_ELA[Student Number], YES_Reading_FLA[Student Number]),0),MATCH(B$7,YES_Reading_ELA[#Headers],0)),""))</f>
        <v/>
      </c>
      <c r="C136" s="137" t="str">
        <f>IFERROR(INDEX(_xlfn.VSTACK(YES_Writing_ELA[#Data], YES_Writing_FLA[#Data]),MATCH($A136,_xlfn.VSTACK(YES_Writing_ELA[Student Number], YES_Writing_FLA[Student Number]),0),MATCH(C$7,YES_Writing_ELA[#Headers],0)),IFERROR(INDEX(_xlfn.VSTACK(YES_Reading_ELA[#Data], YES_Reading_FLA[#Data]),MATCH($A136,_xlfn.VSTACK(YES_Reading_ELA[Student Number], YES_Reading_FLA[Student Number]),0),MATCH(C$7,YES_Reading_ELA[#Headers],0)),""))</f>
        <v/>
      </c>
      <c r="D136" s="138" t="str">
        <f>IFERROR(IF(IF(INDEX(_xlfn.VSTACK(YES_Writing_ELA[#Data],YES_Writing_FLA[#Data]),MATCH($A136,_xlfn.VSTACK(YES_Writing_ELA[Student Number],YES_Writing_FLA[Student Number]),0),MATCH(VLOOKUP(D$7,'Writing Logic'!$J$7:$K$11,2,FALSE)&amp;" - Per "&amp;VLOOKUP($C$4,'Writing Logic'!$G$8:$H$14,2,FALSE),YES_Writing_ELA[#Headers],0))=0,"",INDEX(_xlfn.VSTACK(YES_Writing_ELA[#Data],YES_Writing_FLA[#Data]),MATCH($A136,_xlfn.VSTACK(YES_Writing_ELA[Student Number],YES_Writing_FLA[Student Number]),0),MATCH(VLOOKUP(D$7,'Writing Logic'!$J$7:$K$11,2,FALSE)&amp;" - Per "&amp;VLOOKUP($C$4,'Writing Logic'!$G$8:$H$14,2,FALSE),YES_Writing_ELA[#Headers],0)))="INS",'Writing Logic'!$B$7,IF(INDEX(_xlfn.VSTACK(YES_Writing_ELA[#Data],YES_Writing_FLA[#Data]),MATCH($A136,_xlfn.VSTACK(YES_Writing_ELA[Student Number],YES_Writing_FLA[Student Number]),0),MATCH(VLOOKUP(D$7,'Writing Logic'!$J$7:$K$11,2,FALSE)&amp;" - Per "&amp;VLOOKUP($C$4,'Writing Logic'!$G$8:$H$14,2,FALSE),YES_Writing_ELA[#Headers],0))=0,"",INDEX(_xlfn.VSTACK(YES_Writing_ELA[#Data],YES_Writing_FLA[#Data]),MATCH($A136,_xlfn.VSTACK(YES_Writing_ELA[Student Number],YES_Writing_FLA[Student Number]),0),MATCH(VLOOKUP(D$7,'Writing Logic'!$J$7:$K$11,2,FALSE)&amp;" - Per "&amp;VLOOKUP($C$4,'Writing Logic'!$G$8:$H$14,2,FALSE),YES_Writing_ELA[#Headers],0)))),"")</f>
        <v/>
      </c>
      <c r="E136" s="138" t="str">
        <f>IFERROR(IF(IF(INDEX(_xlfn.VSTACK(YES_Writing_ELA[#Data],YES_Writing_FLA[#Data]),MATCH($A136,_xlfn.VSTACK(YES_Writing_ELA[Student Number],YES_Writing_FLA[Student Number]),0),MATCH(VLOOKUP(E$7,'Writing Logic'!$J$7:$K$11,2,FALSE)&amp;" - Per "&amp;VLOOKUP($C$4,'Writing Logic'!$G$8:$H$14,2,FALSE),YES_Writing_ELA[#Headers],0))=0,"",INDEX(_xlfn.VSTACK(YES_Writing_ELA[#Data],YES_Writing_FLA[#Data]),MATCH($A136,_xlfn.VSTACK(YES_Writing_ELA[Student Number],YES_Writing_FLA[Student Number]),0),MATCH(VLOOKUP(E$7,'Writing Logic'!$J$7:$K$11,2,FALSE)&amp;" - Per "&amp;VLOOKUP($C$4,'Writing Logic'!$G$8:$H$14,2,FALSE),YES_Writing_ELA[#Headers],0)))="INS",'Writing Logic'!$B$7,IF(INDEX(_xlfn.VSTACK(YES_Writing_ELA[#Data],YES_Writing_FLA[#Data]),MATCH($A136,_xlfn.VSTACK(YES_Writing_ELA[Student Number],YES_Writing_FLA[Student Number]),0),MATCH(VLOOKUP(E$7,'Writing Logic'!$J$7:$K$11,2,FALSE)&amp;" - Per "&amp;VLOOKUP($C$4,'Writing Logic'!$G$8:$H$14,2,FALSE),YES_Writing_ELA[#Headers],0))=0,"",INDEX(_xlfn.VSTACK(YES_Writing_ELA[#Data],YES_Writing_FLA[#Data]),MATCH($A136,_xlfn.VSTACK(YES_Writing_ELA[Student Number],YES_Writing_FLA[Student Number]),0),MATCH(VLOOKUP(E$7,'Writing Logic'!$J$7:$K$11,2,FALSE)&amp;" - Per "&amp;VLOOKUP($C$4,'Writing Logic'!$G$8:$H$14,2,FALSE),YES_Writing_ELA[#Headers],0)))),"")</f>
        <v/>
      </c>
      <c r="F136" s="138" t="str">
        <f>IFERROR(IF(IF(INDEX(_xlfn.VSTACK(YES_Writing_ELA[#Data],YES_Writing_FLA[#Data]),MATCH($A136,_xlfn.VSTACK(YES_Writing_ELA[Student Number],YES_Writing_FLA[Student Number]),0),MATCH(VLOOKUP(F$7,'Writing Logic'!$J$7:$K$11,2,FALSE)&amp;" - Per "&amp;VLOOKUP($C$4,'Writing Logic'!$G$8:$H$14,2,FALSE),YES_Writing_ELA[#Headers],0))=0,"",INDEX(_xlfn.VSTACK(YES_Writing_ELA[#Data],YES_Writing_FLA[#Data]),MATCH($A136,_xlfn.VSTACK(YES_Writing_ELA[Student Number],YES_Writing_FLA[Student Number]),0),MATCH(VLOOKUP(F$7,'Writing Logic'!$J$7:$K$11,2,FALSE)&amp;" - Per "&amp;VLOOKUP($C$4,'Writing Logic'!$G$8:$H$14,2,FALSE),YES_Writing_ELA[#Headers],0)))="INS",'Writing Logic'!$B$7,IF(INDEX(_xlfn.VSTACK(YES_Writing_ELA[#Data],YES_Writing_FLA[#Data]),MATCH($A136,_xlfn.VSTACK(YES_Writing_ELA[Student Number],YES_Writing_FLA[Student Number]),0),MATCH(VLOOKUP(F$7,'Writing Logic'!$J$7:$K$11,2,FALSE)&amp;" - Per "&amp;VLOOKUP($C$4,'Writing Logic'!$G$8:$H$14,2,FALSE),YES_Writing_ELA[#Headers],0))=0,"",INDEX(_xlfn.VSTACK(YES_Writing_ELA[#Data],YES_Writing_FLA[#Data]),MATCH($A136,_xlfn.VSTACK(YES_Writing_ELA[Student Number],YES_Writing_FLA[Student Number]),0),MATCH(VLOOKUP(F$7,'Writing Logic'!$J$7:$K$11,2,FALSE)&amp;" - Per "&amp;VLOOKUP($C$4,'Writing Logic'!$G$8:$H$14,2,FALSE),YES_Writing_ELA[#Headers],0)))),"")</f>
        <v/>
      </c>
      <c r="G136" s="138" t="str">
        <f>IFERROR(IF(IF(INDEX(_xlfn.VSTACK(YES_Writing_ELA[#Data],YES_Writing_FLA[#Data]),MATCH($A136,_xlfn.VSTACK(YES_Writing_ELA[Student Number],YES_Writing_FLA[Student Number]),0),MATCH(VLOOKUP(G$7,'Writing Logic'!$J$7:$K$11,2,FALSE)&amp;" - Per "&amp;VLOOKUP($C$4,'Writing Logic'!$G$8:$H$14,2,FALSE),YES_Writing_ELA[#Headers],0))=0,"",INDEX(_xlfn.VSTACK(YES_Writing_ELA[#Data],YES_Writing_FLA[#Data]),MATCH($A136,_xlfn.VSTACK(YES_Writing_ELA[Student Number],YES_Writing_FLA[Student Number]),0),MATCH(VLOOKUP(G$7,'Writing Logic'!$J$7:$K$11,2,FALSE)&amp;" - Per "&amp;VLOOKUP($C$4,'Writing Logic'!$G$8:$H$14,2,FALSE),YES_Writing_ELA[#Headers],0)))="INS",'Writing Logic'!$B$7,IF(INDEX(_xlfn.VSTACK(YES_Writing_ELA[#Data],YES_Writing_FLA[#Data]),MATCH($A136,_xlfn.VSTACK(YES_Writing_ELA[Student Number],YES_Writing_FLA[Student Number]),0),MATCH(VLOOKUP(G$7,'Writing Logic'!$J$7:$K$11,2,FALSE)&amp;" - Per "&amp;VLOOKUP($C$4,'Writing Logic'!$G$8:$H$14,2,FALSE),YES_Writing_ELA[#Headers],0))=0,"",INDEX(_xlfn.VSTACK(YES_Writing_ELA[#Data],YES_Writing_FLA[#Data]),MATCH($A136,_xlfn.VSTACK(YES_Writing_ELA[Student Number],YES_Writing_FLA[Student Number]),0),MATCH(VLOOKUP(G$7,'Writing Logic'!$J$7:$K$11,2,FALSE)&amp;" - Per "&amp;VLOOKUP($C$4,'Writing Logic'!$G$8:$H$14,2,FALSE),YES_Writing_ELA[#Headers],0)))),"")</f>
        <v/>
      </c>
      <c r="H136" s="223" t="str">
        <f>IFERROR(IF(IF(INDEX(_xlfn.VSTACK(YES_Writing_ELA[#Data],YES_Writing_FLA[#Data]),MATCH($A136,_xlfn.VSTACK(YES_Writing_ELA[Student Number],YES_Writing_FLA[Student Number]),0),MATCH(VLOOKUP(H$7,'Writing Logic'!$J$7:$K$11,2,FALSE)&amp;" - Per "&amp;VLOOKUP($C$4,'Writing Logic'!$G$8:$H$14,2,FALSE),YES_Writing_ELA[#Headers],0))=0,"",INDEX(_xlfn.VSTACK(YES_Writing_ELA[#Data],YES_Writing_FLA[#Data]),MATCH($A136,_xlfn.VSTACK(YES_Writing_ELA[Student Number],YES_Writing_FLA[Student Number]),0),MATCH(VLOOKUP(H$7,'Writing Logic'!$J$7:$K$11,2,FALSE)&amp;" - Per "&amp;VLOOKUP($C$4,'Writing Logic'!$G$8:$H$14,2,FALSE),YES_Writing_ELA[#Headers],0)))="INS",'Writing Logic'!$B$7,IF(INDEX(_xlfn.VSTACK(YES_Writing_ELA[#Data],YES_Writing_FLA[#Data]),MATCH($A136,_xlfn.VSTACK(YES_Writing_ELA[Student Number],YES_Writing_FLA[Student Number]),0),MATCH(VLOOKUP(H$7,'Writing Logic'!$J$7:$K$11,2,FALSE)&amp;" - Per "&amp;VLOOKUP($C$4,'Writing Logic'!$G$8:$H$14,2,FALSE),YES_Writing_ELA[#Headers],0))=0,"",INDEX(_xlfn.VSTACK(YES_Writing_ELA[#Data],YES_Writing_FLA[#Data]),MATCH($A136,_xlfn.VSTACK(YES_Writing_ELA[Student Number],YES_Writing_FLA[Student Number]),0),MATCH(VLOOKUP(H$7,'Writing Logic'!$J$7:$K$11,2,FALSE)&amp;" - Per "&amp;VLOOKUP($C$4,'Writing Logic'!$G$8:$H$14,2,FALSE),YES_Writing_ELA[#Headers],0)))),"")</f>
        <v/>
      </c>
      <c r="I136" s="224" t="str" cm="1">
        <f t="array" aca="1" ref="I136" ca="1">IFERROR(
IF($G$3="ELA",
IF(VLOOKUP($A136, YES_Reading_ELA[], COLUMN(INDIRECT("YES_Reading_ELA[Difference - Per "&amp;VLOOKUP($G$4, 'Reading Report Logic'!$A$2:$B$8, 2, FALSE)&amp;"]")), FALSE)="", "",
VLOOKUP($A136,YES_Reading_ELA[], COLUMN(INDIRECT("YES_Reading_ELA[Difference - Per "&amp;VLOOKUP($G$4,'Reading Report Logic'!$A$2:$B$8,2,FALSE)&amp;"]")), FALSE)),
IF($G$3="FLA",
IF(VLOOKUP($A136, YES_Reading_FLA[], COLUMN(INDIRECT("YES_Reading_FLA[Difference - Per "&amp;VLOOKUP($G$4,'Reading Report Logic'!$A$2:$B$8,2,FALSE)&amp;"]")),FALSE)="","",
VLOOKUP($A136,YES_Reading_FLA[],COLUMN(INDIRECT("YES_Reading_FLA[Difference - Per "&amp;VLOOKUP($G$4,'Reading Report Logic'!$A$2:$B$8,2,FALSE)&amp;"]")),FALSE)),
IF($G$3="Combined",
IFERROR(
IF(VLOOKUP($A136, YES_Reading_ELA[], COLUMN(INDIRECT("YES_Reading_ELA[Difference - Per "&amp;VLOOKUP($G$4, 'Reading Report Logic'!$A$2:$B$8,2,FALSE)&amp;"]")), FALSE)="", "",
VLOOKUP($A136,YES_Reading_ELA[],COLUMN(INDIRECT("YES_Reading_ELA[Difference - Per "&amp;VLOOKUP($G$4,'Reading Report Logic'!$A$2:$B$8,2,FALSE)&amp;"]")),FALSE)),
IF(VLOOKUP($A136, YES_Reading_FLA[], COLUMN(INDIRECT("YES_Reading_FLA[Difference - Per "&amp;VLOOKUP($G$4, 'Reading Report Logic'!$A$2:$B$8, 2, FALSE)&amp;"]")),FALSE)="", "", VLOOKUP($A136,YES_Reading_FLA[],COLUMN(INDIRECT("YES_Reading_FLA[Difference - Per "&amp;VLOOKUP($G$4, 'Reading Report Logic'!$A$2:$B$8, 2, FALSE)&amp;"]")),FALSE))),""))),"")</f>
        <v/>
      </c>
    </row>
    <row r="137" spans="1:9" ht="14.25" customHeight="1" x14ac:dyDescent="0.25">
      <c r="A137" s="137"/>
      <c r="B137" s="137" t="str">
        <f>IFERROR(INDEX(_xlfn.VSTACK(YES_Writing_ELA[#Data], YES_Writing_FLA[#Data]),MATCH($A137,_xlfn.VSTACK(YES_Writing_ELA[Student Number], YES_Writing_FLA[Student Number]),0),MATCH(B$7,YES_Writing_ELA[#Headers],0)),IFERROR(INDEX(_xlfn.VSTACK(YES_Reading_ELA[#Data], YES_Reading_FLA[#Data]),MATCH($A137,_xlfn.VSTACK(YES_Reading_ELA[Student Number], YES_Reading_FLA[Student Number]),0),MATCH(B$7,YES_Reading_ELA[#Headers],0)),""))</f>
        <v/>
      </c>
      <c r="C137" s="137" t="str">
        <f>IFERROR(INDEX(_xlfn.VSTACK(YES_Writing_ELA[#Data], YES_Writing_FLA[#Data]),MATCH($A137,_xlfn.VSTACK(YES_Writing_ELA[Student Number], YES_Writing_FLA[Student Number]),0),MATCH(C$7,YES_Writing_ELA[#Headers],0)),IFERROR(INDEX(_xlfn.VSTACK(YES_Reading_ELA[#Data], YES_Reading_FLA[#Data]),MATCH($A137,_xlfn.VSTACK(YES_Reading_ELA[Student Number], YES_Reading_FLA[Student Number]),0),MATCH(C$7,YES_Reading_ELA[#Headers],0)),""))</f>
        <v/>
      </c>
      <c r="D137" s="138" t="str">
        <f>IFERROR(IF(IF(INDEX(_xlfn.VSTACK(YES_Writing_ELA[#Data],YES_Writing_FLA[#Data]),MATCH($A137,_xlfn.VSTACK(YES_Writing_ELA[Student Number],YES_Writing_FLA[Student Number]),0),MATCH(VLOOKUP(D$7,'Writing Logic'!$J$7:$K$11,2,FALSE)&amp;" - Per "&amp;VLOOKUP($C$4,'Writing Logic'!$G$8:$H$14,2,FALSE),YES_Writing_ELA[#Headers],0))=0,"",INDEX(_xlfn.VSTACK(YES_Writing_ELA[#Data],YES_Writing_FLA[#Data]),MATCH($A137,_xlfn.VSTACK(YES_Writing_ELA[Student Number],YES_Writing_FLA[Student Number]),0),MATCH(VLOOKUP(D$7,'Writing Logic'!$J$7:$K$11,2,FALSE)&amp;" - Per "&amp;VLOOKUP($C$4,'Writing Logic'!$G$8:$H$14,2,FALSE),YES_Writing_ELA[#Headers],0)))="INS",'Writing Logic'!$B$7,IF(INDEX(_xlfn.VSTACK(YES_Writing_ELA[#Data],YES_Writing_FLA[#Data]),MATCH($A137,_xlfn.VSTACK(YES_Writing_ELA[Student Number],YES_Writing_FLA[Student Number]),0),MATCH(VLOOKUP(D$7,'Writing Logic'!$J$7:$K$11,2,FALSE)&amp;" - Per "&amp;VLOOKUP($C$4,'Writing Logic'!$G$8:$H$14,2,FALSE),YES_Writing_ELA[#Headers],0))=0,"",INDEX(_xlfn.VSTACK(YES_Writing_ELA[#Data],YES_Writing_FLA[#Data]),MATCH($A137,_xlfn.VSTACK(YES_Writing_ELA[Student Number],YES_Writing_FLA[Student Number]),0),MATCH(VLOOKUP(D$7,'Writing Logic'!$J$7:$K$11,2,FALSE)&amp;" - Per "&amp;VLOOKUP($C$4,'Writing Logic'!$G$8:$H$14,2,FALSE),YES_Writing_ELA[#Headers],0)))),"")</f>
        <v/>
      </c>
      <c r="E137" s="138" t="str">
        <f>IFERROR(IF(IF(INDEX(_xlfn.VSTACK(YES_Writing_ELA[#Data],YES_Writing_FLA[#Data]),MATCH($A137,_xlfn.VSTACK(YES_Writing_ELA[Student Number],YES_Writing_FLA[Student Number]),0),MATCH(VLOOKUP(E$7,'Writing Logic'!$J$7:$K$11,2,FALSE)&amp;" - Per "&amp;VLOOKUP($C$4,'Writing Logic'!$G$8:$H$14,2,FALSE),YES_Writing_ELA[#Headers],0))=0,"",INDEX(_xlfn.VSTACK(YES_Writing_ELA[#Data],YES_Writing_FLA[#Data]),MATCH($A137,_xlfn.VSTACK(YES_Writing_ELA[Student Number],YES_Writing_FLA[Student Number]),0),MATCH(VLOOKUP(E$7,'Writing Logic'!$J$7:$K$11,2,FALSE)&amp;" - Per "&amp;VLOOKUP($C$4,'Writing Logic'!$G$8:$H$14,2,FALSE),YES_Writing_ELA[#Headers],0)))="INS",'Writing Logic'!$B$7,IF(INDEX(_xlfn.VSTACK(YES_Writing_ELA[#Data],YES_Writing_FLA[#Data]),MATCH($A137,_xlfn.VSTACK(YES_Writing_ELA[Student Number],YES_Writing_FLA[Student Number]),0),MATCH(VLOOKUP(E$7,'Writing Logic'!$J$7:$K$11,2,FALSE)&amp;" - Per "&amp;VLOOKUP($C$4,'Writing Logic'!$G$8:$H$14,2,FALSE),YES_Writing_ELA[#Headers],0))=0,"",INDEX(_xlfn.VSTACK(YES_Writing_ELA[#Data],YES_Writing_FLA[#Data]),MATCH($A137,_xlfn.VSTACK(YES_Writing_ELA[Student Number],YES_Writing_FLA[Student Number]),0),MATCH(VLOOKUP(E$7,'Writing Logic'!$J$7:$K$11,2,FALSE)&amp;" - Per "&amp;VLOOKUP($C$4,'Writing Logic'!$G$8:$H$14,2,FALSE),YES_Writing_ELA[#Headers],0)))),"")</f>
        <v/>
      </c>
      <c r="F137" s="138" t="str">
        <f>IFERROR(IF(IF(INDEX(_xlfn.VSTACK(YES_Writing_ELA[#Data],YES_Writing_FLA[#Data]),MATCH($A137,_xlfn.VSTACK(YES_Writing_ELA[Student Number],YES_Writing_FLA[Student Number]),0),MATCH(VLOOKUP(F$7,'Writing Logic'!$J$7:$K$11,2,FALSE)&amp;" - Per "&amp;VLOOKUP($C$4,'Writing Logic'!$G$8:$H$14,2,FALSE),YES_Writing_ELA[#Headers],0))=0,"",INDEX(_xlfn.VSTACK(YES_Writing_ELA[#Data],YES_Writing_FLA[#Data]),MATCH($A137,_xlfn.VSTACK(YES_Writing_ELA[Student Number],YES_Writing_FLA[Student Number]),0),MATCH(VLOOKUP(F$7,'Writing Logic'!$J$7:$K$11,2,FALSE)&amp;" - Per "&amp;VLOOKUP($C$4,'Writing Logic'!$G$8:$H$14,2,FALSE),YES_Writing_ELA[#Headers],0)))="INS",'Writing Logic'!$B$7,IF(INDEX(_xlfn.VSTACK(YES_Writing_ELA[#Data],YES_Writing_FLA[#Data]),MATCH($A137,_xlfn.VSTACK(YES_Writing_ELA[Student Number],YES_Writing_FLA[Student Number]),0),MATCH(VLOOKUP(F$7,'Writing Logic'!$J$7:$K$11,2,FALSE)&amp;" - Per "&amp;VLOOKUP($C$4,'Writing Logic'!$G$8:$H$14,2,FALSE),YES_Writing_ELA[#Headers],0))=0,"",INDEX(_xlfn.VSTACK(YES_Writing_ELA[#Data],YES_Writing_FLA[#Data]),MATCH($A137,_xlfn.VSTACK(YES_Writing_ELA[Student Number],YES_Writing_FLA[Student Number]),0),MATCH(VLOOKUP(F$7,'Writing Logic'!$J$7:$K$11,2,FALSE)&amp;" - Per "&amp;VLOOKUP($C$4,'Writing Logic'!$G$8:$H$14,2,FALSE),YES_Writing_ELA[#Headers],0)))),"")</f>
        <v/>
      </c>
      <c r="G137" s="138" t="str">
        <f>IFERROR(IF(IF(INDEX(_xlfn.VSTACK(YES_Writing_ELA[#Data],YES_Writing_FLA[#Data]),MATCH($A137,_xlfn.VSTACK(YES_Writing_ELA[Student Number],YES_Writing_FLA[Student Number]),0),MATCH(VLOOKUP(G$7,'Writing Logic'!$J$7:$K$11,2,FALSE)&amp;" - Per "&amp;VLOOKUP($C$4,'Writing Logic'!$G$8:$H$14,2,FALSE),YES_Writing_ELA[#Headers],0))=0,"",INDEX(_xlfn.VSTACK(YES_Writing_ELA[#Data],YES_Writing_FLA[#Data]),MATCH($A137,_xlfn.VSTACK(YES_Writing_ELA[Student Number],YES_Writing_FLA[Student Number]),0),MATCH(VLOOKUP(G$7,'Writing Logic'!$J$7:$K$11,2,FALSE)&amp;" - Per "&amp;VLOOKUP($C$4,'Writing Logic'!$G$8:$H$14,2,FALSE),YES_Writing_ELA[#Headers],0)))="INS",'Writing Logic'!$B$7,IF(INDEX(_xlfn.VSTACK(YES_Writing_ELA[#Data],YES_Writing_FLA[#Data]),MATCH($A137,_xlfn.VSTACK(YES_Writing_ELA[Student Number],YES_Writing_FLA[Student Number]),0),MATCH(VLOOKUP(G$7,'Writing Logic'!$J$7:$K$11,2,FALSE)&amp;" - Per "&amp;VLOOKUP($C$4,'Writing Logic'!$G$8:$H$14,2,FALSE),YES_Writing_ELA[#Headers],0))=0,"",INDEX(_xlfn.VSTACK(YES_Writing_ELA[#Data],YES_Writing_FLA[#Data]),MATCH($A137,_xlfn.VSTACK(YES_Writing_ELA[Student Number],YES_Writing_FLA[Student Number]),0),MATCH(VLOOKUP(G$7,'Writing Logic'!$J$7:$K$11,2,FALSE)&amp;" - Per "&amp;VLOOKUP($C$4,'Writing Logic'!$G$8:$H$14,2,FALSE),YES_Writing_ELA[#Headers],0)))),"")</f>
        <v/>
      </c>
      <c r="H137" s="223" t="str">
        <f>IFERROR(IF(IF(INDEX(_xlfn.VSTACK(YES_Writing_ELA[#Data],YES_Writing_FLA[#Data]),MATCH($A137,_xlfn.VSTACK(YES_Writing_ELA[Student Number],YES_Writing_FLA[Student Number]),0),MATCH(VLOOKUP(H$7,'Writing Logic'!$J$7:$K$11,2,FALSE)&amp;" - Per "&amp;VLOOKUP($C$4,'Writing Logic'!$G$8:$H$14,2,FALSE),YES_Writing_ELA[#Headers],0))=0,"",INDEX(_xlfn.VSTACK(YES_Writing_ELA[#Data],YES_Writing_FLA[#Data]),MATCH($A137,_xlfn.VSTACK(YES_Writing_ELA[Student Number],YES_Writing_FLA[Student Number]),0),MATCH(VLOOKUP(H$7,'Writing Logic'!$J$7:$K$11,2,FALSE)&amp;" - Per "&amp;VLOOKUP($C$4,'Writing Logic'!$G$8:$H$14,2,FALSE),YES_Writing_ELA[#Headers],0)))="INS",'Writing Logic'!$B$7,IF(INDEX(_xlfn.VSTACK(YES_Writing_ELA[#Data],YES_Writing_FLA[#Data]),MATCH($A137,_xlfn.VSTACK(YES_Writing_ELA[Student Number],YES_Writing_FLA[Student Number]),0),MATCH(VLOOKUP(H$7,'Writing Logic'!$J$7:$K$11,2,FALSE)&amp;" - Per "&amp;VLOOKUP($C$4,'Writing Logic'!$G$8:$H$14,2,FALSE),YES_Writing_ELA[#Headers],0))=0,"",INDEX(_xlfn.VSTACK(YES_Writing_ELA[#Data],YES_Writing_FLA[#Data]),MATCH($A137,_xlfn.VSTACK(YES_Writing_ELA[Student Number],YES_Writing_FLA[Student Number]),0),MATCH(VLOOKUP(H$7,'Writing Logic'!$J$7:$K$11,2,FALSE)&amp;" - Per "&amp;VLOOKUP($C$4,'Writing Logic'!$G$8:$H$14,2,FALSE),YES_Writing_ELA[#Headers],0)))),"")</f>
        <v/>
      </c>
      <c r="I137" s="224" t="str" cm="1">
        <f t="array" aca="1" ref="I137" ca="1">IFERROR(
IF($G$3="ELA",
IF(VLOOKUP($A137, YES_Reading_ELA[], COLUMN(INDIRECT("YES_Reading_ELA[Difference - Per "&amp;VLOOKUP($G$4, 'Reading Report Logic'!$A$2:$B$8, 2, FALSE)&amp;"]")), FALSE)="", "",
VLOOKUP($A137,YES_Reading_ELA[], COLUMN(INDIRECT("YES_Reading_ELA[Difference - Per "&amp;VLOOKUP($G$4,'Reading Report Logic'!$A$2:$B$8,2,FALSE)&amp;"]")), FALSE)),
IF($G$3="FLA",
IF(VLOOKUP($A137, YES_Reading_FLA[], COLUMN(INDIRECT("YES_Reading_FLA[Difference - Per "&amp;VLOOKUP($G$4,'Reading Report Logic'!$A$2:$B$8,2,FALSE)&amp;"]")),FALSE)="","",
VLOOKUP($A137,YES_Reading_FLA[],COLUMN(INDIRECT("YES_Reading_FLA[Difference - Per "&amp;VLOOKUP($G$4,'Reading Report Logic'!$A$2:$B$8,2,FALSE)&amp;"]")),FALSE)),
IF($G$3="Combined",
IFERROR(
IF(VLOOKUP($A137, YES_Reading_ELA[], COLUMN(INDIRECT("YES_Reading_ELA[Difference - Per "&amp;VLOOKUP($G$4, 'Reading Report Logic'!$A$2:$B$8,2,FALSE)&amp;"]")), FALSE)="", "",
VLOOKUP($A137,YES_Reading_ELA[],COLUMN(INDIRECT("YES_Reading_ELA[Difference - Per "&amp;VLOOKUP($G$4,'Reading Report Logic'!$A$2:$B$8,2,FALSE)&amp;"]")),FALSE)),
IF(VLOOKUP($A137, YES_Reading_FLA[], COLUMN(INDIRECT("YES_Reading_FLA[Difference - Per "&amp;VLOOKUP($G$4, 'Reading Report Logic'!$A$2:$B$8, 2, FALSE)&amp;"]")),FALSE)="", "", VLOOKUP($A137,YES_Reading_FLA[],COLUMN(INDIRECT("YES_Reading_FLA[Difference - Per "&amp;VLOOKUP($G$4, 'Reading Report Logic'!$A$2:$B$8, 2, FALSE)&amp;"]")),FALSE))),""))),"")</f>
        <v/>
      </c>
    </row>
    <row r="138" spans="1:9" ht="14.25" customHeight="1" x14ac:dyDescent="0.25">
      <c r="A138" s="137"/>
      <c r="B138" s="137" t="str">
        <f>IFERROR(INDEX(_xlfn.VSTACK(YES_Writing_ELA[#Data], YES_Writing_FLA[#Data]),MATCH($A138,_xlfn.VSTACK(YES_Writing_ELA[Student Number], YES_Writing_FLA[Student Number]),0),MATCH(B$7,YES_Writing_ELA[#Headers],0)),IFERROR(INDEX(_xlfn.VSTACK(YES_Reading_ELA[#Data], YES_Reading_FLA[#Data]),MATCH($A138,_xlfn.VSTACK(YES_Reading_ELA[Student Number], YES_Reading_FLA[Student Number]),0),MATCH(B$7,YES_Reading_ELA[#Headers],0)),""))</f>
        <v/>
      </c>
      <c r="C138" s="137" t="str">
        <f>IFERROR(INDEX(_xlfn.VSTACK(YES_Writing_ELA[#Data], YES_Writing_FLA[#Data]),MATCH($A138,_xlfn.VSTACK(YES_Writing_ELA[Student Number], YES_Writing_FLA[Student Number]),0),MATCH(C$7,YES_Writing_ELA[#Headers],0)),IFERROR(INDEX(_xlfn.VSTACK(YES_Reading_ELA[#Data], YES_Reading_FLA[#Data]),MATCH($A138,_xlfn.VSTACK(YES_Reading_ELA[Student Number], YES_Reading_FLA[Student Number]),0),MATCH(C$7,YES_Reading_ELA[#Headers],0)),""))</f>
        <v/>
      </c>
      <c r="D138" s="138" t="str">
        <f>IFERROR(IF(IF(INDEX(_xlfn.VSTACK(YES_Writing_ELA[#Data],YES_Writing_FLA[#Data]),MATCH($A138,_xlfn.VSTACK(YES_Writing_ELA[Student Number],YES_Writing_FLA[Student Number]),0),MATCH(VLOOKUP(D$7,'Writing Logic'!$J$7:$K$11,2,FALSE)&amp;" - Per "&amp;VLOOKUP($C$4,'Writing Logic'!$G$8:$H$14,2,FALSE),YES_Writing_ELA[#Headers],0))=0,"",INDEX(_xlfn.VSTACK(YES_Writing_ELA[#Data],YES_Writing_FLA[#Data]),MATCH($A138,_xlfn.VSTACK(YES_Writing_ELA[Student Number],YES_Writing_FLA[Student Number]),0),MATCH(VLOOKUP(D$7,'Writing Logic'!$J$7:$K$11,2,FALSE)&amp;" - Per "&amp;VLOOKUP($C$4,'Writing Logic'!$G$8:$H$14,2,FALSE),YES_Writing_ELA[#Headers],0)))="INS",'Writing Logic'!$B$7,IF(INDEX(_xlfn.VSTACK(YES_Writing_ELA[#Data],YES_Writing_FLA[#Data]),MATCH($A138,_xlfn.VSTACK(YES_Writing_ELA[Student Number],YES_Writing_FLA[Student Number]),0),MATCH(VLOOKUP(D$7,'Writing Logic'!$J$7:$K$11,2,FALSE)&amp;" - Per "&amp;VLOOKUP($C$4,'Writing Logic'!$G$8:$H$14,2,FALSE),YES_Writing_ELA[#Headers],0))=0,"",INDEX(_xlfn.VSTACK(YES_Writing_ELA[#Data],YES_Writing_FLA[#Data]),MATCH($A138,_xlfn.VSTACK(YES_Writing_ELA[Student Number],YES_Writing_FLA[Student Number]),0),MATCH(VLOOKUP(D$7,'Writing Logic'!$J$7:$K$11,2,FALSE)&amp;" - Per "&amp;VLOOKUP($C$4,'Writing Logic'!$G$8:$H$14,2,FALSE),YES_Writing_ELA[#Headers],0)))),"")</f>
        <v/>
      </c>
      <c r="E138" s="138" t="str">
        <f>IFERROR(IF(IF(INDEX(_xlfn.VSTACK(YES_Writing_ELA[#Data],YES_Writing_FLA[#Data]),MATCH($A138,_xlfn.VSTACK(YES_Writing_ELA[Student Number],YES_Writing_FLA[Student Number]),0),MATCH(VLOOKUP(E$7,'Writing Logic'!$J$7:$K$11,2,FALSE)&amp;" - Per "&amp;VLOOKUP($C$4,'Writing Logic'!$G$8:$H$14,2,FALSE),YES_Writing_ELA[#Headers],0))=0,"",INDEX(_xlfn.VSTACK(YES_Writing_ELA[#Data],YES_Writing_FLA[#Data]),MATCH($A138,_xlfn.VSTACK(YES_Writing_ELA[Student Number],YES_Writing_FLA[Student Number]),0),MATCH(VLOOKUP(E$7,'Writing Logic'!$J$7:$K$11,2,FALSE)&amp;" - Per "&amp;VLOOKUP($C$4,'Writing Logic'!$G$8:$H$14,2,FALSE),YES_Writing_ELA[#Headers],0)))="INS",'Writing Logic'!$B$7,IF(INDEX(_xlfn.VSTACK(YES_Writing_ELA[#Data],YES_Writing_FLA[#Data]),MATCH($A138,_xlfn.VSTACK(YES_Writing_ELA[Student Number],YES_Writing_FLA[Student Number]),0),MATCH(VLOOKUP(E$7,'Writing Logic'!$J$7:$K$11,2,FALSE)&amp;" - Per "&amp;VLOOKUP($C$4,'Writing Logic'!$G$8:$H$14,2,FALSE),YES_Writing_ELA[#Headers],0))=0,"",INDEX(_xlfn.VSTACK(YES_Writing_ELA[#Data],YES_Writing_FLA[#Data]),MATCH($A138,_xlfn.VSTACK(YES_Writing_ELA[Student Number],YES_Writing_FLA[Student Number]),0),MATCH(VLOOKUP(E$7,'Writing Logic'!$J$7:$K$11,2,FALSE)&amp;" - Per "&amp;VLOOKUP($C$4,'Writing Logic'!$G$8:$H$14,2,FALSE),YES_Writing_ELA[#Headers],0)))),"")</f>
        <v/>
      </c>
      <c r="F138" s="138" t="str">
        <f>IFERROR(IF(IF(INDEX(_xlfn.VSTACK(YES_Writing_ELA[#Data],YES_Writing_FLA[#Data]),MATCH($A138,_xlfn.VSTACK(YES_Writing_ELA[Student Number],YES_Writing_FLA[Student Number]),0),MATCH(VLOOKUP(F$7,'Writing Logic'!$J$7:$K$11,2,FALSE)&amp;" - Per "&amp;VLOOKUP($C$4,'Writing Logic'!$G$8:$H$14,2,FALSE),YES_Writing_ELA[#Headers],0))=0,"",INDEX(_xlfn.VSTACK(YES_Writing_ELA[#Data],YES_Writing_FLA[#Data]),MATCH($A138,_xlfn.VSTACK(YES_Writing_ELA[Student Number],YES_Writing_FLA[Student Number]),0),MATCH(VLOOKUP(F$7,'Writing Logic'!$J$7:$K$11,2,FALSE)&amp;" - Per "&amp;VLOOKUP($C$4,'Writing Logic'!$G$8:$H$14,2,FALSE),YES_Writing_ELA[#Headers],0)))="INS",'Writing Logic'!$B$7,IF(INDEX(_xlfn.VSTACK(YES_Writing_ELA[#Data],YES_Writing_FLA[#Data]),MATCH($A138,_xlfn.VSTACK(YES_Writing_ELA[Student Number],YES_Writing_FLA[Student Number]),0),MATCH(VLOOKUP(F$7,'Writing Logic'!$J$7:$K$11,2,FALSE)&amp;" - Per "&amp;VLOOKUP($C$4,'Writing Logic'!$G$8:$H$14,2,FALSE),YES_Writing_ELA[#Headers],0))=0,"",INDEX(_xlfn.VSTACK(YES_Writing_ELA[#Data],YES_Writing_FLA[#Data]),MATCH($A138,_xlfn.VSTACK(YES_Writing_ELA[Student Number],YES_Writing_FLA[Student Number]),0),MATCH(VLOOKUP(F$7,'Writing Logic'!$J$7:$K$11,2,FALSE)&amp;" - Per "&amp;VLOOKUP($C$4,'Writing Logic'!$G$8:$H$14,2,FALSE),YES_Writing_ELA[#Headers],0)))),"")</f>
        <v/>
      </c>
      <c r="G138" s="138" t="str">
        <f>IFERROR(IF(IF(INDEX(_xlfn.VSTACK(YES_Writing_ELA[#Data],YES_Writing_FLA[#Data]),MATCH($A138,_xlfn.VSTACK(YES_Writing_ELA[Student Number],YES_Writing_FLA[Student Number]),0),MATCH(VLOOKUP(G$7,'Writing Logic'!$J$7:$K$11,2,FALSE)&amp;" - Per "&amp;VLOOKUP($C$4,'Writing Logic'!$G$8:$H$14,2,FALSE),YES_Writing_ELA[#Headers],0))=0,"",INDEX(_xlfn.VSTACK(YES_Writing_ELA[#Data],YES_Writing_FLA[#Data]),MATCH($A138,_xlfn.VSTACK(YES_Writing_ELA[Student Number],YES_Writing_FLA[Student Number]),0),MATCH(VLOOKUP(G$7,'Writing Logic'!$J$7:$K$11,2,FALSE)&amp;" - Per "&amp;VLOOKUP($C$4,'Writing Logic'!$G$8:$H$14,2,FALSE),YES_Writing_ELA[#Headers],0)))="INS",'Writing Logic'!$B$7,IF(INDEX(_xlfn.VSTACK(YES_Writing_ELA[#Data],YES_Writing_FLA[#Data]),MATCH($A138,_xlfn.VSTACK(YES_Writing_ELA[Student Number],YES_Writing_FLA[Student Number]),0),MATCH(VLOOKUP(G$7,'Writing Logic'!$J$7:$K$11,2,FALSE)&amp;" - Per "&amp;VLOOKUP($C$4,'Writing Logic'!$G$8:$H$14,2,FALSE),YES_Writing_ELA[#Headers],0))=0,"",INDEX(_xlfn.VSTACK(YES_Writing_ELA[#Data],YES_Writing_FLA[#Data]),MATCH($A138,_xlfn.VSTACK(YES_Writing_ELA[Student Number],YES_Writing_FLA[Student Number]),0),MATCH(VLOOKUP(G$7,'Writing Logic'!$J$7:$K$11,2,FALSE)&amp;" - Per "&amp;VLOOKUP($C$4,'Writing Logic'!$G$8:$H$14,2,FALSE),YES_Writing_ELA[#Headers],0)))),"")</f>
        <v/>
      </c>
      <c r="H138" s="223" t="str">
        <f>IFERROR(IF(IF(INDEX(_xlfn.VSTACK(YES_Writing_ELA[#Data],YES_Writing_FLA[#Data]),MATCH($A138,_xlfn.VSTACK(YES_Writing_ELA[Student Number],YES_Writing_FLA[Student Number]),0),MATCH(VLOOKUP(H$7,'Writing Logic'!$J$7:$K$11,2,FALSE)&amp;" - Per "&amp;VLOOKUP($C$4,'Writing Logic'!$G$8:$H$14,2,FALSE),YES_Writing_ELA[#Headers],0))=0,"",INDEX(_xlfn.VSTACK(YES_Writing_ELA[#Data],YES_Writing_FLA[#Data]),MATCH($A138,_xlfn.VSTACK(YES_Writing_ELA[Student Number],YES_Writing_FLA[Student Number]),0),MATCH(VLOOKUP(H$7,'Writing Logic'!$J$7:$K$11,2,FALSE)&amp;" - Per "&amp;VLOOKUP($C$4,'Writing Logic'!$G$8:$H$14,2,FALSE),YES_Writing_ELA[#Headers],0)))="INS",'Writing Logic'!$B$7,IF(INDEX(_xlfn.VSTACK(YES_Writing_ELA[#Data],YES_Writing_FLA[#Data]),MATCH($A138,_xlfn.VSTACK(YES_Writing_ELA[Student Number],YES_Writing_FLA[Student Number]),0),MATCH(VLOOKUP(H$7,'Writing Logic'!$J$7:$K$11,2,FALSE)&amp;" - Per "&amp;VLOOKUP($C$4,'Writing Logic'!$G$8:$H$14,2,FALSE),YES_Writing_ELA[#Headers],0))=0,"",INDEX(_xlfn.VSTACK(YES_Writing_ELA[#Data],YES_Writing_FLA[#Data]),MATCH($A138,_xlfn.VSTACK(YES_Writing_ELA[Student Number],YES_Writing_FLA[Student Number]),0),MATCH(VLOOKUP(H$7,'Writing Logic'!$J$7:$K$11,2,FALSE)&amp;" - Per "&amp;VLOOKUP($C$4,'Writing Logic'!$G$8:$H$14,2,FALSE),YES_Writing_ELA[#Headers],0)))),"")</f>
        <v/>
      </c>
      <c r="I138" s="224" t="str" cm="1">
        <f t="array" aca="1" ref="I138" ca="1">IFERROR(
IF($G$3="ELA",
IF(VLOOKUP($A138, YES_Reading_ELA[], COLUMN(INDIRECT("YES_Reading_ELA[Difference - Per "&amp;VLOOKUP($G$4, 'Reading Report Logic'!$A$2:$B$8, 2, FALSE)&amp;"]")), FALSE)="", "",
VLOOKUP($A138,YES_Reading_ELA[], COLUMN(INDIRECT("YES_Reading_ELA[Difference - Per "&amp;VLOOKUP($G$4,'Reading Report Logic'!$A$2:$B$8,2,FALSE)&amp;"]")), FALSE)),
IF($G$3="FLA",
IF(VLOOKUP($A138, YES_Reading_FLA[], COLUMN(INDIRECT("YES_Reading_FLA[Difference - Per "&amp;VLOOKUP($G$4,'Reading Report Logic'!$A$2:$B$8,2,FALSE)&amp;"]")),FALSE)="","",
VLOOKUP($A138,YES_Reading_FLA[],COLUMN(INDIRECT("YES_Reading_FLA[Difference - Per "&amp;VLOOKUP($G$4,'Reading Report Logic'!$A$2:$B$8,2,FALSE)&amp;"]")),FALSE)),
IF($G$3="Combined",
IFERROR(
IF(VLOOKUP($A138, YES_Reading_ELA[], COLUMN(INDIRECT("YES_Reading_ELA[Difference - Per "&amp;VLOOKUP($G$4, 'Reading Report Logic'!$A$2:$B$8,2,FALSE)&amp;"]")), FALSE)="", "",
VLOOKUP($A138,YES_Reading_ELA[],COLUMN(INDIRECT("YES_Reading_ELA[Difference - Per "&amp;VLOOKUP($G$4,'Reading Report Logic'!$A$2:$B$8,2,FALSE)&amp;"]")),FALSE)),
IF(VLOOKUP($A138, YES_Reading_FLA[], COLUMN(INDIRECT("YES_Reading_FLA[Difference - Per "&amp;VLOOKUP($G$4, 'Reading Report Logic'!$A$2:$B$8, 2, FALSE)&amp;"]")),FALSE)="", "", VLOOKUP($A138,YES_Reading_FLA[],COLUMN(INDIRECT("YES_Reading_FLA[Difference - Per "&amp;VLOOKUP($G$4, 'Reading Report Logic'!$A$2:$B$8, 2, FALSE)&amp;"]")),FALSE))),""))),"")</f>
        <v/>
      </c>
    </row>
    <row r="139" spans="1:9" ht="14.25" customHeight="1" x14ac:dyDescent="0.25">
      <c r="A139" s="137"/>
      <c r="B139" s="137" t="str">
        <f>IFERROR(INDEX(_xlfn.VSTACK(YES_Writing_ELA[#Data], YES_Writing_FLA[#Data]),MATCH($A139,_xlfn.VSTACK(YES_Writing_ELA[Student Number], YES_Writing_FLA[Student Number]),0),MATCH(B$7,YES_Writing_ELA[#Headers],0)),IFERROR(INDEX(_xlfn.VSTACK(YES_Reading_ELA[#Data], YES_Reading_FLA[#Data]),MATCH($A139,_xlfn.VSTACK(YES_Reading_ELA[Student Number], YES_Reading_FLA[Student Number]),0),MATCH(B$7,YES_Reading_ELA[#Headers],0)),""))</f>
        <v/>
      </c>
      <c r="C139" s="137" t="str">
        <f>IFERROR(INDEX(_xlfn.VSTACK(YES_Writing_ELA[#Data], YES_Writing_FLA[#Data]),MATCH($A139,_xlfn.VSTACK(YES_Writing_ELA[Student Number], YES_Writing_FLA[Student Number]),0),MATCH(C$7,YES_Writing_ELA[#Headers],0)),IFERROR(INDEX(_xlfn.VSTACK(YES_Reading_ELA[#Data], YES_Reading_FLA[#Data]),MATCH($A139,_xlfn.VSTACK(YES_Reading_ELA[Student Number], YES_Reading_FLA[Student Number]),0),MATCH(C$7,YES_Reading_ELA[#Headers],0)),""))</f>
        <v/>
      </c>
      <c r="D139" s="138" t="str">
        <f>IFERROR(IF(IF(INDEX(_xlfn.VSTACK(YES_Writing_ELA[#Data],YES_Writing_FLA[#Data]),MATCH($A139,_xlfn.VSTACK(YES_Writing_ELA[Student Number],YES_Writing_FLA[Student Number]),0),MATCH(VLOOKUP(D$7,'Writing Logic'!$J$7:$K$11,2,FALSE)&amp;" - Per "&amp;VLOOKUP($C$4,'Writing Logic'!$G$8:$H$14,2,FALSE),YES_Writing_ELA[#Headers],0))=0,"",INDEX(_xlfn.VSTACK(YES_Writing_ELA[#Data],YES_Writing_FLA[#Data]),MATCH($A139,_xlfn.VSTACK(YES_Writing_ELA[Student Number],YES_Writing_FLA[Student Number]),0),MATCH(VLOOKUP(D$7,'Writing Logic'!$J$7:$K$11,2,FALSE)&amp;" - Per "&amp;VLOOKUP($C$4,'Writing Logic'!$G$8:$H$14,2,FALSE),YES_Writing_ELA[#Headers],0)))="INS",'Writing Logic'!$B$7,IF(INDEX(_xlfn.VSTACK(YES_Writing_ELA[#Data],YES_Writing_FLA[#Data]),MATCH($A139,_xlfn.VSTACK(YES_Writing_ELA[Student Number],YES_Writing_FLA[Student Number]),0),MATCH(VLOOKUP(D$7,'Writing Logic'!$J$7:$K$11,2,FALSE)&amp;" - Per "&amp;VLOOKUP($C$4,'Writing Logic'!$G$8:$H$14,2,FALSE),YES_Writing_ELA[#Headers],0))=0,"",INDEX(_xlfn.VSTACK(YES_Writing_ELA[#Data],YES_Writing_FLA[#Data]),MATCH($A139,_xlfn.VSTACK(YES_Writing_ELA[Student Number],YES_Writing_FLA[Student Number]),0),MATCH(VLOOKUP(D$7,'Writing Logic'!$J$7:$K$11,2,FALSE)&amp;" - Per "&amp;VLOOKUP($C$4,'Writing Logic'!$G$8:$H$14,2,FALSE),YES_Writing_ELA[#Headers],0)))),"")</f>
        <v/>
      </c>
      <c r="E139" s="138" t="str">
        <f>IFERROR(IF(IF(INDEX(_xlfn.VSTACK(YES_Writing_ELA[#Data],YES_Writing_FLA[#Data]),MATCH($A139,_xlfn.VSTACK(YES_Writing_ELA[Student Number],YES_Writing_FLA[Student Number]),0),MATCH(VLOOKUP(E$7,'Writing Logic'!$J$7:$K$11,2,FALSE)&amp;" - Per "&amp;VLOOKUP($C$4,'Writing Logic'!$G$8:$H$14,2,FALSE),YES_Writing_ELA[#Headers],0))=0,"",INDEX(_xlfn.VSTACK(YES_Writing_ELA[#Data],YES_Writing_FLA[#Data]),MATCH($A139,_xlfn.VSTACK(YES_Writing_ELA[Student Number],YES_Writing_FLA[Student Number]),0),MATCH(VLOOKUP(E$7,'Writing Logic'!$J$7:$K$11,2,FALSE)&amp;" - Per "&amp;VLOOKUP($C$4,'Writing Logic'!$G$8:$H$14,2,FALSE),YES_Writing_ELA[#Headers],0)))="INS",'Writing Logic'!$B$7,IF(INDEX(_xlfn.VSTACK(YES_Writing_ELA[#Data],YES_Writing_FLA[#Data]),MATCH($A139,_xlfn.VSTACK(YES_Writing_ELA[Student Number],YES_Writing_FLA[Student Number]),0),MATCH(VLOOKUP(E$7,'Writing Logic'!$J$7:$K$11,2,FALSE)&amp;" - Per "&amp;VLOOKUP($C$4,'Writing Logic'!$G$8:$H$14,2,FALSE),YES_Writing_ELA[#Headers],0))=0,"",INDEX(_xlfn.VSTACK(YES_Writing_ELA[#Data],YES_Writing_FLA[#Data]),MATCH($A139,_xlfn.VSTACK(YES_Writing_ELA[Student Number],YES_Writing_FLA[Student Number]),0),MATCH(VLOOKUP(E$7,'Writing Logic'!$J$7:$K$11,2,FALSE)&amp;" - Per "&amp;VLOOKUP($C$4,'Writing Logic'!$G$8:$H$14,2,FALSE),YES_Writing_ELA[#Headers],0)))),"")</f>
        <v/>
      </c>
      <c r="F139" s="138" t="str">
        <f>IFERROR(IF(IF(INDEX(_xlfn.VSTACK(YES_Writing_ELA[#Data],YES_Writing_FLA[#Data]),MATCH($A139,_xlfn.VSTACK(YES_Writing_ELA[Student Number],YES_Writing_FLA[Student Number]),0),MATCH(VLOOKUP(F$7,'Writing Logic'!$J$7:$K$11,2,FALSE)&amp;" - Per "&amp;VLOOKUP($C$4,'Writing Logic'!$G$8:$H$14,2,FALSE),YES_Writing_ELA[#Headers],0))=0,"",INDEX(_xlfn.VSTACK(YES_Writing_ELA[#Data],YES_Writing_FLA[#Data]),MATCH($A139,_xlfn.VSTACK(YES_Writing_ELA[Student Number],YES_Writing_FLA[Student Number]),0),MATCH(VLOOKUP(F$7,'Writing Logic'!$J$7:$K$11,2,FALSE)&amp;" - Per "&amp;VLOOKUP($C$4,'Writing Logic'!$G$8:$H$14,2,FALSE),YES_Writing_ELA[#Headers],0)))="INS",'Writing Logic'!$B$7,IF(INDEX(_xlfn.VSTACK(YES_Writing_ELA[#Data],YES_Writing_FLA[#Data]),MATCH($A139,_xlfn.VSTACK(YES_Writing_ELA[Student Number],YES_Writing_FLA[Student Number]),0),MATCH(VLOOKUP(F$7,'Writing Logic'!$J$7:$K$11,2,FALSE)&amp;" - Per "&amp;VLOOKUP($C$4,'Writing Logic'!$G$8:$H$14,2,FALSE),YES_Writing_ELA[#Headers],0))=0,"",INDEX(_xlfn.VSTACK(YES_Writing_ELA[#Data],YES_Writing_FLA[#Data]),MATCH($A139,_xlfn.VSTACK(YES_Writing_ELA[Student Number],YES_Writing_FLA[Student Number]),0),MATCH(VLOOKUP(F$7,'Writing Logic'!$J$7:$K$11,2,FALSE)&amp;" - Per "&amp;VLOOKUP($C$4,'Writing Logic'!$G$8:$H$14,2,FALSE),YES_Writing_ELA[#Headers],0)))),"")</f>
        <v/>
      </c>
      <c r="G139" s="138" t="str">
        <f>IFERROR(IF(IF(INDEX(_xlfn.VSTACK(YES_Writing_ELA[#Data],YES_Writing_FLA[#Data]),MATCH($A139,_xlfn.VSTACK(YES_Writing_ELA[Student Number],YES_Writing_FLA[Student Number]),0),MATCH(VLOOKUP(G$7,'Writing Logic'!$J$7:$K$11,2,FALSE)&amp;" - Per "&amp;VLOOKUP($C$4,'Writing Logic'!$G$8:$H$14,2,FALSE),YES_Writing_ELA[#Headers],0))=0,"",INDEX(_xlfn.VSTACK(YES_Writing_ELA[#Data],YES_Writing_FLA[#Data]),MATCH($A139,_xlfn.VSTACK(YES_Writing_ELA[Student Number],YES_Writing_FLA[Student Number]),0),MATCH(VLOOKUP(G$7,'Writing Logic'!$J$7:$K$11,2,FALSE)&amp;" - Per "&amp;VLOOKUP($C$4,'Writing Logic'!$G$8:$H$14,2,FALSE),YES_Writing_ELA[#Headers],0)))="INS",'Writing Logic'!$B$7,IF(INDEX(_xlfn.VSTACK(YES_Writing_ELA[#Data],YES_Writing_FLA[#Data]),MATCH($A139,_xlfn.VSTACK(YES_Writing_ELA[Student Number],YES_Writing_FLA[Student Number]),0),MATCH(VLOOKUP(G$7,'Writing Logic'!$J$7:$K$11,2,FALSE)&amp;" - Per "&amp;VLOOKUP($C$4,'Writing Logic'!$G$8:$H$14,2,FALSE),YES_Writing_ELA[#Headers],0))=0,"",INDEX(_xlfn.VSTACK(YES_Writing_ELA[#Data],YES_Writing_FLA[#Data]),MATCH($A139,_xlfn.VSTACK(YES_Writing_ELA[Student Number],YES_Writing_FLA[Student Number]),0),MATCH(VLOOKUP(G$7,'Writing Logic'!$J$7:$K$11,2,FALSE)&amp;" - Per "&amp;VLOOKUP($C$4,'Writing Logic'!$G$8:$H$14,2,FALSE),YES_Writing_ELA[#Headers],0)))),"")</f>
        <v/>
      </c>
      <c r="H139" s="223" t="str">
        <f>IFERROR(IF(IF(INDEX(_xlfn.VSTACK(YES_Writing_ELA[#Data],YES_Writing_FLA[#Data]),MATCH($A139,_xlfn.VSTACK(YES_Writing_ELA[Student Number],YES_Writing_FLA[Student Number]),0),MATCH(VLOOKUP(H$7,'Writing Logic'!$J$7:$K$11,2,FALSE)&amp;" - Per "&amp;VLOOKUP($C$4,'Writing Logic'!$G$8:$H$14,2,FALSE),YES_Writing_ELA[#Headers],0))=0,"",INDEX(_xlfn.VSTACK(YES_Writing_ELA[#Data],YES_Writing_FLA[#Data]),MATCH($A139,_xlfn.VSTACK(YES_Writing_ELA[Student Number],YES_Writing_FLA[Student Number]),0),MATCH(VLOOKUP(H$7,'Writing Logic'!$J$7:$K$11,2,FALSE)&amp;" - Per "&amp;VLOOKUP($C$4,'Writing Logic'!$G$8:$H$14,2,FALSE),YES_Writing_ELA[#Headers],0)))="INS",'Writing Logic'!$B$7,IF(INDEX(_xlfn.VSTACK(YES_Writing_ELA[#Data],YES_Writing_FLA[#Data]),MATCH($A139,_xlfn.VSTACK(YES_Writing_ELA[Student Number],YES_Writing_FLA[Student Number]),0),MATCH(VLOOKUP(H$7,'Writing Logic'!$J$7:$K$11,2,FALSE)&amp;" - Per "&amp;VLOOKUP($C$4,'Writing Logic'!$G$8:$H$14,2,FALSE),YES_Writing_ELA[#Headers],0))=0,"",INDEX(_xlfn.VSTACK(YES_Writing_ELA[#Data],YES_Writing_FLA[#Data]),MATCH($A139,_xlfn.VSTACK(YES_Writing_ELA[Student Number],YES_Writing_FLA[Student Number]),0),MATCH(VLOOKUP(H$7,'Writing Logic'!$J$7:$K$11,2,FALSE)&amp;" - Per "&amp;VLOOKUP($C$4,'Writing Logic'!$G$8:$H$14,2,FALSE),YES_Writing_ELA[#Headers],0)))),"")</f>
        <v/>
      </c>
      <c r="I139" s="224" t="str" cm="1">
        <f t="array" aca="1" ref="I139" ca="1">IFERROR(
IF($G$3="ELA",
IF(VLOOKUP($A139, YES_Reading_ELA[], COLUMN(INDIRECT("YES_Reading_ELA[Difference - Per "&amp;VLOOKUP($G$4, 'Reading Report Logic'!$A$2:$B$8, 2, FALSE)&amp;"]")), FALSE)="", "",
VLOOKUP($A139,YES_Reading_ELA[], COLUMN(INDIRECT("YES_Reading_ELA[Difference - Per "&amp;VLOOKUP($G$4,'Reading Report Logic'!$A$2:$B$8,2,FALSE)&amp;"]")), FALSE)),
IF($G$3="FLA",
IF(VLOOKUP($A139, YES_Reading_FLA[], COLUMN(INDIRECT("YES_Reading_FLA[Difference - Per "&amp;VLOOKUP($G$4,'Reading Report Logic'!$A$2:$B$8,2,FALSE)&amp;"]")),FALSE)="","",
VLOOKUP($A139,YES_Reading_FLA[],COLUMN(INDIRECT("YES_Reading_FLA[Difference - Per "&amp;VLOOKUP($G$4,'Reading Report Logic'!$A$2:$B$8,2,FALSE)&amp;"]")),FALSE)),
IF($G$3="Combined",
IFERROR(
IF(VLOOKUP($A139, YES_Reading_ELA[], COLUMN(INDIRECT("YES_Reading_ELA[Difference - Per "&amp;VLOOKUP($G$4, 'Reading Report Logic'!$A$2:$B$8,2,FALSE)&amp;"]")), FALSE)="", "",
VLOOKUP($A139,YES_Reading_ELA[],COLUMN(INDIRECT("YES_Reading_ELA[Difference - Per "&amp;VLOOKUP($G$4,'Reading Report Logic'!$A$2:$B$8,2,FALSE)&amp;"]")),FALSE)),
IF(VLOOKUP($A139, YES_Reading_FLA[], COLUMN(INDIRECT("YES_Reading_FLA[Difference - Per "&amp;VLOOKUP($G$4, 'Reading Report Logic'!$A$2:$B$8, 2, FALSE)&amp;"]")),FALSE)="", "", VLOOKUP($A139,YES_Reading_FLA[],COLUMN(INDIRECT("YES_Reading_FLA[Difference - Per "&amp;VLOOKUP($G$4, 'Reading Report Logic'!$A$2:$B$8, 2, FALSE)&amp;"]")),FALSE))),""))),"")</f>
        <v/>
      </c>
    </row>
    <row r="140" spans="1:9" ht="14.25" customHeight="1" x14ac:dyDescent="0.25">
      <c r="A140" s="137"/>
      <c r="B140" s="137" t="str">
        <f>IFERROR(INDEX(_xlfn.VSTACK(YES_Writing_ELA[#Data], YES_Writing_FLA[#Data]),MATCH($A140,_xlfn.VSTACK(YES_Writing_ELA[Student Number], YES_Writing_FLA[Student Number]),0),MATCH(B$7,YES_Writing_ELA[#Headers],0)),IFERROR(INDEX(_xlfn.VSTACK(YES_Reading_ELA[#Data], YES_Reading_FLA[#Data]),MATCH($A140,_xlfn.VSTACK(YES_Reading_ELA[Student Number], YES_Reading_FLA[Student Number]),0),MATCH(B$7,YES_Reading_ELA[#Headers],0)),""))</f>
        <v/>
      </c>
      <c r="C140" s="137" t="str">
        <f>IFERROR(INDEX(_xlfn.VSTACK(YES_Writing_ELA[#Data], YES_Writing_FLA[#Data]),MATCH($A140,_xlfn.VSTACK(YES_Writing_ELA[Student Number], YES_Writing_FLA[Student Number]),0),MATCH(C$7,YES_Writing_ELA[#Headers],0)),IFERROR(INDEX(_xlfn.VSTACK(YES_Reading_ELA[#Data], YES_Reading_FLA[#Data]),MATCH($A140,_xlfn.VSTACK(YES_Reading_ELA[Student Number], YES_Reading_FLA[Student Number]),0),MATCH(C$7,YES_Reading_ELA[#Headers],0)),""))</f>
        <v/>
      </c>
      <c r="D140" s="138" t="str">
        <f>IFERROR(IF(IF(INDEX(_xlfn.VSTACK(YES_Writing_ELA[#Data],YES_Writing_FLA[#Data]),MATCH($A140,_xlfn.VSTACK(YES_Writing_ELA[Student Number],YES_Writing_FLA[Student Number]),0),MATCH(VLOOKUP(D$7,'Writing Logic'!$J$7:$K$11,2,FALSE)&amp;" - Per "&amp;VLOOKUP($C$4,'Writing Logic'!$G$8:$H$14,2,FALSE),YES_Writing_ELA[#Headers],0))=0,"",INDEX(_xlfn.VSTACK(YES_Writing_ELA[#Data],YES_Writing_FLA[#Data]),MATCH($A140,_xlfn.VSTACK(YES_Writing_ELA[Student Number],YES_Writing_FLA[Student Number]),0),MATCH(VLOOKUP(D$7,'Writing Logic'!$J$7:$K$11,2,FALSE)&amp;" - Per "&amp;VLOOKUP($C$4,'Writing Logic'!$G$8:$H$14,2,FALSE),YES_Writing_ELA[#Headers],0)))="INS",'Writing Logic'!$B$7,IF(INDEX(_xlfn.VSTACK(YES_Writing_ELA[#Data],YES_Writing_FLA[#Data]),MATCH($A140,_xlfn.VSTACK(YES_Writing_ELA[Student Number],YES_Writing_FLA[Student Number]),0),MATCH(VLOOKUP(D$7,'Writing Logic'!$J$7:$K$11,2,FALSE)&amp;" - Per "&amp;VLOOKUP($C$4,'Writing Logic'!$G$8:$H$14,2,FALSE),YES_Writing_ELA[#Headers],0))=0,"",INDEX(_xlfn.VSTACK(YES_Writing_ELA[#Data],YES_Writing_FLA[#Data]),MATCH($A140,_xlfn.VSTACK(YES_Writing_ELA[Student Number],YES_Writing_FLA[Student Number]),0),MATCH(VLOOKUP(D$7,'Writing Logic'!$J$7:$K$11,2,FALSE)&amp;" - Per "&amp;VLOOKUP($C$4,'Writing Logic'!$G$8:$H$14,2,FALSE),YES_Writing_ELA[#Headers],0)))),"")</f>
        <v/>
      </c>
      <c r="E140" s="138" t="str">
        <f>IFERROR(IF(IF(INDEX(_xlfn.VSTACK(YES_Writing_ELA[#Data],YES_Writing_FLA[#Data]),MATCH($A140,_xlfn.VSTACK(YES_Writing_ELA[Student Number],YES_Writing_FLA[Student Number]),0),MATCH(VLOOKUP(E$7,'Writing Logic'!$J$7:$K$11,2,FALSE)&amp;" - Per "&amp;VLOOKUP($C$4,'Writing Logic'!$G$8:$H$14,2,FALSE),YES_Writing_ELA[#Headers],0))=0,"",INDEX(_xlfn.VSTACK(YES_Writing_ELA[#Data],YES_Writing_FLA[#Data]),MATCH($A140,_xlfn.VSTACK(YES_Writing_ELA[Student Number],YES_Writing_FLA[Student Number]),0),MATCH(VLOOKUP(E$7,'Writing Logic'!$J$7:$K$11,2,FALSE)&amp;" - Per "&amp;VLOOKUP($C$4,'Writing Logic'!$G$8:$H$14,2,FALSE),YES_Writing_ELA[#Headers],0)))="INS",'Writing Logic'!$B$7,IF(INDEX(_xlfn.VSTACK(YES_Writing_ELA[#Data],YES_Writing_FLA[#Data]),MATCH($A140,_xlfn.VSTACK(YES_Writing_ELA[Student Number],YES_Writing_FLA[Student Number]),0),MATCH(VLOOKUP(E$7,'Writing Logic'!$J$7:$K$11,2,FALSE)&amp;" - Per "&amp;VLOOKUP($C$4,'Writing Logic'!$G$8:$H$14,2,FALSE),YES_Writing_ELA[#Headers],0))=0,"",INDEX(_xlfn.VSTACK(YES_Writing_ELA[#Data],YES_Writing_FLA[#Data]),MATCH($A140,_xlfn.VSTACK(YES_Writing_ELA[Student Number],YES_Writing_FLA[Student Number]),0),MATCH(VLOOKUP(E$7,'Writing Logic'!$J$7:$K$11,2,FALSE)&amp;" - Per "&amp;VLOOKUP($C$4,'Writing Logic'!$G$8:$H$14,2,FALSE),YES_Writing_ELA[#Headers],0)))),"")</f>
        <v/>
      </c>
      <c r="F140" s="138" t="str">
        <f>IFERROR(IF(IF(INDEX(_xlfn.VSTACK(YES_Writing_ELA[#Data],YES_Writing_FLA[#Data]),MATCH($A140,_xlfn.VSTACK(YES_Writing_ELA[Student Number],YES_Writing_FLA[Student Number]),0),MATCH(VLOOKUP(F$7,'Writing Logic'!$J$7:$K$11,2,FALSE)&amp;" - Per "&amp;VLOOKUP($C$4,'Writing Logic'!$G$8:$H$14,2,FALSE),YES_Writing_ELA[#Headers],0))=0,"",INDEX(_xlfn.VSTACK(YES_Writing_ELA[#Data],YES_Writing_FLA[#Data]),MATCH($A140,_xlfn.VSTACK(YES_Writing_ELA[Student Number],YES_Writing_FLA[Student Number]),0),MATCH(VLOOKUP(F$7,'Writing Logic'!$J$7:$K$11,2,FALSE)&amp;" - Per "&amp;VLOOKUP($C$4,'Writing Logic'!$G$8:$H$14,2,FALSE),YES_Writing_ELA[#Headers],0)))="INS",'Writing Logic'!$B$7,IF(INDEX(_xlfn.VSTACK(YES_Writing_ELA[#Data],YES_Writing_FLA[#Data]),MATCH($A140,_xlfn.VSTACK(YES_Writing_ELA[Student Number],YES_Writing_FLA[Student Number]),0),MATCH(VLOOKUP(F$7,'Writing Logic'!$J$7:$K$11,2,FALSE)&amp;" - Per "&amp;VLOOKUP($C$4,'Writing Logic'!$G$8:$H$14,2,FALSE),YES_Writing_ELA[#Headers],0))=0,"",INDEX(_xlfn.VSTACK(YES_Writing_ELA[#Data],YES_Writing_FLA[#Data]),MATCH($A140,_xlfn.VSTACK(YES_Writing_ELA[Student Number],YES_Writing_FLA[Student Number]),0),MATCH(VLOOKUP(F$7,'Writing Logic'!$J$7:$K$11,2,FALSE)&amp;" - Per "&amp;VLOOKUP($C$4,'Writing Logic'!$G$8:$H$14,2,FALSE),YES_Writing_ELA[#Headers],0)))),"")</f>
        <v/>
      </c>
      <c r="G140" s="138" t="str">
        <f>IFERROR(IF(IF(INDEX(_xlfn.VSTACK(YES_Writing_ELA[#Data],YES_Writing_FLA[#Data]),MATCH($A140,_xlfn.VSTACK(YES_Writing_ELA[Student Number],YES_Writing_FLA[Student Number]),0),MATCH(VLOOKUP(G$7,'Writing Logic'!$J$7:$K$11,2,FALSE)&amp;" - Per "&amp;VLOOKUP($C$4,'Writing Logic'!$G$8:$H$14,2,FALSE),YES_Writing_ELA[#Headers],0))=0,"",INDEX(_xlfn.VSTACK(YES_Writing_ELA[#Data],YES_Writing_FLA[#Data]),MATCH($A140,_xlfn.VSTACK(YES_Writing_ELA[Student Number],YES_Writing_FLA[Student Number]),0),MATCH(VLOOKUP(G$7,'Writing Logic'!$J$7:$K$11,2,FALSE)&amp;" - Per "&amp;VLOOKUP($C$4,'Writing Logic'!$G$8:$H$14,2,FALSE),YES_Writing_ELA[#Headers],0)))="INS",'Writing Logic'!$B$7,IF(INDEX(_xlfn.VSTACK(YES_Writing_ELA[#Data],YES_Writing_FLA[#Data]),MATCH($A140,_xlfn.VSTACK(YES_Writing_ELA[Student Number],YES_Writing_FLA[Student Number]),0),MATCH(VLOOKUP(G$7,'Writing Logic'!$J$7:$K$11,2,FALSE)&amp;" - Per "&amp;VLOOKUP($C$4,'Writing Logic'!$G$8:$H$14,2,FALSE),YES_Writing_ELA[#Headers],0))=0,"",INDEX(_xlfn.VSTACK(YES_Writing_ELA[#Data],YES_Writing_FLA[#Data]),MATCH($A140,_xlfn.VSTACK(YES_Writing_ELA[Student Number],YES_Writing_FLA[Student Number]),0),MATCH(VLOOKUP(G$7,'Writing Logic'!$J$7:$K$11,2,FALSE)&amp;" - Per "&amp;VLOOKUP($C$4,'Writing Logic'!$G$8:$H$14,2,FALSE),YES_Writing_ELA[#Headers],0)))),"")</f>
        <v/>
      </c>
      <c r="H140" s="223" t="str">
        <f>IFERROR(IF(IF(INDEX(_xlfn.VSTACK(YES_Writing_ELA[#Data],YES_Writing_FLA[#Data]),MATCH($A140,_xlfn.VSTACK(YES_Writing_ELA[Student Number],YES_Writing_FLA[Student Number]),0),MATCH(VLOOKUP(H$7,'Writing Logic'!$J$7:$K$11,2,FALSE)&amp;" - Per "&amp;VLOOKUP($C$4,'Writing Logic'!$G$8:$H$14,2,FALSE),YES_Writing_ELA[#Headers],0))=0,"",INDEX(_xlfn.VSTACK(YES_Writing_ELA[#Data],YES_Writing_FLA[#Data]),MATCH($A140,_xlfn.VSTACK(YES_Writing_ELA[Student Number],YES_Writing_FLA[Student Number]),0),MATCH(VLOOKUP(H$7,'Writing Logic'!$J$7:$K$11,2,FALSE)&amp;" - Per "&amp;VLOOKUP($C$4,'Writing Logic'!$G$8:$H$14,2,FALSE),YES_Writing_ELA[#Headers],0)))="INS",'Writing Logic'!$B$7,IF(INDEX(_xlfn.VSTACK(YES_Writing_ELA[#Data],YES_Writing_FLA[#Data]),MATCH($A140,_xlfn.VSTACK(YES_Writing_ELA[Student Number],YES_Writing_FLA[Student Number]),0),MATCH(VLOOKUP(H$7,'Writing Logic'!$J$7:$K$11,2,FALSE)&amp;" - Per "&amp;VLOOKUP($C$4,'Writing Logic'!$G$8:$H$14,2,FALSE),YES_Writing_ELA[#Headers],0))=0,"",INDEX(_xlfn.VSTACK(YES_Writing_ELA[#Data],YES_Writing_FLA[#Data]),MATCH($A140,_xlfn.VSTACK(YES_Writing_ELA[Student Number],YES_Writing_FLA[Student Number]),0),MATCH(VLOOKUP(H$7,'Writing Logic'!$J$7:$K$11,2,FALSE)&amp;" - Per "&amp;VLOOKUP($C$4,'Writing Logic'!$G$8:$H$14,2,FALSE),YES_Writing_ELA[#Headers],0)))),"")</f>
        <v/>
      </c>
      <c r="I140" s="224" t="str" cm="1">
        <f t="array" aca="1" ref="I140" ca="1">IFERROR(
IF($G$3="ELA",
IF(VLOOKUP($A140, YES_Reading_ELA[], COLUMN(INDIRECT("YES_Reading_ELA[Difference - Per "&amp;VLOOKUP($G$4, 'Reading Report Logic'!$A$2:$B$8, 2, FALSE)&amp;"]")), FALSE)="", "",
VLOOKUP($A140,YES_Reading_ELA[], COLUMN(INDIRECT("YES_Reading_ELA[Difference - Per "&amp;VLOOKUP($G$4,'Reading Report Logic'!$A$2:$B$8,2,FALSE)&amp;"]")), FALSE)),
IF($G$3="FLA",
IF(VLOOKUP($A140, YES_Reading_FLA[], COLUMN(INDIRECT("YES_Reading_FLA[Difference - Per "&amp;VLOOKUP($G$4,'Reading Report Logic'!$A$2:$B$8,2,FALSE)&amp;"]")),FALSE)="","",
VLOOKUP($A140,YES_Reading_FLA[],COLUMN(INDIRECT("YES_Reading_FLA[Difference - Per "&amp;VLOOKUP($G$4,'Reading Report Logic'!$A$2:$B$8,2,FALSE)&amp;"]")),FALSE)),
IF($G$3="Combined",
IFERROR(
IF(VLOOKUP($A140, YES_Reading_ELA[], COLUMN(INDIRECT("YES_Reading_ELA[Difference - Per "&amp;VLOOKUP($G$4, 'Reading Report Logic'!$A$2:$B$8,2,FALSE)&amp;"]")), FALSE)="", "",
VLOOKUP($A140,YES_Reading_ELA[],COLUMN(INDIRECT("YES_Reading_ELA[Difference - Per "&amp;VLOOKUP($G$4,'Reading Report Logic'!$A$2:$B$8,2,FALSE)&amp;"]")),FALSE)),
IF(VLOOKUP($A140, YES_Reading_FLA[], COLUMN(INDIRECT("YES_Reading_FLA[Difference - Per "&amp;VLOOKUP($G$4, 'Reading Report Logic'!$A$2:$B$8, 2, FALSE)&amp;"]")),FALSE)="", "", VLOOKUP($A140,YES_Reading_FLA[],COLUMN(INDIRECT("YES_Reading_FLA[Difference - Per "&amp;VLOOKUP($G$4, 'Reading Report Logic'!$A$2:$B$8, 2, FALSE)&amp;"]")),FALSE))),""))),"")</f>
        <v/>
      </c>
    </row>
    <row r="141" spans="1:9" ht="14.25" customHeight="1" x14ac:dyDescent="0.25">
      <c r="A141" s="137"/>
      <c r="B141" s="137" t="str">
        <f>IFERROR(INDEX(_xlfn.VSTACK(YES_Writing_ELA[#Data], YES_Writing_FLA[#Data]),MATCH($A141,_xlfn.VSTACK(YES_Writing_ELA[Student Number], YES_Writing_FLA[Student Number]),0),MATCH(B$7,YES_Writing_ELA[#Headers],0)),IFERROR(INDEX(_xlfn.VSTACK(YES_Reading_ELA[#Data], YES_Reading_FLA[#Data]),MATCH($A141,_xlfn.VSTACK(YES_Reading_ELA[Student Number], YES_Reading_FLA[Student Number]),0),MATCH(B$7,YES_Reading_ELA[#Headers],0)),""))</f>
        <v/>
      </c>
      <c r="C141" s="137" t="str">
        <f>IFERROR(INDEX(_xlfn.VSTACK(YES_Writing_ELA[#Data], YES_Writing_FLA[#Data]),MATCH($A141,_xlfn.VSTACK(YES_Writing_ELA[Student Number], YES_Writing_FLA[Student Number]),0),MATCH(C$7,YES_Writing_ELA[#Headers],0)),IFERROR(INDEX(_xlfn.VSTACK(YES_Reading_ELA[#Data], YES_Reading_FLA[#Data]),MATCH($A141,_xlfn.VSTACK(YES_Reading_ELA[Student Number], YES_Reading_FLA[Student Number]),0),MATCH(C$7,YES_Reading_ELA[#Headers],0)),""))</f>
        <v/>
      </c>
      <c r="D141" s="138" t="str">
        <f>IFERROR(IF(IF(INDEX(_xlfn.VSTACK(YES_Writing_ELA[#Data],YES_Writing_FLA[#Data]),MATCH($A141,_xlfn.VSTACK(YES_Writing_ELA[Student Number],YES_Writing_FLA[Student Number]),0),MATCH(VLOOKUP(D$7,'Writing Logic'!$J$7:$K$11,2,FALSE)&amp;" - Per "&amp;VLOOKUP($C$4,'Writing Logic'!$G$8:$H$14,2,FALSE),YES_Writing_ELA[#Headers],0))=0,"",INDEX(_xlfn.VSTACK(YES_Writing_ELA[#Data],YES_Writing_FLA[#Data]),MATCH($A141,_xlfn.VSTACK(YES_Writing_ELA[Student Number],YES_Writing_FLA[Student Number]),0),MATCH(VLOOKUP(D$7,'Writing Logic'!$J$7:$K$11,2,FALSE)&amp;" - Per "&amp;VLOOKUP($C$4,'Writing Logic'!$G$8:$H$14,2,FALSE),YES_Writing_ELA[#Headers],0)))="INS",'Writing Logic'!$B$7,IF(INDEX(_xlfn.VSTACK(YES_Writing_ELA[#Data],YES_Writing_FLA[#Data]),MATCH($A141,_xlfn.VSTACK(YES_Writing_ELA[Student Number],YES_Writing_FLA[Student Number]),0),MATCH(VLOOKUP(D$7,'Writing Logic'!$J$7:$K$11,2,FALSE)&amp;" - Per "&amp;VLOOKUP($C$4,'Writing Logic'!$G$8:$H$14,2,FALSE),YES_Writing_ELA[#Headers],0))=0,"",INDEX(_xlfn.VSTACK(YES_Writing_ELA[#Data],YES_Writing_FLA[#Data]),MATCH($A141,_xlfn.VSTACK(YES_Writing_ELA[Student Number],YES_Writing_FLA[Student Number]),0),MATCH(VLOOKUP(D$7,'Writing Logic'!$J$7:$K$11,2,FALSE)&amp;" - Per "&amp;VLOOKUP($C$4,'Writing Logic'!$G$8:$H$14,2,FALSE),YES_Writing_ELA[#Headers],0)))),"")</f>
        <v/>
      </c>
      <c r="E141" s="138" t="str">
        <f>IFERROR(IF(IF(INDEX(_xlfn.VSTACK(YES_Writing_ELA[#Data],YES_Writing_FLA[#Data]),MATCH($A141,_xlfn.VSTACK(YES_Writing_ELA[Student Number],YES_Writing_FLA[Student Number]),0),MATCH(VLOOKUP(E$7,'Writing Logic'!$J$7:$K$11,2,FALSE)&amp;" - Per "&amp;VLOOKUP($C$4,'Writing Logic'!$G$8:$H$14,2,FALSE),YES_Writing_ELA[#Headers],0))=0,"",INDEX(_xlfn.VSTACK(YES_Writing_ELA[#Data],YES_Writing_FLA[#Data]),MATCH($A141,_xlfn.VSTACK(YES_Writing_ELA[Student Number],YES_Writing_FLA[Student Number]),0),MATCH(VLOOKUP(E$7,'Writing Logic'!$J$7:$K$11,2,FALSE)&amp;" - Per "&amp;VLOOKUP($C$4,'Writing Logic'!$G$8:$H$14,2,FALSE),YES_Writing_ELA[#Headers],0)))="INS",'Writing Logic'!$B$7,IF(INDEX(_xlfn.VSTACK(YES_Writing_ELA[#Data],YES_Writing_FLA[#Data]),MATCH($A141,_xlfn.VSTACK(YES_Writing_ELA[Student Number],YES_Writing_FLA[Student Number]),0),MATCH(VLOOKUP(E$7,'Writing Logic'!$J$7:$K$11,2,FALSE)&amp;" - Per "&amp;VLOOKUP($C$4,'Writing Logic'!$G$8:$H$14,2,FALSE),YES_Writing_ELA[#Headers],0))=0,"",INDEX(_xlfn.VSTACK(YES_Writing_ELA[#Data],YES_Writing_FLA[#Data]),MATCH($A141,_xlfn.VSTACK(YES_Writing_ELA[Student Number],YES_Writing_FLA[Student Number]),0),MATCH(VLOOKUP(E$7,'Writing Logic'!$J$7:$K$11,2,FALSE)&amp;" - Per "&amp;VLOOKUP($C$4,'Writing Logic'!$G$8:$H$14,2,FALSE),YES_Writing_ELA[#Headers],0)))),"")</f>
        <v/>
      </c>
      <c r="F141" s="138" t="str">
        <f>IFERROR(IF(IF(INDEX(_xlfn.VSTACK(YES_Writing_ELA[#Data],YES_Writing_FLA[#Data]),MATCH($A141,_xlfn.VSTACK(YES_Writing_ELA[Student Number],YES_Writing_FLA[Student Number]),0),MATCH(VLOOKUP(F$7,'Writing Logic'!$J$7:$K$11,2,FALSE)&amp;" - Per "&amp;VLOOKUP($C$4,'Writing Logic'!$G$8:$H$14,2,FALSE),YES_Writing_ELA[#Headers],0))=0,"",INDEX(_xlfn.VSTACK(YES_Writing_ELA[#Data],YES_Writing_FLA[#Data]),MATCH($A141,_xlfn.VSTACK(YES_Writing_ELA[Student Number],YES_Writing_FLA[Student Number]),0),MATCH(VLOOKUP(F$7,'Writing Logic'!$J$7:$K$11,2,FALSE)&amp;" - Per "&amp;VLOOKUP($C$4,'Writing Logic'!$G$8:$H$14,2,FALSE),YES_Writing_ELA[#Headers],0)))="INS",'Writing Logic'!$B$7,IF(INDEX(_xlfn.VSTACK(YES_Writing_ELA[#Data],YES_Writing_FLA[#Data]),MATCH($A141,_xlfn.VSTACK(YES_Writing_ELA[Student Number],YES_Writing_FLA[Student Number]),0),MATCH(VLOOKUP(F$7,'Writing Logic'!$J$7:$K$11,2,FALSE)&amp;" - Per "&amp;VLOOKUP($C$4,'Writing Logic'!$G$8:$H$14,2,FALSE),YES_Writing_ELA[#Headers],0))=0,"",INDEX(_xlfn.VSTACK(YES_Writing_ELA[#Data],YES_Writing_FLA[#Data]),MATCH($A141,_xlfn.VSTACK(YES_Writing_ELA[Student Number],YES_Writing_FLA[Student Number]),0),MATCH(VLOOKUP(F$7,'Writing Logic'!$J$7:$K$11,2,FALSE)&amp;" - Per "&amp;VLOOKUP($C$4,'Writing Logic'!$G$8:$H$14,2,FALSE),YES_Writing_ELA[#Headers],0)))),"")</f>
        <v/>
      </c>
      <c r="G141" s="138" t="str">
        <f>IFERROR(IF(IF(INDEX(_xlfn.VSTACK(YES_Writing_ELA[#Data],YES_Writing_FLA[#Data]),MATCH($A141,_xlfn.VSTACK(YES_Writing_ELA[Student Number],YES_Writing_FLA[Student Number]),0),MATCH(VLOOKUP(G$7,'Writing Logic'!$J$7:$K$11,2,FALSE)&amp;" - Per "&amp;VLOOKUP($C$4,'Writing Logic'!$G$8:$H$14,2,FALSE),YES_Writing_ELA[#Headers],0))=0,"",INDEX(_xlfn.VSTACK(YES_Writing_ELA[#Data],YES_Writing_FLA[#Data]),MATCH($A141,_xlfn.VSTACK(YES_Writing_ELA[Student Number],YES_Writing_FLA[Student Number]),0),MATCH(VLOOKUP(G$7,'Writing Logic'!$J$7:$K$11,2,FALSE)&amp;" - Per "&amp;VLOOKUP($C$4,'Writing Logic'!$G$8:$H$14,2,FALSE),YES_Writing_ELA[#Headers],0)))="INS",'Writing Logic'!$B$7,IF(INDEX(_xlfn.VSTACK(YES_Writing_ELA[#Data],YES_Writing_FLA[#Data]),MATCH($A141,_xlfn.VSTACK(YES_Writing_ELA[Student Number],YES_Writing_FLA[Student Number]),0),MATCH(VLOOKUP(G$7,'Writing Logic'!$J$7:$K$11,2,FALSE)&amp;" - Per "&amp;VLOOKUP($C$4,'Writing Logic'!$G$8:$H$14,2,FALSE),YES_Writing_ELA[#Headers],0))=0,"",INDEX(_xlfn.VSTACK(YES_Writing_ELA[#Data],YES_Writing_FLA[#Data]),MATCH($A141,_xlfn.VSTACK(YES_Writing_ELA[Student Number],YES_Writing_FLA[Student Number]),0),MATCH(VLOOKUP(G$7,'Writing Logic'!$J$7:$K$11,2,FALSE)&amp;" - Per "&amp;VLOOKUP($C$4,'Writing Logic'!$G$8:$H$14,2,FALSE),YES_Writing_ELA[#Headers],0)))),"")</f>
        <v/>
      </c>
      <c r="H141" s="223" t="str">
        <f>IFERROR(IF(IF(INDEX(_xlfn.VSTACK(YES_Writing_ELA[#Data],YES_Writing_FLA[#Data]),MATCH($A141,_xlfn.VSTACK(YES_Writing_ELA[Student Number],YES_Writing_FLA[Student Number]),0),MATCH(VLOOKUP(H$7,'Writing Logic'!$J$7:$K$11,2,FALSE)&amp;" - Per "&amp;VLOOKUP($C$4,'Writing Logic'!$G$8:$H$14,2,FALSE),YES_Writing_ELA[#Headers],0))=0,"",INDEX(_xlfn.VSTACK(YES_Writing_ELA[#Data],YES_Writing_FLA[#Data]),MATCH($A141,_xlfn.VSTACK(YES_Writing_ELA[Student Number],YES_Writing_FLA[Student Number]),0),MATCH(VLOOKUP(H$7,'Writing Logic'!$J$7:$K$11,2,FALSE)&amp;" - Per "&amp;VLOOKUP($C$4,'Writing Logic'!$G$8:$H$14,2,FALSE),YES_Writing_ELA[#Headers],0)))="INS",'Writing Logic'!$B$7,IF(INDEX(_xlfn.VSTACK(YES_Writing_ELA[#Data],YES_Writing_FLA[#Data]),MATCH($A141,_xlfn.VSTACK(YES_Writing_ELA[Student Number],YES_Writing_FLA[Student Number]),0),MATCH(VLOOKUP(H$7,'Writing Logic'!$J$7:$K$11,2,FALSE)&amp;" - Per "&amp;VLOOKUP($C$4,'Writing Logic'!$G$8:$H$14,2,FALSE),YES_Writing_ELA[#Headers],0))=0,"",INDEX(_xlfn.VSTACK(YES_Writing_ELA[#Data],YES_Writing_FLA[#Data]),MATCH($A141,_xlfn.VSTACK(YES_Writing_ELA[Student Number],YES_Writing_FLA[Student Number]),0),MATCH(VLOOKUP(H$7,'Writing Logic'!$J$7:$K$11,2,FALSE)&amp;" - Per "&amp;VLOOKUP($C$4,'Writing Logic'!$G$8:$H$14,2,FALSE),YES_Writing_ELA[#Headers],0)))),"")</f>
        <v/>
      </c>
      <c r="I141" s="224" t="str" cm="1">
        <f t="array" aca="1" ref="I141" ca="1">IFERROR(
IF($G$3="ELA",
IF(VLOOKUP($A141, YES_Reading_ELA[], COLUMN(INDIRECT("YES_Reading_ELA[Difference - Per "&amp;VLOOKUP($G$4, 'Reading Report Logic'!$A$2:$B$8, 2, FALSE)&amp;"]")), FALSE)="", "",
VLOOKUP($A141,YES_Reading_ELA[], COLUMN(INDIRECT("YES_Reading_ELA[Difference - Per "&amp;VLOOKUP($G$4,'Reading Report Logic'!$A$2:$B$8,2,FALSE)&amp;"]")), FALSE)),
IF($G$3="FLA",
IF(VLOOKUP($A141, YES_Reading_FLA[], COLUMN(INDIRECT("YES_Reading_FLA[Difference - Per "&amp;VLOOKUP($G$4,'Reading Report Logic'!$A$2:$B$8,2,FALSE)&amp;"]")),FALSE)="","",
VLOOKUP($A141,YES_Reading_FLA[],COLUMN(INDIRECT("YES_Reading_FLA[Difference - Per "&amp;VLOOKUP($G$4,'Reading Report Logic'!$A$2:$B$8,2,FALSE)&amp;"]")),FALSE)),
IF($G$3="Combined",
IFERROR(
IF(VLOOKUP($A141, YES_Reading_ELA[], COLUMN(INDIRECT("YES_Reading_ELA[Difference - Per "&amp;VLOOKUP($G$4, 'Reading Report Logic'!$A$2:$B$8,2,FALSE)&amp;"]")), FALSE)="", "",
VLOOKUP($A141,YES_Reading_ELA[],COLUMN(INDIRECT("YES_Reading_ELA[Difference - Per "&amp;VLOOKUP($G$4,'Reading Report Logic'!$A$2:$B$8,2,FALSE)&amp;"]")),FALSE)),
IF(VLOOKUP($A141, YES_Reading_FLA[], COLUMN(INDIRECT("YES_Reading_FLA[Difference - Per "&amp;VLOOKUP($G$4, 'Reading Report Logic'!$A$2:$B$8, 2, FALSE)&amp;"]")),FALSE)="", "", VLOOKUP($A141,YES_Reading_FLA[],COLUMN(INDIRECT("YES_Reading_FLA[Difference - Per "&amp;VLOOKUP($G$4, 'Reading Report Logic'!$A$2:$B$8, 2, FALSE)&amp;"]")),FALSE))),""))),"")</f>
        <v/>
      </c>
    </row>
    <row r="142" spans="1:9" ht="14.25" customHeight="1" x14ac:dyDescent="0.25">
      <c r="A142" s="137"/>
      <c r="B142" s="137" t="str">
        <f>IFERROR(INDEX(_xlfn.VSTACK(YES_Writing_ELA[#Data], YES_Writing_FLA[#Data]),MATCH($A142,_xlfn.VSTACK(YES_Writing_ELA[Student Number], YES_Writing_FLA[Student Number]),0),MATCH(B$7,YES_Writing_ELA[#Headers],0)),IFERROR(INDEX(_xlfn.VSTACK(YES_Reading_ELA[#Data], YES_Reading_FLA[#Data]),MATCH($A142,_xlfn.VSTACK(YES_Reading_ELA[Student Number], YES_Reading_FLA[Student Number]),0),MATCH(B$7,YES_Reading_ELA[#Headers],0)),""))</f>
        <v/>
      </c>
      <c r="C142" s="137" t="str">
        <f>IFERROR(INDEX(_xlfn.VSTACK(YES_Writing_ELA[#Data], YES_Writing_FLA[#Data]),MATCH($A142,_xlfn.VSTACK(YES_Writing_ELA[Student Number], YES_Writing_FLA[Student Number]),0),MATCH(C$7,YES_Writing_ELA[#Headers],0)),IFERROR(INDEX(_xlfn.VSTACK(YES_Reading_ELA[#Data], YES_Reading_FLA[#Data]),MATCH($A142,_xlfn.VSTACK(YES_Reading_ELA[Student Number], YES_Reading_FLA[Student Number]),0),MATCH(C$7,YES_Reading_ELA[#Headers],0)),""))</f>
        <v/>
      </c>
      <c r="D142" s="138" t="str">
        <f>IFERROR(IF(IF(INDEX(_xlfn.VSTACK(YES_Writing_ELA[#Data],YES_Writing_FLA[#Data]),MATCH($A142,_xlfn.VSTACK(YES_Writing_ELA[Student Number],YES_Writing_FLA[Student Number]),0),MATCH(VLOOKUP(D$7,'Writing Logic'!$J$7:$K$11,2,FALSE)&amp;" - Per "&amp;VLOOKUP($C$4,'Writing Logic'!$G$8:$H$14,2,FALSE),YES_Writing_ELA[#Headers],0))=0,"",INDEX(_xlfn.VSTACK(YES_Writing_ELA[#Data],YES_Writing_FLA[#Data]),MATCH($A142,_xlfn.VSTACK(YES_Writing_ELA[Student Number],YES_Writing_FLA[Student Number]),0),MATCH(VLOOKUP(D$7,'Writing Logic'!$J$7:$K$11,2,FALSE)&amp;" - Per "&amp;VLOOKUP($C$4,'Writing Logic'!$G$8:$H$14,2,FALSE),YES_Writing_ELA[#Headers],0)))="INS",'Writing Logic'!$B$7,IF(INDEX(_xlfn.VSTACK(YES_Writing_ELA[#Data],YES_Writing_FLA[#Data]),MATCH($A142,_xlfn.VSTACK(YES_Writing_ELA[Student Number],YES_Writing_FLA[Student Number]),0),MATCH(VLOOKUP(D$7,'Writing Logic'!$J$7:$K$11,2,FALSE)&amp;" - Per "&amp;VLOOKUP($C$4,'Writing Logic'!$G$8:$H$14,2,FALSE),YES_Writing_ELA[#Headers],0))=0,"",INDEX(_xlfn.VSTACK(YES_Writing_ELA[#Data],YES_Writing_FLA[#Data]),MATCH($A142,_xlfn.VSTACK(YES_Writing_ELA[Student Number],YES_Writing_FLA[Student Number]),0),MATCH(VLOOKUP(D$7,'Writing Logic'!$J$7:$K$11,2,FALSE)&amp;" - Per "&amp;VLOOKUP($C$4,'Writing Logic'!$G$8:$H$14,2,FALSE),YES_Writing_ELA[#Headers],0)))),"")</f>
        <v/>
      </c>
      <c r="E142" s="138" t="str">
        <f>IFERROR(IF(IF(INDEX(_xlfn.VSTACK(YES_Writing_ELA[#Data],YES_Writing_FLA[#Data]),MATCH($A142,_xlfn.VSTACK(YES_Writing_ELA[Student Number],YES_Writing_FLA[Student Number]),0),MATCH(VLOOKUP(E$7,'Writing Logic'!$J$7:$K$11,2,FALSE)&amp;" - Per "&amp;VLOOKUP($C$4,'Writing Logic'!$G$8:$H$14,2,FALSE),YES_Writing_ELA[#Headers],0))=0,"",INDEX(_xlfn.VSTACK(YES_Writing_ELA[#Data],YES_Writing_FLA[#Data]),MATCH($A142,_xlfn.VSTACK(YES_Writing_ELA[Student Number],YES_Writing_FLA[Student Number]),0),MATCH(VLOOKUP(E$7,'Writing Logic'!$J$7:$K$11,2,FALSE)&amp;" - Per "&amp;VLOOKUP($C$4,'Writing Logic'!$G$8:$H$14,2,FALSE),YES_Writing_ELA[#Headers],0)))="INS",'Writing Logic'!$B$7,IF(INDEX(_xlfn.VSTACK(YES_Writing_ELA[#Data],YES_Writing_FLA[#Data]),MATCH($A142,_xlfn.VSTACK(YES_Writing_ELA[Student Number],YES_Writing_FLA[Student Number]),0),MATCH(VLOOKUP(E$7,'Writing Logic'!$J$7:$K$11,2,FALSE)&amp;" - Per "&amp;VLOOKUP($C$4,'Writing Logic'!$G$8:$H$14,2,FALSE),YES_Writing_ELA[#Headers],0))=0,"",INDEX(_xlfn.VSTACK(YES_Writing_ELA[#Data],YES_Writing_FLA[#Data]),MATCH($A142,_xlfn.VSTACK(YES_Writing_ELA[Student Number],YES_Writing_FLA[Student Number]),0),MATCH(VLOOKUP(E$7,'Writing Logic'!$J$7:$K$11,2,FALSE)&amp;" - Per "&amp;VLOOKUP($C$4,'Writing Logic'!$G$8:$H$14,2,FALSE),YES_Writing_ELA[#Headers],0)))),"")</f>
        <v/>
      </c>
      <c r="F142" s="138" t="str">
        <f>IFERROR(IF(IF(INDEX(_xlfn.VSTACK(YES_Writing_ELA[#Data],YES_Writing_FLA[#Data]),MATCH($A142,_xlfn.VSTACK(YES_Writing_ELA[Student Number],YES_Writing_FLA[Student Number]),0),MATCH(VLOOKUP(F$7,'Writing Logic'!$J$7:$K$11,2,FALSE)&amp;" - Per "&amp;VLOOKUP($C$4,'Writing Logic'!$G$8:$H$14,2,FALSE),YES_Writing_ELA[#Headers],0))=0,"",INDEX(_xlfn.VSTACK(YES_Writing_ELA[#Data],YES_Writing_FLA[#Data]),MATCH($A142,_xlfn.VSTACK(YES_Writing_ELA[Student Number],YES_Writing_FLA[Student Number]),0),MATCH(VLOOKUP(F$7,'Writing Logic'!$J$7:$K$11,2,FALSE)&amp;" - Per "&amp;VLOOKUP($C$4,'Writing Logic'!$G$8:$H$14,2,FALSE),YES_Writing_ELA[#Headers],0)))="INS",'Writing Logic'!$B$7,IF(INDEX(_xlfn.VSTACK(YES_Writing_ELA[#Data],YES_Writing_FLA[#Data]),MATCH($A142,_xlfn.VSTACK(YES_Writing_ELA[Student Number],YES_Writing_FLA[Student Number]),0),MATCH(VLOOKUP(F$7,'Writing Logic'!$J$7:$K$11,2,FALSE)&amp;" - Per "&amp;VLOOKUP($C$4,'Writing Logic'!$G$8:$H$14,2,FALSE),YES_Writing_ELA[#Headers],0))=0,"",INDEX(_xlfn.VSTACK(YES_Writing_ELA[#Data],YES_Writing_FLA[#Data]),MATCH($A142,_xlfn.VSTACK(YES_Writing_ELA[Student Number],YES_Writing_FLA[Student Number]),0),MATCH(VLOOKUP(F$7,'Writing Logic'!$J$7:$K$11,2,FALSE)&amp;" - Per "&amp;VLOOKUP($C$4,'Writing Logic'!$G$8:$H$14,2,FALSE),YES_Writing_ELA[#Headers],0)))),"")</f>
        <v/>
      </c>
      <c r="G142" s="138" t="str">
        <f>IFERROR(IF(IF(INDEX(_xlfn.VSTACK(YES_Writing_ELA[#Data],YES_Writing_FLA[#Data]),MATCH($A142,_xlfn.VSTACK(YES_Writing_ELA[Student Number],YES_Writing_FLA[Student Number]),0),MATCH(VLOOKUP(G$7,'Writing Logic'!$J$7:$K$11,2,FALSE)&amp;" - Per "&amp;VLOOKUP($C$4,'Writing Logic'!$G$8:$H$14,2,FALSE),YES_Writing_ELA[#Headers],0))=0,"",INDEX(_xlfn.VSTACK(YES_Writing_ELA[#Data],YES_Writing_FLA[#Data]),MATCH($A142,_xlfn.VSTACK(YES_Writing_ELA[Student Number],YES_Writing_FLA[Student Number]),0),MATCH(VLOOKUP(G$7,'Writing Logic'!$J$7:$K$11,2,FALSE)&amp;" - Per "&amp;VLOOKUP($C$4,'Writing Logic'!$G$8:$H$14,2,FALSE),YES_Writing_ELA[#Headers],0)))="INS",'Writing Logic'!$B$7,IF(INDEX(_xlfn.VSTACK(YES_Writing_ELA[#Data],YES_Writing_FLA[#Data]),MATCH($A142,_xlfn.VSTACK(YES_Writing_ELA[Student Number],YES_Writing_FLA[Student Number]),0),MATCH(VLOOKUP(G$7,'Writing Logic'!$J$7:$K$11,2,FALSE)&amp;" - Per "&amp;VLOOKUP($C$4,'Writing Logic'!$G$8:$H$14,2,FALSE),YES_Writing_ELA[#Headers],0))=0,"",INDEX(_xlfn.VSTACK(YES_Writing_ELA[#Data],YES_Writing_FLA[#Data]),MATCH($A142,_xlfn.VSTACK(YES_Writing_ELA[Student Number],YES_Writing_FLA[Student Number]),0),MATCH(VLOOKUP(G$7,'Writing Logic'!$J$7:$K$11,2,FALSE)&amp;" - Per "&amp;VLOOKUP($C$4,'Writing Logic'!$G$8:$H$14,2,FALSE),YES_Writing_ELA[#Headers],0)))),"")</f>
        <v/>
      </c>
      <c r="H142" s="223" t="str">
        <f>IFERROR(IF(IF(INDEX(_xlfn.VSTACK(YES_Writing_ELA[#Data],YES_Writing_FLA[#Data]),MATCH($A142,_xlfn.VSTACK(YES_Writing_ELA[Student Number],YES_Writing_FLA[Student Number]),0),MATCH(VLOOKUP(H$7,'Writing Logic'!$J$7:$K$11,2,FALSE)&amp;" - Per "&amp;VLOOKUP($C$4,'Writing Logic'!$G$8:$H$14,2,FALSE),YES_Writing_ELA[#Headers],0))=0,"",INDEX(_xlfn.VSTACK(YES_Writing_ELA[#Data],YES_Writing_FLA[#Data]),MATCH($A142,_xlfn.VSTACK(YES_Writing_ELA[Student Number],YES_Writing_FLA[Student Number]),0),MATCH(VLOOKUP(H$7,'Writing Logic'!$J$7:$K$11,2,FALSE)&amp;" - Per "&amp;VLOOKUP($C$4,'Writing Logic'!$G$8:$H$14,2,FALSE),YES_Writing_ELA[#Headers],0)))="INS",'Writing Logic'!$B$7,IF(INDEX(_xlfn.VSTACK(YES_Writing_ELA[#Data],YES_Writing_FLA[#Data]),MATCH($A142,_xlfn.VSTACK(YES_Writing_ELA[Student Number],YES_Writing_FLA[Student Number]),0),MATCH(VLOOKUP(H$7,'Writing Logic'!$J$7:$K$11,2,FALSE)&amp;" - Per "&amp;VLOOKUP($C$4,'Writing Logic'!$G$8:$H$14,2,FALSE),YES_Writing_ELA[#Headers],0))=0,"",INDEX(_xlfn.VSTACK(YES_Writing_ELA[#Data],YES_Writing_FLA[#Data]),MATCH($A142,_xlfn.VSTACK(YES_Writing_ELA[Student Number],YES_Writing_FLA[Student Number]),0),MATCH(VLOOKUP(H$7,'Writing Logic'!$J$7:$K$11,2,FALSE)&amp;" - Per "&amp;VLOOKUP($C$4,'Writing Logic'!$G$8:$H$14,2,FALSE),YES_Writing_ELA[#Headers],0)))),"")</f>
        <v/>
      </c>
      <c r="I142" s="224" t="str" cm="1">
        <f t="array" aca="1" ref="I142" ca="1">IFERROR(
IF($G$3="ELA",
IF(VLOOKUP($A142, YES_Reading_ELA[], COLUMN(INDIRECT("YES_Reading_ELA[Difference - Per "&amp;VLOOKUP($G$4, 'Reading Report Logic'!$A$2:$B$8, 2, FALSE)&amp;"]")), FALSE)="", "",
VLOOKUP($A142,YES_Reading_ELA[], COLUMN(INDIRECT("YES_Reading_ELA[Difference - Per "&amp;VLOOKUP($G$4,'Reading Report Logic'!$A$2:$B$8,2,FALSE)&amp;"]")), FALSE)),
IF($G$3="FLA",
IF(VLOOKUP($A142, YES_Reading_FLA[], COLUMN(INDIRECT("YES_Reading_FLA[Difference - Per "&amp;VLOOKUP($G$4,'Reading Report Logic'!$A$2:$B$8,2,FALSE)&amp;"]")),FALSE)="","",
VLOOKUP($A142,YES_Reading_FLA[],COLUMN(INDIRECT("YES_Reading_FLA[Difference - Per "&amp;VLOOKUP($G$4,'Reading Report Logic'!$A$2:$B$8,2,FALSE)&amp;"]")),FALSE)),
IF($G$3="Combined",
IFERROR(
IF(VLOOKUP($A142, YES_Reading_ELA[], COLUMN(INDIRECT("YES_Reading_ELA[Difference - Per "&amp;VLOOKUP($G$4, 'Reading Report Logic'!$A$2:$B$8,2,FALSE)&amp;"]")), FALSE)="", "",
VLOOKUP($A142,YES_Reading_ELA[],COLUMN(INDIRECT("YES_Reading_ELA[Difference - Per "&amp;VLOOKUP($G$4,'Reading Report Logic'!$A$2:$B$8,2,FALSE)&amp;"]")),FALSE)),
IF(VLOOKUP($A142, YES_Reading_FLA[], COLUMN(INDIRECT("YES_Reading_FLA[Difference - Per "&amp;VLOOKUP($G$4, 'Reading Report Logic'!$A$2:$B$8, 2, FALSE)&amp;"]")),FALSE)="", "", VLOOKUP($A142,YES_Reading_FLA[],COLUMN(INDIRECT("YES_Reading_FLA[Difference - Per "&amp;VLOOKUP($G$4, 'Reading Report Logic'!$A$2:$B$8, 2, FALSE)&amp;"]")),FALSE))),""))),"")</f>
        <v/>
      </c>
    </row>
    <row r="143" spans="1:9" ht="14.25" customHeight="1" x14ac:dyDescent="0.25">
      <c r="A143" s="137"/>
      <c r="B143" s="137" t="str">
        <f>IFERROR(INDEX(_xlfn.VSTACK(YES_Writing_ELA[#Data], YES_Writing_FLA[#Data]),MATCH($A143,_xlfn.VSTACK(YES_Writing_ELA[Student Number], YES_Writing_FLA[Student Number]),0),MATCH(B$7,YES_Writing_ELA[#Headers],0)),IFERROR(INDEX(_xlfn.VSTACK(YES_Reading_ELA[#Data], YES_Reading_FLA[#Data]),MATCH($A143,_xlfn.VSTACK(YES_Reading_ELA[Student Number], YES_Reading_FLA[Student Number]),0),MATCH(B$7,YES_Reading_ELA[#Headers],0)),""))</f>
        <v/>
      </c>
      <c r="C143" s="137" t="str">
        <f>IFERROR(INDEX(_xlfn.VSTACK(YES_Writing_ELA[#Data], YES_Writing_FLA[#Data]),MATCH($A143,_xlfn.VSTACK(YES_Writing_ELA[Student Number], YES_Writing_FLA[Student Number]),0),MATCH(C$7,YES_Writing_ELA[#Headers],0)),IFERROR(INDEX(_xlfn.VSTACK(YES_Reading_ELA[#Data], YES_Reading_FLA[#Data]),MATCH($A143,_xlfn.VSTACK(YES_Reading_ELA[Student Number], YES_Reading_FLA[Student Number]),0),MATCH(C$7,YES_Reading_ELA[#Headers],0)),""))</f>
        <v/>
      </c>
      <c r="D143" s="138" t="str">
        <f>IFERROR(IF(IF(INDEX(_xlfn.VSTACK(YES_Writing_ELA[#Data],YES_Writing_FLA[#Data]),MATCH($A143,_xlfn.VSTACK(YES_Writing_ELA[Student Number],YES_Writing_FLA[Student Number]),0),MATCH(VLOOKUP(D$7,'Writing Logic'!$J$7:$K$11,2,FALSE)&amp;" - Per "&amp;VLOOKUP($C$4,'Writing Logic'!$G$8:$H$14,2,FALSE),YES_Writing_ELA[#Headers],0))=0,"",INDEX(_xlfn.VSTACK(YES_Writing_ELA[#Data],YES_Writing_FLA[#Data]),MATCH($A143,_xlfn.VSTACK(YES_Writing_ELA[Student Number],YES_Writing_FLA[Student Number]),0),MATCH(VLOOKUP(D$7,'Writing Logic'!$J$7:$K$11,2,FALSE)&amp;" - Per "&amp;VLOOKUP($C$4,'Writing Logic'!$G$8:$H$14,2,FALSE),YES_Writing_ELA[#Headers],0)))="INS",'Writing Logic'!$B$7,IF(INDEX(_xlfn.VSTACK(YES_Writing_ELA[#Data],YES_Writing_FLA[#Data]),MATCH($A143,_xlfn.VSTACK(YES_Writing_ELA[Student Number],YES_Writing_FLA[Student Number]),0),MATCH(VLOOKUP(D$7,'Writing Logic'!$J$7:$K$11,2,FALSE)&amp;" - Per "&amp;VLOOKUP($C$4,'Writing Logic'!$G$8:$H$14,2,FALSE),YES_Writing_ELA[#Headers],0))=0,"",INDEX(_xlfn.VSTACK(YES_Writing_ELA[#Data],YES_Writing_FLA[#Data]),MATCH($A143,_xlfn.VSTACK(YES_Writing_ELA[Student Number],YES_Writing_FLA[Student Number]),0),MATCH(VLOOKUP(D$7,'Writing Logic'!$J$7:$K$11,2,FALSE)&amp;" - Per "&amp;VLOOKUP($C$4,'Writing Logic'!$G$8:$H$14,2,FALSE),YES_Writing_ELA[#Headers],0)))),"")</f>
        <v/>
      </c>
      <c r="E143" s="138" t="str">
        <f>IFERROR(IF(IF(INDEX(_xlfn.VSTACK(YES_Writing_ELA[#Data],YES_Writing_FLA[#Data]),MATCH($A143,_xlfn.VSTACK(YES_Writing_ELA[Student Number],YES_Writing_FLA[Student Number]),0),MATCH(VLOOKUP(E$7,'Writing Logic'!$J$7:$K$11,2,FALSE)&amp;" - Per "&amp;VLOOKUP($C$4,'Writing Logic'!$G$8:$H$14,2,FALSE),YES_Writing_ELA[#Headers],0))=0,"",INDEX(_xlfn.VSTACK(YES_Writing_ELA[#Data],YES_Writing_FLA[#Data]),MATCH($A143,_xlfn.VSTACK(YES_Writing_ELA[Student Number],YES_Writing_FLA[Student Number]),0),MATCH(VLOOKUP(E$7,'Writing Logic'!$J$7:$K$11,2,FALSE)&amp;" - Per "&amp;VLOOKUP($C$4,'Writing Logic'!$G$8:$H$14,2,FALSE),YES_Writing_ELA[#Headers],0)))="INS",'Writing Logic'!$B$7,IF(INDEX(_xlfn.VSTACK(YES_Writing_ELA[#Data],YES_Writing_FLA[#Data]),MATCH($A143,_xlfn.VSTACK(YES_Writing_ELA[Student Number],YES_Writing_FLA[Student Number]),0),MATCH(VLOOKUP(E$7,'Writing Logic'!$J$7:$K$11,2,FALSE)&amp;" - Per "&amp;VLOOKUP($C$4,'Writing Logic'!$G$8:$H$14,2,FALSE),YES_Writing_ELA[#Headers],0))=0,"",INDEX(_xlfn.VSTACK(YES_Writing_ELA[#Data],YES_Writing_FLA[#Data]),MATCH($A143,_xlfn.VSTACK(YES_Writing_ELA[Student Number],YES_Writing_FLA[Student Number]),0),MATCH(VLOOKUP(E$7,'Writing Logic'!$J$7:$K$11,2,FALSE)&amp;" - Per "&amp;VLOOKUP($C$4,'Writing Logic'!$G$8:$H$14,2,FALSE),YES_Writing_ELA[#Headers],0)))),"")</f>
        <v/>
      </c>
      <c r="F143" s="138" t="str">
        <f>IFERROR(IF(IF(INDEX(_xlfn.VSTACK(YES_Writing_ELA[#Data],YES_Writing_FLA[#Data]),MATCH($A143,_xlfn.VSTACK(YES_Writing_ELA[Student Number],YES_Writing_FLA[Student Number]),0),MATCH(VLOOKUP(F$7,'Writing Logic'!$J$7:$K$11,2,FALSE)&amp;" - Per "&amp;VLOOKUP($C$4,'Writing Logic'!$G$8:$H$14,2,FALSE),YES_Writing_ELA[#Headers],0))=0,"",INDEX(_xlfn.VSTACK(YES_Writing_ELA[#Data],YES_Writing_FLA[#Data]),MATCH($A143,_xlfn.VSTACK(YES_Writing_ELA[Student Number],YES_Writing_FLA[Student Number]),0),MATCH(VLOOKUP(F$7,'Writing Logic'!$J$7:$K$11,2,FALSE)&amp;" - Per "&amp;VLOOKUP($C$4,'Writing Logic'!$G$8:$H$14,2,FALSE),YES_Writing_ELA[#Headers],0)))="INS",'Writing Logic'!$B$7,IF(INDEX(_xlfn.VSTACK(YES_Writing_ELA[#Data],YES_Writing_FLA[#Data]),MATCH($A143,_xlfn.VSTACK(YES_Writing_ELA[Student Number],YES_Writing_FLA[Student Number]),0),MATCH(VLOOKUP(F$7,'Writing Logic'!$J$7:$K$11,2,FALSE)&amp;" - Per "&amp;VLOOKUP($C$4,'Writing Logic'!$G$8:$H$14,2,FALSE),YES_Writing_ELA[#Headers],0))=0,"",INDEX(_xlfn.VSTACK(YES_Writing_ELA[#Data],YES_Writing_FLA[#Data]),MATCH($A143,_xlfn.VSTACK(YES_Writing_ELA[Student Number],YES_Writing_FLA[Student Number]),0),MATCH(VLOOKUP(F$7,'Writing Logic'!$J$7:$K$11,2,FALSE)&amp;" - Per "&amp;VLOOKUP($C$4,'Writing Logic'!$G$8:$H$14,2,FALSE),YES_Writing_ELA[#Headers],0)))),"")</f>
        <v/>
      </c>
      <c r="G143" s="138" t="str">
        <f>IFERROR(IF(IF(INDEX(_xlfn.VSTACK(YES_Writing_ELA[#Data],YES_Writing_FLA[#Data]),MATCH($A143,_xlfn.VSTACK(YES_Writing_ELA[Student Number],YES_Writing_FLA[Student Number]),0),MATCH(VLOOKUP(G$7,'Writing Logic'!$J$7:$K$11,2,FALSE)&amp;" - Per "&amp;VLOOKUP($C$4,'Writing Logic'!$G$8:$H$14,2,FALSE),YES_Writing_ELA[#Headers],0))=0,"",INDEX(_xlfn.VSTACK(YES_Writing_ELA[#Data],YES_Writing_FLA[#Data]),MATCH($A143,_xlfn.VSTACK(YES_Writing_ELA[Student Number],YES_Writing_FLA[Student Number]),0),MATCH(VLOOKUP(G$7,'Writing Logic'!$J$7:$K$11,2,FALSE)&amp;" - Per "&amp;VLOOKUP($C$4,'Writing Logic'!$G$8:$H$14,2,FALSE),YES_Writing_ELA[#Headers],0)))="INS",'Writing Logic'!$B$7,IF(INDEX(_xlfn.VSTACK(YES_Writing_ELA[#Data],YES_Writing_FLA[#Data]),MATCH($A143,_xlfn.VSTACK(YES_Writing_ELA[Student Number],YES_Writing_FLA[Student Number]),0),MATCH(VLOOKUP(G$7,'Writing Logic'!$J$7:$K$11,2,FALSE)&amp;" - Per "&amp;VLOOKUP($C$4,'Writing Logic'!$G$8:$H$14,2,FALSE),YES_Writing_ELA[#Headers],0))=0,"",INDEX(_xlfn.VSTACK(YES_Writing_ELA[#Data],YES_Writing_FLA[#Data]),MATCH($A143,_xlfn.VSTACK(YES_Writing_ELA[Student Number],YES_Writing_FLA[Student Number]),0),MATCH(VLOOKUP(G$7,'Writing Logic'!$J$7:$K$11,2,FALSE)&amp;" - Per "&amp;VLOOKUP($C$4,'Writing Logic'!$G$8:$H$14,2,FALSE),YES_Writing_ELA[#Headers],0)))),"")</f>
        <v/>
      </c>
      <c r="H143" s="223" t="str">
        <f>IFERROR(IF(IF(INDEX(_xlfn.VSTACK(YES_Writing_ELA[#Data],YES_Writing_FLA[#Data]),MATCH($A143,_xlfn.VSTACK(YES_Writing_ELA[Student Number],YES_Writing_FLA[Student Number]),0),MATCH(VLOOKUP(H$7,'Writing Logic'!$J$7:$K$11,2,FALSE)&amp;" - Per "&amp;VLOOKUP($C$4,'Writing Logic'!$G$8:$H$14,2,FALSE),YES_Writing_ELA[#Headers],0))=0,"",INDEX(_xlfn.VSTACK(YES_Writing_ELA[#Data],YES_Writing_FLA[#Data]),MATCH($A143,_xlfn.VSTACK(YES_Writing_ELA[Student Number],YES_Writing_FLA[Student Number]),0),MATCH(VLOOKUP(H$7,'Writing Logic'!$J$7:$K$11,2,FALSE)&amp;" - Per "&amp;VLOOKUP($C$4,'Writing Logic'!$G$8:$H$14,2,FALSE),YES_Writing_ELA[#Headers],0)))="INS",'Writing Logic'!$B$7,IF(INDEX(_xlfn.VSTACK(YES_Writing_ELA[#Data],YES_Writing_FLA[#Data]),MATCH($A143,_xlfn.VSTACK(YES_Writing_ELA[Student Number],YES_Writing_FLA[Student Number]),0),MATCH(VLOOKUP(H$7,'Writing Logic'!$J$7:$K$11,2,FALSE)&amp;" - Per "&amp;VLOOKUP($C$4,'Writing Logic'!$G$8:$H$14,2,FALSE),YES_Writing_ELA[#Headers],0))=0,"",INDEX(_xlfn.VSTACK(YES_Writing_ELA[#Data],YES_Writing_FLA[#Data]),MATCH($A143,_xlfn.VSTACK(YES_Writing_ELA[Student Number],YES_Writing_FLA[Student Number]),0),MATCH(VLOOKUP(H$7,'Writing Logic'!$J$7:$K$11,2,FALSE)&amp;" - Per "&amp;VLOOKUP($C$4,'Writing Logic'!$G$8:$H$14,2,FALSE),YES_Writing_ELA[#Headers],0)))),"")</f>
        <v/>
      </c>
      <c r="I143" s="224" t="str" cm="1">
        <f t="array" aca="1" ref="I143" ca="1">IFERROR(
IF($G$3="ELA",
IF(VLOOKUP($A143, YES_Reading_ELA[], COLUMN(INDIRECT("YES_Reading_ELA[Difference - Per "&amp;VLOOKUP($G$4, 'Reading Report Logic'!$A$2:$B$8, 2, FALSE)&amp;"]")), FALSE)="", "",
VLOOKUP($A143,YES_Reading_ELA[], COLUMN(INDIRECT("YES_Reading_ELA[Difference - Per "&amp;VLOOKUP($G$4,'Reading Report Logic'!$A$2:$B$8,2,FALSE)&amp;"]")), FALSE)),
IF($G$3="FLA",
IF(VLOOKUP($A143, YES_Reading_FLA[], COLUMN(INDIRECT("YES_Reading_FLA[Difference - Per "&amp;VLOOKUP($G$4,'Reading Report Logic'!$A$2:$B$8,2,FALSE)&amp;"]")),FALSE)="","",
VLOOKUP($A143,YES_Reading_FLA[],COLUMN(INDIRECT("YES_Reading_FLA[Difference - Per "&amp;VLOOKUP($G$4,'Reading Report Logic'!$A$2:$B$8,2,FALSE)&amp;"]")),FALSE)),
IF($G$3="Combined",
IFERROR(
IF(VLOOKUP($A143, YES_Reading_ELA[], COLUMN(INDIRECT("YES_Reading_ELA[Difference - Per "&amp;VLOOKUP($G$4, 'Reading Report Logic'!$A$2:$B$8,2,FALSE)&amp;"]")), FALSE)="", "",
VLOOKUP($A143,YES_Reading_ELA[],COLUMN(INDIRECT("YES_Reading_ELA[Difference - Per "&amp;VLOOKUP($G$4,'Reading Report Logic'!$A$2:$B$8,2,FALSE)&amp;"]")),FALSE)),
IF(VLOOKUP($A143, YES_Reading_FLA[], COLUMN(INDIRECT("YES_Reading_FLA[Difference - Per "&amp;VLOOKUP($G$4, 'Reading Report Logic'!$A$2:$B$8, 2, FALSE)&amp;"]")),FALSE)="", "", VLOOKUP($A143,YES_Reading_FLA[],COLUMN(INDIRECT("YES_Reading_FLA[Difference - Per "&amp;VLOOKUP($G$4, 'Reading Report Logic'!$A$2:$B$8, 2, FALSE)&amp;"]")),FALSE))),""))),"")</f>
        <v/>
      </c>
    </row>
    <row r="144" spans="1:9" ht="14.25" customHeight="1" x14ac:dyDescent="0.25">
      <c r="A144" s="137"/>
      <c r="B144" s="137" t="str">
        <f>IFERROR(INDEX(_xlfn.VSTACK(YES_Writing_ELA[#Data], YES_Writing_FLA[#Data]),MATCH($A144,_xlfn.VSTACK(YES_Writing_ELA[Student Number], YES_Writing_FLA[Student Number]),0),MATCH(B$7,YES_Writing_ELA[#Headers],0)),IFERROR(INDEX(_xlfn.VSTACK(YES_Reading_ELA[#Data], YES_Reading_FLA[#Data]),MATCH($A144,_xlfn.VSTACK(YES_Reading_ELA[Student Number], YES_Reading_FLA[Student Number]),0),MATCH(B$7,YES_Reading_ELA[#Headers],0)),""))</f>
        <v/>
      </c>
      <c r="C144" s="137" t="str">
        <f>IFERROR(INDEX(_xlfn.VSTACK(YES_Writing_ELA[#Data], YES_Writing_FLA[#Data]),MATCH($A144,_xlfn.VSTACK(YES_Writing_ELA[Student Number], YES_Writing_FLA[Student Number]),0),MATCH(C$7,YES_Writing_ELA[#Headers],0)),IFERROR(INDEX(_xlfn.VSTACK(YES_Reading_ELA[#Data], YES_Reading_FLA[#Data]),MATCH($A144,_xlfn.VSTACK(YES_Reading_ELA[Student Number], YES_Reading_FLA[Student Number]),0),MATCH(C$7,YES_Reading_ELA[#Headers],0)),""))</f>
        <v/>
      </c>
      <c r="D144" s="138" t="str">
        <f>IFERROR(IF(IF(INDEX(_xlfn.VSTACK(YES_Writing_ELA[#Data],YES_Writing_FLA[#Data]),MATCH($A144,_xlfn.VSTACK(YES_Writing_ELA[Student Number],YES_Writing_FLA[Student Number]),0),MATCH(VLOOKUP(D$7,'Writing Logic'!$J$7:$K$11,2,FALSE)&amp;" - Per "&amp;VLOOKUP($C$4,'Writing Logic'!$G$8:$H$14,2,FALSE),YES_Writing_ELA[#Headers],0))=0,"",INDEX(_xlfn.VSTACK(YES_Writing_ELA[#Data],YES_Writing_FLA[#Data]),MATCH($A144,_xlfn.VSTACK(YES_Writing_ELA[Student Number],YES_Writing_FLA[Student Number]),0),MATCH(VLOOKUP(D$7,'Writing Logic'!$J$7:$K$11,2,FALSE)&amp;" - Per "&amp;VLOOKUP($C$4,'Writing Logic'!$G$8:$H$14,2,FALSE),YES_Writing_ELA[#Headers],0)))="INS",'Writing Logic'!$B$7,IF(INDEX(_xlfn.VSTACK(YES_Writing_ELA[#Data],YES_Writing_FLA[#Data]),MATCH($A144,_xlfn.VSTACK(YES_Writing_ELA[Student Number],YES_Writing_FLA[Student Number]),0),MATCH(VLOOKUP(D$7,'Writing Logic'!$J$7:$K$11,2,FALSE)&amp;" - Per "&amp;VLOOKUP($C$4,'Writing Logic'!$G$8:$H$14,2,FALSE),YES_Writing_ELA[#Headers],0))=0,"",INDEX(_xlfn.VSTACK(YES_Writing_ELA[#Data],YES_Writing_FLA[#Data]),MATCH($A144,_xlfn.VSTACK(YES_Writing_ELA[Student Number],YES_Writing_FLA[Student Number]),0),MATCH(VLOOKUP(D$7,'Writing Logic'!$J$7:$K$11,2,FALSE)&amp;" - Per "&amp;VLOOKUP($C$4,'Writing Logic'!$G$8:$H$14,2,FALSE),YES_Writing_ELA[#Headers],0)))),"")</f>
        <v/>
      </c>
      <c r="E144" s="138" t="str">
        <f>IFERROR(IF(IF(INDEX(_xlfn.VSTACK(YES_Writing_ELA[#Data],YES_Writing_FLA[#Data]),MATCH($A144,_xlfn.VSTACK(YES_Writing_ELA[Student Number],YES_Writing_FLA[Student Number]),0),MATCH(VLOOKUP(E$7,'Writing Logic'!$J$7:$K$11,2,FALSE)&amp;" - Per "&amp;VLOOKUP($C$4,'Writing Logic'!$G$8:$H$14,2,FALSE),YES_Writing_ELA[#Headers],0))=0,"",INDEX(_xlfn.VSTACK(YES_Writing_ELA[#Data],YES_Writing_FLA[#Data]),MATCH($A144,_xlfn.VSTACK(YES_Writing_ELA[Student Number],YES_Writing_FLA[Student Number]),0),MATCH(VLOOKUP(E$7,'Writing Logic'!$J$7:$K$11,2,FALSE)&amp;" - Per "&amp;VLOOKUP($C$4,'Writing Logic'!$G$8:$H$14,2,FALSE),YES_Writing_ELA[#Headers],0)))="INS",'Writing Logic'!$B$7,IF(INDEX(_xlfn.VSTACK(YES_Writing_ELA[#Data],YES_Writing_FLA[#Data]),MATCH($A144,_xlfn.VSTACK(YES_Writing_ELA[Student Number],YES_Writing_FLA[Student Number]),0),MATCH(VLOOKUP(E$7,'Writing Logic'!$J$7:$K$11,2,FALSE)&amp;" - Per "&amp;VLOOKUP($C$4,'Writing Logic'!$G$8:$H$14,2,FALSE),YES_Writing_ELA[#Headers],0))=0,"",INDEX(_xlfn.VSTACK(YES_Writing_ELA[#Data],YES_Writing_FLA[#Data]),MATCH($A144,_xlfn.VSTACK(YES_Writing_ELA[Student Number],YES_Writing_FLA[Student Number]),0),MATCH(VLOOKUP(E$7,'Writing Logic'!$J$7:$K$11,2,FALSE)&amp;" - Per "&amp;VLOOKUP($C$4,'Writing Logic'!$G$8:$H$14,2,FALSE),YES_Writing_ELA[#Headers],0)))),"")</f>
        <v/>
      </c>
      <c r="F144" s="138" t="str">
        <f>IFERROR(IF(IF(INDEX(_xlfn.VSTACK(YES_Writing_ELA[#Data],YES_Writing_FLA[#Data]),MATCH($A144,_xlfn.VSTACK(YES_Writing_ELA[Student Number],YES_Writing_FLA[Student Number]),0),MATCH(VLOOKUP(F$7,'Writing Logic'!$J$7:$K$11,2,FALSE)&amp;" - Per "&amp;VLOOKUP($C$4,'Writing Logic'!$G$8:$H$14,2,FALSE),YES_Writing_ELA[#Headers],0))=0,"",INDEX(_xlfn.VSTACK(YES_Writing_ELA[#Data],YES_Writing_FLA[#Data]),MATCH($A144,_xlfn.VSTACK(YES_Writing_ELA[Student Number],YES_Writing_FLA[Student Number]),0),MATCH(VLOOKUP(F$7,'Writing Logic'!$J$7:$K$11,2,FALSE)&amp;" - Per "&amp;VLOOKUP($C$4,'Writing Logic'!$G$8:$H$14,2,FALSE),YES_Writing_ELA[#Headers],0)))="INS",'Writing Logic'!$B$7,IF(INDEX(_xlfn.VSTACK(YES_Writing_ELA[#Data],YES_Writing_FLA[#Data]),MATCH($A144,_xlfn.VSTACK(YES_Writing_ELA[Student Number],YES_Writing_FLA[Student Number]),0),MATCH(VLOOKUP(F$7,'Writing Logic'!$J$7:$K$11,2,FALSE)&amp;" - Per "&amp;VLOOKUP($C$4,'Writing Logic'!$G$8:$H$14,2,FALSE),YES_Writing_ELA[#Headers],0))=0,"",INDEX(_xlfn.VSTACK(YES_Writing_ELA[#Data],YES_Writing_FLA[#Data]),MATCH($A144,_xlfn.VSTACK(YES_Writing_ELA[Student Number],YES_Writing_FLA[Student Number]),0),MATCH(VLOOKUP(F$7,'Writing Logic'!$J$7:$K$11,2,FALSE)&amp;" - Per "&amp;VLOOKUP($C$4,'Writing Logic'!$G$8:$H$14,2,FALSE),YES_Writing_ELA[#Headers],0)))),"")</f>
        <v/>
      </c>
      <c r="G144" s="138" t="str">
        <f>IFERROR(IF(IF(INDEX(_xlfn.VSTACK(YES_Writing_ELA[#Data],YES_Writing_FLA[#Data]),MATCH($A144,_xlfn.VSTACK(YES_Writing_ELA[Student Number],YES_Writing_FLA[Student Number]),0),MATCH(VLOOKUP(G$7,'Writing Logic'!$J$7:$K$11,2,FALSE)&amp;" - Per "&amp;VLOOKUP($C$4,'Writing Logic'!$G$8:$H$14,2,FALSE),YES_Writing_ELA[#Headers],0))=0,"",INDEX(_xlfn.VSTACK(YES_Writing_ELA[#Data],YES_Writing_FLA[#Data]),MATCH($A144,_xlfn.VSTACK(YES_Writing_ELA[Student Number],YES_Writing_FLA[Student Number]),0),MATCH(VLOOKUP(G$7,'Writing Logic'!$J$7:$K$11,2,FALSE)&amp;" - Per "&amp;VLOOKUP($C$4,'Writing Logic'!$G$8:$H$14,2,FALSE),YES_Writing_ELA[#Headers],0)))="INS",'Writing Logic'!$B$7,IF(INDEX(_xlfn.VSTACK(YES_Writing_ELA[#Data],YES_Writing_FLA[#Data]),MATCH($A144,_xlfn.VSTACK(YES_Writing_ELA[Student Number],YES_Writing_FLA[Student Number]),0),MATCH(VLOOKUP(G$7,'Writing Logic'!$J$7:$K$11,2,FALSE)&amp;" - Per "&amp;VLOOKUP($C$4,'Writing Logic'!$G$8:$H$14,2,FALSE),YES_Writing_ELA[#Headers],0))=0,"",INDEX(_xlfn.VSTACK(YES_Writing_ELA[#Data],YES_Writing_FLA[#Data]),MATCH($A144,_xlfn.VSTACK(YES_Writing_ELA[Student Number],YES_Writing_FLA[Student Number]),0),MATCH(VLOOKUP(G$7,'Writing Logic'!$J$7:$K$11,2,FALSE)&amp;" - Per "&amp;VLOOKUP($C$4,'Writing Logic'!$G$8:$H$14,2,FALSE),YES_Writing_ELA[#Headers],0)))),"")</f>
        <v/>
      </c>
      <c r="H144" s="223" t="str">
        <f>IFERROR(IF(IF(INDEX(_xlfn.VSTACK(YES_Writing_ELA[#Data],YES_Writing_FLA[#Data]),MATCH($A144,_xlfn.VSTACK(YES_Writing_ELA[Student Number],YES_Writing_FLA[Student Number]),0),MATCH(VLOOKUP(H$7,'Writing Logic'!$J$7:$K$11,2,FALSE)&amp;" - Per "&amp;VLOOKUP($C$4,'Writing Logic'!$G$8:$H$14,2,FALSE),YES_Writing_ELA[#Headers],0))=0,"",INDEX(_xlfn.VSTACK(YES_Writing_ELA[#Data],YES_Writing_FLA[#Data]),MATCH($A144,_xlfn.VSTACK(YES_Writing_ELA[Student Number],YES_Writing_FLA[Student Number]),0),MATCH(VLOOKUP(H$7,'Writing Logic'!$J$7:$K$11,2,FALSE)&amp;" - Per "&amp;VLOOKUP($C$4,'Writing Logic'!$G$8:$H$14,2,FALSE),YES_Writing_ELA[#Headers],0)))="INS",'Writing Logic'!$B$7,IF(INDEX(_xlfn.VSTACK(YES_Writing_ELA[#Data],YES_Writing_FLA[#Data]),MATCH($A144,_xlfn.VSTACK(YES_Writing_ELA[Student Number],YES_Writing_FLA[Student Number]),0),MATCH(VLOOKUP(H$7,'Writing Logic'!$J$7:$K$11,2,FALSE)&amp;" - Per "&amp;VLOOKUP($C$4,'Writing Logic'!$G$8:$H$14,2,FALSE),YES_Writing_ELA[#Headers],0))=0,"",INDEX(_xlfn.VSTACK(YES_Writing_ELA[#Data],YES_Writing_FLA[#Data]),MATCH($A144,_xlfn.VSTACK(YES_Writing_ELA[Student Number],YES_Writing_FLA[Student Number]),0),MATCH(VLOOKUP(H$7,'Writing Logic'!$J$7:$K$11,2,FALSE)&amp;" - Per "&amp;VLOOKUP($C$4,'Writing Logic'!$G$8:$H$14,2,FALSE),YES_Writing_ELA[#Headers],0)))),"")</f>
        <v/>
      </c>
      <c r="I144" s="224" t="str" cm="1">
        <f t="array" aca="1" ref="I144" ca="1">IFERROR(
IF($G$3="ELA",
IF(VLOOKUP($A144, YES_Reading_ELA[], COLUMN(INDIRECT("YES_Reading_ELA[Difference - Per "&amp;VLOOKUP($G$4, 'Reading Report Logic'!$A$2:$B$8, 2, FALSE)&amp;"]")), FALSE)="", "",
VLOOKUP($A144,YES_Reading_ELA[], COLUMN(INDIRECT("YES_Reading_ELA[Difference - Per "&amp;VLOOKUP($G$4,'Reading Report Logic'!$A$2:$B$8,2,FALSE)&amp;"]")), FALSE)),
IF($G$3="FLA",
IF(VLOOKUP($A144, YES_Reading_FLA[], COLUMN(INDIRECT("YES_Reading_FLA[Difference - Per "&amp;VLOOKUP($G$4,'Reading Report Logic'!$A$2:$B$8,2,FALSE)&amp;"]")),FALSE)="","",
VLOOKUP($A144,YES_Reading_FLA[],COLUMN(INDIRECT("YES_Reading_FLA[Difference - Per "&amp;VLOOKUP($G$4,'Reading Report Logic'!$A$2:$B$8,2,FALSE)&amp;"]")),FALSE)),
IF($G$3="Combined",
IFERROR(
IF(VLOOKUP($A144, YES_Reading_ELA[], COLUMN(INDIRECT("YES_Reading_ELA[Difference - Per "&amp;VLOOKUP($G$4, 'Reading Report Logic'!$A$2:$B$8,2,FALSE)&amp;"]")), FALSE)="", "",
VLOOKUP($A144,YES_Reading_ELA[],COLUMN(INDIRECT("YES_Reading_ELA[Difference - Per "&amp;VLOOKUP($G$4,'Reading Report Logic'!$A$2:$B$8,2,FALSE)&amp;"]")),FALSE)),
IF(VLOOKUP($A144, YES_Reading_FLA[], COLUMN(INDIRECT("YES_Reading_FLA[Difference - Per "&amp;VLOOKUP($G$4, 'Reading Report Logic'!$A$2:$B$8, 2, FALSE)&amp;"]")),FALSE)="", "", VLOOKUP($A144,YES_Reading_FLA[],COLUMN(INDIRECT("YES_Reading_FLA[Difference - Per "&amp;VLOOKUP($G$4, 'Reading Report Logic'!$A$2:$B$8, 2, FALSE)&amp;"]")),FALSE))),""))),"")</f>
        <v/>
      </c>
    </row>
    <row r="145" spans="1:9" ht="14.25" customHeight="1" x14ac:dyDescent="0.25">
      <c r="A145" s="137"/>
      <c r="B145" s="137" t="str">
        <f>IFERROR(INDEX(_xlfn.VSTACK(YES_Writing_ELA[#Data], YES_Writing_FLA[#Data]),MATCH($A145,_xlfn.VSTACK(YES_Writing_ELA[Student Number], YES_Writing_FLA[Student Number]),0),MATCH(B$7,YES_Writing_ELA[#Headers],0)),IFERROR(INDEX(_xlfn.VSTACK(YES_Reading_ELA[#Data], YES_Reading_FLA[#Data]),MATCH($A145,_xlfn.VSTACK(YES_Reading_ELA[Student Number], YES_Reading_FLA[Student Number]),0),MATCH(B$7,YES_Reading_ELA[#Headers],0)),""))</f>
        <v/>
      </c>
      <c r="C145" s="137" t="str">
        <f>IFERROR(INDEX(_xlfn.VSTACK(YES_Writing_ELA[#Data], YES_Writing_FLA[#Data]),MATCH($A145,_xlfn.VSTACK(YES_Writing_ELA[Student Number], YES_Writing_FLA[Student Number]),0),MATCH(C$7,YES_Writing_ELA[#Headers],0)),IFERROR(INDEX(_xlfn.VSTACK(YES_Reading_ELA[#Data], YES_Reading_FLA[#Data]),MATCH($A145,_xlfn.VSTACK(YES_Reading_ELA[Student Number], YES_Reading_FLA[Student Number]),0),MATCH(C$7,YES_Reading_ELA[#Headers],0)),""))</f>
        <v/>
      </c>
      <c r="D145" s="138" t="str">
        <f>IFERROR(IF(IF(INDEX(_xlfn.VSTACK(YES_Writing_ELA[#Data],YES_Writing_FLA[#Data]),MATCH($A145,_xlfn.VSTACK(YES_Writing_ELA[Student Number],YES_Writing_FLA[Student Number]),0),MATCH(VLOOKUP(D$7,'Writing Logic'!$J$7:$K$11,2,FALSE)&amp;" - Per "&amp;VLOOKUP($C$4,'Writing Logic'!$G$8:$H$14,2,FALSE),YES_Writing_ELA[#Headers],0))=0,"",INDEX(_xlfn.VSTACK(YES_Writing_ELA[#Data],YES_Writing_FLA[#Data]),MATCH($A145,_xlfn.VSTACK(YES_Writing_ELA[Student Number],YES_Writing_FLA[Student Number]),0),MATCH(VLOOKUP(D$7,'Writing Logic'!$J$7:$K$11,2,FALSE)&amp;" - Per "&amp;VLOOKUP($C$4,'Writing Logic'!$G$8:$H$14,2,FALSE),YES_Writing_ELA[#Headers],0)))="INS",'Writing Logic'!$B$7,IF(INDEX(_xlfn.VSTACK(YES_Writing_ELA[#Data],YES_Writing_FLA[#Data]),MATCH($A145,_xlfn.VSTACK(YES_Writing_ELA[Student Number],YES_Writing_FLA[Student Number]),0),MATCH(VLOOKUP(D$7,'Writing Logic'!$J$7:$K$11,2,FALSE)&amp;" - Per "&amp;VLOOKUP($C$4,'Writing Logic'!$G$8:$H$14,2,FALSE),YES_Writing_ELA[#Headers],0))=0,"",INDEX(_xlfn.VSTACK(YES_Writing_ELA[#Data],YES_Writing_FLA[#Data]),MATCH($A145,_xlfn.VSTACK(YES_Writing_ELA[Student Number],YES_Writing_FLA[Student Number]),0),MATCH(VLOOKUP(D$7,'Writing Logic'!$J$7:$K$11,2,FALSE)&amp;" - Per "&amp;VLOOKUP($C$4,'Writing Logic'!$G$8:$H$14,2,FALSE),YES_Writing_ELA[#Headers],0)))),"")</f>
        <v/>
      </c>
      <c r="E145" s="138" t="str">
        <f>IFERROR(IF(IF(INDEX(_xlfn.VSTACK(YES_Writing_ELA[#Data],YES_Writing_FLA[#Data]),MATCH($A145,_xlfn.VSTACK(YES_Writing_ELA[Student Number],YES_Writing_FLA[Student Number]),0),MATCH(VLOOKUP(E$7,'Writing Logic'!$J$7:$K$11,2,FALSE)&amp;" - Per "&amp;VLOOKUP($C$4,'Writing Logic'!$G$8:$H$14,2,FALSE),YES_Writing_ELA[#Headers],0))=0,"",INDEX(_xlfn.VSTACK(YES_Writing_ELA[#Data],YES_Writing_FLA[#Data]),MATCH($A145,_xlfn.VSTACK(YES_Writing_ELA[Student Number],YES_Writing_FLA[Student Number]),0),MATCH(VLOOKUP(E$7,'Writing Logic'!$J$7:$K$11,2,FALSE)&amp;" - Per "&amp;VLOOKUP($C$4,'Writing Logic'!$G$8:$H$14,2,FALSE),YES_Writing_ELA[#Headers],0)))="INS",'Writing Logic'!$B$7,IF(INDEX(_xlfn.VSTACK(YES_Writing_ELA[#Data],YES_Writing_FLA[#Data]),MATCH($A145,_xlfn.VSTACK(YES_Writing_ELA[Student Number],YES_Writing_FLA[Student Number]),0),MATCH(VLOOKUP(E$7,'Writing Logic'!$J$7:$K$11,2,FALSE)&amp;" - Per "&amp;VLOOKUP($C$4,'Writing Logic'!$G$8:$H$14,2,FALSE),YES_Writing_ELA[#Headers],0))=0,"",INDEX(_xlfn.VSTACK(YES_Writing_ELA[#Data],YES_Writing_FLA[#Data]),MATCH($A145,_xlfn.VSTACK(YES_Writing_ELA[Student Number],YES_Writing_FLA[Student Number]),0),MATCH(VLOOKUP(E$7,'Writing Logic'!$J$7:$K$11,2,FALSE)&amp;" - Per "&amp;VLOOKUP($C$4,'Writing Logic'!$G$8:$H$14,2,FALSE),YES_Writing_ELA[#Headers],0)))),"")</f>
        <v/>
      </c>
      <c r="F145" s="138" t="str">
        <f>IFERROR(IF(IF(INDEX(_xlfn.VSTACK(YES_Writing_ELA[#Data],YES_Writing_FLA[#Data]),MATCH($A145,_xlfn.VSTACK(YES_Writing_ELA[Student Number],YES_Writing_FLA[Student Number]),0),MATCH(VLOOKUP(F$7,'Writing Logic'!$J$7:$K$11,2,FALSE)&amp;" - Per "&amp;VLOOKUP($C$4,'Writing Logic'!$G$8:$H$14,2,FALSE),YES_Writing_ELA[#Headers],0))=0,"",INDEX(_xlfn.VSTACK(YES_Writing_ELA[#Data],YES_Writing_FLA[#Data]),MATCH($A145,_xlfn.VSTACK(YES_Writing_ELA[Student Number],YES_Writing_FLA[Student Number]),0),MATCH(VLOOKUP(F$7,'Writing Logic'!$J$7:$K$11,2,FALSE)&amp;" - Per "&amp;VLOOKUP($C$4,'Writing Logic'!$G$8:$H$14,2,FALSE),YES_Writing_ELA[#Headers],0)))="INS",'Writing Logic'!$B$7,IF(INDEX(_xlfn.VSTACK(YES_Writing_ELA[#Data],YES_Writing_FLA[#Data]),MATCH($A145,_xlfn.VSTACK(YES_Writing_ELA[Student Number],YES_Writing_FLA[Student Number]),0),MATCH(VLOOKUP(F$7,'Writing Logic'!$J$7:$K$11,2,FALSE)&amp;" - Per "&amp;VLOOKUP($C$4,'Writing Logic'!$G$8:$H$14,2,FALSE),YES_Writing_ELA[#Headers],0))=0,"",INDEX(_xlfn.VSTACK(YES_Writing_ELA[#Data],YES_Writing_FLA[#Data]),MATCH($A145,_xlfn.VSTACK(YES_Writing_ELA[Student Number],YES_Writing_FLA[Student Number]),0),MATCH(VLOOKUP(F$7,'Writing Logic'!$J$7:$K$11,2,FALSE)&amp;" - Per "&amp;VLOOKUP($C$4,'Writing Logic'!$G$8:$H$14,2,FALSE),YES_Writing_ELA[#Headers],0)))),"")</f>
        <v/>
      </c>
      <c r="G145" s="138" t="str">
        <f>IFERROR(IF(IF(INDEX(_xlfn.VSTACK(YES_Writing_ELA[#Data],YES_Writing_FLA[#Data]),MATCH($A145,_xlfn.VSTACK(YES_Writing_ELA[Student Number],YES_Writing_FLA[Student Number]),0),MATCH(VLOOKUP(G$7,'Writing Logic'!$J$7:$K$11,2,FALSE)&amp;" - Per "&amp;VLOOKUP($C$4,'Writing Logic'!$G$8:$H$14,2,FALSE),YES_Writing_ELA[#Headers],0))=0,"",INDEX(_xlfn.VSTACK(YES_Writing_ELA[#Data],YES_Writing_FLA[#Data]),MATCH($A145,_xlfn.VSTACK(YES_Writing_ELA[Student Number],YES_Writing_FLA[Student Number]),0),MATCH(VLOOKUP(G$7,'Writing Logic'!$J$7:$K$11,2,FALSE)&amp;" - Per "&amp;VLOOKUP($C$4,'Writing Logic'!$G$8:$H$14,2,FALSE),YES_Writing_ELA[#Headers],0)))="INS",'Writing Logic'!$B$7,IF(INDEX(_xlfn.VSTACK(YES_Writing_ELA[#Data],YES_Writing_FLA[#Data]),MATCH($A145,_xlfn.VSTACK(YES_Writing_ELA[Student Number],YES_Writing_FLA[Student Number]),0),MATCH(VLOOKUP(G$7,'Writing Logic'!$J$7:$K$11,2,FALSE)&amp;" - Per "&amp;VLOOKUP($C$4,'Writing Logic'!$G$8:$H$14,2,FALSE),YES_Writing_ELA[#Headers],0))=0,"",INDEX(_xlfn.VSTACK(YES_Writing_ELA[#Data],YES_Writing_FLA[#Data]),MATCH($A145,_xlfn.VSTACK(YES_Writing_ELA[Student Number],YES_Writing_FLA[Student Number]),0),MATCH(VLOOKUP(G$7,'Writing Logic'!$J$7:$K$11,2,FALSE)&amp;" - Per "&amp;VLOOKUP($C$4,'Writing Logic'!$G$8:$H$14,2,FALSE),YES_Writing_ELA[#Headers],0)))),"")</f>
        <v/>
      </c>
      <c r="H145" s="223" t="str">
        <f>IFERROR(IF(IF(INDEX(_xlfn.VSTACK(YES_Writing_ELA[#Data],YES_Writing_FLA[#Data]),MATCH($A145,_xlfn.VSTACK(YES_Writing_ELA[Student Number],YES_Writing_FLA[Student Number]),0),MATCH(VLOOKUP(H$7,'Writing Logic'!$J$7:$K$11,2,FALSE)&amp;" - Per "&amp;VLOOKUP($C$4,'Writing Logic'!$G$8:$H$14,2,FALSE),YES_Writing_ELA[#Headers],0))=0,"",INDEX(_xlfn.VSTACK(YES_Writing_ELA[#Data],YES_Writing_FLA[#Data]),MATCH($A145,_xlfn.VSTACK(YES_Writing_ELA[Student Number],YES_Writing_FLA[Student Number]),0),MATCH(VLOOKUP(H$7,'Writing Logic'!$J$7:$K$11,2,FALSE)&amp;" - Per "&amp;VLOOKUP($C$4,'Writing Logic'!$G$8:$H$14,2,FALSE),YES_Writing_ELA[#Headers],0)))="INS",'Writing Logic'!$B$7,IF(INDEX(_xlfn.VSTACK(YES_Writing_ELA[#Data],YES_Writing_FLA[#Data]),MATCH($A145,_xlfn.VSTACK(YES_Writing_ELA[Student Number],YES_Writing_FLA[Student Number]),0),MATCH(VLOOKUP(H$7,'Writing Logic'!$J$7:$K$11,2,FALSE)&amp;" - Per "&amp;VLOOKUP($C$4,'Writing Logic'!$G$8:$H$14,2,FALSE),YES_Writing_ELA[#Headers],0))=0,"",INDEX(_xlfn.VSTACK(YES_Writing_ELA[#Data],YES_Writing_FLA[#Data]),MATCH($A145,_xlfn.VSTACK(YES_Writing_ELA[Student Number],YES_Writing_FLA[Student Number]),0),MATCH(VLOOKUP(H$7,'Writing Logic'!$J$7:$K$11,2,FALSE)&amp;" - Per "&amp;VLOOKUP($C$4,'Writing Logic'!$G$8:$H$14,2,FALSE),YES_Writing_ELA[#Headers],0)))),"")</f>
        <v/>
      </c>
      <c r="I145" s="224" t="str" cm="1">
        <f t="array" aca="1" ref="I145" ca="1">IFERROR(
IF($G$3="ELA",
IF(VLOOKUP($A145, YES_Reading_ELA[], COLUMN(INDIRECT("YES_Reading_ELA[Difference - Per "&amp;VLOOKUP($G$4, 'Reading Report Logic'!$A$2:$B$8, 2, FALSE)&amp;"]")), FALSE)="", "",
VLOOKUP($A145,YES_Reading_ELA[], COLUMN(INDIRECT("YES_Reading_ELA[Difference - Per "&amp;VLOOKUP($G$4,'Reading Report Logic'!$A$2:$B$8,2,FALSE)&amp;"]")), FALSE)),
IF($G$3="FLA",
IF(VLOOKUP($A145, YES_Reading_FLA[], COLUMN(INDIRECT("YES_Reading_FLA[Difference - Per "&amp;VLOOKUP($G$4,'Reading Report Logic'!$A$2:$B$8,2,FALSE)&amp;"]")),FALSE)="","",
VLOOKUP($A145,YES_Reading_FLA[],COLUMN(INDIRECT("YES_Reading_FLA[Difference - Per "&amp;VLOOKUP($G$4,'Reading Report Logic'!$A$2:$B$8,2,FALSE)&amp;"]")),FALSE)),
IF($G$3="Combined",
IFERROR(
IF(VLOOKUP($A145, YES_Reading_ELA[], COLUMN(INDIRECT("YES_Reading_ELA[Difference - Per "&amp;VLOOKUP($G$4, 'Reading Report Logic'!$A$2:$B$8,2,FALSE)&amp;"]")), FALSE)="", "",
VLOOKUP($A145,YES_Reading_ELA[],COLUMN(INDIRECT("YES_Reading_ELA[Difference - Per "&amp;VLOOKUP($G$4,'Reading Report Logic'!$A$2:$B$8,2,FALSE)&amp;"]")),FALSE)),
IF(VLOOKUP($A145, YES_Reading_FLA[], COLUMN(INDIRECT("YES_Reading_FLA[Difference - Per "&amp;VLOOKUP($G$4, 'Reading Report Logic'!$A$2:$B$8, 2, FALSE)&amp;"]")),FALSE)="", "", VLOOKUP($A145,YES_Reading_FLA[],COLUMN(INDIRECT("YES_Reading_FLA[Difference - Per "&amp;VLOOKUP($G$4, 'Reading Report Logic'!$A$2:$B$8, 2, FALSE)&amp;"]")),FALSE))),""))),"")</f>
        <v/>
      </c>
    </row>
    <row r="146" spans="1:9" ht="14.25" customHeight="1" x14ac:dyDescent="0.25">
      <c r="A146" s="137"/>
      <c r="B146" s="137" t="str">
        <f>IFERROR(INDEX(_xlfn.VSTACK(YES_Writing_ELA[#Data], YES_Writing_FLA[#Data]),MATCH($A146,_xlfn.VSTACK(YES_Writing_ELA[Student Number], YES_Writing_FLA[Student Number]),0),MATCH(B$7,YES_Writing_ELA[#Headers],0)),IFERROR(INDEX(_xlfn.VSTACK(YES_Reading_ELA[#Data], YES_Reading_FLA[#Data]),MATCH($A146,_xlfn.VSTACK(YES_Reading_ELA[Student Number], YES_Reading_FLA[Student Number]),0),MATCH(B$7,YES_Reading_ELA[#Headers],0)),""))</f>
        <v/>
      </c>
      <c r="C146" s="137" t="str">
        <f>IFERROR(INDEX(_xlfn.VSTACK(YES_Writing_ELA[#Data], YES_Writing_FLA[#Data]),MATCH($A146,_xlfn.VSTACK(YES_Writing_ELA[Student Number], YES_Writing_FLA[Student Number]),0),MATCH(C$7,YES_Writing_ELA[#Headers],0)),IFERROR(INDEX(_xlfn.VSTACK(YES_Reading_ELA[#Data], YES_Reading_FLA[#Data]),MATCH($A146,_xlfn.VSTACK(YES_Reading_ELA[Student Number], YES_Reading_FLA[Student Number]),0),MATCH(C$7,YES_Reading_ELA[#Headers],0)),""))</f>
        <v/>
      </c>
      <c r="D146" s="138" t="str">
        <f>IFERROR(IF(IF(INDEX(_xlfn.VSTACK(YES_Writing_ELA[#Data],YES_Writing_FLA[#Data]),MATCH($A146,_xlfn.VSTACK(YES_Writing_ELA[Student Number],YES_Writing_FLA[Student Number]),0),MATCH(VLOOKUP(D$7,'Writing Logic'!$J$7:$K$11,2,FALSE)&amp;" - Per "&amp;VLOOKUP($C$4,'Writing Logic'!$G$8:$H$14,2,FALSE),YES_Writing_ELA[#Headers],0))=0,"",INDEX(_xlfn.VSTACK(YES_Writing_ELA[#Data],YES_Writing_FLA[#Data]),MATCH($A146,_xlfn.VSTACK(YES_Writing_ELA[Student Number],YES_Writing_FLA[Student Number]),0),MATCH(VLOOKUP(D$7,'Writing Logic'!$J$7:$K$11,2,FALSE)&amp;" - Per "&amp;VLOOKUP($C$4,'Writing Logic'!$G$8:$H$14,2,FALSE),YES_Writing_ELA[#Headers],0)))="INS",'Writing Logic'!$B$7,IF(INDEX(_xlfn.VSTACK(YES_Writing_ELA[#Data],YES_Writing_FLA[#Data]),MATCH($A146,_xlfn.VSTACK(YES_Writing_ELA[Student Number],YES_Writing_FLA[Student Number]),0),MATCH(VLOOKUP(D$7,'Writing Logic'!$J$7:$K$11,2,FALSE)&amp;" - Per "&amp;VLOOKUP($C$4,'Writing Logic'!$G$8:$H$14,2,FALSE),YES_Writing_ELA[#Headers],0))=0,"",INDEX(_xlfn.VSTACK(YES_Writing_ELA[#Data],YES_Writing_FLA[#Data]),MATCH($A146,_xlfn.VSTACK(YES_Writing_ELA[Student Number],YES_Writing_FLA[Student Number]),0),MATCH(VLOOKUP(D$7,'Writing Logic'!$J$7:$K$11,2,FALSE)&amp;" - Per "&amp;VLOOKUP($C$4,'Writing Logic'!$G$8:$H$14,2,FALSE),YES_Writing_ELA[#Headers],0)))),"")</f>
        <v/>
      </c>
      <c r="E146" s="138" t="str">
        <f>IFERROR(IF(IF(INDEX(_xlfn.VSTACK(YES_Writing_ELA[#Data],YES_Writing_FLA[#Data]),MATCH($A146,_xlfn.VSTACK(YES_Writing_ELA[Student Number],YES_Writing_FLA[Student Number]),0),MATCH(VLOOKUP(E$7,'Writing Logic'!$J$7:$K$11,2,FALSE)&amp;" - Per "&amp;VLOOKUP($C$4,'Writing Logic'!$G$8:$H$14,2,FALSE),YES_Writing_ELA[#Headers],0))=0,"",INDEX(_xlfn.VSTACK(YES_Writing_ELA[#Data],YES_Writing_FLA[#Data]),MATCH($A146,_xlfn.VSTACK(YES_Writing_ELA[Student Number],YES_Writing_FLA[Student Number]),0),MATCH(VLOOKUP(E$7,'Writing Logic'!$J$7:$K$11,2,FALSE)&amp;" - Per "&amp;VLOOKUP($C$4,'Writing Logic'!$G$8:$H$14,2,FALSE),YES_Writing_ELA[#Headers],0)))="INS",'Writing Logic'!$B$7,IF(INDEX(_xlfn.VSTACK(YES_Writing_ELA[#Data],YES_Writing_FLA[#Data]),MATCH($A146,_xlfn.VSTACK(YES_Writing_ELA[Student Number],YES_Writing_FLA[Student Number]),0),MATCH(VLOOKUP(E$7,'Writing Logic'!$J$7:$K$11,2,FALSE)&amp;" - Per "&amp;VLOOKUP($C$4,'Writing Logic'!$G$8:$H$14,2,FALSE),YES_Writing_ELA[#Headers],0))=0,"",INDEX(_xlfn.VSTACK(YES_Writing_ELA[#Data],YES_Writing_FLA[#Data]),MATCH($A146,_xlfn.VSTACK(YES_Writing_ELA[Student Number],YES_Writing_FLA[Student Number]),0),MATCH(VLOOKUP(E$7,'Writing Logic'!$J$7:$K$11,2,FALSE)&amp;" - Per "&amp;VLOOKUP($C$4,'Writing Logic'!$G$8:$H$14,2,FALSE),YES_Writing_ELA[#Headers],0)))),"")</f>
        <v/>
      </c>
      <c r="F146" s="138" t="str">
        <f>IFERROR(IF(IF(INDEX(_xlfn.VSTACK(YES_Writing_ELA[#Data],YES_Writing_FLA[#Data]),MATCH($A146,_xlfn.VSTACK(YES_Writing_ELA[Student Number],YES_Writing_FLA[Student Number]),0),MATCH(VLOOKUP(F$7,'Writing Logic'!$J$7:$K$11,2,FALSE)&amp;" - Per "&amp;VLOOKUP($C$4,'Writing Logic'!$G$8:$H$14,2,FALSE),YES_Writing_ELA[#Headers],0))=0,"",INDEX(_xlfn.VSTACK(YES_Writing_ELA[#Data],YES_Writing_FLA[#Data]),MATCH($A146,_xlfn.VSTACK(YES_Writing_ELA[Student Number],YES_Writing_FLA[Student Number]),0),MATCH(VLOOKUP(F$7,'Writing Logic'!$J$7:$K$11,2,FALSE)&amp;" - Per "&amp;VLOOKUP($C$4,'Writing Logic'!$G$8:$H$14,2,FALSE),YES_Writing_ELA[#Headers],0)))="INS",'Writing Logic'!$B$7,IF(INDEX(_xlfn.VSTACK(YES_Writing_ELA[#Data],YES_Writing_FLA[#Data]),MATCH($A146,_xlfn.VSTACK(YES_Writing_ELA[Student Number],YES_Writing_FLA[Student Number]),0),MATCH(VLOOKUP(F$7,'Writing Logic'!$J$7:$K$11,2,FALSE)&amp;" - Per "&amp;VLOOKUP($C$4,'Writing Logic'!$G$8:$H$14,2,FALSE),YES_Writing_ELA[#Headers],0))=0,"",INDEX(_xlfn.VSTACK(YES_Writing_ELA[#Data],YES_Writing_FLA[#Data]),MATCH($A146,_xlfn.VSTACK(YES_Writing_ELA[Student Number],YES_Writing_FLA[Student Number]),0),MATCH(VLOOKUP(F$7,'Writing Logic'!$J$7:$K$11,2,FALSE)&amp;" - Per "&amp;VLOOKUP($C$4,'Writing Logic'!$G$8:$H$14,2,FALSE),YES_Writing_ELA[#Headers],0)))),"")</f>
        <v/>
      </c>
      <c r="G146" s="138" t="str">
        <f>IFERROR(IF(IF(INDEX(_xlfn.VSTACK(YES_Writing_ELA[#Data],YES_Writing_FLA[#Data]),MATCH($A146,_xlfn.VSTACK(YES_Writing_ELA[Student Number],YES_Writing_FLA[Student Number]),0),MATCH(VLOOKUP(G$7,'Writing Logic'!$J$7:$K$11,2,FALSE)&amp;" - Per "&amp;VLOOKUP($C$4,'Writing Logic'!$G$8:$H$14,2,FALSE),YES_Writing_ELA[#Headers],0))=0,"",INDEX(_xlfn.VSTACK(YES_Writing_ELA[#Data],YES_Writing_FLA[#Data]),MATCH($A146,_xlfn.VSTACK(YES_Writing_ELA[Student Number],YES_Writing_FLA[Student Number]),0),MATCH(VLOOKUP(G$7,'Writing Logic'!$J$7:$K$11,2,FALSE)&amp;" - Per "&amp;VLOOKUP($C$4,'Writing Logic'!$G$8:$H$14,2,FALSE),YES_Writing_ELA[#Headers],0)))="INS",'Writing Logic'!$B$7,IF(INDEX(_xlfn.VSTACK(YES_Writing_ELA[#Data],YES_Writing_FLA[#Data]),MATCH($A146,_xlfn.VSTACK(YES_Writing_ELA[Student Number],YES_Writing_FLA[Student Number]),0),MATCH(VLOOKUP(G$7,'Writing Logic'!$J$7:$K$11,2,FALSE)&amp;" - Per "&amp;VLOOKUP($C$4,'Writing Logic'!$G$8:$H$14,2,FALSE),YES_Writing_ELA[#Headers],0))=0,"",INDEX(_xlfn.VSTACK(YES_Writing_ELA[#Data],YES_Writing_FLA[#Data]),MATCH($A146,_xlfn.VSTACK(YES_Writing_ELA[Student Number],YES_Writing_FLA[Student Number]),0),MATCH(VLOOKUP(G$7,'Writing Logic'!$J$7:$K$11,2,FALSE)&amp;" - Per "&amp;VLOOKUP($C$4,'Writing Logic'!$G$8:$H$14,2,FALSE),YES_Writing_ELA[#Headers],0)))),"")</f>
        <v/>
      </c>
      <c r="H146" s="223" t="str">
        <f>IFERROR(IF(IF(INDEX(_xlfn.VSTACK(YES_Writing_ELA[#Data],YES_Writing_FLA[#Data]),MATCH($A146,_xlfn.VSTACK(YES_Writing_ELA[Student Number],YES_Writing_FLA[Student Number]),0),MATCH(VLOOKUP(H$7,'Writing Logic'!$J$7:$K$11,2,FALSE)&amp;" - Per "&amp;VLOOKUP($C$4,'Writing Logic'!$G$8:$H$14,2,FALSE),YES_Writing_ELA[#Headers],0))=0,"",INDEX(_xlfn.VSTACK(YES_Writing_ELA[#Data],YES_Writing_FLA[#Data]),MATCH($A146,_xlfn.VSTACK(YES_Writing_ELA[Student Number],YES_Writing_FLA[Student Number]),0),MATCH(VLOOKUP(H$7,'Writing Logic'!$J$7:$K$11,2,FALSE)&amp;" - Per "&amp;VLOOKUP($C$4,'Writing Logic'!$G$8:$H$14,2,FALSE),YES_Writing_ELA[#Headers],0)))="INS",'Writing Logic'!$B$7,IF(INDEX(_xlfn.VSTACK(YES_Writing_ELA[#Data],YES_Writing_FLA[#Data]),MATCH($A146,_xlfn.VSTACK(YES_Writing_ELA[Student Number],YES_Writing_FLA[Student Number]),0),MATCH(VLOOKUP(H$7,'Writing Logic'!$J$7:$K$11,2,FALSE)&amp;" - Per "&amp;VLOOKUP($C$4,'Writing Logic'!$G$8:$H$14,2,FALSE),YES_Writing_ELA[#Headers],0))=0,"",INDEX(_xlfn.VSTACK(YES_Writing_ELA[#Data],YES_Writing_FLA[#Data]),MATCH($A146,_xlfn.VSTACK(YES_Writing_ELA[Student Number],YES_Writing_FLA[Student Number]),0),MATCH(VLOOKUP(H$7,'Writing Logic'!$J$7:$K$11,2,FALSE)&amp;" - Per "&amp;VLOOKUP($C$4,'Writing Logic'!$G$8:$H$14,2,FALSE),YES_Writing_ELA[#Headers],0)))),"")</f>
        <v/>
      </c>
      <c r="I146" s="224" t="str" cm="1">
        <f t="array" aca="1" ref="I146" ca="1">IFERROR(
IF($G$3="ELA",
IF(VLOOKUP($A146, YES_Reading_ELA[], COLUMN(INDIRECT("YES_Reading_ELA[Difference - Per "&amp;VLOOKUP($G$4, 'Reading Report Logic'!$A$2:$B$8, 2, FALSE)&amp;"]")), FALSE)="", "",
VLOOKUP($A146,YES_Reading_ELA[], COLUMN(INDIRECT("YES_Reading_ELA[Difference - Per "&amp;VLOOKUP($G$4,'Reading Report Logic'!$A$2:$B$8,2,FALSE)&amp;"]")), FALSE)),
IF($G$3="FLA",
IF(VLOOKUP($A146, YES_Reading_FLA[], COLUMN(INDIRECT("YES_Reading_FLA[Difference - Per "&amp;VLOOKUP($G$4,'Reading Report Logic'!$A$2:$B$8,2,FALSE)&amp;"]")),FALSE)="","",
VLOOKUP($A146,YES_Reading_FLA[],COLUMN(INDIRECT("YES_Reading_FLA[Difference - Per "&amp;VLOOKUP($G$4,'Reading Report Logic'!$A$2:$B$8,2,FALSE)&amp;"]")),FALSE)),
IF($G$3="Combined",
IFERROR(
IF(VLOOKUP($A146, YES_Reading_ELA[], COLUMN(INDIRECT("YES_Reading_ELA[Difference - Per "&amp;VLOOKUP($G$4, 'Reading Report Logic'!$A$2:$B$8,2,FALSE)&amp;"]")), FALSE)="", "",
VLOOKUP($A146,YES_Reading_ELA[],COLUMN(INDIRECT("YES_Reading_ELA[Difference - Per "&amp;VLOOKUP($G$4,'Reading Report Logic'!$A$2:$B$8,2,FALSE)&amp;"]")),FALSE)),
IF(VLOOKUP($A146, YES_Reading_FLA[], COLUMN(INDIRECT("YES_Reading_FLA[Difference - Per "&amp;VLOOKUP($G$4, 'Reading Report Logic'!$A$2:$B$8, 2, FALSE)&amp;"]")),FALSE)="", "", VLOOKUP($A146,YES_Reading_FLA[],COLUMN(INDIRECT("YES_Reading_FLA[Difference - Per "&amp;VLOOKUP($G$4, 'Reading Report Logic'!$A$2:$B$8, 2, FALSE)&amp;"]")),FALSE))),""))),"")</f>
        <v/>
      </c>
    </row>
    <row r="147" spans="1:9" ht="14.25" customHeight="1" x14ac:dyDescent="0.25">
      <c r="A147" s="137"/>
      <c r="B147" s="137" t="str">
        <f>IFERROR(INDEX(_xlfn.VSTACK(YES_Writing_ELA[#Data], YES_Writing_FLA[#Data]),MATCH($A147,_xlfn.VSTACK(YES_Writing_ELA[Student Number], YES_Writing_FLA[Student Number]),0),MATCH(B$7,YES_Writing_ELA[#Headers],0)),IFERROR(INDEX(_xlfn.VSTACK(YES_Reading_ELA[#Data], YES_Reading_FLA[#Data]),MATCH($A147,_xlfn.VSTACK(YES_Reading_ELA[Student Number], YES_Reading_FLA[Student Number]),0),MATCH(B$7,YES_Reading_ELA[#Headers],0)),""))</f>
        <v/>
      </c>
      <c r="C147" s="137" t="str">
        <f>IFERROR(INDEX(_xlfn.VSTACK(YES_Writing_ELA[#Data], YES_Writing_FLA[#Data]),MATCH($A147,_xlfn.VSTACK(YES_Writing_ELA[Student Number], YES_Writing_FLA[Student Number]),0),MATCH(C$7,YES_Writing_ELA[#Headers],0)),IFERROR(INDEX(_xlfn.VSTACK(YES_Reading_ELA[#Data], YES_Reading_FLA[#Data]),MATCH($A147,_xlfn.VSTACK(YES_Reading_ELA[Student Number], YES_Reading_FLA[Student Number]),0),MATCH(C$7,YES_Reading_ELA[#Headers],0)),""))</f>
        <v/>
      </c>
      <c r="D147" s="138" t="str">
        <f>IFERROR(IF(IF(INDEX(_xlfn.VSTACK(YES_Writing_ELA[#Data],YES_Writing_FLA[#Data]),MATCH($A147,_xlfn.VSTACK(YES_Writing_ELA[Student Number],YES_Writing_FLA[Student Number]),0),MATCH(VLOOKUP(D$7,'Writing Logic'!$J$7:$K$11,2,FALSE)&amp;" - Per "&amp;VLOOKUP($C$4,'Writing Logic'!$G$8:$H$14,2,FALSE),YES_Writing_ELA[#Headers],0))=0,"",INDEX(_xlfn.VSTACK(YES_Writing_ELA[#Data],YES_Writing_FLA[#Data]),MATCH($A147,_xlfn.VSTACK(YES_Writing_ELA[Student Number],YES_Writing_FLA[Student Number]),0),MATCH(VLOOKUP(D$7,'Writing Logic'!$J$7:$K$11,2,FALSE)&amp;" - Per "&amp;VLOOKUP($C$4,'Writing Logic'!$G$8:$H$14,2,FALSE),YES_Writing_ELA[#Headers],0)))="INS",'Writing Logic'!$B$7,IF(INDEX(_xlfn.VSTACK(YES_Writing_ELA[#Data],YES_Writing_FLA[#Data]),MATCH($A147,_xlfn.VSTACK(YES_Writing_ELA[Student Number],YES_Writing_FLA[Student Number]),0),MATCH(VLOOKUP(D$7,'Writing Logic'!$J$7:$K$11,2,FALSE)&amp;" - Per "&amp;VLOOKUP($C$4,'Writing Logic'!$G$8:$H$14,2,FALSE),YES_Writing_ELA[#Headers],0))=0,"",INDEX(_xlfn.VSTACK(YES_Writing_ELA[#Data],YES_Writing_FLA[#Data]),MATCH($A147,_xlfn.VSTACK(YES_Writing_ELA[Student Number],YES_Writing_FLA[Student Number]),0),MATCH(VLOOKUP(D$7,'Writing Logic'!$J$7:$K$11,2,FALSE)&amp;" - Per "&amp;VLOOKUP($C$4,'Writing Logic'!$G$8:$H$14,2,FALSE),YES_Writing_ELA[#Headers],0)))),"")</f>
        <v/>
      </c>
      <c r="E147" s="138" t="str">
        <f>IFERROR(IF(IF(INDEX(_xlfn.VSTACK(YES_Writing_ELA[#Data],YES_Writing_FLA[#Data]),MATCH($A147,_xlfn.VSTACK(YES_Writing_ELA[Student Number],YES_Writing_FLA[Student Number]),0),MATCH(VLOOKUP(E$7,'Writing Logic'!$J$7:$K$11,2,FALSE)&amp;" - Per "&amp;VLOOKUP($C$4,'Writing Logic'!$G$8:$H$14,2,FALSE),YES_Writing_ELA[#Headers],0))=0,"",INDEX(_xlfn.VSTACK(YES_Writing_ELA[#Data],YES_Writing_FLA[#Data]),MATCH($A147,_xlfn.VSTACK(YES_Writing_ELA[Student Number],YES_Writing_FLA[Student Number]),0),MATCH(VLOOKUP(E$7,'Writing Logic'!$J$7:$K$11,2,FALSE)&amp;" - Per "&amp;VLOOKUP($C$4,'Writing Logic'!$G$8:$H$14,2,FALSE),YES_Writing_ELA[#Headers],0)))="INS",'Writing Logic'!$B$7,IF(INDEX(_xlfn.VSTACK(YES_Writing_ELA[#Data],YES_Writing_FLA[#Data]),MATCH($A147,_xlfn.VSTACK(YES_Writing_ELA[Student Number],YES_Writing_FLA[Student Number]),0),MATCH(VLOOKUP(E$7,'Writing Logic'!$J$7:$K$11,2,FALSE)&amp;" - Per "&amp;VLOOKUP($C$4,'Writing Logic'!$G$8:$H$14,2,FALSE),YES_Writing_ELA[#Headers],0))=0,"",INDEX(_xlfn.VSTACK(YES_Writing_ELA[#Data],YES_Writing_FLA[#Data]),MATCH($A147,_xlfn.VSTACK(YES_Writing_ELA[Student Number],YES_Writing_FLA[Student Number]),0),MATCH(VLOOKUP(E$7,'Writing Logic'!$J$7:$K$11,2,FALSE)&amp;" - Per "&amp;VLOOKUP($C$4,'Writing Logic'!$G$8:$H$14,2,FALSE),YES_Writing_ELA[#Headers],0)))),"")</f>
        <v/>
      </c>
      <c r="F147" s="138" t="str">
        <f>IFERROR(IF(IF(INDEX(_xlfn.VSTACK(YES_Writing_ELA[#Data],YES_Writing_FLA[#Data]),MATCH($A147,_xlfn.VSTACK(YES_Writing_ELA[Student Number],YES_Writing_FLA[Student Number]),0),MATCH(VLOOKUP(F$7,'Writing Logic'!$J$7:$K$11,2,FALSE)&amp;" - Per "&amp;VLOOKUP($C$4,'Writing Logic'!$G$8:$H$14,2,FALSE),YES_Writing_ELA[#Headers],0))=0,"",INDEX(_xlfn.VSTACK(YES_Writing_ELA[#Data],YES_Writing_FLA[#Data]),MATCH($A147,_xlfn.VSTACK(YES_Writing_ELA[Student Number],YES_Writing_FLA[Student Number]),0),MATCH(VLOOKUP(F$7,'Writing Logic'!$J$7:$K$11,2,FALSE)&amp;" - Per "&amp;VLOOKUP($C$4,'Writing Logic'!$G$8:$H$14,2,FALSE),YES_Writing_ELA[#Headers],0)))="INS",'Writing Logic'!$B$7,IF(INDEX(_xlfn.VSTACK(YES_Writing_ELA[#Data],YES_Writing_FLA[#Data]),MATCH($A147,_xlfn.VSTACK(YES_Writing_ELA[Student Number],YES_Writing_FLA[Student Number]),0),MATCH(VLOOKUP(F$7,'Writing Logic'!$J$7:$K$11,2,FALSE)&amp;" - Per "&amp;VLOOKUP($C$4,'Writing Logic'!$G$8:$H$14,2,FALSE),YES_Writing_ELA[#Headers],0))=0,"",INDEX(_xlfn.VSTACK(YES_Writing_ELA[#Data],YES_Writing_FLA[#Data]),MATCH($A147,_xlfn.VSTACK(YES_Writing_ELA[Student Number],YES_Writing_FLA[Student Number]),0),MATCH(VLOOKUP(F$7,'Writing Logic'!$J$7:$K$11,2,FALSE)&amp;" - Per "&amp;VLOOKUP($C$4,'Writing Logic'!$G$8:$H$14,2,FALSE),YES_Writing_ELA[#Headers],0)))),"")</f>
        <v/>
      </c>
      <c r="G147" s="138" t="str">
        <f>IFERROR(IF(IF(INDEX(_xlfn.VSTACK(YES_Writing_ELA[#Data],YES_Writing_FLA[#Data]),MATCH($A147,_xlfn.VSTACK(YES_Writing_ELA[Student Number],YES_Writing_FLA[Student Number]),0),MATCH(VLOOKUP(G$7,'Writing Logic'!$J$7:$K$11,2,FALSE)&amp;" - Per "&amp;VLOOKUP($C$4,'Writing Logic'!$G$8:$H$14,2,FALSE),YES_Writing_ELA[#Headers],0))=0,"",INDEX(_xlfn.VSTACK(YES_Writing_ELA[#Data],YES_Writing_FLA[#Data]),MATCH($A147,_xlfn.VSTACK(YES_Writing_ELA[Student Number],YES_Writing_FLA[Student Number]),0),MATCH(VLOOKUP(G$7,'Writing Logic'!$J$7:$K$11,2,FALSE)&amp;" - Per "&amp;VLOOKUP($C$4,'Writing Logic'!$G$8:$H$14,2,FALSE),YES_Writing_ELA[#Headers],0)))="INS",'Writing Logic'!$B$7,IF(INDEX(_xlfn.VSTACK(YES_Writing_ELA[#Data],YES_Writing_FLA[#Data]),MATCH($A147,_xlfn.VSTACK(YES_Writing_ELA[Student Number],YES_Writing_FLA[Student Number]),0),MATCH(VLOOKUP(G$7,'Writing Logic'!$J$7:$K$11,2,FALSE)&amp;" - Per "&amp;VLOOKUP($C$4,'Writing Logic'!$G$8:$H$14,2,FALSE),YES_Writing_ELA[#Headers],0))=0,"",INDEX(_xlfn.VSTACK(YES_Writing_ELA[#Data],YES_Writing_FLA[#Data]),MATCH($A147,_xlfn.VSTACK(YES_Writing_ELA[Student Number],YES_Writing_FLA[Student Number]),0),MATCH(VLOOKUP(G$7,'Writing Logic'!$J$7:$K$11,2,FALSE)&amp;" - Per "&amp;VLOOKUP($C$4,'Writing Logic'!$G$8:$H$14,2,FALSE),YES_Writing_ELA[#Headers],0)))),"")</f>
        <v/>
      </c>
      <c r="H147" s="223" t="str">
        <f>IFERROR(IF(IF(INDEX(_xlfn.VSTACK(YES_Writing_ELA[#Data],YES_Writing_FLA[#Data]),MATCH($A147,_xlfn.VSTACK(YES_Writing_ELA[Student Number],YES_Writing_FLA[Student Number]),0),MATCH(VLOOKUP(H$7,'Writing Logic'!$J$7:$K$11,2,FALSE)&amp;" - Per "&amp;VLOOKUP($C$4,'Writing Logic'!$G$8:$H$14,2,FALSE),YES_Writing_ELA[#Headers],0))=0,"",INDEX(_xlfn.VSTACK(YES_Writing_ELA[#Data],YES_Writing_FLA[#Data]),MATCH($A147,_xlfn.VSTACK(YES_Writing_ELA[Student Number],YES_Writing_FLA[Student Number]),0),MATCH(VLOOKUP(H$7,'Writing Logic'!$J$7:$K$11,2,FALSE)&amp;" - Per "&amp;VLOOKUP($C$4,'Writing Logic'!$G$8:$H$14,2,FALSE),YES_Writing_ELA[#Headers],0)))="INS",'Writing Logic'!$B$7,IF(INDEX(_xlfn.VSTACK(YES_Writing_ELA[#Data],YES_Writing_FLA[#Data]),MATCH($A147,_xlfn.VSTACK(YES_Writing_ELA[Student Number],YES_Writing_FLA[Student Number]),0),MATCH(VLOOKUP(H$7,'Writing Logic'!$J$7:$K$11,2,FALSE)&amp;" - Per "&amp;VLOOKUP($C$4,'Writing Logic'!$G$8:$H$14,2,FALSE),YES_Writing_ELA[#Headers],0))=0,"",INDEX(_xlfn.VSTACK(YES_Writing_ELA[#Data],YES_Writing_FLA[#Data]),MATCH($A147,_xlfn.VSTACK(YES_Writing_ELA[Student Number],YES_Writing_FLA[Student Number]),0),MATCH(VLOOKUP(H$7,'Writing Logic'!$J$7:$K$11,2,FALSE)&amp;" - Per "&amp;VLOOKUP($C$4,'Writing Logic'!$G$8:$H$14,2,FALSE),YES_Writing_ELA[#Headers],0)))),"")</f>
        <v/>
      </c>
      <c r="I147" s="224" t="str" cm="1">
        <f t="array" aca="1" ref="I147" ca="1">IFERROR(
IF($G$3="ELA",
IF(VLOOKUP($A147, YES_Reading_ELA[], COLUMN(INDIRECT("YES_Reading_ELA[Difference - Per "&amp;VLOOKUP($G$4, 'Reading Report Logic'!$A$2:$B$8, 2, FALSE)&amp;"]")), FALSE)="", "",
VLOOKUP($A147,YES_Reading_ELA[], COLUMN(INDIRECT("YES_Reading_ELA[Difference - Per "&amp;VLOOKUP($G$4,'Reading Report Logic'!$A$2:$B$8,2,FALSE)&amp;"]")), FALSE)),
IF($G$3="FLA",
IF(VLOOKUP($A147, YES_Reading_FLA[], COLUMN(INDIRECT("YES_Reading_FLA[Difference - Per "&amp;VLOOKUP($G$4,'Reading Report Logic'!$A$2:$B$8,2,FALSE)&amp;"]")),FALSE)="","",
VLOOKUP($A147,YES_Reading_FLA[],COLUMN(INDIRECT("YES_Reading_FLA[Difference - Per "&amp;VLOOKUP($G$4,'Reading Report Logic'!$A$2:$B$8,2,FALSE)&amp;"]")),FALSE)),
IF($G$3="Combined",
IFERROR(
IF(VLOOKUP($A147, YES_Reading_ELA[], COLUMN(INDIRECT("YES_Reading_ELA[Difference - Per "&amp;VLOOKUP($G$4, 'Reading Report Logic'!$A$2:$B$8,2,FALSE)&amp;"]")), FALSE)="", "",
VLOOKUP($A147,YES_Reading_ELA[],COLUMN(INDIRECT("YES_Reading_ELA[Difference - Per "&amp;VLOOKUP($G$4,'Reading Report Logic'!$A$2:$B$8,2,FALSE)&amp;"]")),FALSE)),
IF(VLOOKUP($A147, YES_Reading_FLA[], COLUMN(INDIRECT("YES_Reading_FLA[Difference - Per "&amp;VLOOKUP($G$4, 'Reading Report Logic'!$A$2:$B$8, 2, FALSE)&amp;"]")),FALSE)="", "", VLOOKUP($A147,YES_Reading_FLA[],COLUMN(INDIRECT("YES_Reading_FLA[Difference - Per "&amp;VLOOKUP($G$4, 'Reading Report Logic'!$A$2:$B$8, 2, FALSE)&amp;"]")),FALSE))),""))),"")</f>
        <v/>
      </c>
    </row>
    <row r="148" spans="1:9" ht="14.25" customHeight="1" x14ac:dyDescent="0.25">
      <c r="A148" s="137"/>
      <c r="B148" s="137" t="str">
        <f>IFERROR(INDEX(_xlfn.VSTACK(YES_Writing_ELA[#Data], YES_Writing_FLA[#Data]),MATCH($A148,_xlfn.VSTACK(YES_Writing_ELA[Student Number], YES_Writing_FLA[Student Number]),0),MATCH(B$7,YES_Writing_ELA[#Headers],0)),IFERROR(INDEX(_xlfn.VSTACK(YES_Reading_ELA[#Data], YES_Reading_FLA[#Data]),MATCH($A148,_xlfn.VSTACK(YES_Reading_ELA[Student Number], YES_Reading_FLA[Student Number]),0),MATCH(B$7,YES_Reading_ELA[#Headers],0)),""))</f>
        <v/>
      </c>
      <c r="C148" s="137" t="str">
        <f>IFERROR(INDEX(_xlfn.VSTACK(YES_Writing_ELA[#Data], YES_Writing_FLA[#Data]),MATCH($A148,_xlfn.VSTACK(YES_Writing_ELA[Student Number], YES_Writing_FLA[Student Number]),0),MATCH(C$7,YES_Writing_ELA[#Headers],0)),IFERROR(INDEX(_xlfn.VSTACK(YES_Reading_ELA[#Data], YES_Reading_FLA[#Data]),MATCH($A148,_xlfn.VSTACK(YES_Reading_ELA[Student Number], YES_Reading_FLA[Student Number]),0),MATCH(C$7,YES_Reading_ELA[#Headers],0)),""))</f>
        <v/>
      </c>
      <c r="D148" s="138" t="str">
        <f>IFERROR(IF(IF(INDEX(_xlfn.VSTACK(YES_Writing_ELA[#Data],YES_Writing_FLA[#Data]),MATCH($A148,_xlfn.VSTACK(YES_Writing_ELA[Student Number],YES_Writing_FLA[Student Number]),0),MATCH(VLOOKUP(D$7,'Writing Logic'!$J$7:$K$11,2,FALSE)&amp;" - Per "&amp;VLOOKUP($C$4,'Writing Logic'!$G$8:$H$14,2,FALSE),YES_Writing_ELA[#Headers],0))=0,"",INDEX(_xlfn.VSTACK(YES_Writing_ELA[#Data],YES_Writing_FLA[#Data]),MATCH($A148,_xlfn.VSTACK(YES_Writing_ELA[Student Number],YES_Writing_FLA[Student Number]),0),MATCH(VLOOKUP(D$7,'Writing Logic'!$J$7:$K$11,2,FALSE)&amp;" - Per "&amp;VLOOKUP($C$4,'Writing Logic'!$G$8:$H$14,2,FALSE),YES_Writing_ELA[#Headers],0)))="INS",'Writing Logic'!$B$7,IF(INDEX(_xlfn.VSTACK(YES_Writing_ELA[#Data],YES_Writing_FLA[#Data]),MATCH($A148,_xlfn.VSTACK(YES_Writing_ELA[Student Number],YES_Writing_FLA[Student Number]),0),MATCH(VLOOKUP(D$7,'Writing Logic'!$J$7:$K$11,2,FALSE)&amp;" - Per "&amp;VLOOKUP($C$4,'Writing Logic'!$G$8:$H$14,2,FALSE),YES_Writing_ELA[#Headers],0))=0,"",INDEX(_xlfn.VSTACK(YES_Writing_ELA[#Data],YES_Writing_FLA[#Data]),MATCH($A148,_xlfn.VSTACK(YES_Writing_ELA[Student Number],YES_Writing_FLA[Student Number]),0),MATCH(VLOOKUP(D$7,'Writing Logic'!$J$7:$K$11,2,FALSE)&amp;" - Per "&amp;VLOOKUP($C$4,'Writing Logic'!$G$8:$H$14,2,FALSE),YES_Writing_ELA[#Headers],0)))),"")</f>
        <v/>
      </c>
      <c r="E148" s="138" t="str">
        <f>IFERROR(IF(IF(INDEX(_xlfn.VSTACK(YES_Writing_ELA[#Data],YES_Writing_FLA[#Data]),MATCH($A148,_xlfn.VSTACK(YES_Writing_ELA[Student Number],YES_Writing_FLA[Student Number]),0),MATCH(VLOOKUP(E$7,'Writing Logic'!$J$7:$K$11,2,FALSE)&amp;" - Per "&amp;VLOOKUP($C$4,'Writing Logic'!$G$8:$H$14,2,FALSE),YES_Writing_ELA[#Headers],0))=0,"",INDEX(_xlfn.VSTACK(YES_Writing_ELA[#Data],YES_Writing_FLA[#Data]),MATCH($A148,_xlfn.VSTACK(YES_Writing_ELA[Student Number],YES_Writing_FLA[Student Number]),0),MATCH(VLOOKUP(E$7,'Writing Logic'!$J$7:$K$11,2,FALSE)&amp;" - Per "&amp;VLOOKUP($C$4,'Writing Logic'!$G$8:$H$14,2,FALSE),YES_Writing_ELA[#Headers],0)))="INS",'Writing Logic'!$B$7,IF(INDEX(_xlfn.VSTACK(YES_Writing_ELA[#Data],YES_Writing_FLA[#Data]),MATCH($A148,_xlfn.VSTACK(YES_Writing_ELA[Student Number],YES_Writing_FLA[Student Number]),0),MATCH(VLOOKUP(E$7,'Writing Logic'!$J$7:$K$11,2,FALSE)&amp;" - Per "&amp;VLOOKUP($C$4,'Writing Logic'!$G$8:$H$14,2,FALSE),YES_Writing_ELA[#Headers],0))=0,"",INDEX(_xlfn.VSTACK(YES_Writing_ELA[#Data],YES_Writing_FLA[#Data]),MATCH($A148,_xlfn.VSTACK(YES_Writing_ELA[Student Number],YES_Writing_FLA[Student Number]),0),MATCH(VLOOKUP(E$7,'Writing Logic'!$J$7:$K$11,2,FALSE)&amp;" - Per "&amp;VLOOKUP($C$4,'Writing Logic'!$G$8:$H$14,2,FALSE),YES_Writing_ELA[#Headers],0)))),"")</f>
        <v/>
      </c>
      <c r="F148" s="138" t="str">
        <f>IFERROR(IF(IF(INDEX(_xlfn.VSTACK(YES_Writing_ELA[#Data],YES_Writing_FLA[#Data]),MATCH($A148,_xlfn.VSTACK(YES_Writing_ELA[Student Number],YES_Writing_FLA[Student Number]),0),MATCH(VLOOKUP(F$7,'Writing Logic'!$J$7:$K$11,2,FALSE)&amp;" - Per "&amp;VLOOKUP($C$4,'Writing Logic'!$G$8:$H$14,2,FALSE),YES_Writing_ELA[#Headers],0))=0,"",INDEX(_xlfn.VSTACK(YES_Writing_ELA[#Data],YES_Writing_FLA[#Data]),MATCH($A148,_xlfn.VSTACK(YES_Writing_ELA[Student Number],YES_Writing_FLA[Student Number]),0),MATCH(VLOOKUP(F$7,'Writing Logic'!$J$7:$K$11,2,FALSE)&amp;" - Per "&amp;VLOOKUP($C$4,'Writing Logic'!$G$8:$H$14,2,FALSE),YES_Writing_ELA[#Headers],0)))="INS",'Writing Logic'!$B$7,IF(INDEX(_xlfn.VSTACK(YES_Writing_ELA[#Data],YES_Writing_FLA[#Data]),MATCH($A148,_xlfn.VSTACK(YES_Writing_ELA[Student Number],YES_Writing_FLA[Student Number]),0),MATCH(VLOOKUP(F$7,'Writing Logic'!$J$7:$K$11,2,FALSE)&amp;" - Per "&amp;VLOOKUP($C$4,'Writing Logic'!$G$8:$H$14,2,FALSE),YES_Writing_ELA[#Headers],0))=0,"",INDEX(_xlfn.VSTACK(YES_Writing_ELA[#Data],YES_Writing_FLA[#Data]),MATCH($A148,_xlfn.VSTACK(YES_Writing_ELA[Student Number],YES_Writing_FLA[Student Number]),0),MATCH(VLOOKUP(F$7,'Writing Logic'!$J$7:$K$11,2,FALSE)&amp;" - Per "&amp;VLOOKUP($C$4,'Writing Logic'!$G$8:$H$14,2,FALSE),YES_Writing_ELA[#Headers],0)))),"")</f>
        <v/>
      </c>
      <c r="G148" s="138" t="str">
        <f>IFERROR(IF(IF(INDEX(_xlfn.VSTACK(YES_Writing_ELA[#Data],YES_Writing_FLA[#Data]),MATCH($A148,_xlfn.VSTACK(YES_Writing_ELA[Student Number],YES_Writing_FLA[Student Number]),0),MATCH(VLOOKUP(G$7,'Writing Logic'!$J$7:$K$11,2,FALSE)&amp;" - Per "&amp;VLOOKUP($C$4,'Writing Logic'!$G$8:$H$14,2,FALSE),YES_Writing_ELA[#Headers],0))=0,"",INDEX(_xlfn.VSTACK(YES_Writing_ELA[#Data],YES_Writing_FLA[#Data]),MATCH($A148,_xlfn.VSTACK(YES_Writing_ELA[Student Number],YES_Writing_FLA[Student Number]),0),MATCH(VLOOKUP(G$7,'Writing Logic'!$J$7:$K$11,2,FALSE)&amp;" - Per "&amp;VLOOKUP($C$4,'Writing Logic'!$G$8:$H$14,2,FALSE),YES_Writing_ELA[#Headers],0)))="INS",'Writing Logic'!$B$7,IF(INDEX(_xlfn.VSTACK(YES_Writing_ELA[#Data],YES_Writing_FLA[#Data]),MATCH($A148,_xlfn.VSTACK(YES_Writing_ELA[Student Number],YES_Writing_FLA[Student Number]),0),MATCH(VLOOKUP(G$7,'Writing Logic'!$J$7:$K$11,2,FALSE)&amp;" - Per "&amp;VLOOKUP($C$4,'Writing Logic'!$G$8:$H$14,2,FALSE),YES_Writing_ELA[#Headers],0))=0,"",INDEX(_xlfn.VSTACK(YES_Writing_ELA[#Data],YES_Writing_FLA[#Data]),MATCH($A148,_xlfn.VSTACK(YES_Writing_ELA[Student Number],YES_Writing_FLA[Student Number]),0),MATCH(VLOOKUP(G$7,'Writing Logic'!$J$7:$K$11,2,FALSE)&amp;" - Per "&amp;VLOOKUP($C$4,'Writing Logic'!$G$8:$H$14,2,FALSE),YES_Writing_ELA[#Headers],0)))),"")</f>
        <v/>
      </c>
      <c r="H148" s="223" t="str">
        <f>IFERROR(IF(IF(INDEX(_xlfn.VSTACK(YES_Writing_ELA[#Data],YES_Writing_FLA[#Data]),MATCH($A148,_xlfn.VSTACK(YES_Writing_ELA[Student Number],YES_Writing_FLA[Student Number]),0),MATCH(VLOOKUP(H$7,'Writing Logic'!$J$7:$K$11,2,FALSE)&amp;" - Per "&amp;VLOOKUP($C$4,'Writing Logic'!$G$8:$H$14,2,FALSE),YES_Writing_ELA[#Headers],0))=0,"",INDEX(_xlfn.VSTACK(YES_Writing_ELA[#Data],YES_Writing_FLA[#Data]),MATCH($A148,_xlfn.VSTACK(YES_Writing_ELA[Student Number],YES_Writing_FLA[Student Number]),0),MATCH(VLOOKUP(H$7,'Writing Logic'!$J$7:$K$11,2,FALSE)&amp;" - Per "&amp;VLOOKUP($C$4,'Writing Logic'!$G$8:$H$14,2,FALSE),YES_Writing_ELA[#Headers],0)))="INS",'Writing Logic'!$B$7,IF(INDEX(_xlfn.VSTACK(YES_Writing_ELA[#Data],YES_Writing_FLA[#Data]),MATCH($A148,_xlfn.VSTACK(YES_Writing_ELA[Student Number],YES_Writing_FLA[Student Number]),0),MATCH(VLOOKUP(H$7,'Writing Logic'!$J$7:$K$11,2,FALSE)&amp;" - Per "&amp;VLOOKUP($C$4,'Writing Logic'!$G$8:$H$14,2,FALSE),YES_Writing_ELA[#Headers],0))=0,"",INDEX(_xlfn.VSTACK(YES_Writing_ELA[#Data],YES_Writing_FLA[#Data]),MATCH($A148,_xlfn.VSTACK(YES_Writing_ELA[Student Number],YES_Writing_FLA[Student Number]),0),MATCH(VLOOKUP(H$7,'Writing Logic'!$J$7:$K$11,2,FALSE)&amp;" - Per "&amp;VLOOKUP($C$4,'Writing Logic'!$G$8:$H$14,2,FALSE),YES_Writing_ELA[#Headers],0)))),"")</f>
        <v/>
      </c>
      <c r="I148" s="224" t="str" cm="1">
        <f t="array" aca="1" ref="I148" ca="1">IFERROR(
IF($G$3="ELA",
IF(VLOOKUP($A148, YES_Reading_ELA[], COLUMN(INDIRECT("YES_Reading_ELA[Difference - Per "&amp;VLOOKUP($G$4, 'Reading Report Logic'!$A$2:$B$8, 2, FALSE)&amp;"]")), FALSE)="", "",
VLOOKUP($A148,YES_Reading_ELA[], COLUMN(INDIRECT("YES_Reading_ELA[Difference - Per "&amp;VLOOKUP($G$4,'Reading Report Logic'!$A$2:$B$8,2,FALSE)&amp;"]")), FALSE)),
IF($G$3="FLA",
IF(VLOOKUP($A148, YES_Reading_FLA[], COLUMN(INDIRECT("YES_Reading_FLA[Difference - Per "&amp;VLOOKUP($G$4,'Reading Report Logic'!$A$2:$B$8,2,FALSE)&amp;"]")),FALSE)="","",
VLOOKUP($A148,YES_Reading_FLA[],COLUMN(INDIRECT("YES_Reading_FLA[Difference - Per "&amp;VLOOKUP($G$4,'Reading Report Logic'!$A$2:$B$8,2,FALSE)&amp;"]")),FALSE)),
IF($G$3="Combined",
IFERROR(
IF(VLOOKUP($A148, YES_Reading_ELA[], COLUMN(INDIRECT("YES_Reading_ELA[Difference - Per "&amp;VLOOKUP($G$4, 'Reading Report Logic'!$A$2:$B$8,2,FALSE)&amp;"]")), FALSE)="", "",
VLOOKUP($A148,YES_Reading_ELA[],COLUMN(INDIRECT("YES_Reading_ELA[Difference - Per "&amp;VLOOKUP($G$4,'Reading Report Logic'!$A$2:$B$8,2,FALSE)&amp;"]")),FALSE)),
IF(VLOOKUP($A148, YES_Reading_FLA[], COLUMN(INDIRECT("YES_Reading_FLA[Difference - Per "&amp;VLOOKUP($G$4, 'Reading Report Logic'!$A$2:$B$8, 2, FALSE)&amp;"]")),FALSE)="", "", VLOOKUP($A148,YES_Reading_FLA[],COLUMN(INDIRECT("YES_Reading_FLA[Difference - Per "&amp;VLOOKUP($G$4, 'Reading Report Logic'!$A$2:$B$8, 2, FALSE)&amp;"]")),FALSE))),""))),"")</f>
        <v/>
      </c>
    </row>
    <row r="149" spans="1:9" ht="14.25" customHeight="1" x14ac:dyDescent="0.25">
      <c r="A149" s="137"/>
      <c r="B149" s="137" t="str">
        <f>IFERROR(INDEX(_xlfn.VSTACK(YES_Writing_ELA[#Data], YES_Writing_FLA[#Data]),MATCH($A149,_xlfn.VSTACK(YES_Writing_ELA[Student Number], YES_Writing_FLA[Student Number]),0),MATCH(B$7,YES_Writing_ELA[#Headers],0)),IFERROR(INDEX(_xlfn.VSTACK(YES_Reading_ELA[#Data], YES_Reading_FLA[#Data]),MATCH($A149,_xlfn.VSTACK(YES_Reading_ELA[Student Number], YES_Reading_FLA[Student Number]),0),MATCH(B$7,YES_Reading_ELA[#Headers],0)),""))</f>
        <v/>
      </c>
      <c r="C149" s="137" t="str">
        <f>IFERROR(INDEX(_xlfn.VSTACK(YES_Writing_ELA[#Data], YES_Writing_FLA[#Data]),MATCH($A149,_xlfn.VSTACK(YES_Writing_ELA[Student Number], YES_Writing_FLA[Student Number]),0),MATCH(C$7,YES_Writing_ELA[#Headers],0)),IFERROR(INDEX(_xlfn.VSTACK(YES_Reading_ELA[#Data], YES_Reading_FLA[#Data]),MATCH($A149,_xlfn.VSTACK(YES_Reading_ELA[Student Number], YES_Reading_FLA[Student Number]),0),MATCH(C$7,YES_Reading_ELA[#Headers],0)),""))</f>
        <v/>
      </c>
      <c r="D149" s="138" t="str">
        <f>IFERROR(IF(IF(INDEX(_xlfn.VSTACK(YES_Writing_ELA[#Data],YES_Writing_FLA[#Data]),MATCH($A149,_xlfn.VSTACK(YES_Writing_ELA[Student Number],YES_Writing_FLA[Student Number]),0),MATCH(VLOOKUP(D$7,'Writing Logic'!$J$7:$K$11,2,FALSE)&amp;" - Per "&amp;VLOOKUP($C$4,'Writing Logic'!$G$8:$H$14,2,FALSE),YES_Writing_ELA[#Headers],0))=0,"",INDEX(_xlfn.VSTACK(YES_Writing_ELA[#Data],YES_Writing_FLA[#Data]),MATCH($A149,_xlfn.VSTACK(YES_Writing_ELA[Student Number],YES_Writing_FLA[Student Number]),0),MATCH(VLOOKUP(D$7,'Writing Logic'!$J$7:$K$11,2,FALSE)&amp;" - Per "&amp;VLOOKUP($C$4,'Writing Logic'!$G$8:$H$14,2,FALSE),YES_Writing_ELA[#Headers],0)))="INS",'Writing Logic'!$B$7,IF(INDEX(_xlfn.VSTACK(YES_Writing_ELA[#Data],YES_Writing_FLA[#Data]),MATCH($A149,_xlfn.VSTACK(YES_Writing_ELA[Student Number],YES_Writing_FLA[Student Number]),0),MATCH(VLOOKUP(D$7,'Writing Logic'!$J$7:$K$11,2,FALSE)&amp;" - Per "&amp;VLOOKUP($C$4,'Writing Logic'!$G$8:$H$14,2,FALSE),YES_Writing_ELA[#Headers],0))=0,"",INDEX(_xlfn.VSTACK(YES_Writing_ELA[#Data],YES_Writing_FLA[#Data]),MATCH($A149,_xlfn.VSTACK(YES_Writing_ELA[Student Number],YES_Writing_FLA[Student Number]),0),MATCH(VLOOKUP(D$7,'Writing Logic'!$J$7:$K$11,2,FALSE)&amp;" - Per "&amp;VLOOKUP($C$4,'Writing Logic'!$G$8:$H$14,2,FALSE),YES_Writing_ELA[#Headers],0)))),"")</f>
        <v/>
      </c>
      <c r="E149" s="138" t="str">
        <f>IFERROR(IF(IF(INDEX(_xlfn.VSTACK(YES_Writing_ELA[#Data],YES_Writing_FLA[#Data]),MATCH($A149,_xlfn.VSTACK(YES_Writing_ELA[Student Number],YES_Writing_FLA[Student Number]),0),MATCH(VLOOKUP(E$7,'Writing Logic'!$J$7:$K$11,2,FALSE)&amp;" - Per "&amp;VLOOKUP($C$4,'Writing Logic'!$G$8:$H$14,2,FALSE),YES_Writing_ELA[#Headers],0))=0,"",INDEX(_xlfn.VSTACK(YES_Writing_ELA[#Data],YES_Writing_FLA[#Data]),MATCH($A149,_xlfn.VSTACK(YES_Writing_ELA[Student Number],YES_Writing_FLA[Student Number]),0),MATCH(VLOOKUP(E$7,'Writing Logic'!$J$7:$K$11,2,FALSE)&amp;" - Per "&amp;VLOOKUP($C$4,'Writing Logic'!$G$8:$H$14,2,FALSE),YES_Writing_ELA[#Headers],0)))="INS",'Writing Logic'!$B$7,IF(INDEX(_xlfn.VSTACK(YES_Writing_ELA[#Data],YES_Writing_FLA[#Data]),MATCH($A149,_xlfn.VSTACK(YES_Writing_ELA[Student Number],YES_Writing_FLA[Student Number]),0),MATCH(VLOOKUP(E$7,'Writing Logic'!$J$7:$K$11,2,FALSE)&amp;" - Per "&amp;VLOOKUP($C$4,'Writing Logic'!$G$8:$H$14,2,FALSE),YES_Writing_ELA[#Headers],0))=0,"",INDEX(_xlfn.VSTACK(YES_Writing_ELA[#Data],YES_Writing_FLA[#Data]),MATCH($A149,_xlfn.VSTACK(YES_Writing_ELA[Student Number],YES_Writing_FLA[Student Number]),0),MATCH(VLOOKUP(E$7,'Writing Logic'!$J$7:$K$11,2,FALSE)&amp;" - Per "&amp;VLOOKUP($C$4,'Writing Logic'!$G$8:$H$14,2,FALSE),YES_Writing_ELA[#Headers],0)))),"")</f>
        <v/>
      </c>
      <c r="F149" s="138" t="str">
        <f>IFERROR(IF(IF(INDEX(_xlfn.VSTACK(YES_Writing_ELA[#Data],YES_Writing_FLA[#Data]),MATCH($A149,_xlfn.VSTACK(YES_Writing_ELA[Student Number],YES_Writing_FLA[Student Number]),0),MATCH(VLOOKUP(F$7,'Writing Logic'!$J$7:$K$11,2,FALSE)&amp;" - Per "&amp;VLOOKUP($C$4,'Writing Logic'!$G$8:$H$14,2,FALSE),YES_Writing_ELA[#Headers],0))=0,"",INDEX(_xlfn.VSTACK(YES_Writing_ELA[#Data],YES_Writing_FLA[#Data]),MATCH($A149,_xlfn.VSTACK(YES_Writing_ELA[Student Number],YES_Writing_FLA[Student Number]),0),MATCH(VLOOKUP(F$7,'Writing Logic'!$J$7:$K$11,2,FALSE)&amp;" - Per "&amp;VLOOKUP($C$4,'Writing Logic'!$G$8:$H$14,2,FALSE),YES_Writing_ELA[#Headers],0)))="INS",'Writing Logic'!$B$7,IF(INDEX(_xlfn.VSTACK(YES_Writing_ELA[#Data],YES_Writing_FLA[#Data]),MATCH($A149,_xlfn.VSTACK(YES_Writing_ELA[Student Number],YES_Writing_FLA[Student Number]),0),MATCH(VLOOKUP(F$7,'Writing Logic'!$J$7:$K$11,2,FALSE)&amp;" - Per "&amp;VLOOKUP($C$4,'Writing Logic'!$G$8:$H$14,2,FALSE),YES_Writing_ELA[#Headers],0))=0,"",INDEX(_xlfn.VSTACK(YES_Writing_ELA[#Data],YES_Writing_FLA[#Data]),MATCH($A149,_xlfn.VSTACK(YES_Writing_ELA[Student Number],YES_Writing_FLA[Student Number]),0),MATCH(VLOOKUP(F$7,'Writing Logic'!$J$7:$K$11,2,FALSE)&amp;" - Per "&amp;VLOOKUP($C$4,'Writing Logic'!$G$8:$H$14,2,FALSE),YES_Writing_ELA[#Headers],0)))),"")</f>
        <v/>
      </c>
      <c r="G149" s="138" t="str">
        <f>IFERROR(IF(IF(INDEX(_xlfn.VSTACK(YES_Writing_ELA[#Data],YES_Writing_FLA[#Data]),MATCH($A149,_xlfn.VSTACK(YES_Writing_ELA[Student Number],YES_Writing_FLA[Student Number]),0),MATCH(VLOOKUP(G$7,'Writing Logic'!$J$7:$K$11,2,FALSE)&amp;" - Per "&amp;VLOOKUP($C$4,'Writing Logic'!$G$8:$H$14,2,FALSE),YES_Writing_ELA[#Headers],0))=0,"",INDEX(_xlfn.VSTACK(YES_Writing_ELA[#Data],YES_Writing_FLA[#Data]),MATCH($A149,_xlfn.VSTACK(YES_Writing_ELA[Student Number],YES_Writing_FLA[Student Number]),0),MATCH(VLOOKUP(G$7,'Writing Logic'!$J$7:$K$11,2,FALSE)&amp;" - Per "&amp;VLOOKUP($C$4,'Writing Logic'!$G$8:$H$14,2,FALSE),YES_Writing_ELA[#Headers],0)))="INS",'Writing Logic'!$B$7,IF(INDEX(_xlfn.VSTACK(YES_Writing_ELA[#Data],YES_Writing_FLA[#Data]),MATCH($A149,_xlfn.VSTACK(YES_Writing_ELA[Student Number],YES_Writing_FLA[Student Number]),0),MATCH(VLOOKUP(G$7,'Writing Logic'!$J$7:$K$11,2,FALSE)&amp;" - Per "&amp;VLOOKUP($C$4,'Writing Logic'!$G$8:$H$14,2,FALSE),YES_Writing_ELA[#Headers],0))=0,"",INDEX(_xlfn.VSTACK(YES_Writing_ELA[#Data],YES_Writing_FLA[#Data]),MATCH($A149,_xlfn.VSTACK(YES_Writing_ELA[Student Number],YES_Writing_FLA[Student Number]),0),MATCH(VLOOKUP(G$7,'Writing Logic'!$J$7:$K$11,2,FALSE)&amp;" - Per "&amp;VLOOKUP($C$4,'Writing Logic'!$G$8:$H$14,2,FALSE),YES_Writing_ELA[#Headers],0)))),"")</f>
        <v/>
      </c>
      <c r="H149" s="223" t="str">
        <f>IFERROR(IF(IF(INDEX(_xlfn.VSTACK(YES_Writing_ELA[#Data],YES_Writing_FLA[#Data]),MATCH($A149,_xlfn.VSTACK(YES_Writing_ELA[Student Number],YES_Writing_FLA[Student Number]),0),MATCH(VLOOKUP(H$7,'Writing Logic'!$J$7:$K$11,2,FALSE)&amp;" - Per "&amp;VLOOKUP($C$4,'Writing Logic'!$G$8:$H$14,2,FALSE),YES_Writing_ELA[#Headers],0))=0,"",INDEX(_xlfn.VSTACK(YES_Writing_ELA[#Data],YES_Writing_FLA[#Data]),MATCH($A149,_xlfn.VSTACK(YES_Writing_ELA[Student Number],YES_Writing_FLA[Student Number]),0),MATCH(VLOOKUP(H$7,'Writing Logic'!$J$7:$K$11,2,FALSE)&amp;" - Per "&amp;VLOOKUP($C$4,'Writing Logic'!$G$8:$H$14,2,FALSE),YES_Writing_ELA[#Headers],0)))="INS",'Writing Logic'!$B$7,IF(INDEX(_xlfn.VSTACK(YES_Writing_ELA[#Data],YES_Writing_FLA[#Data]),MATCH($A149,_xlfn.VSTACK(YES_Writing_ELA[Student Number],YES_Writing_FLA[Student Number]),0),MATCH(VLOOKUP(H$7,'Writing Logic'!$J$7:$K$11,2,FALSE)&amp;" - Per "&amp;VLOOKUP($C$4,'Writing Logic'!$G$8:$H$14,2,FALSE),YES_Writing_ELA[#Headers],0))=0,"",INDEX(_xlfn.VSTACK(YES_Writing_ELA[#Data],YES_Writing_FLA[#Data]),MATCH($A149,_xlfn.VSTACK(YES_Writing_ELA[Student Number],YES_Writing_FLA[Student Number]),0),MATCH(VLOOKUP(H$7,'Writing Logic'!$J$7:$K$11,2,FALSE)&amp;" - Per "&amp;VLOOKUP($C$4,'Writing Logic'!$G$8:$H$14,2,FALSE),YES_Writing_ELA[#Headers],0)))),"")</f>
        <v/>
      </c>
      <c r="I149" s="224" t="str" cm="1">
        <f t="array" aca="1" ref="I149" ca="1">IFERROR(
IF($G$3="ELA",
IF(VLOOKUP($A149, YES_Reading_ELA[], COLUMN(INDIRECT("YES_Reading_ELA[Difference - Per "&amp;VLOOKUP($G$4, 'Reading Report Logic'!$A$2:$B$8, 2, FALSE)&amp;"]")), FALSE)="", "",
VLOOKUP($A149,YES_Reading_ELA[], COLUMN(INDIRECT("YES_Reading_ELA[Difference - Per "&amp;VLOOKUP($G$4,'Reading Report Logic'!$A$2:$B$8,2,FALSE)&amp;"]")), FALSE)),
IF($G$3="FLA",
IF(VLOOKUP($A149, YES_Reading_FLA[], COLUMN(INDIRECT("YES_Reading_FLA[Difference - Per "&amp;VLOOKUP($G$4,'Reading Report Logic'!$A$2:$B$8,2,FALSE)&amp;"]")),FALSE)="","",
VLOOKUP($A149,YES_Reading_FLA[],COLUMN(INDIRECT("YES_Reading_FLA[Difference - Per "&amp;VLOOKUP($G$4,'Reading Report Logic'!$A$2:$B$8,2,FALSE)&amp;"]")),FALSE)),
IF($G$3="Combined",
IFERROR(
IF(VLOOKUP($A149, YES_Reading_ELA[], COLUMN(INDIRECT("YES_Reading_ELA[Difference - Per "&amp;VLOOKUP($G$4, 'Reading Report Logic'!$A$2:$B$8,2,FALSE)&amp;"]")), FALSE)="", "",
VLOOKUP($A149,YES_Reading_ELA[],COLUMN(INDIRECT("YES_Reading_ELA[Difference - Per "&amp;VLOOKUP($G$4,'Reading Report Logic'!$A$2:$B$8,2,FALSE)&amp;"]")),FALSE)),
IF(VLOOKUP($A149, YES_Reading_FLA[], COLUMN(INDIRECT("YES_Reading_FLA[Difference - Per "&amp;VLOOKUP($G$4, 'Reading Report Logic'!$A$2:$B$8, 2, FALSE)&amp;"]")),FALSE)="", "", VLOOKUP($A149,YES_Reading_FLA[],COLUMN(INDIRECT("YES_Reading_FLA[Difference - Per "&amp;VLOOKUP($G$4, 'Reading Report Logic'!$A$2:$B$8, 2, FALSE)&amp;"]")),FALSE))),""))),"")</f>
        <v/>
      </c>
    </row>
    <row r="150" spans="1:9" ht="14.25" customHeight="1" x14ac:dyDescent="0.25">
      <c r="A150" s="137"/>
      <c r="B150" s="137" t="str">
        <f>IFERROR(INDEX(_xlfn.VSTACK(YES_Writing_ELA[#Data], YES_Writing_FLA[#Data]),MATCH($A150,_xlfn.VSTACK(YES_Writing_ELA[Student Number], YES_Writing_FLA[Student Number]),0),MATCH(B$7,YES_Writing_ELA[#Headers],0)),IFERROR(INDEX(_xlfn.VSTACK(YES_Reading_ELA[#Data], YES_Reading_FLA[#Data]),MATCH($A150,_xlfn.VSTACK(YES_Reading_ELA[Student Number], YES_Reading_FLA[Student Number]),0),MATCH(B$7,YES_Reading_ELA[#Headers],0)),""))</f>
        <v/>
      </c>
      <c r="C150" s="137" t="str">
        <f>IFERROR(INDEX(_xlfn.VSTACK(YES_Writing_ELA[#Data], YES_Writing_FLA[#Data]),MATCH($A150,_xlfn.VSTACK(YES_Writing_ELA[Student Number], YES_Writing_FLA[Student Number]),0),MATCH(C$7,YES_Writing_ELA[#Headers],0)),IFERROR(INDEX(_xlfn.VSTACK(YES_Reading_ELA[#Data], YES_Reading_FLA[#Data]),MATCH($A150,_xlfn.VSTACK(YES_Reading_ELA[Student Number], YES_Reading_FLA[Student Number]),0),MATCH(C$7,YES_Reading_ELA[#Headers],0)),""))</f>
        <v/>
      </c>
      <c r="D150" s="138" t="str">
        <f>IFERROR(IF(IF(INDEX(_xlfn.VSTACK(YES_Writing_ELA[#Data],YES_Writing_FLA[#Data]),MATCH($A150,_xlfn.VSTACK(YES_Writing_ELA[Student Number],YES_Writing_FLA[Student Number]),0),MATCH(VLOOKUP(D$7,'Writing Logic'!$J$7:$K$11,2,FALSE)&amp;" - Per "&amp;VLOOKUP($C$4,'Writing Logic'!$G$8:$H$14,2,FALSE),YES_Writing_ELA[#Headers],0))=0,"",INDEX(_xlfn.VSTACK(YES_Writing_ELA[#Data],YES_Writing_FLA[#Data]),MATCH($A150,_xlfn.VSTACK(YES_Writing_ELA[Student Number],YES_Writing_FLA[Student Number]),0),MATCH(VLOOKUP(D$7,'Writing Logic'!$J$7:$K$11,2,FALSE)&amp;" - Per "&amp;VLOOKUP($C$4,'Writing Logic'!$G$8:$H$14,2,FALSE),YES_Writing_ELA[#Headers],0)))="INS",'Writing Logic'!$B$7,IF(INDEX(_xlfn.VSTACK(YES_Writing_ELA[#Data],YES_Writing_FLA[#Data]),MATCH($A150,_xlfn.VSTACK(YES_Writing_ELA[Student Number],YES_Writing_FLA[Student Number]),0),MATCH(VLOOKUP(D$7,'Writing Logic'!$J$7:$K$11,2,FALSE)&amp;" - Per "&amp;VLOOKUP($C$4,'Writing Logic'!$G$8:$H$14,2,FALSE),YES_Writing_ELA[#Headers],0))=0,"",INDEX(_xlfn.VSTACK(YES_Writing_ELA[#Data],YES_Writing_FLA[#Data]),MATCH($A150,_xlfn.VSTACK(YES_Writing_ELA[Student Number],YES_Writing_FLA[Student Number]),0),MATCH(VLOOKUP(D$7,'Writing Logic'!$J$7:$K$11,2,FALSE)&amp;" - Per "&amp;VLOOKUP($C$4,'Writing Logic'!$G$8:$H$14,2,FALSE),YES_Writing_ELA[#Headers],0)))),"")</f>
        <v/>
      </c>
      <c r="E150" s="138" t="str">
        <f>IFERROR(IF(IF(INDEX(_xlfn.VSTACK(YES_Writing_ELA[#Data],YES_Writing_FLA[#Data]),MATCH($A150,_xlfn.VSTACK(YES_Writing_ELA[Student Number],YES_Writing_FLA[Student Number]),0),MATCH(VLOOKUP(E$7,'Writing Logic'!$J$7:$K$11,2,FALSE)&amp;" - Per "&amp;VLOOKUP($C$4,'Writing Logic'!$G$8:$H$14,2,FALSE),YES_Writing_ELA[#Headers],0))=0,"",INDEX(_xlfn.VSTACK(YES_Writing_ELA[#Data],YES_Writing_FLA[#Data]),MATCH($A150,_xlfn.VSTACK(YES_Writing_ELA[Student Number],YES_Writing_FLA[Student Number]),0),MATCH(VLOOKUP(E$7,'Writing Logic'!$J$7:$K$11,2,FALSE)&amp;" - Per "&amp;VLOOKUP($C$4,'Writing Logic'!$G$8:$H$14,2,FALSE),YES_Writing_ELA[#Headers],0)))="INS",'Writing Logic'!$B$7,IF(INDEX(_xlfn.VSTACK(YES_Writing_ELA[#Data],YES_Writing_FLA[#Data]),MATCH($A150,_xlfn.VSTACK(YES_Writing_ELA[Student Number],YES_Writing_FLA[Student Number]),0),MATCH(VLOOKUP(E$7,'Writing Logic'!$J$7:$K$11,2,FALSE)&amp;" - Per "&amp;VLOOKUP($C$4,'Writing Logic'!$G$8:$H$14,2,FALSE),YES_Writing_ELA[#Headers],0))=0,"",INDEX(_xlfn.VSTACK(YES_Writing_ELA[#Data],YES_Writing_FLA[#Data]),MATCH($A150,_xlfn.VSTACK(YES_Writing_ELA[Student Number],YES_Writing_FLA[Student Number]),0),MATCH(VLOOKUP(E$7,'Writing Logic'!$J$7:$K$11,2,FALSE)&amp;" - Per "&amp;VLOOKUP($C$4,'Writing Logic'!$G$8:$H$14,2,FALSE),YES_Writing_ELA[#Headers],0)))),"")</f>
        <v/>
      </c>
      <c r="F150" s="138" t="str">
        <f>IFERROR(IF(IF(INDEX(_xlfn.VSTACK(YES_Writing_ELA[#Data],YES_Writing_FLA[#Data]),MATCH($A150,_xlfn.VSTACK(YES_Writing_ELA[Student Number],YES_Writing_FLA[Student Number]),0),MATCH(VLOOKUP(F$7,'Writing Logic'!$J$7:$K$11,2,FALSE)&amp;" - Per "&amp;VLOOKUP($C$4,'Writing Logic'!$G$8:$H$14,2,FALSE),YES_Writing_ELA[#Headers],0))=0,"",INDEX(_xlfn.VSTACK(YES_Writing_ELA[#Data],YES_Writing_FLA[#Data]),MATCH($A150,_xlfn.VSTACK(YES_Writing_ELA[Student Number],YES_Writing_FLA[Student Number]),0),MATCH(VLOOKUP(F$7,'Writing Logic'!$J$7:$K$11,2,FALSE)&amp;" - Per "&amp;VLOOKUP($C$4,'Writing Logic'!$G$8:$H$14,2,FALSE),YES_Writing_ELA[#Headers],0)))="INS",'Writing Logic'!$B$7,IF(INDEX(_xlfn.VSTACK(YES_Writing_ELA[#Data],YES_Writing_FLA[#Data]),MATCH($A150,_xlfn.VSTACK(YES_Writing_ELA[Student Number],YES_Writing_FLA[Student Number]),0),MATCH(VLOOKUP(F$7,'Writing Logic'!$J$7:$K$11,2,FALSE)&amp;" - Per "&amp;VLOOKUP($C$4,'Writing Logic'!$G$8:$H$14,2,FALSE),YES_Writing_ELA[#Headers],0))=0,"",INDEX(_xlfn.VSTACK(YES_Writing_ELA[#Data],YES_Writing_FLA[#Data]),MATCH($A150,_xlfn.VSTACK(YES_Writing_ELA[Student Number],YES_Writing_FLA[Student Number]),0),MATCH(VLOOKUP(F$7,'Writing Logic'!$J$7:$K$11,2,FALSE)&amp;" - Per "&amp;VLOOKUP($C$4,'Writing Logic'!$G$8:$H$14,2,FALSE),YES_Writing_ELA[#Headers],0)))),"")</f>
        <v/>
      </c>
      <c r="G150" s="138" t="str">
        <f>IFERROR(IF(IF(INDEX(_xlfn.VSTACK(YES_Writing_ELA[#Data],YES_Writing_FLA[#Data]),MATCH($A150,_xlfn.VSTACK(YES_Writing_ELA[Student Number],YES_Writing_FLA[Student Number]),0),MATCH(VLOOKUP(G$7,'Writing Logic'!$J$7:$K$11,2,FALSE)&amp;" - Per "&amp;VLOOKUP($C$4,'Writing Logic'!$G$8:$H$14,2,FALSE),YES_Writing_ELA[#Headers],0))=0,"",INDEX(_xlfn.VSTACK(YES_Writing_ELA[#Data],YES_Writing_FLA[#Data]),MATCH($A150,_xlfn.VSTACK(YES_Writing_ELA[Student Number],YES_Writing_FLA[Student Number]),0),MATCH(VLOOKUP(G$7,'Writing Logic'!$J$7:$K$11,2,FALSE)&amp;" - Per "&amp;VLOOKUP($C$4,'Writing Logic'!$G$8:$H$14,2,FALSE),YES_Writing_ELA[#Headers],0)))="INS",'Writing Logic'!$B$7,IF(INDEX(_xlfn.VSTACK(YES_Writing_ELA[#Data],YES_Writing_FLA[#Data]),MATCH($A150,_xlfn.VSTACK(YES_Writing_ELA[Student Number],YES_Writing_FLA[Student Number]),0),MATCH(VLOOKUP(G$7,'Writing Logic'!$J$7:$K$11,2,FALSE)&amp;" - Per "&amp;VLOOKUP($C$4,'Writing Logic'!$G$8:$H$14,2,FALSE),YES_Writing_ELA[#Headers],0))=0,"",INDEX(_xlfn.VSTACK(YES_Writing_ELA[#Data],YES_Writing_FLA[#Data]),MATCH($A150,_xlfn.VSTACK(YES_Writing_ELA[Student Number],YES_Writing_FLA[Student Number]),0),MATCH(VLOOKUP(G$7,'Writing Logic'!$J$7:$K$11,2,FALSE)&amp;" - Per "&amp;VLOOKUP($C$4,'Writing Logic'!$G$8:$H$14,2,FALSE),YES_Writing_ELA[#Headers],0)))),"")</f>
        <v/>
      </c>
      <c r="H150" s="223" t="str">
        <f>IFERROR(IF(IF(INDEX(_xlfn.VSTACK(YES_Writing_ELA[#Data],YES_Writing_FLA[#Data]),MATCH($A150,_xlfn.VSTACK(YES_Writing_ELA[Student Number],YES_Writing_FLA[Student Number]),0),MATCH(VLOOKUP(H$7,'Writing Logic'!$J$7:$K$11,2,FALSE)&amp;" - Per "&amp;VLOOKUP($C$4,'Writing Logic'!$G$8:$H$14,2,FALSE),YES_Writing_ELA[#Headers],0))=0,"",INDEX(_xlfn.VSTACK(YES_Writing_ELA[#Data],YES_Writing_FLA[#Data]),MATCH($A150,_xlfn.VSTACK(YES_Writing_ELA[Student Number],YES_Writing_FLA[Student Number]),0),MATCH(VLOOKUP(H$7,'Writing Logic'!$J$7:$K$11,2,FALSE)&amp;" - Per "&amp;VLOOKUP($C$4,'Writing Logic'!$G$8:$H$14,2,FALSE),YES_Writing_ELA[#Headers],0)))="INS",'Writing Logic'!$B$7,IF(INDEX(_xlfn.VSTACK(YES_Writing_ELA[#Data],YES_Writing_FLA[#Data]),MATCH($A150,_xlfn.VSTACK(YES_Writing_ELA[Student Number],YES_Writing_FLA[Student Number]),0),MATCH(VLOOKUP(H$7,'Writing Logic'!$J$7:$K$11,2,FALSE)&amp;" - Per "&amp;VLOOKUP($C$4,'Writing Logic'!$G$8:$H$14,2,FALSE),YES_Writing_ELA[#Headers],0))=0,"",INDEX(_xlfn.VSTACK(YES_Writing_ELA[#Data],YES_Writing_FLA[#Data]),MATCH($A150,_xlfn.VSTACK(YES_Writing_ELA[Student Number],YES_Writing_FLA[Student Number]),0),MATCH(VLOOKUP(H$7,'Writing Logic'!$J$7:$K$11,2,FALSE)&amp;" - Per "&amp;VLOOKUP($C$4,'Writing Logic'!$G$8:$H$14,2,FALSE),YES_Writing_ELA[#Headers],0)))),"")</f>
        <v/>
      </c>
      <c r="I150" s="224" t="str" cm="1">
        <f t="array" aca="1" ref="I150" ca="1">IFERROR(
IF($G$3="ELA",
IF(VLOOKUP($A150, YES_Reading_ELA[], COLUMN(INDIRECT("YES_Reading_ELA[Difference - Per "&amp;VLOOKUP($G$4, 'Reading Report Logic'!$A$2:$B$8, 2, FALSE)&amp;"]")), FALSE)="", "",
VLOOKUP($A150,YES_Reading_ELA[], COLUMN(INDIRECT("YES_Reading_ELA[Difference - Per "&amp;VLOOKUP($G$4,'Reading Report Logic'!$A$2:$B$8,2,FALSE)&amp;"]")), FALSE)),
IF($G$3="FLA",
IF(VLOOKUP($A150, YES_Reading_FLA[], COLUMN(INDIRECT("YES_Reading_FLA[Difference - Per "&amp;VLOOKUP($G$4,'Reading Report Logic'!$A$2:$B$8,2,FALSE)&amp;"]")),FALSE)="","",
VLOOKUP($A150,YES_Reading_FLA[],COLUMN(INDIRECT("YES_Reading_FLA[Difference - Per "&amp;VLOOKUP($G$4,'Reading Report Logic'!$A$2:$B$8,2,FALSE)&amp;"]")),FALSE)),
IF($G$3="Combined",
IFERROR(
IF(VLOOKUP($A150, YES_Reading_ELA[], COLUMN(INDIRECT("YES_Reading_ELA[Difference - Per "&amp;VLOOKUP($G$4, 'Reading Report Logic'!$A$2:$B$8,2,FALSE)&amp;"]")), FALSE)="", "",
VLOOKUP($A150,YES_Reading_ELA[],COLUMN(INDIRECT("YES_Reading_ELA[Difference - Per "&amp;VLOOKUP($G$4,'Reading Report Logic'!$A$2:$B$8,2,FALSE)&amp;"]")),FALSE)),
IF(VLOOKUP($A150, YES_Reading_FLA[], COLUMN(INDIRECT("YES_Reading_FLA[Difference - Per "&amp;VLOOKUP($G$4, 'Reading Report Logic'!$A$2:$B$8, 2, FALSE)&amp;"]")),FALSE)="", "", VLOOKUP($A150,YES_Reading_FLA[],COLUMN(INDIRECT("YES_Reading_FLA[Difference - Per "&amp;VLOOKUP($G$4, 'Reading Report Logic'!$A$2:$B$8, 2, FALSE)&amp;"]")),FALSE))),""))),"")</f>
        <v/>
      </c>
    </row>
    <row r="151" spans="1:9" ht="14.25" customHeight="1" x14ac:dyDescent="0.25">
      <c r="A151" s="137"/>
      <c r="B151" s="137" t="str">
        <f>IFERROR(INDEX(_xlfn.VSTACK(YES_Writing_ELA[#Data], YES_Writing_FLA[#Data]),MATCH($A151,_xlfn.VSTACK(YES_Writing_ELA[Student Number], YES_Writing_FLA[Student Number]),0),MATCH(B$7,YES_Writing_ELA[#Headers],0)),IFERROR(INDEX(_xlfn.VSTACK(YES_Reading_ELA[#Data], YES_Reading_FLA[#Data]),MATCH($A151,_xlfn.VSTACK(YES_Reading_ELA[Student Number], YES_Reading_FLA[Student Number]),0),MATCH(B$7,YES_Reading_ELA[#Headers],0)),""))</f>
        <v/>
      </c>
      <c r="C151" s="137" t="str">
        <f>IFERROR(INDEX(_xlfn.VSTACK(YES_Writing_ELA[#Data], YES_Writing_FLA[#Data]),MATCH($A151,_xlfn.VSTACK(YES_Writing_ELA[Student Number], YES_Writing_FLA[Student Number]),0),MATCH(C$7,YES_Writing_ELA[#Headers],0)),IFERROR(INDEX(_xlfn.VSTACK(YES_Reading_ELA[#Data], YES_Reading_FLA[#Data]),MATCH($A151,_xlfn.VSTACK(YES_Reading_ELA[Student Number], YES_Reading_FLA[Student Number]),0),MATCH(C$7,YES_Reading_ELA[#Headers],0)),""))</f>
        <v/>
      </c>
      <c r="D151" s="138" t="str">
        <f>IFERROR(IF(IF(INDEX(_xlfn.VSTACK(YES_Writing_ELA[#Data],YES_Writing_FLA[#Data]),MATCH($A151,_xlfn.VSTACK(YES_Writing_ELA[Student Number],YES_Writing_FLA[Student Number]),0),MATCH(VLOOKUP(D$7,'Writing Logic'!$J$7:$K$11,2,FALSE)&amp;" - Per "&amp;VLOOKUP($C$4,'Writing Logic'!$G$8:$H$14,2,FALSE),YES_Writing_ELA[#Headers],0))=0,"",INDEX(_xlfn.VSTACK(YES_Writing_ELA[#Data],YES_Writing_FLA[#Data]),MATCH($A151,_xlfn.VSTACK(YES_Writing_ELA[Student Number],YES_Writing_FLA[Student Number]),0),MATCH(VLOOKUP(D$7,'Writing Logic'!$J$7:$K$11,2,FALSE)&amp;" - Per "&amp;VLOOKUP($C$4,'Writing Logic'!$G$8:$H$14,2,FALSE),YES_Writing_ELA[#Headers],0)))="INS",'Writing Logic'!$B$7,IF(INDEX(_xlfn.VSTACK(YES_Writing_ELA[#Data],YES_Writing_FLA[#Data]),MATCH($A151,_xlfn.VSTACK(YES_Writing_ELA[Student Number],YES_Writing_FLA[Student Number]),0),MATCH(VLOOKUP(D$7,'Writing Logic'!$J$7:$K$11,2,FALSE)&amp;" - Per "&amp;VLOOKUP($C$4,'Writing Logic'!$G$8:$H$14,2,FALSE),YES_Writing_ELA[#Headers],0))=0,"",INDEX(_xlfn.VSTACK(YES_Writing_ELA[#Data],YES_Writing_FLA[#Data]),MATCH($A151,_xlfn.VSTACK(YES_Writing_ELA[Student Number],YES_Writing_FLA[Student Number]),0),MATCH(VLOOKUP(D$7,'Writing Logic'!$J$7:$K$11,2,FALSE)&amp;" - Per "&amp;VLOOKUP($C$4,'Writing Logic'!$G$8:$H$14,2,FALSE),YES_Writing_ELA[#Headers],0)))),"")</f>
        <v/>
      </c>
      <c r="E151" s="138" t="str">
        <f>IFERROR(IF(IF(INDEX(_xlfn.VSTACK(YES_Writing_ELA[#Data],YES_Writing_FLA[#Data]),MATCH($A151,_xlfn.VSTACK(YES_Writing_ELA[Student Number],YES_Writing_FLA[Student Number]),0),MATCH(VLOOKUP(E$7,'Writing Logic'!$J$7:$K$11,2,FALSE)&amp;" - Per "&amp;VLOOKUP($C$4,'Writing Logic'!$G$8:$H$14,2,FALSE),YES_Writing_ELA[#Headers],0))=0,"",INDEX(_xlfn.VSTACK(YES_Writing_ELA[#Data],YES_Writing_FLA[#Data]),MATCH($A151,_xlfn.VSTACK(YES_Writing_ELA[Student Number],YES_Writing_FLA[Student Number]),0),MATCH(VLOOKUP(E$7,'Writing Logic'!$J$7:$K$11,2,FALSE)&amp;" - Per "&amp;VLOOKUP($C$4,'Writing Logic'!$G$8:$H$14,2,FALSE),YES_Writing_ELA[#Headers],0)))="INS",'Writing Logic'!$B$7,IF(INDEX(_xlfn.VSTACK(YES_Writing_ELA[#Data],YES_Writing_FLA[#Data]),MATCH($A151,_xlfn.VSTACK(YES_Writing_ELA[Student Number],YES_Writing_FLA[Student Number]),0),MATCH(VLOOKUP(E$7,'Writing Logic'!$J$7:$K$11,2,FALSE)&amp;" - Per "&amp;VLOOKUP($C$4,'Writing Logic'!$G$8:$H$14,2,FALSE),YES_Writing_ELA[#Headers],0))=0,"",INDEX(_xlfn.VSTACK(YES_Writing_ELA[#Data],YES_Writing_FLA[#Data]),MATCH($A151,_xlfn.VSTACK(YES_Writing_ELA[Student Number],YES_Writing_FLA[Student Number]),0),MATCH(VLOOKUP(E$7,'Writing Logic'!$J$7:$K$11,2,FALSE)&amp;" - Per "&amp;VLOOKUP($C$4,'Writing Logic'!$G$8:$H$14,2,FALSE),YES_Writing_ELA[#Headers],0)))),"")</f>
        <v/>
      </c>
      <c r="F151" s="138" t="str">
        <f>IFERROR(IF(IF(INDEX(_xlfn.VSTACK(YES_Writing_ELA[#Data],YES_Writing_FLA[#Data]),MATCH($A151,_xlfn.VSTACK(YES_Writing_ELA[Student Number],YES_Writing_FLA[Student Number]),0),MATCH(VLOOKUP(F$7,'Writing Logic'!$J$7:$K$11,2,FALSE)&amp;" - Per "&amp;VLOOKUP($C$4,'Writing Logic'!$G$8:$H$14,2,FALSE),YES_Writing_ELA[#Headers],0))=0,"",INDEX(_xlfn.VSTACK(YES_Writing_ELA[#Data],YES_Writing_FLA[#Data]),MATCH($A151,_xlfn.VSTACK(YES_Writing_ELA[Student Number],YES_Writing_FLA[Student Number]),0),MATCH(VLOOKUP(F$7,'Writing Logic'!$J$7:$K$11,2,FALSE)&amp;" - Per "&amp;VLOOKUP($C$4,'Writing Logic'!$G$8:$H$14,2,FALSE),YES_Writing_ELA[#Headers],0)))="INS",'Writing Logic'!$B$7,IF(INDEX(_xlfn.VSTACK(YES_Writing_ELA[#Data],YES_Writing_FLA[#Data]),MATCH($A151,_xlfn.VSTACK(YES_Writing_ELA[Student Number],YES_Writing_FLA[Student Number]),0),MATCH(VLOOKUP(F$7,'Writing Logic'!$J$7:$K$11,2,FALSE)&amp;" - Per "&amp;VLOOKUP($C$4,'Writing Logic'!$G$8:$H$14,2,FALSE),YES_Writing_ELA[#Headers],0))=0,"",INDEX(_xlfn.VSTACK(YES_Writing_ELA[#Data],YES_Writing_FLA[#Data]),MATCH($A151,_xlfn.VSTACK(YES_Writing_ELA[Student Number],YES_Writing_FLA[Student Number]),0),MATCH(VLOOKUP(F$7,'Writing Logic'!$J$7:$K$11,2,FALSE)&amp;" - Per "&amp;VLOOKUP($C$4,'Writing Logic'!$G$8:$H$14,2,FALSE),YES_Writing_ELA[#Headers],0)))),"")</f>
        <v/>
      </c>
      <c r="G151" s="138" t="str">
        <f>IFERROR(IF(IF(INDEX(_xlfn.VSTACK(YES_Writing_ELA[#Data],YES_Writing_FLA[#Data]),MATCH($A151,_xlfn.VSTACK(YES_Writing_ELA[Student Number],YES_Writing_FLA[Student Number]),0),MATCH(VLOOKUP(G$7,'Writing Logic'!$J$7:$K$11,2,FALSE)&amp;" - Per "&amp;VLOOKUP($C$4,'Writing Logic'!$G$8:$H$14,2,FALSE),YES_Writing_ELA[#Headers],0))=0,"",INDEX(_xlfn.VSTACK(YES_Writing_ELA[#Data],YES_Writing_FLA[#Data]),MATCH($A151,_xlfn.VSTACK(YES_Writing_ELA[Student Number],YES_Writing_FLA[Student Number]),0),MATCH(VLOOKUP(G$7,'Writing Logic'!$J$7:$K$11,2,FALSE)&amp;" - Per "&amp;VLOOKUP($C$4,'Writing Logic'!$G$8:$H$14,2,FALSE),YES_Writing_ELA[#Headers],0)))="INS",'Writing Logic'!$B$7,IF(INDEX(_xlfn.VSTACK(YES_Writing_ELA[#Data],YES_Writing_FLA[#Data]),MATCH($A151,_xlfn.VSTACK(YES_Writing_ELA[Student Number],YES_Writing_FLA[Student Number]),0),MATCH(VLOOKUP(G$7,'Writing Logic'!$J$7:$K$11,2,FALSE)&amp;" - Per "&amp;VLOOKUP($C$4,'Writing Logic'!$G$8:$H$14,2,FALSE),YES_Writing_ELA[#Headers],0))=0,"",INDEX(_xlfn.VSTACK(YES_Writing_ELA[#Data],YES_Writing_FLA[#Data]),MATCH($A151,_xlfn.VSTACK(YES_Writing_ELA[Student Number],YES_Writing_FLA[Student Number]),0),MATCH(VLOOKUP(G$7,'Writing Logic'!$J$7:$K$11,2,FALSE)&amp;" - Per "&amp;VLOOKUP($C$4,'Writing Logic'!$G$8:$H$14,2,FALSE),YES_Writing_ELA[#Headers],0)))),"")</f>
        <v/>
      </c>
      <c r="H151" s="223" t="str">
        <f>IFERROR(IF(IF(INDEX(_xlfn.VSTACK(YES_Writing_ELA[#Data],YES_Writing_FLA[#Data]),MATCH($A151,_xlfn.VSTACK(YES_Writing_ELA[Student Number],YES_Writing_FLA[Student Number]),0),MATCH(VLOOKUP(H$7,'Writing Logic'!$J$7:$K$11,2,FALSE)&amp;" - Per "&amp;VLOOKUP($C$4,'Writing Logic'!$G$8:$H$14,2,FALSE),YES_Writing_ELA[#Headers],0))=0,"",INDEX(_xlfn.VSTACK(YES_Writing_ELA[#Data],YES_Writing_FLA[#Data]),MATCH($A151,_xlfn.VSTACK(YES_Writing_ELA[Student Number],YES_Writing_FLA[Student Number]),0),MATCH(VLOOKUP(H$7,'Writing Logic'!$J$7:$K$11,2,FALSE)&amp;" - Per "&amp;VLOOKUP($C$4,'Writing Logic'!$G$8:$H$14,2,FALSE),YES_Writing_ELA[#Headers],0)))="INS",'Writing Logic'!$B$7,IF(INDEX(_xlfn.VSTACK(YES_Writing_ELA[#Data],YES_Writing_FLA[#Data]),MATCH($A151,_xlfn.VSTACK(YES_Writing_ELA[Student Number],YES_Writing_FLA[Student Number]),0),MATCH(VLOOKUP(H$7,'Writing Logic'!$J$7:$K$11,2,FALSE)&amp;" - Per "&amp;VLOOKUP($C$4,'Writing Logic'!$G$8:$H$14,2,FALSE),YES_Writing_ELA[#Headers],0))=0,"",INDEX(_xlfn.VSTACK(YES_Writing_ELA[#Data],YES_Writing_FLA[#Data]),MATCH($A151,_xlfn.VSTACK(YES_Writing_ELA[Student Number],YES_Writing_FLA[Student Number]),0),MATCH(VLOOKUP(H$7,'Writing Logic'!$J$7:$K$11,2,FALSE)&amp;" - Per "&amp;VLOOKUP($C$4,'Writing Logic'!$G$8:$H$14,2,FALSE),YES_Writing_ELA[#Headers],0)))),"")</f>
        <v/>
      </c>
      <c r="I151" s="224" t="str" cm="1">
        <f t="array" aca="1" ref="I151" ca="1">IFERROR(
IF($G$3="ELA",
IF(VLOOKUP($A151, YES_Reading_ELA[], COLUMN(INDIRECT("YES_Reading_ELA[Difference - Per "&amp;VLOOKUP($G$4, 'Reading Report Logic'!$A$2:$B$8, 2, FALSE)&amp;"]")), FALSE)="", "",
VLOOKUP($A151,YES_Reading_ELA[], COLUMN(INDIRECT("YES_Reading_ELA[Difference - Per "&amp;VLOOKUP($G$4,'Reading Report Logic'!$A$2:$B$8,2,FALSE)&amp;"]")), FALSE)),
IF($G$3="FLA",
IF(VLOOKUP($A151, YES_Reading_FLA[], COLUMN(INDIRECT("YES_Reading_FLA[Difference - Per "&amp;VLOOKUP($G$4,'Reading Report Logic'!$A$2:$B$8,2,FALSE)&amp;"]")),FALSE)="","",
VLOOKUP($A151,YES_Reading_FLA[],COLUMN(INDIRECT("YES_Reading_FLA[Difference - Per "&amp;VLOOKUP($G$4,'Reading Report Logic'!$A$2:$B$8,2,FALSE)&amp;"]")),FALSE)),
IF($G$3="Combined",
IFERROR(
IF(VLOOKUP($A151, YES_Reading_ELA[], COLUMN(INDIRECT("YES_Reading_ELA[Difference - Per "&amp;VLOOKUP($G$4, 'Reading Report Logic'!$A$2:$B$8,2,FALSE)&amp;"]")), FALSE)="", "",
VLOOKUP($A151,YES_Reading_ELA[],COLUMN(INDIRECT("YES_Reading_ELA[Difference - Per "&amp;VLOOKUP($G$4,'Reading Report Logic'!$A$2:$B$8,2,FALSE)&amp;"]")),FALSE)),
IF(VLOOKUP($A151, YES_Reading_FLA[], COLUMN(INDIRECT("YES_Reading_FLA[Difference - Per "&amp;VLOOKUP($G$4, 'Reading Report Logic'!$A$2:$B$8, 2, FALSE)&amp;"]")),FALSE)="", "", VLOOKUP($A151,YES_Reading_FLA[],COLUMN(INDIRECT("YES_Reading_FLA[Difference - Per "&amp;VLOOKUP($G$4, 'Reading Report Logic'!$A$2:$B$8, 2, FALSE)&amp;"]")),FALSE))),""))),"")</f>
        <v/>
      </c>
    </row>
    <row r="152" spans="1:9" ht="14.25" customHeight="1" x14ac:dyDescent="0.25">
      <c r="A152" s="137"/>
      <c r="B152" s="137" t="str">
        <f>IFERROR(INDEX(_xlfn.VSTACK(YES_Writing_ELA[#Data], YES_Writing_FLA[#Data]),MATCH($A152,_xlfn.VSTACK(YES_Writing_ELA[Student Number], YES_Writing_FLA[Student Number]),0),MATCH(B$7,YES_Writing_ELA[#Headers],0)),IFERROR(INDEX(_xlfn.VSTACK(YES_Reading_ELA[#Data], YES_Reading_FLA[#Data]),MATCH($A152,_xlfn.VSTACK(YES_Reading_ELA[Student Number], YES_Reading_FLA[Student Number]),0),MATCH(B$7,YES_Reading_ELA[#Headers],0)),""))</f>
        <v/>
      </c>
      <c r="C152" s="137" t="str">
        <f>IFERROR(INDEX(_xlfn.VSTACK(YES_Writing_ELA[#Data], YES_Writing_FLA[#Data]),MATCH($A152,_xlfn.VSTACK(YES_Writing_ELA[Student Number], YES_Writing_FLA[Student Number]),0),MATCH(C$7,YES_Writing_ELA[#Headers],0)),IFERROR(INDEX(_xlfn.VSTACK(YES_Reading_ELA[#Data], YES_Reading_FLA[#Data]),MATCH($A152,_xlfn.VSTACK(YES_Reading_ELA[Student Number], YES_Reading_FLA[Student Number]),0),MATCH(C$7,YES_Reading_ELA[#Headers],0)),""))</f>
        <v/>
      </c>
      <c r="D152" s="138" t="str">
        <f>IFERROR(IF(IF(INDEX(_xlfn.VSTACK(YES_Writing_ELA[#Data],YES_Writing_FLA[#Data]),MATCH($A152,_xlfn.VSTACK(YES_Writing_ELA[Student Number],YES_Writing_FLA[Student Number]),0),MATCH(VLOOKUP(D$7,'Writing Logic'!$J$7:$K$11,2,FALSE)&amp;" - Per "&amp;VLOOKUP($C$4,'Writing Logic'!$G$8:$H$14,2,FALSE),YES_Writing_ELA[#Headers],0))=0,"",INDEX(_xlfn.VSTACK(YES_Writing_ELA[#Data],YES_Writing_FLA[#Data]),MATCH($A152,_xlfn.VSTACK(YES_Writing_ELA[Student Number],YES_Writing_FLA[Student Number]),0),MATCH(VLOOKUP(D$7,'Writing Logic'!$J$7:$K$11,2,FALSE)&amp;" - Per "&amp;VLOOKUP($C$4,'Writing Logic'!$G$8:$H$14,2,FALSE),YES_Writing_ELA[#Headers],0)))="INS",'Writing Logic'!$B$7,IF(INDEX(_xlfn.VSTACK(YES_Writing_ELA[#Data],YES_Writing_FLA[#Data]),MATCH($A152,_xlfn.VSTACK(YES_Writing_ELA[Student Number],YES_Writing_FLA[Student Number]),0),MATCH(VLOOKUP(D$7,'Writing Logic'!$J$7:$K$11,2,FALSE)&amp;" - Per "&amp;VLOOKUP($C$4,'Writing Logic'!$G$8:$H$14,2,FALSE),YES_Writing_ELA[#Headers],0))=0,"",INDEX(_xlfn.VSTACK(YES_Writing_ELA[#Data],YES_Writing_FLA[#Data]),MATCH($A152,_xlfn.VSTACK(YES_Writing_ELA[Student Number],YES_Writing_FLA[Student Number]),0),MATCH(VLOOKUP(D$7,'Writing Logic'!$J$7:$K$11,2,FALSE)&amp;" - Per "&amp;VLOOKUP($C$4,'Writing Logic'!$G$8:$H$14,2,FALSE),YES_Writing_ELA[#Headers],0)))),"")</f>
        <v/>
      </c>
      <c r="E152" s="138" t="str">
        <f>IFERROR(IF(IF(INDEX(_xlfn.VSTACK(YES_Writing_ELA[#Data],YES_Writing_FLA[#Data]),MATCH($A152,_xlfn.VSTACK(YES_Writing_ELA[Student Number],YES_Writing_FLA[Student Number]),0),MATCH(VLOOKUP(E$7,'Writing Logic'!$J$7:$K$11,2,FALSE)&amp;" - Per "&amp;VLOOKUP($C$4,'Writing Logic'!$G$8:$H$14,2,FALSE),YES_Writing_ELA[#Headers],0))=0,"",INDEX(_xlfn.VSTACK(YES_Writing_ELA[#Data],YES_Writing_FLA[#Data]),MATCH($A152,_xlfn.VSTACK(YES_Writing_ELA[Student Number],YES_Writing_FLA[Student Number]),0),MATCH(VLOOKUP(E$7,'Writing Logic'!$J$7:$K$11,2,FALSE)&amp;" - Per "&amp;VLOOKUP($C$4,'Writing Logic'!$G$8:$H$14,2,FALSE),YES_Writing_ELA[#Headers],0)))="INS",'Writing Logic'!$B$7,IF(INDEX(_xlfn.VSTACK(YES_Writing_ELA[#Data],YES_Writing_FLA[#Data]),MATCH($A152,_xlfn.VSTACK(YES_Writing_ELA[Student Number],YES_Writing_FLA[Student Number]),0),MATCH(VLOOKUP(E$7,'Writing Logic'!$J$7:$K$11,2,FALSE)&amp;" - Per "&amp;VLOOKUP($C$4,'Writing Logic'!$G$8:$H$14,2,FALSE),YES_Writing_ELA[#Headers],0))=0,"",INDEX(_xlfn.VSTACK(YES_Writing_ELA[#Data],YES_Writing_FLA[#Data]),MATCH($A152,_xlfn.VSTACK(YES_Writing_ELA[Student Number],YES_Writing_FLA[Student Number]),0),MATCH(VLOOKUP(E$7,'Writing Logic'!$J$7:$K$11,2,FALSE)&amp;" - Per "&amp;VLOOKUP($C$4,'Writing Logic'!$G$8:$H$14,2,FALSE),YES_Writing_ELA[#Headers],0)))),"")</f>
        <v/>
      </c>
      <c r="F152" s="138" t="str">
        <f>IFERROR(IF(IF(INDEX(_xlfn.VSTACK(YES_Writing_ELA[#Data],YES_Writing_FLA[#Data]),MATCH($A152,_xlfn.VSTACK(YES_Writing_ELA[Student Number],YES_Writing_FLA[Student Number]),0),MATCH(VLOOKUP(F$7,'Writing Logic'!$J$7:$K$11,2,FALSE)&amp;" - Per "&amp;VLOOKUP($C$4,'Writing Logic'!$G$8:$H$14,2,FALSE),YES_Writing_ELA[#Headers],0))=0,"",INDEX(_xlfn.VSTACK(YES_Writing_ELA[#Data],YES_Writing_FLA[#Data]),MATCH($A152,_xlfn.VSTACK(YES_Writing_ELA[Student Number],YES_Writing_FLA[Student Number]),0),MATCH(VLOOKUP(F$7,'Writing Logic'!$J$7:$K$11,2,FALSE)&amp;" - Per "&amp;VLOOKUP($C$4,'Writing Logic'!$G$8:$H$14,2,FALSE),YES_Writing_ELA[#Headers],0)))="INS",'Writing Logic'!$B$7,IF(INDEX(_xlfn.VSTACK(YES_Writing_ELA[#Data],YES_Writing_FLA[#Data]),MATCH($A152,_xlfn.VSTACK(YES_Writing_ELA[Student Number],YES_Writing_FLA[Student Number]),0),MATCH(VLOOKUP(F$7,'Writing Logic'!$J$7:$K$11,2,FALSE)&amp;" - Per "&amp;VLOOKUP($C$4,'Writing Logic'!$G$8:$H$14,2,FALSE),YES_Writing_ELA[#Headers],0))=0,"",INDEX(_xlfn.VSTACK(YES_Writing_ELA[#Data],YES_Writing_FLA[#Data]),MATCH($A152,_xlfn.VSTACK(YES_Writing_ELA[Student Number],YES_Writing_FLA[Student Number]),0),MATCH(VLOOKUP(F$7,'Writing Logic'!$J$7:$K$11,2,FALSE)&amp;" - Per "&amp;VLOOKUP($C$4,'Writing Logic'!$G$8:$H$14,2,FALSE),YES_Writing_ELA[#Headers],0)))),"")</f>
        <v/>
      </c>
      <c r="G152" s="138" t="str">
        <f>IFERROR(IF(IF(INDEX(_xlfn.VSTACK(YES_Writing_ELA[#Data],YES_Writing_FLA[#Data]),MATCH($A152,_xlfn.VSTACK(YES_Writing_ELA[Student Number],YES_Writing_FLA[Student Number]),0),MATCH(VLOOKUP(G$7,'Writing Logic'!$J$7:$K$11,2,FALSE)&amp;" - Per "&amp;VLOOKUP($C$4,'Writing Logic'!$G$8:$H$14,2,FALSE),YES_Writing_ELA[#Headers],0))=0,"",INDEX(_xlfn.VSTACK(YES_Writing_ELA[#Data],YES_Writing_FLA[#Data]),MATCH($A152,_xlfn.VSTACK(YES_Writing_ELA[Student Number],YES_Writing_FLA[Student Number]),0),MATCH(VLOOKUP(G$7,'Writing Logic'!$J$7:$K$11,2,FALSE)&amp;" - Per "&amp;VLOOKUP($C$4,'Writing Logic'!$G$8:$H$14,2,FALSE),YES_Writing_ELA[#Headers],0)))="INS",'Writing Logic'!$B$7,IF(INDEX(_xlfn.VSTACK(YES_Writing_ELA[#Data],YES_Writing_FLA[#Data]),MATCH($A152,_xlfn.VSTACK(YES_Writing_ELA[Student Number],YES_Writing_FLA[Student Number]),0),MATCH(VLOOKUP(G$7,'Writing Logic'!$J$7:$K$11,2,FALSE)&amp;" - Per "&amp;VLOOKUP($C$4,'Writing Logic'!$G$8:$H$14,2,FALSE),YES_Writing_ELA[#Headers],0))=0,"",INDEX(_xlfn.VSTACK(YES_Writing_ELA[#Data],YES_Writing_FLA[#Data]),MATCH($A152,_xlfn.VSTACK(YES_Writing_ELA[Student Number],YES_Writing_FLA[Student Number]),0),MATCH(VLOOKUP(G$7,'Writing Logic'!$J$7:$K$11,2,FALSE)&amp;" - Per "&amp;VLOOKUP($C$4,'Writing Logic'!$G$8:$H$14,2,FALSE),YES_Writing_ELA[#Headers],0)))),"")</f>
        <v/>
      </c>
      <c r="H152" s="223" t="str">
        <f>IFERROR(IF(IF(INDEX(_xlfn.VSTACK(YES_Writing_ELA[#Data],YES_Writing_FLA[#Data]),MATCH($A152,_xlfn.VSTACK(YES_Writing_ELA[Student Number],YES_Writing_FLA[Student Number]),0),MATCH(VLOOKUP(H$7,'Writing Logic'!$J$7:$K$11,2,FALSE)&amp;" - Per "&amp;VLOOKUP($C$4,'Writing Logic'!$G$8:$H$14,2,FALSE),YES_Writing_ELA[#Headers],0))=0,"",INDEX(_xlfn.VSTACK(YES_Writing_ELA[#Data],YES_Writing_FLA[#Data]),MATCH($A152,_xlfn.VSTACK(YES_Writing_ELA[Student Number],YES_Writing_FLA[Student Number]),0),MATCH(VLOOKUP(H$7,'Writing Logic'!$J$7:$K$11,2,FALSE)&amp;" - Per "&amp;VLOOKUP($C$4,'Writing Logic'!$G$8:$H$14,2,FALSE),YES_Writing_ELA[#Headers],0)))="INS",'Writing Logic'!$B$7,IF(INDEX(_xlfn.VSTACK(YES_Writing_ELA[#Data],YES_Writing_FLA[#Data]),MATCH($A152,_xlfn.VSTACK(YES_Writing_ELA[Student Number],YES_Writing_FLA[Student Number]),0),MATCH(VLOOKUP(H$7,'Writing Logic'!$J$7:$K$11,2,FALSE)&amp;" - Per "&amp;VLOOKUP($C$4,'Writing Logic'!$G$8:$H$14,2,FALSE),YES_Writing_ELA[#Headers],0))=0,"",INDEX(_xlfn.VSTACK(YES_Writing_ELA[#Data],YES_Writing_FLA[#Data]),MATCH($A152,_xlfn.VSTACK(YES_Writing_ELA[Student Number],YES_Writing_FLA[Student Number]),0),MATCH(VLOOKUP(H$7,'Writing Logic'!$J$7:$K$11,2,FALSE)&amp;" - Per "&amp;VLOOKUP($C$4,'Writing Logic'!$G$8:$H$14,2,FALSE),YES_Writing_ELA[#Headers],0)))),"")</f>
        <v/>
      </c>
      <c r="I152" s="224" t="str" cm="1">
        <f t="array" aca="1" ref="I152" ca="1">IFERROR(
IF($G$3="ELA",
IF(VLOOKUP($A152, YES_Reading_ELA[], COLUMN(INDIRECT("YES_Reading_ELA[Difference - Per "&amp;VLOOKUP($G$4, 'Reading Report Logic'!$A$2:$B$8, 2, FALSE)&amp;"]")), FALSE)="", "",
VLOOKUP($A152,YES_Reading_ELA[], COLUMN(INDIRECT("YES_Reading_ELA[Difference - Per "&amp;VLOOKUP($G$4,'Reading Report Logic'!$A$2:$B$8,2,FALSE)&amp;"]")), FALSE)),
IF($G$3="FLA",
IF(VLOOKUP($A152, YES_Reading_FLA[], COLUMN(INDIRECT("YES_Reading_FLA[Difference - Per "&amp;VLOOKUP($G$4,'Reading Report Logic'!$A$2:$B$8,2,FALSE)&amp;"]")),FALSE)="","",
VLOOKUP($A152,YES_Reading_FLA[],COLUMN(INDIRECT("YES_Reading_FLA[Difference - Per "&amp;VLOOKUP($G$4,'Reading Report Logic'!$A$2:$B$8,2,FALSE)&amp;"]")),FALSE)),
IF($G$3="Combined",
IFERROR(
IF(VLOOKUP($A152, YES_Reading_ELA[], COLUMN(INDIRECT("YES_Reading_ELA[Difference - Per "&amp;VLOOKUP($G$4, 'Reading Report Logic'!$A$2:$B$8,2,FALSE)&amp;"]")), FALSE)="", "",
VLOOKUP($A152,YES_Reading_ELA[],COLUMN(INDIRECT("YES_Reading_ELA[Difference - Per "&amp;VLOOKUP($G$4,'Reading Report Logic'!$A$2:$B$8,2,FALSE)&amp;"]")),FALSE)),
IF(VLOOKUP($A152, YES_Reading_FLA[], COLUMN(INDIRECT("YES_Reading_FLA[Difference - Per "&amp;VLOOKUP($G$4, 'Reading Report Logic'!$A$2:$B$8, 2, FALSE)&amp;"]")),FALSE)="", "", VLOOKUP($A152,YES_Reading_FLA[],COLUMN(INDIRECT("YES_Reading_FLA[Difference - Per "&amp;VLOOKUP($G$4, 'Reading Report Logic'!$A$2:$B$8, 2, FALSE)&amp;"]")),FALSE))),""))),"")</f>
        <v/>
      </c>
    </row>
    <row r="153" spans="1:9" ht="14.25" customHeight="1" x14ac:dyDescent="0.25">
      <c r="A153" s="137"/>
      <c r="B153" s="137" t="str">
        <f>IFERROR(INDEX(_xlfn.VSTACK(YES_Writing_ELA[#Data], YES_Writing_FLA[#Data]),MATCH($A153,_xlfn.VSTACK(YES_Writing_ELA[Student Number], YES_Writing_FLA[Student Number]),0),MATCH(B$7,YES_Writing_ELA[#Headers],0)),IFERROR(INDEX(_xlfn.VSTACK(YES_Reading_ELA[#Data], YES_Reading_FLA[#Data]),MATCH($A153,_xlfn.VSTACK(YES_Reading_ELA[Student Number], YES_Reading_FLA[Student Number]),0),MATCH(B$7,YES_Reading_ELA[#Headers],0)),""))</f>
        <v/>
      </c>
      <c r="C153" s="137" t="str">
        <f>IFERROR(INDEX(_xlfn.VSTACK(YES_Writing_ELA[#Data], YES_Writing_FLA[#Data]),MATCH($A153,_xlfn.VSTACK(YES_Writing_ELA[Student Number], YES_Writing_FLA[Student Number]),0),MATCH(C$7,YES_Writing_ELA[#Headers],0)),IFERROR(INDEX(_xlfn.VSTACK(YES_Reading_ELA[#Data], YES_Reading_FLA[#Data]),MATCH($A153,_xlfn.VSTACK(YES_Reading_ELA[Student Number], YES_Reading_FLA[Student Number]),0),MATCH(C$7,YES_Reading_ELA[#Headers],0)),""))</f>
        <v/>
      </c>
      <c r="D153" s="138" t="str">
        <f>IFERROR(IF(IF(INDEX(_xlfn.VSTACK(YES_Writing_ELA[#Data],YES_Writing_FLA[#Data]),MATCH($A153,_xlfn.VSTACK(YES_Writing_ELA[Student Number],YES_Writing_FLA[Student Number]),0),MATCH(VLOOKUP(D$7,'Writing Logic'!$J$7:$K$11,2,FALSE)&amp;" - Per "&amp;VLOOKUP($C$4,'Writing Logic'!$G$8:$H$14,2,FALSE),YES_Writing_ELA[#Headers],0))=0,"",INDEX(_xlfn.VSTACK(YES_Writing_ELA[#Data],YES_Writing_FLA[#Data]),MATCH($A153,_xlfn.VSTACK(YES_Writing_ELA[Student Number],YES_Writing_FLA[Student Number]),0),MATCH(VLOOKUP(D$7,'Writing Logic'!$J$7:$K$11,2,FALSE)&amp;" - Per "&amp;VLOOKUP($C$4,'Writing Logic'!$G$8:$H$14,2,FALSE),YES_Writing_ELA[#Headers],0)))="INS",'Writing Logic'!$B$7,IF(INDEX(_xlfn.VSTACK(YES_Writing_ELA[#Data],YES_Writing_FLA[#Data]),MATCH($A153,_xlfn.VSTACK(YES_Writing_ELA[Student Number],YES_Writing_FLA[Student Number]),0),MATCH(VLOOKUP(D$7,'Writing Logic'!$J$7:$K$11,2,FALSE)&amp;" - Per "&amp;VLOOKUP($C$4,'Writing Logic'!$G$8:$H$14,2,FALSE),YES_Writing_ELA[#Headers],0))=0,"",INDEX(_xlfn.VSTACK(YES_Writing_ELA[#Data],YES_Writing_FLA[#Data]),MATCH($A153,_xlfn.VSTACK(YES_Writing_ELA[Student Number],YES_Writing_FLA[Student Number]),0),MATCH(VLOOKUP(D$7,'Writing Logic'!$J$7:$K$11,2,FALSE)&amp;" - Per "&amp;VLOOKUP($C$4,'Writing Logic'!$G$8:$H$14,2,FALSE),YES_Writing_ELA[#Headers],0)))),"")</f>
        <v/>
      </c>
      <c r="E153" s="138" t="str">
        <f>IFERROR(IF(IF(INDEX(_xlfn.VSTACK(YES_Writing_ELA[#Data],YES_Writing_FLA[#Data]),MATCH($A153,_xlfn.VSTACK(YES_Writing_ELA[Student Number],YES_Writing_FLA[Student Number]),0),MATCH(VLOOKUP(E$7,'Writing Logic'!$J$7:$K$11,2,FALSE)&amp;" - Per "&amp;VLOOKUP($C$4,'Writing Logic'!$G$8:$H$14,2,FALSE),YES_Writing_ELA[#Headers],0))=0,"",INDEX(_xlfn.VSTACK(YES_Writing_ELA[#Data],YES_Writing_FLA[#Data]),MATCH($A153,_xlfn.VSTACK(YES_Writing_ELA[Student Number],YES_Writing_FLA[Student Number]),0),MATCH(VLOOKUP(E$7,'Writing Logic'!$J$7:$K$11,2,FALSE)&amp;" - Per "&amp;VLOOKUP($C$4,'Writing Logic'!$G$8:$H$14,2,FALSE),YES_Writing_ELA[#Headers],0)))="INS",'Writing Logic'!$B$7,IF(INDEX(_xlfn.VSTACK(YES_Writing_ELA[#Data],YES_Writing_FLA[#Data]),MATCH($A153,_xlfn.VSTACK(YES_Writing_ELA[Student Number],YES_Writing_FLA[Student Number]),0),MATCH(VLOOKUP(E$7,'Writing Logic'!$J$7:$K$11,2,FALSE)&amp;" - Per "&amp;VLOOKUP($C$4,'Writing Logic'!$G$8:$H$14,2,FALSE),YES_Writing_ELA[#Headers],0))=0,"",INDEX(_xlfn.VSTACK(YES_Writing_ELA[#Data],YES_Writing_FLA[#Data]),MATCH($A153,_xlfn.VSTACK(YES_Writing_ELA[Student Number],YES_Writing_FLA[Student Number]),0),MATCH(VLOOKUP(E$7,'Writing Logic'!$J$7:$K$11,2,FALSE)&amp;" - Per "&amp;VLOOKUP($C$4,'Writing Logic'!$G$8:$H$14,2,FALSE),YES_Writing_ELA[#Headers],0)))),"")</f>
        <v/>
      </c>
      <c r="F153" s="138" t="str">
        <f>IFERROR(IF(IF(INDEX(_xlfn.VSTACK(YES_Writing_ELA[#Data],YES_Writing_FLA[#Data]),MATCH($A153,_xlfn.VSTACK(YES_Writing_ELA[Student Number],YES_Writing_FLA[Student Number]),0),MATCH(VLOOKUP(F$7,'Writing Logic'!$J$7:$K$11,2,FALSE)&amp;" - Per "&amp;VLOOKUP($C$4,'Writing Logic'!$G$8:$H$14,2,FALSE),YES_Writing_ELA[#Headers],0))=0,"",INDEX(_xlfn.VSTACK(YES_Writing_ELA[#Data],YES_Writing_FLA[#Data]),MATCH($A153,_xlfn.VSTACK(YES_Writing_ELA[Student Number],YES_Writing_FLA[Student Number]),0),MATCH(VLOOKUP(F$7,'Writing Logic'!$J$7:$K$11,2,FALSE)&amp;" - Per "&amp;VLOOKUP($C$4,'Writing Logic'!$G$8:$H$14,2,FALSE),YES_Writing_ELA[#Headers],0)))="INS",'Writing Logic'!$B$7,IF(INDEX(_xlfn.VSTACK(YES_Writing_ELA[#Data],YES_Writing_FLA[#Data]),MATCH($A153,_xlfn.VSTACK(YES_Writing_ELA[Student Number],YES_Writing_FLA[Student Number]),0),MATCH(VLOOKUP(F$7,'Writing Logic'!$J$7:$K$11,2,FALSE)&amp;" - Per "&amp;VLOOKUP($C$4,'Writing Logic'!$G$8:$H$14,2,FALSE),YES_Writing_ELA[#Headers],0))=0,"",INDEX(_xlfn.VSTACK(YES_Writing_ELA[#Data],YES_Writing_FLA[#Data]),MATCH($A153,_xlfn.VSTACK(YES_Writing_ELA[Student Number],YES_Writing_FLA[Student Number]),0),MATCH(VLOOKUP(F$7,'Writing Logic'!$J$7:$K$11,2,FALSE)&amp;" - Per "&amp;VLOOKUP($C$4,'Writing Logic'!$G$8:$H$14,2,FALSE),YES_Writing_ELA[#Headers],0)))),"")</f>
        <v/>
      </c>
      <c r="G153" s="138" t="str">
        <f>IFERROR(IF(IF(INDEX(_xlfn.VSTACK(YES_Writing_ELA[#Data],YES_Writing_FLA[#Data]),MATCH($A153,_xlfn.VSTACK(YES_Writing_ELA[Student Number],YES_Writing_FLA[Student Number]),0),MATCH(VLOOKUP(G$7,'Writing Logic'!$J$7:$K$11,2,FALSE)&amp;" - Per "&amp;VLOOKUP($C$4,'Writing Logic'!$G$8:$H$14,2,FALSE),YES_Writing_ELA[#Headers],0))=0,"",INDEX(_xlfn.VSTACK(YES_Writing_ELA[#Data],YES_Writing_FLA[#Data]),MATCH($A153,_xlfn.VSTACK(YES_Writing_ELA[Student Number],YES_Writing_FLA[Student Number]),0),MATCH(VLOOKUP(G$7,'Writing Logic'!$J$7:$K$11,2,FALSE)&amp;" - Per "&amp;VLOOKUP($C$4,'Writing Logic'!$G$8:$H$14,2,FALSE),YES_Writing_ELA[#Headers],0)))="INS",'Writing Logic'!$B$7,IF(INDEX(_xlfn.VSTACK(YES_Writing_ELA[#Data],YES_Writing_FLA[#Data]),MATCH($A153,_xlfn.VSTACK(YES_Writing_ELA[Student Number],YES_Writing_FLA[Student Number]),0),MATCH(VLOOKUP(G$7,'Writing Logic'!$J$7:$K$11,2,FALSE)&amp;" - Per "&amp;VLOOKUP($C$4,'Writing Logic'!$G$8:$H$14,2,FALSE),YES_Writing_ELA[#Headers],0))=0,"",INDEX(_xlfn.VSTACK(YES_Writing_ELA[#Data],YES_Writing_FLA[#Data]),MATCH($A153,_xlfn.VSTACK(YES_Writing_ELA[Student Number],YES_Writing_FLA[Student Number]),0),MATCH(VLOOKUP(G$7,'Writing Logic'!$J$7:$K$11,2,FALSE)&amp;" - Per "&amp;VLOOKUP($C$4,'Writing Logic'!$G$8:$H$14,2,FALSE),YES_Writing_ELA[#Headers],0)))),"")</f>
        <v/>
      </c>
      <c r="H153" s="223" t="str">
        <f>IFERROR(IF(IF(INDEX(_xlfn.VSTACK(YES_Writing_ELA[#Data],YES_Writing_FLA[#Data]),MATCH($A153,_xlfn.VSTACK(YES_Writing_ELA[Student Number],YES_Writing_FLA[Student Number]),0),MATCH(VLOOKUP(H$7,'Writing Logic'!$J$7:$K$11,2,FALSE)&amp;" - Per "&amp;VLOOKUP($C$4,'Writing Logic'!$G$8:$H$14,2,FALSE),YES_Writing_ELA[#Headers],0))=0,"",INDEX(_xlfn.VSTACK(YES_Writing_ELA[#Data],YES_Writing_FLA[#Data]),MATCH($A153,_xlfn.VSTACK(YES_Writing_ELA[Student Number],YES_Writing_FLA[Student Number]),0),MATCH(VLOOKUP(H$7,'Writing Logic'!$J$7:$K$11,2,FALSE)&amp;" - Per "&amp;VLOOKUP($C$4,'Writing Logic'!$G$8:$H$14,2,FALSE),YES_Writing_ELA[#Headers],0)))="INS",'Writing Logic'!$B$7,IF(INDEX(_xlfn.VSTACK(YES_Writing_ELA[#Data],YES_Writing_FLA[#Data]),MATCH($A153,_xlfn.VSTACK(YES_Writing_ELA[Student Number],YES_Writing_FLA[Student Number]),0),MATCH(VLOOKUP(H$7,'Writing Logic'!$J$7:$K$11,2,FALSE)&amp;" - Per "&amp;VLOOKUP($C$4,'Writing Logic'!$G$8:$H$14,2,FALSE),YES_Writing_ELA[#Headers],0))=0,"",INDEX(_xlfn.VSTACK(YES_Writing_ELA[#Data],YES_Writing_FLA[#Data]),MATCH($A153,_xlfn.VSTACK(YES_Writing_ELA[Student Number],YES_Writing_FLA[Student Number]),0),MATCH(VLOOKUP(H$7,'Writing Logic'!$J$7:$K$11,2,FALSE)&amp;" - Per "&amp;VLOOKUP($C$4,'Writing Logic'!$G$8:$H$14,2,FALSE),YES_Writing_ELA[#Headers],0)))),"")</f>
        <v/>
      </c>
      <c r="I153" s="224" t="str" cm="1">
        <f t="array" aca="1" ref="I153" ca="1">IFERROR(
IF($G$3="ELA",
IF(VLOOKUP($A153, YES_Reading_ELA[], COLUMN(INDIRECT("YES_Reading_ELA[Difference - Per "&amp;VLOOKUP($G$4, 'Reading Report Logic'!$A$2:$B$8, 2, FALSE)&amp;"]")), FALSE)="", "",
VLOOKUP($A153,YES_Reading_ELA[], COLUMN(INDIRECT("YES_Reading_ELA[Difference - Per "&amp;VLOOKUP($G$4,'Reading Report Logic'!$A$2:$B$8,2,FALSE)&amp;"]")), FALSE)),
IF($G$3="FLA",
IF(VLOOKUP($A153, YES_Reading_FLA[], COLUMN(INDIRECT("YES_Reading_FLA[Difference - Per "&amp;VLOOKUP($G$4,'Reading Report Logic'!$A$2:$B$8,2,FALSE)&amp;"]")),FALSE)="","",
VLOOKUP($A153,YES_Reading_FLA[],COLUMN(INDIRECT("YES_Reading_FLA[Difference - Per "&amp;VLOOKUP($G$4,'Reading Report Logic'!$A$2:$B$8,2,FALSE)&amp;"]")),FALSE)),
IF($G$3="Combined",
IFERROR(
IF(VLOOKUP($A153, YES_Reading_ELA[], COLUMN(INDIRECT("YES_Reading_ELA[Difference - Per "&amp;VLOOKUP($G$4, 'Reading Report Logic'!$A$2:$B$8,2,FALSE)&amp;"]")), FALSE)="", "",
VLOOKUP($A153,YES_Reading_ELA[],COLUMN(INDIRECT("YES_Reading_ELA[Difference - Per "&amp;VLOOKUP($G$4,'Reading Report Logic'!$A$2:$B$8,2,FALSE)&amp;"]")),FALSE)),
IF(VLOOKUP($A153, YES_Reading_FLA[], COLUMN(INDIRECT("YES_Reading_FLA[Difference - Per "&amp;VLOOKUP($G$4, 'Reading Report Logic'!$A$2:$B$8, 2, FALSE)&amp;"]")),FALSE)="", "", VLOOKUP($A153,YES_Reading_FLA[],COLUMN(INDIRECT("YES_Reading_FLA[Difference - Per "&amp;VLOOKUP($G$4, 'Reading Report Logic'!$A$2:$B$8, 2, FALSE)&amp;"]")),FALSE))),""))),"")</f>
        <v/>
      </c>
    </row>
    <row r="154" spans="1:9" ht="14.25" customHeight="1" x14ac:dyDescent="0.25">
      <c r="A154" s="137"/>
      <c r="B154" s="137" t="str">
        <f>IFERROR(INDEX(_xlfn.VSTACK(YES_Writing_ELA[#Data], YES_Writing_FLA[#Data]),MATCH($A154,_xlfn.VSTACK(YES_Writing_ELA[Student Number], YES_Writing_FLA[Student Number]),0),MATCH(B$7,YES_Writing_ELA[#Headers],0)),IFERROR(INDEX(_xlfn.VSTACK(YES_Reading_ELA[#Data], YES_Reading_FLA[#Data]),MATCH($A154,_xlfn.VSTACK(YES_Reading_ELA[Student Number], YES_Reading_FLA[Student Number]),0),MATCH(B$7,YES_Reading_ELA[#Headers],0)),""))</f>
        <v/>
      </c>
      <c r="C154" s="137" t="str">
        <f>IFERROR(INDEX(_xlfn.VSTACK(YES_Writing_ELA[#Data], YES_Writing_FLA[#Data]),MATCH($A154,_xlfn.VSTACK(YES_Writing_ELA[Student Number], YES_Writing_FLA[Student Number]),0),MATCH(C$7,YES_Writing_ELA[#Headers],0)),IFERROR(INDEX(_xlfn.VSTACK(YES_Reading_ELA[#Data], YES_Reading_FLA[#Data]),MATCH($A154,_xlfn.VSTACK(YES_Reading_ELA[Student Number], YES_Reading_FLA[Student Number]),0),MATCH(C$7,YES_Reading_ELA[#Headers],0)),""))</f>
        <v/>
      </c>
      <c r="D154" s="138" t="str">
        <f>IFERROR(IF(IF(INDEX(_xlfn.VSTACK(YES_Writing_ELA[#Data],YES_Writing_FLA[#Data]),MATCH($A154,_xlfn.VSTACK(YES_Writing_ELA[Student Number],YES_Writing_FLA[Student Number]),0),MATCH(VLOOKUP(D$7,'Writing Logic'!$J$7:$K$11,2,FALSE)&amp;" - Per "&amp;VLOOKUP($C$4,'Writing Logic'!$G$8:$H$14,2,FALSE),YES_Writing_ELA[#Headers],0))=0,"",INDEX(_xlfn.VSTACK(YES_Writing_ELA[#Data],YES_Writing_FLA[#Data]),MATCH($A154,_xlfn.VSTACK(YES_Writing_ELA[Student Number],YES_Writing_FLA[Student Number]),0),MATCH(VLOOKUP(D$7,'Writing Logic'!$J$7:$K$11,2,FALSE)&amp;" - Per "&amp;VLOOKUP($C$4,'Writing Logic'!$G$8:$H$14,2,FALSE),YES_Writing_ELA[#Headers],0)))="INS",'Writing Logic'!$B$7,IF(INDEX(_xlfn.VSTACK(YES_Writing_ELA[#Data],YES_Writing_FLA[#Data]),MATCH($A154,_xlfn.VSTACK(YES_Writing_ELA[Student Number],YES_Writing_FLA[Student Number]),0),MATCH(VLOOKUP(D$7,'Writing Logic'!$J$7:$K$11,2,FALSE)&amp;" - Per "&amp;VLOOKUP($C$4,'Writing Logic'!$G$8:$H$14,2,FALSE),YES_Writing_ELA[#Headers],0))=0,"",INDEX(_xlfn.VSTACK(YES_Writing_ELA[#Data],YES_Writing_FLA[#Data]),MATCH($A154,_xlfn.VSTACK(YES_Writing_ELA[Student Number],YES_Writing_FLA[Student Number]),0),MATCH(VLOOKUP(D$7,'Writing Logic'!$J$7:$K$11,2,FALSE)&amp;" - Per "&amp;VLOOKUP($C$4,'Writing Logic'!$G$8:$H$14,2,FALSE),YES_Writing_ELA[#Headers],0)))),"")</f>
        <v/>
      </c>
      <c r="E154" s="138" t="str">
        <f>IFERROR(IF(IF(INDEX(_xlfn.VSTACK(YES_Writing_ELA[#Data],YES_Writing_FLA[#Data]),MATCH($A154,_xlfn.VSTACK(YES_Writing_ELA[Student Number],YES_Writing_FLA[Student Number]),0),MATCH(VLOOKUP(E$7,'Writing Logic'!$J$7:$K$11,2,FALSE)&amp;" - Per "&amp;VLOOKUP($C$4,'Writing Logic'!$G$8:$H$14,2,FALSE),YES_Writing_ELA[#Headers],0))=0,"",INDEX(_xlfn.VSTACK(YES_Writing_ELA[#Data],YES_Writing_FLA[#Data]),MATCH($A154,_xlfn.VSTACK(YES_Writing_ELA[Student Number],YES_Writing_FLA[Student Number]),0),MATCH(VLOOKUP(E$7,'Writing Logic'!$J$7:$K$11,2,FALSE)&amp;" - Per "&amp;VLOOKUP($C$4,'Writing Logic'!$G$8:$H$14,2,FALSE),YES_Writing_ELA[#Headers],0)))="INS",'Writing Logic'!$B$7,IF(INDEX(_xlfn.VSTACK(YES_Writing_ELA[#Data],YES_Writing_FLA[#Data]),MATCH($A154,_xlfn.VSTACK(YES_Writing_ELA[Student Number],YES_Writing_FLA[Student Number]),0),MATCH(VLOOKUP(E$7,'Writing Logic'!$J$7:$K$11,2,FALSE)&amp;" - Per "&amp;VLOOKUP($C$4,'Writing Logic'!$G$8:$H$14,2,FALSE),YES_Writing_ELA[#Headers],0))=0,"",INDEX(_xlfn.VSTACK(YES_Writing_ELA[#Data],YES_Writing_FLA[#Data]),MATCH($A154,_xlfn.VSTACK(YES_Writing_ELA[Student Number],YES_Writing_FLA[Student Number]),0),MATCH(VLOOKUP(E$7,'Writing Logic'!$J$7:$K$11,2,FALSE)&amp;" - Per "&amp;VLOOKUP($C$4,'Writing Logic'!$G$8:$H$14,2,FALSE),YES_Writing_ELA[#Headers],0)))),"")</f>
        <v/>
      </c>
      <c r="F154" s="138" t="str">
        <f>IFERROR(IF(IF(INDEX(_xlfn.VSTACK(YES_Writing_ELA[#Data],YES_Writing_FLA[#Data]),MATCH($A154,_xlfn.VSTACK(YES_Writing_ELA[Student Number],YES_Writing_FLA[Student Number]),0),MATCH(VLOOKUP(F$7,'Writing Logic'!$J$7:$K$11,2,FALSE)&amp;" - Per "&amp;VLOOKUP($C$4,'Writing Logic'!$G$8:$H$14,2,FALSE),YES_Writing_ELA[#Headers],0))=0,"",INDEX(_xlfn.VSTACK(YES_Writing_ELA[#Data],YES_Writing_FLA[#Data]),MATCH($A154,_xlfn.VSTACK(YES_Writing_ELA[Student Number],YES_Writing_FLA[Student Number]),0),MATCH(VLOOKUP(F$7,'Writing Logic'!$J$7:$K$11,2,FALSE)&amp;" - Per "&amp;VLOOKUP($C$4,'Writing Logic'!$G$8:$H$14,2,FALSE),YES_Writing_ELA[#Headers],0)))="INS",'Writing Logic'!$B$7,IF(INDEX(_xlfn.VSTACK(YES_Writing_ELA[#Data],YES_Writing_FLA[#Data]),MATCH($A154,_xlfn.VSTACK(YES_Writing_ELA[Student Number],YES_Writing_FLA[Student Number]),0),MATCH(VLOOKUP(F$7,'Writing Logic'!$J$7:$K$11,2,FALSE)&amp;" - Per "&amp;VLOOKUP($C$4,'Writing Logic'!$G$8:$H$14,2,FALSE),YES_Writing_ELA[#Headers],0))=0,"",INDEX(_xlfn.VSTACK(YES_Writing_ELA[#Data],YES_Writing_FLA[#Data]),MATCH($A154,_xlfn.VSTACK(YES_Writing_ELA[Student Number],YES_Writing_FLA[Student Number]),0),MATCH(VLOOKUP(F$7,'Writing Logic'!$J$7:$K$11,2,FALSE)&amp;" - Per "&amp;VLOOKUP($C$4,'Writing Logic'!$G$8:$H$14,2,FALSE),YES_Writing_ELA[#Headers],0)))),"")</f>
        <v/>
      </c>
      <c r="G154" s="138" t="str">
        <f>IFERROR(IF(IF(INDEX(_xlfn.VSTACK(YES_Writing_ELA[#Data],YES_Writing_FLA[#Data]),MATCH($A154,_xlfn.VSTACK(YES_Writing_ELA[Student Number],YES_Writing_FLA[Student Number]),0),MATCH(VLOOKUP(G$7,'Writing Logic'!$J$7:$K$11,2,FALSE)&amp;" - Per "&amp;VLOOKUP($C$4,'Writing Logic'!$G$8:$H$14,2,FALSE),YES_Writing_ELA[#Headers],0))=0,"",INDEX(_xlfn.VSTACK(YES_Writing_ELA[#Data],YES_Writing_FLA[#Data]),MATCH($A154,_xlfn.VSTACK(YES_Writing_ELA[Student Number],YES_Writing_FLA[Student Number]),0),MATCH(VLOOKUP(G$7,'Writing Logic'!$J$7:$K$11,2,FALSE)&amp;" - Per "&amp;VLOOKUP($C$4,'Writing Logic'!$G$8:$H$14,2,FALSE),YES_Writing_ELA[#Headers],0)))="INS",'Writing Logic'!$B$7,IF(INDEX(_xlfn.VSTACK(YES_Writing_ELA[#Data],YES_Writing_FLA[#Data]),MATCH($A154,_xlfn.VSTACK(YES_Writing_ELA[Student Number],YES_Writing_FLA[Student Number]),0),MATCH(VLOOKUP(G$7,'Writing Logic'!$J$7:$K$11,2,FALSE)&amp;" - Per "&amp;VLOOKUP($C$4,'Writing Logic'!$G$8:$H$14,2,FALSE),YES_Writing_ELA[#Headers],0))=0,"",INDEX(_xlfn.VSTACK(YES_Writing_ELA[#Data],YES_Writing_FLA[#Data]),MATCH($A154,_xlfn.VSTACK(YES_Writing_ELA[Student Number],YES_Writing_FLA[Student Number]),0),MATCH(VLOOKUP(G$7,'Writing Logic'!$J$7:$K$11,2,FALSE)&amp;" - Per "&amp;VLOOKUP($C$4,'Writing Logic'!$G$8:$H$14,2,FALSE),YES_Writing_ELA[#Headers],0)))),"")</f>
        <v/>
      </c>
      <c r="H154" s="223" t="str">
        <f>IFERROR(IF(IF(INDEX(_xlfn.VSTACK(YES_Writing_ELA[#Data],YES_Writing_FLA[#Data]),MATCH($A154,_xlfn.VSTACK(YES_Writing_ELA[Student Number],YES_Writing_FLA[Student Number]),0),MATCH(VLOOKUP(H$7,'Writing Logic'!$J$7:$K$11,2,FALSE)&amp;" - Per "&amp;VLOOKUP($C$4,'Writing Logic'!$G$8:$H$14,2,FALSE),YES_Writing_ELA[#Headers],0))=0,"",INDEX(_xlfn.VSTACK(YES_Writing_ELA[#Data],YES_Writing_FLA[#Data]),MATCH($A154,_xlfn.VSTACK(YES_Writing_ELA[Student Number],YES_Writing_FLA[Student Number]),0),MATCH(VLOOKUP(H$7,'Writing Logic'!$J$7:$K$11,2,FALSE)&amp;" - Per "&amp;VLOOKUP($C$4,'Writing Logic'!$G$8:$H$14,2,FALSE),YES_Writing_ELA[#Headers],0)))="INS",'Writing Logic'!$B$7,IF(INDEX(_xlfn.VSTACK(YES_Writing_ELA[#Data],YES_Writing_FLA[#Data]),MATCH($A154,_xlfn.VSTACK(YES_Writing_ELA[Student Number],YES_Writing_FLA[Student Number]),0),MATCH(VLOOKUP(H$7,'Writing Logic'!$J$7:$K$11,2,FALSE)&amp;" - Per "&amp;VLOOKUP($C$4,'Writing Logic'!$G$8:$H$14,2,FALSE),YES_Writing_ELA[#Headers],0))=0,"",INDEX(_xlfn.VSTACK(YES_Writing_ELA[#Data],YES_Writing_FLA[#Data]),MATCH($A154,_xlfn.VSTACK(YES_Writing_ELA[Student Number],YES_Writing_FLA[Student Number]),0),MATCH(VLOOKUP(H$7,'Writing Logic'!$J$7:$K$11,2,FALSE)&amp;" - Per "&amp;VLOOKUP($C$4,'Writing Logic'!$G$8:$H$14,2,FALSE),YES_Writing_ELA[#Headers],0)))),"")</f>
        <v/>
      </c>
      <c r="I154" s="224" t="str" cm="1">
        <f t="array" aca="1" ref="I154" ca="1">IFERROR(
IF($G$3="ELA",
IF(VLOOKUP($A154, YES_Reading_ELA[], COLUMN(INDIRECT("YES_Reading_ELA[Difference - Per "&amp;VLOOKUP($G$4, 'Reading Report Logic'!$A$2:$B$8, 2, FALSE)&amp;"]")), FALSE)="", "",
VLOOKUP($A154,YES_Reading_ELA[], COLUMN(INDIRECT("YES_Reading_ELA[Difference - Per "&amp;VLOOKUP($G$4,'Reading Report Logic'!$A$2:$B$8,2,FALSE)&amp;"]")), FALSE)),
IF($G$3="FLA",
IF(VLOOKUP($A154, YES_Reading_FLA[], COLUMN(INDIRECT("YES_Reading_FLA[Difference - Per "&amp;VLOOKUP($G$4,'Reading Report Logic'!$A$2:$B$8,2,FALSE)&amp;"]")),FALSE)="","",
VLOOKUP($A154,YES_Reading_FLA[],COLUMN(INDIRECT("YES_Reading_FLA[Difference - Per "&amp;VLOOKUP($G$4,'Reading Report Logic'!$A$2:$B$8,2,FALSE)&amp;"]")),FALSE)),
IF($G$3="Combined",
IFERROR(
IF(VLOOKUP($A154, YES_Reading_ELA[], COLUMN(INDIRECT("YES_Reading_ELA[Difference - Per "&amp;VLOOKUP($G$4, 'Reading Report Logic'!$A$2:$B$8,2,FALSE)&amp;"]")), FALSE)="", "",
VLOOKUP($A154,YES_Reading_ELA[],COLUMN(INDIRECT("YES_Reading_ELA[Difference - Per "&amp;VLOOKUP($G$4,'Reading Report Logic'!$A$2:$B$8,2,FALSE)&amp;"]")),FALSE)),
IF(VLOOKUP($A154, YES_Reading_FLA[], COLUMN(INDIRECT("YES_Reading_FLA[Difference - Per "&amp;VLOOKUP($G$4, 'Reading Report Logic'!$A$2:$B$8, 2, FALSE)&amp;"]")),FALSE)="", "", VLOOKUP($A154,YES_Reading_FLA[],COLUMN(INDIRECT("YES_Reading_FLA[Difference - Per "&amp;VLOOKUP($G$4, 'Reading Report Logic'!$A$2:$B$8, 2, FALSE)&amp;"]")),FALSE))),""))),"")</f>
        <v/>
      </c>
    </row>
    <row r="155" spans="1:9" ht="14.25" customHeight="1" x14ac:dyDescent="0.25">
      <c r="A155" s="137"/>
      <c r="B155" s="137" t="str">
        <f>IFERROR(INDEX(_xlfn.VSTACK(YES_Writing_ELA[#Data], YES_Writing_FLA[#Data]),MATCH($A155,_xlfn.VSTACK(YES_Writing_ELA[Student Number], YES_Writing_FLA[Student Number]),0),MATCH(B$7,YES_Writing_ELA[#Headers],0)),IFERROR(INDEX(_xlfn.VSTACK(YES_Reading_ELA[#Data], YES_Reading_FLA[#Data]),MATCH($A155,_xlfn.VSTACK(YES_Reading_ELA[Student Number], YES_Reading_FLA[Student Number]),0),MATCH(B$7,YES_Reading_ELA[#Headers],0)),""))</f>
        <v/>
      </c>
      <c r="C155" s="137" t="str">
        <f>IFERROR(INDEX(_xlfn.VSTACK(YES_Writing_ELA[#Data], YES_Writing_FLA[#Data]),MATCH($A155,_xlfn.VSTACK(YES_Writing_ELA[Student Number], YES_Writing_FLA[Student Number]),0),MATCH(C$7,YES_Writing_ELA[#Headers],0)),IFERROR(INDEX(_xlfn.VSTACK(YES_Reading_ELA[#Data], YES_Reading_FLA[#Data]),MATCH($A155,_xlfn.VSTACK(YES_Reading_ELA[Student Number], YES_Reading_FLA[Student Number]),0),MATCH(C$7,YES_Reading_ELA[#Headers],0)),""))</f>
        <v/>
      </c>
      <c r="D155" s="138" t="str">
        <f>IFERROR(IF(IF(INDEX(_xlfn.VSTACK(YES_Writing_ELA[#Data],YES_Writing_FLA[#Data]),MATCH($A155,_xlfn.VSTACK(YES_Writing_ELA[Student Number],YES_Writing_FLA[Student Number]),0),MATCH(VLOOKUP(D$7,'Writing Logic'!$J$7:$K$11,2,FALSE)&amp;" - Per "&amp;VLOOKUP($C$4,'Writing Logic'!$G$8:$H$14,2,FALSE),YES_Writing_ELA[#Headers],0))=0,"",INDEX(_xlfn.VSTACK(YES_Writing_ELA[#Data],YES_Writing_FLA[#Data]),MATCH($A155,_xlfn.VSTACK(YES_Writing_ELA[Student Number],YES_Writing_FLA[Student Number]),0),MATCH(VLOOKUP(D$7,'Writing Logic'!$J$7:$K$11,2,FALSE)&amp;" - Per "&amp;VLOOKUP($C$4,'Writing Logic'!$G$8:$H$14,2,FALSE),YES_Writing_ELA[#Headers],0)))="INS",'Writing Logic'!$B$7,IF(INDEX(_xlfn.VSTACK(YES_Writing_ELA[#Data],YES_Writing_FLA[#Data]),MATCH($A155,_xlfn.VSTACK(YES_Writing_ELA[Student Number],YES_Writing_FLA[Student Number]),0),MATCH(VLOOKUP(D$7,'Writing Logic'!$J$7:$K$11,2,FALSE)&amp;" - Per "&amp;VLOOKUP($C$4,'Writing Logic'!$G$8:$H$14,2,FALSE),YES_Writing_ELA[#Headers],0))=0,"",INDEX(_xlfn.VSTACK(YES_Writing_ELA[#Data],YES_Writing_FLA[#Data]),MATCH($A155,_xlfn.VSTACK(YES_Writing_ELA[Student Number],YES_Writing_FLA[Student Number]),0),MATCH(VLOOKUP(D$7,'Writing Logic'!$J$7:$K$11,2,FALSE)&amp;" - Per "&amp;VLOOKUP($C$4,'Writing Logic'!$G$8:$H$14,2,FALSE),YES_Writing_ELA[#Headers],0)))),"")</f>
        <v/>
      </c>
      <c r="E155" s="138" t="str">
        <f>IFERROR(IF(IF(INDEX(_xlfn.VSTACK(YES_Writing_ELA[#Data],YES_Writing_FLA[#Data]),MATCH($A155,_xlfn.VSTACK(YES_Writing_ELA[Student Number],YES_Writing_FLA[Student Number]),0),MATCH(VLOOKUP(E$7,'Writing Logic'!$J$7:$K$11,2,FALSE)&amp;" - Per "&amp;VLOOKUP($C$4,'Writing Logic'!$G$8:$H$14,2,FALSE),YES_Writing_ELA[#Headers],0))=0,"",INDEX(_xlfn.VSTACK(YES_Writing_ELA[#Data],YES_Writing_FLA[#Data]),MATCH($A155,_xlfn.VSTACK(YES_Writing_ELA[Student Number],YES_Writing_FLA[Student Number]),0),MATCH(VLOOKUP(E$7,'Writing Logic'!$J$7:$K$11,2,FALSE)&amp;" - Per "&amp;VLOOKUP($C$4,'Writing Logic'!$G$8:$H$14,2,FALSE),YES_Writing_ELA[#Headers],0)))="INS",'Writing Logic'!$B$7,IF(INDEX(_xlfn.VSTACK(YES_Writing_ELA[#Data],YES_Writing_FLA[#Data]),MATCH($A155,_xlfn.VSTACK(YES_Writing_ELA[Student Number],YES_Writing_FLA[Student Number]),0),MATCH(VLOOKUP(E$7,'Writing Logic'!$J$7:$K$11,2,FALSE)&amp;" - Per "&amp;VLOOKUP($C$4,'Writing Logic'!$G$8:$H$14,2,FALSE),YES_Writing_ELA[#Headers],0))=0,"",INDEX(_xlfn.VSTACK(YES_Writing_ELA[#Data],YES_Writing_FLA[#Data]),MATCH($A155,_xlfn.VSTACK(YES_Writing_ELA[Student Number],YES_Writing_FLA[Student Number]),0),MATCH(VLOOKUP(E$7,'Writing Logic'!$J$7:$K$11,2,FALSE)&amp;" - Per "&amp;VLOOKUP($C$4,'Writing Logic'!$G$8:$H$14,2,FALSE),YES_Writing_ELA[#Headers],0)))),"")</f>
        <v/>
      </c>
      <c r="F155" s="138" t="str">
        <f>IFERROR(IF(IF(INDEX(_xlfn.VSTACK(YES_Writing_ELA[#Data],YES_Writing_FLA[#Data]),MATCH($A155,_xlfn.VSTACK(YES_Writing_ELA[Student Number],YES_Writing_FLA[Student Number]),0),MATCH(VLOOKUP(F$7,'Writing Logic'!$J$7:$K$11,2,FALSE)&amp;" - Per "&amp;VLOOKUP($C$4,'Writing Logic'!$G$8:$H$14,2,FALSE),YES_Writing_ELA[#Headers],0))=0,"",INDEX(_xlfn.VSTACK(YES_Writing_ELA[#Data],YES_Writing_FLA[#Data]),MATCH($A155,_xlfn.VSTACK(YES_Writing_ELA[Student Number],YES_Writing_FLA[Student Number]),0),MATCH(VLOOKUP(F$7,'Writing Logic'!$J$7:$K$11,2,FALSE)&amp;" - Per "&amp;VLOOKUP($C$4,'Writing Logic'!$G$8:$H$14,2,FALSE),YES_Writing_ELA[#Headers],0)))="INS",'Writing Logic'!$B$7,IF(INDEX(_xlfn.VSTACK(YES_Writing_ELA[#Data],YES_Writing_FLA[#Data]),MATCH($A155,_xlfn.VSTACK(YES_Writing_ELA[Student Number],YES_Writing_FLA[Student Number]),0),MATCH(VLOOKUP(F$7,'Writing Logic'!$J$7:$K$11,2,FALSE)&amp;" - Per "&amp;VLOOKUP($C$4,'Writing Logic'!$G$8:$H$14,2,FALSE),YES_Writing_ELA[#Headers],0))=0,"",INDEX(_xlfn.VSTACK(YES_Writing_ELA[#Data],YES_Writing_FLA[#Data]),MATCH($A155,_xlfn.VSTACK(YES_Writing_ELA[Student Number],YES_Writing_FLA[Student Number]),0),MATCH(VLOOKUP(F$7,'Writing Logic'!$J$7:$K$11,2,FALSE)&amp;" - Per "&amp;VLOOKUP($C$4,'Writing Logic'!$G$8:$H$14,2,FALSE),YES_Writing_ELA[#Headers],0)))),"")</f>
        <v/>
      </c>
      <c r="G155" s="138" t="str">
        <f>IFERROR(IF(IF(INDEX(_xlfn.VSTACK(YES_Writing_ELA[#Data],YES_Writing_FLA[#Data]),MATCH($A155,_xlfn.VSTACK(YES_Writing_ELA[Student Number],YES_Writing_FLA[Student Number]),0),MATCH(VLOOKUP(G$7,'Writing Logic'!$J$7:$K$11,2,FALSE)&amp;" - Per "&amp;VLOOKUP($C$4,'Writing Logic'!$G$8:$H$14,2,FALSE),YES_Writing_ELA[#Headers],0))=0,"",INDEX(_xlfn.VSTACK(YES_Writing_ELA[#Data],YES_Writing_FLA[#Data]),MATCH($A155,_xlfn.VSTACK(YES_Writing_ELA[Student Number],YES_Writing_FLA[Student Number]),0),MATCH(VLOOKUP(G$7,'Writing Logic'!$J$7:$K$11,2,FALSE)&amp;" - Per "&amp;VLOOKUP($C$4,'Writing Logic'!$G$8:$H$14,2,FALSE),YES_Writing_ELA[#Headers],0)))="INS",'Writing Logic'!$B$7,IF(INDEX(_xlfn.VSTACK(YES_Writing_ELA[#Data],YES_Writing_FLA[#Data]),MATCH($A155,_xlfn.VSTACK(YES_Writing_ELA[Student Number],YES_Writing_FLA[Student Number]),0),MATCH(VLOOKUP(G$7,'Writing Logic'!$J$7:$K$11,2,FALSE)&amp;" - Per "&amp;VLOOKUP($C$4,'Writing Logic'!$G$8:$H$14,2,FALSE),YES_Writing_ELA[#Headers],0))=0,"",INDEX(_xlfn.VSTACK(YES_Writing_ELA[#Data],YES_Writing_FLA[#Data]),MATCH($A155,_xlfn.VSTACK(YES_Writing_ELA[Student Number],YES_Writing_FLA[Student Number]),0),MATCH(VLOOKUP(G$7,'Writing Logic'!$J$7:$K$11,2,FALSE)&amp;" - Per "&amp;VLOOKUP($C$4,'Writing Logic'!$G$8:$H$14,2,FALSE),YES_Writing_ELA[#Headers],0)))),"")</f>
        <v/>
      </c>
      <c r="H155" s="223" t="str">
        <f>IFERROR(IF(IF(INDEX(_xlfn.VSTACK(YES_Writing_ELA[#Data],YES_Writing_FLA[#Data]),MATCH($A155,_xlfn.VSTACK(YES_Writing_ELA[Student Number],YES_Writing_FLA[Student Number]),0),MATCH(VLOOKUP(H$7,'Writing Logic'!$J$7:$K$11,2,FALSE)&amp;" - Per "&amp;VLOOKUP($C$4,'Writing Logic'!$G$8:$H$14,2,FALSE),YES_Writing_ELA[#Headers],0))=0,"",INDEX(_xlfn.VSTACK(YES_Writing_ELA[#Data],YES_Writing_FLA[#Data]),MATCH($A155,_xlfn.VSTACK(YES_Writing_ELA[Student Number],YES_Writing_FLA[Student Number]),0),MATCH(VLOOKUP(H$7,'Writing Logic'!$J$7:$K$11,2,FALSE)&amp;" - Per "&amp;VLOOKUP($C$4,'Writing Logic'!$G$8:$H$14,2,FALSE),YES_Writing_ELA[#Headers],0)))="INS",'Writing Logic'!$B$7,IF(INDEX(_xlfn.VSTACK(YES_Writing_ELA[#Data],YES_Writing_FLA[#Data]),MATCH($A155,_xlfn.VSTACK(YES_Writing_ELA[Student Number],YES_Writing_FLA[Student Number]),0),MATCH(VLOOKUP(H$7,'Writing Logic'!$J$7:$K$11,2,FALSE)&amp;" - Per "&amp;VLOOKUP($C$4,'Writing Logic'!$G$8:$H$14,2,FALSE),YES_Writing_ELA[#Headers],0))=0,"",INDEX(_xlfn.VSTACK(YES_Writing_ELA[#Data],YES_Writing_FLA[#Data]),MATCH($A155,_xlfn.VSTACK(YES_Writing_ELA[Student Number],YES_Writing_FLA[Student Number]),0),MATCH(VLOOKUP(H$7,'Writing Logic'!$J$7:$K$11,2,FALSE)&amp;" - Per "&amp;VLOOKUP($C$4,'Writing Logic'!$G$8:$H$14,2,FALSE),YES_Writing_ELA[#Headers],0)))),"")</f>
        <v/>
      </c>
      <c r="I155" s="224" t="str" cm="1">
        <f t="array" aca="1" ref="I155" ca="1">IFERROR(
IF($G$3="ELA",
IF(VLOOKUP($A155, YES_Reading_ELA[], COLUMN(INDIRECT("YES_Reading_ELA[Difference - Per "&amp;VLOOKUP($G$4, 'Reading Report Logic'!$A$2:$B$8, 2, FALSE)&amp;"]")), FALSE)="", "",
VLOOKUP($A155,YES_Reading_ELA[], COLUMN(INDIRECT("YES_Reading_ELA[Difference - Per "&amp;VLOOKUP($G$4,'Reading Report Logic'!$A$2:$B$8,2,FALSE)&amp;"]")), FALSE)),
IF($G$3="FLA",
IF(VLOOKUP($A155, YES_Reading_FLA[], COLUMN(INDIRECT("YES_Reading_FLA[Difference - Per "&amp;VLOOKUP($G$4,'Reading Report Logic'!$A$2:$B$8,2,FALSE)&amp;"]")),FALSE)="","",
VLOOKUP($A155,YES_Reading_FLA[],COLUMN(INDIRECT("YES_Reading_FLA[Difference - Per "&amp;VLOOKUP($G$4,'Reading Report Logic'!$A$2:$B$8,2,FALSE)&amp;"]")),FALSE)),
IF($G$3="Combined",
IFERROR(
IF(VLOOKUP($A155, YES_Reading_ELA[], COLUMN(INDIRECT("YES_Reading_ELA[Difference - Per "&amp;VLOOKUP($G$4, 'Reading Report Logic'!$A$2:$B$8,2,FALSE)&amp;"]")), FALSE)="", "",
VLOOKUP($A155,YES_Reading_ELA[],COLUMN(INDIRECT("YES_Reading_ELA[Difference - Per "&amp;VLOOKUP($G$4,'Reading Report Logic'!$A$2:$B$8,2,FALSE)&amp;"]")),FALSE)),
IF(VLOOKUP($A155, YES_Reading_FLA[], COLUMN(INDIRECT("YES_Reading_FLA[Difference - Per "&amp;VLOOKUP($G$4, 'Reading Report Logic'!$A$2:$B$8, 2, FALSE)&amp;"]")),FALSE)="", "", VLOOKUP($A155,YES_Reading_FLA[],COLUMN(INDIRECT("YES_Reading_FLA[Difference - Per "&amp;VLOOKUP($G$4, 'Reading Report Logic'!$A$2:$B$8, 2, FALSE)&amp;"]")),FALSE))),""))),"")</f>
        <v/>
      </c>
    </row>
    <row r="156" spans="1:9" ht="14.25" customHeight="1" x14ac:dyDescent="0.25">
      <c r="A156" s="137"/>
      <c r="B156" s="137" t="str">
        <f>IFERROR(INDEX(_xlfn.VSTACK(YES_Writing_ELA[#Data], YES_Writing_FLA[#Data]),MATCH($A156,_xlfn.VSTACK(YES_Writing_ELA[Student Number], YES_Writing_FLA[Student Number]),0),MATCH(B$7,YES_Writing_ELA[#Headers],0)),IFERROR(INDEX(_xlfn.VSTACK(YES_Reading_ELA[#Data], YES_Reading_FLA[#Data]),MATCH($A156,_xlfn.VSTACK(YES_Reading_ELA[Student Number], YES_Reading_FLA[Student Number]),0),MATCH(B$7,YES_Reading_ELA[#Headers],0)),""))</f>
        <v/>
      </c>
      <c r="C156" s="137" t="str">
        <f>IFERROR(INDEX(_xlfn.VSTACK(YES_Writing_ELA[#Data], YES_Writing_FLA[#Data]),MATCH($A156,_xlfn.VSTACK(YES_Writing_ELA[Student Number], YES_Writing_FLA[Student Number]),0),MATCH(C$7,YES_Writing_ELA[#Headers],0)),IFERROR(INDEX(_xlfn.VSTACK(YES_Reading_ELA[#Data], YES_Reading_FLA[#Data]),MATCH($A156,_xlfn.VSTACK(YES_Reading_ELA[Student Number], YES_Reading_FLA[Student Number]),0),MATCH(C$7,YES_Reading_ELA[#Headers],0)),""))</f>
        <v/>
      </c>
      <c r="D156" s="138" t="str">
        <f>IFERROR(IF(IF(INDEX(_xlfn.VSTACK(YES_Writing_ELA[#Data],YES_Writing_FLA[#Data]),MATCH($A156,_xlfn.VSTACK(YES_Writing_ELA[Student Number],YES_Writing_FLA[Student Number]),0),MATCH(VLOOKUP(D$7,'Writing Logic'!$J$7:$K$11,2,FALSE)&amp;" - Per "&amp;VLOOKUP($C$4,'Writing Logic'!$G$8:$H$14,2,FALSE),YES_Writing_ELA[#Headers],0))=0,"",INDEX(_xlfn.VSTACK(YES_Writing_ELA[#Data],YES_Writing_FLA[#Data]),MATCH($A156,_xlfn.VSTACK(YES_Writing_ELA[Student Number],YES_Writing_FLA[Student Number]),0),MATCH(VLOOKUP(D$7,'Writing Logic'!$J$7:$K$11,2,FALSE)&amp;" - Per "&amp;VLOOKUP($C$4,'Writing Logic'!$G$8:$H$14,2,FALSE),YES_Writing_ELA[#Headers],0)))="INS",'Writing Logic'!$B$7,IF(INDEX(_xlfn.VSTACK(YES_Writing_ELA[#Data],YES_Writing_FLA[#Data]),MATCH($A156,_xlfn.VSTACK(YES_Writing_ELA[Student Number],YES_Writing_FLA[Student Number]),0),MATCH(VLOOKUP(D$7,'Writing Logic'!$J$7:$K$11,2,FALSE)&amp;" - Per "&amp;VLOOKUP($C$4,'Writing Logic'!$G$8:$H$14,2,FALSE),YES_Writing_ELA[#Headers],0))=0,"",INDEX(_xlfn.VSTACK(YES_Writing_ELA[#Data],YES_Writing_FLA[#Data]),MATCH($A156,_xlfn.VSTACK(YES_Writing_ELA[Student Number],YES_Writing_FLA[Student Number]),0),MATCH(VLOOKUP(D$7,'Writing Logic'!$J$7:$K$11,2,FALSE)&amp;" - Per "&amp;VLOOKUP($C$4,'Writing Logic'!$G$8:$H$14,2,FALSE),YES_Writing_ELA[#Headers],0)))),"")</f>
        <v/>
      </c>
      <c r="E156" s="138" t="str">
        <f>IFERROR(IF(IF(INDEX(_xlfn.VSTACK(YES_Writing_ELA[#Data],YES_Writing_FLA[#Data]),MATCH($A156,_xlfn.VSTACK(YES_Writing_ELA[Student Number],YES_Writing_FLA[Student Number]),0),MATCH(VLOOKUP(E$7,'Writing Logic'!$J$7:$K$11,2,FALSE)&amp;" - Per "&amp;VLOOKUP($C$4,'Writing Logic'!$G$8:$H$14,2,FALSE),YES_Writing_ELA[#Headers],0))=0,"",INDEX(_xlfn.VSTACK(YES_Writing_ELA[#Data],YES_Writing_FLA[#Data]),MATCH($A156,_xlfn.VSTACK(YES_Writing_ELA[Student Number],YES_Writing_FLA[Student Number]),0),MATCH(VLOOKUP(E$7,'Writing Logic'!$J$7:$K$11,2,FALSE)&amp;" - Per "&amp;VLOOKUP($C$4,'Writing Logic'!$G$8:$H$14,2,FALSE),YES_Writing_ELA[#Headers],0)))="INS",'Writing Logic'!$B$7,IF(INDEX(_xlfn.VSTACK(YES_Writing_ELA[#Data],YES_Writing_FLA[#Data]),MATCH($A156,_xlfn.VSTACK(YES_Writing_ELA[Student Number],YES_Writing_FLA[Student Number]),0),MATCH(VLOOKUP(E$7,'Writing Logic'!$J$7:$K$11,2,FALSE)&amp;" - Per "&amp;VLOOKUP($C$4,'Writing Logic'!$G$8:$H$14,2,FALSE),YES_Writing_ELA[#Headers],0))=0,"",INDEX(_xlfn.VSTACK(YES_Writing_ELA[#Data],YES_Writing_FLA[#Data]),MATCH($A156,_xlfn.VSTACK(YES_Writing_ELA[Student Number],YES_Writing_FLA[Student Number]),0),MATCH(VLOOKUP(E$7,'Writing Logic'!$J$7:$K$11,2,FALSE)&amp;" - Per "&amp;VLOOKUP($C$4,'Writing Logic'!$G$8:$H$14,2,FALSE),YES_Writing_ELA[#Headers],0)))),"")</f>
        <v/>
      </c>
      <c r="F156" s="138" t="str">
        <f>IFERROR(IF(IF(INDEX(_xlfn.VSTACK(YES_Writing_ELA[#Data],YES_Writing_FLA[#Data]),MATCH($A156,_xlfn.VSTACK(YES_Writing_ELA[Student Number],YES_Writing_FLA[Student Number]),0),MATCH(VLOOKUP(F$7,'Writing Logic'!$J$7:$K$11,2,FALSE)&amp;" - Per "&amp;VLOOKUP($C$4,'Writing Logic'!$G$8:$H$14,2,FALSE),YES_Writing_ELA[#Headers],0))=0,"",INDEX(_xlfn.VSTACK(YES_Writing_ELA[#Data],YES_Writing_FLA[#Data]),MATCH($A156,_xlfn.VSTACK(YES_Writing_ELA[Student Number],YES_Writing_FLA[Student Number]),0),MATCH(VLOOKUP(F$7,'Writing Logic'!$J$7:$K$11,2,FALSE)&amp;" - Per "&amp;VLOOKUP($C$4,'Writing Logic'!$G$8:$H$14,2,FALSE),YES_Writing_ELA[#Headers],0)))="INS",'Writing Logic'!$B$7,IF(INDEX(_xlfn.VSTACK(YES_Writing_ELA[#Data],YES_Writing_FLA[#Data]),MATCH($A156,_xlfn.VSTACK(YES_Writing_ELA[Student Number],YES_Writing_FLA[Student Number]),0),MATCH(VLOOKUP(F$7,'Writing Logic'!$J$7:$K$11,2,FALSE)&amp;" - Per "&amp;VLOOKUP($C$4,'Writing Logic'!$G$8:$H$14,2,FALSE),YES_Writing_ELA[#Headers],0))=0,"",INDEX(_xlfn.VSTACK(YES_Writing_ELA[#Data],YES_Writing_FLA[#Data]),MATCH($A156,_xlfn.VSTACK(YES_Writing_ELA[Student Number],YES_Writing_FLA[Student Number]),0),MATCH(VLOOKUP(F$7,'Writing Logic'!$J$7:$K$11,2,FALSE)&amp;" - Per "&amp;VLOOKUP($C$4,'Writing Logic'!$G$8:$H$14,2,FALSE),YES_Writing_ELA[#Headers],0)))),"")</f>
        <v/>
      </c>
      <c r="G156" s="138" t="str">
        <f>IFERROR(IF(IF(INDEX(_xlfn.VSTACK(YES_Writing_ELA[#Data],YES_Writing_FLA[#Data]),MATCH($A156,_xlfn.VSTACK(YES_Writing_ELA[Student Number],YES_Writing_FLA[Student Number]),0),MATCH(VLOOKUP(G$7,'Writing Logic'!$J$7:$K$11,2,FALSE)&amp;" - Per "&amp;VLOOKUP($C$4,'Writing Logic'!$G$8:$H$14,2,FALSE),YES_Writing_ELA[#Headers],0))=0,"",INDEX(_xlfn.VSTACK(YES_Writing_ELA[#Data],YES_Writing_FLA[#Data]),MATCH($A156,_xlfn.VSTACK(YES_Writing_ELA[Student Number],YES_Writing_FLA[Student Number]),0),MATCH(VLOOKUP(G$7,'Writing Logic'!$J$7:$K$11,2,FALSE)&amp;" - Per "&amp;VLOOKUP($C$4,'Writing Logic'!$G$8:$H$14,2,FALSE),YES_Writing_ELA[#Headers],0)))="INS",'Writing Logic'!$B$7,IF(INDEX(_xlfn.VSTACK(YES_Writing_ELA[#Data],YES_Writing_FLA[#Data]),MATCH($A156,_xlfn.VSTACK(YES_Writing_ELA[Student Number],YES_Writing_FLA[Student Number]),0),MATCH(VLOOKUP(G$7,'Writing Logic'!$J$7:$K$11,2,FALSE)&amp;" - Per "&amp;VLOOKUP($C$4,'Writing Logic'!$G$8:$H$14,2,FALSE),YES_Writing_ELA[#Headers],0))=0,"",INDEX(_xlfn.VSTACK(YES_Writing_ELA[#Data],YES_Writing_FLA[#Data]),MATCH($A156,_xlfn.VSTACK(YES_Writing_ELA[Student Number],YES_Writing_FLA[Student Number]),0),MATCH(VLOOKUP(G$7,'Writing Logic'!$J$7:$K$11,2,FALSE)&amp;" - Per "&amp;VLOOKUP($C$4,'Writing Logic'!$G$8:$H$14,2,FALSE),YES_Writing_ELA[#Headers],0)))),"")</f>
        <v/>
      </c>
      <c r="H156" s="223" t="str">
        <f>IFERROR(IF(IF(INDEX(_xlfn.VSTACK(YES_Writing_ELA[#Data],YES_Writing_FLA[#Data]),MATCH($A156,_xlfn.VSTACK(YES_Writing_ELA[Student Number],YES_Writing_FLA[Student Number]),0),MATCH(VLOOKUP(H$7,'Writing Logic'!$J$7:$K$11,2,FALSE)&amp;" - Per "&amp;VLOOKUP($C$4,'Writing Logic'!$G$8:$H$14,2,FALSE),YES_Writing_ELA[#Headers],0))=0,"",INDEX(_xlfn.VSTACK(YES_Writing_ELA[#Data],YES_Writing_FLA[#Data]),MATCH($A156,_xlfn.VSTACK(YES_Writing_ELA[Student Number],YES_Writing_FLA[Student Number]),0),MATCH(VLOOKUP(H$7,'Writing Logic'!$J$7:$K$11,2,FALSE)&amp;" - Per "&amp;VLOOKUP($C$4,'Writing Logic'!$G$8:$H$14,2,FALSE),YES_Writing_ELA[#Headers],0)))="INS",'Writing Logic'!$B$7,IF(INDEX(_xlfn.VSTACK(YES_Writing_ELA[#Data],YES_Writing_FLA[#Data]),MATCH($A156,_xlfn.VSTACK(YES_Writing_ELA[Student Number],YES_Writing_FLA[Student Number]),0),MATCH(VLOOKUP(H$7,'Writing Logic'!$J$7:$K$11,2,FALSE)&amp;" - Per "&amp;VLOOKUP($C$4,'Writing Logic'!$G$8:$H$14,2,FALSE),YES_Writing_ELA[#Headers],0))=0,"",INDEX(_xlfn.VSTACK(YES_Writing_ELA[#Data],YES_Writing_FLA[#Data]),MATCH($A156,_xlfn.VSTACK(YES_Writing_ELA[Student Number],YES_Writing_FLA[Student Number]),0),MATCH(VLOOKUP(H$7,'Writing Logic'!$J$7:$K$11,2,FALSE)&amp;" - Per "&amp;VLOOKUP($C$4,'Writing Logic'!$G$8:$H$14,2,FALSE),YES_Writing_ELA[#Headers],0)))),"")</f>
        <v/>
      </c>
      <c r="I156" s="224" t="str" cm="1">
        <f t="array" aca="1" ref="I156" ca="1">IFERROR(
IF($G$3="ELA",
IF(VLOOKUP($A156, YES_Reading_ELA[], COLUMN(INDIRECT("YES_Reading_ELA[Difference - Per "&amp;VLOOKUP($G$4, 'Reading Report Logic'!$A$2:$B$8, 2, FALSE)&amp;"]")), FALSE)="", "",
VLOOKUP($A156,YES_Reading_ELA[], COLUMN(INDIRECT("YES_Reading_ELA[Difference - Per "&amp;VLOOKUP($G$4,'Reading Report Logic'!$A$2:$B$8,2,FALSE)&amp;"]")), FALSE)),
IF($G$3="FLA",
IF(VLOOKUP($A156, YES_Reading_FLA[], COLUMN(INDIRECT("YES_Reading_FLA[Difference - Per "&amp;VLOOKUP($G$4,'Reading Report Logic'!$A$2:$B$8,2,FALSE)&amp;"]")),FALSE)="","",
VLOOKUP($A156,YES_Reading_FLA[],COLUMN(INDIRECT("YES_Reading_FLA[Difference - Per "&amp;VLOOKUP($G$4,'Reading Report Logic'!$A$2:$B$8,2,FALSE)&amp;"]")),FALSE)),
IF($G$3="Combined",
IFERROR(
IF(VLOOKUP($A156, YES_Reading_ELA[], COLUMN(INDIRECT("YES_Reading_ELA[Difference - Per "&amp;VLOOKUP($G$4, 'Reading Report Logic'!$A$2:$B$8,2,FALSE)&amp;"]")), FALSE)="", "",
VLOOKUP($A156,YES_Reading_ELA[],COLUMN(INDIRECT("YES_Reading_ELA[Difference - Per "&amp;VLOOKUP($G$4,'Reading Report Logic'!$A$2:$B$8,2,FALSE)&amp;"]")),FALSE)),
IF(VLOOKUP($A156, YES_Reading_FLA[], COLUMN(INDIRECT("YES_Reading_FLA[Difference - Per "&amp;VLOOKUP($G$4, 'Reading Report Logic'!$A$2:$B$8, 2, FALSE)&amp;"]")),FALSE)="", "", VLOOKUP($A156,YES_Reading_FLA[],COLUMN(INDIRECT("YES_Reading_FLA[Difference - Per "&amp;VLOOKUP($G$4, 'Reading Report Logic'!$A$2:$B$8, 2, FALSE)&amp;"]")),FALSE))),""))),"")</f>
        <v/>
      </c>
    </row>
    <row r="157" spans="1:9" ht="14.25" customHeight="1" x14ac:dyDescent="0.25">
      <c r="A157" s="137"/>
      <c r="B157" s="137" t="str">
        <f>IFERROR(INDEX(_xlfn.VSTACK(YES_Writing_ELA[#Data], YES_Writing_FLA[#Data]),MATCH($A157,_xlfn.VSTACK(YES_Writing_ELA[Student Number], YES_Writing_FLA[Student Number]),0),MATCH(B$7,YES_Writing_ELA[#Headers],0)),IFERROR(INDEX(_xlfn.VSTACK(YES_Reading_ELA[#Data], YES_Reading_FLA[#Data]),MATCH($A157,_xlfn.VSTACK(YES_Reading_ELA[Student Number], YES_Reading_FLA[Student Number]),0),MATCH(B$7,YES_Reading_ELA[#Headers],0)),""))</f>
        <v/>
      </c>
      <c r="C157" s="137" t="str">
        <f>IFERROR(INDEX(_xlfn.VSTACK(YES_Writing_ELA[#Data], YES_Writing_FLA[#Data]),MATCH($A157,_xlfn.VSTACK(YES_Writing_ELA[Student Number], YES_Writing_FLA[Student Number]),0),MATCH(C$7,YES_Writing_ELA[#Headers],0)),IFERROR(INDEX(_xlfn.VSTACK(YES_Reading_ELA[#Data], YES_Reading_FLA[#Data]),MATCH($A157,_xlfn.VSTACK(YES_Reading_ELA[Student Number], YES_Reading_FLA[Student Number]),0),MATCH(C$7,YES_Reading_ELA[#Headers],0)),""))</f>
        <v/>
      </c>
      <c r="D157" s="138" t="str">
        <f>IFERROR(IF(IF(INDEX(_xlfn.VSTACK(YES_Writing_ELA[#Data],YES_Writing_FLA[#Data]),MATCH($A157,_xlfn.VSTACK(YES_Writing_ELA[Student Number],YES_Writing_FLA[Student Number]),0),MATCH(VLOOKUP(D$7,'Writing Logic'!$J$7:$K$11,2,FALSE)&amp;" - Per "&amp;VLOOKUP($C$4,'Writing Logic'!$G$8:$H$14,2,FALSE),YES_Writing_ELA[#Headers],0))=0,"",INDEX(_xlfn.VSTACK(YES_Writing_ELA[#Data],YES_Writing_FLA[#Data]),MATCH($A157,_xlfn.VSTACK(YES_Writing_ELA[Student Number],YES_Writing_FLA[Student Number]),0),MATCH(VLOOKUP(D$7,'Writing Logic'!$J$7:$K$11,2,FALSE)&amp;" - Per "&amp;VLOOKUP($C$4,'Writing Logic'!$G$8:$H$14,2,FALSE),YES_Writing_ELA[#Headers],0)))="INS",'Writing Logic'!$B$7,IF(INDEX(_xlfn.VSTACK(YES_Writing_ELA[#Data],YES_Writing_FLA[#Data]),MATCH($A157,_xlfn.VSTACK(YES_Writing_ELA[Student Number],YES_Writing_FLA[Student Number]),0),MATCH(VLOOKUP(D$7,'Writing Logic'!$J$7:$K$11,2,FALSE)&amp;" - Per "&amp;VLOOKUP($C$4,'Writing Logic'!$G$8:$H$14,2,FALSE),YES_Writing_ELA[#Headers],0))=0,"",INDEX(_xlfn.VSTACK(YES_Writing_ELA[#Data],YES_Writing_FLA[#Data]),MATCH($A157,_xlfn.VSTACK(YES_Writing_ELA[Student Number],YES_Writing_FLA[Student Number]),0),MATCH(VLOOKUP(D$7,'Writing Logic'!$J$7:$K$11,2,FALSE)&amp;" - Per "&amp;VLOOKUP($C$4,'Writing Logic'!$G$8:$H$14,2,FALSE),YES_Writing_ELA[#Headers],0)))),"")</f>
        <v/>
      </c>
      <c r="E157" s="138" t="str">
        <f>IFERROR(IF(IF(INDEX(_xlfn.VSTACK(YES_Writing_ELA[#Data],YES_Writing_FLA[#Data]),MATCH($A157,_xlfn.VSTACK(YES_Writing_ELA[Student Number],YES_Writing_FLA[Student Number]),0),MATCH(VLOOKUP(E$7,'Writing Logic'!$J$7:$K$11,2,FALSE)&amp;" - Per "&amp;VLOOKUP($C$4,'Writing Logic'!$G$8:$H$14,2,FALSE),YES_Writing_ELA[#Headers],0))=0,"",INDEX(_xlfn.VSTACK(YES_Writing_ELA[#Data],YES_Writing_FLA[#Data]),MATCH($A157,_xlfn.VSTACK(YES_Writing_ELA[Student Number],YES_Writing_FLA[Student Number]),0),MATCH(VLOOKUP(E$7,'Writing Logic'!$J$7:$K$11,2,FALSE)&amp;" - Per "&amp;VLOOKUP($C$4,'Writing Logic'!$G$8:$H$14,2,FALSE),YES_Writing_ELA[#Headers],0)))="INS",'Writing Logic'!$B$7,IF(INDEX(_xlfn.VSTACK(YES_Writing_ELA[#Data],YES_Writing_FLA[#Data]),MATCH($A157,_xlfn.VSTACK(YES_Writing_ELA[Student Number],YES_Writing_FLA[Student Number]),0),MATCH(VLOOKUP(E$7,'Writing Logic'!$J$7:$K$11,2,FALSE)&amp;" - Per "&amp;VLOOKUP($C$4,'Writing Logic'!$G$8:$H$14,2,FALSE),YES_Writing_ELA[#Headers],0))=0,"",INDEX(_xlfn.VSTACK(YES_Writing_ELA[#Data],YES_Writing_FLA[#Data]),MATCH($A157,_xlfn.VSTACK(YES_Writing_ELA[Student Number],YES_Writing_FLA[Student Number]),0),MATCH(VLOOKUP(E$7,'Writing Logic'!$J$7:$K$11,2,FALSE)&amp;" - Per "&amp;VLOOKUP($C$4,'Writing Logic'!$G$8:$H$14,2,FALSE),YES_Writing_ELA[#Headers],0)))),"")</f>
        <v/>
      </c>
      <c r="F157" s="138" t="str">
        <f>IFERROR(IF(IF(INDEX(_xlfn.VSTACK(YES_Writing_ELA[#Data],YES_Writing_FLA[#Data]),MATCH($A157,_xlfn.VSTACK(YES_Writing_ELA[Student Number],YES_Writing_FLA[Student Number]),0),MATCH(VLOOKUP(F$7,'Writing Logic'!$J$7:$K$11,2,FALSE)&amp;" - Per "&amp;VLOOKUP($C$4,'Writing Logic'!$G$8:$H$14,2,FALSE),YES_Writing_ELA[#Headers],0))=0,"",INDEX(_xlfn.VSTACK(YES_Writing_ELA[#Data],YES_Writing_FLA[#Data]),MATCH($A157,_xlfn.VSTACK(YES_Writing_ELA[Student Number],YES_Writing_FLA[Student Number]),0),MATCH(VLOOKUP(F$7,'Writing Logic'!$J$7:$K$11,2,FALSE)&amp;" - Per "&amp;VLOOKUP($C$4,'Writing Logic'!$G$8:$H$14,2,FALSE),YES_Writing_ELA[#Headers],0)))="INS",'Writing Logic'!$B$7,IF(INDEX(_xlfn.VSTACK(YES_Writing_ELA[#Data],YES_Writing_FLA[#Data]),MATCH($A157,_xlfn.VSTACK(YES_Writing_ELA[Student Number],YES_Writing_FLA[Student Number]),0),MATCH(VLOOKUP(F$7,'Writing Logic'!$J$7:$K$11,2,FALSE)&amp;" - Per "&amp;VLOOKUP($C$4,'Writing Logic'!$G$8:$H$14,2,FALSE),YES_Writing_ELA[#Headers],0))=0,"",INDEX(_xlfn.VSTACK(YES_Writing_ELA[#Data],YES_Writing_FLA[#Data]),MATCH($A157,_xlfn.VSTACK(YES_Writing_ELA[Student Number],YES_Writing_FLA[Student Number]),0),MATCH(VLOOKUP(F$7,'Writing Logic'!$J$7:$K$11,2,FALSE)&amp;" - Per "&amp;VLOOKUP($C$4,'Writing Logic'!$G$8:$H$14,2,FALSE),YES_Writing_ELA[#Headers],0)))),"")</f>
        <v/>
      </c>
      <c r="G157" s="138" t="str">
        <f>IFERROR(IF(IF(INDEX(_xlfn.VSTACK(YES_Writing_ELA[#Data],YES_Writing_FLA[#Data]),MATCH($A157,_xlfn.VSTACK(YES_Writing_ELA[Student Number],YES_Writing_FLA[Student Number]),0),MATCH(VLOOKUP(G$7,'Writing Logic'!$J$7:$K$11,2,FALSE)&amp;" - Per "&amp;VLOOKUP($C$4,'Writing Logic'!$G$8:$H$14,2,FALSE),YES_Writing_ELA[#Headers],0))=0,"",INDEX(_xlfn.VSTACK(YES_Writing_ELA[#Data],YES_Writing_FLA[#Data]),MATCH($A157,_xlfn.VSTACK(YES_Writing_ELA[Student Number],YES_Writing_FLA[Student Number]),0),MATCH(VLOOKUP(G$7,'Writing Logic'!$J$7:$K$11,2,FALSE)&amp;" - Per "&amp;VLOOKUP($C$4,'Writing Logic'!$G$8:$H$14,2,FALSE),YES_Writing_ELA[#Headers],0)))="INS",'Writing Logic'!$B$7,IF(INDEX(_xlfn.VSTACK(YES_Writing_ELA[#Data],YES_Writing_FLA[#Data]),MATCH($A157,_xlfn.VSTACK(YES_Writing_ELA[Student Number],YES_Writing_FLA[Student Number]),0),MATCH(VLOOKUP(G$7,'Writing Logic'!$J$7:$K$11,2,FALSE)&amp;" - Per "&amp;VLOOKUP($C$4,'Writing Logic'!$G$8:$H$14,2,FALSE),YES_Writing_ELA[#Headers],0))=0,"",INDEX(_xlfn.VSTACK(YES_Writing_ELA[#Data],YES_Writing_FLA[#Data]),MATCH($A157,_xlfn.VSTACK(YES_Writing_ELA[Student Number],YES_Writing_FLA[Student Number]),0),MATCH(VLOOKUP(G$7,'Writing Logic'!$J$7:$K$11,2,FALSE)&amp;" - Per "&amp;VLOOKUP($C$4,'Writing Logic'!$G$8:$H$14,2,FALSE),YES_Writing_ELA[#Headers],0)))),"")</f>
        <v/>
      </c>
      <c r="H157" s="223" t="str">
        <f>IFERROR(IF(IF(INDEX(_xlfn.VSTACK(YES_Writing_ELA[#Data],YES_Writing_FLA[#Data]),MATCH($A157,_xlfn.VSTACK(YES_Writing_ELA[Student Number],YES_Writing_FLA[Student Number]),0),MATCH(VLOOKUP(H$7,'Writing Logic'!$J$7:$K$11,2,FALSE)&amp;" - Per "&amp;VLOOKUP($C$4,'Writing Logic'!$G$8:$H$14,2,FALSE),YES_Writing_ELA[#Headers],0))=0,"",INDEX(_xlfn.VSTACK(YES_Writing_ELA[#Data],YES_Writing_FLA[#Data]),MATCH($A157,_xlfn.VSTACK(YES_Writing_ELA[Student Number],YES_Writing_FLA[Student Number]),0),MATCH(VLOOKUP(H$7,'Writing Logic'!$J$7:$K$11,2,FALSE)&amp;" - Per "&amp;VLOOKUP($C$4,'Writing Logic'!$G$8:$H$14,2,FALSE),YES_Writing_ELA[#Headers],0)))="INS",'Writing Logic'!$B$7,IF(INDEX(_xlfn.VSTACK(YES_Writing_ELA[#Data],YES_Writing_FLA[#Data]),MATCH($A157,_xlfn.VSTACK(YES_Writing_ELA[Student Number],YES_Writing_FLA[Student Number]),0),MATCH(VLOOKUP(H$7,'Writing Logic'!$J$7:$K$11,2,FALSE)&amp;" - Per "&amp;VLOOKUP($C$4,'Writing Logic'!$G$8:$H$14,2,FALSE),YES_Writing_ELA[#Headers],0))=0,"",INDEX(_xlfn.VSTACK(YES_Writing_ELA[#Data],YES_Writing_FLA[#Data]),MATCH($A157,_xlfn.VSTACK(YES_Writing_ELA[Student Number],YES_Writing_FLA[Student Number]),0),MATCH(VLOOKUP(H$7,'Writing Logic'!$J$7:$K$11,2,FALSE)&amp;" - Per "&amp;VLOOKUP($C$4,'Writing Logic'!$G$8:$H$14,2,FALSE),YES_Writing_ELA[#Headers],0)))),"")</f>
        <v/>
      </c>
      <c r="I157" s="224" t="str" cm="1">
        <f t="array" aca="1" ref="I157" ca="1">IFERROR(
IF($G$3="ELA",
IF(VLOOKUP($A157, YES_Reading_ELA[], COLUMN(INDIRECT("YES_Reading_ELA[Difference - Per "&amp;VLOOKUP($G$4, 'Reading Report Logic'!$A$2:$B$8, 2, FALSE)&amp;"]")), FALSE)="", "",
VLOOKUP($A157,YES_Reading_ELA[], COLUMN(INDIRECT("YES_Reading_ELA[Difference - Per "&amp;VLOOKUP($G$4,'Reading Report Logic'!$A$2:$B$8,2,FALSE)&amp;"]")), FALSE)),
IF($G$3="FLA",
IF(VLOOKUP($A157, YES_Reading_FLA[], COLUMN(INDIRECT("YES_Reading_FLA[Difference - Per "&amp;VLOOKUP($G$4,'Reading Report Logic'!$A$2:$B$8,2,FALSE)&amp;"]")),FALSE)="","",
VLOOKUP($A157,YES_Reading_FLA[],COLUMN(INDIRECT("YES_Reading_FLA[Difference - Per "&amp;VLOOKUP($G$4,'Reading Report Logic'!$A$2:$B$8,2,FALSE)&amp;"]")),FALSE)),
IF($G$3="Combined",
IFERROR(
IF(VLOOKUP($A157, YES_Reading_ELA[], COLUMN(INDIRECT("YES_Reading_ELA[Difference - Per "&amp;VLOOKUP($G$4, 'Reading Report Logic'!$A$2:$B$8,2,FALSE)&amp;"]")), FALSE)="", "",
VLOOKUP($A157,YES_Reading_ELA[],COLUMN(INDIRECT("YES_Reading_ELA[Difference - Per "&amp;VLOOKUP($G$4,'Reading Report Logic'!$A$2:$B$8,2,FALSE)&amp;"]")),FALSE)),
IF(VLOOKUP($A157, YES_Reading_FLA[], COLUMN(INDIRECT("YES_Reading_FLA[Difference - Per "&amp;VLOOKUP($G$4, 'Reading Report Logic'!$A$2:$B$8, 2, FALSE)&amp;"]")),FALSE)="", "", VLOOKUP($A157,YES_Reading_FLA[],COLUMN(INDIRECT("YES_Reading_FLA[Difference - Per "&amp;VLOOKUP($G$4, 'Reading Report Logic'!$A$2:$B$8, 2, FALSE)&amp;"]")),FALSE))),""))),"")</f>
        <v/>
      </c>
    </row>
    <row r="158" spans="1:9" ht="14.25" customHeight="1" x14ac:dyDescent="0.25">
      <c r="A158" s="137"/>
      <c r="B158" s="137" t="str">
        <f>IFERROR(INDEX(_xlfn.VSTACK(YES_Writing_ELA[#Data], YES_Writing_FLA[#Data]),MATCH($A158,_xlfn.VSTACK(YES_Writing_ELA[Student Number], YES_Writing_FLA[Student Number]),0),MATCH(B$7,YES_Writing_ELA[#Headers],0)),IFERROR(INDEX(_xlfn.VSTACK(YES_Reading_ELA[#Data], YES_Reading_FLA[#Data]),MATCH($A158,_xlfn.VSTACK(YES_Reading_ELA[Student Number], YES_Reading_FLA[Student Number]),0),MATCH(B$7,YES_Reading_ELA[#Headers],0)),""))</f>
        <v/>
      </c>
      <c r="C158" s="137" t="str">
        <f>IFERROR(INDEX(_xlfn.VSTACK(YES_Writing_ELA[#Data], YES_Writing_FLA[#Data]),MATCH($A158,_xlfn.VSTACK(YES_Writing_ELA[Student Number], YES_Writing_FLA[Student Number]),0),MATCH(C$7,YES_Writing_ELA[#Headers],0)),IFERROR(INDEX(_xlfn.VSTACK(YES_Reading_ELA[#Data], YES_Reading_FLA[#Data]),MATCH($A158,_xlfn.VSTACK(YES_Reading_ELA[Student Number], YES_Reading_FLA[Student Number]),0),MATCH(C$7,YES_Reading_ELA[#Headers],0)),""))</f>
        <v/>
      </c>
      <c r="D158" s="138" t="str">
        <f>IFERROR(IF(IF(INDEX(_xlfn.VSTACK(YES_Writing_ELA[#Data],YES_Writing_FLA[#Data]),MATCH($A158,_xlfn.VSTACK(YES_Writing_ELA[Student Number],YES_Writing_FLA[Student Number]),0),MATCH(VLOOKUP(D$7,'Writing Logic'!$J$7:$K$11,2,FALSE)&amp;" - Per "&amp;VLOOKUP($C$4,'Writing Logic'!$G$8:$H$14,2,FALSE),YES_Writing_ELA[#Headers],0))=0,"",INDEX(_xlfn.VSTACK(YES_Writing_ELA[#Data],YES_Writing_FLA[#Data]),MATCH($A158,_xlfn.VSTACK(YES_Writing_ELA[Student Number],YES_Writing_FLA[Student Number]),0),MATCH(VLOOKUP(D$7,'Writing Logic'!$J$7:$K$11,2,FALSE)&amp;" - Per "&amp;VLOOKUP($C$4,'Writing Logic'!$G$8:$H$14,2,FALSE),YES_Writing_ELA[#Headers],0)))="INS",'Writing Logic'!$B$7,IF(INDEX(_xlfn.VSTACK(YES_Writing_ELA[#Data],YES_Writing_FLA[#Data]),MATCH($A158,_xlfn.VSTACK(YES_Writing_ELA[Student Number],YES_Writing_FLA[Student Number]),0),MATCH(VLOOKUP(D$7,'Writing Logic'!$J$7:$K$11,2,FALSE)&amp;" - Per "&amp;VLOOKUP($C$4,'Writing Logic'!$G$8:$H$14,2,FALSE),YES_Writing_ELA[#Headers],0))=0,"",INDEX(_xlfn.VSTACK(YES_Writing_ELA[#Data],YES_Writing_FLA[#Data]),MATCH($A158,_xlfn.VSTACK(YES_Writing_ELA[Student Number],YES_Writing_FLA[Student Number]),0),MATCH(VLOOKUP(D$7,'Writing Logic'!$J$7:$K$11,2,FALSE)&amp;" - Per "&amp;VLOOKUP($C$4,'Writing Logic'!$G$8:$H$14,2,FALSE),YES_Writing_ELA[#Headers],0)))),"")</f>
        <v/>
      </c>
      <c r="E158" s="138" t="str">
        <f>IFERROR(IF(IF(INDEX(_xlfn.VSTACK(YES_Writing_ELA[#Data],YES_Writing_FLA[#Data]),MATCH($A158,_xlfn.VSTACK(YES_Writing_ELA[Student Number],YES_Writing_FLA[Student Number]),0),MATCH(VLOOKUP(E$7,'Writing Logic'!$J$7:$K$11,2,FALSE)&amp;" - Per "&amp;VLOOKUP($C$4,'Writing Logic'!$G$8:$H$14,2,FALSE),YES_Writing_ELA[#Headers],0))=0,"",INDEX(_xlfn.VSTACK(YES_Writing_ELA[#Data],YES_Writing_FLA[#Data]),MATCH($A158,_xlfn.VSTACK(YES_Writing_ELA[Student Number],YES_Writing_FLA[Student Number]),0),MATCH(VLOOKUP(E$7,'Writing Logic'!$J$7:$K$11,2,FALSE)&amp;" - Per "&amp;VLOOKUP($C$4,'Writing Logic'!$G$8:$H$14,2,FALSE),YES_Writing_ELA[#Headers],0)))="INS",'Writing Logic'!$B$7,IF(INDEX(_xlfn.VSTACK(YES_Writing_ELA[#Data],YES_Writing_FLA[#Data]),MATCH($A158,_xlfn.VSTACK(YES_Writing_ELA[Student Number],YES_Writing_FLA[Student Number]),0),MATCH(VLOOKUP(E$7,'Writing Logic'!$J$7:$K$11,2,FALSE)&amp;" - Per "&amp;VLOOKUP($C$4,'Writing Logic'!$G$8:$H$14,2,FALSE),YES_Writing_ELA[#Headers],0))=0,"",INDEX(_xlfn.VSTACK(YES_Writing_ELA[#Data],YES_Writing_FLA[#Data]),MATCH($A158,_xlfn.VSTACK(YES_Writing_ELA[Student Number],YES_Writing_FLA[Student Number]),0),MATCH(VLOOKUP(E$7,'Writing Logic'!$J$7:$K$11,2,FALSE)&amp;" - Per "&amp;VLOOKUP($C$4,'Writing Logic'!$G$8:$H$14,2,FALSE),YES_Writing_ELA[#Headers],0)))),"")</f>
        <v/>
      </c>
      <c r="F158" s="138" t="str">
        <f>IFERROR(IF(IF(INDEX(_xlfn.VSTACK(YES_Writing_ELA[#Data],YES_Writing_FLA[#Data]),MATCH($A158,_xlfn.VSTACK(YES_Writing_ELA[Student Number],YES_Writing_FLA[Student Number]),0),MATCH(VLOOKUP(F$7,'Writing Logic'!$J$7:$K$11,2,FALSE)&amp;" - Per "&amp;VLOOKUP($C$4,'Writing Logic'!$G$8:$H$14,2,FALSE),YES_Writing_ELA[#Headers],0))=0,"",INDEX(_xlfn.VSTACK(YES_Writing_ELA[#Data],YES_Writing_FLA[#Data]),MATCH($A158,_xlfn.VSTACK(YES_Writing_ELA[Student Number],YES_Writing_FLA[Student Number]),0),MATCH(VLOOKUP(F$7,'Writing Logic'!$J$7:$K$11,2,FALSE)&amp;" - Per "&amp;VLOOKUP($C$4,'Writing Logic'!$G$8:$H$14,2,FALSE),YES_Writing_ELA[#Headers],0)))="INS",'Writing Logic'!$B$7,IF(INDEX(_xlfn.VSTACK(YES_Writing_ELA[#Data],YES_Writing_FLA[#Data]),MATCH($A158,_xlfn.VSTACK(YES_Writing_ELA[Student Number],YES_Writing_FLA[Student Number]),0),MATCH(VLOOKUP(F$7,'Writing Logic'!$J$7:$K$11,2,FALSE)&amp;" - Per "&amp;VLOOKUP($C$4,'Writing Logic'!$G$8:$H$14,2,FALSE),YES_Writing_ELA[#Headers],0))=0,"",INDEX(_xlfn.VSTACK(YES_Writing_ELA[#Data],YES_Writing_FLA[#Data]),MATCH($A158,_xlfn.VSTACK(YES_Writing_ELA[Student Number],YES_Writing_FLA[Student Number]),0),MATCH(VLOOKUP(F$7,'Writing Logic'!$J$7:$K$11,2,FALSE)&amp;" - Per "&amp;VLOOKUP($C$4,'Writing Logic'!$G$8:$H$14,2,FALSE),YES_Writing_ELA[#Headers],0)))),"")</f>
        <v/>
      </c>
      <c r="G158" s="138" t="str">
        <f>IFERROR(IF(IF(INDEX(_xlfn.VSTACK(YES_Writing_ELA[#Data],YES_Writing_FLA[#Data]),MATCH($A158,_xlfn.VSTACK(YES_Writing_ELA[Student Number],YES_Writing_FLA[Student Number]),0),MATCH(VLOOKUP(G$7,'Writing Logic'!$J$7:$K$11,2,FALSE)&amp;" - Per "&amp;VLOOKUP($C$4,'Writing Logic'!$G$8:$H$14,2,FALSE),YES_Writing_ELA[#Headers],0))=0,"",INDEX(_xlfn.VSTACK(YES_Writing_ELA[#Data],YES_Writing_FLA[#Data]),MATCH($A158,_xlfn.VSTACK(YES_Writing_ELA[Student Number],YES_Writing_FLA[Student Number]),0),MATCH(VLOOKUP(G$7,'Writing Logic'!$J$7:$K$11,2,FALSE)&amp;" - Per "&amp;VLOOKUP($C$4,'Writing Logic'!$G$8:$H$14,2,FALSE),YES_Writing_ELA[#Headers],0)))="INS",'Writing Logic'!$B$7,IF(INDEX(_xlfn.VSTACK(YES_Writing_ELA[#Data],YES_Writing_FLA[#Data]),MATCH($A158,_xlfn.VSTACK(YES_Writing_ELA[Student Number],YES_Writing_FLA[Student Number]),0),MATCH(VLOOKUP(G$7,'Writing Logic'!$J$7:$K$11,2,FALSE)&amp;" - Per "&amp;VLOOKUP($C$4,'Writing Logic'!$G$8:$H$14,2,FALSE),YES_Writing_ELA[#Headers],0))=0,"",INDEX(_xlfn.VSTACK(YES_Writing_ELA[#Data],YES_Writing_FLA[#Data]),MATCH($A158,_xlfn.VSTACK(YES_Writing_ELA[Student Number],YES_Writing_FLA[Student Number]),0),MATCH(VLOOKUP(G$7,'Writing Logic'!$J$7:$K$11,2,FALSE)&amp;" - Per "&amp;VLOOKUP($C$4,'Writing Logic'!$G$8:$H$14,2,FALSE),YES_Writing_ELA[#Headers],0)))),"")</f>
        <v/>
      </c>
      <c r="H158" s="223" t="str">
        <f>IFERROR(IF(IF(INDEX(_xlfn.VSTACK(YES_Writing_ELA[#Data],YES_Writing_FLA[#Data]),MATCH($A158,_xlfn.VSTACK(YES_Writing_ELA[Student Number],YES_Writing_FLA[Student Number]),0),MATCH(VLOOKUP(H$7,'Writing Logic'!$J$7:$K$11,2,FALSE)&amp;" - Per "&amp;VLOOKUP($C$4,'Writing Logic'!$G$8:$H$14,2,FALSE),YES_Writing_ELA[#Headers],0))=0,"",INDEX(_xlfn.VSTACK(YES_Writing_ELA[#Data],YES_Writing_FLA[#Data]),MATCH($A158,_xlfn.VSTACK(YES_Writing_ELA[Student Number],YES_Writing_FLA[Student Number]),0),MATCH(VLOOKUP(H$7,'Writing Logic'!$J$7:$K$11,2,FALSE)&amp;" - Per "&amp;VLOOKUP($C$4,'Writing Logic'!$G$8:$H$14,2,FALSE),YES_Writing_ELA[#Headers],0)))="INS",'Writing Logic'!$B$7,IF(INDEX(_xlfn.VSTACK(YES_Writing_ELA[#Data],YES_Writing_FLA[#Data]),MATCH($A158,_xlfn.VSTACK(YES_Writing_ELA[Student Number],YES_Writing_FLA[Student Number]),0),MATCH(VLOOKUP(H$7,'Writing Logic'!$J$7:$K$11,2,FALSE)&amp;" - Per "&amp;VLOOKUP($C$4,'Writing Logic'!$G$8:$H$14,2,FALSE),YES_Writing_ELA[#Headers],0))=0,"",INDEX(_xlfn.VSTACK(YES_Writing_ELA[#Data],YES_Writing_FLA[#Data]),MATCH($A158,_xlfn.VSTACK(YES_Writing_ELA[Student Number],YES_Writing_FLA[Student Number]),0),MATCH(VLOOKUP(H$7,'Writing Logic'!$J$7:$K$11,2,FALSE)&amp;" - Per "&amp;VLOOKUP($C$4,'Writing Logic'!$G$8:$H$14,2,FALSE),YES_Writing_ELA[#Headers],0)))),"")</f>
        <v/>
      </c>
      <c r="I158" s="224" t="str" cm="1">
        <f t="array" aca="1" ref="I158" ca="1">IFERROR(
IF($G$3="ELA",
IF(VLOOKUP($A158, YES_Reading_ELA[], COLUMN(INDIRECT("YES_Reading_ELA[Difference - Per "&amp;VLOOKUP($G$4, 'Reading Report Logic'!$A$2:$B$8, 2, FALSE)&amp;"]")), FALSE)="", "",
VLOOKUP($A158,YES_Reading_ELA[], COLUMN(INDIRECT("YES_Reading_ELA[Difference - Per "&amp;VLOOKUP($G$4,'Reading Report Logic'!$A$2:$B$8,2,FALSE)&amp;"]")), FALSE)),
IF($G$3="FLA",
IF(VLOOKUP($A158, YES_Reading_FLA[], COLUMN(INDIRECT("YES_Reading_FLA[Difference - Per "&amp;VLOOKUP($G$4,'Reading Report Logic'!$A$2:$B$8,2,FALSE)&amp;"]")),FALSE)="","",
VLOOKUP($A158,YES_Reading_FLA[],COLUMN(INDIRECT("YES_Reading_FLA[Difference - Per "&amp;VLOOKUP($G$4,'Reading Report Logic'!$A$2:$B$8,2,FALSE)&amp;"]")),FALSE)),
IF($G$3="Combined",
IFERROR(
IF(VLOOKUP($A158, YES_Reading_ELA[], COLUMN(INDIRECT("YES_Reading_ELA[Difference - Per "&amp;VLOOKUP($G$4, 'Reading Report Logic'!$A$2:$B$8,2,FALSE)&amp;"]")), FALSE)="", "",
VLOOKUP($A158,YES_Reading_ELA[],COLUMN(INDIRECT("YES_Reading_ELA[Difference - Per "&amp;VLOOKUP($G$4,'Reading Report Logic'!$A$2:$B$8,2,FALSE)&amp;"]")),FALSE)),
IF(VLOOKUP($A158, YES_Reading_FLA[], COLUMN(INDIRECT("YES_Reading_FLA[Difference - Per "&amp;VLOOKUP($G$4, 'Reading Report Logic'!$A$2:$B$8, 2, FALSE)&amp;"]")),FALSE)="", "", VLOOKUP($A158,YES_Reading_FLA[],COLUMN(INDIRECT("YES_Reading_FLA[Difference - Per "&amp;VLOOKUP($G$4, 'Reading Report Logic'!$A$2:$B$8, 2, FALSE)&amp;"]")),FALSE))),""))),"")</f>
        <v/>
      </c>
    </row>
    <row r="159" spans="1:9" ht="14.25" customHeight="1" x14ac:dyDescent="0.25">
      <c r="A159" s="137"/>
      <c r="B159" s="137" t="str">
        <f>IFERROR(INDEX(_xlfn.VSTACK(YES_Writing_ELA[#Data], YES_Writing_FLA[#Data]),MATCH($A159,_xlfn.VSTACK(YES_Writing_ELA[Student Number], YES_Writing_FLA[Student Number]),0),MATCH(B$7,YES_Writing_ELA[#Headers],0)),IFERROR(INDEX(_xlfn.VSTACK(YES_Reading_ELA[#Data], YES_Reading_FLA[#Data]),MATCH($A159,_xlfn.VSTACK(YES_Reading_ELA[Student Number], YES_Reading_FLA[Student Number]),0),MATCH(B$7,YES_Reading_ELA[#Headers],0)),""))</f>
        <v/>
      </c>
      <c r="C159" s="137" t="str">
        <f>IFERROR(INDEX(_xlfn.VSTACK(YES_Writing_ELA[#Data], YES_Writing_FLA[#Data]),MATCH($A159,_xlfn.VSTACK(YES_Writing_ELA[Student Number], YES_Writing_FLA[Student Number]),0),MATCH(C$7,YES_Writing_ELA[#Headers],0)),IFERROR(INDEX(_xlfn.VSTACK(YES_Reading_ELA[#Data], YES_Reading_FLA[#Data]),MATCH($A159,_xlfn.VSTACK(YES_Reading_ELA[Student Number], YES_Reading_FLA[Student Number]),0),MATCH(C$7,YES_Reading_ELA[#Headers],0)),""))</f>
        <v/>
      </c>
      <c r="D159" s="138" t="str">
        <f>IFERROR(IF(IF(INDEX(_xlfn.VSTACK(YES_Writing_ELA[#Data],YES_Writing_FLA[#Data]),MATCH($A159,_xlfn.VSTACK(YES_Writing_ELA[Student Number],YES_Writing_FLA[Student Number]),0),MATCH(VLOOKUP(D$7,'Writing Logic'!$J$7:$K$11,2,FALSE)&amp;" - Per "&amp;VLOOKUP($C$4,'Writing Logic'!$G$8:$H$14,2,FALSE),YES_Writing_ELA[#Headers],0))=0,"",INDEX(_xlfn.VSTACK(YES_Writing_ELA[#Data],YES_Writing_FLA[#Data]),MATCH($A159,_xlfn.VSTACK(YES_Writing_ELA[Student Number],YES_Writing_FLA[Student Number]),0),MATCH(VLOOKUP(D$7,'Writing Logic'!$J$7:$K$11,2,FALSE)&amp;" - Per "&amp;VLOOKUP($C$4,'Writing Logic'!$G$8:$H$14,2,FALSE),YES_Writing_ELA[#Headers],0)))="INS",'Writing Logic'!$B$7,IF(INDEX(_xlfn.VSTACK(YES_Writing_ELA[#Data],YES_Writing_FLA[#Data]),MATCH($A159,_xlfn.VSTACK(YES_Writing_ELA[Student Number],YES_Writing_FLA[Student Number]),0),MATCH(VLOOKUP(D$7,'Writing Logic'!$J$7:$K$11,2,FALSE)&amp;" - Per "&amp;VLOOKUP($C$4,'Writing Logic'!$G$8:$H$14,2,FALSE),YES_Writing_ELA[#Headers],0))=0,"",INDEX(_xlfn.VSTACK(YES_Writing_ELA[#Data],YES_Writing_FLA[#Data]),MATCH($A159,_xlfn.VSTACK(YES_Writing_ELA[Student Number],YES_Writing_FLA[Student Number]),0),MATCH(VLOOKUP(D$7,'Writing Logic'!$J$7:$K$11,2,FALSE)&amp;" - Per "&amp;VLOOKUP($C$4,'Writing Logic'!$G$8:$H$14,2,FALSE),YES_Writing_ELA[#Headers],0)))),"")</f>
        <v/>
      </c>
      <c r="E159" s="138" t="str">
        <f>IFERROR(IF(IF(INDEX(_xlfn.VSTACK(YES_Writing_ELA[#Data],YES_Writing_FLA[#Data]),MATCH($A159,_xlfn.VSTACK(YES_Writing_ELA[Student Number],YES_Writing_FLA[Student Number]),0),MATCH(VLOOKUP(E$7,'Writing Logic'!$J$7:$K$11,2,FALSE)&amp;" - Per "&amp;VLOOKUP($C$4,'Writing Logic'!$G$8:$H$14,2,FALSE),YES_Writing_ELA[#Headers],0))=0,"",INDEX(_xlfn.VSTACK(YES_Writing_ELA[#Data],YES_Writing_FLA[#Data]),MATCH($A159,_xlfn.VSTACK(YES_Writing_ELA[Student Number],YES_Writing_FLA[Student Number]),0),MATCH(VLOOKUP(E$7,'Writing Logic'!$J$7:$K$11,2,FALSE)&amp;" - Per "&amp;VLOOKUP($C$4,'Writing Logic'!$G$8:$H$14,2,FALSE),YES_Writing_ELA[#Headers],0)))="INS",'Writing Logic'!$B$7,IF(INDEX(_xlfn.VSTACK(YES_Writing_ELA[#Data],YES_Writing_FLA[#Data]),MATCH($A159,_xlfn.VSTACK(YES_Writing_ELA[Student Number],YES_Writing_FLA[Student Number]),0),MATCH(VLOOKUP(E$7,'Writing Logic'!$J$7:$K$11,2,FALSE)&amp;" - Per "&amp;VLOOKUP($C$4,'Writing Logic'!$G$8:$H$14,2,FALSE),YES_Writing_ELA[#Headers],0))=0,"",INDEX(_xlfn.VSTACK(YES_Writing_ELA[#Data],YES_Writing_FLA[#Data]),MATCH($A159,_xlfn.VSTACK(YES_Writing_ELA[Student Number],YES_Writing_FLA[Student Number]),0),MATCH(VLOOKUP(E$7,'Writing Logic'!$J$7:$K$11,2,FALSE)&amp;" - Per "&amp;VLOOKUP($C$4,'Writing Logic'!$G$8:$H$14,2,FALSE),YES_Writing_ELA[#Headers],0)))),"")</f>
        <v/>
      </c>
      <c r="F159" s="138" t="str">
        <f>IFERROR(IF(IF(INDEX(_xlfn.VSTACK(YES_Writing_ELA[#Data],YES_Writing_FLA[#Data]),MATCH($A159,_xlfn.VSTACK(YES_Writing_ELA[Student Number],YES_Writing_FLA[Student Number]),0),MATCH(VLOOKUP(F$7,'Writing Logic'!$J$7:$K$11,2,FALSE)&amp;" - Per "&amp;VLOOKUP($C$4,'Writing Logic'!$G$8:$H$14,2,FALSE),YES_Writing_ELA[#Headers],0))=0,"",INDEX(_xlfn.VSTACK(YES_Writing_ELA[#Data],YES_Writing_FLA[#Data]),MATCH($A159,_xlfn.VSTACK(YES_Writing_ELA[Student Number],YES_Writing_FLA[Student Number]),0),MATCH(VLOOKUP(F$7,'Writing Logic'!$J$7:$K$11,2,FALSE)&amp;" - Per "&amp;VLOOKUP($C$4,'Writing Logic'!$G$8:$H$14,2,FALSE),YES_Writing_ELA[#Headers],0)))="INS",'Writing Logic'!$B$7,IF(INDEX(_xlfn.VSTACK(YES_Writing_ELA[#Data],YES_Writing_FLA[#Data]),MATCH($A159,_xlfn.VSTACK(YES_Writing_ELA[Student Number],YES_Writing_FLA[Student Number]),0),MATCH(VLOOKUP(F$7,'Writing Logic'!$J$7:$K$11,2,FALSE)&amp;" - Per "&amp;VLOOKUP($C$4,'Writing Logic'!$G$8:$H$14,2,FALSE),YES_Writing_ELA[#Headers],0))=0,"",INDEX(_xlfn.VSTACK(YES_Writing_ELA[#Data],YES_Writing_FLA[#Data]),MATCH($A159,_xlfn.VSTACK(YES_Writing_ELA[Student Number],YES_Writing_FLA[Student Number]),0),MATCH(VLOOKUP(F$7,'Writing Logic'!$J$7:$K$11,2,FALSE)&amp;" - Per "&amp;VLOOKUP($C$4,'Writing Logic'!$G$8:$H$14,2,FALSE),YES_Writing_ELA[#Headers],0)))),"")</f>
        <v/>
      </c>
      <c r="G159" s="138" t="str">
        <f>IFERROR(IF(IF(INDEX(_xlfn.VSTACK(YES_Writing_ELA[#Data],YES_Writing_FLA[#Data]),MATCH($A159,_xlfn.VSTACK(YES_Writing_ELA[Student Number],YES_Writing_FLA[Student Number]),0),MATCH(VLOOKUP(G$7,'Writing Logic'!$J$7:$K$11,2,FALSE)&amp;" - Per "&amp;VLOOKUP($C$4,'Writing Logic'!$G$8:$H$14,2,FALSE),YES_Writing_ELA[#Headers],0))=0,"",INDEX(_xlfn.VSTACK(YES_Writing_ELA[#Data],YES_Writing_FLA[#Data]),MATCH($A159,_xlfn.VSTACK(YES_Writing_ELA[Student Number],YES_Writing_FLA[Student Number]),0),MATCH(VLOOKUP(G$7,'Writing Logic'!$J$7:$K$11,2,FALSE)&amp;" - Per "&amp;VLOOKUP($C$4,'Writing Logic'!$G$8:$H$14,2,FALSE),YES_Writing_ELA[#Headers],0)))="INS",'Writing Logic'!$B$7,IF(INDEX(_xlfn.VSTACK(YES_Writing_ELA[#Data],YES_Writing_FLA[#Data]),MATCH($A159,_xlfn.VSTACK(YES_Writing_ELA[Student Number],YES_Writing_FLA[Student Number]),0),MATCH(VLOOKUP(G$7,'Writing Logic'!$J$7:$K$11,2,FALSE)&amp;" - Per "&amp;VLOOKUP($C$4,'Writing Logic'!$G$8:$H$14,2,FALSE),YES_Writing_ELA[#Headers],0))=0,"",INDEX(_xlfn.VSTACK(YES_Writing_ELA[#Data],YES_Writing_FLA[#Data]),MATCH($A159,_xlfn.VSTACK(YES_Writing_ELA[Student Number],YES_Writing_FLA[Student Number]),0),MATCH(VLOOKUP(G$7,'Writing Logic'!$J$7:$K$11,2,FALSE)&amp;" - Per "&amp;VLOOKUP($C$4,'Writing Logic'!$G$8:$H$14,2,FALSE),YES_Writing_ELA[#Headers],0)))),"")</f>
        <v/>
      </c>
      <c r="H159" s="223" t="str">
        <f>IFERROR(IF(IF(INDEX(_xlfn.VSTACK(YES_Writing_ELA[#Data],YES_Writing_FLA[#Data]),MATCH($A159,_xlfn.VSTACK(YES_Writing_ELA[Student Number],YES_Writing_FLA[Student Number]),0),MATCH(VLOOKUP(H$7,'Writing Logic'!$J$7:$K$11,2,FALSE)&amp;" - Per "&amp;VLOOKUP($C$4,'Writing Logic'!$G$8:$H$14,2,FALSE),YES_Writing_ELA[#Headers],0))=0,"",INDEX(_xlfn.VSTACK(YES_Writing_ELA[#Data],YES_Writing_FLA[#Data]),MATCH($A159,_xlfn.VSTACK(YES_Writing_ELA[Student Number],YES_Writing_FLA[Student Number]),0),MATCH(VLOOKUP(H$7,'Writing Logic'!$J$7:$K$11,2,FALSE)&amp;" - Per "&amp;VLOOKUP($C$4,'Writing Logic'!$G$8:$H$14,2,FALSE),YES_Writing_ELA[#Headers],0)))="INS",'Writing Logic'!$B$7,IF(INDEX(_xlfn.VSTACK(YES_Writing_ELA[#Data],YES_Writing_FLA[#Data]),MATCH($A159,_xlfn.VSTACK(YES_Writing_ELA[Student Number],YES_Writing_FLA[Student Number]),0),MATCH(VLOOKUP(H$7,'Writing Logic'!$J$7:$K$11,2,FALSE)&amp;" - Per "&amp;VLOOKUP($C$4,'Writing Logic'!$G$8:$H$14,2,FALSE),YES_Writing_ELA[#Headers],0))=0,"",INDEX(_xlfn.VSTACK(YES_Writing_ELA[#Data],YES_Writing_FLA[#Data]),MATCH($A159,_xlfn.VSTACK(YES_Writing_ELA[Student Number],YES_Writing_FLA[Student Number]),0),MATCH(VLOOKUP(H$7,'Writing Logic'!$J$7:$K$11,2,FALSE)&amp;" - Per "&amp;VLOOKUP($C$4,'Writing Logic'!$G$8:$H$14,2,FALSE),YES_Writing_ELA[#Headers],0)))),"")</f>
        <v/>
      </c>
      <c r="I159" s="224" t="str" cm="1">
        <f t="array" aca="1" ref="I159" ca="1">IFERROR(
IF($G$3="ELA",
IF(VLOOKUP($A159, YES_Reading_ELA[], COLUMN(INDIRECT("YES_Reading_ELA[Difference - Per "&amp;VLOOKUP($G$4, 'Reading Report Logic'!$A$2:$B$8, 2, FALSE)&amp;"]")), FALSE)="", "",
VLOOKUP($A159,YES_Reading_ELA[], COLUMN(INDIRECT("YES_Reading_ELA[Difference - Per "&amp;VLOOKUP($G$4,'Reading Report Logic'!$A$2:$B$8,2,FALSE)&amp;"]")), FALSE)),
IF($G$3="FLA",
IF(VLOOKUP($A159, YES_Reading_FLA[], COLUMN(INDIRECT("YES_Reading_FLA[Difference - Per "&amp;VLOOKUP($G$4,'Reading Report Logic'!$A$2:$B$8,2,FALSE)&amp;"]")),FALSE)="","",
VLOOKUP($A159,YES_Reading_FLA[],COLUMN(INDIRECT("YES_Reading_FLA[Difference - Per "&amp;VLOOKUP($G$4,'Reading Report Logic'!$A$2:$B$8,2,FALSE)&amp;"]")),FALSE)),
IF($G$3="Combined",
IFERROR(
IF(VLOOKUP($A159, YES_Reading_ELA[], COLUMN(INDIRECT("YES_Reading_ELA[Difference - Per "&amp;VLOOKUP($G$4, 'Reading Report Logic'!$A$2:$B$8,2,FALSE)&amp;"]")), FALSE)="", "",
VLOOKUP($A159,YES_Reading_ELA[],COLUMN(INDIRECT("YES_Reading_ELA[Difference - Per "&amp;VLOOKUP($G$4,'Reading Report Logic'!$A$2:$B$8,2,FALSE)&amp;"]")),FALSE)),
IF(VLOOKUP($A159, YES_Reading_FLA[], COLUMN(INDIRECT("YES_Reading_FLA[Difference - Per "&amp;VLOOKUP($G$4, 'Reading Report Logic'!$A$2:$B$8, 2, FALSE)&amp;"]")),FALSE)="", "", VLOOKUP($A159,YES_Reading_FLA[],COLUMN(INDIRECT("YES_Reading_FLA[Difference - Per "&amp;VLOOKUP($G$4, 'Reading Report Logic'!$A$2:$B$8, 2, FALSE)&amp;"]")),FALSE))),""))),"")</f>
        <v/>
      </c>
    </row>
    <row r="160" spans="1:9" ht="14.25" customHeight="1" x14ac:dyDescent="0.25">
      <c r="A160" s="137"/>
      <c r="B160" s="137" t="str">
        <f>IFERROR(INDEX(_xlfn.VSTACK(YES_Writing_ELA[#Data], YES_Writing_FLA[#Data]),MATCH($A160,_xlfn.VSTACK(YES_Writing_ELA[Student Number], YES_Writing_FLA[Student Number]),0),MATCH(B$7,YES_Writing_ELA[#Headers],0)),IFERROR(INDEX(_xlfn.VSTACK(YES_Reading_ELA[#Data], YES_Reading_FLA[#Data]),MATCH($A160,_xlfn.VSTACK(YES_Reading_ELA[Student Number], YES_Reading_FLA[Student Number]),0),MATCH(B$7,YES_Reading_ELA[#Headers],0)),""))</f>
        <v/>
      </c>
      <c r="C160" s="137" t="str">
        <f>IFERROR(INDEX(_xlfn.VSTACK(YES_Writing_ELA[#Data], YES_Writing_FLA[#Data]),MATCH($A160,_xlfn.VSTACK(YES_Writing_ELA[Student Number], YES_Writing_FLA[Student Number]),0),MATCH(C$7,YES_Writing_ELA[#Headers],0)),IFERROR(INDEX(_xlfn.VSTACK(YES_Reading_ELA[#Data], YES_Reading_FLA[#Data]),MATCH($A160,_xlfn.VSTACK(YES_Reading_ELA[Student Number], YES_Reading_FLA[Student Number]),0),MATCH(C$7,YES_Reading_ELA[#Headers],0)),""))</f>
        <v/>
      </c>
      <c r="D160" s="138" t="str">
        <f>IFERROR(IF(IF(INDEX(_xlfn.VSTACK(YES_Writing_ELA[#Data],YES_Writing_FLA[#Data]),MATCH($A160,_xlfn.VSTACK(YES_Writing_ELA[Student Number],YES_Writing_FLA[Student Number]),0),MATCH(VLOOKUP(D$7,'Writing Logic'!$J$7:$K$11,2,FALSE)&amp;" - Per "&amp;VLOOKUP($C$4,'Writing Logic'!$G$8:$H$14,2,FALSE),YES_Writing_ELA[#Headers],0))=0,"",INDEX(_xlfn.VSTACK(YES_Writing_ELA[#Data],YES_Writing_FLA[#Data]),MATCH($A160,_xlfn.VSTACK(YES_Writing_ELA[Student Number],YES_Writing_FLA[Student Number]),0),MATCH(VLOOKUP(D$7,'Writing Logic'!$J$7:$K$11,2,FALSE)&amp;" - Per "&amp;VLOOKUP($C$4,'Writing Logic'!$G$8:$H$14,2,FALSE),YES_Writing_ELA[#Headers],0)))="INS",'Writing Logic'!$B$7,IF(INDEX(_xlfn.VSTACK(YES_Writing_ELA[#Data],YES_Writing_FLA[#Data]),MATCH($A160,_xlfn.VSTACK(YES_Writing_ELA[Student Number],YES_Writing_FLA[Student Number]),0),MATCH(VLOOKUP(D$7,'Writing Logic'!$J$7:$K$11,2,FALSE)&amp;" - Per "&amp;VLOOKUP($C$4,'Writing Logic'!$G$8:$H$14,2,FALSE),YES_Writing_ELA[#Headers],0))=0,"",INDEX(_xlfn.VSTACK(YES_Writing_ELA[#Data],YES_Writing_FLA[#Data]),MATCH($A160,_xlfn.VSTACK(YES_Writing_ELA[Student Number],YES_Writing_FLA[Student Number]),0),MATCH(VLOOKUP(D$7,'Writing Logic'!$J$7:$K$11,2,FALSE)&amp;" - Per "&amp;VLOOKUP($C$4,'Writing Logic'!$G$8:$H$14,2,FALSE),YES_Writing_ELA[#Headers],0)))),"")</f>
        <v/>
      </c>
      <c r="E160" s="138" t="str">
        <f>IFERROR(IF(IF(INDEX(_xlfn.VSTACK(YES_Writing_ELA[#Data],YES_Writing_FLA[#Data]),MATCH($A160,_xlfn.VSTACK(YES_Writing_ELA[Student Number],YES_Writing_FLA[Student Number]),0),MATCH(VLOOKUP(E$7,'Writing Logic'!$J$7:$K$11,2,FALSE)&amp;" - Per "&amp;VLOOKUP($C$4,'Writing Logic'!$G$8:$H$14,2,FALSE),YES_Writing_ELA[#Headers],0))=0,"",INDEX(_xlfn.VSTACK(YES_Writing_ELA[#Data],YES_Writing_FLA[#Data]),MATCH($A160,_xlfn.VSTACK(YES_Writing_ELA[Student Number],YES_Writing_FLA[Student Number]),0),MATCH(VLOOKUP(E$7,'Writing Logic'!$J$7:$K$11,2,FALSE)&amp;" - Per "&amp;VLOOKUP($C$4,'Writing Logic'!$G$8:$H$14,2,FALSE),YES_Writing_ELA[#Headers],0)))="INS",'Writing Logic'!$B$7,IF(INDEX(_xlfn.VSTACK(YES_Writing_ELA[#Data],YES_Writing_FLA[#Data]),MATCH($A160,_xlfn.VSTACK(YES_Writing_ELA[Student Number],YES_Writing_FLA[Student Number]),0),MATCH(VLOOKUP(E$7,'Writing Logic'!$J$7:$K$11,2,FALSE)&amp;" - Per "&amp;VLOOKUP($C$4,'Writing Logic'!$G$8:$H$14,2,FALSE),YES_Writing_ELA[#Headers],0))=0,"",INDEX(_xlfn.VSTACK(YES_Writing_ELA[#Data],YES_Writing_FLA[#Data]),MATCH($A160,_xlfn.VSTACK(YES_Writing_ELA[Student Number],YES_Writing_FLA[Student Number]),0),MATCH(VLOOKUP(E$7,'Writing Logic'!$J$7:$K$11,2,FALSE)&amp;" - Per "&amp;VLOOKUP($C$4,'Writing Logic'!$G$8:$H$14,2,FALSE),YES_Writing_ELA[#Headers],0)))),"")</f>
        <v/>
      </c>
      <c r="F160" s="138" t="str">
        <f>IFERROR(IF(IF(INDEX(_xlfn.VSTACK(YES_Writing_ELA[#Data],YES_Writing_FLA[#Data]),MATCH($A160,_xlfn.VSTACK(YES_Writing_ELA[Student Number],YES_Writing_FLA[Student Number]),0),MATCH(VLOOKUP(F$7,'Writing Logic'!$J$7:$K$11,2,FALSE)&amp;" - Per "&amp;VLOOKUP($C$4,'Writing Logic'!$G$8:$H$14,2,FALSE),YES_Writing_ELA[#Headers],0))=0,"",INDEX(_xlfn.VSTACK(YES_Writing_ELA[#Data],YES_Writing_FLA[#Data]),MATCH($A160,_xlfn.VSTACK(YES_Writing_ELA[Student Number],YES_Writing_FLA[Student Number]),0),MATCH(VLOOKUP(F$7,'Writing Logic'!$J$7:$K$11,2,FALSE)&amp;" - Per "&amp;VLOOKUP($C$4,'Writing Logic'!$G$8:$H$14,2,FALSE),YES_Writing_ELA[#Headers],0)))="INS",'Writing Logic'!$B$7,IF(INDEX(_xlfn.VSTACK(YES_Writing_ELA[#Data],YES_Writing_FLA[#Data]),MATCH($A160,_xlfn.VSTACK(YES_Writing_ELA[Student Number],YES_Writing_FLA[Student Number]),0),MATCH(VLOOKUP(F$7,'Writing Logic'!$J$7:$K$11,2,FALSE)&amp;" - Per "&amp;VLOOKUP($C$4,'Writing Logic'!$G$8:$H$14,2,FALSE),YES_Writing_ELA[#Headers],0))=0,"",INDEX(_xlfn.VSTACK(YES_Writing_ELA[#Data],YES_Writing_FLA[#Data]),MATCH($A160,_xlfn.VSTACK(YES_Writing_ELA[Student Number],YES_Writing_FLA[Student Number]),0),MATCH(VLOOKUP(F$7,'Writing Logic'!$J$7:$K$11,2,FALSE)&amp;" - Per "&amp;VLOOKUP($C$4,'Writing Logic'!$G$8:$H$14,2,FALSE),YES_Writing_ELA[#Headers],0)))),"")</f>
        <v/>
      </c>
      <c r="G160" s="138" t="str">
        <f>IFERROR(IF(IF(INDEX(_xlfn.VSTACK(YES_Writing_ELA[#Data],YES_Writing_FLA[#Data]),MATCH($A160,_xlfn.VSTACK(YES_Writing_ELA[Student Number],YES_Writing_FLA[Student Number]),0),MATCH(VLOOKUP(G$7,'Writing Logic'!$J$7:$K$11,2,FALSE)&amp;" - Per "&amp;VLOOKUP($C$4,'Writing Logic'!$G$8:$H$14,2,FALSE),YES_Writing_ELA[#Headers],0))=0,"",INDEX(_xlfn.VSTACK(YES_Writing_ELA[#Data],YES_Writing_FLA[#Data]),MATCH($A160,_xlfn.VSTACK(YES_Writing_ELA[Student Number],YES_Writing_FLA[Student Number]),0),MATCH(VLOOKUP(G$7,'Writing Logic'!$J$7:$K$11,2,FALSE)&amp;" - Per "&amp;VLOOKUP($C$4,'Writing Logic'!$G$8:$H$14,2,FALSE),YES_Writing_ELA[#Headers],0)))="INS",'Writing Logic'!$B$7,IF(INDEX(_xlfn.VSTACK(YES_Writing_ELA[#Data],YES_Writing_FLA[#Data]),MATCH($A160,_xlfn.VSTACK(YES_Writing_ELA[Student Number],YES_Writing_FLA[Student Number]),0),MATCH(VLOOKUP(G$7,'Writing Logic'!$J$7:$K$11,2,FALSE)&amp;" - Per "&amp;VLOOKUP($C$4,'Writing Logic'!$G$8:$H$14,2,FALSE),YES_Writing_ELA[#Headers],0))=0,"",INDEX(_xlfn.VSTACK(YES_Writing_ELA[#Data],YES_Writing_FLA[#Data]),MATCH($A160,_xlfn.VSTACK(YES_Writing_ELA[Student Number],YES_Writing_FLA[Student Number]),0),MATCH(VLOOKUP(G$7,'Writing Logic'!$J$7:$K$11,2,FALSE)&amp;" - Per "&amp;VLOOKUP($C$4,'Writing Logic'!$G$8:$H$14,2,FALSE),YES_Writing_ELA[#Headers],0)))),"")</f>
        <v/>
      </c>
      <c r="H160" s="223" t="str">
        <f>IFERROR(IF(IF(INDEX(_xlfn.VSTACK(YES_Writing_ELA[#Data],YES_Writing_FLA[#Data]),MATCH($A160,_xlfn.VSTACK(YES_Writing_ELA[Student Number],YES_Writing_FLA[Student Number]),0),MATCH(VLOOKUP(H$7,'Writing Logic'!$J$7:$K$11,2,FALSE)&amp;" - Per "&amp;VLOOKUP($C$4,'Writing Logic'!$G$8:$H$14,2,FALSE),YES_Writing_ELA[#Headers],0))=0,"",INDEX(_xlfn.VSTACK(YES_Writing_ELA[#Data],YES_Writing_FLA[#Data]),MATCH($A160,_xlfn.VSTACK(YES_Writing_ELA[Student Number],YES_Writing_FLA[Student Number]),0),MATCH(VLOOKUP(H$7,'Writing Logic'!$J$7:$K$11,2,FALSE)&amp;" - Per "&amp;VLOOKUP($C$4,'Writing Logic'!$G$8:$H$14,2,FALSE),YES_Writing_ELA[#Headers],0)))="INS",'Writing Logic'!$B$7,IF(INDEX(_xlfn.VSTACK(YES_Writing_ELA[#Data],YES_Writing_FLA[#Data]),MATCH($A160,_xlfn.VSTACK(YES_Writing_ELA[Student Number],YES_Writing_FLA[Student Number]),0),MATCH(VLOOKUP(H$7,'Writing Logic'!$J$7:$K$11,2,FALSE)&amp;" - Per "&amp;VLOOKUP($C$4,'Writing Logic'!$G$8:$H$14,2,FALSE),YES_Writing_ELA[#Headers],0))=0,"",INDEX(_xlfn.VSTACK(YES_Writing_ELA[#Data],YES_Writing_FLA[#Data]),MATCH($A160,_xlfn.VSTACK(YES_Writing_ELA[Student Number],YES_Writing_FLA[Student Number]),0),MATCH(VLOOKUP(H$7,'Writing Logic'!$J$7:$K$11,2,FALSE)&amp;" - Per "&amp;VLOOKUP($C$4,'Writing Logic'!$G$8:$H$14,2,FALSE),YES_Writing_ELA[#Headers],0)))),"")</f>
        <v/>
      </c>
      <c r="I160" s="224" t="str" cm="1">
        <f t="array" aca="1" ref="I160" ca="1">IFERROR(
IF($G$3="ELA",
IF(VLOOKUP($A160, YES_Reading_ELA[], COLUMN(INDIRECT("YES_Reading_ELA[Difference - Per "&amp;VLOOKUP($G$4, 'Reading Report Logic'!$A$2:$B$8, 2, FALSE)&amp;"]")), FALSE)="", "",
VLOOKUP($A160,YES_Reading_ELA[], COLUMN(INDIRECT("YES_Reading_ELA[Difference - Per "&amp;VLOOKUP($G$4,'Reading Report Logic'!$A$2:$B$8,2,FALSE)&amp;"]")), FALSE)),
IF($G$3="FLA",
IF(VLOOKUP($A160, YES_Reading_FLA[], COLUMN(INDIRECT("YES_Reading_FLA[Difference - Per "&amp;VLOOKUP($G$4,'Reading Report Logic'!$A$2:$B$8,2,FALSE)&amp;"]")),FALSE)="","",
VLOOKUP($A160,YES_Reading_FLA[],COLUMN(INDIRECT("YES_Reading_FLA[Difference - Per "&amp;VLOOKUP($G$4,'Reading Report Logic'!$A$2:$B$8,2,FALSE)&amp;"]")),FALSE)),
IF($G$3="Combined",
IFERROR(
IF(VLOOKUP($A160, YES_Reading_ELA[], COLUMN(INDIRECT("YES_Reading_ELA[Difference - Per "&amp;VLOOKUP($G$4, 'Reading Report Logic'!$A$2:$B$8,2,FALSE)&amp;"]")), FALSE)="", "",
VLOOKUP($A160,YES_Reading_ELA[],COLUMN(INDIRECT("YES_Reading_ELA[Difference - Per "&amp;VLOOKUP($G$4,'Reading Report Logic'!$A$2:$B$8,2,FALSE)&amp;"]")),FALSE)),
IF(VLOOKUP($A160, YES_Reading_FLA[], COLUMN(INDIRECT("YES_Reading_FLA[Difference - Per "&amp;VLOOKUP($G$4, 'Reading Report Logic'!$A$2:$B$8, 2, FALSE)&amp;"]")),FALSE)="", "", VLOOKUP($A160,YES_Reading_FLA[],COLUMN(INDIRECT("YES_Reading_FLA[Difference - Per "&amp;VLOOKUP($G$4, 'Reading Report Logic'!$A$2:$B$8, 2, FALSE)&amp;"]")),FALSE))),""))),"")</f>
        <v/>
      </c>
    </row>
    <row r="161" spans="1:9" ht="14.25" customHeight="1" x14ac:dyDescent="0.25">
      <c r="A161" s="137"/>
      <c r="B161" s="137" t="str">
        <f>IFERROR(INDEX(_xlfn.VSTACK(YES_Writing_ELA[#Data], YES_Writing_FLA[#Data]),MATCH($A161,_xlfn.VSTACK(YES_Writing_ELA[Student Number], YES_Writing_FLA[Student Number]),0),MATCH(B$7,YES_Writing_ELA[#Headers],0)),IFERROR(INDEX(_xlfn.VSTACK(YES_Reading_ELA[#Data], YES_Reading_FLA[#Data]),MATCH($A161,_xlfn.VSTACK(YES_Reading_ELA[Student Number], YES_Reading_FLA[Student Number]),0),MATCH(B$7,YES_Reading_ELA[#Headers],0)),""))</f>
        <v/>
      </c>
      <c r="C161" s="137" t="str">
        <f>IFERROR(INDEX(_xlfn.VSTACK(YES_Writing_ELA[#Data], YES_Writing_FLA[#Data]),MATCH($A161,_xlfn.VSTACK(YES_Writing_ELA[Student Number], YES_Writing_FLA[Student Number]),0),MATCH(C$7,YES_Writing_ELA[#Headers],0)),IFERROR(INDEX(_xlfn.VSTACK(YES_Reading_ELA[#Data], YES_Reading_FLA[#Data]),MATCH($A161,_xlfn.VSTACK(YES_Reading_ELA[Student Number], YES_Reading_FLA[Student Number]),0),MATCH(C$7,YES_Reading_ELA[#Headers],0)),""))</f>
        <v/>
      </c>
      <c r="D161" s="138" t="str">
        <f>IFERROR(IF(IF(INDEX(_xlfn.VSTACK(YES_Writing_ELA[#Data],YES_Writing_FLA[#Data]),MATCH($A161,_xlfn.VSTACK(YES_Writing_ELA[Student Number],YES_Writing_FLA[Student Number]),0),MATCH(VLOOKUP(D$7,'Writing Logic'!$J$7:$K$11,2,FALSE)&amp;" - Per "&amp;VLOOKUP($C$4,'Writing Logic'!$G$8:$H$14,2,FALSE),YES_Writing_ELA[#Headers],0))=0,"",INDEX(_xlfn.VSTACK(YES_Writing_ELA[#Data],YES_Writing_FLA[#Data]),MATCH($A161,_xlfn.VSTACK(YES_Writing_ELA[Student Number],YES_Writing_FLA[Student Number]),0),MATCH(VLOOKUP(D$7,'Writing Logic'!$J$7:$K$11,2,FALSE)&amp;" - Per "&amp;VLOOKUP($C$4,'Writing Logic'!$G$8:$H$14,2,FALSE),YES_Writing_ELA[#Headers],0)))="INS",'Writing Logic'!$B$7,IF(INDEX(_xlfn.VSTACK(YES_Writing_ELA[#Data],YES_Writing_FLA[#Data]),MATCH($A161,_xlfn.VSTACK(YES_Writing_ELA[Student Number],YES_Writing_FLA[Student Number]),0),MATCH(VLOOKUP(D$7,'Writing Logic'!$J$7:$K$11,2,FALSE)&amp;" - Per "&amp;VLOOKUP($C$4,'Writing Logic'!$G$8:$H$14,2,FALSE),YES_Writing_ELA[#Headers],0))=0,"",INDEX(_xlfn.VSTACK(YES_Writing_ELA[#Data],YES_Writing_FLA[#Data]),MATCH($A161,_xlfn.VSTACK(YES_Writing_ELA[Student Number],YES_Writing_FLA[Student Number]),0),MATCH(VLOOKUP(D$7,'Writing Logic'!$J$7:$K$11,2,FALSE)&amp;" - Per "&amp;VLOOKUP($C$4,'Writing Logic'!$G$8:$H$14,2,FALSE),YES_Writing_ELA[#Headers],0)))),"")</f>
        <v/>
      </c>
      <c r="E161" s="138" t="str">
        <f>IFERROR(IF(IF(INDEX(_xlfn.VSTACK(YES_Writing_ELA[#Data],YES_Writing_FLA[#Data]),MATCH($A161,_xlfn.VSTACK(YES_Writing_ELA[Student Number],YES_Writing_FLA[Student Number]),0),MATCH(VLOOKUP(E$7,'Writing Logic'!$J$7:$K$11,2,FALSE)&amp;" - Per "&amp;VLOOKUP($C$4,'Writing Logic'!$G$8:$H$14,2,FALSE),YES_Writing_ELA[#Headers],0))=0,"",INDEX(_xlfn.VSTACK(YES_Writing_ELA[#Data],YES_Writing_FLA[#Data]),MATCH($A161,_xlfn.VSTACK(YES_Writing_ELA[Student Number],YES_Writing_FLA[Student Number]),0),MATCH(VLOOKUP(E$7,'Writing Logic'!$J$7:$K$11,2,FALSE)&amp;" - Per "&amp;VLOOKUP($C$4,'Writing Logic'!$G$8:$H$14,2,FALSE),YES_Writing_ELA[#Headers],0)))="INS",'Writing Logic'!$B$7,IF(INDEX(_xlfn.VSTACK(YES_Writing_ELA[#Data],YES_Writing_FLA[#Data]),MATCH($A161,_xlfn.VSTACK(YES_Writing_ELA[Student Number],YES_Writing_FLA[Student Number]),0),MATCH(VLOOKUP(E$7,'Writing Logic'!$J$7:$K$11,2,FALSE)&amp;" - Per "&amp;VLOOKUP($C$4,'Writing Logic'!$G$8:$H$14,2,FALSE),YES_Writing_ELA[#Headers],0))=0,"",INDEX(_xlfn.VSTACK(YES_Writing_ELA[#Data],YES_Writing_FLA[#Data]),MATCH($A161,_xlfn.VSTACK(YES_Writing_ELA[Student Number],YES_Writing_FLA[Student Number]),0),MATCH(VLOOKUP(E$7,'Writing Logic'!$J$7:$K$11,2,FALSE)&amp;" - Per "&amp;VLOOKUP($C$4,'Writing Logic'!$G$8:$H$14,2,FALSE),YES_Writing_ELA[#Headers],0)))),"")</f>
        <v/>
      </c>
      <c r="F161" s="138" t="str">
        <f>IFERROR(IF(IF(INDEX(_xlfn.VSTACK(YES_Writing_ELA[#Data],YES_Writing_FLA[#Data]),MATCH($A161,_xlfn.VSTACK(YES_Writing_ELA[Student Number],YES_Writing_FLA[Student Number]),0),MATCH(VLOOKUP(F$7,'Writing Logic'!$J$7:$K$11,2,FALSE)&amp;" - Per "&amp;VLOOKUP($C$4,'Writing Logic'!$G$8:$H$14,2,FALSE),YES_Writing_ELA[#Headers],0))=0,"",INDEX(_xlfn.VSTACK(YES_Writing_ELA[#Data],YES_Writing_FLA[#Data]),MATCH($A161,_xlfn.VSTACK(YES_Writing_ELA[Student Number],YES_Writing_FLA[Student Number]),0),MATCH(VLOOKUP(F$7,'Writing Logic'!$J$7:$K$11,2,FALSE)&amp;" - Per "&amp;VLOOKUP($C$4,'Writing Logic'!$G$8:$H$14,2,FALSE),YES_Writing_ELA[#Headers],0)))="INS",'Writing Logic'!$B$7,IF(INDEX(_xlfn.VSTACK(YES_Writing_ELA[#Data],YES_Writing_FLA[#Data]),MATCH($A161,_xlfn.VSTACK(YES_Writing_ELA[Student Number],YES_Writing_FLA[Student Number]),0),MATCH(VLOOKUP(F$7,'Writing Logic'!$J$7:$K$11,2,FALSE)&amp;" - Per "&amp;VLOOKUP($C$4,'Writing Logic'!$G$8:$H$14,2,FALSE),YES_Writing_ELA[#Headers],0))=0,"",INDEX(_xlfn.VSTACK(YES_Writing_ELA[#Data],YES_Writing_FLA[#Data]),MATCH($A161,_xlfn.VSTACK(YES_Writing_ELA[Student Number],YES_Writing_FLA[Student Number]),0),MATCH(VLOOKUP(F$7,'Writing Logic'!$J$7:$K$11,2,FALSE)&amp;" - Per "&amp;VLOOKUP($C$4,'Writing Logic'!$G$8:$H$14,2,FALSE),YES_Writing_ELA[#Headers],0)))),"")</f>
        <v/>
      </c>
      <c r="G161" s="138" t="str">
        <f>IFERROR(IF(IF(INDEX(_xlfn.VSTACK(YES_Writing_ELA[#Data],YES_Writing_FLA[#Data]),MATCH($A161,_xlfn.VSTACK(YES_Writing_ELA[Student Number],YES_Writing_FLA[Student Number]),0),MATCH(VLOOKUP(G$7,'Writing Logic'!$J$7:$K$11,2,FALSE)&amp;" - Per "&amp;VLOOKUP($C$4,'Writing Logic'!$G$8:$H$14,2,FALSE),YES_Writing_ELA[#Headers],0))=0,"",INDEX(_xlfn.VSTACK(YES_Writing_ELA[#Data],YES_Writing_FLA[#Data]),MATCH($A161,_xlfn.VSTACK(YES_Writing_ELA[Student Number],YES_Writing_FLA[Student Number]),0),MATCH(VLOOKUP(G$7,'Writing Logic'!$J$7:$K$11,2,FALSE)&amp;" - Per "&amp;VLOOKUP($C$4,'Writing Logic'!$G$8:$H$14,2,FALSE),YES_Writing_ELA[#Headers],0)))="INS",'Writing Logic'!$B$7,IF(INDEX(_xlfn.VSTACK(YES_Writing_ELA[#Data],YES_Writing_FLA[#Data]),MATCH($A161,_xlfn.VSTACK(YES_Writing_ELA[Student Number],YES_Writing_FLA[Student Number]),0),MATCH(VLOOKUP(G$7,'Writing Logic'!$J$7:$K$11,2,FALSE)&amp;" - Per "&amp;VLOOKUP($C$4,'Writing Logic'!$G$8:$H$14,2,FALSE),YES_Writing_ELA[#Headers],0))=0,"",INDEX(_xlfn.VSTACK(YES_Writing_ELA[#Data],YES_Writing_FLA[#Data]),MATCH($A161,_xlfn.VSTACK(YES_Writing_ELA[Student Number],YES_Writing_FLA[Student Number]),0),MATCH(VLOOKUP(G$7,'Writing Logic'!$J$7:$K$11,2,FALSE)&amp;" - Per "&amp;VLOOKUP($C$4,'Writing Logic'!$G$8:$H$14,2,FALSE),YES_Writing_ELA[#Headers],0)))),"")</f>
        <v/>
      </c>
      <c r="H161" s="223" t="str">
        <f>IFERROR(IF(IF(INDEX(_xlfn.VSTACK(YES_Writing_ELA[#Data],YES_Writing_FLA[#Data]),MATCH($A161,_xlfn.VSTACK(YES_Writing_ELA[Student Number],YES_Writing_FLA[Student Number]),0),MATCH(VLOOKUP(H$7,'Writing Logic'!$J$7:$K$11,2,FALSE)&amp;" - Per "&amp;VLOOKUP($C$4,'Writing Logic'!$G$8:$H$14,2,FALSE),YES_Writing_ELA[#Headers],0))=0,"",INDEX(_xlfn.VSTACK(YES_Writing_ELA[#Data],YES_Writing_FLA[#Data]),MATCH($A161,_xlfn.VSTACK(YES_Writing_ELA[Student Number],YES_Writing_FLA[Student Number]),0),MATCH(VLOOKUP(H$7,'Writing Logic'!$J$7:$K$11,2,FALSE)&amp;" - Per "&amp;VLOOKUP($C$4,'Writing Logic'!$G$8:$H$14,2,FALSE),YES_Writing_ELA[#Headers],0)))="INS",'Writing Logic'!$B$7,IF(INDEX(_xlfn.VSTACK(YES_Writing_ELA[#Data],YES_Writing_FLA[#Data]),MATCH($A161,_xlfn.VSTACK(YES_Writing_ELA[Student Number],YES_Writing_FLA[Student Number]),0),MATCH(VLOOKUP(H$7,'Writing Logic'!$J$7:$K$11,2,FALSE)&amp;" - Per "&amp;VLOOKUP($C$4,'Writing Logic'!$G$8:$H$14,2,FALSE),YES_Writing_ELA[#Headers],0))=0,"",INDEX(_xlfn.VSTACK(YES_Writing_ELA[#Data],YES_Writing_FLA[#Data]),MATCH($A161,_xlfn.VSTACK(YES_Writing_ELA[Student Number],YES_Writing_FLA[Student Number]),0),MATCH(VLOOKUP(H$7,'Writing Logic'!$J$7:$K$11,2,FALSE)&amp;" - Per "&amp;VLOOKUP($C$4,'Writing Logic'!$G$8:$H$14,2,FALSE),YES_Writing_ELA[#Headers],0)))),"")</f>
        <v/>
      </c>
      <c r="I161" s="224" t="str" cm="1">
        <f t="array" aca="1" ref="I161" ca="1">IFERROR(
IF($G$3="ELA",
IF(VLOOKUP($A161, YES_Reading_ELA[], COLUMN(INDIRECT("YES_Reading_ELA[Difference - Per "&amp;VLOOKUP($G$4, 'Reading Report Logic'!$A$2:$B$8, 2, FALSE)&amp;"]")), FALSE)="", "",
VLOOKUP($A161,YES_Reading_ELA[], COLUMN(INDIRECT("YES_Reading_ELA[Difference - Per "&amp;VLOOKUP($G$4,'Reading Report Logic'!$A$2:$B$8,2,FALSE)&amp;"]")), FALSE)),
IF($G$3="FLA",
IF(VLOOKUP($A161, YES_Reading_FLA[], COLUMN(INDIRECT("YES_Reading_FLA[Difference - Per "&amp;VLOOKUP($G$4,'Reading Report Logic'!$A$2:$B$8,2,FALSE)&amp;"]")),FALSE)="","",
VLOOKUP($A161,YES_Reading_FLA[],COLUMN(INDIRECT("YES_Reading_FLA[Difference - Per "&amp;VLOOKUP($G$4,'Reading Report Logic'!$A$2:$B$8,2,FALSE)&amp;"]")),FALSE)),
IF($G$3="Combined",
IFERROR(
IF(VLOOKUP($A161, YES_Reading_ELA[], COLUMN(INDIRECT("YES_Reading_ELA[Difference - Per "&amp;VLOOKUP($G$4, 'Reading Report Logic'!$A$2:$B$8,2,FALSE)&amp;"]")), FALSE)="", "",
VLOOKUP($A161,YES_Reading_ELA[],COLUMN(INDIRECT("YES_Reading_ELA[Difference - Per "&amp;VLOOKUP($G$4,'Reading Report Logic'!$A$2:$B$8,2,FALSE)&amp;"]")),FALSE)),
IF(VLOOKUP($A161, YES_Reading_FLA[], COLUMN(INDIRECT("YES_Reading_FLA[Difference - Per "&amp;VLOOKUP($G$4, 'Reading Report Logic'!$A$2:$B$8, 2, FALSE)&amp;"]")),FALSE)="", "", VLOOKUP($A161,YES_Reading_FLA[],COLUMN(INDIRECT("YES_Reading_FLA[Difference - Per "&amp;VLOOKUP($G$4, 'Reading Report Logic'!$A$2:$B$8, 2, FALSE)&amp;"]")),FALSE))),""))),"")</f>
        <v/>
      </c>
    </row>
    <row r="162" spans="1:9" ht="14.25" customHeight="1" x14ac:dyDescent="0.25">
      <c r="A162" s="137"/>
      <c r="B162" s="137" t="str">
        <f>IFERROR(INDEX(_xlfn.VSTACK(YES_Writing_ELA[#Data], YES_Writing_FLA[#Data]),MATCH($A162,_xlfn.VSTACK(YES_Writing_ELA[Student Number], YES_Writing_FLA[Student Number]),0),MATCH(B$7,YES_Writing_ELA[#Headers],0)),IFERROR(INDEX(_xlfn.VSTACK(YES_Reading_ELA[#Data], YES_Reading_FLA[#Data]),MATCH($A162,_xlfn.VSTACK(YES_Reading_ELA[Student Number], YES_Reading_FLA[Student Number]),0),MATCH(B$7,YES_Reading_ELA[#Headers],0)),""))</f>
        <v/>
      </c>
      <c r="C162" s="137" t="str">
        <f>IFERROR(INDEX(_xlfn.VSTACK(YES_Writing_ELA[#Data], YES_Writing_FLA[#Data]),MATCH($A162,_xlfn.VSTACK(YES_Writing_ELA[Student Number], YES_Writing_FLA[Student Number]),0),MATCH(C$7,YES_Writing_ELA[#Headers],0)),IFERROR(INDEX(_xlfn.VSTACK(YES_Reading_ELA[#Data], YES_Reading_FLA[#Data]),MATCH($A162,_xlfn.VSTACK(YES_Reading_ELA[Student Number], YES_Reading_FLA[Student Number]),0),MATCH(C$7,YES_Reading_ELA[#Headers],0)),""))</f>
        <v/>
      </c>
      <c r="D162" s="138" t="str">
        <f>IFERROR(IF(IF(INDEX(_xlfn.VSTACK(YES_Writing_ELA[#Data],YES_Writing_FLA[#Data]),MATCH($A162,_xlfn.VSTACK(YES_Writing_ELA[Student Number],YES_Writing_FLA[Student Number]),0),MATCH(VLOOKUP(D$7,'Writing Logic'!$J$7:$K$11,2,FALSE)&amp;" - Per "&amp;VLOOKUP($C$4,'Writing Logic'!$G$8:$H$14,2,FALSE),YES_Writing_ELA[#Headers],0))=0,"",INDEX(_xlfn.VSTACK(YES_Writing_ELA[#Data],YES_Writing_FLA[#Data]),MATCH($A162,_xlfn.VSTACK(YES_Writing_ELA[Student Number],YES_Writing_FLA[Student Number]),0),MATCH(VLOOKUP(D$7,'Writing Logic'!$J$7:$K$11,2,FALSE)&amp;" - Per "&amp;VLOOKUP($C$4,'Writing Logic'!$G$8:$H$14,2,FALSE),YES_Writing_ELA[#Headers],0)))="INS",'Writing Logic'!$B$7,IF(INDEX(_xlfn.VSTACK(YES_Writing_ELA[#Data],YES_Writing_FLA[#Data]),MATCH($A162,_xlfn.VSTACK(YES_Writing_ELA[Student Number],YES_Writing_FLA[Student Number]),0),MATCH(VLOOKUP(D$7,'Writing Logic'!$J$7:$K$11,2,FALSE)&amp;" - Per "&amp;VLOOKUP($C$4,'Writing Logic'!$G$8:$H$14,2,FALSE),YES_Writing_ELA[#Headers],0))=0,"",INDEX(_xlfn.VSTACK(YES_Writing_ELA[#Data],YES_Writing_FLA[#Data]),MATCH($A162,_xlfn.VSTACK(YES_Writing_ELA[Student Number],YES_Writing_FLA[Student Number]),0),MATCH(VLOOKUP(D$7,'Writing Logic'!$J$7:$K$11,2,FALSE)&amp;" - Per "&amp;VLOOKUP($C$4,'Writing Logic'!$G$8:$H$14,2,FALSE),YES_Writing_ELA[#Headers],0)))),"")</f>
        <v/>
      </c>
      <c r="E162" s="138" t="str">
        <f>IFERROR(IF(IF(INDEX(_xlfn.VSTACK(YES_Writing_ELA[#Data],YES_Writing_FLA[#Data]),MATCH($A162,_xlfn.VSTACK(YES_Writing_ELA[Student Number],YES_Writing_FLA[Student Number]),0),MATCH(VLOOKUP(E$7,'Writing Logic'!$J$7:$K$11,2,FALSE)&amp;" - Per "&amp;VLOOKUP($C$4,'Writing Logic'!$G$8:$H$14,2,FALSE),YES_Writing_ELA[#Headers],0))=0,"",INDEX(_xlfn.VSTACK(YES_Writing_ELA[#Data],YES_Writing_FLA[#Data]),MATCH($A162,_xlfn.VSTACK(YES_Writing_ELA[Student Number],YES_Writing_FLA[Student Number]),0),MATCH(VLOOKUP(E$7,'Writing Logic'!$J$7:$K$11,2,FALSE)&amp;" - Per "&amp;VLOOKUP($C$4,'Writing Logic'!$G$8:$H$14,2,FALSE),YES_Writing_ELA[#Headers],0)))="INS",'Writing Logic'!$B$7,IF(INDEX(_xlfn.VSTACK(YES_Writing_ELA[#Data],YES_Writing_FLA[#Data]),MATCH($A162,_xlfn.VSTACK(YES_Writing_ELA[Student Number],YES_Writing_FLA[Student Number]),0),MATCH(VLOOKUP(E$7,'Writing Logic'!$J$7:$K$11,2,FALSE)&amp;" - Per "&amp;VLOOKUP($C$4,'Writing Logic'!$G$8:$H$14,2,FALSE),YES_Writing_ELA[#Headers],0))=0,"",INDEX(_xlfn.VSTACK(YES_Writing_ELA[#Data],YES_Writing_FLA[#Data]),MATCH($A162,_xlfn.VSTACK(YES_Writing_ELA[Student Number],YES_Writing_FLA[Student Number]),0),MATCH(VLOOKUP(E$7,'Writing Logic'!$J$7:$K$11,2,FALSE)&amp;" - Per "&amp;VLOOKUP($C$4,'Writing Logic'!$G$8:$H$14,2,FALSE),YES_Writing_ELA[#Headers],0)))),"")</f>
        <v/>
      </c>
      <c r="F162" s="138" t="str">
        <f>IFERROR(IF(IF(INDEX(_xlfn.VSTACK(YES_Writing_ELA[#Data],YES_Writing_FLA[#Data]),MATCH($A162,_xlfn.VSTACK(YES_Writing_ELA[Student Number],YES_Writing_FLA[Student Number]),0),MATCH(VLOOKUP(F$7,'Writing Logic'!$J$7:$K$11,2,FALSE)&amp;" - Per "&amp;VLOOKUP($C$4,'Writing Logic'!$G$8:$H$14,2,FALSE),YES_Writing_ELA[#Headers],0))=0,"",INDEX(_xlfn.VSTACK(YES_Writing_ELA[#Data],YES_Writing_FLA[#Data]),MATCH($A162,_xlfn.VSTACK(YES_Writing_ELA[Student Number],YES_Writing_FLA[Student Number]),0),MATCH(VLOOKUP(F$7,'Writing Logic'!$J$7:$K$11,2,FALSE)&amp;" - Per "&amp;VLOOKUP($C$4,'Writing Logic'!$G$8:$H$14,2,FALSE),YES_Writing_ELA[#Headers],0)))="INS",'Writing Logic'!$B$7,IF(INDEX(_xlfn.VSTACK(YES_Writing_ELA[#Data],YES_Writing_FLA[#Data]),MATCH($A162,_xlfn.VSTACK(YES_Writing_ELA[Student Number],YES_Writing_FLA[Student Number]),0),MATCH(VLOOKUP(F$7,'Writing Logic'!$J$7:$K$11,2,FALSE)&amp;" - Per "&amp;VLOOKUP($C$4,'Writing Logic'!$G$8:$H$14,2,FALSE),YES_Writing_ELA[#Headers],0))=0,"",INDEX(_xlfn.VSTACK(YES_Writing_ELA[#Data],YES_Writing_FLA[#Data]),MATCH($A162,_xlfn.VSTACK(YES_Writing_ELA[Student Number],YES_Writing_FLA[Student Number]),0),MATCH(VLOOKUP(F$7,'Writing Logic'!$J$7:$K$11,2,FALSE)&amp;" - Per "&amp;VLOOKUP($C$4,'Writing Logic'!$G$8:$H$14,2,FALSE),YES_Writing_ELA[#Headers],0)))),"")</f>
        <v/>
      </c>
      <c r="G162" s="138" t="str">
        <f>IFERROR(IF(IF(INDEX(_xlfn.VSTACK(YES_Writing_ELA[#Data],YES_Writing_FLA[#Data]),MATCH($A162,_xlfn.VSTACK(YES_Writing_ELA[Student Number],YES_Writing_FLA[Student Number]),0),MATCH(VLOOKUP(G$7,'Writing Logic'!$J$7:$K$11,2,FALSE)&amp;" - Per "&amp;VLOOKUP($C$4,'Writing Logic'!$G$8:$H$14,2,FALSE),YES_Writing_ELA[#Headers],0))=0,"",INDEX(_xlfn.VSTACK(YES_Writing_ELA[#Data],YES_Writing_FLA[#Data]),MATCH($A162,_xlfn.VSTACK(YES_Writing_ELA[Student Number],YES_Writing_FLA[Student Number]),0),MATCH(VLOOKUP(G$7,'Writing Logic'!$J$7:$K$11,2,FALSE)&amp;" - Per "&amp;VLOOKUP($C$4,'Writing Logic'!$G$8:$H$14,2,FALSE),YES_Writing_ELA[#Headers],0)))="INS",'Writing Logic'!$B$7,IF(INDEX(_xlfn.VSTACK(YES_Writing_ELA[#Data],YES_Writing_FLA[#Data]),MATCH($A162,_xlfn.VSTACK(YES_Writing_ELA[Student Number],YES_Writing_FLA[Student Number]),0),MATCH(VLOOKUP(G$7,'Writing Logic'!$J$7:$K$11,2,FALSE)&amp;" - Per "&amp;VLOOKUP($C$4,'Writing Logic'!$G$8:$H$14,2,FALSE),YES_Writing_ELA[#Headers],0))=0,"",INDEX(_xlfn.VSTACK(YES_Writing_ELA[#Data],YES_Writing_FLA[#Data]),MATCH($A162,_xlfn.VSTACK(YES_Writing_ELA[Student Number],YES_Writing_FLA[Student Number]),0),MATCH(VLOOKUP(G$7,'Writing Logic'!$J$7:$K$11,2,FALSE)&amp;" - Per "&amp;VLOOKUP($C$4,'Writing Logic'!$G$8:$H$14,2,FALSE),YES_Writing_ELA[#Headers],0)))),"")</f>
        <v/>
      </c>
      <c r="H162" s="223" t="str">
        <f>IFERROR(IF(IF(INDEX(_xlfn.VSTACK(YES_Writing_ELA[#Data],YES_Writing_FLA[#Data]),MATCH($A162,_xlfn.VSTACK(YES_Writing_ELA[Student Number],YES_Writing_FLA[Student Number]),0),MATCH(VLOOKUP(H$7,'Writing Logic'!$J$7:$K$11,2,FALSE)&amp;" - Per "&amp;VLOOKUP($C$4,'Writing Logic'!$G$8:$H$14,2,FALSE),YES_Writing_ELA[#Headers],0))=0,"",INDEX(_xlfn.VSTACK(YES_Writing_ELA[#Data],YES_Writing_FLA[#Data]),MATCH($A162,_xlfn.VSTACK(YES_Writing_ELA[Student Number],YES_Writing_FLA[Student Number]),0),MATCH(VLOOKUP(H$7,'Writing Logic'!$J$7:$K$11,2,FALSE)&amp;" - Per "&amp;VLOOKUP($C$4,'Writing Logic'!$G$8:$H$14,2,FALSE),YES_Writing_ELA[#Headers],0)))="INS",'Writing Logic'!$B$7,IF(INDEX(_xlfn.VSTACK(YES_Writing_ELA[#Data],YES_Writing_FLA[#Data]),MATCH($A162,_xlfn.VSTACK(YES_Writing_ELA[Student Number],YES_Writing_FLA[Student Number]),0),MATCH(VLOOKUP(H$7,'Writing Logic'!$J$7:$K$11,2,FALSE)&amp;" - Per "&amp;VLOOKUP($C$4,'Writing Logic'!$G$8:$H$14,2,FALSE),YES_Writing_ELA[#Headers],0))=0,"",INDEX(_xlfn.VSTACK(YES_Writing_ELA[#Data],YES_Writing_FLA[#Data]),MATCH($A162,_xlfn.VSTACK(YES_Writing_ELA[Student Number],YES_Writing_FLA[Student Number]),0),MATCH(VLOOKUP(H$7,'Writing Logic'!$J$7:$K$11,2,FALSE)&amp;" - Per "&amp;VLOOKUP($C$4,'Writing Logic'!$G$8:$H$14,2,FALSE),YES_Writing_ELA[#Headers],0)))),"")</f>
        <v/>
      </c>
      <c r="I162" s="224" t="str" cm="1">
        <f t="array" aca="1" ref="I162" ca="1">IFERROR(
IF($G$3="ELA",
IF(VLOOKUP($A162, YES_Reading_ELA[], COLUMN(INDIRECT("YES_Reading_ELA[Difference - Per "&amp;VLOOKUP($G$4, 'Reading Report Logic'!$A$2:$B$8, 2, FALSE)&amp;"]")), FALSE)="", "",
VLOOKUP($A162,YES_Reading_ELA[], COLUMN(INDIRECT("YES_Reading_ELA[Difference - Per "&amp;VLOOKUP($G$4,'Reading Report Logic'!$A$2:$B$8,2,FALSE)&amp;"]")), FALSE)),
IF($G$3="FLA",
IF(VLOOKUP($A162, YES_Reading_FLA[], COLUMN(INDIRECT("YES_Reading_FLA[Difference - Per "&amp;VLOOKUP($G$4,'Reading Report Logic'!$A$2:$B$8,2,FALSE)&amp;"]")),FALSE)="","",
VLOOKUP($A162,YES_Reading_FLA[],COLUMN(INDIRECT("YES_Reading_FLA[Difference - Per "&amp;VLOOKUP($G$4,'Reading Report Logic'!$A$2:$B$8,2,FALSE)&amp;"]")),FALSE)),
IF($G$3="Combined",
IFERROR(
IF(VLOOKUP($A162, YES_Reading_ELA[], COLUMN(INDIRECT("YES_Reading_ELA[Difference - Per "&amp;VLOOKUP($G$4, 'Reading Report Logic'!$A$2:$B$8,2,FALSE)&amp;"]")), FALSE)="", "",
VLOOKUP($A162,YES_Reading_ELA[],COLUMN(INDIRECT("YES_Reading_ELA[Difference - Per "&amp;VLOOKUP($G$4,'Reading Report Logic'!$A$2:$B$8,2,FALSE)&amp;"]")),FALSE)),
IF(VLOOKUP($A162, YES_Reading_FLA[], COLUMN(INDIRECT("YES_Reading_FLA[Difference - Per "&amp;VLOOKUP($G$4, 'Reading Report Logic'!$A$2:$B$8, 2, FALSE)&amp;"]")),FALSE)="", "", VLOOKUP($A162,YES_Reading_FLA[],COLUMN(INDIRECT("YES_Reading_FLA[Difference - Per "&amp;VLOOKUP($G$4, 'Reading Report Logic'!$A$2:$B$8, 2, FALSE)&amp;"]")),FALSE))),""))),"")</f>
        <v/>
      </c>
    </row>
    <row r="163" spans="1:9" ht="14.25" customHeight="1" x14ac:dyDescent="0.25">
      <c r="A163" s="137"/>
      <c r="B163" s="137" t="str">
        <f>IFERROR(INDEX(_xlfn.VSTACK(YES_Writing_ELA[#Data], YES_Writing_FLA[#Data]),MATCH($A163,_xlfn.VSTACK(YES_Writing_ELA[Student Number], YES_Writing_FLA[Student Number]),0),MATCH(B$7,YES_Writing_ELA[#Headers],0)),IFERROR(INDEX(_xlfn.VSTACK(YES_Reading_ELA[#Data], YES_Reading_FLA[#Data]),MATCH($A163,_xlfn.VSTACK(YES_Reading_ELA[Student Number], YES_Reading_FLA[Student Number]),0),MATCH(B$7,YES_Reading_ELA[#Headers],0)),""))</f>
        <v/>
      </c>
      <c r="C163" s="137" t="str">
        <f>IFERROR(INDEX(_xlfn.VSTACK(YES_Writing_ELA[#Data], YES_Writing_FLA[#Data]),MATCH($A163,_xlfn.VSTACK(YES_Writing_ELA[Student Number], YES_Writing_FLA[Student Number]),0),MATCH(C$7,YES_Writing_ELA[#Headers],0)),IFERROR(INDEX(_xlfn.VSTACK(YES_Reading_ELA[#Data], YES_Reading_FLA[#Data]),MATCH($A163,_xlfn.VSTACK(YES_Reading_ELA[Student Number], YES_Reading_FLA[Student Number]),0),MATCH(C$7,YES_Reading_ELA[#Headers],0)),""))</f>
        <v/>
      </c>
      <c r="D163" s="138" t="str">
        <f>IFERROR(IF(IF(INDEX(_xlfn.VSTACK(YES_Writing_ELA[#Data],YES_Writing_FLA[#Data]),MATCH($A163,_xlfn.VSTACK(YES_Writing_ELA[Student Number],YES_Writing_FLA[Student Number]),0),MATCH(VLOOKUP(D$7,'Writing Logic'!$J$7:$K$11,2,FALSE)&amp;" - Per "&amp;VLOOKUP($C$4,'Writing Logic'!$G$8:$H$14,2,FALSE),YES_Writing_ELA[#Headers],0))=0,"",INDEX(_xlfn.VSTACK(YES_Writing_ELA[#Data],YES_Writing_FLA[#Data]),MATCH($A163,_xlfn.VSTACK(YES_Writing_ELA[Student Number],YES_Writing_FLA[Student Number]),0),MATCH(VLOOKUP(D$7,'Writing Logic'!$J$7:$K$11,2,FALSE)&amp;" - Per "&amp;VLOOKUP($C$4,'Writing Logic'!$G$8:$H$14,2,FALSE),YES_Writing_ELA[#Headers],0)))="INS",'Writing Logic'!$B$7,IF(INDEX(_xlfn.VSTACK(YES_Writing_ELA[#Data],YES_Writing_FLA[#Data]),MATCH($A163,_xlfn.VSTACK(YES_Writing_ELA[Student Number],YES_Writing_FLA[Student Number]),0),MATCH(VLOOKUP(D$7,'Writing Logic'!$J$7:$K$11,2,FALSE)&amp;" - Per "&amp;VLOOKUP($C$4,'Writing Logic'!$G$8:$H$14,2,FALSE),YES_Writing_ELA[#Headers],0))=0,"",INDEX(_xlfn.VSTACK(YES_Writing_ELA[#Data],YES_Writing_FLA[#Data]),MATCH($A163,_xlfn.VSTACK(YES_Writing_ELA[Student Number],YES_Writing_FLA[Student Number]),0),MATCH(VLOOKUP(D$7,'Writing Logic'!$J$7:$K$11,2,FALSE)&amp;" - Per "&amp;VLOOKUP($C$4,'Writing Logic'!$G$8:$H$14,2,FALSE),YES_Writing_ELA[#Headers],0)))),"")</f>
        <v/>
      </c>
      <c r="E163" s="138" t="str">
        <f>IFERROR(IF(IF(INDEX(_xlfn.VSTACK(YES_Writing_ELA[#Data],YES_Writing_FLA[#Data]),MATCH($A163,_xlfn.VSTACK(YES_Writing_ELA[Student Number],YES_Writing_FLA[Student Number]),0),MATCH(VLOOKUP(E$7,'Writing Logic'!$J$7:$K$11,2,FALSE)&amp;" - Per "&amp;VLOOKUP($C$4,'Writing Logic'!$G$8:$H$14,2,FALSE),YES_Writing_ELA[#Headers],0))=0,"",INDEX(_xlfn.VSTACK(YES_Writing_ELA[#Data],YES_Writing_FLA[#Data]),MATCH($A163,_xlfn.VSTACK(YES_Writing_ELA[Student Number],YES_Writing_FLA[Student Number]),0),MATCH(VLOOKUP(E$7,'Writing Logic'!$J$7:$K$11,2,FALSE)&amp;" - Per "&amp;VLOOKUP($C$4,'Writing Logic'!$G$8:$H$14,2,FALSE),YES_Writing_ELA[#Headers],0)))="INS",'Writing Logic'!$B$7,IF(INDEX(_xlfn.VSTACK(YES_Writing_ELA[#Data],YES_Writing_FLA[#Data]),MATCH($A163,_xlfn.VSTACK(YES_Writing_ELA[Student Number],YES_Writing_FLA[Student Number]),0),MATCH(VLOOKUP(E$7,'Writing Logic'!$J$7:$K$11,2,FALSE)&amp;" - Per "&amp;VLOOKUP($C$4,'Writing Logic'!$G$8:$H$14,2,FALSE),YES_Writing_ELA[#Headers],0))=0,"",INDEX(_xlfn.VSTACK(YES_Writing_ELA[#Data],YES_Writing_FLA[#Data]),MATCH($A163,_xlfn.VSTACK(YES_Writing_ELA[Student Number],YES_Writing_FLA[Student Number]),0),MATCH(VLOOKUP(E$7,'Writing Logic'!$J$7:$K$11,2,FALSE)&amp;" - Per "&amp;VLOOKUP($C$4,'Writing Logic'!$G$8:$H$14,2,FALSE),YES_Writing_ELA[#Headers],0)))),"")</f>
        <v/>
      </c>
      <c r="F163" s="138" t="str">
        <f>IFERROR(IF(IF(INDEX(_xlfn.VSTACK(YES_Writing_ELA[#Data],YES_Writing_FLA[#Data]),MATCH($A163,_xlfn.VSTACK(YES_Writing_ELA[Student Number],YES_Writing_FLA[Student Number]),0),MATCH(VLOOKUP(F$7,'Writing Logic'!$J$7:$K$11,2,FALSE)&amp;" - Per "&amp;VLOOKUP($C$4,'Writing Logic'!$G$8:$H$14,2,FALSE),YES_Writing_ELA[#Headers],0))=0,"",INDEX(_xlfn.VSTACK(YES_Writing_ELA[#Data],YES_Writing_FLA[#Data]),MATCH($A163,_xlfn.VSTACK(YES_Writing_ELA[Student Number],YES_Writing_FLA[Student Number]),0),MATCH(VLOOKUP(F$7,'Writing Logic'!$J$7:$K$11,2,FALSE)&amp;" - Per "&amp;VLOOKUP($C$4,'Writing Logic'!$G$8:$H$14,2,FALSE),YES_Writing_ELA[#Headers],0)))="INS",'Writing Logic'!$B$7,IF(INDEX(_xlfn.VSTACK(YES_Writing_ELA[#Data],YES_Writing_FLA[#Data]),MATCH($A163,_xlfn.VSTACK(YES_Writing_ELA[Student Number],YES_Writing_FLA[Student Number]),0),MATCH(VLOOKUP(F$7,'Writing Logic'!$J$7:$K$11,2,FALSE)&amp;" - Per "&amp;VLOOKUP($C$4,'Writing Logic'!$G$8:$H$14,2,FALSE),YES_Writing_ELA[#Headers],0))=0,"",INDEX(_xlfn.VSTACK(YES_Writing_ELA[#Data],YES_Writing_FLA[#Data]),MATCH($A163,_xlfn.VSTACK(YES_Writing_ELA[Student Number],YES_Writing_FLA[Student Number]),0),MATCH(VLOOKUP(F$7,'Writing Logic'!$J$7:$K$11,2,FALSE)&amp;" - Per "&amp;VLOOKUP($C$4,'Writing Logic'!$G$8:$H$14,2,FALSE),YES_Writing_ELA[#Headers],0)))),"")</f>
        <v/>
      </c>
      <c r="G163" s="138" t="str">
        <f>IFERROR(IF(IF(INDEX(_xlfn.VSTACK(YES_Writing_ELA[#Data],YES_Writing_FLA[#Data]),MATCH($A163,_xlfn.VSTACK(YES_Writing_ELA[Student Number],YES_Writing_FLA[Student Number]),0),MATCH(VLOOKUP(G$7,'Writing Logic'!$J$7:$K$11,2,FALSE)&amp;" - Per "&amp;VLOOKUP($C$4,'Writing Logic'!$G$8:$H$14,2,FALSE),YES_Writing_ELA[#Headers],0))=0,"",INDEX(_xlfn.VSTACK(YES_Writing_ELA[#Data],YES_Writing_FLA[#Data]),MATCH($A163,_xlfn.VSTACK(YES_Writing_ELA[Student Number],YES_Writing_FLA[Student Number]),0),MATCH(VLOOKUP(G$7,'Writing Logic'!$J$7:$K$11,2,FALSE)&amp;" - Per "&amp;VLOOKUP($C$4,'Writing Logic'!$G$8:$H$14,2,FALSE),YES_Writing_ELA[#Headers],0)))="INS",'Writing Logic'!$B$7,IF(INDEX(_xlfn.VSTACK(YES_Writing_ELA[#Data],YES_Writing_FLA[#Data]),MATCH($A163,_xlfn.VSTACK(YES_Writing_ELA[Student Number],YES_Writing_FLA[Student Number]),0),MATCH(VLOOKUP(G$7,'Writing Logic'!$J$7:$K$11,2,FALSE)&amp;" - Per "&amp;VLOOKUP($C$4,'Writing Logic'!$G$8:$H$14,2,FALSE),YES_Writing_ELA[#Headers],0))=0,"",INDEX(_xlfn.VSTACK(YES_Writing_ELA[#Data],YES_Writing_FLA[#Data]),MATCH($A163,_xlfn.VSTACK(YES_Writing_ELA[Student Number],YES_Writing_FLA[Student Number]),0),MATCH(VLOOKUP(G$7,'Writing Logic'!$J$7:$K$11,2,FALSE)&amp;" - Per "&amp;VLOOKUP($C$4,'Writing Logic'!$G$8:$H$14,2,FALSE),YES_Writing_ELA[#Headers],0)))),"")</f>
        <v/>
      </c>
      <c r="H163" s="223" t="str">
        <f>IFERROR(IF(IF(INDEX(_xlfn.VSTACK(YES_Writing_ELA[#Data],YES_Writing_FLA[#Data]),MATCH($A163,_xlfn.VSTACK(YES_Writing_ELA[Student Number],YES_Writing_FLA[Student Number]),0),MATCH(VLOOKUP(H$7,'Writing Logic'!$J$7:$K$11,2,FALSE)&amp;" - Per "&amp;VLOOKUP($C$4,'Writing Logic'!$G$8:$H$14,2,FALSE),YES_Writing_ELA[#Headers],0))=0,"",INDEX(_xlfn.VSTACK(YES_Writing_ELA[#Data],YES_Writing_FLA[#Data]),MATCH($A163,_xlfn.VSTACK(YES_Writing_ELA[Student Number],YES_Writing_FLA[Student Number]),0),MATCH(VLOOKUP(H$7,'Writing Logic'!$J$7:$K$11,2,FALSE)&amp;" - Per "&amp;VLOOKUP($C$4,'Writing Logic'!$G$8:$H$14,2,FALSE),YES_Writing_ELA[#Headers],0)))="INS",'Writing Logic'!$B$7,IF(INDEX(_xlfn.VSTACK(YES_Writing_ELA[#Data],YES_Writing_FLA[#Data]),MATCH($A163,_xlfn.VSTACK(YES_Writing_ELA[Student Number],YES_Writing_FLA[Student Number]),0),MATCH(VLOOKUP(H$7,'Writing Logic'!$J$7:$K$11,2,FALSE)&amp;" - Per "&amp;VLOOKUP($C$4,'Writing Logic'!$G$8:$H$14,2,FALSE),YES_Writing_ELA[#Headers],0))=0,"",INDEX(_xlfn.VSTACK(YES_Writing_ELA[#Data],YES_Writing_FLA[#Data]),MATCH($A163,_xlfn.VSTACK(YES_Writing_ELA[Student Number],YES_Writing_FLA[Student Number]),0),MATCH(VLOOKUP(H$7,'Writing Logic'!$J$7:$K$11,2,FALSE)&amp;" - Per "&amp;VLOOKUP($C$4,'Writing Logic'!$G$8:$H$14,2,FALSE),YES_Writing_ELA[#Headers],0)))),"")</f>
        <v/>
      </c>
      <c r="I163" s="224" t="str" cm="1">
        <f t="array" aca="1" ref="I163" ca="1">IFERROR(
IF($G$3="ELA",
IF(VLOOKUP($A163, YES_Reading_ELA[], COLUMN(INDIRECT("YES_Reading_ELA[Difference - Per "&amp;VLOOKUP($G$4, 'Reading Report Logic'!$A$2:$B$8, 2, FALSE)&amp;"]")), FALSE)="", "",
VLOOKUP($A163,YES_Reading_ELA[], COLUMN(INDIRECT("YES_Reading_ELA[Difference - Per "&amp;VLOOKUP($G$4,'Reading Report Logic'!$A$2:$B$8,2,FALSE)&amp;"]")), FALSE)),
IF($G$3="FLA",
IF(VLOOKUP($A163, YES_Reading_FLA[], COLUMN(INDIRECT("YES_Reading_FLA[Difference - Per "&amp;VLOOKUP($G$4,'Reading Report Logic'!$A$2:$B$8,2,FALSE)&amp;"]")),FALSE)="","",
VLOOKUP($A163,YES_Reading_FLA[],COLUMN(INDIRECT("YES_Reading_FLA[Difference - Per "&amp;VLOOKUP($G$4,'Reading Report Logic'!$A$2:$B$8,2,FALSE)&amp;"]")),FALSE)),
IF($G$3="Combined",
IFERROR(
IF(VLOOKUP($A163, YES_Reading_ELA[], COLUMN(INDIRECT("YES_Reading_ELA[Difference - Per "&amp;VLOOKUP($G$4, 'Reading Report Logic'!$A$2:$B$8,2,FALSE)&amp;"]")), FALSE)="", "",
VLOOKUP($A163,YES_Reading_ELA[],COLUMN(INDIRECT("YES_Reading_ELA[Difference - Per "&amp;VLOOKUP($G$4,'Reading Report Logic'!$A$2:$B$8,2,FALSE)&amp;"]")),FALSE)),
IF(VLOOKUP($A163, YES_Reading_FLA[], COLUMN(INDIRECT("YES_Reading_FLA[Difference - Per "&amp;VLOOKUP($G$4, 'Reading Report Logic'!$A$2:$B$8, 2, FALSE)&amp;"]")),FALSE)="", "", VLOOKUP($A163,YES_Reading_FLA[],COLUMN(INDIRECT("YES_Reading_FLA[Difference - Per "&amp;VLOOKUP($G$4, 'Reading Report Logic'!$A$2:$B$8, 2, FALSE)&amp;"]")),FALSE))),""))),"")</f>
        <v/>
      </c>
    </row>
    <row r="164" spans="1:9" ht="14.25" customHeight="1" x14ac:dyDescent="0.25">
      <c r="A164" s="137"/>
      <c r="B164" s="137" t="str">
        <f>IFERROR(INDEX(_xlfn.VSTACK(YES_Writing_ELA[#Data], YES_Writing_FLA[#Data]),MATCH($A164,_xlfn.VSTACK(YES_Writing_ELA[Student Number], YES_Writing_FLA[Student Number]),0),MATCH(B$7,YES_Writing_ELA[#Headers],0)),IFERROR(INDEX(_xlfn.VSTACK(YES_Reading_ELA[#Data], YES_Reading_FLA[#Data]),MATCH($A164,_xlfn.VSTACK(YES_Reading_ELA[Student Number], YES_Reading_FLA[Student Number]),0),MATCH(B$7,YES_Reading_ELA[#Headers],0)),""))</f>
        <v/>
      </c>
      <c r="C164" s="137" t="str">
        <f>IFERROR(INDEX(_xlfn.VSTACK(YES_Writing_ELA[#Data], YES_Writing_FLA[#Data]),MATCH($A164,_xlfn.VSTACK(YES_Writing_ELA[Student Number], YES_Writing_FLA[Student Number]),0),MATCH(C$7,YES_Writing_ELA[#Headers],0)),IFERROR(INDEX(_xlfn.VSTACK(YES_Reading_ELA[#Data], YES_Reading_FLA[#Data]),MATCH($A164,_xlfn.VSTACK(YES_Reading_ELA[Student Number], YES_Reading_FLA[Student Number]),0),MATCH(C$7,YES_Reading_ELA[#Headers],0)),""))</f>
        <v/>
      </c>
      <c r="D164" s="138" t="str">
        <f>IFERROR(IF(IF(INDEX(_xlfn.VSTACK(YES_Writing_ELA[#Data],YES_Writing_FLA[#Data]),MATCH($A164,_xlfn.VSTACK(YES_Writing_ELA[Student Number],YES_Writing_FLA[Student Number]),0),MATCH(VLOOKUP(D$7,'Writing Logic'!$J$7:$K$11,2,FALSE)&amp;" - Per "&amp;VLOOKUP($C$4,'Writing Logic'!$G$8:$H$14,2,FALSE),YES_Writing_ELA[#Headers],0))=0,"",INDEX(_xlfn.VSTACK(YES_Writing_ELA[#Data],YES_Writing_FLA[#Data]),MATCH($A164,_xlfn.VSTACK(YES_Writing_ELA[Student Number],YES_Writing_FLA[Student Number]),0),MATCH(VLOOKUP(D$7,'Writing Logic'!$J$7:$K$11,2,FALSE)&amp;" - Per "&amp;VLOOKUP($C$4,'Writing Logic'!$G$8:$H$14,2,FALSE),YES_Writing_ELA[#Headers],0)))="INS",'Writing Logic'!$B$7,IF(INDEX(_xlfn.VSTACK(YES_Writing_ELA[#Data],YES_Writing_FLA[#Data]),MATCH($A164,_xlfn.VSTACK(YES_Writing_ELA[Student Number],YES_Writing_FLA[Student Number]),0),MATCH(VLOOKUP(D$7,'Writing Logic'!$J$7:$K$11,2,FALSE)&amp;" - Per "&amp;VLOOKUP($C$4,'Writing Logic'!$G$8:$H$14,2,FALSE),YES_Writing_ELA[#Headers],0))=0,"",INDEX(_xlfn.VSTACK(YES_Writing_ELA[#Data],YES_Writing_FLA[#Data]),MATCH($A164,_xlfn.VSTACK(YES_Writing_ELA[Student Number],YES_Writing_FLA[Student Number]),0),MATCH(VLOOKUP(D$7,'Writing Logic'!$J$7:$K$11,2,FALSE)&amp;" - Per "&amp;VLOOKUP($C$4,'Writing Logic'!$G$8:$H$14,2,FALSE),YES_Writing_ELA[#Headers],0)))),"")</f>
        <v/>
      </c>
      <c r="E164" s="138" t="str">
        <f>IFERROR(IF(IF(INDEX(_xlfn.VSTACK(YES_Writing_ELA[#Data],YES_Writing_FLA[#Data]),MATCH($A164,_xlfn.VSTACK(YES_Writing_ELA[Student Number],YES_Writing_FLA[Student Number]),0),MATCH(VLOOKUP(E$7,'Writing Logic'!$J$7:$K$11,2,FALSE)&amp;" - Per "&amp;VLOOKUP($C$4,'Writing Logic'!$G$8:$H$14,2,FALSE),YES_Writing_ELA[#Headers],0))=0,"",INDEX(_xlfn.VSTACK(YES_Writing_ELA[#Data],YES_Writing_FLA[#Data]),MATCH($A164,_xlfn.VSTACK(YES_Writing_ELA[Student Number],YES_Writing_FLA[Student Number]),0),MATCH(VLOOKUP(E$7,'Writing Logic'!$J$7:$K$11,2,FALSE)&amp;" - Per "&amp;VLOOKUP($C$4,'Writing Logic'!$G$8:$H$14,2,FALSE),YES_Writing_ELA[#Headers],0)))="INS",'Writing Logic'!$B$7,IF(INDEX(_xlfn.VSTACK(YES_Writing_ELA[#Data],YES_Writing_FLA[#Data]),MATCH($A164,_xlfn.VSTACK(YES_Writing_ELA[Student Number],YES_Writing_FLA[Student Number]),0),MATCH(VLOOKUP(E$7,'Writing Logic'!$J$7:$K$11,2,FALSE)&amp;" - Per "&amp;VLOOKUP($C$4,'Writing Logic'!$G$8:$H$14,2,FALSE),YES_Writing_ELA[#Headers],0))=0,"",INDEX(_xlfn.VSTACK(YES_Writing_ELA[#Data],YES_Writing_FLA[#Data]),MATCH($A164,_xlfn.VSTACK(YES_Writing_ELA[Student Number],YES_Writing_FLA[Student Number]),0),MATCH(VLOOKUP(E$7,'Writing Logic'!$J$7:$K$11,2,FALSE)&amp;" - Per "&amp;VLOOKUP($C$4,'Writing Logic'!$G$8:$H$14,2,FALSE),YES_Writing_ELA[#Headers],0)))),"")</f>
        <v/>
      </c>
      <c r="F164" s="138" t="str">
        <f>IFERROR(IF(IF(INDEX(_xlfn.VSTACK(YES_Writing_ELA[#Data],YES_Writing_FLA[#Data]),MATCH($A164,_xlfn.VSTACK(YES_Writing_ELA[Student Number],YES_Writing_FLA[Student Number]),0),MATCH(VLOOKUP(F$7,'Writing Logic'!$J$7:$K$11,2,FALSE)&amp;" - Per "&amp;VLOOKUP($C$4,'Writing Logic'!$G$8:$H$14,2,FALSE),YES_Writing_ELA[#Headers],0))=0,"",INDEX(_xlfn.VSTACK(YES_Writing_ELA[#Data],YES_Writing_FLA[#Data]),MATCH($A164,_xlfn.VSTACK(YES_Writing_ELA[Student Number],YES_Writing_FLA[Student Number]),0),MATCH(VLOOKUP(F$7,'Writing Logic'!$J$7:$K$11,2,FALSE)&amp;" - Per "&amp;VLOOKUP($C$4,'Writing Logic'!$G$8:$H$14,2,FALSE),YES_Writing_ELA[#Headers],0)))="INS",'Writing Logic'!$B$7,IF(INDEX(_xlfn.VSTACK(YES_Writing_ELA[#Data],YES_Writing_FLA[#Data]),MATCH($A164,_xlfn.VSTACK(YES_Writing_ELA[Student Number],YES_Writing_FLA[Student Number]),0),MATCH(VLOOKUP(F$7,'Writing Logic'!$J$7:$K$11,2,FALSE)&amp;" - Per "&amp;VLOOKUP($C$4,'Writing Logic'!$G$8:$H$14,2,FALSE),YES_Writing_ELA[#Headers],0))=0,"",INDEX(_xlfn.VSTACK(YES_Writing_ELA[#Data],YES_Writing_FLA[#Data]),MATCH($A164,_xlfn.VSTACK(YES_Writing_ELA[Student Number],YES_Writing_FLA[Student Number]),0),MATCH(VLOOKUP(F$7,'Writing Logic'!$J$7:$K$11,2,FALSE)&amp;" - Per "&amp;VLOOKUP($C$4,'Writing Logic'!$G$8:$H$14,2,FALSE),YES_Writing_ELA[#Headers],0)))),"")</f>
        <v/>
      </c>
      <c r="G164" s="138" t="str">
        <f>IFERROR(IF(IF(INDEX(_xlfn.VSTACK(YES_Writing_ELA[#Data],YES_Writing_FLA[#Data]),MATCH($A164,_xlfn.VSTACK(YES_Writing_ELA[Student Number],YES_Writing_FLA[Student Number]),0),MATCH(VLOOKUP(G$7,'Writing Logic'!$J$7:$K$11,2,FALSE)&amp;" - Per "&amp;VLOOKUP($C$4,'Writing Logic'!$G$8:$H$14,2,FALSE),YES_Writing_ELA[#Headers],0))=0,"",INDEX(_xlfn.VSTACK(YES_Writing_ELA[#Data],YES_Writing_FLA[#Data]),MATCH($A164,_xlfn.VSTACK(YES_Writing_ELA[Student Number],YES_Writing_FLA[Student Number]),0),MATCH(VLOOKUP(G$7,'Writing Logic'!$J$7:$K$11,2,FALSE)&amp;" - Per "&amp;VLOOKUP($C$4,'Writing Logic'!$G$8:$H$14,2,FALSE),YES_Writing_ELA[#Headers],0)))="INS",'Writing Logic'!$B$7,IF(INDEX(_xlfn.VSTACK(YES_Writing_ELA[#Data],YES_Writing_FLA[#Data]),MATCH($A164,_xlfn.VSTACK(YES_Writing_ELA[Student Number],YES_Writing_FLA[Student Number]),0),MATCH(VLOOKUP(G$7,'Writing Logic'!$J$7:$K$11,2,FALSE)&amp;" - Per "&amp;VLOOKUP($C$4,'Writing Logic'!$G$8:$H$14,2,FALSE),YES_Writing_ELA[#Headers],0))=0,"",INDEX(_xlfn.VSTACK(YES_Writing_ELA[#Data],YES_Writing_FLA[#Data]),MATCH($A164,_xlfn.VSTACK(YES_Writing_ELA[Student Number],YES_Writing_FLA[Student Number]),0),MATCH(VLOOKUP(G$7,'Writing Logic'!$J$7:$K$11,2,FALSE)&amp;" - Per "&amp;VLOOKUP($C$4,'Writing Logic'!$G$8:$H$14,2,FALSE),YES_Writing_ELA[#Headers],0)))),"")</f>
        <v/>
      </c>
      <c r="H164" s="223" t="str">
        <f>IFERROR(IF(IF(INDEX(_xlfn.VSTACK(YES_Writing_ELA[#Data],YES_Writing_FLA[#Data]),MATCH($A164,_xlfn.VSTACK(YES_Writing_ELA[Student Number],YES_Writing_FLA[Student Number]),0),MATCH(VLOOKUP(H$7,'Writing Logic'!$J$7:$K$11,2,FALSE)&amp;" - Per "&amp;VLOOKUP($C$4,'Writing Logic'!$G$8:$H$14,2,FALSE),YES_Writing_ELA[#Headers],0))=0,"",INDEX(_xlfn.VSTACK(YES_Writing_ELA[#Data],YES_Writing_FLA[#Data]),MATCH($A164,_xlfn.VSTACK(YES_Writing_ELA[Student Number],YES_Writing_FLA[Student Number]),0),MATCH(VLOOKUP(H$7,'Writing Logic'!$J$7:$K$11,2,FALSE)&amp;" - Per "&amp;VLOOKUP($C$4,'Writing Logic'!$G$8:$H$14,2,FALSE),YES_Writing_ELA[#Headers],0)))="INS",'Writing Logic'!$B$7,IF(INDEX(_xlfn.VSTACK(YES_Writing_ELA[#Data],YES_Writing_FLA[#Data]),MATCH($A164,_xlfn.VSTACK(YES_Writing_ELA[Student Number],YES_Writing_FLA[Student Number]),0),MATCH(VLOOKUP(H$7,'Writing Logic'!$J$7:$K$11,2,FALSE)&amp;" - Per "&amp;VLOOKUP($C$4,'Writing Logic'!$G$8:$H$14,2,FALSE),YES_Writing_ELA[#Headers],0))=0,"",INDEX(_xlfn.VSTACK(YES_Writing_ELA[#Data],YES_Writing_FLA[#Data]),MATCH($A164,_xlfn.VSTACK(YES_Writing_ELA[Student Number],YES_Writing_FLA[Student Number]),0),MATCH(VLOOKUP(H$7,'Writing Logic'!$J$7:$K$11,2,FALSE)&amp;" - Per "&amp;VLOOKUP($C$4,'Writing Logic'!$G$8:$H$14,2,FALSE),YES_Writing_ELA[#Headers],0)))),"")</f>
        <v/>
      </c>
      <c r="I164" s="224" t="str" cm="1">
        <f t="array" aca="1" ref="I164" ca="1">IFERROR(
IF($G$3="ELA",
IF(VLOOKUP($A164, YES_Reading_ELA[], COLUMN(INDIRECT("YES_Reading_ELA[Difference - Per "&amp;VLOOKUP($G$4, 'Reading Report Logic'!$A$2:$B$8, 2, FALSE)&amp;"]")), FALSE)="", "",
VLOOKUP($A164,YES_Reading_ELA[], COLUMN(INDIRECT("YES_Reading_ELA[Difference - Per "&amp;VLOOKUP($G$4,'Reading Report Logic'!$A$2:$B$8,2,FALSE)&amp;"]")), FALSE)),
IF($G$3="FLA",
IF(VLOOKUP($A164, YES_Reading_FLA[], COLUMN(INDIRECT("YES_Reading_FLA[Difference - Per "&amp;VLOOKUP($G$4,'Reading Report Logic'!$A$2:$B$8,2,FALSE)&amp;"]")),FALSE)="","",
VLOOKUP($A164,YES_Reading_FLA[],COLUMN(INDIRECT("YES_Reading_FLA[Difference - Per "&amp;VLOOKUP($G$4,'Reading Report Logic'!$A$2:$B$8,2,FALSE)&amp;"]")),FALSE)),
IF($G$3="Combined",
IFERROR(
IF(VLOOKUP($A164, YES_Reading_ELA[], COLUMN(INDIRECT("YES_Reading_ELA[Difference - Per "&amp;VLOOKUP($G$4, 'Reading Report Logic'!$A$2:$B$8,2,FALSE)&amp;"]")), FALSE)="", "",
VLOOKUP($A164,YES_Reading_ELA[],COLUMN(INDIRECT("YES_Reading_ELA[Difference - Per "&amp;VLOOKUP($G$4,'Reading Report Logic'!$A$2:$B$8,2,FALSE)&amp;"]")),FALSE)),
IF(VLOOKUP($A164, YES_Reading_FLA[], COLUMN(INDIRECT("YES_Reading_FLA[Difference - Per "&amp;VLOOKUP($G$4, 'Reading Report Logic'!$A$2:$B$8, 2, FALSE)&amp;"]")),FALSE)="", "", VLOOKUP($A164,YES_Reading_FLA[],COLUMN(INDIRECT("YES_Reading_FLA[Difference - Per "&amp;VLOOKUP($G$4, 'Reading Report Logic'!$A$2:$B$8, 2, FALSE)&amp;"]")),FALSE))),""))),"")</f>
        <v/>
      </c>
    </row>
    <row r="165" spans="1:9" ht="14.25" customHeight="1" x14ac:dyDescent="0.25">
      <c r="A165" s="137"/>
      <c r="B165" s="137" t="str">
        <f>IFERROR(INDEX(_xlfn.VSTACK(YES_Writing_ELA[#Data], YES_Writing_FLA[#Data]),MATCH($A165,_xlfn.VSTACK(YES_Writing_ELA[Student Number], YES_Writing_FLA[Student Number]),0),MATCH(B$7,YES_Writing_ELA[#Headers],0)),IFERROR(INDEX(_xlfn.VSTACK(YES_Reading_ELA[#Data], YES_Reading_FLA[#Data]),MATCH($A165,_xlfn.VSTACK(YES_Reading_ELA[Student Number], YES_Reading_FLA[Student Number]),0),MATCH(B$7,YES_Reading_ELA[#Headers],0)),""))</f>
        <v/>
      </c>
      <c r="C165" s="137" t="str">
        <f>IFERROR(INDEX(_xlfn.VSTACK(YES_Writing_ELA[#Data], YES_Writing_FLA[#Data]),MATCH($A165,_xlfn.VSTACK(YES_Writing_ELA[Student Number], YES_Writing_FLA[Student Number]),0),MATCH(C$7,YES_Writing_ELA[#Headers],0)),IFERROR(INDEX(_xlfn.VSTACK(YES_Reading_ELA[#Data], YES_Reading_FLA[#Data]),MATCH($A165,_xlfn.VSTACK(YES_Reading_ELA[Student Number], YES_Reading_FLA[Student Number]),0),MATCH(C$7,YES_Reading_ELA[#Headers],0)),""))</f>
        <v/>
      </c>
      <c r="D165" s="138" t="str">
        <f>IFERROR(IF(IF(INDEX(_xlfn.VSTACK(YES_Writing_ELA[#Data],YES_Writing_FLA[#Data]),MATCH($A165,_xlfn.VSTACK(YES_Writing_ELA[Student Number],YES_Writing_FLA[Student Number]),0),MATCH(VLOOKUP(D$7,'Writing Logic'!$J$7:$K$11,2,FALSE)&amp;" - Per "&amp;VLOOKUP($C$4,'Writing Logic'!$G$8:$H$14,2,FALSE),YES_Writing_ELA[#Headers],0))=0,"",INDEX(_xlfn.VSTACK(YES_Writing_ELA[#Data],YES_Writing_FLA[#Data]),MATCH($A165,_xlfn.VSTACK(YES_Writing_ELA[Student Number],YES_Writing_FLA[Student Number]),0),MATCH(VLOOKUP(D$7,'Writing Logic'!$J$7:$K$11,2,FALSE)&amp;" - Per "&amp;VLOOKUP($C$4,'Writing Logic'!$G$8:$H$14,2,FALSE),YES_Writing_ELA[#Headers],0)))="INS",'Writing Logic'!$B$7,IF(INDEX(_xlfn.VSTACK(YES_Writing_ELA[#Data],YES_Writing_FLA[#Data]),MATCH($A165,_xlfn.VSTACK(YES_Writing_ELA[Student Number],YES_Writing_FLA[Student Number]),0),MATCH(VLOOKUP(D$7,'Writing Logic'!$J$7:$K$11,2,FALSE)&amp;" - Per "&amp;VLOOKUP($C$4,'Writing Logic'!$G$8:$H$14,2,FALSE),YES_Writing_ELA[#Headers],0))=0,"",INDEX(_xlfn.VSTACK(YES_Writing_ELA[#Data],YES_Writing_FLA[#Data]),MATCH($A165,_xlfn.VSTACK(YES_Writing_ELA[Student Number],YES_Writing_FLA[Student Number]),0),MATCH(VLOOKUP(D$7,'Writing Logic'!$J$7:$K$11,2,FALSE)&amp;" - Per "&amp;VLOOKUP($C$4,'Writing Logic'!$G$8:$H$14,2,FALSE),YES_Writing_ELA[#Headers],0)))),"")</f>
        <v/>
      </c>
      <c r="E165" s="138" t="str">
        <f>IFERROR(IF(IF(INDEX(_xlfn.VSTACK(YES_Writing_ELA[#Data],YES_Writing_FLA[#Data]),MATCH($A165,_xlfn.VSTACK(YES_Writing_ELA[Student Number],YES_Writing_FLA[Student Number]),0),MATCH(VLOOKUP(E$7,'Writing Logic'!$J$7:$K$11,2,FALSE)&amp;" - Per "&amp;VLOOKUP($C$4,'Writing Logic'!$G$8:$H$14,2,FALSE),YES_Writing_ELA[#Headers],0))=0,"",INDEX(_xlfn.VSTACK(YES_Writing_ELA[#Data],YES_Writing_FLA[#Data]),MATCH($A165,_xlfn.VSTACK(YES_Writing_ELA[Student Number],YES_Writing_FLA[Student Number]),0),MATCH(VLOOKUP(E$7,'Writing Logic'!$J$7:$K$11,2,FALSE)&amp;" - Per "&amp;VLOOKUP($C$4,'Writing Logic'!$G$8:$H$14,2,FALSE),YES_Writing_ELA[#Headers],0)))="INS",'Writing Logic'!$B$7,IF(INDEX(_xlfn.VSTACK(YES_Writing_ELA[#Data],YES_Writing_FLA[#Data]),MATCH($A165,_xlfn.VSTACK(YES_Writing_ELA[Student Number],YES_Writing_FLA[Student Number]),0),MATCH(VLOOKUP(E$7,'Writing Logic'!$J$7:$K$11,2,FALSE)&amp;" - Per "&amp;VLOOKUP($C$4,'Writing Logic'!$G$8:$H$14,2,FALSE),YES_Writing_ELA[#Headers],0))=0,"",INDEX(_xlfn.VSTACK(YES_Writing_ELA[#Data],YES_Writing_FLA[#Data]),MATCH($A165,_xlfn.VSTACK(YES_Writing_ELA[Student Number],YES_Writing_FLA[Student Number]),0),MATCH(VLOOKUP(E$7,'Writing Logic'!$J$7:$K$11,2,FALSE)&amp;" - Per "&amp;VLOOKUP($C$4,'Writing Logic'!$G$8:$H$14,2,FALSE),YES_Writing_ELA[#Headers],0)))),"")</f>
        <v/>
      </c>
      <c r="F165" s="138" t="str">
        <f>IFERROR(IF(IF(INDEX(_xlfn.VSTACK(YES_Writing_ELA[#Data],YES_Writing_FLA[#Data]),MATCH($A165,_xlfn.VSTACK(YES_Writing_ELA[Student Number],YES_Writing_FLA[Student Number]),0),MATCH(VLOOKUP(F$7,'Writing Logic'!$J$7:$K$11,2,FALSE)&amp;" - Per "&amp;VLOOKUP($C$4,'Writing Logic'!$G$8:$H$14,2,FALSE),YES_Writing_ELA[#Headers],0))=0,"",INDEX(_xlfn.VSTACK(YES_Writing_ELA[#Data],YES_Writing_FLA[#Data]),MATCH($A165,_xlfn.VSTACK(YES_Writing_ELA[Student Number],YES_Writing_FLA[Student Number]),0),MATCH(VLOOKUP(F$7,'Writing Logic'!$J$7:$K$11,2,FALSE)&amp;" - Per "&amp;VLOOKUP($C$4,'Writing Logic'!$G$8:$H$14,2,FALSE),YES_Writing_ELA[#Headers],0)))="INS",'Writing Logic'!$B$7,IF(INDEX(_xlfn.VSTACK(YES_Writing_ELA[#Data],YES_Writing_FLA[#Data]),MATCH($A165,_xlfn.VSTACK(YES_Writing_ELA[Student Number],YES_Writing_FLA[Student Number]),0),MATCH(VLOOKUP(F$7,'Writing Logic'!$J$7:$K$11,2,FALSE)&amp;" - Per "&amp;VLOOKUP($C$4,'Writing Logic'!$G$8:$H$14,2,FALSE),YES_Writing_ELA[#Headers],0))=0,"",INDEX(_xlfn.VSTACK(YES_Writing_ELA[#Data],YES_Writing_FLA[#Data]),MATCH($A165,_xlfn.VSTACK(YES_Writing_ELA[Student Number],YES_Writing_FLA[Student Number]),0),MATCH(VLOOKUP(F$7,'Writing Logic'!$J$7:$K$11,2,FALSE)&amp;" - Per "&amp;VLOOKUP($C$4,'Writing Logic'!$G$8:$H$14,2,FALSE),YES_Writing_ELA[#Headers],0)))),"")</f>
        <v/>
      </c>
      <c r="G165" s="138" t="str">
        <f>IFERROR(IF(IF(INDEX(_xlfn.VSTACK(YES_Writing_ELA[#Data],YES_Writing_FLA[#Data]),MATCH($A165,_xlfn.VSTACK(YES_Writing_ELA[Student Number],YES_Writing_FLA[Student Number]),0),MATCH(VLOOKUP(G$7,'Writing Logic'!$J$7:$K$11,2,FALSE)&amp;" - Per "&amp;VLOOKUP($C$4,'Writing Logic'!$G$8:$H$14,2,FALSE),YES_Writing_ELA[#Headers],0))=0,"",INDEX(_xlfn.VSTACK(YES_Writing_ELA[#Data],YES_Writing_FLA[#Data]),MATCH($A165,_xlfn.VSTACK(YES_Writing_ELA[Student Number],YES_Writing_FLA[Student Number]),0),MATCH(VLOOKUP(G$7,'Writing Logic'!$J$7:$K$11,2,FALSE)&amp;" - Per "&amp;VLOOKUP($C$4,'Writing Logic'!$G$8:$H$14,2,FALSE),YES_Writing_ELA[#Headers],0)))="INS",'Writing Logic'!$B$7,IF(INDEX(_xlfn.VSTACK(YES_Writing_ELA[#Data],YES_Writing_FLA[#Data]),MATCH($A165,_xlfn.VSTACK(YES_Writing_ELA[Student Number],YES_Writing_FLA[Student Number]),0),MATCH(VLOOKUP(G$7,'Writing Logic'!$J$7:$K$11,2,FALSE)&amp;" - Per "&amp;VLOOKUP($C$4,'Writing Logic'!$G$8:$H$14,2,FALSE),YES_Writing_ELA[#Headers],0))=0,"",INDEX(_xlfn.VSTACK(YES_Writing_ELA[#Data],YES_Writing_FLA[#Data]),MATCH($A165,_xlfn.VSTACK(YES_Writing_ELA[Student Number],YES_Writing_FLA[Student Number]),0),MATCH(VLOOKUP(G$7,'Writing Logic'!$J$7:$K$11,2,FALSE)&amp;" - Per "&amp;VLOOKUP($C$4,'Writing Logic'!$G$8:$H$14,2,FALSE),YES_Writing_ELA[#Headers],0)))),"")</f>
        <v/>
      </c>
      <c r="H165" s="223" t="str">
        <f>IFERROR(IF(IF(INDEX(_xlfn.VSTACK(YES_Writing_ELA[#Data],YES_Writing_FLA[#Data]),MATCH($A165,_xlfn.VSTACK(YES_Writing_ELA[Student Number],YES_Writing_FLA[Student Number]),0),MATCH(VLOOKUP(H$7,'Writing Logic'!$J$7:$K$11,2,FALSE)&amp;" - Per "&amp;VLOOKUP($C$4,'Writing Logic'!$G$8:$H$14,2,FALSE),YES_Writing_ELA[#Headers],0))=0,"",INDEX(_xlfn.VSTACK(YES_Writing_ELA[#Data],YES_Writing_FLA[#Data]),MATCH($A165,_xlfn.VSTACK(YES_Writing_ELA[Student Number],YES_Writing_FLA[Student Number]),0),MATCH(VLOOKUP(H$7,'Writing Logic'!$J$7:$K$11,2,FALSE)&amp;" - Per "&amp;VLOOKUP($C$4,'Writing Logic'!$G$8:$H$14,2,FALSE),YES_Writing_ELA[#Headers],0)))="INS",'Writing Logic'!$B$7,IF(INDEX(_xlfn.VSTACK(YES_Writing_ELA[#Data],YES_Writing_FLA[#Data]),MATCH($A165,_xlfn.VSTACK(YES_Writing_ELA[Student Number],YES_Writing_FLA[Student Number]),0),MATCH(VLOOKUP(H$7,'Writing Logic'!$J$7:$K$11,2,FALSE)&amp;" - Per "&amp;VLOOKUP($C$4,'Writing Logic'!$G$8:$H$14,2,FALSE),YES_Writing_ELA[#Headers],0))=0,"",INDEX(_xlfn.VSTACK(YES_Writing_ELA[#Data],YES_Writing_FLA[#Data]),MATCH($A165,_xlfn.VSTACK(YES_Writing_ELA[Student Number],YES_Writing_FLA[Student Number]),0),MATCH(VLOOKUP(H$7,'Writing Logic'!$J$7:$K$11,2,FALSE)&amp;" - Per "&amp;VLOOKUP($C$4,'Writing Logic'!$G$8:$H$14,2,FALSE),YES_Writing_ELA[#Headers],0)))),"")</f>
        <v/>
      </c>
      <c r="I165" s="224" t="str" cm="1">
        <f t="array" aca="1" ref="I165" ca="1">IFERROR(
IF($G$3="ELA",
IF(VLOOKUP($A165, YES_Reading_ELA[], COLUMN(INDIRECT("YES_Reading_ELA[Difference - Per "&amp;VLOOKUP($G$4, 'Reading Report Logic'!$A$2:$B$8, 2, FALSE)&amp;"]")), FALSE)="", "",
VLOOKUP($A165,YES_Reading_ELA[], COLUMN(INDIRECT("YES_Reading_ELA[Difference - Per "&amp;VLOOKUP($G$4,'Reading Report Logic'!$A$2:$B$8,2,FALSE)&amp;"]")), FALSE)),
IF($G$3="FLA",
IF(VLOOKUP($A165, YES_Reading_FLA[], COLUMN(INDIRECT("YES_Reading_FLA[Difference - Per "&amp;VLOOKUP($G$4,'Reading Report Logic'!$A$2:$B$8,2,FALSE)&amp;"]")),FALSE)="","",
VLOOKUP($A165,YES_Reading_FLA[],COLUMN(INDIRECT("YES_Reading_FLA[Difference - Per "&amp;VLOOKUP($G$4,'Reading Report Logic'!$A$2:$B$8,2,FALSE)&amp;"]")),FALSE)),
IF($G$3="Combined",
IFERROR(
IF(VLOOKUP($A165, YES_Reading_ELA[], COLUMN(INDIRECT("YES_Reading_ELA[Difference - Per "&amp;VLOOKUP($G$4, 'Reading Report Logic'!$A$2:$B$8,2,FALSE)&amp;"]")), FALSE)="", "",
VLOOKUP($A165,YES_Reading_ELA[],COLUMN(INDIRECT("YES_Reading_ELA[Difference - Per "&amp;VLOOKUP($G$4,'Reading Report Logic'!$A$2:$B$8,2,FALSE)&amp;"]")),FALSE)),
IF(VLOOKUP($A165, YES_Reading_FLA[], COLUMN(INDIRECT("YES_Reading_FLA[Difference - Per "&amp;VLOOKUP($G$4, 'Reading Report Logic'!$A$2:$B$8, 2, FALSE)&amp;"]")),FALSE)="", "", VLOOKUP($A165,YES_Reading_FLA[],COLUMN(INDIRECT("YES_Reading_FLA[Difference - Per "&amp;VLOOKUP($G$4, 'Reading Report Logic'!$A$2:$B$8, 2, FALSE)&amp;"]")),FALSE))),""))),"")</f>
        <v/>
      </c>
    </row>
    <row r="166" spans="1:9" ht="14.25" customHeight="1" x14ac:dyDescent="0.25">
      <c r="A166" s="137"/>
      <c r="B166" s="137" t="str">
        <f>IFERROR(INDEX(_xlfn.VSTACK(YES_Writing_ELA[#Data], YES_Writing_FLA[#Data]),MATCH($A166,_xlfn.VSTACK(YES_Writing_ELA[Student Number], YES_Writing_FLA[Student Number]),0),MATCH(B$7,YES_Writing_ELA[#Headers],0)),IFERROR(INDEX(_xlfn.VSTACK(YES_Reading_ELA[#Data], YES_Reading_FLA[#Data]),MATCH($A166,_xlfn.VSTACK(YES_Reading_ELA[Student Number], YES_Reading_FLA[Student Number]),0),MATCH(B$7,YES_Reading_ELA[#Headers],0)),""))</f>
        <v/>
      </c>
      <c r="C166" s="137" t="str">
        <f>IFERROR(INDEX(_xlfn.VSTACK(YES_Writing_ELA[#Data], YES_Writing_FLA[#Data]),MATCH($A166,_xlfn.VSTACK(YES_Writing_ELA[Student Number], YES_Writing_FLA[Student Number]),0),MATCH(C$7,YES_Writing_ELA[#Headers],0)),IFERROR(INDEX(_xlfn.VSTACK(YES_Reading_ELA[#Data], YES_Reading_FLA[#Data]),MATCH($A166,_xlfn.VSTACK(YES_Reading_ELA[Student Number], YES_Reading_FLA[Student Number]),0),MATCH(C$7,YES_Reading_ELA[#Headers],0)),""))</f>
        <v/>
      </c>
      <c r="D166" s="138" t="str">
        <f>IFERROR(IF(IF(INDEX(_xlfn.VSTACK(YES_Writing_ELA[#Data],YES_Writing_FLA[#Data]),MATCH($A166,_xlfn.VSTACK(YES_Writing_ELA[Student Number],YES_Writing_FLA[Student Number]),0),MATCH(VLOOKUP(D$7,'Writing Logic'!$J$7:$K$11,2,FALSE)&amp;" - Per "&amp;VLOOKUP($C$4,'Writing Logic'!$G$8:$H$14,2,FALSE),YES_Writing_ELA[#Headers],0))=0,"",INDEX(_xlfn.VSTACK(YES_Writing_ELA[#Data],YES_Writing_FLA[#Data]),MATCH($A166,_xlfn.VSTACK(YES_Writing_ELA[Student Number],YES_Writing_FLA[Student Number]),0),MATCH(VLOOKUP(D$7,'Writing Logic'!$J$7:$K$11,2,FALSE)&amp;" - Per "&amp;VLOOKUP($C$4,'Writing Logic'!$G$8:$H$14,2,FALSE),YES_Writing_ELA[#Headers],0)))="INS",'Writing Logic'!$B$7,IF(INDEX(_xlfn.VSTACK(YES_Writing_ELA[#Data],YES_Writing_FLA[#Data]),MATCH($A166,_xlfn.VSTACK(YES_Writing_ELA[Student Number],YES_Writing_FLA[Student Number]),0),MATCH(VLOOKUP(D$7,'Writing Logic'!$J$7:$K$11,2,FALSE)&amp;" - Per "&amp;VLOOKUP($C$4,'Writing Logic'!$G$8:$H$14,2,FALSE),YES_Writing_ELA[#Headers],0))=0,"",INDEX(_xlfn.VSTACK(YES_Writing_ELA[#Data],YES_Writing_FLA[#Data]),MATCH($A166,_xlfn.VSTACK(YES_Writing_ELA[Student Number],YES_Writing_FLA[Student Number]),0),MATCH(VLOOKUP(D$7,'Writing Logic'!$J$7:$K$11,2,FALSE)&amp;" - Per "&amp;VLOOKUP($C$4,'Writing Logic'!$G$8:$H$14,2,FALSE),YES_Writing_ELA[#Headers],0)))),"")</f>
        <v/>
      </c>
      <c r="E166" s="138" t="str">
        <f>IFERROR(IF(IF(INDEX(_xlfn.VSTACK(YES_Writing_ELA[#Data],YES_Writing_FLA[#Data]),MATCH($A166,_xlfn.VSTACK(YES_Writing_ELA[Student Number],YES_Writing_FLA[Student Number]),0),MATCH(VLOOKUP(E$7,'Writing Logic'!$J$7:$K$11,2,FALSE)&amp;" - Per "&amp;VLOOKUP($C$4,'Writing Logic'!$G$8:$H$14,2,FALSE),YES_Writing_ELA[#Headers],0))=0,"",INDEX(_xlfn.VSTACK(YES_Writing_ELA[#Data],YES_Writing_FLA[#Data]),MATCH($A166,_xlfn.VSTACK(YES_Writing_ELA[Student Number],YES_Writing_FLA[Student Number]),0),MATCH(VLOOKUP(E$7,'Writing Logic'!$J$7:$K$11,2,FALSE)&amp;" - Per "&amp;VLOOKUP($C$4,'Writing Logic'!$G$8:$H$14,2,FALSE),YES_Writing_ELA[#Headers],0)))="INS",'Writing Logic'!$B$7,IF(INDEX(_xlfn.VSTACK(YES_Writing_ELA[#Data],YES_Writing_FLA[#Data]),MATCH($A166,_xlfn.VSTACK(YES_Writing_ELA[Student Number],YES_Writing_FLA[Student Number]),0),MATCH(VLOOKUP(E$7,'Writing Logic'!$J$7:$K$11,2,FALSE)&amp;" - Per "&amp;VLOOKUP($C$4,'Writing Logic'!$G$8:$H$14,2,FALSE),YES_Writing_ELA[#Headers],0))=0,"",INDEX(_xlfn.VSTACK(YES_Writing_ELA[#Data],YES_Writing_FLA[#Data]),MATCH($A166,_xlfn.VSTACK(YES_Writing_ELA[Student Number],YES_Writing_FLA[Student Number]),0),MATCH(VLOOKUP(E$7,'Writing Logic'!$J$7:$K$11,2,FALSE)&amp;" - Per "&amp;VLOOKUP($C$4,'Writing Logic'!$G$8:$H$14,2,FALSE),YES_Writing_ELA[#Headers],0)))),"")</f>
        <v/>
      </c>
      <c r="F166" s="138" t="str">
        <f>IFERROR(IF(IF(INDEX(_xlfn.VSTACK(YES_Writing_ELA[#Data],YES_Writing_FLA[#Data]),MATCH($A166,_xlfn.VSTACK(YES_Writing_ELA[Student Number],YES_Writing_FLA[Student Number]),0),MATCH(VLOOKUP(F$7,'Writing Logic'!$J$7:$K$11,2,FALSE)&amp;" - Per "&amp;VLOOKUP($C$4,'Writing Logic'!$G$8:$H$14,2,FALSE),YES_Writing_ELA[#Headers],0))=0,"",INDEX(_xlfn.VSTACK(YES_Writing_ELA[#Data],YES_Writing_FLA[#Data]),MATCH($A166,_xlfn.VSTACK(YES_Writing_ELA[Student Number],YES_Writing_FLA[Student Number]),0),MATCH(VLOOKUP(F$7,'Writing Logic'!$J$7:$K$11,2,FALSE)&amp;" - Per "&amp;VLOOKUP($C$4,'Writing Logic'!$G$8:$H$14,2,FALSE),YES_Writing_ELA[#Headers],0)))="INS",'Writing Logic'!$B$7,IF(INDEX(_xlfn.VSTACK(YES_Writing_ELA[#Data],YES_Writing_FLA[#Data]),MATCH($A166,_xlfn.VSTACK(YES_Writing_ELA[Student Number],YES_Writing_FLA[Student Number]),0),MATCH(VLOOKUP(F$7,'Writing Logic'!$J$7:$K$11,2,FALSE)&amp;" - Per "&amp;VLOOKUP($C$4,'Writing Logic'!$G$8:$H$14,2,FALSE),YES_Writing_ELA[#Headers],0))=0,"",INDEX(_xlfn.VSTACK(YES_Writing_ELA[#Data],YES_Writing_FLA[#Data]),MATCH($A166,_xlfn.VSTACK(YES_Writing_ELA[Student Number],YES_Writing_FLA[Student Number]),0),MATCH(VLOOKUP(F$7,'Writing Logic'!$J$7:$K$11,2,FALSE)&amp;" - Per "&amp;VLOOKUP($C$4,'Writing Logic'!$G$8:$H$14,2,FALSE),YES_Writing_ELA[#Headers],0)))),"")</f>
        <v/>
      </c>
      <c r="G166" s="138" t="str">
        <f>IFERROR(IF(IF(INDEX(_xlfn.VSTACK(YES_Writing_ELA[#Data],YES_Writing_FLA[#Data]),MATCH($A166,_xlfn.VSTACK(YES_Writing_ELA[Student Number],YES_Writing_FLA[Student Number]),0),MATCH(VLOOKUP(G$7,'Writing Logic'!$J$7:$K$11,2,FALSE)&amp;" - Per "&amp;VLOOKUP($C$4,'Writing Logic'!$G$8:$H$14,2,FALSE),YES_Writing_ELA[#Headers],0))=0,"",INDEX(_xlfn.VSTACK(YES_Writing_ELA[#Data],YES_Writing_FLA[#Data]),MATCH($A166,_xlfn.VSTACK(YES_Writing_ELA[Student Number],YES_Writing_FLA[Student Number]),0),MATCH(VLOOKUP(G$7,'Writing Logic'!$J$7:$K$11,2,FALSE)&amp;" - Per "&amp;VLOOKUP($C$4,'Writing Logic'!$G$8:$H$14,2,FALSE),YES_Writing_ELA[#Headers],0)))="INS",'Writing Logic'!$B$7,IF(INDEX(_xlfn.VSTACK(YES_Writing_ELA[#Data],YES_Writing_FLA[#Data]),MATCH($A166,_xlfn.VSTACK(YES_Writing_ELA[Student Number],YES_Writing_FLA[Student Number]),0),MATCH(VLOOKUP(G$7,'Writing Logic'!$J$7:$K$11,2,FALSE)&amp;" - Per "&amp;VLOOKUP($C$4,'Writing Logic'!$G$8:$H$14,2,FALSE),YES_Writing_ELA[#Headers],0))=0,"",INDEX(_xlfn.VSTACK(YES_Writing_ELA[#Data],YES_Writing_FLA[#Data]),MATCH($A166,_xlfn.VSTACK(YES_Writing_ELA[Student Number],YES_Writing_FLA[Student Number]),0),MATCH(VLOOKUP(G$7,'Writing Logic'!$J$7:$K$11,2,FALSE)&amp;" - Per "&amp;VLOOKUP($C$4,'Writing Logic'!$G$8:$H$14,2,FALSE),YES_Writing_ELA[#Headers],0)))),"")</f>
        <v/>
      </c>
      <c r="H166" s="223" t="str">
        <f>IFERROR(IF(IF(INDEX(_xlfn.VSTACK(YES_Writing_ELA[#Data],YES_Writing_FLA[#Data]),MATCH($A166,_xlfn.VSTACK(YES_Writing_ELA[Student Number],YES_Writing_FLA[Student Number]),0),MATCH(VLOOKUP(H$7,'Writing Logic'!$J$7:$K$11,2,FALSE)&amp;" - Per "&amp;VLOOKUP($C$4,'Writing Logic'!$G$8:$H$14,2,FALSE),YES_Writing_ELA[#Headers],0))=0,"",INDEX(_xlfn.VSTACK(YES_Writing_ELA[#Data],YES_Writing_FLA[#Data]),MATCH($A166,_xlfn.VSTACK(YES_Writing_ELA[Student Number],YES_Writing_FLA[Student Number]),0),MATCH(VLOOKUP(H$7,'Writing Logic'!$J$7:$K$11,2,FALSE)&amp;" - Per "&amp;VLOOKUP($C$4,'Writing Logic'!$G$8:$H$14,2,FALSE),YES_Writing_ELA[#Headers],0)))="INS",'Writing Logic'!$B$7,IF(INDEX(_xlfn.VSTACK(YES_Writing_ELA[#Data],YES_Writing_FLA[#Data]),MATCH($A166,_xlfn.VSTACK(YES_Writing_ELA[Student Number],YES_Writing_FLA[Student Number]),0),MATCH(VLOOKUP(H$7,'Writing Logic'!$J$7:$K$11,2,FALSE)&amp;" - Per "&amp;VLOOKUP($C$4,'Writing Logic'!$G$8:$H$14,2,FALSE),YES_Writing_ELA[#Headers],0))=0,"",INDEX(_xlfn.VSTACK(YES_Writing_ELA[#Data],YES_Writing_FLA[#Data]),MATCH($A166,_xlfn.VSTACK(YES_Writing_ELA[Student Number],YES_Writing_FLA[Student Number]),0),MATCH(VLOOKUP(H$7,'Writing Logic'!$J$7:$K$11,2,FALSE)&amp;" - Per "&amp;VLOOKUP($C$4,'Writing Logic'!$G$8:$H$14,2,FALSE),YES_Writing_ELA[#Headers],0)))),"")</f>
        <v/>
      </c>
      <c r="I166" s="224" t="str" cm="1">
        <f t="array" aca="1" ref="I166" ca="1">IFERROR(
IF($G$3="ELA",
IF(VLOOKUP($A166, YES_Reading_ELA[], COLUMN(INDIRECT("YES_Reading_ELA[Difference - Per "&amp;VLOOKUP($G$4, 'Reading Report Logic'!$A$2:$B$8, 2, FALSE)&amp;"]")), FALSE)="", "",
VLOOKUP($A166,YES_Reading_ELA[], COLUMN(INDIRECT("YES_Reading_ELA[Difference - Per "&amp;VLOOKUP($G$4,'Reading Report Logic'!$A$2:$B$8,2,FALSE)&amp;"]")), FALSE)),
IF($G$3="FLA",
IF(VLOOKUP($A166, YES_Reading_FLA[], COLUMN(INDIRECT("YES_Reading_FLA[Difference - Per "&amp;VLOOKUP($G$4,'Reading Report Logic'!$A$2:$B$8,2,FALSE)&amp;"]")),FALSE)="","",
VLOOKUP($A166,YES_Reading_FLA[],COLUMN(INDIRECT("YES_Reading_FLA[Difference - Per "&amp;VLOOKUP($G$4,'Reading Report Logic'!$A$2:$B$8,2,FALSE)&amp;"]")),FALSE)),
IF($G$3="Combined",
IFERROR(
IF(VLOOKUP($A166, YES_Reading_ELA[], COLUMN(INDIRECT("YES_Reading_ELA[Difference - Per "&amp;VLOOKUP($G$4, 'Reading Report Logic'!$A$2:$B$8,2,FALSE)&amp;"]")), FALSE)="", "",
VLOOKUP($A166,YES_Reading_ELA[],COLUMN(INDIRECT("YES_Reading_ELA[Difference - Per "&amp;VLOOKUP($G$4,'Reading Report Logic'!$A$2:$B$8,2,FALSE)&amp;"]")),FALSE)),
IF(VLOOKUP($A166, YES_Reading_FLA[], COLUMN(INDIRECT("YES_Reading_FLA[Difference - Per "&amp;VLOOKUP($G$4, 'Reading Report Logic'!$A$2:$B$8, 2, FALSE)&amp;"]")),FALSE)="", "", VLOOKUP($A166,YES_Reading_FLA[],COLUMN(INDIRECT("YES_Reading_FLA[Difference - Per "&amp;VLOOKUP($G$4, 'Reading Report Logic'!$A$2:$B$8, 2, FALSE)&amp;"]")),FALSE))),""))),"")</f>
        <v/>
      </c>
    </row>
    <row r="167" spans="1:9" ht="14.25" customHeight="1" x14ac:dyDescent="0.25">
      <c r="A167" s="137"/>
      <c r="B167" s="137" t="str">
        <f>IFERROR(INDEX(_xlfn.VSTACK(YES_Writing_ELA[#Data], YES_Writing_FLA[#Data]),MATCH($A167,_xlfn.VSTACK(YES_Writing_ELA[Student Number], YES_Writing_FLA[Student Number]),0),MATCH(B$7,YES_Writing_ELA[#Headers],0)),IFERROR(INDEX(_xlfn.VSTACK(YES_Reading_ELA[#Data], YES_Reading_FLA[#Data]),MATCH($A167,_xlfn.VSTACK(YES_Reading_ELA[Student Number], YES_Reading_FLA[Student Number]),0),MATCH(B$7,YES_Reading_ELA[#Headers],0)),""))</f>
        <v/>
      </c>
      <c r="C167" s="137" t="str">
        <f>IFERROR(INDEX(_xlfn.VSTACK(YES_Writing_ELA[#Data], YES_Writing_FLA[#Data]),MATCH($A167,_xlfn.VSTACK(YES_Writing_ELA[Student Number], YES_Writing_FLA[Student Number]),0),MATCH(C$7,YES_Writing_ELA[#Headers],0)),IFERROR(INDEX(_xlfn.VSTACK(YES_Reading_ELA[#Data], YES_Reading_FLA[#Data]),MATCH($A167,_xlfn.VSTACK(YES_Reading_ELA[Student Number], YES_Reading_FLA[Student Number]),0),MATCH(C$7,YES_Reading_ELA[#Headers],0)),""))</f>
        <v/>
      </c>
      <c r="D167" s="138" t="str">
        <f>IFERROR(IF(IF(INDEX(_xlfn.VSTACK(YES_Writing_ELA[#Data],YES_Writing_FLA[#Data]),MATCH($A167,_xlfn.VSTACK(YES_Writing_ELA[Student Number],YES_Writing_FLA[Student Number]),0),MATCH(VLOOKUP(D$7,'Writing Logic'!$J$7:$K$11,2,FALSE)&amp;" - Per "&amp;VLOOKUP($C$4,'Writing Logic'!$G$8:$H$14,2,FALSE),YES_Writing_ELA[#Headers],0))=0,"",INDEX(_xlfn.VSTACK(YES_Writing_ELA[#Data],YES_Writing_FLA[#Data]),MATCH($A167,_xlfn.VSTACK(YES_Writing_ELA[Student Number],YES_Writing_FLA[Student Number]),0),MATCH(VLOOKUP(D$7,'Writing Logic'!$J$7:$K$11,2,FALSE)&amp;" - Per "&amp;VLOOKUP($C$4,'Writing Logic'!$G$8:$H$14,2,FALSE),YES_Writing_ELA[#Headers],0)))="INS",'Writing Logic'!$B$7,IF(INDEX(_xlfn.VSTACK(YES_Writing_ELA[#Data],YES_Writing_FLA[#Data]),MATCH($A167,_xlfn.VSTACK(YES_Writing_ELA[Student Number],YES_Writing_FLA[Student Number]),0),MATCH(VLOOKUP(D$7,'Writing Logic'!$J$7:$K$11,2,FALSE)&amp;" - Per "&amp;VLOOKUP($C$4,'Writing Logic'!$G$8:$H$14,2,FALSE),YES_Writing_ELA[#Headers],0))=0,"",INDEX(_xlfn.VSTACK(YES_Writing_ELA[#Data],YES_Writing_FLA[#Data]),MATCH($A167,_xlfn.VSTACK(YES_Writing_ELA[Student Number],YES_Writing_FLA[Student Number]),0),MATCH(VLOOKUP(D$7,'Writing Logic'!$J$7:$K$11,2,FALSE)&amp;" - Per "&amp;VLOOKUP($C$4,'Writing Logic'!$G$8:$H$14,2,FALSE),YES_Writing_ELA[#Headers],0)))),"")</f>
        <v/>
      </c>
      <c r="E167" s="138" t="str">
        <f>IFERROR(IF(IF(INDEX(_xlfn.VSTACK(YES_Writing_ELA[#Data],YES_Writing_FLA[#Data]),MATCH($A167,_xlfn.VSTACK(YES_Writing_ELA[Student Number],YES_Writing_FLA[Student Number]),0),MATCH(VLOOKUP(E$7,'Writing Logic'!$J$7:$K$11,2,FALSE)&amp;" - Per "&amp;VLOOKUP($C$4,'Writing Logic'!$G$8:$H$14,2,FALSE),YES_Writing_ELA[#Headers],0))=0,"",INDEX(_xlfn.VSTACK(YES_Writing_ELA[#Data],YES_Writing_FLA[#Data]),MATCH($A167,_xlfn.VSTACK(YES_Writing_ELA[Student Number],YES_Writing_FLA[Student Number]),0),MATCH(VLOOKUP(E$7,'Writing Logic'!$J$7:$K$11,2,FALSE)&amp;" - Per "&amp;VLOOKUP($C$4,'Writing Logic'!$G$8:$H$14,2,FALSE),YES_Writing_ELA[#Headers],0)))="INS",'Writing Logic'!$B$7,IF(INDEX(_xlfn.VSTACK(YES_Writing_ELA[#Data],YES_Writing_FLA[#Data]),MATCH($A167,_xlfn.VSTACK(YES_Writing_ELA[Student Number],YES_Writing_FLA[Student Number]),0),MATCH(VLOOKUP(E$7,'Writing Logic'!$J$7:$K$11,2,FALSE)&amp;" - Per "&amp;VLOOKUP($C$4,'Writing Logic'!$G$8:$H$14,2,FALSE),YES_Writing_ELA[#Headers],0))=0,"",INDEX(_xlfn.VSTACK(YES_Writing_ELA[#Data],YES_Writing_FLA[#Data]),MATCH($A167,_xlfn.VSTACK(YES_Writing_ELA[Student Number],YES_Writing_FLA[Student Number]),0),MATCH(VLOOKUP(E$7,'Writing Logic'!$J$7:$K$11,2,FALSE)&amp;" - Per "&amp;VLOOKUP($C$4,'Writing Logic'!$G$8:$H$14,2,FALSE),YES_Writing_ELA[#Headers],0)))),"")</f>
        <v/>
      </c>
      <c r="F167" s="138" t="str">
        <f>IFERROR(IF(IF(INDEX(_xlfn.VSTACK(YES_Writing_ELA[#Data],YES_Writing_FLA[#Data]),MATCH($A167,_xlfn.VSTACK(YES_Writing_ELA[Student Number],YES_Writing_FLA[Student Number]),0),MATCH(VLOOKUP(F$7,'Writing Logic'!$J$7:$K$11,2,FALSE)&amp;" - Per "&amp;VLOOKUP($C$4,'Writing Logic'!$G$8:$H$14,2,FALSE),YES_Writing_ELA[#Headers],0))=0,"",INDEX(_xlfn.VSTACK(YES_Writing_ELA[#Data],YES_Writing_FLA[#Data]),MATCH($A167,_xlfn.VSTACK(YES_Writing_ELA[Student Number],YES_Writing_FLA[Student Number]),0),MATCH(VLOOKUP(F$7,'Writing Logic'!$J$7:$K$11,2,FALSE)&amp;" - Per "&amp;VLOOKUP($C$4,'Writing Logic'!$G$8:$H$14,2,FALSE),YES_Writing_ELA[#Headers],0)))="INS",'Writing Logic'!$B$7,IF(INDEX(_xlfn.VSTACK(YES_Writing_ELA[#Data],YES_Writing_FLA[#Data]),MATCH($A167,_xlfn.VSTACK(YES_Writing_ELA[Student Number],YES_Writing_FLA[Student Number]),0),MATCH(VLOOKUP(F$7,'Writing Logic'!$J$7:$K$11,2,FALSE)&amp;" - Per "&amp;VLOOKUP($C$4,'Writing Logic'!$G$8:$H$14,2,FALSE),YES_Writing_ELA[#Headers],0))=0,"",INDEX(_xlfn.VSTACK(YES_Writing_ELA[#Data],YES_Writing_FLA[#Data]),MATCH($A167,_xlfn.VSTACK(YES_Writing_ELA[Student Number],YES_Writing_FLA[Student Number]),0),MATCH(VLOOKUP(F$7,'Writing Logic'!$J$7:$K$11,2,FALSE)&amp;" - Per "&amp;VLOOKUP($C$4,'Writing Logic'!$G$8:$H$14,2,FALSE),YES_Writing_ELA[#Headers],0)))),"")</f>
        <v/>
      </c>
      <c r="G167" s="138" t="str">
        <f>IFERROR(IF(IF(INDEX(_xlfn.VSTACK(YES_Writing_ELA[#Data],YES_Writing_FLA[#Data]),MATCH($A167,_xlfn.VSTACK(YES_Writing_ELA[Student Number],YES_Writing_FLA[Student Number]),0),MATCH(VLOOKUP(G$7,'Writing Logic'!$J$7:$K$11,2,FALSE)&amp;" - Per "&amp;VLOOKUP($C$4,'Writing Logic'!$G$8:$H$14,2,FALSE),YES_Writing_ELA[#Headers],0))=0,"",INDEX(_xlfn.VSTACK(YES_Writing_ELA[#Data],YES_Writing_FLA[#Data]),MATCH($A167,_xlfn.VSTACK(YES_Writing_ELA[Student Number],YES_Writing_FLA[Student Number]),0),MATCH(VLOOKUP(G$7,'Writing Logic'!$J$7:$K$11,2,FALSE)&amp;" - Per "&amp;VLOOKUP($C$4,'Writing Logic'!$G$8:$H$14,2,FALSE),YES_Writing_ELA[#Headers],0)))="INS",'Writing Logic'!$B$7,IF(INDEX(_xlfn.VSTACK(YES_Writing_ELA[#Data],YES_Writing_FLA[#Data]),MATCH($A167,_xlfn.VSTACK(YES_Writing_ELA[Student Number],YES_Writing_FLA[Student Number]),0),MATCH(VLOOKUP(G$7,'Writing Logic'!$J$7:$K$11,2,FALSE)&amp;" - Per "&amp;VLOOKUP($C$4,'Writing Logic'!$G$8:$H$14,2,FALSE),YES_Writing_ELA[#Headers],0))=0,"",INDEX(_xlfn.VSTACK(YES_Writing_ELA[#Data],YES_Writing_FLA[#Data]),MATCH($A167,_xlfn.VSTACK(YES_Writing_ELA[Student Number],YES_Writing_FLA[Student Number]),0),MATCH(VLOOKUP(G$7,'Writing Logic'!$J$7:$K$11,2,FALSE)&amp;" - Per "&amp;VLOOKUP($C$4,'Writing Logic'!$G$8:$H$14,2,FALSE),YES_Writing_ELA[#Headers],0)))),"")</f>
        <v/>
      </c>
      <c r="H167" s="223" t="str">
        <f>IFERROR(IF(IF(INDEX(_xlfn.VSTACK(YES_Writing_ELA[#Data],YES_Writing_FLA[#Data]),MATCH($A167,_xlfn.VSTACK(YES_Writing_ELA[Student Number],YES_Writing_FLA[Student Number]),0),MATCH(VLOOKUP(H$7,'Writing Logic'!$J$7:$K$11,2,FALSE)&amp;" - Per "&amp;VLOOKUP($C$4,'Writing Logic'!$G$8:$H$14,2,FALSE),YES_Writing_ELA[#Headers],0))=0,"",INDEX(_xlfn.VSTACK(YES_Writing_ELA[#Data],YES_Writing_FLA[#Data]),MATCH($A167,_xlfn.VSTACK(YES_Writing_ELA[Student Number],YES_Writing_FLA[Student Number]),0),MATCH(VLOOKUP(H$7,'Writing Logic'!$J$7:$K$11,2,FALSE)&amp;" - Per "&amp;VLOOKUP($C$4,'Writing Logic'!$G$8:$H$14,2,FALSE),YES_Writing_ELA[#Headers],0)))="INS",'Writing Logic'!$B$7,IF(INDEX(_xlfn.VSTACK(YES_Writing_ELA[#Data],YES_Writing_FLA[#Data]),MATCH($A167,_xlfn.VSTACK(YES_Writing_ELA[Student Number],YES_Writing_FLA[Student Number]),0),MATCH(VLOOKUP(H$7,'Writing Logic'!$J$7:$K$11,2,FALSE)&amp;" - Per "&amp;VLOOKUP($C$4,'Writing Logic'!$G$8:$H$14,2,FALSE),YES_Writing_ELA[#Headers],0))=0,"",INDEX(_xlfn.VSTACK(YES_Writing_ELA[#Data],YES_Writing_FLA[#Data]),MATCH($A167,_xlfn.VSTACK(YES_Writing_ELA[Student Number],YES_Writing_FLA[Student Number]),0),MATCH(VLOOKUP(H$7,'Writing Logic'!$J$7:$K$11,2,FALSE)&amp;" - Per "&amp;VLOOKUP($C$4,'Writing Logic'!$G$8:$H$14,2,FALSE),YES_Writing_ELA[#Headers],0)))),"")</f>
        <v/>
      </c>
      <c r="I167" s="224" t="str" cm="1">
        <f t="array" aca="1" ref="I167" ca="1">IFERROR(
IF($G$3="ELA",
IF(VLOOKUP($A167, YES_Reading_ELA[], COLUMN(INDIRECT("YES_Reading_ELA[Difference - Per "&amp;VLOOKUP($G$4, 'Reading Report Logic'!$A$2:$B$8, 2, FALSE)&amp;"]")), FALSE)="", "",
VLOOKUP($A167,YES_Reading_ELA[], COLUMN(INDIRECT("YES_Reading_ELA[Difference - Per "&amp;VLOOKUP($G$4,'Reading Report Logic'!$A$2:$B$8,2,FALSE)&amp;"]")), FALSE)),
IF($G$3="FLA",
IF(VLOOKUP($A167, YES_Reading_FLA[], COLUMN(INDIRECT("YES_Reading_FLA[Difference - Per "&amp;VLOOKUP($G$4,'Reading Report Logic'!$A$2:$B$8,2,FALSE)&amp;"]")),FALSE)="","",
VLOOKUP($A167,YES_Reading_FLA[],COLUMN(INDIRECT("YES_Reading_FLA[Difference - Per "&amp;VLOOKUP($G$4,'Reading Report Logic'!$A$2:$B$8,2,FALSE)&amp;"]")),FALSE)),
IF($G$3="Combined",
IFERROR(
IF(VLOOKUP($A167, YES_Reading_ELA[], COLUMN(INDIRECT("YES_Reading_ELA[Difference - Per "&amp;VLOOKUP($G$4, 'Reading Report Logic'!$A$2:$B$8,2,FALSE)&amp;"]")), FALSE)="", "",
VLOOKUP($A167,YES_Reading_ELA[],COLUMN(INDIRECT("YES_Reading_ELA[Difference - Per "&amp;VLOOKUP($G$4,'Reading Report Logic'!$A$2:$B$8,2,FALSE)&amp;"]")),FALSE)),
IF(VLOOKUP($A167, YES_Reading_FLA[], COLUMN(INDIRECT("YES_Reading_FLA[Difference - Per "&amp;VLOOKUP($G$4, 'Reading Report Logic'!$A$2:$B$8, 2, FALSE)&amp;"]")),FALSE)="", "", VLOOKUP($A167,YES_Reading_FLA[],COLUMN(INDIRECT("YES_Reading_FLA[Difference - Per "&amp;VLOOKUP($G$4, 'Reading Report Logic'!$A$2:$B$8, 2, FALSE)&amp;"]")),FALSE))),""))),"")</f>
        <v/>
      </c>
    </row>
    <row r="168" spans="1:9" ht="14.25" customHeight="1" x14ac:dyDescent="0.25">
      <c r="A168" s="137"/>
      <c r="B168" s="137" t="str">
        <f>IFERROR(INDEX(_xlfn.VSTACK(YES_Writing_ELA[#Data], YES_Writing_FLA[#Data]),MATCH($A168,_xlfn.VSTACK(YES_Writing_ELA[Student Number], YES_Writing_FLA[Student Number]),0),MATCH(B$7,YES_Writing_ELA[#Headers],0)),IFERROR(INDEX(_xlfn.VSTACK(YES_Reading_ELA[#Data], YES_Reading_FLA[#Data]),MATCH($A168,_xlfn.VSTACK(YES_Reading_ELA[Student Number], YES_Reading_FLA[Student Number]),0),MATCH(B$7,YES_Reading_ELA[#Headers],0)),""))</f>
        <v/>
      </c>
      <c r="C168" s="137" t="str">
        <f>IFERROR(INDEX(_xlfn.VSTACK(YES_Writing_ELA[#Data], YES_Writing_FLA[#Data]),MATCH($A168,_xlfn.VSTACK(YES_Writing_ELA[Student Number], YES_Writing_FLA[Student Number]),0),MATCH(C$7,YES_Writing_ELA[#Headers],0)),IFERROR(INDEX(_xlfn.VSTACK(YES_Reading_ELA[#Data], YES_Reading_FLA[#Data]),MATCH($A168,_xlfn.VSTACK(YES_Reading_ELA[Student Number], YES_Reading_FLA[Student Number]),0),MATCH(C$7,YES_Reading_ELA[#Headers],0)),""))</f>
        <v/>
      </c>
      <c r="D168" s="138" t="str">
        <f>IFERROR(IF(IF(INDEX(_xlfn.VSTACK(YES_Writing_ELA[#Data],YES_Writing_FLA[#Data]),MATCH($A168,_xlfn.VSTACK(YES_Writing_ELA[Student Number],YES_Writing_FLA[Student Number]),0),MATCH(VLOOKUP(D$7,'Writing Logic'!$J$7:$K$11,2,FALSE)&amp;" - Per "&amp;VLOOKUP($C$4,'Writing Logic'!$G$8:$H$14,2,FALSE),YES_Writing_ELA[#Headers],0))=0,"",INDEX(_xlfn.VSTACK(YES_Writing_ELA[#Data],YES_Writing_FLA[#Data]),MATCH($A168,_xlfn.VSTACK(YES_Writing_ELA[Student Number],YES_Writing_FLA[Student Number]),0),MATCH(VLOOKUP(D$7,'Writing Logic'!$J$7:$K$11,2,FALSE)&amp;" - Per "&amp;VLOOKUP($C$4,'Writing Logic'!$G$8:$H$14,2,FALSE),YES_Writing_ELA[#Headers],0)))="INS",'Writing Logic'!$B$7,IF(INDEX(_xlfn.VSTACK(YES_Writing_ELA[#Data],YES_Writing_FLA[#Data]),MATCH($A168,_xlfn.VSTACK(YES_Writing_ELA[Student Number],YES_Writing_FLA[Student Number]),0),MATCH(VLOOKUP(D$7,'Writing Logic'!$J$7:$K$11,2,FALSE)&amp;" - Per "&amp;VLOOKUP($C$4,'Writing Logic'!$G$8:$H$14,2,FALSE),YES_Writing_ELA[#Headers],0))=0,"",INDEX(_xlfn.VSTACK(YES_Writing_ELA[#Data],YES_Writing_FLA[#Data]),MATCH($A168,_xlfn.VSTACK(YES_Writing_ELA[Student Number],YES_Writing_FLA[Student Number]),0),MATCH(VLOOKUP(D$7,'Writing Logic'!$J$7:$K$11,2,FALSE)&amp;" - Per "&amp;VLOOKUP($C$4,'Writing Logic'!$G$8:$H$14,2,FALSE),YES_Writing_ELA[#Headers],0)))),"")</f>
        <v/>
      </c>
      <c r="E168" s="138" t="str">
        <f>IFERROR(IF(IF(INDEX(_xlfn.VSTACK(YES_Writing_ELA[#Data],YES_Writing_FLA[#Data]),MATCH($A168,_xlfn.VSTACK(YES_Writing_ELA[Student Number],YES_Writing_FLA[Student Number]),0),MATCH(VLOOKUP(E$7,'Writing Logic'!$J$7:$K$11,2,FALSE)&amp;" - Per "&amp;VLOOKUP($C$4,'Writing Logic'!$G$8:$H$14,2,FALSE),YES_Writing_ELA[#Headers],0))=0,"",INDEX(_xlfn.VSTACK(YES_Writing_ELA[#Data],YES_Writing_FLA[#Data]),MATCH($A168,_xlfn.VSTACK(YES_Writing_ELA[Student Number],YES_Writing_FLA[Student Number]),0),MATCH(VLOOKUP(E$7,'Writing Logic'!$J$7:$K$11,2,FALSE)&amp;" - Per "&amp;VLOOKUP($C$4,'Writing Logic'!$G$8:$H$14,2,FALSE),YES_Writing_ELA[#Headers],0)))="INS",'Writing Logic'!$B$7,IF(INDEX(_xlfn.VSTACK(YES_Writing_ELA[#Data],YES_Writing_FLA[#Data]),MATCH($A168,_xlfn.VSTACK(YES_Writing_ELA[Student Number],YES_Writing_FLA[Student Number]),0),MATCH(VLOOKUP(E$7,'Writing Logic'!$J$7:$K$11,2,FALSE)&amp;" - Per "&amp;VLOOKUP($C$4,'Writing Logic'!$G$8:$H$14,2,FALSE),YES_Writing_ELA[#Headers],0))=0,"",INDEX(_xlfn.VSTACK(YES_Writing_ELA[#Data],YES_Writing_FLA[#Data]),MATCH($A168,_xlfn.VSTACK(YES_Writing_ELA[Student Number],YES_Writing_FLA[Student Number]),0),MATCH(VLOOKUP(E$7,'Writing Logic'!$J$7:$K$11,2,FALSE)&amp;" - Per "&amp;VLOOKUP($C$4,'Writing Logic'!$G$8:$H$14,2,FALSE),YES_Writing_ELA[#Headers],0)))),"")</f>
        <v/>
      </c>
      <c r="F168" s="138" t="str">
        <f>IFERROR(IF(IF(INDEX(_xlfn.VSTACK(YES_Writing_ELA[#Data],YES_Writing_FLA[#Data]),MATCH($A168,_xlfn.VSTACK(YES_Writing_ELA[Student Number],YES_Writing_FLA[Student Number]),0),MATCH(VLOOKUP(F$7,'Writing Logic'!$J$7:$K$11,2,FALSE)&amp;" - Per "&amp;VLOOKUP($C$4,'Writing Logic'!$G$8:$H$14,2,FALSE),YES_Writing_ELA[#Headers],0))=0,"",INDEX(_xlfn.VSTACK(YES_Writing_ELA[#Data],YES_Writing_FLA[#Data]),MATCH($A168,_xlfn.VSTACK(YES_Writing_ELA[Student Number],YES_Writing_FLA[Student Number]),0),MATCH(VLOOKUP(F$7,'Writing Logic'!$J$7:$K$11,2,FALSE)&amp;" - Per "&amp;VLOOKUP($C$4,'Writing Logic'!$G$8:$H$14,2,FALSE),YES_Writing_ELA[#Headers],0)))="INS",'Writing Logic'!$B$7,IF(INDEX(_xlfn.VSTACK(YES_Writing_ELA[#Data],YES_Writing_FLA[#Data]),MATCH($A168,_xlfn.VSTACK(YES_Writing_ELA[Student Number],YES_Writing_FLA[Student Number]),0),MATCH(VLOOKUP(F$7,'Writing Logic'!$J$7:$K$11,2,FALSE)&amp;" - Per "&amp;VLOOKUP($C$4,'Writing Logic'!$G$8:$H$14,2,FALSE),YES_Writing_ELA[#Headers],0))=0,"",INDEX(_xlfn.VSTACK(YES_Writing_ELA[#Data],YES_Writing_FLA[#Data]),MATCH($A168,_xlfn.VSTACK(YES_Writing_ELA[Student Number],YES_Writing_FLA[Student Number]),0),MATCH(VLOOKUP(F$7,'Writing Logic'!$J$7:$K$11,2,FALSE)&amp;" - Per "&amp;VLOOKUP($C$4,'Writing Logic'!$G$8:$H$14,2,FALSE),YES_Writing_ELA[#Headers],0)))),"")</f>
        <v/>
      </c>
      <c r="G168" s="138" t="str">
        <f>IFERROR(IF(IF(INDEX(_xlfn.VSTACK(YES_Writing_ELA[#Data],YES_Writing_FLA[#Data]),MATCH($A168,_xlfn.VSTACK(YES_Writing_ELA[Student Number],YES_Writing_FLA[Student Number]),0),MATCH(VLOOKUP(G$7,'Writing Logic'!$J$7:$K$11,2,FALSE)&amp;" - Per "&amp;VLOOKUP($C$4,'Writing Logic'!$G$8:$H$14,2,FALSE),YES_Writing_ELA[#Headers],0))=0,"",INDEX(_xlfn.VSTACK(YES_Writing_ELA[#Data],YES_Writing_FLA[#Data]),MATCH($A168,_xlfn.VSTACK(YES_Writing_ELA[Student Number],YES_Writing_FLA[Student Number]),0),MATCH(VLOOKUP(G$7,'Writing Logic'!$J$7:$K$11,2,FALSE)&amp;" - Per "&amp;VLOOKUP($C$4,'Writing Logic'!$G$8:$H$14,2,FALSE),YES_Writing_ELA[#Headers],0)))="INS",'Writing Logic'!$B$7,IF(INDEX(_xlfn.VSTACK(YES_Writing_ELA[#Data],YES_Writing_FLA[#Data]),MATCH($A168,_xlfn.VSTACK(YES_Writing_ELA[Student Number],YES_Writing_FLA[Student Number]),0),MATCH(VLOOKUP(G$7,'Writing Logic'!$J$7:$K$11,2,FALSE)&amp;" - Per "&amp;VLOOKUP($C$4,'Writing Logic'!$G$8:$H$14,2,FALSE),YES_Writing_ELA[#Headers],0))=0,"",INDEX(_xlfn.VSTACK(YES_Writing_ELA[#Data],YES_Writing_FLA[#Data]),MATCH($A168,_xlfn.VSTACK(YES_Writing_ELA[Student Number],YES_Writing_FLA[Student Number]),0),MATCH(VLOOKUP(G$7,'Writing Logic'!$J$7:$K$11,2,FALSE)&amp;" - Per "&amp;VLOOKUP($C$4,'Writing Logic'!$G$8:$H$14,2,FALSE),YES_Writing_ELA[#Headers],0)))),"")</f>
        <v/>
      </c>
      <c r="H168" s="223" t="str">
        <f>IFERROR(IF(IF(INDEX(_xlfn.VSTACK(YES_Writing_ELA[#Data],YES_Writing_FLA[#Data]),MATCH($A168,_xlfn.VSTACK(YES_Writing_ELA[Student Number],YES_Writing_FLA[Student Number]),0),MATCH(VLOOKUP(H$7,'Writing Logic'!$J$7:$K$11,2,FALSE)&amp;" - Per "&amp;VLOOKUP($C$4,'Writing Logic'!$G$8:$H$14,2,FALSE),YES_Writing_ELA[#Headers],0))=0,"",INDEX(_xlfn.VSTACK(YES_Writing_ELA[#Data],YES_Writing_FLA[#Data]),MATCH($A168,_xlfn.VSTACK(YES_Writing_ELA[Student Number],YES_Writing_FLA[Student Number]),0),MATCH(VLOOKUP(H$7,'Writing Logic'!$J$7:$K$11,2,FALSE)&amp;" - Per "&amp;VLOOKUP($C$4,'Writing Logic'!$G$8:$H$14,2,FALSE),YES_Writing_ELA[#Headers],0)))="INS",'Writing Logic'!$B$7,IF(INDEX(_xlfn.VSTACK(YES_Writing_ELA[#Data],YES_Writing_FLA[#Data]),MATCH($A168,_xlfn.VSTACK(YES_Writing_ELA[Student Number],YES_Writing_FLA[Student Number]),0),MATCH(VLOOKUP(H$7,'Writing Logic'!$J$7:$K$11,2,FALSE)&amp;" - Per "&amp;VLOOKUP($C$4,'Writing Logic'!$G$8:$H$14,2,FALSE),YES_Writing_ELA[#Headers],0))=0,"",INDEX(_xlfn.VSTACK(YES_Writing_ELA[#Data],YES_Writing_FLA[#Data]),MATCH($A168,_xlfn.VSTACK(YES_Writing_ELA[Student Number],YES_Writing_FLA[Student Number]),0),MATCH(VLOOKUP(H$7,'Writing Logic'!$J$7:$K$11,2,FALSE)&amp;" - Per "&amp;VLOOKUP($C$4,'Writing Logic'!$G$8:$H$14,2,FALSE),YES_Writing_ELA[#Headers],0)))),"")</f>
        <v/>
      </c>
      <c r="I168" s="224" t="str" cm="1">
        <f t="array" aca="1" ref="I168" ca="1">IFERROR(
IF($G$3="ELA",
IF(VLOOKUP($A168, YES_Reading_ELA[], COLUMN(INDIRECT("YES_Reading_ELA[Difference - Per "&amp;VLOOKUP($G$4, 'Reading Report Logic'!$A$2:$B$8, 2, FALSE)&amp;"]")), FALSE)="", "",
VLOOKUP($A168,YES_Reading_ELA[], COLUMN(INDIRECT("YES_Reading_ELA[Difference - Per "&amp;VLOOKUP($G$4,'Reading Report Logic'!$A$2:$B$8,2,FALSE)&amp;"]")), FALSE)),
IF($G$3="FLA",
IF(VLOOKUP($A168, YES_Reading_FLA[], COLUMN(INDIRECT("YES_Reading_FLA[Difference - Per "&amp;VLOOKUP($G$4,'Reading Report Logic'!$A$2:$B$8,2,FALSE)&amp;"]")),FALSE)="","",
VLOOKUP($A168,YES_Reading_FLA[],COLUMN(INDIRECT("YES_Reading_FLA[Difference - Per "&amp;VLOOKUP($G$4,'Reading Report Logic'!$A$2:$B$8,2,FALSE)&amp;"]")),FALSE)),
IF($G$3="Combined",
IFERROR(
IF(VLOOKUP($A168, YES_Reading_ELA[], COLUMN(INDIRECT("YES_Reading_ELA[Difference - Per "&amp;VLOOKUP($G$4, 'Reading Report Logic'!$A$2:$B$8,2,FALSE)&amp;"]")), FALSE)="", "",
VLOOKUP($A168,YES_Reading_ELA[],COLUMN(INDIRECT("YES_Reading_ELA[Difference - Per "&amp;VLOOKUP($G$4,'Reading Report Logic'!$A$2:$B$8,2,FALSE)&amp;"]")),FALSE)),
IF(VLOOKUP($A168, YES_Reading_FLA[], COLUMN(INDIRECT("YES_Reading_FLA[Difference - Per "&amp;VLOOKUP($G$4, 'Reading Report Logic'!$A$2:$B$8, 2, FALSE)&amp;"]")),FALSE)="", "", VLOOKUP($A168,YES_Reading_FLA[],COLUMN(INDIRECT("YES_Reading_FLA[Difference - Per "&amp;VLOOKUP($G$4, 'Reading Report Logic'!$A$2:$B$8, 2, FALSE)&amp;"]")),FALSE))),""))),"")</f>
        <v/>
      </c>
    </row>
    <row r="169" spans="1:9" ht="14.25" customHeight="1" x14ac:dyDescent="0.25">
      <c r="A169" s="137"/>
      <c r="B169" s="137" t="str">
        <f>IFERROR(INDEX(_xlfn.VSTACK(YES_Writing_ELA[#Data], YES_Writing_FLA[#Data]),MATCH($A169,_xlfn.VSTACK(YES_Writing_ELA[Student Number], YES_Writing_FLA[Student Number]),0),MATCH(B$7,YES_Writing_ELA[#Headers],0)),IFERROR(INDEX(_xlfn.VSTACK(YES_Reading_ELA[#Data], YES_Reading_FLA[#Data]),MATCH($A169,_xlfn.VSTACK(YES_Reading_ELA[Student Number], YES_Reading_FLA[Student Number]),0),MATCH(B$7,YES_Reading_ELA[#Headers],0)),""))</f>
        <v/>
      </c>
      <c r="C169" s="137" t="str">
        <f>IFERROR(INDEX(_xlfn.VSTACK(YES_Writing_ELA[#Data], YES_Writing_FLA[#Data]),MATCH($A169,_xlfn.VSTACK(YES_Writing_ELA[Student Number], YES_Writing_FLA[Student Number]),0),MATCH(C$7,YES_Writing_ELA[#Headers],0)),IFERROR(INDEX(_xlfn.VSTACK(YES_Reading_ELA[#Data], YES_Reading_FLA[#Data]),MATCH($A169,_xlfn.VSTACK(YES_Reading_ELA[Student Number], YES_Reading_FLA[Student Number]),0),MATCH(C$7,YES_Reading_ELA[#Headers],0)),""))</f>
        <v/>
      </c>
      <c r="D169" s="138" t="str">
        <f>IFERROR(IF(IF(INDEX(_xlfn.VSTACK(YES_Writing_ELA[#Data],YES_Writing_FLA[#Data]),MATCH($A169,_xlfn.VSTACK(YES_Writing_ELA[Student Number],YES_Writing_FLA[Student Number]),0),MATCH(VLOOKUP(D$7,'Writing Logic'!$J$7:$K$11,2,FALSE)&amp;" - Per "&amp;VLOOKUP($C$4,'Writing Logic'!$G$8:$H$14,2,FALSE),YES_Writing_ELA[#Headers],0))=0,"",INDEX(_xlfn.VSTACK(YES_Writing_ELA[#Data],YES_Writing_FLA[#Data]),MATCH($A169,_xlfn.VSTACK(YES_Writing_ELA[Student Number],YES_Writing_FLA[Student Number]),0),MATCH(VLOOKUP(D$7,'Writing Logic'!$J$7:$K$11,2,FALSE)&amp;" - Per "&amp;VLOOKUP($C$4,'Writing Logic'!$G$8:$H$14,2,FALSE),YES_Writing_ELA[#Headers],0)))="INS",'Writing Logic'!$B$7,IF(INDEX(_xlfn.VSTACK(YES_Writing_ELA[#Data],YES_Writing_FLA[#Data]),MATCH($A169,_xlfn.VSTACK(YES_Writing_ELA[Student Number],YES_Writing_FLA[Student Number]),0),MATCH(VLOOKUP(D$7,'Writing Logic'!$J$7:$K$11,2,FALSE)&amp;" - Per "&amp;VLOOKUP($C$4,'Writing Logic'!$G$8:$H$14,2,FALSE),YES_Writing_ELA[#Headers],0))=0,"",INDEX(_xlfn.VSTACK(YES_Writing_ELA[#Data],YES_Writing_FLA[#Data]),MATCH($A169,_xlfn.VSTACK(YES_Writing_ELA[Student Number],YES_Writing_FLA[Student Number]),0),MATCH(VLOOKUP(D$7,'Writing Logic'!$J$7:$K$11,2,FALSE)&amp;" - Per "&amp;VLOOKUP($C$4,'Writing Logic'!$G$8:$H$14,2,FALSE),YES_Writing_ELA[#Headers],0)))),"")</f>
        <v/>
      </c>
      <c r="E169" s="138" t="str">
        <f>IFERROR(IF(IF(INDEX(_xlfn.VSTACK(YES_Writing_ELA[#Data],YES_Writing_FLA[#Data]),MATCH($A169,_xlfn.VSTACK(YES_Writing_ELA[Student Number],YES_Writing_FLA[Student Number]),0),MATCH(VLOOKUP(E$7,'Writing Logic'!$J$7:$K$11,2,FALSE)&amp;" - Per "&amp;VLOOKUP($C$4,'Writing Logic'!$G$8:$H$14,2,FALSE),YES_Writing_ELA[#Headers],0))=0,"",INDEX(_xlfn.VSTACK(YES_Writing_ELA[#Data],YES_Writing_FLA[#Data]),MATCH($A169,_xlfn.VSTACK(YES_Writing_ELA[Student Number],YES_Writing_FLA[Student Number]),0),MATCH(VLOOKUP(E$7,'Writing Logic'!$J$7:$K$11,2,FALSE)&amp;" - Per "&amp;VLOOKUP($C$4,'Writing Logic'!$G$8:$H$14,2,FALSE),YES_Writing_ELA[#Headers],0)))="INS",'Writing Logic'!$B$7,IF(INDEX(_xlfn.VSTACK(YES_Writing_ELA[#Data],YES_Writing_FLA[#Data]),MATCH($A169,_xlfn.VSTACK(YES_Writing_ELA[Student Number],YES_Writing_FLA[Student Number]),0),MATCH(VLOOKUP(E$7,'Writing Logic'!$J$7:$K$11,2,FALSE)&amp;" - Per "&amp;VLOOKUP($C$4,'Writing Logic'!$G$8:$H$14,2,FALSE),YES_Writing_ELA[#Headers],0))=0,"",INDEX(_xlfn.VSTACK(YES_Writing_ELA[#Data],YES_Writing_FLA[#Data]),MATCH($A169,_xlfn.VSTACK(YES_Writing_ELA[Student Number],YES_Writing_FLA[Student Number]),0),MATCH(VLOOKUP(E$7,'Writing Logic'!$J$7:$K$11,2,FALSE)&amp;" - Per "&amp;VLOOKUP($C$4,'Writing Logic'!$G$8:$H$14,2,FALSE),YES_Writing_ELA[#Headers],0)))),"")</f>
        <v/>
      </c>
      <c r="F169" s="138" t="str">
        <f>IFERROR(IF(IF(INDEX(_xlfn.VSTACK(YES_Writing_ELA[#Data],YES_Writing_FLA[#Data]),MATCH($A169,_xlfn.VSTACK(YES_Writing_ELA[Student Number],YES_Writing_FLA[Student Number]),0),MATCH(VLOOKUP(F$7,'Writing Logic'!$J$7:$K$11,2,FALSE)&amp;" - Per "&amp;VLOOKUP($C$4,'Writing Logic'!$G$8:$H$14,2,FALSE),YES_Writing_ELA[#Headers],0))=0,"",INDEX(_xlfn.VSTACK(YES_Writing_ELA[#Data],YES_Writing_FLA[#Data]),MATCH($A169,_xlfn.VSTACK(YES_Writing_ELA[Student Number],YES_Writing_FLA[Student Number]),0),MATCH(VLOOKUP(F$7,'Writing Logic'!$J$7:$K$11,2,FALSE)&amp;" - Per "&amp;VLOOKUP($C$4,'Writing Logic'!$G$8:$H$14,2,FALSE),YES_Writing_ELA[#Headers],0)))="INS",'Writing Logic'!$B$7,IF(INDEX(_xlfn.VSTACK(YES_Writing_ELA[#Data],YES_Writing_FLA[#Data]),MATCH($A169,_xlfn.VSTACK(YES_Writing_ELA[Student Number],YES_Writing_FLA[Student Number]),0),MATCH(VLOOKUP(F$7,'Writing Logic'!$J$7:$K$11,2,FALSE)&amp;" - Per "&amp;VLOOKUP($C$4,'Writing Logic'!$G$8:$H$14,2,FALSE),YES_Writing_ELA[#Headers],0))=0,"",INDEX(_xlfn.VSTACK(YES_Writing_ELA[#Data],YES_Writing_FLA[#Data]),MATCH($A169,_xlfn.VSTACK(YES_Writing_ELA[Student Number],YES_Writing_FLA[Student Number]),0),MATCH(VLOOKUP(F$7,'Writing Logic'!$J$7:$K$11,2,FALSE)&amp;" - Per "&amp;VLOOKUP($C$4,'Writing Logic'!$G$8:$H$14,2,FALSE),YES_Writing_ELA[#Headers],0)))),"")</f>
        <v/>
      </c>
      <c r="G169" s="138" t="str">
        <f>IFERROR(IF(IF(INDEX(_xlfn.VSTACK(YES_Writing_ELA[#Data],YES_Writing_FLA[#Data]),MATCH($A169,_xlfn.VSTACK(YES_Writing_ELA[Student Number],YES_Writing_FLA[Student Number]),0),MATCH(VLOOKUP(G$7,'Writing Logic'!$J$7:$K$11,2,FALSE)&amp;" - Per "&amp;VLOOKUP($C$4,'Writing Logic'!$G$8:$H$14,2,FALSE),YES_Writing_ELA[#Headers],0))=0,"",INDEX(_xlfn.VSTACK(YES_Writing_ELA[#Data],YES_Writing_FLA[#Data]),MATCH($A169,_xlfn.VSTACK(YES_Writing_ELA[Student Number],YES_Writing_FLA[Student Number]),0),MATCH(VLOOKUP(G$7,'Writing Logic'!$J$7:$K$11,2,FALSE)&amp;" - Per "&amp;VLOOKUP($C$4,'Writing Logic'!$G$8:$H$14,2,FALSE),YES_Writing_ELA[#Headers],0)))="INS",'Writing Logic'!$B$7,IF(INDEX(_xlfn.VSTACK(YES_Writing_ELA[#Data],YES_Writing_FLA[#Data]),MATCH($A169,_xlfn.VSTACK(YES_Writing_ELA[Student Number],YES_Writing_FLA[Student Number]),0),MATCH(VLOOKUP(G$7,'Writing Logic'!$J$7:$K$11,2,FALSE)&amp;" - Per "&amp;VLOOKUP($C$4,'Writing Logic'!$G$8:$H$14,2,FALSE),YES_Writing_ELA[#Headers],0))=0,"",INDEX(_xlfn.VSTACK(YES_Writing_ELA[#Data],YES_Writing_FLA[#Data]),MATCH($A169,_xlfn.VSTACK(YES_Writing_ELA[Student Number],YES_Writing_FLA[Student Number]),0),MATCH(VLOOKUP(G$7,'Writing Logic'!$J$7:$K$11,2,FALSE)&amp;" - Per "&amp;VLOOKUP($C$4,'Writing Logic'!$G$8:$H$14,2,FALSE),YES_Writing_ELA[#Headers],0)))),"")</f>
        <v/>
      </c>
      <c r="H169" s="223" t="str">
        <f>IFERROR(IF(IF(INDEX(_xlfn.VSTACK(YES_Writing_ELA[#Data],YES_Writing_FLA[#Data]),MATCH($A169,_xlfn.VSTACK(YES_Writing_ELA[Student Number],YES_Writing_FLA[Student Number]),0),MATCH(VLOOKUP(H$7,'Writing Logic'!$J$7:$K$11,2,FALSE)&amp;" - Per "&amp;VLOOKUP($C$4,'Writing Logic'!$G$8:$H$14,2,FALSE),YES_Writing_ELA[#Headers],0))=0,"",INDEX(_xlfn.VSTACK(YES_Writing_ELA[#Data],YES_Writing_FLA[#Data]),MATCH($A169,_xlfn.VSTACK(YES_Writing_ELA[Student Number],YES_Writing_FLA[Student Number]),0),MATCH(VLOOKUP(H$7,'Writing Logic'!$J$7:$K$11,2,FALSE)&amp;" - Per "&amp;VLOOKUP($C$4,'Writing Logic'!$G$8:$H$14,2,FALSE),YES_Writing_ELA[#Headers],0)))="INS",'Writing Logic'!$B$7,IF(INDEX(_xlfn.VSTACK(YES_Writing_ELA[#Data],YES_Writing_FLA[#Data]),MATCH($A169,_xlfn.VSTACK(YES_Writing_ELA[Student Number],YES_Writing_FLA[Student Number]),0),MATCH(VLOOKUP(H$7,'Writing Logic'!$J$7:$K$11,2,FALSE)&amp;" - Per "&amp;VLOOKUP($C$4,'Writing Logic'!$G$8:$H$14,2,FALSE),YES_Writing_ELA[#Headers],0))=0,"",INDEX(_xlfn.VSTACK(YES_Writing_ELA[#Data],YES_Writing_FLA[#Data]),MATCH($A169,_xlfn.VSTACK(YES_Writing_ELA[Student Number],YES_Writing_FLA[Student Number]),0),MATCH(VLOOKUP(H$7,'Writing Logic'!$J$7:$K$11,2,FALSE)&amp;" - Per "&amp;VLOOKUP($C$4,'Writing Logic'!$G$8:$H$14,2,FALSE),YES_Writing_ELA[#Headers],0)))),"")</f>
        <v/>
      </c>
      <c r="I169" s="224" t="str" cm="1">
        <f t="array" aca="1" ref="I169" ca="1">IFERROR(
IF($G$3="ELA",
IF(VLOOKUP($A169, YES_Reading_ELA[], COLUMN(INDIRECT("YES_Reading_ELA[Difference - Per "&amp;VLOOKUP($G$4, 'Reading Report Logic'!$A$2:$B$8, 2, FALSE)&amp;"]")), FALSE)="", "",
VLOOKUP($A169,YES_Reading_ELA[], COLUMN(INDIRECT("YES_Reading_ELA[Difference - Per "&amp;VLOOKUP($G$4,'Reading Report Logic'!$A$2:$B$8,2,FALSE)&amp;"]")), FALSE)),
IF($G$3="FLA",
IF(VLOOKUP($A169, YES_Reading_FLA[], COLUMN(INDIRECT("YES_Reading_FLA[Difference - Per "&amp;VLOOKUP($G$4,'Reading Report Logic'!$A$2:$B$8,2,FALSE)&amp;"]")),FALSE)="","",
VLOOKUP($A169,YES_Reading_FLA[],COLUMN(INDIRECT("YES_Reading_FLA[Difference - Per "&amp;VLOOKUP($G$4,'Reading Report Logic'!$A$2:$B$8,2,FALSE)&amp;"]")),FALSE)),
IF($G$3="Combined",
IFERROR(
IF(VLOOKUP($A169, YES_Reading_ELA[], COLUMN(INDIRECT("YES_Reading_ELA[Difference - Per "&amp;VLOOKUP($G$4, 'Reading Report Logic'!$A$2:$B$8,2,FALSE)&amp;"]")), FALSE)="", "",
VLOOKUP($A169,YES_Reading_ELA[],COLUMN(INDIRECT("YES_Reading_ELA[Difference - Per "&amp;VLOOKUP($G$4,'Reading Report Logic'!$A$2:$B$8,2,FALSE)&amp;"]")),FALSE)),
IF(VLOOKUP($A169, YES_Reading_FLA[], COLUMN(INDIRECT("YES_Reading_FLA[Difference - Per "&amp;VLOOKUP($G$4, 'Reading Report Logic'!$A$2:$B$8, 2, FALSE)&amp;"]")),FALSE)="", "", VLOOKUP($A169,YES_Reading_FLA[],COLUMN(INDIRECT("YES_Reading_FLA[Difference - Per "&amp;VLOOKUP($G$4, 'Reading Report Logic'!$A$2:$B$8, 2, FALSE)&amp;"]")),FALSE))),""))),"")</f>
        <v/>
      </c>
    </row>
    <row r="170" spans="1:9" ht="14.25" customHeight="1" x14ac:dyDescent="0.25">
      <c r="A170" s="137"/>
      <c r="B170" s="137" t="str">
        <f>IFERROR(INDEX(_xlfn.VSTACK(YES_Writing_ELA[#Data], YES_Writing_FLA[#Data]),MATCH($A170,_xlfn.VSTACK(YES_Writing_ELA[Student Number], YES_Writing_FLA[Student Number]),0),MATCH(B$7,YES_Writing_ELA[#Headers],0)),IFERROR(INDEX(_xlfn.VSTACK(YES_Reading_ELA[#Data], YES_Reading_FLA[#Data]),MATCH($A170,_xlfn.VSTACK(YES_Reading_ELA[Student Number], YES_Reading_FLA[Student Number]),0),MATCH(B$7,YES_Reading_ELA[#Headers],0)),""))</f>
        <v/>
      </c>
      <c r="C170" s="137" t="str">
        <f>IFERROR(INDEX(_xlfn.VSTACK(YES_Writing_ELA[#Data], YES_Writing_FLA[#Data]),MATCH($A170,_xlfn.VSTACK(YES_Writing_ELA[Student Number], YES_Writing_FLA[Student Number]),0),MATCH(C$7,YES_Writing_ELA[#Headers],0)),IFERROR(INDEX(_xlfn.VSTACK(YES_Reading_ELA[#Data], YES_Reading_FLA[#Data]),MATCH($A170,_xlfn.VSTACK(YES_Reading_ELA[Student Number], YES_Reading_FLA[Student Number]),0),MATCH(C$7,YES_Reading_ELA[#Headers],0)),""))</f>
        <v/>
      </c>
      <c r="D170" s="138" t="str">
        <f>IFERROR(IF(IF(INDEX(_xlfn.VSTACK(YES_Writing_ELA[#Data],YES_Writing_FLA[#Data]),MATCH($A170,_xlfn.VSTACK(YES_Writing_ELA[Student Number],YES_Writing_FLA[Student Number]),0),MATCH(VLOOKUP(D$7,'Writing Logic'!$J$7:$K$11,2,FALSE)&amp;" - Per "&amp;VLOOKUP($C$4,'Writing Logic'!$G$8:$H$14,2,FALSE),YES_Writing_ELA[#Headers],0))=0,"",INDEX(_xlfn.VSTACK(YES_Writing_ELA[#Data],YES_Writing_FLA[#Data]),MATCH($A170,_xlfn.VSTACK(YES_Writing_ELA[Student Number],YES_Writing_FLA[Student Number]),0),MATCH(VLOOKUP(D$7,'Writing Logic'!$J$7:$K$11,2,FALSE)&amp;" - Per "&amp;VLOOKUP($C$4,'Writing Logic'!$G$8:$H$14,2,FALSE),YES_Writing_ELA[#Headers],0)))="INS",'Writing Logic'!$B$7,IF(INDEX(_xlfn.VSTACK(YES_Writing_ELA[#Data],YES_Writing_FLA[#Data]),MATCH($A170,_xlfn.VSTACK(YES_Writing_ELA[Student Number],YES_Writing_FLA[Student Number]),0),MATCH(VLOOKUP(D$7,'Writing Logic'!$J$7:$K$11,2,FALSE)&amp;" - Per "&amp;VLOOKUP($C$4,'Writing Logic'!$G$8:$H$14,2,FALSE),YES_Writing_ELA[#Headers],0))=0,"",INDEX(_xlfn.VSTACK(YES_Writing_ELA[#Data],YES_Writing_FLA[#Data]),MATCH($A170,_xlfn.VSTACK(YES_Writing_ELA[Student Number],YES_Writing_FLA[Student Number]),0),MATCH(VLOOKUP(D$7,'Writing Logic'!$J$7:$K$11,2,FALSE)&amp;" - Per "&amp;VLOOKUP($C$4,'Writing Logic'!$G$8:$H$14,2,FALSE),YES_Writing_ELA[#Headers],0)))),"")</f>
        <v/>
      </c>
      <c r="E170" s="138" t="str">
        <f>IFERROR(IF(IF(INDEX(_xlfn.VSTACK(YES_Writing_ELA[#Data],YES_Writing_FLA[#Data]),MATCH($A170,_xlfn.VSTACK(YES_Writing_ELA[Student Number],YES_Writing_FLA[Student Number]),0),MATCH(VLOOKUP(E$7,'Writing Logic'!$J$7:$K$11,2,FALSE)&amp;" - Per "&amp;VLOOKUP($C$4,'Writing Logic'!$G$8:$H$14,2,FALSE),YES_Writing_ELA[#Headers],0))=0,"",INDEX(_xlfn.VSTACK(YES_Writing_ELA[#Data],YES_Writing_FLA[#Data]),MATCH($A170,_xlfn.VSTACK(YES_Writing_ELA[Student Number],YES_Writing_FLA[Student Number]),0),MATCH(VLOOKUP(E$7,'Writing Logic'!$J$7:$K$11,2,FALSE)&amp;" - Per "&amp;VLOOKUP($C$4,'Writing Logic'!$G$8:$H$14,2,FALSE),YES_Writing_ELA[#Headers],0)))="INS",'Writing Logic'!$B$7,IF(INDEX(_xlfn.VSTACK(YES_Writing_ELA[#Data],YES_Writing_FLA[#Data]),MATCH($A170,_xlfn.VSTACK(YES_Writing_ELA[Student Number],YES_Writing_FLA[Student Number]),0),MATCH(VLOOKUP(E$7,'Writing Logic'!$J$7:$K$11,2,FALSE)&amp;" - Per "&amp;VLOOKUP($C$4,'Writing Logic'!$G$8:$H$14,2,FALSE),YES_Writing_ELA[#Headers],0))=0,"",INDEX(_xlfn.VSTACK(YES_Writing_ELA[#Data],YES_Writing_FLA[#Data]),MATCH($A170,_xlfn.VSTACK(YES_Writing_ELA[Student Number],YES_Writing_FLA[Student Number]),0),MATCH(VLOOKUP(E$7,'Writing Logic'!$J$7:$K$11,2,FALSE)&amp;" - Per "&amp;VLOOKUP($C$4,'Writing Logic'!$G$8:$H$14,2,FALSE),YES_Writing_ELA[#Headers],0)))),"")</f>
        <v/>
      </c>
      <c r="F170" s="138" t="str">
        <f>IFERROR(IF(IF(INDEX(_xlfn.VSTACK(YES_Writing_ELA[#Data],YES_Writing_FLA[#Data]),MATCH($A170,_xlfn.VSTACK(YES_Writing_ELA[Student Number],YES_Writing_FLA[Student Number]),0),MATCH(VLOOKUP(F$7,'Writing Logic'!$J$7:$K$11,2,FALSE)&amp;" - Per "&amp;VLOOKUP($C$4,'Writing Logic'!$G$8:$H$14,2,FALSE),YES_Writing_ELA[#Headers],0))=0,"",INDEX(_xlfn.VSTACK(YES_Writing_ELA[#Data],YES_Writing_FLA[#Data]),MATCH($A170,_xlfn.VSTACK(YES_Writing_ELA[Student Number],YES_Writing_FLA[Student Number]),0),MATCH(VLOOKUP(F$7,'Writing Logic'!$J$7:$K$11,2,FALSE)&amp;" - Per "&amp;VLOOKUP($C$4,'Writing Logic'!$G$8:$H$14,2,FALSE),YES_Writing_ELA[#Headers],0)))="INS",'Writing Logic'!$B$7,IF(INDEX(_xlfn.VSTACK(YES_Writing_ELA[#Data],YES_Writing_FLA[#Data]),MATCH($A170,_xlfn.VSTACK(YES_Writing_ELA[Student Number],YES_Writing_FLA[Student Number]),0),MATCH(VLOOKUP(F$7,'Writing Logic'!$J$7:$K$11,2,FALSE)&amp;" - Per "&amp;VLOOKUP($C$4,'Writing Logic'!$G$8:$H$14,2,FALSE),YES_Writing_ELA[#Headers],0))=0,"",INDEX(_xlfn.VSTACK(YES_Writing_ELA[#Data],YES_Writing_FLA[#Data]),MATCH($A170,_xlfn.VSTACK(YES_Writing_ELA[Student Number],YES_Writing_FLA[Student Number]),0),MATCH(VLOOKUP(F$7,'Writing Logic'!$J$7:$K$11,2,FALSE)&amp;" - Per "&amp;VLOOKUP($C$4,'Writing Logic'!$G$8:$H$14,2,FALSE),YES_Writing_ELA[#Headers],0)))),"")</f>
        <v/>
      </c>
      <c r="G170" s="138" t="str">
        <f>IFERROR(IF(IF(INDEX(_xlfn.VSTACK(YES_Writing_ELA[#Data],YES_Writing_FLA[#Data]),MATCH($A170,_xlfn.VSTACK(YES_Writing_ELA[Student Number],YES_Writing_FLA[Student Number]),0),MATCH(VLOOKUP(G$7,'Writing Logic'!$J$7:$K$11,2,FALSE)&amp;" - Per "&amp;VLOOKUP($C$4,'Writing Logic'!$G$8:$H$14,2,FALSE),YES_Writing_ELA[#Headers],0))=0,"",INDEX(_xlfn.VSTACK(YES_Writing_ELA[#Data],YES_Writing_FLA[#Data]),MATCH($A170,_xlfn.VSTACK(YES_Writing_ELA[Student Number],YES_Writing_FLA[Student Number]),0),MATCH(VLOOKUP(G$7,'Writing Logic'!$J$7:$K$11,2,FALSE)&amp;" - Per "&amp;VLOOKUP($C$4,'Writing Logic'!$G$8:$H$14,2,FALSE),YES_Writing_ELA[#Headers],0)))="INS",'Writing Logic'!$B$7,IF(INDEX(_xlfn.VSTACK(YES_Writing_ELA[#Data],YES_Writing_FLA[#Data]),MATCH($A170,_xlfn.VSTACK(YES_Writing_ELA[Student Number],YES_Writing_FLA[Student Number]),0),MATCH(VLOOKUP(G$7,'Writing Logic'!$J$7:$K$11,2,FALSE)&amp;" - Per "&amp;VLOOKUP($C$4,'Writing Logic'!$G$8:$H$14,2,FALSE),YES_Writing_ELA[#Headers],0))=0,"",INDEX(_xlfn.VSTACK(YES_Writing_ELA[#Data],YES_Writing_FLA[#Data]),MATCH($A170,_xlfn.VSTACK(YES_Writing_ELA[Student Number],YES_Writing_FLA[Student Number]),0),MATCH(VLOOKUP(G$7,'Writing Logic'!$J$7:$K$11,2,FALSE)&amp;" - Per "&amp;VLOOKUP($C$4,'Writing Logic'!$G$8:$H$14,2,FALSE),YES_Writing_ELA[#Headers],0)))),"")</f>
        <v/>
      </c>
      <c r="H170" s="223" t="str">
        <f>IFERROR(IF(IF(INDEX(_xlfn.VSTACK(YES_Writing_ELA[#Data],YES_Writing_FLA[#Data]),MATCH($A170,_xlfn.VSTACK(YES_Writing_ELA[Student Number],YES_Writing_FLA[Student Number]),0),MATCH(VLOOKUP(H$7,'Writing Logic'!$J$7:$K$11,2,FALSE)&amp;" - Per "&amp;VLOOKUP($C$4,'Writing Logic'!$G$8:$H$14,2,FALSE),YES_Writing_ELA[#Headers],0))=0,"",INDEX(_xlfn.VSTACK(YES_Writing_ELA[#Data],YES_Writing_FLA[#Data]),MATCH($A170,_xlfn.VSTACK(YES_Writing_ELA[Student Number],YES_Writing_FLA[Student Number]),0),MATCH(VLOOKUP(H$7,'Writing Logic'!$J$7:$K$11,2,FALSE)&amp;" - Per "&amp;VLOOKUP($C$4,'Writing Logic'!$G$8:$H$14,2,FALSE),YES_Writing_ELA[#Headers],0)))="INS",'Writing Logic'!$B$7,IF(INDEX(_xlfn.VSTACK(YES_Writing_ELA[#Data],YES_Writing_FLA[#Data]),MATCH($A170,_xlfn.VSTACK(YES_Writing_ELA[Student Number],YES_Writing_FLA[Student Number]),0),MATCH(VLOOKUP(H$7,'Writing Logic'!$J$7:$K$11,2,FALSE)&amp;" - Per "&amp;VLOOKUP($C$4,'Writing Logic'!$G$8:$H$14,2,FALSE),YES_Writing_ELA[#Headers],0))=0,"",INDEX(_xlfn.VSTACK(YES_Writing_ELA[#Data],YES_Writing_FLA[#Data]),MATCH($A170,_xlfn.VSTACK(YES_Writing_ELA[Student Number],YES_Writing_FLA[Student Number]),0),MATCH(VLOOKUP(H$7,'Writing Logic'!$J$7:$K$11,2,FALSE)&amp;" - Per "&amp;VLOOKUP($C$4,'Writing Logic'!$G$8:$H$14,2,FALSE),YES_Writing_ELA[#Headers],0)))),"")</f>
        <v/>
      </c>
      <c r="I170" s="224" t="str" cm="1">
        <f t="array" aca="1" ref="I170" ca="1">IFERROR(
IF($G$3="ELA",
IF(VLOOKUP($A170, YES_Reading_ELA[], COLUMN(INDIRECT("YES_Reading_ELA[Difference - Per "&amp;VLOOKUP($G$4, 'Reading Report Logic'!$A$2:$B$8, 2, FALSE)&amp;"]")), FALSE)="", "",
VLOOKUP($A170,YES_Reading_ELA[], COLUMN(INDIRECT("YES_Reading_ELA[Difference - Per "&amp;VLOOKUP($G$4,'Reading Report Logic'!$A$2:$B$8,2,FALSE)&amp;"]")), FALSE)),
IF($G$3="FLA",
IF(VLOOKUP($A170, YES_Reading_FLA[], COLUMN(INDIRECT("YES_Reading_FLA[Difference - Per "&amp;VLOOKUP($G$4,'Reading Report Logic'!$A$2:$B$8,2,FALSE)&amp;"]")),FALSE)="","",
VLOOKUP($A170,YES_Reading_FLA[],COLUMN(INDIRECT("YES_Reading_FLA[Difference - Per "&amp;VLOOKUP($G$4,'Reading Report Logic'!$A$2:$B$8,2,FALSE)&amp;"]")),FALSE)),
IF($G$3="Combined",
IFERROR(
IF(VLOOKUP($A170, YES_Reading_ELA[], COLUMN(INDIRECT("YES_Reading_ELA[Difference - Per "&amp;VLOOKUP($G$4, 'Reading Report Logic'!$A$2:$B$8,2,FALSE)&amp;"]")), FALSE)="", "",
VLOOKUP($A170,YES_Reading_ELA[],COLUMN(INDIRECT("YES_Reading_ELA[Difference - Per "&amp;VLOOKUP($G$4,'Reading Report Logic'!$A$2:$B$8,2,FALSE)&amp;"]")),FALSE)),
IF(VLOOKUP($A170, YES_Reading_FLA[], COLUMN(INDIRECT("YES_Reading_FLA[Difference - Per "&amp;VLOOKUP($G$4, 'Reading Report Logic'!$A$2:$B$8, 2, FALSE)&amp;"]")),FALSE)="", "", VLOOKUP($A170,YES_Reading_FLA[],COLUMN(INDIRECT("YES_Reading_FLA[Difference - Per "&amp;VLOOKUP($G$4, 'Reading Report Logic'!$A$2:$B$8, 2, FALSE)&amp;"]")),FALSE))),""))),"")</f>
        <v/>
      </c>
    </row>
    <row r="171" spans="1:9" ht="14.25" customHeight="1" x14ac:dyDescent="0.25">
      <c r="A171" s="137"/>
      <c r="B171" s="137" t="str">
        <f>IFERROR(INDEX(_xlfn.VSTACK(YES_Writing_ELA[#Data], YES_Writing_FLA[#Data]),MATCH($A171,_xlfn.VSTACK(YES_Writing_ELA[Student Number], YES_Writing_FLA[Student Number]),0),MATCH(B$7,YES_Writing_ELA[#Headers],0)),IFERROR(INDEX(_xlfn.VSTACK(YES_Reading_ELA[#Data], YES_Reading_FLA[#Data]),MATCH($A171,_xlfn.VSTACK(YES_Reading_ELA[Student Number], YES_Reading_FLA[Student Number]),0),MATCH(B$7,YES_Reading_ELA[#Headers],0)),""))</f>
        <v/>
      </c>
      <c r="C171" s="137" t="str">
        <f>IFERROR(INDEX(_xlfn.VSTACK(YES_Writing_ELA[#Data], YES_Writing_FLA[#Data]),MATCH($A171,_xlfn.VSTACK(YES_Writing_ELA[Student Number], YES_Writing_FLA[Student Number]),0),MATCH(C$7,YES_Writing_ELA[#Headers],0)),IFERROR(INDEX(_xlfn.VSTACK(YES_Reading_ELA[#Data], YES_Reading_FLA[#Data]),MATCH($A171,_xlfn.VSTACK(YES_Reading_ELA[Student Number], YES_Reading_FLA[Student Number]),0),MATCH(C$7,YES_Reading_ELA[#Headers],0)),""))</f>
        <v/>
      </c>
      <c r="D171" s="138" t="str">
        <f>IFERROR(IF(IF(INDEX(_xlfn.VSTACK(YES_Writing_ELA[#Data],YES_Writing_FLA[#Data]),MATCH($A171,_xlfn.VSTACK(YES_Writing_ELA[Student Number],YES_Writing_FLA[Student Number]),0),MATCH(VLOOKUP(D$7,'Writing Logic'!$J$7:$K$11,2,FALSE)&amp;" - Per "&amp;VLOOKUP($C$4,'Writing Logic'!$G$8:$H$14,2,FALSE),YES_Writing_ELA[#Headers],0))=0,"",INDEX(_xlfn.VSTACK(YES_Writing_ELA[#Data],YES_Writing_FLA[#Data]),MATCH($A171,_xlfn.VSTACK(YES_Writing_ELA[Student Number],YES_Writing_FLA[Student Number]),0),MATCH(VLOOKUP(D$7,'Writing Logic'!$J$7:$K$11,2,FALSE)&amp;" - Per "&amp;VLOOKUP($C$4,'Writing Logic'!$G$8:$H$14,2,FALSE),YES_Writing_ELA[#Headers],0)))="INS",'Writing Logic'!$B$7,IF(INDEX(_xlfn.VSTACK(YES_Writing_ELA[#Data],YES_Writing_FLA[#Data]),MATCH($A171,_xlfn.VSTACK(YES_Writing_ELA[Student Number],YES_Writing_FLA[Student Number]),0),MATCH(VLOOKUP(D$7,'Writing Logic'!$J$7:$K$11,2,FALSE)&amp;" - Per "&amp;VLOOKUP($C$4,'Writing Logic'!$G$8:$H$14,2,FALSE),YES_Writing_ELA[#Headers],0))=0,"",INDEX(_xlfn.VSTACK(YES_Writing_ELA[#Data],YES_Writing_FLA[#Data]),MATCH($A171,_xlfn.VSTACK(YES_Writing_ELA[Student Number],YES_Writing_FLA[Student Number]),0),MATCH(VLOOKUP(D$7,'Writing Logic'!$J$7:$K$11,2,FALSE)&amp;" - Per "&amp;VLOOKUP($C$4,'Writing Logic'!$G$8:$H$14,2,FALSE),YES_Writing_ELA[#Headers],0)))),"")</f>
        <v/>
      </c>
      <c r="E171" s="138" t="str">
        <f>IFERROR(IF(IF(INDEX(_xlfn.VSTACK(YES_Writing_ELA[#Data],YES_Writing_FLA[#Data]),MATCH($A171,_xlfn.VSTACK(YES_Writing_ELA[Student Number],YES_Writing_FLA[Student Number]),0),MATCH(VLOOKUP(E$7,'Writing Logic'!$J$7:$K$11,2,FALSE)&amp;" - Per "&amp;VLOOKUP($C$4,'Writing Logic'!$G$8:$H$14,2,FALSE),YES_Writing_ELA[#Headers],0))=0,"",INDEX(_xlfn.VSTACK(YES_Writing_ELA[#Data],YES_Writing_FLA[#Data]),MATCH($A171,_xlfn.VSTACK(YES_Writing_ELA[Student Number],YES_Writing_FLA[Student Number]),0),MATCH(VLOOKUP(E$7,'Writing Logic'!$J$7:$K$11,2,FALSE)&amp;" - Per "&amp;VLOOKUP($C$4,'Writing Logic'!$G$8:$H$14,2,FALSE),YES_Writing_ELA[#Headers],0)))="INS",'Writing Logic'!$B$7,IF(INDEX(_xlfn.VSTACK(YES_Writing_ELA[#Data],YES_Writing_FLA[#Data]),MATCH($A171,_xlfn.VSTACK(YES_Writing_ELA[Student Number],YES_Writing_FLA[Student Number]),0),MATCH(VLOOKUP(E$7,'Writing Logic'!$J$7:$K$11,2,FALSE)&amp;" - Per "&amp;VLOOKUP($C$4,'Writing Logic'!$G$8:$H$14,2,FALSE),YES_Writing_ELA[#Headers],0))=0,"",INDEX(_xlfn.VSTACK(YES_Writing_ELA[#Data],YES_Writing_FLA[#Data]),MATCH($A171,_xlfn.VSTACK(YES_Writing_ELA[Student Number],YES_Writing_FLA[Student Number]),0),MATCH(VLOOKUP(E$7,'Writing Logic'!$J$7:$K$11,2,FALSE)&amp;" - Per "&amp;VLOOKUP($C$4,'Writing Logic'!$G$8:$H$14,2,FALSE),YES_Writing_ELA[#Headers],0)))),"")</f>
        <v/>
      </c>
      <c r="F171" s="138" t="str">
        <f>IFERROR(IF(IF(INDEX(_xlfn.VSTACK(YES_Writing_ELA[#Data],YES_Writing_FLA[#Data]),MATCH($A171,_xlfn.VSTACK(YES_Writing_ELA[Student Number],YES_Writing_FLA[Student Number]),0),MATCH(VLOOKUP(F$7,'Writing Logic'!$J$7:$K$11,2,FALSE)&amp;" - Per "&amp;VLOOKUP($C$4,'Writing Logic'!$G$8:$H$14,2,FALSE),YES_Writing_ELA[#Headers],0))=0,"",INDEX(_xlfn.VSTACK(YES_Writing_ELA[#Data],YES_Writing_FLA[#Data]),MATCH($A171,_xlfn.VSTACK(YES_Writing_ELA[Student Number],YES_Writing_FLA[Student Number]),0),MATCH(VLOOKUP(F$7,'Writing Logic'!$J$7:$K$11,2,FALSE)&amp;" - Per "&amp;VLOOKUP($C$4,'Writing Logic'!$G$8:$H$14,2,FALSE),YES_Writing_ELA[#Headers],0)))="INS",'Writing Logic'!$B$7,IF(INDEX(_xlfn.VSTACK(YES_Writing_ELA[#Data],YES_Writing_FLA[#Data]),MATCH($A171,_xlfn.VSTACK(YES_Writing_ELA[Student Number],YES_Writing_FLA[Student Number]),0),MATCH(VLOOKUP(F$7,'Writing Logic'!$J$7:$K$11,2,FALSE)&amp;" - Per "&amp;VLOOKUP($C$4,'Writing Logic'!$G$8:$H$14,2,FALSE),YES_Writing_ELA[#Headers],0))=0,"",INDEX(_xlfn.VSTACK(YES_Writing_ELA[#Data],YES_Writing_FLA[#Data]),MATCH($A171,_xlfn.VSTACK(YES_Writing_ELA[Student Number],YES_Writing_FLA[Student Number]),0),MATCH(VLOOKUP(F$7,'Writing Logic'!$J$7:$K$11,2,FALSE)&amp;" - Per "&amp;VLOOKUP($C$4,'Writing Logic'!$G$8:$H$14,2,FALSE),YES_Writing_ELA[#Headers],0)))),"")</f>
        <v/>
      </c>
      <c r="G171" s="138" t="str">
        <f>IFERROR(IF(IF(INDEX(_xlfn.VSTACK(YES_Writing_ELA[#Data],YES_Writing_FLA[#Data]),MATCH($A171,_xlfn.VSTACK(YES_Writing_ELA[Student Number],YES_Writing_FLA[Student Number]),0),MATCH(VLOOKUP(G$7,'Writing Logic'!$J$7:$K$11,2,FALSE)&amp;" - Per "&amp;VLOOKUP($C$4,'Writing Logic'!$G$8:$H$14,2,FALSE),YES_Writing_ELA[#Headers],0))=0,"",INDEX(_xlfn.VSTACK(YES_Writing_ELA[#Data],YES_Writing_FLA[#Data]),MATCH($A171,_xlfn.VSTACK(YES_Writing_ELA[Student Number],YES_Writing_FLA[Student Number]),0),MATCH(VLOOKUP(G$7,'Writing Logic'!$J$7:$K$11,2,FALSE)&amp;" - Per "&amp;VLOOKUP($C$4,'Writing Logic'!$G$8:$H$14,2,FALSE),YES_Writing_ELA[#Headers],0)))="INS",'Writing Logic'!$B$7,IF(INDEX(_xlfn.VSTACK(YES_Writing_ELA[#Data],YES_Writing_FLA[#Data]),MATCH($A171,_xlfn.VSTACK(YES_Writing_ELA[Student Number],YES_Writing_FLA[Student Number]),0),MATCH(VLOOKUP(G$7,'Writing Logic'!$J$7:$K$11,2,FALSE)&amp;" - Per "&amp;VLOOKUP($C$4,'Writing Logic'!$G$8:$H$14,2,FALSE),YES_Writing_ELA[#Headers],0))=0,"",INDEX(_xlfn.VSTACK(YES_Writing_ELA[#Data],YES_Writing_FLA[#Data]),MATCH($A171,_xlfn.VSTACK(YES_Writing_ELA[Student Number],YES_Writing_FLA[Student Number]),0),MATCH(VLOOKUP(G$7,'Writing Logic'!$J$7:$K$11,2,FALSE)&amp;" - Per "&amp;VLOOKUP($C$4,'Writing Logic'!$G$8:$H$14,2,FALSE),YES_Writing_ELA[#Headers],0)))),"")</f>
        <v/>
      </c>
      <c r="H171" s="223" t="str">
        <f>IFERROR(IF(IF(INDEX(_xlfn.VSTACK(YES_Writing_ELA[#Data],YES_Writing_FLA[#Data]),MATCH($A171,_xlfn.VSTACK(YES_Writing_ELA[Student Number],YES_Writing_FLA[Student Number]),0),MATCH(VLOOKUP(H$7,'Writing Logic'!$J$7:$K$11,2,FALSE)&amp;" - Per "&amp;VLOOKUP($C$4,'Writing Logic'!$G$8:$H$14,2,FALSE),YES_Writing_ELA[#Headers],0))=0,"",INDEX(_xlfn.VSTACK(YES_Writing_ELA[#Data],YES_Writing_FLA[#Data]),MATCH($A171,_xlfn.VSTACK(YES_Writing_ELA[Student Number],YES_Writing_FLA[Student Number]),0),MATCH(VLOOKUP(H$7,'Writing Logic'!$J$7:$K$11,2,FALSE)&amp;" - Per "&amp;VLOOKUP($C$4,'Writing Logic'!$G$8:$H$14,2,FALSE),YES_Writing_ELA[#Headers],0)))="INS",'Writing Logic'!$B$7,IF(INDEX(_xlfn.VSTACK(YES_Writing_ELA[#Data],YES_Writing_FLA[#Data]),MATCH($A171,_xlfn.VSTACK(YES_Writing_ELA[Student Number],YES_Writing_FLA[Student Number]),0),MATCH(VLOOKUP(H$7,'Writing Logic'!$J$7:$K$11,2,FALSE)&amp;" - Per "&amp;VLOOKUP($C$4,'Writing Logic'!$G$8:$H$14,2,FALSE),YES_Writing_ELA[#Headers],0))=0,"",INDEX(_xlfn.VSTACK(YES_Writing_ELA[#Data],YES_Writing_FLA[#Data]),MATCH($A171,_xlfn.VSTACK(YES_Writing_ELA[Student Number],YES_Writing_FLA[Student Number]),0),MATCH(VLOOKUP(H$7,'Writing Logic'!$J$7:$K$11,2,FALSE)&amp;" - Per "&amp;VLOOKUP($C$4,'Writing Logic'!$G$8:$H$14,2,FALSE),YES_Writing_ELA[#Headers],0)))),"")</f>
        <v/>
      </c>
      <c r="I171" s="224" t="str" cm="1">
        <f t="array" aca="1" ref="I171" ca="1">IFERROR(
IF($G$3="ELA",
IF(VLOOKUP($A171, YES_Reading_ELA[], COLUMN(INDIRECT("YES_Reading_ELA[Difference - Per "&amp;VLOOKUP($G$4, 'Reading Report Logic'!$A$2:$B$8, 2, FALSE)&amp;"]")), FALSE)="", "",
VLOOKUP($A171,YES_Reading_ELA[], COLUMN(INDIRECT("YES_Reading_ELA[Difference - Per "&amp;VLOOKUP($G$4,'Reading Report Logic'!$A$2:$B$8,2,FALSE)&amp;"]")), FALSE)),
IF($G$3="FLA",
IF(VLOOKUP($A171, YES_Reading_FLA[], COLUMN(INDIRECT("YES_Reading_FLA[Difference - Per "&amp;VLOOKUP($G$4,'Reading Report Logic'!$A$2:$B$8,2,FALSE)&amp;"]")),FALSE)="","",
VLOOKUP($A171,YES_Reading_FLA[],COLUMN(INDIRECT("YES_Reading_FLA[Difference - Per "&amp;VLOOKUP($G$4,'Reading Report Logic'!$A$2:$B$8,2,FALSE)&amp;"]")),FALSE)),
IF($G$3="Combined",
IFERROR(
IF(VLOOKUP($A171, YES_Reading_ELA[], COLUMN(INDIRECT("YES_Reading_ELA[Difference - Per "&amp;VLOOKUP($G$4, 'Reading Report Logic'!$A$2:$B$8,2,FALSE)&amp;"]")), FALSE)="", "",
VLOOKUP($A171,YES_Reading_ELA[],COLUMN(INDIRECT("YES_Reading_ELA[Difference - Per "&amp;VLOOKUP($G$4,'Reading Report Logic'!$A$2:$B$8,2,FALSE)&amp;"]")),FALSE)),
IF(VLOOKUP($A171, YES_Reading_FLA[], COLUMN(INDIRECT("YES_Reading_FLA[Difference - Per "&amp;VLOOKUP($G$4, 'Reading Report Logic'!$A$2:$B$8, 2, FALSE)&amp;"]")),FALSE)="", "", VLOOKUP($A171,YES_Reading_FLA[],COLUMN(INDIRECT("YES_Reading_FLA[Difference - Per "&amp;VLOOKUP($G$4, 'Reading Report Logic'!$A$2:$B$8, 2, FALSE)&amp;"]")),FALSE))),""))),"")</f>
        <v/>
      </c>
    </row>
    <row r="172" spans="1:9" ht="14.25" customHeight="1" x14ac:dyDescent="0.25">
      <c r="A172" s="137"/>
      <c r="B172" s="137" t="str">
        <f>IFERROR(INDEX(_xlfn.VSTACK(YES_Writing_ELA[#Data], YES_Writing_FLA[#Data]),MATCH($A172,_xlfn.VSTACK(YES_Writing_ELA[Student Number], YES_Writing_FLA[Student Number]),0),MATCH(B$7,YES_Writing_ELA[#Headers],0)),IFERROR(INDEX(_xlfn.VSTACK(YES_Reading_ELA[#Data], YES_Reading_FLA[#Data]),MATCH($A172,_xlfn.VSTACK(YES_Reading_ELA[Student Number], YES_Reading_FLA[Student Number]),0),MATCH(B$7,YES_Reading_ELA[#Headers],0)),""))</f>
        <v/>
      </c>
      <c r="C172" s="137" t="str">
        <f>IFERROR(INDEX(_xlfn.VSTACK(YES_Writing_ELA[#Data], YES_Writing_FLA[#Data]),MATCH($A172,_xlfn.VSTACK(YES_Writing_ELA[Student Number], YES_Writing_FLA[Student Number]),0),MATCH(C$7,YES_Writing_ELA[#Headers],0)),IFERROR(INDEX(_xlfn.VSTACK(YES_Reading_ELA[#Data], YES_Reading_FLA[#Data]),MATCH($A172,_xlfn.VSTACK(YES_Reading_ELA[Student Number], YES_Reading_FLA[Student Number]),0),MATCH(C$7,YES_Reading_ELA[#Headers],0)),""))</f>
        <v/>
      </c>
      <c r="D172" s="138" t="str">
        <f>IFERROR(IF(IF(INDEX(_xlfn.VSTACK(YES_Writing_ELA[#Data],YES_Writing_FLA[#Data]),MATCH($A172,_xlfn.VSTACK(YES_Writing_ELA[Student Number],YES_Writing_FLA[Student Number]),0),MATCH(VLOOKUP(D$7,'Writing Logic'!$J$7:$K$11,2,FALSE)&amp;" - Per "&amp;VLOOKUP($C$4,'Writing Logic'!$G$8:$H$14,2,FALSE),YES_Writing_ELA[#Headers],0))=0,"",INDEX(_xlfn.VSTACK(YES_Writing_ELA[#Data],YES_Writing_FLA[#Data]),MATCH($A172,_xlfn.VSTACK(YES_Writing_ELA[Student Number],YES_Writing_FLA[Student Number]),0),MATCH(VLOOKUP(D$7,'Writing Logic'!$J$7:$K$11,2,FALSE)&amp;" - Per "&amp;VLOOKUP($C$4,'Writing Logic'!$G$8:$H$14,2,FALSE),YES_Writing_ELA[#Headers],0)))="INS",'Writing Logic'!$B$7,IF(INDEX(_xlfn.VSTACK(YES_Writing_ELA[#Data],YES_Writing_FLA[#Data]),MATCH($A172,_xlfn.VSTACK(YES_Writing_ELA[Student Number],YES_Writing_FLA[Student Number]),0),MATCH(VLOOKUP(D$7,'Writing Logic'!$J$7:$K$11,2,FALSE)&amp;" - Per "&amp;VLOOKUP($C$4,'Writing Logic'!$G$8:$H$14,2,FALSE),YES_Writing_ELA[#Headers],0))=0,"",INDEX(_xlfn.VSTACK(YES_Writing_ELA[#Data],YES_Writing_FLA[#Data]),MATCH($A172,_xlfn.VSTACK(YES_Writing_ELA[Student Number],YES_Writing_FLA[Student Number]),0),MATCH(VLOOKUP(D$7,'Writing Logic'!$J$7:$K$11,2,FALSE)&amp;" - Per "&amp;VLOOKUP($C$4,'Writing Logic'!$G$8:$H$14,2,FALSE),YES_Writing_ELA[#Headers],0)))),"")</f>
        <v/>
      </c>
      <c r="E172" s="138" t="str">
        <f>IFERROR(IF(IF(INDEX(_xlfn.VSTACK(YES_Writing_ELA[#Data],YES_Writing_FLA[#Data]),MATCH($A172,_xlfn.VSTACK(YES_Writing_ELA[Student Number],YES_Writing_FLA[Student Number]),0),MATCH(VLOOKUP(E$7,'Writing Logic'!$J$7:$K$11,2,FALSE)&amp;" - Per "&amp;VLOOKUP($C$4,'Writing Logic'!$G$8:$H$14,2,FALSE),YES_Writing_ELA[#Headers],0))=0,"",INDEX(_xlfn.VSTACK(YES_Writing_ELA[#Data],YES_Writing_FLA[#Data]),MATCH($A172,_xlfn.VSTACK(YES_Writing_ELA[Student Number],YES_Writing_FLA[Student Number]),0),MATCH(VLOOKUP(E$7,'Writing Logic'!$J$7:$K$11,2,FALSE)&amp;" - Per "&amp;VLOOKUP($C$4,'Writing Logic'!$G$8:$H$14,2,FALSE),YES_Writing_ELA[#Headers],0)))="INS",'Writing Logic'!$B$7,IF(INDEX(_xlfn.VSTACK(YES_Writing_ELA[#Data],YES_Writing_FLA[#Data]),MATCH($A172,_xlfn.VSTACK(YES_Writing_ELA[Student Number],YES_Writing_FLA[Student Number]),0),MATCH(VLOOKUP(E$7,'Writing Logic'!$J$7:$K$11,2,FALSE)&amp;" - Per "&amp;VLOOKUP($C$4,'Writing Logic'!$G$8:$H$14,2,FALSE),YES_Writing_ELA[#Headers],0))=0,"",INDEX(_xlfn.VSTACK(YES_Writing_ELA[#Data],YES_Writing_FLA[#Data]),MATCH($A172,_xlfn.VSTACK(YES_Writing_ELA[Student Number],YES_Writing_FLA[Student Number]),0),MATCH(VLOOKUP(E$7,'Writing Logic'!$J$7:$K$11,2,FALSE)&amp;" - Per "&amp;VLOOKUP($C$4,'Writing Logic'!$G$8:$H$14,2,FALSE),YES_Writing_ELA[#Headers],0)))),"")</f>
        <v/>
      </c>
      <c r="F172" s="138" t="str">
        <f>IFERROR(IF(IF(INDEX(_xlfn.VSTACK(YES_Writing_ELA[#Data],YES_Writing_FLA[#Data]),MATCH($A172,_xlfn.VSTACK(YES_Writing_ELA[Student Number],YES_Writing_FLA[Student Number]),0),MATCH(VLOOKUP(F$7,'Writing Logic'!$J$7:$K$11,2,FALSE)&amp;" - Per "&amp;VLOOKUP($C$4,'Writing Logic'!$G$8:$H$14,2,FALSE),YES_Writing_ELA[#Headers],0))=0,"",INDEX(_xlfn.VSTACK(YES_Writing_ELA[#Data],YES_Writing_FLA[#Data]),MATCH($A172,_xlfn.VSTACK(YES_Writing_ELA[Student Number],YES_Writing_FLA[Student Number]),0),MATCH(VLOOKUP(F$7,'Writing Logic'!$J$7:$K$11,2,FALSE)&amp;" - Per "&amp;VLOOKUP($C$4,'Writing Logic'!$G$8:$H$14,2,FALSE),YES_Writing_ELA[#Headers],0)))="INS",'Writing Logic'!$B$7,IF(INDEX(_xlfn.VSTACK(YES_Writing_ELA[#Data],YES_Writing_FLA[#Data]),MATCH($A172,_xlfn.VSTACK(YES_Writing_ELA[Student Number],YES_Writing_FLA[Student Number]),0),MATCH(VLOOKUP(F$7,'Writing Logic'!$J$7:$K$11,2,FALSE)&amp;" - Per "&amp;VLOOKUP($C$4,'Writing Logic'!$G$8:$H$14,2,FALSE),YES_Writing_ELA[#Headers],0))=0,"",INDEX(_xlfn.VSTACK(YES_Writing_ELA[#Data],YES_Writing_FLA[#Data]),MATCH($A172,_xlfn.VSTACK(YES_Writing_ELA[Student Number],YES_Writing_FLA[Student Number]),0),MATCH(VLOOKUP(F$7,'Writing Logic'!$J$7:$K$11,2,FALSE)&amp;" - Per "&amp;VLOOKUP($C$4,'Writing Logic'!$G$8:$H$14,2,FALSE),YES_Writing_ELA[#Headers],0)))),"")</f>
        <v/>
      </c>
      <c r="G172" s="138" t="str">
        <f>IFERROR(IF(IF(INDEX(_xlfn.VSTACK(YES_Writing_ELA[#Data],YES_Writing_FLA[#Data]),MATCH($A172,_xlfn.VSTACK(YES_Writing_ELA[Student Number],YES_Writing_FLA[Student Number]),0),MATCH(VLOOKUP(G$7,'Writing Logic'!$J$7:$K$11,2,FALSE)&amp;" - Per "&amp;VLOOKUP($C$4,'Writing Logic'!$G$8:$H$14,2,FALSE),YES_Writing_ELA[#Headers],0))=0,"",INDEX(_xlfn.VSTACK(YES_Writing_ELA[#Data],YES_Writing_FLA[#Data]),MATCH($A172,_xlfn.VSTACK(YES_Writing_ELA[Student Number],YES_Writing_FLA[Student Number]),0),MATCH(VLOOKUP(G$7,'Writing Logic'!$J$7:$K$11,2,FALSE)&amp;" - Per "&amp;VLOOKUP($C$4,'Writing Logic'!$G$8:$H$14,2,FALSE),YES_Writing_ELA[#Headers],0)))="INS",'Writing Logic'!$B$7,IF(INDEX(_xlfn.VSTACK(YES_Writing_ELA[#Data],YES_Writing_FLA[#Data]),MATCH($A172,_xlfn.VSTACK(YES_Writing_ELA[Student Number],YES_Writing_FLA[Student Number]),0),MATCH(VLOOKUP(G$7,'Writing Logic'!$J$7:$K$11,2,FALSE)&amp;" - Per "&amp;VLOOKUP($C$4,'Writing Logic'!$G$8:$H$14,2,FALSE),YES_Writing_ELA[#Headers],0))=0,"",INDEX(_xlfn.VSTACK(YES_Writing_ELA[#Data],YES_Writing_FLA[#Data]),MATCH($A172,_xlfn.VSTACK(YES_Writing_ELA[Student Number],YES_Writing_FLA[Student Number]),0),MATCH(VLOOKUP(G$7,'Writing Logic'!$J$7:$K$11,2,FALSE)&amp;" - Per "&amp;VLOOKUP($C$4,'Writing Logic'!$G$8:$H$14,2,FALSE),YES_Writing_ELA[#Headers],0)))),"")</f>
        <v/>
      </c>
      <c r="H172" s="223" t="str">
        <f>IFERROR(IF(IF(INDEX(_xlfn.VSTACK(YES_Writing_ELA[#Data],YES_Writing_FLA[#Data]),MATCH($A172,_xlfn.VSTACK(YES_Writing_ELA[Student Number],YES_Writing_FLA[Student Number]),0),MATCH(VLOOKUP(H$7,'Writing Logic'!$J$7:$K$11,2,FALSE)&amp;" - Per "&amp;VLOOKUP($C$4,'Writing Logic'!$G$8:$H$14,2,FALSE),YES_Writing_ELA[#Headers],0))=0,"",INDEX(_xlfn.VSTACK(YES_Writing_ELA[#Data],YES_Writing_FLA[#Data]),MATCH($A172,_xlfn.VSTACK(YES_Writing_ELA[Student Number],YES_Writing_FLA[Student Number]),0),MATCH(VLOOKUP(H$7,'Writing Logic'!$J$7:$K$11,2,FALSE)&amp;" - Per "&amp;VLOOKUP($C$4,'Writing Logic'!$G$8:$H$14,2,FALSE),YES_Writing_ELA[#Headers],0)))="INS",'Writing Logic'!$B$7,IF(INDEX(_xlfn.VSTACK(YES_Writing_ELA[#Data],YES_Writing_FLA[#Data]),MATCH($A172,_xlfn.VSTACK(YES_Writing_ELA[Student Number],YES_Writing_FLA[Student Number]),0),MATCH(VLOOKUP(H$7,'Writing Logic'!$J$7:$K$11,2,FALSE)&amp;" - Per "&amp;VLOOKUP($C$4,'Writing Logic'!$G$8:$H$14,2,FALSE),YES_Writing_ELA[#Headers],0))=0,"",INDEX(_xlfn.VSTACK(YES_Writing_ELA[#Data],YES_Writing_FLA[#Data]),MATCH($A172,_xlfn.VSTACK(YES_Writing_ELA[Student Number],YES_Writing_FLA[Student Number]),0),MATCH(VLOOKUP(H$7,'Writing Logic'!$J$7:$K$11,2,FALSE)&amp;" - Per "&amp;VLOOKUP($C$4,'Writing Logic'!$G$8:$H$14,2,FALSE),YES_Writing_ELA[#Headers],0)))),"")</f>
        <v/>
      </c>
      <c r="I172" s="224" t="str" cm="1">
        <f t="array" aca="1" ref="I172" ca="1">IFERROR(
IF($G$3="ELA",
IF(VLOOKUP($A172, YES_Reading_ELA[], COLUMN(INDIRECT("YES_Reading_ELA[Difference - Per "&amp;VLOOKUP($G$4, 'Reading Report Logic'!$A$2:$B$8, 2, FALSE)&amp;"]")), FALSE)="", "",
VLOOKUP($A172,YES_Reading_ELA[], COLUMN(INDIRECT("YES_Reading_ELA[Difference - Per "&amp;VLOOKUP($G$4,'Reading Report Logic'!$A$2:$B$8,2,FALSE)&amp;"]")), FALSE)),
IF($G$3="FLA",
IF(VLOOKUP($A172, YES_Reading_FLA[], COLUMN(INDIRECT("YES_Reading_FLA[Difference - Per "&amp;VLOOKUP($G$4,'Reading Report Logic'!$A$2:$B$8,2,FALSE)&amp;"]")),FALSE)="","",
VLOOKUP($A172,YES_Reading_FLA[],COLUMN(INDIRECT("YES_Reading_FLA[Difference - Per "&amp;VLOOKUP($G$4,'Reading Report Logic'!$A$2:$B$8,2,FALSE)&amp;"]")),FALSE)),
IF($G$3="Combined",
IFERROR(
IF(VLOOKUP($A172, YES_Reading_ELA[], COLUMN(INDIRECT("YES_Reading_ELA[Difference - Per "&amp;VLOOKUP($G$4, 'Reading Report Logic'!$A$2:$B$8,2,FALSE)&amp;"]")), FALSE)="", "",
VLOOKUP($A172,YES_Reading_ELA[],COLUMN(INDIRECT("YES_Reading_ELA[Difference - Per "&amp;VLOOKUP($G$4,'Reading Report Logic'!$A$2:$B$8,2,FALSE)&amp;"]")),FALSE)),
IF(VLOOKUP($A172, YES_Reading_FLA[], COLUMN(INDIRECT("YES_Reading_FLA[Difference - Per "&amp;VLOOKUP($G$4, 'Reading Report Logic'!$A$2:$B$8, 2, FALSE)&amp;"]")),FALSE)="", "", VLOOKUP($A172,YES_Reading_FLA[],COLUMN(INDIRECT("YES_Reading_FLA[Difference - Per "&amp;VLOOKUP($G$4, 'Reading Report Logic'!$A$2:$B$8, 2, FALSE)&amp;"]")),FALSE))),""))),"")</f>
        <v/>
      </c>
    </row>
    <row r="173" spans="1:9" ht="14.25" customHeight="1" x14ac:dyDescent="0.25">
      <c r="A173" s="137"/>
      <c r="B173" s="137" t="str">
        <f>IFERROR(INDEX(_xlfn.VSTACK(YES_Writing_ELA[#Data], YES_Writing_FLA[#Data]),MATCH($A173,_xlfn.VSTACK(YES_Writing_ELA[Student Number], YES_Writing_FLA[Student Number]),0),MATCH(B$7,YES_Writing_ELA[#Headers],0)),IFERROR(INDEX(_xlfn.VSTACK(YES_Reading_ELA[#Data], YES_Reading_FLA[#Data]),MATCH($A173,_xlfn.VSTACK(YES_Reading_ELA[Student Number], YES_Reading_FLA[Student Number]),0),MATCH(B$7,YES_Reading_ELA[#Headers],0)),""))</f>
        <v/>
      </c>
      <c r="C173" s="137" t="str">
        <f>IFERROR(INDEX(_xlfn.VSTACK(YES_Writing_ELA[#Data], YES_Writing_FLA[#Data]),MATCH($A173,_xlfn.VSTACK(YES_Writing_ELA[Student Number], YES_Writing_FLA[Student Number]),0),MATCH(C$7,YES_Writing_ELA[#Headers],0)),IFERROR(INDEX(_xlfn.VSTACK(YES_Reading_ELA[#Data], YES_Reading_FLA[#Data]),MATCH($A173,_xlfn.VSTACK(YES_Reading_ELA[Student Number], YES_Reading_FLA[Student Number]),0),MATCH(C$7,YES_Reading_ELA[#Headers],0)),""))</f>
        <v/>
      </c>
      <c r="D173" s="138" t="str">
        <f>IFERROR(IF(IF(INDEX(_xlfn.VSTACK(YES_Writing_ELA[#Data],YES_Writing_FLA[#Data]),MATCH($A173,_xlfn.VSTACK(YES_Writing_ELA[Student Number],YES_Writing_FLA[Student Number]),0),MATCH(VLOOKUP(D$7,'Writing Logic'!$J$7:$K$11,2,FALSE)&amp;" - Per "&amp;VLOOKUP($C$4,'Writing Logic'!$G$8:$H$14,2,FALSE),YES_Writing_ELA[#Headers],0))=0,"",INDEX(_xlfn.VSTACK(YES_Writing_ELA[#Data],YES_Writing_FLA[#Data]),MATCH($A173,_xlfn.VSTACK(YES_Writing_ELA[Student Number],YES_Writing_FLA[Student Number]),0),MATCH(VLOOKUP(D$7,'Writing Logic'!$J$7:$K$11,2,FALSE)&amp;" - Per "&amp;VLOOKUP($C$4,'Writing Logic'!$G$8:$H$14,2,FALSE),YES_Writing_ELA[#Headers],0)))="INS",'Writing Logic'!$B$7,IF(INDEX(_xlfn.VSTACK(YES_Writing_ELA[#Data],YES_Writing_FLA[#Data]),MATCH($A173,_xlfn.VSTACK(YES_Writing_ELA[Student Number],YES_Writing_FLA[Student Number]),0),MATCH(VLOOKUP(D$7,'Writing Logic'!$J$7:$K$11,2,FALSE)&amp;" - Per "&amp;VLOOKUP($C$4,'Writing Logic'!$G$8:$H$14,2,FALSE),YES_Writing_ELA[#Headers],0))=0,"",INDEX(_xlfn.VSTACK(YES_Writing_ELA[#Data],YES_Writing_FLA[#Data]),MATCH($A173,_xlfn.VSTACK(YES_Writing_ELA[Student Number],YES_Writing_FLA[Student Number]),0),MATCH(VLOOKUP(D$7,'Writing Logic'!$J$7:$K$11,2,FALSE)&amp;" - Per "&amp;VLOOKUP($C$4,'Writing Logic'!$G$8:$H$14,2,FALSE),YES_Writing_ELA[#Headers],0)))),"")</f>
        <v/>
      </c>
      <c r="E173" s="138" t="str">
        <f>IFERROR(IF(IF(INDEX(_xlfn.VSTACK(YES_Writing_ELA[#Data],YES_Writing_FLA[#Data]),MATCH($A173,_xlfn.VSTACK(YES_Writing_ELA[Student Number],YES_Writing_FLA[Student Number]),0),MATCH(VLOOKUP(E$7,'Writing Logic'!$J$7:$K$11,2,FALSE)&amp;" - Per "&amp;VLOOKUP($C$4,'Writing Logic'!$G$8:$H$14,2,FALSE),YES_Writing_ELA[#Headers],0))=0,"",INDEX(_xlfn.VSTACK(YES_Writing_ELA[#Data],YES_Writing_FLA[#Data]),MATCH($A173,_xlfn.VSTACK(YES_Writing_ELA[Student Number],YES_Writing_FLA[Student Number]),0),MATCH(VLOOKUP(E$7,'Writing Logic'!$J$7:$K$11,2,FALSE)&amp;" - Per "&amp;VLOOKUP($C$4,'Writing Logic'!$G$8:$H$14,2,FALSE),YES_Writing_ELA[#Headers],0)))="INS",'Writing Logic'!$B$7,IF(INDEX(_xlfn.VSTACK(YES_Writing_ELA[#Data],YES_Writing_FLA[#Data]),MATCH($A173,_xlfn.VSTACK(YES_Writing_ELA[Student Number],YES_Writing_FLA[Student Number]),0),MATCH(VLOOKUP(E$7,'Writing Logic'!$J$7:$K$11,2,FALSE)&amp;" - Per "&amp;VLOOKUP($C$4,'Writing Logic'!$G$8:$H$14,2,FALSE),YES_Writing_ELA[#Headers],0))=0,"",INDEX(_xlfn.VSTACK(YES_Writing_ELA[#Data],YES_Writing_FLA[#Data]),MATCH($A173,_xlfn.VSTACK(YES_Writing_ELA[Student Number],YES_Writing_FLA[Student Number]),0),MATCH(VLOOKUP(E$7,'Writing Logic'!$J$7:$K$11,2,FALSE)&amp;" - Per "&amp;VLOOKUP($C$4,'Writing Logic'!$G$8:$H$14,2,FALSE),YES_Writing_ELA[#Headers],0)))),"")</f>
        <v/>
      </c>
      <c r="F173" s="138" t="str">
        <f>IFERROR(IF(IF(INDEX(_xlfn.VSTACK(YES_Writing_ELA[#Data],YES_Writing_FLA[#Data]),MATCH($A173,_xlfn.VSTACK(YES_Writing_ELA[Student Number],YES_Writing_FLA[Student Number]),0),MATCH(VLOOKUP(F$7,'Writing Logic'!$J$7:$K$11,2,FALSE)&amp;" - Per "&amp;VLOOKUP($C$4,'Writing Logic'!$G$8:$H$14,2,FALSE),YES_Writing_ELA[#Headers],0))=0,"",INDEX(_xlfn.VSTACK(YES_Writing_ELA[#Data],YES_Writing_FLA[#Data]),MATCH($A173,_xlfn.VSTACK(YES_Writing_ELA[Student Number],YES_Writing_FLA[Student Number]),0),MATCH(VLOOKUP(F$7,'Writing Logic'!$J$7:$K$11,2,FALSE)&amp;" - Per "&amp;VLOOKUP($C$4,'Writing Logic'!$G$8:$H$14,2,FALSE),YES_Writing_ELA[#Headers],0)))="INS",'Writing Logic'!$B$7,IF(INDEX(_xlfn.VSTACK(YES_Writing_ELA[#Data],YES_Writing_FLA[#Data]),MATCH($A173,_xlfn.VSTACK(YES_Writing_ELA[Student Number],YES_Writing_FLA[Student Number]),0),MATCH(VLOOKUP(F$7,'Writing Logic'!$J$7:$K$11,2,FALSE)&amp;" - Per "&amp;VLOOKUP($C$4,'Writing Logic'!$G$8:$H$14,2,FALSE),YES_Writing_ELA[#Headers],0))=0,"",INDEX(_xlfn.VSTACK(YES_Writing_ELA[#Data],YES_Writing_FLA[#Data]),MATCH($A173,_xlfn.VSTACK(YES_Writing_ELA[Student Number],YES_Writing_FLA[Student Number]),0),MATCH(VLOOKUP(F$7,'Writing Logic'!$J$7:$K$11,2,FALSE)&amp;" - Per "&amp;VLOOKUP($C$4,'Writing Logic'!$G$8:$H$14,2,FALSE),YES_Writing_ELA[#Headers],0)))),"")</f>
        <v/>
      </c>
      <c r="G173" s="138" t="str">
        <f>IFERROR(IF(IF(INDEX(_xlfn.VSTACK(YES_Writing_ELA[#Data],YES_Writing_FLA[#Data]),MATCH($A173,_xlfn.VSTACK(YES_Writing_ELA[Student Number],YES_Writing_FLA[Student Number]),0),MATCH(VLOOKUP(G$7,'Writing Logic'!$J$7:$K$11,2,FALSE)&amp;" - Per "&amp;VLOOKUP($C$4,'Writing Logic'!$G$8:$H$14,2,FALSE),YES_Writing_ELA[#Headers],0))=0,"",INDEX(_xlfn.VSTACK(YES_Writing_ELA[#Data],YES_Writing_FLA[#Data]),MATCH($A173,_xlfn.VSTACK(YES_Writing_ELA[Student Number],YES_Writing_FLA[Student Number]),0),MATCH(VLOOKUP(G$7,'Writing Logic'!$J$7:$K$11,2,FALSE)&amp;" - Per "&amp;VLOOKUP($C$4,'Writing Logic'!$G$8:$H$14,2,FALSE),YES_Writing_ELA[#Headers],0)))="INS",'Writing Logic'!$B$7,IF(INDEX(_xlfn.VSTACK(YES_Writing_ELA[#Data],YES_Writing_FLA[#Data]),MATCH($A173,_xlfn.VSTACK(YES_Writing_ELA[Student Number],YES_Writing_FLA[Student Number]),0),MATCH(VLOOKUP(G$7,'Writing Logic'!$J$7:$K$11,2,FALSE)&amp;" - Per "&amp;VLOOKUP($C$4,'Writing Logic'!$G$8:$H$14,2,FALSE),YES_Writing_ELA[#Headers],0))=0,"",INDEX(_xlfn.VSTACK(YES_Writing_ELA[#Data],YES_Writing_FLA[#Data]),MATCH($A173,_xlfn.VSTACK(YES_Writing_ELA[Student Number],YES_Writing_FLA[Student Number]),0),MATCH(VLOOKUP(G$7,'Writing Logic'!$J$7:$K$11,2,FALSE)&amp;" - Per "&amp;VLOOKUP($C$4,'Writing Logic'!$G$8:$H$14,2,FALSE),YES_Writing_ELA[#Headers],0)))),"")</f>
        <v/>
      </c>
      <c r="H173" s="223" t="str">
        <f>IFERROR(IF(IF(INDEX(_xlfn.VSTACK(YES_Writing_ELA[#Data],YES_Writing_FLA[#Data]),MATCH($A173,_xlfn.VSTACK(YES_Writing_ELA[Student Number],YES_Writing_FLA[Student Number]),0),MATCH(VLOOKUP(H$7,'Writing Logic'!$J$7:$K$11,2,FALSE)&amp;" - Per "&amp;VLOOKUP($C$4,'Writing Logic'!$G$8:$H$14,2,FALSE),YES_Writing_ELA[#Headers],0))=0,"",INDEX(_xlfn.VSTACK(YES_Writing_ELA[#Data],YES_Writing_FLA[#Data]),MATCH($A173,_xlfn.VSTACK(YES_Writing_ELA[Student Number],YES_Writing_FLA[Student Number]),0),MATCH(VLOOKUP(H$7,'Writing Logic'!$J$7:$K$11,2,FALSE)&amp;" - Per "&amp;VLOOKUP($C$4,'Writing Logic'!$G$8:$H$14,2,FALSE),YES_Writing_ELA[#Headers],0)))="INS",'Writing Logic'!$B$7,IF(INDEX(_xlfn.VSTACK(YES_Writing_ELA[#Data],YES_Writing_FLA[#Data]),MATCH($A173,_xlfn.VSTACK(YES_Writing_ELA[Student Number],YES_Writing_FLA[Student Number]),0),MATCH(VLOOKUP(H$7,'Writing Logic'!$J$7:$K$11,2,FALSE)&amp;" - Per "&amp;VLOOKUP($C$4,'Writing Logic'!$G$8:$H$14,2,FALSE),YES_Writing_ELA[#Headers],0))=0,"",INDEX(_xlfn.VSTACK(YES_Writing_ELA[#Data],YES_Writing_FLA[#Data]),MATCH($A173,_xlfn.VSTACK(YES_Writing_ELA[Student Number],YES_Writing_FLA[Student Number]),0),MATCH(VLOOKUP(H$7,'Writing Logic'!$J$7:$K$11,2,FALSE)&amp;" - Per "&amp;VLOOKUP($C$4,'Writing Logic'!$G$8:$H$14,2,FALSE),YES_Writing_ELA[#Headers],0)))),"")</f>
        <v/>
      </c>
      <c r="I173" s="224" t="str" cm="1">
        <f t="array" aca="1" ref="I173" ca="1">IFERROR(
IF($G$3="ELA",
IF(VLOOKUP($A173, YES_Reading_ELA[], COLUMN(INDIRECT("YES_Reading_ELA[Difference - Per "&amp;VLOOKUP($G$4, 'Reading Report Logic'!$A$2:$B$8, 2, FALSE)&amp;"]")), FALSE)="", "",
VLOOKUP($A173,YES_Reading_ELA[], COLUMN(INDIRECT("YES_Reading_ELA[Difference - Per "&amp;VLOOKUP($G$4,'Reading Report Logic'!$A$2:$B$8,2,FALSE)&amp;"]")), FALSE)),
IF($G$3="FLA",
IF(VLOOKUP($A173, YES_Reading_FLA[], COLUMN(INDIRECT("YES_Reading_FLA[Difference - Per "&amp;VLOOKUP($G$4,'Reading Report Logic'!$A$2:$B$8,2,FALSE)&amp;"]")),FALSE)="","",
VLOOKUP($A173,YES_Reading_FLA[],COLUMN(INDIRECT("YES_Reading_FLA[Difference - Per "&amp;VLOOKUP($G$4,'Reading Report Logic'!$A$2:$B$8,2,FALSE)&amp;"]")),FALSE)),
IF($G$3="Combined",
IFERROR(
IF(VLOOKUP($A173, YES_Reading_ELA[], COLUMN(INDIRECT("YES_Reading_ELA[Difference - Per "&amp;VLOOKUP($G$4, 'Reading Report Logic'!$A$2:$B$8,2,FALSE)&amp;"]")), FALSE)="", "",
VLOOKUP($A173,YES_Reading_ELA[],COLUMN(INDIRECT("YES_Reading_ELA[Difference - Per "&amp;VLOOKUP($G$4,'Reading Report Logic'!$A$2:$B$8,2,FALSE)&amp;"]")),FALSE)),
IF(VLOOKUP($A173, YES_Reading_FLA[], COLUMN(INDIRECT("YES_Reading_FLA[Difference - Per "&amp;VLOOKUP($G$4, 'Reading Report Logic'!$A$2:$B$8, 2, FALSE)&amp;"]")),FALSE)="", "", VLOOKUP($A173,YES_Reading_FLA[],COLUMN(INDIRECT("YES_Reading_FLA[Difference - Per "&amp;VLOOKUP($G$4, 'Reading Report Logic'!$A$2:$B$8, 2, FALSE)&amp;"]")),FALSE))),""))),"")</f>
        <v/>
      </c>
    </row>
    <row r="174" spans="1:9" ht="14.25" customHeight="1" x14ac:dyDescent="0.25">
      <c r="A174" s="137"/>
      <c r="B174" s="137" t="str">
        <f>IFERROR(INDEX(_xlfn.VSTACK(YES_Writing_ELA[#Data], YES_Writing_FLA[#Data]),MATCH($A174,_xlfn.VSTACK(YES_Writing_ELA[Student Number], YES_Writing_FLA[Student Number]),0),MATCH(B$7,YES_Writing_ELA[#Headers],0)),IFERROR(INDEX(_xlfn.VSTACK(YES_Reading_ELA[#Data], YES_Reading_FLA[#Data]),MATCH($A174,_xlfn.VSTACK(YES_Reading_ELA[Student Number], YES_Reading_FLA[Student Number]),0),MATCH(B$7,YES_Reading_ELA[#Headers],0)),""))</f>
        <v/>
      </c>
      <c r="C174" s="137" t="str">
        <f>IFERROR(INDEX(_xlfn.VSTACK(YES_Writing_ELA[#Data], YES_Writing_FLA[#Data]),MATCH($A174,_xlfn.VSTACK(YES_Writing_ELA[Student Number], YES_Writing_FLA[Student Number]),0),MATCH(C$7,YES_Writing_ELA[#Headers],0)),IFERROR(INDEX(_xlfn.VSTACK(YES_Reading_ELA[#Data], YES_Reading_FLA[#Data]),MATCH($A174,_xlfn.VSTACK(YES_Reading_ELA[Student Number], YES_Reading_FLA[Student Number]),0),MATCH(C$7,YES_Reading_ELA[#Headers],0)),""))</f>
        <v/>
      </c>
      <c r="D174" s="138" t="str">
        <f>IFERROR(IF(IF(INDEX(_xlfn.VSTACK(YES_Writing_ELA[#Data],YES_Writing_FLA[#Data]),MATCH($A174,_xlfn.VSTACK(YES_Writing_ELA[Student Number],YES_Writing_FLA[Student Number]),0),MATCH(VLOOKUP(D$7,'Writing Logic'!$J$7:$K$11,2,FALSE)&amp;" - Per "&amp;VLOOKUP($C$4,'Writing Logic'!$G$8:$H$14,2,FALSE),YES_Writing_ELA[#Headers],0))=0,"",INDEX(_xlfn.VSTACK(YES_Writing_ELA[#Data],YES_Writing_FLA[#Data]),MATCH($A174,_xlfn.VSTACK(YES_Writing_ELA[Student Number],YES_Writing_FLA[Student Number]),0),MATCH(VLOOKUP(D$7,'Writing Logic'!$J$7:$K$11,2,FALSE)&amp;" - Per "&amp;VLOOKUP($C$4,'Writing Logic'!$G$8:$H$14,2,FALSE),YES_Writing_ELA[#Headers],0)))="INS",'Writing Logic'!$B$7,IF(INDEX(_xlfn.VSTACK(YES_Writing_ELA[#Data],YES_Writing_FLA[#Data]),MATCH($A174,_xlfn.VSTACK(YES_Writing_ELA[Student Number],YES_Writing_FLA[Student Number]),0),MATCH(VLOOKUP(D$7,'Writing Logic'!$J$7:$K$11,2,FALSE)&amp;" - Per "&amp;VLOOKUP($C$4,'Writing Logic'!$G$8:$H$14,2,FALSE),YES_Writing_ELA[#Headers],0))=0,"",INDEX(_xlfn.VSTACK(YES_Writing_ELA[#Data],YES_Writing_FLA[#Data]),MATCH($A174,_xlfn.VSTACK(YES_Writing_ELA[Student Number],YES_Writing_FLA[Student Number]),0),MATCH(VLOOKUP(D$7,'Writing Logic'!$J$7:$K$11,2,FALSE)&amp;" - Per "&amp;VLOOKUP($C$4,'Writing Logic'!$G$8:$H$14,2,FALSE),YES_Writing_ELA[#Headers],0)))),"")</f>
        <v/>
      </c>
      <c r="E174" s="138" t="str">
        <f>IFERROR(IF(IF(INDEX(_xlfn.VSTACK(YES_Writing_ELA[#Data],YES_Writing_FLA[#Data]),MATCH($A174,_xlfn.VSTACK(YES_Writing_ELA[Student Number],YES_Writing_FLA[Student Number]),0),MATCH(VLOOKUP(E$7,'Writing Logic'!$J$7:$K$11,2,FALSE)&amp;" - Per "&amp;VLOOKUP($C$4,'Writing Logic'!$G$8:$H$14,2,FALSE),YES_Writing_ELA[#Headers],0))=0,"",INDEX(_xlfn.VSTACK(YES_Writing_ELA[#Data],YES_Writing_FLA[#Data]),MATCH($A174,_xlfn.VSTACK(YES_Writing_ELA[Student Number],YES_Writing_FLA[Student Number]),0),MATCH(VLOOKUP(E$7,'Writing Logic'!$J$7:$K$11,2,FALSE)&amp;" - Per "&amp;VLOOKUP($C$4,'Writing Logic'!$G$8:$H$14,2,FALSE),YES_Writing_ELA[#Headers],0)))="INS",'Writing Logic'!$B$7,IF(INDEX(_xlfn.VSTACK(YES_Writing_ELA[#Data],YES_Writing_FLA[#Data]),MATCH($A174,_xlfn.VSTACK(YES_Writing_ELA[Student Number],YES_Writing_FLA[Student Number]),0),MATCH(VLOOKUP(E$7,'Writing Logic'!$J$7:$K$11,2,FALSE)&amp;" - Per "&amp;VLOOKUP($C$4,'Writing Logic'!$G$8:$H$14,2,FALSE),YES_Writing_ELA[#Headers],0))=0,"",INDEX(_xlfn.VSTACK(YES_Writing_ELA[#Data],YES_Writing_FLA[#Data]),MATCH($A174,_xlfn.VSTACK(YES_Writing_ELA[Student Number],YES_Writing_FLA[Student Number]),0),MATCH(VLOOKUP(E$7,'Writing Logic'!$J$7:$K$11,2,FALSE)&amp;" - Per "&amp;VLOOKUP($C$4,'Writing Logic'!$G$8:$H$14,2,FALSE),YES_Writing_ELA[#Headers],0)))),"")</f>
        <v/>
      </c>
      <c r="F174" s="138" t="str">
        <f>IFERROR(IF(IF(INDEX(_xlfn.VSTACK(YES_Writing_ELA[#Data],YES_Writing_FLA[#Data]),MATCH($A174,_xlfn.VSTACK(YES_Writing_ELA[Student Number],YES_Writing_FLA[Student Number]),0),MATCH(VLOOKUP(F$7,'Writing Logic'!$J$7:$K$11,2,FALSE)&amp;" - Per "&amp;VLOOKUP($C$4,'Writing Logic'!$G$8:$H$14,2,FALSE),YES_Writing_ELA[#Headers],0))=0,"",INDEX(_xlfn.VSTACK(YES_Writing_ELA[#Data],YES_Writing_FLA[#Data]),MATCH($A174,_xlfn.VSTACK(YES_Writing_ELA[Student Number],YES_Writing_FLA[Student Number]),0),MATCH(VLOOKUP(F$7,'Writing Logic'!$J$7:$K$11,2,FALSE)&amp;" - Per "&amp;VLOOKUP($C$4,'Writing Logic'!$G$8:$H$14,2,FALSE),YES_Writing_ELA[#Headers],0)))="INS",'Writing Logic'!$B$7,IF(INDEX(_xlfn.VSTACK(YES_Writing_ELA[#Data],YES_Writing_FLA[#Data]),MATCH($A174,_xlfn.VSTACK(YES_Writing_ELA[Student Number],YES_Writing_FLA[Student Number]),0),MATCH(VLOOKUP(F$7,'Writing Logic'!$J$7:$K$11,2,FALSE)&amp;" - Per "&amp;VLOOKUP($C$4,'Writing Logic'!$G$8:$H$14,2,FALSE),YES_Writing_ELA[#Headers],0))=0,"",INDEX(_xlfn.VSTACK(YES_Writing_ELA[#Data],YES_Writing_FLA[#Data]),MATCH($A174,_xlfn.VSTACK(YES_Writing_ELA[Student Number],YES_Writing_FLA[Student Number]),0),MATCH(VLOOKUP(F$7,'Writing Logic'!$J$7:$K$11,2,FALSE)&amp;" - Per "&amp;VLOOKUP($C$4,'Writing Logic'!$G$8:$H$14,2,FALSE),YES_Writing_ELA[#Headers],0)))),"")</f>
        <v/>
      </c>
      <c r="G174" s="138" t="str">
        <f>IFERROR(IF(IF(INDEX(_xlfn.VSTACK(YES_Writing_ELA[#Data],YES_Writing_FLA[#Data]),MATCH($A174,_xlfn.VSTACK(YES_Writing_ELA[Student Number],YES_Writing_FLA[Student Number]),0),MATCH(VLOOKUP(G$7,'Writing Logic'!$J$7:$K$11,2,FALSE)&amp;" - Per "&amp;VLOOKUP($C$4,'Writing Logic'!$G$8:$H$14,2,FALSE),YES_Writing_ELA[#Headers],0))=0,"",INDEX(_xlfn.VSTACK(YES_Writing_ELA[#Data],YES_Writing_FLA[#Data]),MATCH($A174,_xlfn.VSTACK(YES_Writing_ELA[Student Number],YES_Writing_FLA[Student Number]),0),MATCH(VLOOKUP(G$7,'Writing Logic'!$J$7:$K$11,2,FALSE)&amp;" - Per "&amp;VLOOKUP($C$4,'Writing Logic'!$G$8:$H$14,2,FALSE),YES_Writing_ELA[#Headers],0)))="INS",'Writing Logic'!$B$7,IF(INDEX(_xlfn.VSTACK(YES_Writing_ELA[#Data],YES_Writing_FLA[#Data]),MATCH($A174,_xlfn.VSTACK(YES_Writing_ELA[Student Number],YES_Writing_FLA[Student Number]),0),MATCH(VLOOKUP(G$7,'Writing Logic'!$J$7:$K$11,2,FALSE)&amp;" - Per "&amp;VLOOKUP($C$4,'Writing Logic'!$G$8:$H$14,2,FALSE),YES_Writing_ELA[#Headers],0))=0,"",INDEX(_xlfn.VSTACK(YES_Writing_ELA[#Data],YES_Writing_FLA[#Data]),MATCH($A174,_xlfn.VSTACK(YES_Writing_ELA[Student Number],YES_Writing_FLA[Student Number]),0),MATCH(VLOOKUP(G$7,'Writing Logic'!$J$7:$K$11,2,FALSE)&amp;" - Per "&amp;VLOOKUP($C$4,'Writing Logic'!$G$8:$H$14,2,FALSE),YES_Writing_ELA[#Headers],0)))),"")</f>
        <v/>
      </c>
      <c r="H174" s="223" t="str">
        <f>IFERROR(IF(IF(INDEX(_xlfn.VSTACK(YES_Writing_ELA[#Data],YES_Writing_FLA[#Data]),MATCH($A174,_xlfn.VSTACK(YES_Writing_ELA[Student Number],YES_Writing_FLA[Student Number]),0),MATCH(VLOOKUP(H$7,'Writing Logic'!$J$7:$K$11,2,FALSE)&amp;" - Per "&amp;VLOOKUP($C$4,'Writing Logic'!$G$8:$H$14,2,FALSE),YES_Writing_ELA[#Headers],0))=0,"",INDEX(_xlfn.VSTACK(YES_Writing_ELA[#Data],YES_Writing_FLA[#Data]),MATCH($A174,_xlfn.VSTACK(YES_Writing_ELA[Student Number],YES_Writing_FLA[Student Number]),0),MATCH(VLOOKUP(H$7,'Writing Logic'!$J$7:$K$11,2,FALSE)&amp;" - Per "&amp;VLOOKUP($C$4,'Writing Logic'!$G$8:$H$14,2,FALSE),YES_Writing_ELA[#Headers],0)))="INS",'Writing Logic'!$B$7,IF(INDEX(_xlfn.VSTACK(YES_Writing_ELA[#Data],YES_Writing_FLA[#Data]),MATCH($A174,_xlfn.VSTACK(YES_Writing_ELA[Student Number],YES_Writing_FLA[Student Number]),0),MATCH(VLOOKUP(H$7,'Writing Logic'!$J$7:$K$11,2,FALSE)&amp;" - Per "&amp;VLOOKUP($C$4,'Writing Logic'!$G$8:$H$14,2,FALSE),YES_Writing_ELA[#Headers],0))=0,"",INDEX(_xlfn.VSTACK(YES_Writing_ELA[#Data],YES_Writing_FLA[#Data]),MATCH($A174,_xlfn.VSTACK(YES_Writing_ELA[Student Number],YES_Writing_FLA[Student Number]),0),MATCH(VLOOKUP(H$7,'Writing Logic'!$J$7:$K$11,2,FALSE)&amp;" - Per "&amp;VLOOKUP($C$4,'Writing Logic'!$G$8:$H$14,2,FALSE),YES_Writing_ELA[#Headers],0)))),"")</f>
        <v/>
      </c>
      <c r="I174" s="224" t="str" cm="1">
        <f t="array" aca="1" ref="I174" ca="1">IFERROR(
IF($G$3="ELA",
IF(VLOOKUP($A174, YES_Reading_ELA[], COLUMN(INDIRECT("YES_Reading_ELA[Difference - Per "&amp;VLOOKUP($G$4, 'Reading Report Logic'!$A$2:$B$8, 2, FALSE)&amp;"]")), FALSE)="", "",
VLOOKUP($A174,YES_Reading_ELA[], COLUMN(INDIRECT("YES_Reading_ELA[Difference - Per "&amp;VLOOKUP($G$4,'Reading Report Logic'!$A$2:$B$8,2,FALSE)&amp;"]")), FALSE)),
IF($G$3="FLA",
IF(VLOOKUP($A174, YES_Reading_FLA[], COLUMN(INDIRECT("YES_Reading_FLA[Difference - Per "&amp;VLOOKUP($G$4,'Reading Report Logic'!$A$2:$B$8,2,FALSE)&amp;"]")),FALSE)="","",
VLOOKUP($A174,YES_Reading_FLA[],COLUMN(INDIRECT("YES_Reading_FLA[Difference - Per "&amp;VLOOKUP($G$4,'Reading Report Logic'!$A$2:$B$8,2,FALSE)&amp;"]")),FALSE)),
IF($G$3="Combined",
IFERROR(
IF(VLOOKUP($A174, YES_Reading_ELA[], COLUMN(INDIRECT("YES_Reading_ELA[Difference - Per "&amp;VLOOKUP($G$4, 'Reading Report Logic'!$A$2:$B$8,2,FALSE)&amp;"]")), FALSE)="", "",
VLOOKUP($A174,YES_Reading_ELA[],COLUMN(INDIRECT("YES_Reading_ELA[Difference - Per "&amp;VLOOKUP($G$4,'Reading Report Logic'!$A$2:$B$8,2,FALSE)&amp;"]")),FALSE)),
IF(VLOOKUP($A174, YES_Reading_FLA[], COLUMN(INDIRECT("YES_Reading_FLA[Difference - Per "&amp;VLOOKUP($G$4, 'Reading Report Logic'!$A$2:$B$8, 2, FALSE)&amp;"]")),FALSE)="", "", VLOOKUP($A174,YES_Reading_FLA[],COLUMN(INDIRECT("YES_Reading_FLA[Difference - Per "&amp;VLOOKUP($G$4, 'Reading Report Logic'!$A$2:$B$8, 2, FALSE)&amp;"]")),FALSE))),""))),"")</f>
        <v/>
      </c>
    </row>
    <row r="175" spans="1:9" ht="14.25" customHeight="1" x14ac:dyDescent="0.25">
      <c r="A175" s="137"/>
      <c r="B175" s="137" t="str">
        <f>IFERROR(INDEX(_xlfn.VSTACK(YES_Writing_ELA[#Data], YES_Writing_FLA[#Data]),MATCH($A175,_xlfn.VSTACK(YES_Writing_ELA[Student Number], YES_Writing_FLA[Student Number]),0),MATCH(B$7,YES_Writing_ELA[#Headers],0)),IFERROR(INDEX(_xlfn.VSTACK(YES_Reading_ELA[#Data], YES_Reading_FLA[#Data]),MATCH($A175,_xlfn.VSTACK(YES_Reading_ELA[Student Number], YES_Reading_FLA[Student Number]),0),MATCH(B$7,YES_Reading_ELA[#Headers],0)),""))</f>
        <v/>
      </c>
      <c r="C175" s="137" t="str">
        <f>IFERROR(INDEX(_xlfn.VSTACK(YES_Writing_ELA[#Data], YES_Writing_FLA[#Data]),MATCH($A175,_xlfn.VSTACK(YES_Writing_ELA[Student Number], YES_Writing_FLA[Student Number]),0),MATCH(C$7,YES_Writing_ELA[#Headers],0)),IFERROR(INDEX(_xlfn.VSTACK(YES_Reading_ELA[#Data], YES_Reading_FLA[#Data]),MATCH($A175,_xlfn.VSTACK(YES_Reading_ELA[Student Number], YES_Reading_FLA[Student Number]),0),MATCH(C$7,YES_Reading_ELA[#Headers],0)),""))</f>
        <v/>
      </c>
      <c r="D175" s="138" t="str">
        <f>IFERROR(IF(IF(INDEX(_xlfn.VSTACK(YES_Writing_ELA[#Data],YES_Writing_FLA[#Data]),MATCH($A175,_xlfn.VSTACK(YES_Writing_ELA[Student Number],YES_Writing_FLA[Student Number]),0),MATCH(VLOOKUP(D$7,'Writing Logic'!$J$7:$K$11,2,FALSE)&amp;" - Per "&amp;VLOOKUP($C$4,'Writing Logic'!$G$8:$H$14,2,FALSE),YES_Writing_ELA[#Headers],0))=0,"",INDEX(_xlfn.VSTACK(YES_Writing_ELA[#Data],YES_Writing_FLA[#Data]),MATCH($A175,_xlfn.VSTACK(YES_Writing_ELA[Student Number],YES_Writing_FLA[Student Number]),0),MATCH(VLOOKUP(D$7,'Writing Logic'!$J$7:$K$11,2,FALSE)&amp;" - Per "&amp;VLOOKUP($C$4,'Writing Logic'!$G$8:$H$14,2,FALSE),YES_Writing_ELA[#Headers],0)))="INS",'Writing Logic'!$B$7,IF(INDEX(_xlfn.VSTACK(YES_Writing_ELA[#Data],YES_Writing_FLA[#Data]),MATCH($A175,_xlfn.VSTACK(YES_Writing_ELA[Student Number],YES_Writing_FLA[Student Number]),0),MATCH(VLOOKUP(D$7,'Writing Logic'!$J$7:$K$11,2,FALSE)&amp;" - Per "&amp;VLOOKUP($C$4,'Writing Logic'!$G$8:$H$14,2,FALSE),YES_Writing_ELA[#Headers],0))=0,"",INDEX(_xlfn.VSTACK(YES_Writing_ELA[#Data],YES_Writing_FLA[#Data]),MATCH($A175,_xlfn.VSTACK(YES_Writing_ELA[Student Number],YES_Writing_FLA[Student Number]),0),MATCH(VLOOKUP(D$7,'Writing Logic'!$J$7:$K$11,2,FALSE)&amp;" - Per "&amp;VLOOKUP($C$4,'Writing Logic'!$G$8:$H$14,2,FALSE),YES_Writing_ELA[#Headers],0)))),"")</f>
        <v/>
      </c>
      <c r="E175" s="138" t="str">
        <f>IFERROR(IF(IF(INDEX(_xlfn.VSTACK(YES_Writing_ELA[#Data],YES_Writing_FLA[#Data]),MATCH($A175,_xlfn.VSTACK(YES_Writing_ELA[Student Number],YES_Writing_FLA[Student Number]),0),MATCH(VLOOKUP(E$7,'Writing Logic'!$J$7:$K$11,2,FALSE)&amp;" - Per "&amp;VLOOKUP($C$4,'Writing Logic'!$G$8:$H$14,2,FALSE),YES_Writing_ELA[#Headers],0))=0,"",INDEX(_xlfn.VSTACK(YES_Writing_ELA[#Data],YES_Writing_FLA[#Data]),MATCH($A175,_xlfn.VSTACK(YES_Writing_ELA[Student Number],YES_Writing_FLA[Student Number]),0),MATCH(VLOOKUP(E$7,'Writing Logic'!$J$7:$K$11,2,FALSE)&amp;" - Per "&amp;VLOOKUP($C$4,'Writing Logic'!$G$8:$H$14,2,FALSE),YES_Writing_ELA[#Headers],0)))="INS",'Writing Logic'!$B$7,IF(INDEX(_xlfn.VSTACK(YES_Writing_ELA[#Data],YES_Writing_FLA[#Data]),MATCH($A175,_xlfn.VSTACK(YES_Writing_ELA[Student Number],YES_Writing_FLA[Student Number]),0),MATCH(VLOOKUP(E$7,'Writing Logic'!$J$7:$K$11,2,FALSE)&amp;" - Per "&amp;VLOOKUP($C$4,'Writing Logic'!$G$8:$H$14,2,FALSE),YES_Writing_ELA[#Headers],0))=0,"",INDEX(_xlfn.VSTACK(YES_Writing_ELA[#Data],YES_Writing_FLA[#Data]),MATCH($A175,_xlfn.VSTACK(YES_Writing_ELA[Student Number],YES_Writing_FLA[Student Number]),0),MATCH(VLOOKUP(E$7,'Writing Logic'!$J$7:$K$11,2,FALSE)&amp;" - Per "&amp;VLOOKUP($C$4,'Writing Logic'!$G$8:$H$14,2,FALSE),YES_Writing_ELA[#Headers],0)))),"")</f>
        <v/>
      </c>
      <c r="F175" s="138" t="str">
        <f>IFERROR(IF(IF(INDEX(_xlfn.VSTACK(YES_Writing_ELA[#Data],YES_Writing_FLA[#Data]),MATCH($A175,_xlfn.VSTACK(YES_Writing_ELA[Student Number],YES_Writing_FLA[Student Number]),0),MATCH(VLOOKUP(F$7,'Writing Logic'!$J$7:$K$11,2,FALSE)&amp;" - Per "&amp;VLOOKUP($C$4,'Writing Logic'!$G$8:$H$14,2,FALSE),YES_Writing_ELA[#Headers],0))=0,"",INDEX(_xlfn.VSTACK(YES_Writing_ELA[#Data],YES_Writing_FLA[#Data]),MATCH($A175,_xlfn.VSTACK(YES_Writing_ELA[Student Number],YES_Writing_FLA[Student Number]),0),MATCH(VLOOKUP(F$7,'Writing Logic'!$J$7:$K$11,2,FALSE)&amp;" - Per "&amp;VLOOKUP($C$4,'Writing Logic'!$G$8:$H$14,2,FALSE),YES_Writing_ELA[#Headers],0)))="INS",'Writing Logic'!$B$7,IF(INDEX(_xlfn.VSTACK(YES_Writing_ELA[#Data],YES_Writing_FLA[#Data]),MATCH($A175,_xlfn.VSTACK(YES_Writing_ELA[Student Number],YES_Writing_FLA[Student Number]),0),MATCH(VLOOKUP(F$7,'Writing Logic'!$J$7:$K$11,2,FALSE)&amp;" - Per "&amp;VLOOKUP($C$4,'Writing Logic'!$G$8:$H$14,2,FALSE),YES_Writing_ELA[#Headers],0))=0,"",INDEX(_xlfn.VSTACK(YES_Writing_ELA[#Data],YES_Writing_FLA[#Data]),MATCH($A175,_xlfn.VSTACK(YES_Writing_ELA[Student Number],YES_Writing_FLA[Student Number]),0),MATCH(VLOOKUP(F$7,'Writing Logic'!$J$7:$K$11,2,FALSE)&amp;" - Per "&amp;VLOOKUP($C$4,'Writing Logic'!$G$8:$H$14,2,FALSE),YES_Writing_ELA[#Headers],0)))),"")</f>
        <v/>
      </c>
      <c r="G175" s="138" t="str">
        <f>IFERROR(IF(IF(INDEX(_xlfn.VSTACK(YES_Writing_ELA[#Data],YES_Writing_FLA[#Data]),MATCH($A175,_xlfn.VSTACK(YES_Writing_ELA[Student Number],YES_Writing_FLA[Student Number]),0),MATCH(VLOOKUP(G$7,'Writing Logic'!$J$7:$K$11,2,FALSE)&amp;" - Per "&amp;VLOOKUP($C$4,'Writing Logic'!$G$8:$H$14,2,FALSE),YES_Writing_ELA[#Headers],0))=0,"",INDEX(_xlfn.VSTACK(YES_Writing_ELA[#Data],YES_Writing_FLA[#Data]),MATCH($A175,_xlfn.VSTACK(YES_Writing_ELA[Student Number],YES_Writing_FLA[Student Number]),0),MATCH(VLOOKUP(G$7,'Writing Logic'!$J$7:$K$11,2,FALSE)&amp;" - Per "&amp;VLOOKUP($C$4,'Writing Logic'!$G$8:$H$14,2,FALSE),YES_Writing_ELA[#Headers],0)))="INS",'Writing Logic'!$B$7,IF(INDEX(_xlfn.VSTACK(YES_Writing_ELA[#Data],YES_Writing_FLA[#Data]),MATCH($A175,_xlfn.VSTACK(YES_Writing_ELA[Student Number],YES_Writing_FLA[Student Number]),0),MATCH(VLOOKUP(G$7,'Writing Logic'!$J$7:$K$11,2,FALSE)&amp;" - Per "&amp;VLOOKUP($C$4,'Writing Logic'!$G$8:$H$14,2,FALSE),YES_Writing_ELA[#Headers],0))=0,"",INDEX(_xlfn.VSTACK(YES_Writing_ELA[#Data],YES_Writing_FLA[#Data]),MATCH($A175,_xlfn.VSTACK(YES_Writing_ELA[Student Number],YES_Writing_FLA[Student Number]),0),MATCH(VLOOKUP(G$7,'Writing Logic'!$J$7:$K$11,2,FALSE)&amp;" - Per "&amp;VLOOKUP($C$4,'Writing Logic'!$G$8:$H$14,2,FALSE),YES_Writing_ELA[#Headers],0)))),"")</f>
        <v/>
      </c>
      <c r="H175" s="223" t="str">
        <f>IFERROR(IF(IF(INDEX(_xlfn.VSTACK(YES_Writing_ELA[#Data],YES_Writing_FLA[#Data]),MATCH($A175,_xlfn.VSTACK(YES_Writing_ELA[Student Number],YES_Writing_FLA[Student Number]),0),MATCH(VLOOKUP(H$7,'Writing Logic'!$J$7:$K$11,2,FALSE)&amp;" - Per "&amp;VLOOKUP($C$4,'Writing Logic'!$G$8:$H$14,2,FALSE),YES_Writing_ELA[#Headers],0))=0,"",INDEX(_xlfn.VSTACK(YES_Writing_ELA[#Data],YES_Writing_FLA[#Data]),MATCH($A175,_xlfn.VSTACK(YES_Writing_ELA[Student Number],YES_Writing_FLA[Student Number]),0),MATCH(VLOOKUP(H$7,'Writing Logic'!$J$7:$K$11,2,FALSE)&amp;" - Per "&amp;VLOOKUP($C$4,'Writing Logic'!$G$8:$H$14,2,FALSE),YES_Writing_ELA[#Headers],0)))="INS",'Writing Logic'!$B$7,IF(INDEX(_xlfn.VSTACK(YES_Writing_ELA[#Data],YES_Writing_FLA[#Data]),MATCH($A175,_xlfn.VSTACK(YES_Writing_ELA[Student Number],YES_Writing_FLA[Student Number]),0),MATCH(VLOOKUP(H$7,'Writing Logic'!$J$7:$K$11,2,FALSE)&amp;" - Per "&amp;VLOOKUP($C$4,'Writing Logic'!$G$8:$H$14,2,FALSE),YES_Writing_ELA[#Headers],0))=0,"",INDEX(_xlfn.VSTACK(YES_Writing_ELA[#Data],YES_Writing_FLA[#Data]),MATCH($A175,_xlfn.VSTACK(YES_Writing_ELA[Student Number],YES_Writing_FLA[Student Number]),0),MATCH(VLOOKUP(H$7,'Writing Logic'!$J$7:$K$11,2,FALSE)&amp;" - Per "&amp;VLOOKUP($C$4,'Writing Logic'!$G$8:$H$14,2,FALSE),YES_Writing_ELA[#Headers],0)))),"")</f>
        <v/>
      </c>
      <c r="I175" s="224" t="str" cm="1">
        <f t="array" aca="1" ref="I175" ca="1">IFERROR(
IF($G$3="ELA",
IF(VLOOKUP($A175, YES_Reading_ELA[], COLUMN(INDIRECT("YES_Reading_ELA[Difference - Per "&amp;VLOOKUP($G$4, 'Reading Report Logic'!$A$2:$B$8, 2, FALSE)&amp;"]")), FALSE)="", "",
VLOOKUP($A175,YES_Reading_ELA[], COLUMN(INDIRECT("YES_Reading_ELA[Difference - Per "&amp;VLOOKUP($G$4,'Reading Report Logic'!$A$2:$B$8,2,FALSE)&amp;"]")), FALSE)),
IF($G$3="FLA",
IF(VLOOKUP($A175, YES_Reading_FLA[], COLUMN(INDIRECT("YES_Reading_FLA[Difference - Per "&amp;VLOOKUP($G$4,'Reading Report Logic'!$A$2:$B$8,2,FALSE)&amp;"]")),FALSE)="","",
VLOOKUP($A175,YES_Reading_FLA[],COLUMN(INDIRECT("YES_Reading_FLA[Difference - Per "&amp;VLOOKUP($G$4,'Reading Report Logic'!$A$2:$B$8,2,FALSE)&amp;"]")),FALSE)),
IF($G$3="Combined",
IFERROR(
IF(VLOOKUP($A175, YES_Reading_ELA[], COLUMN(INDIRECT("YES_Reading_ELA[Difference - Per "&amp;VLOOKUP($G$4, 'Reading Report Logic'!$A$2:$B$8,2,FALSE)&amp;"]")), FALSE)="", "",
VLOOKUP($A175,YES_Reading_ELA[],COLUMN(INDIRECT("YES_Reading_ELA[Difference - Per "&amp;VLOOKUP($G$4,'Reading Report Logic'!$A$2:$B$8,2,FALSE)&amp;"]")),FALSE)),
IF(VLOOKUP($A175, YES_Reading_FLA[], COLUMN(INDIRECT("YES_Reading_FLA[Difference - Per "&amp;VLOOKUP($G$4, 'Reading Report Logic'!$A$2:$B$8, 2, FALSE)&amp;"]")),FALSE)="", "", VLOOKUP($A175,YES_Reading_FLA[],COLUMN(INDIRECT("YES_Reading_FLA[Difference - Per "&amp;VLOOKUP($G$4, 'Reading Report Logic'!$A$2:$B$8, 2, FALSE)&amp;"]")),FALSE))),""))),"")</f>
        <v/>
      </c>
    </row>
    <row r="176" spans="1:9" ht="14.25" customHeight="1" x14ac:dyDescent="0.25">
      <c r="A176" s="137"/>
      <c r="B176" s="137" t="str">
        <f>IFERROR(INDEX(_xlfn.VSTACK(YES_Writing_ELA[#Data], YES_Writing_FLA[#Data]),MATCH($A176,_xlfn.VSTACK(YES_Writing_ELA[Student Number], YES_Writing_FLA[Student Number]),0),MATCH(B$7,YES_Writing_ELA[#Headers],0)),IFERROR(INDEX(_xlfn.VSTACK(YES_Reading_ELA[#Data], YES_Reading_FLA[#Data]),MATCH($A176,_xlfn.VSTACK(YES_Reading_ELA[Student Number], YES_Reading_FLA[Student Number]),0),MATCH(B$7,YES_Reading_ELA[#Headers],0)),""))</f>
        <v/>
      </c>
      <c r="C176" s="137" t="str">
        <f>IFERROR(INDEX(_xlfn.VSTACK(YES_Writing_ELA[#Data], YES_Writing_FLA[#Data]),MATCH($A176,_xlfn.VSTACK(YES_Writing_ELA[Student Number], YES_Writing_FLA[Student Number]),0),MATCH(C$7,YES_Writing_ELA[#Headers],0)),IFERROR(INDEX(_xlfn.VSTACK(YES_Reading_ELA[#Data], YES_Reading_FLA[#Data]),MATCH($A176,_xlfn.VSTACK(YES_Reading_ELA[Student Number], YES_Reading_FLA[Student Number]),0),MATCH(C$7,YES_Reading_ELA[#Headers],0)),""))</f>
        <v/>
      </c>
      <c r="D176" s="138" t="str">
        <f>IFERROR(IF(IF(INDEX(_xlfn.VSTACK(YES_Writing_ELA[#Data],YES_Writing_FLA[#Data]),MATCH($A176,_xlfn.VSTACK(YES_Writing_ELA[Student Number],YES_Writing_FLA[Student Number]),0),MATCH(VLOOKUP(D$7,'Writing Logic'!$J$7:$K$11,2,FALSE)&amp;" - Per "&amp;VLOOKUP($C$4,'Writing Logic'!$G$8:$H$14,2,FALSE),YES_Writing_ELA[#Headers],0))=0,"",INDEX(_xlfn.VSTACK(YES_Writing_ELA[#Data],YES_Writing_FLA[#Data]),MATCH($A176,_xlfn.VSTACK(YES_Writing_ELA[Student Number],YES_Writing_FLA[Student Number]),0),MATCH(VLOOKUP(D$7,'Writing Logic'!$J$7:$K$11,2,FALSE)&amp;" - Per "&amp;VLOOKUP($C$4,'Writing Logic'!$G$8:$H$14,2,FALSE),YES_Writing_ELA[#Headers],0)))="INS",'Writing Logic'!$B$7,IF(INDEX(_xlfn.VSTACK(YES_Writing_ELA[#Data],YES_Writing_FLA[#Data]),MATCH($A176,_xlfn.VSTACK(YES_Writing_ELA[Student Number],YES_Writing_FLA[Student Number]),0),MATCH(VLOOKUP(D$7,'Writing Logic'!$J$7:$K$11,2,FALSE)&amp;" - Per "&amp;VLOOKUP($C$4,'Writing Logic'!$G$8:$H$14,2,FALSE),YES_Writing_ELA[#Headers],0))=0,"",INDEX(_xlfn.VSTACK(YES_Writing_ELA[#Data],YES_Writing_FLA[#Data]),MATCH($A176,_xlfn.VSTACK(YES_Writing_ELA[Student Number],YES_Writing_FLA[Student Number]),0),MATCH(VLOOKUP(D$7,'Writing Logic'!$J$7:$K$11,2,FALSE)&amp;" - Per "&amp;VLOOKUP($C$4,'Writing Logic'!$G$8:$H$14,2,FALSE),YES_Writing_ELA[#Headers],0)))),"")</f>
        <v/>
      </c>
      <c r="E176" s="138" t="str">
        <f>IFERROR(IF(IF(INDEX(_xlfn.VSTACK(YES_Writing_ELA[#Data],YES_Writing_FLA[#Data]),MATCH($A176,_xlfn.VSTACK(YES_Writing_ELA[Student Number],YES_Writing_FLA[Student Number]),0),MATCH(VLOOKUP(E$7,'Writing Logic'!$J$7:$K$11,2,FALSE)&amp;" - Per "&amp;VLOOKUP($C$4,'Writing Logic'!$G$8:$H$14,2,FALSE),YES_Writing_ELA[#Headers],0))=0,"",INDEX(_xlfn.VSTACK(YES_Writing_ELA[#Data],YES_Writing_FLA[#Data]),MATCH($A176,_xlfn.VSTACK(YES_Writing_ELA[Student Number],YES_Writing_FLA[Student Number]),0),MATCH(VLOOKUP(E$7,'Writing Logic'!$J$7:$K$11,2,FALSE)&amp;" - Per "&amp;VLOOKUP($C$4,'Writing Logic'!$G$8:$H$14,2,FALSE),YES_Writing_ELA[#Headers],0)))="INS",'Writing Logic'!$B$7,IF(INDEX(_xlfn.VSTACK(YES_Writing_ELA[#Data],YES_Writing_FLA[#Data]),MATCH($A176,_xlfn.VSTACK(YES_Writing_ELA[Student Number],YES_Writing_FLA[Student Number]),0),MATCH(VLOOKUP(E$7,'Writing Logic'!$J$7:$K$11,2,FALSE)&amp;" - Per "&amp;VLOOKUP($C$4,'Writing Logic'!$G$8:$H$14,2,FALSE),YES_Writing_ELA[#Headers],0))=0,"",INDEX(_xlfn.VSTACK(YES_Writing_ELA[#Data],YES_Writing_FLA[#Data]),MATCH($A176,_xlfn.VSTACK(YES_Writing_ELA[Student Number],YES_Writing_FLA[Student Number]),0),MATCH(VLOOKUP(E$7,'Writing Logic'!$J$7:$K$11,2,FALSE)&amp;" - Per "&amp;VLOOKUP($C$4,'Writing Logic'!$G$8:$H$14,2,FALSE),YES_Writing_ELA[#Headers],0)))),"")</f>
        <v/>
      </c>
      <c r="F176" s="138" t="str">
        <f>IFERROR(IF(IF(INDEX(_xlfn.VSTACK(YES_Writing_ELA[#Data],YES_Writing_FLA[#Data]),MATCH($A176,_xlfn.VSTACK(YES_Writing_ELA[Student Number],YES_Writing_FLA[Student Number]),0),MATCH(VLOOKUP(F$7,'Writing Logic'!$J$7:$K$11,2,FALSE)&amp;" - Per "&amp;VLOOKUP($C$4,'Writing Logic'!$G$8:$H$14,2,FALSE),YES_Writing_ELA[#Headers],0))=0,"",INDEX(_xlfn.VSTACK(YES_Writing_ELA[#Data],YES_Writing_FLA[#Data]),MATCH($A176,_xlfn.VSTACK(YES_Writing_ELA[Student Number],YES_Writing_FLA[Student Number]),0),MATCH(VLOOKUP(F$7,'Writing Logic'!$J$7:$K$11,2,FALSE)&amp;" - Per "&amp;VLOOKUP($C$4,'Writing Logic'!$G$8:$H$14,2,FALSE),YES_Writing_ELA[#Headers],0)))="INS",'Writing Logic'!$B$7,IF(INDEX(_xlfn.VSTACK(YES_Writing_ELA[#Data],YES_Writing_FLA[#Data]),MATCH($A176,_xlfn.VSTACK(YES_Writing_ELA[Student Number],YES_Writing_FLA[Student Number]),0),MATCH(VLOOKUP(F$7,'Writing Logic'!$J$7:$K$11,2,FALSE)&amp;" - Per "&amp;VLOOKUP($C$4,'Writing Logic'!$G$8:$H$14,2,FALSE),YES_Writing_ELA[#Headers],0))=0,"",INDEX(_xlfn.VSTACK(YES_Writing_ELA[#Data],YES_Writing_FLA[#Data]),MATCH($A176,_xlfn.VSTACK(YES_Writing_ELA[Student Number],YES_Writing_FLA[Student Number]),0),MATCH(VLOOKUP(F$7,'Writing Logic'!$J$7:$K$11,2,FALSE)&amp;" - Per "&amp;VLOOKUP($C$4,'Writing Logic'!$G$8:$H$14,2,FALSE),YES_Writing_ELA[#Headers],0)))),"")</f>
        <v/>
      </c>
      <c r="G176" s="138" t="str">
        <f>IFERROR(IF(IF(INDEX(_xlfn.VSTACK(YES_Writing_ELA[#Data],YES_Writing_FLA[#Data]),MATCH($A176,_xlfn.VSTACK(YES_Writing_ELA[Student Number],YES_Writing_FLA[Student Number]),0),MATCH(VLOOKUP(G$7,'Writing Logic'!$J$7:$K$11,2,FALSE)&amp;" - Per "&amp;VLOOKUP($C$4,'Writing Logic'!$G$8:$H$14,2,FALSE),YES_Writing_ELA[#Headers],0))=0,"",INDEX(_xlfn.VSTACK(YES_Writing_ELA[#Data],YES_Writing_FLA[#Data]),MATCH($A176,_xlfn.VSTACK(YES_Writing_ELA[Student Number],YES_Writing_FLA[Student Number]),0),MATCH(VLOOKUP(G$7,'Writing Logic'!$J$7:$K$11,2,FALSE)&amp;" - Per "&amp;VLOOKUP($C$4,'Writing Logic'!$G$8:$H$14,2,FALSE),YES_Writing_ELA[#Headers],0)))="INS",'Writing Logic'!$B$7,IF(INDEX(_xlfn.VSTACK(YES_Writing_ELA[#Data],YES_Writing_FLA[#Data]),MATCH($A176,_xlfn.VSTACK(YES_Writing_ELA[Student Number],YES_Writing_FLA[Student Number]),0),MATCH(VLOOKUP(G$7,'Writing Logic'!$J$7:$K$11,2,FALSE)&amp;" - Per "&amp;VLOOKUP($C$4,'Writing Logic'!$G$8:$H$14,2,FALSE),YES_Writing_ELA[#Headers],0))=0,"",INDEX(_xlfn.VSTACK(YES_Writing_ELA[#Data],YES_Writing_FLA[#Data]),MATCH($A176,_xlfn.VSTACK(YES_Writing_ELA[Student Number],YES_Writing_FLA[Student Number]),0),MATCH(VLOOKUP(G$7,'Writing Logic'!$J$7:$K$11,2,FALSE)&amp;" - Per "&amp;VLOOKUP($C$4,'Writing Logic'!$G$8:$H$14,2,FALSE),YES_Writing_ELA[#Headers],0)))),"")</f>
        <v/>
      </c>
      <c r="H176" s="223" t="str">
        <f>IFERROR(IF(IF(INDEX(_xlfn.VSTACK(YES_Writing_ELA[#Data],YES_Writing_FLA[#Data]),MATCH($A176,_xlfn.VSTACK(YES_Writing_ELA[Student Number],YES_Writing_FLA[Student Number]),0),MATCH(VLOOKUP(H$7,'Writing Logic'!$J$7:$K$11,2,FALSE)&amp;" - Per "&amp;VLOOKUP($C$4,'Writing Logic'!$G$8:$H$14,2,FALSE),YES_Writing_ELA[#Headers],0))=0,"",INDEX(_xlfn.VSTACK(YES_Writing_ELA[#Data],YES_Writing_FLA[#Data]),MATCH($A176,_xlfn.VSTACK(YES_Writing_ELA[Student Number],YES_Writing_FLA[Student Number]),0),MATCH(VLOOKUP(H$7,'Writing Logic'!$J$7:$K$11,2,FALSE)&amp;" - Per "&amp;VLOOKUP($C$4,'Writing Logic'!$G$8:$H$14,2,FALSE),YES_Writing_ELA[#Headers],0)))="INS",'Writing Logic'!$B$7,IF(INDEX(_xlfn.VSTACK(YES_Writing_ELA[#Data],YES_Writing_FLA[#Data]),MATCH($A176,_xlfn.VSTACK(YES_Writing_ELA[Student Number],YES_Writing_FLA[Student Number]),0),MATCH(VLOOKUP(H$7,'Writing Logic'!$J$7:$K$11,2,FALSE)&amp;" - Per "&amp;VLOOKUP($C$4,'Writing Logic'!$G$8:$H$14,2,FALSE),YES_Writing_ELA[#Headers],0))=0,"",INDEX(_xlfn.VSTACK(YES_Writing_ELA[#Data],YES_Writing_FLA[#Data]),MATCH($A176,_xlfn.VSTACK(YES_Writing_ELA[Student Number],YES_Writing_FLA[Student Number]),0),MATCH(VLOOKUP(H$7,'Writing Logic'!$J$7:$K$11,2,FALSE)&amp;" - Per "&amp;VLOOKUP($C$4,'Writing Logic'!$G$8:$H$14,2,FALSE),YES_Writing_ELA[#Headers],0)))),"")</f>
        <v/>
      </c>
      <c r="I176" s="224" t="str" cm="1">
        <f t="array" aca="1" ref="I176" ca="1">IFERROR(
IF($G$3="ELA",
IF(VLOOKUP($A176, YES_Reading_ELA[], COLUMN(INDIRECT("YES_Reading_ELA[Difference - Per "&amp;VLOOKUP($G$4, 'Reading Report Logic'!$A$2:$B$8, 2, FALSE)&amp;"]")), FALSE)="", "",
VLOOKUP($A176,YES_Reading_ELA[], COLUMN(INDIRECT("YES_Reading_ELA[Difference - Per "&amp;VLOOKUP($G$4,'Reading Report Logic'!$A$2:$B$8,2,FALSE)&amp;"]")), FALSE)),
IF($G$3="FLA",
IF(VLOOKUP($A176, YES_Reading_FLA[], COLUMN(INDIRECT("YES_Reading_FLA[Difference - Per "&amp;VLOOKUP($G$4,'Reading Report Logic'!$A$2:$B$8,2,FALSE)&amp;"]")),FALSE)="","",
VLOOKUP($A176,YES_Reading_FLA[],COLUMN(INDIRECT("YES_Reading_FLA[Difference - Per "&amp;VLOOKUP($G$4,'Reading Report Logic'!$A$2:$B$8,2,FALSE)&amp;"]")),FALSE)),
IF($G$3="Combined",
IFERROR(
IF(VLOOKUP($A176, YES_Reading_ELA[], COLUMN(INDIRECT("YES_Reading_ELA[Difference - Per "&amp;VLOOKUP($G$4, 'Reading Report Logic'!$A$2:$B$8,2,FALSE)&amp;"]")), FALSE)="", "",
VLOOKUP($A176,YES_Reading_ELA[],COLUMN(INDIRECT("YES_Reading_ELA[Difference - Per "&amp;VLOOKUP($G$4,'Reading Report Logic'!$A$2:$B$8,2,FALSE)&amp;"]")),FALSE)),
IF(VLOOKUP($A176, YES_Reading_FLA[], COLUMN(INDIRECT("YES_Reading_FLA[Difference - Per "&amp;VLOOKUP($G$4, 'Reading Report Logic'!$A$2:$B$8, 2, FALSE)&amp;"]")),FALSE)="", "", VLOOKUP($A176,YES_Reading_FLA[],COLUMN(INDIRECT("YES_Reading_FLA[Difference - Per "&amp;VLOOKUP($G$4, 'Reading Report Logic'!$A$2:$B$8, 2, FALSE)&amp;"]")),FALSE))),""))),"")</f>
        <v/>
      </c>
    </row>
    <row r="177" spans="1:9" ht="14.25" customHeight="1" x14ac:dyDescent="0.25">
      <c r="A177" s="137"/>
      <c r="B177" s="137" t="str">
        <f>IFERROR(INDEX(_xlfn.VSTACK(YES_Writing_ELA[#Data], YES_Writing_FLA[#Data]),MATCH($A177,_xlfn.VSTACK(YES_Writing_ELA[Student Number], YES_Writing_FLA[Student Number]),0),MATCH(B$7,YES_Writing_ELA[#Headers],0)),IFERROR(INDEX(_xlfn.VSTACK(YES_Reading_ELA[#Data], YES_Reading_FLA[#Data]),MATCH($A177,_xlfn.VSTACK(YES_Reading_ELA[Student Number], YES_Reading_FLA[Student Number]),0),MATCH(B$7,YES_Reading_ELA[#Headers],0)),""))</f>
        <v/>
      </c>
      <c r="C177" s="137" t="str">
        <f>IFERROR(INDEX(_xlfn.VSTACK(YES_Writing_ELA[#Data], YES_Writing_FLA[#Data]),MATCH($A177,_xlfn.VSTACK(YES_Writing_ELA[Student Number], YES_Writing_FLA[Student Number]),0),MATCH(C$7,YES_Writing_ELA[#Headers],0)),IFERROR(INDEX(_xlfn.VSTACK(YES_Reading_ELA[#Data], YES_Reading_FLA[#Data]),MATCH($A177,_xlfn.VSTACK(YES_Reading_ELA[Student Number], YES_Reading_FLA[Student Number]),0),MATCH(C$7,YES_Reading_ELA[#Headers],0)),""))</f>
        <v/>
      </c>
      <c r="D177" s="138" t="str">
        <f>IFERROR(IF(IF(INDEX(_xlfn.VSTACK(YES_Writing_ELA[#Data],YES_Writing_FLA[#Data]),MATCH($A177,_xlfn.VSTACK(YES_Writing_ELA[Student Number],YES_Writing_FLA[Student Number]),0),MATCH(VLOOKUP(D$7,'Writing Logic'!$J$7:$K$11,2,FALSE)&amp;" - Per "&amp;VLOOKUP($C$4,'Writing Logic'!$G$8:$H$14,2,FALSE),YES_Writing_ELA[#Headers],0))=0,"",INDEX(_xlfn.VSTACK(YES_Writing_ELA[#Data],YES_Writing_FLA[#Data]),MATCH($A177,_xlfn.VSTACK(YES_Writing_ELA[Student Number],YES_Writing_FLA[Student Number]),0),MATCH(VLOOKUP(D$7,'Writing Logic'!$J$7:$K$11,2,FALSE)&amp;" - Per "&amp;VLOOKUP($C$4,'Writing Logic'!$G$8:$H$14,2,FALSE),YES_Writing_ELA[#Headers],0)))="INS",'Writing Logic'!$B$7,IF(INDEX(_xlfn.VSTACK(YES_Writing_ELA[#Data],YES_Writing_FLA[#Data]),MATCH($A177,_xlfn.VSTACK(YES_Writing_ELA[Student Number],YES_Writing_FLA[Student Number]),0),MATCH(VLOOKUP(D$7,'Writing Logic'!$J$7:$K$11,2,FALSE)&amp;" - Per "&amp;VLOOKUP($C$4,'Writing Logic'!$G$8:$H$14,2,FALSE),YES_Writing_ELA[#Headers],0))=0,"",INDEX(_xlfn.VSTACK(YES_Writing_ELA[#Data],YES_Writing_FLA[#Data]),MATCH($A177,_xlfn.VSTACK(YES_Writing_ELA[Student Number],YES_Writing_FLA[Student Number]),0),MATCH(VLOOKUP(D$7,'Writing Logic'!$J$7:$K$11,2,FALSE)&amp;" - Per "&amp;VLOOKUP($C$4,'Writing Logic'!$G$8:$H$14,2,FALSE),YES_Writing_ELA[#Headers],0)))),"")</f>
        <v/>
      </c>
      <c r="E177" s="138" t="str">
        <f>IFERROR(IF(IF(INDEX(_xlfn.VSTACK(YES_Writing_ELA[#Data],YES_Writing_FLA[#Data]),MATCH($A177,_xlfn.VSTACK(YES_Writing_ELA[Student Number],YES_Writing_FLA[Student Number]),0),MATCH(VLOOKUP(E$7,'Writing Logic'!$J$7:$K$11,2,FALSE)&amp;" - Per "&amp;VLOOKUP($C$4,'Writing Logic'!$G$8:$H$14,2,FALSE),YES_Writing_ELA[#Headers],0))=0,"",INDEX(_xlfn.VSTACK(YES_Writing_ELA[#Data],YES_Writing_FLA[#Data]),MATCH($A177,_xlfn.VSTACK(YES_Writing_ELA[Student Number],YES_Writing_FLA[Student Number]),0),MATCH(VLOOKUP(E$7,'Writing Logic'!$J$7:$K$11,2,FALSE)&amp;" - Per "&amp;VLOOKUP($C$4,'Writing Logic'!$G$8:$H$14,2,FALSE),YES_Writing_ELA[#Headers],0)))="INS",'Writing Logic'!$B$7,IF(INDEX(_xlfn.VSTACK(YES_Writing_ELA[#Data],YES_Writing_FLA[#Data]),MATCH($A177,_xlfn.VSTACK(YES_Writing_ELA[Student Number],YES_Writing_FLA[Student Number]),0),MATCH(VLOOKUP(E$7,'Writing Logic'!$J$7:$K$11,2,FALSE)&amp;" - Per "&amp;VLOOKUP($C$4,'Writing Logic'!$G$8:$H$14,2,FALSE),YES_Writing_ELA[#Headers],0))=0,"",INDEX(_xlfn.VSTACK(YES_Writing_ELA[#Data],YES_Writing_FLA[#Data]),MATCH($A177,_xlfn.VSTACK(YES_Writing_ELA[Student Number],YES_Writing_FLA[Student Number]),0),MATCH(VLOOKUP(E$7,'Writing Logic'!$J$7:$K$11,2,FALSE)&amp;" - Per "&amp;VLOOKUP($C$4,'Writing Logic'!$G$8:$H$14,2,FALSE),YES_Writing_ELA[#Headers],0)))),"")</f>
        <v/>
      </c>
      <c r="F177" s="138" t="str">
        <f>IFERROR(IF(IF(INDEX(_xlfn.VSTACK(YES_Writing_ELA[#Data],YES_Writing_FLA[#Data]),MATCH($A177,_xlfn.VSTACK(YES_Writing_ELA[Student Number],YES_Writing_FLA[Student Number]),0),MATCH(VLOOKUP(F$7,'Writing Logic'!$J$7:$K$11,2,FALSE)&amp;" - Per "&amp;VLOOKUP($C$4,'Writing Logic'!$G$8:$H$14,2,FALSE),YES_Writing_ELA[#Headers],0))=0,"",INDEX(_xlfn.VSTACK(YES_Writing_ELA[#Data],YES_Writing_FLA[#Data]),MATCH($A177,_xlfn.VSTACK(YES_Writing_ELA[Student Number],YES_Writing_FLA[Student Number]),0),MATCH(VLOOKUP(F$7,'Writing Logic'!$J$7:$K$11,2,FALSE)&amp;" - Per "&amp;VLOOKUP($C$4,'Writing Logic'!$G$8:$H$14,2,FALSE),YES_Writing_ELA[#Headers],0)))="INS",'Writing Logic'!$B$7,IF(INDEX(_xlfn.VSTACK(YES_Writing_ELA[#Data],YES_Writing_FLA[#Data]),MATCH($A177,_xlfn.VSTACK(YES_Writing_ELA[Student Number],YES_Writing_FLA[Student Number]),0),MATCH(VLOOKUP(F$7,'Writing Logic'!$J$7:$K$11,2,FALSE)&amp;" - Per "&amp;VLOOKUP($C$4,'Writing Logic'!$G$8:$H$14,2,FALSE),YES_Writing_ELA[#Headers],0))=0,"",INDEX(_xlfn.VSTACK(YES_Writing_ELA[#Data],YES_Writing_FLA[#Data]),MATCH($A177,_xlfn.VSTACK(YES_Writing_ELA[Student Number],YES_Writing_FLA[Student Number]),0),MATCH(VLOOKUP(F$7,'Writing Logic'!$J$7:$K$11,2,FALSE)&amp;" - Per "&amp;VLOOKUP($C$4,'Writing Logic'!$G$8:$H$14,2,FALSE),YES_Writing_ELA[#Headers],0)))),"")</f>
        <v/>
      </c>
      <c r="G177" s="138" t="str">
        <f>IFERROR(IF(IF(INDEX(_xlfn.VSTACK(YES_Writing_ELA[#Data],YES_Writing_FLA[#Data]),MATCH($A177,_xlfn.VSTACK(YES_Writing_ELA[Student Number],YES_Writing_FLA[Student Number]),0),MATCH(VLOOKUP(G$7,'Writing Logic'!$J$7:$K$11,2,FALSE)&amp;" - Per "&amp;VLOOKUP($C$4,'Writing Logic'!$G$8:$H$14,2,FALSE),YES_Writing_ELA[#Headers],0))=0,"",INDEX(_xlfn.VSTACK(YES_Writing_ELA[#Data],YES_Writing_FLA[#Data]),MATCH($A177,_xlfn.VSTACK(YES_Writing_ELA[Student Number],YES_Writing_FLA[Student Number]),0),MATCH(VLOOKUP(G$7,'Writing Logic'!$J$7:$K$11,2,FALSE)&amp;" - Per "&amp;VLOOKUP($C$4,'Writing Logic'!$G$8:$H$14,2,FALSE),YES_Writing_ELA[#Headers],0)))="INS",'Writing Logic'!$B$7,IF(INDEX(_xlfn.VSTACK(YES_Writing_ELA[#Data],YES_Writing_FLA[#Data]),MATCH($A177,_xlfn.VSTACK(YES_Writing_ELA[Student Number],YES_Writing_FLA[Student Number]),0),MATCH(VLOOKUP(G$7,'Writing Logic'!$J$7:$K$11,2,FALSE)&amp;" - Per "&amp;VLOOKUP($C$4,'Writing Logic'!$G$8:$H$14,2,FALSE),YES_Writing_ELA[#Headers],0))=0,"",INDEX(_xlfn.VSTACK(YES_Writing_ELA[#Data],YES_Writing_FLA[#Data]),MATCH($A177,_xlfn.VSTACK(YES_Writing_ELA[Student Number],YES_Writing_FLA[Student Number]),0),MATCH(VLOOKUP(G$7,'Writing Logic'!$J$7:$K$11,2,FALSE)&amp;" - Per "&amp;VLOOKUP($C$4,'Writing Logic'!$G$8:$H$14,2,FALSE),YES_Writing_ELA[#Headers],0)))),"")</f>
        <v/>
      </c>
      <c r="H177" s="223" t="str">
        <f>IFERROR(IF(IF(INDEX(_xlfn.VSTACK(YES_Writing_ELA[#Data],YES_Writing_FLA[#Data]),MATCH($A177,_xlfn.VSTACK(YES_Writing_ELA[Student Number],YES_Writing_FLA[Student Number]),0),MATCH(VLOOKUP(H$7,'Writing Logic'!$J$7:$K$11,2,FALSE)&amp;" - Per "&amp;VLOOKUP($C$4,'Writing Logic'!$G$8:$H$14,2,FALSE),YES_Writing_ELA[#Headers],0))=0,"",INDEX(_xlfn.VSTACK(YES_Writing_ELA[#Data],YES_Writing_FLA[#Data]),MATCH($A177,_xlfn.VSTACK(YES_Writing_ELA[Student Number],YES_Writing_FLA[Student Number]),0),MATCH(VLOOKUP(H$7,'Writing Logic'!$J$7:$K$11,2,FALSE)&amp;" - Per "&amp;VLOOKUP($C$4,'Writing Logic'!$G$8:$H$14,2,FALSE),YES_Writing_ELA[#Headers],0)))="INS",'Writing Logic'!$B$7,IF(INDEX(_xlfn.VSTACK(YES_Writing_ELA[#Data],YES_Writing_FLA[#Data]),MATCH($A177,_xlfn.VSTACK(YES_Writing_ELA[Student Number],YES_Writing_FLA[Student Number]),0),MATCH(VLOOKUP(H$7,'Writing Logic'!$J$7:$K$11,2,FALSE)&amp;" - Per "&amp;VLOOKUP($C$4,'Writing Logic'!$G$8:$H$14,2,FALSE),YES_Writing_ELA[#Headers],0))=0,"",INDEX(_xlfn.VSTACK(YES_Writing_ELA[#Data],YES_Writing_FLA[#Data]),MATCH($A177,_xlfn.VSTACK(YES_Writing_ELA[Student Number],YES_Writing_FLA[Student Number]),0),MATCH(VLOOKUP(H$7,'Writing Logic'!$J$7:$K$11,2,FALSE)&amp;" - Per "&amp;VLOOKUP($C$4,'Writing Logic'!$G$8:$H$14,2,FALSE),YES_Writing_ELA[#Headers],0)))),"")</f>
        <v/>
      </c>
      <c r="I177" s="224" t="str" cm="1">
        <f t="array" aca="1" ref="I177" ca="1">IFERROR(
IF($G$3="ELA",
IF(VLOOKUP($A177, YES_Reading_ELA[], COLUMN(INDIRECT("YES_Reading_ELA[Difference - Per "&amp;VLOOKUP($G$4, 'Reading Report Logic'!$A$2:$B$8, 2, FALSE)&amp;"]")), FALSE)="", "",
VLOOKUP($A177,YES_Reading_ELA[], COLUMN(INDIRECT("YES_Reading_ELA[Difference - Per "&amp;VLOOKUP($G$4,'Reading Report Logic'!$A$2:$B$8,2,FALSE)&amp;"]")), FALSE)),
IF($G$3="FLA",
IF(VLOOKUP($A177, YES_Reading_FLA[], COLUMN(INDIRECT("YES_Reading_FLA[Difference - Per "&amp;VLOOKUP($G$4,'Reading Report Logic'!$A$2:$B$8,2,FALSE)&amp;"]")),FALSE)="","",
VLOOKUP($A177,YES_Reading_FLA[],COLUMN(INDIRECT("YES_Reading_FLA[Difference - Per "&amp;VLOOKUP($G$4,'Reading Report Logic'!$A$2:$B$8,2,FALSE)&amp;"]")),FALSE)),
IF($G$3="Combined",
IFERROR(
IF(VLOOKUP($A177, YES_Reading_ELA[], COLUMN(INDIRECT("YES_Reading_ELA[Difference - Per "&amp;VLOOKUP($G$4, 'Reading Report Logic'!$A$2:$B$8,2,FALSE)&amp;"]")), FALSE)="", "",
VLOOKUP($A177,YES_Reading_ELA[],COLUMN(INDIRECT("YES_Reading_ELA[Difference - Per "&amp;VLOOKUP($G$4,'Reading Report Logic'!$A$2:$B$8,2,FALSE)&amp;"]")),FALSE)),
IF(VLOOKUP($A177, YES_Reading_FLA[], COLUMN(INDIRECT("YES_Reading_FLA[Difference - Per "&amp;VLOOKUP($G$4, 'Reading Report Logic'!$A$2:$B$8, 2, FALSE)&amp;"]")),FALSE)="", "", VLOOKUP($A177,YES_Reading_FLA[],COLUMN(INDIRECT("YES_Reading_FLA[Difference - Per "&amp;VLOOKUP($G$4, 'Reading Report Logic'!$A$2:$B$8, 2, FALSE)&amp;"]")),FALSE))),""))),"")</f>
        <v/>
      </c>
    </row>
    <row r="178" spans="1:9" ht="14.25" customHeight="1" x14ac:dyDescent="0.25">
      <c r="A178" s="137"/>
      <c r="B178" s="137" t="str">
        <f>IFERROR(INDEX(_xlfn.VSTACK(YES_Writing_ELA[#Data], YES_Writing_FLA[#Data]),MATCH($A178,_xlfn.VSTACK(YES_Writing_ELA[Student Number], YES_Writing_FLA[Student Number]),0),MATCH(B$7,YES_Writing_ELA[#Headers],0)),IFERROR(INDEX(_xlfn.VSTACK(YES_Reading_ELA[#Data], YES_Reading_FLA[#Data]),MATCH($A178,_xlfn.VSTACK(YES_Reading_ELA[Student Number], YES_Reading_FLA[Student Number]),0),MATCH(B$7,YES_Reading_ELA[#Headers],0)),""))</f>
        <v/>
      </c>
      <c r="C178" s="137" t="str">
        <f>IFERROR(INDEX(_xlfn.VSTACK(YES_Writing_ELA[#Data], YES_Writing_FLA[#Data]),MATCH($A178,_xlfn.VSTACK(YES_Writing_ELA[Student Number], YES_Writing_FLA[Student Number]),0),MATCH(C$7,YES_Writing_ELA[#Headers],0)),IFERROR(INDEX(_xlfn.VSTACK(YES_Reading_ELA[#Data], YES_Reading_FLA[#Data]),MATCH($A178,_xlfn.VSTACK(YES_Reading_ELA[Student Number], YES_Reading_FLA[Student Number]),0),MATCH(C$7,YES_Reading_ELA[#Headers],0)),""))</f>
        <v/>
      </c>
      <c r="D178" s="138" t="str">
        <f>IFERROR(IF(IF(INDEX(_xlfn.VSTACK(YES_Writing_ELA[#Data],YES_Writing_FLA[#Data]),MATCH($A178,_xlfn.VSTACK(YES_Writing_ELA[Student Number],YES_Writing_FLA[Student Number]),0),MATCH(VLOOKUP(D$7,'Writing Logic'!$J$7:$K$11,2,FALSE)&amp;" - Per "&amp;VLOOKUP($C$4,'Writing Logic'!$G$8:$H$14,2,FALSE),YES_Writing_ELA[#Headers],0))=0,"",INDEX(_xlfn.VSTACK(YES_Writing_ELA[#Data],YES_Writing_FLA[#Data]),MATCH($A178,_xlfn.VSTACK(YES_Writing_ELA[Student Number],YES_Writing_FLA[Student Number]),0),MATCH(VLOOKUP(D$7,'Writing Logic'!$J$7:$K$11,2,FALSE)&amp;" - Per "&amp;VLOOKUP($C$4,'Writing Logic'!$G$8:$H$14,2,FALSE),YES_Writing_ELA[#Headers],0)))="INS",'Writing Logic'!$B$7,IF(INDEX(_xlfn.VSTACK(YES_Writing_ELA[#Data],YES_Writing_FLA[#Data]),MATCH($A178,_xlfn.VSTACK(YES_Writing_ELA[Student Number],YES_Writing_FLA[Student Number]),0),MATCH(VLOOKUP(D$7,'Writing Logic'!$J$7:$K$11,2,FALSE)&amp;" - Per "&amp;VLOOKUP($C$4,'Writing Logic'!$G$8:$H$14,2,FALSE),YES_Writing_ELA[#Headers],0))=0,"",INDEX(_xlfn.VSTACK(YES_Writing_ELA[#Data],YES_Writing_FLA[#Data]),MATCH($A178,_xlfn.VSTACK(YES_Writing_ELA[Student Number],YES_Writing_FLA[Student Number]),0),MATCH(VLOOKUP(D$7,'Writing Logic'!$J$7:$K$11,2,FALSE)&amp;" - Per "&amp;VLOOKUP($C$4,'Writing Logic'!$G$8:$H$14,2,FALSE),YES_Writing_ELA[#Headers],0)))),"")</f>
        <v/>
      </c>
      <c r="E178" s="138" t="str">
        <f>IFERROR(IF(IF(INDEX(_xlfn.VSTACK(YES_Writing_ELA[#Data],YES_Writing_FLA[#Data]),MATCH($A178,_xlfn.VSTACK(YES_Writing_ELA[Student Number],YES_Writing_FLA[Student Number]),0),MATCH(VLOOKUP(E$7,'Writing Logic'!$J$7:$K$11,2,FALSE)&amp;" - Per "&amp;VLOOKUP($C$4,'Writing Logic'!$G$8:$H$14,2,FALSE),YES_Writing_ELA[#Headers],0))=0,"",INDEX(_xlfn.VSTACK(YES_Writing_ELA[#Data],YES_Writing_FLA[#Data]),MATCH($A178,_xlfn.VSTACK(YES_Writing_ELA[Student Number],YES_Writing_FLA[Student Number]),0),MATCH(VLOOKUP(E$7,'Writing Logic'!$J$7:$K$11,2,FALSE)&amp;" - Per "&amp;VLOOKUP($C$4,'Writing Logic'!$G$8:$H$14,2,FALSE),YES_Writing_ELA[#Headers],0)))="INS",'Writing Logic'!$B$7,IF(INDEX(_xlfn.VSTACK(YES_Writing_ELA[#Data],YES_Writing_FLA[#Data]),MATCH($A178,_xlfn.VSTACK(YES_Writing_ELA[Student Number],YES_Writing_FLA[Student Number]),0),MATCH(VLOOKUP(E$7,'Writing Logic'!$J$7:$K$11,2,FALSE)&amp;" - Per "&amp;VLOOKUP($C$4,'Writing Logic'!$G$8:$H$14,2,FALSE),YES_Writing_ELA[#Headers],0))=0,"",INDEX(_xlfn.VSTACK(YES_Writing_ELA[#Data],YES_Writing_FLA[#Data]),MATCH($A178,_xlfn.VSTACK(YES_Writing_ELA[Student Number],YES_Writing_FLA[Student Number]),0),MATCH(VLOOKUP(E$7,'Writing Logic'!$J$7:$K$11,2,FALSE)&amp;" - Per "&amp;VLOOKUP($C$4,'Writing Logic'!$G$8:$H$14,2,FALSE),YES_Writing_ELA[#Headers],0)))),"")</f>
        <v/>
      </c>
      <c r="F178" s="138" t="str">
        <f>IFERROR(IF(IF(INDEX(_xlfn.VSTACK(YES_Writing_ELA[#Data],YES_Writing_FLA[#Data]),MATCH($A178,_xlfn.VSTACK(YES_Writing_ELA[Student Number],YES_Writing_FLA[Student Number]),0),MATCH(VLOOKUP(F$7,'Writing Logic'!$J$7:$K$11,2,FALSE)&amp;" - Per "&amp;VLOOKUP($C$4,'Writing Logic'!$G$8:$H$14,2,FALSE),YES_Writing_ELA[#Headers],0))=0,"",INDEX(_xlfn.VSTACK(YES_Writing_ELA[#Data],YES_Writing_FLA[#Data]),MATCH($A178,_xlfn.VSTACK(YES_Writing_ELA[Student Number],YES_Writing_FLA[Student Number]),0),MATCH(VLOOKUP(F$7,'Writing Logic'!$J$7:$K$11,2,FALSE)&amp;" - Per "&amp;VLOOKUP($C$4,'Writing Logic'!$G$8:$H$14,2,FALSE),YES_Writing_ELA[#Headers],0)))="INS",'Writing Logic'!$B$7,IF(INDEX(_xlfn.VSTACK(YES_Writing_ELA[#Data],YES_Writing_FLA[#Data]),MATCH($A178,_xlfn.VSTACK(YES_Writing_ELA[Student Number],YES_Writing_FLA[Student Number]),0),MATCH(VLOOKUP(F$7,'Writing Logic'!$J$7:$K$11,2,FALSE)&amp;" - Per "&amp;VLOOKUP($C$4,'Writing Logic'!$G$8:$H$14,2,FALSE),YES_Writing_ELA[#Headers],0))=0,"",INDEX(_xlfn.VSTACK(YES_Writing_ELA[#Data],YES_Writing_FLA[#Data]),MATCH($A178,_xlfn.VSTACK(YES_Writing_ELA[Student Number],YES_Writing_FLA[Student Number]),0),MATCH(VLOOKUP(F$7,'Writing Logic'!$J$7:$K$11,2,FALSE)&amp;" - Per "&amp;VLOOKUP($C$4,'Writing Logic'!$G$8:$H$14,2,FALSE),YES_Writing_ELA[#Headers],0)))),"")</f>
        <v/>
      </c>
      <c r="G178" s="138" t="str">
        <f>IFERROR(IF(IF(INDEX(_xlfn.VSTACK(YES_Writing_ELA[#Data],YES_Writing_FLA[#Data]),MATCH($A178,_xlfn.VSTACK(YES_Writing_ELA[Student Number],YES_Writing_FLA[Student Number]),0),MATCH(VLOOKUP(G$7,'Writing Logic'!$J$7:$K$11,2,FALSE)&amp;" - Per "&amp;VLOOKUP($C$4,'Writing Logic'!$G$8:$H$14,2,FALSE),YES_Writing_ELA[#Headers],0))=0,"",INDEX(_xlfn.VSTACK(YES_Writing_ELA[#Data],YES_Writing_FLA[#Data]),MATCH($A178,_xlfn.VSTACK(YES_Writing_ELA[Student Number],YES_Writing_FLA[Student Number]),0),MATCH(VLOOKUP(G$7,'Writing Logic'!$J$7:$K$11,2,FALSE)&amp;" - Per "&amp;VLOOKUP($C$4,'Writing Logic'!$G$8:$H$14,2,FALSE),YES_Writing_ELA[#Headers],0)))="INS",'Writing Logic'!$B$7,IF(INDEX(_xlfn.VSTACK(YES_Writing_ELA[#Data],YES_Writing_FLA[#Data]),MATCH($A178,_xlfn.VSTACK(YES_Writing_ELA[Student Number],YES_Writing_FLA[Student Number]),0),MATCH(VLOOKUP(G$7,'Writing Logic'!$J$7:$K$11,2,FALSE)&amp;" - Per "&amp;VLOOKUP($C$4,'Writing Logic'!$G$8:$H$14,2,FALSE),YES_Writing_ELA[#Headers],0))=0,"",INDEX(_xlfn.VSTACK(YES_Writing_ELA[#Data],YES_Writing_FLA[#Data]),MATCH($A178,_xlfn.VSTACK(YES_Writing_ELA[Student Number],YES_Writing_FLA[Student Number]),0),MATCH(VLOOKUP(G$7,'Writing Logic'!$J$7:$K$11,2,FALSE)&amp;" - Per "&amp;VLOOKUP($C$4,'Writing Logic'!$G$8:$H$14,2,FALSE),YES_Writing_ELA[#Headers],0)))),"")</f>
        <v/>
      </c>
      <c r="H178" s="223" t="str">
        <f>IFERROR(IF(IF(INDEX(_xlfn.VSTACK(YES_Writing_ELA[#Data],YES_Writing_FLA[#Data]),MATCH($A178,_xlfn.VSTACK(YES_Writing_ELA[Student Number],YES_Writing_FLA[Student Number]),0),MATCH(VLOOKUP(H$7,'Writing Logic'!$J$7:$K$11,2,FALSE)&amp;" - Per "&amp;VLOOKUP($C$4,'Writing Logic'!$G$8:$H$14,2,FALSE),YES_Writing_ELA[#Headers],0))=0,"",INDEX(_xlfn.VSTACK(YES_Writing_ELA[#Data],YES_Writing_FLA[#Data]),MATCH($A178,_xlfn.VSTACK(YES_Writing_ELA[Student Number],YES_Writing_FLA[Student Number]),0),MATCH(VLOOKUP(H$7,'Writing Logic'!$J$7:$K$11,2,FALSE)&amp;" - Per "&amp;VLOOKUP($C$4,'Writing Logic'!$G$8:$H$14,2,FALSE),YES_Writing_ELA[#Headers],0)))="INS",'Writing Logic'!$B$7,IF(INDEX(_xlfn.VSTACK(YES_Writing_ELA[#Data],YES_Writing_FLA[#Data]),MATCH($A178,_xlfn.VSTACK(YES_Writing_ELA[Student Number],YES_Writing_FLA[Student Number]),0),MATCH(VLOOKUP(H$7,'Writing Logic'!$J$7:$K$11,2,FALSE)&amp;" - Per "&amp;VLOOKUP($C$4,'Writing Logic'!$G$8:$H$14,2,FALSE),YES_Writing_ELA[#Headers],0))=0,"",INDEX(_xlfn.VSTACK(YES_Writing_ELA[#Data],YES_Writing_FLA[#Data]),MATCH($A178,_xlfn.VSTACK(YES_Writing_ELA[Student Number],YES_Writing_FLA[Student Number]),0),MATCH(VLOOKUP(H$7,'Writing Logic'!$J$7:$K$11,2,FALSE)&amp;" - Per "&amp;VLOOKUP($C$4,'Writing Logic'!$G$8:$H$14,2,FALSE),YES_Writing_ELA[#Headers],0)))),"")</f>
        <v/>
      </c>
      <c r="I178" s="224" t="str" cm="1">
        <f t="array" aca="1" ref="I178" ca="1">IFERROR(
IF($G$3="ELA",
IF(VLOOKUP($A178, YES_Reading_ELA[], COLUMN(INDIRECT("YES_Reading_ELA[Difference - Per "&amp;VLOOKUP($G$4, 'Reading Report Logic'!$A$2:$B$8, 2, FALSE)&amp;"]")), FALSE)="", "",
VLOOKUP($A178,YES_Reading_ELA[], COLUMN(INDIRECT("YES_Reading_ELA[Difference - Per "&amp;VLOOKUP($G$4,'Reading Report Logic'!$A$2:$B$8,2,FALSE)&amp;"]")), FALSE)),
IF($G$3="FLA",
IF(VLOOKUP($A178, YES_Reading_FLA[], COLUMN(INDIRECT("YES_Reading_FLA[Difference - Per "&amp;VLOOKUP($G$4,'Reading Report Logic'!$A$2:$B$8,2,FALSE)&amp;"]")),FALSE)="","",
VLOOKUP($A178,YES_Reading_FLA[],COLUMN(INDIRECT("YES_Reading_FLA[Difference - Per "&amp;VLOOKUP($G$4,'Reading Report Logic'!$A$2:$B$8,2,FALSE)&amp;"]")),FALSE)),
IF($G$3="Combined",
IFERROR(
IF(VLOOKUP($A178, YES_Reading_ELA[], COLUMN(INDIRECT("YES_Reading_ELA[Difference - Per "&amp;VLOOKUP($G$4, 'Reading Report Logic'!$A$2:$B$8,2,FALSE)&amp;"]")), FALSE)="", "",
VLOOKUP($A178,YES_Reading_ELA[],COLUMN(INDIRECT("YES_Reading_ELA[Difference - Per "&amp;VLOOKUP($G$4,'Reading Report Logic'!$A$2:$B$8,2,FALSE)&amp;"]")),FALSE)),
IF(VLOOKUP($A178, YES_Reading_FLA[], COLUMN(INDIRECT("YES_Reading_FLA[Difference - Per "&amp;VLOOKUP($G$4, 'Reading Report Logic'!$A$2:$B$8, 2, FALSE)&amp;"]")),FALSE)="", "", VLOOKUP($A178,YES_Reading_FLA[],COLUMN(INDIRECT("YES_Reading_FLA[Difference - Per "&amp;VLOOKUP($G$4, 'Reading Report Logic'!$A$2:$B$8, 2, FALSE)&amp;"]")),FALSE))),""))),"")</f>
        <v/>
      </c>
    </row>
    <row r="179" spans="1:9" ht="14.25" customHeight="1" x14ac:dyDescent="0.25">
      <c r="A179" s="137"/>
      <c r="B179" s="137" t="str">
        <f>IFERROR(INDEX(_xlfn.VSTACK(YES_Writing_ELA[#Data], YES_Writing_FLA[#Data]),MATCH($A179,_xlfn.VSTACK(YES_Writing_ELA[Student Number], YES_Writing_FLA[Student Number]),0),MATCH(B$7,YES_Writing_ELA[#Headers],0)),IFERROR(INDEX(_xlfn.VSTACK(YES_Reading_ELA[#Data], YES_Reading_FLA[#Data]),MATCH($A179,_xlfn.VSTACK(YES_Reading_ELA[Student Number], YES_Reading_FLA[Student Number]),0),MATCH(B$7,YES_Reading_ELA[#Headers],0)),""))</f>
        <v/>
      </c>
      <c r="C179" s="137" t="str">
        <f>IFERROR(INDEX(_xlfn.VSTACK(YES_Writing_ELA[#Data], YES_Writing_FLA[#Data]),MATCH($A179,_xlfn.VSTACK(YES_Writing_ELA[Student Number], YES_Writing_FLA[Student Number]),0),MATCH(C$7,YES_Writing_ELA[#Headers],0)),IFERROR(INDEX(_xlfn.VSTACK(YES_Reading_ELA[#Data], YES_Reading_FLA[#Data]),MATCH($A179,_xlfn.VSTACK(YES_Reading_ELA[Student Number], YES_Reading_FLA[Student Number]),0),MATCH(C$7,YES_Reading_ELA[#Headers],0)),""))</f>
        <v/>
      </c>
      <c r="D179" s="138" t="str">
        <f>IFERROR(IF(IF(INDEX(_xlfn.VSTACK(YES_Writing_ELA[#Data],YES_Writing_FLA[#Data]),MATCH($A179,_xlfn.VSTACK(YES_Writing_ELA[Student Number],YES_Writing_FLA[Student Number]),0),MATCH(VLOOKUP(D$7,'Writing Logic'!$J$7:$K$11,2,FALSE)&amp;" - Per "&amp;VLOOKUP($C$4,'Writing Logic'!$G$8:$H$14,2,FALSE),YES_Writing_ELA[#Headers],0))=0,"",INDEX(_xlfn.VSTACK(YES_Writing_ELA[#Data],YES_Writing_FLA[#Data]),MATCH($A179,_xlfn.VSTACK(YES_Writing_ELA[Student Number],YES_Writing_FLA[Student Number]),0),MATCH(VLOOKUP(D$7,'Writing Logic'!$J$7:$K$11,2,FALSE)&amp;" - Per "&amp;VLOOKUP($C$4,'Writing Logic'!$G$8:$H$14,2,FALSE),YES_Writing_ELA[#Headers],0)))="INS",'Writing Logic'!$B$7,IF(INDEX(_xlfn.VSTACK(YES_Writing_ELA[#Data],YES_Writing_FLA[#Data]),MATCH($A179,_xlfn.VSTACK(YES_Writing_ELA[Student Number],YES_Writing_FLA[Student Number]),0),MATCH(VLOOKUP(D$7,'Writing Logic'!$J$7:$K$11,2,FALSE)&amp;" - Per "&amp;VLOOKUP($C$4,'Writing Logic'!$G$8:$H$14,2,FALSE),YES_Writing_ELA[#Headers],0))=0,"",INDEX(_xlfn.VSTACK(YES_Writing_ELA[#Data],YES_Writing_FLA[#Data]),MATCH($A179,_xlfn.VSTACK(YES_Writing_ELA[Student Number],YES_Writing_FLA[Student Number]),0),MATCH(VLOOKUP(D$7,'Writing Logic'!$J$7:$K$11,2,FALSE)&amp;" - Per "&amp;VLOOKUP($C$4,'Writing Logic'!$G$8:$H$14,2,FALSE),YES_Writing_ELA[#Headers],0)))),"")</f>
        <v/>
      </c>
      <c r="E179" s="138" t="str">
        <f>IFERROR(IF(IF(INDEX(_xlfn.VSTACK(YES_Writing_ELA[#Data],YES_Writing_FLA[#Data]),MATCH($A179,_xlfn.VSTACK(YES_Writing_ELA[Student Number],YES_Writing_FLA[Student Number]),0),MATCH(VLOOKUP(E$7,'Writing Logic'!$J$7:$K$11,2,FALSE)&amp;" - Per "&amp;VLOOKUP($C$4,'Writing Logic'!$G$8:$H$14,2,FALSE),YES_Writing_ELA[#Headers],0))=0,"",INDEX(_xlfn.VSTACK(YES_Writing_ELA[#Data],YES_Writing_FLA[#Data]),MATCH($A179,_xlfn.VSTACK(YES_Writing_ELA[Student Number],YES_Writing_FLA[Student Number]),0),MATCH(VLOOKUP(E$7,'Writing Logic'!$J$7:$K$11,2,FALSE)&amp;" - Per "&amp;VLOOKUP($C$4,'Writing Logic'!$G$8:$H$14,2,FALSE),YES_Writing_ELA[#Headers],0)))="INS",'Writing Logic'!$B$7,IF(INDEX(_xlfn.VSTACK(YES_Writing_ELA[#Data],YES_Writing_FLA[#Data]),MATCH($A179,_xlfn.VSTACK(YES_Writing_ELA[Student Number],YES_Writing_FLA[Student Number]),0),MATCH(VLOOKUP(E$7,'Writing Logic'!$J$7:$K$11,2,FALSE)&amp;" - Per "&amp;VLOOKUP($C$4,'Writing Logic'!$G$8:$H$14,2,FALSE),YES_Writing_ELA[#Headers],0))=0,"",INDEX(_xlfn.VSTACK(YES_Writing_ELA[#Data],YES_Writing_FLA[#Data]),MATCH($A179,_xlfn.VSTACK(YES_Writing_ELA[Student Number],YES_Writing_FLA[Student Number]),0),MATCH(VLOOKUP(E$7,'Writing Logic'!$J$7:$K$11,2,FALSE)&amp;" - Per "&amp;VLOOKUP($C$4,'Writing Logic'!$G$8:$H$14,2,FALSE),YES_Writing_ELA[#Headers],0)))),"")</f>
        <v/>
      </c>
      <c r="F179" s="138" t="str">
        <f>IFERROR(IF(IF(INDEX(_xlfn.VSTACK(YES_Writing_ELA[#Data],YES_Writing_FLA[#Data]),MATCH($A179,_xlfn.VSTACK(YES_Writing_ELA[Student Number],YES_Writing_FLA[Student Number]),0),MATCH(VLOOKUP(F$7,'Writing Logic'!$J$7:$K$11,2,FALSE)&amp;" - Per "&amp;VLOOKUP($C$4,'Writing Logic'!$G$8:$H$14,2,FALSE),YES_Writing_ELA[#Headers],0))=0,"",INDEX(_xlfn.VSTACK(YES_Writing_ELA[#Data],YES_Writing_FLA[#Data]),MATCH($A179,_xlfn.VSTACK(YES_Writing_ELA[Student Number],YES_Writing_FLA[Student Number]),0),MATCH(VLOOKUP(F$7,'Writing Logic'!$J$7:$K$11,2,FALSE)&amp;" - Per "&amp;VLOOKUP($C$4,'Writing Logic'!$G$8:$H$14,2,FALSE),YES_Writing_ELA[#Headers],0)))="INS",'Writing Logic'!$B$7,IF(INDEX(_xlfn.VSTACK(YES_Writing_ELA[#Data],YES_Writing_FLA[#Data]),MATCH($A179,_xlfn.VSTACK(YES_Writing_ELA[Student Number],YES_Writing_FLA[Student Number]),0),MATCH(VLOOKUP(F$7,'Writing Logic'!$J$7:$K$11,2,FALSE)&amp;" - Per "&amp;VLOOKUP($C$4,'Writing Logic'!$G$8:$H$14,2,FALSE),YES_Writing_ELA[#Headers],0))=0,"",INDEX(_xlfn.VSTACK(YES_Writing_ELA[#Data],YES_Writing_FLA[#Data]),MATCH($A179,_xlfn.VSTACK(YES_Writing_ELA[Student Number],YES_Writing_FLA[Student Number]),0),MATCH(VLOOKUP(F$7,'Writing Logic'!$J$7:$K$11,2,FALSE)&amp;" - Per "&amp;VLOOKUP($C$4,'Writing Logic'!$G$8:$H$14,2,FALSE),YES_Writing_ELA[#Headers],0)))),"")</f>
        <v/>
      </c>
      <c r="G179" s="138" t="str">
        <f>IFERROR(IF(IF(INDEX(_xlfn.VSTACK(YES_Writing_ELA[#Data],YES_Writing_FLA[#Data]),MATCH($A179,_xlfn.VSTACK(YES_Writing_ELA[Student Number],YES_Writing_FLA[Student Number]),0),MATCH(VLOOKUP(G$7,'Writing Logic'!$J$7:$K$11,2,FALSE)&amp;" - Per "&amp;VLOOKUP($C$4,'Writing Logic'!$G$8:$H$14,2,FALSE),YES_Writing_ELA[#Headers],0))=0,"",INDEX(_xlfn.VSTACK(YES_Writing_ELA[#Data],YES_Writing_FLA[#Data]),MATCH($A179,_xlfn.VSTACK(YES_Writing_ELA[Student Number],YES_Writing_FLA[Student Number]),0),MATCH(VLOOKUP(G$7,'Writing Logic'!$J$7:$K$11,2,FALSE)&amp;" - Per "&amp;VLOOKUP($C$4,'Writing Logic'!$G$8:$H$14,2,FALSE),YES_Writing_ELA[#Headers],0)))="INS",'Writing Logic'!$B$7,IF(INDEX(_xlfn.VSTACK(YES_Writing_ELA[#Data],YES_Writing_FLA[#Data]),MATCH($A179,_xlfn.VSTACK(YES_Writing_ELA[Student Number],YES_Writing_FLA[Student Number]),0),MATCH(VLOOKUP(G$7,'Writing Logic'!$J$7:$K$11,2,FALSE)&amp;" - Per "&amp;VLOOKUP($C$4,'Writing Logic'!$G$8:$H$14,2,FALSE),YES_Writing_ELA[#Headers],0))=0,"",INDEX(_xlfn.VSTACK(YES_Writing_ELA[#Data],YES_Writing_FLA[#Data]),MATCH($A179,_xlfn.VSTACK(YES_Writing_ELA[Student Number],YES_Writing_FLA[Student Number]),0),MATCH(VLOOKUP(G$7,'Writing Logic'!$J$7:$K$11,2,FALSE)&amp;" - Per "&amp;VLOOKUP($C$4,'Writing Logic'!$G$8:$H$14,2,FALSE),YES_Writing_ELA[#Headers],0)))),"")</f>
        <v/>
      </c>
      <c r="H179" s="223" t="str">
        <f>IFERROR(IF(IF(INDEX(_xlfn.VSTACK(YES_Writing_ELA[#Data],YES_Writing_FLA[#Data]),MATCH($A179,_xlfn.VSTACK(YES_Writing_ELA[Student Number],YES_Writing_FLA[Student Number]),0),MATCH(VLOOKUP(H$7,'Writing Logic'!$J$7:$K$11,2,FALSE)&amp;" - Per "&amp;VLOOKUP($C$4,'Writing Logic'!$G$8:$H$14,2,FALSE),YES_Writing_ELA[#Headers],0))=0,"",INDEX(_xlfn.VSTACK(YES_Writing_ELA[#Data],YES_Writing_FLA[#Data]),MATCH($A179,_xlfn.VSTACK(YES_Writing_ELA[Student Number],YES_Writing_FLA[Student Number]),0),MATCH(VLOOKUP(H$7,'Writing Logic'!$J$7:$K$11,2,FALSE)&amp;" - Per "&amp;VLOOKUP($C$4,'Writing Logic'!$G$8:$H$14,2,FALSE),YES_Writing_ELA[#Headers],0)))="INS",'Writing Logic'!$B$7,IF(INDEX(_xlfn.VSTACK(YES_Writing_ELA[#Data],YES_Writing_FLA[#Data]),MATCH($A179,_xlfn.VSTACK(YES_Writing_ELA[Student Number],YES_Writing_FLA[Student Number]),0),MATCH(VLOOKUP(H$7,'Writing Logic'!$J$7:$K$11,2,FALSE)&amp;" - Per "&amp;VLOOKUP($C$4,'Writing Logic'!$G$8:$H$14,2,FALSE),YES_Writing_ELA[#Headers],0))=0,"",INDEX(_xlfn.VSTACK(YES_Writing_ELA[#Data],YES_Writing_FLA[#Data]),MATCH($A179,_xlfn.VSTACK(YES_Writing_ELA[Student Number],YES_Writing_FLA[Student Number]),0),MATCH(VLOOKUP(H$7,'Writing Logic'!$J$7:$K$11,2,FALSE)&amp;" - Per "&amp;VLOOKUP($C$4,'Writing Logic'!$G$8:$H$14,2,FALSE),YES_Writing_ELA[#Headers],0)))),"")</f>
        <v/>
      </c>
      <c r="I179" s="224" t="str" cm="1">
        <f t="array" aca="1" ref="I179" ca="1">IFERROR(
IF($G$3="ELA",
IF(VLOOKUP($A179, YES_Reading_ELA[], COLUMN(INDIRECT("YES_Reading_ELA[Difference - Per "&amp;VLOOKUP($G$4, 'Reading Report Logic'!$A$2:$B$8, 2, FALSE)&amp;"]")), FALSE)="", "",
VLOOKUP($A179,YES_Reading_ELA[], COLUMN(INDIRECT("YES_Reading_ELA[Difference - Per "&amp;VLOOKUP($G$4,'Reading Report Logic'!$A$2:$B$8,2,FALSE)&amp;"]")), FALSE)),
IF($G$3="FLA",
IF(VLOOKUP($A179, YES_Reading_FLA[], COLUMN(INDIRECT("YES_Reading_FLA[Difference - Per "&amp;VLOOKUP($G$4,'Reading Report Logic'!$A$2:$B$8,2,FALSE)&amp;"]")),FALSE)="","",
VLOOKUP($A179,YES_Reading_FLA[],COLUMN(INDIRECT("YES_Reading_FLA[Difference - Per "&amp;VLOOKUP($G$4,'Reading Report Logic'!$A$2:$B$8,2,FALSE)&amp;"]")),FALSE)),
IF($G$3="Combined",
IFERROR(
IF(VLOOKUP($A179, YES_Reading_ELA[], COLUMN(INDIRECT("YES_Reading_ELA[Difference - Per "&amp;VLOOKUP($G$4, 'Reading Report Logic'!$A$2:$B$8,2,FALSE)&amp;"]")), FALSE)="", "",
VLOOKUP($A179,YES_Reading_ELA[],COLUMN(INDIRECT("YES_Reading_ELA[Difference - Per "&amp;VLOOKUP($G$4,'Reading Report Logic'!$A$2:$B$8,2,FALSE)&amp;"]")),FALSE)),
IF(VLOOKUP($A179, YES_Reading_FLA[], COLUMN(INDIRECT("YES_Reading_FLA[Difference - Per "&amp;VLOOKUP($G$4, 'Reading Report Logic'!$A$2:$B$8, 2, FALSE)&amp;"]")),FALSE)="", "", VLOOKUP($A179,YES_Reading_FLA[],COLUMN(INDIRECT("YES_Reading_FLA[Difference - Per "&amp;VLOOKUP($G$4, 'Reading Report Logic'!$A$2:$B$8, 2, FALSE)&amp;"]")),FALSE))),""))),"")</f>
        <v/>
      </c>
    </row>
    <row r="180" spans="1:9" ht="14.25" customHeight="1" x14ac:dyDescent="0.25">
      <c r="A180" s="137"/>
      <c r="B180" s="137" t="str">
        <f>IFERROR(INDEX(_xlfn.VSTACK(YES_Writing_ELA[#Data], YES_Writing_FLA[#Data]),MATCH($A180,_xlfn.VSTACK(YES_Writing_ELA[Student Number], YES_Writing_FLA[Student Number]),0),MATCH(B$7,YES_Writing_ELA[#Headers],0)),IFERROR(INDEX(_xlfn.VSTACK(YES_Reading_ELA[#Data], YES_Reading_FLA[#Data]),MATCH($A180,_xlfn.VSTACK(YES_Reading_ELA[Student Number], YES_Reading_FLA[Student Number]),0),MATCH(B$7,YES_Reading_ELA[#Headers],0)),""))</f>
        <v/>
      </c>
      <c r="C180" s="137" t="str">
        <f>IFERROR(INDEX(_xlfn.VSTACK(YES_Writing_ELA[#Data], YES_Writing_FLA[#Data]),MATCH($A180,_xlfn.VSTACK(YES_Writing_ELA[Student Number], YES_Writing_FLA[Student Number]),0),MATCH(C$7,YES_Writing_ELA[#Headers],0)),IFERROR(INDEX(_xlfn.VSTACK(YES_Reading_ELA[#Data], YES_Reading_FLA[#Data]),MATCH($A180,_xlfn.VSTACK(YES_Reading_ELA[Student Number], YES_Reading_FLA[Student Number]),0),MATCH(C$7,YES_Reading_ELA[#Headers],0)),""))</f>
        <v/>
      </c>
      <c r="D180" s="138" t="str">
        <f>IFERROR(IF(IF(INDEX(_xlfn.VSTACK(YES_Writing_ELA[#Data],YES_Writing_FLA[#Data]),MATCH($A180,_xlfn.VSTACK(YES_Writing_ELA[Student Number],YES_Writing_FLA[Student Number]),0),MATCH(VLOOKUP(D$7,'Writing Logic'!$J$7:$K$11,2,FALSE)&amp;" - Per "&amp;VLOOKUP($C$4,'Writing Logic'!$G$8:$H$14,2,FALSE),YES_Writing_ELA[#Headers],0))=0,"",INDEX(_xlfn.VSTACK(YES_Writing_ELA[#Data],YES_Writing_FLA[#Data]),MATCH($A180,_xlfn.VSTACK(YES_Writing_ELA[Student Number],YES_Writing_FLA[Student Number]),0),MATCH(VLOOKUP(D$7,'Writing Logic'!$J$7:$K$11,2,FALSE)&amp;" - Per "&amp;VLOOKUP($C$4,'Writing Logic'!$G$8:$H$14,2,FALSE),YES_Writing_ELA[#Headers],0)))="INS",'Writing Logic'!$B$7,IF(INDEX(_xlfn.VSTACK(YES_Writing_ELA[#Data],YES_Writing_FLA[#Data]),MATCH($A180,_xlfn.VSTACK(YES_Writing_ELA[Student Number],YES_Writing_FLA[Student Number]),0),MATCH(VLOOKUP(D$7,'Writing Logic'!$J$7:$K$11,2,FALSE)&amp;" - Per "&amp;VLOOKUP($C$4,'Writing Logic'!$G$8:$H$14,2,FALSE),YES_Writing_ELA[#Headers],0))=0,"",INDEX(_xlfn.VSTACK(YES_Writing_ELA[#Data],YES_Writing_FLA[#Data]),MATCH($A180,_xlfn.VSTACK(YES_Writing_ELA[Student Number],YES_Writing_FLA[Student Number]),0),MATCH(VLOOKUP(D$7,'Writing Logic'!$J$7:$K$11,2,FALSE)&amp;" - Per "&amp;VLOOKUP($C$4,'Writing Logic'!$G$8:$H$14,2,FALSE),YES_Writing_ELA[#Headers],0)))),"")</f>
        <v/>
      </c>
      <c r="E180" s="138" t="str">
        <f>IFERROR(IF(IF(INDEX(_xlfn.VSTACK(YES_Writing_ELA[#Data],YES_Writing_FLA[#Data]),MATCH($A180,_xlfn.VSTACK(YES_Writing_ELA[Student Number],YES_Writing_FLA[Student Number]),0),MATCH(VLOOKUP(E$7,'Writing Logic'!$J$7:$K$11,2,FALSE)&amp;" - Per "&amp;VLOOKUP($C$4,'Writing Logic'!$G$8:$H$14,2,FALSE),YES_Writing_ELA[#Headers],0))=0,"",INDEX(_xlfn.VSTACK(YES_Writing_ELA[#Data],YES_Writing_FLA[#Data]),MATCH($A180,_xlfn.VSTACK(YES_Writing_ELA[Student Number],YES_Writing_FLA[Student Number]),0),MATCH(VLOOKUP(E$7,'Writing Logic'!$J$7:$K$11,2,FALSE)&amp;" - Per "&amp;VLOOKUP($C$4,'Writing Logic'!$G$8:$H$14,2,FALSE),YES_Writing_ELA[#Headers],0)))="INS",'Writing Logic'!$B$7,IF(INDEX(_xlfn.VSTACK(YES_Writing_ELA[#Data],YES_Writing_FLA[#Data]),MATCH($A180,_xlfn.VSTACK(YES_Writing_ELA[Student Number],YES_Writing_FLA[Student Number]),0),MATCH(VLOOKUP(E$7,'Writing Logic'!$J$7:$K$11,2,FALSE)&amp;" - Per "&amp;VLOOKUP($C$4,'Writing Logic'!$G$8:$H$14,2,FALSE),YES_Writing_ELA[#Headers],0))=0,"",INDEX(_xlfn.VSTACK(YES_Writing_ELA[#Data],YES_Writing_FLA[#Data]),MATCH($A180,_xlfn.VSTACK(YES_Writing_ELA[Student Number],YES_Writing_FLA[Student Number]),0),MATCH(VLOOKUP(E$7,'Writing Logic'!$J$7:$K$11,2,FALSE)&amp;" - Per "&amp;VLOOKUP($C$4,'Writing Logic'!$G$8:$H$14,2,FALSE),YES_Writing_ELA[#Headers],0)))),"")</f>
        <v/>
      </c>
      <c r="F180" s="138" t="str">
        <f>IFERROR(IF(IF(INDEX(_xlfn.VSTACK(YES_Writing_ELA[#Data],YES_Writing_FLA[#Data]),MATCH($A180,_xlfn.VSTACK(YES_Writing_ELA[Student Number],YES_Writing_FLA[Student Number]),0),MATCH(VLOOKUP(F$7,'Writing Logic'!$J$7:$K$11,2,FALSE)&amp;" - Per "&amp;VLOOKUP($C$4,'Writing Logic'!$G$8:$H$14,2,FALSE),YES_Writing_ELA[#Headers],0))=0,"",INDEX(_xlfn.VSTACK(YES_Writing_ELA[#Data],YES_Writing_FLA[#Data]),MATCH($A180,_xlfn.VSTACK(YES_Writing_ELA[Student Number],YES_Writing_FLA[Student Number]),0),MATCH(VLOOKUP(F$7,'Writing Logic'!$J$7:$K$11,2,FALSE)&amp;" - Per "&amp;VLOOKUP($C$4,'Writing Logic'!$G$8:$H$14,2,FALSE),YES_Writing_ELA[#Headers],0)))="INS",'Writing Logic'!$B$7,IF(INDEX(_xlfn.VSTACK(YES_Writing_ELA[#Data],YES_Writing_FLA[#Data]),MATCH($A180,_xlfn.VSTACK(YES_Writing_ELA[Student Number],YES_Writing_FLA[Student Number]),0),MATCH(VLOOKUP(F$7,'Writing Logic'!$J$7:$K$11,2,FALSE)&amp;" - Per "&amp;VLOOKUP($C$4,'Writing Logic'!$G$8:$H$14,2,FALSE),YES_Writing_ELA[#Headers],0))=0,"",INDEX(_xlfn.VSTACK(YES_Writing_ELA[#Data],YES_Writing_FLA[#Data]),MATCH($A180,_xlfn.VSTACK(YES_Writing_ELA[Student Number],YES_Writing_FLA[Student Number]),0),MATCH(VLOOKUP(F$7,'Writing Logic'!$J$7:$K$11,2,FALSE)&amp;" - Per "&amp;VLOOKUP($C$4,'Writing Logic'!$G$8:$H$14,2,FALSE),YES_Writing_ELA[#Headers],0)))),"")</f>
        <v/>
      </c>
      <c r="G180" s="138" t="str">
        <f>IFERROR(IF(IF(INDEX(_xlfn.VSTACK(YES_Writing_ELA[#Data],YES_Writing_FLA[#Data]),MATCH($A180,_xlfn.VSTACK(YES_Writing_ELA[Student Number],YES_Writing_FLA[Student Number]),0),MATCH(VLOOKUP(G$7,'Writing Logic'!$J$7:$K$11,2,FALSE)&amp;" - Per "&amp;VLOOKUP($C$4,'Writing Logic'!$G$8:$H$14,2,FALSE),YES_Writing_ELA[#Headers],0))=0,"",INDEX(_xlfn.VSTACK(YES_Writing_ELA[#Data],YES_Writing_FLA[#Data]),MATCH($A180,_xlfn.VSTACK(YES_Writing_ELA[Student Number],YES_Writing_FLA[Student Number]),0),MATCH(VLOOKUP(G$7,'Writing Logic'!$J$7:$K$11,2,FALSE)&amp;" - Per "&amp;VLOOKUP($C$4,'Writing Logic'!$G$8:$H$14,2,FALSE),YES_Writing_ELA[#Headers],0)))="INS",'Writing Logic'!$B$7,IF(INDEX(_xlfn.VSTACK(YES_Writing_ELA[#Data],YES_Writing_FLA[#Data]),MATCH($A180,_xlfn.VSTACK(YES_Writing_ELA[Student Number],YES_Writing_FLA[Student Number]),0),MATCH(VLOOKUP(G$7,'Writing Logic'!$J$7:$K$11,2,FALSE)&amp;" - Per "&amp;VLOOKUP($C$4,'Writing Logic'!$G$8:$H$14,2,FALSE),YES_Writing_ELA[#Headers],0))=0,"",INDEX(_xlfn.VSTACK(YES_Writing_ELA[#Data],YES_Writing_FLA[#Data]),MATCH($A180,_xlfn.VSTACK(YES_Writing_ELA[Student Number],YES_Writing_FLA[Student Number]),0),MATCH(VLOOKUP(G$7,'Writing Logic'!$J$7:$K$11,2,FALSE)&amp;" - Per "&amp;VLOOKUP($C$4,'Writing Logic'!$G$8:$H$14,2,FALSE),YES_Writing_ELA[#Headers],0)))),"")</f>
        <v/>
      </c>
      <c r="H180" s="223" t="str">
        <f>IFERROR(IF(IF(INDEX(_xlfn.VSTACK(YES_Writing_ELA[#Data],YES_Writing_FLA[#Data]),MATCH($A180,_xlfn.VSTACK(YES_Writing_ELA[Student Number],YES_Writing_FLA[Student Number]),0),MATCH(VLOOKUP(H$7,'Writing Logic'!$J$7:$K$11,2,FALSE)&amp;" - Per "&amp;VLOOKUP($C$4,'Writing Logic'!$G$8:$H$14,2,FALSE),YES_Writing_ELA[#Headers],0))=0,"",INDEX(_xlfn.VSTACK(YES_Writing_ELA[#Data],YES_Writing_FLA[#Data]),MATCH($A180,_xlfn.VSTACK(YES_Writing_ELA[Student Number],YES_Writing_FLA[Student Number]),0),MATCH(VLOOKUP(H$7,'Writing Logic'!$J$7:$K$11,2,FALSE)&amp;" - Per "&amp;VLOOKUP($C$4,'Writing Logic'!$G$8:$H$14,2,FALSE),YES_Writing_ELA[#Headers],0)))="INS",'Writing Logic'!$B$7,IF(INDEX(_xlfn.VSTACK(YES_Writing_ELA[#Data],YES_Writing_FLA[#Data]),MATCH($A180,_xlfn.VSTACK(YES_Writing_ELA[Student Number],YES_Writing_FLA[Student Number]),0),MATCH(VLOOKUP(H$7,'Writing Logic'!$J$7:$K$11,2,FALSE)&amp;" - Per "&amp;VLOOKUP($C$4,'Writing Logic'!$G$8:$H$14,2,FALSE),YES_Writing_ELA[#Headers],0))=0,"",INDEX(_xlfn.VSTACK(YES_Writing_ELA[#Data],YES_Writing_FLA[#Data]),MATCH($A180,_xlfn.VSTACK(YES_Writing_ELA[Student Number],YES_Writing_FLA[Student Number]),0),MATCH(VLOOKUP(H$7,'Writing Logic'!$J$7:$K$11,2,FALSE)&amp;" - Per "&amp;VLOOKUP($C$4,'Writing Logic'!$G$8:$H$14,2,FALSE),YES_Writing_ELA[#Headers],0)))),"")</f>
        <v/>
      </c>
      <c r="I180" s="224" t="str" cm="1">
        <f t="array" aca="1" ref="I180" ca="1">IFERROR(
IF($G$3="ELA",
IF(VLOOKUP($A180, YES_Reading_ELA[], COLUMN(INDIRECT("YES_Reading_ELA[Difference - Per "&amp;VLOOKUP($G$4, 'Reading Report Logic'!$A$2:$B$8, 2, FALSE)&amp;"]")), FALSE)="", "",
VLOOKUP($A180,YES_Reading_ELA[], COLUMN(INDIRECT("YES_Reading_ELA[Difference - Per "&amp;VLOOKUP($G$4,'Reading Report Logic'!$A$2:$B$8,2,FALSE)&amp;"]")), FALSE)),
IF($G$3="FLA",
IF(VLOOKUP($A180, YES_Reading_FLA[], COLUMN(INDIRECT("YES_Reading_FLA[Difference - Per "&amp;VLOOKUP($G$4,'Reading Report Logic'!$A$2:$B$8,2,FALSE)&amp;"]")),FALSE)="","",
VLOOKUP($A180,YES_Reading_FLA[],COLUMN(INDIRECT("YES_Reading_FLA[Difference - Per "&amp;VLOOKUP($G$4,'Reading Report Logic'!$A$2:$B$8,2,FALSE)&amp;"]")),FALSE)),
IF($G$3="Combined",
IFERROR(
IF(VLOOKUP($A180, YES_Reading_ELA[], COLUMN(INDIRECT("YES_Reading_ELA[Difference - Per "&amp;VLOOKUP($G$4, 'Reading Report Logic'!$A$2:$B$8,2,FALSE)&amp;"]")), FALSE)="", "",
VLOOKUP($A180,YES_Reading_ELA[],COLUMN(INDIRECT("YES_Reading_ELA[Difference - Per "&amp;VLOOKUP($G$4,'Reading Report Logic'!$A$2:$B$8,2,FALSE)&amp;"]")),FALSE)),
IF(VLOOKUP($A180, YES_Reading_FLA[], COLUMN(INDIRECT("YES_Reading_FLA[Difference - Per "&amp;VLOOKUP($G$4, 'Reading Report Logic'!$A$2:$B$8, 2, FALSE)&amp;"]")),FALSE)="", "", VLOOKUP($A180,YES_Reading_FLA[],COLUMN(INDIRECT("YES_Reading_FLA[Difference - Per "&amp;VLOOKUP($G$4, 'Reading Report Logic'!$A$2:$B$8, 2, FALSE)&amp;"]")),FALSE))),""))),"")</f>
        <v/>
      </c>
    </row>
    <row r="181" spans="1:9" ht="14.25" customHeight="1" x14ac:dyDescent="0.25">
      <c r="A181" s="137"/>
      <c r="B181" s="137" t="str">
        <f>IFERROR(INDEX(_xlfn.VSTACK(YES_Writing_ELA[#Data], YES_Writing_FLA[#Data]),MATCH($A181,_xlfn.VSTACK(YES_Writing_ELA[Student Number], YES_Writing_FLA[Student Number]),0),MATCH(B$7,YES_Writing_ELA[#Headers],0)),IFERROR(INDEX(_xlfn.VSTACK(YES_Reading_ELA[#Data], YES_Reading_FLA[#Data]),MATCH($A181,_xlfn.VSTACK(YES_Reading_ELA[Student Number], YES_Reading_FLA[Student Number]),0),MATCH(B$7,YES_Reading_ELA[#Headers],0)),""))</f>
        <v/>
      </c>
      <c r="C181" s="137" t="str">
        <f>IFERROR(INDEX(_xlfn.VSTACK(YES_Writing_ELA[#Data], YES_Writing_FLA[#Data]),MATCH($A181,_xlfn.VSTACK(YES_Writing_ELA[Student Number], YES_Writing_FLA[Student Number]),0),MATCH(C$7,YES_Writing_ELA[#Headers],0)),IFERROR(INDEX(_xlfn.VSTACK(YES_Reading_ELA[#Data], YES_Reading_FLA[#Data]),MATCH($A181,_xlfn.VSTACK(YES_Reading_ELA[Student Number], YES_Reading_FLA[Student Number]),0),MATCH(C$7,YES_Reading_ELA[#Headers],0)),""))</f>
        <v/>
      </c>
      <c r="D181" s="138" t="str">
        <f>IFERROR(IF(IF(INDEX(_xlfn.VSTACK(YES_Writing_ELA[#Data],YES_Writing_FLA[#Data]),MATCH($A181,_xlfn.VSTACK(YES_Writing_ELA[Student Number],YES_Writing_FLA[Student Number]),0),MATCH(VLOOKUP(D$7,'Writing Logic'!$J$7:$K$11,2,FALSE)&amp;" - Per "&amp;VLOOKUP($C$4,'Writing Logic'!$G$8:$H$14,2,FALSE),YES_Writing_ELA[#Headers],0))=0,"",INDEX(_xlfn.VSTACK(YES_Writing_ELA[#Data],YES_Writing_FLA[#Data]),MATCH($A181,_xlfn.VSTACK(YES_Writing_ELA[Student Number],YES_Writing_FLA[Student Number]),0),MATCH(VLOOKUP(D$7,'Writing Logic'!$J$7:$K$11,2,FALSE)&amp;" - Per "&amp;VLOOKUP($C$4,'Writing Logic'!$G$8:$H$14,2,FALSE),YES_Writing_ELA[#Headers],0)))="INS",'Writing Logic'!$B$7,IF(INDEX(_xlfn.VSTACK(YES_Writing_ELA[#Data],YES_Writing_FLA[#Data]),MATCH($A181,_xlfn.VSTACK(YES_Writing_ELA[Student Number],YES_Writing_FLA[Student Number]),0),MATCH(VLOOKUP(D$7,'Writing Logic'!$J$7:$K$11,2,FALSE)&amp;" - Per "&amp;VLOOKUP($C$4,'Writing Logic'!$G$8:$H$14,2,FALSE),YES_Writing_ELA[#Headers],0))=0,"",INDEX(_xlfn.VSTACK(YES_Writing_ELA[#Data],YES_Writing_FLA[#Data]),MATCH($A181,_xlfn.VSTACK(YES_Writing_ELA[Student Number],YES_Writing_FLA[Student Number]),0),MATCH(VLOOKUP(D$7,'Writing Logic'!$J$7:$K$11,2,FALSE)&amp;" - Per "&amp;VLOOKUP($C$4,'Writing Logic'!$G$8:$H$14,2,FALSE),YES_Writing_ELA[#Headers],0)))),"")</f>
        <v/>
      </c>
      <c r="E181" s="138" t="str">
        <f>IFERROR(IF(IF(INDEX(_xlfn.VSTACK(YES_Writing_ELA[#Data],YES_Writing_FLA[#Data]),MATCH($A181,_xlfn.VSTACK(YES_Writing_ELA[Student Number],YES_Writing_FLA[Student Number]),0),MATCH(VLOOKUP(E$7,'Writing Logic'!$J$7:$K$11,2,FALSE)&amp;" - Per "&amp;VLOOKUP($C$4,'Writing Logic'!$G$8:$H$14,2,FALSE),YES_Writing_ELA[#Headers],0))=0,"",INDEX(_xlfn.VSTACK(YES_Writing_ELA[#Data],YES_Writing_FLA[#Data]),MATCH($A181,_xlfn.VSTACK(YES_Writing_ELA[Student Number],YES_Writing_FLA[Student Number]),0),MATCH(VLOOKUP(E$7,'Writing Logic'!$J$7:$K$11,2,FALSE)&amp;" - Per "&amp;VLOOKUP($C$4,'Writing Logic'!$G$8:$H$14,2,FALSE),YES_Writing_ELA[#Headers],0)))="INS",'Writing Logic'!$B$7,IF(INDEX(_xlfn.VSTACK(YES_Writing_ELA[#Data],YES_Writing_FLA[#Data]),MATCH($A181,_xlfn.VSTACK(YES_Writing_ELA[Student Number],YES_Writing_FLA[Student Number]),0),MATCH(VLOOKUP(E$7,'Writing Logic'!$J$7:$K$11,2,FALSE)&amp;" - Per "&amp;VLOOKUP($C$4,'Writing Logic'!$G$8:$H$14,2,FALSE),YES_Writing_ELA[#Headers],0))=0,"",INDEX(_xlfn.VSTACK(YES_Writing_ELA[#Data],YES_Writing_FLA[#Data]),MATCH($A181,_xlfn.VSTACK(YES_Writing_ELA[Student Number],YES_Writing_FLA[Student Number]),0),MATCH(VLOOKUP(E$7,'Writing Logic'!$J$7:$K$11,2,FALSE)&amp;" - Per "&amp;VLOOKUP($C$4,'Writing Logic'!$G$8:$H$14,2,FALSE),YES_Writing_ELA[#Headers],0)))),"")</f>
        <v/>
      </c>
      <c r="F181" s="138" t="str">
        <f>IFERROR(IF(IF(INDEX(_xlfn.VSTACK(YES_Writing_ELA[#Data],YES_Writing_FLA[#Data]),MATCH($A181,_xlfn.VSTACK(YES_Writing_ELA[Student Number],YES_Writing_FLA[Student Number]),0),MATCH(VLOOKUP(F$7,'Writing Logic'!$J$7:$K$11,2,FALSE)&amp;" - Per "&amp;VLOOKUP($C$4,'Writing Logic'!$G$8:$H$14,2,FALSE),YES_Writing_ELA[#Headers],0))=0,"",INDEX(_xlfn.VSTACK(YES_Writing_ELA[#Data],YES_Writing_FLA[#Data]),MATCH($A181,_xlfn.VSTACK(YES_Writing_ELA[Student Number],YES_Writing_FLA[Student Number]),0),MATCH(VLOOKUP(F$7,'Writing Logic'!$J$7:$K$11,2,FALSE)&amp;" - Per "&amp;VLOOKUP($C$4,'Writing Logic'!$G$8:$H$14,2,FALSE),YES_Writing_ELA[#Headers],0)))="INS",'Writing Logic'!$B$7,IF(INDEX(_xlfn.VSTACK(YES_Writing_ELA[#Data],YES_Writing_FLA[#Data]),MATCH($A181,_xlfn.VSTACK(YES_Writing_ELA[Student Number],YES_Writing_FLA[Student Number]),0),MATCH(VLOOKUP(F$7,'Writing Logic'!$J$7:$K$11,2,FALSE)&amp;" - Per "&amp;VLOOKUP($C$4,'Writing Logic'!$G$8:$H$14,2,FALSE),YES_Writing_ELA[#Headers],0))=0,"",INDEX(_xlfn.VSTACK(YES_Writing_ELA[#Data],YES_Writing_FLA[#Data]),MATCH($A181,_xlfn.VSTACK(YES_Writing_ELA[Student Number],YES_Writing_FLA[Student Number]),0),MATCH(VLOOKUP(F$7,'Writing Logic'!$J$7:$K$11,2,FALSE)&amp;" - Per "&amp;VLOOKUP($C$4,'Writing Logic'!$G$8:$H$14,2,FALSE),YES_Writing_ELA[#Headers],0)))),"")</f>
        <v/>
      </c>
      <c r="G181" s="138" t="str">
        <f>IFERROR(IF(IF(INDEX(_xlfn.VSTACK(YES_Writing_ELA[#Data],YES_Writing_FLA[#Data]),MATCH($A181,_xlfn.VSTACK(YES_Writing_ELA[Student Number],YES_Writing_FLA[Student Number]),0),MATCH(VLOOKUP(G$7,'Writing Logic'!$J$7:$K$11,2,FALSE)&amp;" - Per "&amp;VLOOKUP($C$4,'Writing Logic'!$G$8:$H$14,2,FALSE),YES_Writing_ELA[#Headers],0))=0,"",INDEX(_xlfn.VSTACK(YES_Writing_ELA[#Data],YES_Writing_FLA[#Data]),MATCH($A181,_xlfn.VSTACK(YES_Writing_ELA[Student Number],YES_Writing_FLA[Student Number]),0),MATCH(VLOOKUP(G$7,'Writing Logic'!$J$7:$K$11,2,FALSE)&amp;" - Per "&amp;VLOOKUP($C$4,'Writing Logic'!$G$8:$H$14,2,FALSE),YES_Writing_ELA[#Headers],0)))="INS",'Writing Logic'!$B$7,IF(INDEX(_xlfn.VSTACK(YES_Writing_ELA[#Data],YES_Writing_FLA[#Data]),MATCH($A181,_xlfn.VSTACK(YES_Writing_ELA[Student Number],YES_Writing_FLA[Student Number]),0),MATCH(VLOOKUP(G$7,'Writing Logic'!$J$7:$K$11,2,FALSE)&amp;" - Per "&amp;VLOOKUP($C$4,'Writing Logic'!$G$8:$H$14,2,FALSE),YES_Writing_ELA[#Headers],0))=0,"",INDEX(_xlfn.VSTACK(YES_Writing_ELA[#Data],YES_Writing_FLA[#Data]),MATCH($A181,_xlfn.VSTACK(YES_Writing_ELA[Student Number],YES_Writing_FLA[Student Number]),0),MATCH(VLOOKUP(G$7,'Writing Logic'!$J$7:$K$11,2,FALSE)&amp;" - Per "&amp;VLOOKUP($C$4,'Writing Logic'!$G$8:$H$14,2,FALSE),YES_Writing_ELA[#Headers],0)))),"")</f>
        <v/>
      </c>
      <c r="H181" s="223" t="str">
        <f>IFERROR(IF(IF(INDEX(_xlfn.VSTACK(YES_Writing_ELA[#Data],YES_Writing_FLA[#Data]),MATCH($A181,_xlfn.VSTACK(YES_Writing_ELA[Student Number],YES_Writing_FLA[Student Number]),0),MATCH(VLOOKUP(H$7,'Writing Logic'!$J$7:$K$11,2,FALSE)&amp;" - Per "&amp;VLOOKUP($C$4,'Writing Logic'!$G$8:$H$14,2,FALSE),YES_Writing_ELA[#Headers],0))=0,"",INDEX(_xlfn.VSTACK(YES_Writing_ELA[#Data],YES_Writing_FLA[#Data]),MATCH($A181,_xlfn.VSTACK(YES_Writing_ELA[Student Number],YES_Writing_FLA[Student Number]),0),MATCH(VLOOKUP(H$7,'Writing Logic'!$J$7:$K$11,2,FALSE)&amp;" - Per "&amp;VLOOKUP($C$4,'Writing Logic'!$G$8:$H$14,2,FALSE),YES_Writing_ELA[#Headers],0)))="INS",'Writing Logic'!$B$7,IF(INDEX(_xlfn.VSTACK(YES_Writing_ELA[#Data],YES_Writing_FLA[#Data]),MATCH($A181,_xlfn.VSTACK(YES_Writing_ELA[Student Number],YES_Writing_FLA[Student Number]),0),MATCH(VLOOKUP(H$7,'Writing Logic'!$J$7:$K$11,2,FALSE)&amp;" - Per "&amp;VLOOKUP($C$4,'Writing Logic'!$G$8:$H$14,2,FALSE),YES_Writing_ELA[#Headers],0))=0,"",INDEX(_xlfn.VSTACK(YES_Writing_ELA[#Data],YES_Writing_FLA[#Data]),MATCH($A181,_xlfn.VSTACK(YES_Writing_ELA[Student Number],YES_Writing_FLA[Student Number]),0),MATCH(VLOOKUP(H$7,'Writing Logic'!$J$7:$K$11,2,FALSE)&amp;" - Per "&amp;VLOOKUP($C$4,'Writing Logic'!$G$8:$H$14,2,FALSE),YES_Writing_ELA[#Headers],0)))),"")</f>
        <v/>
      </c>
      <c r="I181" s="224" t="str" cm="1">
        <f t="array" aca="1" ref="I181" ca="1">IFERROR(
IF($G$3="ELA",
IF(VLOOKUP($A181, YES_Reading_ELA[], COLUMN(INDIRECT("YES_Reading_ELA[Difference - Per "&amp;VLOOKUP($G$4, 'Reading Report Logic'!$A$2:$B$8, 2, FALSE)&amp;"]")), FALSE)="", "",
VLOOKUP($A181,YES_Reading_ELA[], COLUMN(INDIRECT("YES_Reading_ELA[Difference - Per "&amp;VLOOKUP($G$4,'Reading Report Logic'!$A$2:$B$8,2,FALSE)&amp;"]")), FALSE)),
IF($G$3="FLA",
IF(VLOOKUP($A181, YES_Reading_FLA[], COLUMN(INDIRECT("YES_Reading_FLA[Difference - Per "&amp;VLOOKUP($G$4,'Reading Report Logic'!$A$2:$B$8,2,FALSE)&amp;"]")),FALSE)="","",
VLOOKUP($A181,YES_Reading_FLA[],COLUMN(INDIRECT("YES_Reading_FLA[Difference - Per "&amp;VLOOKUP($G$4,'Reading Report Logic'!$A$2:$B$8,2,FALSE)&amp;"]")),FALSE)),
IF($G$3="Combined",
IFERROR(
IF(VLOOKUP($A181, YES_Reading_ELA[], COLUMN(INDIRECT("YES_Reading_ELA[Difference - Per "&amp;VLOOKUP($G$4, 'Reading Report Logic'!$A$2:$B$8,2,FALSE)&amp;"]")), FALSE)="", "",
VLOOKUP($A181,YES_Reading_ELA[],COLUMN(INDIRECT("YES_Reading_ELA[Difference - Per "&amp;VLOOKUP($G$4,'Reading Report Logic'!$A$2:$B$8,2,FALSE)&amp;"]")),FALSE)),
IF(VLOOKUP($A181, YES_Reading_FLA[], COLUMN(INDIRECT("YES_Reading_FLA[Difference - Per "&amp;VLOOKUP($G$4, 'Reading Report Logic'!$A$2:$B$8, 2, FALSE)&amp;"]")),FALSE)="", "", VLOOKUP($A181,YES_Reading_FLA[],COLUMN(INDIRECT("YES_Reading_FLA[Difference - Per "&amp;VLOOKUP($G$4, 'Reading Report Logic'!$A$2:$B$8, 2, FALSE)&amp;"]")),FALSE))),""))),"")</f>
        <v/>
      </c>
    </row>
    <row r="182" spans="1:9" ht="14.25" customHeight="1" x14ac:dyDescent="0.25">
      <c r="A182" s="137"/>
      <c r="B182" s="137" t="str">
        <f>IFERROR(INDEX(_xlfn.VSTACK(YES_Writing_ELA[#Data], YES_Writing_FLA[#Data]),MATCH($A182,_xlfn.VSTACK(YES_Writing_ELA[Student Number], YES_Writing_FLA[Student Number]),0),MATCH(B$7,YES_Writing_ELA[#Headers],0)),IFERROR(INDEX(_xlfn.VSTACK(YES_Reading_ELA[#Data], YES_Reading_FLA[#Data]),MATCH($A182,_xlfn.VSTACK(YES_Reading_ELA[Student Number], YES_Reading_FLA[Student Number]),0),MATCH(B$7,YES_Reading_ELA[#Headers],0)),""))</f>
        <v/>
      </c>
      <c r="C182" s="137" t="str">
        <f>IFERROR(INDEX(_xlfn.VSTACK(YES_Writing_ELA[#Data], YES_Writing_FLA[#Data]),MATCH($A182,_xlfn.VSTACK(YES_Writing_ELA[Student Number], YES_Writing_FLA[Student Number]),0),MATCH(C$7,YES_Writing_ELA[#Headers],0)),IFERROR(INDEX(_xlfn.VSTACK(YES_Reading_ELA[#Data], YES_Reading_FLA[#Data]),MATCH($A182,_xlfn.VSTACK(YES_Reading_ELA[Student Number], YES_Reading_FLA[Student Number]),0),MATCH(C$7,YES_Reading_ELA[#Headers],0)),""))</f>
        <v/>
      </c>
      <c r="D182" s="138" t="str">
        <f>IFERROR(IF(IF(INDEX(_xlfn.VSTACK(YES_Writing_ELA[#Data],YES_Writing_FLA[#Data]),MATCH($A182,_xlfn.VSTACK(YES_Writing_ELA[Student Number],YES_Writing_FLA[Student Number]),0),MATCH(VLOOKUP(D$7,'Writing Logic'!$J$7:$K$11,2,FALSE)&amp;" - Per "&amp;VLOOKUP($C$4,'Writing Logic'!$G$8:$H$14,2,FALSE),YES_Writing_ELA[#Headers],0))=0,"",INDEX(_xlfn.VSTACK(YES_Writing_ELA[#Data],YES_Writing_FLA[#Data]),MATCH($A182,_xlfn.VSTACK(YES_Writing_ELA[Student Number],YES_Writing_FLA[Student Number]),0),MATCH(VLOOKUP(D$7,'Writing Logic'!$J$7:$K$11,2,FALSE)&amp;" - Per "&amp;VLOOKUP($C$4,'Writing Logic'!$G$8:$H$14,2,FALSE),YES_Writing_ELA[#Headers],0)))="INS",'Writing Logic'!$B$7,IF(INDEX(_xlfn.VSTACK(YES_Writing_ELA[#Data],YES_Writing_FLA[#Data]),MATCH($A182,_xlfn.VSTACK(YES_Writing_ELA[Student Number],YES_Writing_FLA[Student Number]),0),MATCH(VLOOKUP(D$7,'Writing Logic'!$J$7:$K$11,2,FALSE)&amp;" - Per "&amp;VLOOKUP($C$4,'Writing Logic'!$G$8:$H$14,2,FALSE),YES_Writing_ELA[#Headers],0))=0,"",INDEX(_xlfn.VSTACK(YES_Writing_ELA[#Data],YES_Writing_FLA[#Data]),MATCH($A182,_xlfn.VSTACK(YES_Writing_ELA[Student Number],YES_Writing_FLA[Student Number]),0),MATCH(VLOOKUP(D$7,'Writing Logic'!$J$7:$K$11,2,FALSE)&amp;" - Per "&amp;VLOOKUP($C$4,'Writing Logic'!$G$8:$H$14,2,FALSE),YES_Writing_ELA[#Headers],0)))),"")</f>
        <v/>
      </c>
      <c r="E182" s="138" t="str">
        <f>IFERROR(IF(IF(INDEX(_xlfn.VSTACK(YES_Writing_ELA[#Data],YES_Writing_FLA[#Data]),MATCH($A182,_xlfn.VSTACK(YES_Writing_ELA[Student Number],YES_Writing_FLA[Student Number]),0),MATCH(VLOOKUP(E$7,'Writing Logic'!$J$7:$K$11,2,FALSE)&amp;" - Per "&amp;VLOOKUP($C$4,'Writing Logic'!$G$8:$H$14,2,FALSE),YES_Writing_ELA[#Headers],0))=0,"",INDEX(_xlfn.VSTACK(YES_Writing_ELA[#Data],YES_Writing_FLA[#Data]),MATCH($A182,_xlfn.VSTACK(YES_Writing_ELA[Student Number],YES_Writing_FLA[Student Number]),0),MATCH(VLOOKUP(E$7,'Writing Logic'!$J$7:$K$11,2,FALSE)&amp;" - Per "&amp;VLOOKUP($C$4,'Writing Logic'!$G$8:$H$14,2,FALSE),YES_Writing_ELA[#Headers],0)))="INS",'Writing Logic'!$B$7,IF(INDEX(_xlfn.VSTACK(YES_Writing_ELA[#Data],YES_Writing_FLA[#Data]),MATCH($A182,_xlfn.VSTACK(YES_Writing_ELA[Student Number],YES_Writing_FLA[Student Number]),0),MATCH(VLOOKUP(E$7,'Writing Logic'!$J$7:$K$11,2,FALSE)&amp;" - Per "&amp;VLOOKUP($C$4,'Writing Logic'!$G$8:$H$14,2,FALSE),YES_Writing_ELA[#Headers],0))=0,"",INDEX(_xlfn.VSTACK(YES_Writing_ELA[#Data],YES_Writing_FLA[#Data]),MATCH($A182,_xlfn.VSTACK(YES_Writing_ELA[Student Number],YES_Writing_FLA[Student Number]),0),MATCH(VLOOKUP(E$7,'Writing Logic'!$J$7:$K$11,2,FALSE)&amp;" - Per "&amp;VLOOKUP($C$4,'Writing Logic'!$G$8:$H$14,2,FALSE),YES_Writing_ELA[#Headers],0)))),"")</f>
        <v/>
      </c>
      <c r="F182" s="138" t="str">
        <f>IFERROR(IF(IF(INDEX(_xlfn.VSTACK(YES_Writing_ELA[#Data],YES_Writing_FLA[#Data]),MATCH($A182,_xlfn.VSTACK(YES_Writing_ELA[Student Number],YES_Writing_FLA[Student Number]),0),MATCH(VLOOKUP(F$7,'Writing Logic'!$J$7:$K$11,2,FALSE)&amp;" - Per "&amp;VLOOKUP($C$4,'Writing Logic'!$G$8:$H$14,2,FALSE),YES_Writing_ELA[#Headers],0))=0,"",INDEX(_xlfn.VSTACK(YES_Writing_ELA[#Data],YES_Writing_FLA[#Data]),MATCH($A182,_xlfn.VSTACK(YES_Writing_ELA[Student Number],YES_Writing_FLA[Student Number]),0),MATCH(VLOOKUP(F$7,'Writing Logic'!$J$7:$K$11,2,FALSE)&amp;" - Per "&amp;VLOOKUP($C$4,'Writing Logic'!$G$8:$H$14,2,FALSE),YES_Writing_ELA[#Headers],0)))="INS",'Writing Logic'!$B$7,IF(INDEX(_xlfn.VSTACK(YES_Writing_ELA[#Data],YES_Writing_FLA[#Data]),MATCH($A182,_xlfn.VSTACK(YES_Writing_ELA[Student Number],YES_Writing_FLA[Student Number]),0),MATCH(VLOOKUP(F$7,'Writing Logic'!$J$7:$K$11,2,FALSE)&amp;" - Per "&amp;VLOOKUP($C$4,'Writing Logic'!$G$8:$H$14,2,FALSE),YES_Writing_ELA[#Headers],0))=0,"",INDEX(_xlfn.VSTACK(YES_Writing_ELA[#Data],YES_Writing_FLA[#Data]),MATCH($A182,_xlfn.VSTACK(YES_Writing_ELA[Student Number],YES_Writing_FLA[Student Number]),0),MATCH(VLOOKUP(F$7,'Writing Logic'!$J$7:$K$11,2,FALSE)&amp;" - Per "&amp;VLOOKUP($C$4,'Writing Logic'!$G$8:$H$14,2,FALSE),YES_Writing_ELA[#Headers],0)))),"")</f>
        <v/>
      </c>
      <c r="G182" s="138" t="str">
        <f>IFERROR(IF(IF(INDEX(_xlfn.VSTACK(YES_Writing_ELA[#Data],YES_Writing_FLA[#Data]),MATCH($A182,_xlfn.VSTACK(YES_Writing_ELA[Student Number],YES_Writing_FLA[Student Number]),0),MATCH(VLOOKUP(G$7,'Writing Logic'!$J$7:$K$11,2,FALSE)&amp;" - Per "&amp;VLOOKUP($C$4,'Writing Logic'!$G$8:$H$14,2,FALSE),YES_Writing_ELA[#Headers],0))=0,"",INDEX(_xlfn.VSTACK(YES_Writing_ELA[#Data],YES_Writing_FLA[#Data]),MATCH($A182,_xlfn.VSTACK(YES_Writing_ELA[Student Number],YES_Writing_FLA[Student Number]),0),MATCH(VLOOKUP(G$7,'Writing Logic'!$J$7:$K$11,2,FALSE)&amp;" - Per "&amp;VLOOKUP($C$4,'Writing Logic'!$G$8:$H$14,2,FALSE),YES_Writing_ELA[#Headers],0)))="INS",'Writing Logic'!$B$7,IF(INDEX(_xlfn.VSTACK(YES_Writing_ELA[#Data],YES_Writing_FLA[#Data]),MATCH($A182,_xlfn.VSTACK(YES_Writing_ELA[Student Number],YES_Writing_FLA[Student Number]),0),MATCH(VLOOKUP(G$7,'Writing Logic'!$J$7:$K$11,2,FALSE)&amp;" - Per "&amp;VLOOKUP($C$4,'Writing Logic'!$G$8:$H$14,2,FALSE),YES_Writing_ELA[#Headers],0))=0,"",INDEX(_xlfn.VSTACK(YES_Writing_ELA[#Data],YES_Writing_FLA[#Data]),MATCH($A182,_xlfn.VSTACK(YES_Writing_ELA[Student Number],YES_Writing_FLA[Student Number]),0),MATCH(VLOOKUP(G$7,'Writing Logic'!$J$7:$K$11,2,FALSE)&amp;" - Per "&amp;VLOOKUP($C$4,'Writing Logic'!$G$8:$H$14,2,FALSE),YES_Writing_ELA[#Headers],0)))),"")</f>
        <v/>
      </c>
      <c r="H182" s="223" t="str">
        <f>IFERROR(IF(IF(INDEX(_xlfn.VSTACK(YES_Writing_ELA[#Data],YES_Writing_FLA[#Data]),MATCH($A182,_xlfn.VSTACK(YES_Writing_ELA[Student Number],YES_Writing_FLA[Student Number]),0),MATCH(VLOOKUP(H$7,'Writing Logic'!$J$7:$K$11,2,FALSE)&amp;" - Per "&amp;VLOOKUP($C$4,'Writing Logic'!$G$8:$H$14,2,FALSE),YES_Writing_ELA[#Headers],0))=0,"",INDEX(_xlfn.VSTACK(YES_Writing_ELA[#Data],YES_Writing_FLA[#Data]),MATCH($A182,_xlfn.VSTACK(YES_Writing_ELA[Student Number],YES_Writing_FLA[Student Number]),0),MATCH(VLOOKUP(H$7,'Writing Logic'!$J$7:$K$11,2,FALSE)&amp;" - Per "&amp;VLOOKUP($C$4,'Writing Logic'!$G$8:$H$14,2,FALSE),YES_Writing_ELA[#Headers],0)))="INS",'Writing Logic'!$B$7,IF(INDEX(_xlfn.VSTACK(YES_Writing_ELA[#Data],YES_Writing_FLA[#Data]),MATCH($A182,_xlfn.VSTACK(YES_Writing_ELA[Student Number],YES_Writing_FLA[Student Number]),0),MATCH(VLOOKUP(H$7,'Writing Logic'!$J$7:$K$11,2,FALSE)&amp;" - Per "&amp;VLOOKUP($C$4,'Writing Logic'!$G$8:$H$14,2,FALSE),YES_Writing_ELA[#Headers],0))=0,"",INDEX(_xlfn.VSTACK(YES_Writing_ELA[#Data],YES_Writing_FLA[#Data]),MATCH($A182,_xlfn.VSTACK(YES_Writing_ELA[Student Number],YES_Writing_FLA[Student Number]),0),MATCH(VLOOKUP(H$7,'Writing Logic'!$J$7:$K$11,2,FALSE)&amp;" - Per "&amp;VLOOKUP($C$4,'Writing Logic'!$G$8:$H$14,2,FALSE),YES_Writing_ELA[#Headers],0)))),"")</f>
        <v/>
      </c>
      <c r="I182" s="224" t="str" cm="1">
        <f t="array" aca="1" ref="I182" ca="1">IFERROR(
IF($G$3="ELA",
IF(VLOOKUP($A182, YES_Reading_ELA[], COLUMN(INDIRECT("YES_Reading_ELA[Difference - Per "&amp;VLOOKUP($G$4, 'Reading Report Logic'!$A$2:$B$8, 2, FALSE)&amp;"]")), FALSE)="", "",
VLOOKUP($A182,YES_Reading_ELA[], COLUMN(INDIRECT("YES_Reading_ELA[Difference - Per "&amp;VLOOKUP($G$4,'Reading Report Logic'!$A$2:$B$8,2,FALSE)&amp;"]")), FALSE)),
IF($G$3="FLA",
IF(VLOOKUP($A182, YES_Reading_FLA[], COLUMN(INDIRECT("YES_Reading_FLA[Difference - Per "&amp;VLOOKUP($G$4,'Reading Report Logic'!$A$2:$B$8,2,FALSE)&amp;"]")),FALSE)="","",
VLOOKUP($A182,YES_Reading_FLA[],COLUMN(INDIRECT("YES_Reading_FLA[Difference - Per "&amp;VLOOKUP($G$4,'Reading Report Logic'!$A$2:$B$8,2,FALSE)&amp;"]")),FALSE)),
IF($G$3="Combined",
IFERROR(
IF(VLOOKUP($A182, YES_Reading_ELA[], COLUMN(INDIRECT("YES_Reading_ELA[Difference - Per "&amp;VLOOKUP($G$4, 'Reading Report Logic'!$A$2:$B$8,2,FALSE)&amp;"]")), FALSE)="", "",
VLOOKUP($A182,YES_Reading_ELA[],COLUMN(INDIRECT("YES_Reading_ELA[Difference - Per "&amp;VLOOKUP($G$4,'Reading Report Logic'!$A$2:$B$8,2,FALSE)&amp;"]")),FALSE)),
IF(VLOOKUP($A182, YES_Reading_FLA[], COLUMN(INDIRECT("YES_Reading_FLA[Difference - Per "&amp;VLOOKUP($G$4, 'Reading Report Logic'!$A$2:$B$8, 2, FALSE)&amp;"]")),FALSE)="", "", VLOOKUP($A182,YES_Reading_FLA[],COLUMN(INDIRECT("YES_Reading_FLA[Difference - Per "&amp;VLOOKUP($G$4, 'Reading Report Logic'!$A$2:$B$8, 2, FALSE)&amp;"]")),FALSE))),""))),"")</f>
        <v/>
      </c>
    </row>
    <row r="183" spans="1:9" ht="14.25" customHeight="1" x14ac:dyDescent="0.25">
      <c r="A183" s="137"/>
      <c r="B183" s="137" t="str">
        <f>IFERROR(INDEX(_xlfn.VSTACK(YES_Writing_ELA[#Data], YES_Writing_FLA[#Data]),MATCH($A183,_xlfn.VSTACK(YES_Writing_ELA[Student Number], YES_Writing_FLA[Student Number]),0),MATCH(B$7,YES_Writing_ELA[#Headers],0)),IFERROR(INDEX(_xlfn.VSTACK(YES_Reading_ELA[#Data], YES_Reading_FLA[#Data]),MATCH($A183,_xlfn.VSTACK(YES_Reading_ELA[Student Number], YES_Reading_FLA[Student Number]),0),MATCH(B$7,YES_Reading_ELA[#Headers],0)),""))</f>
        <v/>
      </c>
      <c r="C183" s="137" t="str">
        <f>IFERROR(INDEX(_xlfn.VSTACK(YES_Writing_ELA[#Data], YES_Writing_FLA[#Data]),MATCH($A183,_xlfn.VSTACK(YES_Writing_ELA[Student Number], YES_Writing_FLA[Student Number]),0),MATCH(C$7,YES_Writing_ELA[#Headers],0)),IFERROR(INDEX(_xlfn.VSTACK(YES_Reading_ELA[#Data], YES_Reading_FLA[#Data]),MATCH($A183,_xlfn.VSTACK(YES_Reading_ELA[Student Number], YES_Reading_FLA[Student Number]),0),MATCH(C$7,YES_Reading_ELA[#Headers],0)),""))</f>
        <v/>
      </c>
      <c r="D183" s="138" t="str">
        <f>IFERROR(IF(IF(INDEX(_xlfn.VSTACK(YES_Writing_ELA[#Data],YES_Writing_FLA[#Data]),MATCH($A183,_xlfn.VSTACK(YES_Writing_ELA[Student Number],YES_Writing_FLA[Student Number]),0),MATCH(VLOOKUP(D$7,'Writing Logic'!$J$7:$K$11,2,FALSE)&amp;" - Per "&amp;VLOOKUP($C$4,'Writing Logic'!$G$8:$H$14,2,FALSE),YES_Writing_ELA[#Headers],0))=0,"",INDEX(_xlfn.VSTACK(YES_Writing_ELA[#Data],YES_Writing_FLA[#Data]),MATCH($A183,_xlfn.VSTACK(YES_Writing_ELA[Student Number],YES_Writing_FLA[Student Number]),0),MATCH(VLOOKUP(D$7,'Writing Logic'!$J$7:$K$11,2,FALSE)&amp;" - Per "&amp;VLOOKUP($C$4,'Writing Logic'!$G$8:$H$14,2,FALSE),YES_Writing_ELA[#Headers],0)))="INS",'Writing Logic'!$B$7,IF(INDEX(_xlfn.VSTACK(YES_Writing_ELA[#Data],YES_Writing_FLA[#Data]),MATCH($A183,_xlfn.VSTACK(YES_Writing_ELA[Student Number],YES_Writing_FLA[Student Number]),0),MATCH(VLOOKUP(D$7,'Writing Logic'!$J$7:$K$11,2,FALSE)&amp;" - Per "&amp;VLOOKUP($C$4,'Writing Logic'!$G$8:$H$14,2,FALSE),YES_Writing_ELA[#Headers],0))=0,"",INDEX(_xlfn.VSTACK(YES_Writing_ELA[#Data],YES_Writing_FLA[#Data]),MATCH($A183,_xlfn.VSTACK(YES_Writing_ELA[Student Number],YES_Writing_FLA[Student Number]),0),MATCH(VLOOKUP(D$7,'Writing Logic'!$J$7:$K$11,2,FALSE)&amp;" - Per "&amp;VLOOKUP($C$4,'Writing Logic'!$G$8:$H$14,2,FALSE),YES_Writing_ELA[#Headers],0)))),"")</f>
        <v/>
      </c>
      <c r="E183" s="138" t="str">
        <f>IFERROR(IF(IF(INDEX(_xlfn.VSTACK(YES_Writing_ELA[#Data],YES_Writing_FLA[#Data]),MATCH($A183,_xlfn.VSTACK(YES_Writing_ELA[Student Number],YES_Writing_FLA[Student Number]),0),MATCH(VLOOKUP(E$7,'Writing Logic'!$J$7:$K$11,2,FALSE)&amp;" - Per "&amp;VLOOKUP($C$4,'Writing Logic'!$G$8:$H$14,2,FALSE),YES_Writing_ELA[#Headers],0))=0,"",INDEX(_xlfn.VSTACK(YES_Writing_ELA[#Data],YES_Writing_FLA[#Data]),MATCH($A183,_xlfn.VSTACK(YES_Writing_ELA[Student Number],YES_Writing_FLA[Student Number]),0),MATCH(VLOOKUP(E$7,'Writing Logic'!$J$7:$K$11,2,FALSE)&amp;" - Per "&amp;VLOOKUP($C$4,'Writing Logic'!$G$8:$H$14,2,FALSE),YES_Writing_ELA[#Headers],0)))="INS",'Writing Logic'!$B$7,IF(INDEX(_xlfn.VSTACK(YES_Writing_ELA[#Data],YES_Writing_FLA[#Data]),MATCH($A183,_xlfn.VSTACK(YES_Writing_ELA[Student Number],YES_Writing_FLA[Student Number]),0),MATCH(VLOOKUP(E$7,'Writing Logic'!$J$7:$K$11,2,FALSE)&amp;" - Per "&amp;VLOOKUP($C$4,'Writing Logic'!$G$8:$H$14,2,FALSE),YES_Writing_ELA[#Headers],0))=0,"",INDEX(_xlfn.VSTACK(YES_Writing_ELA[#Data],YES_Writing_FLA[#Data]),MATCH($A183,_xlfn.VSTACK(YES_Writing_ELA[Student Number],YES_Writing_FLA[Student Number]),0),MATCH(VLOOKUP(E$7,'Writing Logic'!$J$7:$K$11,2,FALSE)&amp;" - Per "&amp;VLOOKUP($C$4,'Writing Logic'!$G$8:$H$14,2,FALSE),YES_Writing_ELA[#Headers],0)))),"")</f>
        <v/>
      </c>
      <c r="F183" s="138" t="str">
        <f>IFERROR(IF(IF(INDEX(_xlfn.VSTACK(YES_Writing_ELA[#Data],YES_Writing_FLA[#Data]),MATCH($A183,_xlfn.VSTACK(YES_Writing_ELA[Student Number],YES_Writing_FLA[Student Number]),0),MATCH(VLOOKUP(F$7,'Writing Logic'!$J$7:$K$11,2,FALSE)&amp;" - Per "&amp;VLOOKUP($C$4,'Writing Logic'!$G$8:$H$14,2,FALSE),YES_Writing_ELA[#Headers],0))=0,"",INDEX(_xlfn.VSTACK(YES_Writing_ELA[#Data],YES_Writing_FLA[#Data]),MATCH($A183,_xlfn.VSTACK(YES_Writing_ELA[Student Number],YES_Writing_FLA[Student Number]),0),MATCH(VLOOKUP(F$7,'Writing Logic'!$J$7:$K$11,2,FALSE)&amp;" - Per "&amp;VLOOKUP($C$4,'Writing Logic'!$G$8:$H$14,2,FALSE),YES_Writing_ELA[#Headers],0)))="INS",'Writing Logic'!$B$7,IF(INDEX(_xlfn.VSTACK(YES_Writing_ELA[#Data],YES_Writing_FLA[#Data]),MATCH($A183,_xlfn.VSTACK(YES_Writing_ELA[Student Number],YES_Writing_FLA[Student Number]),0),MATCH(VLOOKUP(F$7,'Writing Logic'!$J$7:$K$11,2,FALSE)&amp;" - Per "&amp;VLOOKUP($C$4,'Writing Logic'!$G$8:$H$14,2,FALSE),YES_Writing_ELA[#Headers],0))=0,"",INDEX(_xlfn.VSTACK(YES_Writing_ELA[#Data],YES_Writing_FLA[#Data]),MATCH($A183,_xlfn.VSTACK(YES_Writing_ELA[Student Number],YES_Writing_FLA[Student Number]),0),MATCH(VLOOKUP(F$7,'Writing Logic'!$J$7:$K$11,2,FALSE)&amp;" - Per "&amp;VLOOKUP($C$4,'Writing Logic'!$G$8:$H$14,2,FALSE),YES_Writing_ELA[#Headers],0)))),"")</f>
        <v/>
      </c>
      <c r="G183" s="138" t="str">
        <f>IFERROR(IF(IF(INDEX(_xlfn.VSTACK(YES_Writing_ELA[#Data],YES_Writing_FLA[#Data]),MATCH($A183,_xlfn.VSTACK(YES_Writing_ELA[Student Number],YES_Writing_FLA[Student Number]),0),MATCH(VLOOKUP(G$7,'Writing Logic'!$J$7:$K$11,2,FALSE)&amp;" - Per "&amp;VLOOKUP($C$4,'Writing Logic'!$G$8:$H$14,2,FALSE),YES_Writing_ELA[#Headers],0))=0,"",INDEX(_xlfn.VSTACK(YES_Writing_ELA[#Data],YES_Writing_FLA[#Data]),MATCH($A183,_xlfn.VSTACK(YES_Writing_ELA[Student Number],YES_Writing_FLA[Student Number]),0),MATCH(VLOOKUP(G$7,'Writing Logic'!$J$7:$K$11,2,FALSE)&amp;" - Per "&amp;VLOOKUP($C$4,'Writing Logic'!$G$8:$H$14,2,FALSE),YES_Writing_ELA[#Headers],0)))="INS",'Writing Logic'!$B$7,IF(INDEX(_xlfn.VSTACK(YES_Writing_ELA[#Data],YES_Writing_FLA[#Data]),MATCH($A183,_xlfn.VSTACK(YES_Writing_ELA[Student Number],YES_Writing_FLA[Student Number]),0),MATCH(VLOOKUP(G$7,'Writing Logic'!$J$7:$K$11,2,FALSE)&amp;" - Per "&amp;VLOOKUP($C$4,'Writing Logic'!$G$8:$H$14,2,FALSE),YES_Writing_ELA[#Headers],0))=0,"",INDEX(_xlfn.VSTACK(YES_Writing_ELA[#Data],YES_Writing_FLA[#Data]),MATCH($A183,_xlfn.VSTACK(YES_Writing_ELA[Student Number],YES_Writing_FLA[Student Number]),0),MATCH(VLOOKUP(G$7,'Writing Logic'!$J$7:$K$11,2,FALSE)&amp;" - Per "&amp;VLOOKUP($C$4,'Writing Logic'!$G$8:$H$14,2,FALSE),YES_Writing_ELA[#Headers],0)))),"")</f>
        <v/>
      </c>
      <c r="H183" s="223" t="str">
        <f>IFERROR(IF(IF(INDEX(_xlfn.VSTACK(YES_Writing_ELA[#Data],YES_Writing_FLA[#Data]),MATCH($A183,_xlfn.VSTACK(YES_Writing_ELA[Student Number],YES_Writing_FLA[Student Number]),0),MATCH(VLOOKUP(H$7,'Writing Logic'!$J$7:$K$11,2,FALSE)&amp;" - Per "&amp;VLOOKUP($C$4,'Writing Logic'!$G$8:$H$14,2,FALSE),YES_Writing_ELA[#Headers],0))=0,"",INDEX(_xlfn.VSTACK(YES_Writing_ELA[#Data],YES_Writing_FLA[#Data]),MATCH($A183,_xlfn.VSTACK(YES_Writing_ELA[Student Number],YES_Writing_FLA[Student Number]),0),MATCH(VLOOKUP(H$7,'Writing Logic'!$J$7:$K$11,2,FALSE)&amp;" - Per "&amp;VLOOKUP($C$4,'Writing Logic'!$G$8:$H$14,2,FALSE),YES_Writing_ELA[#Headers],0)))="INS",'Writing Logic'!$B$7,IF(INDEX(_xlfn.VSTACK(YES_Writing_ELA[#Data],YES_Writing_FLA[#Data]),MATCH($A183,_xlfn.VSTACK(YES_Writing_ELA[Student Number],YES_Writing_FLA[Student Number]),0),MATCH(VLOOKUP(H$7,'Writing Logic'!$J$7:$K$11,2,FALSE)&amp;" - Per "&amp;VLOOKUP($C$4,'Writing Logic'!$G$8:$H$14,2,FALSE),YES_Writing_ELA[#Headers],0))=0,"",INDEX(_xlfn.VSTACK(YES_Writing_ELA[#Data],YES_Writing_FLA[#Data]),MATCH($A183,_xlfn.VSTACK(YES_Writing_ELA[Student Number],YES_Writing_FLA[Student Number]),0),MATCH(VLOOKUP(H$7,'Writing Logic'!$J$7:$K$11,2,FALSE)&amp;" - Per "&amp;VLOOKUP($C$4,'Writing Logic'!$G$8:$H$14,2,FALSE),YES_Writing_ELA[#Headers],0)))),"")</f>
        <v/>
      </c>
      <c r="I183" s="224" t="str" cm="1">
        <f t="array" aca="1" ref="I183" ca="1">IFERROR(
IF($G$3="ELA",
IF(VLOOKUP($A183, YES_Reading_ELA[], COLUMN(INDIRECT("YES_Reading_ELA[Difference - Per "&amp;VLOOKUP($G$4, 'Reading Report Logic'!$A$2:$B$8, 2, FALSE)&amp;"]")), FALSE)="", "",
VLOOKUP($A183,YES_Reading_ELA[], COLUMN(INDIRECT("YES_Reading_ELA[Difference - Per "&amp;VLOOKUP($G$4,'Reading Report Logic'!$A$2:$B$8,2,FALSE)&amp;"]")), FALSE)),
IF($G$3="FLA",
IF(VLOOKUP($A183, YES_Reading_FLA[], COLUMN(INDIRECT("YES_Reading_FLA[Difference - Per "&amp;VLOOKUP($G$4,'Reading Report Logic'!$A$2:$B$8,2,FALSE)&amp;"]")),FALSE)="","",
VLOOKUP($A183,YES_Reading_FLA[],COLUMN(INDIRECT("YES_Reading_FLA[Difference - Per "&amp;VLOOKUP($G$4,'Reading Report Logic'!$A$2:$B$8,2,FALSE)&amp;"]")),FALSE)),
IF($G$3="Combined",
IFERROR(
IF(VLOOKUP($A183, YES_Reading_ELA[], COLUMN(INDIRECT("YES_Reading_ELA[Difference - Per "&amp;VLOOKUP($G$4, 'Reading Report Logic'!$A$2:$B$8,2,FALSE)&amp;"]")), FALSE)="", "",
VLOOKUP($A183,YES_Reading_ELA[],COLUMN(INDIRECT("YES_Reading_ELA[Difference - Per "&amp;VLOOKUP($G$4,'Reading Report Logic'!$A$2:$B$8,2,FALSE)&amp;"]")),FALSE)),
IF(VLOOKUP($A183, YES_Reading_FLA[], COLUMN(INDIRECT("YES_Reading_FLA[Difference - Per "&amp;VLOOKUP($G$4, 'Reading Report Logic'!$A$2:$B$8, 2, FALSE)&amp;"]")),FALSE)="", "", VLOOKUP($A183,YES_Reading_FLA[],COLUMN(INDIRECT("YES_Reading_FLA[Difference - Per "&amp;VLOOKUP($G$4, 'Reading Report Logic'!$A$2:$B$8, 2, FALSE)&amp;"]")),FALSE))),""))),"")</f>
        <v/>
      </c>
    </row>
    <row r="184" spans="1:9" ht="14.25" customHeight="1" x14ac:dyDescent="0.25">
      <c r="A184" s="137"/>
      <c r="B184" s="137" t="str">
        <f>IFERROR(INDEX(_xlfn.VSTACK(YES_Writing_ELA[#Data], YES_Writing_FLA[#Data]),MATCH($A184,_xlfn.VSTACK(YES_Writing_ELA[Student Number], YES_Writing_FLA[Student Number]),0),MATCH(B$7,YES_Writing_ELA[#Headers],0)),IFERROR(INDEX(_xlfn.VSTACK(YES_Reading_ELA[#Data], YES_Reading_FLA[#Data]),MATCH($A184,_xlfn.VSTACK(YES_Reading_ELA[Student Number], YES_Reading_FLA[Student Number]),0),MATCH(B$7,YES_Reading_ELA[#Headers],0)),""))</f>
        <v/>
      </c>
      <c r="C184" s="137" t="str">
        <f>IFERROR(INDEX(_xlfn.VSTACK(YES_Writing_ELA[#Data], YES_Writing_FLA[#Data]),MATCH($A184,_xlfn.VSTACK(YES_Writing_ELA[Student Number], YES_Writing_FLA[Student Number]),0),MATCH(C$7,YES_Writing_ELA[#Headers],0)),IFERROR(INDEX(_xlfn.VSTACK(YES_Reading_ELA[#Data], YES_Reading_FLA[#Data]),MATCH($A184,_xlfn.VSTACK(YES_Reading_ELA[Student Number], YES_Reading_FLA[Student Number]),0),MATCH(C$7,YES_Reading_ELA[#Headers],0)),""))</f>
        <v/>
      </c>
      <c r="D184" s="138" t="str">
        <f>IFERROR(IF(IF(INDEX(_xlfn.VSTACK(YES_Writing_ELA[#Data],YES_Writing_FLA[#Data]),MATCH($A184,_xlfn.VSTACK(YES_Writing_ELA[Student Number],YES_Writing_FLA[Student Number]),0),MATCH(VLOOKUP(D$7,'Writing Logic'!$J$7:$K$11,2,FALSE)&amp;" - Per "&amp;VLOOKUP($C$4,'Writing Logic'!$G$8:$H$14,2,FALSE),YES_Writing_ELA[#Headers],0))=0,"",INDEX(_xlfn.VSTACK(YES_Writing_ELA[#Data],YES_Writing_FLA[#Data]),MATCH($A184,_xlfn.VSTACK(YES_Writing_ELA[Student Number],YES_Writing_FLA[Student Number]),0),MATCH(VLOOKUP(D$7,'Writing Logic'!$J$7:$K$11,2,FALSE)&amp;" - Per "&amp;VLOOKUP($C$4,'Writing Logic'!$G$8:$H$14,2,FALSE),YES_Writing_ELA[#Headers],0)))="INS",'Writing Logic'!$B$7,IF(INDEX(_xlfn.VSTACK(YES_Writing_ELA[#Data],YES_Writing_FLA[#Data]),MATCH($A184,_xlfn.VSTACK(YES_Writing_ELA[Student Number],YES_Writing_FLA[Student Number]),0),MATCH(VLOOKUP(D$7,'Writing Logic'!$J$7:$K$11,2,FALSE)&amp;" - Per "&amp;VLOOKUP($C$4,'Writing Logic'!$G$8:$H$14,2,FALSE),YES_Writing_ELA[#Headers],0))=0,"",INDEX(_xlfn.VSTACK(YES_Writing_ELA[#Data],YES_Writing_FLA[#Data]),MATCH($A184,_xlfn.VSTACK(YES_Writing_ELA[Student Number],YES_Writing_FLA[Student Number]),0),MATCH(VLOOKUP(D$7,'Writing Logic'!$J$7:$K$11,2,FALSE)&amp;" - Per "&amp;VLOOKUP($C$4,'Writing Logic'!$G$8:$H$14,2,FALSE),YES_Writing_ELA[#Headers],0)))),"")</f>
        <v/>
      </c>
      <c r="E184" s="138" t="str">
        <f>IFERROR(IF(IF(INDEX(_xlfn.VSTACK(YES_Writing_ELA[#Data],YES_Writing_FLA[#Data]),MATCH($A184,_xlfn.VSTACK(YES_Writing_ELA[Student Number],YES_Writing_FLA[Student Number]),0),MATCH(VLOOKUP(E$7,'Writing Logic'!$J$7:$K$11,2,FALSE)&amp;" - Per "&amp;VLOOKUP($C$4,'Writing Logic'!$G$8:$H$14,2,FALSE),YES_Writing_ELA[#Headers],0))=0,"",INDEX(_xlfn.VSTACK(YES_Writing_ELA[#Data],YES_Writing_FLA[#Data]),MATCH($A184,_xlfn.VSTACK(YES_Writing_ELA[Student Number],YES_Writing_FLA[Student Number]),0),MATCH(VLOOKUP(E$7,'Writing Logic'!$J$7:$K$11,2,FALSE)&amp;" - Per "&amp;VLOOKUP($C$4,'Writing Logic'!$G$8:$H$14,2,FALSE),YES_Writing_ELA[#Headers],0)))="INS",'Writing Logic'!$B$7,IF(INDEX(_xlfn.VSTACK(YES_Writing_ELA[#Data],YES_Writing_FLA[#Data]),MATCH($A184,_xlfn.VSTACK(YES_Writing_ELA[Student Number],YES_Writing_FLA[Student Number]),0),MATCH(VLOOKUP(E$7,'Writing Logic'!$J$7:$K$11,2,FALSE)&amp;" - Per "&amp;VLOOKUP($C$4,'Writing Logic'!$G$8:$H$14,2,FALSE),YES_Writing_ELA[#Headers],0))=0,"",INDEX(_xlfn.VSTACK(YES_Writing_ELA[#Data],YES_Writing_FLA[#Data]),MATCH($A184,_xlfn.VSTACK(YES_Writing_ELA[Student Number],YES_Writing_FLA[Student Number]),0),MATCH(VLOOKUP(E$7,'Writing Logic'!$J$7:$K$11,2,FALSE)&amp;" - Per "&amp;VLOOKUP($C$4,'Writing Logic'!$G$8:$H$14,2,FALSE),YES_Writing_ELA[#Headers],0)))),"")</f>
        <v/>
      </c>
      <c r="F184" s="138" t="str">
        <f>IFERROR(IF(IF(INDEX(_xlfn.VSTACK(YES_Writing_ELA[#Data],YES_Writing_FLA[#Data]),MATCH($A184,_xlfn.VSTACK(YES_Writing_ELA[Student Number],YES_Writing_FLA[Student Number]),0),MATCH(VLOOKUP(F$7,'Writing Logic'!$J$7:$K$11,2,FALSE)&amp;" - Per "&amp;VLOOKUP($C$4,'Writing Logic'!$G$8:$H$14,2,FALSE),YES_Writing_ELA[#Headers],0))=0,"",INDEX(_xlfn.VSTACK(YES_Writing_ELA[#Data],YES_Writing_FLA[#Data]),MATCH($A184,_xlfn.VSTACK(YES_Writing_ELA[Student Number],YES_Writing_FLA[Student Number]),0),MATCH(VLOOKUP(F$7,'Writing Logic'!$J$7:$K$11,2,FALSE)&amp;" - Per "&amp;VLOOKUP($C$4,'Writing Logic'!$G$8:$H$14,2,FALSE),YES_Writing_ELA[#Headers],0)))="INS",'Writing Logic'!$B$7,IF(INDEX(_xlfn.VSTACK(YES_Writing_ELA[#Data],YES_Writing_FLA[#Data]),MATCH($A184,_xlfn.VSTACK(YES_Writing_ELA[Student Number],YES_Writing_FLA[Student Number]),0),MATCH(VLOOKUP(F$7,'Writing Logic'!$J$7:$K$11,2,FALSE)&amp;" - Per "&amp;VLOOKUP($C$4,'Writing Logic'!$G$8:$H$14,2,FALSE),YES_Writing_ELA[#Headers],0))=0,"",INDEX(_xlfn.VSTACK(YES_Writing_ELA[#Data],YES_Writing_FLA[#Data]),MATCH($A184,_xlfn.VSTACK(YES_Writing_ELA[Student Number],YES_Writing_FLA[Student Number]),0),MATCH(VLOOKUP(F$7,'Writing Logic'!$J$7:$K$11,2,FALSE)&amp;" - Per "&amp;VLOOKUP($C$4,'Writing Logic'!$G$8:$H$14,2,FALSE),YES_Writing_ELA[#Headers],0)))),"")</f>
        <v/>
      </c>
      <c r="G184" s="138" t="str">
        <f>IFERROR(IF(IF(INDEX(_xlfn.VSTACK(YES_Writing_ELA[#Data],YES_Writing_FLA[#Data]),MATCH($A184,_xlfn.VSTACK(YES_Writing_ELA[Student Number],YES_Writing_FLA[Student Number]),0),MATCH(VLOOKUP(G$7,'Writing Logic'!$J$7:$K$11,2,FALSE)&amp;" - Per "&amp;VLOOKUP($C$4,'Writing Logic'!$G$8:$H$14,2,FALSE),YES_Writing_ELA[#Headers],0))=0,"",INDEX(_xlfn.VSTACK(YES_Writing_ELA[#Data],YES_Writing_FLA[#Data]),MATCH($A184,_xlfn.VSTACK(YES_Writing_ELA[Student Number],YES_Writing_FLA[Student Number]),0),MATCH(VLOOKUP(G$7,'Writing Logic'!$J$7:$K$11,2,FALSE)&amp;" - Per "&amp;VLOOKUP($C$4,'Writing Logic'!$G$8:$H$14,2,FALSE),YES_Writing_ELA[#Headers],0)))="INS",'Writing Logic'!$B$7,IF(INDEX(_xlfn.VSTACK(YES_Writing_ELA[#Data],YES_Writing_FLA[#Data]),MATCH($A184,_xlfn.VSTACK(YES_Writing_ELA[Student Number],YES_Writing_FLA[Student Number]),0),MATCH(VLOOKUP(G$7,'Writing Logic'!$J$7:$K$11,2,FALSE)&amp;" - Per "&amp;VLOOKUP($C$4,'Writing Logic'!$G$8:$H$14,2,FALSE),YES_Writing_ELA[#Headers],0))=0,"",INDEX(_xlfn.VSTACK(YES_Writing_ELA[#Data],YES_Writing_FLA[#Data]),MATCH($A184,_xlfn.VSTACK(YES_Writing_ELA[Student Number],YES_Writing_FLA[Student Number]),0),MATCH(VLOOKUP(G$7,'Writing Logic'!$J$7:$K$11,2,FALSE)&amp;" - Per "&amp;VLOOKUP($C$4,'Writing Logic'!$G$8:$H$14,2,FALSE),YES_Writing_ELA[#Headers],0)))),"")</f>
        <v/>
      </c>
      <c r="H184" s="223" t="str">
        <f>IFERROR(IF(IF(INDEX(_xlfn.VSTACK(YES_Writing_ELA[#Data],YES_Writing_FLA[#Data]),MATCH($A184,_xlfn.VSTACK(YES_Writing_ELA[Student Number],YES_Writing_FLA[Student Number]),0),MATCH(VLOOKUP(H$7,'Writing Logic'!$J$7:$K$11,2,FALSE)&amp;" - Per "&amp;VLOOKUP($C$4,'Writing Logic'!$G$8:$H$14,2,FALSE),YES_Writing_ELA[#Headers],0))=0,"",INDEX(_xlfn.VSTACK(YES_Writing_ELA[#Data],YES_Writing_FLA[#Data]),MATCH($A184,_xlfn.VSTACK(YES_Writing_ELA[Student Number],YES_Writing_FLA[Student Number]),0),MATCH(VLOOKUP(H$7,'Writing Logic'!$J$7:$K$11,2,FALSE)&amp;" - Per "&amp;VLOOKUP($C$4,'Writing Logic'!$G$8:$H$14,2,FALSE),YES_Writing_ELA[#Headers],0)))="INS",'Writing Logic'!$B$7,IF(INDEX(_xlfn.VSTACK(YES_Writing_ELA[#Data],YES_Writing_FLA[#Data]),MATCH($A184,_xlfn.VSTACK(YES_Writing_ELA[Student Number],YES_Writing_FLA[Student Number]),0),MATCH(VLOOKUP(H$7,'Writing Logic'!$J$7:$K$11,2,FALSE)&amp;" - Per "&amp;VLOOKUP($C$4,'Writing Logic'!$G$8:$H$14,2,FALSE),YES_Writing_ELA[#Headers],0))=0,"",INDEX(_xlfn.VSTACK(YES_Writing_ELA[#Data],YES_Writing_FLA[#Data]),MATCH($A184,_xlfn.VSTACK(YES_Writing_ELA[Student Number],YES_Writing_FLA[Student Number]),0),MATCH(VLOOKUP(H$7,'Writing Logic'!$J$7:$K$11,2,FALSE)&amp;" - Per "&amp;VLOOKUP($C$4,'Writing Logic'!$G$8:$H$14,2,FALSE),YES_Writing_ELA[#Headers],0)))),"")</f>
        <v/>
      </c>
      <c r="I184" s="224" t="str" cm="1">
        <f t="array" aca="1" ref="I184" ca="1">IFERROR(
IF($G$3="ELA",
IF(VLOOKUP($A184, YES_Reading_ELA[], COLUMN(INDIRECT("YES_Reading_ELA[Difference - Per "&amp;VLOOKUP($G$4, 'Reading Report Logic'!$A$2:$B$8, 2, FALSE)&amp;"]")), FALSE)="", "",
VLOOKUP($A184,YES_Reading_ELA[], COLUMN(INDIRECT("YES_Reading_ELA[Difference - Per "&amp;VLOOKUP($G$4,'Reading Report Logic'!$A$2:$B$8,2,FALSE)&amp;"]")), FALSE)),
IF($G$3="FLA",
IF(VLOOKUP($A184, YES_Reading_FLA[], COLUMN(INDIRECT("YES_Reading_FLA[Difference - Per "&amp;VLOOKUP($G$4,'Reading Report Logic'!$A$2:$B$8,2,FALSE)&amp;"]")),FALSE)="","",
VLOOKUP($A184,YES_Reading_FLA[],COLUMN(INDIRECT("YES_Reading_FLA[Difference - Per "&amp;VLOOKUP($G$4,'Reading Report Logic'!$A$2:$B$8,2,FALSE)&amp;"]")),FALSE)),
IF($G$3="Combined",
IFERROR(
IF(VLOOKUP($A184, YES_Reading_ELA[], COLUMN(INDIRECT("YES_Reading_ELA[Difference - Per "&amp;VLOOKUP($G$4, 'Reading Report Logic'!$A$2:$B$8,2,FALSE)&amp;"]")), FALSE)="", "",
VLOOKUP($A184,YES_Reading_ELA[],COLUMN(INDIRECT("YES_Reading_ELA[Difference - Per "&amp;VLOOKUP($G$4,'Reading Report Logic'!$A$2:$B$8,2,FALSE)&amp;"]")),FALSE)),
IF(VLOOKUP($A184, YES_Reading_FLA[], COLUMN(INDIRECT("YES_Reading_FLA[Difference - Per "&amp;VLOOKUP($G$4, 'Reading Report Logic'!$A$2:$B$8, 2, FALSE)&amp;"]")),FALSE)="", "", VLOOKUP($A184,YES_Reading_FLA[],COLUMN(INDIRECT("YES_Reading_FLA[Difference - Per "&amp;VLOOKUP($G$4, 'Reading Report Logic'!$A$2:$B$8, 2, FALSE)&amp;"]")),FALSE))),""))),"")</f>
        <v/>
      </c>
    </row>
    <row r="185" spans="1:9" ht="14.25" customHeight="1" x14ac:dyDescent="0.25">
      <c r="A185" s="137"/>
      <c r="B185" s="137" t="str">
        <f>IFERROR(INDEX(_xlfn.VSTACK(YES_Writing_ELA[#Data], YES_Writing_FLA[#Data]),MATCH($A185,_xlfn.VSTACK(YES_Writing_ELA[Student Number], YES_Writing_FLA[Student Number]),0),MATCH(B$7,YES_Writing_ELA[#Headers],0)),IFERROR(INDEX(_xlfn.VSTACK(YES_Reading_ELA[#Data], YES_Reading_FLA[#Data]),MATCH($A185,_xlfn.VSTACK(YES_Reading_ELA[Student Number], YES_Reading_FLA[Student Number]),0),MATCH(B$7,YES_Reading_ELA[#Headers],0)),""))</f>
        <v/>
      </c>
      <c r="C185" s="137" t="str">
        <f>IFERROR(INDEX(_xlfn.VSTACK(YES_Writing_ELA[#Data], YES_Writing_FLA[#Data]),MATCH($A185,_xlfn.VSTACK(YES_Writing_ELA[Student Number], YES_Writing_FLA[Student Number]),0),MATCH(C$7,YES_Writing_ELA[#Headers],0)),IFERROR(INDEX(_xlfn.VSTACK(YES_Reading_ELA[#Data], YES_Reading_FLA[#Data]),MATCH($A185,_xlfn.VSTACK(YES_Reading_ELA[Student Number], YES_Reading_FLA[Student Number]),0),MATCH(C$7,YES_Reading_ELA[#Headers],0)),""))</f>
        <v/>
      </c>
      <c r="D185" s="138" t="str">
        <f>IFERROR(IF(IF(INDEX(_xlfn.VSTACK(YES_Writing_ELA[#Data],YES_Writing_FLA[#Data]),MATCH($A185,_xlfn.VSTACK(YES_Writing_ELA[Student Number],YES_Writing_FLA[Student Number]),0),MATCH(VLOOKUP(D$7,'Writing Logic'!$J$7:$K$11,2,FALSE)&amp;" - Per "&amp;VLOOKUP($C$4,'Writing Logic'!$G$8:$H$14,2,FALSE),YES_Writing_ELA[#Headers],0))=0,"",INDEX(_xlfn.VSTACK(YES_Writing_ELA[#Data],YES_Writing_FLA[#Data]),MATCH($A185,_xlfn.VSTACK(YES_Writing_ELA[Student Number],YES_Writing_FLA[Student Number]),0),MATCH(VLOOKUP(D$7,'Writing Logic'!$J$7:$K$11,2,FALSE)&amp;" - Per "&amp;VLOOKUP($C$4,'Writing Logic'!$G$8:$H$14,2,FALSE),YES_Writing_ELA[#Headers],0)))="INS",'Writing Logic'!$B$7,IF(INDEX(_xlfn.VSTACK(YES_Writing_ELA[#Data],YES_Writing_FLA[#Data]),MATCH($A185,_xlfn.VSTACK(YES_Writing_ELA[Student Number],YES_Writing_FLA[Student Number]),0),MATCH(VLOOKUP(D$7,'Writing Logic'!$J$7:$K$11,2,FALSE)&amp;" - Per "&amp;VLOOKUP($C$4,'Writing Logic'!$G$8:$H$14,2,FALSE),YES_Writing_ELA[#Headers],0))=0,"",INDEX(_xlfn.VSTACK(YES_Writing_ELA[#Data],YES_Writing_FLA[#Data]),MATCH($A185,_xlfn.VSTACK(YES_Writing_ELA[Student Number],YES_Writing_FLA[Student Number]),0),MATCH(VLOOKUP(D$7,'Writing Logic'!$J$7:$K$11,2,FALSE)&amp;" - Per "&amp;VLOOKUP($C$4,'Writing Logic'!$G$8:$H$14,2,FALSE),YES_Writing_ELA[#Headers],0)))),"")</f>
        <v/>
      </c>
      <c r="E185" s="138" t="str">
        <f>IFERROR(IF(IF(INDEX(_xlfn.VSTACK(YES_Writing_ELA[#Data],YES_Writing_FLA[#Data]),MATCH($A185,_xlfn.VSTACK(YES_Writing_ELA[Student Number],YES_Writing_FLA[Student Number]),0),MATCH(VLOOKUP(E$7,'Writing Logic'!$J$7:$K$11,2,FALSE)&amp;" - Per "&amp;VLOOKUP($C$4,'Writing Logic'!$G$8:$H$14,2,FALSE),YES_Writing_ELA[#Headers],0))=0,"",INDEX(_xlfn.VSTACK(YES_Writing_ELA[#Data],YES_Writing_FLA[#Data]),MATCH($A185,_xlfn.VSTACK(YES_Writing_ELA[Student Number],YES_Writing_FLA[Student Number]),0),MATCH(VLOOKUP(E$7,'Writing Logic'!$J$7:$K$11,2,FALSE)&amp;" - Per "&amp;VLOOKUP($C$4,'Writing Logic'!$G$8:$H$14,2,FALSE),YES_Writing_ELA[#Headers],0)))="INS",'Writing Logic'!$B$7,IF(INDEX(_xlfn.VSTACK(YES_Writing_ELA[#Data],YES_Writing_FLA[#Data]),MATCH($A185,_xlfn.VSTACK(YES_Writing_ELA[Student Number],YES_Writing_FLA[Student Number]),0),MATCH(VLOOKUP(E$7,'Writing Logic'!$J$7:$K$11,2,FALSE)&amp;" - Per "&amp;VLOOKUP($C$4,'Writing Logic'!$G$8:$H$14,2,FALSE),YES_Writing_ELA[#Headers],0))=0,"",INDEX(_xlfn.VSTACK(YES_Writing_ELA[#Data],YES_Writing_FLA[#Data]),MATCH($A185,_xlfn.VSTACK(YES_Writing_ELA[Student Number],YES_Writing_FLA[Student Number]),0),MATCH(VLOOKUP(E$7,'Writing Logic'!$J$7:$K$11,2,FALSE)&amp;" - Per "&amp;VLOOKUP($C$4,'Writing Logic'!$G$8:$H$14,2,FALSE),YES_Writing_ELA[#Headers],0)))),"")</f>
        <v/>
      </c>
      <c r="F185" s="138" t="str">
        <f>IFERROR(IF(IF(INDEX(_xlfn.VSTACK(YES_Writing_ELA[#Data],YES_Writing_FLA[#Data]),MATCH($A185,_xlfn.VSTACK(YES_Writing_ELA[Student Number],YES_Writing_FLA[Student Number]),0),MATCH(VLOOKUP(F$7,'Writing Logic'!$J$7:$K$11,2,FALSE)&amp;" - Per "&amp;VLOOKUP($C$4,'Writing Logic'!$G$8:$H$14,2,FALSE),YES_Writing_ELA[#Headers],0))=0,"",INDEX(_xlfn.VSTACK(YES_Writing_ELA[#Data],YES_Writing_FLA[#Data]),MATCH($A185,_xlfn.VSTACK(YES_Writing_ELA[Student Number],YES_Writing_FLA[Student Number]),0),MATCH(VLOOKUP(F$7,'Writing Logic'!$J$7:$K$11,2,FALSE)&amp;" - Per "&amp;VLOOKUP($C$4,'Writing Logic'!$G$8:$H$14,2,FALSE),YES_Writing_ELA[#Headers],0)))="INS",'Writing Logic'!$B$7,IF(INDEX(_xlfn.VSTACK(YES_Writing_ELA[#Data],YES_Writing_FLA[#Data]),MATCH($A185,_xlfn.VSTACK(YES_Writing_ELA[Student Number],YES_Writing_FLA[Student Number]),0),MATCH(VLOOKUP(F$7,'Writing Logic'!$J$7:$K$11,2,FALSE)&amp;" - Per "&amp;VLOOKUP($C$4,'Writing Logic'!$G$8:$H$14,2,FALSE),YES_Writing_ELA[#Headers],0))=0,"",INDEX(_xlfn.VSTACK(YES_Writing_ELA[#Data],YES_Writing_FLA[#Data]),MATCH($A185,_xlfn.VSTACK(YES_Writing_ELA[Student Number],YES_Writing_FLA[Student Number]),0),MATCH(VLOOKUP(F$7,'Writing Logic'!$J$7:$K$11,2,FALSE)&amp;" - Per "&amp;VLOOKUP($C$4,'Writing Logic'!$G$8:$H$14,2,FALSE),YES_Writing_ELA[#Headers],0)))),"")</f>
        <v/>
      </c>
      <c r="G185" s="138" t="str">
        <f>IFERROR(IF(IF(INDEX(_xlfn.VSTACK(YES_Writing_ELA[#Data],YES_Writing_FLA[#Data]),MATCH($A185,_xlfn.VSTACK(YES_Writing_ELA[Student Number],YES_Writing_FLA[Student Number]),0),MATCH(VLOOKUP(G$7,'Writing Logic'!$J$7:$K$11,2,FALSE)&amp;" - Per "&amp;VLOOKUP($C$4,'Writing Logic'!$G$8:$H$14,2,FALSE),YES_Writing_ELA[#Headers],0))=0,"",INDEX(_xlfn.VSTACK(YES_Writing_ELA[#Data],YES_Writing_FLA[#Data]),MATCH($A185,_xlfn.VSTACK(YES_Writing_ELA[Student Number],YES_Writing_FLA[Student Number]),0),MATCH(VLOOKUP(G$7,'Writing Logic'!$J$7:$K$11,2,FALSE)&amp;" - Per "&amp;VLOOKUP($C$4,'Writing Logic'!$G$8:$H$14,2,FALSE),YES_Writing_ELA[#Headers],0)))="INS",'Writing Logic'!$B$7,IF(INDEX(_xlfn.VSTACK(YES_Writing_ELA[#Data],YES_Writing_FLA[#Data]),MATCH($A185,_xlfn.VSTACK(YES_Writing_ELA[Student Number],YES_Writing_FLA[Student Number]),0),MATCH(VLOOKUP(G$7,'Writing Logic'!$J$7:$K$11,2,FALSE)&amp;" - Per "&amp;VLOOKUP($C$4,'Writing Logic'!$G$8:$H$14,2,FALSE),YES_Writing_ELA[#Headers],0))=0,"",INDEX(_xlfn.VSTACK(YES_Writing_ELA[#Data],YES_Writing_FLA[#Data]),MATCH($A185,_xlfn.VSTACK(YES_Writing_ELA[Student Number],YES_Writing_FLA[Student Number]),0),MATCH(VLOOKUP(G$7,'Writing Logic'!$J$7:$K$11,2,FALSE)&amp;" - Per "&amp;VLOOKUP($C$4,'Writing Logic'!$G$8:$H$14,2,FALSE),YES_Writing_ELA[#Headers],0)))),"")</f>
        <v/>
      </c>
      <c r="H185" s="223" t="str">
        <f>IFERROR(IF(IF(INDEX(_xlfn.VSTACK(YES_Writing_ELA[#Data],YES_Writing_FLA[#Data]),MATCH($A185,_xlfn.VSTACK(YES_Writing_ELA[Student Number],YES_Writing_FLA[Student Number]),0),MATCH(VLOOKUP(H$7,'Writing Logic'!$J$7:$K$11,2,FALSE)&amp;" - Per "&amp;VLOOKUP($C$4,'Writing Logic'!$G$8:$H$14,2,FALSE),YES_Writing_ELA[#Headers],0))=0,"",INDEX(_xlfn.VSTACK(YES_Writing_ELA[#Data],YES_Writing_FLA[#Data]),MATCH($A185,_xlfn.VSTACK(YES_Writing_ELA[Student Number],YES_Writing_FLA[Student Number]),0),MATCH(VLOOKUP(H$7,'Writing Logic'!$J$7:$K$11,2,FALSE)&amp;" - Per "&amp;VLOOKUP($C$4,'Writing Logic'!$G$8:$H$14,2,FALSE),YES_Writing_ELA[#Headers],0)))="INS",'Writing Logic'!$B$7,IF(INDEX(_xlfn.VSTACK(YES_Writing_ELA[#Data],YES_Writing_FLA[#Data]),MATCH($A185,_xlfn.VSTACK(YES_Writing_ELA[Student Number],YES_Writing_FLA[Student Number]),0),MATCH(VLOOKUP(H$7,'Writing Logic'!$J$7:$K$11,2,FALSE)&amp;" - Per "&amp;VLOOKUP($C$4,'Writing Logic'!$G$8:$H$14,2,FALSE),YES_Writing_ELA[#Headers],0))=0,"",INDEX(_xlfn.VSTACK(YES_Writing_ELA[#Data],YES_Writing_FLA[#Data]),MATCH($A185,_xlfn.VSTACK(YES_Writing_ELA[Student Number],YES_Writing_FLA[Student Number]),0),MATCH(VLOOKUP(H$7,'Writing Logic'!$J$7:$K$11,2,FALSE)&amp;" - Per "&amp;VLOOKUP($C$4,'Writing Logic'!$G$8:$H$14,2,FALSE),YES_Writing_ELA[#Headers],0)))),"")</f>
        <v/>
      </c>
      <c r="I185" s="224" t="str" cm="1">
        <f t="array" aca="1" ref="I185" ca="1">IFERROR(
IF($G$3="ELA",
IF(VLOOKUP($A185, YES_Reading_ELA[], COLUMN(INDIRECT("YES_Reading_ELA[Difference - Per "&amp;VLOOKUP($G$4, 'Reading Report Logic'!$A$2:$B$8, 2, FALSE)&amp;"]")), FALSE)="", "",
VLOOKUP($A185,YES_Reading_ELA[], COLUMN(INDIRECT("YES_Reading_ELA[Difference - Per "&amp;VLOOKUP($G$4,'Reading Report Logic'!$A$2:$B$8,2,FALSE)&amp;"]")), FALSE)),
IF($G$3="FLA",
IF(VLOOKUP($A185, YES_Reading_FLA[], COLUMN(INDIRECT("YES_Reading_FLA[Difference - Per "&amp;VLOOKUP($G$4,'Reading Report Logic'!$A$2:$B$8,2,FALSE)&amp;"]")),FALSE)="","",
VLOOKUP($A185,YES_Reading_FLA[],COLUMN(INDIRECT("YES_Reading_FLA[Difference - Per "&amp;VLOOKUP($G$4,'Reading Report Logic'!$A$2:$B$8,2,FALSE)&amp;"]")),FALSE)),
IF($G$3="Combined",
IFERROR(
IF(VLOOKUP($A185, YES_Reading_ELA[], COLUMN(INDIRECT("YES_Reading_ELA[Difference - Per "&amp;VLOOKUP($G$4, 'Reading Report Logic'!$A$2:$B$8,2,FALSE)&amp;"]")), FALSE)="", "",
VLOOKUP($A185,YES_Reading_ELA[],COLUMN(INDIRECT("YES_Reading_ELA[Difference - Per "&amp;VLOOKUP($G$4,'Reading Report Logic'!$A$2:$B$8,2,FALSE)&amp;"]")),FALSE)),
IF(VLOOKUP($A185, YES_Reading_FLA[], COLUMN(INDIRECT("YES_Reading_FLA[Difference - Per "&amp;VLOOKUP($G$4, 'Reading Report Logic'!$A$2:$B$8, 2, FALSE)&amp;"]")),FALSE)="", "", VLOOKUP($A185,YES_Reading_FLA[],COLUMN(INDIRECT("YES_Reading_FLA[Difference - Per "&amp;VLOOKUP($G$4, 'Reading Report Logic'!$A$2:$B$8, 2, FALSE)&amp;"]")),FALSE))),""))),"")</f>
        <v/>
      </c>
    </row>
    <row r="186" spans="1:9" ht="14.25" customHeight="1" x14ac:dyDescent="0.25">
      <c r="A186" s="137"/>
      <c r="B186" s="137" t="str">
        <f>IFERROR(INDEX(_xlfn.VSTACK(YES_Writing_ELA[#Data], YES_Writing_FLA[#Data]),MATCH($A186,_xlfn.VSTACK(YES_Writing_ELA[Student Number], YES_Writing_FLA[Student Number]),0),MATCH(B$7,YES_Writing_ELA[#Headers],0)),IFERROR(INDEX(_xlfn.VSTACK(YES_Reading_ELA[#Data], YES_Reading_FLA[#Data]),MATCH($A186,_xlfn.VSTACK(YES_Reading_ELA[Student Number], YES_Reading_FLA[Student Number]),0),MATCH(B$7,YES_Reading_ELA[#Headers],0)),""))</f>
        <v/>
      </c>
      <c r="C186" s="137" t="str">
        <f>IFERROR(INDEX(_xlfn.VSTACK(YES_Writing_ELA[#Data], YES_Writing_FLA[#Data]),MATCH($A186,_xlfn.VSTACK(YES_Writing_ELA[Student Number], YES_Writing_FLA[Student Number]),0),MATCH(C$7,YES_Writing_ELA[#Headers],0)),IFERROR(INDEX(_xlfn.VSTACK(YES_Reading_ELA[#Data], YES_Reading_FLA[#Data]),MATCH($A186,_xlfn.VSTACK(YES_Reading_ELA[Student Number], YES_Reading_FLA[Student Number]),0),MATCH(C$7,YES_Reading_ELA[#Headers],0)),""))</f>
        <v/>
      </c>
      <c r="D186" s="138" t="str">
        <f>IFERROR(IF(IF(INDEX(_xlfn.VSTACK(YES_Writing_ELA[#Data],YES_Writing_FLA[#Data]),MATCH($A186,_xlfn.VSTACK(YES_Writing_ELA[Student Number],YES_Writing_FLA[Student Number]),0),MATCH(VLOOKUP(D$7,'Writing Logic'!$J$7:$K$11,2,FALSE)&amp;" - Per "&amp;VLOOKUP($C$4,'Writing Logic'!$G$8:$H$14,2,FALSE),YES_Writing_ELA[#Headers],0))=0,"",INDEX(_xlfn.VSTACK(YES_Writing_ELA[#Data],YES_Writing_FLA[#Data]),MATCH($A186,_xlfn.VSTACK(YES_Writing_ELA[Student Number],YES_Writing_FLA[Student Number]),0),MATCH(VLOOKUP(D$7,'Writing Logic'!$J$7:$K$11,2,FALSE)&amp;" - Per "&amp;VLOOKUP($C$4,'Writing Logic'!$G$8:$H$14,2,FALSE),YES_Writing_ELA[#Headers],0)))="INS",'Writing Logic'!$B$7,IF(INDEX(_xlfn.VSTACK(YES_Writing_ELA[#Data],YES_Writing_FLA[#Data]),MATCH($A186,_xlfn.VSTACK(YES_Writing_ELA[Student Number],YES_Writing_FLA[Student Number]),0),MATCH(VLOOKUP(D$7,'Writing Logic'!$J$7:$K$11,2,FALSE)&amp;" - Per "&amp;VLOOKUP($C$4,'Writing Logic'!$G$8:$H$14,2,FALSE),YES_Writing_ELA[#Headers],0))=0,"",INDEX(_xlfn.VSTACK(YES_Writing_ELA[#Data],YES_Writing_FLA[#Data]),MATCH($A186,_xlfn.VSTACK(YES_Writing_ELA[Student Number],YES_Writing_FLA[Student Number]),0),MATCH(VLOOKUP(D$7,'Writing Logic'!$J$7:$K$11,2,FALSE)&amp;" - Per "&amp;VLOOKUP($C$4,'Writing Logic'!$G$8:$H$14,2,FALSE),YES_Writing_ELA[#Headers],0)))),"")</f>
        <v/>
      </c>
      <c r="E186" s="138" t="str">
        <f>IFERROR(IF(IF(INDEX(_xlfn.VSTACK(YES_Writing_ELA[#Data],YES_Writing_FLA[#Data]),MATCH($A186,_xlfn.VSTACK(YES_Writing_ELA[Student Number],YES_Writing_FLA[Student Number]),0),MATCH(VLOOKUP(E$7,'Writing Logic'!$J$7:$K$11,2,FALSE)&amp;" - Per "&amp;VLOOKUP($C$4,'Writing Logic'!$G$8:$H$14,2,FALSE),YES_Writing_ELA[#Headers],0))=0,"",INDEX(_xlfn.VSTACK(YES_Writing_ELA[#Data],YES_Writing_FLA[#Data]),MATCH($A186,_xlfn.VSTACK(YES_Writing_ELA[Student Number],YES_Writing_FLA[Student Number]),0),MATCH(VLOOKUP(E$7,'Writing Logic'!$J$7:$K$11,2,FALSE)&amp;" - Per "&amp;VLOOKUP($C$4,'Writing Logic'!$G$8:$H$14,2,FALSE),YES_Writing_ELA[#Headers],0)))="INS",'Writing Logic'!$B$7,IF(INDEX(_xlfn.VSTACK(YES_Writing_ELA[#Data],YES_Writing_FLA[#Data]),MATCH($A186,_xlfn.VSTACK(YES_Writing_ELA[Student Number],YES_Writing_FLA[Student Number]),0),MATCH(VLOOKUP(E$7,'Writing Logic'!$J$7:$K$11,2,FALSE)&amp;" - Per "&amp;VLOOKUP($C$4,'Writing Logic'!$G$8:$H$14,2,FALSE),YES_Writing_ELA[#Headers],0))=0,"",INDEX(_xlfn.VSTACK(YES_Writing_ELA[#Data],YES_Writing_FLA[#Data]),MATCH($A186,_xlfn.VSTACK(YES_Writing_ELA[Student Number],YES_Writing_FLA[Student Number]),0),MATCH(VLOOKUP(E$7,'Writing Logic'!$J$7:$K$11,2,FALSE)&amp;" - Per "&amp;VLOOKUP($C$4,'Writing Logic'!$G$8:$H$14,2,FALSE),YES_Writing_ELA[#Headers],0)))),"")</f>
        <v/>
      </c>
      <c r="F186" s="138" t="str">
        <f>IFERROR(IF(IF(INDEX(_xlfn.VSTACK(YES_Writing_ELA[#Data],YES_Writing_FLA[#Data]),MATCH($A186,_xlfn.VSTACK(YES_Writing_ELA[Student Number],YES_Writing_FLA[Student Number]),0),MATCH(VLOOKUP(F$7,'Writing Logic'!$J$7:$K$11,2,FALSE)&amp;" - Per "&amp;VLOOKUP($C$4,'Writing Logic'!$G$8:$H$14,2,FALSE),YES_Writing_ELA[#Headers],0))=0,"",INDEX(_xlfn.VSTACK(YES_Writing_ELA[#Data],YES_Writing_FLA[#Data]),MATCH($A186,_xlfn.VSTACK(YES_Writing_ELA[Student Number],YES_Writing_FLA[Student Number]),0),MATCH(VLOOKUP(F$7,'Writing Logic'!$J$7:$K$11,2,FALSE)&amp;" - Per "&amp;VLOOKUP($C$4,'Writing Logic'!$G$8:$H$14,2,FALSE),YES_Writing_ELA[#Headers],0)))="INS",'Writing Logic'!$B$7,IF(INDEX(_xlfn.VSTACK(YES_Writing_ELA[#Data],YES_Writing_FLA[#Data]),MATCH($A186,_xlfn.VSTACK(YES_Writing_ELA[Student Number],YES_Writing_FLA[Student Number]),0),MATCH(VLOOKUP(F$7,'Writing Logic'!$J$7:$K$11,2,FALSE)&amp;" - Per "&amp;VLOOKUP($C$4,'Writing Logic'!$G$8:$H$14,2,FALSE),YES_Writing_ELA[#Headers],0))=0,"",INDEX(_xlfn.VSTACK(YES_Writing_ELA[#Data],YES_Writing_FLA[#Data]),MATCH($A186,_xlfn.VSTACK(YES_Writing_ELA[Student Number],YES_Writing_FLA[Student Number]),0),MATCH(VLOOKUP(F$7,'Writing Logic'!$J$7:$K$11,2,FALSE)&amp;" - Per "&amp;VLOOKUP($C$4,'Writing Logic'!$G$8:$H$14,2,FALSE),YES_Writing_ELA[#Headers],0)))),"")</f>
        <v/>
      </c>
      <c r="G186" s="138" t="str">
        <f>IFERROR(IF(IF(INDEX(_xlfn.VSTACK(YES_Writing_ELA[#Data],YES_Writing_FLA[#Data]),MATCH($A186,_xlfn.VSTACK(YES_Writing_ELA[Student Number],YES_Writing_FLA[Student Number]),0),MATCH(VLOOKUP(G$7,'Writing Logic'!$J$7:$K$11,2,FALSE)&amp;" - Per "&amp;VLOOKUP($C$4,'Writing Logic'!$G$8:$H$14,2,FALSE),YES_Writing_ELA[#Headers],0))=0,"",INDEX(_xlfn.VSTACK(YES_Writing_ELA[#Data],YES_Writing_FLA[#Data]),MATCH($A186,_xlfn.VSTACK(YES_Writing_ELA[Student Number],YES_Writing_FLA[Student Number]),0),MATCH(VLOOKUP(G$7,'Writing Logic'!$J$7:$K$11,2,FALSE)&amp;" - Per "&amp;VLOOKUP($C$4,'Writing Logic'!$G$8:$H$14,2,FALSE),YES_Writing_ELA[#Headers],0)))="INS",'Writing Logic'!$B$7,IF(INDEX(_xlfn.VSTACK(YES_Writing_ELA[#Data],YES_Writing_FLA[#Data]),MATCH($A186,_xlfn.VSTACK(YES_Writing_ELA[Student Number],YES_Writing_FLA[Student Number]),0),MATCH(VLOOKUP(G$7,'Writing Logic'!$J$7:$K$11,2,FALSE)&amp;" - Per "&amp;VLOOKUP($C$4,'Writing Logic'!$G$8:$H$14,2,FALSE),YES_Writing_ELA[#Headers],0))=0,"",INDEX(_xlfn.VSTACK(YES_Writing_ELA[#Data],YES_Writing_FLA[#Data]),MATCH($A186,_xlfn.VSTACK(YES_Writing_ELA[Student Number],YES_Writing_FLA[Student Number]),0),MATCH(VLOOKUP(G$7,'Writing Logic'!$J$7:$K$11,2,FALSE)&amp;" - Per "&amp;VLOOKUP($C$4,'Writing Logic'!$G$8:$H$14,2,FALSE),YES_Writing_ELA[#Headers],0)))),"")</f>
        <v/>
      </c>
      <c r="H186" s="223" t="str">
        <f>IFERROR(IF(IF(INDEX(_xlfn.VSTACK(YES_Writing_ELA[#Data],YES_Writing_FLA[#Data]),MATCH($A186,_xlfn.VSTACK(YES_Writing_ELA[Student Number],YES_Writing_FLA[Student Number]),0),MATCH(VLOOKUP(H$7,'Writing Logic'!$J$7:$K$11,2,FALSE)&amp;" - Per "&amp;VLOOKUP($C$4,'Writing Logic'!$G$8:$H$14,2,FALSE),YES_Writing_ELA[#Headers],0))=0,"",INDEX(_xlfn.VSTACK(YES_Writing_ELA[#Data],YES_Writing_FLA[#Data]),MATCH($A186,_xlfn.VSTACK(YES_Writing_ELA[Student Number],YES_Writing_FLA[Student Number]),0),MATCH(VLOOKUP(H$7,'Writing Logic'!$J$7:$K$11,2,FALSE)&amp;" - Per "&amp;VLOOKUP($C$4,'Writing Logic'!$G$8:$H$14,2,FALSE),YES_Writing_ELA[#Headers],0)))="INS",'Writing Logic'!$B$7,IF(INDEX(_xlfn.VSTACK(YES_Writing_ELA[#Data],YES_Writing_FLA[#Data]),MATCH($A186,_xlfn.VSTACK(YES_Writing_ELA[Student Number],YES_Writing_FLA[Student Number]),0),MATCH(VLOOKUP(H$7,'Writing Logic'!$J$7:$K$11,2,FALSE)&amp;" - Per "&amp;VLOOKUP($C$4,'Writing Logic'!$G$8:$H$14,2,FALSE),YES_Writing_ELA[#Headers],0))=0,"",INDEX(_xlfn.VSTACK(YES_Writing_ELA[#Data],YES_Writing_FLA[#Data]),MATCH($A186,_xlfn.VSTACK(YES_Writing_ELA[Student Number],YES_Writing_FLA[Student Number]),0),MATCH(VLOOKUP(H$7,'Writing Logic'!$J$7:$K$11,2,FALSE)&amp;" - Per "&amp;VLOOKUP($C$4,'Writing Logic'!$G$8:$H$14,2,FALSE),YES_Writing_ELA[#Headers],0)))),"")</f>
        <v/>
      </c>
      <c r="I186" s="224" t="str" cm="1">
        <f t="array" aca="1" ref="I186" ca="1">IFERROR(
IF($G$3="ELA",
IF(VLOOKUP($A186, YES_Reading_ELA[], COLUMN(INDIRECT("YES_Reading_ELA[Difference - Per "&amp;VLOOKUP($G$4, 'Reading Report Logic'!$A$2:$B$8, 2, FALSE)&amp;"]")), FALSE)="", "",
VLOOKUP($A186,YES_Reading_ELA[], COLUMN(INDIRECT("YES_Reading_ELA[Difference - Per "&amp;VLOOKUP($G$4,'Reading Report Logic'!$A$2:$B$8,2,FALSE)&amp;"]")), FALSE)),
IF($G$3="FLA",
IF(VLOOKUP($A186, YES_Reading_FLA[], COLUMN(INDIRECT("YES_Reading_FLA[Difference - Per "&amp;VLOOKUP($G$4,'Reading Report Logic'!$A$2:$B$8,2,FALSE)&amp;"]")),FALSE)="","",
VLOOKUP($A186,YES_Reading_FLA[],COLUMN(INDIRECT("YES_Reading_FLA[Difference - Per "&amp;VLOOKUP($G$4,'Reading Report Logic'!$A$2:$B$8,2,FALSE)&amp;"]")),FALSE)),
IF($G$3="Combined",
IFERROR(
IF(VLOOKUP($A186, YES_Reading_ELA[], COLUMN(INDIRECT("YES_Reading_ELA[Difference - Per "&amp;VLOOKUP($G$4, 'Reading Report Logic'!$A$2:$B$8,2,FALSE)&amp;"]")), FALSE)="", "",
VLOOKUP($A186,YES_Reading_ELA[],COLUMN(INDIRECT("YES_Reading_ELA[Difference - Per "&amp;VLOOKUP($G$4,'Reading Report Logic'!$A$2:$B$8,2,FALSE)&amp;"]")),FALSE)),
IF(VLOOKUP($A186, YES_Reading_FLA[], COLUMN(INDIRECT("YES_Reading_FLA[Difference - Per "&amp;VLOOKUP($G$4, 'Reading Report Logic'!$A$2:$B$8, 2, FALSE)&amp;"]")),FALSE)="", "", VLOOKUP($A186,YES_Reading_FLA[],COLUMN(INDIRECT("YES_Reading_FLA[Difference - Per "&amp;VLOOKUP($G$4, 'Reading Report Logic'!$A$2:$B$8, 2, FALSE)&amp;"]")),FALSE))),""))),"")</f>
        <v/>
      </c>
    </row>
    <row r="187" spans="1:9" ht="14.25" customHeight="1" x14ac:dyDescent="0.25">
      <c r="A187" s="137"/>
      <c r="B187" s="137" t="str">
        <f>IFERROR(INDEX(_xlfn.VSTACK(YES_Writing_ELA[#Data], YES_Writing_FLA[#Data]),MATCH($A187,_xlfn.VSTACK(YES_Writing_ELA[Student Number], YES_Writing_FLA[Student Number]),0),MATCH(B$7,YES_Writing_ELA[#Headers],0)),IFERROR(INDEX(_xlfn.VSTACK(YES_Reading_ELA[#Data], YES_Reading_FLA[#Data]),MATCH($A187,_xlfn.VSTACK(YES_Reading_ELA[Student Number], YES_Reading_FLA[Student Number]),0),MATCH(B$7,YES_Reading_ELA[#Headers],0)),""))</f>
        <v/>
      </c>
      <c r="C187" s="137" t="str">
        <f>IFERROR(INDEX(_xlfn.VSTACK(YES_Writing_ELA[#Data], YES_Writing_FLA[#Data]),MATCH($A187,_xlfn.VSTACK(YES_Writing_ELA[Student Number], YES_Writing_FLA[Student Number]),0),MATCH(C$7,YES_Writing_ELA[#Headers],0)),IFERROR(INDEX(_xlfn.VSTACK(YES_Reading_ELA[#Data], YES_Reading_FLA[#Data]),MATCH($A187,_xlfn.VSTACK(YES_Reading_ELA[Student Number], YES_Reading_FLA[Student Number]),0),MATCH(C$7,YES_Reading_ELA[#Headers],0)),""))</f>
        <v/>
      </c>
      <c r="D187" s="138" t="str">
        <f>IFERROR(IF(IF(INDEX(_xlfn.VSTACK(YES_Writing_ELA[#Data],YES_Writing_FLA[#Data]),MATCH($A187,_xlfn.VSTACK(YES_Writing_ELA[Student Number],YES_Writing_FLA[Student Number]),0),MATCH(VLOOKUP(D$7,'Writing Logic'!$J$7:$K$11,2,FALSE)&amp;" - Per "&amp;VLOOKUP($C$4,'Writing Logic'!$G$8:$H$14,2,FALSE),YES_Writing_ELA[#Headers],0))=0,"",INDEX(_xlfn.VSTACK(YES_Writing_ELA[#Data],YES_Writing_FLA[#Data]),MATCH($A187,_xlfn.VSTACK(YES_Writing_ELA[Student Number],YES_Writing_FLA[Student Number]),0),MATCH(VLOOKUP(D$7,'Writing Logic'!$J$7:$K$11,2,FALSE)&amp;" - Per "&amp;VLOOKUP($C$4,'Writing Logic'!$G$8:$H$14,2,FALSE),YES_Writing_ELA[#Headers],0)))="INS",'Writing Logic'!$B$7,IF(INDEX(_xlfn.VSTACK(YES_Writing_ELA[#Data],YES_Writing_FLA[#Data]),MATCH($A187,_xlfn.VSTACK(YES_Writing_ELA[Student Number],YES_Writing_FLA[Student Number]),0),MATCH(VLOOKUP(D$7,'Writing Logic'!$J$7:$K$11,2,FALSE)&amp;" - Per "&amp;VLOOKUP($C$4,'Writing Logic'!$G$8:$H$14,2,FALSE),YES_Writing_ELA[#Headers],0))=0,"",INDEX(_xlfn.VSTACK(YES_Writing_ELA[#Data],YES_Writing_FLA[#Data]),MATCH($A187,_xlfn.VSTACK(YES_Writing_ELA[Student Number],YES_Writing_FLA[Student Number]),0),MATCH(VLOOKUP(D$7,'Writing Logic'!$J$7:$K$11,2,FALSE)&amp;" - Per "&amp;VLOOKUP($C$4,'Writing Logic'!$G$8:$H$14,2,FALSE),YES_Writing_ELA[#Headers],0)))),"")</f>
        <v/>
      </c>
      <c r="E187" s="138" t="str">
        <f>IFERROR(IF(IF(INDEX(_xlfn.VSTACK(YES_Writing_ELA[#Data],YES_Writing_FLA[#Data]),MATCH($A187,_xlfn.VSTACK(YES_Writing_ELA[Student Number],YES_Writing_FLA[Student Number]),0),MATCH(VLOOKUP(E$7,'Writing Logic'!$J$7:$K$11,2,FALSE)&amp;" - Per "&amp;VLOOKUP($C$4,'Writing Logic'!$G$8:$H$14,2,FALSE),YES_Writing_ELA[#Headers],0))=0,"",INDEX(_xlfn.VSTACK(YES_Writing_ELA[#Data],YES_Writing_FLA[#Data]),MATCH($A187,_xlfn.VSTACK(YES_Writing_ELA[Student Number],YES_Writing_FLA[Student Number]),0),MATCH(VLOOKUP(E$7,'Writing Logic'!$J$7:$K$11,2,FALSE)&amp;" - Per "&amp;VLOOKUP($C$4,'Writing Logic'!$G$8:$H$14,2,FALSE),YES_Writing_ELA[#Headers],0)))="INS",'Writing Logic'!$B$7,IF(INDEX(_xlfn.VSTACK(YES_Writing_ELA[#Data],YES_Writing_FLA[#Data]),MATCH($A187,_xlfn.VSTACK(YES_Writing_ELA[Student Number],YES_Writing_FLA[Student Number]),0),MATCH(VLOOKUP(E$7,'Writing Logic'!$J$7:$K$11,2,FALSE)&amp;" - Per "&amp;VLOOKUP($C$4,'Writing Logic'!$G$8:$H$14,2,FALSE),YES_Writing_ELA[#Headers],0))=0,"",INDEX(_xlfn.VSTACK(YES_Writing_ELA[#Data],YES_Writing_FLA[#Data]),MATCH($A187,_xlfn.VSTACK(YES_Writing_ELA[Student Number],YES_Writing_FLA[Student Number]),0),MATCH(VLOOKUP(E$7,'Writing Logic'!$J$7:$K$11,2,FALSE)&amp;" - Per "&amp;VLOOKUP($C$4,'Writing Logic'!$G$8:$H$14,2,FALSE),YES_Writing_ELA[#Headers],0)))),"")</f>
        <v/>
      </c>
      <c r="F187" s="138" t="str">
        <f>IFERROR(IF(IF(INDEX(_xlfn.VSTACK(YES_Writing_ELA[#Data],YES_Writing_FLA[#Data]),MATCH($A187,_xlfn.VSTACK(YES_Writing_ELA[Student Number],YES_Writing_FLA[Student Number]),0),MATCH(VLOOKUP(F$7,'Writing Logic'!$J$7:$K$11,2,FALSE)&amp;" - Per "&amp;VLOOKUP($C$4,'Writing Logic'!$G$8:$H$14,2,FALSE),YES_Writing_ELA[#Headers],0))=0,"",INDEX(_xlfn.VSTACK(YES_Writing_ELA[#Data],YES_Writing_FLA[#Data]),MATCH($A187,_xlfn.VSTACK(YES_Writing_ELA[Student Number],YES_Writing_FLA[Student Number]),0),MATCH(VLOOKUP(F$7,'Writing Logic'!$J$7:$K$11,2,FALSE)&amp;" - Per "&amp;VLOOKUP($C$4,'Writing Logic'!$G$8:$H$14,2,FALSE),YES_Writing_ELA[#Headers],0)))="INS",'Writing Logic'!$B$7,IF(INDEX(_xlfn.VSTACK(YES_Writing_ELA[#Data],YES_Writing_FLA[#Data]),MATCH($A187,_xlfn.VSTACK(YES_Writing_ELA[Student Number],YES_Writing_FLA[Student Number]),0),MATCH(VLOOKUP(F$7,'Writing Logic'!$J$7:$K$11,2,FALSE)&amp;" - Per "&amp;VLOOKUP($C$4,'Writing Logic'!$G$8:$H$14,2,FALSE),YES_Writing_ELA[#Headers],0))=0,"",INDEX(_xlfn.VSTACK(YES_Writing_ELA[#Data],YES_Writing_FLA[#Data]),MATCH($A187,_xlfn.VSTACK(YES_Writing_ELA[Student Number],YES_Writing_FLA[Student Number]),0),MATCH(VLOOKUP(F$7,'Writing Logic'!$J$7:$K$11,2,FALSE)&amp;" - Per "&amp;VLOOKUP($C$4,'Writing Logic'!$G$8:$H$14,2,FALSE),YES_Writing_ELA[#Headers],0)))),"")</f>
        <v/>
      </c>
      <c r="G187" s="138" t="str">
        <f>IFERROR(IF(IF(INDEX(_xlfn.VSTACK(YES_Writing_ELA[#Data],YES_Writing_FLA[#Data]),MATCH($A187,_xlfn.VSTACK(YES_Writing_ELA[Student Number],YES_Writing_FLA[Student Number]),0),MATCH(VLOOKUP(G$7,'Writing Logic'!$J$7:$K$11,2,FALSE)&amp;" - Per "&amp;VLOOKUP($C$4,'Writing Logic'!$G$8:$H$14,2,FALSE),YES_Writing_ELA[#Headers],0))=0,"",INDEX(_xlfn.VSTACK(YES_Writing_ELA[#Data],YES_Writing_FLA[#Data]),MATCH($A187,_xlfn.VSTACK(YES_Writing_ELA[Student Number],YES_Writing_FLA[Student Number]),0),MATCH(VLOOKUP(G$7,'Writing Logic'!$J$7:$K$11,2,FALSE)&amp;" - Per "&amp;VLOOKUP($C$4,'Writing Logic'!$G$8:$H$14,2,FALSE),YES_Writing_ELA[#Headers],0)))="INS",'Writing Logic'!$B$7,IF(INDEX(_xlfn.VSTACK(YES_Writing_ELA[#Data],YES_Writing_FLA[#Data]),MATCH($A187,_xlfn.VSTACK(YES_Writing_ELA[Student Number],YES_Writing_FLA[Student Number]),0),MATCH(VLOOKUP(G$7,'Writing Logic'!$J$7:$K$11,2,FALSE)&amp;" - Per "&amp;VLOOKUP($C$4,'Writing Logic'!$G$8:$H$14,2,FALSE),YES_Writing_ELA[#Headers],0))=0,"",INDEX(_xlfn.VSTACK(YES_Writing_ELA[#Data],YES_Writing_FLA[#Data]),MATCH($A187,_xlfn.VSTACK(YES_Writing_ELA[Student Number],YES_Writing_FLA[Student Number]),0),MATCH(VLOOKUP(G$7,'Writing Logic'!$J$7:$K$11,2,FALSE)&amp;" - Per "&amp;VLOOKUP($C$4,'Writing Logic'!$G$8:$H$14,2,FALSE),YES_Writing_ELA[#Headers],0)))),"")</f>
        <v/>
      </c>
      <c r="H187" s="223" t="str">
        <f>IFERROR(IF(IF(INDEX(_xlfn.VSTACK(YES_Writing_ELA[#Data],YES_Writing_FLA[#Data]),MATCH($A187,_xlfn.VSTACK(YES_Writing_ELA[Student Number],YES_Writing_FLA[Student Number]),0),MATCH(VLOOKUP(H$7,'Writing Logic'!$J$7:$K$11,2,FALSE)&amp;" - Per "&amp;VLOOKUP($C$4,'Writing Logic'!$G$8:$H$14,2,FALSE),YES_Writing_ELA[#Headers],0))=0,"",INDEX(_xlfn.VSTACK(YES_Writing_ELA[#Data],YES_Writing_FLA[#Data]),MATCH($A187,_xlfn.VSTACK(YES_Writing_ELA[Student Number],YES_Writing_FLA[Student Number]),0),MATCH(VLOOKUP(H$7,'Writing Logic'!$J$7:$K$11,2,FALSE)&amp;" - Per "&amp;VLOOKUP($C$4,'Writing Logic'!$G$8:$H$14,2,FALSE),YES_Writing_ELA[#Headers],0)))="INS",'Writing Logic'!$B$7,IF(INDEX(_xlfn.VSTACK(YES_Writing_ELA[#Data],YES_Writing_FLA[#Data]),MATCH($A187,_xlfn.VSTACK(YES_Writing_ELA[Student Number],YES_Writing_FLA[Student Number]),0),MATCH(VLOOKUP(H$7,'Writing Logic'!$J$7:$K$11,2,FALSE)&amp;" - Per "&amp;VLOOKUP($C$4,'Writing Logic'!$G$8:$H$14,2,FALSE),YES_Writing_ELA[#Headers],0))=0,"",INDEX(_xlfn.VSTACK(YES_Writing_ELA[#Data],YES_Writing_FLA[#Data]),MATCH($A187,_xlfn.VSTACK(YES_Writing_ELA[Student Number],YES_Writing_FLA[Student Number]),0),MATCH(VLOOKUP(H$7,'Writing Logic'!$J$7:$K$11,2,FALSE)&amp;" - Per "&amp;VLOOKUP($C$4,'Writing Logic'!$G$8:$H$14,2,FALSE),YES_Writing_ELA[#Headers],0)))),"")</f>
        <v/>
      </c>
      <c r="I187" s="224" t="str" cm="1">
        <f t="array" aca="1" ref="I187" ca="1">IFERROR(
IF($G$3="ELA",
IF(VLOOKUP($A187, YES_Reading_ELA[], COLUMN(INDIRECT("YES_Reading_ELA[Difference - Per "&amp;VLOOKUP($G$4, 'Reading Report Logic'!$A$2:$B$8, 2, FALSE)&amp;"]")), FALSE)="", "",
VLOOKUP($A187,YES_Reading_ELA[], COLUMN(INDIRECT("YES_Reading_ELA[Difference - Per "&amp;VLOOKUP($G$4,'Reading Report Logic'!$A$2:$B$8,2,FALSE)&amp;"]")), FALSE)),
IF($G$3="FLA",
IF(VLOOKUP($A187, YES_Reading_FLA[], COLUMN(INDIRECT("YES_Reading_FLA[Difference - Per "&amp;VLOOKUP($G$4,'Reading Report Logic'!$A$2:$B$8,2,FALSE)&amp;"]")),FALSE)="","",
VLOOKUP($A187,YES_Reading_FLA[],COLUMN(INDIRECT("YES_Reading_FLA[Difference - Per "&amp;VLOOKUP($G$4,'Reading Report Logic'!$A$2:$B$8,2,FALSE)&amp;"]")),FALSE)),
IF($G$3="Combined",
IFERROR(
IF(VLOOKUP($A187, YES_Reading_ELA[], COLUMN(INDIRECT("YES_Reading_ELA[Difference - Per "&amp;VLOOKUP($G$4, 'Reading Report Logic'!$A$2:$B$8,2,FALSE)&amp;"]")), FALSE)="", "",
VLOOKUP($A187,YES_Reading_ELA[],COLUMN(INDIRECT("YES_Reading_ELA[Difference - Per "&amp;VLOOKUP($G$4,'Reading Report Logic'!$A$2:$B$8,2,FALSE)&amp;"]")),FALSE)),
IF(VLOOKUP($A187, YES_Reading_FLA[], COLUMN(INDIRECT("YES_Reading_FLA[Difference - Per "&amp;VLOOKUP($G$4, 'Reading Report Logic'!$A$2:$B$8, 2, FALSE)&amp;"]")),FALSE)="", "", VLOOKUP($A187,YES_Reading_FLA[],COLUMN(INDIRECT("YES_Reading_FLA[Difference - Per "&amp;VLOOKUP($G$4, 'Reading Report Logic'!$A$2:$B$8, 2, FALSE)&amp;"]")),FALSE))),""))),"")</f>
        <v/>
      </c>
    </row>
    <row r="188" spans="1:9" ht="14.25" customHeight="1" x14ac:dyDescent="0.25">
      <c r="A188" s="137"/>
      <c r="B188" s="137" t="str">
        <f>IFERROR(INDEX(_xlfn.VSTACK(YES_Writing_ELA[#Data], YES_Writing_FLA[#Data]),MATCH($A188,_xlfn.VSTACK(YES_Writing_ELA[Student Number], YES_Writing_FLA[Student Number]),0),MATCH(B$7,YES_Writing_ELA[#Headers],0)),IFERROR(INDEX(_xlfn.VSTACK(YES_Reading_ELA[#Data], YES_Reading_FLA[#Data]),MATCH($A188,_xlfn.VSTACK(YES_Reading_ELA[Student Number], YES_Reading_FLA[Student Number]),0),MATCH(B$7,YES_Reading_ELA[#Headers],0)),""))</f>
        <v/>
      </c>
      <c r="C188" s="137" t="str">
        <f>IFERROR(INDEX(_xlfn.VSTACK(YES_Writing_ELA[#Data], YES_Writing_FLA[#Data]),MATCH($A188,_xlfn.VSTACK(YES_Writing_ELA[Student Number], YES_Writing_FLA[Student Number]),0),MATCH(C$7,YES_Writing_ELA[#Headers],0)),IFERROR(INDEX(_xlfn.VSTACK(YES_Reading_ELA[#Data], YES_Reading_FLA[#Data]),MATCH($A188,_xlfn.VSTACK(YES_Reading_ELA[Student Number], YES_Reading_FLA[Student Number]),0),MATCH(C$7,YES_Reading_ELA[#Headers],0)),""))</f>
        <v/>
      </c>
      <c r="D188" s="138" t="str">
        <f>IFERROR(IF(IF(INDEX(_xlfn.VSTACK(YES_Writing_ELA[#Data],YES_Writing_FLA[#Data]),MATCH($A188,_xlfn.VSTACK(YES_Writing_ELA[Student Number],YES_Writing_FLA[Student Number]),0),MATCH(VLOOKUP(D$7,'Writing Logic'!$J$7:$K$11,2,FALSE)&amp;" - Per "&amp;VLOOKUP($C$4,'Writing Logic'!$G$8:$H$14,2,FALSE),YES_Writing_ELA[#Headers],0))=0,"",INDEX(_xlfn.VSTACK(YES_Writing_ELA[#Data],YES_Writing_FLA[#Data]),MATCH($A188,_xlfn.VSTACK(YES_Writing_ELA[Student Number],YES_Writing_FLA[Student Number]),0),MATCH(VLOOKUP(D$7,'Writing Logic'!$J$7:$K$11,2,FALSE)&amp;" - Per "&amp;VLOOKUP($C$4,'Writing Logic'!$G$8:$H$14,2,FALSE),YES_Writing_ELA[#Headers],0)))="INS",'Writing Logic'!$B$7,IF(INDEX(_xlfn.VSTACK(YES_Writing_ELA[#Data],YES_Writing_FLA[#Data]),MATCH($A188,_xlfn.VSTACK(YES_Writing_ELA[Student Number],YES_Writing_FLA[Student Number]),0),MATCH(VLOOKUP(D$7,'Writing Logic'!$J$7:$K$11,2,FALSE)&amp;" - Per "&amp;VLOOKUP($C$4,'Writing Logic'!$G$8:$H$14,2,FALSE),YES_Writing_ELA[#Headers],0))=0,"",INDEX(_xlfn.VSTACK(YES_Writing_ELA[#Data],YES_Writing_FLA[#Data]),MATCH($A188,_xlfn.VSTACK(YES_Writing_ELA[Student Number],YES_Writing_FLA[Student Number]),0),MATCH(VLOOKUP(D$7,'Writing Logic'!$J$7:$K$11,2,FALSE)&amp;" - Per "&amp;VLOOKUP($C$4,'Writing Logic'!$G$8:$H$14,2,FALSE),YES_Writing_ELA[#Headers],0)))),"")</f>
        <v/>
      </c>
      <c r="E188" s="138" t="str">
        <f>IFERROR(IF(IF(INDEX(_xlfn.VSTACK(YES_Writing_ELA[#Data],YES_Writing_FLA[#Data]),MATCH($A188,_xlfn.VSTACK(YES_Writing_ELA[Student Number],YES_Writing_FLA[Student Number]),0),MATCH(VLOOKUP(E$7,'Writing Logic'!$J$7:$K$11,2,FALSE)&amp;" - Per "&amp;VLOOKUP($C$4,'Writing Logic'!$G$8:$H$14,2,FALSE),YES_Writing_ELA[#Headers],0))=0,"",INDEX(_xlfn.VSTACK(YES_Writing_ELA[#Data],YES_Writing_FLA[#Data]),MATCH($A188,_xlfn.VSTACK(YES_Writing_ELA[Student Number],YES_Writing_FLA[Student Number]),0),MATCH(VLOOKUP(E$7,'Writing Logic'!$J$7:$K$11,2,FALSE)&amp;" - Per "&amp;VLOOKUP($C$4,'Writing Logic'!$G$8:$H$14,2,FALSE),YES_Writing_ELA[#Headers],0)))="INS",'Writing Logic'!$B$7,IF(INDEX(_xlfn.VSTACK(YES_Writing_ELA[#Data],YES_Writing_FLA[#Data]),MATCH($A188,_xlfn.VSTACK(YES_Writing_ELA[Student Number],YES_Writing_FLA[Student Number]),0),MATCH(VLOOKUP(E$7,'Writing Logic'!$J$7:$K$11,2,FALSE)&amp;" - Per "&amp;VLOOKUP($C$4,'Writing Logic'!$G$8:$H$14,2,FALSE),YES_Writing_ELA[#Headers],0))=0,"",INDEX(_xlfn.VSTACK(YES_Writing_ELA[#Data],YES_Writing_FLA[#Data]),MATCH($A188,_xlfn.VSTACK(YES_Writing_ELA[Student Number],YES_Writing_FLA[Student Number]),0),MATCH(VLOOKUP(E$7,'Writing Logic'!$J$7:$K$11,2,FALSE)&amp;" - Per "&amp;VLOOKUP($C$4,'Writing Logic'!$G$8:$H$14,2,FALSE),YES_Writing_ELA[#Headers],0)))),"")</f>
        <v/>
      </c>
      <c r="F188" s="138" t="str">
        <f>IFERROR(IF(IF(INDEX(_xlfn.VSTACK(YES_Writing_ELA[#Data],YES_Writing_FLA[#Data]),MATCH($A188,_xlfn.VSTACK(YES_Writing_ELA[Student Number],YES_Writing_FLA[Student Number]),0),MATCH(VLOOKUP(F$7,'Writing Logic'!$J$7:$K$11,2,FALSE)&amp;" - Per "&amp;VLOOKUP($C$4,'Writing Logic'!$G$8:$H$14,2,FALSE),YES_Writing_ELA[#Headers],0))=0,"",INDEX(_xlfn.VSTACK(YES_Writing_ELA[#Data],YES_Writing_FLA[#Data]),MATCH($A188,_xlfn.VSTACK(YES_Writing_ELA[Student Number],YES_Writing_FLA[Student Number]),0),MATCH(VLOOKUP(F$7,'Writing Logic'!$J$7:$K$11,2,FALSE)&amp;" - Per "&amp;VLOOKUP($C$4,'Writing Logic'!$G$8:$H$14,2,FALSE),YES_Writing_ELA[#Headers],0)))="INS",'Writing Logic'!$B$7,IF(INDEX(_xlfn.VSTACK(YES_Writing_ELA[#Data],YES_Writing_FLA[#Data]),MATCH($A188,_xlfn.VSTACK(YES_Writing_ELA[Student Number],YES_Writing_FLA[Student Number]),0),MATCH(VLOOKUP(F$7,'Writing Logic'!$J$7:$K$11,2,FALSE)&amp;" - Per "&amp;VLOOKUP($C$4,'Writing Logic'!$G$8:$H$14,2,FALSE),YES_Writing_ELA[#Headers],0))=0,"",INDEX(_xlfn.VSTACK(YES_Writing_ELA[#Data],YES_Writing_FLA[#Data]),MATCH($A188,_xlfn.VSTACK(YES_Writing_ELA[Student Number],YES_Writing_FLA[Student Number]),0),MATCH(VLOOKUP(F$7,'Writing Logic'!$J$7:$K$11,2,FALSE)&amp;" - Per "&amp;VLOOKUP($C$4,'Writing Logic'!$G$8:$H$14,2,FALSE),YES_Writing_ELA[#Headers],0)))),"")</f>
        <v/>
      </c>
      <c r="G188" s="138" t="str">
        <f>IFERROR(IF(IF(INDEX(_xlfn.VSTACK(YES_Writing_ELA[#Data],YES_Writing_FLA[#Data]),MATCH($A188,_xlfn.VSTACK(YES_Writing_ELA[Student Number],YES_Writing_FLA[Student Number]),0),MATCH(VLOOKUP(G$7,'Writing Logic'!$J$7:$K$11,2,FALSE)&amp;" - Per "&amp;VLOOKUP($C$4,'Writing Logic'!$G$8:$H$14,2,FALSE),YES_Writing_ELA[#Headers],0))=0,"",INDEX(_xlfn.VSTACK(YES_Writing_ELA[#Data],YES_Writing_FLA[#Data]),MATCH($A188,_xlfn.VSTACK(YES_Writing_ELA[Student Number],YES_Writing_FLA[Student Number]),0),MATCH(VLOOKUP(G$7,'Writing Logic'!$J$7:$K$11,2,FALSE)&amp;" - Per "&amp;VLOOKUP($C$4,'Writing Logic'!$G$8:$H$14,2,FALSE),YES_Writing_ELA[#Headers],0)))="INS",'Writing Logic'!$B$7,IF(INDEX(_xlfn.VSTACK(YES_Writing_ELA[#Data],YES_Writing_FLA[#Data]),MATCH($A188,_xlfn.VSTACK(YES_Writing_ELA[Student Number],YES_Writing_FLA[Student Number]),0),MATCH(VLOOKUP(G$7,'Writing Logic'!$J$7:$K$11,2,FALSE)&amp;" - Per "&amp;VLOOKUP($C$4,'Writing Logic'!$G$8:$H$14,2,FALSE),YES_Writing_ELA[#Headers],0))=0,"",INDEX(_xlfn.VSTACK(YES_Writing_ELA[#Data],YES_Writing_FLA[#Data]),MATCH($A188,_xlfn.VSTACK(YES_Writing_ELA[Student Number],YES_Writing_FLA[Student Number]),0),MATCH(VLOOKUP(G$7,'Writing Logic'!$J$7:$K$11,2,FALSE)&amp;" - Per "&amp;VLOOKUP($C$4,'Writing Logic'!$G$8:$H$14,2,FALSE),YES_Writing_ELA[#Headers],0)))),"")</f>
        <v/>
      </c>
      <c r="H188" s="223" t="str">
        <f>IFERROR(IF(IF(INDEX(_xlfn.VSTACK(YES_Writing_ELA[#Data],YES_Writing_FLA[#Data]),MATCH($A188,_xlfn.VSTACK(YES_Writing_ELA[Student Number],YES_Writing_FLA[Student Number]),0),MATCH(VLOOKUP(H$7,'Writing Logic'!$J$7:$K$11,2,FALSE)&amp;" - Per "&amp;VLOOKUP($C$4,'Writing Logic'!$G$8:$H$14,2,FALSE),YES_Writing_ELA[#Headers],0))=0,"",INDEX(_xlfn.VSTACK(YES_Writing_ELA[#Data],YES_Writing_FLA[#Data]),MATCH($A188,_xlfn.VSTACK(YES_Writing_ELA[Student Number],YES_Writing_FLA[Student Number]),0),MATCH(VLOOKUP(H$7,'Writing Logic'!$J$7:$K$11,2,FALSE)&amp;" - Per "&amp;VLOOKUP($C$4,'Writing Logic'!$G$8:$H$14,2,FALSE),YES_Writing_ELA[#Headers],0)))="INS",'Writing Logic'!$B$7,IF(INDEX(_xlfn.VSTACK(YES_Writing_ELA[#Data],YES_Writing_FLA[#Data]),MATCH($A188,_xlfn.VSTACK(YES_Writing_ELA[Student Number],YES_Writing_FLA[Student Number]),0),MATCH(VLOOKUP(H$7,'Writing Logic'!$J$7:$K$11,2,FALSE)&amp;" - Per "&amp;VLOOKUP($C$4,'Writing Logic'!$G$8:$H$14,2,FALSE),YES_Writing_ELA[#Headers],0))=0,"",INDEX(_xlfn.VSTACK(YES_Writing_ELA[#Data],YES_Writing_FLA[#Data]),MATCH($A188,_xlfn.VSTACK(YES_Writing_ELA[Student Number],YES_Writing_FLA[Student Number]),0),MATCH(VLOOKUP(H$7,'Writing Logic'!$J$7:$K$11,2,FALSE)&amp;" - Per "&amp;VLOOKUP($C$4,'Writing Logic'!$G$8:$H$14,2,FALSE),YES_Writing_ELA[#Headers],0)))),"")</f>
        <v/>
      </c>
      <c r="I188" s="224" t="str" cm="1">
        <f t="array" aca="1" ref="I188" ca="1">IFERROR(
IF($G$3="ELA",
IF(VLOOKUP($A188, YES_Reading_ELA[], COLUMN(INDIRECT("YES_Reading_ELA[Difference - Per "&amp;VLOOKUP($G$4, 'Reading Report Logic'!$A$2:$B$8, 2, FALSE)&amp;"]")), FALSE)="", "",
VLOOKUP($A188,YES_Reading_ELA[], COLUMN(INDIRECT("YES_Reading_ELA[Difference - Per "&amp;VLOOKUP($G$4,'Reading Report Logic'!$A$2:$B$8,2,FALSE)&amp;"]")), FALSE)),
IF($G$3="FLA",
IF(VLOOKUP($A188, YES_Reading_FLA[], COLUMN(INDIRECT("YES_Reading_FLA[Difference - Per "&amp;VLOOKUP($G$4,'Reading Report Logic'!$A$2:$B$8,2,FALSE)&amp;"]")),FALSE)="","",
VLOOKUP($A188,YES_Reading_FLA[],COLUMN(INDIRECT("YES_Reading_FLA[Difference - Per "&amp;VLOOKUP($G$4,'Reading Report Logic'!$A$2:$B$8,2,FALSE)&amp;"]")),FALSE)),
IF($G$3="Combined",
IFERROR(
IF(VLOOKUP($A188, YES_Reading_ELA[], COLUMN(INDIRECT("YES_Reading_ELA[Difference - Per "&amp;VLOOKUP($G$4, 'Reading Report Logic'!$A$2:$B$8,2,FALSE)&amp;"]")), FALSE)="", "",
VLOOKUP($A188,YES_Reading_ELA[],COLUMN(INDIRECT("YES_Reading_ELA[Difference - Per "&amp;VLOOKUP($G$4,'Reading Report Logic'!$A$2:$B$8,2,FALSE)&amp;"]")),FALSE)),
IF(VLOOKUP($A188, YES_Reading_FLA[], COLUMN(INDIRECT("YES_Reading_FLA[Difference - Per "&amp;VLOOKUP($G$4, 'Reading Report Logic'!$A$2:$B$8, 2, FALSE)&amp;"]")),FALSE)="", "", VLOOKUP($A188,YES_Reading_FLA[],COLUMN(INDIRECT("YES_Reading_FLA[Difference - Per "&amp;VLOOKUP($G$4, 'Reading Report Logic'!$A$2:$B$8, 2, FALSE)&amp;"]")),FALSE))),""))),"")</f>
        <v/>
      </c>
    </row>
    <row r="189" spans="1:9" ht="14.25" customHeight="1" x14ac:dyDescent="0.25">
      <c r="A189" s="137"/>
      <c r="B189" s="137" t="str">
        <f>IFERROR(INDEX(_xlfn.VSTACK(YES_Writing_ELA[#Data], YES_Writing_FLA[#Data]),MATCH($A189,_xlfn.VSTACK(YES_Writing_ELA[Student Number], YES_Writing_FLA[Student Number]),0),MATCH(B$7,YES_Writing_ELA[#Headers],0)),IFERROR(INDEX(_xlfn.VSTACK(YES_Reading_ELA[#Data], YES_Reading_FLA[#Data]),MATCH($A189,_xlfn.VSTACK(YES_Reading_ELA[Student Number], YES_Reading_FLA[Student Number]),0),MATCH(B$7,YES_Reading_ELA[#Headers],0)),""))</f>
        <v/>
      </c>
      <c r="C189" s="137" t="str">
        <f>IFERROR(INDEX(_xlfn.VSTACK(YES_Writing_ELA[#Data], YES_Writing_FLA[#Data]),MATCH($A189,_xlfn.VSTACK(YES_Writing_ELA[Student Number], YES_Writing_FLA[Student Number]),0),MATCH(C$7,YES_Writing_ELA[#Headers],0)),IFERROR(INDEX(_xlfn.VSTACK(YES_Reading_ELA[#Data], YES_Reading_FLA[#Data]),MATCH($A189,_xlfn.VSTACK(YES_Reading_ELA[Student Number], YES_Reading_FLA[Student Number]),0),MATCH(C$7,YES_Reading_ELA[#Headers],0)),""))</f>
        <v/>
      </c>
      <c r="D189" s="138" t="str">
        <f>IFERROR(IF(IF(INDEX(_xlfn.VSTACK(YES_Writing_ELA[#Data],YES_Writing_FLA[#Data]),MATCH($A189,_xlfn.VSTACK(YES_Writing_ELA[Student Number],YES_Writing_FLA[Student Number]),0),MATCH(VLOOKUP(D$7,'Writing Logic'!$J$7:$K$11,2,FALSE)&amp;" - Per "&amp;VLOOKUP($C$4,'Writing Logic'!$G$8:$H$14,2,FALSE),YES_Writing_ELA[#Headers],0))=0,"",INDEX(_xlfn.VSTACK(YES_Writing_ELA[#Data],YES_Writing_FLA[#Data]),MATCH($A189,_xlfn.VSTACK(YES_Writing_ELA[Student Number],YES_Writing_FLA[Student Number]),0),MATCH(VLOOKUP(D$7,'Writing Logic'!$J$7:$K$11,2,FALSE)&amp;" - Per "&amp;VLOOKUP($C$4,'Writing Logic'!$G$8:$H$14,2,FALSE),YES_Writing_ELA[#Headers],0)))="INS",'Writing Logic'!$B$7,IF(INDEX(_xlfn.VSTACK(YES_Writing_ELA[#Data],YES_Writing_FLA[#Data]),MATCH($A189,_xlfn.VSTACK(YES_Writing_ELA[Student Number],YES_Writing_FLA[Student Number]),0),MATCH(VLOOKUP(D$7,'Writing Logic'!$J$7:$K$11,2,FALSE)&amp;" - Per "&amp;VLOOKUP($C$4,'Writing Logic'!$G$8:$H$14,2,FALSE),YES_Writing_ELA[#Headers],0))=0,"",INDEX(_xlfn.VSTACK(YES_Writing_ELA[#Data],YES_Writing_FLA[#Data]),MATCH($A189,_xlfn.VSTACK(YES_Writing_ELA[Student Number],YES_Writing_FLA[Student Number]),0),MATCH(VLOOKUP(D$7,'Writing Logic'!$J$7:$K$11,2,FALSE)&amp;" - Per "&amp;VLOOKUP($C$4,'Writing Logic'!$G$8:$H$14,2,FALSE),YES_Writing_ELA[#Headers],0)))),"")</f>
        <v/>
      </c>
      <c r="E189" s="138" t="str">
        <f>IFERROR(IF(IF(INDEX(_xlfn.VSTACK(YES_Writing_ELA[#Data],YES_Writing_FLA[#Data]),MATCH($A189,_xlfn.VSTACK(YES_Writing_ELA[Student Number],YES_Writing_FLA[Student Number]),0),MATCH(VLOOKUP(E$7,'Writing Logic'!$J$7:$K$11,2,FALSE)&amp;" - Per "&amp;VLOOKUP($C$4,'Writing Logic'!$G$8:$H$14,2,FALSE),YES_Writing_ELA[#Headers],0))=0,"",INDEX(_xlfn.VSTACK(YES_Writing_ELA[#Data],YES_Writing_FLA[#Data]),MATCH($A189,_xlfn.VSTACK(YES_Writing_ELA[Student Number],YES_Writing_FLA[Student Number]),0),MATCH(VLOOKUP(E$7,'Writing Logic'!$J$7:$K$11,2,FALSE)&amp;" - Per "&amp;VLOOKUP($C$4,'Writing Logic'!$G$8:$H$14,2,FALSE),YES_Writing_ELA[#Headers],0)))="INS",'Writing Logic'!$B$7,IF(INDEX(_xlfn.VSTACK(YES_Writing_ELA[#Data],YES_Writing_FLA[#Data]),MATCH($A189,_xlfn.VSTACK(YES_Writing_ELA[Student Number],YES_Writing_FLA[Student Number]),0),MATCH(VLOOKUP(E$7,'Writing Logic'!$J$7:$K$11,2,FALSE)&amp;" - Per "&amp;VLOOKUP($C$4,'Writing Logic'!$G$8:$H$14,2,FALSE),YES_Writing_ELA[#Headers],0))=0,"",INDEX(_xlfn.VSTACK(YES_Writing_ELA[#Data],YES_Writing_FLA[#Data]),MATCH($A189,_xlfn.VSTACK(YES_Writing_ELA[Student Number],YES_Writing_FLA[Student Number]),0),MATCH(VLOOKUP(E$7,'Writing Logic'!$J$7:$K$11,2,FALSE)&amp;" - Per "&amp;VLOOKUP($C$4,'Writing Logic'!$G$8:$H$14,2,FALSE),YES_Writing_ELA[#Headers],0)))),"")</f>
        <v/>
      </c>
      <c r="F189" s="138" t="str">
        <f>IFERROR(IF(IF(INDEX(_xlfn.VSTACK(YES_Writing_ELA[#Data],YES_Writing_FLA[#Data]),MATCH($A189,_xlfn.VSTACK(YES_Writing_ELA[Student Number],YES_Writing_FLA[Student Number]),0),MATCH(VLOOKUP(F$7,'Writing Logic'!$J$7:$K$11,2,FALSE)&amp;" - Per "&amp;VLOOKUP($C$4,'Writing Logic'!$G$8:$H$14,2,FALSE),YES_Writing_ELA[#Headers],0))=0,"",INDEX(_xlfn.VSTACK(YES_Writing_ELA[#Data],YES_Writing_FLA[#Data]),MATCH($A189,_xlfn.VSTACK(YES_Writing_ELA[Student Number],YES_Writing_FLA[Student Number]),0),MATCH(VLOOKUP(F$7,'Writing Logic'!$J$7:$K$11,2,FALSE)&amp;" - Per "&amp;VLOOKUP($C$4,'Writing Logic'!$G$8:$H$14,2,FALSE),YES_Writing_ELA[#Headers],0)))="INS",'Writing Logic'!$B$7,IF(INDEX(_xlfn.VSTACK(YES_Writing_ELA[#Data],YES_Writing_FLA[#Data]),MATCH($A189,_xlfn.VSTACK(YES_Writing_ELA[Student Number],YES_Writing_FLA[Student Number]),0),MATCH(VLOOKUP(F$7,'Writing Logic'!$J$7:$K$11,2,FALSE)&amp;" - Per "&amp;VLOOKUP($C$4,'Writing Logic'!$G$8:$H$14,2,FALSE),YES_Writing_ELA[#Headers],0))=0,"",INDEX(_xlfn.VSTACK(YES_Writing_ELA[#Data],YES_Writing_FLA[#Data]),MATCH($A189,_xlfn.VSTACK(YES_Writing_ELA[Student Number],YES_Writing_FLA[Student Number]),0),MATCH(VLOOKUP(F$7,'Writing Logic'!$J$7:$K$11,2,FALSE)&amp;" - Per "&amp;VLOOKUP($C$4,'Writing Logic'!$G$8:$H$14,2,FALSE),YES_Writing_ELA[#Headers],0)))),"")</f>
        <v/>
      </c>
      <c r="G189" s="138" t="str">
        <f>IFERROR(IF(IF(INDEX(_xlfn.VSTACK(YES_Writing_ELA[#Data],YES_Writing_FLA[#Data]),MATCH($A189,_xlfn.VSTACK(YES_Writing_ELA[Student Number],YES_Writing_FLA[Student Number]),0),MATCH(VLOOKUP(G$7,'Writing Logic'!$J$7:$K$11,2,FALSE)&amp;" - Per "&amp;VLOOKUP($C$4,'Writing Logic'!$G$8:$H$14,2,FALSE),YES_Writing_ELA[#Headers],0))=0,"",INDEX(_xlfn.VSTACK(YES_Writing_ELA[#Data],YES_Writing_FLA[#Data]),MATCH($A189,_xlfn.VSTACK(YES_Writing_ELA[Student Number],YES_Writing_FLA[Student Number]),0),MATCH(VLOOKUP(G$7,'Writing Logic'!$J$7:$K$11,2,FALSE)&amp;" - Per "&amp;VLOOKUP($C$4,'Writing Logic'!$G$8:$H$14,2,FALSE),YES_Writing_ELA[#Headers],0)))="INS",'Writing Logic'!$B$7,IF(INDEX(_xlfn.VSTACK(YES_Writing_ELA[#Data],YES_Writing_FLA[#Data]),MATCH($A189,_xlfn.VSTACK(YES_Writing_ELA[Student Number],YES_Writing_FLA[Student Number]),0),MATCH(VLOOKUP(G$7,'Writing Logic'!$J$7:$K$11,2,FALSE)&amp;" - Per "&amp;VLOOKUP($C$4,'Writing Logic'!$G$8:$H$14,2,FALSE),YES_Writing_ELA[#Headers],0))=0,"",INDEX(_xlfn.VSTACK(YES_Writing_ELA[#Data],YES_Writing_FLA[#Data]),MATCH($A189,_xlfn.VSTACK(YES_Writing_ELA[Student Number],YES_Writing_FLA[Student Number]),0),MATCH(VLOOKUP(G$7,'Writing Logic'!$J$7:$K$11,2,FALSE)&amp;" - Per "&amp;VLOOKUP($C$4,'Writing Logic'!$G$8:$H$14,2,FALSE),YES_Writing_ELA[#Headers],0)))),"")</f>
        <v/>
      </c>
      <c r="H189" s="223" t="str">
        <f>IFERROR(IF(IF(INDEX(_xlfn.VSTACK(YES_Writing_ELA[#Data],YES_Writing_FLA[#Data]),MATCH($A189,_xlfn.VSTACK(YES_Writing_ELA[Student Number],YES_Writing_FLA[Student Number]),0),MATCH(VLOOKUP(H$7,'Writing Logic'!$J$7:$K$11,2,FALSE)&amp;" - Per "&amp;VLOOKUP($C$4,'Writing Logic'!$G$8:$H$14,2,FALSE),YES_Writing_ELA[#Headers],0))=0,"",INDEX(_xlfn.VSTACK(YES_Writing_ELA[#Data],YES_Writing_FLA[#Data]),MATCH($A189,_xlfn.VSTACK(YES_Writing_ELA[Student Number],YES_Writing_FLA[Student Number]),0),MATCH(VLOOKUP(H$7,'Writing Logic'!$J$7:$K$11,2,FALSE)&amp;" - Per "&amp;VLOOKUP($C$4,'Writing Logic'!$G$8:$H$14,2,FALSE),YES_Writing_ELA[#Headers],0)))="INS",'Writing Logic'!$B$7,IF(INDEX(_xlfn.VSTACK(YES_Writing_ELA[#Data],YES_Writing_FLA[#Data]),MATCH($A189,_xlfn.VSTACK(YES_Writing_ELA[Student Number],YES_Writing_FLA[Student Number]),0),MATCH(VLOOKUP(H$7,'Writing Logic'!$J$7:$K$11,2,FALSE)&amp;" - Per "&amp;VLOOKUP($C$4,'Writing Logic'!$G$8:$H$14,2,FALSE),YES_Writing_ELA[#Headers],0))=0,"",INDEX(_xlfn.VSTACK(YES_Writing_ELA[#Data],YES_Writing_FLA[#Data]),MATCH($A189,_xlfn.VSTACK(YES_Writing_ELA[Student Number],YES_Writing_FLA[Student Number]),0),MATCH(VLOOKUP(H$7,'Writing Logic'!$J$7:$K$11,2,FALSE)&amp;" - Per "&amp;VLOOKUP($C$4,'Writing Logic'!$G$8:$H$14,2,FALSE),YES_Writing_ELA[#Headers],0)))),"")</f>
        <v/>
      </c>
      <c r="I189" s="224" t="str" cm="1">
        <f t="array" aca="1" ref="I189" ca="1">IFERROR(
IF($G$3="ELA",
IF(VLOOKUP($A189, YES_Reading_ELA[], COLUMN(INDIRECT("YES_Reading_ELA[Difference - Per "&amp;VLOOKUP($G$4, 'Reading Report Logic'!$A$2:$B$8, 2, FALSE)&amp;"]")), FALSE)="", "",
VLOOKUP($A189,YES_Reading_ELA[], COLUMN(INDIRECT("YES_Reading_ELA[Difference - Per "&amp;VLOOKUP($G$4,'Reading Report Logic'!$A$2:$B$8,2,FALSE)&amp;"]")), FALSE)),
IF($G$3="FLA",
IF(VLOOKUP($A189, YES_Reading_FLA[], COLUMN(INDIRECT("YES_Reading_FLA[Difference - Per "&amp;VLOOKUP($G$4,'Reading Report Logic'!$A$2:$B$8,2,FALSE)&amp;"]")),FALSE)="","",
VLOOKUP($A189,YES_Reading_FLA[],COLUMN(INDIRECT("YES_Reading_FLA[Difference - Per "&amp;VLOOKUP($G$4,'Reading Report Logic'!$A$2:$B$8,2,FALSE)&amp;"]")),FALSE)),
IF($G$3="Combined",
IFERROR(
IF(VLOOKUP($A189, YES_Reading_ELA[], COLUMN(INDIRECT("YES_Reading_ELA[Difference - Per "&amp;VLOOKUP($G$4, 'Reading Report Logic'!$A$2:$B$8,2,FALSE)&amp;"]")), FALSE)="", "",
VLOOKUP($A189,YES_Reading_ELA[],COLUMN(INDIRECT("YES_Reading_ELA[Difference - Per "&amp;VLOOKUP($G$4,'Reading Report Logic'!$A$2:$B$8,2,FALSE)&amp;"]")),FALSE)),
IF(VLOOKUP($A189, YES_Reading_FLA[], COLUMN(INDIRECT("YES_Reading_FLA[Difference - Per "&amp;VLOOKUP($G$4, 'Reading Report Logic'!$A$2:$B$8, 2, FALSE)&amp;"]")),FALSE)="", "", VLOOKUP($A189,YES_Reading_FLA[],COLUMN(INDIRECT("YES_Reading_FLA[Difference - Per "&amp;VLOOKUP($G$4, 'Reading Report Logic'!$A$2:$B$8, 2, FALSE)&amp;"]")),FALSE))),""))),"")</f>
        <v/>
      </c>
    </row>
    <row r="190" spans="1:9" ht="14.25" customHeight="1" x14ac:dyDescent="0.25">
      <c r="A190" s="137"/>
      <c r="B190" s="137" t="str">
        <f>IFERROR(INDEX(_xlfn.VSTACK(YES_Writing_ELA[#Data], YES_Writing_FLA[#Data]),MATCH($A190,_xlfn.VSTACK(YES_Writing_ELA[Student Number], YES_Writing_FLA[Student Number]),0),MATCH(B$7,YES_Writing_ELA[#Headers],0)),IFERROR(INDEX(_xlfn.VSTACK(YES_Reading_ELA[#Data], YES_Reading_FLA[#Data]),MATCH($A190,_xlfn.VSTACK(YES_Reading_ELA[Student Number], YES_Reading_FLA[Student Number]),0),MATCH(B$7,YES_Reading_ELA[#Headers],0)),""))</f>
        <v/>
      </c>
      <c r="C190" s="137" t="str">
        <f>IFERROR(INDEX(_xlfn.VSTACK(YES_Writing_ELA[#Data], YES_Writing_FLA[#Data]),MATCH($A190,_xlfn.VSTACK(YES_Writing_ELA[Student Number], YES_Writing_FLA[Student Number]),0),MATCH(C$7,YES_Writing_ELA[#Headers],0)),IFERROR(INDEX(_xlfn.VSTACK(YES_Reading_ELA[#Data], YES_Reading_FLA[#Data]),MATCH($A190,_xlfn.VSTACK(YES_Reading_ELA[Student Number], YES_Reading_FLA[Student Number]),0),MATCH(C$7,YES_Reading_ELA[#Headers],0)),""))</f>
        <v/>
      </c>
      <c r="D190" s="138" t="str">
        <f>IFERROR(IF(IF(INDEX(_xlfn.VSTACK(YES_Writing_ELA[#Data],YES_Writing_FLA[#Data]),MATCH($A190,_xlfn.VSTACK(YES_Writing_ELA[Student Number],YES_Writing_FLA[Student Number]),0),MATCH(VLOOKUP(D$7,'Writing Logic'!$J$7:$K$11,2,FALSE)&amp;" - Per "&amp;VLOOKUP($C$4,'Writing Logic'!$G$8:$H$14,2,FALSE),YES_Writing_ELA[#Headers],0))=0,"",INDEX(_xlfn.VSTACK(YES_Writing_ELA[#Data],YES_Writing_FLA[#Data]),MATCH($A190,_xlfn.VSTACK(YES_Writing_ELA[Student Number],YES_Writing_FLA[Student Number]),0),MATCH(VLOOKUP(D$7,'Writing Logic'!$J$7:$K$11,2,FALSE)&amp;" - Per "&amp;VLOOKUP($C$4,'Writing Logic'!$G$8:$H$14,2,FALSE),YES_Writing_ELA[#Headers],0)))="INS",'Writing Logic'!$B$7,IF(INDEX(_xlfn.VSTACK(YES_Writing_ELA[#Data],YES_Writing_FLA[#Data]),MATCH($A190,_xlfn.VSTACK(YES_Writing_ELA[Student Number],YES_Writing_FLA[Student Number]),0),MATCH(VLOOKUP(D$7,'Writing Logic'!$J$7:$K$11,2,FALSE)&amp;" - Per "&amp;VLOOKUP($C$4,'Writing Logic'!$G$8:$H$14,2,FALSE),YES_Writing_ELA[#Headers],0))=0,"",INDEX(_xlfn.VSTACK(YES_Writing_ELA[#Data],YES_Writing_FLA[#Data]),MATCH($A190,_xlfn.VSTACK(YES_Writing_ELA[Student Number],YES_Writing_FLA[Student Number]),0),MATCH(VLOOKUP(D$7,'Writing Logic'!$J$7:$K$11,2,FALSE)&amp;" - Per "&amp;VLOOKUP($C$4,'Writing Logic'!$G$8:$H$14,2,FALSE),YES_Writing_ELA[#Headers],0)))),"")</f>
        <v/>
      </c>
      <c r="E190" s="138" t="str">
        <f>IFERROR(IF(IF(INDEX(_xlfn.VSTACK(YES_Writing_ELA[#Data],YES_Writing_FLA[#Data]),MATCH($A190,_xlfn.VSTACK(YES_Writing_ELA[Student Number],YES_Writing_FLA[Student Number]),0),MATCH(VLOOKUP(E$7,'Writing Logic'!$J$7:$K$11,2,FALSE)&amp;" - Per "&amp;VLOOKUP($C$4,'Writing Logic'!$G$8:$H$14,2,FALSE),YES_Writing_ELA[#Headers],0))=0,"",INDEX(_xlfn.VSTACK(YES_Writing_ELA[#Data],YES_Writing_FLA[#Data]),MATCH($A190,_xlfn.VSTACK(YES_Writing_ELA[Student Number],YES_Writing_FLA[Student Number]),0),MATCH(VLOOKUP(E$7,'Writing Logic'!$J$7:$K$11,2,FALSE)&amp;" - Per "&amp;VLOOKUP($C$4,'Writing Logic'!$G$8:$H$14,2,FALSE),YES_Writing_ELA[#Headers],0)))="INS",'Writing Logic'!$B$7,IF(INDEX(_xlfn.VSTACK(YES_Writing_ELA[#Data],YES_Writing_FLA[#Data]),MATCH($A190,_xlfn.VSTACK(YES_Writing_ELA[Student Number],YES_Writing_FLA[Student Number]),0),MATCH(VLOOKUP(E$7,'Writing Logic'!$J$7:$K$11,2,FALSE)&amp;" - Per "&amp;VLOOKUP($C$4,'Writing Logic'!$G$8:$H$14,2,FALSE),YES_Writing_ELA[#Headers],0))=0,"",INDEX(_xlfn.VSTACK(YES_Writing_ELA[#Data],YES_Writing_FLA[#Data]),MATCH($A190,_xlfn.VSTACK(YES_Writing_ELA[Student Number],YES_Writing_FLA[Student Number]),0),MATCH(VLOOKUP(E$7,'Writing Logic'!$J$7:$K$11,2,FALSE)&amp;" - Per "&amp;VLOOKUP($C$4,'Writing Logic'!$G$8:$H$14,2,FALSE),YES_Writing_ELA[#Headers],0)))),"")</f>
        <v/>
      </c>
      <c r="F190" s="138" t="str">
        <f>IFERROR(IF(IF(INDEX(_xlfn.VSTACK(YES_Writing_ELA[#Data],YES_Writing_FLA[#Data]),MATCH($A190,_xlfn.VSTACK(YES_Writing_ELA[Student Number],YES_Writing_FLA[Student Number]),0),MATCH(VLOOKUP(F$7,'Writing Logic'!$J$7:$K$11,2,FALSE)&amp;" - Per "&amp;VLOOKUP($C$4,'Writing Logic'!$G$8:$H$14,2,FALSE),YES_Writing_ELA[#Headers],0))=0,"",INDEX(_xlfn.VSTACK(YES_Writing_ELA[#Data],YES_Writing_FLA[#Data]),MATCH($A190,_xlfn.VSTACK(YES_Writing_ELA[Student Number],YES_Writing_FLA[Student Number]),0),MATCH(VLOOKUP(F$7,'Writing Logic'!$J$7:$K$11,2,FALSE)&amp;" - Per "&amp;VLOOKUP($C$4,'Writing Logic'!$G$8:$H$14,2,FALSE),YES_Writing_ELA[#Headers],0)))="INS",'Writing Logic'!$B$7,IF(INDEX(_xlfn.VSTACK(YES_Writing_ELA[#Data],YES_Writing_FLA[#Data]),MATCH($A190,_xlfn.VSTACK(YES_Writing_ELA[Student Number],YES_Writing_FLA[Student Number]),0),MATCH(VLOOKUP(F$7,'Writing Logic'!$J$7:$K$11,2,FALSE)&amp;" - Per "&amp;VLOOKUP($C$4,'Writing Logic'!$G$8:$H$14,2,FALSE),YES_Writing_ELA[#Headers],0))=0,"",INDEX(_xlfn.VSTACK(YES_Writing_ELA[#Data],YES_Writing_FLA[#Data]),MATCH($A190,_xlfn.VSTACK(YES_Writing_ELA[Student Number],YES_Writing_FLA[Student Number]),0),MATCH(VLOOKUP(F$7,'Writing Logic'!$J$7:$K$11,2,FALSE)&amp;" - Per "&amp;VLOOKUP($C$4,'Writing Logic'!$G$8:$H$14,2,FALSE),YES_Writing_ELA[#Headers],0)))),"")</f>
        <v/>
      </c>
      <c r="G190" s="138" t="str">
        <f>IFERROR(IF(IF(INDEX(_xlfn.VSTACK(YES_Writing_ELA[#Data],YES_Writing_FLA[#Data]),MATCH($A190,_xlfn.VSTACK(YES_Writing_ELA[Student Number],YES_Writing_FLA[Student Number]),0),MATCH(VLOOKUP(G$7,'Writing Logic'!$J$7:$K$11,2,FALSE)&amp;" - Per "&amp;VLOOKUP($C$4,'Writing Logic'!$G$8:$H$14,2,FALSE),YES_Writing_ELA[#Headers],0))=0,"",INDEX(_xlfn.VSTACK(YES_Writing_ELA[#Data],YES_Writing_FLA[#Data]),MATCH($A190,_xlfn.VSTACK(YES_Writing_ELA[Student Number],YES_Writing_FLA[Student Number]),0),MATCH(VLOOKUP(G$7,'Writing Logic'!$J$7:$K$11,2,FALSE)&amp;" - Per "&amp;VLOOKUP($C$4,'Writing Logic'!$G$8:$H$14,2,FALSE),YES_Writing_ELA[#Headers],0)))="INS",'Writing Logic'!$B$7,IF(INDEX(_xlfn.VSTACK(YES_Writing_ELA[#Data],YES_Writing_FLA[#Data]),MATCH($A190,_xlfn.VSTACK(YES_Writing_ELA[Student Number],YES_Writing_FLA[Student Number]),0),MATCH(VLOOKUP(G$7,'Writing Logic'!$J$7:$K$11,2,FALSE)&amp;" - Per "&amp;VLOOKUP($C$4,'Writing Logic'!$G$8:$H$14,2,FALSE),YES_Writing_ELA[#Headers],0))=0,"",INDEX(_xlfn.VSTACK(YES_Writing_ELA[#Data],YES_Writing_FLA[#Data]),MATCH($A190,_xlfn.VSTACK(YES_Writing_ELA[Student Number],YES_Writing_FLA[Student Number]),0),MATCH(VLOOKUP(G$7,'Writing Logic'!$J$7:$K$11,2,FALSE)&amp;" - Per "&amp;VLOOKUP($C$4,'Writing Logic'!$G$8:$H$14,2,FALSE),YES_Writing_ELA[#Headers],0)))),"")</f>
        <v/>
      </c>
      <c r="H190" s="223" t="str">
        <f>IFERROR(IF(IF(INDEX(_xlfn.VSTACK(YES_Writing_ELA[#Data],YES_Writing_FLA[#Data]),MATCH($A190,_xlfn.VSTACK(YES_Writing_ELA[Student Number],YES_Writing_FLA[Student Number]),0),MATCH(VLOOKUP(H$7,'Writing Logic'!$J$7:$K$11,2,FALSE)&amp;" - Per "&amp;VLOOKUP($C$4,'Writing Logic'!$G$8:$H$14,2,FALSE),YES_Writing_ELA[#Headers],0))=0,"",INDEX(_xlfn.VSTACK(YES_Writing_ELA[#Data],YES_Writing_FLA[#Data]),MATCH($A190,_xlfn.VSTACK(YES_Writing_ELA[Student Number],YES_Writing_FLA[Student Number]),0),MATCH(VLOOKUP(H$7,'Writing Logic'!$J$7:$K$11,2,FALSE)&amp;" - Per "&amp;VLOOKUP($C$4,'Writing Logic'!$G$8:$H$14,2,FALSE),YES_Writing_ELA[#Headers],0)))="INS",'Writing Logic'!$B$7,IF(INDEX(_xlfn.VSTACK(YES_Writing_ELA[#Data],YES_Writing_FLA[#Data]),MATCH($A190,_xlfn.VSTACK(YES_Writing_ELA[Student Number],YES_Writing_FLA[Student Number]),0),MATCH(VLOOKUP(H$7,'Writing Logic'!$J$7:$K$11,2,FALSE)&amp;" - Per "&amp;VLOOKUP($C$4,'Writing Logic'!$G$8:$H$14,2,FALSE),YES_Writing_ELA[#Headers],0))=0,"",INDEX(_xlfn.VSTACK(YES_Writing_ELA[#Data],YES_Writing_FLA[#Data]),MATCH($A190,_xlfn.VSTACK(YES_Writing_ELA[Student Number],YES_Writing_FLA[Student Number]),0),MATCH(VLOOKUP(H$7,'Writing Logic'!$J$7:$K$11,2,FALSE)&amp;" - Per "&amp;VLOOKUP($C$4,'Writing Logic'!$G$8:$H$14,2,FALSE),YES_Writing_ELA[#Headers],0)))),"")</f>
        <v/>
      </c>
      <c r="I190" s="224" t="str" cm="1">
        <f t="array" aca="1" ref="I190" ca="1">IFERROR(
IF($G$3="ELA",
IF(VLOOKUP($A190, YES_Reading_ELA[], COLUMN(INDIRECT("YES_Reading_ELA[Difference - Per "&amp;VLOOKUP($G$4, 'Reading Report Logic'!$A$2:$B$8, 2, FALSE)&amp;"]")), FALSE)="", "",
VLOOKUP($A190,YES_Reading_ELA[], COLUMN(INDIRECT("YES_Reading_ELA[Difference - Per "&amp;VLOOKUP($G$4,'Reading Report Logic'!$A$2:$B$8,2,FALSE)&amp;"]")), FALSE)),
IF($G$3="FLA",
IF(VLOOKUP($A190, YES_Reading_FLA[], COLUMN(INDIRECT("YES_Reading_FLA[Difference - Per "&amp;VLOOKUP($G$4,'Reading Report Logic'!$A$2:$B$8,2,FALSE)&amp;"]")),FALSE)="","",
VLOOKUP($A190,YES_Reading_FLA[],COLUMN(INDIRECT("YES_Reading_FLA[Difference - Per "&amp;VLOOKUP($G$4,'Reading Report Logic'!$A$2:$B$8,2,FALSE)&amp;"]")),FALSE)),
IF($G$3="Combined",
IFERROR(
IF(VLOOKUP($A190, YES_Reading_ELA[], COLUMN(INDIRECT("YES_Reading_ELA[Difference - Per "&amp;VLOOKUP($G$4, 'Reading Report Logic'!$A$2:$B$8,2,FALSE)&amp;"]")), FALSE)="", "",
VLOOKUP($A190,YES_Reading_ELA[],COLUMN(INDIRECT("YES_Reading_ELA[Difference - Per "&amp;VLOOKUP($G$4,'Reading Report Logic'!$A$2:$B$8,2,FALSE)&amp;"]")),FALSE)),
IF(VLOOKUP($A190, YES_Reading_FLA[], COLUMN(INDIRECT("YES_Reading_FLA[Difference - Per "&amp;VLOOKUP($G$4, 'Reading Report Logic'!$A$2:$B$8, 2, FALSE)&amp;"]")),FALSE)="", "", VLOOKUP($A190,YES_Reading_FLA[],COLUMN(INDIRECT("YES_Reading_FLA[Difference - Per "&amp;VLOOKUP($G$4, 'Reading Report Logic'!$A$2:$B$8, 2, FALSE)&amp;"]")),FALSE))),""))),"")</f>
        <v/>
      </c>
    </row>
    <row r="191" spans="1:9" ht="14.25" customHeight="1" x14ac:dyDescent="0.25">
      <c r="A191" s="137"/>
      <c r="B191" s="137" t="str">
        <f>IFERROR(INDEX(_xlfn.VSTACK(YES_Writing_ELA[#Data], YES_Writing_FLA[#Data]),MATCH($A191,_xlfn.VSTACK(YES_Writing_ELA[Student Number], YES_Writing_FLA[Student Number]),0),MATCH(B$7,YES_Writing_ELA[#Headers],0)),IFERROR(INDEX(_xlfn.VSTACK(YES_Reading_ELA[#Data], YES_Reading_FLA[#Data]),MATCH($A191,_xlfn.VSTACK(YES_Reading_ELA[Student Number], YES_Reading_FLA[Student Number]),0),MATCH(B$7,YES_Reading_ELA[#Headers],0)),""))</f>
        <v/>
      </c>
      <c r="C191" s="137" t="str">
        <f>IFERROR(INDEX(_xlfn.VSTACK(YES_Writing_ELA[#Data], YES_Writing_FLA[#Data]),MATCH($A191,_xlfn.VSTACK(YES_Writing_ELA[Student Number], YES_Writing_FLA[Student Number]),0),MATCH(C$7,YES_Writing_ELA[#Headers],0)),IFERROR(INDEX(_xlfn.VSTACK(YES_Reading_ELA[#Data], YES_Reading_FLA[#Data]),MATCH($A191,_xlfn.VSTACK(YES_Reading_ELA[Student Number], YES_Reading_FLA[Student Number]),0),MATCH(C$7,YES_Reading_ELA[#Headers],0)),""))</f>
        <v/>
      </c>
      <c r="D191" s="138" t="str">
        <f>IFERROR(IF(IF(INDEX(_xlfn.VSTACK(YES_Writing_ELA[#Data],YES_Writing_FLA[#Data]),MATCH($A191,_xlfn.VSTACK(YES_Writing_ELA[Student Number],YES_Writing_FLA[Student Number]),0),MATCH(VLOOKUP(D$7,'Writing Logic'!$J$7:$K$11,2,FALSE)&amp;" - Per "&amp;VLOOKUP($C$4,'Writing Logic'!$G$8:$H$14,2,FALSE),YES_Writing_ELA[#Headers],0))=0,"",INDEX(_xlfn.VSTACK(YES_Writing_ELA[#Data],YES_Writing_FLA[#Data]),MATCH($A191,_xlfn.VSTACK(YES_Writing_ELA[Student Number],YES_Writing_FLA[Student Number]),0),MATCH(VLOOKUP(D$7,'Writing Logic'!$J$7:$K$11,2,FALSE)&amp;" - Per "&amp;VLOOKUP($C$4,'Writing Logic'!$G$8:$H$14,2,FALSE),YES_Writing_ELA[#Headers],0)))="INS",'Writing Logic'!$B$7,IF(INDEX(_xlfn.VSTACK(YES_Writing_ELA[#Data],YES_Writing_FLA[#Data]),MATCH($A191,_xlfn.VSTACK(YES_Writing_ELA[Student Number],YES_Writing_FLA[Student Number]),0),MATCH(VLOOKUP(D$7,'Writing Logic'!$J$7:$K$11,2,FALSE)&amp;" - Per "&amp;VLOOKUP($C$4,'Writing Logic'!$G$8:$H$14,2,FALSE),YES_Writing_ELA[#Headers],0))=0,"",INDEX(_xlfn.VSTACK(YES_Writing_ELA[#Data],YES_Writing_FLA[#Data]),MATCH($A191,_xlfn.VSTACK(YES_Writing_ELA[Student Number],YES_Writing_FLA[Student Number]),0),MATCH(VLOOKUP(D$7,'Writing Logic'!$J$7:$K$11,2,FALSE)&amp;" - Per "&amp;VLOOKUP($C$4,'Writing Logic'!$G$8:$H$14,2,FALSE),YES_Writing_ELA[#Headers],0)))),"")</f>
        <v/>
      </c>
      <c r="E191" s="138" t="str">
        <f>IFERROR(IF(IF(INDEX(_xlfn.VSTACK(YES_Writing_ELA[#Data],YES_Writing_FLA[#Data]),MATCH($A191,_xlfn.VSTACK(YES_Writing_ELA[Student Number],YES_Writing_FLA[Student Number]),0),MATCH(VLOOKUP(E$7,'Writing Logic'!$J$7:$K$11,2,FALSE)&amp;" - Per "&amp;VLOOKUP($C$4,'Writing Logic'!$G$8:$H$14,2,FALSE),YES_Writing_ELA[#Headers],0))=0,"",INDEX(_xlfn.VSTACK(YES_Writing_ELA[#Data],YES_Writing_FLA[#Data]),MATCH($A191,_xlfn.VSTACK(YES_Writing_ELA[Student Number],YES_Writing_FLA[Student Number]),0),MATCH(VLOOKUP(E$7,'Writing Logic'!$J$7:$K$11,2,FALSE)&amp;" - Per "&amp;VLOOKUP($C$4,'Writing Logic'!$G$8:$H$14,2,FALSE),YES_Writing_ELA[#Headers],0)))="INS",'Writing Logic'!$B$7,IF(INDEX(_xlfn.VSTACK(YES_Writing_ELA[#Data],YES_Writing_FLA[#Data]),MATCH($A191,_xlfn.VSTACK(YES_Writing_ELA[Student Number],YES_Writing_FLA[Student Number]),0),MATCH(VLOOKUP(E$7,'Writing Logic'!$J$7:$K$11,2,FALSE)&amp;" - Per "&amp;VLOOKUP($C$4,'Writing Logic'!$G$8:$H$14,2,FALSE),YES_Writing_ELA[#Headers],0))=0,"",INDEX(_xlfn.VSTACK(YES_Writing_ELA[#Data],YES_Writing_FLA[#Data]),MATCH($A191,_xlfn.VSTACK(YES_Writing_ELA[Student Number],YES_Writing_FLA[Student Number]),0),MATCH(VLOOKUP(E$7,'Writing Logic'!$J$7:$K$11,2,FALSE)&amp;" - Per "&amp;VLOOKUP($C$4,'Writing Logic'!$G$8:$H$14,2,FALSE),YES_Writing_ELA[#Headers],0)))),"")</f>
        <v/>
      </c>
      <c r="F191" s="138" t="str">
        <f>IFERROR(IF(IF(INDEX(_xlfn.VSTACK(YES_Writing_ELA[#Data],YES_Writing_FLA[#Data]),MATCH($A191,_xlfn.VSTACK(YES_Writing_ELA[Student Number],YES_Writing_FLA[Student Number]),0),MATCH(VLOOKUP(F$7,'Writing Logic'!$J$7:$K$11,2,FALSE)&amp;" - Per "&amp;VLOOKUP($C$4,'Writing Logic'!$G$8:$H$14,2,FALSE),YES_Writing_ELA[#Headers],0))=0,"",INDEX(_xlfn.VSTACK(YES_Writing_ELA[#Data],YES_Writing_FLA[#Data]),MATCH($A191,_xlfn.VSTACK(YES_Writing_ELA[Student Number],YES_Writing_FLA[Student Number]),0),MATCH(VLOOKUP(F$7,'Writing Logic'!$J$7:$K$11,2,FALSE)&amp;" - Per "&amp;VLOOKUP($C$4,'Writing Logic'!$G$8:$H$14,2,FALSE),YES_Writing_ELA[#Headers],0)))="INS",'Writing Logic'!$B$7,IF(INDEX(_xlfn.VSTACK(YES_Writing_ELA[#Data],YES_Writing_FLA[#Data]),MATCH($A191,_xlfn.VSTACK(YES_Writing_ELA[Student Number],YES_Writing_FLA[Student Number]),0),MATCH(VLOOKUP(F$7,'Writing Logic'!$J$7:$K$11,2,FALSE)&amp;" - Per "&amp;VLOOKUP($C$4,'Writing Logic'!$G$8:$H$14,2,FALSE),YES_Writing_ELA[#Headers],0))=0,"",INDEX(_xlfn.VSTACK(YES_Writing_ELA[#Data],YES_Writing_FLA[#Data]),MATCH($A191,_xlfn.VSTACK(YES_Writing_ELA[Student Number],YES_Writing_FLA[Student Number]),0),MATCH(VLOOKUP(F$7,'Writing Logic'!$J$7:$K$11,2,FALSE)&amp;" - Per "&amp;VLOOKUP($C$4,'Writing Logic'!$G$8:$H$14,2,FALSE),YES_Writing_ELA[#Headers],0)))),"")</f>
        <v/>
      </c>
      <c r="G191" s="138" t="str">
        <f>IFERROR(IF(IF(INDEX(_xlfn.VSTACK(YES_Writing_ELA[#Data],YES_Writing_FLA[#Data]),MATCH($A191,_xlfn.VSTACK(YES_Writing_ELA[Student Number],YES_Writing_FLA[Student Number]),0),MATCH(VLOOKUP(G$7,'Writing Logic'!$J$7:$K$11,2,FALSE)&amp;" - Per "&amp;VLOOKUP($C$4,'Writing Logic'!$G$8:$H$14,2,FALSE),YES_Writing_ELA[#Headers],0))=0,"",INDEX(_xlfn.VSTACK(YES_Writing_ELA[#Data],YES_Writing_FLA[#Data]),MATCH($A191,_xlfn.VSTACK(YES_Writing_ELA[Student Number],YES_Writing_FLA[Student Number]),0),MATCH(VLOOKUP(G$7,'Writing Logic'!$J$7:$K$11,2,FALSE)&amp;" - Per "&amp;VLOOKUP($C$4,'Writing Logic'!$G$8:$H$14,2,FALSE),YES_Writing_ELA[#Headers],0)))="INS",'Writing Logic'!$B$7,IF(INDEX(_xlfn.VSTACK(YES_Writing_ELA[#Data],YES_Writing_FLA[#Data]),MATCH($A191,_xlfn.VSTACK(YES_Writing_ELA[Student Number],YES_Writing_FLA[Student Number]),0),MATCH(VLOOKUP(G$7,'Writing Logic'!$J$7:$K$11,2,FALSE)&amp;" - Per "&amp;VLOOKUP($C$4,'Writing Logic'!$G$8:$H$14,2,FALSE),YES_Writing_ELA[#Headers],0))=0,"",INDEX(_xlfn.VSTACK(YES_Writing_ELA[#Data],YES_Writing_FLA[#Data]),MATCH($A191,_xlfn.VSTACK(YES_Writing_ELA[Student Number],YES_Writing_FLA[Student Number]),0),MATCH(VLOOKUP(G$7,'Writing Logic'!$J$7:$K$11,2,FALSE)&amp;" - Per "&amp;VLOOKUP($C$4,'Writing Logic'!$G$8:$H$14,2,FALSE),YES_Writing_ELA[#Headers],0)))),"")</f>
        <v/>
      </c>
      <c r="H191" s="223" t="str">
        <f>IFERROR(IF(IF(INDEX(_xlfn.VSTACK(YES_Writing_ELA[#Data],YES_Writing_FLA[#Data]),MATCH($A191,_xlfn.VSTACK(YES_Writing_ELA[Student Number],YES_Writing_FLA[Student Number]),0),MATCH(VLOOKUP(H$7,'Writing Logic'!$J$7:$K$11,2,FALSE)&amp;" - Per "&amp;VLOOKUP($C$4,'Writing Logic'!$G$8:$H$14,2,FALSE),YES_Writing_ELA[#Headers],0))=0,"",INDEX(_xlfn.VSTACK(YES_Writing_ELA[#Data],YES_Writing_FLA[#Data]),MATCH($A191,_xlfn.VSTACK(YES_Writing_ELA[Student Number],YES_Writing_FLA[Student Number]),0),MATCH(VLOOKUP(H$7,'Writing Logic'!$J$7:$K$11,2,FALSE)&amp;" - Per "&amp;VLOOKUP($C$4,'Writing Logic'!$G$8:$H$14,2,FALSE),YES_Writing_ELA[#Headers],0)))="INS",'Writing Logic'!$B$7,IF(INDEX(_xlfn.VSTACK(YES_Writing_ELA[#Data],YES_Writing_FLA[#Data]),MATCH($A191,_xlfn.VSTACK(YES_Writing_ELA[Student Number],YES_Writing_FLA[Student Number]),0),MATCH(VLOOKUP(H$7,'Writing Logic'!$J$7:$K$11,2,FALSE)&amp;" - Per "&amp;VLOOKUP($C$4,'Writing Logic'!$G$8:$H$14,2,FALSE),YES_Writing_ELA[#Headers],0))=0,"",INDEX(_xlfn.VSTACK(YES_Writing_ELA[#Data],YES_Writing_FLA[#Data]),MATCH($A191,_xlfn.VSTACK(YES_Writing_ELA[Student Number],YES_Writing_FLA[Student Number]),0),MATCH(VLOOKUP(H$7,'Writing Logic'!$J$7:$K$11,2,FALSE)&amp;" - Per "&amp;VLOOKUP($C$4,'Writing Logic'!$G$8:$H$14,2,FALSE),YES_Writing_ELA[#Headers],0)))),"")</f>
        <v/>
      </c>
      <c r="I191" s="224" t="str" cm="1">
        <f t="array" aca="1" ref="I191" ca="1">IFERROR(
IF($G$3="ELA",
IF(VLOOKUP($A191, YES_Reading_ELA[], COLUMN(INDIRECT("YES_Reading_ELA[Difference - Per "&amp;VLOOKUP($G$4, 'Reading Report Logic'!$A$2:$B$8, 2, FALSE)&amp;"]")), FALSE)="", "",
VLOOKUP($A191,YES_Reading_ELA[], COLUMN(INDIRECT("YES_Reading_ELA[Difference - Per "&amp;VLOOKUP($G$4,'Reading Report Logic'!$A$2:$B$8,2,FALSE)&amp;"]")), FALSE)),
IF($G$3="FLA",
IF(VLOOKUP($A191, YES_Reading_FLA[], COLUMN(INDIRECT("YES_Reading_FLA[Difference - Per "&amp;VLOOKUP($G$4,'Reading Report Logic'!$A$2:$B$8,2,FALSE)&amp;"]")),FALSE)="","",
VLOOKUP($A191,YES_Reading_FLA[],COLUMN(INDIRECT("YES_Reading_FLA[Difference - Per "&amp;VLOOKUP($G$4,'Reading Report Logic'!$A$2:$B$8,2,FALSE)&amp;"]")),FALSE)),
IF($G$3="Combined",
IFERROR(
IF(VLOOKUP($A191, YES_Reading_ELA[], COLUMN(INDIRECT("YES_Reading_ELA[Difference - Per "&amp;VLOOKUP($G$4, 'Reading Report Logic'!$A$2:$B$8,2,FALSE)&amp;"]")), FALSE)="", "",
VLOOKUP($A191,YES_Reading_ELA[],COLUMN(INDIRECT("YES_Reading_ELA[Difference - Per "&amp;VLOOKUP($G$4,'Reading Report Logic'!$A$2:$B$8,2,FALSE)&amp;"]")),FALSE)),
IF(VLOOKUP($A191, YES_Reading_FLA[], COLUMN(INDIRECT("YES_Reading_FLA[Difference - Per "&amp;VLOOKUP($G$4, 'Reading Report Logic'!$A$2:$B$8, 2, FALSE)&amp;"]")),FALSE)="", "", VLOOKUP($A191,YES_Reading_FLA[],COLUMN(INDIRECT("YES_Reading_FLA[Difference - Per "&amp;VLOOKUP($G$4, 'Reading Report Logic'!$A$2:$B$8, 2, FALSE)&amp;"]")),FALSE))),""))),"")</f>
        <v/>
      </c>
    </row>
    <row r="192" spans="1:9" ht="14.25" customHeight="1" x14ac:dyDescent="0.25">
      <c r="A192" s="137"/>
      <c r="B192" s="137" t="str">
        <f>IFERROR(INDEX(_xlfn.VSTACK(YES_Writing_ELA[#Data], YES_Writing_FLA[#Data]),MATCH($A192,_xlfn.VSTACK(YES_Writing_ELA[Student Number], YES_Writing_FLA[Student Number]),0),MATCH(B$7,YES_Writing_ELA[#Headers],0)),IFERROR(INDEX(_xlfn.VSTACK(YES_Reading_ELA[#Data], YES_Reading_FLA[#Data]),MATCH($A192,_xlfn.VSTACK(YES_Reading_ELA[Student Number], YES_Reading_FLA[Student Number]),0),MATCH(B$7,YES_Reading_ELA[#Headers],0)),""))</f>
        <v/>
      </c>
      <c r="C192" s="137" t="str">
        <f>IFERROR(INDEX(_xlfn.VSTACK(YES_Writing_ELA[#Data], YES_Writing_FLA[#Data]),MATCH($A192,_xlfn.VSTACK(YES_Writing_ELA[Student Number], YES_Writing_FLA[Student Number]),0),MATCH(C$7,YES_Writing_ELA[#Headers],0)),IFERROR(INDEX(_xlfn.VSTACK(YES_Reading_ELA[#Data], YES_Reading_FLA[#Data]),MATCH($A192,_xlfn.VSTACK(YES_Reading_ELA[Student Number], YES_Reading_FLA[Student Number]),0),MATCH(C$7,YES_Reading_ELA[#Headers],0)),""))</f>
        <v/>
      </c>
      <c r="D192" s="138" t="str">
        <f>IFERROR(IF(IF(INDEX(_xlfn.VSTACK(YES_Writing_ELA[#Data],YES_Writing_FLA[#Data]),MATCH($A192,_xlfn.VSTACK(YES_Writing_ELA[Student Number],YES_Writing_FLA[Student Number]),0),MATCH(VLOOKUP(D$7,'Writing Logic'!$J$7:$K$11,2,FALSE)&amp;" - Per "&amp;VLOOKUP($C$4,'Writing Logic'!$G$8:$H$14,2,FALSE),YES_Writing_ELA[#Headers],0))=0,"",INDEX(_xlfn.VSTACK(YES_Writing_ELA[#Data],YES_Writing_FLA[#Data]),MATCH($A192,_xlfn.VSTACK(YES_Writing_ELA[Student Number],YES_Writing_FLA[Student Number]),0),MATCH(VLOOKUP(D$7,'Writing Logic'!$J$7:$K$11,2,FALSE)&amp;" - Per "&amp;VLOOKUP($C$4,'Writing Logic'!$G$8:$H$14,2,FALSE),YES_Writing_ELA[#Headers],0)))="INS",'Writing Logic'!$B$7,IF(INDEX(_xlfn.VSTACK(YES_Writing_ELA[#Data],YES_Writing_FLA[#Data]),MATCH($A192,_xlfn.VSTACK(YES_Writing_ELA[Student Number],YES_Writing_FLA[Student Number]),0),MATCH(VLOOKUP(D$7,'Writing Logic'!$J$7:$K$11,2,FALSE)&amp;" - Per "&amp;VLOOKUP($C$4,'Writing Logic'!$G$8:$H$14,2,FALSE),YES_Writing_ELA[#Headers],0))=0,"",INDEX(_xlfn.VSTACK(YES_Writing_ELA[#Data],YES_Writing_FLA[#Data]),MATCH($A192,_xlfn.VSTACK(YES_Writing_ELA[Student Number],YES_Writing_FLA[Student Number]),0),MATCH(VLOOKUP(D$7,'Writing Logic'!$J$7:$K$11,2,FALSE)&amp;" - Per "&amp;VLOOKUP($C$4,'Writing Logic'!$G$8:$H$14,2,FALSE),YES_Writing_ELA[#Headers],0)))),"")</f>
        <v/>
      </c>
      <c r="E192" s="138" t="str">
        <f>IFERROR(IF(IF(INDEX(_xlfn.VSTACK(YES_Writing_ELA[#Data],YES_Writing_FLA[#Data]),MATCH($A192,_xlfn.VSTACK(YES_Writing_ELA[Student Number],YES_Writing_FLA[Student Number]),0),MATCH(VLOOKUP(E$7,'Writing Logic'!$J$7:$K$11,2,FALSE)&amp;" - Per "&amp;VLOOKUP($C$4,'Writing Logic'!$G$8:$H$14,2,FALSE),YES_Writing_ELA[#Headers],0))=0,"",INDEX(_xlfn.VSTACK(YES_Writing_ELA[#Data],YES_Writing_FLA[#Data]),MATCH($A192,_xlfn.VSTACK(YES_Writing_ELA[Student Number],YES_Writing_FLA[Student Number]),0),MATCH(VLOOKUP(E$7,'Writing Logic'!$J$7:$K$11,2,FALSE)&amp;" - Per "&amp;VLOOKUP($C$4,'Writing Logic'!$G$8:$H$14,2,FALSE),YES_Writing_ELA[#Headers],0)))="INS",'Writing Logic'!$B$7,IF(INDEX(_xlfn.VSTACK(YES_Writing_ELA[#Data],YES_Writing_FLA[#Data]),MATCH($A192,_xlfn.VSTACK(YES_Writing_ELA[Student Number],YES_Writing_FLA[Student Number]),0),MATCH(VLOOKUP(E$7,'Writing Logic'!$J$7:$K$11,2,FALSE)&amp;" - Per "&amp;VLOOKUP($C$4,'Writing Logic'!$G$8:$H$14,2,FALSE),YES_Writing_ELA[#Headers],0))=0,"",INDEX(_xlfn.VSTACK(YES_Writing_ELA[#Data],YES_Writing_FLA[#Data]),MATCH($A192,_xlfn.VSTACK(YES_Writing_ELA[Student Number],YES_Writing_FLA[Student Number]),0),MATCH(VLOOKUP(E$7,'Writing Logic'!$J$7:$K$11,2,FALSE)&amp;" - Per "&amp;VLOOKUP($C$4,'Writing Logic'!$G$8:$H$14,2,FALSE),YES_Writing_ELA[#Headers],0)))),"")</f>
        <v/>
      </c>
      <c r="F192" s="138" t="str">
        <f>IFERROR(IF(IF(INDEX(_xlfn.VSTACK(YES_Writing_ELA[#Data],YES_Writing_FLA[#Data]),MATCH($A192,_xlfn.VSTACK(YES_Writing_ELA[Student Number],YES_Writing_FLA[Student Number]),0),MATCH(VLOOKUP(F$7,'Writing Logic'!$J$7:$K$11,2,FALSE)&amp;" - Per "&amp;VLOOKUP($C$4,'Writing Logic'!$G$8:$H$14,2,FALSE),YES_Writing_ELA[#Headers],0))=0,"",INDEX(_xlfn.VSTACK(YES_Writing_ELA[#Data],YES_Writing_FLA[#Data]),MATCH($A192,_xlfn.VSTACK(YES_Writing_ELA[Student Number],YES_Writing_FLA[Student Number]),0),MATCH(VLOOKUP(F$7,'Writing Logic'!$J$7:$K$11,2,FALSE)&amp;" - Per "&amp;VLOOKUP($C$4,'Writing Logic'!$G$8:$H$14,2,FALSE),YES_Writing_ELA[#Headers],0)))="INS",'Writing Logic'!$B$7,IF(INDEX(_xlfn.VSTACK(YES_Writing_ELA[#Data],YES_Writing_FLA[#Data]),MATCH($A192,_xlfn.VSTACK(YES_Writing_ELA[Student Number],YES_Writing_FLA[Student Number]),0),MATCH(VLOOKUP(F$7,'Writing Logic'!$J$7:$K$11,2,FALSE)&amp;" - Per "&amp;VLOOKUP($C$4,'Writing Logic'!$G$8:$H$14,2,FALSE),YES_Writing_ELA[#Headers],0))=0,"",INDEX(_xlfn.VSTACK(YES_Writing_ELA[#Data],YES_Writing_FLA[#Data]),MATCH($A192,_xlfn.VSTACK(YES_Writing_ELA[Student Number],YES_Writing_FLA[Student Number]),0),MATCH(VLOOKUP(F$7,'Writing Logic'!$J$7:$K$11,2,FALSE)&amp;" - Per "&amp;VLOOKUP($C$4,'Writing Logic'!$G$8:$H$14,2,FALSE),YES_Writing_ELA[#Headers],0)))),"")</f>
        <v/>
      </c>
      <c r="G192" s="138" t="str">
        <f>IFERROR(IF(IF(INDEX(_xlfn.VSTACK(YES_Writing_ELA[#Data],YES_Writing_FLA[#Data]),MATCH($A192,_xlfn.VSTACK(YES_Writing_ELA[Student Number],YES_Writing_FLA[Student Number]),0),MATCH(VLOOKUP(G$7,'Writing Logic'!$J$7:$K$11,2,FALSE)&amp;" - Per "&amp;VLOOKUP($C$4,'Writing Logic'!$G$8:$H$14,2,FALSE),YES_Writing_ELA[#Headers],0))=0,"",INDEX(_xlfn.VSTACK(YES_Writing_ELA[#Data],YES_Writing_FLA[#Data]),MATCH($A192,_xlfn.VSTACK(YES_Writing_ELA[Student Number],YES_Writing_FLA[Student Number]),0),MATCH(VLOOKUP(G$7,'Writing Logic'!$J$7:$K$11,2,FALSE)&amp;" - Per "&amp;VLOOKUP($C$4,'Writing Logic'!$G$8:$H$14,2,FALSE),YES_Writing_ELA[#Headers],0)))="INS",'Writing Logic'!$B$7,IF(INDEX(_xlfn.VSTACK(YES_Writing_ELA[#Data],YES_Writing_FLA[#Data]),MATCH($A192,_xlfn.VSTACK(YES_Writing_ELA[Student Number],YES_Writing_FLA[Student Number]),0),MATCH(VLOOKUP(G$7,'Writing Logic'!$J$7:$K$11,2,FALSE)&amp;" - Per "&amp;VLOOKUP($C$4,'Writing Logic'!$G$8:$H$14,2,FALSE),YES_Writing_ELA[#Headers],0))=0,"",INDEX(_xlfn.VSTACK(YES_Writing_ELA[#Data],YES_Writing_FLA[#Data]),MATCH($A192,_xlfn.VSTACK(YES_Writing_ELA[Student Number],YES_Writing_FLA[Student Number]),0),MATCH(VLOOKUP(G$7,'Writing Logic'!$J$7:$K$11,2,FALSE)&amp;" - Per "&amp;VLOOKUP($C$4,'Writing Logic'!$G$8:$H$14,2,FALSE),YES_Writing_ELA[#Headers],0)))),"")</f>
        <v/>
      </c>
      <c r="H192" s="223" t="str">
        <f>IFERROR(IF(IF(INDEX(_xlfn.VSTACK(YES_Writing_ELA[#Data],YES_Writing_FLA[#Data]),MATCH($A192,_xlfn.VSTACK(YES_Writing_ELA[Student Number],YES_Writing_FLA[Student Number]),0),MATCH(VLOOKUP(H$7,'Writing Logic'!$J$7:$K$11,2,FALSE)&amp;" - Per "&amp;VLOOKUP($C$4,'Writing Logic'!$G$8:$H$14,2,FALSE),YES_Writing_ELA[#Headers],0))=0,"",INDEX(_xlfn.VSTACK(YES_Writing_ELA[#Data],YES_Writing_FLA[#Data]),MATCH($A192,_xlfn.VSTACK(YES_Writing_ELA[Student Number],YES_Writing_FLA[Student Number]),0),MATCH(VLOOKUP(H$7,'Writing Logic'!$J$7:$K$11,2,FALSE)&amp;" - Per "&amp;VLOOKUP($C$4,'Writing Logic'!$G$8:$H$14,2,FALSE),YES_Writing_ELA[#Headers],0)))="INS",'Writing Logic'!$B$7,IF(INDEX(_xlfn.VSTACK(YES_Writing_ELA[#Data],YES_Writing_FLA[#Data]),MATCH($A192,_xlfn.VSTACK(YES_Writing_ELA[Student Number],YES_Writing_FLA[Student Number]),0),MATCH(VLOOKUP(H$7,'Writing Logic'!$J$7:$K$11,2,FALSE)&amp;" - Per "&amp;VLOOKUP($C$4,'Writing Logic'!$G$8:$H$14,2,FALSE),YES_Writing_ELA[#Headers],0))=0,"",INDEX(_xlfn.VSTACK(YES_Writing_ELA[#Data],YES_Writing_FLA[#Data]),MATCH($A192,_xlfn.VSTACK(YES_Writing_ELA[Student Number],YES_Writing_FLA[Student Number]),0),MATCH(VLOOKUP(H$7,'Writing Logic'!$J$7:$K$11,2,FALSE)&amp;" - Per "&amp;VLOOKUP($C$4,'Writing Logic'!$G$8:$H$14,2,FALSE),YES_Writing_ELA[#Headers],0)))),"")</f>
        <v/>
      </c>
      <c r="I192" s="224" t="str" cm="1">
        <f t="array" aca="1" ref="I192" ca="1">IFERROR(
IF($G$3="ELA",
IF(VLOOKUP($A192, YES_Reading_ELA[], COLUMN(INDIRECT("YES_Reading_ELA[Difference - Per "&amp;VLOOKUP($G$4, 'Reading Report Logic'!$A$2:$B$8, 2, FALSE)&amp;"]")), FALSE)="", "",
VLOOKUP($A192,YES_Reading_ELA[], COLUMN(INDIRECT("YES_Reading_ELA[Difference - Per "&amp;VLOOKUP($G$4,'Reading Report Logic'!$A$2:$B$8,2,FALSE)&amp;"]")), FALSE)),
IF($G$3="FLA",
IF(VLOOKUP($A192, YES_Reading_FLA[], COLUMN(INDIRECT("YES_Reading_FLA[Difference - Per "&amp;VLOOKUP($G$4,'Reading Report Logic'!$A$2:$B$8,2,FALSE)&amp;"]")),FALSE)="","",
VLOOKUP($A192,YES_Reading_FLA[],COLUMN(INDIRECT("YES_Reading_FLA[Difference - Per "&amp;VLOOKUP($G$4,'Reading Report Logic'!$A$2:$B$8,2,FALSE)&amp;"]")),FALSE)),
IF($G$3="Combined",
IFERROR(
IF(VLOOKUP($A192, YES_Reading_ELA[], COLUMN(INDIRECT("YES_Reading_ELA[Difference - Per "&amp;VLOOKUP($G$4, 'Reading Report Logic'!$A$2:$B$8,2,FALSE)&amp;"]")), FALSE)="", "",
VLOOKUP($A192,YES_Reading_ELA[],COLUMN(INDIRECT("YES_Reading_ELA[Difference - Per "&amp;VLOOKUP($G$4,'Reading Report Logic'!$A$2:$B$8,2,FALSE)&amp;"]")),FALSE)),
IF(VLOOKUP($A192, YES_Reading_FLA[], COLUMN(INDIRECT("YES_Reading_FLA[Difference - Per "&amp;VLOOKUP($G$4, 'Reading Report Logic'!$A$2:$B$8, 2, FALSE)&amp;"]")),FALSE)="", "", VLOOKUP($A192,YES_Reading_FLA[],COLUMN(INDIRECT("YES_Reading_FLA[Difference - Per "&amp;VLOOKUP($G$4, 'Reading Report Logic'!$A$2:$B$8, 2, FALSE)&amp;"]")),FALSE))),""))),"")</f>
        <v/>
      </c>
    </row>
    <row r="193" spans="1:9" ht="14.25" customHeight="1" x14ac:dyDescent="0.25">
      <c r="A193" s="137"/>
      <c r="B193" s="137" t="str">
        <f>IFERROR(INDEX(_xlfn.VSTACK(YES_Writing_ELA[#Data], YES_Writing_FLA[#Data]),MATCH($A193,_xlfn.VSTACK(YES_Writing_ELA[Student Number], YES_Writing_FLA[Student Number]),0),MATCH(B$7,YES_Writing_ELA[#Headers],0)),IFERROR(INDEX(_xlfn.VSTACK(YES_Reading_ELA[#Data], YES_Reading_FLA[#Data]),MATCH($A193,_xlfn.VSTACK(YES_Reading_ELA[Student Number], YES_Reading_FLA[Student Number]),0),MATCH(B$7,YES_Reading_ELA[#Headers],0)),""))</f>
        <v/>
      </c>
      <c r="C193" s="137" t="str">
        <f>IFERROR(INDEX(_xlfn.VSTACK(YES_Writing_ELA[#Data], YES_Writing_FLA[#Data]),MATCH($A193,_xlfn.VSTACK(YES_Writing_ELA[Student Number], YES_Writing_FLA[Student Number]),0),MATCH(C$7,YES_Writing_ELA[#Headers],0)),IFERROR(INDEX(_xlfn.VSTACK(YES_Reading_ELA[#Data], YES_Reading_FLA[#Data]),MATCH($A193,_xlfn.VSTACK(YES_Reading_ELA[Student Number], YES_Reading_FLA[Student Number]),0),MATCH(C$7,YES_Reading_ELA[#Headers],0)),""))</f>
        <v/>
      </c>
      <c r="D193" s="138" t="str">
        <f>IFERROR(IF(IF(INDEX(_xlfn.VSTACK(YES_Writing_ELA[#Data],YES_Writing_FLA[#Data]),MATCH($A193,_xlfn.VSTACK(YES_Writing_ELA[Student Number],YES_Writing_FLA[Student Number]),0),MATCH(VLOOKUP(D$7,'Writing Logic'!$J$7:$K$11,2,FALSE)&amp;" - Per "&amp;VLOOKUP($C$4,'Writing Logic'!$G$8:$H$14,2,FALSE),YES_Writing_ELA[#Headers],0))=0,"",INDEX(_xlfn.VSTACK(YES_Writing_ELA[#Data],YES_Writing_FLA[#Data]),MATCH($A193,_xlfn.VSTACK(YES_Writing_ELA[Student Number],YES_Writing_FLA[Student Number]),0),MATCH(VLOOKUP(D$7,'Writing Logic'!$J$7:$K$11,2,FALSE)&amp;" - Per "&amp;VLOOKUP($C$4,'Writing Logic'!$G$8:$H$14,2,FALSE),YES_Writing_ELA[#Headers],0)))="INS",'Writing Logic'!$B$7,IF(INDEX(_xlfn.VSTACK(YES_Writing_ELA[#Data],YES_Writing_FLA[#Data]),MATCH($A193,_xlfn.VSTACK(YES_Writing_ELA[Student Number],YES_Writing_FLA[Student Number]),0),MATCH(VLOOKUP(D$7,'Writing Logic'!$J$7:$K$11,2,FALSE)&amp;" - Per "&amp;VLOOKUP($C$4,'Writing Logic'!$G$8:$H$14,2,FALSE),YES_Writing_ELA[#Headers],0))=0,"",INDEX(_xlfn.VSTACK(YES_Writing_ELA[#Data],YES_Writing_FLA[#Data]),MATCH($A193,_xlfn.VSTACK(YES_Writing_ELA[Student Number],YES_Writing_FLA[Student Number]),0),MATCH(VLOOKUP(D$7,'Writing Logic'!$J$7:$K$11,2,FALSE)&amp;" - Per "&amp;VLOOKUP($C$4,'Writing Logic'!$G$8:$H$14,2,FALSE),YES_Writing_ELA[#Headers],0)))),"")</f>
        <v/>
      </c>
      <c r="E193" s="138" t="str">
        <f>IFERROR(IF(IF(INDEX(_xlfn.VSTACK(YES_Writing_ELA[#Data],YES_Writing_FLA[#Data]),MATCH($A193,_xlfn.VSTACK(YES_Writing_ELA[Student Number],YES_Writing_FLA[Student Number]),0),MATCH(VLOOKUP(E$7,'Writing Logic'!$J$7:$K$11,2,FALSE)&amp;" - Per "&amp;VLOOKUP($C$4,'Writing Logic'!$G$8:$H$14,2,FALSE),YES_Writing_ELA[#Headers],0))=0,"",INDEX(_xlfn.VSTACK(YES_Writing_ELA[#Data],YES_Writing_FLA[#Data]),MATCH($A193,_xlfn.VSTACK(YES_Writing_ELA[Student Number],YES_Writing_FLA[Student Number]),0),MATCH(VLOOKUP(E$7,'Writing Logic'!$J$7:$K$11,2,FALSE)&amp;" - Per "&amp;VLOOKUP($C$4,'Writing Logic'!$G$8:$H$14,2,FALSE),YES_Writing_ELA[#Headers],0)))="INS",'Writing Logic'!$B$7,IF(INDEX(_xlfn.VSTACK(YES_Writing_ELA[#Data],YES_Writing_FLA[#Data]),MATCH($A193,_xlfn.VSTACK(YES_Writing_ELA[Student Number],YES_Writing_FLA[Student Number]),0),MATCH(VLOOKUP(E$7,'Writing Logic'!$J$7:$K$11,2,FALSE)&amp;" - Per "&amp;VLOOKUP($C$4,'Writing Logic'!$G$8:$H$14,2,FALSE),YES_Writing_ELA[#Headers],0))=0,"",INDEX(_xlfn.VSTACK(YES_Writing_ELA[#Data],YES_Writing_FLA[#Data]),MATCH($A193,_xlfn.VSTACK(YES_Writing_ELA[Student Number],YES_Writing_FLA[Student Number]),0),MATCH(VLOOKUP(E$7,'Writing Logic'!$J$7:$K$11,2,FALSE)&amp;" - Per "&amp;VLOOKUP($C$4,'Writing Logic'!$G$8:$H$14,2,FALSE),YES_Writing_ELA[#Headers],0)))),"")</f>
        <v/>
      </c>
      <c r="F193" s="138" t="str">
        <f>IFERROR(IF(IF(INDEX(_xlfn.VSTACK(YES_Writing_ELA[#Data],YES_Writing_FLA[#Data]),MATCH($A193,_xlfn.VSTACK(YES_Writing_ELA[Student Number],YES_Writing_FLA[Student Number]),0),MATCH(VLOOKUP(F$7,'Writing Logic'!$J$7:$K$11,2,FALSE)&amp;" - Per "&amp;VLOOKUP($C$4,'Writing Logic'!$G$8:$H$14,2,FALSE),YES_Writing_ELA[#Headers],0))=0,"",INDEX(_xlfn.VSTACK(YES_Writing_ELA[#Data],YES_Writing_FLA[#Data]),MATCH($A193,_xlfn.VSTACK(YES_Writing_ELA[Student Number],YES_Writing_FLA[Student Number]),0),MATCH(VLOOKUP(F$7,'Writing Logic'!$J$7:$K$11,2,FALSE)&amp;" - Per "&amp;VLOOKUP($C$4,'Writing Logic'!$G$8:$H$14,2,FALSE),YES_Writing_ELA[#Headers],0)))="INS",'Writing Logic'!$B$7,IF(INDEX(_xlfn.VSTACK(YES_Writing_ELA[#Data],YES_Writing_FLA[#Data]),MATCH($A193,_xlfn.VSTACK(YES_Writing_ELA[Student Number],YES_Writing_FLA[Student Number]),0),MATCH(VLOOKUP(F$7,'Writing Logic'!$J$7:$K$11,2,FALSE)&amp;" - Per "&amp;VLOOKUP($C$4,'Writing Logic'!$G$8:$H$14,2,FALSE),YES_Writing_ELA[#Headers],0))=0,"",INDEX(_xlfn.VSTACK(YES_Writing_ELA[#Data],YES_Writing_FLA[#Data]),MATCH($A193,_xlfn.VSTACK(YES_Writing_ELA[Student Number],YES_Writing_FLA[Student Number]),0),MATCH(VLOOKUP(F$7,'Writing Logic'!$J$7:$K$11,2,FALSE)&amp;" - Per "&amp;VLOOKUP($C$4,'Writing Logic'!$G$8:$H$14,2,FALSE),YES_Writing_ELA[#Headers],0)))),"")</f>
        <v/>
      </c>
      <c r="G193" s="138" t="str">
        <f>IFERROR(IF(IF(INDEX(_xlfn.VSTACK(YES_Writing_ELA[#Data],YES_Writing_FLA[#Data]),MATCH($A193,_xlfn.VSTACK(YES_Writing_ELA[Student Number],YES_Writing_FLA[Student Number]),0),MATCH(VLOOKUP(G$7,'Writing Logic'!$J$7:$K$11,2,FALSE)&amp;" - Per "&amp;VLOOKUP($C$4,'Writing Logic'!$G$8:$H$14,2,FALSE),YES_Writing_ELA[#Headers],0))=0,"",INDEX(_xlfn.VSTACK(YES_Writing_ELA[#Data],YES_Writing_FLA[#Data]),MATCH($A193,_xlfn.VSTACK(YES_Writing_ELA[Student Number],YES_Writing_FLA[Student Number]),0),MATCH(VLOOKUP(G$7,'Writing Logic'!$J$7:$K$11,2,FALSE)&amp;" - Per "&amp;VLOOKUP($C$4,'Writing Logic'!$G$8:$H$14,2,FALSE),YES_Writing_ELA[#Headers],0)))="INS",'Writing Logic'!$B$7,IF(INDEX(_xlfn.VSTACK(YES_Writing_ELA[#Data],YES_Writing_FLA[#Data]),MATCH($A193,_xlfn.VSTACK(YES_Writing_ELA[Student Number],YES_Writing_FLA[Student Number]),0),MATCH(VLOOKUP(G$7,'Writing Logic'!$J$7:$K$11,2,FALSE)&amp;" - Per "&amp;VLOOKUP($C$4,'Writing Logic'!$G$8:$H$14,2,FALSE),YES_Writing_ELA[#Headers],0))=0,"",INDEX(_xlfn.VSTACK(YES_Writing_ELA[#Data],YES_Writing_FLA[#Data]),MATCH($A193,_xlfn.VSTACK(YES_Writing_ELA[Student Number],YES_Writing_FLA[Student Number]),0),MATCH(VLOOKUP(G$7,'Writing Logic'!$J$7:$K$11,2,FALSE)&amp;" - Per "&amp;VLOOKUP($C$4,'Writing Logic'!$G$8:$H$14,2,FALSE),YES_Writing_ELA[#Headers],0)))),"")</f>
        <v/>
      </c>
      <c r="H193" s="223" t="str">
        <f>IFERROR(IF(IF(INDEX(_xlfn.VSTACK(YES_Writing_ELA[#Data],YES_Writing_FLA[#Data]),MATCH($A193,_xlfn.VSTACK(YES_Writing_ELA[Student Number],YES_Writing_FLA[Student Number]),0),MATCH(VLOOKUP(H$7,'Writing Logic'!$J$7:$K$11,2,FALSE)&amp;" - Per "&amp;VLOOKUP($C$4,'Writing Logic'!$G$8:$H$14,2,FALSE),YES_Writing_ELA[#Headers],0))=0,"",INDEX(_xlfn.VSTACK(YES_Writing_ELA[#Data],YES_Writing_FLA[#Data]),MATCH($A193,_xlfn.VSTACK(YES_Writing_ELA[Student Number],YES_Writing_FLA[Student Number]),0),MATCH(VLOOKUP(H$7,'Writing Logic'!$J$7:$K$11,2,FALSE)&amp;" - Per "&amp;VLOOKUP($C$4,'Writing Logic'!$G$8:$H$14,2,FALSE),YES_Writing_ELA[#Headers],0)))="INS",'Writing Logic'!$B$7,IF(INDEX(_xlfn.VSTACK(YES_Writing_ELA[#Data],YES_Writing_FLA[#Data]),MATCH($A193,_xlfn.VSTACK(YES_Writing_ELA[Student Number],YES_Writing_FLA[Student Number]),0),MATCH(VLOOKUP(H$7,'Writing Logic'!$J$7:$K$11,2,FALSE)&amp;" - Per "&amp;VLOOKUP($C$4,'Writing Logic'!$G$8:$H$14,2,FALSE),YES_Writing_ELA[#Headers],0))=0,"",INDEX(_xlfn.VSTACK(YES_Writing_ELA[#Data],YES_Writing_FLA[#Data]),MATCH($A193,_xlfn.VSTACK(YES_Writing_ELA[Student Number],YES_Writing_FLA[Student Number]),0),MATCH(VLOOKUP(H$7,'Writing Logic'!$J$7:$K$11,2,FALSE)&amp;" - Per "&amp;VLOOKUP($C$4,'Writing Logic'!$G$8:$H$14,2,FALSE),YES_Writing_ELA[#Headers],0)))),"")</f>
        <v/>
      </c>
      <c r="I193" s="224" t="str" cm="1">
        <f t="array" aca="1" ref="I193" ca="1">IFERROR(
IF($G$3="ELA",
IF(VLOOKUP($A193, YES_Reading_ELA[], COLUMN(INDIRECT("YES_Reading_ELA[Difference - Per "&amp;VLOOKUP($G$4, 'Reading Report Logic'!$A$2:$B$8, 2, FALSE)&amp;"]")), FALSE)="", "",
VLOOKUP($A193,YES_Reading_ELA[], COLUMN(INDIRECT("YES_Reading_ELA[Difference - Per "&amp;VLOOKUP($G$4,'Reading Report Logic'!$A$2:$B$8,2,FALSE)&amp;"]")), FALSE)),
IF($G$3="FLA",
IF(VLOOKUP($A193, YES_Reading_FLA[], COLUMN(INDIRECT("YES_Reading_FLA[Difference - Per "&amp;VLOOKUP($G$4,'Reading Report Logic'!$A$2:$B$8,2,FALSE)&amp;"]")),FALSE)="","",
VLOOKUP($A193,YES_Reading_FLA[],COLUMN(INDIRECT("YES_Reading_FLA[Difference - Per "&amp;VLOOKUP($G$4,'Reading Report Logic'!$A$2:$B$8,2,FALSE)&amp;"]")),FALSE)),
IF($G$3="Combined",
IFERROR(
IF(VLOOKUP($A193, YES_Reading_ELA[], COLUMN(INDIRECT("YES_Reading_ELA[Difference - Per "&amp;VLOOKUP($G$4, 'Reading Report Logic'!$A$2:$B$8,2,FALSE)&amp;"]")), FALSE)="", "",
VLOOKUP($A193,YES_Reading_ELA[],COLUMN(INDIRECT("YES_Reading_ELA[Difference - Per "&amp;VLOOKUP($G$4,'Reading Report Logic'!$A$2:$B$8,2,FALSE)&amp;"]")),FALSE)),
IF(VLOOKUP($A193, YES_Reading_FLA[], COLUMN(INDIRECT("YES_Reading_FLA[Difference - Per "&amp;VLOOKUP($G$4, 'Reading Report Logic'!$A$2:$B$8, 2, FALSE)&amp;"]")),FALSE)="", "", VLOOKUP($A193,YES_Reading_FLA[],COLUMN(INDIRECT("YES_Reading_FLA[Difference - Per "&amp;VLOOKUP($G$4, 'Reading Report Logic'!$A$2:$B$8, 2, FALSE)&amp;"]")),FALSE))),""))),"")</f>
        <v/>
      </c>
    </row>
    <row r="194" spans="1:9" ht="14.25" customHeight="1" x14ac:dyDescent="0.25">
      <c r="A194" s="137"/>
      <c r="B194" s="137" t="str">
        <f>IFERROR(INDEX(_xlfn.VSTACK(YES_Writing_ELA[#Data], YES_Writing_FLA[#Data]),MATCH($A194,_xlfn.VSTACK(YES_Writing_ELA[Student Number], YES_Writing_FLA[Student Number]),0),MATCH(B$7,YES_Writing_ELA[#Headers],0)),IFERROR(INDEX(_xlfn.VSTACK(YES_Reading_ELA[#Data], YES_Reading_FLA[#Data]),MATCH($A194,_xlfn.VSTACK(YES_Reading_ELA[Student Number], YES_Reading_FLA[Student Number]),0),MATCH(B$7,YES_Reading_ELA[#Headers],0)),""))</f>
        <v/>
      </c>
      <c r="C194" s="137" t="str">
        <f>IFERROR(INDEX(_xlfn.VSTACK(YES_Writing_ELA[#Data], YES_Writing_FLA[#Data]),MATCH($A194,_xlfn.VSTACK(YES_Writing_ELA[Student Number], YES_Writing_FLA[Student Number]),0),MATCH(C$7,YES_Writing_ELA[#Headers],0)),IFERROR(INDEX(_xlfn.VSTACK(YES_Reading_ELA[#Data], YES_Reading_FLA[#Data]),MATCH($A194,_xlfn.VSTACK(YES_Reading_ELA[Student Number], YES_Reading_FLA[Student Number]),0),MATCH(C$7,YES_Reading_ELA[#Headers],0)),""))</f>
        <v/>
      </c>
      <c r="D194" s="138" t="str">
        <f>IFERROR(IF(IF(INDEX(_xlfn.VSTACK(YES_Writing_ELA[#Data],YES_Writing_FLA[#Data]),MATCH($A194,_xlfn.VSTACK(YES_Writing_ELA[Student Number],YES_Writing_FLA[Student Number]),0),MATCH(VLOOKUP(D$7,'Writing Logic'!$J$7:$K$11,2,FALSE)&amp;" - Per "&amp;VLOOKUP($C$4,'Writing Logic'!$G$8:$H$14,2,FALSE),YES_Writing_ELA[#Headers],0))=0,"",INDEX(_xlfn.VSTACK(YES_Writing_ELA[#Data],YES_Writing_FLA[#Data]),MATCH($A194,_xlfn.VSTACK(YES_Writing_ELA[Student Number],YES_Writing_FLA[Student Number]),0),MATCH(VLOOKUP(D$7,'Writing Logic'!$J$7:$K$11,2,FALSE)&amp;" - Per "&amp;VLOOKUP($C$4,'Writing Logic'!$G$8:$H$14,2,FALSE),YES_Writing_ELA[#Headers],0)))="INS",'Writing Logic'!$B$7,IF(INDEX(_xlfn.VSTACK(YES_Writing_ELA[#Data],YES_Writing_FLA[#Data]),MATCH($A194,_xlfn.VSTACK(YES_Writing_ELA[Student Number],YES_Writing_FLA[Student Number]),0),MATCH(VLOOKUP(D$7,'Writing Logic'!$J$7:$K$11,2,FALSE)&amp;" - Per "&amp;VLOOKUP($C$4,'Writing Logic'!$G$8:$H$14,2,FALSE),YES_Writing_ELA[#Headers],0))=0,"",INDEX(_xlfn.VSTACK(YES_Writing_ELA[#Data],YES_Writing_FLA[#Data]),MATCH($A194,_xlfn.VSTACK(YES_Writing_ELA[Student Number],YES_Writing_FLA[Student Number]),0),MATCH(VLOOKUP(D$7,'Writing Logic'!$J$7:$K$11,2,FALSE)&amp;" - Per "&amp;VLOOKUP($C$4,'Writing Logic'!$G$8:$H$14,2,FALSE),YES_Writing_ELA[#Headers],0)))),"")</f>
        <v/>
      </c>
      <c r="E194" s="138" t="str">
        <f>IFERROR(IF(IF(INDEX(_xlfn.VSTACK(YES_Writing_ELA[#Data],YES_Writing_FLA[#Data]),MATCH($A194,_xlfn.VSTACK(YES_Writing_ELA[Student Number],YES_Writing_FLA[Student Number]),0),MATCH(VLOOKUP(E$7,'Writing Logic'!$J$7:$K$11,2,FALSE)&amp;" - Per "&amp;VLOOKUP($C$4,'Writing Logic'!$G$8:$H$14,2,FALSE),YES_Writing_ELA[#Headers],0))=0,"",INDEX(_xlfn.VSTACK(YES_Writing_ELA[#Data],YES_Writing_FLA[#Data]),MATCH($A194,_xlfn.VSTACK(YES_Writing_ELA[Student Number],YES_Writing_FLA[Student Number]),0),MATCH(VLOOKUP(E$7,'Writing Logic'!$J$7:$K$11,2,FALSE)&amp;" - Per "&amp;VLOOKUP($C$4,'Writing Logic'!$G$8:$H$14,2,FALSE),YES_Writing_ELA[#Headers],0)))="INS",'Writing Logic'!$B$7,IF(INDEX(_xlfn.VSTACK(YES_Writing_ELA[#Data],YES_Writing_FLA[#Data]),MATCH($A194,_xlfn.VSTACK(YES_Writing_ELA[Student Number],YES_Writing_FLA[Student Number]),0),MATCH(VLOOKUP(E$7,'Writing Logic'!$J$7:$K$11,2,FALSE)&amp;" - Per "&amp;VLOOKUP($C$4,'Writing Logic'!$G$8:$H$14,2,FALSE),YES_Writing_ELA[#Headers],0))=0,"",INDEX(_xlfn.VSTACK(YES_Writing_ELA[#Data],YES_Writing_FLA[#Data]),MATCH($A194,_xlfn.VSTACK(YES_Writing_ELA[Student Number],YES_Writing_FLA[Student Number]),0),MATCH(VLOOKUP(E$7,'Writing Logic'!$J$7:$K$11,2,FALSE)&amp;" - Per "&amp;VLOOKUP($C$4,'Writing Logic'!$G$8:$H$14,2,FALSE),YES_Writing_ELA[#Headers],0)))),"")</f>
        <v/>
      </c>
      <c r="F194" s="138" t="str">
        <f>IFERROR(IF(IF(INDEX(_xlfn.VSTACK(YES_Writing_ELA[#Data],YES_Writing_FLA[#Data]),MATCH($A194,_xlfn.VSTACK(YES_Writing_ELA[Student Number],YES_Writing_FLA[Student Number]),0),MATCH(VLOOKUP(F$7,'Writing Logic'!$J$7:$K$11,2,FALSE)&amp;" - Per "&amp;VLOOKUP($C$4,'Writing Logic'!$G$8:$H$14,2,FALSE),YES_Writing_ELA[#Headers],0))=0,"",INDEX(_xlfn.VSTACK(YES_Writing_ELA[#Data],YES_Writing_FLA[#Data]),MATCH($A194,_xlfn.VSTACK(YES_Writing_ELA[Student Number],YES_Writing_FLA[Student Number]),0),MATCH(VLOOKUP(F$7,'Writing Logic'!$J$7:$K$11,2,FALSE)&amp;" - Per "&amp;VLOOKUP($C$4,'Writing Logic'!$G$8:$H$14,2,FALSE),YES_Writing_ELA[#Headers],0)))="INS",'Writing Logic'!$B$7,IF(INDEX(_xlfn.VSTACK(YES_Writing_ELA[#Data],YES_Writing_FLA[#Data]),MATCH($A194,_xlfn.VSTACK(YES_Writing_ELA[Student Number],YES_Writing_FLA[Student Number]),0),MATCH(VLOOKUP(F$7,'Writing Logic'!$J$7:$K$11,2,FALSE)&amp;" - Per "&amp;VLOOKUP($C$4,'Writing Logic'!$G$8:$H$14,2,FALSE),YES_Writing_ELA[#Headers],0))=0,"",INDEX(_xlfn.VSTACK(YES_Writing_ELA[#Data],YES_Writing_FLA[#Data]),MATCH($A194,_xlfn.VSTACK(YES_Writing_ELA[Student Number],YES_Writing_FLA[Student Number]),0),MATCH(VLOOKUP(F$7,'Writing Logic'!$J$7:$K$11,2,FALSE)&amp;" - Per "&amp;VLOOKUP($C$4,'Writing Logic'!$G$8:$H$14,2,FALSE),YES_Writing_ELA[#Headers],0)))),"")</f>
        <v/>
      </c>
      <c r="G194" s="138" t="str">
        <f>IFERROR(IF(IF(INDEX(_xlfn.VSTACK(YES_Writing_ELA[#Data],YES_Writing_FLA[#Data]),MATCH($A194,_xlfn.VSTACK(YES_Writing_ELA[Student Number],YES_Writing_FLA[Student Number]),0),MATCH(VLOOKUP(G$7,'Writing Logic'!$J$7:$K$11,2,FALSE)&amp;" - Per "&amp;VLOOKUP($C$4,'Writing Logic'!$G$8:$H$14,2,FALSE),YES_Writing_ELA[#Headers],0))=0,"",INDEX(_xlfn.VSTACK(YES_Writing_ELA[#Data],YES_Writing_FLA[#Data]),MATCH($A194,_xlfn.VSTACK(YES_Writing_ELA[Student Number],YES_Writing_FLA[Student Number]),0),MATCH(VLOOKUP(G$7,'Writing Logic'!$J$7:$K$11,2,FALSE)&amp;" - Per "&amp;VLOOKUP($C$4,'Writing Logic'!$G$8:$H$14,2,FALSE),YES_Writing_ELA[#Headers],0)))="INS",'Writing Logic'!$B$7,IF(INDEX(_xlfn.VSTACK(YES_Writing_ELA[#Data],YES_Writing_FLA[#Data]),MATCH($A194,_xlfn.VSTACK(YES_Writing_ELA[Student Number],YES_Writing_FLA[Student Number]),0),MATCH(VLOOKUP(G$7,'Writing Logic'!$J$7:$K$11,2,FALSE)&amp;" - Per "&amp;VLOOKUP($C$4,'Writing Logic'!$G$8:$H$14,2,FALSE),YES_Writing_ELA[#Headers],0))=0,"",INDEX(_xlfn.VSTACK(YES_Writing_ELA[#Data],YES_Writing_FLA[#Data]),MATCH($A194,_xlfn.VSTACK(YES_Writing_ELA[Student Number],YES_Writing_FLA[Student Number]),0),MATCH(VLOOKUP(G$7,'Writing Logic'!$J$7:$K$11,2,FALSE)&amp;" - Per "&amp;VLOOKUP($C$4,'Writing Logic'!$G$8:$H$14,2,FALSE),YES_Writing_ELA[#Headers],0)))),"")</f>
        <v/>
      </c>
      <c r="H194" s="223" t="str">
        <f>IFERROR(IF(IF(INDEX(_xlfn.VSTACK(YES_Writing_ELA[#Data],YES_Writing_FLA[#Data]),MATCH($A194,_xlfn.VSTACK(YES_Writing_ELA[Student Number],YES_Writing_FLA[Student Number]),0),MATCH(VLOOKUP(H$7,'Writing Logic'!$J$7:$K$11,2,FALSE)&amp;" - Per "&amp;VLOOKUP($C$4,'Writing Logic'!$G$8:$H$14,2,FALSE),YES_Writing_ELA[#Headers],0))=0,"",INDEX(_xlfn.VSTACK(YES_Writing_ELA[#Data],YES_Writing_FLA[#Data]),MATCH($A194,_xlfn.VSTACK(YES_Writing_ELA[Student Number],YES_Writing_FLA[Student Number]),0),MATCH(VLOOKUP(H$7,'Writing Logic'!$J$7:$K$11,2,FALSE)&amp;" - Per "&amp;VLOOKUP($C$4,'Writing Logic'!$G$8:$H$14,2,FALSE),YES_Writing_ELA[#Headers],0)))="INS",'Writing Logic'!$B$7,IF(INDEX(_xlfn.VSTACK(YES_Writing_ELA[#Data],YES_Writing_FLA[#Data]),MATCH($A194,_xlfn.VSTACK(YES_Writing_ELA[Student Number],YES_Writing_FLA[Student Number]),0),MATCH(VLOOKUP(H$7,'Writing Logic'!$J$7:$K$11,2,FALSE)&amp;" - Per "&amp;VLOOKUP($C$4,'Writing Logic'!$G$8:$H$14,2,FALSE),YES_Writing_ELA[#Headers],0))=0,"",INDEX(_xlfn.VSTACK(YES_Writing_ELA[#Data],YES_Writing_FLA[#Data]),MATCH($A194,_xlfn.VSTACK(YES_Writing_ELA[Student Number],YES_Writing_FLA[Student Number]),0),MATCH(VLOOKUP(H$7,'Writing Logic'!$J$7:$K$11,2,FALSE)&amp;" - Per "&amp;VLOOKUP($C$4,'Writing Logic'!$G$8:$H$14,2,FALSE),YES_Writing_ELA[#Headers],0)))),"")</f>
        <v/>
      </c>
      <c r="I194" s="224" t="str" cm="1">
        <f t="array" aca="1" ref="I194" ca="1">IFERROR(
IF($G$3="ELA",
IF(VLOOKUP($A194, YES_Reading_ELA[], COLUMN(INDIRECT("YES_Reading_ELA[Difference - Per "&amp;VLOOKUP($G$4, 'Reading Report Logic'!$A$2:$B$8, 2, FALSE)&amp;"]")), FALSE)="", "",
VLOOKUP($A194,YES_Reading_ELA[], COLUMN(INDIRECT("YES_Reading_ELA[Difference - Per "&amp;VLOOKUP($G$4,'Reading Report Logic'!$A$2:$B$8,2,FALSE)&amp;"]")), FALSE)),
IF($G$3="FLA",
IF(VLOOKUP($A194, YES_Reading_FLA[], COLUMN(INDIRECT("YES_Reading_FLA[Difference - Per "&amp;VLOOKUP($G$4,'Reading Report Logic'!$A$2:$B$8,2,FALSE)&amp;"]")),FALSE)="","",
VLOOKUP($A194,YES_Reading_FLA[],COLUMN(INDIRECT("YES_Reading_FLA[Difference - Per "&amp;VLOOKUP($G$4,'Reading Report Logic'!$A$2:$B$8,2,FALSE)&amp;"]")),FALSE)),
IF($G$3="Combined",
IFERROR(
IF(VLOOKUP($A194, YES_Reading_ELA[], COLUMN(INDIRECT("YES_Reading_ELA[Difference - Per "&amp;VLOOKUP($G$4, 'Reading Report Logic'!$A$2:$B$8,2,FALSE)&amp;"]")), FALSE)="", "",
VLOOKUP($A194,YES_Reading_ELA[],COLUMN(INDIRECT("YES_Reading_ELA[Difference - Per "&amp;VLOOKUP($G$4,'Reading Report Logic'!$A$2:$B$8,2,FALSE)&amp;"]")),FALSE)),
IF(VLOOKUP($A194, YES_Reading_FLA[], COLUMN(INDIRECT("YES_Reading_FLA[Difference - Per "&amp;VLOOKUP($G$4, 'Reading Report Logic'!$A$2:$B$8, 2, FALSE)&amp;"]")),FALSE)="", "", VLOOKUP($A194,YES_Reading_FLA[],COLUMN(INDIRECT("YES_Reading_FLA[Difference - Per "&amp;VLOOKUP($G$4, 'Reading Report Logic'!$A$2:$B$8, 2, FALSE)&amp;"]")),FALSE))),""))),"")</f>
        <v/>
      </c>
    </row>
    <row r="195" spans="1:9" ht="14.25" customHeight="1" x14ac:dyDescent="0.25">
      <c r="A195" s="137"/>
      <c r="B195" s="137" t="str">
        <f>IFERROR(INDEX(_xlfn.VSTACK(YES_Writing_ELA[#Data], YES_Writing_FLA[#Data]),MATCH($A195,_xlfn.VSTACK(YES_Writing_ELA[Student Number], YES_Writing_FLA[Student Number]),0),MATCH(B$7,YES_Writing_ELA[#Headers],0)),IFERROR(INDEX(_xlfn.VSTACK(YES_Reading_ELA[#Data], YES_Reading_FLA[#Data]),MATCH($A195,_xlfn.VSTACK(YES_Reading_ELA[Student Number], YES_Reading_FLA[Student Number]),0),MATCH(B$7,YES_Reading_ELA[#Headers],0)),""))</f>
        <v/>
      </c>
      <c r="C195" s="137" t="str">
        <f>IFERROR(INDEX(_xlfn.VSTACK(YES_Writing_ELA[#Data], YES_Writing_FLA[#Data]),MATCH($A195,_xlfn.VSTACK(YES_Writing_ELA[Student Number], YES_Writing_FLA[Student Number]),0),MATCH(C$7,YES_Writing_ELA[#Headers],0)),IFERROR(INDEX(_xlfn.VSTACK(YES_Reading_ELA[#Data], YES_Reading_FLA[#Data]),MATCH($A195,_xlfn.VSTACK(YES_Reading_ELA[Student Number], YES_Reading_FLA[Student Number]),0),MATCH(C$7,YES_Reading_ELA[#Headers],0)),""))</f>
        <v/>
      </c>
      <c r="D195" s="138" t="str">
        <f>IFERROR(IF(IF(INDEX(_xlfn.VSTACK(YES_Writing_ELA[#Data],YES_Writing_FLA[#Data]),MATCH($A195,_xlfn.VSTACK(YES_Writing_ELA[Student Number],YES_Writing_FLA[Student Number]),0),MATCH(VLOOKUP(D$7,'Writing Logic'!$J$7:$K$11,2,FALSE)&amp;" - Per "&amp;VLOOKUP($C$4,'Writing Logic'!$G$8:$H$14,2,FALSE),YES_Writing_ELA[#Headers],0))=0,"",INDEX(_xlfn.VSTACK(YES_Writing_ELA[#Data],YES_Writing_FLA[#Data]),MATCH($A195,_xlfn.VSTACK(YES_Writing_ELA[Student Number],YES_Writing_FLA[Student Number]),0),MATCH(VLOOKUP(D$7,'Writing Logic'!$J$7:$K$11,2,FALSE)&amp;" - Per "&amp;VLOOKUP($C$4,'Writing Logic'!$G$8:$H$14,2,FALSE),YES_Writing_ELA[#Headers],0)))="INS",'Writing Logic'!$B$7,IF(INDEX(_xlfn.VSTACK(YES_Writing_ELA[#Data],YES_Writing_FLA[#Data]),MATCH($A195,_xlfn.VSTACK(YES_Writing_ELA[Student Number],YES_Writing_FLA[Student Number]),0),MATCH(VLOOKUP(D$7,'Writing Logic'!$J$7:$K$11,2,FALSE)&amp;" - Per "&amp;VLOOKUP($C$4,'Writing Logic'!$G$8:$H$14,2,FALSE),YES_Writing_ELA[#Headers],0))=0,"",INDEX(_xlfn.VSTACK(YES_Writing_ELA[#Data],YES_Writing_FLA[#Data]),MATCH($A195,_xlfn.VSTACK(YES_Writing_ELA[Student Number],YES_Writing_FLA[Student Number]),0),MATCH(VLOOKUP(D$7,'Writing Logic'!$J$7:$K$11,2,FALSE)&amp;" - Per "&amp;VLOOKUP($C$4,'Writing Logic'!$G$8:$H$14,2,FALSE),YES_Writing_ELA[#Headers],0)))),"")</f>
        <v/>
      </c>
      <c r="E195" s="138" t="str">
        <f>IFERROR(IF(IF(INDEX(_xlfn.VSTACK(YES_Writing_ELA[#Data],YES_Writing_FLA[#Data]),MATCH($A195,_xlfn.VSTACK(YES_Writing_ELA[Student Number],YES_Writing_FLA[Student Number]),0),MATCH(VLOOKUP(E$7,'Writing Logic'!$J$7:$K$11,2,FALSE)&amp;" - Per "&amp;VLOOKUP($C$4,'Writing Logic'!$G$8:$H$14,2,FALSE),YES_Writing_ELA[#Headers],0))=0,"",INDEX(_xlfn.VSTACK(YES_Writing_ELA[#Data],YES_Writing_FLA[#Data]),MATCH($A195,_xlfn.VSTACK(YES_Writing_ELA[Student Number],YES_Writing_FLA[Student Number]),0),MATCH(VLOOKUP(E$7,'Writing Logic'!$J$7:$K$11,2,FALSE)&amp;" - Per "&amp;VLOOKUP($C$4,'Writing Logic'!$G$8:$H$14,2,FALSE),YES_Writing_ELA[#Headers],0)))="INS",'Writing Logic'!$B$7,IF(INDEX(_xlfn.VSTACK(YES_Writing_ELA[#Data],YES_Writing_FLA[#Data]),MATCH($A195,_xlfn.VSTACK(YES_Writing_ELA[Student Number],YES_Writing_FLA[Student Number]),0),MATCH(VLOOKUP(E$7,'Writing Logic'!$J$7:$K$11,2,FALSE)&amp;" - Per "&amp;VLOOKUP($C$4,'Writing Logic'!$G$8:$H$14,2,FALSE),YES_Writing_ELA[#Headers],0))=0,"",INDEX(_xlfn.VSTACK(YES_Writing_ELA[#Data],YES_Writing_FLA[#Data]),MATCH($A195,_xlfn.VSTACK(YES_Writing_ELA[Student Number],YES_Writing_FLA[Student Number]),0),MATCH(VLOOKUP(E$7,'Writing Logic'!$J$7:$K$11,2,FALSE)&amp;" - Per "&amp;VLOOKUP($C$4,'Writing Logic'!$G$8:$H$14,2,FALSE),YES_Writing_ELA[#Headers],0)))),"")</f>
        <v/>
      </c>
      <c r="F195" s="138" t="str">
        <f>IFERROR(IF(IF(INDEX(_xlfn.VSTACK(YES_Writing_ELA[#Data],YES_Writing_FLA[#Data]),MATCH($A195,_xlfn.VSTACK(YES_Writing_ELA[Student Number],YES_Writing_FLA[Student Number]),0),MATCH(VLOOKUP(F$7,'Writing Logic'!$J$7:$K$11,2,FALSE)&amp;" - Per "&amp;VLOOKUP($C$4,'Writing Logic'!$G$8:$H$14,2,FALSE),YES_Writing_ELA[#Headers],0))=0,"",INDEX(_xlfn.VSTACK(YES_Writing_ELA[#Data],YES_Writing_FLA[#Data]),MATCH($A195,_xlfn.VSTACK(YES_Writing_ELA[Student Number],YES_Writing_FLA[Student Number]),0),MATCH(VLOOKUP(F$7,'Writing Logic'!$J$7:$K$11,2,FALSE)&amp;" - Per "&amp;VLOOKUP($C$4,'Writing Logic'!$G$8:$H$14,2,FALSE),YES_Writing_ELA[#Headers],0)))="INS",'Writing Logic'!$B$7,IF(INDEX(_xlfn.VSTACK(YES_Writing_ELA[#Data],YES_Writing_FLA[#Data]),MATCH($A195,_xlfn.VSTACK(YES_Writing_ELA[Student Number],YES_Writing_FLA[Student Number]),0),MATCH(VLOOKUP(F$7,'Writing Logic'!$J$7:$K$11,2,FALSE)&amp;" - Per "&amp;VLOOKUP($C$4,'Writing Logic'!$G$8:$H$14,2,FALSE),YES_Writing_ELA[#Headers],0))=0,"",INDEX(_xlfn.VSTACK(YES_Writing_ELA[#Data],YES_Writing_FLA[#Data]),MATCH($A195,_xlfn.VSTACK(YES_Writing_ELA[Student Number],YES_Writing_FLA[Student Number]),0),MATCH(VLOOKUP(F$7,'Writing Logic'!$J$7:$K$11,2,FALSE)&amp;" - Per "&amp;VLOOKUP($C$4,'Writing Logic'!$G$8:$H$14,2,FALSE),YES_Writing_ELA[#Headers],0)))),"")</f>
        <v/>
      </c>
      <c r="G195" s="138" t="str">
        <f>IFERROR(IF(IF(INDEX(_xlfn.VSTACK(YES_Writing_ELA[#Data],YES_Writing_FLA[#Data]),MATCH($A195,_xlfn.VSTACK(YES_Writing_ELA[Student Number],YES_Writing_FLA[Student Number]),0),MATCH(VLOOKUP(G$7,'Writing Logic'!$J$7:$K$11,2,FALSE)&amp;" - Per "&amp;VLOOKUP($C$4,'Writing Logic'!$G$8:$H$14,2,FALSE),YES_Writing_ELA[#Headers],0))=0,"",INDEX(_xlfn.VSTACK(YES_Writing_ELA[#Data],YES_Writing_FLA[#Data]),MATCH($A195,_xlfn.VSTACK(YES_Writing_ELA[Student Number],YES_Writing_FLA[Student Number]),0),MATCH(VLOOKUP(G$7,'Writing Logic'!$J$7:$K$11,2,FALSE)&amp;" - Per "&amp;VLOOKUP($C$4,'Writing Logic'!$G$8:$H$14,2,FALSE),YES_Writing_ELA[#Headers],0)))="INS",'Writing Logic'!$B$7,IF(INDEX(_xlfn.VSTACK(YES_Writing_ELA[#Data],YES_Writing_FLA[#Data]),MATCH($A195,_xlfn.VSTACK(YES_Writing_ELA[Student Number],YES_Writing_FLA[Student Number]),0),MATCH(VLOOKUP(G$7,'Writing Logic'!$J$7:$K$11,2,FALSE)&amp;" - Per "&amp;VLOOKUP($C$4,'Writing Logic'!$G$8:$H$14,2,FALSE),YES_Writing_ELA[#Headers],0))=0,"",INDEX(_xlfn.VSTACK(YES_Writing_ELA[#Data],YES_Writing_FLA[#Data]),MATCH($A195,_xlfn.VSTACK(YES_Writing_ELA[Student Number],YES_Writing_FLA[Student Number]),0),MATCH(VLOOKUP(G$7,'Writing Logic'!$J$7:$K$11,2,FALSE)&amp;" - Per "&amp;VLOOKUP($C$4,'Writing Logic'!$G$8:$H$14,2,FALSE),YES_Writing_ELA[#Headers],0)))),"")</f>
        <v/>
      </c>
      <c r="H195" s="223" t="str">
        <f>IFERROR(IF(IF(INDEX(_xlfn.VSTACK(YES_Writing_ELA[#Data],YES_Writing_FLA[#Data]),MATCH($A195,_xlfn.VSTACK(YES_Writing_ELA[Student Number],YES_Writing_FLA[Student Number]),0),MATCH(VLOOKUP(H$7,'Writing Logic'!$J$7:$K$11,2,FALSE)&amp;" - Per "&amp;VLOOKUP($C$4,'Writing Logic'!$G$8:$H$14,2,FALSE),YES_Writing_ELA[#Headers],0))=0,"",INDEX(_xlfn.VSTACK(YES_Writing_ELA[#Data],YES_Writing_FLA[#Data]),MATCH($A195,_xlfn.VSTACK(YES_Writing_ELA[Student Number],YES_Writing_FLA[Student Number]),0),MATCH(VLOOKUP(H$7,'Writing Logic'!$J$7:$K$11,2,FALSE)&amp;" - Per "&amp;VLOOKUP($C$4,'Writing Logic'!$G$8:$H$14,2,FALSE),YES_Writing_ELA[#Headers],0)))="INS",'Writing Logic'!$B$7,IF(INDEX(_xlfn.VSTACK(YES_Writing_ELA[#Data],YES_Writing_FLA[#Data]),MATCH($A195,_xlfn.VSTACK(YES_Writing_ELA[Student Number],YES_Writing_FLA[Student Number]),0),MATCH(VLOOKUP(H$7,'Writing Logic'!$J$7:$K$11,2,FALSE)&amp;" - Per "&amp;VLOOKUP($C$4,'Writing Logic'!$G$8:$H$14,2,FALSE),YES_Writing_ELA[#Headers],0))=0,"",INDEX(_xlfn.VSTACK(YES_Writing_ELA[#Data],YES_Writing_FLA[#Data]),MATCH($A195,_xlfn.VSTACK(YES_Writing_ELA[Student Number],YES_Writing_FLA[Student Number]),0),MATCH(VLOOKUP(H$7,'Writing Logic'!$J$7:$K$11,2,FALSE)&amp;" - Per "&amp;VLOOKUP($C$4,'Writing Logic'!$G$8:$H$14,2,FALSE),YES_Writing_ELA[#Headers],0)))),"")</f>
        <v/>
      </c>
      <c r="I195" s="224" t="str" cm="1">
        <f t="array" aca="1" ref="I195" ca="1">IFERROR(
IF($G$3="ELA",
IF(VLOOKUP($A195, YES_Reading_ELA[], COLUMN(INDIRECT("YES_Reading_ELA[Difference - Per "&amp;VLOOKUP($G$4, 'Reading Report Logic'!$A$2:$B$8, 2, FALSE)&amp;"]")), FALSE)="", "",
VLOOKUP($A195,YES_Reading_ELA[], COLUMN(INDIRECT("YES_Reading_ELA[Difference - Per "&amp;VLOOKUP($G$4,'Reading Report Logic'!$A$2:$B$8,2,FALSE)&amp;"]")), FALSE)),
IF($G$3="FLA",
IF(VLOOKUP($A195, YES_Reading_FLA[], COLUMN(INDIRECT("YES_Reading_FLA[Difference - Per "&amp;VLOOKUP($G$4,'Reading Report Logic'!$A$2:$B$8,2,FALSE)&amp;"]")),FALSE)="","",
VLOOKUP($A195,YES_Reading_FLA[],COLUMN(INDIRECT("YES_Reading_FLA[Difference - Per "&amp;VLOOKUP($G$4,'Reading Report Logic'!$A$2:$B$8,2,FALSE)&amp;"]")),FALSE)),
IF($G$3="Combined",
IFERROR(
IF(VLOOKUP($A195, YES_Reading_ELA[], COLUMN(INDIRECT("YES_Reading_ELA[Difference - Per "&amp;VLOOKUP($G$4, 'Reading Report Logic'!$A$2:$B$8,2,FALSE)&amp;"]")), FALSE)="", "",
VLOOKUP($A195,YES_Reading_ELA[],COLUMN(INDIRECT("YES_Reading_ELA[Difference - Per "&amp;VLOOKUP($G$4,'Reading Report Logic'!$A$2:$B$8,2,FALSE)&amp;"]")),FALSE)),
IF(VLOOKUP($A195, YES_Reading_FLA[], COLUMN(INDIRECT("YES_Reading_FLA[Difference - Per "&amp;VLOOKUP($G$4, 'Reading Report Logic'!$A$2:$B$8, 2, FALSE)&amp;"]")),FALSE)="", "", VLOOKUP($A195,YES_Reading_FLA[],COLUMN(INDIRECT("YES_Reading_FLA[Difference - Per "&amp;VLOOKUP($G$4, 'Reading Report Logic'!$A$2:$B$8, 2, FALSE)&amp;"]")),FALSE))),""))),"")</f>
        <v/>
      </c>
    </row>
    <row r="196" spans="1:9" ht="14.25" customHeight="1" x14ac:dyDescent="0.25">
      <c r="A196" s="137"/>
      <c r="B196" s="137" t="str">
        <f>IFERROR(INDEX(_xlfn.VSTACK(YES_Writing_ELA[#Data], YES_Writing_FLA[#Data]),MATCH($A196,_xlfn.VSTACK(YES_Writing_ELA[Student Number], YES_Writing_FLA[Student Number]),0),MATCH(B$7,YES_Writing_ELA[#Headers],0)),IFERROR(INDEX(_xlfn.VSTACK(YES_Reading_ELA[#Data], YES_Reading_FLA[#Data]),MATCH($A196,_xlfn.VSTACK(YES_Reading_ELA[Student Number], YES_Reading_FLA[Student Number]),0),MATCH(B$7,YES_Reading_ELA[#Headers],0)),""))</f>
        <v/>
      </c>
      <c r="C196" s="137" t="str">
        <f>IFERROR(INDEX(_xlfn.VSTACK(YES_Writing_ELA[#Data], YES_Writing_FLA[#Data]),MATCH($A196,_xlfn.VSTACK(YES_Writing_ELA[Student Number], YES_Writing_FLA[Student Number]),0),MATCH(C$7,YES_Writing_ELA[#Headers],0)),IFERROR(INDEX(_xlfn.VSTACK(YES_Reading_ELA[#Data], YES_Reading_FLA[#Data]),MATCH($A196,_xlfn.VSTACK(YES_Reading_ELA[Student Number], YES_Reading_FLA[Student Number]),0),MATCH(C$7,YES_Reading_ELA[#Headers],0)),""))</f>
        <v/>
      </c>
      <c r="D196" s="138" t="str">
        <f>IFERROR(IF(IF(INDEX(_xlfn.VSTACK(YES_Writing_ELA[#Data],YES_Writing_FLA[#Data]),MATCH($A196,_xlfn.VSTACK(YES_Writing_ELA[Student Number],YES_Writing_FLA[Student Number]),0),MATCH(VLOOKUP(D$7,'Writing Logic'!$J$7:$K$11,2,FALSE)&amp;" - Per "&amp;VLOOKUP($C$4,'Writing Logic'!$G$8:$H$14,2,FALSE),YES_Writing_ELA[#Headers],0))=0,"",INDEX(_xlfn.VSTACK(YES_Writing_ELA[#Data],YES_Writing_FLA[#Data]),MATCH($A196,_xlfn.VSTACK(YES_Writing_ELA[Student Number],YES_Writing_FLA[Student Number]),0),MATCH(VLOOKUP(D$7,'Writing Logic'!$J$7:$K$11,2,FALSE)&amp;" - Per "&amp;VLOOKUP($C$4,'Writing Logic'!$G$8:$H$14,2,FALSE),YES_Writing_ELA[#Headers],0)))="INS",'Writing Logic'!$B$7,IF(INDEX(_xlfn.VSTACK(YES_Writing_ELA[#Data],YES_Writing_FLA[#Data]),MATCH($A196,_xlfn.VSTACK(YES_Writing_ELA[Student Number],YES_Writing_FLA[Student Number]),0),MATCH(VLOOKUP(D$7,'Writing Logic'!$J$7:$K$11,2,FALSE)&amp;" - Per "&amp;VLOOKUP($C$4,'Writing Logic'!$G$8:$H$14,2,FALSE),YES_Writing_ELA[#Headers],0))=0,"",INDEX(_xlfn.VSTACK(YES_Writing_ELA[#Data],YES_Writing_FLA[#Data]),MATCH($A196,_xlfn.VSTACK(YES_Writing_ELA[Student Number],YES_Writing_FLA[Student Number]),0),MATCH(VLOOKUP(D$7,'Writing Logic'!$J$7:$K$11,2,FALSE)&amp;" - Per "&amp;VLOOKUP($C$4,'Writing Logic'!$G$8:$H$14,2,FALSE),YES_Writing_ELA[#Headers],0)))),"")</f>
        <v/>
      </c>
      <c r="E196" s="138" t="str">
        <f>IFERROR(IF(IF(INDEX(_xlfn.VSTACK(YES_Writing_ELA[#Data],YES_Writing_FLA[#Data]),MATCH($A196,_xlfn.VSTACK(YES_Writing_ELA[Student Number],YES_Writing_FLA[Student Number]),0),MATCH(VLOOKUP(E$7,'Writing Logic'!$J$7:$K$11,2,FALSE)&amp;" - Per "&amp;VLOOKUP($C$4,'Writing Logic'!$G$8:$H$14,2,FALSE),YES_Writing_ELA[#Headers],0))=0,"",INDEX(_xlfn.VSTACK(YES_Writing_ELA[#Data],YES_Writing_FLA[#Data]),MATCH($A196,_xlfn.VSTACK(YES_Writing_ELA[Student Number],YES_Writing_FLA[Student Number]),0),MATCH(VLOOKUP(E$7,'Writing Logic'!$J$7:$K$11,2,FALSE)&amp;" - Per "&amp;VLOOKUP($C$4,'Writing Logic'!$G$8:$H$14,2,FALSE),YES_Writing_ELA[#Headers],0)))="INS",'Writing Logic'!$B$7,IF(INDEX(_xlfn.VSTACK(YES_Writing_ELA[#Data],YES_Writing_FLA[#Data]),MATCH($A196,_xlfn.VSTACK(YES_Writing_ELA[Student Number],YES_Writing_FLA[Student Number]),0),MATCH(VLOOKUP(E$7,'Writing Logic'!$J$7:$K$11,2,FALSE)&amp;" - Per "&amp;VLOOKUP($C$4,'Writing Logic'!$G$8:$H$14,2,FALSE),YES_Writing_ELA[#Headers],0))=0,"",INDEX(_xlfn.VSTACK(YES_Writing_ELA[#Data],YES_Writing_FLA[#Data]),MATCH($A196,_xlfn.VSTACK(YES_Writing_ELA[Student Number],YES_Writing_FLA[Student Number]),0),MATCH(VLOOKUP(E$7,'Writing Logic'!$J$7:$K$11,2,FALSE)&amp;" - Per "&amp;VLOOKUP($C$4,'Writing Logic'!$G$8:$H$14,2,FALSE),YES_Writing_ELA[#Headers],0)))),"")</f>
        <v/>
      </c>
      <c r="F196" s="138" t="str">
        <f>IFERROR(IF(IF(INDEX(_xlfn.VSTACK(YES_Writing_ELA[#Data],YES_Writing_FLA[#Data]),MATCH($A196,_xlfn.VSTACK(YES_Writing_ELA[Student Number],YES_Writing_FLA[Student Number]),0),MATCH(VLOOKUP(F$7,'Writing Logic'!$J$7:$K$11,2,FALSE)&amp;" - Per "&amp;VLOOKUP($C$4,'Writing Logic'!$G$8:$H$14,2,FALSE),YES_Writing_ELA[#Headers],0))=0,"",INDEX(_xlfn.VSTACK(YES_Writing_ELA[#Data],YES_Writing_FLA[#Data]),MATCH($A196,_xlfn.VSTACK(YES_Writing_ELA[Student Number],YES_Writing_FLA[Student Number]),0),MATCH(VLOOKUP(F$7,'Writing Logic'!$J$7:$K$11,2,FALSE)&amp;" - Per "&amp;VLOOKUP($C$4,'Writing Logic'!$G$8:$H$14,2,FALSE),YES_Writing_ELA[#Headers],0)))="INS",'Writing Logic'!$B$7,IF(INDEX(_xlfn.VSTACK(YES_Writing_ELA[#Data],YES_Writing_FLA[#Data]),MATCH($A196,_xlfn.VSTACK(YES_Writing_ELA[Student Number],YES_Writing_FLA[Student Number]),0),MATCH(VLOOKUP(F$7,'Writing Logic'!$J$7:$K$11,2,FALSE)&amp;" - Per "&amp;VLOOKUP($C$4,'Writing Logic'!$G$8:$H$14,2,FALSE),YES_Writing_ELA[#Headers],0))=0,"",INDEX(_xlfn.VSTACK(YES_Writing_ELA[#Data],YES_Writing_FLA[#Data]),MATCH($A196,_xlfn.VSTACK(YES_Writing_ELA[Student Number],YES_Writing_FLA[Student Number]),0),MATCH(VLOOKUP(F$7,'Writing Logic'!$J$7:$K$11,2,FALSE)&amp;" - Per "&amp;VLOOKUP($C$4,'Writing Logic'!$G$8:$H$14,2,FALSE),YES_Writing_ELA[#Headers],0)))),"")</f>
        <v/>
      </c>
      <c r="G196" s="138" t="str">
        <f>IFERROR(IF(IF(INDEX(_xlfn.VSTACK(YES_Writing_ELA[#Data],YES_Writing_FLA[#Data]),MATCH($A196,_xlfn.VSTACK(YES_Writing_ELA[Student Number],YES_Writing_FLA[Student Number]),0),MATCH(VLOOKUP(G$7,'Writing Logic'!$J$7:$K$11,2,FALSE)&amp;" - Per "&amp;VLOOKUP($C$4,'Writing Logic'!$G$8:$H$14,2,FALSE),YES_Writing_ELA[#Headers],0))=0,"",INDEX(_xlfn.VSTACK(YES_Writing_ELA[#Data],YES_Writing_FLA[#Data]),MATCH($A196,_xlfn.VSTACK(YES_Writing_ELA[Student Number],YES_Writing_FLA[Student Number]),0),MATCH(VLOOKUP(G$7,'Writing Logic'!$J$7:$K$11,2,FALSE)&amp;" - Per "&amp;VLOOKUP($C$4,'Writing Logic'!$G$8:$H$14,2,FALSE),YES_Writing_ELA[#Headers],0)))="INS",'Writing Logic'!$B$7,IF(INDEX(_xlfn.VSTACK(YES_Writing_ELA[#Data],YES_Writing_FLA[#Data]),MATCH($A196,_xlfn.VSTACK(YES_Writing_ELA[Student Number],YES_Writing_FLA[Student Number]),0),MATCH(VLOOKUP(G$7,'Writing Logic'!$J$7:$K$11,2,FALSE)&amp;" - Per "&amp;VLOOKUP($C$4,'Writing Logic'!$G$8:$H$14,2,FALSE),YES_Writing_ELA[#Headers],0))=0,"",INDEX(_xlfn.VSTACK(YES_Writing_ELA[#Data],YES_Writing_FLA[#Data]),MATCH($A196,_xlfn.VSTACK(YES_Writing_ELA[Student Number],YES_Writing_FLA[Student Number]),0),MATCH(VLOOKUP(G$7,'Writing Logic'!$J$7:$K$11,2,FALSE)&amp;" - Per "&amp;VLOOKUP($C$4,'Writing Logic'!$G$8:$H$14,2,FALSE),YES_Writing_ELA[#Headers],0)))),"")</f>
        <v/>
      </c>
      <c r="H196" s="223" t="str">
        <f>IFERROR(IF(IF(INDEX(_xlfn.VSTACK(YES_Writing_ELA[#Data],YES_Writing_FLA[#Data]),MATCH($A196,_xlfn.VSTACK(YES_Writing_ELA[Student Number],YES_Writing_FLA[Student Number]),0),MATCH(VLOOKUP(H$7,'Writing Logic'!$J$7:$K$11,2,FALSE)&amp;" - Per "&amp;VLOOKUP($C$4,'Writing Logic'!$G$8:$H$14,2,FALSE),YES_Writing_ELA[#Headers],0))=0,"",INDEX(_xlfn.VSTACK(YES_Writing_ELA[#Data],YES_Writing_FLA[#Data]),MATCH($A196,_xlfn.VSTACK(YES_Writing_ELA[Student Number],YES_Writing_FLA[Student Number]),0),MATCH(VLOOKUP(H$7,'Writing Logic'!$J$7:$K$11,2,FALSE)&amp;" - Per "&amp;VLOOKUP($C$4,'Writing Logic'!$G$8:$H$14,2,FALSE),YES_Writing_ELA[#Headers],0)))="INS",'Writing Logic'!$B$7,IF(INDEX(_xlfn.VSTACK(YES_Writing_ELA[#Data],YES_Writing_FLA[#Data]),MATCH($A196,_xlfn.VSTACK(YES_Writing_ELA[Student Number],YES_Writing_FLA[Student Number]),0),MATCH(VLOOKUP(H$7,'Writing Logic'!$J$7:$K$11,2,FALSE)&amp;" - Per "&amp;VLOOKUP($C$4,'Writing Logic'!$G$8:$H$14,2,FALSE),YES_Writing_ELA[#Headers],0))=0,"",INDEX(_xlfn.VSTACK(YES_Writing_ELA[#Data],YES_Writing_FLA[#Data]),MATCH($A196,_xlfn.VSTACK(YES_Writing_ELA[Student Number],YES_Writing_FLA[Student Number]),0),MATCH(VLOOKUP(H$7,'Writing Logic'!$J$7:$K$11,2,FALSE)&amp;" - Per "&amp;VLOOKUP($C$4,'Writing Logic'!$G$8:$H$14,2,FALSE),YES_Writing_ELA[#Headers],0)))),"")</f>
        <v/>
      </c>
      <c r="I196" s="224" t="str" cm="1">
        <f t="array" aca="1" ref="I196" ca="1">IFERROR(
IF($G$3="ELA",
IF(VLOOKUP($A196, YES_Reading_ELA[], COLUMN(INDIRECT("YES_Reading_ELA[Difference - Per "&amp;VLOOKUP($G$4, 'Reading Report Logic'!$A$2:$B$8, 2, FALSE)&amp;"]")), FALSE)="", "",
VLOOKUP($A196,YES_Reading_ELA[], COLUMN(INDIRECT("YES_Reading_ELA[Difference - Per "&amp;VLOOKUP($G$4,'Reading Report Logic'!$A$2:$B$8,2,FALSE)&amp;"]")), FALSE)),
IF($G$3="FLA",
IF(VLOOKUP($A196, YES_Reading_FLA[], COLUMN(INDIRECT("YES_Reading_FLA[Difference - Per "&amp;VLOOKUP($G$4,'Reading Report Logic'!$A$2:$B$8,2,FALSE)&amp;"]")),FALSE)="","",
VLOOKUP($A196,YES_Reading_FLA[],COLUMN(INDIRECT("YES_Reading_FLA[Difference - Per "&amp;VLOOKUP($G$4,'Reading Report Logic'!$A$2:$B$8,2,FALSE)&amp;"]")),FALSE)),
IF($G$3="Combined",
IFERROR(
IF(VLOOKUP($A196, YES_Reading_ELA[], COLUMN(INDIRECT("YES_Reading_ELA[Difference - Per "&amp;VLOOKUP($G$4, 'Reading Report Logic'!$A$2:$B$8,2,FALSE)&amp;"]")), FALSE)="", "",
VLOOKUP($A196,YES_Reading_ELA[],COLUMN(INDIRECT("YES_Reading_ELA[Difference - Per "&amp;VLOOKUP($G$4,'Reading Report Logic'!$A$2:$B$8,2,FALSE)&amp;"]")),FALSE)),
IF(VLOOKUP($A196, YES_Reading_FLA[], COLUMN(INDIRECT("YES_Reading_FLA[Difference - Per "&amp;VLOOKUP($G$4, 'Reading Report Logic'!$A$2:$B$8, 2, FALSE)&amp;"]")),FALSE)="", "", VLOOKUP($A196,YES_Reading_FLA[],COLUMN(INDIRECT("YES_Reading_FLA[Difference - Per "&amp;VLOOKUP($G$4, 'Reading Report Logic'!$A$2:$B$8, 2, FALSE)&amp;"]")),FALSE))),""))),"")</f>
        <v/>
      </c>
    </row>
    <row r="197" spans="1:9" ht="14.25" customHeight="1" x14ac:dyDescent="0.25">
      <c r="A197" s="137"/>
      <c r="B197" s="137" t="str">
        <f>IFERROR(INDEX(_xlfn.VSTACK(YES_Writing_ELA[#Data], YES_Writing_FLA[#Data]),MATCH($A197,_xlfn.VSTACK(YES_Writing_ELA[Student Number], YES_Writing_FLA[Student Number]),0),MATCH(B$7,YES_Writing_ELA[#Headers],0)),IFERROR(INDEX(_xlfn.VSTACK(YES_Reading_ELA[#Data], YES_Reading_FLA[#Data]),MATCH($A197,_xlfn.VSTACK(YES_Reading_ELA[Student Number], YES_Reading_FLA[Student Number]),0),MATCH(B$7,YES_Reading_ELA[#Headers],0)),""))</f>
        <v/>
      </c>
      <c r="C197" s="137" t="str">
        <f>IFERROR(INDEX(_xlfn.VSTACK(YES_Writing_ELA[#Data], YES_Writing_FLA[#Data]),MATCH($A197,_xlfn.VSTACK(YES_Writing_ELA[Student Number], YES_Writing_FLA[Student Number]),0),MATCH(C$7,YES_Writing_ELA[#Headers],0)),IFERROR(INDEX(_xlfn.VSTACK(YES_Reading_ELA[#Data], YES_Reading_FLA[#Data]),MATCH($A197,_xlfn.VSTACK(YES_Reading_ELA[Student Number], YES_Reading_FLA[Student Number]),0),MATCH(C$7,YES_Reading_ELA[#Headers],0)),""))</f>
        <v/>
      </c>
      <c r="D197" s="138" t="str">
        <f>IFERROR(IF(IF(INDEX(_xlfn.VSTACK(YES_Writing_ELA[#Data],YES_Writing_FLA[#Data]),MATCH($A197,_xlfn.VSTACK(YES_Writing_ELA[Student Number],YES_Writing_FLA[Student Number]),0),MATCH(VLOOKUP(D$7,'Writing Logic'!$J$7:$K$11,2,FALSE)&amp;" - Per "&amp;VLOOKUP($C$4,'Writing Logic'!$G$8:$H$14,2,FALSE),YES_Writing_ELA[#Headers],0))=0,"",INDEX(_xlfn.VSTACK(YES_Writing_ELA[#Data],YES_Writing_FLA[#Data]),MATCH($A197,_xlfn.VSTACK(YES_Writing_ELA[Student Number],YES_Writing_FLA[Student Number]),0),MATCH(VLOOKUP(D$7,'Writing Logic'!$J$7:$K$11,2,FALSE)&amp;" - Per "&amp;VLOOKUP($C$4,'Writing Logic'!$G$8:$H$14,2,FALSE),YES_Writing_ELA[#Headers],0)))="INS",'Writing Logic'!$B$7,IF(INDEX(_xlfn.VSTACK(YES_Writing_ELA[#Data],YES_Writing_FLA[#Data]),MATCH($A197,_xlfn.VSTACK(YES_Writing_ELA[Student Number],YES_Writing_FLA[Student Number]),0),MATCH(VLOOKUP(D$7,'Writing Logic'!$J$7:$K$11,2,FALSE)&amp;" - Per "&amp;VLOOKUP($C$4,'Writing Logic'!$G$8:$H$14,2,FALSE),YES_Writing_ELA[#Headers],0))=0,"",INDEX(_xlfn.VSTACK(YES_Writing_ELA[#Data],YES_Writing_FLA[#Data]),MATCH($A197,_xlfn.VSTACK(YES_Writing_ELA[Student Number],YES_Writing_FLA[Student Number]),0),MATCH(VLOOKUP(D$7,'Writing Logic'!$J$7:$K$11,2,FALSE)&amp;" - Per "&amp;VLOOKUP($C$4,'Writing Logic'!$G$8:$H$14,2,FALSE),YES_Writing_ELA[#Headers],0)))),"")</f>
        <v/>
      </c>
      <c r="E197" s="138" t="str">
        <f>IFERROR(IF(IF(INDEX(_xlfn.VSTACK(YES_Writing_ELA[#Data],YES_Writing_FLA[#Data]),MATCH($A197,_xlfn.VSTACK(YES_Writing_ELA[Student Number],YES_Writing_FLA[Student Number]),0),MATCH(VLOOKUP(E$7,'Writing Logic'!$J$7:$K$11,2,FALSE)&amp;" - Per "&amp;VLOOKUP($C$4,'Writing Logic'!$G$8:$H$14,2,FALSE),YES_Writing_ELA[#Headers],0))=0,"",INDEX(_xlfn.VSTACK(YES_Writing_ELA[#Data],YES_Writing_FLA[#Data]),MATCH($A197,_xlfn.VSTACK(YES_Writing_ELA[Student Number],YES_Writing_FLA[Student Number]),0),MATCH(VLOOKUP(E$7,'Writing Logic'!$J$7:$K$11,2,FALSE)&amp;" - Per "&amp;VLOOKUP($C$4,'Writing Logic'!$G$8:$H$14,2,FALSE),YES_Writing_ELA[#Headers],0)))="INS",'Writing Logic'!$B$7,IF(INDEX(_xlfn.VSTACK(YES_Writing_ELA[#Data],YES_Writing_FLA[#Data]),MATCH($A197,_xlfn.VSTACK(YES_Writing_ELA[Student Number],YES_Writing_FLA[Student Number]),0),MATCH(VLOOKUP(E$7,'Writing Logic'!$J$7:$K$11,2,FALSE)&amp;" - Per "&amp;VLOOKUP($C$4,'Writing Logic'!$G$8:$H$14,2,FALSE),YES_Writing_ELA[#Headers],0))=0,"",INDEX(_xlfn.VSTACK(YES_Writing_ELA[#Data],YES_Writing_FLA[#Data]),MATCH($A197,_xlfn.VSTACK(YES_Writing_ELA[Student Number],YES_Writing_FLA[Student Number]),0),MATCH(VLOOKUP(E$7,'Writing Logic'!$J$7:$K$11,2,FALSE)&amp;" - Per "&amp;VLOOKUP($C$4,'Writing Logic'!$G$8:$H$14,2,FALSE),YES_Writing_ELA[#Headers],0)))),"")</f>
        <v/>
      </c>
      <c r="F197" s="138" t="str">
        <f>IFERROR(IF(IF(INDEX(_xlfn.VSTACK(YES_Writing_ELA[#Data],YES_Writing_FLA[#Data]),MATCH($A197,_xlfn.VSTACK(YES_Writing_ELA[Student Number],YES_Writing_FLA[Student Number]),0),MATCH(VLOOKUP(F$7,'Writing Logic'!$J$7:$K$11,2,FALSE)&amp;" - Per "&amp;VLOOKUP($C$4,'Writing Logic'!$G$8:$H$14,2,FALSE),YES_Writing_ELA[#Headers],0))=0,"",INDEX(_xlfn.VSTACK(YES_Writing_ELA[#Data],YES_Writing_FLA[#Data]),MATCH($A197,_xlfn.VSTACK(YES_Writing_ELA[Student Number],YES_Writing_FLA[Student Number]),0),MATCH(VLOOKUP(F$7,'Writing Logic'!$J$7:$K$11,2,FALSE)&amp;" - Per "&amp;VLOOKUP($C$4,'Writing Logic'!$G$8:$H$14,2,FALSE),YES_Writing_ELA[#Headers],0)))="INS",'Writing Logic'!$B$7,IF(INDEX(_xlfn.VSTACK(YES_Writing_ELA[#Data],YES_Writing_FLA[#Data]),MATCH($A197,_xlfn.VSTACK(YES_Writing_ELA[Student Number],YES_Writing_FLA[Student Number]),0),MATCH(VLOOKUP(F$7,'Writing Logic'!$J$7:$K$11,2,FALSE)&amp;" - Per "&amp;VLOOKUP($C$4,'Writing Logic'!$G$8:$H$14,2,FALSE),YES_Writing_ELA[#Headers],0))=0,"",INDEX(_xlfn.VSTACK(YES_Writing_ELA[#Data],YES_Writing_FLA[#Data]),MATCH($A197,_xlfn.VSTACK(YES_Writing_ELA[Student Number],YES_Writing_FLA[Student Number]),0),MATCH(VLOOKUP(F$7,'Writing Logic'!$J$7:$K$11,2,FALSE)&amp;" - Per "&amp;VLOOKUP($C$4,'Writing Logic'!$G$8:$H$14,2,FALSE),YES_Writing_ELA[#Headers],0)))),"")</f>
        <v/>
      </c>
      <c r="G197" s="138" t="str">
        <f>IFERROR(IF(IF(INDEX(_xlfn.VSTACK(YES_Writing_ELA[#Data],YES_Writing_FLA[#Data]),MATCH($A197,_xlfn.VSTACK(YES_Writing_ELA[Student Number],YES_Writing_FLA[Student Number]),0),MATCH(VLOOKUP(G$7,'Writing Logic'!$J$7:$K$11,2,FALSE)&amp;" - Per "&amp;VLOOKUP($C$4,'Writing Logic'!$G$8:$H$14,2,FALSE),YES_Writing_ELA[#Headers],0))=0,"",INDEX(_xlfn.VSTACK(YES_Writing_ELA[#Data],YES_Writing_FLA[#Data]),MATCH($A197,_xlfn.VSTACK(YES_Writing_ELA[Student Number],YES_Writing_FLA[Student Number]),0),MATCH(VLOOKUP(G$7,'Writing Logic'!$J$7:$K$11,2,FALSE)&amp;" - Per "&amp;VLOOKUP($C$4,'Writing Logic'!$G$8:$H$14,2,FALSE),YES_Writing_ELA[#Headers],0)))="INS",'Writing Logic'!$B$7,IF(INDEX(_xlfn.VSTACK(YES_Writing_ELA[#Data],YES_Writing_FLA[#Data]),MATCH($A197,_xlfn.VSTACK(YES_Writing_ELA[Student Number],YES_Writing_FLA[Student Number]),0),MATCH(VLOOKUP(G$7,'Writing Logic'!$J$7:$K$11,2,FALSE)&amp;" - Per "&amp;VLOOKUP($C$4,'Writing Logic'!$G$8:$H$14,2,FALSE),YES_Writing_ELA[#Headers],0))=0,"",INDEX(_xlfn.VSTACK(YES_Writing_ELA[#Data],YES_Writing_FLA[#Data]),MATCH($A197,_xlfn.VSTACK(YES_Writing_ELA[Student Number],YES_Writing_FLA[Student Number]),0),MATCH(VLOOKUP(G$7,'Writing Logic'!$J$7:$K$11,2,FALSE)&amp;" - Per "&amp;VLOOKUP($C$4,'Writing Logic'!$G$8:$H$14,2,FALSE),YES_Writing_ELA[#Headers],0)))),"")</f>
        <v/>
      </c>
      <c r="H197" s="223" t="str">
        <f>IFERROR(IF(IF(INDEX(_xlfn.VSTACK(YES_Writing_ELA[#Data],YES_Writing_FLA[#Data]),MATCH($A197,_xlfn.VSTACK(YES_Writing_ELA[Student Number],YES_Writing_FLA[Student Number]),0),MATCH(VLOOKUP(H$7,'Writing Logic'!$J$7:$K$11,2,FALSE)&amp;" - Per "&amp;VLOOKUP($C$4,'Writing Logic'!$G$8:$H$14,2,FALSE),YES_Writing_ELA[#Headers],0))=0,"",INDEX(_xlfn.VSTACK(YES_Writing_ELA[#Data],YES_Writing_FLA[#Data]),MATCH($A197,_xlfn.VSTACK(YES_Writing_ELA[Student Number],YES_Writing_FLA[Student Number]),0),MATCH(VLOOKUP(H$7,'Writing Logic'!$J$7:$K$11,2,FALSE)&amp;" - Per "&amp;VLOOKUP($C$4,'Writing Logic'!$G$8:$H$14,2,FALSE),YES_Writing_ELA[#Headers],0)))="INS",'Writing Logic'!$B$7,IF(INDEX(_xlfn.VSTACK(YES_Writing_ELA[#Data],YES_Writing_FLA[#Data]),MATCH($A197,_xlfn.VSTACK(YES_Writing_ELA[Student Number],YES_Writing_FLA[Student Number]),0),MATCH(VLOOKUP(H$7,'Writing Logic'!$J$7:$K$11,2,FALSE)&amp;" - Per "&amp;VLOOKUP($C$4,'Writing Logic'!$G$8:$H$14,2,FALSE),YES_Writing_ELA[#Headers],0))=0,"",INDEX(_xlfn.VSTACK(YES_Writing_ELA[#Data],YES_Writing_FLA[#Data]),MATCH($A197,_xlfn.VSTACK(YES_Writing_ELA[Student Number],YES_Writing_FLA[Student Number]),0),MATCH(VLOOKUP(H$7,'Writing Logic'!$J$7:$K$11,2,FALSE)&amp;" - Per "&amp;VLOOKUP($C$4,'Writing Logic'!$G$8:$H$14,2,FALSE),YES_Writing_ELA[#Headers],0)))),"")</f>
        <v/>
      </c>
      <c r="I197" s="224" t="str" cm="1">
        <f t="array" aca="1" ref="I197" ca="1">IFERROR(
IF($G$3="ELA",
IF(VLOOKUP($A197, YES_Reading_ELA[], COLUMN(INDIRECT("YES_Reading_ELA[Difference - Per "&amp;VLOOKUP($G$4, 'Reading Report Logic'!$A$2:$B$8, 2, FALSE)&amp;"]")), FALSE)="", "",
VLOOKUP($A197,YES_Reading_ELA[], COLUMN(INDIRECT("YES_Reading_ELA[Difference - Per "&amp;VLOOKUP($G$4,'Reading Report Logic'!$A$2:$B$8,2,FALSE)&amp;"]")), FALSE)),
IF($G$3="FLA",
IF(VLOOKUP($A197, YES_Reading_FLA[], COLUMN(INDIRECT("YES_Reading_FLA[Difference - Per "&amp;VLOOKUP($G$4,'Reading Report Logic'!$A$2:$B$8,2,FALSE)&amp;"]")),FALSE)="","",
VLOOKUP($A197,YES_Reading_FLA[],COLUMN(INDIRECT("YES_Reading_FLA[Difference - Per "&amp;VLOOKUP($G$4,'Reading Report Logic'!$A$2:$B$8,2,FALSE)&amp;"]")),FALSE)),
IF($G$3="Combined",
IFERROR(
IF(VLOOKUP($A197, YES_Reading_ELA[], COLUMN(INDIRECT("YES_Reading_ELA[Difference - Per "&amp;VLOOKUP($G$4, 'Reading Report Logic'!$A$2:$B$8,2,FALSE)&amp;"]")), FALSE)="", "",
VLOOKUP($A197,YES_Reading_ELA[],COLUMN(INDIRECT("YES_Reading_ELA[Difference - Per "&amp;VLOOKUP($G$4,'Reading Report Logic'!$A$2:$B$8,2,FALSE)&amp;"]")),FALSE)),
IF(VLOOKUP($A197, YES_Reading_FLA[], COLUMN(INDIRECT("YES_Reading_FLA[Difference - Per "&amp;VLOOKUP($G$4, 'Reading Report Logic'!$A$2:$B$8, 2, FALSE)&amp;"]")),FALSE)="", "", VLOOKUP($A197,YES_Reading_FLA[],COLUMN(INDIRECT("YES_Reading_FLA[Difference - Per "&amp;VLOOKUP($G$4, 'Reading Report Logic'!$A$2:$B$8, 2, FALSE)&amp;"]")),FALSE))),""))),"")</f>
        <v/>
      </c>
    </row>
    <row r="198" spans="1:9" ht="14.25" customHeight="1" x14ac:dyDescent="0.25">
      <c r="A198" s="137"/>
      <c r="B198" s="137" t="str">
        <f>IFERROR(INDEX(_xlfn.VSTACK(YES_Writing_ELA[#Data], YES_Writing_FLA[#Data]),MATCH($A198,_xlfn.VSTACK(YES_Writing_ELA[Student Number], YES_Writing_FLA[Student Number]),0),MATCH(B$7,YES_Writing_ELA[#Headers],0)),IFERROR(INDEX(_xlfn.VSTACK(YES_Reading_ELA[#Data], YES_Reading_FLA[#Data]),MATCH($A198,_xlfn.VSTACK(YES_Reading_ELA[Student Number], YES_Reading_FLA[Student Number]),0),MATCH(B$7,YES_Reading_ELA[#Headers],0)),""))</f>
        <v/>
      </c>
      <c r="C198" s="137" t="str">
        <f>IFERROR(INDEX(_xlfn.VSTACK(YES_Writing_ELA[#Data], YES_Writing_FLA[#Data]),MATCH($A198,_xlfn.VSTACK(YES_Writing_ELA[Student Number], YES_Writing_FLA[Student Number]),0),MATCH(C$7,YES_Writing_ELA[#Headers],0)),IFERROR(INDEX(_xlfn.VSTACK(YES_Reading_ELA[#Data], YES_Reading_FLA[#Data]),MATCH($A198,_xlfn.VSTACK(YES_Reading_ELA[Student Number], YES_Reading_FLA[Student Number]),0),MATCH(C$7,YES_Reading_ELA[#Headers],0)),""))</f>
        <v/>
      </c>
      <c r="D198" s="138" t="str">
        <f>IFERROR(IF(IF(INDEX(_xlfn.VSTACK(YES_Writing_ELA[#Data],YES_Writing_FLA[#Data]),MATCH($A198,_xlfn.VSTACK(YES_Writing_ELA[Student Number],YES_Writing_FLA[Student Number]),0),MATCH(VLOOKUP(D$7,'Writing Logic'!$J$7:$K$11,2,FALSE)&amp;" - Per "&amp;VLOOKUP($C$4,'Writing Logic'!$G$8:$H$14,2,FALSE),YES_Writing_ELA[#Headers],0))=0,"",INDEX(_xlfn.VSTACK(YES_Writing_ELA[#Data],YES_Writing_FLA[#Data]),MATCH($A198,_xlfn.VSTACK(YES_Writing_ELA[Student Number],YES_Writing_FLA[Student Number]),0),MATCH(VLOOKUP(D$7,'Writing Logic'!$J$7:$K$11,2,FALSE)&amp;" - Per "&amp;VLOOKUP($C$4,'Writing Logic'!$G$8:$H$14,2,FALSE),YES_Writing_ELA[#Headers],0)))="INS",'Writing Logic'!$B$7,IF(INDEX(_xlfn.VSTACK(YES_Writing_ELA[#Data],YES_Writing_FLA[#Data]),MATCH($A198,_xlfn.VSTACK(YES_Writing_ELA[Student Number],YES_Writing_FLA[Student Number]),0),MATCH(VLOOKUP(D$7,'Writing Logic'!$J$7:$K$11,2,FALSE)&amp;" - Per "&amp;VLOOKUP($C$4,'Writing Logic'!$G$8:$H$14,2,FALSE),YES_Writing_ELA[#Headers],0))=0,"",INDEX(_xlfn.VSTACK(YES_Writing_ELA[#Data],YES_Writing_FLA[#Data]),MATCH($A198,_xlfn.VSTACK(YES_Writing_ELA[Student Number],YES_Writing_FLA[Student Number]),0),MATCH(VLOOKUP(D$7,'Writing Logic'!$J$7:$K$11,2,FALSE)&amp;" - Per "&amp;VLOOKUP($C$4,'Writing Logic'!$G$8:$H$14,2,FALSE),YES_Writing_ELA[#Headers],0)))),"")</f>
        <v/>
      </c>
      <c r="E198" s="138" t="str">
        <f>IFERROR(IF(IF(INDEX(_xlfn.VSTACK(YES_Writing_ELA[#Data],YES_Writing_FLA[#Data]),MATCH($A198,_xlfn.VSTACK(YES_Writing_ELA[Student Number],YES_Writing_FLA[Student Number]),0),MATCH(VLOOKUP(E$7,'Writing Logic'!$J$7:$K$11,2,FALSE)&amp;" - Per "&amp;VLOOKUP($C$4,'Writing Logic'!$G$8:$H$14,2,FALSE),YES_Writing_ELA[#Headers],0))=0,"",INDEX(_xlfn.VSTACK(YES_Writing_ELA[#Data],YES_Writing_FLA[#Data]),MATCH($A198,_xlfn.VSTACK(YES_Writing_ELA[Student Number],YES_Writing_FLA[Student Number]),0),MATCH(VLOOKUP(E$7,'Writing Logic'!$J$7:$K$11,2,FALSE)&amp;" - Per "&amp;VLOOKUP($C$4,'Writing Logic'!$G$8:$H$14,2,FALSE),YES_Writing_ELA[#Headers],0)))="INS",'Writing Logic'!$B$7,IF(INDEX(_xlfn.VSTACK(YES_Writing_ELA[#Data],YES_Writing_FLA[#Data]),MATCH($A198,_xlfn.VSTACK(YES_Writing_ELA[Student Number],YES_Writing_FLA[Student Number]),0),MATCH(VLOOKUP(E$7,'Writing Logic'!$J$7:$K$11,2,FALSE)&amp;" - Per "&amp;VLOOKUP($C$4,'Writing Logic'!$G$8:$H$14,2,FALSE),YES_Writing_ELA[#Headers],0))=0,"",INDEX(_xlfn.VSTACK(YES_Writing_ELA[#Data],YES_Writing_FLA[#Data]),MATCH($A198,_xlfn.VSTACK(YES_Writing_ELA[Student Number],YES_Writing_FLA[Student Number]),0),MATCH(VLOOKUP(E$7,'Writing Logic'!$J$7:$K$11,2,FALSE)&amp;" - Per "&amp;VLOOKUP($C$4,'Writing Logic'!$G$8:$H$14,2,FALSE),YES_Writing_ELA[#Headers],0)))),"")</f>
        <v/>
      </c>
      <c r="F198" s="138" t="str">
        <f>IFERROR(IF(IF(INDEX(_xlfn.VSTACK(YES_Writing_ELA[#Data],YES_Writing_FLA[#Data]),MATCH($A198,_xlfn.VSTACK(YES_Writing_ELA[Student Number],YES_Writing_FLA[Student Number]),0),MATCH(VLOOKUP(F$7,'Writing Logic'!$J$7:$K$11,2,FALSE)&amp;" - Per "&amp;VLOOKUP($C$4,'Writing Logic'!$G$8:$H$14,2,FALSE),YES_Writing_ELA[#Headers],0))=0,"",INDEX(_xlfn.VSTACK(YES_Writing_ELA[#Data],YES_Writing_FLA[#Data]),MATCH($A198,_xlfn.VSTACK(YES_Writing_ELA[Student Number],YES_Writing_FLA[Student Number]),0),MATCH(VLOOKUP(F$7,'Writing Logic'!$J$7:$K$11,2,FALSE)&amp;" - Per "&amp;VLOOKUP($C$4,'Writing Logic'!$G$8:$H$14,2,FALSE),YES_Writing_ELA[#Headers],0)))="INS",'Writing Logic'!$B$7,IF(INDEX(_xlfn.VSTACK(YES_Writing_ELA[#Data],YES_Writing_FLA[#Data]),MATCH($A198,_xlfn.VSTACK(YES_Writing_ELA[Student Number],YES_Writing_FLA[Student Number]),0),MATCH(VLOOKUP(F$7,'Writing Logic'!$J$7:$K$11,2,FALSE)&amp;" - Per "&amp;VLOOKUP($C$4,'Writing Logic'!$G$8:$H$14,2,FALSE),YES_Writing_ELA[#Headers],0))=0,"",INDEX(_xlfn.VSTACK(YES_Writing_ELA[#Data],YES_Writing_FLA[#Data]),MATCH($A198,_xlfn.VSTACK(YES_Writing_ELA[Student Number],YES_Writing_FLA[Student Number]),0),MATCH(VLOOKUP(F$7,'Writing Logic'!$J$7:$K$11,2,FALSE)&amp;" - Per "&amp;VLOOKUP($C$4,'Writing Logic'!$G$8:$H$14,2,FALSE),YES_Writing_ELA[#Headers],0)))),"")</f>
        <v/>
      </c>
      <c r="G198" s="138" t="str">
        <f>IFERROR(IF(IF(INDEX(_xlfn.VSTACK(YES_Writing_ELA[#Data],YES_Writing_FLA[#Data]),MATCH($A198,_xlfn.VSTACK(YES_Writing_ELA[Student Number],YES_Writing_FLA[Student Number]),0),MATCH(VLOOKUP(G$7,'Writing Logic'!$J$7:$K$11,2,FALSE)&amp;" - Per "&amp;VLOOKUP($C$4,'Writing Logic'!$G$8:$H$14,2,FALSE),YES_Writing_ELA[#Headers],0))=0,"",INDEX(_xlfn.VSTACK(YES_Writing_ELA[#Data],YES_Writing_FLA[#Data]),MATCH($A198,_xlfn.VSTACK(YES_Writing_ELA[Student Number],YES_Writing_FLA[Student Number]),0),MATCH(VLOOKUP(G$7,'Writing Logic'!$J$7:$K$11,2,FALSE)&amp;" - Per "&amp;VLOOKUP($C$4,'Writing Logic'!$G$8:$H$14,2,FALSE),YES_Writing_ELA[#Headers],0)))="INS",'Writing Logic'!$B$7,IF(INDEX(_xlfn.VSTACK(YES_Writing_ELA[#Data],YES_Writing_FLA[#Data]),MATCH($A198,_xlfn.VSTACK(YES_Writing_ELA[Student Number],YES_Writing_FLA[Student Number]),0),MATCH(VLOOKUP(G$7,'Writing Logic'!$J$7:$K$11,2,FALSE)&amp;" - Per "&amp;VLOOKUP($C$4,'Writing Logic'!$G$8:$H$14,2,FALSE),YES_Writing_ELA[#Headers],0))=0,"",INDEX(_xlfn.VSTACK(YES_Writing_ELA[#Data],YES_Writing_FLA[#Data]),MATCH($A198,_xlfn.VSTACK(YES_Writing_ELA[Student Number],YES_Writing_FLA[Student Number]),0),MATCH(VLOOKUP(G$7,'Writing Logic'!$J$7:$K$11,2,FALSE)&amp;" - Per "&amp;VLOOKUP($C$4,'Writing Logic'!$G$8:$H$14,2,FALSE),YES_Writing_ELA[#Headers],0)))),"")</f>
        <v/>
      </c>
      <c r="H198" s="223" t="str">
        <f>IFERROR(IF(IF(INDEX(_xlfn.VSTACK(YES_Writing_ELA[#Data],YES_Writing_FLA[#Data]),MATCH($A198,_xlfn.VSTACK(YES_Writing_ELA[Student Number],YES_Writing_FLA[Student Number]),0),MATCH(VLOOKUP(H$7,'Writing Logic'!$J$7:$K$11,2,FALSE)&amp;" - Per "&amp;VLOOKUP($C$4,'Writing Logic'!$G$8:$H$14,2,FALSE),YES_Writing_ELA[#Headers],0))=0,"",INDEX(_xlfn.VSTACK(YES_Writing_ELA[#Data],YES_Writing_FLA[#Data]),MATCH($A198,_xlfn.VSTACK(YES_Writing_ELA[Student Number],YES_Writing_FLA[Student Number]),0),MATCH(VLOOKUP(H$7,'Writing Logic'!$J$7:$K$11,2,FALSE)&amp;" - Per "&amp;VLOOKUP($C$4,'Writing Logic'!$G$8:$H$14,2,FALSE),YES_Writing_ELA[#Headers],0)))="INS",'Writing Logic'!$B$7,IF(INDEX(_xlfn.VSTACK(YES_Writing_ELA[#Data],YES_Writing_FLA[#Data]),MATCH($A198,_xlfn.VSTACK(YES_Writing_ELA[Student Number],YES_Writing_FLA[Student Number]),0),MATCH(VLOOKUP(H$7,'Writing Logic'!$J$7:$K$11,2,FALSE)&amp;" - Per "&amp;VLOOKUP($C$4,'Writing Logic'!$G$8:$H$14,2,FALSE),YES_Writing_ELA[#Headers],0))=0,"",INDEX(_xlfn.VSTACK(YES_Writing_ELA[#Data],YES_Writing_FLA[#Data]),MATCH($A198,_xlfn.VSTACK(YES_Writing_ELA[Student Number],YES_Writing_FLA[Student Number]),0),MATCH(VLOOKUP(H$7,'Writing Logic'!$J$7:$K$11,2,FALSE)&amp;" - Per "&amp;VLOOKUP($C$4,'Writing Logic'!$G$8:$H$14,2,FALSE),YES_Writing_ELA[#Headers],0)))),"")</f>
        <v/>
      </c>
      <c r="I198" s="224" t="str" cm="1">
        <f t="array" aca="1" ref="I198" ca="1">IFERROR(
IF($G$3="ELA",
IF(VLOOKUP($A198, YES_Reading_ELA[], COLUMN(INDIRECT("YES_Reading_ELA[Difference - Per "&amp;VLOOKUP($G$4, 'Reading Report Logic'!$A$2:$B$8, 2, FALSE)&amp;"]")), FALSE)="", "",
VLOOKUP($A198,YES_Reading_ELA[], COLUMN(INDIRECT("YES_Reading_ELA[Difference - Per "&amp;VLOOKUP($G$4,'Reading Report Logic'!$A$2:$B$8,2,FALSE)&amp;"]")), FALSE)),
IF($G$3="FLA",
IF(VLOOKUP($A198, YES_Reading_FLA[], COLUMN(INDIRECT("YES_Reading_FLA[Difference - Per "&amp;VLOOKUP($G$4,'Reading Report Logic'!$A$2:$B$8,2,FALSE)&amp;"]")),FALSE)="","",
VLOOKUP($A198,YES_Reading_FLA[],COLUMN(INDIRECT("YES_Reading_FLA[Difference - Per "&amp;VLOOKUP($G$4,'Reading Report Logic'!$A$2:$B$8,2,FALSE)&amp;"]")),FALSE)),
IF($G$3="Combined",
IFERROR(
IF(VLOOKUP($A198, YES_Reading_ELA[], COLUMN(INDIRECT("YES_Reading_ELA[Difference - Per "&amp;VLOOKUP($G$4, 'Reading Report Logic'!$A$2:$B$8,2,FALSE)&amp;"]")), FALSE)="", "",
VLOOKUP($A198,YES_Reading_ELA[],COLUMN(INDIRECT("YES_Reading_ELA[Difference - Per "&amp;VLOOKUP($G$4,'Reading Report Logic'!$A$2:$B$8,2,FALSE)&amp;"]")),FALSE)),
IF(VLOOKUP($A198, YES_Reading_FLA[], COLUMN(INDIRECT("YES_Reading_FLA[Difference - Per "&amp;VLOOKUP($G$4, 'Reading Report Logic'!$A$2:$B$8, 2, FALSE)&amp;"]")),FALSE)="", "", VLOOKUP($A198,YES_Reading_FLA[],COLUMN(INDIRECT("YES_Reading_FLA[Difference - Per "&amp;VLOOKUP($G$4, 'Reading Report Logic'!$A$2:$B$8, 2, FALSE)&amp;"]")),FALSE))),""))),"")</f>
        <v/>
      </c>
    </row>
    <row r="199" spans="1:9" ht="14.25" customHeight="1" x14ac:dyDescent="0.25">
      <c r="A199" s="137"/>
      <c r="B199" s="137" t="str">
        <f>IFERROR(INDEX(_xlfn.VSTACK(YES_Writing_ELA[#Data], YES_Writing_FLA[#Data]),MATCH($A199,_xlfn.VSTACK(YES_Writing_ELA[Student Number], YES_Writing_FLA[Student Number]),0),MATCH(B$7,YES_Writing_ELA[#Headers],0)),IFERROR(INDEX(_xlfn.VSTACK(YES_Reading_ELA[#Data], YES_Reading_FLA[#Data]),MATCH($A199,_xlfn.VSTACK(YES_Reading_ELA[Student Number], YES_Reading_FLA[Student Number]),0),MATCH(B$7,YES_Reading_ELA[#Headers],0)),""))</f>
        <v/>
      </c>
      <c r="C199" s="137" t="str">
        <f>IFERROR(INDEX(_xlfn.VSTACK(YES_Writing_ELA[#Data], YES_Writing_FLA[#Data]),MATCH($A199,_xlfn.VSTACK(YES_Writing_ELA[Student Number], YES_Writing_FLA[Student Number]),0),MATCH(C$7,YES_Writing_ELA[#Headers],0)),IFERROR(INDEX(_xlfn.VSTACK(YES_Reading_ELA[#Data], YES_Reading_FLA[#Data]),MATCH($A199,_xlfn.VSTACK(YES_Reading_ELA[Student Number], YES_Reading_FLA[Student Number]),0),MATCH(C$7,YES_Reading_ELA[#Headers],0)),""))</f>
        <v/>
      </c>
      <c r="D199" s="138" t="str">
        <f>IFERROR(IF(IF(INDEX(_xlfn.VSTACK(YES_Writing_ELA[#Data],YES_Writing_FLA[#Data]),MATCH($A199,_xlfn.VSTACK(YES_Writing_ELA[Student Number],YES_Writing_FLA[Student Number]),0),MATCH(VLOOKUP(D$7,'Writing Logic'!$J$7:$K$11,2,FALSE)&amp;" - Per "&amp;VLOOKUP($C$4,'Writing Logic'!$G$8:$H$14,2,FALSE),YES_Writing_ELA[#Headers],0))=0,"",INDEX(_xlfn.VSTACK(YES_Writing_ELA[#Data],YES_Writing_FLA[#Data]),MATCH($A199,_xlfn.VSTACK(YES_Writing_ELA[Student Number],YES_Writing_FLA[Student Number]),0),MATCH(VLOOKUP(D$7,'Writing Logic'!$J$7:$K$11,2,FALSE)&amp;" - Per "&amp;VLOOKUP($C$4,'Writing Logic'!$G$8:$H$14,2,FALSE),YES_Writing_ELA[#Headers],0)))="INS",'Writing Logic'!$B$7,IF(INDEX(_xlfn.VSTACK(YES_Writing_ELA[#Data],YES_Writing_FLA[#Data]),MATCH($A199,_xlfn.VSTACK(YES_Writing_ELA[Student Number],YES_Writing_FLA[Student Number]),0),MATCH(VLOOKUP(D$7,'Writing Logic'!$J$7:$K$11,2,FALSE)&amp;" - Per "&amp;VLOOKUP($C$4,'Writing Logic'!$G$8:$H$14,2,FALSE),YES_Writing_ELA[#Headers],0))=0,"",INDEX(_xlfn.VSTACK(YES_Writing_ELA[#Data],YES_Writing_FLA[#Data]),MATCH($A199,_xlfn.VSTACK(YES_Writing_ELA[Student Number],YES_Writing_FLA[Student Number]),0),MATCH(VLOOKUP(D$7,'Writing Logic'!$J$7:$K$11,2,FALSE)&amp;" - Per "&amp;VLOOKUP($C$4,'Writing Logic'!$G$8:$H$14,2,FALSE),YES_Writing_ELA[#Headers],0)))),"")</f>
        <v/>
      </c>
      <c r="E199" s="138" t="str">
        <f>IFERROR(IF(IF(INDEX(_xlfn.VSTACK(YES_Writing_ELA[#Data],YES_Writing_FLA[#Data]),MATCH($A199,_xlfn.VSTACK(YES_Writing_ELA[Student Number],YES_Writing_FLA[Student Number]),0),MATCH(VLOOKUP(E$7,'Writing Logic'!$J$7:$K$11,2,FALSE)&amp;" - Per "&amp;VLOOKUP($C$4,'Writing Logic'!$G$8:$H$14,2,FALSE),YES_Writing_ELA[#Headers],0))=0,"",INDEX(_xlfn.VSTACK(YES_Writing_ELA[#Data],YES_Writing_FLA[#Data]),MATCH($A199,_xlfn.VSTACK(YES_Writing_ELA[Student Number],YES_Writing_FLA[Student Number]),0),MATCH(VLOOKUP(E$7,'Writing Logic'!$J$7:$K$11,2,FALSE)&amp;" - Per "&amp;VLOOKUP($C$4,'Writing Logic'!$G$8:$H$14,2,FALSE),YES_Writing_ELA[#Headers],0)))="INS",'Writing Logic'!$B$7,IF(INDEX(_xlfn.VSTACK(YES_Writing_ELA[#Data],YES_Writing_FLA[#Data]),MATCH($A199,_xlfn.VSTACK(YES_Writing_ELA[Student Number],YES_Writing_FLA[Student Number]),0),MATCH(VLOOKUP(E$7,'Writing Logic'!$J$7:$K$11,2,FALSE)&amp;" - Per "&amp;VLOOKUP($C$4,'Writing Logic'!$G$8:$H$14,2,FALSE),YES_Writing_ELA[#Headers],0))=0,"",INDEX(_xlfn.VSTACK(YES_Writing_ELA[#Data],YES_Writing_FLA[#Data]),MATCH($A199,_xlfn.VSTACK(YES_Writing_ELA[Student Number],YES_Writing_FLA[Student Number]),0),MATCH(VLOOKUP(E$7,'Writing Logic'!$J$7:$K$11,2,FALSE)&amp;" - Per "&amp;VLOOKUP($C$4,'Writing Logic'!$G$8:$H$14,2,FALSE),YES_Writing_ELA[#Headers],0)))),"")</f>
        <v/>
      </c>
      <c r="F199" s="138" t="str">
        <f>IFERROR(IF(IF(INDEX(_xlfn.VSTACK(YES_Writing_ELA[#Data],YES_Writing_FLA[#Data]),MATCH($A199,_xlfn.VSTACK(YES_Writing_ELA[Student Number],YES_Writing_FLA[Student Number]),0),MATCH(VLOOKUP(F$7,'Writing Logic'!$J$7:$K$11,2,FALSE)&amp;" - Per "&amp;VLOOKUP($C$4,'Writing Logic'!$G$8:$H$14,2,FALSE),YES_Writing_ELA[#Headers],0))=0,"",INDEX(_xlfn.VSTACK(YES_Writing_ELA[#Data],YES_Writing_FLA[#Data]),MATCH($A199,_xlfn.VSTACK(YES_Writing_ELA[Student Number],YES_Writing_FLA[Student Number]),0),MATCH(VLOOKUP(F$7,'Writing Logic'!$J$7:$K$11,2,FALSE)&amp;" - Per "&amp;VLOOKUP($C$4,'Writing Logic'!$G$8:$H$14,2,FALSE),YES_Writing_ELA[#Headers],0)))="INS",'Writing Logic'!$B$7,IF(INDEX(_xlfn.VSTACK(YES_Writing_ELA[#Data],YES_Writing_FLA[#Data]),MATCH($A199,_xlfn.VSTACK(YES_Writing_ELA[Student Number],YES_Writing_FLA[Student Number]),0),MATCH(VLOOKUP(F$7,'Writing Logic'!$J$7:$K$11,2,FALSE)&amp;" - Per "&amp;VLOOKUP($C$4,'Writing Logic'!$G$8:$H$14,2,FALSE),YES_Writing_ELA[#Headers],0))=0,"",INDEX(_xlfn.VSTACK(YES_Writing_ELA[#Data],YES_Writing_FLA[#Data]),MATCH($A199,_xlfn.VSTACK(YES_Writing_ELA[Student Number],YES_Writing_FLA[Student Number]),0),MATCH(VLOOKUP(F$7,'Writing Logic'!$J$7:$K$11,2,FALSE)&amp;" - Per "&amp;VLOOKUP($C$4,'Writing Logic'!$G$8:$H$14,2,FALSE),YES_Writing_ELA[#Headers],0)))),"")</f>
        <v/>
      </c>
      <c r="G199" s="138" t="str">
        <f>IFERROR(IF(IF(INDEX(_xlfn.VSTACK(YES_Writing_ELA[#Data],YES_Writing_FLA[#Data]),MATCH($A199,_xlfn.VSTACK(YES_Writing_ELA[Student Number],YES_Writing_FLA[Student Number]),0),MATCH(VLOOKUP(G$7,'Writing Logic'!$J$7:$K$11,2,FALSE)&amp;" - Per "&amp;VLOOKUP($C$4,'Writing Logic'!$G$8:$H$14,2,FALSE),YES_Writing_ELA[#Headers],0))=0,"",INDEX(_xlfn.VSTACK(YES_Writing_ELA[#Data],YES_Writing_FLA[#Data]),MATCH($A199,_xlfn.VSTACK(YES_Writing_ELA[Student Number],YES_Writing_FLA[Student Number]),0),MATCH(VLOOKUP(G$7,'Writing Logic'!$J$7:$K$11,2,FALSE)&amp;" - Per "&amp;VLOOKUP($C$4,'Writing Logic'!$G$8:$H$14,2,FALSE),YES_Writing_ELA[#Headers],0)))="INS",'Writing Logic'!$B$7,IF(INDEX(_xlfn.VSTACK(YES_Writing_ELA[#Data],YES_Writing_FLA[#Data]),MATCH($A199,_xlfn.VSTACK(YES_Writing_ELA[Student Number],YES_Writing_FLA[Student Number]),0),MATCH(VLOOKUP(G$7,'Writing Logic'!$J$7:$K$11,2,FALSE)&amp;" - Per "&amp;VLOOKUP($C$4,'Writing Logic'!$G$8:$H$14,2,FALSE),YES_Writing_ELA[#Headers],0))=0,"",INDEX(_xlfn.VSTACK(YES_Writing_ELA[#Data],YES_Writing_FLA[#Data]),MATCH($A199,_xlfn.VSTACK(YES_Writing_ELA[Student Number],YES_Writing_FLA[Student Number]),0),MATCH(VLOOKUP(G$7,'Writing Logic'!$J$7:$K$11,2,FALSE)&amp;" - Per "&amp;VLOOKUP($C$4,'Writing Logic'!$G$8:$H$14,2,FALSE),YES_Writing_ELA[#Headers],0)))),"")</f>
        <v/>
      </c>
      <c r="H199" s="223" t="str">
        <f>IFERROR(IF(IF(INDEX(_xlfn.VSTACK(YES_Writing_ELA[#Data],YES_Writing_FLA[#Data]),MATCH($A199,_xlfn.VSTACK(YES_Writing_ELA[Student Number],YES_Writing_FLA[Student Number]),0),MATCH(VLOOKUP(H$7,'Writing Logic'!$J$7:$K$11,2,FALSE)&amp;" - Per "&amp;VLOOKUP($C$4,'Writing Logic'!$G$8:$H$14,2,FALSE),YES_Writing_ELA[#Headers],0))=0,"",INDEX(_xlfn.VSTACK(YES_Writing_ELA[#Data],YES_Writing_FLA[#Data]),MATCH($A199,_xlfn.VSTACK(YES_Writing_ELA[Student Number],YES_Writing_FLA[Student Number]),0),MATCH(VLOOKUP(H$7,'Writing Logic'!$J$7:$K$11,2,FALSE)&amp;" - Per "&amp;VLOOKUP($C$4,'Writing Logic'!$G$8:$H$14,2,FALSE),YES_Writing_ELA[#Headers],0)))="INS",'Writing Logic'!$B$7,IF(INDEX(_xlfn.VSTACK(YES_Writing_ELA[#Data],YES_Writing_FLA[#Data]),MATCH($A199,_xlfn.VSTACK(YES_Writing_ELA[Student Number],YES_Writing_FLA[Student Number]),0),MATCH(VLOOKUP(H$7,'Writing Logic'!$J$7:$K$11,2,FALSE)&amp;" - Per "&amp;VLOOKUP($C$4,'Writing Logic'!$G$8:$H$14,2,FALSE),YES_Writing_ELA[#Headers],0))=0,"",INDEX(_xlfn.VSTACK(YES_Writing_ELA[#Data],YES_Writing_FLA[#Data]),MATCH($A199,_xlfn.VSTACK(YES_Writing_ELA[Student Number],YES_Writing_FLA[Student Number]),0),MATCH(VLOOKUP(H$7,'Writing Logic'!$J$7:$K$11,2,FALSE)&amp;" - Per "&amp;VLOOKUP($C$4,'Writing Logic'!$G$8:$H$14,2,FALSE),YES_Writing_ELA[#Headers],0)))),"")</f>
        <v/>
      </c>
      <c r="I199" s="224" t="str" cm="1">
        <f t="array" aca="1" ref="I199" ca="1">IFERROR(
IF($G$3="ELA",
IF(VLOOKUP($A199, YES_Reading_ELA[], COLUMN(INDIRECT("YES_Reading_ELA[Difference - Per "&amp;VLOOKUP($G$4, 'Reading Report Logic'!$A$2:$B$8, 2, FALSE)&amp;"]")), FALSE)="", "",
VLOOKUP($A199,YES_Reading_ELA[], COLUMN(INDIRECT("YES_Reading_ELA[Difference - Per "&amp;VLOOKUP($G$4,'Reading Report Logic'!$A$2:$B$8,2,FALSE)&amp;"]")), FALSE)),
IF($G$3="FLA",
IF(VLOOKUP($A199, YES_Reading_FLA[], COLUMN(INDIRECT("YES_Reading_FLA[Difference - Per "&amp;VLOOKUP($G$4,'Reading Report Logic'!$A$2:$B$8,2,FALSE)&amp;"]")),FALSE)="","",
VLOOKUP($A199,YES_Reading_FLA[],COLUMN(INDIRECT("YES_Reading_FLA[Difference - Per "&amp;VLOOKUP($G$4,'Reading Report Logic'!$A$2:$B$8,2,FALSE)&amp;"]")),FALSE)),
IF($G$3="Combined",
IFERROR(
IF(VLOOKUP($A199, YES_Reading_ELA[], COLUMN(INDIRECT("YES_Reading_ELA[Difference - Per "&amp;VLOOKUP($G$4, 'Reading Report Logic'!$A$2:$B$8,2,FALSE)&amp;"]")), FALSE)="", "",
VLOOKUP($A199,YES_Reading_ELA[],COLUMN(INDIRECT("YES_Reading_ELA[Difference - Per "&amp;VLOOKUP($G$4,'Reading Report Logic'!$A$2:$B$8,2,FALSE)&amp;"]")),FALSE)),
IF(VLOOKUP($A199, YES_Reading_FLA[], COLUMN(INDIRECT("YES_Reading_FLA[Difference - Per "&amp;VLOOKUP($G$4, 'Reading Report Logic'!$A$2:$B$8, 2, FALSE)&amp;"]")),FALSE)="", "", VLOOKUP($A199,YES_Reading_FLA[],COLUMN(INDIRECT("YES_Reading_FLA[Difference - Per "&amp;VLOOKUP($G$4, 'Reading Report Logic'!$A$2:$B$8, 2, FALSE)&amp;"]")),FALSE))),""))),"")</f>
        <v/>
      </c>
    </row>
    <row r="200" spans="1:9" ht="14.25" customHeight="1" x14ac:dyDescent="0.25">
      <c r="A200" s="137"/>
      <c r="B200" s="137" t="str">
        <f>IFERROR(INDEX(_xlfn.VSTACK(YES_Writing_ELA[#Data], YES_Writing_FLA[#Data]),MATCH($A200,_xlfn.VSTACK(YES_Writing_ELA[Student Number], YES_Writing_FLA[Student Number]),0),MATCH(B$7,YES_Writing_ELA[#Headers],0)),IFERROR(INDEX(_xlfn.VSTACK(YES_Reading_ELA[#Data], YES_Reading_FLA[#Data]),MATCH($A200,_xlfn.VSTACK(YES_Reading_ELA[Student Number], YES_Reading_FLA[Student Number]),0),MATCH(B$7,YES_Reading_ELA[#Headers],0)),""))</f>
        <v/>
      </c>
      <c r="C200" s="137" t="str">
        <f>IFERROR(INDEX(_xlfn.VSTACK(YES_Writing_ELA[#Data], YES_Writing_FLA[#Data]),MATCH($A200,_xlfn.VSTACK(YES_Writing_ELA[Student Number], YES_Writing_FLA[Student Number]),0),MATCH(C$7,YES_Writing_ELA[#Headers],0)),IFERROR(INDEX(_xlfn.VSTACK(YES_Reading_ELA[#Data], YES_Reading_FLA[#Data]),MATCH($A200,_xlfn.VSTACK(YES_Reading_ELA[Student Number], YES_Reading_FLA[Student Number]),0),MATCH(C$7,YES_Reading_ELA[#Headers],0)),""))</f>
        <v/>
      </c>
      <c r="D200" s="138" t="str">
        <f>IFERROR(IF(IF(INDEX(_xlfn.VSTACK(YES_Writing_ELA[#Data],YES_Writing_FLA[#Data]),MATCH($A200,_xlfn.VSTACK(YES_Writing_ELA[Student Number],YES_Writing_FLA[Student Number]),0),MATCH(VLOOKUP(D$7,'Writing Logic'!$J$7:$K$11,2,FALSE)&amp;" - Per "&amp;VLOOKUP($C$4,'Writing Logic'!$G$8:$H$14,2,FALSE),YES_Writing_ELA[#Headers],0))=0,"",INDEX(_xlfn.VSTACK(YES_Writing_ELA[#Data],YES_Writing_FLA[#Data]),MATCH($A200,_xlfn.VSTACK(YES_Writing_ELA[Student Number],YES_Writing_FLA[Student Number]),0),MATCH(VLOOKUP(D$7,'Writing Logic'!$J$7:$K$11,2,FALSE)&amp;" - Per "&amp;VLOOKUP($C$4,'Writing Logic'!$G$8:$H$14,2,FALSE),YES_Writing_ELA[#Headers],0)))="INS",'Writing Logic'!$B$7,IF(INDEX(_xlfn.VSTACK(YES_Writing_ELA[#Data],YES_Writing_FLA[#Data]),MATCH($A200,_xlfn.VSTACK(YES_Writing_ELA[Student Number],YES_Writing_FLA[Student Number]),0),MATCH(VLOOKUP(D$7,'Writing Logic'!$J$7:$K$11,2,FALSE)&amp;" - Per "&amp;VLOOKUP($C$4,'Writing Logic'!$G$8:$H$14,2,FALSE),YES_Writing_ELA[#Headers],0))=0,"",INDEX(_xlfn.VSTACK(YES_Writing_ELA[#Data],YES_Writing_FLA[#Data]),MATCH($A200,_xlfn.VSTACK(YES_Writing_ELA[Student Number],YES_Writing_FLA[Student Number]),0),MATCH(VLOOKUP(D$7,'Writing Logic'!$J$7:$K$11,2,FALSE)&amp;" - Per "&amp;VLOOKUP($C$4,'Writing Logic'!$G$8:$H$14,2,FALSE),YES_Writing_ELA[#Headers],0)))),"")</f>
        <v/>
      </c>
      <c r="E200" s="138" t="str">
        <f>IFERROR(IF(IF(INDEX(_xlfn.VSTACK(YES_Writing_ELA[#Data],YES_Writing_FLA[#Data]),MATCH($A200,_xlfn.VSTACK(YES_Writing_ELA[Student Number],YES_Writing_FLA[Student Number]),0),MATCH(VLOOKUP(E$7,'Writing Logic'!$J$7:$K$11,2,FALSE)&amp;" - Per "&amp;VLOOKUP($C$4,'Writing Logic'!$G$8:$H$14,2,FALSE),YES_Writing_ELA[#Headers],0))=0,"",INDEX(_xlfn.VSTACK(YES_Writing_ELA[#Data],YES_Writing_FLA[#Data]),MATCH($A200,_xlfn.VSTACK(YES_Writing_ELA[Student Number],YES_Writing_FLA[Student Number]),0),MATCH(VLOOKUP(E$7,'Writing Logic'!$J$7:$K$11,2,FALSE)&amp;" - Per "&amp;VLOOKUP($C$4,'Writing Logic'!$G$8:$H$14,2,FALSE),YES_Writing_ELA[#Headers],0)))="INS",'Writing Logic'!$B$7,IF(INDEX(_xlfn.VSTACK(YES_Writing_ELA[#Data],YES_Writing_FLA[#Data]),MATCH($A200,_xlfn.VSTACK(YES_Writing_ELA[Student Number],YES_Writing_FLA[Student Number]),0),MATCH(VLOOKUP(E$7,'Writing Logic'!$J$7:$K$11,2,FALSE)&amp;" - Per "&amp;VLOOKUP($C$4,'Writing Logic'!$G$8:$H$14,2,FALSE),YES_Writing_ELA[#Headers],0))=0,"",INDEX(_xlfn.VSTACK(YES_Writing_ELA[#Data],YES_Writing_FLA[#Data]),MATCH($A200,_xlfn.VSTACK(YES_Writing_ELA[Student Number],YES_Writing_FLA[Student Number]),0),MATCH(VLOOKUP(E$7,'Writing Logic'!$J$7:$K$11,2,FALSE)&amp;" - Per "&amp;VLOOKUP($C$4,'Writing Logic'!$G$8:$H$14,2,FALSE),YES_Writing_ELA[#Headers],0)))),"")</f>
        <v/>
      </c>
      <c r="F200" s="138" t="str">
        <f>IFERROR(IF(IF(INDEX(_xlfn.VSTACK(YES_Writing_ELA[#Data],YES_Writing_FLA[#Data]),MATCH($A200,_xlfn.VSTACK(YES_Writing_ELA[Student Number],YES_Writing_FLA[Student Number]),0),MATCH(VLOOKUP(F$7,'Writing Logic'!$J$7:$K$11,2,FALSE)&amp;" - Per "&amp;VLOOKUP($C$4,'Writing Logic'!$G$8:$H$14,2,FALSE),YES_Writing_ELA[#Headers],0))=0,"",INDEX(_xlfn.VSTACK(YES_Writing_ELA[#Data],YES_Writing_FLA[#Data]),MATCH($A200,_xlfn.VSTACK(YES_Writing_ELA[Student Number],YES_Writing_FLA[Student Number]),0),MATCH(VLOOKUP(F$7,'Writing Logic'!$J$7:$K$11,2,FALSE)&amp;" - Per "&amp;VLOOKUP($C$4,'Writing Logic'!$G$8:$H$14,2,FALSE),YES_Writing_ELA[#Headers],0)))="INS",'Writing Logic'!$B$7,IF(INDEX(_xlfn.VSTACK(YES_Writing_ELA[#Data],YES_Writing_FLA[#Data]),MATCH($A200,_xlfn.VSTACK(YES_Writing_ELA[Student Number],YES_Writing_FLA[Student Number]),0),MATCH(VLOOKUP(F$7,'Writing Logic'!$J$7:$K$11,2,FALSE)&amp;" - Per "&amp;VLOOKUP($C$4,'Writing Logic'!$G$8:$H$14,2,FALSE),YES_Writing_ELA[#Headers],0))=0,"",INDEX(_xlfn.VSTACK(YES_Writing_ELA[#Data],YES_Writing_FLA[#Data]),MATCH($A200,_xlfn.VSTACK(YES_Writing_ELA[Student Number],YES_Writing_FLA[Student Number]),0),MATCH(VLOOKUP(F$7,'Writing Logic'!$J$7:$K$11,2,FALSE)&amp;" - Per "&amp;VLOOKUP($C$4,'Writing Logic'!$G$8:$H$14,2,FALSE),YES_Writing_ELA[#Headers],0)))),"")</f>
        <v/>
      </c>
      <c r="G200" s="138" t="str">
        <f>IFERROR(IF(IF(INDEX(_xlfn.VSTACK(YES_Writing_ELA[#Data],YES_Writing_FLA[#Data]),MATCH($A200,_xlfn.VSTACK(YES_Writing_ELA[Student Number],YES_Writing_FLA[Student Number]),0),MATCH(VLOOKUP(G$7,'Writing Logic'!$J$7:$K$11,2,FALSE)&amp;" - Per "&amp;VLOOKUP($C$4,'Writing Logic'!$G$8:$H$14,2,FALSE),YES_Writing_ELA[#Headers],0))=0,"",INDEX(_xlfn.VSTACK(YES_Writing_ELA[#Data],YES_Writing_FLA[#Data]),MATCH($A200,_xlfn.VSTACK(YES_Writing_ELA[Student Number],YES_Writing_FLA[Student Number]),0),MATCH(VLOOKUP(G$7,'Writing Logic'!$J$7:$K$11,2,FALSE)&amp;" - Per "&amp;VLOOKUP($C$4,'Writing Logic'!$G$8:$H$14,2,FALSE),YES_Writing_ELA[#Headers],0)))="INS",'Writing Logic'!$B$7,IF(INDEX(_xlfn.VSTACK(YES_Writing_ELA[#Data],YES_Writing_FLA[#Data]),MATCH($A200,_xlfn.VSTACK(YES_Writing_ELA[Student Number],YES_Writing_FLA[Student Number]),0),MATCH(VLOOKUP(G$7,'Writing Logic'!$J$7:$K$11,2,FALSE)&amp;" - Per "&amp;VLOOKUP($C$4,'Writing Logic'!$G$8:$H$14,2,FALSE),YES_Writing_ELA[#Headers],0))=0,"",INDEX(_xlfn.VSTACK(YES_Writing_ELA[#Data],YES_Writing_FLA[#Data]),MATCH($A200,_xlfn.VSTACK(YES_Writing_ELA[Student Number],YES_Writing_FLA[Student Number]),0),MATCH(VLOOKUP(G$7,'Writing Logic'!$J$7:$K$11,2,FALSE)&amp;" - Per "&amp;VLOOKUP($C$4,'Writing Logic'!$G$8:$H$14,2,FALSE),YES_Writing_ELA[#Headers],0)))),"")</f>
        <v/>
      </c>
      <c r="H200" s="223" t="str">
        <f>IFERROR(IF(IF(INDEX(_xlfn.VSTACK(YES_Writing_ELA[#Data],YES_Writing_FLA[#Data]),MATCH($A200,_xlfn.VSTACK(YES_Writing_ELA[Student Number],YES_Writing_FLA[Student Number]),0),MATCH(VLOOKUP(H$7,'Writing Logic'!$J$7:$K$11,2,FALSE)&amp;" - Per "&amp;VLOOKUP($C$4,'Writing Logic'!$G$8:$H$14,2,FALSE),YES_Writing_ELA[#Headers],0))=0,"",INDEX(_xlfn.VSTACK(YES_Writing_ELA[#Data],YES_Writing_FLA[#Data]),MATCH($A200,_xlfn.VSTACK(YES_Writing_ELA[Student Number],YES_Writing_FLA[Student Number]),0),MATCH(VLOOKUP(H$7,'Writing Logic'!$J$7:$K$11,2,FALSE)&amp;" - Per "&amp;VLOOKUP($C$4,'Writing Logic'!$G$8:$H$14,2,FALSE),YES_Writing_ELA[#Headers],0)))="INS",'Writing Logic'!$B$7,IF(INDEX(_xlfn.VSTACK(YES_Writing_ELA[#Data],YES_Writing_FLA[#Data]),MATCH($A200,_xlfn.VSTACK(YES_Writing_ELA[Student Number],YES_Writing_FLA[Student Number]),0),MATCH(VLOOKUP(H$7,'Writing Logic'!$J$7:$K$11,2,FALSE)&amp;" - Per "&amp;VLOOKUP($C$4,'Writing Logic'!$G$8:$H$14,2,FALSE),YES_Writing_ELA[#Headers],0))=0,"",INDEX(_xlfn.VSTACK(YES_Writing_ELA[#Data],YES_Writing_FLA[#Data]),MATCH($A200,_xlfn.VSTACK(YES_Writing_ELA[Student Number],YES_Writing_FLA[Student Number]),0),MATCH(VLOOKUP(H$7,'Writing Logic'!$J$7:$K$11,2,FALSE)&amp;" - Per "&amp;VLOOKUP($C$4,'Writing Logic'!$G$8:$H$14,2,FALSE),YES_Writing_ELA[#Headers],0)))),"")</f>
        <v/>
      </c>
      <c r="I200" s="224" t="str" cm="1">
        <f t="array" aca="1" ref="I200" ca="1">IFERROR(
IF($G$3="ELA",
IF(VLOOKUP($A200, YES_Reading_ELA[], COLUMN(INDIRECT("YES_Reading_ELA[Difference - Per "&amp;VLOOKUP($G$4, 'Reading Report Logic'!$A$2:$B$8, 2, FALSE)&amp;"]")), FALSE)="", "",
VLOOKUP($A200,YES_Reading_ELA[], COLUMN(INDIRECT("YES_Reading_ELA[Difference - Per "&amp;VLOOKUP($G$4,'Reading Report Logic'!$A$2:$B$8,2,FALSE)&amp;"]")), FALSE)),
IF($G$3="FLA",
IF(VLOOKUP($A200, YES_Reading_FLA[], COLUMN(INDIRECT("YES_Reading_FLA[Difference - Per "&amp;VLOOKUP($G$4,'Reading Report Logic'!$A$2:$B$8,2,FALSE)&amp;"]")),FALSE)="","",
VLOOKUP($A200,YES_Reading_FLA[],COLUMN(INDIRECT("YES_Reading_FLA[Difference - Per "&amp;VLOOKUP($G$4,'Reading Report Logic'!$A$2:$B$8,2,FALSE)&amp;"]")),FALSE)),
IF($G$3="Combined",
IFERROR(
IF(VLOOKUP($A200, YES_Reading_ELA[], COLUMN(INDIRECT("YES_Reading_ELA[Difference - Per "&amp;VLOOKUP($G$4, 'Reading Report Logic'!$A$2:$B$8,2,FALSE)&amp;"]")), FALSE)="", "",
VLOOKUP($A200,YES_Reading_ELA[],COLUMN(INDIRECT("YES_Reading_ELA[Difference - Per "&amp;VLOOKUP($G$4,'Reading Report Logic'!$A$2:$B$8,2,FALSE)&amp;"]")),FALSE)),
IF(VLOOKUP($A200, YES_Reading_FLA[], COLUMN(INDIRECT("YES_Reading_FLA[Difference - Per "&amp;VLOOKUP($G$4, 'Reading Report Logic'!$A$2:$B$8, 2, FALSE)&amp;"]")),FALSE)="", "", VLOOKUP($A200,YES_Reading_FLA[],COLUMN(INDIRECT("YES_Reading_FLA[Difference - Per "&amp;VLOOKUP($G$4, 'Reading Report Logic'!$A$2:$B$8, 2, FALSE)&amp;"]")),FALSE))),""))),"")</f>
        <v/>
      </c>
    </row>
    <row r="201" spans="1:9" ht="14.25" customHeight="1" x14ac:dyDescent="0.25">
      <c r="A201" s="137"/>
      <c r="B201" s="137" t="str">
        <f>IFERROR(INDEX(_xlfn.VSTACK(YES_Writing_ELA[#Data], YES_Writing_FLA[#Data]),MATCH($A201,_xlfn.VSTACK(YES_Writing_ELA[Student Number], YES_Writing_FLA[Student Number]),0),MATCH(B$7,YES_Writing_ELA[#Headers],0)),IFERROR(INDEX(_xlfn.VSTACK(YES_Reading_ELA[#Data], YES_Reading_FLA[#Data]),MATCH($A201,_xlfn.VSTACK(YES_Reading_ELA[Student Number], YES_Reading_FLA[Student Number]),0),MATCH(B$7,YES_Reading_ELA[#Headers],0)),""))</f>
        <v/>
      </c>
      <c r="C201" s="137" t="str">
        <f>IFERROR(INDEX(_xlfn.VSTACK(YES_Writing_ELA[#Data], YES_Writing_FLA[#Data]),MATCH($A201,_xlfn.VSTACK(YES_Writing_ELA[Student Number], YES_Writing_FLA[Student Number]),0),MATCH(C$7,YES_Writing_ELA[#Headers],0)),IFERROR(INDEX(_xlfn.VSTACK(YES_Reading_ELA[#Data], YES_Reading_FLA[#Data]),MATCH($A201,_xlfn.VSTACK(YES_Reading_ELA[Student Number], YES_Reading_FLA[Student Number]),0),MATCH(C$7,YES_Reading_ELA[#Headers],0)),""))</f>
        <v/>
      </c>
      <c r="D201" s="138" t="str">
        <f>IFERROR(IF(IF(INDEX(_xlfn.VSTACK(YES_Writing_ELA[#Data],YES_Writing_FLA[#Data]),MATCH($A201,_xlfn.VSTACK(YES_Writing_ELA[Student Number],YES_Writing_FLA[Student Number]),0),MATCH(VLOOKUP(D$7,'Writing Logic'!$J$7:$K$11,2,FALSE)&amp;" - Per "&amp;VLOOKUP($C$4,'Writing Logic'!$G$8:$H$14,2,FALSE),YES_Writing_ELA[#Headers],0))=0,"",INDEX(_xlfn.VSTACK(YES_Writing_ELA[#Data],YES_Writing_FLA[#Data]),MATCH($A201,_xlfn.VSTACK(YES_Writing_ELA[Student Number],YES_Writing_FLA[Student Number]),0),MATCH(VLOOKUP(D$7,'Writing Logic'!$J$7:$K$11,2,FALSE)&amp;" - Per "&amp;VLOOKUP($C$4,'Writing Logic'!$G$8:$H$14,2,FALSE),YES_Writing_ELA[#Headers],0)))="INS",'Writing Logic'!$B$7,IF(INDEX(_xlfn.VSTACK(YES_Writing_ELA[#Data],YES_Writing_FLA[#Data]),MATCH($A201,_xlfn.VSTACK(YES_Writing_ELA[Student Number],YES_Writing_FLA[Student Number]),0),MATCH(VLOOKUP(D$7,'Writing Logic'!$J$7:$K$11,2,FALSE)&amp;" - Per "&amp;VLOOKUP($C$4,'Writing Logic'!$G$8:$H$14,2,FALSE),YES_Writing_ELA[#Headers],0))=0,"",INDEX(_xlfn.VSTACK(YES_Writing_ELA[#Data],YES_Writing_FLA[#Data]),MATCH($A201,_xlfn.VSTACK(YES_Writing_ELA[Student Number],YES_Writing_FLA[Student Number]),0),MATCH(VLOOKUP(D$7,'Writing Logic'!$J$7:$K$11,2,FALSE)&amp;" - Per "&amp;VLOOKUP($C$4,'Writing Logic'!$G$8:$H$14,2,FALSE),YES_Writing_ELA[#Headers],0)))),"")</f>
        <v/>
      </c>
      <c r="E201" s="138" t="str">
        <f>IFERROR(IF(IF(INDEX(_xlfn.VSTACK(YES_Writing_ELA[#Data],YES_Writing_FLA[#Data]),MATCH($A201,_xlfn.VSTACK(YES_Writing_ELA[Student Number],YES_Writing_FLA[Student Number]),0),MATCH(VLOOKUP(E$7,'Writing Logic'!$J$7:$K$11,2,FALSE)&amp;" - Per "&amp;VLOOKUP($C$4,'Writing Logic'!$G$8:$H$14,2,FALSE),YES_Writing_ELA[#Headers],0))=0,"",INDEX(_xlfn.VSTACK(YES_Writing_ELA[#Data],YES_Writing_FLA[#Data]),MATCH($A201,_xlfn.VSTACK(YES_Writing_ELA[Student Number],YES_Writing_FLA[Student Number]),0),MATCH(VLOOKUP(E$7,'Writing Logic'!$J$7:$K$11,2,FALSE)&amp;" - Per "&amp;VLOOKUP($C$4,'Writing Logic'!$G$8:$H$14,2,FALSE),YES_Writing_ELA[#Headers],0)))="INS",'Writing Logic'!$B$7,IF(INDEX(_xlfn.VSTACK(YES_Writing_ELA[#Data],YES_Writing_FLA[#Data]),MATCH($A201,_xlfn.VSTACK(YES_Writing_ELA[Student Number],YES_Writing_FLA[Student Number]),0),MATCH(VLOOKUP(E$7,'Writing Logic'!$J$7:$K$11,2,FALSE)&amp;" - Per "&amp;VLOOKUP($C$4,'Writing Logic'!$G$8:$H$14,2,FALSE),YES_Writing_ELA[#Headers],0))=0,"",INDEX(_xlfn.VSTACK(YES_Writing_ELA[#Data],YES_Writing_FLA[#Data]),MATCH($A201,_xlfn.VSTACK(YES_Writing_ELA[Student Number],YES_Writing_FLA[Student Number]),0),MATCH(VLOOKUP(E$7,'Writing Logic'!$J$7:$K$11,2,FALSE)&amp;" - Per "&amp;VLOOKUP($C$4,'Writing Logic'!$G$8:$H$14,2,FALSE),YES_Writing_ELA[#Headers],0)))),"")</f>
        <v/>
      </c>
      <c r="F201" s="138" t="str">
        <f>IFERROR(IF(IF(INDEX(_xlfn.VSTACK(YES_Writing_ELA[#Data],YES_Writing_FLA[#Data]),MATCH($A201,_xlfn.VSTACK(YES_Writing_ELA[Student Number],YES_Writing_FLA[Student Number]),0),MATCH(VLOOKUP(F$7,'Writing Logic'!$J$7:$K$11,2,FALSE)&amp;" - Per "&amp;VLOOKUP($C$4,'Writing Logic'!$G$8:$H$14,2,FALSE),YES_Writing_ELA[#Headers],0))=0,"",INDEX(_xlfn.VSTACK(YES_Writing_ELA[#Data],YES_Writing_FLA[#Data]),MATCH($A201,_xlfn.VSTACK(YES_Writing_ELA[Student Number],YES_Writing_FLA[Student Number]),0),MATCH(VLOOKUP(F$7,'Writing Logic'!$J$7:$K$11,2,FALSE)&amp;" - Per "&amp;VLOOKUP($C$4,'Writing Logic'!$G$8:$H$14,2,FALSE),YES_Writing_ELA[#Headers],0)))="INS",'Writing Logic'!$B$7,IF(INDEX(_xlfn.VSTACK(YES_Writing_ELA[#Data],YES_Writing_FLA[#Data]),MATCH($A201,_xlfn.VSTACK(YES_Writing_ELA[Student Number],YES_Writing_FLA[Student Number]),0),MATCH(VLOOKUP(F$7,'Writing Logic'!$J$7:$K$11,2,FALSE)&amp;" - Per "&amp;VLOOKUP($C$4,'Writing Logic'!$G$8:$H$14,2,FALSE),YES_Writing_ELA[#Headers],0))=0,"",INDEX(_xlfn.VSTACK(YES_Writing_ELA[#Data],YES_Writing_FLA[#Data]),MATCH($A201,_xlfn.VSTACK(YES_Writing_ELA[Student Number],YES_Writing_FLA[Student Number]),0),MATCH(VLOOKUP(F$7,'Writing Logic'!$J$7:$K$11,2,FALSE)&amp;" - Per "&amp;VLOOKUP($C$4,'Writing Logic'!$G$8:$H$14,2,FALSE),YES_Writing_ELA[#Headers],0)))),"")</f>
        <v/>
      </c>
      <c r="G201" s="138" t="str">
        <f>IFERROR(IF(IF(INDEX(_xlfn.VSTACK(YES_Writing_ELA[#Data],YES_Writing_FLA[#Data]),MATCH($A201,_xlfn.VSTACK(YES_Writing_ELA[Student Number],YES_Writing_FLA[Student Number]),0),MATCH(VLOOKUP(G$7,'Writing Logic'!$J$7:$K$11,2,FALSE)&amp;" - Per "&amp;VLOOKUP($C$4,'Writing Logic'!$G$8:$H$14,2,FALSE),YES_Writing_ELA[#Headers],0))=0,"",INDEX(_xlfn.VSTACK(YES_Writing_ELA[#Data],YES_Writing_FLA[#Data]),MATCH($A201,_xlfn.VSTACK(YES_Writing_ELA[Student Number],YES_Writing_FLA[Student Number]),0),MATCH(VLOOKUP(G$7,'Writing Logic'!$J$7:$K$11,2,FALSE)&amp;" - Per "&amp;VLOOKUP($C$4,'Writing Logic'!$G$8:$H$14,2,FALSE),YES_Writing_ELA[#Headers],0)))="INS",'Writing Logic'!$B$7,IF(INDEX(_xlfn.VSTACK(YES_Writing_ELA[#Data],YES_Writing_FLA[#Data]),MATCH($A201,_xlfn.VSTACK(YES_Writing_ELA[Student Number],YES_Writing_FLA[Student Number]),0),MATCH(VLOOKUP(G$7,'Writing Logic'!$J$7:$K$11,2,FALSE)&amp;" - Per "&amp;VLOOKUP($C$4,'Writing Logic'!$G$8:$H$14,2,FALSE),YES_Writing_ELA[#Headers],0))=0,"",INDEX(_xlfn.VSTACK(YES_Writing_ELA[#Data],YES_Writing_FLA[#Data]),MATCH($A201,_xlfn.VSTACK(YES_Writing_ELA[Student Number],YES_Writing_FLA[Student Number]),0),MATCH(VLOOKUP(G$7,'Writing Logic'!$J$7:$K$11,2,FALSE)&amp;" - Per "&amp;VLOOKUP($C$4,'Writing Logic'!$G$8:$H$14,2,FALSE),YES_Writing_ELA[#Headers],0)))),"")</f>
        <v/>
      </c>
      <c r="H201" s="223" t="str">
        <f>IFERROR(IF(IF(INDEX(_xlfn.VSTACK(YES_Writing_ELA[#Data],YES_Writing_FLA[#Data]),MATCH($A201,_xlfn.VSTACK(YES_Writing_ELA[Student Number],YES_Writing_FLA[Student Number]),0),MATCH(VLOOKUP(H$7,'Writing Logic'!$J$7:$K$11,2,FALSE)&amp;" - Per "&amp;VLOOKUP($C$4,'Writing Logic'!$G$8:$H$14,2,FALSE),YES_Writing_ELA[#Headers],0))=0,"",INDEX(_xlfn.VSTACK(YES_Writing_ELA[#Data],YES_Writing_FLA[#Data]),MATCH($A201,_xlfn.VSTACK(YES_Writing_ELA[Student Number],YES_Writing_FLA[Student Number]),0),MATCH(VLOOKUP(H$7,'Writing Logic'!$J$7:$K$11,2,FALSE)&amp;" - Per "&amp;VLOOKUP($C$4,'Writing Logic'!$G$8:$H$14,2,FALSE),YES_Writing_ELA[#Headers],0)))="INS",'Writing Logic'!$B$7,IF(INDEX(_xlfn.VSTACK(YES_Writing_ELA[#Data],YES_Writing_FLA[#Data]),MATCH($A201,_xlfn.VSTACK(YES_Writing_ELA[Student Number],YES_Writing_FLA[Student Number]),0),MATCH(VLOOKUP(H$7,'Writing Logic'!$J$7:$K$11,2,FALSE)&amp;" - Per "&amp;VLOOKUP($C$4,'Writing Logic'!$G$8:$H$14,2,FALSE),YES_Writing_ELA[#Headers],0))=0,"",INDEX(_xlfn.VSTACK(YES_Writing_ELA[#Data],YES_Writing_FLA[#Data]),MATCH($A201,_xlfn.VSTACK(YES_Writing_ELA[Student Number],YES_Writing_FLA[Student Number]),0),MATCH(VLOOKUP(H$7,'Writing Logic'!$J$7:$K$11,2,FALSE)&amp;" - Per "&amp;VLOOKUP($C$4,'Writing Logic'!$G$8:$H$14,2,FALSE),YES_Writing_ELA[#Headers],0)))),"")</f>
        <v/>
      </c>
      <c r="I201" s="224" t="str" cm="1">
        <f t="array" aca="1" ref="I201" ca="1">IFERROR(
IF($G$3="ELA",
IF(VLOOKUP($A201, YES_Reading_ELA[], COLUMN(INDIRECT("YES_Reading_ELA[Difference - Per "&amp;VLOOKUP($G$4, 'Reading Report Logic'!$A$2:$B$8, 2, FALSE)&amp;"]")), FALSE)="", "",
VLOOKUP($A201,YES_Reading_ELA[], COLUMN(INDIRECT("YES_Reading_ELA[Difference - Per "&amp;VLOOKUP($G$4,'Reading Report Logic'!$A$2:$B$8,2,FALSE)&amp;"]")), FALSE)),
IF($G$3="FLA",
IF(VLOOKUP($A201, YES_Reading_FLA[], COLUMN(INDIRECT("YES_Reading_FLA[Difference - Per "&amp;VLOOKUP($G$4,'Reading Report Logic'!$A$2:$B$8,2,FALSE)&amp;"]")),FALSE)="","",
VLOOKUP($A201,YES_Reading_FLA[],COLUMN(INDIRECT("YES_Reading_FLA[Difference - Per "&amp;VLOOKUP($G$4,'Reading Report Logic'!$A$2:$B$8,2,FALSE)&amp;"]")),FALSE)),
IF($G$3="Combined",
IFERROR(
IF(VLOOKUP($A201, YES_Reading_ELA[], COLUMN(INDIRECT("YES_Reading_ELA[Difference - Per "&amp;VLOOKUP($G$4, 'Reading Report Logic'!$A$2:$B$8,2,FALSE)&amp;"]")), FALSE)="", "",
VLOOKUP($A201,YES_Reading_ELA[],COLUMN(INDIRECT("YES_Reading_ELA[Difference - Per "&amp;VLOOKUP($G$4,'Reading Report Logic'!$A$2:$B$8,2,FALSE)&amp;"]")),FALSE)),
IF(VLOOKUP($A201, YES_Reading_FLA[], COLUMN(INDIRECT("YES_Reading_FLA[Difference - Per "&amp;VLOOKUP($G$4, 'Reading Report Logic'!$A$2:$B$8, 2, FALSE)&amp;"]")),FALSE)="", "", VLOOKUP($A201,YES_Reading_FLA[],COLUMN(INDIRECT("YES_Reading_FLA[Difference - Per "&amp;VLOOKUP($G$4, 'Reading Report Logic'!$A$2:$B$8, 2, FALSE)&amp;"]")),FALSE))),""))),"")</f>
        <v/>
      </c>
    </row>
    <row r="202" spans="1:9" ht="14.25" customHeight="1" x14ac:dyDescent="0.25">
      <c r="A202" s="137"/>
      <c r="B202" s="137" t="str">
        <f>IFERROR(INDEX(_xlfn.VSTACK(YES_Writing_ELA[#Data], YES_Writing_FLA[#Data]),MATCH($A202,_xlfn.VSTACK(YES_Writing_ELA[Student Number], YES_Writing_FLA[Student Number]),0),MATCH(B$7,YES_Writing_ELA[#Headers],0)),IFERROR(INDEX(_xlfn.VSTACK(YES_Reading_ELA[#Data], YES_Reading_FLA[#Data]),MATCH($A202,_xlfn.VSTACK(YES_Reading_ELA[Student Number], YES_Reading_FLA[Student Number]),0),MATCH(B$7,YES_Reading_ELA[#Headers],0)),""))</f>
        <v/>
      </c>
      <c r="C202" s="137" t="str">
        <f>IFERROR(INDEX(_xlfn.VSTACK(YES_Writing_ELA[#Data], YES_Writing_FLA[#Data]),MATCH($A202,_xlfn.VSTACK(YES_Writing_ELA[Student Number], YES_Writing_FLA[Student Number]),0),MATCH(C$7,YES_Writing_ELA[#Headers],0)),IFERROR(INDEX(_xlfn.VSTACK(YES_Reading_ELA[#Data], YES_Reading_FLA[#Data]),MATCH($A202,_xlfn.VSTACK(YES_Reading_ELA[Student Number], YES_Reading_FLA[Student Number]),0),MATCH(C$7,YES_Reading_ELA[#Headers],0)),""))</f>
        <v/>
      </c>
      <c r="D202" s="138" t="str">
        <f>IFERROR(IF(IF(INDEX(_xlfn.VSTACK(YES_Writing_ELA[#Data],YES_Writing_FLA[#Data]),MATCH($A202,_xlfn.VSTACK(YES_Writing_ELA[Student Number],YES_Writing_FLA[Student Number]),0),MATCH(VLOOKUP(D$7,'Writing Logic'!$J$7:$K$11,2,FALSE)&amp;" - Per "&amp;VLOOKUP($C$4,'Writing Logic'!$G$8:$H$14,2,FALSE),YES_Writing_ELA[#Headers],0))=0,"",INDEX(_xlfn.VSTACK(YES_Writing_ELA[#Data],YES_Writing_FLA[#Data]),MATCH($A202,_xlfn.VSTACK(YES_Writing_ELA[Student Number],YES_Writing_FLA[Student Number]),0),MATCH(VLOOKUP(D$7,'Writing Logic'!$J$7:$K$11,2,FALSE)&amp;" - Per "&amp;VLOOKUP($C$4,'Writing Logic'!$G$8:$H$14,2,FALSE),YES_Writing_ELA[#Headers],0)))="INS",'Writing Logic'!$B$7,IF(INDEX(_xlfn.VSTACK(YES_Writing_ELA[#Data],YES_Writing_FLA[#Data]),MATCH($A202,_xlfn.VSTACK(YES_Writing_ELA[Student Number],YES_Writing_FLA[Student Number]),0),MATCH(VLOOKUP(D$7,'Writing Logic'!$J$7:$K$11,2,FALSE)&amp;" - Per "&amp;VLOOKUP($C$4,'Writing Logic'!$G$8:$H$14,2,FALSE),YES_Writing_ELA[#Headers],0))=0,"",INDEX(_xlfn.VSTACK(YES_Writing_ELA[#Data],YES_Writing_FLA[#Data]),MATCH($A202,_xlfn.VSTACK(YES_Writing_ELA[Student Number],YES_Writing_FLA[Student Number]),0),MATCH(VLOOKUP(D$7,'Writing Logic'!$J$7:$K$11,2,FALSE)&amp;" - Per "&amp;VLOOKUP($C$4,'Writing Logic'!$G$8:$H$14,2,FALSE),YES_Writing_ELA[#Headers],0)))),"")</f>
        <v/>
      </c>
      <c r="E202" s="138" t="str">
        <f>IFERROR(IF(IF(INDEX(_xlfn.VSTACK(YES_Writing_ELA[#Data],YES_Writing_FLA[#Data]),MATCH($A202,_xlfn.VSTACK(YES_Writing_ELA[Student Number],YES_Writing_FLA[Student Number]),0),MATCH(VLOOKUP(E$7,'Writing Logic'!$J$7:$K$11,2,FALSE)&amp;" - Per "&amp;VLOOKUP($C$4,'Writing Logic'!$G$8:$H$14,2,FALSE),YES_Writing_ELA[#Headers],0))=0,"",INDEX(_xlfn.VSTACK(YES_Writing_ELA[#Data],YES_Writing_FLA[#Data]),MATCH($A202,_xlfn.VSTACK(YES_Writing_ELA[Student Number],YES_Writing_FLA[Student Number]),0),MATCH(VLOOKUP(E$7,'Writing Logic'!$J$7:$K$11,2,FALSE)&amp;" - Per "&amp;VLOOKUP($C$4,'Writing Logic'!$G$8:$H$14,2,FALSE),YES_Writing_ELA[#Headers],0)))="INS",'Writing Logic'!$B$7,IF(INDEX(_xlfn.VSTACK(YES_Writing_ELA[#Data],YES_Writing_FLA[#Data]),MATCH($A202,_xlfn.VSTACK(YES_Writing_ELA[Student Number],YES_Writing_FLA[Student Number]),0),MATCH(VLOOKUP(E$7,'Writing Logic'!$J$7:$K$11,2,FALSE)&amp;" - Per "&amp;VLOOKUP($C$4,'Writing Logic'!$G$8:$H$14,2,FALSE),YES_Writing_ELA[#Headers],0))=0,"",INDEX(_xlfn.VSTACK(YES_Writing_ELA[#Data],YES_Writing_FLA[#Data]),MATCH($A202,_xlfn.VSTACK(YES_Writing_ELA[Student Number],YES_Writing_FLA[Student Number]),0),MATCH(VLOOKUP(E$7,'Writing Logic'!$J$7:$K$11,2,FALSE)&amp;" - Per "&amp;VLOOKUP($C$4,'Writing Logic'!$G$8:$H$14,2,FALSE),YES_Writing_ELA[#Headers],0)))),"")</f>
        <v/>
      </c>
      <c r="F202" s="138" t="str">
        <f>IFERROR(IF(IF(INDEX(_xlfn.VSTACK(YES_Writing_ELA[#Data],YES_Writing_FLA[#Data]),MATCH($A202,_xlfn.VSTACK(YES_Writing_ELA[Student Number],YES_Writing_FLA[Student Number]),0),MATCH(VLOOKUP(F$7,'Writing Logic'!$J$7:$K$11,2,FALSE)&amp;" - Per "&amp;VLOOKUP($C$4,'Writing Logic'!$G$8:$H$14,2,FALSE),YES_Writing_ELA[#Headers],0))=0,"",INDEX(_xlfn.VSTACK(YES_Writing_ELA[#Data],YES_Writing_FLA[#Data]),MATCH($A202,_xlfn.VSTACK(YES_Writing_ELA[Student Number],YES_Writing_FLA[Student Number]),0),MATCH(VLOOKUP(F$7,'Writing Logic'!$J$7:$K$11,2,FALSE)&amp;" - Per "&amp;VLOOKUP($C$4,'Writing Logic'!$G$8:$H$14,2,FALSE),YES_Writing_ELA[#Headers],0)))="INS",'Writing Logic'!$B$7,IF(INDEX(_xlfn.VSTACK(YES_Writing_ELA[#Data],YES_Writing_FLA[#Data]),MATCH($A202,_xlfn.VSTACK(YES_Writing_ELA[Student Number],YES_Writing_FLA[Student Number]),0),MATCH(VLOOKUP(F$7,'Writing Logic'!$J$7:$K$11,2,FALSE)&amp;" - Per "&amp;VLOOKUP($C$4,'Writing Logic'!$G$8:$H$14,2,FALSE),YES_Writing_ELA[#Headers],0))=0,"",INDEX(_xlfn.VSTACK(YES_Writing_ELA[#Data],YES_Writing_FLA[#Data]),MATCH($A202,_xlfn.VSTACK(YES_Writing_ELA[Student Number],YES_Writing_FLA[Student Number]),0),MATCH(VLOOKUP(F$7,'Writing Logic'!$J$7:$K$11,2,FALSE)&amp;" - Per "&amp;VLOOKUP($C$4,'Writing Logic'!$G$8:$H$14,2,FALSE),YES_Writing_ELA[#Headers],0)))),"")</f>
        <v/>
      </c>
      <c r="G202" s="138" t="str">
        <f>IFERROR(IF(IF(INDEX(_xlfn.VSTACK(YES_Writing_ELA[#Data],YES_Writing_FLA[#Data]),MATCH($A202,_xlfn.VSTACK(YES_Writing_ELA[Student Number],YES_Writing_FLA[Student Number]),0),MATCH(VLOOKUP(G$7,'Writing Logic'!$J$7:$K$11,2,FALSE)&amp;" - Per "&amp;VLOOKUP($C$4,'Writing Logic'!$G$8:$H$14,2,FALSE),YES_Writing_ELA[#Headers],0))=0,"",INDEX(_xlfn.VSTACK(YES_Writing_ELA[#Data],YES_Writing_FLA[#Data]),MATCH($A202,_xlfn.VSTACK(YES_Writing_ELA[Student Number],YES_Writing_FLA[Student Number]),0),MATCH(VLOOKUP(G$7,'Writing Logic'!$J$7:$K$11,2,FALSE)&amp;" - Per "&amp;VLOOKUP($C$4,'Writing Logic'!$G$8:$H$14,2,FALSE),YES_Writing_ELA[#Headers],0)))="INS",'Writing Logic'!$B$7,IF(INDEX(_xlfn.VSTACK(YES_Writing_ELA[#Data],YES_Writing_FLA[#Data]),MATCH($A202,_xlfn.VSTACK(YES_Writing_ELA[Student Number],YES_Writing_FLA[Student Number]),0),MATCH(VLOOKUP(G$7,'Writing Logic'!$J$7:$K$11,2,FALSE)&amp;" - Per "&amp;VLOOKUP($C$4,'Writing Logic'!$G$8:$H$14,2,FALSE),YES_Writing_ELA[#Headers],0))=0,"",INDEX(_xlfn.VSTACK(YES_Writing_ELA[#Data],YES_Writing_FLA[#Data]),MATCH($A202,_xlfn.VSTACK(YES_Writing_ELA[Student Number],YES_Writing_FLA[Student Number]),0),MATCH(VLOOKUP(G$7,'Writing Logic'!$J$7:$K$11,2,FALSE)&amp;" - Per "&amp;VLOOKUP($C$4,'Writing Logic'!$G$8:$H$14,2,FALSE),YES_Writing_ELA[#Headers],0)))),"")</f>
        <v/>
      </c>
      <c r="H202" s="223" t="str">
        <f>IFERROR(IF(IF(INDEX(_xlfn.VSTACK(YES_Writing_ELA[#Data],YES_Writing_FLA[#Data]),MATCH($A202,_xlfn.VSTACK(YES_Writing_ELA[Student Number],YES_Writing_FLA[Student Number]),0),MATCH(VLOOKUP(H$7,'Writing Logic'!$J$7:$K$11,2,FALSE)&amp;" - Per "&amp;VLOOKUP($C$4,'Writing Logic'!$G$8:$H$14,2,FALSE),YES_Writing_ELA[#Headers],0))=0,"",INDEX(_xlfn.VSTACK(YES_Writing_ELA[#Data],YES_Writing_FLA[#Data]),MATCH($A202,_xlfn.VSTACK(YES_Writing_ELA[Student Number],YES_Writing_FLA[Student Number]),0),MATCH(VLOOKUP(H$7,'Writing Logic'!$J$7:$K$11,2,FALSE)&amp;" - Per "&amp;VLOOKUP($C$4,'Writing Logic'!$G$8:$H$14,2,FALSE),YES_Writing_ELA[#Headers],0)))="INS",'Writing Logic'!$B$7,IF(INDEX(_xlfn.VSTACK(YES_Writing_ELA[#Data],YES_Writing_FLA[#Data]),MATCH($A202,_xlfn.VSTACK(YES_Writing_ELA[Student Number],YES_Writing_FLA[Student Number]),0),MATCH(VLOOKUP(H$7,'Writing Logic'!$J$7:$K$11,2,FALSE)&amp;" - Per "&amp;VLOOKUP($C$4,'Writing Logic'!$G$8:$H$14,2,FALSE),YES_Writing_ELA[#Headers],0))=0,"",INDEX(_xlfn.VSTACK(YES_Writing_ELA[#Data],YES_Writing_FLA[#Data]),MATCH($A202,_xlfn.VSTACK(YES_Writing_ELA[Student Number],YES_Writing_FLA[Student Number]),0),MATCH(VLOOKUP(H$7,'Writing Logic'!$J$7:$K$11,2,FALSE)&amp;" - Per "&amp;VLOOKUP($C$4,'Writing Logic'!$G$8:$H$14,2,FALSE),YES_Writing_ELA[#Headers],0)))),"")</f>
        <v/>
      </c>
      <c r="I202" s="224" t="str" cm="1">
        <f t="array" aca="1" ref="I202" ca="1">IFERROR(
IF($G$3="ELA",
IF(VLOOKUP($A202, YES_Reading_ELA[], COLUMN(INDIRECT("YES_Reading_ELA[Difference - Per "&amp;VLOOKUP($G$4, 'Reading Report Logic'!$A$2:$B$8, 2, FALSE)&amp;"]")), FALSE)="", "",
VLOOKUP($A202,YES_Reading_ELA[], COLUMN(INDIRECT("YES_Reading_ELA[Difference - Per "&amp;VLOOKUP($G$4,'Reading Report Logic'!$A$2:$B$8,2,FALSE)&amp;"]")), FALSE)),
IF($G$3="FLA",
IF(VLOOKUP($A202, YES_Reading_FLA[], COLUMN(INDIRECT("YES_Reading_FLA[Difference - Per "&amp;VLOOKUP($G$4,'Reading Report Logic'!$A$2:$B$8,2,FALSE)&amp;"]")),FALSE)="","",
VLOOKUP($A202,YES_Reading_FLA[],COLUMN(INDIRECT("YES_Reading_FLA[Difference - Per "&amp;VLOOKUP($G$4,'Reading Report Logic'!$A$2:$B$8,2,FALSE)&amp;"]")),FALSE)),
IF($G$3="Combined",
IFERROR(
IF(VLOOKUP($A202, YES_Reading_ELA[], COLUMN(INDIRECT("YES_Reading_ELA[Difference - Per "&amp;VLOOKUP($G$4, 'Reading Report Logic'!$A$2:$B$8,2,FALSE)&amp;"]")), FALSE)="", "",
VLOOKUP($A202,YES_Reading_ELA[],COLUMN(INDIRECT("YES_Reading_ELA[Difference - Per "&amp;VLOOKUP($G$4,'Reading Report Logic'!$A$2:$B$8,2,FALSE)&amp;"]")),FALSE)),
IF(VLOOKUP($A202, YES_Reading_FLA[], COLUMN(INDIRECT("YES_Reading_FLA[Difference - Per "&amp;VLOOKUP($G$4, 'Reading Report Logic'!$A$2:$B$8, 2, FALSE)&amp;"]")),FALSE)="", "", VLOOKUP($A202,YES_Reading_FLA[],COLUMN(INDIRECT("YES_Reading_FLA[Difference - Per "&amp;VLOOKUP($G$4, 'Reading Report Logic'!$A$2:$B$8, 2, FALSE)&amp;"]")),FALSE))),""))),"")</f>
        <v/>
      </c>
    </row>
    <row r="203" spans="1:9" ht="14.25" customHeight="1" x14ac:dyDescent="0.25">
      <c r="A203" s="137"/>
      <c r="B203" s="137" t="str">
        <f>IFERROR(INDEX(_xlfn.VSTACK(YES_Writing_ELA[#Data], YES_Writing_FLA[#Data]),MATCH($A203,_xlfn.VSTACK(YES_Writing_ELA[Student Number], YES_Writing_FLA[Student Number]),0),MATCH(B$7,YES_Writing_ELA[#Headers],0)),IFERROR(INDEX(_xlfn.VSTACK(YES_Reading_ELA[#Data], YES_Reading_FLA[#Data]),MATCH($A203,_xlfn.VSTACK(YES_Reading_ELA[Student Number], YES_Reading_FLA[Student Number]),0),MATCH(B$7,YES_Reading_ELA[#Headers],0)),""))</f>
        <v/>
      </c>
      <c r="C203" s="137" t="str">
        <f>IFERROR(INDEX(_xlfn.VSTACK(YES_Writing_ELA[#Data], YES_Writing_FLA[#Data]),MATCH($A203,_xlfn.VSTACK(YES_Writing_ELA[Student Number], YES_Writing_FLA[Student Number]),0),MATCH(C$7,YES_Writing_ELA[#Headers],0)),IFERROR(INDEX(_xlfn.VSTACK(YES_Reading_ELA[#Data], YES_Reading_FLA[#Data]),MATCH($A203,_xlfn.VSTACK(YES_Reading_ELA[Student Number], YES_Reading_FLA[Student Number]),0),MATCH(C$7,YES_Reading_ELA[#Headers],0)),""))</f>
        <v/>
      </c>
      <c r="D203" s="138" t="str">
        <f>IFERROR(IF(IF(INDEX(_xlfn.VSTACK(YES_Writing_ELA[#Data],YES_Writing_FLA[#Data]),MATCH($A203,_xlfn.VSTACK(YES_Writing_ELA[Student Number],YES_Writing_FLA[Student Number]),0),MATCH(VLOOKUP(D$7,'Writing Logic'!$J$7:$K$11,2,FALSE)&amp;" - Per "&amp;VLOOKUP($C$4,'Writing Logic'!$G$8:$H$14,2,FALSE),YES_Writing_ELA[#Headers],0))=0,"",INDEX(_xlfn.VSTACK(YES_Writing_ELA[#Data],YES_Writing_FLA[#Data]),MATCH($A203,_xlfn.VSTACK(YES_Writing_ELA[Student Number],YES_Writing_FLA[Student Number]),0),MATCH(VLOOKUP(D$7,'Writing Logic'!$J$7:$K$11,2,FALSE)&amp;" - Per "&amp;VLOOKUP($C$4,'Writing Logic'!$G$8:$H$14,2,FALSE),YES_Writing_ELA[#Headers],0)))="INS",'Writing Logic'!$B$7,IF(INDEX(_xlfn.VSTACK(YES_Writing_ELA[#Data],YES_Writing_FLA[#Data]),MATCH($A203,_xlfn.VSTACK(YES_Writing_ELA[Student Number],YES_Writing_FLA[Student Number]),0),MATCH(VLOOKUP(D$7,'Writing Logic'!$J$7:$K$11,2,FALSE)&amp;" - Per "&amp;VLOOKUP($C$4,'Writing Logic'!$G$8:$H$14,2,FALSE),YES_Writing_ELA[#Headers],0))=0,"",INDEX(_xlfn.VSTACK(YES_Writing_ELA[#Data],YES_Writing_FLA[#Data]),MATCH($A203,_xlfn.VSTACK(YES_Writing_ELA[Student Number],YES_Writing_FLA[Student Number]),0),MATCH(VLOOKUP(D$7,'Writing Logic'!$J$7:$K$11,2,FALSE)&amp;" - Per "&amp;VLOOKUP($C$4,'Writing Logic'!$G$8:$H$14,2,FALSE),YES_Writing_ELA[#Headers],0)))),"")</f>
        <v/>
      </c>
      <c r="E203" s="138" t="str">
        <f>IFERROR(IF(IF(INDEX(_xlfn.VSTACK(YES_Writing_ELA[#Data],YES_Writing_FLA[#Data]),MATCH($A203,_xlfn.VSTACK(YES_Writing_ELA[Student Number],YES_Writing_FLA[Student Number]),0),MATCH(VLOOKUP(E$7,'Writing Logic'!$J$7:$K$11,2,FALSE)&amp;" - Per "&amp;VLOOKUP($C$4,'Writing Logic'!$G$8:$H$14,2,FALSE),YES_Writing_ELA[#Headers],0))=0,"",INDEX(_xlfn.VSTACK(YES_Writing_ELA[#Data],YES_Writing_FLA[#Data]),MATCH($A203,_xlfn.VSTACK(YES_Writing_ELA[Student Number],YES_Writing_FLA[Student Number]),0),MATCH(VLOOKUP(E$7,'Writing Logic'!$J$7:$K$11,2,FALSE)&amp;" - Per "&amp;VLOOKUP($C$4,'Writing Logic'!$G$8:$H$14,2,FALSE),YES_Writing_ELA[#Headers],0)))="INS",'Writing Logic'!$B$7,IF(INDEX(_xlfn.VSTACK(YES_Writing_ELA[#Data],YES_Writing_FLA[#Data]),MATCH($A203,_xlfn.VSTACK(YES_Writing_ELA[Student Number],YES_Writing_FLA[Student Number]),0),MATCH(VLOOKUP(E$7,'Writing Logic'!$J$7:$K$11,2,FALSE)&amp;" - Per "&amp;VLOOKUP($C$4,'Writing Logic'!$G$8:$H$14,2,FALSE),YES_Writing_ELA[#Headers],0))=0,"",INDEX(_xlfn.VSTACK(YES_Writing_ELA[#Data],YES_Writing_FLA[#Data]),MATCH($A203,_xlfn.VSTACK(YES_Writing_ELA[Student Number],YES_Writing_FLA[Student Number]),0),MATCH(VLOOKUP(E$7,'Writing Logic'!$J$7:$K$11,2,FALSE)&amp;" - Per "&amp;VLOOKUP($C$4,'Writing Logic'!$G$8:$H$14,2,FALSE),YES_Writing_ELA[#Headers],0)))),"")</f>
        <v/>
      </c>
      <c r="F203" s="138" t="str">
        <f>IFERROR(IF(IF(INDEX(_xlfn.VSTACK(YES_Writing_ELA[#Data],YES_Writing_FLA[#Data]),MATCH($A203,_xlfn.VSTACK(YES_Writing_ELA[Student Number],YES_Writing_FLA[Student Number]),0),MATCH(VLOOKUP(F$7,'Writing Logic'!$J$7:$K$11,2,FALSE)&amp;" - Per "&amp;VLOOKUP($C$4,'Writing Logic'!$G$8:$H$14,2,FALSE),YES_Writing_ELA[#Headers],0))=0,"",INDEX(_xlfn.VSTACK(YES_Writing_ELA[#Data],YES_Writing_FLA[#Data]),MATCH($A203,_xlfn.VSTACK(YES_Writing_ELA[Student Number],YES_Writing_FLA[Student Number]),0),MATCH(VLOOKUP(F$7,'Writing Logic'!$J$7:$K$11,2,FALSE)&amp;" - Per "&amp;VLOOKUP($C$4,'Writing Logic'!$G$8:$H$14,2,FALSE),YES_Writing_ELA[#Headers],0)))="INS",'Writing Logic'!$B$7,IF(INDEX(_xlfn.VSTACK(YES_Writing_ELA[#Data],YES_Writing_FLA[#Data]),MATCH($A203,_xlfn.VSTACK(YES_Writing_ELA[Student Number],YES_Writing_FLA[Student Number]),0),MATCH(VLOOKUP(F$7,'Writing Logic'!$J$7:$K$11,2,FALSE)&amp;" - Per "&amp;VLOOKUP($C$4,'Writing Logic'!$G$8:$H$14,2,FALSE),YES_Writing_ELA[#Headers],0))=0,"",INDEX(_xlfn.VSTACK(YES_Writing_ELA[#Data],YES_Writing_FLA[#Data]),MATCH($A203,_xlfn.VSTACK(YES_Writing_ELA[Student Number],YES_Writing_FLA[Student Number]),0),MATCH(VLOOKUP(F$7,'Writing Logic'!$J$7:$K$11,2,FALSE)&amp;" - Per "&amp;VLOOKUP($C$4,'Writing Logic'!$G$8:$H$14,2,FALSE),YES_Writing_ELA[#Headers],0)))),"")</f>
        <v/>
      </c>
      <c r="G203" s="138" t="str">
        <f>IFERROR(IF(IF(INDEX(_xlfn.VSTACK(YES_Writing_ELA[#Data],YES_Writing_FLA[#Data]),MATCH($A203,_xlfn.VSTACK(YES_Writing_ELA[Student Number],YES_Writing_FLA[Student Number]),0),MATCH(VLOOKUP(G$7,'Writing Logic'!$J$7:$K$11,2,FALSE)&amp;" - Per "&amp;VLOOKUP($C$4,'Writing Logic'!$G$8:$H$14,2,FALSE),YES_Writing_ELA[#Headers],0))=0,"",INDEX(_xlfn.VSTACK(YES_Writing_ELA[#Data],YES_Writing_FLA[#Data]),MATCH($A203,_xlfn.VSTACK(YES_Writing_ELA[Student Number],YES_Writing_FLA[Student Number]),0),MATCH(VLOOKUP(G$7,'Writing Logic'!$J$7:$K$11,2,FALSE)&amp;" - Per "&amp;VLOOKUP($C$4,'Writing Logic'!$G$8:$H$14,2,FALSE),YES_Writing_ELA[#Headers],0)))="INS",'Writing Logic'!$B$7,IF(INDEX(_xlfn.VSTACK(YES_Writing_ELA[#Data],YES_Writing_FLA[#Data]),MATCH($A203,_xlfn.VSTACK(YES_Writing_ELA[Student Number],YES_Writing_FLA[Student Number]),0),MATCH(VLOOKUP(G$7,'Writing Logic'!$J$7:$K$11,2,FALSE)&amp;" - Per "&amp;VLOOKUP($C$4,'Writing Logic'!$G$8:$H$14,2,FALSE),YES_Writing_ELA[#Headers],0))=0,"",INDEX(_xlfn.VSTACK(YES_Writing_ELA[#Data],YES_Writing_FLA[#Data]),MATCH($A203,_xlfn.VSTACK(YES_Writing_ELA[Student Number],YES_Writing_FLA[Student Number]),0),MATCH(VLOOKUP(G$7,'Writing Logic'!$J$7:$K$11,2,FALSE)&amp;" - Per "&amp;VLOOKUP($C$4,'Writing Logic'!$G$8:$H$14,2,FALSE),YES_Writing_ELA[#Headers],0)))),"")</f>
        <v/>
      </c>
      <c r="H203" s="223" t="str">
        <f>IFERROR(IF(IF(INDEX(_xlfn.VSTACK(YES_Writing_ELA[#Data],YES_Writing_FLA[#Data]),MATCH($A203,_xlfn.VSTACK(YES_Writing_ELA[Student Number],YES_Writing_FLA[Student Number]),0),MATCH(VLOOKUP(H$7,'Writing Logic'!$J$7:$K$11,2,FALSE)&amp;" - Per "&amp;VLOOKUP($C$4,'Writing Logic'!$G$8:$H$14,2,FALSE),YES_Writing_ELA[#Headers],0))=0,"",INDEX(_xlfn.VSTACK(YES_Writing_ELA[#Data],YES_Writing_FLA[#Data]),MATCH($A203,_xlfn.VSTACK(YES_Writing_ELA[Student Number],YES_Writing_FLA[Student Number]),0),MATCH(VLOOKUP(H$7,'Writing Logic'!$J$7:$K$11,2,FALSE)&amp;" - Per "&amp;VLOOKUP($C$4,'Writing Logic'!$G$8:$H$14,2,FALSE),YES_Writing_ELA[#Headers],0)))="INS",'Writing Logic'!$B$7,IF(INDEX(_xlfn.VSTACK(YES_Writing_ELA[#Data],YES_Writing_FLA[#Data]),MATCH($A203,_xlfn.VSTACK(YES_Writing_ELA[Student Number],YES_Writing_FLA[Student Number]),0),MATCH(VLOOKUP(H$7,'Writing Logic'!$J$7:$K$11,2,FALSE)&amp;" - Per "&amp;VLOOKUP($C$4,'Writing Logic'!$G$8:$H$14,2,FALSE),YES_Writing_ELA[#Headers],0))=0,"",INDEX(_xlfn.VSTACK(YES_Writing_ELA[#Data],YES_Writing_FLA[#Data]),MATCH($A203,_xlfn.VSTACK(YES_Writing_ELA[Student Number],YES_Writing_FLA[Student Number]),0),MATCH(VLOOKUP(H$7,'Writing Logic'!$J$7:$K$11,2,FALSE)&amp;" - Per "&amp;VLOOKUP($C$4,'Writing Logic'!$G$8:$H$14,2,FALSE),YES_Writing_ELA[#Headers],0)))),"")</f>
        <v/>
      </c>
      <c r="I203" s="224" t="str" cm="1">
        <f t="array" aca="1" ref="I203" ca="1">IFERROR(
IF($G$3="ELA",
IF(VLOOKUP($A203, YES_Reading_ELA[], COLUMN(INDIRECT("YES_Reading_ELA[Difference - Per "&amp;VLOOKUP($G$4, 'Reading Report Logic'!$A$2:$B$8, 2, FALSE)&amp;"]")), FALSE)="", "",
VLOOKUP($A203,YES_Reading_ELA[], COLUMN(INDIRECT("YES_Reading_ELA[Difference - Per "&amp;VLOOKUP($G$4,'Reading Report Logic'!$A$2:$B$8,2,FALSE)&amp;"]")), FALSE)),
IF($G$3="FLA",
IF(VLOOKUP($A203, YES_Reading_FLA[], COLUMN(INDIRECT("YES_Reading_FLA[Difference - Per "&amp;VLOOKUP($G$4,'Reading Report Logic'!$A$2:$B$8,2,FALSE)&amp;"]")),FALSE)="","",
VLOOKUP($A203,YES_Reading_FLA[],COLUMN(INDIRECT("YES_Reading_FLA[Difference - Per "&amp;VLOOKUP($G$4,'Reading Report Logic'!$A$2:$B$8,2,FALSE)&amp;"]")),FALSE)),
IF($G$3="Combined",
IFERROR(
IF(VLOOKUP($A203, YES_Reading_ELA[], COLUMN(INDIRECT("YES_Reading_ELA[Difference - Per "&amp;VLOOKUP($G$4, 'Reading Report Logic'!$A$2:$B$8,2,FALSE)&amp;"]")), FALSE)="", "",
VLOOKUP($A203,YES_Reading_ELA[],COLUMN(INDIRECT("YES_Reading_ELA[Difference - Per "&amp;VLOOKUP($G$4,'Reading Report Logic'!$A$2:$B$8,2,FALSE)&amp;"]")),FALSE)),
IF(VLOOKUP($A203, YES_Reading_FLA[], COLUMN(INDIRECT("YES_Reading_FLA[Difference - Per "&amp;VLOOKUP($G$4, 'Reading Report Logic'!$A$2:$B$8, 2, FALSE)&amp;"]")),FALSE)="", "", VLOOKUP($A203,YES_Reading_FLA[],COLUMN(INDIRECT("YES_Reading_FLA[Difference - Per "&amp;VLOOKUP($G$4, 'Reading Report Logic'!$A$2:$B$8, 2, FALSE)&amp;"]")),FALSE))),""))),"")</f>
        <v/>
      </c>
    </row>
    <row r="204" spans="1:9" ht="14.25" customHeight="1" x14ac:dyDescent="0.25">
      <c r="A204" s="137"/>
      <c r="B204" s="137" t="str">
        <f>IFERROR(INDEX(_xlfn.VSTACK(YES_Writing_ELA[#Data], YES_Writing_FLA[#Data]),MATCH($A204,_xlfn.VSTACK(YES_Writing_ELA[Student Number], YES_Writing_FLA[Student Number]),0),MATCH(B$7,YES_Writing_ELA[#Headers],0)),IFERROR(INDEX(_xlfn.VSTACK(YES_Reading_ELA[#Data], YES_Reading_FLA[#Data]),MATCH($A204,_xlfn.VSTACK(YES_Reading_ELA[Student Number], YES_Reading_FLA[Student Number]),0),MATCH(B$7,YES_Reading_ELA[#Headers],0)),""))</f>
        <v/>
      </c>
      <c r="C204" s="137" t="str">
        <f>IFERROR(INDEX(_xlfn.VSTACK(YES_Writing_ELA[#Data], YES_Writing_FLA[#Data]),MATCH($A204,_xlfn.VSTACK(YES_Writing_ELA[Student Number], YES_Writing_FLA[Student Number]),0),MATCH(C$7,YES_Writing_ELA[#Headers],0)),IFERROR(INDEX(_xlfn.VSTACK(YES_Reading_ELA[#Data], YES_Reading_FLA[#Data]),MATCH($A204,_xlfn.VSTACK(YES_Reading_ELA[Student Number], YES_Reading_FLA[Student Number]),0),MATCH(C$7,YES_Reading_ELA[#Headers],0)),""))</f>
        <v/>
      </c>
      <c r="D204" s="138" t="str">
        <f>IFERROR(IF(IF(INDEX(_xlfn.VSTACK(YES_Writing_ELA[#Data],YES_Writing_FLA[#Data]),MATCH($A204,_xlfn.VSTACK(YES_Writing_ELA[Student Number],YES_Writing_FLA[Student Number]),0),MATCH(VLOOKUP(D$7,'Writing Logic'!$J$7:$K$11,2,FALSE)&amp;" - Per "&amp;VLOOKUP($C$4,'Writing Logic'!$G$8:$H$14,2,FALSE),YES_Writing_ELA[#Headers],0))=0,"",INDEX(_xlfn.VSTACK(YES_Writing_ELA[#Data],YES_Writing_FLA[#Data]),MATCH($A204,_xlfn.VSTACK(YES_Writing_ELA[Student Number],YES_Writing_FLA[Student Number]),0),MATCH(VLOOKUP(D$7,'Writing Logic'!$J$7:$K$11,2,FALSE)&amp;" - Per "&amp;VLOOKUP($C$4,'Writing Logic'!$G$8:$H$14,2,FALSE),YES_Writing_ELA[#Headers],0)))="INS",'Writing Logic'!$B$7,IF(INDEX(_xlfn.VSTACK(YES_Writing_ELA[#Data],YES_Writing_FLA[#Data]),MATCH($A204,_xlfn.VSTACK(YES_Writing_ELA[Student Number],YES_Writing_FLA[Student Number]),0),MATCH(VLOOKUP(D$7,'Writing Logic'!$J$7:$K$11,2,FALSE)&amp;" - Per "&amp;VLOOKUP($C$4,'Writing Logic'!$G$8:$H$14,2,FALSE),YES_Writing_ELA[#Headers],0))=0,"",INDEX(_xlfn.VSTACK(YES_Writing_ELA[#Data],YES_Writing_FLA[#Data]),MATCH($A204,_xlfn.VSTACK(YES_Writing_ELA[Student Number],YES_Writing_FLA[Student Number]),0),MATCH(VLOOKUP(D$7,'Writing Logic'!$J$7:$K$11,2,FALSE)&amp;" - Per "&amp;VLOOKUP($C$4,'Writing Logic'!$G$8:$H$14,2,FALSE),YES_Writing_ELA[#Headers],0)))),"")</f>
        <v/>
      </c>
      <c r="E204" s="138" t="str">
        <f>IFERROR(IF(IF(INDEX(_xlfn.VSTACK(YES_Writing_ELA[#Data],YES_Writing_FLA[#Data]),MATCH($A204,_xlfn.VSTACK(YES_Writing_ELA[Student Number],YES_Writing_FLA[Student Number]),0),MATCH(VLOOKUP(E$7,'Writing Logic'!$J$7:$K$11,2,FALSE)&amp;" - Per "&amp;VLOOKUP($C$4,'Writing Logic'!$G$8:$H$14,2,FALSE),YES_Writing_ELA[#Headers],0))=0,"",INDEX(_xlfn.VSTACK(YES_Writing_ELA[#Data],YES_Writing_FLA[#Data]),MATCH($A204,_xlfn.VSTACK(YES_Writing_ELA[Student Number],YES_Writing_FLA[Student Number]),0),MATCH(VLOOKUP(E$7,'Writing Logic'!$J$7:$K$11,2,FALSE)&amp;" - Per "&amp;VLOOKUP($C$4,'Writing Logic'!$G$8:$H$14,2,FALSE),YES_Writing_ELA[#Headers],0)))="INS",'Writing Logic'!$B$7,IF(INDEX(_xlfn.VSTACK(YES_Writing_ELA[#Data],YES_Writing_FLA[#Data]),MATCH($A204,_xlfn.VSTACK(YES_Writing_ELA[Student Number],YES_Writing_FLA[Student Number]),0),MATCH(VLOOKUP(E$7,'Writing Logic'!$J$7:$K$11,2,FALSE)&amp;" - Per "&amp;VLOOKUP($C$4,'Writing Logic'!$G$8:$H$14,2,FALSE),YES_Writing_ELA[#Headers],0))=0,"",INDEX(_xlfn.VSTACK(YES_Writing_ELA[#Data],YES_Writing_FLA[#Data]),MATCH($A204,_xlfn.VSTACK(YES_Writing_ELA[Student Number],YES_Writing_FLA[Student Number]),0),MATCH(VLOOKUP(E$7,'Writing Logic'!$J$7:$K$11,2,FALSE)&amp;" - Per "&amp;VLOOKUP($C$4,'Writing Logic'!$G$8:$H$14,2,FALSE),YES_Writing_ELA[#Headers],0)))),"")</f>
        <v/>
      </c>
      <c r="F204" s="138" t="str">
        <f>IFERROR(IF(IF(INDEX(_xlfn.VSTACK(YES_Writing_ELA[#Data],YES_Writing_FLA[#Data]),MATCH($A204,_xlfn.VSTACK(YES_Writing_ELA[Student Number],YES_Writing_FLA[Student Number]),0),MATCH(VLOOKUP(F$7,'Writing Logic'!$J$7:$K$11,2,FALSE)&amp;" - Per "&amp;VLOOKUP($C$4,'Writing Logic'!$G$8:$H$14,2,FALSE),YES_Writing_ELA[#Headers],0))=0,"",INDEX(_xlfn.VSTACK(YES_Writing_ELA[#Data],YES_Writing_FLA[#Data]),MATCH($A204,_xlfn.VSTACK(YES_Writing_ELA[Student Number],YES_Writing_FLA[Student Number]),0),MATCH(VLOOKUP(F$7,'Writing Logic'!$J$7:$K$11,2,FALSE)&amp;" - Per "&amp;VLOOKUP($C$4,'Writing Logic'!$G$8:$H$14,2,FALSE),YES_Writing_ELA[#Headers],0)))="INS",'Writing Logic'!$B$7,IF(INDEX(_xlfn.VSTACK(YES_Writing_ELA[#Data],YES_Writing_FLA[#Data]),MATCH($A204,_xlfn.VSTACK(YES_Writing_ELA[Student Number],YES_Writing_FLA[Student Number]),0),MATCH(VLOOKUP(F$7,'Writing Logic'!$J$7:$K$11,2,FALSE)&amp;" - Per "&amp;VLOOKUP($C$4,'Writing Logic'!$G$8:$H$14,2,FALSE),YES_Writing_ELA[#Headers],0))=0,"",INDEX(_xlfn.VSTACK(YES_Writing_ELA[#Data],YES_Writing_FLA[#Data]),MATCH($A204,_xlfn.VSTACK(YES_Writing_ELA[Student Number],YES_Writing_FLA[Student Number]),0),MATCH(VLOOKUP(F$7,'Writing Logic'!$J$7:$K$11,2,FALSE)&amp;" - Per "&amp;VLOOKUP($C$4,'Writing Logic'!$G$8:$H$14,2,FALSE),YES_Writing_ELA[#Headers],0)))),"")</f>
        <v/>
      </c>
      <c r="G204" s="138" t="str">
        <f>IFERROR(IF(IF(INDEX(_xlfn.VSTACK(YES_Writing_ELA[#Data],YES_Writing_FLA[#Data]),MATCH($A204,_xlfn.VSTACK(YES_Writing_ELA[Student Number],YES_Writing_FLA[Student Number]),0),MATCH(VLOOKUP(G$7,'Writing Logic'!$J$7:$K$11,2,FALSE)&amp;" - Per "&amp;VLOOKUP($C$4,'Writing Logic'!$G$8:$H$14,2,FALSE),YES_Writing_ELA[#Headers],0))=0,"",INDEX(_xlfn.VSTACK(YES_Writing_ELA[#Data],YES_Writing_FLA[#Data]),MATCH($A204,_xlfn.VSTACK(YES_Writing_ELA[Student Number],YES_Writing_FLA[Student Number]),0),MATCH(VLOOKUP(G$7,'Writing Logic'!$J$7:$K$11,2,FALSE)&amp;" - Per "&amp;VLOOKUP($C$4,'Writing Logic'!$G$8:$H$14,2,FALSE),YES_Writing_ELA[#Headers],0)))="INS",'Writing Logic'!$B$7,IF(INDEX(_xlfn.VSTACK(YES_Writing_ELA[#Data],YES_Writing_FLA[#Data]),MATCH($A204,_xlfn.VSTACK(YES_Writing_ELA[Student Number],YES_Writing_FLA[Student Number]),0),MATCH(VLOOKUP(G$7,'Writing Logic'!$J$7:$K$11,2,FALSE)&amp;" - Per "&amp;VLOOKUP($C$4,'Writing Logic'!$G$8:$H$14,2,FALSE),YES_Writing_ELA[#Headers],0))=0,"",INDEX(_xlfn.VSTACK(YES_Writing_ELA[#Data],YES_Writing_FLA[#Data]),MATCH($A204,_xlfn.VSTACK(YES_Writing_ELA[Student Number],YES_Writing_FLA[Student Number]),0),MATCH(VLOOKUP(G$7,'Writing Logic'!$J$7:$K$11,2,FALSE)&amp;" - Per "&amp;VLOOKUP($C$4,'Writing Logic'!$G$8:$H$14,2,FALSE),YES_Writing_ELA[#Headers],0)))),"")</f>
        <v/>
      </c>
      <c r="H204" s="223" t="str">
        <f>IFERROR(IF(IF(INDEX(_xlfn.VSTACK(YES_Writing_ELA[#Data],YES_Writing_FLA[#Data]),MATCH($A204,_xlfn.VSTACK(YES_Writing_ELA[Student Number],YES_Writing_FLA[Student Number]),0),MATCH(VLOOKUP(H$7,'Writing Logic'!$J$7:$K$11,2,FALSE)&amp;" - Per "&amp;VLOOKUP($C$4,'Writing Logic'!$G$8:$H$14,2,FALSE),YES_Writing_ELA[#Headers],0))=0,"",INDEX(_xlfn.VSTACK(YES_Writing_ELA[#Data],YES_Writing_FLA[#Data]),MATCH($A204,_xlfn.VSTACK(YES_Writing_ELA[Student Number],YES_Writing_FLA[Student Number]),0),MATCH(VLOOKUP(H$7,'Writing Logic'!$J$7:$K$11,2,FALSE)&amp;" - Per "&amp;VLOOKUP($C$4,'Writing Logic'!$G$8:$H$14,2,FALSE),YES_Writing_ELA[#Headers],0)))="INS",'Writing Logic'!$B$7,IF(INDEX(_xlfn.VSTACK(YES_Writing_ELA[#Data],YES_Writing_FLA[#Data]),MATCH($A204,_xlfn.VSTACK(YES_Writing_ELA[Student Number],YES_Writing_FLA[Student Number]),0),MATCH(VLOOKUP(H$7,'Writing Logic'!$J$7:$K$11,2,FALSE)&amp;" - Per "&amp;VLOOKUP($C$4,'Writing Logic'!$G$8:$H$14,2,FALSE),YES_Writing_ELA[#Headers],0))=0,"",INDEX(_xlfn.VSTACK(YES_Writing_ELA[#Data],YES_Writing_FLA[#Data]),MATCH($A204,_xlfn.VSTACK(YES_Writing_ELA[Student Number],YES_Writing_FLA[Student Number]),0),MATCH(VLOOKUP(H$7,'Writing Logic'!$J$7:$K$11,2,FALSE)&amp;" - Per "&amp;VLOOKUP($C$4,'Writing Logic'!$G$8:$H$14,2,FALSE),YES_Writing_ELA[#Headers],0)))),"")</f>
        <v/>
      </c>
      <c r="I204" s="224" t="str" cm="1">
        <f t="array" aca="1" ref="I204" ca="1">IFERROR(
IF($G$3="ELA",
IF(VLOOKUP($A204, YES_Reading_ELA[], COLUMN(INDIRECT("YES_Reading_ELA[Difference - Per "&amp;VLOOKUP($G$4, 'Reading Report Logic'!$A$2:$B$8, 2, FALSE)&amp;"]")), FALSE)="", "",
VLOOKUP($A204,YES_Reading_ELA[], COLUMN(INDIRECT("YES_Reading_ELA[Difference - Per "&amp;VLOOKUP($G$4,'Reading Report Logic'!$A$2:$B$8,2,FALSE)&amp;"]")), FALSE)),
IF($G$3="FLA",
IF(VLOOKUP($A204, YES_Reading_FLA[], COLUMN(INDIRECT("YES_Reading_FLA[Difference - Per "&amp;VLOOKUP($G$4,'Reading Report Logic'!$A$2:$B$8,2,FALSE)&amp;"]")),FALSE)="","",
VLOOKUP($A204,YES_Reading_FLA[],COLUMN(INDIRECT("YES_Reading_FLA[Difference - Per "&amp;VLOOKUP($G$4,'Reading Report Logic'!$A$2:$B$8,2,FALSE)&amp;"]")),FALSE)),
IF($G$3="Combined",
IFERROR(
IF(VLOOKUP($A204, YES_Reading_ELA[], COLUMN(INDIRECT("YES_Reading_ELA[Difference - Per "&amp;VLOOKUP($G$4, 'Reading Report Logic'!$A$2:$B$8,2,FALSE)&amp;"]")), FALSE)="", "",
VLOOKUP($A204,YES_Reading_ELA[],COLUMN(INDIRECT("YES_Reading_ELA[Difference - Per "&amp;VLOOKUP($G$4,'Reading Report Logic'!$A$2:$B$8,2,FALSE)&amp;"]")),FALSE)),
IF(VLOOKUP($A204, YES_Reading_FLA[], COLUMN(INDIRECT("YES_Reading_FLA[Difference - Per "&amp;VLOOKUP($G$4, 'Reading Report Logic'!$A$2:$B$8, 2, FALSE)&amp;"]")),FALSE)="", "", VLOOKUP($A204,YES_Reading_FLA[],COLUMN(INDIRECT("YES_Reading_FLA[Difference - Per "&amp;VLOOKUP($G$4, 'Reading Report Logic'!$A$2:$B$8, 2, FALSE)&amp;"]")),FALSE))),""))),"")</f>
        <v/>
      </c>
    </row>
    <row r="205" spans="1:9" ht="14.25" customHeight="1" x14ac:dyDescent="0.25">
      <c r="A205" s="137"/>
      <c r="B205" s="137" t="str">
        <f>IFERROR(INDEX(_xlfn.VSTACK(YES_Writing_ELA[#Data], YES_Writing_FLA[#Data]),MATCH($A205,_xlfn.VSTACK(YES_Writing_ELA[Student Number], YES_Writing_FLA[Student Number]),0),MATCH(B$7,YES_Writing_ELA[#Headers],0)),IFERROR(INDEX(_xlfn.VSTACK(YES_Reading_ELA[#Data], YES_Reading_FLA[#Data]),MATCH($A205,_xlfn.VSTACK(YES_Reading_ELA[Student Number], YES_Reading_FLA[Student Number]),0),MATCH(B$7,YES_Reading_ELA[#Headers],0)),""))</f>
        <v/>
      </c>
      <c r="C205" s="137" t="str">
        <f>IFERROR(INDEX(_xlfn.VSTACK(YES_Writing_ELA[#Data], YES_Writing_FLA[#Data]),MATCH($A205,_xlfn.VSTACK(YES_Writing_ELA[Student Number], YES_Writing_FLA[Student Number]),0),MATCH(C$7,YES_Writing_ELA[#Headers],0)),IFERROR(INDEX(_xlfn.VSTACK(YES_Reading_ELA[#Data], YES_Reading_FLA[#Data]),MATCH($A205,_xlfn.VSTACK(YES_Reading_ELA[Student Number], YES_Reading_FLA[Student Number]),0),MATCH(C$7,YES_Reading_ELA[#Headers],0)),""))</f>
        <v/>
      </c>
      <c r="D205" s="138" t="str">
        <f>IFERROR(IF(IF(INDEX(_xlfn.VSTACK(YES_Writing_ELA[#Data],YES_Writing_FLA[#Data]),MATCH($A205,_xlfn.VSTACK(YES_Writing_ELA[Student Number],YES_Writing_FLA[Student Number]),0),MATCH(VLOOKUP(D$7,'Writing Logic'!$J$7:$K$11,2,FALSE)&amp;" - Per "&amp;VLOOKUP($C$4,'Writing Logic'!$G$8:$H$14,2,FALSE),YES_Writing_ELA[#Headers],0))=0,"",INDEX(_xlfn.VSTACK(YES_Writing_ELA[#Data],YES_Writing_FLA[#Data]),MATCH($A205,_xlfn.VSTACK(YES_Writing_ELA[Student Number],YES_Writing_FLA[Student Number]),0),MATCH(VLOOKUP(D$7,'Writing Logic'!$J$7:$K$11,2,FALSE)&amp;" - Per "&amp;VLOOKUP($C$4,'Writing Logic'!$G$8:$H$14,2,FALSE),YES_Writing_ELA[#Headers],0)))="INS",'Writing Logic'!$B$7,IF(INDEX(_xlfn.VSTACK(YES_Writing_ELA[#Data],YES_Writing_FLA[#Data]),MATCH($A205,_xlfn.VSTACK(YES_Writing_ELA[Student Number],YES_Writing_FLA[Student Number]),0),MATCH(VLOOKUP(D$7,'Writing Logic'!$J$7:$K$11,2,FALSE)&amp;" - Per "&amp;VLOOKUP($C$4,'Writing Logic'!$G$8:$H$14,2,FALSE),YES_Writing_ELA[#Headers],0))=0,"",INDEX(_xlfn.VSTACK(YES_Writing_ELA[#Data],YES_Writing_FLA[#Data]),MATCH($A205,_xlfn.VSTACK(YES_Writing_ELA[Student Number],YES_Writing_FLA[Student Number]),0),MATCH(VLOOKUP(D$7,'Writing Logic'!$J$7:$K$11,2,FALSE)&amp;" - Per "&amp;VLOOKUP($C$4,'Writing Logic'!$G$8:$H$14,2,FALSE),YES_Writing_ELA[#Headers],0)))),"")</f>
        <v/>
      </c>
      <c r="E205" s="138" t="str">
        <f>IFERROR(IF(IF(INDEX(_xlfn.VSTACK(YES_Writing_ELA[#Data],YES_Writing_FLA[#Data]),MATCH($A205,_xlfn.VSTACK(YES_Writing_ELA[Student Number],YES_Writing_FLA[Student Number]),0),MATCH(VLOOKUP(E$7,'Writing Logic'!$J$7:$K$11,2,FALSE)&amp;" - Per "&amp;VLOOKUP($C$4,'Writing Logic'!$G$8:$H$14,2,FALSE),YES_Writing_ELA[#Headers],0))=0,"",INDEX(_xlfn.VSTACK(YES_Writing_ELA[#Data],YES_Writing_FLA[#Data]),MATCH($A205,_xlfn.VSTACK(YES_Writing_ELA[Student Number],YES_Writing_FLA[Student Number]),0),MATCH(VLOOKUP(E$7,'Writing Logic'!$J$7:$K$11,2,FALSE)&amp;" - Per "&amp;VLOOKUP($C$4,'Writing Logic'!$G$8:$H$14,2,FALSE),YES_Writing_ELA[#Headers],0)))="INS",'Writing Logic'!$B$7,IF(INDEX(_xlfn.VSTACK(YES_Writing_ELA[#Data],YES_Writing_FLA[#Data]),MATCH($A205,_xlfn.VSTACK(YES_Writing_ELA[Student Number],YES_Writing_FLA[Student Number]),0),MATCH(VLOOKUP(E$7,'Writing Logic'!$J$7:$K$11,2,FALSE)&amp;" - Per "&amp;VLOOKUP($C$4,'Writing Logic'!$G$8:$H$14,2,FALSE),YES_Writing_ELA[#Headers],0))=0,"",INDEX(_xlfn.VSTACK(YES_Writing_ELA[#Data],YES_Writing_FLA[#Data]),MATCH($A205,_xlfn.VSTACK(YES_Writing_ELA[Student Number],YES_Writing_FLA[Student Number]),0),MATCH(VLOOKUP(E$7,'Writing Logic'!$J$7:$K$11,2,FALSE)&amp;" - Per "&amp;VLOOKUP($C$4,'Writing Logic'!$G$8:$H$14,2,FALSE),YES_Writing_ELA[#Headers],0)))),"")</f>
        <v/>
      </c>
      <c r="F205" s="138" t="str">
        <f>IFERROR(IF(IF(INDEX(_xlfn.VSTACK(YES_Writing_ELA[#Data],YES_Writing_FLA[#Data]),MATCH($A205,_xlfn.VSTACK(YES_Writing_ELA[Student Number],YES_Writing_FLA[Student Number]),0),MATCH(VLOOKUP(F$7,'Writing Logic'!$J$7:$K$11,2,FALSE)&amp;" - Per "&amp;VLOOKUP($C$4,'Writing Logic'!$G$8:$H$14,2,FALSE),YES_Writing_ELA[#Headers],0))=0,"",INDEX(_xlfn.VSTACK(YES_Writing_ELA[#Data],YES_Writing_FLA[#Data]),MATCH($A205,_xlfn.VSTACK(YES_Writing_ELA[Student Number],YES_Writing_FLA[Student Number]),0),MATCH(VLOOKUP(F$7,'Writing Logic'!$J$7:$K$11,2,FALSE)&amp;" - Per "&amp;VLOOKUP($C$4,'Writing Logic'!$G$8:$H$14,2,FALSE),YES_Writing_ELA[#Headers],0)))="INS",'Writing Logic'!$B$7,IF(INDEX(_xlfn.VSTACK(YES_Writing_ELA[#Data],YES_Writing_FLA[#Data]),MATCH($A205,_xlfn.VSTACK(YES_Writing_ELA[Student Number],YES_Writing_FLA[Student Number]),0),MATCH(VLOOKUP(F$7,'Writing Logic'!$J$7:$K$11,2,FALSE)&amp;" - Per "&amp;VLOOKUP($C$4,'Writing Logic'!$G$8:$H$14,2,FALSE),YES_Writing_ELA[#Headers],0))=0,"",INDEX(_xlfn.VSTACK(YES_Writing_ELA[#Data],YES_Writing_FLA[#Data]),MATCH($A205,_xlfn.VSTACK(YES_Writing_ELA[Student Number],YES_Writing_FLA[Student Number]),0),MATCH(VLOOKUP(F$7,'Writing Logic'!$J$7:$K$11,2,FALSE)&amp;" - Per "&amp;VLOOKUP($C$4,'Writing Logic'!$G$8:$H$14,2,FALSE),YES_Writing_ELA[#Headers],0)))),"")</f>
        <v/>
      </c>
      <c r="G205" s="138" t="str">
        <f>IFERROR(IF(IF(INDEX(_xlfn.VSTACK(YES_Writing_ELA[#Data],YES_Writing_FLA[#Data]),MATCH($A205,_xlfn.VSTACK(YES_Writing_ELA[Student Number],YES_Writing_FLA[Student Number]),0),MATCH(VLOOKUP(G$7,'Writing Logic'!$J$7:$K$11,2,FALSE)&amp;" - Per "&amp;VLOOKUP($C$4,'Writing Logic'!$G$8:$H$14,2,FALSE),YES_Writing_ELA[#Headers],0))=0,"",INDEX(_xlfn.VSTACK(YES_Writing_ELA[#Data],YES_Writing_FLA[#Data]),MATCH($A205,_xlfn.VSTACK(YES_Writing_ELA[Student Number],YES_Writing_FLA[Student Number]),0),MATCH(VLOOKUP(G$7,'Writing Logic'!$J$7:$K$11,2,FALSE)&amp;" - Per "&amp;VLOOKUP($C$4,'Writing Logic'!$G$8:$H$14,2,FALSE),YES_Writing_ELA[#Headers],0)))="INS",'Writing Logic'!$B$7,IF(INDEX(_xlfn.VSTACK(YES_Writing_ELA[#Data],YES_Writing_FLA[#Data]),MATCH($A205,_xlfn.VSTACK(YES_Writing_ELA[Student Number],YES_Writing_FLA[Student Number]),0),MATCH(VLOOKUP(G$7,'Writing Logic'!$J$7:$K$11,2,FALSE)&amp;" - Per "&amp;VLOOKUP($C$4,'Writing Logic'!$G$8:$H$14,2,FALSE),YES_Writing_ELA[#Headers],0))=0,"",INDEX(_xlfn.VSTACK(YES_Writing_ELA[#Data],YES_Writing_FLA[#Data]),MATCH($A205,_xlfn.VSTACK(YES_Writing_ELA[Student Number],YES_Writing_FLA[Student Number]),0),MATCH(VLOOKUP(G$7,'Writing Logic'!$J$7:$K$11,2,FALSE)&amp;" - Per "&amp;VLOOKUP($C$4,'Writing Logic'!$G$8:$H$14,2,FALSE),YES_Writing_ELA[#Headers],0)))),"")</f>
        <v/>
      </c>
      <c r="H205" s="223" t="str">
        <f>IFERROR(IF(IF(INDEX(_xlfn.VSTACK(YES_Writing_ELA[#Data],YES_Writing_FLA[#Data]),MATCH($A205,_xlfn.VSTACK(YES_Writing_ELA[Student Number],YES_Writing_FLA[Student Number]),0),MATCH(VLOOKUP(H$7,'Writing Logic'!$J$7:$K$11,2,FALSE)&amp;" - Per "&amp;VLOOKUP($C$4,'Writing Logic'!$G$8:$H$14,2,FALSE),YES_Writing_ELA[#Headers],0))=0,"",INDEX(_xlfn.VSTACK(YES_Writing_ELA[#Data],YES_Writing_FLA[#Data]),MATCH($A205,_xlfn.VSTACK(YES_Writing_ELA[Student Number],YES_Writing_FLA[Student Number]),0),MATCH(VLOOKUP(H$7,'Writing Logic'!$J$7:$K$11,2,FALSE)&amp;" - Per "&amp;VLOOKUP($C$4,'Writing Logic'!$G$8:$H$14,2,FALSE),YES_Writing_ELA[#Headers],0)))="INS",'Writing Logic'!$B$7,IF(INDEX(_xlfn.VSTACK(YES_Writing_ELA[#Data],YES_Writing_FLA[#Data]),MATCH($A205,_xlfn.VSTACK(YES_Writing_ELA[Student Number],YES_Writing_FLA[Student Number]),0),MATCH(VLOOKUP(H$7,'Writing Logic'!$J$7:$K$11,2,FALSE)&amp;" - Per "&amp;VLOOKUP($C$4,'Writing Logic'!$G$8:$H$14,2,FALSE),YES_Writing_ELA[#Headers],0))=0,"",INDEX(_xlfn.VSTACK(YES_Writing_ELA[#Data],YES_Writing_FLA[#Data]),MATCH($A205,_xlfn.VSTACK(YES_Writing_ELA[Student Number],YES_Writing_FLA[Student Number]),0),MATCH(VLOOKUP(H$7,'Writing Logic'!$J$7:$K$11,2,FALSE)&amp;" - Per "&amp;VLOOKUP($C$4,'Writing Logic'!$G$8:$H$14,2,FALSE),YES_Writing_ELA[#Headers],0)))),"")</f>
        <v/>
      </c>
      <c r="I205" s="224" t="str" cm="1">
        <f t="array" aca="1" ref="I205" ca="1">IFERROR(
IF($G$3="ELA",
IF(VLOOKUP($A205, YES_Reading_ELA[], COLUMN(INDIRECT("YES_Reading_ELA[Difference - Per "&amp;VLOOKUP($G$4, 'Reading Report Logic'!$A$2:$B$8, 2, FALSE)&amp;"]")), FALSE)="", "",
VLOOKUP($A205,YES_Reading_ELA[], COLUMN(INDIRECT("YES_Reading_ELA[Difference - Per "&amp;VLOOKUP($G$4,'Reading Report Logic'!$A$2:$B$8,2,FALSE)&amp;"]")), FALSE)),
IF($G$3="FLA",
IF(VLOOKUP($A205, YES_Reading_FLA[], COLUMN(INDIRECT("YES_Reading_FLA[Difference - Per "&amp;VLOOKUP($G$4,'Reading Report Logic'!$A$2:$B$8,2,FALSE)&amp;"]")),FALSE)="","",
VLOOKUP($A205,YES_Reading_FLA[],COLUMN(INDIRECT("YES_Reading_FLA[Difference - Per "&amp;VLOOKUP($G$4,'Reading Report Logic'!$A$2:$B$8,2,FALSE)&amp;"]")),FALSE)),
IF($G$3="Combined",
IFERROR(
IF(VLOOKUP($A205, YES_Reading_ELA[], COLUMN(INDIRECT("YES_Reading_ELA[Difference - Per "&amp;VLOOKUP($G$4, 'Reading Report Logic'!$A$2:$B$8,2,FALSE)&amp;"]")), FALSE)="", "",
VLOOKUP($A205,YES_Reading_ELA[],COLUMN(INDIRECT("YES_Reading_ELA[Difference - Per "&amp;VLOOKUP($G$4,'Reading Report Logic'!$A$2:$B$8,2,FALSE)&amp;"]")),FALSE)),
IF(VLOOKUP($A205, YES_Reading_FLA[], COLUMN(INDIRECT("YES_Reading_FLA[Difference - Per "&amp;VLOOKUP($G$4, 'Reading Report Logic'!$A$2:$B$8, 2, FALSE)&amp;"]")),FALSE)="", "", VLOOKUP($A205,YES_Reading_FLA[],COLUMN(INDIRECT("YES_Reading_FLA[Difference - Per "&amp;VLOOKUP($G$4, 'Reading Report Logic'!$A$2:$B$8, 2, FALSE)&amp;"]")),FALSE))),""))),"")</f>
        <v/>
      </c>
    </row>
    <row r="206" spans="1:9" ht="14.25" customHeight="1" x14ac:dyDescent="0.25">
      <c r="A206" s="137"/>
      <c r="B206" s="137" t="str">
        <f>IFERROR(INDEX(_xlfn.VSTACK(YES_Writing_ELA[#Data], YES_Writing_FLA[#Data]),MATCH($A206,_xlfn.VSTACK(YES_Writing_ELA[Student Number], YES_Writing_FLA[Student Number]),0),MATCH(B$7,YES_Writing_ELA[#Headers],0)),IFERROR(INDEX(_xlfn.VSTACK(YES_Reading_ELA[#Data], YES_Reading_FLA[#Data]),MATCH($A206,_xlfn.VSTACK(YES_Reading_ELA[Student Number], YES_Reading_FLA[Student Number]),0),MATCH(B$7,YES_Reading_ELA[#Headers],0)),""))</f>
        <v/>
      </c>
      <c r="C206" s="137" t="str">
        <f>IFERROR(INDEX(_xlfn.VSTACK(YES_Writing_ELA[#Data], YES_Writing_FLA[#Data]),MATCH($A206,_xlfn.VSTACK(YES_Writing_ELA[Student Number], YES_Writing_FLA[Student Number]),0),MATCH(C$7,YES_Writing_ELA[#Headers],0)),IFERROR(INDEX(_xlfn.VSTACK(YES_Reading_ELA[#Data], YES_Reading_FLA[#Data]),MATCH($A206,_xlfn.VSTACK(YES_Reading_ELA[Student Number], YES_Reading_FLA[Student Number]),0),MATCH(C$7,YES_Reading_ELA[#Headers],0)),""))</f>
        <v/>
      </c>
      <c r="D206" s="138" t="str">
        <f>IFERROR(IF(IF(INDEX(_xlfn.VSTACK(YES_Writing_ELA[#Data],YES_Writing_FLA[#Data]),MATCH($A206,_xlfn.VSTACK(YES_Writing_ELA[Student Number],YES_Writing_FLA[Student Number]),0),MATCH(VLOOKUP(D$7,'Writing Logic'!$J$7:$K$11,2,FALSE)&amp;" - Per "&amp;VLOOKUP($C$4,'Writing Logic'!$G$8:$H$14,2,FALSE),YES_Writing_ELA[#Headers],0))=0,"",INDEX(_xlfn.VSTACK(YES_Writing_ELA[#Data],YES_Writing_FLA[#Data]),MATCH($A206,_xlfn.VSTACK(YES_Writing_ELA[Student Number],YES_Writing_FLA[Student Number]),0),MATCH(VLOOKUP(D$7,'Writing Logic'!$J$7:$K$11,2,FALSE)&amp;" - Per "&amp;VLOOKUP($C$4,'Writing Logic'!$G$8:$H$14,2,FALSE),YES_Writing_ELA[#Headers],0)))="INS",'Writing Logic'!$B$7,IF(INDEX(_xlfn.VSTACK(YES_Writing_ELA[#Data],YES_Writing_FLA[#Data]),MATCH($A206,_xlfn.VSTACK(YES_Writing_ELA[Student Number],YES_Writing_FLA[Student Number]),0),MATCH(VLOOKUP(D$7,'Writing Logic'!$J$7:$K$11,2,FALSE)&amp;" - Per "&amp;VLOOKUP($C$4,'Writing Logic'!$G$8:$H$14,2,FALSE),YES_Writing_ELA[#Headers],0))=0,"",INDEX(_xlfn.VSTACK(YES_Writing_ELA[#Data],YES_Writing_FLA[#Data]),MATCH($A206,_xlfn.VSTACK(YES_Writing_ELA[Student Number],YES_Writing_FLA[Student Number]),0),MATCH(VLOOKUP(D$7,'Writing Logic'!$J$7:$K$11,2,FALSE)&amp;" - Per "&amp;VLOOKUP($C$4,'Writing Logic'!$G$8:$H$14,2,FALSE),YES_Writing_ELA[#Headers],0)))),"")</f>
        <v/>
      </c>
      <c r="E206" s="138" t="str">
        <f>IFERROR(IF(IF(INDEX(_xlfn.VSTACK(YES_Writing_ELA[#Data],YES_Writing_FLA[#Data]),MATCH($A206,_xlfn.VSTACK(YES_Writing_ELA[Student Number],YES_Writing_FLA[Student Number]),0),MATCH(VLOOKUP(E$7,'Writing Logic'!$J$7:$K$11,2,FALSE)&amp;" - Per "&amp;VLOOKUP($C$4,'Writing Logic'!$G$8:$H$14,2,FALSE),YES_Writing_ELA[#Headers],0))=0,"",INDEX(_xlfn.VSTACK(YES_Writing_ELA[#Data],YES_Writing_FLA[#Data]),MATCH($A206,_xlfn.VSTACK(YES_Writing_ELA[Student Number],YES_Writing_FLA[Student Number]),0),MATCH(VLOOKUP(E$7,'Writing Logic'!$J$7:$K$11,2,FALSE)&amp;" - Per "&amp;VLOOKUP($C$4,'Writing Logic'!$G$8:$H$14,2,FALSE),YES_Writing_ELA[#Headers],0)))="INS",'Writing Logic'!$B$7,IF(INDEX(_xlfn.VSTACK(YES_Writing_ELA[#Data],YES_Writing_FLA[#Data]),MATCH($A206,_xlfn.VSTACK(YES_Writing_ELA[Student Number],YES_Writing_FLA[Student Number]),0),MATCH(VLOOKUP(E$7,'Writing Logic'!$J$7:$K$11,2,FALSE)&amp;" - Per "&amp;VLOOKUP($C$4,'Writing Logic'!$G$8:$H$14,2,FALSE),YES_Writing_ELA[#Headers],0))=0,"",INDEX(_xlfn.VSTACK(YES_Writing_ELA[#Data],YES_Writing_FLA[#Data]),MATCH($A206,_xlfn.VSTACK(YES_Writing_ELA[Student Number],YES_Writing_FLA[Student Number]),0),MATCH(VLOOKUP(E$7,'Writing Logic'!$J$7:$K$11,2,FALSE)&amp;" - Per "&amp;VLOOKUP($C$4,'Writing Logic'!$G$8:$H$14,2,FALSE),YES_Writing_ELA[#Headers],0)))),"")</f>
        <v/>
      </c>
      <c r="F206" s="138" t="str">
        <f>IFERROR(IF(IF(INDEX(_xlfn.VSTACK(YES_Writing_ELA[#Data],YES_Writing_FLA[#Data]),MATCH($A206,_xlfn.VSTACK(YES_Writing_ELA[Student Number],YES_Writing_FLA[Student Number]),0),MATCH(VLOOKUP(F$7,'Writing Logic'!$J$7:$K$11,2,FALSE)&amp;" - Per "&amp;VLOOKUP($C$4,'Writing Logic'!$G$8:$H$14,2,FALSE),YES_Writing_ELA[#Headers],0))=0,"",INDEX(_xlfn.VSTACK(YES_Writing_ELA[#Data],YES_Writing_FLA[#Data]),MATCH($A206,_xlfn.VSTACK(YES_Writing_ELA[Student Number],YES_Writing_FLA[Student Number]),0),MATCH(VLOOKUP(F$7,'Writing Logic'!$J$7:$K$11,2,FALSE)&amp;" - Per "&amp;VLOOKUP($C$4,'Writing Logic'!$G$8:$H$14,2,FALSE),YES_Writing_ELA[#Headers],0)))="INS",'Writing Logic'!$B$7,IF(INDEX(_xlfn.VSTACK(YES_Writing_ELA[#Data],YES_Writing_FLA[#Data]),MATCH($A206,_xlfn.VSTACK(YES_Writing_ELA[Student Number],YES_Writing_FLA[Student Number]),0),MATCH(VLOOKUP(F$7,'Writing Logic'!$J$7:$K$11,2,FALSE)&amp;" - Per "&amp;VLOOKUP($C$4,'Writing Logic'!$G$8:$H$14,2,FALSE),YES_Writing_ELA[#Headers],0))=0,"",INDEX(_xlfn.VSTACK(YES_Writing_ELA[#Data],YES_Writing_FLA[#Data]),MATCH($A206,_xlfn.VSTACK(YES_Writing_ELA[Student Number],YES_Writing_FLA[Student Number]),0),MATCH(VLOOKUP(F$7,'Writing Logic'!$J$7:$K$11,2,FALSE)&amp;" - Per "&amp;VLOOKUP($C$4,'Writing Logic'!$G$8:$H$14,2,FALSE),YES_Writing_ELA[#Headers],0)))),"")</f>
        <v/>
      </c>
      <c r="G206" s="138" t="str">
        <f>IFERROR(IF(IF(INDEX(_xlfn.VSTACK(YES_Writing_ELA[#Data],YES_Writing_FLA[#Data]),MATCH($A206,_xlfn.VSTACK(YES_Writing_ELA[Student Number],YES_Writing_FLA[Student Number]),0),MATCH(VLOOKUP(G$7,'Writing Logic'!$J$7:$K$11,2,FALSE)&amp;" - Per "&amp;VLOOKUP($C$4,'Writing Logic'!$G$8:$H$14,2,FALSE),YES_Writing_ELA[#Headers],0))=0,"",INDEX(_xlfn.VSTACK(YES_Writing_ELA[#Data],YES_Writing_FLA[#Data]),MATCH($A206,_xlfn.VSTACK(YES_Writing_ELA[Student Number],YES_Writing_FLA[Student Number]),0),MATCH(VLOOKUP(G$7,'Writing Logic'!$J$7:$K$11,2,FALSE)&amp;" - Per "&amp;VLOOKUP($C$4,'Writing Logic'!$G$8:$H$14,2,FALSE),YES_Writing_ELA[#Headers],0)))="INS",'Writing Logic'!$B$7,IF(INDEX(_xlfn.VSTACK(YES_Writing_ELA[#Data],YES_Writing_FLA[#Data]),MATCH($A206,_xlfn.VSTACK(YES_Writing_ELA[Student Number],YES_Writing_FLA[Student Number]),0),MATCH(VLOOKUP(G$7,'Writing Logic'!$J$7:$K$11,2,FALSE)&amp;" - Per "&amp;VLOOKUP($C$4,'Writing Logic'!$G$8:$H$14,2,FALSE),YES_Writing_ELA[#Headers],0))=0,"",INDEX(_xlfn.VSTACK(YES_Writing_ELA[#Data],YES_Writing_FLA[#Data]),MATCH($A206,_xlfn.VSTACK(YES_Writing_ELA[Student Number],YES_Writing_FLA[Student Number]),0),MATCH(VLOOKUP(G$7,'Writing Logic'!$J$7:$K$11,2,FALSE)&amp;" - Per "&amp;VLOOKUP($C$4,'Writing Logic'!$G$8:$H$14,2,FALSE),YES_Writing_ELA[#Headers],0)))),"")</f>
        <v/>
      </c>
      <c r="H206" s="223" t="str">
        <f>IFERROR(IF(IF(INDEX(_xlfn.VSTACK(YES_Writing_ELA[#Data],YES_Writing_FLA[#Data]),MATCH($A206,_xlfn.VSTACK(YES_Writing_ELA[Student Number],YES_Writing_FLA[Student Number]),0),MATCH(VLOOKUP(H$7,'Writing Logic'!$J$7:$K$11,2,FALSE)&amp;" - Per "&amp;VLOOKUP($C$4,'Writing Logic'!$G$8:$H$14,2,FALSE),YES_Writing_ELA[#Headers],0))=0,"",INDEX(_xlfn.VSTACK(YES_Writing_ELA[#Data],YES_Writing_FLA[#Data]),MATCH($A206,_xlfn.VSTACK(YES_Writing_ELA[Student Number],YES_Writing_FLA[Student Number]),0),MATCH(VLOOKUP(H$7,'Writing Logic'!$J$7:$K$11,2,FALSE)&amp;" - Per "&amp;VLOOKUP($C$4,'Writing Logic'!$G$8:$H$14,2,FALSE),YES_Writing_ELA[#Headers],0)))="INS",'Writing Logic'!$B$7,IF(INDEX(_xlfn.VSTACK(YES_Writing_ELA[#Data],YES_Writing_FLA[#Data]),MATCH($A206,_xlfn.VSTACK(YES_Writing_ELA[Student Number],YES_Writing_FLA[Student Number]),0),MATCH(VLOOKUP(H$7,'Writing Logic'!$J$7:$K$11,2,FALSE)&amp;" - Per "&amp;VLOOKUP($C$4,'Writing Logic'!$G$8:$H$14,2,FALSE),YES_Writing_ELA[#Headers],0))=0,"",INDEX(_xlfn.VSTACK(YES_Writing_ELA[#Data],YES_Writing_FLA[#Data]),MATCH($A206,_xlfn.VSTACK(YES_Writing_ELA[Student Number],YES_Writing_FLA[Student Number]),0),MATCH(VLOOKUP(H$7,'Writing Logic'!$J$7:$K$11,2,FALSE)&amp;" - Per "&amp;VLOOKUP($C$4,'Writing Logic'!$G$8:$H$14,2,FALSE),YES_Writing_ELA[#Headers],0)))),"")</f>
        <v/>
      </c>
      <c r="I206" s="224" t="str" cm="1">
        <f t="array" aca="1" ref="I206" ca="1">IFERROR(
IF($G$3="ELA",
IF(VLOOKUP($A206, YES_Reading_ELA[], COLUMN(INDIRECT("YES_Reading_ELA[Difference - Per "&amp;VLOOKUP($G$4, 'Reading Report Logic'!$A$2:$B$8, 2, FALSE)&amp;"]")), FALSE)="", "",
VLOOKUP($A206,YES_Reading_ELA[], COLUMN(INDIRECT("YES_Reading_ELA[Difference - Per "&amp;VLOOKUP($G$4,'Reading Report Logic'!$A$2:$B$8,2,FALSE)&amp;"]")), FALSE)),
IF($G$3="FLA",
IF(VLOOKUP($A206, YES_Reading_FLA[], COLUMN(INDIRECT("YES_Reading_FLA[Difference - Per "&amp;VLOOKUP($G$4,'Reading Report Logic'!$A$2:$B$8,2,FALSE)&amp;"]")),FALSE)="","",
VLOOKUP($A206,YES_Reading_FLA[],COLUMN(INDIRECT("YES_Reading_FLA[Difference - Per "&amp;VLOOKUP($G$4,'Reading Report Logic'!$A$2:$B$8,2,FALSE)&amp;"]")),FALSE)),
IF($G$3="Combined",
IFERROR(
IF(VLOOKUP($A206, YES_Reading_ELA[], COLUMN(INDIRECT("YES_Reading_ELA[Difference - Per "&amp;VLOOKUP($G$4, 'Reading Report Logic'!$A$2:$B$8,2,FALSE)&amp;"]")), FALSE)="", "",
VLOOKUP($A206,YES_Reading_ELA[],COLUMN(INDIRECT("YES_Reading_ELA[Difference - Per "&amp;VLOOKUP($G$4,'Reading Report Logic'!$A$2:$B$8,2,FALSE)&amp;"]")),FALSE)),
IF(VLOOKUP($A206, YES_Reading_FLA[], COLUMN(INDIRECT("YES_Reading_FLA[Difference - Per "&amp;VLOOKUP($G$4, 'Reading Report Logic'!$A$2:$B$8, 2, FALSE)&amp;"]")),FALSE)="", "", VLOOKUP($A206,YES_Reading_FLA[],COLUMN(INDIRECT("YES_Reading_FLA[Difference - Per "&amp;VLOOKUP($G$4, 'Reading Report Logic'!$A$2:$B$8, 2, FALSE)&amp;"]")),FALSE))),""))),"")</f>
        <v/>
      </c>
    </row>
    <row r="207" spans="1:9" ht="14.25" customHeight="1" x14ac:dyDescent="0.25">
      <c r="A207" s="137"/>
      <c r="B207" s="137" t="str">
        <f>IFERROR(INDEX(_xlfn.VSTACK(YES_Writing_ELA[#Data], YES_Writing_FLA[#Data]),MATCH($A207,_xlfn.VSTACK(YES_Writing_ELA[Student Number], YES_Writing_FLA[Student Number]),0),MATCH(B$7,YES_Writing_ELA[#Headers],0)),IFERROR(INDEX(_xlfn.VSTACK(YES_Reading_ELA[#Data], YES_Reading_FLA[#Data]),MATCH($A207,_xlfn.VSTACK(YES_Reading_ELA[Student Number], YES_Reading_FLA[Student Number]),0),MATCH(B$7,YES_Reading_ELA[#Headers],0)),""))</f>
        <v/>
      </c>
      <c r="C207" s="137" t="str">
        <f>IFERROR(INDEX(_xlfn.VSTACK(YES_Writing_ELA[#Data], YES_Writing_FLA[#Data]),MATCH($A207,_xlfn.VSTACK(YES_Writing_ELA[Student Number], YES_Writing_FLA[Student Number]),0),MATCH(C$7,YES_Writing_ELA[#Headers],0)),IFERROR(INDEX(_xlfn.VSTACK(YES_Reading_ELA[#Data], YES_Reading_FLA[#Data]),MATCH($A207,_xlfn.VSTACK(YES_Reading_ELA[Student Number], YES_Reading_FLA[Student Number]),0),MATCH(C$7,YES_Reading_ELA[#Headers],0)),""))</f>
        <v/>
      </c>
      <c r="D207" s="138" t="str">
        <f>IFERROR(IF(IF(INDEX(_xlfn.VSTACK(YES_Writing_ELA[#Data],YES_Writing_FLA[#Data]),MATCH($A207,_xlfn.VSTACK(YES_Writing_ELA[Student Number],YES_Writing_FLA[Student Number]),0),MATCH(VLOOKUP(D$7,'Writing Logic'!$J$7:$K$11,2,FALSE)&amp;" - Per "&amp;VLOOKUP($C$4,'Writing Logic'!$G$8:$H$14,2,FALSE),YES_Writing_ELA[#Headers],0))=0,"",INDEX(_xlfn.VSTACK(YES_Writing_ELA[#Data],YES_Writing_FLA[#Data]),MATCH($A207,_xlfn.VSTACK(YES_Writing_ELA[Student Number],YES_Writing_FLA[Student Number]),0),MATCH(VLOOKUP(D$7,'Writing Logic'!$J$7:$K$11,2,FALSE)&amp;" - Per "&amp;VLOOKUP($C$4,'Writing Logic'!$G$8:$H$14,2,FALSE),YES_Writing_ELA[#Headers],0)))="INS",'Writing Logic'!$B$7,IF(INDEX(_xlfn.VSTACK(YES_Writing_ELA[#Data],YES_Writing_FLA[#Data]),MATCH($A207,_xlfn.VSTACK(YES_Writing_ELA[Student Number],YES_Writing_FLA[Student Number]),0),MATCH(VLOOKUP(D$7,'Writing Logic'!$J$7:$K$11,2,FALSE)&amp;" - Per "&amp;VLOOKUP($C$4,'Writing Logic'!$G$8:$H$14,2,FALSE),YES_Writing_ELA[#Headers],0))=0,"",INDEX(_xlfn.VSTACK(YES_Writing_ELA[#Data],YES_Writing_FLA[#Data]),MATCH($A207,_xlfn.VSTACK(YES_Writing_ELA[Student Number],YES_Writing_FLA[Student Number]),0),MATCH(VLOOKUP(D$7,'Writing Logic'!$J$7:$K$11,2,FALSE)&amp;" - Per "&amp;VLOOKUP($C$4,'Writing Logic'!$G$8:$H$14,2,FALSE),YES_Writing_ELA[#Headers],0)))),"")</f>
        <v/>
      </c>
      <c r="E207" s="138" t="str">
        <f>IFERROR(IF(IF(INDEX(_xlfn.VSTACK(YES_Writing_ELA[#Data],YES_Writing_FLA[#Data]),MATCH($A207,_xlfn.VSTACK(YES_Writing_ELA[Student Number],YES_Writing_FLA[Student Number]),0),MATCH(VLOOKUP(E$7,'Writing Logic'!$J$7:$K$11,2,FALSE)&amp;" - Per "&amp;VLOOKUP($C$4,'Writing Logic'!$G$8:$H$14,2,FALSE),YES_Writing_ELA[#Headers],0))=0,"",INDEX(_xlfn.VSTACK(YES_Writing_ELA[#Data],YES_Writing_FLA[#Data]),MATCH($A207,_xlfn.VSTACK(YES_Writing_ELA[Student Number],YES_Writing_FLA[Student Number]),0),MATCH(VLOOKUP(E$7,'Writing Logic'!$J$7:$K$11,2,FALSE)&amp;" - Per "&amp;VLOOKUP($C$4,'Writing Logic'!$G$8:$H$14,2,FALSE),YES_Writing_ELA[#Headers],0)))="INS",'Writing Logic'!$B$7,IF(INDEX(_xlfn.VSTACK(YES_Writing_ELA[#Data],YES_Writing_FLA[#Data]),MATCH($A207,_xlfn.VSTACK(YES_Writing_ELA[Student Number],YES_Writing_FLA[Student Number]),0),MATCH(VLOOKUP(E$7,'Writing Logic'!$J$7:$K$11,2,FALSE)&amp;" - Per "&amp;VLOOKUP($C$4,'Writing Logic'!$G$8:$H$14,2,FALSE),YES_Writing_ELA[#Headers],0))=0,"",INDEX(_xlfn.VSTACK(YES_Writing_ELA[#Data],YES_Writing_FLA[#Data]),MATCH($A207,_xlfn.VSTACK(YES_Writing_ELA[Student Number],YES_Writing_FLA[Student Number]),0),MATCH(VLOOKUP(E$7,'Writing Logic'!$J$7:$K$11,2,FALSE)&amp;" - Per "&amp;VLOOKUP($C$4,'Writing Logic'!$G$8:$H$14,2,FALSE),YES_Writing_ELA[#Headers],0)))),"")</f>
        <v/>
      </c>
      <c r="F207" s="138" t="str">
        <f>IFERROR(IF(IF(INDEX(_xlfn.VSTACK(YES_Writing_ELA[#Data],YES_Writing_FLA[#Data]),MATCH($A207,_xlfn.VSTACK(YES_Writing_ELA[Student Number],YES_Writing_FLA[Student Number]),0),MATCH(VLOOKUP(F$7,'Writing Logic'!$J$7:$K$11,2,FALSE)&amp;" - Per "&amp;VLOOKUP($C$4,'Writing Logic'!$G$8:$H$14,2,FALSE),YES_Writing_ELA[#Headers],0))=0,"",INDEX(_xlfn.VSTACK(YES_Writing_ELA[#Data],YES_Writing_FLA[#Data]),MATCH($A207,_xlfn.VSTACK(YES_Writing_ELA[Student Number],YES_Writing_FLA[Student Number]),0),MATCH(VLOOKUP(F$7,'Writing Logic'!$J$7:$K$11,2,FALSE)&amp;" - Per "&amp;VLOOKUP($C$4,'Writing Logic'!$G$8:$H$14,2,FALSE),YES_Writing_ELA[#Headers],0)))="INS",'Writing Logic'!$B$7,IF(INDEX(_xlfn.VSTACK(YES_Writing_ELA[#Data],YES_Writing_FLA[#Data]),MATCH($A207,_xlfn.VSTACK(YES_Writing_ELA[Student Number],YES_Writing_FLA[Student Number]),0),MATCH(VLOOKUP(F$7,'Writing Logic'!$J$7:$K$11,2,FALSE)&amp;" - Per "&amp;VLOOKUP($C$4,'Writing Logic'!$G$8:$H$14,2,FALSE),YES_Writing_ELA[#Headers],0))=0,"",INDEX(_xlfn.VSTACK(YES_Writing_ELA[#Data],YES_Writing_FLA[#Data]),MATCH($A207,_xlfn.VSTACK(YES_Writing_ELA[Student Number],YES_Writing_FLA[Student Number]),0),MATCH(VLOOKUP(F$7,'Writing Logic'!$J$7:$K$11,2,FALSE)&amp;" - Per "&amp;VLOOKUP($C$4,'Writing Logic'!$G$8:$H$14,2,FALSE),YES_Writing_ELA[#Headers],0)))),"")</f>
        <v/>
      </c>
      <c r="G207" s="138" t="str">
        <f>IFERROR(IF(IF(INDEX(_xlfn.VSTACK(YES_Writing_ELA[#Data],YES_Writing_FLA[#Data]),MATCH($A207,_xlfn.VSTACK(YES_Writing_ELA[Student Number],YES_Writing_FLA[Student Number]),0),MATCH(VLOOKUP(G$7,'Writing Logic'!$J$7:$K$11,2,FALSE)&amp;" - Per "&amp;VLOOKUP($C$4,'Writing Logic'!$G$8:$H$14,2,FALSE),YES_Writing_ELA[#Headers],0))=0,"",INDEX(_xlfn.VSTACK(YES_Writing_ELA[#Data],YES_Writing_FLA[#Data]),MATCH($A207,_xlfn.VSTACK(YES_Writing_ELA[Student Number],YES_Writing_FLA[Student Number]),0),MATCH(VLOOKUP(G$7,'Writing Logic'!$J$7:$K$11,2,FALSE)&amp;" - Per "&amp;VLOOKUP($C$4,'Writing Logic'!$G$8:$H$14,2,FALSE),YES_Writing_ELA[#Headers],0)))="INS",'Writing Logic'!$B$7,IF(INDEX(_xlfn.VSTACK(YES_Writing_ELA[#Data],YES_Writing_FLA[#Data]),MATCH($A207,_xlfn.VSTACK(YES_Writing_ELA[Student Number],YES_Writing_FLA[Student Number]),0),MATCH(VLOOKUP(G$7,'Writing Logic'!$J$7:$K$11,2,FALSE)&amp;" - Per "&amp;VLOOKUP($C$4,'Writing Logic'!$G$8:$H$14,2,FALSE),YES_Writing_ELA[#Headers],0))=0,"",INDEX(_xlfn.VSTACK(YES_Writing_ELA[#Data],YES_Writing_FLA[#Data]),MATCH($A207,_xlfn.VSTACK(YES_Writing_ELA[Student Number],YES_Writing_FLA[Student Number]),0),MATCH(VLOOKUP(G$7,'Writing Logic'!$J$7:$K$11,2,FALSE)&amp;" - Per "&amp;VLOOKUP($C$4,'Writing Logic'!$G$8:$H$14,2,FALSE),YES_Writing_ELA[#Headers],0)))),"")</f>
        <v/>
      </c>
      <c r="H207" s="223" t="str">
        <f>IFERROR(IF(IF(INDEX(_xlfn.VSTACK(YES_Writing_ELA[#Data],YES_Writing_FLA[#Data]),MATCH($A207,_xlfn.VSTACK(YES_Writing_ELA[Student Number],YES_Writing_FLA[Student Number]),0),MATCH(VLOOKUP(H$7,'Writing Logic'!$J$7:$K$11,2,FALSE)&amp;" - Per "&amp;VLOOKUP($C$4,'Writing Logic'!$G$8:$H$14,2,FALSE),YES_Writing_ELA[#Headers],0))=0,"",INDEX(_xlfn.VSTACK(YES_Writing_ELA[#Data],YES_Writing_FLA[#Data]),MATCH($A207,_xlfn.VSTACK(YES_Writing_ELA[Student Number],YES_Writing_FLA[Student Number]),0),MATCH(VLOOKUP(H$7,'Writing Logic'!$J$7:$K$11,2,FALSE)&amp;" - Per "&amp;VLOOKUP($C$4,'Writing Logic'!$G$8:$H$14,2,FALSE),YES_Writing_ELA[#Headers],0)))="INS",'Writing Logic'!$B$7,IF(INDEX(_xlfn.VSTACK(YES_Writing_ELA[#Data],YES_Writing_FLA[#Data]),MATCH($A207,_xlfn.VSTACK(YES_Writing_ELA[Student Number],YES_Writing_FLA[Student Number]),0),MATCH(VLOOKUP(H$7,'Writing Logic'!$J$7:$K$11,2,FALSE)&amp;" - Per "&amp;VLOOKUP($C$4,'Writing Logic'!$G$8:$H$14,2,FALSE),YES_Writing_ELA[#Headers],0))=0,"",INDEX(_xlfn.VSTACK(YES_Writing_ELA[#Data],YES_Writing_FLA[#Data]),MATCH($A207,_xlfn.VSTACK(YES_Writing_ELA[Student Number],YES_Writing_FLA[Student Number]),0),MATCH(VLOOKUP(H$7,'Writing Logic'!$J$7:$K$11,2,FALSE)&amp;" - Per "&amp;VLOOKUP($C$4,'Writing Logic'!$G$8:$H$14,2,FALSE),YES_Writing_ELA[#Headers],0)))),"")</f>
        <v/>
      </c>
      <c r="I207" s="224" t="str" cm="1">
        <f t="array" aca="1" ref="I207" ca="1">IFERROR(
IF($G$3="ELA",
IF(VLOOKUP($A207, YES_Reading_ELA[], COLUMN(INDIRECT("YES_Reading_ELA[Difference - Per "&amp;VLOOKUP($G$4, 'Reading Report Logic'!$A$2:$B$8, 2, FALSE)&amp;"]")), FALSE)="", "",
VLOOKUP($A207,YES_Reading_ELA[], COLUMN(INDIRECT("YES_Reading_ELA[Difference - Per "&amp;VLOOKUP($G$4,'Reading Report Logic'!$A$2:$B$8,2,FALSE)&amp;"]")), FALSE)),
IF($G$3="FLA",
IF(VLOOKUP($A207, YES_Reading_FLA[], COLUMN(INDIRECT("YES_Reading_FLA[Difference - Per "&amp;VLOOKUP($G$4,'Reading Report Logic'!$A$2:$B$8,2,FALSE)&amp;"]")),FALSE)="","",
VLOOKUP($A207,YES_Reading_FLA[],COLUMN(INDIRECT("YES_Reading_FLA[Difference - Per "&amp;VLOOKUP($G$4,'Reading Report Logic'!$A$2:$B$8,2,FALSE)&amp;"]")),FALSE)),
IF($G$3="Combined",
IFERROR(
IF(VLOOKUP($A207, YES_Reading_ELA[], COLUMN(INDIRECT("YES_Reading_ELA[Difference - Per "&amp;VLOOKUP($G$4, 'Reading Report Logic'!$A$2:$B$8,2,FALSE)&amp;"]")), FALSE)="", "",
VLOOKUP($A207,YES_Reading_ELA[],COLUMN(INDIRECT("YES_Reading_ELA[Difference - Per "&amp;VLOOKUP($G$4,'Reading Report Logic'!$A$2:$B$8,2,FALSE)&amp;"]")),FALSE)),
IF(VLOOKUP($A207, YES_Reading_FLA[], COLUMN(INDIRECT("YES_Reading_FLA[Difference - Per "&amp;VLOOKUP($G$4, 'Reading Report Logic'!$A$2:$B$8, 2, FALSE)&amp;"]")),FALSE)="", "", VLOOKUP($A207,YES_Reading_FLA[],COLUMN(INDIRECT("YES_Reading_FLA[Difference - Per "&amp;VLOOKUP($G$4, 'Reading Report Logic'!$A$2:$B$8, 2, FALSE)&amp;"]")),FALSE))),""))),"")</f>
        <v/>
      </c>
    </row>
    <row r="208" spans="1:9" ht="14.25" customHeight="1" x14ac:dyDescent="0.25">
      <c r="A208" s="137"/>
      <c r="B208" s="137" t="str">
        <f>IFERROR(INDEX(_xlfn.VSTACK(YES_Writing_ELA[#Data], YES_Writing_FLA[#Data]),MATCH($A208,_xlfn.VSTACK(YES_Writing_ELA[Student Number], YES_Writing_FLA[Student Number]),0),MATCH(B$7,YES_Writing_ELA[#Headers],0)),IFERROR(INDEX(_xlfn.VSTACK(YES_Reading_ELA[#Data], YES_Reading_FLA[#Data]),MATCH($A208,_xlfn.VSTACK(YES_Reading_ELA[Student Number], YES_Reading_FLA[Student Number]),0),MATCH(B$7,YES_Reading_ELA[#Headers],0)),""))</f>
        <v/>
      </c>
      <c r="C208" s="137" t="str">
        <f>IFERROR(INDEX(_xlfn.VSTACK(YES_Writing_ELA[#Data], YES_Writing_FLA[#Data]),MATCH($A208,_xlfn.VSTACK(YES_Writing_ELA[Student Number], YES_Writing_FLA[Student Number]),0),MATCH(C$7,YES_Writing_ELA[#Headers],0)),IFERROR(INDEX(_xlfn.VSTACK(YES_Reading_ELA[#Data], YES_Reading_FLA[#Data]),MATCH($A208,_xlfn.VSTACK(YES_Reading_ELA[Student Number], YES_Reading_FLA[Student Number]),0),MATCH(C$7,YES_Reading_ELA[#Headers],0)),""))</f>
        <v/>
      </c>
      <c r="D208" s="138" t="str">
        <f>IFERROR(IF(IF(INDEX(_xlfn.VSTACK(YES_Writing_ELA[#Data],YES_Writing_FLA[#Data]),MATCH($A208,_xlfn.VSTACK(YES_Writing_ELA[Student Number],YES_Writing_FLA[Student Number]),0),MATCH(VLOOKUP(D$7,'Writing Logic'!$J$7:$K$11,2,FALSE)&amp;" - Per "&amp;VLOOKUP($C$4,'Writing Logic'!$G$8:$H$14,2,FALSE),YES_Writing_ELA[#Headers],0))=0,"",INDEX(_xlfn.VSTACK(YES_Writing_ELA[#Data],YES_Writing_FLA[#Data]),MATCH($A208,_xlfn.VSTACK(YES_Writing_ELA[Student Number],YES_Writing_FLA[Student Number]),0),MATCH(VLOOKUP(D$7,'Writing Logic'!$J$7:$K$11,2,FALSE)&amp;" - Per "&amp;VLOOKUP($C$4,'Writing Logic'!$G$8:$H$14,2,FALSE),YES_Writing_ELA[#Headers],0)))="INS",'Writing Logic'!$B$7,IF(INDEX(_xlfn.VSTACK(YES_Writing_ELA[#Data],YES_Writing_FLA[#Data]),MATCH($A208,_xlfn.VSTACK(YES_Writing_ELA[Student Number],YES_Writing_FLA[Student Number]),0),MATCH(VLOOKUP(D$7,'Writing Logic'!$J$7:$K$11,2,FALSE)&amp;" - Per "&amp;VLOOKUP($C$4,'Writing Logic'!$G$8:$H$14,2,FALSE),YES_Writing_ELA[#Headers],0))=0,"",INDEX(_xlfn.VSTACK(YES_Writing_ELA[#Data],YES_Writing_FLA[#Data]),MATCH($A208,_xlfn.VSTACK(YES_Writing_ELA[Student Number],YES_Writing_FLA[Student Number]),0),MATCH(VLOOKUP(D$7,'Writing Logic'!$J$7:$K$11,2,FALSE)&amp;" - Per "&amp;VLOOKUP($C$4,'Writing Logic'!$G$8:$H$14,2,FALSE),YES_Writing_ELA[#Headers],0)))),"")</f>
        <v/>
      </c>
      <c r="E208" s="138" t="str">
        <f>IFERROR(IF(IF(INDEX(_xlfn.VSTACK(YES_Writing_ELA[#Data],YES_Writing_FLA[#Data]),MATCH($A208,_xlfn.VSTACK(YES_Writing_ELA[Student Number],YES_Writing_FLA[Student Number]),0),MATCH(VLOOKUP(E$7,'Writing Logic'!$J$7:$K$11,2,FALSE)&amp;" - Per "&amp;VLOOKUP($C$4,'Writing Logic'!$G$8:$H$14,2,FALSE),YES_Writing_ELA[#Headers],0))=0,"",INDEX(_xlfn.VSTACK(YES_Writing_ELA[#Data],YES_Writing_FLA[#Data]),MATCH($A208,_xlfn.VSTACK(YES_Writing_ELA[Student Number],YES_Writing_FLA[Student Number]),0),MATCH(VLOOKUP(E$7,'Writing Logic'!$J$7:$K$11,2,FALSE)&amp;" - Per "&amp;VLOOKUP($C$4,'Writing Logic'!$G$8:$H$14,2,FALSE),YES_Writing_ELA[#Headers],0)))="INS",'Writing Logic'!$B$7,IF(INDEX(_xlfn.VSTACK(YES_Writing_ELA[#Data],YES_Writing_FLA[#Data]),MATCH($A208,_xlfn.VSTACK(YES_Writing_ELA[Student Number],YES_Writing_FLA[Student Number]),0),MATCH(VLOOKUP(E$7,'Writing Logic'!$J$7:$K$11,2,FALSE)&amp;" - Per "&amp;VLOOKUP($C$4,'Writing Logic'!$G$8:$H$14,2,FALSE),YES_Writing_ELA[#Headers],0))=0,"",INDEX(_xlfn.VSTACK(YES_Writing_ELA[#Data],YES_Writing_FLA[#Data]),MATCH($A208,_xlfn.VSTACK(YES_Writing_ELA[Student Number],YES_Writing_FLA[Student Number]),0),MATCH(VLOOKUP(E$7,'Writing Logic'!$J$7:$K$11,2,FALSE)&amp;" - Per "&amp;VLOOKUP($C$4,'Writing Logic'!$G$8:$H$14,2,FALSE),YES_Writing_ELA[#Headers],0)))),"")</f>
        <v/>
      </c>
      <c r="F208" s="138" t="str">
        <f>IFERROR(IF(IF(INDEX(_xlfn.VSTACK(YES_Writing_ELA[#Data],YES_Writing_FLA[#Data]),MATCH($A208,_xlfn.VSTACK(YES_Writing_ELA[Student Number],YES_Writing_FLA[Student Number]),0),MATCH(VLOOKUP(F$7,'Writing Logic'!$J$7:$K$11,2,FALSE)&amp;" - Per "&amp;VLOOKUP($C$4,'Writing Logic'!$G$8:$H$14,2,FALSE),YES_Writing_ELA[#Headers],0))=0,"",INDEX(_xlfn.VSTACK(YES_Writing_ELA[#Data],YES_Writing_FLA[#Data]),MATCH($A208,_xlfn.VSTACK(YES_Writing_ELA[Student Number],YES_Writing_FLA[Student Number]),0),MATCH(VLOOKUP(F$7,'Writing Logic'!$J$7:$K$11,2,FALSE)&amp;" - Per "&amp;VLOOKUP($C$4,'Writing Logic'!$G$8:$H$14,2,FALSE),YES_Writing_ELA[#Headers],0)))="INS",'Writing Logic'!$B$7,IF(INDEX(_xlfn.VSTACK(YES_Writing_ELA[#Data],YES_Writing_FLA[#Data]),MATCH($A208,_xlfn.VSTACK(YES_Writing_ELA[Student Number],YES_Writing_FLA[Student Number]),0),MATCH(VLOOKUP(F$7,'Writing Logic'!$J$7:$K$11,2,FALSE)&amp;" - Per "&amp;VLOOKUP($C$4,'Writing Logic'!$G$8:$H$14,2,FALSE),YES_Writing_ELA[#Headers],0))=0,"",INDEX(_xlfn.VSTACK(YES_Writing_ELA[#Data],YES_Writing_FLA[#Data]),MATCH($A208,_xlfn.VSTACK(YES_Writing_ELA[Student Number],YES_Writing_FLA[Student Number]),0),MATCH(VLOOKUP(F$7,'Writing Logic'!$J$7:$K$11,2,FALSE)&amp;" - Per "&amp;VLOOKUP($C$4,'Writing Logic'!$G$8:$H$14,2,FALSE),YES_Writing_ELA[#Headers],0)))),"")</f>
        <v/>
      </c>
      <c r="G208" s="138" t="str">
        <f>IFERROR(IF(IF(INDEX(_xlfn.VSTACK(YES_Writing_ELA[#Data],YES_Writing_FLA[#Data]),MATCH($A208,_xlfn.VSTACK(YES_Writing_ELA[Student Number],YES_Writing_FLA[Student Number]),0),MATCH(VLOOKUP(G$7,'Writing Logic'!$J$7:$K$11,2,FALSE)&amp;" - Per "&amp;VLOOKUP($C$4,'Writing Logic'!$G$8:$H$14,2,FALSE),YES_Writing_ELA[#Headers],0))=0,"",INDEX(_xlfn.VSTACK(YES_Writing_ELA[#Data],YES_Writing_FLA[#Data]),MATCH($A208,_xlfn.VSTACK(YES_Writing_ELA[Student Number],YES_Writing_FLA[Student Number]),0),MATCH(VLOOKUP(G$7,'Writing Logic'!$J$7:$K$11,2,FALSE)&amp;" - Per "&amp;VLOOKUP($C$4,'Writing Logic'!$G$8:$H$14,2,FALSE),YES_Writing_ELA[#Headers],0)))="INS",'Writing Logic'!$B$7,IF(INDEX(_xlfn.VSTACK(YES_Writing_ELA[#Data],YES_Writing_FLA[#Data]),MATCH($A208,_xlfn.VSTACK(YES_Writing_ELA[Student Number],YES_Writing_FLA[Student Number]),0),MATCH(VLOOKUP(G$7,'Writing Logic'!$J$7:$K$11,2,FALSE)&amp;" - Per "&amp;VLOOKUP($C$4,'Writing Logic'!$G$8:$H$14,2,FALSE),YES_Writing_ELA[#Headers],0))=0,"",INDEX(_xlfn.VSTACK(YES_Writing_ELA[#Data],YES_Writing_FLA[#Data]),MATCH($A208,_xlfn.VSTACK(YES_Writing_ELA[Student Number],YES_Writing_FLA[Student Number]),0),MATCH(VLOOKUP(G$7,'Writing Logic'!$J$7:$K$11,2,FALSE)&amp;" - Per "&amp;VLOOKUP($C$4,'Writing Logic'!$G$8:$H$14,2,FALSE),YES_Writing_ELA[#Headers],0)))),"")</f>
        <v/>
      </c>
      <c r="H208" s="223" t="str">
        <f>IFERROR(IF(IF(INDEX(_xlfn.VSTACK(YES_Writing_ELA[#Data],YES_Writing_FLA[#Data]),MATCH($A208,_xlfn.VSTACK(YES_Writing_ELA[Student Number],YES_Writing_FLA[Student Number]),0),MATCH(VLOOKUP(H$7,'Writing Logic'!$J$7:$K$11,2,FALSE)&amp;" - Per "&amp;VLOOKUP($C$4,'Writing Logic'!$G$8:$H$14,2,FALSE),YES_Writing_ELA[#Headers],0))=0,"",INDEX(_xlfn.VSTACK(YES_Writing_ELA[#Data],YES_Writing_FLA[#Data]),MATCH($A208,_xlfn.VSTACK(YES_Writing_ELA[Student Number],YES_Writing_FLA[Student Number]),0),MATCH(VLOOKUP(H$7,'Writing Logic'!$J$7:$K$11,2,FALSE)&amp;" - Per "&amp;VLOOKUP($C$4,'Writing Logic'!$G$8:$H$14,2,FALSE),YES_Writing_ELA[#Headers],0)))="INS",'Writing Logic'!$B$7,IF(INDEX(_xlfn.VSTACK(YES_Writing_ELA[#Data],YES_Writing_FLA[#Data]),MATCH($A208,_xlfn.VSTACK(YES_Writing_ELA[Student Number],YES_Writing_FLA[Student Number]),0),MATCH(VLOOKUP(H$7,'Writing Logic'!$J$7:$K$11,2,FALSE)&amp;" - Per "&amp;VLOOKUP($C$4,'Writing Logic'!$G$8:$H$14,2,FALSE),YES_Writing_ELA[#Headers],0))=0,"",INDEX(_xlfn.VSTACK(YES_Writing_ELA[#Data],YES_Writing_FLA[#Data]),MATCH($A208,_xlfn.VSTACK(YES_Writing_ELA[Student Number],YES_Writing_FLA[Student Number]),0),MATCH(VLOOKUP(H$7,'Writing Logic'!$J$7:$K$11,2,FALSE)&amp;" - Per "&amp;VLOOKUP($C$4,'Writing Logic'!$G$8:$H$14,2,FALSE),YES_Writing_ELA[#Headers],0)))),"")</f>
        <v/>
      </c>
      <c r="I208" s="224" t="str" cm="1">
        <f t="array" aca="1" ref="I208" ca="1">IFERROR(
IF($G$3="ELA",
IF(VLOOKUP($A208, YES_Reading_ELA[], COLUMN(INDIRECT("YES_Reading_ELA[Difference - Per "&amp;VLOOKUP($G$4, 'Reading Report Logic'!$A$2:$B$8, 2, FALSE)&amp;"]")), FALSE)="", "",
VLOOKUP($A208,YES_Reading_ELA[], COLUMN(INDIRECT("YES_Reading_ELA[Difference - Per "&amp;VLOOKUP($G$4,'Reading Report Logic'!$A$2:$B$8,2,FALSE)&amp;"]")), FALSE)),
IF($G$3="FLA",
IF(VLOOKUP($A208, YES_Reading_FLA[], COLUMN(INDIRECT("YES_Reading_FLA[Difference - Per "&amp;VLOOKUP($G$4,'Reading Report Logic'!$A$2:$B$8,2,FALSE)&amp;"]")),FALSE)="","",
VLOOKUP($A208,YES_Reading_FLA[],COLUMN(INDIRECT("YES_Reading_FLA[Difference - Per "&amp;VLOOKUP($G$4,'Reading Report Logic'!$A$2:$B$8,2,FALSE)&amp;"]")),FALSE)),
IF($G$3="Combined",
IFERROR(
IF(VLOOKUP($A208, YES_Reading_ELA[], COLUMN(INDIRECT("YES_Reading_ELA[Difference - Per "&amp;VLOOKUP($G$4, 'Reading Report Logic'!$A$2:$B$8,2,FALSE)&amp;"]")), FALSE)="", "",
VLOOKUP($A208,YES_Reading_ELA[],COLUMN(INDIRECT("YES_Reading_ELA[Difference - Per "&amp;VLOOKUP($G$4,'Reading Report Logic'!$A$2:$B$8,2,FALSE)&amp;"]")),FALSE)),
IF(VLOOKUP($A208, YES_Reading_FLA[], COLUMN(INDIRECT("YES_Reading_FLA[Difference - Per "&amp;VLOOKUP($G$4, 'Reading Report Logic'!$A$2:$B$8, 2, FALSE)&amp;"]")),FALSE)="", "", VLOOKUP($A208,YES_Reading_FLA[],COLUMN(INDIRECT("YES_Reading_FLA[Difference - Per "&amp;VLOOKUP($G$4, 'Reading Report Logic'!$A$2:$B$8, 2, FALSE)&amp;"]")),FALSE))),""))),"")</f>
        <v/>
      </c>
    </row>
    <row r="209" spans="1:9" x14ac:dyDescent="0.25">
      <c r="A209" s="137"/>
      <c r="B209" s="137" t="str">
        <f>IFERROR(INDEX(_xlfn.VSTACK(YES_Writing_ELA[#Data], YES_Writing_FLA[#Data]),MATCH($A209,_xlfn.VSTACK(YES_Writing_ELA[Student Number], YES_Writing_FLA[Student Number]),0),MATCH(B$7,YES_Writing_ELA[#Headers],0)),IFERROR(INDEX(_xlfn.VSTACK(YES_Reading_ELA[#Data], YES_Reading_FLA[#Data]),MATCH($A209,_xlfn.VSTACK(YES_Reading_ELA[Student Number], YES_Reading_FLA[Student Number]),0),MATCH(B$7,YES_Reading_ELA[#Headers],0)),""))</f>
        <v/>
      </c>
      <c r="C209" s="137" t="str">
        <f>IFERROR(INDEX(_xlfn.VSTACK(YES_Writing_ELA[#Data], YES_Writing_FLA[#Data]),MATCH($A209,_xlfn.VSTACK(YES_Writing_ELA[Student Number], YES_Writing_FLA[Student Number]),0),MATCH(C$7,YES_Writing_ELA[#Headers],0)),IFERROR(INDEX(_xlfn.VSTACK(YES_Reading_ELA[#Data], YES_Reading_FLA[#Data]),MATCH($A209,_xlfn.VSTACK(YES_Reading_ELA[Student Number], YES_Reading_FLA[Student Number]),0),MATCH(C$7,YES_Reading_ELA[#Headers],0)),""))</f>
        <v/>
      </c>
      <c r="D209" s="138" t="str">
        <f>IFERROR(IF(IF(INDEX(_xlfn.VSTACK(YES_Writing_ELA[#Data],YES_Writing_FLA[#Data]),MATCH($A209,_xlfn.VSTACK(YES_Writing_ELA[Student Number],YES_Writing_FLA[Student Number]),0),MATCH(VLOOKUP(D$7,'Writing Logic'!$J$7:$K$11,2,FALSE)&amp;" - Per "&amp;VLOOKUP($C$4,'Writing Logic'!$G$8:$H$14,2,FALSE),YES_Writing_ELA[#Headers],0))=0,"",INDEX(_xlfn.VSTACK(YES_Writing_ELA[#Data],YES_Writing_FLA[#Data]),MATCH($A209,_xlfn.VSTACK(YES_Writing_ELA[Student Number],YES_Writing_FLA[Student Number]),0),MATCH(VLOOKUP(D$7,'Writing Logic'!$J$7:$K$11,2,FALSE)&amp;" - Per "&amp;VLOOKUP($C$4,'Writing Logic'!$G$8:$H$14,2,FALSE),YES_Writing_ELA[#Headers],0)))="INS",'Writing Logic'!$B$7,IF(INDEX(_xlfn.VSTACK(YES_Writing_ELA[#Data],YES_Writing_FLA[#Data]),MATCH($A209,_xlfn.VSTACK(YES_Writing_ELA[Student Number],YES_Writing_FLA[Student Number]),0),MATCH(VLOOKUP(D$7,'Writing Logic'!$J$7:$K$11,2,FALSE)&amp;" - Per "&amp;VLOOKUP($C$4,'Writing Logic'!$G$8:$H$14,2,FALSE),YES_Writing_ELA[#Headers],0))=0,"",INDEX(_xlfn.VSTACK(YES_Writing_ELA[#Data],YES_Writing_FLA[#Data]),MATCH($A209,_xlfn.VSTACK(YES_Writing_ELA[Student Number],YES_Writing_FLA[Student Number]),0),MATCH(VLOOKUP(D$7,'Writing Logic'!$J$7:$K$11,2,FALSE)&amp;" - Per "&amp;VLOOKUP($C$4,'Writing Logic'!$G$8:$H$14,2,FALSE),YES_Writing_ELA[#Headers],0)))),"")</f>
        <v/>
      </c>
      <c r="E209" s="138" t="str">
        <f>IFERROR(IF(IF(INDEX(_xlfn.VSTACK(YES_Writing_ELA[#Data],YES_Writing_FLA[#Data]),MATCH($A209,_xlfn.VSTACK(YES_Writing_ELA[Student Number],YES_Writing_FLA[Student Number]),0),MATCH(VLOOKUP(E$7,'Writing Logic'!$J$7:$K$11,2,FALSE)&amp;" - Per "&amp;VLOOKUP($C$4,'Writing Logic'!$G$8:$H$14,2,FALSE),YES_Writing_ELA[#Headers],0))=0,"",INDEX(_xlfn.VSTACK(YES_Writing_ELA[#Data],YES_Writing_FLA[#Data]),MATCH($A209,_xlfn.VSTACK(YES_Writing_ELA[Student Number],YES_Writing_FLA[Student Number]),0),MATCH(VLOOKUP(E$7,'Writing Logic'!$J$7:$K$11,2,FALSE)&amp;" - Per "&amp;VLOOKUP($C$4,'Writing Logic'!$G$8:$H$14,2,FALSE),YES_Writing_ELA[#Headers],0)))="INS",'Writing Logic'!$B$7,IF(INDEX(_xlfn.VSTACK(YES_Writing_ELA[#Data],YES_Writing_FLA[#Data]),MATCH($A209,_xlfn.VSTACK(YES_Writing_ELA[Student Number],YES_Writing_FLA[Student Number]),0),MATCH(VLOOKUP(E$7,'Writing Logic'!$J$7:$K$11,2,FALSE)&amp;" - Per "&amp;VLOOKUP($C$4,'Writing Logic'!$G$8:$H$14,2,FALSE),YES_Writing_ELA[#Headers],0))=0,"",INDEX(_xlfn.VSTACK(YES_Writing_ELA[#Data],YES_Writing_FLA[#Data]),MATCH($A209,_xlfn.VSTACK(YES_Writing_ELA[Student Number],YES_Writing_FLA[Student Number]),0),MATCH(VLOOKUP(E$7,'Writing Logic'!$J$7:$K$11,2,FALSE)&amp;" - Per "&amp;VLOOKUP($C$4,'Writing Logic'!$G$8:$H$14,2,FALSE),YES_Writing_ELA[#Headers],0)))),"")</f>
        <v/>
      </c>
      <c r="F209" s="138" t="str">
        <f>IFERROR(IF(IF(INDEX(_xlfn.VSTACK(YES_Writing_ELA[#Data],YES_Writing_FLA[#Data]),MATCH($A209,_xlfn.VSTACK(YES_Writing_ELA[Student Number],YES_Writing_FLA[Student Number]),0),MATCH(VLOOKUP(F$7,'Writing Logic'!$J$7:$K$11,2,FALSE)&amp;" - Per "&amp;VLOOKUP($C$4,'Writing Logic'!$G$8:$H$14,2,FALSE),YES_Writing_ELA[#Headers],0))=0,"",INDEX(_xlfn.VSTACK(YES_Writing_ELA[#Data],YES_Writing_FLA[#Data]),MATCH($A209,_xlfn.VSTACK(YES_Writing_ELA[Student Number],YES_Writing_FLA[Student Number]),0),MATCH(VLOOKUP(F$7,'Writing Logic'!$J$7:$K$11,2,FALSE)&amp;" - Per "&amp;VLOOKUP($C$4,'Writing Logic'!$G$8:$H$14,2,FALSE),YES_Writing_ELA[#Headers],0)))="INS",'Writing Logic'!$B$7,IF(INDEX(_xlfn.VSTACK(YES_Writing_ELA[#Data],YES_Writing_FLA[#Data]),MATCH($A209,_xlfn.VSTACK(YES_Writing_ELA[Student Number],YES_Writing_FLA[Student Number]),0),MATCH(VLOOKUP(F$7,'Writing Logic'!$J$7:$K$11,2,FALSE)&amp;" - Per "&amp;VLOOKUP($C$4,'Writing Logic'!$G$8:$H$14,2,FALSE),YES_Writing_ELA[#Headers],0))=0,"",INDEX(_xlfn.VSTACK(YES_Writing_ELA[#Data],YES_Writing_FLA[#Data]),MATCH($A209,_xlfn.VSTACK(YES_Writing_ELA[Student Number],YES_Writing_FLA[Student Number]),0),MATCH(VLOOKUP(F$7,'Writing Logic'!$J$7:$K$11,2,FALSE)&amp;" - Per "&amp;VLOOKUP($C$4,'Writing Logic'!$G$8:$H$14,2,FALSE),YES_Writing_ELA[#Headers],0)))),"")</f>
        <v/>
      </c>
      <c r="G209" s="138" t="str">
        <f>IFERROR(IF(IF(INDEX(_xlfn.VSTACK(YES_Writing_ELA[#Data],YES_Writing_FLA[#Data]),MATCH($A209,_xlfn.VSTACK(YES_Writing_ELA[Student Number],YES_Writing_FLA[Student Number]),0),MATCH(VLOOKUP(G$7,'Writing Logic'!$J$7:$K$11,2,FALSE)&amp;" - Per "&amp;VLOOKUP($C$4,'Writing Logic'!$G$8:$H$14,2,FALSE),YES_Writing_ELA[#Headers],0))=0,"",INDEX(_xlfn.VSTACK(YES_Writing_ELA[#Data],YES_Writing_FLA[#Data]),MATCH($A209,_xlfn.VSTACK(YES_Writing_ELA[Student Number],YES_Writing_FLA[Student Number]),0),MATCH(VLOOKUP(G$7,'Writing Logic'!$J$7:$K$11,2,FALSE)&amp;" - Per "&amp;VLOOKUP($C$4,'Writing Logic'!$G$8:$H$14,2,FALSE),YES_Writing_ELA[#Headers],0)))="INS",'Writing Logic'!$B$7,IF(INDEX(_xlfn.VSTACK(YES_Writing_ELA[#Data],YES_Writing_FLA[#Data]),MATCH($A209,_xlfn.VSTACK(YES_Writing_ELA[Student Number],YES_Writing_FLA[Student Number]),0),MATCH(VLOOKUP(G$7,'Writing Logic'!$J$7:$K$11,2,FALSE)&amp;" - Per "&amp;VLOOKUP($C$4,'Writing Logic'!$G$8:$H$14,2,FALSE),YES_Writing_ELA[#Headers],0))=0,"",INDEX(_xlfn.VSTACK(YES_Writing_ELA[#Data],YES_Writing_FLA[#Data]),MATCH($A209,_xlfn.VSTACK(YES_Writing_ELA[Student Number],YES_Writing_FLA[Student Number]),0),MATCH(VLOOKUP(G$7,'Writing Logic'!$J$7:$K$11,2,FALSE)&amp;" - Per "&amp;VLOOKUP($C$4,'Writing Logic'!$G$8:$H$14,2,FALSE),YES_Writing_ELA[#Headers],0)))),"")</f>
        <v/>
      </c>
      <c r="H209" s="223" t="str">
        <f>IFERROR(IF(IF(INDEX(_xlfn.VSTACK(YES_Writing_ELA[#Data],YES_Writing_FLA[#Data]),MATCH($A209,_xlfn.VSTACK(YES_Writing_ELA[Student Number],YES_Writing_FLA[Student Number]),0),MATCH(VLOOKUP(H$7,'Writing Logic'!$J$7:$K$11,2,FALSE)&amp;" - Per "&amp;VLOOKUP($C$4,'Writing Logic'!$G$8:$H$14,2,FALSE),YES_Writing_ELA[#Headers],0))=0,"",INDEX(_xlfn.VSTACK(YES_Writing_ELA[#Data],YES_Writing_FLA[#Data]),MATCH($A209,_xlfn.VSTACK(YES_Writing_ELA[Student Number],YES_Writing_FLA[Student Number]),0),MATCH(VLOOKUP(H$7,'Writing Logic'!$J$7:$K$11,2,FALSE)&amp;" - Per "&amp;VLOOKUP($C$4,'Writing Logic'!$G$8:$H$14,2,FALSE),YES_Writing_ELA[#Headers],0)))="INS",'Writing Logic'!$B$7,IF(INDEX(_xlfn.VSTACK(YES_Writing_ELA[#Data],YES_Writing_FLA[#Data]),MATCH($A209,_xlfn.VSTACK(YES_Writing_ELA[Student Number],YES_Writing_FLA[Student Number]),0),MATCH(VLOOKUP(H$7,'Writing Logic'!$J$7:$K$11,2,FALSE)&amp;" - Per "&amp;VLOOKUP($C$4,'Writing Logic'!$G$8:$H$14,2,FALSE),YES_Writing_ELA[#Headers],0))=0,"",INDEX(_xlfn.VSTACK(YES_Writing_ELA[#Data],YES_Writing_FLA[#Data]),MATCH($A209,_xlfn.VSTACK(YES_Writing_ELA[Student Number],YES_Writing_FLA[Student Number]),0),MATCH(VLOOKUP(H$7,'Writing Logic'!$J$7:$K$11,2,FALSE)&amp;" - Per "&amp;VLOOKUP($C$4,'Writing Logic'!$G$8:$H$14,2,FALSE),YES_Writing_ELA[#Headers],0)))),"")</f>
        <v/>
      </c>
      <c r="I209" s="224" t="str" cm="1">
        <f t="array" aca="1" ref="I209" ca="1">IFERROR(
IF($G$3="ELA",
IF(VLOOKUP($A209, YES_Reading_ELA[], COLUMN(INDIRECT("YES_Reading_ELA[Difference - Per "&amp;VLOOKUP($G$4, 'Reading Report Logic'!$A$2:$B$8, 2, FALSE)&amp;"]")), FALSE)="", "",
VLOOKUP($A209,YES_Reading_ELA[], COLUMN(INDIRECT("YES_Reading_ELA[Difference - Per "&amp;VLOOKUP($G$4,'Reading Report Logic'!$A$2:$B$8,2,FALSE)&amp;"]")), FALSE)),
IF($G$3="FLA",
IF(VLOOKUP($A209, YES_Reading_FLA[], COLUMN(INDIRECT("YES_Reading_FLA[Difference - Per "&amp;VLOOKUP($G$4,'Reading Report Logic'!$A$2:$B$8,2,FALSE)&amp;"]")),FALSE)="","",
VLOOKUP($A209,YES_Reading_FLA[],COLUMN(INDIRECT("YES_Reading_FLA[Difference - Per "&amp;VLOOKUP($G$4,'Reading Report Logic'!$A$2:$B$8,2,FALSE)&amp;"]")),FALSE)),
IF($G$3="Combined",
IFERROR(
IF(VLOOKUP($A209, YES_Reading_ELA[], COLUMN(INDIRECT("YES_Reading_ELA[Difference - Per "&amp;VLOOKUP($G$4, 'Reading Report Logic'!$A$2:$B$8,2,FALSE)&amp;"]")), FALSE)="", "",
VLOOKUP($A209,YES_Reading_ELA[],COLUMN(INDIRECT("YES_Reading_ELA[Difference - Per "&amp;VLOOKUP($G$4,'Reading Report Logic'!$A$2:$B$8,2,FALSE)&amp;"]")),FALSE)),
IF(VLOOKUP($A209, YES_Reading_FLA[], COLUMN(INDIRECT("YES_Reading_FLA[Difference - Per "&amp;VLOOKUP($G$4, 'Reading Report Logic'!$A$2:$B$8, 2, FALSE)&amp;"]")),FALSE)="", "", VLOOKUP($A209,YES_Reading_FLA[],COLUMN(INDIRECT("YES_Reading_FLA[Difference - Per "&amp;VLOOKUP($G$4, 'Reading Report Logic'!$A$2:$B$8, 2, FALSE)&amp;"]")),FALSE))),""))),"")</f>
        <v/>
      </c>
    </row>
    <row r="210" spans="1:9" x14ac:dyDescent="0.25">
      <c r="A210" s="137"/>
      <c r="B210" s="137" t="str">
        <f>IFERROR(INDEX(_xlfn.VSTACK(YES_Writing_ELA[#Data], YES_Writing_FLA[#Data]),MATCH($A210,_xlfn.VSTACK(YES_Writing_ELA[Student Number], YES_Writing_FLA[Student Number]),0),MATCH(B$7,YES_Writing_ELA[#Headers],0)),IFERROR(INDEX(_xlfn.VSTACK(YES_Reading_ELA[#Data], YES_Reading_FLA[#Data]),MATCH($A210,_xlfn.VSTACK(YES_Reading_ELA[Student Number], YES_Reading_FLA[Student Number]),0),MATCH(B$7,YES_Reading_ELA[#Headers],0)),""))</f>
        <v/>
      </c>
      <c r="C210" s="137" t="str">
        <f>IFERROR(INDEX(_xlfn.VSTACK(YES_Writing_ELA[#Data], YES_Writing_FLA[#Data]),MATCH($A210,_xlfn.VSTACK(YES_Writing_ELA[Student Number], YES_Writing_FLA[Student Number]),0),MATCH(C$7,YES_Writing_ELA[#Headers],0)),IFERROR(INDEX(_xlfn.VSTACK(YES_Reading_ELA[#Data], YES_Reading_FLA[#Data]),MATCH($A210,_xlfn.VSTACK(YES_Reading_ELA[Student Number], YES_Reading_FLA[Student Number]),0),MATCH(C$7,YES_Reading_ELA[#Headers],0)),""))</f>
        <v/>
      </c>
      <c r="D210" s="138" t="str">
        <f>IFERROR(IF(IF(INDEX(_xlfn.VSTACK(YES_Writing_ELA[#Data],YES_Writing_FLA[#Data]),MATCH($A210,_xlfn.VSTACK(YES_Writing_ELA[Student Number],YES_Writing_FLA[Student Number]),0),MATCH(VLOOKUP(D$7,'Writing Logic'!$J$7:$K$11,2,FALSE)&amp;" - Per "&amp;VLOOKUP($C$4,'Writing Logic'!$G$8:$H$14,2,FALSE),YES_Writing_ELA[#Headers],0))=0,"",INDEX(_xlfn.VSTACK(YES_Writing_ELA[#Data],YES_Writing_FLA[#Data]),MATCH($A210,_xlfn.VSTACK(YES_Writing_ELA[Student Number],YES_Writing_FLA[Student Number]),0),MATCH(VLOOKUP(D$7,'Writing Logic'!$J$7:$K$11,2,FALSE)&amp;" - Per "&amp;VLOOKUP($C$4,'Writing Logic'!$G$8:$H$14,2,FALSE),YES_Writing_ELA[#Headers],0)))="INS",'Writing Logic'!$B$7,IF(INDEX(_xlfn.VSTACK(YES_Writing_ELA[#Data],YES_Writing_FLA[#Data]),MATCH($A210,_xlfn.VSTACK(YES_Writing_ELA[Student Number],YES_Writing_FLA[Student Number]),0),MATCH(VLOOKUP(D$7,'Writing Logic'!$J$7:$K$11,2,FALSE)&amp;" - Per "&amp;VLOOKUP($C$4,'Writing Logic'!$G$8:$H$14,2,FALSE),YES_Writing_ELA[#Headers],0))=0,"",INDEX(_xlfn.VSTACK(YES_Writing_ELA[#Data],YES_Writing_FLA[#Data]),MATCH($A210,_xlfn.VSTACK(YES_Writing_ELA[Student Number],YES_Writing_FLA[Student Number]),0),MATCH(VLOOKUP(D$7,'Writing Logic'!$J$7:$K$11,2,FALSE)&amp;" - Per "&amp;VLOOKUP($C$4,'Writing Logic'!$G$8:$H$14,2,FALSE),YES_Writing_ELA[#Headers],0)))),"")</f>
        <v/>
      </c>
      <c r="E210" s="138" t="str">
        <f>IFERROR(IF(IF(INDEX(_xlfn.VSTACK(YES_Writing_ELA[#Data],YES_Writing_FLA[#Data]),MATCH($A210,_xlfn.VSTACK(YES_Writing_ELA[Student Number],YES_Writing_FLA[Student Number]),0),MATCH(VLOOKUP(E$7,'Writing Logic'!$J$7:$K$11,2,FALSE)&amp;" - Per "&amp;VLOOKUP($C$4,'Writing Logic'!$G$8:$H$14,2,FALSE),YES_Writing_ELA[#Headers],0))=0,"",INDEX(_xlfn.VSTACK(YES_Writing_ELA[#Data],YES_Writing_FLA[#Data]),MATCH($A210,_xlfn.VSTACK(YES_Writing_ELA[Student Number],YES_Writing_FLA[Student Number]),0),MATCH(VLOOKUP(E$7,'Writing Logic'!$J$7:$K$11,2,FALSE)&amp;" - Per "&amp;VLOOKUP($C$4,'Writing Logic'!$G$8:$H$14,2,FALSE),YES_Writing_ELA[#Headers],0)))="INS",'Writing Logic'!$B$7,IF(INDEX(_xlfn.VSTACK(YES_Writing_ELA[#Data],YES_Writing_FLA[#Data]),MATCH($A210,_xlfn.VSTACK(YES_Writing_ELA[Student Number],YES_Writing_FLA[Student Number]),0),MATCH(VLOOKUP(E$7,'Writing Logic'!$J$7:$K$11,2,FALSE)&amp;" - Per "&amp;VLOOKUP($C$4,'Writing Logic'!$G$8:$H$14,2,FALSE),YES_Writing_ELA[#Headers],0))=0,"",INDEX(_xlfn.VSTACK(YES_Writing_ELA[#Data],YES_Writing_FLA[#Data]),MATCH($A210,_xlfn.VSTACK(YES_Writing_ELA[Student Number],YES_Writing_FLA[Student Number]),0),MATCH(VLOOKUP(E$7,'Writing Logic'!$J$7:$K$11,2,FALSE)&amp;" - Per "&amp;VLOOKUP($C$4,'Writing Logic'!$G$8:$H$14,2,FALSE),YES_Writing_ELA[#Headers],0)))),"")</f>
        <v/>
      </c>
      <c r="F210" s="138" t="str">
        <f>IFERROR(IF(IF(INDEX(_xlfn.VSTACK(YES_Writing_ELA[#Data],YES_Writing_FLA[#Data]),MATCH($A210,_xlfn.VSTACK(YES_Writing_ELA[Student Number],YES_Writing_FLA[Student Number]),0),MATCH(VLOOKUP(F$7,'Writing Logic'!$J$7:$K$11,2,FALSE)&amp;" - Per "&amp;VLOOKUP($C$4,'Writing Logic'!$G$8:$H$14,2,FALSE),YES_Writing_ELA[#Headers],0))=0,"",INDEX(_xlfn.VSTACK(YES_Writing_ELA[#Data],YES_Writing_FLA[#Data]),MATCH($A210,_xlfn.VSTACK(YES_Writing_ELA[Student Number],YES_Writing_FLA[Student Number]),0),MATCH(VLOOKUP(F$7,'Writing Logic'!$J$7:$K$11,2,FALSE)&amp;" - Per "&amp;VLOOKUP($C$4,'Writing Logic'!$G$8:$H$14,2,FALSE),YES_Writing_ELA[#Headers],0)))="INS",'Writing Logic'!$B$7,IF(INDEX(_xlfn.VSTACK(YES_Writing_ELA[#Data],YES_Writing_FLA[#Data]),MATCH($A210,_xlfn.VSTACK(YES_Writing_ELA[Student Number],YES_Writing_FLA[Student Number]),0),MATCH(VLOOKUP(F$7,'Writing Logic'!$J$7:$K$11,2,FALSE)&amp;" - Per "&amp;VLOOKUP($C$4,'Writing Logic'!$G$8:$H$14,2,FALSE),YES_Writing_ELA[#Headers],0))=0,"",INDEX(_xlfn.VSTACK(YES_Writing_ELA[#Data],YES_Writing_FLA[#Data]),MATCH($A210,_xlfn.VSTACK(YES_Writing_ELA[Student Number],YES_Writing_FLA[Student Number]),0),MATCH(VLOOKUP(F$7,'Writing Logic'!$J$7:$K$11,2,FALSE)&amp;" - Per "&amp;VLOOKUP($C$4,'Writing Logic'!$G$8:$H$14,2,FALSE),YES_Writing_ELA[#Headers],0)))),"")</f>
        <v/>
      </c>
      <c r="G210" s="138" t="str">
        <f>IFERROR(IF(IF(INDEX(_xlfn.VSTACK(YES_Writing_ELA[#Data],YES_Writing_FLA[#Data]),MATCH($A210,_xlfn.VSTACK(YES_Writing_ELA[Student Number],YES_Writing_FLA[Student Number]),0),MATCH(VLOOKUP(G$7,'Writing Logic'!$J$7:$K$11,2,FALSE)&amp;" - Per "&amp;VLOOKUP($C$4,'Writing Logic'!$G$8:$H$14,2,FALSE),YES_Writing_ELA[#Headers],0))=0,"",INDEX(_xlfn.VSTACK(YES_Writing_ELA[#Data],YES_Writing_FLA[#Data]),MATCH($A210,_xlfn.VSTACK(YES_Writing_ELA[Student Number],YES_Writing_FLA[Student Number]),0),MATCH(VLOOKUP(G$7,'Writing Logic'!$J$7:$K$11,2,FALSE)&amp;" - Per "&amp;VLOOKUP($C$4,'Writing Logic'!$G$8:$H$14,2,FALSE),YES_Writing_ELA[#Headers],0)))="INS",'Writing Logic'!$B$7,IF(INDEX(_xlfn.VSTACK(YES_Writing_ELA[#Data],YES_Writing_FLA[#Data]),MATCH($A210,_xlfn.VSTACK(YES_Writing_ELA[Student Number],YES_Writing_FLA[Student Number]),0),MATCH(VLOOKUP(G$7,'Writing Logic'!$J$7:$K$11,2,FALSE)&amp;" - Per "&amp;VLOOKUP($C$4,'Writing Logic'!$G$8:$H$14,2,FALSE),YES_Writing_ELA[#Headers],0))=0,"",INDEX(_xlfn.VSTACK(YES_Writing_ELA[#Data],YES_Writing_FLA[#Data]),MATCH($A210,_xlfn.VSTACK(YES_Writing_ELA[Student Number],YES_Writing_FLA[Student Number]),0),MATCH(VLOOKUP(G$7,'Writing Logic'!$J$7:$K$11,2,FALSE)&amp;" - Per "&amp;VLOOKUP($C$4,'Writing Logic'!$G$8:$H$14,2,FALSE),YES_Writing_ELA[#Headers],0)))),"")</f>
        <v/>
      </c>
      <c r="H210" s="223" t="str">
        <f>IFERROR(IF(IF(INDEX(_xlfn.VSTACK(YES_Writing_ELA[#Data],YES_Writing_FLA[#Data]),MATCH($A210,_xlfn.VSTACK(YES_Writing_ELA[Student Number],YES_Writing_FLA[Student Number]),0),MATCH(VLOOKUP(H$7,'Writing Logic'!$J$7:$K$11,2,FALSE)&amp;" - Per "&amp;VLOOKUP($C$4,'Writing Logic'!$G$8:$H$14,2,FALSE),YES_Writing_ELA[#Headers],0))=0,"",INDEX(_xlfn.VSTACK(YES_Writing_ELA[#Data],YES_Writing_FLA[#Data]),MATCH($A210,_xlfn.VSTACK(YES_Writing_ELA[Student Number],YES_Writing_FLA[Student Number]),0),MATCH(VLOOKUP(H$7,'Writing Logic'!$J$7:$K$11,2,FALSE)&amp;" - Per "&amp;VLOOKUP($C$4,'Writing Logic'!$G$8:$H$14,2,FALSE),YES_Writing_ELA[#Headers],0)))="INS",'Writing Logic'!$B$7,IF(INDEX(_xlfn.VSTACK(YES_Writing_ELA[#Data],YES_Writing_FLA[#Data]),MATCH($A210,_xlfn.VSTACK(YES_Writing_ELA[Student Number],YES_Writing_FLA[Student Number]),0),MATCH(VLOOKUP(H$7,'Writing Logic'!$J$7:$K$11,2,FALSE)&amp;" - Per "&amp;VLOOKUP($C$4,'Writing Logic'!$G$8:$H$14,2,FALSE),YES_Writing_ELA[#Headers],0))=0,"",INDEX(_xlfn.VSTACK(YES_Writing_ELA[#Data],YES_Writing_FLA[#Data]),MATCH($A210,_xlfn.VSTACK(YES_Writing_ELA[Student Number],YES_Writing_FLA[Student Number]),0),MATCH(VLOOKUP(H$7,'Writing Logic'!$J$7:$K$11,2,FALSE)&amp;" - Per "&amp;VLOOKUP($C$4,'Writing Logic'!$G$8:$H$14,2,FALSE),YES_Writing_ELA[#Headers],0)))),"")</f>
        <v/>
      </c>
      <c r="I210" s="224" t="str" cm="1">
        <f t="array" aca="1" ref="I210" ca="1">IFERROR(
IF($G$3="ELA",
IF(VLOOKUP($A210, YES_Reading_ELA[], COLUMN(INDIRECT("YES_Reading_ELA[Difference - Per "&amp;VLOOKUP($G$4, 'Reading Report Logic'!$A$2:$B$8, 2, FALSE)&amp;"]")), FALSE)="", "",
VLOOKUP($A210,YES_Reading_ELA[], COLUMN(INDIRECT("YES_Reading_ELA[Difference - Per "&amp;VLOOKUP($G$4,'Reading Report Logic'!$A$2:$B$8,2,FALSE)&amp;"]")), FALSE)),
IF($G$3="FLA",
IF(VLOOKUP($A210, YES_Reading_FLA[], COLUMN(INDIRECT("YES_Reading_FLA[Difference - Per "&amp;VLOOKUP($G$4,'Reading Report Logic'!$A$2:$B$8,2,FALSE)&amp;"]")),FALSE)="","",
VLOOKUP($A210,YES_Reading_FLA[],COLUMN(INDIRECT("YES_Reading_FLA[Difference - Per "&amp;VLOOKUP($G$4,'Reading Report Logic'!$A$2:$B$8,2,FALSE)&amp;"]")),FALSE)),
IF($G$3="Combined",
IFERROR(
IF(VLOOKUP($A210, YES_Reading_ELA[], COLUMN(INDIRECT("YES_Reading_ELA[Difference - Per "&amp;VLOOKUP($G$4, 'Reading Report Logic'!$A$2:$B$8,2,FALSE)&amp;"]")), FALSE)="", "",
VLOOKUP($A210,YES_Reading_ELA[],COLUMN(INDIRECT("YES_Reading_ELA[Difference - Per "&amp;VLOOKUP($G$4,'Reading Report Logic'!$A$2:$B$8,2,FALSE)&amp;"]")),FALSE)),
IF(VLOOKUP($A210, YES_Reading_FLA[], COLUMN(INDIRECT("YES_Reading_FLA[Difference - Per "&amp;VLOOKUP($G$4, 'Reading Report Logic'!$A$2:$B$8, 2, FALSE)&amp;"]")),FALSE)="", "", VLOOKUP($A210,YES_Reading_FLA[],COLUMN(INDIRECT("YES_Reading_FLA[Difference - Per "&amp;VLOOKUP($G$4, 'Reading Report Logic'!$A$2:$B$8, 2, FALSE)&amp;"]")),FALSE))),""))),"")</f>
        <v/>
      </c>
    </row>
    <row r="211" spans="1:9" x14ac:dyDescent="0.25">
      <c r="A211" s="137"/>
      <c r="B211" s="137" t="str">
        <f>IFERROR(INDEX(_xlfn.VSTACK(YES_Writing_ELA[#Data], YES_Writing_FLA[#Data]),MATCH($A211,_xlfn.VSTACK(YES_Writing_ELA[Student Number], YES_Writing_FLA[Student Number]),0),MATCH(B$7,YES_Writing_ELA[#Headers],0)),IFERROR(INDEX(_xlfn.VSTACK(YES_Reading_ELA[#Data], YES_Reading_FLA[#Data]),MATCH($A211,_xlfn.VSTACK(YES_Reading_ELA[Student Number], YES_Reading_FLA[Student Number]),0),MATCH(B$7,YES_Reading_ELA[#Headers],0)),""))</f>
        <v/>
      </c>
      <c r="C211" s="137" t="str">
        <f>IFERROR(INDEX(_xlfn.VSTACK(YES_Writing_ELA[#Data], YES_Writing_FLA[#Data]),MATCH($A211,_xlfn.VSTACK(YES_Writing_ELA[Student Number], YES_Writing_FLA[Student Number]),0),MATCH(C$7,YES_Writing_ELA[#Headers],0)),IFERROR(INDEX(_xlfn.VSTACK(YES_Reading_ELA[#Data], YES_Reading_FLA[#Data]),MATCH($A211,_xlfn.VSTACK(YES_Reading_ELA[Student Number], YES_Reading_FLA[Student Number]),0),MATCH(C$7,YES_Reading_ELA[#Headers],0)),""))</f>
        <v/>
      </c>
      <c r="D211" s="138" t="str">
        <f>IFERROR(IF(IF(INDEX(_xlfn.VSTACK(YES_Writing_ELA[#Data],YES_Writing_FLA[#Data]),MATCH($A211,_xlfn.VSTACK(YES_Writing_ELA[Student Number],YES_Writing_FLA[Student Number]),0),MATCH(VLOOKUP(D$7,'Writing Logic'!$J$7:$K$11,2,FALSE)&amp;" - Per "&amp;VLOOKUP($C$4,'Writing Logic'!$G$8:$H$14,2,FALSE),YES_Writing_ELA[#Headers],0))=0,"",INDEX(_xlfn.VSTACK(YES_Writing_ELA[#Data],YES_Writing_FLA[#Data]),MATCH($A211,_xlfn.VSTACK(YES_Writing_ELA[Student Number],YES_Writing_FLA[Student Number]),0),MATCH(VLOOKUP(D$7,'Writing Logic'!$J$7:$K$11,2,FALSE)&amp;" - Per "&amp;VLOOKUP($C$4,'Writing Logic'!$G$8:$H$14,2,FALSE),YES_Writing_ELA[#Headers],0)))="INS",'Writing Logic'!$B$7,IF(INDEX(_xlfn.VSTACK(YES_Writing_ELA[#Data],YES_Writing_FLA[#Data]),MATCH($A211,_xlfn.VSTACK(YES_Writing_ELA[Student Number],YES_Writing_FLA[Student Number]),0),MATCH(VLOOKUP(D$7,'Writing Logic'!$J$7:$K$11,2,FALSE)&amp;" - Per "&amp;VLOOKUP($C$4,'Writing Logic'!$G$8:$H$14,2,FALSE),YES_Writing_ELA[#Headers],0))=0,"",INDEX(_xlfn.VSTACK(YES_Writing_ELA[#Data],YES_Writing_FLA[#Data]),MATCH($A211,_xlfn.VSTACK(YES_Writing_ELA[Student Number],YES_Writing_FLA[Student Number]),0),MATCH(VLOOKUP(D$7,'Writing Logic'!$J$7:$K$11,2,FALSE)&amp;" - Per "&amp;VLOOKUP($C$4,'Writing Logic'!$G$8:$H$14,2,FALSE),YES_Writing_ELA[#Headers],0)))),"")</f>
        <v/>
      </c>
      <c r="E211" s="138" t="str">
        <f>IFERROR(IF(IF(INDEX(_xlfn.VSTACK(YES_Writing_ELA[#Data],YES_Writing_FLA[#Data]),MATCH($A211,_xlfn.VSTACK(YES_Writing_ELA[Student Number],YES_Writing_FLA[Student Number]),0),MATCH(VLOOKUP(E$7,'Writing Logic'!$J$7:$K$11,2,FALSE)&amp;" - Per "&amp;VLOOKUP($C$4,'Writing Logic'!$G$8:$H$14,2,FALSE),YES_Writing_ELA[#Headers],0))=0,"",INDEX(_xlfn.VSTACK(YES_Writing_ELA[#Data],YES_Writing_FLA[#Data]),MATCH($A211,_xlfn.VSTACK(YES_Writing_ELA[Student Number],YES_Writing_FLA[Student Number]),0),MATCH(VLOOKUP(E$7,'Writing Logic'!$J$7:$K$11,2,FALSE)&amp;" - Per "&amp;VLOOKUP($C$4,'Writing Logic'!$G$8:$H$14,2,FALSE),YES_Writing_ELA[#Headers],0)))="INS",'Writing Logic'!$B$7,IF(INDEX(_xlfn.VSTACK(YES_Writing_ELA[#Data],YES_Writing_FLA[#Data]),MATCH($A211,_xlfn.VSTACK(YES_Writing_ELA[Student Number],YES_Writing_FLA[Student Number]),0),MATCH(VLOOKUP(E$7,'Writing Logic'!$J$7:$K$11,2,FALSE)&amp;" - Per "&amp;VLOOKUP($C$4,'Writing Logic'!$G$8:$H$14,2,FALSE),YES_Writing_ELA[#Headers],0))=0,"",INDEX(_xlfn.VSTACK(YES_Writing_ELA[#Data],YES_Writing_FLA[#Data]),MATCH($A211,_xlfn.VSTACK(YES_Writing_ELA[Student Number],YES_Writing_FLA[Student Number]),0),MATCH(VLOOKUP(E$7,'Writing Logic'!$J$7:$K$11,2,FALSE)&amp;" - Per "&amp;VLOOKUP($C$4,'Writing Logic'!$G$8:$H$14,2,FALSE),YES_Writing_ELA[#Headers],0)))),"")</f>
        <v/>
      </c>
      <c r="F211" s="138" t="str">
        <f>IFERROR(IF(IF(INDEX(_xlfn.VSTACK(YES_Writing_ELA[#Data],YES_Writing_FLA[#Data]),MATCH($A211,_xlfn.VSTACK(YES_Writing_ELA[Student Number],YES_Writing_FLA[Student Number]),0),MATCH(VLOOKUP(F$7,'Writing Logic'!$J$7:$K$11,2,FALSE)&amp;" - Per "&amp;VLOOKUP($C$4,'Writing Logic'!$G$8:$H$14,2,FALSE),YES_Writing_ELA[#Headers],0))=0,"",INDEX(_xlfn.VSTACK(YES_Writing_ELA[#Data],YES_Writing_FLA[#Data]),MATCH($A211,_xlfn.VSTACK(YES_Writing_ELA[Student Number],YES_Writing_FLA[Student Number]),0),MATCH(VLOOKUP(F$7,'Writing Logic'!$J$7:$K$11,2,FALSE)&amp;" - Per "&amp;VLOOKUP($C$4,'Writing Logic'!$G$8:$H$14,2,FALSE),YES_Writing_ELA[#Headers],0)))="INS",'Writing Logic'!$B$7,IF(INDEX(_xlfn.VSTACK(YES_Writing_ELA[#Data],YES_Writing_FLA[#Data]),MATCH($A211,_xlfn.VSTACK(YES_Writing_ELA[Student Number],YES_Writing_FLA[Student Number]),0),MATCH(VLOOKUP(F$7,'Writing Logic'!$J$7:$K$11,2,FALSE)&amp;" - Per "&amp;VLOOKUP($C$4,'Writing Logic'!$G$8:$H$14,2,FALSE),YES_Writing_ELA[#Headers],0))=0,"",INDEX(_xlfn.VSTACK(YES_Writing_ELA[#Data],YES_Writing_FLA[#Data]),MATCH($A211,_xlfn.VSTACK(YES_Writing_ELA[Student Number],YES_Writing_FLA[Student Number]),0),MATCH(VLOOKUP(F$7,'Writing Logic'!$J$7:$K$11,2,FALSE)&amp;" - Per "&amp;VLOOKUP($C$4,'Writing Logic'!$G$8:$H$14,2,FALSE),YES_Writing_ELA[#Headers],0)))),"")</f>
        <v/>
      </c>
      <c r="G211" s="138" t="str">
        <f>IFERROR(IF(IF(INDEX(_xlfn.VSTACK(YES_Writing_ELA[#Data],YES_Writing_FLA[#Data]),MATCH($A211,_xlfn.VSTACK(YES_Writing_ELA[Student Number],YES_Writing_FLA[Student Number]),0),MATCH(VLOOKUP(G$7,'Writing Logic'!$J$7:$K$11,2,FALSE)&amp;" - Per "&amp;VLOOKUP($C$4,'Writing Logic'!$G$8:$H$14,2,FALSE),YES_Writing_ELA[#Headers],0))=0,"",INDEX(_xlfn.VSTACK(YES_Writing_ELA[#Data],YES_Writing_FLA[#Data]),MATCH($A211,_xlfn.VSTACK(YES_Writing_ELA[Student Number],YES_Writing_FLA[Student Number]),0),MATCH(VLOOKUP(G$7,'Writing Logic'!$J$7:$K$11,2,FALSE)&amp;" - Per "&amp;VLOOKUP($C$4,'Writing Logic'!$G$8:$H$14,2,FALSE),YES_Writing_ELA[#Headers],0)))="INS",'Writing Logic'!$B$7,IF(INDEX(_xlfn.VSTACK(YES_Writing_ELA[#Data],YES_Writing_FLA[#Data]),MATCH($A211,_xlfn.VSTACK(YES_Writing_ELA[Student Number],YES_Writing_FLA[Student Number]),0),MATCH(VLOOKUP(G$7,'Writing Logic'!$J$7:$K$11,2,FALSE)&amp;" - Per "&amp;VLOOKUP($C$4,'Writing Logic'!$G$8:$H$14,2,FALSE),YES_Writing_ELA[#Headers],0))=0,"",INDEX(_xlfn.VSTACK(YES_Writing_ELA[#Data],YES_Writing_FLA[#Data]),MATCH($A211,_xlfn.VSTACK(YES_Writing_ELA[Student Number],YES_Writing_FLA[Student Number]),0),MATCH(VLOOKUP(G$7,'Writing Logic'!$J$7:$K$11,2,FALSE)&amp;" - Per "&amp;VLOOKUP($C$4,'Writing Logic'!$G$8:$H$14,2,FALSE),YES_Writing_ELA[#Headers],0)))),"")</f>
        <v/>
      </c>
      <c r="H211" s="223" t="str">
        <f>IFERROR(IF(IF(INDEX(_xlfn.VSTACK(YES_Writing_ELA[#Data],YES_Writing_FLA[#Data]),MATCH($A211,_xlfn.VSTACK(YES_Writing_ELA[Student Number],YES_Writing_FLA[Student Number]),0),MATCH(VLOOKUP(H$7,'Writing Logic'!$J$7:$K$11,2,FALSE)&amp;" - Per "&amp;VLOOKUP($C$4,'Writing Logic'!$G$8:$H$14,2,FALSE),YES_Writing_ELA[#Headers],0))=0,"",INDEX(_xlfn.VSTACK(YES_Writing_ELA[#Data],YES_Writing_FLA[#Data]),MATCH($A211,_xlfn.VSTACK(YES_Writing_ELA[Student Number],YES_Writing_FLA[Student Number]),0),MATCH(VLOOKUP(H$7,'Writing Logic'!$J$7:$K$11,2,FALSE)&amp;" - Per "&amp;VLOOKUP($C$4,'Writing Logic'!$G$8:$H$14,2,FALSE),YES_Writing_ELA[#Headers],0)))="INS",'Writing Logic'!$B$7,IF(INDEX(_xlfn.VSTACK(YES_Writing_ELA[#Data],YES_Writing_FLA[#Data]),MATCH($A211,_xlfn.VSTACK(YES_Writing_ELA[Student Number],YES_Writing_FLA[Student Number]),0),MATCH(VLOOKUP(H$7,'Writing Logic'!$J$7:$K$11,2,FALSE)&amp;" - Per "&amp;VLOOKUP($C$4,'Writing Logic'!$G$8:$H$14,2,FALSE),YES_Writing_ELA[#Headers],0))=0,"",INDEX(_xlfn.VSTACK(YES_Writing_ELA[#Data],YES_Writing_FLA[#Data]),MATCH($A211,_xlfn.VSTACK(YES_Writing_ELA[Student Number],YES_Writing_FLA[Student Number]),0),MATCH(VLOOKUP(H$7,'Writing Logic'!$J$7:$K$11,2,FALSE)&amp;" - Per "&amp;VLOOKUP($C$4,'Writing Logic'!$G$8:$H$14,2,FALSE),YES_Writing_ELA[#Headers],0)))),"")</f>
        <v/>
      </c>
      <c r="I211" s="224" t="str" cm="1">
        <f t="array" aca="1" ref="I211" ca="1">IFERROR(
IF($G$3="ELA",
IF(VLOOKUP($A211, YES_Reading_ELA[], COLUMN(INDIRECT("YES_Reading_ELA[Difference - Per "&amp;VLOOKUP($G$4, 'Reading Report Logic'!$A$2:$B$8, 2, FALSE)&amp;"]")), FALSE)="", "",
VLOOKUP($A211,YES_Reading_ELA[], COLUMN(INDIRECT("YES_Reading_ELA[Difference - Per "&amp;VLOOKUP($G$4,'Reading Report Logic'!$A$2:$B$8,2,FALSE)&amp;"]")), FALSE)),
IF($G$3="FLA",
IF(VLOOKUP($A211, YES_Reading_FLA[], COLUMN(INDIRECT("YES_Reading_FLA[Difference - Per "&amp;VLOOKUP($G$4,'Reading Report Logic'!$A$2:$B$8,2,FALSE)&amp;"]")),FALSE)="","",
VLOOKUP($A211,YES_Reading_FLA[],COLUMN(INDIRECT("YES_Reading_FLA[Difference - Per "&amp;VLOOKUP($G$4,'Reading Report Logic'!$A$2:$B$8,2,FALSE)&amp;"]")),FALSE)),
IF($G$3="Combined",
IFERROR(
IF(VLOOKUP($A211, YES_Reading_ELA[], COLUMN(INDIRECT("YES_Reading_ELA[Difference - Per "&amp;VLOOKUP($G$4, 'Reading Report Logic'!$A$2:$B$8,2,FALSE)&amp;"]")), FALSE)="", "",
VLOOKUP($A211,YES_Reading_ELA[],COLUMN(INDIRECT("YES_Reading_ELA[Difference - Per "&amp;VLOOKUP($G$4,'Reading Report Logic'!$A$2:$B$8,2,FALSE)&amp;"]")),FALSE)),
IF(VLOOKUP($A211, YES_Reading_FLA[], COLUMN(INDIRECT("YES_Reading_FLA[Difference - Per "&amp;VLOOKUP($G$4, 'Reading Report Logic'!$A$2:$B$8, 2, FALSE)&amp;"]")),FALSE)="", "", VLOOKUP($A211,YES_Reading_FLA[],COLUMN(INDIRECT("YES_Reading_FLA[Difference - Per "&amp;VLOOKUP($G$4, 'Reading Report Logic'!$A$2:$B$8, 2, FALSE)&amp;"]")),FALSE))),""))),"")</f>
        <v/>
      </c>
    </row>
    <row r="212" spans="1:9" x14ac:dyDescent="0.25">
      <c r="A212" s="137"/>
      <c r="B212" s="137" t="str">
        <f>IFERROR(INDEX(_xlfn.VSTACK(YES_Writing_ELA[#Data], YES_Writing_FLA[#Data]),MATCH($A212,_xlfn.VSTACK(YES_Writing_ELA[Student Number], YES_Writing_FLA[Student Number]),0),MATCH(B$7,YES_Writing_ELA[#Headers],0)),IFERROR(INDEX(_xlfn.VSTACK(YES_Reading_ELA[#Data], YES_Reading_FLA[#Data]),MATCH($A212,_xlfn.VSTACK(YES_Reading_ELA[Student Number], YES_Reading_FLA[Student Number]),0),MATCH(B$7,YES_Reading_ELA[#Headers],0)),""))</f>
        <v/>
      </c>
      <c r="C212" s="137" t="str">
        <f>IFERROR(INDEX(_xlfn.VSTACK(YES_Writing_ELA[#Data], YES_Writing_FLA[#Data]),MATCH($A212,_xlfn.VSTACK(YES_Writing_ELA[Student Number], YES_Writing_FLA[Student Number]),0),MATCH(C$7,YES_Writing_ELA[#Headers],0)),IFERROR(INDEX(_xlfn.VSTACK(YES_Reading_ELA[#Data], YES_Reading_FLA[#Data]),MATCH($A212,_xlfn.VSTACK(YES_Reading_ELA[Student Number], YES_Reading_FLA[Student Number]),0),MATCH(C$7,YES_Reading_ELA[#Headers],0)),""))</f>
        <v/>
      </c>
      <c r="D212" s="138" t="str">
        <f>IFERROR(IF(IF(INDEX(_xlfn.VSTACK(YES_Writing_ELA[#Data],YES_Writing_FLA[#Data]),MATCH($A212,_xlfn.VSTACK(YES_Writing_ELA[Student Number],YES_Writing_FLA[Student Number]),0),MATCH(VLOOKUP(D$7,'Writing Logic'!$J$7:$K$11,2,FALSE)&amp;" - Per "&amp;VLOOKUP($C$4,'Writing Logic'!$G$8:$H$14,2,FALSE),YES_Writing_ELA[#Headers],0))=0,"",INDEX(_xlfn.VSTACK(YES_Writing_ELA[#Data],YES_Writing_FLA[#Data]),MATCH($A212,_xlfn.VSTACK(YES_Writing_ELA[Student Number],YES_Writing_FLA[Student Number]),0),MATCH(VLOOKUP(D$7,'Writing Logic'!$J$7:$K$11,2,FALSE)&amp;" - Per "&amp;VLOOKUP($C$4,'Writing Logic'!$G$8:$H$14,2,FALSE),YES_Writing_ELA[#Headers],0)))="INS",'Writing Logic'!$B$7,IF(INDEX(_xlfn.VSTACK(YES_Writing_ELA[#Data],YES_Writing_FLA[#Data]),MATCH($A212,_xlfn.VSTACK(YES_Writing_ELA[Student Number],YES_Writing_FLA[Student Number]),0),MATCH(VLOOKUP(D$7,'Writing Logic'!$J$7:$K$11,2,FALSE)&amp;" - Per "&amp;VLOOKUP($C$4,'Writing Logic'!$G$8:$H$14,2,FALSE),YES_Writing_ELA[#Headers],0))=0,"",INDEX(_xlfn.VSTACK(YES_Writing_ELA[#Data],YES_Writing_FLA[#Data]),MATCH($A212,_xlfn.VSTACK(YES_Writing_ELA[Student Number],YES_Writing_FLA[Student Number]),0),MATCH(VLOOKUP(D$7,'Writing Logic'!$J$7:$K$11,2,FALSE)&amp;" - Per "&amp;VLOOKUP($C$4,'Writing Logic'!$G$8:$H$14,2,FALSE),YES_Writing_ELA[#Headers],0)))),"")</f>
        <v/>
      </c>
      <c r="E212" s="138" t="str">
        <f>IFERROR(IF(IF(INDEX(_xlfn.VSTACK(YES_Writing_ELA[#Data],YES_Writing_FLA[#Data]),MATCH($A212,_xlfn.VSTACK(YES_Writing_ELA[Student Number],YES_Writing_FLA[Student Number]),0),MATCH(VLOOKUP(E$7,'Writing Logic'!$J$7:$K$11,2,FALSE)&amp;" - Per "&amp;VLOOKUP($C$4,'Writing Logic'!$G$8:$H$14,2,FALSE),YES_Writing_ELA[#Headers],0))=0,"",INDEX(_xlfn.VSTACK(YES_Writing_ELA[#Data],YES_Writing_FLA[#Data]),MATCH($A212,_xlfn.VSTACK(YES_Writing_ELA[Student Number],YES_Writing_FLA[Student Number]),0),MATCH(VLOOKUP(E$7,'Writing Logic'!$J$7:$K$11,2,FALSE)&amp;" - Per "&amp;VLOOKUP($C$4,'Writing Logic'!$G$8:$H$14,2,FALSE),YES_Writing_ELA[#Headers],0)))="INS",'Writing Logic'!$B$7,IF(INDEX(_xlfn.VSTACK(YES_Writing_ELA[#Data],YES_Writing_FLA[#Data]),MATCH($A212,_xlfn.VSTACK(YES_Writing_ELA[Student Number],YES_Writing_FLA[Student Number]),0),MATCH(VLOOKUP(E$7,'Writing Logic'!$J$7:$K$11,2,FALSE)&amp;" - Per "&amp;VLOOKUP($C$4,'Writing Logic'!$G$8:$H$14,2,FALSE),YES_Writing_ELA[#Headers],0))=0,"",INDEX(_xlfn.VSTACK(YES_Writing_ELA[#Data],YES_Writing_FLA[#Data]),MATCH($A212,_xlfn.VSTACK(YES_Writing_ELA[Student Number],YES_Writing_FLA[Student Number]),0),MATCH(VLOOKUP(E$7,'Writing Logic'!$J$7:$K$11,2,FALSE)&amp;" - Per "&amp;VLOOKUP($C$4,'Writing Logic'!$G$8:$H$14,2,FALSE),YES_Writing_ELA[#Headers],0)))),"")</f>
        <v/>
      </c>
      <c r="F212" s="138" t="str">
        <f>IFERROR(IF(IF(INDEX(_xlfn.VSTACK(YES_Writing_ELA[#Data],YES_Writing_FLA[#Data]),MATCH($A212,_xlfn.VSTACK(YES_Writing_ELA[Student Number],YES_Writing_FLA[Student Number]),0),MATCH(VLOOKUP(F$7,'Writing Logic'!$J$7:$K$11,2,FALSE)&amp;" - Per "&amp;VLOOKUP($C$4,'Writing Logic'!$G$8:$H$14,2,FALSE),YES_Writing_ELA[#Headers],0))=0,"",INDEX(_xlfn.VSTACK(YES_Writing_ELA[#Data],YES_Writing_FLA[#Data]),MATCH($A212,_xlfn.VSTACK(YES_Writing_ELA[Student Number],YES_Writing_FLA[Student Number]),0),MATCH(VLOOKUP(F$7,'Writing Logic'!$J$7:$K$11,2,FALSE)&amp;" - Per "&amp;VLOOKUP($C$4,'Writing Logic'!$G$8:$H$14,2,FALSE),YES_Writing_ELA[#Headers],0)))="INS",'Writing Logic'!$B$7,IF(INDEX(_xlfn.VSTACK(YES_Writing_ELA[#Data],YES_Writing_FLA[#Data]),MATCH($A212,_xlfn.VSTACK(YES_Writing_ELA[Student Number],YES_Writing_FLA[Student Number]),0),MATCH(VLOOKUP(F$7,'Writing Logic'!$J$7:$K$11,2,FALSE)&amp;" - Per "&amp;VLOOKUP($C$4,'Writing Logic'!$G$8:$H$14,2,FALSE),YES_Writing_ELA[#Headers],0))=0,"",INDEX(_xlfn.VSTACK(YES_Writing_ELA[#Data],YES_Writing_FLA[#Data]),MATCH($A212,_xlfn.VSTACK(YES_Writing_ELA[Student Number],YES_Writing_FLA[Student Number]),0),MATCH(VLOOKUP(F$7,'Writing Logic'!$J$7:$K$11,2,FALSE)&amp;" - Per "&amp;VLOOKUP($C$4,'Writing Logic'!$G$8:$H$14,2,FALSE),YES_Writing_ELA[#Headers],0)))),"")</f>
        <v/>
      </c>
      <c r="G212" s="138" t="str">
        <f>IFERROR(IF(IF(INDEX(_xlfn.VSTACK(YES_Writing_ELA[#Data],YES_Writing_FLA[#Data]),MATCH($A212,_xlfn.VSTACK(YES_Writing_ELA[Student Number],YES_Writing_FLA[Student Number]),0),MATCH(VLOOKUP(G$7,'Writing Logic'!$J$7:$K$11,2,FALSE)&amp;" - Per "&amp;VLOOKUP($C$4,'Writing Logic'!$G$8:$H$14,2,FALSE),YES_Writing_ELA[#Headers],0))=0,"",INDEX(_xlfn.VSTACK(YES_Writing_ELA[#Data],YES_Writing_FLA[#Data]),MATCH($A212,_xlfn.VSTACK(YES_Writing_ELA[Student Number],YES_Writing_FLA[Student Number]),0),MATCH(VLOOKUP(G$7,'Writing Logic'!$J$7:$K$11,2,FALSE)&amp;" - Per "&amp;VLOOKUP($C$4,'Writing Logic'!$G$8:$H$14,2,FALSE),YES_Writing_ELA[#Headers],0)))="INS",'Writing Logic'!$B$7,IF(INDEX(_xlfn.VSTACK(YES_Writing_ELA[#Data],YES_Writing_FLA[#Data]),MATCH($A212,_xlfn.VSTACK(YES_Writing_ELA[Student Number],YES_Writing_FLA[Student Number]),0),MATCH(VLOOKUP(G$7,'Writing Logic'!$J$7:$K$11,2,FALSE)&amp;" - Per "&amp;VLOOKUP($C$4,'Writing Logic'!$G$8:$H$14,2,FALSE),YES_Writing_ELA[#Headers],0))=0,"",INDEX(_xlfn.VSTACK(YES_Writing_ELA[#Data],YES_Writing_FLA[#Data]),MATCH($A212,_xlfn.VSTACK(YES_Writing_ELA[Student Number],YES_Writing_FLA[Student Number]),0),MATCH(VLOOKUP(G$7,'Writing Logic'!$J$7:$K$11,2,FALSE)&amp;" - Per "&amp;VLOOKUP($C$4,'Writing Logic'!$G$8:$H$14,2,FALSE),YES_Writing_ELA[#Headers],0)))),"")</f>
        <v/>
      </c>
      <c r="H212" s="223" t="str">
        <f>IFERROR(IF(IF(INDEX(_xlfn.VSTACK(YES_Writing_ELA[#Data],YES_Writing_FLA[#Data]),MATCH($A212,_xlfn.VSTACK(YES_Writing_ELA[Student Number],YES_Writing_FLA[Student Number]),0),MATCH(VLOOKUP(H$7,'Writing Logic'!$J$7:$K$11,2,FALSE)&amp;" - Per "&amp;VLOOKUP($C$4,'Writing Logic'!$G$8:$H$14,2,FALSE),YES_Writing_ELA[#Headers],0))=0,"",INDEX(_xlfn.VSTACK(YES_Writing_ELA[#Data],YES_Writing_FLA[#Data]),MATCH($A212,_xlfn.VSTACK(YES_Writing_ELA[Student Number],YES_Writing_FLA[Student Number]),0),MATCH(VLOOKUP(H$7,'Writing Logic'!$J$7:$K$11,2,FALSE)&amp;" - Per "&amp;VLOOKUP($C$4,'Writing Logic'!$G$8:$H$14,2,FALSE),YES_Writing_ELA[#Headers],0)))="INS",'Writing Logic'!$B$7,IF(INDEX(_xlfn.VSTACK(YES_Writing_ELA[#Data],YES_Writing_FLA[#Data]),MATCH($A212,_xlfn.VSTACK(YES_Writing_ELA[Student Number],YES_Writing_FLA[Student Number]),0),MATCH(VLOOKUP(H$7,'Writing Logic'!$J$7:$K$11,2,FALSE)&amp;" - Per "&amp;VLOOKUP($C$4,'Writing Logic'!$G$8:$H$14,2,FALSE),YES_Writing_ELA[#Headers],0))=0,"",INDEX(_xlfn.VSTACK(YES_Writing_ELA[#Data],YES_Writing_FLA[#Data]),MATCH($A212,_xlfn.VSTACK(YES_Writing_ELA[Student Number],YES_Writing_FLA[Student Number]),0),MATCH(VLOOKUP(H$7,'Writing Logic'!$J$7:$K$11,2,FALSE)&amp;" - Per "&amp;VLOOKUP($C$4,'Writing Logic'!$G$8:$H$14,2,FALSE),YES_Writing_ELA[#Headers],0)))),"")</f>
        <v/>
      </c>
      <c r="I212" s="224" t="str" cm="1">
        <f t="array" aca="1" ref="I212" ca="1">IFERROR(
IF($G$3="ELA",
IF(VLOOKUP($A212, YES_Reading_ELA[], COLUMN(INDIRECT("YES_Reading_ELA[Difference - Per "&amp;VLOOKUP($G$4, 'Reading Report Logic'!$A$2:$B$8, 2, FALSE)&amp;"]")), FALSE)="", "",
VLOOKUP($A212,YES_Reading_ELA[], COLUMN(INDIRECT("YES_Reading_ELA[Difference - Per "&amp;VLOOKUP($G$4,'Reading Report Logic'!$A$2:$B$8,2,FALSE)&amp;"]")), FALSE)),
IF($G$3="FLA",
IF(VLOOKUP($A212, YES_Reading_FLA[], COLUMN(INDIRECT("YES_Reading_FLA[Difference - Per "&amp;VLOOKUP($G$4,'Reading Report Logic'!$A$2:$B$8,2,FALSE)&amp;"]")),FALSE)="","",
VLOOKUP($A212,YES_Reading_FLA[],COLUMN(INDIRECT("YES_Reading_FLA[Difference - Per "&amp;VLOOKUP($G$4,'Reading Report Logic'!$A$2:$B$8,2,FALSE)&amp;"]")),FALSE)),
IF($G$3="Combined",
IFERROR(
IF(VLOOKUP($A212, YES_Reading_ELA[], COLUMN(INDIRECT("YES_Reading_ELA[Difference - Per "&amp;VLOOKUP($G$4, 'Reading Report Logic'!$A$2:$B$8,2,FALSE)&amp;"]")), FALSE)="", "",
VLOOKUP($A212,YES_Reading_ELA[],COLUMN(INDIRECT("YES_Reading_ELA[Difference - Per "&amp;VLOOKUP($G$4,'Reading Report Logic'!$A$2:$B$8,2,FALSE)&amp;"]")),FALSE)),
IF(VLOOKUP($A212, YES_Reading_FLA[], COLUMN(INDIRECT("YES_Reading_FLA[Difference - Per "&amp;VLOOKUP($G$4, 'Reading Report Logic'!$A$2:$B$8, 2, FALSE)&amp;"]")),FALSE)="", "", VLOOKUP($A212,YES_Reading_FLA[],COLUMN(INDIRECT("YES_Reading_FLA[Difference - Per "&amp;VLOOKUP($G$4, 'Reading Report Logic'!$A$2:$B$8, 2, FALSE)&amp;"]")),FALSE))),""))),"")</f>
        <v/>
      </c>
    </row>
    <row r="213" spans="1:9" x14ac:dyDescent="0.25">
      <c r="A213" s="137"/>
      <c r="B213" s="137" t="str">
        <f>IFERROR(INDEX(_xlfn.VSTACK(YES_Writing_ELA[#Data], YES_Writing_FLA[#Data]),MATCH($A213,_xlfn.VSTACK(YES_Writing_ELA[Student Number], YES_Writing_FLA[Student Number]),0),MATCH(B$7,YES_Writing_ELA[#Headers],0)),IFERROR(INDEX(_xlfn.VSTACK(YES_Reading_ELA[#Data], YES_Reading_FLA[#Data]),MATCH($A213,_xlfn.VSTACK(YES_Reading_ELA[Student Number], YES_Reading_FLA[Student Number]),0),MATCH(B$7,YES_Reading_ELA[#Headers],0)),""))</f>
        <v/>
      </c>
      <c r="C213" s="137" t="str">
        <f>IFERROR(INDEX(_xlfn.VSTACK(YES_Writing_ELA[#Data], YES_Writing_FLA[#Data]),MATCH($A213,_xlfn.VSTACK(YES_Writing_ELA[Student Number], YES_Writing_FLA[Student Number]),0),MATCH(C$7,YES_Writing_ELA[#Headers],0)),IFERROR(INDEX(_xlfn.VSTACK(YES_Reading_ELA[#Data], YES_Reading_FLA[#Data]),MATCH($A213,_xlfn.VSTACK(YES_Reading_ELA[Student Number], YES_Reading_FLA[Student Number]),0),MATCH(C$7,YES_Reading_ELA[#Headers],0)),""))</f>
        <v/>
      </c>
      <c r="D213" s="138" t="str">
        <f>IFERROR(IF(IF(INDEX(_xlfn.VSTACK(YES_Writing_ELA[#Data],YES_Writing_FLA[#Data]),MATCH($A213,_xlfn.VSTACK(YES_Writing_ELA[Student Number],YES_Writing_FLA[Student Number]),0),MATCH(VLOOKUP(D$7,'Writing Logic'!$J$7:$K$11,2,FALSE)&amp;" - Per "&amp;VLOOKUP($C$4,'Writing Logic'!$G$8:$H$14,2,FALSE),YES_Writing_ELA[#Headers],0))=0,"",INDEX(_xlfn.VSTACK(YES_Writing_ELA[#Data],YES_Writing_FLA[#Data]),MATCH($A213,_xlfn.VSTACK(YES_Writing_ELA[Student Number],YES_Writing_FLA[Student Number]),0),MATCH(VLOOKUP(D$7,'Writing Logic'!$J$7:$K$11,2,FALSE)&amp;" - Per "&amp;VLOOKUP($C$4,'Writing Logic'!$G$8:$H$14,2,FALSE),YES_Writing_ELA[#Headers],0)))="INS",'Writing Logic'!$B$7,IF(INDEX(_xlfn.VSTACK(YES_Writing_ELA[#Data],YES_Writing_FLA[#Data]),MATCH($A213,_xlfn.VSTACK(YES_Writing_ELA[Student Number],YES_Writing_FLA[Student Number]),0),MATCH(VLOOKUP(D$7,'Writing Logic'!$J$7:$K$11,2,FALSE)&amp;" - Per "&amp;VLOOKUP($C$4,'Writing Logic'!$G$8:$H$14,2,FALSE),YES_Writing_ELA[#Headers],0))=0,"",INDEX(_xlfn.VSTACK(YES_Writing_ELA[#Data],YES_Writing_FLA[#Data]),MATCH($A213,_xlfn.VSTACK(YES_Writing_ELA[Student Number],YES_Writing_FLA[Student Number]),0),MATCH(VLOOKUP(D$7,'Writing Logic'!$J$7:$K$11,2,FALSE)&amp;" - Per "&amp;VLOOKUP($C$4,'Writing Logic'!$G$8:$H$14,2,FALSE),YES_Writing_ELA[#Headers],0)))),"")</f>
        <v/>
      </c>
      <c r="E213" s="138" t="str">
        <f>IFERROR(IF(IF(INDEX(_xlfn.VSTACK(YES_Writing_ELA[#Data],YES_Writing_FLA[#Data]),MATCH($A213,_xlfn.VSTACK(YES_Writing_ELA[Student Number],YES_Writing_FLA[Student Number]),0),MATCH(VLOOKUP(E$7,'Writing Logic'!$J$7:$K$11,2,FALSE)&amp;" - Per "&amp;VLOOKUP($C$4,'Writing Logic'!$G$8:$H$14,2,FALSE),YES_Writing_ELA[#Headers],0))=0,"",INDEX(_xlfn.VSTACK(YES_Writing_ELA[#Data],YES_Writing_FLA[#Data]),MATCH($A213,_xlfn.VSTACK(YES_Writing_ELA[Student Number],YES_Writing_FLA[Student Number]),0),MATCH(VLOOKUP(E$7,'Writing Logic'!$J$7:$K$11,2,FALSE)&amp;" - Per "&amp;VLOOKUP($C$4,'Writing Logic'!$G$8:$H$14,2,FALSE),YES_Writing_ELA[#Headers],0)))="INS",'Writing Logic'!$B$7,IF(INDEX(_xlfn.VSTACK(YES_Writing_ELA[#Data],YES_Writing_FLA[#Data]),MATCH($A213,_xlfn.VSTACK(YES_Writing_ELA[Student Number],YES_Writing_FLA[Student Number]),0),MATCH(VLOOKUP(E$7,'Writing Logic'!$J$7:$K$11,2,FALSE)&amp;" - Per "&amp;VLOOKUP($C$4,'Writing Logic'!$G$8:$H$14,2,FALSE),YES_Writing_ELA[#Headers],0))=0,"",INDEX(_xlfn.VSTACK(YES_Writing_ELA[#Data],YES_Writing_FLA[#Data]),MATCH($A213,_xlfn.VSTACK(YES_Writing_ELA[Student Number],YES_Writing_FLA[Student Number]),0),MATCH(VLOOKUP(E$7,'Writing Logic'!$J$7:$K$11,2,FALSE)&amp;" - Per "&amp;VLOOKUP($C$4,'Writing Logic'!$G$8:$H$14,2,FALSE),YES_Writing_ELA[#Headers],0)))),"")</f>
        <v/>
      </c>
      <c r="F213" s="138" t="str">
        <f>IFERROR(IF(IF(INDEX(_xlfn.VSTACK(YES_Writing_ELA[#Data],YES_Writing_FLA[#Data]),MATCH($A213,_xlfn.VSTACK(YES_Writing_ELA[Student Number],YES_Writing_FLA[Student Number]),0),MATCH(VLOOKUP(F$7,'Writing Logic'!$J$7:$K$11,2,FALSE)&amp;" - Per "&amp;VLOOKUP($C$4,'Writing Logic'!$G$8:$H$14,2,FALSE),YES_Writing_ELA[#Headers],0))=0,"",INDEX(_xlfn.VSTACK(YES_Writing_ELA[#Data],YES_Writing_FLA[#Data]),MATCH($A213,_xlfn.VSTACK(YES_Writing_ELA[Student Number],YES_Writing_FLA[Student Number]),0),MATCH(VLOOKUP(F$7,'Writing Logic'!$J$7:$K$11,2,FALSE)&amp;" - Per "&amp;VLOOKUP($C$4,'Writing Logic'!$G$8:$H$14,2,FALSE),YES_Writing_ELA[#Headers],0)))="INS",'Writing Logic'!$B$7,IF(INDEX(_xlfn.VSTACK(YES_Writing_ELA[#Data],YES_Writing_FLA[#Data]),MATCH($A213,_xlfn.VSTACK(YES_Writing_ELA[Student Number],YES_Writing_FLA[Student Number]),0),MATCH(VLOOKUP(F$7,'Writing Logic'!$J$7:$K$11,2,FALSE)&amp;" - Per "&amp;VLOOKUP($C$4,'Writing Logic'!$G$8:$H$14,2,FALSE),YES_Writing_ELA[#Headers],0))=0,"",INDEX(_xlfn.VSTACK(YES_Writing_ELA[#Data],YES_Writing_FLA[#Data]),MATCH($A213,_xlfn.VSTACK(YES_Writing_ELA[Student Number],YES_Writing_FLA[Student Number]),0),MATCH(VLOOKUP(F$7,'Writing Logic'!$J$7:$K$11,2,FALSE)&amp;" - Per "&amp;VLOOKUP($C$4,'Writing Logic'!$G$8:$H$14,2,FALSE),YES_Writing_ELA[#Headers],0)))),"")</f>
        <v/>
      </c>
      <c r="G213" s="138" t="str">
        <f>IFERROR(IF(IF(INDEX(_xlfn.VSTACK(YES_Writing_ELA[#Data],YES_Writing_FLA[#Data]),MATCH($A213,_xlfn.VSTACK(YES_Writing_ELA[Student Number],YES_Writing_FLA[Student Number]),0),MATCH(VLOOKUP(G$7,'Writing Logic'!$J$7:$K$11,2,FALSE)&amp;" - Per "&amp;VLOOKUP($C$4,'Writing Logic'!$G$8:$H$14,2,FALSE),YES_Writing_ELA[#Headers],0))=0,"",INDEX(_xlfn.VSTACK(YES_Writing_ELA[#Data],YES_Writing_FLA[#Data]),MATCH($A213,_xlfn.VSTACK(YES_Writing_ELA[Student Number],YES_Writing_FLA[Student Number]),0),MATCH(VLOOKUP(G$7,'Writing Logic'!$J$7:$K$11,2,FALSE)&amp;" - Per "&amp;VLOOKUP($C$4,'Writing Logic'!$G$8:$H$14,2,FALSE),YES_Writing_ELA[#Headers],0)))="INS",'Writing Logic'!$B$7,IF(INDEX(_xlfn.VSTACK(YES_Writing_ELA[#Data],YES_Writing_FLA[#Data]),MATCH($A213,_xlfn.VSTACK(YES_Writing_ELA[Student Number],YES_Writing_FLA[Student Number]),0),MATCH(VLOOKUP(G$7,'Writing Logic'!$J$7:$K$11,2,FALSE)&amp;" - Per "&amp;VLOOKUP($C$4,'Writing Logic'!$G$8:$H$14,2,FALSE),YES_Writing_ELA[#Headers],0))=0,"",INDEX(_xlfn.VSTACK(YES_Writing_ELA[#Data],YES_Writing_FLA[#Data]),MATCH($A213,_xlfn.VSTACK(YES_Writing_ELA[Student Number],YES_Writing_FLA[Student Number]),0),MATCH(VLOOKUP(G$7,'Writing Logic'!$J$7:$K$11,2,FALSE)&amp;" - Per "&amp;VLOOKUP($C$4,'Writing Logic'!$G$8:$H$14,2,FALSE),YES_Writing_ELA[#Headers],0)))),"")</f>
        <v/>
      </c>
      <c r="H213" s="223" t="str">
        <f>IFERROR(IF(IF(INDEX(_xlfn.VSTACK(YES_Writing_ELA[#Data],YES_Writing_FLA[#Data]),MATCH($A213,_xlfn.VSTACK(YES_Writing_ELA[Student Number],YES_Writing_FLA[Student Number]),0),MATCH(VLOOKUP(H$7,'Writing Logic'!$J$7:$K$11,2,FALSE)&amp;" - Per "&amp;VLOOKUP($C$4,'Writing Logic'!$G$8:$H$14,2,FALSE),YES_Writing_ELA[#Headers],0))=0,"",INDEX(_xlfn.VSTACK(YES_Writing_ELA[#Data],YES_Writing_FLA[#Data]),MATCH($A213,_xlfn.VSTACK(YES_Writing_ELA[Student Number],YES_Writing_FLA[Student Number]),0),MATCH(VLOOKUP(H$7,'Writing Logic'!$J$7:$K$11,2,FALSE)&amp;" - Per "&amp;VLOOKUP($C$4,'Writing Logic'!$G$8:$H$14,2,FALSE),YES_Writing_ELA[#Headers],0)))="INS",'Writing Logic'!$B$7,IF(INDEX(_xlfn.VSTACK(YES_Writing_ELA[#Data],YES_Writing_FLA[#Data]),MATCH($A213,_xlfn.VSTACK(YES_Writing_ELA[Student Number],YES_Writing_FLA[Student Number]),0),MATCH(VLOOKUP(H$7,'Writing Logic'!$J$7:$K$11,2,FALSE)&amp;" - Per "&amp;VLOOKUP($C$4,'Writing Logic'!$G$8:$H$14,2,FALSE),YES_Writing_ELA[#Headers],0))=0,"",INDEX(_xlfn.VSTACK(YES_Writing_ELA[#Data],YES_Writing_FLA[#Data]),MATCH($A213,_xlfn.VSTACK(YES_Writing_ELA[Student Number],YES_Writing_FLA[Student Number]),0),MATCH(VLOOKUP(H$7,'Writing Logic'!$J$7:$K$11,2,FALSE)&amp;" - Per "&amp;VLOOKUP($C$4,'Writing Logic'!$G$8:$H$14,2,FALSE),YES_Writing_ELA[#Headers],0)))),"")</f>
        <v/>
      </c>
      <c r="I213" s="224" t="str" cm="1">
        <f t="array" aca="1" ref="I213" ca="1">IFERROR(
IF($G$3="ELA",
IF(VLOOKUP($A213, YES_Reading_ELA[], COLUMN(INDIRECT("YES_Reading_ELA[Difference - Per "&amp;VLOOKUP($G$4, 'Reading Report Logic'!$A$2:$B$8, 2, FALSE)&amp;"]")), FALSE)="", "",
VLOOKUP($A213,YES_Reading_ELA[], COLUMN(INDIRECT("YES_Reading_ELA[Difference - Per "&amp;VLOOKUP($G$4,'Reading Report Logic'!$A$2:$B$8,2,FALSE)&amp;"]")), FALSE)),
IF($G$3="FLA",
IF(VLOOKUP($A213, YES_Reading_FLA[], COLUMN(INDIRECT("YES_Reading_FLA[Difference - Per "&amp;VLOOKUP($G$4,'Reading Report Logic'!$A$2:$B$8,2,FALSE)&amp;"]")),FALSE)="","",
VLOOKUP($A213,YES_Reading_FLA[],COLUMN(INDIRECT("YES_Reading_FLA[Difference - Per "&amp;VLOOKUP($G$4,'Reading Report Logic'!$A$2:$B$8,2,FALSE)&amp;"]")),FALSE)),
IF($G$3="Combined",
IFERROR(
IF(VLOOKUP($A213, YES_Reading_ELA[], COLUMN(INDIRECT("YES_Reading_ELA[Difference - Per "&amp;VLOOKUP($G$4, 'Reading Report Logic'!$A$2:$B$8,2,FALSE)&amp;"]")), FALSE)="", "",
VLOOKUP($A213,YES_Reading_ELA[],COLUMN(INDIRECT("YES_Reading_ELA[Difference - Per "&amp;VLOOKUP($G$4,'Reading Report Logic'!$A$2:$B$8,2,FALSE)&amp;"]")),FALSE)),
IF(VLOOKUP($A213, YES_Reading_FLA[], COLUMN(INDIRECT("YES_Reading_FLA[Difference - Per "&amp;VLOOKUP($G$4, 'Reading Report Logic'!$A$2:$B$8, 2, FALSE)&amp;"]")),FALSE)="", "", VLOOKUP($A213,YES_Reading_FLA[],COLUMN(INDIRECT("YES_Reading_FLA[Difference - Per "&amp;VLOOKUP($G$4, 'Reading Report Logic'!$A$2:$B$8, 2, FALSE)&amp;"]")),FALSE))),""))),"")</f>
        <v/>
      </c>
    </row>
    <row r="214" spans="1:9" x14ac:dyDescent="0.25">
      <c r="A214" s="137"/>
      <c r="B214" s="137" t="str">
        <f>IFERROR(INDEX(_xlfn.VSTACK(YES_Writing_ELA[#Data], YES_Writing_FLA[#Data]),MATCH($A214,_xlfn.VSTACK(YES_Writing_ELA[Student Number], YES_Writing_FLA[Student Number]),0),MATCH(B$7,YES_Writing_ELA[#Headers],0)),IFERROR(INDEX(_xlfn.VSTACK(YES_Reading_ELA[#Data], YES_Reading_FLA[#Data]),MATCH($A214,_xlfn.VSTACK(YES_Reading_ELA[Student Number], YES_Reading_FLA[Student Number]),0),MATCH(B$7,YES_Reading_ELA[#Headers],0)),""))</f>
        <v/>
      </c>
      <c r="C214" s="137" t="str">
        <f>IFERROR(INDEX(_xlfn.VSTACK(YES_Writing_ELA[#Data], YES_Writing_FLA[#Data]),MATCH($A214,_xlfn.VSTACK(YES_Writing_ELA[Student Number], YES_Writing_FLA[Student Number]),0),MATCH(C$7,YES_Writing_ELA[#Headers],0)),IFERROR(INDEX(_xlfn.VSTACK(YES_Reading_ELA[#Data], YES_Reading_FLA[#Data]),MATCH($A214,_xlfn.VSTACK(YES_Reading_ELA[Student Number], YES_Reading_FLA[Student Number]),0),MATCH(C$7,YES_Reading_ELA[#Headers],0)),""))</f>
        <v/>
      </c>
      <c r="D214" s="138" t="str">
        <f>IFERROR(IF(IF(INDEX(_xlfn.VSTACK(YES_Writing_ELA[#Data],YES_Writing_FLA[#Data]),MATCH($A214,_xlfn.VSTACK(YES_Writing_ELA[Student Number],YES_Writing_FLA[Student Number]),0),MATCH(VLOOKUP(D$7,'Writing Logic'!$J$7:$K$11,2,FALSE)&amp;" - Per "&amp;VLOOKUP($C$4,'Writing Logic'!$G$8:$H$14,2,FALSE),YES_Writing_ELA[#Headers],0))=0,"",INDEX(_xlfn.VSTACK(YES_Writing_ELA[#Data],YES_Writing_FLA[#Data]),MATCH($A214,_xlfn.VSTACK(YES_Writing_ELA[Student Number],YES_Writing_FLA[Student Number]),0),MATCH(VLOOKUP(D$7,'Writing Logic'!$J$7:$K$11,2,FALSE)&amp;" - Per "&amp;VLOOKUP($C$4,'Writing Logic'!$G$8:$H$14,2,FALSE),YES_Writing_ELA[#Headers],0)))="INS",'Writing Logic'!$B$7,IF(INDEX(_xlfn.VSTACK(YES_Writing_ELA[#Data],YES_Writing_FLA[#Data]),MATCH($A214,_xlfn.VSTACK(YES_Writing_ELA[Student Number],YES_Writing_FLA[Student Number]),0),MATCH(VLOOKUP(D$7,'Writing Logic'!$J$7:$K$11,2,FALSE)&amp;" - Per "&amp;VLOOKUP($C$4,'Writing Logic'!$G$8:$H$14,2,FALSE),YES_Writing_ELA[#Headers],0))=0,"",INDEX(_xlfn.VSTACK(YES_Writing_ELA[#Data],YES_Writing_FLA[#Data]),MATCH($A214,_xlfn.VSTACK(YES_Writing_ELA[Student Number],YES_Writing_FLA[Student Number]),0),MATCH(VLOOKUP(D$7,'Writing Logic'!$J$7:$K$11,2,FALSE)&amp;" - Per "&amp;VLOOKUP($C$4,'Writing Logic'!$G$8:$H$14,2,FALSE),YES_Writing_ELA[#Headers],0)))),"")</f>
        <v/>
      </c>
      <c r="E214" s="138" t="str">
        <f>IFERROR(IF(IF(INDEX(_xlfn.VSTACK(YES_Writing_ELA[#Data],YES_Writing_FLA[#Data]),MATCH($A214,_xlfn.VSTACK(YES_Writing_ELA[Student Number],YES_Writing_FLA[Student Number]),0),MATCH(VLOOKUP(E$7,'Writing Logic'!$J$7:$K$11,2,FALSE)&amp;" - Per "&amp;VLOOKUP($C$4,'Writing Logic'!$G$8:$H$14,2,FALSE),YES_Writing_ELA[#Headers],0))=0,"",INDEX(_xlfn.VSTACK(YES_Writing_ELA[#Data],YES_Writing_FLA[#Data]),MATCH($A214,_xlfn.VSTACK(YES_Writing_ELA[Student Number],YES_Writing_FLA[Student Number]),0),MATCH(VLOOKUP(E$7,'Writing Logic'!$J$7:$K$11,2,FALSE)&amp;" - Per "&amp;VLOOKUP($C$4,'Writing Logic'!$G$8:$H$14,2,FALSE),YES_Writing_ELA[#Headers],0)))="INS",'Writing Logic'!$B$7,IF(INDEX(_xlfn.VSTACK(YES_Writing_ELA[#Data],YES_Writing_FLA[#Data]),MATCH($A214,_xlfn.VSTACK(YES_Writing_ELA[Student Number],YES_Writing_FLA[Student Number]),0),MATCH(VLOOKUP(E$7,'Writing Logic'!$J$7:$K$11,2,FALSE)&amp;" - Per "&amp;VLOOKUP($C$4,'Writing Logic'!$G$8:$H$14,2,FALSE),YES_Writing_ELA[#Headers],0))=0,"",INDEX(_xlfn.VSTACK(YES_Writing_ELA[#Data],YES_Writing_FLA[#Data]),MATCH($A214,_xlfn.VSTACK(YES_Writing_ELA[Student Number],YES_Writing_FLA[Student Number]),0),MATCH(VLOOKUP(E$7,'Writing Logic'!$J$7:$K$11,2,FALSE)&amp;" - Per "&amp;VLOOKUP($C$4,'Writing Logic'!$G$8:$H$14,2,FALSE),YES_Writing_ELA[#Headers],0)))),"")</f>
        <v/>
      </c>
      <c r="F214" s="138" t="str">
        <f>IFERROR(IF(IF(INDEX(_xlfn.VSTACK(YES_Writing_ELA[#Data],YES_Writing_FLA[#Data]),MATCH($A214,_xlfn.VSTACK(YES_Writing_ELA[Student Number],YES_Writing_FLA[Student Number]),0),MATCH(VLOOKUP(F$7,'Writing Logic'!$J$7:$K$11,2,FALSE)&amp;" - Per "&amp;VLOOKUP($C$4,'Writing Logic'!$G$8:$H$14,2,FALSE),YES_Writing_ELA[#Headers],0))=0,"",INDEX(_xlfn.VSTACK(YES_Writing_ELA[#Data],YES_Writing_FLA[#Data]),MATCH($A214,_xlfn.VSTACK(YES_Writing_ELA[Student Number],YES_Writing_FLA[Student Number]),0),MATCH(VLOOKUP(F$7,'Writing Logic'!$J$7:$K$11,2,FALSE)&amp;" - Per "&amp;VLOOKUP($C$4,'Writing Logic'!$G$8:$H$14,2,FALSE),YES_Writing_ELA[#Headers],0)))="INS",'Writing Logic'!$B$7,IF(INDEX(_xlfn.VSTACK(YES_Writing_ELA[#Data],YES_Writing_FLA[#Data]),MATCH($A214,_xlfn.VSTACK(YES_Writing_ELA[Student Number],YES_Writing_FLA[Student Number]),0),MATCH(VLOOKUP(F$7,'Writing Logic'!$J$7:$K$11,2,FALSE)&amp;" - Per "&amp;VLOOKUP($C$4,'Writing Logic'!$G$8:$H$14,2,FALSE),YES_Writing_ELA[#Headers],0))=0,"",INDEX(_xlfn.VSTACK(YES_Writing_ELA[#Data],YES_Writing_FLA[#Data]),MATCH($A214,_xlfn.VSTACK(YES_Writing_ELA[Student Number],YES_Writing_FLA[Student Number]),0),MATCH(VLOOKUP(F$7,'Writing Logic'!$J$7:$K$11,2,FALSE)&amp;" - Per "&amp;VLOOKUP($C$4,'Writing Logic'!$G$8:$H$14,2,FALSE),YES_Writing_ELA[#Headers],0)))),"")</f>
        <v/>
      </c>
      <c r="G214" s="138" t="str">
        <f>IFERROR(IF(IF(INDEX(_xlfn.VSTACK(YES_Writing_ELA[#Data],YES_Writing_FLA[#Data]),MATCH($A214,_xlfn.VSTACK(YES_Writing_ELA[Student Number],YES_Writing_FLA[Student Number]),0),MATCH(VLOOKUP(G$7,'Writing Logic'!$J$7:$K$11,2,FALSE)&amp;" - Per "&amp;VLOOKUP($C$4,'Writing Logic'!$G$8:$H$14,2,FALSE),YES_Writing_ELA[#Headers],0))=0,"",INDEX(_xlfn.VSTACK(YES_Writing_ELA[#Data],YES_Writing_FLA[#Data]),MATCH($A214,_xlfn.VSTACK(YES_Writing_ELA[Student Number],YES_Writing_FLA[Student Number]),0),MATCH(VLOOKUP(G$7,'Writing Logic'!$J$7:$K$11,2,FALSE)&amp;" - Per "&amp;VLOOKUP($C$4,'Writing Logic'!$G$8:$H$14,2,FALSE),YES_Writing_ELA[#Headers],0)))="INS",'Writing Logic'!$B$7,IF(INDEX(_xlfn.VSTACK(YES_Writing_ELA[#Data],YES_Writing_FLA[#Data]),MATCH($A214,_xlfn.VSTACK(YES_Writing_ELA[Student Number],YES_Writing_FLA[Student Number]),0),MATCH(VLOOKUP(G$7,'Writing Logic'!$J$7:$K$11,2,FALSE)&amp;" - Per "&amp;VLOOKUP($C$4,'Writing Logic'!$G$8:$H$14,2,FALSE),YES_Writing_ELA[#Headers],0))=0,"",INDEX(_xlfn.VSTACK(YES_Writing_ELA[#Data],YES_Writing_FLA[#Data]),MATCH($A214,_xlfn.VSTACK(YES_Writing_ELA[Student Number],YES_Writing_FLA[Student Number]),0),MATCH(VLOOKUP(G$7,'Writing Logic'!$J$7:$K$11,2,FALSE)&amp;" - Per "&amp;VLOOKUP($C$4,'Writing Logic'!$G$8:$H$14,2,FALSE),YES_Writing_ELA[#Headers],0)))),"")</f>
        <v/>
      </c>
      <c r="H214" s="223" t="str">
        <f>IFERROR(IF(IF(INDEX(_xlfn.VSTACK(YES_Writing_ELA[#Data],YES_Writing_FLA[#Data]),MATCH($A214,_xlfn.VSTACK(YES_Writing_ELA[Student Number],YES_Writing_FLA[Student Number]),0),MATCH(VLOOKUP(H$7,'Writing Logic'!$J$7:$K$11,2,FALSE)&amp;" - Per "&amp;VLOOKUP($C$4,'Writing Logic'!$G$8:$H$14,2,FALSE),YES_Writing_ELA[#Headers],0))=0,"",INDEX(_xlfn.VSTACK(YES_Writing_ELA[#Data],YES_Writing_FLA[#Data]),MATCH($A214,_xlfn.VSTACK(YES_Writing_ELA[Student Number],YES_Writing_FLA[Student Number]),0),MATCH(VLOOKUP(H$7,'Writing Logic'!$J$7:$K$11,2,FALSE)&amp;" - Per "&amp;VLOOKUP($C$4,'Writing Logic'!$G$8:$H$14,2,FALSE),YES_Writing_ELA[#Headers],0)))="INS",'Writing Logic'!$B$7,IF(INDEX(_xlfn.VSTACK(YES_Writing_ELA[#Data],YES_Writing_FLA[#Data]),MATCH($A214,_xlfn.VSTACK(YES_Writing_ELA[Student Number],YES_Writing_FLA[Student Number]),0),MATCH(VLOOKUP(H$7,'Writing Logic'!$J$7:$K$11,2,FALSE)&amp;" - Per "&amp;VLOOKUP($C$4,'Writing Logic'!$G$8:$H$14,2,FALSE),YES_Writing_ELA[#Headers],0))=0,"",INDEX(_xlfn.VSTACK(YES_Writing_ELA[#Data],YES_Writing_FLA[#Data]),MATCH($A214,_xlfn.VSTACK(YES_Writing_ELA[Student Number],YES_Writing_FLA[Student Number]),0),MATCH(VLOOKUP(H$7,'Writing Logic'!$J$7:$K$11,2,FALSE)&amp;" - Per "&amp;VLOOKUP($C$4,'Writing Logic'!$G$8:$H$14,2,FALSE),YES_Writing_ELA[#Headers],0)))),"")</f>
        <v/>
      </c>
      <c r="I214" s="224" t="str" cm="1">
        <f t="array" aca="1" ref="I214" ca="1">IFERROR(
IF($G$3="ELA",
IF(VLOOKUP($A214, YES_Reading_ELA[], COLUMN(INDIRECT("YES_Reading_ELA[Difference - Per "&amp;VLOOKUP($G$4, 'Reading Report Logic'!$A$2:$B$8, 2, FALSE)&amp;"]")), FALSE)="", "",
VLOOKUP($A214,YES_Reading_ELA[], COLUMN(INDIRECT("YES_Reading_ELA[Difference - Per "&amp;VLOOKUP($G$4,'Reading Report Logic'!$A$2:$B$8,2,FALSE)&amp;"]")), FALSE)),
IF($G$3="FLA",
IF(VLOOKUP($A214, YES_Reading_FLA[], COLUMN(INDIRECT("YES_Reading_FLA[Difference - Per "&amp;VLOOKUP($G$4,'Reading Report Logic'!$A$2:$B$8,2,FALSE)&amp;"]")),FALSE)="","",
VLOOKUP($A214,YES_Reading_FLA[],COLUMN(INDIRECT("YES_Reading_FLA[Difference - Per "&amp;VLOOKUP($G$4,'Reading Report Logic'!$A$2:$B$8,2,FALSE)&amp;"]")),FALSE)),
IF($G$3="Combined",
IFERROR(
IF(VLOOKUP($A214, YES_Reading_ELA[], COLUMN(INDIRECT("YES_Reading_ELA[Difference - Per "&amp;VLOOKUP($G$4, 'Reading Report Logic'!$A$2:$B$8,2,FALSE)&amp;"]")), FALSE)="", "",
VLOOKUP($A214,YES_Reading_ELA[],COLUMN(INDIRECT("YES_Reading_ELA[Difference - Per "&amp;VLOOKUP($G$4,'Reading Report Logic'!$A$2:$B$8,2,FALSE)&amp;"]")),FALSE)),
IF(VLOOKUP($A214, YES_Reading_FLA[], COLUMN(INDIRECT("YES_Reading_FLA[Difference - Per "&amp;VLOOKUP($G$4, 'Reading Report Logic'!$A$2:$B$8, 2, FALSE)&amp;"]")),FALSE)="", "", VLOOKUP($A214,YES_Reading_FLA[],COLUMN(INDIRECT("YES_Reading_FLA[Difference - Per "&amp;VLOOKUP($G$4, 'Reading Report Logic'!$A$2:$B$8, 2, FALSE)&amp;"]")),FALSE))),""))),"")</f>
        <v/>
      </c>
    </row>
    <row r="215" spans="1:9" x14ac:dyDescent="0.25">
      <c r="A215" s="137"/>
      <c r="B215" s="137" t="str">
        <f>IFERROR(INDEX(_xlfn.VSTACK(YES_Writing_ELA[#Data], YES_Writing_FLA[#Data]),MATCH($A215,_xlfn.VSTACK(YES_Writing_ELA[Student Number], YES_Writing_FLA[Student Number]),0),MATCH(B$7,YES_Writing_ELA[#Headers],0)),IFERROR(INDEX(_xlfn.VSTACK(YES_Reading_ELA[#Data], YES_Reading_FLA[#Data]),MATCH($A215,_xlfn.VSTACK(YES_Reading_ELA[Student Number], YES_Reading_FLA[Student Number]),0),MATCH(B$7,YES_Reading_ELA[#Headers],0)),""))</f>
        <v/>
      </c>
      <c r="C215" s="137" t="str">
        <f>IFERROR(INDEX(_xlfn.VSTACK(YES_Writing_ELA[#Data], YES_Writing_FLA[#Data]),MATCH($A215,_xlfn.VSTACK(YES_Writing_ELA[Student Number], YES_Writing_FLA[Student Number]),0),MATCH(C$7,YES_Writing_ELA[#Headers],0)),IFERROR(INDEX(_xlfn.VSTACK(YES_Reading_ELA[#Data], YES_Reading_FLA[#Data]),MATCH($A215,_xlfn.VSTACK(YES_Reading_ELA[Student Number], YES_Reading_FLA[Student Number]),0),MATCH(C$7,YES_Reading_ELA[#Headers],0)),""))</f>
        <v/>
      </c>
      <c r="D215" s="138" t="str">
        <f>IFERROR(IF(IF(INDEX(_xlfn.VSTACK(YES_Writing_ELA[#Data],YES_Writing_FLA[#Data]),MATCH($A215,_xlfn.VSTACK(YES_Writing_ELA[Student Number],YES_Writing_FLA[Student Number]),0),MATCH(VLOOKUP(D$7,'Writing Logic'!$J$7:$K$11,2,FALSE)&amp;" - Per "&amp;VLOOKUP($C$4,'Writing Logic'!$G$8:$H$14,2,FALSE),YES_Writing_ELA[#Headers],0))=0,"",INDEX(_xlfn.VSTACK(YES_Writing_ELA[#Data],YES_Writing_FLA[#Data]),MATCH($A215,_xlfn.VSTACK(YES_Writing_ELA[Student Number],YES_Writing_FLA[Student Number]),0),MATCH(VLOOKUP(D$7,'Writing Logic'!$J$7:$K$11,2,FALSE)&amp;" - Per "&amp;VLOOKUP($C$4,'Writing Logic'!$G$8:$H$14,2,FALSE),YES_Writing_ELA[#Headers],0)))="INS",'Writing Logic'!$B$7,IF(INDEX(_xlfn.VSTACK(YES_Writing_ELA[#Data],YES_Writing_FLA[#Data]),MATCH($A215,_xlfn.VSTACK(YES_Writing_ELA[Student Number],YES_Writing_FLA[Student Number]),0),MATCH(VLOOKUP(D$7,'Writing Logic'!$J$7:$K$11,2,FALSE)&amp;" - Per "&amp;VLOOKUP($C$4,'Writing Logic'!$G$8:$H$14,2,FALSE),YES_Writing_ELA[#Headers],0))=0,"",INDEX(_xlfn.VSTACK(YES_Writing_ELA[#Data],YES_Writing_FLA[#Data]),MATCH($A215,_xlfn.VSTACK(YES_Writing_ELA[Student Number],YES_Writing_FLA[Student Number]),0),MATCH(VLOOKUP(D$7,'Writing Logic'!$J$7:$K$11,2,FALSE)&amp;" - Per "&amp;VLOOKUP($C$4,'Writing Logic'!$G$8:$H$14,2,FALSE),YES_Writing_ELA[#Headers],0)))),"")</f>
        <v/>
      </c>
      <c r="E215" s="138" t="str">
        <f>IFERROR(IF(IF(INDEX(_xlfn.VSTACK(YES_Writing_ELA[#Data],YES_Writing_FLA[#Data]),MATCH($A215,_xlfn.VSTACK(YES_Writing_ELA[Student Number],YES_Writing_FLA[Student Number]),0),MATCH(VLOOKUP(E$7,'Writing Logic'!$J$7:$K$11,2,FALSE)&amp;" - Per "&amp;VLOOKUP($C$4,'Writing Logic'!$G$8:$H$14,2,FALSE),YES_Writing_ELA[#Headers],0))=0,"",INDEX(_xlfn.VSTACK(YES_Writing_ELA[#Data],YES_Writing_FLA[#Data]),MATCH($A215,_xlfn.VSTACK(YES_Writing_ELA[Student Number],YES_Writing_FLA[Student Number]),0),MATCH(VLOOKUP(E$7,'Writing Logic'!$J$7:$K$11,2,FALSE)&amp;" - Per "&amp;VLOOKUP($C$4,'Writing Logic'!$G$8:$H$14,2,FALSE),YES_Writing_ELA[#Headers],0)))="INS",'Writing Logic'!$B$7,IF(INDEX(_xlfn.VSTACK(YES_Writing_ELA[#Data],YES_Writing_FLA[#Data]),MATCH($A215,_xlfn.VSTACK(YES_Writing_ELA[Student Number],YES_Writing_FLA[Student Number]),0),MATCH(VLOOKUP(E$7,'Writing Logic'!$J$7:$K$11,2,FALSE)&amp;" - Per "&amp;VLOOKUP($C$4,'Writing Logic'!$G$8:$H$14,2,FALSE),YES_Writing_ELA[#Headers],0))=0,"",INDEX(_xlfn.VSTACK(YES_Writing_ELA[#Data],YES_Writing_FLA[#Data]),MATCH($A215,_xlfn.VSTACK(YES_Writing_ELA[Student Number],YES_Writing_FLA[Student Number]),0),MATCH(VLOOKUP(E$7,'Writing Logic'!$J$7:$K$11,2,FALSE)&amp;" - Per "&amp;VLOOKUP($C$4,'Writing Logic'!$G$8:$H$14,2,FALSE),YES_Writing_ELA[#Headers],0)))),"")</f>
        <v/>
      </c>
      <c r="F215" s="138" t="str">
        <f>IFERROR(IF(IF(INDEX(_xlfn.VSTACK(YES_Writing_ELA[#Data],YES_Writing_FLA[#Data]),MATCH($A215,_xlfn.VSTACK(YES_Writing_ELA[Student Number],YES_Writing_FLA[Student Number]),0),MATCH(VLOOKUP(F$7,'Writing Logic'!$J$7:$K$11,2,FALSE)&amp;" - Per "&amp;VLOOKUP($C$4,'Writing Logic'!$G$8:$H$14,2,FALSE),YES_Writing_ELA[#Headers],0))=0,"",INDEX(_xlfn.VSTACK(YES_Writing_ELA[#Data],YES_Writing_FLA[#Data]),MATCH($A215,_xlfn.VSTACK(YES_Writing_ELA[Student Number],YES_Writing_FLA[Student Number]),0),MATCH(VLOOKUP(F$7,'Writing Logic'!$J$7:$K$11,2,FALSE)&amp;" - Per "&amp;VLOOKUP($C$4,'Writing Logic'!$G$8:$H$14,2,FALSE),YES_Writing_ELA[#Headers],0)))="INS",'Writing Logic'!$B$7,IF(INDEX(_xlfn.VSTACK(YES_Writing_ELA[#Data],YES_Writing_FLA[#Data]),MATCH($A215,_xlfn.VSTACK(YES_Writing_ELA[Student Number],YES_Writing_FLA[Student Number]),0),MATCH(VLOOKUP(F$7,'Writing Logic'!$J$7:$K$11,2,FALSE)&amp;" - Per "&amp;VLOOKUP($C$4,'Writing Logic'!$G$8:$H$14,2,FALSE),YES_Writing_ELA[#Headers],0))=0,"",INDEX(_xlfn.VSTACK(YES_Writing_ELA[#Data],YES_Writing_FLA[#Data]),MATCH($A215,_xlfn.VSTACK(YES_Writing_ELA[Student Number],YES_Writing_FLA[Student Number]),0),MATCH(VLOOKUP(F$7,'Writing Logic'!$J$7:$K$11,2,FALSE)&amp;" - Per "&amp;VLOOKUP($C$4,'Writing Logic'!$G$8:$H$14,2,FALSE),YES_Writing_ELA[#Headers],0)))),"")</f>
        <v/>
      </c>
      <c r="G215" s="138" t="str">
        <f>IFERROR(IF(IF(INDEX(_xlfn.VSTACK(YES_Writing_ELA[#Data],YES_Writing_FLA[#Data]),MATCH($A215,_xlfn.VSTACK(YES_Writing_ELA[Student Number],YES_Writing_FLA[Student Number]),0),MATCH(VLOOKUP(G$7,'Writing Logic'!$J$7:$K$11,2,FALSE)&amp;" - Per "&amp;VLOOKUP($C$4,'Writing Logic'!$G$8:$H$14,2,FALSE),YES_Writing_ELA[#Headers],0))=0,"",INDEX(_xlfn.VSTACK(YES_Writing_ELA[#Data],YES_Writing_FLA[#Data]),MATCH($A215,_xlfn.VSTACK(YES_Writing_ELA[Student Number],YES_Writing_FLA[Student Number]),0),MATCH(VLOOKUP(G$7,'Writing Logic'!$J$7:$K$11,2,FALSE)&amp;" - Per "&amp;VLOOKUP($C$4,'Writing Logic'!$G$8:$H$14,2,FALSE),YES_Writing_ELA[#Headers],0)))="INS",'Writing Logic'!$B$7,IF(INDEX(_xlfn.VSTACK(YES_Writing_ELA[#Data],YES_Writing_FLA[#Data]),MATCH($A215,_xlfn.VSTACK(YES_Writing_ELA[Student Number],YES_Writing_FLA[Student Number]),0),MATCH(VLOOKUP(G$7,'Writing Logic'!$J$7:$K$11,2,FALSE)&amp;" - Per "&amp;VLOOKUP($C$4,'Writing Logic'!$G$8:$H$14,2,FALSE),YES_Writing_ELA[#Headers],0))=0,"",INDEX(_xlfn.VSTACK(YES_Writing_ELA[#Data],YES_Writing_FLA[#Data]),MATCH($A215,_xlfn.VSTACK(YES_Writing_ELA[Student Number],YES_Writing_FLA[Student Number]),0),MATCH(VLOOKUP(G$7,'Writing Logic'!$J$7:$K$11,2,FALSE)&amp;" - Per "&amp;VLOOKUP($C$4,'Writing Logic'!$G$8:$H$14,2,FALSE),YES_Writing_ELA[#Headers],0)))),"")</f>
        <v/>
      </c>
      <c r="H215" s="223" t="str">
        <f>IFERROR(IF(IF(INDEX(_xlfn.VSTACK(YES_Writing_ELA[#Data],YES_Writing_FLA[#Data]),MATCH($A215,_xlfn.VSTACK(YES_Writing_ELA[Student Number],YES_Writing_FLA[Student Number]),0),MATCH(VLOOKUP(H$7,'Writing Logic'!$J$7:$K$11,2,FALSE)&amp;" - Per "&amp;VLOOKUP($C$4,'Writing Logic'!$G$8:$H$14,2,FALSE),YES_Writing_ELA[#Headers],0))=0,"",INDEX(_xlfn.VSTACK(YES_Writing_ELA[#Data],YES_Writing_FLA[#Data]),MATCH($A215,_xlfn.VSTACK(YES_Writing_ELA[Student Number],YES_Writing_FLA[Student Number]),0),MATCH(VLOOKUP(H$7,'Writing Logic'!$J$7:$K$11,2,FALSE)&amp;" - Per "&amp;VLOOKUP($C$4,'Writing Logic'!$G$8:$H$14,2,FALSE),YES_Writing_ELA[#Headers],0)))="INS",'Writing Logic'!$B$7,IF(INDEX(_xlfn.VSTACK(YES_Writing_ELA[#Data],YES_Writing_FLA[#Data]),MATCH($A215,_xlfn.VSTACK(YES_Writing_ELA[Student Number],YES_Writing_FLA[Student Number]),0),MATCH(VLOOKUP(H$7,'Writing Logic'!$J$7:$K$11,2,FALSE)&amp;" - Per "&amp;VLOOKUP($C$4,'Writing Logic'!$G$8:$H$14,2,FALSE),YES_Writing_ELA[#Headers],0))=0,"",INDEX(_xlfn.VSTACK(YES_Writing_ELA[#Data],YES_Writing_FLA[#Data]),MATCH($A215,_xlfn.VSTACK(YES_Writing_ELA[Student Number],YES_Writing_FLA[Student Number]),0),MATCH(VLOOKUP(H$7,'Writing Logic'!$J$7:$K$11,2,FALSE)&amp;" - Per "&amp;VLOOKUP($C$4,'Writing Logic'!$G$8:$H$14,2,FALSE),YES_Writing_ELA[#Headers],0)))),"")</f>
        <v/>
      </c>
      <c r="I215" s="224" t="str" cm="1">
        <f t="array" aca="1" ref="I215" ca="1">IFERROR(
IF($G$3="ELA",
IF(VLOOKUP($A215, YES_Reading_ELA[], COLUMN(INDIRECT("YES_Reading_ELA[Difference - Per "&amp;VLOOKUP($G$4, 'Reading Report Logic'!$A$2:$B$8, 2, FALSE)&amp;"]")), FALSE)="", "",
VLOOKUP($A215,YES_Reading_ELA[], COLUMN(INDIRECT("YES_Reading_ELA[Difference - Per "&amp;VLOOKUP($G$4,'Reading Report Logic'!$A$2:$B$8,2,FALSE)&amp;"]")), FALSE)),
IF($G$3="FLA",
IF(VLOOKUP($A215, YES_Reading_FLA[], COLUMN(INDIRECT("YES_Reading_FLA[Difference - Per "&amp;VLOOKUP($G$4,'Reading Report Logic'!$A$2:$B$8,2,FALSE)&amp;"]")),FALSE)="","",
VLOOKUP($A215,YES_Reading_FLA[],COLUMN(INDIRECT("YES_Reading_FLA[Difference - Per "&amp;VLOOKUP($G$4,'Reading Report Logic'!$A$2:$B$8,2,FALSE)&amp;"]")),FALSE)),
IF($G$3="Combined",
IFERROR(
IF(VLOOKUP($A215, YES_Reading_ELA[], COLUMN(INDIRECT("YES_Reading_ELA[Difference - Per "&amp;VLOOKUP($G$4, 'Reading Report Logic'!$A$2:$B$8,2,FALSE)&amp;"]")), FALSE)="", "",
VLOOKUP($A215,YES_Reading_ELA[],COLUMN(INDIRECT("YES_Reading_ELA[Difference - Per "&amp;VLOOKUP($G$4,'Reading Report Logic'!$A$2:$B$8,2,FALSE)&amp;"]")),FALSE)),
IF(VLOOKUP($A215, YES_Reading_FLA[], COLUMN(INDIRECT("YES_Reading_FLA[Difference - Per "&amp;VLOOKUP($G$4, 'Reading Report Logic'!$A$2:$B$8, 2, FALSE)&amp;"]")),FALSE)="", "", VLOOKUP($A215,YES_Reading_FLA[],COLUMN(INDIRECT("YES_Reading_FLA[Difference - Per "&amp;VLOOKUP($G$4, 'Reading Report Logic'!$A$2:$B$8, 2, FALSE)&amp;"]")),FALSE))),""))),"")</f>
        <v/>
      </c>
    </row>
    <row r="216" spans="1:9" x14ac:dyDescent="0.25">
      <c r="A216" s="137"/>
      <c r="B216" s="137" t="str">
        <f>IFERROR(INDEX(_xlfn.VSTACK(YES_Writing_ELA[#Data], YES_Writing_FLA[#Data]),MATCH($A216,_xlfn.VSTACK(YES_Writing_ELA[Student Number], YES_Writing_FLA[Student Number]),0),MATCH(B$7,YES_Writing_ELA[#Headers],0)),IFERROR(INDEX(_xlfn.VSTACK(YES_Reading_ELA[#Data], YES_Reading_FLA[#Data]),MATCH($A216,_xlfn.VSTACK(YES_Reading_ELA[Student Number], YES_Reading_FLA[Student Number]),0),MATCH(B$7,YES_Reading_ELA[#Headers],0)),""))</f>
        <v/>
      </c>
      <c r="C216" s="137" t="str">
        <f>IFERROR(INDEX(_xlfn.VSTACK(YES_Writing_ELA[#Data], YES_Writing_FLA[#Data]),MATCH($A216,_xlfn.VSTACK(YES_Writing_ELA[Student Number], YES_Writing_FLA[Student Number]),0),MATCH(C$7,YES_Writing_ELA[#Headers],0)),IFERROR(INDEX(_xlfn.VSTACK(YES_Reading_ELA[#Data], YES_Reading_FLA[#Data]),MATCH($A216,_xlfn.VSTACK(YES_Reading_ELA[Student Number], YES_Reading_FLA[Student Number]),0),MATCH(C$7,YES_Reading_ELA[#Headers],0)),""))</f>
        <v/>
      </c>
      <c r="D216" s="138" t="str">
        <f>IFERROR(IF(IF(INDEX(_xlfn.VSTACK(YES_Writing_ELA[#Data],YES_Writing_FLA[#Data]),MATCH($A216,_xlfn.VSTACK(YES_Writing_ELA[Student Number],YES_Writing_FLA[Student Number]),0),MATCH(VLOOKUP(D$7,'Writing Logic'!$J$7:$K$11,2,FALSE)&amp;" - Per "&amp;VLOOKUP($C$4,'Writing Logic'!$G$8:$H$14,2,FALSE),YES_Writing_ELA[#Headers],0))=0,"",INDEX(_xlfn.VSTACK(YES_Writing_ELA[#Data],YES_Writing_FLA[#Data]),MATCH($A216,_xlfn.VSTACK(YES_Writing_ELA[Student Number],YES_Writing_FLA[Student Number]),0),MATCH(VLOOKUP(D$7,'Writing Logic'!$J$7:$K$11,2,FALSE)&amp;" - Per "&amp;VLOOKUP($C$4,'Writing Logic'!$G$8:$H$14,2,FALSE),YES_Writing_ELA[#Headers],0)))="INS",'Writing Logic'!$B$7,IF(INDEX(_xlfn.VSTACK(YES_Writing_ELA[#Data],YES_Writing_FLA[#Data]),MATCH($A216,_xlfn.VSTACK(YES_Writing_ELA[Student Number],YES_Writing_FLA[Student Number]),0),MATCH(VLOOKUP(D$7,'Writing Logic'!$J$7:$K$11,2,FALSE)&amp;" - Per "&amp;VLOOKUP($C$4,'Writing Logic'!$G$8:$H$14,2,FALSE),YES_Writing_ELA[#Headers],0))=0,"",INDEX(_xlfn.VSTACK(YES_Writing_ELA[#Data],YES_Writing_FLA[#Data]),MATCH($A216,_xlfn.VSTACK(YES_Writing_ELA[Student Number],YES_Writing_FLA[Student Number]),0),MATCH(VLOOKUP(D$7,'Writing Logic'!$J$7:$K$11,2,FALSE)&amp;" - Per "&amp;VLOOKUP($C$4,'Writing Logic'!$G$8:$H$14,2,FALSE),YES_Writing_ELA[#Headers],0)))),"")</f>
        <v/>
      </c>
      <c r="E216" s="138" t="str">
        <f>IFERROR(IF(IF(INDEX(_xlfn.VSTACK(YES_Writing_ELA[#Data],YES_Writing_FLA[#Data]),MATCH($A216,_xlfn.VSTACK(YES_Writing_ELA[Student Number],YES_Writing_FLA[Student Number]),0),MATCH(VLOOKUP(E$7,'Writing Logic'!$J$7:$K$11,2,FALSE)&amp;" - Per "&amp;VLOOKUP($C$4,'Writing Logic'!$G$8:$H$14,2,FALSE),YES_Writing_ELA[#Headers],0))=0,"",INDEX(_xlfn.VSTACK(YES_Writing_ELA[#Data],YES_Writing_FLA[#Data]),MATCH($A216,_xlfn.VSTACK(YES_Writing_ELA[Student Number],YES_Writing_FLA[Student Number]),0),MATCH(VLOOKUP(E$7,'Writing Logic'!$J$7:$K$11,2,FALSE)&amp;" - Per "&amp;VLOOKUP($C$4,'Writing Logic'!$G$8:$H$14,2,FALSE),YES_Writing_ELA[#Headers],0)))="INS",'Writing Logic'!$B$7,IF(INDEX(_xlfn.VSTACK(YES_Writing_ELA[#Data],YES_Writing_FLA[#Data]),MATCH($A216,_xlfn.VSTACK(YES_Writing_ELA[Student Number],YES_Writing_FLA[Student Number]),0),MATCH(VLOOKUP(E$7,'Writing Logic'!$J$7:$K$11,2,FALSE)&amp;" - Per "&amp;VLOOKUP($C$4,'Writing Logic'!$G$8:$H$14,2,FALSE),YES_Writing_ELA[#Headers],0))=0,"",INDEX(_xlfn.VSTACK(YES_Writing_ELA[#Data],YES_Writing_FLA[#Data]),MATCH($A216,_xlfn.VSTACK(YES_Writing_ELA[Student Number],YES_Writing_FLA[Student Number]),0),MATCH(VLOOKUP(E$7,'Writing Logic'!$J$7:$K$11,2,FALSE)&amp;" - Per "&amp;VLOOKUP($C$4,'Writing Logic'!$G$8:$H$14,2,FALSE),YES_Writing_ELA[#Headers],0)))),"")</f>
        <v/>
      </c>
      <c r="F216" s="138" t="str">
        <f>IFERROR(IF(IF(INDEX(_xlfn.VSTACK(YES_Writing_ELA[#Data],YES_Writing_FLA[#Data]),MATCH($A216,_xlfn.VSTACK(YES_Writing_ELA[Student Number],YES_Writing_FLA[Student Number]),0),MATCH(VLOOKUP(F$7,'Writing Logic'!$J$7:$K$11,2,FALSE)&amp;" - Per "&amp;VLOOKUP($C$4,'Writing Logic'!$G$8:$H$14,2,FALSE),YES_Writing_ELA[#Headers],0))=0,"",INDEX(_xlfn.VSTACK(YES_Writing_ELA[#Data],YES_Writing_FLA[#Data]),MATCH($A216,_xlfn.VSTACK(YES_Writing_ELA[Student Number],YES_Writing_FLA[Student Number]),0),MATCH(VLOOKUP(F$7,'Writing Logic'!$J$7:$K$11,2,FALSE)&amp;" - Per "&amp;VLOOKUP($C$4,'Writing Logic'!$G$8:$H$14,2,FALSE),YES_Writing_ELA[#Headers],0)))="INS",'Writing Logic'!$B$7,IF(INDEX(_xlfn.VSTACK(YES_Writing_ELA[#Data],YES_Writing_FLA[#Data]),MATCH($A216,_xlfn.VSTACK(YES_Writing_ELA[Student Number],YES_Writing_FLA[Student Number]),0),MATCH(VLOOKUP(F$7,'Writing Logic'!$J$7:$K$11,2,FALSE)&amp;" - Per "&amp;VLOOKUP($C$4,'Writing Logic'!$G$8:$H$14,2,FALSE),YES_Writing_ELA[#Headers],0))=0,"",INDEX(_xlfn.VSTACK(YES_Writing_ELA[#Data],YES_Writing_FLA[#Data]),MATCH($A216,_xlfn.VSTACK(YES_Writing_ELA[Student Number],YES_Writing_FLA[Student Number]),0),MATCH(VLOOKUP(F$7,'Writing Logic'!$J$7:$K$11,2,FALSE)&amp;" - Per "&amp;VLOOKUP($C$4,'Writing Logic'!$G$8:$H$14,2,FALSE),YES_Writing_ELA[#Headers],0)))),"")</f>
        <v/>
      </c>
      <c r="G216" s="138" t="str">
        <f>IFERROR(IF(IF(INDEX(_xlfn.VSTACK(YES_Writing_ELA[#Data],YES_Writing_FLA[#Data]),MATCH($A216,_xlfn.VSTACK(YES_Writing_ELA[Student Number],YES_Writing_FLA[Student Number]),0),MATCH(VLOOKUP(G$7,'Writing Logic'!$J$7:$K$11,2,FALSE)&amp;" - Per "&amp;VLOOKUP($C$4,'Writing Logic'!$G$8:$H$14,2,FALSE),YES_Writing_ELA[#Headers],0))=0,"",INDEX(_xlfn.VSTACK(YES_Writing_ELA[#Data],YES_Writing_FLA[#Data]),MATCH($A216,_xlfn.VSTACK(YES_Writing_ELA[Student Number],YES_Writing_FLA[Student Number]),0),MATCH(VLOOKUP(G$7,'Writing Logic'!$J$7:$K$11,2,FALSE)&amp;" - Per "&amp;VLOOKUP($C$4,'Writing Logic'!$G$8:$H$14,2,FALSE),YES_Writing_ELA[#Headers],0)))="INS",'Writing Logic'!$B$7,IF(INDEX(_xlfn.VSTACK(YES_Writing_ELA[#Data],YES_Writing_FLA[#Data]),MATCH($A216,_xlfn.VSTACK(YES_Writing_ELA[Student Number],YES_Writing_FLA[Student Number]),0),MATCH(VLOOKUP(G$7,'Writing Logic'!$J$7:$K$11,2,FALSE)&amp;" - Per "&amp;VLOOKUP($C$4,'Writing Logic'!$G$8:$H$14,2,FALSE),YES_Writing_ELA[#Headers],0))=0,"",INDEX(_xlfn.VSTACK(YES_Writing_ELA[#Data],YES_Writing_FLA[#Data]),MATCH($A216,_xlfn.VSTACK(YES_Writing_ELA[Student Number],YES_Writing_FLA[Student Number]),0),MATCH(VLOOKUP(G$7,'Writing Logic'!$J$7:$K$11,2,FALSE)&amp;" - Per "&amp;VLOOKUP($C$4,'Writing Logic'!$G$8:$H$14,2,FALSE),YES_Writing_ELA[#Headers],0)))),"")</f>
        <v/>
      </c>
      <c r="H216" s="223" t="str">
        <f>IFERROR(IF(IF(INDEX(_xlfn.VSTACK(YES_Writing_ELA[#Data],YES_Writing_FLA[#Data]),MATCH($A216,_xlfn.VSTACK(YES_Writing_ELA[Student Number],YES_Writing_FLA[Student Number]),0),MATCH(VLOOKUP(H$7,'Writing Logic'!$J$7:$K$11,2,FALSE)&amp;" - Per "&amp;VLOOKUP($C$4,'Writing Logic'!$G$8:$H$14,2,FALSE),YES_Writing_ELA[#Headers],0))=0,"",INDEX(_xlfn.VSTACK(YES_Writing_ELA[#Data],YES_Writing_FLA[#Data]),MATCH($A216,_xlfn.VSTACK(YES_Writing_ELA[Student Number],YES_Writing_FLA[Student Number]),0),MATCH(VLOOKUP(H$7,'Writing Logic'!$J$7:$K$11,2,FALSE)&amp;" - Per "&amp;VLOOKUP($C$4,'Writing Logic'!$G$8:$H$14,2,FALSE),YES_Writing_ELA[#Headers],0)))="INS",'Writing Logic'!$B$7,IF(INDEX(_xlfn.VSTACK(YES_Writing_ELA[#Data],YES_Writing_FLA[#Data]),MATCH($A216,_xlfn.VSTACK(YES_Writing_ELA[Student Number],YES_Writing_FLA[Student Number]),0),MATCH(VLOOKUP(H$7,'Writing Logic'!$J$7:$K$11,2,FALSE)&amp;" - Per "&amp;VLOOKUP($C$4,'Writing Logic'!$G$8:$H$14,2,FALSE),YES_Writing_ELA[#Headers],0))=0,"",INDEX(_xlfn.VSTACK(YES_Writing_ELA[#Data],YES_Writing_FLA[#Data]),MATCH($A216,_xlfn.VSTACK(YES_Writing_ELA[Student Number],YES_Writing_FLA[Student Number]),0),MATCH(VLOOKUP(H$7,'Writing Logic'!$J$7:$K$11,2,FALSE)&amp;" - Per "&amp;VLOOKUP($C$4,'Writing Logic'!$G$8:$H$14,2,FALSE),YES_Writing_ELA[#Headers],0)))),"")</f>
        <v/>
      </c>
      <c r="I216" s="224" t="str" cm="1">
        <f t="array" aca="1" ref="I216" ca="1">IFERROR(
IF($G$3="ELA",
IF(VLOOKUP($A216, YES_Reading_ELA[], COLUMN(INDIRECT("YES_Reading_ELA[Difference - Per "&amp;VLOOKUP($G$4, 'Reading Report Logic'!$A$2:$B$8, 2, FALSE)&amp;"]")), FALSE)="", "",
VLOOKUP($A216,YES_Reading_ELA[], COLUMN(INDIRECT("YES_Reading_ELA[Difference - Per "&amp;VLOOKUP($G$4,'Reading Report Logic'!$A$2:$B$8,2,FALSE)&amp;"]")), FALSE)),
IF($G$3="FLA",
IF(VLOOKUP($A216, YES_Reading_FLA[], COLUMN(INDIRECT("YES_Reading_FLA[Difference - Per "&amp;VLOOKUP($G$4,'Reading Report Logic'!$A$2:$B$8,2,FALSE)&amp;"]")),FALSE)="","",
VLOOKUP($A216,YES_Reading_FLA[],COLUMN(INDIRECT("YES_Reading_FLA[Difference - Per "&amp;VLOOKUP($G$4,'Reading Report Logic'!$A$2:$B$8,2,FALSE)&amp;"]")),FALSE)),
IF($G$3="Combined",
IFERROR(
IF(VLOOKUP($A216, YES_Reading_ELA[], COLUMN(INDIRECT("YES_Reading_ELA[Difference - Per "&amp;VLOOKUP($G$4, 'Reading Report Logic'!$A$2:$B$8,2,FALSE)&amp;"]")), FALSE)="", "",
VLOOKUP($A216,YES_Reading_ELA[],COLUMN(INDIRECT("YES_Reading_ELA[Difference - Per "&amp;VLOOKUP($G$4,'Reading Report Logic'!$A$2:$B$8,2,FALSE)&amp;"]")),FALSE)),
IF(VLOOKUP($A216, YES_Reading_FLA[], COLUMN(INDIRECT("YES_Reading_FLA[Difference - Per "&amp;VLOOKUP($G$4, 'Reading Report Logic'!$A$2:$B$8, 2, FALSE)&amp;"]")),FALSE)="", "", VLOOKUP($A216,YES_Reading_FLA[],COLUMN(INDIRECT("YES_Reading_FLA[Difference - Per "&amp;VLOOKUP($G$4, 'Reading Report Logic'!$A$2:$B$8, 2, FALSE)&amp;"]")),FALSE))),""))),"")</f>
        <v/>
      </c>
    </row>
    <row r="217" spans="1:9" x14ac:dyDescent="0.25">
      <c r="A217" s="137"/>
      <c r="B217" s="137" t="str">
        <f>IFERROR(INDEX(_xlfn.VSTACK(YES_Writing_ELA[#Data], YES_Writing_FLA[#Data]),MATCH($A217,_xlfn.VSTACK(YES_Writing_ELA[Student Number], YES_Writing_FLA[Student Number]),0),MATCH(B$7,YES_Writing_ELA[#Headers],0)),IFERROR(INDEX(_xlfn.VSTACK(YES_Reading_ELA[#Data], YES_Reading_FLA[#Data]),MATCH($A217,_xlfn.VSTACK(YES_Reading_ELA[Student Number], YES_Reading_FLA[Student Number]),0),MATCH(B$7,YES_Reading_ELA[#Headers],0)),""))</f>
        <v/>
      </c>
      <c r="C217" s="137" t="str">
        <f>IFERROR(INDEX(_xlfn.VSTACK(YES_Writing_ELA[#Data], YES_Writing_FLA[#Data]),MATCH($A217,_xlfn.VSTACK(YES_Writing_ELA[Student Number], YES_Writing_FLA[Student Number]),0),MATCH(C$7,YES_Writing_ELA[#Headers],0)),IFERROR(INDEX(_xlfn.VSTACK(YES_Reading_ELA[#Data], YES_Reading_FLA[#Data]),MATCH($A217,_xlfn.VSTACK(YES_Reading_ELA[Student Number], YES_Reading_FLA[Student Number]),0),MATCH(C$7,YES_Reading_ELA[#Headers],0)),""))</f>
        <v/>
      </c>
      <c r="D217" s="138" t="str">
        <f>IFERROR(IF(IF(INDEX(_xlfn.VSTACK(YES_Writing_ELA[#Data],YES_Writing_FLA[#Data]),MATCH($A217,_xlfn.VSTACK(YES_Writing_ELA[Student Number],YES_Writing_FLA[Student Number]),0),MATCH(VLOOKUP(D$7,'Writing Logic'!$J$7:$K$11,2,FALSE)&amp;" - Per "&amp;VLOOKUP($C$4,'Writing Logic'!$G$8:$H$14,2,FALSE),YES_Writing_ELA[#Headers],0))=0,"",INDEX(_xlfn.VSTACK(YES_Writing_ELA[#Data],YES_Writing_FLA[#Data]),MATCH($A217,_xlfn.VSTACK(YES_Writing_ELA[Student Number],YES_Writing_FLA[Student Number]),0),MATCH(VLOOKUP(D$7,'Writing Logic'!$J$7:$K$11,2,FALSE)&amp;" - Per "&amp;VLOOKUP($C$4,'Writing Logic'!$G$8:$H$14,2,FALSE),YES_Writing_ELA[#Headers],0)))="INS",'Writing Logic'!$B$7,IF(INDEX(_xlfn.VSTACK(YES_Writing_ELA[#Data],YES_Writing_FLA[#Data]),MATCH($A217,_xlfn.VSTACK(YES_Writing_ELA[Student Number],YES_Writing_FLA[Student Number]),0),MATCH(VLOOKUP(D$7,'Writing Logic'!$J$7:$K$11,2,FALSE)&amp;" - Per "&amp;VLOOKUP($C$4,'Writing Logic'!$G$8:$H$14,2,FALSE),YES_Writing_ELA[#Headers],0))=0,"",INDEX(_xlfn.VSTACK(YES_Writing_ELA[#Data],YES_Writing_FLA[#Data]),MATCH($A217,_xlfn.VSTACK(YES_Writing_ELA[Student Number],YES_Writing_FLA[Student Number]),0),MATCH(VLOOKUP(D$7,'Writing Logic'!$J$7:$K$11,2,FALSE)&amp;" - Per "&amp;VLOOKUP($C$4,'Writing Logic'!$G$8:$H$14,2,FALSE),YES_Writing_ELA[#Headers],0)))),"")</f>
        <v/>
      </c>
      <c r="E217" s="138" t="str">
        <f>IFERROR(IF(IF(INDEX(_xlfn.VSTACK(YES_Writing_ELA[#Data],YES_Writing_FLA[#Data]),MATCH($A217,_xlfn.VSTACK(YES_Writing_ELA[Student Number],YES_Writing_FLA[Student Number]),0),MATCH(VLOOKUP(E$7,'Writing Logic'!$J$7:$K$11,2,FALSE)&amp;" - Per "&amp;VLOOKUP($C$4,'Writing Logic'!$G$8:$H$14,2,FALSE),YES_Writing_ELA[#Headers],0))=0,"",INDEX(_xlfn.VSTACK(YES_Writing_ELA[#Data],YES_Writing_FLA[#Data]),MATCH($A217,_xlfn.VSTACK(YES_Writing_ELA[Student Number],YES_Writing_FLA[Student Number]),0),MATCH(VLOOKUP(E$7,'Writing Logic'!$J$7:$K$11,2,FALSE)&amp;" - Per "&amp;VLOOKUP($C$4,'Writing Logic'!$G$8:$H$14,2,FALSE),YES_Writing_ELA[#Headers],0)))="INS",'Writing Logic'!$B$7,IF(INDEX(_xlfn.VSTACK(YES_Writing_ELA[#Data],YES_Writing_FLA[#Data]),MATCH($A217,_xlfn.VSTACK(YES_Writing_ELA[Student Number],YES_Writing_FLA[Student Number]),0),MATCH(VLOOKUP(E$7,'Writing Logic'!$J$7:$K$11,2,FALSE)&amp;" - Per "&amp;VLOOKUP($C$4,'Writing Logic'!$G$8:$H$14,2,FALSE),YES_Writing_ELA[#Headers],0))=0,"",INDEX(_xlfn.VSTACK(YES_Writing_ELA[#Data],YES_Writing_FLA[#Data]),MATCH($A217,_xlfn.VSTACK(YES_Writing_ELA[Student Number],YES_Writing_FLA[Student Number]),0),MATCH(VLOOKUP(E$7,'Writing Logic'!$J$7:$K$11,2,FALSE)&amp;" - Per "&amp;VLOOKUP($C$4,'Writing Logic'!$G$8:$H$14,2,FALSE),YES_Writing_ELA[#Headers],0)))),"")</f>
        <v/>
      </c>
      <c r="F217" s="138" t="str">
        <f>IFERROR(IF(IF(INDEX(_xlfn.VSTACK(YES_Writing_ELA[#Data],YES_Writing_FLA[#Data]),MATCH($A217,_xlfn.VSTACK(YES_Writing_ELA[Student Number],YES_Writing_FLA[Student Number]),0),MATCH(VLOOKUP(F$7,'Writing Logic'!$J$7:$K$11,2,FALSE)&amp;" - Per "&amp;VLOOKUP($C$4,'Writing Logic'!$G$8:$H$14,2,FALSE),YES_Writing_ELA[#Headers],0))=0,"",INDEX(_xlfn.VSTACK(YES_Writing_ELA[#Data],YES_Writing_FLA[#Data]),MATCH($A217,_xlfn.VSTACK(YES_Writing_ELA[Student Number],YES_Writing_FLA[Student Number]),0),MATCH(VLOOKUP(F$7,'Writing Logic'!$J$7:$K$11,2,FALSE)&amp;" - Per "&amp;VLOOKUP($C$4,'Writing Logic'!$G$8:$H$14,2,FALSE),YES_Writing_ELA[#Headers],0)))="INS",'Writing Logic'!$B$7,IF(INDEX(_xlfn.VSTACK(YES_Writing_ELA[#Data],YES_Writing_FLA[#Data]),MATCH($A217,_xlfn.VSTACK(YES_Writing_ELA[Student Number],YES_Writing_FLA[Student Number]),0),MATCH(VLOOKUP(F$7,'Writing Logic'!$J$7:$K$11,2,FALSE)&amp;" - Per "&amp;VLOOKUP($C$4,'Writing Logic'!$G$8:$H$14,2,FALSE),YES_Writing_ELA[#Headers],0))=0,"",INDEX(_xlfn.VSTACK(YES_Writing_ELA[#Data],YES_Writing_FLA[#Data]),MATCH($A217,_xlfn.VSTACK(YES_Writing_ELA[Student Number],YES_Writing_FLA[Student Number]),0),MATCH(VLOOKUP(F$7,'Writing Logic'!$J$7:$K$11,2,FALSE)&amp;" - Per "&amp;VLOOKUP($C$4,'Writing Logic'!$G$8:$H$14,2,FALSE),YES_Writing_ELA[#Headers],0)))),"")</f>
        <v/>
      </c>
      <c r="G217" s="138" t="str">
        <f>IFERROR(IF(IF(INDEX(_xlfn.VSTACK(YES_Writing_ELA[#Data],YES_Writing_FLA[#Data]),MATCH($A217,_xlfn.VSTACK(YES_Writing_ELA[Student Number],YES_Writing_FLA[Student Number]),0),MATCH(VLOOKUP(G$7,'Writing Logic'!$J$7:$K$11,2,FALSE)&amp;" - Per "&amp;VLOOKUP($C$4,'Writing Logic'!$G$8:$H$14,2,FALSE),YES_Writing_ELA[#Headers],0))=0,"",INDEX(_xlfn.VSTACK(YES_Writing_ELA[#Data],YES_Writing_FLA[#Data]),MATCH($A217,_xlfn.VSTACK(YES_Writing_ELA[Student Number],YES_Writing_FLA[Student Number]),0),MATCH(VLOOKUP(G$7,'Writing Logic'!$J$7:$K$11,2,FALSE)&amp;" - Per "&amp;VLOOKUP($C$4,'Writing Logic'!$G$8:$H$14,2,FALSE),YES_Writing_ELA[#Headers],0)))="INS",'Writing Logic'!$B$7,IF(INDEX(_xlfn.VSTACK(YES_Writing_ELA[#Data],YES_Writing_FLA[#Data]),MATCH($A217,_xlfn.VSTACK(YES_Writing_ELA[Student Number],YES_Writing_FLA[Student Number]),0),MATCH(VLOOKUP(G$7,'Writing Logic'!$J$7:$K$11,2,FALSE)&amp;" - Per "&amp;VLOOKUP($C$4,'Writing Logic'!$G$8:$H$14,2,FALSE),YES_Writing_ELA[#Headers],0))=0,"",INDEX(_xlfn.VSTACK(YES_Writing_ELA[#Data],YES_Writing_FLA[#Data]),MATCH($A217,_xlfn.VSTACK(YES_Writing_ELA[Student Number],YES_Writing_FLA[Student Number]),0),MATCH(VLOOKUP(G$7,'Writing Logic'!$J$7:$K$11,2,FALSE)&amp;" - Per "&amp;VLOOKUP($C$4,'Writing Logic'!$G$8:$H$14,2,FALSE),YES_Writing_ELA[#Headers],0)))),"")</f>
        <v/>
      </c>
      <c r="H217" s="223" t="str">
        <f>IFERROR(IF(IF(INDEX(_xlfn.VSTACK(YES_Writing_ELA[#Data],YES_Writing_FLA[#Data]),MATCH($A217,_xlfn.VSTACK(YES_Writing_ELA[Student Number],YES_Writing_FLA[Student Number]),0),MATCH(VLOOKUP(H$7,'Writing Logic'!$J$7:$K$11,2,FALSE)&amp;" - Per "&amp;VLOOKUP($C$4,'Writing Logic'!$G$8:$H$14,2,FALSE),YES_Writing_ELA[#Headers],0))=0,"",INDEX(_xlfn.VSTACK(YES_Writing_ELA[#Data],YES_Writing_FLA[#Data]),MATCH($A217,_xlfn.VSTACK(YES_Writing_ELA[Student Number],YES_Writing_FLA[Student Number]),0),MATCH(VLOOKUP(H$7,'Writing Logic'!$J$7:$K$11,2,FALSE)&amp;" - Per "&amp;VLOOKUP($C$4,'Writing Logic'!$G$8:$H$14,2,FALSE),YES_Writing_ELA[#Headers],0)))="INS",'Writing Logic'!$B$7,IF(INDEX(_xlfn.VSTACK(YES_Writing_ELA[#Data],YES_Writing_FLA[#Data]),MATCH($A217,_xlfn.VSTACK(YES_Writing_ELA[Student Number],YES_Writing_FLA[Student Number]),0),MATCH(VLOOKUP(H$7,'Writing Logic'!$J$7:$K$11,2,FALSE)&amp;" - Per "&amp;VLOOKUP($C$4,'Writing Logic'!$G$8:$H$14,2,FALSE),YES_Writing_ELA[#Headers],0))=0,"",INDEX(_xlfn.VSTACK(YES_Writing_ELA[#Data],YES_Writing_FLA[#Data]),MATCH($A217,_xlfn.VSTACK(YES_Writing_ELA[Student Number],YES_Writing_FLA[Student Number]),0),MATCH(VLOOKUP(H$7,'Writing Logic'!$J$7:$K$11,2,FALSE)&amp;" - Per "&amp;VLOOKUP($C$4,'Writing Logic'!$G$8:$H$14,2,FALSE),YES_Writing_ELA[#Headers],0)))),"")</f>
        <v/>
      </c>
      <c r="I217" s="224" t="str" cm="1">
        <f t="array" aca="1" ref="I217" ca="1">IFERROR(
IF($G$3="ELA",
IF(VLOOKUP($A217, YES_Reading_ELA[], COLUMN(INDIRECT("YES_Reading_ELA[Difference - Per "&amp;VLOOKUP($G$4, 'Reading Report Logic'!$A$2:$B$8, 2, FALSE)&amp;"]")), FALSE)="", "",
VLOOKUP($A217,YES_Reading_ELA[], COLUMN(INDIRECT("YES_Reading_ELA[Difference - Per "&amp;VLOOKUP($G$4,'Reading Report Logic'!$A$2:$B$8,2,FALSE)&amp;"]")), FALSE)),
IF($G$3="FLA",
IF(VLOOKUP($A217, YES_Reading_FLA[], COLUMN(INDIRECT("YES_Reading_FLA[Difference - Per "&amp;VLOOKUP($G$4,'Reading Report Logic'!$A$2:$B$8,2,FALSE)&amp;"]")),FALSE)="","",
VLOOKUP($A217,YES_Reading_FLA[],COLUMN(INDIRECT("YES_Reading_FLA[Difference - Per "&amp;VLOOKUP($G$4,'Reading Report Logic'!$A$2:$B$8,2,FALSE)&amp;"]")),FALSE)),
IF($G$3="Combined",
IFERROR(
IF(VLOOKUP($A217, YES_Reading_ELA[], COLUMN(INDIRECT("YES_Reading_ELA[Difference - Per "&amp;VLOOKUP($G$4, 'Reading Report Logic'!$A$2:$B$8,2,FALSE)&amp;"]")), FALSE)="", "",
VLOOKUP($A217,YES_Reading_ELA[],COLUMN(INDIRECT("YES_Reading_ELA[Difference - Per "&amp;VLOOKUP($G$4,'Reading Report Logic'!$A$2:$B$8,2,FALSE)&amp;"]")),FALSE)),
IF(VLOOKUP($A217, YES_Reading_FLA[], COLUMN(INDIRECT("YES_Reading_FLA[Difference - Per "&amp;VLOOKUP($G$4, 'Reading Report Logic'!$A$2:$B$8, 2, FALSE)&amp;"]")),FALSE)="", "", VLOOKUP($A217,YES_Reading_FLA[],COLUMN(INDIRECT("YES_Reading_FLA[Difference - Per "&amp;VLOOKUP($G$4, 'Reading Report Logic'!$A$2:$B$8, 2, FALSE)&amp;"]")),FALSE))),""))),"")</f>
        <v/>
      </c>
    </row>
    <row r="218" spans="1:9" x14ac:dyDescent="0.25">
      <c r="A218" s="137"/>
      <c r="B218" s="137" t="str">
        <f>IFERROR(INDEX(_xlfn.VSTACK(YES_Writing_ELA[#Data], YES_Writing_FLA[#Data]),MATCH($A218,_xlfn.VSTACK(YES_Writing_ELA[Student Number], YES_Writing_FLA[Student Number]),0),MATCH(B$7,YES_Writing_ELA[#Headers],0)),IFERROR(INDEX(_xlfn.VSTACK(YES_Reading_ELA[#Data], YES_Reading_FLA[#Data]),MATCH($A218,_xlfn.VSTACK(YES_Reading_ELA[Student Number], YES_Reading_FLA[Student Number]),0),MATCH(B$7,YES_Reading_ELA[#Headers],0)),""))</f>
        <v/>
      </c>
      <c r="C218" s="137" t="str">
        <f>IFERROR(INDEX(_xlfn.VSTACK(YES_Writing_ELA[#Data], YES_Writing_FLA[#Data]),MATCH($A218,_xlfn.VSTACK(YES_Writing_ELA[Student Number], YES_Writing_FLA[Student Number]),0),MATCH(C$7,YES_Writing_ELA[#Headers],0)),IFERROR(INDEX(_xlfn.VSTACK(YES_Reading_ELA[#Data], YES_Reading_FLA[#Data]),MATCH($A218,_xlfn.VSTACK(YES_Reading_ELA[Student Number], YES_Reading_FLA[Student Number]),0),MATCH(C$7,YES_Reading_ELA[#Headers],0)),""))</f>
        <v/>
      </c>
      <c r="D218" s="138" t="str">
        <f>IFERROR(IF(IF(INDEX(_xlfn.VSTACK(YES_Writing_ELA[#Data],YES_Writing_FLA[#Data]),MATCH($A218,_xlfn.VSTACK(YES_Writing_ELA[Student Number],YES_Writing_FLA[Student Number]),0),MATCH(VLOOKUP(D$7,'Writing Logic'!$J$7:$K$11,2,FALSE)&amp;" - Per "&amp;VLOOKUP($C$4,'Writing Logic'!$G$8:$H$14,2,FALSE),YES_Writing_ELA[#Headers],0))=0,"",INDEX(_xlfn.VSTACK(YES_Writing_ELA[#Data],YES_Writing_FLA[#Data]),MATCH($A218,_xlfn.VSTACK(YES_Writing_ELA[Student Number],YES_Writing_FLA[Student Number]),0),MATCH(VLOOKUP(D$7,'Writing Logic'!$J$7:$K$11,2,FALSE)&amp;" - Per "&amp;VLOOKUP($C$4,'Writing Logic'!$G$8:$H$14,2,FALSE),YES_Writing_ELA[#Headers],0)))="INS",'Writing Logic'!$B$7,IF(INDEX(_xlfn.VSTACK(YES_Writing_ELA[#Data],YES_Writing_FLA[#Data]),MATCH($A218,_xlfn.VSTACK(YES_Writing_ELA[Student Number],YES_Writing_FLA[Student Number]),0),MATCH(VLOOKUP(D$7,'Writing Logic'!$J$7:$K$11,2,FALSE)&amp;" - Per "&amp;VLOOKUP($C$4,'Writing Logic'!$G$8:$H$14,2,FALSE),YES_Writing_ELA[#Headers],0))=0,"",INDEX(_xlfn.VSTACK(YES_Writing_ELA[#Data],YES_Writing_FLA[#Data]),MATCH($A218,_xlfn.VSTACK(YES_Writing_ELA[Student Number],YES_Writing_FLA[Student Number]),0),MATCH(VLOOKUP(D$7,'Writing Logic'!$J$7:$K$11,2,FALSE)&amp;" - Per "&amp;VLOOKUP($C$4,'Writing Logic'!$G$8:$H$14,2,FALSE),YES_Writing_ELA[#Headers],0)))),"")</f>
        <v/>
      </c>
      <c r="E218" s="138" t="str">
        <f>IFERROR(IF(IF(INDEX(_xlfn.VSTACK(YES_Writing_ELA[#Data],YES_Writing_FLA[#Data]),MATCH($A218,_xlfn.VSTACK(YES_Writing_ELA[Student Number],YES_Writing_FLA[Student Number]),0),MATCH(VLOOKUP(E$7,'Writing Logic'!$J$7:$K$11,2,FALSE)&amp;" - Per "&amp;VLOOKUP($C$4,'Writing Logic'!$G$8:$H$14,2,FALSE),YES_Writing_ELA[#Headers],0))=0,"",INDEX(_xlfn.VSTACK(YES_Writing_ELA[#Data],YES_Writing_FLA[#Data]),MATCH($A218,_xlfn.VSTACK(YES_Writing_ELA[Student Number],YES_Writing_FLA[Student Number]),0),MATCH(VLOOKUP(E$7,'Writing Logic'!$J$7:$K$11,2,FALSE)&amp;" - Per "&amp;VLOOKUP($C$4,'Writing Logic'!$G$8:$H$14,2,FALSE),YES_Writing_ELA[#Headers],0)))="INS",'Writing Logic'!$B$7,IF(INDEX(_xlfn.VSTACK(YES_Writing_ELA[#Data],YES_Writing_FLA[#Data]),MATCH($A218,_xlfn.VSTACK(YES_Writing_ELA[Student Number],YES_Writing_FLA[Student Number]),0),MATCH(VLOOKUP(E$7,'Writing Logic'!$J$7:$K$11,2,FALSE)&amp;" - Per "&amp;VLOOKUP($C$4,'Writing Logic'!$G$8:$H$14,2,FALSE),YES_Writing_ELA[#Headers],0))=0,"",INDEX(_xlfn.VSTACK(YES_Writing_ELA[#Data],YES_Writing_FLA[#Data]),MATCH($A218,_xlfn.VSTACK(YES_Writing_ELA[Student Number],YES_Writing_FLA[Student Number]),0),MATCH(VLOOKUP(E$7,'Writing Logic'!$J$7:$K$11,2,FALSE)&amp;" - Per "&amp;VLOOKUP($C$4,'Writing Logic'!$G$8:$H$14,2,FALSE),YES_Writing_ELA[#Headers],0)))),"")</f>
        <v/>
      </c>
      <c r="F218" s="138" t="str">
        <f>IFERROR(IF(IF(INDEX(_xlfn.VSTACK(YES_Writing_ELA[#Data],YES_Writing_FLA[#Data]),MATCH($A218,_xlfn.VSTACK(YES_Writing_ELA[Student Number],YES_Writing_FLA[Student Number]),0),MATCH(VLOOKUP(F$7,'Writing Logic'!$J$7:$K$11,2,FALSE)&amp;" - Per "&amp;VLOOKUP($C$4,'Writing Logic'!$G$8:$H$14,2,FALSE),YES_Writing_ELA[#Headers],0))=0,"",INDEX(_xlfn.VSTACK(YES_Writing_ELA[#Data],YES_Writing_FLA[#Data]),MATCH($A218,_xlfn.VSTACK(YES_Writing_ELA[Student Number],YES_Writing_FLA[Student Number]),0),MATCH(VLOOKUP(F$7,'Writing Logic'!$J$7:$K$11,2,FALSE)&amp;" - Per "&amp;VLOOKUP($C$4,'Writing Logic'!$G$8:$H$14,2,FALSE),YES_Writing_ELA[#Headers],0)))="INS",'Writing Logic'!$B$7,IF(INDEX(_xlfn.VSTACK(YES_Writing_ELA[#Data],YES_Writing_FLA[#Data]),MATCH($A218,_xlfn.VSTACK(YES_Writing_ELA[Student Number],YES_Writing_FLA[Student Number]),0),MATCH(VLOOKUP(F$7,'Writing Logic'!$J$7:$K$11,2,FALSE)&amp;" - Per "&amp;VLOOKUP($C$4,'Writing Logic'!$G$8:$H$14,2,FALSE),YES_Writing_ELA[#Headers],0))=0,"",INDEX(_xlfn.VSTACK(YES_Writing_ELA[#Data],YES_Writing_FLA[#Data]),MATCH($A218,_xlfn.VSTACK(YES_Writing_ELA[Student Number],YES_Writing_FLA[Student Number]),0),MATCH(VLOOKUP(F$7,'Writing Logic'!$J$7:$K$11,2,FALSE)&amp;" - Per "&amp;VLOOKUP($C$4,'Writing Logic'!$G$8:$H$14,2,FALSE),YES_Writing_ELA[#Headers],0)))),"")</f>
        <v/>
      </c>
      <c r="G218" s="138" t="str">
        <f>IFERROR(IF(IF(INDEX(_xlfn.VSTACK(YES_Writing_ELA[#Data],YES_Writing_FLA[#Data]),MATCH($A218,_xlfn.VSTACK(YES_Writing_ELA[Student Number],YES_Writing_FLA[Student Number]),0),MATCH(VLOOKUP(G$7,'Writing Logic'!$J$7:$K$11,2,FALSE)&amp;" - Per "&amp;VLOOKUP($C$4,'Writing Logic'!$G$8:$H$14,2,FALSE),YES_Writing_ELA[#Headers],0))=0,"",INDEX(_xlfn.VSTACK(YES_Writing_ELA[#Data],YES_Writing_FLA[#Data]),MATCH($A218,_xlfn.VSTACK(YES_Writing_ELA[Student Number],YES_Writing_FLA[Student Number]),0),MATCH(VLOOKUP(G$7,'Writing Logic'!$J$7:$K$11,2,FALSE)&amp;" - Per "&amp;VLOOKUP($C$4,'Writing Logic'!$G$8:$H$14,2,FALSE),YES_Writing_ELA[#Headers],0)))="INS",'Writing Logic'!$B$7,IF(INDEX(_xlfn.VSTACK(YES_Writing_ELA[#Data],YES_Writing_FLA[#Data]),MATCH($A218,_xlfn.VSTACK(YES_Writing_ELA[Student Number],YES_Writing_FLA[Student Number]),0),MATCH(VLOOKUP(G$7,'Writing Logic'!$J$7:$K$11,2,FALSE)&amp;" - Per "&amp;VLOOKUP($C$4,'Writing Logic'!$G$8:$H$14,2,FALSE),YES_Writing_ELA[#Headers],0))=0,"",INDEX(_xlfn.VSTACK(YES_Writing_ELA[#Data],YES_Writing_FLA[#Data]),MATCH($A218,_xlfn.VSTACK(YES_Writing_ELA[Student Number],YES_Writing_FLA[Student Number]),0),MATCH(VLOOKUP(G$7,'Writing Logic'!$J$7:$K$11,2,FALSE)&amp;" - Per "&amp;VLOOKUP($C$4,'Writing Logic'!$G$8:$H$14,2,FALSE),YES_Writing_ELA[#Headers],0)))),"")</f>
        <v/>
      </c>
      <c r="H218" s="223" t="str">
        <f>IFERROR(IF(IF(INDEX(_xlfn.VSTACK(YES_Writing_ELA[#Data],YES_Writing_FLA[#Data]),MATCH($A218,_xlfn.VSTACK(YES_Writing_ELA[Student Number],YES_Writing_FLA[Student Number]),0),MATCH(VLOOKUP(H$7,'Writing Logic'!$J$7:$K$11,2,FALSE)&amp;" - Per "&amp;VLOOKUP($C$4,'Writing Logic'!$G$8:$H$14,2,FALSE),YES_Writing_ELA[#Headers],0))=0,"",INDEX(_xlfn.VSTACK(YES_Writing_ELA[#Data],YES_Writing_FLA[#Data]),MATCH($A218,_xlfn.VSTACK(YES_Writing_ELA[Student Number],YES_Writing_FLA[Student Number]),0),MATCH(VLOOKUP(H$7,'Writing Logic'!$J$7:$K$11,2,FALSE)&amp;" - Per "&amp;VLOOKUP($C$4,'Writing Logic'!$G$8:$H$14,2,FALSE),YES_Writing_ELA[#Headers],0)))="INS",'Writing Logic'!$B$7,IF(INDEX(_xlfn.VSTACK(YES_Writing_ELA[#Data],YES_Writing_FLA[#Data]),MATCH($A218,_xlfn.VSTACK(YES_Writing_ELA[Student Number],YES_Writing_FLA[Student Number]),0),MATCH(VLOOKUP(H$7,'Writing Logic'!$J$7:$K$11,2,FALSE)&amp;" - Per "&amp;VLOOKUP($C$4,'Writing Logic'!$G$8:$H$14,2,FALSE),YES_Writing_ELA[#Headers],0))=0,"",INDEX(_xlfn.VSTACK(YES_Writing_ELA[#Data],YES_Writing_FLA[#Data]),MATCH($A218,_xlfn.VSTACK(YES_Writing_ELA[Student Number],YES_Writing_FLA[Student Number]),0),MATCH(VLOOKUP(H$7,'Writing Logic'!$J$7:$K$11,2,FALSE)&amp;" - Per "&amp;VLOOKUP($C$4,'Writing Logic'!$G$8:$H$14,2,FALSE),YES_Writing_ELA[#Headers],0)))),"")</f>
        <v/>
      </c>
      <c r="I218" s="224" t="str" cm="1">
        <f t="array" aca="1" ref="I218" ca="1">IFERROR(
IF($G$3="ELA",
IF(VLOOKUP($A218, YES_Reading_ELA[], COLUMN(INDIRECT("YES_Reading_ELA[Difference - Per "&amp;VLOOKUP($G$4, 'Reading Report Logic'!$A$2:$B$8, 2, FALSE)&amp;"]")), FALSE)="", "",
VLOOKUP($A218,YES_Reading_ELA[], COLUMN(INDIRECT("YES_Reading_ELA[Difference - Per "&amp;VLOOKUP($G$4,'Reading Report Logic'!$A$2:$B$8,2,FALSE)&amp;"]")), FALSE)),
IF($G$3="FLA",
IF(VLOOKUP($A218, YES_Reading_FLA[], COLUMN(INDIRECT("YES_Reading_FLA[Difference - Per "&amp;VLOOKUP($G$4,'Reading Report Logic'!$A$2:$B$8,2,FALSE)&amp;"]")),FALSE)="","",
VLOOKUP($A218,YES_Reading_FLA[],COLUMN(INDIRECT("YES_Reading_FLA[Difference - Per "&amp;VLOOKUP($G$4,'Reading Report Logic'!$A$2:$B$8,2,FALSE)&amp;"]")),FALSE)),
IF($G$3="Combined",
IFERROR(
IF(VLOOKUP($A218, YES_Reading_ELA[], COLUMN(INDIRECT("YES_Reading_ELA[Difference - Per "&amp;VLOOKUP($G$4, 'Reading Report Logic'!$A$2:$B$8,2,FALSE)&amp;"]")), FALSE)="", "",
VLOOKUP($A218,YES_Reading_ELA[],COLUMN(INDIRECT("YES_Reading_ELA[Difference - Per "&amp;VLOOKUP($G$4,'Reading Report Logic'!$A$2:$B$8,2,FALSE)&amp;"]")),FALSE)),
IF(VLOOKUP($A218, YES_Reading_FLA[], COLUMN(INDIRECT("YES_Reading_FLA[Difference - Per "&amp;VLOOKUP($G$4, 'Reading Report Logic'!$A$2:$B$8, 2, FALSE)&amp;"]")),FALSE)="", "", VLOOKUP($A218,YES_Reading_FLA[],COLUMN(INDIRECT("YES_Reading_FLA[Difference - Per "&amp;VLOOKUP($G$4, 'Reading Report Logic'!$A$2:$B$8, 2, FALSE)&amp;"]")),FALSE))),""))),"")</f>
        <v/>
      </c>
    </row>
    <row r="219" spans="1:9" x14ac:dyDescent="0.25">
      <c r="A219" s="137"/>
      <c r="B219" s="137" t="str">
        <f>IFERROR(INDEX(_xlfn.VSTACK(YES_Writing_ELA[#Data], YES_Writing_FLA[#Data]),MATCH($A219,_xlfn.VSTACK(YES_Writing_ELA[Student Number], YES_Writing_FLA[Student Number]),0),MATCH(B$7,YES_Writing_ELA[#Headers],0)),IFERROR(INDEX(_xlfn.VSTACK(YES_Reading_ELA[#Data], YES_Reading_FLA[#Data]),MATCH($A219,_xlfn.VSTACK(YES_Reading_ELA[Student Number], YES_Reading_FLA[Student Number]),0),MATCH(B$7,YES_Reading_ELA[#Headers],0)),""))</f>
        <v/>
      </c>
      <c r="C219" s="137" t="str">
        <f>IFERROR(INDEX(_xlfn.VSTACK(YES_Writing_ELA[#Data], YES_Writing_FLA[#Data]),MATCH($A219,_xlfn.VSTACK(YES_Writing_ELA[Student Number], YES_Writing_FLA[Student Number]),0),MATCH(C$7,YES_Writing_ELA[#Headers],0)),IFERROR(INDEX(_xlfn.VSTACK(YES_Reading_ELA[#Data], YES_Reading_FLA[#Data]),MATCH($A219,_xlfn.VSTACK(YES_Reading_ELA[Student Number], YES_Reading_FLA[Student Number]),0),MATCH(C$7,YES_Reading_ELA[#Headers],0)),""))</f>
        <v/>
      </c>
      <c r="D219" s="138" t="str">
        <f>IFERROR(IF(IF(INDEX(_xlfn.VSTACK(YES_Writing_ELA[#Data],YES_Writing_FLA[#Data]),MATCH($A219,_xlfn.VSTACK(YES_Writing_ELA[Student Number],YES_Writing_FLA[Student Number]),0),MATCH(VLOOKUP(D$7,'Writing Logic'!$J$7:$K$11,2,FALSE)&amp;" - Per "&amp;VLOOKUP($C$4,'Writing Logic'!$G$8:$H$14,2,FALSE),YES_Writing_ELA[#Headers],0))=0,"",INDEX(_xlfn.VSTACK(YES_Writing_ELA[#Data],YES_Writing_FLA[#Data]),MATCH($A219,_xlfn.VSTACK(YES_Writing_ELA[Student Number],YES_Writing_FLA[Student Number]),0),MATCH(VLOOKUP(D$7,'Writing Logic'!$J$7:$K$11,2,FALSE)&amp;" - Per "&amp;VLOOKUP($C$4,'Writing Logic'!$G$8:$H$14,2,FALSE),YES_Writing_ELA[#Headers],0)))="INS",'Writing Logic'!$B$7,IF(INDEX(_xlfn.VSTACK(YES_Writing_ELA[#Data],YES_Writing_FLA[#Data]),MATCH($A219,_xlfn.VSTACK(YES_Writing_ELA[Student Number],YES_Writing_FLA[Student Number]),0),MATCH(VLOOKUP(D$7,'Writing Logic'!$J$7:$K$11,2,FALSE)&amp;" - Per "&amp;VLOOKUP($C$4,'Writing Logic'!$G$8:$H$14,2,FALSE),YES_Writing_ELA[#Headers],0))=0,"",INDEX(_xlfn.VSTACK(YES_Writing_ELA[#Data],YES_Writing_FLA[#Data]),MATCH($A219,_xlfn.VSTACK(YES_Writing_ELA[Student Number],YES_Writing_FLA[Student Number]),0),MATCH(VLOOKUP(D$7,'Writing Logic'!$J$7:$K$11,2,FALSE)&amp;" - Per "&amp;VLOOKUP($C$4,'Writing Logic'!$G$8:$H$14,2,FALSE),YES_Writing_ELA[#Headers],0)))),"")</f>
        <v/>
      </c>
      <c r="E219" s="138" t="str">
        <f>IFERROR(IF(IF(INDEX(_xlfn.VSTACK(YES_Writing_ELA[#Data],YES_Writing_FLA[#Data]),MATCH($A219,_xlfn.VSTACK(YES_Writing_ELA[Student Number],YES_Writing_FLA[Student Number]),0),MATCH(VLOOKUP(E$7,'Writing Logic'!$J$7:$K$11,2,FALSE)&amp;" - Per "&amp;VLOOKUP($C$4,'Writing Logic'!$G$8:$H$14,2,FALSE),YES_Writing_ELA[#Headers],0))=0,"",INDEX(_xlfn.VSTACK(YES_Writing_ELA[#Data],YES_Writing_FLA[#Data]),MATCH($A219,_xlfn.VSTACK(YES_Writing_ELA[Student Number],YES_Writing_FLA[Student Number]),0),MATCH(VLOOKUP(E$7,'Writing Logic'!$J$7:$K$11,2,FALSE)&amp;" - Per "&amp;VLOOKUP($C$4,'Writing Logic'!$G$8:$H$14,2,FALSE),YES_Writing_ELA[#Headers],0)))="INS",'Writing Logic'!$B$7,IF(INDEX(_xlfn.VSTACK(YES_Writing_ELA[#Data],YES_Writing_FLA[#Data]),MATCH($A219,_xlfn.VSTACK(YES_Writing_ELA[Student Number],YES_Writing_FLA[Student Number]),0),MATCH(VLOOKUP(E$7,'Writing Logic'!$J$7:$K$11,2,FALSE)&amp;" - Per "&amp;VLOOKUP($C$4,'Writing Logic'!$G$8:$H$14,2,FALSE),YES_Writing_ELA[#Headers],0))=0,"",INDEX(_xlfn.VSTACK(YES_Writing_ELA[#Data],YES_Writing_FLA[#Data]),MATCH($A219,_xlfn.VSTACK(YES_Writing_ELA[Student Number],YES_Writing_FLA[Student Number]),0),MATCH(VLOOKUP(E$7,'Writing Logic'!$J$7:$K$11,2,FALSE)&amp;" - Per "&amp;VLOOKUP($C$4,'Writing Logic'!$G$8:$H$14,2,FALSE),YES_Writing_ELA[#Headers],0)))),"")</f>
        <v/>
      </c>
      <c r="F219" s="138" t="str">
        <f>IFERROR(IF(IF(INDEX(_xlfn.VSTACK(YES_Writing_ELA[#Data],YES_Writing_FLA[#Data]),MATCH($A219,_xlfn.VSTACK(YES_Writing_ELA[Student Number],YES_Writing_FLA[Student Number]),0),MATCH(VLOOKUP(F$7,'Writing Logic'!$J$7:$K$11,2,FALSE)&amp;" - Per "&amp;VLOOKUP($C$4,'Writing Logic'!$G$8:$H$14,2,FALSE),YES_Writing_ELA[#Headers],0))=0,"",INDEX(_xlfn.VSTACK(YES_Writing_ELA[#Data],YES_Writing_FLA[#Data]),MATCH($A219,_xlfn.VSTACK(YES_Writing_ELA[Student Number],YES_Writing_FLA[Student Number]),0),MATCH(VLOOKUP(F$7,'Writing Logic'!$J$7:$K$11,2,FALSE)&amp;" - Per "&amp;VLOOKUP($C$4,'Writing Logic'!$G$8:$H$14,2,FALSE),YES_Writing_ELA[#Headers],0)))="INS",'Writing Logic'!$B$7,IF(INDEX(_xlfn.VSTACK(YES_Writing_ELA[#Data],YES_Writing_FLA[#Data]),MATCH($A219,_xlfn.VSTACK(YES_Writing_ELA[Student Number],YES_Writing_FLA[Student Number]),0),MATCH(VLOOKUP(F$7,'Writing Logic'!$J$7:$K$11,2,FALSE)&amp;" - Per "&amp;VLOOKUP($C$4,'Writing Logic'!$G$8:$H$14,2,FALSE),YES_Writing_ELA[#Headers],0))=0,"",INDEX(_xlfn.VSTACK(YES_Writing_ELA[#Data],YES_Writing_FLA[#Data]),MATCH($A219,_xlfn.VSTACK(YES_Writing_ELA[Student Number],YES_Writing_FLA[Student Number]),0),MATCH(VLOOKUP(F$7,'Writing Logic'!$J$7:$K$11,2,FALSE)&amp;" - Per "&amp;VLOOKUP($C$4,'Writing Logic'!$G$8:$H$14,2,FALSE),YES_Writing_ELA[#Headers],0)))),"")</f>
        <v/>
      </c>
      <c r="G219" s="138" t="str">
        <f>IFERROR(IF(IF(INDEX(_xlfn.VSTACK(YES_Writing_ELA[#Data],YES_Writing_FLA[#Data]),MATCH($A219,_xlfn.VSTACK(YES_Writing_ELA[Student Number],YES_Writing_FLA[Student Number]),0),MATCH(VLOOKUP(G$7,'Writing Logic'!$J$7:$K$11,2,FALSE)&amp;" - Per "&amp;VLOOKUP($C$4,'Writing Logic'!$G$8:$H$14,2,FALSE),YES_Writing_ELA[#Headers],0))=0,"",INDEX(_xlfn.VSTACK(YES_Writing_ELA[#Data],YES_Writing_FLA[#Data]),MATCH($A219,_xlfn.VSTACK(YES_Writing_ELA[Student Number],YES_Writing_FLA[Student Number]),0),MATCH(VLOOKUP(G$7,'Writing Logic'!$J$7:$K$11,2,FALSE)&amp;" - Per "&amp;VLOOKUP($C$4,'Writing Logic'!$G$8:$H$14,2,FALSE),YES_Writing_ELA[#Headers],0)))="INS",'Writing Logic'!$B$7,IF(INDEX(_xlfn.VSTACK(YES_Writing_ELA[#Data],YES_Writing_FLA[#Data]),MATCH($A219,_xlfn.VSTACK(YES_Writing_ELA[Student Number],YES_Writing_FLA[Student Number]),0),MATCH(VLOOKUP(G$7,'Writing Logic'!$J$7:$K$11,2,FALSE)&amp;" - Per "&amp;VLOOKUP($C$4,'Writing Logic'!$G$8:$H$14,2,FALSE),YES_Writing_ELA[#Headers],0))=0,"",INDEX(_xlfn.VSTACK(YES_Writing_ELA[#Data],YES_Writing_FLA[#Data]),MATCH($A219,_xlfn.VSTACK(YES_Writing_ELA[Student Number],YES_Writing_FLA[Student Number]),0),MATCH(VLOOKUP(G$7,'Writing Logic'!$J$7:$K$11,2,FALSE)&amp;" - Per "&amp;VLOOKUP($C$4,'Writing Logic'!$G$8:$H$14,2,FALSE),YES_Writing_ELA[#Headers],0)))),"")</f>
        <v/>
      </c>
      <c r="H219" s="223" t="str">
        <f>IFERROR(IF(IF(INDEX(_xlfn.VSTACK(YES_Writing_ELA[#Data],YES_Writing_FLA[#Data]),MATCH($A219,_xlfn.VSTACK(YES_Writing_ELA[Student Number],YES_Writing_FLA[Student Number]),0),MATCH(VLOOKUP(H$7,'Writing Logic'!$J$7:$K$11,2,FALSE)&amp;" - Per "&amp;VLOOKUP($C$4,'Writing Logic'!$G$8:$H$14,2,FALSE),YES_Writing_ELA[#Headers],0))=0,"",INDEX(_xlfn.VSTACK(YES_Writing_ELA[#Data],YES_Writing_FLA[#Data]),MATCH($A219,_xlfn.VSTACK(YES_Writing_ELA[Student Number],YES_Writing_FLA[Student Number]),0),MATCH(VLOOKUP(H$7,'Writing Logic'!$J$7:$K$11,2,FALSE)&amp;" - Per "&amp;VLOOKUP($C$4,'Writing Logic'!$G$8:$H$14,2,FALSE),YES_Writing_ELA[#Headers],0)))="INS",'Writing Logic'!$B$7,IF(INDEX(_xlfn.VSTACK(YES_Writing_ELA[#Data],YES_Writing_FLA[#Data]),MATCH($A219,_xlfn.VSTACK(YES_Writing_ELA[Student Number],YES_Writing_FLA[Student Number]),0),MATCH(VLOOKUP(H$7,'Writing Logic'!$J$7:$K$11,2,FALSE)&amp;" - Per "&amp;VLOOKUP($C$4,'Writing Logic'!$G$8:$H$14,2,FALSE),YES_Writing_ELA[#Headers],0))=0,"",INDEX(_xlfn.VSTACK(YES_Writing_ELA[#Data],YES_Writing_FLA[#Data]),MATCH($A219,_xlfn.VSTACK(YES_Writing_ELA[Student Number],YES_Writing_FLA[Student Number]),0),MATCH(VLOOKUP(H$7,'Writing Logic'!$J$7:$K$11,2,FALSE)&amp;" - Per "&amp;VLOOKUP($C$4,'Writing Logic'!$G$8:$H$14,2,FALSE),YES_Writing_ELA[#Headers],0)))),"")</f>
        <v/>
      </c>
      <c r="I219" s="224" t="str" cm="1">
        <f t="array" aca="1" ref="I219" ca="1">IFERROR(
IF($G$3="ELA",
IF(VLOOKUP($A219, YES_Reading_ELA[], COLUMN(INDIRECT("YES_Reading_ELA[Difference - Per "&amp;VLOOKUP($G$4, 'Reading Report Logic'!$A$2:$B$8, 2, FALSE)&amp;"]")), FALSE)="", "",
VLOOKUP($A219,YES_Reading_ELA[], COLUMN(INDIRECT("YES_Reading_ELA[Difference - Per "&amp;VLOOKUP($G$4,'Reading Report Logic'!$A$2:$B$8,2,FALSE)&amp;"]")), FALSE)),
IF($G$3="FLA",
IF(VLOOKUP($A219, YES_Reading_FLA[], COLUMN(INDIRECT("YES_Reading_FLA[Difference - Per "&amp;VLOOKUP($G$4,'Reading Report Logic'!$A$2:$B$8,2,FALSE)&amp;"]")),FALSE)="","",
VLOOKUP($A219,YES_Reading_FLA[],COLUMN(INDIRECT("YES_Reading_FLA[Difference - Per "&amp;VLOOKUP($G$4,'Reading Report Logic'!$A$2:$B$8,2,FALSE)&amp;"]")),FALSE)),
IF($G$3="Combined",
IFERROR(
IF(VLOOKUP($A219, YES_Reading_ELA[], COLUMN(INDIRECT("YES_Reading_ELA[Difference - Per "&amp;VLOOKUP($G$4, 'Reading Report Logic'!$A$2:$B$8,2,FALSE)&amp;"]")), FALSE)="", "",
VLOOKUP($A219,YES_Reading_ELA[],COLUMN(INDIRECT("YES_Reading_ELA[Difference - Per "&amp;VLOOKUP($G$4,'Reading Report Logic'!$A$2:$B$8,2,FALSE)&amp;"]")),FALSE)),
IF(VLOOKUP($A219, YES_Reading_FLA[], COLUMN(INDIRECT("YES_Reading_FLA[Difference - Per "&amp;VLOOKUP($G$4, 'Reading Report Logic'!$A$2:$B$8, 2, FALSE)&amp;"]")),FALSE)="", "", VLOOKUP($A219,YES_Reading_FLA[],COLUMN(INDIRECT("YES_Reading_FLA[Difference - Per "&amp;VLOOKUP($G$4, 'Reading Report Logic'!$A$2:$B$8, 2, FALSE)&amp;"]")),FALSE))),""))),"")</f>
        <v/>
      </c>
    </row>
    <row r="220" spans="1:9" x14ac:dyDescent="0.25">
      <c r="A220" s="137"/>
      <c r="B220" s="137" t="str">
        <f>IFERROR(INDEX(_xlfn.VSTACK(YES_Writing_ELA[#Data], YES_Writing_FLA[#Data]),MATCH($A220,_xlfn.VSTACK(YES_Writing_ELA[Student Number], YES_Writing_FLA[Student Number]),0),MATCH(B$7,YES_Writing_ELA[#Headers],0)),IFERROR(INDEX(_xlfn.VSTACK(YES_Reading_ELA[#Data], YES_Reading_FLA[#Data]),MATCH($A220,_xlfn.VSTACK(YES_Reading_ELA[Student Number], YES_Reading_FLA[Student Number]),0),MATCH(B$7,YES_Reading_ELA[#Headers],0)),""))</f>
        <v/>
      </c>
      <c r="C220" s="137" t="str">
        <f>IFERROR(INDEX(_xlfn.VSTACK(YES_Writing_ELA[#Data], YES_Writing_FLA[#Data]),MATCH($A220,_xlfn.VSTACK(YES_Writing_ELA[Student Number], YES_Writing_FLA[Student Number]),0),MATCH(C$7,YES_Writing_ELA[#Headers],0)),IFERROR(INDEX(_xlfn.VSTACK(YES_Reading_ELA[#Data], YES_Reading_FLA[#Data]),MATCH($A220,_xlfn.VSTACK(YES_Reading_ELA[Student Number], YES_Reading_FLA[Student Number]),0),MATCH(C$7,YES_Reading_ELA[#Headers],0)),""))</f>
        <v/>
      </c>
      <c r="D220" s="138" t="str">
        <f>IFERROR(IF(IF(INDEX(_xlfn.VSTACK(YES_Writing_ELA[#Data],YES_Writing_FLA[#Data]),MATCH($A220,_xlfn.VSTACK(YES_Writing_ELA[Student Number],YES_Writing_FLA[Student Number]),0),MATCH(VLOOKUP(D$7,'Writing Logic'!$J$7:$K$11,2,FALSE)&amp;" - Per "&amp;VLOOKUP($C$4,'Writing Logic'!$G$8:$H$14,2,FALSE),YES_Writing_ELA[#Headers],0))=0,"",INDEX(_xlfn.VSTACK(YES_Writing_ELA[#Data],YES_Writing_FLA[#Data]),MATCH($A220,_xlfn.VSTACK(YES_Writing_ELA[Student Number],YES_Writing_FLA[Student Number]),0),MATCH(VLOOKUP(D$7,'Writing Logic'!$J$7:$K$11,2,FALSE)&amp;" - Per "&amp;VLOOKUP($C$4,'Writing Logic'!$G$8:$H$14,2,FALSE),YES_Writing_ELA[#Headers],0)))="INS",'Writing Logic'!$B$7,IF(INDEX(_xlfn.VSTACK(YES_Writing_ELA[#Data],YES_Writing_FLA[#Data]),MATCH($A220,_xlfn.VSTACK(YES_Writing_ELA[Student Number],YES_Writing_FLA[Student Number]),0),MATCH(VLOOKUP(D$7,'Writing Logic'!$J$7:$K$11,2,FALSE)&amp;" - Per "&amp;VLOOKUP($C$4,'Writing Logic'!$G$8:$H$14,2,FALSE),YES_Writing_ELA[#Headers],0))=0,"",INDEX(_xlfn.VSTACK(YES_Writing_ELA[#Data],YES_Writing_FLA[#Data]),MATCH($A220,_xlfn.VSTACK(YES_Writing_ELA[Student Number],YES_Writing_FLA[Student Number]),0),MATCH(VLOOKUP(D$7,'Writing Logic'!$J$7:$K$11,2,FALSE)&amp;" - Per "&amp;VLOOKUP($C$4,'Writing Logic'!$G$8:$H$14,2,FALSE),YES_Writing_ELA[#Headers],0)))),"")</f>
        <v/>
      </c>
      <c r="E220" s="138" t="str">
        <f>IFERROR(IF(IF(INDEX(_xlfn.VSTACK(YES_Writing_ELA[#Data],YES_Writing_FLA[#Data]),MATCH($A220,_xlfn.VSTACK(YES_Writing_ELA[Student Number],YES_Writing_FLA[Student Number]),0),MATCH(VLOOKUP(E$7,'Writing Logic'!$J$7:$K$11,2,FALSE)&amp;" - Per "&amp;VLOOKUP($C$4,'Writing Logic'!$G$8:$H$14,2,FALSE),YES_Writing_ELA[#Headers],0))=0,"",INDEX(_xlfn.VSTACK(YES_Writing_ELA[#Data],YES_Writing_FLA[#Data]),MATCH($A220,_xlfn.VSTACK(YES_Writing_ELA[Student Number],YES_Writing_FLA[Student Number]),0),MATCH(VLOOKUP(E$7,'Writing Logic'!$J$7:$K$11,2,FALSE)&amp;" - Per "&amp;VLOOKUP($C$4,'Writing Logic'!$G$8:$H$14,2,FALSE),YES_Writing_ELA[#Headers],0)))="INS",'Writing Logic'!$B$7,IF(INDEX(_xlfn.VSTACK(YES_Writing_ELA[#Data],YES_Writing_FLA[#Data]),MATCH($A220,_xlfn.VSTACK(YES_Writing_ELA[Student Number],YES_Writing_FLA[Student Number]),0),MATCH(VLOOKUP(E$7,'Writing Logic'!$J$7:$K$11,2,FALSE)&amp;" - Per "&amp;VLOOKUP($C$4,'Writing Logic'!$G$8:$H$14,2,FALSE),YES_Writing_ELA[#Headers],0))=0,"",INDEX(_xlfn.VSTACK(YES_Writing_ELA[#Data],YES_Writing_FLA[#Data]),MATCH($A220,_xlfn.VSTACK(YES_Writing_ELA[Student Number],YES_Writing_FLA[Student Number]),0),MATCH(VLOOKUP(E$7,'Writing Logic'!$J$7:$K$11,2,FALSE)&amp;" - Per "&amp;VLOOKUP($C$4,'Writing Logic'!$G$8:$H$14,2,FALSE),YES_Writing_ELA[#Headers],0)))),"")</f>
        <v/>
      </c>
      <c r="F220" s="138" t="str">
        <f>IFERROR(IF(IF(INDEX(_xlfn.VSTACK(YES_Writing_ELA[#Data],YES_Writing_FLA[#Data]),MATCH($A220,_xlfn.VSTACK(YES_Writing_ELA[Student Number],YES_Writing_FLA[Student Number]),0),MATCH(VLOOKUP(F$7,'Writing Logic'!$J$7:$K$11,2,FALSE)&amp;" - Per "&amp;VLOOKUP($C$4,'Writing Logic'!$G$8:$H$14,2,FALSE),YES_Writing_ELA[#Headers],0))=0,"",INDEX(_xlfn.VSTACK(YES_Writing_ELA[#Data],YES_Writing_FLA[#Data]),MATCH($A220,_xlfn.VSTACK(YES_Writing_ELA[Student Number],YES_Writing_FLA[Student Number]),0),MATCH(VLOOKUP(F$7,'Writing Logic'!$J$7:$K$11,2,FALSE)&amp;" - Per "&amp;VLOOKUP($C$4,'Writing Logic'!$G$8:$H$14,2,FALSE),YES_Writing_ELA[#Headers],0)))="INS",'Writing Logic'!$B$7,IF(INDEX(_xlfn.VSTACK(YES_Writing_ELA[#Data],YES_Writing_FLA[#Data]),MATCH($A220,_xlfn.VSTACK(YES_Writing_ELA[Student Number],YES_Writing_FLA[Student Number]),0),MATCH(VLOOKUP(F$7,'Writing Logic'!$J$7:$K$11,2,FALSE)&amp;" - Per "&amp;VLOOKUP($C$4,'Writing Logic'!$G$8:$H$14,2,FALSE),YES_Writing_ELA[#Headers],0))=0,"",INDEX(_xlfn.VSTACK(YES_Writing_ELA[#Data],YES_Writing_FLA[#Data]),MATCH($A220,_xlfn.VSTACK(YES_Writing_ELA[Student Number],YES_Writing_FLA[Student Number]),0),MATCH(VLOOKUP(F$7,'Writing Logic'!$J$7:$K$11,2,FALSE)&amp;" - Per "&amp;VLOOKUP($C$4,'Writing Logic'!$G$8:$H$14,2,FALSE),YES_Writing_ELA[#Headers],0)))),"")</f>
        <v/>
      </c>
      <c r="G220" s="138" t="str">
        <f>IFERROR(IF(IF(INDEX(_xlfn.VSTACK(YES_Writing_ELA[#Data],YES_Writing_FLA[#Data]),MATCH($A220,_xlfn.VSTACK(YES_Writing_ELA[Student Number],YES_Writing_FLA[Student Number]),0),MATCH(VLOOKUP(G$7,'Writing Logic'!$J$7:$K$11,2,FALSE)&amp;" - Per "&amp;VLOOKUP($C$4,'Writing Logic'!$G$8:$H$14,2,FALSE),YES_Writing_ELA[#Headers],0))=0,"",INDEX(_xlfn.VSTACK(YES_Writing_ELA[#Data],YES_Writing_FLA[#Data]),MATCH($A220,_xlfn.VSTACK(YES_Writing_ELA[Student Number],YES_Writing_FLA[Student Number]),0),MATCH(VLOOKUP(G$7,'Writing Logic'!$J$7:$K$11,2,FALSE)&amp;" - Per "&amp;VLOOKUP($C$4,'Writing Logic'!$G$8:$H$14,2,FALSE),YES_Writing_ELA[#Headers],0)))="INS",'Writing Logic'!$B$7,IF(INDEX(_xlfn.VSTACK(YES_Writing_ELA[#Data],YES_Writing_FLA[#Data]),MATCH($A220,_xlfn.VSTACK(YES_Writing_ELA[Student Number],YES_Writing_FLA[Student Number]),0),MATCH(VLOOKUP(G$7,'Writing Logic'!$J$7:$K$11,2,FALSE)&amp;" - Per "&amp;VLOOKUP($C$4,'Writing Logic'!$G$8:$H$14,2,FALSE),YES_Writing_ELA[#Headers],0))=0,"",INDEX(_xlfn.VSTACK(YES_Writing_ELA[#Data],YES_Writing_FLA[#Data]),MATCH($A220,_xlfn.VSTACK(YES_Writing_ELA[Student Number],YES_Writing_FLA[Student Number]),0),MATCH(VLOOKUP(G$7,'Writing Logic'!$J$7:$K$11,2,FALSE)&amp;" - Per "&amp;VLOOKUP($C$4,'Writing Logic'!$G$8:$H$14,2,FALSE),YES_Writing_ELA[#Headers],0)))),"")</f>
        <v/>
      </c>
      <c r="H220" s="223" t="str">
        <f>IFERROR(IF(IF(INDEX(_xlfn.VSTACK(YES_Writing_ELA[#Data],YES_Writing_FLA[#Data]),MATCH($A220,_xlfn.VSTACK(YES_Writing_ELA[Student Number],YES_Writing_FLA[Student Number]),0),MATCH(VLOOKUP(H$7,'Writing Logic'!$J$7:$K$11,2,FALSE)&amp;" - Per "&amp;VLOOKUP($C$4,'Writing Logic'!$G$8:$H$14,2,FALSE),YES_Writing_ELA[#Headers],0))=0,"",INDEX(_xlfn.VSTACK(YES_Writing_ELA[#Data],YES_Writing_FLA[#Data]),MATCH($A220,_xlfn.VSTACK(YES_Writing_ELA[Student Number],YES_Writing_FLA[Student Number]),0),MATCH(VLOOKUP(H$7,'Writing Logic'!$J$7:$K$11,2,FALSE)&amp;" - Per "&amp;VLOOKUP($C$4,'Writing Logic'!$G$8:$H$14,2,FALSE),YES_Writing_ELA[#Headers],0)))="INS",'Writing Logic'!$B$7,IF(INDEX(_xlfn.VSTACK(YES_Writing_ELA[#Data],YES_Writing_FLA[#Data]),MATCH($A220,_xlfn.VSTACK(YES_Writing_ELA[Student Number],YES_Writing_FLA[Student Number]),0),MATCH(VLOOKUP(H$7,'Writing Logic'!$J$7:$K$11,2,FALSE)&amp;" - Per "&amp;VLOOKUP($C$4,'Writing Logic'!$G$8:$H$14,2,FALSE),YES_Writing_ELA[#Headers],0))=0,"",INDEX(_xlfn.VSTACK(YES_Writing_ELA[#Data],YES_Writing_FLA[#Data]),MATCH($A220,_xlfn.VSTACK(YES_Writing_ELA[Student Number],YES_Writing_FLA[Student Number]),0),MATCH(VLOOKUP(H$7,'Writing Logic'!$J$7:$K$11,2,FALSE)&amp;" - Per "&amp;VLOOKUP($C$4,'Writing Logic'!$G$8:$H$14,2,FALSE),YES_Writing_ELA[#Headers],0)))),"")</f>
        <v/>
      </c>
      <c r="I220" s="224" t="str" cm="1">
        <f t="array" aca="1" ref="I220" ca="1">IFERROR(
IF($G$3="ELA",
IF(VLOOKUP($A220, YES_Reading_ELA[], COLUMN(INDIRECT("YES_Reading_ELA[Difference - Per "&amp;VLOOKUP($G$4, 'Reading Report Logic'!$A$2:$B$8, 2, FALSE)&amp;"]")), FALSE)="", "",
VLOOKUP($A220,YES_Reading_ELA[], COLUMN(INDIRECT("YES_Reading_ELA[Difference - Per "&amp;VLOOKUP($G$4,'Reading Report Logic'!$A$2:$B$8,2,FALSE)&amp;"]")), FALSE)),
IF($G$3="FLA",
IF(VLOOKUP($A220, YES_Reading_FLA[], COLUMN(INDIRECT("YES_Reading_FLA[Difference - Per "&amp;VLOOKUP($G$4,'Reading Report Logic'!$A$2:$B$8,2,FALSE)&amp;"]")),FALSE)="","",
VLOOKUP($A220,YES_Reading_FLA[],COLUMN(INDIRECT("YES_Reading_FLA[Difference - Per "&amp;VLOOKUP($G$4,'Reading Report Logic'!$A$2:$B$8,2,FALSE)&amp;"]")),FALSE)),
IF($G$3="Combined",
IFERROR(
IF(VLOOKUP($A220, YES_Reading_ELA[], COLUMN(INDIRECT("YES_Reading_ELA[Difference - Per "&amp;VLOOKUP($G$4, 'Reading Report Logic'!$A$2:$B$8,2,FALSE)&amp;"]")), FALSE)="", "",
VLOOKUP($A220,YES_Reading_ELA[],COLUMN(INDIRECT("YES_Reading_ELA[Difference - Per "&amp;VLOOKUP($G$4,'Reading Report Logic'!$A$2:$B$8,2,FALSE)&amp;"]")),FALSE)),
IF(VLOOKUP($A220, YES_Reading_FLA[], COLUMN(INDIRECT("YES_Reading_FLA[Difference - Per "&amp;VLOOKUP($G$4, 'Reading Report Logic'!$A$2:$B$8, 2, FALSE)&amp;"]")),FALSE)="", "", VLOOKUP($A220,YES_Reading_FLA[],COLUMN(INDIRECT("YES_Reading_FLA[Difference - Per "&amp;VLOOKUP($G$4, 'Reading Report Logic'!$A$2:$B$8, 2, FALSE)&amp;"]")),FALSE))),""))),"")</f>
        <v/>
      </c>
    </row>
    <row r="221" spans="1:9" x14ac:dyDescent="0.25">
      <c r="A221" s="137"/>
      <c r="B221" s="137" t="str">
        <f>IFERROR(INDEX(_xlfn.VSTACK(YES_Writing_ELA[#Data], YES_Writing_FLA[#Data]),MATCH($A221,_xlfn.VSTACK(YES_Writing_ELA[Student Number], YES_Writing_FLA[Student Number]),0),MATCH(B$7,YES_Writing_ELA[#Headers],0)),IFERROR(INDEX(_xlfn.VSTACK(YES_Reading_ELA[#Data], YES_Reading_FLA[#Data]),MATCH($A221,_xlfn.VSTACK(YES_Reading_ELA[Student Number], YES_Reading_FLA[Student Number]),0),MATCH(B$7,YES_Reading_ELA[#Headers],0)),""))</f>
        <v/>
      </c>
      <c r="C221" s="137" t="str">
        <f>IFERROR(INDEX(_xlfn.VSTACK(YES_Writing_ELA[#Data], YES_Writing_FLA[#Data]),MATCH($A221,_xlfn.VSTACK(YES_Writing_ELA[Student Number], YES_Writing_FLA[Student Number]),0),MATCH(C$7,YES_Writing_ELA[#Headers],0)),IFERROR(INDEX(_xlfn.VSTACK(YES_Reading_ELA[#Data], YES_Reading_FLA[#Data]),MATCH($A221,_xlfn.VSTACK(YES_Reading_ELA[Student Number], YES_Reading_FLA[Student Number]),0),MATCH(C$7,YES_Reading_ELA[#Headers],0)),""))</f>
        <v/>
      </c>
      <c r="D221" s="138" t="str">
        <f>IFERROR(IF(IF(INDEX(_xlfn.VSTACK(YES_Writing_ELA[#Data],YES_Writing_FLA[#Data]),MATCH($A221,_xlfn.VSTACK(YES_Writing_ELA[Student Number],YES_Writing_FLA[Student Number]),0),MATCH(VLOOKUP(D$7,'Writing Logic'!$J$7:$K$11,2,FALSE)&amp;" - Per "&amp;VLOOKUP($C$4,'Writing Logic'!$G$8:$H$14,2,FALSE),YES_Writing_ELA[#Headers],0))=0,"",INDEX(_xlfn.VSTACK(YES_Writing_ELA[#Data],YES_Writing_FLA[#Data]),MATCH($A221,_xlfn.VSTACK(YES_Writing_ELA[Student Number],YES_Writing_FLA[Student Number]),0),MATCH(VLOOKUP(D$7,'Writing Logic'!$J$7:$K$11,2,FALSE)&amp;" - Per "&amp;VLOOKUP($C$4,'Writing Logic'!$G$8:$H$14,2,FALSE),YES_Writing_ELA[#Headers],0)))="INS",'Writing Logic'!$B$7,IF(INDEX(_xlfn.VSTACK(YES_Writing_ELA[#Data],YES_Writing_FLA[#Data]),MATCH($A221,_xlfn.VSTACK(YES_Writing_ELA[Student Number],YES_Writing_FLA[Student Number]),0),MATCH(VLOOKUP(D$7,'Writing Logic'!$J$7:$K$11,2,FALSE)&amp;" - Per "&amp;VLOOKUP($C$4,'Writing Logic'!$G$8:$H$14,2,FALSE),YES_Writing_ELA[#Headers],0))=0,"",INDEX(_xlfn.VSTACK(YES_Writing_ELA[#Data],YES_Writing_FLA[#Data]),MATCH($A221,_xlfn.VSTACK(YES_Writing_ELA[Student Number],YES_Writing_FLA[Student Number]),0),MATCH(VLOOKUP(D$7,'Writing Logic'!$J$7:$K$11,2,FALSE)&amp;" - Per "&amp;VLOOKUP($C$4,'Writing Logic'!$G$8:$H$14,2,FALSE),YES_Writing_ELA[#Headers],0)))),"")</f>
        <v/>
      </c>
      <c r="E221" s="138" t="str">
        <f>IFERROR(IF(IF(INDEX(_xlfn.VSTACK(YES_Writing_ELA[#Data],YES_Writing_FLA[#Data]),MATCH($A221,_xlfn.VSTACK(YES_Writing_ELA[Student Number],YES_Writing_FLA[Student Number]),0),MATCH(VLOOKUP(E$7,'Writing Logic'!$J$7:$K$11,2,FALSE)&amp;" - Per "&amp;VLOOKUP($C$4,'Writing Logic'!$G$8:$H$14,2,FALSE),YES_Writing_ELA[#Headers],0))=0,"",INDEX(_xlfn.VSTACK(YES_Writing_ELA[#Data],YES_Writing_FLA[#Data]),MATCH($A221,_xlfn.VSTACK(YES_Writing_ELA[Student Number],YES_Writing_FLA[Student Number]),0),MATCH(VLOOKUP(E$7,'Writing Logic'!$J$7:$K$11,2,FALSE)&amp;" - Per "&amp;VLOOKUP($C$4,'Writing Logic'!$G$8:$H$14,2,FALSE),YES_Writing_ELA[#Headers],0)))="INS",'Writing Logic'!$B$7,IF(INDEX(_xlfn.VSTACK(YES_Writing_ELA[#Data],YES_Writing_FLA[#Data]),MATCH($A221,_xlfn.VSTACK(YES_Writing_ELA[Student Number],YES_Writing_FLA[Student Number]),0),MATCH(VLOOKUP(E$7,'Writing Logic'!$J$7:$K$11,2,FALSE)&amp;" - Per "&amp;VLOOKUP($C$4,'Writing Logic'!$G$8:$H$14,2,FALSE),YES_Writing_ELA[#Headers],0))=0,"",INDEX(_xlfn.VSTACK(YES_Writing_ELA[#Data],YES_Writing_FLA[#Data]),MATCH($A221,_xlfn.VSTACK(YES_Writing_ELA[Student Number],YES_Writing_FLA[Student Number]),0),MATCH(VLOOKUP(E$7,'Writing Logic'!$J$7:$K$11,2,FALSE)&amp;" - Per "&amp;VLOOKUP($C$4,'Writing Logic'!$G$8:$H$14,2,FALSE),YES_Writing_ELA[#Headers],0)))),"")</f>
        <v/>
      </c>
      <c r="F221" s="138" t="str">
        <f>IFERROR(IF(IF(INDEX(_xlfn.VSTACK(YES_Writing_ELA[#Data],YES_Writing_FLA[#Data]),MATCH($A221,_xlfn.VSTACK(YES_Writing_ELA[Student Number],YES_Writing_FLA[Student Number]),0),MATCH(VLOOKUP(F$7,'Writing Logic'!$J$7:$K$11,2,FALSE)&amp;" - Per "&amp;VLOOKUP($C$4,'Writing Logic'!$G$8:$H$14,2,FALSE),YES_Writing_ELA[#Headers],0))=0,"",INDEX(_xlfn.VSTACK(YES_Writing_ELA[#Data],YES_Writing_FLA[#Data]),MATCH($A221,_xlfn.VSTACK(YES_Writing_ELA[Student Number],YES_Writing_FLA[Student Number]),0),MATCH(VLOOKUP(F$7,'Writing Logic'!$J$7:$K$11,2,FALSE)&amp;" - Per "&amp;VLOOKUP($C$4,'Writing Logic'!$G$8:$H$14,2,FALSE),YES_Writing_ELA[#Headers],0)))="INS",'Writing Logic'!$B$7,IF(INDEX(_xlfn.VSTACK(YES_Writing_ELA[#Data],YES_Writing_FLA[#Data]),MATCH($A221,_xlfn.VSTACK(YES_Writing_ELA[Student Number],YES_Writing_FLA[Student Number]),0),MATCH(VLOOKUP(F$7,'Writing Logic'!$J$7:$K$11,2,FALSE)&amp;" - Per "&amp;VLOOKUP($C$4,'Writing Logic'!$G$8:$H$14,2,FALSE),YES_Writing_ELA[#Headers],0))=0,"",INDEX(_xlfn.VSTACK(YES_Writing_ELA[#Data],YES_Writing_FLA[#Data]),MATCH($A221,_xlfn.VSTACK(YES_Writing_ELA[Student Number],YES_Writing_FLA[Student Number]),0),MATCH(VLOOKUP(F$7,'Writing Logic'!$J$7:$K$11,2,FALSE)&amp;" - Per "&amp;VLOOKUP($C$4,'Writing Logic'!$G$8:$H$14,2,FALSE),YES_Writing_ELA[#Headers],0)))),"")</f>
        <v/>
      </c>
      <c r="G221" s="138" t="str">
        <f>IFERROR(IF(IF(INDEX(_xlfn.VSTACK(YES_Writing_ELA[#Data],YES_Writing_FLA[#Data]),MATCH($A221,_xlfn.VSTACK(YES_Writing_ELA[Student Number],YES_Writing_FLA[Student Number]),0),MATCH(VLOOKUP(G$7,'Writing Logic'!$J$7:$K$11,2,FALSE)&amp;" - Per "&amp;VLOOKUP($C$4,'Writing Logic'!$G$8:$H$14,2,FALSE),YES_Writing_ELA[#Headers],0))=0,"",INDEX(_xlfn.VSTACK(YES_Writing_ELA[#Data],YES_Writing_FLA[#Data]),MATCH($A221,_xlfn.VSTACK(YES_Writing_ELA[Student Number],YES_Writing_FLA[Student Number]),0),MATCH(VLOOKUP(G$7,'Writing Logic'!$J$7:$K$11,2,FALSE)&amp;" - Per "&amp;VLOOKUP($C$4,'Writing Logic'!$G$8:$H$14,2,FALSE),YES_Writing_ELA[#Headers],0)))="INS",'Writing Logic'!$B$7,IF(INDEX(_xlfn.VSTACK(YES_Writing_ELA[#Data],YES_Writing_FLA[#Data]),MATCH($A221,_xlfn.VSTACK(YES_Writing_ELA[Student Number],YES_Writing_FLA[Student Number]),0),MATCH(VLOOKUP(G$7,'Writing Logic'!$J$7:$K$11,2,FALSE)&amp;" - Per "&amp;VLOOKUP($C$4,'Writing Logic'!$G$8:$H$14,2,FALSE),YES_Writing_ELA[#Headers],0))=0,"",INDEX(_xlfn.VSTACK(YES_Writing_ELA[#Data],YES_Writing_FLA[#Data]),MATCH($A221,_xlfn.VSTACK(YES_Writing_ELA[Student Number],YES_Writing_FLA[Student Number]),0),MATCH(VLOOKUP(G$7,'Writing Logic'!$J$7:$K$11,2,FALSE)&amp;" - Per "&amp;VLOOKUP($C$4,'Writing Logic'!$G$8:$H$14,2,FALSE),YES_Writing_ELA[#Headers],0)))),"")</f>
        <v/>
      </c>
      <c r="H221" s="223" t="str">
        <f>IFERROR(IF(IF(INDEX(_xlfn.VSTACK(YES_Writing_ELA[#Data],YES_Writing_FLA[#Data]),MATCH($A221,_xlfn.VSTACK(YES_Writing_ELA[Student Number],YES_Writing_FLA[Student Number]),0),MATCH(VLOOKUP(H$7,'Writing Logic'!$J$7:$K$11,2,FALSE)&amp;" - Per "&amp;VLOOKUP($C$4,'Writing Logic'!$G$8:$H$14,2,FALSE),YES_Writing_ELA[#Headers],0))=0,"",INDEX(_xlfn.VSTACK(YES_Writing_ELA[#Data],YES_Writing_FLA[#Data]),MATCH($A221,_xlfn.VSTACK(YES_Writing_ELA[Student Number],YES_Writing_FLA[Student Number]),0),MATCH(VLOOKUP(H$7,'Writing Logic'!$J$7:$K$11,2,FALSE)&amp;" - Per "&amp;VLOOKUP($C$4,'Writing Logic'!$G$8:$H$14,2,FALSE),YES_Writing_ELA[#Headers],0)))="INS",'Writing Logic'!$B$7,IF(INDEX(_xlfn.VSTACK(YES_Writing_ELA[#Data],YES_Writing_FLA[#Data]),MATCH($A221,_xlfn.VSTACK(YES_Writing_ELA[Student Number],YES_Writing_FLA[Student Number]),0),MATCH(VLOOKUP(H$7,'Writing Logic'!$J$7:$K$11,2,FALSE)&amp;" - Per "&amp;VLOOKUP($C$4,'Writing Logic'!$G$8:$H$14,2,FALSE),YES_Writing_ELA[#Headers],0))=0,"",INDEX(_xlfn.VSTACK(YES_Writing_ELA[#Data],YES_Writing_FLA[#Data]),MATCH($A221,_xlfn.VSTACK(YES_Writing_ELA[Student Number],YES_Writing_FLA[Student Number]),0),MATCH(VLOOKUP(H$7,'Writing Logic'!$J$7:$K$11,2,FALSE)&amp;" - Per "&amp;VLOOKUP($C$4,'Writing Logic'!$G$8:$H$14,2,FALSE),YES_Writing_ELA[#Headers],0)))),"")</f>
        <v/>
      </c>
      <c r="I221" s="224" t="str" cm="1">
        <f t="array" aca="1" ref="I221" ca="1">IFERROR(
IF($G$3="ELA",
IF(VLOOKUP($A221, YES_Reading_ELA[], COLUMN(INDIRECT("YES_Reading_ELA[Difference - Per "&amp;VLOOKUP($G$4, 'Reading Report Logic'!$A$2:$B$8, 2, FALSE)&amp;"]")), FALSE)="", "",
VLOOKUP($A221,YES_Reading_ELA[], COLUMN(INDIRECT("YES_Reading_ELA[Difference - Per "&amp;VLOOKUP($G$4,'Reading Report Logic'!$A$2:$B$8,2,FALSE)&amp;"]")), FALSE)),
IF($G$3="FLA",
IF(VLOOKUP($A221, YES_Reading_FLA[], COLUMN(INDIRECT("YES_Reading_FLA[Difference - Per "&amp;VLOOKUP($G$4,'Reading Report Logic'!$A$2:$B$8,2,FALSE)&amp;"]")),FALSE)="","",
VLOOKUP($A221,YES_Reading_FLA[],COLUMN(INDIRECT("YES_Reading_FLA[Difference - Per "&amp;VLOOKUP($G$4,'Reading Report Logic'!$A$2:$B$8,2,FALSE)&amp;"]")),FALSE)),
IF($G$3="Combined",
IFERROR(
IF(VLOOKUP($A221, YES_Reading_ELA[], COLUMN(INDIRECT("YES_Reading_ELA[Difference - Per "&amp;VLOOKUP($G$4, 'Reading Report Logic'!$A$2:$B$8,2,FALSE)&amp;"]")), FALSE)="", "",
VLOOKUP($A221,YES_Reading_ELA[],COLUMN(INDIRECT("YES_Reading_ELA[Difference - Per "&amp;VLOOKUP($G$4,'Reading Report Logic'!$A$2:$B$8,2,FALSE)&amp;"]")),FALSE)),
IF(VLOOKUP($A221, YES_Reading_FLA[], COLUMN(INDIRECT("YES_Reading_FLA[Difference - Per "&amp;VLOOKUP($G$4, 'Reading Report Logic'!$A$2:$B$8, 2, FALSE)&amp;"]")),FALSE)="", "", VLOOKUP($A221,YES_Reading_FLA[],COLUMN(INDIRECT("YES_Reading_FLA[Difference - Per "&amp;VLOOKUP($G$4, 'Reading Report Logic'!$A$2:$B$8, 2, FALSE)&amp;"]")),FALSE))),""))),"")</f>
        <v/>
      </c>
    </row>
    <row r="222" spans="1:9" x14ac:dyDescent="0.25">
      <c r="A222" s="137"/>
      <c r="B222" s="137" t="str">
        <f>IFERROR(INDEX(_xlfn.VSTACK(YES_Writing_ELA[#Data], YES_Writing_FLA[#Data]),MATCH($A222,_xlfn.VSTACK(YES_Writing_ELA[Student Number], YES_Writing_FLA[Student Number]),0),MATCH(B$7,YES_Writing_ELA[#Headers],0)),IFERROR(INDEX(_xlfn.VSTACK(YES_Reading_ELA[#Data], YES_Reading_FLA[#Data]),MATCH($A222,_xlfn.VSTACK(YES_Reading_ELA[Student Number], YES_Reading_FLA[Student Number]),0),MATCH(B$7,YES_Reading_ELA[#Headers],0)),""))</f>
        <v/>
      </c>
      <c r="C222" s="137" t="str">
        <f>IFERROR(INDEX(_xlfn.VSTACK(YES_Writing_ELA[#Data], YES_Writing_FLA[#Data]),MATCH($A222,_xlfn.VSTACK(YES_Writing_ELA[Student Number], YES_Writing_FLA[Student Number]),0),MATCH(C$7,YES_Writing_ELA[#Headers],0)),IFERROR(INDEX(_xlfn.VSTACK(YES_Reading_ELA[#Data], YES_Reading_FLA[#Data]),MATCH($A222,_xlfn.VSTACK(YES_Reading_ELA[Student Number], YES_Reading_FLA[Student Number]),0),MATCH(C$7,YES_Reading_ELA[#Headers],0)),""))</f>
        <v/>
      </c>
      <c r="D222" s="138" t="str">
        <f>IFERROR(IF(IF(INDEX(_xlfn.VSTACK(YES_Writing_ELA[#Data],YES_Writing_FLA[#Data]),MATCH($A222,_xlfn.VSTACK(YES_Writing_ELA[Student Number],YES_Writing_FLA[Student Number]),0),MATCH(VLOOKUP(D$7,'Writing Logic'!$J$7:$K$11,2,FALSE)&amp;" - Per "&amp;VLOOKUP($C$4,'Writing Logic'!$G$8:$H$14,2,FALSE),YES_Writing_ELA[#Headers],0))=0,"",INDEX(_xlfn.VSTACK(YES_Writing_ELA[#Data],YES_Writing_FLA[#Data]),MATCH($A222,_xlfn.VSTACK(YES_Writing_ELA[Student Number],YES_Writing_FLA[Student Number]),0),MATCH(VLOOKUP(D$7,'Writing Logic'!$J$7:$K$11,2,FALSE)&amp;" - Per "&amp;VLOOKUP($C$4,'Writing Logic'!$G$8:$H$14,2,FALSE),YES_Writing_ELA[#Headers],0)))="INS",'Writing Logic'!$B$7,IF(INDEX(_xlfn.VSTACK(YES_Writing_ELA[#Data],YES_Writing_FLA[#Data]),MATCH($A222,_xlfn.VSTACK(YES_Writing_ELA[Student Number],YES_Writing_FLA[Student Number]),0),MATCH(VLOOKUP(D$7,'Writing Logic'!$J$7:$K$11,2,FALSE)&amp;" - Per "&amp;VLOOKUP($C$4,'Writing Logic'!$G$8:$H$14,2,FALSE),YES_Writing_ELA[#Headers],0))=0,"",INDEX(_xlfn.VSTACK(YES_Writing_ELA[#Data],YES_Writing_FLA[#Data]),MATCH($A222,_xlfn.VSTACK(YES_Writing_ELA[Student Number],YES_Writing_FLA[Student Number]),0),MATCH(VLOOKUP(D$7,'Writing Logic'!$J$7:$K$11,2,FALSE)&amp;" - Per "&amp;VLOOKUP($C$4,'Writing Logic'!$G$8:$H$14,2,FALSE),YES_Writing_ELA[#Headers],0)))),"")</f>
        <v/>
      </c>
      <c r="E222" s="138" t="str">
        <f>IFERROR(IF(IF(INDEX(_xlfn.VSTACK(YES_Writing_ELA[#Data],YES_Writing_FLA[#Data]),MATCH($A222,_xlfn.VSTACK(YES_Writing_ELA[Student Number],YES_Writing_FLA[Student Number]),0),MATCH(VLOOKUP(E$7,'Writing Logic'!$J$7:$K$11,2,FALSE)&amp;" - Per "&amp;VLOOKUP($C$4,'Writing Logic'!$G$8:$H$14,2,FALSE),YES_Writing_ELA[#Headers],0))=0,"",INDEX(_xlfn.VSTACK(YES_Writing_ELA[#Data],YES_Writing_FLA[#Data]),MATCH($A222,_xlfn.VSTACK(YES_Writing_ELA[Student Number],YES_Writing_FLA[Student Number]),0),MATCH(VLOOKUP(E$7,'Writing Logic'!$J$7:$K$11,2,FALSE)&amp;" - Per "&amp;VLOOKUP($C$4,'Writing Logic'!$G$8:$H$14,2,FALSE),YES_Writing_ELA[#Headers],0)))="INS",'Writing Logic'!$B$7,IF(INDEX(_xlfn.VSTACK(YES_Writing_ELA[#Data],YES_Writing_FLA[#Data]),MATCH($A222,_xlfn.VSTACK(YES_Writing_ELA[Student Number],YES_Writing_FLA[Student Number]),0),MATCH(VLOOKUP(E$7,'Writing Logic'!$J$7:$K$11,2,FALSE)&amp;" - Per "&amp;VLOOKUP($C$4,'Writing Logic'!$G$8:$H$14,2,FALSE),YES_Writing_ELA[#Headers],0))=0,"",INDEX(_xlfn.VSTACK(YES_Writing_ELA[#Data],YES_Writing_FLA[#Data]),MATCH($A222,_xlfn.VSTACK(YES_Writing_ELA[Student Number],YES_Writing_FLA[Student Number]),0),MATCH(VLOOKUP(E$7,'Writing Logic'!$J$7:$K$11,2,FALSE)&amp;" - Per "&amp;VLOOKUP($C$4,'Writing Logic'!$G$8:$H$14,2,FALSE),YES_Writing_ELA[#Headers],0)))),"")</f>
        <v/>
      </c>
      <c r="F222" s="138" t="str">
        <f>IFERROR(IF(IF(INDEX(_xlfn.VSTACK(YES_Writing_ELA[#Data],YES_Writing_FLA[#Data]),MATCH($A222,_xlfn.VSTACK(YES_Writing_ELA[Student Number],YES_Writing_FLA[Student Number]),0),MATCH(VLOOKUP(F$7,'Writing Logic'!$J$7:$K$11,2,FALSE)&amp;" - Per "&amp;VLOOKUP($C$4,'Writing Logic'!$G$8:$H$14,2,FALSE),YES_Writing_ELA[#Headers],0))=0,"",INDEX(_xlfn.VSTACK(YES_Writing_ELA[#Data],YES_Writing_FLA[#Data]),MATCH($A222,_xlfn.VSTACK(YES_Writing_ELA[Student Number],YES_Writing_FLA[Student Number]),0),MATCH(VLOOKUP(F$7,'Writing Logic'!$J$7:$K$11,2,FALSE)&amp;" - Per "&amp;VLOOKUP($C$4,'Writing Logic'!$G$8:$H$14,2,FALSE),YES_Writing_ELA[#Headers],0)))="INS",'Writing Logic'!$B$7,IF(INDEX(_xlfn.VSTACK(YES_Writing_ELA[#Data],YES_Writing_FLA[#Data]),MATCH($A222,_xlfn.VSTACK(YES_Writing_ELA[Student Number],YES_Writing_FLA[Student Number]),0),MATCH(VLOOKUP(F$7,'Writing Logic'!$J$7:$K$11,2,FALSE)&amp;" - Per "&amp;VLOOKUP($C$4,'Writing Logic'!$G$8:$H$14,2,FALSE),YES_Writing_ELA[#Headers],0))=0,"",INDEX(_xlfn.VSTACK(YES_Writing_ELA[#Data],YES_Writing_FLA[#Data]),MATCH($A222,_xlfn.VSTACK(YES_Writing_ELA[Student Number],YES_Writing_FLA[Student Number]),0),MATCH(VLOOKUP(F$7,'Writing Logic'!$J$7:$K$11,2,FALSE)&amp;" - Per "&amp;VLOOKUP($C$4,'Writing Logic'!$G$8:$H$14,2,FALSE),YES_Writing_ELA[#Headers],0)))),"")</f>
        <v/>
      </c>
      <c r="G222" s="138" t="str">
        <f>IFERROR(IF(IF(INDEX(_xlfn.VSTACK(YES_Writing_ELA[#Data],YES_Writing_FLA[#Data]),MATCH($A222,_xlfn.VSTACK(YES_Writing_ELA[Student Number],YES_Writing_FLA[Student Number]),0),MATCH(VLOOKUP(G$7,'Writing Logic'!$J$7:$K$11,2,FALSE)&amp;" - Per "&amp;VLOOKUP($C$4,'Writing Logic'!$G$8:$H$14,2,FALSE),YES_Writing_ELA[#Headers],0))=0,"",INDEX(_xlfn.VSTACK(YES_Writing_ELA[#Data],YES_Writing_FLA[#Data]),MATCH($A222,_xlfn.VSTACK(YES_Writing_ELA[Student Number],YES_Writing_FLA[Student Number]),0),MATCH(VLOOKUP(G$7,'Writing Logic'!$J$7:$K$11,2,FALSE)&amp;" - Per "&amp;VLOOKUP($C$4,'Writing Logic'!$G$8:$H$14,2,FALSE),YES_Writing_ELA[#Headers],0)))="INS",'Writing Logic'!$B$7,IF(INDEX(_xlfn.VSTACK(YES_Writing_ELA[#Data],YES_Writing_FLA[#Data]),MATCH($A222,_xlfn.VSTACK(YES_Writing_ELA[Student Number],YES_Writing_FLA[Student Number]),0),MATCH(VLOOKUP(G$7,'Writing Logic'!$J$7:$K$11,2,FALSE)&amp;" - Per "&amp;VLOOKUP($C$4,'Writing Logic'!$G$8:$H$14,2,FALSE),YES_Writing_ELA[#Headers],0))=0,"",INDEX(_xlfn.VSTACK(YES_Writing_ELA[#Data],YES_Writing_FLA[#Data]),MATCH($A222,_xlfn.VSTACK(YES_Writing_ELA[Student Number],YES_Writing_FLA[Student Number]),0),MATCH(VLOOKUP(G$7,'Writing Logic'!$J$7:$K$11,2,FALSE)&amp;" - Per "&amp;VLOOKUP($C$4,'Writing Logic'!$G$8:$H$14,2,FALSE),YES_Writing_ELA[#Headers],0)))),"")</f>
        <v/>
      </c>
      <c r="H222" s="223" t="str">
        <f>IFERROR(IF(IF(INDEX(_xlfn.VSTACK(YES_Writing_ELA[#Data],YES_Writing_FLA[#Data]),MATCH($A222,_xlfn.VSTACK(YES_Writing_ELA[Student Number],YES_Writing_FLA[Student Number]),0),MATCH(VLOOKUP(H$7,'Writing Logic'!$J$7:$K$11,2,FALSE)&amp;" - Per "&amp;VLOOKUP($C$4,'Writing Logic'!$G$8:$H$14,2,FALSE),YES_Writing_ELA[#Headers],0))=0,"",INDEX(_xlfn.VSTACK(YES_Writing_ELA[#Data],YES_Writing_FLA[#Data]),MATCH($A222,_xlfn.VSTACK(YES_Writing_ELA[Student Number],YES_Writing_FLA[Student Number]),0),MATCH(VLOOKUP(H$7,'Writing Logic'!$J$7:$K$11,2,FALSE)&amp;" - Per "&amp;VLOOKUP($C$4,'Writing Logic'!$G$8:$H$14,2,FALSE),YES_Writing_ELA[#Headers],0)))="INS",'Writing Logic'!$B$7,IF(INDEX(_xlfn.VSTACK(YES_Writing_ELA[#Data],YES_Writing_FLA[#Data]),MATCH($A222,_xlfn.VSTACK(YES_Writing_ELA[Student Number],YES_Writing_FLA[Student Number]),0),MATCH(VLOOKUP(H$7,'Writing Logic'!$J$7:$K$11,2,FALSE)&amp;" - Per "&amp;VLOOKUP($C$4,'Writing Logic'!$G$8:$H$14,2,FALSE),YES_Writing_ELA[#Headers],0))=0,"",INDEX(_xlfn.VSTACK(YES_Writing_ELA[#Data],YES_Writing_FLA[#Data]),MATCH($A222,_xlfn.VSTACK(YES_Writing_ELA[Student Number],YES_Writing_FLA[Student Number]),0),MATCH(VLOOKUP(H$7,'Writing Logic'!$J$7:$K$11,2,FALSE)&amp;" - Per "&amp;VLOOKUP($C$4,'Writing Logic'!$G$8:$H$14,2,FALSE),YES_Writing_ELA[#Headers],0)))),"")</f>
        <v/>
      </c>
      <c r="I222" s="224" t="str" cm="1">
        <f t="array" aca="1" ref="I222" ca="1">IFERROR(
IF($G$3="ELA",
IF(VLOOKUP($A222, YES_Reading_ELA[], COLUMN(INDIRECT("YES_Reading_ELA[Difference - Per "&amp;VLOOKUP($G$4, 'Reading Report Logic'!$A$2:$B$8, 2, FALSE)&amp;"]")), FALSE)="", "",
VLOOKUP($A222,YES_Reading_ELA[], COLUMN(INDIRECT("YES_Reading_ELA[Difference - Per "&amp;VLOOKUP($G$4,'Reading Report Logic'!$A$2:$B$8,2,FALSE)&amp;"]")), FALSE)),
IF($G$3="FLA",
IF(VLOOKUP($A222, YES_Reading_FLA[], COLUMN(INDIRECT("YES_Reading_FLA[Difference - Per "&amp;VLOOKUP($G$4,'Reading Report Logic'!$A$2:$B$8,2,FALSE)&amp;"]")),FALSE)="","",
VLOOKUP($A222,YES_Reading_FLA[],COLUMN(INDIRECT("YES_Reading_FLA[Difference - Per "&amp;VLOOKUP($G$4,'Reading Report Logic'!$A$2:$B$8,2,FALSE)&amp;"]")),FALSE)),
IF($G$3="Combined",
IFERROR(
IF(VLOOKUP($A222, YES_Reading_ELA[], COLUMN(INDIRECT("YES_Reading_ELA[Difference - Per "&amp;VLOOKUP($G$4, 'Reading Report Logic'!$A$2:$B$8,2,FALSE)&amp;"]")), FALSE)="", "",
VLOOKUP($A222,YES_Reading_ELA[],COLUMN(INDIRECT("YES_Reading_ELA[Difference - Per "&amp;VLOOKUP($G$4,'Reading Report Logic'!$A$2:$B$8,2,FALSE)&amp;"]")),FALSE)),
IF(VLOOKUP($A222, YES_Reading_FLA[], COLUMN(INDIRECT("YES_Reading_FLA[Difference - Per "&amp;VLOOKUP($G$4, 'Reading Report Logic'!$A$2:$B$8, 2, FALSE)&amp;"]")),FALSE)="", "", VLOOKUP($A222,YES_Reading_FLA[],COLUMN(INDIRECT("YES_Reading_FLA[Difference - Per "&amp;VLOOKUP($G$4, 'Reading Report Logic'!$A$2:$B$8, 2, FALSE)&amp;"]")),FALSE))),""))),"")</f>
        <v/>
      </c>
    </row>
    <row r="223" spans="1:9" x14ac:dyDescent="0.25">
      <c r="A223" s="137"/>
      <c r="B223" s="137" t="str">
        <f>IFERROR(INDEX(_xlfn.VSTACK(YES_Writing_ELA[#Data], YES_Writing_FLA[#Data]),MATCH($A223,_xlfn.VSTACK(YES_Writing_ELA[Student Number], YES_Writing_FLA[Student Number]),0),MATCH(B$7,YES_Writing_ELA[#Headers],0)),IFERROR(INDEX(_xlfn.VSTACK(YES_Reading_ELA[#Data], YES_Reading_FLA[#Data]),MATCH($A223,_xlfn.VSTACK(YES_Reading_ELA[Student Number], YES_Reading_FLA[Student Number]),0),MATCH(B$7,YES_Reading_ELA[#Headers],0)),""))</f>
        <v/>
      </c>
      <c r="C223" s="137" t="str">
        <f>IFERROR(INDEX(_xlfn.VSTACK(YES_Writing_ELA[#Data], YES_Writing_FLA[#Data]),MATCH($A223,_xlfn.VSTACK(YES_Writing_ELA[Student Number], YES_Writing_FLA[Student Number]),0),MATCH(C$7,YES_Writing_ELA[#Headers],0)),IFERROR(INDEX(_xlfn.VSTACK(YES_Reading_ELA[#Data], YES_Reading_FLA[#Data]),MATCH($A223,_xlfn.VSTACK(YES_Reading_ELA[Student Number], YES_Reading_FLA[Student Number]),0),MATCH(C$7,YES_Reading_ELA[#Headers],0)),""))</f>
        <v/>
      </c>
      <c r="D223" s="138" t="str">
        <f>IFERROR(IF(IF(INDEX(_xlfn.VSTACK(YES_Writing_ELA[#Data],YES_Writing_FLA[#Data]),MATCH($A223,_xlfn.VSTACK(YES_Writing_ELA[Student Number],YES_Writing_FLA[Student Number]),0),MATCH(VLOOKUP(D$7,'Writing Logic'!$J$7:$K$11,2,FALSE)&amp;" - Per "&amp;VLOOKUP($C$4,'Writing Logic'!$G$8:$H$14,2,FALSE),YES_Writing_ELA[#Headers],0))=0,"",INDEX(_xlfn.VSTACK(YES_Writing_ELA[#Data],YES_Writing_FLA[#Data]),MATCH($A223,_xlfn.VSTACK(YES_Writing_ELA[Student Number],YES_Writing_FLA[Student Number]),0),MATCH(VLOOKUP(D$7,'Writing Logic'!$J$7:$K$11,2,FALSE)&amp;" - Per "&amp;VLOOKUP($C$4,'Writing Logic'!$G$8:$H$14,2,FALSE),YES_Writing_ELA[#Headers],0)))="INS",'Writing Logic'!$B$7,IF(INDEX(_xlfn.VSTACK(YES_Writing_ELA[#Data],YES_Writing_FLA[#Data]),MATCH($A223,_xlfn.VSTACK(YES_Writing_ELA[Student Number],YES_Writing_FLA[Student Number]),0),MATCH(VLOOKUP(D$7,'Writing Logic'!$J$7:$K$11,2,FALSE)&amp;" - Per "&amp;VLOOKUP($C$4,'Writing Logic'!$G$8:$H$14,2,FALSE),YES_Writing_ELA[#Headers],0))=0,"",INDEX(_xlfn.VSTACK(YES_Writing_ELA[#Data],YES_Writing_FLA[#Data]),MATCH($A223,_xlfn.VSTACK(YES_Writing_ELA[Student Number],YES_Writing_FLA[Student Number]),0),MATCH(VLOOKUP(D$7,'Writing Logic'!$J$7:$K$11,2,FALSE)&amp;" - Per "&amp;VLOOKUP($C$4,'Writing Logic'!$G$8:$H$14,2,FALSE),YES_Writing_ELA[#Headers],0)))),"")</f>
        <v/>
      </c>
      <c r="E223" s="138" t="str">
        <f>IFERROR(IF(IF(INDEX(_xlfn.VSTACK(YES_Writing_ELA[#Data],YES_Writing_FLA[#Data]),MATCH($A223,_xlfn.VSTACK(YES_Writing_ELA[Student Number],YES_Writing_FLA[Student Number]),0),MATCH(VLOOKUP(E$7,'Writing Logic'!$J$7:$K$11,2,FALSE)&amp;" - Per "&amp;VLOOKUP($C$4,'Writing Logic'!$G$8:$H$14,2,FALSE),YES_Writing_ELA[#Headers],0))=0,"",INDEX(_xlfn.VSTACK(YES_Writing_ELA[#Data],YES_Writing_FLA[#Data]),MATCH($A223,_xlfn.VSTACK(YES_Writing_ELA[Student Number],YES_Writing_FLA[Student Number]),0),MATCH(VLOOKUP(E$7,'Writing Logic'!$J$7:$K$11,2,FALSE)&amp;" - Per "&amp;VLOOKUP($C$4,'Writing Logic'!$G$8:$H$14,2,FALSE),YES_Writing_ELA[#Headers],0)))="INS",'Writing Logic'!$B$7,IF(INDEX(_xlfn.VSTACK(YES_Writing_ELA[#Data],YES_Writing_FLA[#Data]),MATCH($A223,_xlfn.VSTACK(YES_Writing_ELA[Student Number],YES_Writing_FLA[Student Number]),0),MATCH(VLOOKUP(E$7,'Writing Logic'!$J$7:$K$11,2,FALSE)&amp;" - Per "&amp;VLOOKUP($C$4,'Writing Logic'!$G$8:$H$14,2,FALSE),YES_Writing_ELA[#Headers],0))=0,"",INDEX(_xlfn.VSTACK(YES_Writing_ELA[#Data],YES_Writing_FLA[#Data]),MATCH($A223,_xlfn.VSTACK(YES_Writing_ELA[Student Number],YES_Writing_FLA[Student Number]),0),MATCH(VLOOKUP(E$7,'Writing Logic'!$J$7:$K$11,2,FALSE)&amp;" - Per "&amp;VLOOKUP($C$4,'Writing Logic'!$G$8:$H$14,2,FALSE),YES_Writing_ELA[#Headers],0)))),"")</f>
        <v/>
      </c>
      <c r="F223" s="138" t="str">
        <f>IFERROR(IF(IF(INDEX(_xlfn.VSTACK(YES_Writing_ELA[#Data],YES_Writing_FLA[#Data]),MATCH($A223,_xlfn.VSTACK(YES_Writing_ELA[Student Number],YES_Writing_FLA[Student Number]),0),MATCH(VLOOKUP(F$7,'Writing Logic'!$J$7:$K$11,2,FALSE)&amp;" - Per "&amp;VLOOKUP($C$4,'Writing Logic'!$G$8:$H$14,2,FALSE),YES_Writing_ELA[#Headers],0))=0,"",INDEX(_xlfn.VSTACK(YES_Writing_ELA[#Data],YES_Writing_FLA[#Data]),MATCH($A223,_xlfn.VSTACK(YES_Writing_ELA[Student Number],YES_Writing_FLA[Student Number]),0),MATCH(VLOOKUP(F$7,'Writing Logic'!$J$7:$K$11,2,FALSE)&amp;" - Per "&amp;VLOOKUP($C$4,'Writing Logic'!$G$8:$H$14,2,FALSE),YES_Writing_ELA[#Headers],0)))="INS",'Writing Logic'!$B$7,IF(INDEX(_xlfn.VSTACK(YES_Writing_ELA[#Data],YES_Writing_FLA[#Data]),MATCH($A223,_xlfn.VSTACK(YES_Writing_ELA[Student Number],YES_Writing_FLA[Student Number]),0),MATCH(VLOOKUP(F$7,'Writing Logic'!$J$7:$K$11,2,FALSE)&amp;" - Per "&amp;VLOOKUP($C$4,'Writing Logic'!$G$8:$H$14,2,FALSE),YES_Writing_ELA[#Headers],0))=0,"",INDEX(_xlfn.VSTACK(YES_Writing_ELA[#Data],YES_Writing_FLA[#Data]),MATCH($A223,_xlfn.VSTACK(YES_Writing_ELA[Student Number],YES_Writing_FLA[Student Number]),0),MATCH(VLOOKUP(F$7,'Writing Logic'!$J$7:$K$11,2,FALSE)&amp;" - Per "&amp;VLOOKUP($C$4,'Writing Logic'!$G$8:$H$14,2,FALSE),YES_Writing_ELA[#Headers],0)))),"")</f>
        <v/>
      </c>
      <c r="G223" s="138" t="str">
        <f>IFERROR(IF(IF(INDEX(_xlfn.VSTACK(YES_Writing_ELA[#Data],YES_Writing_FLA[#Data]),MATCH($A223,_xlfn.VSTACK(YES_Writing_ELA[Student Number],YES_Writing_FLA[Student Number]),0),MATCH(VLOOKUP(G$7,'Writing Logic'!$J$7:$K$11,2,FALSE)&amp;" - Per "&amp;VLOOKUP($C$4,'Writing Logic'!$G$8:$H$14,2,FALSE),YES_Writing_ELA[#Headers],0))=0,"",INDEX(_xlfn.VSTACK(YES_Writing_ELA[#Data],YES_Writing_FLA[#Data]),MATCH($A223,_xlfn.VSTACK(YES_Writing_ELA[Student Number],YES_Writing_FLA[Student Number]),0),MATCH(VLOOKUP(G$7,'Writing Logic'!$J$7:$K$11,2,FALSE)&amp;" - Per "&amp;VLOOKUP($C$4,'Writing Logic'!$G$8:$H$14,2,FALSE),YES_Writing_ELA[#Headers],0)))="INS",'Writing Logic'!$B$7,IF(INDEX(_xlfn.VSTACK(YES_Writing_ELA[#Data],YES_Writing_FLA[#Data]),MATCH($A223,_xlfn.VSTACK(YES_Writing_ELA[Student Number],YES_Writing_FLA[Student Number]),0),MATCH(VLOOKUP(G$7,'Writing Logic'!$J$7:$K$11,2,FALSE)&amp;" - Per "&amp;VLOOKUP($C$4,'Writing Logic'!$G$8:$H$14,2,FALSE),YES_Writing_ELA[#Headers],0))=0,"",INDEX(_xlfn.VSTACK(YES_Writing_ELA[#Data],YES_Writing_FLA[#Data]),MATCH($A223,_xlfn.VSTACK(YES_Writing_ELA[Student Number],YES_Writing_FLA[Student Number]),0),MATCH(VLOOKUP(G$7,'Writing Logic'!$J$7:$K$11,2,FALSE)&amp;" - Per "&amp;VLOOKUP($C$4,'Writing Logic'!$G$8:$H$14,2,FALSE),YES_Writing_ELA[#Headers],0)))),"")</f>
        <v/>
      </c>
      <c r="H223" s="223" t="str">
        <f>IFERROR(IF(IF(INDEX(_xlfn.VSTACK(YES_Writing_ELA[#Data],YES_Writing_FLA[#Data]),MATCH($A223,_xlfn.VSTACK(YES_Writing_ELA[Student Number],YES_Writing_FLA[Student Number]),0),MATCH(VLOOKUP(H$7,'Writing Logic'!$J$7:$K$11,2,FALSE)&amp;" - Per "&amp;VLOOKUP($C$4,'Writing Logic'!$G$8:$H$14,2,FALSE),YES_Writing_ELA[#Headers],0))=0,"",INDEX(_xlfn.VSTACK(YES_Writing_ELA[#Data],YES_Writing_FLA[#Data]),MATCH($A223,_xlfn.VSTACK(YES_Writing_ELA[Student Number],YES_Writing_FLA[Student Number]),0),MATCH(VLOOKUP(H$7,'Writing Logic'!$J$7:$K$11,2,FALSE)&amp;" - Per "&amp;VLOOKUP($C$4,'Writing Logic'!$G$8:$H$14,2,FALSE),YES_Writing_ELA[#Headers],0)))="INS",'Writing Logic'!$B$7,IF(INDEX(_xlfn.VSTACK(YES_Writing_ELA[#Data],YES_Writing_FLA[#Data]),MATCH($A223,_xlfn.VSTACK(YES_Writing_ELA[Student Number],YES_Writing_FLA[Student Number]),0),MATCH(VLOOKUP(H$7,'Writing Logic'!$J$7:$K$11,2,FALSE)&amp;" - Per "&amp;VLOOKUP($C$4,'Writing Logic'!$G$8:$H$14,2,FALSE),YES_Writing_ELA[#Headers],0))=0,"",INDEX(_xlfn.VSTACK(YES_Writing_ELA[#Data],YES_Writing_FLA[#Data]),MATCH($A223,_xlfn.VSTACK(YES_Writing_ELA[Student Number],YES_Writing_FLA[Student Number]),0),MATCH(VLOOKUP(H$7,'Writing Logic'!$J$7:$K$11,2,FALSE)&amp;" - Per "&amp;VLOOKUP($C$4,'Writing Logic'!$G$8:$H$14,2,FALSE),YES_Writing_ELA[#Headers],0)))),"")</f>
        <v/>
      </c>
      <c r="I223" s="224" t="str" cm="1">
        <f t="array" aca="1" ref="I223" ca="1">IFERROR(
IF($G$3="ELA",
IF(VLOOKUP($A223, YES_Reading_ELA[], COLUMN(INDIRECT("YES_Reading_ELA[Difference - Per "&amp;VLOOKUP($G$4, 'Reading Report Logic'!$A$2:$B$8, 2, FALSE)&amp;"]")), FALSE)="", "",
VLOOKUP($A223,YES_Reading_ELA[], COLUMN(INDIRECT("YES_Reading_ELA[Difference - Per "&amp;VLOOKUP($G$4,'Reading Report Logic'!$A$2:$B$8,2,FALSE)&amp;"]")), FALSE)),
IF($G$3="FLA",
IF(VLOOKUP($A223, YES_Reading_FLA[], COLUMN(INDIRECT("YES_Reading_FLA[Difference - Per "&amp;VLOOKUP($G$4,'Reading Report Logic'!$A$2:$B$8,2,FALSE)&amp;"]")),FALSE)="","",
VLOOKUP($A223,YES_Reading_FLA[],COLUMN(INDIRECT("YES_Reading_FLA[Difference - Per "&amp;VLOOKUP($G$4,'Reading Report Logic'!$A$2:$B$8,2,FALSE)&amp;"]")),FALSE)),
IF($G$3="Combined",
IFERROR(
IF(VLOOKUP($A223, YES_Reading_ELA[], COLUMN(INDIRECT("YES_Reading_ELA[Difference - Per "&amp;VLOOKUP($G$4, 'Reading Report Logic'!$A$2:$B$8,2,FALSE)&amp;"]")), FALSE)="", "",
VLOOKUP($A223,YES_Reading_ELA[],COLUMN(INDIRECT("YES_Reading_ELA[Difference - Per "&amp;VLOOKUP($G$4,'Reading Report Logic'!$A$2:$B$8,2,FALSE)&amp;"]")),FALSE)),
IF(VLOOKUP($A223, YES_Reading_FLA[], COLUMN(INDIRECT("YES_Reading_FLA[Difference - Per "&amp;VLOOKUP($G$4, 'Reading Report Logic'!$A$2:$B$8, 2, FALSE)&amp;"]")),FALSE)="", "", VLOOKUP($A223,YES_Reading_FLA[],COLUMN(INDIRECT("YES_Reading_FLA[Difference - Per "&amp;VLOOKUP($G$4, 'Reading Report Logic'!$A$2:$B$8, 2, FALSE)&amp;"]")),FALSE))),""))),"")</f>
        <v/>
      </c>
    </row>
    <row r="224" spans="1:9" x14ac:dyDescent="0.25">
      <c r="A224" s="137"/>
      <c r="B224" s="137" t="str">
        <f>IFERROR(INDEX(_xlfn.VSTACK(YES_Writing_ELA[#Data], YES_Writing_FLA[#Data]),MATCH($A224,_xlfn.VSTACK(YES_Writing_ELA[Student Number], YES_Writing_FLA[Student Number]),0),MATCH(B$7,YES_Writing_ELA[#Headers],0)),IFERROR(INDEX(_xlfn.VSTACK(YES_Reading_ELA[#Data], YES_Reading_FLA[#Data]),MATCH($A224,_xlfn.VSTACK(YES_Reading_ELA[Student Number], YES_Reading_FLA[Student Number]),0),MATCH(B$7,YES_Reading_ELA[#Headers],0)),""))</f>
        <v/>
      </c>
      <c r="C224" s="137" t="str">
        <f>IFERROR(INDEX(_xlfn.VSTACK(YES_Writing_ELA[#Data], YES_Writing_FLA[#Data]),MATCH($A224,_xlfn.VSTACK(YES_Writing_ELA[Student Number], YES_Writing_FLA[Student Number]),0),MATCH(C$7,YES_Writing_ELA[#Headers],0)),IFERROR(INDEX(_xlfn.VSTACK(YES_Reading_ELA[#Data], YES_Reading_FLA[#Data]),MATCH($A224,_xlfn.VSTACK(YES_Reading_ELA[Student Number], YES_Reading_FLA[Student Number]),0),MATCH(C$7,YES_Reading_ELA[#Headers],0)),""))</f>
        <v/>
      </c>
      <c r="D224" s="138" t="str">
        <f>IFERROR(IF(IF(INDEX(_xlfn.VSTACK(YES_Writing_ELA[#Data],YES_Writing_FLA[#Data]),MATCH($A224,_xlfn.VSTACK(YES_Writing_ELA[Student Number],YES_Writing_FLA[Student Number]),0),MATCH(VLOOKUP(D$7,'Writing Logic'!$J$7:$K$11,2,FALSE)&amp;" - Per "&amp;VLOOKUP($C$4,'Writing Logic'!$G$8:$H$14,2,FALSE),YES_Writing_ELA[#Headers],0))=0,"",INDEX(_xlfn.VSTACK(YES_Writing_ELA[#Data],YES_Writing_FLA[#Data]),MATCH($A224,_xlfn.VSTACK(YES_Writing_ELA[Student Number],YES_Writing_FLA[Student Number]),0),MATCH(VLOOKUP(D$7,'Writing Logic'!$J$7:$K$11,2,FALSE)&amp;" - Per "&amp;VLOOKUP($C$4,'Writing Logic'!$G$8:$H$14,2,FALSE),YES_Writing_ELA[#Headers],0)))="INS",'Writing Logic'!$B$7,IF(INDEX(_xlfn.VSTACK(YES_Writing_ELA[#Data],YES_Writing_FLA[#Data]),MATCH($A224,_xlfn.VSTACK(YES_Writing_ELA[Student Number],YES_Writing_FLA[Student Number]),0),MATCH(VLOOKUP(D$7,'Writing Logic'!$J$7:$K$11,2,FALSE)&amp;" - Per "&amp;VLOOKUP($C$4,'Writing Logic'!$G$8:$H$14,2,FALSE),YES_Writing_ELA[#Headers],0))=0,"",INDEX(_xlfn.VSTACK(YES_Writing_ELA[#Data],YES_Writing_FLA[#Data]),MATCH($A224,_xlfn.VSTACK(YES_Writing_ELA[Student Number],YES_Writing_FLA[Student Number]),0),MATCH(VLOOKUP(D$7,'Writing Logic'!$J$7:$K$11,2,FALSE)&amp;" - Per "&amp;VLOOKUP($C$4,'Writing Logic'!$G$8:$H$14,2,FALSE),YES_Writing_ELA[#Headers],0)))),"")</f>
        <v/>
      </c>
      <c r="E224" s="138" t="str">
        <f>IFERROR(IF(IF(INDEX(_xlfn.VSTACK(YES_Writing_ELA[#Data],YES_Writing_FLA[#Data]),MATCH($A224,_xlfn.VSTACK(YES_Writing_ELA[Student Number],YES_Writing_FLA[Student Number]),0),MATCH(VLOOKUP(E$7,'Writing Logic'!$J$7:$K$11,2,FALSE)&amp;" - Per "&amp;VLOOKUP($C$4,'Writing Logic'!$G$8:$H$14,2,FALSE),YES_Writing_ELA[#Headers],0))=0,"",INDEX(_xlfn.VSTACK(YES_Writing_ELA[#Data],YES_Writing_FLA[#Data]),MATCH($A224,_xlfn.VSTACK(YES_Writing_ELA[Student Number],YES_Writing_FLA[Student Number]),0),MATCH(VLOOKUP(E$7,'Writing Logic'!$J$7:$K$11,2,FALSE)&amp;" - Per "&amp;VLOOKUP($C$4,'Writing Logic'!$G$8:$H$14,2,FALSE),YES_Writing_ELA[#Headers],0)))="INS",'Writing Logic'!$B$7,IF(INDEX(_xlfn.VSTACK(YES_Writing_ELA[#Data],YES_Writing_FLA[#Data]),MATCH($A224,_xlfn.VSTACK(YES_Writing_ELA[Student Number],YES_Writing_FLA[Student Number]),0),MATCH(VLOOKUP(E$7,'Writing Logic'!$J$7:$K$11,2,FALSE)&amp;" - Per "&amp;VLOOKUP($C$4,'Writing Logic'!$G$8:$H$14,2,FALSE),YES_Writing_ELA[#Headers],0))=0,"",INDEX(_xlfn.VSTACK(YES_Writing_ELA[#Data],YES_Writing_FLA[#Data]),MATCH($A224,_xlfn.VSTACK(YES_Writing_ELA[Student Number],YES_Writing_FLA[Student Number]),0),MATCH(VLOOKUP(E$7,'Writing Logic'!$J$7:$K$11,2,FALSE)&amp;" - Per "&amp;VLOOKUP($C$4,'Writing Logic'!$G$8:$H$14,2,FALSE),YES_Writing_ELA[#Headers],0)))),"")</f>
        <v/>
      </c>
      <c r="F224" s="138" t="str">
        <f>IFERROR(IF(IF(INDEX(_xlfn.VSTACK(YES_Writing_ELA[#Data],YES_Writing_FLA[#Data]),MATCH($A224,_xlfn.VSTACK(YES_Writing_ELA[Student Number],YES_Writing_FLA[Student Number]),0),MATCH(VLOOKUP(F$7,'Writing Logic'!$J$7:$K$11,2,FALSE)&amp;" - Per "&amp;VLOOKUP($C$4,'Writing Logic'!$G$8:$H$14,2,FALSE),YES_Writing_ELA[#Headers],0))=0,"",INDEX(_xlfn.VSTACK(YES_Writing_ELA[#Data],YES_Writing_FLA[#Data]),MATCH($A224,_xlfn.VSTACK(YES_Writing_ELA[Student Number],YES_Writing_FLA[Student Number]),0),MATCH(VLOOKUP(F$7,'Writing Logic'!$J$7:$K$11,2,FALSE)&amp;" - Per "&amp;VLOOKUP($C$4,'Writing Logic'!$G$8:$H$14,2,FALSE),YES_Writing_ELA[#Headers],0)))="INS",'Writing Logic'!$B$7,IF(INDEX(_xlfn.VSTACK(YES_Writing_ELA[#Data],YES_Writing_FLA[#Data]),MATCH($A224,_xlfn.VSTACK(YES_Writing_ELA[Student Number],YES_Writing_FLA[Student Number]),0),MATCH(VLOOKUP(F$7,'Writing Logic'!$J$7:$K$11,2,FALSE)&amp;" - Per "&amp;VLOOKUP($C$4,'Writing Logic'!$G$8:$H$14,2,FALSE),YES_Writing_ELA[#Headers],0))=0,"",INDEX(_xlfn.VSTACK(YES_Writing_ELA[#Data],YES_Writing_FLA[#Data]),MATCH($A224,_xlfn.VSTACK(YES_Writing_ELA[Student Number],YES_Writing_FLA[Student Number]),0),MATCH(VLOOKUP(F$7,'Writing Logic'!$J$7:$K$11,2,FALSE)&amp;" - Per "&amp;VLOOKUP($C$4,'Writing Logic'!$G$8:$H$14,2,FALSE),YES_Writing_ELA[#Headers],0)))),"")</f>
        <v/>
      </c>
      <c r="G224" s="138" t="str">
        <f>IFERROR(IF(IF(INDEX(_xlfn.VSTACK(YES_Writing_ELA[#Data],YES_Writing_FLA[#Data]),MATCH($A224,_xlfn.VSTACK(YES_Writing_ELA[Student Number],YES_Writing_FLA[Student Number]),0),MATCH(VLOOKUP(G$7,'Writing Logic'!$J$7:$K$11,2,FALSE)&amp;" - Per "&amp;VLOOKUP($C$4,'Writing Logic'!$G$8:$H$14,2,FALSE),YES_Writing_ELA[#Headers],0))=0,"",INDEX(_xlfn.VSTACK(YES_Writing_ELA[#Data],YES_Writing_FLA[#Data]),MATCH($A224,_xlfn.VSTACK(YES_Writing_ELA[Student Number],YES_Writing_FLA[Student Number]),0),MATCH(VLOOKUP(G$7,'Writing Logic'!$J$7:$K$11,2,FALSE)&amp;" - Per "&amp;VLOOKUP($C$4,'Writing Logic'!$G$8:$H$14,2,FALSE),YES_Writing_ELA[#Headers],0)))="INS",'Writing Logic'!$B$7,IF(INDEX(_xlfn.VSTACK(YES_Writing_ELA[#Data],YES_Writing_FLA[#Data]),MATCH($A224,_xlfn.VSTACK(YES_Writing_ELA[Student Number],YES_Writing_FLA[Student Number]),0),MATCH(VLOOKUP(G$7,'Writing Logic'!$J$7:$K$11,2,FALSE)&amp;" - Per "&amp;VLOOKUP($C$4,'Writing Logic'!$G$8:$H$14,2,FALSE),YES_Writing_ELA[#Headers],0))=0,"",INDEX(_xlfn.VSTACK(YES_Writing_ELA[#Data],YES_Writing_FLA[#Data]),MATCH($A224,_xlfn.VSTACK(YES_Writing_ELA[Student Number],YES_Writing_FLA[Student Number]),0),MATCH(VLOOKUP(G$7,'Writing Logic'!$J$7:$K$11,2,FALSE)&amp;" - Per "&amp;VLOOKUP($C$4,'Writing Logic'!$G$8:$H$14,2,FALSE),YES_Writing_ELA[#Headers],0)))),"")</f>
        <v/>
      </c>
      <c r="H224" s="223" t="str">
        <f>IFERROR(IF(IF(INDEX(_xlfn.VSTACK(YES_Writing_ELA[#Data],YES_Writing_FLA[#Data]),MATCH($A224,_xlfn.VSTACK(YES_Writing_ELA[Student Number],YES_Writing_FLA[Student Number]),0),MATCH(VLOOKUP(H$7,'Writing Logic'!$J$7:$K$11,2,FALSE)&amp;" - Per "&amp;VLOOKUP($C$4,'Writing Logic'!$G$8:$H$14,2,FALSE),YES_Writing_ELA[#Headers],0))=0,"",INDEX(_xlfn.VSTACK(YES_Writing_ELA[#Data],YES_Writing_FLA[#Data]),MATCH($A224,_xlfn.VSTACK(YES_Writing_ELA[Student Number],YES_Writing_FLA[Student Number]),0),MATCH(VLOOKUP(H$7,'Writing Logic'!$J$7:$K$11,2,FALSE)&amp;" - Per "&amp;VLOOKUP($C$4,'Writing Logic'!$G$8:$H$14,2,FALSE),YES_Writing_ELA[#Headers],0)))="INS",'Writing Logic'!$B$7,IF(INDEX(_xlfn.VSTACK(YES_Writing_ELA[#Data],YES_Writing_FLA[#Data]),MATCH($A224,_xlfn.VSTACK(YES_Writing_ELA[Student Number],YES_Writing_FLA[Student Number]),0),MATCH(VLOOKUP(H$7,'Writing Logic'!$J$7:$K$11,2,FALSE)&amp;" - Per "&amp;VLOOKUP($C$4,'Writing Logic'!$G$8:$H$14,2,FALSE),YES_Writing_ELA[#Headers],0))=0,"",INDEX(_xlfn.VSTACK(YES_Writing_ELA[#Data],YES_Writing_FLA[#Data]),MATCH($A224,_xlfn.VSTACK(YES_Writing_ELA[Student Number],YES_Writing_FLA[Student Number]),0),MATCH(VLOOKUP(H$7,'Writing Logic'!$J$7:$K$11,2,FALSE)&amp;" - Per "&amp;VLOOKUP($C$4,'Writing Logic'!$G$8:$H$14,2,FALSE),YES_Writing_ELA[#Headers],0)))),"")</f>
        <v/>
      </c>
      <c r="I224" s="224" t="str" cm="1">
        <f t="array" aca="1" ref="I224" ca="1">IFERROR(
IF($G$3="ELA",
IF(VLOOKUP($A224, YES_Reading_ELA[], COLUMN(INDIRECT("YES_Reading_ELA[Difference - Per "&amp;VLOOKUP($G$4, 'Reading Report Logic'!$A$2:$B$8, 2, FALSE)&amp;"]")), FALSE)="", "",
VLOOKUP($A224,YES_Reading_ELA[], COLUMN(INDIRECT("YES_Reading_ELA[Difference - Per "&amp;VLOOKUP($G$4,'Reading Report Logic'!$A$2:$B$8,2,FALSE)&amp;"]")), FALSE)),
IF($G$3="FLA",
IF(VLOOKUP($A224, YES_Reading_FLA[], COLUMN(INDIRECT("YES_Reading_FLA[Difference - Per "&amp;VLOOKUP($G$4,'Reading Report Logic'!$A$2:$B$8,2,FALSE)&amp;"]")),FALSE)="","",
VLOOKUP($A224,YES_Reading_FLA[],COLUMN(INDIRECT("YES_Reading_FLA[Difference - Per "&amp;VLOOKUP($G$4,'Reading Report Logic'!$A$2:$B$8,2,FALSE)&amp;"]")),FALSE)),
IF($G$3="Combined",
IFERROR(
IF(VLOOKUP($A224, YES_Reading_ELA[], COLUMN(INDIRECT("YES_Reading_ELA[Difference - Per "&amp;VLOOKUP($G$4, 'Reading Report Logic'!$A$2:$B$8,2,FALSE)&amp;"]")), FALSE)="", "",
VLOOKUP($A224,YES_Reading_ELA[],COLUMN(INDIRECT("YES_Reading_ELA[Difference - Per "&amp;VLOOKUP($G$4,'Reading Report Logic'!$A$2:$B$8,2,FALSE)&amp;"]")),FALSE)),
IF(VLOOKUP($A224, YES_Reading_FLA[], COLUMN(INDIRECT("YES_Reading_FLA[Difference - Per "&amp;VLOOKUP($G$4, 'Reading Report Logic'!$A$2:$B$8, 2, FALSE)&amp;"]")),FALSE)="", "", VLOOKUP($A224,YES_Reading_FLA[],COLUMN(INDIRECT("YES_Reading_FLA[Difference - Per "&amp;VLOOKUP($G$4, 'Reading Report Logic'!$A$2:$B$8, 2, FALSE)&amp;"]")),FALSE))),""))),"")</f>
        <v/>
      </c>
    </row>
    <row r="225" spans="1:9" x14ac:dyDescent="0.25">
      <c r="A225" s="137"/>
      <c r="B225" s="137" t="str">
        <f>IFERROR(INDEX(_xlfn.VSTACK(YES_Writing_ELA[#Data], YES_Writing_FLA[#Data]),MATCH($A225,_xlfn.VSTACK(YES_Writing_ELA[Student Number], YES_Writing_FLA[Student Number]),0),MATCH(B$7,YES_Writing_ELA[#Headers],0)),IFERROR(INDEX(_xlfn.VSTACK(YES_Reading_ELA[#Data], YES_Reading_FLA[#Data]),MATCH($A225,_xlfn.VSTACK(YES_Reading_ELA[Student Number], YES_Reading_FLA[Student Number]),0),MATCH(B$7,YES_Reading_ELA[#Headers],0)),""))</f>
        <v/>
      </c>
      <c r="C225" s="137" t="str">
        <f>IFERROR(INDEX(_xlfn.VSTACK(YES_Writing_ELA[#Data], YES_Writing_FLA[#Data]),MATCH($A225,_xlfn.VSTACK(YES_Writing_ELA[Student Number], YES_Writing_FLA[Student Number]),0),MATCH(C$7,YES_Writing_ELA[#Headers],0)),IFERROR(INDEX(_xlfn.VSTACK(YES_Reading_ELA[#Data], YES_Reading_FLA[#Data]),MATCH($A225,_xlfn.VSTACK(YES_Reading_ELA[Student Number], YES_Reading_FLA[Student Number]),0),MATCH(C$7,YES_Reading_ELA[#Headers],0)),""))</f>
        <v/>
      </c>
      <c r="D225" s="138" t="str">
        <f>IFERROR(IF(IF(INDEX(_xlfn.VSTACK(YES_Writing_ELA[#Data],YES_Writing_FLA[#Data]),MATCH($A225,_xlfn.VSTACK(YES_Writing_ELA[Student Number],YES_Writing_FLA[Student Number]),0),MATCH(VLOOKUP(D$7,'Writing Logic'!$J$7:$K$11,2,FALSE)&amp;" - Per "&amp;VLOOKUP($C$4,'Writing Logic'!$G$8:$H$14,2,FALSE),YES_Writing_ELA[#Headers],0))=0,"",INDEX(_xlfn.VSTACK(YES_Writing_ELA[#Data],YES_Writing_FLA[#Data]),MATCH($A225,_xlfn.VSTACK(YES_Writing_ELA[Student Number],YES_Writing_FLA[Student Number]),0),MATCH(VLOOKUP(D$7,'Writing Logic'!$J$7:$K$11,2,FALSE)&amp;" - Per "&amp;VLOOKUP($C$4,'Writing Logic'!$G$8:$H$14,2,FALSE),YES_Writing_ELA[#Headers],0)))="INS",'Writing Logic'!$B$7,IF(INDEX(_xlfn.VSTACK(YES_Writing_ELA[#Data],YES_Writing_FLA[#Data]),MATCH($A225,_xlfn.VSTACK(YES_Writing_ELA[Student Number],YES_Writing_FLA[Student Number]),0),MATCH(VLOOKUP(D$7,'Writing Logic'!$J$7:$K$11,2,FALSE)&amp;" - Per "&amp;VLOOKUP($C$4,'Writing Logic'!$G$8:$H$14,2,FALSE),YES_Writing_ELA[#Headers],0))=0,"",INDEX(_xlfn.VSTACK(YES_Writing_ELA[#Data],YES_Writing_FLA[#Data]),MATCH($A225,_xlfn.VSTACK(YES_Writing_ELA[Student Number],YES_Writing_FLA[Student Number]),0),MATCH(VLOOKUP(D$7,'Writing Logic'!$J$7:$K$11,2,FALSE)&amp;" - Per "&amp;VLOOKUP($C$4,'Writing Logic'!$G$8:$H$14,2,FALSE),YES_Writing_ELA[#Headers],0)))),"")</f>
        <v/>
      </c>
      <c r="E225" s="138" t="str">
        <f>IFERROR(IF(IF(INDEX(_xlfn.VSTACK(YES_Writing_ELA[#Data],YES_Writing_FLA[#Data]),MATCH($A225,_xlfn.VSTACK(YES_Writing_ELA[Student Number],YES_Writing_FLA[Student Number]),0),MATCH(VLOOKUP(E$7,'Writing Logic'!$J$7:$K$11,2,FALSE)&amp;" - Per "&amp;VLOOKUP($C$4,'Writing Logic'!$G$8:$H$14,2,FALSE),YES_Writing_ELA[#Headers],0))=0,"",INDEX(_xlfn.VSTACK(YES_Writing_ELA[#Data],YES_Writing_FLA[#Data]),MATCH($A225,_xlfn.VSTACK(YES_Writing_ELA[Student Number],YES_Writing_FLA[Student Number]),0),MATCH(VLOOKUP(E$7,'Writing Logic'!$J$7:$K$11,2,FALSE)&amp;" - Per "&amp;VLOOKUP($C$4,'Writing Logic'!$G$8:$H$14,2,FALSE),YES_Writing_ELA[#Headers],0)))="INS",'Writing Logic'!$B$7,IF(INDEX(_xlfn.VSTACK(YES_Writing_ELA[#Data],YES_Writing_FLA[#Data]),MATCH($A225,_xlfn.VSTACK(YES_Writing_ELA[Student Number],YES_Writing_FLA[Student Number]),0),MATCH(VLOOKUP(E$7,'Writing Logic'!$J$7:$K$11,2,FALSE)&amp;" - Per "&amp;VLOOKUP($C$4,'Writing Logic'!$G$8:$H$14,2,FALSE),YES_Writing_ELA[#Headers],0))=0,"",INDEX(_xlfn.VSTACK(YES_Writing_ELA[#Data],YES_Writing_FLA[#Data]),MATCH($A225,_xlfn.VSTACK(YES_Writing_ELA[Student Number],YES_Writing_FLA[Student Number]),0),MATCH(VLOOKUP(E$7,'Writing Logic'!$J$7:$K$11,2,FALSE)&amp;" - Per "&amp;VLOOKUP($C$4,'Writing Logic'!$G$8:$H$14,2,FALSE),YES_Writing_ELA[#Headers],0)))),"")</f>
        <v/>
      </c>
      <c r="F225" s="138" t="str">
        <f>IFERROR(IF(IF(INDEX(_xlfn.VSTACK(YES_Writing_ELA[#Data],YES_Writing_FLA[#Data]),MATCH($A225,_xlfn.VSTACK(YES_Writing_ELA[Student Number],YES_Writing_FLA[Student Number]),0),MATCH(VLOOKUP(F$7,'Writing Logic'!$J$7:$K$11,2,FALSE)&amp;" - Per "&amp;VLOOKUP($C$4,'Writing Logic'!$G$8:$H$14,2,FALSE),YES_Writing_ELA[#Headers],0))=0,"",INDEX(_xlfn.VSTACK(YES_Writing_ELA[#Data],YES_Writing_FLA[#Data]),MATCH($A225,_xlfn.VSTACK(YES_Writing_ELA[Student Number],YES_Writing_FLA[Student Number]),0),MATCH(VLOOKUP(F$7,'Writing Logic'!$J$7:$K$11,2,FALSE)&amp;" - Per "&amp;VLOOKUP($C$4,'Writing Logic'!$G$8:$H$14,2,FALSE),YES_Writing_ELA[#Headers],0)))="INS",'Writing Logic'!$B$7,IF(INDEX(_xlfn.VSTACK(YES_Writing_ELA[#Data],YES_Writing_FLA[#Data]),MATCH($A225,_xlfn.VSTACK(YES_Writing_ELA[Student Number],YES_Writing_FLA[Student Number]),0),MATCH(VLOOKUP(F$7,'Writing Logic'!$J$7:$K$11,2,FALSE)&amp;" - Per "&amp;VLOOKUP($C$4,'Writing Logic'!$G$8:$H$14,2,FALSE),YES_Writing_ELA[#Headers],0))=0,"",INDEX(_xlfn.VSTACK(YES_Writing_ELA[#Data],YES_Writing_FLA[#Data]),MATCH($A225,_xlfn.VSTACK(YES_Writing_ELA[Student Number],YES_Writing_FLA[Student Number]),0),MATCH(VLOOKUP(F$7,'Writing Logic'!$J$7:$K$11,2,FALSE)&amp;" - Per "&amp;VLOOKUP($C$4,'Writing Logic'!$G$8:$H$14,2,FALSE),YES_Writing_ELA[#Headers],0)))),"")</f>
        <v/>
      </c>
      <c r="G225" s="138" t="str">
        <f>IFERROR(IF(IF(INDEX(_xlfn.VSTACK(YES_Writing_ELA[#Data],YES_Writing_FLA[#Data]),MATCH($A225,_xlfn.VSTACK(YES_Writing_ELA[Student Number],YES_Writing_FLA[Student Number]),0),MATCH(VLOOKUP(G$7,'Writing Logic'!$J$7:$K$11,2,FALSE)&amp;" - Per "&amp;VLOOKUP($C$4,'Writing Logic'!$G$8:$H$14,2,FALSE),YES_Writing_ELA[#Headers],0))=0,"",INDEX(_xlfn.VSTACK(YES_Writing_ELA[#Data],YES_Writing_FLA[#Data]),MATCH($A225,_xlfn.VSTACK(YES_Writing_ELA[Student Number],YES_Writing_FLA[Student Number]),0),MATCH(VLOOKUP(G$7,'Writing Logic'!$J$7:$K$11,2,FALSE)&amp;" - Per "&amp;VLOOKUP($C$4,'Writing Logic'!$G$8:$H$14,2,FALSE),YES_Writing_ELA[#Headers],0)))="INS",'Writing Logic'!$B$7,IF(INDEX(_xlfn.VSTACK(YES_Writing_ELA[#Data],YES_Writing_FLA[#Data]),MATCH($A225,_xlfn.VSTACK(YES_Writing_ELA[Student Number],YES_Writing_FLA[Student Number]),0),MATCH(VLOOKUP(G$7,'Writing Logic'!$J$7:$K$11,2,FALSE)&amp;" - Per "&amp;VLOOKUP($C$4,'Writing Logic'!$G$8:$H$14,2,FALSE),YES_Writing_ELA[#Headers],0))=0,"",INDEX(_xlfn.VSTACK(YES_Writing_ELA[#Data],YES_Writing_FLA[#Data]),MATCH($A225,_xlfn.VSTACK(YES_Writing_ELA[Student Number],YES_Writing_FLA[Student Number]),0),MATCH(VLOOKUP(G$7,'Writing Logic'!$J$7:$K$11,2,FALSE)&amp;" - Per "&amp;VLOOKUP($C$4,'Writing Logic'!$G$8:$H$14,2,FALSE),YES_Writing_ELA[#Headers],0)))),"")</f>
        <v/>
      </c>
      <c r="H225" s="223" t="str">
        <f>IFERROR(IF(IF(INDEX(_xlfn.VSTACK(YES_Writing_ELA[#Data],YES_Writing_FLA[#Data]),MATCH($A225,_xlfn.VSTACK(YES_Writing_ELA[Student Number],YES_Writing_FLA[Student Number]),0),MATCH(VLOOKUP(H$7,'Writing Logic'!$J$7:$K$11,2,FALSE)&amp;" - Per "&amp;VLOOKUP($C$4,'Writing Logic'!$G$8:$H$14,2,FALSE),YES_Writing_ELA[#Headers],0))=0,"",INDEX(_xlfn.VSTACK(YES_Writing_ELA[#Data],YES_Writing_FLA[#Data]),MATCH($A225,_xlfn.VSTACK(YES_Writing_ELA[Student Number],YES_Writing_FLA[Student Number]),0),MATCH(VLOOKUP(H$7,'Writing Logic'!$J$7:$K$11,2,FALSE)&amp;" - Per "&amp;VLOOKUP($C$4,'Writing Logic'!$G$8:$H$14,2,FALSE),YES_Writing_ELA[#Headers],0)))="INS",'Writing Logic'!$B$7,IF(INDEX(_xlfn.VSTACK(YES_Writing_ELA[#Data],YES_Writing_FLA[#Data]),MATCH($A225,_xlfn.VSTACK(YES_Writing_ELA[Student Number],YES_Writing_FLA[Student Number]),0),MATCH(VLOOKUP(H$7,'Writing Logic'!$J$7:$K$11,2,FALSE)&amp;" - Per "&amp;VLOOKUP($C$4,'Writing Logic'!$G$8:$H$14,2,FALSE),YES_Writing_ELA[#Headers],0))=0,"",INDEX(_xlfn.VSTACK(YES_Writing_ELA[#Data],YES_Writing_FLA[#Data]),MATCH($A225,_xlfn.VSTACK(YES_Writing_ELA[Student Number],YES_Writing_FLA[Student Number]),0),MATCH(VLOOKUP(H$7,'Writing Logic'!$J$7:$K$11,2,FALSE)&amp;" - Per "&amp;VLOOKUP($C$4,'Writing Logic'!$G$8:$H$14,2,FALSE),YES_Writing_ELA[#Headers],0)))),"")</f>
        <v/>
      </c>
      <c r="I225" s="224" t="str" cm="1">
        <f t="array" aca="1" ref="I225" ca="1">IFERROR(
IF($G$3="ELA",
IF(VLOOKUP($A225, YES_Reading_ELA[], COLUMN(INDIRECT("YES_Reading_ELA[Difference - Per "&amp;VLOOKUP($G$4, 'Reading Report Logic'!$A$2:$B$8, 2, FALSE)&amp;"]")), FALSE)="", "",
VLOOKUP($A225,YES_Reading_ELA[], COLUMN(INDIRECT("YES_Reading_ELA[Difference - Per "&amp;VLOOKUP($G$4,'Reading Report Logic'!$A$2:$B$8,2,FALSE)&amp;"]")), FALSE)),
IF($G$3="FLA",
IF(VLOOKUP($A225, YES_Reading_FLA[], COLUMN(INDIRECT("YES_Reading_FLA[Difference - Per "&amp;VLOOKUP($G$4,'Reading Report Logic'!$A$2:$B$8,2,FALSE)&amp;"]")),FALSE)="","",
VLOOKUP($A225,YES_Reading_FLA[],COLUMN(INDIRECT("YES_Reading_FLA[Difference - Per "&amp;VLOOKUP($G$4,'Reading Report Logic'!$A$2:$B$8,2,FALSE)&amp;"]")),FALSE)),
IF($G$3="Combined",
IFERROR(
IF(VLOOKUP($A225, YES_Reading_ELA[], COLUMN(INDIRECT("YES_Reading_ELA[Difference - Per "&amp;VLOOKUP($G$4, 'Reading Report Logic'!$A$2:$B$8,2,FALSE)&amp;"]")), FALSE)="", "",
VLOOKUP($A225,YES_Reading_ELA[],COLUMN(INDIRECT("YES_Reading_ELA[Difference - Per "&amp;VLOOKUP($G$4,'Reading Report Logic'!$A$2:$B$8,2,FALSE)&amp;"]")),FALSE)),
IF(VLOOKUP($A225, YES_Reading_FLA[], COLUMN(INDIRECT("YES_Reading_FLA[Difference - Per "&amp;VLOOKUP($G$4, 'Reading Report Logic'!$A$2:$B$8, 2, FALSE)&amp;"]")),FALSE)="", "", VLOOKUP($A225,YES_Reading_FLA[],COLUMN(INDIRECT("YES_Reading_FLA[Difference - Per "&amp;VLOOKUP($G$4, 'Reading Report Logic'!$A$2:$B$8, 2, FALSE)&amp;"]")),FALSE))),""))),"")</f>
        <v/>
      </c>
    </row>
    <row r="226" spans="1:9" x14ac:dyDescent="0.25">
      <c r="A226" s="137"/>
      <c r="B226" s="137" t="str">
        <f>IFERROR(INDEX(_xlfn.VSTACK(YES_Writing_ELA[#Data], YES_Writing_FLA[#Data]),MATCH($A226,_xlfn.VSTACK(YES_Writing_ELA[Student Number], YES_Writing_FLA[Student Number]),0),MATCH(B$7,YES_Writing_ELA[#Headers],0)),IFERROR(INDEX(_xlfn.VSTACK(YES_Reading_ELA[#Data], YES_Reading_FLA[#Data]),MATCH($A226,_xlfn.VSTACK(YES_Reading_ELA[Student Number], YES_Reading_FLA[Student Number]),0),MATCH(B$7,YES_Reading_ELA[#Headers],0)),""))</f>
        <v/>
      </c>
      <c r="C226" s="137" t="str">
        <f>IFERROR(INDEX(_xlfn.VSTACK(YES_Writing_ELA[#Data], YES_Writing_FLA[#Data]),MATCH($A226,_xlfn.VSTACK(YES_Writing_ELA[Student Number], YES_Writing_FLA[Student Number]),0),MATCH(C$7,YES_Writing_ELA[#Headers],0)),IFERROR(INDEX(_xlfn.VSTACK(YES_Reading_ELA[#Data], YES_Reading_FLA[#Data]),MATCH($A226,_xlfn.VSTACK(YES_Reading_ELA[Student Number], YES_Reading_FLA[Student Number]),0),MATCH(C$7,YES_Reading_ELA[#Headers],0)),""))</f>
        <v/>
      </c>
      <c r="D226" s="138" t="str">
        <f>IFERROR(IF(IF(INDEX(_xlfn.VSTACK(YES_Writing_ELA[#Data],YES_Writing_FLA[#Data]),MATCH($A226,_xlfn.VSTACK(YES_Writing_ELA[Student Number],YES_Writing_FLA[Student Number]),0),MATCH(VLOOKUP(D$7,'Writing Logic'!$J$7:$K$11,2,FALSE)&amp;" - Per "&amp;VLOOKUP($C$4,'Writing Logic'!$G$8:$H$14,2,FALSE),YES_Writing_ELA[#Headers],0))=0,"",INDEX(_xlfn.VSTACK(YES_Writing_ELA[#Data],YES_Writing_FLA[#Data]),MATCH($A226,_xlfn.VSTACK(YES_Writing_ELA[Student Number],YES_Writing_FLA[Student Number]),0),MATCH(VLOOKUP(D$7,'Writing Logic'!$J$7:$K$11,2,FALSE)&amp;" - Per "&amp;VLOOKUP($C$4,'Writing Logic'!$G$8:$H$14,2,FALSE),YES_Writing_ELA[#Headers],0)))="INS",'Writing Logic'!$B$7,IF(INDEX(_xlfn.VSTACK(YES_Writing_ELA[#Data],YES_Writing_FLA[#Data]),MATCH($A226,_xlfn.VSTACK(YES_Writing_ELA[Student Number],YES_Writing_FLA[Student Number]),0),MATCH(VLOOKUP(D$7,'Writing Logic'!$J$7:$K$11,2,FALSE)&amp;" - Per "&amp;VLOOKUP($C$4,'Writing Logic'!$G$8:$H$14,2,FALSE),YES_Writing_ELA[#Headers],0))=0,"",INDEX(_xlfn.VSTACK(YES_Writing_ELA[#Data],YES_Writing_FLA[#Data]),MATCH($A226,_xlfn.VSTACK(YES_Writing_ELA[Student Number],YES_Writing_FLA[Student Number]),0),MATCH(VLOOKUP(D$7,'Writing Logic'!$J$7:$K$11,2,FALSE)&amp;" - Per "&amp;VLOOKUP($C$4,'Writing Logic'!$G$8:$H$14,2,FALSE),YES_Writing_ELA[#Headers],0)))),"")</f>
        <v/>
      </c>
      <c r="E226" s="138" t="str">
        <f>IFERROR(IF(IF(INDEX(_xlfn.VSTACK(YES_Writing_ELA[#Data],YES_Writing_FLA[#Data]),MATCH($A226,_xlfn.VSTACK(YES_Writing_ELA[Student Number],YES_Writing_FLA[Student Number]),0),MATCH(VLOOKUP(E$7,'Writing Logic'!$J$7:$K$11,2,FALSE)&amp;" - Per "&amp;VLOOKUP($C$4,'Writing Logic'!$G$8:$H$14,2,FALSE),YES_Writing_ELA[#Headers],0))=0,"",INDEX(_xlfn.VSTACK(YES_Writing_ELA[#Data],YES_Writing_FLA[#Data]),MATCH($A226,_xlfn.VSTACK(YES_Writing_ELA[Student Number],YES_Writing_FLA[Student Number]),0),MATCH(VLOOKUP(E$7,'Writing Logic'!$J$7:$K$11,2,FALSE)&amp;" - Per "&amp;VLOOKUP($C$4,'Writing Logic'!$G$8:$H$14,2,FALSE),YES_Writing_ELA[#Headers],0)))="INS",'Writing Logic'!$B$7,IF(INDEX(_xlfn.VSTACK(YES_Writing_ELA[#Data],YES_Writing_FLA[#Data]),MATCH($A226,_xlfn.VSTACK(YES_Writing_ELA[Student Number],YES_Writing_FLA[Student Number]),0),MATCH(VLOOKUP(E$7,'Writing Logic'!$J$7:$K$11,2,FALSE)&amp;" - Per "&amp;VLOOKUP($C$4,'Writing Logic'!$G$8:$H$14,2,FALSE),YES_Writing_ELA[#Headers],0))=0,"",INDEX(_xlfn.VSTACK(YES_Writing_ELA[#Data],YES_Writing_FLA[#Data]),MATCH($A226,_xlfn.VSTACK(YES_Writing_ELA[Student Number],YES_Writing_FLA[Student Number]),0),MATCH(VLOOKUP(E$7,'Writing Logic'!$J$7:$K$11,2,FALSE)&amp;" - Per "&amp;VLOOKUP($C$4,'Writing Logic'!$G$8:$H$14,2,FALSE),YES_Writing_ELA[#Headers],0)))),"")</f>
        <v/>
      </c>
      <c r="F226" s="138" t="str">
        <f>IFERROR(IF(IF(INDEX(_xlfn.VSTACK(YES_Writing_ELA[#Data],YES_Writing_FLA[#Data]),MATCH($A226,_xlfn.VSTACK(YES_Writing_ELA[Student Number],YES_Writing_FLA[Student Number]),0),MATCH(VLOOKUP(F$7,'Writing Logic'!$J$7:$K$11,2,FALSE)&amp;" - Per "&amp;VLOOKUP($C$4,'Writing Logic'!$G$8:$H$14,2,FALSE),YES_Writing_ELA[#Headers],0))=0,"",INDEX(_xlfn.VSTACK(YES_Writing_ELA[#Data],YES_Writing_FLA[#Data]),MATCH($A226,_xlfn.VSTACK(YES_Writing_ELA[Student Number],YES_Writing_FLA[Student Number]),0),MATCH(VLOOKUP(F$7,'Writing Logic'!$J$7:$K$11,2,FALSE)&amp;" - Per "&amp;VLOOKUP($C$4,'Writing Logic'!$G$8:$H$14,2,FALSE),YES_Writing_ELA[#Headers],0)))="INS",'Writing Logic'!$B$7,IF(INDEX(_xlfn.VSTACK(YES_Writing_ELA[#Data],YES_Writing_FLA[#Data]),MATCH($A226,_xlfn.VSTACK(YES_Writing_ELA[Student Number],YES_Writing_FLA[Student Number]),0),MATCH(VLOOKUP(F$7,'Writing Logic'!$J$7:$K$11,2,FALSE)&amp;" - Per "&amp;VLOOKUP($C$4,'Writing Logic'!$G$8:$H$14,2,FALSE),YES_Writing_ELA[#Headers],0))=0,"",INDEX(_xlfn.VSTACK(YES_Writing_ELA[#Data],YES_Writing_FLA[#Data]),MATCH($A226,_xlfn.VSTACK(YES_Writing_ELA[Student Number],YES_Writing_FLA[Student Number]),0),MATCH(VLOOKUP(F$7,'Writing Logic'!$J$7:$K$11,2,FALSE)&amp;" - Per "&amp;VLOOKUP($C$4,'Writing Logic'!$G$8:$H$14,2,FALSE),YES_Writing_ELA[#Headers],0)))),"")</f>
        <v/>
      </c>
      <c r="G226" s="138" t="str">
        <f>IFERROR(IF(IF(INDEX(_xlfn.VSTACK(YES_Writing_ELA[#Data],YES_Writing_FLA[#Data]),MATCH($A226,_xlfn.VSTACK(YES_Writing_ELA[Student Number],YES_Writing_FLA[Student Number]),0),MATCH(VLOOKUP(G$7,'Writing Logic'!$J$7:$K$11,2,FALSE)&amp;" - Per "&amp;VLOOKUP($C$4,'Writing Logic'!$G$8:$H$14,2,FALSE),YES_Writing_ELA[#Headers],0))=0,"",INDEX(_xlfn.VSTACK(YES_Writing_ELA[#Data],YES_Writing_FLA[#Data]),MATCH($A226,_xlfn.VSTACK(YES_Writing_ELA[Student Number],YES_Writing_FLA[Student Number]),0),MATCH(VLOOKUP(G$7,'Writing Logic'!$J$7:$K$11,2,FALSE)&amp;" - Per "&amp;VLOOKUP($C$4,'Writing Logic'!$G$8:$H$14,2,FALSE),YES_Writing_ELA[#Headers],0)))="INS",'Writing Logic'!$B$7,IF(INDEX(_xlfn.VSTACK(YES_Writing_ELA[#Data],YES_Writing_FLA[#Data]),MATCH($A226,_xlfn.VSTACK(YES_Writing_ELA[Student Number],YES_Writing_FLA[Student Number]),0),MATCH(VLOOKUP(G$7,'Writing Logic'!$J$7:$K$11,2,FALSE)&amp;" - Per "&amp;VLOOKUP($C$4,'Writing Logic'!$G$8:$H$14,2,FALSE),YES_Writing_ELA[#Headers],0))=0,"",INDEX(_xlfn.VSTACK(YES_Writing_ELA[#Data],YES_Writing_FLA[#Data]),MATCH($A226,_xlfn.VSTACK(YES_Writing_ELA[Student Number],YES_Writing_FLA[Student Number]),0),MATCH(VLOOKUP(G$7,'Writing Logic'!$J$7:$K$11,2,FALSE)&amp;" - Per "&amp;VLOOKUP($C$4,'Writing Logic'!$G$8:$H$14,2,FALSE),YES_Writing_ELA[#Headers],0)))),"")</f>
        <v/>
      </c>
      <c r="H226" s="223" t="str">
        <f>IFERROR(IF(IF(INDEX(_xlfn.VSTACK(YES_Writing_ELA[#Data],YES_Writing_FLA[#Data]),MATCH($A226,_xlfn.VSTACK(YES_Writing_ELA[Student Number],YES_Writing_FLA[Student Number]),0),MATCH(VLOOKUP(H$7,'Writing Logic'!$J$7:$K$11,2,FALSE)&amp;" - Per "&amp;VLOOKUP($C$4,'Writing Logic'!$G$8:$H$14,2,FALSE),YES_Writing_ELA[#Headers],0))=0,"",INDEX(_xlfn.VSTACK(YES_Writing_ELA[#Data],YES_Writing_FLA[#Data]),MATCH($A226,_xlfn.VSTACK(YES_Writing_ELA[Student Number],YES_Writing_FLA[Student Number]),0),MATCH(VLOOKUP(H$7,'Writing Logic'!$J$7:$K$11,2,FALSE)&amp;" - Per "&amp;VLOOKUP($C$4,'Writing Logic'!$G$8:$H$14,2,FALSE),YES_Writing_ELA[#Headers],0)))="INS",'Writing Logic'!$B$7,IF(INDEX(_xlfn.VSTACK(YES_Writing_ELA[#Data],YES_Writing_FLA[#Data]),MATCH($A226,_xlfn.VSTACK(YES_Writing_ELA[Student Number],YES_Writing_FLA[Student Number]),0),MATCH(VLOOKUP(H$7,'Writing Logic'!$J$7:$K$11,2,FALSE)&amp;" - Per "&amp;VLOOKUP($C$4,'Writing Logic'!$G$8:$H$14,2,FALSE),YES_Writing_ELA[#Headers],0))=0,"",INDEX(_xlfn.VSTACK(YES_Writing_ELA[#Data],YES_Writing_FLA[#Data]),MATCH($A226,_xlfn.VSTACK(YES_Writing_ELA[Student Number],YES_Writing_FLA[Student Number]),0),MATCH(VLOOKUP(H$7,'Writing Logic'!$J$7:$K$11,2,FALSE)&amp;" - Per "&amp;VLOOKUP($C$4,'Writing Logic'!$G$8:$H$14,2,FALSE),YES_Writing_ELA[#Headers],0)))),"")</f>
        <v/>
      </c>
      <c r="I226" s="224" t="str" cm="1">
        <f t="array" aca="1" ref="I226" ca="1">IFERROR(
IF($G$3="ELA",
IF(VLOOKUP($A226, YES_Reading_ELA[], COLUMN(INDIRECT("YES_Reading_ELA[Difference - Per "&amp;VLOOKUP($G$4, 'Reading Report Logic'!$A$2:$B$8, 2, FALSE)&amp;"]")), FALSE)="", "",
VLOOKUP($A226,YES_Reading_ELA[], COLUMN(INDIRECT("YES_Reading_ELA[Difference - Per "&amp;VLOOKUP($G$4,'Reading Report Logic'!$A$2:$B$8,2,FALSE)&amp;"]")), FALSE)),
IF($G$3="FLA",
IF(VLOOKUP($A226, YES_Reading_FLA[], COLUMN(INDIRECT("YES_Reading_FLA[Difference - Per "&amp;VLOOKUP($G$4,'Reading Report Logic'!$A$2:$B$8,2,FALSE)&amp;"]")),FALSE)="","",
VLOOKUP($A226,YES_Reading_FLA[],COLUMN(INDIRECT("YES_Reading_FLA[Difference - Per "&amp;VLOOKUP($G$4,'Reading Report Logic'!$A$2:$B$8,2,FALSE)&amp;"]")),FALSE)),
IF($G$3="Combined",
IFERROR(
IF(VLOOKUP($A226, YES_Reading_ELA[], COLUMN(INDIRECT("YES_Reading_ELA[Difference - Per "&amp;VLOOKUP($G$4, 'Reading Report Logic'!$A$2:$B$8,2,FALSE)&amp;"]")), FALSE)="", "",
VLOOKUP($A226,YES_Reading_ELA[],COLUMN(INDIRECT("YES_Reading_ELA[Difference - Per "&amp;VLOOKUP($G$4,'Reading Report Logic'!$A$2:$B$8,2,FALSE)&amp;"]")),FALSE)),
IF(VLOOKUP($A226, YES_Reading_FLA[], COLUMN(INDIRECT("YES_Reading_FLA[Difference - Per "&amp;VLOOKUP($G$4, 'Reading Report Logic'!$A$2:$B$8, 2, FALSE)&amp;"]")),FALSE)="", "", VLOOKUP($A226,YES_Reading_FLA[],COLUMN(INDIRECT("YES_Reading_FLA[Difference - Per "&amp;VLOOKUP($G$4, 'Reading Report Logic'!$A$2:$B$8, 2, FALSE)&amp;"]")),FALSE))),""))),"")</f>
        <v/>
      </c>
    </row>
    <row r="227" spans="1:9" x14ac:dyDescent="0.25">
      <c r="A227" s="137"/>
      <c r="B227" s="137" t="str">
        <f>IFERROR(INDEX(_xlfn.VSTACK(YES_Writing_ELA[#Data], YES_Writing_FLA[#Data]),MATCH($A227,_xlfn.VSTACK(YES_Writing_ELA[Student Number], YES_Writing_FLA[Student Number]),0),MATCH(B$7,YES_Writing_ELA[#Headers],0)),IFERROR(INDEX(_xlfn.VSTACK(YES_Reading_ELA[#Data], YES_Reading_FLA[#Data]),MATCH($A227,_xlfn.VSTACK(YES_Reading_ELA[Student Number], YES_Reading_FLA[Student Number]),0),MATCH(B$7,YES_Reading_ELA[#Headers],0)),""))</f>
        <v/>
      </c>
      <c r="C227" s="137" t="str">
        <f>IFERROR(INDEX(_xlfn.VSTACK(YES_Writing_ELA[#Data], YES_Writing_FLA[#Data]),MATCH($A227,_xlfn.VSTACK(YES_Writing_ELA[Student Number], YES_Writing_FLA[Student Number]),0),MATCH(C$7,YES_Writing_ELA[#Headers],0)),IFERROR(INDEX(_xlfn.VSTACK(YES_Reading_ELA[#Data], YES_Reading_FLA[#Data]),MATCH($A227,_xlfn.VSTACK(YES_Reading_ELA[Student Number], YES_Reading_FLA[Student Number]),0),MATCH(C$7,YES_Reading_ELA[#Headers],0)),""))</f>
        <v/>
      </c>
      <c r="D227" s="138" t="str">
        <f>IFERROR(IF(IF(INDEX(_xlfn.VSTACK(YES_Writing_ELA[#Data],YES_Writing_FLA[#Data]),MATCH($A227,_xlfn.VSTACK(YES_Writing_ELA[Student Number],YES_Writing_FLA[Student Number]),0),MATCH(VLOOKUP(D$7,'Writing Logic'!$J$7:$K$11,2,FALSE)&amp;" - Per "&amp;VLOOKUP($C$4,'Writing Logic'!$G$8:$H$14,2,FALSE),YES_Writing_ELA[#Headers],0))=0,"",INDEX(_xlfn.VSTACK(YES_Writing_ELA[#Data],YES_Writing_FLA[#Data]),MATCH($A227,_xlfn.VSTACK(YES_Writing_ELA[Student Number],YES_Writing_FLA[Student Number]),0),MATCH(VLOOKUP(D$7,'Writing Logic'!$J$7:$K$11,2,FALSE)&amp;" - Per "&amp;VLOOKUP($C$4,'Writing Logic'!$G$8:$H$14,2,FALSE),YES_Writing_ELA[#Headers],0)))="INS",'Writing Logic'!$B$7,IF(INDEX(_xlfn.VSTACK(YES_Writing_ELA[#Data],YES_Writing_FLA[#Data]),MATCH($A227,_xlfn.VSTACK(YES_Writing_ELA[Student Number],YES_Writing_FLA[Student Number]),0),MATCH(VLOOKUP(D$7,'Writing Logic'!$J$7:$K$11,2,FALSE)&amp;" - Per "&amp;VLOOKUP($C$4,'Writing Logic'!$G$8:$H$14,2,FALSE),YES_Writing_ELA[#Headers],0))=0,"",INDEX(_xlfn.VSTACK(YES_Writing_ELA[#Data],YES_Writing_FLA[#Data]),MATCH($A227,_xlfn.VSTACK(YES_Writing_ELA[Student Number],YES_Writing_FLA[Student Number]),0),MATCH(VLOOKUP(D$7,'Writing Logic'!$J$7:$K$11,2,FALSE)&amp;" - Per "&amp;VLOOKUP($C$4,'Writing Logic'!$G$8:$H$14,2,FALSE),YES_Writing_ELA[#Headers],0)))),"")</f>
        <v/>
      </c>
      <c r="E227" s="138" t="str">
        <f>IFERROR(IF(IF(INDEX(_xlfn.VSTACK(YES_Writing_ELA[#Data],YES_Writing_FLA[#Data]),MATCH($A227,_xlfn.VSTACK(YES_Writing_ELA[Student Number],YES_Writing_FLA[Student Number]),0),MATCH(VLOOKUP(E$7,'Writing Logic'!$J$7:$K$11,2,FALSE)&amp;" - Per "&amp;VLOOKUP($C$4,'Writing Logic'!$G$8:$H$14,2,FALSE),YES_Writing_ELA[#Headers],0))=0,"",INDEX(_xlfn.VSTACK(YES_Writing_ELA[#Data],YES_Writing_FLA[#Data]),MATCH($A227,_xlfn.VSTACK(YES_Writing_ELA[Student Number],YES_Writing_FLA[Student Number]),0),MATCH(VLOOKUP(E$7,'Writing Logic'!$J$7:$K$11,2,FALSE)&amp;" - Per "&amp;VLOOKUP($C$4,'Writing Logic'!$G$8:$H$14,2,FALSE),YES_Writing_ELA[#Headers],0)))="INS",'Writing Logic'!$B$7,IF(INDEX(_xlfn.VSTACK(YES_Writing_ELA[#Data],YES_Writing_FLA[#Data]),MATCH($A227,_xlfn.VSTACK(YES_Writing_ELA[Student Number],YES_Writing_FLA[Student Number]),0),MATCH(VLOOKUP(E$7,'Writing Logic'!$J$7:$K$11,2,FALSE)&amp;" - Per "&amp;VLOOKUP($C$4,'Writing Logic'!$G$8:$H$14,2,FALSE),YES_Writing_ELA[#Headers],0))=0,"",INDEX(_xlfn.VSTACK(YES_Writing_ELA[#Data],YES_Writing_FLA[#Data]),MATCH($A227,_xlfn.VSTACK(YES_Writing_ELA[Student Number],YES_Writing_FLA[Student Number]),0),MATCH(VLOOKUP(E$7,'Writing Logic'!$J$7:$K$11,2,FALSE)&amp;" - Per "&amp;VLOOKUP($C$4,'Writing Logic'!$G$8:$H$14,2,FALSE),YES_Writing_ELA[#Headers],0)))),"")</f>
        <v/>
      </c>
      <c r="F227" s="138" t="str">
        <f>IFERROR(IF(IF(INDEX(_xlfn.VSTACK(YES_Writing_ELA[#Data],YES_Writing_FLA[#Data]),MATCH($A227,_xlfn.VSTACK(YES_Writing_ELA[Student Number],YES_Writing_FLA[Student Number]),0),MATCH(VLOOKUP(F$7,'Writing Logic'!$J$7:$K$11,2,FALSE)&amp;" - Per "&amp;VLOOKUP($C$4,'Writing Logic'!$G$8:$H$14,2,FALSE),YES_Writing_ELA[#Headers],0))=0,"",INDEX(_xlfn.VSTACK(YES_Writing_ELA[#Data],YES_Writing_FLA[#Data]),MATCH($A227,_xlfn.VSTACK(YES_Writing_ELA[Student Number],YES_Writing_FLA[Student Number]),0),MATCH(VLOOKUP(F$7,'Writing Logic'!$J$7:$K$11,2,FALSE)&amp;" - Per "&amp;VLOOKUP($C$4,'Writing Logic'!$G$8:$H$14,2,FALSE),YES_Writing_ELA[#Headers],0)))="INS",'Writing Logic'!$B$7,IF(INDEX(_xlfn.VSTACK(YES_Writing_ELA[#Data],YES_Writing_FLA[#Data]),MATCH($A227,_xlfn.VSTACK(YES_Writing_ELA[Student Number],YES_Writing_FLA[Student Number]),0),MATCH(VLOOKUP(F$7,'Writing Logic'!$J$7:$K$11,2,FALSE)&amp;" - Per "&amp;VLOOKUP($C$4,'Writing Logic'!$G$8:$H$14,2,FALSE),YES_Writing_ELA[#Headers],0))=0,"",INDEX(_xlfn.VSTACK(YES_Writing_ELA[#Data],YES_Writing_FLA[#Data]),MATCH($A227,_xlfn.VSTACK(YES_Writing_ELA[Student Number],YES_Writing_FLA[Student Number]),0),MATCH(VLOOKUP(F$7,'Writing Logic'!$J$7:$K$11,2,FALSE)&amp;" - Per "&amp;VLOOKUP($C$4,'Writing Logic'!$G$8:$H$14,2,FALSE),YES_Writing_ELA[#Headers],0)))),"")</f>
        <v/>
      </c>
      <c r="G227" s="138" t="str">
        <f>IFERROR(IF(IF(INDEX(_xlfn.VSTACK(YES_Writing_ELA[#Data],YES_Writing_FLA[#Data]),MATCH($A227,_xlfn.VSTACK(YES_Writing_ELA[Student Number],YES_Writing_FLA[Student Number]),0),MATCH(VLOOKUP(G$7,'Writing Logic'!$J$7:$K$11,2,FALSE)&amp;" - Per "&amp;VLOOKUP($C$4,'Writing Logic'!$G$8:$H$14,2,FALSE),YES_Writing_ELA[#Headers],0))=0,"",INDEX(_xlfn.VSTACK(YES_Writing_ELA[#Data],YES_Writing_FLA[#Data]),MATCH($A227,_xlfn.VSTACK(YES_Writing_ELA[Student Number],YES_Writing_FLA[Student Number]),0),MATCH(VLOOKUP(G$7,'Writing Logic'!$J$7:$K$11,2,FALSE)&amp;" - Per "&amp;VLOOKUP($C$4,'Writing Logic'!$G$8:$H$14,2,FALSE),YES_Writing_ELA[#Headers],0)))="INS",'Writing Logic'!$B$7,IF(INDEX(_xlfn.VSTACK(YES_Writing_ELA[#Data],YES_Writing_FLA[#Data]),MATCH($A227,_xlfn.VSTACK(YES_Writing_ELA[Student Number],YES_Writing_FLA[Student Number]),0),MATCH(VLOOKUP(G$7,'Writing Logic'!$J$7:$K$11,2,FALSE)&amp;" - Per "&amp;VLOOKUP($C$4,'Writing Logic'!$G$8:$H$14,2,FALSE),YES_Writing_ELA[#Headers],0))=0,"",INDEX(_xlfn.VSTACK(YES_Writing_ELA[#Data],YES_Writing_FLA[#Data]),MATCH($A227,_xlfn.VSTACK(YES_Writing_ELA[Student Number],YES_Writing_FLA[Student Number]),0),MATCH(VLOOKUP(G$7,'Writing Logic'!$J$7:$K$11,2,FALSE)&amp;" - Per "&amp;VLOOKUP($C$4,'Writing Logic'!$G$8:$H$14,2,FALSE),YES_Writing_ELA[#Headers],0)))),"")</f>
        <v/>
      </c>
      <c r="H227" s="223" t="str">
        <f>IFERROR(IF(IF(INDEX(_xlfn.VSTACK(YES_Writing_ELA[#Data],YES_Writing_FLA[#Data]),MATCH($A227,_xlfn.VSTACK(YES_Writing_ELA[Student Number],YES_Writing_FLA[Student Number]),0),MATCH(VLOOKUP(H$7,'Writing Logic'!$J$7:$K$11,2,FALSE)&amp;" - Per "&amp;VLOOKUP($C$4,'Writing Logic'!$G$8:$H$14,2,FALSE),YES_Writing_ELA[#Headers],0))=0,"",INDEX(_xlfn.VSTACK(YES_Writing_ELA[#Data],YES_Writing_FLA[#Data]),MATCH($A227,_xlfn.VSTACK(YES_Writing_ELA[Student Number],YES_Writing_FLA[Student Number]),0),MATCH(VLOOKUP(H$7,'Writing Logic'!$J$7:$K$11,2,FALSE)&amp;" - Per "&amp;VLOOKUP($C$4,'Writing Logic'!$G$8:$H$14,2,FALSE),YES_Writing_ELA[#Headers],0)))="INS",'Writing Logic'!$B$7,IF(INDEX(_xlfn.VSTACK(YES_Writing_ELA[#Data],YES_Writing_FLA[#Data]),MATCH($A227,_xlfn.VSTACK(YES_Writing_ELA[Student Number],YES_Writing_FLA[Student Number]),0),MATCH(VLOOKUP(H$7,'Writing Logic'!$J$7:$K$11,2,FALSE)&amp;" - Per "&amp;VLOOKUP($C$4,'Writing Logic'!$G$8:$H$14,2,FALSE),YES_Writing_ELA[#Headers],0))=0,"",INDEX(_xlfn.VSTACK(YES_Writing_ELA[#Data],YES_Writing_FLA[#Data]),MATCH($A227,_xlfn.VSTACK(YES_Writing_ELA[Student Number],YES_Writing_FLA[Student Number]),0),MATCH(VLOOKUP(H$7,'Writing Logic'!$J$7:$K$11,2,FALSE)&amp;" - Per "&amp;VLOOKUP($C$4,'Writing Logic'!$G$8:$H$14,2,FALSE),YES_Writing_ELA[#Headers],0)))),"")</f>
        <v/>
      </c>
      <c r="I227" s="224" t="str" cm="1">
        <f t="array" aca="1" ref="I227" ca="1">IFERROR(
IF($G$3="ELA",
IF(VLOOKUP($A227, YES_Reading_ELA[], COLUMN(INDIRECT("YES_Reading_ELA[Difference - Per "&amp;VLOOKUP($G$4, 'Reading Report Logic'!$A$2:$B$8, 2, FALSE)&amp;"]")), FALSE)="", "",
VLOOKUP($A227,YES_Reading_ELA[], COLUMN(INDIRECT("YES_Reading_ELA[Difference - Per "&amp;VLOOKUP($G$4,'Reading Report Logic'!$A$2:$B$8,2,FALSE)&amp;"]")), FALSE)),
IF($G$3="FLA",
IF(VLOOKUP($A227, YES_Reading_FLA[], COLUMN(INDIRECT("YES_Reading_FLA[Difference - Per "&amp;VLOOKUP($G$4,'Reading Report Logic'!$A$2:$B$8,2,FALSE)&amp;"]")),FALSE)="","",
VLOOKUP($A227,YES_Reading_FLA[],COLUMN(INDIRECT("YES_Reading_FLA[Difference - Per "&amp;VLOOKUP($G$4,'Reading Report Logic'!$A$2:$B$8,2,FALSE)&amp;"]")),FALSE)),
IF($G$3="Combined",
IFERROR(
IF(VLOOKUP($A227, YES_Reading_ELA[], COLUMN(INDIRECT("YES_Reading_ELA[Difference - Per "&amp;VLOOKUP($G$4, 'Reading Report Logic'!$A$2:$B$8,2,FALSE)&amp;"]")), FALSE)="", "",
VLOOKUP($A227,YES_Reading_ELA[],COLUMN(INDIRECT("YES_Reading_ELA[Difference - Per "&amp;VLOOKUP($G$4,'Reading Report Logic'!$A$2:$B$8,2,FALSE)&amp;"]")),FALSE)),
IF(VLOOKUP($A227, YES_Reading_FLA[], COLUMN(INDIRECT("YES_Reading_FLA[Difference - Per "&amp;VLOOKUP($G$4, 'Reading Report Logic'!$A$2:$B$8, 2, FALSE)&amp;"]")),FALSE)="", "", VLOOKUP($A227,YES_Reading_FLA[],COLUMN(INDIRECT("YES_Reading_FLA[Difference - Per "&amp;VLOOKUP($G$4, 'Reading Report Logic'!$A$2:$B$8, 2, FALSE)&amp;"]")),FALSE))),""))),"")</f>
        <v/>
      </c>
    </row>
    <row r="228" spans="1:9" x14ac:dyDescent="0.25">
      <c r="A228" s="137"/>
      <c r="B228" s="137" t="str">
        <f>IFERROR(INDEX(_xlfn.VSTACK(YES_Writing_ELA[#Data], YES_Writing_FLA[#Data]),MATCH($A228,_xlfn.VSTACK(YES_Writing_ELA[Student Number], YES_Writing_FLA[Student Number]),0),MATCH(B$7,YES_Writing_ELA[#Headers],0)),IFERROR(INDEX(_xlfn.VSTACK(YES_Reading_ELA[#Data], YES_Reading_FLA[#Data]),MATCH($A228,_xlfn.VSTACK(YES_Reading_ELA[Student Number], YES_Reading_FLA[Student Number]),0),MATCH(B$7,YES_Reading_ELA[#Headers],0)),""))</f>
        <v/>
      </c>
      <c r="C228" s="137" t="str">
        <f>IFERROR(INDEX(_xlfn.VSTACK(YES_Writing_ELA[#Data], YES_Writing_FLA[#Data]),MATCH($A228,_xlfn.VSTACK(YES_Writing_ELA[Student Number], YES_Writing_FLA[Student Number]),0),MATCH(C$7,YES_Writing_ELA[#Headers],0)),IFERROR(INDEX(_xlfn.VSTACK(YES_Reading_ELA[#Data], YES_Reading_FLA[#Data]),MATCH($A228,_xlfn.VSTACK(YES_Reading_ELA[Student Number], YES_Reading_FLA[Student Number]),0),MATCH(C$7,YES_Reading_ELA[#Headers],0)),""))</f>
        <v/>
      </c>
      <c r="D228" s="138" t="str">
        <f>IFERROR(IF(IF(INDEX(_xlfn.VSTACK(YES_Writing_ELA[#Data],YES_Writing_FLA[#Data]),MATCH($A228,_xlfn.VSTACK(YES_Writing_ELA[Student Number],YES_Writing_FLA[Student Number]),0),MATCH(VLOOKUP(D$7,'Writing Logic'!$J$7:$K$11,2,FALSE)&amp;" - Per "&amp;VLOOKUP($C$4,'Writing Logic'!$G$8:$H$14,2,FALSE),YES_Writing_ELA[#Headers],0))=0,"",INDEX(_xlfn.VSTACK(YES_Writing_ELA[#Data],YES_Writing_FLA[#Data]),MATCH($A228,_xlfn.VSTACK(YES_Writing_ELA[Student Number],YES_Writing_FLA[Student Number]),0),MATCH(VLOOKUP(D$7,'Writing Logic'!$J$7:$K$11,2,FALSE)&amp;" - Per "&amp;VLOOKUP($C$4,'Writing Logic'!$G$8:$H$14,2,FALSE),YES_Writing_ELA[#Headers],0)))="INS",'Writing Logic'!$B$7,IF(INDEX(_xlfn.VSTACK(YES_Writing_ELA[#Data],YES_Writing_FLA[#Data]),MATCH($A228,_xlfn.VSTACK(YES_Writing_ELA[Student Number],YES_Writing_FLA[Student Number]),0),MATCH(VLOOKUP(D$7,'Writing Logic'!$J$7:$K$11,2,FALSE)&amp;" - Per "&amp;VLOOKUP($C$4,'Writing Logic'!$G$8:$H$14,2,FALSE),YES_Writing_ELA[#Headers],0))=0,"",INDEX(_xlfn.VSTACK(YES_Writing_ELA[#Data],YES_Writing_FLA[#Data]),MATCH($A228,_xlfn.VSTACK(YES_Writing_ELA[Student Number],YES_Writing_FLA[Student Number]),0),MATCH(VLOOKUP(D$7,'Writing Logic'!$J$7:$K$11,2,FALSE)&amp;" - Per "&amp;VLOOKUP($C$4,'Writing Logic'!$G$8:$H$14,2,FALSE),YES_Writing_ELA[#Headers],0)))),"")</f>
        <v/>
      </c>
      <c r="E228" s="138" t="str">
        <f>IFERROR(IF(IF(INDEX(_xlfn.VSTACK(YES_Writing_ELA[#Data],YES_Writing_FLA[#Data]),MATCH($A228,_xlfn.VSTACK(YES_Writing_ELA[Student Number],YES_Writing_FLA[Student Number]),0),MATCH(VLOOKUP(E$7,'Writing Logic'!$J$7:$K$11,2,FALSE)&amp;" - Per "&amp;VLOOKUP($C$4,'Writing Logic'!$G$8:$H$14,2,FALSE),YES_Writing_ELA[#Headers],0))=0,"",INDEX(_xlfn.VSTACK(YES_Writing_ELA[#Data],YES_Writing_FLA[#Data]),MATCH($A228,_xlfn.VSTACK(YES_Writing_ELA[Student Number],YES_Writing_FLA[Student Number]),0),MATCH(VLOOKUP(E$7,'Writing Logic'!$J$7:$K$11,2,FALSE)&amp;" - Per "&amp;VLOOKUP($C$4,'Writing Logic'!$G$8:$H$14,2,FALSE),YES_Writing_ELA[#Headers],0)))="INS",'Writing Logic'!$B$7,IF(INDEX(_xlfn.VSTACK(YES_Writing_ELA[#Data],YES_Writing_FLA[#Data]),MATCH($A228,_xlfn.VSTACK(YES_Writing_ELA[Student Number],YES_Writing_FLA[Student Number]),0),MATCH(VLOOKUP(E$7,'Writing Logic'!$J$7:$K$11,2,FALSE)&amp;" - Per "&amp;VLOOKUP($C$4,'Writing Logic'!$G$8:$H$14,2,FALSE),YES_Writing_ELA[#Headers],0))=0,"",INDEX(_xlfn.VSTACK(YES_Writing_ELA[#Data],YES_Writing_FLA[#Data]),MATCH($A228,_xlfn.VSTACK(YES_Writing_ELA[Student Number],YES_Writing_FLA[Student Number]),0),MATCH(VLOOKUP(E$7,'Writing Logic'!$J$7:$K$11,2,FALSE)&amp;" - Per "&amp;VLOOKUP($C$4,'Writing Logic'!$G$8:$H$14,2,FALSE),YES_Writing_ELA[#Headers],0)))),"")</f>
        <v/>
      </c>
      <c r="F228" s="138" t="str">
        <f>IFERROR(IF(IF(INDEX(_xlfn.VSTACK(YES_Writing_ELA[#Data],YES_Writing_FLA[#Data]),MATCH($A228,_xlfn.VSTACK(YES_Writing_ELA[Student Number],YES_Writing_FLA[Student Number]),0),MATCH(VLOOKUP(F$7,'Writing Logic'!$J$7:$K$11,2,FALSE)&amp;" - Per "&amp;VLOOKUP($C$4,'Writing Logic'!$G$8:$H$14,2,FALSE),YES_Writing_ELA[#Headers],0))=0,"",INDEX(_xlfn.VSTACK(YES_Writing_ELA[#Data],YES_Writing_FLA[#Data]),MATCH($A228,_xlfn.VSTACK(YES_Writing_ELA[Student Number],YES_Writing_FLA[Student Number]),0),MATCH(VLOOKUP(F$7,'Writing Logic'!$J$7:$K$11,2,FALSE)&amp;" - Per "&amp;VLOOKUP($C$4,'Writing Logic'!$G$8:$H$14,2,FALSE),YES_Writing_ELA[#Headers],0)))="INS",'Writing Logic'!$B$7,IF(INDEX(_xlfn.VSTACK(YES_Writing_ELA[#Data],YES_Writing_FLA[#Data]),MATCH($A228,_xlfn.VSTACK(YES_Writing_ELA[Student Number],YES_Writing_FLA[Student Number]),0),MATCH(VLOOKUP(F$7,'Writing Logic'!$J$7:$K$11,2,FALSE)&amp;" - Per "&amp;VLOOKUP($C$4,'Writing Logic'!$G$8:$H$14,2,FALSE),YES_Writing_ELA[#Headers],0))=0,"",INDEX(_xlfn.VSTACK(YES_Writing_ELA[#Data],YES_Writing_FLA[#Data]),MATCH($A228,_xlfn.VSTACK(YES_Writing_ELA[Student Number],YES_Writing_FLA[Student Number]),0),MATCH(VLOOKUP(F$7,'Writing Logic'!$J$7:$K$11,2,FALSE)&amp;" - Per "&amp;VLOOKUP($C$4,'Writing Logic'!$G$8:$H$14,2,FALSE),YES_Writing_ELA[#Headers],0)))),"")</f>
        <v/>
      </c>
      <c r="G228" s="138" t="str">
        <f>IFERROR(IF(IF(INDEX(_xlfn.VSTACK(YES_Writing_ELA[#Data],YES_Writing_FLA[#Data]),MATCH($A228,_xlfn.VSTACK(YES_Writing_ELA[Student Number],YES_Writing_FLA[Student Number]),0),MATCH(VLOOKUP(G$7,'Writing Logic'!$J$7:$K$11,2,FALSE)&amp;" - Per "&amp;VLOOKUP($C$4,'Writing Logic'!$G$8:$H$14,2,FALSE),YES_Writing_ELA[#Headers],0))=0,"",INDEX(_xlfn.VSTACK(YES_Writing_ELA[#Data],YES_Writing_FLA[#Data]),MATCH($A228,_xlfn.VSTACK(YES_Writing_ELA[Student Number],YES_Writing_FLA[Student Number]),0),MATCH(VLOOKUP(G$7,'Writing Logic'!$J$7:$K$11,2,FALSE)&amp;" - Per "&amp;VLOOKUP($C$4,'Writing Logic'!$G$8:$H$14,2,FALSE),YES_Writing_ELA[#Headers],0)))="INS",'Writing Logic'!$B$7,IF(INDEX(_xlfn.VSTACK(YES_Writing_ELA[#Data],YES_Writing_FLA[#Data]),MATCH($A228,_xlfn.VSTACK(YES_Writing_ELA[Student Number],YES_Writing_FLA[Student Number]),0),MATCH(VLOOKUP(G$7,'Writing Logic'!$J$7:$K$11,2,FALSE)&amp;" - Per "&amp;VLOOKUP($C$4,'Writing Logic'!$G$8:$H$14,2,FALSE),YES_Writing_ELA[#Headers],0))=0,"",INDEX(_xlfn.VSTACK(YES_Writing_ELA[#Data],YES_Writing_FLA[#Data]),MATCH($A228,_xlfn.VSTACK(YES_Writing_ELA[Student Number],YES_Writing_FLA[Student Number]),0),MATCH(VLOOKUP(G$7,'Writing Logic'!$J$7:$K$11,2,FALSE)&amp;" - Per "&amp;VLOOKUP($C$4,'Writing Logic'!$G$8:$H$14,2,FALSE),YES_Writing_ELA[#Headers],0)))),"")</f>
        <v/>
      </c>
      <c r="H228" s="223" t="str">
        <f>IFERROR(IF(IF(INDEX(_xlfn.VSTACK(YES_Writing_ELA[#Data],YES_Writing_FLA[#Data]),MATCH($A228,_xlfn.VSTACK(YES_Writing_ELA[Student Number],YES_Writing_FLA[Student Number]),0),MATCH(VLOOKUP(H$7,'Writing Logic'!$J$7:$K$11,2,FALSE)&amp;" - Per "&amp;VLOOKUP($C$4,'Writing Logic'!$G$8:$H$14,2,FALSE),YES_Writing_ELA[#Headers],0))=0,"",INDEX(_xlfn.VSTACK(YES_Writing_ELA[#Data],YES_Writing_FLA[#Data]),MATCH($A228,_xlfn.VSTACK(YES_Writing_ELA[Student Number],YES_Writing_FLA[Student Number]),0),MATCH(VLOOKUP(H$7,'Writing Logic'!$J$7:$K$11,2,FALSE)&amp;" - Per "&amp;VLOOKUP($C$4,'Writing Logic'!$G$8:$H$14,2,FALSE),YES_Writing_ELA[#Headers],0)))="INS",'Writing Logic'!$B$7,IF(INDEX(_xlfn.VSTACK(YES_Writing_ELA[#Data],YES_Writing_FLA[#Data]),MATCH($A228,_xlfn.VSTACK(YES_Writing_ELA[Student Number],YES_Writing_FLA[Student Number]),0),MATCH(VLOOKUP(H$7,'Writing Logic'!$J$7:$K$11,2,FALSE)&amp;" - Per "&amp;VLOOKUP($C$4,'Writing Logic'!$G$8:$H$14,2,FALSE),YES_Writing_ELA[#Headers],0))=0,"",INDEX(_xlfn.VSTACK(YES_Writing_ELA[#Data],YES_Writing_FLA[#Data]),MATCH($A228,_xlfn.VSTACK(YES_Writing_ELA[Student Number],YES_Writing_FLA[Student Number]),0),MATCH(VLOOKUP(H$7,'Writing Logic'!$J$7:$K$11,2,FALSE)&amp;" - Per "&amp;VLOOKUP($C$4,'Writing Logic'!$G$8:$H$14,2,FALSE),YES_Writing_ELA[#Headers],0)))),"")</f>
        <v/>
      </c>
      <c r="I228" s="224" t="str" cm="1">
        <f t="array" aca="1" ref="I228" ca="1">IFERROR(
IF($G$3="ELA",
IF(VLOOKUP($A228, YES_Reading_ELA[], COLUMN(INDIRECT("YES_Reading_ELA[Difference - Per "&amp;VLOOKUP($G$4, 'Reading Report Logic'!$A$2:$B$8, 2, FALSE)&amp;"]")), FALSE)="", "",
VLOOKUP($A228,YES_Reading_ELA[], COLUMN(INDIRECT("YES_Reading_ELA[Difference - Per "&amp;VLOOKUP($G$4,'Reading Report Logic'!$A$2:$B$8,2,FALSE)&amp;"]")), FALSE)),
IF($G$3="FLA",
IF(VLOOKUP($A228, YES_Reading_FLA[], COLUMN(INDIRECT("YES_Reading_FLA[Difference - Per "&amp;VLOOKUP($G$4,'Reading Report Logic'!$A$2:$B$8,2,FALSE)&amp;"]")),FALSE)="","",
VLOOKUP($A228,YES_Reading_FLA[],COLUMN(INDIRECT("YES_Reading_FLA[Difference - Per "&amp;VLOOKUP($G$4,'Reading Report Logic'!$A$2:$B$8,2,FALSE)&amp;"]")),FALSE)),
IF($G$3="Combined",
IFERROR(
IF(VLOOKUP($A228, YES_Reading_ELA[], COLUMN(INDIRECT("YES_Reading_ELA[Difference - Per "&amp;VLOOKUP($G$4, 'Reading Report Logic'!$A$2:$B$8,2,FALSE)&amp;"]")), FALSE)="", "",
VLOOKUP($A228,YES_Reading_ELA[],COLUMN(INDIRECT("YES_Reading_ELA[Difference - Per "&amp;VLOOKUP($G$4,'Reading Report Logic'!$A$2:$B$8,2,FALSE)&amp;"]")),FALSE)),
IF(VLOOKUP($A228, YES_Reading_FLA[], COLUMN(INDIRECT("YES_Reading_FLA[Difference - Per "&amp;VLOOKUP($G$4, 'Reading Report Logic'!$A$2:$B$8, 2, FALSE)&amp;"]")),FALSE)="", "", VLOOKUP($A228,YES_Reading_FLA[],COLUMN(INDIRECT("YES_Reading_FLA[Difference - Per "&amp;VLOOKUP($G$4, 'Reading Report Logic'!$A$2:$B$8, 2, FALSE)&amp;"]")),FALSE))),""))),"")</f>
        <v/>
      </c>
    </row>
    <row r="229" spans="1:9" x14ac:dyDescent="0.25">
      <c r="A229" s="137"/>
      <c r="B229" s="137" t="str">
        <f>IFERROR(INDEX(_xlfn.VSTACK(YES_Writing_ELA[#Data], YES_Writing_FLA[#Data]),MATCH($A229,_xlfn.VSTACK(YES_Writing_ELA[Student Number], YES_Writing_FLA[Student Number]),0),MATCH(B$7,YES_Writing_ELA[#Headers],0)),IFERROR(INDEX(_xlfn.VSTACK(YES_Reading_ELA[#Data], YES_Reading_FLA[#Data]),MATCH($A229,_xlfn.VSTACK(YES_Reading_ELA[Student Number], YES_Reading_FLA[Student Number]),0),MATCH(B$7,YES_Reading_ELA[#Headers],0)),""))</f>
        <v/>
      </c>
      <c r="C229" s="137" t="str">
        <f>IFERROR(INDEX(_xlfn.VSTACK(YES_Writing_ELA[#Data], YES_Writing_FLA[#Data]),MATCH($A229,_xlfn.VSTACK(YES_Writing_ELA[Student Number], YES_Writing_FLA[Student Number]),0),MATCH(C$7,YES_Writing_ELA[#Headers],0)),IFERROR(INDEX(_xlfn.VSTACK(YES_Reading_ELA[#Data], YES_Reading_FLA[#Data]),MATCH($A229,_xlfn.VSTACK(YES_Reading_ELA[Student Number], YES_Reading_FLA[Student Number]),0),MATCH(C$7,YES_Reading_ELA[#Headers],0)),""))</f>
        <v/>
      </c>
      <c r="D229" s="138" t="str">
        <f>IFERROR(IF(IF(INDEX(_xlfn.VSTACK(YES_Writing_ELA[#Data],YES_Writing_FLA[#Data]),MATCH($A229,_xlfn.VSTACK(YES_Writing_ELA[Student Number],YES_Writing_FLA[Student Number]),0),MATCH(VLOOKUP(D$7,'Writing Logic'!$J$7:$K$11,2,FALSE)&amp;" - Per "&amp;VLOOKUP($C$4,'Writing Logic'!$G$8:$H$14,2,FALSE),YES_Writing_ELA[#Headers],0))=0,"",INDEX(_xlfn.VSTACK(YES_Writing_ELA[#Data],YES_Writing_FLA[#Data]),MATCH($A229,_xlfn.VSTACK(YES_Writing_ELA[Student Number],YES_Writing_FLA[Student Number]),0),MATCH(VLOOKUP(D$7,'Writing Logic'!$J$7:$K$11,2,FALSE)&amp;" - Per "&amp;VLOOKUP($C$4,'Writing Logic'!$G$8:$H$14,2,FALSE),YES_Writing_ELA[#Headers],0)))="INS",'Writing Logic'!$B$7,IF(INDEX(_xlfn.VSTACK(YES_Writing_ELA[#Data],YES_Writing_FLA[#Data]),MATCH($A229,_xlfn.VSTACK(YES_Writing_ELA[Student Number],YES_Writing_FLA[Student Number]),0),MATCH(VLOOKUP(D$7,'Writing Logic'!$J$7:$K$11,2,FALSE)&amp;" - Per "&amp;VLOOKUP($C$4,'Writing Logic'!$G$8:$H$14,2,FALSE),YES_Writing_ELA[#Headers],0))=0,"",INDEX(_xlfn.VSTACK(YES_Writing_ELA[#Data],YES_Writing_FLA[#Data]),MATCH($A229,_xlfn.VSTACK(YES_Writing_ELA[Student Number],YES_Writing_FLA[Student Number]),0),MATCH(VLOOKUP(D$7,'Writing Logic'!$J$7:$K$11,2,FALSE)&amp;" - Per "&amp;VLOOKUP($C$4,'Writing Logic'!$G$8:$H$14,2,FALSE),YES_Writing_ELA[#Headers],0)))),"")</f>
        <v/>
      </c>
      <c r="E229" s="138" t="str">
        <f>IFERROR(IF(IF(INDEX(_xlfn.VSTACK(YES_Writing_ELA[#Data],YES_Writing_FLA[#Data]),MATCH($A229,_xlfn.VSTACK(YES_Writing_ELA[Student Number],YES_Writing_FLA[Student Number]),0),MATCH(VLOOKUP(E$7,'Writing Logic'!$J$7:$K$11,2,FALSE)&amp;" - Per "&amp;VLOOKUP($C$4,'Writing Logic'!$G$8:$H$14,2,FALSE),YES_Writing_ELA[#Headers],0))=0,"",INDEX(_xlfn.VSTACK(YES_Writing_ELA[#Data],YES_Writing_FLA[#Data]),MATCH($A229,_xlfn.VSTACK(YES_Writing_ELA[Student Number],YES_Writing_FLA[Student Number]),0),MATCH(VLOOKUP(E$7,'Writing Logic'!$J$7:$K$11,2,FALSE)&amp;" - Per "&amp;VLOOKUP($C$4,'Writing Logic'!$G$8:$H$14,2,FALSE),YES_Writing_ELA[#Headers],0)))="INS",'Writing Logic'!$B$7,IF(INDEX(_xlfn.VSTACK(YES_Writing_ELA[#Data],YES_Writing_FLA[#Data]),MATCH($A229,_xlfn.VSTACK(YES_Writing_ELA[Student Number],YES_Writing_FLA[Student Number]),0),MATCH(VLOOKUP(E$7,'Writing Logic'!$J$7:$K$11,2,FALSE)&amp;" - Per "&amp;VLOOKUP($C$4,'Writing Logic'!$G$8:$H$14,2,FALSE),YES_Writing_ELA[#Headers],0))=0,"",INDEX(_xlfn.VSTACK(YES_Writing_ELA[#Data],YES_Writing_FLA[#Data]),MATCH($A229,_xlfn.VSTACK(YES_Writing_ELA[Student Number],YES_Writing_FLA[Student Number]),0),MATCH(VLOOKUP(E$7,'Writing Logic'!$J$7:$K$11,2,FALSE)&amp;" - Per "&amp;VLOOKUP($C$4,'Writing Logic'!$G$8:$H$14,2,FALSE),YES_Writing_ELA[#Headers],0)))),"")</f>
        <v/>
      </c>
      <c r="F229" s="138" t="str">
        <f>IFERROR(IF(IF(INDEX(_xlfn.VSTACK(YES_Writing_ELA[#Data],YES_Writing_FLA[#Data]),MATCH($A229,_xlfn.VSTACK(YES_Writing_ELA[Student Number],YES_Writing_FLA[Student Number]),0),MATCH(VLOOKUP(F$7,'Writing Logic'!$J$7:$K$11,2,FALSE)&amp;" - Per "&amp;VLOOKUP($C$4,'Writing Logic'!$G$8:$H$14,2,FALSE),YES_Writing_ELA[#Headers],0))=0,"",INDEX(_xlfn.VSTACK(YES_Writing_ELA[#Data],YES_Writing_FLA[#Data]),MATCH($A229,_xlfn.VSTACK(YES_Writing_ELA[Student Number],YES_Writing_FLA[Student Number]),0),MATCH(VLOOKUP(F$7,'Writing Logic'!$J$7:$K$11,2,FALSE)&amp;" - Per "&amp;VLOOKUP($C$4,'Writing Logic'!$G$8:$H$14,2,FALSE),YES_Writing_ELA[#Headers],0)))="INS",'Writing Logic'!$B$7,IF(INDEX(_xlfn.VSTACK(YES_Writing_ELA[#Data],YES_Writing_FLA[#Data]),MATCH($A229,_xlfn.VSTACK(YES_Writing_ELA[Student Number],YES_Writing_FLA[Student Number]),0),MATCH(VLOOKUP(F$7,'Writing Logic'!$J$7:$K$11,2,FALSE)&amp;" - Per "&amp;VLOOKUP($C$4,'Writing Logic'!$G$8:$H$14,2,FALSE),YES_Writing_ELA[#Headers],0))=0,"",INDEX(_xlfn.VSTACK(YES_Writing_ELA[#Data],YES_Writing_FLA[#Data]),MATCH($A229,_xlfn.VSTACK(YES_Writing_ELA[Student Number],YES_Writing_FLA[Student Number]),0),MATCH(VLOOKUP(F$7,'Writing Logic'!$J$7:$K$11,2,FALSE)&amp;" - Per "&amp;VLOOKUP($C$4,'Writing Logic'!$G$8:$H$14,2,FALSE),YES_Writing_ELA[#Headers],0)))),"")</f>
        <v/>
      </c>
      <c r="G229" s="138" t="str">
        <f>IFERROR(IF(IF(INDEX(_xlfn.VSTACK(YES_Writing_ELA[#Data],YES_Writing_FLA[#Data]),MATCH($A229,_xlfn.VSTACK(YES_Writing_ELA[Student Number],YES_Writing_FLA[Student Number]),0),MATCH(VLOOKUP(G$7,'Writing Logic'!$J$7:$K$11,2,FALSE)&amp;" - Per "&amp;VLOOKUP($C$4,'Writing Logic'!$G$8:$H$14,2,FALSE),YES_Writing_ELA[#Headers],0))=0,"",INDEX(_xlfn.VSTACK(YES_Writing_ELA[#Data],YES_Writing_FLA[#Data]),MATCH($A229,_xlfn.VSTACK(YES_Writing_ELA[Student Number],YES_Writing_FLA[Student Number]),0),MATCH(VLOOKUP(G$7,'Writing Logic'!$J$7:$K$11,2,FALSE)&amp;" - Per "&amp;VLOOKUP($C$4,'Writing Logic'!$G$8:$H$14,2,FALSE),YES_Writing_ELA[#Headers],0)))="INS",'Writing Logic'!$B$7,IF(INDEX(_xlfn.VSTACK(YES_Writing_ELA[#Data],YES_Writing_FLA[#Data]),MATCH($A229,_xlfn.VSTACK(YES_Writing_ELA[Student Number],YES_Writing_FLA[Student Number]),0),MATCH(VLOOKUP(G$7,'Writing Logic'!$J$7:$K$11,2,FALSE)&amp;" - Per "&amp;VLOOKUP($C$4,'Writing Logic'!$G$8:$H$14,2,FALSE),YES_Writing_ELA[#Headers],0))=0,"",INDEX(_xlfn.VSTACK(YES_Writing_ELA[#Data],YES_Writing_FLA[#Data]),MATCH($A229,_xlfn.VSTACK(YES_Writing_ELA[Student Number],YES_Writing_FLA[Student Number]),0),MATCH(VLOOKUP(G$7,'Writing Logic'!$J$7:$K$11,2,FALSE)&amp;" - Per "&amp;VLOOKUP($C$4,'Writing Logic'!$G$8:$H$14,2,FALSE),YES_Writing_ELA[#Headers],0)))),"")</f>
        <v/>
      </c>
      <c r="H229" s="223" t="str">
        <f>IFERROR(IF(IF(INDEX(_xlfn.VSTACK(YES_Writing_ELA[#Data],YES_Writing_FLA[#Data]),MATCH($A229,_xlfn.VSTACK(YES_Writing_ELA[Student Number],YES_Writing_FLA[Student Number]),0),MATCH(VLOOKUP(H$7,'Writing Logic'!$J$7:$K$11,2,FALSE)&amp;" - Per "&amp;VLOOKUP($C$4,'Writing Logic'!$G$8:$H$14,2,FALSE),YES_Writing_ELA[#Headers],0))=0,"",INDEX(_xlfn.VSTACK(YES_Writing_ELA[#Data],YES_Writing_FLA[#Data]),MATCH($A229,_xlfn.VSTACK(YES_Writing_ELA[Student Number],YES_Writing_FLA[Student Number]),0),MATCH(VLOOKUP(H$7,'Writing Logic'!$J$7:$K$11,2,FALSE)&amp;" - Per "&amp;VLOOKUP($C$4,'Writing Logic'!$G$8:$H$14,2,FALSE),YES_Writing_ELA[#Headers],0)))="INS",'Writing Logic'!$B$7,IF(INDEX(_xlfn.VSTACK(YES_Writing_ELA[#Data],YES_Writing_FLA[#Data]),MATCH($A229,_xlfn.VSTACK(YES_Writing_ELA[Student Number],YES_Writing_FLA[Student Number]),0),MATCH(VLOOKUP(H$7,'Writing Logic'!$J$7:$K$11,2,FALSE)&amp;" - Per "&amp;VLOOKUP($C$4,'Writing Logic'!$G$8:$H$14,2,FALSE),YES_Writing_ELA[#Headers],0))=0,"",INDEX(_xlfn.VSTACK(YES_Writing_ELA[#Data],YES_Writing_FLA[#Data]),MATCH($A229,_xlfn.VSTACK(YES_Writing_ELA[Student Number],YES_Writing_FLA[Student Number]),0),MATCH(VLOOKUP(H$7,'Writing Logic'!$J$7:$K$11,2,FALSE)&amp;" - Per "&amp;VLOOKUP($C$4,'Writing Logic'!$G$8:$H$14,2,FALSE),YES_Writing_ELA[#Headers],0)))),"")</f>
        <v/>
      </c>
      <c r="I229" s="224" t="str" cm="1">
        <f t="array" aca="1" ref="I229" ca="1">IFERROR(
IF($G$3="ELA",
IF(VLOOKUP($A229, YES_Reading_ELA[], COLUMN(INDIRECT("YES_Reading_ELA[Difference - Per "&amp;VLOOKUP($G$4, 'Reading Report Logic'!$A$2:$B$8, 2, FALSE)&amp;"]")), FALSE)="", "",
VLOOKUP($A229,YES_Reading_ELA[], COLUMN(INDIRECT("YES_Reading_ELA[Difference - Per "&amp;VLOOKUP($G$4,'Reading Report Logic'!$A$2:$B$8,2,FALSE)&amp;"]")), FALSE)),
IF($G$3="FLA",
IF(VLOOKUP($A229, YES_Reading_FLA[], COLUMN(INDIRECT("YES_Reading_FLA[Difference - Per "&amp;VLOOKUP($G$4,'Reading Report Logic'!$A$2:$B$8,2,FALSE)&amp;"]")),FALSE)="","",
VLOOKUP($A229,YES_Reading_FLA[],COLUMN(INDIRECT("YES_Reading_FLA[Difference - Per "&amp;VLOOKUP($G$4,'Reading Report Logic'!$A$2:$B$8,2,FALSE)&amp;"]")),FALSE)),
IF($G$3="Combined",
IFERROR(
IF(VLOOKUP($A229, YES_Reading_ELA[], COLUMN(INDIRECT("YES_Reading_ELA[Difference - Per "&amp;VLOOKUP($G$4, 'Reading Report Logic'!$A$2:$B$8,2,FALSE)&amp;"]")), FALSE)="", "",
VLOOKUP($A229,YES_Reading_ELA[],COLUMN(INDIRECT("YES_Reading_ELA[Difference - Per "&amp;VLOOKUP($G$4,'Reading Report Logic'!$A$2:$B$8,2,FALSE)&amp;"]")),FALSE)),
IF(VLOOKUP($A229, YES_Reading_FLA[], COLUMN(INDIRECT("YES_Reading_FLA[Difference - Per "&amp;VLOOKUP($G$4, 'Reading Report Logic'!$A$2:$B$8, 2, FALSE)&amp;"]")),FALSE)="", "", VLOOKUP($A229,YES_Reading_FLA[],COLUMN(INDIRECT("YES_Reading_FLA[Difference - Per "&amp;VLOOKUP($G$4, 'Reading Report Logic'!$A$2:$B$8, 2, FALSE)&amp;"]")),FALSE))),""))),"")</f>
        <v/>
      </c>
    </row>
    <row r="230" spans="1:9" x14ac:dyDescent="0.25">
      <c r="A230" s="137"/>
      <c r="B230" s="137" t="str">
        <f>IFERROR(INDEX(_xlfn.VSTACK(YES_Writing_ELA[#Data], YES_Writing_FLA[#Data]),MATCH($A230,_xlfn.VSTACK(YES_Writing_ELA[Student Number], YES_Writing_FLA[Student Number]),0),MATCH(B$7,YES_Writing_ELA[#Headers],0)),IFERROR(INDEX(_xlfn.VSTACK(YES_Reading_ELA[#Data], YES_Reading_FLA[#Data]),MATCH($A230,_xlfn.VSTACK(YES_Reading_ELA[Student Number], YES_Reading_FLA[Student Number]),0),MATCH(B$7,YES_Reading_ELA[#Headers],0)),""))</f>
        <v/>
      </c>
      <c r="C230" s="137" t="str">
        <f>IFERROR(INDEX(_xlfn.VSTACK(YES_Writing_ELA[#Data], YES_Writing_FLA[#Data]),MATCH($A230,_xlfn.VSTACK(YES_Writing_ELA[Student Number], YES_Writing_FLA[Student Number]),0),MATCH(C$7,YES_Writing_ELA[#Headers],0)),IFERROR(INDEX(_xlfn.VSTACK(YES_Reading_ELA[#Data], YES_Reading_FLA[#Data]),MATCH($A230,_xlfn.VSTACK(YES_Reading_ELA[Student Number], YES_Reading_FLA[Student Number]),0),MATCH(C$7,YES_Reading_ELA[#Headers],0)),""))</f>
        <v/>
      </c>
      <c r="D230" s="138" t="str">
        <f>IFERROR(IF(IF(INDEX(_xlfn.VSTACK(YES_Writing_ELA[#Data],YES_Writing_FLA[#Data]),MATCH($A230,_xlfn.VSTACK(YES_Writing_ELA[Student Number],YES_Writing_FLA[Student Number]),0),MATCH(VLOOKUP(D$7,'Writing Logic'!$J$7:$K$11,2,FALSE)&amp;" - Per "&amp;VLOOKUP($C$4,'Writing Logic'!$G$8:$H$14,2,FALSE),YES_Writing_ELA[#Headers],0))=0,"",INDEX(_xlfn.VSTACK(YES_Writing_ELA[#Data],YES_Writing_FLA[#Data]),MATCH($A230,_xlfn.VSTACK(YES_Writing_ELA[Student Number],YES_Writing_FLA[Student Number]),0),MATCH(VLOOKUP(D$7,'Writing Logic'!$J$7:$K$11,2,FALSE)&amp;" - Per "&amp;VLOOKUP($C$4,'Writing Logic'!$G$8:$H$14,2,FALSE),YES_Writing_ELA[#Headers],0)))="INS",'Writing Logic'!$B$7,IF(INDEX(_xlfn.VSTACK(YES_Writing_ELA[#Data],YES_Writing_FLA[#Data]),MATCH($A230,_xlfn.VSTACK(YES_Writing_ELA[Student Number],YES_Writing_FLA[Student Number]),0),MATCH(VLOOKUP(D$7,'Writing Logic'!$J$7:$K$11,2,FALSE)&amp;" - Per "&amp;VLOOKUP($C$4,'Writing Logic'!$G$8:$H$14,2,FALSE),YES_Writing_ELA[#Headers],0))=0,"",INDEX(_xlfn.VSTACK(YES_Writing_ELA[#Data],YES_Writing_FLA[#Data]),MATCH($A230,_xlfn.VSTACK(YES_Writing_ELA[Student Number],YES_Writing_FLA[Student Number]),0),MATCH(VLOOKUP(D$7,'Writing Logic'!$J$7:$K$11,2,FALSE)&amp;" - Per "&amp;VLOOKUP($C$4,'Writing Logic'!$G$8:$H$14,2,FALSE),YES_Writing_ELA[#Headers],0)))),"")</f>
        <v/>
      </c>
      <c r="E230" s="138" t="str">
        <f>IFERROR(IF(IF(INDEX(_xlfn.VSTACK(YES_Writing_ELA[#Data],YES_Writing_FLA[#Data]),MATCH($A230,_xlfn.VSTACK(YES_Writing_ELA[Student Number],YES_Writing_FLA[Student Number]),0),MATCH(VLOOKUP(E$7,'Writing Logic'!$J$7:$K$11,2,FALSE)&amp;" - Per "&amp;VLOOKUP($C$4,'Writing Logic'!$G$8:$H$14,2,FALSE),YES_Writing_ELA[#Headers],0))=0,"",INDEX(_xlfn.VSTACK(YES_Writing_ELA[#Data],YES_Writing_FLA[#Data]),MATCH($A230,_xlfn.VSTACK(YES_Writing_ELA[Student Number],YES_Writing_FLA[Student Number]),0),MATCH(VLOOKUP(E$7,'Writing Logic'!$J$7:$K$11,2,FALSE)&amp;" - Per "&amp;VLOOKUP($C$4,'Writing Logic'!$G$8:$H$14,2,FALSE),YES_Writing_ELA[#Headers],0)))="INS",'Writing Logic'!$B$7,IF(INDEX(_xlfn.VSTACK(YES_Writing_ELA[#Data],YES_Writing_FLA[#Data]),MATCH($A230,_xlfn.VSTACK(YES_Writing_ELA[Student Number],YES_Writing_FLA[Student Number]),0),MATCH(VLOOKUP(E$7,'Writing Logic'!$J$7:$K$11,2,FALSE)&amp;" - Per "&amp;VLOOKUP($C$4,'Writing Logic'!$G$8:$H$14,2,FALSE),YES_Writing_ELA[#Headers],0))=0,"",INDEX(_xlfn.VSTACK(YES_Writing_ELA[#Data],YES_Writing_FLA[#Data]),MATCH($A230,_xlfn.VSTACK(YES_Writing_ELA[Student Number],YES_Writing_FLA[Student Number]),0),MATCH(VLOOKUP(E$7,'Writing Logic'!$J$7:$K$11,2,FALSE)&amp;" - Per "&amp;VLOOKUP($C$4,'Writing Logic'!$G$8:$H$14,2,FALSE),YES_Writing_ELA[#Headers],0)))),"")</f>
        <v/>
      </c>
      <c r="F230" s="138" t="str">
        <f>IFERROR(IF(IF(INDEX(_xlfn.VSTACK(YES_Writing_ELA[#Data],YES_Writing_FLA[#Data]),MATCH($A230,_xlfn.VSTACK(YES_Writing_ELA[Student Number],YES_Writing_FLA[Student Number]),0),MATCH(VLOOKUP(F$7,'Writing Logic'!$J$7:$K$11,2,FALSE)&amp;" - Per "&amp;VLOOKUP($C$4,'Writing Logic'!$G$8:$H$14,2,FALSE),YES_Writing_ELA[#Headers],0))=0,"",INDEX(_xlfn.VSTACK(YES_Writing_ELA[#Data],YES_Writing_FLA[#Data]),MATCH($A230,_xlfn.VSTACK(YES_Writing_ELA[Student Number],YES_Writing_FLA[Student Number]),0),MATCH(VLOOKUP(F$7,'Writing Logic'!$J$7:$K$11,2,FALSE)&amp;" - Per "&amp;VLOOKUP($C$4,'Writing Logic'!$G$8:$H$14,2,FALSE),YES_Writing_ELA[#Headers],0)))="INS",'Writing Logic'!$B$7,IF(INDEX(_xlfn.VSTACK(YES_Writing_ELA[#Data],YES_Writing_FLA[#Data]),MATCH($A230,_xlfn.VSTACK(YES_Writing_ELA[Student Number],YES_Writing_FLA[Student Number]),0),MATCH(VLOOKUP(F$7,'Writing Logic'!$J$7:$K$11,2,FALSE)&amp;" - Per "&amp;VLOOKUP($C$4,'Writing Logic'!$G$8:$H$14,2,FALSE),YES_Writing_ELA[#Headers],0))=0,"",INDEX(_xlfn.VSTACK(YES_Writing_ELA[#Data],YES_Writing_FLA[#Data]),MATCH($A230,_xlfn.VSTACK(YES_Writing_ELA[Student Number],YES_Writing_FLA[Student Number]),0),MATCH(VLOOKUP(F$7,'Writing Logic'!$J$7:$K$11,2,FALSE)&amp;" - Per "&amp;VLOOKUP($C$4,'Writing Logic'!$G$8:$H$14,2,FALSE),YES_Writing_ELA[#Headers],0)))),"")</f>
        <v/>
      </c>
      <c r="G230" s="138" t="str">
        <f>IFERROR(IF(IF(INDEX(_xlfn.VSTACK(YES_Writing_ELA[#Data],YES_Writing_FLA[#Data]),MATCH($A230,_xlfn.VSTACK(YES_Writing_ELA[Student Number],YES_Writing_FLA[Student Number]),0),MATCH(VLOOKUP(G$7,'Writing Logic'!$J$7:$K$11,2,FALSE)&amp;" - Per "&amp;VLOOKUP($C$4,'Writing Logic'!$G$8:$H$14,2,FALSE),YES_Writing_ELA[#Headers],0))=0,"",INDEX(_xlfn.VSTACK(YES_Writing_ELA[#Data],YES_Writing_FLA[#Data]),MATCH($A230,_xlfn.VSTACK(YES_Writing_ELA[Student Number],YES_Writing_FLA[Student Number]),0),MATCH(VLOOKUP(G$7,'Writing Logic'!$J$7:$K$11,2,FALSE)&amp;" - Per "&amp;VLOOKUP($C$4,'Writing Logic'!$G$8:$H$14,2,FALSE),YES_Writing_ELA[#Headers],0)))="INS",'Writing Logic'!$B$7,IF(INDEX(_xlfn.VSTACK(YES_Writing_ELA[#Data],YES_Writing_FLA[#Data]),MATCH($A230,_xlfn.VSTACK(YES_Writing_ELA[Student Number],YES_Writing_FLA[Student Number]),0),MATCH(VLOOKUP(G$7,'Writing Logic'!$J$7:$K$11,2,FALSE)&amp;" - Per "&amp;VLOOKUP($C$4,'Writing Logic'!$G$8:$H$14,2,FALSE),YES_Writing_ELA[#Headers],0))=0,"",INDEX(_xlfn.VSTACK(YES_Writing_ELA[#Data],YES_Writing_FLA[#Data]),MATCH($A230,_xlfn.VSTACK(YES_Writing_ELA[Student Number],YES_Writing_FLA[Student Number]),0),MATCH(VLOOKUP(G$7,'Writing Logic'!$J$7:$K$11,2,FALSE)&amp;" - Per "&amp;VLOOKUP($C$4,'Writing Logic'!$G$8:$H$14,2,FALSE),YES_Writing_ELA[#Headers],0)))),"")</f>
        <v/>
      </c>
      <c r="H230" s="223" t="str">
        <f>IFERROR(IF(IF(INDEX(_xlfn.VSTACK(YES_Writing_ELA[#Data],YES_Writing_FLA[#Data]),MATCH($A230,_xlfn.VSTACK(YES_Writing_ELA[Student Number],YES_Writing_FLA[Student Number]),0),MATCH(VLOOKUP(H$7,'Writing Logic'!$J$7:$K$11,2,FALSE)&amp;" - Per "&amp;VLOOKUP($C$4,'Writing Logic'!$G$8:$H$14,2,FALSE),YES_Writing_ELA[#Headers],0))=0,"",INDEX(_xlfn.VSTACK(YES_Writing_ELA[#Data],YES_Writing_FLA[#Data]),MATCH($A230,_xlfn.VSTACK(YES_Writing_ELA[Student Number],YES_Writing_FLA[Student Number]),0),MATCH(VLOOKUP(H$7,'Writing Logic'!$J$7:$K$11,2,FALSE)&amp;" - Per "&amp;VLOOKUP($C$4,'Writing Logic'!$G$8:$H$14,2,FALSE),YES_Writing_ELA[#Headers],0)))="INS",'Writing Logic'!$B$7,IF(INDEX(_xlfn.VSTACK(YES_Writing_ELA[#Data],YES_Writing_FLA[#Data]),MATCH($A230,_xlfn.VSTACK(YES_Writing_ELA[Student Number],YES_Writing_FLA[Student Number]),0),MATCH(VLOOKUP(H$7,'Writing Logic'!$J$7:$K$11,2,FALSE)&amp;" - Per "&amp;VLOOKUP($C$4,'Writing Logic'!$G$8:$H$14,2,FALSE),YES_Writing_ELA[#Headers],0))=0,"",INDEX(_xlfn.VSTACK(YES_Writing_ELA[#Data],YES_Writing_FLA[#Data]),MATCH($A230,_xlfn.VSTACK(YES_Writing_ELA[Student Number],YES_Writing_FLA[Student Number]),0),MATCH(VLOOKUP(H$7,'Writing Logic'!$J$7:$K$11,2,FALSE)&amp;" - Per "&amp;VLOOKUP($C$4,'Writing Logic'!$G$8:$H$14,2,FALSE),YES_Writing_ELA[#Headers],0)))),"")</f>
        <v/>
      </c>
      <c r="I230" s="224" t="str" cm="1">
        <f t="array" aca="1" ref="I230" ca="1">IFERROR(
IF($G$3="ELA",
IF(VLOOKUP($A230, YES_Reading_ELA[], COLUMN(INDIRECT("YES_Reading_ELA[Difference - Per "&amp;VLOOKUP($G$4, 'Reading Report Logic'!$A$2:$B$8, 2, FALSE)&amp;"]")), FALSE)="", "",
VLOOKUP($A230,YES_Reading_ELA[], COLUMN(INDIRECT("YES_Reading_ELA[Difference - Per "&amp;VLOOKUP($G$4,'Reading Report Logic'!$A$2:$B$8,2,FALSE)&amp;"]")), FALSE)),
IF($G$3="FLA",
IF(VLOOKUP($A230, YES_Reading_FLA[], COLUMN(INDIRECT("YES_Reading_FLA[Difference - Per "&amp;VLOOKUP($G$4,'Reading Report Logic'!$A$2:$B$8,2,FALSE)&amp;"]")),FALSE)="","",
VLOOKUP($A230,YES_Reading_FLA[],COLUMN(INDIRECT("YES_Reading_FLA[Difference - Per "&amp;VLOOKUP($G$4,'Reading Report Logic'!$A$2:$B$8,2,FALSE)&amp;"]")),FALSE)),
IF($G$3="Combined",
IFERROR(
IF(VLOOKUP($A230, YES_Reading_ELA[], COLUMN(INDIRECT("YES_Reading_ELA[Difference - Per "&amp;VLOOKUP($G$4, 'Reading Report Logic'!$A$2:$B$8,2,FALSE)&amp;"]")), FALSE)="", "",
VLOOKUP($A230,YES_Reading_ELA[],COLUMN(INDIRECT("YES_Reading_ELA[Difference - Per "&amp;VLOOKUP($G$4,'Reading Report Logic'!$A$2:$B$8,2,FALSE)&amp;"]")),FALSE)),
IF(VLOOKUP($A230, YES_Reading_FLA[], COLUMN(INDIRECT("YES_Reading_FLA[Difference - Per "&amp;VLOOKUP($G$4, 'Reading Report Logic'!$A$2:$B$8, 2, FALSE)&amp;"]")),FALSE)="", "", VLOOKUP($A230,YES_Reading_FLA[],COLUMN(INDIRECT("YES_Reading_FLA[Difference - Per "&amp;VLOOKUP($G$4, 'Reading Report Logic'!$A$2:$B$8, 2, FALSE)&amp;"]")),FALSE))),""))),"")</f>
        <v/>
      </c>
    </row>
    <row r="231" spans="1:9" x14ac:dyDescent="0.25">
      <c r="A231" s="137"/>
      <c r="B231" s="137" t="str">
        <f>IFERROR(INDEX(_xlfn.VSTACK(YES_Writing_ELA[#Data], YES_Writing_FLA[#Data]),MATCH($A231,_xlfn.VSTACK(YES_Writing_ELA[Student Number], YES_Writing_FLA[Student Number]),0),MATCH(B$7,YES_Writing_ELA[#Headers],0)),IFERROR(INDEX(_xlfn.VSTACK(YES_Reading_ELA[#Data], YES_Reading_FLA[#Data]),MATCH($A231,_xlfn.VSTACK(YES_Reading_ELA[Student Number], YES_Reading_FLA[Student Number]),0),MATCH(B$7,YES_Reading_ELA[#Headers],0)),""))</f>
        <v/>
      </c>
      <c r="C231" s="137" t="str">
        <f>IFERROR(INDEX(_xlfn.VSTACK(YES_Writing_ELA[#Data], YES_Writing_FLA[#Data]),MATCH($A231,_xlfn.VSTACK(YES_Writing_ELA[Student Number], YES_Writing_FLA[Student Number]),0),MATCH(C$7,YES_Writing_ELA[#Headers],0)),IFERROR(INDEX(_xlfn.VSTACK(YES_Reading_ELA[#Data], YES_Reading_FLA[#Data]),MATCH($A231,_xlfn.VSTACK(YES_Reading_ELA[Student Number], YES_Reading_FLA[Student Number]),0),MATCH(C$7,YES_Reading_ELA[#Headers],0)),""))</f>
        <v/>
      </c>
      <c r="D231" s="138" t="str">
        <f>IFERROR(IF(IF(INDEX(_xlfn.VSTACK(YES_Writing_ELA[#Data],YES_Writing_FLA[#Data]),MATCH($A231,_xlfn.VSTACK(YES_Writing_ELA[Student Number],YES_Writing_FLA[Student Number]),0),MATCH(VLOOKUP(D$7,'Writing Logic'!$J$7:$K$11,2,FALSE)&amp;" - Per "&amp;VLOOKUP($C$4,'Writing Logic'!$G$8:$H$14,2,FALSE),YES_Writing_ELA[#Headers],0))=0,"",INDEX(_xlfn.VSTACK(YES_Writing_ELA[#Data],YES_Writing_FLA[#Data]),MATCH($A231,_xlfn.VSTACK(YES_Writing_ELA[Student Number],YES_Writing_FLA[Student Number]),0),MATCH(VLOOKUP(D$7,'Writing Logic'!$J$7:$K$11,2,FALSE)&amp;" - Per "&amp;VLOOKUP($C$4,'Writing Logic'!$G$8:$H$14,2,FALSE),YES_Writing_ELA[#Headers],0)))="INS",'Writing Logic'!$B$7,IF(INDEX(_xlfn.VSTACK(YES_Writing_ELA[#Data],YES_Writing_FLA[#Data]),MATCH($A231,_xlfn.VSTACK(YES_Writing_ELA[Student Number],YES_Writing_FLA[Student Number]),0),MATCH(VLOOKUP(D$7,'Writing Logic'!$J$7:$K$11,2,FALSE)&amp;" - Per "&amp;VLOOKUP($C$4,'Writing Logic'!$G$8:$H$14,2,FALSE),YES_Writing_ELA[#Headers],0))=0,"",INDEX(_xlfn.VSTACK(YES_Writing_ELA[#Data],YES_Writing_FLA[#Data]),MATCH($A231,_xlfn.VSTACK(YES_Writing_ELA[Student Number],YES_Writing_FLA[Student Number]),0),MATCH(VLOOKUP(D$7,'Writing Logic'!$J$7:$K$11,2,FALSE)&amp;" - Per "&amp;VLOOKUP($C$4,'Writing Logic'!$G$8:$H$14,2,FALSE),YES_Writing_ELA[#Headers],0)))),"")</f>
        <v/>
      </c>
      <c r="E231" s="138" t="str">
        <f>IFERROR(IF(IF(INDEX(_xlfn.VSTACK(YES_Writing_ELA[#Data],YES_Writing_FLA[#Data]),MATCH($A231,_xlfn.VSTACK(YES_Writing_ELA[Student Number],YES_Writing_FLA[Student Number]),0),MATCH(VLOOKUP(E$7,'Writing Logic'!$J$7:$K$11,2,FALSE)&amp;" - Per "&amp;VLOOKUP($C$4,'Writing Logic'!$G$8:$H$14,2,FALSE),YES_Writing_ELA[#Headers],0))=0,"",INDEX(_xlfn.VSTACK(YES_Writing_ELA[#Data],YES_Writing_FLA[#Data]),MATCH($A231,_xlfn.VSTACK(YES_Writing_ELA[Student Number],YES_Writing_FLA[Student Number]),0),MATCH(VLOOKUP(E$7,'Writing Logic'!$J$7:$K$11,2,FALSE)&amp;" - Per "&amp;VLOOKUP($C$4,'Writing Logic'!$G$8:$H$14,2,FALSE),YES_Writing_ELA[#Headers],0)))="INS",'Writing Logic'!$B$7,IF(INDEX(_xlfn.VSTACK(YES_Writing_ELA[#Data],YES_Writing_FLA[#Data]),MATCH($A231,_xlfn.VSTACK(YES_Writing_ELA[Student Number],YES_Writing_FLA[Student Number]),0),MATCH(VLOOKUP(E$7,'Writing Logic'!$J$7:$K$11,2,FALSE)&amp;" - Per "&amp;VLOOKUP($C$4,'Writing Logic'!$G$8:$H$14,2,FALSE),YES_Writing_ELA[#Headers],0))=0,"",INDEX(_xlfn.VSTACK(YES_Writing_ELA[#Data],YES_Writing_FLA[#Data]),MATCH($A231,_xlfn.VSTACK(YES_Writing_ELA[Student Number],YES_Writing_FLA[Student Number]),0),MATCH(VLOOKUP(E$7,'Writing Logic'!$J$7:$K$11,2,FALSE)&amp;" - Per "&amp;VLOOKUP($C$4,'Writing Logic'!$G$8:$H$14,2,FALSE),YES_Writing_ELA[#Headers],0)))),"")</f>
        <v/>
      </c>
      <c r="F231" s="138" t="str">
        <f>IFERROR(IF(IF(INDEX(_xlfn.VSTACK(YES_Writing_ELA[#Data],YES_Writing_FLA[#Data]),MATCH($A231,_xlfn.VSTACK(YES_Writing_ELA[Student Number],YES_Writing_FLA[Student Number]),0),MATCH(VLOOKUP(F$7,'Writing Logic'!$J$7:$K$11,2,FALSE)&amp;" - Per "&amp;VLOOKUP($C$4,'Writing Logic'!$G$8:$H$14,2,FALSE),YES_Writing_ELA[#Headers],0))=0,"",INDEX(_xlfn.VSTACK(YES_Writing_ELA[#Data],YES_Writing_FLA[#Data]),MATCH($A231,_xlfn.VSTACK(YES_Writing_ELA[Student Number],YES_Writing_FLA[Student Number]),0),MATCH(VLOOKUP(F$7,'Writing Logic'!$J$7:$K$11,2,FALSE)&amp;" - Per "&amp;VLOOKUP($C$4,'Writing Logic'!$G$8:$H$14,2,FALSE),YES_Writing_ELA[#Headers],0)))="INS",'Writing Logic'!$B$7,IF(INDEX(_xlfn.VSTACK(YES_Writing_ELA[#Data],YES_Writing_FLA[#Data]),MATCH($A231,_xlfn.VSTACK(YES_Writing_ELA[Student Number],YES_Writing_FLA[Student Number]),0),MATCH(VLOOKUP(F$7,'Writing Logic'!$J$7:$K$11,2,FALSE)&amp;" - Per "&amp;VLOOKUP($C$4,'Writing Logic'!$G$8:$H$14,2,FALSE),YES_Writing_ELA[#Headers],0))=0,"",INDEX(_xlfn.VSTACK(YES_Writing_ELA[#Data],YES_Writing_FLA[#Data]),MATCH($A231,_xlfn.VSTACK(YES_Writing_ELA[Student Number],YES_Writing_FLA[Student Number]),0),MATCH(VLOOKUP(F$7,'Writing Logic'!$J$7:$K$11,2,FALSE)&amp;" - Per "&amp;VLOOKUP($C$4,'Writing Logic'!$G$8:$H$14,2,FALSE),YES_Writing_ELA[#Headers],0)))),"")</f>
        <v/>
      </c>
      <c r="G231" s="138" t="str">
        <f>IFERROR(IF(IF(INDEX(_xlfn.VSTACK(YES_Writing_ELA[#Data],YES_Writing_FLA[#Data]),MATCH($A231,_xlfn.VSTACK(YES_Writing_ELA[Student Number],YES_Writing_FLA[Student Number]),0),MATCH(VLOOKUP(G$7,'Writing Logic'!$J$7:$K$11,2,FALSE)&amp;" - Per "&amp;VLOOKUP($C$4,'Writing Logic'!$G$8:$H$14,2,FALSE),YES_Writing_ELA[#Headers],0))=0,"",INDEX(_xlfn.VSTACK(YES_Writing_ELA[#Data],YES_Writing_FLA[#Data]),MATCH($A231,_xlfn.VSTACK(YES_Writing_ELA[Student Number],YES_Writing_FLA[Student Number]),0),MATCH(VLOOKUP(G$7,'Writing Logic'!$J$7:$K$11,2,FALSE)&amp;" - Per "&amp;VLOOKUP($C$4,'Writing Logic'!$G$8:$H$14,2,FALSE),YES_Writing_ELA[#Headers],0)))="INS",'Writing Logic'!$B$7,IF(INDEX(_xlfn.VSTACK(YES_Writing_ELA[#Data],YES_Writing_FLA[#Data]),MATCH($A231,_xlfn.VSTACK(YES_Writing_ELA[Student Number],YES_Writing_FLA[Student Number]),0),MATCH(VLOOKUP(G$7,'Writing Logic'!$J$7:$K$11,2,FALSE)&amp;" - Per "&amp;VLOOKUP($C$4,'Writing Logic'!$G$8:$H$14,2,FALSE),YES_Writing_ELA[#Headers],0))=0,"",INDEX(_xlfn.VSTACK(YES_Writing_ELA[#Data],YES_Writing_FLA[#Data]),MATCH($A231,_xlfn.VSTACK(YES_Writing_ELA[Student Number],YES_Writing_FLA[Student Number]),0),MATCH(VLOOKUP(G$7,'Writing Logic'!$J$7:$K$11,2,FALSE)&amp;" - Per "&amp;VLOOKUP($C$4,'Writing Logic'!$G$8:$H$14,2,FALSE),YES_Writing_ELA[#Headers],0)))),"")</f>
        <v/>
      </c>
      <c r="H231" s="223" t="str">
        <f>IFERROR(IF(IF(INDEX(_xlfn.VSTACK(YES_Writing_ELA[#Data],YES_Writing_FLA[#Data]),MATCH($A231,_xlfn.VSTACK(YES_Writing_ELA[Student Number],YES_Writing_FLA[Student Number]),0),MATCH(VLOOKUP(H$7,'Writing Logic'!$J$7:$K$11,2,FALSE)&amp;" - Per "&amp;VLOOKUP($C$4,'Writing Logic'!$G$8:$H$14,2,FALSE),YES_Writing_ELA[#Headers],0))=0,"",INDEX(_xlfn.VSTACK(YES_Writing_ELA[#Data],YES_Writing_FLA[#Data]),MATCH($A231,_xlfn.VSTACK(YES_Writing_ELA[Student Number],YES_Writing_FLA[Student Number]),0),MATCH(VLOOKUP(H$7,'Writing Logic'!$J$7:$K$11,2,FALSE)&amp;" - Per "&amp;VLOOKUP($C$4,'Writing Logic'!$G$8:$H$14,2,FALSE),YES_Writing_ELA[#Headers],0)))="INS",'Writing Logic'!$B$7,IF(INDEX(_xlfn.VSTACK(YES_Writing_ELA[#Data],YES_Writing_FLA[#Data]),MATCH($A231,_xlfn.VSTACK(YES_Writing_ELA[Student Number],YES_Writing_FLA[Student Number]),0),MATCH(VLOOKUP(H$7,'Writing Logic'!$J$7:$K$11,2,FALSE)&amp;" - Per "&amp;VLOOKUP($C$4,'Writing Logic'!$G$8:$H$14,2,FALSE),YES_Writing_ELA[#Headers],0))=0,"",INDEX(_xlfn.VSTACK(YES_Writing_ELA[#Data],YES_Writing_FLA[#Data]),MATCH($A231,_xlfn.VSTACK(YES_Writing_ELA[Student Number],YES_Writing_FLA[Student Number]),0),MATCH(VLOOKUP(H$7,'Writing Logic'!$J$7:$K$11,2,FALSE)&amp;" - Per "&amp;VLOOKUP($C$4,'Writing Logic'!$G$8:$H$14,2,FALSE),YES_Writing_ELA[#Headers],0)))),"")</f>
        <v/>
      </c>
      <c r="I231" s="224" t="str" cm="1">
        <f t="array" aca="1" ref="I231" ca="1">IFERROR(
IF($G$3="ELA",
IF(VLOOKUP($A231, YES_Reading_ELA[], COLUMN(INDIRECT("YES_Reading_ELA[Difference - Per "&amp;VLOOKUP($G$4, 'Reading Report Logic'!$A$2:$B$8, 2, FALSE)&amp;"]")), FALSE)="", "",
VLOOKUP($A231,YES_Reading_ELA[], COLUMN(INDIRECT("YES_Reading_ELA[Difference - Per "&amp;VLOOKUP($G$4,'Reading Report Logic'!$A$2:$B$8,2,FALSE)&amp;"]")), FALSE)),
IF($G$3="FLA",
IF(VLOOKUP($A231, YES_Reading_FLA[], COLUMN(INDIRECT("YES_Reading_FLA[Difference - Per "&amp;VLOOKUP($G$4,'Reading Report Logic'!$A$2:$B$8,2,FALSE)&amp;"]")),FALSE)="","",
VLOOKUP($A231,YES_Reading_FLA[],COLUMN(INDIRECT("YES_Reading_FLA[Difference - Per "&amp;VLOOKUP($G$4,'Reading Report Logic'!$A$2:$B$8,2,FALSE)&amp;"]")),FALSE)),
IF($G$3="Combined",
IFERROR(
IF(VLOOKUP($A231, YES_Reading_ELA[], COLUMN(INDIRECT("YES_Reading_ELA[Difference - Per "&amp;VLOOKUP($G$4, 'Reading Report Logic'!$A$2:$B$8,2,FALSE)&amp;"]")), FALSE)="", "",
VLOOKUP($A231,YES_Reading_ELA[],COLUMN(INDIRECT("YES_Reading_ELA[Difference - Per "&amp;VLOOKUP($G$4,'Reading Report Logic'!$A$2:$B$8,2,FALSE)&amp;"]")),FALSE)),
IF(VLOOKUP($A231, YES_Reading_FLA[], COLUMN(INDIRECT("YES_Reading_FLA[Difference - Per "&amp;VLOOKUP($G$4, 'Reading Report Logic'!$A$2:$B$8, 2, FALSE)&amp;"]")),FALSE)="", "", VLOOKUP($A231,YES_Reading_FLA[],COLUMN(INDIRECT("YES_Reading_FLA[Difference - Per "&amp;VLOOKUP($G$4, 'Reading Report Logic'!$A$2:$B$8, 2, FALSE)&amp;"]")),FALSE))),""))),"")</f>
        <v/>
      </c>
    </row>
    <row r="232" spans="1:9" x14ac:dyDescent="0.25">
      <c r="A232" s="137"/>
      <c r="B232" s="137" t="str">
        <f>IFERROR(INDEX(_xlfn.VSTACK(YES_Writing_ELA[#Data], YES_Writing_FLA[#Data]),MATCH($A232,_xlfn.VSTACK(YES_Writing_ELA[Student Number], YES_Writing_FLA[Student Number]),0),MATCH(B$7,YES_Writing_ELA[#Headers],0)),IFERROR(INDEX(_xlfn.VSTACK(YES_Reading_ELA[#Data], YES_Reading_FLA[#Data]),MATCH($A232,_xlfn.VSTACK(YES_Reading_ELA[Student Number], YES_Reading_FLA[Student Number]),0),MATCH(B$7,YES_Reading_ELA[#Headers],0)),""))</f>
        <v/>
      </c>
      <c r="C232" s="137" t="str">
        <f>IFERROR(INDEX(_xlfn.VSTACK(YES_Writing_ELA[#Data], YES_Writing_FLA[#Data]),MATCH($A232,_xlfn.VSTACK(YES_Writing_ELA[Student Number], YES_Writing_FLA[Student Number]),0),MATCH(C$7,YES_Writing_ELA[#Headers],0)),IFERROR(INDEX(_xlfn.VSTACK(YES_Reading_ELA[#Data], YES_Reading_FLA[#Data]),MATCH($A232,_xlfn.VSTACK(YES_Reading_ELA[Student Number], YES_Reading_FLA[Student Number]),0),MATCH(C$7,YES_Reading_ELA[#Headers],0)),""))</f>
        <v/>
      </c>
      <c r="D232" s="138" t="str">
        <f>IFERROR(IF(IF(INDEX(_xlfn.VSTACK(YES_Writing_ELA[#Data],YES_Writing_FLA[#Data]),MATCH($A232,_xlfn.VSTACK(YES_Writing_ELA[Student Number],YES_Writing_FLA[Student Number]),0),MATCH(VLOOKUP(D$7,'Writing Logic'!$J$7:$K$11,2,FALSE)&amp;" - Per "&amp;VLOOKUP($C$4,'Writing Logic'!$G$8:$H$14,2,FALSE),YES_Writing_ELA[#Headers],0))=0,"",INDEX(_xlfn.VSTACK(YES_Writing_ELA[#Data],YES_Writing_FLA[#Data]),MATCH($A232,_xlfn.VSTACK(YES_Writing_ELA[Student Number],YES_Writing_FLA[Student Number]),0),MATCH(VLOOKUP(D$7,'Writing Logic'!$J$7:$K$11,2,FALSE)&amp;" - Per "&amp;VLOOKUP($C$4,'Writing Logic'!$G$8:$H$14,2,FALSE),YES_Writing_ELA[#Headers],0)))="INS",'Writing Logic'!$B$7,IF(INDEX(_xlfn.VSTACK(YES_Writing_ELA[#Data],YES_Writing_FLA[#Data]),MATCH($A232,_xlfn.VSTACK(YES_Writing_ELA[Student Number],YES_Writing_FLA[Student Number]),0),MATCH(VLOOKUP(D$7,'Writing Logic'!$J$7:$K$11,2,FALSE)&amp;" - Per "&amp;VLOOKUP($C$4,'Writing Logic'!$G$8:$H$14,2,FALSE),YES_Writing_ELA[#Headers],0))=0,"",INDEX(_xlfn.VSTACK(YES_Writing_ELA[#Data],YES_Writing_FLA[#Data]),MATCH($A232,_xlfn.VSTACK(YES_Writing_ELA[Student Number],YES_Writing_FLA[Student Number]),0),MATCH(VLOOKUP(D$7,'Writing Logic'!$J$7:$K$11,2,FALSE)&amp;" - Per "&amp;VLOOKUP($C$4,'Writing Logic'!$G$8:$H$14,2,FALSE),YES_Writing_ELA[#Headers],0)))),"")</f>
        <v/>
      </c>
      <c r="E232" s="138" t="str">
        <f>IFERROR(IF(IF(INDEX(_xlfn.VSTACK(YES_Writing_ELA[#Data],YES_Writing_FLA[#Data]),MATCH($A232,_xlfn.VSTACK(YES_Writing_ELA[Student Number],YES_Writing_FLA[Student Number]),0),MATCH(VLOOKUP(E$7,'Writing Logic'!$J$7:$K$11,2,FALSE)&amp;" - Per "&amp;VLOOKUP($C$4,'Writing Logic'!$G$8:$H$14,2,FALSE),YES_Writing_ELA[#Headers],0))=0,"",INDEX(_xlfn.VSTACK(YES_Writing_ELA[#Data],YES_Writing_FLA[#Data]),MATCH($A232,_xlfn.VSTACK(YES_Writing_ELA[Student Number],YES_Writing_FLA[Student Number]),0),MATCH(VLOOKUP(E$7,'Writing Logic'!$J$7:$K$11,2,FALSE)&amp;" - Per "&amp;VLOOKUP($C$4,'Writing Logic'!$G$8:$H$14,2,FALSE),YES_Writing_ELA[#Headers],0)))="INS",'Writing Logic'!$B$7,IF(INDEX(_xlfn.VSTACK(YES_Writing_ELA[#Data],YES_Writing_FLA[#Data]),MATCH($A232,_xlfn.VSTACK(YES_Writing_ELA[Student Number],YES_Writing_FLA[Student Number]),0),MATCH(VLOOKUP(E$7,'Writing Logic'!$J$7:$K$11,2,FALSE)&amp;" - Per "&amp;VLOOKUP($C$4,'Writing Logic'!$G$8:$H$14,2,FALSE),YES_Writing_ELA[#Headers],0))=0,"",INDEX(_xlfn.VSTACK(YES_Writing_ELA[#Data],YES_Writing_FLA[#Data]),MATCH($A232,_xlfn.VSTACK(YES_Writing_ELA[Student Number],YES_Writing_FLA[Student Number]),0),MATCH(VLOOKUP(E$7,'Writing Logic'!$J$7:$K$11,2,FALSE)&amp;" - Per "&amp;VLOOKUP($C$4,'Writing Logic'!$G$8:$H$14,2,FALSE),YES_Writing_ELA[#Headers],0)))),"")</f>
        <v/>
      </c>
      <c r="F232" s="138" t="str">
        <f>IFERROR(IF(IF(INDEX(_xlfn.VSTACK(YES_Writing_ELA[#Data],YES_Writing_FLA[#Data]),MATCH($A232,_xlfn.VSTACK(YES_Writing_ELA[Student Number],YES_Writing_FLA[Student Number]),0),MATCH(VLOOKUP(F$7,'Writing Logic'!$J$7:$K$11,2,FALSE)&amp;" - Per "&amp;VLOOKUP($C$4,'Writing Logic'!$G$8:$H$14,2,FALSE),YES_Writing_ELA[#Headers],0))=0,"",INDEX(_xlfn.VSTACK(YES_Writing_ELA[#Data],YES_Writing_FLA[#Data]),MATCH($A232,_xlfn.VSTACK(YES_Writing_ELA[Student Number],YES_Writing_FLA[Student Number]),0),MATCH(VLOOKUP(F$7,'Writing Logic'!$J$7:$K$11,2,FALSE)&amp;" - Per "&amp;VLOOKUP($C$4,'Writing Logic'!$G$8:$H$14,2,FALSE),YES_Writing_ELA[#Headers],0)))="INS",'Writing Logic'!$B$7,IF(INDEX(_xlfn.VSTACK(YES_Writing_ELA[#Data],YES_Writing_FLA[#Data]),MATCH($A232,_xlfn.VSTACK(YES_Writing_ELA[Student Number],YES_Writing_FLA[Student Number]),0),MATCH(VLOOKUP(F$7,'Writing Logic'!$J$7:$K$11,2,FALSE)&amp;" - Per "&amp;VLOOKUP($C$4,'Writing Logic'!$G$8:$H$14,2,FALSE),YES_Writing_ELA[#Headers],0))=0,"",INDEX(_xlfn.VSTACK(YES_Writing_ELA[#Data],YES_Writing_FLA[#Data]),MATCH($A232,_xlfn.VSTACK(YES_Writing_ELA[Student Number],YES_Writing_FLA[Student Number]),0),MATCH(VLOOKUP(F$7,'Writing Logic'!$J$7:$K$11,2,FALSE)&amp;" - Per "&amp;VLOOKUP($C$4,'Writing Logic'!$G$8:$H$14,2,FALSE),YES_Writing_ELA[#Headers],0)))),"")</f>
        <v/>
      </c>
      <c r="G232" s="138" t="str">
        <f>IFERROR(IF(IF(INDEX(_xlfn.VSTACK(YES_Writing_ELA[#Data],YES_Writing_FLA[#Data]),MATCH($A232,_xlfn.VSTACK(YES_Writing_ELA[Student Number],YES_Writing_FLA[Student Number]),0),MATCH(VLOOKUP(G$7,'Writing Logic'!$J$7:$K$11,2,FALSE)&amp;" - Per "&amp;VLOOKUP($C$4,'Writing Logic'!$G$8:$H$14,2,FALSE),YES_Writing_ELA[#Headers],0))=0,"",INDEX(_xlfn.VSTACK(YES_Writing_ELA[#Data],YES_Writing_FLA[#Data]),MATCH($A232,_xlfn.VSTACK(YES_Writing_ELA[Student Number],YES_Writing_FLA[Student Number]),0),MATCH(VLOOKUP(G$7,'Writing Logic'!$J$7:$K$11,2,FALSE)&amp;" - Per "&amp;VLOOKUP($C$4,'Writing Logic'!$G$8:$H$14,2,FALSE),YES_Writing_ELA[#Headers],0)))="INS",'Writing Logic'!$B$7,IF(INDEX(_xlfn.VSTACK(YES_Writing_ELA[#Data],YES_Writing_FLA[#Data]),MATCH($A232,_xlfn.VSTACK(YES_Writing_ELA[Student Number],YES_Writing_FLA[Student Number]),0),MATCH(VLOOKUP(G$7,'Writing Logic'!$J$7:$K$11,2,FALSE)&amp;" - Per "&amp;VLOOKUP($C$4,'Writing Logic'!$G$8:$H$14,2,FALSE),YES_Writing_ELA[#Headers],0))=0,"",INDEX(_xlfn.VSTACK(YES_Writing_ELA[#Data],YES_Writing_FLA[#Data]),MATCH($A232,_xlfn.VSTACK(YES_Writing_ELA[Student Number],YES_Writing_FLA[Student Number]),0),MATCH(VLOOKUP(G$7,'Writing Logic'!$J$7:$K$11,2,FALSE)&amp;" - Per "&amp;VLOOKUP($C$4,'Writing Logic'!$G$8:$H$14,2,FALSE),YES_Writing_ELA[#Headers],0)))),"")</f>
        <v/>
      </c>
      <c r="H232" s="223" t="str">
        <f>IFERROR(IF(IF(INDEX(_xlfn.VSTACK(YES_Writing_ELA[#Data],YES_Writing_FLA[#Data]),MATCH($A232,_xlfn.VSTACK(YES_Writing_ELA[Student Number],YES_Writing_FLA[Student Number]),0),MATCH(VLOOKUP(H$7,'Writing Logic'!$J$7:$K$11,2,FALSE)&amp;" - Per "&amp;VLOOKUP($C$4,'Writing Logic'!$G$8:$H$14,2,FALSE),YES_Writing_ELA[#Headers],0))=0,"",INDEX(_xlfn.VSTACK(YES_Writing_ELA[#Data],YES_Writing_FLA[#Data]),MATCH($A232,_xlfn.VSTACK(YES_Writing_ELA[Student Number],YES_Writing_FLA[Student Number]),0),MATCH(VLOOKUP(H$7,'Writing Logic'!$J$7:$K$11,2,FALSE)&amp;" - Per "&amp;VLOOKUP($C$4,'Writing Logic'!$G$8:$H$14,2,FALSE),YES_Writing_ELA[#Headers],0)))="INS",'Writing Logic'!$B$7,IF(INDEX(_xlfn.VSTACK(YES_Writing_ELA[#Data],YES_Writing_FLA[#Data]),MATCH($A232,_xlfn.VSTACK(YES_Writing_ELA[Student Number],YES_Writing_FLA[Student Number]),0),MATCH(VLOOKUP(H$7,'Writing Logic'!$J$7:$K$11,2,FALSE)&amp;" - Per "&amp;VLOOKUP($C$4,'Writing Logic'!$G$8:$H$14,2,FALSE),YES_Writing_ELA[#Headers],0))=0,"",INDEX(_xlfn.VSTACK(YES_Writing_ELA[#Data],YES_Writing_FLA[#Data]),MATCH($A232,_xlfn.VSTACK(YES_Writing_ELA[Student Number],YES_Writing_FLA[Student Number]),0),MATCH(VLOOKUP(H$7,'Writing Logic'!$J$7:$K$11,2,FALSE)&amp;" - Per "&amp;VLOOKUP($C$4,'Writing Logic'!$G$8:$H$14,2,FALSE),YES_Writing_ELA[#Headers],0)))),"")</f>
        <v/>
      </c>
      <c r="I232" s="224" t="str" cm="1">
        <f t="array" aca="1" ref="I232" ca="1">IFERROR(
IF($G$3="ELA",
IF(VLOOKUP($A232, YES_Reading_ELA[], COLUMN(INDIRECT("YES_Reading_ELA[Difference - Per "&amp;VLOOKUP($G$4, 'Reading Report Logic'!$A$2:$B$8, 2, FALSE)&amp;"]")), FALSE)="", "",
VLOOKUP($A232,YES_Reading_ELA[], COLUMN(INDIRECT("YES_Reading_ELA[Difference - Per "&amp;VLOOKUP($G$4,'Reading Report Logic'!$A$2:$B$8,2,FALSE)&amp;"]")), FALSE)),
IF($G$3="FLA",
IF(VLOOKUP($A232, YES_Reading_FLA[], COLUMN(INDIRECT("YES_Reading_FLA[Difference - Per "&amp;VLOOKUP($G$4,'Reading Report Logic'!$A$2:$B$8,2,FALSE)&amp;"]")),FALSE)="","",
VLOOKUP($A232,YES_Reading_FLA[],COLUMN(INDIRECT("YES_Reading_FLA[Difference - Per "&amp;VLOOKUP($G$4,'Reading Report Logic'!$A$2:$B$8,2,FALSE)&amp;"]")),FALSE)),
IF($G$3="Combined",
IFERROR(
IF(VLOOKUP($A232, YES_Reading_ELA[], COLUMN(INDIRECT("YES_Reading_ELA[Difference - Per "&amp;VLOOKUP($G$4, 'Reading Report Logic'!$A$2:$B$8,2,FALSE)&amp;"]")), FALSE)="", "",
VLOOKUP($A232,YES_Reading_ELA[],COLUMN(INDIRECT("YES_Reading_ELA[Difference - Per "&amp;VLOOKUP($G$4,'Reading Report Logic'!$A$2:$B$8,2,FALSE)&amp;"]")),FALSE)),
IF(VLOOKUP($A232, YES_Reading_FLA[], COLUMN(INDIRECT("YES_Reading_FLA[Difference - Per "&amp;VLOOKUP($G$4, 'Reading Report Logic'!$A$2:$B$8, 2, FALSE)&amp;"]")),FALSE)="", "", VLOOKUP($A232,YES_Reading_FLA[],COLUMN(INDIRECT("YES_Reading_FLA[Difference - Per "&amp;VLOOKUP($G$4, 'Reading Report Logic'!$A$2:$B$8, 2, FALSE)&amp;"]")),FALSE))),""))),"")</f>
        <v/>
      </c>
    </row>
    <row r="233" spans="1:9" x14ac:dyDescent="0.25">
      <c r="A233" s="137"/>
      <c r="B233" s="137" t="str">
        <f>IFERROR(INDEX(_xlfn.VSTACK(YES_Writing_ELA[#Data], YES_Writing_FLA[#Data]),MATCH($A233,_xlfn.VSTACK(YES_Writing_ELA[Student Number], YES_Writing_FLA[Student Number]),0),MATCH(B$7,YES_Writing_ELA[#Headers],0)),IFERROR(INDEX(_xlfn.VSTACK(YES_Reading_ELA[#Data], YES_Reading_FLA[#Data]),MATCH($A233,_xlfn.VSTACK(YES_Reading_ELA[Student Number], YES_Reading_FLA[Student Number]),0),MATCH(B$7,YES_Reading_ELA[#Headers],0)),""))</f>
        <v/>
      </c>
      <c r="C233" s="137" t="str">
        <f>IFERROR(INDEX(_xlfn.VSTACK(YES_Writing_ELA[#Data], YES_Writing_FLA[#Data]),MATCH($A233,_xlfn.VSTACK(YES_Writing_ELA[Student Number], YES_Writing_FLA[Student Number]),0),MATCH(C$7,YES_Writing_ELA[#Headers],0)),IFERROR(INDEX(_xlfn.VSTACK(YES_Reading_ELA[#Data], YES_Reading_FLA[#Data]),MATCH($A233,_xlfn.VSTACK(YES_Reading_ELA[Student Number], YES_Reading_FLA[Student Number]),0),MATCH(C$7,YES_Reading_ELA[#Headers],0)),""))</f>
        <v/>
      </c>
      <c r="D233" s="138" t="str">
        <f>IFERROR(IF(IF(INDEX(_xlfn.VSTACK(YES_Writing_ELA[#Data],YES_Writing_FLA[#Data]),MATCH($A233,_xlfn.VSTACK(YES_Writing_ELA[Student Number],YES_Writing_FLA[Student Number]),0),MATCH(VLOOKUP(D$7,'Writing Logic'!$J$7:$K$11,2,FALSE)&amp;" - Per "&amp;VLOOKUP($C$4,'Writing Logic'!$G$8:$H$14,2,FALSE),YES_Writing_ELA[#Headers],0))=0,"",INDEX(_xlfn.VSTACK(YES_Writing_ELA[#Data],YES_Writing_FLA[#Data]),MATCH($A233,_xlfn.VSTACK(YES_Writing_ELA[Student Number],YES_Writing_FLA[Student Number]),0),MATCH(VLOOKUP(D$7,'Writing Logic'!$J$7:$K$11,2,FALSE)&amp;" - Per "&amp;VLOOKUP($C$4,'Writing Logic'!$G$8:$H$14,2,FALSE),YES_Writing_ELA[#Headers],0)))="INS",'Writing Logic'!$B$7,IF(INDEX(_xlfn.VSTACK(YES_Writing_ELA[#Data],YES_Writing_FLA[#Data]),MATCH($A233,_xlfn.VSTACK(YES_Writing_ELA[Student Number],YES_Writing_FLA[Student Number]),0),MATCH(VLOOKUP(D$7,'Writing Logic'!$J$7:$K$11,2,FALSE)&amp;" - Per "&amp;VLOOKUP($C$4,'Writing Logic'!$G$8:$H$14,2,FALSE),YES_Writing_ELA[#Headers],0))=0,"",INDEX(_xlfn.VSTACK(YES_Writing_ELA[#Data],YES_Writing_FLA[#Data]),MATCH($A233,_xlfn.VSTACK(YES_Writing_ELA[Student Number],YES_Writing_FLA[Student Number]),0),MATCH(VLOOKUP(D$7,'Writing Logic'!$J$7:$K$11,2,FALSE)&amp;" - Per "&amp;VLOOKUP($C$4,'Writing Logic'!$G$8:$H$14,2,FALSE),YES_Writing_ELA[#Headers],0)))),"")</f>
        <v/>
      </c>
      <c r="E233" s="138" t="str">
        <f>IFERROR(IF(IF(INDEX(_xlfn.VSTACK(YES_Writing_ELA[#Data],YES_Writing_FLA[#Data]),MATCH($A233,_xlfn.VSTACK(YES_Writing_ELA[Student Number],YES_Writing_FLA[Student Number]),0),MATCH(VLOOKUP(E$7,'Writing Logic'!$J$7:$K$11,2,FALSE)&amp;" - Per "&amp;VLOOKUP($C$4,'Writing Logic'!$G$8:$H$14,2,FALSE),YES_Writing_ELA[#Headers],0))=0,"",INDEX(_xlfn.VSTACK(YES_Writing_ELA[#Data],YES_Writing_FLA[#Data]),MATCH($A233,_xlfn.VSTACK(YES_Writing_ELA[Student Number],YES_Writing_FLA[Student Number]),0),MATCH(VLOOKUP(E$7,'Writing Logic'!$J$7:$K$11,2,FALSE)&amp;" - Per "&amp;VLOOKUP($C$4,'Writing Logic'!$G$8:$H$14,2,FALSE),YES_Writing_ELA[#Headers],0)))="INS",'Writing Logic'!$B$7,IF(INDEX(_xlfn.VSTACK(YES_Writing_ELA[#Data],YES_Writing_FLA[#Data]),MATCH($A233,_xlfn.VSTACK(YES_Writing_ELA[Student Number],YES_Writing_FLA[Student Number]),0),MATCH(VLOOKUP(E$7,'Writing Logic'!$J$7:$K$11,2,FALSE)&amp;" - Per "&amp;VLOOKUP($C$4,'Writing Logic'!$G$8:$H$14,2,FALSE),YES_Writing_ELA[#Headers],0))=0,"",INDEX(_xlfn.VSTACK(YES_Writing_ELA[#Data],YES_Writing_FLA[#Data]),MATCH($A233,_xlfn.VSTACK(YES_Writing_ELA[Student Number],YES_Writing_FLA[Student Number]),0),MATCH(VLOOKUP(E$7,'Writing Logic'!$J$7:$K$11,2,FALSE)&amp;" - Per "&amp;VLOOKUP($C$4,'Writing Logic'!$G$8:$H$14,2,FALSE),YES_Writing_ELA[#Headers],0)))),"")</f>
        <v/>
      </c>
      <c r="F233" s="138" t="str">
        <f>IFERROR(IF(IF(INDEX(_xlfn.VSTACK(YES_Writing_ELA[#Data],YES_Writing_FLA[#Data]),MATCH($A233,_xlfn.VSTACK(YES_Writing_ELA[Student Number],YES_Writing_FLA[Student Number]),0),MATCH(VLOOKUP(F$7,'Writing Logic'!$J$7:$K$11,2,FALSE)&amp;" - Per "&amp;VLOOKUP($C$4,'Writing Logic'!$G$8:$H$14,2,FALSE),YES_Writing_ELA[#Headers],0))=0,"",INDEX(_xlfn.VSTACK(YES_Writing_ELA[#Data],YES_Writing_FLA[#Data]),MATCH($A233,_xlfn.VSTACK(YES_Writing_ELA[Student Number],YES_Writing_FLA[Student Number]),0),MATCH(VLOOKUP(F$7,'Writing Logic'!$J$7:$K$11,2,FALSE)&amp;" - Per "&amp;VLOOKUP($C$4,'Writing Logic'!$G$8:$H$14,2,FALSE),YES_Writing_ELA[#Headers],0)))="INS",'Writing Logic'!$B$7,IF(INDEX(_xlfn.VSTACK(YES_Writing_ELA[#Data],YES_Writing_FLA[#Data]),MATCH($A233,_xlfn.VSTACK(YES_Writing_ELA[Student Number],YES_Writing_FLA[Student Number]),0),MATCH(VLOOKUP(F$7,'Writing Logic'!$J$7:$K$11,2,FALSE)&amp;" - Per "&amp;VLOOKUP($C$4,'Writing Logic'!$G$8:$H$14,2,FALSE),YES_Writing_ELA[#Headers],0))=0,"",INDEX(_xlfn.VSTACK(YES_Writing_ELA[#Data],YES_Writing_FLA[#Data]),MATCH($A233,_xlfn.VSTACK(YES_Writing_ELA[Student Number],YES_Writing_FLA[Student Number]),0),MATCH(VLOOKUP(F$7,'Writing Logic'!$J$7:$K$11,2,FALSE)&amp;" - Per "&amp;VLOOKUP($C$4,'Writing Logic'!$G$8:$H$14,2,FALSE),YES_Writing_ELA[#Headers],0)))),"")</f>
        <v/>
      </c>
      <c r="G233" s="138" t="str">
        <f>IFERROR(IF(IF(INDEX(_xlfn.VSTACK(YES_Writing_ELA[#Data],YES_Writing_FLA[#Data]),MATCH($A233,_xlfn.VSTACK(YES_Writing_ELA[Student Number],YES_Writing_FLA[Student Number]),0),MATCH(VLOOKUP(G$7,'Writing Logic'!$J$7:$K$11,2,FALSE)&amp;" - Per "&amp;VLOOKUP($C$4,'Writing Logic'!$G$8:$H$14,2,FALSE),YES_Writing_ELA[#Headers],0))=0,"",INDEX(_xlfn.VSTACK(YES_Writing_ELA[#Data],YES_Writing_FLA[#Data]),MATCH($A233,_xlfn.VSTACK(YES_Writing_ELA[Student Number],YES_Writing_FLA[Student Number]),0),MATCH(VLOOKUP(G$7,'Writing Logic'!$J$7:$K$11,2,FALSE)&amp;" - Per "&amp;VLOOKUP($C$4,'Writing Logic'!$G$8:$H$14,2,FALSE),YES_Writing_ELA[#Headers],0)))="INS",'Writing Logic'!$B$7,IF(INDEX(_xlfn.VSTACK(YES_Writing_ELA[#Data],YES_Writing_FLA[#Data]),MATCH($A233,_xlfn.VSTACK(YES_Writing_ELA[Student Number],YES_Writing_FLA[Student Number]),0),MATCH(VLOOKUP(G$7,'Writing Logic'!$J$7:$K$11,2,FALSE)&amp;" - Per "&amp;VLOOKUP($C$4,'Writing Logic'!$G$8:$H$14,2,FALSE),YES_Writing_ELA[#Headers],0))=0,"",INDEX(_xlfn.VSTACK(YES_Writing_ELA[#Data],YES_Writing_FLA[#Data]),MATCH($A233,_xlfn.VSTACK(YES_Writing_ELA[Student Number],YES_Writing_FLA[Student Number]),0),MATCH(VLOOKUP(G$7,'Writing Logic'!$J$7:$K$11,2,FALSE)&amp;" - Per "&amp;VLOOKUP($C$4,'Writing Logic'!$G$8:$H$14,2,FALSE),YES_Writing_ELA[#Headers],0)))),"")</f>
        <v/>
      </c>
      <c r="H233" s="223" t="str">
        <f>IFERROR(IF(IF(INDEX(_xlfn.VSTACK(YES_Writing_ELA[#Data],YES_Writing_FLA[#Data]),MATCH($A233,_xlfn.VSTACK(YES_Writing_ELA[Student Number],YES_Writing_FLA[Student Number]),0),MATCH(VLOOKUP(H$7,'Writing Logic'!$J$7:$K$11,2,FALSE)&amp;" - Per "&amp;VLOOKUP($C$4,'Writing Logic'!$G$8:$H$14,2,FALSE),YES_Writing_ELA[#Headers],0))=0,"",INDEX(_xlfn.VSTACK(YES_Writing_ELA[#Data],YES_Writing_FLA[#Data]),MATCH($A233,_xlfn.VSTACK(YES_Writing_ELA[Student Number],YES_Writing_FLA[Student Number]),0),MATCH(VLOOKUP(H$7,'Writing Logic'!$J$7:$K$11,2,FALSE)&amp;" - Per "&amp;VLOOKUP($C$4,'Writing Logic'!$G$8:$H$14,2,FALSE),YES_Writing_ELA[#Headers],0)))="INS",'Writing Logic'!$B$7,IF(INDEX(_xlfn.VSTACK(YES_Writing_ELA[#Data],YES_Writing_FLA[#Data]),MATCH($A233,_xlfn.VSTACK(YES_Writing_ELA[Student Number],YES_Writing_FLA[Student Number]),0),MATCH(VLOOKUP(H$7,'Writing Logic'!$J$7:$K$11,2,FALSE)&amp;" - Per "&amp;VLOOKUP($C$4,'Writing Logic'!$G$8:$H$14,2,FALSE),YES_Writing_ELA[#Headers],0))=0,"",INDEX(_xlfn.VSTACK(YES_Writing_ELA[#Data],YES_Writing_FLA[#Data]),MATCH($A233,_xlfn.VSTACK(YES_Writing_ELA[Student Number],YES_Writing_FLA[Student Number]),0),MATCH(VLOOKUP(H$7,'Writing Logic'!$J$7:$K$11,2,FALSE)&amp;" - Per "&amp;VLOOKUP($C$4,'Writing Logic'!$G$8:$H$14,2,FALSE),YES_Writing_ELA[#Headers],0)))),"")</f>
        <v/>
      </c>
      <c r="I233" s="224" t="str" cm="1">
        <f t="array" aca="1" ref="I233" ca="1">IFERROR(
IF($G$3="ELA",
IF(VLOOKUP($A233, YES_Reading_ELA[], COLUMN(INDIRECT("YES_Reading_ELA[Difference - Per "&amp;VLOOKUP($G$4, 'Reading Report Logic'!$A$2:$B$8, 2, FALSE)&amp;"]")), FALSE)="", "",
VLOOKUP($A233,YES_Reading_ELA[], COLUMN(INDIRECT("YES_Reading_ELA[Difference - Per "&amp;VLOOKUP($G$4,'Reading Report Logic'!$A$2:$B$8,2,FALSE)&amp;"]")), FALSE)),
IF($G$3="FLA",
IF(VLOOKUP($A233, YES_Reading_FLA[], COLUMN(INDIRECT("YES_Reading_FLA[Difference - Per "&amp;VLOOKUP($G$4,'Reading Report Logic'!$A$2:$B$8,2,FALSE)&amp;"]")),FALSE)="","",
VLOOKUP($A233,YES_Reading_FLA[],COLUMN(INDIRECT("YES_Reading_FLA[Difference - Per "&amp;VLOOKUP($G$4,'Reading Report Logic'!$A$2:$B$8,2,FALSE)&amp;"]")),FALSE)),
IF($G$3="Combined",
IFERROR(
IF(VLOOKUP($A233, YES_Reading_ELA[], COLUMN(INDIRECT("YES_Reading_ELA[Difference - Per "&amp;VLOOKUP($G$4, 'Reading Report Logic'!$A$2:$B$8,2,FALSE)&amp;"]")), FALSE)="", "",
VLOOKUP($A233,YES_Reading_ELA[],COLUMN(INDIRECT("YES_Reading_ELA[Difference - Per "&amp;VLOOKUP($G$4,'Reading Report Logic'!$A$2:$B$8,2,FALSE)&amp;"]")),FALSE)),
IF(VLOOKUP($A233, YES_Reading_FLA[], COLUMN(INDIRECT("YES_Reading_FLA[Difference - Per "&amp;VLOOKUP($G$4, 'Reading Report Logic'!$A$2:$B$8, 2, FALSE)&amp;"]")),FALSE)="", "", VLOOKUP($A233,YES_Reading_FLA[],COLUMN(INDIRECT("YES_Reading_FLA[Difference - Per "&amp;VLOOKUP($G$4, 'Reading Report Logic'!$A$2:$B$8, 2, FALSE)&amp;"]")),FALSE))),""))),"")</f>
        <v/>
      </c>
    </row>
    <row r="234" spans="1:9" x14ac:dyDescent="0.25">
      <c r="A234" s="137"/>
      <c r="B234" s="137" t="str">
        <f>IFERROR(INDEX(_xlfn.VSTACK(YES_Writing_ELA[#Data], YES_Writing_FLA[#Data]),MATCH($A234,_xlfn.VSTACK(YES_Writing_ELA[Student Number], YES_Writing_FLA[Student Number]),0),MATCH(B$7,YES_Writing_ELA[#Headers],0)),IFERROR(INDEX(_xlfn.VSTACK(YES_Reading_ELA[#Data], YES_Reading_FLA[#Data]),MATCH($A234,_xlfn.VSTACK(YES_Reading_ELA[Student Number], YES_Reading_FLA[Student Number]),0),MATCH(B$7,YES_Reading_ELA[#Headers],0)),""))</f>
        <v/>
      </c>
      <c r="C234" s="137" t="str">
        <f>IFERROR(INDEX(_xlfn.VSTACK(YES_Writing_ELA[#Data], YES_Writing_FLA[#Data]),MATCH($A234,_xlfn.VSTACK(YES_Writing_ELA[Student Number], YES_Writing_FLA[Student Number]),0),MATCH(C$7,YES_Writing_ELA[#Headers],0)),IFERROR(INDEX(_xlfn.VSTACK(YES_Reading_ELA[#Data], YES_Reading_FLA[#Data]),MATCH($A234,_xlfn.VSTACK(YES_Reading_ELA[Student Number], YES_Reading_FLA[Student Number]),0),MATCH(C$7,YES_Reading_ELA[#Headers],0)),""))</f>
        <v/>
      </c>
      <c r="D234" s="138" t="str">
        <f>IFERROR(IF(IF(INDEX(_xlfn.VSTACK(YES_Writing_ELA[#Data],YES_Writing_FLA[#Data]),MATCH($A234,_xlfn.VSTACK(YES_Writing_ELA[Student Number],YES_Writing_FLA[Student Number]),0),MATCH(VLOOKUP(D$7,'Writing Logic'!$J$7:$K$11,2,FALSE)&amp;" - Per "&amp;VLOOKUP($C$4,'Writing Logic'!$G$8:$H$14,2,FALSE),YES_Writing_ELA[#Headers],0))=0,"",INDEX(_xlfn.VSTACK(YES_Writing_ELA[#Data],YES_Writing_FLA[#Data]),MATCH($A234,_xlfn.VSTACK(YES_Writing_ELA[Student Number],YES_Writing_FLA[Student Number]),0),MATCH(VLOOKUP(D$7,'Writing Logic'!$J$7:$K$11,2,FALSE)&amp;" - Per "&amp;VLOOKUP($C$4,'Writing Logic'!$G$8:$H$14,2,FALSE),YES_Writing_ELA[#Headers],0)))="INS",'Writing Logic'!$B$7,IF(INDEX(_xlfn.VSTACK(YES_Writing_ELA[#Data],YES_Writing_FLA[#Data]),MATCH($A234,_xlfn.VSTACK(YES_Writing_ELA[Student Number],YES_Writing_FLA[Student Number]),0),MATCH(VLOOKUP(D$7,'Writing Logic'!$J$7:$K$11,2,FALSE)&amp;" - Per "&amp;VLOOKUP($C$4,'Writing Logic'!$G$8:$H$14,2,FALSE),YES_Writing_ELA[#Headers],0))=0,"",INDEX(_xlfn.VSTACK(YES_Writing_ELA[#Data],YES_Writing_FLA[#Data]),MATCH($A234,_xlfn.VSTACK(YES_Writing_ELA[Student Number],YES_Writing_FLA[Student Number]),0),MATCH(VLOOKUP(D$7,'Writing Logic'!$J$7:$K$11,2,FALSE)&amp;" - Per "&amp;VLOOKUP($C$4,'Writing Logic'!$G$8:$H$14,2,FALSE),YES_Writing_ELA[#Headers],0)))),"")</f>
        <v/>
      </c>
      <c r="E234" s="138" t="str">
        <f>IFERROR(IF(IF(INDEX(_xlfn.VSTACK(YES_Writing_ELA[#Data],YES_Writing_FLA[#Data]),MATCH($A234,_xlfn.VSTACK(YES_Writing_ELA[Student Number],YES_Writing_FLA[Student Number]),0),MATCH(VLOOKUP(E$7,'Writing Logic'!$J$7:$K$11,2,FALSE)&amp;" - Per "&amp;VLOOKUP($C$4,'Writing Logic'!$G$8:$H$14,2,FALSE),YES_Writing_ELA[#Headers],0))=0,"",INDEX(_xlfn.VSTACK(YES_Writing_ELA[#Data],YES_Writing_FLA[#Data]),MATCH($A234,_xlfn.VSTACK(YES_Writing_ELA[Student Number],YES_Writing_FLA[Student Number]),0),MATCH(VLOOKUP(E$7,'Writing Logic'!$J$7:$K$11,2,FALSE)&amp;" - Per "&amp;VLOOKUP($C$4,'Writing Logic'!$G$8:$H$14,2,FALSE),YES_Writing_ELA[#Headers],0)))="INS",'Writing Logic'!$B$7,IF(INDEX(_xlfn.VSTACK(YES_Writing_ELA[#Data],YES_Writing_FLA[#Data]),MATCH($A234,_xlfn.VSTACK(YES_Writing_ELA[Student Number],YES_Writing_FLA[Student Number]),0),MATCH(VLOOKUP(E$7,'Writing Logic'!$J$7:$K$11,2,FALSE)&amp;" - Per "&amp;VLOOKUP($C$4,'Writing Logic'!$G$8:$H$14,2,FALSE),YES_Writing_ELA[#Headers],0))=0,"",INDEX(_xlfn.VSTACK(YES_Writing_ELA[#Data],YES_Writing_FLA[#Data]),MATCH($A234,_xlfn.VSTACK(YES_Writing_ELA[Student Number],YES_Writing_FLA[Student Number]),0),MATCH(VLOOKUP(E$7,'Writing Logic'!$J$7:$K$11,2,FALSE)&amp;" - Per "&amp;VLOOKUP($C$4,'Writing Logic'!$G$8:$H$14,2,FALSE),YES_Writing_ELA[#Headers],0)))),"")</f>
        <v/>
      </c>
      <c r="F234" s="138" t="str">
        <f>IFERROR(IF(IF(INDEX(_xlfn.VSTACK(YES_Writing_ELA[#Data],YES_Writing_FLA[#Data]),MATCH($A234,_xlfn.VSTACK(YES_Writing_ELA[Student Number],YES_Writing_FLA[Student Number]),0),MATCH(VLOOKUP(F$7,'Writing Logic'!$J$7:$K$11,2,FALSE)&amp;" - Per "&amp;VLOOKUP($C$4,'Writing Logic'!$G$8:$H$14,2,FALSE),YES_Writing_ELA[#Headers],0))=0,"",INDEX(_xlfn.VSTACK(YES_Writing_ELA[#Data],YES_Writing_FLA[#Data]),MATCH($A234,_xlfn.VSTACK(YES_Writing_ELA[Student Number],YES_Writing_FLA[Student Number]),0),MATCH(VLOOKUP(F$7,'Writing Logic'!$J$7:$K$11,2,FALSE)&amp;" - Per "&amp;VLOOKUP($C$4,'Writing Logic'!$G$8:$H$14,2,FALSE),YES_Writing_ELA[#Headers],0)))="INS",'Writing Logic'!$B$7,IF(INDEX(_xlfn.VSTACK(YES_Writing_ELA[#Data],YES_Writing_FLA[#Data]),MATCH($A234,_xlfn.VSTACK(YES_Writing_ELA[Student Number],YES_Writing_FLA[Student Number]),0),MATCH(VLOOKUP(F$7,'Writing Logic'!$J$7:$K$11,2,FALSE)&amp;" - Per "&amp;VLOOKUP($C$4,'Writing Logic'!$G$8:$H$14,2,FALSE),YES_Writing_ELA[#Headers],0))=0,"",INDEX(_xlfn.VSTACK(YES_Writing_ELA[#Data],YES_Writing_FLA[#Data]),MATCH($A234,_xlfn.VSTACK(YES_Writing_ELA[Student Number],YES_Writing_FLA[Student Number]),0),MATCH(VLOOKUP(F$7,'Writing Logic'!$J$7:$K$11,2,FALSE)&amp;" - Per "&amp;VLOOKUP($C$4,'Writing Logic'!$G$8:$H$14,2,FALSE),YES_Writing_ELA[#Headers],0)))),"")</f>
        <v/>
      </c>
      <c r="G234" s="138" t="str">
        <f>IFERROR(IF(IF(INDEX(_xlfn.VSTACK(YES_Writing_ELA[#Data],YES_Writing_FLA[#Data]),MATCH($A234,_xlfn.VSTACK(YES_Writing_ELA[Student Number],YES_Writing_FLA[Student Number]),0),MATCH(VLOOKUP(G$7,'Writing Logic'!$J$7:$K$11,2,FALSE)&amp;" - Per "&amp;VLOOKUP($C$4,'Writing Logic'!$G$8:$H$14,2,FALSE),YES_Writing_ELA[#Headers],0))=0,"",INDEX(_xlfn.VSTACK(YES_Writing_ELA[#Data],YES_Writing_FLA[#Data]),MATCH($A234,_xlfn.VSTACK(YES_Writing_ELA[Student Number],YES_Writing_FLA[Student Number]),0),MATCH(VLOOKUP(G$7,'Writing Logic'!$J$7:$K$11,2,FALSE)&amp;" - Per "&amp;VLOOKUP($C$4,'Writing Logic'!$G$8:$H$14,2,FALSE),YES_Writing_ELA[#Headers],0)))="INS",'Writing Logic'!$B$7,IF(INDEX(_xlfn.VSTACK(YES_Writing_ELA[#Data],YES_Writing_FLA[#Data]),MATCH($A234,_xlfn.VSTACK(YES_Writing_ELA[Student Number],YES_Writing_FLA[Student Number]),0),MATCH(VLOOKUP(G$7,'Writing Logic'!$J$7:$K$11,2,FALSE)&amp;" - Per "&amp;VLOOKUP($C$4,'Writing Logic'!$G$8:$H$14,2,FALSE),YES_Writing_ELA[#Headers],0))=0,"",INDEX(_xlfn.VSTACK(YES_Writing_ELA[#Data],YES_Writing_FLA[#Data]),MATCH($A234,_xlfn.VSTACK(YES_Writing_ELA[Student Number],YES_Writing_FLA[Student Number]),0),MATCH(VLOOKUP(G$7,'Writing Logic'!$J$7:$K$11,2,FALSE)&amp;" - Per "&amp;VLOOKUP($C$4,'Writing Logic'!$G$8:$H$14,2,FALSE),YES_Writing_ELA[#Headers],0)))),"")</f>
        <v/>
      </c>
      <c r="H234" s="223" t="str">
        <f>IFERROR(IF(IF(INDEX(_xlfn.VSTACK(YES_Writing_ELA[#Data],YES_Writing_FLA[#Data]),MATCH($A234,_xlfn.VSTACK(YES_Writing_ELA[Student Number],YES_Writing_FLA[Student Number]),0),MATCH(VLOOKUP(H$7,'Writing Logic'!$J$7:$K$11,2,FALSE)&amp;" - Per "&amp;VLOOKUP($C$4,'Writing Logic'!$G$8:$H$14,2,FALSE),YES_Writing_ELA[#Headers],0))=0,"",INDEX(_xlfn.VSTACK(YES_Writing_ELA[#Data],YES_Writing_FLA[#Data]),MATCH($A234,_xlfn.VSTACK(YES_Writing_ELA[Student Number],YES_Writing_FLA[Student Number]),0),MATCH(VLOOKUP(H$7,'Writing Logic'!$J$7:$K$11,2,FALSE)&amp;" - Per "&amp;VLOOKUP($C$4,'Writing Logic'!$G$8:$H$14,2,FALSE),YES_Writing_ELA[#Headers],0)))="INS",'Writing Logic'!$B$7,IF(INDEX(_xlfn.VSTACK(YES_Writing_ELA[#Data],YES_Writing_FLA[#Data]),MATCH($A234,_xlfn.VSTACK(YES_Writing_ELA[Student Number],YES_Writing_FLA[Student Number]),0),MATCH(VLOOKUP(H$7,'Writing Logic'!$J$7:$K$11,2,FALSE)&amp;" - Per "&amp;VLOOKUP($C$4,'Writing Logic'!$G$8:$H$14,2,FALSE),YES_Writing_ELA[#Headers],0))=0,"",INDEX(_xlfn.VSTACK(YES_Writing_ELA[#Data],YES_Writing_FLA[#Data]),MATCH($A234,_xlfn.VSTACK(YES_Writing_ELA[Student Number],YES_Writing_FLA[Student Number]),0),MATCH(VLOOKUP(H$7,'Writing Logic'!$J$7:$K$11,2,FALSE)&amp;" - Per "&amp;VLOOKUP($C$4,'Writing Logic'!$G$8:$H$14,2,FALSE),YES_Writing_ELA[#Headers],0)))),"")</f>
        <v/>
      </c>
      <c r="I234" s="224" t="str" cm="1">
        <f t="array" aca="1" ref="I234" ca="1">IFERROR(
IF($G$3="ELA",
IF(VLOOKUP($A234, YES_Reading_ELA[], COLUMN(INDIRECT("YES_Reading_ELA[Difference - Per "&amp;VLOOKUP($G$4, 'Reading Report Logic'!$A$2:$B$8, 2, FALSE)&amp;"]")), FALSE)="", "",
VLOOKUP($A234,YES_Reading_ELA[], COLUMN(INDIRECT("YES_Reading_ELA[Difference - Per "&amp;VLOOKUP($G$4,'Reading Report Logic'!$A$2:$B$8,2,FALSE)&amp;"]")), FALSE)),
IF($G$3="FLA",
IF(VLOOKUP($A234, YES_Reading_FLA[], COLUMN(INDIRECT("YES_Reading_FLA[Difference - Per "&amp;VLOOKUP($G$4,'Reading Report Logic'!$A$2:$B$8,2,FALSE)&amp;"]")),FALSE)="","",
VLOOKUP($A234,YES_Reading_FLA[],COLUMN(INDIRECT("YES_Reading_FLA[Difference - Per "&amp;VLOOKUP($G$4,'Reading Report Logic'!$A$2:$B$8,2,FALSE)&amp;"]")),FALSE)),
IF($G$3="Combined",
IFERROR(
IF(VLOOKUP($A234, YES_Reading_ELA[], COLUMN(INDIRECT("YES_Reading_ELA[Difference - Per "&amp;VLOOKUP($G$4, 'Reading Report Logic'!$A$2:$B$8,2,FALSE)&amp;"]")), FALSE)="", "",
VLOOKUP($A234,YES_Reading_ELA[],COLUMN(INDIRECT("YES_Reading_ELA[Difference - Per "&amp;VLOOKUP($G$4,'Reading Report Logic'!$A$2:$B$8,2,FALSE)&amp;"]")),FALSE)),
IF(VLOOKUP($A234, YES_Reading_FLA[], COLUMN(INDIRECT("YES_Reading_FLA[Difference - Per "&amp;VLOOKUP($G$4, 'Reading Report Logic'!$A$2:$B$8, 2, FALSE)&amp;"]")),FALSE)="", "", VLOOKUP($A234,YES_Reading_FLA[],COLUMN(INDIRECT("YES_Reading_FLA[Difference - Per "&amp;VLOOKUP($G$4, 'Reading Report Logic'!$A$2:$B$8, 2, FALSE)&amp;"]")),FALSE))),""))),"")</f>
        <v/>
      </c>
    </row>
    <row r="235" spans="1:9" x14ac:dyDescent="0.25">
      <c r="A235" s="137"/>
      <c r="B235" s="137" t="str">
        <f>IFERROR(INDEX(_xlfn.VSTACK(YES_Writing_ELA[#Data], YES_Writing_FLA[#Data]),MATCH($A235,_xlfn.VSTACK(YES_Writing_ELA[Student Number], YES_Writing_FLA[Student Number]),0),MATCH(B$7,YES_Writing_ELA[#Headers],0)),IFERROR(INDEX(_xlfn.VSTACK(YES_Reading_ELA[#Data], YES_Reading_FLA[#Data]),MATCH($A235,_xlfn.VSTACK(YES_Reading_ELA[Student Number], YES_Reading_FLA[Student Number]),0),MATCH(B$7,YES_Reading_ELA[#Headers],0)),""))</f>
        <v/>
      </c>
      <c r="C235" s="137" t="str">
        <f>IFERROR(INDEX(_xlfn.VSTACK(YES_Writing_ELA[#Data], YES_Writing_FLA[#Data]),MATCH($A235,_xlfn.VSTACK(YES_Writing_ELA[Student Number], YES_Writing_FLA[Student Number]),0),MATCH(C$7,YES_Writing_ELA[#Headers],0)),IFERROR(INDEX(_xlfn.VSTACK(YES_Reading_ELA[#Data], YES_Reading_FLA[#Data]),MATCH($A235,_xlfn.VSTACK(YES_Reading_ELA[Student Number], YES_Reading_FLA[Student Number]),0),MATCH(C$7,YES_Reading_ELA[#Headers],0)),""))</f>
        <v/>
      </c>
      <c r="D235" s="138" t="str">
        <f>IFERROR(IF(IF(INDEX(_xlfn.VSTACK(YES_Writing_ELA[#Data],YES_Writing_FLA[#Data]),MATCH($A235,_xlfn.VSTACK(YES_Writing_ELA[Student Number],YES_Writing_FLA[Student Number]),0),MATCH(VLOOKUP(D$7,'Writing Logic'!$J$7:$K$11,2,FALSE)&amp;" - Per "&amp;VLOOKUP($C$4,'Writing Logic'!$G$8:$H$14,2,FALSE),YES_Writing_ELA[#Headers],0))=0,"",INDEX(_xlfn.VSTACK(YES_Writing_ELA[#Data],YES_Writing_FLA[#Data]),MATCH($A235,_xlfn.VSTACK(YES_Writing_ELA[Student Number],YES_Writing_FLA[Student Number]),0),MATCH(VLOOKUP(D$7,'Writing Logic'!$J$7:$K$11,2,FALSE)&amp;" - Per "&amp;VLOOKUP($C$4,'Writing Logic'!$G$8:$H$14,2,FALSE),YES_Writing_ELA[#Headers],0)))="INS",'Writing Logic'!$B$7,IF(INDEX(_xlfn.VSTACK(YES_Writing_ELA[#Data],YES_Writing_FLA[#Data]),MATCH($A235,_xlfn.VSTACK(YES_Writing_ELA[Student Number],YES_Writing_FLA[Student Number]),0),MATCH(VLOOKUP(D$7,'Writing Logic'!$J$7:$K$11,2,FALSE)&amp;" - Per "&amp;VLOOKUP($C$4,'Writing Logic'!$G$8:$H$14,2,FALSE),YES_Writing_ELA[#Headers],0))=0,"",INDEX(_xlfn.VSTACK(YES_Writing_ELA[#Data],YES_Writing_FLA[#Data]),MATCH($A235,_xlfn.VSTACK(YES_Writing_ELA[Student Number],YES_Writing_FLA[Student Number]),0),MATCH(VLOOKUP(D$7,'Writing Logic'!$J$7:$K$11,2,FALSE)&amp;" - Per "&amp;VLOOKUP($C$4,'Writing Logic'!$G$8:$H$14,2,FALSE),YES_Writing_ELA[#Headers],0)))),"")</f>
        <v/>
      </c>
      <c r="E235" s="138" t="str">
        <f>IFERROR(IF(IF(INDEX(_xlfn.VSTACK(YES_Writing_ELA[#Data],YES_Writing_FLA[#Data]),MATCH($A235,_xlfn.VSTACK(YES_Writing_ELA[Student Number],YES_Writing_FLA[Student Number]),0),MATCH(VLOOKUP(E$7,'Writing Logic'!$J$7:$K$11,2,FALSE)&amp;" - Per "&amp;VLOOKUP($C$4,'Writing Logic'!$G$8:$H$14,2,FALSE),YES_Writing_ELA[#Headers],0))=0,"",INDEX(_xlfn.VSTACK(YES_Writing_ELA[#Data],YES_Writing_FLA[#Data]),MATCH($A235,_xlfn.VSTACK(YES_Writing_ELA[Student Number],YES_Writing_FLA[Student Number]),0),MATCH(VLOOKUP(E$7,'Writing Logic'!$J$7:$K$11,2,FALSE)&amp;" - Per "&amp;VLOOKUP($C$4,'Writing Logic'!$G$8:$H$14,2,FALSE),YES_Writing_ELA[#Headers],0)))="INS",'Writing Logic'!$B$7,IF(INDEX(_xlfn.VSTACK(YES_Writing_ELA[#Data],YES_Writing_FLA[#Data]),MATCH($A235,_xlfn.VSTACK(YES_Writing_ELA[Student Number],YES_Writing_FLA[Student Number]),0),MATCH(VLOOKUP(E$7,'Writing Logic'!$J$7:$K$11,2,FALSE)&amp;" - Per "&amp;VLOOKUP($C$4,'Writing Logic'!$G$8:$H$14,2,FALSE),YES_Writing_ELA[#Headers],0))=0,"",INDEX(_xlfn.VSTACK(YES_Writing_ELA[#Data],YES_Writing_FLA[#Data]),MATCH($A235,_xlfn.VSTACK(YES_Writing_ELA[Student Number],YES_Writing_FLA[Student Number]),0),MATCH(VLOOKUP(E$7,'Writing Logic'!$J$7:$K$11,2,FALSE)&amp;" - Per "&amp;VLOOKUP($C$4,'Writing Logic'!$G$8:$H$14,2,FALSE),YES_Writing_ELA[#Headers],0)))),"")</f>
        <v/>
      </c>
      <c r="F235" s="138" t="str">
        <f>IFERROR(IF(IF(INDEX(_xlfn.VSTACK(YES_Writing_ELA[#Data],YES_Writing_FLA[#Data]),MATCH($A235,_xlfn.VSTACK(YES_Writing_ELA[Student Number],YES_Writing_FLA[Student Number]),0),MATCH(VLOOKUP(F$7,'Writing Logic'!$J$7:$K$11,2,FALSE)&amp;" - Per "&amp;VLOOKUP($C$4,'Writing Logic'!$G$8:$H$14,2,FALSE),YES_Writing_ELA[#Headers],0))=0,"",INDEX(_xlfn.VSTACK(YES_Writing_ELA[#Data],YES_Writing_FLA[#Data]),MATCH($A235,_xlfn.VSTACK(YES_Writing_ELA[Student Number],YES_Writing_FLA[Student Number]),0),MATCH(VLOOKUP(F$7,'Writing Logic'!$J$7:$K$11,2,FALSE)&amp;" - Per "&amp;VLOOKUP($C$4,'Writing Logic'!$G$8:$H$14,2,FALSE),YES_Writing_ELA[#Headers],0)))="INS",'Writing Logic'!$B$7,IF(INDEX(_xlfn.VSTACK(YES_Writing_ELA[#Data],YES_Writing_FLA[#Data]),MATCH($A235,_xlfn.VSTACK(YES_Writing_ELA[Student Number],YES_Writing_FLA[Student Number]),0),MATCH(VLOOKUP(F$7,'Writing Logic'!$J$7:$K$11,2,FALSE)&amp;" - Per "&amp;VLOOKUP($C$4,'Writing Logic'!$G$8:$H$14,2,FALSE),YES_Writing_ELA[#Headers],0))=0,"",INDEX(_xlfn.VSTACK(YES_Writing_ELA[#Data],YES_Writing_FLA[#Data]),MATCH($A235,_xlfn.VSTACK(YES_Writing_ELA[Student Number],YES_Writing_FLA[Student Number]),0),MATCH(VLOOKUP(F$7,'Writing Logic'!$J$7:$K$11,2,FALSE)&amp;" - Per "&amp;VLOOKUP($C$4,'Writing Logic'!$G$8:$H$14,2,FALSE),YES_Writing_ELA[#Headers],0)))),"")</f>
        <v/>
      </c>
      <c r="G235" s="138" t="str">
        <f>IFERROR(IF(IF(INDEX(_xlfn.VSTACK(YES_Writing_ELA[#Data],YES_Writing_FLA[#Data]),MATCH($A235,_xlfn.VSTACK(YES_Writing_ELA[Student Number],YES_Writing_FLA[Student Number]),0),MATCH(VLOOKUP(G$7,'Writing Logic'!$J$7:$K$11,2,FALSE)&amp;" - Per "&amp;VLOOKUP($C$4,'Writing Logic'!$G$8:$H$14,2,FALSE),YES_Writing_ELA[#Headers],0))=0,"",INDEX(_xlfn.VSTACK(YES_Writing_ELA[#Data],YES_Writing_FLA[#Data]),MATCH($A235,_xlfn.VSTACK(YES_Writing_ELA[Student Number],YES_Writing_FLA[Student Number]),0),MATCH(VLOOKUP(G$7,'Writing Logic'!$J$7:$K$11,2,FALSE)&amp;" - Per "&amp;VLOOKUP($C$4,'Writing Logic'!$G$8:$H$14,2,FALSE),YES_Writing_ELA[#Headers],0)))="INS",'Writing Logic'!$B$7,IF(INDEX(_xlfn.VSTACK(YES_Writing_ELA[#Data],YES_Writing_FLA[#Data]),MATCH($A235,_xlfn.VSTACK(YES_Writing_ELA[Student Number],YES_Writing_FLA[Student Number]),0),MATCH(VLOOKUP(G$7,'Writing Logic'!$J$7:$K$11,2,FALSE)&amp;" - Per "&amp;VLOOKUP($C$4,'Writing Logic'!$G$8:$H$14,2,FALSE),YES_Writing_ELA[#Headers],0))=0,"",INDEX(_xlfn.VSTACK(YES_Writing_ELA[#Data],YES_Writing_FLA[#Data]),MATCH($A235,_xlfn.VSTACK(YES_Writing_ELA[Student Number],YES_Writing_FLA[Student Number]),0),MATCH(VLOOKUP(G$7,'Writing Logic'!$J$7:$K$11,2,FALSE)&amp;" - Per "&amp;VLOOKUP($C$4,'Writing Logic'!$G$8:$H$14,2,FALSE),YES_Writing_ELA[#Headers],0)))),"")</f>
        <v/>
      </c>
      <c r="H235" s="223" t="str">
        <f>IFERROR(IF(IF(INDEX(_xlfn.VSTACK(YES_Writing_ELA[#Data],YES_Writing_FLA[#Data]),MATCH($A235,_xlfn.VSTACK(YES_Writing_ELA[Student Number],YES_Writing_FLA[Student Number]),0),MATCH(VLOOKUP(H$7,'Writing Logic'!$J$7:$K$11,2,FALSE)&amp;" - Per "&amp;VLOOKUP($C$4,'Writing Logic'!$G$8:$H$14,2,FALSE),YES_Writing_ELA[#Headers],0))=0,"",INDEX(_xlfn.VSTACK(YES_Writing_ELA[#Data],YES_Writing_FLA[#Data]),MATCH($A235,_xlfn.VSTACK(YES_Writing_ELA[Student Number],YES_Writing_FLA[Student Number]),0),MATCH(VLOOKUP(H$7,'Writing Logic'!$J$7:$K$11,2,FALSE)&amp;" - Per "&amp;VLOOKUP($C$4,'Writing Logic'!$G$8:$H$14,2,FALSE),YES_Writing_ELA[#Headers],0)))="INS",'Writing Logic'!$B$7,IF(INDEX(_xlfn.VSTACK(YES_Writing_ELA[#Data],YES_Writing_FLA[#Data]),MATCH($A235,_xlfn.VSTACK(YES_Writing_ELA[Student Number],YES_Writing_FLA[Student Number]),0),MATCH(VLOOKUP(H$7,'Writing Logic'!$J$7:$K$11,2,FALSE)&amp;" - Per "&amp;VLOOKUP($C$4,'Writing Logic'!$G$8:$H$14,2,FALSE),YES_Writing_ELA[#Headers],0))=0,"",INDEX(_xlfn.VSTACK(YES_Writing_ELA[#Data],YES_Writing_FLA[#Data]),MATCH($A235,_xlfn.VSTACK(YES_Writing_ELA[Student Number],YES_Writing_FLA[Student Number]),0),MATCH(VLOOKUP(H$7,'Writing Logic'!$J$7:$K$11,2,FALSE)&amp;" - Per "&amp;VLOOKUP($C$4,'Writing Logic'!$G$8:$H$14,2,FALSE),YES_Writing_ELA[#Headers],0)))),"")</f>
        <v/>
      </c>
      <c r="I235" s="224" t="str" cm="1">
        <f t="array" aca="1" ref="I235" ca="1">IFERROR(
IF($G$3="ELA",
IF(VLOOKUP($A235, YES_Reading_ELA[], COLUMN(INDIRECT("YES_Reading_ELA[Difference - Per "&amp;VLOOKUP($G$4, 'Reading Report Logic'!$A$2:$B$8, 2, FALSE)&amp;"]")), FALSE)="", "",
VLOOKUP($A235,YES_Reading_ELA[], COLUMN(INDIRECT("YES_Reading_ELA[Difference - Per "&amp;VLOOKUP($G$4,'Reading Report Logic'!$A$2:$B$8,2,FALSE)&amp;"]")), FALSE)),
IF($G$3="FLA",
IF(VLOOKUP($A235, YES_Reading_FLA[], COLUMN(INDIRECT("YES_Reading_FLA[Difference - Per "&amp;VLOOKUP($G$4,'Reading Report Logic'!$A$2:$B$8,2,FALSE)&amp;"]")),FALSE)="","",
VLOOKUP($A235,YES_Reading_FLA[],COLUMN(INDIRECT("YES_Reading_FLA[Difference - Per "&amp;VLOOKUP($G$4,'Reading Report Logic'!$A$2:$B$8,2,FALSE)&amp;"]")),FALSE)),
IF($G$3="Combined",
IFERROR(
IF(VLOOKUP($A235, YES_Reading_ELA[], COLUMN(INDIRECT("YES_Reading_ELA[Difference - Per "&amp;VLOOKUP($G$4, 'Reading Report Logic'!$A$2:$B$8,2,FALSE)&amp;"]")), FALSE)="", "",
VLOOKUP($A235,YES_Reading_ELA[],COLUMN(INDIRECT("YES_Reading_ELA[Difference - Per "&amp;VLOOKUP($G$4,'Reading Report Logic'!$A$2:$B$8,2,FALSE)&amp;"]")),FALSE)),
IF(VLOOKUP($A235, YES_Reading_FLA[], COLUMN(INDIRECT("YES_Reading_FLA[Difference - Per "&amp;VLOOKUP($G$4, 'Reading Report Logic'!$A$2:$B$8, 2, FALSE)&amp;"]")),FALSE)="", "", VLOOKUP($A235,YES_Reading_FLA[],COLUMN(INDIRECT("YES_Reading_FLA[Difference - Per "&amp;VLOOKUP($G$4, 'Reading Report Logic'!$A$2:$B$8, 2, FALSE)&amp;"]")),FALSE))),""))),"")</f>
        <v/>
      </c>
    </row>
    <row r="236" spans="1:9" x14ac:dyDescent="0.25">
      <c r="A236" s="137"/>
      <c r="B236" s="137" t="str">
        <f>IFERROR(INDEX(_xlfn.VSTACK(YES_Writing_ELA[#Data], YES_Writing_FLA[#Data]),MATCH($A236,_xlfn.VSTACK(YES_Writing_ELA[Student Number], YES_Writing_FLA[Student Number]),0),MATCH(B$7,YES_Writing_ELA[#Headers],0)),IFERROR(INDEX(_xlfn.VSTACK(YES_Reading_ELA[#Data], YES_Reading_FLA[#Data]),MATCH($A236,_xlfn.VSTACK(YES_Reading_ELA[Student Number], YES_Reading_FLA[Student Number]),0),MATCH(B$7,YES_Reading_ELA[#Headers],0)),""))</f>
        <v/>
      </c>
      <c r="C236" s="137" t="str">
        <f>IFERROR(INDEX(_xlfn.VSTACK(YES_Writing_ELA[#Data], YES_Writing_FLA[#Data]),MATCH($A236,_xlfn.VSTACK(YES_Writing_ELA[Student Number], YES_Writing_FLA[Student Number]),0),MATCH(C$7,YES_Writing_ELA[#Headers],0)),IFERROR(INDEX(_xlfn.VSTACK(YES_Reading_ELA[#Data], YES_Reading_FLA[#Data]),MATCH($A236,_xlfn.VSTACK(YES_Reading_ELA[Student Number], YES_Reading_FLA[Student Number]),0),MATCH(C$7,YES_Reading_ELA[#Headers],0)),""))</f>
        <v/>
      </c>
      <c r="D236" s="138" t="str">
        <f>IFERROR(IF(IF(INDEX(_xlfn.VSTACK(YES_Writing_ELA[#Data],YES_Writing_FLA[#Data]),MATCH($A236,_xlfn.VSTACK(YES_Writing_ELA[Student Number],YES_Writing_FLA[Student Number]),0),MATCH(VLOOKUP(D$7,'Writing Logic'!$J$7:$K$11,2,FALSE)&amp;" - Per "&amp;VLOOKUP($C$4,'Writing Logic'!$G$8:$H$14,2,FALSE),YES_Writing_ELA[#Headers],0))=0,"",INDEX(_xlfn.VSTACK(YES_Writing_ELA[#Data],YES_Writing_FLA[#Data]),MATCH($A236,_xlfn.VSTACK(YES_Writing_ELA[Student Number],YES_Writing_FLA[Student Number]),0),MATCH(VLOOKUP(D$7,'Writing Logic'!$J$7:$K$11,2,FALSE)&amp;" - Per "&amp;VLOOKUP($C$4,'Writing Logic'!$G$8:$H$14,2,FALSE),YES_Writing_ELA[#Headers],0)))="INS",'Writing Logic'!$B$7,IF(INDEX(_xlfn.VSTACK(YES_Writing_ELA[#Data],YES_Writing_FLA[#Data]),MATCH($A236,_xlfn.VSTACK(YES_Writing_ELA[Student Number],YES_Writing_FLA[Student Number]),0),MATCH(VLOOKUP(D$7,'Writing Logic'!$J$7:$K$11,2,FALSE)&amp;" - Per "&amp;VLOOKUP($C$4,'Writing Logic'!$G$8:$H$14,2,FALSE),YES_Writing_ELA[#Headers],0))=0,"",INDEX(_xlfn.VSTACK(YES_Writing_ELA[#Data],YES_Writing_FLA[#Data]),MATCH($A236,_xlfn.VSTACK(YES_Writing_ELA[Student Number],YES_Writing_FLA[Student Number]),0),MATCH(VLOOKUP(D$7,'Writing Logic'!$J$7:$K$11,2,FALSE)&amp;" - Per "&amp;VLOOKUP($C$4,'Writing Logic'!$G$8:$H$14,2,FALSE),YES_Writing_ELA[#Headers],0)))),"")</f>
        <v/>
      </c>
      <c r="E236" s="138" t="str">
        <f>IFERROR(IF(IF(INDEX(_xlfn.VSTACK(YES_Writing_ELA[#Data],YES_Writing_FLA[#Data]),MATCH($A236,_xlfn.VSTACK(YES_Writing_ELA[Student Number],YES_Writing_FLA[Student Number]),0),MATCH(VLOOKUP(E$7,'Writing Logic'!$J$7:$K$11,2,FALSE)&amp;" - Per "&amp;VLOOKUP($C$4,'Writing Logic'!$G$8:$H$14,2,FALSE),YES_Writing_ELA[#Headers],0))=0,"",INDEX(_xlfn.VSTACK(YES_Writing_ELA[#Data],YES_Writing_FLA[#Data]),MATCH($A236,_xlfn.VSTACK(YES_Writing_ELA[Student Number],YES_Writing_FLA[Student Number]),0),MATCH(VLOOKUP(E$7,'Writing Logic'!$J$7:$K$11,2,FALSE)&amp;" - Per "&amp;VLOOKUP($C$4,'Writing Logic'!$G$8:$H$14,2,FALSE),YES_Writing_ELA[#Headers],0)))="INS",'Writing Logic'!$B$7,IF(INDEX(_xlfn.VSTACK(YES_Writing_ELA[#Data],YES_Writing_FLA[#Data]),MATCH($A236,_xlfn.VSTACK(YES_Writing_ELA[Student Number],YES_Writing_FLA[Student Number]),0),MATCH(VLOOKUP(E$7,'Writing Logic'!$J$7:$K$11,2,FALSE)&amp;" - Per "&amp;VLOOKUP($C$4,'Writing Logic'!$G$8:$H$14,2,FALSE),YES_Writing_ELA[#Headers],0))=0,"",INDEX(_xlfn.VSTACK(YES_Writing_ELA[#Data],YES_Writing_FLA[#Data]),MATCH($A236,_xlfn.VSTACK(YES_Writing_ELA[Student Number],YES_Writing_FLA[Student Number]),0),MATCH(VLOOKUP(E$7,'Writing Logic'!$J$7:$K$11,2,FALSE)&amp;" - Per "&amp;VLOOKUP($C$4,'Writing Logic'!$G$8:$H$14,2,FALSE),YES_Writing_ELA[#Headers],0)))),"")</f>
        <v/>
      </c>
      <c r="F236" s="138" t="str">
        <f>IFERROR(IF(IF(INDEX(_xlfn.VSTACK(YES_Writing_ELA[#Data],YES_Writing_FLA[#Data]),MATCH($A236,_xlfn.VSTACK(YES_Writing_ELA[Student Number],YES_Writing_FLA[Student Number]),0),MATCH(VLOOKUP(F$7,'Writing Logic'!$J$7:$K$11,2,FALSE)&amp;" - Per "&amp;VLOOKUP($C$4,'Writing Logic'!$G$8:$H$14,2,FALSE),YES_Writing_ELA[#Headers],0))=0,"",INDEX(_xlfn.VSTACK(YES_Writing_ELA[#Data],YES_Writing_FLA[#Data]),MATCH($A236,_xlfn.VSTACK(YES_Writing_ELA[Student Number],YES_Writing_FLA[Student Number]),0),MATCH(VLOOKUP(F$7,'Writing Logic'!$J$7:$K$11,2,FALSE)&amp;" - Per "&amp;VLOOKUP($C$4,'Writing Logic'!$G$8:$H$14,2,FALSE),YES_Writing_ELA[#Headers],0)))="INS",'Writing Logic'!$B$7,IF(INDEX(_xlfn.VSTACK(YES_Writing_ELA[#Data],YES_Writing_FLA[#Data]),MATCH($A236,_xlfn.VSTACK(YES_Writing_ELA[Student Number],YES_Writing_FLA[Student Number]),0),MATCH(VLOOKUP(F$7,'Writing Logic'!$J$7:$K$11,2,FALSE)&amp;" - Per "&amp;VLOOKUP($C$4,'Writing Logic'!$G$8:$H$14,2,FALSE),YES_Writing_ELA[#Headers],0))=0,"",INDEX(_xlfn.VSTACK(YES_Writing_ELA[#Data],YES_Writing_FLA[#Data]),MATCH($A236,_xlfn.VSTACK(YES_Writing_ELA[Student Number],YES_Writing_FLA[Student Number]),0),MATCH(VLOOKUP(F$7,'Writing Logic'!$J$7:$K$11,2,FALSE)&amp;" - Per "&amp;VLOOKUP($C$4,'Writing Logic'!$G$8:$H$14,2,FALSE),YES_Writing_ELA[#Headers],0)))),"")</f>
        <v/>
      </c>
      <c r="G236" s="138" t="str">
        <f>IFERROR(IF(IF(INDEX(_xlfn.VSTACK(YES_Writing_ELA[#Data],YES_Writing_FLA[#Data]),MATCH($A236,_xlfn.VSTACK(YES_Writing_ELA[Student Number],YES_Writing_FLA[Student Number]),0),MATCH(VLOOKUP(G$7,'Writing Logic'!$J$7:$K$11,2,FALSE)&amp;" - Per "&amp;VLOOKUP($C$4,'Writing Logic'!$G$8:$H$14,2,FALSE),YES_Writing_ELA[#Headers],0))=0,"",INDEX(_xlfn.VSTACK(YES_Writing_ELA[#Data],YES_Writing_FLA[#Data]),MATCH($A236,_xlfn.VSTACK(YES_Writing_ELA[Student Number],YES_Writing_FLA[Student Number]),0),MATCH(VLOOKUP(G$7,'Writing Logic'!$J$7:$K$11,2,FALSE)&amp;" - Per "&amp;VLOOKUP($C$4,'Writing Logic'!$G$8:$H$14,2,FALSE),YES_Writing_ELA[#Headers],0)))="INS",'Writing Logic'!$B$7,IF(INDEX(_xlfn.VSTACK(YES_Writing_ELA[#Data],YES_Writing_FLA[#Data]),MATCH($A236,_xlfn.VSTACK(YES_Writing_ELA[Student Number],YES_Writing_FLA[Student Number]),0),MATCH(VLOOKUP(G$7,'Writing Logic'!$J$7:$K$11,2,FALSE)&amp;" - Per "&amp;VLOOKUP($C$4,'Writing Logic'!$G$8:$H$14,2,FALSE),YES_Writing_ELA[#Headers],0))=0,"",INDEX(_xlfn.VSTACK(YES_Writing_ELA[#Data],YES_Writing_FLA[#Data]),MATCH($A236,_xlfn.VSTACK(YES_Writing_ELA[Student Number],YES_Writing_FLA[Student Number]),0),MATCH(VLOOKUP(G$7,'Writing Logic'!$J$7:$K$11,2,FALSE)&amp;" - Per "&amp;VLOOKUP($C$4,'Writing Logic'!$G$8:$H$14,2,FALSE),YES_Writing_ELA[#Headers],0)))),"")</f>
        <v/>
      </c>
      <c r="H236" s="223" t="str">
        <f>IFERROR(IF(IF(INDEX(_xlfn.VSTACK(YES_Writing_ELA[#Data],YES_Writing_FLA[#Data]),MATCH($A236,_xlfn.VSTACK(YES_Writing_ELA[Student Number],YES_Writing_FLA[Student Number]),0),MATCH(VLOOKUP(H$7,'Writing Logic'!$J$7:$K$11,2,FALSE)&amp;" - Per "&amp;VLOOKUP($C$4,'Writing Logic'!$G$8:$H$14,2,FALSE),YES_Writing_ELA[#Headers],0))=0,"",INDEX(_xlfn.VSTACK(YES_Writing_ELA[#Data],YES_Writing_FLA[#Data]),MATCH($A236,_xlfn.VSTACK(YES_Writing_ELA[Student Number],YES_Writing_FLA[Student Number]),0),MATCH(VLOOKUP(H$7,'Writing Logic'!$J$7:$K$11,2,FALSE)&amp;" - Per "&amp;VLOOKUP($C$4,'Writing Logic'!$G$8:$H$14,2,FALSE),YES_Writing_ELA[#Headers],0)))="INS",'Writing Logic'!$B$7,IF(INDEX(_xlfn.VSTACK(YES_Writing_ELA[#Data],YES_Writing_FLA[#Data]),MATCH($A236,_xlfn.VSTACK(YES_Writing_ELA[Student Number],YES_Writing_FLA[Student Number]),0),MATCH(VLOOKUP(H$7,'Writing Logic'!$J$7:$K$11,2,FALSE)&amp;" - Per "&amp;VLOOKUP($C$4,'Writing Logic'!$G$8:$H$14,2,FALSE),YES_Writing_ELA[#Headers],0))=0,"",INDEX(_xlfn.VSTACK(YES_Writing_ELA[#Data],YES_Writing_FLA[#Data]),MATCH($A236,_xlfn.VSTACK(YES_Writing_ELA[Student Number],YES_Writing_FLA[Student Number]),0),MATCH(VLOOKUP(H$7,'Writing Logic'!$J$7:$K$11,2,FALSE)&amp;" - Per "&amp;VLOOKUP($C$4,'Writing Logic'!$G$8:$H$14,2,FALSE),YES_Writing_ELA[#Headers],0)))),"")</f>
        <v/>
      </c>
      <c r="I236" s="224" t="str" cm="1">
        <f t="array" aca="1" ref="I236" ca="1">IFERROR(
IF($G$3="ELA",
IF(VLOOKUP($A236, YES_Reading_ELA[], COLUMN(INDIRECT("YES_Reading_ELA[Difference - Per "&amp;VLOOKUP($G$4, 'Reading Report Logic'!$A$2:$B$8, 2, FALSE)&amp;"]")), FALSE)="", "",
VLOOKUP($A236,YES_Reading_ELA[], COLUMN(INDIRECT("YES_Reading_ELA[Difference - Per "&amp;VLOOKUP($G$4,'Reading Report Logic'!$A$2:$B$8,2,FALSE)&amp;"]")), FALSE)),
IF($G$3="FLA",
IF(VLOOKUP($A236, YES_Reading_FLA[], COLUMN(INDIRECT("YES_Reading_FLA[Difference - Per "&amp;VLOOKUP($G$4,'Reading Report Logic'!$A$2:$B$8,2,FALSE)&amp;"]")),FALSE)="","",
VLOOKUP($A236,YES_Reading_FLA[],COLUMN(INDIRECT("YES_Reading_FLA[Difference - Per "&amp;VLOOKUP($G$4,'Reading Report Logic'!$A$2:$B$8,2,FALSE)&amp;"]")),FALSE)),
IF($G$3="Combined",
IFERROR(
IF(VLOOKUP($A236, YES_Reading_ELA[], COLUMN(INDIRECT("YES_Reading_ELA[Difference - Per "&amp;VLOOKUP($G$4, 'Reading Report Logic'!$A$2:$B$8,2,FALSE)&amp;"]")), FALSE)="", "",
VLOOKUP($A236,YES_Reading_ELA[],COLUMN(INDIRECT("YES_Reading_ELA[Difference - Per "&amp;VLOOKUP($G$4,'Reading Report Logic'!$A$2:$B$8,2,FALSE)&amp;"]")),FALSE)),
IF(VLOOKUP($A236, YES_Reading_FLA[], COLUMN(INDIRECT("YES_Reading_FLA[Difference - Per "&amp;VLOOKUP($G$4, 'Reading Report Logic'!$A$2:$B$8, 2, FALSE)&amp;"]")),FALSE)="", "", VLOOKUP($A236,YES_Reading_FLA[],COLUMN(INDIRECT("YES_Reading_FLA[Difference - Per "&amp;VLOOKUP($G$4, 'Reading Report Logic'!$A$2:$B$8, 2, FALSE)&amp;"]")),FALSE))),""))),"")</f>
        <v/>
      </c>
    </row>
    <row r="237" spans="1:9" x14ac:dyDescent="0.25">
      <c r="A237" s="137"/>
      <c r="B237" s="137" t="str">
        <f>IFERROR(INDEX(_xlfn.VSTACK(YES_Writing_ELA[#Data], YES_Writing_FLA[#Data]),MATCH($A237,_xlfn.VSTACK(YES_Writing_ELA[Student Number], YES_Writing_FLA[Student Number]),0),MATCH(B$7,YES_Writing_ELA[#Headers],0)),IFERROR(INDEX(_xlfn.VSTACK(YES_Reading_ELA[#Data], YES_Reading_FLA[#Data]),MATCH($A237,_xlfn.VSTACK(YES_Reading_ELA[Student Number], YES_Reading_FLA[Student Number]),0),MATCH(B$7,YES_Reading_ELA[#Headers],0)),""))</f>
        <v/>
      </c>
      <c r="C237" s="137" t="str">
        <f>IFERROR(INDEX(_xlfn.VSTACK(YES_Writing_ELA[#Data], YES_Writing_FLA[#Data]),MATCH($A237,_xlfn.VSTACK(YES_Writing_ELA[Student Number], YES_Writing_FLA[Student Number]),0),MATCH(C$7,YES_Writing_ELA[#Headers],0)),IFERROR(INDEX(_xlfn.VSTACK(YES_Reading_ELA[#Data], YES_Reading_FLA[#Data]),MATCH($A237,_xlfn.VSTACK(YES_Reading_ELA[Student Number], YES_Reading_FLA[Student Number]),0),MATCH(C$7,YES_Reading_ELA[#Headers],0)),""))</f>
        <v/>
      </c>
      <c r="D237" s="138" t="str">
        <f>IFERROR(IF(IF(INDEX(_xlfn.VSTACK(YES_Writing_ELA[#Data],YES_Writing_FLA[#Data]),MATCH($A237,_xlfn.VSTACK(YES_Writing_ELA[Student Number],YES_Writing_FLA[Student Number]),0),MATCH(VLOOKUP(D$7,'Writing Logic'!$J$7:$K$11,2,FALSE)&amp;" - Per "&amp;VLOOKUP($C$4,'Writing Logic'!$G$8:$H$14,2,FALSE),YES_Writing_ELA[#Headers],0))=0,"",INDEX(_xlfn.VSTACK(YES_Writing_ELA[#Data],YES_Writing_FLA[#Data]),MATCH($A237,_xlfn.VSTACK(YES_Writing_ELA[Student Number],YES_Writing_FLA[Student Number]),0),MATCH(VLOOKUP(D$7,'Writing Logic'!$J$7:$K$11,2,FALSE)&amp;" - Per "&amp;VLOOKUP($C$4,'Writing Logic'!$G$8:$H$14,2,FALSE),YES_Writing_ELA[#Headers],0)))="INS",'Writing Logic'!$B$7,IF(INDEX(_xlfn.VSTACK(YES_Writing_ELA[#Data],YES_Writing_FLA[#Data]),MATCH($A237,_xlfn.VSTACK(YES_Writing_ELA[Student Number],YES_Writing_FLA[Student Number]),0),MATCH(VLOOKUP(D$7,'Writing Logic'!$J$7:$K$11,2,FALSE)&amp;" - Per "&amp;VLOOKUP($C$4,'Writing Logic'!$G$8:$H$14,2,FALSE),YES_Writing_ELA[#Headers],0))=0,"",INDEX(_xlfn.VSTACK(YES_Writing_ELA[#Data],YES_Writing_FLA[#Data]),MATCH($A237,_xlfn.VSTACK(YES_Writing_ELA[Student Number],YES_Writing_FLA[Student Number]),0),MATCH(VLOOKUP(D$7,'Writing Logic'!$J$7:$K$11,2,FALSE)&amp;" - Per "&amp;VLOOKUP($C$4,'Writing Logic'!$G$8:$H$14,2,FALSE),YES_Writing_ELA[#Headers],0)))),"")</f>
        <v/>
      </c>
      <c r="E237" s="138" t="str">
        <f>IFERROR(IF(IF(INDEX(_xlfn.VSTACK(YES_Writing_ELA[#Data],YES_Writing_FLA[#Data]),MATCH($A237,_xlfn.VSTACK(YES_Writing_ELA[Student Number],YES_Writing_FLA[Student Number]),0),MATCH(VLOOKUP(E$7,'Writing Logic'!$J$7:$K$11,2,FALSE)&amp;" - Per "&amp;VLOOKUP($C$4,'Writing Logic'!$G$8:$H$14,2,FALSE),YES_Writing_ELA[#Headers],0))=0,"",INDEX(_xlfn.VSTACK(YES_Writing_ELA[#Data],YES_Writing_FLA[#Data]),MATCH($A237,_xlfn.VSTACK(YES_Writing_ELA[Student Number],YES_Writing_FLA[Student Number]),0),MATCH(VLOOKUP(E$7,'Writing Logic'!$J$7:$K$11,2,FALSE)&amp;" - Per "&amp;VLOOKUP($C$4,'Writing Logic'!$G$8:$H$14,2,FALSE),YES_Writing_ELA[#Headers],0)))="INS",'Writing Logic'!$B$7,IF(INDEX(_xlfn.VSTACK(YES_Writing_ELA[#Data],YES_Writing_FLA[#Data]),MATCH($A237,_xlfn.VSTACK(YES_Writing_ELA[Student Number],YES_Writing_FLA[Student Number]),0),MATCH(VLOOKUP(E$7,'Writing Logic'!$J$7:$K$11,2,FALSE)&amp;" - Per "&amp;VLOOKUP($C$4,'Writing Logic'!$G$8:$H$14,2,FALSE),YES_Writing_ELA[#Headers],0))=0,"",INDEX(_xlfn.VSTACK(YES_Writing_ELA[#Data],YES_Writing_FLA[#Data]),MATCH($A237,_xlfn.VSTACK(YES_Writing_ELA[Student Number],YES_Writing_FLA[Student Number]),0),MATCH(VLOOKUP(E$7,'Writing Logic'!$J$7:$K$11,2,FALSE)&amp;" - Per "&amp;VLOOKUP($C$4,'Writing Logic'!$G$8:$H$14,2,FALSE),YES_Writing_ELA[#Headers],0)))),"")</f>
        <v/>
      </c>
      <c r="F237" s="138" t="str">
        <f>IFERROR(IF(IF(INDEX(_xlfn.VSTACK(YES_Writing_ELA[#Data],YES_Writing_FLA[#Data]),MATCH($A237,_xlfn.VSTACK(YES_Writing_ELA[Student Number],YES_Writing_FLA[Student Number]),0),MATCH(VLOOKUP(F$7,'Writing Logic'!$J$7:$K$11,2,FALSE)&amp;" - Per "&amp;VLOOKUP($C$4,'Writing Logic'!$G$8:$H$14,2,FALSE),YES_Writing_ELA[#Headers],0))=0,"",INDEX(_xlfn.VSTACK(YES_Writing_ELA[#Data],YES_Writing_FLA[#Data]),MATCH($A237,_xlfn.VSTACK(YES_Writing_ELA[Student Number],YES_Writing_FLA[Student Number]),0),MATCH(VLOOKUP(F$7,'Writing Logic'!$J$7:$K$11,2,FALSE)&amp;" - Per "&amp;VLOOKUP($C$4,'Writing Logic'!$G$8:$H$14,2,FALSE),YES_Writing_ELA[#Headers],0)))="INS",'Writing Logic'!$B$7,IF(INDEX(_xlfn.VSTACK(YES_Writing_ELA[#Data],YES_Writing_FLA[#Data]),MATCH($A237,_xlfn.VSTACK(YES_Writing_ELA[Student Number],YES_Writing_FLA[Student Number]),0),MATCH(VLOOKUP(F$7,'Writing Logic'!$J$7:$K$11,2,FALSE)&amp;" - Per "&amp;VLOOKUP($C$4,'Writing Logic'!$G$8:$H$14,2,FALSE),YES_Writing_ELA[#Headers],0))=0,"",INDEX(_xlfn.VSTACK(YES_Writing_ELA[#Data],YES_Writing_FLA[#Data]),MATCH($A237,_xlfn.VSTACK(YES_Writing_ELA[Student Number],YES_Writing_FLA[Student Number]),0),MATCH(VLOOKUP(F$7,'Writing Logic'!$J$7:$K$11,2,FALSE)&amp;" - Per "&amp;VLOOKUP($C$4,'Writing Logic'!$G$8:$H$14,2,FALSE),YES_Writing_ELA[#Headers],0)))),"")</f>
        <v/>
      </c>
      <c r="G237" s="138" t="str">
        <f>IFERROR(IF(IF(INDEX(_xlfn.VSTACK(YES_Writing_ELA[#Data],YES_Writing_FLA[#Data]),MATCH($A237,_xlfn.VSTACK(YES_Writing_ELA[Student Number],YES_Writing_FLA[Student Number]),0),MATCH(VLOOKUP(G$7,'Writing Logic'!$J$7:$K$11,2,FALSE)&amp;" - Per "&amp;VLOOKUP($C$4,'Writing Logic'!$G$8:$H$14,2,FALSE),YES_Writing_ELA[#Headers],0))=0,"",INDEX(_xlfn.VSTACK(YES_Writing_ELA[#Data],YES_Writing_FLA[#Data]),MATCH($A237,_xlfn.VSTACK(YES_Writing_ELA[Student Number],YES_Writing_FLA[Student Number]),0),MATCH(VLOOKUP(G$7,'Writing Logic'!$J$7:$K$11,2,FALSE)&amp;" - Per "&amp;VLOOKUP($C$4,'Writing Logic'!$G$8:$H$14,2,FALSE),YES_Writing_ELA[#Headers],0)))="INS",'Writing Logic'!$B$7,IF(INDEX(_xlfn.VSTACK(YES_Writing_ELA[#Data],YES_Writing_FLA[#Data]),MATCH($A237,_xlfn.VSTACK(YES_Writing_ELA[Student Number],YES_Writing_FLA[Student Number]),0),MATCH(VLOOKUP(G$7,'Writing Logic'!$J$7:$K$11,2,FALSE)&amp;" - Per "&amp;VLOOKUP($C$4,'Writing Logic'!$G$8:$H$14,2,FALSE),YES_Writing_ELA[#Headers],0))=0,"",INDEX(_xlfn.VSTACK(YES_Writing_ELA[#Data],YES_Writing_FLA[#Data]),MATCH($A237,_xlfn.VSTACK(YES_Writing_ELA[Student Number],YES_Writing_FLA[Student Number]),0),MATCH(VLOOKUP(G$7,'Writing Logic'!$J$7:$K$11,2,FALSE)&amp;" - Per "&amp;VLOOKUP($C$4,'Writing Logic'!$G$8:$H$14,2,FALSE),YES_Writing_ELA[#Headers],0)))),"")</f>
        <v/>
      </c>
      <c r="H237" s="223" t="str">
        <f>IFERROR(IF(IF(INDEX(_xlfn.VSTACK(YES_Writing_ELA[#Data],YES_Writing_FLA[#Data]),MATCH($A237,_xlfn.VSTACK(YES_Writing_ELA[Student Number],YES_Writing_FLA[Student Number]),0),MATCH(VLOOKUP(H$7,'Writing Logic'!$J$7:$K$11,2,FALSE)&amp;" - Per "&amp;VLOOKUP($C$4,'Writing Logic'!$G$8:$H$14,2,FALSE),YES_Writing_ELA[#Headers],0))=0,"",INDEX(_xlfn.VSTACK(YES_Writing_ELA[#Data],YES_Writing_FLA[#Data]),MATCH($A237,_xlfn.VSTACK(YES_Writing_ELA[Student Number],YES_Writing_FLA[Student Number]),0),MATCH(VLOOKUP(H$7,'Writing Logic'!$J$7:$K$11,2,FALSE)&amp;" - Per "&amp;VLOOKUP($C$4,'Writing Logic'!$G$8:$H$14,2,FALSE),YES_Writing_ELA[#Headers],0)))="INS",'Writing Logic'!$B$7,IF(INDEX(_xlfn.VSTACK(YES_Writing_ELA[#Data],YES_Writing_FLA[#Data]),MATCH($A237,_xlfn.VSTACK(YES_Writing_ELA[Student Number],YES_Writing_FLA[Student Number]),0),MATCH(VLOOKUP(H$7,'Writing Logic'!$J$7:$K$11,2,FALSE)&amp;" - Per "&amp;VLOOKUP($C$4,'Writing Logic'!$G$8:$H$14,2,FALSE),YES_Writing_ELA[#Headers],0))=0,"",INDEX(_xlfn.VSTACK(YES_Writing_ELA[#Data],YES_Writing_FLA[#Data]),MATCH($A237,_xlfn.VSTACK(YES_Writing_ELA[Student Number],YES_Writing_FLA[Student Number]),0),MATCH(VLOOKUP(H$7,'Writing Logic'!$J$7:$K$11,2,FALSE)&amp;" - Per "&amp;VLOOKUP($C$4,'Writing Logic'!$G$8:$H$14,2,FALSE),YES_Writing_ELA[#Headers],0)))),"")</f>
        <v/>
      </c>
      <c r="I237" s="224" t="str" cm="1">
        <f t="array" aca="1" ref="I237" ca="1">IFERROR(
IF($G$3="ELA",
IF(VLOOKUP($A237, YES_Reading_ELA[], COLUMN(INDIRECT("YES_Reading_ELA[Difference - Per "&amp;VLOOKUP($G$4, 'Reading Report Logic'!$A$2:$B$8, 2, FALSE)&amp;"]")), FALSE)="", "",
VLOOKUP($A237,YES_Reading_ELA[], COLUMN(INDIRECT("YES_Reading_ELA[Difference - Per "&amp;VLOOKUP($G$4,'Reading Report Logic'!$A$2:$B$8,2,FALSE)&amp;"]")), FALSE)),
IF($G$3="FLA",
IF(VLOOKUP($A237, YES_Reading_FLA[], COLUMN(INDIRECT("YES_Reading_FLA[Difference - Per "&amp;VLOOKUP($G$4,'Reading Report Logic'!$A$2:$B$8,2,FALSE)&amp;"]")),FALSE)="","",
VLOOKUP($A237,YES_Reading_FLA[],COLUMN(INDIRECT("YES_Reading_FLA[Difference - Per "&amp;VLOOKUP($G$4,'Reading Report Logic'!$A$2:$B$8,2,FALSE)&amp;"]")),FALSE)),
IF($G$3="Combined",
IFERROR(
IF(VLOOKUP($A237, YES_Reading_ELA[], COLUMN(INDIRECT("YES_Reading_ELA[Difference - Per "&amp;VLOOKUP($G$4, 'Reading Report Logic'!$A$2:$B$8,2,FALSE)&amp;"]")), FALSE)="", "",
VLOOKUP($A237,YES_Reading_ELA[],COLUMN(INDIRECT("YES_Reading_ELA[Difference - Per "&amp;VLOOKUP($G$4,'Reading Report Logic'!$A$2:$B$8,2,FALSE)&amp;"]")),FALSE)),
IF(VLOOKUP($A237, YES_Reading_FLA[], COLUMN(INDIRECT("YES_Reading_FLA[Difference - Per "&amp;VLOOKUP($G$4, 'Reading Report Logic'!$A$2:$B$8, 2, FALSE)&amp;"]")),FALSE)="", "", VLOOKUP($A237,YES_Reading_FLA[],COLUMN(INDIRECT("YES_Reading_FLA[Difference - Per "&amp;VLOOKUP($G$4, 'Reading Report Logic'!$A$2:$B$8, 2, FALSE)&amp;"]")),FALSE))),""))),"")</f>
        <v/>
      </c>
    </row>
    <row r="238" spans="1:9" x14ac:dyDescent="0.25">
      <c r="A238" s="137"/>
      <c r="B238" s="137" t="str">
        <f>IFERROR(INDEX(_xlfn.VSTACK(YES_Writing_ELA[#Data], YES_Writing_FLA[#Data]),MATCH($A238,_xlfn.VSTACK(YES_Writing_ELA[Student Number], YES_Writing_FLA[Student Number]),0),MATCH(B$7,YES_Writing_ELA[#Headers],0)),IFERROR(INDEX(_xlfn.VSTACK(YES_Reading_ELA[#Data], YES_Reading_FLA[#Data]),MATCH($A238,_xlfn.VSTACK(YES_Reading_ELA[Student Number], YES_Reading_FLA[Student Number]),0),MATCH(B$7,YES_Reading_ELA[#Headers],0)),""))</f>
        <v/>
      </c>
      <c r="C238" s="137" t="str">
        <f>IFERROR(INDEX(_xlfn.VSTACK(YES_Writing_ELA[#Data], YES_Writing_FLA[#Data]),MATCH($A238,_xlfn.VSTACK(YES_Writing_ELA[Student Number], YES_Writing_FLA[Student Number]),0),MATCH(C$7,YES_Writing_ELA[#Headers],0)),IFERROR(INDEX(_xlfn.VSTACK(YES_Reading_ELA[#Data], YES_Reading_FLA[#Data]),MATCH($A238,_xlfn.VSTACK(YES_Reading_ELA[Student Number], YES_Reading_FLA[Student Number]),0),MATCH(C$7,YES_Reading_ELA[#Headers],0)),""))</f>
        <v/>
      </c>
      <c r="D238" s="138" t="str">
        <f>IFERROR(IF(IF(INDEX(_xlfn.VSTACK(YES_Writing_ELA[#Data],YES_Writing_FLA[#Data]),MATCH($A238,_xlfn.VSTACK(YES_Writing_ELA[Student Number],YES_Writing_FLA[Student Number]),0),MATCH(VLOOKUP(D$7,'Writing Logic'!$J$7:$K$11,2,FALSE)&amp;" - Per "&amp;VLOOKUP($C$4,'Writing Logic'!$G$8:$H$14,2,FALSE),YES_Writing_ELA[#Headers],0))=0,"",INDEX(_xlfn.VSTACK(YES_Writing_ELA[#Data],YES_Writing_FLA[#Data]),MATCH($A238,_xlfn.VSTACK(YES_Writing_ELA[Student Number],YES_Writing_FLA[Student Number]),0),MATCH(VLOOKUP(D$7,'Writing Logic'!$J$7:$K$11,2,FALSE)&amp;" - Per "&amp;VLOOKUP($C$4,'Writing Logic'!$G$8:$H$14,2,FALSE),YES_Writing_ELA[#Headers],0)))="INS",'Writing Logic'!$B$7,IF(INDEX(_xlfn.VSTACK(YES_Writing_ELA[#Data],YES_Writing_FLA[#Data]),MATCH($A238,_xlfn.VSTACK(YES_Writing_ELA[Student Number],YES_Writing_FLA[Student Number]),0),MATCH(VLOOKUP(D$7,'Writing Logic'!$J$7:$K$11,2,FALSE)&amp;" - Per "&amp;VLOOKUP($C$4,'Writing Logic'!$G$8:$H$14,2,FALSE),YES_Writing_ELA[#Headers],0))=0,"",INDEX(_xlfn.VSTACK(YES_Writing_ELA[#Data],YES_Writing_FLA[#Data]),MATCH($A238,_xlfn.VSTACK(YES_Writing_ELA[Student Number],YES_Writing_FLA[Student Number]),0),MATCH(VLOOKUP(D$7,'Writing Logic'!$J$7:$K$11,2,FALSE)&amp;" - Per "&amp;VLOOKUP($C$4,'Writing Logic'!$G$8:$H$14,2,FALSE),YES_Writing_ELA[#Headers],0)))),"")</f>
        <v/>
      </c>
      <c r="E238" s="138" t="str">
        <f>IFERROR(IF(IF(INDEX(_xlfn.VSTACK(YES_Writing_ELA[#Data],YES_Writing_FLA[#Data]),MATCH($A238,_xlfn.VSTACK(YES_Writing_ELA[Student Number],YES_Writing_FLA[Student Number]),0),MATCH(VLOOKUP(E$7,'Writing Logic'!$J$7:$K$11,2,FALSE)&amp;" - Per "&amp;VLOOKUP($C$4,'Writing Logic'!$G$8:$H$14,2,FALSE),YES_Writing_ELA[#Headers],0))=0,"",INDEX(_xlfn.VSTACK(YES_Writing_ELA[#Data],YES_Writing_FLA[#Data]),MATCH($A238,_xlfn.VSTACK(YES_Writing_ELA[Student Number],YES_Writing_FLA[Student Number]),0),MATCH(VLOOKUP(E$7,'Writing Logic'!$J$7:$K$11,2,FALSE)&amp;" - Per "&amp;VLOOKUP($C$4,'Writing Logic'!$G$8:$H$14,2,FALSE),YES_Writing_ELA[#Headers],0)))="INS",'Writing Logic'!$B$7,IF(INDEX(_xlfn.VSTACK(YES_Writing_ELA[#Data],YES_Writing_FLA[#Data]),MATCH($A238,_xlfn.VSTACK(YES_Writing_ELA[Student Number],YES_Writing_FLA[Student Number]),0),MATCH(VLOOKUP(E$7,'Writing Logic'!$J$7:$K$11,2,FALSE)&amp;" - Per "&amp;VLOOKUP($C$4,'Writing Logic'!$G$8:$H$14,2,FALSE),YES_Writing_ELA[#Headers],0))=0,"",INDEX(_xlfn.VSTACK(YES_Writing_ELA[#Data],YES_Writing_FLA[#Data]),MATCH($A238,_xlfn.VSTACK(YES_Writing_ELA[Student Number],YES_Writing_FLA[Student Number]),0),MATCH(VLOOKUP(E$7,'Writing Logic'!$J$7:$K$11,2,FALSE)&amp;" - Per "&amp;VLOOKUP($C$4,'Writing Logic'!$G$8:$H$14,2,FALSE),YES_Writing_ELA[#Headers],0)))),"")</f>
        <v/>
      </c>
      <c r="F238" s="138" t="str">
        <f>IFERROR(IF(IF(INDEX(_xlfn.VSTACK(YES_Writing_ELA[#Data],YES_Writing_FLA[#Data]),MATCH($A238,_xlfn.VSTACK(YES_Writing_ELA[Student Number],YES_Writing_FLA[Student Number]),0),MATCH(VLOOKUP(F$7,'Writing Logic'!$J$7:$K$11,2,FALSE)&amp;" - Per "&amp;VLOOKUP($C$4,'Writing Logic'!$G$8:$H$14,2,FALSE),YES_Writing_ELA[#Headers],0))=0,"",INDEX(_xlfn.VSTACK(YES_Writing_ELA[#Data],YES_Writing_FLA[#Data]),MATCH($A238,_xlfn.VSTACK(YES_Writing_ELA[Student Number],YES_Writing_FLA[Student Number]),0),MATCH(VLOOKUP(F$7,'Writing Logic'!$J$7:$K$11,2,FALSE)&amp;" - Per "&amp;VLOOKUP($C$4,'Writing Logic'!$G$8:$H$14,2,FALSE),YES_Writing_ELA[#Headers],0)))="INS",'Writing Logic'!$B$7,IF(INDEX(_xlfn.VSTACK(YES_Writing_ELA[#Data],YES_Writing_FLA[#Data]),MATCH($A238,_xlfn.VSTACK(YES_Writing_ELA[Student Number],YES_Writing_FLA[Student Number]),0),MATCH(VLOOKUP(F$7,'Writing Logic'!$J$7:$K$11,2,FALSE)&amp;" - Per "&amp;VLOOKUP($C$4,'Writing Logic'!$G$8:$H$14,2,FALSE),YES_Writing_ELA[#Headers],0))=0,"",INDEX(_xlfn.VSTACK(YES_Writing_ELA[#Data],YES_Writing_FLA[#Data]),MATCH($A238,_xlfn.VSTACK(YES_Writing_ELA[Student Number],YES_Writing_FLA[Student Number]),0),MATCH(VLOOKUP(F$7,'Writing Logic'!$J$7:$K$11,2,FALSE)&amp;" - Per "&amp;VLOOKUP($C$4,'Writing Logic'!$G$8:$H$14,2,FALSE),YES_Writing_ELA[#Headers],0)))),"")</f>
        <v/>
      </c>
      <c r="G238" s="138" t="str">
        <f>IFERROR(IF(IF(INDEX(_xlfn.VSTACK(YES_Writing_ELA[#Data],YES_Writing_FLA[#Data]),MATCH($A238,_xlfn.VSTACK(YES_Writing_ELA[Student Number],YES_Writing_FLA[Student Number]),0),MATCH(VLOOKUP(G$7,'Writing Logic'!$J$7:$K$11,2,FALSE)&amp;" - Per "&amp;VLOOKUP($C$4,'Writing Logic'!$G$8:$H$14,2,FALSE),YES_Writing_ELA[#Headers],0))=0,"",INDEX(_xlfn.VSTACK(YES_Writing_ELA[#Data],YES_Writing_FLA[#Data]),MATCH($A238,_xlfn.VSTACK(YES_Writing_ELA[Student Number],YES_Writing_FLA[Student Number]),0),MATCH(VLOOKUP(G$7,'Writing Logic'!$J$7:$K$11,2,FALSE)&amp;" - Per "&amp;VLOOKUP($C$4,'Writing Logic'!$G$8:$H$14,2,FALSE),YES_Writing_ELA[#Headers],0)))="INS",'Writing Logic'!$B$7,IF(INDEX(_xlfn.VSTACK(YES_Writing_ELA[#Data],YES_Writing_FLA[#Data]),MATCH($A238,_xlfn.VSTACK(YES_Writing_ELA[Student Number],YES_Writing_FLA[Student Number]),0),MATCH(VLOOKUP(G$7,'Writing Logic'!$J$7:$K$11,2,FALSE)&amp;" - Per "&amp;VLOOKUP($C$4,'Writing Logic'!$G$8:$H$14,2,FALSE),YES_Writing_ELA[#Headers],0))=0,"",INDEX(_xlfn.VSTACK(YES_Writing_ELA[#Data],YES_Writing_FLA[#Data]),MATCH($A238,_xlfn.VSTACK(YES_Writing_ELA[Student Number],YES_Writing_FLA[Student Number]),0),MATCH(VLOOKUP(G$7,'Writing Logic'!$J$7:$K$11,2,FALSE)&amp;" - Per "&amp;VLOOKUP($C$4,'Writing Logic'!$G$8:$H$14,2,FALSE),YES_Writing_ELA[#Headers],0)))),"")</f>
        <v/>
      </c>
      <c r="H238" s="223" t="str">
        <f>IFERROR(IF(IF(INDEX(_xlfn.VSTACK(YES_Writing_ELA[#Data],YES_Writing_FLA[#Data]),MATCH($A238,_xlfn.VSTACK(YES_Writing_ELA[Student Number],YES_Writing_FLA[Student Number]),0),MATCH(VLOOKUP(H$7,'Writing Logic'!$J$7:$K$11,2,FALSE)&amp;" - Per "&amp;VLOOKUP($C$4,'Writing Logic'!$G$8:$H$14,2,FALSE),YES_Writing_ELA[#Headers],0))=0,"",INDEX(_xlfn.VSTACK(YES_Writing_ELA[#Data],YES_Writing_FLA[#Data]),MATCH($A238,_xlfn.VSTACK(YES_Writing_ELA[Student Number],YES_Writing_FLA[Student Number]),0),MATCH(VLOOKUP(H$7,'Writing Logic'!$J$7:$K$11,2,FALSE)&amp;" - Per "&amp;VLOOKUP($C$4,'Writing Logic'!$G$8:$H$14,2,FALSE),YES_Writing_ELA[#Headers],0)))="INS",'Writing Logic'!$B$7,IF(INDEX(_xlfn.VSTACK(YES_Writing_ELA[#Data],YES_Writing_FLA[#Data]),MATCH($A238,_xlfn.VSTACK(YES_Writing_ELA[Student Number],YES_Writing_FLA[Student Number]),0),MATCH(VLOOKUP(H$7,'Writing Logic'!$J$7:$K$11,2,FALSE)&amp;" - Per "&amp;VLOOKUP($C$4,'Writing Logic'!$G$8:$H$14,2,FALSE),YES_Writing_ELA[#Headers],0))=0,"",INDEX(_xlfn.VSTACK(YES_Writing_ELA[#Data],YES_Writing_FLA[#Data]),MATCH($A238,_xlfn.VSTACK(YES_Writing_ELA[Student Number],YES_Writing_FLA[Student Number]),0),MATCH(VLOOKUP(H$7,'Writing Logic'!$J$7:$K$11,2,FALSE)&amp;" - Per "&amp;VLOOKUP($C$4,'Writing Logic'!$G$8:$H$14,2,FALSE),YES_Writing_ELA[#Headers],0)))),"")</f>
        <v/>
      </c>
      <c r="I238" s="224" t="str" cm="1">
        <f t="array" aca="1" ref="I238" ca="1">IFERROR(
IF($G$3="ELA",
IF(VLOOKUP($A238, YES_Reading_ELA[], COLUMN(INDIRECT("YES_Reading_ELA[Difference - Per "&amp;VLOOKUP($G$4, 'Reading Report Logic'!$A$2:$B$8, 2, FALSE)&amp;"]")), FALSE)="", "",
VLOOKUP($A238,YES_Reading_ELA[], COLUMN(INDIRECT("YES_Reading_ELA[Difference - Per "&amp;VLOOKUP($G$4,'Reading Report Logic'!$A$2:$B$8,2,FALSE)&amp;"]")), FALSE)),
IF($G$3="FLA",
IF(VLOOKUP($A238, YES_Reading_FLA[], COLUMN(INDIRECT("YES_Reading_FLA[Difference - Per "&amp;VLOOKUP($G$4,'Reading Report Logic'!$A$2:$B$8,2,FALSE)&amp;"]")),FALSE)="","",
VLOOKUP($A238,YES_Reading_FLA[],COLUMN(INDIRECT("YES_Reading_FLA[Difference - Per "&amp;VLOOKUP($G$4,'Reading Report Logic'!$A$2:$B$8,2,FALSE)&amp;"]")),FALSE)),
IF($G$3="Combined",
IFERROR(
IF(VLOOKUP($A238, YES_Reading_ELA[], COLUMN(INDIRECT("YES_Reading_ELA[Difference - Per "&amp;VLOOKUP($G$4, 'Reading Report Logic'!$A$2:$B$8,2,FALSE)&amp;"]")), FALSE)="", "",
VLOOKUP($A238,YES_Reading_ELA[],COLUMN(INDIRECT("YES_Reading_ELA[Difference - Per "&amp;VLOOKUP($G$4,'Reading Report Logic'!$A$2:$B$8,2,FALSE)&amp;"]")),FALSE)),
IF(VLOOKUP($A238, YES_Reading_FLA[], COLUMN(INDIRECT("YES_Reading_FLA[Difference - Per "&amp;VLOOKUP($G$4, 'Reading Report Logic'!$A$2:$B$8, 2, FALSE)&amp;"]")),FALSE)="", "", VLOOKUP($A238,YES_Reading_FLA[],COLUMN(INDIRECT("YES_Reading_FLA[Difference - Per "&amp;VLOOKUP($G$4, 'Reading Report Logic'!$A$2:$B$8, 2, FALSE)&amp;"]")),FALSE))),""))),"")</f>
        <v/>
      </c>
    </row>
    <row r="239" spans="1:9" x14ac:dyDescent="0.25">
      <c r="A239" s="137"/>
      <c r="B239" s="137" t="str">
        <f>IFERROR(INDEX(_xlfn.VSTACK(YES_Writing_ELA[#Data], YES_Writing_FLA[#Data]),MATCH($A239,_xlfn.VSTACK(YES_Writing_ELA[Student Number], YES_Writing_FLA[Student Number]),0),MATCH(B$7,YES_Writing_ELA[#Headers],0)),IFERROR(INDEX(_xlfn.VSTACK(YES_Reading_ELA[#Data], YES_Reading_FLA[#Data]),MATCH($A239,_xlfn.VSTACK(YES_Reading_ELA[Student Number], YES_Reading_FLA[Student Number]),0),MATCH(B$7,YES_Reading_ELA[#Headers],0)),""))</f>
        <v/>
      </c>
      <c r="C239" s="137" t="str">
        <f>IFERROR(INDEX(_xlfn.VSTACK(YES_Writing_ELA[#Data], YES_Writing_FLA[#Data]),MATCH($A239,_xlfn.VSTACK(YES_Writing_ELA[Student Number], YES_Writing_FLA[Student Number]),0),MATCH(C$7,YES_Writing_ELA[#Headers],0)),IFERROR(INDEX(_xlfn.VSTACK(YES_Reading_ELA[#Data], YES_Reading_FLA[#Data]),MATCH($A239,_xlfn.VSTACK(YES_Reading_ELA[Student Number], YES_Reading_FLA[Student Number]),0),MATCH(C$7,YES_Reading_ELA[#Headers],0)),""))</f>
        <v/>
      </c>
      <c r="D239" s="138" t="str">
        <f>IFERROR(IF(IF(INDEX(_xlfn.VSTACK(YES_Writing_ELA[#Data],YES_Writing_FLA[#Data]),MATCH($A239,_xlfn.VSTACK(YES_Writing_ELA[Student Number],YES_Writing_FLA[Student Number]),0),MATCH(VLOOKUP(D$7,'Writing Logic'!$J$7:$K$11,2,FALSE)&amp;" - Per "&amp;VLOOKUP($C$4,'Writing Logic'!$G$8:$H$14,2,FALSE),YES_Writing_ELA[#Headers],0))=0,"",INDEX(_xlfn.VSTACK(YES_Writing_ELA[#Data],YES_Writing_FLA[#Data]),MATCH($A239,_xlfn.VSTACK(YES_Writing_ELA[Student Number],YES_Writing_FLA[Student Number]),0),MATCH(VLOOKUP(D$7,'Writing Logic'!$J$7:$K$11,2,FALSE)&amp;" - Per "&amp;VLOOKUP($C$4,'Writing Logic'!$G$8:$H$14,2,FALSE),YES_Writing_ELA[#Headers],0)))="INS",'Writing Logic'!$B$7,IF(INDEX(_xlfn.VSTACK(YES_Writing_ELA[#Data],YES_Writing_FLA[#Data]),MATCH($A239,_xlfn.VSTACK(YES_Writing_ELA[Student Number],YES_Writing_FLA[Student Number]),0),MATCH(VLOOKUP(D$7,'Writing Logic'!$J$7:$K$11,2,FALSE)&amp;" - Per "&amp;VLOOKUP($C$4,'Writing Logic'!$G$8:$H$14,2,FALSE),YES_Writing_ELA[#Headers],0))=0,"",INDEX(_xlfn.VSTACK(YES_Writing_ELA[#Data],YES_Writing_FLA[#Data]),MATCH($A239,_xlfn.VSTACK(YES_Writing_ELA[Student Number],YES_Writing_FLA[Student Number]),0),MATCH(VLOOKUP(D$7,'Writing Logic'!$J$7:$K$11,2,FALSE)&amp;" - Per "&amp;VLOOKUP($C$4,'Writing Logic'!$G$8:$H$14,2,FALSE),YES_Writing_ELA[#Headers],0)))),"")</f>
        <v/>
      </c>
      <c r="E239" s="138" t="str">
        <f>IFERROR(IF(IF(INDEX(_xlfn.VSTACK(YES_Writing_ELA[#Data],YES_Writing_FLA[#Data]),MATCH($A239,_xlfn.VSTACK(YES_Writing_ELA[Student Number],YES_Writing_FLA[Student Number]),0),MATCH(VLOOKUP(E$7,'Writing Logic'!$J$7:$K$11,2,FALSE)&amp;" - Per "&amp;VLOOKUP($C$4,'Writing Logic'!$G$8:$H$14,2,FALSE),YES_Writing_ELA[#Headers],0))=0,"",INDEX(_xlfn.VSTACK(YES_Writing_ELA[#Data],YES_Writing_FLA[#Data]),MATCH($A239,_xlfn.VSTACK(YES_Writing_ELA[Student Number],YES_Writing_FLA[Student Number]),0),MATCH(VLOOKUP(E$7,'Writing Logic'!$J$7:$K$11,2,FALSE)&amp;" - Per "&amp;VLOOKUP($C$4,'Writing Logic'!$G$8:$H$14,2,FALSE),YES_Writing_ELA[#Headers],0)))="INS",'Writing Logic'!$B$7,IF(INDEX(_xlfn.VSTACK(YES_Writing_ELA[#Data],YES_Writing_FLA[#Data]),MATCH($A239,_xlfn.VSTACK(YES_Writing_ELA[Student Number],YES_Writing_FLA[Student Number]),0),MATCH(VLOOKUP(E$7,'Writing Logic'!$J$7:$K$11,2,FALSE)&amp;" - Per "&amp;VLOOKUP($C$4,'Writing Logic'!$G$8:$H$14,2,FALSE),YES_Writing_ELA[#Headers],0))=0,"",INDEX(_xlfn.VSTACK(YES_Writing_ELA[#Data],YES_Writing_FLA[#Data]),MATCH($A239,_xlfn.VSTACK(YES_Writing_ELA[Student Number],YES_Writing_FLA[Student Number]),0),MATCH(VLOOKUP(E$7,'Writing Logic'!$J$7:$K$11,2,FALSE)&amp;" - Per "&amp;VLOOKUP($C$4,'Writing Logic'!$G$8:$H$14,2,FALSE),YES_Writing_ELA[#Headers],0)))),"")</f>
        <v/>
      </c>
      <c r="F239" s="138" t="str">
        <f>IFERROR(IF(IF(INDEX(_xlfn.VSTACK(YES_Writing_ELA[#Data],YES_Writing_FLA[#Data]),MATCH($A239,_xlfn.VSTACK(YES_Writing_ELA[Student Number],YES_Writing_FLA[Student Number]),0),MATCH(VLOOKUP(F$7,'Writing Logic'!$J$7:$K$11,2,FALSE)&amp;" - Per "&amp;VLOOKUP($C$4,'Writing Logic'!$G$8:$H$14,2,FALSE),YES_Writing_ELA[#Headers],0))=0,"",INDEX(_xlfn.VSTACK(YES_Writing_ELA[#Data],YES_Writing_FLA[#Data]),MATCH($A239,_xlfn.VSTACK(YES_Writing_ELA[Student Number],YES_Writing_FLA[Student Number]),0),MATCH(VLOOKUP(F$7,'Writing Logic'!$J$7:$K$11,2,FALSE)&amp;" - Per "&amp;VLOOKUP($C$4,'Writing Logic'!$G$8:$H$14,2,FALSE),YES_Writing_ELA[#Headers],0)))="INS",'Writing Logic'!$B$7,IF(INDEX(_xlfn.VSTACK(YES_Writing_ELA[#Data],YES_Writing_FLA[#Data]),MATCH($A239,_xlfn.VSTACK(YES_Writing_ELA[Student Number],YES_Writing_FLA[Student Number]),0),MATCH(VLOOKUP(F$7,'Writing Logic'!$J$7:$K$11,2,FALSE)&amp;" - Per "&amp;VLOOKUP($C$4,'Writing Logic'!$G$8:$H$14,2,FALSE),YES_Writing_ELA[#Headers],0))=0,"",INDEX(_xlfn.VSTACK(YES_Writing_ELA[#Data],YES_Writing_FLA[#Data]),MATCH($A239,_xlfn.VSTACK(YES_Writing_ELA[Student Number],YES_Writing_FLA[Student Number]),0),MATCH(VLOOKUP(F$7,'Writing Logic'!$J$7:$K$11,2,FALSE)&amp;" - Per "&amp;VLOOKUP($C$4,'Writing Logic'!$G$8:$H$14,2,FALSE),YES_Writing_ELA[#Headers],0)))),"")</f>
        <v/>
      </c>
      <c r="G239" s="138" t="str">
        <f>IFERROR(IF(IF(INDEX(_xlfn.VSTACK(YES_Writing_ELA[#Data],YES_Writing_FLA[#Data]),MATCH($A239,_xlfn.VSTACK(YES_Writing_ELA[Student Number],YES_Writing_FLA[Student Number]),0),MATCH(VLOOKUP(G$7,'Writing Logic'!$J$7:$K$11,2,FALSE)&amp;" - Per "&amp;VLOOKUP($C$4,'Writing Logic'!$G$8:$H$14,2,FALSE),YES_Writing_ELA[#Headers],0))=0,"",INDEX(_xlfn.VSTACK(YES_Writing_ELA[#Data],YES_Writing_FLA[#Data]),MATCH($A239,_xlfn.VSTACK(YES_Writing_ELA[Student Number],YES_Writing_FLA[Student Number]),0),MATCH(VLOOKUP(G$7,'Writing Logic'!$J$7:$K$11,2,FALSE)&amp;" - Per "&amp;VLOOKUP($C$4,'Writing Logic'!$G$8:$H$14,2,FALSE),YES_Writing_ELA[#Headers],0)))="INS",'Writing Logic'!$B$7,IF(INDEX(_xlfn.VSTACK(YES_Writing_ELA[#Data],YES_Writing_FLA[#Data]),MATCH($A239,_xlfn.VSTACK(YES_Writing_ELA[Student Number],YES_Writing_FLA[Student Number]),0),MATCH(VLOOKUP(G$7,'Writing Logic'!$J$7:$K$11,2,FALSE)&amp;" - Per "&amp;VLOOKUP($C$4,'Writing Logic'!$G$8:$H$14,2,FALSE),YES_Writing_ELA[#Headers],0))=0,"",INDEX(_xlfn.VSTACK(YES_Writing_ELA[#Data],YES_Writing_FLA[#Data]),MATCH($A239,_xlfn.VSTACK(YES_Writing_ELA[Student Number],YES_Writing_FLA[Student Number]),0),MATCH(VLOOKUP(G$7,'Writing Logic'!$J$7:$K$11,2,FALSE)&amp;" - Per "&amp;VLOOKUP($C$4,'Writing Logic'!$G$8:$H$14,2,FALSE),YES_Writing_ELA[#Headers],0)))),"")</f>
        <v/>
      </c>
      <c r="H239" s="223" t="str">
        <f>IFERROR(IF(IF(INDEX(_xlfn.VSTACK(YES_Writing_ELA[#Data],YES_Writing_FLA[#Data]),MATCH($A239,_xlfn.VSTACK(YES_Writing_ELA[Student Number],YES_Writing_FLA[Student Number]),0),MATCH(VLOOKUP(H$7,'Writing Logic'!$J$7:$K$11,2,FALSE)&amp;" - Per "&amp;VLOOKUP($C$4,'Writing Logic'!$G$8:$H$14,2,FALSE),YES_Writing_ELA[#Headers],0))=0,"",INDEX(_xlfn.VSTACK(YES_Writing_ELA[#Data],YES_Writing_FLA[#Data]),MATCH($A239,_xlfn.VSTACK(YES_Writing_ELA[Student Number],YES_Writing_FLA[Student Number]),0),MATCH(VLOOKUP(H$7,'Writing Logic'!$J$7:$K$11,2,FALSE)&amp;" - Per "&amp;VLOOKUP($C$4,'Writing Logic'!$G$8:$H$14,2,FALSE),YES_Writing_ELA[#Headers],0)))="INS",'Writing Logic'!$B$7,IF(INDEX(_xlfn.VSTACK(YES_Writing_ELA[#Data],YES_Writing_FLA[#Data]),MATCH($A239,_xlfn.VSTACK(YES_Writing_ELA[Student Number],YES_Writing_FLA[Student Number]),0),MATCH(VLOOKUP(H$7,'Writing Logic'!$J$7:$K$11,2,FALSE)&amp;" - Per "&amp;VLOOKUP($C$4,'Writing Logic'!$G$8:$H$14,2,FALSE),YES_Writing_ELA[#Headers],0))=0,"",INDEX(_xlfn.VSTACK(YES_Writing_ELA[#Data],YES_Writing_FLA[#Data]),MATCH($A239,_xlfn.VSTACK(YES_Writing_ELA[Student Number],YES_Writing_FLA[Student Number]),0),MATCH(VLOOKUP(H$7,'Writing Logic'!$J$7:$K$11,2,FALSE)&amp;" - Per "&amp;VLOOKUP($C$4,'Writing Logic'!$G$8:$H$14,2,FALSE),YES_Writing_ELA[#Headers],0)))),"")</f>
        <v/>
      </c>
      <c r="I239" s="224" t="str" cm="1">
        <f t="array" aca="1" ref="I239" ca="1">IFERROR(
IF($G$3="ELA",
IF(VLOOKUP($A239, YES_Reading_ELA[], COLUMN(INDIRECT("YES_Reading_ELA[Difference - Per "&amp;VLOOKUP($G$4, 'Reading Report Logic'!$A$2:$B$8, 2, FALSE)&amp;"]")), FALSE)="", "",
VLOOKUP($A239,YES_Reading_ELA[], COLUMN(INDIRECT("YES_Reading_ELA[Difference - Per "&amp;VLOOKUP($G$4,'Reading Report Logic'!$A$2:$B$8,2,FALSE)&amp;"]")), FALSE)),
IF($G$3="FLA",
IF(VLOOKUP($A239, YES_Reading_FLA[], COLUMN(INDIRECT("YES_Reading_FLA[Difference - Per "&amp;VLOOKUP($G$4,'Reading Report Logic'!$A$2:$B$8,2,FALSE)&amp;"]")),FALSE)="","",
VLOOKUP($A239,YES_Reading_FLA[],COLUMN(INDIRECT("YES_Reading_FLA[Difference - Per "&amp;VLOOKUP($G$4,'Reading Report Logic'!$A$2:$B$8,2,FALSE)&amp;"]")),FALSE)),
IF($G$3="Combined",
IFERROR(
IF(VLOOKUP($A239, YES_Reading_ELA[], COLUMN(INDIRECT("YES_Reading_ELA[Difference - Per "&amp;VLOOKUP($G$4, 'Reading Report Logic'!$A$2:$B$8,2,FALSE)&amp;"]")), FALSE)="", "",
VLOOKUP($A239,YES_Reading_ELA[],COLUMN(INDIRECT("YES_Reading_ELA[Difference - Per "&amp;VLOOKUP($G$4,'Reading Report Logic'!$A$2:$B$8,2,FALSE)&amp;"]")),FALSE)),
IF(VLOOKUP($A239, YES_Reading_FLA[], COLUMN(INDIRECT("YES_Reading_FLA[Difference - Per "&amp;VLOOKUP($G$4, 'Reading Report Logic'!$A$2:$B$8, 2, FALSE)&amp;"]")),FALSE)="", "", VLOOKUP($A239,YES_Reading_FLA[],COLUMN(INDIRECT("YES_Reading_FLA[Difference - Per "&amp;VLOOKUP($G$4, 'Reading Report Logic'!$A$2:$B$8, 2, FALSE)&amp;"]")),FALSE))),""))),"")</f>
        <v/>
      </c>
    </row>
    <row r="240" spans="1:9" x14ac:dyDescent="0.25">
      <c r="A240" s="137"/>
      <c r="B240" s="137" t="str">
        <f>IFERROR(INDEX(_xlfn.VSTACK(YES_Writing_ELA[#Data], YES_Writing_FLA[#Data]),MATCH($A240,_xlfn.VSTACK(YES_Writing_ELA[Student Number], YES_Writing_FLA[Student Number]),0),MATCH(B$7,YES_Writing_ELA[#Headers],0)),IFERROR(INDEX(_xlfn.VSTACK(YES_Reading_ELA[#Data], YES_Reading_FLA[#Data]),MATCH($A240,_xlfn.VSTACK(YES_Reading_ELA[Student Number], YES_Reading_FLA[Student Number]),0),MATCH(B$7,YES_Reading_ELA[#Headers],0)),""))</f>
        <v/>
      </c>
      <c r="C240" s="137" t="str">
        <f>IFERROR(INDEX(_xlfn.VSTACK(YES_Writing_ELA[#Data], YES_Writing_FLA[#Data]),MATCH($A240,_xlfn.VSTACK(YES_Writing_ELA[Student Number], YES_Writing_FLA[Student Number]),0),MATCH(C$7,YES_Writing_ELA[#Headers],0)),IFERROR(INDEX(_xlfn.VSTACK(YES_Reading_ELA[#Data], YES_Reading_FLA[#Data]),MATCH($A240,_xlfn.VSTACK(YES_Reading_ELA[Student Number], YES_Reading_FLA[Student Number]),0),MATCH(C$7,YES_Reading_ELA[#Headers],0)),""))</f>
        <v/>
      </c>
      <c r="D240" s="138" t="str">
        <f>IFERROR(IF(IF(INDEX(_xlfn.VSTACK(YES_Writing_ELA[#Data],YES_Writing_FLA[#Data]),MATCH($A240,_xlfn.VSTACK(YES_Writing_ELA[Student Number],YES_Writing_FLA[Student Number]),0),MATCH(VLOOKUP(D$7,'Writing Logic'!$J$7:$K$11,2,FALSE)&amp;" - Per "&amp;VLOOKUP($C$4,'Writing Logic'!$G$8:$H$14,2,FALSE),YES_Writing_ELA[#Headers],0))=0,"",INDEX(_xlfn.VSTACK(YES_Writing_ELA[#Data],YES_Writing_FLA[#Data]),MATCH($A240,_xlfn.VSTACK(YES_Writing_ELA[Student Number],YES_Writing_FLA[Student Number]),0),MATCH(VLOOKUP(D$7,'Writing Logic'!$J$7:$K$11,2,FALSE)&amp;" - Per "&amp;VLOOKUP($C$4,'Writing Logic'!$G$8:$H$14,2,FALSE),YES_Writing_ELA[#Headers],0)))="INS",'Writing Logic'!$B$7,IF(INDEX(_xlfn.VSTACK(YES_Writing_ELA[#Data],YES_Writing_FLA[#Data]),MATCH($A240,_xlfn.VSTACK(YES_Writing_ELA[Student Number],YES_Writing_FLA[Student Number]),0),MATCH(VLOOKUP(D$7,'Writing Logic'!$J$7:$K$11,2,FALSE)&amp;" - Per "&amp;VLOOKUP($C$4,'Writing Logic'!$G$8:$H$14,2,FALSE),YES_Writing_ELA[#Headers],0))=0,"",INDEX(_xlfn.VSTACK(YES_Writing_ELA[#Data],YES_Writing_FLA[#Data]),MATCH($A240,_xlfn.VSTACK(YES_Writing_ELA[Student Number],YES_Writing_FLA[Student Number]),0),MATCH(VLOOKUP(D$7,'Writing Logic'!$J$7:$K$11,2,FALSE)&amp;" - Per "&amp;VLOOKUP($C$4,'Writing Logic'!$G$8:$H$14,2,FALSE),YES_Writing_ELA[#Headers],0)))),"")</f>
        <v/>
      </c>
      <c r="E240" s="138" t="str">
        <f>IFERROR(IF(IF(INDEX(_xlfn.VSTACK(YES_Writing_ELA[#Data],YES_Writing_FLA[#Data]),MATCH($A240,_xlfn.VSTACK(YES_Writing_ELA[Student Number],YES_Writing_FLA[Student Number]),0),MATCH(VLOOKUP(E$7,'Writing Logic'!$J$7:$K$11,2,FALSE)&amp;" - Per "&amp;VLOOKUP($C$4,'Writing Logic'!$G$8:$H$14,2,FALSE),YES_Writing_ELA[#Headers],0))=0,"",INDEX(_xlfn.VSTACK(YES_Writing_ELA[#Data],YES_Writing_FLA[#Data]),MATCH($A240,_xlfn.VSTACK(YES_Writing_ELA[Student Number],YES_Writing_FLA[Student Number]),0),MATCH(VLOOKUP(E$7,'Writing Logic'!$J$7:$K$11,2,FALSE)&amp;" - Per "&amp;VLOOKUP($C$4,'Writing Logic'!$G$8:$H$14,2,FALSE),YES_Writing_ELA[#Headers],0)))="INS",'Writing Logic'!$B$7,IF(INDEX(_xlfn.VSTACK(YES_Writing_ELA[#Data],YES_Writing_FLA[#Data]),MATCH($A240,_xlfn.VSTACK(YES_Writing_ELA[Student Number],YES_Writing_FLA[Student Number]),0),MATCH(VLOOKUP(E$7,'Writing Logic'!$J$7:$K$11,2,FALSE)&amp;" - Per "&amp;VLOOKUP($C$4,'Writing Logic'!$G$8:$H$14,2,FALSE),YES_Writing_ELA[#Headers],0))=0,"",INDEX(_xlfn.VSTACK(YES_Writing_ELA[#Data],YES_Writing_FLA[#Data]),MATCH($A240,_xlfn.VSTACK(YES_Writing_ELA[Student Number],YES_Writing_FLA[Student Number]),0),MATCH(VLOOKUP(E$7,'Writing Logic'!$J$7:$K$11,2,FALSE)&amp;" - Per "&amp;VLOOKUP($C$4,'Writing Logic'!$G$8:$H$14,2,FALSE),YES_Writing_ELA[#Headers],0)))),"")</f>
        <v/>
      </c>
      <c r="F240" s="138" t="str">
        <f>IFERROR(IF(IF(INDEX(_xlfn.VSTACK(YES_Writing_ELA[#Data],YES_Writing_FLA[#Data]),MATCH($A240,_xlfn.VSTACK(YES_Writing_ELA[Student Number],YES_Writing_FLA[Student Number]),0),MATCH(VLOOKUP(F$7,'Writing Logic'!$J$7:$K$11,2,FALSE)&amp;" - Per "&amp;VLOOKUP($C$4,'Writing Logic'!$G$8:$H$14,2,FALSE),YES_Writing_ELA[#Headers],0))=0,"",INDEX(_xlfn.VSTACK(YES_Writing_ELA[#Data],YES_Writing_FLA[#Data]),MATCH($A240,_xlfn.VSTACK(YES_Writing_ELA[Student Number],YES_Writing_FLA[Student Number]),0),MATCH(VLOOKUP(F$7,'Writing Logic'!$J$7:$K$11,2,FALSE)&amp;" - Per "&amp;VLOOKUP($C$4,'Writing Logic'!$G$8:$H$14,2,FALSE),YES_Writing_ELA[#Headers],0)))="INS",'Writing Logic'!$B$7,IF(INDEX(_xlfn.VSTACK(YES_Writing_ELA[#Data],YES_Writing_FLA[#Data]),MATCH($A240,_xlfn.VSTACK(YES_Writing_ELA[Student Number],YES_Writing_FLA[Student Number]),0),MATCH(VLOOKUP(F$7,'Writing Logic'!$J$7:$K$11,2,FALSE)&amp;" - Per "&amp;VLOOKUP($C$4,'Writing Logic'!$G$8:$H$14,2,FALSE),YES_Writing_ELA[#Headers],0))=0,"",INDEX(_xlfn.VSTACK(YES_Writing_ELA[#Data],YES_Writing_FLA[#Data]),MATCH($A240,_xlfn.VSTACK(YES_Writing_ELA[Student Number],YES_Writing_FLA[Student Number]),0),MATCH(VLOOKUP(F$7,'Writing Logic'!$J$7:$K$11,2,FALSE)&amp;" - Per "&amp;VLOOKUP($C$4,'Writing Logic'!$G$8:$H$14,2,FALSE),YES_Writing_ELA[#Headers],0)))),"")</f>
        <v/>
      </c>
      <c r="G240" s="138" t="str">
        <f>IFERROR(IF(IF(INDEX(_xlfn.VSTACK(YES_Writing_ELA[#Data],YES_Writing_FLA[#Data]),MATCH($A240,_xlfn.VSTACK(YES_Writing_ELA[Student Number],YES_Writing_FLA[Student Number]),0),MATCH(VLOOKUP(G$7,'Writing Logic'!$J$7:$K$11,2,FALSE)&amp;" - Per "&amp;VLOOKUP($C$4,'Writing Logic'!$G$8:$H$14,2,FALSE),YES_Writing_ELA[#Headers],0))=0,"",INDEX(_xlfn.VSTACK(YES_Writing_ELA[#Data],YES_Writing_FLA[#Data]),MATCH($A240,_xlfn.VSTACK(YES_Writing_ELA[Student Number],YES_Writing_FLA[Student Number]),0),MATCH(VLOOKUP(G$7,'Writing Logic'!$J$7:$K$11,2,FALSE)&amp;" - Per "&amp;VLOOKUP($C$4,'Writing Logic'!$G$8:$H$14,2,FALSE),YES_Writing_ELA[#Headers],0)))="INS",'Writing Logic'!$B$7,IF(INDEX(_xlfn.VSTACK(YES_Writing_ELA[#Data],YES_Writing_FLA[#Data]),MATCH($A240,_xlfn.VSTACK(YES_Writing_ELA[Student Number],YES_Writing_FLA[Student Number]),0),MATCH(VLOOKUP(G$7,'Writing Logic'!$J$7:$K$11,2,FALSE)&amp;" - Per "&amp;VLOOKUP($C$4,'Writing Logic'!$G$8:$H$14,2,FALSE),YES_Writing_ELA[#Headers],0))=0,"",INDEX(_xlfn.VSTACK(YES_Writing_ELA[#Data],YES_Writing_FLA[#Data]),MATCH($A240,_xlfn.VSTACK(YES_Writing_ELA[Student Number],YES_Writing_FLA[Student Number]),0),MATCH(VLOOKUP(G$7,'Writing Logic'!$J$7:$K$11,2,FALSE)&amp;" - Per "&amp;VLOOKUP($C$4,'Writing Logic'!$G$8:$H$14,2,FALSE),YES_Writing_ELA[#Headers],0)))),"")</f>
        <v/>
      </c>
      <c r="H240" s="223" t="str">
        <f>IFERROR(IF(IF(INDEX(_xlfn.VSTACK(YES_Writing_ELA[#Data],YES_Writing_FLA[#Data]),MATCH($A240,_xlfn.VSTACK(YES_Writing_ELA[Student Number],YES_Writing_FLA[Student Number]),0),MATCH(VLOOKUP(H$7,'Writing Logic'!$J$7:$K$11,2,FALSE)&amp;" - Per "&amp;VLOOKUP($C$4,'Writing Logic'!$G$8:$H$14,2,FALSE),YES_Writing_ELA[#Headers],0))=0,"",INDEX(_xlfn.VSTACK(YES_Writing_ELA[#Data],YES_Writing_FLA[#Data]),MATCH($A240,_xlfn.VSTACK(YES_Writing_ELA[Student Number],YES_Writing_FLA[Student Number]),0),MATCH(VLOOKUP(H$7,'Writing Logic'!$J$7:$K$11,2,FALSE)&amp;" - Per "&amp;VLOOKUP($C$4,'Writing Logic'!$G$8:$H$14,2,FALSE),YES_Writing_ELA[#Headers],0)))="INS",'Writing Logic'!$B$7,IF(INDEX(_xlfn.VSTACK(YES_Writing_ELA[#Data],YES_Writing_FLA[#Data]),MATCH($A240,_xlfn.VSTACK(YES_Writing_ELA[Student Number],YES_Writing_FLA[Student Number]),0),MATCH(VLOOKUP(H$7,'Writing Logic'!$J$7:$K$11,2,FALSE)&amp;" - Per "&amp;VLOOKUP($C$4,'Writing Logic'!$G$8:$H$14,2,FALSE),YES_Writing_ELA[#Headers],0))=0,"",INDEX(_xlfn.VSTACK(YES_Writing_ELA[#Data],YES_Writing_FLA[#Data]),MATCH($A240,_xlfn.VSTACK(YES_Writing_ELA[Student Number],YES_Writing_FLA[Student Number]),0),MATCH(VLOOKUP(H$7,'Writing Logic'!$J$7:$K$11,2,FALSE)&amp;" - Per "&amp;VLOOKUP($C$4,'Writing Logic'!$G$8:$H$14,2,FALSE),YES_Writing_ELA[#Headers],0)))),"")</f>
        <v/>
      </c>
      <c r="I240" s="224" t="str" cm="1">
        <f t="array" aca="1" ref="I240" ca="1">IFERROR(
IF($G$3="ELA",
IF(VLOOKUP($A240, YES_Reading_ELA[], COLUMN(INDIRECT("YES_Reading_ELA[Difference - Per "&amp;VLOOKUP($G$4, 'Reading Report Logic'!$A$2:$B$8, 2, FALSE)&amp;"]")), FALSE)="", "",
VLOOKUP($A240,YES_Reading_ELA[], COLUMN(INDIRECT("YES_Reading_ELA[Difference - Per "&amp;VLOOKUP($G$4,'Reading Report Logic'!$A$2:$B$8,2,FALSE)&amp;"]")), FALSE)),
IF($G$3="FLA",
IF(VLOOKUP($A240, YES_Reading_FLA[], COLUMN(INDIRECT("YES_Reading_FLA[Difference - Per "&amp;VLOOKUP($G$4,'Reading Report Logic'!$A$2:$B$8,2,FALSE)&amp;"]")),FALSE)="","",
VLOOKUP($A240,YES_Reading_FLA[],COLUMN(INDIRECT("YES_Reading_FLA[Difference - Per "&amp;VLOOKUP($G$4,'Reading Report Logic'!$A$2:$B$8,2,FALSE)&amp;"]")),FALSE)),
IF($G$3="Combined",
IFERROR(
IF(VLOOKUP($A240, YES_Reading_ELA[], COLUMN(INDIRECT("YES_Reading_ELA[Difference - Per "&amp;VLOOKUP($G$4, 'Reading Report Logic'!$A$2:$B$8,2,FALSE)&amp;"]")), FALSE)="", "",
VLOOKUP($A240,YES_Reading_ELA[],COLUMN(INDIRECT("YES_Reading_ELA[Difference - Per "&amp;VLOOKUP($G$4,'Reading Report Logic'!$A$2:$B$8,2,FALSE)&amp;"]")),FALSE)),
IF(VLOOKUP($A240, YES_Reading_FLA[], COLUMN(INDIRECT("YES_Reading_FLA[Difference - Per "&amp;VLOOKUP($G$4, 'Reading Report Logic'!$A$2:$B$8, 2, FALSE)&amp;"]")),FALSE)="", "", VLOOKUP($A240,YES_Reading_FLA[],COLUMN(INDIRECT("YES_Reading_FLA[Difference - Per "&amp;VLOOKUP($G$4, 'Reading Report Logic'!$A$2:$B$8, 2, FALSE)&amp;"]")),FALSE))),""))),"")</f>
        <v/>
      </c>
    </row>
    <row r="241" spans="1:9" x14ac:dyDescent="0.25">
      <c r="A241" s="137"/>
      <c r="B241" s="137" t="str">
        <f>IFERROR(INDEX(_xlfn.VSTACK(YES_Writing_ELA[#Data], YES_Writing_FLA[#Data]),MATCH($A241,_xlfn.VSTACK(YES_Writing_ELA[Student Number], YES_Writing_FLA[Student Number]),0),MATCH(B$7,YES_Writing_ELA[#Headers],0)),IFERROR(INDEX(_xlfn.VSTACK(YES_Reading_ELA[#Data], YES_Reading_FLA[#Data]),MATCH($A241,_xlfn.VSTACK(YES_Reading_ELA[Student Number], YES_Reading_FLA[Student Number]),0),MATCH(B$7,YES_Reading_ELA[#Headers],0)),""))</f>
        <v/>
      </c>
      <c r="C241" s="137" t="str">
        <f>IFERROR(INDEX(_xlfn.VSTACK(YES_Writing_ELA[#Data], YES_Writing_FLA[#Data]),MATCH($A241,_xlfn.VSTACK(YES_Writing_ELA[Student Number], YES_Writing_FLA[Student Number]),0),MATCH(C$7,YES_Writing_ELA[#Headers],0)),IFERROR(INDEX(_xlfn.VSTACK(YES_Reading_ELA[#Data], YES_Reading_FLA[#Data]),MATCH($A241,_xlfn.VSTACK(YES_Reading_ELA[Student Number], YES_Reading_FLA[Student Number]),0),MATCH(C$7,YES_Reading_ELA[#Headers],0)),""))</f>
        <v/>
      </c>
      <c r="D241" s="138" t="str">
        <f>IFERROR(IF(IF(INDEX(_xlfn.VSTACK(YES_Writing_ELA[#Data],YES_Writing_FLA[#Data]),MATCH($A241,_xlfn.VSTACK(YES_Writing_ELA[Student Number],YES_Writing_FLA[Student Number]),0),MATCH(VLOOKUP(D$7,'Writing Logic'!$J$7:$K$11,2,FALSE)&amp;" - Per "&amp;VLOOKUP($C$4,'Writing Logic'!$G$8:$H$14,2,FALSE),YES_Writing_ELA[#Headers],0))=0,"",INDEX(_xlfn.VSTACK(YES_Writing_ELA[#Data],YES_Writing_FLA[#Data]),MATCH($A241,_xlfn.VSTACK(YES_Writing_ELA[Student Number],YES_Writing_FLA[Student Number]),0),MATCH(VLOOKUP(D$7,'Writing Logic'!$J$7:$K$11,2,FALSE)&amp;" - Per "&amp;VLOOKUP($C$4,'Writing Logic'!$G$8:$H$14,2,FALSE),YES_Writing_ELA[#Headers],0)))="INS",'Writing Logic'!$B$7,IF(INDEX(_xlfn.VSTACK(YES_Writing_ELA[#Data],YES_Writing_FLA[#Data]),MATCH($A241,_xlfn.VSTACK(YES_Writing_ELA[Student Number],YES_Writing_FLA[Student Number]),0),MATCH(VLOOKUP(D$7,'Writing Logic'!$J$7:$K$11,2,FALSE)&amp;" - Per "&amp;VLOOKUP($C$4,'Writing Logic'!$G$8:$H$14,2,FALSE),YES_Writing_ELA[#Headers],0))=0,"",INDEX(_xlfn.VSTACK(YES_Writing_ELA[#Data],YES_Writing_FLA[#Data]),MATCH($A241,_xlfn.VSTACK(YES_Writing_ELA[Student Number],YES_Writing_FLA[Student Number]),0),MATCH(VLOOKUP(D$7,'Writing Logic'!$J$7:$K$11,2,FALSE)&amp;" - Per "&amp;VLOOKUP($C$4,'Writing Logic'!$G$8:$H$14,2,FALSE),YES_Writing_ELA[#Headers],0)))),"")</f>
        <v/>
      </c>
      <c r="E241" s="138" t="str">
        <f>IFERROR(IF(IF(INDEX(_xlfn.VSTACK(YES_Writing_ELA[#Data],YES_Writing_FLA[#Data]),MATCH($A241,_xlfn.VSTACK(YES_Writing_ELA[Student Number],YES_Writing_FLA[Student Number]),0),MATCH(VLOOKUP(E$7,'Writing Logic'!$J$7:$K$11,2,FALSE)&amp;" - Per "&amp;VLOOKUP($C$4,'Writing Logic'!$G$8:$H$14,2,FALSE),YES_Writing_ELA[#Headers],0))=0,"",INDEX(_xlfn.VSTACK(YES_Writing_ELA[#Data],YES_Writing_FLA[#Data]),MATCH($A241,_xlfn.VSTACK(YES_Writing_ELA[Student Number],YES_Writing_FLA[Student Number]),0),MATCH(VLOOKUP(E$7,'Writing Logic'!$J$7:$K$11,2,FALSE)&amp;" - Per "&amp;VLOOKUP($C$4,'Writing Logic'!$G$8:$H$14,2,FALSE),YES_Writing_ELA[#Headers],0)))="INS",'Writing Logic'!$B$7,IF(INDEX(_xlfn.VSTACK(YES_Writing_ELA[#Data],YES_Writing_FLA[#Data]),MATCH($A241,_xlfn.VSTACK(YES_Writing_ELA[Student Number],YES_Writing_FLA[Student Number]),0),MATCH(VLOOKUP(E$7,'Writing Logic'!$J$7:$K$11,2,FALSE)&amp;" - Per "&amp;VLOOKUP($C$4,'Writing Logic'!$G$8:$H$14,2,FALSE),YES_Writing_ELA[#Headers],0))=0,"",INDEX(_xlfn.VSTACK(YES_Writing_ELA[#Data],YES_Writing_FLA[#Data]),MATCH($A241,_xlfn.VSTACK(YES_Writing_ELA[Student Number],YES_Writing_FLA[Student Number]),0),MATCH(VLOOKUP(E$7,'Writing Logic'!$J$7:$K$11,2,FALSE)&amp;" - Per "&amp;VLOOKUP($C$4,'Writing Logic'!$G$8:$H$14,2,FALSE),YES_Writing_ELA[#Headers],0)))),"")</f>
        <v/>
      </c>
      <c r="F241" s="138" t="str">
        <f>IFERROR(IF(IF(INDEX(_xlfn.VSTACK(YES_Writing_ELA[#Data],YES_Writing_FLA[#Data]),MATCH($A241,_xlfn.VSTACK(YES_Writing_ELA[Student Number],YES_Writing_FLA[Student Number]),0),MATCH(VLOOKUP(F$7,'Writing Logic'!$J$7:$K$11,2,FALSE)&amp;" - Per "&amp;VLOOKUP($C$4,'Writing Logic'!$G$8:$H$14,2,FALSE),YES_Writing_ELA[#Headers],0))=0,"",INDEX(_xlfn.VSTACK(YES_Writing_ELA[#Data],YES_Writing_FLA[#Data]),MATCH($A241,_xlfn.VSTACK(YES_Writing_ELA[Student Number],YES_Writing_FLA[Student Number]),0),MATCH(VLOOKUP(F$7,'Writing Logic'!$J$7:$K$11,2,FALSE)&amp;" - Per "&amp;VLOOKUP($C$4,'Writing Logic'!$G$8:$H$14,2,FALSE),YES_Writing_ELA[#Headers],0)))="INS",'Writing Logic'!$B$7,IF(INDEX(_xlfn.VSTACK(YES_Writing_ELA[#Data],YES_Writing_FLA[#Data]),MATCH($A241,_xlfn.VSTACK(YES_Writing_ELA[Student Number],YES_Writing_FLA[Student Number]),0),MATCH(VLOOKUP(F$7,'Writing Logic'!$J$7:$K$11,2,FALSE)&amp;" - Per "&amp;VLOOKUP($C$4,'Writing Logic'!$G$8:$H$14,2,FALSE),YES_Writing_ELA[#Headers],0))=0,"",INDEX(_xlfn.VSTACK(YES_Writing_ELA[#Data],YES_Writing_FLA[#Data]),MATCH($A241,_xlfn.VSTACK(YES_Writing_ELA[Student Number],YES_Writing_FLA[Student Number]),0),MATCH(VLOOKUP(F$7,'Writing Logic'!$J$7:$K$11,2,FALSE)&amp;" - Per "&amp;VLOOKUP($C$4,'Writing Logic'!$G$8:$H$14,2,FALSE),YES_Writing_ELA[#Headers],0)))),"")</f>
        <v/>
      </c>
      <c r="G241" s="138" t="str">
        <f>IFERROR(IF(IF(INDEX(_xlfn.VSTACK(YES_Writing_ELA[#Data],YES_Writing_FLA[#Data]),MATCH($A241,_xlfn.VSTACK(YES_Writing_ELA[Student Number],YES_Writing_FLA[Student Number]),0),MATCH(VLOOKUP(G$7,'Writing Logic'!$J$7:$K$11,2,FALSE)&amp;" - Per "&amp;VLOOKUP($C$4,'Writing Logic'!$G$8:$H$14,2,FALSE),YES_Writing_ELA[#Headers],0))=0,"",INDEX(_xlfn.VSTACK(YES_Writing_ELA[#Data],YES_Writing_FLA[#Data]),MATCH($A241,_xlfn.VSTACK(YES_Writing_ELA[Student Number],YES_Writing_FLA[Student Number]),0),MATCH(VLOOKUP(G$7,'Writing Logic'!$J$7:$K$11,2,FALSE)&amp;" - Per "&amp;VLOOKUP($C$4,'Writing Logic'!$G$8:$H$14,2,FALSE),YES_Writing_ELA[#Headers],0)))="INS",'Writing Logic'!$B$7,IF(INDEX(_xlfn.VSTACK(YES_Writing_ELA[#Data],YES_Writing_FLA[#Data]),MATCH($A241,_xlfn.VSTACK(YES_Writing_ELA[Student Number],YES_Writing_FLA[Student Number]),0),MATCH(VLOOKUP(G$7,'Writing Logic'!$J$7:$K$11,2,FALSE)&amp;" - Per "&amp;VLOOKUP($C$4,'Writing Logic'!$G$8:$H$14,2,FALSE),YES_Writing_ELA[#Headers],0))=0,"",INDEX(_xlfn.VSTACK(YES_Writing_ELA[#Data],YES_Writing_FLA[#Data]),MATCH($A241,_xlfn.VSTACK(YES_Writing_ELA[Student Number],YES_Writing_FLA[Student Number]),0),MATCH(VLOOKUP(G$7,'Writing Logic'!$J$7:$K$11,2,FALSE)&amp;" - Per "&amp;VLOOKUP($C$4,'Writing Logic'!$G$8:$H$14,2,FALSE),YES_Writing_ELA[#Headers],0)))),"")</f>
        <v/>
      </c>
      <c r="H241" s="223" t="str">
        <f>IFERROR(IF(IF(INDEX(_xlfn.VSTACK(YES_Writing_ELA[#Data],YES_Writing_FLA[#Data]),MATCH($A241,_xlfn.VSTACK(YES_Writing_ELA[Student Number],YES_Writing_FLA[Student Number]),0),MATCH(VLOOKUP(H$7,'Writing Logic'!$J$7:$K$11,2,FALSE)&amp;" - Per "&amp;VLOOKUP($C$4,'Writing Logic'!$G$8:$H$14,2,FALSE),YES_Writing_ELA[#Headers],0))=0,"",INDEX(_xlfn.VSTACK(YES_Writing_ELA[#Data],YES_Writing_FLA[#Data]),MATCH($A241,_xlfn.VSTACK(YES_Writing_ELA[Student Number],YES_Writing_FLA[Student Number]),0),MATCH(VLOOKUP(H$7,'Writing Logic'!$J$7:$K$11,2,FALSE)&amp;" - Per "&amp;VLOOKUP($C$4,'Writing Logic'!$G$8:$H$14,2,FALSE),YES_Writing_ELA[#Headers],0)))="INS",'Writing Logic'!$B$7,IF(INDEX(_xlfn.VSTACK(YES_Writing_ELA[#Data],YES_Writing_FLA[#Data]),MATCH($A241,_xlfn.VSTACK(YES_Writing_ELA[Student Number],YES_Writing_FLA[Student Number]),0),MATCH(VLOOKUP(H$7,'Writing Logic'!$J$7:$K$11,2,FALSE)&amp;" - Per "&amp;VLOOKUP($C$4,'Writing Logic'!$G$8:$H$14,2,FALSE),YES_Writing_ELA[#Headers],0))=0,"",INDEX(_xlfn.VSTACK(YES_Writing_ELA[#Data],YES_Writing_FLA[#Data]),MATCH($A241,_xlfn.VSTACK(YES_Writing_ELA[Student Number],YES_Writing_FLA[Student Number]),0),MATCH(VLOOKUP(H$7,'Writing Logic'!$J$7:$K$11,2,FALSE)&amp;" - Per "&amp;VLOOKUP($C$4,'Writing Logic'!$G$8:$H$14,2,FALSE),YES_Writing_ELA[#Headers],0)))),"")</f>
        <v/>
      </c>
      <c r="I241" s="224" t="str" cm="1">
        <f t="array" aca="1" ref="I241" ca="1">IFERROR(
IF($G$3="ELA",
IF(VLOOKUP($A241, YES_Reading_ELA[], COLUMN(INDIRECT("YES_Reading_ELA[Difference - Per "&amp;VLOOKUP($G$4, 'Reading Report Logic'!$A$2:$B$8, 2, FALSE)&amp;"]")), FALSE)="", "",
VLOOKUP($A241,YES_Reading_ELA[], COLUMN(INDIRECT("YES_Reading_ELA[Difference - Per "&amp;VLOOKUP($G$4,'Reading Report Logic'!$A$2:$B$8,2,FALSE)&amp;"]")), FALSE)),
IF($G$3="FLA",
IF(VLOOKUP($A241, YES_Reading_FLA[], COLUMN(INDIRECT("YES_Reading_FLA[Difference - Per "&amp;VLOOKUP($G$4,'Reading Report Logic'!$A$2:$B$8,2,FALSE)&amp;"]")),FALSE)="","",
VLOOKUP($A241,YES_Reading_FLA[],COLUMN(INDIRECT("YES_Reading_FLA[Difference - Per "&amp;VLOOKUP($G$4,'Reading Report Logic'!$A$2:$B$8,2,FALSE)&amp;"]")),FALSE)),
IF($G$3="Combined",
IFERROR(
IF(VLOOKUP($A241, YES_Reading_ELA[], COLUMN(INDIRECT("YES_Reading_ELA[Difference - Per "&amp;VLOOKUP($G$4, 'Reading Report Logic'!$A$2:$B$8,2,FALSE)&amp;"]")), FALSE)="", "",
VLOOKUP($A241,YES_Reading_ELA[],COLUMN(INDIRECT("YES_Reading_ELA[Difference - Per "&amp;VLOOKUP($G$4,'Reading Report Logic'!$A$2:$B$8,2,FALSE)&amp;"]")),FALSE)),
IF(VLOOKUP($A241, YES_Reading_FLA[], COLUMN(INDIRECT("YES_Reading_FLA[Difference - Per "&amp;VLOOKUP($G$4, 'Reading Report Logic'!$A$2:$B$8, 2, FALSE)&amp;"]")),FALSE)="", "", VLOOKUP($A241,YES_Reading_FLA[],COLUMN(INDIRECT("YES_Reading_FLA[Difference - Per "&amp;VLOOKUP($G$4, 'Reading Report Logic'!$A$2:$B$8, 2, FALSE)&amp;"]")),FALSE))),""))),"")</f>
        <v/>
      </c>
    </row>
    <row r="242" spans="1:9" x14ac:dyDescent="0.25">
      <c r="A242" s="137"/>
      <c r="B242" s="137" t="str">
        <f>IFERROR(INDEX(_xlfn.VSTACK(YES_Writing_ELA[#Data], YES_Writing_FLA[#Data]),MATCH($A242,_xlfn.VSTACK(YES_Writing_ELA[Student Number], YES_Writing_FLA[Student Number]),0),MATCH(B$7,YES_Writing_ELA[#Headers],0)),IFERROR(INDEX(_xlfn.VSTACK(YES_Reading_ELA[#Data], YES_Reading_FLA[#Data]),MATCH($A242,_xlfn.VSTACK(YES_Reading_ELA[Student Number], YES_Reading_FLA[Student Number]),0),MATCH(B$7,YES_Reading_ELA[#Headers],0)),""))</f>
        <v/>
      </c>
      <c r="C242" s="137" t="str">
        <f>IFERROR(INDEX(_xlfn.VSTACK(YES_Writing_ELA[#Data], YES_Writing_FLA[#Data]),MATCH($A242,_xlfn.VSTACK(YES_Writing_ELA[Student Number], YES_Writing_FLA[Student Number]),0),MATCH(C$7,YES_Writing_ELA[#Headers],0)),IFERROR(INDEX(_xlfn.VSTACK(YES_Reading_ELA[#Data], YES_Reading_FLA[#Data]),MATCH($A242,_xlfn.VSTACK(YES_Reading_ELA[Student Number], YES_Reading_FLA[Student Number]),0),MATCH(C$7,YES_Reading_ELA[#Headers],0)),""))</f>
        <v/>
      </c>
      <c r="D242" s="138" t="str">
        <f>IFERROR(IF(IF(INDEX(_xlfn.VSTACK(YES_Writing_ELA[#Data],YES_Writing_FLA[#Data]),MATCH($A242,_xlfn.VSTACK(YES_Writing_ELA[Student Number],YES_Writing_FLA[Student Number]),0),MATCH(VLOOKUP(D$7,'Writing Logic'!$J$7:$K$11,2,FALSE)&amp;" - Per "&amp;VLOOKUP($C$4,'Writing Logic'!$G$8:$H$14,2,FALSE),YES_Writing_ELA[#Headers],0))=0,"",INDEX(_xlfn.VSTACK(YES_Writing_ELA[#Data],YES_Writing_FLA[#Data]),MATCH($A242,_xlfn.VSTACK(YES_Writing_ELA[Student Number],YES_Writing_FLA[Student Number]),0),MATCH(VLOOKUP(D$7,'Writing Logic'!$J$7:$K$11,2,FALSE)&amp;" - Per "&amp;VLOOKUP($C$4,'Writing Logic'!$G$8:$H$14,2,FALSE),YES_Writing_ELA[#Headers],0)))="INS",'Writing Logic'!$B$7,IF(INDEX(_xlfn.VSTACK(YES_Writing_ELA[#Data],YES_Writing_FLA[#Data]),MATCH($A242,_xlfn.VSTACK(YES_Writing_ELA[Student Number],YES_Writing_FLA[Student Number]),0),MATCH(VLOOKUP(D$7,'Writing Logic'!$J$7:$K$11,2,FALSE)&amp;" - Per "&amp;VLOOKUP($C$4,'Writing Logic'!$G$8:$H$14,2,FALSE),YES_Writing_ELA[#Headers],0))=0,"",INDEX(_xlfn.VSTACK(YES_Writing_ELA[#Data],YES_Writing_FLA[#Data]),MATCH($A242,_xlfn.VSTACK(YES_Writing_ELA[Student Number],YES_Writing_FLA[Student Number]),0),MATCH(VLOOKUP(D$7,'Writing Logic'!$J$7:$K$11,2,FALSE)&amp;" - Per "&amp;VLOOKUP($C$4,'Writing Logic'!$G$8:$H$14,2,FALSE),YES_Writing_ELA[#Headers],0)))),"")</f>
        <v/>
      </c>
      <c r="E242" s="138" t="str">
        <f>IFERROR(IF(IF(INDEX(_xlfn.VSTACK(YES_Writing_ELA[#Data],YES_Writing_FLA[#Data]),MATCH($A242,_xlfn.VSTACK(YES_Writing_ELA[Student Number],YES_Writing_FLA[Student Number]),0),MATCH(VLOOKUP(E$7,'Writing Logic'!$J$7:$K$11,2,FALSE)&amp;" - Per "&amp;VLOOKUP($C$4,'Writing Logic'!$G$8:$H$14,2,FALSE),YES_Writing_ELA[#Headers],0))=0,"",INDEX(_xlfn.VSTACK(YES_Writing_ELA[#Data],YES_Writing_FLA[#Data]),MATCH($A242,_xlfn.VSTACK(YES_Writing_ELA[Student Number],YES_Writing_FLA[Student Number]),0),MATCH(VLOOKUP(E$7,'Writing Logic'!$J$7:$K$11,2,FALSE)&amp;" - Per "&amp;VLOOKUP($C$4,'Writing Logic'!$G$8:$H$14,2,FALSE),YES_Writing_ELA[#Headers],0)))="INS",'Writing Logic'!$B$7,IF(INDEX(_xlfn.VSTACK(YES_Writing_ELA[#Data],YES_Writing_FLA[#Data]),MATCH($A242,_xlfn.VSTACK(YES_Writing_ELA[Student Number],YES_Writing_FLA[Student Number]),0),MATCH(VLOOKUP(E$7,'Writing Logic'!$J$7:$K$11,2,FALSE)&amp;" - Per "&amp;VLOOKUP($C$4,'Writing Logic'!$G$8:$H$14,2,FALSE),YES_Writing_ELA[#Headers],0))=0,"",INDEX(_xlfn.VSTACK(YES_Writing_ELA[#Data],YES_Writing_FLA[#Data]),MATCH($A242,_xlfn.VSTACK(YES_Writing_ELA[Student Number],YES_Writing_FLA[Student Number]),0),MATCH(VLOOKUP(E$7,'Writing Logic'!$J$7:$K$11,2,FALSE)&amp;" - Per "&amp;VLOOKUP($C$4,'Writing Logic'!$G$8:$H$14,2,FALSE),YES_Writing_ELA[#Headers],0)))),"")</f>
        <v/>
      </c>
      <c r="F242" s="138" t="str">
        <f>IFERROR(IF(IF(INDEX(_xlfn.VSTACK(YES_Writing_ELA[#Data],YES_Writing_FLA[#Data]),MATCH($A242,_xlfn.VSTACK(YES_Writing_ELA[Student Number],YES_Writing_FLA[Student Number]),0),MATCH(VLOOKUP(F$7,'Writing Logic'!$J$7:$K$11,2,FALSE)&amp;" - Per "&amp;VLOOKUP($C$4,'Writing Logic'!$G$8:$H$14,2,FALSE),YES_Writing_ELA[#Headers],0))=0,"",INDEX(_xlfn.VSTACK(YES_Writing_ELA[#Data],YES_Writing_FLA[#Data]),MATCH($A242,_xlfn.VSTACK(YES_Writing_ELA[Student Number],YES_Writing_FLA[Student Number]),0),MATCH(VLOOKUP(F$7,'Writing Logic'!$J$7:$K$11,2,FALSE)&amp;" - Per "&amp;VLOOKUP($C$4,'Writing Logic'!$G$8:$H$14,2,FALSE),YES_Writing_ELA[#Headers],0)))="INS",'Writing Logic'!$B$7,IF(INDEX(_xlfn.VSTACK(YES_Writing_ELA[#Data],YES_Writing_FLA[#Data]),MATCH($A242,_xlfn.VSTACK(YES_Writing_ELA[Student Number],YES_Writing_FLA[Student Number]),0),MATCH(VLOOKUP(F$7,'Writing Logic'!$J$7:$K$11,2,FALSE)&amp;" - Per "&amp;VLOOKUP($C$4,'Writing Logic'!$G$8:$H$14,2,FALSE),YES_Writing_ELA[#Headers],0))=0,"",INDEX(_xlfn.VSTACK(YES_Writing_ELA[#Data],YES_Writing_FLA[#Data]),MATCH($A242,_xlfn.VSTACK(YES_Writing_ELA[Student Number],YES_Writing_FLA[Student Number]),0),MATCH(VLOOKUP(F$7,'Writing Logic'!$J$7:$K$11,2,FALSE)&amp;" - Per "&amp;VLOOKUP($C$4,'Writing Logic'!$G$8:$H$14,2,FALSE),YES_Writing_ELA[#Headers],0)))),"")</f>
        <v/>
      </c>
      <c r="G242" s="138" t="str">
        <f>IFERROR(IF(IF(INDEX(_xlfn.VSTACK(YES_Writing_ELA[#Data],YES_Writing_FLA[#Data]),MATCH($A242,_xlfn.VSTACK(YES_Writing_ELA[Student Number],YES_Writing_FLA[Student Number]),0),MATCH(VLOOKUP(G$7,'Writing Logic'!$J$7:$K$11,2,FALSE)&amp;" - Per "&amp;VLOOKUP($C$4,'Writing Logic'!$G$8:$H$14,2,FALSE),YES_Writing_ELA[#Headers],0))=0,"",INDEX(_xlfn.VSTACK(YES_Writing_ELA[#Data],YES_Writing_FLA[#Data]),MATCH($A242,_xlfn.VSTACK(YES_Writing_ELA[Student Number],YES_Writing_FLA[Student Number]),0),MATCH(VLOOKUP(G$7,'Writing Logic'!$J$7:$K$11,2,FALSE)&amp;" - Per "&amp;VLOOKUP($C$4,'Writing Logic'!$G$8:$H$14,2,FALSE),YES_Writing_ELA[#Headers],0)))="INS",'Writing Logic'!$B$7,IF(INDEX(_xlfn.VSTACK(YES_Writing_ELA[#Data],YES_Writing_FLA[#Data]),MATCH($A242,_xlfn.VSTACK(YES_Writing_ELA[Student Number],YES_Writing_FLA[Student Number]),0),MATCH(VLOOKUP(G$7,'Writing Logic'!$J$7:$K$11,2,FALSE)&amp;" - Per "&amp;VLOOKUP($C$4,'Writing Logic'!$G$8:$H$14,2,FALSE),YES_Writing_ELA[#Headers],0))=0,"",INDEX(_xlfn.VSTACK(YES_Writing_ELA[#Data],YES_Writing_FLA[#Data]),MATCH($A242,_xlfn.VSTACK(YES_Writing_ELA[Student Number],YES_Writing_FLA[Student Number]),0),MATCH(VLOOKUP(G$7,'Writing Logic'!$J$7:$K$11,2,FALSE)&amp;" - Per "&amp;VLOOKUP($C$4,'Writing Logic'!$G$8:$H$14,2,FALSE),YES_Writing_ELA[#Headers],0)))),"")</f>
        <v/>
      </c>
      <c r="H242" s="223" t="str">
        <f>IFERROR(IF(IF(INDEX(_xlfn.VSTACK(YES_Writing_ELA[#Data],YES_Writing_FLA[#Data]),MATCH($A242,_xlfn.VSTACK(YES_Writing_ELA[Student Number],YES_Writing_FLA[Student Number]),0),MATCH(VLOOKUP(H$7,'Writing Logic'!$J$7:$K$11,2,FALSE)&amp;" - Per "&amp;VLOOKUP($C$4,'Writing Logic'!$G$8:$H$14,2,FALSE),YES_Writing_ELA[#Headers],0))=0,"",INDEX(_xlfn.VSTACK(YES_Writing_ELA[#Data],YES_Writing_FLA[#Data]),MATCH($A242,_xlfn.VSTACK(YES_Writing_ELA[Student Number],YES_Writing_FLA[Student Number]),0),MATCH(VLOOKUP(H$7,'Writing Logic'!$J$7:$K$11,2,FALSE)&amp;" - Per "&amp;VLOOKUP($C$4,'Writing Logic'!$G$8:$H$14,2,FALSE),YES_Writing_ELA[#Headers],0)))="INS",'Writing Logic'!$B$7,IF(INDEX(_xlfn.VSTACK(YES_Writing_ELA[#Data],YES_Writing_FLA[#Data]),MATCH($A242,_xlfn.VSTACK(YES_Writing_ELA[Student Number],YES_Writing_FLA[Student Number]),0),MATCH(VLOOKUP(H$7,'Writing Logic'!$J$7:$K$11,2,FALSE)&amp;" - Per "&amp;VLOOKUP($C$4,'Writing Logic'!$G$8:$H$14,2,FALSE),YES_Writing_ELA[#Headers],0))=0,"",INDEX(_xlfn.VSTACK(YES_Writing_ELA[#Data],YES_Writing_FLA[#Data]),MATCH($A242,_xlfn.VSTACK(YES_Writing_ELA[Student Number],YES_Writing_FLA[Student Number]),0),MATCH(VLOOKUP(H$7,'Writing Logic'!$J$7:$K$11,2,FALSE)&amp;" - Per "&amp;VLOOKUP($C$4,'Writing Logic'!$G$8:$H$14,2,FALSE),YES_Writing_ELA[#Headers],0)))),"")</f>
        <v/>
      </c>
      <c r="I242" s="224" t="str" cm="1">
        <f t="array" aca="1" ref="I242" ca="1">IFERROR(
IF($G$3="ELA",
IF(VLOOKUP($A242, YES_Reading_ELA[], COLUMN(INDIRECT("YES_Reading_ELA[Difference - Per "&amp;VLOOKUP($G$4, 'Reading Report Logic'!$A$2:$B$8, 2, FALSE)&amp;"]")), FALSE)="", "",
VLOOKUP($A242,YES_Reading_ELA[], COLUMN(INDIRECT("YES_Reading_ELA[Difference - Per "&amp;VLOOKUP($G$4,'Reading Report Logic'!$A$2:$B$8,2,FALSE)&amp;"]")), FALSE)),
IF($G$3="FLA",
IF(VLOOKUP($A242, YES_Reading_FLA[], COLUMN(INDIRECT("YES_Reading_FLA[Difference - Per "&amp;VLOOKUP($G$4,'Reading Report Logic'!$A$2:$B$8,2,FALSE)&amp;"]")),FALSE)="","",
VLOOKUP($A242,YES_Reading_FLA[],COLUMN(INDIRECT("YES_Reading_FLA[Difference - Per "&amp;VLOOKUP($G$4,'Reading Report Logic'!$A$2:$B$8,2,FALSE)&amp;"]")),FALSE)),
IF($G$3="Combined",
IFERROR(
IF(VLOOKUP($A242, YES_Reading_ELA[], COLUMN(INDIRECT("YES_Reading_ELA[Difference - Per "&amp;VLOOKUP($G$4, 'Reading Report Logic'!$A$2:$B$8,2,FALSE)&amp;"]")), FALSE)="", "",
VLOOKUP($A242,YES_Reading_ELA[],COLUMN(INDIRECT("YES_Reading_ELA[Difference - Per "&amp;VLOOKUP($G$4,'Reading Report Logic'!$A$2:$B$8,2,FALSE)&amp;"]")),FALSE)),
IF(VLOOKUP($A242, YES_Reading_FLA[], COLUMN(INDIRECT("YES_Reading_FLA[Difference - Per "&amp;VLOOKUP($G$4, 'Reading Report Logic'!$A$2:$B$8, 2, FALSE)&amp;"]")),FALSE)="", "", VLOOKUP($A242,YES_Reading_FLA[],COLUMN(INDIRECT("YES_Reading_FLA[Difference - Per "&amp;VLOOKUP($G$4, 'Reading Report Logic'!$A$2:$B$8, 2, FALSE)&amp;"]")),FALSE))),""))),"")</f>
        <v/>
      </c>
    </row>
    <row r="243" spans="1:9" x14ac:dyDescent="0.25">
      <c r="A243" s="137"/>
      <c r="B243" s="137" t="str">
        <f>IFERROR(INDEX(_xlfn.VSTACK(YES_Writing_ELA[#Data], YES_Writing_FLA[#Data]),MATCH($A243,_xlfn.VSTACK(YES_Writing_ELA[Student Number], YES_Writing_FLA[Student Number]),0),MATCH(B$7,YES_Writing_ELA[#Headers],0)),IFERROR(INDEX(_xlfn.VSTACK(YES_Reading_ELA[#Data], YES_Reading_FLA[#Data]),MATCH($A243,_xlfn.VSTACK(YES_Reading_ELA[Student Number], YES_Reading_FLA[Student Number]),0),MATCH(B$7,YES_Reading_ELA[#Headers],0)),""))</f>
        <v/>
      </c>
      <c r="C243" s="137" t="str">
        <f>IFERROR(INDEX(_xlfn.VSTACK(YES_Writing_ELA[#Data], YES_Writing_FLA[#Data]),MATCH($A243,_xlfn.VSTACK(YES_Writing_ELA[Student Number], YES_Writing_FLA[Student Number]),0),MATCH(C$7,YES_Writing_ELA[#Headers],0)),IFERROR(INDEX(_xlfn.VSTACK(YES_Reading_ELA[#Data], YES_Reading_FLA[#Data]),MATCH($A243,_xlfn.VSTACK(YES_Reading_ELA[Student Number], YES_Reading_FLA[Student Number]),0),MATCH(C$7,YES_Reading_ELA[#Headers],0)),""))</f>
        <v/>
      </c>
      <c r="D243" s="138" t="str">
        <f>IFERROR(IF(IF(INDEX(_xlfn.VSTACK(YES_Writing_ELA[#Data],YES_Writing_FLA[#Data]),MATCH($A243,_xlfn.VSTACK(YES_Writing_ELA[Student Number],YES_Writing_FLA[Student Number]),0),MATCH(VLOOKUP(D$7,'Writing Logic'!$J$7:$K$11,2,FALSE)&amp;" - Per "&amp;VLOOKUP($C$4,'Writing Logic'!$G$8:$H$14,2,FALSE),YES_Writing_ELA[#Headers],0))=0,"",INDEX(_xlfn.VSTACK(YES_Writing_ELA[#Data],YES_Writing_FLA[#Data]),MATCH($A243,_xlfn.VSTACK(YES_Writing_ELA[Student Number],YES_Writing_FLA[Student Number]),0),MATCH(VLOOKUP(D$7,'Writing Logic'!$J$7:$K$11,2,FALSE)&amp;" - Per "&amp;VLOOKUP($C$4,'Writing Logic'!$G$8:$H$14,2,FALSE),YES_Writing_ELA[#Headers],0)))="INS",'Writing Logic'!$B$7,IF(INDEX(_xlfn.VSTACK(YES_Writing_ELA[#Data],YES_Writing_FLA[#Data]),MATCH($A243,_xlfn.VSTACK(YES_Writing_ELA[Student Number],YES_Writing_FLA[Student Number]),0),MATCH(VLOOKUP(D$7,'Writing Logic'!$J$7:$K$11,2,FALSE)&amp;" - Per "&amp;VLOOKUP($C$4,'Writing Logic'!$G$8:$H$14,2,FALSE),YES_Writing_ELA[#Headers],0))=0,"",INDEX(_xlfn.VSTACK(YES_Writing_ELA[#Data],YES_Writing_FLA[#Data]),MATCH($A243,_xlfn.VSTACK(YES_Writing_ELA[Student Number],YES_Writing_FLA[Student Number]),0),MATCH(VLOOKUP(D$7,'Writing Logic'!$J$7:$K$11,2,FALSE)&amp;" - Per "&amp;VLOOKUP($C$4,'Writing Logic'!$G$8:$H$14,2,FALSE),YES_Writing_ELA[#Headers],0)))),"")</f>
        <v/>
      </c>
      <c r="E243" s="138" t="str">
        <f>IFERROR(IF(IF(INDEX(_xlfn.VSTACK(YES_Writing_ELA[#Data],YES_Writing_FLA[#Data]),MATCH($A243,_xlfn.VSTACK(YES_Writing_ELA[Student Number],YES_Writing_FLA[Student Number]),0),MATCH(VLOOKUP(E$7,'Writing Logic'!$J$7:$K$11,2,FALSE)&amp;" - Per "&amp;VLOOKUP($C$4,'Writing Logic'!$G$8:$H$14,2,FALSE),YES_Writing_ELA[#Headers],0))=0,"",INDEX(_xlfn.VSTACK(YES_Writing_ELA[#Data],YES_Writing_FLA[#Data]),MATCH($A243,_xlfn.VSTACK(YES_Writing_ELA[Student Number],YES_Writing_FLA[Student Number]),0),MATCH(VLOOKUP(E$7,'Writing Logic'!$J$7:$K$11,2,FALSE)&amp;" - Per "&amp;VLOOKUP($C$4,'Writing Logic'!$G$8:$H$14,2,FALSE),YES_Writing_ELA[#Headers],0)))="INS",'Writing Logic'!$B$7,IF(INDEX(_xlfn.VSTACK(YES_Writing_ELA[#Data],YES_Writing_FLA[#Data]),MATCH($A243,_xlfn.VSTACK(YES_Writing_ELA[Student Number],YES_Writing_FLA[Student Number]),0),MATCH(VLOOKUP(E$7,'Writing Logic'!$J$7:$K$11,2,FALSE)&amp;" - Per "&amp;VLOOKUP($C$4,'Writing Logic'!$G$8:$H$14,2,FALSE),YES_Writing_ELA[#Headers],0))=0,"",INDEX(_xlfn.VSTACK(YES_Writing_ELA[#Data],YES_Writing_FLA[#Data]),MATCH($A243,_xlfn.VSTACK(YES_Writing_ELA[Student Number],YES_Writing_FLA[Student Number]),0),MATCH(VLOOKUP(E$7,'Writing Logic'!$J$7:$K$11,2,FALSE)&amp;" - Per "&amp;VLOOKUP($C$4,'Writing Logic'!$G$8:$H$14,2,FALSE),YES_Writing_ELA[#Headers],0)))),"")</f>
        <v/>
      </c>
      <c r="F243" s="138" t="str">
        <f>IFERROR(IF(IF(INDEX(_xlfn.VSTACK(YES_Writing_ELA[#Data],YES_Writing_FLA[#Data]),MATCH($A243,_xlfn.VSTACK(YES_Writing_ELA[Student Number],YES_Writing_FLA[Student Number]),0),MATCH(VLOOKUP(F$7,'Writing Logic'!$J$7:$K$11,2,FALSE)&amp;" - Per "&amp;VLOOKUP($C$4,'Writing Logic'!$G$8:$H$14,2,FALSE),YES_Writing_ELA[#Headers],0))=0,"",INDEX(_xlfn.VSTACK(YES_Writing_ELA[#Data],YES_Writing_FLA[#Data]),MATCH($A243,_xlfn.VSTACK(YES_Writing_ELA[Student Number],YES_Writing_FLA[Student Number]),0),MATCH(VLOOKUP(F$7,'Writing Logic'!$J$7:$K$11,2,FALSE)&amp;" - Per "&amp;VLOOKUP($C$4,'Writing Logic'!$G$8:$H$14,2,FALSE),YES_Writing_ELA[#Headers],0)))="INS",'Writing Logic'!$B$7,IF(INDEX(_xlfn.VSTACK(YES_Writing_ELA[#Data],YES_Writing_FLA[#Data]),MATCH($A243,_xlfn.VSTACK(YES_Writing_ELA[Student Number],YES_Writing_FLA[Student Number]),0),MATCH(VLOOKUP(F$7,'Writing Logic'!$J$7:$K$11,2,FALSE)&amp;" - Per "&amp;VLOOKUP($C$4,'Writing Logic'!$G$8:$H$14,2,FALSE),YES_Writing_ELA[#Headers],0))=0,"",INDEX(_xlfn.VSTACK(YES_Writing_ELA[#Data],YES_Writing_FLA[#Data]),MATCH($A243,_xlfn.VSTACK(YES_Writing_ELA[Student Number],YES_Writing_FLA[Student Number]),0),MATCH(VLOOKUP(F$7,'Writing Logic'!$J$7:$K$11,2,FALSE)&amp;" - Per "&amp;VLOOKUP($C$4,'Writing Logic'!$G$8:$H$14,2,FALSE),YES_Writing_ELA[#Headers],0)))),"")</f>
        <v/>
      </c>
      <c r="G243" s="138" t="str">
        <f>IFERROR(IF(IF(INDEX(_xlfn.VSTACK(YES_Writing_ELA[#Data],YES_Writing_FLA[#Data]),MATCH($A243,_xlfn.VSTACK(YES_Writing_ELA[Student Number],YES_Writing_FLA[Student Number]),0),MATCH(VLOOKUP(G$7,'Writing Logic'!$J$7:$K$11,2,FALSE)&amp;" - Per "&amp;VLOOKUP($C$4,'Writing Logic'!$G$8:$H$14,2,FALSE),YES_Writing_ELA[#Headers],0))=0,"",INDEX(_xlfn.VSTACK(YES_Writing_ELA[#Data],YES_Writing_FLA[#Data]),MATCH($A243,_xlfn.VSTACK(YES_Writing_ELA[Student Number],YES_Writing_FLA[Student Number]),0),MATCH(VLOOKUP(G$7,'Writing Logic'!$J$7:$K$11,2,FALSE)&amp;" - Per "&amp;VLOOKUP($C$4,'Writing Logic'!$G$8:$H$14,2,FALSE),YES_Writing_ELA[#Headers],0)))="INS",'Writing Logic'!$B$7,IF(INDEX(_xlfn.VSTACK(YES_Writing_ELA[#Data],YES_Writing_FLA[#Data]),MATCH($A243,_xlfn.VSTACK(YES_Writing_ELA[Student Number],YES_Writing_FLA[Student Number]),0),MATCH(VLOOKUP(G$7,'Writing Logic'!$J$7:$K$11,2,FALSE)&amp;" - Per "&amp;VLOOKUP($C$4,'Writing Logic'!$G$8:$H$14,2,FALSE),YES_Writing_ELA[#Headers],0))=0,"",INDEX(_xlfn.VSTACK(YES_Writing_ELA[#Data],YES_Writing_FLA[#Data]),MATCH($A243,_xlfn.VSTACK(YES_Writing_ELA[Student Number],YES_Writing_FLA[Student Number]),0),MATCH(VLOOKUP(G$7,'Writing Logic'!$J$7:$K$11,2,FALSE)&amp;" - Per "&amp;VLOOKUP($C$4,'Writing Logic'!$G$8:$H$14,2,FALSE),YES_Writing_ELA[#Headers],0)))),"")</f>
        <v/>
      </c>
      <c r="H243" s="223" t="str">
        <f>IFERROR(IF(IF(INDEX(_xlfn.VSTACK(YES_Writing_ELA[#Data],YES_Writing_FLA[#Data]),MATCH($A243,_xlfn.VSTACK(YES_Writing_ELA[Student Number],YES_Writing_FLA[Student Number]),0),MATCH(VLOOKUP(H$7,'Writing Logic'!$J$7:$K$11,2,FALSE)&amp;" - Per "&amp;VLOOKUP($C$4,'Writing Logic'!$G$8:$H$14,2,FALSE),YES_Writing_ELA[#Headers],0))=0,"",INDEX(_xlfn.VSTACK(YES_Writing_ELA[#Data],YES_Writing_FLA[#Data]),MATCH($A243,_xlfn.VSTACK(YES_Writing_ELA[Student Number],YES_Writing_FLA[Student Number]),0),MATCH(VLOOKUP(H$7,'Writing Logic'!$J$7:$K$11,2,FALSE)&amp;" - Per "&amp;VLOOKUP($C$4,'Writing Logic'!$G$8:$H$14,2,FALSE),YES_Writing_ELA[#Headers],0)))="INS",'Writing Logic'!$B$7,IF(INDEX(_xlfn.VSTACK(YES_Writing_ELA[#Data],YES_Writing_FLA[#Data]),MATCH($A243,_xlfn.VSTACK(YES_Writing_ELA[Student Number],YES_Writing_FLA[Student Number]),0),MATCH(VLOOKUP(H$7,'Writing Logic'!$J$7:$K$11,2,FALSE)&amp;" - Per "&amp;VLOOKUP($C$4,'Writing Logic'!$G$8:$H$14,2,FALSE),YES_Writing_ELA[#Headers],0))=0,"",INDEX(_xlfn.VSTACK(YES_Writing_ELA[#Data],YES_Writing_FLA[#Data]),MATCH($A243,_xlfn.VSTACK(YES_Writing_ELA[Student Number],YES_Writing_FLA[Student Number]),0),MATCH(VLOOKUP(H$7,'Writing Logic'!$J$7:$K$11,2,FALSE)&amp;" - Per "&amp;VLOOKUP($C$4,'Writing Logic'!$G$8:$H$14,2,FALSE),YES_Writing_ELA[#Headers],0)))),"")</f>
        <v/>
      </c>
      <c r="I243" s="224" t="str" cm="1">
        <f t="array" aca="1" ref="I243" ca="1">IFERROR(
IF($G$3="ELA",
IF(VLOOKUP($A243, YES_Reading_ELA[], COLUMN(INDIRECT("YES_Reading_ELA[Difference - Per "&amp;VLOOKUP($G$4, 'Reading Report Logic'!$A$2:$B$8, 2, FALSE)&amp;"]")), FALSE)="", "",
VLOOKUP($A243,YES_Reading_ELA[], COLUMN(INDIRECT("YES_Reading_ELA[Difference - Per "&amp;VLOOKUP($G$4,'Reading Report Logic'!$A$2:$B$8,2,FALSE)&amp;"]")), FALSE)),
IF($G$3="FLA",
IF(VLOOKUP($A243, YES_Reading_FLA[], COLUMN(INDIRECT("YES_Reading_FLA[Difference - Per "&amp;VLOOKUP($G$4,'Reading Report Logic'!$A$2:$B$8,2,FALSE)&amp;"]")),FALSE)="","",
VLOOKUP($A243,YES_Reading_FLA[],COLUMN(INDIRECT("YES_Reading_FLA[Difference - Per "&amp;VLOOKUP($G$4,'Reading Report Logic'!$A$2:$B$8,2,FALSE)&amp;"]")),FALSE)),
IF($G$3="Combined",
IFERROR(
IF(VLOOKUP($A243, YES_Reading_ELA[], COLUMN(INDIRECT("YES_Reading_ELA[Difference - Per "&amp;VLOOKUP($G$4, 'Reading Report Logic'!$A$2:$B$8,2,FALSE)&amp;"]")), FALSE)="", "",
VLOOKUP($A243,YES_Reading_ELA[],COLUMN(INDIRECT("YES_Reading_ELA[Difference - Per "&amp;VLOOKUP($G$4,'Reading Report Logic'!$A$2:$B$8,2,FALSE)&amp;"]")),FALSE)),
IF(VLOOKUP($A243, YES_Reading_FLA[], COLUMN(INDIRECT("YES_Reading_FLA[Difference - Per "&amp;VLOOKUP($G$4, 'Reading Report Logic'!$A$2:$B$8, 2, FALSE)&amp;"]")),FALSE)="", "", VLOOKUP($A243,YES_Reading_FLA[],COLUMN(INDIRECT("YES_Reading_FLA[Difference - Per "&amp;VLOOKUP($G$4, 'Reading Report Logic'!$A$2:$B$8, 2, FALSE)&amp;"]")),FALSE))),""))),"")</f>
        <v/>
      </c>
    </row>
    <row r="244" spans="1:9" x14ac:dyDescent="0.25">
      <c r="A244" s="137"/>
      <c r="B244" s="137" t="str">
        <f>IFERROR(INDEX(_xlfn.VSTACK(YES_Writing_ELA[#Data], YES_Writing_FLA[#Data]),MATCH($A244,_xlfn.VSTACK(YES_Writing_ELA[Student Number], YES_Writing_FLA[Student Number]),0),MATCH(B$7,YES_Writing_ELA[#Headers],0)),IFERROR(INDEX(_xlfn.VSTACK(YES_Reading_ELA[#Data], YES_Reading_FLA[#Data]),MATCH($A244,_xlfn.VSTACK(YES_Reading_ELA[Student Number], YES_Reading_FLA[Student Number]),0),MATCH(B$7,YES_Reading_ELA[#Headers],0)),""))</f>
        <v/>
      </c>
      <c r="C244" s="137" t="str">
        <f>IFERROR(INDEX(_xlfn.VSTACK(YES_Writing_ELA[#Data], YES_Writing_FLA[#Data]),MATCH($A244,_xlfn.VSTACK(YES_Writing_ELA[Student Number], YES_Writing_FLA[Student Number]),0),MATCH(C$7,YES_Writing_ELA[#Headers],0)),IFERROR(INDEX(_xlfn.VSTACK(YES_Reading_ELA[#Data], YES_Reading_FLA[#Data]),MATCH($A244,_xlfn.VSTACK(YES_Reading_ELA[Student Number], YES_Reading_FLA[Student Number]),0),MATCH(C$7,YES_Reading_ELA[#Headers],0)),""))</f>
        <v/>
      </c>
      <c r="D244" s="138" t="str">
        <f>IFERROR(IF(IF(INDEX(_xlfn.VSTACK(YES_Writing_ELA[#Data],YES_Writing_FLA[#Data]),MATCH($A244,_xlfn.VSTACK(YES_Writing_ELA[Student Number],YES_Writing_FLA[Student Number]),0),MATCH(VLOOKUP(D$7,'Writing Logic'!$J$7:$K$11,2,FALSE)&amp;" - Per "&amp;VLOOKUP($C$4,'Writing Logic'!$G$8:$H$14,2,FALSE),YES_Writing_ELA[#Headers],0))=0,"",INDEX(_xlfn.VSTACK(YES_Writing_ELA[#Data],YES_Writing_FLA[#Data]),MATCH($A244,_xlfn.VSTACK(YES_Writing_ELA[Student Number],YES_Writing_FLA[Student Number]),0),MATCH(VLOOKUP(D$7,'Writing Logic'!$J$7:$K$11,2,FALSE)&amp;" - Per "&amp;VLOOKUP($C$4,'Writing Logic'!$G$8:$H$14,2,FALSE),YES_Writing_ELA[#Headers],0)))="INS",'Writing Logic'!$B$7,IF(INDEX(_xlfn.VSTACK(YES_Writing_ELA[#Data],YES_Writing_FLA[#Data]),MATCH($A244,_xlfn.VSTACK(YES_Writing_ELA[Student Number],YES_Writing_FLA[Student Number]),0),MATCH(VLOOKUP(D$7,'Writing Logic'!$J$7:$K$11,2,FALSE)&amp;" - Per "&amp;VLOOKUP($C$4,'Writing Logic'!$G$8:$H$14,2,FALSE),YES_Writing_ELA[#Headers],0))=0,"",INDEX(_xlfn.VSTACK(YES_Writing_ELA[#Data],YES_Writing_FLA[#Data]),MATCH($A244,_xlfn.VSTACK(YES_Writing_ELA[Student Number],YES_Writing_FLA[Student Number]),0),MATCH(VLOOKUP(D$7,'Writing Logic'!$J$7:$K$11,2,FALSE)&amp;" - Per "&amp;VLOOKUP($C$4,'Writing Logic'!$G$8:$H$14,2,FALSE),YES_Writing_ELA[#Headers],0)))),"")</f>
        <v/>
      </c>
      <c r="E244" s="138" t="str">
        <f>IFERROR(IF(IF(INDEX(_xlfn.VSTACK(YES_Writing_ELA[#Data],YES_Writing_FLA[#Data]),MATCH($A244,_xlfn.VSTACK(YES_Writing_ELA[Student Number],YES_Writing_FLA[Student Number]),0),MATCH(VLOOKUP(E$7,'Writing Logic'!$J$7:$K$11,2,FALSE)&amp;" - Per "&amp;VLOOKUP($C$4,'Writing Logic'!$G$8:$H$14,2,FALSE),YES_Writing_ELA[#Headers],0))=0,"",INDEX(_xlfn.VSTACK(YES_Writing_ELA[#Data],YES_Writing_FLA[#Data]),MATCH($A244,_xlfn.VSTACK(YES_Writing_ELA[Student Number],YES_Writing_FLA[Student Number]),0),MATCH(VLOOKUP(E$7,'Writing Logic'!$J$7:$K$11,2,FALSE)&amp;" - Per "&amp;VLOOKUP($C$4,'Writing Logic'!$G$8:$H$14,2,FALSE),YES_Writing_ELA[#Headers],0)))="INS",'Writing Logic'!$B$7,IF(INDEX(_xlfn.VSTACK(YES_Writing_ELA[#Data],YES_Writing_FLA[#Data]),MATCH($A244,_xlfn.VSTACK(YES_Writing_ELA[Student Number],YES_Writing_FLA[Student Number]),0),MATCH(VLOOKUP(E$7,'Writing Logic'!$J$7:$K$11,2,FALSE)&amp;" - Per "&amp;VLOOKUP($C$4,'Writing Logic'!$G$8:$H$14,2,FALSE),YES_Writing_ELA[#Headers],0))=0,"",INDEX(_xlfn.VSTACK(YES_Writing_ELA[#Data],YES_Writing_FLA[#Data]),MATCH($A244,_xlfn.VSTACK(YES_Writing_ELA[Student Number],YES_Writing_FLA[Student Number]),0),MATCH(VLOOKUP(E$7,'Writing Logic'!$J$7:$K$11,2,FALSE)&amp;" - Per "&amp;VLOOKUP($C$4,'Writing Logic'!$G$8:$H$14,2,FALSE),YES_Writing_ELA[#Headers],0)))),"")</f>
        <v/>
      </c>
      <c r="F244" s="138" t="str">
        <f>IFERROR(IF(IF(INDEX(_xlfn.VSTACK(YES_Writing_ELA[#Data],YES_Writing_FLA[#Data]),MATCH($A244,_xlfn.VSTACK(YES_Writing_ELA[Student Number],YES_Writing_FLA[Student Number]),0),MATCH(VLOOKUP(F$7,'Writing Logic'!$J$7:$K$11,2,FALSE)&amp;" - Per "&amp;VLOOKUP($C$4,'Writing Logic'!$G$8:$H$14,2,FALSE),YES_Writing_ELA[#Headers],0))=0,"",INDEX(_xlfn.VSTACK(YES_Writing_ELA[#Data],YES_Writing_FLA[#Data]),MATCH($A244,_xlfn.VSTACK(YES_Writing_ELA[Student Number],YES_Writing_FLA[Student Number]),0),MATCH(VLOOKUP(F$7,'Writing Logic'!$J$7:$K$11,2,FALSE)&amp;" - Per "&amp;VLOOKUP($C$4,'Writing Logic'!$G$8:$H$14,2,FALSE),YES_Writing_ELA[#Headers],0)))="INS",'Writing Logic'!$B$7,IF(INDEX(_xlfn.VSTACK(YES_Writing_ELA[#Data],YES_Writing_FLA[#Data]),MATCH($A244,_xlfn.VSTACK(YES_Writing_ELA[Student Number],YES_Writing_FLA[Student Number]),0),MATCH(VLOOKUP(F$7,'Writing Logic'!$J$7:$K$11,2,FALSE)&amp;" - Per "&amp;VLOOKUP($C$4,'Writing Logic'!$G$8:$H$14,2,FALSE),YES_Writing_ELA[#Headers],0))=0,"",INDEX(_xlfn.VSTACK(YES_Writing_ELA[#Data],YES_Writing_FLA[#Data]),MATCH($A244,_xlfn.VSTACK(YES_Writing_ELA[Student Number],YES_Writing_FLA[Student Number]),0),MATCH(VLOOKUP(F$7,'Writing Logic'!$J$7:$K$11,2,FALSE)&amp;" - Per "&amp;VLOOKUP($C$4,'Writing Logic'!$G$8:$H$14,2,FALSE),YES_Writing_ELA[#Headers],0)))),"")</f>
        <v/>
      </c>
      <c r="G244" s="138" t="str">
        <f>IFERROR(IF(IF(INDEX(_xlfn.VSTACK(YES_Writing_ELA[#Data],YES_Writing_FLA[#Data]),MATCH($A244,_xlfn.VSTACK(YES_Writing_ELA[Student Number],YES_Writing_FLA[Student Number]),0),MATCH(VLOOKUP(G$7,'Writing Logic'!$J$7:$K$11,2,FALSE)&amp;" - Per "&amp;VLOOKUP($C$4,'Writing Logic'!$G$8:$H$14,2,FALSE),YES_Writing_ELA[#Headers],0))=0,"",INDEX(_xlfn.VSTACK(YES_Writing_ELA[#Data],YES_Writing_FLA[#Data]),MATCH($A244,_xlfn.VSTACK(YES_Writing_ELA[Student Number],YES_Writing_FLA[Student Number]),0),MATCH(VLOOKUP(G$7,'Writing Logic'!$J$7:$K$11,2,FALSE)&amp;" - Per "&amp;VLOOKUP($C$4,'Writing Logic'!$G$8:$H$14,2,FALSE),YES_Writing_ELA[#Headers],0)))="INS",'Writing Logic'!$B$7,IF(INDEX(_xlfn.VSTACK(YES_Writing_ELA[#Data],YES_Writing_FLA[#Data]),MATCH($A244,_xlfn.VSTACK(YES_Writing_ELA[Student Number],YES_Writing_FLA[Student Number]),0),MATCH(VLOOKUP(G$7,'Writing Logic'!$J$7:$K$11,2,FALSE)&amp;" - Per "&amp;VLOOKUP($C$4,'Writing Logic'!$G$8:$H$14,2,FALSE),YES_Writing_ELA[#Headers],0))=0,"",INDEX(_xlfn.VSTACK(YES_Writing_ELA[#Data],YES_Writing_FLA[#Data]),MATCH($A244,_xlfn.VSTACK(YES_Writing_ELA[Student Number],YES_Writing_FLA[Student Number]),0),MATCH(VLOOKUP(G$7,'Writing Logic'!$J$7:$K$11,2,FALSE)&amp;" - Per "&amp;VLOOKUP($C$4,'Writing Logic'!$G$8:$H$14,2,FALSE),YES_Writing_ELA[#Headers],0)))),"")</f>
        <v/>
      </c>
      <c r="H244" s="223" t="str">
        <f>IFERROR(IF(IF(INDEX(_xlfn.VSTACK(YES_Writing_ELA[#Data],YES_Writing_FLA[#Data]),MATCH($A244,_xlfn.VSTACK(YES_Writing_ELA[Student Number],YES_Writing_FLA[Student Number]),0),MATCH(VLOOKUP(H$7,'Writing Logic'!$J$7:$K$11,2,FALSE)&amp;" - Per "&amp;VLOOKUP($C$4,'Writing Logic'!$G$8:$H$14,2,FALSE),YES_Writing_ELA[#Headers],0))=0,"",INDEX(_xlfn.VSTACK(YES_Writing_ELA[#Data],YES_Writing_FLA[#Data]),MATCH($A244,_xlfn.VSTACK(YES_Writing_ELA[Student Number],YES_Writing_FLA[Student Number]),0),MATCH(VLOOKUP(H$7,'Writing Logic'!$J$7:$K$11,2,FALSE)&amp;" - Per "&amp;VLOOKUP($C$4,'Writing Logic'!$G$8:$H$14,2,FALSE),YES_Writing_ELA[#Headers],0)))="INS",'Writing Logic'!$B$7,IF(INDEX(_xlfn.VSTACK(YES_Writing_ELA[#Data],YES_Writing_FLA[#Data]),MATCH($A244,_xlfn.VSTACK(YES_Writing_ELA[Student Number],YES_Writing_FLA[Student Number]),0),MATCH(VLOOKUP(H$7,'Writing Logic'!$J$7:$K$11,2,FALSE)&amp;" - Per "&amp;VLOOKUP($C$4,'Writing Logic'!$G$8:$H$14,2,FALSE),YES_Writing_ELA[#Headers],0))=0,"",INDEX(_xlfn.VSTACK(YES_Writing_ELA[#Data],YES_Writing_FLA[#Data]),MATCH($A244,_xlfn.VSTACK(YES_Writing_ELA[Student Number],YES_Writing_FLA[Student Number]),0),MATCH(VLOOKUP(H$7,'Writing Logic'!$J$7:$K$11,2,FALSE)&amp;" - Per "&amp;VLOOKUP($C$4,'Writing Logic'!$G$8:$H$14,2,FALSE),YES_Writing_ELA[#Headers],0)))),"")</f>
        <v/>
      </c>
      <c r="I244" s="224" t="str" cm="1">
        <f t="array" aca="1" ref="I244" ca="1">IFERROR(
IF($G$3="ELA",
IF(VLOOKUP($A244, YES_Reading_ELA[], COLUMN(INDIRECT("YES_Reading_ELA[Difference - Per "&amp;VLOOKUP($G$4, 'Reading Report Logic'!$A$2:$B$8, 2, FALSE)&amp;"]")), FALSE)="", "",
VLOOKUP($A244,YES_Reading_ELA[], COLUMN(INDIRECT("YES_Reading_ELA[Difference - Per "&amp;VLOOKUP($G$4,'Reading Report Logic'!$A$2:$B$8,2,FALSE)&amp;"]")), FALSE)),
IF($G$3="FLA",
IF(VLOOKUP($A244, YES_Reading_FLA[], COLUMN(INDIRECT("YES_Reading_FLA[Difference - Per "&amp;VLOOKUP($G$4,'Reading Report Logic'!$A$2:$B$8,2,FALSE)&amp;"]")),FALSE)="","",
VLOOKUP($A244,YES_Reading_FLA[],COLUMN(INDIRECT("YES_Reading_FLA[Difference - Per "&amp;VLOOKUP($G$4,'Reading Report Logic'!$A$2:$B$8,2,FALSE)&amp;"]")),FALSE)),
IF($G$3="Combined",
IFERROR(
IF(VLOOKUP($A244, YES_Reading_ELA[], COLUMN(INDIRECT("YES_Reading_ELA[Difference - Per "&amp;VLOOKUP($G$4, 'Reading Report Logic'!$A$2:$B$8,2,FALSE)&amp;"]")), FALSE)="", "",
VLOOKUP($A244,YES_Reading_ELA[],COLUMN(INDIRECT("YES_Reading_ELA[Difference - Per "&amp;VLOOKUP($G$4,'Reading Report Logic'!$A$2:$B$8,2,FALSE)&amp;"]")),FALSE)),
IF(VLOOKUP($A244, YES_Reading_FLA[], COLUMN(INDIRECT("YES_Reading_FLA[Difference - Per "&amp;VLOOKUP($G$4, 'Reading Report Logic'!$A$2:$B$8, 2, FALSE)&amp;"]")),FALSE)="", "", VLOOKUP($A244,YES_Reading_FLA[],COLUMN(INDIRECT("YES_Reading_FLA[Difference - Per "&amp;VLOOKUP($G$4, 'Reading Report Logic'!$A$2:$B$8, 2, FALSE)&amp;"]")),FALSE))),""))),"")</f>
        <v/>
      </c>
    </row>
    <row r="245" spans="1:9" x14ac:dyDescent="0.25">
      <c r="A245" s="137"/>
      <c r="B245" s="137" t="str">
        <f>IFERROR(INDEX(_xlfn.VSTACK(YES_Writing_ELA[#Data], YES_Writing_FLA[#Data]),MATCH($A245,_xlfn.VSTACK(YES_Writing_ELA[Student Number], YES_Writing_FLA[Student Number]),0),MATCH(B$7,YES_Writing_ELA[#Headers],0)),IFERROR(INDEX(_xlfn.VSTACK(YES_Reading_ELA[#Data], YES_Reading_FLA[#Data]),MATCH($A245,_xlfn.VSTACK(YES_Reading_ELA[Student Number], YES_Reading_FLA[Student Number]),0),MATCH(B$7,YES_Reading_ELA[#Headers],0)),""))</f>
        <v/>
      </c>
      <c r="C245" s="137" t="str">
        <f>IFERROR(INDEX(_xlfn.VSTACK(YES_Writing_ELA[#Data], YES_Writing_FLA[#Data]),MATCH($A245,_xlfn.VSTACK(YES_Writing_ELA[Student Number], YES_Writing_FLA[Student Number]),0),MATCH(C$7,YES_Writing_ELA[#Headers],0)),IFERROR(INDEX(_xlfn.VSTACK(YES_Reading_ELA[#Data], YES_Reading_FLA[#Data]),MATCH($A245,_xlfn.VSTACK(YES_Reading_ELA[Student Number], YES_Reading_FLA[Student Number]),0),MATCH(C$7,YES_Reading_ELA[#Headers],0)),""))</f>
        <v/>
      </c>
      <c r="D245" s="138" t="str">
        <f>IFERROR(IF(IF(INDEX(_xlfn.VSTACK(YES_Writing_ELA[#Data],YES_Writing_FLA[#Data]),MATCH($A245,_xlfn.VSTACK(YES_Writing_ELA[Student Number],YES_Writing_FLA[Student Number]),0),MATCH(VLOOKUP(D$7,'Writing Logic'!$J$7:$K$11,2,FALSE)&amp;" - Per "&amp;VLOOKUP($C$4,'Writing Logic'!$G$8:$H$14,2,FALSE),YES_Writing_ELA[#Headers],0))=0,"",INDEX(_xlfn.VSTACK(YES_Writing_ELA[#Data],YES_Writing_FLA[#Data]),MATCH($A245,_xlfn.VSTACK(YES_Writing_ELA[Student Number],YES_Writing_FLA[Student Number]),0),MATCH(VLOOKUP(D$7,'Writing Logic'!$J$7:$K$11,2,FALSE)&amp;" - Per "&amp;VLOOKUP($C$4,'Writing Logic'!$G$8:$H$14,2,FALSE),YES_Writing_ELA[#Headers],0)))="INS",'Writing Logic'!$B$7,IF(INDEX(_xlfn.VSTACK(YES_Writing_ELA[#Data],YES_Writing_FLA[#Data]),MATCH($A245,_xlfn.VSTACK(YES_Writing_ELA[Student Number],YES_Writing_FLA[Student Number]),0),MATCH(VLOOKUP(D$7,'Writing Logic'!$J$7:$K$11,2,FALSE)&amp;" - Per "&amp;VLOOKUP($C$4,'Writing Logic'!$G$8:$H$14,2,FALSE),YES_Writing_ELA[#Headers],0))=0,"",INDEX(_xlfn.VSTACK(YES_Writing_ELA[#Data],YES_Writing_FLA[#Data]),MATCH($A245,_xlfn.VSTACK(YES_Writing_ELA[Student Number],YES_Writing_FLA[Student Number]),0),MATCH(VLOOKUP(D$7,'Writing Logic'!$J$7:$K$11,2,FALSE)&amp;" - Per "&amp;VLOOKUP($C$4,'Writing Logic'!$G$8:$H$14,2,FALSE),YES_Writing_ELA[#Headers],0)))),"")</f>
        <v/>
      </c>
      <c r="E245" s="138" t="str">
        <f>IFERROR(IF(IF(INDEX(_xlfn.VSTACK(YES_Writing_ELA[#Data],YES_Writing_FLA[#Data]),MATCH($A245,_xlfn.VSTACK(YES_Writing_ELA[Student Number],YES_Writing_FLA[Student Number]),0),MATCH(VLOOKUP(E$7,'Writing Logic'!$J$7:$K$11,2,FALSE)&amp;" - Per "&amp;VLOOKUP($C$4,'Writing Logic'!$G$8:$H$14,2,FALSE),YES_Writing_ELA[#Headers],0))=0,"",INDEX(_xlfn.VSTACK(YES_Writing_ELA[#Data],YES_Writing_FLA[#Data]),MATCH($A245,_xlfn.VSTACK(YES_Writing_ELA[Student Number],YES_Writing_FLA[Student Number]),0),MATCH(VLOOKUP(E$7,'Writing Logic'!$J$7:$K$11,2,FALSE)&amp;" - Per "&amp;VLOOKUP($C$4,'Writing Logic'!$G$8:$H$14,2,FALSE),YES_Writing_ELA[#Headers],0)))="INS",'Writing Logic'!$B$7,IF(INDEX(_xlfn.VSTACK(YES_Writing_ELA[#Data],YES_Writing_FLA[#Data]),MATCH($A245,_xlfn.VSTACK(YES_Writing_ELA[Student Number],YES_Writing_FLA[Student Number]),0),MATCH(VLOOKUP(E$7,'Writing Logic'!$J$7:$K$11,2,FALSE)&amp;" - Per "&amp;VLOOKUP($C$4,'Writing Logic'!$G$8:$H$14,2,FALSE),YES_Writing_ELA[#Headers],0))=0,"",INDEX(_xlfn.VSTACK(YES_Writing_ELA[#Data],YES_Writing_FLA[#Data]),MATCH($A245,_xlfn.VSTACK(YES_Writing_ELA[Student Number],YES_Writing_FLA[Student Number]),0),MATCH(VLOOKUP(E$7,'Writing Logic'!$J$7:$K$11,2,FALSE)&amp;" - Per "&amp;VLOOKUP($C$4,'Writing Logic'!$G$8:$H$14,2,FALSE),YES_Writing_ELA[#Headers],0)))),"")</f>
        <v/>
      </c>
      <c r="F245" s="138" t="str">
        <f>IFERROR(IF(IF(INDEX(_xlfn.VSTACK(YES_Writing_ELA[#Data],YES_Writing_FLA[#Data]),MATCH($A245,_xlfn.VSTACK(YES_Writing_ELA[Student Number],YES_Writing_FLA[Student Number]),0),MATCH(VLOOKUP(F$7,'Writing Logic'!$J$7:$K$11,2,FALSE)&amp;" - Per "&amp;VLOOKUP($C$4,'Writing Logic'!$G$8:$H$14,2,FALSE),YES_Writing_ELA[#Headers],0))=0,"",INDEX(_xlfn.VSTACK(YES_Writing_ELA[#Data],YES_Writing_FLA[#Data]),MATCH($A245,_xlfn.VSTACK(YES_Writing_ELA[Student Number],YES_Writing_FLA[Student Number]),0),MATCH(VLOOKUP(F$7,'Writing Logic'!$J$7:$K$11,2,FALSE)&amp;" - Per "&amp;VLOOKUP($C$4,'Writing Logic'!$G$8:$H$14,2,FALSE),YES_Writing_ELA[#Headers],0)))="INS",'Writing Logic'!$B$7,IF(INDEX(_xlfn.VSTACK(YES_Writing_ELA[#Data],YES_Writing_FLA[#Data]),MATCH($A245,_xlfn.VSTACK(YES_Writing_ELA[Student Number],YES_Writing_FLA[Student Number]),0),MATCH(VLOOKUP(F$7,'Writing Logic'!$J$7:$K$11,2,FALSE)&amp;" - Per "&amp;VLOOKUP($C$4,'Writing Logic'!$G$8:$H$14,2,FALSE),YES_Writing_ELA[#Headers],0))=0,"",INDEX(_xlfn.VSTACK(YES_Writing_ELA[#Data],YES_Writing_FLA[#Data]),MATCH($A245,_xlfn.VSTACK(YES_Writing_ELA[Student Number],YES_Writing_FLA[Student Number]),0),MATCH(VLOOKUP(F$7,'Writing Logic'!$J$7:$K$11,2,FALSE)&amp;" - Per "&amp;VLOOKUP($C$4,'Writing Logic'!$G$8:$H$14,2,FALSE),YES_Writing_ELA[#Headers],0)))),"")</f>
        <v/>
      </c>
      <c r="G245" s="138" t="str">
        <f>IFERROR(IF(IF(INDEX(_xlfn.VSTACK(YES_Writing_ELA[#Data],YES_Writing_FLA[#Data]),MATCH($A245,_xlfn.VSTACK(YES_Writing_ELA[Student Number],YES_Writing_FLA[Student Number]),0),MATCH(VLOOKUP(G$7,'Writing Logic'!$J$7:$K$11,2,FALSE)&amp;" - Per "&amp;VLOOKUP($C$4,'Writing Logic'!$G$8:$H$14,2,FALSE),YES_Writing_ELA[#Headers],0))=0,"",INDEX(_xlfn.VSTACK(YES_Writing_ELA[#Data],YES_Writing_FLA[#Data]),MATCH($A245,_xlfn.VSTACK(YES_Writing_ELA[Student Number],YES_Writing_FLA[Student Number]),0),MATCH(VLOOKUP(G$7,'Writing Logic'!$J$7:$K$11,2,FALSE)&amp;" - Per "&amp;VLOOKUP($C$4,'Writing Logic'!$G$8:$H$14,2,FALSE),YES_Writing_ELA[#Headers],0)))="INS",'Writing Logic'!$B$7,IF(INDEX(_xlfn.VSTACK(YES_Writing_ELA[#Data],YES_Writing_FLA[#Data]),MATCH($A245,_xlfn.VSTACK(YES_Writing_ELA[Student Number],YES_Writing_FLA[Student Number]),0),MATCH(VLOOKUP(G$7,'Writing Logic'!$J$7:$K$11,2,FALSE)&amp;" - Per "&amp;VLOOKUP($C$4,'Writing Logic'!$G$8:$H$14,2,FALSE),YES_Writing_ELA[#Headers],0))=0,"",INDEX(_xlfn.VSTACK(YES_Writing_ELA[#Data],YES_Writing_FLA[#Data]),MATCH($A245,_xlfn.VSTACK(YES_Writing_ELA[Student Number],YES_Writing_FLA[Student Number]),0),MATCH(VLOOKUP(G$7,'Writing Logic'!$J$7:$K$11,2,FALSE)&amp;" - Per "&amp;VLOOKUP($C$4,'Writing Logic'!$G$8:$H$14,2,FALSE),YES_Writing_ELA[#Headers],0)))),"")</f>
        <v/>
      </c>
      <c r="H245" s="223" t="str">
        <f>IFERROR(IF(IF(INDEX(_xlfn.VSTACK(YES_Writing_ELA[#Data],YES_Writing_FLA[#Data]),MATCH($A245,_xlfn.VSTACK(YES_Writing_ELA[Student Number],YES_Writing_FLA[Student Number]),0),MATCH(VLOOKUP(H$7,'Writing Logic'!$J$7:$K$11,2,FALSE)&amp;" - Per "&amp;VLOOKUP($C$4,'Writing Logic'!$G$8:$H$14,2,FALSE),YES_Writing_ELA[#Headers],0))=0,"",INDEX(_xlfn.VSTACK(YES_Writing_ELA[#Data],YES_Writing_FLA[#Data]),MATCH($A245,_xlfn.VSTACK(YES_Writing_ELA[Student Number],YES_Writing_FLA[Student Number]),0),MATCH(VLOOKUP(H$7,'Writing Logic'!$J$7:$K$11,2,FALSE)&amp;" - Per "&amp;VLOOKUP($C$4,'Writing Logic'!$G$8:$H$14,2,FALSE),YES_Writing_ELA[#Headers],0)))="INS",'Writing Logic'!$B$7,IF(INDEX(_xlfn.VSTACK(YES_Writing_ELA[#Data],YES_Writing_FLA[#Data]),MATCH($A245,_xlfn.VSTACK(YES_Writing_ELA[Student Number],YES_Writing_FLA[Student Number]),0),MATCH(VLOOKUP(H$7,'Writing Logic'!$J$7:$K$11,2,FALSE)&amp;" - Per "&amp;VLOOKUP($C$4,'Writing Logic'!$G$8:$H$14,2,FALSE),YES_Writing_ELA[#Headers],0))=0,"",INDEX(_xlfn.VSTACK(YES_Writing_ELA[#Data],YES_Writing_FLA[#Data]),MATCH($A245,_xlfn.VSTACK(YES_Writing_ELA[Student Number],YES_Writing_FLA[Student Number]),0),MATCH(VLOOKUP(H$7,'Writing Logic'!$J$7:$K$11,2,FALSE)&amp;" - Per "&amp;VLOOKUP($C$4,'Writing Logic'!$G$8:$H$14,2,FALSE),YES_Writing_ELA[#Headers],0)))),"")</f>
        <v/>
      </c>
      <c r="I245" s="224" t="str" cm="1">
        <f t="array" aca="1" ref="I245" ca="1">IFERROR(
IF($G$3="ELA",
IF(VLOOKUP($A245, YES_Reading_ELA[], COLUMN(INDIRECT("YES_Reading_ELA[Difference - Per "&amp;VLOOKUP($G$4, 'Reading Report Logic'!$A$2:$B$8, 2, FALSE)&amp;"]")), FALSE)="", "",
VLOOKUP($A245,YES_Reading_ELA[], COLUMN(INDIRECT("YES_Reading_ELA[Difference - Per "&amp;VLOOKUP($G$4,'Reading Report Logic'!$A$2:$B$8,2,FALSE)&amp;"]")), FALSE)),
IF($G$3="FLA",
IF(VLOOKUP($A245, YES_Reading_FLA[], COLUMN(INDIRECT("YES_Reading_FLA[Difference - Per "&amp;VLOOKUP($G$4,'Reading Report Logic'!$A$2:$B$8,2,FALSE)&amp;"]")),FALSE)="","",
VLOOKUP($A245,YES_Reading_FLA[],COLUMN(INDIRECT("YES_Reading_FLA[Difference - Per "&amp;VLOOKUP($G$4,'Reading Report Logic'!$A$2:$B$8,2,FALSE)&amp;"]")),FALSE)),
IF($G$3="Combined",
IFERROR(
IF(VLOOKUP($A245, YES_Reading_ELA[], COLUMN(INDIRECT("YES_Reading_ELA[Difference - Per "&amp;VLOOKUP($G$4, 'Reading Report Logic'!$A$2:$B$8,2,FALSE)&amp;"]")), FALSE)="", "",
VLOOKUP($A245,YES_Reading_ELA[],COLUMN(INDIRECT("YES_Reading_ELA[Difference - Per "&amp;VLOOKUP($G$4,'Reading Report Logic'!$A$2:$B$8,2,FALSE)&amp;"]")),FALSE)),
IF(VLOOKUP($A245, YES_Reading_FLA[], COLUMN(INDIRECT("YES_Reading_FLA[Difference - Per "&amp;VLOOKUP($G$4, 'Reading Report Logic'!$A$2:$B$8, 2, FALSE)&amp;"]")),FALSE)="", "", VLOOKUP($A245,YES_Reading_FLA[],COLUMN(INDIRECT("YES_Reading_FLA[Difference - Per "&amp;VLOOKUP($G$4, 'Reading Report Logic'!$A$2:$B$8, 2, FALSE)&amp;"]")),FALSE))),""))),"")</f>
        <v/>
      </c>
    </row>
    <row r="246" spans="1:9" x14ac:dyDescent="0.25">
      <c r="A246" s="137"/>
      <c r="B246" s="137" t="str">
        <f>IFERROR(INDEX(_xlfn.VSTACK(YES_Writing_ELA[#Data], YES_Writing_FLA[#Data]),MATCH($A246,_xlfn.VSTACK(YES_Writing_ELA[Student Number], YES_Writing_FLA[Student Number]),0),MATCH(B$7,YES_Writing_ELA[#Headers],0)),IFERROR(INDEX(_xlfn.VSTACK(YES_Reading_ELA[#Data], YES_Reading_FLA[#Data]),MATCH($A246,_xlfn.VSTACK(YES_Reading_ELA[Student Number], YES_Reading_FLA[Student Number]),0),MATCH(B$7,YES_Reading_ELA[#Headers],0)),""))</f>
        <v/>
      </c>
      <c r="C246" s="137" t="str">
        <f>IFERROR(INDEX(_xlfn.VSTACK(YES_Writing_ELA[#Data], YES_Writing_FLA[#Data]),MATCH($A246,_xlfn.VSTACK(YES_Writing_ELA[Student Number], YES_Writing_FLA[Student Number]),0),MATCH(C$7,YES_Writing_ELA[#Headers],0)),IFERROR(INDEX(_xlfn.VSTACK(YES_Reading_ELA[#Data], YES_Reading_FLA[#Data]),MATCH($A246,_xlfn.VSTACK(YES_Reading_ELA[Student Number], YES_Reading_FLA[Student Number]),0),MATCH(C$7,YES_Reading_ELA[#Headers],0)),""))</f>
        <v/>
      </c>
      <c r="D246" s="138" t="str">
        <f>IFERROR(IF(IF(INDEX(_xlfn.VSTACK(YES_Writing_ELA[#Data],YES_Writing_FLA[#Data]),MATCH($A246,_xlfn.VSTACK(YES_Writing_ELA[Student Number],YES_Writing_FLA[Student Number]),0),MATCH(VLOOKUP(D$7,'Writing Logic'!$J$7:$K$11,2,FALSE)&amp;" - Per "&amp;VLOOKUP($C$4,'Writing Logic'!$G$8:$H$14,2,FALSE),YES_Writing_ELA[#Headers],0))=0,"",INDEX(_xlfn.VSTACK(YES_Writing_ELA[#Data],YES_Writing_FLA[#Data]),MATCH($A246,_xlfn.VSTACK(YES_Writing_ELA[Student Number],YES_Writing_FLA[Student Number]),0),MATCH(VLOOKUP(D$7,'Writing Logic'!$J$7:$K$11,2,FALSE)&amp;" - Per "&amp;VLOOKUP($C$4,'Writing Logic'!$G$8:$H$14,2,FALSE),YES_Writing_ELA[#Headers],0)))="INS",'Writing Logic'!$B$7,IF(INDEX(_xlfn.VSTACK(YES_Writing_ELA[#Data],YES_Writing_FLA[#Data]),MATCH($A246,_xlfn.VSTACK(YES_Writing_ELA[Student Number],YES_Writing_FLA[Student Number]),0),MATCH(VLOOKUP(D$7,'Writing Logic'!$J$7:$K$11,2,FALSE)&amp;" - Per "&amp;VLOOKUP($C$4,'Writing Logic'!$G$8:$H$14,2,FALSE),YES_Writing_ELA[#Headers],0))=0,"",INDEX(_xlfn.VSTACK(YES_Writing_ELA[#Data],YES_Writing_FLA[#Data]),MATCH($A246,_xlfn.VSTACK(YES_Writing_ELA[Student Number],YES_Writing_FLA[Student Number]),0),MATCH(VLOOKUP(D$7,'Writing Logic'!$J$7:$K$11,2,FALSE)&amp;" - Per "&amp;VLOOKUP($C$4,'Writing Logic'!$G$8:$H$14,2,FALSE),YES_Writing_ELA[#Headers],0)))),"")</f>
        <v/>
      </c>
      <c r="E246" s="138" t="str">
        <f>IFERROR(IF(IF(INDEX(_xlfn.VSTACK(YES_Writing_ELA[#Data],YES_Writing_FLA[#Data]),MATCH($A246,_xlfn.VSTACK(YES_Writing_ELA[Student Number],YES_Writing_FLA[Student Number]),0),MATCH(VLOOKUP(E$7,'Writing Logic'!$J$7:$K$11,2,FALSE)&amp;" - Per "&amp;VLOOKUP($C$4,'Writing Logic'!$G$8:$H$14,2,FALSE),YES_Writing_ELA[#Headers],0))=0,"",INDEX(_xlfn.VSTACK(YES_Writing_ELA[#Data],YES_Writing_FLA[#Data]),MATCH($A246,_xlfn.VSTACK(YES_Writing_ELA[Student Number],YES_Writing_FLA[Student Number]),0),MATCH(VLOOKUP(E$7,'Writing Logic'!$J$7:$K$11,2,FALSE)&amp;" - Per "&amp;VLOOKUP($C$4,'Writing Logic'!$G$8:$H$14,2,FALSE),YES_Writing_ELA[#Headers],0)))="INS",'Writing Logic'!$B$7,IF(INDEX(_xlfn.VSTACK(YES_Writing_ELA[#Data],YES_Writing_FLA[#Data]),MATCH($A246,_xlfn.VSTACK(YES_Writing_ELA[Student Number],YES_Writing_FLA[Student Number]),0),MATCH(VLOOKUP(E$7,'Writing Logic'!$J$7:$K$11,2,FALSE)&amp;" - Per "&amp;VLOOKUP($C$4,'Writing Logic'!$G$8:$H$14,2,FALSE),YES_Writing_ELA[#Headers],0))=0,"",INDEX(_xlfn.VSTACK(YES_Writing_ELA[#Data],YES_Writing_FLA[#Data]),MATCH($A246,_xlfn.VSTACK(YES_Writing_ELA[Student Number],YES_Writing_FLA[Student Number]),0),MATCH(VLOOKUP(E$7,'Writing Logic'!$J$7:$K$11,2,FALSE)&amp;" - Per "&amp;VLOOKUP($C$4,'Writing Logic'!$G$8:$H$14,2,FALSE),YES_Writing_ELA[#Headers],0)))),"")</f>
        <v/>
      </c>
      <c r="F246" s="138" t="str">
        <f>IFERROR(IF(IF(INDEX(_xlfn.VSTACK(YES_Writing_ELA[#Data],YES_Writing_FLA[#Data]),MATCH($A246,_xlfn.VSTACK(YES_Writing_ELA[Student Number],YES_Writing_FLA[Student Number]),0),MATCH(VLOOKUP(F$7,'Writing Logic'!$J$7:$K$11,2,FALSE)&amp;" - Per "&amp;VLOOKUP($C$4,'Writing Logic'!$G$8:$H$14,2,FALSE),YES_Writing_ELA[#Headers],0))=0,"",INDEX(_xlfn.VSTACK(YES_Writing_ELA[#Data],YES_Writing_FLA[#Data]),MATCH($A246,_xlfn.VSTACK(YES_Writing_ELA[Student Number],YES_Writing_FLA[Student Number]),0),MATCH(VLOOKUP(F$7,'Writing Logic'!$J$7:$K$11,2,FALSE)&amp;" - Per "&amp;VLOOKUP($C$4,'Writing Logic'!$G$8:$H$14,2,FALSE),YES_Writing_ELA[#Headers],0)))="INS",'Writing Logic'!$B$7,IF(INDEX(_xlfn.VSTACK(YES_Writing_ELA[#Data],YES_Writing_FLA[#Data]),MATCH($A246,_xlfn.VSTACK(YES_Writing_ELA[Student Number],YES_Writing_FLA[Student Number]),0),MATCH(VLOOKUP(F$7,'Writing Logic'!$J$7:$K$11,2,FALSE)&amp;" - Per "&amp;VLOOKUP($C$4,'Writing Logic'!$G$8:$H$14,2,FALSE),YES_Writing_ELA[#Headers],0))=0,"",INDEX(_xlfn.VSTACK(YES_Writing_ELA[#Data],YES_Writing_FLA[#Data]),MATCH($A246,_xlfn.VSTACK(YES_Writing_ELA[Student Number],YES_Writing_FLA[Student Number]),0),MATCH(VLOOKUP(F$7,'Writing Logic'!$J$7:$K$11,2,FALSE)&amp;" - Per "&amp;VLOOKUP($C$4,'Writing Logic'!$G$8:$H$14,2,FALSE),YES_Writing_ELA[#Headers],0)))),"")</f>
        <v/>
      </c>
      <c r="G246" s="138" t="str">
        <f>IFERROR(IF(IF(INDEX(_xlfn.VSTACK(YES_Writing_ELA[#Data],YES_Writing_FLA[#Data]),MATCH($A246,_xlfn.VSTACK(YES_Writing_ELA[Student Number],YES_Writing_FLA[Student Number]),0),MATCH(VLOOKUP(G$7,'Writing Logic'!$J$7:$K$11,2,FALSE)&amp;" - Per "&amp;VLOOKUP($C$4,'Writing Logic'!$G$8:$H$14,2,FALSE),YES_Writing_ELA[#Headers],0))=0,"",INDEX(_xlfn.VSTACK(YES_Writing_ELA[#Data],YES_Writing_FLA[#Data]),MATCH($A246,_xlfn.VSTACK(YES_Writing_ELA[Student Number],YES_Writing_FLA[Student Number]),0),MATCH(VLOOKUP(G$7,'Writing Logic'!$J$7:$K$11,2,FALSE)&amp;" - Per "&amp;VLOOKUP($C$4,'Writing Logic'!$G$8:$H$14,2,FALSE),YES_Writing_ELA[#Headers],0)))="INS",'Writing Logic'!$B$7,IF(INDEX(_xlfn.VSTACK(YES_Writing_ELA[#Data],YES_Writing_FLA[#Data]),MATCH($A246,_xlfn.VSTACK(YES_Writing_ELA[Student Number],YES_Writing_FLA[Student Number]),0),MATCH(VLOOKUP(G$7,'Writing Logic'!$J$7:$K$11,2,FALSE)&amp;" - Per "&amp;VLOOKUP($C$4,'Writing Logic'!$G$8:$H$14,2,FALSE),YES_Writing_ELA[#Headers],0))=0,"",INDEX(_xlfn.VSTACK(YES_Writing_ELA[#Data],YES_Writing_FLA[#Data]),MATCH($A246,_xlfn.VSTACK(YES_Writing_ELA[Student Number],YES_Writing_FLA[Student Number]),0),MATCH(VLOOKUP(G$7,'Writing Logic'!$J$7:$K$11,2,FALSE)&amp;" - Per "&amp;VLOOKUP($C$4,'Writing Logic'!$G$8:$H$14,2,FALSE),YES_Writing_ELA[#Headers],0)))),"")</f>
        <v/>
      </c>
      <c r="H246" s="223" t="str">
        <f>IFERROR(IF(IF(INDEX(_xlfn.VSTACK(YES_Writing_ELA[#Data],YES_Writing_FLA[#Data]),MATCH($A246,_xlfn.VSTACK(YES_Writing_ELA[Student Number],YES_Writing_FLA[Student Number]),0),MATCH(VLOOKUP(H$7,'Writing Logic'!$J$7:$K$11,2,FALSE)&amp;" - Per "&amp;VLOOKUP($C$4,'Writing Logic'!$G$8:$H$14,2,FALSE),YES_Writing_ELA[#Headers],0))=0,"",INDEX(_xlfn.VSTACK(YES_Writing_ELA[#Data],YES_Writing_FLA[#Data]),MATCH($A246,_xlfn.VSTACK(YES_Writing_ELA[Student Number],YES_Writing_FLA[Student Number]),0),MATCH(VLOOKUP(H$7,'Writing Logic'!$J$7:$K$11,2,FALSE)&amp;" - Per "&amp;VLOOKUP($C$4,'Writing Logic'!$G$8:$H$14,2,FALSE),YES_Writing_ELA[#Headers],0)))="INS",'Writing Logic'!$B$7,IF(INDEX(_xlfn.VSTACK(YES_Writing_ELA[#Data],YES_Writing_FLA[#Data]),MATCH($A246,_xlfn.VSTACK(YES_Writing_ELA[Student Number],YES_Writing_FLA[Student Number]),0),MATCH(VLOOKUP(H$7,'Writing Logic'!$J$7:$K$11,2,FALSE)&amp;" - Per "&amp;VLOOKUP($C$4,'Writing Logic'!$G$8:$H$14,2,FALSE),YES_Writing_ELA[#Headers],0))=0,"",INDEX(_xlfn.VSTACK(YES_Writing_ELA[#Data],YES_Writing_FLA[#Data]),MATCH($A246,_xlfn.VSTACK(YES_Writing_ELA[Student Number],YES_Writing_FLA[Student Number]),0),MATCH(VLOOKUP(H$7,'Writing Logic'!$J$7:$K$11,2,FALSE)&amp;" - Per "&amp;VLOOKUP($C$4,'Writing Logic'!$G$8:$H$14,2,FALSE),YES_Writing_ELA[#Headers],0)))),"")</f>
        <v/>
      </c>
      <c r="I246" s="224" t="str" cm="1">
        <f t="array" aca="1" ref="I246" ca="1">IFERROR(
IF($G$3="ELA",
IF(VLOOKUP($A246, YES_Reading_ELA[], COLUMN(INDIRECT("YES_Reading_ELA[Difference - Per "&amp;VLOOKUP($G$4, 'Reading Report Logic'!$A$2:$B$8, 2, FALSE)&amp;"]")), FALSE)="", "",
VLOOKUP($A246,YES_Reading_ELA[], COLUMN(INDIRECT("YES_Reading_ELA[Difference - Per "&amp;VLOOKUP($G$4,'Reading Report Logic'!$A$2:$B$8,2,FALSE)&amp;"]")), FALSE)),
IF($G$3="FLA",
IF(VLOOKUP($A246, YES_Reading_FLA[], COLUMN(INDIRECT("YES_Reading_FLA[Difference - Per "&amp;VLOOKUP($G$4,'Reading Report Logic'!$A$2:$B$8,2,FALSE)&amp;"]")),FALSE)="","",
VLOOKUP($A246,YES_Reading_FLA[],COLUMN(INDIRECT("YES_Reading_FLA[Difference - Per "&amp;VLOOKUP($G$4,'Reading Report Logic'!$A$2:$B$8,2,FALSE)&amp;"]")),FALSE)),
IF($G$3="Combined",
IFERROR(
IF(VLOOKUP($A246, YES_Reading_ELA[], COLUMN(INDIRECT("YES_Reading_ELA[Difference - Per "&amp;VLOOKUP($G$4, 'Reading Report Logic'!$A$2:$B$8,2,FALSE)&amp;"]")), FALSE)="", "",
VLOOKUP($A246,YES_Reading_ELA[],COLUMN(INDIRECT("YES_Reading_ELA[Difference - Per "&amp;VLOOKUP($G$4,'Reading Report Logic'!$A$2:$B$8,2,FALSE)&amp;"]")),FALSE)),
IF(VLOOKUP($A246, YES_Reading_FLA[], COLUMN(INDIRECT("YES_Reading_FLA[Difference - Per "&amp;VLOOKUP($G$4, 'Reading Report Logic'!$A$2:$B$8, 2, FALSE)&amp;"]")),FALSE)="", "", VLOOKUP($A246,YES_Reading_FLA[],COLUMN(INDIRECT("YES_Reading_FLA[Difference - Per "&amp;VLOOKUP($G$4, 'Reading Report Logic'!$A$2:$B$8, 2, FALSE)&amp;"]")),FALSE))),""))),"")</f>
        <v/>
      </c>
    </row>
    <row r="247" spans="1:9" x14ac:dyDescent="0.25">
      <c r="A247" s="137"/>
      <c r="B247" s="137" t="str">
        <f>IFERROR(INDEX(_xlfn.VSTACK(YES_Writing_ELA[#Data], YES_Writing_FLA[#Data]),MATCH($A247,_xlfn.VSTACK(YES_Writing_ELA[Student Number], YES_Writing_FLA[Student Number]),0),MATCH(B$7,YES_Writing_ELA[#Headers],0)),IFERROR(INDEX(_xlfn.VSTACK(YES_Reading_ELA[#Data], YES_Reading_FLA[#Data]),MATCH($A247,_xlfn.VSTACK(YES_Reading_ELA[Student Number], YES_Reading_FLA[Student Number]),0),MATCH(B$7,YES_Reading_ELA[#Headers],0)),""))</f>
        <v/>
      </c>
      <c r="C247" s="137" t="str">
        <f>IFERROR(INDEX(_xlfn.VSTACK(YES_Writing_ELA[#Data], YES_Writing_FLA[#Data]),MATCH($A247,_xlfn.VSTACK(YES_Writing_ELA[Student Number], YES_Writing_FLA[Student Number]),0),MATCH(C$7,YES_Writing_ELA[#Headers],0)),IFERROR(INDEX(_xlfn.VSTACK(YES_Reading_ELA[#Data], YES_Reading_FLA[#Data]),MATCH($A247,_xlfn.VSTACK(YES_Reading_ELA[Student Number], YES_Reading_FLA[Student Number]),0),MATCH(C$7,YES_Reading_ELA[#Headers],0)),""))</f>
        <v/>
      </c>
      <c r="D247" s="138" t="str">
        <f>IFERROR(IF(IF(INDEX(_xlfn.VSTACK(YES_Writing_ELA[#Data],YES_Writing_FLA[#Data]),MATCH($A247,_xlfn.VSTACK(YES_Writing_ELA[Student Number],YES_Writing_FLA[Student Number]),0),MATCH(VLOOKUP(D$7,'Writing Logic'!$J$7:$K$11,2,FALSE)&amp;" - Per "&amp;VLOOKUP($C$4,'Writing Logic'!$G$8:$H$14,2,FALSE),YES_Writing_ELA[#Headers],0))=0,"",INDEX(_xlfn.VSTACK(YES_Writing_ELA[#Data],YES_Writing_FLA[#Data]),MATCH($A247,_xlfn.VSTACK(YES_Writing_ELA[Student Number],YES_Writing_FLA[Student Number]),0),MATCH(VLOOKUP(D$7,'Writing Logic'!$J$7:$K$11,2,FALSE)&amp;" - Per "&amp;VLOOKUP($C$4,'Writing Logic'!$G$8:$H$14,2,FALSE),YES_Writing_ELA[#Headers],0)))="INS",'Writing Logic'!$B$7,IF(INDEX(_xlfn.VSTACK(YES_Writing_ELA[#Data],YES_Writing_FLA[#Data]),MATCH($A247,_xlfn.VSTACK(YES_Writing_ELA[Student Number],YES_Writing_FLA[Student Number]),0),MATCH(VLOOKUP(D$7,'Writing Logic'!$J$7:$K$11,2,FALSE)&amp;" - Per "&amp;VLOOKUP($C$4,'Writing Logic'!$G$8:$H$14,2,FALSE),YES_Writing_ELA[#Headers],0))=0,"",INDEX(_xlfn.VSTACK(YES_Writing_ELA[#Data],YES_Writing_FLA[#Data]),MATCH($A247,_xlfn.VSTACK(YES_Writing_ELA[Student Number],YES_Writing_FLA[Student Number]),0),MATCH(VLOOKUP(D$7,'Writing Logic'!$J$7:$K$11,2,FALSE)&amp;" - Per "&amp;VLOOKUP($C$4,'Writing Logic'!$G$8:$H$14,2,FALSE),YES_Writing_ELA[#Headers],0)))),"")</f>
        <v/>
      </c>
      <c r="E247" s="138" t="str">
        <f>IFERROR(IF(IF(INDEX(_xlfn.VSTACK(YES_Writing_ELA[#Data],YES_Writing_FLA[#Data]),MATCH($A247,_xlfn.VSTACK(YES_Writing_ELA[Student Number],YES_Writing_FLA[Student Number]),0),MATCH(VLOOKUP(E$7,'Writing Logic'!$J$7:$K$11,2,FALSE)&amp;" - Per "&amp;VLOOKUP($C$4,'Writing Logic'!$G$8:$H$14,2,FALSE),YES_Writing_ELA[#Headers],0))=0,"",INDEX(_xlfn.VSTACK(YES_Writing_ELA[#Data],YES_Writing_FLA[#Data]),MATCH($A247,_xlfn.VSTACK(YES_Writing_ELA[Student Number],YES_Writing_FLA[Student Number]),0),MATCH(VLOOKUP(E$7,'Writing Logic'!$J$7:$K$11,2,FALSE)&amp;" - Per "&amp;VLOOKUP($C$4,'Writing Logic'!$G$8:$H$14,2,FALSE),YES_Writing_ELA[#Headers],0)))="INS",'Writing Logic'!$B$7,IF(INDEX(_xlfn.VSTACK(YES_Writing_ELA[#Data],YES_Writing_FLA[#Data]),MATCH($A247,_xlfn.VSTACK(YES_Writing_ELA[Student Number],YES_Writing_FLA[Student Number]),0),MATCH(VLOOKUP(E$7,'Writing Logic'!$J$7:$K$11,2,FALSE)&amp;" - Per "&amp;VLOOKUP($C$4,'Writing Logic'!$G$8:$H$14,2,FALSE),YES_Writing_ELA[#Headers],0))=0,"",INDEX(_xlfn.VSTACK(YES_Writing_ELA[#Data],YES_Writing_FLA[#Data]),MATCH($A247,_xlfn.VSTACK(YES_Writing_ELA[Student Number],YES_Writing_FLA[Student Number]),0),MATCH(VLOOKUP(E$7,'Writing Logic'!$J$7:$K$11,2,FALSE)&amp;" - Per "&amp;VLOOKUP($C$4,'Writing Logic'!$G$8:$H$14,2,FALSE),YES_Writing_ELA[#Headers],0)))),"")</f>
        <v/>
      </c>
      <c r="F247" s="138" t="str">
        <f>IFERROR(IF(IF(INDEX(_xlfn.VSTACK(YES_Writing_ELA[#Data],YES_Writing_FLA[#Data]),MATCH($A247,_xlfn.VSTACK(YES_Writing_ELA[Student Number],YES_Writing_FLA[Student Number]),0),MATCH(VLOOKUP(F$7,'Writing Logic'!$J$7:$K$11,2,FALSE)&amp;" - Per "&amp;VLOOKUP($C$4,'Writing Logic'!$G$8:$H$14,2,FALSE),YES_Writing_ELA[#Headers],0))=0,"",INDEX(_xlfn.VSTACK(YES_Writing_ELA[#Data],YES_Writing_FLA[#Data]),MATCH($A247,_xlfn.VSTACK(YES_Writing_ELA[Student Number],YES_Writing_FLA[Student Number]),0),MATCH(VLOOKUP(F$7,'Writing Logic'!$J$7:$K$11,2,FALSE)&amp;" - Per "&amp;VLOOKUP($C$4,'Writing Logic'!$G$8:$H$14,2,FALSE),YES_Writing_ELA[#Headers],0)))="INS",'Writing Logic'!$B$7,IF(INDEX(_xlfn.VSTACK(YES_Writing_ELA[#Data],YES_Writing_FLA[#Data]),MATCH($A247,_xlfn.VSTACK(YES_Writing_ELA[Student Number],YES_Writing_FLA[Student Number]),0),MATCH(VLOOKUP(F$7,'Writing Logic'!$J$7:$K$11,2,FALSE)&amp;" - Per "&amp;VLOOKUP($C$4,'Writing Logic'!$G$8:$H$14,2,FALSE),YES_Writing_ELA[#Headers],0))=0,"",INDEX(_xlfn.VSTACK(YES_Writing_ELA[#Data],YES_Writing_FLA[#Data]),MATCH($A247,_xlfn.VSTACK(YES_Writing_ELA[Student Number],YES_Writing_FLA[Student Number]),0),MATCH(VLOOKUP(F$7,'Writing Logic'!$J$7:$K$11,2,FALSE)&amp;" - Per "&amp;VLOOKUP($C$4,'Writing Logic'!$G$8:$H$14,2,FALSE),YES_Writing_ELA[#Headers],0)))),"")</f>
        <v/>
      </c>
      <c r="G247" s="138" t="str">
        <f>IFERROR(IF(IF(INDEX(_xlfn.VSTACK(YES_Writing_ELA[#Data],YES_Writing_FLA[#Data]),MATCH($A247,_xlfn.VSTACK(YES_Writing_ELA[Student Number],YES_Writing_FLA[Student Number]),0),MATCH(VLOOKUP(G$7,'Writing Logic'!$J$7:$K$11,2,FALSE)&amp;" - Per "&amp;VLOOKUP($C$4,'Writing Logic'!$G$8:$H$14,2,FALSE),YES_Writing_ELA[#Headers],0))=0,"",INDEX(_xlfn.VSTACK(YES_Writing_ELA[#Data],YES_Writing_FLA[#Data]),MATCH($A247,_xlfn.VSTACK(YES_Writing_ELA[Student Number],YES_Writing_FLA[Student Number]),0),MATCH(VLOOKUP(G$7,'Writing Logic'!$J$7:$K$11,2,FALSE)&amp;" - Per "&amp;VLOOKUP($C$4,'Writing Logic'!$G$8:$H$14,2,FALSE),YES_Writing_ELA[#Headers],0)))="INS",'Writing Logic'!$B$7,IF(INDEX(_xlfn.VSTACK(YES_Writing_ELA[#Data],YES_Writing_FLA[#Data]),MATCH($A247,_xlfn.VSTACK(YES_Writing_ELA[Student Number],YES_Writing_FLA[Student Number]),0),MATCH(VLOOKUP(G$7,'Writing Logic'!$J$7:$K$11,2,FALSE)&amp;" - Per "&amp;VLOOKUP($C$4,'Writing Logic'!$G$8:$H$14,2,FALSE),YES_Writing_ELA[#Headers],0))=0,"",INDEX(_xlfn.VSTACK(YES_Writing_ELA[#Data],YES_Writing_FLA[#Data]),MATCH($A247,_xlfn.VSTACK(YES_Writing_ELA[Student Number],YES_Writing_FLA[Student Number]),0),MATCH(VLOOKUP(G$7,'Writing Logic'!$J$7:$K$11,2,FALSE)&amp;" - Per "&amp;VLOOKUP($C$4,'Writing Logic'!$G$8:$H$14,2,FALSE),YES_Writing_ELA[#Headers],0)))),"")</f>
        <v/>
      </c>
      <c r="H247" s="223" t="str">
        <f>IFERROR(IF(IF(INDEX(_xlfn.VSTACK(YES_Writing_ELA[#Data],YES_Writing_FLA[#Data]),MATCH($A247,_xlfn.VSTACK(YES_Writing_ELA[Student Number],YES_Writing_FLA[Student Number]),0),MATCH(VLOOKUP(H$7,'Writing Logic'!$J$7:$K$11,2,FALSE)&amp;" - Per "&amp;VLOOKUP($C$4,'Writing Logic'!$G$8:$H$14,2,FALSE),YES_Writing_ELA[#Headers],0))=0,"",INDEX(_xlfn.VSTACK(YES_Writing_ELA[#Data],YES_Writing_FLA[#Data]),MATCH($A247,_xlfn.VSTACK(YES_Writing_ELA[Student Number],YES_Writing_FLA[Student Number]),0),MATCH(VLOOKUP(H$7,'Writing Logic'!$J$7:$K$11,2,FALSE)&amp;" - Per "&amp;VLOOKUP($C$4,'Writing Logic'!$G$8:$H$14,2,FALSE),YES_Writing_ELA[#Headers],0)))="INS",'Writing Logic'!$B$7,IF(INDEX(_xlfn.VSTACK(YES_Writing_ELA[#Data],YES_Writing_FLA[#Data]),MATCH($A247,_xlfn.VSTACK(YES_Writing_ELA[Student Number],YES_Writing_FLA[Student Number]),0),MATCH(VLOOKUP(H$7,'Writing Logic'!$J$7:$K$11,2,FALSE)&amp;" - Per "&amp;VLOOKUP($C$4,'Writing Logic'!$G$8:$H$14,2,FALSE),YES_Writing_ELA[#Headers],0))=0,"",INDEX(_xlfn.VSTACK(YES_Writing_ELA[#Data],YES_Writing_FLA[#Data]),MATCH($A247,_xlfn.VSTACK(YES_Writing_ELA[Student Number],YES_Writing_FLA[Student Number]),0),MATCH(VLOOKUP(H$7,'Writing Logic'!$J$7:$K$11,2,FALSE)&amp;" - Per "&amp;VLOOKUP($C$4,'Writing Logic'!$G$8:$H$14,2,FALSE),YES_Writing_ELA[#Headers],0)))),"")</f>
        <v/>
      </c>
      <c r="I247" s="224" t="str" cm="1">
        <f t="array" aca="1" ref="I247" ca="1">IFERROR(
IF($G$3="ELA",
IF(VLOOKUP($A247, YES_Reading_ELA[], COLUMN(INDIRECT("YES_Reading_ELA[Difference - Per "&amp;VLOOKUP($G$4, 'Reading Report Logic'!$A$2:$B$8, 2, FALSE)&amp;"]")), FALSE)="", "",
VLOOKUP($A247,YES_Reading_ELA[], COLUMN(INDIRECT("YES_Reading_ELA[Difference - Per "&amp;VLOOKUP($G$4,'Reading Report Logic'!$A$2:$B$8,2,FALSE)&amp;"]")), FALSE)),
IF($G$3="FLA",
IF(VLOOKUP($A247, YES_Reading_FLA[], COLUMN(INDIRECT("YES_Reading_FLA[Difference - Per "&amp;VLOOKUP($G$4,'Reading Report Logic'!$A$2:$B$8,2,FALSE)&amp;"]")),FALSE)="","",
VLOOKUP($A247,YES_Reading_FLA[],COLUMN(INDIRECT("YES_Reading_FLA[Difference - Per "&amp;VLOOKUP($G$4,'Reading Report Logic'!$A$2:$B$8,2,FALSE)&amp;"]")),FALSE)),
IF($G$3="Combined",
IFERROR(
IF(VLOOKUP($A247, YES_Reading_ELA[], COLUMN(INDIRECT("YES_Reading_ELA[Difference - Per "&amp;VLOOKUP($G$4, 'Reading Report Logic'!$A$2:$B$8,2,FALSE)&amp;"]")), FALSE)="", "",
VLOOKUP($A247,YES_Reading_ELA[],COLUMN(INDIRECT("YES_Reading_ELA[Difference - Per "&amp;VLOOKUP($G$4,'Reading Report Logic'!$A$2:$B$8,2,FALSE)&amp;"]")),FALSE)),
IF(VLOOKUP($A247, YES_Reading_FLA[], COLUMN(INDIRECT("YES_Reading_FLA[Difference - Per "&amp;VLOOKUP($G$4, 'Reading Report Logic'!$A$2:$B$8, 2, FALSE)&amp;"]")),FALSE)="", "", VLOOKUP($A247,YES_Reading_FLA[],COLUMN(INDIRECT("YES_Reading_FLA[Difference - Per "&amp;VLOOKUP($G$4, 'Reading Report Logic'!$A$2:$B$8, 2, FALSE)&amp;"]")),FALSE))),""))),"")</f>
        <v/>
      </c>
    </row>
    <row r="248" spans="1:9" x14ac:dyDescent="0.25">
      <c r="A248" s="137"/>
      <c r="B248" s="137" t="str">
        <f>IFERROR(INDEX(_xlfn.VSTACK(YES_Writing_ELA[#Data], YES_Writing_FLA[#Data]),MATCH($A248,_xlfn.VSTACK(YES_Writing_ELA[Student Number], YES_Writing_FLA[Student Number]),0),MATCH(B$7,YES_Writing_ELA[#Headers],0)),IFERROR(INDEX(_xlfn.VSTACK(YES_Reading_ELA[#Data], YES_Reading_FLA[#Data]),MATCH($A248,_xlfn.VSTACK(YES_Reading_ELA[Student Number], YES_Reading_FLA[Student Number]),0),MATCH(B$7,YES_Reading_ELA[#Headers],0)),""))</f>
        <v/>
      </c>
      <c r="C248" s="137" t="str">
        <f>IFERROR(INDEX(_xlfn.VSTACK(YES_Writing_ELA[#Data], YES_Writing_FLA[#Data]),MATCH($A248,_xlfn.VSTACK(YES_Writing_ELA[Student Number], YES_Writing_FLA[Student Number]),0),MATCH(C$7,YES_Writing_ELA[#Headers],0)),IFERROR(INDEX(_xlfn.VSTACK(YES_Reading_ELA[#Data], YES_Reading_FLA[#Data]),MATCH($A248,_xlfn.VSTACK(YES_Reading_ELA[Student Number], YES_Reading_FLA[Student Number]),0),MATCH(C$7,YES_Reading_ELA[#Headers],0)),""))</f>
        <v/>
      </c>
      <c r="D248" s="138" t="str">
        <f>IFERROR(IF(IF(INDEX(_xlfn.VSTACK(YES_Writing_ELA[#Data],YES_Writing_FLA[#Data]),MATCH($A248,_xlfn.VSTACK(YES_Writing_ELA[Student Number],YES_Writing_FLA[Student Number]),0),MATCH(VLOOKUP(D$7,'Writing Logic'!$J$7:$K$11,2,FALSE)&amp;" - Per "&amp;VLOOKUP($C$4,'Writing Logic'!$G$8:$H$14,2,FALSE),YES_Writing_ELA[#Headers],0))=0,"",INDEX(_xlfn.VSTACK(YES_Writing_ELA[#Data],YES_Writing_FLA[#Data]),MATCH($A248,_xlfn.VSTACK(YES_Writing_ELA[Student Number],YES_Writing_FLA[Student Number]),0),MATCH(VLOOKUP(D$7,'Writing Logic'!$J$7:$K$11,2,FALSE)&amp;" - Per "&amp;VLOOKUP($C$4,'Writing Logic'!$G$8:$H$14,2,FALSE),YES_Writing_ELA[#Headers],0)))="INS",'Writing Logic'!$B$7,IF(INDEX(_xlfn.VSTACK(YES_Writing_ELA[#Data],YES_Writing_FLA[#Data]),MATCH($A248,_xlfn.VSTACK(YES_Writing_ELA[Student Number],YES_Writing_FLA[Student Number]),0),MATCH(VLOOKUP(D$7,'Writing Logic'!$J$7:$K$11,2,FALSE)&amp;" - Per "&amp;VLOOKUP($C$4,'Writing Logic'!$G$8:$H$14,2,FALSE),YES_Writing_ELA[#Headers],0))=0,"",INDEX(_xlfn.VSTACK(YES_Writing_ELA[#Data],YES_Writing_FLA[#Data]),MATCH($A248,_xlfn.VSTACK(YES_Writing_ELA[Student Number],YES_Writing_FLA[Student Number]),0),MATCH(VLOOKUP(D$7,'Writing Logic'!$J$7:$K$11,2,FALSE)&amp;" - Per "&amp;VLOOKUP($C$4,'Writing Logic'!$G$8:$H$14,2,FALSE),YES_Writing_ELA[#Headers],0)))),"")</f>
        <v/>
      </c>
      <c r="E248" s="138" t="str">
        <f>IFERROR(IF(IF(INDEX(_xlfn.VSTACK(YES_Writing_ELA[#Data],YES_Writing_FLA[#Data]),MATCH($A248,_xlfn.VSTACK(YES_Writing_ELA[Student Number],YES_Writing_FLA[Student Number]),0),MATCH(VLOOKUP(E$7,'Writing Logic'!$J$7:$K$11,2,FALSE)&amp;" - Per "&amp;VLOOKUP($C$4,'Writing Logic'!$G$8:$H$14,2,FALSE),YES_Writing_ELA[#Headers],0))=0,"",INDEX(_xlfn.VSTACK(YES_Writing_ELA[#Data],YES_Writing_FLA[#Data]),MATCH($A248,_xlfn.VSTACK(YES_Writing_ELA[Student Number],YES_Writing_FLA[Student Number]),0),MATCH(VLOOKUP(E$7,'Writing Logic'!$J$7:$K$11,2,FALSE)&amp;" - Per "&amp;VLOOKUP($C$4,'Writing Logic'!$G$8:$H$14,2,FALSE),YES_Writing_ELA[#Headers],0)))="INS",'Writing Logic'!$B$7,IF(INDEX(_xlfn.VSTACK(YES_Writing_ELA[#Data],YES_Writing_FLA[#Data]),MATCH($A248,_xlfn.VSTACK(YES_Writing_ELA[Student Number],YES_Writing_FLA[Student Number]),0),MATCH(VLOOKUP(E$7,'Writing Logic'!$J$7:$K$11,2,FALSE)&amp;" - Per "&amp;VLOOKUP($C$4,'Writing Logic'!$G$8:$H$14,2,FALSE),YES_Writing_ELA[#Headers],0))=0,"",INDEX(_xlfn.VSTACK(YES_Writing_ELA[#Data],YES_Writing_FLA[#Data]),MATCH($A248,_xlfn.VSTACK(YES_Writing_ELA[Student Number],YES_Writing_FLA[Student Number]),0),MATCH(VLOOKUP(E$7,'Writing Logic'!$J$7:$K$11,2,FALSE)&amp;" - Per "&amp;VLOOKUP($C$4,'Writing Logic'!$G$8:$H$14,2,FALSE),YES_Writing_ELA[#Headers],0)))),"")</f>
        <v/>
      </c>
      <c r="F248" s="138" t="str">
        <f>IFERROR(IF(IF(INDEX(_xlfn.VSTACK(YES_Writing_ELA[#Data],YES_Writing_FLA[#Data]),MATCH($A248,_xlfn.VSTACK(YES_Writing_ELA[Student Number],YES_Writing_FLA[Student Number]),0),MATCH(VLOOKUP(F$7,'Writing Logic'!$J$7:$K$11,2,FALSE)&amp;" - Per "&amp;VLOOKUP($C$4,'Writing Logic'!$G$8:$H$14,2,FALSE),YES_Writing_ELA[#Headers],0))=0,"",INDEX(_xlfn.VSTACK(YES_Writing_ELA[#Data],YES_Writing_FLA[#Data]),MATCH($A248,_xlfn.VSTACK(YES_Writing_ELA[Student Number],YES_Writing_FLA[Student Number]),0),MATCH(VLOOKUP(F$7,'Writing Logic'!$J$7:$K$11,2,FALSE)&amp;" - Per "&amp;VLOOKUP($C$4,'Writing Logic'!$G$8:$H$14,2,FALSE),YES_Writing_ELA[#Headers],0)))="INS",'Writing Logic'!$B$7,IF(INDEX(_xlfn.VSTACK(YES_Writing_ELA[#Data],YES_Writing_FLA[#Data]),MATCH($A248,_xlfn.VSTACK(YES_Writing_ELA[Student Number],YES_Writing_FLA[Student Number]),0),MATCH(VLOOKUP(F$7,'Writing Logic'!$J$7:$K$11,2,FALSE)&amp;" - Per "&amp;VLOOKUP($C$4,'Writing Logic'!$G$8:$H$14,2,FALSE),YES_Writing_ELA[#Headers],0))=0,"",INDEX(_xlfn.VSTACK(YES_Writing_ELA[#Data],YES_Writing_FLA[#Data]),MATCH($A248,_xlfn.VSTACK(YES_Writing_ELA[Student Number],YES_Writing_FLA[Student Number]),0),MATCH(VLOOKUP(F$7,'Writing Logic'!$J$7:$K$11,2,FALSE)&amp;" - Per "&amp;VLOOKUP($C$4,'Writing Logic'!$G$8:$H$14,2,FALSE),YES_Writing_ELA[#Headers],0)))),"")</f>
        <v/>
      </c>
      <c r="G248" s="138" t="str">
        <f>IFERROR(IF(IF(INDEX(_xlfn.VSTACK(YES_Writing_ELA[#Data],YES_Writing_FLA[#Data]),MATCH($A248,_xlfn.VSTACK(YES_Writing_ELA[Student Number],YES_Writing_FLA[Student Number]),0),MATCH(VLOOKUP(G$7,'Writing Logic'!$J$7:$K$11,2,FALSE)&amp;" - Per "&amp;VLOOKUP($C$4,'Writing Logic'!$G$8:$H$14,2,FALSE),YES_Writing_ELA[#Headers],0))=0,"",INDEX(_xlfn.VSTACK(YES_Writing_ELA[#Data],YES_Writing_FLA[#Data]),MATCH($A248,_xlfn.VSTACK(YES_Writing_ELA[Student Number],YES_Writing_FLA[Student Number]),0),MATCH(VLOOKUP(G$7,'Writing Logic'!$J$7:$K$11,2,FALSE)&amp;" - Per "&amp;VLOOKUP($C$4,'Writing Logic'!$G$8:$H$14,2,FALSE),YES_Writing_ELA[#Headers],0)))="INS",'Writing Logic'!$B$7,IF(INDEX(_xlfn.VSTACK(YES_Writing_ELA[#Data],YES_Writing_FLA[#Data]),MATCH($A248,_xlfn.VSTACK(YES_Writing_ELA[Student Number],YES_Writing_FLA[Student Number]),0),MATCH(VLOOKUP(G$7,'Writing Logic'!$J$7:$K$11,2,FALSE)&amp;" - Per "&amp;VLOOKUP($C$4,'Writing Logic'!$G$8:$H$14,2,FALSE),YES_Writing_ELA[#Headers],0))=0,"",INDEX(_xlfn.VSTACK(YES_Writing_ELA[#Data],YES_Writing_FLA[#Data]),MATCH($A248,_xlfn.VSTACK(YES_Writing_ELA[Student Number],YES_Writing_FLA[Student Number]),0),MATCH(VLOOKUP(G$7,'Writing Logic'!$J$7:$K$11,2,FALSE)&amp;" - Per "&amp;VLOOKUP($C$4,'Writing Logic'!$G$8:$H$14,2,FALSE),YES_Writing_ELA[#Headers],0)))),"")</f>
        <v/>
      </c>
      <c r="H248" s="223" t="str">
        <f>IFERROR(IF(IF(INDEX(_xlfn.VSTACK(YES_Writing_ELA[#Data],YES_Writing_FLA[#Data]),MATCH($A248,_xlfn.VSTACK(YES_Writing_ELA[Student Number],YES_Writing_FLA[Student Number]),0),MATCH(VLOOKUP(H$7,'Writing Logic'!$J$7:$K$11,2,FALSE)&amp;" - Per "&amp;VLOOKUP($C$4,'Writing Logic'!$G$8:$H$14,2,FALSE),YES_Writing_ELA[#Headers],0))=0,"",INDEX(_xlfn.VSTACK(YES_Writing_ELA[#Data],YES_Writing_FLA[#Data]),MATCH($A248,_xlfn.VSTACK(YES_Writing_ELA[Student Number],YES_Writing_FLA[Student Number]),0),MATCH(VLOOKUP(H$7,'Writing Logic'!$J$7:$K$11,2,FALSE)&amp;" - Per "&amp;VLOOKUP($C$4,'Writing Logic'!$G$8:$H$14,2,FALSE),YES_Writing_ELA[#Headers],0)))="INS",'Writing Logic'!$B$7,IF(INDEX(_xlfn.VSTACK(YES_Writing_ELA[#Data],YES_Writing_FLA[#Data]),MATCH($A248,_xlfn.VSTACK(YES_Writing_ELA[Student Number],YES_Writing_FLA[Student Number]),0),MATCH(VLOOKUP(H$7,'Writing Logic'!$J$7:$K$11,2,FALSE)&amp;" - Per "&amp;VLOOKUP($C$4,'Writing Logic'!$G$8:$H$14,2,FALSE),YES_Writing_ELA[#Headers],0))=0,"",INDEX(_xlfn.VSTACK(YES_Writing_ELA[#Data],YES_Writing_FLA[#Data]),MATCH($A248,_xlfn.VSTACK(YES_Writing_ELA[Student Number],YES_Writing_FLA[Student Number]),0),MATCH(VLOOKUP(H$7,'Writing Logic'!$J$7:$K$11,2,FALSE)&amp;" - Per "&amp;VLOOKUP($C$4,'Writing Logic'!$G$8:$H$14,2,FALSE),YES_Writing_ELA[#Headers],0)))),"")</f>
        <v/>
      </c>
      <c r="I248" s="224" t="str" cm="1">
        <f t="array" aca="1" ref="I248" ca="1">IFERROR(
IF($G$3="ELA",
IF(VLOOKUP($A248, YES_Reading_ELA[], COLUMN(INDIRECT("YES_Reading_ELA[Difference - Per "&amp;VLOOKUP($G$4, 'Reading Report Logic'!$A$2:$B$8, 2, FALSE)&amp;"]")), FALSE)="", "",
VLOOKUP($A248,YES_Reading_ELA[], COLUMN(INDIRECT("YES_Reading_ELA[Difference - Per "&amp;VLOOKUP($G$4,'Reading Report Logic'!$A$2:$B$8,2,FALSE)&amp;"]")), FALSE)),
IF($G$3="FLA",
IF(VLOOKUP($A248, YES_Reading_FLA[], COLUMN(INDIRECT("YES_Reading_FLA[Difference - Per "&amp;VLOOKUP($G$4,'Reading Report Logic'!$A$2:$B$8,2,FALSE)&amp;"]")),FALSE)="","",
VLOOKUP($A248,YES_Reading_FLA[],COLUMN(INDIRECT("YES_Reading_FLA[Difference - Per "&amp;VLOOKUP($G$4,'Reading Report Logic'!$A$2:$B$8,2,FALSE)&amp;"]")),FALSE)),
IF($G$3="Combined",
IFERROR(
IF(VLOOKUP($A248, YES_Reading_ELA[], COLUMN(INDIRECT("YES_Reading_ELA[Difference - Per "&amp;VLOOKUP($G$4, 'Reading Report Logic'!$A$2:$B$8,2,FALSE)&amp;"]")), FALSE)="", "",
VLOOKUP($A248,YES_Reading_ELA[],COLUMN(INDIRECT("YES_Reading_ELA[Difference - Per "&amp;VLOOKUP($G$4,'Reading Report Logic'!$A$2:$B$8,2,FALSE)&amp;"]")),FALSE)),
IF(VLOOKUP($A248, YES_Reading_FLA[], COLUMN(INDIRECT("YES_Reading_FLA[Difference - Per "&amp;VLOOKUP($G$4, 'Reading Report Logic'!$A$2:$B$8, 2, FALSE)&amp;"]")),FALSE)="", "", VLOOKUP($A248,YES_Reading_FLA[],COLUMN(INDIRECT("YES_Reading_FLA[Difference - Per "&amp;VLOOKUP($G$4, 'Reading Report Logic'!$A$2:$B$8, 2, FALSE)&amp;"]")),FALSE))),""))),"")</f>
        <v/>
      </c>
    </row>
    <row r="249" spans="1:9" x14ac:dyDescent="0.25">
      <c r="A249" s="137"/>
      <c r="B249" s="137" t="str">
        <f>IFERROR(INDEX(_xlfn.VSTACK(YES_Writing_ELA[#Data], YES_Writing_FLA[#Data]),MATCH($A249,_xlfn.VSTACK(YES_Writing_ELA[Student Number], YES_Writing_FLA[Student Number]),0),MATCH(B$7,YES_Writing_ELA[#Headers],0)),IFERROR(INDEX(_xlfn.VSTACK(YES_Reading_ELA[#Data], YES_Reading_FLA[#Data]),MATCH($A249,_xlfn.VSTACK(YES_Reading_ELA[Student Number], YES_Reading_FLA[Student Number]),0),MATCH(B$7,YES_Reading_ELA[#Headers],0)),""))</f>
        <v/>
      </c>
      <c r="C249" s="137" t="str">
        <f>IFERROR(INDEX(_xlfn.VSTACK(YES_Writing_ELA[#Data], YES_Writing_FLA[#Data]),MATCH($A249,_xlfn.VSTACK(YES_Writing_ELA[Student Number], YES_Writing_FLA[Student Number]),0),MATCH(C$7,YES_Writing_ELA[#Headers],0)),IFERROR(INDEX(_xlfn.VSTACK(YES_Reading_ELA[#Data], YES_Reading_FLA[#Data]),MATCH($A249,_xlfn.VSTACK(YES_Reading_ELA[Student Number], YES_Reading_FLA[Student Number]),0),MATCH(C$7,YES_Reading_ELA[#Headers],0)),""))</f>
        <v/>
      </c>
      <c r="D249" s="138" t="str">
        <f>IFERROR(IF(IF(INDEX(_xlfn.VSTACK(YES_Writing_ELA[#Data],YES_Writing_FLA[#Data]),MATCH($A249,_xlfn.VSTACK(YES_Writing_ELA[Student Number],YES_Writing_FLA[Student Number]),0),MATCH(VLOOKUP(D$7,'Writing Logic'!$J$7:$K$11,2,FALSE)&amp;" - Per "&amp;VLOOKUP($C$4,'Writing Logic'!$G$8:$H$14,2,FALSE),YES_Writing_ELA[#Headers],0))=0,"",INDEX(_xlfn.VSTACK(YES_Writing_ELA[#Data],YES_Writing_FLA[#Data]),MATCH($A249,_xlfn.VSTACK(YES_Writing_ELA[Student Number],YES_Writing_FLA[Student Number]),0),MATCH(VLOOKUP(D$7,'Writing Logic'!$J$7:$K$11,2,FALSE)&amp;" - Per "&amp;VLOOKUP($C$4,'Writing Logic'!$G$8:$H$14,2,FALSE),YES_Writing_ELA[#Headers],0)))="INS",'Writing Logic'!$B$7,IF(INDEX(_xlfn.VSTACK(YES_Writing_ELA[#Data],YES_Writing_FLA[#Data]),MATCH($A249,_xlfn.VSTACK(YES_Writing_ELA[Student Number],YES_Writing_FLA[Student Number]),0),MATCH(VLOOKUP(D$7,'Writing Logic'!$J$7:$K$11,2,FALSE)&amp;" - Per "&amp;VLOOKUP($C$4,'Writing Logic'!$G$8:$H$14,2,FALSE),YES_Writing_ELA[#Headers],0))=0,"",INDEX(_xlfn.VSTACK(YES_Writing_ELA[#Data],YES_Writing_FLA[#Data]),MATCH($A249,_xlfn.VSTACK(YES_Writing_ELA[Student Number],YES_Writing_FLA[Student Number]),0),MATCH(VLOOKUP(D$7,'Writing Logic'!$J$7:$K$11,2,FALSE)&amp;" - Per "&amp;VLOOKUP($C$4,'Writing Logic'!$G$8:$H$14,2,FALSE),YES_Writing_ELA[#Headers],0)))),"")</f>
        <v/>
      </c>
      <c r="E249" s="138" t="str">
        <f>IFERROR(IF(IF(INDEX(_xlfn.VSTACK(YES_Writing_ELA[#Data],YES_Writing_FLA[#Data]),MATCH($A249,_xlfn.VSTACK(YES_Writing_ELA[Student Number],YES_Writing_FLA[Student Number]),0),MATCH(VLOOKUP(E$7,'Writing Logic'!$J$7:$K$11,2,FALSE)&amp;" - Per "&amp;VLOOKUP($C$4,'Writing Logic'!$G$8:$H$14,2,FALSE),YES_Writing_ELA[#Headers],0))=0,"",INDEX(_xlfn.VSTACK(YES_Writing_ELA[#Data],YES_Writing_FLA[#Data]),MATCH($A249,_xlfn.VSTACK(YES_Writing_ELA[Student Number],YES_Writing_FLA[Student Number]),0),MATCH(VLOOKUP(E$7,'Writing Logic'!$J$7:$K$11,2,FALSE)&amp;" - Per "&amp;VLOOKUP($C$4,'Writing Logic'!$G$8:$H$14,2,FALSE),YES_Writing_ELA[#Headers],0)))="INS",'Writing Logic'!$B$7,IF(INDEX(_xlfn.VSTACK(YES_Writing_ELA[#Data],YES_Writing_FLA[#Data]),MATCH($A249,_xlfn.VSTACK(YES_Writing_ELA[Student Number],YES_Writing_FLA[Student Number]),0),MATCH(VLOOKUP(E$7,'Writing Logic'!$J$7:$K$11,2,FALSE)&amp;" - Per "&amp;VLOOKUP($C$4,'Writing Logic'!$G$8:$H$14,2,FALSE),YES_Writing_ELA[#Headers],0))=0,"",INDEX(_xlfn.VSTACK(YES_Writing_ELA[#Data],YES_Writing_FLA[#Data]),MATCH($A249,_xlfn.VSTACK(YES_Writing_ELA[Student Number],YES_Writing_FLA[Student Number]),0),MATCH(VLOOKUP(E$7,'Writing Logic'!$J$7:$K$11,2,FALSE)&amp;" - Per "&amp;VLOOKUP($C$4,'Writing Logic'!$G$8:$H$14,2,FALSE),YES_Writing_ELA[#Headers],0)))),"")</f>
        <v/>
      </c>
      <c r="F249" s="138" t="str">
        <f>IFERROR(IF(IF(INDEX(_xlfn.VSTACK(YES_Writing_ELA[#Data],YES_Writing_FLA[#Data]),MATCH($A249,_xlfn.VSTACK(YES_Writing_ELA[Student Number],YES_Writing_FLA[Student Number]),0),MATCH(VLOOKUP(F$7,'Writing Logic'!$J$7:$K$11,2,FALSE)&amp;" - Per "&amp;VLOOKUP($C$4,'Writing Logic'!$G$8:$H$14,2,FALSE),YES_Writing_ELA[#Headers],0))=0,"",INDEX(_xlfn.VSTACK(YES_Writing_ELA[#Data],YES_Writing_FLA[#Data]),MATCH($A249,_xlfn.VSTACK(YES_Writing_ELA[Student Number],YES_Writing_FLA[Student Number]),0),MATCH(VLOOKUP(F$7,'Writing Logic'!$J$7:$K$11,2,FALSE)&amp;" - Per "&amp;VLOOKUP($C$4,'Writing Logic'!$G$8:$H$14,2,FALSE),YES_Writing_ELA[#Headers],0)))="INS",'Writing Logic'!$B$7,IF(INDEX(_xlfn.VSTACK(YES_Writing_ELA[#Data],YES_Writing_FLA[#Data]),MATCH($A249,_xlfn.VSTACK(YES_Writing_ELA[Student Number],YES_Writing_FLA[Student Number]),0),MATCH(VLOOKUP(F$7,'Writing Logic'!$J$7:$K$11,2,FALSE)&amp;" - Per "&amp;VLOOKUP($C$4,'Writing Logic'!$G$8:$H$14,2,FALSE),YES_Writing_ELA[#Headers],0))=0,"",INDEX(_xlfn.VSTACK(YES_Writing_ELA[#Data],YES_Writing_FLA[#Data]),MATCH($A249,_xlfn.VSTACK(YES_Writing_ELA[Student Number],YES_Writing_FLA[Student Number]),0),MATCH(VLOOKUP(F$7,'Writing Logic'!$J$7:$K$11,2,FALSE)&amp;" - Per "&amp;VLOOKUP($C$4,'Writing Logic'!$G$8:$H$14,2,FALSE),YES_Writing_ELA[#Headers],0)))),"")</f>
        <v/>
      </c>
      <c r="G249" s="138" t="str">
        <f>IFERROR(IF(IF(INDEX(_xlfn.VSTACK(YES_Writing_ELA[#Data],YES_Writing_FLA[#Data]),MATCH($A249,_xlfn.VSTACK(YES_Writing_ELA[Student Number],YES_Writing_FLA[Student Number]),0),MATCH(VLOOKUP(G$7,'Writing Logic'!$J$7:$K$11,2,FALSE)&amp;" - Per "&amp;VLOOKUP($C$4,'Writing Logic'!$G$8:$H$14,2,FALSE),YES_Writing_ELA[#Headers],0))=0,"",INDEX(_xlfn.VSTACK(YES_Writing_ELA[#Data],YES_Writing_FLA[#Data]),MATCH($A249,_xlfn.VSTACK(YES_Writing_ELA[Student Number],YES_Writing_FLA[Student Number]),0),MATCH(VLOOKUP(G$7,'Writing Logic'!$J$7:$K$11,2,FALSE)&amp;" - Per "&amp;VLOOKUP($C$4,'Writing Logic'!$G$8:$H$14,2,FALSE),YES_Writing_ELA[#Headers],0)))="INS",'Writing Logic'!$B$7,IF(INDEX(_xlfn.VSTACK(YES_Writing_ELA[#Data],YES_Writing_FLA[#Data]),MATCH($A249,_xlfn.VSTACK(YES_Writing_ELA[Student Number],YES_Writing_FLA[Student Number]),0),MATCH(VLOOKUP(G$7,'Writing Logic'!$J$7:$K$11,2,FALSE)&amp;" - Per "&amp;VLOOKUP($C$4,'Writing Logic'!$G$8:$H$14,2,FALSE),YES_Writing_ELA[#Headers],0))=0,"",INDEX(_xlfn.VSTACK(YES_Writing_ELA[#Data],YES_Writing_FLA[#Data]),MATCH($A249,_xlfn.VSTACK(YES_Writing_ELA[Student Number],YES_Writing_FLA[Student Number]),0),MATCH(VLOOKUP(G$7,'Writing Logic'!$J$7:$K$11,2,FALSE)&amp;" - Per "&amp;VLOOKUP($C$4,'Writing Logic'!$G$8:$H$14,2,FALSE),YES_Writing_ELA[#Headers],0)))),"")</f>
        <v/>
      </c>
      <c r="H249" s="223" t="str">
        <f>IFERROR(IF(IF(INDEX(_xlfn.VSTACK(YES_Writing_ELA[#Data],YES_Writing_FLA[#Data]),MATCH($A249,_xlfn.VSTACK(YES_Writing_ELA[Student Number],YES_Writing_FLA[Student Number]),0),MATCH(VLOOKUP(H$7,'Writing Logic'!$J$7:$K$11,2,FALSE)&amp;" - Per "&amp;VLOOKUP($C$4,'Writing Logic'!$G$8:$H$14,2,FALSE),YES_Writing_ELA[#Headers],0))=0,"",INDEX(_xlfn.VSTACK(YES_Writing_ELA[#Data],YES_Writing_FLA[#Data]),MATCH($A249,_xlfn.VSTACK(YES_Writing_ELA[Student Number],YES_Writing_FLA[Student Number]),0),MATCH(VLOOKUP(H$7,'Writing Logic'!$J$7:$K$11,2,FALSE)&amp;" - Per "&amp;VLOOKUP($C$4,'Writing Logic'!$G$8:$H$14,2,FALSE),YES_Writing_ELA[#Headers],0)))="INS",'Writing Logic'!$B$7,IF(INDEX(_xlfn.VSTACK(YES_Writing_ELA[#Data],YES_Writing_FLA[#Data]),MATCH($A249,_xlfn.VSTACK(YES_Writing_ELA[Student Number],YES_Writing_FLA[Student Number]),0),MATCH(VLOOKUP(H$7,'Writing Logic'!$J$7:$K$11,2,FALSE)&amp;" - Per "&amp;VLOOKUP($C$4,'Writing Logic'!$G$8:$H$14,2,FALSE),YES_Writing_ELA[#Headers],0))=0,"",INDEX(_xlfn.VSTACK(YES_Writing_ELA[#Data],YES_Writing_FLA[#Data]),MATCH($A249,_xlfn.VSTACK(YES_Writing_ELA[Student Number],YES_Writing_FLA[Student Number]),0),MATCH(VLOOKUP(H$7,'Writing Logic'!$J$7:$K$11,2,FALSE)&amp;" - Per "&amp;VLOOKUP($C$4,'Writing Logic'!$G$8:$H$14,2,FALSE),YES_Writing_ELA[#Headers],0)))),"")</f>
        <v/>
      </c>
      <c r="I249" s="224" t="str" cm="1">
        <f t="array" aca="1" ref="I249" ca="1">IFERROR(
IF($G$3="ELA",
IF(VLOOKUP($A249, YES_Reading_ELA[], COLUMN(INDIRECT("YES_Reading_ELA[Difference - Per "&amp;VLOOKUP($G$4, 'Reading Report Logic'!$A$2:$B$8, 2, FALSE)&amp;"]")), FALSE)="", "",
VLOOKUP($A249,YES_Reading_ELA[], COLUMN(INDIRECT("YES_Reading_ELA[Difference - Per "&amp;VLOOKUP($G$4,'Reading Report Logic'!$A$2:$B$8,2,FALSE)&amp;"]")), FALSE)),
IF($G$3="FLA",
IF(VLOOKUP($A249, YES_Reading_FLA[], COLUMN(INDIRECT("YES_Reading_FLA[Difference - Per "&amp;VLOOKUP($G$4,'Reading Report Logic'!$A$2:$B$8,2,FALSE)&amp;"]")),FALSE)="","",
VLOOKUP($A249,YES_Reading_FLA[],COLUMN(INDIRECT("YES_Reading_FLA[Difference - Per "&amp;VLOOKUP($G$4,'Reading Report Logic'!$A$2:$B$8,2,FALSE)&amp;"]")),FALSE)),
IF($G$3="Combined",
IFERROR(
IF(VLOOKUP($A249, YES_Reading_ELA[], COLUMN(INDIRECT("YES_Reading_ELA[Difference - Per "&amp;VLOOKUP($G$4, 'Reading Report Logic'!$A$2:$B$8,2,FALSE)&amp;"]")), FALSE)="", "",
VLOOKUP($A249,YES_Reading_ELA[],COLUMN(INDIRECT("YES_Reading_ELA[Difference - Per "&amp;VLOOKUP($G$4,'Reading Report Logic'!$A$2:$B$8,2,FALSE)&amp;"]")),FALSE)),
IF(VLOOKUP($A249, YES_Reading_FLA[], COLUMN(INDIRECT("YES_Reading_FLA[Difference - Per "&amp;VLOOKUP($G$4, 'Reading Report Logic'!$A$2:$B$8, 2, FALSE)&amp;"]")),FALSE)="", "", VLOOKUP($A249,YES_Reading_FLA[],COLUMN(INDIRECT("YES_Reading_FLA[Difference - Per "&amp;VLOOKUP($G$4, 'Reading Report Logic'!$A$2:$B$8, 2, FALSE)&amp;"]")),FALSE))),""))),"")</f>
        <v/>
      </c>
    </row>
    <row r="250" spans="1:9" x14ac:dyDescent="0.25">
      <c r="A250" s="137"/>
      <c r="B250" s="137" t="str">
        <f>IFERROR(INDEX(_xlfn.VSTACK(YES_Writing_ELA[#Data], YES_Writing_FLA[#Data]),MATCH($A250,_xlfn.VSTACK(YES_Writing_ELA[Student Number], YES_Writing_FLA[Student Number]),0),MATCH(B$7,YES_Writing_ELA[#Headers],0)),IFERROR(INDEX(_xlfn.VSTACK(YES_Reading_ELA[#Data], YES_Reading_FLA[#Data]),MATCH($A250,_xlfn.VSTACK(YES_Reading_ELA[Student Number], YES_Reading_FLA[Student Number]),0),MATCH(B$7,YES_Reading_ELA[#Headers],0)),""))</f>
        <v/>
      </c>
      <c r="C250" s="137" t="str">
        <f>IFERROR(INDEX(_xlfn.VSTACK(YES_Writing_ELA[#Data], YES_Writing_FLA[#Data]),MATCH($A250,_xlfn.VSTACK(YES_Writing_ELA[Student Number], YES_Writing_FLA[Student Number]),0),MATCH(C$7,YES_Writing_ELA[#Headers],0)),IFERROR(INDEX(_xlfn.VSTACK(YES_Reading_ELA[#Data], YES_Reading_FLA[#Data]),MATCH($A250,_xlfn.VSTACK(YES_Reading_ELA[Student Number], YES_Reading_FLA[Student Number]),0),MATCH(C$7,YES_Reading_ELA[#Headers],0)),""))</f>
        <v/>
      </c>
      <c r="D250" s="138" t="str">
        <f>IFERROR(IF(IF(INDEX(_xlfn.VSTACK(YES_Writing_ELA[#Data],YES_Writing_FLA[#Data]),MATCH($A250,_xlfn.VSTACK(YES_Writing_ELA[Student Number],YES_Writing_FLA[Student Number]),0),MATCH(VLOOKUP(D$7,'Writing Logic'!$J$7:$K$11,2,FALSE)&amp;" - Per "&amp;VLOOKUP($C$4,'Writing Logic'!$G$8:$H$14,2,FALSE),YES_Writing_ELA[#Headers],0))=0,"",INDEX(_xlfn.VSTACK(YES_Writing_ELA[#Data],YES_Writing_FLA[#Data]),MATCH($A250,_xlfn.VSTACK(YES_Writing_ELA[Student Number],YES_Writing_FLA[Student Number]),0),MATCH(VLOOKUP(D$7,'Writing Logic'!$J$7:$K$11,2,FALSE)&amp;" - Per "&amp;VLOOKUP($C$4,'Writing Logic'!$G$8:$H$14,2,FALSE),YES_Writing_ELA[#Headers],0)))="INS",'Writing Logic'!$B$7,IF(INDEX(_xlfn.VSTACK(YES_Writing_ELA[#Data],YES_Writing_FLA[#Data]),MATCH($A250,_xlfn.VSTACK(YES_Writing_ELA[Student Number],YES_Writing_FLA[Student Number]),0),MATCH(VLOOKUP(D$7,'Writing Logic'!$J$7:$K$11,2,FALSE)&amp;" - Per "&amp;VLOOKUP($C$4,'Writing Logic'!$G$8:$H$14,2,FALSE),YES_Writing_ELA[#Headers],0))=0,"",INDEX(_xlfn.VSTACK(YES_Writing_ELA[#Data],YES_Writing_FLA[#Data]),MATCH($A250,_xlfn.VSTACK(YES_Writing_ELA[Student Number],YES_Writing_FLA[Student Number]),0),MATCH(VLOOKUP(D$7,'Writing Logic'!$J$7:$K$11,2,FALSE)&amp;" - Per "&amp;VLOOKUP($C$4,'Writing Logic'!$G$8:$H$14,2,FALSE),YES_Writing_ELA[#Headers],0)))),"")</f>
        <v/>
      </c>
      <c r="E250" s="138" t="str">
        <f>IFERROR(IF(IF(INDEX(_xlfn.VSTACK(YES_Writing_ELA[#Data],YES_Writing_FLA[#Data]),MATCH($A250,_xlfn.VSTACK(YES_Writing_ELA[Student Number],YES_Writing_FLA[Student Number]),0),MATCH(VLOOKUP(E$7,'Writing Logic'!$J$7:$K$11,2,FALSE)&amp;" - Per "&amp;VLOOKUP($C$4,'Writing Logic'!$G$8:$H$14,2,FALSE),YES_Writing_ELA[#Headers],0))=0,"",INDEX(_xlfn.VSTACK(YES_Writing_ELA[#Data],YES_Writing_FLA[#Data]),MATCH($A250,_xlfn.VSTACK(YES_Writing_ELA[Student Number],YES_Writing_FLA[Student Number]),0),MATCH(VLOOKUP(E$7,'Writing Logic'!$J$7:$K$11,2,FALSE)&amp;" - Per "&amp;VLOOKUP($C$4,'Writing Logic'!$G$8:$H$14,2,FALSE),YES_Writing_ELA[#Headers],0)))="INS",'Writing Logic'!$B$7,IF(INDEX(_xlfn.VSTACK(YES_Writing_ELA[#Data],YES_Writing_FLA[#Data]),MATCH($A250,_xlfn.VSTACK(YES_Writing_ELA[Student Number],YES_Writing_FLA[Student Number]),0),MATCH(VLOOKUP(E$7,'Writing Logic'!$J$7:$K$11,2,FALSE)&amp;" - Per "&amp;VLOOKUP($C$4,'Writing Logic'!$G$8:$H$14,2,FALSE),YES_Writing_ELA[#Headers],0))=0,"",INDEX(_xlfn.VSTACK(YES_Writing_ELA[#Data],YES_Writing_FLA[#Data]),MATCH($A250,_xlfn.VSTACK(YES_Writing_ELA[Student Number],YES_Writing_FLA[Student Number]),0),MATCH(VLOOKUP(E$7,'Writing Logic'!$J$7:$K$11,2,FALSE)&amp;" - Per "&amp;VLOOKUP($C$4,'Writing Logic'!$G$8:$H$14,2,FALSE),YES_Writing_ELA[#Headers],0)))),"")</f>
        <v/>
      </c>
      <c r="F250" s="138" t="str">
        <f>IFERROR(IF(IF(INDEX(_xlfn.VSTACK(YES_Writing_ELA[#Data],YES_Writing_FLA[#Data]),MATCH($A250,_xlfn.VSTACK(YES_Writing_ELA[Student Number],YES_Writing_FLA[Student Number]),0),MATCH(VLOOKUP(F$7,'Writing Logic'!$J$7:$K$11,2,FALSE)&amp;" - Per "&amp;VLOOKUP($C$4,'Writing Logic'!$G$8:$H$14,2,FALSE),YES_Writing_ELA[#Headers],0))=0,"",INDEX(_xlfn.VSTACK(YES_Writing_ELA[#Data],YES_Writing_FLA[#Data]),MATCH($A250,_xlfn.VSTACK(YES_Writing_ELA[Student Number],YES_Writing_FLA[Student Number]),0),MATCH(VLOOKUP(F$7,'Writing Logic'!$J$7:$K$11,2,FALSE)&amp;" - Per "&amp;VLOOKUP($C$4,'Writing Logic'!$G$8:$H$14,2,FALSE),YES_Writing_ELA[#Headers],0)))="INS",'Writing Logic'!$B$7,IF(INDEX(_xlfn.VSTACK(YES_Writing_ELA[#Data],YES_Writing_FLA[#Data]),MATCH($A250,_xlfn.VSTACK(YES_Writing_ELA[Student Number],YES_Writing_FLA[Student Number]),0),MATCH(VLOOKUP(F$7,'Writing Logic'!$J$7:$K$11,2,FALSE)&amp;" - Per "&amp;VLOOKUP($C$4,'Writing Logic'!$G$8:$H$14,2,FALSE),YES_Writing_ELA[#Headers],0))=0,"",INDEX(_xlfn.VSTACK(YES_Writing_ELA[#Data],YES_Writing_FLA[#Data]),MATCH($A250,_xlfn.VSTACK(YES_Writing_ELA[Student Number],YES_Writing_FLA[Student Number]),0),MATCH(VLOOKUP(F$7,'Writing Logic'!$J$7:$K$11,2,FALSE)&amp;" - Per "&amp;VLOOKUP($C$4,'Writing Logic'!$G$8:$H$14,2,FALSE),YES_Writing_ELA[#Headers],0)))),"")</f>
        <v/>
      </c>
      <c r="G250" s="138" t="str">
        <f>IFERROR(IF(IF(INDEX(_xlfn.VSTACK(YES_Writing_ELA[#Data],YES_Writing_FLA[#Data]),MATCH($A250,_xlfn.VSTACK(YES_Writing_ELA[Student Number],YES_Writing_FLA[Student Number]),0),MATCH(VLOOKUP(G$7,'Writing Logic'!$J$7:$K$11,2,FALSE)&amp;" - Per "&amp;VLOOKUP($C$4,'Writing Logic'!$G$8:$H$14,2,FALSE),YES_Writing_ELA[#Headers],0))=0,"",INDEX(_xlfn.VSTACK(YES_Writing_ELA[#Data],YES_Writing_FLA[#Data]),MATCH($A250,_xlfn.VSTACK(YES_Writing_ELA[Student Number],YES_Writing_FLA[Student Number]),0),MATCH(VLOOKUP(G$7,'Writing Logic'!$J$7:$K$11,2,FALSE)&amp;" - Per "&amp;VLOOKUP($C$4,'Writing Logic'!$G$8:$H$14,2,FALSE),YES_Writing_ELA[#Headers],0)))="INS",'Writing Logic'!$B$7,IF(INDEX(_xlfn.VSTACK(YES_Writing_ELA[#Data],YES_Writing_FLA[#Data]),MATCH($A250,_xlfn.VSTACK(YES_Writing_ELA[Student Number],YES_Writing_FLA[Student Number]),0),MATCH(VLOOKUP(G$7,'Writing Logic'!$J$7:$K$11,2,FALSE)&amp;" - Per "&amp;VLOOKUP($C$4,'Writing Logic'!$G$8:$H$14,2,FALSE),YES_Writing_ELA[#Headers],0))=0,"",INDEX(_xlfn.VSTACK(YES_Writing_ELA[#Data],YES_Writing_FLA[#Data]),MATCH($A250,_xlfn.VSTACK(YES_Writing_ELA[Student Number],YES_Writing_FLA[Student Number]),0),MATCH(VLOOKUP(G$7,'Writing Logic'!$J$7:$K$11,2,FALSE)&amp;" - Per "&amp;VLOOKUP($C$4,'Writing Logic'!$G$8:$H$14,2,FALSE),YES_Writing_ELA[#Headers],0)))),"")</f>
        <v/>
      </c>
      <c r="H250" s="223" t="str">
        <f>IFERROR(IF(IF(INDEX(_xlfn.VSTACK(YES_Writing_ELA[#Data],YES_Writing_FLA[#Data]),MATCH($A250,_xlfn.VSTACK(YES_Writing_ELA[Student Number],YES_Writing_FLA[Student Number]),0),MATCH(VLOOKUP(H$7,'Writing Logic'!$J$7:$K$11,2,FALSE)&amp;" - Per "&amp;VLOOKUP($C$4,'Writing Logic'!$G$8:$H$14,2,FALSE),YES_Writing_ELA[#Headers],0))=0,"",INDEX(_xlfn.VSTACK(YES_Writing_ELA[#Data],YES_Writing_FLA[#Data]),MATCH($A250,_xlfn.VSTACK(YES_Writing_ELA[Student Number],YES_Writing_FLA[Student Number]),0),MATCH(VLOOKUP(H$7,'Writing Logic'!$J$7:$K$11,2,FALSE)&amp;" - Per "&amp;VLOOKUP($C$4,'Writing Logic'!$G$8:$H$14,2,FALSE),YES_Writing_ELA[#Headers],0)))="INS",'Writing Logic'!$B$7,IF(INDEX(_xlfn.VSTACK(YES_Writing_ELA[#Data],YES_Writing_FLA[#Data]),MATCH($A250,_xlfn.VSTACK(YES_Writing_ELA[Student Number],YES_Writing_FLA[Student Number]),0),MATCH(VLOOKUP(H$7,'Writing Logic'!$J$7:$K$11,2,FALSE)&amp;" - Per "&amp;VLOOKUP($C$4,'Writing Logic'!$G$8:$H$14,2,FALSE),YES_Writing_ELA[#Headers],0))=0,"",INDEX(_xlfn.VSTACK(YES_Writing_ELA[#Data],YES_Writing_FLA[#Data]),MATCH($A250,_xlfn.VSTACK(YES_Writing_ELA[Student Number],YES_Writing_FLA[Student Number]),0),MATCH(VLOOKUP(H$7,'Writing Logic'!$J$7:$K$11,2,FALSE)&amp;" - Per "&amp;VLOOKUP($C$4,'Writing Logic'!$G$8:$H$14,2,FALSE),YES_Writing_ELA[#Headers],0)))),"")</f>
        <v/>
      </c>
      <c r="I250" s="224" t="str" cm="1">
        <f t="array" aca="1" ref="I250" ca="1">IFERROR(
IF($G$3="ELA",
IF(VLOOKUP($A250, YES_Reading_ELA[], COLUMN(INDIRECT("YES_Reading_ELA[Difference - Per "&amp;VLOOKUP($G$4, 'Reading Report Logic'!$A$2:$B$8, 2, FALSE)&amp;"]")), FALSE)="", "",
VLOOKUP($A250,YES_Reading_ELA[], COLUMN(INDIRECT("YES_Reading_ELA[Difference - Per "&amp;VLOOKUP($G$4,'Reading Report Logic'!$A$2:$B$8,2,FALSE)&amp;"]")), FALSE)),
IF($G$3="FLA",
IF(VLOOKUP($A250, YES_Reading_FLA[], COLUMN(INDIRECT("YES_Reading_FLA[Difference - Per "&amp;VLOOKUP($G$4,'Reading Report Logic'!$A$2:$B$8,2,FALSE)&amp;"]")),FALSE)="","",
VLOOKUP($A250,YES_Reading_FLA[],COLUMN(INDIRECT("YES_Reading_FLA[Difference - Per "&amp;VLOOKUP($G$4,'Reading Report Logic'!$A$2:$B$8,2,FALSE)&amp;"]")),FALSE)),
IF($G$3="Combined",
IFERROR(
IF(VLOOKUP($A250, YES_Reading_ELA[], COLUMN(INDIRECT("YES_Reading_ELA[Difference - Per "&amp;VLOOKUP($G$4, 'Reading Report Logic'!$A$2:$B$8,2,FALSE)&amp;"]")), FALSE)="", "",
VLOOKUP($A250,YES_Reading_ELA[],COLUMN(INDIRECT("YES_Reading_ELA[Difference - Per "&amp;VLOOKUP($G$4,'Reading Report Logic'!$A$2:$B$8,2,FALSE)&amp;"]")),FALSE)),
IF(VLOOKUP($A250, YES_Reading_FLA[], COLUMN(INDIRECT("YES_Reading_FLA[Difference - Per "&amp;VLOOKUP($G$4, 'Reading Report Logic'!$A$2:$B$8, 2, FALSE)&amp;"]")),FALSE)="", "", VLOOKUP($A250,YES_Reading_FLA[],COLUMN(INDIRECT("YES_Reading_FLA[Difference - Per "&amp;VLOOKUP($G$4, 'Reading Report Logic'!$A$2:$B$8, 2, FALSE)&amp;"]")),FALSE))),""))),"")</f>
        <v/>
      </c>
    </row>
    <row r="251" spans="1:9" x14ac:dyDescent="0.25">
      <c r="A251" s="137"/>
      <c r="B251" s="137" t="str">
        <f>IFERROR(INDEX(_xlfn.VSTACK(YES_Writing_ELA[#Data], YES_Writing_FLA[#Data]),MATCH($A251,_xlfn.VSTACK(YES_Writing_ELA[Student Number], YES_Writing_FLA[Student Number]),0),MATCH(B$7,YES_Writing_ELA[#Headers],0)),IFERROR(INDEX(_xlfn.VSTACK(YES_Reading_ELA[#Data], YES_Reading_FLA[#Data]),MATCH($A251,_xlfn.VSTACK(YES_Reading_ELA[Student Number], YES_Reading_FLA[Student Number]),0),MATCH(B$7,YES_Reading_ELA[#Headers],0)),""))</f>
        <v/>
      </c>
      <c r="C251" s="137" t="str">
        <f>IFERROR(INDEX(_xlfn.VSTACK(YES_Writing_ELA[#Data], YES_Writing_FLA[#Data]),MATCH($A251,_xlfn.VSTACK(YES_Writing_ELA[Student Number], YES_Writing_FLA[Student Number]),0),MATCH(C$7,YES_Writing_ELA[#Headers],0)),IFERROR(INDEX(_xlfn.VSTACK(YES_Reading_ELA[#Data], YES_Reading_FLA[#Data]),MATCH($A251,_xlfn.VSTACK(YES_Reading_ELA[Student Number], YES_Reading_FLA[Student Number]),0),MATCH(C$7,YES_Reading_ELA[#Headers],0)),""))</f>
        <v/>
      </c>
      <c r="D251" s="138" t="str">
        <f>IFERROR(IF(IF(INDEX(_xlfn.VSTACK(YES_Writing_ELA[#Data],YES_Writing_FLA[#Data]),MATCH($A251,_xlfn.VSTACK(YES_Writing_ELA[Student Number],YES_Writing_FLA[Student Number]),0),MATCH(VLOOKUP(D$7,'Writing Logic'!$J$7:$K$11,2,FALSE)&amp;" - Per "&amp;VLOOKUP($C$4,'Writing Logic'!$G$8:$H$14,2,FALSE),YES_Writing_ELA[#Headers],0))=0,"",INDEX(_xlfn.VSTACK(YES_Writing_ELA[#Data],YES_Writing_FLA[#Data]),MATCH($A251,_xlfn.VSTACK(YES_Writing_ELA[Student Number],YES_Writing_FLA[Student Number]),0),MATCH(VLOOKUP(D$7,'Writing Logic'!$J$7:$K$11,2,FALSE)&amp;" - Per "&amp;VLOOKUP($C$4,'Writing Logic'!$G$8:$H$14,2,FALSE),YES_Writing_ELA[#Headers],0)))="INS",'Writing Logic'!$B$7,IF(INDEX(_xlfn.VSTACK(YES_Writing_ELA[#Data],YES_Writing_FLA[#Data]),MATCH($A251,_xlfn.VSTACK(YES_Writing_ELA[Student Number],YES_Writing_FLA[Student Number]),0),MATCH(VLOOKUP(D$7,'Writing Logic'!$J$7:$K$11,2,FALSE)&amp;" - Per "&amp;VLOOKUP($C$4,'Writing Logic'!$G$8:$H$14,2,FALSE),YES_Writing_ELA[#Headers],0))=0,"",INDEX(_xlfn.VSTACK(YES_Writing_ELA[#Data],YES_Writing_FLA[#Data]),MATCH($A251,_xlfn.VSTACK(YES_Writing_ELA[Student Number],YES_Writing_FLA[Student Number]),0),MATCH(VLOOKUP(D$7,'Writing Logic'!$J$7:$K$11,2,FALSE)&amp;" - Per "&amp;VLOOKUP($C$4,'Writing Logic'!$G$8:$H$14,2,FALSE),YES_Writing_ELA[#Headers],0)))),"")</f>
        <v/>
      </c>
      <c r="E251" s="138" t="str">
        <f>IFERROR(IF(IF(INDEX(_xlfn.VSTACK(YES_Writing_ELA[#Data],YES_Writing_FLA[#Data]),MATCH($A251,_xlfn.VSTACK(YES_Writing_ELA[Student Number],YES_Writing_FLA[Student Number]),0),MATCH(VLOOKUP(E$7,'Writing Logic'!$J$7:$K$11,2,FALSE)&amp;" - Per "&amp;VLOOKUP($C$4,'Writing Logic'!$G$8:$H$14,2,FALSE),YES_Writing_ELA[#Headers],0))=0,"",INDEX(_xlfn.VSTACK(YES_Writing_ELA[#Data],YES_Writing_FLA[#Data]),MATCH($A251,_xlfn.VSTACK(YES_Writing_ELA[Student Number],YES_Writing_FLA[Student Number]),0),MATCH(VLOOKUP(E$7,'Writing Logic'!$J$7:$K$11,2,FALSE)&amp;" - Per "&amp;VLOOKUP($C$4,'Writing Logic'!$G$8:$H$14,2,FALSE),YES_Writing_ELA[#Headers],0)))="INS",'Writing Logic'!$B$7,IF(INDEX(_xlfn.VSTACK(YES_Writing_ELA[#Data],YES_Writing_FLA[#Data]),MATCH($A251,_xlfn.VSTACK(YES_Writing_ELA[Student Number],YES_Writing_FLA[Student Number]),0),MATCH(VLOOKUP(E$7,'Writing Logic'!$J$7:$K$11,2,FALSE)&amp;" - Per "&amp;VLOOKUP($C$4,'Writing Logic'!$G$8:$H$14,2,FALSE),YES_Writing_ELA[#Headers],0))=0,"",INDEX(_xlfn.VSTACK(YES_Writing_ELA[#Data],YES_Writing_FLA[#Data]),MATCH($A251,_xlfn.VSTACK(YES_Writing_ELA[Student Number],YES_Writing_FLA[Student Number]),0),MATCH(VLOOKUP(E$7,'Writing Logic'!$J$7:$K$11,2,FALSE)&amp;" - Per "&amp;VLOOKUP($C$4,'Writing Logic'!$G$8:$H$14,2,FALSE),YES_Writing_ELA[#Headers],0)))),"")</f>
        <v/>
      </c>
      <c r="F251" s="138" t="str">
        <f>IFERROR(IF(IF(INDEX(_xlfn.VSTACK(YES_Writing_ELA[#Data],YES_Writing_FLA[#Data]),MATCH($A251,_xlfn.VSTACK(YES_Writing_ELA[Student Number],YES_Writing_FLA[Student Number]),0),MATCH(VLOOKUP(F$7,'Writing Logic'!$J$7:$K$11,2,FALSE)&amp;" - Per "&amp;VLOOKUP($C$4,'Writing Logic'!$G$8:$H$14,2,FALSE),YES_Writing_ELA[#Headers],0))=0,"",INDEX(_xlfn.VSTACK(YES_Writing_ELA[#Data],YES_Writing_FLA[#Data]),MATCH($A251,_xlfn.VSTACK(YES_Writing_ELA[Student Number],YES_Writing_FLA[Student Number]),0),MATCH(VLOOKUP(F$7,'Writing Logic'!$J$7:$K$11,2,FALSE)&amp;" - Per "&amp;VLOOKUP($C$4,'Writing Logic'!$G$8:$H$14,2,FALSE),YES_Writing_ELA[#Headers],0)))="INS",'Writing Logic'!$B$7,IF(INDEX(_xlfn.VSTACK(YES_Writing_ELA[#Data],YES_Writing_FLA[#Data]),MATCH($A251,_xlfn.VSTACK(YES_Writing_ELA[Student Number],YES_Writing_FLA[Student Number]),0),MATCH(VLOOKUP(F$7,'Writing Logic'!$J$7:$K$11,2,FALSE)&amp;" - Per "&amp;VLOOKUP($C$4,'Writing Logic'!$G$8:$H$14,2,FALSE),YES_Writing_ELA[#Headers],0))=0,"",INDEX(_xlfn.VSTACK(YES_Writing_ELA[#Data],YES_Writing_FLA[#Data]),MATCH($A251,_xlfn.VSTACK(YES_Writing_ELA[Student Number],YES_Writing_FLA[Student Number]),0),MATCH(VLOOKUP(F$7,'Writing Logic'!$J$7:$K$11,2,FALSE)&amp;" - Per "&amp;VLOOKUP($C$4,'Writing Logic'!$G$8:$H$14,2,FALSE),YES_Writing_ELA[#Headers],0)))),"")</f>
        <v/>
      </c>
      <c r="G251" s="138" t="str">
        <f>IFERROR(IF(IF(INDEX(_xlfn.VSTACK(YES_Writing_ELA[#Data],YES_Writing_FLA[#Data]),MATCH($A251,_xlfn.VSTACK(YES_Writing_ELA[Student Number],YES_Writing_FLA[Student Number]),0),MATCH(VLOOKUP(G$7,'Writing Logic'!$J$7:$K$11,2,FALSE)&amp;" - Per "&amp;VLOOKUP($C$4,'Writing Logic'!$G$8:$H$14,2,FALSE),YES_Writing_ELA[#Headers],0))=0,"",INDEX(_xlfn.VSTACK(YES_Writing_ELA[#Data],YES_Writing_FLA[#Data]),MATCH($A251,_xlfn.VSTACK(YES_Writing_ELA[Student Number],YES_Writing_FLA[Student Number]),0),MATCH(VLOOKUP(G$7,'Writing Logic'!$J$7:$K$11,2,FALSE)&amp;" - Per "&amp;VLOOKUP($C$4,'Writing Logic'!$G$8:$H$14,2,FALSE),YES_Writing_ELA[#Headers],0)))="INS",'Writing Logic'!$B$7,IF(INDEX(_xlfn.VSTACK(YES_Writing_ELA[#Data],YES_Writing_FLA[#Data]),MATCH($A251,_xlfn.VSTACK(YES_Writing_ELA[Student Number],YES_Writing_FLA[Student Number]),0),MATCH(VLOOKUP(G$7,'Writing Logic'!$J$7:$K$11,2,FALSE)&amp;" - Per "&amp;VLOOKUP($C$4,'Writing Logic'!$G$8:$H$14,2,FALSE),YES_Writing_ELA[#Headers],0))=0,"",INDEX(_xlfn.VSTACK(YES_Writing_ELA[#Data],YES_Writing_FLA[#Data]),MATCH($A251,_xlfn.VSTACK(YES_Writing_ELA[Student Number],YES_Writing_FLA[Student Number]),0),MATCH(VLOOKUP(G$7,'Writing Logic'!$J$7:$K$11,2,FALSE)&amp;" - Per "&amp;VLOOKUP($C$4,'Writing Logic'!$G$8:$H$14,2,FALSE),YES_Writing_ELA[#Headers],0)))),"")</f>
        <v/>
      </c>
      <c r="H251" s="223" t="str">
        <f>IFERROR(IF(IF(INDEX(_xlfn.VSTACK(YES_Writing_ELA[#Data],YES_Writing_FLA[#Data]),MATCH($A251,_xlfn.VSTACK(YES_Writing_ELA[Student Number],YES_Writing_FLA[Student Number]),0),MATCH(VLOOKUP(H$7,'Writing Logic'!$J$7:$K$11,2,FALSE)&amp;" - Per "&amp;VLOOKUP($C$4,'Writing Logic'!$G$8:$H$14,2,FALSE),YES_Writing_ELA[#Headers],0))=0,"",INDEX(_xlfn.VSTACK(YES_Writing_ELA[#Data],YES_Writing_FLA[#Data]),MATCH($A251,_xlfn.VSTACK(YES_Writing_ELA[Student Number],YES_Writing_FLA[Student Number]),0),MATCH(VLOOKUP(H$7,'Writing Logic'!$J$7:$K$11,2,FALSE)&amp;" - Per "&amp;VLOOKUP($C$4,'Writing Logic'!$G$8:$H$14,2,FALSE),YES_Writing_ELA[#Headers],0)))="INS",'Writing Logic'!$B$7,IF(INDEX(_xlfn.VSTACK(YES_Writing_ELA[#Data],YES_Writing_FLA[#Data]),MATCH($A251,_xlfn.VSTACK(YES_Writing_ELA[Student Number],YES_Writing_FLA[Student Number]),0),MATCH(VLOOKUP(H$7,'Writing Logic'!$J$7:$K$11,2,FALSE)&amp;" - Per "&amp;VLOOKUP($C$4,'Writing Logic'!$G$8:$H$14,2,FALSE),YES_Writing_ELA[#Headers],0))=0,"",INDEX(_xlfn.VSTACK(YES_Writing_ELA[#Data],YES_Writing_FLA[#Data]),MATCH($A251,_xlfn.VSTACK(YES_Writing_ELA[Student Number],YES_Writing_FLA[Student Number]),0),MATCH(VLOOKUP(H$7,'Writing Logic'!$J$7:$K$11,2,FALSE)&amp;" - Per "&amp;VLOOKUP($C$4,'Writing Logic'!$G$8:$H$14,2,FALSE),YES_Writing_ELA[#Headers],0)))),"")</f>
        <v/>
      </c>
      <c r="I251" s="224" t="str" cm="1">
        <f t="array" aca="1" ref="I251" ca="1">IFERROR(
IF($G$3="ELA",
IF(VLOOKUP($A251, YES_Reading_ELA[], COLUMN(INDIRECT("YES_Reading_ELA[Difference - Per "&amp;VLOOKUP($G$4, 'Reading Report Logic'!$A$2:$B$8, 2, FALSE)&amp;"]")), FALSE)="", "",
VLOOKUP($A251,YES_Reading_ELA[], COLUMN(INDIRECT("YES_Reading_ELA[Difference - Per "&amp;VLOOKUP($G$4,'Reading Report Logic'!$A$2:$B$8,2,FALSE)&amp;"]")), FALSE)),
IF($G$3="FLA",
IF(VLOOKUP($A251, YES_Reading_FLA[], COLUMN(INDIRECT("YES_Reading_FLA[Difference - Per "&amp;VLOOKUP($G$4,'Reading Report Logic'!$A$2:$B$8,2,FALSE)&amp;"]")),FALSE)="","",
VLOOKUP($A251,YES_Reading_FLA[],COLUMN(INDIRECT("YES_Reading_FLA[Difference - Per "&amp;VLOOKUP($G$4,'Reading Report Logic'!$A$2:$B$8,2,FALSE)&amp;"]")),FALSE)),
IF($G$3="Combined",
IFERROR(
IF(VLOOKUP($A251, YES_Reading_ELA[], COLUMN(INDIRECT("YES_Reading_ELA[Difference - Per "&amp;VLOOKUP($G$4, 'Reading Report Logic'!$A$2:$B$8,2,FALSE)&amp;"]")), FALSE)="", "",
VLOOKUP($A251,YES_Reading_ELA[],COLUMN(INDIRECT("YES_Reading_ELA[Difference - Per "&amp;VLOOKUP($G$4,'Reading Report Logic'!$A$2:$B$8,2,FALSE)&amp;"]")),FALSE)),
IF(VLOOKUP($A251, YES_Reading_FLA[], COLUMN(INDIRECT("YES_Reading_FLA[Difference - Per "&amp;VLOOKUP($G$4, 'Reading Report Logic'!$A$2:$B$8, 2, FALSE)&amp;"]")),FALSE)="", "", VLOOKUP($A251,YES_Reading_FLA[],COLUMN(INDIRECT("YES_Reading_FLA[Difference - Per "&amp;VLOOKUP($G$4, 'Reading Report Logic'!$A$2:$B$8, 2, FALSE)&amp;"]")),FALSE))),""))),"")</f>
        <v/>
      </c>
    </row>
    <row r="252" spans="1:9" x14ac:dyDescent="0.25">
      <c r="A252" s="137"/>
      <c r="B252" s="137" t="str">
        <f>IFERROR(INDEX(_xlfn.VSTACK(YES_Writing_ELA[#Data], YES_Writing_FLA[#Data]),MATCH($A252,_xlfn.VSTACK(YES_Writing_ELA[Student Number], YES_Writing_FLA[Student Number]),0),MATCH(B$7,YES_Writing_ELA[#Headers],0)),IFERROR(INDEX(_xlfn.VSTACK(YES_Reading_ELA[#Data], YES_Reading_FLA[#Data]),MATCH($A252,_xlfn.VSTACK(YES_Reading_ELA[Student Number], YES_Reading_FLA[Student Number]),0),MATCH(B$7,YES_Reading_ELA[#Headers],0)),""))</f>
        <v/>
      </c>
      <c r="C252" s="137" t="str">
        <f>IFERROR(INDEX(_xlfn.VSTACK(YES_Writing_ELA[#Data], YES_Writing_FLA[#Data]),MATCH($A252,_xlfn.VSTACK(YES_Writing_ELA[Student Number], YES_Writing_FLA[Student Number]),0),MATCH(C$7,YES_Writing_ELA[#Headers],0)),IFERROR(INDEX(_xlfn.VSTACK(YES_Reading_ELA[#Data], YES_Reading_FLA[#Data]),MATCH($A252,_xlfn.VSTACK(YES_Reading_ELA[Student Number], YES_Reading_FLA[Student Number]),0),MATCH(C$7,YES_Reading_ELA[#Headers],0)),""))</f>
        <v/>
      </c>
      <c r="D252" s="138" t="str">
        <f>IFERROR(IF(IF(INDEX(_xlfn.VSTACK(YES_Writing_ELA[#Data],YES_Writing_FLA[#Data]),MATCH($A252,_xlfn.VSTACK(YES_Writing_ELA[Student Number],YES_Writing_FLA[Student Number]),0),MATCH(VLOOKUP(D$7,'Writing Logic'!$J$7:$K$11,2,FALSE)&amp;" - Per "&amp;VLOOKUP($C$4,'Writing Logic'!$G$8:$H$14,2,FALSE),YES_Writing_ELA[#Headers],0))=0,"",INDEX(_xlfn.VSTACK(YES_Writing_ELA[#Data],YES_Writing_FLA[#Data]),MATCH($A252,_xlfn.VSTACK(YES_Writing_ELA[Student Number],YES_Writing_FLA[Student Number]),0),MATCH(VLOOKUP(D$7,'Writing Logic'!$J$7:$K$11,2,FALSE)&amp;" - Per "&amp;VLOOKUP($C$4,'Writing Logic'!$G$8:$H$14,2,FALSE),YES_Writing_ELA[#Headers],0)))="INS",'Writing Logic'!$B$7,IF(INDEX(_xlfn.VSTACK(YES_Writing_ELA[#Data],YES_Writing_FLA[#Data]),MATCH($A252,_xlfn.VSTACK(YES_Writing_ELA[Student Number],YES_Writing_FLA[Student Number]),0),MATCH(VLOOKUP(D$7,'Writing Logic'!$J$7:$K$11,2,FALSE)&amp;" - Per "&amp;VLOOKUP($C$4,'Writing Logic'!$G$8:$H$14,2,FALSE),YES_Writing_ELA[#Headers],0))=0,"",INDEX(_xlfn.VSTACK(YES_Writing_ELA[#Data],YES_Writing_FLA[#Data]),MATCH($A252,_xlfn.VSTACK(YES_Writing_ELA[Student Number],YES_Writing_FLA[Student Number]),0),MATCH(VLOOKUP(D$7,'Writing Logic'!$J$7:$K$11,2,FALSE)&amp;" - Per "&amp;VLOOKUP($C$4,'Writing Logic'!$G$8:$H$14,2,FALSE),YES_Writing_ELA[#Headers],0)))),"")</f>
        <v/>
      </c>
      <c r="E252" s="138" t="str">
        <f>IFERROR(IF(IF(INDEX(_xlfn.VSTACK(YES_Writing_ELA[#Data],YES_Writing_FLA[#Data]),MATCH($A252,_xlfn.VSTACK(YES_Writing_ELA[Student Number],YES_Writing_FLA[Student Number]),0),MATCH(VLOOKUP(E$7,'Writing Logic'!$J$7:$K$11,2,FALSE)&amp;" - Per "&amp;VLOOKUP($C$4,'Writing Logic'!$G$8:$H$14,2,FALSE),YES_Writing_ELA[#Headers],0))=0,"",INDEX(_xlfn.VSTACK(YES_Writing_ELA[#Data],YES_Writing_FLA[#Data]),MATCH($A252,_xlfn.VSTACK(YES_Writing_ELA[Student Number],YES_Writing_FLA[Student Number]),0),MATCH(VLOOKUP(E$7,'Writing Logic'!$J$7:$K$11,2,FALSE)&amp;" - Per "&amp;VLOOKUP($C$4,'Writing Logic'!$G$8:$H$14,2,FALSE),YES_Writing_ELA[#Headers],0)))="INS",'Writing Logic'!$B$7,IF(INDEX(_xlfn.VSTACK(YES_Writing_ELA[#Data],YES_Writing_FLA[#Data]),MATCH($A252,_xlfn.VSTACK(YES_Writing_ELA[Student Number],YES_Writing_FLA[Student Number]),0),MATCH(VLOOKUP(E$7,'Writing Logic'!$J$7:$K$11,2,FALSE)&amp;" - Per "&amp;VLOOKUP($C$4,'Writing Logic'!$G$8:$H$14,2,FALSE),YES_Writing_ELA[#Headers],0))=0,"",INDEX(_xlfn.VSTACK(YES_Writing_ELA[#Data],YES_Writing_FLA[#Data]),MATCH($A252,_xlfn.VSTACK(YES_Writing_ELA[Student Number],YES_Writing_FLA[Student Number]),0),MATCH(VLOOKUP(E$7,'Writing Logic'!$J$7:$K$11,2,FALSE)&amp;" - Per "&amp;VLOOKUP($C$4,'Writing Logic'!$G$8:$H$14,2,FALSE),YES_Writing_ELA[#Headers],0)))),"")</f>
        <v/>
      </c>
      <c r="F252" s="138" t="str">
        <f>IFERROR(IF(IF(INDEX(_xlfn.VSTACK(YES_Writing_ELA[#Data],YES_Writing_FLA[#Data]),MATCH($A252,_xlfn.VSTACK(YES_Writing_ELA[Student Number],YES_Writing_FLA[Student Number]),0),MATCH(VLOOKUP(F$7,'Writing Logic'!$J$7:$K$11,2,FALSE)&amp;" - Per "&amp;VLOOKUP($C$4,'Writing Logic'!$G$8:$H$14,2,FALSE),YES_Writing_ELA[#Headers],0))=0,"",INDEX(_xlfn.VSTACK(YES_Writing_ELA[#Data],YES_Writing_FLA[#Data]),MATCH($A252,_xlfn.VSTACK(YES_Writing_ELA[Student Number],YES_Writing_FLA[Student Number]),0),MATCH(VLOOKUP(F$7,'Writing Logic'!$J$7:$K$11,2,FALSE)&amp;" - Per "&amp;VLOOKUP($C$4,'Writing Logic'!$G$8:$H$14,2,FALSE),YES_Writing_ELA[#Headers],0)))="INS",'Writing Logic'!$B$7,IF(INDEX(_xlfn.VSTACK(YES_Writing_ELA[#Data],YES_Writing_FLA[#Data]),MATCH($A252,_xlfn.VSTACK(YES_Writing_ELA[Student Number],YES_Writing_FLA[Student Number]),0),MATCH(VLOOKUP(F$7,'Writing Logic'!$J$7:$K$11,2,FALSE)&amp;" - Per "&amp;VLOOKUP($C$4,'Writing Logic'!$G$8:$H$14,2,FALSE),YES_Writing_ELA[#Headers],0))=0,"",INDEX(_xlfn.VSTACK(YES_Writing_ELA[#Data],YES_Writing_FLA[#Data]),MATCH($A252,_xlfn.VSTACK(YES_Writing_ELA[Student Number],YES_Writing_FLA[Student Number]),0),MATCH(VLOOKUP(F$7,'Writing Logic'!$J$7:$K$11,2,FALSE)&amp;" - Per "&amp;VLOOKUP($C$4,'Writing Logic'!$G$8:$H$14,2,FALSE),YES_Writing_ELA[#Headers],0)))),"")</f>
        <v/>
      </c>
      <c r="G252" s="138" t="str">
        <f>IFERROR(IF(IF(INDEX(_xlfn.VSTACK(YES_Writing_ELA[#Data],YES_Writing_FLA[#Data]),MATCH($A252,_xlfn.VSTACK(YES_Writing_ELA[Student Number],YES_Writing_FLA[Student Number]),0),MATCH(VLOOKUP(G$7,'Writing Logic'!$J$7:$K$11,2,FALSE)&amp;" - Per "&amp;VLOOKUP($C$4,'Writing Logic'!$G$8:$H$14,2,FALSE),YES_Writing_ELA[#Headers],0))=0,"",INDEX(_xlfn.VSTACK(YES_Writing_ELA[#Data],YES_Writing_FLA[#Data]),MATCH($A252,_xlfn.VSTACK(YES_Writing_ELA[Student Number],YES_Writing_FLA[Student Number]),0),MATCH(VLOOKUP(G$7,'Writing Logic'!$J$7:$K$11,2,FALSE)&amp;" - Per "&amp;VLOOKUP($C$4,'Writing Logic'!$G$8:$H$14,2,FALSE),YES_Writing_ELA[#Headers],0)))="INS",'Writing Logic'!$B$7,IF(INDEX(_xlfn.VSTACK(YES_Writing_ELA[#Data],YES_Writing_FLA[#Data]),MATCH($A252,_xlfn.VSTACK(YES_Writing_ELA[Student Number],YES_Writing_FLA[Student Number]),0),MATCH(VLOOKUP(G$7,'Writing Logic'!$J$7:$K$11,2,FALSE)&amp;" - Per "&amp;VLOOKUP($C$4,'Writing Logic'!$G$8:$H$14,2,FALSE),YES_Writing_ELA[#Headers],0))=0,"",INDEX(_xlfn.VSTACK(YES_Writing_ELA[#Data],YES_Writing_FLA[#Data]),MATCH($A252,_xlfn.VSTACK(YES_Writing_ELA[Student Number],YES_Writing_FLA[Student Number]),0),MATCH(VLOOKUP(G$7,'Writing Logic'!$J$7:$K$11,2,FALSE)&amp;" - Per "&amp;VLOOKUP($C$4,'Writing Logic'!$G$8:$H$14,2,FALSE),YES_Writing_ELA[#Headers],0)))),"")</f>
        <v/>
      </c>
      <c r="H252" s="223" t="str">
        <f>IFERROR(IF(IF(INDEX(_xlfn.VSTACK(YES_Writing_ELA[#Data],YES_Writing_FLA[#Data]),MATCH($A252,_xlfn.VSTACK(YES_Writing_ELA[Student Number],YES_Writing_FLA[Student Number]),0),MATCH(VLOOKUP(H$7,'Writing Logic'!$J$7:$K$11,2,FALSE)&amp;" - Per "&amp;VLOOKUP($C$4,'Writing Logic'!$G$8:$H$14,2,FALSE),YES_Writing_ELA[#Headers],0))=0,"",INDEX(_xlfn.VSTACK(YES_Writing_ELA[#Data],YES_Writing_FLA[#Data]),MATCH($A252,_xlfn.VSTACK(YES_Writing_ELA[Student Number],YES_Writing_FLA[Student Number]),0),MATCH(VLOOKUP(H$7,'Writing Logic'!$J$7:$K$11,2,FALSE)&amp;" - Per "&amp;VLOOKUP($C$4,'Writing Logic'!$G$8:$H$14,2,FALSE),YES_Writing_ELA[#Headers],0)))="INS",'Writing Logic'!$B$7,IF(INDEX(_xlfn.VSTACK(YES_Writing_ELA[#Data],YES_Writing_FLA[#Data]),MATCH($A252,_xlfn.VSTACK(YES_Writing_ELA[Student Number],YES_Writing_FLA[Student Number]),0),MATCH(VLOOKUP(H$7,'Writing Logic'!$J$7:$K$11,2,FALSE)&amp;" - Per "&amp;VLOOKUP($C$4,'Writing Logic'!$G$8:$H$14,2,FALSE),YES_Writing_ELA[#Headers],0))=0,"",INDEX(_xlfn.VSTACK(YES_Writing_ELA[#Data],YES_Writing_FLA[#Data]),MATCH($A252,_xlfn.VSTACK(YES_Writing_ELA[Student Number],YES_Writing_FLA[Student Number]),0),MATCH(VLOOKUP(H$7,'Writing Logic'!$J$7:$K$11,2,FALSE)&amp;" - Per "&amp;VLOOKUP($C$4,'Writing Logic'!$G$8:$H$14,2,FALSE),YES_Writing_ELA[#Headers],0)))),"")</f>
        <v/>
      </c>
      <c r="I252" s="224" t="str" cm="1">
        <f t="array" aca="1" ref="I252" ca="1">IFERROR(
IF($G$3="ELA",
IF(VLOOKUP($A252, YES_Reading_ELA[], COLUMN(INDIRECT("YES_Reading_ELA[Difference - Per "&amp;VLOOKUP($G$4, 'Reading Report Logic'!$A$2:$B$8, 2, FALSE)&amp;"]")), FALSE)="", "",
VLOOKUP($A252,YES_Reading_ELA[], COLUMN(INDIRECT("YES_Reading_ELA[Difference - Per "&amp;VLOOKUP($G$4,'Reading Report Logic'!$A$2:$B$8,2,FALSE)&amp;"]")), FALSE)),
IF($G$3="FLA",
IF(VLOOKUP($A252, YES_Reading_FLA[], COLUMN(INDIRECT("YES_Reading_FLA[Difference - Per "&amp;VLOOKUP($G$4,'Reading Report Logic'!$A$2:$B$8,2,FALSE)&amp;"]")),FALSE)="","",
VLOOKUP($A252,YES_Reading_FLA[],COLUMN(INDIRECT("YES_Reading_FLA[Difference - Per "&amp;VLOOKUP($G$4,'Reading Report Logic'!$A$2:$B$8,2,FALSE)&amp;"]")),FALSE)),
IF($G$3="Combined",
IFERROR(
IF(VLOOKUP($A252, YES_Reading_ELA[], COLUMN(INDIRECT("YES_Reading_ELA[Difference - Per "&amp;VLOOKUP($G$4, 'Reading Report Logic'!$A$2:$B$8,2,FALSE)&amp;"]")), FALSE)="", "",
VLOOKUP($A252,YES_Reading_ELA[],COLUMN(INDIRECT("YES_Reading_ELA[Difference - Per "&amp;VLOOKUP($G$4,'Reading Report Logic'!$A$2:$B$8,2,FALSE)&amp;"]")),FALSE)),
IF(VLOOKUP($A252, YES_Reading_FLA[], COLUMN(INDIRECT("YES_Reading_FLA[Difference - Per "&amp;VLOOKUP($G$4, 'Reading Report Logic'!$A$2:$B$8, 2, FALSE)&amp;"]")),FALSE)="", "", VLOOKUP($A252,YES_Reading_FLA[],COLUMN(INDIRECT("YES_Reading_FLA[Difference - Per "&amp;VLOOKUP($G$4, 'Reading Report Logic'!$A$2:$B$8, 2, FALSE)&amp;"]")),FALSE))),""))),"")</f>
        <v/>
      </c>
    </row>
    <row r="253" spans="1:9" x14ac:dyDescent="0.25">
      <c r="A253" s="137"/>
      <c r="B253" s="137" t="str">
        <f>IFERROR(INDEX(_xlfn.VSTACK(YES_Writing_ELA[#Data], YES_Writing_FLA[#Data]),MATCH($A253,_xlfn.VSTACK(YES_Writing_ELA[Student Number], YES_Writing_FLA[Student Number]),0),MATCH(B$7,YES_Writing_ELA[#Headers],0)),IFERROR(INDEX(_xlfn.VSTACK(YES_Reading_ELA[#Data], YES_Reading_FLA[#Data]),MATCH($A253,_xlfn.VSTACK(YES_Reading_ELA[Student Number], YES_Reading_FLA[Student Number]),0),MATCH(B$7,YES_Reading_ELA[#Headers],0)),""))</f>
        <v/>
      </c>
      <c r="C253" s="137" t="str">
        <f>IFERROR(INDEX(_xlfn.VSTACK(YES_Writing_ELA[#Data], YES_Writing_FLA[#Data]),MATCH($A253,_xlfn.VSTACK(YES_Writing_ELA[Student Number], YES_Writing_FLA[Student Number]),0),MATCH(C$7,YES_Writing_ELA[#Headers],0)),IFERROR(INDEX(_xlfn.VSTACK(YES_Reading_ELA[#Data], YES_Reading_FLA[#Data]),MATCH($A253,_xlfn.VSTACK(YES_Reading_ELA[Student Number], YES_Reading_FLA[Student Number]),0),MATCH(C$7,YES_Reading_ELA[#Headers],0)),""))</f>
        <v/>
      </c>
      <c r="D253" s="138" t="str">
        <f>IFERROR(IF(IF(INDEX(_xlfn.VSTACK(YES_Writing_ELA[#Data],YES_Writing_FLA[#Data]),MATCH($A253,_xlfn.VSTACK(YES_Writing_ELA[Student Number],YES_Writing_FLA[Student Number]),0),MATCH(VLOOKUP(D$7,'Writing Logic'!$J$7:$K$11,2,FALSE)&amp;" - Per "&amp;VLOOKUP($C$4,'Writing Logic'!$G$8:$H$14,2,FALSE),YES_Writing_ELA[#Headers],0))=0,"",INDEX(_xlfn.VSTACK(YES_Writing_ELA[#Data],YES_Writing_FLA[#Data]),MATCH($A253,_xlfn.VSTACK(YES_Writing_ELA[Student Number],YES_Writing_FLA[Student Number]),0),MATCH(VLOOKUP(D$7,'Writing Logic'!$J$7:$K$11,2,FALSE)&amp;" - Per "&amp;VLOOKUP($C$4,'Writing Logic'!$G$8:$H$14,2,FALSE),YES_Writing_ELA[#Headers],0)))="INS",'Writing Logic'!$B$7,IF(INDEX(_xlfn.VSTACK(YES_Writing_ELA[#Data],YES_Writing_FLA[#Data]),MATCH($A253,_xlfn.VSTACK(YES_Writing_ELA[Student Number],YES_Writing_FLA[Student Number]),0),MATCH(VLOOKUP(D$7,'Writing Logic'!$J$7:$K$11,2,FALSE)&amp;" - Per "&amp;VLOOKUP($C$4,'Writing Logic'!$G$8:$H$14,2,FALSE),YES_Writing_ELA[#Headers],0))=0,"",INDEX(_xlfn.VSTACK(YES_Writing_ELA[#Data],YES_Writing_FLA[#Data]),MATCH($A253,_xlfn.VSTACK(YES_Writing_ELA[Student Number],YES_Writing_FLA[Student Number]),0),MATCH(VLOOKUP(D$7,'Writing Logic'!$J$7:$K$11,2,FALSE)&amp;" - Per "&amp;VLOOKUP($C$4,'Writing Logic'!$G$8:$H$14,2,FALSE),YES_Writing_ELA[#Headers],0)))),"")</f>
        <v/>
      </c>
      <c r="E253" s="138" t="str">
        <f>IFERROR(IF(IF(INDEX(_xlfn.VSTACK(YES_Writing_ELA[#Data],YES_Writing_FLA[#Data]),MATCH($A253,_xlfn.VSTACK(YES_Writing_ELA[Student Number],YES_Writing_FLA[Student Number]),0),MATCH(VLOOKUP(E$7,'Writing Logic'!$J$7:$K$11,2,FALSE)&amp;" - Per "&amp;VLOOKUP($C$4,'Writing Logic'!$G$8:$H$14,2,FALSE),YES_Writing_ELA[#Headers],0))=0,"",INDEX(_xlfn.VSTACK(YES_Writing_ELA[#Data],YES_Writing_FLA[#Data]),MATCH($A253,_xlfn.VSTACK(YES_Writing_ELA[Student Number],YES_Writing_FLA[Student Number]),0),MATCH(VLOOKUP(E$7,'Writing Logic'!$J$7:$K$11,2,FALSE)&amp;" - Per "&amp;VLOOKUP($C$4,'Writing Logic'!$G$8:$H$14,2,FALSE),YES_Writing_ELA[#Headers],0)))="INS",'Writing Logic'!$B$7,IF(INDEX(_xlfn.VSTACK(YES_Writing_ELA[#Data],YES_Writing_FLA[#Data]),MATCH($A253,_xlfn.VSTACK(YES_Writing_ELA[Student Number],YES_Writing_FLA[Student Number]),0),MATCH(VLOOKUP(E$7,'Writing Logic'!$J$7:$K$11,2,FALSE)&amp;" - Per "&amp;VLOOKUP($C$4,'Writing Logic'!$G$8:$H$14,2,FALSE),YES_Writing_ELA[#Headers],0))=0,"",INDEX(_xlfn.VSTACK(YES_Writing_ELA[#Data],YES_Writing_FLA[#Data]),MATCH($A253,_xlfn.VSTACK(YES_Writing_ELA[Student Number],YES_Writing_FLA[Student Number]),0),MATCH(VLOOKUP(E$7,'Writing Logic'!$J$7:$K$11,2,FALSE)&amp;" - Per "&amp;VLOOKUP($C$4,'Writing Logic'!$G$8:$H$14,2,FALSE),YES_Writing_ELA[#Headers],0)))),"")</f>
        <v/>
      </c>
      <c r="F253" s="138" t="str">
        <f>IFERROR(IF(IF(INDEX(_xlfn.VSTACK(YES_Writing_ELA[#Data],YES_Writing_FLA[#Data]),MATCH($A253,_xlfn.VSTACK(YES_Writing_ELA[Student Number],YES_Writing_FLA[Student Number]),0),MATCH(VLOOKUP(F$7,'Writing Logic'!$J$7:$K$11,2,FALSE)&amp;" - Per "&amp;VLOOKUP($C$4,'Writing Logic'!$G$8:$H$14,2,FALSE),YES_Writing_ELA[#Headers],0))=0,"",INDEX(_xlfn.VSTACK(YES_Writing_ELA[#Data],YES_Writing_FLA[#Data]),MATCH($A253,_xlfn.VSTACK(YES_Writing_ELA[Student Number],YES_Writing_FLA[Student Number]),0),MATCH(VLOOKUP(F$7,'Writing Logic'!$J$7:$K$11,2,FALSE)&amp;" - Per "&amp;VLOOKUP($C$4,'Writing Logic'!$G$8:$H$14,2,FALSE),YES_Writing_ELA[#Headers],0)))="INS",'Writing Logic'!$B$7,IF(INDEX(_xlfn.VSTACK(YES_Writing_ELA[#Data],YES_Writing_FLA[#Data]),MATCH($A253,_xlfn.VSTACK(YES_Writing_ELA[Student Number],YES_Writing_FLA[Student Number]),0),MATCH(VLOOKUP(F$7,'Writing Logic'!$J$7:$K$11,2,FALSE)&amp;" - Per "&amp;VLOOKUP($C$4,'Writing Logic'!$G$8:$H$14,2,FALSE),YES_Writing_ELA[#Headers],0))=0,"",INDEX(_xlfn.VSTACK(YES_Writing_ELA[#Data],YES_Writing_FLA[#Data]),MATCH($A253,_xlfn.VSTACK(YES_Writing_ELA[Student Number],YES_Writing_FLA[Student Number]),0),MATCH(VLOOKUP(F$7,'Writing Logic'!$J$7:$K$11,2,FALSE)&amp;" - Per "&amp;VLOOKUP($C$4,'Writing Logic'!$G$8:$H$14,2,FALSE),YES_Writing_ELA[#Headers],0)))),"")</f>
        <v/>
      </c>
      <c r="G253" s="138" t="str">
        <f>IFERROR(IF(IF(INDEX(_xlfn.VSTACK(YES_Writing_ELA[#Data],YES_Writing_FLA[#Data]),MATCH($A253,_xlfn.VSTACK(YES_Writing_ELA[Student Number],YES_Writing_FLA[Student Number]),0),MATCH(VLOOKUP(G$7,'Writing Logic'!$J$7:$K$11,2,FALSE)&amp;" - Per "&amp;VLOOKUP($C$4,'Writing Logic'!$G$8:$H$14,2,FALSE),YES_Writing_ELA[#Headers],0))=0,"",INDEX(_xlfn.VSTACK(YES_Writing_ELA[#Data],YES_Writing_FLA[#Data]),MATCH($A253,_xlfn.VSTACK(YES_Writing_ELA[Student Number],YES_Writing_FLA[Student Number]),0),MATCH(VLOOKUP(G$7,'Writing Logic'!$J$7:$K$11,2,FALSE)&amp;" - Per "&amp;VLOOKUP($C$4,'Writing Logic'!$G$8:$H$14,2,FALSE),YES_Writing_ELA[#Headers],0)))="INS",'Writing Logic'!$B$7,IF(INDEX(_xlfn.VSTACK(YES_Writing_ELA[#Data],YES_Writing_FLA[#Data]),MATCH($A253,_xlfn.VSTACK(YES_Writing_ELA[Student Number],YES_Writing_FLA[Student Number]),0),MATCH(VLOOKUP(G$7,'Writing Logic'!$J$7:$K$11,2,FALSE)&amp;" - Per "&amp;VLOOKUP($C$4,'Writing Logic'!$G$8:$H$14,2,FALSE),YES_Writing_ELA[#Headers],0))=0,"",INDEX(_xlfn.VSTACK(YES_Writing_ELA[#Data],YES_Writing_FLA[#Data]),MATCH($A253,_xlfn.VSTACK(YES_Writing_ELA[Student Number],YES_Writing_FLA[Student Number]),0),MATCH(VLOOKUP(G$7,'Writing Logic'!$J$7:$K$11,2,FALSE)&amp;" - Per "&amp;VLOOKUP($C$4,'Writing Logic'!$G$8:$H$14,2,FALSE),YES_Writing_ELA[#Headers],0)))),"")</f>
        <v/>
      </c>
      <c r="H253" s="223" t="str">
        <f>IFERROR(IF(IF(INDEX(_xlfn.VSTACK(YES_Writing_ELA[#Data],YES_Writing_FLA[#Data]),MATCH($A253,_xlfn.VSTACK(YES_Writing_ELA[Student Number],YES_Writing_FLA[Student Number]),0),MATCH(VLOOKUP(H$7,'Writing Logic'!$J$7:$K$11,2,FALSE)&amp;" - Per "&amp;VLOOKUP($C$4,'Writing Logic'!$G$8:$H$14,2,FALSE),YES_Writing_ELA[#Headers],0))=0,"",INDEX(_xlfn.VSTACK(YES_Writing_ELA[#Data],YES_Writing_FLA[#Data]),MATCH($A253,_xlfn.VSTACK(YES_Writing_ELA[Student Number],YES_Writing_FLA[Student Number]),0),MATCH(VLOOKUP(H$7,'Writing Logic'!$J$7:$K$11,2,FALSE)&amp;" - Per "&amp;VLOOKUP($C$4,'Writing Logic'!$G$8:$H$14,2,FALSE),YES_Writing_ELA[#Headers],0)))="INS",'Writing Logic'!$B$7,IF(INDEX(_xlfn.VSTACK(YES_Writing_ELA[#Data],YES_Writing_FLA[#Data]),MATCH($A253,_xlfn.VSTACK(YES_Writing_ELA[Student Number],YES_Writing_FLA[Student Number]),0),MATCH(VLOOKUP(H$7,'Writing Logic'!$J$7:$K$11,2,FALSE)&amp;" - Per "&amp;VLOOKUP($C$4,'Writing Logic'!$G$8:$H$14,2,FALSE),YES_Writing_ELA[#Headers],0))=0,"",INDEX(_xlfn.VSTACK(YES_Writing_ELA[#Data],YES_Writing_FLA[#Data]),MATCH($A253,_xlfn.VSTACK(YES_Writing_ELA[Student Number],YES_Writing_FLA[Student Number]),0),MATCH(VLOOKUP(H$7,'Writing Logic'!$J$7:$K$11,2,FALSE)&amp;" - Per "&amp;VLOOKUP($C$4,'Writing Logic'!$G$8:$H$14,2,FALSE),YES_Writing_ELA[#Headers],0)))),"")</f>
        <v/>
      </c>
      <c r="I253" s="224" t="str" cm="1">
        <f t="array" aca="1" ref="I253" ca="1">IFERROR(
IF($G$3="ELA",
IF(VLOOKUP($A253, YES_Reading_ELA[], COLUMN(INDIRECT("YES_Reading_ELA[Difference - Per "&amp;VLOOKUP($G$4, 'Reading Report Logic'!$A$2:$B$8, 2, FALSE)&amp;"]")), FALSE)="", "",
VLOOKUP($A253,YES_Reading_ELA[], COLUMN(INDIRECT("YES_Reading_ELA[Difference - Per "&amp;VLOOKUP($G$4,'Reading Report Logic'!$A$2:$B$8,2,FALSE)&amp;"]")), FALSE)),
IF($G$3="FLA",
IF(VLOOKUP($A253, YES_Reading_FLA[], COLUMN(INDIRECT("YES_Reading_FLA[Difference - Per "&amp;VLOOKUP($G$4,'Reading Report Logic'!$A$2:$B$8,2,FALSE)&amp;"]")),FALSE)="","",
VLOOKUP($A253,YES_Reading_FLA[],COLUMN(INDIRECT("YES_Reading_FLA[Difference - Per "&amp;VLOOKUP($G$4,'Reading Report Logic'!$A$2:$B$8,2,FALSE)&amp;"]")),FALSE)),
IF($G$3="Combined",
IFERROR(
IF(VLOOKUP($A253, YES_Reading_ELA[], COLUMN(INDIRECT("YES_Reading_ELA[Difference - Per "&amp;VLOOKUP($G$4, 'Reading Report Logic'!$A$2:$B$8,2,FALSE)&amp;"]")), FALSE)="", "",
VLOOKUP($A253,YES_Reading_ELA[],COLUMN(INDIRECT("YES_Reading_ELA[Difference - Per "&amp;VLOOKUP($G$4,'Reading Report Logic'!$A$2:$B$8,2,FALSE)&amp;"]")),FALSE)),
IF(VLOOKUP($A253, YES_Reading_FLA[], COLUMN(INDIRECT("YES_Reading_FLA[Difference - Per "&amp;VLOOKUP($G$4, 'Reading Report Logic'!$A$2:$B$8, 2, FALSE)&amp;"]")),FALSE)="", "", VLOOKUP($A253,YES_Reading_FLA[],COLUMN(INDIRECT("YES_Reading_FLA[Difference - Per "&amp;VLOOKUP($G$4, 'Reading Report Logic'!$A$2:$B$8, 2, FALSE)&amp;"]")),FALSE))),""))),"")</f>
        <v/>
      </c>
    </row>
    <row r="254" spans="1:9" x14ac:dyDescent="0.25">
      <c r="A254" s="137"/>
      <c r="B254" s="137" t="str">
        <f>IFERROR(INDEX(_xlfn.VSTACK(YES_Writing_ELA[#Data], YES_Writing_FLA[#Data]),MATCH($A254,_xlfn.VSTACK(YES_Writing_ELA[Student Number], YES_Writing_FLA[Student Number]),0),MATCH(B$7,YES_Writing_ELA[#Headers],0)),IFERROR(INDEX(_xlfn.VSTACK(YES_Reading_ELA[#Data], YES_Reading_FLA[#Data]),MATCH($A254,_xlfn.VSTACK(YES_Reading_ELA[Student Number], YES_Reading_FLA[Student Number]),0),MATCH(B$7,YES_Reading_ELA[#Headers],0)),""))</f>
        <v/>
      </c>
      <c r="C254" s="137" t="str">
        <f>IFERROR(INDEX(_xlfn.VSTACK(YES_Writing_ELA[#Data], YES_Writing_FLA[#Data]),MATCH($A254,_xlfn.VSTACK(YES_Writing_ELA[Student Number], YES_Writing_FLA[Student Number]),0),MATCH(C$7,YES_Writing_ELA[#Headers],0)),IFERROR(INDEX(_xlfn.VSTACK(YES_Reading_ELA[#Data], YES_Reading_FLA[#Data]),MATCH($A254,_xlfn.VSTACK(YES_Reading_ELA[Student Number], YES_Reading_FLA[Student Number]),0),MATCH(C$7,YES_Reading_ELA[#Headers],0)),""))</f>
        <v/>
      </c>
      <c r="D254" s="138" t="str">
        <f>IFERROR(IF(IF(INDEX(_xlfn.VSTACK(YES_Writing_ELA[#Data],YES_Writing_FLA[#Data]),MATCH($A254,_xlfn.VSTACK(YES_Writing_ELA[Student Number],YES_Writing_FLA[Student Number]),0),MATCH(VLOOKUP(D$7,'Writing Logic'!$J$7:$K$11,2,FALSE)&amp;" - Per "&amp;VLOOKUP($C$4,'Writing Logic'!$G$8:$H$14,2,FALSE),YES_Writing_ELA[#Headers],0))=0,"",INDEX(_xlfn.VSTACK(YES_Writing_ELA[#Data],YES_Writing_FLA[#Data]),MATCH($A254,_xlfn.VSTACK(YES_Writing_ELA[Student Number],YES_Writing_FLA[Student Number]),0),MATCH(VLOOKUP(D$7,'Writing Logic'!$J$7:$K$11,2,FALSE)&amp;" - Per "&amp;VLOOKUP($C$4,'Writing Logic'!$G$8:$H$14,2,FALSE),YES_Writing_ELA[#Headers],0)))="INS",'Writing Logic'!$B$7,IF(INDEX(_xlfn.VSTACK(YES_Writing_ELA[#Data],YES_Writing_FLA[#Data]),MATCH($A254,_xlfn.VSTACK(YES_Writing_ELA[Student Number],YES_Writing_FLA[Student Number]),0),MATCH(VLOOKUP(D$7,'Writing Logic'!$J$7:$K$11,2,FALSE)&amp;" - Per "&amp;VLOOKUP($C$4,'Writing Logic'!$G$8:$H$14,2,FALSE),YES_Writing_ELA[#Headers],0))=0,"",INDEX(_xlfn.VSTACK(YES_Writing_ELA[#Data],YES_Writing_FLA[#Data]),MATCH($A254,_xlfn.VSTACK(YES_Writing_ELA[Student Number],YES_Writing_FLA[Student Number]),0),MATCH(VLOOKUP(D$7,'Writing Logic'!$J$7:$K$11,2,FALSE)&amp;" - Per "&amp;VLOOKUP($C$4,'Writing Logic'!$G$8:$H$14,2,FALSE),YES_Writing_ELA[#Headers],0)))),"")</f>
        <v/>
      </c>
      <c r="E254" s="138" t="str">
        <f>IFERROR(IF(IF(INDEX(_xlfn.VSTACK(YES_Writing_ELA[#Data],YES_Writing_FLA[#Data]),MATCH($A254,_xlfn.VSTACK(YES_Writing_ELA[Student Number],YES_Writing_FLA[Student Number]),0),MATCH(VLOOKUP(E$7,'Writing Logic'!$J$7:$K$11,2,FALSE)&amp;" - Per "&amp;VLOOKUP($C$4,'Writing Logic'!$G$8:$H$14,2,FALSE),YES_Writing_ELA[#Headers],0))=0,"",INDEX(_xlfn.VSTACK(YES_Writing_ELA[#Data],YES_Writing_FLA[#Data]),MATCH($A254,_xlfn.VSTACK(YES_Writing_ELA[Student Number],YES_Writing_FLA[Student Number]),0),MATCH(VLOOKUP(E$7,'Writing Logic'!$J$7:$K$11,2,FALSE)&amp;" - Per "&amp;VLOOKUP($C$4,'Writing Logic'!$G$8:$H$14,2,FALSE),YES_Writing_ELA[#Headers],0)))="INS",'Writing Logic'!$B$7,IF(INDEX(_xlfn.VSTACK(YES_Writing_ELA[#Data],YES_Writing_FLA[#Data]),MATCH($A254,_xlfn.VSTACK(YES_Writing_ELA[Student Number],YES_Writing_FLA[Student Number]),0),MATCH(VLOOKUP(E$7,'Writing Logic'!$J$7:$K$11,2,FALSE)&amp;" - Per "&amp;VLOOKUP($C$4,'Writing Logic'!$G$8:$H$14,2,FALSE),YES_Writing_ELA[#Headers],0))=0,"",INDEX(_xlfn.VSTACK(YES_Writing_ELA[#Data],YES_Writing_FLA[#Data]),MATCH($A254,_xlfn.VSTACK(YES_Writing_ELA[Student Number],YES_Writing_FLA[Student Number]),0),MATCH(VLOOKUP(E$7,'Writing Logic'!$J$7:$K$11,2,FALSE)&amp;" - Per "&amp;VLOOKUP($C$4,'Writing Logic'!$G$8:$H$14,2,FALSE),YES_Writing_ELA[#Headers],0)))),"")</f>
        <v/>
      </c>
      <c r="F254" s="138" t="str">
        <f>IFERROR(IF(IF(INDEX(_xlfn.VSTACK(YES_Writing_ELA[#Data],YES_Writing_FLA[#Data]),MATCH($A254,_xlfn.VSTACK(YES_Writing_ELA[Student Number],YES_Writing_FLA[Student Number]),0),MATCH(VLOOKUP(F$7,'Writing Logic'!$J$7:$K$11,2,FALSE)&amp;" - Per "&amp;VLOOKUP($C$4,'Writing Logic'!$G$8:$H$14,2,FALSE),YES_Writing_ELA[#Headers],0))=0,"",INDEX(_xlfn.VSTACK(YES_Writing_ELA[#Data],YES_Writing_FLA[#Data]),MATCH($A254,_xlfn.VSTACK(YES_Writing_ELA[Student Number],YES_Writing_FLA[Student Number]),0),MATCH(VLOOKUP(F$7,'Writing Logic'!$J$7:$K$11,2,FALSE)&amp;" - Per "&amp;VLOOKUP($C$4,'Writing Logic'!$G$8:$H$14,2,FALSE),YES_Writing_ELA[#Headers],0)))="INS",'Writing Logic'!$B$7,IF(INDEX(_xlfn.VSTACK(YES_Writing_ELA[#Data],YES_Writing_FLA[#Data]),MATCH($A254,_xlfn.VSTACK(YES_Writing_ELA[Student Number],YES_Writing_FLA[Student Number]),0),MATCH(VLOOKUP(F$7,'Writing Logic'!$J$7:$K$11,2,FALSE)&amp;" - Per "&amp;VLOOKUP($C$4,'Writing Logic'!$G$8:$H$14,2,FALSE),YES_Writing_ELA[#Headers],0))=0,"",INDEX(_xlfn.VSTACK(YES_Writing_ELA[#Data],YES_Writing_FLA[#Data]),MATCH($A254,_xlfn.VSTACK(YES_Writing_ELA[Student Number],YES_Writing_FLA[Student Number]),0),MATCH(VLOOKUP(F$7,'Writing Logic'!$J$7:$K$11,2,FALSE)&amp;" - Per "&amp;VLOOKUP($C$4,'Writing Logic'!$G$8:$H$14,2,FALSE),YES_Writing_ELA[#Headers],0)))),"")</f>
        <v/>
      </c>
      <c r="G254" s="138" t="str">
        <f>IFERROR(IF(IF(INDEX(_xlfn.VSTACK(YES_Writing_ELA[#Data],YES_Writing_FLA[#Data]),MATCH($A254,_xlfn.VSTACK(YES_Writing_ELA[Student Number],YES_Writing_FLA[Student Number]),0),MATCH(VLOOKUP(G$7,'Writing Logic'!$J$7:$K$11,2,FALSE)&amp;" - Per "&amp;VLOOKUP($C$4,'Writing Logic'!$G$8:$H$14,2,FALSE),YES_Writing_ELA[#Headers],0))=0,"",INDEX(_xlfn.VSTACK(YES_Writing_ELA[#Data],YES_Writing_FLA[#Data]),MATCH($A254,_xlfn.VSTACK(YES_Writing_ELA[Student Number],YES_Writing_FLA[Student Number]),0),MATCH(VLOOKUP(G$7,'Writing Logic'!$J$7:$K$11,2,FALSE)&amp;" - Per "&amp;VLOOKUP($C$4,'Writing Logic'!$G$8:$H$14,2,FALSE),YES_Writing_ELA[#Headers],0)))="INS",'Writing Logic'!$B$7,IF(INDEX(_xlfn.VSTACK(YES_Writing_ELA[#Data],YES_Writing_FLA[#Data]),MATCH($A254,_xlfn.VSTACK(YES_Writing_ELA[Student Number],YES_Writing_FLA[Student Number]),0),MATCH(VLOOKUP(G$7,'Writing Logic'!$J$7:$K$11,2,FALSE)&amp;" - Per "&amp;VLOOKUP($C$4,'Writing Logic'!$G$8:$H$14,2,FALSE),YES_Writing_ELA[#Headers],0))=0,"",INDEX(_xlfn.VSTACK(YES_Writing_ELA[#Data],YES_Writing_FLA[#Data]),MATCH($A254,_xlfn.VSTACK(YES_Writing_ELA[Student Number],YES_Writing_FLA[Student Number]),0),MATCH(VLOOKUP(G$7,'Writing Logic'!$J$7:$K$11,2,FALSE)&amp;" - Per "&amp;VLOOKUP($C$4,'Writing Logic'!$G$8:$H$14,2,FALSE),YES_Writing_ELA[#Headers],0)))),"")</f>
        <v/>
      </c>
      <c r="H254" s="223" t="str">
        <f>IFERROR(IF(IF(INDEX(_xlfn.VSTACK(YES_Writing_ELA[#Data],YES_Writing_FLA[#Data]),MATCH($A254,_xlfn.VSTACK(YES_Writing_ELA[Student Number],YES_Writing_FLA[Student Number]),0),MATCH(VLOOKUP(H$7,'Writing Logic'!$J$7:$K$11,2,FALSE)&amp;" - Per "&amp;VLOOKUP($C$4,'Writing Logic'!$G$8:$H$14,2,FALSE),YES_Writing_ELA[#Headers],0))=0,"",INDEX(_xlfn.VSTACK(YES_Writing_ELA[#Data],YES_Writing_FLA[#Data]),MATCH($A254,_xlfn.VSTACK(YES_Writing_ELA[Student Number],YES_Writing_FLA[Student Number]),0),MATCH(VLOOKUP(H$7,'Writing Logic'!$J$7:$K$11,2,FALSE)&amp;" - Per "&amp;VLOOKUP($C$4,'Writing Logic'!$G$8:$H$14,2,FALSE),YES_Writing_ELA[#Headers],0)))="INS",'Writing Logic'!$B$7,IF(INDEX(_xlfn.VSTACK(YES_Writing_ELA[#Data],YES_Writing_FLA[#Data]),MATCH($A254,_xlfn.VSTACK(YES_Writing_ELA[Student Number],YES_Writing_FLA[Student Number]),0),MATCH(VLOOKUP(H$7,'Writing Logic'!$J$7:$K$11,2,FALSE)&amp;" - Per "&amp;VLOOKUP($C$4,'Writing Logic'!$G$8:$H$14,2,FALSE),YES_Writing_ELA[#Headers],0))=0,"",INDEX(_xlfn.VSTACK(YES_Writing_ELA[#Data],YES_Writing_FLA[#Data]),MATCH($A254,_xlfn.VSTACK(YES_Writing_ELA[Student Number],YES_Writing_FLA[Student Number]),0),MATCH(VLOOKUP(H$7,'Writing Logic'!$J$7:$K$11,2,FALSE)&amp;" - Per "&amp;VLOOKUP($C$4,'Writing Logic'!$G$8:$H$14,2,FALSE),YES_Writing_ELA[#Headers],0)))),"")</f>
        <v/>
      </c>
      <c r="I254" s="224" t="str" cm="1">
        <f t="array" aca="1" ref="I254" ca="1">IFERROR(
IF($G$3="ELA",
IF(VLOOKUP($A254, YES_Reading_ELA[], COLUMN(INDIRECT("YES_Reading_ELA[Difference - Per "&amp;VLOOKUP($G$4, 'Reading Report Logic'!$A$2:$B$8, 2, FALSE)&amp;"]")), FALSE)="", "",
VLOOKUP($A254,YES_Reading_ELA[], COLUMN(INDIRECT("YES_Reading_ELA[Difference - Per "&amp;VLOOKUP($G$4,'Reading Report Logic'!$A$2:$B$8,2,FALSE)&amp;"]")), FALSE)),
IF($G$3="FLA",
IF(VLOOKUP($A254, YES_Reading_FLA[], COLUMN(INDIRECT("YES_Reading_FLA[Difference - Per "&amp;VLOOKUP($G$4,'Reading Report Logic'!$A$2:$B$8,2,FALSE)&amp;"]")),FALSE)="","",
VLOOKUP($A254,YES_Reading_FLA[],COLUMN(INDIRECT("YES_Reading_FLA[Difference - Per "&amp;VLOOKUP($G$4,'Reading Report Logic'!$A$2:$B$8,2,FALSE)&amp;"]")),FALSE)),
IF($G$3="Combined",
IFERROR(
IF(VLOOKUP($A254, YES_Reading_ELA[], COLUMN(INDIRECT("YES_Reading_ELA[Difference - Per "&amp;VLOOKUP($G$4, 'Reading Report Logic'!$A$2:$B$8,2,FALSE)&amp;"]")), FALSE)="", "",
VLOOKUP($A254,YES_Reading_ELA[],COLUMN(INDIRECT("YES_Reading_ELA[Difference - Per "&amp;VLOOKUP($G$4,'Reading Report Logic'!$A$2:$B$8,2,FALSE)&amp;"]")),FALSE)),
IF(VLOOKUP($A254, YES_Reading_FLA[], COLUMN(INDIRECT("YES_Reading_FLA[Difference - Per "&amp;VLOOKUP($G$4, 'Reading Report Logic'!$A$2:$B$8, 2, FALSE)&amp;"]")),FALSE)="", "", VLOOKUP($A254,YES_Reading_FLA[],COLUMN(INDIRECT("YES_Reading_FLA[Difference - Per "&amp;VLOOKUP($G$4, 'Reading Report Logic'!$A$2:$B$8, 2, FALSE)&amp;"]")),FALSE))),""))),"")</f>
        <v/>
      </c>
    </row>
    <row r="255" spans="1:9" x14ac:dyDescent="0.25">
      <c r="A255" s="137"/>
      <c r="B255" s="137" t="str">
        <f>IFERROR(INDEX(_xlfn.VSTACK(YES_Writing_ELA[#Data], YES_Writing_FLA[#Data]),MATCH($A255,_xlfn.VSTACK(YES_Writing_ELA[Student Number], YES_Writing_FLA[Student Number]),0),MATCH(B$7,YES_Writing_ELA[#Headers],0)),IFERROR(INDEX(_xlfn.VSTACK(YES_Reading_ELA[#Data], YES_Reading_FLA[#Data]),MATCH($A255,_xlfn.VSTACK(YES_Reading_ELA[Student Number], YES_Reading_FLA[Student Number]),0),MATCH(B$7,YES_Reading_ELA[#Headers],0)),""))</f>
        <v/>
      </c>
      <c r="C255" s="137" t="str">
        <f>IFERROR(INDEX(_xlfn.VSTACK(YES_Writing_ELA[#Data], YES_Writing_FLA[#Data]),MATCH($A255,_xlfn.VSTACK(YES_Writing_ELA[Student Number], YES_Writing_FLA[Student Number]),0),MATCH(C$7,YES_Writing_ELA[#Headers],0)),IFERROR(INDEX(_xlfn.VSTACK(YES_Reading_ELA[#Data], YES_Reading_FLA[#Data]),MATCH($A255,_xlfn.VSTACK(YES_Reading_ELA[Student Number], YES_Reading_FLA[Student Number]),0),MATCH(C$7,YES_Reading_ELA[#Headers],0)),""))</f>
        <v/>
      </c>
      <c r="D255" s="138" t="str">
        <f>IFERROR(IF(IF(INDEX(_xlfn.VSTACK(YES_Writing_ELA[#Data],YES_Writing_FLA[#Data]),MATCH($A255,_xlfn.VSTACK(YES_Writing_ELA[Student Number],YES_Writing_FLA[Student Number]),0),MATCH(VLOOKUP(D$7,'Writing Logic'!$J$7:$K$11,2,FALSE)&amp;" - Per "&amp;VLOOKUP($C$4,'Writing Logic'!$G$8:$H$14,2,FALSE),YES_Writing_ELA[#Headers],0))=0,"",INDEX(_xlfn.VSTACK(YES_Writing_ELA[#Data],YES_Writing_FLA[#Data]),MATCH($A255,_xlfn.VSTACK(YES_Writing_ELA[Student Number],YES_Writing_FLA[Student Number]),0),MATCH(VLOOKUP(D$7,'Writing Logic'!$J$7:$K$11,2,FALSE)&amp;" - Per "&amp;VLOOKUP($C$4,'Writing Logic'!$G$8:$H$14,2,FALSE),YES_Writing_ELA[#Headers],0)))="INS",'Writing Logic'!$B$7,IF(INDEX(_xlfn.VSTACK(YES_Writing_ELA[#Data],YES_Writing_FLA[#Data]),MATCH($A255,_xlfn.VSTACK(YES_Writing_ELA[Student Number],YES_Writing_FLA[Student Number]),0),MATCH(VLOOKUP(D$7,'Writing Logic'!$J$7:$K$11,2,FALSE)&amp;" - Per "&amp;VLOOKUP($C$4,'Writing Logic'!$G$8:$H$14,2,FALSE),YES_Writing_ELA[#Headers],0))=0,"",INDEX(_xlfn.VSTACK(YES_Writing_ELA[#Data],YES_Writing_FLA[#Data]),MATCH($A255,_xlfn.VSTACK(YES_Writing_ELA[Student Number],YES_Writing_FLA[Student Number]),0),MATCH(VLOOKUP(D$7,'Writing Logic'!$J$7:$K$11,2,FALSE)&amp;" - Per "&amp;VLOOKUP($C$4,'Writing Logic'!$G$8:$H$14,2,FALSE),YES_Writing_ELA[#Headers],0)))),"")</f>
        <v/>
      </c>
      <c r="E255" s="138" t="str">
        <f>IFERROR(IF(IF(INDEX(_xlfn.VSTACK(YES_Writing_ELA[#Data],YES_Writing_FLA[#Data]),MATCH($A255,_xlfn.VSTACK(YES_Writing_ELA[Student Number],YES_Writing_FLA[Student Number]),0),MATCH(VLOOKUP(E$7,'Writing Logic'!$J$7:$K$11,2,FALSE)&amp;" - Per "&amp;VLOOKUP($C$4,'Writing Logic'!$G$8:$H$14,2,FALSE),YES_Writing_ELA[#Headers],0))=0,"",INDEX(_xlfn.VSTACK(YES_Writing_ELA[#Data],YES_Writing_FLA[#Data]),MATCH($A255,_xlfn.VSTACK(YES_Writing_ELA[Student Number],YES_Writing_FLA[Student Number]),0),MATCH(VLOOKUP(E$7,'Writing Logic'!$J$7:$K$11,2,FALSE)&amp;" - Per "&amp;VLOOKUP($C$4,'Writing Logic'!$G$8:$H$14,2,FALSE),YES_Writing_ELA[#Headers],0)))="INS",'Writing Logic'!$B$7,IF(INDEX(_xlfn.VSTACK(YES_Writing_ELA[#Data],YES_Writing_FLA[#Data]),MATCH($A255,_xlfn.VSTACK(YES_Writing_ELA[Student Number],YES_Writing_FLA[Student Number]),0),MATCH(VLOOKUP(E$7,'Writing Logic'!$J$7:$K$11,2,FALSE)&amp;" - Per "&amp;VLOOKUP($C$4,'Writing Logic'!$G$8:$H$14,2,FALSE),YES_Writing_ELA[#Headers],0))=0,"",INDEX(_xlfn.VSTACK(YES_Writing_ELA[#Data],YES_Writing_FLA[#Data]),MATCH($A255,_xlfn.VSTACK(YES_Writing_ELA[Student Number],YES_Writing_FLA[Student Number]),0),MATCH(VLOOKUP(E$7,'Writing Logic'!$J$7:$K$11,2,FALSE)&amp;" - Per "&amp;VLOOKUP($C$4,'Writing Logic'!$G$8:$H$14,2,FALSE),YES_Writing_ELA[#Headers],0)))),"")</f>
        <v/>
      </c>
      <c r="F255" s="138" t="str">
        <f>IFERROR(IF(IF(INDEX(_xlfn.VSTACK(YES_Writing_ELA[#Data],YES_Writing_FLA[#Data]),MATCH($A255,_xlfn.VSTACK(YES_Writing_ELA[Student Number],YES_Writing_FLA[Student Number]),0),MATCH(VLOOKUP(F$7,'Writing Logic'!$J$7:$K$11,2,FALSE)&amp;" - Per "&amp;VLOOKUP($C$4,'Writing Logic'!$G$8:$H$14,2,FALSE),YES_Writing_ELA[#Headers],0))=0,"",INDEX(_xlfn.VSTACK(YES_Writing_ELA[#Data],YES_Writing_FLA[#Data]),MATCH($A255,_xlfn.VSTACK(YES_Writing_ELA[Student Number],YES_Writing_FLA[Student Number]),0),MATCH(VLOOKUP(F$7,'Writing Logic'!$J$7:$K$11,2,FALSE)&amp;" - Per "&amp;VLOOKUP($C$4,'Writing Logic'!$G$8:$H$14,2,FALSE),YES_Writing_ELA[#Headers],0)))="INS",'Writing Logic'!$B$7,IF(INDEX(_xlfn.VSTACK(YES_Writing_ELA[#Data],YES_Writing_FLA[#Data]),MATCH($A255,_xlfn.VSTACK(YES_Writing_ELA[Student Number],YES_Writing_FLA[Student Number]),0),MATCH(VLOOKUP(F$7,'Writing Logic'!$J$7:$K$11,2,FALSE)&amp;" - Per "&amp;VLOOKUP($C$4,'Writing Logic'!$G$8:$H$14,2,FALSE),YES_Writing_ELA[#Headers],0))=0,"",INDEX(_xlfn.VSTACK(YES_Writing_ELA[#Data],YES_Writing_FLA[#Data]),MATCH($A255,_xlfn.VSTACK(YES_Writing_ELA[Student Number],YES_Writing_FLA[Student Number]),0),MATCH(VLOOKUP(F$7,'Writing Logic'!$J$7:$K$11,2,FALSE)&amp;" - Per "&amp;VLOOKUP($C$4,'Writing Logic'!$G$8:$H$14,2,FALSE),YES_Writing_ELA[#Headers],0)))),"")</f>
        <v/>
      </c>
      <c r="G255" s="138" t="str">
        <f>IFERROR(IF(IF(INDEX(_xlfn.VSTACK(YES_Writing_ELA[#Data],YES_Writing_FLA[#Data]),MATCH($A255,_xlfn.VSTACK(YES_Writing_ELA[Student Number],YES_Writing_FLA[Student Number]),0),MATCH(VLOOKUP(G$7,'Writing Logic'!$J$7:$K$11,2,FALSE)&amp;" - Per "&amp;VLOOKUP($C$4,'Writing Logic'!$G$8:$H$14,2,FALSE),YES_Writing_ELA[#Headers],0))=0,"",INDEX(_xlfn.VSTACK(YES_Writing_ELA[#Data],YES_Writing_FLA[#Data]),MATCH($A255,_xlfn.VSTACK(YES_Writing_ELA[Student Number],YES_Writing_FLA[Student Number]),0),MATCH(VLOOKUP(G$7,'Writing Logic'!$J$7:$K$11,2,FALSE)&amp;" - Per "&amp;VLOOKUP($C$4,'Writing Logic'!$G$8:$H$14,2,FALSE),YES_Writing_ELA[#Headers],0)))="INS",'Writing Logic'!$B$7,IF(INDEX(_xlfn.VSTACK(YES_Writing_ELA[#Data],YES_Writing_FLA[#Data]),MATCH($A255,_xlfn.VSTACK(YES_Writing_ELA[Student Number],YES_Writing_FLA[Student Number]),0),MATCH(VLOOKUP(G$7,'Writing Logic'!$J$7:$K$11,2,FALSE)&amp;" - Per "&amp;VLOOKUP($C$4,'Writing Logic'!$G$8:$H$14,2,FALSE),YES_Writing_ELA[#Headers],0))=0,"",INDEX(_xlfn.VSTACK(YES_Writing_ELA[#Data],YES_Writing_FLA[#Data]),MATCH($A255,_xlfn.VSTACK(YES_Writing_ELA[Student Number],YES_Writing_FLA[Student Number]),0),MATCH(VLOOKUP(G$7,'Writing Logic'!$J$7:$K$11,2,FALSE)&amp;" - Per "&amp;VLOOKUP($C$4,'Writing Logic'!$G$8:$H$14,2,FALSE),YES_Writing_ELA[#Headers],0)))),"")</f>
        <v/>
      </c>
      <c r="H255" s="223" t="str">
        <f>IFERROR(IF(IF(INDEX(_xlfn.VSTACK(YES_Writing_ELA[#Data],YES_Writing_FLA[#Data]),MATCH($A255,_xlfn.VSTACK(YES_Writing_ELA[Student Number],YES_Writing_FLA[Student Number]),0),MATCH(VLOOKUP(H$7,'Writing Logic'!$J$7:$K$11,2,FALSE)&amp;" - Per "&amp;VLOOKUP($C$4,'Writing Logic'!$G$8:$H$14,2,FALSE),YES_Writing_ELA[#Headers],0))=0,"",INDEX(_xlfn.VSTACK(YES_Writing_ELA[#Data],YES_Writing_FLA[#Data]),MATCH($A255,_xlfn.VSTACK(YES_Writing_ELA[Student Number],YES_Writing_FLA[Student Number]),0),MATCH(VLOOKUP(H$7,'Writing Logic'!$J$7:$K$11,2,FALSE)&amp;" - Per "&amp;VLOOKUP($C$4,'Writing Logic'!$G$8:$H$14,2,FALSE),YES_Writing_ELA[#Headers],0)))="INS",'Writing Logic'!$B$7,IF(INDEX(_xlfn.VSTACK(YES_Writing_ELA[#Data],YES_Writing_FLA[#Data]),MATCH($A255,_xlfn.VSTACK(YES_Writing_ELA[Student Number],YES_Writing_FLA[Student Number]),0),MATCH(VLOOKUP(H$7,'Writing Logic'!$J$7:$K$11,2,FALSE)&amp;" - Per "&amp;VLOOKUP($C$4,'Writing Logic'!$G$8:$H$14,2,FALSE),YES_Writing_ELA[#Headers],0))=0,"",INDEX(_xlfn.VSTACK(YES_Writing_ELA[#Data],YES_Writing_FLA[#Data]),MATCH($A255,_xlfn.VSTACK(YES_Writing_ELA[Student Number],YES_Writing_FLA[Student Number]),0),MATCH(VLOOKUP(H$7,'Writing Logic'!$J$7:$K$11,2,FALSE)&amp;" - Per "&amp;VLOOKUP($C$4,'Writing Logic'!$G$8:$H$14,2,FALSE),YES_Writing_ELA[#Headers],0)))),"")</f>
        <v/>
      </c>
      <c r="I255" s="224" t="str" cm="1">
        <f t="array" aca="1" ref="I255" ca="1">IFERROR(
IF($G$3="ELA",
IF(VLOOKUP($A255, YES_Reading_ELA[], COLUMN(INDIRECT("YES_Reading_ELA[Difference - Per "&amp;VLOOKUP($G$4, 'Reading Report Logic'!$A$2:$B$8, 2, FALSE)&amp;"]")), FALSE)="", "",
VLOOKUP($A255,YES_Reading_ELA[], COLUMN(INDIRECT("YES_Reading_ELA[Difference - Per "&amp;VLOOKUP($G$4,'Reading Report Logic'!$A$2:$B$8,2,FALSE)&amp;"]")), FALSE)),
IF($G$3="FLA",
IF(VLOOKUP($A255, YES_Reading_FLA[], COLUMN(INDIRECT("YES_Reading_FLA[Difference - Per "&amp;VLOOKUP($G$4,'Reading Report Logic'!$A$2:$B$8,2,FALSE)&amp;"]")),FALSE)="","",
VLOOKUP($A255,YES_Reading_FLA[],COLUMN(INDIRECT("YES_Reading_FLA[Difference - Per "&amp;VLOOKUP($G$4,'Reading Report Logic'!$A$2:$B$8,2,FALSE)&amp;"]")),FALSE)),
IF($G$3="Combined",
IFERROR(
IF(VLOOKUP($A255, YES_Reading_ELA[], COLUMN(INDIRECT("YES_Reading_ELA[Difference - Per "&amp;VLOOKUP($G$4, 'Reading Report Logic'!$A$2:$B$8,2,FALSE)&amp;"]")), FALSE)="", "",
VLOOKUP($A255,YES_Reading_ELA[],COLUMN(INDIRECT("YES_Reading_ELA[Difference - Per "&amp;VLOOKUP($G$4,'Reading Report Logic'!$A$2:$B$8,2,FALSE)&amp;"]")),FALSE)),
IF(VLOOKUP($A255, YES_Reading_FLA[], COLUMN(INDIRECT("YES_Reading_FLA[Difference - Per "&amp;VLOOKUP($G$4, 'Reading Report Logic'!$A$2:$B$8, 2, FALSE)&amp;"]")),FALSE)="", "", VLOOKUP($A255,YES_Reading_FLA[],COLUMN(INDIRECT("YES_Reading_FLA[Difference - Per "&amp;VLOOKUP($G$4, 'Reading Report Logic'!$A$2:$B$8, 2, FALSE)&amp;"]")),FALSE))),""))),"")</f>
        <v/>
      </c>
    </row>
    <row r="256" spans="1:9" x14ac:dyDescent="0.25">
      <c r="A256" s="137"/>
      <c r="B256" s="137" t="str">
        <f>IFERROR(INDEX(_xlfn.VSTACK(YES_Writing_ELA[#Data], YES_Writing_FLA[#Data]),MATCH($A256,_xlfn.VSTACK(YES_Writing_ELA[Student Number], YES_Writing_FLA[Student Number]),0),MATCH(B$7,YES_Writing_ELA[#Headers],0)),IFERROR(INDEX(_xlfn.VSTACK(YES_Reading_ELA[#Data], YES_Reading_FLA[#Data]),MATCH($A256,_xlfn.VSTACK(YES_Reading_ELA[Student Number], YES_Reading_FLA[Student Number]),0),MATCH(B$7,YES_Reading_ELA[#Headers],0)),""))</f>
        <v/>
      </c>
      <c r="C256" s="137" t="str">
        <f>IFERROR(INDEX(_xlfn.VSTACK(YES_Writing_ELA[#Data], YES_Writing_FLA[#Data]),MATCH($A256,_xlfn.VSTACK(YES_Writing_ELA[Student Number], YES_Writing_FLA[Student Number]),0),MATCH(C$7,YES_Writing_ELA[#Headers],0)),IFERROR(INDEX(_xlfn.VSTACK(YES_Reading_ELA[#Data], YES_Reading_FLA[#Data]),MATCH($A256,_xlfn.VSTACK(YES_Reading_ELA[Student Number], YES_Reading_FLA[Student Number]),0),MATCH(C$7,YES_Reading_ELA[#Headers],0)),""))</f>
        <v/>
      </c>
      <c r="D256" s="138" t="str">
        <f>IFERROR(IF(IF(INDEX(_xlfn.VSTACK(YES_Writing_ELA[#Data],YES_Writing_FLA[#Data]),MATCH($A256,_xlfn.VSTACK(YES_Writing_ELA[Student Number],YES_Writing_FLA[Student Number]),0),MATCH(VLOOKUP(D$7,'Writing Logic'!$J$7:$K$11,2,FALSE)&amp;" - Per "&amp;VLOOKUP($C$4,'Writing Logic'!$G$8:$H$14,2,FALSE),YES_Writing_ELA[#Headers],0))=0,"",INDEX(_xlfn.VSTACK(YES_Writing_ELA[#Data],YES_Writing_FLA[#Data]),MATCH($A256,_xlfn.VSTACK(YES_Writing_ELA[Student Number],YES_Writing_FLA[Student Number]),0),MATCH(VLOOKUP(D$7,'Writing Logic'!$J$7:$K$11,2,FALSE)&amp;" - Per "&amp;VLOOKUP($C$4,'Writing Logic'!$G$8:$H$14,2,FALSE),YES_Writing_ELA[#Headers],0)))="INS",'Writing Logic'!$B$7,IF(INDEX(_xlfn.VSTACK(YES_Writing_ELA[#Data],YES_Writing_FLA[#Data]),MATCH($A256,_xlfn.VSTACK(YES_Writing_ELA[Student Number],YES_Writing_FLA[Student Number]),0),MATCH(VLOOKUP(D$7,'Writing Logic'!$J$7:$K$11,2,FALSE)&amp;" - Per "&amp;VLOOKUP($C$4,'Writing Logic'!$G$8:$H$14,2,FALSE),YES_Writing_ELA[#Headers],0))=0,"",INDEX(_xlfn.VSTACK(YES_Writing_ELA[#Data],YES_Writing_FLA[#Data]),MATCH($A256,_xlfn.VSTACK(YES_Writing_ELA[Student Number],YES_Writing_FLA[Student Number]),0),MATCH(VLOOKUP(D$7,'Writing Logic'!$J$7:$K$11,2,FALSE)&amp;" - Per "&amp;VLOOKUP($C$4,'Writing Logic'!$G$8:$H$14,2,FALSE),YES_Writing_ELA[#Headers],0)))),"")</f>
        <v/>
      </c>
      <c r="E256" s="138" t="str">
        <f>IFERROR(IF(IF(INDEX(_xlfn.VSTACK(YES_Writing_ELA[#Data],YES_Writing_FLA[#Data]),MATCH($A256,_xlfn.VSTACK(YES_Writing_ELA[Student Number],YES_Writing_FLA[Student Number]),0),MATCH(VLOOKUP(E$7,'Writing Logic'!$J$7:$K$11,2,FALSE)&amp;" - Per "&amp;VLOOKUP($C$4,'Writing Logic'!$G$8:$H$14,2,FALSE),YES_Writing_ELA[#Headers],0))=0,"",INDEX(_xlfn.VSTACK(YES_Writing_ELA[#Data],YES_Writing_FLA[#Data]),MATCH($A256,_xlfn.VSTACK(YES_Writing_ELA[Student Number],YES_Writing_FLA[Student Number]),0),MATCH(VLOOKUP(E$7,'Writing Logic'!$J$7:$K$11,2,FALSE)&amp;" - Per "&amp;VLOOKUP($C$4,'Writing Logic'!$G$8:$H$14,2,FALSE),YES_Writing_ELA[#Headers],0)))="INS",'Writing Logic'!$B$7,IF(INDEX(_xlfn.VSTACK(YES_Writing_ELA[#Data],YES_Writing_FLA[#Data]),MATCH($A256,_xlfn.VSTACK(YES_Writing_ELA[Student Number],YES_Writing_FLA[Student Number]),0),MATCH(VLOOKUP(E$7,'Writing Logic'!$J$7:$K$11,2,FALSE)&amp;" - Per "&amp;VLOOKUP($C$4,'Writing Logic'!$G$8:$H$14,2,FALSE),YES_Writing_ELA[#Headers],0))=0,"",INDEX(_xlfn.VSTACK(YES_Writing_ELA[#Data],YES_Writing_FLA[#Data]),MATCH($A256,_xlfn.VSTACK(YES_Writing_ELA[Student Number],YES_Writing_FLA[Student Number]),0),MATCH(VLOOKUP(E$7,'Writing Logic'!$J$7:$K$11,2,FALSE)&amp;" - Per "&amp;VLOOKUP($C$4,'Writing Logic'!$G$8:$H$14,2,FALSE),YES_Writing_ELA[#Headers],0)))),"")</f>
        <v/>
      </c>
      <c r="F256" s="138" t="str">
        <f>IFERROR(IF(IF(INDEX(_xlfn.VSTACK(YES_Writing_ELA[#Data],YES_Writing_FLA[#Data]),MATCH($A256,_xlfn.VSTACK(YES_Writing_ELA[Student Number],YES_Writing_FLA[Student Number]),0),MATCH(VLOOKUP(F$7,'Writing Logic'!$J$7:$K$11,2,FALSE)&amp;" - Per "&amp;VLOOKUP($C$4,'Writing Logic'!$G$8:$H$14,2,FALSE),YES_Writing_ELA[#Headers],0))=0,"",INDEX(_xlfn.VSTACK(YES_Writing_ELA[#Data],YES_Writing_FLA[#Data]),MATCH($A256,_xlfn.VSTACK(YES_Writing_ELA[Student Number],YES_Writing_FLA[Student Number]),0),MATCH(VLOOKUP(F$7,'Writing Logic'!$J$7:$K$11,2,FALSE)&amp;" - Per "&amp;VLOOKUP($C$4,'Writing Logic'!$G$8:$H$14,2,FALSE),YES_Writing_ELA[#Headers],0)))="INS",'Writing Logic'!$B$7,IF(INDEX(_xlfn.VSTACK(YES_Writing_ELA[#Data],YES_Writing_FLA[#Data]),MATCH($A256,_xlfn.VSTACK(YES_Writing_ELA[Student Number],YES_Writing_FLA[Student Number]),0),MATCH(VLOOKUP(F$7,'Writing Logic'!$J$7:$K$11,2,FALSE)&amp;" - Per "&amp;VLOOKUP($C$4,'Writing Logic'!$G$8:$H$14,2,FALSE),YES_Writing_ELA[#Headers],0))=0,"",INDEX(_xlfn.VSTACK(YES_Writing_ELA[#Data],YES_Writing_FLA[#Data]),MATCH($A256,_xlfn.VSTACK(YES_Writing_ELA[Student Number],YES_Writing_FLA[Student Number]),0),MATCH(VLOOKUP(F$7,'Writing Logic'!$J$7:$K$11,2,FALSE)&amp;" - Per "&amp;VLOOKUP($C$4,'Writing Logic'!$G$8:$H$14,2,FALSE),YES_Writing_ELA[#Headers],0)))),"")</f>
        <v/>
      </c>
      <c r="G256" s="138" t="str">
        <f>IFERROR(IF(IF(INDEX(_xlfn.VSTACK(YES_Writing_ELA[#Data],YES_Writing_FLA[#Data]),MATCH($A256,_xlfn.VSTACK(YES_Writing_ELA[Student Number],YES_Writing_FLA[Student Number]),0),MATCH(VLOOKUP(G$7,'Writing Logic'!$J$7:$K$11,2,FALSE)&amp;" - Per "&amp;VLOOKUP($C$4,'Writing Logic'!$G$8:$H$14,2,FALSE),YES_Writing_ELA[#Headers],0))=0,"",INDEX(_xlfn.VSTACK(YES_Writing_ELA[#Data],YES_Writing_FLA[#Data]),MATCH($A256,_xlfn.VSTACK(YES_Writing_ELA[Student Number],YES_Writing_FLA[Student Number]),0),MATCH(VLOOKUP(G$7,'Writing Logic'!$J$7:$K$11,2,FALSE)&amp;" - Per "&amp;VLOOKUP($C$4,'Writing Logic'!$G$8:$H$14,2,FALSE),YES_Writing_ELA[#Headers],0)))="INS",'Writing Logic'!$B$7,IF(INDEX(_xlfn.VSTACK(YES_Writing_ELA[#Data],YES_Writing_FLA[#Data]),MATCH($A256,_xlfn.VSTACK(YES_Writing_ELA[Student Number],YES_Writing_FLA[Student Number]),0),MATCH(VLOOKUP(G$7,'Writing Logic'!$J$7:$K$11,2,FALSE)&amp;" - Per "&amp;VLOOKUP($C$4,'Writing Logic'!$G$8:$H$14,2,FALSE),YES_Writing_ELA[#Headers],0))=0,"",INDEX(_xlfn.VSTACK(YES_Writing_ELA[#Data],YES_Writing_FLA[#Data]),MATCH($A256,_xlfn.VSTACK(YES_Writing_ELA[Student Number],YES_Writing_FLA[Student Number]),0),MATCH(VLOOKUP(G$7,'Writing Logic'!$J$7:$K$11,2,FALSE)&amp;" - Per "&amp;VLOOKUP($C$4,'Writing Logic'!$G$8:$H$14,2,FALSE),YES_Writing_ELA[#Headers],0)))),"")</f>
        <v/>
      </c>
      <c r="H256" s="223" t="str">
        <f>IFERROR(IF(IF(INDEX(_xlfn.VSTACK(YES_Writing_ELA[#Data],YES_Writing_FLA[#Data]),MATCH($A256,_xlfn.VSTACK(YES_Writing_ELA[Student Number],YES_Writing_FLA[Student Number]),0),MATCH(VLOOKUP(H$7,'Writing Logic'!$J$7:$K$11,2,FALSE)&amp;" - Per "&amp;VLOOKUP($C$4,'Writing Logic'!$G$8:$H$14,2,FALSE),YES_Writing_ELA[#Headers],0))=0,"",INDEX(_xlfn.VSTACK(YES_Writing_ELA[#Data],YES_Writing_FLA[#Data]),MATCH($A256,_xlfn.VSTACK(YES_Writing_ELA[Student Number],YES_Writing_FLA[Student Number]),0),MATCH(VLOOKUP(H$7,'Writing Logic'!$J$7:$K$11,2,FALSE)&amp;" - Per "&amp;VLOOKUP($C$4,'Writing Logic'!$G$8:$H$14,2,FALSE),YES_Writing_ELA[#Headers],0)))="INS",'Writing Logic'!$B$7,IF(INDEX(_xlfn.VSTACK(YES_Writing_ELA[#Data],YES_Writing_FLA[#Data]),MATCH($A256,_xlfn.VSTACK(YES_Writing_ELA[Student Number],YES_Writing_FLA[Student Number]),0),MATCH(VLOOKUP(H$7,'Writing Logic'!$J$7:$K$11,2,FALSE)&amp;" - Per "&amp;VLOOKUP($C$4,'Writing Logic'!$G$8:$H$14,2,FALSE),YES_Writing_ELA[#Headers],0))=0,"",INDEX(_xlfn.VSTACK(YES_Writing_ELA[#Data],YES_Writing_FLA[#Data]),MATCH($A256,_xlfn.VSTACK(YES_Writing_ELA[Student Number],YES_Writing_FLA[Student Number]),0),MATCH(VLOOKUP(H$7,'Writing Logic'!$J$7:$K$11,2,FALSE)&amp;" - Per "&amp;VLOOKUP($C$4,'Writing Logic'!$G$8:$H$14,2,FALSE),YES_Writing_ELA[#Headers],0)))),"")</f>
        <v/>
      </c>
      <c r="I256" s="224" t="str" cm="1">
        <f t="array" aca="1" ref="I256" ca="1">IFERROR(
IF($G$3="ELA",
IF(VLOOKUP($A256, YES_Reading_ELA[], COLUMN(INDIRECT("YES_Reading_ELA[Difference - Per "&amp;VLOOKUP($G$4, 'Reading Report Logic'!$A$2:$B$8, 2, FALSE)&amp;"]")), FALSE)="", "",
VLOOKUP($A256,YES_Reading_ELA[], COLUMN(INDIRECT("YES_Reading_ELA[Difference - Per "&amp;VLOOKUP($G$4,'Reading Report Logic'!$A$2:$B$8,2,FALSE)&amp;"]")), FALSE)),
IF($G$3="FLA",
IF(VLOOKUP($A256, YES_Reading_FLA[], COLUMN(INDIRECT("YES_Reading_FLA[Difference - Per "&amp;VLOOKUP($G$4,'Reading Report Logic'!$A$2:$B$8,2,FALSE)&amp;"]")),FALSE)="","",
VLOOKUP($A256,YES_Reading_FLA[],COLUMN(INDIRECT("YES_Reading_FLA[Difference - Per "&amp;VLOOKUP($G$4,'Reading Report Logic'!$A$2:$B$8,2,FALSE)&amp;"]")),FALSE)),
IF($G$3="Combined",
IFERROR(
IF(VLOOKUP($A256, YES_Reading_ELA[], COLUMN(INDIRECT("YES_Reading_ELA[Difference - Per "&amp;VLOOKUP($G$4, 'Reading Report Logic'!$A$2:$B$8,2,FALSE)&amp;"]")), FALSE)="", "",
VLOOKUP($A256,YES_Reading_ELA[],COLUMN(INDIRECT("YES_Reading_ELA[Difference - Per "&amp;VLOOKUP($G$4,'Reading Report Logic'!$A$2:$B$8,2,FALSE)&amp;"]")),FALSE)),
IF(VLOOKUP($A256, YES_Reading_FLA[], COLUMN(INDIRECT("YES_Reading_FLA[Difference - Per "&amp;VLOOKUP($G$4, 'Reading Report Logic'!$A$2:$B$8, 2, FALSE)&amp;"]")),FALSE)="", "", VLOOKUP($A256,YES_Reading_FLA[],COLUMN(INDIRECT("YES_Reading_FLA[Difference - Per "&amp;VLOOKUP($G$4, 'Reading Report Logic'!$A$2:$B$8, 2, FALSE)&amp;"]")),FALSE))),""))),"")</f>
        <v/>
      </c>
    </row>
    <row r="257" spans="1:9" x14ac:dyDescent="0.25">
      <c r="A257" s="137"/>
      <c r="B257" s="137" t="str">
        <f>IFERROR(INDEX(_xlfn.VSTACK(YES_Writing_ELA[#Data], YES_Writing_FLA[#Data]),MATCH($A257,_xlfn.VSTACK(YES_Writing_ELA[Student Number], YES_Writing_FLA[Student Number]),0),MATCH(B$7,YES_Writing_ELA[#Headers],0)),IFERROR(INDEX(_xlfn.VSTACK(YES_Reading_ELA[#Data], YES_Reading_FLA[#Data]),MATCH($A257,_xlfn.VSTACK(YES_Reading_ELA[Student Number], YES_Reading_FLA[Student Number]),0),MATCH(B$7,YES_Reading_ELA[#Headers],0)),""))</f>
        <v/>
      </c>
      <c r="C257" s="137" t="str">
        <f>IFERROR(INDEX(_xlfn.VSTACK(YES_Writing_ELA[#Data], YES_Writing_FLA[#Data]),MATCH($A257,_xlfn.VSTACK(YES_Writing_ELA[Student Number], YES_Writing_FLA[Student Number]),0),MATCH(C$7,YES_Writing_ELA[#Headers],0)),IFERROR(INDEX(_xlfn.VSTACK(YES_Reading_ELA[#Data], YES_Reading_FLA[#Data]),MATCH($A257,_xlfn.VSTACK(YES_Reading_ELA[Student Number], YES_Reading_FLA[Student Number]),0),MATCH(C$7,YES_Reading_ELA[#Headers],0)),""))</f>
        <v/>
      </c>
      <c r="D257" s="138" t="str">
        <f>IFERROR(IF(IF(INDEX(_xlfn.VSTACK(YES_Writing_ELA[#Data],YES_Writing_FLA[#Data]),MATCH($A257,_xlfn.VSTACK(YES_Writing_ELA[Student Number],YES_Writing_FLA[Student Number]),0),MATCH(VLOOKUP(D$7,'Writing Logic'!$J$7:$K$11,2,FALSE)&amp;" - Per "&amp;VLOOKUP($C$4,'Writing Logic'!$G$8:$H$14,2,FALSE),YES_Writing_ELA[#Headers],0))=0,"",INDEX(_xlfn.VSTACK(YES_Writing_ELA[#Data],YES_Writing_FLA[#Data]),MATCH($A257,_xlfn.VSTACK(YES_Writing_ELA[Student Number],YES_Writing_FLA[Student Number]),0),MATCH(VLOOKUP(D$7,'Writing Logic'!$J$7:$K$11,2,FALSE)&amp;" - Per "&amp;VLOOKUP($C$4,'Writing Logic'!$G$8:$H$14,2,FALSE),YES_Writing_ELA[#Headers],0)))="INS",'Writing Logic'!$B$7,IF(INDEX(_xlfn.VSTACK(YES_Writing_ELA[#Data],YES_Writing_FLA[#Data]),MATCH($A257,_xlfn.VSTACK(YES_Writing_ELA[Student Number],YES_Writing_FLA[Student Number]),0),MATCH(VLOOKUP(D$7,'Writing Logic'!$J$7:$K$11,2,FALSE)&amp;" - Per "&amp;VLOOKUP($C$4,'Writing Logic'!$G$8:$H$14,2,FALSE),YES_Writing_ELA[#Headers],0))=0,"",INDEX(_xlfn.VSTACK(YES_Writing_ELA[#Data],YES_Writing_FLA[#Data]),MATCH($A257,_xlfn.VSTACK(YES_Writing_ELA[Student Number],YES_Writing_FLA[Student Number]),0),MATCH(VLOOKUP(D$7,'Writing Logic'!$J$7:$K$11,2,FALSE)&amp;" - Per "&amp;VLOOKUP($C$4,'Writing Logic'!$G$8:$H$14,2,FALSE),YES_Writing_ELA[#Headers],0)))),"")</f>
        <v/>
      </c>
      <c r="E257" s="138" t="str">
        <f>IFERROR(IF(IF(INDEX(_xlfn.VSTACK(YES_Writing_ELA[#Data],YES_Writing_FLA[#Data]),MATCH($A257,_xlfn.VSTACK(YES_Writing_ELA[Student Number],YES_Writing_FLA[Student Number]),0),MATCH(VLOOKUP(E$7,'Writing Logic'!$J$7:$K$11,2,FALSE)&amp;" - Per "&amp;VLOOKUP($C$4,'Writing Logic'!$G$8:$H$14,2,FALSE),YES_Writing_ELA[#Headers],0))=0,"",INDEX(_xlfn.VSTACK(YES_Writing_ELA[#Data],YES_Writing_FLA[#Data]),MATCH($A257,_xlfn.VSTACK(YES_Writing_ELA[Student Number],YES_Writing_FLA[Student Number]),0),MATCH(VLOOKUP(E$7,'Writing Logic'!$J$7:$K$11,2,FALSE)&amp;" - Per "&amp;VLOOKUP($C$4,'Writing Logic'!$G$8:$H$14,2,FALSE),YES_Writing_ELA[#Headers],0)))="INS",'Writing Logic'!$B$7,IF(INDEX(_xlfn.VSTACK(YES_Writing_ELA[#Data],YES_Writing_FLA[#Data]),MATCH($A257,_xlfn.VSTACK(YES_Writing_ELA[Student Number],YES_Writing_FLA[Student Number]),0),MATCH(VLOOKUP(E$7,'Writing Logic'!$J$7:$K$11,2,FALSE)&amp;" - Per "&amp;VLOOKUP($C$4,'Writing Logic'!$G$8:$H$14,2,FALSE),YES_Writing_ELA[#Headers],0))=0,"",INDEX(_xlfn.VSTACK(YES_Writing_ELA[#Data],YES_Writing_FLA[#Data]),MATCH($A257,_xlfn.VSTACK(YES_Writing_ELA[Student Number],YES_Writing_FLA[Student Number]),0),MATCH(VLOOKUP(E$7,'Writing Logic'!$J$7:$K$11,2,FALSE)&amp;" - Per "&amp;VLOOKUP($C$4,'Writing Logic'!$G$8:$H$14,2,FALSE),YES_Writing_ELA[#Headers],0)))),"")</f>
        <v/>
      </c>
      <c r="F257" s="138" t="str">
        <f>IFERROR(IF(IF(INDEX(_xlfn.VSTACK(YES_Writing_ELA[#Data],YES_Writing_FLA[#Data]),MATCH($A257,_xlfn.VSTACK(YES_Writing_ELA[Student Number],YES_Writing_FLA[Student Number]),0),MATCH(VLOOKUP(F$7,'Writing Logic'!$J$7:$K$11,2,FALSE)&amp;" - Per "&amp;VLOOKUP($C$4,'Writing Logic'!$G$8:$H$14,2,FALSE),YES_Writing_ELA[#Headers],0))=0,"",INDEX(_xlfn.VSTACK(YES_Writing_ELA[#Data],YES_Writing_FLA[#Data]),MATCH($A257,_xlfn.VSTACK(YES_Writing_ELA[Student Number],YES_Writing_FLA[Student Number]),0),MATCH(VLOOKUP(F$7,'Writing Logic'!$J$7:$K$11,2,FALSE)&amp;" - Per "&amp;VLOOKUP($C$4,'Writing Logic'!$G$8:$H$14,2,FALSE),YES_Writing_ELA[#Headers],0)))="INS",'Writing Logic'!$B$7,IF(INDEX(_xlfn.VSTACK(YES_Writing_ELA[#Data],YES_Writing_FLA[#Data]),MATCH($A257,_xlfn.VSTACK(YES_Writing_ELA[Student Number],YES_Writing_FLA[Student Number]),0),MATCH(VLOOKUP(F$7,'Writing Logic'!$J$7:$K$11,2,FALSE)&amp;" - Per "&amp;VLOOKUP($C$4,'Writing Logic'!$G$8:$H$14,2,FALSE),YES_Writing_ELA[#Headers],0))=0,"",INDEX(_xlfn.VSTACK(YES_Writing_ELA[#Data],YES_Writing_FLA[#Data]),MATCH($A257,_xlfn.VSTACK(YES_Writing_ELA[Student Number],YES_Writing_FLA[Student Number]),0),MATCH(VLOOKUP(F$7,'Writing Logic'!$J$7:$K$11,2,FALSE)&amp;" - Per "&amp;VLOOKUP($C$4,'Writing Logic'!$G$8:$H$14,2,FALSE),YES_Writing_ELA[#Headers],0)))),"")</f>
        <v/>
      </c>
      <c r="G257" s="138" t="str">
        <f>IFERROR(IF(IF(INDEX(_xlfn.VSTACK(YES_Writing_ELA[#Data],YES_Writing_FLA[#Data]),MATCH($A257,_xlfn.VSTACK(YES_Writing_ELA[Student Number],YES_Writing_FLA[Student Number]),0),MATCH(VLOOKUP(G$7,'Writing Logic'!$J$7:$K$11,2,FALSE)&amp;" - Per "&amp;VLOOKUP($C$4,'Writing Logic'!$G$8:$H$14,2,FALSE),YES_Writing_ELA[#Headers],0))=0,"",INDEX(_xlfn.VSTACK(YES_Writing_ELA[#Data],YES_Writing_FLA[#Data]),MATCH($A257,_xlfn.VSTACK(YES_Writing_ELA[Student Number],YES_Writing_FLA[Student Number]),0),MATCH(VLOOKUP(G$7,'Writing Logic'!$J$7:$K$11,2,FALSE)&amp;" - Per "&amp;VLOOKUP($C$4,'Writing Logic'!$G$8:$H$14,2,FALSE),YES_Writing_ELA[#Headers],0)))="INS",'Writing Logic'!$B$7,IF(INDEX(_xlfn.VSTACK(YES_Writing_ELA[#Data],YES_Writing_FLA[#Data]),MATCH($A257,_xlfn.VSTACK(YES_Writing_ELA[Student Number],YES_Writing_FLA[Student Number]),0),MATCH(VLOOKUP(G$7,'Writing Logic'!$J$7:$K$11,2,FALSE)&amp;" - Per "&amp;VLOOKUP($C$4,'Writing Logic'!$G$8:$H$14,2,FALSE),YES_Writing_ELA[#Headers],0))=0,"",INDEX(_xlfn.VSTACK(YES_Writing_ELA[#Data],YES_Writing_FLA[#Data]),MATCH($A257,_xlfn.VSTACK(YES_Writing_ELA[Student Number],YES_Writing_FLA[Student Number]),0),MATCH(VLOOKUP(G$7,'Writing Logic'!$J$7:$K$11,2,FALSE)&amp;" - Per "&amp;VLOOKUP($C$4,'Writing Logic'!$G$8:$H$14,2,FALSE),YES_Writing_ELA[#Headers],0)))),"")</f>
        <v/>
      </c>
      <c r="H257" s="223" t="str">
        <f>IFERROR(IF(IF(INDEX(_xlfn.VSTACK(YES_Writing_ELA[#Data],YES_Writing_FLA[#Data]),MATCH($A257,_xlfn.VSTACK(YES_Writing_ELA[Student Number],YES_Writing_FLA[Student Number]),0),MATCH(VLOOKUP(H$7,'Writing Logic'!$J$7:$K$11,2,FALSE)&amp;" - Per "&amp;VLOOKUP($C$4,'Writing Logic'!$G$8:$H$14,2,FALSE),YES_Writing_ELA[#Headers],0))=0,"",INDEX(_xlfn.VSTACK(YES_Writing_ELA[#Data],YES_Writing_FLA[#Data]),MATCH($A257,_xlfn.VSTACK(YES_Writing_ELA[Student Number],YES_Writing_FLA[Student Number]),0),MATCH(VLOOKUP(H$7,'Writing Logic'!$J$7:$K$11,2,FALSE)&amp;" - Per "&amp;VLOOKUP($C$4,'Writing Logic'!$G$8:$H$14,2,FALSE),YES_Writing_ELA[#Headers],0)))="INS",'Writing Logic'!$B$7,IF(INDEX(_xlfn.VSTACK(YES_Writing_ELA[#Data],YES_Writing_FLA[#Data]),MATCH($A257,_xlfn.VSTACK(YES_Writing_ELA[Student Number],YES_Writing_FLA[Student Number]),0),MATCH(VLOOKUP(H$7,'Writing Logic'!$J$7:$K$11,2,FALSE)&amp;" - Per "&amp;VLOOKUP($C$4,'Writing Logic'!$G$8:$H$14,2,FALSE),YES_Writing_ELA[#Headers],0))=0,"",INDEX(_xlfn.VSTACK(YES_Writing_ELA[#Data],YES_Writing_FLA[#Data]),MATCH($A257,_xlfn.VSTACK(YES_Writing_ELA[Student Number],YES_Writing_FLA[Student Number]),0),MATCH(VLOOKUP(H$7,'Writing Logic'!$J$7:$K$11,2,FALSE)&amp;" - Per "&amp;VLOOKUP($C$4,'Writing Logic'!$G$8:$H$14,2,FALSE),YES_Writing_ELA[#Headers],0)))),"")</f>
        <v/>
      </c>
      <c r="I257" s="224" t="str" cm="1">
        <f t="array" aca="1" ref="I257" ca="1">IFERROR(
IF($G$3="ELA",
IF(VLOOKUP($A257, YES_Reading_ELA[], COLUMN(INDIRECT("YES_Reading_ELA[Difference - Per "&amp;VLOOKUP($G$4, 'Reading Report Logic'!$A$2:$B$8, 2, FALSE)&amp;"]")), FALSE)="", "",
VLOOKUP($A257,YES_Reading_ELA[], COLUMN(INDIRECT("YES_Reading_ELA[Difference - Per "&amp;VLOOKUP($G$4,'Reading Report Logic'!$A$2:$B$8,2,FALSE)&amp;"]")), FALSE)),
IF($G$3="FLA",
IF(VLOOKUP($A257, YES_Reading_FLA[], COLUMN(INDIRECT("YES_Reading_FLA[Difference - Per "&amp;VLOOKUP($G$4,'Reading Report Logic'!$A$2:$B$8,2,FALSE)&amp;"]")),FALSE)="","",
VLOOKUP($A257,YES_Reading_FLA[],COLUMN(INDIRECT("YES_Reading_FLA[Difference - Per "&amp;VLOOKUP($G$4,'Reading Report Logic'!$A$2:$B$8,2,FALSE)&amp;"]")),FALSE)),
IF($G$3="Combined",
IFERROR(
IF(VLOOKUP($A257, YES_Reading_ELA[], COLUMN(INDIRECT("YES_Reading_ELA[Difference - Per "&amp;VLOOKUP($G$4, 'Reading Report Logic'!$A$2:$B$8,2,FALSE)&amp;"]")), FALSE)="", "",
VLOOKUP($A257,YES_Reading_ELA[],COLUMN(INDIRECT("YES_Reading_ELA[Difference - Per "&amp;VLOOKUP($G$4,'Reading Report Logic'!$A$2:$B$8,2,FALSE)&amp;"]")),FALSE)),
IF(VLOOKUP($A257, YES_Reading_FLA[], COLUMN(INDIRECT("YES_Reading_FLA[Difference - Per "&amp;VLOOKUP($G$4, 'Reading Report Logic'!$A$2:$B$8, 2, FALSE)&amp;"]")),FALSE)="", "", VLOOKUP($A257,YES_Reading_FLA[],COLUMN(INDIRECT("YES_Reading_FLA[Difference - Per "&amp;VLOOKUP($G$4, 'Reading Report Logic'!$A$2:$B$8, 2, FALSE)&amp;"]")),FALSE))),""))),"")</f>
        <v/>
      </c>
    </row>
    <row r="258" spans="1:9" x14ac:dyDescent="0.25">
      <c r="A258" s="137"/>
      <c r="B258" s="137" t="str">
        <f>IFERROR(INDEX(_xlfn.VSTACK(YES_Writing_ELA[#Data], YES_Writing_FLA[#Data]),MATCH($A258,_xlfn.VSTACK(YES_Writing_ELA[Student Number], YES_Writing_FLA[Student Number]),0),MATCH(B$7,YES_Writing_ELA[#Headers],0)),IFERROR(INDEX(_xlfn.VSTACK(YES_Reading_ELA[#Data], YES_Reading_FLA[#Data]),MATCH($A258,_xlfn.VSTACK(YES_Reading_ELA[Student Number], YES_Reading_FLA[Student Number]),0),MATCH(B$7,YES_Reading_ELA[#Headers],0)),""))</f>
        <v/>
      </c>
      <c r="C258" s="137" t="str">
        <f>IFERROR(INDEX(_xlfn.VSTACK(YES_Writing_ELA[#Data], YES_Writing_FLA[#Data]),MATCH($A258,_xlfn.VSTACK(YES_Writing_ELA[Student Number], YES_Writing_FLA[Student Number]),0),MATCH(C$7,YES_Writing_ELA[#Headers],0)),IFERROR(INDEX(_xlfn.VSTACK(YES_Reading_ELA[#Data], YES_Reading_FLA[#Data]),MATCH($A258,_xlfn.VSTACK(YES_Reading_ELA[Student Number], YES_Reading_FLA[Student Number]),0),MATCH(C$7,YES_Reading_ELA[#Headers],0)),""))</f>
        <v/>
      </c>
      <c r="D258" s="138" t="str">
        <f>IFERROR(IF(IF(INDEX(_xlfn.VSTACK(YES_Writing_ELA[#Data],YES_Writing_FLA[#Data]),MATCH($A258,_xlfn.VSTACK(YES_Writing_ELA[Student Number],YES_Writing_FLA[Student Number]),0),MATCH(VLOOKUP(D$7,'Writing Logic'!$J$7:$K$11,2,FALSE)&amp;" - Per "&amp;VLOOKUP($C$4,'Writing Logic'!$G$8:$H$14,2,FALSE),YES_Writing_ELA[#Headers],0))=0,"",INDEX(_xlfn.VSTACK(YES_Writing_ELA[#Data],YES_Writing_FLA[#Data]),MATCH($A258,_xlfn.VSTACK(YES_Writing_ELA[Student Number],YES_Writing_FLA[Student Number]),0),MATCH(VLOOKUP(D$7,'Writing Logic'!$J$7:$K$11,2,FALSE)&amp;" - Per "&amp;VLOOKUP($C$4,'Writing Logic'!$G$8:$H$14,2,FALSE),YES_Writing_ELA[#Headers],0)))="INS",'Writing Logic'!$B$7,IF(INDEX(_xlfn.VSTACK(YES_Writing_ELA[#Data],YES_Writing_FLA[#Data]),MATCH($A258,_xlfn.VSTACK(YES_Writing_ELA[Student Number],YES_Writing_FLA[Student Number]),0),MATCH(VLOOKUP(D$7,'Writing Logic'!$J$7:$K$11,2,FALSE)&amp;" - Per "&amp;VLOOKUP($C$4,'Writing Logic'!$G$8:$H$14,2,FALSE),YES_Writing_ELA[#Headers],0))=0,"",INDEX(_xlfn.VSTACK(YES_Writing_ELA[#Data],YES_Writing_FLA[#Data]),MATCH($A258,_xlfn.VSTACK(YES_Writing_ELA[Student Number],YES_Writing_FLA[Student Number]),0),MATCH(VLOOKUP(D$7,'Writing Logic'!$J$7:$K$11,2,FALSE)&amp;" - Per "&amp;VLOOKUP($C$4,'Writing Logic'!$G$8:$H$14,2,FALSE),YES_Writing_ELA[#Headers],0)))),"")</f>
        <v/>
      </c>
      <c r="E258" s="138" t="str">
        <f>IFERROR(IF(IF(INDEX(_xlfn.VSTACK(YES_Writing_ELA[#Data],YES_Writing_FLA[#Data]),MATCH($A258,_xlfn.VSTACK(YES_Writing_ELA[Student Number],YES_Writing_FLA[Student Number]),0),MATCH(VLOOKUP(E$7,'Writing Logic'!$J$7:$K$11,2,FALSE)&amp;" - Per "&amp;VLOOKUP($C$4,'Writing Logic'!$G$8:$H$14,2,FALSE),YES_Writing_ELA[#Headers],0))=0,"",INDEX(_xlfn.VSTACK(YES_Writing_ELA[#Data],YES_Writing_FLA[#Data]),MATCH($A258,_xlfn.VSTACK(YES_Writing_ELA[Student Number],YES_Writing_FLA[Student Number]),0),MATCH(VLOOKUP(E$7,'Writing Logic'!$J$7:$K$11,2,FALSE)&amp;" - Per "&amp;VLOOKUP($C$4,'Writing Logic'!$G$8:$H$14,2,FALSE),YES_Writing_ELA[#Headers],0)))="INS",'Writing Logic'!$B$7,IF(INDEX(_xlfn.VSTACK(YES_Writing_ELA[#Data],YES_Writing_FLA[#Data]),MATCH($A258,_xlfn.VSTACK(YES_Writing_ELA[Student Number],YES_Writing_FLA[Student Number]),0),MATCH(VLOOKUP(E$7,'Writing Logic'!$J$7:$K$11,2,FALSE)&amp;" - Per "&amp;VLOOKUP($C$4,'Writing Logic'!$G$8:$H$14,2,FALSE),YES_Writing_ELA[#Headers],0))=0,"",INDEX(_xlfn.VSTACK(YES_Writing_ELA[#Data],YES_Writing_FLA[#Data]),MATCH($A258,_xlfn.VSTACK(YES_Writing_ELA[Student Number],YES_Writing_FLA[Student Number]),0),MATCH(VLOOKUP(E$7,'Writing Logic'!$J$7:$K$11,2,FALSE)&amp;" - Per "&amp;VLOOKUP($C$4,'Writing Logic'!$G$8:$H$14,2,FALSE),YES_Writing_ELA[#Headers],0)))),"")</f>
        <v/>
      </c>
      <c r="F258" s="138" t="str">
        <f>IFERROR(IF(IF(INDEX(_xlfn.VSTACK(YES_Writing_ELA[#Data],YES_Writing_FLA[#Data]),MATCH($A258,_xlfn.VSTACK(YES_Writing_ELA[Student Number],YES_Writing_FLA[Student Number]),0),MATCH(VLOOKUP(F$7,'Writing Logic'!$J$7:$K$11,2,FALSE)&amp;" - Per "&amp;VLOOKUP($C$4,'Writing Logic'!$G$8:$H$14,2,FALSE),YES_Writing_ELA[#Headers],0))=0,"",INDEX(_xlfn.VSTACK(YES_Writing_ELA[#Data],YES_Writing_FLA[#Data]),MATCH($A258,_xlfn.VSTACK(YES_Writing_ELA[Student Number],YES_Writing_FLA[Student Number]),0),MATCH(VLOOKUP(F$7,'Writing Logic'!$J$7:$K$11,2,FALSE)&amp;" - Per "&amp;VLOOKUP($C$4,'Writing Logic'!$G$8:$H$14,2,FALSE),YES_Writing_ELA[#Headers],0)))="INS",'Writing Logic'!$B$7,IF(INDEX(_xlfn.VSTACK(YES_Writing_ELA[#Data],YES_Writing_FLA[#Data]),MATCH($A258,_xlfn.VSTACK(YES_Writing_ELA[Student Number],YES_Writing_FLA[Student Number]),0),MATCH(VLOOKUP(F$7,'Writing Logic'!$J$7:$K$11,2,FALSE)&amp;" - Per "&amp;VLOOKUP($C$4,'Writing Logic'!$G$8:$H$14,2,FALSE),YES_Writing_ELA[#Headers],0))=0,"",INDEX(_xlfn.VSTACK(YES_Writing_ELA[#Data],YES_Writing_FLA[#Data]),MATCH($A258,_xlfn.VSTACK(YES_Writing_ELA[Student Number],YES_Writing_FLA[Student Number]),0),MATCH(VLOOKUP(F$7,'Writing Logic'!$J$7:$K$11,2,FALSE)&amp;" - Per "&amp;VLOOKUP($C$4,'Writing Logic'!$G$8:$H$14,2,FALSE),YES_Writing_ELA[#Headers],0)))),"")</f>
        <v/>
      </c>
      <c r="G258" s="138" t="str">
        <f>IFERROR(IF(IF(INDEX(_xlfn.VSTACK(YES_Writing_ELA[#Data],YES_Writing_FLA[#Data]),MATCH($A258,_xlfn.VSTACK(YES_Writing_ELA[Student Number],YES_Writing_FLA[Student Number]),0),MATCH(VLOOKUP(G$7,'Writing Logic'!$J$7:$K$11,2,FALSE)&amp;" - Per "&amp;VLOOKUP($C$4,'Writing Logic'!$G$8:$H$14,2,FALSE),YES_Writing_ELA[#Headers],0))=0,"",INDEX(_xlfn.VSTACK(YES_Writing_ELA[#Data],YES_Writing_FLA[#Data]),MATCH($A258,_xlfn.VSTACK(YES_Writing_ELA[Student Number],YES_Writing_FLA[Student Number]),0),MATCH(VLOOKUP(G$7,'Writing Logic'!$J$7:$K$11,2,FALSE)&amp;" - Per "&amp;VLOOKUP($C$4,'Writing Logic'!$G$8:$H$14,2,FALSE),YES_Writing_ELA[#Headers],0)))="INS",'Writing Logic'!$B$7,IF(INDEX(_xlfn.VSTACK(YES_Writing_ELA[#Data],YES_Writing_FLA[#Data]),MATCH($A258,_xlfn.VSTACK(YES_Writing_ELA[Student Number],YES_Writing_FLA[Student Number]),0),MATCH(VLOOKUP(G$7,'Writing Logic'!$J$7:$K$11,2,FALSE)&amp;" - Per "&amp;VLOOKUP($C$4,'Writing Logic'!$G$8:$H$14,2,FALSE),YES_Writing_ELA[#Headers],0))=0,"",INDEX(_xlfn.VSTACK(YES_Writing_ELA[#Data],YES_Writing_FLA[#Data]),MATCH($A258,_xlfn.VSTACK(YES_Writing_ELA[Student Number],YES_Writing_FLA[Student Number]),0),MATCH(VLOOKUP(G$7,'Writing Logic'!$J$7:$K$11,2,FALSE)&amp;" - Per "&amp;VLOOKUP($C$4,'Writing Logic'!$G$8:$H$14,2,FALSE),YES_Writing_ELA[#Headers],0)))),"")</f>
        <v/>
      </c>
      <c r="H258" s="223" t="str">
        <f>IFERROR(IF(IF(INDEX(_xlfn.VSTACK(YES_Writing_ELA[#Data],YES_Writing_FLA[#Data]),MATCH($A258,_xlfn.VSTACK(YES_Writing_ELA[Student Number],YES_Writing_FLA[Student Number]),0),MATCH(VLOOKUP(H$7,'Writing Logic'!$J$7:$K$11,2,FALSE)&amp;" - Per "&amp;VLOOKUP($C$4,'Writing Logic'!$G$8:$H$14,2,FALSE),YES_Writing_ELA[#Headers],0))=0,"",INDEX(_xlfn.VSTACK(YES_Writing_ELA[#Data],YES_Writing_FLA[#Data]),MATCH($A258,_xlfn.VSTACK(YES_Writing_ELA[Student Number],YES_Writing_FLA[Student Number]),0),MATCH(VLOOKUP(H$7,'Writing Logic'!$J$7:$K$11,2,FALSE)&amp;" - Per "&amp;VLOOKUP($C$4,'Writing Logic'!$G$8:$H$14,2,FALSE),YES_Writing_ELA[#Headers],0)))="INS",'Writing Logic'!$B$7,IF(INDEX(_xlfn.VSTACK(YES_Writing_ELA[#Data],YES_Writing_FLA[#Data]),MATCH($A258,_xlfn.VSTACK(YES_Writing_ELA[Student Number],YES_Writing_FLA[Student Number]),0),MATCH(VLOOKUP(H$7,'Writing Logic'!$J$7:$K$11,2,FALSE)&amp;" - Per "&amp;VLOOKUP($C$4,'Writing Logic'!$G$8:$H$14,2,FALSE),YES_Writing_ELA[#Headers],0))=0,"",INDEX(_xlfn.VSTACK(YES_Writing_ELA[#Data],YES_Writing_FLA[#Data]),MATCH($A258,_xlfn.VSTACK(YES_Writing_ELA[Student Number],YES_Writing_FLA[Student Number]),0),MATCH(VLOOKUP(H$7,'Writing Logic'!$J$7:$K$11,2,FALSE)&amp;" - Per "&amp;VLOOKUP($C$4,'Writing Logic'!$G$8:$H$14,2,FALSE),YES_Writing_ELA[#Headers],0)))),"")</f>
        <v/>
      </c>
      <c r="I258" s="224" t="str" cm="1">
        <f t="array" aca="1" ref="I258" ca="1">IFERROR(
IF($G$3="ELA",
IF(VLOOKUP($A258, YES_Reading_ELA[], COLUMN(INDIRECT("YES_Reading_ELA[Difference - Per "&amp;VLOOKUP($G$4, 'Reading Report Logic'!$A$2:$B$8, 2, FALSE)&amp;"]")), FALSE)="", "",
VLOOKUP($A258,YES_Reading_ELA[], COLUMN(INDIRECT("YES_Reading_ELA[Difference - Per "&amp;VLOOKUP($G$4,'Reading Report Logic'!$A$2:$B$8,2,FALSE)&amp;"]")), FALSE)),
IF($G$3="FLA",
IF(VLOOKUP($A258, YES_Reading_FLA[], COLUMN(INDIRECT("YES_Reading_FLA[Difference - Per "&amp;VLOOKUP($G$4,'Reading Report Logic'!$A$2:$B$8,2,FALSE)&amp;"]")),FALSE)="","",
VLOOKUP($A258,YES_Reading_FLA[],COLUMN(INDIRECT("YES_Reading_FLA[Difference - Per "&amp;VLOOKUP($G$4,'Reading Report Logic'!$A$2:$B$8,2,FALSE)&amp;"]")),FALSE)),
IF($G$3="Combined",
IFERROR(
IF(VLOOKUP($A258, YES_Reading_ELA[], COLUMN(INDIRECT("YES_Reading_ELA[Difference - Per "&amp;VLOOKUP($G$4, 'Reading Report Logic'!$A$2:$B$8,2,FALSE)&amp;"]")), FALSE)="", "",
VLOOKUP($A258,YES_Reading_ELA[],COLUMN(INDIRECT("YES_Reading_ELA[Difference - Per "&amp;VLOOKUP($G$4,'Reading Report Logic'!$A$2:$B$8,2,FALSE)&amp;"]")),FALSE)),
IF(VLOOKUP($A258, YES_Reading_FLA[], COLUMN(INDIRECT("YES_Reading_FLA[Difference - Per "&amp;VLOOKUP($G$4, 'Reading Report Logic'!$A$2:$B$8, 2, FALSE)&amp;"]")),FALSE)="", "", VLOOKUP($A258,YES_Reading_FLA[],COLUMN(INDIRECT("YES_Reading_FLA[Difference - Per "&amp;VLOOKUP($G$4, 'Reading Report Logic'!$A$2:$B$8, 2, FALSE)&amp;"]")),FALSE))),""))),"")</f>
        <v/>
      </c>
    </row>
    <row r="259" spans="1:9" x14ac:dyDescent="0.25">
      <c r="A259" s="137"/>
      <c r="B259" s="137" t="str">
        <f>IFERROR(INDEX(_xlfn.VSTACK(YES_Writing_ELA[#Data], YES_Writing_FLA[#Data]),MATCH($A259,_xlfn.VSTACK(YES_Writing_ELA[Student Number], YES_Writing_FLA[Student Number]),0),MATCH(B$7,YES_Writing_ELA[#Headers],0)),IFERROR(INDEX(_xlfn.VSTACK(YES_Reading_ELA[#Data], YES_Reading_FLA[#Data]),MATCH($A259,_xlfn.VSTACK(YES_Reading_ELA[Student Number], YES_Reading_FLA[Student Number]),0),MATCH(B$7,YES_Reading_ELA[#Headers],0)),""))</f>
        <v/>
      </c>
      <c r="C259" s="137" t="str">
        <f>IFERROR(INDEX(_xlfn.VSTACK(YES_Writing_ELA[#Data], YES_Writing_FLA[#Data]),MATCH($A259,_xlfn.VSTACK(YES_Writing_ELA[Student Number], YES_Writing_FLA[Student Number]),0),MATCH(C$7,YES_Writing_ELA[#Headers],0)),IFERROR(INDEX(_xlfn.VSTACK(YES_Reading_ELA[#Data], YES_Reading_FLA[#Data]),MATCH($A259,_xlfn.VSTACK(YES_Reading_ELA[Student Number], YES_Reading_FLA[Student Number]),0),MATCH(C$7,YES_Reading_ELA[#Headers],0)),""))</f>
        <v/>
      </c>
      <c r="D259" s="138" t="str">
        <f>IFERROR(IF(IF(INDEX(_xlfn.VSTACK(YES_Writing_ELA[#Data],YES_Writing_FLA[#Data]),MATCH($A259,_xlfn.VSTACK(YES_Writing_ELA[Student Number],YES_Writing_FLA[Student Number]),0),MATCH(VLOOKUP(D$7,'Writing Logic'!$J$7:$K$11,2,FALSE)&amp;" - Per "&amp;VLOOKUP($C$4,'Writing Logic'!$G$8:$H$14,2,FALSE),YES_Writing_ELA[#Headers],0))=0,"",INDEX(_xlfn.VSTACK(YES_Writing_ELA[#Data],YES_Writing_FLA[#Data]),MATCH($A259,_xlfn.VSTACK(YES_Writing_ELA[Student Number],YES_Writing_FLA[Student Number]),0),MATCH(VLOOKUP(D$7,'Writing Logic'!$J$7:$K$11,2,FALSE)&amp;" - Per "&amp;VLOOKUP($C$4,'Writing Logic'!$G$8:$H$14,2,FALSE),YES_Writing_ELA[#Headers],0)))="INS",'Writing Logic'!$B$7,IF(INDEX(_xlfn.VSTACK(YES_Writing_ELA[#Data],YES_Writing_FLA[#Data]),MATCH($A259,_xlfn.VSTACK(YES_Writing_ELA[Student Number],YES_Writing_FLA[Student Number]),0),MATCH(VLOOKUP(D$7,'Writing Logic'!$J$7:$K$11,2,FALSE)&amp;" - Per "&amp;VLOOKUP($C$4,'Writing Logic'!$G$8:$H$14,2,FALSE),YES_Writing_ELA[#Headers],0))=0,"",INDEX(_xlfn.VSTACK(YES_Writing_ELA[#Data],YES_Writing_FLA[#Data]),MATCH($A259,_xlfn.VSTACK(YES_Writing_ELA[Student Number],YES_Writing_FLA[Student Number]),0),MATCH(VLOOKUP(D$7,'Writing Logic'!$J$7:$K$11,2,FALSE)&amp;" - Per "&amp;VLOOKUP($C$4,'Writing Logic'!$G$8:$H$14,2,FALSE),YES_Writing_ELA[#Headers],0)))),"")</f>
        <v/>
      </c>
      <c r="E259" s="138" t="str">
        <f>IFERROR(IF(IF(INDEX(_xlfn.VSTACK(YES_Writing_ELA[#Data],YES_Writing_FLA[#Data]),MATCH($A259,_xlfn.VSTACK(YES_Writing_ELA[Student Number],YES_Writing_FLA[Student Number]),0),MATCH(VLOOKUP(E$7,'Writing Logic'!$J$7:$K$11,2,FALSE)&amp;" - Per "&amp;VLOOKUP($C$4,'Writing Logic'!$G$8:$H$14,2,FALSE),YES_Writing_ELA[#Headers],0))=0,"",INDEX(_xlfn.VSTACK(YES_Writing_ELA[#Data],YES_Writing_FLA[#Data]),MATCH($A259,_xlfn.VSTACK(YES_Writing_ELA[Student Number],YES_Writing_FLA[Student Number]),0),MATCH(VLOOKUP(E$7,'Writing Logic'!$J$7:$K$11,2,FALSE)&amp;" - Per "&amp;VLOOKUP($C$4,'Writing Logic'!$G$8:$H$14,2,FALSE),YES_Writing_ELA[#Headers],0)))="INS",'Writing Logic'!$B$7,IF(INDEX(_xlfn.VSTACK(YES_Writing_ELA[#Data],YES_Writing_FLA[#Data]),MATCH($A259,_xlfn.VSTACK(YES_Writing_ELA[Student Number],YES_Writing_FLA[Student Number]),0),MATCH(VLOOKUP(E$7,'Writing Logic'!$J$7:$K$11,2,FALSE)&amp;" - Per "&amp;VLOOKUP($C$4,'Writing Logic'!$G$8:$H$14,2,FALSE),YES_Writing_ELA[#Headers],0))=0,"",INDEX(_xlfn.VSTACK(YES_Writing_ELA[#Data],YES_Writing_FLA[#Data]),MATCH($A259,_xlfn.VSTACK(YES_Writing_ELA[Student Number],YES_Writing_FLA[Student Number]),0),MATCH(VLOOKUP(E$7,'Writing Logic'!$J$7:$K$11,2,FALSE)&amp;" - Per "&amp;VLOOKUP($C$4,'Writing Logic'!$G$8:$H$14,2,FALSE),YES_Writing_ELA[#Headers],0)))),"")</f>
        <v/>
      </c>
      <c r="F259" s="138" t="str">
        <f>IFERROR(IF(IF(INDEX(_xlfn.VSTACK(YES_Writing_ELA[#Data],YES_Writing_FLA[#Data]),MATCH($A259,_xlfn.VSTACK(YES_Writing_ELA[Student Number],YES_Writing_FLA[Student Number]),0),MATCH(VLOOKUP(F$7,'Writing Logic'!$J$7:$K$11,2,FALSE)&amp;" - Per "&amp;VLOOKUP($C$4,'Writing Logic'!$G$8:$H$14,2,FALSE),YES_Writing_ELA[#Headers],0))=0,"",INDEX(_xlfn.VSTACK(YES_Writing_ELA[#Data],YES_Writing_FLA[#Data]),MATCH($A259,_xlfn.VSTACK(YES_Writing_ELA[Student Number],YES_Writing_FLA[Student Number]),0),MATCH(VLOOKUP(F$7,'Writing Logic'!$J$7:$K$11,2,FALSE)&amp;" - Per "&amp;VLOOKUP($C$4,'Writing Logic'!$G$8:$H$14,2,FALSE),YES_Writing_ELA[#Headers],0)))="INS",'Writing Logic'!$B$7,IF(INDEX(_xlfn.VSTACK(YES_Writing_ELA[#Data],YES_Writing_FLA[#Data]),MATCH($A259,_xlfn.VSTACK(YES_Writing_ELA[Student Number],YES_Writing_FLA[Student Number]),0),MATCH(VLOOKUP(F$7,'Writing Logic'!$J$7:$K$11,2,FALSE)&amp;" - Per "&amp;VLOOKUP($C$4,'Writing Logic'!$G$8:$H$14,2,FALSE),YES_Writing_ELA[#Headers],0))=0,"",INDEX(_xlfn.VSTACK(YES_Writing_ELA[#Data],YES_Writing_FLA[#Data]),MATCH($A259,_xlfn.VSTACK(YES_Writing_ELA[Student Number],YES_Writing_FLA[Student Number]),0),MATCH(VLOOKUP(F$7,'Writing Logic'!$J$7:$K$11,2,FALSE)&amp;" - Per "&amp;VLOOKUP($C$4,'Writing Logic'!$G$8:$H$14,2,FALSE),YES_Writing_ELA[#Headers],0)))),"")</f>
        <v/>
      </c>
      <c r="G259" s="138" t="str">
        <f>IFERROR(IF(IF(INDEX(_xlfn.VSTACK(YES_Writing_ELA[#Data],YES_Writing_FLA[#Data]),MATCH($A259,_xlfn.VSTACK(YES_Writing_ELA[Student Number],YES_Writing_FLA[Student Number]),0),MATCH(VLOOKUP(G$7,'Writing Logic'!$J$7:$K$11,2,FALSE)&amp;" - Per "&amp;VLOOKUP($C$4,'Writing Logic'!$G$8:$H$14,2,FALSE),YES_Writing_ELA[#Headers],0))=0,"",INDEX(_xlfn.VSTACK(YES_Writing_ELA[#Data],YES_Writing_FLA[#Data]),MATCH($A259,_xlfn.VSTACK(YES_Writing_ELA[Student Number],YES_Writing_FLA[Student Number]),0),MATCH(VLOOKUP(G$7,'Writing Logic'!$J$7:$K$11,2,FALSE)&amp;" - Per "&amp;VLOOKUP($C$4,'Writing Logic'!$G$8:$H$14,2,FALSE),YES_Writing_ELA[#Headers],0)))="INS",'Writing Logic'!$B$7,IF(INDEX(_xlfn.VSTACK(YES_Writing_ELA[#Data],YES_Writing_FLA[#Data]),MATCH($A259,_xlfn.VSTACK(YES_Writing_ELA[Student Number],YES_Writing_FLA[Student Number]),0),MATCH(VLOOKUP(G$7,'Writing Logic'!$J$7:$K$11,2,FALSE)&amp;" - Per "&amp;VLOOKUP($C$4,'Writing Logic'!$G$8:$H$14,2,FALSE),YES_Writing_ELA[#Headers],0))=0,"",INDEX(_xlfn.VSTACK(YES_Writing_ELA[#Data],YES_Writing_FLA[#Data]),MATCH($A259,_xlfn.VSTACK(YES_Writing_ELA[Student Number],YES_Writing_FLA[Student Number]),0),MATCH(VLOOKUP(G$7,'Writing Logic'!$J$7:$K$11,2,FALSE)&amp;" - Per "&amp;VLOOKUP($C$4,'Writing Logic'!$G$8:$H$14,2,FALSE),YES_Writing_ELA[#Headers],0)))),"")</f>
        <v/>
      </c>
      <c r="H259" s="223" t="str">
        <f>IFERROR(IF(IF(INDEX(_xlfn.VSTACK(YES_Writing_ELA[#Data],YES_Writing_FLA[#Data]),MATCH($A259,_xlfn.VSTACK(YES_Writing_ELA[Student Number],YES_Writing_FLA[Student Number]),0),MATCH(VLOOKUP(H$7,'Writing Logic'!$J$7:$K$11,2,FALSE)&amp;" - Per "&amp;VLOOKUP($C$4,'Writing Logic'!$G$8:$H$14,2,FALSE),YES_Writing_ELA[#Headers],0))=0,"",INDEX(_xlfn.VSTACK(YES_Writing_ELA[#Data],YES_Writing_FLA[#Data]),MATCH($A259,_xlfn.VSTACK(YES_Writing_ELA[Student Number],YES_Writing_FLA[Student Number]),0),MATCH(VLOOKUP(H$7,'Writing Logic'!$J$7:$K$11,2,FALSE)&amp;" - Per "&amp;VLOOKUP($C$4,'Writing Logic'!$G$8:$H$14,2,FALSE),YES_Writing_ELA[#Headers],0)))="INS",'Writing Logic'!$B$7,IF(INDEX(_xlfn.VSTACK(YES_Writing_ELA[#Data],YES_Writing_FLA[#Data]),MATCH($A259,_xlfn.VSTACK(YES_Writing_ELA[Student Number],YES_Writing_FLA[Student Number]),0),MATCH(VLOOKUP(H$7,'Writing Logic'!$J$7:$K$11,2,FALSE)&amp;" - Per "&amp;VLOOKUP($C$4,'Writing Logic'!$G$8:$H$14,2,FALSE),YES_Writing_ELA[#Headers],0))=0,"",INDEX(_xlfn.VSTACK(YES_Writing_ELA[#Data],YES_Writing_FLA[#Data]),MATCH($A259,_xlfn.VSTACK(YES_Writing_ELA[Student Number],YES_Writing_FLA[Student Number]),0),MATCH(VLOOKUP(H$7,'Writing Logic'!$J$7:$K$11,2,FALSE)&amp;" - Per "&amp;VLOOKUP($C$4,'Writing Logic'!$G$8:$H$14,2,FALSE),YES_Writing_ELA[#Headers],0)))),"")</f>
        <v/>
      </c>
      <c r="I259" s="224" t="str" cm="1">
        <f t="array" aca="1" ref="I259" ca="1">IFERROR(
IF($G$3="ELA",
IF(VLOOKUP($A259, YES_Reading_ELA[], COLUMN(INDIRECT("YES_Reading_ELA[Difference - Per "&amp;VLOOKUP($G$4, 'Reading Report Logic'!$A$2:$B$8, 2, FALSE)&amp;"]")), FALSE)="", "",
VLOOKUP($A259,YES_Reading_ELA[], COLUMN(INDIRECT("YES_Reading_ELA[Difference - Per "&amp;VLOOKUP($G$4,'Reading Report Logic'!$A$2:$B$8,2,FALSE)&amp;"]")), FALSE)),
IF($G$3="FLA",
IF(VLOOKUP($A259, YES_Reading_FLA[], COLUMN(INDIRECT("YES_Reading_FLA[Difference - Per "&amp;VLOOKUP($G$4,'Reading Report Logic'!$A$2:$B$8,2,FALSE)&amp;"]")),FALSE)="","",
VLOOKUP($A259,YES_Reading_FLA[],COLUMN(INDIRECT("YES_Reading_FLA[Difference - Per "&amp;VLOOKUP($G$4,'Reading Report Logic'!$A$2:$B$8,2,FALSE)&amp;"]")),FALSE)),
IF($G$3="Combined",
IFERROR(
IF(VLOOKUP($A259, YES_Reading_ELA[], COLUMN(INDIRECT("YES_Reading_ELA[Difference - Per "&amp;VLOOKUP($G$4, 'Reading Report Logic'!$A$2:$B$8,2,FALSE)&amp;"]")), FALSE)="", "",
VLOOKUP($A259,YES_Reading_ELA[],COLUMN(INDIRECT("YES_Reading_ELA[Difference - Per "&amp;VLOOKUP($G$4,'Reading Report Logic'!$A$2:$B$8,2,FALSE)&amp;"]")),FALSE)),
IF(VLOOKUP($A259, YES_Reading_FLA[], COLUMN(INDIRECT("YES_Reading_FLA[Difference - Per "&amp;VLOOKUP($G$4, 'Reading Report Logic'!$A$2:$B$8, 2, FALSE)&amp;"]")),FALSE)="", "", VLOOKUP($A259,YES_Reading_FLA[],COLUMN(INDIRECT("YES_Reading_FLA[Difference - Per "&amp;VLOOKUP($G$4, 'Reading Report Logic'!$A$2:$B$8, 2, FALSE)&amp;"]")),FALSE))),""))),"")</f>
        <v/>
      </c>
    </row>
    <row r="260" spans="1:9" x14ac:dyDescent="0.25">
      <c r="A260" s="137"/>
      <c r="B260" s="137" t="str">
        <f>IFERROR(INDEX(_xlfn.VSTACK(YES_Writing_ELA[#Data], YES_Writing_FLA[#Data]),MATCH($A260,_xlfn.VSTACK(YES_Writing_ELA[Student Number], YES_Writing_FLA[Student Number]),0),MATCH(B$7,YES_Writing_ELA[#Headers],0)),IFERROR(INDEX(_xlfn.VSTACK(YES_Reading_ELA[#Data], YES_Reading_FLA[#Data]),MATCH($A260,_xlfn.VSTACK(YES_Reading_ELA[Student Number], YES_Reading_FLA[Student Number]),0),MATCH(B$7,YES_Reading_ELA[#Headers],0)),""))</f>
        <v/>
      </c>
      <c r="C260" s="137" t="str">
        <f>IFERROR(INDEX(_xlfn.VSTACK(YES_Writing_ELA[#Data], YES_Writing_FLA[#Data]),MATCH($A260,_xlfn.VSTACK(YES_Writing_ELA[Student Number], YES_Writing_FLA[Student Number]),0),MATCH(C$7,YES_Writing_ELA[#Headers],0)),IFERROR(INDEX(_xlfn.VSTACK(YES_Reading_ELA[#Data], YES_Reading_FLA[#Data]),MATCH($A260,_xlfn.VSTACK(YES_Reading_ELA[Student Number], YES_Reading_FLA[Student Number]),0),MATCH(C$7,YES_Reading_ELA[#Headers],0)),""))</f>
        <v/>
      </c>
      <c r="D260" s="138" t="str">
        <f>IFERROR(IF(IF(INDEX(_xlfn.VSTACK(YES_Writing_ELA[#Data],YES_Writing_FLA[#Data]),MATCH($A260,_xlfn.VSTACK(YES_Writing_ELA[Student Number],YES_Writing_FLA[Student Number]),0),MATCH(VLOOKUP(D$7,'Writing Logic'!$J$7:$K$11,2,FALSE)&amp;" - Per "&amp;VLOOKUP($C$4,'Writing Logic'!$G$8:$H$14,2,FALSE),YES_Writing_ELA[#Headers],0))=0,"",INDEX(_xlfn.VSTACK(YES_Writing_ELA[#Data],YES_Writing_FLA[#Data]),MATCH($A260,_xlfn.VSTACK(YES_Writing_ELA[Student Number],YES_Writing_FLA[Student Number]),0),MATCH(VLOOKUP(D$7,'Writing Logic'!$J$7:$K$11,2,FALSE)&amp;" - Per "&amp;VLOOKUP($C$4,'Writing Logic'!$G$8:$H$14,2,FALSE),YES_Writing_ELA[#Headers],0)))="INS",'Writing Logic'!$B$7,IF(INDEX(_xlfn.VSTACK(YES_Writing_ELA[#Data],YES_Writing_FLA[#Data]),MATCH($A260,_xlfn.VSTACK(YES_Writing_ELA[Student Number],YES_Writing_FLA[Student Number]),0),MATCH(VLOOKUP(D$7,'Writing Logic'!$J$7:$K$11,2,FALSE)&amp;" - Per "&amp;VLOOKUP($C$4,'Writing Logic'!$G$8:$H$14,2,FALSE),YES_Writing_ELA[#Headers],0))=0,"",INDEX(_xlfn.VSTACK(YES_Writing_ELA[#Data],YES_Writing_FLA[#Data]),MATCH($A260,_xlfn.VSTACK(YES_Writing_ELA[Student Number],YES_Writing_FLA[Student Number]),0),MATCH(VLOOKUP(D$7,'Writing Logic'!$J$7:$K$11,2,FALSE)&amp;" - Per "&amp;VLOOKUP($C$4,'Writing Logic'!$G$8:$H$14,2,FALSE),YES_Writing_ELA[#Headers],0)))),"")</f>
        <v/>
      </c>
      <c r="E260" s="138" t="str">
        <f>IFERROR(IF(IF(INDEX(_xlfn.VSTACK(YES_Writing_ELA[#Data],YES_Writing_FLA[#Data]),MATCH($A260,_xlfn.VSTACK(YES_Writing_ELA[Student Number],YES_Writing_FLA[Student Number]),0),MATCH(VLOOKUP(E$7,'Writing Logic'!$J$7:$K$11,2,FALSE)&amp;" - Per "&amp;VLOOKUP($C$4,'Writing Logic'!$G$8:$H$14,2,FALSE),YES_Writing_ELA[#Headers],0))=0,"",INDEX(_xlfn.VSTACK(YES_Writing_ELA[#Data],YES_Writing_FLA[#Data]),MATCH($A260,_xlfn.VSTACK(YES_Writing_ELA[Student Number],YES_Writing_FLA[Student Number]),0),MATCH(VLOOKUP(E$7,'Writing Logic'!$J$7:$K$11,2,FALSE)&amp;" - Per "&amp;VLOOKUP($C$4,'Writing Logic'!$G$8:$H$14,2,FALSE),YES_Writing_ELA[#Headers],0)))="INS",'Writing Logic'!$B$7,IF(INDEX(_xlfn.VSTACK(YES_Writing_ELA[#Data],YES_Writing_FLA[#Data]),MATCH($A260,_xlfn.VSTACK(YES_Writing_ELA[Student Number],YES_Writing_FLA[Student Number]),0),MATCH(VLOOKUP(E$7,'Writing Logic'!$J$7:$K$11,2,FALSE)&amp;" - Per "&amp;VLOOKUP($C$4,'Writing Logic'!$G$8:$H$14,2,FALSE),YES_Writing_ELA[#Headers],0))=0,"",INDEX(_xlfn.VSTACK(YES_Writing_ELA[#Data],YES_Writing_FLA[#Data]),MATCH($A260,_xlfn.VSTACK(YES_Writing_ELA[Student Number],YES_Writing_FLA[Student Number]),0),MATCH(VLOOKUP(E$7,'Writing Logic'!$J$7:$K$11,2,FALSE)&amp;" - Per "&amp;VLOOKUP($C$4,'Writing Logic'!$G$8:$H$14,2,FALSE),YES_Writing_ELA[#Headers],0)))),"")</f>
        <v/>
      </c>
      <c r="F260" s="138" t="str">
        <f>IFERROR(IF(IF(INDEX(_xlfn.VSTACK(YES_Writing_ELA[#Data],YES_Writing_FLA[#Data]),MATCH($A260,_xlfn.VSTACK(YES_Writing_ELA[Student Number],YES_Writing_FLA[Student Number]),0),MATCH(VLOOKUP(F$7,'Writing Logic'!$J$7:$K$11,2,FALSE)&amp;" - Per "&amp;VLOOKUP($C$4,'Writing Logic'!$G$8:$H$14,2,FALSE),YES_Writing_ELA[#Headers],0))=0,"",INDEX(_xlfn.VSTACK(YES_Writing_ELA[#Data],YES_Writing_FLA[#Data]),MATCH($A260,_xlfn.VSTACK(YES_Writing_ELA[Student Number],YES_Writing_FLA[Student Number]),0),MATCH(VLOOKUP(F$7,'Writing Logic'!$J$7:$K$11,2,FALSE)&amp;" - Per "&amp;VLOOKUP($C$4,'Writing Logic'!$G$8:$H$14,2,FALSE),YES_Writing_ELA[#Headers],0)))="INS",'Writing Logic'!$B$7,IF(INDEX(_xlfn.VSTACK(YES_Writing_ELA[#Data],YES_Writing_FLA[#Data]),MATCH($A260,_xlfn.VSTACK(YES_Writing_ELA[Student Number],YES_Writing_FLA[Student Number]),0),MATCH(VLOOKUP(F$7,'Writing Logic'!$J$7:$K$11,2,FALSE)&amp;" - Per "&amp;VLOOKUP($C$4,'Writing Logic'!$G$8:$H$14,2,FALSE),YES_Writing_ELA[#Headers],0))=0,"",INDEX(_xlfn.VSTACK(YES_Writing_ELA[#Data],YES_Writing_FLA[#Data]),MATCH($A260,_xlfn.VSTACK(YES_Writing_ELA[Student Number],YES_Writing_FLA[Student Number]),0),MATCH(VLOOKUP(F$7,'Writing Logic'!$J$7:$K$11,2,FALSE)&amp;" - Per "&amp;VLOOKUP($C$4,'Writing Logic'!$G$8:$H$14,2,FALSE),YES_Writing_ELA[#Headers],0)))),"")</f>
        <v/>
      </c>
      <c r="G260" s="138" t="str">
        <f>IFERROR(IF(IF(INDEX(_xlfn.VSTACK(YES_Writing_ELA[#Data],YES_Writing_FLA[#Data]),MATCH($A260,_xlfn.VSTACK(YES_Writing_ELA[Student Number],YES_Writing_FLA[Student Number]),0),MATCH(VLOOKUP(G$7,'Writing Logic'!$J$7:$K$11,2,FALSE)&amp;" - Per "&amp;VLOOKUP($C$4,'Writing Logic'!$G$8:$H$14,2,FALSE),YES_Writing_ELA[#Headers],0))=0,"",INDEX(_xlfn.VSTACK(YES_Writing_ELA[#Data],YES_Writing_FLA[#Data]),MATCH($A260,_xlfn.VSTACK(YES_Writing_ELA[Student Number],YES_Writing_FLA[Student Number]),0),MATCH(VLOOKUP(G$7,'Writing Logic'!$J$7:$K$11,2,FALSE)&amp;" - Per "&amp;VLOOKUP($C$4,'Writing Logic'!$G$8:$H$14,2,FALSE),YES_Writing_ELA[#Headers],0)))="INS",'Writing Logic'!$B$7,IF(INDEX(_xlfn.VSTACK(YES_Writing_ELA[#Data],YES_Writing_FLA[#Data]),MATCH($A260,_xlfn.VSTACK(YES_Writing_ELA[Student Number],YES_Writing_FLA[Student Number]),0),MATCH(VLOOKUP(G$7,'Writing Logic'!$J$7:$K$11,2,FALSE)&amp;" - Per "&amp;VLOOKUP($C$4,'Writing Logic'!$G$8:$H$14,2,FALSE),YES_Writing_ELA[#Headers],0))=0,"",INDEX(_xlfn.VSTACK(YES_Writing_ELA[#Data],YES_Writing_FLA[#Data]),MATCH($A260,_xlfn.VSTACK(YES_Writing_ELA[Student Number],YES_Writing_FLA[Student Number]),0),MATCH(VLOOKUP(G$7,'Writing Logic'!$J$7:$K$11,2,FALSE)&amp;" - Per "&amp;VLOOKUP($C$4,'Writing Logic'!$G$8:$H$14,2,FALSE),YES_Writing_ELA[#Headers],0)))),"")</f>
        <v/>
      </c>
      <c r="H260" s="223" t="str">
        <f>IFERROR(IF(IF(INDEX(_xlfn.VSTACK(YES_Writing_ELA[#Data],YES_Writing_FLA[#Data]),MATCH($A260,_xlfn.VSTACK(YES_Writing_ELA[Student Number],YES_Writing_FLA[Student Number]),0),MATCH(VLOOKUP(H$7,'Writing Logic'!$J$7:$K$11,2,FALSE)&amp;" - Per "&amp;VLOOKUP($C$4,'Writing Logic'!$G$8:$H$14,2,FALSE),YES_Writing_ELA[#Headers],0))=0,"",INDEX(_xlfn.VSTACK(YES_Writing_ELA[#Data],YES_Writing_FLA[#Data]),MATCH($A260,_xlfn.VSTACK(YES_Writing_ELA[Student Number],YES_Writing_FLA[Student Number]),0),MATCH(VLOOKUP(H$7,'Writing Logic'!$J$7:$K$11,2,FALSE)&amp;" - Per "&amp;VLOOKUP($C$4,'Writing Logic'!$G$8:$H$14,2,FALSE),YES_Writing_ELA[#Headers],0)))="INS",'Writing Logic'!$B$7,IF(INDEX(_xlfn.VSTACK(YES_Writing_ELA[#Data],YES_Writing_FLA[#Data]),MATCH($A260,_xlfn.VSTACK(YES_Writing_ELA[Student Number],YES_Writing_FLA[Student Number]),0),MATCH(VLOOKUP(H$7,'Writing Logic'!$J$7:$K$11,2,FALSE)&amp;" - Per "&amp;VLOOKUP($C$4,'Writing Logic'!$G$8:$H$14,2,FALSE),YES_Writing_ELA[#Headers],0))=0,"",INDEX(_xlfn.VSTACK(YES_Writing_ELA[#Data],YES_Writing_FLA[#Data]),MATCH($A260,_xlfn.VSTACK(YES_Writing_ELA[Student Number],YES_Writing_FLA[Student Number]),0),MATCH(VLOOKUP(H$7,'Writing Logic'!$J$7:$K$11,2,FALSE)&amp;" - Per "&amp;VLOOKUP($C$4,'Writing Logic'!$G$8:$H$14,2,FALSE),YES_Writing_ELA[#Headers],0)))),"")</f>
        <v/>
      </c>
      <c r="I260" s="224" t="str" cm="1">
        <f t="array" aca="1" ref="I260" ca="1">IFERROR(
IF($G$3="ELA",
IF(VLOOKUP($A260, YES_Reading_ELA[], COLUMN(INDIRECT("YES_Reading_ELA[Difference - Per "&amp;VLOOKUP($G$4, 'Reading Report Logic'!$A$2:$B$8, 2, FALSE)&amp;"]")), FALSE)="", "",
VLOOKUP($A260,YES_Reading_ELA[], COLUMN(INDIRECT("YES_Reading_ELA[Difference - Per "&amp;VLOOKUP($G$4,'Reading Report Logic'!$A$2:$B$8,2,FALSE)&amp;"]")), FALSE)),
IF($G$3="FLA",
IF(VLOOKUP($A260, YES_Reading_FLA[], COLUMN(INDIRECT("YES_Reading_FLA[Difference - Per "&amp;VLOOKUP($G$4,'Reading Report Logic'!$A$2:$B$8,2,FALSE)&amp;"]")),FALSE)="","",
VLOOKUP($A260,YES_Reading_FLA[],COLUMN(INDIRECT("YES_Reading_FLA[Difference - Per "&amp;VLOOKUP($G$4,'Reading Report Logic'!$A$2:$B$8,2,FALSE)&amp;"]")),FALSE)),
IF($G$3="Combined",
IFERROR(
IF(VLOOKUP($A260, YES_Reading_ELA[], COLUMN(INDIRECT("YES_Reading_ELA[Difference - Per "&amp;VLOOKUP($G$4, 'Reading Report Logic'!$A$2:$B$8,2,FALSE)&amp;"]")), FALSE)="", "",
VLOOKUP($A260,YES_Reading_ELA[],COLUMN(INDIRECT("YES_Reading_ELA[Difference - Per "&amp;VLOOKUP($G$4,'Reading Report Logic'!$A$2:$B$8,2,FALSE)&amp;"]")),FALSE)),
IF(VLOOKUP($A260, YES_Reading_FLA[], COLUMN(INDIRECT("YES_Reading_FLA[Difference - Per "&amp;VLOOKUP($G$4, 'Reading Report Logic'!$A$2:$B$8, 2, FALSE)&amp;"]")),FALSE)="", "", VLOOKUP($A260,YES_Reading_FLA[],COLUMN(INDIRECT("YES_Reading_FLA[Difference - Per "&amp;VLOOKUP($G$4, 'Reading Report Logic'!$A$2:$B$8, 2, FALSE)&amp;"]")),FALSE))),""))),"")</f>
        <v/>
      </c>
    </row>
    <row r="261" spans="1:9" x14ac:dyDescent="0.25">
      <c r="A261" s="137"/>
      <c r="B261" s="137" t="str">
        <f>IFERROR(INDEX(_xlfn.VSTACK(YES_Writing_ELA[#Data], YES_Writing_FLA[#Data]),MATCH($A261,_xlfn.VSTACK(YES_Writing_ELA[Student Number], YES_Writing_FLA[Student Number]),0),MATCH(B$7,YES_Writing_ELA[#Headers],0)),IFERROR(INDEX(_xlfn.VSTACK(YES_Reading_ELA[#Data], YES_Reading_FLA[#Data]),MATCH($A261,_xlfn.VSTACK(YES_Reading_ELA[Student Number], YES_Reading_FLA[Student Number]),0),MATCH(B$7,YES_Reading_ELA[#Headers],0)),""))</f>
        <v/>
      </c>
      <c r="C261" s="137" t="str">
        <f>IFERROR(INDEX(_xlfn.VSTACK(YES_Writing_ELA[#Data], YES_Writing_FLA[#Data]),MATCH($A261,_xlfn.VSTACK(YES_Writing_ELA[Student Number], YES_Writing_FLA[Student Number]),0),MATCH(C$7,YES_Writing_ELA[#Headers],0)),IFERROR(INDEX(_xlfn.VSTACK(YES_Reading_ELA[#Data], YES_Reading_FLA[#Data]),MATCH($A261,_xlfn.VSTACK(YES_Reading_ELA[Student Number], YES_Reading_FLA[Student Number]),0),MATCH(C$7,YES_Reading_ELA[#Headers],0)),""))</f>
        <v/>
      </c>
      <c r="D261" s="138" t="str">
        <f>IFERROR(IF(IF(INDEX(_xlfn.VSTACK(YES_Writing_ELA[#Data],YES_Writing_FLA[#Data]),MATCH($A261,_xlfn.VSTACK(YES_Writing_ELA[Student Number],YES_Writing_FLA[Student Number]),0),MATCH(VLOOKUP(D$7,'Writing Logic'!$J$7:$K$11,2,FALSE)&amp;" - Per "&amp;VLOOKUP($C$4,'Writing Logic'!$G$8:$H$14,2,FALSE),YES_Writing_ELA[#Headers],0))=0,"",INDEX(_xlfn.VSTACK(YES_Writing_ELA[#Data],YES_Writing_FLA[#Data]),MATCH($A261,_xlfn.VSTACK(YES_Writing_ELA[Student Number],YES_Writing_FLA[Student Number]),0),MATCH(VLOOKUP(D$7,'Writing Logic'!$J$7:$K$11,2,FALSE)&amp;" - Per "&amp;VLOOKUP($C$4,'Writing Logic'!$G$8:$H$14,2,FALSE),YES_Writing_ELA[#Headers],0)))="INS",'Writing Logic'!$B$7,IF(INDEX(_xlfn.VSTACK(YES_Writing_ELA[#Data],YES_Writing_FLA[#Data]),MATCH($A261,_xlfn.VSTACK(YES_Writing_ELA[Student Number],YES_Writing_FLA[Student Number]),0),MATCH(VLOOKUP(D$7,'Writing Logic'!$J$7:$K$11,2,FALSE)&amp;" - Per "&amp;VLOOKUP($C$4,'Writing Logic'!$G$8:$H$14,2,FALSE),YES_Writing_ELA[#Headers],0))=0,"",INDEX(_xlfn.VSTACK(YES_Writing_ELA[#Data],YES_Writing_FLA[#Data]),MATCH($A261,_xlfn.VSTACK(YES_Writing_ELA[Student Number],YES_Writing_FLA[Student Number]),0),MATCH(VLOOKUP(D$7,'Writing Logic'!$J$7:$K$11,2,FALSE)&amp;" - Per "&amp;VLOOKUP($C$4,'Writing Logic'!$G$8:$H$14,2,FALSE),YES_Writing_ELA[#Headers],0)))),"")</f>
        <v/>
      </c>
      <c r="E261" s="138" t="str">
        <f>IFERROR(IF(IF(INDEX(_xlfn.VSTACK(YES_Writing_ELA[#Data],YES_Writing_FLA[#Data]),MATCH($A261,_xlfn.VSTACK(YES_Writing_ELA[Student Number],YES_Writing_FLA[Student Number]),0),MATCH(VLOOKUP(E$7,'Writing Logic'!$J$7:$K$11,2,FALSE)&amp;" - Per "&amp;VLOOKUP($C$4,'Writing Logic'!$G$8:$H$14,2,FALSE),YES_Writing_ELA[#Headers],0))=0,"",INDEX(_xlfn.VSTACK(YES_Writing_ELA[#Data],YES_Writing_FLA[#Data]),MATCH($A261,_xlfn.VSTACK(YES_Writing_ELA[Student Number],YES_Writing_FLA[Student Number]),0),MATCH(VLOOKUP(E$7,'Writing Logic'!$J$7:$K$11,2,FALSE)&amp;" - Per "&amp;VLOOKUP($C$4,'Writing Logic'!$G$8:$H$14,2,FALSE),YES_Writing_ELA[#Headers],0)))="INS",'Writing Logic'!$B$7,IF(INDEX(_xlfn.VSTACK(YES_Writing_ELA[#Data],YES_Writing_FLA[#Data]),MATCH($A261,_xlfn.VSTACK(YES_Writing_ELA[Student Number],YES_Writing_FLA[Student Number]),0),MATCH(VLOOKUP(E$7,'Writing Logic'!$J$7:$K$11,2,FALSE)&amp;" - Per "&amp;VLOOKUP($C$4,'Writing Logic'!$G$8:$H$14,2,FALSE),YES_Writing_ELA[#Headers],0))=0,"",INDEX(_xlfn.VSTACK(YES_Writing_ELA[#Data],YES_Writing_FLA[#Data]),MATCH($A261,_xlfn.VSTACK(YES_Writing_ELA[Student Number],YES_Writing_FLA[Student Number]),0),MATCH(VLOOKUP(E$7,'Writing Logic'!$J$7:$K$11,2,FALSE)&amp;" - Per "&amp;VLOOKUP($C$4,'Writing Logic'!$G$8:$H$14,2,FALSE),YES_Writing_ELA[#Headers],0)))),"")</f>
        <v/>
      </c>
      <c r="F261" s="138" t="str">
        <f>IFERROR(IF(IF(INDEX(_xlfn.VSTACK(YES_Writing_ELA[#Data],YES_Writing_FLA[#Data]),MATCH($A261,_xlfn.VSTACK(YES_Writing_ELA[Student Number],YES_Writing_FLA[Student Number]),0),MATCH(VLOOKUP(F$7,'Writing Logic'!$J$7:$K$11,2,FALSE)&amp;" - Per "&amp;VLOOKUP($C$4,'Writing Logic'!$G$8:$H$14,2,FALSE),YES_Writing_ELA[#Headers],0))=0,"",INDEX(_xlfn.VSTACK(YES_Writing_ELA[#Data],YES_Writing_FLA[#Data]),MATCH($A261,_xlfn.VSTACK(YES_Writing_ELA[Student Number],YES_Writing_FLA[Student Number]),0),MATCH(VLOOKUP(F$7,'Writing Logic'!$J$7:$K$11,2,FALSE)&amp;" - Per "&amp;VLOOKUP($C$4,'Writing Logic'!$G$8:$H$14,2,FALSE),YES_Writing_ELA[#Headers],0)))="INS",'Writing Logic'!$B$7,IF(INDEX(_xlfn.VSTACK(YES_Writing_ELA[#Data],YES_Writing_FLA[#Data]),MATCH($A261,_xlfn.VSTACK(YES_Writing_ELA[Student Number],YES_Writing_FLA[Student Number]),0),MATCH(VLOOKUP(F$7,'Writing Logic'!$J$7:$K$11,2,FALSE)&amp;" - Per "&amp;VLOOKUP($C$4,'Writing Logic'!$G$8:$H$14,2,FALSE),YES_Writing_ELA[#Headers],0))=0,"",INDEX(_xlfn.VSTACK(YES_Writing_ELA[#Data],YES_Writing_FLA[#Data]),MATCH($A261,_xlfn.VSTACK(YES_Writing_ELA[Student Number],YES_Writing_FLA[Student Number]),0),MATCH(VLOOKUP(F$7,'Writing Logic'!$J$7:$K$11,2,FALSE)&amp;" - Per "&amp;VLOOKUP($C$4,'Writing Logic'!$G$8:$H$14,2,FALSE),YES_Writing_ELA[#Headers],0)))),"")</f>
        <v/>
      </c>
      <c r="G261" s="138" t="str">
        <f>IFERROR(IF(IF(INDEX(_xlfn.VSTACK(YES_Writing_ELA[#Data],YES_Writing_FLA[#Data]),MATCH($A261,_xlfn.VSTACK(YES_Writing_ELA[Student Number],YES_Writing_FLA[Student Number]),0),MATCH(VLOOKUP(G$7,'Writing Logic'!$J$7:$K$11,2,FALSE)&amp;" - Per "&amp;VLOOKUP($C$4,'Writing Logic'!$G$8:$H$14,2,FALSE),YES_Writing_ELA[#Headers],0))=0,"",INDEX(_xlfn.VSTACK(YES_Writing_ELA[#Data],YES_Writing_FLA[#Data]),MATCH($A261,_xlfn.VSTACK(YES_Writing_ELA[Student Number],YES_Writing_FLA[Student Number]),0),MATCH(VLOOKUP(G$7,'Writing Logic'!$J$7:$K$11,2,FALSE)&amp;" - Per "&amp;VLOOKUP($C$4,'Writing Logic'!$G$8:$H$14,2,FALSE),YES_Writing_ELA[#Headers],0)))="INS",'Writing Logic'!$B$7,IF(INDEX(_xlfn.VSTACK(YES_Writing_ELA[#Data],YES_Writing_FLA[#Data]),MATCH($A261,_xlfn.VSTACK(YES_Writing_ELA[Student Number],YES_Writing_FLA[Student Number]),0),MATCH(VLOOKUP(G$7,'Writing Logic'!$J$7:$K$11,2,FALSE)&amp;" - Per "&amp;VLOOKUP($C$4,'Writing Logic'!$G$8:$H$14,2,FALSE),YES_Writing_ELA[#Headers],0))=0,"",INDEX(_xlfn.VSTACK(YES_Writing_ELA[#Data],YES_Writing_FLA[#Data]),MATCH($A261,_xlfn.VSTACK(YES_Writing_ELA[Student Number],YES_Writing_FLA[Student Number]),0),MATCH(VLOOKUP(G$7,'Writing Logic'!$J$7:$K$11,2,FALSE)&amp;" - Per "&amp;VLOOKUP($C$4,'Writing Logic'!$G$8:$H$14,2,FALSE),YES_Writing_ELA[#Headers],0)))),"")</f>
        <v/>
      </c>
      <c r="H261" s="223" t="str">
        <f>IFERROR(IF(IF(INDEX(_xlfn.VSTACK(YES_Writing_ELA[#Data],YES_Writing_FLA[#Data]),MATCH($A261,_xlfn.VSTACK(YES_Writing_ELA[Student Number],YES_Writing_FLA[Student Number]),0),MATCH(VLOOKUP(H$7,'Writing Logic'!$J$7:$K$11,2,FALSE)&amp;" - Per "&amp;VLOOKUP($C$4,'Writing Logic'!$G$8:$H$14,2,FALSE),YES_Writing_ELA[#Headers],0))=0,"",INDEX(_xlfn.VSTACK(YES_Writing_ELA[#Data],YES_Writing_FLA[#Data]),MATCH($A261,_xlfn.VSTACK(YES_Writing_ELA[Student Number],YES_Writing_FLA[Student Number]),0),MATCH(VLOOKUP(H$7,'Writing Logic'!$J$7:$K$11,2,FALSE)&amp;" - Per "&amp;VLOOKUP($C$4,'Writing Logic'!$G$8:$H$14,2,FALSE),YES_Writing_ELA[#Headers],0)))="INS",'Writing Logic'!$B$7,IF(INDEX(_xlfn.VSTACK(YES_Writing_ELA[#Data],YES_Writing_FLA[#Data]),MATCH($A261,_xlfn.VSTACK(YES_Writing_ELA[Student Number],YES_Writing_FLA[Student Number]),0),MATCH(VLOOKUP(H$7,'Writing Logic'!$J$7:$K$11,2,FALSE)&amp;" - Per "&amp;VLOOKUP($C$4,'Writing Logic'!$G$8:$H$14,2,FALSE),YES_Writing_ELA[#Headers],0))=0,"",INDEX(_xlfn.VSTACK(YES_Writing_ELA[#Data],YES_Writing_FLA[#Data]),MATCH($A261,_xlfn.VSTACK(YES_Writing_ELA[Student Number],YES_Writing_FLA[Student Number]),0),MATCH(VLOOKUP(H$7,'Writing Logic'!$J$7:$K$11,2,FALSE)&amp;" - Per "&amp;VLOOKUP($C$4,'Writing Logic'!$G$8:$H$14,2,FALSE),YES_Writing_ELA[#Headers],0)))),"")</f>
        <v/>
      </c>
      <c r="I261" s="224" t="str" cm="1">
        <f t="array" aca="1" ref="I261" ca="1">IFERROR(
IF($G$3="ELA",
IF(VLOOKUP($A261, YES_Reading_ELA[], COLUMN(INDIRECT("YES_Reading_ELA[Difference - Per "&amp;VLOOKUP($G$4, 'Reading Report Logic'!$A$2:$B$8, 2, FALSE)&amp;"]")), FALSE)="", "",
VLOOKUP($A261,YES_Reading_ELA[], COLUMN(INDIRECT("YES_Reading_ELA[Difference - Per "&amp;VLOOKUP($G$4,'Reading Report Logic'!$A$2:$B$8,2,FALSE)&amp;"]")), FALSE)),
IF($G$3="FLA",
IF(VLOOKUP($A261, YES_Reading_FLA[], COLUMN(INDIRECT("YES_Reading_FLA[Difference - Per "&amp;VLOOKUP($G$4,'Reading Report Logic'!$A$2:$B$8,2,FALSE)&amp;"]")),FALSE)="","",
VLOOKUP($A261,YES_Reading_FLA[],COLUMN(INDIRECT("YES_Reading_FLA[Difference - Per "&amp;VLOOKUP($G$4,'Reading Report Logic'!$A$2:$B$8,2,FALSE)&amp;"]")),FALSE)),
IF($G$3="Combined",
IFERROR(
IF(VLOOKUP($A261, YES_Reading_ELA[], COLUMN(INDIRECT("YES_Reading_ELA[Difference - Per "&amp;VLOOKUP($G$4, 'Reading Report Logic'!$A$2:$B$8,2,FALSE)&amp;"]")), FALSE)="", "",
VLOOKUP($A261,YES_Reading_ELA[],COLUMN(INDIRECT("YES_Reading_ELA[Difference - Per "&amp;VLOOKUP($G$4,'Reading Report Logic'!$A$2:$B$8,2,FALSE)&amp;"]")),FALSE)),
IF(VLOOKUP($A261, YES_Reading_FLA[], COLUMN(INDIRECT("YES_Reading_FLA[Difference - Per "&amp;VLOOKUP($G$4, 'Reading Report Logic'!$A$2:$B$8, 2, FALSE)&amp;"]")),FALSE)="", "", VLOOKUP($A261,YES_Reading_FLA[],COLUMN(INDIRECT("YES_Reading_FLA[Difference - Per "&amp;VLOOKUP($G$4, 'Reading Report Logic'!$A$2:$B$8, 2, FALSE)&amp;"]")),FALSE))),""))),"")</f>
        <v/>
      </c>
    </row>
    <row r="262" spans="1:9" x14ac:dyDescent="0.25">
      <c r="A262" s="137"/>
      <c r="B262" s="137" t="str">
        <f>IFERROR(INDEX(_xlfn.VSTACK(YES_Writing_ELA[#Data], YES_Writing_FLA[#Data]),MATCH($A262,_xlfn.VSTACK(YES_Writing_ELA[Student Number], YES_Writing_FLA[Student Number]),0),MATCH(B$7,YES_Writing_ELA[#Headers],0)),IFERROR(INDEX(_xlfn.VSTACK(YES_Reading_ELA[#Data], YES_Reading_FLA[#Data]),MATCH($A262,_xlfn.VSTACK(YES_Reading_ELA[Student Number], YES_Reading_FLA[Student Number]),0),MATCH(B$7,YES_Reading_ELA[#Headers],0)),""))</f>
        <v/>
      </c>
      <c r="C262" s="137" t="str">
        <f>IFERROR(INDEX(_xlfn.VSTACK(YES_Writing_ELA[#Data], YES_Writing_FLA[#Data]),MATCH($A262,_xlfn.VSTACK(YES_Writing_ELA[Student Number], YES_Writing_FLA[Student Number]),0),MATCH(C$7,YES_Writing_ELA[#Headers],0)),IFERROR(INDEX(_xlfn.VSTACK(YES_Reading_ELA[#Data], YES_Reading_FLA[#Data]),MATCH($A262,_xlfn.VSTACK(YES_Reading_ELA[Student Number], YES_Reading_FLA[Student Number]),0),MATCH(C$7,YES_Reading_ELA[#Headers],0)),""))</f>
        <v/>
      </c>
      <c r="D262" s="138" t="str">
        <f>IFERROR(IF(IF(INDEX(_xlfn.VSTACK(YES_Writing_ELA[#Data],YES_Writing_FLA[#Data]),MATCH($A262,_xlfn.VSTACK(YES_Writing_ELA[Student Number],YES_Writing_FLA[Student Number]),0),MATCH(VLOOKUP(D$7,'Writing Logic'!$J$7:$K$11,2,FALSE)&amp;" - Per "&amp;VLOOKUP($C$4,'Writing Logic'!$G$8:$H$14,2,FALSE),YES_Writing_ELA[#Headers],0))=0,"",INDEX(_xlfn.VSTACK(YES_Writing_ELA[#Data],YES_Writing_FLA[#Data]),MATCH($A262,_xlfn.VSTACK(YES_Writing_ELA[Student Number],YES_Writing_FLA[Student Number]),0),MATCH(VLOOKUP(D$7,'Writing Logic'!$J$7:$K$11,2,FALSE)&amp;" - Per "&amp;VLOOKUP($C$4,'Writing Logic'!$G$8:$H$14,2,FALSE),YES_Writing_ELA[#Headers],0)))="INS",'Writing Logic'!$B$7,IF(INDEX(_xlfn.VSTACK(YES_Writing_ELA[#Data],YES_Writing_FLA[#Data]),MATCH($A262,_xlfn.VSTACK(YES_Writing_ELA[Student Number],YES_Writing_FLA[Student Number]),0),MATCH(VLOOKUP(D$7,'Writing Logic'!$J$7:$K$11,2,FALSE)&amp;" - Per "&amp;VLOOKUP($C$4,'Writing Logic'!$G$8:$H$14,2,FALSE),YES_Writing_ELA[#Headers],0))=0,"",INDEX(_xlfn.VSTACK(YES_Writing_ELA[#Data],YES_Writing_FLA[#Data]),MATCH($A262,_xlfn.VSTACK(YES_Writing_ELA[Student Number],YES_Writing_FLA[Student Number]),0),MATCH(VLOOKUP(D$7,'Writing Logic'!$J$7:$K$11,2,FALSE)&amp;" - Per "&amp;VLOOKUP($C$4,'Writing Logic'!$G$8:$H$14,2,FALSE),YES_Writing_ELA[#Headers],0)))),"")</f>
        <v/>
      </c>
      <c r="E262" s="138" t="str">
        <f>IFERROR(IF(IF(INDEX(_xlfn.VSTACK(YES_Writing_ELA[#Data],YES_Writing_FLA[#Data]),MATCH($A262,_xlfn.VSTACK(YES_Writing_ELA[Student Number],YES_Writing_FLA[Student Number]),0),MATCH(VLOOKUP(E$7,'Writing Logic'!$J$7:$K$11,2,FALSE)&amp;" - Per "&amp;VLOOKUP($C$4,'Writing Logic'!$G$8:$H$14,2,FALSE),YES_Writing_ELA[#Headers],0))=0,"",INDEX(_xlfn.VSTACK(YES_Writing_ELA[#Data],YES_Writing_FLA[#Data]),MATCH($A262,_xlfn.VSTACK(YES_Writing_ELA[Student Number],YES_Writing_FLA[Student Number]),0),MATCH(VLOOKUP(E$7,'Writing Logic'!$J$7:$K$11,2,FALSE)&amp;" - Per "&amp;VLOOKUP($C$4,'Writing Logic'!$G$8:$H$14,2,FALSE),YES_Writing_ELA[#Headers],0)))="INS",'Writing Logic'!$B$7,IF(INDEX(_xlfn.VSTACK(YES_Writing_ELA[#Data],YES_Writing_FLA[#Data]),MATCH($A262,_xlfn.VSTACK(YES_Writing_ELA[Student Number],YES_Writing_FLA[Student Number]),0),MATCH(VLOOKUP(E$7,'Writing Logic'!$J$7:$K$11,2,FALSE)&amp;" - Per "&amp;VLOOKUP($C$4,'Writing Logic'!$G$8:$H$14,2,FALSE),YES_Writing_ELA[#Headers],0))=0,"",INDEX(_xlfn.VSTACK(YES_Writing_ELA[#Data],YES_Writing_FLA[#Data]),MATCH($A262,_xlfn.VSTACK(YES_Writing_ELA[Student Number],YES_Writing_FLA[Student Number]),0),MATCH(VLOOKUP(E$7,'Writing Logic'!$J$7:$K$11,2,FALSE)&amp;" - Per "&amp;VLOOKUP($C$4,'Writing Logic'!$G$8:$H$14,2,FALSE),YES_Writing_ELA[#Headers],0)))),"")</f>
        <v/>
      </c>
      <c r="F262" s="138" t="str">
        <f>IFERROR(IF(IF(INDEX(_xlfn.VSTACK(YES_Writing_ELA[#Data],YES_Writing_FLA[#Data]),MATCH($A262,_xlfn.VSTACK(YES_Writing_ELA[Student Number],YES_Writing_FLA[Student Number]),0),MATCH(VLOOKUP(F$7,'Writing Logic'!$J$7:$K$11,2,FALSE)&amp;" - Per "&amp;VLOOKUP($C$4,'Writing Logic'!$G$8:$H$14,2,FALSE),YES_Writing_ELA[#Headers],0))=0,"",INDEX(_xlfn.VSTACK(YES_Writing_ELA[#Data],YES_Writing_FLA[#Data]),MATCH($A262,_xlfn.VSTACK(YES_Writing_ELA[Student Number],YES_Writing_FLA[Student Number]),0),MATCH(VLOOKUP(F$7,'Writing Logic'!$J$7:$K$11,2,FALSE)&amp;" - Per "&amp;VLOOKUP($C$4,'Writing Logic'!$G$8:$H$14,2,FALSE),YES_Writing_ELA[#Headers],0)))="INS",'Writing Logic'!$B$7,IF(INDEX(_xlfn.VSTACK(YES_Writing_ELA[#Data],YES_Writing_FLA[#Data]),MATCH($A262,_xlfn.VSTACK(YES_Writing_ELA[Student Number],YES_Writing_FLA[Student Number]),0),MATCH(VLOOKUP(F$7,'Writing Logic'!$J$7:$K$11,2,FALSE)&amp;" - Per "&amp;VLOOKUP($C$4,'Writing Logic'!$G$8:$H$14,2,FALSE),YES_Writing_ELA[#Headers],0))=0,"",INDEX(_xlfn.VSTACK(YES_Writing_ELA[#Data],YES_Writing_FLA[#Data]),MATCH($A262,_xlfn.VSTACK(YES_Writing_ELA[Student Number],YES_Writing_FLA[Student Number]),0),MATCH(VLOOKUP(F$7,'Writing Logic'!$J$7:$K$11,2,FALSE)&amp;" - Per "&amp;VLOOKUP($C$4,'Writing Logic'!$G$8:$H$14,2,FALSE),YES_Writing_ELA[#Headers],0)))),"")</f>
        <v/>
      </c>
      <c r="G262" s="138" t="str">
        <f>IFERROR(IF(IF(INDEX(_xlfn.VSTACK(YES_Writing_ELA[#Data],YES_Writing_FLA[#Data]),MATCH($A262,_xlfn.VSTACK(YES_Writing_ELA[Student Number],YES_Writing_FLA[Student Number]),0),MATCH(VLOOKUP(G$7,'Writing Logic'!$J$7:$K$11,2,FALSE)&amp;" - Per "&amp;VLOOKUP($C$4,'Writing Logic'!$G$8:$H$14,2,FALSE),YES_Writing_ELA[#Headers],0))=0,"",INDEX(_xlfn.VSTACK(YES_Writing_ELA[#Data],YES_Writing_FLA[#Data]),MATCH($A262,_xlfn.VSTACK(YES_Writing_ELA[Student Number],YES_Writing_FLA[Student Number]),0),MATCH(VLOOKUP(G$7,'Writing Logic'!$J$7:$K$11,2,FALSE)&amp;" - Per "&amp;VLOOKUP($C$4,'Writing Logic'!$G$8:$H$14,2,FALSE),YES_Writing_ELA[#Headers],0)))="INS",'Writing Logic'!$B$7,IF(INDEX(_xlfn.VSTACK(YES_Writing_ELA[#Data],YES_Writing_FLA[#Data]),MATCH($A262,_xlfn.VSTACK(YES_Writing_ELA[Student Number],YES_Writing_FLA[Student Number]),0),MATCH(VLOOKUP(G$7,'Writing Logic'!$J$7:$K$11,2,FALSE)&amp;" - Per "&amp;VLOOKUP($C$4,'Writing Logic'!$G$8:$H$14,2,FALSE),YES_Writing_ELA[#Headers],0))=0,"",INDEX(_xlfn.VSTACK(YES_Writing_ELA[#Data],YES_Writing_FLA[#Data]),MATCH($A262,_xlfn.VSTACK(YES_Writing_ELA[Student Number],YES_Writing_FLA[Student Number]),0),MATCH(VLOOKUP(G$7,'Writing Logic'!$J$7:$K$11,2,FALSE)&amp;" - Per "&amp;VLOOKUP($C$4,'Writing Logic'!$G$8:$H$14,2,FALSE),YES_Writing_ELA[#Headers],0)))),"")</f>
        <v/>
      </c>
      <c r="H262" s="223" t="str">
        <f>IFERROR(IF(IF(INDEX(_xlfn.VSTACK(YES_Writing_ELA[#Data],YES_Writing_FLA[#Data]),MATCH($A262,_xlfn.VSTACK(YES_Writing_ELA[Student Number],YES_Writing_FLA[Student Number]),0),MATCH(VLOOKUP(H$7,'Writing Logic'!$J$7:$K$11,2,FALSE)&amp;" - Per "&amp;VLOOKUP($C$4,'Writing Logic'!$G$8:$H$14,2,FALSE),YES_Writing_ELA[#Headers],0))=0,"",INDEX(_xlfn.VSTACK(YES_Writing_ELA[#Data],YES_Writing_FLA[#Data]),MATCH($A262,_xlfn.VSTACK(YES_Writing_ELA[Student Number],YES_Writing_FLA[Student Number]),0),MATCH(VLOOKUP(H$7,'Writing Logic'!$J$7:$K$11,2,FALSE)&amp;" - Per "&amp;VLOOKUP($C$4,'Writing Logic'!$G$8:$H$14,2,FALSE),YES_Writing_ELA[#Headers],0)))="INS",'Writing Logic'!$B$7,IF(INDEX(_xlfn.VSTACK(YES_Writing_ELA[#Data],YES_Writing_FLA[#Data]),MATCH($A262,_xlfn.VSTACK(YES_Writing_ELA[Student Number],YES_Writing_FLA[Student Number]),0),MATCH(VLOOKUP(H$7,'Writing Logic'!$J$7:$K$11,2,FALSE)&amp;" - Per "&amp;VLOOKUP($C$4,'Writing Logic'!$G$8:$H$14,2,FALSE),YES_Writing_ELA[#Headers],0))=0,"",INDEX(_xlfn.VSTACK(YES_Writing_ELA[#Data],YES_Writing_FLA[#Data]),MATCH($A262,_xlfn.VSTACK(YES_Writing_ELA[Student Number],YES_Writing_FLA[Student Number]),0),MATCH(VLOOKUP(H$7,'Writing Logic'!$J$7:$K$11,2,FALSE)&amp;" - Per "&amp;VLOOKUP($C$4,'Writing Logic'!$G$8:$H$14,2,FALSE),YES_Writing_ELA[#Headers],0)))),"")</f>
        <v/>
      </c>
      <c r="I262" s="224" t="str" cm="1">
        <f t="array" aca="1" ref="I262" ca="1">IFERROR(
IF($G$3="ELA",
IF(VLOOKUP($A262, YES_Reading_ELA[], COLUMN(INDIRECT("YES_Reading_ELA[Difference - Per "&amp;VLOOKUP($G$4, 'Reading Report Logic'!$A$2:$B$8, 2, FALSE)&amp;"]")), FALSE)="", "",
VLOOKUP($A262,YES_Reading_ELA[], COLUMN(INDIRECT("YES_Reading_ELA[Difference - Per "&amp;VLOOKUP($G$4,'Reading Report Logic'!$A$2:$B$8,2,FALSE)&amp;"]")), FALSE)),
IF($G$3="FLA",
IF(VLOOKUP($A262, YES_Reading_FLA[], COLUMN(INDIRECT("YES_Reading_FLA[Difference - Per "&amp;VLOOKUP($G$4,'Reading Report Logic'!$A$2:$B$8,2,FALSE)&amp;"]")),FALSE)="","",
VLOOKUP($A262,YES_Reading_FLA[],COLUMN(INDIRECT("YES_Reading_FLA[Difference - Per "&amp;VLOOKUP($G$4,'Reading Report Logic'!$A$2:$B$8,2,FALSE)&amp;"]")),FALSE)),
IF($G$3="Combined",
IFERROR(
IF(VLOOKUP($A262, YES_Reading_ELA[], COLUMN(INDIRECT("YES_Reading_ELA[Difference - Per "&amp;VLOOKUP($G$4, 'Reading Report Logic'!$A$2:$B$8,2,FALSE)&amp;"]")), FALSE)="", "",
VLOOKUP($A262,YES_Reading_ELA[],COLUMN(INDIRECT("YES_Reading_ELA[Difference - Per "&amp;VLOOKUP($G$4,'Reading Report Logic'!$A$2:$B$8,2,FALSE)&amp;"]")),FALSE)),
IF(VLOOKUP($A262, YES_Reading_FLA[], COLUMN(INDIRECT("YES_Reading_FLA[Difference - Per "&amp;VLOOKUP($G$4, 'Reading Report Logic'!$A$2:$B$8, 2, FALSE)&amp;"]")),FALSE)="", "", VLOOKUP($A262,YES_Reading_FLA[],COLUMN(INDIRECT("YES_Reading_FLA[Difference - Per "&amp;VLOOKUP($G$4, 'Reading Report Logic'!$A$2:$B$8, 2, FALSE)&amp;"]")),FALSE))),""))),"")</f>
        <v/>
      </c>
    </row>
    <row r="263" spans="1:9" x14ac:dyDescent="0.25">
      <c r="A263" s="137"/>
      <c r="B263" s="137" t="str">
        <f>IFERROR(INDEX(_xlfn.VSTACK(YES_Writing_ELA[#Data], YES_Writing_FLA[#Data]),MATCH($A263,_xlfn.VSTACK(YES_Writing_ELA[Student Number], YES_Writing_FLA[Student Number]),0),MATCH(B$7,YES_Writing_ELA[#Headers],0)),IFERROR(INDEX(_xlfn.VSTACK(YES_Reading_ELA[#Data], YES_Reading_FLA[#Data]),MATCH($A263,_xlfn.VSTACK(YES_Reading_ELA[Student Number], YES_Reading_FLA[Student Number]),0),MATCH(B$7,YES_Reading_ELA[#Headers],0)),""))</f>
        <v/>
      </c>
      <c r="C263" s="137" t="str">
        <f>IFERROR(INDEX(_xlfn.VSTACK(YES_Writing_ELA[#Data], YES_Writing_FLA[#Data]),MATCH($A263,_xlfn.VSTACK(YES_Writing_ELA[Student Number], YES_Writing_FLA[Student Number]),0),MATCH(C$7,YES_Writing_ELA[#Headers],0)),IFERROR(INDEX(_xlfn.VSTACK(YES_Reading_ELA[#Data], YES_Reading_FLA[#Data]),MATCH($A263,_xlfn.VSTACK(YES_Reading_ELA[Student Number], YES_Reading_FLA[Student Number]),0),MATCH(C$7,YES_Reading_ELA[#Headers],0)),""))</f>
        <v/>
      </c>
      <c r="D263" s="138" t="str">
        <f>IFERROR(IF(IF(INDEX(_xlfn.VSTACK(YES_Writing_ELA[#Data],YES_Writing_FLA[#Data]),MATCH($A263,_xlfn.VSTACK(YES_Writing_ELA[Student Number],YES_Writing_FLA[Student Number]),0),MATCH(VLOOKUP(D$7,'Writing Logic'!$J$7:$K$11,2,FALSE)&amp;" - Per "&amp;VLOOKUP($C$4,'Writing Logic'!$G$8:$H$14,2,FALSE),YES_Writing_ELA[#Headers],0))=0,"",INDEX(_xlfn.VSTACK(YES_Writing_ELA[#Data],YES_Writing_FLA[#Data]),MATCH($A263,_xlfn.VSTACK(YES_Writing_ELA[Student Number],YES_Writing_FLA[Student Number]),0),MATCH(VLOOKUP(D$7,'Writing Logic'!$J$7:$K$11,2,FALSE)&amp;" - Per "&amp;VLOOKUP($C$4,'Writing Logic'!$G$8:$H$14,2,FALSE),YES_Writing_ELA[#Headers],0)))="INS",'Writing Logic'!$B$7,IF(INDEX(_xlfn.VSTACK(YES_Writing_ELA[#Data],YES_Writing_FLA[#Data]),MATCH($A263,_xlfn.VSTACK(YES_Writing_ELA[Student Number],YES_Writing_FLA[Student Number]),0),MATCH(VLOOKUP(D$7,'Writing Logic'!$J$7:$K$11,2,FALSE)&amp;" - Per "&amp;VLOOKUP($C$4,'Writing Logic'!$G$8:$H$14,2,FALSE),YES_Writing_ELA[#Headers],0))=0,"",INDEX(_xlfn.VSTACK(YES_Writing_ELA[#Data],YES_Writing_FLA[#Data]),MATCH($A263,_xlfn.VSTACK(YES_Writing_ELA[Student Number],YES_Writing_FLA[Student Number]),0),MATCH(VLOOKUP(D$7,'Writing Logic'!$J$7:$K$11,2,FALSE)&amp;" - Per "&amp;VLOOKUP($C$4,'Writing Logic'!$G$8:$H$14,2,FALSE),YES_Writing_ELA[#Headers],0)))),"")</f>
        <v/>
      </c>
      <c r="E263" s="138" t="str">
        <f>IFERROR(IF(IF(INDEX(_xlfn.VSTACK(YES_Writing_ELA[#Data],YES_Writing_FLA[#Data]),MATCH($A263,_xlfn.VSTACK(YES_Writing_ELA[Student Number],YES_Writing_FLA[Student Number]),0),MATCH(VLOOKUP(E$7,'Writing Logic'!$J$7:$K$11,2,FALSE)&amp;" - Per "&amp;VLOOKUP($C$4,'Writing Logic'!$G$8:$H$14,2,FALSE),YES_Writing_ELA[#Headers],0))=0,"",INDEX(_xlfn.VSTACK(YES_Writing_ELA[#Data],YES_Writing_FLA[#Data]),MATCH($A263,_xlfn.VSTACK(YES_Writing_ELA[Student Number],YES_Writing_FLA[Student Number]),0),MATCH(VLOOKUP(E$7,'Writing Logic'!$J$7:$K$11,2,FALSE)&amp;" - Per "&amp;VLOOKUP($C$4,'Writing Logic'!$G$8:$H$14,2,FALSE),YES_Writing_ELA[#Headers],0)))="INS",'Writing Logic'!$B$7,IF(INDEX(_xlfn.VSTACK(YES_Writing_ELA[#Data],YES_Writing_FLA[#Data]),MATCH($A263,_xlfn.VSTACK(YES_Writing_ELA[Student Number],YES_Writing_FLA[Student Number]),0),MATCH(VLOOKUP(E$7,'Writing Logic'!$J$7:$K$11,2,FALSE)&amp;" - Per "&amp;VLOOKUP($C$4,'Writing Logic'!$G$8:$H$14,2,FALSE),YES_Writing_ELA[#Headers],0))=0,"",INDEX(_xlfn.VSTACK(YES_Writing_ELA[#Data],YES_Writing_FLA[#Data]),MATCH($A263,_xlfn.VSTACK(YES_Writing_ELA[Student Number],YES_Writing_FLA[Student Number]),0),MATCH(VLOOKUP(E$7,'Writing Logic'!$J$7:$K$11,2,FALSE)&amp;" - Per "&amp;VLOOKUP($C$4,'Writing Logic'!$G$8:$H$14,2,FALSE),YES_Writing_ELA[#Headers],0)))),"")</f>
        <v/>
      </c>
      <c r="F263" s="138" t="str">
        <f>IFERROR(IF(IF(INDEX(_xlfn.VSTACK(YES_Writing_ELA[#Data],YES_Writing_FLA[#Data]),MATCH($A263,_xlfn.VSTACK(YES_Writing_ELA[Student Number],YES_Writing_FLA[Student Number]),0),MATCH(VLOOKUP(F$7,'Writing Logic'!$J$7:$K$11,2,FALSE)&amp;" - Per "&amp;VLOOKUP($C$4,'Writing Logic'!$G$8:$H$14,2,FALSE),YES_Writing_ELA[#Headers],0))=0,"",INDEX(_xlfn.VSTACK(YES_Writing_ELA[#Data],YES_Writing_FLA[#Data]),MATCH($A263,_xlfn.VSTACK(YES_Writing_ELA[Student Number],YES_Writing_FLA[Student Number]),0),MATCH(VLOOKUP(F$7,'Writing Logic'!$J$7:$K$11,2,FALSE)&amp;" - Per "&amp;VLOOKUP($C$4,'Writing Logic'!$G$8:$H$14,2,FALSE),YES_Writing_ELA[#Headers],0)))="INS",'Writing Logic'!$B$7,IF(INDEX(_xlfn.VSTACK(YES_Writing_ELA[#Data],YES_Writing_FLA[#Data]),MATCH($A263,_xlfn.VSTACK(YES_Writing_ELA[Student Number],YES_Writing_FLA[Student Number]),0),MATCH(VLOOKUP(F$7,'Writing Logic'!$J$7:$K$11,2,FALSE)&amp;" - Per "&amp;VLOOKUP($C$4,'Writing Logic'!$G$8:$H$14,2,FALSE),YES_Writing_ELA[#Headers],0))=0,"",INDEX(_xlfn.VSTACK(YES_Writing_ELA[#Data],YES_Writing_FLA[#Data]),MATCH($A263,_xlfn.VSTACK(YES_Writing_ELA[Student Number],YES_Writing_FLA[Student Number]),0),MATCH(VLOOKUP(F$7,'Writing Logic'!$J$7:$K$11,2,FALSE)&amp;" - Per "&amp;VLOOKUP($C$4,'Writing Logic'!$G$8:$H$14,2,FALSE),YES_Writing_ELA[#Headers],0)))),"")</f>
        <v/>
      </c>
      <c r="G263" s="138" t="str">
        <f>IFERROR(IF(IF(INDEX(_xlfn.VSTACK(YES_Writing_ELA[#Data],YES_Writing_FLA[#Data]),MATCH($A263,_xlfn.VSTACK(YES_Writing_ELA[Student Number],YES_Writing_FLA[Student Number]),0),MATCH(VLOOKUP(G$7,'Writing Logic'!$J$7:$K$11,2,FALSE)&amp;" - Per "&amp;VLOOKUP($C$4,'Writing Logic'!$G$8:$H$14,2,FALSE),YES_Writing_ELA[#Headers],0))=0,"",INDEX(_xlfn.VSTACK(YES_Writing_ELA[#Data],YES_Writing_FLA[#Data]),MATCH($A263,_xlfn.VSTACK(YES_Writing_ELA[Student Number],YES_Writing_FLA[Student Number]),0),MATCH(VLOOKUP(G$7,'Writing Logic'!$J$7:$K$11,2,FALSE)&amp;" - Per "&amp;VLOOKUP($C$4,'Writing Logic'!$G$8:$H$14,2,FALSE),YES_Writing_ELA[#Headers],0)))="INS",'Writing Logic'!$B$7,IF(INDEX(_xlfn.VSTACK(YES_Writing_ELA[#Data],YES_Writing_FLA[#Data]),MATCH($A263,_xlfn.VSTACK(YES_Writing_ELA[Student Number],YES_Writing_FLA[Student Number]),0),MATCH(VLOOKUP(G$7,'Writing Logic'!$J$7:$K$11,2,FALSE)&amp;" - Per "&amp;VLOOKUP($C$4,'Writing Logic'!$G$8:$H$14,2,FALSE),YES_Writing_ELA[#Headers],0))=0,"",INDEX(_xlfn.VSTACK(YES_Writing_ELA[#Data],YES_Writing_FLA[#Data]),MATCH($A263,_xlfn.VSTACK(YES_Writing_ELA[Student Number],YES_Writing_FLA[Student Number]),0),MATCH(VLOOKUP(G$7,'Writing Logic'!$J$7:$K$11,2,FALSE)&amp;" - Per "&amp;VLOOKUP($C$4,'Writing Logic'!$G$8:$H$14,2,FALSE),YES_Writing_ELA[#Headers],0)))),"")</f>
        <v/>
      </c>
      <c r="H263" s="223" t="str">
        <f>IFERROR(IF(IF(INDEX(_xlfn.VSTACK(YES_Writing_ELA[#Data],YES_Writing_FLA[#Data]),MATCH($A263,_xlfn.VSTACK(YES_Writing_ELA[Student Number],YES_Writing_FLA[Student Number]),0),MATCH(VLOOKUP(H$7,'Writing Logic'!$J$7:$K$11,2,FALSE)&amp;" - Per "&amp;VLOOKUP($C$4,'Writing Logic'!$G$8:$H$14,2,FALSE),YES_Writing_ELA[#Headers],0))=0,"",INDEX(_xlfn.VSTACK(YES_Writing_ELA[#Data],YES_Writing_FLA[#Data]),MATCH($A263,_xlfn.VSTACK(YES_Writing_ELA[Student Number],YES_Writing_FLA[Student Number]),0),MATCH(VLOOKUP(H$7,'Writing Logic'!$J$7:$K$11,2,FALSE)&amp;" - Per "&amp;VLOOKUP($C$4,'Writing Logic'!$G$8:$H$14,2,FALSE),YES_Writing_ELA[#Headers],0)))="INS",'Writing Logic'!$B$7,IF(INDEX(_xlfn.VSTACK(YES_Writing_ELA[#Data],YES_Writing_FLA[#Data]),MATCH($A263,_xlfn.VSTACK(YES_Writing_ELA[Student Number],YES_Writing_FLA[Student Number]),0),MATCH(VLOOKUP(H$7,'Writing Logic'!$J$7:$K$11,2,FALSE)&amp;" - Per "&amp;VLOOKUP($C$4,'Writing Logic'!$G$8:$H$14,2,FALSE),YES_Writing_ELA[#Headers],0))=0,"",INDEX(_xlfn.VSTACK(YES_Writing_ELA[#Data],YES_Writing_FLA[#Data]),MATCH($A263,_xlfn.VSTACK(YES_Writing_ELA[Student Number],YES_Writing_FLA[Student Number]),0),MATCH(VLOOKUP(H$7,'Writing Logic'!$J$7:$K$11,2,FALSE)&amp;" - Per "&amp;VLOOKUP($C$4,'Writing Logic'!$G$8:$H$14,2,FALSE),YES_Writing_ELA[#Headers],0)))),"")</f>
        <v/>
      </c>
      <c r="I263" s="224" t="str" cm="1">
        <f t="array" aca="1" ref="I263" ca="1">IFERROR(
IF($G$3="ELA",
IF(VLOOKUP($A263, YES_Reading_ELA[], COLUMN(INDIRECT("YES_Reading_ELA[Difference - Per "&amp;VLOOKUP($G$4, 'Reading Report Logic'!$A$2:$B$8, 2, FALSE)&amp;"]")), FALSE)="", "",
VLOOKUP($A263,YES_Reading_ELA[], COLUMN(INDIRECT("YES_Reading_ELA[Difference - Per "&amp;VLOOKUP($G$4,'Reading Report Logic'!$A$2:$B$8,2,FALSE)&amp;"]")), FALSE)),
IF($G$3="FLA",
IF(VLOOKUP($A263, YES_Reading_FLA[], COLUMN(INDIRECT("YES_Reading_FLA[Difference - Per "&amp;VLOOKUP($G$4,'Reading Report Logic'!$A$2:$B$8,2,FALSE)&amp;"]")),FALSE)="","",
VLOOKUP($A263,YES_Reading_FLA[],COLUMN(INDIRECT("YES_Reading_FLA[Difference - Per "&amp;VLOOKUP($G$4,'Reading Report Logic'!$A$2:$B$8,2,FALSE)&amp;"]")),FALSE)),
IF($G$3="Combined",
IFERROR(
IF(VLOOKUP($A263, YES_Reading_ELA[], COLUMN(INDIRECT("YES_Reading_ELA[Difference - Per "&amp;VLOOKUP($G$4, 'Reading Report Logic'!$A$2:$B$8,2,FALSE)&amp;"]")), FALSE)="", "",
VLOOKUP($A263,YES_Reading_ELA[],COLUMN(INDIRECT("YES_Reading_ELA[Difference - Per "&amp;VLOOKUP($G$4,'Reading Report Logic'!$A$2:$B$8,2,FALSE)&amp;"]")),FALSE)),
IF(VLOOKUP($A263, YES_Reading_FLA[], COLUMN(INDIRECT("YES_Reading_FLA[Difference - Per "&amp;VLOOKUP($G$4, 'Reading Report Logic'!$A$2:$B$8, 2, FALSE)&amp;"]")),FALSE)="", "", VLOOKUP($A263,YES_Reading_FLA[],COLUMN(INDIRECT("YES_Reading_FLA[Difference - Per "&amp;VLOOKUP($G$4, 'Reading Report Logic'!$A$2:$B$8, 2, FALSE)&amp;"]")),FALSE))),""))),"")</f>
        <v/>
      </c>
    </row>
    <row r="264" spans="1:9" x14ac:dyDescent="0.25">
      <c r="A264" s="137"/>
      <c r="B264" s="137" t="str">
        <f>IFERROR(INDEX(_xlfn.VSTACK(YES_Writing_ELA[#Data], YES_Writing_FLA[#Data]),MATCH($A264,_xlfn.VSTACK(YES_Writing_ELA[Student Number], YES_Writing_FLA[Student Number]),0),MATCH(B$7,YES_Writing_ELA[#Headers],0)),IFERROR(INDEX(_xlfn.VSTACK(YES_Reading_ELA[#Data], YES_Reading_FLA[#Data]),MATCH($A264,_xlfn.VSTACK(YES_Reading_ELA[Student Number], YES_Reading_FLA[Student Number]),0),MATCH(B$7,YES_Reading_ELA[#Headers],0)),""))</f>
        <v/>
      </c>
      <c r="C264" s="137" t="str">
        <f>IFERROR(INDEX(_xlfn.VSTACK(YES_Writing_ELA[#Data], YES_Writing_FLA[#Data]),MATCH($A264,_xlfn.VSTACK(YES_Writing_ELA[Student Number], YES_Writing_FLA[Student Number]),0),MATCH(C$7,YES_Writing_ELA[#Headers],0)),IFERROR(INDEX(_xlfn.VSTACK(YES_Reading_ELA[#Data], YES_Reading_FLA[#Data]),MATCH($A264,_xlfn.VSTACK(YES_Reading_ELA[Student Number], YES_Reading_FLA[Student Number]),0),MATCH(C$7,YES_Reading_ELA[#Headers],0)),""))</f>
        <v/>
      </c>
      <c r="D264" s="138" t="str">
        <f>IFERROR(IF(IF(INDEX(_xlfn.VSTACK(YES_Writing_ELA[#Data],YES_Writing_FLA[#Data]),MATCH($A264,_xlfn.VSTACK(YES_Writing_ELA[Student Number],YES_Writing_FLA[Student Number]),0),MATCH(VLOOKUP(D$7,'Writing Logic'!$J$7:$K$11,2,FALSE)&amp;" - Per "&amp;VLOOKUP($C$4,'Writing Logic'!$G$8:$H$14,2,FALSE),YES_Writing_ELA[#Headers],0))=0,"",INDEX(_xlfn.VSTACK(YES_Writing_ELA[#Data],YES_Writing_FLA[#Data]),MATCH($A264,_xlfn.VSTACK(YES_Writing_ELA[Student Number],YES_Writing_FLA[Student Number]),0),MATCH(VLOOKUP(D$7,'Writing Logic'!$J$7:$K$11,2,FALSE)&amp;" - Per "&amp;VLOOKUP($C$4,'Writing Logic'!$G$8:$H$14,2,FALSE),YES_Writing_ELA[#Headers],0)))="INS",'Writing Logic'!$B$7,IF(INDEX(_xlfn.VSTACK(YES_Writing_ELA[#Data],YES_Writing_FLA[#Data]),MATCH($A264,_xlfn.VSTACK(YES_Writing_ELA[Student Number],YES_Writing_FLA[Student Number]),0),MATCH(VLOOKUP(D$7,'Writing Logic'!$J$7:$K$11,2,FALSE)&amp;" - Per "&amp;VLOOKUP($C$4,'Writing Logic'!$G$8:$H$14,2,FALSE),YES_Writing_ELA[#Headers],0))=0,"",INDEX(_xlfn.VSTACK(YES_Writing_ELA[#Data],YES_Writing_FLA[#Data]),MATCH($A264,_xlfn.VSTACK(YES_Writing_ELA[Student Number],YES_Writing_FLA[Student Number]),0),MATCH(VLOOKUP(D$7,'Writing Logic'!$J$7:$K$11,2,FALSE)&amp;" - Per "&amp;VLOOKUP($C$4,'Writing Logic'!$G$8:$H$14,2,FALSE),YES_Writing_ELA[#Headers],0)))),"")</f>
        <v/>
      </c>
      <c r="E264" s="138" t="str">
        <f>IFERROR(IF(IF(INDEX(_xlfn.VSTACK(YES_Writing_ELA[#Data],YES_Writing_FLA[#Data]),MATCH($A264,_xlfn.VSTACK(YES_Writing_ELA[Student Number],YES_Writing_FLA[Student Number]),0),MATCH(VLOOKUP(E$7,'Writing Logic'!$J$7:$K$11,2,FALSE)&amp;" - Per "&amp;VLOOKUP($C$4,'Writing Logic'!$G$8:$H$14,2,FALSE),YES_Writing_ELA[#Headers],0))=0,"",INDEX(_xlfn.VSTACK(YES_Writing_ELA[#Data],YES_Writing_FLA[#Data]),MATCH($A264,_xlfn.VSTACK(YES_Writing_ELA[Student Number],YES_Writing_FLA[Student Number]),0),MATCH(VLOOKUP(E$7,'Writing Logic'!$J$7:$K$11,2,FALSE)&amp;" - Per "&amp;VLOOKUP($C$4,'Writing Logic'!$G$8:$H$14,2,FALSE),YES_Writing_ELA[#Headers],0)))="INS",'Writing Logic'!$B$7,IF(INDEX(_xlfn.VSTACK(YES_Writing_ELA[#Data],YES_Writing_FLA[#Data]),MATCH($A264,_xlfn.VSTACK(YES_Writing_ELA[Student Number],YES_Writing_FLA[Student Number]),0),MATCH(VLOOKUP(E$7,'Writing Logic'!$J$7:$K$11,2,FALSE)&amp;" - Per "&amp;VLOOKUP($C$4,'Writing Logic'!$G$8:$H$14,2,FALSE),YES_Writing_ELA[#Headers],0))=0,"",INDEX(_xlfn.VSTACK(YES_Writing_ELA[#Data],YES_Writing_FLA[#Data]),MATCH($A264,_xlfn.VSTACK(YES_Writing_ELA[Student Number],YES_Writing_FLA[Student Number]),0),MATCH(VLOOKUP(E$7,'Writing Logic'!$J$7:$K$11,2,FALSE)&amp;" - Per "&amp;VLOOKUP($C$4,'Writing Logic'!$G$8:$H$14,2,FALSE),YES_Writing_ELA[#Headers],0)))),"")</f>
        <v/>
      </c>
      <c r="F264" s="138" t="str">
        <f>IFERROR(IF(IF(INDEX(_xlfn.VSTACK(YES_Writing_ELA[#Data],YES_Writing_FLA[#Data]),MATCH($A264,_xlfn.VSTACK(YES_Writing_ELA[Student Number],YES_Writing_FLA[Student Number]),0),MATCH(VLOOKUP(F$7,'Writing Logic'!$J$7:$K$11,2,FALSE)&amp;" - Per "&amp;VLOOKUP($C$4,'Writing Logic'!$G$8:$H$14,2,FALSE),YES_Writing_ELA[#Headers],0))=0,"",INDEX(_xlfn.VSTACK(YES_Writing_ELA[#Data],YES_Writing_FLA[#Data]),MATCH($A264,_xlfn.VSTACK(YES_Writing_ELA[Student Number],YES_Writing_FLA[Student Number]),0),MATCH(VLOOKUP(F$7,'Writing Logic'!$J$7:$K$11,2,FALSE)&amp;" - Per "&amp;VLOOKUP($C$4,'Writing Logic'!$G$8:$H$14,2,FALSE),YES_Writing_ELA[#Headers],0)))="INS",'Writing Logic'!$B$7,IF(INDEX(_xlfn.VSTACK(YES_Writing_ELA[#Data],YES_Writing_FLA[#Data]),MATCH($A264,_xlfn.VSTACK(YES_Writing_ELA[Student Number],YES_Writing_FLA[Student Number]),0),MATCH(VLOOKUP(F$7,'Writing Logic'!$J$7:$K$11,2,FALSE)&amp;" - Per "&amp;VLOOKUP($C$4,'Writing Logic'!$G$8:$H$14,2,FALSE),YES_Writing_ELA[#Headers],0))=0,"",INDEX(_xlfn.VSTACK(YES_Writing_ELA[#Data],YES_Writing_FLA[#Data]),MATCH($A264,_xlfn.VSTACK(YES_Writing_ELA[Student Number],YES_Writing_FLA[Student Number]),0),MATCH(VLOOKUP(F$7,'Writing Logic'!$J$7:$K$11,2,FALSE)&amp;" - Per "&amp;VLOOKUP($C$4,'Writing Logic'!$G$8:$H$14,2,FALSE),YES_Writing_ELA[#Headers],0)))),"")</f>
        <v/>
      </c>
      <c r="G264" s="138" t="str">
        <f>IFERROR(IF(IF(INDEX(_xlfn.VSTACK(YES_Writing_ELA[#Data],YES_Writing_FLA[#Data]),MATCH($A264,_xlfn.VSTACK(YES_Writing_ELA[Student Number],YES_Writing_FLA[Student Number]),0),MATCH(VLOOKUP(G$7,'Writing Logic'!$J$7:$K$11,2,FALSE)&amp;" - Per "&amp;VLOOKUP($C$4,'Writing Logic'!$G$8:$H$14,2,FALSE),YES_Writing_ELA[#Headers],0))=0,"",INDEX(_xlfn.VSTACK(YES_Writing_ELA[#Data],YES_Writing_FLA[#Data]),MATCH($A264,_xlfn.VSTACK(YES_Writing_ELA[Student Number],YES_Writing_FLA[Student Number]),0),MATCH(VLOOKUP(G$7,'Writing Logic'!$J$7:$K$11,2,FALSE)&amp;" - Per "&amp;VLOOKUP($C$4,'Writing Logic'!$G$8:$H$14,2,FALSE),YES_Writing_ELA[#Headers],0)))="INS",'Writing Logic'!$B$7,IF(INDEX(_xlfn.VSTACK(YES_Writing_ELA[#Data],YES_Writing_FLA[#Data]),MATCH($A264,_xlfn.VSTACK(YES_Writing_ELA[Student Number],YES_Writing_FLA[Student Number]),0),MATCH(VLOOKUP(G$7,'Writing Logic'!$J$7:$K$11,2,FALSE)&amp;" - Per "&amp;VLOOKUP($C$4,'Writing Logic'!$G$8:$H$14,2,FALSE),YES_Writing_ELA[#Headers],0))=0,"",INDEX(_xlfn.VSTACK(YES_Writing_ELA[#Data],YES_Writing_FLA[#Data]),MATCH($A264,_xlfn.VSTACK(YES_Writing_ELA[Student Number],YES_Writing_FLA[Student Number]),0),MATCH(VLOOKUP(G$7,'Writing Logic'!$J$7:$K$11,2,FALSE)&amp;" - Per "&amp;VLOOKUP($C$4,'Writing Logic'!$G$8:$H$14,2,FALSE),YES_Writing_ELA[#Headers],0)))),"")</f>
        <v/>
      </c>
      <c r="H264" s="223" t="str">
        <f>IFERROR(IF(IF(INDEX(_xlfn.VSTACK(YES_Writing_ELA[#Data],YES_Writing_FLA[#Data]),MATCH($A264,_xlfn.VSTACK(YES_Writing_ELA[Student Number],YES_Writing_FLA[Student Number]),0),MATCH(VLOOKUP(H$7,'Writing Logic'!$J$7:$K$11,2,FALSE)&amp;" - Per "&amp;VLOOKUP($C$4,'Writing Logic'!$G$8:$H$14,2,FALSE),YES_Writing_ELA[#Headers],0))=0,"",INDEX(_xlfn.VSTACK(YES_Writing_ELA[#Data],YES_Writing_FLA[#Data]),MATCH($A264,_xlfn.VSTACK(YES_Writing_ELA[Student Number],YES_Writing_FLA[Student Number]),0),MATCH(VLOOKUP(H$7,'Writing Logic'!$J$7:$K$11,2,FALSE)&amp;" - Per "&amp;VLOOKUP($C$4,'Writing Logic'!$G$8:$H$14,2,FALSE),YES_Writing_ELA[#Headers],0)))="INS",'Writing Logic'!$B$7,IF(INDEX(_xlfn.VSTACK(YES_Writing_ELA[#Data],YES_Writing_FLA[#Data]),MATCH($A264,_xlfn.VSTACK(YES_Writing_ELA[Student Number],YES_Writing_FLA[Student Number]),0),MATCH(VLOOKUP(H$7,'Writing Logic'!$J$7:$K$11,2,FALSE)&amp;" - Per "&amp;VLOOKUP($C$4,'Writing Logic'!$G$8:$H$14,2,FALSE),YES_Writing_ELA[#Headers],0))=0,"",INDEX(_xlfn.VSTACK(YES_Writing_ELA[#Data],YES_Writing_FLA[#Data]),MATCH($A264,_xlfn.VSTACK(YES_Writing_ELA[Student Number],YES_Writing_FLA[Student Number]),0),MATCH(VLOOKUP(H$7,'Writing Logic'!$J$7:$K$11,2,FALSE)&amp;" - Per "&amp;VLOOKUP($C$4,'Writing Logic'!$G$8:$H$14,2,FALSE),YES_Writing_ELA[#Headers],0)))),"")</f>
        <v/>
      </c>
      <c r="I264" s="224" t="str" cm="1">
        <f t="array" aca="1" ref="I264" ca="1">IFERROR(
IF($G$3="ELA",
IF(VLOOKUP($A264, YES_Reading_ELA[], COLUMN(INDIRECT("YES_Reading_ELA[Difference - Per "&amp;VLOOKUP($G$4, 'Reading Report Logic'!$A$2:$B$8, 2, FALSE)&amp;"]")), FALSE)="", "",
VLOOKUP($A264,YES_Reading_ELA[], COLUMN(INDIRECT("YES_Reading_ELA[Difference - Per "&amp;VLOOKUP($G$4,'Reading Report Logic'!$A$2:$B$8,2,FALSE)&amp;"]")), FALSE)),
IF($G$3="FLA",
IF(VLOOKUP($A264, YES_Reading_FLA[], COLUMN(INDIRECT("YES_Reading_FLA[Difference - Per "&amp;VLOOKUP($G$4,'Reading Report Logic'!$A$2:$B$8,2,FALSE)&amp;"]")),FALSE)="","",
VLOOKUP($A264,YES_Reading_FLA[],COLUMN(INDIRECT("YES_Reading_FLA[Difference - Per "&amp;VLOOKUP($G$4,'Reading Report Logic'!$A$2:$B$8,2,FALSE)&amp;"]")),FALSE)),
IF($G$3="Combined",
IFERROR(
IF(VLOOKUP($A264, YES_Reading_ELA[], COLUMN(INDIRECT("YES_Reading_ELA[Difference - Per "&amp;VLOOKUP($G$4, 'Reading Report Logic'!$A$2:$B$8,2,FALSE)&amp;"]")), FALSE)="", "",
VLOOKUP($A264,YES_Reading_ELA[],COLUMN(INDIRECT("YES_Reading_ELA[Difference - Per "&amp;VLOOKUP($G$4,'Reading Report Logic'!$A$2:$B$8,2,FALSE)&amp;"]")),FALSE)),
IF(VLOOKUP($A264, YES_Reading_FLA[], COLUMN(INDIRECT("YES_Reading_FLA[Difference - Per "&amp;VLOOKUP($G$4, 'Reading Report Logic'!$A$2:$B$8, 2, FALSE)&amp;"]")),FALSE)="", "", VLOOKUP($A264,YES_Reading_FLA[],COLUMN(INDIRECT("YES_Reading_FLA[Difference - Per "&amp;VLOOKUP($G$4, 'Reading Report Logic'!$A$2:$B$8, 2, FALSE)&amp;"]")),FALSE))),""))),"")</f>
        <v/>
      </c>
    </row>
    <row r="265" spans="1:9" x14ac:dyDescent="0.25">
      <c r="A265" s="137"/>
      <c r="B265" s="137" t="str">
        <f>IFERROR(INDEX(_xlfn.VSTACK(YES_Writing_ELA[#Data], YES_Writing_FLA[#Data]),MATCH($A265,_xlfn.VSTACK(YES_Writing_ELA[Student Number], YES_Writing_FLA[Student Number]),0),MATCH(B$7,YES_Writing_ELA[#Headers],0)),IFERROR(INDEX(_xlfn.VSTACK(YES_Reading_ELA[#Data], YES_Reading_FLA[#Data]),MATCH($A265,_xlfn.VSTACK(YES_Reading_ELA[Student Number], YES_Reading_FLA[Student Number]),0),MATCH(B$7,YES_Reading_ELA[#Headers],0)),""))</f>
        <v/>
      </c>
      <c r="C265" s="137" t="str">
        <f>IFERROR(INDEX(_xlfn.VSTACK(YES_Writing_ELA[#Data], YES_Writing_FLA[#Data]),MATCH($A265,_xlfn.VSTACK(YES_Writing_ELA[Student Number], YES_Writing_FLA[Student Number]),0),MATCH(C$7,YES_Writing_ELA[#Headers],0)),IFERROR(INDEX(_xlfn.VSTACK(YES_Reading_ELA[#Data], YES_Reading_FLA[#Data]),MATCH($A265,_xlfn.VSTACK(YES_Reading_ELA[Student Number], YES_Reading_FLA[Student Number]),0),MATCH(C$7,YES_Reading_ELA[#Headers],0)),""))</f>
        <v/>
      </c>
      <c r="D265" s="138" t="str">
        <f>IFERROR(IF(IF(INDEX(_xlfn.VSTACK(YES_Writing_ELA[#Data],YES_Writing_FLA[#Data]),MATCH($A265,_xlfn.VSTACK(YES_Writing_ELA[Student Number],YES_Writing_FLA[Student Number]),0),MATCH(VLOOKUP(D$7,'Writing Logic'!$J$7:$K$11,2,FALSE)&amp;" - Per "&amp;VLOOKUP($C$4,'Writing Logic'!$G$8:$H$14,2,FALSE),YES_Writing_ELA[#Headers],0))=0,"",INDEX(_xlfn.VSTACK(YES_Writing_ELA[#Data],YES_Writing_FLA[#Data]),MATCH($A265,_xlfn.VSTACK(YES_Writing_ELA[Student Number],YES_Writing_FLA[Student Number]),0),MATCH(VLOOKUP(D$7,'Writing Logic'!$J$7:$K$11,2,FALSE)&amp;" - Per "&amp;VLOOKUP($C$4,'Writing Logic'!$G$8:$H$14,2,FALSE),YES_Writing_ELA[#Headers],0)))="INS",'Writing Logic'!$B$7,IF(INDEX(_xlfn.VSTACK(YES_Writing_ELA[#Data],YES_Writing_FLA[#Data]),MATCH($A265,_xlfn.VSTACK(YES_Writing_ELA[Student Number],YES_Writing_FLA[Student Number]),0),MATCH(VLOOKUP(D$7,'Writing Logic'!$J$7:$K$11,2,FALSE)&amp;" - Per "&amp;VLOOKUP($C$4,'Writing Logic'!$G$8:$H$14,2,FALSE),YES_Writing_ELA[#Headers],0))=0,"",INDEX(_xlfn.VSTACK(YES_Writing_ELA[#Data],YES_Writing_FLA[#Data]),MATCH($A265,_xlfn.VSTACK(YES_Writing_ELA[Student Number],YES_Writing_FLA[Student Number]),0),MATCH(VLOOKUP(D$7,'Writing Logic'!$J$7:$K$11,2,FALSE)&amp;" - Per "&amp;VLOOKUP($C$4,'Writing Logic'!$G$8:$H$14,2,FALSE),YES_Writing_ELA[#Headers],0)))),"")</f>
        <v/>
      </c>
      <c r="E265" s="138" t="str">
        <f>IFERROR(IF(IF(INDEX(_xlfn.VSTACK(YES_Writing_ELA[#Data],YES_Writing_FLA[#Data]),MATCH($A265,_xlfn.VSTACK(YES_Writing_ELA[Student Number],YES_Writing_FLA[Student Number]),0),MATCH(VLOOKUP(E$7,'Writing Logic'!$J$7:$K$11,2,FALSE)&amp;" - Per "&amp;VLOOKUP($C$4,'Writing Logic'!$G$8:$H$14,2,FALSE),YES_Writing_ELA[#Headers],0))=0,"",INDEX(_xlfn.VSTACK(YES_Writing_ELA[#Data],YES_Writing_FLA[#Data]),MATCH($A265,_xlfn.VSTACK(YES_Writing_ELA[Student Number],YES_Writing_FLA[Student Number]),0),MATCH(VLOOKUP(E$7,'Writing Logic'!$J$7:$K$11,2,FALSE)&amp;" - Per "&amp;VLOOKUP($C$4,'Writing Logic'!$G$8:$H$14,2,FALSE),YES_Writing_ELA[#Headers],0)))="INS",'Writing Logic'!$B$7,IF(INDEX(_xlfn.VSTACK(YES_Writing_ELA[#Data],YES_Writing_FLA[#Data]),MATCH($A265,_xlfn.VSTACK(YES_Writing_ELA[Student Number],YES_Writing_FLA[Student Number]),0),MATCH(VLOOKUP(E$7,'Writing Logic'!$J$7:$K$11,2,FALSE)&amp;" - Per "&amp;VLOOKUP($C$4,'Writing Logic'!$G$8:$H$14,2,FALSE),YES_Writing_ELA[#Headers],0))=0,"",INDEX(_xlfn.VSTACK(YES_Writing_ELA[#Data],YES_Writing_FLA[#Data]),MATCH($A265,_xlfn.VSTACK(YES_Writing_ELA[Student Number],YES_Writing_FLA[Student Number]),0),MATCH(VLOOKUP(E$7,'Writing Logic'!$J$7:$K$11,2,FALSE)&amp;" - Per "&amp;VLOOKUP($C$4,'Writing Logic'!$G$8:$H$14,2,FALSE),YES_Writing_ELA[#Headers],0)))),"")</f>
        <v/>
      </c>
      <c r="F265" s="138" t="str">
        <f>IFERROR(IF(IF(INDEX(_xlfn.VSTACK(YES_Writing_ELA[#Data],YES_Writing_FLA[#Data]),MATCH($A265,_xlfn.VSTACK(YES_Writing_ELA[Student Number],YES_Writing_FLA[Student Number]),0),MATCH(VLOOKUP(F$7,'Writing Logic'!$J$7:$K$11,2,FALSE)&amp;" - Per "&amp;VLOOKUP($C$4,'Writing Logic'!$G$8:$H$14,2,FALSE),YES_Writing_ELA[#Headers],0))=0,"",INDEX(_xlfn.VSTACK(YES_Writing_ELA[#Data],YES_Writing_FLA[#Data]),MATCH($A265,_xlfn.VSTACK(YES_Writing_ELA[Student Number],YES_Writing_FLA[Student Number]),0),MATCH(VLOOKUP(F$7,'Writing Logic'!$J$7:$K$11,2,FALSE)&amp;" - Per "&amp;VLOOKUP($C$4,'Writing Logic'!$G$8:$H$14,2,FALSE),YES_Writing_ELA[#Headers],0)))="INS",'Writing Logic'!$B$7,IF(INDEX(_xlfn.VSTACK(YES_Writing_ELA[#Data],YES_Writing_FLA[#Data]),MATCH($A265,_xlfn.VSTACK(YES_Writing_ELA[Student Number],YES_Writing_FLA[Student Number]),0),MATCH(VLOOKUP(F$7,'Writing Logic'!$J$7:$K$11,2,FALSE)&amp;" - Per "&amp;VLOOKUP($C$4,'Writing Logic'!$G$8:$H$14,2,FALSE),YES_Writing_ELA[#Headers],0))=0,"",INDEX(_xlfn.VSTACK(YES_Writing_ELA[#Data],YES_Writing_FLA[#Data]),MATCH($A265,_xlfn.VSTACK(YES_Writing_ELA[Student Number],YES_Writing_FLA[Student Number]),0),MATCH(VLOOKUP(F$7,'Writing Logic'!$J$7:$K$11,2,FALSE)&amp;" - Per "&amp;VLOOKUP($C$4,'Writing Logic'!$G$8:$H$14,2,FALSE),YES_Writing_ELA[#Headers],0)))),"")</f>
        <v/>
      </c>
      <c r="G265" s="138" t="str">
        <f>IFERROR(IF(IF(INDEX(_xlfn.VSTACK(YES_Writing_ELA[#Data],YES_Writing_FLA[#Data]),MATCH($A265,_xlfn.VSTACK(YES_Writing_ELA[Student Number],YES_Writing_FLA[Student Number]),0),MATCH(VLOOKUP(G$7,'Writing Logic'!$J$7:$K$11,2,FALSE)&amp;" - Per "&amp;VLOOKUP($C$4,'Writing Logic'!$G$8:$H$14,2,FALSE),YES_Writing_ELA[#Headers],0))=0,"",INDEX(_xlfn.VSTACK(YES_Writing_ELA[#Data],YES_Writing_FLA[#Data]),MATCH($A265,_xlfn.VSTACK(YES_Writing_ELA[Student Number],YES_Writing_FLA[Student Number]),0),MATCH(VLOOKUP(G$7,'Writing Logic'!$J$7:$K$11,2,FALSE)&amp;" - Per "&amp;VLOOKUP($C$4,'Writing Logic'!$G$8:$H$14,2,FALSE),YES_Writing_ELA[#Headers],0)))="INS",'Writing Logic'!$B$7,IF(INDEX(_xlfn.VSTACK(YES_Writing_ELA[#Data],YES_Writing_FLA[#Data]),MATCH($A265,_xlfn.VSTACK(YES_Writing_ELA[Student Number],YES_Writing_FLA[Student Number]),0),MATCH(VLOOKUP(G$7,'Writing Logic'!$J$7:$K$11,2,FALSE)&amp;" - Per "&amp;VLOOKUP($C$4,'Writing Logic'!$G$8:$H$14,2,FALSE),YES_Writing_ELA[#Headers],0))=0,"",INDEX(_xlfn.VSTACK(YES_Writing_ELA[#Data],YES_Writing_FLA[#Data]),MATCH($A265,_xlfn.VSTACK(YES_Writing_ELA[Student Number],YES_Writing_FLA[Student Number]),0),MATCH(VLOOKUP(G$7,'Writing Logic'!$J$7:$K$11,2,FALSE)&amp;" - Per "&amp;VLOOKUP($C$4,'Writing Logic'!$G$8:$H$14,2,FALSE),YES_Writing_ELA[#Headers],0)))),"")</f>
        <v/>
      </c>
      <c r="H265" s="223" t="str">
        <f>IFERROR(IF(IF(INDEX(_xlfn.VSTACK(YES_Writing_ELA[#Data],YES_Writing_FLA[#Data]),MATCH($A265,_xlfn.VSTACK(YES_Writing_ELA[Student Number],YES_Writing_FLA[Student Number]),0),MATCH(VLOOKUP(H$7,'Writing Logic'!$J$7:$K$11,2,FALSE)&amp;" - Per "&amp;VLOOKUP($C$4,'Writing Logic'!$G$8:$H$14,2,FALSE),YES_Writing_ELA[#Headers],0))=0,"",INDEX(_xlfn.VSTACK(YES_Writing_ELA[#Data],YES_Writing_FLA[#Data]),MATCH($A265,_xlfn.VSTACK(YES_Writing_ELA[Student Number],YES_Writing_FLA[Student Number]),0),MATCH(VLOOKUP(H$7,'Writing Logic'!$J$7:$K$11,2,FALSE)&amp;" - Per "&amp;VLOOKUP($C$4,'Writing Logic'!$G$8:$H$14,2,FALSE),YES_Writing_ELA[#Headers],0)))="INS",'Writing Logic'!$B$7,IF(INDEX(_xlfn.VSTACK(YES_Writing_ELA[#Data],YES_Writing_FLA[#Data]),MATCH($A265,_xlfn.VSTACK(YES_Writing_ELA[Student Number],YES_Writing_FLA[Student Number]),0),MATCH(VLOOKUP(H$7,'Writing Logic'!$J$7:$K$11,2,FALSE)&amp;" - Per "&amp;VLOOKUP($C$4,'Writing Logic'!$G$8:$H$14,2,FALSE),YES_Writing_ELA[#Headers],0))=0,"",INDEX(_xlfn.VSTACK(YES_Writing_ELA[#Data],YES_Writing_FLA[#Data]),MATCH($A265,_xlfn.VSTACK(YES_Writing_ELA[Student Number],YES_Writing_FLA[Student Number]),0),MATCH(VLOOKUP(H$7,'Writing Logic'!$J$7:$K$11,2,FALSE)&amp;" - Per "&amp;VLOOKUP($C$4,'Writing Logic'!$G$8:$H$14,2,FALSE),YES_Writing_ELA[#Headers],0)))),"")</f>
        <v/>
      </c>
      <c r="I265" s="224" t="str" cm="1">
        <f t="array" aca="1" ref="I265" ca="1">IFERROR(
IF($G$3="ELA",
IF(VLOOKUP($A265, YES_Reading_ELA[], COLUMN(INDIRECT("YES_Reading_ELA[Difference - Per "&amp;VLOOKUP($G$4, 'Reading Report Logic'!$A$2:$B$8, 2, FALSE)&amp;"]")), FALSE)="", "",
VLOOKUP($A265,YES_Reading_ELA[], COLUMN(INDIRECT("YES_Reading_ELA[Difference - Per "&amp;VLOOKUP($G$4,'Reading Report Logic'!$A$2:$B$8,2,FALSE)&amp;"]")), FALSE)),
IF($G$3="FLA",
IF(VLOOKUP($A265, YES_Reading_FLA[], COLUMN(INDIRECT("YES_Reading_FLA[Difference - Per "&amp;VLOOKUP($G$4,'Reading Report Logic'!$A$2:$B$8,2,FALSE)&amp;"]")),FALSE)="","",
VLOOKUP($A265,YES_Reading_FLA[],COLUMN(INDIRECT("YES_Reading_FLA[Difference - Per "&amp;VLOOKUP($G$4,'Reading Report Logic'!$A$2:$B$8,2,FALSE)&amp;"]")),FALSE)),
IF($G$3="Combined",
IFERROR(
IF(VLOOKUP($A265, YES_Reading_ELA[], COLUMN(INDIRECT("YES_Reading_ELA[Difference - Per "&amp;VLOOKUP($G$4, 'Reading Report Logic'!$A$2:$B$8,2,FALSE)&amp;"]")), FALSE)="", "",
VLOOKUP($A265,YES_Reading_ELA[],COLUMN(INDIRECT("YES_Reading_ELA[Difference - Per "&amp;VLOOKUP($G$4,'Reading Report Logic'!$A$2:$B$8,2,FALSE)&amp;"]")),FALSE)),
IF(VLOOKUP($A265, YES_Reading_FLA[], COLUMN(INDIRECT("YES_Reading_FLA[Difference - Per "&amp;VLOOKUP($G$4, 'Reading Report Logic'!$A$2:$B$8, 2, FALSE)&amp;"]")),FALSE)="", "", VLOOKUP($A265,YES_Reading_FLA[],COLUMN(INDIRECT("YES_Reading_FLA[Difference - Per "&amp;VLOOKUP($G$4, 'Reading Report Logic'!$A$2:$B$8, 2, FALSE)&amp;"]")),FALSE))),""))),"")</f>
        <v/>
      </c>
    </row>
    <row r="266" spans="1:9" x14ac:dyDescent="0.25">
      <c r="A266" s="137"/>
      <c r="B266" s="137" t="str">
        <f>IFERROR(INDEX(_xlfn.VSTACK(YES_Writing_ELA[#Data], YES_Writing_FLA[#Data]),MATCH($A266,_xlfn.VSTACK(YES_Writing_ELA[Student Number], YES_Writing_FLA[Student Number]),0),MATCH(B$7,YES_Writing_ELA[#Headers],0)),IFERROR(INDEX(_xlfn.VSTACK(YES_Reading_ELA[#Data], YES_Reading_FLA[#Data]),MATCH($A266,_xlfn.VSTACK(YES_Reading_ELA[Student Number], YES_Reading_FLA[Student Number]),0),MATCH(B$7,YES_Reading_ELA[#Headers],0)),""))</f>
        <v/>
      </c>
      <c r="C266" s="137" t="str">
        <f>IFERROR(INDEX(_xlfn.VSTACK(YES_Writing_ELA[#Data], YES_Writing_FLA[#Data]),MATCH($A266,_xlfn.VSTACK(YES_Writing_ELA[Student Number], YES_Writing_FLA[Student Number]),0),MATCH(C$7,YES_Writing_ELA[#Headers],0)),IFERROR(INDEX(_xlfn.VSTACK(YES_Reading_ELA[#Data], YES_Reading_FLA[#Data]),MATCH($A266,_xlfn.VSTACK(YES_Reading_ELA[Student Number], YES_Reading_FLA[Student Number]),0),MATCH(C$7,YES_Reading_ELA[#Headers],0)),""))</f>
        <v/>
      </c>
      <c r="D266" s="138" t="str">
        <f>IFERROR(IF(IF(INDEX(_xlfn.VSTACK(YES_Writing_ELA[#Data],YES_Writing_FLA[#Data]),MATCH($A266,_xlfn.VSTACK(YES_Writing_ELA[Student Number],YES_Writing_FLA[Student Number]),0),MATCH(VLOOKUP(D$7,'Writing Logic'!$J$7:$K$11,2,FALSE)&amp;" - Per "&amp;VLOOKUP($C$4,'Writing Logic'!$G$8:$H$14,2,FALSE),YES_Writing_ELA[#Headers],0))=0,"",INDEX(_xlfn.VSTACK(YES_Writing_ELA[#Data],YES_Writing_FLA[#Data]),MATCH($A266,_xlfn.VSTACK(YES_Writing_ELA[Student Number],YES_Writing_FLA[Student Number]),0),MATCH(VLOOKUP(D$7,'Writing Logic'!$J$7:$K$11,2,FALSE)&amp;" - Per "&amp;VLOOKUP($C$4,'Writing Logic'!$G$8:$H$14,2,FALSE),YES_Writing_ELA[#Headers],0)))="INS",'Writing Logic'!$B$7,IF(INDEX(_xlfn.VSTACK(YES_Writing_ELA[#Data],YES_Writing_FLA[#Data]),MATCH($A266,_xlfn.VSTACK(YES_Writing_ELA[Student Number],YES_Writing_FLA[Student Number]),0),MATCH(VLOOKUP(D$7,'Writing Logic'!$J$7:$K$11,2,FALSE)&amp;" - Per "&amp;VLOOKUP($C$4,'Writing Logic'!$G$8:$H$14,2,FALSE),YES_Writing_ELA[#Headers],0))=0,"",INDEX(_xlfn.VSTACK(YES_Writing_ELA[#Data],YES_Writing_FLA[#Data]),MATCH($A266,_xlfn.VSTACK(YES_Writing_ELA[Student Number],YES_Writing_FLA[Student Number]),0),MATCH(VLOOKUP(D$7,'Writing Logic'!$J$7:$K$11,2,FALSE)&amp;" - Per "&amp;VLOOKUP($C$4,'Writing Logic'!$G$8:$H$14,2,FALSE),YES_Writing_ELA[#Headers],0)))),"")</f>
        <v/>
      </c>
      <c r="E266" s="138" t="str">
        <f>IFERROR(IF(IF(INDEX(_xlfn.VSTACK(YES_Writing_ELA[#Data],YES_Writing_FLA[#Data]),MATCH($A266,_xlfn.VSTACK(YES_Writing_ELA[Student Number],YES_Writing_FLA[Student Number]),0),MATCH(VLOOKUP(E$7,'Writing Logic'!$J$7:$K$11,2,FALSE)&amp;" - Per "&amp;VLOOKUP($C$4,'Writing Logic'!$G$8:$H$14,2,FALSE),YES_Writing_ELA[#Headers],0))=0,"",INDEX(_xlfn.VSTACK(YES_Writing_ELA[#Data],YES_Writing_FLA[#Data]),MATCH($A266,_xlfn.VSTACK(YES_Writing_ELA[Student Number],YES_Writing_FLA[Student Number]),0),MATCH(VLOOKUP(E$7,'Writing Logic'!$J$7:$K$11,2,FALSE)&amp;" - Per "&amp;VLOOKUP($C$4,'Writing Logic'!$G$8:$H$14,2,FALSE),YES_Writing_ELA[#Headers],0)))="INS",'Writing Logic'!$B$7,IF(INDEX(_xlfn.VSTACK(YES_Writing_ELA[#Data],YES_Writing_FLA[#Data]),MATCH($A266,_xlfn.VSTACK(YES_Writing_ELA[Student Number],YES_Writing_FLA[Student Number]),0),MATCH(VLOOKUP(E$7,'Writing Logic'!$J$7:$K$11,2,FALSE)&amp;" - Per "&amp;VLOOKUP($C$4,'Writing Logic'!$G$8:$H$14,2,FALSE),YES_Writing_ELA[#Headers],0))=0,"",INDEX(_xlfn.VSTACK(YES_Writing_ELA[#Data],YES_Writing_FLA[#Data]),MATCH($A266,_xlfn.VSTACK(YES_Writing_ELA[Student Number],YES_Writing_FLA[Student Number]),0),MATCH(VLOOKUP(E$7,'Writing Logic'!$J$7:$K$11,2,FALSE)&amp;" - Per "&amp;VLOOKUP($C$4,'Writing Logic'!$G$8:$H$14,2,FALSE),YES_Writing_ELA[#Headers],0)))),"")</f>
        <v/>
      </c>
      <c r="F266" s="138" t="str">
        <f>IFERROR(IF(IF(INDEX(_xlfn.VSTACK(YES_Writing_ELA[#Data],YES_Writing_FLA[#Data]),MATCH($A266,_xlfn.VSTACK(YES_Writing_ELA[Student Number],YES_Writing_FLA[Student Number]),0),MATCH(VLOOKUP(F$7,'Writing Logic'!$J$7:$K$11,2,FALSE)&amp;" - Per "&amp;VLOOKUP($C$4,'Writing Logic'!$G$8:$H$14,2,FALSE),YES_Writing_ELA[#Headers],0))=0,"",INDEX(_xlfn.VSTACK(YES_Writing_ELA[#Data],YES_Writing_FLA[#Data]),MATCH($A266,_xlfn.VSTACK(YES_Writing_ELA[Student Number],YES_Writing_FLA[Student Number]),0),MATCH(VLOOKUP(F$7,'Writing Logic'!$J$7:$K$11,2,FALSE)&amp;" - Per "&amp;VLOOKUP($C$4,'Writing Logic'!$G$8:$H$14,2,FALSE),YES_Writing_ELA[#Headers],0)))="INS",'Writing Logic'!$B$7,IF(INDEX(_xlfn.VSTACK(YES_Writing_ELA[#Data],YES_Writing_FLA[#Data]),MATCH($A266,_xlfn.VSTACK(YES_Writing_ELA[Student Number],YES_Writing_FLA[Student Number]),0),MATCH(VLOOKUP(F$7,'Writing Logic'!$J$7:$K$11,2,FALSE)&amp;" - Per "&amp;VLOOKUP($C$4,'Writing Logic'!$G$8:$H$14,2,FALSE),YES_Writing_ELA[#Headers],0))=0,"",INDEX(_xlfn.VSTACK(YES_Writing_ELA[#Data],YES_Writing_FLA[#Data]),MATCH($A266,_xlfn.VSTACK(YES_Writing_ELA[Student Number],YES_Writing_FLA[Student Number]),0),MATCH(VLOOKUP(F$7,'Writing Logic'!$J$7:$K$11,2,FALSE)&amp;" - Per "&amp;VLOOKUP($C$4,'Writing Logic'!$G$8:$H$14,2,FALSE),YES_Writing_ELA[#Headers],0)))),"")</f>
        <v/>
      </c>
      <c r="G266" s="138" t="str">
        <f>IFERROR(IF(IF(INDEX(_xlfn.VSTACK(YES_Writing_ELA[#Data],YES_Writing_FLA[#Data]),MATCH($A266,_xlfn.VSTACK(YES_Writing_ELA[Student Number],YES_Writing_FLA[Student Number]),0),MATCH(VLOOKUP(G$7,'Writing Logic'!$J$7:$K$11,2,FALSE)&amp;" - Per "&amp;VLOOKUP($C$4,'Writing Logic'!$G$8:$H$14,2,FALSE),YES_Writing_ELA[#Headers],0))=0,"",INDEX(_xlfn.VSTACK(YES_Writing_ELA[#Data],YES_Writing_FLA[#Data]),MATCH($A266,_xlfn.VSTACK(YES_Writing_ELA[Student Number],YES_Writing_FLA[Student Number]),0),MATCH(VLOOKUP(G$7,'Writing Logic'!$J$7:$K$11,2,FALSE)&amp;" - Per "&amp;VLOOKUP($C$4,'Writing Logic'!$G$8:$H$14,2,FALSE),YES_Writing_ELA[#Headers],0)))="INS",'Writing Logic'!$B$7,IF(INDEX(_xlfn.VSTACK(YES_Writing_ELA[#Data],YES_Writing_FLA[#Data]),MATCH($A266,_xlfn.VSTACK(YES_Writing_ELA[Student Number],YES_Writing_FLA[Student Number]),0),MATCH(VLOOKUP(G$7,'Writing Logic'!$J$7:$K$11,2,FALSE)&amp;" - Per "&amp;VLOOKUP($C$4,'Writing Logic'!$G$8:$H$14,2,FALSE),YES_Writing_ELA[#Headers],0))=0,"",INDEX(_xlfn.VSTACK(YES_Writing_ELA[#Data],YES_Writing_FLA[#Data]),MATCH($A266,_xlfn.VSTACK(YES_Writing_ELA[Student Number],YES_Writing_FLA[Student Number]),0),MATCH(VLOOKUP(G$7,'Writing Logic'!$J$7:$K$11,2,FALSE)&amp;" - Per "&amp;VLOOKUP($C$4,'Writing Logic'!$G$8:$H$14,2,FALSE),YES_Writing_ELA[#Headers],0)))),"")</f>
        <v/>
      </c>
      <c r="H266" s="223" t="str">
        <f>IFERROR(IF(IF(INDEX(_xlfn.VSTACK(YES_Writing_ELA[#Data],YES_Writing_FLA[#Data]),MATCH($A266,_xlfn.VSTACK(YES_Writing_ELA[Student Number],YES_Writing_FLA[Student Number]),0),MATCH(VLOOKUP(H$7,'Writing Logic'!$J$7:$K$11,2,FALSE)&amp;" - Per "&amp;VLOOKUP($C$4,'Writing Logic'!$G$8:$H$14,2,FALSE),YES_Writing_ELA[#Headers],0))=0,"",INDEX(_xlfn.VSTACK(YES_Writing_ELA[#Data],YES_Writing_FLA[#Data]),MATCH($A266,_xlfn.VSTACK(YES_Writing_ELA[Student Number],YES_Writing_FLA[Student Number]),0),MATCH(VLOOKUP(H$7,'Writing Logic'!$J$7:$K$11,2,FALSE)&amp;" - Per "&amp;VLOOKUP($C$4,'Writing Logic'!$G$8:$H$14,2,FALSE),YES_Writing_ELA[#Headers],0)))="INS",'Writing Logic'!$B$7,IF(INDEX(_xlfn.VSTACK(YES_Writing_ELA[#Data],YES_Writing_FLA[#Data]),MATCH($A266,_xlfn.VSTACK(YES_Writing_ELA[Student Number],YES_Writing_FLA[Student Number]),0),MATCH(VLOOKUP(H$7,'Writing Logic'!$J$7:$K$11,2,FALSE)&amp;" - Per "&amp;VLOOKUP($C$4,'Writing Logic'!$G$8:$H$14,2,FALSE),YES_Writing_ELA[#Headers],0))=0,"",INDEX(_xlfn.VSTACK(YES_Writing_ELA[#Data],YES_Writing_FLA[#Data]),MATCH($A266,_xlfn.VSTACK(YES_Writing_ELA[Student Number],YES_Writing_FLA[Student Number]),0),MATCH(VLOOKUP(H$7,'Writing Logic'!$J$7:$K$11,2,FALSE)&amp;" - Per "&amp;VLOOKUP($C$4,'Writing Logic'!$G$8:$H$14,2,FALSE),YES_Writing_ELA[#Headers],0)))),"")</f>
        <v/>
      </c>
      <c r="I266" s="224" t="str" cm="1">
        <f t="array" aca="1" ref="I266" ca="1">IFERROR(
IF($G$3="ELA",
IF(VLOOKUP($A266, YES_Reading_ELA[], COLUMN(INDIRECT("YES_Reading_ELA[Difference - Per "&amp;VLOOKUP($G$4, 'Reading Report Logic'!$A$2:$B$8, 2, FALSE)&amp;"]")), FALSE)="", "",
VLOOKUP($A266,YES_Reading_ELA[], COLUMN(INDIRECT("YES_Reading_ELA[Difference - Per "&amp;VLOOKUP($G$4,'Reading Report Logic'!$A$2:$B$8,2,FALSE)&amp;"]")), FALSE)),
IF($G$3="FLA",
IF(VLOOKUP($A266, YES_Reading_FLA[], COLUMN(INDIRECT("YES_Reading_FLA[Difference - Per "&amp;VLOOKUP($G$4,'Reading Report Logic'!$A$2:$B$8,2,FALSE)&amp;"]")),FALSE)="","",
VLOOKUP($A266,YES_Reading_FLA[],COLUMN(INDIRECT("YES_Reading_FLA[Difference - Per "&amp;VLOOKUP($G$4,'Reading Report Logic'!$A$2:$B$8,2,FALSE)&amp;"]")),FALSE)),
IF($G$3="Combined",
IFERROR(
IF(VLOOKUP($A266, YES_Reading_ELA[], COLUMN(INDIRECT("YES_Reading_ELA[Difference - Per "&amp;VLOOKUP($G$4, 'Reading Report Logic'!$A$2:$B$8,2,FALSE)&amp;"]")), FALSE)="", "",
VLOOKUP($A266,YES_Reading_ELA[],COLUMN(INDIRECT("YES_Reading_ELA[Difference - Per "&amp;VLOOKUP($G$4,'Reading Report Logic'!$A$2:$B$8,2,FALSE)&amp;"]")),FALSE)),
IF(VLOOKUP($A266, YES_Reading_FLA[], COLUMN(INDIRECT("YES_Reading_FLA[Difference - Per "&amp;VLOOKUP($G$4, 'Reading Report Logic'!$A$2:$B$8, 2, FALSE)&amp;"]")),FALSE)="", "", VLOOKUP($A266,YES_Reading_FLA[],COLUMN(INDIRECT("YES_Reading_FLA[Difference - Per "&amp;VLOOKUP($G$4, 'Reading Report Logic'!$A$2:$B$8, 2, FALSE)&amp;"]")),FALSE))),""))),"")</f>
        <v/>
      </c>
    </row>
    <row r="267" spans="1:9" x14ac:dyDescent="0.25">
      <c r="A267" s="137"/>
      <c r="B267" s="137" t="str">
        <f>IFERROR(INDEX(_xlfn.VSTACK(YES_Writing_ELA[#Data], YES_Writing_FLA[#Data]),MATCH($A267,_xlfn.VSTACK(YES_Writing_ELA[Student Number], YES_Writing_FLA[Student Number]),0),MATCH(B$7,YES_Writing_ELA[#Headers],0)),IFERROR(INDEX(_xlfn.VSTACK(YES_Reading_ELA[#Data], YES_Reading_FLA[#Data]),MATCH($A267,_xlfn.VSTACK(YES_Reading_ELA[Student Number], YES_Reading_FLA[Student Number]),0),MATCH(B$7,YES_Reading_ELA[#Headers],0)),""))</f>
        <v/>
      </c>
      <c r="C267" s="137" t="str">
        <f>IFERROR(INDEX(_xlfn.VSTACK(YES_Writing_ELA[#Data], YES_Writing_FLA[#Data]),MATCH($A267,_xlfn.VSTACK(YES_Writing_ELA[Student Number], YES_Writing_FLA[Student Number]),0),MATCH(C$7,YES_Writing_ELA[#Headers],0)),IFERROR(INDEX(_xlfn.VSTACK(YES_Reading_ELA[#Data], YES_Reading_FLA[#Data]),MATCH($A267,_xlfn.VSTACK(YES_Reading_ELA[Student Number], YES_Reading_FLA[Student Number]),0),MATCH(C$7,YES_Reading_ELA[#Headers],0)),""))</f>
        <v/>
      </c>
      <c r="D267" s="138" t="str">
        <f>IFERROR(IF(IF(INDEX(_xlfn.VSTACK(YES_Writing_ELA[#Data],YES_Writing_FLA[#Data]),MATCH($A267,_xlfn.VSTACK(YES_Writing_ELA[Student Number],YES_Writing_FLA[Student Number]),0),MATCH(VLOOKUP(D$7,'Writing Logic'!$J$7:$K$11,2,FALSE)&amp;" - Per "&amp;VLOOKUP($C$4,'Writing Logic'!$G$8:$H$14,2,FALSE),YES_Writing_ELA[#Headers],0))=0,"",INDEX(_xlfn.VSTACK(YES_Writing_ELA[#Data],YES_Writing_FLA[#Data]),MATCH($A267,_xlfn.VSTACK(YES_Writing_ELA[Student Number],YES_Writing_FLA[Student Number]),0),MATCH(VLOOKUP(D$7,'Writing Logic'!$J$7:$K$11,2,FALSE)&amp;" - Per "&amp;VLOOKUP($C$4,'Writing Logic'!$G$8:$H$14,2,FALSE),YES_Writing_ELA[#Headers],0)))="INS",'Writing Logic'!$B$7,IF(INDEX(_xlfn.VSTACK(YES_Writing_ELA[#Data],YES_Writing_FLA[#Data]),MATCH($A267,_xlfn.VSTACK(YES_Writing_ELA[Student Number],YES_Writing_FLA[Student Number]),0),MATCH(VLOOKUP(D$7,'Writing Logic'!$J$7:$K$11,2,FALSE)&amp;" - Per "&amp;VLOOKUP($C$4,'Writing Logic'!$G$8:$H$14,2,FALSE),YES_Writing_ELA[#Headers],0))=0,"",INDEX(_xlfn.VSTACK(YES_Writing_ELA[#Data],YES_Writing_FLA[#Data]),MATCH($A267,_xlfn.VSTACK(YES_Writing_ELA[Student Number],YES_Writing_FLA[Student Number]),0),MATCH(VLOOKUP(D$7,'Writing Logic'!$J$7:$K$11,2,FALSE)&amp;" - Per "&amp;VLOOKUP($C$4,'Writing Logic'!$G$8:$H$14,2,FALSE),YES_Writing_ELA[#Headers],0)))),"")</f>
        <v/>
      </c>
      <c r="E267" s="138" t="str">
        <f>IFERROR(IF(IF(INDEX(_xlfn.VSTACK(YES_Writing_ELA[#Data],YES_Writing_FLA[#Data]),MATCH($A267,_xlfn.VSTACK(YES_Writing_ELA[Student Number],YES_Writing_FLA[Student Number]),0),MATCH(VLOOKUP(E$7,'Writing Logic'!$J$7:$K$11,2,FALSE)&amp;" - Per "&amp;VLOOKUP($C$4,'Writing Logic'!$G$8:$H$14,2,FALSE),YES_Writing_ELA[#Headers],0))=0,"",INDEX(_xlfn.VSTACK(YES_Writing_ELA[#Data],YES_Writing_FLA[#Data]),MATCH($A267,_xlfn.VSTACK(YES_Writing_ELA[Student Number],YES_Writing_FLA[Student Number]),0),MATCH(VLOOKUP(E$7,'Writing Logic'!$J$7:$K$11,2,FALSE)&amp;" - Per "&amp;VLOOKUP($C$4,'Writing Logic'!$G$8:$H$14,2,FALSE),YES_Writing_ELA[#Headers],0)))="INS",'Writing Logic'!$B$7,IF(INDEX(_xlfn.VSTACK(YES_Writing_ELA[#Data],YES_Writing_FLA[#Data]),MATCH($A267,_xlfn.VSTACK(YES_Writing_ELA[Student Number],YES_Writing_FLA[Student Number]),0),MATCH(VLOOKUP(E$7,'Writing Logic'!$J$7:$K$11,2,FALSE)&amp;" - Per "&amp;VLOOKUP($C$4,'Writing Logic'!$G$8:$H$14,2,FALSE),YES_Writing_ELA[#Headers],0))=0,"",INDEX(_xlfn.VSTACK(YES_Writing_ELA[#Data],YES_Writing_FLA[#Data]),MATCH($A267,_xlfn.VSTACK(YES_Writing_ELA[Student Number],YES_Writing_FLA[Student Number]),0),MATCH(VLOOKUP(E$7,'Writing Logic'!$J$7:$K$11,2,FALSE)&amp;" - Per "&amp;VLOOKUP($C$4,'Writing Logic'!$G$8:$H$14,2,FALSE),YES_Writing_ELA[#Headers],0)))),"")</f>
        <v/>
      </c>
      <c r="F267" s="138" t="str">
        <f>IFERROR(IF(IF(INDEX(_xlfn.VSTACK(YES_Writing_ELA[#Data],YES_Writing_FLA[#Data]),MATCH($A267,_xlfn.VSTACK(YES_Writing_ELA[Student Number],YES_Writing_FLA[Student Number]),0),MATCH(VLOOKUP(F$7,'Writing Logic'!$J$7:$K$11,2,FALSE)&amp;" - Per "&amp;VLOOKUP($C$4,'Writing Logic'!$G$8:$H$14,2,FALSE),YES_Writing_ELA[#Headers],0))=0,"",INDEX(_xlfn.VSTACK(YES_Writing_ELA[#Data],YES_Writing_FLA[#Data]),MATCH($A267,_xlfn.VSTACK(YES_Writing_ELA[Student Number],YES_Writing_FLA[Student Number]),0),MATCH(VLOOKUP(F$7,'Writing Logic'!$J$7:$K$11,2,FALSE)&amp;" - Per "&amp;VLOOKUP($C$4,'Writing Logic'!$G$8:$H$14,2,FALSE),YES_Writing_ELA[#Headers],0)))="INS",'Writing Logic'!$B$7,IF(INDEX(_xlfn.VSTACK(YES_Writing_ELA[#Data],YES_Writing_FLA[#Data]),MATCH($A267,_xlfn.VSTACK(YES_Writing_ELA[Student Number],YES_Writing_FLA[Student Number]),0),MATCH(VLOOKUP(F$7,'Writing Logic'!$J$7:$K$11,2,FALSE)&amp;" - Per "&amp;VLOOKUP($C$4,'Writing Logic'!$G$8:$H$14,2,FALSE),YES_Writing_ELA[#Headers],0))=0,"",INDEX(_xlfn.VSTACK(YES_Writing_ELA[#Data],YES_Writing_FLA[#Data]),MATCH($A267,_xlfn.VSTACK(YES_Writing_ELA[Student Number],YES_Writing_FLA[Student Number]),0),MATCH(VLOOKUP(F$7,'Writing Logic'!$J$7:$K$11,2,FALSE)&amp;" - Per "&amp;VLOOKUP($C$4,'Writing Logic'!$G$8:$H$14,2,FALSE),YES_Writing_ELA[#Headers],0)))),"")</f>
        <v/>
      </c>
      <c r="G267" s="138" t="str">
        <f>IFERROR(IF(IF(INDEX(_xlfn.VSTACK(YES_Writing_ELA[#Data],YES_Writing_FLA[#Data]),MATCH($A267,_xlfn.VSTACK(YES_Writing_ELA[Student Number],YES_Writing_FLA[Student Number]),0),MATCH(VLOOKUP(G$7,'Writing Logic'!$J$7:$K$11,2,FALSE)&amp;" - Per "&amp;VLOOKUP($C$4,'Writing Logic'!$G$8:$H$14,2,FALSE),YES_Writing_ELA[#Headers],0))=0,"",INDEX(_xlfn.VSTACK(YES_Writing_ELA[#Data],YES_Writing_FLA[#Data]),MATCH($A267,_xlfn.VSTACK(YES_Writing_ELA[Student Number],YES_Writing_FLA[Student Number]),0),MATCH(VLOOKUP(G$7,'Writing Logic'!$J$7:$K$11,2,FALSE)&amp;" - Per "&amp;VLOOKUP($C$4,'Writing Logic'!$G$8:$H$14,2,FALSE),YES_Writing_ELA[#Headers],0)))="INS",'Writing Logic'!$B$7,IF(INDEX(_xlfn.VSTACK(YES_Writing_ELA[#Data],YES_Writing_FLA[#Data]),MATCH($A267,_xlfn.VSTACK(YES_Writing_ELA[Student Number],YES_Writing_FLA[Student Number]),0),MATCH(VLOOKUP(G$7,'Writing Logic'!$J$7:$K$11,2,FALSE)&amp;" - Per "&amp;VLOOKUP($C$4,'Writing Logic'!$G$8:$H$14,2,FALSE),YES_Writing_ELA[#Headers],0))=0,"",INDEX(_xlfn.VSTACK(YES_Writing_ELA[#Data],YES_Writing_FLA[#Data]),MATCH($A267,_xlfn.VSTACK(YES_Writing_ELA[Student Number],YES_Writing_FLA[Student Number]),0),MATCH(VLOOKUP(G$7,'Writing Logic'!$J$7:$K$11,2,FALSE)&amp;" - Per "&amp;VLOOKUP($C$4,'Writing Logic'!$G$8:$H$14,2,FALSE),YES_Writing_ELA[#Headers],0)))),"")</f>
        <v/>
      </c>
      <c r="H267" s="223" t="str">
        <f>IFERROR(IF(IF(INDEX(_xlfn.VSTACK(YES_Writing_ELA[#Data],YES_Writing_FLA[#Data]),MATCH($A267,_xlfn.VSTACK(YES_Writing_ELA[Student Number],YES_Writing_FLA[Student Number]),0),MATCH(VLOOKUP(H$7,'Writing Logic'!$J$7:$K$11,2,FALSE)&amp;" - Per "&amp;VLOOKUP($C$4,'Writing Logic'!$G$8:$H$14,2,FALSE),YES_Writing_ELA[#Headers],0))=0,"",INDEX(_xlfn.VSTACK(YES_Writing_ELA[#Data],YES_Writing_FLA[#Data]),MATCH($A267,_xlfn.VSTACK(YES_Writing_ELA[Student Number],YES_Writing_FLA[Student Number]),0),MATCH(VLOOKUP(H$7,'Writing Logic'!$J$7:$K$11,2,FALSE)&amp;" - Per "&amp;VLOOKUP($C$4,'Writing Logic'!$G$8:$H$14,2,FALSE),YES_Writing_ELA[#Headers],0)))="INS",'Writing Logic'!$B$7,IF(INDEX(_xlfn.VSTACK(YES_Writing_ELA[#Data],YES_Writing_FLA[#Data]),MATCH($A267,_xlfn.VSTACK(YES_Writing_ELA[Student Number],YES_Writing_FLA[Student Number]),0),MATCH(VLOOKUP(H$7,'Writing Logic'!$J$7:$K$11,2,FALSE)&amp;" - Per "&amp;VLOOKUP($C$4,'Writing Logic'!$G$8:$H$14,2,FALSE),YES_Writing_ELA[#Headers],0))=0,"",INDEX(_xlfn.VSTACK(YES_Writing_ELA[#Data],YES_Writing_FLA[#Data]),MATCH($A267,_xlfn.VSTACK(YES_Writing_ELA[Student Number],YES_Writing_FLA[Student Number]),0),MATCH(VLOOKUP(H$7,'Writing Logic'!$J$7:$K$11,2,FALSE)&amp;" - Per "&amp;VLOOKUP($C$4,'Writing Logic'!$G$8:$H$14,2,FALSE),YES_Writing_ELA[#Headers],0)))),"")</f>
        <v/>
      </c>
      <c r="I267" s="224" t="str" cm="1">
        <f t="array" aca="1" ref="I267" ca="1">IFERROR(
IF($G$3="ELA",
IF(VLOOKUP($A267, YES_Reading_ELA[], COLUMN(INDIRECT("YES_Reading_ELA[Difference - Per "&amp;VLOOKUP($G$4, 'Reading Report Logic'!$A$2:$B$8, 2, FALSE)&amp;"]")), FALSE)="", "",
VLOOKUP($A267,YES_Reading_ELA[], COLUMN(INDIRECT("YES_Reading_ELA[Difference - Per "&amp;VLOOKUP($G$4,'Reading Report Logic'!$A$2:$B$8,2,FALSE)&amp;"]")), FALSE)),
IF($G$3="FLA",
IF(VLOOKUP($A267, YES_Reading_FLA[], COLUMN(INDIRECT("YES_Reading_FLA[Difference - Per "&amp;VLOOKUP($G$4,'Reading Report Logic'!$A$2:$B$8,2,FALSE)&amp;"]")),FALSE)="","",
VLOOKUP($A267,YES_Reading_FLA[],COLUMN(INDIRECT("YES_Reading_FLA[Difference - Per "&amp;VLOOKUP($G$4,'Reading Report Logic'!$A$2:$B$8,2,FALSE)&amp;"]")),FALSE)),
IF($G$3="Combined",
IFERROR(
IF(VLOOKUP($A267, YES_Reading_ELA[], COLUMN(INDIRECT("YES_Reading_ELA[Difference - Per "&amp;VLOOKUP($G$4, 'Reading Report Logic'!$A$2:$B$8,2,FALSE)&amp;"]")), FALSE)="", "",
VLOOKUP($A267,YES_Reading_ELA[],COLUMN(INDIRECT("YES_Reading_ELA[Difference - Per "&amp;VLOOKUP($G$4,'Reading Report Logic'!$A$2:$B$8,2,FALSE)&amp;"]")),FALSE)),
IF(VLOOKUP($A267, YES_Reading_FLA[], COLUMN(INDIRECT("YES_Reading_FLA[Difference - Per "&amp;VLOOKUP($G$4, 'Reading Report Logic'!$A$2:$B$8, 2, FALSE)&amp;"]")),FALSE)="", "", VLOOKUP($A267,YES_Reading_FLA[],COLUMN(INDIRECT("YES_Reading_FLA[Difference - Per "&amp;VLOOKUP($G$4, 'Reading Report Logic'!$A$2:$B$8, 2, FALSE)&amp;"]")),FALSE))),""))),"")</f>
        <v/>
      </c>
    </row>
    <row r="268" spans="1:9" x14ac:dyDescent="0.25">
      <c r="A268" s="137"/>
      <c r="B268" s="137" t="str">
        <f>IFERROR(INDEX(_xlfn.VSTACK(YES_Writing_ELA[#Data], YES_Writing_FLA[#Data]),MATCH($A268,_xlfn.VSTACK(YES_Writing_ELA[Student Number], YES_Writing_FLA[Student Number]),0),MATCH(B$7,YES_Writing_ELA[#Headers],0)),IFERROR(INDEX(_xlfn.VSTACK(YES_Reading_ELA[#Data], YES_Reading_FLA[#Data]),MATCH($A268,_xlfn.VSTACK(YES_Reading_ELA[Student Number], YES_Reading_FLA[Student Number]),0),MATCH(B$7,YES_Reading_ELA[#Headers],0)),""))</f>
        <v/>
      </c>
      <c r="C268" s="137" t="str">
        <f>IFERROR(INDEX(_xlfn.VSTACK(YES_Writing_ELA[#Data], YES_Writing_FLA[#Data]),MATCH($A268,_xlfn.VSTACK(YES_Writing_ELA[Student Number], YES_Writing_FLA[Student Number]),0),MATCH(C$7,YES_Writing_ELA[#Headers],0)),IFERROR(INDEX(_xlfn.VSTACK(YES_Reading_ELA[#Data], YES_Reading_FLA[#Data]),MATCH($A268,_xlfn.VSTACK(YES_Reading_ELA[Student Number], YES_Reading_FLA[Student Number]),0),MATCH(C$7,YES_Reading_ELA[#Headers],0)),""))</f>
        <v/>
      </c>
      <c r="D268" s="138" t="str">
        <f>IFERROR(IF(IF(INDEX(_xlfn.VSTACK(YES_Writing_ELA[#Data],YES_Writing_FLA[#Data]),MATCH($A268,_xlfn.VSTACK(YES_Writing_ELA[Student Number],YES_Writing_FLA[Student Number]),0),MATCH(VLOOKUP(D$7,'Writing Logic'!$J$7:$K$11,2,FALSE)&amp;" - Per "&amp;VLOOKUP($C$4,'Writing Logic'!$G$8:$H$14,2,FALSE),YES_Writing_ELA[#Headers],0))=0,"",INDEX(_xlfn.VSTACK(YES_Writing_ELA[#Data],YES_Writing_FLA[#Data]),MATCH($A268,_xlfn.VSTACK(YES_Writing_ELA[Student Number],YES_Writing_FLA[Student Number]),0),MATCH(VLOOKUP(D$7,'Writing Logic'!$J$7:$K$11,2,FALSE)&amp;" - Per "&amp;VLOOKUP($C$4,'Writing Logic'!$G$8:$H$14,2,FALSE),YES_Writing_ELA[#Headers],0)))="INS",'Writing Logic'!$B$7,IF(INDEX(_xlfn.VSTACK(YES_Writing_ELA[#Data],YES_Writing_FLA[#Data]),MATCH($A268,_xlfn.VSTACK(YES_Writing_ELA[Student Number],YES_Writing_FLA[Student Number]),0),MATCH(VLOOKUP(D$7,'Writing Logic'!$J$7:$K$11,2,FALSE)&amp;" - Per "&amp;VLOOKUP($C$4,'Writing Logic'!$G$8:$H$14,2,FALSE),YES_Writing_ELA[#Headers],0))=0,"",INDEX(_xlfn.VSTACK(YES_Writing_ELA[#Data],YES_Writing_FLA[#Data]),MATCH($A268,_xlfn.VSTACK(YES_Writing_ELA[Student Number],YES_Writing_FLA[Student Number]),0),MATCH(VLOOKUP(D$7,'Writing Logic'!$J$7:$K$11,2,FALSE)&amp;" - Per "&amp;VLOOKUP($C$4,'Writing Logic'!$G$8:$H$14,2,FALSE),YES_Writing_ELA[#Headers],0)))),"")</f>
        <v/>
      </c>
      <c r="E268" s="138" t="str">
        <f>IFERROR(IF(IF(INDEX(_xlfn.VSTACK(YES_Writing_ELA[#Data],YES_Writing_FLA[#Data]),MATCH($A268,_xlfn.VSTACK(YES_Writing_ELA[Student Number],YES_Writing_FLA[Student Number]),0),MATCH(VLOOKUP(E$7,'Writing Logic'!$J$7:$K$11,2,FALSE)&amp;" - Per "&amp;VLOOKUP($C$4,'Writing Logic'!$G$8:$H$14,2,FALSE),YES_Writing_ELA[#Headers],0))=0,"",INDEX(_xlfn.VSTACK(YES_Writing_ELA[#Data],YES_Writing_FLA[#Data]),MATCH($A268,_xlfn.VSTACK(YES_Writing_ELA[Student Number],YES_Writing_FLA[Student Number]),0),MATCH(VLOOKUP(E$7,'Writing Logic'!$J$7:$K$11,2,FALSE)&amp;" - Per "&amp;VLOOKUP($C$4,'Writing Logic'!$G$8:$H$14,2,FALSE),YES_Writing_ELA[#Headers],0)))="INS",'Writing Logic'!$B$7,IF(INDEX(_xlfn.VSTACK(YES_Writing_ELA[#Data],YES_Writing_FLA[#Data]),MATCH($A268,_xlfn.VSTACK(YES_Writing_ELA[Student Number],YES_Writing_FLA[Student Number]),0),MATCH(VLOOKUP(E$7,'Writing Logic'!$J$7:$K$11,2,FALSE)&amp;" - Per "&amp;VLOOKUP($C$4,'Writing Logic'!$G$8:$H$14,2,FALSE),YES_Writing_ELA[#Headers],0))=0,"",INDEX(_xlfn.VSTACK(YES_Writing_ELA[#Data],YES_Writing_FLA[#Data]),MATCH($A268,_xlfn.VSTACK(YES_Writing_ELA[Student Number],YES_Writing_FLA[Student Number]),0),MATCH(VLOOKUP(E$7,'Writing Logic'!$J$7:$K$11,2,FALSE)&amp;" - Per "&amp;VLOOKUP($C$4,'Writing Logic'!$G$8:$H$14,2,FALSE),YES_Writing_ELA[#Headers],0)))),"")</f>
        <v/>
      </c>
      <c r="F268" s="138" t="str">
        <f>IFERROR(IF(IF(INDEX(_xlfn.VSTACK(YES_Writing_ELA[#Data],YES_Writing_FLA[#Data]),MATCH($A268,_xlfn.VSTACK(YES_Writing_ELA[Student Number],YES_Writing_FLA[Student Number]),0),MATCH(VLOOKUP(F$7,'Writing Logic'!$J$7:$K$11,2,FALSE)&amp;" - Per "&amp;VLOOKUP($C$4,'Writing Logic'!$G$8:$H$14,2,FALSE),YES_Writing_ELA[#Headers],0))=0,"",INDEX(_xlfn.VSTACK(YES_Writing_ELA[#Data],YES_Writing_FLA[#Data]),MATCH($A268,_xlfn.VSTACK(YES_Writing_ELA[Student Number],YES_Writing_FLA[Student Number]),0),MATCH(VLOOKUP(F$7,'Writing Logic'!$J$7:$K$11,2,FALSE)&amp;" - Per "&amp;VLOOKUP($C$4,'Writing Logic'!$G$8:$H$14,2,FALSE),YES_Writing_ELA[#Headers],0)))="INS",'Writing Logic'!$B$7,IF(INDEX(_xlfn.VSTACK(YES_Writing_ELA[#Data],YES_Writing_FLA[#Data]),MATCH($A268,_xlfn.VSTACK(YES_Writing_ELA[Student Number],YES_Writing_FLA[Student Number]),0),MATCH(VLOOKUP(F$7,'Writing Logic'!$J$7:$K$11,2,FALSE)&amp;" - Per "&amp;VLOOKUP($C$4,'Writing Logic'!$G$8:$H$14,2,FALSE),YES_Writing_ELA[#Headers],0))=0,"",INDEX(_xlfn.VSTACK(YES_Writing_ELA[#Data],YES_Writing_FLA[#Data]),MATCH($A268,_xlfn.VSTACK(YES_Writing_ELA[Student Number],YES_Writing_FLA[Student Number]),0),MATCH(VLOOKUP(F$7,'Writing Logic'!$J$7:$K$11,2,FALSE)&amp;" - Per "&amp;VLOOKUP($C$4,'Writing Logic'!$G$8:$H$14,2,FALSE),YES_Writing_ELA[#Headers],0)))),"")</f>
        <v/>
      </c>
      <c r="G268" s="138" t="str">
        <f>IFERROR(IF(IF(INDEX(_xlfn.VSTACK(YES_Writing_ELA[#Data],YES_Writing_FLA[#Data]),MATCH($A268,_xlfn.VSTACK(YES_Writing_ELA[Student Number],YES_Writing_FLA[Student Number]),0),MATCH(VLOOKUP(G$7,'Writing Logic'!$J$7:$K$11,2,FALSE)&amp;" - Per "&amp;VLOOKUP($C$4,'Writing Logic'!$G$8:$H$14,2,FALSE),YES_Writing_ELA[#Headers],0))=0,"",INDEX(_xlfn.VSTACK(YES_Writing_ELA[#Data],YES_Writing_FLA[#Data]),MATCH($A268,_xlfn.VSTACK(YES_Writing_ELA[Student Number],YES_Writing_FLA[Student Number]),0),MATCH(VLOOKUP(G$7,'Writing Logic'!$J$7:$K$11,2,FALSE)&amp;" - Per "&amp;VLOOKUP($C$4,'Writing Logic'!$G$8:$H$14,2,FALSE),YES_Writing_ELA[#Headers],0)))="INS",'Writing Logic'!$B$7,IF(INDEX(_xlfn.VSTACK(YES_Writing_ELA[#Data],YES_Writing_FLA[#Data]),MATCH($A268,_xlfn.VSTACK(YES_Writing_ELA[Student Number],YES_Writing_FLA[Student Number]),0),MATCH(VLOOKUP(G$7,'Writing Logic'!$J$7:$K$11,2,FALSE)&amp;" - Per "&amp;VLOOKUP($C$4,'Writing Logic'!$G$8:$H$14,2,FALSE),YES_Writing_ELA[#Headers],0))=0,"",INDEX(_xlfn.VSTACK(YES_Writing_ELA[#Data],YES_Writing_FLA[#Data]),MATCH($A268,_xlfn.VSTACK(YES_Writing_ELA[Student Number],YES_Writing_FLA[Student Number]),0),MATCH(VLOOKUP(G$7,'Writing Logic'!$J$7:$K$11,2,FALSE)&amp;" - Per "&amp;VLOOKUP($C$4,'Writing Logic'!$G$8:$H$14,2,FALSE),YES_Writing_ELA[#Headers],0)))),"")</f>
        <v/>
      </c>
      <c r="H268" s="223" t="str">
        <f>IFERROR(IF(IF(INDEX(_xlfn.VSTACK(YES_Writing_ELA[#Data],YES_Writing_FLA[#Data]),MATCH($A268,_xlfn.VSTACK(YES_Writing_ELA[Student Number],YES_Writing_FLA[Student Number]),0),MATCH(VLOOKUP(H$7,'Writing Logic'!$J$7:$K$11,2,FALSE)&amp;" - Per "&amp;VLOOKUP($C$4,'Writing Logic'!$G$8:$H$14,2,FALSE),YES_Writing_ELA[#Headers],0))=0,"",INDEX(_xlfn.VSTACK(YES_Writing_ELA[#Data],YES_Writing_FLA[#Data]),MATCH($A268,_xlfn.VSTACK(YES_Writing_ELA[Student Number],YES_Writing_FLA[Student Number]),0),MATCH(VLOOKUP(H$7,'Writing Logic'!$J$7:$K$11,2,FALSE)&amp;" - Per "&amp;VLOOKUP($C$4,'Writing Logic'!$G$8:$H$14,2,FALSE),YES_Writing_ELA[#Headers],0)))="INS",'Writing Logic'!$B$7,IF(INDEX(_xlfn.VSTACK(YES_Writing_ELA[#Data],YES_Writing_FLA[#Data]),MATCH($A268,_xlfn.VSTACK(YES_Writing_ELA[Student Number],YES_Writing_FLA[Student Number]),0),MATCH(VLOOKUP(H$7,'Writing Logic'!$J$7:$K$11,2,FALSE)&amp;" - Per "&amp;VLOOKUP($C$4,'Writing Logic'!$G$8:$H$14,2,FALSE),YES_Writing_ELA[#Headers],0))=0,"",INDEX(_xlfn.VSTACK(YES_Writing_ELA[#Data],YES_Writing_FLA[#Data]),MATCH($A268,_xlfn.VSTACK(YES_Writing_ELA[Student Number],YES_Writing_FLA[Student Number]),0),MATCH(VLOOKUP(H$7,'Writing Logic'!$J$7:$K$11,2,FALSE)&amp;" - Per "&amp;VLOOKUP($C$4,'Writing Logic'!$G$8:$H$14,2,FALSE),YES_Writing_ELA[#Headers],0)))),"")</f>
        <v/>
      </c>
      <c r="I268" s="224" t="str" cm="1">
        <f t="array" aca="1" ref="I268" ca="1">IFERROR(
IF($G$3="ELA",
IF(VLOOKUP($A268, YES_Reading_ELA[], COLUMN(INDIRECT("YES_Reading_ELA[Difference - Per "&amp;VLOOKUP($G$4, 'Reading Report Logic'!$A$2:$B$8, 2, FALSE)&amp;"]")), FALSE)="", "",
VLOOKUP($A268,YES_Reading_ELA[], COLUMN(INDIRECT("YES_Reading_ELA[Difference - Per "&amp;VLOOKUP($G$4,'Reading Report Logic'!$A$2:$B$8,2,FALSE)&amp;"]")), FALSE)),
IF($G$3="FLA",
IF(VLOOKUP($A268, YES_Reading_FLA[], COLUMN(INDIRECT("YES_Reading_FLA[Difference - Per "&amp;VLOOKUP($G$4,'Reading Report Logic'!$A$2:$B$8,2,FALSE)&amp;"]")),FALSE)="","",
VLOOKUP($A268,YES_Reading_FLA[],COLUMN(INDIRECT("YES_Reading_FLA[Difference - Per "&amp;VLOOKUP($G$4,'Reading Report Logic'!$A$2:$B$8,2,FALSE)&amp;"]")),FALSE)),
IF($G$3="Combined",
IFERROR(
IF(VLOOKUP($A268, YES_Reading_ELA[], COLUMN(INDIRECT("YES_Reading_ELA[Difference - Per "&amp;VLOOKUP($G$4, 'Reading Report Logic'!$A$2:$B$8,2,FALSE)&amp;"]")), FALSE)="", "",
VLOOKUP($A268,YES_Reading_ELA[],COLUMN(INDIRECT("YES_Reading_ELA[Difference - Per "&amp;VLOOKUP($G$4,'Reading Report Logic'!$A$2:$B$8,2,FALSE)&amp;"]")),FALSE)),
IF(VLOOKUP($A268, YES_Reading_FLA[], COLUMN(INDIRECT("YES_Reading_FLA[Difference - Per "&amp;VLOOKUP($G$4, 'Reading Report Logic'!$A$2:$B$8, 2, FALSE)&amp;"]")),FALSE)="", "", VLOOKUP($A268,YES_Reading_FLA[],COLUMN(INDIRECT("YES_Reading_FLA[Difference - Per "&amp;VLOOKUP($G$4, 'Reading Report Logic'!$A$2:$B$8, 2, FALSE)&amp;"]")),FALSE))),""))),"")</f>
        <v/>
      </c>
    </row>
    <row r="269" spans="1:9" x14ac:dyDescent="0.25">
      <c r="A269" s="137"/>
      <c r="B269" s="137" t="str">
        <f>IFERROR(INDEX(_xlfn.VSTACK(YES_Writing_ELA[#Data], YES_Writing_FLA[#Data]),MATCH($A269,_xlfn.VSTACK(YES_Writing_ELA[Student Number], YES_Writing_FLA[Student Number]),0),MATCH(B$7,YES_Writing_ELA[#Headers],0)),IFERROR(INDEX(_xlfn.VSTACK(YES_Reading_ELA[#Data], YES_Reading_FLA[#Data]),MATCH($A269,_xlfn.VSTACK(YES_Reading_ELA[Student Number], YES_Reading_FLA[Student Number]),0),MATCH(B$7,YES_Reading_ELA[#Headers],0)),""))</f>
        <v/>
      </c>
      <c r="C269" s="137" t="str">
        <f>IFERROR(INDEX(_xlfn.VSTACK(YES_Writing_ELA[#Data], YES_Writing_FLA[#Data]),MATCH($A269,_xlfn.VSTACK(YES_Writing_ELA[Student Number], YES_Writing_FLA[Student Number]),0),MATCH(C$7,YES_Writing_ELA[#Headers],0)),IFERROR(INDEX(_xlfn.VSTACK(YES_Reading_ELA[#Data], YES_Reading_FLA[#Data]),MATCH($A269,_xlfn.VSTACK(YES_Reading_ELA[Student Number], YES_Reading_FLA[Student Number]),0),MATCH(C$7,YES_Reading_ELA[#Headers],0)),""))</f>
        <v/>
      </c>
      <c r="D269" s="138" t="str">
        <f>IFERROR(IF(IF(INDEX(_xlfn.VSTACK(YES_Writing_ELA[#Data],YES_Writing_FLA[#Data]),MATCH($A269,_xlfn.VSTACK(YES_Writing_ELA[Student Number],YES_Writing_FLA[Student Number]),0),MATCH(VLOOKUP(D$7,'Writing Logic'!$J$7:$K$11,2,FALSE)&amp;" - Per "&amp;VLOOKUP($C$4,'Writing Logic'!$G$8:$H$14,2,FALSE),YES_Writing_ELA[#Headers],0))=0,"",INDEX(_xlfn.VSTACK(YES_Writing_ELA[#Data],YES_Writing_FLA[#Data]),MATCH($A269,_xlfn.VSTACK(YES_Writing_ELA[Student Number],YES_Writing_FLA[Student Number]),0),MATCH(VLOOKUP(D$7,'Writing Logic'!$J$7:$K$11,2,FALSE)&amp;" - Per "&amp;VLOOKUP($C$4,'Writing Logic'!$G$8:$H$14,2,FALSE),YES_Writing_ELA[#Headers],0)))="INS",'Writing Logic'!$B$7,IF(INDEX(_xlfn.VSTACK(YES_Writing_ELA[#Data],YES_Writing_FLA[#Data]),MATCH($A269,_xlfn.VSTACK(YES_Writing_ELA[Student Number],YES_Writing_FLA[Student Number]),0),MATCH(VLOOKUP(D$7,'Writing Logic'!$J$7:$K$11,2,FALSE)&amp;" - Per "&amp;VLOOKUP($C$4,'Writing Logic'!$G$8:$H$14,2,FALSE),YES_Writing_ELA[#Headers],0))=0,"",INDEX(_xlfn.VSTACK(YES_Writing_ELA[#Data],YES_Writing_FLA[#Data]),MATCH($A269,_xlfn.VSTACK(YES_Writing_ELA[Student Number],YES_Writing_FLA[Student Number]),0),MATCH(VLOOKUP(D$7,'Writing Logic'!$J$7:$K$11,2,FALSE)&amp;" - Per "&amp;VLOOKUP($C$4,'Writing Logic'!$G$8:$H$14,2,FALSE),YES_Writing_ELA[#Headers],0)))),"")</f>
        <v/>
      </c>
      <c r="E269" s="138" t="str">
        <f>IFERROR(IF(IF(INDEX(_xlfn.VSTACK(YES_Writing_ELA[#Data],YES_Writing_FLA[#Data]),MATCH($A269,_xlfn.VSTACK(YES_Writing_ELA[Student Number],YES_Writing_FLA[Student Number]),0),MATCH(VLOOKUP(E$7,'Writing Logic'!$J$7:$K$11,2,FALSE)&amp;" - Per "&amp;VLOOKUP($C$4,'Writing Logic'!$G$8:$H$14,2,FALSE),YES_Writing_ELA[#Headers],0))=0,"",INDEX(_xlfn.VSTACK(YES_Writing_ELA[#Data],YES_Writing_FLA[#Data]),MATCH($A269,_xlfn.VSTACK(YES_Writing_ELA[Student Number],YES_Writing_FLA[Student Number]),0),MATCH(VLOOKUP(E$7,'Writing Logic'!$J$7:$K$11,2,FALSE)&amp;" - Per "&amp;VLOOKUP($C$4,'Writing Logic'!$G$8:$H$14,2,FALSE),YES_Writing_ELA[#Headers],0)))="INS",'Writing Logic'!$B$7,IF(INDEX(_xlfn.VSTACK(YES_Writing_ELA[#Data],YES_Writing_FLA[#Data]),MATCH($A269,_xlfn.VSTACK(YES_Writing_ELA[Student Number],YES_Writing_FLA[Student Number]),0),MATCH(VLOOKUP(E$7,'Writing Logic'!$J$7:$K$11,2,FALSE)&amp;" - Per "&amp;VLOOKUP($C$4,'Writing Logic'!$G$8:$H$14,2,FALSE),YES_Writing_ELA[#Headers],0))=0,"",INDEX(_xlfn.VSTACK(YES_Writing_ELA[#Data],YES_Writing_FLA[#Data]),MATCH($A269,_xlfn.VSTACK(YES_Writing_ELA[Student Number],YES_Writing_FLA[Student Number]),0),MATCH(VLOOKUP(E$7,'Writing Logic'!$J$7:$K$11,2,FALSE)&amp;" - Per "&amp;VLOOKUP($C$4,'Writing Logic'!$G$8:$H$14,2,FALSE),YES_Writing_ELA[#Headers],0)))),"")</f>
        <v/>
      </c>
      <c r="F269" s="138" t="str">
        <f>IFERROR(IF(IF(INDEX(_xlfn.VSTACK(YES_Writing_ELA[#Data],YES_Writing_FLA[#Data]),MATCH($A269,_xlfn.VSTACK(YES_Writing_ELA[Student Number],YES_Writing_FLA[Student Number]),0),MATCH(VLOOKUP(F$7,'Writing Logic'!$J$7:$K$11,2,FALSE)&amp;" - Per "&amp;VLOOKUP($C$4,'Writing Logic'!$G$8:$H$14,2,FALSE),YES_Writing_ELA[#Headers],0))=0,"",INDEX(_xlfn.VSTACK(YES_Writing_ELA[#Data],YES_Writing_FLA[#Data]),MATCH($A269,_xlfn.VSTACK(YES_Writing_ELA[Student Number],YES_Writing_FLA[Student Number]),0),MATCH(VLOOKUP(F$7,'Writing Logic'!$J$7:$K$11,2,FALSE)&amp;" - Per "&amp;VLOOKUP($C$4,'Writing Logic'!$G$8:$H$14,2,FALSE),YES_Writing_ELA[#Headers],0)))="INS",'Writing Logic'!$B$7,IF(INDEX(_xlfn.VSTACK(YES_Writing_ELA[#Data],YES_Writing_FLA[#Data]),MATCH($A269,_xlfn.VSTACK(YES_Writing_ELA[Student Number],YES_Writing_FLA[Student Number]),0),MATCH(VLOOKUP(F$7,'Writing Logic'!$J$7:$K$11,2,FALSE)&amp;" - Per "&amp;VLOOKUP($C$4,'Writing Logic'!$G$8:$H$14,2,FALSE),YES_Writing_ELA[#Headers],0))=0,"",INDEX(_xlfn.VSTACK(YES_Writing_ELA[#Data],YES_Writing_FLA[#Data]),MATCH($A269,_xlfn.VSTACK(YES_Writing_ELA[Student Number],YES_Writing_FLA[Student Number]),0),MATCH(VLOOKUP(F$7,'Writing Logic'!$J$7:$K$11,2,FALSE)&amp;" - Per "&amp;VLOOKUP($C$4,'Writing Logic'!$G$8:$H$14,2,FALSE),YES_Writing_ELA[#Headers],0)))),"")</f>
        <v/>
      </c>
      <c r="G269" s="138" t="str">
        <f>IFERROR(IF(IF(INDEX(_xlfn.VSTACK(YES_Writing_ELA[#Data],YES_Writing_FLA[#Data]),MATCH($A269,_xlfn.VSTACK(YES_Writing_ELA[Student Number],YES_Writing_FLA[Student Number]),0),MATCH(VLOOKUP(G$7,'Writing Logic'!$J$7:$K$11,2,FALSE)&amp;" - Per "&amp;VLOOKUP($C$4,'Writing Logic'!$G$8:$H$14,2,FALSE),YES_Writing_ELA[#Headers],0))=0,"",INDEX(_xlfn.VSTACK(YES_Writing_ELA[#Data],YES_Writing_FLA[#Data]),MATCH($A269,_xlfn.VSTACK(YES_Writing_ELA[Student Number],YES_Writing_FLA[Student Number]),0),MATCH(VLOOKUP(G$7,'Writing Logic'!$J$7:$K$11,2,FALSE)&amp;" - Per "&amp;VLOOKUP($C$4,'Writing Logic'!$G$8:$H$14,2,FALSE),YES_Writing_ELA[#Headers],0)))="INS",'Writing Logic'!$B$7,IF(INDEX(_xlfn.VSTACK(YES_Writing_ELA[#Data],YES_Writing_FLA[#Data]),MATCH($A269,_xlfn.VSTACK(YES_Writing_ELA[Student Number],YES_Writing_FLA[Student Number]),0),MATCH(VLOOKUP(G$7,'Writing Logic'!$J$7:$K$11,2,FALSE)&amp;" - Per "&amp;VLOOKUP($C$4,'Writing Logic'!$G$8:$H$14,2,FALSE),YES_Writing_ELA[#Headers],0))=0,"",INDEX(_xlfn.VSTACK(YES_Writing_ELA[#Data],YES_Writing_FLA[#Data]),MATCH($A269,_xlfn.VSTACK(YES_Writing_ELA[Student Number],YES_Writing_FLA[Student Number]),0),MATCH(VLOOKUP(G$7,'Writing Logic'!$J$7:$K$11,2,FALSE)&amp;" - Per "&amp;VLOOKUP($C$4,'Writing Logic'!$G$8:$H$14,2,FALSE),YES_Writing_ELA[#Headers],0)))),"")</f>
        <v/>
      </c>
      <c r="H269" s="223" t="str">
        <f>IFERROR(IF(IF(INDEX(_xlfn.VSTACK(YES_Writing_ELA[#Data],YES_Writing_FLA[#Data]),MATCH($A269,_xlfn.VSTACK(YES_Writing_ELA[Student Number],YES_Writing_FLA[Student Number]),0),MATCH(VLOOKUP(H$7,'Writing Logic'!$J$7:$K$11,2,FALSE)&amp;" - Per "&amp;VLOOKUP($C$4,'Writing Logic'!$G$8:$H$14,2,FALSE),YES_Writing_ELA[#Headers],0))=0,"",INDEX(_xlfn.VSTACK(YES_Writing_ELA[#Data],YES_Writing_FLA[#Data]),MATCH($A269,_xlfn.VSTACK(YES_Writing_ELA[Student Number],YES_Writing_FLA[Student Number]),0),MATCH(VLOOKUP(H$7,'Writing Logic'!$J$7:$K$11,2,FALSE)&amp;" - Per "&amp;VLOOKUP($C$4,'Writing Logic'!$G$8:$H$14,2,FALSE),YES_Writing_ELA[#Headers],0)))="INS",'Writing Logic'!$B$7,IF(INDEX(_xlfn.VSTACK(YES_Writing_ELA[#Data],YES_Writing_FLA[#Data]),MATCH($A269,_xlfn.VSTACK(YES_Writing_ELA[Student Number],YES_Writing_FLA[Student Number]),0),MATCH(VLOOKUP(H$7,'Writing Logic'!$J$7:$K$11,2,FALSE)&amp;" - Per "&amp;VLOOKUP($C$4,'Writing Logic'!$G$8:$H$14,2,FALSE),YES_Writing_ELA[#Headers],0))=0,"",INDEX(_xlfn.VSTACK(YES_Writing_ELA[#Data],YES_Writing_FLA[#Data]),MATCH($A269,_xlfn.VSTACK(YES_Writing_ELA[Student Number],YES_Writing_FLA[Student Number]),0),MATCH(VLOOKUP(H$7,'Writing Logic'!$J$7:$K$11,2,FALSE)&amp;" - Per "&amp;VLOOKUP($C$4,'Writing Logic'!$G$8:$H$14,2,FALSE),YES_Writing_ELA[#Headers],0)))),"")</f>
        <v/>
      </c>
      <c r="I269" s="224" t="str" cm="1">
        <f t="array" aca="1" ref="I269" ca="1">IFERROR(
IF($G$3="ELA",
IF(VLOOKUP($A269, YES_Reading_ELA[], COLUMN(INDIRECT("YES_Reading_ELA[Difference - Per "&amp;VLOOKUP($G$4, 'Reading Report Logic'!$A$2:$B$8, 2, FALSE)&amp;"]")), FALSE)="", "",
VLOOKUP($A269,YES_Reading_ELA[], COLUMN(INDIRECT("YES_Reading_ELA[Difference - Per "&amp;VLOOKUP($G$4,'Reading Report Logic'!$A$2:$B$8,2,FALSE)&amp;"]")), FALSE)),
IF($G$3="FLA",
IF(VLOOKUP($A269, YES_Reading_FLA[], COLUMN(INDIRECT("YES_Reading_FLA[Difference - Per "&amp;VLOOKUP($G$4,'Reading Report Logic'!$A$2:$B$8,2,FALSE)&amp;"]")),FALSE)="","",
VLOOKUP($A269,YES_Reading_FLA[],COLUMN(INDIRECT("YES_Reading_FLA[Difference - Per "&amp;VLOOKUP($G$4,'Reading Report Logic'!$A$2:$B$8,2,FALSE)&amp;"]")),FALSE)),
IF($G$3="Combined",
IFERROR(
IF(VLOOKUP($A269, YES_Reading_ELA[], COLUMN(INDIRECT("YES_Reading_ELA[Difference - Per "&amp;VLOOKUP($G$4, 'Reading Report Logic'!$A$2:$B$8,2,FALSE)&amp;"]")), FALSE)="", "",
VLOOKUP($A269,YES_Reading_ELA[],COLUMN(INDIRECT("YES_Reading_ELA[Difference - Per "&amp;VLOOKUP($G$4,'Reading Report Logic'!$A$2:$B$8,2,FALSE)&amp;"]")),FALSE)),
IF(VLOOKUP($A269, YES_Reading_FLA[], COLUMN(INDIRECT("YES_Reading_FLA[Difference - Per "&amp;VLOOKUP($G$4, 'Reading Report Logic'!$A$2:$B$8, 2, FALSE)&amp;"]")),FALSE)="", "", VLOOKUP($A269,YES_Reading_FLA[],COLUMN(INDIRECT("YES_Reading_FLA[Difference - Per "&amp;VLOOKUP($G$4, 'Reading Report Logic'!$A$2:$B$8, 2, FALSE)&amp;"]")),FALSE))),""))),"")</f>
        <v/>
      </c>
    </row>
    <row r="270" spans="1:9" x14ac:dyDescent="0.25">
      <c r="A270" s="137"/>
      <c r="B270" s="137" t="str">
        <f>IFERROR(INDEX(_xlfn.VSTACK(YES_Writing_ELA[#Data], YES_Writing_FLA[#Data]),MATCH($A270,_xlfn.VSTACK(YES_Writing_ELA[Student Number], YES_Writing_FLA[Student Number]),0),MATCH(B$7,YES_Writing_ELA[#Headers],0)),IFERROR(INDEX(_xlfn.VSTACK(YES_Reading_ELA[#Data], YES_Reading_FLA[#Data]),MATCH($A270,_xlfn.VSTACK(YES_Reading_ELA[Student Number], YES_Reading_FLA[Student Number]),0),MATCH(B$7,YES_Reading_ELA[#Headers],0)),""))</f>
        <v/>
      </c>
      <c r="C270" s="137" t="str">
        <f>IFERROR(INDEX(_xlfn.VSTACK(YES_Writing_ELA[#Data], YES_Writing_FLA[#Data]),MATCH($A270,_xlfn.VSTACK(YES_Writing_ELA[Student Number], YES_Writing_FLA[Student Number]),0),MATCH(C$7,YES_Writing_ELA[#Headers],0)),IFERROR(INDEX(_xlfn.VSTACK(YES_Reading_ELA[#Data], YES_Reading_FLA[#Data]),MATCH($A270,_xlfn.VSTACK(YES_Reading_ELA[Student Number], YES_Reading_FLA[Student Number]),0),MATCH(C$7,YES_Reading_ELA[#Headers],0)),""))</f>
        <v/>
      </c>
      <c r="D270" s="138" t="str">
        <f>IFERROR(IF(IF(INDEX(_xlfn.VSTACK(YES_Writing_ELA[#Data],YES_Writing_FLA[#Data]),MATCH($A270,_xlfn.VSTACK(YES_Writing_ELA[Student Number],YES_Writing_FLA[Student Number]),0),MATCH(VLOOKUP(D$7,'Writing Logic'!$J$7:$K$11,2,FALSE)&amp;" - Per "&amp;VLOOKUP($C$4,'Writing Logic'!$G$8:$H$14,2,FALSE),YES_Writing_ELA[#Headers],0))=0,"",INDEX(_xlfn.VSTACK(YES_Writing_ELA[#Data],YES_Writing_FLA[#Data]),MATCH($A270,_xlfn.VSTACK(YES_Writing_ELA[Student Number],YES_Writing_FLA[Student Number]),0),MATCH(VLOOKUP(D$7,'Writing Logic'!$J$7:$K$11,2,FALSE)&amp;" - Per "&amp;VLOOKUP($C$4,'Writing Logic'!$G$8:$H$14,2,FALSE),YES_Writing_ELA[#Headers],0)))="INS",'Writing Logic'!$B$7,IF(INDEX(_xlfn.VSTACK(YES_Writing_ELA[#Data],YES_Writing_FLA[#Data]),MATCH($A270,_xlfn.VSTACK(YES_Writing_ELA[Student Number],YES_Writing_FLA[Student Number]),0),MATCH(VLOOKUP(D$7,'Writing Logic'!$J$7:$K$11,2,FALSE)&amp;" - Per "&amp;VLOOKUP($C$4,'Writing Logic'!$G$8:$H$14,2,FALSE),YES_Writing_ELA[#Headers],0))=0,"",INDEX(_xlfn.VSTACK(YES_Writing_ELA[#Data],YES_Writing_FLA[#Data]),MATCH($A270,_xlfn.VSTACK(YES_Writing_ELA[Student Number],YES_Writing_FLA[Student Number]),0),MATCH(VLOOKUP(D$7,'Writing Logic'!$J$7:$K$11,2,FALSE)&amp;" - Per "&amp;VLOOKUP($C$4,'Writing Logic'!$G$8:$H$14,2,FALSE),YES_Writing_ELA[#Headers],0)))),"")</f>
        <v/>
      </c>
      <c r="E270" s="138" t="str">
        <f>IFERROR(IF(IF(INDEX(_xlfn.VSTACK(YES_Writing_ELA[#Data],YES_Writing_FLA[#Data]),MATCH($A270,_xlfn.VSTACK(YES_Writing_ELA[Student Number],YES_Writing_FLA[Student Number]),0),MATCH(VLOOKUP(E$7,'Writing Logic'!$J$7:$K$11,2,FALSE)&amp;" - Per "&amp;VLOOKUP($C$4,'Writing Logic'!$G$8:$H$14,2,FALSE),YES_Writing_ELA[#Headers],0))=0,"",INDEX(_xlfn.VSTACK(YES_Writing_ELA[#Data],YES_Writing_FLA[#Data]),MATCH($A270,_xlfn.VSTACK(YES_Writing_ELA[Student Number],YES_Writing_FLA[Student Number]),0),MATCH(VLOOKUP(E$7,'Writing Logic'!$J$7:$K$11,2,FALSE)&amp;" - Per "&amp;VLOOKUP($C$4,'Writing Logic'!$G$8:$H$14,2,FALSE),YES_Writing_ELA[#Headers],0)))="INS",'Writing Logic'!$B$7,IF(INDEX(_xlfn.VSTACK(YES_Writing_ELA[#Data],YES_Writing_FLA[#Data]),MATCH($A270,_xlfn.VSTACK(YES_Writing_ELA[Student Number],YES_Writing_FLA[Student Number]),0),MATCH(VLOOKUP(E$7,'Writing Logic'!$J$7:$K$11,2,FALSE)&amp;" - Per "&amp;VLOOKUP($C$4,'Writing Logic'!$G$8:$H$14,2,FALSE),YES_Writing_ELA[#Headers],0))=0,"",INDEX(_xlfn.VSTACK(YES_Writing_ELA[#Data],YES_Writing_FLA[#Data]),MATCH($A270,_xlfn.VSTACK(YES_Writing_ELA[Student Number],YES_Writing_FLA[Student Number]),0),MATCH(VLOOKUP(E$7,'Writing Logic'!$J$7:$K$11,2,FALSE)&amp;" - Per "&amp;VLOOKUP($C$4,'Writing Logic'!$G$8:$H$14,2,FALSE),YES_Writing_ELA[#Headers],0)))),"")</f>
        <v/>
      </c>
      <c r="F270" s="138" t="str">
        <f>IFERROR(IF(IF(INDEX(_xlfn.VSTACK(YES_Writing_ELA[#Data],YES_Writing_FLA[#Data]),MATCH($A270,_xlfn.VSTACK(YES_Writing_ELA[Student Number],YES_Writing_FLA[Student Number]),0),MATCH(VLOOKUP(F$7,'Writing Logic'!$J$7:$K$11,2,FALSE)&amp;" - Per "&amp;VLOOKUP($C$4,'Writing Logic'!$G$8:$H$14,2,FALSE),YES_Writing_ELA[#Headers],0))=0,"",INDEX(_xlfn.VSTACK(YES_Writing_ELA[#Data],YES_Writing_FLA[#Data]),MATCH($A270,_xlfn.VSTACK(YES_Writing_ELA[Student Number],YES_Writing_FLA[Student Number]),0),MATCH(VLOOKUP(F$7,'Writing Logic'!$J$7:$K$11,2,FALSE)&amp;" - Per "&amp;VLOOKUP($C$4,'Writing Logic'!$G$8:$H$14,2,FALSE),YES_Writing_ELA[#Headers],0)))="INS",'Writing Logic'!$B$7,IF(INDEX(_xlfn.VSTACK(YES_Writing_ELA[#Data],YES_Writing_FLA[#Data]),MATCH($A270,_xlfn.VSTACK(YES_Writing_ELA[Student Number],YES_Writing_FLA[Student Number]),0),MATCH(VLOOKUP(F$7,'Writing Logic'!$J$7:$K$11,2,FALSE)&amp;" - Per "&amp;VLOOKUP($C$4,'Writing Logic'!$G$8:$H$14,2,FALSE),YES_Writing_ELA[#Headers],0))=0,"",INDEX(_xlfn.VSTACK(YES_Writing_ELA[#Data],YES_Writing_FLA[#Data]),MATCH($A270,_xlfn.VSTACK(YES_Writing_ELA[Student Number],YES_Writing_FLA[Student Number]),0),MATCH(VLOOKUP(F$7,'Writing Logic'!$J$7:$K$11,2,FALSE)&amp;" - Per "&amp;VLOOKUP($C$4,'Writing Logic'!$G$8:$H$14,2,FALSE),YES_Writing_ELA[#Headers],0)))),"")</f>
        <v/>
      </c>
      <c r="G270" s="138" t="str">
        <f>IFERROR(IF(IF(INDEX(_xlfn.VSTACK(YES_Writing_ELA[#Data],YES_Writing_FLA[#Data]),MATCH($A270,_xlfn.VSTACK(YES_Writing_ELA[Student Number],YES_Writing_FLA[Student Number]),0),MATCH(VLOOKUP(G$7,'Writing Logic'!$J$7:$K$11,2,FALSE)&amp;" - Per "&amp;VLOOKUP($C$4,'Writing Logic'!$G$8:$H$14,2,FALSE),YES_Writing_ELA[#Headers],0))=0,"",INDEX(_xlfn.VSTACK(YES_Writing_ELA[#Data],YES_Writing_FLA[#Data]),MATCH($A270,_xlfn.VSTACK(YES_Writing_ELA[Student Number],YES_Writing_FLA[Student Number]),0),MATCH(VLOOKUP(G$7,'Writing Logic'!$J$7:$K$11,2,FALSE)&amp;" - Per "&amp;VLOOKUP($C$4,'Writing Logic'!$G$8:$H$14,2,FALSE),YES_Writing_ELA[#Headers],0)))="INS",'Writing Logic'!$B$7,IF(INDEX(_xlfn.VSTACK(YES_Writing_ELA[#Data],YES_Writing_FLA[#Data]),MATCH($A270,_xlfn.VSTACK(YES_Writing_ELA[Student Number],YES_Writing_FLA[Student Number]),0),MATCH(VLOOKUP(G$7,'Writing Logic'!$J$7:$K$11,2,FALSE)&amp;" - Per "&amp;VLOOKUP($C$4,'Writing Logic'!$G$8:$H$14,2,FALSE),YES_Writing_ELA[#Headers],0))=0,"",INDEX(_xlfn.VSTACK(YES_Writing_ELA[#Data],YES_Writing_FLA[#Data]),MATCH($A270,_xlfn.VSTACK(YES_Writing_ELA[Student Number],YES_Writing_FLA[Student Number]),0),MATCH(VLOOKUP(G$7,'Writing Logic'!$J$7:$K$11,2,FALSE)&amp;" - Per "&amp;VLOOKUP($C$4,'Writing Logic'!$G$8:$H$14,2,FALSE),YES_Writing_ELA[#Headers],0)))),"")</f>
        <v/>
      </c>
      <c r="H270" s="223" t="str">
        <f>IFERROR(IF(IF(INDEX(_xlfn.VSTACK(YES_Writing_ELA[#Data],YES_Writing_FLA[#Data]),MATCH($A270,_xlfn.VSTACK(YES_Writing_ELA[Student Number],YES_Writing_FLA[Student Number]),0),MATCH(VLOOKUP(H$7,'Writing Logic'!$J$7:$K$11,2,FALSE)&amp;" - Per "&amp;VLOOKUP($C$4,'Writing Logic'!$G$8:$H$14,2,FALSE),YES_Writing_ELA[#Headers],0))=0,"",INDEX(_xlfn.VSTACK(YES_Writing_ELA[#Data],YES_Writing_FLA[#Data]),MATCH($A270,_xlfn.VSTACK(YES_Writing_ELA[Student Number],YES_Writing_FLA[Student Number]),0),MATCH(VLOOKUP(H$7,'Writing Logic'!$J$7:$K$11,2,FALSE)&amp;" - Per "&amp;VLOOKUP($C$4,'Writing Logic'!$G$8:$H$14,2,FALSE),YES_Writing_ELA[#Headers],0)))="INS",'Writing Logic'!$B$7,IF(INDEX(_xlfn.VSTACK(YES_Writing_ELA[#Data],YES_Writing_FLA[#Data]),MATCH($A270,_xlfn.VSTACK(YES_Writing_ELA[Student Number],YES_Writing_FLA[Student Number]),0),MATCH(VLOOKUP(H$7,'Writing Logic'!$J$7:$K$11,2,FALSE)&amp;" - Per "&amp;VLOOKUP($C$4,'Writing Logic'!$G$8:$H$14,2,FALSE),YES_Writing_ELA[#Headers],0))=0,"",INDEX(_xlfn.VSTACK(YES_Writing_ELA[#Data],YES_Writing_FLA[#Data]),MATCH($A270,_xlfn.VSTACK(YES_Writing_ELA[Student Number],YES_Writing_FLA[Student Number]),0),MATCH(VLOOKUP(H$7,'Writing Logic'!$J$7:$K$11,2,FALSE)&amp;" - Per "&amp;VLOOKUP($C$4,'Writing Logic'!$G$8:$H$14,2,FALSE),YES_Writing_ELA[#Headers],0)))),"")</f>
        <v/>
      </c>
      <c r="I270" s="224" t="str" cm="1">
        <f t="array" aca="1" ref="I270" ca="1">IFERROR(
IF($G$3="ELA",
IF(VLOOKUP($A270, YES_Reading_ELA[], COLUMN(INDIRECT("YES_Reading_ELA[Difference - Per "&amp;VLOOKUP($G$4, 'Reading Report Logic'!$A$2:$B$8, 2, FALSE)&amp;"]")), FALSE)="", "",
VLOOKUP($A270,YES_Reading_ELA[], COLUMN(INDIRECT("YES_Reading_ELA[Difference - Per "&amp;VLOOKUP($G$4,'Reading Report Logic'!$A$2:$B$8,2,FALSE)&amp;"]")), FALSE)),
IF($G$3="FLA",
IF(VLOOKUP($A270, YES_Reading_FLA[], COLUMN(INDIRECT("YES_Reading_FLA[Difference - Per "&amp;VLOOKUP($G$4,'Reading Report Logic'!$A$2:$B$8,2,FALSE)&amp;"]")),FALSE)="","",
VLOOKUP($A270,YES_Reading_FLA[],COLUMN(INDIRECT("YES_Reading_FLA[Difference - Per "&amp;VLOOKUP($G$4,'Reading Report Logic'!$A$2:$B$8,2,FALSE)&amp;"]")),FALSE)),
IF($G$3="Combined",
IFERROR(
IF(VLOOKUP($A270, YES_Reading_ELA[], COLUMN(INDIRECT("YES_Reading_ELA[Difference - Per "&amp;VLOOKUP($G$4, 'Reading Report Logic'!$A$2:$B$8,2,FALSE)&amp;"]")), FALSE)="", "",
VLOOKUP($A270,YES_Reading_ELA[],COLUMN(INDIRECT("YES_Reading_ELA[Difference - Per "&amp;VLOOKUP($G$4,'Reading Report Logic'!$A$2:$B$8,2,FALSE)&amp;"]")),FALSE)),
IF(VLOOKUP($A270, YES_Reading_FLA[], COLUMN(INDIRECT("YES_Reading_FLA[Difference - Per "&amp;VLOOKUP($G$4, 'Reading Report Logic'!$A$2:$B$8, 2, FALSE)&amp;"]")),FALSE)="", "", VLOOKUP($A270,YES_Reading_FLA[],COLUMN(INDIRECT("YES_Reading_FLA[Difference - Per "&amp;VLOOKUP($G$4, 'Reading Report Logic'!$A$2:$B$8, 2, FALSE)&amp;"]")),FALSE))),""))),"")</f>
        <v/>
      </c>
    </row>
    <row r="271" spans="1:9" x14ac:dyDescent="0.25">
      <c r="A271" s="137"/>
      <c r="B271" s="137" t="str">
        <f>IFERROR(INDEX(_xlfn.VSTACK(YES_Writing_ELA[#Data], YES_Writing_FLA[#Data]),MATCH($A271,_xlfn.VSTACK(YES_Writing_ELA[Student Number], YES_Writing_FLA[Student Number]),0),MATCH(B$7,YES_Writing_ELA[#Headers],0)),IFERROR(INDEX(_xlfn.VSTACK(YES_Reading_ELA[#Data], YES_Reading_FLA[#Data]),MATCH($A271,_xlfn.VSTACK(YES_Reading_ELA[Student Number], YES_Reading_FLA[Student Number]),0),MATCH(B$7,YES_Reading_ELA[#Headers],0)),""))</f>
        <v/>
      </c>
      <c r="C271" s="137" t="str">
        <f>IFERROR(INDEX(_xlfn.VSTACK(YES_Writing_ELA[#Data], YES_Writing_FLA[#Data]),MATCH($A271,_xlfn.VSTACK(YES_Writing_ELA[Student Number], YES_Writing_FLA[Student Number]),0),MATCH(C$7,YES_Writing_ELA[#Headers],0)),IFERROR(INDEX(_xlfn.VSTACK(YES_Reading_ELA[#Data], YES_Reading_FLA[#Data]),MATCH($A271,_xlfn.VSTACK(YES_Reading_ELA[Student Number], YES_Reading_FLA[Student Number]),0),MATCH(C$7,YES_Reading_ELA[#Headers],0)),""))</f>
        <v/>
      </c>
      <c r="D271" s="138" t="str">
        <f>IFERROR(IF(IF(INDEX(_xlfn.VSTACK(YES_Writing_ELA[#Data],YES_Writing_FLA[#Data]),MATCH($A271,_xlfn.VSTACK(YES_Writing_ELA[Student Number],YES_Writing_FLA[Student Number]),0),MATCH(VLOOKUP(D$7,'Writing Logic'!$J$7:$K$11,2,FALSE)&amp;" - Per "&amp;VLOOKUP($C$4,'Writing Logic'!$G$8:$H$14,2,FALSE),YES_Writing_ELA[#Headers],0))=0,"",INDEX(_xlfn.VSTACK(YES_Writing_ELA[#Data],YES_Writing_FLA[#Data]),MATCH($A271,_xlfn.VSTACK(YES_Writing_ELA[Student Number],YES_Writing_FLA[Student Number]),0),MATCH(VLOOKUP(D$7,'Writing Logic'!$J$7:$K$11,2,FALSE)&amp;" - Per "&amp;VLOOKUP($C$4,'Writing Logic'!$G$8:$H$14,2,FALSE),YES_Writing_ELA[#Headers],0)))="INS",'Writing Logic'!$B$7,IF(INDEX(_xlfn.VSTACK(YES_Writing_ELA[#Data],YES_Writing_FLA[#Data]),MATCH($A271,_xlfn.VSTACK(YES_Writing_ELA[Student Number],YES_Writing_FLA[Student Number]),0),MATCH(VLOOKUP(D$7,'Writing Logic'!$J$7:$K$11,2,FALSE)&amp;" - Per "&amp;VLOOKUP($C$4,'Writing Logic'!$G$8:$H$14,2,FALSE),YES_Writing_ELA[#Headers],0))=0,"",INDEX(_xlfn.VSTACK(YES_Writing_ELA[#Data],YES_Writing_FLA[#Data]),MATCH($A271,_xlfn.VSTACK(YES_Writing_ELA[Student Number],YES_Writing_FLA[Student Number]),0),MATCH(VLOOKUP(D$7,'Writing Logic'!$J$7:$K$11,2,FALSE)&amp;" - Per "&amp;VLOOKUP($C$4,'Writing Logic'!$G$8:$H$14,2,FALSE),YES_Writing_ELA[#Headers],0)))),"")</f>
        <v/>
      </c>
      <c r="E271" s="138" t="str">
        <f>IFERROR(IF(IF(INDEX(_xlfn.VSTACK(YES_Writing_ELA[#Data],YES_Writing_FLA[#Data]),MATCH($A271,_xlfn.VSTACK(YES_Writing_ELA[Student Number],YES_Writing_FLA[Student Number]),0),MATCH(VLOOKUP(E$7,'Writing Logic'!$J$7:$K$11,2,FALSE)&amp;" - Per "&amp;VLOOKUP($C$4,'Writing Logic'!$G$8:$H$14,2,FALSE),YES_Writing_ELA[#Headers],0))=0,"",INDEX(_xlfn.VSTACK(YES_Writing_ELA[#Data],YES_Writing_FLA[#Data]),MATCH($A271,_xlfn.VSTACK(YES_Writing_ELA[Student Number],YES_Writing_FLA[Student Number]),0),MATCH(VLOOKUP(E$7,'Writing Logic'!$J$7:$K$11,2,FALSE)&amp;" - Per "&amp;VLOOKUP($C$4,'Writing Logic'!$G$8:$H$14,2,FALSE),YES_Writing_ELA[#Headers],0)))="INS",'Writing Logic'!$B$7,IF(INDEX(_xlfn.VSTACK(YES_Writing_ELA[#Data],YES_Writing_FLA[#Data]),MATCH($A271,_xlfn.VSTACK(YES_Writing_ELA[Student Number],YES_Writing_FLA[Student Number]),0),MATCH(VLOOKUP(E$7,'Writing Logic'!$J$7:$K$11,2,FALSE)&amp;" - Per "&amp;VLOOKUP($C$4,'Writing Logic'!$G$8:$H$14,2,FALSE),YES_Writing_ELA[#Headers],0))=0,"",INDEX(_xlfn.VSTACK(YES_Writing_ELA[#Data],YES_Writing_FLA[#Data]),MATCH($A271,_xlfn.VSTACK(YES_Writing_ELA[Student Number],YES_Writing_FLA[Student Number]),0),MATCH(VLOOKUP(E$7,'Writing Logic'!$J$7:$K$11,2,FALSE)&amp;" - Per "&amp;VLOOKUP($C$4,'Writing Logic'!$G$8:$H$14,2,FALSE),YES_Writing_ELA[#Headers],0)))),"")</f>
        <v/>
      </c>
      <c r="F271" s="138" t="str">
        <f>IFERROR(IF(IF(INDEX(_xlfn.VSTACK(YES_Writing_ELA[#Data],YES_Writing_FLA[#Data]),MATCH($A271,_xlfn.VSTACK(YES_Writing_ELA[Student Number],YES_Writing_FLA[Student Number]),0),MATCH(VLOOKUP(F$7,'Writing Logic'!$J$7:$K$11,2,FALSE)&amp;" - Per "&amp;VLOOKUP($C$4,'Writing Logic'!$G$8:$H$14,2,FALSE),YES_Writing_ELA[#Headers],0))=0,"",INDEX(_xlfn.VSTACK(YES_Writing_ELA[#Data],YES_Writing_FLA[#Data]),MATCH($A271,_xlfn.VSTACK(YES_Writing_ELA[Student Number],YES_Writing_FLA[Student Number]),0),MATCH(VLOOKUP(F$7,'Writing Logic'!$J$7:$K$11,2,FALSE)&amp;" - Per "&amp;VLOOKUP($C$4,'Writing Logic'!$G$8:$H$14,2,FALSE),YES_Writing_ELA[#Headers],0)))="INS",'Writing Logic'!$B$7,IF(INDEX(_xlfn.VSTACK(YES_Writing_ELA[#Data],YES_Writing_FLA[#Data]),MATCH($A271,_xlfn.VSTACK(YES_Writing_ELA[Student Number],YES_Writing_FLA[Student Number]),0),MATCH(VLOOKUP(F$7,'Writing Logic'!$J$7:$K$11,2,FALSE)&amp;" - Per "&amp;VLOOKUP($C$4,'Writing Logic'!$G$8:$H$14,2,FALSE),YES_Writing_ELA[#Headers],0))=0,"",INDEX(_xlfn.VSTACK(YES_Writing_ELA[#Data],YES_Writing_FLA[#Data]),MATCH($A271,_xlfn.VSTACK(YES_Writing_ELA[Student Number],YES_Writing_FLA[Student Number]),0),MATCH(VLOOKUP(F$7,'Writing Logic'!$J$7:$K$11,2,FALSE)&amp;" - Per "&amp;VLOOKUP($C$4,'Writing Logic'!$G$8:$H$14,2,FALSE),YES_Writing_ELA[#Headers],0)))),"")</f>
        <v/>
      </c>
      <c r="G271" s="138" t="str">
        <f>IFERROR(IF(IF(INDEX(_xlfn.VSTACK(YES_Writing_ELA[#Data],YES_Writing_FLA[#Data]),MATCH($A271,_xlfn.VSTACK(YES_Writing_ELA[Student Number],YES_Writing_FLA[Student Number]),0),MATCH(VLOOKUP(G$7,'Writing Logic'!$J$7:$K$11,2,FALSE)&amp;" - Per "&amp;VLOOKUP($C$4,'Writing Logic'!$G$8:$H$14,2,FALSE),YES_Writing_ELA[#Headers],0))=0,"",INDEX(_xlfn.VSTACK(YES_Writing_ELA[#Data],YES_Writing_FLA[#Data]),MATCH($A271,_xlfn.VSTACK(YES_Writing_ELA[Student Number],YES_Writing_FLA[Student Number]),0),MATCH(VLOOKUP(G$7,'Writing Logic'!$J$7:$K$11,2,FALSE)&amp;" - Per "&amp;VLOOKUP($C$4,'Writing Logic'!$G$8:$H$14,2,FALSE),YES_Writing_ELA[#Headers],0)))="INS",'Writing Logic'!$B$7,IF(INDEX(_xlfn.VSTACK(YES_Writing_ELA[#Data],YES_Writing_FLA[#Data]),MATCH($A271,_xlfn.VSTACK(YES_Writing_ELA[Student Number],YES_Writing_FLA[Student Number]),0),MATCH(VLOOKUP(G$7,'Writing Logic'!$J$7:$K$11,2,FALSE)&amp;" - Per "&amp;VLOOKUP($C$4,'Writing Logic'!$G$8:$H$14,2,FALSE),YES_Writing_ELA[#Headers],0))=0,"",INDEX(_xlfn.VSTACK(YES_Writing_ELA[#Data],YES_Writing_FLA[#Data]),MATCH($A271,_xlfn.VSTACK(YES_Writing_ELA[Student Number],YES_Writing_FLA[Student Number]),0),MATCH(VLOOKUP(G$7,'Writing Logic'!$J$7:$K$11,2,FALSE)&amp;" - Per "&amp;VLOOKUP($C$4,'Writing Logic'!$G$8:$H$14,2,FALSE),YES_Writing_ELA[#Headers],0)))),"")</f>
        <v/>
      </c>
      <c r="H271" s="223" t="str">
        <f>IFERROR(IF(IF(INDEX(_xlfn.VSTACK(YES_Writing_ELA[#Data],YES_Writing_FLA[#Data]),MATCH($A271,_xlfn.VSTACK(YES_Writing_ELA[Student Number],YES_Writing_FLA[Student Number]),0),MATCH(VLOOKUP(H$7,'Writing Logic'!$J$7:$K$11,2,FALSE)&amp;" - Per "&amp;VLOOKUP($C$4,'Writing Logic'!$G$8:$H$14,2,FALSE),YES_Writing_ELA[#Headers],0))=0,"",INDEX(_xlfn.VSTACK(YES_Writing_ELA[#Data],YES_Writing_FLA[#Data]),MATCH($A271,_xlfn.VSTACK(YES_Writing_ELA[Student Number],YES_Writing_FLA[Student Number]),0),MATCH(VLOOKUP(H$7,'Writing Logic'!$J$7:$K$11,2,FALSE)&amp;" - Per "&amp;VLOOKUP($C$4,'Writing Logic'!$G$8:$H$14,2,FALSE),YES_Writing_ELA[#Headers],0)))="INS",'Writing Logic'!$B$7,IF(INDEX(_xlfn.VSTACK(YES_Writing_ELA[#Data],YES_Writing_FLA[#Data]),MATCH($A271,_xlfn.VSTACK(YES_Writing_ELA[Student Number],YES_Writing_FLA[Student Number]),0),MATCH(VLOOKUP(H$7,'Writing Logic'!$J$7:$K$11,2,FALSE)&amp;" - Per "&amp;VLOOKUP($C$4,'Writing Logic'!$G$8:$H$14,2,FALSE),YES_Writing_ELA[#Headers],0))=0,"",INDEX(_xlfn.VSTACK(YES_Writing_ELA[#Data],YES_Writing_FLA[#Data]),MATCH($A271,_xlfn.VSTACK(YES_Writing_ELA[Student Number],YES_Writing_FLA[Student Number]),0),MATCH(VLOOKUP(H$7,'Writing Logic'!$J$7:$K$11,2,FALSE)&amp;" - Per "&amp;VLOOKUP($C$4,'Writing Logic'!$G$8:$H$14,2,FALSE),YES_Writing_ELA[#Headers],0)))),"")</f>
        <v/>
      </c>
      <c r="I271" s="224" t="str" cm="1">
        <f t="array" aca="1" ref="I271" ca="1">IFERROR(
IF($G$3="ELA",
IF(VLOOKUP($A271, YES_Reading_ELA[], COLUMN(INDIRECT("YES_Reading_ELA[Difference - Per "&amp;VLOOKUP($G$4, 'Reading Report Logic'!$A$2:$B$8, 2, FALSE)&amp;"]")), FALSE)="", "",
VLOOKUP($A271,YES_Reading_ELA[], COLUMN(INDIRECT("YES_Reading_ELA[Difference - Per "&amp;VLOOKUP($G$4,'Reading Report Logic'!$A$2:$B$8,2,FALSE)&amp;"]")), FALSE)),
IF($G$3="FLA",
IF(VLOOKUP($A271, YES_Reading_FLA[], COLUMN(INDIRECT("YES_Reading_FLA[Difference - Per "&amp;VLOOKUP($G$4,'Reading Report Logic'!$A$2:$B$8,2,FALSE)&amp;"]")),FALSE)="","",
VLOOKUP($A271,YES_Reading_FLA[],COLUMN(INDIRECT("YES_Reading_FLA[Difference - Per "&amp;VLOOKUP($G$4,'Reading Report Logic'!$A$2:$B$8,2,FALSE)&amp;"]")),FALSE)),
IF($G$3="Combined",
IFERROR(
IF(VLOOKUP($A271, YES_Reading_ELA[], COLUMN(INDIRECT("YES_Reading_ELA[Difference - Per "&amp;VLOOKUP($G$4, 'Reading Report Logic'!$A$2:$B$8,2,FALSE)&amp;"]")), FALSE)="", "",
VLOOKUP($A271,YES_Reading_ELA[],COLUMN(INDIRECT("YES_Reading_ELA[Difference - Per "&amp;VLOOKUP($G$4,'Reading Report Logic'!$A$2:$B$8,2,FALSE)&amp;"]")),FALSE)),
IF(VLOOKUP($A271, YES_Reading_FLA[], COLUMN(INDIRECT("YES_Reading_FLA[Difference - Per "&amp;VLOOKUP($G$4, 'Reading Report Logic'!$A$2:$B$8, 2, FALSE)&amp;"]")),FALSE)="", "", VLOOKUP($A271,YES_Reading_FLA[],COLUMN(INDIRECT("YES_Reading_FLA[Difference - Per "&amp;VLOOKUP($G$4, 'Reading Report Logic'!$A$2:$B$8, 2, FALSE)&amp;"]")),FALSE))),""))),"")</f>
        <v/>
      </c>
    </row>
    <row r="272" spans="1:9" x14ac:dyDescent="0.25">
      <c r="A272" s="137"/>
      <c r="B272" s="137" t="str">
        <f>IFERROR(INDEX(_xlfn.VSTACK(YES_Writing_ELA[#Data], YES_Writing_FLA[#Data]),MATCH($A272,_xlfn.VSTACK(YES_Writing_ELA[Student Number], YES_Writing_FLA[Student Number]),0),MATCH(B$7,YES_Writing_ELA[#Headers],0)),IFERROR(INDEX(_xlfn.VSTACK(YES_Reading_ELA[#Data], YES_Reading_FLA[#Data]),MATCH($A272,_xlfn.VSTACK(YES_Reading_ELA[Student Number], YES_Reading_FLA[Student Number]),0),MATCH(B$7,YES_Reading_ELA[#Headers],0)),""))</f>
        <v/>
      </c>
      <c r="C272" s="137" t="str">
        <f>IFERROR(INDEX(_xlfn.VSTACK(YES_Writing_ELA[#Data], YES_Writing_FLA[#Data]),MATCH($A272,_xlfn.VSTACK(YES_Writing_ELA[Student Number], YES_Writing_FLA[Student Number]),0),MATCH(C$7,YES_Writing_ELA[#Headers],0)),IFERROR(INDEX(_xlfn.VSTACK(YES_Reading_ELA[#Data], YES_Reading_FLA[#Data]),MATCH($A272,_xlfn.VSTACK(YES_Reading_ELA[Student Number], YES_Reading_FLA[Student Number]),0),MATCH(C$7,YES_Reading_ELA[#Headers],0)),""))</f>
        <v/>
      </c>
      <c r="D272" s="138" t="str">
        <f>IFERROR(IF(IF(INDEX(_xlfn.VSTACK(YES_Writing_ELA[#Data],YES_Writing_FLA[#Data]),MATCH($A272,_xlfn.VSTACK(YES_Writing_ELA[Student Number],YES_Writing_FLA[Student Number]),0),MATCH(VLOOKUP(D$7,'Writing Logic'!$J$7:$K$11,2,FALSE)&amp;" - Per "&amp;VLOOKUP($C$4,'Writing Logic'!$G$8:$H$14,2,FALSE),YES_Writing_ELA[#Headers],0))=0,"",INDEX(_xlfn.VSTACK(YES_Writing_ELA[#Data],YES_Writing_FLA[#Data]),MATCH($A272,_xlfn.VSTACK(YES_Writing_ELA[Student Number],YES_Writing_FLA[Student Number]),0),MATCH(VLOOKUP(D$7,'Writing Logic'!$J$7:$K$11,2,FALSE)&amp;" - Per "&amp;VLOOKUP($C$4,'Writing Logic'!$G$8:$H$14,2,FALSE),YES_Writing_ELA[#Headers],0)))="INS",'Writing Logic'!$B$7,IF(INDEX(_xlfn.VSTACK(YES_Writing_ELA[#Data],YES_Writing_FLA[#Data]),MATCH($A272,_xlfn.VSTACK(YES_Writing_ELA[Student Number],YES_Writing_FLA[Student Number]),0),MATCH(VLOOKUP(D$7,'Writing Logic'!$J$7:$K$11,2,FALSE)&amp;" - Per "&amp;VLOOKUP($C$4,'Writing Logic'!$G$8:$H$14,2,FALSE),YES_Writing_ELA[#Headers],0))=0,"",INDEX(_xlfn.VSTACK(YES_Writing_ELA[#Data],YES_Writing_FLA[#Data]),MATCH($A272,_xlfn.VSTACK(YES_Writing_ELA[Student Number],YES_Writing_FLA[Student Number]),0),MATCH(VLOOKUP(D$7,'Writing Logic'!$J$7:$K$11,2,FALSE)&amp;" - Per "&amp;VLOOKUP($C$4,'Writing Logic'!$G$8:$H$14,2,FALSE),YES_Writing_ELA[#Headers],0)))),"")</f>
        <v/>
      </c>
      <c r="E272" s="138" t="str">
        <f>IFERROR(IF(IF(INDEX(_xlfn.VSTACK(YES_Writing_ELA[#Data],YES_Writing_FLA[#Data]),MATCH($A272,_xlfn.VSTACK(YES_Writing_ELA[Student Number],YES_Writing_FLA[Student Number]),0),MATCH(VLOOKUP(E$7,'Writing Logic'!$J$7:$K$11,2,FALSE)&amp;" - Per "&amp;VLOOKUP($C$4,'Writing Logic'!$G$8:$H$14,2,FALSE),YES_Writing_ELA[#Headers],0))=0,"",INDEX(_xlfn.VSTACK(YES_Writing_ELA[#Data],YES_Writing_FLA[#Data]),MATCH($A272,_xlfn.VSTACK(YES_Writing_ELA[Student Number],YES_Writing_FLA[Student Number]),0),MATCH(VLOOKUP(E$7,'Writing Logic'!$J$7:$K$11,2,FALSE)&amp;" - Per "&amp;VLOOKUP($C$4,'Writing Logic'!$G$8:$H$14,2,FALSE),YES_Writing_ELA[#Headers],0)))="INS",'Writing Logic'!$B$7,IF(INDEX(_xlfn.VSTACK(YES_Writing_ELA[#Data],YES_Writing_FLA[#Data]),MATCH($A272,_xlfn.VSTACK(YES_Writing_ELA[Student Number],YES_Writing_FLA[Student Number]),0),MATCH(VLOOKUP(E$7,'Writing Logic'!$J$7:$K$11,2,FALSE)&amp;" - Per "&amp;VLOOKUP($C$4,'Writing Logic'!$G$8:$H$14,2,FALSE),YES_Writing_ELA[#Headers],0))=0,"",INDEX(_xlfn.VSTACK(YES_Writing_ELA[#Data],YES_Writing_FLA[#Data]),MATCH($A272,_xlfn.VSTACK(YES_Writing_ELA[Student Number],YES_Writing_FLA[Student Number]),0),MATCH(VLOOKUP(E$7,'Writing Logic'!$J$7:$K$11,2,FALSE)&amp;" - Per "&amp;VLOOKUP($C$4,'Writing Logic'!$G$8:$H$14,2,FALSE),YES_Writing_ELA[#Headers],0)))),"")</f>
        <v/>
      </c>
      <c r="F272" s="138" t="str">
        <f>IFERROR(IF(IF(INDEX(_xlfn.VSTACK(YES_Writing_ELA[#Data],YES_Writing_FLA[#Data]),MATCH($A272,_xlfn.VSTACK(YES_Writing_ELA[Student Number],YES_Writing_FLA[Student Number]),0),MATCH(VLOOKUP(F$7,'Writing Logic'!$J$7:$K$11,2,FALSE)&amp;" - Per "&amp;VLOOKUP($C$4,'Writing Logic'!$G$8:$H$14,2,FALSE),YES_Writing_ELA[#Headers],0))=0,"",INDEX(_xlfn.VSTACK(YES_Writing_ELA[#Data],YES_Writing_FLA[#Data]),MATCH($A272,_xlfn.VSTACK(YES_Writing_ELA[Student Number],YES_Writing_FLA[Student Number]),0),MATCH(VLOOKUP(F$7,'Writing Logic'!$J$7:$K$11,2,FALSE)&amp;" - Per "&amp;VLOOKUP($C$4,'Writing Logic'!$G$8:$H$14,2,FALSE),YES_Writing_ELA[#Headers],0)))="INS",'Writing Logic'!$B$7,IF(INDEX(_xlfn.VSTACK(YES_Writing_ELA[#Data],YES_Writing_FLA[#Data]),MATCH($A272,_xlfn.VSTACK(YES_Writing_ELA[Student Number],YES_Writing_FLA[Student Number]),0),MATCH(VLOOKUP(F$7,'Writing Logic'!$J$7:$K$11,2,FALSE)&amp;" - Per "&amp;VLOOKUP($C$4,'Writing Logic'!$G$8:$H$14,2,FALSE),YES_Writing_ELA[#Headers],0))=0,"",INDEX(_xlfn.VSTACK(YES_Writing_ELA[#Data],YES_Writing_FLA[#Data]),MATCH($A272,_xlfn.VSTACK(YES_Writing_ELA[Student Number],YES_Writing_FLA[Student Number]),0),MATCH(VLOOKUP(F$7,'Writing Logic'!$J$7:$K$11,2,FALSE)&amp;" - Per "&amp;VLOOKUP($C$4,'Writing Logic'!$G$8:$H$14,2,FALSE),YES_Writing_ELA[#Headers],0)))),"")</f>
        <v/>
      </c>
      <c r="G272" s="138" t="str">
        <f>IFERROR(IF(IF(INDEX(_xlfn.VSTACK(YES_Writing_ELA[#Data],YES_Writing_FLA[#Data]),MATCH($A272,_xlfn.VSTACK(YES_Writing_ELA[Student Number],YES_Writing_FLA[Student Number]),0),MATCH(VLOOKUP(G$7,'Writing Logic'!$J$7:$K$11,2,FALSE)&amp;" - Per "&amp;VLOOKUP($C$4,'Writing Logic'!$G$8:$H$14,2,FALSE),YES_Writing_ELA[#Headers],0))=0,"",INDEX(_xlfn.VSTACK(YES_Writing_ELA[#Data],YES_Writing_FLA[#Data]),MATCH($A272,_xlfn.VSTACK(YES_Writing_ELA[Student Number],YES_Writing_FLA[Student Number]),0),MATCH(VLOOKUP(G$7,'Writing Logic'!$J$7:$K$11,2,FALSE)&amp;" - Per "&amp;VLOOKUP($C$4,'Writing Logic'!$G$8:$H$14,2,FALSE),YES_Writing_ELA[#Headers],0)))="INS",'Writing Logic'!$B$7,IF(INDEX(_xlfn.VSTACK(YES_Writing_ELA[#Data],YES_Writing_FLA[#Data]),MATCH($A272,_xlfn.VSTACK(YES_Writing_ELA[Student Number],YES_Writing_FLA[Student Number]),0),MATCH(VLOOKUP(G$7,'Writing Logic'!$J$7:$K$11,2,FALSE)&amp;" - Per "&amp;VLOOKUP($C$4,'Writing Logic'!$G$8:$H$14,2,FALSE),YES_Writing_ELA[#Headers],0))=0,"",INDEX(_xlfn.VSTACK(YES_Writing_ELA[#Data],YES_Writing_FLA[#Data]),MATCH($A272,_xlfn.VSTACK(YES_Writing_ELA[Student Number],YES_Writing_FLA[Student Number]),0),MATCH(VLOOKUP(G$7,'Writing Logic'!$J$7:$K$11,2,FALSE)&amp;" - Per "&amp;VLOOKUP($C$4,'Writing Logic'!$G$8:$H$14,2,FALSE),YES_Writing_ELA[#Headers],0)))),"")</f>
        <v/>
      </c>
      <c r="H272" s="223" t="str">
        <f>IFERROR(IF(IF(INDEX(_xlfn.VSTACK(YES_Writing_ELA[#Data],YES_Writing_FLA[#Data]),MATCH($A272,_xlfn.VSTACK(YES_Writing_ELA[Student Number],YES_Writing_FLA[Student Number]),0),MATCH(VLOOKUP(H$7,'Writing Logic'!$J$7:$K$11,2,FALSE)&amp;" - Per "&amp;VLOOKUP($C$4,'Writing Logic'!$G$8:$H$14,2,FALSE),YES_Writing_ELA[#Headers],0))=0,"",INDEX(_xlfn.VSTACK(YES_Writing_ELA[#Data],YES_Writing_FLA[#Data]),MATCH($A272,_xlfn.VSTACK(YES_Writing_ELA[Student Number],YES_Writing_FLA[Student Number]),0),MATCH(VLOOKUP(H$7,'Writing Logic'!$J$7:$K$11,2,FALSE)&amp;" - Per "&amp;VLOOKUP($C$4,'Writing Logic'!$G$8:$H$14,2,FALSE),YES_Writing_ELA[#Headers],0)))="INS",'Writing Logic'!$B$7,IF(INDEX(_xlfn.VSTACK(YES_Writing_ELA[#Data],YES_Writing_FLA[#Data]),MATCH($A272,_xlfn.VSTACK(YES_Writing_ELA[Student Number],YES_Writing_FLA[Student Number]),0),MATCH(VLOOKUP(H$7,'Writing Logic'!$J$7:$K$11,2,FALSE)&amp;" - Per "&amp;VLOOKUP($C$4,'Writing Logic'!$G$8:$H$14,2,FALSE),YES_Writing_ELA[#Headers],0))=0,"",INDEX(_xlfn.VSTACK(YES_Writing_ELA[#Data],YES_Writing_FLA[#Data]),MATCH($A272,_xlfn.VSTACK(YES_Writing_ELA[Student Number],YES_Writing_FLA[Student Number]),0),MATCH(VLOOKUP(H$7,'Writing Logic'!$J$7:$K$11,2,FALSE)&amp;" - Per "&amp;VLOOKUP($C$4,'Writing Logic'!$G$8:$H$14,2,FALSE),YES_Writing_ELA[#Headers],0)))),"")</f>
        <v/>
      </c>
      <c r="I272" s="224" t="str" cm="1">
        <f t="array" aca="1" ref="I272" ca="1">IFERROR(
IF($G$3="ELA",
IF(VLOOKUP($A272, YES_Reading_ELA[], COLUMN(INDIRECT("YES_Reading_ELA[Difference - Per "&amp;VLOOKUP($G$4, 'Reading Report Logic'!$A$2:$B$8, 2, FALSE)&amp;"]")), FALSE)="", "",
VLOOKUP($A272,YES_Reading_ELA[], COLUMN(INDIRECT("YES_Reading_ELA[Difference - Per "&amp;VLOOKUP($G$4,'Reading Report Logic'!$A$2:$B$8,2,FALSE)&amp;"]")), FALSE)),
IF($G$3="FLA",
IF(VLOOKUP($A272, YES_Reading_FLA[], COLUMN(INDIRECT("YES_Reading_FLA[Difference - Per "&amp;VLOOKUP($G$4,'Reading Report Logic'!$A$2:$B$8,2,FALSE)&amp;"]")),FALSE)="","",
VLOOKUP($A272,YES_Reading_FLA[],COLUMN(INDIRECT("YES_Reading_FLA[Difference - Per "&amp;VLOOKUP($G$4,'Reading Report Logic'!$A$2:$B$8,2,FALSE)&amp;"]")),FALSE)),
IF($G$3="Combined",
IFERROR(
IF(VLOOKUP($A272, YES_Reading_ELA[], COLUMN(INDIRECT("YES_Reading_ELA[Difference - Per "&amp;VLOOKUP($G$4, 'Reading Report Logic'!$A$2:$B$8,2,FALSE)&amp;"]")), FALSE)="", "",
VLOOKUP($A272,YES_Reading_ELA[],COLUMN(INDIRECT("YES_Reading_ELA[Difference - Per "&amp;VLOOKUP($G$4,'Reading Report Logic'!$A$2:$B$8,2,FALSE)&amp;"]")),FALSE)),
IF(VLOOKUP($A272, YES_Reading_FLA[], COLUMN(INDIRECT("YES_Reading_FLA[Difference - Per "&amp;VLOOKUP($G$4, 'Reading Report Logic'!$A$2:$B$8, 2, FALSE)&amp;"]")),FALSE)="", "", VLOOKUP($A272,YES_Reading_FLA[],COLUMN(INDIRECT("YES_Reading_FLA[Difference - Per "&amp;VLOOKUP($G$4, 'Reading Report Logic'!$A$2:$B$8, 2, FALSE)&amp;"]")),FALSE))),""))),"")</f>
        <v/>
      </c>
    </row>
    <row r="273" spans="1:9" x14ac:dyDescent="0.25">
      <c r="A273" s="137"/>
      <c r="B273" s="137" t="str">
        <f>IFERROR(INDEX(_xlfn.VSTACK(YES_Writing_ELA[#Data], YES_Writing_FLA[#Data]),MATCH($A273,_xlfn.VSTACK(YES_Writing_ELA[Student Number], YES_Writing_FLA[Student Number]),0),MATCH(B$7,YES_Writing_ELA[#Headers],0)),IFERROR(INDEX(_xlfn.VSTACK(YES_Reading_ELA[#Data], YES_Reading_FLA[#Data]),MATCH($A273,_xlfn.VSTACK(YES_Reading_ELA[Student Number], YES_Reading_FLA[Student Number]),0),MATCH(B$7,YES_Reading_ELA[#Headers],0)),""))</f>
        <v/>
      </c>
      <c r="C273" s="137" t="str">
        <f>IFERROR(INDEX(_xlfn.VSTACK(YES_Writing_ELA[#Data], YES_Writing_FLA[#Data]),MATCH($A273,_xlfn.VSTACK(YES_Writing_ELA[Student Number], YES_Writing_FLA[Student Number]),0),MATCH(C$7,YES_Writing_ELA[#Headers],0)),IFERROR(INDEX(_xlfn.VSTACK(YES_Reading_ELA[#Data], YES_Reading_FLA[#Data]),MATCH($A273,_xlfn.VSTACK(YES_Reading_ELA[Student Number], YES_Reading_FLA[Student Number]),0),MATCH(C$7,YES_Reading_ELA[#Headers],0)),""))</f>
        <v/>
      </c>
      <c r="D273" s="138" t="str">
        <f>IFERROR(IF(IF(INDEX(_xlfn.VSTACK(YES_Writing_ELA[#Data],YES_Writing_FLA[#Data]),MATCH($A273,_xlfn.VSTACK(YES_Writing_ELA[Student Number],YES_Writing_FLA[Student Number]),0),MATCH(VLOOKUP(D$7,'Writing Logic'!$J$7:$K$11,2,FALSE)&amp;" - Per "&amp;VLOOKUP($C$4,'Writing Logic'!$G$8:$H$14,2,FALSE),YES_Writing_ELA[#Headers],0))=0,"",INDEX(_xlfn.VSTACK(YES_Writing_ELA[#Data],YES_Writing_FLA[#Data]),MATCH($A273,_xlfn.VSTACK(YES_Writing_ELA[Student Number],YES_Writing_FLA[Student Number]),0),MATCH(VLOOKUP(D$7,'Writing Logic'!$J$7:$K$11,2,FALSE)&amp;" - Per "&amp;VLOOKUP($C$4,'Writing Logic'!$G$8:$H$14,2,FALSE),YES_Writing_ELA[#Headers],0)))="INS",'Writing Logic'!$B$7,IF(INDEX(_xlfn.VSTACK(YES_Writing_ELA[#Data],YES_Writing_FLA[#Data]),MATCH($A273,_xlfn.VSTACK(YES_Writing_ELA[Student Number],YES_Writing_FLA[Student Number]),0),MATCH(VLOOKUP(D$7,'Writing Logic'!$J$7:$K$11,2,FALSE)&amp;" - Per "&amp;VLOOKUP($C$4,'Writing Logic'!$G$8:$H$14,2,FALSE),YES_Writing_ELA[#Headers],0))=0,"",INDEX(_xlfn.VSTACK(YES_Writing_ELA[#Data],YES_Writing_FLA[#Data]),MATCH($A273,_xlfn.VSTACK(YES_Writing_ELA[Student Number],YES_Writing_FLA[Student Number]),0),MATCH(VLOOKUP(D$7,'Writing Logic'!$J$7:$K$11,2,FALSE)&amp;" - Per "&amp;VLOOKUP($C$4,'Writing Logic'!$G$8:$H$14,2,FALSE),YES_Writing_ELA[#Headers],0)))),"")</f>
        <v/>
      </c>
      <c r="E273" s="138" t="str">
        <f>IFERROR(IF(IF(INDEX(_xlfn.VSTACK(YES_Writing_ELA[#Data],YES_Writing_FLA[#Data]),MATCH($A273,_xlfn.VSTACK(YES_Writing_ELA[Student Number],YES_Writing_FLA[Student Number]),0),MATCH(VLOOKUP(E$7,'Writing Logic'!$J$7:$K$11,2,FALSE)&amp;" - Per "&amp;VLOOKUP($C$4,'Writing Logic'!$G$8:$H$14,2,FALSE),YES_Writing_ELA[#Headers],0))=0,"",INDEX(_xlfn.VSTACK(YES_Writing_ELA[#Data],YES_Writing_FLA[#Data]),MATCH($A273,_xlfn.VSTACK(YES_Writing_ELA[Student Number],YES_Writing_FLA[Student Number]),0),MATCH(VLOOKUP(E$7,'Writing Logic'!$J$7:$K$11,2,FALSE)&amp;" - Per "&amp;VLOOKUP($C$4,'Writing Logic'!$G$8:$H$14,2,FALSE),YES_Writing_ELA[#Headers],0)))="INS",'Writing Logic'!$B$7,IF(INDEX(_xlfn.VSTACK(YES_Writing_ELA[#Data],YES_Writing_FLA[#Data]),MATCH($A273,_xlfn.VSTACK(YES_Writing_ELA[Student Number],YES_Writing_FLA[Student Number]),0),MATCH(VLOOKUP(E$7,'Writing Logic'!$J$7:$K$11,2,FALSE)&amp;" - Per "&amp;VLOOKUP($C$4,'Writing Logic'!$G$8:$H$14,2,FALSE),YES_Writing_ELA[#Headers],0))=0,"",INDEX(_xlfn.VSTACK(YES_Writing_ELA[#Data],YES_Writing_FLA[#Data]),MATCH($A273,_xlfn.VSTACK(YES_Writing_ELA[Student Number],YES_Writing_FLA[Student Number]),0),MATCH(VLOOKUP(E$7,'Writing Logic'!$J$7:$K$11,2,FALSE)&amp;" - Per "&amp;VLOOKUP($C$4,'Writing Logic'!$G$8:$H$14,2,FALSE),YES_Writing_ELA[#Headers],0)))),"")</f>
        <v/>
      </c>
      <c r="F273" s="138" t="str">
        <f>IFERROR(IF(IF(INDEX(_xlfn.VSTACK(YES_Writing_ELA[#Data],YES_Writing_FLA[#Data]),MATCH($A273,_xlfn.VSTACK(YES_Writing_ELA[Student Number],YES_Writing_FLA[Student Number]),0),MATCH(VLOOKUP(F$7,'Writing Logic'!$J$7:$K$11,2,FALSE)&amp;" - Per "&amp;VLOOKUP($C$4,'Writing Logic'!$G$8:$H$14,2,FALSE),YES_Writing_ELA[#Headers],0))=0,"",INDEX(_xlfn.VSTACK(YES_Writing_ELA[#Data],YES_Writing_FLA[#Data]),MATCH($A273,_xlfn.VSTACK(YES_Writing_ELA[Student Number],YES_Writing_FLA[Student Number]),0),MATCH(VLOOKUP(F$7,'Writing Logic'!$J$7:$K$11,2,FALSE)&amp;" - Per "&amp;VLOOKUP($C$4,'Writing Logic'!$G$8:$H$14,2,FALSE),YES_Writing_ELA[#Headers],0)))="INS",'Writing Logic'!$B$7,IF(INDEX(_xlfn.VSTACK(YES_Writing_ELA[#Data],YES_Writing_FLA[#Data]),MATCH($A273,_xlfn.VSTACK(YES_Writing_ELA[Student Number],YES_Writing_FLA[Student Number]),0),MATCH(VLOOKUP(F$7,'Writing Logic'!$J$7:$K$11,2,FALSE)&amp;" - Per "&amp;VLOOKUP($C$4,'Writing Logic'!$G$8:$H$14,2,FALSE),YES_Writing_ELA[#Headers],0))=0,"",INDEX(_xlfn.VSTACK(YES_Writing_ELA[#Data],YES_Writing_FLA[#Data]),MATCH($A273,_xlfn.VSTACK(YES_Writing_ELA[Student Number],YES_Writing_FLA[Student Number]),0),MATCH(VLOOKUP(F$7,'Writing Logic'!$J$7:$K$11,2,FALSE)&amp;" - Per "&amp;VLOOKUP($C$4,'Writing Logic'!$G$8:$H$14,2,FALSE),YES_Writing_ELA[#Headers],0)))),"")</f>
        <v/>
      </c>
      <c r="G273" s="138" t="str">
        <f>IFERROR(IF(IF(INDEX(_xlfn.VSTACK(YES_Writing_ELA[#Data],YES_Writing_FLA[#Data]),MATCH($A273,_xlfn.VSTACK(YES_Writing_ELA[Student Number],YES_Writing_FLA[Student Number]),0),MATCH(VLOOKUP(G$7,'Writing Logic'!$J$7:$K$11,2,FALSE)&amp;" - Per "&amp;VLOOKUP($C$4,'Writing Logic'!$G$8:$H$14,2,FALSE),YES_Writing_ELA[#Headers],0))=0,"",INDEX(_xlfn.VSTACK(YES_Writing_ELA[#Data],YES_Writing_FLA[#Data]),MATCH($A273,_xlfn.VSTACK(YES_Writing_ELA[Student Number],YES_Writing_FLA[Student Number]),0),MATCH(VLOOKUP(G$7,'Writing Logic'!$J$7:$K$11,2,FALSE)&amp;" - Per "&amp;VLOOKUP($C$4,'Writing Logic'!$G$8:$H$14,2,FALSE),YES_Writing_ELA[#Headers],0)))="INS",'Writing Logic'!$B$7,IF(INDEX(_xlfn.VSTACK(YES_Writing_ELA[#Data],YES_Writing_FLA[#Data]),MATCH($A273,_xlfn.VSTACK(YES_Writing_ELA[Student Number],YES_Writing_FLA[Student Number]),0),MATCH(VLOOKUP(G$7,'Writing Logic'!$J$7:$K$11,2,FALSE)&amp;" - Per "&amp;VLOOKUP($C$4,'Writing Logic'!$G$8:$H$14,2,FALSE),YES_Writing_ELA[#Headers],0))=0,"",INDEX(_xlfn.VSTACK(YES_Writing_ELA[#Data],YES_Writing_FLA[#Data]),MATCH($A273,_xlfn.VSTACK(YES_Writing_ELA[Student Number],YES_Writing_FLA[Student Number]),0),MATCH(VLOOKUP(G$7,'Writing Logic'!$J$7:$K$11,2,FALSE)&amp;" - Per "&amp;VLOOKUP($C$4,'Writing Logic'!$G$8:$H$14,2,FALSE),YES_Writing_ELA[#Headers],0)))),"")</f>
        <v/>
      </c>
      <c r="H273" s="223" t="str">
        <f>IFERROR(IF(IF(INDEX(_xlfn.VSTACK(YES_Writing_ELA[#Data],YES_Writing_FLA[#Data]),MATCH($A273,_xlfn.VSTACK(YES_Writing_ELA[Student Number],YES_Writing_FLA[Student Number]),0),MATCH(VLOOKUP(H$7,'Writing Logic'!$J$7:$K$11,2,FALSE)&amp;" - Per "&amp;VLOOKUP($C$4,'Writing Logic'!$G$8:$H$14,2,FALSE),YES_Writing_ELA[#Headers],0))=0,"",INDEX(_xlfn.VSTACK(YES_Writing_ELA[#Data],YES_Writing_FLA[#Data]),MATCH($A273,_xlfn.VSTACK(YES_Writing_ELA[Student Number],YES_Writing_FLA[Student Number]),0),MATCH(VLOOKUP(H$7,'Writing Logic'!$J$7:$K$11,2,FALSE)&amp;" - Per "&amp;VLOOKUP($C$4,'Writing Logic'!$G$8:$H$14,2,FALSE),YES_Writing_ELA[#Headers],0)))="INS",'Writing Logic'!$B$7,IF(INDEX(_xlfn.VSTACK(YES_Writing_ELA[#Data],YES_Writing_FLA[#Data]),MATCH($A273,_xlfn.VSTACK(YES_Writing_ELA[Student Number],YES_Writing_FLA[Student Number]),0),MATCH(VLOOKUP(H$7,'Writing Logic'!$J$7:$K$11,2,FALSE)&amp;" - Per "&amp;VLOOKUP($C$4,'Writing Logic'!$G$8:$H$14,2,FALSE),YES_Writing_ELA[#Headers],0))=0,"",INDEX(_xlfn.VSTACK(YES_Writing_ELA[#Data],YES_Writing_FLA[#Data]),MATCH($A273,_xlfn.VSTACK(YES_Writing_ELA[Student Number],YES_Writing_FLA[Student Number]),0),MATCH(VLOOKUP(H$7,'Writing Logic'!$J$7:$K$11,2,FALSE)&amp;" - Per "&amp;VLOOKUP($C$4,'Writing Logic'!$G$8:$H$14,2,FALSE),YES_Writing_ELA[#Headers],0)))),"")</f>
        <v/>
      </c>
      <c r="I273" s="224" t="str" cm="1">
        <f t="array" aca="1" ref="I273" ca="1">IFERROR(
IF($G$3="ELA",
IF(VLOOKUP($A273, YES_Reading_ELA[], COLUMN(INDIRECT("YES_Reading_ELA[Difference - Per "&amp;VLOOKUP($G$4, 'Reading Report Logic'!$A$2:$B$8, 2, FALSE)&amp;"]")), FALSE)="", "",
VLOOKUP($A273,YES_Reading_ELA[], COLUMN(INDIRECT("YES_Reading_ELA[Difference - Per "&amp;VLOOKUP($G$4,'Reading Report Logic'!$A$2:$B$8,2,FALSE)&amp;"]")), FALSE)),
IF($G$3="FLA",
IF(VLOOKUP($A273, YES_Reading_FLA[], COLUMN(INDIRECT("YES_Reading_FLA[Difference - Per "&amp;VLOOKUP($G$4,'Reading Report Logic'!$A$2:$B$8,2,FALSE)&amp;"]")),FALSE)="","",
VLOOKUP($A273,YES_Reading_FLA[],COLUMN(INDIRECT("YES_Reading_FLA[Difference - Per "&amp;VLOOKUP($G$4,'Reading Report Logic'!$A$2:$B$8,2,FALSE)&amp;"]")),FALSE)),
IF($G$3="Combined",
IFERROR(
IF(VLOOKUP($A273, YES_Reading_ELA[], COLUMN(INDIRECT("YES_Reading_ELA[Difference - Per "&amp;VLOOKUP($G$4, 'Reading Report Logic'!$A$2:$B$8,2,FALSE)&amp;"]")), FALSE)="", "",
VLOOKUP($A273,YES_Reading_ELA[],COLUMN(INDIRECT("YES_Reading_ELA[Difference - Per "&amp;VLOOKUP($G$4,'Reading Report Logic'!$A$2:$B$8,2,FALSE)&amp;"]")),FALSE)),
IF(VLOOKUP($A273, YES_Reading_FLA[], COLUMN(INDIRECT("YES_Reading_FLA[Difference - Per "&amp;VLOOKUP($G$4, 'Reading Report Logic'!$A$2:$B$8, 2, FALSE)&amp;"]")),FALSE)="", "", VLOOKUP($A273,YES_Reading_FLA[],COLUMN(INDIRECT("YES_Reading_FLA[Difference - Per "&amp;VLOOKUP($G$4, 'Reading Report Logic'!$A$2:$B$8, 2, FALSE)&amp;"]")),FALSE))),""))),"")</f>
        <v/>
      </c>
    </row>
    <row r="274" spans="1:9" x14ac:dyDescent="0.25">
      <c r="A274" s="137"/>
      <c r="B274" s="137" t="str">
        <f>IFERROR(INDEX(_xlfn.VSTACK(YES_Writing_ELA[#Data], YES_Writing_FLA[#Data]),MATCH($A274,_xlfn.VSTACK(YES_Writing_ELA[Student Number], YES_Writing_FLA[Student Number]),0),MATCH(B$7,YES_Writing_ELA[#Headers],0)),IFERROR(INDEX(_xlfn.VSTACK(YES_Reading_ELA[#Data], YES_Reading_FLA[#Data]),MATCH($A274,_xlfn.VSTACK(YES_Reading_ELA[Student Number], YES_Reading_FLA[Student Number]),0),MATCH(B$7,YES_Reading_ELA[#Headers],0)),""))</f>
        <v/>
      </c>
      <c r="C274" s="137" t="str">
        <f>IFERROR(INDEX(_xlfn.VSTACK(YES_Writing_ELA[#Data], YES_Writing_FLA[#Data]),MATCH($A274,_xlfn.VSTACK(YES_Writing_ELA[Student Number], YES_Writing_FLA[Student Number]),0),MATCH(C$7,YES_Writing_ELA[#Headers],0)),IFERROR(INDEX(_xlfn.VSTACK(YES_Reading_ELA[#Data], YES_Reading_FLA[#Data]),MATCH($A274,_xlfn.VSTACK(YES_Reading_ELA[Student Number], YES_Reading_FLA[Student Number]),0),MATCH(C$7,YES_Reading_ELA[#Headers],0)),""))</f>
        <v/>
      </c>
      <c r="D274" s="138" t="str">
        <f>IFERROR(IF(IF(INDEX(_xlfn.VSTACK(YES_Writing_ELA[#Data],YES_Writing_FLA[#Data]),MATCH($A274,_xlfn.VSTACK(YES_Writing_ELA[Student Number],YES_Writing_FLA[Student Number]),0),MATCH(VLOOKUP(D$7,'Writing Logic'!$J$7:$K$11,2,FALSE)&amp;" - Per "&amp;VLOOKUP($C$4,'Writing Logic'!$G$8:$H$14,2,FALSE),YES_Writing_ELA[#Headers],0))=0,"",INDEX(_xlfn.VSTACK(YES_Writing_ELA[#Data],YES_Writing_FLA[#Data]),MATCH($A274,_xlfn.VSTACK(YES_Writing_ELA[Student Number],YES_Writing_FLA[Student Number]),0),MATCH(VLOOKUP(D$7,'Writing Logic'!$J$7:$K$11,2,FALSE)&amp;" - Per "&amp;VLOOKUP($C$4,'Writing Logic'!$G$8:$H$14,2,FALSE),YES_Writing_ELA[#Headers],0)))="INS",'Writing Logic'!$B$7,IF(INDEX(_xlfn.VSTACK(YES_Writing_ELA[#Data],YES_Writing_FLA[#Data]),MATCH($A274,_xlfn.VSTACK(YES_Writing_ELA[Student Number],YES_Writing_FLA[Student Number]),0),MATCH(VLOOKUP(D$7,'Writing Logic'!$J$7:$K$11,2,FALSE)&amp;" - Per "&amp;VLOOKUP($C$4,'Writing Logic'!$G$8:$H$14,2,FALSE),YES_Writing_ELA[#Headers],0))=0,"",INDEX(_xlfn.VSTACK(YES_Writing_ELA[#Data],YES_Writing_FLA[#Data]),MATCH($A274,_xlfn.VSTACK(YES_Writing_ELA[Student Number],YES_Writing_FLA[Student Number]),0),MATCH(VLOOKUP(D$7,'Writing Logic'!$J$7:$K$11,2,FALSE)&amp;" - Per "&amp;VLOOKUP($C$4,'Writing Logic'!$G$8:$H$14,2,FALSE),YES_Writing_ELA[#Headers],0)))),"")</f>
        <v/>
      </c>
      <c r="E274" s="138" t="str">
        <f>IFERROR(IF(IF(INDEX(_xlfn.VSTACK(YES_Writing_ELA[#Data],YES_Writing_FLA[#Data]),MATCH($A274,_xlfn.VSTACK(YES_Writing_ELA[Student Number],YES_Writing_FLA[Student Number]),0),MATCH(VLOOKUP(E$7,'Writing Logic'!$J$7:$K$11,2,FALSE)&amp;" - Per "&amp;VLOOKUP($C$4,'Writing Logic'!$G$8:$H$14,2,FALSE),YES_Writing_ELA[#Headers],0))=0,"",INDEX(_xlfn.VSTACK(YES_Writing_ELA[#Data],YES_Writing_FLA[#Data]),MATCH($A274,_xlfn.VSTACK(YES_Writing_ELA[Student Number],YES_Writing_FLA[Student Number]),0),MATCH(VLOOKUP(E$7,'Writing Logic'!$J$7:$K$11,2,FALSE)&amp;" - Per "&amp;VLOOKUP($C$4,'Writing Logic'!$G$8:$H$14,2,FALSE),YES_Writing_ELA[#Headers],0)))="INS",'Writing Logic'!$B$7,IF(INDEX(_xlfn.VSTACK(YES_Writing_ELA[#Data],YES_Writing_FLA[#Data]),MATCH($A274,_xlfn.VSTACK(YES_Writing_ELA[Student Number],YES_Writing_FLA[Student Number]),0),MATCH(VLOOKUP(E$7,'Writing Logic'!$J$7:$K$11,2,FALSE)&amp;" - Per "&amp;VLOOKUP($C$4,'Writing Logic'!$G$8:$H$14,2,FALSE),YES_Writing_ELA[#Headers],0))=0,"",INDEX(_xlfn.VSTACK(YES_Writing_ELA[#Data],YES_Writing_FLA[#Data]),MATCH($A274,_xlfn.VSTACK(YES_Writing_ELA[Student Number],YES_Writing_FLA[Student Number]),0),MATCH(VLOOKUP(E$7,'Writing Logic'!$J$7:$K$11,2,FALSE)&amp;" - Per "&amp;VLOOKUP($C$4,'Writing Logic'!$G$8:$H$14,2,FALSE),YES_Writing_ELA[#Headers],0)))),"")</f>
        <v/>
      </c>
      <c r="F274" s="138" t="str">
        <f>IFERROR(IF(IF(INDEX(_xlfn.VSTACK(YES_Writing_ELA[#Data],YES_Writing_FLA[#Data]),MATCH($A274,_xlfn.VSTACK(YES_Writing_ELA[Student Number],YES_Writing_FLA[Student Number]),0),MATCH(VLOOKUP(F$7,'Writing Logic'!$J$7:$K$11,2,FALSE)&amp;" - Per "&amp;VLOOKUP($C$4,'Writing Logic'!$G$8:$H$14,2,FALSE),YES_Writing_ELA[#Headers],0))=0,"",INDEX(_xlfn.VSTACK(YES_Writing_ELA[#Data],YES_Writing_FLA[#Data]),MATCH($A274,_xlfn.VSTACK(YES_Writing_ELA[Student Number],YES_Writing_FLA[Student Number]),0),MATCH(VLOOKUP(F$7,'Writing Logic'!$J$7:$K$11,2,FALSE)&amp;" - Per "&amp;VLOOKUP($C$4,'Writing Logic'!$G$8:$H$14,2,FALSE),YES_Writing_ELA[#Headers],0)))="INS",'Writing Logic'!$B$7,IF(INDEX(_xlfn.VSTACK(YES_Writing_ELA[#Data],YES_Writing_FLA[#Data]),MATCH($A274,_xlfn.VSTACK(YES_Writing_ELA[Student Number],YES_Writing_FLA[Student Number]),0),MATCH(VLOOKUP(F$7,'Writing Logic'!$J$7:$K$11,2,FALSE)&amp;" - Per "&amp;VLOOKUP($C$4,'Writing Logic'!$G$8:$H$14,2,FALSE),YES_Writing_ELA[#Headers],0))=0,"",INDEX(_xlfn.VSTACK(YES_Writing_ELA[#Data],YES_Writing_FLA[#Data]),MATCH($A274,_xlfn.VSTACK(YES_Writing_ELA[Student Number],YES_Writing_FLA[Student Number]),0),MATCH(VLOOKUP(F$7,'Writing Logic'!$J$7:$K$11,2,FALSE)&amp;" - Per "&amp;VLOOKUP($C$4,'Writing Logic'!$G$8:$H$14,2,FALSE),YES_Writing_ELA[#Headers],0)))),"")</f>
        <v/>
      </c>
      <c r="G274" s="138" t="str">
        <f>IFERROR(IF(IF(INDEX(_xlfn.VSTACK(YES_Writing_ELA[#Data],YES_Writing_FLA[#Data]),MATCH($A274,_xlfn.VSTACK(YES_Writing_ELA[Student Number],YES_Writing_FLA[Student Number]),0),MATCH(VLOOKUP(G$7,'Writing Logic'!$J$7:$K$11,2,FALSE)&amp;" - Per "&amp;VLOOKUP($C$4,'Writing Logic'!$G$8:$H$14,2,FALSE),YES_Writing_ELA[#Headers],0))=0,"",INDEX(_xlfn.VSTACK(YES_Writing_ELA[#Data],YES_Writing_FLA[#Data]),MATCH($A274,_xlfn.VSTACK(YES_Writing_ELA[Student Number],YES_Writing_FLA[Student Number]),0),MATCH(VLOOKUP(G$7,'Writing Logic'!$J$7:$K$11,2,FALSE)&amp;" - Per "&amp;VLOOKUP($C$4,'Writing Logic'!$G$8:$H$14,2,FALSE),YES_Writing_ELA[#Headers],0)))="INS",'Writing Logic'!$B$7,IF(INDEX(_xlfn.VSTACK(YES_Writing_ELA[#Data],YES_Writing_FLA[#Data]),MATCH($A274,_xlfn.VSTACK(YES_Writing_ELA[Student Number],YES_Writing_FLA[Student Number]),0),MATCH(VLOOKUP(G$7,'Writing Logic'!$J$7:$K$11,2,FALSE)&amp;" - Per "&amp;VLOOKUP($C$4,'Writing Logic'!$G$8:$H$14,2,FALSE),YES_Writing_ELA[#Headers],0))=0,"",INDEX(_xlfn.VSTACK(YES_Writing_ELA[#Data],YES_Writing_FLA[#Data]),MATCH($A274,_xlfn.VSTACK(YES_Writing_ELA[Student Number],YES_Writing_FLA[Student Number]),0),MATCH(VLOOKUP(G$7,'Writing Logic'!$J$7:$K$11,2,FALSE)&amp;" - Per "&amp;VLOOKUP($C$4,'Writing Logic'!$G$8:$H$14,2,FALSE),YES_Writing_ELA[#Headers],0)))),"")</f>
        <v/>
      </c>
      <c r="H274" s="223" t="str">
        <f>IFERROR(IF(IF(INDEX(_xlfn.VSTACK(YES_Writing_ELA[#Data],YES_Writing_FLA[#Data]),MATCH($A274,_xlfn.VSTACK(YES_Writing_ELA[Student Number],YES_Writing_FLA[Student Number]),0),MATCH(VLOOKUP(H$7,'Writing Logic'!$J$7:$K$11,2,FALSE)&amp;" - Per "&amp;VLOOKUP($C$4,'Writing Logic'!$G$8:$H$14,2,FALSE),YES_Writing_ELA[#Headers],0))=0,"",INDEX(_xlfn.VSTACK(YES_Writing_ELA[#Data],YES_Writing_FLA[#Data]),MATCH($A274,_xlfn.VSTACK(YES_Writing_ELA[Student Number],YES_Writing_FLA[Student Number]),0),MATCH(VLOOKUP(H$7,'Writing Logic'!$J$7:$K$11,2,FALSE)&amp;" - Per "&amp;VLOOKUP($C$4,'Writing Logic'!$G$8:$H$14,2,FALSE),YES_Writing_ELA[#Headers],0)))="INS",'Writing Logic'!$B$7,IF(INDEX(_xlfn.VSTACK(YES_Writing_ELA[#Data],YES_Writing_FLA[#Data]),MATCH($A274,_xlfn.VSTACK(YES_Writing_ELA[Student Number],YES_Writing_FLA[Student Number]),0),MATCH(VLOOKUP(H$7,'Writing Logic'!$J$7:$K$11,2,FALSE)&amp;" - Per "&amp;VLOOKUP($C$4,'Writing Logic'!$G$8:$H$14,2,FALSE),YES_Writing_ELA[#Headers],0))=0,"",INDEX(_xlfn.VSTACK(YES_Writing_ELA[#Data],YES_Writing_FLA[#Data]),MATCH($A274,_xlfn.VSTACK(YES_Writing_ELA[Student Number],YES_Writing_FLA[Student Number]),0),MATCH(VLOOKUP(H$7,'Writing Logic'!$J$7:$K$11,2,FALSE)&amp;" - Per "&amp;VLOOKUP($C$4,'Writing Logic'!$G$8:$H$14,2,FALSE),YES_Writing_ELA[#Headers],0)))),"")</f>
        <v/>
      </c>
      <c r="I274" s="224" t="str" cm="1">
        <f t="array" aca="1" ref="I274" ca="1">IFERROR(
IF($G$3="ELA",
IF(VLOOKUP($A274, YES_Reading_ELA[], COLUMN(INDIRECT("YES_Reading_ELA[Difference - Per "&amp;VLOOKUP($G$4, 'Reading Report Logic'!$A$2:$B$8, 2, FALSE)&amp;"]")), FALSE)="", "",
VLOOKUP($A274,YES_Reading_ELA[], COLUMN(INDIRECT("YES_Reading_ELA[Difference - Per "&amp;VLOOKUP($G$4,'Reading Report Logic'!$A$2:$B$8,2,FALSE)&amp;"]")), FALSE)),
IF($G$3="FLA",
IF(VLOOKUP($A274, YES_Reading_FLA[], COLUMN(INDIRECT("YES_Reading_FLA[Difference - Per "&amp;VLOOKUP($G$4,'Reading Report Logic'!$A$2:$B$8,2,FALSE)&amp;"]")),FALSE)="","",
VLOOKUP($A274,YES_Reading_FLA[],COLUMN(INDIRECT("YES_Reading_FLA[Difference - Per "&amp;VLOOKUP($G$4,'Reading Report Logic'!$A$2:$B$8,2,FALSE)&amp;"]")),FALSE)),
IF($G$3="Combined",
IFERROR(
IF(VLOOKUP($A274, YES_Reading_ELA[], COLUMN(INDIRECT("YES_Reading_ELA[Difference - Per "&amp;VLOOKUP($G$4, 'Reading Report Logic'!$A$2:$B$8,2,FALSE)&amp;"]")), FALSE)="", "",
VLOOKUP($A274,YES_Reading_ELA[],COLUMN(INDIRECT("YES_Reading_ELA[Difference - Per "&amp;VLOOKUP($G$4,'Reading Report Logic'!$A$2:$B$8,2,FALSE)&amp;"]")),FALSE)),
IF(VLOOKUP($A274, YES_Reading_FLA[], COLUMN(INDIRECT("YES_Reading_FLA[Difference - Per "&amp;VLOOKUP($G$4, 'Reading Report Logic'!$A$2:$B$8, 2, FALSE)&amp;"]")),FALSE)="", "", VLOOKUP($A274,YES_Reading_FLA[],COLUMN(INDIRECT("YES_Reading_FLA[Difference - Per "&amp;VLOOKUP($G$4, 'Reading Report Logic'!$A$2:$B$8, 2, FALSE)&amp;"]")),FALSE))),""))),"")</f>
        <v/>
      </c>
    </row>
    <row r="275" spans="1:9" x14ac:dyDescent="0.25">
      <c r="A275" s="137"/>
      <c r="B275" s="137" t="str">
        <f>IFERROR(INDEX(_xlfn.VSTACK(YES_Writing_ELA[#Data], YES_Writing_FLA[#Data]),MATCH($A275,_xlfn.VSTACK(YES_Writing_ELA[Student Number], YES_Writing_FLA[Student Number]),0),MATCH(B$7,YES_Writing_ELA[#Headers],0)),IFERROR(INDEX(_xlfn.VSTACK(YES_Reading_ELA[#Data], YES_Reading_FLA[#Data]),MATCH($A275,_xlfn.VSTACK(YES_Reading_ELA[Student Number], YES_Reading_FLA[Student Number]),0),MATCH(B$7,YES_Reading_ELA[#Headers],0)),""))</f>
        <v/>
      </c>
      <c r="C275" s="137" t="str">
        <f>IFERROR(INDEX(_xlfn.VSTACK(YES_Writing_ELA[#Data], YES_Writing_FLA[#Data]),MATCH($A275,_xlfn.VSTACK(YES_Writing_ELA[Student Number], YES_Writing_FLA[Student Number]),0),MATCH(C$7,YES_Writing_ELA[#Headers],0)),IFERROR(INDEX(_xlfn.VSTACK(YES_Reading_ELA[#Data], YES_Reading_FLA[#Data]),MATCH($A275,_xlfn.VSTACK(YES_Reading_ELA[Student Number], YES_Reading_FLA[Student Number]),0),MATCH(C$7,YES_Reading_ELA[#Headers],0)),""))</f>
        <v/>
      </c>
      <c r="D275" s="138" t="str">
        <f>IFERROR(IF(IF(INDEX(_xlfn.VSTACK(YES_Writing_ELA[#Data],YES_Writing_FLA[#Data]),MATCH($A275,_xlfn.VSTACK(YES_Writing_ELA[Student Number],YES_Writing_FLA[Student Number]),0),MATCH(VLOOKUP(D$7,'Writing Logic'!$J$7:$K$11,2,FALSE)&amp;" - Per "&amp;VLOOKUP($C$4,'Writing Logic'!$G$8:$H$14,2,FALSE),YES_Writing_ELA[#Headers],0))=0,"",INDEX(_xlfn.VSTACK(YES_Writing_ELA[#Data],YES_Writing_FLA[#Data]),MATCH($A275,_xlfn.VSTACK(YES_Writing_ELA[Student Number],YES_Writing_FLA[Student Number]),0),MATCH(VLOOKUP(D$7,'Writing Logic'!$J$7:$K$11,2,FALSE)&amp;" - Per "&amp;VLOOKUP($C$4,'Writing Logic'!$G$8:$H$14,2,FALSE),YES_Writing_ELA[#Headers],0)))="INS",'Writing Logic'!$B$7,IF(INDEX(_xlfn.VSTACK(YES_Writing_ELA[#Data],YES_Writing_FLA[#Data]),MATCH($A275,_xlfn.VSTACK(YES_Writing_ELA[Student Number],YES_Writing_FLA[Student Number]),0),MATCH(VLOOKUP(D$7,'Writing Logic'!$J$7:$K$11,2,FALSE)&amp;" - Per "&amp;VLOOKUP($C$4,'Writing Logic'!$G$8:$H$14,2,FALSE),YES_Writing_ELA[#Headers],0))=0,"",INDEX(_xlfn.VSTACK(YES_Writing_ELA[#Data],YES_Writing_FLA[#Data]),MATCH($A275,_xlfn.VSTACK(YES_Writing_ELA[Student Number],YES_Writing_FLA[Student Number]),0),MATCH(VLOOKUP(D$7,'Writing Logic'!$J$7:$K$11,2,FALSE)&amp;" - Per "&amp;VLOOKUP($C$4,'Writing Logic'!$G$8:$H$14,2,FALSE),YES_Writing_ELA[#Headers],0)))),"")</f>
        <v/>
      </c>
      <c r="E275" s="138" t="str">
        <f>IFERROR(IF(IF(INDEX(_xlfn.VSTACK(YES_Writing_ELA[#Data],YES_Writing_FLA[#Data]),MATCH($A275,_xlfn.VSTACK(YES_Writing_ELA[Student Number],YES_Writing_FLA[Student Number]),0),MATCH(VLOOKUP(E$7,'Writing Logic'!$J$7:$K$11,2,FALSE)&amp;" - Per "&amp;VLOOKUP($C$4,'Writing Logic'!$G$8:$H$14,2,FALSE),YES_Writing_ELA[#Headers],0))=0,"",INDEX(_xlfn.VSTACK(YES_Writing_ELA[#Data],YES_Writing_FLA[#Data]),MATCH($A275,_xlfn.VSTACK(YES_Writing_ELA[Student Number],YES_Writing_FLA[Student Number]),0),MATCH(VLOOKUP(E$7,'Writing Logic'!$J$7:$K$11,2,FALSE)&amp;" - Per "&amp;VLOOKUP($C$4,'Writing Logic'!$G$8:$H$14,2,FALSE),YES_Writing_ELA[#Headers],0)))="INS",'Writing Logic'!$B$7,IF(INDEX(_xlfn.VSTACK(YES_Writing_ELA[#Data],YES_Writing_FLA[#Data]),MATCH($A275,_xlfn.VSTACK(YES_Writing_ELA[Student Number],YES_Writing_FLA[Student Number]),0),MATCH(VLOOKUP(E$7,'Writing Logic'!$J$7:$K$11,2,FALSE)&amp;" - Per "&amp;VLOOKUP($C$4,'Writing Logic'!$G$8:$H$14,2,FALSE),YES_Writing_ELA[#Headers],0))=0,"",INDEX(_xlfn.VSTACK(YES_Writing_ELA[#Data],YES_Writing_FLA[#Data]),MATCH($A275,_xlfn.VSTACK(YES_Writing_ELA[Student Number],YES_Writing_FLA[Student Number]),0),MATCH(VLOOKUP(E$7,'Writing Logic'!$J$7:$K$11,2,FALSE)&amp;" - Per "&amp;VLOOKUP($C$4,'Writing Logic'!$G$8:$H$14,2,FALSE),YES_Writing_ELA[#Headers],0)))),"")</f>
        <v/>
      </c>
      <c r="F275" s="138" t="str">
        <f>IFERROR(IF(IF(INDEX(_xlfn.VSTACK(YES_Writing_ELA[#Data],YES_Writing_FLA[#Data]),MATCH($A275,_xlfn.VSTACK(YES_Writing_ELA[Student Number],YES_Writing_FLA[Student Number]),0),MATCH(VLOOKUP(F$7,'Writing Logic'!$J$7:$K$11,2,FALSE)&amp;" - Per "&amp;VLOOKUP($C$4,'Writing Logic'!$G$8:$H$14,2,FALSE),YES_Writing_ELA[#Headers],0))=0,"",INDEX(_xlfn.VSTACK(YES_Writing_ELA[#Data],YES_Writing_FLA[#Data]),MATCH($A275,_xlfn.VSTACK(YES_Writing_ELA[Student Number],YES_Writing_FLA[Student Number]),0),MATCH(VLOOKUP(F$7,'Writing Logic'!$J$7:$K$11,2,FALSE)&amp;" - Per "&amp;VLOOKUP($C$4,'Writing Logic'!$G$8:$H$14,2,FALSE),YES_Writing_ELA[#Headers],0)))="INS",'Writing Logic'!$B$7,IF(INDEX(_xlfn.VSTACK(YES_Writing_ELA[#Data],YES_Writing_FLA[#Data]),MATCH($A275,_xlfn.VSTACK(YES_Writing_ELA[Student Number],YES_Writing_FLA[Student Number]),0),MATCH(VLOOKUP(F$7,'Writing Logic'!$J$7:$K$11,2,FALSE)&amp;" - Per "&amp;VLOOKUP($C$4,'Writing Logic'!$G$8:$H$14,2,FALSE),YES_Writing_ELA[#Headers],0))=0,"",INDEX(_xlfn.VSTACK(YES_Writing_ELA[#Data],YES_Writing_FLA[#Data]),MATCH($A275,_xlfn.VSTACK(YES_Writing_ELA[Student Number],YES_Writing_FLA[Student Number]),0),MATCH(VLOOKUP(F$7,'Writing Logic'!$J$7:$K$11,2,FALSE)&amp;" - Per "&amp;VLOOKUP($C$4,'Writing Logic'!$G$8:$H$14,2,FALSE),YES_Writing_ELA[#Headers],0)))),"")</f>
        <v/>
      </c>
      <c r="G275" s="138" t="str">
        <f>IFERROR(IF(IF(INDEX(_xlfn.VSTACK(YES_Writing_ELA[#Data],YES_Writing_FLA[#Data]),MATCH($A275,_xlfn.VSTACK(YES_Writing_ELA[Student Number],YES_Writing_FLA[Student Number]),0),MATCH(VLOOKUP(G$7,'Writing Logic'!$J$7:$K$11,2,FALSE)&amp;" - Per "&amp;VLOOKUP($C$4,'Writing Logic'!$G$8:$H$14,2,FALSE),YES_Writing_ELA[#Headers],0))=0,"",INDEX(_xlfn.VSTACK(YES_Writing_ELA[#Data],YES_Writing_FLA[#Data]),MATCH($A275,_xlfn.VSTACK(YES_Writing_ELA[Student Number],YES_Writing_FLA[Student Number]),0),MATCH(VLOOKUP(G$7,'Writing Logic'!$J$7:$K$11,2,FALSE)&amp;" - Per "&amp;VLOOKUP($C$4,'Writing Logic'!$G$8:$H$14,2,FALSE),YES_Writing_ELA[#Headers],0)))="INS",'Writing Logic'!$B$7,IF(INDEX(_xlfn.VSTACK(YES_Writing_ELA[#Data],YES_Writing_FLA[#Data]),MATCH($A275,_xlfn.VSTACK(YES_Writing_ELA[Student Number],YES_Writing_FLA[Student Number]),0),MATCH(VLOOKUP(G$7,'Writing Logic'!$J$7:$K$11,2,FALSE)&amp;" - Per "&amp;VLOOKUP($C$4,'Writing Logic'!$G$8:$H$14,2,FALSE),YES_Writing_ELA[#Headers],0))=0,"",INDEX(_xlfn.VSTACK(YES_Writing_ELA[#Data],YES_Writing_FLA[#Data]),MATCH($A275,_xlfn.VSTACK(YES_Writing_ELA[Student Number],YES_Writing_FLA[Student Number]),0),MATCH(VLOOKUP(G$7,'Writing Logic'!$J$7:$K$11,2,FALSE)&amp;" - Per "&amp;VLOOKUP($C$4,'Writing Logic'!$G$8:$H$14,2,FALSE),YES_Writing_ELA[#Headers],0)))),"")</f>
        <v/>
      </c>
      <c r="H275" s="223" t="str">
        <f>IFERROR(IF(IF(INDEX(_xlfn.VSTACK(YES_Writing_ELA[#Data],YES_Writing_FLA[#Data]),MATCH($A275,_xlfn.VSTACK(YES_Writing_ELA[Student Number],YES_Writing_FLA[Student Number]),0),MATCH(VLOOKUP(H$7,'Writing Logic'!$J$7:$K$11,2,FALSE)&amp;" - Per "&amp;VLOOKUP($C$4,'Writing Logic'!$G$8:$H$14,2,FALSE),YES_Writing_ELA[#Headers],0))=0,"",INDEX(_xlfn.VSTACK(YES_Writing_ELA[#Data],YES_Writing_FLA[#Data]),MATCH($A275,_xlfn.VSTACK(YES_Writing_ELA[Student Number],YES_Writing_FLA[Student Number]),0),MATCH(VLOOKUP(H$7,'Writing Logic'!$J$7:$K$11,2,FALSE)&amp;" - Per "&amp;VLOOKUP($C$4,'Writing Logic'!$G$8:$H$14,2,FALSE),YES_Writing_ELA[#Headers],0)))="INS",'Writing Logic'!$B$7,IF(INDEX(_xlfn.VSTACK(YES_Writing_ELA[#Data],YES_Writing_FLA[#Data]),MATCH($A275,_xlfn.VSTACK(YES_Writing_ELA[Student Number],YES_Writing_FLA[Student Number]),0),MATCH(VLOOKUP(H$7,'Writing Logic'!$J$7:$K$11,2,FALSE)&amp;" - Per "&amp;VLOOKUP($C$4,'Writing Logic'!$G$8:$H$14,2,FALSE),YES_Writing_ELA[#Headers],0))=0,"",INDEX(_xlfn.VSTACK(YES_Writing_ELA[#Data],YES_Writing_FLA[#Data]),MATCH($A275,_xlfn.VSTACK(YES_Writing_ELA[Student Number],YES_Writing_FLA[Student Number]),0),MATCH(VLOOKUP(H$7,'Writing Logic'!$J$7:$K$11,2,FALSE)&amp;" - Per "&amp;VLOOKUP($C$4,'Writing Logic'!$G$8:$H$14,2,FALSE),YES_Writing_ELA[#Headers],0)))),"")</f>
        <v/>
      </c>
      <c r="I275" s="224" t="str" cm="1">
        <f t="array" aca="1" ref="I275" ca="1">IFERROR(
IF($G$3="ELA",
IF(VLOOKUP($A275, YES_Reading_ELA[], COLUMN(INDIRECT("YES_Reading_ELA[Difference - Per "&amp;VLOOKUP($G$4, 'Reading Report Logic'!$A$2:$B$8, 2, FALSE)&amp;"]")), FALSE)="", "",
VLOOKUP($A275,YES_Reading_ELA[], COLUMN(INDIRECT("YES_Reading_ELA[Difference - Per "&amp;VLOOKUP($G$4,'Reading Report Logic'!$A$2:$B$8,2,FALSE)&amp;"]")), FALSE)),
IF($G$3="FLA",
IF(VLOOKUP($A275, YES_Reading_FLA[], COLUMN(INDIRECT("YES_Reading_FLA[Difference - Per "&amp;VLOOKUP($G$4,'Reading Report Logic'!$A$2:$B$8,2,FALSE)&amp;"]")),FALSE)="","",
VLOOKUP($A275,YES_Reading_FLA[],COLUMN(INDIRECT("YES_Reading_FLA[Difference - Per "&amp;VLOOKUP($G$4,'Reading Report Logic'!$A$2:$B$8,2,FALSE)&amp;"]")),FALSE)),
IF($G$3="Combined",
IFERROR(
IF(VLOOKUP($A275, YES_Reading_ELA[], COLUMN(INDIRECT("YES_Reading_ELA[Difference - Per "&amp;VLOOKUP($G$4, 'Reading Report Logic'!$A$2:$B$8,2,FALSE)&amp;"]")), FALSE)="", "",
VLOOKUP($A275,YES_Reading_ELA[],COLUMN(INDIRECT("YES_Reading_ELA[Difference - Per "&amp;VLOOKUP($G$4,'Reading Report Logic'!$A$2:$B$8,2,FALSE)&amp;"]")),FALSE)),
IF(VLOOKUP($A275, YES_Reading_FLA[], COLUMN(INDIRECT("YES_Reading_FLA[Difference - Per "&amp;VLOOKUP($G$4, 'Reading Report Logic'!$A$2:$B$8, 2, FALSE)&amp;"]")),FALSE)="", "", VLOOKUP($A275,YES_Reading_FLA[],COLUMN(INDIRECT("YES_Reading_FLA[Difference - Per "&amp;VLOOKUP($G$4, 'Reading Report Logic'!$A$2:$B$8, 2, FALSE)&amp;"]")),FALSE))),""))),"")</f>
        <v/>
      </c>
    </row>
    <row r="276" spans="1:9" x14ac:dyDescent="0.25">
      <c r="A276" s="137"/>
      <c r="B276" s="137" t="str">
        <f>IFERROR(INDEX(_xlfn.VSTACK(YES_Writing_ELA[#Data], YES_Writing_FLA[#Data]),MATCH($A276,_xlfn.VSTACK(YES_Writing_ELA[Student Number], YES_Writing_FLA[Student Number]),0),MATCH(B$7,YES_Writing_ELA[#Headers],0)),IFERROR(INDEX(_xlfn.VSTACK(YES_Reading_ELA[#Data], YES_Reading_FLA[#Data]),MATCH($A276,_xlfn.VSTACK(YES_Reading_ELA[Student Number], YES_Reading_FLA[Student Number]),0),MATCH(B$7,YES_Reading_ELA[#Headers],0)),""))</f>
        <v/>
      </c>
      <c r="C276" s="137" t="str">
        <f>IFERROR(INDEX(_xlfn.VSTACK(YES_Writing_ELA[#Data], YES_Writing_FLA[#Data]),MATCH($A276,_xlfn.VSTACK(YES_Writing_ELA[Student Number], YES_Writing_FLA[Student Number]),0),MATCH(C$7,YES_Writing_ELA[#Headers],0)),IFERROR(INDEX(_xlfn.VSTACK(YES_Reading_ELA[#Data], YES_Reading_FLA[#Data]),MATCH($A276,_xlfn.VSTACK(YES_Reading_ELA[Student Number], YES_Reading_FLA[Student Number]),0),MATCH(C$7,YES_Reading_ELA[#Headers],0)),""))</f>
        <v/>
      </c>
      <c r="D276" s="138" t="str">
        <f>IFERROR(IF(IF(INDEX(_xlfn.VSTACK(YES_Writing_ELA[#Data],YES_Writing_FLA[#Data]),MATCH($A276,_xlfn.VSTACK(YES_Writing_ELA[Student Number],YES_Writing_FLA[Student Number]),0),MATCH(VLOOKUP(D$7,'Writing Logic'!$J$7:$K$11,2,FALSE)&amp;" - Per "&amp;VLOOKUP($C$4,'Writing Logic'!$G$8:$H$14,2,FALSE),YES_Writing_ELA[#Headers],0))=0,"",INDEX(_xlfn.VSTACK(YES_Writing_ELA[#Data],YES_Writing_FLA[#Data]),MATCH($A276,_xlfn.VSTACK(YES_Writing_ELA[Student Number],YES_Writing_FLA[Student Number]),0),MATCH(VLOOKUP(D$7,'Writing Logic'!$J$7:$K$11,2,FALSE)&amp;" - Per "&amp;VLOOKUP($C$4,'Writing Logic'!$G$8:$H$14,2,FALSE),YES_Writing_ELA[#Headers],0)))="INS",'Writing Logic'!$B$7,IF(INDEX(_xlfn.VSTACK(YES_Writing_ELA[#Data],YES_Writing_FLA[#Data]),MATCH($A276,_xlfn.VSTACK(YES_Writing_ELA[Student Number],YES_Writing_FLA[Student Number]),0),MATCH(VLOOKUP(D$7,'Writing Logic'!$J$7:$K$11,2,FALSE)&amp;" - Per "&amp;VLOOKUP($C$4,'Writing Logic'!$G$8:$H$14,2,FALSE),YES_Writing_ELA[#Headers],0))=0,"",INDEX(_xlfn.VSTACK(YES_Writing_ELA[#Data],YES_Writing_FLA[#Data]),MATCH($A276,_xlfn.VSTACK(YES_Writing_ELA[Student Number],YES_Writing_FLA[Student Number]),0),MATCH(VLOOKUP(D$7,'Writing Logic'!$J$7:$K$11,2,FALSE)&amp;" - Per "&amp;VLOOKUP($C$4,'Writing Logic'!$G$8:$H$14,2,FALSE),YES_Writing_ELA[#Headers],0)))),"")</f>
        <v/>
      </c>
      <c r="E276" s="138" t="str">
        <f>IFERROR(IF(IF(INDEX(_xlfn.VSTACK(YES_Writing_ELA[#Data],YES_Writing_FLA[#Data]),MATCH($A276,_xlfn.VSTACK(YES_Writing_ELA[Student Number],YES_Writing_FLA[Student Number]),0),MATCH(VLOOKUP(E$7,'Writing Logic'!$J$7:$K$11,2,FALSE)&amp;" - Per "&amp;VLOOKUP($C$4,'Writing Logic'!$G$8:$H$14,2,FALSE),YES_Writing_ELA[#Headers],0))=0,"",INDEX(_xlfn.VSTACK(YES_Writing_ELA[#Data],YES_Writing_FLA[#Data]),MATCH($A276,_xlfn.VSTACK(YES_Writing_ELA[Student Number],YES_Writing_FLA[Student Number]),0),MATCH(VLOOKUP(E$7,'Writing Logic'!$J$7:$K$11,2,FALSE)&amp;" - Per "&amp;VLOOKUP($C$4,'Writing Logic'!$G$8:$H$14,2,FALSE),YES_Writing_ELA[#Headers],0)))="INS",'Writing Logic'!$B$7,IF(INDEX(_xlfn.VSTACK(YES_Writing_ELA[#Data],YES_Writing_FLA[#Data]),MATCH($A276,_xlfn.VSTACK(YES_Writing_ELA[Student Number],YES_Writing_FLA[Student Number]),0),MATCH(VLOOKUP(E$7,'Writing Logic'!$J$7:$K$11,2,FALSE)&amp;" - Per "&amp;VLOOKUP($C$4,'Writing Logic'!$G$8:$H$14,2,FALSE),YES_Writing_ELA[#Headers],0))=0,"",INDEX(_xlfn.VSTACK(YES_Writing_ELA[#Data],YES_Writing_FLA[#Data]),MATCH($A276,_xlfn.VSTACK(YES_Writing_ELA[Student Number],YES_Writing_FLA[Student Number]),0),MATCH(VLOOKUP(E$7,'Writing Logic'!$J$7:$K$11,2,FALSE)&amp;" - Per "&amp;VLOOKUP($C$4,'Writing Logic'!$G$8:$H$14,2,FALSE),YES_Writing_ELA[#Headers],0)))),"")</f>
        <v/>
      </c>
      <c r="F276" s="138" t="str">
        <f>IFERROR(IF(IF(INDEX(_xlfn.VSTACK(YES_Writing_ELA[#Data],YES_Writing_FLA[#Data]),MATCH($A276,_xlfn.VSTACK(YES_Writing_ELA[Student Number],YES_Writing_FLA[Student Number]),0),MATCH(VLOOKUP(F$7,'Writing Logic'!$J$7:$K$11,2,FALSE)&amp;" - Per "&amp;VLOOKUP($C$4,'Writing Logic'!$G$8:$H$14,2,FALSE),YES_Writing_ELA[#Headers],0))=0,"",INDEX(_xlfn.VSTACK(YES_Writing_ELA[#Data],YES_Writing_FLA[#Data]),MATCH($A276,_xlfn.VSTACK(YES_Writing_ELA[Student Number],YES_Writing_FLA[Student Number]),0),MATCH(VLOOKUP(F$7,'Writing Logic'!$J$7:$K$11,2,FALSE)&amp;" - Per "&amp;VLOOKUP($C$4,'Writing Logic'!$G$8:$H$14,2,FALSE),YES_Writing_ELA[#Headers],0)))="INS",'Writing Logic'!$B$7,IF(INDEX(_xlfn.VSTACK(YES_Writing_ELA[#Data],YES_Writing_FLA[#Data]),MATCH($A276,_xlfn.VSTACK(YES_Writing_ELA[Student Number],YES_Writing_FLA[Student Number]),0),MATCH(VLOOKUP(F$7,'Writing Logic'!$J$7:$K$11,2,FALSE)&amp;" - Per "&amp;VLOOKUP($C$4,'Writing Logic'!$G$8:$H$14,2,FALSE),YES_Writing_ELA[#Headers],0))=0,"",INDEX(_xlfn.VSTACK(YES_Writing_ELA[#Data],YES_Writing_FLA[#Data]),MATCH($A276,_xlfn.VSTACK(YES_Writing_ELA[Student Number],YES_Writing_FLA[Student Number]),0),MATCH(VLOOKUP(F$7,'Writing Logic'!$J$7:$K$11,2,FALSE)&amp;" - Per "&amp;VLOOKUP($C$4,'Writing Logic'!$G$8:$H$14,2,FALSE),YES_Writing_ELA[#Headers],0)))),"")</f>
        <v/>
      </c>
      <c r="G276" s="138" t="str">
        <f>IFERROR(IF(IF(INDEX(_xlfn.VSTACK(YES_Writing_ELA[#Data],YES_Writing_FLA[#Data]),MATCH($A276,_xlfn.VSTACK(YES_Writing_ELA[Student Number],YES_Writing_FLA[Student Number]),0),MATCH(VLOOKUP(G$7,'Writing Logic'!$J$7:$K$11,2,FALSE)&amp;" - Per "&amp;VLOOKUP($C$4,'Writing Logic'!$G$8:$H$14,2,FALSE),YES_Writing_ELA[#Headers],0))=0,"",INDEX(_xlfn.VSTACK(YES_Writing_ELA[#Data],YES_Writing_FLA[#Data]),MATCH($A276,_xlfn.VSTACK(YES_Writing_ELA[Student Number],YES_Writing_FLA[Student Number]),0),MATCH(VLOOKUP(G$7,'Writing Logic'!$J$7:$K$11,2,FALSE)&amp;" - Per "&amp;VLOOKUP($C$4,'Writing Logic'!$G$8:$H$14,2,FALSE),YES_Writing_ELA[#Headers],0)))="INS",'Writing Logic'!$B$7,IF(INDEX(_xlfn.VSTACK(YES_Writing_ELA[#Data],YES_Writing_FLA[#Data]),MATCH($A276,_xlfn.VSTACK(YES_Writing_ELA[Student Number],YES_Writing_FLA[Student Number]),0),MATCH(VLOOKUP(G$7,'Writing Logic'!$J$7:$K$11,2,FALSE)&amp;" - Per "&amp;VLOOKUP($C$4,'Writing Logic'!$G$8:$H$14,2,FALSE),YES_Writing_ELA[#Headers],0))=0,"",INDEX(_xlfn.VSTACK(YES_Writing_ELA[#Data],YES_Writing_FLA[#Data]),MATCH($A276,_xlfn.VSTACK(YES_Writing_ELA[Student Number],YES_Writing_FLA[Student Number]),0),MATCH(VLOOKUP(G$7,'Writing Logic'!$J$7:$K$11,2,FALSE)&amp;" - Per "&amp;VLOOKUP($C$4,'Writing Logic'!$G$8:$H$14,2,FALSE),YES_Writing_ELA[#Headers],0)))),"")</f>
        <v/>
      </c>
      <c r="H276" s="223" t="str">
        <f>IFERROR(IF(IF(INDEX(_xlfn.VSTACK(YES_Writing_ELA[#Data],YES_Writing_FLA[#Data]),MATCH($A276,_xlfn.VSTACK(YES_Writing_ELA[Student Number],YES_Writing_FLA[Student Number]),0),MATCH(VLOOKUP(H$7,'Writing Logic'!$J$7:$K$11,2,FALSE)&amp;" - Per "&amp;VLOOKUP($C$4,'Writing Logic'!$G$8:$H$14,2,FALSE),YES_Writing_ELA[#Headers],0))=0,"",INDEX(_xlfn.VSTACK(YES_Writing_ELA[#Data],YES_Writing_FLA[#Data]),MATCH($A276,_xlfn.VSTACK(YES_Writing_ELA[Student Number],YES_Writing_FLA[Student Number]),0),MATCH(VLOOKUP(H$7,'Writing Logic'!$J$7:$K$11,2,FALSE)&amp;" - Per "&amp;VLOOKUP($C$4,'Writing Logic'!$G$8:$H$14,2,FALSE),YES_Writing_ELA[#Headers],0)))="INS",'Writing Logic'!$B$7,IF(INDEX(_xlfn.VSTACK(YES_Writing_ELA[#Data],YES_Writing_FLA[#Data]),MATCH($A276,_xlfn.VSTACK(YES_Writing_ELA[Student Number],YES_Writing_FLA[Student Number]),0),MATCH(VLOOKUP(H$7,'Writing Logic'!$J$7:$K$11,2,FALSE)&amp;" - Per "&amp;VLOOKUP($C$4,'Writing Logic'!$G$8:$H$14,2,FALSE),YES_Writing_ELA[#Headers],0))=0,"",INDEX(_xlfn.VSTACK(YES_Writing_ELA[#Data],YES_Writing_FLA[#Data]),MATCH($A276,_xlfn.VSTACK(YES_Writing_ELA[Student Number],YES_Writing_FLA[Student Number]),0),MATCH(VLOOKUP(H$7,'Writing Logic'!$J$7:$K$11,2,FALSE)&amp;" - Per "&amp;VLOOKUP($C$4,'Writing Logic'!$G$8:$H$14,2,FALSE),YES_Writing_ELA[#Headers],0)))),"")</f>
        <v/>
      </c>
      <c r="I276" s="224" t="str" cm="1">
        <f t="array" aca="1" ref="I276" ca="1">IFERROR(
IF($G$3="ELA",
IF(VLOOKUP($A276, YES_Reading_ELA[], COLUMN(INDIRECT("YES_Reading_ELA[Difference - Per "&amp;VLOOKUP($G$4, 'Reading Report Logic'!$A$2:$B$8, 2, FALSE)&amp;"]")), FALSE)="", "",
VLOOKUP($A276,YES_Reading_ELA[], COLUMN(INDIRECT("YES_Reading_ELA[Difference - Per "&amp;VLOOKUP($G$4,'Reading Report Logic'!$A$2:$B$8,2,FALSE)&amp;"]")), FALSE)),
IF($G$3="FLA",
IF(VLOOKUP($A276, YES_Reading_FLA[], COLUMN(INDIRECT("YES_Reading_FLA[Difference - Per "&amp;VLOOKUP($G$4,'Reading Report Logic'!$A$2:$B$8,2,FALSE)&amp;"]")),FALSE)="","",
VLOOKUP($A276,YES_Reading_FLA[],COLUMN(INDIRECT("YES_Reading_FLA[Difference - Per "&amp;VLOOKUP($G$4,'Reading Report Logic'!$A$2:$B$8,2,FALSE)&amp;"]")),FALSE)),
IF($G$3="Combined",
IFERROR(
IF(VLOOKUP($A276, YES_Reading_ELA[], COLUMN(INDIRECT("YES_Reading_ELA[Difference - Per "&amp;VLOOKUP($G$4, 'Reading Report Logic'!$A$2:$B$8,2,FALSE)&amp;"]")), FALSE)="", "",
VLOOKUP($A276,YES_Reading_ELA[],COLUMN(INDIRECT("YES_Reading_ELA[Difference - Per "&amp;VLOOKUP($G$4,'Reading Report Logic'!$A$2:$B$8,2,FALSE)&amp;"]")),FALSE)),
IF(VLOOKUP($A276, YES_Reading_FLA[], COLUMN(INDIRECT("YES_Reading_FLA[Difference - Per "&amp;VLOOKUP($G$4, 'Reading Report Logic'!$A$2:$B$8, 2, FALSE)&amp;"]")),FALSE)="", "", VLOOKUP($A276,YES_Reading_FLA[],COLUMN(INDIRECT("YES_Reading_FLA[Difference - Per "&amp;VLOOKUP($G$4, 'Reading Report Logic'!$A$2:$B$8, 2, FALSE)&amp;"]")),FALSE))),""))),"")</f>
        <v/>
      </c>
    </row>
    <row r="277" spans="1:9" x14ac:dyDescent="0.25">
      <c r="A277" s="137"/>
      <c r="B277" s="137" t="str">
        <f>IFERROR(INDEX(_xlfn.VSTACK(YES_Writing_ELA[#Data], YES_Writing_FLA[#Data]),MATCH($A277,_xlfn.VSTACK(YES_Writing_ELA[Student Number], YES_Writing_FLA[Student Number]),0),MATCH(B$7,YES_Writing_ELA[#Headers],0)),IFERROR(INDEX(_xlfn.VSTACK(YES_Reading_ELA[#Data], YES_Reading_FLA[#Data]),MATCH($A277,_xlfn.VSTACK(YES_Reading_ELA[Student Number], YES_Reading_FLA[Student Number]),0),MATCH(B$7,YES_Reading_ELA[#Headers],0)),""))</f>
        <v/>
      </c>
      <c r="C277" s="137" t="str">
        <f>IFERROR(INDEX(_xlfn.VSTACK(YES_Writing_ELA[#Data], YES_Writing_FLA[#Data]),MATCH($A277,_xlfn.VSTACK(YES_Writing_ELA[Student Number], YES_Writing_FLA[Student Number]),0),MATCH(C$7,YES_Writing_ELA[#Headers],0)),IFERROR(INDEX(_xlfn.VSTACK(YES_Reading_ELA[#Data], YES_Reading_FLA[#Data]),MATCH($A277,_xlfn.VSTACK(YES_Reading_ELA[Student Number], YES_Reading_FLA[Student Number]),0),MATCH(C$7,YES_Reading_ELA[#Headers],0)),""))</f>
        <v/>
      </c>
      <c r="D277" s="138" t="str">
        <f>IFERROR(IF(IF(INDEX(_xlfn.VSTACK(YES_Writing_ELA[#Data],YES_Writing_FLA[#Data]),MATCH($A277,_xlfn.VSTACK(YES_Writing_ELA[Student Number],YES_Writing_FLA[Student Number]),0),MATCH(VLOOKUP(D$7,'Writing Logic'!$J$7:$K$11,2,FALSE)&amp;" - Per "&amp;VLOOKUP($C$4,'Writing Logic'!$G$8:$H$14,2,FALSE),YES_Writing_ELA[#Headers],0))=0,"",INDEX(_xlfn.VSTACK(YES_Writing_ELA[#Data],YES_Writing_FLA[#Data]),MATCH($A277,_xlfn.VSTACK(YES_Writing_ELA[Student Number],YES_Writing_FLA[Student Number]),0),MATCH(VLOOKUP(D$7,'Writing Logic'!$J$7:$K$11,2,FALSE)&amp;" - Per "&amp;VLOOKUP($C$4,'Writing Logic'!$G$8:$H$14,2,FALSE),YES_Writing_ELA[#Headers],0)))="INS",'Writing Logic'!$B$7,IF(INDEX(_xlfn.VSTACK(YES_Writing_ELA[#Data],YES_Writing_FLA[#Data]),MATCH($A277,_xlfn.VSTACK(YES_Writing_ELA[Student Number],YES_Writing_FLA[Student Number]),0),MATCH(VLOOKUP(D$7,'Writing Logic'!$J$7:$K$11,2,FALSE)&amp;" - Per "&amp;VLOOKUP($C$4,'Writing Logic'!$G$8:$H$14,2,FALSE),YES_Writing_ELA[#Headers],0))=0,"",INDEX(_xlfn.VSTACK(YES_Writing_ELA[#Data],YES_Writing_FLA[#Data]),MATCH($A277,_xlfn.VSTACK(YES_Writing_ELA[Student Number],YES_Writing_FLA[Student Number]),0),MATCH(VLOOKUP(D$7,'Writing Logic'!$J$7:$K$11,2,FALSE)&amp;" - Per "&amp;VLOOKUP($C$4,'Writing Logic'!$G$8:$H$14,2,FALSE),YES_Writing_ELA[#Headers],0)))),"")</f>
        <v/>
      </c>
      <c r="E277" s="138" t="str">
        <f>IFERROR(IF(IF(INDEX(_xlfn.VSTACK(YES_Writing_ELA[#Data],YES_Writing_FLA[#Data]),MATCH($A277,_xlfn.VSTACK(YES_Writing_ELA[Student Number],YES_Writing_FLA[Student Number]),0),MATCH(VLOOKUP(E$7,'Writing Logic'!$J$7:$K$11,2,FALSE)&amp;" - Per "&amp;VLOOKUP($C$4,'Writing Logic'!$G$8:$H$14,2,FALSE),YES_Writing_ELA[#Headers],0))=0,"",INDEX(_xlfn.VSTACK(YES_Writing_ELA[#Data],YES_Writing_FLA[#Data]),MATCH($A277,_xlfn.VSTACK(YES_Writing_ELA[Student Number],YES_Writing_FLA[Student Number]),0),MATCH(VLOOKUP(E$7,'Writing Logic'!$J$7:$K$11,2,FALSE)&amp;" - Per "&amp;VLOOKUP($C$4,'Writing Logic'!$G$8:$H$14,2,FALSE),YES_Writing_ELA[#Headers],0)))="INS",'Writing Logic'!$B$7,IF(INDEX(_xlfn.VSTACK(YES_Writing_ELA[#Data],YES_Writing_FLA[#Data]),MATCH($A277,_xlfn.VSTACK(YES_Writing_ELA[Student Number],YES_Writing_FLA[Student Number]),0),MATCH(VLOOKUP(E$7,'Writing Logic'!$J$7:$K$11,2,FALSE)&amp;" - Per "&amp;VLOOKUP($C$4,'Writing Logic'!$G$8:$H$14,2,FALSE),YES_Writing_ELA[#Headers],0))=0,"",INDEX(_xlfn.VSTACK(YES_Writing_ELA[#Data],YES_Writing_FLA[#Data]),MATCH($A277,_xlfn.VSTACK(YES_Writing_ELA[Student Number],YES_Writing_FLA[Student Number]),0),MATCH(VLOOKUP(E$7,'Writing Logic'!$J$7:$K$11,2,FALSE)&amp;" - Per "&amp;VLOOKUP($C$4,'Writing Logic'!$G$8:$H$14,2,FALSE),YES_Writing_ELA[#Headers],0)))),"")</f>
        <v/>
      </c>
      <c r="F277" s="138" t="str">
        <f>IFERROR(IF(IF(INDEX(_xlfn.VSTACK(YES_Writing_ELA[#Data],YES_Writing_FLA[#Data]),MATCH($A277,_xlfn.VSTACK(YES_Writing_ELA[Student Number],YES_Writing_FLA[Student Number]),0),MATCH(VLOOKUP(F$7,'Writing Logic'!$J$7:$K$11,2,FALSE)&amp;" - Per "&amp;VLOOKUP($C$4,'Writing Logic'!$G$8:$H$14,2,FALSE),YES_Writing_ELA[#Headers],0))=0,"",INDEX(_xlfn.VSTACK(YES_Writing_ELA[#Data],YES_Writing_FLA[#Data]),MATCH($A277,_xlfn.VSTACK(YES_Writing_ELA[Student Number],YES_Writing_FLA[Student Number]),0),MATCH(VLOOKUP(F$7,'Writing Logic'!$J$7:$K$11,2,FALSE)&amp;" - Per "&amp;VLOOKUP($C$4,'Writing Logic'!$G$8:$H$14,2,FALSE),YES_Writing_ELA[#Headers],0)))="INS",'Writing Logic'!$B$7,IF(INDEX(_xlfn.VSTACK(YES_Writing_ELA[#Data],YES_Writing_FLA[#Data]),MATCH($A277,_xlfn.VSTACK(YES_Writing_ELA[Student Number],YES_Writing_FLA[Student Number]),0),MATCH(VLOOKUP(F$7,'Writing Logic'!$J$7:$K$11,2,FALSE)&amp;" - Per "&amp;VLOOKUP($C$4,'Writing Logic'!$G$8:$H$14,2,FALSE),YES_Writing_ELA[#Headers],0))=0,"",INDEX(_xlfn.VSTACK(YES_Writing_ELA[#Data],YES_Writing_FLA[#Data]),MATCH($A277,_xlfn.VSTACK(YES_Writing_ELA[Student Number],YES_Writing_FLA[Student Number]),0),MATCH(VLOOKUP(F$7,'Writing Logic'!$J$7:$K$11,2,FALSE)&amp;" - Per "&amp;VLOOKUP($C$4,'Writing Logic'!$G$8:$H$14,2,FALSE),YES_Writing_ELA[#Headers],0)))),"")</f>
        <v/>
      </c>
      <c r="G277" s="138" t="str">
        <f>IFERROR(IF(IF(INDEX(_xlfn.VSTACK(YES_Writing_ELA[#Data],YES_Writing_FLA[#Data]),MATCH($A277,_xlfn.VSTACK(YES_Writing_ELA[Student Number],YES_Writing_FLA[Student Number]),0),MATCH(VLOOKUP(G$7,'Writing Logic'!$J$7:$K$11,2,FALSE)&amp;" - Per "&amp;VLOOKUP($C$4,'Writing Logic'!$G$8:$H$14,2,FALSE),YES_Writing_ELA[#Headers],0))=0,"",INDEX(_xlfn.VSTACK(YES_Writing_ELA[#Data],YES_Writing_FLA[#Data]),MATCH($A277,_xlfn.VSTACK(YES_Writing_ELA[Student Number],YES_Writing_FLA[Student Number]),0),MATCH(VLOOKUP(G$7,'Writing Logic'!$J$7:$K$11,2,FALSE)&amp;" - Per "&amp;VLOOKUP($C$4,'Writing Logic'!$G$8:$H$14,2,FALSE),YES_Writing_ELA[#Headers],0)))="INS",'Writing Logic'!$B$7,IF(INDEX(_xlfn.VSTACK(YES_Writing_ELA[#Data],YES_Writing_FLA[#Data]),MATCH($A277,_xlfn.VSTACK(YES_Writing_ELA[Student Number],YES_Writing_FLA[Student Number]),0),MATCH(VLOOKUP(G$7,'Writing Logic'!$J$7:$K$11,2,FALSE)&amp;" - Per "&amp;VLOOKUP($C$4,'Writing Logic'!$G$8:$H$14,2,FALSE),YES_Writing_ELA[#Headers],0))=0,"",INDEX(_xlfn.VSTACK(YES_Writing_ELA[#Data],YES_Writing_FLA[#Data]),MATCH($A277,_xlfn.VSTACK(YES_Writing_ELA[Student Number],YES_Writing_FLA[Student Number]),0),MATCH(VLOOKUP(G$7,'Writing Logic'!$J$7:$K$11,2,FALSE)&amp;" - Per "&amp;VLOOKUP($C$4,'Writing Logic'!$G$8:$H$14,2,FALSE),YES_Writing_ELA[#Headers],0)))),"")</f>
        <v/>
      </c>
      <c r="H277" s="223" t="str">
        <f>IFERROR(IF(IF(INDEX(_xlfn.VSTACK(YES_Writing_ELA[#Data],YES_Writing_FLA[#Data]),MATCH($A277,_xlfn.VSTACK(YES_Writing_ELA[Student Number],YES_Writing_FLA[Student Number]),0),MATCH(VLOOKUP(H$7,'Writing Logic'!$J$7:$K$11,2,FALSE)&amp;" - Per "&amp;VLOOKUP($C$4,'Writing Logic'!$G$8:$H$14,2,FALSE),YES_Writing_ELA[#Headers],0))=0,"",INDEX(_xlfn.VSTACK(YES_Writing_ELA[#Data],YES_Writing_FLA[#Data]),MATCH($A277,_xlfn.VSTACK(YES_Writing_ELA[Student Number],YES_Writing_FLA[Student Number]),0),MATCH(VLOOKUP(H$7,'Writing Logic'!$J$7:$K$11,2,FALSE)&amp;" - Per "&amp;VLOOKUP($C$4,'Writing Logic'!$G$8:$H$14,2,FALSE),YES_Writing_ELA[#Headers],0)))="INS",'Writing Logic'!$B$7,IF(INDEX(_xlfn.VSTACK(YES_Writing_ELA[#Data],YES_Writing_FLA[#Data]),MATCH($A277,_xlfn.VSTACK(YES_Writing_ELA[Student Number],YES_Writing_FLA[Student Number]),0),MATCH(VLOOKUP(H$7,'Writing Logic'!$J$7:$K$11,2,FALSE)&amp;" - Per "&amp;VLOOKUP($C$4,'Writing Logic'!$G$8:$H$14,2,FALSE),YES_Writing_ELA[#Headers],0))=0,"",INDEX(_xlfn.VSTACK(YES_Writing_ELA[#Data],YES_Writing_FLA[#Data]),MATCH($A277,_xlfn.VSTACK(YES_Writing_ELA[Student Number],YES_Writing_FLA[Student Number]),0),MATCH(VLOOKUP(H$7,'Writing Logic'!$J$7:$K$11,2,FALSE)&amp;" - Per "&amp;VLOOKUP($C$4,'Writing Logic'!$G$8:$H$14,2,FALSE),YES_Writing_ELA[#Headers],0)))),"")</f>
        <v/>
      </c>
      <c r="I277" s="224" t="str" cm="1">
        <f t="array" aca="1" ref="I277" ca="1">IFERROR(
IF($G$3="ELA",
IF(VLOOKUP($A277, YES_Reading_ELA[], COLUMN(INDIRECT("YES_Reading_ELA[Difference - Per "&amp;VLOOKUP($G$4, 'Reading Report Logic'!$A$2:$B$8, 2, FALSE)&amp;"]")), FALSE)="", "",
VLOOKUP($A277,YES_Reading_ELA[], COLUMN(INDIRECT("YES_Reading_ELA[Difference - Per "&amp;VLOOKUP($G$4,'Reading Report Logic'!$A$2:$B$8,2,FALSE)&amp;"]")), FALSE)),
IF($G$3="FLA",
IF(VLOOKUP($A277, YES_Reading_FLA[], COLUMN(INDIRECT("YES_Reading_FLA[Difference - Per "&amp;VLOOKUP($G$4,'Reading Report Logic'!$A$2:$B$8,2,FALSE)&amp;"]")),FALSE)="","",
VLOOKUP($A277,YES_Reading_FLA[],COLUMN(INDIRECT("YES_Reading_FLA[Difference - Per "&amp;VLOOKUP($G$4,'Reading Report Logic'!$A$2:$B$8,2,FALSE)&amp;"]")),FALSE)),
IF($G$3="Combined",
IFERROR(
IF(VLOOKUP($A277, YES_Reading_ELA[], COLUMN(INDIRECT("YES_Reading_ELA[Difference - Per "&amp;VLOOKUP($G$4, 'Reading Report Logic'!$A$2:$B$8,2,FALSE)&amp;"]")), FALSE)="", "",
VLOOKUP($A277,YES_Reading_ELA[],COLUMN(INDIRECT("YES_Reading_ELA[Difference - Per "&amp;VLOOKUP($G$4,'Reading Report Logic'!$A$2:$B$8,2,FALSE)&amp;"]")),FALSE)),
IF(VLOOKUP($A277, YES_Reading_FLA[], COLUMN(INDIRECT("YES_Reading_FLA[Difference - Per "&amp;VLOOKUP($G$4, 'Reading Report Logic'!$A$2:$B$8, 2, FALSE)&amp;"]")),FALSE)="", "", VLOOKUP($A277,YES_Reading_FLA[],COLUMN(INDIRECT("YES_Reading_FLA[Difference - Per "&amp;VLOOKUP($G$4, 'Reading Report Logic'!$A$2:$B$8, 2, FALSE)&amp;"]")),FALSE))),""))),"")</f>
        <v/>
      </c>
    </row>
    <row r="278" spans="1:9" x14ac:dyDescent="0.25">
      <c r="A278" s="137"/>
      <c r="B278" s="137" t="str">
        <f>IFERROR(INDEX(_xlfn.VSTACK(YES_Writing_ELA[#Data], YES_Writing_FLA[#Data]),MATCH($A278,_xlfn.VSTACK(YES_Writing_ELA[Student Number], YES_Writing_FLA[Student Number]),0),MATCH(B$7,YES_Writing_ELA[#Headers],0)),IFERROR(INDEX(_xlfn.VSTACK(YES_Reading_ELA[#Data], YES_Reading_FLA[#Data]),MATCH($A278,_xlfn.VSTACK(YES_Reading_ELA[Student Number], YES_Reading_FLA[Student Number]),0),MATCH(B$7,YES_Reading_ELA[#Headers],0)),""))</f>
        <v/>
      </c>
      <c r="C278" s="137" t="str">
        <f>IFERROR(INDEX(_xlfn.VSTACK(YES_Writing_ELA[#Data], YES_Writing_FLA[#Data]),MATCH($A278,_xlfn.VSTACK(YES_Writing_ELA[Student Number], YES_Writing_FLA[Student Number]),0),MATCH(C$7,YES_Writing_ELA[#Headers],0)),IFERROR(INDEX(_xlfn.VSTACK(YES_Reading_ELA[#Data], YES_Reading_FLA[#Data]),MATCH($A278,_xlfn.VSTACK(YES_Reading_ELA[Student Number], YES_Reading_FLA[Student Number]),0),MATCH(C$7,YES_Reading_ELA[#Headers],0)),""))</f>
        <v/>
      </c>
      <c r="D278" s="138" t="str">
        <f>IFERROR(IF(IF(INDEX(_xlfn.VSTACK(YES_Writing_ELA[#Data],YES_Writing_FLA[#Data]),MATCH($A278,_xlfn.VSTACK(YES_Writing_ELA[Student Number],YES_Writing_FLA[Student Number]),0),MATCH(VLOOKUP(D$7,'Writing Logic'!$J$7:$K$11,2,FALSE)&amp;" - Per "&amp;VLOOKUP($C$4,'Writing Logic'!$G$8:$H$14,2,FALSE),YES_Writing_ELA[#Headers],0))=0,"",INDEX(_xlfn.VSTACK(YES_Writing_ELA[#Data],YES_Writing_FLA[#Data]),MATCH($A278,_xlfn.VSTACK(YES_Writing_ELA[Student Number],YES_Writing_FLA[Student Number]),0),MATCH(VLOOKUP(D$7,'Writing Logic'!$J$7:$K$11,2,FALSE)&amp;" - Per "&amp;VLOOKUP($C$4,'Writing Logic'!$G$8:$H$14,2,FALSE),YES_Writing_ELA[#Headers],0)))="INS",'Writing Logic'!$B$7,IF(INDEX(_xlfn.VSTACK(YES_Writing_ELA[#Data],YES_Writing_FLA[#Data]),MATCH($A278,_xlfn.VSTACK(YES_Writing_ELA[Student Number],YES_Writing_FLA[Student Number]),0),MATCH(VLOOKUP(D$7,'Writing Logic'!$J$7:$K$11,2,FALSE)&amp;" - Per "&amp;VLOOKUP($C$4,'Writing Logic'!$G$8:$H$14,2,FALSE),YES_Writing_ELA[#Headers],0))=0,"",INDEX(_xlfn.VSTACK(YES_Writing_ELA[#Data],YES_Writing_FLA[#Data]),MATCH($A278,_xlfn.VSTACK(YES_Writing_ELA[Student Number],YES_Writing_FLA[Student Number]),0),MATCH(VLOOKUP(D$7,'Writing Logic'!$J$7:$K$11,2,FALSE)&amp;" - Per "&amp;VLOOKUP($C$4,'Writing Logic'!$G$8:$H$14,2,FALSE),YES_Writing_ELA[#Headers],0)))),"")</f>
        <v/>
      </c>
      <c r="E278" s="138" t="str">
        <f>IFERROR(IF(IF(INDEX(_xlfn.VSTACK(YES_Writing_ELA[#Data],YES_Writing_FLA[#Data]),MATCH($A278,_xlfn.VSTACK(YES_Writing_ELA[Student Number],YES_Writing_FLA[Student Number]),0),MATCH(VLOOKUP(E$7,'Writing Logic'!$J$7:$K$11,2,FALSE)&amp;" - Per "&amp;VLOOKUP($C$4,'Writing Logic'!$G$8:$H$14,2,FALSE),YES_Writing_ELA[#Headers],0))=0,"",INDEX(_xlfn.VSTACK(YES_Writing_ELA[#Data],YES_Writing_FLA[#Data]),MATCH($A278,_xlfn.VSTACK(YES_Writing_ELA[Student Number],YES_Writing_FLA[Student Number]),0),MATCH(VLOOKUP(E$7,'Writing Logic'!$J$7:$K$11,2,FALSE)&amp;" - Per "&amp;VLOOKUP($C$4,'Writing Logic'!$G$8:$H$14,2,FALSE),YES_Writing_ELA[#Headers],0)))="INS",'Writing Logic'!$B$7,IF(INDEX(_xlfn.VSTACK(YES_Writing_ELA[#Data],YES_Writing_FLA[#Data]),MATCH($A278,_xlfn.VSTACK(YES_Writing_ELA[Student Number],YES_Writing_FLA[Student Number]),0),MATCH(VLOOKUP(E$7,'Writing Logic'!$J$7:$K$11,2,FALSE)&amp;" - Per "&amp;VLOOKUP($C$4,'Writing Logic'!$G$8:$H$14,2,FALSE),YES_Writing_ELA[#Headers],0))=0,"",INDEX(_xlfn.VSTACK(YES_Writing_ELA[#Data],YES_Writing_FLA[#Data]),MATCH($A278,_xlfn.VSTACK(YES_Writing_ELA[Student Number],YES_Writing_FLA[Student Number]),0),MATCH(VLOOKUP(E$7,'Writing Logic'!$J$7:$K$11,2,FALSE)&amp;" - Per "&amp;VLOOKUP($C$4,'Writing Logic'!$G$8:$H$14,2,FALSE),YES_Writing_ELA[#Headers],0)))),"")</f>
        <v/>
      </c>
      <c r="F278" s="138" t="str">
        <f>IFERROR(IF(IF(INDEX(_xlfn.VSTACK(YES_Writing_ELA[#Data],YES_Writing_FLA[#Data]),MATCH($A278,_xlfn.VSTACK(YES_Writing_ELA[Student Number],YES_Writing_FLA[Student Number]),0),MATCH(VLOOKUP(F$7,'Writing Logic'!$J$7:$K$11,2,FALSE)&amp;" - Per "&amp;VLOOKUP($C$4,'Writing Logic'!$G$8:$H$14,2,FALSE),YES_Writing_ELA[#Headers],0))=0,"",INDEX(_xlfn.VSTACK(YES_Writing_ELA[#Data],YES_Writing_FLA[#Data]),MATCH($A278,_xlfn.VSTACK(YES_Writing_ELA[Student Number],YES_Writing_FLA[Student Number]),0),MATCH(VLOOKUP(F$7,'Writing Logic'!$J$7:$K$11,2,FALSE)&amp;" - Per "&amp;VLOOKUP($C$4,'Writing Logic'!$G$8:$H$14,2,FALSE),YES_Writing_ELA[#Headers],0)))="INS",'Writing Logic'!$B$7,IF(INDEX(_xlfn.VSTACK(YES_Writing_ELA[#Data],YES_Writing_FLA[#Data]),MATCH($A278,_xlfn.VSTACK(YES_Writing_ELA[Student Number],YES_Writing_FLA[Student Number]),0),MATCH(VLOOKUP(F$7,'Writing Logic'!$J$7:$K$11,2,FALSE)&amp;" - Per "&amp;VLOOKUP($C$4,'Writing Logic'!$G$8:$H$14,2,FALSE),YES_Writing_ELA[#Headers],0))=0,"",INDEX(_xlfn.VSTACK(YES_Writing_ELA[#Data],YES_Writing_FLA[#Data]),MATCH($A278,_xlfn.VSTACK(YES_Writing_ELA[Student Number],YES_Writing_FLA[Student Number]),0),MATCH(VLOOKUP(F$7,'Writing Logic'!$J$7:$K$11,2,FALSE)&amp;" - Per "&amp;VLOOKUP($C$4,'Writing Logic'!$G$8:$H$14,2,FALSE),YES_Writing_ELA[#Headers],0)))),"")</f>
        <v/>
      </c>
      <c r="G278" s="138" t="str">
        <f>IFERROR(IF(IF(INDEX(_xlfn.VSTACK(YES_Writing_ELA[#Data],YES_Writing_FLA[#Data]),MATCH($A278,_xlfn.VSTACK(YES_Writing_ELA[Student Number],YES_Writing_FLA[Student Number]),0),MATCH(VLOOKUP(G$7,'Writing Logic'!$J$7:$K$11,2,FALSE)&amp;" - Per "&amp;VLOOKUP($C$4,'Writing Logic'!$G$8:$H$14,2,FALSE),YES_Writing_ELA[#Headers],0))=0,"",INDEX(_xlfn.VSTACK(YES_Writing_ELA[#Data],YES_Writing_FLA[#Data]),MATCH($A278,_xlfn.VSTACK(YES_Writing_ELA[Student Number],YES_Writing_FLA[Student Number]),0),MATCH(VLOOKUP(G$7,'Writing Logic'!$J$7:$K$11,2,FALSE)&amp;" - Per "&amp;VLOOKUP($C$4,'Writing Logic'!$G$8:$H$14,2,FALSE),YES_Writing_ELA[#Headers],0)))="INS",'Writing Logic'!$B$7,IF(INDEX(_xlfn.VSTACK(YES_Writing_ELA[#Data],YES_Writing_FLA[#Data]),MATCH($A278,_xlfn.VSTACK(YES_Writing_ELA[Student Number],YES_Writing_FLA[Student Number]),0),MATCH(VLOOKUP(G$7,'Writing Logic'!$J$7:$K$11,2,FALSE)&amp;" - Per "&amp;VLOOKUP($C$4,'Writing Logic'!$G$8:$H$14,2,FALSE),YES_Writing_ELA[#Headers],0))=0,"",INDEX(_xlfn.VSTACK(YES_Writing_ELA[#Data],YES_Writing_FLA[#Data]),MATCH($A278,_xlfn.VSTACK(YES_Writing_ELA[Student Number],YES_Writing_FLA[Student Number]),0),MATCH(VLOOKUP(G$7,'Writing Logic'!$J$7:$K$11,2,FALSE)&amp;" - Per "&amp;VLOOKUP($C$4,'Writing Logic'!$G$8:$H$14,2,FALSE),YES_Writing_ELA[#Headers],0)))),"")</f>
        <v/>
      </c>
      <c r="H278" s="223" t="str">
        <f>IFERROR(IF(IF(INDEX(_xlfn.VSTACK(YES_Writing_ELA[#Data],YES_Writing_FLA[#Data]),MATCH($A278,_xlfn.VSTACK(YES_Writing_ELA[Student Number],YES_Writing_FLA[Student Number]),0),MATCH(VLOOKUP(H$7,'Writing Logic'!$J$7:$K$11,2,FALSE)&amp;" - Per "&amp;VLOOKUP($C$4,'Writing Logic'!$G$8:$H$14,2,FALSE),YES_Writing_ELA[#Headers],0))=0,"",INDEX(_xlfn.VSTACK(YES_Writing_ELA[#Data],YES_Writing_FLA[#Data]),MATCH($A278,_xlfn.VSTACK(YES_Writing_ELA[Student Number],YES_Writing_FLA[Student Number]),0),MATCH(VLOOKUP(H$7,'Writing Logic'!$J$7:$K$11,2,FALSE)&amp;" - Per "&amp;VLOOKUP($C$4,'Writing Logic'!$G$8:$H$14,2,FALSE),YES_Writing_ELA[#Headers],0)))="INS",'Writing Logic'!$B$7,IF(INDEX(_xlfn.VSTACK(YES_Writing_ELA[#Data],YES_Writing_FLA[#Data]),MATCH($A278,_xlfn.VSTACK(YES_Writing_ELA[Student Number],YES_Writing_FLA[Student Number]),0),MATCH(VLOOKUP(H$7,'Writing Logic'!$J$7:$K$11,2,FALSE)&amp;" - Per "&amp;VLOOKUP($C$4,'Writing Logic'!$G$8:$H$14,2,FALSE),YES_Writing_ELA[#Headers],0))=0,"",INDEX(_xlfn.VSTACK(YES_Writing_ELA[#Data],YES_Writing_FLA[#Data]),MATCH($A278,_xlfn.VSTACK(YES_Writing_ELA[Student Number],YES_Writing_FLA[Student Number]),0),MATCH(VLOOKUP(H$7,'Writing Logic'!$J$7:$K$11,2,FALSE)&amp;" - Per "&amp;VLOOKUP($C$4,'Writing Logic'!$G$8:$H$14,2,FALSE),YES_Writing_ELA[#Headers],0)))),"")</f>
        <v/>
      </c>
      <c r="I278" s="224" t="str" cm="1">
        <f t="array" aca="1" ref="I278" ca="1">IFERROR(
IF($G$3="ELA",
IF(VLOOKUP($A278, YES_Reading_ELA[], COLUMN(INDIRECT("YES_Reading_ELA[Difference - Per "&amp;VLOOKUP($G$4, 'Reading Report Logic'!$A$2:$B$8, 2, FALSE)&amp;"]")), FALSE)="", "",
VLOOKUP($A278,YES_Reading_ELA[], COLUMN(INDIRECT("YES_Reading_ELA[Difference - Per "&amp;VLOOKUP($G$4,'Reading Report Logic'!$A$2:$B$8,2,FALSE)&amp;"]")), FALSE)),
IF($G$3="FLA",
IF(VLOOKUP($A278, YES_Reading_FLA[], COLUMN(INDIRECT("YES_Reading_FLA[Difference - Per "&amp;VLOOKUP($G$4,'Reading Report Logic'!$A$2:$B$8,2,FALSE)&amp;"]")),FALSE)="","",
VLOOKUP($A278,YES_Reading_FLA[],COLUMN(INDIRECT("YES_Reading_FLA[Difference - Per "&amp;VLOOKUP($G$4,'Reading Report Logic'!$A$2:$B$8,2,FALSE)&amp;"]")),FALSE)),
IF($G$3="Combined",
IFERROR(
IF(VLOOKUP($A278, YES_Reading_ELA[], COLUMN(INDIRECT("YES_Reading_ELA[Difference - Per "&amp;VLOOKUP($G$4, 'Reading Report Logic'!$A$2:$B$8,2,FALSE)&amp;"]")), FALSE)="", "",
VLOOKUP($A278,YES_Reading_ELA[],COLUMN(INDIRECT("YES_Reading_ELA[Difference - Per "&amp;VLOOKUP($G$4,'Reading Report Logic'!$A$2:$B$8,2,FALSE)&amp;"]")),FALSE)),
IF(VLOOKUP($A278, YES_Reading_FLA[], COLUMN(INDIRECT("YES_Reading_FLA[Difference - Per "&amp;VLOOKUP($G$4, 'Reading Report Logic'!$A$2:$B$8, 2, FALSE)&amp;"]")),FALSE)="", "", VLOOKUP($A278,YES_Reading_FLA[],COLUMN(INDIRECT("YES_Reading_FLA[Difference - Per "&amp;VLOOKUP($G$4, 'Reading Report Logic'!$A$2:$B$8, 2, FALSE)&amp;"]")),FALSE))),""))),"")</f>
        <v/>
      </c>
    </row>
    <row r="279" spans="1:9" x14ac:dyDescent="0.25">
      <c r="A279" s="137"/>
      <c r="B279" s="137" t="str">
        <f>IFERROR(INDEX(_xlfn.VSTACK(YES_Writing_ELA[#Data], YES_Writing_FLA[#Data]),MATCH($A279,_xlfn.VSTACK(YES_Writing_ELA[Student Number], YES_Writing_FLA[Student Number]),0),MATCH(B$7,YES_Writing_ELA[#Headers],0)),IFERROR(INDEX(_xlfn.VSTACK(YES_Reading_ELA[#Data], YES_Reading_FLA[#Data]),MATCH($A279,_xlfn.VSTACK(YES_Reading_ELA[Student Number], YES_Reading_FLA[Student Number]),0),MATCH(B$7,YES_Reading_ELA[#Headers],0)),""))</f>
        <v/>
      </c>
      <c r="C279" s="137" t="str">
        <f>IFERROR(INDEX(_xlfn.VSTACK(YES_Writing_ELA[#Data], YES_Writing_FLA[#Data]),MATCH($A279,_xlfn.VSTACK(YES_Writing_ELA[Student Number], YES_Writing_FLA[Student Number]),0),MATCH(C$7,YES_Writing_ELA[#Headers],0)),IFERROR(INDEX(_xlfn.VSTACK(YES_Reading_ELA[#Data], YES_Reading_FLA[#Data]),MATCH($A279,_xlfn.VSTACK(YES_Reading_ELA[Student Number], YES_Reading_FLA[Student Number]),0),MATCH(C$7,YES_Reading_ELA[#Headers],0)),""))</f>
        <v/>
      </c>
      <c r="D279" s="138" t="str">
        <f>IFERROR(IF(IF(INDEX(_xlfn.VSTACK(YES_Writing_ELA[#Data],YES_Writing_FLA[#Data]),MATCH($A279,_xlfn.VSTACK(YES_Writing_ELA[Student Number],YES_Writing_FLA[Student Number]),0),MATCH(VLOOKUP(D$7,'Writing Logic'!$J$7:$K$11,2,FALSE)&amp;" - Per "&amp;VLOOKUP($C$4,'Writing Logic'!$G$8:$H$14,2,FALSE),YES_Writing_ELA[#Headers],0))=0,"",INDEX(_xlfn.VSTACK(YES_Writing_ELA[#Data],YES_Writing_FLA[#Data]),MATCH($A279,_xlfn.VSTACK(YES_Writing_ELA[Student Number],YES_Writing_FLA[Student Number]),0),MATCH(VLOOKUP(D$7,'Writing Logic'!$J$7:$K$11,2,FALSE)&amp;" - Per "&amp;VLOOKUP($C$4,'Writing Logic'!$G$8:$H$14,2,FALSE),YES_Writing_ELA[#Headers],0)))="INS",'Writing Logic'!$B$7,IF(INDEX(_xlfn.VSTACK(YES_Writing_ELA[#Data],YES_Writing_FLA[#Data]),MATCH($A279,_xlfn.VSTACK(YES_Writing_ELA[Student Number],YES_Writing_FLA[Student Number]),0),MATCH(VLOOKUP(D$7,'Writing Logic'!$J$7:$K$11,2,FALSE)&amp;" - Per "&amp;VLOOKUP($C$4,'Writing Logic'!$G$8:$H$14,2,FALSE),YES_Writing_ELA[#Headers],0))=0,"",INDEX(_xlfn.VSTACK(YES_Writing_ELA[#Data],YES_Writing_FLA[#Data]),MATCH($A279,_xlfn.VSTACK(YES_Writing_ELA[Student Number],YES_Writing_FLA[Student Number]),0),MATCH(VLOOKUP(D$7,'Writing Logic'!$J$7:$K$11,2,FALSE)&amp;" - Per "&amp;VLOOKUP($C$4,'Writing Logic'!$G$8:$H$14,2,FALSE),YES_Writing_ELA[#Headers],0)))),"")</f>
        <v/>
      </c>
      <c r="E279" s="138" t="str">
        <f>IFERROR(IF(IF(INDEX(_xlfn.VSTACK(YES_Writing_ELA[#Data],YES_Writing_FLA[#Data]),MATCH($A279,_xlfn.VSTACK(YES_Writing_ELA[Student Number],YES_Writing_FLA[Student Number]),0),MATCH(VLOOKUP(E$7,'Writing Logic'!$J$7:$K$11,2,FALSE)&amp;" - Per "&amp;VLOOKUP($C$4,'Writing Logic'!$G$8:$H$14,2,FALSE),YES_Writing_ELA[#Headers],0))=0,"",INDEX(_xlfn.VSTACK(YES_Writing_ELA[#Data],YES_Writing_FLA[#Data]),MATCH($A279,_xlfn.VSTACK(YES_Writing_ELA[Student Number],YES_Writing_FLA[Student Number]),0),MATCH(VLOOKUP(E$7,'Writing Logic'!$J$7:$K$11,2,FALSE)&amp;" - Per "&amp;VLOOKUP($C$4,'Writing Logic'!$G$8:$H$14,2,FALSE),YES_Writing_ELA[#Headers],0)))="INS",'Writing Logic'!$B$7,IF(INDEX(_xlfn.VSTACK(YES_Writing_ELA[#Data],YES_Writing_FLA[#Data]),MATCH($A279,_xlfn.VSTACK(YES_Writing_ELA[Student Number],YES_Writing_FLA[Student Number]),0),MATCH(VLOOKUP(E$7,'Writing Logic'!$J$7:$K$11,2,FALSE)&amp;" - Per "&amp;VLOOKUP($C$4,'Writing Logic'!$G$8:$H$14,2,FALSE),YES_Writing_ELA[#Headers],0))=0,"",INDEX(_xlfn.VSTACK(YES_Writing_ELA[#Data],YES_Writing_FLA[#Data]),MATCH($A279,_xlfn.VSTACK(YES_Writing_ELA[Student Number],YES_Writing_FLA[Student Number]),0),MATCH(VLOOKUP(E$7,'Writing Logic'!$J$7:$K$11,2,FALSE)&amp;" - Per "&amp;VLOOKUP($C$4,'Writing Logic'!$G$8:$H$14,2,FALSE),YES_Writing_ELA[#Headers],0)))),"")</f>
        <v/>
      </c>
      <c r="F279" s="138" t="str">
        <f>IFERROR(IF(IF(INDEX(_xlfn.VSTACK(YES_Writing_ELA[#Data],YES_Writing_FLA[#Data]),MATCH($A279,_xlfn.VSTACK(YES_Writing_ELA[Student Number],YES_Writing_FLA[Student Number]),0),MATCH(VLOOKUP(F$7,'Writing Logic'!$J$7:$K$11,2,FALSE)&amp;" - Per "&amp;VLOOKUP($C$4,'Writing Logic'!$G$8:$H$14,2,FALSE),YES_Writing_ELA[#Headers],0))=0,"",INDEX(_xlfn.VSTACK(YES_Writing_ELA[#Data],YES_Writing_FLA[#Data]),MATCH($A279,_xlfn.VSTACK(YES_Writing_ELA[Student Number],YES_Writing_FLA[Student Number]),0),MATCH(VLOOKUP(F$7,'Writing Logic'!$J$7:$K$11,2,FALSE)&amp;" - Per "&amp;VLOOKUP($C$4,'Writing Logic'!$G$8:$H$14,2,FALSE),YES_Writing_ELA[#Headers],0)))="INS",'Writing Logic'!$B$7,IF(INDEX(_xlfn.VSTACK(YES_Writing_ELA[#Data],YES_Writing_FLA[#Data]),MATCH($A279,_xlfn.VSTACK(YES_Writing_ELA[Student Number],YES_Writing_FLA[Student Number]),0),MATCH(VLOOKUP(F$7,'Writing Logic'!$J$7:$K$11,2,FALSE)&amp;" - Per "&amp;VLOOKUP($C$4,'Writing Logic'!$G$8:$H$14,2,FALSE),YES_Writing_ELA[#Headers],0))=0,"",INDEX(_xlfn.VSTACK(YES_Writing_ELA[#Data],YES_Writing_FLA[#Data]),MATCH($A279,_xlfn.VSTACK(YES_Writing_ELA[Student Number],YES_Writing_FLA[Student Number]),0),MATCH(VLOOKUP(F$7,'Writing Logic'!$J$7:$K$11,2,FALSE)&amp;" - Per "&amp;VLOOKUP($C$4,'Writing Logic'!$G$8:$H$14,2,FALSE),YES_Writing_ELA[#Headers],0)))),"")</f>
        <v/>
      </c>
      <c r="G279" s="138" t="str">
        <f>IFERROR(IF(IF(INDEX(_xlfn.VSTACK(YES_Writing_ELA[#Data],YES_Writing_FLA[#Data]),MATCH($A279,_xlfn.VSTACK(YES_Writing_ELA[Student Number],YES_Writing_FLA[Student Number]),0),MATCH(VLOOKUP(G$7,'Writing Logic'!$J$7:$K$11,2,FALSE)&amp;" - Per "&amp;VLOOKUP($C$4,'Writing Logic'!$G$8:$H$14,2,FALSE),YES_Writing_ELA[#Headers],0))=0,"",INDEX(_xlfn.VSTACK(YES_Writing_ELA[#Data],YES_Writing_FLA[#Data]),MATCH($A279,_xlfn.VSTACK(YES_Writing_ELA[Student Number],YES_Writing_FLA[Student Number]),0),MATCH(VLOOKUP(G$7,'Writing Logic'!$J$7:$K$11,2,FALSE)&amp;" - Per "&amp;VLOOKUP($C$4,'Writing Logic'!$G$8:$H$14,2,FALSE),YES_Writing_ELA[#Headers],0)))="INS",'Writing Logic'!$B$7,IF(INDEX(_xlfn.VSTACK(YES_Writing_ELA[#Data],YES_Writing_FLA[#Data]),MATCH($A279,_xlfn.VSTACK(YES_Writing_ELA[Student Number],YES_Writing_FLA[Student Number]),0),MATCH(VLOOKUP(G$7,'Writing Logic'!$J$7:$K$11,2,FALSE)&amp;" - Per "&amp;VLOOKUP($C$4,'Writing Logic'!$G$8:$H$14,2,FALSE),YES_Writing_ELA[#Headers],0))=0,"",INDEX(_xlfn.VSTACK(YES_Writing_ELA[#Data],YES_Writing_FLA[#Data]),MATCH($A279,_xlfn.VSTACK(YES_Writing_ELA[Student Number],YES_Writing_FLA[Student Number]),0),MATCH(VLOOKUP(G$7,'Writing Logic'!$J$7:$K$11,2,FALSE)&amp;" - Per "&amp;VLOOKUP($C$4,'Writing Logic'!$G$8:$H$14,2,FALSE),YES_Writing_ELA[#Headers],0)))),"")</f>
        <v/>
      </c>
      <c r="H279" s="223" t="str">
        <f>IFERROR(IF(IF(INDEX(_xlfn.VSTACK(YES_Writing_ELA[#Data],YES_Writing_FLA[#Data]),MATCH($A279,_xlfn.VSTACK(YES_Writing_ELA[Student Number],YES_Writing_FLA[Student Number]),0),MATCH(VLOOKUP(H$7,'Writing Logic'!$J$7:$K$11,2,FALSE)&amp;" - Per "&amp;VLOOKUP($C$4,'Writing Logic'!$G$8:$H$14,2,FALSE),YES_Writing_ELA[#Headers],0))=0,"",INDEX(_xlfn.VSTACK(YES_Writing_ELA[#Data],YES_Writing_FLA[#Data]),MATCH($A279,_xlfn.VSTACK(YES_Writing_ELA[Student Number],YES_Writing_FLA[Student Number]),0),MATCH(VLOOKUP(H$7,'Writing Logic'!$J$7:$K$11,2,FALSE)&amp;" - Per "&amp;VLOOKUP($C$4,'Writing Logic'!$G$8:$H$14,2,FALSE),YES_Writing_ELA[#Headers],0)))="INS",'Writing Logic'!$B$7,IF(INDEX(_xlfn.VSTACK(YES_Writing_ELA[#Data],YES_Writing_FLA[#Data]),MATCH($A279,_xlfn.VSTACK(YES_Writing_ELA[Student Number],YES_Writing_FLA[Student Number]),0),MATCH(VLOOKUP(H$7,'Writing Logic'!$J$7:$K$11,2,FALSE)&amp;" - Per "&amp;VLOOKUP($C$4,'Writing Logic'!$G$8:$H$14,2,FALSE),YES_Writing_ELA[#Headers],0))=0,"",INDEX(_xlfn.VSTACK(YES_Writing_ELA[#Data],YES_Writing_FLA[#Data]),MATCH($A279,_xlfn.VSTACK(YES_Writing_ELA[Student Number],YES_Writing_FLA[Student Number]),0),MATCH(VLOOKUP(H$7,'Writing Logic'!$J$7:$K$11,2,FALSE)&amp;" - Per "&amp;VLOOKUP($C$4,'Writing Logic'!$G$8:$H$14,2,FALSE),YES_Writing_ELA[#Headers],0)))),"")</f>
        <v/>
      </c>
      <c r="I279" s="224" t="str" cm="1">
        <f t="array" aca="1" ref="I279" ca="1">IFERROR(
IF($G$3="ELA",
IF(VLOOKUP($A279, YES_Reading_ELA[], COLUMN(INDIRECT("YES_Reading_ELA[Difference - Per "&amp;VLOOKUP($G$4, 'Reading Report Logic'!$A$2:$B$8, 2, FALSE)&amp;"]")), FALSE)="", "",
VLOOKUP($A279,YES_Reading_ELA[], COLUMN(INDIRECT("YES_Reading_ELA[Difference - Per "&amp;VLOOKUP($G$4,'Reading Report Logic'!$A$2:$B$8,2,FALSE)&amp;"]")), FALSE)),
IF($G$3="FLA",
IF(VLOOKUP($A279, YES_Reading_FLA[], COLUMN(INDIRECT("YES_Reading_FLA[Difference - Per "&amp;VLOOKUP($G$4,'Reading Report Logic'!$A$2:$B$8,2,FALSE)&amp;"]")),FALSE)="","",
VLOOKUP($A279,YES_Reading_FLA[],COLUMN(INDIRECT("YES_Reading_FLA[Difference - Per "&amp;VLOOKUP($G$4,'Reading Report Logic'!$A$2:$B$8,2,FALSE)&amp;"]")),FALSE)),
IF($G$3="Combined",
IFERROR(
IF(VLOOKUP($A279, YES_Reading_ELA[], COLUMN(INDIRECT("YES_Reading_ELA[Difference - Per "&amp;VLOOKUP($G$4, 'Reading Report Logic'!$A$2:$B$8,2,FALSE)&amp;"]")), FALSE)="", "",
VLOOKUP($A279,YES_Reading_ELA[],COLUMN(INDIRECT("YES_Reading_ELA[Difference - Per "&amp;VLOOKUP($G$4,'Reading Report Logic'!$A$2:$B$8,2,FALSE)&amp;"]")),FALSE)),
IF(VLOOKUP($A279, YES_Reading_FLA[], COLUMN(INDIRECT("YES_Reading_FLA[Difference - Per "&amp;VLOOKUP($G$4, 'Reading Report Logic'!$A$2:$B$8, 2, FALSE)&amp;"]")),FALSE)="", "", VLOOKUP($A279,YES_Reading_FLA[],COLUMN(INDIRECT("YES_Reading_FLA[Difference - Per "&amp;VLOOKUP($G$4, 'Reading Report Logic'!$A$2:$B$8, 2, FALSE)&amp;"]")),FALSE))),""))),"")</f>
        <v/>
      </c>
    </row>
    <row r="280" spans="1:9" x14ac:dyDescent="0.25">
      <c r="A280" s="137"/>
      <c r="B280" s="137" t="str">
        <f>IFERROR(INDEX(_xlfn.VSTACK(YES_Writing_ELA[#Data], YES_Writing_FLA[#Data]),MATCH($A280,_xlfn.VSTACK(YES_Writing_ELA[Student Number], YES_Writing_FLA[Student Number]),0),MATCH(B$7,YES_Writing_ELA[#Headers],0)),IFERROR(INDEX(_xlfn.VSTACK(YES_Reading_ELA[#Data], YES_Reading_FLA[#Data]),MATCH($A280,_xlfn.VSTACK(YES_Reading_ELA[Student Number], YES_Reading_FLA[Student Number]),0),MATCH(B$7,YES_Reading_ELA[#Headers],0)),""))</f>
        <v/>
      </c>
      <c r="C280" s="137" t="str">
        <f>IFERROR(INDEX(_xlfn.VSTACK(YES_Writing_ELA[#Data], YES_Writing_FLA[#Data]),MATCH($A280,_xlfn.VSTACK(YES_Writing_ELA[Student Number], YES_Writing_FLA[Student Number]),0),MATCH(C$7,YES_Writing_ELA[#Headers],0)),IFERROR(INDEX(_xlfn.VSTACK(YES_Reading_ELA[#Data], YES_Reading_FLA[#Data]),MATCH($A280,_xlfn.VSTACK(YES_Reading_ELA[Student Number], YES_Reading_FLA[Student Number]),0),MATCH(C$7,YES_Reading_ELA[#Headers],0)),""))</f>
        <v/>
      </c>
      <c r="D280" s="138" t="str">
        <f>IFERROR(IF(IF(INDEX(_xlfn.VSTACK(YES_Writing_ELA[#Data],YES_Writing_FLA[#Data]),MATCH($A280,_xlfn.VSTACK(YES_Writing_ELA[Student Number],YES_Writing_FLA[Student Number]),0),MATCH(VLOOKUP(D$7,'Writing Logic'!$J$7:$K$11,2,FALSE)&amp;" - Per "&amp;VLOOKUP($C$4,'Writing Logic'!$G$8:$H$14,2,FALSE),YES_Writing_ELA[#Headers],0))=0,"",INDEX(_xlfn.VSTACK(YES_Writing_ELA[#Data],YES_Writing_FLA[#Data]),MATCH($A280,_xlfn.VSTACK(YES_Writing_ELA[Student Number],YES_Writing_FLA[Student Number]),0),MATCH(VLOOKUP(D$7,'Writing Logic'!$J$7:$K$11,2,FALSE)&amp;" - Per "&amp;VLOOKUP($C$4,'Writing Logic'!$G$8:$H$14,2,FALSE),YES_Writing_ELA[#Headers],0)))="INS",'Writing Logic'!$B$7,IF(INDEX(_xlfn.VSTACK(YES_Writing_ELA[#Data],YES_Writing_FLA[#Data]),MATCH($A280,_xlfn.VSTACK(YES_Writing_ELA[Student Number],YES_Writing_FLA[Student Number]),0),MATCH(VLOOKUP(D$7,'Writing Logic'!$J$7:$K$11,2,FALSE)&amp;" - Per "&amp;VLOOKUP($C$4,'Writing Logic'!$G$8:$H$14,2,FALSE),YES_Writing_ELA[#Headers],0))=0,"",INDEX(_xlfn.VSTACK(YES_Writing_ELA[#Data],YES_Writing_FLA[#Data]),MATCH($A280,_xlfn.VSTACK(YES_Writing_ELA[Student Number],YES_Writing_FLA[Student Number]),0),MATCH(VLOOKUP(D$7,'Writing Logic'!$J$7:$K$11,2,FALSE)&amp;" - Per "&amp;VLOOKUP($C$4,'Writing Logic'!$G$8:$H$14,2,FALSE),YES_Writing_ELA[#Headers],0)))),"")</f>
        <v/>
      </c>
      <c r="E280" s="138" t="str">
        <f>IFERROR(IF(IF(INDEX(_xlfn.VSTACK(YES_Writing_ELA[#Data],YES_Writing_FLA[#Data]),MATCH($A280,_xlfn.VSTACK(YES_Writing_ELA[Student Number],YES_Writing_FLA[Student Number]),0),MATCH(VLOOKUP(E$7,'Writing Logic'!$J$7:$K$11,2,FALSE)&amp;" - Per "&amp;VLOOKUP($C$4,'Writing Logic'!$G$8:$H$14,2,FALSE),YES_Writing_ELA[#Headers],0))=0,"",INDEX(_xlfn.VSTACK(YES_Writing_ELA[#Data],YES_Writing_FLA[#Data]),MATCH($A280,_xlfn.VSTACK(YES_Writing_ELA[Student Number],YES_Writing_FLA[Student Number]),0),MATCH(VLOOKUP(E$7,'Writing Logic'!$J$7:$K$11,2,FALSE)&amp;" - Per "&amp;VLOOKUP($C$4,'Writing Logic'!$G$8:$H$14,2,FALSE),YES_Writing_ELA[#Headers],0)))="INS",'Writing Logic'!$B$7,IF(INDEX(_xlfn.VSTACK(YES_Writing_ELA[#Data],YES_Writing_FLA[#Data]),MATCH($A280,_xlfn.VSTACK(YES_Writing_ELA[Student Number],YES_Writing_FLA[Student Number]),0),MATCH(VLOOKUP(E$7,'Writing Logic'!$J$7:$K$11,2,FALSE)&amp;" - Per "&amp;VLOOKUP($C$4,'Writing Logic'!$G$8:$H$14,2,FALSE),YES_Writing_ELA[#Headers],0))=0,"",INDEX(_xlfn.VSTACK(YES_Writing_ELA[#Data],YES_Writing_FLA[#Data]),MATCH($A280,_xlfn.VSTACK(YES_Writing_ELA[Student Number],YES_Writing_FLA[Student Number]),0),MATCH(VLOOKUP(E$7,'Writing Logic'!$J$7:$K$11,2,FALSE)&amp;" - Per "&amp;VLOOKUP($C$4,'Writing Logic'!$G$8:$H$14,2,FALSE),YES_Writing_ELA[#Headers],0)))),"")</f>
        <v/>
      </c>
      <c r="F280" s="138" t="str">
        <f>IFERROR(IF(IF(INDEX(_xlfn.VSTACK(YES_Writing_ELA[#Data],YES_Writing_FLA[#Data]),MATCH($A280,_xlfn.VSTACK(YES_Writing_ELA[Student Number],YES_Writing_FLA[Student Number]),0),MATCH(VLOOKUP(F$7,'Writing Logic'!$J$7:$K$11,2,FALSE)&amp;" - Per "&amp;VLOOKUP($C$4,'Writing Logic'!$G$8:$H$14,2,FALSE),YES_Writing_ELA[#Headers],0))=0,"",INDEX(_xlfn.VSTACK(YES_Writing_ELA[#Data],YES_Writing_FLA[#Data]),MATCH($A280,_xlfn.VSTACK(YES_Writing_ELA[Student Number],YES_Writing_FLA[Student Number]),0),MATCH(VLOOKUP(F$7,'Writing Logic'!$J$7:$K$11,2,FALSE)&amp;" - Per "&amp;VLOOKUP($C$4,'Writing Logic'!$G$8:$H$14,2,FALSE),YES_Writing_ELA[#Headers],0)))="INS",'Writing Logic'!$B$7,IF(INDEX(_xlfn.VSTACK(YES_Writing_ELA[#Data],YES_Writing_FLA[#Data]),MATCH($A280,_xlfn.VSTACK(YES_Writing_ELA[Student Number],YES_Writing_FLA[Student Number]),0),MATCH(VLOOKUP(F$7,'Writing Logic'!$J$7:$K$11,2,FALSE)&amp;" - Per "&amp;VLOOKUP($C$4,'Writing Logic'!$G$8:$H$14,2,FALSE),YES_Writing_ELA[#Headers],0))=0,"",INDEX(_xlfn.VSTACK(YES_Writing_ELA[#Data],YES_Writing_FLA[#Data]),MATCH($A280,_xlfn.VSTACK(YES_Writing_ELA[Student Number],YES_Writing_FLA[Student Number]),0),MATCH(VLOOKUP(F$7,'Writing Logic'!$J$7:$K$11,2,FALSE)&amp;" - Per "&amp;VLOOKUP($C$4,'Writing Logic'!$G$8:$H$14,2,FALSE),YES_Writing_ELA[#Headers],0)))),"")</f>
        <v/>
      </c>
      <c r="G280" s="138" t="str">
        <f>IFERROR(IF(IF(INDEX(_xlfn.VSTACK(YES_Writing_ELA[#Data],YES_Writing_FLA[#Data]),MATCH($A280,_xlfn.VSTACK(YES_Writing_ELA[Student Number],YES_Writing_FLA[Student Number]),0),MATCH(VLOOKUP(G$7,'Writing Logic'!$J$7:$K$11,2,FALSE)&amp;" - Per "&amp;VLOOKUP($C$4,'Writing Logic'!$G$8:$H$14,2,FALSE),YES_Writing_ELA[#Headers],0))=0,"",INDEX(_xlfn.VSTACK(YES_Writing_ELA[#Data],YES_Writing_FLA[#Data]),MATCH($A280,_xlfn.VSTACK(YES_Writing_ELA[Student Number],YES_Writing_FLA[Student Number]),0),MATCH(VLOOKUP(G$7,'Writing Logic'!$J$7:$K$11,2,FALSE)&amp;" - Per "&amp;VLOOKUP($C$4,'Writing Logic'!$G$8:$H$14,2,FALSE),YES_Writing_ELA[#Headers],0)))="INS",'Writing Logic'!$B$7,IF(INDEX(_xlfn.VSTACK(YES_Writing_ELA[#Data],YES_Writing_FLA[#Data]),MATCH($A280,_xlfn.VSTACK(YES_Writing_ELA[Student Number],YES_Writing_FLA[Student Number]),0),MATCH(VLOOKUP(G$7,'Writing Logic'!$J$7:$K$11,2,FALSE)&amp;" - Per "&amp;VLOOKUP($C$4,'Writing Logic'!$G$8:$H$14,2,FALSE),YES_Writing_ELA[#Headers],0))=0,"",INDEX(_xlfn.VSTACK(YES_Writing_ELA[#Data],YES_Writing_FLA[#Data]),MATCH($A280,_xlfn.VSTACK(YES_Writing_ELA[Student Number],YES_Writing_FLA[Student Number]),0),MATCH(VLOOKUP(G$7,'Writing Logic'!$J$7:$K$11,2,FALSE)&amp;" - Per "&amp;VLOOKUP($C$4,'Writing Logic'!$G$8:$H$14,2,FALSE),YES_Writing_ELA[#Headers],0)))),"")</f>
        <v/>
      </c>
      <c r="H280" s="223" t="str">
        <f>IFERROR(IF(IF(INDEX(_xlfn.VSTACK(YES_Writing_ELA[#Data],YES_Writing_FLA[#Data]),MATCH($A280,_xlfn.VSTACK(YES_Writing_ELA[Student Number],YES_Writing_FLA[Student Number]),0),MATCH(VLOOKUP(H$7,'Writing Logic'!$J$7:$K$11,2,FALSE)&amp;" - Per "&amp;VLOOKUP($C$4,'Writing Logic'!$G$8:$H$14,2,FALSE),YES_Writing_ELA[#Headers],0))=0,"",INDEX(_xlfn.VSTACK(YES_Writing_ELA[#Data],YES_Writing_FLA[#Data]),MATCH($A280,_xlfn.VSTACK(YES_Writing_ELA[Student Number],YES_Writing_FLA[Student Number]),0),MATCH(VLOOKUP(H$7,'Writing Logic'!$J$7:$K$11,2,FALSE)&amp;" - Per "&amp;VLOOKUP($C$4,'Writing Logic'!$G$8:$H$14,2,FALSE),YES_Writing_ELA[#Headers],0)))="INS",'Writing Logic'!$B$7,IF(INDEX(_xlfn.VSTACK(YES_Writing_ELA[#Data],YES_Writing_FLA[#Data]),MATCH($A280,_xlfn.VSTACK(YES_Writing_ELA[Student Number],YES_Writing_FLA[Student Number]),0),MATCH(VLOOKUP(H$7,'Writing Logic'!$J$7:$K$11,2,FALSE)&amp;" - Per "&amp;VLOOKUP($C$4,'Writing Logic'!$G$8:$H$14,2,FALSE),YES_Writing_ELA[#Headers],0))=0,"",INDEX(_xlfn.VSTACK(YES_Writing_ELA[#Data],YES_Writing_FLA[#Data]),MATCH($A280,_xlfn.VSTACK(YES_Writing_ELA[Student Number],YES_Writing_FLA[Student Number]),0),MATCH(VLOOKUP(H$7,'Writing Logic'!$J$7:$K$11,2,FALSE)&amp;" - Per "&amp;VLOOKUP($C$4,'Writing Logic'!$G$8:$H$14,2,FALSE),YES_Writing_ELA[#Headers],0)))),"")</f>
        <v/>
      </c>
      <c r="I280" s="224" t="str" cm="1">
        <f t="array" aca="1" ref="I280" ca="1">IFERROR(
IF($G$3="ELA",
IF(VLOOKUP($A280, YES_Reading_ELA[], COLUMN(INDIRECT("YES_Reading_ELA[Difference - Per "&amp;VLOOKUP($G$4, 'Reading Report Logic'!$A$2:$B$8, 2, FALSE)&amp;"]")), FALSE)="", "",
VLOOKUP($A280,YES_Reading_ELA[], COLUMN(INDIRECT("YES_Reading_ELA[Difference - Per "&amp;VLOOKUP($G$4,'Reading Report Logic'!$A$2:$B$8,2,FALSE)&amp;"]")), FALSE)),
IF($G$3="FLA",
IF(VLOOKUP($A280, YES_Reading_FLA[], COLUMN(INDIRECT("YES_Reading_FLA[Difference - Per "&amp;VLOOKUP($G$4,'Reading Report Logic'!$A$2:$B$8,2,FALSE)&amp;"]")),FALSE)="","",
VLOOKUP($A280,YES_Reading_FLA[],COLUMN(INDIRECT("YES_Reading_FLA[Difference - Per "&amp;VLOOKUP($G$4,'Reading Report Logic'!$A$2:$B$8,2,FALSE)&amp;"]")),FALSE)),
IF($G$3="Combined",
IFERROR(
IF(VLOOKUP($A280, YES_Reading_ELA[], COLUMN(INDIRECT("YES_Reading_ELA[Difference - Per "&amp;VLOOKUP($G$4, 'Reading Report Logic'!$A$2:$B$8,2,FALSE)&amp;"]")), FALSE)="", "",
VLOOKUP($A280,YES_Reading_ELA[],COLUMN(INDIRECT("YES_Reading_ELA[Difference - Per "&amp;VLOOKUP($G$4,'Reading Report Logic'!$A$2:$B$8,2,FALSE)&amp;"]")),FALSE)),
IF(VLOOKUP($A280, YES_Reading_FLA[], COLUMN(INDIRECT("YES_Reading_FLA[Difference - Per "&amp;VLOOKUP($G$4, 'Reading Report Logic'!$A$2:$B$8, 2, FALSE)&amp;"]")),FALSE)="", "", VLOOKUP($A280,YES_Reading_FLA[],COLUMN(INDIRECT("YES_Reading_FLA[Difference - Per "&amp;VLOOKUP($G$4, 'Reading Report Logic'!$A$2:$B$8, 2, FALSE)&amp;"]")),FALSE))),""))),"")</f>
        <v/>
      </c>
    </row>
    <row r="281" spans="1:9" x14ac:dyDescent="0.25">
      <c r="A281" s="137"/>
      <c r="B281" s="137" t="str">
        <f>IFERROR(INDEX(_xlfn.VSTACK(YES_Writing_ELA[#Data], YES_Writing_FLA[#Data]),MATCH($A281,_xlfn.VSTACK(YES_Writing_ELA[Student Number], YES_Writing_FLA[Student Number]),0),MATCH(B$7,YES_Writing_ELA[#Headers],0)),IFERROR(INDEX(_xlfn.VSTACK(YES_Reading_ELA[#Data], YES_Reading_FLA[#Data]),MATCH($A281,_xlfn.VSTACK(YES_Reading_ELA[Student Number], YES_Reading_FLA[Student Number]),0),MATCH(B$7,YES_Reading_ELA[#Headers],0)),""))</f>
        <v/>
      </c>
      <c r="C281" s="137" t="str">
        <f>IFERROR(INDEX(_xlfn.VSTACK(YES_Writing_ELA[#Data], YES_Writing_FLA[#Data]),MATCH($A281,_xlfn.VSTACK(YES_Writing_ELA[Student Number], YES_Writing_FLA[Student Number]),0),MATCH(C$7,YES_Writing_ELA[#Headers],0)),IFERROR(INDEX(_xlfn.VSTACK(YES_Reading_ELA[#Data], YES_Reading_FLA[#Data]),MATCH($A281,_xlfn.VSTACK(YES_Reading_ELA[Student Number], YES_Reading_FLA[Student Number]),0),MATCH(C$7,YES_Reading_ELA[#Headers],0)),""))</f>
        <v/>
      </c>
      <c r="D281" s="138" t="str">
        <f>IFERROR(IF(IF(INDEX(_xlfn.VSTACK(YES_Writing_ELA[#Data],YES_Writing_FLA[#Data]),MATCH($A281,_xlfn.VSTACK(YES_Writing_ELA[Student Number],YES_Writing_FLA[Student Number]),0),MATCH(VLOOKUP(D$7,'Writing Logic'!$J$7:$K$11,2,FALSE)&amp;" - Per "&amp;VLOOKUP($C$4,'Writing Logic'!$G$8:$H$14,2,FALSE),YES_Writing_ELA[#Headers],0))=0,"",INDEX(_xlfn.VSTACK(YES_Writing_ELA[#Data],YES_Writing_FLA[#Data]),MATCH($A281,_xlfn.VSTACK(YES_Writing_ELA[Student Number],YES_Writing_FLA[Student Number]),0),MATCH(VLOOKUP(D$7,'Writing Logic'!$J$7:$K$11,2,FALSE)&amp;" - Per "&amp;VLOOKUP($C$4,'Writing Logic'!$G$8:$H$14,2,FALSE),YES_Writing_ELA[#Headers],0)))="INS",'Writing Logic'!$B$7,IF(INDEX(_xlfn.VSTACK(YES_Writing_ELA[#Data],YES_Writing_FLA[#Data]),MATCH($A281,_xlfn.VSTACK(YES_Writing_ELA[Student Number],YES_Writing_FLA[Student Number]),0),MATCH(VLOOKUP(D$7,'Writing Logic'!$J$7:$K$11,2,FALSE)&amp;" - Per "&amp;VLOOKUP($C$4,'Writing Logic'!$G$8:$H$14,2,FALSE),YES_Writing_ELA[#Headers],0))=0,"",INDEX(_xlfn.VSTACK(YES_Writing_ELA[#Data],YES_Writing_FLA[#Data]),MATCH($A281,_xlfn.VSTACK(YES_Writing_ELA[Student Number],YES_Writing_FLA[Student Number]),0),MATCH(VLOOKUP(D$7,'Writing Logic'!$J$7:$K$11,2,FALSE)&amp;" - Per "&amp;VLOOKUP($C$4,'Writing Logic'!$G$8:$H$14,2,FALSE),YES_Writing_ELA[#Headers],0)))),"")</f>
        <v/>
      </c>
      <c r="E281" s="138" t="str">
        <f>IFERROR(IF(IF(INDEX(_xlfn.VSTACK(YES_Writing_ELA[#Data],YES_Writing_FLA[#Data]),MATCH($A281,_xlfn.VSTACK(YES_Writing_ELA[Student Number],YES_Writing_FLA[Student Number]),0),MATCH(VLOOKUP(E$7,'Writing Logic'!$J$7:$K$11,2,FALSE)&amp;" - Per "&amp;VLOOKUP($C$4,'Writing Logic'!$G$8:$H$14,2,FALSE),YES_Writing_ELA[#Headers],0))=0,"",INDEX(_xlfn.VSTACK(YES_Writing_ELA[#Data],YES_Writing_FLA[#Data]),MATCH($A281,_xlfn.VSTACK(YES_Writing_ELA[Student Number],YES_Writing_FLA[Student Number]),0),MATCH(VLOOKUP(E$7,'Writing Logic'!$J$7:$K$11,2,FALSE)&amp;" - Per "&amp;VLOOKUP($C$4,'Writing Logic'!$G$8:$H$14,2,FALSE),YES_Writing_ELA[#Headers],0)))="INS",'Writing Logic'!$B$7,IF(INDEX(_xlfn.VSTACK(YES_Writing_ELA[#Data],YES_Writing_FLA[#Data]),MATCH($A281,_xlfn.VSTACK(YES_Writing_ELA[Student Number],YES_Writing_FLA[Student Number]),0),MATCH(VLOOKUP(E$7,'Writing Logic'!$J$7:$K$11,2,FALSE)&amp;" - Per "&amp;VLOOKUP($C$4,'Writing Logic'!$G$8:$H$14,2,FALSE),YES_Writing_ELA[#Headers],0))=0,"",INDEX(_xlfn.VSTACK(YES_Writing_ELA[#Data],YES_Writing_FLA[#Data]),MATCH($A281,_xlfn.VSTACK(YES_Writing_ELA[Student Number],YES_Writing_FLA[Student Number]),0),MATCH(VLOOKUP(E$7,'Writing Logic'!$J$7:$K$11,2,FALSE)&amp;" - Per "&amp;VLOOKUP($C$4,'Writing Logic'!$G$8:$H$14,2,FALSE),YES_Writing_ELA[#Headers],0)))),"")</f>
        <v/>
      </c>
      <c r="F281" s="138" t="str">
        <f>IFERROR(IF(IF(INDEX(_xlfn.VSTACK(YES_Writing_ELA[#Data],YES_Writing_FLA[#Data]),MATCH($A281,_xlfn.VSTACK(YES_Writing_ELA[Student Number],YES_Writing_FLA[Student Number]),0),MATCH(VLOOKUP(F$7,'Writing Logic'!$J$7:$K$11,2,FALSE)&amp;" - Per "&amp;VLOOKUP($C$4,'Writing Logic'!$G$8:$H$14,2,FALSE),YES_Writing_ELA[#Headers],0))=0,"",INDEX(_xlfn.VSTACK(YES_Writing_ELA[#Data],YES_Writing_FLA[#Data]),MATCH($A281,_xlfn.VSTACK(YES_Writing_ELA[Student Number],YES_Writing_FLA[Student Number]),0),MATCH(VLOOKUP(F$7,'Writing Logic'!$J$7:$K$11,2,FALSE)&amp;" - Per "&amp;VLOOKUP($C$4,'Writing Logic'!$G$8:$H$14,2,FALSE),YES_Writing_ELA[#Headers],0)))="INS",'Writing Logic'!$B$7,IF(INDEX(_xlfn.VSTACK(YES_Writing_ELA[#Data],YES_Writing_FLA[#Data]),MATCH($A281,_xlfn.VSTACK(YES_Writing_ELA[Student Number],YES_Writing_FLA[Student Number]),0),MATCH(VLOOKUP(F$7,'Writing Logic'!$J$7:$K$11,2,FALSE)&amp;" - Per "&amp;VLOOKUP($C$4,'Writing Logic'!$G$8:$H$14,2,FALSE),YES_Writing_ELA[#Headers],0))=0,"",INDEX(_xlfn.VSTACK(YES_Writing_ELA[#Data],YES_Writing_FLA[#Data]),MATCH($A281,_xlfn.VSTACK(YES_Writing_ELA[Student Number],YES_Writing_FLA[Student Number]),0),MATCH(VLOOKUP(F$7,'Writing Logic'!$J$7:$K$11,2,FALSE)&amp;" - Per "&amp;VLOOKUP($C$4,'Writing Logic'!$G$8:$H$14,2,FALSE),YES_Writing_ELA[#Headers],0)))),"")</f>
        <v/>
      </c>
      <c r="G281" s="138" t="str">
        <f>IFERROR(IF(IF(INDEX(_xlfn.VSTACK(YES_Writing_ELA[#Data],YES_Writing_FLA[#Data]),MATCH($A281,_xlfn.VSTACK(YES_Writing_ELA[Student Number],YES_Writing_FLA[Student Number]),0),MATCH(VLOOKUP(G$7,'Writing Logic'!$J$7:$K$11,2,FALSE)&amp;" - Per "&amp;VLOOKUP($C$4,'Writing Logic'!$G$8:$H$14,2,FALSE),YES_Writing_ELA[#Headers],0))=0,"",INDEX(_xlfn.VSTACK(YES_Writing_ELA[#Data],YES_Writing_FLA[#Data]),MATCH($A281,_xlfn.VSTACK(YES_Writing_ELA[Student Number],YES_Writing_FLA[Student Number]),0),MATCH(VLOOKUP(G$7,'Writing Logic'!$J$7:$K$11,2,FALSE)&amp;" - Per "&amp;VLOOKUP($C$4,'Writing Logic'!$G$8:$H$14,2,FALSE),YES_Writing_ELA[#Headers],0)))="INS",'Writing Logic'!$B$7,IF(INDEX(_xlfn.VSTACK(YES_Writing_ELA[#Data],YES_Writing_FLA[#Data]),MATCH($A281,_xlfn.VSTACK(YES_Writing_ELA[Student Number],YES_Writing_FLA[Student Number]),0),MATCH(VLOOKUP(G$7,'Writing Logic'!$J$7:$K$11,2,FALSE)&amp;" - Per "&amp;VLOOKUP($C$4,'Writing Logic'!$G$8:$H$14,2,FALSE),YES_Writing_ELA[#Headers],0))=0,"",INDEX(_xlfn.VSTACK(YES_Writing_ELA[#Data],YES_Writing_FLA[#Data]),MATCH($A281,_xlfn.VSTACK(YES_Writing_ELA[Student Number],YES_Writing_FLA[Student Number]),0),MATCH(VLOOKUP(G$7,'Writing Logic'!$J$7:$K$11,2,FALSE)&amp;" - Per "&amp;VLOOKUP($C$4,'Writing Logic'!$G$8:$H$14,2,FALSE),YES_Writing_ELA[#Headers],0)))),"")</f>
        <v/>
      </c>
      <c r="H281" s="223" t="str">
        <f>IFERROR(IF(IF(INDEX(_xlfn.VSTACK(YES_Writing_ELA[#Data],YES_Writing_FLA[#Data]),MATCH($A281,_xlfn.VSTACK(YES_Writing_ELA[Student Number],YES_Writing_FLA[Student Number]),0),MATCH(VLOOKUP(H$7,'Writing Logic'!$J$7:$K$11,2,FALSE)&amp;" - Per "&amp;VLOOKUP($C$4,'Writing Logic'!$G$8:$H$14,2,FALSE),YES_Writing_ELA[#Headers],0))=0,"",INDEX(_xlfn.VSTACK(YES_Writing_ELA[#Data],YES_Writing_FLA[#Data]),MATCH($A281,_xlfn.VSTACK(YES_Writing_ELA[Student Number],YES_Writing_FLA[Student Number]),0),MATCH(VLOOKUP(H$7,'Writing Logic'!$J$7:$K$11,2,FALSE)&amp;" - Per "&amp;VLOOKUP($C$4,'Writing Logic'!$G$8:$H$14,2,FALSE),YES_Writing_ELA[#Headers],0)))="INS",'Writing Logic'!$B$7,IF(INDEX(_xlfn.VSTACK(YES_Writing_ELA[#Data],YES_Writing_FLA[#Data]),MATCH($A281,_xlfn.VSTACK(YES_Writing_ELA[Student Number],YES_Writing_FLA[Student Number]),0),MATCH(VLOOKUP(H$7,'Writing Logic'!$J$7:$K$11,2,FALSE)&amp;" - Per "&amp;VLOOKUP($C$4,'Writing Logic'!$G$8:$H$14,2,FALSE),YES_Writing_ELA[#Headers],0))=0,"",INDEX(_xlfn.VSTACK(YES_Writing_ELA[#Data],YES_Writing_FLA[#Data]),MATCH($A281,_xlfn.VSTACK(YES_Writing_ELA[Student Number],YES_Writing_FLA[Student Number]),0),MATCH(VLOOKUP(H$7,'Writing Logic'!$J$7:$K$11,2,FALSE)&amp;" - Per "&amp;VLOOKUP($C$4,'Writing Logic'!$G$8:$H$14,2,FALSE),YES_Writing_ELA[#Headers],0)))),"")</f>
        <v/>
      </c>
      <c r="I281" s="224" t="str" cm="1">
        <f t="array" aca="1" ref="I281" ca="1">IFERROR(
IF($G$3="ELA",
IF(VLOOKUP($A281, YES_Reading_ELA[], COLUMN(INDIRECT("YES_Reading_ELA[Difference - Per "&amp;VLOOKUP($G$4, 'Reading Report Logic'!$A$2:$B$8, 2, FALSE)&amp;"]")), FALSE)="", "",
VLOOKUP($A281,YES_Reading_ELA[], COLUMN(INDIRECT("YES_Reading_ELA[Difference - Per "&amp;VLOOKUP($G$4,'Reading Report Logic'!$A$2:$B$8,2,FALSE)&amp;"]")), FALSE)),
IF($G$3="FLA",
IF(VLOOKUP($A281, YES_Reading_FLA[], COLUMN(INDIRECT("YES_Reading_FLA[Difference - Per "&amp;VLOOKUP($G$4,'Reading Report Logic'!$A$2:$B$8,2,FALSE)&amp;"]")),FALSE)="","",
VLOOKUP($A281,YES_Reading_FLA[],COLUMN(INDIRECT("YES_Reading_FLA[Difference - Per "&amp;VLOOKUP($G$4,'Reading Report Logic'!$A$2:$B$8,2,FALSE)&amp;"]")),FALSE)),
IF($G$3="Combined",
IFERROR(
IF(VLOOKUP($A281, YES_Reading_ELA[], COLUMN(INDIRECT("YES_Reading_ELA[Difference - Per "&amp;VLOOKUP($G$4, 'Reading Report Logic'!$A$2:$B$8,2,FALSE)&amp;"]")), FALSE)="", "",
VLOOKUP($A281,YES_Reading_ELA[],COLUMN(INDIRECT("YES_Reading_ELA[Difference - Per "&amp;VLOOKUP($G$4,'Reading Report Logic'!$A$2:$B$8,2,FALSE)&amp;"]")),FALSE)),
IF(VLOOKUP($A281, YES_Reading_FLA[], COLUMN(INDIRECT("YES_Reading_FLA[Difference - Per "&amp;VLOOKUP($G$4, 'Reading Report Logic'!$A$2:$B$8, 2, FALSE)&amp;"]")),FALSE)="", "", VLOOKUP($A281,YES_Reading_FLA[],COLUMN(INDIRECT("YES_Reading_FLA[Difference - Per "&amp;VLOOKUP($G$4, 'Reading Report Logic'!$A$2:$B$8, 2, FALSE)&amp;"]")),FALSE))),""))),"")</f>
        <v/>
      </c>
    </row>
    <row r="282" spans="1:9" x14ac:dyDescent="0.25">
      <c r="A282" s="137"/>
      <c r="B282" s="137" t="str">
        <f>IFERROR(INDEX(_xlfn.VSTACK(YES_Writing_ELA[#Data], YES_Writing_FLA[#Data]),MATCH($A282,_xlfn.VSTACK(YES_Writing_ELA[Student Number], YES_Writing_FLA[Student Number]),0),MATCH(B$7,YES_Writing_ELA[#Headers],0)),IFERROR(INDEX(_xlfn.VSTACK(YES_Reading_ELA[#Data], YES_Reading_FLA[#Data]),MATCH($A282,_xlfn.VSTACK(YES_Reading_ELA[Student Number], YES_Reading_FLA[Student Number]),0),MATCH(B$7,YES_Reading_ELA[#Headers],0)),""))</f>
        <v/>
      </c>
      <c r="C282" s="137" t="str">
        <f>IFERROR(INDEX(_xlfn.VSTACK(YES_Writing_ELA[#Data], YES_Writing_FLA[#Data]),MATCH($A282,_xlfn.VSTACK(YES_Writing_ELA[Student Number], YES_Writing_FLA[Student Number]),0),MATCH(C$7,YES_Writing_ELA[#Headers],0)),IFERROR(INDEX(_xlfn.VSTACK(YES_Reading_ELA[#Data], YES_Reading_FLA[#Data]),MATCH($A282,_xlfn.VSTACK(YES_Reading_ELA[Student Number], YES_Reading_FLA[Student Number]),0),MATCH(C$7,YES_Reading_ELA[#Headers],0)),""))</f>
        <v/>
      </c>
      <c r="D282" s="138" t="str">
        <f>IFERROR(IF(IF(INDEX(_xlfn.VSTACK(YES_Writing_ELA[#Data],YES_Writing_FLA[#Data]),MATCH($A282,_xlfn.VSTACK(YES_Writing_ELA[Student Number],YES_Writing_FLA[Student Number]),0),MATCH(VLOOKUP(D$7,'Writing Logic'!$J$7:$K$11,2,FALSE)&amp;" - Per "&amp;VLOOKUP($C$4,'Writing Logic'!$G$8:$H$14,2,FALSE),YES_Writing_ELA[#Headers],0))=0,"",INDEX(_xlfn.VSTACK(YES_Writing_ELA[#Data],YES_Writing_FLA[#Data]),MATCH($A282,_xlfn.VSTACK(YES_Writing_ELA[Student Number],YES_Writing_FLA[Student Number]),0),MATCH(VLOOKUP(D$7,'Writing Logic'!$J$7:$K$11,2,FALSE)&amp;" - Per "&amp;VLOOKUP($C$4,'Writing Logic'!$G$8:$H$14,2,FALSE),YES_Writing_ELA[#Headers],0)))="INS",'Writing Logic'!$B$7,IF(INDEX(_xlfn.VSTACK(YES_Writing_ELA[#Data],YES_Writing_FLA[#Data]),MATCH($A282,_xlfn.VSTACK(YES_Writing_ELA[Student Number],YES_Writing_FLA[Student Number]),0),MATCH(VLOOKUP(D$7,'Writing Logic'!$J$7:$K$11,2,FALSE)&amp;" - Per "&amp;VLOOKUP($C$4,'Writing Logic'!$G$8:$H$14,2,FALSE),YES_Writing_ELA[#Headers],0))=0,"",INDEX(_xlfn.VSTACK(YES_Writing_ELA[#Data],YES_Writing_FLA[#Data]),MATCH($A282,_xlfn.VSTACK(YES_Writing_ELA[Student Number],YES_Writing_FLA[Student Number]),0),MATCH(VLOOKUP(D$7,'Writing Logic'!$J$7:$K$11,2,FALSE)&amp;" - Per "&amp;VLOOKUP($C$4,'Writing Logic'!$G$8:$H$14,2,FALSE),YES_Writing_ELA[#Headers],0)))),"")</f>
        <v/>
      </c>
      <c r="E282" s="138" t="str">
        <f>IFERROR(IF(IF(INDEX(_xlfn.VSTACK(YES_Writing_ELA[#Data],YES_Writing_FLA[#Data]),MATCH($A282,_xlfn.VSTACK(YES_Writing_ELA[Student Number],YES_Writing_FLA[Student Number]),0),MATCH(VLOOKUP(E$7,'Writing Logic'!$J$7:$K$11,2,FALSE)&amp;" - Per "&amp;VLOOKUP($C$4,'Writing Logic'!$G$8:$H$14,2,FALSE),YES_Writing_ELA[#Headers],0))=0,"",INDEX(_xlfn.VSTACK(YES_Writing_ELA[#Data],YES_Writing_FLA[#Data]),MATCH($A282,_xlfn.VSTACK(YES_Writing_ELA[Student Number],YES_Writing_FLA[Student Number]),0),MATCH(VLOOKUP(E$7,'Writing Logic'!$J$7:$K$11,2,FALSE)&amp;" - Per "&amp;VLOOKUP($C$4,'Writing Logic'!$G$8:$H$14,2,FALSE),YES_Writing_ELA[#Headers],0)))="INS",'Writing Logic'!$B$7,IF(INDEX(_xlfn.VSTACK(YES_Writing_ELA[#Data],YES_Writing_FLA[#Data]),MATCH($A282,_xlfn.VSTACK(YES_Writing_ELA[Student Number],YES_Writing_FLA[Student Number]),0),MATCH(VLOOKUP(E$7,'Writing Logic'!$J$7:$K$11,2,FALSE)&amp;" - Per "&amp;VLOOKUP($C$4,'Writing Logic'!$G$8:$H$14,2,FALSE),YES_Writing_ELA[#Headers],0))=0,"",INDEX(_xlfn.VSTACK(YES_Writing_ELA[#Data],YES_Writing_FLA[#Data]),MATCH($A282,_xlfn.VSTACK(YES_Writing_ELA[Student Number],YES_Writing_FLA[Student Number]),0),MATCH(VLOOKUP(E$7,'Writing Logic'!$J$7:$K$11,2,FALSE)&amp;" - Per "&amp;VLOOKUP($C$4,'Writing Logic'!$G$8:$H$14,2,FALSE),YES_Writing_ELA[#Headers],0)))),"")</f>
        <v/>
      </c>
      <c r="F282" s="138" t="str">
        <f>IFERROR(IF(IF(INDEX(_xlfn.VSTACK(YES_Writing_ELA[#Data],YES_Writing_FLA[#Data]),MATCH($A282,_xlfn.VSTACK(YES_Writing_ELA[Student Number],YES_Writing_FLA[Student Number]),0),MATCH(VLOOKUP(F$7,'Writing Logic'!$J$7:$K$11,2,FALSE)&amp;" - Per "&amp;VLOOKUP($C$4,'Writing Logic'!$G$8:$H$14,2,FALSE),YES_Writing_ELA[#Headers],0))=0,"",INDEX(_xlfn.VSTACK(YES_Writing_ELA[#Data],YES_Writing_FLA[#Data]),MATCH($A282,_xlfn.VSTACK(YES_Writing_ELA[Student Number],YES_Writing_FLA[Student Number]),0),MATCH(VLOOKUP(F$7,'Writing Logic'!$J$7:$K$11,2,FALSE)&amp;" - Per "&amp;VLOOKUP($C$4,'Writing Logic'!$G$8:$H$14,2,FALSE),YES_Writing_ELA[#Headers],0)))="INS",'Writing Logic'!$B$7,IF(INDEX(_xlfn.VSTACK(YES_Writing_ELA[#Data],YES_Writing_FLA[#Data]),MATCH($A282,_xlfn.VSTACK(YES_Writing_ELA[Student Number],YES_Writing_FLA[Student Number]),0),MATCH(VLOOKUP(F$7,'Writing Logic'!$J$7:$K$11,2,FALSE)&amp;" - Per "&amp;VLOOKUP($C$4,'Writing Logic'!$G$8:$H$14,2,FALSE),YES_Writing_ELA[#Headers],0))=0,"",INDEX(_xlfn.VSTACK(YES_Writing_ELA[#Data],YES_Writing_FLA[#Data]),MATCH($A282,_xlfn.VSTACK(YES_Writing_ELA[Student Number],YES_Writing_FLA[Student Number]),0),MATCH(VLOOKUP(F$7,'Writing Logic'!$J$7:$K$11,2,FALSE)&amp;" - Per "&amp;VLOOKUP($C$4,'Writing Logic'!$G$8:$H$14,2,FALSE),YES_Writing_ELA[#Headers],0)))),"")</f>
        <v/>
      </c>
      <c r="G282" s="138" t="str">
        <f>IFERROR(IF(IF(INDEX(_xlfn.VSTACK(YES_Writing_ELA[#Data],YES_Writing_FLA[#Data]),MATCH($A282,_xlfn.VSTACK(YES_Writing_ELA[Student Number],YES_Writing_FLA[Student Number]),0),MATCH(VLOOKUP(G$7,'Writing Logic'!$J$7:$K$11,2,FALSE)&amp;" - Per "&amp;VLOOKUP($C$4,'Writing Logic'!$G$8:$H$14,2,FALSE),YES_Writing_ELA[#Headers],0))=0,"",INDEX(_xlfn.VSTACK(YES_Writing_ELA[#Data],YES_Writing_FLA[#Data]),MATCH($A282,_xlfn.VSTACK(YES_Writing_ELA[Student Number],YES_Writing_FLA[Student Number]),0),MATCH(VLOOKUP(G$7,'Writing Logic'!$J$7:$K$11,2,FALSE)&amp;" - Per "&amp;VLOOKUP($C$4,'Writing Logic'!$G$8:$H$14,2,FALSE),YES_Writing_ELA[#Headers],0)))="INS",'Writing Logic'!$B$7,IF(INDEX(_xlfn.VSTACK(YES_Writing_ELA[#Data],YES_Writing_FLA[#Data]),MATCH($A282,_xlfn.VSTACK(YES_Writing_ELA[Student Number],YES_Writing_FLA[Student Number]),0),MATCH(VLOOKUP(G$7,'Writing Logic'!$J$7:$K$11,2,FALSE)&amp;" - Per "&amp;VLOOKUP($C$4,'Writing Logic'!$G$8:$H$14,2,FALSE),YES_Writing_ELA[#Headers],0))=0,"",INDEX(_xlfn.VSTACK(YES_Writing_ELA[#Data],YES_Writing_FLA[#Data]),MATCH($A282,_xlfn.VSTACK(YES_Writing_ELA[Student Number],YES_Writing_FLA[Student Number]),0),MATCH(VLOOKUP(G$7,'Writing Logic'!$J$7:$K$11,2,FALSE)&amp;" - Per "&amp;VLOOKUP($C$4,'Writing Logic'!$G$8:$H$14,2,FALSE),YES_Writing_ELA[#Headers],0)))),"")</f>
        <v/>
      </c>
      <c r="H282" s="223" t="str">
        <f>IFERROR(IF(IF(INDEX(_xlfn.VSTACK(YES_Writing_ELA[#Data],YES_Writing_FLA[#Data]),MATCH($A282,_xlfn.VSTACK(YES_Writing_ELA[Student Number],YES_Writing_FLA[Student Number]),0),MATCH(VLOOKUP(H$7,'Writing Logic'!$J$7:$K$11,2,FALSE)&amp;" - Per "&amp;VLOOKUP($C$4,'Writing Logic'!$G$8:$H$14,2,FALSE),YES_Writing_ELA[#Headers],0))=0,"",INDEX(_xlfn.VSTACK(YES_Writing_ELA[#Data],YES_Writing_FLA[#Data]),MATCH($A282,_xlfn.VSTACK(YES_Writing_ELA[Student Number],YES_Writing_FLA[Student Number]),0),MATCH(VLOOKUP(H$7,'Writing Logic'!$J$7:$K$11,2,FALSE)&amp;" - Per "&amp;VLOOKUP($C$4,'Writing Logic'!$G$8:$H$14,2,FALSE),YES_Writing_ELA[#Headers],0)))="INS",'Writing Logic'!$B$7,IF(INDEX(_xlfn.VSTACK(YES_Writing_ELA[#Data],YES_Writing_FLA[#Data]),MATCH($A282,_xlfn.VSTACK(YES_Writing_ELA[Student Number],YES_Writing_FLA[Student Number]),0),MATCH(VLOOKUP(H$7,'Writing Logic'!$J$7:$K$11,2,FALSE)&amp;" - Per "&amp;VLOOKUP($C$4,'Writing Logic'!$G$8:$H$14,2,FALSE),YES_Writing_ELA[#Headers],0))=0,"",INDEX(_xlfn.VSTACK(YES_Writing_ELA[#Data],YES_Writing_FLA[#Data]),MATCH($A282,_xlfn.VSTACK(YES_Writing_ELA[Student Number],YES_Writing_FLA[Student Number]),0),MATCH(VLOOKUP(H$7,'Writing Logic'!$J$7:$K$11,2,FALSE)&amp;" - Per "&amp;VLOOKUP($C$4,'Writing Logic'!$G$8:$H$14,2,FALSE),YES_Writing_ELA[#Headers],0)))),"")</f>
        <v/>
      </c>
      <c r="I282" s="224" t="str" cm="1">
        <f t="array" aca="1" ref="I282" ca="1">IFERROR(
IF($G$3="ELA",
IF(VLOOKUP($A282, YES_Reading_ELA[], COLUMN(INDIRECT("YES_Reading_ELA[Difference - Per "&amp;VLOOKUP($G$4, 'Reading Report Logic'!$A$2:$B$8, 2, FALSE)&amp;"]")), FALSE)="", "",
VLOOKUP($A282,YES_Reading_ELA[], COLUMN(INDIRECT("YES_Reading_ELA[Difference - Per "&amp;VLOOKUP($G$4,'Reading Report Logic'!$A$2:$B$8,2,FALSE)&amp;"]")), FALSE)),
IF($G$3="FLA",
IF(VLOOKUP($A282, YES_Reading_FLA[], COLUMN(INDIRECT("YES_Reading_FLA[Difference - Per "&amp;VLOOKUP($G$4,'Reading Report Logic'!$A$2:$B$8,2,FALSE)&amp;"]")),FALSE)="","",
VLOOKUP($A282,YES_Reading_FLA[],COLUMN(INDIRECT("YES_Reading_FLA[Difference - Per "&amp;VLOOKUP($G$4,'Reading Report Logic'!$A$2:$B$8,2,FALSE)&amp;"]")),FALSE)),
IF($G$3="Combined",
IFERROR(
IF(VLOOKUP($A282, YES_Reading_ELA[], COLUMN(INDIRECT("YES_Reading_ELA[Difference - Per "&amp;VLOOKUP($G$4, 'Reading Report Logic'!$A$2:$B$8,2,FALSE)&amp;"]")), FALSE)="", "",
VLOOKUP($A282,YES_Reading_ELA[],COLUMN(INDIRECT("YES_Reading_ELA[Difference - Per "&amp;VLOOKUP($G$4,'Reading Report Logic'!$A$2:$B$8,2,FALSE)&amp;"]")),FALSE)),
IF(VLOOKUP($A282, YES_Reading_FLA[], COLUMN(INDIRECT("YES_Reading_FLA[Difference - Per "&amp;VLOOKUP($G$4, 'Reading Report Logic'!$A$2:$B$8, 2, FALSE)&amp;"]")),FALSE)="", "", VLOOKUP($A282,YES_Reading_FLA[],COLUMN(INDIRECT("YES_Reading_FLA[Difference - Per "&amp;VLOOKUP($G$4, 'Reading Report Logic'!$A$2:$B$8, 2, FALSE)&amp;"]")),FALSE))),""))),"")</f>
        <v/>
      </c>
    </row>
    <row r="283" spans="1:9" x14ac:dyDescent="0.25">
      <c r="A283" s="137"/>
      <c r="B283" s="137" t="str">
        <f>IFERROR(INDEX(_xlfn.VSTACK(YES_Writing_ELA[#Data], YES_Writing_FLA[#Data]),MATCH($A283,_xlfn.VSTACK(YES_Writing_ELA[Student Number], YES_Writing_FLA[Student Number]),0),MATCH(B$7,YES_Writing_ELA[#Headers],0)),IFERROR(INDEX(_xlfn.VSTACK(YES_Reading_ELA[#Data], YES_Reading_FLA[#Data]),MATCH($A283,_xlfn.VSTACK(YES_Reading_ELA[Student Number], YES_Reading_FLA[Student Number]),0),MATCH(B$7,YES_Reading_ELA[#Headers],0)),""))</f>
        <v/>
      </c>
      <c r="C283" s="137" t="str">
        <f>IFERROR(INDEX(_xlfn.VSTACK(YES_Writing_ELA[#Data], YES_Writing_FLA[#Data]),MATCH($A283,_xlfn.VSTACK(YES_Writing_ELA[Student Number], YES_Writing_FLA[Student Number]),0),MATCH(C$7,YES_Writing_ELA[#Headers],0)),IFERROR(INDEX(_xlfn.VSTACK(YES_Reading_ELA[#Data], YES_Reading_FLA[#Data]),MATCH($A283,_xlfn.VSTACK(YES_Reading_ELA[Student Number], YES_Reading_FLA[Student Number]),0),MATCH(C$7,YES_Reading_ELA[#Headers],0)),""))</f>
        <v/>
      </c>
      <c r="D283" s="138" t="str">
        <f>IFERROR(IF(IF(INDEX(_xlfn.VSTACK(YES_Writing_ELA[#Data],YES_Writing_FLA[#Data]),MATCH($A283,_xlfn.VSTACK(YES_Writing_ELA[Student Number],YES_Writing_FLA[Student Number]),0),MATCH(VLOOKUP(D$7,'Writing Logic'!$J$7:$K$11,2,FALSE)&amp;" - Per "&amp;VLOOKUP($C$4,'Writing Logic'!$G$8:$H$14,2,FALSE),YES_Writing_ELA[#Headers],0))=0,"",INDEX(_xlfn.VSTACK(YES_Writing_ELA[#Data],YES_Writing_FLA[#Data]),MATCH($A283,_xlfn.VSTACK(YES_Writing_ELA[Student Number],YES_Writing_FLA[Student Number]),0),MATCH(VLOOKUP(D$7,'Writing Logic'!$J$7:$K$11,2,FALSE)&amp;" - Per "&amp;VLOOKUP($C$4,'Writing Logic'!$G$8:$H$14,2,FALSE),YES_Writing_ELA[#Headers],0)))="INS",'Writing Logic'!$B$7,IF(INDEX(_xlfn.VSTACK(YES_Writing_ELA[#Data],YES_Writing_FLA[#Data]),MATCH($A283,_xlfn.VSTACK(YES_Writing_ELA[Student Number],YES_Writing_FLA[Student Number]),0),MATCH(VLOOKUP(D$7,'Writing Logic'!$J$7:$K$11,2,FALSE)&amp;" - Per "&amp;VLOOKUP($C$4,'Writing Logic'!$G$8:$H$14,2,FALSE),YES_Writing_ELA[#Headers],0))=0,"",INDEX(_xlfn.VSTACK(YES_Writing_ELA[#Data],YES_Writing_FLA[#Data]),MATCH($A283,_xlfn.VSTACK(YES_Writing_ELA[Student Number],YES_Writing_FLA[Student Number]),0),MATCH(VLOOKUP(D$7,'Writing Logic'!$J$7:$K$11,2,FALSE)&amp;" - Per "&amp;VLOOKUP($C$4,'Writing Logic'!$G$8:$H$14,2,FALSE),YES_Writing_ELA[#Headers],0)))),"")</f>
        <v/>
      </c>
      <c r="E283" s="138" t="str">
        <f>IFERROR(IF(IF(INDEX(_xlfn.VSTACK(YES_Writing_ELA[#Data],YES_Writing_FLA[#Data]),MATCH($A283,_xlfn.VSTACK(YES_Writing_ELA[Student Number],YES_Writing_FLA[Student Number]),0),MATCH(VLOOKUP(E$7,'Writing Logic'!$J$7:$K$11,2,FALSE)&amp;" - Per "&amp;VLOOKUP($C$4,'Writing Logic'!$G$8:$H$14,2,FALSE),YES_Writing_ELA[#Headers],0))=0,"",INDEX(_xlfn.VSTACK(YES_Writing_ELA[#Data],YES_Writing_FLA[#Data]),MATCH($A283,_xlfn.VSTACK(YES_Writing_ELA[Student Number],YES_Writing_FLA[Student Number]),0),MATCH(VLOOKUP(E$7,'Writing Logic'!$J$7:$K$11,2,FALSE)&amp;" - Per "&amp;VLOOKUP($C$4,'Writing Logic'!$G$8:$H$14,2,FALSE),YES_Writing_ELA[#Headers],0)))="INS",'Writing Logic'!$B$7,IF(INDEX(_xlfn.VSTACK(YES_Writing_ELA[#Data],YES_Writing_FLA[#Data]),MATCH($A283,_xlfn.VSTACK(YES_Writing_ELA[Student Number],YES_Writing_FLA[Student Number]),0),MATCH(VLOOKUP(E$7,'Writing Logic'!$J$7:$K$11,2,FALSE)&amp;" - Per "&amp;VLOOKUP($C$4,'Writing Logic'!$G$8:$H$14,2,FALSE),YES_Writing_ELA[#Headers],0))=0,"",INDEX(_xlfn.VSTACK(YES_Writing_ELA[#Data],YES_Writing_FLA[#Data]),MATCH($A283,_xlfn.VSTACK(YES_Writing_ELA[Student Number],YES_Writing_FLA[Student Number]),0),MATCH(VLOOKUP(E$7,'Writing Logic'!$J$7:$K$11,2,FALSE)&amp;" - Per "&amp;VLOOKUP($C$4,'Writing Logic'!$G$8:$H$14,2,FALSE),YES_Writing_ELA[#Headers],0)))),"")</f>
        <v/>
      </c>
      <c r="F283" s="138" t="str">
        <f>IFERROR(IF(IF(INDEX(_xlfn.VSTACK(YES_Writing_ELA[#Data],YES_Writing_FLA[#Data]),MATCH($A283,_xlfn.VSTACK(YES_Writing_ELA[Student Number],YES_Writing_FLA[Student Number]),0),MATCH(VLOOKUP(F$7,'Writing Logic'!$J$7:$K$11,2,FALSE)&amp;" - Per "&amp;VLOOKUP($C$4,'Writing Logic'!$G$8:$H$14,2,FALSE),YES_Writing_ELA[#Headers],0))=0,"",INDEX(_xlfn.VSTACK(YES_Writing_ELA[#Data],YES_Writing_FLA[#Data]),MATCH($A283,_xlfn.VSTACK(YES_Writing_ELA[Student Number],YES_Writing_FLA[Student Number]),0),MATCH(VLOOKUP(F$7,'Writing Logic'!$J$7:$K$11,2,FALSE)&amp;" - Per "&amp;VLOOKUP($C$4,'Writing Logic'!$G$8:$H$14,2,FALSE),YES_Writing_ELA[#Headers],0)))="INS",'Writing Logic'!$B$7,IF(INDEX(_xlfn.VSTACK(YES_Writing_ELA[#Data],YES_Writing_FLA[#Data]),MATCH($A283,_xlfn.VSTACK(YES_Writing_ELA[Student Number],YES_Writing_FLA[Student Number]),0),MATCH(VLOOKUP(F$7,'Writing Logic'!$J$7:$K$11,2,FALSE)&amp;" - Per "&amp;VLOOKUP($C$4,'Writing Logic'!$G$8:$H$14,2,FALSE),YES_Writing_ELA[#Headers],0))=0,"",INDEX(_xlfn.VSTACK(YES_Writing_ELA[#Data],YES_Writing_FLA[#Data]),MATCH($A283,_xlfn.VSTACK(YES_Writing_ELA[Student Number],YES_Writing_FLA[Student Number]),0),MATCH(VLOOKUP(F$7,'Writing Logic'!$J$7:$K$11,2,FALSE)&amp;" - Per "&amp;VLOOKUP($C$4,'Writing Logic'!$G$8:$H$14,2,FALSE),YES_Writing_ELA[#Headers],0)))),"")</f>
        <v/>
      </c>
      <c r="G283" s="138" t="str">
        <f>IFERROR(IF(IF(INDEX(_xlfn.VSTACK(YES_Writing_ELA[#Data],YES_Writing_FLA[#Data]),MATCH($A283,_xlfn.VSTACK(YES_Writing_ELA[Student Number],YES_Writing_FLA[Student Number]),0),MATCH(VLOOKUP(G$7,'Writing Logic'!$J$7:$K$11,2,FALSE)&amp;" - Per "&amp;VLOOKUP($C$4,'Writing Logic'!$G$8:$H$14,2,FALSE),YES_Writing_ELA[#Headers],0))=0,"",INDEX(_xlfn.VSTACK(YES_Writing_ELA[#Data],YES_Writing_FLA[#Data]),MATCH($A283,_xlfn.VSTACK(YES_Writing_ELA[Student Number],YES_Writing_FLA[Student Number]),0),MATCH(VLOOKUP(G$7,'Writing Logic'!$J$7:$K$11,2,FALSE)&amp;" - Per "&amp;VLOOKUP($C$4,'Writing Logic'!$G$8:$H$14,2,FALSE),YES_Writing_ELA[#Headers],0)))="INS",'Writing Logic'!$B$7,IF(INDEX(_xlfn.VSTACK(YES_Writing_ELA[#Data],YES_Writing_FLA[#Data]),MATCH($A283,_xlfn.VSTACK(YES_Writing_ELA[Student Number],YES_Writing_FLA[Student Number]),0),MATCH(VLOOKUP(G$7,'Writing Logic'!$J$7:$K$11,2,FALSE)&amp;" - Per "&amp;VLOOKUP($C$4,'Writing Logic'!$G$8:$H$14,2,FALSE),YES_Writing_ELA[#Headers],0))=0,"",INDEX(_xlfn.VSTACK(YES_Writing_ELA[#Data],YES_Writing_FLA[#Data]),MATCH($A283,_xlfn.VSTACK(YES_Writing_ELA[Student Number],YES_Writing_FLA[Student Number]),0),MATCH(VLOOKUP(G$7,'Writing Logic'!$J$7:$K$11,2,FALSE)&amp;" - Per "&amp;VLOOKUP($C$4,'Writing Logic'!$G$8:$H$14,2,FALSE),YES_Writing_ELA[#Headers],0)))),"")</f>
        <v/>
      </c>
      <c r="H283" s="223" t="str">
        <f>IFERROR(IF(IF(INDEX(_xlfn.VSTACK(YES_Writing_ELA[#Data],YES_Writing_FLA[#Data]),MATCH($A283,_xlfn.VSTACK(YES_Writing_ELA[Student Number],YES_Writing_FLA[Student Number]),0),MATCH(VLOOKUP(H$7,'Writing Logic'!$J$7:$K$11,2,FALSE)&amp;" - Per "&amp;VLOOKUP($C$4,'Writing Logic'!$G$8:$H$14,2,FALSE),YES_Writing_ELA[#Headers],0))=0,"",INDEX(_xlfn.VSTACK(YES_Writing_ELA[#Data],YES_Writing_FLA[#Data]),MATCH($A283,_xlfn.VSTACK(YES_Writing_ELA[Student Number],YES_Writing_FLA[Student Number]),0),MATCH(VLOOKUP(H$7,'Writing Logic'!$J$7:$K$11,2,FALSE)&amp;" - Per "&amp;VLOOKUP($C$4,'Writing Logic'!$G$8:$H$14,2,FALSE),YES_Writing_ELA[#Headers],0)))="INS",'Writing Logic'!$B$7,IF(INDEX(_xlfn.VSTACK(YES_Writing_ELA[#Data],YES_Writing_FLA[#Data]),MATCH($A283,_xlfn.VSTACK(YES_Writing_ELA[Student Number],YES_Writing_FLA[Student Number]),0),MATCH(VLOOKUP(H$7,'Writing Logic'!$J$7:$K$11,2,FALSE)&amp;" - Per "&amp;VLOOKUP($C$4,'Writing Logic'!$G$8:$H$14,2,FALSE),YES_Writing_ELA[#Headers],0))=0,"",INDEX(_xlfn.VSTACK(YES_Writing_ELA[#Data],YES_Writing_FLA[#Data]),MATCH($A283,_xlfn.VSTACK(YES_Writing_ELA[Student Number],YES_Writing_FLA[Student Number]),0),MATCH(VLOOKUP(H$7,'Writing Logic'!$J$7:$K$11,2,FALSE)&amp;" - Per "&amp;VLOOKUP($C$4,'Writing Logic'!$G$8:$H$14,2,FALSE),YES_Writing_ELA[#Headers],0)))),"")</f>
        <v/>
      </c>
      <c r="I283" s="224" t="str" cm="1">
        <f t="array" aca="1" ref="I283" ca="1">IFERROR(
IF($G$3="ELA",
IF(VLOOKUP($A283, YES_Reading_ELA[], COLUMN(INDIRECT("YES_Reading_ELA[Difference - Per "&amp;VLOOKUP($G$4, 'Reading Report Logic'!$A$2:$B$8, 2, FALSE)&amp;"]")), FALSE)="", "",
VLOOKUP($A283,YES_Reading_ELA[], COLUMN(INDIRECT("YES_Reading_ELA[Difference - Per "&amp;VLOOKUP($G$4,'Reading Report Logic'!$A$2:$B$8,2,FALSE)&amp;"]")), FALSE)),
IF($G$3="FLA",
IF(VLOOKUP($A283, YES_Reading_FLA[], COLUMN(INDIRECT("YES_Reading_FLA[Difference - Per "&amp;VLOOKUP($G$4,'Reading Report Logic'!$A$2:$B$8,2,FALSE)&amp;"]")),FALSE)="","",
VLOOKUP($A283,YES_Reading_FLA[],COLUMN(INDIRECT("YES_Reading_FLA[Difference - Per "&amp;VLOOKUP($G$4,'Reading Report Logic'!$A$2:$B$8,2,FALSE)&amp;"]")),FALSE)),
IF($G$3="Combined",
IFERROR(
IF(VLOOKUP($A283, YES_Reading_ELA[], COLUMN(INDIRECT("YES_Reading_ELA[Difference - Per "&amp;VLOOKUP($G$4, 'Reading Report Logic'!$A$2:$B$8,2,FALSE)&amp;"]")), FALSE)="", "",
VLOOKUP($A283,YES_Reading_ELA[],COLUMN(INDIRECT("YES_Reading_ELA[Difference - Per "&amp;VLOOKUP($G$4,'Reading Report Logic'!$A$2:$B$8,2,FALSE)&amp;"]")),FALSE)),
IF(VLOOKUP($A283, YES_Reading_FLA[], COLUMN(INDIRECT("YES_Reading_FLA[Difference - Per "&amp;VLOOKUP($G$4, 'Reading Report Logic'!$A$2:$B$8, 2, FALSE)&amp;"]")),FALSE)="", "", VLOOKUP($A283,YES_Reading_FLA[],COLUMN(INDIRECT("YES_Reading_FLA[Difference - Per "&amp;VLOOKUP($G$4, 'Reading Report Logic'!$A$2:$B$8, 2, FALSE)&amp;"]")),FALSE))),""))),"")</f>
        <v/>
      </c>
    </row>
    <row r="284" spans="1:9" x14ac:dyDescent="0.25">
      <c r="A284" s="137"/>
      <c r="B284" s="137" t="str">
        <f>IFERROR(INDEX(_xlfn.VSTACK(YES_Writing_ELA[#Data], YES_Writing_FLA[#Data]),MATCH($A284,_xlfn.VSTACK(YES_Writing_ELA[Student Number], YES_Writing_FLA[Student Number]),0),MATCH(B$7,YES_Writing_ELA[#Headers],0)),IFERROR(INDEX(_xlfn.VSTACK(YES_Reading_ELA[#Data], YES_Reading_FLA[#Data]),MATCH($A284,_xlfn.VSTACK(YES_Reading_ELA[Student Number], YES_Reading_FLA[Student Number]),0),MATCH(B$7,YES_Reading_ELA[#Headers],0)),""))</f>
        <v/>
      </c>
      <c r="C284" s="137" t="str">
        <f>IFERROR(INDEX(_xlfn.VSTACK(YES_Writing_ELA[#Data], YES_Writing_FLA[#Data]),MATCH($A284,_xlfn.VSTACK(YES_Writing_ELA[Student Number], YES_Writing_FLA[Student Number]),0),MATCH(C$7,YES_Writing_ELA[#Headers],0)),IFERROR(INDEX(_xlfn.VSTACK(YES_Reading_ELA[#Data], YES_Reading_FLA[#Data]),MATCH($A284,_xlfn.VSTACK(YES_Reading_ELA[Student Number], YES_Reading_FLA[Student Number]),0),MATCH(C$7,YES_Reading_ELA[#Headers],0)),""))</f>
        <v/>
      </c>
      <c r="D284" s="138" t="str">
        <f>IFERROR(IF(IF(INDEX(_xlfn.VSTACK(YES_Writing_ELA[#Data],YES_Writing_FLA[#Data]),MATCH($A284,_xlfn.VSTACK(YES_Writing_ELA[Student Number],YES_Writing_FLA[Student Number]),0),MATCH(VLOOKUP(D$7,'Writing Logic'!$J$7:$K$11,2,FALSE)&amp;" - Per "&amp;VLOOKUP($C$4,'Writing Logic'!$G$8:$H$14,2,FALSE),YES_Writing_ELA[#Headers],0))=0,"",INDEX(_xlfn.VSTACK(YES_Writing_ELA[#Data],YES_Writing_FLA[#Data]),MATCH($A284,_xlfn.VSTACK(YES_Writing_ELA[Student Number],YES_Writing_FLA[Student Number]),0),MATCH(VLOOKUP(D$7,'Writing Logic'!$J$7:$K$11,2,FALSE)&amp;" - Per "&amp;VLOOKUP($C$4,'Writing Logic'!$G$8:$H$14,2,FALSE),YES_Writing_ELA[#Headers],0)))="INS",'Writing Logic'!$B$7,IF(INDEX(_xlfn.VSTACK(YES_Writing_ELA[#Data],YES_Writing_FLA[#Data]),MATCH($A284,_xlfn.VSTACK(YES_Writing_ELA[Student Number],YES_Writing_FLA[Student Number]),0),MATCH(VLOOKUP(D$7,'Writing Logic'!$J$7:$K$11,2,FALSE)&amp;" - Per "&amp;VLOOKUP($C$4,'Writing Logic'!$G$8:$H$14,2,FALSE),YES_Writing_ELA[#Headers],0))=0,"",INDEX(_xlfn.VSTACK(YES_Writing_ELA[#Data],YES_Writing_FLA[#Data]),MATCH($A284,_xlfn.VSTACK(YES_Writing_ELA[Student Number],YES_Writing_FLA[Student Number]),0),MATCH(VLOOKUP(D$7,'Writing Logic'!$J$7:$K$11,2,FALSE)&amp;" - Per "&amp;VLOOKUP($C$4,'Writing Logic'!$G$8:$H$14,2,FALSE),YES_Writing_ELA[#Headers],0)))),"")</f>
        <v/>
      </c>
      <c r="E284" s="138" t="str">
        <f>IFERROR(IF(IF(INDEX(_xlfn.VSTACK(YES_Writing_ELA[#Data],YES_Writing_FLA[#Data]),MATCH($A284,_xlfn.VSTACK(YES_Writing_ELA[Student Number],YES_Writing_FLA[Student Number]),0),MATCH(VLOOKUP(E$7,'Writing Logic'!$J$7:$K$11,2,FALSE)&amp;" - Per "&amp;VLOOKUP($C$4,'Writing Logic'!$G$8:$H$14,2,FALSE),YES_Writing_ELA[#Headers],0))=0,"",INDEX(_xlfn.VSTACK(YES_Writing_ELA[#Data],YES_Writing_FLA[#Data]),MATCH($A284,_xlfn.VSTACK(YES_Writing_ELA[Student Number],YES_Writing_FLA[Student Number]),0),MATCH(VLOOKUP(E$7,'Writing Logic'!$J$7:$K$11,2,FALSE)&amp;" - Per "&amp;VLOOKUP($C$4,'Writing Logic'!$G$8:$H$14,2,FALSE),YES_Writing_ELA[#Headers],0)))="INS",'Writing Logic'!$B$7,IF(INDEX(_xlfn.VSTACK(YES_Writing_ELA[#Data],YES_Writing_FLA[#Data]),MATCH($A284,_xlfn.VSTACK(YES_Writing_ELA[Student Number],YES_Writing_FLA[Student Number]),0),MATCH(VLOOKUP(E$7,'Writing Logic'!$J$7:$K$11,2,FALSE)&amp;" - Per "&amp;VLOOKUP($C$4,'Writing Logic'!$G$8:$H$14,2,FALSE),YES_Writing_ELA[#Headers],0))=0,"",INDEX(_xlfn.VSTACK(YES_Writing_ELA[#Data],YES_Writing_FLA[#Data]),MATCH($A284,_xlfn.VSTACK(YES_Writing_ELA[Student Number],YES_Writing_FLA[Student Number]),0),MATCH(VLOOKUP(E$7,'Writing Logic'!$J$7:$K$11,2,FALSE)&amp;" - Per "&amp;VLOOKUP($C$4,'Writing Logic'!$G$8:$H$14,2,FALSE),YES_Writing_ELA[#Headers],0)))),"")</f>
        <v/>
      </c>
      <c r="F284" s="138" t="str">
        <f>IFERROR(IF(IF(INDEX(_xlfn.VSTACK(YES_Writing_ELA[#Data],YES_Writing_FLA[#Data]),MATCH($A284,_xlfn.VSTACK(YES_Writing_ELA[Student Number],YES_Writing_FLA[Student Number]),0),MATCH(VLOOKUP(F$7,'Writing Logic'!$J$7:$K$11,2,FALSE)&amp;" - Per "&amp;VLOOKUP($C$4,'Writing Logic'!$G$8:$H$14,2,FALSE),YES_Writing_ELA[#Headers],0))=0,"",INDEX(_xlfn.VSTACK(YES_Writing_ELA[#Data],YES_Writing_FLA[#Data]),MATCH($A284,_xlfn.VSTACK(YES_Writing_ELA[Student Number],YES_Writing_FLA[Student Number]),0),MATCH(VLOOKUP(F$7,'Writing Logic'!$J$7:$K$11,2,FALSE)&amp;" - Per "&amp;VLOOKUP($C$4,'Writing Logic'!$G$8:$H$14,2,FALSE),YES_Writing_ELA[#Headers],0)))="INS",'Writing Logic'!$B$7,IF(INDEX(_xlfn.VSTACK(YES_Writing_ELA[#Data],YES_Writing_FLA[#Data]),MATCH($A284,_xlfn.VSTACK(YES_Writing_ELA[Student Number],YES_Writing_FLA[Student Number]),0),MATCH(VLOOKUP(F$7,'Writing Logic'!$J$7:$K$11,2,FALSE)&amp;" - Per "&amp;VLOOKUP($C$4,'Writing Logic'!$G$8:$H$14,2,FALSE),YES_Writing_ELA[#Headers],0))=0,"",INDEX(_xlfn.VSTACK(YES_Writing_ELA[#Data],YES_Writing_FLA[#Data]),MATCH($A284,_xlfn.VSTACK(YES_Writing_ELA[Student Number],YES_Writing_FLA[Student Number]),0),MATCH(VLOOKUP(F$7,'Writing Logic'!$J$7:$K$11,2,FALSE)&amp;" - Per "&amp;VLOOKUP($C$4,'Writing Logic'!$G$8:$H$14,2,FALSE),YES_Writing_ELA[#Headers],0)))),"")</f>
        <v/>
      </c>
      <c r="G284" s="138" t="str">
        <f>IFERROR(IF(IF(INDEX(_xlfn.VSTACK(YES_Writing_ELA[#Data],YES_Writing_FLA[#Data]),MATCH($A284,_xlfn.VSTACK(YES_Writing_ELA[Student Number],YES_Writing_FLA[Student Number]),0),MATCH(VLOOKUP(G$7,'Writing Logic'!$J$7:$K$11,2,FALSE)&amp;" - Per "&amp;VLOOKUP($C$4,'Writing Logic'!$G$8:$H$14,2,FALSE),YES_Writing_ELA[#Headers],0))=0,"",INDEX(_xlfn.VSTACK(YES_Writing_ELA[#Data],YES_Writing_FLA[#Data]),MATCH($A284,_xlfn.VSTACK(YES_Writing_ELA[Student Number],YES_Writing_FLA[Student Number]),0),MATCH(VLOOKUP(G$7,'Writing Logic'!$J$7:$K$11,2,FALSE)&amp;" - Per "&amp;VLOOKUP($C$4,'Writing Logic'!$G$8:$H$14,2,FALSE),YES_Writing_ELA[#Headers],0)))="INS",'Writing Logic'!$B$7,IF(INDEX(_xlfn.VSTACK(YES_Writing_ELA[#Data],YES_Writing_FLA[#Data]),MATCH($A284,_xlfn.VSTACK(YES_Writing_ELA[Student Number],YES_Writing_FLA[Student Number]),0),MATCH(VLOOKUP(G$7,'Writing Logic'!$J$7:$K$11,2,FALSE)&amp;" - Per "&amp;VLOOKUP($C$4,'Writing Logic'!$G$8:$H$14,2,FALSE),YES_Writing_ELA[#Headers],0))=0,"",INDEX(_xlfn.VSTACK(YES_Writing_ELA[#Data],YES_Writing_FLA[#Data]),MATCH($A284,_xlfn.VSTACK(YES_Writing_ELA[Student Number],YES_Writing_FLA[Student Number]),0),MATCH(VLOOKUP(G$7,'Writing Logic'!$J$7:$K$11,2,FALSE)&amp;" - Per "&amp;VLOOKUP($C$4,'Writing Logic'!$G$8:$H$14,2,FALSE),YES_Writing_ELA[#Headers],0)))),"")</f>
        <v/>
      </c>
      <c r="H284" s="223" t="str">
        <f>IFERROR(IF(IF(INDEX(_xlfn.VSTACK(YES_Writing_ELA[#Data],YES_Writing_FLA[#Data]),MATCH($A284,_xlfn.VSTACK(YES_Writing_ELA[Student Number],YES_Writing_FLA[Student Number]),0),MATCH(VLOOKUP(H$7,'Writing Logic'!$J$7:$K$11,2,FALSE)&amp;" - Per "&amp;VLOOKUP($C$4,'Writing Logic'!$G$8:$H$14,2,FALSE),YES_Writing_ELA[#Headers],0))=0,"",INDEX(_xlfn.VSTACK(YES_Writing_ELA[#Data],YES_Writing_FLA[#Data]),MATCH($A284,_xlfn.VSTACK(YES_Writing_ELA[Student Number],YES_Writing_FLA[Student Number]),0),MATCH(VLOOKUP(H$7,'Writing Logic'!$J$7:$K$11,2,FALSE)&amp;" - Per "&amp;VLOOKUP($C$4,'Writing Logic'!$G$8:$H$14,2,FALSE),YES_Writing_ELA[#Headers],0)))="INS",'Writing Logic'!$B$7,IF(INDEX(_xlfn.VSTACK(YES_Writing_ELA[#Data],YES_Writing_FLA[#Data]),MATCH($A284,_xlfn.VSTACK(YES_Writing_ELA[Student Number],YES_Writing_FLA[Student Number]),0),MATCH(VLOOKUP(H$7,'Writing Logic'!$J$7:$K$11,2,FALSE)&amp;" - Per "&amp;VLOOKUP($C$4,'Writing Logic'!$G$8:$H$14,2,FALSE),YES_Writing_ELA[#Headers],0))=0,"",INDEX(_xlfn.VSTACK(YES_Writing_ELA[#Data],YES_Writing_FLA[#Data]),MATCH($A284,_xlfn.VSTACK(YES_Writing_ELA[Student Number],YES_Writing_FLA[Student Number]),0),MATCH(VLOOKUP(H$7,'Writing Logic'!$J$7:$K$11,2,FALSE)&amp;" - Per "&amp;VLOOKUP($C$4,'Writing Logic'!$G$8:$H$14,2,FALSE),YES_Writing_ELA[#Headers],0)))),"")</f>
        <v/>
      </c>
      <c r="I284" s="224" t="str" cm="1">
        <f t="array" aca="1" ref="I284" ca="1">IFERROR(
IF($G$3="ELA",
IF(VLOOKUP($A284, YES_Reading_ELA[], COLUMN(INDIRECT("YES_Reading_ELA[Difference - Per "&amp;VLOOKUP($G$4, 'Reading Report Logic'!$A$2:$B$8, 2, FALSE)&amp;"]")), FALSE)="", "",
VLOOKUP($A284,YES_Reading_ELA[], COLUMN(INDIRECT("YES_Reading_ELA[Difference - Per "&amp;VLOOKUP($G$4,'Reading Report Logic'!$A$2:$B$8,2,FALSE)&amp;"]")), FALSE)),
IF($G$3="FLA",
IF(VLOOKUP($A284, YES_Reading_FLA[], COLUMN(INDIRECT("YES_Reading_FLA[Difference - Per "&amp;VLOOKUP($G$4,'Reading Report Logic'!$A$2:$B$8,2,FALSE)&amp;"]")),FALSE)="","",
VLOOKUP($A284,YES_Reading_FLA[],COLUMN(INDIRECT("YES_Reading_FLA[Difference - Per "&amp;VLOOKUP($G$4,'Reading Report Logic'!$A$2:$B$8,2,FALSE)&amp;"]")),FALSE)),
IF($G$3="Combined",
IFERROR(
IF(VLOOKUP($A284, YES_Reading_ELA[], COLUMN(INDIRECT("YES_Reading_ELA[Difference - Per "&amp;VLOOKUP($G$4, 'Reading Report Logic'!$A$2:$B$8,2,FALSE)&amp;"]")), FALSE)="", "",
VLOOKUP($A284,YES_Reading_ELA[],COLUMN(INDIRECT("YES_Reading_ELA[Difference - Per "&amp;VLOOKUP($G$4,'Reading Report Logic'!$A$2:$B$8,2,FALSE)&amp;"]")),FALSE)),
IF(VLOOKUP($A284, YES_Reading_FLA[], COLUMN(INDIRECT("YES_Reading_FLA[Difference - Per "&amp;VLOOKUP($G$4, 'Reading Report Logic'!$A$2:$B$8, 2, FALSE)&amp;"]")),FALSE)="", "", VLOOKUP($A284,YES_Reading_FLA[],COLUMN(INDIRECT("YES_Reading_FLA[Difference - Per "&amp;VLOOKUP($G$4, 'Reading Report Logic'!$A$2:$B$8, 2, FALSE)&amp;"]")),FALSE))),""))),"")</f>
        <v/>
      </c>
    </row>
    <row r="285" spans="1:9" x14ac:dyDescent="0.25">
      <c r="A285" s="137"/>
      <c r="B285" s="137" t="str">
        <f>IFERROR(INDEX(_xlfn.VSTACK(YES_Writing_ELA[#Data], YES_Writing_FLA[#Data]),MATCH($A285,_xlfn.VSTACK(YES_Writing_ELA[Student Number], YES_Writing_FLA[Student Number]),0),MATCH(B$7,YES_Writing_ELA[#Headers],0)),IFERROR(INDEX(_xlfn.VSTACK(YES_Reading_ELA[#Data], YES_Reading_FLA[#Data]),MATCH($A285,_xlfn.VSTACK(YES_Reading_ELA[Student Number], YES_Reading_FLA[Student Number]),0),MATCH(B$7,YES_Reading_ELA[#Headers],0)),""))</f>
        <v/>
      </c>
      <c r="C285" s="137" t="str">
        <f>IFERROR(INDEX(_xlfn.VSTACK(YES_Writing_ELA[#Data], YES_Writing_FLA[#Data]),MATCH($A285,_xlfn.VSTACK(YES_Writing_ELA[Student Number], YES_Writing_FLA[Student Number]),0),MATCH(C$7,YES_Writing_ELA[#Headers],0)),IFERROR(INDEX(_xlfn.VSTACK(YES_Reading_ELA[#Data], YES_Reading_FLA[#Data]),MATCH($A285,_xlfn.VSTACK(YES_Reading_ELA[Student Number], YES_Reading_FLA[Student Number]),0),MATCH(C$7,YES_Reading_ELA[#Headers],0)),""))</f>
        <v/>
      </c>
      <c r="D285" s="138" t="str">
        <f>IFERROR(IF(IF(INDEX(_xlfn.VSTACK(YES_Writing_ELA[#Data],YES_Writing_FLA[#Data]),MATCH($A285,_xlfn.VSTACK(YES_Writing_ELA[Student Number],YES_Writing_FLA[Student Number]),0),MATCH(VLOOKUP(D$7,'Writing Logic'!$J$7:$K$11,2,FALSE)&amp;" - Per "&amp;VLOOKUP($C$4,'Writing Logic'!$G$8:$H$14,2,FALSE),YES_Writing_ELA[#Headers],0))=0,"",INDEX(_xlfn.VSTACK(YES_Writing_ELA[#Data],YES_Writing_FLA[#Data]),MATCH($A285,_xlfn.VSTACK(YES_Writing_ELA[Student Number],YES_Writing_FLA[Student Number]),0),MATCH(VLOOKUP(D$7,'Writing Logic'!$J$7:$K$11,2,FALSE)&amp;" - Per "&amp;VLOOKUP($C$4,'Writing Logic'!$G$8:$H$14,2,FALSE),YES_Writing_ELA[#Headers],0)))="INS",'Writing Logic'!$B$7,IF(INDEX(_xlfn.VSTACK(YES_Writing_ELA[#Data],YES_Writing_FLA[#Data]),MATCH($A285,_xlfn.VSTACK(YES_Writing_ELA[Student Number],YES_Writing_FLA[Student Number]),0),MATCH(VLOOKUP(D$7,'Writing Logic'!$J$7:$K$11,2,FALSE)&amp;" - Per "&amp;VLOOKUP($C$4,'Writing Logic'!$G$8:$H$14,2,FALSE),YES_Writing_ELA[#Headers],0))=0,"",INDEX(_xlfn.VSTACK(YES_Writing_ELA[#Data],YES_Writing_FLA[#Data]),MATCH($A285,_xlfn.VSTACK(YES_Writing_ELA[Student Number],YES_Writing_FLA[Student Number]),0),MATCH(VLOOKUP(D$7,'Writing Logic'!$J$7:$K$11,2,FALSE)&amp;" - Per "&amp;VLOOKUP($C$4,'Writing Logic'!$G$8:$H$14,2,FALSE),YES_Writing_ELA[#Headers],0)))),"")</f>
        <v/>
      </c>
      <c r="E285" s="138" t="str">
        <f>IFERROR(IF(IF(INDEX(_xlfn.VSTACK(YES_Writing_ELA[#Data],YES_Writing_FLA[#Data]),MATCH($A285,_xlfn.VSTACK(YES_Writing_ELA[Student Number],YES_Writing_FLA[Student Number]),0),MATCH(VLOOKUP(E$7,'Writing Logic'!$J$7:$K$11,2,FALSE)&amp;" - Per "&amp;VLOOKUP($C$4,'Writing Logic'!$G$8:$H$14,2,FALSE),YES_Writing_ELA[#Headers],0))=0,"",INDEX(_xlfn.VSTACK(YES_Writing_ELA[#Data],YES_Writing_FLA[#Data]),MATCH($A285,_xlfn.VSTACK(YES_Writing_ELA[Student Number],YES_Writing_FLA[Student Number]),0),MATCH(VLOOKUP(E$7,'Writing Logic'!$J$7:$K$11,2,FALSE)&amp;" - Per "&amp;VLOOKUP($C$4,'Writing Logic'!$G$8:$H$14,2,FALSE),YES_Writing_ELA[#Headers],0)))="INS",'Writing Logic'!$B$7,IF(INDEX(_xlfn.VSTACK(YES_Writing_ELA[#Data],YES_Writing_FLA[#Data]),MATCH($A285,_xlfn.VSTACK(YES_Writing_ELA[Student Number],YES_Writing_FLA[Student Number]),0),MATCH(VLOOKUP(E$7,'Writing Logic'!$J$7:$K$11,2,FALSE)&amp;" - Per "&amp;VLOOKUP($C$4,'Writing Logic'!$G$8:$H$14,2,FALSE),YES_Writing_ELA[#Headers],0))=0,"",INDEX(_xlfn.VSTACK(YES_Writing_ELA[#Data],YES_Writing_FLA[#Data]),MATCH($A285,_xlfn.VSTACK(YES_Writing_ELA[Student Number],YES_Writing_FLA[Student Number]),0),MATCH(VLOOKUP(E$7,'Writing Logic'!$J$7:$K$11,2,FALSE)&amp;" - Per "&amp;VLOOKUP($C$4,'Writing Logic'!$G$8:$H$14,2,FALSE),YES_Writing_ELA[#Headers],0)))),"")</f>
        <v/>
      </c>
      <c r="F285" s="138" t="str">
        <f>IFERROR(IF(IF(INDEX(_xlfn.VSTACK(YES_Writing_ELA[#Data],YES_Writing_FLA[#Data]),MATCH($A285,_xlfn.VSTACK(YES_Writing_ELA[Student Number],YES_Writing_FLA[Student Number]),0),MATCH(VLOOKUP(F$7,'Writing Logic'!$J$7:$K$11,2,FALSE)&amp;" - Per "&amp;VLOOKUP($C$4,'Writing Logic'!$G$8:$H$14,2,FALSE),YES_Writing_ELA[#Headers],0))=0,"",INDEX(_xlfn.VSTACK(YES_Writing_ELA[#Data],YES_Writing_FLA[#Data]),MATCH($A285,_xlfn.VSTACK(YES_Writing_ELA[Student Number],YES_Writing_FLA[Student Number]),0),MATCH(VLOOKUP(F$7,'Writing Logic'!$J$7:$K$11,2,FALSE)&amp;" - Per "&amp;VLOOKUP($C$4,'Writing Logic'!$G$8:$H$14,2,FALSE),YES_Writing_ELA[#Headers],0)))="INS",'Writing Logic'!$B$7,IF(INDEX(_xlfn.VSTACK(YES_Writing_ELA[#Data],YES_Writing_FLA[#Data]),MATCH($A285,_xlfn.VSTACK(YES_Writing_ELA[Student Number],YES_Writing_FLA[Student Number]),0),MATCH(VLOOKUP(F$7,'Writing Logic'!$J$7:$K$11,2,FALSE)&amp;" - Per "&amp;VLOOKUP($C$4,'Writing Logic'!$G$8:$H$14,2,FALSE),YES_Writing_ELA[#Headers],0))=0,"",INDEX(_xlfn.VSTACK(YES_Writing_ELA[#Data],YES_Writing_FLA[#Data]),MATCH($A285,_xlfn.VSTACK(YES_Writing_ELA[Student Number],YES_Writing_FLA[Student Number]),0),MATCH(VLOOKUP(F$7,'Writing Logic'!$J$7:$K$11,2,FALSE)&amp;" - Per "&amp;VLOOKUP($C$4,'Writing Logic'!$G$8:$H$14,2,FALSE),YES_Writing_ELA[#Headers],0)))),"")</f>
        <v/>
      </c>
      <c r="G285" s="138" t="str">
        <f>IFERROR(IF(IF(INDEX(_xlfn.VSTACK(YES_Writing_ELA[#Data],YES_Writing_FLA[#Data]),MATCH($A285,_xlfn.VSTACK(YES_Writing_ELA[Student Number],YES_Writing_FLA[Student Number]),0),MATCH(VLOOKUP(G$7,'Writing Logic'!$J$7:$K$11,2,FALSE)&amp;" - Per "&amp;VLOOKUP($C$4,'Writing Logic'!$G$8:$H$14,2,FALSE),YES_Writing_ELA[#Headers],0))=0,"",INDEX(_xlfn.VSTACK(YES_Writing_ELA[#Data],YES_Writing_FLA[#Data]),MATCH($A285,_xlfn.VSTACK(YES_Writing_ELA[Student Number],YES_Writing_FLA[Student Number]),0),MATCH(VLOOKUP(G$7,'Writing Logic'!$J$7:$K$11,2,FALSE)&amp;" - Per "&amp;VLOOKUP($C$4,'Writing Logic'!$G$8:$H$14,2,FALSE),YES_Writing_ELA[#Headers],0)))="INS",'Writing Logic'!$B$7,IF(INDEX(_xlfn.VSTACK(YES_Writing_ELA[#Data],YES_Writing_FLA[#Data]),MATCH($A285,_xlfn.VSTACK(YES_Writing_ELA[Student Number],YES_Writing_FLA[Student Number]),0),MATCH(VLOOKUP(G$7,'Writing Logic'!$J$7:$K$11,2,FALSE)&amp;" - Per "&amp;VLOOKUP($C$4,'Writing Logic'!$G$8:$H$14,2,FALSE),YES_Writing_ELA[#Headers],0))=0,"",INDEX(_xlfn.VSTACK(YES_Writing_ELA[#Data],YES_Writing_FLA[#Data]),MATCH($A285,_xlfn.VSTACK(YES_Writing_ELA[Student Number],YES_Writing_FLA[Student Number]),0),MATCH(VLOOKUP(G$7,'Writing Logic'!$J$7:$K$11,2,FALSE)&amp;" - Per "&amp;VLOOKUP($C$4,'Writing Logic'!$G$8:$H$14,2,FALSE),YES_Writing_ELA[#Headers],0)))),"")</f>
        <v/>
      </c>
      <c r="H285" s="223" t="str">
        <f>IFERROR(IF(IF(INDEX(_xlfn.VSTACK(YES_Writing_ELA[#Data],YES_Writing_FLA[#Data]),MATCH($A285,_xlfn.VSTACK(YES_Writing_ELA[Student Number],YES_Writing_FLA[Student Number]),0),MATCH(VLOOKUP(H$7,'Writing Logic'!$J$7:$K$11,2,FALSE)&amp;" - Per "&amp;VLOOKUP($C$4,'Writing Logic'!$G$8:$H$14,2,FALSE),YES_Writing_ELA[#Headers],0))=0,"",INDEX(_xlfn.VSTACK(YES_Writing_ELA[#Data],YES_Writing_FLA[#Data]),MATCH($A285,_xlfn.VSTACK(YES_Writing_ELA[Student Number],YES_Writing_FLA[Student Number]),0),MATCH(VLOOKUP(H$7,'Writing Logic'!$J$7:$K$11,2,FALSE)&amp;" - Per "&amp;VLOOKUP($C$4,'Writing Logic'!$G$8:$H$14,2,FALSE),YES_Writing_ELA[#Headers],0)))="INS",'Writing Logic'!$B$7,IF(INDEX(_xlfn.VSTACK(YES_Writing_ELA[#Data],YES_Writing_FLA[#Data]),MATCH($A285,_xlfn.VSTACK(YES_Writing_ELA[Student Number],YES_Writing_FLA[Student Number]),0),MATCH(VLOOKUP(H$7,'Writing Logic'!$J$7:$K$11,2,FALSE)&amp;" - Per "&amp;VLOOKUP($C$4,'Writing Logic'!$G$8:$H$14,2,FALSE),YES_Writing_ELA[#Headers],0))=0,"",INDEX(_xlfn.VSTACK(YES_Writing_ELA[#Data],YES_Writing_FLA[#Data]),MATCH($A285,_xlfn.VSTACK(YES_Writing_ELA[Student Number],YES_Writing_FLA[Student Number]),0),MATCH(VLOOKUP(H$7,'Writing Logic'!$J$7:$K$11,2,FALSE)&amp;" - Per "&amp;VLOOKUP($C$4,'Writing Logic'!$G$8:$H$14,2,FALSE),YES_Writing_ELA[#Headers],0)))),"")</f>
        <v/>
      </c>
      <c r="I285" s="224" t="str" cm="1">
        <f t="array" aca="1" ref="I285" ca="1">IFERROR(
IF($G$3="ELA",
IF(VLOOKUP($A285, YES_Reading_ELA[], COLUMN(INDIRECT("YES_Reading_ELA[Difference - Per "&amp;VLOOKUP($G$4, 'Reading Report Logic'!$A$2:$B$8, 2, FALSE)&amp;"]")), FALSE)="", "",
VLOOKUP($A285,YES_Reading_ELA[], COLUMN(INDIRECT("YES_Reading_ELA[Difference - Per "&amp;VLOOKUP($G$4,'Reading Report Logic'!$A$2:$B$8,2,FALSE)&amp;"]")), FALSE)),
IF($G$3="FLA",
IF(VLOOKUP($A285, YES_Reading_FLA[], COLUMN(INDIRECT("YES_Reading_FLA[Difference - Per "&amp;VLOOKUP($G$4,'Reading Report Logic'!$A$2:$B$8,2,FALSE)&amp;"]")),FALSE)="","",
VLOOKUP($A285,YES_Reading_FLA[],COLUMN(INDIRECT("YES_Reading_FLA[Difference - Per "&amp;VLOOKUP($G$4,'Reading Report Logic'!$A$2:$B$8,2,FALSE)&amp;"]")),FALSE)),
IF($G$3="Combined",
IFERROR(
IF(VLOOKUP($A285, YES_Reading_ELA[], COLUMN(INDIRECT("YES_Reading_ELA[Difference - Per "&amp;VLOOKUP($G$4, 'Reading Report Logic'!$A$2:$B$8,2,FALSE)&amp;"]")), FALSE)="", "",
VLOOKUP($A285,YES_Reading_ELA[],COLUMN(INDIRECT("YES_Reading_ELA[Difference - Per "&amp;VLOOKUP($G$4,'Reading Report Logic'!$A$2:$B$8,2,FALSE)&amp;"]")),FALSE)),
IF(VLOOKUP($A285, YES_Reading_FLA[], COLUMN(INDIRECT("YES_Reading_FLA[Difference - Per "&amp;VLOOKUP($G$4, 'Reading Report Logic'!$A$2:$B$8, 2, FALSE)&amp;"]")),FALSE)="", "", VLOOKUP($A285,YES_Reading_FLA[],COLUMN(INDIRECT("YES_Reading_FLA[Difference - Per "&amp;VLOOKUP($G$4, 'Reading Report Logic'!$A$2:$B$8, 2, FALSE)&amp;"]")),FALSE))),""))),"")</f>
        <v/>
      </c>
    </row>
    <row r="286" spans="1:9" x14ac:dyDescent="0.25">
      <c r="A286" s="137"/>
      <c r="B286" s="137" t="str">
        <f>IFERROR(INDEX(_xlfn.VSTACK(YES_Writing_ELA[#Data], YES_Writing_FLA[#Data]),MATCH($A286,_xlfn.VSTACK(YES_Writing_ELA[Student Number], YES_Writing_FLA[Student Number]),0),MATCH(B$7,YES_Writing_ELA[#Headers],0)),IFERROR(INDEX(_xlfn.VSTACK(YES_Reading_ELA[#Data], YES_Reading_FLA[#Data]),MATCH($A286,_xlfn.VSTACK(YES_Reading_ELA[Student Number], YES_Reading_FLA[Student Number]),0),MATCH(B$7,YES_Reading_ELA[#Headers],0)),""))</f>
        <v/>
      </c>
      <c r="C286" s="137" t="str">
        <f>IFERROR(INDEX(_xlfn.VSTACK(YES_Writing_ELA[#Data], YES_Writing_FLA[#Data]),MATCH($A286,_xlfn.VSTACK(YES_Writing_ELA[Student Number], YES_Writing_FLA[Student Number]),0),MATCH(C$7,YES_Writing_ELA[#Headers],0)),IFERROR(INDEX(_xlfn.VSTACK(YES_Reading_ELA[#Data], YES_Reading_FLA[#Data]),MATCH($A286,_xlfn.VSTACK(YES_Reading_ELA[Student Number], YES_Reading_FLA[Student Number]),0),MATCH(C$7,YES_Reading_ELA[#Headers],0)),""))</f>
        <v/>
      </c>
      <c r="D286" s="138" t="str">
        <f>IFERROR(IF(IF(INDEX(_xlfn.VSTACK(YES_Writing_ELA[#Data],YES_Writing_FLA[#Data]),MATCH($A286,_xlfn.VSTACK(YES_Writing_ELA[Student Number],YES_Writing_FLA[Student Number]),0),MATCH(VLOOKUP(D$7,'Writing Logic'!$J$7:$K$11,2,FALSE)&amp;" - Per "&amp;VLOOKUP($C$4,'Writing Logic'!$G$8:$H$14,2,FALSE),YES_Writing_ELA[#Headers],0))=0,"",INDEX(_xlfn.VSTACK(YES_Writing_ELA[#Data],YES_Writing_FLA[#Data]),MATCH($A286,_xlfn.VSTACK(YES_Writing_ELA[Student Number],YES_Writing_FLA[Student Number]),0),MATCH(VLOOKUP(D$7,'Writing Logic'!$J$7:$K$11,2,FALSE)&amp;" - Per "&amp;VLOOKUP($C$4,'Writing Logic'!$G$8:$H$14,2,FALSE),YES_Writing_ELA[#Headers],0)))="INS",'Writing Logic'!$B$7,IF(INDEX(_xlfn.VSTACK(YES_Writing_ELA[#Data],YES_Writing_FLA[#Data]),MATCH($A286,_xlfn.VSTACK(YES_Writing_ELA[Student Number],YES_Writing_FLA[Student Number]),0),MATCH(VLOOKUP(D$7,'Writing Logic'!$J$7:$K$11,2,FALSE)&amp;" - Per "&amp;VLOOKUP($C$4,'Writing Logic'!$G$8:$H$14,2,FALSE),YES_Writing_ELA[#Headers],0))=0,"",INDEX(_xlfn.VSTACK(YES_Writing_ELA[#Data],YES_Writing_FLA[#Data]),MATCH($A286,_xlfn.VSTACK(YES_Writing_ELA[Student Number],YES_Writing_FLA[Student Number]),0),MATCH(VLOOKUP(D$7,'Writing Logic'!$J$7:$K$11,2,FALSE)&amp;" - Per "&amp;VLOOKUP($C$4,'Writing Logic'!$G$8:$H$14,2,FALSE),YES_Writing_ELA[#Headers],0)))),"")</f>
        <v/>
      </c>
      <c r="E286" s="138" t="str">
        <f>IFERROR(IF(IF(INDEX(_xlfn.VSTACK(YES_Writing_ELA[#Data],YES_Writing_FLA[#Data]),MATCH($A286,_xlfn.VSTACK(YES_Writing_ELA[Student Number],YES_Writing_FLA[Student Number]),0),MATCH(VLOOKUP(E$7,'Writing Logic'!$J$7:$K$11,2,FALSE)&amp;" - Per "&amp;VLOOKUP($C$4,'Writing Logic'!$G$8:$H$14,2,FALSE),YES_Writing_ELA[#Headers],0))=0,"",INDEX(_xlfn.VSTACK(YES_Writing_ELA[#Data],YES_Writing_FLA[#Data]),MATCH($A286,_xlfn.VSTACK(YES_Writing_ELA[Student Number],YES_Writing_FLA[Student Number]),0),MATCH(VLOOKUP(E$7,'Writing Logic'!$J$7:$K$11,2,FALSE)&amp;" - Per "&amp;VLOOKUP($C$4,'Writing Logic'!$G$8:$H$14,2,FALSE),YES_Writing_ELA[#Headers],0)))="INS",'Writing Logic'!$B$7,IF(INDEX(_xlfn.VSTACK(YES_Writing_ELA[#Data],YES_Writing_FLA[#Data]),MATCH($A286,_xlfn.VSTACK(YES_Writing_ELA[Student Number],YES_Writing_FLA[Student Number]),0),MATCH(VLOOKUP(E$7,'Writing Logic'!$J$7:$K$11,2,FALSE)&amp;" - Per "&amp;VLOOKUP($C$4,'Writing Logic'!$G$8:$H$14,2,FALSE),YES_Writing_ELA[#Headers],0))=0,"",INDEX(_xlfn.VSTACK(YES_Writing_ELA[#Data],YES_Writing_FLA[#Data]),MATCH($A286,_xlfn.VSTACK(YES_Writing_ELA[Student Number],YES_Writing_FLA[Student Number]),0),MATCH(VLOOKUP(E$7,'Writing Logic'!$J$7:$K$11,2,FALSE)&amp;" - Per "&amp;VLOOKUP($C$4,'Writing Logic'!$G$8:$H$14,2,FALSE),YES_Writing_ELA[#Headers],0)))),"")</f>
        <v/>
      </c>
      <c r="F286" s="138" t="str">
        <f>IFERROR(IF(IF(INDEX(_xlfn.VSTACK(YES_Writing_ELA[#Data],YES_Writing_FLA[#Data]),MATCH($A286,_xlfn.VSTACK(YES_Writing_ELA[Student Number],YES_Writing_FLA[Student Number]),0),MATCH(VLOOKUP(F$7,'Writing Logic'!$J$7:$K$11,2,FALSE)&amp;" - Per "&amp;VLOOKUP($C$4,'Writing Logic'!$G$8:$H$14,2,FALSE),YES_Writing_ELA[#Headers],0))=0,"",INDEX(_xlfn.VSTACK(YES_Writing_ELA[#Data],YES_Writing_FLA[#Data]),MATCH($A286,_xlfn.VSTACK(YES_Writing_ELA[Student Number],YES_Writing_FLA[Student Number]),0),MATCH(VLOOKUP(F$7,'Writing Logic'!$J$7:$K$11,2,FALSE)&amp;" - Per "&amp;VLOOKUP($C$4,'Writing Logic'!$G$8:$H$14,2,FALSE),YES_Writing_ELA[#Headers],0)))="INS",'Writing Logic'!$B$7,IF(INDEX(_xlfn.VSTACK(YES_Writing_ELA[#Data],YES_Writing_FLA[#Data]),MATCH($A286,_xlfn.VSTACK(YES_Writing_ELA[Student Number],YES_Writing_FLA[Student Number]),0),MATCH(VLOOKUP(F$7,'Writing Logic'!$J$7:$K$11,2,FALSE)&amp;" - Per "&amp;VLOOKUP($C$4,'Writing Logic'!$G$8:$H$14,2,FALSE),YES_Writing_ELA[#Headers],0))=0,"",INDEX(_xlfn.VSTACK(YES_Writing_ELA[#Data],YES_Writing_FLA[#Data]),MATCH($A286,_xlfn.VSTACK(YES_Writing_ELA[Student Number],YES_Writing_FLA[Student Number]),0),MATCH(VLOOKUP(F$7,'Writing Logic'!$J$7:$K$11,2,FALSE)&amp;" - Per "&amp;VLOOKUP($C$4,'Writing Logic'!$G$8:$H$14,2,FALSE),YES_Writing_ELA[#Headers],0)))),"")</f>
        <v/>
      </c>
      <c r="G286" s="138" t="str">
        <f>IFERROR(IF(IF(INDEX(_xlfn.VSTACK(YES_Writing_ELA[#Data],YES_Writing_FLA[#Data]),MATCH($A286,_xlfn.VSTACK(YES_Writing_ELA[Student Number],YES_Writing_FLA[Student Number]),0),MATCH(VLOOKUP(G$7,'Writing Logic'!$J$7:$K$11,2,FALSE)&amp;" - Per "&amp;VLOOKUP($C$4,'Writing Logic'!$G$8:$H$14,2,FALSE),YES_Writing_ELA[#Headers],0))=0,"",INDEX(_xlfn.VSTACK(YES_Writing_ELA[#Data],YES_Writing_FLA[#Data]),MATCH($A286,_xlfn.VSTACK(YES_Writing_ELA[Student Number],YES_Writing_FLA[Student Number]),0),MATCH(VLOOKUP(G$7,'Writing Logic'!$J$7:$K$11,2,FALSE)&amp;" - Per "&amp;VLOOKUP($C$4,'Writing Logic'!$G$8:$H$14,2,FALSE),YES_Writing_ELA[#Headers],0)))="INS",'Writing Logic'!$B$7,IF(INDEX(_xlfn.VSTACK(YES_Writing_ELA[#Data],YES_Writing_FLA[#Data]),MATCH($A286,_xlfn.VSTACK(YES_Writing_ELA[Student Number],YES_Writing_FLA[Student Number]),0),MATCH(VLOOKUP(G$7,'Writing Logic'!$J$7:$K$11,2,FALSE)&amp;" - Per "&amp;VLOOKUP($C$4,'Writing Logic'!$G$8:$H$14,2,FALSE),YES_Writing_ELA[#Headers],0))=0,"",INDEX(_xlfn.VSTACK(YES_Writing_ELA[#Data],YES_Writing_FLA[#Data]),MATCH($A286,_xlfn.VSTACK(YES_Writing_ELA[Student Number],YES_Writing_FLA[Student Number]),0),MATCH(VLOOKUP(G$7,'Writing Logic'!$J$7:$K$11,2,FALSE)&amp;" - Per "&amp;VLOOKUP($C$4,'Writing Logic'!$G$8:$H$14,2,FALSE),YES_Writing_ELA[#Headers],0)))),"")</f>
        <v/>
      </c>
      <c r="H286" s="223" t="str">
        <f>IFERROR(IF(IF(INDEX(_xlfn.VSTACK(YES_Writing_ELA[#Data],YES_Writing_FLA[#Data]),MATCH($A286,_xlfn.VSTACK(YES_Writing_ELA[Student Number],YES_Writing_FLA[Student Number]),0),MATCH(VLOOKUP(H$7,'Writing Logic'!$J$7:$K$11,2,FALSE)&amp;" - Per "&amp;VLOOKUP($C$4,'Writing Logic'!$G$8:$H$14,2,FALSE),YES_Writing_ELA[#Headers],0))=0,"",INDEX(_xlfn.VSTACK(YES_Writing_ELA[#Data],YES_Writing_FLA[#Data]),MATCH($A286,_xlfn.VSTACK(YES_Writing_ELA[Student Number],YES_Writing_FLA[Student Number]),0),MATCH(VLOOKUP(H$7,'Writing Logic'!$J$7:$K$11,2,FALSE)&amp;" - Per "&amp;VLOOKUP($C$4,'Writing Logic'!$G$8:$H$14,2,FALSE),YES_Writing_ELA[#Headers],0)))="INS",'Writing Logic'!$B$7,IF(INDEX(_xlfn.VSTACK(YES_Writing_ELA[#Data],YES_Writing_FLA[#Data]),MATCH($A286,_xlfn.VSTACK(YES_Writing_ELA[Student Number],YES_Writing_FLA[Student Number]),0),MATCH(VLOOKUP(H$7,'Writing Logic'!$J$7:$K$11,2,FALSE)&amp;" - Per "&amp;VLOOKUP($C$4,'Writing Logic'!$G$8:$H$14,2,FALSE),YES_Writing_ELA[#Headers],0))=0,"",INDEX(_xlfn.VSTACK(YES_Writing_ELA[#Data],YES_Writing_FLA[#Data]),MATCH($A286,_xlfn.VSTACK(YES_Writing_ELA[Student Number],YES_Writing_FLA[Student Number]),0),MATCH(VLOOKUP(H$7,'Writing Logic'!$J$7:$K$11,2,FALSE)&amp;" - Per "&amp;VLOOKUP($C$4,'Writing Logic'!$G$8:$H$14,2,FALSE),YES_Writing_ELA[#Headers],0)))),"")</f>
        <v/>
      </c>
      <c r="I286" s="224" t="str" cm="1">
        <f t="array" aca="1" ref="I286" ca="1">IFERROR(
IF($G$3="ELA",
IF(VLOOKUP($A286, YES_Reading_ELA[], COLUMN(INDIRECT("YES_Reading_ELA[Difference - Per "&amp;VLOOKUP($G$4, 'Reading Report Logic'!$A$2:$B$8, 2, FALSE)&amp;"]")), FALSE)="", "",
VLOOKUP($A286,YES_Reading_ELA[], COLUMN(INDIRECT("YES_Reading_ELA[Difference - Per "&amp;VLOOKUP($G$4,'Reading Report Logic'!$A$2:$B$8,2,FALSE)&amp;"]")), FALSE)),
IF($G$3="FLA",
IF(VLOOKUP($A286, YES_Reading_FLA[], COLUMN(INDIRECT("YES_Reading_FLA[Difference - Per "&amp;VLOOKUP($G$4,'Reading Report Logic'!$A$2:$B$8,2,FALSE)&amp;"]")),FALSE)="","",
VLOOKUP($A286,YES_Reading_FLA[],COLUMN(INDIRECT("YES_Reading_FLA[Difference - Per "&amp;VLOOKUP($G$4,'Reading Report Logic'!$A$2:$B$8,2,FALSE)&amp;"]")),FALSE)),
IF($G$3="Combined",
IFERROR(
IF(VLOOKUP($A286, YES_Reading_ELA[], COLUMN(INDIRECT("YES_Reading_ELA[Difference - Per "&amp;VLOOKUP($G$4, 'Reading Report Logic'!$A$2:$B$8,2,FALSE)&amp;"]")), FALSE)="", "",
VLOOKUP($A286,YES_Reading_ELA[],COLUMN(INDIRECT("YES_Reading_ELA[Difference - Per "&amp;VLOOKUP($G$4,'Reading Report Logic'!$A$2:$B$8,2,FALSE)&amp;"]")),FALSE)),
IF(VLOOKUP($A286, YES_Reading_FLA[], COLUMN(INDIRECT("YES_Reading_FLA[Difference - Per "&amp;VLOOKUP($G$4, 'Reading Report Logic'!$A$2:$B$8, 2, FALSE)&amp;"]")),FALSE)="", "", VLOOKUP($A286,YES_Reading_FLA[],COLUMN(INDIRECT("YES_Reading_FLA[Difference - Per "&amp;VLOOKUP($G$4, 'Reading Report Logic'!$A$2:$B$8, 2, FALSE)&amp;"]")),FALSE))),""))),"")</f>
        <v/>
      </c>
    </row>
    <row r="287" spans="1:9" x14ac:dyDescent="0.25">
      <c r="A287" s="137"/>
      <c r="B287" s="137" t="str">
        <f>IFERROR(INDEX(_xlfn.VSTACK(YES_Writing_ELA[#Data], YES_Writing_FLA[#Data]),MATCH($A287,_xlfn.VSTACK(YES_Writing_ELA[Student Number], YES_Writing_FLA[Student Number]),0),MATCH(B$7,YES_Writing_ELA[#Headers],0)),IFERROR(INDEX(_xlfn.VSTACK(YES_Reading_ELA[#Data], YES_Reading_FLA[#Data]),MATCH($A287,_xlfn.VSTACK(YES_Reading_ELA[Student Number], YES_Reading_FLA[Student Number]),0),MATCH(B$7,YES_Reading_ELA[#Headers],0)),""))</f>
        <v/>
      </c>
      <c r="C287" s="137" t="str">
        <f>IFERROR(INDEX(_xlfn.VSTACK(YES_Writing_ELA[#Data], YES_Writing_FLA[#Data]),MATCH($A287,_xlfn.VSTACK(YES_Writing_ELA[Student Number], YES_Writing_FLA[Student Number]),0),MATCH(C$7,YES_Writing_ELA[#Headers],0)),IFERROR(INDEX(_xlfn.VSTACK(YES_Reading_ELA[#Data], YES_Reading_FLA[#Data]),MATCH($A287,_xlfn.VSTACK(YES_Reading_ELA[Student Number], YES_Reading_FLA[Student Number]),0),MATCH(C$7,YES_Reading_ELA[#Headers],0)),""))</f>
        <v/>
      </c>
      <c r="D287" s="138" t="str">
        <f>IFERROR(IF(IF(INDEX(_xlfn.VSTACK(YES_Writing_ELA[#Data],YES_Writing_FLA[#Data]),MATCH($A287,_xlfn.VSTACK(YES_Writing_ELA[Student Number],YES_Writing_FLA[Student Number]),0),MATCH(VLOOKUP(D$7,'Writing Logic'!$J$7:$K$11,2,FALSE)&amp;" - Per "&amp;VLOOKUP($C$4,'Writing Logic'!$G$8:$H$14,2,FALSE),YES_Writing_ELA[#Headers],0))=0,"",INDEX(_xlfn.VSTACK(YES_Writing_ELA[#Data],YES_Writing_FLA[#Data]),MATCH($A287,_xlfn.VSTACK(YES_Writing_ELA[Student Number],YES_Writing_FLA[Student Number]),0),MATCH(VLOOKUP(D$7,'Writing Logic'!$J$7:$K$11,2,FALSE)&amp;" - Per "&amp;VLOOKUP($C$4,'Writing Logic'!$G$8:$H$14,2,FALSE),YES_Writing_ELA[#Headers],0)))="INS",'Writing Logic'!$B$7,IF(INDEX(_xlfn.VSTACK(YES_Writing_ELA[#Data],YES_Writing_FLA[#Data]),MATCH($A287,_xlfn.VSTACK(YES_Writing_ELA[Student Number],YES_Writing_FLA[Student Number]),0),MATCH(VLOOKUP(D$7,'Writing Logic'!$J$7:$K$11,2,FALSE)&amp;" - Per "&amp;VLOOKUP($C$4,'Writing Logic'!$G$8:$H$14,2,FALSE),YES_Writing_ELA[#Headers],0))=0,"",INDEX(_xlfn.VSTACK(YES_Writing_ELA[#Data],YES_Writing_FLA[#Data]),MATCH($A287,_xlfn.VSTACK(YES_Writing_ELA[Student Number],YES_Writing_FLA[Student Number]),0),MATCH(VLOOKUP(D$7,'Writing Logic'!$J$7:$K$11,2,FALSE)&amp;" - Per "&amp;VLOOKUP($C$4,'Writing Logic'!$G$8:$H$14,2,FALSE),YES_Writing_ELA[#Headers],0)))),"")</f>
        <v/>
      </c>
      <c r="E287" s="138" t="str">
        <f>IFERROR(IF(IF(INDEX(_xlfn.VSTACK(YES_Writing_ELA[#Data],YES_Writing_FLA[#Data]),MATCH($A287,_xlfn.VSTACK(YES_Writing_ELA[Student Number],YES_Writing_FLA[Student Number]),0),MATCH(VLOOKUP(E$7,'Writing Logic'!$J$7:$K$11,2,FALSE)&amp;" - Per "&amp;VLOOKUP($C$4,'Writing Logic'!$G$8:$H$14,2,FALSE),YES_Writing_ELA[#Headers],0))=0,"",INDEX(_xlfn.VSTACK(YES_Writing_ELA[#Data],YES_Writing_FLA[#Data]),MATCH($A287,_xlfn.VSTACK(YES_Writing_ELA[Student Number],YES_Writing_FLA[Student Number]),0),MATCH(VLOOKUP(E$7,'Writing Logic'!$J$7:$K$11,2,FALSE)&amp;" - Per "&amp;VLOOKUP($C$4,'Writing Logic'!$G$8:$H$14,2,FALSE),YES_Writing_ELA[#Headers],0)))="INS",'Writing Logic'!$B$7,IF(INDEX(_xlfn.VSTACK(YES_Writing_ELA[#Data],YES_Writing_FLA[#Data]),MATCH($A287,_xlfn.VSTACK(YES_Writing_ELA[Student Number],YES_Writing_FLA[Student Number]),0),MATCH(VLOOKUP(E$7,'Writing Logic'!$J$7:$K$11,2,FALSE)&amp;" - Per "&amp;VLOOKUP($C$4,'Writing Logic'!$G$8:$H$14,2,FALSE),YES_Writing_ELA[#Headers],0))=0,"",INDEX(_xlfn.VSTACK(YES_Writing_ELA[#Data],YES_Writing_FLA[#Data]),MATCH($A287,_xlfn.VSTACK(YES_Writing_ELA[Student Number],YES_Writing_FLA[Student Number]),0),MATCH(VLOOKUP(E$7,'Writing Logic'!$J$7:$K$11,2,FALSE)&amp;" - Per "&amp;VLOOKUP($C$4,'Writing Logic'!$G$8:$H$14,2,FALSE),YES_Writing_ELA[#Headers],0)))),"")</f>
        <v/>
      </c>
      <c r="F287" s="138" t="str">
        <f>IFERROR(IF(IF(INDEX(_xlfn.VSTACK(YES_Writing_ELA[#Data],YES_Writing_FLA[#Data]),MATCH($A287,_xlfn.VSTACK(YES_Writing_ELA[Student Number],YES_Writing_FLA[Student Number]),0),MATCH(VLOOKUP(F$7,'Writing Logic'!$J$7:$K$11,2,FALSE)&amp;" - Per "&amp;VLOOKUP($C$4,'Writing Logic'!$G$8:$H$14,2,FALSE),YES_Writing_ELA[#Headers],0))=0,"",INDEX(_xlfn.VSTACK(YES_Writing_ELA[#Data],YES_Writing_FLA[#Data]),MATCH($A287,_xlfn.VSTACK(YES_Writing_ELA[Student Number],YES_Writing_FLA[Student Number]),0),MATCH(VLOOKUP(F$7,'Writing Logic'!$J$7:$K$11,2,FALSE)&amp;" - Per "&amp;VLOOKUP($C$4,'Writing Logic'!$G$8:$H$14,2,FALSE),YES_Writing_ELA[#Headers],0)))="INS",'Writing Logic'!$B$7,IF(INDEX(_xlfn.VSTACK(YES_Writing_ELA[#Data],YES_Writing_FLA[#Data]),MATCH($A287,_xlfn.VSTACK(YES_Writing_ELA[Student Number],YES_Writing_FLA[Student Number]),0),MATCH(VLOOKUP(F$7,'Writing Logic'!$J$7:$K$11,2,FALSE)&amp;" - Per "&amp;VLOOKUP($C$4,'Writing Logic'!$G$8:$H$14,2,FALSE),YES_Writing_ELA[#Headers],0))=0,"",INDEX(_xlfn.VSTACK(YES_Writing_ELA[#Data],YES_Writing_FLA[#Data]),MATCH($A287,_xlfn.VSTACK(YES_Writing_ELA[Student Number],YES_Writing_FLA[Student Number]),0),MATCH(VLOOKUP(F$7,'Writing Logic'!$J$7:$K$11,2,FALSE)&amp;" - Per "&amp;VLOOKUP($C$4,'Writing Logic'!$G$8:$H$14,2,FALSE),YES_Writing_ELA[#Headers],0)))),"")</f>
        <v/>
      </c>
      <c r="G287" s="138" t="str">
        <f>IFERROR(IF(IF(INDEX(_xlfn.VSTACK(YES_Writing_ELA[#Data],YES_Writing_FLA[#Data]),MATCH($A287,_xlfn.VSTACK(YES_Writing_ELA[Student Number],YES_Writing_FLA[Student Number]),0),MATCH(VLOOKUP(G$7,'Writing Logic'!$J$7:$K$11,2,FALSE)&amp;" - Per "&amp;VLOOKUP($C$4,'Writing Logic'!$G$8:$H$14,2,FALSE),YES_Writing_ELA[#Headers],0))=0,"",INDEX(_xlfn.VSTACK(YES_Writing_ELA[#Data],YES_Writing_FLA[#Data]),MATCH($A287,_xlfn.VSTACK(YES_Writing_ELA[Student Number],YES_Writing_FLA[Student Number]),0),MATCH(VLOOKUP(G$7,'Writing Logic'!$J$7:$K$11,2,FALSE)&amp;" - Per "&amp;VLOOKUP($C$4,'Writing Logic'!$G$8:$H$14,2,FALSE),YES_Writing_ELA[#Headers],0)))="INS",'Writing Logic'!$B$7,IF(INDEX(_xlfn.VSTACK(YES_Writing_ELA[#Data],YES_Writing_FLA[#Data]),MATCH($A287,_xlfn.VSTACK(YES_Writing_ELA[Student Number],YES_Writing_FLA[Student Number]),0),MATCH(VLOOKUP(G$7,'Writing Logic'!$J$7:$K$11,2,FALSE)&amp;" - Per "&amp;VLOOKUP($C$4,'Writing Logic'!$G$8:$H$14,2,FALSE),YES_Writing_ELA[#Headers],0))=0,"",INDEX(_xlfn.VSTACK(YES_Writing_ELA[#Data],YES_Writing_FLA[#Data]),MATCH($A287,_xlfn.VSTACK(YES_Writing_ELA[Student Number],YES_Writing_FLA[Student Number]),0),MATCH(VLOOKUP(G$7,'Writing Logic'!$J$7:$K$11,2,FALSE)&amp;" - Per "&amp;VLOOKUP($C$4,'Writing Logic'!$G$8:$H$14,2,FALSE),YES_Writing_ELA[#Headers],0)))),"")</f>
        <v/>
      </c>
      <c r="H287" s="223" t="str">
        <f>IFERROR(IF(IF(INDEX(_xlfn.VSTACK(YES_Writing_ELA[#Data],YES_Writing_FLA[#Data]),MATCH($A287,_xlfn.VSTACK(YES_Writing_ELA[Student Number],YES_Writing_FLA[Student Number]),0),MATCH(VLOOKUP(H$7,'Writing Logic'!$J$7:$K$11,2,FALSE)&amp;" - Per "&amp;VLOOKUP($C$4,'Writing Logic'!$G$8:$H$14,2,FALSE),YES_Writing_ELA[#Headers],0))=0,"",INDEX(_xlfn.VSTACK(YES_Writing_ELA[#Data],YES_Writing_FLA[#Data]),MATCH($A287,_xlfn.VSTACK(YES_Writing_ELA[Student Number],YES_Writing_FLA[Student Number]),0),MATCH(VLOOKUP(H$7,'Writing Logic'!$J$7:$K$11,2,FALSE)&amp;" - Per "&amp;VLOOKUP($C$4,'Writing Logic'!$G$8:$H$14,2,FALSE),YES_Writing_ELA[#Headers],0)))="INS",'Writing Logic'!$B$7,IF(INDEX(_xlfn.VSTACK(YES_Writing_ELA[#Data],YES_Writing_FLA[#Data]),MATCH($A287,_xlfn.VSTACK(YES_Writing_ELA[Student Number],YES_Writing_FLA[Student Number]),0),MATCH(VLOOKUP(H$7,'Writing Logic'!$J$7:$K$11,2,FALSE)&amp;" - Per "&amp;VLOOKUP($C$4,'Writing Logic'!$G$8:$H$14,2,FALSE),YES_Writing_ELA[#Headers],0))=0,"",INDEX(_xlfn.VSTACK(YES_Writing_ELA[#Data],YES_Writing_FLA[#Data]),MATCH($A287,_xlfn.VSTACK(YES_Writing_ELA[Student Number],YES_Writing_FLA[Student Number]),0),MATCH(VLOOKUP(H$7,'Writing Logic'!$J$7:$K$11,2,FALSE)&amp;" - Per "&amp;VLOOKUP($C$4,'Writing Logic'!$G$8:$H$14,2,FALSE),YES_Writing_ELA[#Headers],0)))),"")</f>
        <v/>
      </c>
      <c r="I287" s="224" t="str" cm="1">
        <f t="array" aca="1" ref="I287" ca="1">IFERROR(
IF($G$3="ELA",
IF(VLOOKUP($A287, YES_Reading_ELA[], COLUMN(INDIRECT("YES_Reading_ELA[Difference - Per "&amp;VLOOKUP($G$4, 'Reading Report Logic'!$A$2:$B$8, 2, FALSE)&amp;"]")), FALSE)="", "",
VLOOKUP($A287,YES_Reading_ELA[], COLUMN(INDIRECT("YES_Reading_ELA[Difference - Per "&amp;VLOOKUP($G$4,'Reading Report Logic'!$A$2:$B$8,2,FALSE)&amp;"]")), FALSE)),
IF($G$3="FLA",
IF(VLOOKUP($A287, YES_Reading_FLA[], COLUMN(INDIRECT("YES_Reading_FLA[Difference - Per "&amp;VLOOKUP($G$4,'Reading Report Logic'!$A$2:$B$8,2,FALSE)&amp;"]")),FALSE)="","",
VLOOKUP($A287,YES_Reading_FLA[],COLUMN(INDIRECT("YES_Reading_FLA[Difference - Per "&amp;VLOOKUP($G$4,'Reading Report Logic'!$A$2:$B$8,2,FALSE)&amp;"]")),FALSE)),
IF($G$3="Combined",
IFERROR(
IF(VLOOKUP($A287, YES_Reading_ELA[], COLUMN(INDIRECT("YES_Reading_ELA[Difference - Per "&amp;VLOOKUP($G$4, 'Reading Report Logic'!$A$2:$B$8,2,FALSE)&amp;"]")), FALSE)="", "",
VLOOKUP($A287,YES_Reading_ELA[],COLUMN(INDIRECT("YES_Reading_ELA[Difference - Per "&amp;VLOOKUP($G$4,'Reading Report Logic'!$A$2:$B$8,2,FALSE)&amp;"]")),FALSE)),
IF(VLOOKUP($A287, YES_Reading_FLA[], COLUMN(INDIRECT("YES_Reading_FLA[Difference - Per "&amp;VLOOKUP($G$4, 'Reading Report Logic'!$A$2:$B$8, 2, FALSE)&amp;"]")),FALSE)="", "", VLOOKUP($A287,YES_Reading_FLA[],COLUMN(INDIRECT("YES_Reading_FLA[Difference - Per "&amp;VLOOKUP($G$4, 'Reading Report Logic'!$A$2:$B$8, 2, FALSE)&amp;"]")),FALSE))),""))),"")</f>
        <v/>
      </c>
    </row>
    <row r="288" spans="1:9" x14ac:dyDescent="0.25">
      <c r="A288" s="137"/>
      <c r="B288" s="137" t="str">
        <f>IFERROR(INDEX(_xlfn.VSTACK(YES_Writing_ELA[#Data], YES_Writing_FLA[#Data]),MATCH($A288,_xlfn.VSTACK(YES_Writing_ELA[Student Number], YES_Writing_FLA[Student Number]),0),MATCH(B$7,YES_Writing_ELA[#Headers],0)),IFERROR(INDEX(_xlfn.VSTACK(YES_Reading_ELA[#Data], YES_Reading_FLA[#Data]),MATCH($A288,_xlfn.VSTACK(YES_Reading_ELA[Student Number], YES_Reading_FLA[Student Number]),0),MATCH(B$7,YES_Reading_ELA[#Headers],0)),""))</f>
        <v/>
      </c>
      <c r="C288" s="137" t="str">
        <f>IFERROR(INDEX(_xlfn.VSTACK(YES_Writing_ELA[#Data], YES_Writing_FLA[#Data]),MATCH($A288,_xlfn.VSTACK(YES_Writing_ELA[Student Number], YES_Writing_FLA[Student Number]),0),MATCH(C$7,YES_Writing_ELA[#Headers],0)),IFERROR(INDEX(_xlfn.VSTACK(YES_Reading_ELA[#Data], YES_Reading_FLA[#Data]),MATCH($A288,_xlfn.VSTACK(YES_Reading_ELA[Student Number], YES_Reading_FLA[Student Number]),0),MATCH(C$7,YES_Reading_ELA[#Headers],0)),""))</f>
        <v/>
      </c>
      <c r="D288" s="138" t="str">
        <f>IFERROR(IF(IF(INDEX(_xlfn.VSTACK(YES_Writing_ELA[#Data],YES_Writing_FLA[#Data]),MATCH($A288,_xlfn.VSTACK(YES_Writing_ELA[Student Number],YES_Writing_FLA[Student Number]),0),MATCH(VLOOKUP(D$7,'Writing Logic'!$J$7:$K$11,2,FALSE)&amp;" - Per "&amp;VLOOKUP($C$4,'Writing Logic'!$G$8:$H$14,2,FALSE),YES_Writing_ELA[#Headers],0))=0,"",INDEX(_xlfn.VSTACK(YES_Writing_ELA[#Data],YES_Writing_FLA[#Data]),MATCH($A288,_xlfn.VSTACK(YES_Writing_ELA[Student Number],YES_Writing_FLA[Student Number]),0),MATCH(VLOOKUP(D$7,'Writing Logic'!$J$7:$K$11,2,FALSE)&amp;" - Per "&amp;VLOOKUP($C$4,'Writing Logic'!$G$8:$H$14,2,FALSE),YES_Writing_ELA[#Headers],0)))="INS",'Writing Logic'!$B$7,IF(INDEX(_xlfn.VSTACK(YES_Writing_ELA[#Data],YES_Writing_FLA[#Data]),MATCH($A288,_xlfn.VSTACK(YES_Writing_ELA[Student Number],YES_Writing_FLA[Student Number]),0),MATCH(VLOOKUP(D$7,'Writing Logic'!$J$7:$K$11,2,FALSE)&amp;" - Per "&amp;VLOOKUP($C$4,'Writing Logic'!$G$8:$H$14,2,FALSE),YES_Writing_ELA[#Headers],0))=0,"",INDEX(_xlfn.VSTACK(YES_Writing_ELA[#Data],YES_Writing_FLA[#Data]),MATCH($A288,_xlfn.VSTACK(YES_Writing_ELA[Student Number],YES_Writing_FLA[Student Number]),0),MATCH(VLOOKUP(D$7,'Writing Logic'!$J$7:$K$11,2,FALSE)&amp;" - Per "&amp;VLOOKUP($C$4,'Writing Logic'!$G$8:$H$14,2,FALSE),YES_Writing_ELA[#Headers],0)))),"")</f>
        <v/>
      </c>
      <c r="E288" s="138" t="str">
        <f>IFERROR(IF(IF(INDEX(_xlfn.VSTACK(YES_Writing_ELA[#Data],YES_Writing_FLA[#Data]),MATCH($A288,_xlfn.VSTACK(YES_Writing_ELA[Student Number],YES_Writing_FLA[Student Number]),0),MATCH(VLOOKUP(E$7,'Writing Logic'!$J$7:$K$11,2,FALSE)&amp;" - Per "&amp;VLOOKUP($C$4,'Writing Logic'!$G$8:$H$14,2,FALSE),YES_Writing_ELA[#Headers],0))=0,"",INDEX(_xlfn.VSTACK(YES_Writing_ELA[#Data],YES_Writing_FLA[#Data]),MATCH($A288,_xlfn.VSTACK(YES_Writing_ELA[Student Number],YES_Writing_FLA[Student Number]),0),MATCH(VLOOKUP(E$7,'Writing Logic'!$J$7:$K$11,2,FALSE)&amp;" - Per "&amp;VLOOKUP($C$4,'Writing Logic'!$G$8:$H$14,2,FALSE),YES_Writing_ELA[#Headers],0)))="INS",'Writing Logic'!$B$7,IF(INDEX(_xlfn.VSTACK(YES_Writing_ELA[#Data],YES_Writing_FLA[#Data]),MATCH($A288,_xlfn.VSTACK(YES_Writing_ELA[Student Number],YES_Writing_FLA[Student Number]),0),MATCH(VLOOKUP(E$7,'Writing Logic'!$J$7:$K$11,2,FALSE)&amp;" - Per "&amp;VLOOKUP($C$4,'Writing Logic'!$G$8:$H$14,2,FALSE),YES_Writing_ELA[#Headers],0))=0,"",INDEX(_xlfn.VSTACK(YES_Writing_ELA[#Data],YES_Writing_FLA[#Data]),MATCH($A288,_xlfn.VSTACK(YES_Writing_ELA[Student Number],YES_Writing_FLA[Student Number]),0),MATCH(VLOOKUP(E$7,'Writing Logic'!$J$7:$K$11,2,FALSE)&amp;" - Per "&amp;VLOOKUP($C$4,'Writing Logic'!$G$8:$H$14,2,FALSE),YES_Writing_ELA[#Headers],0)))),"")</f>
        <v/>
      </c>
      <c r="F288" s="138" t="str">
        <f>IFERROR(IF(IF(INDEX(_xlfn.VSTACK(YES_Writing_ELA[#Data],YES_Writing_FLA[#Data]),MATCH($A288,_xlfn.VSTACK(YES_Writing_ELA[Student Number],YES_Writing_FLA[Student Number]),0),MATCH(VLOOKUP(F$7,'Writing Logic'!$J$7:$K$11,2,FALSE)&amp;" - Per "&amp;VLOOKUP($C$4,'Writing Logic'!$G$8:$H$14,2,FALSE),YES_Writing_ELA[#Headers],0))=0,"",INDEX(_xlfn.VSTACK(YES_Writing_ELA[#Data],YES_Writing_FLA[#Data]),MATCH($A288,_xlfn.VSTACK(YES_Writing_ELA[Student Number],YES_Writing_FLA[Student Number]),0),MATCH(VLOOKUP(F$7,'Writing Logic'!$J$7:$K$11,2,FALSE)&amp;" - Per "&amp;VLOOKUP($C$4,'Writing Logic'!$G$8:$H$14,2,FALSE),YES_Writing_ELA[#Headers],0)))="INS",'Writing Logic'!$B$7,IF(INDEX(_xlfn.VSTACK(YES_Writing_ELA[#Data],YES_Writing_FLA[#Data]),MATCH($A288,_xlfn.VSTACK(YES_Writing_ELA[Student Number],YES_Writing_FLA[Student Number]),0),MATCH(VLOOKUP(F$7,'Writing Logic'!$J$7:$K$11,2,FALSE)&amp;" - Per "&amp;VLOOKUP($C$4,'Writing Logic'!$G$8:$H$14,2,FALSE),YES_Writing_ELA[#Headers],0))=0,"",INDEX(_xlfn.VSTACK(YES_Writing_ELA[#Data],YES_Writing_FLA[#Data]),MATCH($A288,_xlfn.VSTACK(YES_Writing_ELA[Student Number],YES_Writing_FLA[Student Number]),0),MATCH(VLOOKUP(F$7,'Writing Logic'!$J$7:$K$11,2,FALSE)&amp;" - Per "&amp;VLOOKUP($C$4,'Writing Logic'!$G$8:$H$14,2,FALSE),YES_Writing_ELA[#Headers],0)))),"")</f>
        <v/>
      </c>
      <c r="G288" s="138" t="str">
        <f>IFERROR(IF(IF(INDEX(_xlfn.VSTACK(YES_Writing_ELA[#Data],YES_Writing_FLA[#Data]),MATCH($A288,_xlfn.VSTACK(YES_Writing_ELA[Student Number],YES_Writing_FLA[Student Number]),0),MATCH(VLOOKUP(G$7,'Writing Logic'!$J$7:$K$11,2,FALSE)&amp;" - Per "&amp;VLOOKUP($C$4,'Writing Logic'!$G$8:$H$14,2,FALSE),YES_Writing_ELA[#Headers],0))=0,"",INDEX(_xlfn.VSTACK(YES_Writing_ELA[#Data],YES_Writing_FLA[#Data]),MATCH($A288,_xlfn.VSTACK(YES_Writing_ELA[Student Number],YES_Writing_FLA[Student Number]),0),MATCH(VLOOKUP(G$7,'Writing Logic'!$J$7:$K$11,2,FALSE)&amp;" - Per "&amp;VLOOKUP($C$4,'Writing Logic'!$G$8:$H$14,2,FALSE),YES_Writing_ELA[#Headers],0)))="INS",'Writing Logic'!$B$7,IF(INDEX(_xlfn.VSTACK(YES_Writing_ELA[#Data],YES_Writing_FLA[#Data]),MATCH($A288,_xlfn.VSTACK(YES_Writing_ELA[Student Number],YES_Writing_FLA[Student Number]),0),MATCH(VLOOKUP(G$7,'Writing Logic'!$J$7:$K$11,2,FALSE)&amp;" - Per "&amp;VLOOKUP($C$4,'Writing Logic'!$G$8:$H$14,2,FALSE),YES_Writing_ELA[#Headers],0))=0,"",INDEX(_xlfn.VSTACK(YES_Writing_ELA[#Data],YES_Writing_FLA[#Data]),MATCH($A288,_xlfn.VSTACK(YES_Writing_ELA[Student Number],YES_Writing_FLA[Student Number]),0),MATCH(VLOOKUP(G$7,'Writing Logic'!$J$7:$K$11,2,FALSE)&amp;" - Per "&amp;VLOOKUP($C$4,'Writing Logic'!$G$8:$H$14,2,FALSE),YES_Writing_ELA[#Headers],0)))),"")</f>
        <v/>
      </c>
      <c r="H288" s="223" t="str">
        <f>IFERROR(IF(IF(INDEX(_xlfn.VSTACK(YES_Writing_ELA[#Data],YES_Writing_FLA[#Data]),MATCH($A288,_xlfn.VSTACK(YES_Writing_ELA[Student Number],YES_Writing_FLA[Student Number]),0),MATCH(VLOOKUP(H$7,'Writing Logic'!$J$7:$K$11,2,FALSE)&amp;" - Per "&amp;VLOOKUP($C$4,'Writing Logic'!$G$8:$H$14,2,FALSE),YES_Writing_ELA[#Headers],0))=0,"",INDEX(_xlfn.VSTACK(YES_Writing_ELA[#Data],YES_Writing_FLA[#Data]),MATCH($A288,_xlfn.VSTACK(YES_Writing_ELA[Student Number],YES_Writing_FLA[Student Number]),0),MATCH(VLOOKUP(H$7,'Writing Logic'!$J$7:$K$11,2,FALSE)&amp;" - Per "&amp;VLOOKUP($C$4,'Writing Logic'!$G$8:$H$14,2,FALSE),YES_Writing_ELA[#Headers],0)))="INS",'Writing Logic'!$B$7,IF(INDEX(_xlfn.VSTACK(YES_Writing_ELA[#Data],YES_Writing_FLA[#Data]),MATCH($A288,_xlfn.VSTACK(YES_Writing_ELA[Student Number],YES_Writing_FLA[Student Number]),0),MATCH(VLOOKUP(H$7,'Writing Logic'!$J$7:$K$11,2,FALSE)&amp;" - Per "&amp;VLOOKUP($C$4,'Writing Logic'!$G$8:$H$14,2,FALSE),YES_Writing_ELA[#Headers],0))=0,"",INDEX(_xlfn.VSTACK(YES_Writing_ELA[#Data],YES_Writing_FLA[#Data]),MATCH($A288,_xlfn.VSTACK(YES_Writing_ELA[Student Number],YES_Writing_FLA[Student Number]),0),MATCH(VLOOKUP(H$7,'Writing Logic'!$J$7:$K$11,2,FALSE)&amp;" - Per "&amp;VLOOKUP($C$4,'Writing Logic'!$G$8:$H$14,2,FALSE),YES_Writing_ELA[#Headers],0)))),"")</f>
        <v/>
      </c>
      <c r="I288" s="224" t="str" cm="1">
        <f t="array" aca="1" ref="I288" ca="1">IFERROR(
IF($G$3="ELA",
IF(VLOOKUP($A288, YES_Reading_ELA[], COLUMN(INDIRECT("YES_Reading_ELA[Difference - Per "&amp;VLOOKUP($G$4, 'Reading Report Logic'!$A$2:$B$8, 2, FALSE)&amp;"]")), FALSE)="", "",
VLOOKUP($A288,YES_Reading_ELA[], COLUMN(INDIRECT("YES_Reading_ELA[Difference - Per "&amp;VLOOKUP($G$4,'Reading Report Logic'!$A$2:$B$8,2,FALSE)&amp;"]")), FALSE)),
IF($G$3="FLA",
IF(VLOOKUP($A288, YES_Reading_FLA[], COLUMN(INDIRECT("YES_Reading_FLA[Difference - Per "&amp;VLOOKUP($G$4,'Reading Report Logic'!$A$2:$B$8,2,FALSE)&amp;"]")),FALSE)="","",
VLOOKUP($A288,YES_Reading_FLA[],COLUMN(INDIRECT("YES_Reading_FLA[Difference - Per "&amp;VLOOKUP($G$4,'Reading Report Logic'!$A$2:$B$8,2,FALSE)&amp;"]")),FALSE)),
IF($G$3="Combined",
IFERROR(
IF(VLOOKUP($A288, YES_Reading_ELA[], COLUMN(INDIRECT("YES_Reading_ELA[Difference - Per "&amp;VLOOKUP($G$4, 'Reading Report Logic'!$A$2:$B$8,2,FALSE)&amp;"]")), FALSE)="", "",
VLOOKUP($A288,YES_Reading_ELA[],COLUMN(INDIRECT("YES_Reading_ELA[Difference - Per "&amp;VLOOKUP($G$4,'Reading Report Logic'!$A$2:$B$8,2,FALSE)&amp;"]")),FALSE)),
IF(VLOOKUP($A288, YES_Reading_FLA[], COLUMN(INDIRECT("YES_Reading_FLA[Difference - Per "&amp;VLOOKUP($G$4, 'Reading Report Logic'!$A$2:$B$8, 2, FALSE)&amp;"]")),FALSE)="", "", VLOOKUP($A288,YES_Reading_FLA[],COLUMN(INDIRECT("YES_Reading_FLA[Difference - Per "&amp;VLOOKUP($G$4, 'Reading Report Logic'!$A$2:$B$8, 2, FALSE)&amp;"]")),FALSE))),""))),"")</f>
        <v/>
      </c>
    </row>
    <row r="289" spans="1:9" x14ac:dyDescent="0.25">
      <c r="A289" s="137"/>
      <c r="B289" s="137" t="str">
        <f>IFERROR(INDEX(_xlfn.VSTACK(YES_Writing_ELA[#Data], YES_Writing_FLA[#Data]),MATCH($A289,_xlfn.VSTACK(YES_Writing_ELA[Student Number], YES_Writing_FLA[Student Number]),0),MATCH(B$7,YES_Writing_ELA[#Headers],0)),IFERROR(INDEX(_xlfn.VSTACK(YES_Reading_ELA[#Data], YES_Reading_FLA[#Data]),MATCH($A289,_xlfn.VSTACK(YES_Reading_ELA[Student Number], YES_Reading_FLA[Student Number]),0),MATCH(B$7,YES_Reading_ELA[#Headers],0)),""))</f>
        <v/>
      </c>
      <c r="C289" s="137" t="str">
        <f>IFERROR(INDEX(_xlfn.VSTACK(YES_Writing_ELA[#Data], YES_Writing_FLA[#Data]),MATCH($A289,_xlfn.VSTACK(YES_Writing_ELA[Student Number], YES_Writing_FLA[Student Number]),0),MATCH(C$7,YES_Writing_ELA[#Headers],0)),IFERROR(INDEX(_xlfn.VSTACK(YES_Reading_ELA[#Data], YES_Reading_FLA[#Data]),MATCH($A289,_xlfn.VSTACK(YES_Reading_ELA[Student Number], YES_Reading_FLA[Student Number]),0),MATCH(C$7,YES_Reading_ELA[#Headers],0)),""))</f>
        <v/>
      </c>
      <c r="D289" s="138" t="str">
        <f>IFERROR(IF(IF(INDEX(_xlfn.VSTACK(YES_Writing_ELA[#Data],YES_Writing_FLA[#Data]),MATCH($A289,_xlfn.VSTACK(YES_Writing_ELA[Student Number],YES_Writing_FLA[Student Number]),0),MATCH(VLOOKUP(D$7,'Writing Logic'!$J$7:$K$11,2,FALSE)&amp;" - Per "&amp;VLOOKUP($C$4,'Writing Logic'!$G$8:$H$14,2,FALSE),YES_Writing_ELA[#Headers],0))=0,"",INDEX(_xlfn.VSTACK(YES_Writing_ELA[#Data],YES_Writing_FLA[#Data]),MATCH($A289,_xlfn.VSTACK(YES_Writing_ELA[Student Number],YES_Writing_FLA[Student Number]),0),MATCH(VLOOKUP(D$7,'Writing Logic'!$J$7:$K$11,2,FALSE)&amp;" - Per "&amp;VLOOKUP($C$4,'Writing Logic'!$G$8:$H$14,2,FALSE),YES_Writing_ELA[#Headers],0)))="INS",'Writing Logic'!$B$7,IF(INDEX(_xlfn.VSTACK(YES_Writing_ELA[#Data],YES_Writing_FLA[#Data]),MATCH($A289,_xlfn.VSTACK(YES_Writing_ELA[Student Number],YES_Writing_FLA[Student Number]),0),MATCH(VLOOKUP(D$7,'Writing Logic'!$J$7:$K$11,2,FALSE)&amp;" - Per "&amp;VLOOKUP($C$4,'Writing Logic'!$G$8:$H$14,2,FALSE),YES_Writing_ELA[#Headers],0))=0,"",INDEX(_xlfn.VSTACK(YES_Writing_ELA[#Data],YES_Writing_FLA[#Data]),MATCH($A289,_xlfn.VSTACK(YES_Writing_ELA[Student Number],YES_Writing_FLA[Student Number]),0),MATCH(VLOOKUP(D$7,'Writing Logic'!$J$7:$K$11,2,FALSE)&amp;" - Per "&amp;VLOOKUP($C$4,'Writing Logic'!$G$8:$H$14,2,FALSE),YES_Writing_ELA[#Headers],0)))),"")</f>
        <v/>
      </c>
      <c r="E289" s="138" t="str">
        <f>IFERROR(IF(IF(INDEX(_xlfn.VSTACK(YES_Writing_ELA[#Data],YES_Writing_FLA[#Data]),MATCH($A289,_xlfn.VSTACK(YES_Writing_ELA[Student Number],YES_Writing_FLA[Student Number]),0),MATCH(VLOOKUP(E$7,'Writing Logic'!$J$7:$K$11,2,FALSE)&amp;" - Per "&amp;VLOOKUP($C$4,'Writing Logic'!$G$8:$H$14,2,FALSE),YES_Writing_ELA[#Headers],0))=0,"",INDEX(_xlfn.VSTACK(YES_Writing_ELA[#Data],YES_Writing_FLA[#Data]),MATCH($A289,_xlfn.VSTACK(YES_Writing_ELA[Student Number],YES_Writing_FLA[Student Number]),0),MATCH(VLOOKUP(E$7,'Writing Logic'!$J$7:$K$11,2,FALSE)&amp;" - Per "&amp;VLOOKUP($C$4,'Writing Logic'!$G$8:$H$14,2,FALSE),YES_Writing_ELA[#Headers],0)))="INS",'Writing Logic'!$B$7,IF(INDEX(_xlfn.VSTACK(YES_Writing_ELA[#Data],YES_Writing_FLA[#Data]),MATCH($A289,_xlfn.VSTACK(YES_Writing_ELA[Student Number],YES_Writing_FLA[Student Number]),0),MATCH(VLOOKUP(E$7,'Writing Logic'!$J$7:$K$11,2,FALSE)&amp;" - Per "&amp;VLOOKUP($C$4,'Writing Logic'!$G$8:$H$14,2,FALSE),YES_Writing_ELA[#Headers],0))=0,"",INDEX(_xlfn.VSTACK(YES_Writing_ELA[#Data],YES_Writing_FLA[#Data]),MATCH($A289,_xlfn.VSTACK(YES_Writing_ELA[Student Number],YES_Writing_FLA[Student Number]),0),MATCH(VLOOKUP(E$7,'Writing Logic'!$J$7:$K$11,2,FALSE)&amp;" - Per "&amp;VLOOKUP($C$4,'Writing Logic'!$G$8:$H$14,2,FALSE),YES_Writing_ELA[#Headers],0)))),"")</f>
        <v/>
      </c>
      <c r="F289" s="138" t="str">
        <f>IFERROR(IF(IF(INDEX(_xlfn.VSTACK(YES_Writing_ELA[#Data],YES_Writing_FLA[#Data]),MATCH($A289,_xlfn.VSTACK(YES_Writing_ELA[Student Number],YES_Writing_FLA[Student Number]),0),MATCH(VLOOKUP(F$7,'Writing Logic'!$J$7:$K$11,2,FALSE)&amp;" - Per "&amp;VLOOKUP($C$4,'Writing Logic'!$G$8:$H$14,2,FALSE),YES_Writing_ELA[#Headers],0))=0,"",INDEX(_xlfn.VSTACK(YES_Writing_ELA[#Data],YES_Writing_FLA[#Data]),MATCH($A289,_xlfn.VSTACK(YES_Writing_ELA[Student Number],YES_Writing_FLA[Student Number]),0),MATCH(VLOOKUP(F$7,'Writing Logic'!$J$7:$K$11,2,FALSE)&amp;" - Per "&amp;VLOOKUP($C$4,'Writing Logic'!$G$8:$H$14,2,FALSE),YES_Writing_ELA[#Headers],0)))="INS",'Writing Logic'!$B$7,IF(INDEX(_xlfn.VSTACK(YES_Writing_ELA[#Data],YES_Writing_FLA[#Data]),MATCH($A289,_xlfn.VSTACK(YES_Writing_ELA[Student Number],YES_Writing_FLA[Student Number]),0),MATCH(VLOOKUP(F$7,'Writing Logic'!$J$7:$K$11,2,FALSE)&amp;" - Per "&amp;VLOOKUP($C$4,'Writing Logic'!$G$8:$H$14,2,FALSE),YES_Writing_ELA[#Headers],0))=0,"",INDEX(_xlfn.VSTACK(YES_Writing_ELA[#Data],YES_Writing_FLA[#Data]),MATCH($A289,_xlfn.VSTACK(YES_Writing_ELA[Student Number],YES_Writing_FLA[Student Number]),0),MATCH(VLOOKUP(F$7,'Writing Logic'!$J$7:$K$11,2,FALSE)&amp;" - Per "&amp;VLOOKUP($C$4,'Writing Logic'!$G$8:$H$14,2,FALSE),YES_Writing_ELA[#Headers],0)))),"")</f>
        <v/>
      </c>
      <c r="G289" s="138" t="str">
        <f>IFERROR(IF(IF(INDEX(_xlfn.VSTACK(YES_Writing_ELA[#Data],YES_Writing_FLA[#Data]),MATCH($A289,_xlfn.VSTACK(YES_Writing_ELA[Student Number],YES_Writing_FLA[Student Number]),0),MATCH(VLOOKUP(G$7,'Writing Logic'!$J$7:$K$11,2,FALSE)&amp;" - Per "&amp;VLOOKUP($C$4,'Writing Logic'!$G$8:$H$14,2,FALSE),YES_Writing_ELA[#Headers],0))=0,"",INDEX(_xlfn.VSTACK(YES_Writing_ELA[#Data],YES_Writing_FLA[#Data]),MATCH($A289,_xlfn.VSTACK(YES_Writing_ELA[Student Number],YES_Writing_FLA[Student Number]),0),MATCH(VLOOKUP(G$7,'Writing Logic'!$J$7:$K$11,2,FALSE)&amp;" - Per "&amp;VLOOKUP($C$4,'Writing Logic'!$G$8:$H$14,2,FALSE),YES_Writing_ELA[#Headers],0)))="INS",'Writing Logic'!$B$7,IF(INDEX(_xlfn.VSTACK(YES_Writing_ELA[#Data],YES_Writing_FLA[#Data]),MATCH($A289,_xlfn.VSTACK(YES_Writing_ELA[Student Number],YES_Writing_FLA[Student Number]),0),MATCH(VLOOKUP(G$7,'Writing Logic'!$J$7:$K$11,2,FALSE)&amp;" - Per "&amp;VLOOKUP($C$4,'Writing Logic'!$G$8:$H$14,2,FALSE),YES_Writing_ELA[#Headers],0))=0,"",INDEX(_xlfn.VSTACK(YES_Writing_ELA[#Data],YES_Writing_FLA[#Data]),MATCH($A289,_xlfn.VSTACK(YES_Writing_ELA[Student Number],YES_Writing_FLA[Student Number]),0),MATCH(VLOOKUP(G$7,'Writing Logic'!$J$7:$K$11,2,FALSE)&amp;" - Per "&amp;VLOOKUP($C$4,'Writing Logic'!$G$8:$H$14,2,FALSE),YES_Writing_ELA[#Headers],0)))),"")</f>
        <v/>
      </c>
      <c r="H289" s="223" t="str">
        <f>IFERROR(IF(IF(INDEX(_xlfn.VSTACK(YES_Writing_ELA[#Data],YES_Writing_FLA[#Data]),MATCH($A289,_xlfn.VSTACK(YES_Writing_ELA[Student Number],YES_Writing_FLA[Student Number]),0),MATCH(VLOOKUP(H$7,'Writing Logic'!$J$7:$K$11,2,FALSE)&amp;" - Per "&amp;VLOOKUP($C$4,'Writing Logic'!$G$8:$H$14,2,FALSE),YES_Writing_ELA[#Headers],0))=0,"",INDEX(_xlfn.VSTACK(YES_Writing_ELA[#Data],YES_Writing_FLA[#Data]),MATCH($A289,_xlfn.VSTACK(YES_Writing_ELA[Student Number],YES_Writing_FLA[Student Number]),0),MATCH(VLOOKUP(H$7,'Writing Logic'!$J$7:$K$11,2,FALSE)&amp;" - Per "&amp;VLOOKUP($C$4,'Writing Logic'!$G$8:$H$14,2,FALSE),YES_Writing_ELA[#Headers],0)))="INS",'Writing Logic'!$B$7,IF(INDEX(_xlfn.VSTACK(YES_Writing_ELA[#Data],YES_Writing_FLA[#Data]),MATCH($A289,_xlfn.VSTACK(YES_Writing_ELA[Student Number],YES_Writing_FLA[Student Number]),0),MATCH(VLOOKUP(H$7,'Writing Logic'!$J$7:$K$11,2,FALSE)&amp;" - Per "&amp;VLOOKUP($C$4,'Writing Logic'!$G$8:$H$14,2,FALSE),YES_Writing_ELA[#Headers],0))=0,"",INDEX(_xlfn.VSTACK(YES_Writing_ELA[#Data],YES_Writing_FLA[#Data]),MATCH($A289,_xlfn.VSTACK(YES_Writing_ELA[Student Number],YES_Writing_FLA[Student Number]),0),MATCH(VLOOKUP(H$7,'Writing Logic'!$J$7:$K$11,2,FALSE)&amp;" - Per "&amp;VLOOKUP($C$4,'Writing Logic'!$G$8:$H$14,2,FALSE),YES_Writing_ELA[#Headers],0)))),"")</f>
        <v/>
      </c>
      <c r="I289" s="224" t="str" cm="1">
        <f t="array" aca="1" ref="I289" ca="1">IFERROR(
IF($G$3="ELA",
IF(VLOOKUP($A289, YES_Reading_ELA[], COLUMN(INDIRECT("YES_Reading_ELA[Difference - Per "&amp;VLOOKUP($G$4, 'Reading Report Logic'!$A$2:$B$8, 2, FALSE)&amp;"]")), FALSE)="", "",
VLOOKUP($A289,YES_Reading_ELA[], COLUMN(INDIRECT("YES_Reading_ELA[Difference - Per "&amp;VLOOKUP($G$4,'Reading Report Logic'!$A$2:$B$8,2,FALSE)&amp;"]")), FALSE)),
IF($G$3="FLA",
IF(VLOOKUP($A289, YES_Reading_FLA[], COLUMN(INDIRECT("YES_Reading_FLA[Difference - Per "&amp;VLOOKUP($G$4,'Reading Report Logic'!$A$2:$B$8,2,FALSE)&amp;"]")),FALSE)="","",
VLOOKUP($A289,YES_Reading_FLA[],COLUMN(INDIRECT("YES_Reading_FLA[Difference - Per "&amp;VLOOKUP($G$4,'Reading Report Logic'!$A$2:$B$8,2,FALSE)&amp;"]")),FALSE)),
IF($G$3="Combined",
IFERROR(
IF(VLOOKUP($A289, YES_Reading_ELA[], COLUMN(INDIRECT("YES_Reading_ELA[Difference - Per "&amp;VLOOKUP($G$4, 'Reading Report Logic'!$A$2:$B$8,2,FALSE)&amp;"]")), FALSE)="", "",
VLOOKUP($A289,YES_Reading_ELA[],COLUMN(INDIRECT("YES_Reading_ELA[Difference - Per "&amp;VLOOKUP($G$4,'Reading Report Logic'!$A$2:$B$8,2,FALSE)&amp;"]")),FALSE)),
IF(VLOOKUP($A289, YES_Reading_FLA[], COLUMN(INDIRECT("YES_Reading_FLA[Difference - Per "&amp;VLOOKUP($G$4, 'Reading Report Logic'!$A$2:$B$8, 2, FALSE)&amp;"]")),FALSE)="", "", VLOOKUP($A289,YES_Reading_FLA[],COLUMN(INDIRECT("YES_Reading_FLA[Difference - Per "&amp;VLOOKUP($G$4, 'Reading Report Logic'!$A$2:$B$8, 2, FALSE)&amp;"]")),FALSE))),""))),"")</f>
        <v/>
      </c>
    </row>
    <row r="290" spans="1:9" x14ac:dyDescent="0.25">
      <c r="A290" s="137"/>
      <c r="B290" s="137" t="str">
        <f>IFERROR(INDEX(_xlfn.VSTACK(YES_Writing_ELA[#Data], YES_Writing_FLA[#Data]),MATCH($A290,_xlfn.VSTACK(YES_Writing_ELA[Student Number], YES_Writing_FLA[Student Number]),0),MATCH(B$7,YES_Writing_ELA[#Headers],0)),IFERROR(INDEX(_xlfn.VSTACK(YES_Reading_ELA[#Data], YES_Reading_FLA[#Data]),MATCH($A290,_xlfn.VSTACK(YES_Reading_ELA[Student Number], YES_Reading_FLA[Student Number]),0),MATCH(B$7,YES_Reading_ELA[#Headers],0)),""))</f>
        <v/>
      </c>
      <c r="C290" s="137" t="str">
        <f>IFERROR(INDEX(_xlfn.VSTACK(YES_Writing_ELA[#Data], YES_Writing_FLA[#Data]),MATCH($A290,_xlfn.VSTACK(YES_Writing_ELA[Student Number], YES_Writing_FLA[Student Number]),0),MATCH(C$7,YES_Writing_ELA[#Headers],0)),IFERROR(INDEX(_xlfn.VSTACK(YES_Reading_ELA[#Data], YES_Reading_FLA[#Data]),MATCH($A290,_xlfn.VSTACK(YES_Reading_ELA[Student Number], YES_Reading_FLA[Student Number]),0),MATCH(C$7,YES_Reading_ELA[#Headers],0)),""))</f>
        <v/>
      </c>
      <c r="D290" s="138" t="str">
        <f>IFERROR(IF(IF(INDEX(_xlfn.VSTACK(YES_Writing_ELA[#Data],YES_Writing_FLA[#Data]),MATCH($A290,_xlfn.VSTACK(YES_Writing_ELA[Student Number],YES_Writing_FLA[Student Number]),0),MATCH(VLOOKUP(D$7,'Writing Logic'!$J$7:$K$11,2,FALSE)&amp;" - Per "&amp;VLOOKUP($C$4,'Writing Logic'!$G$8:$H$14,2,FALSE),YES_Writing_ELA[#Headers],0))=0,"",INDEX(_xlfn.VSTACK(YES_Writing_ELA[#Data],YES_Writing_FLA[#Data]),MATCH($A290,_xlfn.VSTACK(YES_Writing_ELA[Student Number],YES_Writing_FLA[Student Number]),0),MATCH(VLOOKUP(D$7,'Writing Logic'!$J$7:$K$11,2,FALSE)&amp;" - Per "&amp;VLOOKUP($C$4,'Writing Logic'!$G$8:$H$14,2,FALSE),YES_Writing_ELA[#Headers],0)))="INS",'Writing Logic'!$B$7,IF(INDEX(_xlfn.VSTACK(YES_Writing_ELA[#Data],YES_Writing_FLA[#Data]),MATCH($A290,_xlfn.VSTACK(YES_Writing_ELA[Student Number],YES_Writing_FLA[Student Number]),0),MATCH(VLOOKUP(D$7,'Writing Logic'!$J$7:$K$11,2,FALSE)&amp;" - Per "&amp;VLOOKUP($C$4,'Writing Logic'!$G$8:$H$14,2,FALSE),YES_Writing_ELA[#Headers],0))=0,"",INDEX(_xlfn.VSTACK(YES_Writing_ELA[#Data],YES_Writing_FLA[#Data]),MATCH($A290,_xlfn.VSTACK(YES_Writing_ELA[Student Number],YES_Writing_FLA[Student Number]),0),MATCH(VLOOKUP(D$7,'Writing Logic'!$J$7:$K$11,2,FALSE)&amp;" - Per "&amp;VLOOKUP($C$4,'Writing Logic'!$G$8:$H$14,2,FALSE),YES_Writing_ELA[#Headers],0)))),"")</f>
        <v/>
      </c>
      <c r="E290" s="138" t="str">
        <f>IFERROR(IF(IF(INDEX(_xlfn.VSTACK(YES_Writing_ELA[#Data],YES_Writing_FLA[#Data]),MATCH($A290,_xlfn.VSTACK(YES_Writing_ELA[Student Number],YES_Writing_FLA[Student Number]),0),MATCH(VLOOKUP(E$7,'Writing Logic'!$J$7:$K$11,2,FALSE)&amp;" - Per "&amp;VLOOKUP($C$4,'Writing Logic'!$G$8:$H$14,2,FALSE),YES_Writing_ELA[#Headers],0))=0,"",INDEX(_xlfn.VSTACK(YES_Writing_ELA[#Data],YES_Writing_FLA[#Data]),MATCH($A290,_xlfn.VSTACK(YES_Writing_ELA[Student Number],YES_Writing_FLA[Student Number]),0),MATCH(VLOOKUP(E$7,'Writing Logic'!$J$7:$K$11,2,FALSE)&amp;" - Per "&amp;VLOOKUP($C$4,'Writing Logic'!$G$8:$H$14,2,FALSE),YES_Writing_ELA[#Headers],0)))="INS",'Writing Logic'!$B$7,IF(INDEX(_xlfn.VSTACK(YES_Writing_ELA[#Data],YES_Writing_FLA[#Data]),MATCH($A290,_xlfn.VSTACK(YES_Writing_ELA[Student Number],YES_Writing_FLA[Student Number]),0),MATCH(VLOOKUP(E$7,'Writing Logic'!$J$7:$K$11,2,FALSE)&amp;" - Per "&amp;VLOOKUP($C$4,'Writing Logic'!$G$8:$H$14,2,FALSE),YES_Writing_ELA[#Headers],0))=0,"",INDEX(_xlfn.VSTACK(YES_Writing_ELA[#Data],YES_Writing_FLA[#Data]),MATCH($A290,_xlfn.VSTACK(YES_Writing_ELA[Student Number],YES_Writing_FLA[Student Number]),0),MATCH(VLOOKUP(E$7,'Writing Logic'!$J$7:$K$11,2,FALSE)&amp;" - Per "&amp;VLOOKUP($C$4,'Writing Logic'!$G$8:$H$14,2,FALSE),YES_Writing_ELA[#Headers],0)))),"")</f>
        <v/>
      </c>
      <c r="F290" s="138" t="str">
        <f>IFERROR(IF(IF(INDEX(_xlfn.VSTACK(YES_Writing_ELA[#Data],YES_Writing_FLA[#Data]),MATCH($A290,_xlfn.VSTACK(YES_Writing_ELA[Student Number],YES_Writing_FLA[Student Number]),0),MATCH(VLOOKUP(F$7,'Writing Logic'!$J$7:$K$11,2,FALSE)&amp;" - Per "&amp;VLOOKUP($C$4,'Writing Logic'!$G$8:$H$14,2,FALSE),YES_Writing_ELA[#Headers],0))=0,"",INDEX(_xlfn.VSTACK(YES_Writing_ELA[#Data],YES_Writing_FLA[#Data]),MATCH($A290,_xlfn.VSTACK(YES_Writing_ELA[Student Number],YES_Writing_FLA[Student Number]),0),MATCH(VLOOKUP(F$7,'Writing Logic'!$J$7:$K$11,2,FALSE)&amp;" - Per "&amp;VLOOKUP($C$4,'Writing Logic'!$G$8:$H$14,2,FALSE),YES_Writing_ELA[#Headers],0)))="INS",'Writing Logic'!$B$7,IF(INDEX(_xlfn.VSTACK(YES_Writing_ELA[#Data],YES_Writing_FLA[#Data]),MATCH($A290,_xlfn.VSTACK(YES_Writing_ELA[Student Number],YES_Writing_FLA[Student Number]),0),MATCH(VLOOKUP(F$7,'Writing Logic'!$J$7:$K$11,2,FALSE)&amp;" - Per "&amp;VLOOKUP($C$4,'Writing Logic'!$G$8:$H$14,2,FALSE),YES_Writing_ELA[#Headers],0))=0,"",INDEX(_xlfn.VSTACK(YES_Writing_ELA[#Data],YES_Writing_FLA[#Data]),MATCH($A290,_xlfn.VSTACK(YES_Writing_ELA[Student Number],YES_Writing_FLA[Student Number]),0),MATCH(VLOOKUP(F$7,'Writing Logic'!$J$7:$K$11,2,FALSE)&amp;" - Per "&amp;VLOOKUP($C$4,'Writing Logic'!$G$8:$H$14,2,FALSE),YES_Writing_ELA[#Headers],0)))),"")</f>
        <v/>
      </c>
      <c r="G290" s="138" t="str">
        <f>IFERROR(IF(IF(INDEX(_xlfn.VSTACK(YES_Writing_ELA[#Data],YES_Writing_FLA[#Data]),MATCH($A290,_xlfn.VSTACK(YES_Writing_ELA[Student Number],YES_Writing_FLA[Student Number]),0),MATCH(VLOOKUP(G$7,'Writing Logic'!$J$7:$K$11,2,FALSE)&amp;" - Per "&amp;VLOOKUP($C$4,'Writing Logic'!$G$8:$H$14,2,FALSE),YES_Writing_ELA[#Headers],0))=0,"",INDEX(_xlfn.VSTACK(YES_Writing_ELA[#Data],YES_Writing_FLA[#Data]),MATCH($A290,_xlfn.VSTACK(YES_Writing_ELA[Student Number],YES_Writing_FLA[Student Number]),0),MATCH(VLOOKUP(G$7,'Writing Logic'!$J$7:$K$11,2,FALSE)&amp;" - Per "&amp;VLOOKUP($C$4,'Writing Logic'!$G$8:$H$14,2,FALSE),YES_Writing_ELA[#Headers],0)))="INS",'Writing Logic'!$B$7,IF(INDEX(_xlfn.VSTACK(YES_Writing_ELA[#Data],YES_Writing_FLA[#Data]),MATCH($A290,_xlfn.VSTACK(YES_Writing_ELA[Student Number],YES_Writing_FLA[Student Number]),0),MATCH(VLOOKUP(G$7,'Writing Logic'!$J$7:$K$11,2,FALSE)&amp;" - Per "&amp;VLOOKUP($C$4,'Writing Logic'!$G$8:$H$14,2,FALSE),YES_Writing_ELA[#Headers],0))=0,"",INDEX(_xlfn.VSTACK(YES_Writing_ELA[#Data],YES_Writing_FLA[#Data]),MATCH($A290,_xlfn.VSTACK(YES_Writing_ELA[Student Number],YES_Writing_FLA[Student Number]),0),MATCH(VLOOKUP(G$7,'Writing Logic'!$J$7:$K$11,2,FALSE)&amp;" - Per "&amp;VLOOKUP($C$4,'Writing Logic'!$G$8:$H$14,2,FALSE),YES_Writing_ELA[#Headers],0)))),"")</f>
        <v/>
      </c>
      <c r="H290" s="223" t="str">
        <f>IFERROR(IF(IF(INDEX(_xlfn.VSTACK(YES_Writing_ELA[#Data],YES_Writing_FLA[#Data]),MATCH($A290,_xlfn.VSTACK(YES_Writing_ELA[Student Number],YES_Writing_FLA[Student Number]),0),MATCH(VLOOKUP(H$7,'Writing Logic'!$J$7:$K$11,2,FALSE)&amp;" - Per "&amp;VLOOKUP($C$4,'Writing Logic'!$G$8:$H$14,2,FALSE),YES_Writing_ELA[#Headers],0))=0,"",INDEX(_xlfn.VSTACK(YES_Writing_ELA[#Data],YES_Writing_FLA[#Data]),MATCH($A290,_xlfn.VSTACK(YES_Writing_ELA[Student Number],YES_Writing_FLA[Student Number]),0),MATCH(VLOOKUP(H$7,'Writing Logic'!$J$7:$K$11,2,FALSE)&amp;" - Per "&amp;VLOOKUP($C$4,'Writing Logic'!$G$8:$H$14,2,FALSE),YES_Writing_ELA[#Headers],0)))="INS",'Writing Logic'!$B$7,IF(INDEX(_xlfn.VSTACK(YES_Writing_ELA[#Data],YES_Writing_FLA[#Data]),MATCH($A290,_xlfn.VSTACK(YES_Writing_ELA[Student Number],YES_Writing_FLA[Student Number]),0),MATCH(VLOOKUP(H$7,'Writing Logic'!$J$7:$K$11,2,FALSE)&amp;" - Per "&amp;VLOOKUP($C$4,'Writing Logic'!$G$8:$H$14,2,FALSE),YES_Writing_ELA[#Headers],0))=0,"",INDEX(_xlfn.VSTACK(YES_Writing_ELA[#Data],YES_Writing_FLA[#Data]),MATCH($A290,_xlfn.VSTACK(YES_Writing_ELA[Student Number],YES_Writing_FLA[Student Number]),0),MATCH(VLOOKUP(H$7,'Writing Logic'!$J$7:$K$11,2,FALSE)&amp;" - Per "&amp;VLOOKUP($C$4,'Writing Logic'!$G$8:$H$14,2,FALSE),YES_Writing_ELA[#Headers],0)))),"")</f>
        <v/>
      </c>
      <c r="I290" s="224" t="str" cm="1">
        <f t="array" aca="1" ref="I290" ca="1">IFERROR(
IF($G$3="ELA",
IF(VLOOKUP($A290, YES_Reading_ELA[], COLUMN(INDIRECT("YES_Reading_ELA[Difference - Per "&amp;VLOOKUP($G$4, 'Reading Report Logic'!$A$2:$B$8, 2, FALSE)&amp;"]")), FALSE)="", "",
VLOOKUP($A290,YES_Reading_ELA[], COLUMN(INDIRECT("YES_Reading_ELA[Difference - Per "&amp;VLOOKUP($G$4,'Reading Report Logic'!$A$2:$B$8,2,FALSE)&amp;"]")), FALSE)),
IF($G$3="FLA",
IF(VLOOKUP($A290, YES_Reading_FLA[], COLUMN(INDIRECT("YES_Reading_FLA[Difference - Per "&amp;VLOOKUP($G$4,'Reading Report Logic'!$A$2:$B$8,2,FALSE)&amp;"]")),FALSE)="","",
VLOOKUP($A290,YES_Reading_FLA[],COLUMN(INDIRECT("YES_Reading_FLA[Difference - Per "&amp;VLOOKUP($G$4,'Reading Report Logic'!$A$2:$B$8,2,FALSE)&amp;"]")),FALSE)),
IF($G$3="Combined",
IFERROR(
IF(VLOOKUP($A290, YES_Reading_ELA[], COLUMN(INDIRECT("YES_Reading_ELA[Difference - Per "&amp;VLOOKUP($G$4, 'Reading Report Logic'!$A$2:$B$8,2,FALSE)&amp;"]")), FALSE)="", "",
VLOOKUP($A290,YES_Reading_ELA[],COLUMN(INDIRECT("YES_Reading_ELA[Difference - Per "&amp;VLOOKUP($G$4,'Reading Report Logic'!$A$2:$B$8,2,FALSE)&amp;"]")),FALSE)),
IF(VLOOKUP($A290, YES_Reading_FLA[], COLUMN(INDIRECT("YES_Reading_FLA[Difference - Per "&amp;VLOOKUP($G$4, 'Reading Report Logic'!$A$2:$B$8, 2, FALSE)&amp;"]")),FALSE)="", "", VLOOKUP($A290,YES_Reading_FLA[],COLUMN(INDIRECT("YES_Reading_FLA[Difference - Per "&amp;VLOOKUP($G$4, 'Reading Report Logic'!$A$2:$B$8, 2, FALSE)&amp;"]")),FALSE))),""))),"")</f>
        <v/>
      </c>
    </row>
    <row r="291" spans="1:9" x14ac:dyDescent="0.25">
      <c r="A291" s="137"/>
      <c r="B291" s="137" t="str">
        <f>IFERROR(INDEX(_xlfn.VSTACK(YES_Writing_ELA[#Data], YES_Writing_FLA[#Data]),MATCH($A291,_xlfn.VSTACK(YES_Writing_ELA[Student Number], YES_Writing_FLA[Student Number]),0),MATCH(B$7,YES_Writing_ELA[#Headers],0)),IFERROR(INDEX(_xlfn.VSTACK(YES_Reading_ELA[#Data], YES_Reading_FLA[#Data]),MATCH($A291,_xlfn.VSTACK(YES_Reading_ELA[Student Number], YES_Reading_FLA[Student Number]),0),MATCH(B$7,YES_Reading_ELA[#Headers],0)),""))</f>
        <v/>
      </c>
      <c r="C291" s="137" t="str">
        <f>IFERROR(INDEX(_xlfn.VSTACK(YES_Writing_ELA[#Data], YES_Writing_FLA[#Data]),MATCH($A291,_xlfn.VSTACK(YES_Writing_ELA[Student Number], YES_Writing_FLA[Student Number]),0),MATCH(C$7,YES_Writing_ELA[#Headers],0)),IFERROR(INDEX(_xlfn.VSTACK(YES_Reading_ELA[#Data], YES_Reading_FLA[#Data]),MATCH($A291,_xlfn.VSTACK(YES_Reading_ELA[Student Number], YES_Reading_FLA[Student Number]),0),MATCH(C$7,YES_Reading_ELA[#Headers],0)),""))</f>
        <v/>
      </c>
      <c r="D291" s="138" t="str">
        <f>IFERROR(IF(IF(INDEX(_xlfn.VSTACK(YES_Writing_ELA[#Data],YES_Writing_FLA[#Data]),MATCH($A291,_xlfn.VSTACK(YES_Writing_ELA[Student Number],YES_Writing_FLA[Student Number]),0),MATCH(VLOOKUP(D$7,'Writing Logic'!$J$7:$K$11,2,FALSE)&amp;" - Per "&amp;VLOOKUP($C$4,'Writing Logic'!$G$8:$H$14,2,FALSE),YES_Writing_ELA[#Headers],0))=0,"",INDEX(_xlfn.VSTACK(YES_Writing_ELA[#Data],YES_Writing_FLA[#Data]),MATCH($A291,_xlfn.VSTACK(YES_Writing_ELA[Student Number],YES_Writing_FLA[Student Number]),0),MATCH(VLOOKUP(D$7,'Writing Logic'!$J$7:$K$11,2,FALSE)&amp;" - Per "&amp;VLOOKUP($C$4,'Writing Logic'!$G$8:$H$14,2,FALSE),YES_Writing_ELA[#Headers],0)))="INS",'Writing Logic'!$B$7,IF(INDEX(_xlfn.VSTACK(YES_Writing_ELA[#Data],YES_Writing_FLA[#Data]),MATCH($A291,_xlfn.VSTACK(YES_Writing_ELA[Student Number],YES_Writing_FLA[Student Number]),0),MATCH(VLOOKUP(D$7,'Writing Logic'!$J$7:$K$11,2,FALSE)&amp;" - Per "&amp;VLOOKUP($C$4,'Writing Logic'!$G$8:$H$14,2,FALSE),YES_Writing_ELA[#Headers],0))=0,"",INDEX(_xlfn.VSTACK(YES_Writing_ELA[#Data],YES_Writing_FLA[#Data]),MATCH($A291,_xlfn.VSTACK(YES_Writing_ELA[Student Number],YES_Writing_FLA[Student Number]),0),MATCH(VLOOKUP(D$7,'Writing Logic'!$J$7:$K$11,2,FALSE)&amp;" - Per "&amp;VLOOKUP($C$4,'Writing Logic'!$G$8:$H$14,2,FALSE),YES_Writing_ELA[#Headers],0)))),"")</f>
        <v/>
      </c>
      <c r="E291" s="138" t="str">
        <f>IFERROR(IF(IF(INDEX(_xlfn.VSTACK(YES_Writing_ELA[#Data],YES_Writing_FLA[#Data]),MATCH($A291,_xlfn.VSTACK(YES_Writing_ELA[Student Number],YES_Writing_FLA[Student Number]),0),MATCH(VLOOKUP(E$7,'Writing Logic'!$J$7:$K$11,2,FALSE)&amp;" - Per "&amp;VLOOKUP($C$4,'Writing Logic'!$G$8:$H$14,2,FALSE),YES_Writing_ELA[#Headers],0))=0,"",INDEX(_xlfn.VSTACK(YES_Writing_ELA[#Data],YES_Writing_FLA[#Data]),MATCH($A291,_xlfn.VSTACK(YES_Writing_ELA[Student Number],YES_Writing_FLA[Student Number]),0),MATCH(VLOOKUP(E$7,'Writing Logic'!$J$7:$K$11,2,FALSE)&amp;" - Per "&amp;VLOOKUP($C$4,'Writing Logic'!$G$8:$H$14,2,FALSE),YES_Writing_ELA[#Headers],0)))="INS",'Writing Logic'!$B$7,IF(INDEX(_xlfn.VSTACK(YES_Writing_ELA[#Data],YES_Writing_FLA[#Data]),MATCH($A291,_xlfn.VSTACK(YES_Writing_ELA[Student Number],YES_Writing_FLA[Student Number]),0),MATCH(VLOOKUP(E$7,'Writing Logic'!$J$7:$K$11,2,FALSE)&amp;" - Per "&amp;VLOOKUP($C$4,'Writing Logic'!$G$8:$H$14,2,FALSE),YES_Writing_ELA[#Headers],0))=0,"",INDEX(_xlfn.VSTACK(YES_Writing_ELA[#Data],YES_Writing_FLA[#Data]),MATCH($A291,_xlfn.VSTACK(YES_Writing_ELA[Student Number],YES_Writing_FLA[Student Number]),0),MATCH(VLOOKUP(E$7,'Writing Logic'!$J$7:$K$11,2,FALSE)&amp;" - Per "&amp;VLOOKUP($C$4,'Writing Logic'!$G$8:$H$14,2,FALSE),YES_Writing_ELA[#Headers],0)))),"")</f>
        <v/>
      </c>
      <c r="F291" s="138" t="str">
        <f>IFERROR(IF(IF(INDEX(_xlfn.VSTACK(YES_Writing_ELA[#Data],YES_Writing_FLA[#Data]),MATCH($A291,_xlfn.VSTACK(YES_Writing_ELA[Student Number],YES_Writing_FLA[Student Number]),0),MATCH(VLOOKUP(F$7,'Writing Logic'!$J$7:$K$11,2,FALSE)&amp;" - Per "&amp;VLOOKUP($C$4,'Writing Logic'!$G$8:$H$14,2,FALSE),YES_Writing_ELA[#Headers],0))=0,"",INDEX(_xlfn.VSTACK(YES_Writing_ELA[#Data],YES_Writing_FLA[#Data]),MATCH($A291,_xlfn.VSTACK(YES_Writing_ELA[Student Number],YES_Writing_FLA[Student Number]),0),MATCH(VLOOKUP(F$7,'Writing Logic'!$J$7:$K$11,2,FALSE)&amp;" - Per "&amp;VLOOKUP($C$4,'Writing Logic'!$G$8:$H$14,2,FALSE),YES_Writing_ELA[#Headers],0)))="INS",'Writing Logic'!$B$7,IF(INDEX(_xlfn.VSTACK(YES_Writing_ELA[#Data],YES_Writing_FLA[#Data]),MATCH($A291,_xlfn.VSTACK(YES_Writing_ELA[Student Number],YES_Writing_FLA[Student Number]),0),MATCH(VLOOKUP(F$7,'Writing Logic'!$J$7:$K$11,2,FALSE)&amp;" - Per "&amp;VLOOKUP($C$4,'Writing Logic'!$G$8:$H$14,2,FALSE),YES_Writing_ELA[#Headers],0))=0,"",INDEX(_xlfn.VSTACK(YES_Writing_ELA[#Data],YES_Writing_FLA[#Data]),MATCH($A291,_xlfn.VSTACK(YES_Writing_ELA[Student Number],YES_Writing_FLA[Student Number]),0),MATCH(VLOOKUP(F$7,'Writing Logic'!$J$7:$K$11,2,FALSE)&amp;" - Per "&amp;VLOOKUP($C$4,'Writing Logic'!$G$8:$H$14,2,FALSE),YES_Writing_ELA[#Headers],0)))),"")</f>
        <v/>
      </c>
      <c r="G291" s="138" t="str">
        <f>IFERROR(IF(IF(INDEX(_xlfn.VSTACK(YES_Writing_ELA[#Data],YES_Writing_FLA[#Data]),MATCH($A291,_xlfn.VSTACK(YES_Writing_ELA[Student Number],YES_Writing_FLA[Student Number]),0),MATCH(VLOOKUP(G$7,'Writing Logic'!$J$7:$K$11,2,FALSE)&amp;" - Per "&amp;VLOOKUP($C$4,'Writing Logic'!$G$8:$H$14,2,FALSE),YES_Writing_ELA[#Headers],0))=0,"",INDEX(_xlfn.VSTACK(YES_Writing_ELA[#Data],YES_Writing_FLA[#Data]),MATCH($A291,_xlfn.VSTACK(YES_Writing_ELA[Student Number],YES_Writing_FLA[Student Number]),0),MATCH(VLOOKUP(G$7,'Writing Logic'!$J$7:$K$11,2,FALSE)&amp;" - Per "&amp;VLOOKUP($C$4,'Writing Logic'!$G$8:$H$14,2,FALSE),YES_Writing_ELA[#Headers],0)))="INS",'Writing Logic'!$B$7,IF(INDEX(_xlfn.VSTACK(YES_Writing_ELA[#Data],YES_Writing_FLA[#Data]),MATCH($A291,_xlfn.VSTACK(YES_Writing_ELA[Student Number],YES_Writing_FLA[Student Number]),0),MATCH(VLOOKUP(G$7,'Writing Logic'!$J$7:$K$11,2,FALSE)&amp;" - Per "&amp;VLOOKUP($C$4,'Writing Logic'!$G$8:$H$14,2,FALSE),YES_Writing_ELA[#Headers],0))=0,"",INDEX(_xlfn.VSTACK(YES_Writing_ELA[#Data],YES_Writing_FLA[#Data]),MATCH($A291,_xlfn.VSTACK(YES_Writing_ELA[Student Number],YES_Writing_FLA[Student Number]),0),MATCH(VLOOKUP(G$7,'Writing Logic'!$J$7:$K$11,2,FALSE)&amp;" - Per "&amp;VLOOKUP($C$4,'Writing Logic'!$G$8:$H$14,2,FALSE),YES_Writing_ELA[#Headers],0)))),"")</f>
        <v/>
      </c>
      <c r="H291" s="223" t="str">
        <f>IFERROR(IF(IF(INDEX(_xlfn.VSTACK(YES_Writing_ELA[#Data],YES_Writing_FLA[#Data]),MATCH($A291,_xlfn.VSTACK(YES_Writing_ELA[Student Number],YES_Writing_FLA[Student Number]),0),MATCH(VLOOKUP(H$7,'Writing Logic'!$J$7:$K$11,2,FALSE)&amp;" - Per "&amp;VLOOKUP($C$4,'Writing Logic'!$G$8:$H$14,2,FALSE),YES_Writing_ELA[#Headers],0))=0,"",INDEX(_xlfn.VSTACK(YES_Writing_ELA[#Data],YES_Writing_FLA[#Data]),MATCH($A291,_xlfn.VSTACK(YES_Writing_ELA[Student Number],YES_Writing_FLA[Student Number]),0),MATCH(VLOOKUP(H$7,'Writing Logic'!$J$7:$K$11,2,FALSE)&amp;" - Per "&amp;VLOOKUP($C$4,'Writing Logic'!$G$8:$H$14,2,FALSE),YES_Writing_ELA[#Headers],0)))="INS",'Writing Logic'!$B$7,IF(INDEX(_xlfn.VSTACK(YES_Writing_ELA[#Data],YES_Writing_FLA[#Data]),MATCH($A291,_xlfn.VSTACK(YES_Writing_ELA[Student Number],YES_Writing_FLA[Student Number]),0),MATCH(VLOOKUP(H$7,'Writing Logic'!$J$7:$K$11,2,FALSE)&amp;" - Per "&amp;VLOOKUP($C$4,'Writing Logic'!$G$8:$H$14,2,FALSE),YES_Writing_ELA[#Headers],0))=0,"",INDEX(_xlfn.VSTACK(YES_Writing_ELA[#Data],YES_Writing_FLA[#Data]),MATCH($A291,_xlfn.VSTACK(YES_Writing_ELA[Student Number],YES_Writing_FLA[Student Number]),0),MATCH(VLOOKUP(H$7,'Writing Logic'!$J$7:$K$11,2,FALSE)&amp;" - Per "&amp;VLOOKUP($C$4,'Writing Logic'!$G$8:$H$14,2,FALSE),YES_Writing_ELA[#Headers],0)))),"")</f>
        <v/>
      </c>
      <c r="I291" s="224" t="str" cm="1">
        <f t="array" aca="1" ref="I291" ca="1">IFERROR(
IF($G$3="ELA",
IF(VLOOKUP($A291, YES_Reading_ELA[], COLUMN(INDIRECT("YES_Reading_ELA[Difference - Per "&amp;VLOOKUP($G$4, 'Reading Report Logic'!$A$2:$B$8, 2, FALSE)&amp;"]")), FALSE)="", "",
VLOOKUP($A291,YES_Reading_ELA[], COLUMN(INDIRECT("YES_Reading_ELA[Difference - Per "&amp;VLOOKUP($G$4,'Reading Report Logic'!$A$2:$B$8,2,FALSE)&amp;"]")), FALSE)),
IF($G$3="FLA",
IF(VLOOKUP($A291, YES_Reading_FLA[], COLUMN(INDIRECT("YES_Reading_FLA[Difference - Per "&amp;VLOOKUP($G$4,'Reading Report Logic'!$A$2:$B$8,2,FALSE)&amp;"]")),FALSE)="","",
VLOOKUP($A291,YES_Reading_FLA[],COLUMN(INDIRECT("YES_Reading_FLA[Difference - Per "&amp;VLOOKUP($G$4,'Reading Report Logic'!$A$2:$B$8,2,FALSE)&amp;"]")),FALSE)),
IF($G$3="Combined",
IFERROR(
IF(VLOOKUP($A291, YES_Reading_ELA[], COLUMN(INDIRECT("YES_Reading_ELA[Difference - Per "&amp;VLOOKUP($G$4, 'Reading Report Logic'!$A$2:$B$8,2,FALSE)&amp;"]")), FALSE)="", "",
VLOOKUP($A291,YES_Reading_ELA[],COLUMN(INDIRECT("YES_Reading_ELA[Difference - Per "&amp;VLOOKUP($G$4,'Reading Report Logic'!$A$2:$B$8,2,FALSE)&amp;"]")),FALSE)),
IF(VLOOKUP($A291, YES_Reading_FLA[], COLUMN(INDIRECT("YES_Reading_FLA[Difference - Per "&amp;VLOOKUP($G$4, 'Reading Report Logic'!$A$2:$B$8, 2, FALSE)&amp;"]")),FALSE)="", "", VLOOKUP($A291,YES_Reading_FLA[],COLUMN(INDIRECT("YES_Reading_FLA[Difference - Per "&amp;VLOOKUP($G$4, 'Reading Report Logic'!$A$2:$B$8, 2, FALSE)&amp;"]")),FALSE))),""))),"")</f>
        <v/>
      </c>
    </row>
    <row r="292" spans="1:9" x14ac:dyDescent="0.25">
      <c r="A292" s="137"/>
      <c r="B292" s="137" t="str">
        <f>IFERROR(INDEX(_xlfn.VSTACK(YES_Writing_ELA[#Data], YES_Writing_FLA[#Data]),MATCH($A292,_xlfn.VSTACK(YES_Writing_ELA[Student Number], YES_Writing_FLA[Student Number]),0),MATCH(B$7,YES_Writing_ELA[#Headers],0)),IFERROR(INDEX(_xlfn.VSTACK(YES_Reading_ELA[#Data], YES_Reading_FLA[#Data]),MATCH($A292,_xlfn.VSTACK(YES_Reading_ELA[Student Number], YES_Reading_FLA[Student Number]),0),MATCH(B$7,YES_Reading_ELA[#Headers],0)),""))</f>
        <v/>
      </c>
      <c r="C292" s="137" t="str">
        <f>IFERROR(INDEX(_xlfn.VSTACK(YES_Writing_ELA[#Data], YES_Writing_FLA[#Data]),MATCH($A292,_xlfn.VSTACK(YES_Writing_ELA[Student Number], YES_Writing_FLA[Student Number]),0),MATCH(C$7,YES_Writing_ELA[#Headers],0)),IFERROR(INDEX(_xlfn.VSTACK(YES_Reading_ELA[#Data], YES_Reading_FLA[#Data]),MATCH($A292,_xlfn.VSTACK(YES_Reading_ELA[Student Number], YES_Reading_FLA[Student Number]),0),MATCH(C$7,YES_Reading_ELA[#Headers],0)),""))</f>
        <v/>
      </c>
      <c r="D292" s="138" t="str">
        <f>IFERROR(IF(IF(INDEX(_xlfn.VSTACK(YES_Writing_ELA[#Data],YES_Writing_FLA[#Data]),MATCH($A292,_xlfn.VSTACK(YES_Writing_ELA[Student Number],YES_Writing_FLA[Student Number]),0),MATCH(VLOOKUP(D$7,'Writing Logic'!$J$7:$K$11,2,FALSE)&amp;" - Per "&amp;VLOOKUP($C$4,'Writing Logic'!$G$8:$H$14,2,FALSE),YES_Writing_ELA[#Headers],0))=0,"",INDEX(_xlfn.VSTACK(YES_Writing_ELA[#Data],YES_Writing_FLA[#Data]),MATCH($A292,_xlfn.VSTACK(YES_Writing_ELA[Student Number],YES_Writing_FLA[Student Number]),0),MATCH(VLOOKUP(D$7,'Writing Logic'!$J$7:$K$11,2,FALSE)&amp;" - Per "&amp;VLOOKUP($C$4,'Writing Logic'!$G$8:$H$14,2,FALSE),YES_Writing_ELA[#Headers],0)))="INS",'Writing Logic'!$B$7,IF(INDEX(_xlfn.VSTACK(YES_Writing_ELA[#Data],YES_Writing_FLA[#Data]),MATCH($A292,_xlfn.VSTACK(YES_Writing_ELA[Student Number],YES_Writing_FLA[Student Number]),0),MATCH(VLOOKUP(D$7,'Writing Logic'!$J$7:$K$11,2,FALSE)&amp;" - Per "&amp;VLOOKUP($C$4,'Writing Logic'!$G$8:$H$14,2,FALSE),YES_Writing_ELA[#Headers],0))=0,"",INDEX(_xlfn.VSTACK(YES_Writing_ELA[#Data],YES_Writing_FLA[#Data]),MATCH($A292,_xlfn.VSTACK(YES_Writing_ELA[Student Number],YES_Writing_FLA[Student Number]),0),MATCH(VLOOKUP(D$7,'Writing Logic'!$J$7:$K$11,2,FALSE)&amp;" - Per "&amp;VLOOKUP($C$4,'Writing Logic'!$G$8:$H$14,2,FALSE),YES_Writing_ELA[#Headers],0)))),"")</f>
        <v/>
      </c>
      <c r="E292" s="138" t="str">
        <f>IFERROR(IF(IF(INDEX(_xlfn.VSTACK(YES_Writing_ELA[#Data],YES_Writing_FLA[#Data]),MATCH($A292,_xlfn.VSTACK(YES_Writing_ELA[Student Number],YES_Writing_FLA[Student Number]),0),MATCH(VLOOKUP(E$7,'Writing Logic'!$J$7:$K$11,2,FALSE)&amp;" - Per "&amp;VLOOKUP($C$4,'Writing Logic'!$G$8:$H$14,2,FALSE),YES_Writing_ELA[#Headers],0))=0,"",INDEX(_xlfn.VSTACK(YES_Writing_ELA[#Data],YES_Writing_FLA[#Data]),MATCH($A292,_xlfn.VSTACK(YES_Writing_ELA[Student Number],YES_Writing_FLA[Student Number]),0),MATCH(VLOOKUP(E$7,'Writing Logic'!$J$7:$K$11,2,FALSE)&amp;" - Per "&amp;VLOOKUP($C$4,'Writing Logic'!$G$8:$H$14,2,FALSE),YES_Writing_ELA[#Headers],0)))="INS",'Writing Logic'!$B$7,IF(INDEX(_xlfn.VSTACK(YES_Writing_ELA[#Data],YES_Writing_FLA[#Data]),MATCH($A292,_xlfn.VSTACK(YES_Writing_ELA[Student Number],YES_Writing_FLA[Student Number]),0),MATCH(VLOOKUP(E$7,'Writing Logic'!$J$7:$K$11,2,FALSE)&amp;" - Per "&amp;VLOOKUP($C$4,'Writing Logic'!$G$8:$H$14,2,FALSE),YES_Writing_ELA[#Headers],0))=0,"",INDEX(_xlfn.VSTACK(YES_Writing_ELA[#Data],YES_Writing_FLA[#Data]),MATCH($A292,_xlfn.VSTACK(YES_Writing_ELA[Student Number],YES_Writing_FLA[Student Number]),0),MATCH(VLOOKUP(E$7,'Writing Logic'!$J$7:$K$11,2,FALSE)&amp;" - Per "&amp;VLOOKUP($C$4,'Writing Logic'!$G$8:$H$14,2,FALSE),YES_Writing_ELA[#Headers],0)))),"")</f>
        <v/>
      </c>
      <c r="F292" s="138" t="str">
        <f>IFERROR(IF(IF(INDEX(_xlfn.VSTACK(YES_Writing_ELA[#Data],YES_Writing_FLA[#Data]),MATCH($A292,_xlfn.VSTACK(YES_Writing_ELA[Student Number],YES_Writing_FLA[Student Number]),0),MATCH(VLOOKUP(F$7,'Writing Logic'!$J$7:$K$11,2,FALSE)&amp;" - Per "&amp;VLOOKUP($C$4,'Writing Logic'!$G$8:$H$14,2,FALSE),YES_Writing_ELA[#Headers],0))=0,"",INDEX(_xlfn.VSTACK(YES_Writing_ELA[#Data],YES_Writing_FLA[#Data]),MATCH($A292,_xlfn.VSTACK(YES_Writing_ELA[Student Number],YES_Writing_FLA[Student Number]),0),MATCH(VLOOKUP(F$7,'Writing Logic'!$J$7:$K$11,2,FALSE)&amp;" - Per "&amp;VLOOKUP($C$4,'Writing Logic'!$G$8:$H$14,2,FALSE),YES_Writing_ELA[#Headers],0)))="INS",'Writing Logic'!$B$7,IF(INDEX(_xlfn.VSTACK(YES_Writing_ELA[#Data],YES_Writing_FLA[#Data]),MATCH($A292,_xlfn.VSTACK(YES_Writing_ELA[Student Number],YES_Writing_FLA[Student Number]),0),MATCH(VLOOKUP(F$7,'Writing Logic'!$J$7:$K$11,2,FALSE)&amp;" - Per "&amp;VLOOKUP($C$4,'Writing Logic'!$G$8:$H$14,2,FALSE),YES_Writing_ELA[#Headers],0))=0,"",INDEX(_xlfn.VSTACK(YES_Writing_ELA[#Data],YES_Writing_FLA[#Data]),MATCH($A292,_xlfn.VSTACK(YES_Writing_ELA[Student Number],YES_Writing_FLA[Student Number]),0),MATCH(VLOOKUP(F$7,'Writing Logic'!$J$7:$K$11,2,FALSE)&amp;" - Per "&amp;VLOOKUP($C$4,'Writing Logic'!$G$8:$H$14,2,FALSE),YES_Writing_ELA[#Headers],0)))),"")</f>
        <v/>
      </c>
      <c r="G292" s="138" t="str">
        <f>IFERROR(IF(IF(INDEX(_xlfn.VSTACK(YES_Writing_ELA[#Data],YES_Writing_FLA[#Data]),MATCH($A292,_xlfn.VSTACK(YES_Writing_ELA[Student Number],YES_Writing_FLA[Student Number]),0),MATCH(VLOOKUP(G$7,'Writing Logic'!$J$7:$K$11,2,FALSE)&amp;" - Per "&amp;VLOOKUP($C$4,'Writing Logic'!$G$8:$H$14,2,FALSE),YES_Writing_ELA[#Headers],0))=0,"",INDEX(_xlfn.VSTACK(YES_Writing_ELA[#Data],YES_Writing_FLA[#Data]),MATCH($A292,_xlfn.VSTACK(YES_Writing_ELA[Student Number],YES_Writing_FLA[Student Number]),0),MATCH(VLOOKUP(G$7,'Writing Logic'!$J$7:$K$11,2,FALSE)&amp;" - Per "&amp;VLOOKUP($C$4,'Writing Logic'!$G$8:$H$14,2,FALSE),YES_Writing_ELA[#Headers],0)))="INS",'Writing Logic'!$B$7,IF(INDEX(_xlfn.VSTACK(YES_Writing_ELA[#Data],YES_Writing_FLA[#Data]),MATCH($A292,_xlfn.VSTACK(YES_Writing_ELA[Student Number],YES_Writing_FLA[Student Number]),0),MATCH(VLOOKUP(G$7,'Writing Logic'!$J$7:$K$11,2,FALSE)&amp;" - Per "&amp;VLOOKUP($C$4,'Writing Logic'!$G$8:$H$14,2,FALSE),YES_Writing_ELA[#Headers],0))=0,"",INDEX(_xlfn.VSTACK(YES_Writing_ELA[#Data],YES_Writing_FLA[#Data]),MATCH($A292,_xlfn.VSTACK(YES_Writing_ELA[Student Number],YES_Writing_FLA[Student Number]),0),MATCH(VLOOKUP(G$7,'Writing Logic'!$J$7:$K$11,2,FALSE)&amp;" - Per "&amp;VLOOKUP($C$4,'Writing Logic'!$G$8:$H$14,2,FALSE),YES_Writing_ELA[#Headers],0)))),"")</f>
        <v/>
      </c>
      <c r="H292" s="223" t="str">
        <f>IFERROR(IF(IF(INDEX(_xlfn.VSTACK(YES_Writing_ELA[#Data],YES_Writing_FLA[#Data]),MATCH($A292,_xlfn.VSTACK(YES_Writing_ELA[Student Number],YES_Writing_FLA[Student Number]),0),MATCH(VLOOKUP(H$7,'Writing Logic'!$J$7:$K$11,2,FALSE)&amp;" - Per "&amp;VLOOKUP($C$4,'Writing Logic'!$G$8:$H$14,2,FALSE),YES_Writing_ELA[#Headers],0))=0,"",INDEX(_xlfn.VSTACK(YES_Writing_ELA[#Data],YES_Writing_FLA[#Data]),MATCH($A292,_xlfn.VSTACK(YES_Writing_ELA[Student Number],YES_Writing_FLA[Student Number]),0),MATCH(VLOOKUP(H$7,'Writing Logic'!$J$7:$K$11,2,FALSE)&amp;" - Per "&amp;VLOOKUP($C$4,'Writing Logic'!$G$8:$H$14,2,FALSE),YES_Writing_ELA[#Headers],0)))="INS",'Writing Logic'!$B$7,IF(INDEX(_xlfn.VSTACK(YES_Writing_ELA[#Data],YES_Writing_FLA[#Data]),MATCH($A292,_xlfn.VSTACK(YES_Writing_ELA[Student Number],YES_Writing_FLA[Student Number]),0),MATCH(VLOOKUP(H$7,'Writing Logic'!$J$7:$K$11,2,FALSE)&amp;" - Per "&amp;VLOOKUP($C$4,'Writing Logic'!$G$8:$H$14,2,FALSE),YES_Writing_ELA[#Headers],0))=0,"",INDEX(_xlfn.VSTACK(YES_Writing_ELA[#Data],YES_Writing_FLA[#Data]),MATCH($A292,_xlfn.VSTACK(YES_Writing_ELA[Student Number],YES_Writing_FLA[Student Number]),0),MATCH(VLOOKUP(H$7,'Writing Logic'!$J$7:$K$11,2,FALSE)&amp;" - Per "&amp;VLOOKUP($C$4,'Writing Logic'!$G$8:$H$14,2,FALSE),YES_Writing_ELA[#Headers],0)))),"")</f>
        <v/>
      </c>
      <c r="I292" s="224" t="str" cm="1">
        <f t="array" aca="1" ref="I292" ca="1">IFERROR(
IF($G$3="ELA",
IF(VLOOKUP($A292, YES_Reading_ELA[], COLUMN(INDIRECT("YES_Reading_ELA[Difference - Per "&amp;VLOOKUP($G$4, 'Reading Report Logic'!$A$2:$B$8, 2, FALSE)&amp;"]")), FALSE)="", "",
VLOOKUP($A292,YES_Reading_ELA[], COLUMN(INDIRECT("YES_Reading_ELA[Difference - Per "&amp;VLOOKUP($G$4,'Reading Report Logic'!$A$2:$B$8,2,FALSE)&amp;"]")), FALSE)),
IF($G$3="FLA",
IF(VLOOKUP($A292, YES_Reading_FLA[], COLUMN(INDIRECT("YES_Reading_FLA[Difference - Per "&amp;VLOOKUP($G$4,'Reading Report Logic'!$A$2:$B$8,2,FALSE)&amp;"]")),FALSE)="","",
VLOOKUP($A292,YES_Reading_FLA[],COLUMN(INDIRECT("YES_Reading_FLA[Difference - Per "&amp;VLOOKUP($G$4,'Reading Report Logic'!$A$2:$B$8,2,FALSE)&amp;"]")),FALSE)),
IF($G$3="Combined",
IFERROR(
IF(VLOOKUP($A292, YES_Reading_ELA[], COLUMN(INDIRECT("YES_Reading_ELA[Difference - Per "&amp;VLOOKUP($G$4, 'Reading Report Logic'!$A$2:$B$8,2,FALSE)&amp;"]")), FALSE)="", "",
VLOOKUP($A292,YES_Reading_ELA[],COLUMN(INDIRECT("YES_Reading_ELA[Difference - Per "&amp;VLOOKUP($G$4,'Reading Report Logic'!$A$2:$B$8,2,FALSE)&amp;"]")),FALSE)),
IF(VLOOKUP($A292, YES_Reading_FLA[], COLUMN(INDIRECT("YES_Reading_FLA[Difference - Per "&amp;VLOOKUP($G$4, 'Reading Report Logic'!$A$2:$B$8, 2, FALSE)&amp;"]")),FALSE)="", "", VLOOKUP($A292,YES_Reading_FLA[],COLUMN(INDIRECT("YES_Reading_FLA[Difference - Per "&amp;VLOOKUP($G$4, 'Reading Report Logic'!$A$2:$B$8, 2, FALSE)&amp;"]")),FALSE))),""))),"")</f>
        <v/>
      </c>
    </row>
    <row r="293" spans="1:9" x14ac:dyDescent="0.25">
      <c r="A293" s="137"/>
      <c r="B293" s="137" t="str">
        <f>IFERROR(INDEX(_xlfn.VSTACK(YES_Writing_ELA[#Data], YES_Writing_FLA[#Data]),MATCH($A293,_xlfn.VSTACK(YES_Writing_ELA[Student Number], YES_Writing_FLA[Student Number]),0),MATCH(B$7,YES_Writing_ELA[#Headers],0)),IFERROR(INDEX(_xlfn.VSTACK(YES_Reading_ELA[#Data], YES_Reading_FLA[#Data]),MATCH($A293,_xlfn.VSTACK(YES_Reading_ELA[Student Number], YES_Reading_FLA[Student Number]),0),MATCH(B$7,YES_Reading_ELA[#Headers],0)),""))</f>
        <v/>
      </c>
      <c r="C293" s="137" t="str">
        <f>IFERROR(INDEX(_xlfn.VSTACK(YES_Writing_ELA[#Data], YES_Writing_FLA[#Data]),MATCH($A293,_xlfn.VSTACK(YES_Writing_ELA[Student Number], YES_Writing_FLA[Student Number]),0),MATCH(C$7,YES_Writing_ELA[#Headers],0)),IFERROR(INDEX(_xlfn.VSTACK(YES_Reading_ELA[#Data], YES_Reading_FLA[#Data]),MATCH($A293,_xlfn.VSTACK(YES_Reading_ELA[Student Number], YES_Reading_FLA[Student Number]),0),MATCH(C$7,YES_Reading_ELA[#Headers],0)),""))</f>
        <v/>
      </c>
      <c r="D293" s="138" t="str">
        <f>IFERROR(IF(IF(INDEX(_xlfn.VSTACK(YES_Writing_ELA[#Data],YES_Writing_FLA[#Data]),MATCH($A293,_xlfn.VSTACK(YES_Writing_ELA[Student Number],YES_Writing_FLA[Student Number]),0),MATCH(VLOOKUP(D$7,'Writing Logic'!$J$7:$K$11,2,FALSE)&amp;" - Per "&amp;VLOOKUP($C$4,'Writing Logic'!$G$8:$H$14,2,FALSE),YES_Writing_ELA[#Headers],0))=0,"",INDEX(_xlfn.VSTACK(YES_Writing_ELA[#Data],YES_Writing_FLA[#Data]),MATCH($A293,_xlfn.VSTACK(YES_Writing_ELA[Student Number],YES_Writing_FLA[Student Number]),0),MATCH(VLOOKUP(D$7,'Writing Logic'!$J$7:$K$11,2,FALSE)&amp;" - Per "&amp;VLOOKUP($C$4,'Writing Logic'!$G$8:$H$14,2,FALSE),YES_Writing_ELA[#Headers],0)))="INS",'Writing Logic'!$B$7,IF(INDEX(_xlfn.VSTACK(YES_Writing_ELA[#Data],YES_Writing_FLA[#Data]),MATCH($A293,_xlfn.VSTACK(YES_Writing_ELA[Student Number],YES_Writing_FLA[Student Number]),0),MATCH(VLOOKUP(D$7,'Writing Logic'!$J$7:$K$11,2,FALSE)&amp;" - Per "&amp;VLOOKUP($C$4,'Writing Logic'!$G$8:$H$14,2,FALSE),YES_Writing_ELA[#Headers],0))=0,"",INDEX(_xlfn.VSTACK(YES_Writing_ELA[#Data],YES_Writing_FLA[#Data]),MATCH($A293,_xlfn.VSTACK(YES_Writing_ELA[Student Number],YES_Writing_FLA[Student Number]),0),MATCH(VLOOKUP(D$7,'Writing Logic'!$J$7:$K$11,2,FALSE)&amp;" - Per "&amp;VLOOKUP($C$4,'Writing Logic'!$G$8:$H$14,2,FALSE),YES_Writing_ELA[#Headers],0)))),"")</f>
        <v/>
      </c>
      <c r="E293" s="138" t="str">
        <f>IFERROR(IF(IF(INDEX(_xlfn.VSTACK(YES_Writing_ELA[#Data],YES_Writing_FLA[#Data]),MATCH($A293,_xlfn.VSTACK(YES_Writing_ELA[Student Number],YES_Writing_FLA[Student Number]),0),MATCH(VLOOKUP(E$7,'Writing Logic'!$J$7:$K$11,2,FALSE)&amp;" - Per "&amp;VLOOKUP($C$4,'Writing Logic'!$G$8:$H$14,2,FALSE),YES_Writing_ELA[#Headers],0))=0,"",INDEX(_xlfn.VSTACK(YES_Writing_ELA[#Data],YES_Writing_FLA[#Data]),MATCH($A293,_xlfn.VSTACK(YES_Writing_ELA[Student Number],YES_Writing_FLA[Student Number]),0),MATCH(VLOOKUP(E$7,'Writing Logic'!$J$7:$K$11,2,FALSE)&amp;" - Per "&amp;VLOOKUP($C$4,'Writing Logic'!$G$8:$H$14,2,FALSE),YES_Writing_ELA[#Headers],0)))="INS",'Writing Logic'!$B$7,IF(INDEX(_xlfn.VSTACK(YES_Writing_ELA[#Data],YES_Writing_FLA[#Data]),MATCH($A293,_xlfn.VSTACK(YES_Writing_ELA[Student Number],YES_Writing_FLA[Student Number]),0),MATCH(VLOOKUP(E$7,'Writing Logic'!$J$7:$K$11,2,FALSE)&amp;" - Per "&amp;VLOOKUP($C$4,'Writing Logic'!$G$8:$H$14,2,FALSE),YES_Writing_ELA[#Headers],0))=0,"",INDEX(_xlfn.VSTACK(YES_Writing_ELA[#Data],YES_Writing_FLA[#Data]),MATCH($A293,_xlfn.VSTACK(YES_Writing_ELA[Student Number],YES_Writing_FLA[Student Number]),0),MATCH(VLOOKUP(E$7,'Writing Logic'!$J$7:$K$11,2,FALSE)&amp;" - Per "&amp;VLOOKUP($C$4,'Writing Logic'!$G$8:$H$14,2,FALSE),YES_Writing_ELA[#Headers],0)))),"")</f>
        <v/>
      </c>
      <c r="F293" s="138" t="str">
        <f>IFERROR(IF(IF(INDEX(_xlfn.VSTACK(YES_Writing_ELA[#Data],YES_Writing_FLA[#Data]),MATCH($A293,_xlfn.VSTACK(YES_Writing_ELA[Student Number],YES_Writing_FLA[Student Number]),0),MATCH(VLOOKUP(F$7,'Writing Logic'!$J$7:$K$11,2,FALSE)&amp;" - Per "&amp;VLOOKUP($C$4,'Writing Logic'!$G$8:$H$14,2,FALSE),YES_Writing_ELA[#Headers],0))=0,"",INDEX(_xlfn.VSTACK(YES_Writing_ELA[#Data],YES_Writing_FLA[#Data]),MATCH($A293,_xlfn.VSTACK(YES_Writing_ELA[Student Number],YES_Writing_FLA[Student Number]),0),MATCH(VLOOKUP(F$7,'Writing Logic'!$J$7:$K$11,2,FALSE)&amp;" - Per "&amp;VLOOKUP($C$4,'Writing Logic'!$G$8:$H$14,2,FALSE),YES_Writing_ELA[#Headers],0)))="INS",'Writing Logic'!$B$7,IF(INDEX(_xlfn.VSTACK(YES_Writing_ELA[#Data],YES_Writing_FLA[#Data]),MATCH($A293,_xlfn.VSTACK(YES_Writing_ELA[Student Number],YES_Writing_FLA[Student Number]),0),MATCH(VLOOKUP(F$7,'Writing Logic'!$J$7:$K$11,2,FALSE)&amp;" - Per "&amp;VLOOKUP($C$4,'Writing Logic'!$G$8:$H$14,2,FALSE),YES_Writing_ELA[#Headers],0))=0,"",INDEX(_xlfn.VSTACK(YES_Writing_ELA[#Data],YES_Writing_FLA[#Data]),MATCH($A293,_xlfn.VSTACK(YES_Writing_ELA[Student Number],YES_Writing_FLA[Student Number]),0),MATCH(VLOOKUP(F$7,'Writing Logic'!$J$7:$K$11,2,FALSE)&amp;" - Per "&amp;VLOOKUP($C$4,'Writing Logic'!$G$8:$H$14,2,FALSE),YES_Writing_ELA[#Headers],0)))),"")</f>
        <v/>
      </c>
      <c r="G293" s="138" t="str">
        <f>IFERROR(IF(IF(INDEX(_xlfn.VSTACK(YES_Writing_ELA[#Data],YES_Writing_FLA[#Data]),MATCH($A293,_xlfn.VSTACK(YES_Writing_ELA[Student Number],YES_Writing_FLA[Student Number]),0),MATCH(VLOOKUP(G$7,'Writing Logic'!$J$7:$K$11,2,FALSE)&amp;" - Per "&amp;VLOOKUP($C$4,'Writing Logic'!$G$8:$H$14,2,FALSE),YES_Writing_ELA[#Headers],0))=0,"",INDEX(_xlfn.VSTACK(YES_Writing_ELA[#Data],YES_Writing_FLA[#Data]),MATCH($A293,_xlfn.VSTACK(YES_Writing_ELA[Student Number],YES_Writing_FLA[Student Number]),0),MATCH(VLOOKUP(G$7,'Writing Logic'!$J$7:$K$11,2,FALSE)&amp;" - Per "&amp;VLOOKUP($C$4,'Writing Logic'!$G$8:$H$14,2,FALSE),YES_Writing_ELA[#Headers],0)))="INS",'Writing Logic'!$B$7,IF(INDEX(_xlfn.VSTACK(YES_Writing_ELA[#Data],YES_Writing_FLA[#Data]),MATCH($A293,_xlfn.VSTACK(YES_Writing_ELA[Student Number],YES_Writing_FLA[Student Number]),0),MATCH(VLOOKUP(G$7,'Writing Logic'!$J$7:$K$11,2,FALSE)&amp;" - Per "&amp;VLOOKUP($C$4,'Writing Logic'!$G$8:$H$14,2,FALSE),YES_Writing_ELA[#Headers],0))=0,"",INDEX(_xlfn.VSTACK(YES_Writing_ELA[#Data],YES_Writing_FLA[#Data]),MATCH($A293,_xlfn.VSTACK(YES_Writing_ELA[Student Number],YES_Writing_FLA[Student Number]),0),MATCH(VLOOKUP(G$7,'Writing Logic'!$J$7:$K$11,2,FALSE)&amp;" - Per "&amp;VLOOKUP($C$4,'Writing Logic'!$G$8:$H$14,2,FALSE),YES_Writing_ELA[#Headers],0)))),"")</f>
        <v/>
      </c>
      <c r="H293" s="223" t="str">
        <f>IFERROR(IF(IF(INDEX(_xlfn.VSTACK(YES_Writing_ELA[#Data],YES_Writing_FLA[#Data]),MATCH($A293,_xlfn.VSTACK(YES_Writing_ELA[Student Number],YES_Writing_FLA[Student Number]),0),MATCH(VLOOKUP(H$7,'Writing Logic'!$J$7:$K$11,2,FALSE)&amp;" - Per "&amp;VLOOKUP($C$4,'Writing Logic'!$G$8:$H$14,2,FALSE),YES_Writing_ELA[#Headers],0))=0,"",INDEX(_xlfn.VSTACK(YES_Writing_ELA[#Data],YES_Writing_FLA[#Data]),MATCH($A293,_xlfn.VSTACK(YES_Writing_ELA[Student Number],YES_Writing_FLA[Student Number]),0),MATCH(VLOOKUP(H$7,'Writing Logic'!$J$7:$K$11,2,FALSE)&amp;" - Per "&amp;VLOOKUP($C$4,'Writing Logic'!$G$8:$H$14,2,FALSE),YES_Writing_ELA[#Headers],0)))="INS",'Writing Logic'!$B$7,IF(INDEX(_xlfn.VSTACK(YES_Writing_ELA[#Data],YES_Writing_FLA[#Data]),MATCH($A293,_xlfn.VSTACK(YES_Writing_ELA[Student Number],YES_Writing_FLA[Student Number]),0),MATCH(VLOOKUP(H$7,'Writing Logic'!$J$7:$K$11,2,FALSE)&amp;" - Per "&amp;VLOOKUP($C$4,'Writing Logic'!$G$8:$H$14,2,FALSE),YES_Writing_ELA[#Headers],0))=0,"",INDEX(_xlfn.VSTACK(YES_Writing_ELA[#Data],YES_Writing_FLA[#Data]),MATCH($A293,_xlfn.VSTACK(YES_Writing_ELA[Student Number],YES_Writing_FLA[Student Number]),0),MATCH(VLOOKUP(H$7,'Writing Logic'!$J$7:$K$11,2,FALSE)&amp;" - Per "&amp;VLOOKUP($C$4,'Writing Logic'!$G$8:$H$14,2,FALSE),YES_Writing_ELA[#Headers],0)))),"")</f>
        <v/>
      </c>
      <c r="I293" s="224" t="str" cm="1">
        <f t="array" aca="1" ref="I293" ca="1">IFERROR(
IF($G$3="ELA",
IF(VLOOKUP($A293, YES_Reading_ELA[], COLUMN(INDIRECT("YES_Reading_ELA[Difference - Per "&amp;VLOOKUP($G$4, 'Reading Report Logic'!$A$2:$B$8, 2, FALSE)&amp;"]")), FALSE)="", "",
VLOOKUP($A293,YES_Reading_ELA[], COLUMN(INDIRECT("YES_Reading_ELA[Difference - Per "&amp;VLOOKUP($G$4,'Reading Report Logic'!$A$2:$B$8,2,FALSE)&amp;"]")), FALSE)),
IF($G$3="FLA",
IF(VLOOKUP($A293, YES_Reading_FLA[], COLUMN(INDIRECT("YES_Reading_FLA[Difference - Per "&amp;VLOOKUP($G$4,'Reading Report Logic'!$A$2:$B$8,2,FALSE)&amp;"]")),FALSE)="","",
VLOOKUP($A293,YES_Reading_FLA[],COLUMN(INDIRECT("YES_Reading_FLA[Difference - Per "&amp;VLOOKUP($G$4,'Reading Report Logic'!$A$2:$B$8,2,FALSE)&amp;"]")),FALSE)),
IF($G$3="Combined",
IFERROR(
IF(VLOOKUP($A293, YES_Reading_ELA[], COLUMN(INDIRECT("YES_Reading_ELA[Difference - Per "&amp;VLOOKUP($G$4, 'Reading Report Logic'!$A$2:$B$8,2,FALSE)&amp;"]")), FALSE)="", "",
VLOOKUP($A293,YES_Reading_ELA[],COLUMN(INDIRECT("YES_Reading_ELA[Difference - Per "&amp;VLOOKUP($G$4,'Reading Report Logic'!$A$2:$B$8,2,FALSE)&amp;"]")),FALSE)),
IF(VLOOKUP($A293, YES_Reading_FLA[], COLUMN(INDIRECT("YES_Reading_FLA[Difference - Per "&amp;VLOOKUP($G$4, 'Reading Report Logic'!$A$2:$B$8, 2, FALSE)&amp;"]")),FALSE)="", "", VLOOKUP($A293,YES_Reading_FLA[],COLUMN(INDIRECT("YES_Reading_FLA[Difference - Per "&amp;VLOOKUP($G$4, 'Reading Report Logic'!$A$2:$B$8, 2, FALSE)&amp;"]")),FALSE))),""))),"")</f>
        <v/>
      </c>
    </row>
    <row r="294" spans="1:9" x14ac:dyDescent="0.25">
      <c r="A294" s="137"/>
      <c r="B294" s="137" t="str">
        <f>IFERROR(INDEX(_xlfn.VSTACK(YES_Writing_ELA[#Data], YES_Writing_FLA[#Data]),MATCH($A294,_xlfn.VSTACK(YES_Writing_ELA[Student Number], YES_Writing_FLA[Student Number]),0),MATCH(B$7,YES_Writing_ELA[#Headers],0)),IFERROR(INDEX(_xlfn.VSTACK(YES_Reading_ELA[#Data], YES_Reading_FLA[#Data]),MATCH($A294,_xlfn.VSTACK(YES_Reading_ELA[Student Number], YES_Reading_FLA[Student Number]),0),MATCH(B$7,YES_Reading_ELA[#Headers],0)),""))</f>
        <v/>
      </c>
      <c r="C294" s="137" t="str">
        <f>IFERROR(INDEX(_xlfn.VSTACK(YES_Writing_ELA[#Data], YES_Writing_FLA[#Data]),MATCH($A294,_xlfn.VSTACK(YES_Writing_ELA[Student Number], YES_Writing_FLA[Student Number]),0),MATCH(C$7,YES_Writing_ELA[#Headers],0)),IFERROR(INDEX(_xlfn.VSTACK(YES_Reading_ELA[#Data], YES_Reading_FLA[#Data]),MATCH($A294,_xlfn.VSTACK(YES_Reading_ELA[Student Number], YES_Reading_FLA[Student Number]),0),MATCH(C$7,YES_Reading_ELA[#Headers],0)),""))</f>
        <v/>
      </c>
      <c r="D294" s="138" t="str">
        <f>IFERROR(IF(IF(INDEX(_xlfn.VSTACK(YES_Writing_ELA[#Data],YES_Writing_FLA[#Data]),MATCH($A294,_xlfn.VSTACK(YES_Writing_ELA[Student Number],YES_Writing_FLA[Student Number]),0),MATCH(VLOOKUP(D$7,'Writing Logic'!$J$7:$K$11,2,FALSE)&amp;" - Per "&amp;VLOOKUP($C$4,'Writing Logic'!$G$8:$H$14,2,FALSE),YES_Writing_ELA[#Headers],0))=0,"",INDEX(_xlfn.VSTACK(YES_Writing_ELA[#Data],YES_Writing_FLA[#Data]),MATCH($A294,_xlfn.VSTACK(YES_Writing_ELA[Student Number],YES_Writing_FLA[Student Number]),0),MATCH(VLOOKUP(D$7,'Writing Logic'!$J$7:$K$11,2,FALSE)&amp;" - Per "&amp;VLOOKUP($C$4,'Writing Logic'!$G$8:$H$14,2,FALSE),YES_Writing_ELA[#Headers],0)))="INS",'Writing Logic'!$B$7,IF(INDEX(_xlfn.VSTACK(YES_Writing_ELA[#Data],YES_Writing_FLA[#Data]),MATCH($A294,_xlfn.VSTACK(YES_Writing_ELA[Student Number],YES_Writing_FLA[Student Number]),0),MATCH(VLOOKUP(D$7,'Writing Logic'!$J$7:$K$11,2,FALSE)&amp;" - Per "&amp;VLOOKUP($C$4,'Writing Logic'!$G$8:$H$14,2,FALSE),YES_Writing_ELA[#Headers],0))=0,"",INDEX(_xlfn.VSTACK(YES_Writing_ELA[#Data],YES_Writing_FLA[#Data]),MATCH($A294,_xlfn.VSTACK(YES_Writing_ELA[Student Number],YES_Writing_FLA[Student Number]),0),MATCH(VLOOKUP(D$7,'Writing Logic'!$J$7:$K$11,2,FALSE)&amp;" - Per "&amp;VLOOKUP($C$4,'Writing Logic'!$G$8:$H$14,2,FALSE),YES_Writing_ELA[#Headers],0)))),"")</f>
        <v/>
      </c>
      <c r="E294" s="138" t="str">
        <f>IFERROR(IF(IF(INDEX(_xlfn.VSTACK(YES_Writing_ELA[#Data],YES_Writing_FLA[#Data]),MATCH($A294,_xlfn.VSTACK(YES_Writing_ELA[Student Number],YES_Writing_FLA[Student Number]),0),MATCH(VLOOKUP(E$7,'Writing Logic'!$J$7:$K$11,2,FALSE)&amp;" - Per "&amp;VLOOKUP($C$4,'Writing Logic'!$G$8:$H$14,2,FALSE),YES_Writing_ELA[#Headers],0))=0,"",INDEX(_xlfn.VSTACK(YES_Writing_ELA[#Data],YES_Writing_FLA[#Data]),MATCH($A294,_xlfn.VSTACK(YES_Writing_ELA[Student Number],YES_Writing_FLA[Student Number]),0),MATCH(VLOOKUP(E$7,'Writing Logic'!$J$7:$K$11,2,FALSE)&amp;" - Per "&amp;VLOOKUP($C$4,'Writing Logic'!$G$8:$H$14,2,FALSE),YES_Writing_ELA[#Headers],0)))="INS",'Writing Logic'!$B$7,IF(INDEX(_xlfn.VSTACK(YES_Writing_ELA[#Data],YES_Writing_FLA[#Data]),MATCH($A294,_xlfn.VSTACK(YES_Writing_ELA[Student Number],YES_Writing_FLA[Student Number]),0),MATCH(VLOOKUP(E$7,'Writing Logic'!$J$7:$K$11,2,FALSE)&amp;" - Per "&amp;VLOOKUP($C$4,'Writing Logic'!$G$8:$H$14,2,FALSE),YES_Writing_ELA[#Headers],0))=0,"",INDEX(_xlfn.VSTACK(YES_Writing_ELA[#Data],YES_Writing_FLA[#Data]),MATCH($A294,_xlfn.VSTACK(YES_Writing_ELA[Student Number],YES_Writing_FLA[Student Number]),0),MATCH(VLOOKUP(E$7,'Writing Logic'!$J$7:$K$11,2,FALSE)&amp;" - Per "&amp;VLOOKUP($C$4,'Writing Logic'!$G$8:$H$14,2,FALSE),YES_Writing_ELA[#Headers],0)))),"")</f>
        <v/>
      </c>
      <c r="F294" s="138" t="str">
        <f>IFERROR(IF(IF(INDEX(_xlfn.VSTACK(YES_Writing_ELA[#Data],YES_Writing_FLA[#Data]),MATCH($A294,_xlfn.VSTACK(YES_Writing_ELA[Student Number],YES_Writing_FLA[Student Number]),0),MATCH(VLOOKUP(F$7,'Writing Logic'!$J$7:$K$11,2,FALSE)&amp;" - Per "&amp;VLOOKUP($C$4,'Writing Logic'!$G$8:$H$14,2,FALSE),YES_Writing_ELA[#Headers],0))=0,"",INDEX(_xlfn.VSTACK(YES_Writing_ELA[#Data],YES_Writing_FLA[#Data]),MATCH($A294,_xlfn.VSTACK(YES_Writing_ELA[Student Number],YES_Writing_FLA[Student Number]),0),MATCH(VLOOKUP(F$7,'Writing Logic'!$J$7:$K$11,2,FALSE)&amp;" - Per "&amp;VLOOKUP($C$4,'Writing Logic'!$G$8:$H$14,2,FALSE),YES_Writing_ELA[#Headers],0)))="INS",'Writing Logic'!$B$7,IF(INDEX(_xlfn.VSTACK(YES_Writing_ELA[#Data],YES_Writing_FLA[#Data]),MATCH($A294,_xlfn.VSTACK(YES_Writing_ELA[Student Number],YES_Writing_FLA[Student Number]),0),MATCH(VLOOKUP(F$7,'Writing Logic'!$J$7:$K$11,2,FALSE)&amp;" - Per "&amp;VLOOKUP($C$4,'Writing Logic'!$G$8:$H$14,2,FALSE),YES_Writing_ELA[#Headers],0))=0,"",INDEX(_xlfn.VSTACK(YES_Writing_ELA[#Data],YES_Writing_FLA[#Data]),MATCH($A294,_xlfn.VSTACK(YES_Writing_ELA[Student Number],YES_Writing_FLA[Student Number]),0),MATCH(VLOOKUP(F$7,'Writing Logic'!$J$7:$K$11,2,FALSE)&amp;" - Per "&amp;VLOOKUP($C$4,'Writing Logic'!$G$8:$H$14,2,FALSE),YES_Writing_ELA[#Headers],0)))),"")</f>
        <v/>
      </c>
      <c r="G294" s="138" t="str">
        <f>IFERROR(IF(IF(INDEX(_xlfn.VSTACK(YES_Writing_ELA[#Data],YES_Writing_FLA[#Data]),MATCH($A294,_xlfn.VSTACK(YES_Writing_ELA[Student Number],YES_Writing_FLA[Student Number]),0),MATCH(VLOOKUP(G$7,'Writing Logic'!$J$7:$K$11,2,FALSE)&amp;" - Per "&amp;VLOOKUP($C$4,'Writing Logic'!$G$8:$H$14,2,FALSE),YES_Writing_ELA[#Headers],0))=0,"",INDEX(_xlfn.VSTACK(YES_Writing_ELA[#Data],YES_Writing_FLA[#Data]),MATCH($A294,_xlfn.VSTACK(YES_Writing_ELA[Student Number],YES_Writing_FLA[Student Number]),0),MATCH(VLOOKUP(G$7,'Writing Logic'!$J$7:$K$11,2,FALSE)&amp;" - Per "&amp;VLOOKUP($C$4,'Writing Logic'!$G$8:$H$14,2,FALSE),YES_Writing_ELA[#Headers],0)))="INS",'Writing Logic'!$B$7,IF(INDEX(_xlfn.VSTACK(YES_Writing_ELA[#Data],YES_Writing_FLA[#Data]),MATCH($A294,_xlfn.VSTACK(YES_Writing_ELA[Student Number],YES_Writing_FLA[Student Number]),0),MATCH(VLOOKUP(G$7,'Writing Logic'!$J$7:$K$11,2,FALSE)&amp;" - Per "&amp;VLOOKUP($C$4,'Writing Logic'!$G$8:$H$14,2,FALSE),YES_Writing_ELA[#Headers],0))=0,"",INDEX(_xlfn.VSTACK(YES_Writing_ELA[#Data],YES_Writing_FLA[#Data]),MATCH($A294,_xlfn.VSTACK(YES_Writing_ELA[Student Number],YES_Writing_FLA[Student Number]),0),MATCH(VLOOKUP(G$7,'Writing Logic'!$J$7:$K$11,2,FALSE)&amp;" - Per "&amp;VLOOKUP($C$4,'Writing Logic'!$G$8:$H$14,2,FALSE),YES_Writing_ELA[#Headers],0)))),"")</f>
        <v/>
      </c>
      <c r="H294" s="223" t="str">
        <f>IFERROR(IF(IF(INDEX(_xlfn.VSTACK(YES_Writing_ELA[#Data],YES_Writing_FLA[#Data]),MATCH($A294,_xlfn.VSTACK(YES_Writing_ELA[Student Number],YES_Writing_FLA[Student Number]),0),MATCH(VLOOKUP(H$7,'Writing Logic'!$J$7:$K$11,2,FALSE)&amp;" - Per "&amp;VLOOKUP($C$4,'Writing Logic'!$G$8:$H$14,2,FALSE),YES_Writing_ELA[#Headers],0))=0,"",INDEX(_xlfn.VSTACK(YES_Writing_ELA[#Data],YES_Writing_FLA[#Data]),MATCH($A294,_xlfn.VSTACK(YES_Writing_ELA[Student Number],YES_Writing_FLA[Student Number]),0),MATCH(VLOOKUP(H$7,'Writing Logic'!$J$7:$K$11,2,FALSE)&amp;" - Per "&amp;VLOOKUP($C$4,'Writing Logic'!$G$8:$H$14,2,FALSE),YES_Writing_ELA[#Headers],0)))="INS",'Writing Logic'!$B$7,IF(INDEX(_xlfn.VSTACK(YES_Writing_ELA[#Data],YES_Writing_FLA[#Data]),MATCH($A294,_xlfn.VSTACK(YES_Writing_ELA[Student Number],YES_Writing_FLA[Student Number]),0),MATCH(VLOOKUP(H$7,'Writing Logic'!$J$7:$K$11,2,FALSE)&amp;" - Per "&amp;VLOOKUP($C$4,'Writing Logic'!$G$8:$H$14,2,FALSE),YES_Writing_ELA[#Headers],0))=0,"",INDEX(_xlfn.VSTACK(YES_Writing_ELA[#Data],YES_Writing_FLA[#Data]),MATCH($A294,_xlfn.VSTACK(YES_Writing_ELA[Student Number],YES_Writing_FLA[Student Number]),0),MATCH(VLOOKUP(H$7,'Writing Logic'!$J$7:$K$11,2,FALSE)&amp;" - Per "&amp;VLOOKUP($C$4,'Writing Logic'!$G$8:$H$14,2,FALSE),YES_Writing_ELA[#Headers],0)))),"")</f>
        <v/>
      </c>
      <c r="I294" s="224" t="str" cm="1">
        <f t="array" aca="1" ref="I294" ca="1">IFERROR(
IF($G$3="ELA",
IF(VLOOKUP($A294, YES_Reading_ELA[], COLUMN(INDIRECT("YES_Reading_ELA[Difference - Per "&amp;VLOOKUP($G$4, 'Reading Report Logic'!$A$2:$B$8, 2, FALSE)&amp;"]")), FALSE)="", "",
VLOOKUP($A294,YES_Reading_ELA[], COLUMN(INDIRECT("YES_Reading_ELA[Difference - Per "&amp;VLOOKUP($G$4,'Reading Report Logic'!$A$2:$B$8,2,FALSE)&amp;"]")), FALSE)),
IF($G$3="FLA",
IF(VLOOKUP($A294, YES_Reading_FLA[], COLUMN(INDIRECT("YES_Reading_FLA[Difference - Per "&amp;VLOOKUP($G$4,'Reading Report Logic'!$A$2:$B$8,2,FALSE)&amp;"]")),FALSE)="","",
VLOOKUP($A294,YES_Reading_FLA[],COLUMN(INDIRECT("YES_Reading_FLA[Difference - Per "&amp;VLOOKUP($G$4,'Reading Report Logic'!$A$2:$B$8,2,FALSE)&amp;"]")),FALSE)),
IF($G$3="Combined",
IFERROR(
IF(VLOOKUP($A294, YES_Reading_ELA[], COLUMN(INDIRECT("YES_Reading_ELA[Difference - Per "&amp;VLOOKUP($G$4, 'Reading Report Logic'!$A$2:$B$8,2,FALSE)&amp;"]")), FALSE)="", "",
VLOOKUP($A294,YES_Reading_ELA[],COLUMN(INDIRECT("YES_Reading_ELA[Difference - Per "&amp;VLOOKUP($G$4,'Reading Report Logic'!$A$2:$B$8,2,FALSE)&amp;"]")),FALSE)),
IF(VLOOKUP($A294, YES_Reading_FLA[], COLUMN(INDIRECT("YES_Reading_FLA[Difference - Per "&amp;VLOOKUP($G$4, 'Reading Report Logic'!$A$2:$B$8, 2, FALSE)&amp;"]")),FALSE)="", "", VLOOKUP($A294,YES_Reading_FLA[],COLUMN(INDIRECT("YES_Reading_FLA[Difference - Per "&amp;VLOOKUP($G$4, 'Reading Report Logic'!$A$2:$B$8, 2, FALSE)&amp;"]")),FALSE))),""))),"")</f>
        <v/>
      </c>
    </row>
    <row r="295" spans="1:9" x14ac:dyDescent="0.25">
      <c r="A295" s="137"/>
      <c r="B295" s="137" t="str">
        <f>IFERROR(INDEX(_xlfn.VSTACK(YES_Writing_ELA[#Data], YES_Writing_FLA[#Data]),MATCH($A295,_xlfn.VSTACK(YES_Writing_ELA[Student Number], YES_Writing_FLA[Student Number]),0),MATCH(B$7,YES_Writing_ELA[#Headers],0)),IFERROR(INDEX(_xlfn.VSTACK(YES_Reading_ELA[#Data], YES_Reading_FLA[#Data]),MATCH($A295,_xlfn.VSTACK(YES_Reading_ELA[Student Number], YES_Reading_FLA[Student Number]),0),MATCH(B$7,YES_Reading_ELA[#Headers],0)),""))</f>
        <v/>
      </c>
      <c r="C295" s="137" t="str">
        <f>IFERROR(INDEX(_xlfn.VSTACK(YES_Writing_ELA[#Data], YES_Writing_FLA[#Data]),MATCH($A295,_xlfn.VSTACK(YES_Writing_ELA[Student Number], YES_Writing_FLA[Student Number]),0),MATCH(C$7,YES_Writing_ELA[#Headers],0)),IFERROR(INDEX(_xlfn.VSTACK(YES_Reading_ELA[#Data], YES_Reading_FLA[#Data]),MATCH($A295,_xlfn.VSTACK(YES_Reading_ELA[Student Number], YES_Reading_FLA[Student Number]),0),MATCH(C$7,YES_Reading_ELA[#Headers],0)),""))</f>
        <v/>
      </c>
      <c r="D295" s="138" t="str">
        <f>IFERROR(IF(IF(INDEX(_xlfn.VSTACK(YES_Writing_ELA[#Data],YES_Writing_FLA[#Data]),MATCH($A295,_xlfn.VSTACK(YES_Writing_ELA[Student Number],YES_Writing_FLA[Student Number]),0),MATCH(VLOOKUP(D$7,'Writing Logic'!$J$7:$K$11,2,FALSE)&amp;" - Per "&amp;VLOOKUP($C$4,'Writing Logic'!$G$8:$H$14,2,FALSE),YES_Writing_ELA[#Headers],0))=0,"",INDEX(_xlfn.VSTACK(YES_Writing_ELA[#Data],YES_Writing_FLA[#Data]),MATCH($A295,_xlfn.VSTACK(YES_Writing_ELA[Student Number],YES_Writing_FLA[Student Number]),0),MATCH(VLOOKUP(D$7,'Writing Logic'!$J$7:$K$11,2,FALSE)&amp;" - Per "&amp;VLOOKUP($C$4,'Writing Logic'!$G$8:$H$14,2,FALSE),YES_Writing_ELA[#Headers],0)))="INS",'Writing Logic'!$B$7,IF(INDEX(_xlfn.VSTACK(YES_Writing_ELA[#Data],YES_Writing_FLA[#Data]),MATCH($A295,_xlfn.VSTACK(YES_Writing_ELA[Student Number],YES_Writing_FLA[Student Number]),0),MATCH(VLOOKUP(D$7,'Writing Logic'!$J$7:$K$11,2,FALSE)&amp;" - Per "&amp;VLOOKUP($C$4,'Writing Logic'!$G$8:$H$14,2,FALSE),YES_Writing_ELA[#Headers],0))=0,"",INDEX(_xlfn.VSTACK(YES_Writing_ELA[#Data],YES_Writing_FLA[#Data]),MATCH($A295,_xlfn.VSTACK(YES_Writing_ELA[Student Number],YES_Writing_FLA[Student Number]),0),MATCH(VLOOKUP(D$7,'Writing Logic'!$J$7:$K$11,2,FALSE)&amp;" - Per "&amp;VLOOKUP($C$4,'Writing Logic'!$G$8:$H$14,2,FALSE),YES_Writing_ELA[#Headers],0)))),"")</f>
        <v/>
      </c>
      <c r="E295" s="138" t="str">
        <f>IFERROR(IF(IF(INDEX(_xlfn.VSTACK(YES_Writing_ELA[#Data],YES_Writing_FLA[#Data]),MATCH($A295,_xlfn.VSTACK(YES_Writing_ELA[Student Number],YES_Writing_FLA[Student Number]),0),MATCH(VLOOKUP(E$7,'Writing Logic'!$J$7:$K$11,2,FALSE)&amp;" - Per "&amp;VLOOKUP($C$4,'Writing Logic'!$G$8:$H$14,2,FALSE),YES_Writing_ELA[#Headers],0))=0,"",INDEX(_xlfn.VSTACK(YES_Writing_ELA[#Data],YES_Writing_FLA[#Data]),MATCH($A295,_xlfn.VSTACK(YES_Writing_ELA[Student Number],YES_Writing_FLA[Student Number]),0),MATCH(VLOOKUP(E$7,'Writing Logic'!$J$7:$K$11,2,FALSE)&amp;" - Per "&amp;VLOOKUP($C$4,'Writing Logic'!$G$8:$H$14,2,FALSE),YES_Writing_ELA[#Headers],0)))="INS",'Writing Logic'!$B$7,IF(INDEX(_xlfn.VSTACK(YES_Writing_ELA[#Data],YES_Writing_FLA[#Data]),MATCH($A295,_xlfn.VSTACK(YES_Writing_ELA[Student Number],YES_Writing_FLA[Student Number]),0),MATCH(VLOOKUP(E$7,'Writing Logic'!$J$7:$K$11,2,FALSE)&amp;" - Per "&amp;VLOOKUP($C$4,'Writing Logic'!$G$8:$H$14,2,FALSE),YES_Writing_ELA[#Headers],0))=0,"",INDEX(_xlfn.VSTACK(YES_Writing_ELA[#Data],YES_Writing_FLA[#Data]),MATCH($A295,_xlfn.VSTACK(YES_Writing_ELA[Student Number],YES_Writing_FLA[Student Number]),0),MATCH(VLOOKUP(E$7,'Writing Logic'!$J$7:$K$11,2,FALSE)&amp;" - Per "&amp;VLOOKUP($C$4,'Writing Logic'!$G$8:$H$14,2,FALSE),YES_Writing_ELA[#Headers],0)))),"")</f>
        <v/>
      </c>
      <c r="F295" s="138" t="str">
        <f>IFERROR(IF(IF(INDEX(_xlfn.VSTACK(YES_Writing_ELA[#Data],YES_Writing_FLA[#Data]),MATCH($A295,_xlfn.VSTACK(YES_Writing_ELA[Student Number],YES_Writing_FLA[Student Number]),0),MATCH(VLOOKUP(F$7,'Writing Logic'!$J$7:$K$11,2,FALSE)&amp;" - Per "&amp;VLOOKUP($C$4,'Writing Logic'!$G$8:$H$14,2,FALSE),YES_Writing_ELA[#Headers],0))=0,"",INDEX(_xlfn.VSTACK(YES_Writing_ELA[#Data],YES_Writing_FLA[#Data]),MATCH($A295,_xlfn.VSTACK(YES_Writing_ELA[Student Number],YES_Writing_FLA[Student Number]),0),MATCH(VLOOKUP(F$7,'Writing Logic'!$J$7:$K$11,2,FALSE)&amp;" - Per "&amp;VLOOKUP($C$4,'Writing Logic'!$G$8:$H$14,2,FALSE),YES_Writing_ELA[#Headers],0)))="INS",'Writing Logic'!$B$7,IF(INDEX(_xlfn.VSTACK(YES_Writing_ELA[#Data],YES_Writing_FLA[#Data]),MATCH($A295,_xlfn.VSTACK(YES_Writing_ELA[Student Number],YES_Writing_FLA[Student Number]),0),MATCH(VLOOKUP(F$7,'Writing Logic'!$J$7:$K$11,2,FALSE)&amp;" - Per "&amp;VLOOKUP($C$4,'Writing Logic'!$G$8:$H$14,2,FALSE),YES_Writing_ELA[#Headers],0))=0,"",INDEX(_xlfn.VSTACK(YES_Writing_ELA[#Data],YES_Writing_FLA[#Data]),MATCH($A295,_xlfn.VSTACK(YES_Writing_ELA[Student Number],YES_Writing_FLA[Student Number]),0),MATCH(VLOOKUP(F$7,'Writing Logic'!$J$7:$K$11,2,FALSE)&amp;" - Per "&amp;VLOOKUP($C$4,'Writing Logic'!$G$8:$H$14,2,FALSE),YES_Writing_ELA[#Headers],0)))),"")</f>
        <v/>
      </c>
      <c r="G295" s="138" t="str">
        <f>IFERROR(IF(IF(INDEX(_xlfn.VSTACK(YES_Writing_ELA[#Data],YES_Writing_FLA[#Data]),MATCH($A295,_xlfn.VSTACK(YES_Writing_ELA[Student Number],YES_Writing_FLA[Student Number]),0),MATCH(VLOOKUP(G$7,'Writing Logic'!$J$7:$K$11,2,FALSE)&amp;" - Per "&amp;VLOOKUP($C$4,'Writing Logic'!$G$8:$H$14,2,FALSE),YES_Writing_ELA[#Headers],0))=0,"",INDEX(_xlfn.VSTACK(YES_Writing_ELA[#Data],YES_Writing_FLA[#Data]),MATCH($A295,_xlfn.VSTACK(YES_Writing_ELA[Student Number],YES_Writing_FLA[Student Number]),0),MATCH(VLOOKUP(G$7,'Writing Logic'!$J$7:$K$11,2,FALSE)&amp;" - Per "&amp;VLOOKUP($C$4,'Writing Logic'!$G$8:$H$14,2,FALSE),YES_Writing_ELA[#Headers],0)))="INS",'Writing Logic'!$B$7,IF(INDEX(_xlfn.VSTACK(YES_Writing_ELA[#Data],YES_Writing_FLA[#Data]),MATCH($A295,_xlfn.VSTACK(YES_Writing_ELA[Student Number],YES_Writing_FLA[Student Number]),0),MATCH(VLOOKUP(G$7,'Writing Logic'!$J$7:$K$11,2,FALSE)&amp;" - Per "&amp;VLOOKUP($C$4,'Writing Logic'!$G$8:$H$14,2,FALSE),YES_Writing_ELA[#Headers],0))=0,"",INDEX(_xlfn.VSTACK(YES_Writing_ELA[#Data],YES_Writing_FLA[#Data]),MATCH($A295,_xlfn.VSTACK(YES_Writing_ELA[Student Number],YES_Writing_FLA[Student Number]),0),MATCH(VLOOKUP(G$7,'Writing Logic'!$J$7:$K$11,2,FALSE)&amp;" - Per "&amp;VLOOKUP($C$4,'Writing Logic'!$G$8:$H$14,2,FALSE),YES_Writing_ELA[#Headers],0)))),"")</f>
        <v/>
      </c>
      <c r="H295" s="223" t="str">
        <f>IFERROR(IF(IF(INDEX(_xlfn.VSTACK(YES_Writing_ELA[#Data],YES_Writing_FLA[#Data]),MATCH($A295,_xlfn.VSTACK(YES_Writing_ELA[Student Number],YES_Writing_FLA[Student Number]),0),MATCH(VLOOKUP(H$7,'Writing Logic'!$J$7:$K$11,2,FALSE)&amp;" - Per "&amp;VLOOKUP($C$4,'Writing Logic'!$G$8:$H$14,2,FALSE),YES_Writing_ELA[#Headers],0))=0,"",INDEX(_xlfn.VSTACK(YES_Writing_ELA[#Data],YES_Writing_FLA[#Data]),MATCH($A295,_xlfn.VSTACK(YES_Writing_ELA[Student Number],YES_Writing_FLA[Student Number]),0),MATCH(VLOOKUP(H$7,'Writing Logic'!$J$7:$K$11,2,FALSE)&amp;" - Per "&amp;VLOOKUP($C$4,'Writing Logic'!$G$8:$H$14,2,FALSE),YES_Writing_ELA[#Headers],0)))="INS",'Writing Logic'!$B$7,IF(INDEX(_xlfn.VSTACK(YES_Writing_ELA[#Data],YES_Writing_FLA[#Data]),MATCH($A295,_xlfn.VSTACK(YES_Writing_ELA[Student Number],YES_Writing_FLA[Student Number]),0),MATCH(VLOOKUP(H$7,'Writing Logic'!$J$7:$K$11,2,FALSE)&amp;" - Per "&amp;VLOOKUP($C$4,'Writing Logic'!$G$8:$H$14,2,FALSE),YES_Writing_ELA[#Headers],0))=0,"",INDEX(_xlfn.VSTACK(YES_Writing_ELA[#Data],YES_Writing_FLA[#Data]),MATCH($A295,_xlfn.VSTACK(YES_Writing_ELA[Student Number],YES_Writing_FLA[Student Number]),0),MATCH(VLOOKUP(H$7,'Writing Logic'!$J$7:$K$11,2,FALSE)&amp;" - Per "&amp;VLOOKUP($C$4,'Writing Logic'!$G$8:$H$14,2,FALSE),YES_Writing_ELA[#Headers],0)))),"")</f>
        <v/>
      </c>
      <c r="I295" s="224" t="str" cm="1">
        <f t="array" aca="1" ref="I295" ca="1">IFERROR(
IF($G$3="ELA",
IF(VLOOKUP($A295, YES_Reading_ELA[], COLUMN(INDIRECT("YES_Reading_ELA[Difference - Per "&amp;VLOOKUP($G$4, 'Reading Report Logic'!$A$2:$B$8, 2, FALSE)&amp;"]")), FALSE)="", "",
VLOOKUP($A295,YES_Reading_ELA[], COLUMN(INDIRECT("YES_Reading_ELA[Difference - Per "&amp;VLOOKUP($G$4,'Reading Report Logic'!$A$2:$B$8,2,FALSE)&amp;"]")), FALSE)),
IF($G$3="FLA",
IF(VLOOKUP($A295, YES_Reading_FLA[], COLUMN(INDIRECT("YES_Reading_FLA[Difference - Per "&amp;VLOOKUP($G$4,'Reading Report Logic'!$A$2:$B$8,2,FALSE)&amp;"]")),FALSE)="","",
VLOOKUP($A295,YES_Reading_FLA[],COLUMN(INDIRECT("YES_Reading_FLA[Difference - Per "&amp;VLOOKUP($G$4,'Reading Report Logic'!$A$2:$B$8,2,FALSE)&amp;"]")),FALSE)),
IF($G$3="Combined",
IFERROR(
IF(VLOOKUP($A295, YES_Reading_ELA[], COLUMN(INDIRECT("YES_Reading_ELA[Difference - Per "&amp;VLOOKUP($G$4, 'Reading Report Logic'!$A$2:$B$8,2,FALSE)&amp;"]")), FALSE)="", "",
VLOOKUP($A295,YES_Reading_ELA[],COLUMN(INDIRECT("YES_Reading_ELA[Difference - Per "&amp;VLOOKUP($G$4,'Reading Report Logic'!$A$2:$B$8,2,FALSE)&amp;"]")),FALSE)),
IF(VLOOKUP($A295, YES_Reading_FLA[], COLUMN(INDIRECT("YES_Reading_FLA[Difference - Per "&amp;VLOOKUP($G$4, 'Reading Report Logic'!$A$2:$B$8, 2, FALSE)&amp;"]")),FALSE)="", "", VLOOKUP($A295,YES_Reading_FLA[],COLUMN(INDIRECT("YES_Reading_FLA[Difference - Per "&amp;VLOOKUP($G$4, 'Reading Report Logic'!$A$2:$B$8, 2, FALSE)&amp;"]")),FALSE))),""))),"")</f>
        <v/>
      </c>
    </row>
    <row r="296" spans="1:9" x14ac:dyDescent="0.25">
      <c r="A296" s="137"/>
      <c r="B296" s="137" t="str">
        <f>IFERROR(INDEX(_xlfn.VSTACK(YES_Writing_ELA[#Data], YES_Writing_FLA[#Data]),MATCH($A296,_xlfn.VSTACK(YES_Writing_ELA[Student Number], YES_Writing_FLA[Student Number]),0),MATCH(B$7,YES_Writing_ELA[#Headers],0)),IFERROR(INDEX(_xlfn.VSTACK(YES_Reading_ELA[#Data], YES_Reading_FLA[#Data]),MATCH($A296,_xlfn.VSTACK(YES_Reading_ELA[Student Number], YES_Reading_FLA[Student Number]),0),MATCH(B$7,YES_Reading_ELA[#Headers],0)),""))</f>
        <v/>
      </c>
      <c r="C296" s="137" t="str">
        <f>IFERROR(INDEX(_xlfn.VSTACK(YES_Writing_ELA[#Data], YES_Writing_FLA[#Data]),MATCH($A296,_xlfn.VSTACK(YES_Writing_ELA[Student Number], YES_Writing_FLA[Student Number]),0),MATCH(C$7,YES_Writing_ELA[#Headers],0)),IFERROR(INDEX(_xlfn.VSTACK(YES_Reading_ELA[#Data], YES_Reading_FLA[#Data]),MATCH($A296,_xlfn.VSTACK(YES_Reading_ELA[Student Number], YES_Reading_FLA[Student Number]),0),MATCH(C$7,YES_Reading_ELA[#Headers],0)),""))</f>
        <v/>
      </c>
      <c r="D296" s="138" t="str">
        <f>IFERROR(IF(IF(INDEX(_xlfn.VSTACK(YES_Writing_ELA[#Data],YES_Writing_FLA[#Data]),MATCH($A296,_xlfn.VSTACK(YES_Writing_ELA[Student Number],YES_Writing_FLA[Student Number]),0),MATCH(VLOOKUP(D$7,'Writing Logic'!$J$7:$K$11,2,FALSE)&amp;" - Per "&amp;VLOOKUP($C$4,'Writing Logic'!$G$8:$H$14,2,FALSE),YES_Writing_ELA[#Headers],0))=0,"",INDEX(_xlfn.VSTACK(YES_Writing_ELA[#Data],YES_Writing_FLA[#Data]),MATCH($A296,_xlfn.VSTACK(YES_Writing_ELA[Student Number],YES_Writing_FLA[Student Number]),0),MATCH(VLOOKUP(D$7,'Writing Logic'!$J$7:$K$11,2,FALSE)&amp;" - Per "&amp;VLOOKUP($C$4,'Writing Logic'!$G$8:$H$14,2,FALSE),YES_Writing_ELA[#Headers],0)))="INS",'Writing Logic'!$B$7,IF(INDEX(_xlfn.VSTACK(YES_Writing_ELA[#Data],YES_Writing_FLA[#Data]),MATCH($A296,_xlfn.VSTACK(YES_Writing_ELA[Student Number],YES_Writing_FLA[Student Number]),0),MATCH(VLOOKUP(D$7,'Writing Logic'!$J$7:$K$11,2,FALSE)&amp;" - Per "&amp;VLOOKUP($C$4,'Writing Logic'!$G$8:$H$14,2,FALSE),YES_Writing_ELA[#Headers],0))=0,"",INDEX(_xlfn.VSTACK(YES_Writing_ELA[#Data],YES_Writing_FLA[#Data]),MATCH($A296,_xlfn.VSTACK(YES_Writing_ELA[Student Number],YES_Writing_FLA[Student Number]),0),MATCH(VLOOKUP(D$7,'Writing Logic'!$J$7:$K$11,2,FALSE)&amp;" - Per "&amp;VLOOKUP($C$4,'Writing Logic'!$G$8:$H$14,2,FALSE),YES_Writing_ELA[#Headers],0)))),"")</f>
        <v/>
      </c>
      <c r="E296" s="138" t="str">
        <f>IFERROR(IF(IF(INDEX(_xlfn.VSTACK(YES_Writing_ELA[#Data],YES_Writing_FLA[#Data]),MATCH($A296,_xlfn.VSTACK(YES_Writing_ELA[Student Number],YES_Writing_FLA[Student Number]),0),MATCH(VLOOKUP(E$7,'Writing Logic'!$J$7:$K$11,2,FALSE)&amp;" - Per "&amp;VLOOKUP($C$4,'Writing Logic'!$G$8:$H$14,2,FALSE),YES_Writing_ELA[#Headers],0))=0,"",INDEX(_xlfn.VSTACK(YES_Writing_ELA[#Data],YES_Writing_FLA[#Data]),MATCH($A296,_xlfn.VSTACK(YES_Writing_ELA[Student Number],YES_Writing_FLA[Student Number]),0),MATCH(VLOOKUP(E$7,'Writing Logic'!$J$7:$K$11,2,FALSE)&amp;" - Per "&amp;VLOOKUP($C$4,'Writing Logic'!$G$8:$H$14,2,FALSE),YES_Writing_ELA[#Headers],0)))="INS",'Writing Logic'!$B$7,IF(INDEX(_xlfn.VSTACK(YES_Writing_ELA[#Data],YES_Writing_FLA[#Data]),MATCH($A296,_xlfn.VSTACK(YES_Writing_ELA[Student Number],YES_Writing_FLA[Student Number]),0),MATCH(VLOOKUP(E$7,'Writing Logic'!$J$7:$K$11,2,FALSE)&amp;" - Per "&amp;VLOOKUP($C$4,'Writing Logic'!$G$8:$H$14,2,FALSE),YES_Writing_ELA[#Headers],0))=0,"",INDEX(_xlfn.VSTACK(YES_Writing_ELA[#Data],YES_Writing_FLA[#Data]),MATCH($A296,_xlfn.VSTACK(YES_Writing_ELA[Student Number],YES_Writing_FLA[Student Number]),0),MATCH(VLOOKUP(E$7,'Writing Logic'!$J$7:$K$11,2,FALSE)&amp;" - Per "&amp;VLOOKUP($C$4,'Writing Logic'!$G$8:$H$14,2,FALSE),YES_Writing_ELA[#Headers],0)))),"")</f>
        <v/>
      </c>
      <c r="F296" s="138" t="str">
        <f>IFERROR(IF(IF(INDEX(_xlfn.VSTACK(YES_Writing_ELA[#Data],YES_Writing_FLA[#Data]),MATCH($A296,_xlfn.VSTACK(YES_Writing_ELA[Student Number],YES_Writing_FLA[Student Number]),0),MATCH(VLOOKUP(F$7,'Writing Logic'!$J$7:$K$11,2,FALSE)&amp;" - Per "&amp;VLOOKUP($C$4,'Writing Logic'!$G$8:$H$14,2,FALSE),YES_Writing_ELA[#Headers],0))=0,"",INDEX(_xlfn.VSTACK(YES_Writing_ELA[#Data],YES_Writing_FLA[#Data]),MATCH($A296,_xlfn.VSTACK(YES_Writing_ELA[Student Number],YES_Writing_FLA[Student Number]),0),MATCH(VLOOKUP(F$7,'Writing Logic'!$J$7:$K$11,2,FALSE)&amp;" - Per "&amp;VLOOKUP($C$4,'Writing Logic'!$G$8:$H$14,2,FALSE),YES_Writing_ELA[#Headers],0)))="INS",'Writing Logic'!$B$7,IF(INDEX(_xlfn.VSTACK(YES_Writing_ELA[#Data],YES_Writing_FLA[#Data]),MATCH($A296,_xlfn.VSTACK(YES_Writing_ELA[Student Number],YES_Writing_FLA[Student Number]),0),MATCH(VLOOKUP(F$7,'Writing Logic'!$J$7:$K$11,2,FALSE)&amp;" - Per "&amp;VLOOKUP($C$4,'Writing Logic'!$G$8:$H$14,2,FALSE),YES_Writing_ELA[#Headers],0))=0,"",INDEX(_xlfn.VSTACK(YES_Writing_ELA[#Data],YES_Writing_FLA[#Data]),MATCH($A296,_xlfn.VSTACK(YES_Writing_ELA[Student Number],YES_Writing_FLA[Student Number]),0),MATCH(VLOOKUP(F$7,'Writing Logic'!$J$7:$K$11,2,FALSE)&amp;" - Per "&amp;VLOOKUP($C$4,'Writing Logic'!$G$8:$H$14,2,FALSE),YES_Writing_ELA[#Headers],0)))),"")</f>
        <v/>
      </c>
      <c r="G296" s="138" t="str">
        <f>IFERROR(IF(IF(INDEX(_xlfn.VSTACK(YES_Writing_ELA[#Data],YES_Writing_FLA[#Data]),MATCH($A296,_xlfn.VSTACK(YES_Writing_ELA[Student Number],YES_Writing_FLA[Student Number]),0),MATCH(VLOOKUP(G$7,'Writing Logic'!$J$7:$K$11,2,FALSE)&amp;" - Per "&amp;VLOOKUP($C$4,'Writing Logic'!$G$8:$H$14,2,FALSE),YES_Writing_ELA[#Headers],0))=0,"",INDEX(_xlfn.VSTACK(YES_Writing_ELA[#Data],YES_Writing_FLA[#Data]),MATCH($A296,_xlfn.VSTACK(YES_Writing_ELA[Student Number],YES_Writing_FLA[Student Number]),0),MATCH(VLOOKUP(G$7,'Writing Logic'!$J$7:$K$11,2,FALSE)&amp;" - Per "&amp;VLOOKUP($C$4,'Writing Logic'!$G$8:$H$14,2,FALSE),YES_Writing_ELA[#Headers],0)))="INS",'Writing Logic'!$B$7,IF(INDEX(_xlfn.VSTACK(YES_Writing_ELA[#Data],YES_Writing_FLA[#Data]),MATCH($A296,_xlfn.VSTACK(YES_Writing_ELA[Student Number],YES_Writing_FLA[Student Number]),0),MATCH(VLOOKUP(G$7,'Writing Logic'!$J$7:$K$11,2,FALSE)&amp;" - Per "&amp;VLOOKUP($C$4,'Writing Logic'!$G$8:$H$14,2,FALSE),YES_Writing_ELA[#Headers],0))=0,"",INDEX(_xlfn.VSTACK(YES_Writing_ELA[#Data],YES_Writing_FLA[#Data]),MATCH($A296,_xlfn.VSTACK(YES_Writing_ELA[Student Number],YES_Writing_FLA[Student Number]),0),MATCH(VLOOKUP(G$7,'Writing Logic'!$J$7:$K$11,2,FALSE)&amp;" - Per "&amp;VLOOKUP($C$4,'Writing Logic'!$G$8:$H$14,2,FALSE),YES_Writing_ELA[#Headers],0)))),"")</f>
        <v/>
      </c>
      <c r="H296" s="223" t="str">
        <f>IFERROR(IF(IF(INDEX(_xlfn.VSTACK(YES_Writing_ELA[#Data],YES_Writing_FLA[#Data]),MATCH($A296,_xlfn.VSTACK(YES_Writing_ELA[Student Number],YES_Writing_FLA[Student Number]),0),MATCH(VLOOKUP(H$7,'Writing Logic'!$J$7:$K$11,2,FALSE)&amp;" - Per "&amp;VLOOKUP($C$4,'Writing Logic'!$G$8:$H$14,2,FALSE),YES_Writing_ELA[#Headers],0))=0,"",INDEX(_xlfn.VSTACK(YES_Writing_ELA[#Data],YES_Writing_FLA[#Data]),MATCH($A296,_xlfn.VSTACK(YES_Writing_ELA[Student Number],YES_Writing_FLA[Student Number]),0),MATCH(VLOOKUP(H$7,'Writing Logic'!$J$7:$K$11,2,FALSE)&amp;" - Per "&amp;VLOOKUP($C$4,'Writing Logic'!$G$8:$H$14,2,FALSE),YES_Writing_ELA[#Headers],0)))="INS",'Writing Logic'!$B$7,IF(INDEX(_xlfn.VSTACK(YES_Writing_ELA[#Data],YES_Writing_FLA[#Data]),MATCH($A296,_xlfn.VSTACK(YES_Writing_ELA[Student Number],YES_Writing_FLA[Student Number]),0),MATCH(VLOOKUP(H$7,'Writing Logic'!$J$7:$K$11,2,FALSE)&amp;" - Per "&amp;VLOOKUP($C$4,'Writing Logic'!$G$8:$H$14,2,FALSE),YES_Writing_ELA[#Headers],0))=0,"",INDEX(_xlfn.VSTACK(YES_Writing_ELA[#Data],YES_Writing_FLA[#Data]),MATCH($A296,_xlfn.VSTACK(YES_Writing_ELA[Student Number],YES_Writing_FLA[Student Number]),0),MATCH(VLOOKUP(H$7,'Writing Logic'!$J$7:$K$11,2,FALSE)&amp;" - Per "&amp;VLOOKUP($C$4,'Writing Logic'!$G$8:$H$14,2,FALSE),YES_Writing_ELA[#Headers],0)))),"")</f>
        <v/>
      </c>
      <c r="I296" s="224" t="str" cm="1">
        <f t="array" aca="1" ref="I296" ca="1">IFERROR(
IF($G$3="ELA",
IF(VLOOKUP($A296, YES_Reading_ELA[], COLUMN(INDIRECT("YES_Reading_ELA[Difference - Per "&amp;VLOOKUP($G$4, 'Reading Report Logic'!$A$2:$B$8, 2, FALSE)&amp;"]")), FALSE)="", "",
VLOOKUP($A296,YES_Reading_ELA[], COLUMN(INDIRECT("YES_Reading_ELA[Difference - Per "&amp;VLOOKUP($G$4,'Reading Report Logic'!$A$2:$B$8,2,FALSE)&amp;"]")), FALSE)),
IF($G$3="FLA",
IF(VLOOKUP($A296, YES_Reading_FLA[], COLUMN(INDIRECT("YES_Reading_FLA[Difference - Per "&amp;VLOOKUP($G$4,'Reading Report Logic'!$A$2:$B$8,2,FALSE)&amp;"]")),FALSE)="","",
VLOOKUP($A296,YES_Reading_FLA[],COLUMN(INDIRECT("YES_Reading_FLA[Difference - Per "&amp;VLOOKUP($G$4,'Reading Report Logic'!$A$2:$B$8,2,FALSE)&amp;"]")),FALSE)),
IF($G$3="Combined",
IFERROR(
IF(VLOOKUP($A296, YES_Reading_ELA[], COLUMN(INDIRECT("YES_Reading_ELA[Difference - Per "&amp;VLOOKUP($G$4, 'Reading Report Logic'!$A$2:$B$8,2,FALSE)&amp;"]")), FALSE)="", "",
VLOOKUP($A296,YES_Reading_ELA[],COLUMN(INDIRECT("YES_Reading_ELA[Difference - Per "&amp;VLOOKUP($G$4,'Reading Report Logic'!$A$2:$B$8,2,FALSE)&amp;"]")),FALSE)),
IF(VLOOKUP($A296, YES_Reading_FLA[], COLUMN(INDIRECT("YES_Reading_FLA[Difference - Per "&amp;VLOOKUP($G$4, 'Reading Report Logic'!$A$2:$B$8, 2, FALSE)&amp;"]")),FALSE)="", "", VLOOKUP($A296,YES_Reading_FLA[],COLUMN(INDIRECT("YES_Reading_FLA[Difference - Per "&amp;VLOOKUP($G$4, 'Reading Report Logic'!$A$2:$B$8, 2, FALSE)&amp;"]")),FALSE))),""))),"")</f>
        <v/>
      </c>
    </row>
    <row r="297" spans="1:9" x14ac:dyDescent="0.25">
      <c r="A297" s="137"/>
      <c r="B297" s="137" t="str">
        <f>IFERROR(INDEX(_xlfn.VSTACK(YES_Writing_ELA[#Data], YES_Writing_FLA[#Data]),MATCH($A297,_xlfn.VSTACK(YES_Writing_ELA[Student Number], YES_Writing_FLA[Student Number]),0),MATCH(B$7,YES_Writing_ELA[#Headers],0)),IFERROR(INDEX(_xlfn.VSTACK(YES_Reading_ELA[#Data], YES_Reading_FLA[#Data]),MATCH($A297,_xlfn.VSTACK(YES_Reading_ELA[Student Number], YES_Reading_FLA[Student Number]),0),MATCH(B$7,YES_Reading_ELA[#Headers],0)),""))</f>
        <v/>
      </c>
      <c r="C297" s="137" t="str">
        <f>IFERROR(INDEX(_xlfn.VSTACK(YES_Writing_ELA[#Data], YES_Writing_FLA[#Data]),MATCH($A297,_xlfn.VSTACK(YES_Writing_ELA[Student Number], YES_Writing_FLA[Student Number]),0),MATCH(C$7,YES_Writing_ELA[#Headers],0)),IFERROR(INDEX(_xlfn.VSTACK(YES_Reading_ELA[#Data], YES_Reading_FLA[#Data]),MATCH($A297,_xlfn.VSTACK(YES_Reading_ELA[Student Number], YES_Reading_FLA[Student Number]),0),MATCH(C$7,YES_Reading_ELA[#Headers],0)),""))</f>
        <v/>
      </c>
      <c r="D297" s="138" t="str">
        <f>IFERROR(IF(IF(INDEX(_xlfn.VSTACK(YES_Writing_ELA[#Data],YES_Writing_FLA[#Data]),MATCH($A297,_xlfn.VSTACK(YES_Writing_ELA[Student Number],YES_Writing_FLA[Student Number]),0),MATCH(VLOOKUP(D$7,'Writing Logic'!$J$7:$K$11,2,FALSE)&amp;" - Per "&amp;VLOOKUP($C$4,'Writing Logic'!$G$8:$H$14,2,FALSE),YES_Writing_ELA[#Headers],0))=0,"",INDEX(_xlfn.VSTACK(YES_Writing_ELA[#Data],YES_Writing_FLA[#Data]),MATCH($A297,_xlfn.VSTACK(YES_Writing_ELA[Student Number],YES_Writing_FLA[Student Number]),0),MATCH(VLOOKUP(D$7,'Writing Logic'!$J$7:$K$11,2,FALSE)&amp;" - Per "&amp;VLOOKUP($C$4,'Writing Logic'!$G$8:$H$14,2,FALSE),YES_Writing_ELA[#Headers],0)))="INS",'Writing Logic'!$B$7,IF(INDEX(_xlfn.VSTACK(YES_Writing_ELA[#Data],YES_Writing_FLA[#Data]),MATCH($A297,_xlfn.VSTACK(YES_Writing_ELA[Student Number],YES_Writing_FLA[Student Number]),0),MATCH(VLOOKUP(D$7,'Writing Logic'!$J$7:$K$11,2,FALSE)&amp;" - Per "&amp;VLOOKUP($C$4,'Writing Logic'!$G$8:$H$14,2,FALSE),YES_Writing_ELA[#Headers],0))=0,"",INDEX(_xlfn.VSTACK(YES_Writing_ELA[#Data],YES_Writing_FLA[#Data]),MATCH($A297,_xlfn.VSTACK(YES_Writing_ELA[Student Number],YES_Writing_FLA[Student Number]),0),MATCH(VLOOKUP(D$7,'Writing Logic'!$J$7:$K$11,2,FALSE)&amp;" - Per "&amp;VLOOKUP($C$4,'Writing Logic'!$G$8:$H$14,2,FALSE),YES_Writing_ELA[#Headers],0)))),"")</f>
        <v/>
      </c>
      <c r="E297" s="138" t="str">
        <f>IFERROR(IF(IF(INDEX(_xlfn.VSTACK(YES_Writing_ELA[#Data],YES_Writing_FLA[#Data]),MATCH($A297,_xlfn.VSTACK(YES_Writing_ELA[Student Number],YES_Writing_FLA[Student Number]),0),MATCH(VLOOKUP(E$7,'Writing Logic'!$J$7:$K$11,2,FALSE)&amp;" - Per "&amp;VLOOKUP($C$4,'Writing Logic'!$G$8:$H$14,2,FALSE),YES_Writing_ELA[#Headers],0))=0,"",INDEX(_xlfn.VSTACK(YES_Writing_ELA[#Data],YES_Writing_FLA[#Data]),MATCH($A297,_xlfn.VSTACK(YES_Writing_ELA[Student Number],YES_Writing_FLA[Student Number]),0),MATCH(VLOOKUP(E$7,'Writing Logic'!$J$7:$K$11,2,FALSE)&amp;" - Per "&amp;VLOOKUP($C$4,'Writing Logic'!$G$8:$H$14,2,FALSE),YES_Writing_ELA[#Headers],0)))="INS",'Writing Logic'!$B$7,IF(INDEX(_xlfn.VSTACK(YES_Writing_ELA[#Data],YES_Writing_FLA[#Data]),MATCH($A297,_xlfn.VSTACK(YES_Writing_ELA[Student Number],YES_Writing_FLA[Student Number]),0),MATCH(VLOOKUP(E$7,'Writing Logic'!$J$7:$K$11,2,FALSE)&amp;" - Per "&amp;VLOOKUP($C$4,'Writing Logic'!$G$8:$H$14,2,FALSE),YES_Writing_ELA[#Headers],0))=0,"",INDEX(_xlfn.VSTACK(YES_Writing_ELA[#Data],YES_Writing_FLA[#Data]),MATCH($A297,_xlfn.VSTACK(YES_Writing_ELA[Student Number],YES_Writing_FLA[Student Number]),0),MATCH(VLOOKUP(E$7,'Writing Logic'!$J$7:$K$11,2,FALSE)&amp;" - Per "&amp;VLOOKUP($C$4,'Writing Logic'!$G$8:$H$14,2,FALSE),YES_Writing_ELA[#Headers],0)))),"")</f>
        <v/>
      </c>
      <c r="F297" s="138" t="str">
        <f>IFERROR(IF(IF(INDEX(_xlfn.VSTACK(YES_Writing_ELA[#Data],YES_Writing_FLA[#Data]),MATCH($A297,_xlfn.VSTACK(YES_Writing_ELA[Student Number],YES_Writing_FLA[Student Number]),0),MATCH(VLOOKUP(F$7,'Writing Logic'!$J$7:$K$11,2,FALSE)&amp;" - Per "&amp;VLOOKUP($C$4,'Writing Logic'!$G$8:$H$14,2,FALSE),YES_Writing_ELA[#Headers],0))=0,"",INDEX(_xlfn.VSTACK(YES_Writing_ELA[#Data],YES_Writing_FLA[#Data]),MATCH($A297,_xlfn.VSTACK(YES_Writing_ELA[Student Number],YES_Writing_FLA[Student Number]),0),MATCH(VLOOKUP(F$7,'Writing Logic'!$J$7:$K$11,2,FALSE)&amp;" - Per "&amp;VLOOKUP($C$4,'Writing Logic'!$G$8:$H$14,2,FALSE),YES_Writing_ELA[#Headers],0)))="INS",'Writing Logic'!$B$7,IF(INDEX(_xlfn.VSTACK(YES_Writing_ELA[#Data],YES_Writing_FLA[#Data]),MATCH($A297,_xlfn.VSTACK(YES_Writing_ELA[Student Number],YES_Writing_FLA[Student Number]),0),MATCH(VLOOKUP(F$7,'Writing Logic'!$J$7:$K$11,2,FALSE)&amp;" - Per "&amp;VLOOKUP($C$4,'Writing Logic'!$G$8:$H$14,2,FALSE),YES_Writing_ELA[#Headers],0))=0,"",INDEX(_xlfn.VSTACK(YES_Writing_ELA[#Data],YES_Writing_FLA[#Data]),MATCH($A297,_xlfn.VSTACK(YES_Writing_ELA[Student Number],YES_Writing_FLA[Student Number]),0),MATCH(VLOOKUP(F$7,'Writing Logic'!$J$7:$K$11,2,FALSE)&amp;" - Per "&amp;VLOOKUP($C$4,'Writing Logic'!$G$8:$H$14,2,FALSE),YES_Writing_ELA[#Headers],0)))),"")</f>
        <v/>
      </c>
      <c r="G297" s="138" t="str">
        <f>IFERROR(IF(IF(INDEX(_xlfn.VSTACK(YES_Writing_ELA[#Data],YES_Writing_FLA[#Data]),MATCH($A297,_xlfn.VSTACK(YES_Writing_ELA[Student Number],YES_Writing_FLA[Student Number]),0),MATCH(VLOOKUP(G$7,'Writing Logic'!$J$7:$K$11,2,FALSE)&amp;" - Per "&amp;VLOOKUP($C$4,'Writing Logic'!$G$8:$H$14,2,FALSE),YES_Writing_ELA[#Headers],0))=0,"",INDEX(_xlfn.VSTACK(YES_Writing_ELA[#Data],YES_Writing_FLA[#Data]),MATCH($A297,_xlfn.VSTACK(YES_Writing_ELA[Student Number],YES_Writing_FLA[Student Number]),0),MATCH(VLOOKUP(G$7,'Writing Logic'!$J$7:$K$11,2,FALSE)&amp;" - Per "&amp;VLOOKUP($C$4,'Writing Logic'!$G$8:$H$14,2,FALSE),YES_Writing_ELA[#Headers],0)))="INS",'Writing Logic'!$B$7,IF(INDEX(_xlfn.VSTACK(YES_Writing_ELA[#Data],YES_Writing_FLA[#Data]),MATCH($A297,_xlfn.VSTACK(YES_Writing_ELA[Student Number],YES_Writing_FLA[Student Number]),0),MATCH(VLOOKUP(G$7,'Writing Logic'!$J$7:$K$11,2,FALSE)&amp;" - Per "&amp;VLOOKUP($C$4,'Writing Logic'!$G$8:$H$14,2,FALSE),YES_Writing_ELA[#Headers],0))=0,"",INDEX(_xlfn.VSTACK(YES_Writing_ELA[#Data],YES_Writing_FLA[#Data]),MATCH($A297,_xlfn.VSTACK(YES_Writing_ELA[Student Number],YES_Writing_FLA[Student Number]),0),MATCH(VLOOKUP(G$7,'Writing Logic'!$J$7:$K$11,2,FALSE)&amp;" - Per "&amp;VLOOKUP($C$4,'Writing Logic'!$G$8:$H$14,2,FALSE),YES_Writing_ELA[#Headers],0)))),"")</f>
        <v/>
      </c>
      <c r="H297" s="223" t="str">
        <f>IFERROR(IF(IF(INDEX(_xlfn.VSTACK(YES_Writing_ELA[#Data],YES_Writing_FLA[#Data]),MATCH($A297,_xlfn.VSTACK(YES_Writing_ELA[Student Number],YES_Writing_FLA[Student Number]),0),MATCH(VLOOKUP(H$7,'Writing Logic'!$J$7:$K$11,2,FALSE)&amp;" - Per "&amp;VLOOKUP($C$4,'Writing Logic'!$G$8:$H$14,2,FALSE),YES_Writing_ELA[#Headers],0))=0,"",INDEX(_xlfn.VSTACK(YES_Writing_ELA[#Data],YES_Writing_FLA[#Data]),MATCH($A297,_xlfn.VSTACK(YES_Writing_ELA[Student Number],YES_Writing_FLA[Student Number]),0),MATCH(VLOOKUP(H$7,'Writing Logic'!$J$7:$K$11,2,FALSE)&amp;" - Per "&amp;VLOOKUP($C$4,'Writing Logic'!$G$8:$H$14,2,FALSE),YES_Writing_ELA[#Headers],0)))="INS",'Writing Logic'!$B$7,IF(INDEX(_xlfn.VSTACK(YES_Writing_ELA[#Data],YES_Writing_FLA[#Data]),MATCH($A297,_xlfn.VSTACK(YES_Writing_ELA[Student Number],YES_Writing_FLA[Student Number]),0),MATCH(VLOOKUP(H$7,'Writing Logic'!$J$7:$K$11,2,FALSE)&amp;" - Per "&amp;VLOOKUP($C$4,'Writing Logic'!$G$8:$H$14,2,FALSE),YES_Writing_ELA[#Headers],0))=0,"",INDEX(_xlfn.VSTACK(YES_Writing_ELA[#Data],YES_Writing_FLA[#Data]),MATCH($A297,_xlfn.VSTACK(YES_Writing_ELA[Student Number],YES_Writing_FLA[Student Number]),0),MATCH(VLOOKUP(H$7,'Writing Logic'!$J$7:$K$11,2,FALSE)&amp;" - Per "&amp;VLOOKUP($C$4,'Writing Logic'!$G$8:$H$14,2,FALSE),YES_Writing_ELA[#Headers],0)))),"")</f>
        <v/>
      </c>
      <c r="I297" s="224" t="str" cm="1">
        <f t="array" aca="1" ref="I297" ca="1">IFERROR(
IF($G$3="ELA",
IF(VLOOKUP($A297, YES_Reading_ELA[], COLUMN(INDIRECT("YES_Reading_ELA[Difference - Per "&amp;VLOOKUP($G$4, 'Reading Report Logic'!$A$2:$B$8, 2, FALSE)&amp;"]")), FALSE)="", "",
VLOOKUP($A297,YES_Reading_ELA[], COLUMN(INDIRECT("YES_Reading_ELA[Difference - Per "&amp;VLOOKUP($G$4,'Reading Report Logic'!$A$2:$B$8,2,FALSE)&amp;"]")), FALSE)),
IF($G$3="FLA",
IF(VLOOKUP($A297, YES_Reading_FLA[], COLUMN(INDIRECT("YES_Reading_FLA[Difference - Per "&amp;VLOOKUP($G$4,'Reading Report Logic'!$A$2:$B$8,2,FALSE)&amp;"]")),FALSE)="","",
VLOOKUP($A297,YES_Reading_FLA[],COLUMN(INDIRECT("YES_Reading_FLA[Difference - Per "&amp;VLOOKUP($G$4,'Reading Report Logic'!$A$2:$B$8,2,FALSE)&amp;"]")),FALSE)),
IF($G$3="Combined",
IFERROR(
IF(VLOOKUP($A297, YES_Reading_ELA[], COLUMN(INDIRECT("YES_Reading_ELA[Difference - Per "&amp;VLOOKUP($G$4, 'Reading Report Logic'!$A$2:$B$8,2,FALSE)&amp;"]")), FALSE)="", "",
VLOOKUP($A297,YES_Reading_ELA[],COLUMN(INDIRECT("YES_Reading_ELA[Difference - Per "&amp;VLOOKUP($G$4,'Reading Report Logic'!$A$2:$B$8,2,FALSE)&amp;"]")),FALSE)),
IF(VLOOKUP($A297, YES_Reading_FLA[], COLUMN(INDIRECT("YES_Reading_FLA[Difference - Per "&amp;VLOOKUP($G$4, 'Reading Report Logic'!$A$2:$B$8, 2, FALSE)&amp;"]")),FALSE)="", "", VLOOKUP($A297,YES_Reading_FLA[],COLUMN(INDIRECT("YES_Reading_FLA[Difference - Per "&amp;VLOOKUP($G$4, 'Reading Report Logic'!$A$2:$B$8, 2, FALSE)&amp;"]")),FALSE))),""))),"")</f>
        <v/>
      </c>
    </row>
    <row r="298" spans="1:9" x14ac:dyDescent="0.25">
      <c r="A298" s="137"/>
      <c r="B298" s="137" t="str">
        <f>IFERROR(INDEX(_xlfn.VSTACK(YES_Writing_ELA[#Data], YES_Writing_FLA[#Data]),MATCH($A298,_xlfn.VSTACK(YES_Writing_ELA[Student Number], YES_Writing_FLA[Student Number]),0),MATCH(B$7,YES_Writing_ELA[#Headers],0)),IFERROR(INDEX(_xlfn.VSTACK(YES_Reading_ELA[#Data], YES_Reading_FLA[#Data]),MATCH($A298,_xlfn.VSTACK(YES_Reading_ELA[Student Number], YES_Reading_FLA[Student Number]),0),MATCH(B$7,YES_Reading_ELA[#Headers],0)),""))</f>
        <v/>
      </c>
      <c r="C298" s="137" t="str">
        <f>IFERROR(INDEX(_xlfn.VSTACK(YES_Writing_ELA[#Data], YES_Writing_FLA[#Data]),MATCH($A298,_xlfn.VSTACK(YES_Writing_ELA[Student Number], YES_Writing_FLA[Student Number]),0),MATCH(C$7,YES_Writing_ELA[#Headers],0)),IFERROR(INDEX(_xlfn.VSTACK(YES_Reading_ELA[#Data], YES_Reading_FLA[#Data]),MATCH($A298,_xlfn.VSTACK(YES_Reading_ELA[Student Number], YES_Reading_FLA[Student Number]),0),MATCH(C$7,YES_Reading_ELA[#Headers],0)),""))</f>
        <v/>
      </c>
      <c r="D298" s="138" t="str">
        <f>IFERROR(IF(IF(INDEX(_xlfn.VSTACK(YES_Writing_ELA[#Data],YES_Writing_FLA[#Data]),MATCH($A298,_xlfn.VSTACK(YES_Writing_ELA[Student Number],YES_Writing_FLA[Student Number]),0),MATCH(VLOOKUP(D$7,'Writing Logic'!$J$7:$K$11,2,FALSE)&amp;" - Per "&amp;VLOOKUP($C$4,'Writing Logic'!$G$8:$H$14,2,FALSE),YES_Writing_ELA[#Headers],0))=0,"",INDEX(_xlfn.VSTACK(YES_Writing_ELA[#Data],YES_Writing_FLA[#Data]),MATCH($A298,_xlfn.VSTACK(YES_Writing_ELA[Student Number],YES_Writing_FLA[Student Number]),0),MATCH(VLOOKUP(D$7,'Writing Logic'!$J$7:$K$11,2,FALSE)&amp;" - Per "&amp;VLOOKUP($C$4,'Writing Logic'!$G$8:$H$14,2,FALSE),YES_Writing_ELA[#Headers],0)))="INS",'Writing Logic'!$B$7,IF(INDEX(_xlfn.VSTACK(YES_Writing_ELA[#Data],YES_Writing_FLA[#Data]),MATCH($A298,_xlfn.VSTACK(YES_Writing_ELA[Student Number],YES_Writing_FLA[Student Number]),0),MATCH(VLOOKUP(D$7,'Writing Logic'!$J$7:$K$11,2,FALSE)&amp;" - Per "&amp;VLOOKUP($C$4,'Writing Logic'!$G$8:$H$14,2,FALSE),YES_Writing_ELA[#Headers],0))=0,"",INDEX(_xlfn.VSTACK(YES_Writing_ELA[#Data],YES_Writing_FLA[#Data]),MATCH($A298,_xlfn.VSTACK(YES_Writing_ELA[Student Number],YES_Writing_FLA[Student Number]),0),MATCH(VLOOKUP(D$7,'Writing Logic'!$J$7:$K$11,2,FALSE)&amp;" - Per "&amp;VLOOKUP($C$4,'Writing Logic'!$G$8:$H$14,2,FALSE),YES_Writing_ELA[#Headers],0)))),"")</f>
        <v/>
      </c>
      <c r="E298" s="138" t="str">
        <f>IFERROR(IF(IF(INDEX(_xlfn.VSTACK(YES_Writing_ELA[#Data],YES_Writing_FLA[#Data]),MATCH($A298,_xlfn.VSTACK(YES_Writing_ELA[Student Number],YES_Writing_FLA[Student Number]),0),MATCH(VLOOKUP(E$7,'Writing Logic'!$J$7:$K$11,2,FALSE)&amp;" - Per "&amp;VLOOKUP($C$4,'Writing Logic'!$G$8:$H$14,2,FALSE),YES_Writing_ELA[#Headers],0))=0,"",INDEX(_xlfn.VSTACK(YES_Writing_ELA[#Data],YES_Writing_FLA[#Data]),MATCH($A298,_xlfn.VSTACK(YES_Writing_ELA[Student Number],YES_Writing_FLA[Student Number]),0),MATCH(VLOOKUP(E$7,'Writing Logic'!$J$7:$K$11,2,FALSE)&amp;" - Per "&amp;VLOOKUP($C$4,'Writing Logic'!$G$8:$H$14,2,FALSE),YES_Writing_ELA[#Headers],0)))="INS",'Writing Logic'!$B$7,IF(INDEX(_xlfn.VSTACK(YES_Writing_ELA[#Data],YES_Writing_FLA[#Data]),MATCH($A298,_xlfn.VSTACK(YES_Writing_ELA[Student Number],YES_Writing_FLA[Student Number]),0),MATCH(VLOOKUP(E$7,'Writing Logic'!$J$7:$K$11,2,FALSE)&amp;" - Per "&amp;VLOOKUP($C$4,'Writing Logic'!$G$8:$H$14,2,FALSE),YES_Writing_ELA[#Headers],0))=0,"",INDEX(_xlfn.VSTACK(YES_Writing_ELA[#Data],YES_Writing_FLA[#Data]),MATCH($A298,_xlfn.VSTACK(YES_Writing_ELA[Student Number],YES_Writing_FLA[Student Number]),0),MATCH(VLOOKUP(E$7,'Writing Logic'!$J$7:$K$11,2,FALSE)&amp;" - Per "&amp;VLOOKUP($C$4,'Writing Logic'!$G$8:$H$14,2,FALSE),YES_Writing_ELA[#Headers],0)))),"")</f>
        <v/>
      </c>
      <c r="F298" s="138" t="str">
        <f>IFERROR(IF(IF(INDEX(_xlfn.VSTACK(YES_Writing_ELA[#Data],YES_Writing_FLA[#Data]),MATCH($A298,_xlfn.VSTACK(YES_Writing_ELA[Student Number],YES_Writing_FLA[Student Number]),0),MATCH(VLOOKUP(F$7,'Writing Logic'!$J$7:$K$11,2,FALSE)&amp;" - Per "&amp;VLOOKUP($C$4,'Writing Logic'!$G$8:$H$14,2,FALSE),YES_Writing_ELA[#Headers],0))=0,"",INDEX(_xlfn.VSTACK(YES_Writing_ELA[#Data],YES_Writing_FLA[#Data]),MATCH($A298,_xlfn.VSTACK(YES_Writing_ELA[Student Number],YES_Writing_FLA[Student Number]),0),MATCH(VLOOKUP(F$7,'Writing Logic'!$J$7:$K$11,2,FALSE)&amp;" - Per "&amp;VLOOKUP($C$4,'Writing Logic'!$G$8:$H$14,2,FALSE),YES_Writing_ELA[#Headers],0)))="INS",'Writing Logic'!$B$7,IF(INDEX(_xlfn.VSTACK(YES_Writing_ELA[#Data],YES_Writing_FLA[#Data]),MATCH($A298,_xlfn.VSTACK(YES_Writing_ELA[Student Number],YES_Writing_FLA[Student Number]),0),MATCH(VLOOKUP(F$7,'Writing Logic'!$J$7:$K$11,2,FALSE)&amp;" - Per "&amp;VLOOKUP($C$4,'Writing Logic'!$G$8:$H$14,2,FALSE),YES_Writing_ELA[#Headers],0))=0,"",INDEX(_xlfn.VSTACK(YES_Writing_ELA[#Data],YES_Writing_FLA[#Data]),MATCH($A298,_xlfn.VSTACK(YES_Writing_ELA[Student Number],YES_Writing_FLA[Student Number]),0),MATCH(VLOOKUP(F$7,'Writing Logic'!$J$7:$K$11,2,FALSE)&amp;" - Per "&amp;VLOOKUP($C$4,'Writing Logic'!$G$8:$H$14,2,FALSE),YES_Writing_ELA[#Headers],0)))),"")</f>
        <v/>
      </c>
      <c r="G298" s="138" t="str">
        <f>IFERROR(IF(IF(INDEX(_xlfn.VSTACK(YES_Writing_ELA[#Data],YES_Writing_FLA[#Data]),MATCH($A298,_xlfn.VSTACK(YES_Writing_ELA[Student Number],YES_Writing_FLA[Student Number]),0),MATCH(VLOOKUP(G$7,'Writing Logic'!$J$7:$K$11,2,FALSE)&amp;" - Per "&amp;VLOOKUP($C$4,'Writing Logic'!$G$8:$H$14,2,FALSE),YES_Writing_ELA[#Headers],0))=0,"",INDEX(_xlfn.VSTACK(YES_Writing_ELA[#Data],YES_Writing_FLA[#Data]),MATCH($A298,_xlfn.VSTACK(YES_Writing_ELA[Student Number],YES_Writing_FLA[Student Number]),0),MATCH(VLOOKUP(G$7,'Writing Logic'!$J$7:$K$11,2,FALSE)&amp;" - Per "&amp;VLOOKUP($C$4,'Writing Logic'!$G$8:$H$14,2,FALSE),YES_Writing_ELA[#Headers],0)))="INS",'Writing Logic'!$B$7,IF(INDEX(_xlfn.VSTACK(YES_Writing_ELA[#Data],YES_Writing_FLA[#Data]),MATCH($A298,_xlfn.VSTACK(YES_Writing_ELA[Student Number],YES_Writing_FLA[Student Number]),0),MATCH(VLOOKUP(G$7,'Writing Logic'!$J$7:$K$11,2,FALSE)&amp;" - Per "&amp;VLOOKUP($C$4,'Writing Logic'!$G$8:$H$14,2,FALSE),YES_Writing_ELA[#Headers],0))=0,"",INDEX(_xlfn.VSTACK(YES_Writing_ELA[#Data],YES_Writing_FLA[#Data]),MATCH($A298,_xlfn.VSTACK(YES_Writing_ELA[Student Number],YES_Writing_FLA[Student Number]),0),MATCH(VLOOKUP(G$7,'Writing Logic'!$J$7:$K$11,2,FALSE)&amp;" - Per "&amp;VLOOKUP($C$4,'Writing Logic'!$G$8:$H$14,2,FALSE),YES_Writing_ELA[#Headers],0)))),"")</f>
        <v/>
      </c>
      <c r="H298" s="223" t="str">
        <f>IFERROR(IF(IF(INDEX(_xlfn.VSTACK(YES_Writing_ELA[#Data],YES_Writing_FLA[#Data]),MATCH($A298,_xlfn.VSTACK(YES_Writing_ELA[Student Number],YES_Writing_FLA[Student Number]),0),MATCH(VLOOKUP(H$7,'Writing Logic'!$J$7:$K$11,2,FALSE)&amp;" - Per "&amp;VLOOKUP($C$4,'Writing Logic'!$G$8:$H$14,2,FALSE),YES_Writing_ELA[#Headers],0))=0,"",INDEX(_xlfn.VSTACK(YES_Writing_ELA[#Data],YES_Writing_FLA[#Data]),MATCH($A298,_xlfn.VSTACK(YES_Writing_ELA[Student Number],YES_Writing_FLA[Student Number]),0),MATCH(VLOOKUP(H$7,'Writing Logic'!$J$7:$K$11,2,FALSE)&amp;" - Per "&amp;VLOOKUP($C$4,'Writing Logic'!$G$8:$H$14,2,FALSE),YES_Writing_ELA[#Headers],0)))="INS",'Writing Logic'!$B$7,IF(INDEX(_xlfn.VSTACK(YES_Writing_ELA[#Data],YES_Writing_FLA[#Data]),MATCH($A298,_xlfn.VSTACK(YES_Writing_ELA[Student Number],YES_Writing_FLA[Student Number]),0),MATCH(VLOOKUP(H$7,'Writing Logic'!$J$7:$K$11,2,FALSE)&amp;" - Per "&amp;VLOOKUP($C$4,'Writing Logic'!$G$8:$H$14,2,FALSE),YES_Writing_ELA[#Headers],0))=0,"",INDEX(_xlfn.VSTACK(YES_Writing_ELA[#Data],YES_Writing_FLA[#Data]),MATCH($A298,_xlfn.VSTACK(YES_Writing_ELA[Student Number],YES_Writing_FLA[Student Number]),0),MATCH(VLOOKUP(H$7,'Writing Logic'!$J$7:$K$11,2,FALSE)&amp;" - Per "&amp;VLOOKUP($C$4,'Writing Logic'!$G$8:$H$14,2,FALSE),YES_Writing_ELA[#Headers],0)))),"")</f>
        <v/>
      </c>
      <c r="I298" s="224" t="str" cm="1">
        <f t="array" aca="1" ref="I298" ca="1">IFERROR(
IF($G$3="ELA",
IF(VLOOKUP($A298, YES_Reading_ELA[], COLUMN(INDIRECT("YES_Reading_ELA[Difference - Per "&amp;VLOOKUP($G$4, 'Reading Report Logic'!$A$2:$B$8, 2, FALSE)&amp;"]")), FALSE)="", "",
VLOOKUP($A298,YES_Reading_ELA[], COLUMN(INDIRECT("YES_Reading_ELA[Difference - Per "&amp;VLOOKUP($G$4,'Reading Report Logic'!$A$2:$B$8,2,FALSE)&amp;"]")), FALSE)),
IF($G$3="FLA",
IF(VLOOKUP($A298, YES_Reading_FLA[], COLUMN(INDIRECT("YES_Reading_FLA[Difference - Per "&amp;VLOOKUP($G$4,'Reading Report Logic'!$A$2:$B$8,2,FALSE)&amp;"]")),FALSE)="","",
VLOOKUP($A298,YES_Reading_FLA[],COLUMN(INDIRECT("YES_Reading_FLA[Difference - Per "&amp;VLOOKUP($G$4,'Reading Report Logic'!$A$2:$B$8,2,FALSE)&amp;"]")),FALSE)),
IF($G$3="Combined",
IFERROR(
IF(VLOOKUP($A298, YES_Reading_ELA[], COLUMN(INDIRECT("YES_Reading_ELA[Difference - Per "&amp;VLOOKUP($G$4, 'Reading Report Logic'!$A$2:$B$8,2,FALSE)&amp;"]")), FALSE)="", "",
VLOOKUP($A298,YES_Reading_ELA[],COLUMN(INDIRECT("YES_Reading_ELA[Difference - Per "&amp;VLOOKUP($G$4,'Reading Report Logic'!$A$2:$B$8,2,FALSE)&amp;"]")),FALSE)),
IF(VLOOKUP($A298, YES_Reading_FLA[], COLUMN(INDIRECT("YES_Reading_FLA[Difference - Per "&amp;VLOOKUP($G$4, 'Reading Report Logic'!$A$2:$B$8, 2, FALSE)&amp;"]")),FALSE)="", "", VLOOKUP($A298,YES_Reading_FLA[],COLUMN(INDIRECT("YES_Reading_FLA[Difference - Per "&amp;VLOOKUP($G$4, 'Reading Report Logic'!$A$2:$B$8, 2, FALSE)&amp;"]")),FALSE))),""))),"")</f>
        <v/>
      </c>
    </row>
    <row r="299" spans="1:9" x14ac:dyDescent="0.25">
      <c r="A299" s="137"/>
      <c r="B299" s="137" t="str">
        <f>IFERROR(INDEX(_xlfn.VSTACK(YES_Writing_ELA[#Data], YES_Writing_FLA[#Data]),MATCH($A299,_xlfn.VSTACK(YES_Writing_ELA[Student Number], YES_Writing_FLA[Student Number]),0),MATCH(B$7,YES_Writing_ELA[#Headers],0)),IFERROR(INDEX(_xlfn.VSTACK(YES_Reading_ELA[#Data], YES_Reading_FLA[#Data]),MATCH($A299,_xlfn.VSTACK(YES_Reading_ELA[Student Number], YES_Reading_FLA[Student Number]),0),MATCH(B$7,YES_Reading_ELA[#Headers],0)),""))</f>
        <v/>
      </c>
      <c r="C299" s="137" t="str">
        <f>IFERROR(INDEX(_xlfn.VSTACK(YES_Writing_ELA[#Data], YES_Writing_FLA[#Data]),MATCH($A299,_xlfn.VSTACK(YES_Writing_ELA[Student Number], YES_Writing_FLA[Student Number]),0),MATCH(C$7,YES_Writing_ELA[#Headers],0)),IFERROR(INDEX(_xlfn.VSTACK(YES_Reading_ELA[#Data], YES_Reading_FLA[#Data]),MATCH($A299,_xlfn.VSTACK(YES_Reading_ELA[Student Number], YES_Reading_FLA[Student Number]),0),MATCH(C$7,YES_Reading_ELA[#Headers],0)),""))</f>
        <v/>
      </c>
      <c r="D299" s="138" t="str">
        <f>IFERROR(IF(IF(INDEX(_xlfn.VSTACK(YES_Writing_ELA[#Data],YES_Writing_FLA[#Data]),MATCH($A299,_xlfn.VSTACK(YES_Writing_ELA[Student Number],YES_Writing_FLA[Student Number]),0),MATCH(VLOOKUP(D$7,'Writing Logic'!$J$7:$K$11,2,FALSE)&amp;" - Per "&amp;VLOOKUP($C$4,'Writing Logic'!$G$8:$H$14,2,FALSE),YES_Writing_ELA[#Headers],0))=0,"",INDEX(_xlfn.VSTACK(YES_Writing_ELA[#Data],YES_Writing_FLA[#Data]),MATCH($A299,_xlfn.VSTACK(YES_Writing_ELA[Student Number],YES_Writing_FLA[Student Number]),0),MATCH(VLOOKUP(D$7,'Writing Logic'!$J$7:$K$11,2,FALSE)&amp;" - Per "&amp;VLOOKUP($C$4,'Writing Logic'!$G$8:$H$14,2,FALSE),YES_Writing_ELA[#Headers],0)))="INS",'Writing Logic'!$B$7,IF(INDEX(_xlfn.VSTACK(YES_Writing_ELA[#Data],YES_Writing_FLA[#Data]),MATCH($A299,_xlfn.VSTACK(YES_Writing_ELA[Student Number],YES_Writing_FLA[Student Number]),0),MATCH(VLOOKUP(D$7,'Writing Logic'!$J$7:$K$11,2,FALSE)&amp;" - Per "&amp;VLOOKUP($C$4,'Writing Logic'!$G$8:$H$14,2,FALSE),YES_Writing_ELA[#Headers],0))=0,"",INDEX(_xlfn.VSTACK(YES_Writing_ELA[#Data],YES_Writing_FLA[#Data]),MATCH($A299,_xlfn.VSTACK(YES_Writing_ELA[Student Number],YES_Writing_FLA[Student Number]),0),MATCH(VLOOKUP(D$7,'Writing Logic'!$J$7:$K$11,2,FALSE)&amp;" - Per "&amp;VLOOKUP($C$4,'Writing Logic'!$G$8:$H$14,2,FALSE),YES_Writing_ELA[#Headers],0)))),"")</f>
        <v/>
      </c>
      <c r="E299" s="138" t="str">
        <f>IFERROR(IF(IF(INDEX(_xlfn.VSTACK(YES_Writing_ELA[#Data],YES_Writing_FLA[#Data]),MATCH($A299,_xlfn.VSTACK(YES_Writing_ELA[Student Number],YES_Writing_FLA[Student Number]),0),MATCH(VLOOKUP(E$7,'Writing Logic'!$J$7:$K$11,2,FALSE)&amp;" - Per "&amp;VLOOKUP($C$4,'Writing Logic'!$G$8:$H$14,2,FALSE),YES_Writing_ELA[#Headers],0))=0,"",INDEX(_xlfn.VSTACK(YES_Writing_ELA[#Data],YES_Writing_FLA[#Data]),MATCH($A299,_xlfn.VSTACK(YES_Writing_ELA[Student Number],YES_Writing_FLA[Student Number]),0),MATCH(VLOOKUP(E$7,'Writing Logic'!$J$7:$K$11,2,FALSE)&amp;" - Per "&amp;VLOOKUP($C$4,'Writing Logic'!$G$8:$H$14,2,FALSE),YES_Writing_ELA[#Headers],0)))="INS",'Writing Logic'!$B$7,IF(INDEX(_xlfn.VSTACK(YES_Writing_ELA[#Data],YES_Writing_FLA[#Data]),MATCH($A299,_xlfn.VSTACK(YES_Writing_ELA[Student Number],YES_Writing_FLA[Student Number]),0),MATCH(VLOOKUP(E$7,'Writing Logic'!$J$7:$K$11,2,FALSE)&amp;" - Per "&amp;VLOOKUP($C$4,'Writing Logic'!$G$8:$H$14,2,FALSE),YES_Writing_ELA[#Headers],0))=0,"",INDEX(_xlfn.VSTACK(YES_Writing_ELA[#Data],YES_Writing_FLA[#Data]),MATCH($A299,_xlfn.VSTACK(YES_Writing_ELA[Student Number],YES_Writing_FLA[Student Number]),0),MATCH(VLOOKUP(E$7,'Writing Logic'!$J$7:$K$11,2,FALSE)&amp;" - Per "&amp;VLOOKUP($C$4,'Writing Logic'!$G$8:$H$14,2,FALSE),YES_Writing_ELA[#Headers],0)))),"")</f>
        <v/>
      </c>
      <c r="F299" s="138" t="str">
        <f>IFERROR(IF(IF(INDEX(_xlfn.VSTACK(YES_Writing_ELA[#Data],YES_Writing_FLA[#Data]),MATCH($A299,_xlfn.VSTACK(YES_Writing_ELA[Student Number],YES_Writing_FLA[Student Number]),0),MATCH(VLOOKUP(F$7,'Writing Logic'!$J$7:$K$11,2,FALSE)&amp;" - Per "&amp;VLOOKUP($C$4,'Writing Logic'!$G$8:$H$14,2,FALSE),YES_Writing_ELA[#Headers],0))=0,"",INDEX(_xlfn.VSTACK(YES_Writing_ELA[#Data],YES_Writing_FLA[#Data]),MATCH($A299,_xlfn.VSTACK(YES_Writing_ELA[Student Number],YES_Writing_FLA[Student Number]),0),MATCH(VLOOKUP(F$7,'Writing Logic'!$J$7:$K$11,2,FALSE)&amp;" - Per "&amp;VLOOKUP($C$4,'Writing Logic'!$G$8:$H$14,2,FALSE),YES_Writing_ELA[#Headers],0)))="INS",'Writing Logic'!$B$7,IF(INDEX(_xlfn.VSTACK(YES_Writing_ELA[#Data],YES_Writing_FLA[#Data]),MATCH($A299,_xlfn.VSTACK(YES_Writing_ELA[Student Number],YES_Writing_FLA[Student Number]),0),MATCH(VLOOKUP(F$7,'Writing Logic'!$J$7:$K$11,2,FALSE)&amp;" - Per "&amp;VLOOKUP($C$4,'Writing Logic'!$G$8:$H$14,2,FALSE),YES_Writing_ELA[#Headers],0))=0,"",INDEX(_xlfn.VSTACK(YES_Writing_ELA[#Data],YES_Writing_FLA[#Data]),MATCH($A299,_xlfn.VSTACK(YES_Writing_ELA[Student Number],YES_Writing_FLA[Student Number]),0),MATCH(VLOOKUP(F$7,'Writing Logic'!$J$7:$K$11,2,FALSE)&amp;" - Per "&amp;VLOOKUP($C$4,'Writing Logic'!$G$8:$H$14,2,FALSE),YES_Writing_ELA[#Headers],0)))),"")</f>
        <v/>
      </c>
      <c r="G299" s="138" t="str">
        <f>IFERROR(IF(IF(INDEX(_xlfn.VSTACK(YES_Writing_ELA[#Data],YES_Writing_FLA[#Data]),MATCH($A299,_xlfn.VSTACK(YES_Writing_ELA[Student Number],YES_Writing_FLA[Student Number]),0),MATCH(VLOOKUP(G$7,'Writing Logic'!$J$7:$K$11,2,FALSE)&amp;" - Per "&amp;VLOOKUP($C$4,'Writing Logic'!$G$8:$H$14,2,FALSE),YES_Writing_ELA[#Headers],0))=0,"",INDEX(_xlfn.VSTACK(YES_Writing_ELA[#Data],YES_Writing_FLA[#Data]),MATCH($A299,_xlfn.VSTACK(YES_Writing_ELA[Student Number],YES_Writing_FLA[Student Number]),0),MATCH(VLOOKUP(G$7,'Writing Logic'!$J$7:$K$11,2,FALSE)&amp;" - Per "&amp;VLOOKUP($C$4,'Writing Logic'!$G$8:$H$14,2,FALSE),YES_Writing_ELA[#Headers],0)))="INS",'Writing Logic'!$B$7,IF(INDEX(_xlfn.VSTACK(YES_Writing_ELA[#Data],YES_Writing_FLA[#Data]),MATCH($A299,_xlfn.VSTACK(YES_Writing_ELA[Student Number],YES_Writing_FLA[Student Number]),0),MATCH(VLOOKUP(G$7,'Writing Logic'!$J$7:$K$11,2,FALSE)&amp;" - Per "&amp;VLOOKUP($C$4,'Writing Logic'!$G$8:$H$14,2,FALSE),YES_Writing_ELA[#Headers],0))=0,"",INDEX(_xlfn.VSTACK(YES_Writing_ELA[#Data],YES_Writing_FLA[#Data]),MATCH($A299,_xlfn.VSTACK(YES_Writing_ELA[Student Number],YES_Writing_FLA[Student Number]),0),MATCH(VLOOKUP(G$7,'Writing Logic'!$J$7:$K$11,2,FALSE)&amp;" - Per "&amp;VLOOKUP($C$4,'Writing Logic'!$G$8:$H$14,2,FALSE),YES_Writing_ELA[#Headers],0)))),"")</f>
        <v/>
      </c>
      <c r="H299" s="223" t="str">
        <f>IFERROR(IF(IF(INDEX(_xlfn.VSTACK(YES_Writing_ELA[#Data],YES_Writing_FLA[#Data]),MATCH($A299,_xlfn.VSTACK(YES_Writing_ELA[Student Number],YES_Writing_FLA[Student Number]),0),MATCH(VLOOKUP(H$7,'Writing Logic'!$J$7:$K$11,2,FALSE)&amp;" - Per "&amp;VLOOKUP($C$4,'Writing Logic'!$G$8:$H$14,2,FALSE),YES_Writing_ELA[#Headers],0))=0,"",INDEX(_xlfn.VSTACK(YES_Writing_ELA[#Data],YES_Writing_FLA[#Data]),MATCH($A299,_xlfn.VSTACK(YES_Writing_ELA[Student Number],YES_Writing_FLA[Student Number]),0),MATCH(VLOOKUP(H$7,'Writing Logic'!$J$7:$K$11,2,FALSE)&amp;" - Per "&amp;VLOOKUP($C$4,'Writing Logic'!$G$8:$H$14,2,FALSE),YES_Writing_ELA[#Headers],0)))="INS",'Writing Logic'!$B$7,IF(INDEX(_xlfn.VSTACK(YES_Writing_ELA[#Data],YES_Writing_FLA[#Data]),MATCH($A299,_xlfn.VSTACK(YES_Writing_ELA[Student Number],YES_Writing_FLA[Student Number]),0),MATCH(VLOOKUP(H$7,'Writing Logic'!$J$7:$K$11,2,FALSE)&amp;" - Per "&amp;VLOOKUP($C$4,'Writing Logic'!$G$8:$H$14,2,FALSE),YES_Writing_ELA[#Headers],0))=0,"",INDEX(_xlfn.VSTACK(YES_Writing_ELA[#Data],YES_Writing_FLA[#Data]),MATCH($A299,_xlfn.VSTACK(YES_Writing_ELA[Student Number],YES_Writing_FLA[Student Number]),0),MATCH(VLOOKUP(H$7,'Writing Logic'!$J$7:$K$11,2,FALSE)&amp;" - Per "&amp;VLOOKUP($C$4,'Writing Logic'!$G$8:$H$14,2,FALSE),YES_Writing_ELA[#Headers],0)))),"")</f>
        <v/>
      </c>
      <c r="I299" s="224" t="str" cm="1">
        <f t="array" aca="1" ref="I299" ca="1">IFERROR(
IF($G$3="ELA",
IF(VLOOKUP($A299, YES_Reading_ELA[], COLUMN(INDIRECT("YES_Reading_ELA[Difference - Per "&amp;VLOOKUP($G$4, 'Reading Report Logic'!$A$2:$B$8, 2, FALSE)&amp;"]")), FALSE)="", "",
VLOOKUP($A299,YES_Reading_ELA[], COLUMN(INDIRECT("YES_Reading_ELA[Difference - Per "&amp;VLOOKUP($G$4,'Reading Report Logic'!$A$2:$B$8,2,FALSE)&amp;"]")), FALSE)),
IF($G$3="FLA",
IF(VLOOKUP($A299, YES_Reading_FLA[], COLUMN(INDIRECT("YES_Reading_FLA[Difference - Per "&amp;VLOOKUP($G$4,'Reading Report Logic'!$A$2:$B$8,2,FALSE)&amp;"]")),FALSE)="","",
VLOOKUP($A299,YES_Reading_FLA[],COLUMN(INDIRECT("YES_Reading_FLA[Difference - Per "&amp;VLOOKUP($G$4,'Reading Report Logic'!$A$2:$B$8,2,FALSE)&amp;"]")),FALSE)),
IF($G$3="Combined",
IFERROR(
IF(VLOOKUP($A299, YES_Reading_ELA[], COLUMN(INDIRECT("YES_Reading_ELA[Difference - Per "&amp;VLOOKUP($G$4, 'Reading Report Logic'!$A$2:$B$8,2,FALSE)&amp;"]")), FALSE)="", "",
VLOOKUP($A299,YES_Reading_ELA[],COLUMN(INDIRECT("YES_Reading_ELA[Difference - Per "&amp;VLOOKUP($G$4,'Reading Report Logic'!$A$2:$B$8,2,FALSE)&amp;"]")),FALSE)),
IF(VLOOKUP($A299, YES_Reading_FLA[], COLUMN(INDIRECT("YES_Reading_FLA[Difference - Per "&amp;VLOOKUP($G$4, 'Reading Report Logic'!$A$2:$B$8, 2, FALSE)&amp;"]")),FALSE)="", "", VLOOKUP($A299,YES_Reading_FLA[],COLUMN(INDIRECT("YES_Reading_FLA[Difference - Per "&amp;VLOOKUP($G$4, 'Reading Report Logic'!$A$2:$B$8, 2, FALSE)&amp;"]")),FALSE))),""))),"")</f>
        <v/>
      </c>
    </row>
    <row r="300" spans="1:9" x14ac:dyDescent="0.25">
      <c r="A300" s="137"/>
      <c r="B300" s="137" t="str">
        <f>IFERROR(INDEX(_xlfn.VSTACK(YES_Writing_ELA[#Data], YES_Writing_FLA[#Data]),MATCH($A300,_xlfn.VSTACK(YES_Writing_ELA[Student Number], YES_Writing_FLA[Student Number]),0),MATCH(B$7,YES_Writing_ELA[#Headers],0)),IFERROR(INDEX(_xlfn.VSTACK(YES_Reading_ELA[#Data], YES_Reading_FLA[#Data]),MATCH($A300,_xlfn.VSTACK(YES_Reading_ELA[Student Number], YES_Reading_FLA[Student Number]),0),MATCH(B$7,YES_Reading_ELA[#Headers],0)),""))</f>
        <v/>
      </c>
      <c r="C300" s="137" t="str">
        <f>IFERROR(INDEX(_xlfn.VSTACK(YES_Writing_ELA[#Data], YES_Writing_FLA[#Data]),MATCH($A300,_xlfn.VSTACK(YES_Writing_ELA[Student Number], YES_Writing_FLA[Student Number]),0),MATCH(C$7,YES_Writing_ELA[#Headers],0)),IFERROR(INDEX(_xlfn.VSTACK(YES_Reading_ELA[#Data], YES_Reading_FLA[#Data]),MATCH($A300,_xlfn.VSTACK(YES_Reading_ELA[Student Number], YES_Reading_FLA[Student Number]),0),MATCH(C$7,YES_Reading_ELA[#Headers],0)),""))</f>
        <v/>
      </c>
      <c r="D300" s="138" t="str">
        <f>IFERROR(IF(IF(INDEX(_xlfn.VSTACK(YES_Writing_ELA[#Data],YES_Writing_FLA[#Data]),MATCH($A300,_xlfn.VSTACK(YES_Writing_ELA[Student Number],YES_Writing_FLA[Student Number]),0),MATCH(VLOOKUP(D$7,'Writing Logic'!$J$7:$K$11,2,FALSE)&amp;" - Per "&amp;VLOOKUP($C$4,'Writing Logic'!$G$8:$H$14,2,FALSE),YES_Writing_ELA[#Headers],0))=0,"",INDEX(_xlfn.VSTACK(YES_Writing_ELA[#Data],YES_Writing_FLA[#Data]),MATCH($A300,_xlfn.VSTACK(YES_Writing_ELA[Student Number],YES_Writing_FLA[Student Number]),0),MATCH(VLOOKUP(D$7,'Writing Logic'!$J$7:$K$11,2,FALSE)&amp;" - Per "&amp;VLOOKUP($C$4,'Writing Logic'!$G$8:$H$14,2,FALSE),YES_Writing_ELA[#Headers],0)))="INS",'Writing Logic'!$B$7,IF(INDEX(_xlfn.VSTACK(YES_Writing_ELA[#Data],YES_Writing_FLA[#Data]),MATCH($A300,_xlfn.VSTACK(YES_Writing_ELA[Student Number],YES_Writing_FLA[Student Number]),0),MATCH(VLOOKUP(D$7,'Writing Logic'!$J$7:$K$11,2,FALSE)&amp;" - Per "&amp;VLOOKUP($C$4,'Writing Logic'!$G$8:$H$14,2,FALSE),YES_Writing_ELA[#Headers],0))=0,"",INDEX(_xlfn.VSTACK(YES_Writing_ELA[#Data],YES_Writing_FLA[#Data]),MATCH($A300,_xlfn.VSTACK(YES_Writing_ELA[Student Number],YES_Writing_FLA[Student Number]),0),MATCH(VLOOKUP(D$7,'Writing Logic'!$J$7:$K$11,2,FALSE)&amp;" - Per "&amp;VLOOKUP($C$4,'Writing Logic'!$G$8:$H$14,2,FALSE),YES_Writing_ELA[#Headers],0)))),"")</f>
        <v/>
      </c>
      <c r="E300" s="138" t="str">
        <f>IFERROR(IF(IF(INDEX(_xlfn.VSTACK(YES_Writing_ELA[#Data],YES_Writing_FLA[#Data]),MATCH($A300,_xlfn.VSTACK(YES_Writing_ELA[Student Number],YES_Writing_FLA[Student Number]),0),MATCH(VLOOKUP(E$7,'Writing Logic'!$J$7:$K$11,2,FALSE)&amp;" - Per "&amp;VLOOKUP($C$4,'Writing Logic'!$G$8:$H$14,2,FALSE),YES_Writing_ELA[#Headers],0))=0,"",INDEX(_xlfn.VSTACK(YES_Writing_ELA[#Data],YES_Writing_FLA[#Data]),MATCH($A300,_xlfn.VSTACK(YES_Writing_ELA[Student Number],YES_Writing_FLA[Student Number]),0),MATCH(VLOOKUP(E$7,'Writing Logic'!$J$7:$K$11,2,FALSE)&amp;" - Per "&amp;VLOOKUP($C$4,'Writing Logic'!$G$8:$H$14,2,FALSE),YES_Writing_ELA[#Headers],0)))="INS",'Writing Logic'!$B$7,IF(INDEX(_xlfn.VSTACK(YES_Writing_ELA[#Data],YES_Writing_FLA[#Data]),MATCH($A300,_xlfn.VSTACK(YES_Writing_ELA[Student Number],YES_Writing_FLA[Student Number]),0),MATCH(VLOOKUP(E$7,'Writing Logic'!$J$7:$K$11,2,FALSE)&amp;" - Per "&amp;VLOOKUP($C$4,'Writing Logic'!$G$8:$H$14,2,FALSE),YES_Writing_ELA[#Headers],0))=0,"",INDEX(_xlfn.VSTACK(YES_Writing_ELA[#Data],YES_Writing_FLA[#Data]),MATCH($A300,_xlfn.VSTACK(YES_Writing_ELA[Student Number],YES_Writing_FLA[Student Number]),0),MATCH(VLOOKUP(E$7,'Writing Logic'!$J$7:$K$11,2,FALSE)&amp;" - Per "&amp;VLOOKUP($C$4,'Writing Logic'!$G$8:$H$14,2,FALSE),YES_Writing_ELA[#Headers],0)))),"")</f>
        <v/>
      </c>
      <c r="F300" s="138" t="str">
        <f>IFERROR(IF(IF(INDEX(_xlfn.VSTACK(YES_Writing_ELA[#Data],YES_Writing_FLA[#Data]),MATCH($A300,_xlfn.VSTACK(YES_Writing_ELA[Student Number],YES_Writing_FLA[Student Number]),0),MATCH(VLOOKUP(F$7,'Writing Logic'!$J$7:$K$11,2,FALSE)&amp;" - Per "&amp;VLOOKUP($C$4,'Writing Logic'!$G$8:$H$14,2,FALSE),YES_Writing_ELA[#Headers],0))=0,"",INDEX(_xlfn.VSTACK(YES_Writing_ELA[#Data],YES_Writing_FLA[#Data]),MATCH($A300,_xlfn.VSTACK(YES_Writing_ELA[Student Number],YES_Writing_FLA[Student Number]),0),MATCH(VLOOKUP(F$7,'Writing Logic'!$J$7:$K$11,2,FALSE)&amp;" - Per "&amp;VLOOKUP($C$4,'Writing Logic'!$G$8:$H$14,2,FALSE),YES_Writing_ELA[#Headers],0)))="INS",'Writing Logic'!$B$7,IF(INDEX(_xlfn.VSTACK(YES_Writing_ELA[#Data],YES_Writing_FLA[#Data]),MATCH($A300,_xlfn.VSTACK(YES_Writing_ELA[Student Number],YES_Writing_FLA[Student Number]),0),MATCH(VLOOKUP(F$7,'Writing Logic'!$J$7:$K$11,2,FALSE)&amp;" - Per "&amp;VLOOKUP($C$4,'Writing Logic'!$G$8:$H$14,2,FALSE),YES_Writing_ELA[#Headers],0))=0,"",INDEX(_xlfn.VSTACK(YES_Writing_ELA[#Data],YES_Writing_FLA[#Data]),MATCH($A300,_xlfn.VSTACK(YES_Writing_ELA[Student Number],YES_Writing_FLA[Student Number]),0),MATCH(VLOOKUP(F$7,'Writing Logic'!$J$7:$K$11,2,FALSE)&amp;" - Per "&amp;VLOOKUP($C$4,'Writing Logic'!$G$8:$H$14,2,FALSE),YES_Writing_ELA[#Headers],0)))),"")</f>
        <v/>
      </c>
      <c r="G300" s="138" t="str">
        <f>IFERROR(IF(IF(INDEX(_xlfn.VSTACK(YES_Writing_ELA[#Data],YES_Writing_FLA[#Data]),MATCH($A300,_xlfn.VSTACK(YES_Writing_ELA[Student Number],YES_Writing_FLA[Student Number]),0),MATCH(VLOOKUP(G$7,'Writing Logic'!$J$7:$K$11,2,FALSE)&amp;" - Per "&amp;VLOOKUP($C$4,'Writing Logic'!$G$8:$H$14,2,FALSE),YES_Writing_ELA[#Headers],0))=0,"",INDEX(_xlfn.VSTACK(YES_Writing_ELA[#Data],YES_Writing_FLA[#Data]),MATCH($A300,_xlfn.VSTACK(YES_Writing_ELA[Student Number],YES_Writing_FLA[Student Number]),0),MATCH(VLOOKUP(G$7,'Writing Logic'!$J$7:$K$11,2,FALSE)&amp;" - Per "&amp;VLOOKUP($C$4,'Writing Logic'!$G$8:$H$14,2,FALSE),YES_Writing_ELA[#Headers],0)))="INS",'Writing Logic'!$B$7,IF(INDEX(_xlfn.VSTACK(YES_Writing_ELA[#Data],YES_Writing_FLA[#Data]),MATCH($A300,_xlfn.VSTACK(YES_Writing_ELA[Student Number],YES_Writing_FLA[Student Number]),0),MATCH(VLOOKUP(G$7,'Writing Logic'!$J$7:$K$11,2,FALSE)&amp;" - Per "&amp;VLOOKUP($C$4,'Writing Logic'!$G$8:$H$14,2,FALSE),YES_Writing_ELA[#Headers],0))=0,"",INDEX(_xlfn.VSTACK(YES_Writing_ELA[#Data],YES_Writing_FLA[#Data]),MATCH($A300,_xlfn.VSTACK(YES_Writing_ELA[Student Number],YES_Writing_FLA[Student Number]),0),MATCH(VLOOKUP(G$7,'Writing Logic'!$J$7:$K$11,2,FALSE)&amp;" - Per "&amp;VLOOKUP($C$4,'Writing Logic'!$G$8:$H$14,2,FALSE),YES_Writing_ELA[#Headers],0)))),"")</f>
        <v/>
      </c>
      <c r="H300" s="223" t="str">
        <f>IFERROR(IF(IF(INDEX(_xlfn.VSTACK(YES_Writing_ELA[#Data],YES_Writing_FLA[#Data]),MATCH($A300,_xlfn.VSTACK(YES_Writing_ELA[Student Number],YES_Writing_FLA[Student Number]),0),MATCH(VLOOKUP(H$7,'Writing Logic'!$J$7:$K$11,2,FALSE)&amp;" - Per "&amp;VLOOKUP($C$4,'Writing Logic'!$G$8:$H$14,2,FALSE),YES_Writing_ELA[#Headers],0))=0,"",INDEX(_xlfn.VSTACK(YES_Writing_ELA[#Data],YES_Writing_FLA[#Data]),MATCH($A300,_xlfn.VSTACK(YES_Writing_ELA[Student Number],YES_Writing_FLA[Student Number]),0),MATCH(VLOOKUP(H$7,'Writing Logic'!$J$7:$K$11,2,FALSE)&amp;" - Per "&amp;VLOOKUP($C$4,'Writing Logic'!$G$8:$H$14,2,FALSE),YES_Writing_ELA[#Headers],0)))="INS",'Writing Logic'!$B$7,IF(INDEX(_xlfn.VSTACK(YES_Writing_ELA[#Data],YES_Writing_FLA[#Data]),MATCH($A300,_xlfn.VSTACK(YES_Writing_ELA[Student Number],YES_Writing_FLA[Student Number]),0),MATCH(VLOOKUP(H$7,'Writing Logic'!$J$7:$K$11,2,FALSE)&amp;" - Per "&amp;VLOOKUP($C$4,'Writing Logic'!$G$8:$H$14,2,FALSE),YES_Writing_ELA[#Headers],0))=0,"",INDEX(_xlfn.VSTACK(YES_Writing_ELA[#Data],YES_Writing_FLA[#Data]),MATCH($A300,_xlfn.VSTACK(YES_Writing_ELA[Student Number],YES_Writing_FLA[Student Number]),0),MATCH(VLOOKUP(H$7,'Writing Logic'!$J$7:$K$11,2,FALSE)&amp;" - Per "&amp;VLOOKUP($C$4,'Writing Logic'!$G$8:$H$14,2,FALSE),YES_Writing_ELA[#Headers],0)))),"")</f>
        <v/>
      </c>
      <c r="I300" s="224" t="str" cm="1">
        <f t="array" aca="1" ref="I300" ca="1">IFERROR(
IF($G$3="ELA",
IF(VLOOKUP($A300, YES_Reading_ELA[], COLUMN(INDIRECT("YES_Reading_ELA[Difference - Per "&amp;VLOOKUP($G$4, 'Reading Report Logic'!$A$2:$B$8, 2, FALSE)&amp;"]")), FALSE)="", "",
VLOOKUP($A300,YES_Reading_ELA[], COLUMN(INDIRECT("YES_Reading_ELA[Difference - Per "&amp;VLOOKUP($G$4,'Reading Report Logic'!$A$2:$B$8,2,FALSE)&amp;"]")), FALSE)),
IF($G$3="FLA",
IF(VLOOKUP($A300, YES_Reading_FLA[], COLUMN(INDIRECT("YES_Reading_FLA[Difference - Per "&amp;VLOOKUP($G$4,'Reading Report Logic'!$A$2:$B$8,2,FALSE)&amp;"]")),FALSE)="","",
VLOOKUP($A300,YES_Reading_FLA[],COLUMN(INDIRECT("YES_Reading_FLA[Difference - Per "&amp;VLOOKUP($G$4,'Reading Report Logic'!$A$2:$B$8,2,FALSE)&amp;"]")),FALSE)),
IF($G$3="Combined",
IFERROR(
IF(VLOOKUP($A300, YES_Reading_ELA[], COLUMN(INDIRECT("YES_Reading_ELA[Difference - Per "&amp;VLOOKUP($G$4, 'Reading Report Logic'!$A$2:$B$8,2,FALSE)&amp;"]")), FALSE)="", "",
VLOOKUP($A300,YES_Reading_ELA[],COLUMN(INDIRECT("YES_Reading_ELA[Difference - Per "&amp;VLOOKUP($G$4,'Reading Report Logic'!$A$2:$B$8,2,FALSE)&amp;"]")),FALSE)),
IF(VLOOKUP($A300, YES_Reading_FLA[], COLUMN(INDIRECT("YES_Reading_FLA[Difference - Per "&amp;VLOOKUP($G$4, 'Reading Report Logic'!$A$2:$B$8, 2, FALSE)&amp;"]")),FALSE)="", "", VLOOKUP($A300,YES_Reading_FLA[],COLUMN(INDIRECT("YES_Reading_FLA[Difference - Per "&amp;VLOOKUP($G$4, 'Reading Report Logic'!$A$2:$B$8, 2, FALSE)&amp;"]")),FALSE))),""))),"")</f>
        <v/>
      </c>
    </row>
    <row r="301" spans="1:9" x14ac:dyDescent="0.25">
      <c r="A301" s="137"/>
      <c r="B301" s="137" t="str">
        <f>IFERROR(INDEX(_xlfn.VSTACK(YES_Writing_ELA[#Data], YES_Writing_FLA[#Data]),MATCH($A301,_xlfn.VSTACK(YES_Writing_ELA[Student Number], YES_Writing_FLA[Student Number]),0),MATCH(B$7,YES_Writing_ELA[#Headers],0)),IFERROR(INDEX(_xlfn.VSTACK(YES_Reading_ELA[#Data], YES_Reading_FLA[#Data]),MATCH($A301,_xlfn.VSTACK(YES_Reading_ELA[Student Number], YES_Reading_FLA[Student Number]),0),MATCH(B$7,YES_Reading_ELA[#Headers],0)),""))</f>
        <v/>
      </c>
      <c r="C301" s="137" t="str">
        <f>IFERROR(INDEX(_xlfn.VSTACK(YES_Writing_ELA[#Data], YES_Writing_FLA[#Data]),MATCH($A301,_xlfn.VSTACK(YES_Writing_ELA[Student Number], YES_Writing_FLA[Student Number]),0),MATCH(C$7,YES_Writing_ELA[#Headers],0)),IFERROR(INDEX(_xlfn.VSTACK(YES_Reading_ELA[#Data], YES_Reading_FLA[#Data]),MATCH($A301,_xlfn.VSTACK(YES_Reading_ELA[Student Number], YES_Reading_FLA[Student Number]),0),MATCH(C$7,YES_Reading_ELA[#Headers],0)),""))</f>
        <v/>
      </c>
      <c r="D301" s="138" t="str">
        <f>IFERROR(IF(IF(INDEX(_xlfn.VSTACK(YES_Writing_ELA[#Data],YES_Writing_FLA[#Data]),MATCH($A301,_xlfn.VSTACK(YES_Writing_ELA[Student Number],YES_Writing_FLA[Student Number]),0),MATCH(VLOOKUP(D$7,'Writing Logic'!$J$7:$K$11,2,FALSE)&amp;" - Per "&amp;VLOOKUP($C$4,'Writing Logic'!$G$8:$H$14,2,FALSE),YES_Writing_ELA[#Headers],0))=0,"",INDEX(_xlfn.VSTACK(YES_Writing_ELA[#Data],YES_Writing_FLA[#Data]),MATCH($A301,_xlfn.VSTACK(YES_Writing_ELA[Student Number],YES_Writing_FLA[Student Number]),0),MATCH(VLOOKUP(D$7,'Writing Logic'!$J$7:$K$11,2,FALSE)&amp;" - Per "&amp;VLOOKUP($C$4,'Writing Logic'!$G$8:$H$14,2,FALSE),YES_Writing_ELA[#Headers],0)))="INS",'Writing Logic'!$B$7,IF(INDEX(_xlfn.VSTACK(YES_Writing_ELA[#Data],YES_Writing_FLA[#Data]),MATCH($A301,_xlfn.VSTACK(YES_Writing_ELA[Student Number],YES_Writing_FLA[Student Number]),0),MATCH(VLOOKUP(D$7,'Writing Logic'!$J$7:$K$11,2,FALSE)&amp;" - Per "&amp;VLOOKUP($C$4,'Writing Logic'!$G$8:$H$14,2,FALSE),YES_Writing_ELA[#Headers],0))=0,"",INDEX(_xlfn.VSTACK(YES_Writing_ELA[#Data],YES_Writing_FLA[#Data]),MATCH($A301,_xlfn.VSTACK(YES_Writing_ELA[Student Number],YES_Writing_FLA[Student Number]),0),MATCH(VLOOKUP(D$7,'Writing Logic'!$J$7:$K$11,2,FALSE)&amp;" - Per "&amp;VLOOKUP($C$4,'Writing Logic'!$G$8:$H$14,2,FALSE),YES_Writing_ELA[#Headers],0)))),"")</f>
        <v/>
      </c>
      <c r="E301" s="138" t="str">
        <f>IFERROR(IF(IF(INDEX(_xlfn.VSTACK(YES_Writing_ELA[#Data],YES_Writing_FLA[#Data]),MATCH($A301,_xlfn.VSTACK(YES_Writing_ELA[Student Number],YES_Writing_FLA[Student Number]),0),MATCH(VLOOKUP(E$7,'Writing Logic'!$J$7:$K$11,2,FALSE)&amp;" - Per "&amp;VLOOKUP($C$4,'Writing Logic'!$G$8:$H$14,2,FALSE),YES_Writing_ELA[#Headers],0))=0,"",INDEX(_xlfn.VSTACK(YES_Writing_ELA[#Data],YES_Writing_FLA[#Data]),MATCH($A301,_xlfn.VSTACK(YES_Writing_ELA[Student Number],YES_Writing_FLA[Student Number]),0),MATCH(VLOOKUP(E$7,'Writing Logic'!$J$7:$K$11,2,FALSE)&amp;" - Per "&amp;VLOOKUP($C$4,'Writing Logic'!$G$8:$H$14,2,FALSE),YES_Writing_ELA[#Headers],0)))="INS",'Writing Logic'!$B$7,IF(INDEX(_xlfn.VSTACK(YES_Writing_ELA[#Data],YES_Writing_FLA[#Data]),MATCH($A301,_xlfn.VSTACK(YES_Writing_ELA[Student Number],YES_Writing_FLA[Student Number]),0),MATCH(VLOOKUP(E$7,'Writing Logic'!$J$7:$K$11,2,FALSE)&amp;" - Per "&amp;VLOOKUP($C$4,'Writing Logic'!$G$8:$H$14,2,FALSE),YES_Writing_ELA[#Headers],0))=0,"",INDEX(_xlfn.VSTACK(YES_Writing_ELA[#Data],YES_Writing_FLA[#Data]),MATCH($A301,_xlfn.VSTACK(YES_Writing_ELA[Student Number],YES_Writing_FLA[Student Number]),0),MATCH(VLOOKUP(E$7,'Writing Logic'!$J$7:$K$11,2,FALSE)&amp;" - Per "&amp;VLOOKUP($C$4,'Writing Logic'!$G$8:$H$14,2,FALSE),YES_Writing_ELA[#Headers],0)))),"")</f>
        <v/>
      </c>
      <c r="F301" s="138" t="str">
        <f>IFERROR(IF(IF(INDEX(_xlfn.VSTACK(YES_Writing_ELA[#Data],YES_Writing_FLA[#Data]),MATCH($A301,_xlfn.VSTACK(YES_Writing_ELA[Student Number],YES_Writing_FLA[Student Number]),0),MATCH(VLOOKUP(F$7,'Writing Logic'!$J$7:$K$11,2,FALSE)&amp;" - Per "&amp;VLOOKUP($C$4,'Writing Logic'!$G$8:$H$14,2,FALSE),YES_Writing_ELA[#Headers],0))=0,"",INDEX(_xlfn.VSTACK(YES_Writing_ELA[#Data],YES_Writing_FLA[#Data]),MATCH($A301,_xlfn.VSTACK(YES_Writing_ELA[Student Number],YES_Writing_FLA[Student Number]),0),MATCH(VLOOKUP(F$7,'Writing Logic'!$J$7:$K$11,2,FALSE)&amp;" - Per "&amp;VLOOKUP($C$4,'Writing Logic'!$G$8:$H$14,2,FALSE),YES_Writing_ELA[#Headers],0)))="INS",'Writing Logic'!$B$7,IF(INDEX(_xlfn.VSTACK(YES_Writing_ELA[#Data],YES_Writing_FLA[#Data]),MATCH($A301,_xlfn.VSTACK(YES_Writing_ELA[Student Number],YES_Writing_FLA[Student Number]),0),MATCH(VLOOKUP(F$7,'Writing Logic'!$J$7:$K$11,2,FALSE)&amp;" - Per "&amp;VLOOKUP($C$4,'Writing Logic'!$G$8:$H$14,2,FALSE),YES_Writing_ELA[#Headers],0))=0,"",INDEX(_xlfn.VSTACK(YES_Writing_ELA[#Data],YES_Writing_FLA[#Data]),MATCH($A301,_xlfn.VSTACK(YES_Writing_ELA[Student Number],YES_Writing_FLA[Student Number]),0),MATCH(VLOOKUP(F$7,'Writing Logic'!$J$7:$K$11,2,FALSE)&amp;" - Per "&amp;VLOOKUP($C$4,'Writing Logic'!$G$8:$H$14,2,FALSE),YES_Writing_ELA[#Headers],0)))),"")</f>
        <v/>
      </c>
      <c r="G301" s="138" t="str">
        <f>IFERROR(IF(IF(INDEX(_xlfn.VSTACK(YES_Writing_ELA[#Data],YES_Writing_FLA[#Data]),MATCH($A301,_xlfn.VSTACK(YES_Writing_ELA[Student Number],YES_Writing_FLA[Student Number]),0),MATCH(VLOOKUP(G$7,'Writing Logic'!$J$7:$K$11,2,FALSE)&amp;" - Per "&amp;VLOOKUP($C$4,'Writing Logic'!$G$8:$H$14,2,FALSE),YES_Writing_ELA[#Headers],0))=0,"",INDEX(_xlfn.VSTACK(YES_Writing_ELA[#Data],YES_Writing_FLA[#Data]),MATCH($A301,_xlfn.VSTACK(YES_Writing_ELA[Student Number],YES_Writing_FLA[Student Number]),0),MATCH(VLOOKUP(G$7,'Writing Logic'!$J$7:$K$11,2,FALSE)&amp;" - Per "&amp;VLOOKUP($C$4,'Writing Logic'!$G$8:$H$14,2,FALSE),YES_Writing_ELA[#Headers],0)))="INS",'Writing Logic'!$B$7,IF(INDEX(_xlfn.VSTACK(YES_Writing_ELA[#Data],YES_Writing_FLA[#Data]),MATCH($A301,_xlfn.VSTACK(YES_Writing_ELA[Student Number],YES_Writing_FLA[Student Number]),0),MATCH(VLOOKUP(G$7,'Writing Logic'!$J$7:$K$11,2,FALSE)&amp;" - Per "&amp;VLOOKUP($C$4,'Writing Logic'!$G$8:$H$14,2,FALSE),YES_Writing_ELA[#Headers],0))=0,"",INDEX(_xlfn.VSTACK(YES_Writing_ELA[#Data],YES_Writing_FLA[#Data]),MATCH($A301,_xlfn.VSTACK(YES_Writing_ELA[Student Number],YES_Writing_FLA[Student Number]),0),MATCH(VLOOKUP(G$7,'Writing Logic'!$J$7:$K$11,2,FALSE)&amp;" - Per "&amp;VLOOKUP($C$4,'Writing Logic'!$G$8:$H$14,2,FALSE),YES_Writing_ELA[#Headers],0)))),"")</f>
        <v/>
      </c>
      <c r="H301" s="223" t="str">
        <f>IFERROR(IF(IF(INDEX(_xlfn.VSTACK(YES_Writing_ELA[#Data],YES_Writing_FLA[#Data]),MATCH($A301,_xlfn.VSTACK(YES_Writing_ELA[Student Number],YES_Writing_FLA[Student Number]),0),MATCH(VLOOKUP(H$7,'Writing Logic'!$J$7:$K$11,2,FALSE)&amp;" - Per "&amp;VLOOKUP($C$4,'Writing Logic'!$G$8:$H$14,2,FALSE),YES_Writing_ELA[#Headers],0))=0,"",INDEX(_xlfn.VSTACK(YES_Writing_ELA[#Data],YES_Writing_FLA[#Data]),MATCH($A301,_xlfn.VSTACK(YES_Writing_ELA[Student Number],YES_Writing_FLA[Student Number]),0),MATCH(VLOOKUP(H$7,'Writing Logic'!$J$7:$K$11,2,FALSE)&amp;" - Per "&amp;VLOOKUP($C$4,'Writing Logic'!$G$8:$H$14,2,FALSE),YES_Writing_ELA[#Headers],0)))="INS",'Writing Logic'!$B$7,IF(INDEX(_xlfn.VSTACK(YES_Writing_ELA[#Data],YES_Writing_FLA[#Data]),MATCH($A301,_xlfn.VSTACK(YES_Writing_ELA[Student Number],YES_Writing_FLA[Student Number]),0),MATCH(VLOOKUP(H$7,'Writing Logic'!$J$7:$K$11,2,FALSE)&amp;" - Per "&amp;VLOOKUP($C$4,'Writing Logic'!$G$8:$H$14,2,FALSE),YES_Writing_ELA[#Headers],0))=0,"",INDEX(_xlfn.VSTACK(YES_Writing_ELA[#Data],YES_Writing_FLA[#Data]),MATCH($A301,_xlfn.VSTACK(YES_Writing_ELA[Student Number],YES_Writing_FLA[Student Number]),0),MATCH(VLOOKUP(H$7,'Writing Logic'!$J$7:$K$11,2,FALSE)&amp;" - Per "&amp;VLOOKUP($C$4,'Writing Logic'!$G$8:$H$14,2,FALSE),YES_Writing_ELA[#Headers],0)))),"")</f>
        <v/>
      </c>
      <c r="I301" s="224" t="str" cm="1">
        <f t="array" aca="1" ref="I301" ca="1">IFERROR(
IF($G$3="ELA",
IF(VLOOKUP($A301, YES_Reading_ELA[], COLUMN(INDIRECT("YES_Reading_ELA[Difference - Per "&amp;VLOOKUP($G$4, 'Reading Report Logic'!$A$2:$B$8, 2, FALSE)&amp;"]")), FALSE)="", "",
VLOOKUP($A301,YES_Reading_ELA[], COLUMN(INDIRECT("YES_Reading_ELA[Difference - Per "&amp;VLOOKUP($G$4,'Reading Report Logic'!$A$2:$B$8,2,FALSE)&amp;"]")), FALSE)),
IF($G$3="FLA",
IF(VLOOKUP($A301, YES_Reading_FLA[], COLUMN(INDIRECT("YES_Reading_FLA[Difference - Per "&amp;VLOOKUP($G$4,'Reading Report Logic'!$A$2:$B$8,2,FALSE)&amp;"]")),FALSE)="","",
VLOOKUP($A301,YES_Reading_FLA[],COLUMN(INDIRECT("YES_Reading_FLA[Difference - Per "&amp;VLOOKUP($G$4,'Reading Report Logic'!$A$2:$B$8,2,FALSE)&amp;"]")),FALSE)),
IF($G$3="Combined",
IFERROR(
IF(VLOOKUP($A301, YES_Reading_ELA[], COLUMN(INDIRECT("YES_Reading_ELA[Difference - Per "&amp;VLOOKUP($G$4, 'Reading Report Logic'!$A$2:$B$8,2,FALSE)&amp;"]")), FALSE)="", "",
VLOOKUP($A301,YES_Reading_ELA[],COLUMN(INDIRECT("YES_Reading_ELA[Difference - Per "&amp;VLOOKUP($G$4,'Reading Report Logic'!$A$2:$B$8,2,FALSE)&amp;"]")),FALSE)),
IF(VLOOKUP($A301, YES_Reading_FLA[], COLUMN(INDIRECT("YES_Reading_FLA[Difference - Per "&amp;VLOOKUP($G$4, 'Reading Report Logic'!$A$2:$B$8, 2, FALSE)&amp;"]")),FALSE)="", "", VLOOKUP($A301,YES_Reading_FLA[],COLUMN(INDIRECT("YES_Reading_FLA[Difference - Per "&amp;VLOOKUP($G$4, 'Reading Report Logic'!$A$2:$B$8, 2, FALSE)&amp;"]")),FALSE))),""))),"")</f>
        <v/>
      </c>
    </row>
    <row r="302" spans="1:9" x14ac:dyDescent="0.25">
      <c r="A302" s="137"/>
      <c r="B302" s="137" t="str">
        <f>IFERROR(INDEX(_xlfn.VSTACK(YES_Writing_ELA[#Data], YES_Writing_FLA[#Data]),MATCH($A302,_xlfn.VSTACK(YES_Writing_ELA[Student Number], YES_Writing_FLA[Student Number]),0),MATCH(B$7,YES_Writing_ELA[#Headers],0)),IFERROR(INDEX(_xlfn.VSTACK(YES_Reading_ELA[#Data], YES_Reading_FLA[#Data]),MATCH($A302,_xlfn.VSTACK(YES_Reading_ELA[Student Number], YES_Reading_FLA[Student Number]),0),MATCH(B$7,YES_Reading_ELA[#Headers],0)),""))</f>
        <v/>
      </c>
      <c r="C302" s="137" t="str">
        <f>IFERROR(INDEX(_xlfn.VSTACK(YES_Writing_ELA[#Data], YES_Writing_FLA[#Data]),MATCH($A302,_xlfn.VSTACK(YES_Writing_ELA[Student Number], YES_Writing_FLA[Student Number]),0),MATCH(C$7,YES_Writing_ELA[#Headers],0)),IFERROR(INDEX(_xlfn.VSTACK(YES_Reading_ELA[#Data], YES_Reading_FLA[#Data]),MATCH($A302,_xlfn.VSTACK(YES_Reading_ELA[Student Number], YES_Reading_FLA[Student Number]),0),MATCH(C$7,YES_Reading_ELA[#Headers],0)),""))</f>
        <v/>
      </c>
      <c r="D302" s="138" t="str">
        <f>IFERROR(IF(IF(INDEX(_xlfn.VSTACK(YES_Writing_ELA[#Data],YES_Writing_FLA[#Data]),MATCH($A302,_xlfn.VSTACK(YES_Writing_ELA[Student Number],YES_Writing_FLA[Student Number]),0),MATCH(VLOOKUP(D$7,'Writing Logic'!$J$7:$K$11,2,FALSE)&amp;" - Per "&amp;VLOOKUP($C$4,'Writing Logic'!$G$8:$H$14,2,FALSE),YES_Writing_ELA[#Headers],0))=0,"",INDEX(_xlfn.VSTACK(YES_Writing_ELA[#Data],YES_Writing_FLA[#Data]),MATCH($A302,_xlfn.VSTACK(YES_Writing_ELA[Student Number],YES_Writing_FLA[Student Number]),0),MATCH(VLOOKUP(D$7,'Writing Logic'!$J$7:$K$11,2,FALSE)&amp;" - Per "&amp;VLOOKUP($C$4,'Writing Logic'!$G$8:$H$14,2,FALSE),YES_Writing_ELA[#Headers],0)))="INS",'Writing Logic'!$B$7,IF(INDEX(_xlfn.VSTACK(YES_Writing_ELA[#Data],YES_Writing_FLA[#Data]),MATCH($A302,_xlfn.VSTACK(YES_Writing_ELA[Student Number],YES_Writing_FLA[Student Number]),0),MATCH(VLOOKUP(D$7,'Writing Logic'!$J$7:$K$11,2,FALSE)&amp;" - Per "&amp;VLOOKUP($C$4,'Writing Logic'!$G$8:$H$14,2,FALSE),YES_Writing_ELA[#Headers],0))=0,"",INDEX(_xlfn.VSTACK(YES_Writing_ELA[#Data],YES_Writing_FLA[#Data]),MATCH($A302,_xlfn.VSTACK(YES_Writing_ELA[Student Number],YES_Writing_FLA[Student Number]),0),MATCH(VLOOKUP(D$7,'Writing Logic'!$J$7:$K$11,2,FALSE)&amp;" - Per "&amp;VLOOKUP($C$4,'Writing Logic'!$G$8:$H$14,2,FALSE),YES_Writing_ELA[#Headers],0)))),"")</f>
        <v/>
      </c>
      <c r="E302" s="138" t="str">
        <f>IFERROR(IF(IF(INDEX(_xlfn.VSTACK(YES_Writing_ELA[#Data],YES_Writing_FLA[#Data]),MATCH($A302,_xlfn.VSTACK(YES_Writing_ELA[Student Number],YES_Writing_FLA[Student Number]),0),MATCH(VLOOKUP(E$7,'Writing Logic'!$J$7:$K$11,2,FALSE)&amp;" - Per "&amp;VLOOKUP($C$4,'Writing Logic'!$G$8:$H$14,2,FALSE),YES_Writing_ELA[#Headers],0))=0,"",INDEX(_xlfn.VSTACK(YES_Writing_ELA[#Data],YES_Writing_FLA[#Data]),MATCH($A302,_xlfn.VSTACK(YES_Writing_ELA[Student Number],YES_Writing_FLA[Student Number]),0),MATCH(VLOOKUP(E$7,'Writing Logic'!$J$7:$K$11,2,FALSE)&amp;" - Per "&amp;VLOOKUP($C$4,'Writing Logic'!$G$8:$H$14,2,FALSE),YES_Writing_ELA[#Headers],0)))="INS",'Writing Logic'!$B$7,IF(INDEX(_xlfn.VSTACK(YES_Writing_ELA[#Data],YES_Writing_FLA[#Data]),MATCH($A302,_xlfn.VSTACK(YES_Writing_ELA[Student Number],YES_Writing_FLA[Student Number]),0),MATCH(VLOOKUP(E$7,'Writing Logic'!$J$7:$K$11,2,FALSE)&amp;" - Per "&amp;VLOOKUP($C$4,'Writing Logic'!$G$8:$H$14,2,FALSE),YES_Writing_ELA[#Headers],0))=0,"",INDEX(_xlfn.VSTACK(YES_Writing_ELA[#Data],YES_Writing_FLA[#Data]),MATCH($A302,_xlfn.VSTACK(YES_Writing_ELA[Student Number],YES_Writing_FLA[Student Number]),0),MATCH(VLOOKUP(E$7,'Writing Logic'!$J$7:$K$11,2,FALSE)&amp;" - Per "&amp;VLOOKUP($C$4,'Writing Logic'!$G$8:$H$14,2,FALSE),YES_Writing_ELA[#Headers],0)))),"")</f>
        <v/>
      </c>
      <c r="F302" s="138" t="str">
        <f>IFERROR(IF(IF(INDEX(_xlfn.VSTACK(YES_Writing_ELA[#Data],YES_Writing_FLA[#Data]),MATCH($A302,_xlfn.VSTACK(YES_Writing_ELA[Student Number],YES_Writing_FLA[Student Number]),0),MATCH(VLOOKUP(F$7,'Writing Logic'!$J$7:$K$11,2,FALSE)&amp;" - Per "&amp;VLOOKUP($C$4,'Writing Logic'!$G$8:$H$14,2,FALSE),YES_Writing_ELA[#Headers],0))=0,"",INDEX(_xlfn.VSTACK(YES_Writing_ELA[#Data],YES_Writing_FLA[#Data]),MATCH($A302,_xlfn.VSTACK(YES_Writing_ELA[Student Number],YES_Writing_FLA[Student Number]),0),MATCH(VLOOKUP(F$7,'Writing Logic'!$J$7:$K$11,2,FALSE)&amp;" - Per "&amp;VLOOKUP($C$4,'Writing Logic'!$G$8:$H$14,2,FALSE),YES_Writing_ELA[#Headers],0)))="INS",'Writing Logic'!$B$7,IF(INDEX(_xlfn.VSTACK(YES_Writing_ELA[#Data],YES_Writing_FLA[#Data]),MATCH($A302,_xlfn.VSTACK(YES_Writing_ELA[Student Number],YES_Writing_FLA[Student Number]),0),MATCH(VLOOKUP(F$7,'Writing Logic'!$J$7:$K$11,2,FALSE)&amp;" - Per "&amp;VLOOKUP($C$4,'Writing Logic'!$G$8:$H$14,2,FALSE),YES_Writing_ELA[#Headers],0))=0,"",INDEX(_xlfn.VSTACK(YES_Writing_ELA[#Data],YES_Writing_FLA[#Data]),MATCH($A302,_xlfn.VSTACK(YES_Writing_ELA[Student Number],YES_Writing_FLA[Student Number]),0),MATCH(VLOOKUP(F$7,'Writing Logic'!$J$7:$K$11,2,FALSE)&amp;" - Per "&amp;VLOOKUP($C$4,'Writing Logic'!$G$8:$H$14,2,FALSE),YES_Writing_ELA[#Headers],0)))),"")</f>
        <v/>
      </c>
      <c r="G302" s="138" t="str">
        <f>IFERROR(IF(IF(INDEX(_xlfn.VSTACK(YES_Writing_ELA[#Data],YES_Writing_FLA[#Data]),MATCH($A302,_xlfn.VSTACK(YES_Writing_ELA[Student Number],YES_Writing_FLA[Student Number]),0),MATCH(VLOOKUP(G$7,'Writing Logic'!$J$7:$K$11,2,FALSE)&amp;" - Per "&amp;VLOOKUP($C$4,'Writing Logic'!$G$8:$H$14,2,FALSE),YES_Writing_ELA[#Headers],0))=0,"",INDEX(_xlfn.VSTACK(YES_Writing_ELA[#Data],YES_Writing_FLA[#Data]),MATCH($A302,_xlfn.VSTACK(YES_Writing_ELA[Student Number],YES_Writing_FLA[Student Number]),0),MATCH(VLOOKUP(G$7,'Writing Logic'!$J$7:$K$11,2,FALSE)&amp;" - Per "&amp;VLOOKUP($C$4,'Writing Logic'!$G$8:$H$14,2,FALSE),YES_Writing_ELA[#Headers],0)))="INS",'Writing Logic'!$B$7,IF(INDEX(_xlfn.VSTACK(YES_Writing_ELA[#Data],YES_Writing_FLA[#Data]),MATCH($A302,_xlfn.VSTACK(YES_Writing_ELA[Student Number],YES_Writing_FLA[Student Number]),0),MATCH(VLOOKUP(G$7,'Writing Logic'!$J$7:$K$11,2,FALSE)&amp;" - Per "&amp;VLOOKUP($C$4,'Writing Logic'!$G$8:$H$14,2,FALSE),YES_Writing_ELA[#Headers],0))=0,"",INDEX(_xlfn.VSTACK(YES_Writing_ELA[#Data],YES_Writing_FLA[#Data]),MATCH($A302,_xlfn.VSTACK(YES_Writing_ELA[Student Number],YES_Writing_FLA[Student Number]),0),MATCH(VLOOKUP(G$7,'Writing Logic'!$J$7:$K$11,2,FALSE)&amp;" - Per "&amp;VLOOKUP($C$4,'Writing Logic'!$G$8:$H$14,2,FALSE),YES_Writing_ELA[#Headers],0)))),"")</f>
        <v/>
      </c>
      <c r="H302" s="223" t="str">
        <f>IFERROR(IF(IF(INDEX(_xlfn.VSTACK(YES_Writing_ELA[#Data],YES_Writing_FLA[#Data]),MATCH($A302,_xlfn.VSTACK(YES_Writing_ELA[Student Number],YES_Writing_FLA[Student Number]),0),MATCH(VLOOKUP(H$7,'Writing Logic'!$J$7:$K$11,2,FALSE)&amp;" - Per "&amp;VLOOKUP($C$4,'Writing Logic'!$G$8:$H$14,2,FALSE),YES_Writing_ELA[#Headers],0))=0,"",INDEX(_xlfn.VSTACK(YES_Writing_ELA[#Data],YES_Writing_FLA[#Data]),MATCH($A302,_xlfn.VSTACK(YES_Writing_ELA[Student Number],YES_Writing_FLA[Student Number]),0),MATCH(VLOOKUP(H$7,'Writing Logic'!$J$7:$K$11,2,FALSE)&amp;" - Per "&amp;VLOOKUP($C$4,'Writing Logic'!$G$8:$H$14,2,FALSE),YES_Writing_ELA[#Headers],0)))="INS",'Writing Logic'!$B$7,IF(INDEX(_xlfn.VSTACK(YES_Writing_ELA[#Data],YES_Writing_FLA[#Data]),MATCH($A302,_xlfn.VSTACK(YES_Writing_ELA[Student Number],YES_Writing_FLA[Student Number]),0),MATCH(VLOOKUP(H$7,'Writing Logic'!$J$7:$K$11,2,FALSE)&amp;" - Per "&amp;VLOOKUP($C$4,'Writing Logic'!$G$8:$H$14,2,FALSE),YES_Writing_ELA[#Headers],0))=0,"",INDEX(_xlfn.VSTACK(YES_Writing_ELA[#Data],YES_Writing_FLA[#Data]),MATCH($A302,_xlfn.VSTACK(YES_Writing_ELA[Student Number],YES_Writing_FLA[Student Number]),0),MATCH(VLOOKUP(H$7,'Writing Logic'!$J$7:$K$11,2,FALSE)&amp;" - Per "&amp;VLOOKUP($C$4,'Writing Logic'!$G$8:$H$14,2,FALSE),YES_Writing_ELA[#Headers],0)))),"")</f>
        <v/>
      </c>
      <c r="I302" s="224" t="str" cm="1">
        <f t="array" aca="1" ref="I302" ca="1">IFERROR(
IF($G$3="ELA",
IF(VLOOKUP($A302, YES_Reading_ELA[], COLUMN(INDIRECT("YES_Reading_ELA[Difference - Per "&amp;VLOOKUP($G$4, 'Reading Report Logic'!$A$2:$B$8, 2, FALSE)&amp;"]")), FALSE)="", "",
VLOOKUP($A302,YES_Reading_ELA[], COLUMN(INDIRECT("YES_Reading_ELA[Difference - Per "&amp;VLOOKUP($G$4,'Reading Report Logic'!$A$2:$B$8,2,FALSE)&amp;"]")), FALSE)),
IF($G$3="FLA",
IF(VLOOKUP($A302, YES_Reading_FLA[], COLUMN(INDIRECT("YES_Reading_FLA[Difference - Per "&amp;VLOOKUP($G$4,'Reading Report Logic'!$A$2:$B$8,2,FALSE)&amp;"]")),FALSE)="","",
VLOOKUP($A302,YES_Reading_FLA[],COLUMN(INDIRECT("YES_Reading_FLA[Difference - Per "&amp;VLOOKUP($G$4,'Reading Report Logic'!$A$2:$B$8,2,FALSE)&amp;"]")),FALSE)),
IF($G$3="Combined",
IFERROR(
IF(VLOOKUP($A302, YES_Reading_ELA[], COLUMN(INDIRECT("YES_Reading_ELA[Difference - Per "&amp;VLOOKUP($G$4, 'Reading Report Logic'!$A$2:$B$8,2,FALSE)&amp;"]")), FALSE)="", "",
VLOOKUP($A302,YES_Reading_ELA[],COLUMN(INDIRECT("YES_Reading_ELA[Difference - Per "&amp;VLOOKUP($G$4,'Reading Report Logic'!$A$2:$B$8,2,FALSE)&amp;"]")),FALSE)),
IF(VLOOKUP($A302, YES_Reading_FLA[], COLUMN(INDIRECT("YES_Reading_FLA[Difference - Per "&amp;VLOOKUP($G$4, 'Reading Report Logic'!$A$2:$B$8, 2, FALSE)&amp;"]")),FALSE)="", "", VLOOKUP($A302,YES_Reading_FLA[],COLUMN(INDIRECT("YES_Reading_FLA[Difference - Per "&amp;VLOOKUP($G$4, 'Reading Report Logic'!$A$2:$B$8, 2, FALSE)&amp;"]")),FALSE))),""))),"")</f>
        <v/>
      </c>
    </row>
    <row r="303" spans="1:9" x14ac:dyDescent="0.25">
      <c r="A303" s="137"/>
      <c r="B303" s="137" t="str">
        <f>IFERROR(INDEX(_xlfn.VSTACK(YES_Writing_ELA[#Data], YES_Writing_FLA[#Data]),MATCH($A303,_xlfn.VSTACK(YES_Writing_ELA[Student Number], YES_Writing_FLA[Student Number]),0),MATCH(B$7,YES_Writing_ELA[#Headers],0)),IFERROR(INDEX(_xlfn.VSTACK(YES_Reading_ELA[#Data], YES_Reading_FLA[#Data]),MATCH($A303,_xlfn.VSTACK(YES_Reading_ELA[Student Number], YES_Reading_FLA[Student Number]),0),MATCH(B$7,YES_Reading_ELA[#Headers],0)),""))</f>
        <v/>
      </c>
      <c r="C303" s="137" t="str">
        <f>IFERROR(INDEX(_xlfn.VSTACK(YES_Writing_ELA[#Data], YES_Writing_FLA[#Data]),MATCH($A303,_xlfn.VSTACK(YES_Writing_ELA[Student Number], YES_Writing_FLA[Student Number]),0),MATCH(C$7,YES_Writing_ELA[#Headers],0)),IFERROR(INDEX(_xlfn.VSTACK(YES_Reading_ELA[#Data], YES_Reading_FLA[#Data]),MATCH($A303,_xlfn.VSTACK(YES_Reading_ELA[Student Number], YES_Reading_FLA[Student Number]),0),MATCH(C$7,YES_Reading_ELA[#Headers],0)),""))</f>
        <v/>
      </c>
      <c r="D303" s="138" t="str">
        <f>IFERROR(IF(IF(INDEX(_xlfn.VSTACK(YES_Writing_ELA[#Data],YES_Writing_FLA[#Data]),MATCH($A303,_xlfn.VSTACK(YES_Writing_ELA[Student Number],YES_Writing_FLA[Student Number]),0),MATCH(VLOOKUP(D$7,'Writing Logic'!$J$7:$K$11,2,FALSE)&amp;" - Per "&amp;VLOOKUP($C$4,'Writing Logic'!$G$8:$H$14,2,FALSE),YES_Writing_ELA[#Headers],0))=0,"",INDEX(_xlfn.VSTACK(YES_Writing_ELA[#Data],YES_Writing_FLA[#Data]),MATCH($A303,_xlfn.VSTACK(YES_Writing_ELA[Student Number],YES_Writing_FLA[Student Number]),0),MATCH(VLOOKUP(D$7,'Writing Logic'!$J$7:$K$11,2,FALSE)&amp;" - Per "&amp;VLOOKUP($C$4,'Writing Logic'!$G$8:$H$14,2,FALSE),YES_Writing_ELA[#Headers],0)))="INS",'Writing Logic'!$B$7,IF(INDEX(_xlfn.VSTACK(YES_Writing_ELA[#Data],YES_Writing_FLA[#Data]),MATCH($A303,_xlfn.VSTACK(YES_Writing_ELA[Student Number],YES_Writing_FLA[Student Number]),0),MATCH(VLOOKUP(D$7,'Writing Logic'!$J$7:$K$11,2,FALSE)&amp;" - Per "&amp;VLOOKUP($C$4,'Writing Logic'!$G$8:$H$14,2,FALSE),YES_Writing_ELA[#Headers],0))=0,"",INDEX(_xlfn.VSTACK(YES_Writing_ELA[#Data],YES_Writing_FLA[#Data]),MATCH($A303,_xlfn.VSTACK(YES_Writing_ELA[Student Number],YES_Writing_FLA[Student Number]),0),MATCH(VLOOKUP(D$7,'Writing Logic'!$J$7:$K$11,2,FALSE)&amp;" - Per "&amp;VLOOKUP($C$4,'Writing Logic'!$G$8:$H$14,2,FALSE),YES_Writing_ELA[#Headers],0)))),"")</f>
        <v/>
      </c>
      <c r="E303" s="138" t="str">
        <f>IFERROR(IF(IF(INDEX(_xlfn.VSTACK(YES_Writing_ELA[#Data],YES_Writing_FLA[#Data]),MATCH($A303,_xlfn.VSTACK(YES_Writing_ELA[Student Number],YES_Writing_FLA[Student Number]),0),MATCH(VLOOKUP(E$7,'Writing Logic'!$J$7:$K$11,2,FALSE)&amp;" - Per "&amp;VLOOKUP($C$4,'Writing Logic'!$G$8:$H$14,2,FALSE),YES_Writing_ELA[#Headers],0))=0,"",INDEX(_xlfn.VSTACK(YES_Writing_ELA[#Data],YES_Writing_FLA[#Data]),MATCH($A303,_xlfn.VSTACK(YES_Writing_ELA[Student Number],YES_Writing_FLA[Student Number]),0),MATCH(VLOOKUP(E$7,'Writing Logic'!$J$7:$K$11,2,FALSE)&amp;" - Per "&amp;VLOOKUP($C$4,'Writing Logic'!$G$8:$H$14,2,FALSE),YES_Writing_ELA[#Headers],0)))="INS",'Writing Logic'!$B$7,IF(INDEX(_xlfn.VSTACK(YES_Writing_ELA[#Data],YES_Writing_FLA[#Data]),MATCH($A303,_xlfn.VSTACK(YES_Writing_ELA[Student Number],YES_Writing_FLA[Student Number]),0),MATCH(VLOOKUP(E$7,'Writing Logic'!$J$7:$K$11,2,FALSE)&amp;" - Per "&amp;VLOOKUP($C$4,'Writing Logic'!$G$8:$H$14,2,FALSE),YES_Writing_ELA[#Headers],0))=0,"",INDEX(_xlfn.VSTACK(YES_Writing_ELA[#Data],YES_Writing_FLA[#Data]),MATCH($A303,_xlfn.VSTACK(YES_Writing_ELA[Student Number],YES_Writing_FLA[Student Number]),0),MATCH(VLOOKUP(E$7,'Writing Logic'!$J$7:$K$11,2,FALSE)&amp;" - Per "&amp;VLOOKUP($C$4,'Writing Logic'!$G$8:$H$14,2,FALSE),YES_Writing_ELA[#Headers],0)))),"")</f>
        <v/>
      </c>
      <c r="F303" s="138" t="str">
        <f>IFERROR(IF(IF(INDEX(_xlfn.VSTACK(YES_Writing_ELA[#Data],YES_Writing_FLA[#Data]),MATCH($A303,_xlfn.VSTACK(YES_Writing_ELA[Student Number],YES_Writing_FLA[Student Number]),0),MATCH(VLOOKUP(F$7,'Writing Logic'!$J$7:$K$11,2,FALSE)&amp;" - Per "&amp;VLOOKUP($C$4,'Writing Logic'!$G$8:$H$14,2,FALSE),YES_Writing_ELA[#Headers],0))=0,"",INDEX(_xlfn.VSTACK(YES_Writing_ELA[#Data],YES_Writing_FLA[#Data]),MATCH($A303,_xlfn.VSTACK(YES_Writing_ELA[Student Number],YES_Writing_FLA[Student Number]),0),MATCH(VLOOKUP(F$7,'Writing Logic'!$J$7:$K$11,2,FALSE)&amp;" - Per "&amp;VLOOKUP($C$4,'Writing Logic'!$G$8:$H$14,2,FALSE),YES_Writing_ELA[#Headers],0)))="INS",'Writing Logic'!$B$7,IF(INDEX(_xlfn.VSTACK(YES_Writing_ELA[#Data],YES_Writing_FLA[#Data]),MATCH($A303,_xlfn.VSTACK(YES_Writing_ELA[Student Number],YES_Writing_FLA[Student Number]),0),MATCH(VLOOKUP(F$7,'Writing Logic'!$J$7:$K$11,2,FALSE)&amp;" - Per "&amp;VLOOKUP($C$4,'Writing Logic'!$G$8:$H$14,2,FALSE),YES_Writing_ELA[#Headers],0))=0,"",INDEX(_xlfn.VSTACK(YES_Writing_ELA[#Data],YES_Writing_FLA[#Data]),MATCH($A303,_xlfn.VSTACK(YES_Writing_ELA[Student Number],YES_Writing_FLA[Student Number]),0),MATCH(VLOOKUP(F$7,'Writing Logic'!$J$7:$K$11,2,FALSE)&amp;" - Per "&amp;VLOOKUP($C$4,'Writing Logic'!$G$8:$H$14,2,FALSE),YES_Writing_ELA[#Headers],0)))),"")</f>
        <v/>
      </c>
      <c r="G303" s="138" t="str">
        <f>IFERROR(IF(IF(INDEX(_xlfn.VSTACK(YES_Writing_ELA[#Data],YES_Writing_FLA[#Data]),MATCH($A303,_xlfn.VSTACK(YES_Writing_ELA[Student Number],YES_Writing_FLA[Student Number]),0),MATCH(VLOOKUP(G$7,'Writing Logic'!$J$7:$K$11,2,FALSE)&amp;" - Per "&amp;VLOOKUP($C$4,'Writing Logic'!$G$8:$H$14,2,FALSE),YES_Writing_ELA[#Headers],0))=0,"",INDEX(_xlfn.VSTACK(YES_Writing_ELA[#Data],YES_Writing_FLA[#Data]),MATCH($A303,_xlfn.VSTACK(YES_Writing_ELA[Student Number],YES_Writing_FLA[Student Number]),0),MATCH(VLOOKUP(G$7,'Writing Logic'!$J$7:$K$11,2,FALSE)&amp;" - Per "&amp;VLOOKUP($C$4,'Writing Logic'!$G$8:$H$14,2,FALSE),YES_Writing_ELA[#Headers],0)))="INS",'Writing Logic'!$B$7,IF(INDEX(_xlfn.VSTACK(YES_Writing_ELA[#Data],YES_Writing_FLA[#Data]),MATCH($A303,_xlfn.VSTACK(YES_Writing_ELA[Student Number],YES_Writing_FLA[Student Number]),0),MATCH(VLOOKUP(G$7,'Writing Logic'!$J$7:$K$11,2,FALSE)&amp;" - Per "&amp;VLOOKUP($C$4,'Writing Logic'!$G$8:$H$14,2,FALSE),YES_Writing_ELA[#Headers],0))=0,"",INDEX(_xlfn.VSTACK(YES_Writing_ELA[#Data],YES_Writing_FLA[#Data]),MATCH($A303,_xlfn.VSTACK(YES_Writing_ELA[Student Number],YES_Writing_FLA[Student Number]),0),MATCH(VLOOKUP(G$7,'Writing Logic'!$J$7:$K$11,2,FALSE)&amp;" - Per "&amp;VLOOKUP($C$4,'Writing Logic'!$G$8:$H$14,2,FALSE),YES_Writing_ELA[#Headers],0)))),"")</f>
        <v/>
      </c>
      <c r="H303" s="223" t="str">
        <f>IFERROR(IF(IF(INDEX(_xlfn.VSTACK(YES_Writing_ELA[#Data],YES_Writing_FLA[#Data]),MATCH($A303,_xlfn.VSTACK(YES_Writing_ELA[Student Number],YES_Writing_FLA[Student Number]),0),MATCH(VLOOKUP(H$7,'Writing Logic'!$J$7:$K$11,2,FALSE)&amp;" - Per "&amp;VLOOKUP($C$4,'Writing Logic'!$G$8:$H$14,2,FALSE),YES_Writing_ELA[#Headers],0))=0,"",INDEX(_xlfn.VSTACK(YES_Writing_ELA[#Data],YES_Writing_FLA[#Data]),MATCH($A303,_xlfn.VSTACK(YES_Writing_ELA[Student Number],YES_Writing_FLA[Student Number]),0),MATCH(VLOOKUP(H$7,'Writing Logic'!$J$7:$K$11,2,FALSE)&amp;" - Per "&amp;VLOOKUP($C$4,'Writing Logic'!$G$8:$H$14,2,FALSE),YES_Writing_ELA[#Headers],0)))="INS",'Writing Logic'!$B$7,IF(INDEX(_xlfn.VSTACK(YES_Writing_ELA[#Data],YES_Writing_FLA[#Data]),MATCH($A303,_xlfn.VSTACK(YES_Writing_ELA[Student Number],YES_Writing_FLA[Student Number]),0),MATCH(VLOOKUP(H$7,'Writing Logic'!$J$7:$K$11,2,FALSE)&amp;" - Per "&amp;VLOOKUP($C$4,'Writing Logic'!$G$8:$H$14,2,FALSE),YES_Writing_ELA[#Headers],0))=0,"",INDEX(_xlfn.VSTACK(YES_Writing_ELA[#Data],YES_Writing_FLA[#Data]),MATCH($A303,_xlfn.VSTACK(YES_Writing_ELA[Student Number],YES_Writing_FLA[Student Number]),0),MATCH(VLOOKUP(H$7,'Writing Logic'!$J$7:$K$11,2,FALSE)&amp;" - Per "&amp;VLOOKUP($C$4,'Writing Logic'!$G$8:$H$14,2,FALSE),YES_Writing_ELA[#Headers],0)))),"")</f>
        <v/>
      </c>
      <c r="I303" s="224" t="str" cm="1">
        <f t="array" aca="1" ref="I303" ca="1">IFERROR(
IF($G$3="ELA",
IF(VLOOKUP($A303, YES_Reading_ELA[], COLUMN(INDIRECT("YES_Reading_ELA[Difference - Per "&amp;VLOOKUP($G$4, 'Reading Report Logic'!$A$2:$B$8, 2, FALSE)&amp;"]")), FALSE)="", "",
VLOOKUP($A303,YES_Reading_ELA[], COLUMN(INDIRECT("YES_Reading_ELA[Difference - Per "&amp;VLOOKUP($G$4,'Reading Report Logic'!$A$2:$B$8,2,FALSE)&amp;"]")), FALSE)),
IF($G$3="FLA",
IF(VLOOKUP($A303, YES_Reading_FLA[], COLUMN(INDIRECT("YES_Reading_FLA[Difference - Per "&amp;VLOOKUP($G$4,'Reading Report Logic'!$A$2:$B$8,2,FALSE)&amp;"]")),FALSE)="","",
VLOOKUP($A303,YES_Reading_FLA[],COLUMN(INDIRECT("YES_Reading_FLA[Difference - Per "&amp;VLOOKUP($G$4,'Reading Report Logic'!$A$2:$B$8,2,FALSE)&amp;"]")),FALSE)),
IF($G$3="Combined",
IFERROR(
IF(VLOOKUP($A303, YES_Reading_ELA[], COLUMN(INDIRECT("YES_Reading_ELA[Difference - Per "&amp;VLOOKUP($G$4, 'Reading Report Logic'!$A$2:$B$8,2,FALSE)&amp;"]")), FALSE)="", "",
VLOOKUP($A303,YES_Reading_ELA[],COLUMN(INDIRECT("YES_Reading_ELA[Difference - Per "&amp;VLOOKUP($G$4,'Reading Report Logic'!$A$2:$B$8,2,FALSE)&amp;"]")),FALSE)),
IF(VLOOKUP($A303, YES_Reading_FLA[], COLUMN(INDIRECT("YES_Reading_FLA[Difference - Per "&amp;VLOOKUP($G$4, 'Reading Report Logic'!$A$2:$B$8, 2, FALSE)&amp;"]")),FALSE)="", "", VLOOKUP($A303,YES_Reading_FLA[],COLUMN(INDIRECT("YES_Reading_FLA[Difference - Per "&amp;VLOOKUP($G$4, 'Reading Report Logic'!$A$2:$B$8, 2, FALSE)&amp;"]")),FALSE))),""))),"")</f>
        <v/>
      </c>
    </row>
    <row r="304" spans="1:9" x14ac:dyDescent="0.25">
      <c r="A304" s="137"/>
      <c r="B304" s="137" t="str">
        <f>IFERROR(INDEX(_xlfn.VSTACK(YES_Writing_ELA[#Data], YES_Writing_FLA[#Data]),MATCH($A304,_xlfn.VSTACK(YES_Writing_ELA[Student Number], YES_Writing_FLA[Student Number]),0),MATCH(B$7,YES_Writing_ELA[#Headers],0)),IFERROR(INDEX(_xlfn.VSTACK(YES_Reading_ELA[#Data], YES_Reading_FLA[#Data]),MATCH($A304,_xlfn.VSTACK(YES_Reading_ELA[Student Number], YES_Reading_FLA[Student Number]),0),MATCH(B$7,YES_Reading_ELA[#Headers],0)),""))</f>
        <v/>
      </c>
      <c r="C304" s="137" t="str">
        <f>IFERROR(INDEX(_xlfn.VSTACK(YES_Writing_ELA[#Data], YES_Writing_FLA[#Data]),MATCH($A304,_xlfn.VSTACK(YES_Writing_ELA[Student Number], YES_Writing_FLA[Student Number]),0),MATCH(C$7,YES_Writing_ELA[#Headers],0)),IFERROR(INDEX(_xlfn.VSTACK(YES_Reading_ELA[#Data], YES_Reading_FLA[#Data]),MATCH($A304,_xlfn.VSTACK(YES_Reading_ELA[Student Number], YES_Reading_FLA[Student Number]),0),MATCH(C$7,YES_Reading_ELA[#Headers],0)),""))</f>
        <v/>
      </c>
      <c r="D304" s="138" t="str">
        <f>IFERROR(IF(IF(INDEX(_xlfn.VSTACK(YES_Writing_ELA[#Data],YES_Writing_FLA[#Data]),MATCH($A304,_xlfn.VSTACK(YES_Writing_ELA[Student Number],YES_Writing_FLA[Student Number]),0),MATCH(VLOOKUP(D$7,'Writing Logic'!$J$7:$K$11,2,FALSE)&amp;" - Per "&amp;VLOOKUP($C$4,'Writing Logic'!$G$8:$H$14,2,FALSE),YES_Writing_ELA[#Headers],0))=0,"",INDEX(_xlfn.VSTACK(YES_Writing_ELA[#Data],YES_Writing_FLA[#Data]),MATCH($A304,_xlfn.VSTACK(YES_Writing_ELA[Student Number],YES_Writing_FLA[Student Number]),0),MATCH(VLOOKUP(D$7,'Writing Logic'!$J$7:$K$11,2,FALSE)&amp;" - Per "&amp;VLOOKUP($C$4,'Writing Logic'!$G$8:$H$14,2,FALSE),YES_Writing_ELA[#Headers],0)))="INS",'Writing Logic'!$B$7,IF(INDEX(_xlfn.VSTACK(YES_Writing_ELA[#Data],YES_Writing_FLA[#Data]),MATCH($A304,_xlfn.VSTACK(YES_Writing_ELA[Student Number],YES_Writing_FLA[Student Number]),0),MATCH(VLOOKUP(D$7,'Writing Logic'!$J$7:$K$11,2,FALSE)&amp;" - Per "&amp;VLOOKUP($C$4,'Writing Logic'!$G$8:$H$14,2,FALSE),YES_Writing_ELA[#Headers],0))=0,"",INDEX(_xlfn.VSTACK(YES_Writing_ELA[#Data],YES_Writing_FLA[#Data]),MATCH($A304,_xlfn.VSTACK(YES_Writing_ELA[Student Number],YES_Writing_FLA[Student Number]),0),MATCH(VLOOKUP(D$7,'Writing Logic'!$J$7:$K$11,2,FALSE)&amp;" - Per "&amp;VLOOKUP($C$4,'Writing Logic'!$G$8:$H$14,2,FALSE),YES_Writing_ELA[#Headers],0)))),"")</f>
        <v/>
      </c>
      <c r="E304" s="138" t="str">
        <f>IFERROR(IF(IF(INDEX(_xlfn.VSTACK(YES_Writing_ELA[#Data],YES_Writing_FLA[#Data]),MATCH($A304,_xlfn.VSTACK(YES_Writing_ELA[Student Number],YES_Writing_FLA[Student Number]),0),MATCH(VLOOKUP(E$7,'Writing Logic'!$J$7:$K$11,2,FALSE)&amp;" - Per "&amp;VLOOKUP($C$4,'Writing Logic'!$G$8:$H$14,2,FALSE),YES_Writing_ELA[#Headers],0))=0,"",INDEX(_xlfn.VSTACK(YES_Writing_ELA[#Data],YES_Writing_FLA[#Data]),MATCH($A304,_xlfn.VSTACK(YES_Writing_ELA[Student Number],YES_Writing_FLA[Student Number]),0),MATCH(VLOOKUP(E$7,'Writing Logic'!$J$7:$K$11,2,FALSE)&amp;" - Per "&amp;VLOOKUP($C$4,'Writing Logic'!$G$8:$H$14,2,FALSE),YES_Writing_ELA[#Headers],0)))="INS",'Writing Logic'!$B$7,IF(INDEX(_xlfn.VSTACK(YES_Writing_ELA[#Data],YES_Writing_FLA[#Data]),MATCH($A304,_xlfn.VSTACK(YES_Writing_ELA[Student Number],YES_Writing_FLA[Student Number]),0),MATCH(VLOOKUP(E$7,'Writing Logic'!$J$7:$K$11,2,FALSE)&amp;" - Per "&amp;VLOOKUP($C$4,'Writing Logic'!$G$8:$H$14,2,FALSE),YES_Writing_ELA[#Headers],0))=0,"",INDEX(_xlfn.VSTACK(YES_Writing_ELA[#Data],YES_Writing_FLA[#Data]),MATCH($A304,_xlfn.VSTACK(YES_Writing_ELA[Student Number],YES_Writing_FLA[Student Number]),0),MATCH(VLOOKUP(E$7,'Writing Logic'!$J$7:$K$11,2,FALSE)&amp;" - Per "&amp;VLOOKUP($C$4,'Writing Logic'!$G$8:$H$14,2,FALSE),YES_Writing_ELA[#Headers],0)))),"")</f>
        <v/>
      </c>
      <c r="F304" s="138" t="str">
        <f>IFERROR(IF(IF(INDEX(_xlfn.VSTACK(YES_Writing_ELA[#Data],YES_Writing_FLA[#Data]),MATCH($A304,_xlfn.VSTACK(YES_Writing_ELA[Student Number],YES_Writing_FLA[Student Number]),0),MATCH(VLOOKUP(F$7,'Writing Logic'!$J$7:$K$11,2,FALSE)&amp;" - Per "&amp;VLOOKUP($C$4,'Writing Logic'!$G$8:$H$14,2,FALSE),YES_Writing_ELA[#Headers],0))=0,"",INDEX(_xlfn.VSTACK(YES_Writing_ELA[#Data],YES_Writing_FLA[#Data]),MATCH($A304,_xlfn.VSTACK(YES_Writing_ELA[Student Number],YES_Writing_FLA[Student Number]),0),MATCH(VLOOKUP(F$7,'Writing Logic'!$J$7:$K$11,2,FALSE)&amp;" - Per "&amp;VLOOKUP($C$4,'Writing Logic'!$G$8:$H$14,2,FALSE),YES_Writing_ELA[#Headers],0)))="INS",'Writing Logic'!$B$7,IF(INDEX(_xlfn.VSTACK(YES_Writing_ELA[#Data],YES_Writing_FLA[#Data]),MATCH($A304,_xlfn.VSTACK(YES_Writing_ELA[Student Number],YES_Writing_FLA[Student Number]),0),MATCH(VLOOKUP(F$7,'Writing Logic'!$J$7:$K$11,2,FALSE)&amp;" - Per "&amp;VLOOKUP($C$4,'Writing Logic'!$G$8:$H$14,2,FALSE),YES_Writing_ELA[#Headers],0))=0,"",INDEX(_xlfn.VSTACK(YES_Writing_ELA[#Data],YES_Writing_FLA[#Data]),MATCH($A304,_xlfn.VSTACK(YES_Writing_ELA[Student Number],YES_Writing_FLA[Student Number]),0),MATCH(VLOOKUP(F$7,'Writing Logic'!$J$7:$K$11,2,FALSE)&amp;" - Per "&amp;VLOOKUP($C$4,'Writing Logic'!$G$8:$H$14,2,FALSE),YES_Writing_ELA[#Headers],0)))),"")</f>
        <v/>
      </c>
      <c r="G304" s="138" t="str">
        <f>IFERROR(IF(IF(INDEX(_xlfn.VSTACK(YES_Writing_ELA[#Data],YES_Writing_FLA[#Data]),MATCH($A304,_xlfn.VSTACK(YES_Writing_ELA[Student Number],YES_Writing_FLA[Student Number]),0),MATCH(VLOOKUP(G$7,'Writing Logic'!$J$7:$K$11,2,FALSE)&amp;" - Per "&amp;VLOOKUP($C$4,'Writing Logic'!$G$8:$H$14,2,FALSE),YES_Writing_ELA[#Headers],0))=0,"",INDEX(_xlfn.VSTACK(YES_Writing_ELA[#Data],YES_Writing_FLA[#Data]),MATCH($A304,_xlfn.VSTACK(YES_Writing_ELA[Student Number],YES_Writing_FLA[Student Number]),0),MATCH(VLOOKUP(G$7,'Writing Logic'!$J$7:$K$11,2,FALSE)&amp;" - Per "&amp;VLOOKUP($C$4,'Writing Logic'!$G$8:$H$14,2,FALSE),YES_Writing_ELA[#Headers],0)))="INS",'Writing Logic'!$B$7,IF(INDEX(_xlfn.VSTACK(YES_Writing_ELA[#Data],YES_Writing_FLA[#Data]),MATCH($A304,_xlfn.VSTACK(YES_Writing_ELA[Student Number],YES_Writing_FLA[Student Number]),0),MATCH(VLOOKUP(G$7,'Writing Logic'!$J$7:$K$11,2,FALSE)&amp;" - Per "&amp;VLOOKUP($C$4,'Writing Logic'!$G$8:$H$14,2,FALSE),YES_Writing_ELA[#Headers],0))=0,"",INDEX(_xlfn.VSTACK(YES_Writing_ELA[#Data],YES_Writing_FLA[#Data]),MATCH($A304,_xlfn.VSTACK(YES_Writing_ELA[Student Number],YES_Writing_FLA[Student Number]),0),MATCH(VLOOKUP(G$7,'Writing Logic'!$J$7:$K$11,2,FALSE)&amp;" - Per "&amp;VLOOKUP($C$4,'Writing Logic'!$G$8:$H$14,2,FALSE),YES_Writing_ELA[#Headers],0)))),"")</f>
        <v/>
      </c>
      <c r="H304" s="223" t="str">
        <f>IFERROR(IF(IF(INDEX(_xlfn.VSTACK(YES_Writing_ELA[#Data],YES_Writing_FLA[#Data]),MATCH($A304,_xlfn.VSTACK(YES_Writing_ELA[Student Number],YES_Writing_FLA[Student Number]),0),MATCH(VLOOKUP(H$7,'Writing Logic'!$J$7:$K$11,2,FALSE)&amp;" - Per "&amp;VLOOKUP($C$4,'Writing Logic'!$G$8:$H$14,2,FALSE),YES_Writing_ELA[#Headers],0))=0,"",INDEX(_xlfn.VSTACK(YES_Writing_ELA[#Data],YES_Writing_FLA[#Data]),MATCH($A304,_xlfn.VSTACK(YES_Writing_ELA[Student Number],YES_Writing_FLA[Student Number]),0),MATCH(VLOOKUP(H$7,'Writing Logic'!$J$7:$K$11,2,FALSE)&amp;" - Per "&amp;VLOOKUP($C$4,'Writing Logic'!$G$8:$H$14,2,FALSE),YES_Writing_ELA[#Headers],0)))="INS",'Writing Logic'!$B$7,IF(INDEX(_xlfn.VSTACK(YES_Writing_ELA[#Data],YES_Writing_FLA[#Data]),MATCH($A304,_xlfn.VSTACK(YES_Writing_ELA[Student Number],YES_Writing_FLA[Student Number]),0),MATCH(VLOOKUP(H$7,'Writing Logic'!$J$7:$K$11,2,FALSE)&amp;" - Per "&amp;VLOOKUP($C$4,'Writing Logic'!$G$8:$H$14,2,FALSE),YES_Writing_ELA[#Headers],0))=0,"",INDEX(_xlfn.VSTACK(YES_Writing_ELA[#Data],YES_Writing_FLA[#Data]),MATCH($A304,_xlfn.VSTACK(YES_Writing_ELA[Student Number],YES_Writing_FLA[Student Number]),0),MATCH(VLOOKUP(H$7,'Writing Logic'!$J$7:$K$11,2,FALSE)&amp;" - Per "&amp;VLOOKUP($C$4,'Writing Logic'!$G$8:$H$14,2,FALSE),YES_Writing_ELA[#Headers],0)))),"")</f>
        <v/>
      </c>
      <c r="I304" s="224" t="str" cm="1">
        <f t="array" aca="1" ref="I304" ca="1">IFERROR(
IF($G$3="ELA",
IF(VLOOKUP($A304, YES_Reading_ELA[], COLUMN(INDIRECT("YES_Reading_ELA[Difference - Per "&amp;VLOOKUP($G$4, 'Reading Report Logic'!$A$2:$B$8, 2, FALSE)&amp;"]")), FALSE)="", "",
VLOOKUP($A304,YES_Reading_ELA[], COLUMN(INDIRECT("YES_Reading_ELA[Difference - Per "&amp;VLOOKUP($G$4,'Reading Report Logic'!$A$2:$B$8,2,FALSE)&amp;"]")), FALSE)),
IF($G$3="FLA",
IF(VLOOKUP($A304, YES_Reading_FLA[], COLUMN(INDIRECT("YES_Reading_FLA[Difference - Per "&amp;VLOOKUP($G$4,'Reading Report Logic'!$A$2:$B$8,2,FALSE)&amp;"]")),FALSE)="","",
VLOOKUP($A304,YES_Reading_FLA[],COLUMN(INDIRECT("YES_Reading_FLA[Difference - Per "&amp;VLOOKUP($G$4,'Reading Report Logic'!$A$2:$B$8,2,FALSE)&amp;"]")),FALSE)),
IF($G$3="Combined",
IFERROR(
IF(VLOOKUP($A304, YES_Reading_ELA[], COLUMN(INDIRECT("YES_Reading_ELA[Difference - Per "&amp;VLOOKUP($G$4, 'Reading Report Logic'!$A$2:$B$8,2,FALSE)&amp;"]")), FALSE)="", "",
VLOOKUP($A304,YES_Reading_ELA[],COLUMN(INDIRECT("YES_Reading_ELA[Difference - Per "&amp;VLOOKUP($G$4,'Reading Report Logic'!$A$2:$B$8,2,FALSE)&amp;"]")),FALSE)),
IF(VLOOKUP($A304, YES_Reading_FLA[], COLUMN(INDIRECT("YES_Reading_FLA[Difference - Per "&amp;VLOOKUP($G$4, 'Reading Report Logic'!$A$2:$B$8, 2, FALSE)&amp;"]")),FALSE)="", "", VLOOKUP($A304,YES_Reading_FLA[],COLUMN(INDIRECT("YES_Reading_FLA[Difference - Per "&amp;VLOOKUP($G$4, 'Reading Report Logic'!$A$2:$B$8, 2, FALSE)&amp;"]")),FALSE))),""))),"")</f>
        <v/>
      </c>
    </row>
    <row r="305" spans="1:9" x14ac:dyDescent="0.25">
      <c r="A305" s="137"/>
      <c r="B305" s="137" t="str">
        <f>IFERROR(INDEX(_xlfn.VSTACK(YES_Writing_ELA[#Data], YES_Writing_FLA[#Data]),MATCH($A305,_xlfn.VSTACK(YES_Writing_ELA[Student Number], YES_Writing_FLA[Student Number]),0),MATCH(B$7,YES_Writing_ELA[#Headers],0)),IFERROR(INDEX(_xlfn.VSTACK(YES_Reading_ELA[#Data], YES_Reading_FLA[#Data]),MATCH($A305,_xlfn.VSTACK(YES_Reading_ELA[Student Number], YES_Reading_FLA[Student Number]),0),MATCH(B$7,YES_Reading_ELA[#Headers],0)),""))</f>
        <v/>
      </c>
      <c r="C305" s="137" t="str">
        <f>IFERROR(INDEX(_xlfn.VSTACK(YES_Writing_ELA[#Data], YES_Writing_FLA[#Data]),MATCH($A305,_xlfn.VSTACK(YES_Writing_ELA[Student Number], YES_Writing_FLA[Student Number]),0),MATCH(C$7,YES_Writing_ELA[#Headers],0)),IFERROR(INDEX(_xlfn.VSTACK(YES_Reading_ELA[#Data], YES_Reading_FLA[#Data]),MATCH($A305,_xlfn.VSTACK(YES_Reading_ELA[Student Number], YES_Reading_FLA[Student Number]),0),MATCH(C$7,YES_Reading_ELA[#Headers],0)),""))</f>
        <v/>
      </c>
      <c r="D305" s="138" t="str">
        <f>IFERROR(IF(IF(INDEX(_xlfn.VSTACK(YES_Writing_ELA[#Data],YES_Writing_FLA[#Data]),MATCH($A305,_xlfn.VSTACK(YES_Writing_ELA[Student Number],YES_Writing_FLA[Student Number]),0),MATCH(VLOOKUP(D$7,'Writing Logic'!$J$7:$K$11,2,FALSE)&amp;" - Per "&amp;VLOOKUP($C$4,'Writing Logic'!$G$8:$H$14,2,FALSE),YES_Writing_ELA[#Headers],0))=0,"",INDEX(_xlfn.VSTACK(YES_Writing_ELA[#Data],YES_Writing_FLA[#Data]),MATCH($A305,_xlfn.VSTACK(YES_Writing_ELA[Student Number],YES_Writing_FLA[Student Number]),0),MATCH(VLOOKUP(D$7,'Writing Logic'!$J$7:$K$11,2,FALSE)&amp;" - Per "&amp;VLOOKUP($C$4,'Writing Logic'!$G$8:$H$14,2,FALSE),YES_Writing_ELA[#Headers],0)))="INS",'Writing Logic'!$B$7,IF(INDEX(_xlfn.VSTACK(YES_Writing_ELA[#Data],YES_Writing_FLA[#Data]),MATCH($A305,_xlfn.VSTACK(YES_Writing_ELA[Student Number],YES_Writing_FLA[Student Number]),0),MATCH(VLOOKUP(D$7,'Writing Logic'!$J$7:$K$11,2,FALSE)&amp;" - Per "&amp;VLOOKUP($C$4,'Writing Logic'!$G$8:$H$14,2,FALSE),YES_Writing_ELA[#Headers],0))=0,"",INDEX(_xlfn.VSTACK(YES_Writing_ELA[#Data],YES_Writing_FLA[#Data]),MATCH($A305,_xlfn.VSTACK(YES_Writing_ELA[Student Number],YES_Writing_FLA[Student Number]),0),MATCH(VLOOKUP(D$7,'Writing Logic'!$J$7:$K$11,2,FALSE)&amp;" - Per "&amp;VLOOKUP($C$4,'Writing Logic'!$G$8:$H$14,2,FALSE),YES_Writing_ELA[#Headers],0)))),"")</f>
        <v/>
      </c>
      <c r="E305" s="138" t="str">
        <f>IFERROR(IF(IF(INDEX(_xlfn.VSTACK(YES_Writing_ELA[#Data],YES_Writing_FLA[#Data]),MATCH($A305,_xlfn.VSTACK(YES_Writing_ELA[Student Number],YES_Writing_FLA[Student Number]),0),MATCH(VLOOKUP(E$7,'Writing Logic'!$J$7:$K$11,2,FALSE)&amp;" - Per "&amp;VLOOKUP($C$4,'Writing Logic'!$G$8:$H$14,2,FALSE),YES_Writing_ELA[#Headers],0))=0,"",INDEX(_xlfn.VSTACK(YES_Writing_ELA[#Data],YES_Writing_FLA[#Data]),MATCH($A305,_xlfn.VSTACK(YES_Writing_ELA[Student Number],YES_Writing_FLA[Student Number]),0),MATCH(VLOOKUP(E$7,'Writing Logic'!$J$7:$K$11,2,FALSE)&amp;" - Per "&amp;VLOOKUP($C$4,'Writing Logic'!$G$8:$H$14,2,FALSE),YES_Writing_ELA[#Headers],0)))="INS",'Writing Logic'!$B$7,IF(INDEX(_xlfn.VSTACK(YES_Writing_ELA[#Data],YES_Writing_FLA[#Data]),MATCH($A305,_xlfn.VSTACK(YES_Writing_ELA[Student Number],YES_Writing_FLA[Student Number]),0),MATCH(VLOOKUP(E$7,'Writing Logic'!$J$7:$K$11,2,FALSE)&amp;" - Per "&amp;VLOOKUP($C$4,'Writing Logic'!$G$8:$H$14,2,FALSE),YES_Writing_ELA[#Headers],0))=0,"",INDEX(_xlfn.VSTACK(YES_Writing_ELA[#Data],YES_Writing_FLA[#Data]),MATCH($A305,_xlfn.VSTACK(YES_Writing_ELA[Student Number],YES_Writing_FLA[Student Number]),0),MATCH(VLOOKUP(E$7,'Writing Logic'!$J$7:$K$11,2,FALSE)&amp;" - Per "&amp;VLOOKUP($C$4,'Writing Logic'!$G$8:$H$14,2,FALSE),YES_Writing_ELA[#Headers],0)))),"")</f>
        <v/>
      </c>
      <c r="F305" s="138" t="str">
        <f>IFERROR(IF(IF(INDEX(_xlfn.VSTACK(YES_Writing_ELA[#Data],YES_Writing_FLA[#Data]),MATCH($A305,_xlfn.VSTACK(YES_Writing_ELA[Student Number],YES_Writing_FLA[Student Number]),0),MATCH(VLOOKUP(F$7,'Writing Logic'!$J$7:$K$11,2,FALSE)&amp;" - Per "&amp;VLOOKUP($C$4,'Writing Logic'!$G$8:$H$14,2,FALSE),YES_Writing_ELA[#Headers],0))=0,"",INDEX(_xlfn.VSTACK(YES_Writing_ELA[#Data],YES_Writing_FLA[#Data]),MATCH($A305,_xlfn.VSTACK(YES_Writing_ELA[Student Number],YES_Writing_FLA[Student Number]),0),MATCH(VLOOKUP(F$7,'Writing Logic'!$J$7:$K$11,2,FALSE)&amp;" - Per "&amp;VLOOKUP($C$4,'Writing Logic'!$G$8:$H$14,2,FALSE),YES_Writing_ELA[#Headers],0)))="INS",'Writing Logic'!$B$7,IF(INDEX(_xlfn.VSTACK(YES_Writing_ELA[#Data],YES_Writing_FLA[#Data]),MATCH($A305,_xlfn.VSTACK(YES_Writing_ELA[Student Number],YES_Writing_FLA[Student Number]),0),MATCH(VLOOKUP(F$7,'Writing Logic'!$J$7:$K$11,2,FALSE)&amp;" - Per "&amp;VLOOKUP($C$4,'Writing Logic'!$G$8:$H$14,2,FALSE),YES_Writing_ELA[#Headers],0))=0,"",INDEX(_xlfn.VSTACK(YES_Writing_ELA[#Data],YES_Writing_FLA[#Data]),MATCH($A305,_xlfn.VSTACK(YES_Writing_ELA[Student Number],YES_Writing_FLA[Student Number]),0),MATCH(VLOOKUP(F$7,'Writing Logic'!$J$7:$K$11,2,FALSE)&amp;" - Per "&amp;VLOOKUP($C$4,'Writing Logic'!$G$8:$H$14,2,FALSE),YES_Writing_ELA[#Headers],0)))),"")</f>
        <v/>
      </c>
      <c r="G305" s="138" t="str">
        <f>IFERROR(IF(IF(INDEX(_xlfn.VSTACK(YES_Writing_ELA[#Data],YES_Writing_FLA[#Data]),MATCH($A305,_xlfn.VSTACK(YES_Writing_ELA[Student Number],YES_Writing_FLA[Student Number]),0),MATCH(VLOOKUP(G$7,'Writing Logic'!$J$7:$K$11,2,FALSE)&amp;" - Per "&amp;VLOOKUP($C$4,'Writing Logic'!$G$8:$H$14,2,FALSE),YES_Writing_ELA[#Headers],0))=0,"",INDEX(_xlfn.VSTACK(YES_Writing_ELA[#Data],YES_Writing_FLA[#Data]),MATCH($A305,_xlfn.VSTACK(YES_Writing_ELA[Student Number],YES_Writing_FLA[Student Number]),0),MATCH(VLOOKUP(G$7,'Writing Logic'!$J$7:$K$11,2,FALSE)&amp;" - Per "&amp;VLOOKUP($C$4,'Writing Logic'!$G$8:$H$14,2,FALSE),YES_Writing_ELA[#Headers],0)))="INS",'Writing Logic'!$B$7,IF(INDEX(_xlfn.VSTACK(YES_Writing_ELA[#Data],YES_Writing_FLA[#Data]),MATCH($A305,_xlfn.VSTACK(YES_Writing_ELA[Student Number],YES_Writing_FLA[Student Number]),0),MATCH(VLOOKUP(G$7,'Writing Logic'!$J$7:$K$11,2,FALSE)&amp;" - Per "&amp;VLOOKUP($C$4,'Writing Logic'!$G$8:$H$14,2,FALSE),YES_Writing_ELA[#Headers],0))=0,"",INDEX(_xlfn.VSTACK(YES_Writing_ELA[#Data],YES_Writing_FLA[#Data]),MATCH($A305,_xlfn.VSTACK(YES_Writing_ELA[Student Number],YES_Writing_FLA[Student Number]),0),MATCH(VLOOKUP(G$7,'Writing Logic'!$J$7:$K$11,2,FALSE)&amp;" - Per "&amp;VLOOKUP($C$4,'Writing Logic'!$G$8:$H$14,2,FALSE),YES_Writing_ELA[#Headers],0)))),"")</f>
        <v/>
      </c>
      <c r="H305" s="223" t="str">
        <f>IFERROR(IF(IF(INDEX(_xlfn.VSTACK(YES_Writing_ELA[#Data],YES_Writing_FLA[#Data]),MATCH($A305,_xlfn.VSTACK(YES_Writing_ELA[Student Number],YES_Writing_FLA[Student Number]),0),MATCH(VLOOKUP(H$7,'Writing Logic'!$J$7:$K$11,2,FALSE)&amp;" - Per "&amp;VLOOKUP($C$4,'Writing Logic'!$G$8:$H$14,2,FALSE),YES_Writing_ELA[#Headers],0))=0,"",INDEX(_xlfn.VSTACK(YES_Writing_ELA[#Data],YES_Writing_FLA[#Data]),MATCH($A305,_xlfn.VSTACK(YES_Writing_ELA[Student Number],YES_Writing_FLA[Student Number]),0),MATCH(VLOOKUP(H$7,'Writing Logic'!$J$7:$K$11,2,FALSE)&amp;" - Per "&amp;VLOOKUP($C$4,'Writing Logic'!$G$8:$H$14,2,FALSE),YES_Writing_ELA[#Headers],0)))="INS",'Writing Logic'!$B$7,IF(INDEX(_xlfn.VSTACK(YES_Writing_ELA[#Data],YES_Writing_FLA[#Data]),MATCH($A305,_xlfn.VSTACK(YES_Writing_ELA[Student Number],YES_Writing_FLA[Student Number]),0),MATCH(VLOOKUP(H$7,'Writing Logic'!$J$7:$K$11,2,FALSE)&amp;" - Per "&amp;VLOOKUP($C$4,'Writing Logic'!$G$8:$H$14,2,FALSE),YES_Writing_ELA[#Headers],0))=0,"",INDEX(_xlfn.VSTACK(YES_Writing_ELA[#Data],YES_Writing_FLA[#Data]),MATCH($A305,_xlfn.VSTACK(YES_Writing_ELA[Student Number],YES_Writing_FLA[Student Number]),0),MATCH(VLOOKUP(H$7,'Writing Logic'!$J$7:$K$11,2,FALSE)&amp;" - Per "&amp;VLOOKUP($C$4,'Writing Logic'!$G$8:$H$14,2,FALSE),YES_Writing_ELA[#Headers],0)))),"")</f>
        <v/>
      </c>
      <c r="I305" s="224" t="str" cm="1">
        <f t="array" aca="1" ref="I305" ca="1">IFERROR(
IF($G$3="ELA",
IF(VLOOKUP($A305, YES_Reading_ELA[], COLUMN(INDIRECT("YES_Reading_ELA[Difference - Per "&amp;VLOOKUP($G$4, 'Reading Report Logic'!$A$2:$B$8, 2, FALSE)&amp;"]")), FALSE)="", "",
VLOOKUP($A305,YES_Reading_ELA[], COLUMN(INDIRECT("YES_Reading_ELA[Difference - Per "&amp;VLOOKUP($G$4,'Reading Report Logic'!$A$2:$B$8,2,FALSE)&amp;"]")), FALSE)),
IF($G$3="FLA",
IF(VLOOKUP($A305, YES_Reading_FLA[], COLUMN(INDIRECT("YES_Reading_FLA[Difference - Per "&amp;VLOOKUP($G$4,'Reading Report Logic'!$A$2:$B$8,2,FALSE)&amp;"]")),FALSE)="","",
VLOOKUP($A305,YES_Reading_FLA[],COLUMN(INDIRECT("YES_Reading_FLA[Difference - Per "&amp;VLOOKUP($G$4,'Reading Report Logic'!$A$2:$B$8,2,FALSE)&amp;"]")),FALSE)),
IF($G$3="Combined",
IFERROR(
IF(VLOOKUP($A305, YES_Reading_ELA[], COLUMN(INDIRECT("YES_Reading_ELA[Difference - Per "&amp;VLOOKUP($G$4, 'Reading Report Logic'!$A$2:$B$8,2,FALSE)&amp;"]")), FALSE)="", "",
VLOOKUP($A305,YES_Reading_ELA[],COLUMN(INDIRECT("YES_Reading_ELA[Difference - Per "&amp;VLOOKUP($G$4,'Reading Report Logic'!$A$2:$B$8,2,FALSE)&amp;"]")),FALSE)),
IF(VLOOKUP($A305, YES_Reading_FLA[], COLUMN(INDIRECT("YES_Reading_FLA[Difference - Per "&amp;VLOOKUP($G$4, 'Reading Report Logic'!$A$2:$B$8, 2, FALSE)&amp;"]")),FALSE)="", "", VLOOKUP($A305,YES_Reading_FLA[],COLUMN(INDIRECT("YES_Reading_FLA[Difference - Per "&amp;VLOOKUP($G$4, 'Reading Report Logic'!$A$2:$B$8, 2, FALSE)&amp;"]")),FALSE))),""))),"")</f>
        <v/>
      </c>
    </row>
    <row r="306" spans="1:9" x14ac:dyDescent="0.25">
      <c r="A306" s="137"/>
      <c r="B306" s="137" t="str">
        <f>IFERROR(INDEX(_xlfn.VSTACK(YES_Writing_ELA[#Data], YES_Writing_FLA[#Data]),MATCH($A306,_xlfn.VSTACK(YES_Writing_ELA[Student Number], YES_Writing_FLA[Student Number]),0),MATCH(B$7,YES_Writing_ELA[#Headers],0)),IFERROR(INDEX(_xlfn.VSTACK(YES_Reading_ELA[#Data], YES_Reading_FLA[#Data]),MATCH($A306,_xlfn.VSTACK(YES_Reading_ELA[Student Number], YES_Reading_FLA[Student Number]),0),MATCH(B$7,YES_Reading_ELA[#Headers],0)),""))</f>
        <v/>
      </c>
      <c r="C306" s="137" t="str">
        <f>IFERROR(INDEX(_xlfn.VSTACK(YES_Writing_ELA[#Data], YES_Writing_FLA[#Data]),MATCH($A306,_xlfn.VSTACK(YES_Writing_ELA[Student Number], YES_Writing_FLA[Student Number]),0),MATCH(C$7,YES_Writing_ELA[#Headers],0)),IFERROR(INDEX(_xlfn.VSTACK(YES_Reading_ELA[#Data], YES_Reading_FLA[#Data]),MATCH($A306,_xlfn.VSTACK(YES_Reading_ELA[Student Number], YES_Reading_FLA[Student Number]),0),MATCH(C$7,YES_Reading_ELA[#Headers],0)),""))</f>
        <v/>
      </c>
      <c r="D306" s="138" t="str">
        <f>IFERROR(IF(IF(INDEX(_xlfn.VSTACK(YES_Writing_ELA[#Data],YES_Writing_FLA[#Data]),MATCH($A306,_xlfn.VSTACK(YES_Writing_ELA[Student Number],YES_Writing_FLA[Student Number]),0),MATCH(VLOOKUP(D$7,'Writing Logic'!$J$7:$K$11,2,FALSE)&amp;" - Per "&amp;VLOOKUP($C$4,'Writing Logic'!$G$8:$H$14,2,FALSE),YES_Writing_ELA[#Headers],0))=0,"",INDEX(_xlfn.VSTACK(YES_Writing_ELA[#Data],YES_Writing_FLA[#Data]),MATCH($A306,_xlfn.VSTACK(YES_Writing_ELA[Student Number],YES_Writing_FLA[Student Number]),0),MATCH(VLOOKUP(D$7,'Writing Logic'!$J$7:$K$11,2,FALSE)&amp;" - Per "&amp;VLOOKUP($C$4,'Writing Logic'!$G$8:$H$14,2,FALSE),YES_Writing_ELA[#Headers],0)))="INS",'Writing Logic'!$B$7,IF(INDEX(_xlfn.VSTACK(YES_Writing_ELA[#Data],YES_Writing_FLA[#Data]),MATCH($A306,_xlfn.VSTACK(YES_Writing_ELA[Student Number],YES_Writing_FLA[Student Number]),0),MATCH(VLOOKUP(D$7,'Writing Logic'!$J$7:$K$11,2,FALSE)&amp;" - Per "&amp;VLOOKUP($C$4,'Writing Logic'!$G$8:$H$14,2,FALSE),YES_Writing_ELA[#Headers],0))=0,"",INDEX(_xlfn.VSTACK(YES_Writing_ELA[#Data],YES_Writing_FLA[#Data]),MATCH($A306,_xlfn.VSTACK(YES_Writing_ELA[Student Number],YES_Writing_FLA[Student Number]),0),MATCH(VLOOKUP(D$7,'Writing Logic'!$J$7:$K$11,2,FALSE)&amp;" - Per "&amp;VLOOKUP($C$4,'Writing Logic'!$G$8:$H$14,2,FALSE),YES_Writing_ELA[#Headers],0)))),"")</f>
        <v/>
      </c>
      <c r="E306" s="138" t="str">
        <f>IFERROR(IF(IF(INDEX(_xlfn.VSTACK(YES_Writing_ELA[#Data],YES_Writing_FLA[#Data]),MATCH($A306,_xlfn.VSTACK(YES_Writing_ELA[Student Number],YES_Writing_FLA[Student Number]),0),MATCH(VLOOKUP(E$7,'Writing Logic'!$J$7:$K$11,2,FALSE)&amp;" - Per "&amp;VLOOKUP($C$4,'Writing Logic'!$G$8:$H$14,2,FALSE),YES_Writing_ELA[#Headers],0))=0,"",INDEX(_xlfn.VSTACK(YES_Writing_ELA[#Data],YES_Writing_FLA[#Data]),MATCH($A306,_xlfn.VSTACK(YES_Writing_ELA[Student Number],YES_Writing_FLA[Student Number]),0),MATCH(VLOOKUP(E$7,'Writing Logic'!$J$7:$K$11,2,FALSE)&amp;" - Per "&amp;VLOOKUP($C$4,'Writing Logic'!$G$8:$H$14,2,FALSE),YES_Writing_ELA[#Headers],0)))="INS",'Writing Logic'!$B$7,IF(INDEX(_xlfn.VSTACK(YES_Writing_ELA[#Data],YES_Writing_FLA[#Data]),MATCH($A306,_xlfn.VSTACK(YES_Writing_ELA[Student Number],YES_Writing_FLA[Student Number]),0),MATCH(VLOOKUP(E$7,'Writing Logic'!$J$7:$K$11,2,FALSE)&amp;" - Per "&amp;VLOOKUP($C$4,'Writing Logic'!$G$8:$H$14,2,FALSE),YES_Writing_ELA[#Headers],0))=0,"",INDEX(_xlfn.VSTACK(YES_Writing_ELA[#Data],YES_Writing_FLA[#Data]),MATCH($A306,_xlfn.VSTACK(YES_Writing_ELA[Student Number],YES_Writing_FLA[Student Number]),0),MATCH(VLOOKUP(E$7,'Writing Logic'!$J$7:$K$11,2,FALSE)&amp;" - Per "&amp;VLOOKUP($C$4,'Writing Logic'!$G$8:$H$14,2,FALSE),YES_Writing_ELA[#Headers],0)))),"")</f>
        <v/>
      </c>
      <c r="F306" s="138" t="str">
        <f>IFERROR(IF(IF(INDEX(_xlfn.VSTACK(YES_Writing_ELA[#Data],YES_Writing_FLA[#Data]),MATCH($A306,_xlfn.VSTACK(YES_Writing_ELA[Student Number],YES_Writing_FLA[Student Number]),0),MATCH(VLOOKUP(F$7,'Writing Logic'!$J$7:$K$11,2,FALSE)&amp;" - Per "&amp;VLOOKUP($C$4,'Writing Logic'!$G$8:$H$14,2,FALSE),YES_Writing_ELA[#Headers],0))=0,"",INDEX(_xlfn.VSTACK(YES_Writing_ELA[#Data],YES_Writing_FLA[#Data]),MATCH($A306,_xlfn.VSTACK(YES_Writing_ELA[Student Number],YES_Writing_FLA[Student Number]),0),MATCH(VLOOKUP(F$7,'Writing Logic'!$J$7:$K$11,2,FALSE)&amp;" - Per "&amp;VLOOKUP($C$4,'Writing Logic'!$G$8:$H$14,2,FALSE),YES_Writing_ELA[#Headers],0)))="INS",'Writing Logic'!$B$7,IF(INDEX(_xlfn.VSTACK(YES_Writing_ELA[#Data],YES_Writing_FLA[#Data]),MATCH($A306,_xlfn.VSTACK(YES_Writing_ELA[Student Number],YES_Writing_FLA[Student Number]),0),MATCH(VLOOKUP(F$7,'Writing Logic'!$J$7:$K$11,2,FALSE)&amp;" - Per "&amp;VLOOKUP($C$4,'Writing Logic'!$G$8:$H$14,2,FALSE),YES_Writing_ELA[#Headers],0))=0,"",INDEX(_xlfn.VSTACK(YES_Writing_ELA[#Data],YES_Writing_FLA[#Data]),MATCH($A306,_xlfn.VSTACK(YES_Writing_ELA[Student Number],YES_Writing_FLA[Student Number]),0),MATCH(VLOOKUP(F$7,'Writing Logic'!$J$7:$K$11,2,FALSE)&amp;" - Per "&amp;VLOOKUP($C$4,'Writing Logic'!$G$8:$H$14,2,FALSE),YES_Writing_ELA[#Headers],0)))),"")</f>
        <v/>
      </c>
      <c r="G306" s="138" t="str">
        <f>IFERROR(IF(IF(INDEX(_xlfn.VSTACK(YES_Writing_ELA[#Data],YES_Writing_FLA[#Data]),MATCH($A306,_xlfn.VSTACK(YES_Writing_ELA[Student Number],YES_Writing_FLA[Student Number]),0),MATCH(VLOOKUP(G$7,'Writing Logic'!$J$7:$K$11,2,FALSE)&amp;" - Per "&amp;VLOOKUP($C$4,'Writing Logic'!$G$8:$H$14,2,FALSE),YES_Writing_ELA[#Headers],0))=0,"",INDEX(_xlfn.VSTACK(YES_Writing_ELA[#Data],YES_Writing_FLA[#Data]),MATCH($A306,_xlfn.VSTACK(YES_Writing_ELA[Student Number],YES_Writing_FLA[Student Number]),0),MATCH(VLOOKUP(G$7,'Writing Logic'!$J$7:$K$11,2,FALSE)&amp;" - Per "&amp;VLOOKUP($C$4,'Writing Logic'!$G$8:$H$14,2,FALSE),YES_Writing_ELA[#Headers],0)))="INS",'Writing Logic'!$B$7,IF(INDEX(_xlfn.VSTACK(YES_Writing_ELA[#Data],YES_Writing_FLA[#Data]),MATCH($A306,_xlfn.VSTACK(YES_Writing_ELA[Student Number],YES_Writing_FLA[Student Number]),0),MATCH(VLOOKUP(G$7,'Writing Logic'!$J$7:$K$11,2,FALSE)&amp;" - Per "&amp;VLOOKUP($C$4,'Writing Logic'!$G$8:$H$14,2,FALSE),YES_Writing_ELA[#Headers],0))=0,"",INDEX(_xlfn.VSTACK(YES_Writing_ELA[#Data],YES_Writing_FLA[#Data]),MATCH($A306,_xlfn.VSTACK(YES_Writing_ELA[Student Number],YES_Writing_FLA[Student Number]),0),MATCH(VLOOKUP(G$7,'Writing Logic'!$J$7:$K$11,2,FALSE)&amp;" - Per "&amp;VLOOKUP($C$4,'Writing Logic'!$G$8:$H$14,2,FALSE),YES_Writing_ELA[#Headers],0)))),"")</f>
        <v/>
      </c>
      <c r="H306" s="223" t="str">
        <f>IFERROR(IF(IF(INDEX(_xlfn.VSTACK(YES_Writing_ELA[#Data],YES_Writing_FLA[#Data]),MATCH($A306,_xlfn.VSTACK(YES_Writing_ELA[Student Number],YES_Writing_FLA[Student Number]),0),MATCH(VLOOKUP(H$7,'Writing Logic'!$J$7:$K$11,2,FALSE)&amp;" - Per "&amp;VLOOKUP($C$4,'Writing Logic'!$G$8:$H$14,2,FALSE),YES_Writing_ELA[#Headers],0))=0,"",INDEX(_xlfn.VSTACK(YES_Writing_ELA[#Data],YES_Writing_FLA[#Data]),MATCH($A306,_xlfn.VSTACK(YES_Writing_ELA[Student Number],YES_Writing_FLA[Student Number]),0),MATCH(VLOOKUP(H$7,'Writing Logic'!$J$7:$K$11,2,FALSE)&amp;" - Per "&amp;VLOOKUP($C$4,'Writing Logic'!$G$8:$H$14,2,FALSE),YES_Writing_ELA[#Headers],0)))="INS",'Writing Logic'!$B$7,IF(INDEX(_xlfn.VSTACK(YES_Writing_ELA[#Data],YES_Writing_FLA[#Data]),MATCH($A306,_xlfn.VSTACK(YES_Writing_ELA[Student Number],YES_Writing_FLA[Student Number]),0),MATCH(VLOOKUP(H$7,'Writing Logic'!$J$7:$K$11,2,FALSE)&amp;" - Per "&amp;VLOOKUP($C$4,'Writing Logic'!$G$8:$H$14,2,FALSE),YES_Writing_ELA[#Headers],0))=0,"",INDEX(_xlfn.VSTACK(YES_Writing_ELA[#Data],YES_Writing_FLA[#Data]),MATCH($A306,_xlfn.VSTACK(YES_Writing_ELA[Student Number],YES_Writing_FLA[Student Number]),0),MATCH(VLOOKUP(H$7,'Writing Logic'!$J$7:$K$11,2,FALSE)&amp;" - Per "&amp;VLOOKUP($C$4,'Writing Logic'!$G$8:$H$14,2,FALSE),YES_Writing_ELA[#Headers],0)))),"")</f>
        <v/>
      </c>
      <c r="I306" s="224" t="str" cm="1">
        <f t="array" aca="1" ref="I306" ca="1">IFERROR(
IF($G$3="ELA",
IF(VLOOKUP($A306, YES_Reading_ELA[], COLUMN(INDIRECT("YES_Reading_ELA[Difference - Per "&amp;VLOOKUP($G$4, 'Reading Report Logic'!$A$2:$B$8, 2, FALSE)&amp;"]")), FALSE)="", "",
VLOOKUP($A306,YES_Reading_ELA[], COLUMN(INDIRECT("YES_Reading_ELA[Difference - Per "&amp;VLOOKUP($G$4,'Reading Report Logic'!$A$2:$B$8,2,FALSE)&amp;"]")), FALSE)),
IF($G$3="FLA",
IF(VLOOKUP($A306, YES_Reading_FLA[], COLUMN(INDIRECT("YES_Reading_FLA[Difference - Per "&amp;VLOOKUP($G$4,'Reading Report Logic'!$A$2:$B$8,2,FALSE)&amp;"]")),FALSE)="","",
VLOOKUP($A306,YES_Reading_FLA[],COLUMN(INDIRECT("YES_Reading_FLA[Difference - Per "&amp;VLOOKUP($G$4,'Reading Report Logic'!$A$2:$B$8,2,FALSE)&amp;"]")),FALSE)),
IF($G$3="Combined",
IFERROR(
IF(VLOOKUP($A306, YES_Reading_ELA[], COLUMN(INDIRECT("YES_Reading_ELA[Difference - Per "&amp;VLOOKUP($G$4, 'Reading Report Logic'!$A$2:$B$8,2,FALSE)&amp;"]")), FALSE)="", "",
VLOOKUP($A306,YES_Reading_ELA[],COLUMN(INDIRECT("YES_Reading_ELA[Difference - Per "&amp;VLOOKUP($G$4,'Reading Report Logic'!$A$2:$B$8,2,FALSE)&amp;"]")),FALSE)),
IF(VLOOKUP($A306, YES_Reading_FLA[], COLUMN(INDIRECT("YES_Reading_FLA[Difference - Per "&amp;VLOOKUP($G$4, 'Reading Report Logic'!$A$2:$B$8, 2, FALSE)&amp;"]")),FALSE)="", "", VLOOKUP($A306,YES_Reading_FLA[],COLUMN(INDIRECT("YES_Reading_FLA[Difference - Per "&amp;VLOOKUP($G$4, 'Reading Report Logic'!$A$2:$B$8, 2, FALSE)&amp;"]")),FALSE))),""))),"")</f>
        <v/>
      </c>
    </row>
    <row r="307" spans="1:9" x14ac:dyDescent="0.25">
      <c r="A307" s="137"/>
      <c r="B307" s="137" t="str">
        <f>IFERROR(INDEX(_xlfn.VSTACK(YES_Writing_ELA[#Data], YES_Writing_FLA[#Data]),MATCH($A307,_xlfn.VSTACK(YES_Writing_ELA[Student Number], YES_Writing_FLA[Student Number]),0),MATCH(B$7,YES_Writing_ELA[#Headers],0)),IFERROR(INDEX(_xlfn.VSTACK(YES_Reading_ELA[#Data], YES_Reading_FLA[#Data]),MATCH($A307,_xlfn.VSTACK(YES_Reading_ELA[Student Number], YES_Reading_FLA[Student Number]),0),MATCH(B$7,YES_Reading_ELA[#Headers],0)),""))</f>
        <v/>
      </c>
      <c r="C307" s="137" t="str">
        <f>IFERROR(INDEX(_xlfn.VSTACK(YES_Writing_ELA[#Data], YES_Writing_FLA[#Data]),MATCH($A307,_xlfn.VSTACK(YES_Writing_ELA[Student Number], YES_Writing_FLA[Student Number]),0),MATCH(C$7,YES_Writing_ELA[#Headers],0)),IFERROR(INDEX(_xlfn.VSTACK(YES_Reading_ELA[#Data], YES_Reading_FLA[#Data]),MATCH($A307,_xlfn.VSTACK(YES_Reading_ELA[Student Number], YES_Reading_FLA[Student Number]),0),MATCH(C$7,YES_Reading_ELA[#Headers],0)),""))</f>
        <v/>
      </c>
      <c r="D307" s="138" t="str">
        <f>IFERROR(IF(IF(INDEX(_xlfn.VSTACK(YES_Writing_ELA[#Data],YES_Writing_FLA[#Data]),MATCH($A307,_xlfn.VSTACK(YES_Writing_ELA[Student Number],YES_Writing_FLA[Student Number]),0),MATCH(VLOOKUP(D$7,'Writing Logic'!$J$7:$K$11,2,FALSE)&amp;" - Per "&amp;VLOOKUP($C$4,'Writing Logic'!$G$8:$H$14,2,FALSE),YES_Writing_ELA[#Headers],0))=0,"",INDEX(_xlfn.VSTACK(YES_Writing_ELA[#Data],YES_Writing_FLA[#Data]),MATCH($A307,_xlfn.VSTACK(YES_Writing_ELA[Student Number],YES_Writing_FLA[Student Number]),0),MATCH(VLOOKUP(D$7,'Writing Logic'!$J$7:$K$11,2,FALSE)&amp;" - Per "&amp;VLOOKUP($C$4,'Writing Logic'!$G$8:$H$14,2,FALSE),YES_Writing_ELA[#Headers],0)))="INS",'Writing Logic'!$B$7,IF(INDEX(_xlfn.VSTACK(YES_Writing_ELA[#Data],YES_Writing_FLA[#Data]),MATCH($A307,_xlfn.VSTACK(YES_Writing_ELA[Student Number],YES_Writing_FLA[Student Number]),0),MATCH(VLOOKUP(D$7,'Writing Logic'!$J$7:$K$11,2,FALSE)&amp;" - Per "&amp;VLOOKUP($C$4,'Writing Logic'!$G$8:$H$14,2,FALSE),YES_Writing_ELA[#Headers],0))=0,"",INDEX(_xlfn.VSTACK(YES_Writing_ELA[#Data],YES_Writing_FLA[#Data]),MATCH($A307,_xlfn.VSTACK(YES_Writing_ELA[Student Number],YES_Writing_FLA[Student Number]),0),MATCH(VLOOKUP(D$7,'Writing Logic'!$J$7:$K$11,2,FALSE)&amp;" - Per "&amp;VLOOKUP($C$4,'Writing Logic'!$G$8:$H$14,2,FALSE),YES_Writing_ELA[#Headers],0)))),"")</f>
        <v/>
      </c>
      <c r="E307" s="138" t="str">
        <f>IFERROR(IF(IF(INDEX(_xlfn.VSTACK(YES_Writing_ELA[#Data],YES_Writing_FLA[#Data]),MATCH($A307,_xlfn.VSTACK(YES_Writing_ELA[Student Number],YES_Writing_FLA[Student Number]),0),MATCH(VLOOKUP(E$7,'Writing Logic'!$J$7:$K$11,2,FALSE)&amp;" - Per "&amp;VLOOKUP($C$4,'Writing Logic'!$G$8:$H$14,2,FALSE),YES_Writing_ELA[#Headers],0))=0,"",INDEX(_xlfn.VSTACK(YES_Writing_ELA[#Data],YES_Writing_FLA[#Data]),MATCH($A307,_xlfn.VSTACK(YES_Writing_ELA[Student Number],YES_Writing_FLA[Student Number]),0),MATCH(VLOOKUP(E$7,'Writing Logic'!$J$7:$K$11,2,FALSE)&amp;" - Per "&amp;VLOOKUP($C$4,'Writing Logic'!$G$8:$H$14,2,FALSE),YES_Writing_ELA[#Headers],0)))="INS",'Writing Logic'!$B$7,IF(INDEX(_xlfn.VSTACK(YES_Writing_ELA[#Data],YES_Writing_FLA[#Data]),MATCH($A307,_xlfn.VSTACK(YES_Writing_ELA[Student Number],YES_Writing_FLA[Student Number]),0),MATCH(VLOOKUP(E$7,'Writing Logic'!$J$7:$K$11,2,FALSE)&amp;" - Per "&amp;VLOOKUP($C$4,'Writing Logic'!$G$8:$H$14,2,FALSE),YES_Writing_ELA[#Headers],0))=0,"",INDEX(_xlfn.VSTACK(YES_Writing_ELA[#Data],YES_Writing_FLA[#Data]),MATCH($A307,_xlfn.VSTACK(YES_Writing_ELA[Student Number],YES_Writing_FLA[Student Number]),0),MATCH(VLOOKUP(E$7,'Writing Logic'!$J$7:$K$11,2,FALSE)&amp;" - Per "&amp;VLOOKUP($C$4,'Writing Logic'!$G$8:$H$14,2,FALSE),YES_Writing_ELA[#Headers],0)))),"")</f>
        <v/>
      </c>
      <c r="F307" s="138" t="str">
        <f>IFERROR(IF(IF(INDEX(_xlfn.VSTACK(YES_Writing_ELA[#Data],YES_Writing_FLA[#Data]),MATCH($A307,_xlfn.VSTACK(YES_Writing_ELA[Student Number],YES_Writing_FLA[Student Number]),0),MATCH(VLOOKUP(F$7,'Writing Logic'!$J$7:$K$11,2,FALSE)&amp;" - Per "&amp;VLOOKUP($C$4,'Writing Logic'!$G$8:$H$14,2,FALSE),YES_Writing_ELA[#Headers],0))=0,"",INDEX(_xlfn.VSTACK(YES_Writing_ELA[#Data],YES_Writing_FLA[#Data]),MATCH($A307,_xlfn.VSTACK(YES_Writing_ELA[Student Number],YES_Writing_FLA[Student Number]),0),MATCH(VLOOKUP(F$7,'Writing Logic'!$J$7:$K$11,2,FALSE)&amp;" - Per "&amp;VLOOKUP($C$4,'Writing Logic'!$G$8:$H$14,2,FALSE),YES_Writing_ELA[#Headers],0)))="INS",'Writing Logic'!$B$7,IF(INDEX(_xlfn.VSTACK(YES_Writing_ELA[#Data],YES_Writing_FLA[#Data]),MATCH($A307,_xlfn.VSTACK(YES_Writing_ELA[Student Number],YES_Writing_FLA[Student Number]),0),MATCH(VLOOKUP(F$7,'Writing Logic'!$J$7:$K$11,2,FALSE)&amp;" - Per "&amp;VLOOKUP($C$4,'Writing Logic'!$G$8:$H$14,2,FALSE),YES_Writing_ELA[#Headers],0))=0,"",INDEX(_xlfn.VSTACK(YES_Writing_ELA[#Data],YES_Writing_FLA[#Data]),MATCH($A307,_xlfn.VSTACK(YES_Writing_ELA[Student Number],YES_Writing_FLA[Student Number]),0),MATCH(VLOOKUP(F$7,'Writing Logic'!$J$7:$K$11,2,FALSE)&amp;" - Per "&amp;VLOOKUP($C$4,'Writing Logic'!$G$8:$H$14,2,FALSE),YES_Writing_ELA[#Headers],0)))),"")</f>
        <v/>
      </c>
      <c r="G307" s="138" t="str">
        <f>IFERROR(IF(IF(INDEX(_xlfn.VSTACK(YES_Writing_ELA[#Data],YES_Writing_FLA[#Data]),MATCH($A307,_xlfn.VSTACK(YES_Writing_ELA[Student Number],YES_Writing_FLA[Student Number]),0),MATCH(VLOOKUP(G$7,'Writing Logic'!$J$7:$K$11,2,FALSE)&amp;" - Per "&amp;VLOOKUP($C$4,'Writing Logic'!$G$8:$H$14,2,FALSE),YES_Writing_ELA[#Headers],0))=0,"",INDEX(_xlfn.VSTACK(YES_Writing_ELA[#Data],YES_Writing_FLA[#Data]),MATCH($A307,_xlfn.VSTACK(YES_Writing_ELA[Student Number],YES_Writing_FLA[Student Number]),0),MATCH(VLOOKUP(G$7,'Writing Logic'!$J$7:$K$11,2,FALSE)&amp;" - Per "&amp;VLOOKUP($C$4,'Writing Logic'!$G$8:$H$14,2,FALSE),YES_Writing_ELA[#Headers],0)))="INS",'Writing Logic'!$B$7,IF(INDEX(_xlfn.VSTACK(YES_Writing_ELA[#Data],YES_Writing_FLA[#Data]),MATCH($A307,_xlfn.VSTACK(YES_Writing_ELA[Student Number],YES_Writing_FLA[Student Number]),0),MATCH(VLOOKUP(G$7,'Writing Logic'!$J$7:$K$11,2,FALSE)&amp;" - Per "&amp;VLOOKUP($C$4,'Writing Logic'!$G$8:$H$14,2,FALSE),YES_Writing_ELA[#Headers],0))=0,"",INDEX(_xlfn.VSTACK(YES_Writing_ELA[#Data],YES_Writing_FLA[#Data]),MATCH($A307,_xlfn.VSTACK(YES_Writing_ELA[Student Number],YES_Writing_FLA[Student Number]),0),MATCH(VLOOKUP(G$7,'Writing Logic'!$J$7:$K$11,2,FALSE)&amp;" - Per "&amp;VLOOKUP($C$4,'Writing Logic'!$G$8:$H$14,2,FALSE),YES_Writing_ELA[#Headers],0)))),"")</f>
        <v/>
      </c>
      <c r="H307" s="223" t="str">
        <f>IFERROR(IF(IF(INDEX(_xlfn.VSTACK(YES_Writing_ELA[#Data],YES_Writing_FLA[#Data]),MATCH($A307,_xlfn.VSTACK(YES_Writing_ELA[Student Number],YES_Writing_FLA[Student Number]),0),MATCH(VLOOKUP(H$7,'Writing Logic'!$J$7:$K$11,2,FALSE)&amp;" - Per "&amp;VLOOKUP($C$4,'Writing Logic'!$G$8:$H$14,2,FALSE),YES_Writing_ELA[#Headers],0))=0,"",INDEX(_xlfn.VSTACK(YES_Writing_ELA[#Data],YES_Writing_FLA[#Data]),MATCH($A307,_xlfn.VSTACK(YES_Writing_ELA[Student Number],YES_Writing_FLA[Student Number]),0),MATCH(VLOOKUP(H$7,'Writing Logic'!$J$7:$K$11,2,FALSE)&amp;" - Per "&amp;VLOOKUP($C$4,'Writing Logic'!$G$8:$H$14,2,FALSE),YES_Writing_ELA[#Headers],0)))="INS",'Writing Logic'!$B$7,IF(INDEX(_xlfn.VSTACK(YES_Writing_ELA[#Data],YES_Writing_FLA[#Data]),MATCH($A307,_xlfn.VSTACK(YES_Writing_ELA[Student Number],YES_Writing_FLA[Student Number]),0),MATCH(VLOOKUP(H$7,'Writing Logic'!$J$7:$K$11,2,FALSE)&amp;" - Per "&amp;VLOOKUP($C$4,'Writing Logic'!$G$8:$H$14,2,FALSE),YES_Writing_ELA[#Headers],0))=0,"",INDEX(_xlfn.VSTACK(YES_Writing_ELA[#Data],YES_Writing_FLA[#Data]),MATCH($A307,_xlfn.VSTACK(YES_Writing_ELA[Student Number],YES_Writing_FLA[Student Number]),0),MATCH(VLOOKUP(H$7,'Writing Logic'!$J$7:$K$11,2,FALSE)&amp;" - Per "&amp;VLOOKUP($C$4,'Writing Logic'!$G$8:$H$14,2,FALSE),YES_Writing_ELA[#Headers],0)))),"")</f>
        <v/>
      </c>
      <c r="I307" s="224" t="str" cm="1">
        <f t="array" aca="1" ref="I307" ca="1">IFERROR(
IF($G$3="ELA",
IF(VLOOKUP($A307, YES_Reading_ELA[], COLUMN(INDIRECT("YES_Reading_ELA[Difference - Per "&amp;VLOOKUP($G$4, 'Reading Report Logic'!$A$2:$B$8, 2, FALSE)&amp;"]")), FALSE)="", "",
VLOOKUP($A307,YES_Reading_ELA[], COLUMN(INDIRECT("YES_Reading_ELA[Difference - Per "&amp;VLOOKUP($G$4,'Reading Report Logic'!$A$2:$B$8,2,FALSE)&amp;"]")), FALSE)),
IF($G$3="FLA",
IF(VLOOKUP($A307, YES_Reading_FLA[], COLUMN(INDIRECT("YES_Reading_FLA[Difference - Per "&amp;VLOOKUP($G$4,'Reading Report Logic'!$A$2:$B$8,2,FALSE)&amp;"]")),FALSE)="","",
VLOOKUP($A307,YES_Reading_FLA[],COLUMN(INDIRECT("YES_Reading_FLA[Difference - Per "&amp;VLOOKUP($G$4,'Reading Report Logic'!$A$2:$B$8,2,FALSE)&amp;"]")),FALSE)),
IF($G$3="Combined",
IFERROR(
IF(VLOOKUP($A307, YES_Reading_ELA[], COLUMN(INDIRECT("YES_Reading_ELA[Difference - Per "&amp;VLOOKUP($G$4, 'Reading Report Logic'!$A$2:$B$8,2,FALSE)&amp;"]")), FALSE)="", "",
VLOOKUP($A307,YES_Reading_ELA[],COLUMN(INDIRECT("YES_Reading_ELA[Difference - Per "&amp;VLOOKUP($G$4,'Reading Report Logic'!$A$2:$B$8,2,FALSE)&amp;"]")),FALSE)),
IF(VLOOKUP($A307, YES_Reading_FLA[], COLUMN(INDIRECT("YES_Reading_FLA[Difference - Per "&amp;VLOOKUP($G$4, 'Reading Report Logic'!$A$2:$B$8, 2, FALSE)&amp;"]")),FALSE)="", "", VLOOKUP($A307,YES_Reading_FLA[],COLUMN(INDIRECT("YES_Reading_FLA[Difference - Per "&amp;VLOOKUP($G$4, 'Reading Report Logic'!$A$2:$B$8, 2, FALSE)&amp;"]")),FALSE))),""))),"")</f>
        <v/>
      </c>
    </row>
    <row r="308" spans="1:9" x14ac:dyDescent="0.25">
      <c r="A308" s="137"/>
      <c r="B308" s="137" t="str">
        <f>IFERROR(INDEX(_xlfn.VSTACK(YES_Writing_ELA[#Data], YES_Writing_FLA[#Data]),MATCH($A308,_xlfn.VSTACK(YES_Writing_ELA[Student Number], YES_Writing_FLA[Student Number]),0),MATCH(B$7,YES_Writing_ELA[#Headers],0)),IFERROR(INDEX(_xlfn.VSTACK(YES_Reading_ELA[#Data], YES_Reading_FLA[#Data]),MATCH($A308,_xlfn.VSTACK(YES_Reading_ELA[Student Number], YES_Reading_FLA[Student Number]),0),MATCH(B$7,YES_Reading_ELA[#Headers],0)),""))</f>
        <v/>
      </c>
      <c r="C308" s="137" t="str">
        <f>IFERROR(INDEX(_xlfn.VSTACK(YES_Writing_ELA[#Data], YES_Writing_FLA[#Data]),MATCH($A308,_xlfn.VSTACK(YES_Writing_ELA[Student Number], YES_Writing_FLA[Student Number]),0),MATCH(C$7,YES_Writing_ELA[#Headers],0)),IFERROR(INDEX(_xlfn.VSTACK(YES_Reading_ELA[#Data], YES_Reading_FLA[#Data]),MATCH($A308,_xlfn.VSTACK(YES_Reading_ELA[Student Number], YES_Reading_FLA[Student Number]),0),MATCH(C$7,YES_Reading_ELA[#Headers],0)),""))</f>
        <v/>
      </c>
      <c r="D308" s="138" t="str">
        <f>IFERROR(IF(IF(INDEX(_xlfn.VSTACK(YES_Writing_ELA[#Data],YES_Writing_FLA[#Data]),MATCH($A308,_xlfn.VSTACK(YES_Writing_ELA[Student Number],YES_Writing_FLA[Student Number]),0),MATCH(VLOOKUP(D$7,'Writing Logic'!$J$7:$K$11,2,FALSE)&amp;" - Per "&amp;VLOOKUP($C$4,'Writing Logic'!$G$8:$H$14,2,FALSE),YES_Writing_ELA[#Headers],0))=0,"",INDEX(_xlfn.VSTACK(YES_Writing_ELA[#Data],YES_Writing_FLA[#Data]),MATCH($A308,_xlfn.VSTACK(YES_Writing_ELA[Student Number],YES_Writing_FLA[Student Number]),0),MATCH(VLOOKUP(D$7,'Writing Logic'!$J$7:$K$11,2,FALSE)&amp;" - Per "&amp;VLOOKUP($C$4,'Writing Logic'!$G$8:$H$14,2,FALSE),YES_Writing_ELA[#Headers],0)))="INS",'Writing Logic'!$B$7,IF(INDEX(_xlfn.VSTACK(YES_Writing_ELA[#Data],YES_Writing_FLA[#Data]),MATCH($A308,_xlfn.VSTACK(YES_Writing_ELA[Student Number],YES_Writing_FLA[Student Number]),0),MATCH(VLOOKUP(D$7,'Writing Logic'!$J$7:$K$11,2,FALSE)&amp;" - Per "&amp;VLOOKUP($C$4,'Writing Logic'!$G$8:$H$14,2,FALSE),YES_Writing_ELA[#Headers],0))=0,"",INDEX(_xlfn.VSTACK(YES_Writing_ELA[#Data],YES_Writing_FLA[#Data]),MATCH($A308,_xlfn.VSTACK(YES_Writing_ELA[Student Number],YES_Writing_FLA[Student Number]),0),MATCH(VLOOKUP(D$7,'Writing Logic'!$J$7:$K$11,2,FALSE)&amp;" - Per "&amp;VLOOKUP($C$4,'Writing Logic'!$G$8:$H$14,2,FALSE),YES_Writing_ELA[#Headers],0)))),"")</f>
        <v/>
      </c>
      <c r="E308" s="138" t="str">
        <f>IFERROR(IF(IF(INDEX(_xlfn.VSTACK(YES_Writing_ELA[#Data],YES_Writing_FLA[#Data]),MATCH($A308,_xlfn.VSTACK(YES_Writing_ELA[Student Number],YES_Writing_FLA[Student Number]),0),MATCH(VLOOKUP(E$7,'Writing Logic'!$J$7:$K$11,2,FALSE)&amp;" - Per "&amp;VLOOKUP($C$4,'Writing Logic'!$G$8:$H$14,2,FALSE),YES_Writing_ELA[#Headers],0))=0,"",INDEX(_xlfn.VSTACK(YES_Writing_ELA[#Data],YES_Writing_FLA[#Data]),MATCH($A308,_xlfn.VSTACK(YES_Writing_ELA[Student Number],YES_Writing_FLA[Student Number]),0),MATCH(VLOOKUP(E$7,'Writing Logic'!$J$7:$K$11,2,FALSE)&amp;" - Per "&amp;VLOOKUP($C$4,'Writing Logic'!$G$8:$H$14,2,FALSE),YES_Writing_ELA[#Headers],0)))="INS",'Writing Logic'!$B$7,IF(INDEX(_xlfn.VSTACK(YES_Writing_ELA[#Data],YES_Writing_FLA[#Data]),MATCH($A308,_xlfn.VSTACK(YES_Writing_ELA[Student Number],YES_Writing_FLA[Student Number]),0),MATCH(VLOOKUP(E$7,'Writing Logic'!$J$7:$K$11,2,FALSE)&amp;" - Per "&amp;VLOOKUP($C$4,'Writing Logic'!$G$8:$H$14,2,FALSE),YES_Writing_ELA[#Headers],0))=0,"",INDEX(_xlfn.VSTACK(YES_Writing_ELA[#Data],YES_Writing_FLA[#Data]),MATCH($A308,_xlfn.VSTACK(YES_Writing_ELA[Student Number],YES_Writing_FLA[Student Number]),0),MATCH(VLOOKUP(E$7,'Writing Logic'!$J$7:$K$11,2,FALSE)&amp;" - Per "&amp;VLOOKUP($C$4,'Writing Logic'!$G$8:$H$14,2,FALSE),YES_Writing_ELA[#Headers],0)))),"")</f>
        <v/>
      </c>
      <c r="F308" s="138" t="str">
        <f>IFERROR(IF(IF(INDEX(_xlfn.VSTACK(YES_Writing_ELA[#Data],YES_Writing_FLA[#Data]),MATCH($A308,_xlfn.VSTACK(YES_Writing_ELA[Student Number],YES_Writing_FLA[Student Number]),0),MATCH(VLOOKUP(F$7,'Writing Logic'!$J$7:$K$11,2,FALSE)&amp;" - Per "&amp;VLOOKUP($C$4,'Writing Logic'!$G$8:$H$14,2,FALSE),YES_Writing_ELA[#Headers],0))=0,"",INDEX(_xlfn.VSTACK(YES_Writing_ELA[#Data],YES_Writing_FLA[#Data]),MATCH($A308,_xlfn.VSTACK(YES_Writing_ELA[Student Number],YES_Writing_FLA[Student Number]),0),MATCH(VLOOKUP(F$7,'Writing Logic'!$J$7:$K$11,2,FALSE)&amp;" - Per "&amp;VLOOKUP($C$4,'Writing Logic'!$G$8:$H$14,2,FALSE),YES_Writing_ELA[#Headers],0)))="INS",'Writing Logic'!$B$7,IF(INDEX(_xlfn.VSTACK(YES_Writing_ELA[#Data],YES_Writing_FLA[#Data]),MATCH($A308,_xlfn.VSTACK(YES_Writing_ELA[Student Number],YES_Writing_FLA[Student Number]),0),MATCH(VLOOKUP(F$7,'Writing Logic'!$J$7:$K$11,2,FALSE)&amp;" - Per "&amp;VLOOKUP($C$4,'Writing Logic'!$G$8:$H$14,2,FALSE),YES_Writing_ELA[#Headers],0))=0,"",INDEX(_xlfn.VSTACK(YES_Writing_ELA[#Data],YES_Writing_FLA[#Data]),MATCH($A308,_xlfn.VSTACK(YES_Writing_ELA[Student Number],YES_Writing_FLA[Student Number]),0),MATCH(VLOOKUP(F$7,'Writing Logic'!$J$7:$K$11,2,FALSE)&amp;" - Per "&amp;VLOOKUP($C$4,'Writing Logic'!$G$8:$H$14,2,FALSE),YES_Writing_ELA[#Headers],0)))),"")</f>
        <v/>
      </c>
      <c r="G308" s="138" t="str">
        <f>IFERROR(IF(IF(INDEX(_xlfn.VSTACK(YES_Writing_ELA[#Data],YES_Writing_FLA[#Data]),MATCH($A308,_xlfn.VSTACK(YES_Writing_ELA[Student Number],YES_Writing_FLA[Student Number]),0),MATCH(VLOOKUP(G$7,'Writing Logic'!$J$7:$K$11,2,FALSE)&amp;" - Per "&amp;VLOOKUP($C$4,'Writing Logic'!$G$8:$H$14,2,FALSE),YES_Writing_ELA[#Headers],0))=0,"",INDEX(_xlfn.VSTACK(YES_Writing_ELA[#Data],YES_Writing_FLA[#Data]),MATCH($A308,_xlfn.VSTACK(YES_Writing_ELA[Student Number],YES_Writing_FLA[Student Number]),0),MATCH(VLOOKUP(G$7,'Writing Logic'!$J$7:$K$11,2,FALSE)&amp;" - Per "&amp;VLOOKUP($C$4,'Writing Logic'!$G$8:$H$14,2,FALSE),YES_Writing_ELA[#Headers],0)))="INS",'Writing Logic'!$B$7,IF(INDEX(_xlfn.VSTACK(YES_Writing_ELA[#Data],YES_Writing_FLA[#Data]),MATCH($A308,_xlfn.VSTACK(YES_Writing_ELA[Student Number],YES_Writing_FLA[Student Number]),0),MATCH(VLOOKUP(G$7,'Writing Logic'!$J$7:$K$11,2,FALSE)&amp;" - Per "&amp;VLOOKUP($C$4,'Writing Logic'!$G$8:$H$14,2,FALSE),YES_Writing_ELA[#Headers],0))=0,"",INDEX(_xlfn.VSTACK(YES_Writing_ELA[#Data],YES_Writing_FLA[#Data]),MATCH($A308,_xlfn.VSTACK(YES_Writing_ELA[Student Number],YES_Writing_FLA[Student Number]),0),MATCH(VLOOKUP(G$7,'Writing Logic'!$J$7:$K$11,2,FALSE)&amp;" - Per "&amp;VLOOKUP($C$4,'Writing Logic'!$G$8:$H$14,2,FALSE),YES_Writing_ELA[#Headers],0)))),"")</f>
        <v/>
      </c>
      <c r="H308" s="223" t="str">
        <f>IFERROR(IF(IF(INDEX(_xlfn.VSTACK(YES_Writing_ELA[#Data],YES_Writing_FLA[#Data]),MATCH($A308,_xlfn.VSTACK(YES_Writing_ELA[Student Number],YES_Writing_FLA[Student Number]),0),MATCH(VLOOKUP(H$7,'Writing Logic'!$J$7:$K$11,2,FALSE)&amp;" - Per "&amp;VLOOKUP($C$4,'Writing Logic'!$G$8:$H$14,2,FALSE),YES_Writing_ELA[#Headers],0))=0,"",INDEX(_xlfn.VSTACK(YES_Writing_ELA[#Data],YES_Writing_FLA[#Data]),MATCH($A308,_xlfn.VSTACK(YES_Writing_ELA[Student Number],YES_Writing_FLA[Student Number]),0),MATCH(VLOOKUP(H$7,'Writing Logic'!$J$7:$K$11,2,FALSE)&amp;" - Per "&amp;VLOOKUP($C$4,'Writing Logic'!$G$8:$H$14,2,FALSE),YES_Writing_ELA[#Headers],0)))="INS",'Writing Logic'!$B$7,IF(INDEX(_xlfn.VSTACK(YES_Writing_ELA[#Data],YES_Writing_FLA[#Data]),MATCH($A308,_xlfn.VSTACK(YES_Writing_ELA[Student Number],YES_Writing_FLA[Student Number]),0),MATCH(VLOOKUP(H$7,'Writing Logic'!$J$7:$K$11,2,FALSE)&amp;" - Per "&amp;VLOOKUP($C$4,'Writing Logic'!$G$8:$H$14,2,FALSE),YES_Writing_ELA[#Headers],0))=0,"",INDEX(_xlfn.VSTACK(YES_Writing_ELA[#Data],YES_Writing_FLA[#Data]),MATCH($A308,_xlfn.VSTACK(YES_Writing_ELA[Student Number],YES_Writing_FLA[Student Number]),0),MATCH(VLOOKUP(H$7,'Writing Logic'!$J$7:$K$11,2,FALSE)&amp;" - Per "&amp;VLOOKUP($C$4,'Writing Logic'!$G$8:$H$14,2,FALSE),YES_Writing_ELA[#Headers],0)))),"")</f>
        <v/>
      </c>
      <c r="I308" s="224" t="str" cm="1">
        <f t="array" aca="1" ref="I308" ca="1">IFERROR(
IF($G$3="ELA",
IF(VLOOKUP($A308, YES_Reading_ELA[], COLUMN(INDIRECT("YES_Reading_ELA[Difference - Per "&amp;VLOOKUP($G$4, 'Reading Report Logic'!$A$2:$B$8, 2, FALSE)&amp;"]")), FALSE)="", "",
VLOOKUP($A308,YES_Reading_ELA[], COLUMN(INDIRECT("YES_Reading_ELA[Difference - Per "&amp;VLOOKUP($G$4,'Reading Report Logic'!$A$2:$B$8,2,FALSE)&amp;"]")), FALSE)),
IF($G$3="FLA",
IF(VLOOKUP($A308, YES_Reading_FLA[], COLUMN(INDIRECT("YES_Reading_FLA[Difference - Per "&amp;VLOOKUP($G$4,'Reading Report Logic'!$A$2:$B$8,2,FALSE)&amp;"]")),FALSE)="","",
VLOOKUP($A308,YES_Reading_FLA[],COLUMN(INDIRECT("YES_Reading_FLA[Difference - Per "&amp;VLOOKUP($G$4,'Reading Report Logic'!$A$2:$B$8,2,FALSE)&amp;"]")),FALSE)),
IF($G$3="Combined",
IFERROR(
IF(VLOOKUP($A308, YES_Reading_ELA[], COLUMN(INDIRECT("YES_Reading_ELA[Difference - Per "&amp;VLOOKUP($G$4, 'Reading Report Logic'!$A$2:$B$8,2,FALSE)&amp;"]")), FALSE)="", "",
VLOOKUP($A308,YES_Reading_ELA[],COLUMN(INDIRECT("YES_Reading_ELA[Difference - Per "&amp;VLOOKUP($G$4,'Reading Report Logic'!$A$2:$B$8,2,FALSE)&amp;"]")),FALSE)),
IF(VLOOKUP($A308, YES_Reading_FLA[], COLUMN(INDIRECT("YES_Reading_FLA[Difference - Per "&amp;VLOOKUP($G$4, 'Reading Report Logic'!$A$2:$B$8, 2, FALSE)&amp;"]")),FALSE)="", "", VLOOKUP($A308,YES_Reading_FLA[],COLUMN(INDIRECT("YES_Reading_FLA[Difference - Per "&amp;VLOOKUP($G$4, 'Reading Report Logic'!$A$2:$B$8, 2, FALSE)&amp;"]")),FALSE))),""))),"")</f>
        <v/>
      </c>
    </row>
    <row r="309" spans="1:9" x14ac:dyDescent="0.25">
      <c r="A309" s="137"/>
      <c r="B309" s="137" t="str">
        <f>IFERROR(INDEX(_xlfn.VSTACK(YES_Writing_ELA[#Data], YES_Writing_FLA[#Data]),MATCH($A309,_xlfn.VSTACK(YES_Writing_ELA[Student Number], YES_Writing_FLA[Student Number]),0),MATCH(B$7,YES_Writing_ELA[#Headers],0)),IFERROR(INDEX(_xlfn.VSTACK(YES_Reading_ELA[#Data], YES_Reading_FLA[#Data]),MATCH($A309,_xlfn.VSTACK(YES_Reading_ELA[Student Number], YES_Reading_FLA[Student Number]),0),MATCH(B$7,YES_Reading_ELA[#Headers],0)),""))</f>
        <v/>
      </c>
      <c r="C309" s="137" t="str">
        <f>IFERROR(INDEX(_xlfn.VSTACK(YES_Writing_ELA[#Data], YES_Writing_FLA[#Data]),MATCH($A309,_xlfn.VSTACK(YES_Writing_ELA[Student Number], YES_Writing_FLA[Student Number]),0),MATCH(C$7,YES_Writing_ELA[#Headers],0)),IFERROR(INDEX(_xlfn.VSTACK(YES_Reading_ELA[#Data], YES_Reading_FLA[#Data]),MATCH($A309,_xlfn.VSTACK(YES_Reading_ELA[Student Number], YES_Reading_FLA[Student Number]),0),MATCH(C$7,YES_Reading_ELA[#Headers],0)),""))</f>
        <v/>
      </c>
      <c r="D309" s="138" t="str">
        <f>IFERROR(IF(IF(INDEX(_xlfn.VSTACK(YES_Writing_ELA[#Data],YES_Writing_FLA[#Data]),MATCH($A309,_xlfn.VSTACK(YES_Writing_ELA[Student Number],YES_Writing_FLA[Student Number]),0),MATCH(VLOOKUP(D$7,'Writing Logic'!$J$7:$K$11,2,FALSE)&amp;" - Per "&amp;VLOOKUP($C$4,'Writing Logic'!$G$8:$H$14,2,FALSE),YES_Writing_ELA[#Headers],0))=0,"",INDEX(_xlfn.VSTACK(YES_Writing_ELA[#Data],YES_Writing_FLA[#Data]),MATCH($A309,_xlfn.VSTACK(YES_Writing_ELA[Student Number],YES_Writing_FLA[Student Number]),0),MATCH(VLOOKUP(D$7,'Writing Logic'!$J$7:$K$11,2,FALSE)&amp;" - Per "&amp;VLOOKUP($C$4,'Writing Logic'!$G$8:$H$14,2,FALSE),YES_Writing_ELA[#Headers],0)))="INS",'Writing Logic'!$B$7,IF(INDEX(_xlfn.VSTACK(YES_Writing_ELA[#Data],YES_Writing_FLA[#Data]),MATCH($A309,_xlfn.VSTACK(YES_Writing_ELA[Student Number],YES_Writing_FLA[Student Number]),0),MATCH(VLOOKUP(D$7,'Writing Logic'!$J$7:$K$11,2,FALSE)&amp;" - Per "&amp;VLOOKUP($C$4,'Writing Logic'!$G$8:$H$14,2,FALSE),YES_Writing_ELA[#Headers],0))=0,"",INDEX(_xlfn.VSTACK(YES_Writing_ELA[#Data],YES_Writing_FLA[#Data]),MATCH($A309,_xlfn.VSTACK(YES_Writing_ELA[Student Number],YES_Writing_FLA[Student Number]),0),MATCH(VLOOKUP(D$7,'Writing Logic'!$J$7:$K$11,2,FALSE)&amp;" - Per "&amp;VLOOKUP($C$4,'Writing Logic'!$G$8:$H$14,2,FALSE),YES_Writing_ELA[#Headers],0)))),"")</f>
        <v/>
      </c>
      <c r="E309" s="138" t="str">
        <f>IFERROR(IF(IF(INDEX(_xlfn.VSTACK(YES_Writing_ELA[#Data],YES_Writing_FLA[#Data]),MATCH($A309,_xlfn.VSTACK(YES_Writing_ELA[Student Number],YES_Writing_FLA[Student Number]),0),MATCH(VLOOKUP(E$7,'Writing Logic'!$J$7:$K$11,2,FALSE)&amp;" - Per "&amp;VLOOKUP($C$4,'Writing Logic'!$G$8:$H$14,2,FALSE),YES_Writing_ELA[#Headers],0))=0,"",INDEX(_xlfn.VSTACK(YES_Writing_ELA[#Data],YES_Writing_FLA[#Data]),MATCH($A309,_xlfn.VSTACK(YES_Writing_ELA[Student Number],YES_Writing_FLA[Student Number]),0),MATCH(VLOOKUP(E$7,'Writing Logic'!$J$7:$K$11,2,FALSE)&amp;" - Per "&amp;VLOOKUP($C$4,'Writing Logic'!$G$8:$H$14,2,FALSE),YES_Writing_ELA[#Headers],0)))="INS",'Writing Logic'!$B$7,IF(INDEX(_xlfn.VSTACK(YES_Writing_ELA[#Data],YES_Writing_FLA[#Data]),MATCH($A309,_xlfn.VSTACK(YES_Writing_ELA[Student Number],YES_Writing_FLA[Student Number]),0),MATCH(VLOOKUP(E$7,'Writing Logic'!$J$7:$K$11,2,FALSE)&amp;" - Per "&amp;VLOOKUP($C$4,'Writing Logic'!$G$8:$H$14,2,FALSE),YES_Writing_ELA[#Headers],0))=0,"",INDEX(_xlfn.VSTACK(YES_Writing_ELA[#Data],YES_Writing_FLA[#Data]),MATCH($A309,_xlfn.VSTACK(YES_Writing_ELA[Student Number],YES_Writing_FLA[Student Number]),0),MATCH(VLOOKUP(E$7,'Writing Logic'!$J$7:$K$11,2,FALSE)&amp;" - Per "&amp;VLOOKUP($C$4,'Writing Logic'!$G$8:$H$14,2,FALSE),YES_Writing_ELA[#Headers],0)))),"")</f>
        <v/>
      </c>
      <c r="F309" s="138" t="str">
        <f>IFERROR(IF(IF(INDEX(_xlfn.VSTACK(YES_Writing_ELA[#Data],YES_Writing_FLA[#Data]),MATCH($A309,_xlfn.VSTACK(YES_Writing_ELA[Student Number],YES_Writing_FLA[Student Number]),0),MATCH(VLOOKUP(F$7,'Writing Logic'!$J$7:$K$11,2,FALSE)&amp;" - Per "&amp;VLOOKUP($C$4,'Writing Logic'!$G$8:$H$14,2,FALSE),YES_Writing_ELA[#Headers],0))=0,"",INDEX(_xlfn.VSTACK(YES_Writing_ELA[#Data],YES_Writing_FLA[#Data]),MATCH($A309,_xlfn.VSTACK(YES_Writing_ELA[Student Number],YES_Writing_FLA[Student Number]),0),MATCH(VLOOKUP(F$7,'Writing Logic'!$J$7:$K$11,2,FALSE)&amp;" - Per "&amp;VLOOKUP($C$4,'Writing Logic'!$G$8:$H$14,2,FALSE),YES_Writing_ELA[#Headers],0)))="INS",'Writing Logic'!$B$7,IF(INDEX(_xlfn.VSTACK(YES_Writing_ELA[#Data],YES_Writing_FLA[#Data]),MATCH($A309,_xlfn.VSTACK(YES_Writing_ELA[Student Number],YES_Writing_FLA[Student Number]),0),MATCH(VLOOKUP(F$7,'Writing Logic'!$J$7:$K$11,2,FALSE)&amp;" - Per "&amp;VLOOKUP($C$4,'Writing Logic'!$G$8:$H$14,2,FALSE),YES_Writing_ELA[#Headers],0))=0,"",INDEX(_xlfn.VSTACK(YES_Writing_ELA[#Data],YES_Writing_FLA[#Data]),MATCH($A309,_xlfn.VSTACK(YES_Writing_ELA[Student Number],YES_Writing_FLA[Student Number]),0),MATCH(VLOOKUP(F$7,'Writing Logic'!$J$7:$K$11,2,FALSE)&amp;" - Per "&amp;VLOOKUP($C$4,'Writing Logic'!$G$8:$H$14,2,FALSE),YES_Writing_ELA[#Headers],0)))),"")</f>
        <v/>
      </c>
      <c r="G309" s="138" t="str">
        <f>IFERROR(IF(IF(INDEX(_xlfn.VSTACK(YES_Writing_ELA[#Data],YES_Writing_FLA[#Data]),MATCH($A309,_xlfn.VSTACK(YES_Writing_ELA[Student Number],YES_Writing_FLA[Student Number]),0),MATCH(VLOOKUP(G$7,'Writing Logic'!$J$7:$K$11,2,FALSE)&amp;" - Per "&amp;VLOOKUP($C$4,'Writing Logic'!$G$8:$H$14,2,FALSE),YES_Writing_ELA[#Headers],0))=0,"",INDEX(_xlfn.VSTACK(YES_Writing_ELA[#Data],YES_Writing_FLA[#Data]),MATCH($A309,_xlfn.VSTACK(YES_Writing_ELA[Student Number],YES_Writing_FLA[Student Number]),0),MATCH(VLOOKUP(G$7,'Writing Logic'!$J$7:$K$11,2,FALSE)&amp;" - Per "&amp;VLOOKUP($C$4,'Writing Logic'!$G$8:$H$14,2,FALSE),YES_Writing_ELA[#Headers],0)))="INS",'Writing Logic'!$B$7,IF(INDEX(_xlfn.VSTACK(YES_Writing_ELA[#Data],YES_Writing_FLA[#Data]),MATCH($A309,_xlfn.VSTACK(YES_Writing_ELA[Student Number],YES_Writing_FLA[Student Number]),0),MATCH(VLOOKUP(G$7,'Writing Logic'!$J$7:$K$11,2,FALSE)&amp;" - Per "&amp;VLOOKUP($C$4,'Writing Logic'!$G$8:$H$14,2,FALSE),YES_Writing_ELA[#Headers],0))=0,"",INDEX(_xlfn.VSTACK(YES_Writing_ELA[#Data],YES_Writing_FLA[#Data]),MATCH($A309,_xlfn.VSTACK(YES_Writing_ELA[Student Number],YES_Writing_FLA[Student Number]),0),MATCH(VLOOKUP(G$7,'Writing Logic'!$J$7:$K$11,2,FALSE)&amp;" - Per "&amp;VLOOKUP($C$4,'Writing Logic'!$G$8:$H$14,2,FALSE),YES_Writing_ELA[#Headers],0)))),"")</f>
        <v/>
      </c>
      <c r="H309" s="223" t="str">
        <f>IFERROR(IF(IF(INDEX(_xlfn.VSTACK(YES_Writing_ELA[#Data],YES_Writing_FLA[#Data]),MATCH($A309,_xlfn.VSTACK(YES_Writing_ELA[Student Number],YES_Writing_FLA[Student Number]),0),MATCH(VLOOKUP(H$7,'Writing Logic'!$J$7:$K$11,2,FALSE)&amp;" - Per "&amp;VLOOKUP($C$4,'Writing Logic'!$G$8:$H$14,2,FALSE),YES_Writing_ELA[#Headers],0))=0,"",INDEX(_xlfn.VSTACK(YES_Writing_ELA[#Data],YES_Writing_FLA[#Data]),MATCH($A309,_xlfn.VSTACK(YES_Writing_ELA[Student Number],YES_Writing_FLA[Student Number]),0),MATCH(VLOOKUP(H$7,'Writing Logic'!$J$7:$K$11,2,FALSE)&amp;" - Per "&amp;VLOOKUP($C$4,'Writing Logic'!$G$8:$H$14,2,FALSE),YES_Writing_ELA[#Headers],0)))="INS",'Writing Logic'!$B$7,IF(INDEX(_xlfn.VSTACK(YES_Writing_ELA[#Data],YES_Writing_FLA[#Data]),MATCH($A309,_xlfn.VSTACK(YES_Writing_ELA[Student Number],YES_Writing_FLA[Student Number]),0),MATCH(VLOOKUP(H$7,'Writing Logic'!$J$7:$K$11,2,FALSE)&amp;" - Per "&amp;VLOOKUP($C$4,'Writing Logic'!$G$8:$H$14,2,FALSE),YES_Writing_ELA[#Headers],0))=0,"",INDEX(_xlfn.VSTACK(YES_Writing_ELA[#Data],YES_Writing_FLA[#Data]),MATCH($A309,_xlfn.VSTACK(YES_Writing_ELA[Student Number],YES_Writing_FLA[Student Number]),0),MATCH(VLOOKUP(H$7,'Writing Logic'!$J$7:$K$11,2,FALSE)&amp;" - Per "&amp;VLOOKUP($C$4,'Writing Logic'!$G$8:$H$14,2,FALSE),YES_Writing_ELA[#Headers],0)))),"")</f>
        <v/>
      </c>
      <c r="I309" s="224" t="str" cm="1">
        <f t="array" aca="1" ref="I309" ca="1">IFERROR(
IF($G$3="ELA",
IF(VLOOKUP($A309, YES_Reading_ELA[], COLUMN(INDIRECT("YES_Reading_ELA[Difference - Per "&amp;VLOOKUP($G$4, 'Reading Report Logic'!$A$2:$B$8, 2, FALSE)&amp;"]")), FALSE)="", "",
VLOOKUP($A309,YES_Reading_ELA[], COLUMN(INDIRECT("YES_Reading_ELA[Difference - Per "&amp;VLOOKUP($G$4,'Reading Report Logic'!$A$2:$B$8,2,FALSE)&amp;"]")), FALSE)),
IF($G$3="FLA",
IF(VLOOKUP($A309, YES_Reading_FLA[], COLUMN(INDIRECT("YES_Reading_FLA[Difference - Per "&amp;VLOOKUP($G$4,'Reading Report Logic'!$A$2:$B$8,2,FALSE)&amp;"]")),FALSE)="","",
VLOOKUP($A309,YES_Reading_FLA[],COLUMN(INDIRECT("YES_Reading_FLA[Difference - Per "&amp;VLOOKUP($G$4,'Reading Report Logic'!$A$2:$B$8,2,FALSE)&amp;"]")),FALSE)),
IF($G$3="Combined",
IFERROR(
IF(VLOOKUP($A309, YES_Reading_ELA[], COLUMN(INDIRECT("YES_Reading_ELA[Difference - Per "&amp;VLOOKUP($G$4, 'Reading Report Logic'!$A$2:$B$8,2,FALSE)&amp;"]")), FALSE)="", "",
VLOOKUP($A309,YES_Reading_ELA[],COLUMN(INDIRECT("YES_Reading_ELA[Difference - Per "&amp;VLOOKUP($G$4,'Reading Report Logic'!$A$2:$B$8,2,FALSE)&amp;"]")),FALSE)),
IF(VLOOKUP($A309, YES_Reading_FLA[], COLUMN(INDIRECT("YES_Reading_FLA[Difference - Per "&amp;VLOOKUP($G$4, 'Reading Report Logic'!$A$2:$B$8, 2, FALSE)&amp;"]")),FALSE)="", "", VLOOKUP($A309,YES_Reading_FLA[],COLUMN(INDIRECT("YES_Reading_FLA[Difference - Per "&amp;VLOOKUP($G$4, 'Reading Report Logic'!$A$2:$B$8, 2, FALSE)&amp;"]")),FALSE))),""))),"")</f>
        <v/>
      </c>
    </row>
    <row r="310" spans="1:9" x14ac:dyDescent="0.25">
      <c r="A310" s="137"/>
      <c r="B310" s="137" t="str">
        <f>IFERROR(INDEX(_xlfn.VSTACK(YES_Writing_ELA[#Data], YES_Writing_FLA[#Data]),MATCH($A310,_xlfn.VSTACK(YES_Writing_ELA[Student Number], YES_Writing_FLA[Student Number]),0),MATCH(B$7,YES_Writing_ELA[#Headers],0)),IFERROR(INDEX(_xlfn.VSTACK(YES_Reading_ELA[#Data], YES_Reading_FLA[#Data]),MATCH($A310,_xlfn.VSTACK(YES_Reading_ELA[Student Number], YES_Reading_FLA[Student Number]),0),MATCH(B$7,YES_Reading_ELA[#Headers],0)),""))</f>
        <v/>
      </c>
      <c r="C310" s="137" t="str">
        <f>IFERROR(INDEX(_xlfn.VSTACK(YES_Writing_ELA[#Data], YES_Writing_FLA[#Data]),MATCH($A310,_xlfn.VSTACK(YES_Writing_ELA[Student Number], YES_Writing_FLA[Student Number]),0),MATCH(C$7,YES_Writing_ELA[#Headers],0)),IFERROR(INDEX(_xlfn.VSTACK(YES_Reading_ELA[#Data], YES_Reading_FLA[#Data]),MATCH($A310,_xlfn.VSTACK(YES_Reading_ELA[Student Number], YES_Reading_FLA[Student Number]),0),MATCH(C$7,YES_Reading_ELA[#Headers],0)),""))</f>
        <v/>
      </c>
      <c r="D310" s="138" t="str">
        <f>IFERROR(IF(IF(INDEX(_xlfn.VSTACK(YES_Writing_ELA[#Data],YES_Writing_FLA[#Data]),MATCH($A310,_xlfn.VSTACK(YES_Writing_ELA[Student Number],YES_Writing_FLA[Student Number]),0),MATCH(VLOOKUP(D$7,'Writing Logic'!$J$7:$K$11,2,FALSE)&amp;" - Per "&amp;VLOOKUP($C$4,'Writing Logic'!$G$8:$H$14,2,FALSE),YES_Writing_ELA[#Headers],0))=0,"",INDEX(_xlfn.VSTACK(YES_Writing_ELA[#Data],YES_Writing_FLA[#Data]),MATCH($A310,_xlfn.VSTACK(YES_Writing_ELA[Student Number],YES_Writing_FLA[Student Number]),0),MATCH(VLOOKUP(D$7,'Writing Logic'!$J$7:$K$11,2,FALSE)&amp;" - Per "&amp;VLOOKUP($C$4,'Writing Logic'!$G$8:$H$14,2,FALSE),YES_Writing_ELA[#Headers],0)))="INS",'Writing Logic'!$B$7,IF(INDEX(_xlfn.VSTACK(YES_Writing_ELA[#Data],YES_Writing_FLA[#Data]),MATCH($A310,_xlfn.VSTACK(YES_Writing_ELA[Student Number],YES_Writing_FLA[Student Number]),0),MATCH(VLOOKUP(D$7,'Writing Logic'!$J$7:$K$11,2,FALSE)&amp;" - Per "&amp;VLOOKUP($C$4,'Writing Logic'!$G$8:$H$14,2,FALSE),YES_Writing_ELA[#Headers],0))=0,"",INDEX(_xlfn.VSTACK(YES_Writing_ELA[#Data],YES_Writing_FLA[#Data]),MATCH($A310,_xlfn.VSTACK(YES_Writing_ELA[Student Number],YES_Writing_FLA[Student Number]),0),MATCH(VLOOKUP(D$7,'Writing Logic'!$J$7:$K$11,2,FALSE)&amp;" - Per "&amp;VLOOKUP($C$4,'Writing Logic'!$G$8:$H$14,2,FALSE),YES_Writing_ELA[#Headers],0)))),"")</f>
        <v/>
      </c>
      <c r="E310" s="138" t="str">
        <f>IFERROR(IF(IF(INDEX(_xlfn.VSTACK(YES_Writing_ELA[#Data],YES_Writing_FLA[#Data]),MATCH($A310,_xlfn.VSTACK(YES_Writing_ELA[Student Number],YES_Writing_FLA[Student Number]),0),MATCH(VLOOKUP(E$7,'Writing Logic'!$J$7:$K$11,2,FALSE)&amp;" - Per "&amp;VLOOKUP($C$4,'Writing Logic'!$G$8:$H$14,2,FALSE),YES_Writing_ELA[#Headers],0))=0,"",INDEX(_xlfn.VSTACK(YES_Writing_ELA[#Data],YES_Writing_FLA[#Data]),MATCH($A310,_xlfn.VSTACK(YES_Writing_ELA[Student Number],YES_Writing_FLA[Student Number]),0),MATCH(VLOOKUP(E$7,'Writing Logic'!$J$7:$K$11,2,FALSE)&amp;" - Per "&amp;VLOOKUP($C$4,'Writing Logic'!$G$8:$H$14,2,FALSE),YES_Writing_ELA[#Headers],0)))="INS",'Writing Logic'!$B$7,IF(INDEX(_xlfn.VSTACK(YES_Writing_ELA[#Data],YES_Writing_FLA[#Data]),MATCH($A310,_xlfn.VSTACK(YES_Writing_ELA[Student Number],YES_Writing_FLA[Student Number]),0),MATCH(VLOOKUP(E$7,'Writing Logic'!$J$7:$K$11,2,FALSE)&amp;" - Per "&amp;VLOOKUP($C$4,'Writing Logic'!$G$8:$H$14,2,FALSE),YES_Writing_ELA[#Headers],0))=0,"",INDEX(_xlfn.VSTACK(YES_Writing_ELA[#Data],YES_Writing_FLA[#Data]),MATCH($A310,_xlfn.VSTACK(YES_Writing_ELA[Student Number],YES_Writing_FLA[Student Number]),0),MATCH(VLOOKUP(E$7,'Writing Logic'!$J$7:$K$11,2,FALSE)&amp;" - Per "&amp;VLOOKUP($C$4,'Writing Logic'!$G$8:$H$14,2,FALSE),YES_Writing_ELA[#Headers],0)))),"")</f>
        <v/>
      </c>
      <c r="F310" s="138" t="str">
        <f>IFERROR(IF(IF(INDEX(_xlfn.VSTACK(YES_Writing_ELA[#Data],YES_Writing_FLA[#Data]),MATCH($A310,_xlfn.VSTACK(YES_Writing_ELA[Student Number],YES_Writing_FLA[Student Number]),0),MATCH(VLOOKUP(F$7,'Writing Logic'!$J$7:$K$11,2,FALSE)&amp;" - Per "&amp;VLOOKUP($C$4,'Writing Logic'!$G$8:$H$14,2,FALSE),YES_Writing_ELA[#Headers],0))=0,"",INDEX(_xlfn.VSTACK(YES_Writing_ELA[#Data],YES_Writing_FLA[#Data]),MATCH($A310,_xlfn.VSTACK(YES_Writing_ELA[Student Number],YES_Writing_FLA[Student Number]),0),MATCH(VLOOKUP(F$7,'Writing Logic'!$J$7:$K$11,2,FALSE)&amp;" - Per "&amp;VLOOKUP($C$4,'Writing Logic'!$G$8:$H$14,2,FALSE),YES_Writing_ELA[#Headers],0)))="INS",'Writing Logic'!$B$7,IF(INDEX(_xlfn.VSTACK(YES_Writing_ELA[#Data],YES_Writing_FLA[#Data]),MATCH($A310,_xlfn.VSTACK(YES_Writing_ELA[Student Number],YES_Writing_FLA[Student Number]),0),MATCH(VLOOKUP(F$7,'Writing Logic'!$J$7:$K$11,2,FALSE)&amp;" - Per "&amp;VLOOKUP($C$4,'Writing Logic'!$G$8:$H$14,2,FALSE),YES_Writing_ELA[#Headers],0))=0,"",INDEX(_xlfn.VSTACK(YES_Writing_ELA[#Data],YES_Writing_FLA[#Data]),MATCH($A310,_xlfn.VSTACK(YES_Writing_ELA[Student Number],YES_Writing_FLA[Student Number]),0),MATCH(VLOOKUP(F$7,'Writing Logic'!$J$7:$K$11,2,FALSE)&amp;" - Per "&amp;VLOOKUP($C$4,'Writing Logic'!$G$8:$H$14,2,FALSE),YES_Writing_ELA[#Headers],0)))),"")</f>
        <v/>
      </c>
      <c r="G310" s="138" t="str">
        <f>IFERROR(IF(IF(INDEX(_xlfn.VSTACK(YES_Writing_ELA[#Data],YES_Writing_FLA[#Data]),MATCH($A310,_xlfn.VSTACK(YES_Writing_ELA[Student Number],YES_Writing_FLA[Student Number]),0),MATCH(VLOOKUP(G$7,'Writing Logic'!$J$7:$K$11,2,FALSE)&amp;" - Per "&amp;VLOOKUP($C$4,'Writing Logic'!$G$8:$H$14,2,FALSE),YES_Writing_ELA[#Headers],0))=0,"",INDEX(_xlfn.VSTACK(YES_Writing_ELA[#Data],YES_Writing_FLA[#Data]),MATCH($A310,_xlfn.VSTACK(YES_Writing_ELA[Student Number],YES_Writing_FLA[Student Number]),0),MATCH(VLOOKUP(G$7,'Writing Logic'!$J$7:$K$11,2,FALSE)&amp;" - Per "&amp;VLOOKUP($C$4,'Writing Logic'!$G$8:$H$14,2,FALSE),YES_Writing_ELA[#Headers],0)))="INS",'Writing Logic'!$B$7,IF(INDEX(_xlfn.VSTACK(YES_Writing_ELA[#Data],YES_Writing_FLA[#Data]),MATCH($A310,_xlfn.VSTACK(YES_Writing_ELA[Student Number],YES_Writing_FLA[Student Number]),0),MATCH(VLOOKUP(G$7,'Writing Logic'!$J$7:$K$11,2,FALSE)&amp;" - Per "&amp;VLOOKUP($C$4,'Writing Logic'!$G$8:$H$14,2,FALSE),YES_Writing_ELA[#Headers],0))=0,"",INDEX(_xlfn.VSTACK(YES_Writing_ELA[#Data],YES_Writing_FLA[#Data]),MATCH($A310,_xlfn.VSTACK(YES_Writing_ELA[Student Number],YES_Writing_FLA[Student Number]),0),MATCH(VLOOKUP(G$7,'Writing Logic'!$J$7:$K$11,2,FALSE)&amp;" - Per "&amp;VLOOKUP($C$4,'Writing Logic'!$G$8:$H$14,2,FALSE),YES_Writing_ELA[#Headers],0)))),"")</f>
        <v/>
      </c>
      <c r="H310" s="223" t="str">
        <f>IFERROR(IF(IF(INDEX(_xlfn.VSTACK(YES_Writing_ELA[#Data],YES_Writing_FLA[#Data]),MATCH($A310,_xlfn.VSTACK(YES_Writing_ELA[Student Number],YES_Writing_FLA[Student Number]),0),MATCH(VLOOKUP(H$7,'Writing Logic'!$J$7:$K$11,2,FALSE)&amp;" - Per "&amp;VLOOKUP($C$4,'Writing Logic'!$G$8:$H$14,2,FALSE),YES_Writing_ELA[#Headers],0))=0,"",INDEX(_xlfn.VSTACK(YES_Writing_ELA[#Data],YES_Writing_FLA[#Data]),MATCH($A310,_xlfn.VSTACK(YES_Writing_ELA[Student Number],YES_Writing_FLA[Student Number]),0),MATCH(VLOOKUP(H$7,'Writing Logic'!$J$7:$K$11,2,FALSE)&amp;" - Per "&amp;VLOOKUP($C$4,'Writing Logic'!$G$8:$H$14,2,FALSE),YES_Writing_ELA[#Headers],0)))="INS",'Writing Logic'!$B$7,IF(INDEX(_xlfn.VSTACK(YES_Writing_ELA[#Data],YES_Writing_FLA[#Data]),MATCH($A310,_xlfn.VSTACK(YES_Writing_ELA[Student Number],YES_Writing_FLA[Student Number]),0),MATCH(VLOOKUP(H$7,'Writing Logic'!$J$7:$K$11,2,FALSE)&amp;" - Per "&amp;VLOOKUP($C$4,'Writing Logic'!$G$8:$H$14,2,FALSE),YES_Writing_ELA[#Headers],0))=0,"",INDEX(_xlfn.VSTACK(YES_Writing_ELA[#Data],YES_Writing_FLA[#Data]),MATCH($A310,_xlfn.VSTACK(YES_Writing_ELA[Student Number],YES_Writing_FLA[Student Number]),0),MATCH(VLOOKUP(H$7,'Writing Logic'!$J$7:$K$11,2,FALSE)&amp;" - Per "&amp;VLOOKUP($C$4,'Writing Logic'!$G$8:$H$14,2,FALSE),YES_Writing_ELA[#Headers],0)))),"")</f>
        <v/>
      </c>
      <c r="I310" s="224" t="str" cm="1">
        <f t="array" aca="1" ref="I310" ca="1">IFERROR(
IF($G$3="ELA",
IF(VLOOKUP($A310, YES_Reading_ELA[], COLUMN(INDIRECT("YES_Reading_ELA[Difference - Per "&amp;VLOOKUP($G$4, 'Reading Report Logic'!$A$2:$B$8, 2, FALSE)&amp;"]")), FALSE)="", "",
VLOOKUP($A310,YES_Reading_ELA[], COLUMN(INDIRECT("YES_Reading_ELA[Difference - Per "&amp;VLOOKUP($G$4,'Reading Report Logic'!$A$2:$B$8,2,FALSE)&amp;"]")), FALSE)),
IF($G$3="FLA",
IF(VLOOKUP($A310, YES_Reading_FLA[], COLUMN(INDIRECT("YES_Reading_FLA[Difference - Per "&amp;VLOOKUP($G$4,'Reading Report Logic'!$A$2:$B$8,2,FALSE)&amp;"]")),FALSE)="","",
VLOOKUP($A310,YES_Reading_FLA[],COLUMN(INDIRECT("YES_Reading_FLA[Difference - Per "&amp;VLOOKUP($G$4,'Reading Report Logic'!$A$2:$B$8,2,FALSE)&amp;"]")),FALSE)),
IF($G$3="Combined",
IFERROR(
IF(VLOOKUP($A310, YES_Reading_ELA[], COLUMN(INDIRECT("YES_Reading_ELA[Difference - Per "&amp;VLOOKUP($G$4, 'Reading Report Logic'!$A$2:$B$8,2,FALSE)&amp;"]")), FALSE)="", "",
VLOOKUP($A310,YES_Reading_ELA[],COLUMN(INDIRECT("YES_Reading_ELA[Difference - Per "&amp;VLOOKUP($G$4,'Reading Report Logic'!$A$2:$B$8,2,FALSE)&amp;"]")),FALSE)),
IF(VLOOKUP($A310, YES_Reading_FLA[], COLUMN(INDIRECT("YES_Reading_FLA[Difference - Per "&amp;VLOOKUP($G$4, 'Reading Report Logic'!$A$2:$B$8, 2, FALSE)&amp;"]")),FALSE)="", "", VLOOKUP($A310,YES_Reading_FLA[],COLUMN(INDIRECT("YES_Reading_FLA[Difference - Per "&amp;VLOOKUP($G$4, 'Reading Report Logic'!$A$2:$B$8, 2, FALSE)&amp;"]")),FALSE))),""))),"")</f>
        <v/>
      </c>
    </row>
    <row r="311" spans="1:9" x14ac:dyDescent="0.25">
      <c r="A311" s="137"/>
      <c r="B311" s="137" t="str">
        <f>IFERROR(INDEX(_xlfn.VSTACK(YES_Writing_ELA[#Data], YES_Writing_FLA[#Data]),MATCH($A311,_xlfn.VSTACK(YES_Writing_ELA[Student Number], YES_Writing_FLA[Student Number]),0),MATCH(B$7,YES_Writing_ELA[#Headers],0)),IFERROR(INDEX(_xlfn.VSTACK(YES_Reading_ELA[#Data], YES_Reading_FLA[#Data]),MATCH($A311,_xlfn.VSTACK(YES_Reading_ELA[Student Number], YES_Reading_FLA[Student Number]),0),MATCH(B$7,YES_Reading_ELA[#Headers],0)),""))</f>
        <v/>
      </c>
      <c r="C311" s="137" t="str">
        <f>IFERROR(INDEX(_xlfn.VSTACK(YES_Writing_ELA[#Data], YES_Writing_FLA[#Data]),MATCH($A311,_xlfn.VSTACK(YES_Writing_ELA[Student Number], YES_Writing_FLA[Student Number]),0),MATCH(C$7,YES_Writing_ELA[#Headers],0)),IFERROR(INDEX(_xlfn.VSTACK(YES_Reading_ELA[#Data], YES_Reading_FLA[#Data]),MATCH($A311,_xlfn.VSTACK(YES_Reading_ELA[Student Number], YES_Reading_FLA[Student Number]),0),MATCH(C$7,YES_Reading_ELA[#Headers],0)),""))</f>
        <v/>
      </c>
      <c r="D311" s="138" t="str">
        <f>IFERROR(IF(IF(INDEX(_xlfn.VSTACK(YES_Writing_ELA[#Data],YES_Writing_FLA[#Data]),MATCH($A311,_xlfn.VSTACK(YES_Writing_ELA[Student Number],YES_Writing_FLA[Student Number]),0),MATCH(VLOOKUP(D$7,'Writing Logic'!$J$7:$K$11,2,FALSE)&amp;" - Per "&amp;VLOOKUP($C$4,'Writing Logic'!$G$8:$H$14,2,FALSE),YES_Writing_ELA[#Headers],0))=0,"",INDEX(_xlfn.VSTACK(YES_Writing_ELA[#Data],YES_Writing_FLA[#Data]),MATCH($A311,_xlfn.VSTACK(YES_Writing_ELA[Student Number],YES_Writing_FLA[Student Number]),0),MATCH(VLOOKUP(D$7,'Writing Logic'!$J$7:$K$11,2,FALSE)&amp;" - Per "&amp;VLOOKUP($C$4,'Writing Logic'!$G$8:$H$14,2,FALSE),YES_Writing_ELA[#Headers],0)))="INS",'Writing Logic'!$B$7,IF(INDEX(_xlfn.VSTACK(YES_Writing_ELA[#Data],YES_Writing_FLA[#Data]),MATCH($A311,_xlfn.VSTACK(YES_Writing_ELA[Student Number],YES_Writing_FLA[Student Number]),0),MATCH(VLOOKUP(D$7,'Writing Logic'!$J$7:$K$11,2,FALSE)&amp;" - Per "&amp;VLOOKUP($C$4,'Writing Logic'!$G$8:$H$14,2,FALSE),YES_Writing_ELA[#Headers],0))=0,"",INDEX(_xlfn.VSTACK(YES_Writing_ELA[#Data],YES_Writing_FLA[#Data]),MATCH($A311,_xlfn.VSTACK(YES_Writing_ELA[Student Number],YES_Writing_FLA[Student Number]),0),MATCH(VLOOKUP(D$7,'Writing Logic'!$J$7:$K$11,2,FALSE)&amp;" - Per "&amp;VLOOKUP($C$4,'Writing Logic'!$G$8:$H$14,2,FALSE),YES_Writing_ELA[#Headers],0)))),"")</f>
        <v/>
      </c>
      <c r="E311" s="138" t="str">
        <f>IFERROR(IF(IF(INDEX(_xlfn.VSTACK(YES_Writing_ELA[#Data],YES_Writing_FLA[#Data]),MATCH($A311,_xlfn.VSTACK(YES_Writing_ELA[Student Number],YES_Writing_FLA[Student Number]),0),MATCH(VLOOKUP(E$7,'Writing Logic'!$J$7:$K$11,2,FALSE)&amp;" - Per "&amp;VLOOKUP($C$4,'Writing Logic'!$G$8:$H$14,2,FALSE),YES_Writing_ELA[#Headers],0))=0,"",INDEX(_xlfn.VSTACK(YES_Writing_ELA[#Data],YES_Writing_FLA[#Data]),MATCH($A311,_xlfn.VSTACK(YES_Writing_ELA[Student Number],YES_Writing_FLA[Student Number]),0),MATCH(VLOOKUP(E$7,'Writing Logic'!$J$7:$K$11,2,FALSE)&amp;" - Per "&amp;VLOOKUP($C$4,'Writing Logic'!$G$8:$H$14,2,FALSE),YES_Writing_ELA[#Headers],0)))="INS",'Writing Logic'!$B$7,IF(INDEX(_xlfn.VSTACK(YES_Writing_ELA[#Data],YES_Writing_FLA[#Data]),MATCH($A311,_xlfn.VSTACK(YES_Writing_ELA[Student Number],YES_Writing_FLA[Student Number]),0),MATCH(VLOOKUP(E$7,'Writing Logic'!$J$7:$K$11,2,FALSE)&amp;" - Per "&amp;VLOOKUP($C$4,'Writing Logic'!$G$8:$H$14,2,FALSE),YES_Writing_ELA[#Headers],0))=0,"",INDEX(_xlfn.VSTACK(YES_Writing_ELA[#Data],YES_Writing_FLA[#Data]),MATCH($A311,_xlfn.VSTACK(YES_Writing_ELA[Student Number],YES_Writing_FLA[Student Number]),0),MATCH(VLOOKUP(E$7,'Writing Logic'!$J$7:$K$11,2,FALSE)&amp;" - Per "&amp;VLOOKUP($C$4,'Writing Logic'!$G$8:$H$14,2,FALSE),YES_Writing_ELA[#Headers],0)))),"")</f>
        <v/>
      </c>
      <c r="F311" s="138" t="str">
        <f>IFERROR(IF(IF(INDEX(_xlfn.VSTACK(YES_Writing_ELA[#Data],YES_Writing_FLA[#Data]),MATCH($A311,_xlfn.VSTACK(YES_Writing_ELA[Student Number],YES_Writing_FLA[Student Number]),0),MATCH(VLOOKUP(F$7,'Writing Logic'!$J$7:$K$11,2,FALSE)&amp;" - Per "&amp;VLOOKUP($C$4,'Writing Logic'!$G$8:$H$14,2,FALSE),YES_Writing_ELA[#Headers],0))=0,"",INDEX(_xlfn.VSTACK(YES_Writing_ELA[#Data],YES_Writing_FLA[#Data]),MATCH($A311,_xlfn.VSTACK(YES_Writing_ELA[Student Number],YES_Writing_FLA[Student Number]),0),MATCH(VLOOKUP(F$7,'Writing Logic'!$J$7:$K$11,2,FALSE)&amp;" - Per "&amp;VLOOKUP($C$4,'Writing Logic'!$G$8:$H$14,2,FALSE),YES_Writing_ELA[#Headers],0)))="INS",'Writing Logic'!$B$7,IF(INDEX(_xlfn.VSTACK(YES_Writing_ELA[#Data],YES_Writing_FLA[#Data]),MATCH($A311,_xlfn.VSTACK(YES_Writing_ELA[Student Number],YES_Writing_FLA[Student Number]),0),MATCH(VLOOKUP(F$7,'Writing Logic'!$J$7:$K$11,2,FALSE)&amp;" - Per "&amp;VLOOKUP($C$4,'Writing Logic'!$G$8:$H$14,2,FALSE),YES_Writing_ELA[#Headers],0))=0,"",INDEX(_xlfn.VSTACK(YES_Writing_ELA[#Data],YES_Writing_FLA[#Data]),MATCH($A311,_xlfn.VSTACK(YES_Writing_ELA[Student Number],YES_Writing_FLA[Student Number]),0),MATCH(VLOOKUP(F$7,'Writing Logic'!$J$7:$K$11,2,FALSE)&amp;" - Per "&amp;VLOOKUP($C$4,'Writing Logic'!$G$8:$H$14,2,FALSE),YES_Writing_ELA[#Headers],0)))),"")</f>
        <v/>
      </c>
      <c r="G311" s="138" t="str">
        <f>IFERROR(IF(IF(INDEX(_xlfn.VSTACK(YES_Writing_ELA[#Data],YES_Writing_FLA[#Data]),MATCH($A311,_xlfn.VSTACK(YES_Writing_ELA[Student Number],YES_Writing_FLA[Student Number]),0),MATCH(VLOOKUP(G$7,'Writing Logic'!$J$7:$K$11,2,FALSE)&amp;" - Per "&amp;VLOOKUP($C$4,'Writing Logic'!$G$8:$H$14,2,FALSE),YES_Writing_ELA[#Headers],0))=0,"",INDEX(_xlfn.VSTACK(YES_Writing_ELA[#Data],YES_Writing_FLA[#Data]),MATCH($A311,_xlfn.VSTACK(YES_Writing_ELA[Student Number],YES_Writing_FLA[Student Number]),0),MATCH(VLOOKUP(G$7,'Writing Logic'!$J$7:$K$11,2,FALSE)&amp;" - Per "&amp;VLOOKUP($C$4,'Writing Logic'!$G$8:$H$14,2,FALSE),YES_Writing_ELA[#Headers],0)))="INS",'Writing Logic'!$B$7,IF(INDEX(_xlfn.VSTACK(YES_Writing_ELA[#Data],YES_Writing_FLA[#Data]),MATCH($A311,_xlfn.VSTACK(YES_Writing_ELA[Student Number],YES_Writing_FLA[Student Number]),0),MATCH(VLOOKUP(G$7,'Writing Logic'!$J$7:$K$11,2,FALSE)&amp;" - Per "&amp;VLOOKUP($C$4,'Writing Logic'!$G$8:$H$14,2,FALSE),YES_Writing_ELA[#Headers],0))=0,"",INDEX(_xlfn.VSTACK(YES_Writing_ELA[#Data],YES_Writing_FLA[#Data]),MATCH($A311,_xlfn.VSTACK(YES_Writing_ELA[Student Number],YES_Writing_FLA[Student Number]),0),MATCH(VLOOKUP(G$7,'Writing Logic'!$J$7:$K$11,2,FALSE)&amp;" - Per "&amp;VLOOKUP($C$4,'Writing Logic'!$G$8:$H$14,2,FALSE),YES_Writing_ELA[#Headers],0)))),"")</f>
        <v/>
      </c>
      <c r="H311" s="223" t="str">
        <f>IFERROR(IF(IF(INDEX(_xlfn.VSTACK(YES_Writing_ELA[#Data],YES_Writing_FLA[#Data]),MATCH($A311,_xlfn.VSTACK(YES_Writing_ELA[Student Number],YES_Writing_FLA[Student Number]),0),MATCH(VLOOKUP(H$7,'Writing Logic'!$J$7:$K$11,2,FALSE)&amp;" - Per "&amp;VLOOKUP($C$4,'Writing Logic'!$G$8:$H$14,2,FALSE),YES_Writing_ELA[#Headers],0))=0,"",INDEX(_xlfn.VSTACK(YES_Writing_ELA[#Data],YES_Writing_FLA[#Data]),MATCH($A311,_xlfn.VSTACK(YES_Writing_ELA[Student Number],YES_Writing_FLA[Student Number]),0),MATCH(VLOOKUP(H$7,'Writing Logic'!$J$7:$K$11,2,FALSE)&amp;" - Per "&amp;VLOOKUP($C$4,'Writing Logic'!$G$8:$H$14,2,FALSE),YES_Writing_ELA[#Headers],0)))="INS",'Writing Logic'!$B$7,IF(INDEX(_xlfn.VSTACK(YES_Writing_ELA[#Data],YES_Writing_FLA[#Data]),MATCH($A311,_xlfn.VSTACK(YES_Writing_ELA[Student Number],YES_Writing_FLA[Student Number]),0),MATCH(VLOOKUP(H$7,'Writing Logic'!$J$7:$K$11,2,FALSE)&amp;" - Per "&amp;VLOOKUP($C$4,'Writing Logic'!$G$8:$H$14,2,FALSE),YES_Writing_ELA[#Headers],0))=0,"",INDEX(_xlfn.VSTACK(YES_Writing_ELA[#Data],YES_Writing_FLA[#Data]),MATCH($A311,_xlfn.VSTACK(YES_Writing_ELA[Student Number],YES_Writing_FLA[Student Number]),0),MATCH(VLOOKUP(H$7,'Writing Logic'!$J$7:$K$11,2,FALSE)&amp;" - Per "&amp;VLOOKUP($C$4,'Writing Logic'!$G$8:$H$14,2,FALSE),YES_Writing_ELA[#Headers],0)))),"")</f>
        <v/>
      </c>
      <c r="I311" s="224" t="str" cm="1">
        <f t="array" aca="1" ref="I311" ca="1">IFERROR(
IF($G$3="ELA",
IF(VLOOKUP($A311, YES_Reading_ELA[], COLUMN(INDIRECT("YES_Reading_ELA[Difference - Per "&amp;VLOOKUP($G$4, 'Reading Report Logic'!$A$2:$B$8, 2, FALSE)&amp;"]")), FALSE)="", "",
VLOOKUP($A311,YES_Reading_ELA[], COLUMN(INDIRECT("YES_Reading_ELA[Difference - Per "&amp;VLOOKUP($G$4,'Reading Report Logic'!$A$2:$B$8,2,FALSE)&amp;"]")), FALSE)),
IF($G$3="FLA",
IF(VLOOKUP($A311, YES_Reading_FLA[], COLUMN(INDIRECT("YES_Reading_FLA[Difference - Per "&amp;VLOOKUP($G$4,'Reading Report Logic'!$A$2:$B$8,2,FALSE)&amp;"]")),FALSE)="","",
VLOOKUP($A311,YES_Reading_FLA[],COLUMN(INDIRECT("YES_Reading_FLA[Difference - Per "&amp;VLOOKUP($G$4,'Reading Report Logic'!$A$2:$B$8,2,FALSE)&amp;"]")),FALSE)),
IF($G$3="Combined",
IFERROR(
IF(VLOOKUP($A311, YES_Reading_ELA[], COLUMN(INDIRECT("YES_Reading_ELA[Difference - Per "&amp;VLOOKUP($G$4, 'Reading Report Logic'!$A$2:$B$8,2,FALSE)&amp;"]")), FALSE)="", "",
VLOOKUP($A311,YES_Reading_ELA[],COLUMN(INDIRECT("YES_Reading_ELA[Difference - Per "&amp;VLOOKUP($G$4,'Reading Report Logic'!$A$2:$B$8,2,FALSE)&amp;"]")),FALSE)),
IF(VLOOKUP($A311, YES_Reading_FLA[], COLUMN(INDIRECT("YES_Reading_FLA[Difference - Per "&amp;VLOOKUP($G$4, 'Reading Report Logic'!$A$2:$B$8, 2, FALSE)&amp;"]")),FALSE)="", "", VLOOKUP($A311,YES_Reading_FLA[],COLUMN(INDIRECT("YES_Reading_FLA[Difference - Per "&amp;VLOOKUP($G$4, 'Reading Report Logic'!$A$2:$B$8, 2, FALSE)&amp;"]")),FALSE))),""))),"")</f>
        <v/>
      </c>
    </row>
    <row r="312" spans="1:9" x14ac:dyDescent="0.25">
      <c r="A312" s="137"/>
      <c r="B312" s="137" t="str">
        <f>IFERROR(INDEX(_xlfn.VSTACK(YES_Writing_ELA[#Data], YES_Writing_FLA[#Data]),MATCH($A312,_xlfn.VSTACK(YES_Writing_ELA[Student Number], YES_Writing_FLA[Student Number]),0),MATCH(B$7,YES_Writing_ELA[#Headers],0)),IFERROR(INDEX(_xlfn.VSTACK(YES_Reading_ELA[#Data], YES_Reading_FLA[#Data]),MATCH($A312,_xlfn.VSTACK(YES_Reading_ELA[Student Number], YES_Reading_FLA[Student Number]),0),MATCH(B$7,YES_Reading_ELA[#Headers],0)),""))</f>
        <v/>
      </c>
      <c r="C312" s="137" t="str">
        <f>IFERROR(INDEX(_xlfn.VSTACK(YES_Writing_ELA[#Data], YES_Writing_FLA[#Data]),MATCH($A312,_xlfn.VSTACK(YES_Writing_ELA[Student Number], YES_Writing_FLA[Student Number]),0),MATCH(C$7,YES_Writing_ELA[#Headers],0)),IFERROR(INDEX(_xlfn.VSTACK(YES_Reading_ELA[#Data], YES_Reading_FLA[#Data]),MATCH($A312,_xlfn.VSTACK(YES_Reading_ELA[Student Number], YES_Reading_FLA[Student Number]),0),MATCH(C$7,YES_Reading_ELA[#Headers],0)),""))</f>
        <v/>
      </c>
      <c r="D312" s="138" t="str">
        <f>IFERROR(IF(IF(INDEX(_xlfn.VSTACK(YES_Writing_ELA[#Data],YES_Writing_FLA[#Data]),MATCH($A312,_xlfn.VSTACK(YES_Writing_ELA[Student Number],YES_Writing_FLA[Student Number]),0),MATCH(VLOOKUP(D$7,'Writing Logic'!$J$7:$K$11,2,FALSE)&amp;" - Per "&amp;VLOOKUP($C$4,'Writing Logic'!$G$8:$H$14,2,FALSE),YES_Writing_ELA[#Headers],0))=0,"",INDEX(_xlfn.VSTACK(YES_Writing_ELA[#Data],YES_Writing_FLA[#Data]),MATCH($A312,_xlfn.VSTACK(YES_Writing_ELA[Student Number],YES_Writing_FLA[Student Number]),0),MATCH(VLOOKUP(D$7,'Writing Logic'!$J$7:$K$11,2,FALSE)&amp;" - Per "&amp;VLOOKUP($C$4,'Writing Logic'!$G$8:$H$14,2,FALSE),YES_Writing_ELA[#Headers],0)))="INS",'Writing Logic'!$B$7,IF(INDEX(_xlfn.VSTACK(YES_Writing_ELA[#Data],YES_Writing_FLA[#Data]),MATCH($A312,_xlfn.VSTACK(YES_Writing_ELA[Student Number],YES_Writing_FLA[Student Number]),0),MATCH(VLOOKUP(D$7,'Writing Logic'!$J$7:$K$11,2,FALSE)&amp;" - Per "&amp;VLOOKUP($C$4,'Writing Logic'!$G$8:$H$14,2,FALSE),YES_Writing_ELA[#Headers],0))=0,"",INDEX(_xlfn.VSTACK(YES_Writing_ELA[#Data],YES_Writing_FLA[#Data]),MATCH($A312,_xlfn.VSTACK(YES_Writing_ELA[Student Number],YES_Writing_FLA[Student Number]),0),MATCH(VLOOKUP(D$7,'Writing Logic'!$J$7:$K$11,2,FALSE)&amp;" - Per "&amp;VLOOKUP($C$4,'Writing Logic'!$G$8:$H$14,2,FALSE),YES_Writing_ELA[#Headers],0)))),"")</f>
        <v/>
      </c>
      <c r="E312" s="138" t="str">
        <f>IFERROR(IF(IF(INDEX(_xlfn.VSTACK(YES_Writing_ELA[#Data],YES_Writing_FLA[#Data]),MATCH($A312,_xlfn.VSTACK(YES_Writing_ELA[Student Number],YES_Writing_FLA[Student Number]),0),MATCH(VLOOKUP(E$7,'Writing Logic'!$J$7:$K$11,2,FALSE)&amp;" - Per "&amp;VLOOKUP($C$4,'Writing Logic'!$G$8:$H$14,2,FALSE),YES_Writing_ELA[#Headers],0))=0,"",INDEX(_xlfn.VSTACK(YES_Writing_ELA[#Data],YES_Writing_FLA[#Data]),MATCH($A312,_xlfn.VSTACK(YES_Writing_ELA[Student Number],YES_Writing_FLA[Student Number]),0),MATCH(VLOOKUP(E$7,'Writing Logic'!$J$7:$K$11,2,FALSE)&amp;" - Per "&amp;VLOOKUP($C$4,'Writing Logic'!$G$8:$H$14,2,FALSE),YES_Writing_ELA[#Headers],0)))="INS",'Writing Logic'!$B$7,IF(INDEX(_xlfn.VSTACK(YES_Writing_ELA[#Data],YES_Writing_FLA[#Data]),MATCH($A312,_xlfn.VSTACK(YES_Writing_ELA[Student Number],YES_Writing_FLA[Student Number]),0),MATCH(VLOOKUP(E$7,'Writing Logic'!$J$7:$K$11,2,FALSE)&amp;" - Per "&amp;VLOOKUP($C$4,'Writing Logic'!$G$8:$H$14,2,FALSE),YES_Writing_ELA[#Headers],0))=0,"",INDEX(_xlfn.VSTACK(YES_Writing_ELA[#Data],YES_Writing_FLA[#Data]),MATCH($A312,_xlfn.VSTACK(YES_Writing_ELA[Student Number],YES_Writing_FLA[Student Number]),0),MATCH(VLOOKUP(E$7,'Writing Logic'!$J$7:$K$11,2,FALSE)&amp;" - Per "&amp;VLOOKUP($C$4,'Writing Logic'!$G$8:$H$14,2,FALSE),YES_Writing_ELA[#Headers],0)))),"")</f>
        <v/>
      </c>
      <c r="F312" s="138" t="str">
        <f>IFERROR(IF(IF(INDEX(_xlfn.VSTACK(YES_Writing_ELA[#Data],YES_Writing_FLA[#Data]),MATCH($A312,_xlfn.VSTACK(YES_Writing_ELA[Student Number],YES_Writing_FLA[Student Number]),0),MATCH(VLOOKUP(F$7,'Writing Logic'!$J$7:$K$11,2,FALSE)&amp;" - Per "&amp;VLOOKUP($C$4,'Writing Logic'!$G$8:$H$14,2,FALSE),YES_Writing_ELA[#Headers],0))=0,"",INDEX(_xlfn.VSTACK(YES_Writing_ELA[#Data],YES_Writing_FLA[#Data]),MATCH($A312,_xlfn.VSTACK(YES_Writing_ELA[Student Number],YES_Writing_FLA[Student Number]),0),MATCH(VLOOKUP(F$7,'Writing Logic'!$J$7:$K$11,2,FALSE)&amp;" - Per "&amp;VLOOKUP($C$4,'Writing Logic'!$G$8:$H$14,2,FALSE),YES_Writing_ELA[#Headers],0)))="INS",'Writing Logic'!$B$7,IF(INDEX(_xlfn.VSTACK(YES_Writing_ELA[#Data],YES_Writing_FLA[#Data]),MATCH($A312,_xlfn.VSTACK(YES_Writing_ELA[Student Number],YES_Writing_FLA[Student Number]),0),MATCH(VLOOKUP(F$7,'Writing Logic'!$J$7:$K$11,2,FALSE)&amp;" - Per "&amp;VLOOKUP($C$4,'Writing Logic'!$G$8:$H$14,2,FALSE),YES_Writing_ELA[#Headers],0))=0,"",INDEX(_xlfn.VSTACK(YES_Writing_ELA[#Data],YES_Writing_FLA[#Data]),MATCH($A312,_xlfn.VSTACK(YES_Writing_ELA[Student Number],YES_Writing_FLA[Student Number]),0),MATCH(VLOOKUP(F$7,'Writing Logic'!$J$7:$K$11,2,FALSE)&amp;" - Per "&amp;VLOOKUP($C$4,'Writing Logic'!$G$8:$H$14,2,FALSE),YES_Writing_ELA[#Headers],0)))),"")</f>
        <v/>
      </c>
      <c r="G312" s="138" t="str">
        <f>IFERROR(IF(IF(INDEX(_xlfn.VSTACK(YES_Writing_ELA[#Data],YES_Writing_FLA[#Data]),MATCH($A312,_xlfn.VSTACK(YES_Writing_ELA[Student Number],YES_Writing_FLA[Student Number]),0),MATCH(VLOOKUP(G$7,'Writing Logic'!$J$7:$K$11,2,FALSE)&amp;" - Per "&amp;VLOOKUP($C$4,'Writing Logic'!$G$8:$H$14,2,FALSE),YES_Writing_ELA[#Headers],0))=0,"",INDEX(_xlfn.VSTACK(YES_Writing_ELA[#Data],YES_Writing_FLA[#Data]),MATCH($A312,_xlfn.VSTACK(YES_Writing_ELA[Student Number],YES_Writing_FLA[Student Number]),0),MATCH(VLOOKUP(G$7,'Writing Logic'!$J$7:$K$11,2,FALSE)&amp;" - Per "&amp;VLOOKUP($C$4,'Writing Logic'!$G$8:$H$14,2,FALSE),YES_Writing_ELA[#Headers],0)))="INS",'Writing Logic'!$B$7,IF(INDEX(_xlfn.VSTACK(YES_Writing_ELA[#Data],YES_Writing_FLA[#Data]),MATCH($A312,_xlfn.VSTACK(YES_Writing_ELA[Student Number],YES_Writing_FLA[Student Number]),0),MATCH(VLOOKUP(G$7,'Writing Logic'!$J$7:$K$11,2,FALSE)&amp;" - Per "&amp;VLOOKUP($C$4,'Writing Logic'!$G$8:$H$14,2,FALSE),YES_Writing_ELA[#Headers],0))=0,"",INDEX(_xlfn.VSTACK(YES_Writing_ELA[#Data],YES_Writing_FLA[#Data]),MATCH($A312,_xlfn.VSTACK(YES_Writing_ELA[Student Number],YES_Writing_FLA[Student Number]),0),MATCH(VLOOKUP(G$7,'Writing Logic'!$J$7:$K$11,2,FALSE)&amp;" - Per "&amp;VLOOKUP($C$4,'Writing Logic'!$G$8:$H$14,2,FALSE),YES_Writing_ELA[#Headers],0)))),"")</f>
        <v/>
      </c>
      <c r="H312" s="223" t="str">
        <f>IFERROR(IF(IF(INDEX(_xlfn.VSTACK(YES_Writing_ELA[#Data],YES_Writing_FLA[#Data]),MATCH($A312,_xlfn.VSTACK(YES_Writing_ELA[Student Number],YES_Writing_FLA[Student Number]),0),MATCH(VLOOKUP(H$7,'Writing Logic'!$J$7:$K$11,2,FALSE)&amp;" - Per "&amp;VLOOKUP($C$4,'Writing Logic'!$G$8:$H$14,2,FALSE),YES_Writing_ELA[#Headers],0))=0,"",INDEX(_xlfn.VSTACK(YES_Writing_ELA[#Data],YES_Writing_FLA[#Data]),MATCH($A312,_xlfn.VSTACK(YES_Writing_ELA[Student Number],YES_Writing_FLA[Student Number]),0),MATCH(VLOOKUP(H$7,'Writing Logic'!$J$7:$K$11,2,FALSE)&amp;" - Per "&amp;VLOOKUP($C$4,'Writing Logic'!$G$8:$H$14,2,FALSE),YES_Writing_ELA[#Headers],0)))="INS",'Writing Logic'!$B$7,IF(INDEX(_xlfn.VSTACK(YES_Writing_ELA[#Data],YES_Writing_FLA[#Data]),MATCH($A312,_xlfn.VSTACK(YES_Writing_ELA[Student Number],YES_Writing_FLA[Student Number]),0),MATCH(VLOOKUP(H$7,'Writing Logic'!$J$7:$K$11,2,FALSE)&amp;" - Per "&amp;VLOOKUP($C$4,'Writing Logic'!$G$8:$H$14,2,FALSE),YES_Writing_ELA[#Headers],0))=0,"",INDEX(_xlfn.VSTACK(YES_Writing_ELA[#Data],YES_Writing_FLA[#Data]),MATCH($A312,_xlfn.VSTACK(YES_Writing_ELA[Student Number],YES_Writing_FLA[Student Number]),0),MATCH(VLOOKUP(H$7,'Writing Logic'!$J$7:$K$11,2,FALSE)&amp;" - Per "&amp;VLOOKUP($C$4,'Writing Logic'!$G$8:$H$14,2,FALSE),YES_Writing_ELA[#Headers],0)))),"")</f>
        <v/>
      </c>
      <c r="I312" s="224" t="str" cm="1">
        <f t="array" aca="1" ref="I312" ca="1">IFERROR(
IF($G$3="ELA",
IF(VLOOKUP($A312, YES_Reading_ELA[], COLUMN(INDIRECT("YES_Reading_ELA[Difference - Per "&amp;VLOOKUP($G$4, 'Reading Report Logic'!$A$2:$B$8, 2, FALSE)&amp;"]")), FALSE)="", "",
VLOOKUP($A312,YES_Reading_ELA[], COLUMN(INDIRECT("YES_Reading_ELA[Difference - Per "&amp;VLOOKUP($G$4,'Reading Report Logic'!$A$2:$B$8,2,FALSE)&amp;"]")), FALSE)),
IF($G$3="FLA",
IF(VLOOKUP($A312, YES_Reading_FLA[], COLUMN(INDIRECT("YES_Reading_FLA[Difference - Per "&amp;VLOOKUP($G$4,'Reading Report Logic'!$A$2:$B$8,2,FALSE)&amp;"]")),FALSE)="","",
VLOOKUP($A312,YES_Reading_FLA[],COLUMN(INDIRECT("YES_Reading_FLA[Difference - Per "&amp;VLOOKUP($G$4,'Reading Report Logic'!$A$2:$B$8,2,FALSE)&amp;"]")),FALSE)),
IF($G$3="Combined",
IFERROR(
IF(VLOOKUP($A312, YES_Reading_ELA[], COLUMN(INDIRECT("YES_Reading_ELA[Difference - Per "&amp;VLOOKUP($G$4, 'Reading Report Logic'!$A$2:$B$8,2,FALSE)&amp;"]")), FALSE)="", "",
VLOOKUP($A312,YES_Reading_ELA[],COLUMN(INDIRECT("YES_Reading_ELA[Difference - Per "&amp;VLOOKUP($G$4,'Reading Report Logic'!$A$2:$B$8,2,FALSE)&amp;"]")),FALSE)),
IF(VLOOKUP($A312, YES_Reading_FLA[], COLUMN(INDIRECT("YES_Reading_FLA[Difference - Per "&amp;VLOOKUP($G$4, 'Reading Report Logic'!$A$2:$B$8, 2, FALSE)&amp;"]")),FALSE)="", "", VLOOKUP($A312,YES_Reading_FLA[],COLUMN(INDIRECT("YES_Reading_FLA[Difference - Per "&amp;VLOOKUP($G$4, 'Reading Report Logic'!$A$2:$B$8, 2, FALSE)&amp;"]")),FALSE))),""))),"")</f>
        <v/>
      </c>
    </row>
    <row r="313" spans="1:9" x14ac:dyDescent="0.25">
      <c r="A313" s="137"/>
      <c r="B313" s="137" t="str">
        <f>IFERROR(INDEX(_xlfn.VSTACK(YES_Writing_ELA[#Data], YES_Writing_FLA[#Data]),MATCH($A313,_xlfn.VSTACK(YES_Writing_ELA[Student Number], YES_Writing_FLA[Student Number]),0),MATCH(B$7,YES_Writing_ELA[#Headers],0)),IFERROR(INDEX(_xlfn.VSTACK(YES_Reading_ELA[#Data], YES_Reading_FLA[#Data]),MATCH($A313,_xlfn.VSTACK(YES_Reading_ELA[Student Number], YES_Reading_FLA[Student Number]),0),MATCH(B$7,YES_Reading_ELA[#Headers],0)),""))</f>
        <v/>
      </c>
      <c r="C313" s="137" t="str">
        <f>IFERROR(INDEX(_xlfn.VSTACK(YES_Writing_ELA[#Data], YES_Writing_FLA[#Data]),MATCH($A313,_xlfn.VSTACK(YES_Writing_ELA[Student Number], YES_Writing_FLA[Student Number]),0),MATCH(C$7,YES_Writing_ELA[#Headers],0)),IFERROR(INDEX(_xlfn.VSTACK(YES_Reading_ELA[#Data], YES_Reading_FLA[#Data]),MATCH($A313,_xlfn.VSTACK(YES_Reading_ELA[Student Number], YES_Reading_FLA[Student Number]),0),MATCH(C$7,YES_Reading_ELA[#Headers],0)),""))</f>
        <v/>
      </c>
      <c r="D313" s="138" t="str">
        <f>IFERROR(IF(IF(INDEX(_xlfn.VSTACK(YES_Writing_ELA[#Data],YES_Writing_FLA[#Data]),MATCH($A313,_xlfn.VSTACK(YES_Writing_ELA[Student Number],YES_Writing_FLA[Student Number]),0),MATCH(VLOOKUP(D$7,'Writing Logic'!$J$7:$K$11,2,FALSE)&amp;" - Per "&amp;VLOOKUP($C$4,'Writing Logic'!$G$8:$H$14,2,FALSE),YES_Writing_ELA[#Headers],0))=0,"",INDEX(_xlfn.VSTACK(YES_Writing_ELA[#Data],YES_Writing_FLA[#Data]),MATCH($A313,_xlfn.VSTACK(YES_Writing_ELA[Student Number],YES_Writing_FLA[Student Number]),0),MATCH(VLOOKUP(D$7,'Writing Logic'!$J$7:$K$11,2,FALSE)&amp;" - Per "&amp;VLOOKUP($C$4,'Writing Logic'!$G$8:$H$14,2,FALSE),YES_Writing_ELA[#Headers],0)))="INS",'Writing Logic'!$B$7,IF(INDEX(_xlfn.VSTACK(YES_Writing_ELA[#Data],YES_Writing_FLA[#Data]),MATCH($A313,_xlfn.VSTACK(YES_Writing_ELA[Student Number],YES_Writing_FLA[Student Number]),0),MATCH(VLOOKUP(D$7,'Writing Logic'!$J$7:$K$11,2,FALSE)&amp;" - Per "&amp;VLOOKUP($C$4,'Writing Logic'!$G$8:$H$14,2,FALSE),YES_Writing_ELA[#Headers],0))=0,"",INDEX(_xlfn.VSTACK(YES_Writing_ELA[#Data],YES_Writing_FLA[#Data]),MATCH($A313,_xlfn.VSTACK(YES_Writing_ELA[Student Number],YES_Writing_FLA[Student Number]),0),MATCH(VLOOKUP(D$7,'Writing Logic'!$J$7:$K$11,2,FALSE)&amp;" - Per "&amp;VLOOKUP($C$4,'Writing Logic'!$G$8:$H$14,2,FALSE),YES_Writing_ELA[#Headers],0)))),"")</f>
        <v/>
      </c>
      <c r="E313" s="138" t="str">
        <f>IFERROR(IF(IF(INDEX(_xlfn.VSTACK(YES_Writing_ELA[#Data],YES_Writing_FLA[#Data]),MATCH($A313,_xlfn.VSTACK(YES_Writing_ELA[Student Number],YES_Writing_FLA[Student Number]),0),MATCH(VLOOKUP(E$7,'Writing Logic'!$J$7:$K$11,2,FALSE)&amp;" - Per "&amp;VLOOKUP($C$4,'Writing Logic'!$G$8:$H$14,2,FALSE),YES_Writing_ELA[#Headers],0))=0,"",INDEX(_xlfn.VSTACK(YES_Writing_ELA[#Data],YES_Writing_FLA[#Data]),MATCH($A313,_xlfn.VSTACK(YES_Writing_ELA[Student Number],YES_Writing_FLA[Student Number]),0),MATCH(VLOOKUP(E$7,'Writing Logic'!$J$7:$K$11,2,FALSE)&amp;" - Per "&amp;VLOOKUP($C$4,'Writing Logic'!$G$8:$H$14,2,FALSE),YES_Writing_ELA[#Headers],0)))="INS",'Writing Logic'!$B$7,IF(INDEX(_xlfn.VSTACK(YES_Writing_ELA[#Data],YES_Writing_FLA[#Data]),MATCH($A313,_xlfn.VSTACK(YES_Writing_ELA[Student Number],YES_Writing_FLA[Student Number]),0),MATCH(VLOOKUP(E$7,'Writing Logic'!$J$7:$K$11,2,FALSE)&amp;" - Per "&amp;VLOOKUP($C$4,'Writing Logic'!$G$8:$H$14,2,FALSE),YES_Writing_ELA[#Headers],0))=0,"",INDEX(_xlfn.VSTACK(YES_Writing_ELA[#Data],YES_Writing_FLA[#Data]),MATCH($A313,_xlfn.VSTACK(YES_Writing_ELA[Student Number],YES_Writing_FLA[Student Number]),0),MATCH(VLOOKUP(E$7,'Writing Logic'!$J$7:$K$11,2,FALSE)&amp;" - Per "&amp;VLOOKUP($C$4,'Writing Logic'!$G$8:$H$14,2,FALSE),YES_Writing_ELA[#Headers],0)))),"")</f>
        <v/>
      </c>
      <c r="F313" s="138" t="str">
        <f>IFERROR(IF(IF(INDEX(_xlfn.VSTACK(YES_Writing_ELA[#Data],YES_Writing_FLA[#Data]),MATCH($A313,_xlfn.VSTACK(YES_Writing_ELA[Student Number],YES_Writing_FLA[Student Number]),0),MATCH(VLOOKUP(F$7,'Writing Logic'!$J$7:$K$11,2,FALSE)&amp;" - Per "&amp;VLOOKUP($C$4,'Writing Logic'!$G$8:$H$14,2,FALSE),YES_Writing_ELA[#Headers],0))=0,"",INDEX(_xlfn.VSTACK(YES_Writing_ELA[#Data],YES_Writing_FLA[#Data]),MATCH($A313,_xlfn.VSTACK(YES_Writing_ELA[Student Number],YES_Writing_FLA[Student Number]),0),MATCH(VLOOKUP(F$7,'Writing Logic'!$J$7:$K$11,2,FALSE)&amp;" - Per "&amp;VLOOKUP($C$4,'Writing Logic'!$G$8:$H$14,2,FALSE),YES_Writing_ELA[#Headers],0)))="INS",'Writing Logic'!$B$7,IF(INDEX(_xlfn.VSTACK(YES_Writing_ELA[#Data],YES_Writing_FLA[#Data]),MATCH($A313,_xlfn.VSTACK(YES_Writing_ELA[Student Number],YES_Writing_FLA[Student Number]),0),MATCH(VLOOKUP(F$7,'Writing Logic'!$J$7:$K$11,2,FALSE)&amp;" - Per "&amp;VLOOKUP($C$4,'Writing Logic'!$G$8:$H$14,2,FALSE),YES_Writing_ELA[#Headers],0))=0,"",INDEX(_xlfn.VSTACK(YES_Writing_ELA[#Data],YES_Writing_FLA[#Data]),MATCH($A313,_xlfn.VSTACK(YES_Writing_ELA[Student Number],YES_Writing_FLA[Student Number]),0),MATCH(VLOOKUP(F$7,'Writing Logic'!$J$7:$K$11,2,FALSE)&amp;" - Per "&amp;VLOOKUP($C$4,'Writing Logic'!$G$8:$H$14,2,FALSE),YES_Writing_ELA[#Headers],0)))),"")</f>
        <v/>
      </c>
      <c r="G313" s="138" t="str">
        <f>IFERROR(IF(IF(INDEX(_xlfn.VSTACK(YES_Writing_ELA[#Data],YES_Writing_FLA[#Data]),MATCH($A313,_xlfn.VSTACK(YES_Writing_ELA[Student Number],YES_Writing_FLA[Student Number]),0),MATCH(VLOOKUP(G$7,'Writing Logic'!$J$7:$K$11,2,FALSE)&amp;" - Per "&amp;VLOOKUP($C$4,'Writing Logic'!$G$8:$H$14,2,FALSE),YES_Writing_ELA[#Headers],0))=0,"",INDEX(_xlfn.VSTACK(YES_Writing_ELA[#Data],YES_Writing_FLA[#Data]),MATCH($A313,_xlfn.VSTACK(YES_Writing_ELA[Student Number],YES_Writing_FLA[Student Number]),0),MATCH(VLOOKUP(G$7,'Writing Logic'!$J$7:$K$11,2,FALSE)&amp;" - Per "&amp;VLOOKUP($C$4,'Writing Logic'!$G$8:$H$14,2,FALSE),YES_Writing_ELA[#Headers],0)))="INS",'Writing Logic'!$B$7,IF(INDEX(_xlfn.VSTACK(YES_Writing_ELA[#Data],YES_Writing_FLA[#Data]),MATCH($A313,_xlfn.VSTACK(YES_Writing_ELA[Student Number],YES_Writing_FLA[Student Number]),0),MATCH(VLOOKUP(G$7,'Writing Logic'!$J$7:$K$11,2,FALSE)&amp;" - Per "&amp;VLOOKUP($C$4,'Writing Logic'!$G$8:$H$14,2,FALSE),YES_Writing_ELA[#Headers],0))=0,"",INDEX(_xlfn.VSTACK(YES_Writing_ELA[#Data],YES_Writing_FLA[#Data]),MATCH($A313,_xlfn.VSTACK(YES_Writing_ELA[Student Number],YES_Writing_FLA[Student Number]),0),MATCH(VLOOKUP(G$7,'Writing Logic'!$J$7:$K$11,2,FALSE)&amp;" - Per "&amp;VLOOKUP($C$4,'Writing Logic'!$G$8:$H$14,2,FALSE),YES_Writing_ELA[#Headers],0)))),"")</f>
        <v/>
      </c>
      <c r="H313" s="223" t="str">
        <f>IFERROR(IF(IF(INDEX(_xlfn.VSTACK(YES_Writing_ELA[#Data],YES_Writing_FLA[#Data]),MATCH($A313,_xlfn.VSTACK(YES_Writing_ELA[Student Number],YES_Writing_FLA[Student Number]),0),MATCH(VLOOKUP(H$7,'Writing Logic'!$J$7:$K$11,2,FALSE)&amp;" - Per "&amp;VLOOKUP($C$4,'Writing Logic'!$G$8:$H$14,2,FALSE),YES_Writing_ELA[#Headers],0))=0,"",INDEX(_xlfn.VSTACK(YES_Writing_ELA[#Data],YES_Writing_FLA[#Data]),MATCH($A313,_xlfn.VSTACK(YES_Writing_ELA[Student Number],YES_Writing_FLA[Student Number]),0),MATCH(VLOOKUP(H$7,'Writing Logic'!$J$7:$K$11,2,FALSE)&amp;" - Per "&amp;VLOOKUP($C$4,'Writing Logic'!$G$8:$H$14,2,FALSE),YES_Writing_ELA[#Headers],0)))="INS",'Writing Logic'!$B$7,IF(INDEX(_xlfn.VSTACK(YES_Writing_ELA[#Data],YES_Writing_FLA[#Data]),MATCH($A313,_xlfn.VSTACK(YES_Writing_ELA[Student Number],YES_Writing_FLA[Student Number]),0),MATCH(VLOOKUP(H$7,'Writing Logic'!$J$7:$K$11,2,FALSE)&amp;" - Per "&amp;VLOOKUP($C$4,'Writing Logic'!$G$8:$H$14,2,FALSE),YES_Writing_ELA[#Headers],0))=0,"",INDEX(_xlfn.VSTACK(YES_Writing_ELA[#Data],YES_Writing_FLA[#Data]),MATCH($A313,_xlfn.VSTACK(YES_Writing_ELA[Student Number],YES_Writing_FLA[Student Number]),0),MATCH(VLOOKUP(H$7,'Writing Logic'!$J$7:$K$11,2,FALSE)&amp;" - Per "&amp;VLOOKUP($C$4,'Writing Logic'!$G$8:$H$14,2,FALSE),YES_Writing_ELA[#Headers],0)))),"")</f>
        <v/>
      </c>
      <c r="I313" s="224" t="str" cm="1">
        <f t="array" aca="1" ref="I313" ca="1">IFERROR(
IF($G$3="ELA",
IF(VLOOKUP($A313, YES_Reading_ELA[], COLUMN(INDIRECT("YES_Reading_ELA[Difference - Per "&amp;VLOOKUP($G$4, 'Reading Report Logic'!$A$2:$B$8, 2, FALSE)&amp;"]")), FALSE)="", "",
VLOOKUP($A313,YES_Reading_ELA[], COLUMN(INDIRECT("YES_Reading_ELA[Difference - Per "&amp;VLOOKUP($G$4,'Reading Report Logic'!$A$2:$B$8,2,FALSE)&amp;"]")), FALSE)),
IF($G$3="FLA",
IF(VLOOKUP($A313, YES_Reading_FLA[], COLUMN(INDIRECT("YES_Reading_FLA[Difference - Per "&amp;VLOOKUP($G$4,'Reading Report Logic'!$A$2:$B$8,2,FALSE)&amp;"]")),FALSE)="","",
VLOOKUP($A313,YES_Reading_FLA[],COLUMN(INDIRECT("YES_Reading_FLA[Difference - Per "&amp;VLOOKUP($G$4,'Reading Report Logic'!$A$2:$B$8,2,FALSE)&amp;"]")),FALSE)),
IF($G$3="Combined",
IFERROR(
IF(VLOOKUP($A313, YES_Reading_ELA[], COLUMN(INDIRECT("YES_Reading_ELA[Difference - Per "&amp;VLOOKUP($G$4, 'Reading Report Logic'!$A$2:$B$8,2,FALSE)&amp;"]")), FALSE)="", "",
VLOOKUP($A313,YES_Reading_ELA[],COLUMN(INDIRECT("YES_Reading_ELA[Difference - Per "&amp;VLOOKUP($G$4,'Reading Report Logic'!$A$2:$B$8,2,FALSE)&amp;"]")),FALSE)),
IF(VLOOKUP($A313, YES_Reading_FLA[], COLUMN(INDIRECT("YES_Reading_FLA[Difference - Per "&amp;VLOOKUP($G$4, 'Reading Report Logic'!$A$2:$B$8, 2, FALSE)&amp;"]")),FALSE)="", "", VLOOKUP($A313,YES_Reading_FLA[],COLUMN(INDIRECT("YES_Reading_FLA[Difference - Per "&amp;VLOOKUP($G$4, 'Reading Report Logic'!$A$2:$B$8, 2, FALSE)&amp;"]")),FALSE))),""))),"")</f>
        <v/>
      </c>
    </row>
    <row r="314" spans="1:9" x14ac:dyDescent="0.25">
      <c r="A314" s="137"/>
      <c r="B314" s="137" t="str">
        <f>IFERROR(INDEX(_xlfn.VSTACK(YES_Writing_ELA[#Data], YES_Writing_FLA[#Data]),MATCH($A314,_xlfn.VSTACK(YES_Writing_ELA[Student Number], YES_Writing_FLA[Student Number]),0),MATCH(B$7,YES_Writing_ELA[#Headers],0)),IFERROR(INDEX(_xlfn.VSTACK(YES_Reading_ELA[#Data], YES_Reading_FLA[#Data]),MATCH($A314,_xlfn.VSTACK(YES_Reading_ELA[Student Number], YES_Reading_FLA[Student Number]),0),MATCH(B$7,YES_Reading_ELA[#Headers],0)),""))</f>
        <v/>
      </c>
      <c r="C314" s="137" t="str">
        <f>IFERROR(INDEX(_xlfn.VSTACK(YES_Writing_ELA[#Data], YES_Writing_FLA[#Data]),MATCH($A314,_xlfn.VSTACK(YES_Writing_ELA[Student Number], YES_Writing_FLA[Student Number]),0),MATCH(C$7,YES_Writing_ELA[#Headers],0)),IFERROR(INDEX(_xlfn.VSTACK(YES_Reading_ELA[#Data], YES_Reading_FLA[#Data]),MATCH($A314,_xlfn.VSTACK(YES_Reading_ELA[Student Number], YES_Reading_FLA[Student Number]),0),MATCH(C$7,YES_Reading_ELA[#Headers],0)),""))</f>
        <v/>
      </c>
      <c r="D314" s="138" t="str">
        <f>IFERROR(IF(IF(INDEX(_xlfn.VSTACK(YES_Writing_ELA[#Data],YES_Writing_FLA[#Data]),MATCH($A314,_xlfn.VSTACK(YES_Writing_ELA[Student Number],YES_Writing_FLA[Student Number]),0),MATCH(VLOOKUP(D$7,'Writing Logic'!$J$7:$K$11,2,FALSE)&amp;" - Per "&amp;VLOOKUP($C$4,'Writing Logic'!$G$8:$H$14,2,FALSE),YES_Writing_ELA[#Headers],0))=0,"",INDEX(_xlfn.VSTACK(YES_Writing_ELA[#Data],YES_Writing_FLA[#Data]),MATCH($A314,_xlfn.VSTACK(YES_Writing_ELA[Student Number],YES_Writing_FLA[Student Number]),0),MATCH(VLOOKUP(D$7,'Writing Logic'!$J$7:$K$11,2,FALSE)&amp;" - Per "&amp;VLOOKUP($C$4,'Writing Logic'!$G$8:$H$14,2,FALSE),YES_Writing_ELA[#Headers],0)))="INS",'Writing Logic'!$B$7,IF(INDEX(_xlfn.VSTACK(YES_Writing_ELA[#Data],YES_Writing_FLA[#Data]),MATCH($A314,_xlfn.VSTACK(YES_Writing_ELA[Student Number],YES_Writing_FLA[Student Number]),0),MATCH(VLOOKUP(D$7,'Writing Logic'!$J$7:$K$11,2,FALSE)&amp;" - Per "&amp;VLOOKUP($C$4,'Writing Logic'!$G$8:$H$14,2,FALSE),YES_Writing_ELA[#Headers],0))=0,"",INDEX(_xlfn.VSTACK(YES_Writing_ELA[#Data],YES_Writing_FLA[#Data]),MATCH($A314,_xlfn.VSTACK(YES_Writing_ELA[Student Number],YES_Writing_FLA[Student Number]),0),MATCH(VLOOKUP(D$7,'Writing Logic'!$J$7:$K$11,2,FALSE)&amp;" - Per "&amp;VLOOKUP($C$4,'Writing Logic'!$G$8:$H$14,2,FALSE),YES_Writing_ELA[#Headers],0)))),"")</f>
        <v/>
      </c>
      <c r="E314" s="138" t="str">
        <f>IFERROR(IF(IF(INDEX(_xlfn.VSTACK(YES_Writing_ELA[#Data],YES_Writing_FLA[#Data]),MATCH($A314,_xlfn.VSTACK(YES_Writing_ELA[Student Number],YES_Writing_FLA[Student Number]),0),MATCH(VLOOKUP(E$7,'Writing Logic'!$J$7:$K$11,2,FALSE)&amp;" - Per "&amp;VLOOKUP($C$4,'Writing Logic'!$G$8:$H$14,2,FALSE),YES_Writing_ELA[#Headers],0))=0,"",INDEX(_xlfn.VSTACK(YES_Writing_ELA[#Data],YES_Writing_FLA[#Data]),MATCH($A314,_xlfn.VSTACK(YES_Writing_ELA[Student Number],YES_Writing_FLA[Student Number]),0),MATCH(VLOOKUP(E$7,'Writing Logic'!$J$7:$K$11,2,FALSE)&amp;" - Per "&amp;VLOOKUP($C$4,'Writing Logic'!$G$8:$H$14,2,FALSE),YES_Writing_ELA[#Headers],0)))="INS",'Writing Logic'!$B$7,IF(INDEX(_xlfn.VSTACK(YES_Writing_ELA[#Data],YES_Writing_FLA[#Data]),MATCH($A314,_xlfn.VSTACK(YES_Writing_ELA[Student Number],YES_Writing_FLA[Student Number]),0),MATCH(VLOOKUP(E$7,'Writing Logic'!$J$7:$K$11,2,FALSE)&amp;" - Per "&amp;VLOOKUP($C$4,'Writing Logic'!$G$8:$H$14,2,FALSE),YES_Writing_ELA[#Headers],0))=0,"",INDEX(_xlfn.VSTACK(YES_Writing_ELA[#Data],YES_Writing_FLA[#Data]),MATCH($A314,_xlfn.VSTACK(YES_Writing_ELA[Student Number],YES_Writing_FLA[Student Number]),0),MATCH(VLOOKUP(E$7,'Writing Logic'!$J$7:$K$11,2,FALSE)&amp;" - Per "&amp;VLOOKUP($C$4,'Writing Logic'!$G$8:$H$14,2,FALSE),YES_Writing_ELA[#Headers],0)))),"")</f>
        <v/>
      </c>
      <c r="F314" s="138" t="str">
        <f>IFERROR(IF(IF(INDEX(_xlfn.VSTACK(YES_Writing_ELA[#Data],YES_Writing_FLA[#Data]),MATCH($A314,_xlfn.VSTACK(YES_Writing_ELA[Student Number],YES_Writing_FLA[Student Number]),0),MATCH(VLOOKUP(F$7,'Writing Logic'!$J$7:$K$11,2,FALSE)&amp;" - Per "&amp;VLOOKUP($C$4,'Writing Logic'!$G$8:$H$14,2,FALSE),YES_Writing_ELA[#Headers],0))=0,"",INDEX(_xlfn.VSTACK(YES_Writing_ELA[#Data],YES_Writing_FLA[#Data]),MATCH($A314,_xlfn.VSTACK(YES_Writing_ELA[Student Number],YES_Writing_FLA[Student Number]),0),MATCH(VLOOKUP(F$7,'Writing Logic'!$J$7:$K$11,2,FALSE)&amp;" - Per "&amp;VLOOKUP($C$4,'Writing Logic'!$G$8:$H$14,2,FALSE),YES_Writing_ELA[#Headers],0)))="INS",'Writing Logic'!$B$7,IF(INDEX(_xlfn.VSTACK(YES_Writing_ELA[#Data],YES_Writing_FLA[#Data]),MATCH($A314,_xlfn.VSTACK(YES_Writing_ELA[Student Number],YES_Writing_FLA[Student Number]),0),MATCH(VLOOKUP(F$7,'Writing Logic'!$J$7:$K$11,2,FALSE)&amp;" - Per "&amp;VLOOKUP($C$4,'Writing Logic'!$G$8:$H$14,2,FALSE),YES_Writing_ELA[#Headers],0))=0,"",INDEX(_xlfn.VSTACK(YES_Writing_ELA[#Data],YES_Writing_FLA[#Data]),MATCH($A314,_xlfn.VSTACK(YES_Writing_ELA[Student Number],YES_Writing_FLA[Student Number]),0),MATCH(VLOOKUP(F$7,'Writing Logic'!$J$7:$K$11,2,FALSE)&amp;" - Per "&amp;VLOOKUP($C$4,'Writing Logic'!$G$8:$H$14,2,FALSE),YES_Writing_ELA[#Headers],0)))),"")</f>
        <v/>
      </c>
      <c r="G314" s="138" t="str">
        <f>IFERROR(IF(IF(INDEX(_xlfn.VSTACK(YES_Writing_ELA[#Data],YES_Writing_FLA[#Data]),MATCH($A314,_xlfn.VSTACK(YES_Writing_ELA[Student Number],YES_Writing_FLA[Student Number]),0),MATCH(VLOOKUP(G$7,'Writing Logic'!$J$7:$K$11,2,FALSE)&amp;" - Per "&amp;VLOOKUP($C$4,'Writing Logic'!$G$8:$H$14,2,FALSE),YES_Writing_ELA[#Headers],0))=0,"",INDEX(_xlfn.VSTACK(YES_Writing_ELA[#Data],YES_Writing_FLA[#Data]),MATCH($A314,_xlfn.VSTACK(YES_Writing_ELA[Student Number],YES_Writing_FLA[Student Number]),0),MATCH(VLOOKUP(G$7,'Writing Logic'!$J$7:$K$11,2,FALSE)&amp;" - Per "&amp;VLOOKUP($C$4,'Writing Logic'!$G$8:$H$14,2,FALSE),YES_Writing_ELA[#Headers],0)))="INS",'Writing Logic'!$B$7,IF(INDEX(_xlfn.VSTACK(YES_Writing_ELA[#Data],YES_Writing_FLA[#Data]),MATCH($A314,_xlfn.VSTACK(YES_Writing_ELA[Student Number],YES_Writing_FLA[Student Number]),0),MATCH(VLOOKUP(G$7,'Writing Logic'!$J$7:$K$11,2,FALSE)&amp;" - Per "&amp;VLOOKUP($C$4,'Writing Logic'!$G$8:$H$14,2,FALSE),YES_Writing_ELA[#Headers],0))=0,"",INDEX(_xlfn.VSTACK(YES_Writing_ELA[#Data],YES_Writing_FLA[#Data]),MATCH($A314,_xlfn.VSTACK(YES_Writing_ELA[Student Number],YES_Writing_FLA[Student Number]),0),MATCH(VLOOKUP(G$7,'Writing Logic'!$J$7:$K$11,2,FALSE)&amp;" - Per "&amp;VLOOKUP($C$4,'Writing Logic'!$G$8:$H$14,2,FALSE),YES_Writing_ELA[#Headers],0)))),"")</f>
        <v/>
      </c>
      <c r="H314" s="223" t="str">
        <f>IFERROR(IF(IF(INDEX(_xlfn.VSTACK(YES_Writing_ELA[#Data],YES_Writing_FLA[#Data]),MATCH($A314,_xlfn.VSTACK(YES_Writing_ELA[Student Number],YES_Writing_FLA[Student Number]),0),MATCH(VLOOKUP(H$7,'Writing Logic'!$J$7:$K$11,2,FALSE)&amp;" - Per "&amp;VLOOKUP($C$4,'Writing Logic'!$G$8:$H$14,2,FALSE),YES_Writing_ELA[#Headers],0))=0,"",INDEX(_xlfn.VSTACK(YES_Writing_ELA[#Data],YES_Writing_FLA[#Data]),MATCH($A314,_xlfn.VSTACK(YES_Writing_ELA[Student Number],YES_Writing_FLA[Student Number]),0),MATCH(VLOOKUP(H$7,'Writing Logic'!$J$7:$K$11,2,FALSE)&amp;" - Per "&amp;VLOOKUP($C$4,'Writing Logic'!$G$8:$H$14,2,FALSE),YES_Writing_ELA[#Headers],0)))="INS",'Writing Logic'!$B$7,IF(INDEX(_xlfn.VSTACK(YES_Writing_ELA[#Data],YES_Writing_FLA[#Data]),MATCH($A314,_xlfn.VSTACK(YES_Writing_ELA[Student Number],YES_Writing_FLA[Student Number]),0),MATCH(VLOOKUP(H$7,'Writing Logic'!$J$7:$K$11,2,FALSE)&amp;" - Per "&amp;VLOOKUP($C$4,'Writing Logic'!$G$8:$H$14,2,FALSE),YES_Writing_ELA[#Headers],0))=0,"",INDEX(_xlfn.VSTACK(YES_Writing_ELA[#Data],YES_Writing_FLA[#Data]),MATCH($A314,_xlfn.VSTACK(YES_Writing_ELA[Student Number],YES_Writing_FLA[Student Number]),0),MATCH(VLOOKUP(H$7,'Writing Logic'!$J$7:$K$11,2,FALSE)&amp;" - Per "&amp;VLOOKUP($C$4,'Writing Logic'!$G$8:$H$14,2,FALSE),YES_Writing_ELA[#Headers],0)))),"")</f>
        <v/>
      </c>
      <c r="I314" s="224" t="str" cm="1">
        <f t="array" aca="1" ref="I314" ca="1">IFERROR(
IF($G$3="ELA",
IF(VLOOKUP($A314, YES_Reading_ELA[], COLUMN(INDIRECT("YES_Reading_ELA[Difference - Per "&amp;VLOOKUP($G$4, 'Reading Report Logic'!$A$2:$B$8, 2, FALSE)&amp;"]")), FALSE)="", "",
VLOOKUP($A314,YES_Reading_ELA[], COLUMN(INDIRECT("YES_Reading_ELA[Difference - Per "&amp;VLOOKUP($G$4,'Reading Report Logic'!$A$2:$B$8,2,FALSE)&amp;"]")), FALSE)),
IF($G$3="FLA",
IF(VLOOKUP($A314, YES_Reading_FLA[], COLUMN(INDIRECT("YES_Reading_FLA[Difference - Per "&amp;VLOOKUP($G$4,'Reading Report Logic'!$A$2:$B$8,2,FALSE)&amp;"]")),FALSE)="","",
VLOOKUP($A314,YES_Reading_FLA[],COLUMN(INDIRECT("YES_Reading_FLA[Difference - Per "&amp;VLOOKUP($G$4,'Reading Report Logic'!$A$2:$B$8,2,FALSE)&amp;"]")),FALSE)),
IF($G$3="Combined",
IFERROR(
IF(VLOOKUP($A314, YES_Reading_ELA[], COLUMN(INDIRECT("YES_Reading_ELA[Difference - Per "&amp;VLOOKUP($G$4, 'Reading Report Logic'!$A$2:$B$8,2,FALSE)&amp;"]")), FALSE)="", "",
VLOOKUP($A314,YES_Reading_ELA[],COLUMN(INDIRECT("YES_Reading_ELA[Difference - Per "&amp;VLOOKUP($G$4,'Reading Report Logic'!$A$2:$B$8,2,FALSE)&amp;"]")),FALSE)),
IF(VLOOKUP($A314, YES_Reading_FLA[], COLUMN(INDIRECT("YES_Reading_FLA[Difference - Per "&amp;VLOOKUP($G$4, 'Reading Report Logic'!$A$2:$B$8, 2, FALSE)&amp;"]")),FALSE)="", "", VLOOKUP($A314,YES_Reading_FLA[],COLUMN(INDIRECT("YES_Reading_FLA[Difference - Per "&amp;VLOOKUP($G$4, 'Reading Report Logic'!$A$2:$B$8, 2, FALSE)&amp;"]")),FALSE))),""))),"")</f>
        <v/>
      </c>
    </row>
    <row r="315" spans="1:9" x14ac:dyDescent="0.25">
      <c r="A315" s="137"/>
      <c r="B315" s="137" t="str">
        <f>IFERROR(INDEX(_xlfn.VSTACK(YES_Writing_ELA[#Data], YES_Writing_FLA[#Data]),MATCH($A315,_xlfn.VSTACK(YES_Writing_ELA[Student Number], YES_Writing_FLA[Student Number]),0),MATCH(B$7,YES_Writing_ELA[#Headers],0)),IFERROR(INDEX(_xlfn.VSTACK(YES_Reading_ELA[#Data], YES_Reading_FLA[#Data]),MATCH($A315,_xlfn.VSTACK(YES_Reading_ELA[Student Number], YES_Reading_FLA[Student Number]),0),MATCH(B$7,YES_Reading_ELA[#Headers],0)),""))</f>
        <v/>
      </c>
      <c r="C315" s="137" t="str">
        <f>IFERROR(INDEX(_xlfn.VSTACK(YES_Writing_ELA[#Data], YES_Writing_FLA[#Data]),MATCH($A315,_xlfn.VSTACK(YES_Writing_ELA[Student Number], YES_Writing_FLA[Student Number]),0),MATCH(C$7,YES_Writing_ELA[#Headers],0)),IFERROR(INDEX(_xlfn.VSTACK(YES_Reading_ELA[#Data], YES_Reading_FLA[#Data]),MATCH($A315,_xlfn.VSTACK(YES_Reading_ELA[Student Number], YES_Reading_FLA[Student Number]),0),MATCH(C$7,YES_Reading_ELA[#Headers],0)),""))</f>
        <v/>
      </c>
      <c r="D315" s="138" t="str">
        <f>IFERROR(IF(IF(INDEX(_xlfn.VSTACK(YES_Writing_ELA[#Data],YES_Writing_FLA[#Data]),MATCH($A315,_xlfn.VSTACK(YES_Writing_ELA[Student Number],YES_Writing_FLA[Student Number]),0),MATCH(VLOOKUP(D$7,'Writing Logic'!$J$7:$K$11,2,FALSE)&amp;" - Per "&amp;VLOOKUP($C$4,'Writing Logic'!$G$8:$H$14,2,FALSE),YES_Writing_ELA[#Headers],0))=0,"",INDEX(_xlfn.VSTACK(YES_Writing_ELA[#Data],YES_Writing_FLA[#Data]),MATCH($A315,_xlfn.VSTACK(YES_Writing_ELA[Student Number],YES_Writing_FLA[Student Number]),0),MATCH(VLOOKUP(D$7,'Writing Logic'!$J$7:$K$11,2,FALSE)&amp;" - Per "&amp;VLOOKUP($C$4,'Writing Logic'!$G$8:$H$14,2,FALSE),YES_Writing_ELA[#Headers],0)))="INS",'Writing Logic'!$B$7,IF(INDEX(_xlfn.VSTACK(YES_Writing_ELA[#Data],YES_Writing_FLA[#Data]),MATCH($A315,_xlfn.VSTACK(YES_Writing_ELA[Student Number],YES_Writing_FLA[Student Number]),0),MATCH(VLOOKUP(D$7,'Writing Logic'!$J$7:$K$11,2,FALSE)&amp;" - Per "&amp;VLOOKUP($C$4,'Writing Logic'!$G$8:$H$14,2,FALSE),YES_Writing_ELA[#Headers],0))=0,"",INDEX(_xlfn.VSTACK(YES_Writing_ELA[#Data],YES_Writing_FLA[#Data]),MATCH($A315,_xlfn.VSTACK(YES_Writing_ELA[Student Number],YES_Writing_FLA[Student Number]),0),MATCH(VLOOKUP(D$7,'Writing Logic'!$J$7:$K$11,2,FALSE)&amp;" - Per "&amp;VLOOKUP($C$4,'Writing Logic'!$G$8:$H$14,2,FALSE),YES_Writing_ELA[#Headers],0)))),"")</f>
        <v/>
      </c>
      <c r="E315" s="138" t="str">
        <f>IFERROR(IF(IF(INDEX(_xlfn.VSTACK(YES_Writing_ELA[#Data],YES_Writing_FLA[#Data]),MATCH($A315,_xlfn.VSTACK(YES_Writing_ELA[Student Number],YES_Writing_FLA[Student Number]),0),MATCH(VLOOKUP(E$7,'Writing Logic'!$J$7:$K$11,2,FALSE)&amp;" - Per "&amp;VLOOKUP($C$4,'Writing Logic'!$G$8:$H$14,2,FALSE),YES_Writing_ELA[#Headers],0))=0,"",INDEX(_xlfn.VSTACK(YES_Writing_ELA[#Data],YES_Writing_FLA[#Data]),MATCH($A315,_xlfn.VSTACK(YES_Writing_ELA[Student Number],YES_Writing_FLA[Student Number]),0),MATCH(VLOOKUP(E$7,'Writing Logic'!$J$7:$K$11,2,FALSE)&amp;" - Per "&amp;VLOOKUP($C$4,'Writing Logic'!$G$8:$H$14,2,FALSE),YES_Writing_ELA[#Headers],0)))="INS",'Writing Logic'!$B$7,IF(INDEX(_xlfn.VSTACK(YES_Writing_ELA[#Data],YES_Writing_FLA[#Data]),MATCH($A315,_xlfn.VSTACK(YES_Writing_ELA[Student Number],YES_Writing_FLA[Student Number]),0),MATCH(VLOOKUP(E$7,'Writing Logic'!$J$7:$K$11,2,FALSE)&amp;" - Per "&amp;VLOOKUP($C$4,'Writing Logic'!$G$8:$H$14,2,FALSE),YES_Writing_ELA[#Headers],0))=0,"",INDEX(_xlfn.VSTACK(YES_Writing_ELA[#Data],YES_Writing_FLA[#Data]),MATCH($A315,_xlfn.VSTACK(YES_Writing_ELA[Student Number],YES_Writing_FLA[Student Number]),0),MATCH(VLOOKUP(E$7,'Writing Logic'!$J$7:$K$11,2,FALSE)&amp;" - Per "&amp;VLOOKUP($C$4,'Writing Logic'!$G$8:$H$14,2,FALSE),YES_Writing_ELA[#Headers],0)))),"")</f>
        <v/>
      </c>
      <c r="F315" s="138" t="str">
        <f>IFERROR(IF(IF(INDEX(_xlfn.VSTACK(YES_Writing_ELA[#Data],YES_Writing_FLA[#Data]),MATCH($A315,_xlfn.VSTACK(YES_Writing_ELA[Student Number],YES_Writing_FLA[Student Number]),0),MATCH(VLOOKUP(F$7,'Writing Logic'!$J$7:$K$11,2,FALSE)&amp;" - Per "&amp;VLOOKUP($C$4,'Writing Logic'!$G$8:$H$14,2,FALSE),YES_Writing_ELA[#Headers],0))=0,"",INDEX(_xlfn.VSTACK(YES_Writing_ELA[#Data],YES_Writing_FLA[#Data]),MATCH($A315,_xlfn.VSTACK(YES_Writing_ELA[Student Number],YES_Writing_FLA[Student Number]),0),MATCH(VLOOKUP(F$7,'Writing Logic'!$J$7:$K$11,2,FALSE)&amp;" - Per "&amp;VLOOKUP($C$4,'Writing Logic'!$G$8:$H$14,2,FALSE),YES_Writing_ELA[#Headers],0)))="INS",'Writing Logic'!$B$7,IF(INDEX(_xlfn.VSTACK(YES_Writing_ELA[#Data],YES_Writing_FLA[#Data]),MATCH($A315,_xlfn.VSTACK(YES_Writing_ELA[Student Number],YES_Writing_FLA[Student Number]),0),MATCH(VLOOKUP(F$7,'Writing Logic'!$J$7:$K$11,2,FALSE)&amp;" - Per "&amp;VLOOKUP($C$4,'Writing Logic'!$G$8:$H$14,2,FALSE),YES_Writing_ELA[#Headers],0))=0,"",INDEX(_xlfn.VSTACK(YES_Writing_ELA[#Data],YES_Writing_FLA[#Data]),MATCH($A315,_xlfn.VSTACK(YES_Writing_ELA[Student Number],YES_Writing_FLA[Student Number]),0),MATCH(VLOOKUP(F$7,'Writing Logic'!$J$7:$K$11,2,FALSE)&amp;" - Per "&amp;VLOOKUP($C$4,'Writing Logic'!$G$8:$H$14,2,FALSE),YES_Writing_ELA[#Headers],0)))),"")</f>
        <v/>
      </c>
      <c r="G315" s="138" t="str">
        <f>IFERROR(IF(IF(INDEX(_xlfn.VSTACK(YES_Writing_ELA[#Data],YES_Writing_FLA[#Data]),MATCH($A315,_xlfn.VSTACK(YES_Writing_ELA[Student Number],YES_Writing_FLA[Student Number]),0),MATCH(VLOOKUP(G$7,'Writing Logic'!$J$7:$K$11,2,FALSE)&amp;" - Per "&amp;VLOOKUP($C$4,'Writing Logic'!$G$8:$H$14,2,FALSE),YES_Writing_ELA[#Headers],0))=0,"",INDEX(_xlfn.VSTACK(YES_Writing_ELA[#Data],YES_Writing_FLA[#Data]),MATCH($A315,_xlfn.VSTACK(YES_Writing_ELA[Student Number],YES_Writing_FLA[Student Number]),0),MATCH(VLOOKUP(G$7,'Writing Logic'!$J$7:$K$11,2,FALSE)&amp;" - Per "&amp;VLOOKUP($C$4,'Writing Logic'!$G$8:$H$14,2,FALSE),YES_Writing_ELA[#Headers],0)))="INS",'Writing Logic'!$B$7,IF(INDEX(_xlfn.VSTACK(YES_Writing_ELA[#Data],YES_Writing_FLA[#Data]),MATCH($A315,_xlfn.VSTACK(YES_Writing_ELA[Student Number],YES_Writing_FLA[Student Number]),0),MATCH(VLOOKUP(G$7,'Writing Logic'!$J$7:$K$11,2,FALSE)&amp;" - Per "&amp;VLOOKUP($C$4,'Writing Logic'!$G$8:$H$14,2,FALSE),YES_Writing_ELA[#Headers],0))=0,"",INDEX(_xlfn.VSTACK(YES_Writing_ELA[#Data],YES_Writing_FLA[#Data]),MATCH($A315,_xlfn.VSTACK(YES_Writing_ELA[Student Number],YES_Writing_FLA[Student Number]),0),MATCH(VLOOKUP(G$7,'Writing Logic'!$J$7:$K$11,2,FALSE)&amp;" - Per "&amp;VLOOKUP($C$4,'Writing Logic'!$G$8:$H$14,2,FALSE),YES_Writing_ELA[#Headers],0)))),"")</f>
        <v/>
      </c>
      <c r="H315" s="223" t="str">
        <f>IFERROR(IF(IF(INDEX(_xlfn.VSTACK(YES_Writing_ELA[#Data],YES_Writing_FLA[#Data]),MATCH($A315,_xlfn.VSTACK(YES_Writing_ELA[Student Number],YES_Writing_FLA[Student Number]),0),MATCH(VLOOKUP(H$7,'Writing Logic'!$J$7:$K$11,2,FALSE)&amp;" - Per "&amp;VLOOKUP($C$4,'Writing Logic'!$G$8:$H$14,2,FALSE),YES_Writing_ELA[#Headers],0))=0,"",INDEX(_xlfn.VSTACK(YES_Writing_ELA[#Data],YES_Writing_FLA[#Data]),MATCH($A315,_xlfn.VSTACK(YES_Writing_ELA[Student Number],YES_Writing_FLA[Student Number]),0),MATCH(VLOOKUP(H$7,'Writing Logic'!$J$7:$K$11,2,FALSE)&amp;" - Per "&amp;VLOOKUP($C$4,'Writing Logic'!$G$8:$H$14,2,FALSE),YES_Writing_ELA[#Headers],0)))="INS",'Writing Logic'!$B$7,IF(INDEX(_xlfn.VSTACK(YES_Writing_ELA[#Data],YES_Writing_FLA[#Data]),MATCH($A315,_xlfn.VSTACK(YES_Writing_ELA[Student Number],YES_Writing_FLA[Student Number]),0),MATCH(VLOOKUP(H$7,'Writing Logic'!$J$7:$K$11,2,FALSE)&amp;" - Per "&amp;VLOOKUP($C$4,'Writing Logic'!$G$8:$H$14,2,FALSE),YES_Writing_ELA[#Headers],0))=0,"",INDEX(_xlfn.VSTACK(YES_Writing_ELA[#Data],YES_Writing_FLA[#Data]),MATCH($A315,_xlfn.VSTACK(YES_Writing_ELA[Student Number],YES_Writing_FLA[Student Number]),0),MATCH(VLOOKUP(H$7,'Writing Logic'!$J$7:$K$11,2,FALSE)&amp;" - Per "&amp;VLOOKUP($C$4,'Writing Logic'!$G$8:$H$14,2,FALSE),YES_Writing_ELA[#Headers],0)))),"")</f>
        <v/>
      </c>
      <c r="I315" s="224" t="str" cm="1">
        <f t="array" aca="1" ref="I315" ca="1">IFERROR(
IF($G$3="ELA",
IF(VLOOKUP($A315, YES_Reading_ELA[], COLUMN(INDIRECT("YES_Reading_ELA[Difference - Per "&amp;VLOOKUP($G$4, 'Reading Report Logic'!$A$2:$B$8, 2, FALSE)&amp;"]")), FALSE)="", "",
VLOOKUP($A315,YES_Reading_ELA[], COLUMN(INDIRECT("YES_Reading_ELA[Difference - Per "&amp;VLOOKUP($G$4,'Reading Report Logic'!$A$2:$B$8,2,FALSE)&amp;"]")), FALSE)),
IF($G$3="FLA",
IF(VLOOKUP($A315, YES_Reading_FLA[], COLUMN(INDIRECT("YES_Reading_FLA[Difference - Per "&amp;VLOOKUP($G$4,'Reading Report Logic'!$A$2:$B$8,2,FALSE)&amp;"]")),FALSE)="","",
VLOOKUP($A315,YES_Reading_FLA[],COLUMN(INDIRECT("YES_Reading_FLA[Difference - Per "&amp;VLOOKUP($G$4,'Reading Report Logic'!$A$2:$B$8,2,FALSE)&amp;"]")),FALSE)),
IF($G$3="Combined",
IFERROR(
IF(VLOOKUP($A315, YES_Reading_ELA[], COLUMN(INDIRECT("YES_Reading_ELA[Difference - Per "&amp;VLOOKUP($G$4, 'Reading Report Logic'!$A$2:$B$8,2,FALSE)&amp;"]")), FALSE)="", "",
VLOOKUP($A315,YES_Reading_ELA[],COLUMN(INDIRECT("YES_Reading_ELA[Difference - Per "&amp;VLOOKUP($G$4,'Reading Report Logic'!$A$2:$B$8,2,FALSE)&amp;"]")),FALSE)),
IF(VLOOKUP($A315, YES_Reading_FLA[], COLUMN(INDIRECT("YES_Reading_FLA[Difference - Per "&amp;VLOOKUP($G$4, 'Reading Report Logic'!$A$2:$B$8, 2, FALSE)&amp;"]")),FALSE)="", "", VLOOKUP($A315,YES_Reading_FLA[],COLUMN(INDIRECT("YES_Reading_FLA[Difference - Per "&amp;VLOOKUP($G$4, 'Reading Report Logic'!$A$2:$B$8, 2, FALSE)&amp;"]")),FALSE))),""))),"")</f>
        <v/>
      </c>
    </row>
    <row r="316" spans="1:9" x14ac:dyDescent="0.25">
      <c r="A316" s="137"/>
      <c r="B316" s="137" t="str">
        <f>IFERROR(INDEX(_xlfn.VSTACK(YES_Writing_ELA[#Data], YES_Writing_FLA[#Data]),MATCH($A316,_xlfn.VSTACK(YES_Writing_ELA[Student Number], YES_Writing_FLA[Student Number]),0),MATCH(B$7,YES_Writing_ELA[#Headers],0)),IFERROR(INDEX(_xlfn.VSTACK(YES_Reading_ELA[#Data], YES_Reading_FLA[#Data]),MATCH($A316,_xlfn.VSTACK(YES_Reading_ELA[Student Number], YES_Reading_FLA[Student Number]),0),MATCH(B$7,YES_Reading_ELA[#Headers],0)),""))</f>
        <v/>
      </c>
      <c r="C316" s="137" t="str">
        <f>IFERROR(INDEX(_xlfn.VSTACK(YES_Writing_ELA[#Data], YES_Writing_FLA[#Data]),MATCH($A316,_xlfn.VSTACK(YES_Writing_ELA[Student Number], YES_Writing_FLA[Student Number]),0),MATCH(C$7,YES_Writing_ELA[#Headers],0)),IFERROR(INDEX(_xlfn.VSTACK(YES_Reading_ELA[#Data], YES_Reading_FLA[#Data]),MATCH($A316,_xlfn.VSTACK(YES_Reading_ELA[Student Number], YES_Reading_FLA[Student Number]),0),MATCH(C$7,YES_Reading_ELA[#Headers],0)),""))</f>
        <v/>
      </c>
      <c r="D316" s="138" t="str">
        <f>IFERROR(IF(IF(INDEX(_xlfn.VSTACK(YES_Writing_ELA[#Data],YES_Writing_FLA[#Data]),MATCH($A316,_xlfn.VSTACK(YES_Writing_ELA[Student Number],YES_Writing_FLA[Student Number]),0),MATCH(VLOOKUP(D$7,'Writing Logic'!$J$7:$K$11,2,FALSE)&amp;" - Per "&amp;VLOOKUP($C$4,'Writing Logic'!$G$8:$H$14,2,FALSE),YES_Writing_ELA[#Headers],0))=0,"",INDEX(_xlfn.VSTACK(YES_Writing_ELA[#Data],YES_Writing_FLA[#Data]),MATCH($A316,_xlfn.VSTACK(YES_Writing_ELA[Student Number],YES_Writing_FLA[Student Number]),0),MATCH(VLOOKUP(D$7,'Writing Logic'!$J$7:$K$11,2,FALSE)&amp;" - Per "&amp;VLOOKUP($C$4,'Writing Logic'!$G$8:$H$14,2,FALSE),YES_Writing_ELA[#Headers],0)))="INS",'Writing Logic'!$B$7,IF(INDEX(_xlfn.VSTACK(YES_Writing_ELA[#Data],YES_Writing_FLA[#Data]),MATCH($A316,_xlfn.VSTACK(YES_Writing_ELA[Student Number],YES_Writing_FLA[Student Number]),0),MATCH(VLOOKUP(D$7,'Writing Logic'!$J$7:$K$11,2,FALSE)&amp;" - Per "&amp;VLOOKUP($C$4,'Writing Logic'!$G$8:$H$14,2,FALSE),YES_Writing_ELA[#Headers],0))=0,"",INDEX(_xlfn.VSTACK(YES_Writing_ELA[#Data],YES_Writing_FLA[#Data]),MATCH($A316,_xlfn.VSTACK(YES_Writing_ELA[Student Number],YES_Writing_FLA[Student Number]),0),MATCH(VLOOKUP(D$7,'Writing Logic'!$J$7:$K$11,2,FALSE)&amp;" - Per "&amp;VLOOKUP($C$4,'Writing Logic'!$G$8:$H$14,2,FALSE),YES_Writing_ELA[#Headers],0)))),"")</f>
        <v/>
      </c>
      <c r="E316" s="138" t="str">
        <f>IFERROR(IF(IF(INDEX(_xlfn.VSTACK(YES_Writing_ELA[#Data],YES_Writing_FLA[#Data]),MATCH($A316,_xlfn.VSTACK(YES_Writing_ELA[Student Number],YES_Writing_FLA[Student Number]),0),MATCH(VLOOKUP(E$7,'Writing Logic'!$J$7:$K$11,2,FALSE)&amp;" - Per "&amp;VLOOKUP($C$4,'Writing Logic'!$G$8:$H$14,2,FALSE),YES_Writing_ELA[#Headers],0))=0,"",INDEX(_xlfn.VSTACK(YES_Writing_ELA[#Data],YES_Writing_FLA[#Data]),MATCH($A316,_xlfn.VSTACK(YES_Writing_ELA[Student Number],YES_Writing_FLA[Student Number]),0),MATCH(VLOOKUP(E$7,'Writing Logic'!$J$7:$K$11,2,FALSE)&amp;" - Per "&amp;VLOOKUP($C$4,'Writing Logic'!$G$8:$H$14,2,FALSE),YES_Writing_ELA[#Headers],0)))="INS",'Writing Logic'!$B$7,IF(INDEX(_xlfn.VSTACK(YES_Writing_ELA[#Data],YES_Writing_FLA[#Data]),MATCH($A316,_xlfn.VSTACK(YES_Writing_ELA[Student Number],YES_Writing_FLA[Student Number]),0),MATCH(VLOOKUP(E$7,'Writing Logic'!$J$7:$K$11,2,FALSE)&amp;" - Per "&amp;VLOOKUP($C$4,'Writing Logic'!$G$8:$H$14,2,FALSE),YES_Writing_ELA[#Headers],0))=0,"",INDEX(_xlfn.VSTACK(YES_Writing_ELA[#Data],YES_Writing_FLA[#Data]),MATCH($A316,_xlfn.VSTACK(YES_Writing_ELA[Student Number],YES_Writing_FLA[Student Number]),0),MATCH(VLOOKUP(E$7,'Writing Logic'!$J$7:$K$11,2,FALSE)&amp;" - Per "&amp;VLOOKUP($C$4,'Writing Logic'!$G$8:$H$14,2,FALSE),YES_Writing_ELA[#Headers],0)))),"")</f>
        <v/>
      </c>
      <c r="F316" s="138" t="str">
        <f>IFERROR(IF(IF(INDEX(_xlfn.VSTACK(YES_Writing_ELA[#Data],YES_Writing_FLA[#Data]),MATCH($A316,_xlfn.VSTACK(YES_Writing_ELA[Student Number],YES_Writing_FLA[Student Number]),0),MATCH(VLOOKUP(F$7,'Writing Logic'!$J$7:$K$11,2,FALSE)&amp;" - Per "&amp;VLOOKUP($C$4,'Writing Logic'!$G$8:$H$14,2,FALSE),YES_Writing_ELA[#Headers],0))=0,"",INDEX(_xlfn.VSTACK(YES_Writing_ELA[#Data],YES_Writing_FLA[#Data]),MATCH($A316,_xlfn.VSTACK(YES_Writing_ELA[Student Number],YES_Writing_FLA[Student Number]),0),MATCH(VLOOKUP(F$7,'Writing Logic'!$J$7:$K$11,2,FALSE)&amp;" - Per "&amp;VLOOKUP($C$4,'Writing Logic'!$G$8:$H$14,2,FALSE),YES_Writing_ELA[#Headers],0)))="INS",'Writing Logic'!$B$7,IF(INDEX(_xlfn.VSTACK(YES_Writing_ELA[#Data],YES_Writing_FLA[#Data]),MATCH($A316,_xlfn.VSTACK(YES_Writing_ELA[Student Number],YES_Writing_FLA[Student Number]),0),MATCH(VLOOKUP(F$7,'Writing Logic'!$J$7:$K$11,2,FALSE)&amp;" - Per "&amp;VLOOKUP($C$4,'Writing Logic'!$G$8:$H$14,2,FALSE),YES_Writing_ELA[#Headers],0))=0,"",INDEX(_xlfn.VSTACK(YES_Writing_ELA[#Data],YES_Writing_FLA[#Data]),MATCH($A316,_xlfn.VSTACK(YES_Writing_ELA[Student Number],YES_Writing_FLA[Student Number]),0),MATCH(VLOOKUP(F$7,'Writing Logic'!$J$7:$K$11,2,FALSE)&amp;" - Per "&amp;VLOOKUP($C$4,'Writing Logic'!$G$8:$H$14,2,FALSE),YES_Writing_ELA[#Headers],0)))),"")</f>
        <v/>
      </c>
      <c r="G316" s="138" t="str">
        <f>IFERROR(IF(IF(INDEX(_xlfn.VSTACK(YES_Writing_ELA[#Data],YES_Writing_FLA[#Data]),MATCH($A316,_xlfn.VSTACK(YES_Writing_ELA[Student Number],YES_Writing_FLA[Student Number]),0),MATCH(VLOOKUP(G$7,'Writing Logic'!$J$7:$K$11,2,FALSE)&amp;" - Per "&amp;VLOOKUP($C$4,'Writing Logic'!$G$8:$H$14,2,FALSE),YES_Writing_ELA[#Headers],0))=0,"",INDEX(_xlfn.VSTACK(YES_Writing_ELA[#Data],YES_Writing_FLA[#Data]),MATCH($A316,_xlfn.VSTACK(YES_Writing_ELA[Student Number],YES_Writing_FLA[Student Number]),0),MATCH(VLOOKUP(G$7,'Writing Logic'!$J$7:$K$11,2,FALSE)&amp;" - Per "&amp;VLOOKUP($C$4,'Writing Logic'!$G$8:$H$14,2,FALSE),YES_Writing_ELA[#Headers],0)))="INS",'Writing Logic'!$B$7,IF(INDEX(_xlfn.VSTACK(YES_Writing_ELA[#Data],YES_Writing_FLA[#Data]),MATCH($A316,_xlfn.VSTACK(YES_Writing_ELA[Student Number],YES_Writing_FLA[Student Number]),0),MATCH(VLOOKUP(G$7,'Writing Logic'!$J$7:$K$11,2,FALSE)&amp;" - Per "&amp;VLOOKUP($C$4,'Writing Logic'!$G$8:$H$14,2,FALSE),YES_Writing_ELA[#Headers],0))=0,"",INDEX(_xlfn.VSTACK(YES_Writing_ELA[#Data],YES_Writing_FLA[#Data]),MATCH($A316,_xlfn.VSTACK(YES_Writing_ELA[Student Number],YES_Writing_FLA[Student Number]),0),MATCH(VLOOKUP(G$7,'Writing Logic'!$J$7:$K$11,2,FALSE)&amp;" - Per "&amp;VLOOKUP($C$4,'Writing Logic'!$G$8:$H$14,2,FALSE),YES_Writing_ELA[#Headers],0)))),"")</f>
        <v/>
      </c>
      <c r="H316" s="223" t="str">
        <f>IFERROR(IF(IF(INDEX(_xlfn.VSTACK(YES_Writing_ELA[#Data],YES_Writing_FLA[#Data]),MATCH($A316,_xlfn.VSTACK(YES_Writing_ELA[Student Number],YES_Writing_FLA[Student Number]),0),MATCH(VLOOKUP(H$7,'Writing Logic'!$J$7:$K$11,2,FALSE)&amp;" - Per "&amp;VLOOKUP($C$4,'Writing Logic'!$G$8:$H$14,2,FALSE),YES_Writing_ELA[#Headers],0))=0,"",INDEX(_xlfn.VSTACK(YES_Writing_ELA[#Data],YES_Writing_FLA[#Data]),MATCH($A316,_xlfn.VSTACK(YES_Writing_ELA[Student Number],YES_Writing_FLA[Student Number]),0),MATCH(VLOOKUP(H$7,'Writing Logic'!$J$7:$K$11,2,FALSE)&amp;" - Per "&amp;VLOOKUP($C$4,'Writing Logic'!$G$8:$H$14,2,FALSE),YES_Writing_ELA[#Headers],0)))="INS",'Writing Logic'!$B$7,IF(INDEX(_xlfn.VSTACK(YES_Writing_ELA[#Data],YES_Writing_FLA[#Data]),MATCH($A316,_xlfn.VSTACK(YES_Writing_ELA[Student Number],YES_Writing_FLA[Student Number]),0),MATCH(VLOOKUP(H$7,'Writing Logic'!$J$7:$K$11,2,FALSE)&amp;" - Per "&amp;VLOOKUP($C$4,'Writing Logic'!$G$8:$H$14,2,FALSE),YES_Writing_ELA[#Headers],0))=0,"",INDEX(_xlfn.VSTACK(YES_Writing_ELA[#Data],YES_Writing_FLA[#Data]),MATCH($A316,_xlfn.VSTACK(YES_Writing_ELA[Student Number],YES_Writing_FLA[Student Number]),0),MATCH(VLOOKUP(H$7,'Writing Logic'!$J$7:$K$11,2,FALSE)&amp;" - Per "&amp;VLOOKUP($C$4,'Writing Logic'!$G$8:$H$14,2,FALSE),YES_Writing_ELA[#Headers],0)))),"")</f>
        <v/>
      </c>
      <c r="I316" s="224" t="str" cm="1">
        <f t="array" aca="1" ref="I316" ca="1">IFERROR(
IF($G$3="ELA",
IF(VLOOKUP($A316, YES_Reading_ELA[], COLUMN(INDIRECT("YES_Reading_ELA[Difference - Per "&amp;VLOOKUP($G$4, 'Reading Report Logic'!$A$2:$B$8, 2, FALSE)&amp;"]")), FALSE)="", "",
VLOOKUP($A316,YES_Reading_ELA[], COLUMN(INDIRECT("YES_Reading_ELA[Difference - Per "&amp;VLOOKUP($G$4,'Reading Report Logic'!$A$2:$B$8,2,FALSE)&amp;"]")), FALSE)),
IF($G$3="FLA",
IF(VLOOKUP($A316, YES_Reading_FLA[], COLUMN(INDIRECT("YES_Reading_FLA[Difference - Per "&amp;VLOOKUP($G$4,'Reading Report Logic'!$A$2:$B$8,2,FALSE)&amp;"]")),FALSE)="","",
VLOOKUP($A316,YES_Reading_FLA[],COLUMN(INDIRECT("YES_Reading_FLA[Difference - Per "&amp;VLOOKUP($G$4,'Reading Report Logic'!$A$2:$B$8,2,FALSE)&amp;"]")),FALSE)),
IF($G$3="Combined",
IFERROR(
IF(VLOOKUP($A316, YES_Reading_ELA[], COLUMN(INDIRECT("YES_Reading_ELA[Difference - Per "&amp;VLOOKUP($G$4, 'Reading Report Logic'!$A$2:$B$8,2,FALSE)&amp;"]")), FALSE)="", "",
VLOOKUP($A316,YES_Reading_ELA[],COLUMN(INDIRECT("YES_Reading_ELA[Difference - Per "&amp;VLOOKUP($G$4,'Reading Report Logic'!$A$2:$B$8,2,FALSE)&amp;"]")),FALSE)),
IF(VLOOKUP($A316, YES_Reading_FLA[], COLUMN(INDIRECT("YES_Reading_FLA[Difference - Per "&amp;VLOOKUP($G$4, 'Reading Report Logic'!$A$2:$B$8, 2, FALSE)&amp;"]")),FALSE)="", "", VLOOKUP($A316,YES_Reading_FLA[],COLUMN(INDIRECT("YES_Reading_FLA[Difference - Per "&amp;VLOOKUP($G$4, 'Reading Report Logic'!$A$2:$B$8, 2, FALSE)&amp;"]")),FALSE))),""))),"")</f>
        <v/>
      </c>
    </row>
    <row r="317" spans="1:9" x14ac:dyDescent="0.25">
      <c r="A317" s="137"/>
      <c r="B317" s="137" t="str">
        <f>IFERROR(INDEX(_xlfn.VSTACK(YES_Writing_ELA[#Data], YES_Writing_FLA[#Data]),MATCH($A317,_xlfn.VSTACK(YES_Writing_ELA[Student Number], YES_Writing_FLA[Student Number]),0),MATCH(B$7,YES_Writing_ELA[#Headers],0)),IFERROR(INDEX(_xlfn.VSTACK(YES_Reading_ELA[#Data], YES_Reading_FLA[#Data]),MATCH($A317,_xlfn.VSTACK(YES_Reading_ELA[Student Number], YES_Reading_FLA[Student Number]),0),MATCH(B$7,YES_Reading_ELA[#Headers],0)),""))</f>
        <v/>
      </c>
      <c r="C317" s="137" t="str">
        <f>IFERROR(INDEX(_xlfn.VSTACK(YES_Writing_ELA[#Data], YES_Writing_FLA[#Data]),MATCH($A317,_xlfn.VSTACK(YES_Writing_ELA[Student Number], YES_Writing_FLA[Student Number]),0),MATCH(C$7,YES_Writing_ELA[#Headers],0)),IFERROR(INDEX(_xlfn.VSTACK(YES_Reading_ELA[#Data], YES_Reading_FLA[#Data]),MATCH($A317,_xlfn.VSTACK(YES_Reading_ELA[Student Number], YES_Reading_FLA[Student Number]),0),MATCH(C$7,YES_Reading_ELA[#Headers],0)),""))</f>
        <v/>
      </c>
      <c r="D317" s="138" t="str">
        <f>IFERROR(IF(IF(INDEX(_xlfn.VSTACK(YES_Writing_ELA[#Data],YES_Writing_FLA[#Data]),MATCH($A317,_xlfn.VSTACK(YES_Writing_ELA[Student Number],YES_Writing_FLA[Student Number]),0),MATCH(VLOOKUP(D$7,'Writing Logic'!$J$7:$K$11,2,FALSE)&amp;" - Per "&amp;VLOOKUP($C$4,'Writing Logic'!$G$8:$H$14,2,FALSE),YES_Writing_ELA[#Headers],0))=0,"",INDEX(_xlfn.VSTACK(YES_Writing_ELA[#Data],YES_Writing_FLA[#Data]),MATCH($A317,_xlfn.VSTACK(YES_Writing_ELA[Student Number],YES_Writing_FLA[Student Number]),0),MATCH(VLOOKUP(D$7,'Writing Logic'!$J$7:$K$11,2,FALSE)&amp;" - Per "&amp;VLOOKUP($C$4,'Writing Logic'!$G$8:$H$14,2,FALSE),YES_Writing_ELA[#Headers],0)))="INS",'Writing Logic'!$B$7,IF(INDEX(_xlfn.VSTACK(YES_Writing_ELA[#Data],YES_Writing_FLA[#Data]),MATCH($A317,_xlfn.VSTACK(YES_Writing_ELA[Student Number],YES_Writing_FLA[Student Number]),0),MATCH(VLOOKUP(D$7,'Writing Logic'!$J$7:$K$11,2,FALSE)&amp;" - Per "&amp;VLOOKUP($C$4,'Writing Logic'!$G$8:$H$14,2,FALSE),YES_Writing_ELA[#Headers],0))=0,"",INDEX(_xlfn.VSTACK(YES_Writing_ELA[#Data],YES_Writing_FLA[#Data]),MATCH($A317,_xlfn.VSTACK(YES_Writing_ELA[Student Number],YES_Writing_FLA[Student Number]),0),MATCH(VLOOKUP(D$7,'Writing Logic'!$J$7:$K$11,2,FALSE)&amp;" - Per "&amp;VLOOKUP($C$4,'Writing Logic'!$G$8:$H$14,2,FALSE),YES_Writing_ELA[#Headers],0)))),"")</f>
        <v/>
      </c>
      <c r="E317" s="138" t="str">
        <f>IFERROR(IF(IF(INDEX(_xlfn.VSTACK(YES_Writing_ELA[#Data],YES_Writing_FLA[#Data]),MATCH($A317,_xlfn.VSTACK(YES_Writing_ELA[Student Number],YES_Writing_FLA[Student Number]),0),MATCH(VLOOKUP(E$7,'Writing Logic'!$J$7:$K$11,2,FALSE)&amp;" - Per "&amp;VLOOKUP($C$4,'Writing Logic'!$G$8:$H$14,2,FALSE),YES_Writing_ELA[#Headers],0))=0,"",INDEX(_xlfn.VSTACK(YES_Writing_ELA[#Data],YES_Writing_FLA[#Data]),MATCH($A317,_xlfn.VSTACK(YES_Writing_ELA[Student Number],YES_Writing_FLA[Student Number]),0),MATCH(VLOOKUP(E$7,'Writing Logic'!$J$7:$K$11,2,FALSE)&amp;" - Per "&amp;VLOOKUP($C$4,'Writing Logic'!$G$8:$H$14,2,FALSE),YES_Writing_ELA[#Headers],0)))="INS",'Writing Logic'!$B$7,IF(INDEX(_xlfn.VSTACK(YES_Writing_ELA[#Data],YES_Writing_FLA[#Data]),MATCH($A317,_xlfn.VSTACK(YES_Writing_ELA[Student Number],YES_Writing_FLA[Student Number]),0),MATCH(VLOOKUP(E$7,'Writing Logic'!$J$7:$K$11,2,FALSE)&amp;" - Per "&amp;VLOOKUP($C$4,'Writing Logic'!$G$8:$H$14,2,FALSE),YES_Writing_ELA[#Headers],0))=0,"",INDEX(_xlfn.VSTACK(YES_Writing_ELA[#Data],YES_Writing_FLA[#Data]),MATCH($A317,_xlfn.VSTACK(YES_Writing_ELA[Student Number],YES_Writing_FLA[Student Number]),0),MATCH(VLOOKUP(E$7,'Writing Logic'!$J$7:$K$11,2,FALSE)&amp;" - Per "&amp;VLOOKUP($C$4,'Writing Logic'!$G$8:$H$14,2,FALSE),YES_Writing_ELA[#Headers],0)))),"")</f>
        <v/>
      </c>
      <c r="F317" s="138" t="str">
        <f>IFERROR(IF(IF(INDEX(_xlfn.VSTACK(YES_Writing_ELA[#Data],YES_Writing_FLA[#Data]),MATCH($A317,_xlfn.VSTACK(YES_Writing_ELA[Student Number],YES_Writing_FLA[Student Number]),0),MATCH(VLOOKUP(F$7,'Writing Logic'!$J$7:$K$11,2,FALSE)&amp;" - Per "&amp;VLOOKUP($C$4,'Writing Logic'!$G$8:$H$14,2,FALSE),YES_Writing_ELA[#Headers],0))=0,"",INDEX(_xlfn.VSTACK(YES_Writing_ELA[#Data],YES_Writing_FLA[#Data]),MATCH($A317,_xlfn.VSTACK(YES_Writing_ELA[Student Number],YES_Writing_FLA[Student Number]),0),MATCH(VLOOKUP(F$7,'Writing Logic'!$J$7:$K$11,2,FALSE)&amp;" - Per "&amp;VLOOKUP($C$4,'Writing Logic'!$G$8:$H$14,2,FALSE),YES_Writing_ELA[#Headers],0)))="INS",'Writing Logic'!$B$7,IF(INDEX(_xlfn.VSTACK(YES_Writing_ELA[#Data],YES_Writing_FLA[#Data]),MATCH($A317,_xlfn.VSTACK(YES_Writing_ELA[Student Number],YES_Writing_FLA[Student Number]),0),MATCH(VLOOKUP(F$7,'Writing Logic'!$J$7:$K$11,2,FALSE)&amp;" - Per "&amp;VLOOKUP($C$4,'Writing Logic'!$G$8:$H$14,2,FALSE),YES_Writing_ELA[#Headers],0))=0,"",INDEX(_xlfn.VSTACK(YES_Writing_ELA[#Data],YES_Writing_FLA[#Data]),MATCH($A317,_xlfn.VSTACK(YES_Writing_ELA[Student Number],YES_Writing_FLA[Student Number]),0),MATCH(VLOOKUP(F$7,'Writing Logic'!$J$7:$K$11,2,FALSE)&amp;" - Per "&amp;VLOOKUP($C$4,'Writing Logic'!$G$8:$H$14,2,FALSE),YES_Writing_ELA[#Headers],0)))),"")</f>
        <v/>
      </c>
      <c r="G317" s="138" t="str">
        <f>IFERROR(IF(IF(INDEX(_xlfn.VSTACK(YES_Writing_ELA[#Data],YES_Writing_FLA[#Data]),MATCH($A317,_xlfn.VSTACK(YES_Writing_ELA[Student Number],YES_Writing_FLA[Student Number]),0),MATCH(VLOOKUP(G$7,'Writing Logic'!$J$7:$K$11,2,FALSE)&amp;" - Per "&amp;VLOOKUP($C$4,'Writing Logic'!$G$8:$H$14,2,FALSE),YES_Writing_ELA[#Headers],0))=0,"",INDEX(_xlfn.VSTACK(YES_Writing_ELA[#Data],YES_Writing_FLA[#Data]),MATCH($A317,_xlfn.VSTACK(YES_Writing_ELA[Student Number],YES_Writing_FLA[Student Number]),0),MATCH(VLOOKUP(G$7,'Writing Logic'!$J$7:$K$11,2,FALSE)&amp;" - Per "&amp;VLOOKUP($C$4,'Writing Logic'!$G$8:$H$14,2,FALSE),YES_Writing_ELA[#Headers],0)))="INS",'Writing Logic'!$B$7,IF(INDEX(_xlfn.VSTACK(YES_Writing_ELA[#Data],YES_Writing_FLA[#Data]),MATCH($A317,_xlfn.VSTACK(YES_Writing_ELA[Student Number],YES_Writing_FLA[Student Number]),0),MATCH(VLOOKUP(G$7,'Writing Logic'!$J$7:$K$11,2,FALSE)&amp;" - Per "&amp;VLOOKUP($C$4,'Writing Logic'!$G$8:$H$14,2,FALSE),YES_Writing_ELA[#Headers],0))=0,"",INDEX(_xlfn.VSTACK(YES_Writing_ELA[#Data],YES_Writing_FLA[#Data]),MATCH($A317,_xlfn.VSTACK(YES_Writing_ELA[Student Number],YES_Writing_FLA[Student Number]),0),MATCH(VLOOKUP(G$7,'Writing Logic'!$J$7:$K$11,2,FALSE)&amp;" - Per "&amp;VLOOKUP($C$4,'Writing Logic'!$G$8:$H$14,2,FALSE),YES_Writing_ELA[#Headers],0)))),"")</f>
        <v/>
      </c>
      <c r="H317" s="223" t="str">
        <f>IFERROR(IF(IF(INDEX(_xlfn.VSTACK(YES_Writing_ELA[#Data],YES_Writing_FLA[#Data]),MATCH($A317,_xlfn.VSTACK(YES_Writing_ELA[Student Number],YES_Writing_FLA[Student Number]),0),MATCH(VLOOKUP(H$7,'Writing Logic'!$J$7:$K$11,2,FALSE)&amp;" - Per "&amp;VLOOKUP($C$4,'Writing Logic'!$G$8:$H$14,2,FALSE),YES_Writing_ELA[#Headers],0))=0,"",INDEX(_xlfn.VSTACK(YES_Writing_ELA[#Data],YES_Writing_FLA[#Data]),MATCH($A317,_xlfn.VSTACK(YES_Writing_ELA[Student Number],YES_Writing_FLA[Student Number]),0),MATCH(VLOOKUP(H$7,'Writing Logic'!$J$7:$K$11,2,FALSE)&amp;" - Per "&amp;VLOOKUP($C$4,'Writing Logic'!$G$8:$H$14,2,FALSE),YES_Writing_ELA[#Headers],0)))="INS",'Writing Logic'!$B$7,IF(INDEX(_xlfn.VSTACK(YES_Writing_ELA[#Data],YES_Writing_FLA[#Data]),MATCH($A317,_xlfn.VSTACK(YES_Writing_ELA[Student Number],YES_Writing_FLA[Student Number]),0),MATCH(VLOOKUP(H$7,'Writing Logic'!$J$7:$K$11,2,FALSE)&amp;" - Per "&amp;VLOOKUP($C$4,'Writing Logic'!$G$8:$H$14,2,FALSE),YES_Writing_ELA[#Headers],0))=0,"",INDEX(_xlfn.VSTACK(YES_Writing_ELA[#Data],YES_Writing_FLA[#Data]),MATCH($A317,_xlfn.VSTACK(YES_Writing_ELA[Student Number],YES_Writing_FLA[Student Number]),0),MATCH(VLOOKUP(H$7,'Writing Logic'!$J$7:$K$11,2,FALSE)&amp;" - Per "&amp;VLOOKUP($C$4,'Writing Logic'!$G$8:$H$14,2,FALSE),YES_Writing_ELA[#Headers],0)))),"")</f>
        <v/>
      </c>
      <c r="I317" s="224" t="str" cm="1">
        <f t="array" aca="1" ref="I317" ca="1">IFERROR(
IF($G$3="ELA",
IF(VLOOKUP($A317, YES_Reading_ELA[], COLUMN(INDIRECT("YES_Reading_ELA[Difference - Per "&amp;VLOOKUP($G$4, 'Reading Report Logic'!$A$2:$B$8, 2, FALSE)&amp;"]")), FALSE)="", "",
VLOOKUP($A317,YES_Reading_ELA[], COLUMN(INDIRECT("YES_Reading_ELA[Difference - Per "&amp;VLOOKUP($G$4,'Reading Report Logic'!$A$2:$B$8,2,FALSE)&amp;"]")), FALSE)),
IF($G$3="FLA",
IF(VLOOKUP($A317, YES_Reading_FLA[], COLUMN(INDIRECT("YES_Reading_FLA[Difference - Per "&amp;VLOOKUP($G$4,'Reading Report Logic'!$A$2:$B$8,2,FALSE)&amp;"]")),FALSE)="","",
VLOOKUP($A317,YES_Reading_FLA[],COLUMN(INDIRECT("YES_Reading_FLA[Difference - Per "&amp;VLOOKUP($G$4,'Reading Report Logic'!$A$2:$B$8,2,FALSE)&amp;"]")),FALSE)),
IF($G$3="Combined",
IFERROR(
IF(VLOOKUP($A317, YES_Reading_ELA[], COLUMN(INDIRECT("YES_Reading_ELA[Difference - Per "&amp;VLOOKUP($G$4, 'Reading Report Logic'!$A$2:$B$8,2,FALSE)&amp;"]")), FALSE)="", "",
VLOOKUP($A317,YES_Reading_ELA[],COLUMN(INDIRECT("YES_Reading_ELA[Difference - Per "&amp;VLOOKUP($G$4,'Reading Report Logic'!$A$2:$B$8,2,FALSE)&amp;"]")),FALSE)),
IF(VLOOKUP($A317, YES_Reading_FLA[], COLUMN(INDIRECT("YES_Reading_FLA[Difference - Per "&amp;VLOOKUP($G$4, 'Reading Report Logic'!$A$2:$B$8, 2, FALSE)&amp;"]")),FALSE)="", "", VLOOKUP($A317,YES_Reading_FLA[],COLUMN(INDIRECT("YES_Reading_FLA[Difference - Per "&amp;VLOOKUP($G$4, 'Reading Report Logic'!$A$2:$B$8, 2, FALSE)&amp;"]")),FALSE))),""))),"")</f>
        <v/>
      </c>
    </row>
    <row r="318" spans="1:9" x14ac:dyDescent="0.25">
      <c r="A318" s="137"/>
      <c r="B318" s="137" t="str">
        <f>IFERROR(INDEX(_xlfn.VSTACK(YES_Writing_ELA[#Data], YES_Writing_FLA[#Data]),MATCH($A318,_xlfn.VSTACK(YES_Writing_ELA[Student Number], YES_Writing_FLA[Student Number]),0),MATCH(B$7,YES_Writing_ELA[#Headers],0)),IFERROR(INDEX(_xlfn.VSTACK(YES_Reading_ELA[#Data], YES_Reading_FLA[#Data]),MATCH($A318,_xlfn.VSTACK(YES_Reading_ELA[Student Number], YES_Reading_FLA[Student Number]),0),MATCH(B$7,YES_Reading_ELA[#Headers],0)),""))</f>
        <v/>
      </c>
      <c r="C318" s="137" t="str">
        <f>IFERROR(INDEX(_xlfn.VSTACK(YES_Writing_ELA[#Data], YES_Writing_FLA[#Data]),MATCH($A318,_xlfn.VSTACK(YES_Writing_ELA[Student Number], YES_Writing_FLA[Student Number]),0),MATCH(C$7,YES_Writing_ELA[#Headers],0)),IFERROR(INDEX(_xlfn.VSTACK(YES_Reading_ELA[#Data], YES_Reading_FLA[#Data]),MATCH($A318,_xlfn.VSTACK(YES_Reading_ELA[Student Number], YES_Reading_FLA[Student Number]),0),MATCH(C$7,YES_Reading_ELA[#Headers],0)),""))</f>
        <v/>
      </c>
      <c r="D318" s="138" t="str">
        <f>IFERROR(IF(IF(INDEX(_xlfn.VSTACK(YES_Writing_ELA[#Data],YES_Writing_FLA[#Data]),MATCH($A318,_xlfn.VSTACK(YES_Writing_ELA[Student Number],YES_Writing_FLA[Student Number]),0),MATCH(VLOOKUP(D$7,'Writing Logic'!$J$7:$K$11,2,FALSE)&amp;" - Per "&amp;VLOOKUP($C$4,'Writing Logic'!$G$8:$H$14,2,FALSE),YES_Writing_ELA[#Headers],0))=0,"",INDEX(_xlfn.VSTACK(YES_Writing_ELA[#Data],YES_Writing_FLA[#Data]),MATCH($A318,_xlfn.VSTACK(YES_Writing_ELA[Student Number],YES_Writing_FLA[Student Number]),0),MATCH(VLOOKUP(D$7,'Writing Logic'!$J$7:$K$11,2,FALSE)&amp;" - Per "&amp;VLOOKUP($C$4,'Writing Logic'!$G$8:$H$14,2,FALSE),YES_Writing_ELA[#Headers],0)))="INS",'Writing Logic'!$B$7,IF(INDEX(_xlfn.VSTACK(YES_Writing_ELA[#Data],YES_Writing_FLA[#Data]),MATCH($A318,_xlfn.VSTACK(YES_Writing_ELA[Student Number],YES_Writing_FLA[Student Number]),0),MATCH(VLOOKUP(D$7,'Writing Logic'!$J$7:$K$11,2,FALSE)&amp;" - Per "&amp;VLOOKUP($C$4,'Writing Logic'!$G$8:$H$14,2,FALSE),YES_Writing_ELA[#Headers],0))=0,"",INDEX(_xlfn.VSTACK(YES_Writing_ELA[#Data],YES_Writing_FLA[#Data]),MATCH($A318,_xlfn.VSTACK(YES_Writing_ELA[Student Number],YES_Writing_FLA[Student Number]),0),MATCH(VLOOKUP(D$7,'Writing Logic'!$J$7:$K$11,2,FALSE)&amp;" - Per "&amp;VLOOKUP($C$4,'Writing Logic'!$G$8:$H$14,2,FALSE),YES_Writing_ELA[#Headers],0)))),"")</f>
        <v/>
      </c>
      <c r="E318" s="138" t="str">
        <f>IFERROR(IF(IF(INDEX(_xlfn.VSTACK(YES_Writing_ELA[#Data],YES_Writing_FLA[#Data]),MATCH($A318,_xlfn.VSTACK(YES_Writing_ELA[Student Number],YES_Writing_FLA[Student Number]),0),MATCH(VLOOKUP(E$7,'Writing Logic'!$J$7:$K$11,2,FALSE)&amp;" - Per "&amp;VLOOKUP($C$4,'Writing Logic'!$G$8:$H$14,2,FALSE),YES_Writing_ELA[#Headers],0))=0,"",INDEX(_xlfn.VSTACK(YES_Writing_ELA[#Data],YES_Writing_FLA[#Data]),MATCH($A318,_xlfn.VSTACK(YES_Writing_ELA[Student Number],YES_Writing_FLA[Student Number]),0),MATCH(VLOOKUP(E$7,'Writing Logic'!$J$7:$K$11,2,FALSE)&amp;" - Per "&amp;VLOOKUP($C$4,'Writing Logic'!$G$8:$H$14,2,FALSE),YES_Writing_ELA[#Headers],0)))="INS",'Writing Logic'!$B$7,IF(INDEX(_xlfn.VSTACK(YES_Writing_ELA[#Data],YES_Writing_FLA[#Data]),MATCH($A318,_xlfn.VSTACK(YES_Writing_ELA[Student Number],YES_Writing_FLA[Student Number]),0),MATCH(VLOOKUP(E$7,'Writing Logic'!$J$7:$K$11,2,FALSE)&amp;" - Per "&amp;VLOOKUP($C$4,'Writing Logic'!$G$8:$H$14,2,FALSE),YES_Writing_ELA[#Headers],0))=0,"",INDEX(_xlfn.VSTACK(YES_Writing_ELA[#Data],YES_Writing_FLA[#Data]),MATCH($A318,_xlfn.VSTACK(YES_Writing_ELA[Student Number],YES_Writing_FLA[Student Number]),0),MATCH(VLOOKUP(E$7,'Writing Logic'!$J$7:$K$11,2,FALSE)&amp;" - Per "&amp;VLOOKUP($C$4,'Writing Logic'!$G$8:$H$14,2,FALSE),YES_Writing_ELA[#Headers],0)))),"")</f>
        <v/>
      </c>
      <c r="F318" s="138" t="str">
        <f>IFERROR(IF(IF(INDEX(_xlfn.VSTACK(YES_Writing_ELA[#Data],YES_Writing_FLA[#Data]),MATCH($A318,_xlfn.VSTACK(YES_Writing_ELA[Student Number],YES_Writing_FLA[Student Number]),0),MATCH(VLOOKUP(F$7,'Writing Logic'!$J$7:$K$11,2,FALSE)&amp;" - Per "&amp;VLOOKUP($C$4,'Writing Logic'!$G$8:$H$14,2,FALSE),YES_Writing_ELA[#Headers],0))=0,"",INDEX(_xlfn.VSTACK(YES_Writing_ELA[#Data],YES_Writing_FLA[#Data]),MATCH($A318,_xlfn.VSTACK(YES_Writing_ELA[Student Number],YES_Writing_FLA[Student Number]),0),MATCH(VLOOKUP(F$7,'Writing Logic'!$J$7:$K$11,2,FALSE)&amp;" - Per "&amp;VLOOKUP($C$4,'Writing Logic'!$G$8:$H$14,2,FALSE),YES_Writing_ELA[#Headers],0)))="INS",'Writing Logic'!$B$7,IF(INDEX(_xlfn.VSTACK(YES_Writing_ELA[#Data],YES_Writing_FLA[#Data]),MATCH($A318,_xlfn.VSTACK(YES_Writing_ELA[Student Number],YES_Writing_FLA[Student Number]),0),MATCH(VLOOKUP(F$7,'Writing Logic'!$J$7:$K$11,2,FALSE)&amp;" - Per "&amp;VLOOKUP($C$4,'Writing Logic'!$G$8:$H$14,2,FALSE),YES_Writing_ELA[#Headers],0))=0,"",INDEX(_xlfn.VSTACK(YES_Writing_ELA[#Data],YES_Writing_FLA[#Data]),MATCH($A318,_xlfn.VSTACK(YES_Writing_ELA[Student Number],YES_Writing_FLA[Student Number]),0),MATCH(VLOOKUP(F$7,'Writing Logic'!$J$7:$K$11,2,FALSE)&amp;" - Per "&amp;VLOOKUP($C$4,'Writing Logic'!$G$8:$H$14,2,FALSE),YES_Writing_ELA[#Headers],0)))),"")</f>
        <v/>
      </c>
      <c r="G318" s="138" t="str">
        <f>IFERROR(IF(IF(INDEX(_xlfn.VSTACK(YES_Writing_ELA[#Data],YES_Writing_FLA[#Data]),MATCH($A318,_xlfn.VSTACK(YES_Writing_ELA[Student Number],YES_Writing_FLA[Student Number]),0),MATCH(VLOOKUP(G$7,'Writing Logic'!$J$7:$K$11,2,FALSE)&amp;" - Per "&amp;VLOOKUP($C$4,'Writing Logic'!$G$8:$H$14,2,FALSE),YES_Writing_ELA[#Headers],0))=0,"",INDEX(_xlfn.VSTACK(YES_Writing_ELA[#Data],YES_Writing_FLA[#Data]),MATCH($A318,_xlfn.VSTACK(YES_Writing_ELA[Student Number],YES_Writing_FLA[Student Number]),0),MATCH(VLOOKUP(G$7,'Writing Logic'!$J$7:$K$11,2,FALSE)&amp;" - Per "&amp;VLOOKUP($C$4,'Writing Logic'!$G$8:$H$14,2,FALSE),YES_Writing_ELA[#Headers],0)))="INS",'Writing Logic'!$B$7,IF(INDEX(_xlfn.VSTACK(YES_Writing_ELA[#Data],YES_Writing_FLA[#Data]),MATCH($A318,_xlfn.VSTACK(YES_Writing_ELA[Student Number],YES_Writing_FLA[Student Number]),0),MATCH(VLOOKUP(G$7,'Writing Logic'!$J$7:$K$11,2,FALSE)&amp;" - Per "&amp;VLOOKUP($C$4,'Writing Logic'!$G$8:$H$14,2,FALSE),YES_Writing_ELA[#Headers],0))=0,"",INDEX(_xlfn.VSTACK(YES_Writing_ELA[#Data],YES_Writing_FLA[#Data]),MATCH($A318,_xlfn.VSTACK(YES_Writing_ELA[Student Number],YES_Writing_FLA[Student Number]),0),MATCH(VLOOKUP(G$7,'Writing Logic'!$J$7:$K$11,2,FALSE)&amp;" - Per "&amp;VLOOKUP($C$4,'Writing Logic'!$G$8:$H$14,2,FALSE),YES_Writing_ELA[#Headers],0)))),"")</f>
        <v/>
      </c>
      <c r="H318" s="223" t="str">
        <f>IFERROR(IF(IF(INDEX(_xlfn.VSTACK(YES_Writing_ELA[#Data],YES_Writing_FLA[#Data]),MATCH($A318,_xlfn.VSTACK(YES_Writing_ELA[Student Number],YES_Writing_FLA[Student Number]),0),MATCH(VLOOKUP(H$7,'Writing Logic'!$J$7:$K$11,2,FALSE)&amp;" - Per "&amp;VLOOKUP($C$4,'Writing Logic'!$G$8:$H$14,2,FALSE),YES_Writing_ELA[#Headers],0))=0,"",INDEX(_xlfn.VSTACK(YES_Writing_ELA[#Data],YES_Writing_FLA[#Data]),MATCH($A318,_xlfn.VSTACK(YES_Writing_ELA[Student Number],YES_Writing_FLA[Student Number]),0),MATCH(VLOOKUP(H$7,'Writing Logic'!$J$7:$K$11,2,FALSE)&amp;" - Per "&amp;VLOOKUP($C$4,'Writing Logic'!$G$8:$H$14,2,FALSE),YES_Writing_ELA[#Headers],0)))="INS",'Writing Logic'!$B$7,IF(INDEX(_xlfn.VSTACK(YES_Writing_ELA[#Data],YES_Writing_FLA[#Data]),MATCH($A318,_xlfn.VSTACK(YES_Writing_ELA[Student Number],YES_Writing_FLA[Student Number]),0),MATCH(VLOOKUP(H$7,'Writing Logic'!$J$7:$K$11,2,FALSE)&amp;" - Per "&amp;VLOOKUP($C$4,'Writing Logic'!$G$8:$H$14,2,FALSE),YES_Writing_ELA[#Headers],0))=0,"",INDEX(_xlfn.VSTACK(YES_Writing_ELA[#Data],YES_Writing_FLA[#Data]),MATCH($A318,_xlfn.VSTACK(YES_Writing_ELA[Student Number],YES_Writing_FLA[Student Number]),0),MATCH(VLOOKUP(H$7,'Writing Logic'!$J$7:$K$11,2,FALSE)&amp;" - Per "&amp;VLOOKUP($C$4,'Writing Logic'!$G$8:$H$14,2,FALSE),YES_Writing_ELA[#Headers],0)))),"")</f>
        <v/>
      </c>
      <c r="I318" s="224" t="str" cm="1">
        <f t="array" aca="1" ref="I318" ca="1">IFERROR(
IF($G$3="ELA",
IF(VLOOKUP($A318, YES_Reading_ELA[], COLUMN(INDIRECT("YES_Reading_ELA[Difference - Per "&amp;VLOOKUP($G$4, 'Reading Report Logic'!$A$2:$B$8, 2, FALSE)&amp;"]")), FALSE)="", "",
VLOOKUP($A318,YES_Reading_ELA[], COLUMN(INDIRECT("YES_Reading_ELA[Difference - Per "&amp;VLOOKUP($G$4,'Reading Report Logic'!$A$2:$B$8,2,FALSE)&amp;"]")), FALSE)),
IF($G$3="FLA",
IF(VLOOKUP($A318, YES_Reading_FLA[], COLUMN(INDIRECT("YES_Reading_FLA[Difference - Per "&amp;VLOOKUP($G$4,'Reading Report Logic'!$A$2:$B$8,2,FALSE)&amp;"]")),FALSE)="","",
VLOOKUP($A318,YES_Reading_FLA[],COLUMN(INDIRECT("YES_Reading_FLA[Difference - Per "&amp;VLOOKUP($G$4,'Reading Report Logic'!$A$2:$B$8,2,FALSE)&amp;"]")),FALSE)),
IF($G$3="Combined",
IFERROR(
IF(VLOOKUP($A318, YES_Reading_ELA[], COLUMN(INDIRECT("YES_Reading_ELA[Difference - Per "&amp;VLOOKUP($G$4, 'Reading Report Logic'!$A$2:$B$8,2,FALSE)&amp;"]")), FALSE)="", "",
VLOOKUP($A318,YES_Reading_ELA[],COLUMN(INDIRECT("YES_Reading_ELA[Difference - Per "&amp;VLOOKUP($G$4,'Reading Report Logic'!$A$2:$B$8,2,FALSE)&amp;"]")),FALSE)),
IF(VLOOKUP($A318, YES_Reading_FLA[], COLUMN(INDIRECT("YES_Reading_FLA[Difference - Per "&amp;VLOOKUP($G$4, 'Reading Report Logic'!$A$2:$B$8, 2, FALSE)&amp;"]")),FALSE)="", "", VLOOKUP($A318,YES_Reading_FLA[],COLUMN(INDIRECT("YES_Reading_FLA[Difference - Per "&amp;VLOOKUP($G$4, 'Reading Report Logic'!$A$2:$B$8, 2, FALSE)&amp;"]")),FALSE))),""))),"")</f>
        <v/>
      </c>
    </row>
    <row r="319" spans="1:9" x14ac:dyDescent="0.25">
      <c r="A319" s="137"/>
      <c r="B319" s="137" t="str">
        <f>IFERROR(INDEX(_xlfn.VSTACK(YES_Writing_ELA[#Data], YES_Writing_FLA[#Data]),MATCH($A319,_xlfn.VSTACK(YES_Writing_ELA[Student Number], YES_Writing_FLA[Student Number]),0),MATCH(B$7,YES_Writing_ELA[#Headers],0)),IFERROR(INDEX(_xlfn.VSTACK(YES_Reading_ELA[#Data], YES_Reading_FLA[#Data]),MATCH($A319,_xlfn.VSTACK(YES_Reading_ELA[Student Number], YES_Reading_FLA[Student Number]),0),MATCH(B$7,YES_Reading_ELA[#Headers],0)),""))</f>
        <v/>
      </c>
      <c r="C319" s="137" t="str">
        <f>IFERROR(INDEX(_xlfn.VSTACK(YES_Writing_ELA[#Data], YES_Writing_FLA[#Data]),MATCH($A319,_xlfn.VSTACK(YES_Writing_ELA[Student Number], YES_Writing_FLA[Student Number]),0),MATCH(C$7,YES_Writing_ELA[#Headers],0)),IFERROR(INDEX(_xlfn.VSTACK(YES_Reading_ELA[#Data], YES_Reading_FLA[#Data]),MATCH($A319,_xlfn.VSTACK(YES_Reading_ELA[Student Number], YES_Reading_FLA[Student Number]),0),MATCH(C$7,YES_Reading_ELA[#Headers],0)),""))</f>
        <v/>
      </c>
      <c r="D319" s="138" t="str">
        <f>IFERROR(IF(IF(INDEX(_xlfn.VSTACK(YES_Writing_ELA[#Data],YES_Writing_FLA[#Data]),MATCH($A319,_xlfn.VSTACK(YES_Writing_ELA[Student Number],YES_Writing_FLA[Student Number]),0),MATCH(VLOOKUP(D$7,'Writing Logic'!$J$7:$K$11,2,FALSE)&amp;" - Per "&amp;VLOOKUP($C$4,'Writing Logic'!$G$8:$H$14,2,FALSE),YES_Writing_ELA[#Headers],0))=0,"",INDEX(_xlfn.VSTACK(YES_Writing_ELA[#Data],YES_Writing_FLA[#Data]),MATCH($A319,_xlfn.VSTACK(YES_Writing_ELA[Student Number],YES_Writing_FLA[Student Number]),0),MATCH(VLOOKUP(D$7,'Writing Logic'!$J$7:$K$11,2,FALSE)&amp;" - Per "&amp;VLOOKUP($C$4,'Writing Logic'!$G$8:$H$14,2,FALSE),YES_Writing_ELA[#Headers],0)))="INS",'Writing Logic'!$B$7,IF(INDEX(_xlfn.VSTACK(YES_Writing_ELA[#Data],YES_Writing_FLA[#Data]),MATCH($A319,_xlfn.VSTACK(YES_Writing_ELA[Student Number],YES_Writing_FLA[Student Number]),0),MATCH(VLOOKUP(D$7,'Writing Logic'!$J$7:$K$11,2,FALSE)&amp;" - Per "&amp;VLOOKUP($C$4,'Writing Logic'!$G$8:$H$14,2,FALSE),YES_Writing_ELA[#Headers],0))=0,"",INDEX(_xlfn.VSTACK(YES_Writing_ELA[#Data],YES_Writing_FLA[#Data]),MATCH($A319,_xlfn.VSTACK(YES_Writing_ELA[Student Number],YES_Writing_FLA[Student Number]),0),MATCH(VLOOKUP(D$7,'Writing Logic'!$J$7:$K$11,2,FALSE)&amp;" - Per "&amp;VLOOKUP($C$4,'Writing Logic'!$G$8:$H$14,2,FALSE),YES_Writing_ELA[#Headers],0)))),"")</f>
        <v/>
      </c>
      <c r="E319" s="138" t="str">
        <f>IFERROR(IF(IF(INDEX(_xlfn.VSTACK(YES_Writing_ELA[#Data],YES_Writing_FLA[#Data]),MATCH($A319,_xlfn.VSTACK(YES_Writing_ELA[Student Number],YES_Writing_FLA[Student Number]),0),MATCH(VLOOKUP(E$7,'Writing Logic'!$J$7:$K$11,2,FALSE)&amp;" - Per "&amp;VLOOKUP($C$4,'Writing Logic'!$G$8:$H$14,2,FALSE),YES_Writing_ELA[#Headers],0))=0,"",INDEX(_xlfn.VSTACK(YES_Writing_ELA[#Data],YES_Writing_FLA[#Data]),MATCH($A319,_xlfn.VSTACK(YES_Writing_ELA[Student Number],YES_Writing_FLA[Student Number]),0),MATCH(VLOOKUP(E$7,'Writing Logic'!$J$7:$K$11,2,FALSE)&amp;" - Per "&amp;VLOOKUP($C$4,'Writing Logic'!$G$8:$H$14,2,FALSE),YES_Writing_ELA[#Headers],0)))="INS",'Writing Logic'!$B$7,IF(INDEX(_xlfn.VSTACK(YES_Writing_ELA[#Data],YES_Writing_FLA[#Data]),MATCH($A319,_xlfn.VSTACK(YES_Writing_ELA[Student Number],YES_Writing_FLA[Student Number]),0),MATCH(VLOOKUP(E$7,'Writing Logic'!$J$7:$K$11,2,FALSE)&amp;" - Per "&amp;VLOOKUP($C$4,'Writing Logic'!$G$8:$H$14,2,FALSE),YES_Writing_ELA[#Headers],0))=0,"",INDEX(_xlfn.VSTACK(YES_Writing_ELA[#Data],YES_Writing_FLA[#Data]),MATCH($A319,_xlfn.VSTACK(YES_Writing_ELA[Student Number],YES_Writing_FLA[Student Number]),0),MATCH(VLOOKUP(E$7,'Writing Logic'!$J$7:$K$11,2,FALSE)&amp;" - Per "&amp;VLOOKUP($C$4,'Writing Logic'!$G$8:$H$14,2,FALSE),YES_Writing_ELA[#Headers],0)))),"")</f>
        <v/>
      </c>
      <c r="F319" s="138" t="str">
        <f>IFERROR(IF(IF(INDEX(_xlfn.VSTACK(YES_Writing_ELA[#Data],YES_Writing_FLA[#Data]),MATCH($A319,_xlfn.VSTACK(YES_Writing_ELA[Student Number],YES_Writing_FLA[Student Number]),0),MATCH(VLOOKUP(F$7,'Writing Logic'!$J$7:$K$11,2,FALSE)&amp;" - Per "&amp;VLOOKUP($C$4,'Writing Logic'!$G$8:$H$14,2,FALSE),YES_Writing_ELA[#Headers],0))=0,"",INDEX(_xlfn.VSTACK(YES_Writing_ELA[#Data],YES_Writing_FLA[#Data]),MATCH($A319,_xlfn.VSTACK(YES_Writing_ELA[Student Number],YES_Writing_FLA[Student Number]),0),MATCH(VLOOKUP(F$7,'Writing Logic'!$J$7:$K$11,2,FALSE)&amp;" - Per "&amp;VLOOKUP($C$4,'Writing Logic'!$G$8:$H$14,2,FALSE),YES_Writing_ELA[#Headers],0)))="INS",'Writing Logic'!$B$7,IF(INDEX(_xlfn.VSTACK(YES_Writing_ELA[#Data],YES_Writing_FLA[#Data]),MATCH($A319,_xlfn.VSTACK(YES_Writing_ELA[Student Number],YES_Writing_FLA[Student Number]),0),MATCH(VLOOKUP(F$7,'Writing Logic'!$J$7:$K$11,2,FALSE)&amp;" - Per "&amp;VLOOKUP($C$4,'Writing Logic'!$G$8:$H$14,2,FALSE),YES_Writing_ELA[#Headers],0))=0,"",INDEX(_xlfn.VSTACK(YES_Writing_ELA[#Data],YES_Writing_FLA[#Data]),MATCH($A319,_xlfn.VSTACK(YES_Writing_ELA[Student Number],YES_Writing_FLA[Student Number]),0),MATCH(VLOOKUP(F$7,'Writing Logic'!$J$7:$K$11,2,FALSE)&amp;" - Per "&amp;VLOOKUP($C$4,'Writing Logic'!$G$8:$H$14,2,FALSE),YES_Writing_ELA[#Headers],0)))),"")</f>
        <v/>
      </c>
      <c r="G319" s="138" t="str">
        <f>IFERROR(IF(IF(INDEX(_xlfn.VSTACK(YES_Writing_ELA[#Data],YES_Writing_FLA[#Data]),MATCH($A319,_xlfn.VSTACK(YES_Writing_ELA[Student Number],YES_Writing_FLA[Student Number]),0),MATCH(VLOOKUP(G$7,'Writing Logic'!$J$7:$K$11,2,FALSE)&amp;" - Per "&amp;VLOOKUP($C$4,'Writing Logic'!$G$8:$H$14,2,FALSE),YES_Writing_ELA[#Headers],0))=0,"",INDEX(_xlfn.VSTACK(YES_Writing_ELA[#Data],YES_Writing_FLA[#Data]),MATCH($A319,_xlfn.VSTACK(YES_Writing_ELA[Student Number],YES_Writing_FLA[Student Number]),0),MATCH(VLOOKUP(G$7,'Writing Logic'!$J$7:$K$11,2,FALSE)&amp;" - Per "&amp;VLOOKUP($C$4,'Writing Logic'!$G$8:$H$14,2,FALSE),YES_Writing_ELA[#Headers],0)))="INS",'Writing Logic'!$B$7,IF(INDEX(_xlfn.VSTACK(YES_Writing_ELA[#Data],YES_Writing_FLA[#Data]),MATCH($A319,_xlfn.VSTACK(YES_Writing_ELA[Student Number],YES_Writing_FLA[Student Number]),0),MATCH(VLOOKUP(G$7,'Writing Logic'!$J$7:$K$11,2,FALSE)&amp;" - Per "&amp;VLOOKUP($C$4,'Writing Logic'!$G$8:$H$14,2,FALSE),YES_Writing_ELA[#Headers],0))=0,"",INDEX(_xlfn.VSTACK(YES_Writing_ELA[#Data],YES_Writing_FLA[#Data]),MATCH($A319,_xlfn.VSTACK(YES_Writing_ELA[Student Number],YES_Writing_FLA[Student Number]),0),MATCH(VLOOKUP(G$7,'Writing Logic'!$J$7:$K$11,2,FALSE)&amp;" - Per "&amp;VLOOKUP($C$4,'Writing Logic'!$G$8:$H$14,2,FALSE),YES_Writing_ELA[#Headers],0)))),"")</f>
        <v/>
      </c>
      <c r="H319" s="223" t="str">
        <f>IFERROR(IF(IF(INDEX(_xlfn.VSTACK(YES_Writing_ELA[#Data],YES_Writing_FLA[#Data]),MATCH($A319,_xlfn.VSTACK(YES_Writing_ELA[Student Number],YES_Writing_FLA[Student Number]),0),MATCH(VLOOKUP(H$7,'Writing Logic'!$J$7:$K$11,2,FALSE)&amp;" - Per "&amp;VLOOKUP($C$4,'Writing Logic'!$G$8:$H$14,2,FALSE),YES_Writing_ELA[#Headers],0))=0,"",INDEX(_xlfn.VSTACK(YES_Writing_ELA[#Data],YES_Writing_FLA[#Data]),MATCH($A319,_xlfn.VSTACK(YES_Writing_ELA[Student Number],YES_Writing_FLA[Student Number]),0),MATCH(VLOOKUP(H$7,'Writing Logic'!$J$7:$K$11,2,FALSE)&amp;" - Per "&amp;VLOOKUP($C$4,'Writing Logic'!$G$8:$H$14,2,FALSE),YES_Writing_ELA[#Headers],0)))="INS",'Writing Logic'!$B$7,IF(INDEX(_xlfn.VSTACK(YES_Writing_ELA[#Data],YES_Writing_FLA[#Data]),MATCH($A319,_xlfn.VSTACK(YES_Writing_ELA[Student Number],YES_Writing_FLA[Student Number]),0),MATCH(VLOOKUP(H$7,'Writing Logic'!$J$7:$K$11,2,FALSE)&amp;" - Per "&amp;VLOOKUP($C$4,'Writing Logic'!$G$8:$H$14,2,FALSE),YES_Writing_ELA[#Headers],0))=0,"",INDEX(_xlfn.VSTACK(YES_Writing_ELA[#Data],YES_Writing_FLA[#Data]),MATCH($A319,_xlfn.VSTACK(YES_Writing_ELA[Student Number],YES_Writing_FLA[Student Number]),0),MATCH(VLOOKUP(H$7,'Writing Logic'!$J$7:$K$11,2,FALSE)&amp;" - Per "&amp;VLOOKUP($C$4,'Writing Logic'!$G$8:$H$14,2,FALSE),YES_Writing_ELA[#Headers],0)))),"")</f>
        <v/>
      </c>
      <c r="I319" s="224" t="str" cm="1">
        <f t="array" aca="1" ref="I319" ca="1">IFERROR(
IF($G$3="ELA",
IF(VLOOKUP($A319, YES_Reading_ELA[], COLUMN(INDIRECT("YES_Reading_ELA[Difference - Per "&amp;VLOOKUP($G$4, 'Reading Report Logic'!$A$2:$B$8, 2, FALSE)&amp;"]")), FALSE)="", "",
VLOOKUP($A319,YES_Reading_ELA[], COLUMN(INDIRECT("YES_Reading_ELA[Difference - Per "&amp;VLOOKUP($G$4,'Reading Report Logic'!$A$2:$B$8,2,FALSE)&amp;"]")), FALSE)),
IF($G$3="FLA",
IF(VLOOKUP($A319, YES_Reading_FLA[], COLUMN(INDIRECT("YES_Reading_FLA[Difference - Per "&amp;VLOOKUP($G$4,'Reading Report Logic'!$A$2:$B$8,2,FALSE)&amp;"]")),FALSE)="","",
VLOOKUP($A319,YES_Reading_FLA[],COLUMN(INDIRECT("YES_Reading_FLA[Difference - Per "&amp;VLOOKUP($G$4,'Reading Report Logic'!$A$2:$B$8,2,FALSE)&amp;"]")),FALSE)),
IF($G$3="Combined",
IFERROR(
IF(VLOOKUP($A319, YES_Reading_ELA[], COLUMN(INDIRECT("YES_Reading_ELA[Difference - Per "&amp;VLOOKUP($G$4, 'Reading Report Logic'!$A$2:$B$8,2,FALSE)&amp;"]")), FALSE)="", "",
VLOOKUP($A319,YES_Reading_ELA[],COLUMN(INDIRECT("YES_Reading_ELA[Difference - Per "&amp;VLOOKUP($G$4,'Reading Report Logic'!$A$2:$B$8,2,FALSE)&amp;"]")),FALSE)),
IF(VLOOKUP($A319, YES_Reading_FLA[], COLUMN(INDIRECT("YES_Reading_FLA[Difference - Per "&amp;VLOOKUP($G$4, 'Reading Report Logic'!$A$2:$B$8, 2, FALSE)&amp;"]")),FALSE)="", "", VLOOKUP($A319,YES_Reading_FLA[],COLUMN(INDIRECT("YES_Reading_FLA[Difference - Per "&amp;VLOOKUP($G$4, 'Reading Report Logic'!$A$2:$B$8, 2, FALSE)&amp;"]")),FALSE))),""))),"")</f>
        <v/>
      </c>
    </row>
    <row r="320" spans="1:9" x14ac:dyDescent="0.25">
      <c r="A320" s="137"/>
      <c r="B320" s="137" t="str">
        <f>IFERROR(INDEX(_xlfn.VSTACK(YES_Writing_ELA[#Data], YES_Writing_FLA[#Data]),MATCH($A320,_xlfn.VSTACK(YES_Writing_ELA[Student Number], YES_Writing_FLA[Student Number]),0),MATCH(B$7,YES_Writing_ELA[#Headers],0)),IFERROR(INDEX(_xlfn.VSTACK(YES_Reading_ELA[#Data], YES_Reading_FLA[#Data]),MATCH($A320,_xlfn.VSTACK(YES_Reading_ELA[Student Number], YES_Reading_FLA[Student Number]),0),MATCH(B$7,YES_Reading_ELA[#Headers],0)),""))</f>
        <v/>
      </c>
      <c r="C320" s="137" t="str">
        <f>IFERROR(INDEX(_xlfn.VSTACK(YES_Writing_ELA[#Data], YES_Writing_FLA[#Data]),MATCH($A320,_xlfn.VSTACK(YES_Writing_ELA[Student Number], YES_Writing_FLA[Student Number]),0),MATCH(C$7,YES_Writing_ELA[#Headers],0)),IFERROR(INDEX(_xlfn.VSTACK(YES_Reading_ELA[#Data], YES_Reading_FLA[#Data]),MATCH($A320,_xlfn.VSTACK(YES_Reading_ELA[Student Number], YES_Reading_FLA[Student Number]),0),MATCH(C$7,YES_Reading_ELA[#Headers],0)),""))</f>
        <v/>
      </c>
      <c r="D320" s="138" t="str">
        <f>IFERROR(IF(IF(INDEX(_xlfn.VSTACK(YES_Writing_ELA[#Data],YES_Writing_FLA[#Data]),MATCH($A320,_xlfn.VSTACK(YES_Writing_ELA[Student Number],YES_Writing_FLA[Student Number]),0),MATCH(VLOOKUP(D$7,'Writing Logic'!$J$7:$K$11,2,FALSE)&amp;" - Per "&amp;VLOOKUP($C$4,'Writing Logic'!$G$8:$H$14,2,FALSE),YES_Writing_ELA[#Headers],0))=0,"",INDEX(_xlfn.VSTACK(YES_Writing_ELA[#Data],YES_Writing_FLA[#Data]),MATCH($A320,_xlfn.VSTACK(YES_Writing_ELA[Student Number],YES_Writing_FLA[Student Number]),0),MATCH(VLOOKUP(D$7,'Writing Logic'!$J$7:$K$11,2,FALSE)&amp;" - Per "&amp;VLOOKUP($C$4,'Writing Logic'!$G$8:$H$14,2,FALSE),YES_Writing_ELA[#Headers],0)))="INS",'Writing Logic'!$B$7,IF(INDEX(_xlfn.VSTACK(YES_Writing_ELA[#Data],YES_Writing_FLA[#Data]),MATCH($A320,_xlfn.VSTACK(YES_Writing_ELA[Student Number],YES_Writing_FLA[Student Number]),0),MATCH(VLOOKUP(D$7,'Writing Logic'!$J$7:$K$11,2,FALSE)&amp;" - Per "&amp;VLOOKUP($C$4,'Writing Logic'!$G$8:$H$14,2,FALSE),YES_Writing_ELA[#Headers],0))=0,"",INDEX(_xlfn.VSTACK(YES_Writing_ELA[#Data],YES_Writing_FLA[#Data]),MATCH($A320,_xlfn.VSTACK(YES_Writing_ELA[Student Number],YES_Writing_FLA[Student Number]),0),MATCH(VLOOKUP(D$7,'Writing Logic'!$J$7:$K$11,2,FALSE)&amp;" - Per "&amp;VLOOKUP($C$4,'Writing Logic'!$G$8:$H$14,2,FALSE),YES_Writing_ELA[#Headers],0)))),"")</f>
        <v/>
      </c>
      <c r="E320" s="138" t="str">
        <f>IFERROR(IF(IF(INDEX(_xlfn.VSTACK(YES_Writing_ELA[#Data],YES_Writing_FLA[#Data]),MATCH($A320,_xlfn.VSTACK(YES_Writing_ELA[Student Number],YES_Writing_FLA[Student Number]),0),MATCH(VLOOKUP(E$7,'Writing Logic'!$J$7:$K$11,2,FALSE)&amp;" - Per "&amp;VLOOKUP($C$4,'Writing Logic'!$G$8:$H$14,2,FALSE),YES_Writing_ELA[#Headers],0))=0,"",INDEX(_xlfn.VSTACK(YES_Writing_ELA[#Data],YES_Writing_FLA[#Data]),MATCH($A320,_xlfn.VSTACK(YES_Writing_ELA[Student Number],YES_Writing_FLA[Student Number]),0),MATCH(VLOOKUP(E$7,'Writing Logic'!$J$7:$K$11,2,FALSE)&amp;" - Per "&amp;VLOOKUP($C$4,'Writing Logic'!$G$8:$H$14,2,FALSE),YES_Writing_ELA[#Headers],0)))="INS",'Writing Logic'!$B$7,IF(INDEX(_xlfn.VSTACK(YES_Writing_ELA[#Data],YES_Writing_FLA[#Data]),MATCH($A320,_xlfn.VSTACK(YES_Writing_ELA[Student Number],YES_Writing_FLA[Student Number]),0),MATCH(VLOOKUP(E$7,'Writing Logic'!$J$7:$K$11,2,FALSE)&amp;" - Per "&amp;VLOOKUP($C$4,'Writing Logic'!$G$8:$H$14,2,FALSE),YES_Writing_ELA[#Headers],0))=0,"",INDEX(_xlfn.VSTACK(YES_Writing_ELA[#Data],YES_Writing_FLA[#Data]),MATCH($A320,_xlfn.VSTACK(YES_Writing_ELA[Student Number],YES_Writing_FLA[Student Number]),0),MATCH(VLOOKUP(E$7,'Writing Logic'!$J$7:$K$11,2,FALSE)&amp;" - Per "&amp;VLOOKUP($C$4,'Writing Logic'!$G$8:$H$14,2,FALSE),YES_Writing_ELA[#Headers],0)))),"")</f>
        <v/>
      </c>
      <c r="F320" s="138" t="str">
        <f>IFERROR(IF(IF(INDEX(_xlfn.VSTACK(YES_Writing_ELA[#Data],YES_Writing_FLA[#Data]),MATCH($A320,_xlfn.VSTACK(YES_Writing_ELA[Student Number],YES_Writing_FLA[Student Number]),0),MATCH(VLOOKUP(F$7,'Writing Logic'!$J$7:$K$11,2,FALSE)&amp;" - Per "&amp;VLOOKUP($C$4,'Writing Logic'!$G$8:$H$14,2,FALSE),YES_Writing_ELA[#Headers],0))=0,"",INDEX(_xlfn.VSTACK(YES_Writing_ELA[#Data],YES_Writing_FLA[#Data]),MATCH($A320,_xlfn.VSTACK(YES_Writing_ELA[Student Number],YES_Writing_FLA[Student Number]),0),MATCH(VLOOKUP(F$7,'Writing Logic'!$J$7:$K$11,2,FALSE)&amp;" - Per "&amp;VLOOKUP($C$4,'Writing Logic'!$G$8:$H$14,2,FALSE),YES_Writing_ELA[#Headers],0)))="INS",'Writing Logic'!$B$7,IF(INDEX(_xlfn.VSTACK(YES_Writing_ELA[#Data],YES_Writing_FLA[#Data]),MATCH($A320,_xlfn.VSTACK(YES_Writing_ELA[Student Number],YES_Writing_FLA[Student Number]),0),MATCH(VLOOKUP(F$7,'Writing Logic'!$J$7:$K$11,2,FALSE)&amp;" - Per "&amp;VLOOKUP($C$4,'Writing Logic'!$G$8:$H$14,2,FALSE),YES_Writing_ELA[#Headers],0))=0,"",INDEX(_xlfn.VSTACK(YES_Writing_ELA[#Data],YES_Writing_FLA[#Data]),MATCH($A320,_xlfn.VSTACK(YES_Writing_ELA[Student Number],YES_Writing_FLA[Student Number]),0),MATCH(VLOOKUP(F$7,'Writing Logic'!$J$7:$K$11,2,FALSE)&amp;" - Per "&amp;VLOOKUP($C$4,'Writing Logic'!$G$8:$H$14,2,FALSE),YES_Writing_ELA[#Headers],0)))),"")</f>
        <v/>
      </c>
      <c r="G320" s="138" t="str">
        <f>IFERROR(IF(IF(INDEX(_xlfn.VSTACK(YES_Writing_ELA[#Data],YES_Writing_FLA[#Data]),MATCH($A320,_xlfn.VSTACK(YES_Writing_ELA[Student Number],YES_Writing_FLA[Student Number]),0),MATCH(VLOOKUP(G$7,'Writing Logic'!$J$7:$K$11,2,FALSE)&amp;" - Per "&amp;VLOOKUP($C$4,'Writing Logic'!$G$8:$H$14,2,FALSE),YES_Writing_ELA[#Headers],0))=0,"",INDEX(_xlfn.VSTACK(YES_Writing_ELA[#Data],YES_Writing_FLA[#Data]),MATCH($A320,_xlfn.VSTACK(YES_Writing_ELA[Student Number],YES_Writing_FLA[Student Number]),0),MATCH(VLOOKUP(G$7,'Writing Logic'!$J$7:$K$11,2,FALSE)&amp;" - Per "&amp;VLOOKUP($C$4,'Writing Logic'!$G$8:$H$14,2,FALSE),YES_Writing_ELA[#Headers],0)))="INS",'Writing Logic'!$B$7,IF(INDEX(_xlfn.VSTACK(YES_Writing_ELA[#Data],YES_Writing_FLA[#Data]),MATCH($A320,_xlfn.VSTACK(YES_Writing_ELA[Student Number],YES_Writing_FLA[Student Number]),0),MATCH(VLOOKUP(G$7,'Writing Logic'!$J$7:$K$11,2,FALSE)&amp;" - Per "&amp;VLOOKUP($C$4,'Writing Logic'!$G$8:$H$14,2,FALSE),YES_Writing_ELA[#Headers],0))=0,"",INDEX(_xlfn.VSTACK(YES_Writing_ELA[#Data],YES_Writing_FLA[#Data]),MATCH($A320,_xlfn.VSTACK(YES_Writing_ELA[Student Number],YES_Writing_FLA[Student Number]),0),MATCH(VLOOKUP(G$7,'Writing Logic'!$J$7:$K$11,2,FALSE)&amp;" - Per "&amp;VLOOKUP($C$4,'Writing Logic'!$G$8:$H$14,2,FALSE),YES_Writing_ELA[#Headers],0)))),"")</f>
        <v/>
      </c>
      <c r="H320" s="223" t="str">
        <f>IFERROR(IF(IF(INDEX(_xlfn.VSTACK(YES_Writing_ELA[#Data],YES_Writing_FLA[#Data]),MATCH($A320,_xlfn.VSTACK(YES_Writing_ELA[Student Number],YES_Writing_FLA[Student Number]),0),MATCH(VLOOKUP(H$7,'Writing Logic'!$J$7:$K$11,2,FALSE)&amp;" - Per "&amp;VLOOKUP($C$4,'Writing Logic'!$G$8:$H$14,2,FALSE),YES_Writing_ELA[#Headers],0))=0,"",INDEX(_xlfn.VSTACK(YES_Writing_ELA[#Data],YES_Writing_FLA[#Data]),MATCH($A320,_xlfn.VSTACK(YES_Writing_ELA[Student Number],YES_Writing_FLA[Student Number]),0),MATCH(VLOOKUP(H$7,'Writing Logic'!$J$7:$K$11,2,FALSE)&amp;" - Per "&amp;VLOOKUP($C$4,'Writing Logic'!$G$8:$H$14,2,FALSE),YES_Writing_ELA[#Headers],0)))="INS",'Writing Logic'!$B$7,IF(INDEX(_xlfn.VSTACK(YES_Writing_ELA[#Data],YES_Writing_FLA[#Data]),MATCH($A320,_xlfn.VSTACK(YES_Writing_ELA[Student Number],YES_Writing_FLA[Student Number]),0),MATCH(VLOOKUP(H$7,'Writing Logic'!$J$7:$K$11,2,FALSE)&amp;" - Per "&amp;VLOOKUP($C$4,'Writing Logic'!$G$8:$H$14,2,FALSE),YES_Writing_ELA[#Headers],0))=0,"",INDEX(_xlfn.VSTACK(YES_Writing_ELA[#Data],YES_Writing_FLA[#Data]),MATCH($A320,_xlfn.VSTACK(YES_Writing_ELA[Student Number],YES_Writing_FLA[Student Number]),0),MATCH(VLOOKUP(H$7,'Writing Logic'!$J$7:$K$11,2,FALSE)&amp;" - Per "&amp;VLOOKUP($C$4,'Writing Logic'!$G$8:$H$14,2,FALSE),YES_Writing_ELA[#Headers],0)))),"")</f>
        <v/>
      </c>
      <c r="I320" s="224" t="str" cm="1">
        <f t="array" aca="1" ref="I320" ca="1">IFERROR(
IF($G$3="ELA",
IF(VLOOKUP($A320, YES_Reading_ELA[], COLUMN(INDIRECT("YES_Reading_ELA[Difference - Per "&amp;VLOOKUP($G$4, 'Reading Report Logic'!$A$2:$B$8, 2, FALSE)&amp;"]")), FALSE)="", "",
VLOOKUP($A320,YES_Reading_ELA[], COLUMN(INDIRECT("YES_Reading_ELA[Difference - Per "&amp;VLOOKUP($G$4,'Reading Report Logic'!$A$2:$B$8,2,FALSE)&amp;"]")), FALSE)),
IF($G$3="FLA",
IF(VLOOKUP($A320, YES_Reading_FLA[], COLUMN(INDIRECT("YES_Reading_FLA[Difference - Per "&amp;VLOOKUP($G$4,'Reading Report Logic'!$A$2:$B$8,2,FALSE)&amp;"]")),FALSE)="","",
VLOOKUP($A320,YES_Reading_FLA[],COLUMN(INDIRECT("YES_Reading_FLA[Difference - Per "&amp;VLOOKUP($G$4,'Reading Report Logic'!$A$2:$B$8,2,FALSE)&amp;"]")),FALSE)),
IF($G$3="Combined",
IFERROR(
IF(VLOOKUP($A320, YES_Reading_ELA[], COLUMN(INDIRECT("YES_Reading_ELA[Difference - Per "&amp;VLOOKUP($G$4, 'Reading Report Logic'!$A$2:$B$8,2,FALSE)&amp;"]")), FALSE)="", "",
VLOOKUP($A320,YES_Reading_ELA[],COLUMN(INDIRECT("YES_Reading_ELA[Difference - Per "&amp;VLOOKUP($G$4,'Reading Report Logic'!$A$2:$B$8,2,FALSE)&amp;"]")),FALSE)),
IF(VLOOKUP($A320, YES_Reading_FLA[], COLUMN(INDIRECT("YES_Reading_FLA[Difference - Per "&amp;VLOOKUP($G$4, 'Reading Report Logic'!$A$2:$B$8, 2, FALSE)&amp;"]")),FALSE)="", "", VLOOKUP($A320,YES_Reading_FLA[],COLUMN(INDIRECT("YES_Reading_FLA[Difference - Per "&amp;VLOOKUP($G$4, 'Reading Report Logic'!$A$2:$B$8, 2, FALSE)&amp;"]")),FALSE))),""))),"")</f>
        <v/>
      </c>
    </row>
    <row r="321" spans="1:9" x14ac:dyDescent="0.25">
      <c r="A321" s="137"/>
      <c r="B321" s="137" t="str">
        <f>IFERROR(INDEX(_xlfn.VSTACK(YES_Writing_ELA[#Data], YES_Writing_FLA[#Data]),MATCH($A321,_xlfn.VSTACK(YES_Writing_ELA[Student Number], YES_Writing_FLA[Student Number]),0),MATCH(B$7,YES_Writing_ELA[#Headers],0)),IFERROR(INDEX(_xlfn.VSTACK(YES_Reading_ELA[#Data], YES_Reading_FLA[#Data]),MATCH($A321,_xlfn.VSTACK(YES_Reading_ELA[Student Number], YES_Reading_FLA[Student Number]),0),MATCH(B$7,YES_Reading_ELA[#Headers],0)),""))</f>
        <v/>
      </c>
      <c r="C321" s="137" t="str">
        <f>IFERROR(INDEX(_xlfn.VSTACK(YES_Writing_ELA[#Data], YES_Writing_FLA[#Data]),MATCH($A321,_xlfn.VSTACK(YES_Writing_ELA[Student Number], YES_Writing_FLA[Student Number]),0),MATCH(C$7,YES_Writing_ELA[#Headers],0)),IFERROR(INDEX(_xlfn.VSTACK(YES_Reading_ELA[#Data], YES_Reading_FLA[#Data]),MATCH($A321,_xlfn.VSTACK(YES_Reading_ELA[Student Number], YES_Reading_FLA[Student Number]),0),MATCH(C$7,YES_Reading_ELA[#Headers],0)),""))</f>
        <v/>
      </c>
      <c r="D321" s="138" t="str">
        <f>IFERROR(IF(IF(INDEX(_xlfn.VSTACK(YES_Writing_ELA[#Data],YES_Writing_FLA[#Data]),MATCH($A321,_xlfn.VSTACK(YES_Writing_ELA[Student Number],YES_Writing_FLA[Student Number]),0),MATCH(VLOOKUP(D$7,'Writing Logic'!$J$7:$K$11,2,FALSE)&amp;" - Per "&amp;VLOOKUP($C$4,'Writing Logic'!$G$8:$H$14,2,FALSE),YES_Writing_ELA[#Headers],0))=0,"",INDEX(_xlfn.VSTACK(YES_Writing_ELA[#Data],YES_Writing_FLA[#Data]),MATCH($A321,_xlfn.VSTACK(YES_Writing_ELA[Student Number],YES_Writing_FLA[Student Number]),0),MATCH(VLOOKUP(D$7,'Writing Logic'!$J$7:$K$11,2,FALSE)&amp;" - Per "&amp;VLOOKUP($C$4,'Writing Logic'!$G$8:$H$14,2,FALSE),YES_Writing_ELA[#Headers],0)))="INS",'Writing Logic'!$B$7,IF(INDEX(_xlfn.VSTACK(YES_Writing_ELA[#Data],YES_Writing_FLA[#Data]),MATCH($A321,_xlfn.VSTACK(YES_Writing_ELA[Student Number],YES_Writing_FLA[Student Number]),0),MATCH(VLOOKUP(D$7,'Writing Logic'!$J$7:$K$11,2,FALSE)&amp;" - Per "&amp;VLOOKUP($C$4,'Writing Logic'!$G$8:$H$14,2,FALSE),YES_Writing_ELA[#Headers],0))=0,"",INDEX(_xlfn.VSTACK(YES_Writing_ELA[#Data],YES_Writing_FLA[#Data]),MATCH($A321,_xlfn.VSTACK(YES_Writing_ELA[Student Number],YES_Writing_FLA[Student Number]),0),MATCH(VLOOKUP(D$7,'Writing Logic'!$J$7:$K$11,2,FALSE)&amp;" - Per "&amp;VLOOKUP($C$4,'Writing Logic'!$G$8:$H$14,2,FALSE),YES_Writing_ELA[#Headers],0)))),"")</f>
        <v/>
      </c>
      <c r="E321" s="138" t="str">
        <f>IFERROR(IF(IF(INDEX(_xlfn.VSTACK(YES_Writing_ELA[#Data],YES_Writing_FLA[#Data]),MATCH($A321,_xlfn.VSTACK(YES_Writing_ELA[Student Number],YES_Writing_FLA[Student Number]),0),MATCH(VLOOKUP(E$7,'Writing Logic'!$J$7:$K$11,2,FALSE)&amp;" - Per "&amp;VLOOKUP($C$4,'Writing Logic'!$G$8:$H$14,2,FALSE),YES_Writing_ELA[#Headers],0))=0,"",INDEX(_xlfn.VSTACK(YES_Writing_ELA[#Data],YES_Writing_FLA[#Data]),MATCH($A321,_xlfn.VSTACK(YES_Writing_ELA[Student Number],YES_Writing_FLA[Student Number]),0),MATCH(VLOOKUP(E$7,'Writing Logic'!$J$7:$K$11,2,FALSE)&amp;" - Per "&amp;VLOOKUP($C$4,'Writing Logic'!$G$8:$H$14,2,FALSE),YES_Writing_ELA[#Headers],0)))="INS",'Writing Logic'!$B$7,IF(INDEX(_xlfn.VSTACK(YES_Writing_ELA[#Data],YES_Writing_FLA[#Data]),MATCH($A321,_xlfn.VSTACK(YES_Writing_ELA[Student Number],YES_Writing_FLA[Student Number]),0),MATCH(VLOOKUP(E$7,'Writing Logic'!$J$7:$K$11,2,FALSE)&amp;" - Per "&amp;VLOOKUP($C$4,'Writing Logic'!$G$8:$H$14,2,FALSE),YES_Writing_ELA[#Headers],0))=0,"",INDEX(_xlfn.VSTACK(YES_Writing_ELA[#Data],YES_Writing_FLA[#Data]),MATCH($A321,_xlfn.VSTACK(YES_Writing_ELA[Student Number],YES_Writing_FLA[Student Number]),0),MATCH(VLOOKUP(E$7,'Writing Logic'!$J$7:$K$11,2,FALSE)&amp;" - Per "&amp;VLOOKUP($C$4,'Writing Logic'!$G$8:$H$14,2,FALSE),YES_Writing_ELA[#Headers],0)))),"")</f>
        <v/>
      </c>
      <c r="F321" s="138" t="str">
        <f>IFERROR(IF(IF(INDEX(_xlfn.VSTACK(YES_Writing_ELA[#Data],YES_Writing_FLA[#Data]),MATCH($A321,_xlfn.VSTACK(YES_Writing_ELA[Student Number],YES_Writing_FLA[Student Number]),0),MATCH(VLOOKUP(F$7,'Writing Logic'!$J$7:$K$11,2,FALSE)&amp;" - Per "&amp;VLOOKUP($C$4,'Writing Logic'!$G$8:$H$14,2,FALSE),YES_Writing_ELA[#Headers],0))=0,"",INDEX(_xlfn.VSTACK(YES_Writing_ELA[#Data],YES_Writing_FLA[#Data]),MATCH($A321,_xlfn.VSTACK(YES_Writing_ELA[Student Number],YES_Writing_FLA[Student Number]),0),MATCH(VLOOKUP(F$7,'Writing Logic'!$J$7:$K$11,2,FALSE)&amp;" - Per "&amp;VLOOKUP($C$4,'Writing Logic'!$G$8:$H$14,2,FALSE),YES_Writing_ELA[#Headers],0)))="INS",'Writing Logic'!$B$7,IF(INDEX(_xlfn.VSTACK(YES_Writing_ELA[#Data],YES_Writing_FLA[#Data]),MATCH($A321,_xlfn.VSTACK(YES_Writing_ELA[Student Number],YES_Writing_FLA[Student Number]),0),MATCH(VLOOKUP(F$7,'Writing Logic'!$J$7:$K$11,2,FALSE)&amp;" - Per "&amp;VLOOKUP($C$4,'Writing Logic'!$G$8:$H$14,2,FALSE),YES_Writing_ELA[#Headers],0))=0,"",INDEX(_xlfn.VSTACK(YES_Writing_ELA[#Data],YES_Writing_FLA[#Data]),MATCH($A321,_xlfn.VSTACK(YES_Writing_ELA[Student Number],YES_Writing_FLA[Student Number]),0),MATCH(VLOOKUP(F$7,'Writing Logic'!$J$7:$K$11,2,FALSE)&amp;" - Per "&amp;VLOOKUP($C$4,'Writing Logic'!$G$8:$H$14,2,FALSE),YES_Writing_ELA[#Headers],0)))),"")</f>
        <v/>
      </c>
      <c r="G321" s="138" t="str">
        <f>IFERROR(IF(IF(INDEX(_xlfn.VSTACK(YES_Writing_ELA[#Data],YES_Writing_FLA[#Data]),MATCH($A321,_xlfn.VSTACK(YES_Writing_ELA[Student Number],YES_Writing_FLA[Student Number]),0),MATCH(VLOOKUP(G$7,'Writing Logic'!$J$7:$K$11,2,FALSE)&amp;" - Per "&amp;VLOOKUP($C$4,'Writing Logic'!$G$8:$H$14,2,FALSE),YES_Writing_ELA[#Headers],0))=0,"",INDEX(_xlfn.VSTACK(YES_Writing_ELA[#Data],YES_Writing_FLA[#Data]),MATCH($A321,_xlfn.VSTACK(YES_Writing_ELA[Student Number],YES_Writing_FLA[Student Number]),0),MATCH(VLOOKUP(G$7,'Writing Logic'!$J$7:$K$11,2,FALSE)&amp;" - Per "&amp;VLOOKUP($C$4,'Writing Logic'!$G$8:$H$14,2,FALSE),YES_Writing_ELA[#Headers],0)))="INS",'Writing Logic'!$B$7,IF(INDEX(_xlfn.VSTACK(YES_Writing_ELA[#Data],YES_Writing_FLA[#Data]),MATCH($A321,_xlfn.VSTACK(YES_Writing_ELA[Student Number],YES_Writing_FLA[Student Number]),0),MATCH(VLOOKUP(G$7,'Writing Logic'!$J$7:$K$11,2,FALSE)&amp;" - Per "&amp;VLOOKUP($C$4,'Writing Logic'!$G$8:$H$14,2,FALSE),YES_Writing_ELA[#Headers],0))=0,"",INDEX(_xlfn.VSTACK(YES_Writing_ELA[#Data],YES_Writing_FLA[#Data]),MATCH($A321,_xlfn.VSTACK(YES_Writing_ELA[Student Number],YES_Writing_FLA[Student Number]),0),MATCH(VLOOKUP(G$7,'Writing Logic'!$J$7:$K$11,2,FALSE)&amp;" - Per "&amp;VLOOKUP($C$4,'Writing Logic'!$G$8:$H$14,2,FALSE),YES_Writing_ELA[#Headers],0)))),"")</f>
        <v/>
      </c>
      <c r="H321" s="223" t="str">
        <f>IFERROR(IF(IF(INDEX(_xlfn.VSTACK(YES_Writing_ELA[#Data],YES_Writing_FLA[#Data]),MATCH($A321,_xlfn.VSTACK(YES_Writing_ELA[Student Number],YES_Writing_FLA[Student Number]),0),MATCH(VLOOKUP(H$7,'Writing Logic'!$J$7:$K$11,2,FALSE)&amp;" - Per "&amp;VLOOKUP($C$4,'Writing Logic'!$G$8:$H$14,2,FALSE),YES_Writing_ELA[#Headers],0))=0,"",INDEX(_xlfn.VSTACK(YES_Writing_ELA[#Data],YES_Writing_FLA[#Data]),MATCH($A321,_xlfn.VSTACK(YES_Writing_ELA[Student Number],YES_Writing_FLA[Student Number]),0),MATCH(VLOOKUP(H$7,'Writing Logic'!$J$7:$K$11,2,FALSE)&amp;" - Per "&amp;VLOOKUP($C$4,'Writing Logic'!$G$8:$H$14,2,FALSE),YES_Writing_ELA[#Headers],0)))="INS",'Writing Logic'!$B$7,IF(INDEX(_xlfn.VSTACK(YES_Writing_ELA[#Data],YES_Writing_FLA[#Data]),MATCH($A321,_xlfn.VSTACK(YES_Writing_ELA[Student Number],YES_Writing_FLA[Student Number]),0),MATCH(VLOOKUP(H$7,'Writing Logic'!$J$7:$K$11,2,FALSE)&amp;" - Per "&amp;VLOOKUP($C$4,'Writing Logic'!$G$8:$H$14,2,FALSE),YES_Writing_ELA[#Headers],0))=0,"",INDEX(_xlfn.VSTACK(YES_Writing_ELA[#Data],YES_Writing_FLA[#Data]),MATCH($A321,_xlfn.VSTACK(YES_Writing_ELA[Student Number],YES_Writing_FLA[Student Number]),0),MATCH(VLOOKUP(H$7,'Writing Logic'!$J$7:$K$11,2,FALSE)&amp;" - Per "&amp;VLOOKUP($C$4,'Writing Logic'!$G$8:$H$14,2,FALSE),YES_Writing_ELA[#Headers],0)))),"")</f>
        <v/>
      </c>
      <c r="I321" s="224" t="str" cm="1">
        <f t="array" aca="1" ref="I321" ca="1">IFERROR(
IF($G$3="ELA",
IF(VLOOKUP($A321, YES_Reading_ELA[], COLUMN(INDIRECT("YES_Reading_ELA[Difference - Per "&amp;VLOOKUP($G$4, 'Reading Report Logic'!$A$2:$B$8, 2, FALSE)&amp;"]")), FALSE)="", "",
VLOOKUP($A321,YES_Reading_ELA[], COLUMN(INDIRECT("YES_Reading_ELA[Difference - Per "&amp;VLOOKUP($G$4,'Reading Report Logic'!$A$2:$B$8,2,FALSE)&amp;"]")), FALSE)),
IF($G$3="FLA",
IF(VLOOKUP($A321, YES_Reading_FLA[], COLUMN(INDIRECT("YES_Reading_FLA[Difference - Per "&amp;VLOOKUP($G$4,'Reading Report Logic'!$A$2:$B$8,2,FALSE)&amp;"]")),FALSE)="","",
VLOOKUP($A321,YES_Reading_FLA[],COLUMN(INDIRECT("YES_Reading_FLA[Difference - Per "&amp;VLOOKUP($G$4,'Reading Report Logic'!$A$2:$B$8,2,FALSE)&amp;"]")),FALSE)),
IF($G$3="Combined",
IFERROR(
IF(VLOOKUP($A321, YES_Reading_ELA[], COLUMN(INDIRECT("YES_Reading_ELA[Difference - Per "&amp;VLOOKUP($G$4, 'Reading Report Logic'!$A$2:$B$8,2,FALSE)&amp;"]")), FALSE)="", "",
VLOOKUP($A321,YES_Reading_ELA[],COLUMN(INDIRECT("YES_Reading_ELA[Difference - Per "&amp;VLOOKUP($G$4,'Reading Report Logic'!$A$2:$B$8,2,FALSE)&amp;"]")),FALSE)),
IF(VLOOKUP($A321, YES_Reading_FLA[], COLUMN(INDIRECT("YES_Reading_FLA[Difference - Per "&amp;VLOOKUP($G$4, 'Reading Report Logic'!$A$2:$B$8, 2, FALSE)&amp;"]")),FALSE)="", "", VLOOKUP($A321,YES_Reading_FLA[],COLUMN(INDIRECT("YES_Reading_FLA[Difference - Per "&amp;VLOOKUP($G$4, 'Reading Report Logic'!$A$2:$B$8, 2, FALSE)&amp;"]")),FALSE))),""))),"")</f>
        <v/>
      </c>
    </row>
    <row r="322" spans="1:9" x14ac:dyDescent="0.25">
      <c r="A322" s="137"/>
      <c r="B322" s="137" t="str">
        <f>IFERROR(INDEX(_xlfn.VSTACK(YES_Writing_ELA[#Data], YES_Writing_FLA[#Data]),MATCH($A322,_xlfn.VSTACK(YES_Writing_ELA[Student Number], YES_Writing_FLA[Student Number]),0),MATCH(B$7,YES_Writing_ELA[#Headers],0)),IFERROR(INDEX(_xlfn.VSTACK(YES_Reading_ELA[#Data], YES_Reading_FLA[#Data]),MATCH($A322,_xlfn.VSTACK(YES_Reading_ELA[Student Number], YES_Reading_FLA[Student Number]),0),MATCH(B$7,YES_Reading_ELA[#Headers],0)),""))</f>
        <v/>
      </c>
      <c r="C322" s="137" t="str">
        <f>IFERROR(INDEX(_xlfn.VSTACK(YES_Writing_ELA[#Data], YES_Writing_FLA[#Data]),MATCH($A322,_xlfn.VSTACK(YES_Writing_ELA[Student Number], YES_Writing_FLA[Student Number]),0),MATCH(C$7,YES_Writing_ELA[#Headers],0)),IFERROR(INDEX(_xlfn.VSTACK(YES_Reading_ELA[#Data], YES_Reading_FLA[#Data]),MATCH($A322,_xlfn.VSTACK(YES_Reading_ELA[Student Number], YES_Reading_FLA[Student Number]),0),MATCH(C$7,YES_Reading_ELA[#Headers],0)),""))</f>
        <v/>
      </c>
      <c r="D322" s="138" t="str">
        <f>IFERROR(IF(IF(INDEX(_xlfn.VSTACK(YES_Writing_ELA[#Data],YES_Writing_FLA[#Data]),MATCH($A322,_xlfn.VSTACK(YES_Writing_ELA[Student Number],YES_Writing_FLA[Student Number]),0),MATCH(VLOOKUP(D$7,'Writing Logic'!$J$7:$K$11,2,FALSE)&amp;" - Per "&amp;VLOOKUP($C$4,'Writing Logic'!$G$8:$H$14,2,FALSE),YES_Writing_ELA[#Headers],0))=0,"",INDEX(_xlfn.VSTACK(YES_Writing_ELA[#Data],YES_Writing_FLA[#Data]),MATCH($A322,_xlfn.VSTACK(YES_Writing_ELA[Student Number],YES_Writing_FLA[Student Number]),0),MATCH(VLOOKUP(D$7,'Writing Logic'!$J$7:$K$11,2,FALSE)&amp;" - Per "&amp;VLOOKUP($C$4,'Writing Logic'!$G$8:$H$14,2,FALSE),YES_Writing_ELA[#Headers],0)))="INS",'Writing Logic'!$B$7,IF(INDEX(_xlfn.VSTACK(YES_Writing_ELA[#Data],YES_Writing_FLA[#Data]),MATCH($A322,_xlfn.VSTACK(YES_Writing_ELA[Student Number],YES_Writing_FLA[Student Number]),0),MATCH(VLOOKUP(D$7,'Writing Logic'!$J$7:$K$11,2,FALSE)&amp;" - Per "&amp;VLOOKUP($C$4,'Writing Logic'!$G$8:$H$14,2,FALSE),YES_Writing_ELA[#Headers],0))=0,"",INDEX(_xlfn.VSTACK(YES_Writing_ELA[#Data],YES_Writing_FLA[#Data]),MATCH($A322,_xlfn.VSTACK(YES_Writing_ELA[Student Number],YES_Writing_FLA[Student Number]),0),MATCH(VLOOKUP(D$7,'Writing Logic'!$J$7:$K$11,2,FALSE)&amp;" - Per "&amp;VLOOKUP($C$4,'Writing Logic'!$G$8:$H$14,2,FALSE),YES_Writing_ELA[#Headers],0)))),"")</f>
        <v/>
      </c>
      <c r="E322" s="138" t="str">
        <f>IFERROR(IF(IF(INDEX(_xlfn.VSTACK(YES_Writing_ELA[#Data],YES_Writing_FLA[#Data]),MATCH($A322,_xlfn.VSTACK(YES_Writing_ELA[Student Number],YES_Writing_FLA[Student Number]),0),MATCH(VLOOKUP(E$7,'Writing Logic'!$J$7:$K$11,2,FALSE)&amp;" - Per "&amp;VLOOKUP($C$4,'Writing Logic'!$G$8:$H$14,2,FALSE),YES_Writing_ELA[#Headers],0))=0,"",INDEX(_xlfn.VSTACK(YES_Writing_ELA[#Data],YES_Writing_FLA[#Data]),MATCH($A322,_xlfn.VSTACK(YES_Writing_ELA[Student Number],YES_Writing_FLA[Student Number]),0),MATCH(VLOOKUP(E$7,'Writing Logic'!$J$7:$K$11,2,FALSE)&amp;" - Per "&amp;VLOOKUP($C$4,'Writing Logic'!$G$8:$H$14,2,FALSE),YES_Writing_ELA[#Headers],0)))="INS",'Writing Logic'!$B$7,IF(INDEX(_xlfn.VSTACK(YES_Writing_ELA[#Data],YES_Writing_FLA[#Data]),MATCH($A322,_xlfn.VSTACK(YES_Writing_ELA[Student Number],YES_Writing_FLA[Student Number]),0),MATCH(VLOOKUP(E$7,'Writing Logic'!$J$7:$K$11,2,FALSE)&amp;" - Per "&amp;VLOOKUP($C$4,'Writing Logic'!$G$8:$H$14,2,FALSE),YES_Writing_ELA[#Headers],0))=0,"",INDEX(_xlfn.VSTACK(YES_Writing_ELA[#Data],YES_Writing_FLA[#Data]),MATCH($A322,_xlfn.VSTACK(YES_Writing_ELA[Student Number],YES_Writing_FLA[Student Number]),0),MATCH(VLOOKUP(E$7,'Writing Logic'!$J$7:$K$11,2,FALSE)&amp;" - Per "&amp;VLOOKUP($C$4,'Writing Logic'!$G$8:$H$14,2,FALSE),YES_Writing_ELA[#Headers],0)))),"")</f>
        <v/>
      </c>
      <c r="F322" s="138" t="str">
        <f>IFERROR(IF(IF(INDEX(_xlfn.VSTACK(YES_Writing_ELA[#Data],YES_Writing_FLA[#Data]),MATCH($A322,_xlfn.VSTACK(YES_Writing_ELA[Student Number],YES_Writing_FLA[Student Number]),0),MATCH(VLOOKUP(F$7,'Writing Logic'!$J$7:$K$11,2,FALSE)&amp;" - Per "&amp;VLOOKUP($C$4,'Writing Logic'!$G$8:$H$14,2,FALSE),YES_Writing_ELA[#Headers],0))=0,"",INDEX(_xlfn.VSTACK(YES_Writing_ELA[#Data],YES_Writing_FLA[#Data]),MATCH($A322,_xlfn.VSTACK(YES_Writing_ELA[Student Number],YES_Writing_FLA[Student Number]),0),MATCH(VLOOKUP(F$7,'Writing Logic'!$J$7:$K$11,2,FALSE)&amp;" - Per "&amp;VLOOKUP($C$4,'Writing Logic'!$G$8:$H$14,2,FALSE),YES_Writing_ELA[#Headers],0)))="INS",'Writing Logic'!$B$7,IF(INDEX(_xlfn.VSTACK(YES_Writing_ELA[#Data],YES_Writing_FLA[#Data]),MATCH($A322,_xlfn.VSTACK(YES_Writing_ELA[Student Number],YES_Writing_FLA[Student Number]),0),MATCH(VLOOKUP(F$7,'Writing Logic'!$J$7:$K$11,2,FALSE)&amp;" - Per "&amp;VLOOKUP($C$4,'Writing Logic'!$G$8:$H$14,2,FALSE),YES_Writing_ELA[#Headers],0))=0,"",INDEX(_xlfn.VSTACK(YES_Writing_ELA[#Data],YES_Writing_FLA[#Data]),MATCH($A322,_xlfn.VSTACK(YES_Writing_ELA[Student Number],YES_Writing_FLA[Student Number]),0),MATCH(VLOOKUP(F$7,'Writing Logic'!$J$7:$K$11,2,FALSE)&amp;" - Per "&amp;VLOOKUP($C$4,'Writing Logic'!$G$8:$H$14,2,FALSE),YES_Writing_ELA[#Headers],0)))),"")</f>
        <v/>
      </c>
      <c r="G322" s="138" t="str">
        <f>IFERROR(IF(IF(INDEX(_xlfn.VSTACK(YES_Writing_ELA[#Data],YES_Writing_FLA[#Data]),MATCH($A322,_xlfn.VSTACK(YES_Writing_ELA[Student Number],YES_Writing_FLA[Student Number]),0),MATCH(VLOOKUP(G$7,'Writing Logic'!$J$7:$K$11,2,FALSE)&amp;" - Per "&amp;VLOOKUP($C$4,'Writing Logic'!$G$8:$H$14,2,FALSE),YES_Writing_ELA[#Headers],0))=0,"",INDEX(_xlfn.VSTACK(YES_Writing_ELA[#Data],YES_Writing_FLA[#Data]),MATCH($A322,_xlfn.VSTACK(YES_Writing_ELA[Student Number],YES_Writing_FLA[Student Number]),0),MATCH(VLOOKUP(G$7,'Writing Logic'!$J$7:$K$11,2,FALSE)&amp;" - Per "&amp;VLOOKUP($C$4,'Writing Logic'!$G$8:$H$14,2,FALSE),YES_Writing_ELA[#Headers],0)))="INS",'Writing Logic'!$B$7,IF(INDEX(_xlfn.VSTACK(YES_Writing_ELA[#Data],YES_Writing_FLA[#Data]),MATCH($A322,_xlfn.VSTACK(YES_Writing_ELA[Student Number],YES_Writing_FLA[Student Number]),0),MATCH(VLOOKUP(G$7,'Writing Logic'!$J$7:$K$11,2,FALSE)&amp;" - Per "&amp;VLOOKUP($C$4,'Writing Logic'!$G$8:$H$14,2,FALSE),YES_Writing_ELA[#Headers],0))=0,"",INDEX(_xlfn.VSTACK(YES_Writing_ELA[#Data],YES_Writing_FLA[#Data]),MATCH($A322,_xlfn.VSTACK(YES_Writing_ELA[Student Number],YES_Writing_FLA[Student Number]),0),MATCH(VLOOKUP(G$7,'Writing Logic'!$J$7:$K$11,2,FALSE)&amp;" - Per "&amp;VLOOKUP($C$4,'Writing Logic'!$G$8:$H$14,2,FALSE),YES_Writing_ELA[#Headers],0)))),"")</f>
        <v/>
      </c>
      <c r="H322" s="223" t="str">
        <f>IFERROR(IF(IF(INDEX(_xlfn.VSTACK(YES_Writing_ELA[#Data],YES_Writing_FLA[#Data]),MATCH($A322,_xlfn.VSTACK(YES_Writing_ELA[Student Number],YES_Writing_FLA[Student Number]),0),MATCH(VLOOKUP(H$7,'Writing Logic'!$J$7:$K$11,2,FALSE)&amp;" - Per "&amp;VLOOKUP($C$4,'Writing Logic'!$G$8:$H$14,2,FALSE),YES_Writing_ELA[#Headers],0))=0,"",INDEX(_xlfn.VSTACK(YES_Writing_ELA[#Data],YES_Writing_FLA[#Data]),MATCH($A322,_xlfn.VSTACK(YES_Writing_ELA[Student Number],YES_Writing_FLA[Student Number]),0),MATCH(VLOOKUP(H$7,'Writing Logic'!$J$7:$K$11,2,FALSE)&amp;" - Per "&amp;VLOOKUP($C$4,'Writing Logic'!$G$8:$H$14,2,FALSE),YES_Writing_ELA[#Headers],0)))="INS",'Writing Logic'!$B$7,IF(INDEX(_xlfn.VSTACK(YES_Writing_ELA[#Data],YES_Writing_FLA[#Data]),MATCH($A322,_xlfn.VSTACK(YES_Writing_ELA[Student Number],YES_Writing_FLA[Student Number]),0),MATCH(VLOOKUP(H$7,'Writing Logic'!$J$7:$K$11,2,FALSE)&amp;" - Per "&amp;VLOOKUP($C$4,'Writing Logic'!$G$8:$H$14,2,FALSE),YES_Writing_ELA[#Headers],0))=0,"",INDEX(_xlfn.VSTACK(YES_Writing_ELA[#Data],YES_Writing_FLA[#Data]),MATCH($A322,_xlfn.VSTACK(YES_Writing_ELA[Student Number],YES_Writing_FLA[Student Number]),0),MATCH(VLOOKUP(H$7,'Writing Logic'!$J$7:$K$11,2,FALSE)&amp;" - Per "&amp;VLOOKUP($C$4,'Writing Logic'!$G$8:$H$14,2,FALSE),YES_Writing_ELA[#Headers],0)))),"")</f>
        <v/>
      </c>
      <c r="I322" s="224" t="str" cm="1">
        <f t="array" aca="1" ref="I322" ca="1">IFERROR(
IF($G$3="ELA",
IF(VLOOKUP($A322, YES_Reading_ELA[], COLUMN(INDIRECT("YES_Reading_ELA[Difference - Per "&amp;VLOOKUP($G$4, 'Reading Report Logic'!$A$2:$B$8, 2, FALSE)&amp;"]")), FALSE)="", "",
VLOOKUP($A322,YES_Reading_ELA[], COLUMN(INDIRECT("YES_Reading_ELA[Difference - Per "&amp;VLOOKUP($G$4,'Reading Report Logic'!$A$2:$B$8,2,FALSE)&amp;"]")), FALSE)),
IF($G$3="FLA",
IF(VLOOKUP($A322, YES_Reading_FLA[], COLUMN(INDIRECT("YES_Reading_FLA[Difference - Per "&amp;VLOOKUP($G$4,'Reading Report Logic'!$A$2:$B$8,2,FALSE)&amp;"]")),FALSE)="","",
VLOOKUP($A322,YES_Reading_FLA[],COLUMN(INDIRECT("YES_Reading_FLA[Difference - Per "&amp;VLOOKUP($G$4,'Reading Report Logic'!$A$2:$B$8,2,FALSE)&amp;"]")),FALSE)),
IF($G$3="Combined",
IFERROR(
IF(VLOOKUP($A322, YES_Reading_ELA[], COLUMN(INDIRECT("YES_Reading_ELA[Difference - Per "&amp;VLOOKUP($G$4, 'Reading Report Logic'!$A$2:$B$8,2,FALSE)&amp;"]")), FALSE)="", "",
VLOOKUP($A322,YES_Reading_ELA[],COLUMN(INDIRECT("YES_Reading_ELA[Difference - Per "&amp;VLOOKUP($G$4,'Reading Report Logic'!$A$2:$B$8,2,FALSE)&amp;"]")),FALSE)),
IF(VLOOKUP($A322, YES_Reading_FLA[], COLUMN(INDIRECT("YES_Reading_FLA[Difference - Per "&amp;VLOOKUP($G$4, 'Reading Report Logic'!$A$2:$B$8, 2, FALSE)&amp;"]")),FALSE)="", "", VLOOKUP($A322,YES_Reading_FLA[],COLUMN(INDIRECT("YES_Reading_FLA[Difference - Per "&amp;VLOOKUP($G$4, 'Reading Report Logic'!$A$2:$B$8, 2, FALSE)&amp;"]")),FALSE))),""))),"")</f>
        <v/>
      </c>
    </row>
    <row r="323" spans="1:9" x14ac:dyDescent="0.25">
      <c r="A323" s="137"/>
      <c r="B323" s="137" t="str">
        <f>IFERROR(INDEX(_xlfn.VSTACK(YES_Writing_ELA[#Data], YES_Writing_FLA[#Data]),MATCH($A323,_xlfn.VSTACK(YES_Writing_ELA[Student Number], YES_Writing_FLA[Student Number]),0),MATCH(B$7,YES_Writing_ELA[#Headers],0)),IFERROR(INDEX(_xlfn.VSTACK(YES_Reading_ELA[#Data], YES_Reading_FLA[#Data]),MATCH($A323,_xlfn.VSTACK(YES_Reading_ELA[Student Number], YES_Reading_FLA[Student Number]),0),MATCH(B$7,YES_Reading_ELA[#Headers],0)),""))</f>
        <v/>
      </c>
      <c r="C323" s="137" t="str">
        <f>IFERROR(INDEX(_xlfn.VSTACK(YES_Writing_ELA[#Data], YES_Writing_FLA[#Data]),MATCH($A323,_xlfn.VSTACK(YES_Writing_ELA[Student Number], YES_Writing_FLA[Student Number]),0),MATCH(C$7,YES_Writing_ELA[#Headers],0)),IFERROR(INDEX(_xlfn.VSTACK(YES_Reading_ELA[#Data], YES_Reading_FLA[#Data]),MATCH($A323,_xlfn.VSTACK(YES_Reading_ELA[Student Number], YES_Reading_FLA[Student Number]),0),MATCH(C$7,YES_Reading_ELA[#Headers],0)),""))</f>
        <v/>
      </c>
      <c r="D323" s="138" t="str">
        <f>IFERROR(IF(IF(INDEX(_xlfn.VSTACK(YES_Writing_ELA[#Data],YES_Writing_FLA[#Data]),MATCH($A323,_xlfn.VSTACK(YES_Writing_ELA[Student Number],YES_Writing_FLA[Student Number]),0),MATCH(VLOOKUP(D$7,'Writing Logic'!$J$7:$K$11,2,FALSE)&amp;" - Per "&amp;VLOOKUP($C$4,'Writing Logic'!$G$8:$H$14,2,FALSE),YES_Writing_ELA[#Headers],0))=0,"",INDEX(_xlfn.VSTACK(YES_Writing_ELA[#Data],YES_Writing_FLA[#Data]),MATCH($A323,_xlfn.VSTACK(YES_Writing_ELA[Student Number],YES_Writing_FLA[Student Number]),0),MATCH(VLOOKUP(D$7,'Writing Logic'!$J$7:$K$11,2,FALSE)&amp;" - Per "&amp;VLOOKUP($C$4,'Writing Logic'!$G$8:$H$14,2,FALSE),YES_Writing_ELA[#Headers],0)))="INS",'Writing Logic'!$B$7,IF(INDEX(_xlfn.VSTACK(YES_Writing_ELA[#Data],YES_Writing_FLA[#Data]),MATCH($A323,_xlfn.VSTACK(YES_Writing_ELA[Student Number],YES_Writing_FLA[Student Number]),0),MATCH(VLOOKUP(D$7,'Writing Logic'!$J$7:$K$11,2,FALSE)&amp;" - Per "&amp;VLOOKUP($C$4,'Writing Logic'!$G$8:$H$14,2,FALSE),YES_Writing_ELA[#Headers],0))=0,"",INDEX(_xlfn.VSTACK(YES_Writing_ELA[#Data],YES_Writing_FLA[#Data]),MATCH($A323,_xlfn.VSTACK(YES_Writing_ELA[Student Number],YES_Writing_FLA[Student Number]),0),MATCH(VLOOKUP(D$7,'Writing Logic'!$J$7:$K$11,2,FALSE)&amp;" - Per "&amp;VLOOKUP($C$4,'Writing Logic'!$G$8:$H$14,2,FALSE),YES_Writing_ELA[#Headers],0)))),"")</f>
        <v/>
      </c>
      <c r="E323" s="138" t="str">
        <f>IFERROR(IF(IF(INDEX(_xlfn.VSTACK(YES_Writing_ELA[#Data],YES_Writing_FLA[#Data]),MATCH($A323,_xlfn.VSTACK(YES_Writing_ELA[Student Number],YES_Writing_FLA[Student Number]),0),MATCH(VLOOKUP(E$7,'Writing Logic'!$J$7:$K$11,2,FALSE)&amp;" - Per "&amp;VLOOKUP($C$4,'Writing Logic'!$G$8:$H$14,2,FALSE),YES_Writing_ELA[#Headers],0))=0,"",INDEX(_xlfn.VSTACK(YES_Writing_ELA[#Data],YES_Writing_FLA[#Data]),MATCH($A323,_xlfn.VSTACK(YES_Writing_ELA[Student Number],YES_Writing_FLA[Student Number]),0),MATCH(VLOOKUP(E$7,'Writing Logic'!$J$7:$K$11,2,FALSE)&amp;" - Per "&amp;VLOOKUP($C$4,'Writing Logic'!$G$8:$H$14,2,FALSE),YES_Writing_ELA[#Headers],0)))="INS",'Writing Logic'!$B$7,IF(INDEX(_xlfn.VSTACK(YES_Writing_ELA[#Data],YES_Writing_FLA[#Data]),MATCH($A323,_xlfn.VSTACK(YES_Writing_ELA[Student Number],YES_Writing_FLA[Student Number]),0),MATCH(VLOOKUP(E$7,'Writing Logic'!$J$7:$K$11,2,FALSE)&amp;" - Per "&amp;VLOOKUP($C$4,'Writing Logic'!$G$8:$H$14,2,FALSE),YES_Writing_ELA[#Headers],0))=0,"",INDEX(_xlfn.VSTACK(YES_Writing_ELA[#Data],YES_Writing_FLA[#Data]),MATCH($A323,_xlfn.VSTACK(YES_Writing_ELA[Student Number],YES_Writing_FLA[Student Number]),0),MATCH(VLOOKUP(E$7,'Writing Logic'!$J$7:$K$11,2,FALSE)&amp;" - Per "&amp;VLOOKUP($C$4,'Writing Logic'!$G$8:$H$14,2,FALSE),YES_Writing_ELA[#Headers],0)))),"")</f>
        <v/>
      </c>
      <c r="F323" s="138" t="str">
        <f>IFERROR(IF(IF(INDEX(_xlfn.VSTACK(YES_Writing_ELA[#Data],YES_Writing_FLA[#Data]),MATCH($A323,_xlfn.VSTACK(YES_Writing_ELA[Student Number],YES_Writing_FLA[Student Number]),0),MATCH(VLOOKUP(F$7,'Writing Logic'!$J$7:$K$11,2,FALSE)&amp;" - Per "&amp;VLOOKUP($C$4,'Writing Logic'!$G$8:$H$14,2,FALSE),YES_Writing_ELA[#Headers],0))=0,"",INDEX(_xlfn.VSTACK(YES_Writing_ELA[#Data],YES_Writing_FLA[#Data]),MATCH($A323,_xlfn.VSTACK(YES_Writing_ELA[Student Number],YES_Writing_FLA[Student Number]),0),MATCH(VLOOKUP(F$7,'Writing Logic'!$J$7:$K$11,2,FALSE)&amp;" - Per "&amp;VLOOKUP($C$4,'Writing Logic'!$G$8:$H$14,2,FALSE),YES_Writing_ELA[#Headers],0)))="INS",'Writing Logic'!$B$7,IF(INDEX(_xlfn.VSTACK(YES_Writing_ELA[#Data],YES_Writing_FLA[#Data]),MATCH($A323,_xlfn.VSTACK(YES_Writing_ELA[Student Number],YES_Writing_FLA[Student Number]),0),MATCH(VLOOKUP(F$7,'Writing Logic'!$J$7:$K$11,2,FALSE)&amp;" - Per "&amp;VLOOKUP($C$4,'Writing Logic'!$G$8:$H$14,2,FALSE),YES_Writing_ELA[#Headers],0))=0,"",INDEX(_xlfn.VSTACK(YES_Writing_ELA[#Data],YES_Writing_FLA[#Data]),MATCH($A323,_xlfn.VSTACK(YES_Writing_ELA[Student Number],YES_Writing_FLA[Student Number]),0),MATCH(VLOOKUP(F$7,'Writing Logic'!$J$7:$K$11,2,FALSE)&amp;" - Per "&amp;VLOOKUP($C$4,'Writing Logic'!$G$8:$H$14,2,FALSE),YES_Writing_ELA[#Headers],0)))),"")</f>
        <v/>
      </c>
      <c r="G323" s="138" t="str">
        <f>IFERROR(IF(IF(INDEX(_xlfn.VSTACK(YES_Writing_ELA[#Data],YES_Writing_FLA[#Data]),MATCH($A323,_xlfn.VSTACK(YES_Writing_ELA[Student Number],YES_Writing_FLA[Student Number]),0),MATCH(VLOOKUP(G$7,'Writing Logic'!$J$7:$K$11,2,FALSE)&amp;" - Per "&amp;VLOOKUP($C$4,'Writing Logic'!$G$8:$H$14,2,FALSE),YES_Writing_ELA[#Headers],0))=0,"",INDEX(_xlfn.VSTACK(YES_Writing_ELA[#Data],YES_Writing_FLA[#Data]),MATCH($A323,_xlfn.VSTACK(YES_Writing_ELA[Student Number],YES_Writing_FLA[Student Number]),0),MATCH(VLOOKUP(G$7,'Writing Logic'!$J$7:$K$11,2,FALSE)&amp;" - Per "&amp;VLOOKUP($C$4,'Writing Logic'!$G$8:$H$14,2,FALSE),YES_Writing_ELA[#Headers],0)))="INS",'Writing Logic'!$B$7,IF(INDEX(_xlfn.VSTACK(YES_Writing_ELA[#Data],YES_Writing_FLA[#Data]),MATCH($A323,_xlfn.VSTACK(YES_Writing_ELA[Student Number],YES_Writing_FLA[Student Number]),0),MATCH(VLOOKUP(G$7,'Writing Logic'!$J$7:$K$11,2,FALSE)&amp;" - Per "&amp;VLOOKUP($C$4,'Writing Logic'!$G$8:$H$14,2,FALSE),YES_Writing_ELA[#Headers],0))=0,"",INDEX(_xlfn.VSTACK(YES_Writing_ELA[#Data],YES_Writing_FLA[#Data]),MATCH($A323,_xlfn.VSTACK(YES_Writing_ELA[Student Number],YES_Writing_FLA[Student Number]),0),MATCH(VLOOKUP(G$7,'Writing Logic'!$J$7:$K$11,2,FALSE)&amp;" - Per "&amp;VLOOKUP($C$4,'Writing Logic'!$G$8:$H$14,2,FALSE),YES_Writing_ELA[#Headers],0)))),"")</f>
        <v/>
      </c>
      <c r="H323" s="223" t="str">
        <f>IFERROR(IF(IF(INDEX(_xlfn.VSTACK(YES_Writing_ELA[#Data],YES_Writing_FLA[#Data]),MATCH($A323,_xlfn.VSTACK(YES_Writing_ELA[Student Number],YES_Writing_FLA[Student Number]),0),MATCH(VLOOKUP(H$7,'Writing Logic'!$J$7:$K$11,2,FALSE)&amp;" - Per "&amp;VLOOKUP($C$4,'Writing Logic'!$G$8:$H$14,2,FALSE),YES_Writing_ELA[#Headers],0))=0,"",INDEX(_xlfn.VSTACK(YES_Writing_ELA[#Data],YES_Writing_FLA[#Data]),MATCH($A323,_xlfn.VSTACK(YES_Writing_ELA[Student Number],YES_Writing_FLA[Student Number]),0),MATCH(VLOOKUP(H$7,'Writing Logic'!$J$7:$K$11,2,FALSE)&amp;" - Per "&amp;VLOOKUP($C$4,'Writing Logic'!$G$8:$H$14,2,FALSE),YES_Writing_ELA[#Headers],0)))="INS",'Writing Logic'!$B$7,IF(INDEX(_xlfn.VSTACK(YES_Writing_ELA[#Data],YES_Writing_FLA[#Data]),MATCH($A323,_xlfn.VSTACK(YES_Writing_ELA[Student Number],YES_Writing_FLA[Student Number]),0),MATCH(VLOOKUP(H$7,'Writing Logic'!$J$7:$K$11,2,FALSE)&amp;" - Per "&amp;VLOOKUP($C$4,'Writing Logic'!$G$8:$H$14,2,FALSE),YES_Writing_ELA[#Headers],0))=0,"",INDEX(_xlfn.VSTACK(YES_Writing_ELA[#Data],YES_Writing_FLA[#Data]),MATCH($A323,_xlfn.VSTACK(YES_Writing_ELA[Student Number],YES_Writing_FLA[Student Number]),0),MATCH(VLOOKUP(H$7,'Writing Logic'!$J$7:$K$11,2,FALSE)&amp;" - Per "&amp;VLOOKUP($C$4,'Writing Logic'!$G$8:$H$14,2,FALSE),YES_Writing_ELA[#Headers],0)))),"")</f>
        <v/>
      </c>
      <c r="I323" s="224" t="str" cm="1">
        <f t="array" aca="1" ref="I323" ca="1">IFERROR(
IF($G$3="ELA",
IF(VLOOKUP($A323, YES_Reading_ELA[], COLUMN(INDIRECT("YES_Reading_ELA[Difference - Per "&amp;VLOOKUP($G$4, 'Reading Report Logic'!$A$2:$B$8, 2, FALSE)&amp;"]")), FALSE)="", "",
VLOOKUP($A323,YES_Reading_ELA[], COLUMN(INDIRECT("YES_Reading_ELA[Difference - Per "&amp;VLOOKUP($G$4,'Reading Report Logic'!$A$2:$B$8,2,FALSE)&amp;"]")), FALSE)),
IF($G$3="FLA",
IF(VLOOKUP($A323, YES_Reading_FLA[], COLUMN(INDIRECT("YES_Reading_FLA[Difference - Per "&amp;VLOOKUP($G$4,'Reading Report Logic'!$A$2:$B$8,2,FALSE)&amp;"]")),FALSE)="","",
VLOOKUP($A323,YES_Reading_FLA[],COLUMN(INDIRECT("YES_Reading_FLA[Difference - Per "&amp;VLOOKUP($G$4,'Reading Report Logic'!$A$2:$B$8,2,FALSE)&amp;"]")),FALSE)),
IF($G$3="Combined",
IFERROR(
IF(VLOOKUP($A323, YES_Reading_ELA[], COLUMN(INDIRECT("YES_Reading_ELA[Difference - Per "&amp;VLOOKUP($G$4, 'Reading Report Logic'!$A$2:$B$8,2,FALSE)&amp;"]")), FALSE)="", "",
VLOOKUP($A323,YES_Reading_ELA[],COLUMN(INDIRECT("YES_Reading_ELA[Difference - Per "&amp;VLOOKUP($G$4,'Reading Report Logic'!$A$2:$B$8,2,FALSE)&amp;"]")),FALSE)),
IF(VLOOKUP($A323, YES_Reading_FLA[], COLUMN(INDIRECT("YES_Reading_FLA[Difference - Per "&amp;VLOOKUP($G$4, 'Reading Report Logic'!$A$2:$B$8, 2, FALSE)&amp;"]")),FALSE)="", "", VLOOKUP($A323,YES_Reading_FLA[],COLUMN(INDIRECT("YES_Reading_FLA[Difference - Per "&amp;VLOOKUP($G$4, 'Reading Report Logic'!$A$2:$B$8, 2, FALSE)&amp;"]")),FALSE))),""))),"")</f>
        <v/>
      </c>
    </row>
    <row r="324" spans="1:9" x14ac:dyDescent="0.25">
      <c r="A324" s="137"/>
      <c r="B324" s="137" t="str">
        <f>IFERROR(INDEX(_xlfn.VSTACK(YES_Writing_ELA[#Data], YES_Writing_FLA[#Data]),MATCH($A324,_xlfn.VSTACK(YES_Writing_ELA[Student Number], YES_Writing_FLA[Student Number]),0),MATCH(B$7,YES_Writing_ELA[#Headers],0)),IFERROR(INDEX(_xlfn.VSTACK(YES_Reading_ELA[#Data], YES_Reading_FLA[#Data]),MATCH($A324,_xlfn.VSTACK(YES_Reading_ELA[Student Number], YES_Reading_FLA[Student Number]),0),MATCH(B$7,YES_Reading_ELA[#Headers],0)),""))</f>
        <v/>
      </c>
      <c r="C324" s="137" t="str">
        <f>IFERROR(INDEX(_xlfn.VSTACK(YES_Writing_ELA[#Data], YES_Writing_FLA[#Data]),MATCH($A324,_xlfn.VSTACK(YES_Writing_ELA[Student Number], YES_Writing_FLA[Student Number]),0),MATCH(C$7,YES_Writing_ELA[#Headers],0)),IFERROR(INDEX(_xlfn.VSTACK(YES_Reading_ELA[#Data], YES_Reading_FLA[#Data]),MATCH($A324,_xlfn.VSTACK(YES_Reading_ELA[Student Number], YES_Reading_FLA[Student Number]),0),MATCH(C$7,YES_Reading_ELA[#Headers],0)),""))</f>
        <v/>
      </c>
      <c r="D324" s="138" t="str">
        <f>IFERROR(IF(IF(INDEX(_xlfn.VSTACK(YES_Writing_ELA[#Data],YES_Writing_FLA[#Data]),MATCH($A324,_xlfn.VSTACK(YES_Writing_ELA[Student Number],YES_Writing_FLA[Student Number]),0),MATCH(VLOOKUP(D$7,'Writing Logic'!$J$7:$K$11,2,FALSE)&amp;" - Per "&amp;VLOOKUP($C$4,'Writing Logic'!$G$8:$H$14,2,FALSE),YES_Writing_ELA[#Headers],0))=0,"",INDEX(_xlfn.VSTACK(YES_Writing_ELA[#Data],YES_Writing_FLA[#Data]),MATCH($A324,_xlfn.VSTACK(YES_Writing_ELA[Student Number],YES_Writing_FLA[Student Number]),0),MATCH(VLOOKUP(D$7,'Writing Logic'!$J$7:$K$11,2,FALSE)&amp;" - Per "&amp;VLOOKUP($C$4,'Writing Logic'!$G$8:$H$14,2,FALSE),YES_Writing_ELA[#Headers],0)))="INS",'Writing Logic'!$B$7,IF(INDEX(_xlfn.VSTACK(YES_Writing_ELA[#Data],YES_Writing_FLA[#Data]),MATCH($A324,_xlfn.VSTACK(YES_Writing_ELA[Student Number],YES_Writing_FLA[Student Number]),0),MATCH(VLOOKUP(D$7,'Writing Logic'!$J$7:$K$11,2,FALSE)&amp;" - Per "&amp;VLOOKUP($C$4,'Writing Logic'!$G$8:$H$14,2,FALSE),YES_Writing_ELA[#Headers],0))=0,"",INDEX(_xlfn.VSTACK(YES_Writing_ELA[#Data],YES_Writing_FLA[#Data]),MATCH($A324,_xlfn.VSTACK(YES_Writing_ELA[Student Number],YES_Writing_FLA[Student Number]),0),MATCH(VLOOKUP(D$7,'Writing Logic'!$J$7:$K$11,2,FALSE)&amp;" - Per "&amp;VLOOKUP($C$4,'Writing Logic'!$G$8:$H$14,2,FALSE),YES_Writing_ELA[#Headers],0)))),"")</f>
        <v/>
      </c>
      <c r="E324" s="138" t="str">
        <f>IFERROR(IF(IF(INDEX(_xlfn.VSTACK(YES_Writing_ELA[#Data],YES_Writing_FLA[#Data]),MATCH($A324,_xlfn.VSTACK(YES_Writing_ELA[Student Number],YES_Writing_FLA[Student Number]),0),MATCH(VLOOKUP(E$7,'Writing Logic'!$J$7:$K$11,2,FALSE)&amp;" - Per "&amp;VLOOKUP($C$4,'Writing Logic'!$G$8:$H$14,2,FALSE),YES_Writing_ELA[#Headers],0))=0,"",INDEX(_xlfn.VSTACK(YES_Writing_ELA[#Data],YES_Writing_FLA[#Data]),MATCH($A324,_xlfn.VSTACK(YES_Writing_ELA[Student Number],YES_Writing_FLA[Student Number]),0),MATCH(VLOOKUP(E$7,'Writing Logic'!$J$7:$K$11,2,FALSE)&amp;" - Per "&amp;VLOOKUP($C$4,'Writing Logic'!$G$8:$H$14,2,FALSE),YES_Writing_ELA[#Headers],0)))="INS",'Writing Logic'!$B$7,IF(INDEX(_xlfn.VSTACK(YES_Writing_ELA[#Data],YES_Writing_FLA[#Data]),MATCH($A324,_xlfn.VSTACK(YES_Writing_ELA[Student Number],YES_Writing_FLA[Student Number]),0),MATCH(VLOOKUP(E$7,'Writing Logic'!$J$7:$K$11,2,FALSE)&amp;" - Per "&amp;VLOOKUP($C$4,'Writing Logic'!$G$8:$H$14,2,FALSE),YES_Writing_ELA[#Headers],0))=0,"",INDEX(_xlfn.VSTACK(YES_Writing_ELA[#Data],YES_Writing_FLA[#Data]),MATCH($A324,_xlfn.VSTACK(YES_Writing_ELA[Student Number],YES_Writing_FLA[Student Number]),0),MATCH(VLOOKUP(E$7,'Writing Logic'!$J$7:$K$11,2,FALSE)&amp;" - Per "&amp;VLOOKUP($C$4,'Writing Logic'!$G$8:$H$14,2,FALSE),YES_Writing_ELA[#Headers],0)))),"")</f>
        <v/>
      </c>
      <c r="F324" s="138" t="str">
        <f>IFERROR(IF(IF(INDEX(_xlfn.VSTACK(YES_Writing_ELA[#Data],YES_Writing_FLA[#Data]),MATCH($A324,_xlfn.VSTACK(YES_Writing_ELA[Student Number],YES_Writing_FLA[Student Number]),0),MATCH(VLOOKUP(F$7,'Writing Logic'!$J$7:$K$11,2,FALSE)&amp;" - Per "&amp;VLOOKUP($C$4,'Writing Logic'!$G$8:$H$14,2,FALSE),YES_Writing_ELA[#Headers],0))=0,"",INDEX(_xlfn.VSTACK(YES_Writing_ELA[#Data],YES_Writing_FLA[#Data]),MATCH($A324,_xlfn.VSTACK(YES_Writing_ELA[Student Number],YES_Writing_FLA[Student Number]),0),MATCH(VLOOKUP(F$7,'Writing Logic'!$J$7:$K$11,2,FALSE)&amp;" - Per "&amp;VLOOKUP($C$4,'Writing Logic'!$G$8:$H$14,2,FALSE),YES_Writing_ELA[#Headers],0)))="INS",'Writing Logic'!$B$7,IF(INDEX(_xlfn.VSTACK(YES_Writing_ELA[#Data],YES_Writing_FLA[#Data]),MATCH($A324,_xlfn.VSTACK(YES_Writing_ELA[Student Number],YES_Writing_FLA[Student Number]),0),MATCH(VLOOKUP(F$7,'Writing Logic'!$J$7:$K$11,2,FALSE)&amp;" - Per "&amp;VLOOKUP($C$4,'Writing Logic'!$G$8:$H$14,2,FALSE),YES_Writing_ELA[#Headers],0))=0,"",INDEX(_xlfn.VSTACK(YES_Writing_ELA[#Data],YES_Writing_FLA[#Data]),MATCH($A324,_xlfn.VSTACK(YES_Writing_ELA[Student Number],YES_Writing_FLA[Student Number]),0),MATCH(VLOOKUP(F$7,'Writing Logic'!$J$7:$K$11,2,FALSE)&amp;" - Per "&amp;VLOOKUP($C$4,'Writing Logic'!$G$8:$H$14,2,FALSE),YES_Writing_ELA[#Headers],0)))),"")</f>
        <v/>
      </c>
      <c r="G324" s="138" t="str">
        <f>IFERROR(IF(IF(INDEX(_xlfn.VSTACK(YES_Writing_ELA[#Data],YES_Writing_FLA[#Data]),MATCH($A324,_xlfn.VSTACK(YES_Writing_ELA[Student Number],YES_Writing_FLA[Student Number]),0),MATCH(VLOOKUP(G$7,'Writing Logic'!$J$7:$K$11,2,FALSE)&amp;" - Per "&amp;VLOOKUP($C$4,'Writing Logic'!$G$8:$H$14,2,FALSE),YES_Writing_ELA[#Headers],0))=0,"",INDEX(_xlfn.VSTACK(YES_Writing_ELA[#Data],YES_Writing_FLA[#Data]),MATCH($A324,_xlfn.VSTACK(YES_Writing_ELA[Student Number],YES_Writing_FLA[Student Number]),0),MATCH(VLOOKUP(G$7,'Writing Logic'!$J$7:$K$11,2,FALSE)&amp;" - Per "&amp;VLOOKUP($C$4,'Writing Logic'!$G$8:$H$14,2,FALSE),YES_Writing_ELA[#Headers],0)))="INS",'Writing Logic'!$B$7,IF(INDEX(_xlfn.VSTACK(YES_Writing_ELA[#Data],YES_Writing_FLA[#Data]),MATCH($A324,_xlfn.VSTACK(YES_Writing_ELA[Student Number],YES_Writing_FLA[Student Number]),0),MATCH(VLOOKUP(G$7,'Writing Logic'!$J$7:$K$11,2,FALSE)&amp;" - Per "&amp;VLOOKUP($C$4,'Writing Logic'!$G$8:$H$14,2,FALSE),YES_Writing_ELA[#Headers],0))=0,"",INDEX(_xlfn.VSTACK(YES_Writing_ELA[#Data],YES_Writing_FLA[#Data]),MATCH($A324,_xlfn.VSTACK(YES_Writing_ELA[Student Number],YES_Writing_FLA[Student Number]),0),MATCH(VLOOKUP(G$7,'Writing Logic'!$J$7:$K$11,2,FALSE)&amp;" - Per "&amp;VLOOKUP($C$4,'Writing Logic'!$G$8:$H$14,2,FALSE),YES_Writing_ELA[#Headers],0)))),"")</f>
        <v/>
      </c>
      <c r="H324" s="223" t="str">
        <f>IFERROR(IF(IF(INDEX(_xlfn.VSTACK(YES_Writing_ELA[#Data],YES_Writing_FLA[#Data]),MATCH($A324,_xlfn.VSTACK(YES_Writing_ELA[Student Number],YES_Writing_FLA[Student Number]),0),MATCH(VLOOKUP(H$7,'Writing Logic'!$J$7:$K$11,2,FALSE)&amp;" - Per "&amp;VLOOKUP($C$4,'Writing Logic'!$G$8:$H$14,2,FALSE),YES_Writing_ELA[#Headers],0))=0,"",INDEX(_xlfn.VSTACK(YES_Writing_ELA[#Data],YES_Writing_FLA[#Data]),MATCH($A324,_xlfn.VSTACK(YES_Writing_ELA[Student Number],YES_Writing_FLA[Student Number]),0),MATCH(VLOOKUP(H$7,'Writing Logic'!$J$7:$K$11,2,FALSE)&amp;" - Per "&amp;VLOOKUP($C$4,'Writing Logic'!$G$8:$H$14,2,FALSE),YES_Writing_ELA[#Headers],0)))="INS",'Writing Logic'!$B$7,IF(INDEX(_xlfn.VSTACK(YES_Writing_ELA[#Data],YES_Writing_FLA[#Data]),MATCH($A324,_xlfn.VSTACK(YES_Writing_ELA[Student Number],YES_Writing_FLA[Student Number]),0),MATCH(VLOOKUP(H$7,'Writing Logic'!$J$7:$K$11,2,FALSE)&amp;" - Per "&amp;VLOOKUP($C$4,'Writing Logic'!$G$8:$H$14,2,FALSE),YES_Writing_ELA[#Headers],0))=0,"",INDEX(_xlfn.VSTACK(YES_Writing_ELA[#Data],YES_Writing_FLA[#Data]),MATCH($A324,_xlfn.VSTACK(YES_Writing_ELA[Student Number],YES_Writing_FLA[Student Number]),0),MATCH(VLOOKUP(H$7,'Writing Logic'!$J$7:$K$11,2,FALSE)&amp;" - Per "&amp;VLOOKUP($C$4,'Writing Logic'!$G$8:$H$14,2,FALSE),YES_Writing_ELA[#Headers],0)))),"")</f>
        <v/>
      </c>
      <c r="I324" s="224" t="str" cm="1">
        <f t="array" aca="1" ref="I324" ca="1">IFERROR(
IF($G$3="ELA",
IF(VLOOKUP($A324, YES_Reading_ELA[], COLUMN(INDIRECT("YES_Reading_ELA[Difference - Per "&amp;VLOOKUP($G$4, 'Reading Report Logic'!$A$2:$B$8, 2, FALSE)&amp;"]")), FALSE)="", "",
VLOOKUP($A324,YES_Reading_ELA[], COLUMN(INDIRECT("YES_Reading_ELA[Difference - Per "&amp;VLOOKUP($G$4,'Reading Report Logic'!$A$2:$B$8,2,FALSE)&amp;"]")), FALSE)),
IF($G$3="FLA",
IF(VLOOKUP($A324, YES_Reading_FLA[], COLUMN(INDIRECT("YES_Reading_FLA[Difference - Per "&amp;VLOOKUP($G$4,'Reading Report Logic'!$A$2:$B$8,2,FALSE)&amp;"]")),FALSE)="","",
VLOOKUP($A324,YES_Reading_FLA[],COLUMN(INDIRECT("YES_Reading_FLA[Difference - Per "&amp;VLOOKUP($G$4,'Reading Report Logic'!$A$2:$B$8,2,FALSE)&amp;"]")),FALSE)),
IF($G$3="Combined",
IFERROR(
IF(VLOOKUP($A324, YES_Reading_ELA[], COLUMN(INDIRECT("YES_Reading_ELA[Difference - Per "&amp;VLOOKUP($G$4, 'Reading Report Logic'!$A$2:$B$8,2,FALSE)&amp;"]")), FALSE)="", "",
VLOOKUP($A324,YES_Reading_ELA[],COLUMN(INDIRECT("YES_Reading_ELA[Difference - Per "&amp;VLOOKUP($G$4,'Reading Report Logic'!$A$2:$B$8,2,FALSE)&amp;"]")),FALSE)),
IF(VLOOKUP($A324, YES_Reading_FLA[], COLUMN(INDIRECT("YES_Reading_FLA[Difference - Per "&amp;VLOOKUP($G$4, 'Reading Report Logic'!$A$2:$B$8, 2, FALSE)&amp;"]")),FALSE)="", "", VLOOKUP($A324,YES_Reading_FLA[],COLUMN(INDIRECT("YES_Reading_FLA[Difference - Per "&amp;VLOOKUP($G$4, 'Reading Report Logic'!$A$2:$B$8, 2, FALSE)&amp;"]")),FALSE))),""))),"")</f>
        <v/>
      </c>
    </row>
    <row r="325" spans="1:9" x14ac:dyDescent="0.25">
      <c r="A325" s="137"/>
      <c r="B325" s="137" t="str">
        <f>IFERROR(INDEX(_xlfn.VSTACK(YES_Writing_ELA[#Data], YES_Writing_FLA[#Data]),MATCH($A325,_xlfn.VSTACK(YES_Writing_ELA[Student Number], YES_Writing_FLA[Student Number]),0),MATCH(B$7,YES_Writing_ELA[#Headers],0)),IFERROR(INDEX(_xlfn.VSTACK(YES_Reading_ELA[#Data], YES_Reading_FLA[#Data]),MATCH($A325,_xlfn.VSTACK(YES_Reading_ELA[Student Number], YES_Reading_FLA[Student Number]),0),MATCH(B$7,YES_Reading_ELA[#Headers],0)),""))</f>
        <v/>
      </c>
      <c r="C325" s="137" t="str">
        <f>IFERROR(INDEX(_xlfn.VSTACK(YES_Writing_ELA[#Data], YES_Writing_FLA[#Data]),MATCH($A325,_xlfn.VSTACK(YES_Writing_ELA[Student Number], YES_Writing_FLA[Student Number]),0),MATCH(C$7,YES_Writing_ELA[#Headers],0)),IFERROR(INDEX(_xlfn.VSTACK(YES_Reading_ELA[#Data], YES_Reading_FLA[#Data]),MATCH($A325,_xlfn.VSTACK(YES_Reading_ELA[Student Number], YES_Reading_FLA[Student Number]),0),MATCH(C$7,YES_Reading_ELA[#Headers],0)),""))</f>
        <v/>
      </c>
      <c r="D325" s="138" t="str">
        <f>IFERROR(IF(IF(INDEX(_xlfn.VSTACK(YES_Writing_ELA[#Data],YES_Writing_FLA[#Data]),MATCH($A325,_xlfn.VSTACK(YES_Writing_ELA[Student Number],YES_Writing_FLA[Student Number]),0),MATCH(VLOOKUP(D$7,'Writing Logic'!$J$7:$K$11,2,FALSE)&amp;" - Per "&amp;VLOOKUP($C$4,'Writing Logic'!$G$8:$H$14,2,FALSE),YES_Writing_ELA[#Headers],0))=0,"",INDEX(_xlfn.VSTACK(YES_Writing_ELA[#Data],YES_Writing_FLA[#Data]),MATCH($A325,_xlfn.VSTACK(YES_Writing_ELA[Student Number],YES_Writing_FLA[Student Number]),0),MATCH(VLOOKUP(D$7,'Writing Logic'!$J$7:$K$11,2,FALSE)&amp;" - Per "&amp;VLOOKUP($C$4,'Writing Logic'!$G$8:$H$14,2,FALSE),YES_Writing_ELA[#Headers],0)))="INS",'Writing Logic'!$B$7,IF(INDEX(_xlfn.VSTACK(YES_Writing_ELA[#Data],YES_Writing_FLA[#Data]),MATCH($A325,_xlfn.VSTACK(YES_Writing_ELA[Student Number],YES_Writing_FLA[Student Number]),0),MATCH(VLOOKUP(D$7,'Writing Logic'!$J$7:$K$11,2,FALSE)&amp;" - Per "&amp;VLOOKUP($C$4,'Writing Logic'!$G$8:$H$14,2,FALSE),YES_Writing_ELA[#Headers],0))=0,"",INDEX(_xlfn.VSTACK(YES_Writing_ELA[#Data],YES_Writing_FLA[#Data]),MATCH($A325,_xlfn.VSTACK(YES_Writing_ELA[Student Number],YES_Writing_FLA[Student Number]),0),MATCH(VLOOKUP(D$7,'Writing Logic'!$J$7:$K$11,2,FALSE)&amp;" - Per "&amp;VLOOKUP($C$4,'Writing Logic'!$G$8:$H$14,2,FALSE),YES_Writing_ELA[#Headers],0)))),"")</f>
        <v/>
      </c>
      <c r="E325" s="138" t="str">
        <f>IFERROR(IF(IF(INDEX(_xlfn.VSTACK(YES_Writing_ELA[#Data],YES_Writing_FLA[#Data]),MATCH($A325,_xlfn.VSTACK(YES_Writing_ELA[Student Number],YES_Writing_FLA[Student Number]),0),MATCH(VLOOKUP(E$7,'Writing Logic'!$J$7:$K$11,2,FALSE)&amp;" - Per "&amp;VLOOKUP($C$4,'Writing Logic'!$G$8:$H$14,2,FALSE),YES_Writing_ELA[#Headers],0))=0,"",INDEX(_xlfn.VSTACK(YES_Writing_ELA[#Data],YES_Writing_FLA[#Data]),MATCH($A325,_xlfn.VSTACK(YES_Writing_ELA[Student Number],YES_Writing_FLA[Student Number]),0),MATCH(VLOOKUP(E$7,'Writing Logic'!$J$7:$K$11,2,FALSE)&amp;" - Per "&amp;VLOOKUP($C$4,'Writing Logic'!$G$8:$H$14,2,FALSE),YES_Writing_ELA[#Headers],0)))="INS",'Writing Logic'!$B$7,IF(INDEX(_xlfn.VSTACK(YES_Writing_ELA[#Data],YES_Writing_FLA[#Data]),MATCH($A325,_xlfn.VSTACK(YES_Writing_ELA[Student Number],YES_Writing_FLA[Student Number]),0),MATCH(VLOOKUP(E$7,'Writing Logic'!$J$7:$K$11,2,FALSE)&amp;" - Per "&amp;VLOOKUP($C$4,'Writing Logic'!$G$8:$H$14,2,FALSE),YES_Writing_ELA[#Headers],0))=0,"",INDEX(_xlfn.VSTACK(YES_Writing_ELA[#Data],YES_Writing_FLA[#Data]),MATCH($A325,_xlfn.VSTACK(YES_Writing_ELA[Student Number],YES_Writing_FLA[Student Number]),0),MATCH(VLOOKUP(E$7,'Writing Logic'!$J$7:$K$11,2,FALSE)&amp;" - Per "&amp;VLOOKUP($C$4,'Writing Logic'!$G$8:$H$14,2,FALSE),YES_Writing_ELA[#Headers],0)))),"")</f>
        <v/>
      </c>
      <c r="F325" s="138" t="str">
        <f>IFERROR(IF(IF(INDEX(_xlfn.VSTACK(YES_Writing_ELA[#Data],YES_Writing_FLA[#Data]),MATCH($A325,_xlfn.VSTACK(YES_Writing_ELA[Student Number],YES_Writing_FLA[Student Number]),0),MATCH(VLOOKUP(F$7,'Writing Logic'!$J$7:$K$11,2,FALSE)&amp;" - Per "&amp;VLOOKUP($C$4,'Writing Logic'!$G$8:$H$14,2,FALSE),YES_Writing_ELA[#Headers],0))=0,"",INDEX(_xlfn.VSTACK(YES_Writing_ELA[#Data],YES_Writing_FLA[#Data]),MATCH($A325,_xlfn.VSTACK(YES_Writing_ELA[Student Number],YES_Writing_FLA[Student Number]),0),MATCH(VLOOKUP(F$7,'Writing Logic'!$J$7:$K$11,2,FALSE)&amp;" - Per "&amp;VLOOKUP($C$4,'Writing Logic'!$G$8:$H$14,2,FALSE),YES_Writing_ELA[#Headers],0)))="INS",'Writing Logic'!$B$7,IF(INDEX(_xlfn.VSTACK(YES_Writing_ELA[#Data],YES_Writing_FLA[#Data]),MATCH($A325,_xlfn.VSTACK(YES_Writing_ELA[Student Number],YES_Writing_FLA[Student Number]),0),MATCH(VLOOKUP(F$7,'Writing Logic'!$J$7:$K$11,2,FALSE)&amp;" - Per "&amp;VLOOKUP($C$4,'Writing Logic'!$G$8:$H$14,2,FALSE),YES_Writing_ELA[#Headers],0))=0,"",INDEX(_xlfn.VSTACK(YES_Writing_ELA[#Data],YES_Writing_FLA[#Data]),MATCH($A325,_xlfn.VSTACK(YES_Writing_ELA[Student Number],YES_Writing_FLA[Student Number]),0),MATCH(VLOOKUP(F$7,'Writing Logic'!$J$7:$K$11,2,FALSE)&amp;" - Per "&amp;VLOOKUP($C$4,'Writing Logic'!$G$8:$H$14,2,FALSE),YES_Writing_ELA[#Headers],0)))),"")</f>
        <v/>
      </c>
      <c r="G325" s="138" t="str">
        <f>IFERROR(IF(IF(INDEX(_xlfn.VSTACK(YES_Writing_ELA[#Data],YES_Writing_FLA[#Data]),MATCH($A325,_xlfn.VSTACK(YES_Writing_ELA[Student Number],YES_Writing_FLA[Student Number]),0),MATCH(VLOOKUP(G$7,'Writing Logic'!$J$7:$K$11,2,FALSE)&amp;" - Per "&amp;VLOOKUP($C$4,'Writing Logic'!$G$8:$H$14,2,FALSE),YES_Writing_ELA[#Headers],0))=0,"",INDEX(_xlfn.VSTACK(YES_Writing_ELA[#Data],YES_Writing_FLA[#Data]),MATCH($A325,_xlfn.VSTACK(YES_Writing_ELA[Student Number],YES_Writing_FLA[Student Number]),0),MATCH(VLOOKUP(G$7,'Writing Logic'!$J$7:$K$11,2,FALSE)&amp;" - Per "&amp;VLOOKUP($C$4,'Writing Logic'!$G$8:$H$14,2,FALSE),YES_Writing_ELA[#Headers],0)))="INS",'Writing Logic'!$B$7,IF(INDEX(_xlfn.VSTACK(YES_Writing_ELA[#Data],YES_Writing_FLA[#Data]),MATCH($A325,_xlfn.VSTACK(YES_Writing_ELA[Student Number],YES_Writing_FLA[Student Number]),0),MATCH(VLOOKUP(G$7,'Writing Logic'!$J$7:$K$11,2,FALSE)&amp;" - Per "&amp;VLOOKUP($C$4,'Writing Logic'!$G$8:$H$14,2,FALSE),YES_Writing_ELA[#Headers],0))=0,"",INDEX(_xlfn.VSTACK(YES_Writing_ELA[#Data],YES_Writing_FLA[#Data]),MATCH($A325,_xlfn.VSTACK(YES_Writing_ELA[Student Number],YES_Writing_FLA[Student Number]),0),MATCH(VLOOKUP(G$7,'Writing Logic'!$J$7:$K$11,2,FALSE)&amp;" - Per "&amp;VLOOKUP($C$4,'Writing Logic'!$G$8:$H$14,2,FALSE),YES_Writing_ELA[#Headers],0)))),"")</f>
        <v/>
      </c>
      <c r="H325" s="223" t="str">
        <f>IFERROR(IF(IF(INDEX(_xlfn.VSTACK(YES_Writing_ELA[#Data],YES_Writing_FLA[#Data]),MATCH($A325,_xlfn.VSTACK(YES_Writing_ELA[Student Number],YES_Writing_FLA[Student Number]),0),MATCH(VLOOKUP(H$7,'Writing Logic'!$J$7:$K$11,2,FALSE)&amp;" - Per "&amp;VLOOKUP($C$4,'Writing Logic'!$G$8:$H$14,2,FALSE),YES_Writing_ELA[#Headers],0))=0,"",INDEX(_xlfn.VSTACK(YES_Writing_ELA[#Data],YES_Writing_FLA[#Data]),MATCH($A325,_xlfn.VSTACK(YES_Writing_ELA[Student Number],YES_Writing_FLA[Student Number]),0),MATCH(VLOOKUP(H$7,'Writing Logic'!$J$7:$K$11,2,FALSE)&amp;" - Per "&amp;VLOOKUP($C$4,'Writing Logic'!$G$8:$H$14,2,FALSE),YES_Writing_ELA[#Headers],0)))="INS",'Writing Logic'!$B$7,IF(INDEX(_xlfn.VSTACK(YES_Writing_ELA[#Data],YES_Writing_FLA[#Data]),MATCH($A325,_xlfn.VSTACK(YES_Writing_ELA[Student Number],YES_Writing_FLA[Student Number]),0),MATCH(VLOOKUP(H$7,'Writing Logic'!$J$7:$K$11,2,FALSE)&amp;" - Per "&amp;VLOOKUP($C$4,'Writing Logic'!$G$8:$H$14,2,FALSE),YES_Writing_ELA[#Headers],0))=0,"",INDEX(_xlfn.VSTACK(YES_Writing_ELA[#Data],YES_Writing_FLA[#Data]),MATCH($A325,_xlfn.VSTACK(YES_Writing_ELA[Student Number],YES_Writing_FLA[Student Number]),0),MATCH(VLOOKUP(H$7,'Writing Logic'!$J$7:$K$11,2,FALSE)&amp;" - Per "&amp;VLOOKUP($C$4,'Writing Logic'!$G$8:$H$14,2,FALSE),YES_Writing_ELA[#Headers],0)))),"")</f>
        <v/>
      </c>
      <c r="I325" s="224" t="str" cm="1">
        <f t="array" aca="1" ref="I325" ca="1">IFERROR(
IF($G$3="ELA",
IF(VLOOKUP($A325, YES_Reading_ELA[], COLUMN(INDIRECT("YES_Reading_ELA[Difference - Per "&amp;VLOOKUP($G$4, 'Reading Report Logic'!$A$2:$B$8, 2, FALSE)&amp;"]")), FALSE)="", "",
VLOOKUP($A325,YES_Reading_ELA[], COLUMN(INDIRECT("YES_Reading_ELA[Difference - Per "&amp;VLOOKUP($G$4,'Reading Report Logic'!$A$2:$B$8,2,FALSE)&amp;"]")), FALSE)),
IF($G$3="FLA",
IF(VLOOKUP($A325, YES_Reading_FLA[], COLUMN(INDIRECT("YES_Reading_FLA[Difference - Per "&amp;VLOOKUP($G$4,'Reading Report Logic'!$A$2:$B$8,2,FALSE)&amp;"]")),FALSE)="","",
VLOOKUP($A325,YES_Reading_FLA[],COLUMN(INDIRECT("YES_Reading_FLA[Difference - Per "&amp;VLOOKUP($G$4,'Reading Report Logic'!$A$2:$B$8,2,FALSE)&amp;"]")),FALSE)),
IF($G$3="Combined",
IFERROR(
IF(VLOOKUP($A325, YES_Reading_ELA[], COLUMN(INDIRECT("YES_Reading_ELA[Difference - Per "&amp;VLOOKUP($G$4, 'Reading Report Logic'!$A$2:$B$8,2,FALSE)&amp;"]")), FALSE)="", "",
VLOOKUP($A325,YES_Reading_ELA[],COLUMN(INDIRECT("YES_Reading_ELA[Difference - Per "&amp;VLOOKUP($G$4,'Reading Report Logic'!$A$2:$B$8,2,FALSE)&amp;"]")),FALSE)),
IF(VLOOKUP($A325, YES_Reading_FLA[], COLUMN(INDIRECT("YES_Reading_FLA[Difference - Per "&amp;VLOOKUP($G$4, 'Reading Report Logic'!$A$2:$B$8, 2, FALSE)&amp;"]")),FALSE)="", "", VLOOKUP($A325,YES_Reading_FLA[],COLUMN(INDIRECT("YES_Reading_FLA[Difference - Per "&amp;VLOOKUP($G$4, 'Reading Report Logic'!$A$2:$B$8, 2, FALSE)&amp;"]")),FALSE))),""))),"")</f>
        <v/>
      </c>
    </row>
    <row r="326" spans="1:9" x14ac:dyDescent="0.25">
      <c r="A326" s="137"/>
      <c r="B326" s="137" t="str">
        <f>IFERROR(INDEX(_xlfn.VSTACK(YES_Writing_ELA[#Data], YES_Writing_FLA[#Data]),MATCH($A326,_xlfn.VSTACK(YES_Writing_ELA[Student Number], YES_Writing_FLA[Student Number]),0),MATCH(B$7,YES_Writing_ELA[#Headers],0)),IFERROR(INDEX(_xlfn.VSTACK(YES_Reading_ELA[#Data], YES_Reading_FLA[#Data]),MATCH($A326,_xlfn.VSTACK(YES_Reading_ELA[Student Number], YES_Reading_FLA[Student Number]),0),MATCH(B$7,YES_Reading_ELA[#Headers],0)),""))</f>
        <v/>
      </c>
      <c r="C326" s="137" t="str">
        <f>IFERROR(INDEX(_xlfn.VSTACK(YES_Writing_ELA[#Data], YES_Writing_FLA[#Data]),MATCH($A326,_xlfn.VSTACK(YES_Writing_ELA[Student Number], YES_Writing_FLA[Student Number]),0),MATCH(C$7,YES_Writing_ELA[#Headers],0)),IFERROR(INDEX(_xlfn.VSTACK(YES_Reading_ELA[#Data], YES_Reading_FLA[#Data]),MATCH($A326,_xlfn.VSTACK(YES_Reading_ELA[Student Number], YES_Reading_FLA[Student Number]),0),MATCH(C$7,YES_Reading_ELA[#Headers],0)),""))</f>
        <v/>
      </c>
      <c r="D326" s="138" t="str">
        <f>IFERROR(IF(IF(INDEX(_xlfn.VSTACK(YES_Writing_ELA[#Data],YES_Writing_FLA[#Data]),MATCH($A326,_xlfn.VSTACK(YES_Writing_ELA[Student Number],YES_Writing_FLA[Student Number]),0),MATCH(VLOOKUP(D$7,'Writing Logic'!$J$7:$K$11,2,FALSE)&amp;" - Per "&amp;VLOOKUP($C$4,'Writing Logic'!$G$8:$H$14,2,FALSE),YES_Writing_ELA[#Headers],0))=0,"",INDEX(_xlfn.VSTACK(YES_Writing_ELA[#Data],YES_Writing_FLA[#Data]),MATCH($A326,_xlfn.VSTACK(YES_Writing_ELA[Student Number],YES_Writing_FLA[Student Number]),0),MATCH(VLOOKUP(D$7,'Writing Logic'!$J$7:$K$11,2,FALSE)&amp;" - Per "&amp;VLOOKUP($C$4,'Writing Logic'!$G$8:$H$14,2,FALSE),YES_Writing_ELA[#Headers],0)))="INS",'Writing Logic'!$B$7,IF(INDEX(_xlfn.VSTACK(YES_Writing_ELA[#Data],YES_Writing_FLA[#Data]),MATCH($A326,_xlfn.VSTACK(YES_Writing_ELA[Student Number],YES_Writing_FLA[Student Number]),0),MATCH(VLOOKUP(D$7,'Writing Logic'!$J$7:$K$11,2,FALSE)&amp;" - Per "&amp;VLOOKUP($C$4,'Writing Logic'!$G$8:$H$14,2,FALSE),YES_Writing_ELA[#Headers],0))=0,"",INDEX(_xlfn.VSTACK(YES_Writing_ELA[#Data],YES_Writing_FLA[#Data]),MATCH($A326,_xlfn.VSTACK(YES_Writing_ELA[Student Number],YES_Writing_FLA[Student Number]),0),MATCH(VLOOKUP(D$7,'Writing Logic'!$J$7:$K$11,2,FALSE)&amp;" - Per "&amp;VLOOKUP($C$4,'Writing Logic'!$G$8:$H$14,2,FALSE),YES_Writing_ELA[#Headers],0)))),"")</f>
        <v/>
      </c>
      <c r="E326" s="138" t="str">
        <f>IFERROR(IF(IF(INDEX(_xlfn.VSTACK(YES_Writing_ELA[#Data],YES_Writing_FLA[#Data]),MATCH($A326,_xlfn.VSTACK(YES_Writing_ELA[Student Number],YES_Writing_FLA[Student Number]),0),MATCH(VLOOKUP(E$7,'Writing Logic'!$J$7:$K$11,2,FALSE)&amp;" - Per "&amp;VLOOKUP($C$4,'Writing Logic'!$G$8:$H$14,2,FALSE),YES_Writing_ELA[#Headers],0))=0,"",INDEX(_xlfn.VSTACK(YES_Writing_ELA[#Data],YES_Writing_FLA[#Data]),MATCH($A326,_xlfn.VSTACK(YES_Writing_ELA[Student Number],YES_Writing_FLA[Student Number]),0),MATCH(VLOOKUP(E$7,'Writing Logic'!$J$7:$K$11,2,FALSE)&amp;" - Per "&amp;VLOOKUP($C$4,'Writing Logic'!$G$8:$H$14,2,FALSE),YES_Writing_ELA[#Headers],0)))="INS",'Writing Logic'!$B$7,IF(INDEX(_xlfn.VSTACK(YES_Writing_ELA[#Data],YES_Writing_FLA[#Data]),MATCH($A326,_xlfn.VSTACK(YES_Writing_ELA[Student Number],YES_Writing_FLA[Student Number]),0),MATCH(VLOOKUP(E$7,'Writing Logic'!$J$7:$K$11,2,FALSE)&amp;" - Per "&amp;VLOOKUP($C$4,'Writing Logic'!$G$8:$H$14,2,FALSE),YES_Writing_ELA[#Headers],0))=0,"",INDEX(_xlfn.VSTACK(YES_Writing_ELA[#Data],YES_Writing_FLA[#Data]),MATCH($A326,_xlfn.VSTACK(YES_Writing_ELA[Student Number],YES_Writing_FLA[Student Number]),0),MATCH(VLOOKUP(E$7,'Writing Logic'!$J$7:$K$11,2,FALSE)&amp;" - Per "&amp;VLOOKUP($C$4,'Writing Logic'!$G$8:$H$14,2,FALSE),YES_Writing_ELA[#Headers],0)))),"")</f>
        <v/>
      </c>
      <c r="F326" s="138" t="str">
        <f>IFERROR(IF(IF(INDEX(_xlfn.VSTACK(YES_Writing_ELA[#Data],YES_Writing_FLA[#Data]),MATCH($A326,_xlfn.VSTACK(YES_Writing_ELA[Student Number],YES_Writing_FLA[Student Number]),0),MATCH(VLOOKUP(F$7,'Writing Logic'!$J$7:$K$11,2,FALSE)&amp;" - Per "&amp;VLOOKUP($C$4,'Writing Logic'!$G$8:$H$14,2,FALSE),YES_Writing_ELA[#Headers],0))=0,"",INDEX(_xlfn.VSTACK(YES_Writing_ELA[#Data],YES_Writing_FLA[#Data]),MATCH($A326,_xlfn.VSTACK(YES_Writing_ELA[Student Number],YES_Writing_FLA[Student Number]),0),MATCH(VLOOKUP(F$7,'Writing Logic'!$J$7:$K$11,2,FALSE)&amp;" - Per "&amp;VLOOKUP($C$4,'Writing Logic'!$G$8:$H$14,2,FALSE),YES_Writing_ELA[#Headers],0)))="INS",'Writing Logic'!$B$7,IF(INDEX(_xlfn.VSTACK(YES_Writing_ELA[#Data],YES_Writing_FLA[#Data]),MATCH($A326,_xlfn.VSTACK(YES_Writing_ELA[Student Number],YES_Writing_FLA[Student Number]),0),MATCH(VLOOKUP(F$7,'Writing Logic'!$J$7:$K$11,2,FALSE)&amp;" - Per "&amp;VLOOKUP($C$4,'Writing Logic'!$G$8:$H$14,2,FALSE),YES_Writing_ELA[#Headers],0))=0,"",INDEX(_xlfn.VSTACK(YES_Writing_ELA[#Data],YES_Writing_FLA[#Data]),MATCH($A326,_xlfn.VSTACK(YES_Writing_ELA[Student Number],YES_Writing_FLA[Student Number]),0),MATCH(VLOOKUP(F$7,'Writing Logic'!$J$7:$K$11,2,FALSE)&amp;" - Per "&amp;VLOOKUP($C$4,'Writing Logic'!$G$8:$H$14,2,FALSE),YES_Writing_ELA[#Headers],0)))),"")</f>
        <v/>
      </c>
      <c r="G326" s="138" t="str">
        <f>IFERROR(IF(IF(INDEX(_xlfn.VSTACK(YES_Writing_ELA[#Data],YES_Writing_FLA[#Data]),MATCH($A326,_xlfn.VSTACK(YES_Writing_ELA[Student Number],YES_Writing_FLA[Student Number]),0),MATCH(VLOOKUP(G$7,'Writing Logic'!$J$7:$K$11,2,FALSE)&amp;" - Per "&amp;VLOOKUP($C$4,'Writing Logic'!$G$8:$H$14,2,FALSE),YES_Writing_ELA[#Headers],0))=0,"",INDEX(_xlfn.VSTACK(YES_Writing_ELA[#Data],YES_Writing_FLA[#Data]),MATCH($A326,_xlfn.VSTACK(YES_Writing_ELA[Student Number],YES_Writing_FLA[Student Number]),0),MATCH(VLOOKUP(G$7,'Writing Logic'!$J$7:$K$11,2,FALSE)&amp;" - Per "&amp;VLOOKUP($C$4,'Writing Logic'!$G$8:$H$14,2,FALSE),YES_Writing_ELA[#Headers],0)))="INS",'Writing Logic'!$B$7,IF(INDEX(_xlfn.VSTACK(YES_Writing_ELA[#Data],YES_Writing_FLA[#Data]),MATCH($A326,_xlfn.VSTACK(YES_Writing_ELA[Student Number],YES_Writing_FLA[Student Number]),0),MATCH(VLOOKUP(G$7,'Writing Logic'!$J$7:$K$11,2,FALSE)&amp;" - Per "&amp;VLOOKUP($C$4,'Writing Logic'!$G$8:$H$14,2,FALSE),YES_Writing_ELA[#Headers],0))=0,"",INDEX(_xlfn.VSTACK(YES_Writing_ELA[#Data],YES_Writing_FLA[#Data]),MATCH($A326,_xlfn.VSTACK(YES_Writing_ELA[Student Number],YES_Writing_FLA[Student Number]),0),MATCH(VLOOKUP(G$7,'Writing Logic'!$J$7:$K$11,2,FALSE)&amp;" - Per "&amp;VLOOKUP($C$4,'Writing Logic'!$G$8:$H$14,2,FALSE),YES_Writing_ELA[#Headers],0)))),"")</f>
        <v/>
      </c>
      <c r="H326" s="223" t="str">
        <f>IFERROR(IF(IF(INDEX(_xlfn.VSTACK(YES_Writing_ELA[#Data],YES_Writing_FLA[#Data]),MATCH($A326,_xlfn.VSTACK(YES_Writing_ELA[Student Number],YES_Writing_FLA[Student Number]),0),MATCH(VLOOKUP(H$7,'Writing Logic'!$J$7:$K$11,2,FALSE)&amp;" - Per "&amp;VLOOKUP($C$4,'Writing Logic'!$G$8:$H$14,2,FALSE),YES_Writing_ELA[#Headers],0))=0,"",INDEX(_xlfn.VSTACK(YES_Writing_ELA[#Data],YES_Writing_FLA[#Data]),MATCH($A326,_xlfn.VSTACK(YES_Writing_ELA[Student Number],YES_Writing_FLA[Student Number]),0),MATCH(VLOOKUP(H$7,'Writing Logic'!$J$7:$K$11,2,FALSE)&amp;" - Per "&amp;VLOOKUP($C$4,'Writing Logic'!$G$8:$H$14,2,FALSE),YES_Writing_ELA[#Headers],0)))="INS",'Writing Logic'!$B$7,IF(INDEX(_xlfn.VSTACK(YES_Writing_ELA[#Data],YES_Writing_FLA[#Data]),MATCH($A326,_xlfn.VSTACK(YES_Writing_ELA[Student Number],YES_Writing_FLA[Student Number]),0),MATCH(VLOOKUP(H$7,'Writing Logic'!$J$7:$K$11,2,FALSE)&amp;" - Per "&amp;VLOOKUP($C$4,'Writing Logic'!$G$8:$H$14,2,FALSE),YES_Writing_ELA[#Headers],0))=0,"",INDEX(_xlfn.VSTACK(YES_Writing_ELA[#Data],YES_Writing_FLA[#Data]),MATCH($A326,_xlfn.VSTACK(YES_Writing_ELA[Student Number],YES_Writing_FLA[Student Number]),0),MATCH(VLOOKUP(H$7,'Writing Logic'!$J$7:$K$11,2,FALSE)&amp;" - Per "&amp;VLOOKUP($C$4,'Writing Logic'!$G$8:$H$14,2,FALSE),YES_Writing_ELA[#Headers],0)))),"")</f>
        <v/>
      </c>
      <c r="I326" s="224" t="str" cm="1">
        <f t="array" aca="1" ref="I326" ca="1">IFERROR(
IF($G$3="ELA",
IF(VLOOKUP($A326, YES_Reading_ELA[], COLUMN(INDIRECT("YES_Reading_ELA[Difference - Per "&amp;VLOOKUP($G$4, 'Reading Report Logic'!$A$2:$B$8, 2, FALSE)&amp;"]")), FALSE)="", "",
VLOOKUP($A326,YES_Reading_ELA[], COLUMN(INDIRECT("YES_Reading_ELA[Difference - Per "&amp;VLOOKUP($G$4,'Reading Report Logic'!$A$2:$B$8,2,FALSE)&amp;"]")), FALSE)),
IF($G$3="FLA",
IF(VLOOKUP($A326, YES_Reading_FLA[], COLUMN(INDIRECT("YES_Reading_FLA[Difference - Per "&amp;VLOOKUP($G$4,'Reading Report Logic'!$A$2:$B$8,2,FALSE)&amp;"]")),FALSE)="","",
VLOOKUP($A326,YES_Reading_FLA[],COLUMN(INDIRECT("YES_Reading_FLA[Difference - Per "&amp;VLOOKUP($G$4,'Reading Report Logic'!$A$2:$B$8,2,FALSE)&amp;"]")),FALSE)),
IF($G$3="Combined",
IFERROR(
IF(VLOOKUP($A326, YES_Reading_ELA[], COLUMN(INDIRECT("YES_Reading_ELA[Difference - Per "&amp;VLOOKUP($G$4, 'Reading Report Logic'!$A$2:$B$8,2,FALSE)&amp;"]")), FALSE)="", "",
VLOOKUP($A326,YES_Reading_ELA[],COLUMN(INDIRECT("YES_Reading_ELA[Difference - Per "&amp;VLOOKUP($G$4,'Reading Report Logic'!$A$2:$B$8,2,FALSE)&amp;"]")),FALSE)),
IF(VLOOKUP($A326, YES_Reading_FLA[], COLUMN(INDIRECT("YES_Reading_FLA[Difference - Per "&amp;VLOOKUP($G$4, 'Reading Report Logic'!$A$2:$B$8, 2, FALSE)&amp;"]")),FALSE)="", "", VLOOKUP($A326,YES_Reading_FLA[],COLUMN(INDIRECT("YES_Reading_FLA[Difference - Per "&amp;VLOOKUP($G$4, 'Reading Report Logic'!$A$2:$B$8, 2, FALSE)&amp;"]")),FALSE))),""))),"")</f>
        <v/>
      </c>
    </row>
    <row r="327" spans="1:9" x14ac:dyDescent="0.25">
      <c r="A327" s="137"/>
      <c r="B327" s="137" t="str">
        <f>IFERROR(INDEX(_xlfn.VSTACK(YES_Writing_ELA[#Data], YES_Writing_FLA[#Data]),MATCH($A327,_xlfn.VSTACK(YES_Writing_ELA[Student Number], YES_Writing_FLA[Student Number]),0),MATCH(B$7,YES_Writing_ELA[#Headers],0)),IFERROR(INDEX(_xlfn.VSTACK(YES_Reading_ELA[#Data], YES_Reading_FLA[#Data]),MATCH($A327,_xlfn.VSTACK(YES_Reading_ELA[Student Number], YES_Reading_FLA[Student Number]),0),MATCH(B$7,YES_Reading_ELA[#Headers],0)),""))</f>
        <v/>
      </c>
      <c r="C327" s="137" t="str">
        <f>IFERROR(INDEX(_xlfn.VSTACK(YES_Writing_ELA[#Data], YES_Writing_FLA[#Data]),MATCH($A327,_xlfn.VSTACK(YES_Writing_ELA[Student Number], YES_Writing_FLA[Student Number]),0),MATCH(C$7,YES_Writing_ELA[#Headers],0)),IFERROR(INDEX(_xlfn.VSTACK(YES_Reading_ELA[#Data], YES_Reading_FLA[#Data]),MATCH($A327,_xlfn.VSTACK(YES_Reading_ELA[Student Number], YES_Reading_FLA[Student Number]),0),MATCH(C$7,YES_Reading_ELA[#Headers],0)),""))</f>
        <v/>
      </c>
      <c r="D327" s="138" t="str">
        <f>IFERROR(IF(IF(INDEX(_xlfn.VSTACK(YES_Writing_ELA[#Data],YES_Writing_FLA[#Data]),MATCH($A327,_xlfn.VSTACK(YES_Writing_ELA[Student Number],YES_Writing_FLA[Student Number]),0),MATCH(VLOOKUP(D$7,'Writing Logic'!$J$7:$K$11,2,FALSE)&amp;" - Per "&amp;VLOOKUP($C$4,'Writing Logic'!$G$8:$H$14,2,FALSE),YES_Writing_ELA[#Headers],0))=0,"",INDEX(_xlfn.VSTACK(YES_Writing_ELA[#Data],YES_Writing_FLA[#Data]),MATCH($A327,_xlfn.VSTACK(YES_Writing_ELA[Student Number],YES_Writing_FLA[Student Number]),0),MATCH(VLOOKUP(D$7,'Writing Logic'!$J$7:$K$11,2,FALSE)&amp;" - Per "&amp;VLOOKUP($C$4,'Writing Logic'!$G$8:$H$14,2,FALSE),YES_Writing_ELA[#Headers],0)))="INS",'Writing Logic'!$B$7,IF(INDEX(_xlfn.VSTACK(YES_Writing_ELA[#Data],YES_Writing_FLA[#Data]),MATCH($A327,_xlfn.VSTACK(YES_Writing_ELA[Student Number],YES_Writing_FLA[Student Number]),0),MATCH(VLOOKUP(D$7,'Writing Logic'!$J$7:$K$11,2,FALSE)&amp;" - Per "&amp;VLOOKUP($C$4,'Writing Logic'!$G$8:$H$14,2,FALSE),YES_Writing_ELA[#Headers],0))=0,"",INDEX(_xlfn.VSTACK(YES_Writing_ELA[#Data],YES_Writing_FLA[#Data]),MATCH($A327,_xlfn.VSTACK(YES_Writing_ELA[Student Number],YES_Writing_FLA[Student Number]),0),MATCH(VLOOKUP(D$7,'Writing Logic'!$J$7:$K$11,2,FALSE)&amp;" - Per "&amp;VLOOKUP($C$4,'Writing Logic'!$G$8:$H$14,2,FALSE),YES_Writing_ELA[#Headers],0)))),"")</f>
        <v/>
      </c>
      <c r="E327" s="138" t="str">
        <f>IFERROR(IF(IF(INDEX(_xlfn.VSTACK(YES_Writing_ELA[#Data],YES_Writing_FLA[#Data]),MATCH($A327,_xlfn.VSTACK(YES_Writing_ELA[Student Number],YES_Writing_FLA[Student Number]),0),MATCH(VLOOKUP(E$7,'Writing Logic'!$J$7:$K$11,2,FALSE)&amp;" - Per "&amp;VLOOKUP($C$4,'Writing Logic'!$G$8:$H$14,2,FALSE),YES_Writing_ELA[#Headers],0))=0,"",INDEX(_xlfn.VSTACK(YES_Writing_ELA[#Data],YES_Writing_FLA[#Data]),MATCH($A327,_xlfn.VSTACK(YES_Writing_ELA[Student Number],YES_Writing_FLA[Student Number]),0),MATCH(VLOOKUP(E$7,'Writing Logic'!$J$7:$K$11,2,FALSE)&amp;" - Per "&amp;VLOOKUP($C$4,'Writing Logic'!$G$8:$H$14,2,FALSE),YES_Writing_ELA[#Headers],0)))="INS",'Writing Logic'!$B$7,IF(INDEX(_xlfn.VSTACK(YES_Writing_ELA[#Data],YES_Writing_FLA[#Data]),MATCH($A327,_xlfn.VSTACK(YES_Writing_ELA[Student Number],YES_Writing_FLA[Student Number]),0),MATCH(VLOOKUP(E$7,'Writing Logic'!$J$7:$K$11,2,FALSE)&amp;" - Per "&amp;VLOOKUP($C$4,'Writing Logic'!$G$8:$H$14,2,FALSE),YES_Writing_ELA[#Headers],0))=0,"",INDEX(_xlfn.VSTACK(YES_Writing_ELA[#Data],YES_Writing_FLA[#Data]),MATCH($A327,_xlfn.VSTACK(YES_Writing_ELA[Student Number],YES_Writing_FLA[Student Number]),0),MATCH(VLOOKUP(E$7,'Writing Logic'!$J$7:$K$11,2,FALSE)&amp;" - Per "&amp;VLOOKUP($C$4,'Writing Logic'!$G$8:$H$14,2,FALSE),YES_Writing_ELA[#Headers],0)))),"")</f>
        <v/>
      </c>
      <c r="F327" s="138" t="str">
        <f>IFERROR(IF(IF(INDEX(_xlfn.VSTACK(YES_Writing_ELA[#Data],YES_Writing_FLA[#Data]),MATCH($A327,_xlfn.VSTACK(YES_Writing_ELA[Student Number],YES_Writing_FLA[Student Number]),0),MATCH(VLOOKUP(F$7,'Writing Logic'!$J$7:$K$11,2,FALSE)&amp;" - Per "&amp;VLOOKUP($C$4,'Writing Logic'!$G$8:$H$14,2,FALSE),YES_Writing_ELA[#Headers],0))=0,"",INDEX(_xlfn.VSTACK(YES_Writing_ELA[#Data],YES_Writing_FLA[#Data]),MATCH($A327,_xlfn.VSTACK(YES_Writing_ELA[Student Number],YES_Writing_FLA[Student Number]),0),MATCH(VLOOKUP(F$7,'Writing Logic'!$J$7:$K$11,2,FALSE)&amp;" - Per "&amp;VLOOKUP($C$4,'Writing Logic'!$G$8:$H$14,2,FALSE),YES_Writing_ELA[#Headers],0)))="INS",'Writing Logic'!$B$7,IF(INDEX(_xlfn.VSTACK(YES_Writing_ELA[#Data],YES_Writing_FLA[#Data]),MATCH($A327,_xlfn.VSTACK(YES_Writing_ELA[Student Number],YES_Writing_FLA[Student Number]),0),MATCH(VLOOKUP(F$7,'Writing Logic'!$J$7:$K$11,2,FALSE)&amp;" - Per "&amp;VLOOKUP($C$4,'Writing Logic'!$G$8:$H$14,2,FALSE),YES_Writing_ELA[#Headers],0))=0,"",INDEX(_xlfn.VSTACK(YES_Writing_ELA[#Data],YES_Writing_FLA[#Data]),MATCH($A327,_xlfn.VSTACK(YES_Writing_ELA[Student Number],YES_Writing_FLA[Student Number]),0),MATCH(VLOOKUP(F$7,'Writing Logic'!$J$7:$K$11,2,FALSE)&amp;" - Per "&amp;VLOOKUP($C$4,'Writing Logic'!$G$8:$H$14,2,FALSE),YES_Writing_ELA[#Headers],0)))),"")</f>
        <v/>
      </c>
      <c r="G327" s="138" t="str">
        <f>IFERROR(IF(IF(INDEX(_xlfn.VSTACK(YES_Writing_ELA[#Data],YES_Writing_FLA[#Data]),MATCH($A327,_xlfn.VSTACK(YES_Writing_ELA[Student Number],YES_Writing_FLA[Student Number]),0),MATCH(VLOOKUP(G$7,'Writing Logic'!$J$7:$K$11,2,FALSE)&amp;" - Per "&amp;VLOOKUP($C$4,'Writing Logic'!$G$8:$H$14,2,FALSE),YES_Writing_ELA[#Headers],0))=0,"",INDEX(_xlfn.VSTACK(YES_Writing_ELA[#Data],YES_Writing_FLA[#Data]),MATCH($A327,_xlfn.VSTACK(YES_Writing_ELA[Student Number],YES_Writing_FLA[Student Number]),0),MATCH(VLOOKUP(G$7,'Writing Logic'!$J$7:$K$11,2,FALSE)&amp;" - Per "&amp;VLOOKUP($C$4,'Writing Logic'!$G$8:$H$14,2,FALSE),YES_Writing_ELA[#Headers],0)))="INS",'Writing Logic'!$B$7,IF(INDEX(_xlfn.VSTACK(YES_Writing_ELA[#Data],YES_Writing_FLA[#Data]),MATCH($A327,_xlfn.VSTACK(YES_Writing_ELA[Student Number],YES_Writing_FLA[Student Number]),0),MATCH(VLOOKUP(G$7,'Writing Logic'!$J$7:$K$11,2,FALSE)&amp;" - Per "&amp;VLOOKUP($C$4,'Writing Logic'!$G$8:$H$14,2,FALSE),YES_Writing_ELA[#Headers],0))=0,"",INDEX(_xlfn.VSTACK(YES_Writing_ELA[#Data],YES_Writing_FLA[#Data]),MATCH($A327,_xlfn.VSTACK(YES_Writing_ELA[Student Number],YES_Writing_FLA[Student Number]),0),MATCH(VLOOKUP(G$7,'Writing Logic'!$J$7:$K$11,2,FALSE)&amp;" - Per "&amp;VLOOKUP($C$4,'Writing Logic'!$G$8:$H$14,2,FALSE),YES_Writing_ELA[#Headers],0)))),"")</f>
        <v/>
      </c>
      <c r="H327" s="223" t="str">
        <f>IFERROR(IF(IF(INDEX(_xlfn.VSTACK(YES_Writing_ELA[#Data],YES_Writing_FLA[#Data]),MATCH($A327,_xlfn.VSTACK(YES_Writing_ELA[Student Number],YES_Writing_FLA[Student Number]),0),MATCH(VLOOKUP(H$7,'Writing Logic'!$J$7:$K$11,2,FALSE)&amp;" - Per "&amp;VLOOKUP($C$4,'Writing Logic'!$G$8:$H$14,2,FALSE),YES_Writing_ELA[#Headers],0))=0,"",INDEX(_xlfn.VSTACK(YES_Writing_ELA[#Data],YES_Writing_FLA[#Data]),MATCH($A327,_xlfn.VSTACK(YES_Writing_ELA[Student Number],YES_Writing_FLA[Student Number]),0),MATCH(VLOOKUP(H$7,'Writing Logic'!$J$7:$K$11,2,FALSE)&amp;" - Per "&amp;VLOOKUP($C$4,'Writing Logic'!$G$8:$H$14,2,FALSE),YES_Writing_ELA[#Headers],0)))="INS",'Writing Logic'!$B$7,IF(INDEX(_xlfn.VSTACK(YES_Writing_ELA[#Data],YES_Writing_FLA[#Data]),MATCH($A327,_xlfn.VSTACK(YES_Writing_ELA[Student Number],YES_Writing_FLA[Student Number]),0),MATCH(VLOOKUP(H$7,'Writing Logic'!$J$7:$K$11,2,FALSE)&amp;" - Per "&amp;VLOOKUP($C$4,'Writing Logic'!$G$8:$H$14,2,FALSE),YES_Writing_ELA[#Headers],0))=0,"",INDEX(_xlfn.VSTACK(YES_Writing_ELA[#Data],YES_Writing_FLA[#Data]),MATCH($A327,_xlfn.VSTACK(YES_Writing_ELA[Student Number],YES_Writing_FLA[Student Number]),0),MATCH(VLOOKUP(H$7,'Writing Logic'!$J$7:$K$11,2,FALSE)&amp;" - Per "&amp;VLOOKUP($C$4,'Writing Logic'!$G$8:$H$14,2,FALSE),YES_Writing_ELA[#Headers],0)))),"")</f>
        <v/>
      </c>
      <c r="I327" s="224" t="str" cm="1">
        <f t="array" aca="1" ref="I327" ca="1">IFERROR(
IF($G$3="ELA",
IF(VLOOKUP($A327, YES_Reading_ELA[], COLUMN(INDIRECT("YES_Reading_ELA[Difference - Per "&amp;VLOOKUP($G$4, 'Reading Report Logic'!$A$2:$B$8, 2, FALSE)&amp;"]")), FALSE)="", "",
VLOOKUP($A327,YES_Reading_ELA[], COLUMN(INDIRECT("YES_Reading_ELA[Difference - Per "&amp;VLOOKUP($G$4,'Reading Report Logic'!$A$2:$B$8,2,FALSE)&amp;"]")), FALSE)),
IF($G$3="FLA",
IF(VLOOKUP($A327, YES_Reading_FLA[], COLUMN(INDIRECT("YES_Reading_FLA[Difference - Per "&amp;VLOOKUP($G$4,'Reading Report Logic'!$A$2:$B$8,2,FALSE)&amp;"]")),FALSE)="","",
VLOOKUP($A327,YES_Reading_FLA[],COLUMN(INDIRECT("YES_Reading_FLA[Difference - Per "&amp;VLOOKUP($G$4,'Reading Report Logic'!$A$2:$B$8,2,FALSE)&amp;"]")),FALSE)),
IF($G$3="Combined",
IFERROR(
IF(VLOOKUP($A327, YES_Reading_ELA[], COLUMN(INDIRECT("YES_Reading_ELA[Difference - Per "&amp;VLOOKUP($G$4, 'Reading Report Logic'!$A$2:$B$8,2,FALSE)&amp;"]")), FALSE)="", "",
VLOOKUP($A327,YES_Reading_ELA[],COLUMN(INDIRECT("YES_Reading_ELA[Difference - Per "&amp;VLOOKUP($G$4,'Reading Report Logic'!$A$2:$B$8,2,FALSE)&amp;"]")),FALSE)),
IF(VLOOKUP($A327, YES_Reading_FLA[], COLUMN(INDIRECT("YES_Reading_FLA[Difference - Per "&amp;VLOOKUP($G$4, 'Reading Report Logic'!$A$2:$B$8, 2, FALSE)&amp;"]")),FALSE)="", "", VLOOKUP($A327,YES_Reading_FLA[],COLUMN(INDIRECT("YES_Reading_FLA[Difference - Per "&amp;VLOOKUP($G$4, 'Reading Report Logic'!$A$2:$B$8, 2, FALSE)&amp;"]")),FALSE))),""))),"")</f>
        <v/>
      </c>
    </row>
    <row r="328" spans="1:9" x14ac:dyDescent="0.25">
      <c r="A328" s="137"/>
      <c r="B328" s="137" t="str">
        <f>IFERROR(INDEX(_xlfn.VSTACK(YES_Writing_ELA[#Data], YES_Writing_FLA[#Data]),MATCH($A328,_xlfn.VSTACK(YES_Writing_ELA[Student Number], YES_Writing_FLA[Student Number]),0),MATCH(B$7,YES_Writing_ELA[#Headers],0)),IFERROR(INDEX(_xlfn.VSTACK(YES_Reading_ELA[#Data], YES_Reading_FLA[#Data]),MATCH($A328,_xlfn.VSTACK(YES_Reading_ELA[Student Number], YES_Reading_FLA[Student Number]),0),MATCH(B$7,YES_Reading_ELA[#Headers],0)),""))</f>
        <v/>
      </c>
      <c r="C328" s="137" t="str">
        <f>IFERROR(INDEX(_xlfn.VSTACK(YES_Writing_ELA[#Data], YES_Writing_FLA[#Data]),MATCH($A328,_xlfn.VSTACK(YES_Writing_ELA[Student Number], YES_Writing_FLA[Student Number]),0),MATCH(C$7,YES_Writing_ELA[#Headers],0)),IFERROR(INDEX(_xlfn.VSTACK(YES_Reading_ELA[#Data], YES_Reading_FLA[#Data]),MATCH($A328,_xlfn.VSTACK(YES_Reading_ELA[Student Number], YES_Reading_FLA[Student Number]),0),MATCH(C$7,YES_Reading_ELA[#Headers],0)),""))</f>
        <v/>
      </c>
      <c r="D328" s="138" t="str">
        <f>IFERROR(IF(IF(INDEX(_xlfn.VSTACK(YES_Writing_ELA[#Data],YES_Writing_FLA[#Data]),MATCH($A328,_xlfn.VSTACK(YES_Writing_ELA[Student Number],YES_Writing_FLA[Student Number]),0),MATCH(VLOOKUP(D$7,'Writing Logic'!$J$7:$K$11,2,FALSE)&amp;" - Per "&amp;VLOOKUP($C$4,'Writing Logic'!$G$8:$H$14,2,FALSE),YES_Writing_ELA[#Headers],0))=0,"",INDEX(_xlfn.VSTACK(YES_Writing_ELA[#Data],YES_Writing_FLA[#Data]),MATCH($A328,_xlfn.VSTACK(YES_Writing_ELA[Student Number],YES_Writing_FLA[Student Number]),0),MATCH(VLOOKUP(D$7,'Writing Logic'!$J$7:$K$11,2,FALSE)&amp;" - Per "&amp;VLOOKUP($C$4,'Writing Logic'!$G$8:$H$14,2,FALSE),YES_Writing_ELA[#Headers],0)))="INS",'Writing Logic'!$B$7,IF(INDEX(_xlfn.VSTACK(YES_Writing_ELA[#Data],YES_Writing_FLA[#Data]),MATCH($A328,_xlfn.VSTACK(YES_Writing_ELA[Student Number],YES_Writing_FLA[Student Number]),0),MATCH(VLOOKUP(D$7,'Writing Logic'!$J$7:$K$11,2,FALSE)&amp;" - Per "&amp;VLOOKUP($C$4,'Writing Logic'!$G$8:$H$14,2,FALSE),YES_Writing_ELA[#Headers],0))=0,"",INDEX(_xlfn.VSTACK(YES_Writing_ELA[#Data],YES_Writing_FLA[#Data]),MATCH($A328,_xlfn.VSTACK(YES_Writing_ELA[Student Number],YES_Writing_FLA[Student Number]),0),MATCH(VLOOKUP(D$7,'Writing Logic'!$J$7:$K$11,2,FALSE)&amp;" - Per "&amp;VLOOKUP($C$4,'Writing Logic'!$G$8:$H$14,2,FALSE),YES_Writing_ELA[#Headers],0)))),"")</f>
        <v/>
      </c>
      <c r="E328" s="138" t="str">
        <f>IFERROR(IF(IF(INDEX(_xlfn.VSTACK(YES_Writing_ELA[#Data],YES_Writing_FLA[#Data]),MATCH($A328,_xlfn.VSTACK(YES_Writing_ELA[Student Number],YES_Writing_FLA[Student Number]),0),MATCH(VLOOKUP(E$7,'Writing Logic'!$J$7:$K$11,2,FALSE)&amp;" - Per "&amp;VLOOKUP($C$4,'Writing Logic'!$G$8:$H$14,2,FALSE),YES_Writing_ELA[#Headers],0))=0,"",INDEX(_xlfn.VSTACK(YES_Writing_ELA[#Data],YES_Writing_FLA[#Data]),MATCH($A328,_xlfn.VSTACK(YES_Writing_ELA[Student Number],YES_Writing_FLA[Student Number]),0),MATCH(VLOOKUP(E$7,'Writing Logic'!$J$7:$K$11,2,FALSE)&amp;" - Per "&amp;VLOOKUP($C$4,'Writing Logic'!$G$8:$H$14,2,FALSE),YES_Writing_ELA[#Headers],0)))="INS",'Writing Logic'!$B$7,IF(INDEX(_xlfn.VSTACK(YES_Writing_ELA[#Data],YES_Writing_FLA[#Data]),MATCH($A328,_xlfn.VSTACK(YES_Writing_ELA[Student Number],YES_Writing_FLA[Student Number]),0),MATCH(VLOOKUP(E$7,'Writing Logic'!$J$7:$K$11,2,FALSE)&amp;" - Per "&amp;VLOOKUP($C$4,'Writing Logic'!$G$8:$H$14,2,FALSE),YES_Writing_ELA[#Headers],0))=0,"",INDEX(_xlfn.VSTACK(YES_Writing_ELA[#Data],YES_Writing_FLA[#Data]),MATCH($A328,_xlfn.VSTACK(YES_Writing_ELA[Student Number],YES_Writing_FLA[Student Number]),0),MATCH(VLOOKUP(E$7,'Writing Logic'!$J$7:$K$11,2,FALSE)&amp;" - Per "&amp;VLOOKUP($C$4,'Writing Logic'!$G$8:$H$14,2,FALSE),YES_Writing_ELA[#Headers],0)))),"")</f>
        <v/>
      </c>
      <c r="F328" s="138" t="str">
        <f>IFERROR(IF(IF(INDEX(_xlfn.VSTACK(YES_Writing_ELA[#Data],YES_Writing_FLA[#Data]),MATCH($A328,_xlfn.VSTACK(YES_Writing_ELA[Student Number],YES_Writing_FLA[Student Number]),0),MATCH(VLOOKUP(F$7,'Writing Logic'!$J$7:$K$11,2,FALSE)&amp;" - Per "&amp;VLOOKUP($C$4,'Writing Logic'!$G$8:$H$14,2,FALSE),YES_Writing_ELA[#Headers],0))=0,"",INDEX(_xlfn.VSTACK(YES_Writing_ELA[#Data],YES_Writing_FLA[#Data]),MATCH($A328,_xlfn.VSTACK(YES_Writing_ELA[Student Number],YES_Writing_FLA[Student Number]),0),MATCH(VLOOKUP(F$7,'Writing Logic'!$J$7:$K$11,2,FALSE)&amp;" - Per "&amp;VLOOKUP($C$4,'Writing Logic'!$G$8:$H$14,2,FALSE),YES_Writing_ELA[#Headers],0)))="INS",'Writing Logic'!$B$7,IF(INDEX(_xlfn.VSTACK(YES_Writing_ELA[#Data],YES_Writing_FLA[#Data]),MATCH($A328,_xlfn.VSTACK(YES_Writing_ELA[Student Number],YES_Writing_FLA[Student Number]),0),MATCH(VLOOKUP(F$7,'Writing Logic'!$J$7:$K$11,2,FALSE)&amp;" - Per "&amp;VLOOKUP($C$4,'Writing Logic'!$G$8:$H$14,2,FALSE),YES_Writing_ELA[#Headers],0))=0,"",INDEX(_xlfn.VSTACK(YES_Writing_ELA[#Data],YES_Writing_FLA[#Data]),MATCH($A328,_xlfn.VSTACK(YES_Writing_ELA[Student Number],YES_Writing_FLA[Student Number]),0),MATCH(VLOOKUP(F$7,'Writing Logic'!$J$7:$K$11,2,FALSE)&amp;" - Per "&amp;VLOOKUP($C$4,'Writing Logic'!$G$8:$H$14,2,FALSE),YES_Writing_ELA[#Headers],0)))),"")</f>
        <v/>
      </c>
      <c r="G328" s="138" t="str">
        <f>IFERROR(IF(IF(INDEX(_xlfn.VSTACK(YES_Writing_ELA[#Data],YES_Writing_FLA[#Data]),MATCH($A328,_xlfn.VSTACK(YES_Writing_ELA[Student Number],YES_Writing_FLA[Student Number]),0),MATCH(VLOOKUP(G$7,'Writing Logic'!$J$7:$K$11,2,FALSE)&amp;" - Per "&amp;VLOOKUP($C$4,'Writing Logic'!$G$8:$H$14,2,FALSE),YES_Writing_ELA[#Headers],0))=0,"",INDEX(_xlfn.VSTACK(YES_Writing_ELA[#Data],YES_Writing_FLA[#Data]),MATCH($A328,_xlfn.VSTACK(YES_Writing_ELA[Student Number],YES_Writing_FLA[Student Number]),0),MATCH(VLOOKUP(G$7,'Writing Logic'!$J$7:$K$11,2,FALSE)&amp;" - Per "&amp;VLOOKUP($C$4,'Writing Logic'!$G$8:$H$14,2,FALSE),YES_Writing_ELA[#Headers],0)))="INS",'Writing Logic'!$B$7,IF(INDEX(_xlfn.VSTACK(YES_Writing_ELA[#Data],YES_Writing_FLA[#Data]),MATCH($A328,_xlfn.VSTACK(YES_Writing_ELA[Student Number],YES_Writing_FLA[Student Number]),0),MATCH(VLOOKUP(G$7,'Writing Logic'!$J$7:$K$11,2,FALSE)&amp;" - Per "&amp;VLOOKUP($C$4,'Writing Logic'!$G$8:$H$14,2,FALSE),YES_Writing_ELA[#Headers],0))=0,"",INDEX(_xlfn.VSTACK(YES_Writing_ELA[#Data],YES_Writing_FLA[#Data]),MATCH($A328,_xlfn.VSTACK(YES_Writing_ELA[Student Number],YES_Writing_FLA[Student Number]),0),MATCH(VLOOKUP(G$7,'Writing Logic'!$J$7:$K$11,2,FALSE)&amp;" - Per "&amp;VLOOKUP($C$4,'Writing Logic'!$G$8:$H$14,2,FALSE),YES_Writing_ELA[#Headers],0)))),"")</f>
        <v/>
      </c>
      <c r="H328" s="223" t="str">
        <f>IFERROR(IF(IF(INDEX(_xlfn.VSTACK(YES_Writing_ELA[#Data],YES_Writing_FLA[#Data]),MATCH($A328,_xlfn.VSTACK(YES_Writing_ELA[Student Number],YES_Writing_FLA[Student Number]),0),MATCH(VLOOKUP(H$7,'Writing Logic'!$J$7:$K$11,2,FALSE)&amp;" - Per "&amp;VLOOKUP($C$4,'Writing Logic'!$G$8:$H$14,2,FALSE),YES_Writing_ELA[#Headers],0))=0,"",INDEX(_xlfn.VSTACK(YES_Writing_ELA[#Data],YES_Writing_FLA[#Data]),MATCH($A328,_xlfn.VSTACK(YES_Writing_ELA[Student Number],YES_Writing_FLA[Student Number]),0),MATCH(VLOOKUP(H$7,'Writing Logic'!$J$7:$K$11,2,FALSE)&amp;" - Per "&amp;VLOOKUP($C$4,'Writing Logic'!$G$8:$H$14,2,FALSE),YES_Writing_ELA[#Headers],0)))="INS",'Writing Logic'!$B$7,IF(INDEX(_xlfn.VSTACK(YES_Writing_ELA[#Data],YES_Writing_FLA[#Data]),MATCH($A328,_xlfn.VSTACK(YES_Writing_ELA[Student Number],YES_Writing_FLA[Student Number]),0),MATCH(VLOOKUP(H$7,'Writing Logic'!$J$7:$K$11,2,FALSE)&amp;" - Per "&amp;VLOOKUP($C$4,'Writing Logic'!$G$8:$H$14,2,FALSE),YES_Writing_ELA[#Headers],0))=0,"",INDEX(_xlfn.VSTACK(YES_Writing_ELA[#Data],YES_Writing_FLA[#Data]),MATCH($A328,_xlfn.VSTACK(YES_Writing_ELA[Student Number],YES_Writing_FLA[Student Number]),0),MATCH(VLOOKUP(H$7,'Writing Logic'!$J$7:$K$11,2,FALSE)&amp;" - Per "&amp;VLOOKUP($C$4,'Writing Logic'!$G$8:$H$14,2,FALSE),YES_Writing_ELA[#Headers],0)))),"")</f>
        <v/>
      </c>
      <c r="I328" s="224" t="str" cm="1">
        <f t="array" aca="1" ref="I328" ca="1">IFERROR(
IF($G$3="ELA",
IF(VLOOKUP($A328, YES_Reading_ELA[], COLUMN(INDIRECT("YES_Reading_ELA[Difference - Per "&amp;VLOOKUP($G$4, 'Reading Report Logic'!$A$2:$B$8, 2, FALSE)&amp;"]")), FALSE)="", "",
VLOOKUP($A328,YES_Reading_ELA[], COLUMN(INDIRECT("YES_Reading_ELA[Difference - Per "&amp;VLOOKUP($G$4,'Reading Report Logic'!$A$2:$B$8,2,FALSE)&amp;"]")), FALSE)),
IF($G$3="FLA",
IF(VLOOKUP($A328, YES_Reading_FLA[], COLUMN(INDIRECT("YES_Reading_FLA[Difference - Per "&amp;VLOOKUP($G$4,'Reading Report Logic'!$A$2:$B$8,2,FALSE)&amp;"]")),FALSE)="","",
VLOOKUP($A328,YES_Reading_FLA[],COLUMN(INDIRECT("YES_Reading_FLA[Difference - Per "&amp;VLOOKUP($G$4,'Reading Report Logic'!$A$2:$B$8,2,FALSE)&amp;"]")),FALSE)),
IF($G$3="Combined",
IFERROR(
IF(VLOOKUP($A328, YES_Reading_ELA[], COLUMN(INDIRECT("YES_Reading_ELA[Difference - Per "&amp;VLOOKUP($G$4, 'Reading Report Logic'!$A$2:$B$8,2,FALSE)&amp;"]")), FALSE)="", "",
VLOOKUP($A328,YES_Reading_ELA[],COLUMN(INDIRECT("YES_Reading_ELA[Difference - Per "&amp;VLOOKUP($G$4,'Reading Report Logic'!$A$2:$B$8,2,FALSE)&amp;"]")),FALSE)),
IF(VLOOKUP($A328, YES_Reading_FLA[], COLUMN(INDIRECT("YES_Reading_FLA[Difference - Per "&amp;VLOOKUP($G$4, 'Reading Report Logic'!$A$2:$B$8, 2, FALSE)&amp;"]")),FALSE)="", "", VLOOKUP($A328,YES_Reading_FLA[],COLUMN(INDIRECT("YES_Reading_FLA[Difference - Per "&amp;VLOOKUP($G$4, 'Reading Report Logic'!$A$2:$B$8, 2, FALSE)&amp;"]")),FALSE))),""))),"")</f>
        <v/>
      </c>
    </row>
    <row r="329" spans="1:9" x14ac:dyDescent="0.25">
      <c r="A329" s="137"/>
      <c r="B329" s="137" t="str">
        <f>IFERROR(INDEX(_xlfn.VSTACK(YES_Writing_ELA[#Data], YES_Writing_FLA[#Data]),MATCH($A329,_xlfn.VSTACK(YES_Writing_ELA[Student Number], YES_Writing_FLA[Student Number]),0),MATCH(B$7,YES_Writing_ELA[#Headers],0)),IFERROR(INDEX(_xlfn.VSTACK(YES_Reading_ELA[#Data], YES_Reading_FLA[#Data]),MATCH($A329,_xlfn.VSTACK(YES_Reading_ELA[Student Number], YES_Reading_FLA[Student Number]),0),MATCH(B$7,YES_Reading_ELA[#Headers],0)),""))</f>
        <v/>
      </c>
      <c r="C329" s="137" t="str">
        <f>IFERROR(INDEX(_xlfn.VSTACK(YES_Writing_ELA[#Data], YES_Writing_FLA[#Data]),MATCH($A329,_xlfn.VSTACK(YES_Writing_ELA[Student Number], YES_Writing_FLA[Student Number]),0),MATCH(C$7,YES_Writing_ELA[#Headers],0)),IFERROR(INDEX(_xlfn.VSTACK(YES_Reading_ELA[#Data], YES_Reading_FLA[#Data]),MATCH($A329,_xlfn.VSTACK(YES_Reading_ELA[Student Number], YES_Reading_FLA[Student Number]),0),MATCH(C$7,YES_Reading_ELA[#Headers],0)),""))</f>
        <v/>
      </c>
      <c r="D329" s="138" t="str">
        <f>IFERROR(IF(IF(INDEX(_xlfn.VSTACK(YES_Writing_ELA[#Data],YES_Writing_FLA[#Data]),MATCH($A329,_xlfn.VSTACK(YES_Writing_ELA[Student Number],YES_Writing_FLA[Student Number]),0),MATCH(VLOOKUP(D$7,'Writing Logic'!$J$7:$K$11,2,FALSE)&amp;" - Per "&amp;VLOOKUP($C$4,'Writing Logic'!$G$8:$H$14,2,FALSE),YES_Writing_ELA[#Headers],0))=0,"",INDEX(_xlfn.VSTACK(YES_Writing_ELA[#Data],YES_Writing_FLA[#Data]),MATCH($A329,_xlfn.VSTACK(YES_Writing_ELA[Student Number],YES_Writing_FLA[Student Number]),0),MATCH(VLOOKUP(D$7,'Writing Logic'!$J$7:$K$11,2,FALSE)&amp;" - Per "&amp;VLOOKUP($C$4,'Writing Logic'!$G$8:$H$14,2,FALSE),YES_Writing_ELA[#Headers],0)))="INS",'Writing Logic'!$B$7,IF(INDEX(_xlfn.VSTACK(YES_Writing_ELA[#Data],YES_Writing_FLA[#Data]),MATCH($A329,_xlfn.VSTACK(YES_Writing_ELA[Student Number],YES_Writing_FLA[Student Number]),0),MATCH(VLOOKUP(D$7,'Writing Logic'!$J$7:$K$11,2,FALSE)&amp;" - Per "&amp;VLOOKUP($C$4,'Writing Logic'!$G$8:$H$14,2,FALSE),YES_Writing_ELA[#Headers],0))=0,"",INDEX(_xlfn.VSTACK(YES_Writing_ELA[#Data],YES_Writing_FLA[#Data]),MATCH($A329,_xlfn.VSTACK(YES_Writing_ELA[Student Number],YES_Writing_FLA[Student Number]),0),MATCH(VLOOKUP(D$7,'Writing Logic'!$J$7:$K$11,2,FALSE)&amp;" - Per "&amp;VLOOKUP($C$4,'Writing Logic'!$G$8:$H$14,2,FALSE),YES_Writing_ELA[#Headers],0)))),"")</f>
        <v/>
      </c>
      <c r="E329" s="138" t="str">
        <f>IFERROR(IF(IF(INDEX(_xlfn.VSTACK(YES_Writing_ELA[#Data],YES_Writing_FLA[#Data]),MATCH($A329,_xlfn.VSTACK(YES_Writing_ELA[Student Number],YES_Writing_FLA[Student Number]),0),MATCH(VLOOKUP(E$7,'Writing Logic'!$J$7:$K$11,2,FALSE)&amp;" - Per "&amp;VLOOKUP($C$4,'Writing Logic'!$G$8:$H$14,2,FALSE),YES_Writing_ELA[#Headers],0))=0,"",INDEX(_xlfn.VSTACK(YES_Writing_ELA[#Data],YES_Writing_FLA[#Data]),MATCH($A329,_xlfn.VSTACK(YES_Writing_ELA[Student Number],YES_Writing_FLA[Student Number]),0),MATCH(VLOOKUP(E$7,'Writing Logic'!$J$7:$K$11,2,FALSE)&amp;" - Per "&amp;VLOOKUP($C$4,'Writing Logic'!$G$8:$H$14,2,FALSE),YES_Writing_ELA[#Headers],0)))="INS",'Writing Logic'!$B$7,IF(INDEX(_xlfn.VSTACK(YES_Writing_ELA[#Data],YES_Writing_FLA[#Data]),MATCH($A329,_xlfn.VSTACK(YES_Writing_ELA[Student Number],YES_Writing_FLA[Student Number]),0),MATCH(VLOOKUP(E$7,'Writing Logic'!$J$7:$K$11,2,FALSE)&amp;" - Per "&amp;VLOOKUP($C$4,'Writing Logic'!$G$8:$H$14,2,FALSE),YES_Writing_ELA[#Headers],0))=0,"",INDEX(_xlfn.VSTACK(YES_Writing_ELA[#Data],YES_Writing_FLA[#Data]),MATCH($A329,_xlfn.VSTACK(YES_Writing_ELA[Student Number],YES_Writing_FLA[Student Number]),0),MATCH(VLOOKUP(E$7,'Writing Logic'!$J$7:$K$11,2,FALSE)&amp;" - Per "&amp;VLOOKUP($C$4,'Writing Logic'!$G$8:$H$14,2,FALSE),YES_Writing_ELA[#Headers],0)))),"")</f>
        <v/>
      </c>
      <c r="F329" s="138" t="str">
        <f>IFERROR(IF(IF(INDEX(_xlfn.VSTACK(YES_Writing_ELA[#Data],YES_Writing_FLA[#Data]),MATCH($A329,_xlfn.VSTACK(YES_Writing_ELA[Student Number],YES_Writing_FLA[Student Number]),0),MATCH(VLOOKUP(F$7,'Writing Logic'!$J$7:$K$11,2,FALSE)&amp;" - Per "&amp;VLOOKUP($C$4,'Writing Logic'!$G$8:$H$14,2,FALSE),YES_Writing_ELA[#Headers],0))=0,"",INDEX(_xlfn.VSTACK(YES_Writing_ELA[#Data],YES_Writing_FLA[#Data]),MATCH($A329,_xlfn.VSTACK(YES_Writing_ELA[Student Number],YES_Writing_FLA[Student Number]),0),MATCH(VLOOKUP(F$7,'Writing Logic'!$J$7:$K$11,2,FALSE)&amp;" - Per "&amp;VLOOKUP($C$4,'Writing Logic'!$G$8:$H$14,2,FALSE),YES_Writing_ELA[#Headers],0)))="INS",'Writing Logic'!$B$7,IF(INDEX(_xlfn.VSTACK(YES_Writing_ELA[#Data],YES_Writing_FLA[#Data]),MATCH($A329,_xlfn.VSTACK(YES_Writing_ELA[Student Number],YES_Writing_FLA[Student Number]),0),MATCH(VLOOKUP(F$7,'Writing Logic'!$J$7:$K$11,2,FALSE)&amp;" - Per "&amp;VLOOKUP($C$4,'Writing Logic'!$G$8:$H$14,2,FALSE),YES_Writing_ELA[#Headers],0))=0,"",INDEX(_xlfn.VSTACK(YES_Writing_ELA[#Data],YES_Writing_FLA[#Data]),MATCH($A329,_xlfn.VSTACK(YES_Writing_ELA[Student Number],YES_Writing_FLA[Student Number]),0),MATCH(VLOOKUP(F$7,'Writing Logic'!$J$7:$K$11,2,FALSE)&amp;" - Per "&amp;VLOOKUP($C$4,'Writing Logic'!$G$8:$H$14,2,FALSE),YES_Writing_ELA[#Headers],0)))),"")</f>
        <v/>
      </c>
      <c r="G329" s="138" t="str">
        <f>IFERROR(IF(IF(INDEX(_xlfn.VSTACK(YES_Writing_ELA[#Data],YES_Writing_FLA[#Data]),MATCH($A329,_xlfn.VSTACK(YES_Writing_ELA[Student Number],YES_Writing_FLA[Student Number]),0),MATCH(VLOOKUP(G$7,'Writing Logic'!$J$7:$K$11,2,FALSE)&amp;" - Per "&amp;VLOOKUP($C$4,'Writing Logic'!$G$8:$H$14,2,FALSE),YES_Writing_ELA[#Headers],0))=0,"",INDEX(_xlfn.VSTACK(YES_Writing_ELA[#Data],YES_Writing_FLA[#Data]),MATCH($A329,_xlfn.VSTACK(YES_Writing_ELA[Student Number],YES_Writing_FLA[Student Number]),0),MATCH(VLOOKUP(G$7,'Writing Logic'!$J$7:$K$11,2,FALSE)&amp;" - Per "&amp;VLOOKUP($C$4,'Writing Logic'!$G$8:$H$14,2,FALSE),YES_Writing_ELA[#Headers],0)))="INS",'Writing Logic'!$B$7,IF(INDEX(_xlfn.VSTACK(YES_Writing_ELA[#Data],YES_Writing_FLA[#Data]),MATCH($A329,_xlfn.VSTACK(YES_Writing_ELA[Student Number],YES_Writing_FLA[Student Number]),0),MATCH(VLOOKUP(G$7,'Writing Logic'!$J$7:$K$11,2,FALSE)&amp;" - Per "&amp;VLOOKUP($C$4,'Writing Logic'!$G$8:$H$14,2,FALSE),YES_Writing_ELA[#Headers],0))=0,"",INDEX(_xlfn.VSTACK(YES_Writing_ELA[#Data],YES_Writing_FLA[#Data]),MATCH($A329,_xlfn.VSTACK(YES_Writing_ELA[Student Number],YES_Writing_FLA[Student Number]),0),MATCH(VLOOKUP(G$7,'Writing Logic'!$J$7:$K$11,2,FALSE)&amp;" - Per "&amp;VLOOKUP($C$4,'Writing Logic'!$G$8:$H$14,2,FALSE),YES_Writing_ELA[#Headers],0)))),"")</f>
        <v/>
      </c>
      <c r="H329" s="223" t="str">
        <f>IFERROR(IF(IF(INDEX(_xlfn.VSTACK(YES_Writing_ELA[#Data],YES_Writing_FLA[#Data]),MATCH($A329,_xlfn.VSTACK(YES_Writing_ELA[Student Number],YES_Writing_FLA[Student Number]),0),MATCH(VLOOKUP(H$7,'Writing Logic'!$J$7:$K$11,2,FALSE)&amp;" - Per "&amp;VLOOKUP($C$4,'Writing Logic'!$G$8:$H$14,2,FALSE),YES_Writing_ELA[#Headers],0))=0,"",INDEX(_xlfn.VSTACK(YES_Writing_ELA[#Data],YES_Writing_FLA[#Data]),MATCH($A329,_xlfn.VSTACK(YES_Writing_ELA[Student Number],YES_Writing_FLA[Student Number]),0),MATCH(VLOOKUP(H$7,'Writing Logic'!$J$7:$K$11,2,FALSE)&amp;" - Per "&amp;VLOOKUP($C$4,'Writing Logic'!$G$8:$H$14,2,FALSE),YES_Writing_ELA[#Headers],0)))="INS",'Writing Logic'!$B$7,IF(INDEX(_xlfn.VSTACK(YES_Writing_ELA[#Data],YES_Writing_FLA[#Data]),MATCH($A329,_xlfn.VSTACK(YES_Writing_ELA[Student Number],YES_Writing_FLA[Student Number]),0),MATCH(VLOOKUP(H$7,'Writing Logic'!$J$7:$K$11,2,FALSE)&amp;" - Per "&amp;VLOOKUP($C$4,'Writing Logic'!$G$8:$H$14,2,FALSE),YES_Writing_ELA[#Headers],0))=0,"",INDEX(_xlfn.VSTACK(YES_Writing_ELA[#Data],YES_Writing_FLA[#Data]),MATCH($A329,_xlfn.VSTACK(YES_Writing_ELA[Student Number],YES_Writing_FLA[Student Number]),0),MATCH(VLOOKUP(H$7,'Writing Logic'!$J$7:$K$11,2,FALSE)&amp;" - Per "&amp;VLOOKUP($C$4,'Writing Logic'!$G$8:$H$14,2,FALSE),YES_Writing_ELA[#Headers],0)))),"")</f>
        <v/>
      </c>
      <c r="I329" s="224" t="str" cm="1">
        <f t="array" aca="1" ref="I329" ca="1">IFERROR(
IF($G$3="ELA",
IF(VLOOKUP($A329, YES_Reading_ELA[], COLUMN(INDIRECT("YES_Reading_ELA[Difference - Per "&amp;VLOOKUP($G$4, 'Reading Report Logic'!$A$2:$B$8, 2, FALSE)&amp;"]")), FALSE)="", "",
VLOOKUP($A329,YES_Reading_ELA[], COLUMN(INDIRECT("YES_Reading_ELA[Difference - Per "&amp;VLOOKUP($G$4,'Reading Report Logic'!$A$2:$B$8,2,FALSE)&amp;"]")), FALSE)),
IF($G$3="FLA",
IF(VLOOKUP($A329, YES_Reading_FLA[], COLUMN(INDIRECT("YES_Reading_FLA[Difference - Per "&amp;VLOOKUP($G$4,'Reading Report Logic'!$A$2:$B$8,2,FALSE)&amp;"]")),FALSE)="","",
VLOOKUP($A329,YES_Reading_FLA[],COLUMN(INDIRECT("YES_Reading_FLA[Difference - Per "&amp;VLOOKUP($G$4,'Reading Report Logic'!$A$2:$B$8,2,FALSE)&amp;"]")),FALSE)),
IF($G$3="Combined",
IFERROR(
IF(VLOOKUP($A329, YES_Reading_ELA[], COLUMN(INDIRECT("YES_Reading_ELA[Difference - Per "&amp;VLOOKUP($G$4, 'Reading Report Logic'!$A$2:$B$8,2,FALSE)&amp;"]")), FALSE)="", "",
VLOOKUP($A329,YES_Reading_ELA[],COLUMN(INDIRECT("YES_Reading_ELA[Difference - Per "&amp;VLOOKUP($G$4,'Reading Report Logic'!$A$2:$B$8,2,FALSE)&amp;"]")),FALSE)),
IF(VLOOKUP($A329, YES_Reading_FLA[], COLUMN(INDIRECT("YES_Reading_FLA[Difference - Per "&amp;VLOOKUP($G$4, 'Reading Report Logic'!$A$2:$B$8, 2, FALSE)&amp;"]")),FALSE)="", "", VLOOKUP($A329,YES_Reading_FLA[],COLUMN(INDIRECT("YES_Reading_FLA[Difference - Per "&amp;VLOOKUP($G$4, 'Reading Report Logic'!$A$2:$B$8, 2, FALSE)&amp;"]")),FALSE))),""))),"")</f>
        <v/>
      </c>
    </row>
    <row r="330" spans="1:9" x14ac:dyDescent="0.25">
      <c r="A330" s="137"/>
      <c r="B330" s="137" t="str">
        <f>IFERROR(INDEX(_xlfn.VSTACK(YES_Writing_ELA[#Data], YES_Writing_FLA[#Data]),MATCH($A330,_xlfn.VSTACK(YES_Writing_ELA[Student Number], YES_Writing_FLA[Student Number]),0),MATCH(B$7,YES_Writing_ELA[#Headers],0)),IFERROR(INDEX(_xlfn.VSTACK(YES_Reading_ELA[#Data], YES_Reading_FLA[#Data]),MATCH($A330,_xlfn.VSTACK(YES_Reading_ELA[Student Number], YES_Reading_FLA[Student Number]),0),MATCH(B$7,YES_Reading_ELA[#Headers],0)),""))</f>
        <v/>
      </c>
      <c r="C330" s="137" t="str">
        <f>IFERROR(INDEX(_xlfn.VSTACK(YES_Writing_ELA[#Data], YES_Writing_FLA[#Data]),MATCH($A330,_xlfn.VSTACK(YES_Writing_ELA[Student Number], YES_Writing_FLA[Student Number]),0),MATCH(C$7,YES_Writing_ELA[#Headers],0)),IFERROR(INDEX(_xlfn.VSTACK(YES_Reading_ELA[#Data], YES_Reading_FLA[#Data]),MATCH($A330,_xlfn.VSTACK(YES_Reading_ELA[Student Number], YES_Reading_FLA[Student Number]),0),MATCH(C$7,YES_Reading_ELA[#Headers],0)),""))</f>
        <v/>
      </c>
      <c r="D330" s="138" t="str">
        <f>IFERROR(IF(IF(INDEX(_xlfn.VSTACK(YES_Writing_ELA[#Data],YES_Writing_FLA[#Data]),MATCH($A330,_xlfn.VSTACK(YES_Writing_ELA[Student Number],YES_Writing_FLA[Student Number]),0),MATCH(VLOOKUP(D$7,'Writing Logic'!$J$7:$K$11,2,FALSE)&amp;" - Per "&amp;VLOOKUP($C$4,'Writing Logic'!$G$8:$H$14,2,FALSE),YES_Writing_ELA[#Headers],0))=0,"",INDEX(_xlfn.VSTACK(YES_Writing_ELA[#Data],YES_Writing_FLA[#Data]),MATCH($A330,_xlfn.VSTACK(YES_Writing_ELA[Student Number],YES_Writing_FLA[Student Number]),0),MATCH(VLOOKUP(D$7,'Writing Logic'!$J$7:$K$11,2,FALSE)&amp;" - Per "&amp;VLOOKUP($C$4,'Writing Logic'!$G$8:$H$14,2,FALSE),YES_Writing_ELA[#Headers],0)))="INS",'Writing Logic'!$B$7,IF(INDEX(_xlfn.VSTACK(YES_Writing_ELA[#Data],YES_Writing_FLA[#Data]),MATCH($A330,_xlfn.VSTACK(YES_Writing_ELA[Student Number],YES_Writing_FLA[Student Number]),0),MATCH(VLOOKUP(D$7,'Writing Logic'!$J$7:$K$11,2,FALSE)&amp;" - Per "&amp;VLOOKUP($C$4,'Writing Logic'!$G$8:$H$14,2,FALSE),YES_Writing_ELA[#Headers],0))=0,"",INDEX(_xlfn.VSTACK(YES_Writing_ELA[#Data],YES_Writing_FLA[#Data]),MATCH($A330,_xlfn.VSTACK(YES_Writing_ELA[Student Number],YES_Writing_FLA[Student Number]),0),MATCH(VLOOKUP(D$7,'Writing Logic'!$J$7:$K$11,2,FALSE)&amp;" - Per "&amp;VLOOKUP($C$4,'Writing Logic'!$G$8:$H$14,2,FALSE),YES_Writing_ELA[#Headers],0)))),"")</f>
        <v/>
      </c>
      <c r="E330" s="138" t="str">
        <f>IFERROR(IF(IF(INDEX(_xlfn.VSTACK(YES_Writing_ELA[#Data],YES_Writing_FLA[#Data]),MATCH($A330,_xlfn.VSTACK(YES_Writing_ELA[Student Number],YES_Writing_FLA[Student Number]),0),MATCH(VLOOKUP(E$7,'Writing Logic'!$J$7:$K$11,2,FALSE)&amp;" - Per "&amp;VLOOKUP($C$4,'Writing Logic'!$G$8:$H$14,2,FALSE),YES_Writing_ELA[#Headers],0))=0,"",INDEX(_xlfn.VSTACK(YES_Writing_ELA[#Data],YES_Writing_FLA[#Data]),MATCH($A330,_xlfn.VSTACK(YES_Writing_ELA[Student Number],YES_Writing_FLA[Student Number]),0),MATCH(VLOOKUP(E$7,'Writing Logic'!$J$7:$K$11,2,FALSE)&amp;" - Per "&amp;VLOOKUP($C$4,'Writing Logic'!$G$8:$H$14,2,FALSE),YES_Writing_ELA[#Headers],0)))="INS",'Writing Logic'!$B$7,IF(INDEX(_xlfn.VSTACK(YES_Writing_ELA[#Data],YES_Writing_FLA[#Data]),MATCH($A330,_xlfn.VSTACK(YES_Writing_ELA[Student Number],YES_Writing_FLA[Student Number]),0),MATCH(VLOOKUP(E$7,'Writing Logic'!$J$7:$K$11,2,FALSE)&amp;" - Per "&amp;VLOOKUP($C$4,'Writing Logic'!$G$8:$H$14,2,FALSE),YES_Writing_ELA[#Headers],0))=0,"",INDEX(_xlfn.VSTACK(YES_Writing_ELA[#Data],YES_Writing_FLA[#Data]),MATCH($A330,_xlfn.VSTACK(YES_Writing_ELA[Student Number],YES_Writing_FLA[Student Number]),0),MATCH(VLOOKUP(E$7,'Writing Logic'!$J$7:$K$11,2,FALSE)&amp;" - Per "&amp;VLOOKUP($C$4,'Writing Logic'!$G$8:$H$14,2,FALSE),YES_Writing_ELA[#Headers],0)))),"")</f>
        <v/>
      </c>
      <c r="F330" s="138" t="str">
        <f>IFERROR(IF(IF(INDEX(_xlfn.VSTACK(YES_Writing_ELA[#Data],YES_Writing_FLA[#Data]),MATCH($A330,_xlfn.VSTACK(YES_Writing_ELA[Student Number],YES_Writing_FLA[Student Number]),0),MATCH(VLOOKUP(F$7,'Writing Logic'!$J$7:$K$11,2,FALSE)&amp;" - Per "&amp;VLOOKUP($C$4,'Writing Logic'!$G$8:$H$14,2,FALSE),YES_Writing_ELA[#Headers],0))=0,"",INDEX(_xlfn.VSTACK(YES_Writing_ELA[#Data],YES_Writing_FLA[#Data]),MATCH($A330,_xlfn.VSTACK(YES_Writing_ELA[Student Number],YES_Writing_FLA[Student Number]),0),MATCH(VLOOKUP(F$7,'Writing Logic'!$J$7:$K$11,2,FALSE)&amp;" - Per "&amp;VLOOKUP($C$4,'Writing Logic'!$G$8:$H$14,2,FALSE),YES_Writing_ELA[#Headers],0)))="INS",'Writing Logic'!$B$7,IF(INDEX(_xlfn.VSTACK(YES_Writing_ELA[#Data],YES_Writing_FLA[#Data]),MATCH($A330,_xlfn.VSTACK(YES_Writing_ELA[Student Number],YES_Writing_FLA[Student Number]),0),MATCH(VLOOKUP(F$7,'Writing Logic'!$J$7:$K$11,2,FALSE)&amp;" - Per "&amp;VLOOKUP($C$4,'Writing Logic'!$G$8:$H$14,2,FALSE),YES_Writing_ELA[#Headers],0))=0,"",INDEX(_xlfn.VSTACK(YES_Writing_ELA[#Data],YES_Writing_FLA[#Data]),MATCH($A330,_xlfn.VSTACK(YES_Writing_ELA[Student Number],YES_Writing_FLA[Student Number]),0),MATCH(VLOOKUP(F$7,'Writing Logic'!$J$7:$K$11,2,FALSE)&amp;" - Per "&amp;VLOOKUP($C$4,'Writing Logic'!$G$8:$H$14,2,FALSE),YES_Writing_ELA[#Headers],0)))),"")</f>
        <v/>
      </c>
      <c r="G330" s="138" t="str">
        <f>IFERROR(IF(IF(INDEX(_xlfn.VSTACK(YES_Writing_ELA[#Data],YES_Writing_FLA[#Data]),MATCH($A330,_xlfn.VSTACK(YES_Writing_ELA[Student Number],YES_Writing_FLA[Student Number]),0),MATCH(VLOOKUP(G$7,'Writing Logic'!$J$7:$K$11,2,FALSE)&amp;" - Per "&amp;VLOOKUP($C$4,'Writing Logic'!$G$8:$H$14,2,FALSE),YES_Writing_ELA[#Headers],0))=0,"",INDEX(_xlfn.VSTACK(YES_Writing_ELA[#Data],YES_Writing_FLA[#Data]),MATCH($A330,_xlfn.VSTACK(YES_Writing_ELA[Student Number],YES_Writing_FLA[Student Number]),0),MATCH(VLOOKUP(G$7,'Writing Logic'!$J$7:$K$11,2,FALSE)&amp;" - Per "&amp;VLOOKUP($C$4,'Writing Logic'!$G$8:$H$14,2,FALSE),YES_Writing_ELA[#Headers],0)))="INS",'Writing Logic'!$B$7,IF(INDEX(_xlfn.VSTACK(YES_Writing_ELA[#Data],YES_Writing_FLA[#Data]),MATCH($A330,_xlfn.VSTACK(YES_Writing_ELA[Student Number],YES_Writing_FLA[Student Number]),0),MATCH(VLOOKUP(G$7,'Writing Logic'!$J$7:$K$11,2,FALSE)&amp;" - Per "&amp;VLOOKUP($C$4,'Writing Logic'!$G$8:$H$14,2,FALSE),YES_Writing_ELA[#Headers],0))=0,"",INDEX(_xlfn.VSTACK(YES_Writing_ELA[#Data],YES_Writing_FLA[#Data]),MATCH($A330,_xlfn.VSTACK(YES_Writing_ELA[Student Number],YES_Writing_FLA[Student Number]),0),MATCH(VLOOKUP(G$7,'Writing Logic'!$J$7:$K$11,2,FALSE)&amp;" - Per "&amp;VLOOKUP($C$4,'Writing Logic'!$G$8:$H$14,2,FALSE),YES_Writing_ELA[#Headers],0)))),"")</f>
        <v/>
      </c>
      <c r="H330" s="223" t="str">
        <f>IFERROR(IF(IF(INDEX(_xlfn.VSTACK(YES_Writing_ELA[#Data],YES_Writing_FLA[#Data]),MATCH($A330,_xlfn.VSTACK(YES_Writing_ELA[Student Number],YES_Writing_FLA[Student Number]),0),MATCH(VLOOKUP(H$7,'Writing Logic'!$J$7:$K$11,2,FALSE)&amp;" - Per "&amp;VLOOKUP($C$4,'Writing Logic'!$G$8:$H$14,2,FALSE),YES_Writing_ELA[#Headers],0))=0,"",INDEX(_xlfn.VSTACK(YES_Writing_ELA[#Data],YES_Writing_FLA[#Data]),MATCH($A330,_xlfn.VSTACK(YES_Writing_ELA[Student Number],YES_Writing_FLA[Student Number]),0),MATCH(VLOOKUP(H$7,'Writing Logic'!$J$7:$K$11,2,FALSE)&amp;" - Per "&amp;VLOOKUP($C$4,'Writing Logic'!$G$8:$H$14,2,FALSE),YES_Writing_ELA[#Headers],0)))="INS",'Writing Logic'!$B$7,IF(INDEX(_xlfn.VSTACK(YES_Writing_ELA[#Data],YES_Writing_FLA[#Data]),MATCH($A330,_xlfn.VSTACK(YES_Writing_ELA[Student Number],YES_Writing_FLA[Student Number]),0),MATCH(VLOOKUP(H$7,'Writing Logic'!$J$7:$K$11,2,FALSE)&amp;" - Per "&amp;VLOOKUP($C$4,'Writing Logic'!$G$8:$H$14,2,FALSE),YES_Writing_ELA[#Headers],0))=0,"",INDEX(_xlfn.VSTACK(YES_Writing_ELA[#Data],YES_Writing_FLA[#Data]),MATCH($A330,_xlfn.VSTACK(YES_Writing_ELA[Student Number],YES_Writing_FLA[Student Number]),0),MATCH(VLOOKUP(H$7,'Writing Logic'!$J$7:$K$11,2,FALSE)&amp;" - Per "&amp;VLOOKUP($C$4,'Writing Logic'!$G$8:$H$14,2,FALSE),YES_Writing_ELA[#Headers],0)))),"")</f>
        <v/>
      </c>
      <c r="I330" s="224" t="str" cm="1">
        <f t="array" aca="1" ref="I330" ca="1">IFERROR(
IF($G$3="ELA",
IF(VLOOKUP($A330, YES_Reading_ELA[], COLUMN(INDIRECT("YES_Reading_ELA[Difference - Per "&amp;VLOOKUP($G$4, 'Reading Report Logic'!$A$2:$B$8, 2, FALSE)&amp;"]")), FALSE)="", "",
VLOOKUP($A330,YES_Reading_ELA[], COLUMN(INDIRECT("YES_Reading_ELA[Difference - Per "&amp;VLOOKUP($G$4,'Reading Report Logic'!$A$2:$B$8,2,FALSE)&amp;"]")), FALSE)),
IF($G$3="FLA",
IF(VLOOKUP($A330, YES_Reading_FLA[], COLUMN(INDIRECT("YES_Reading_FLA[Difference - Per "&amp;VLOOKUP($G$4,'Reading Report Logic'!$A$2:$B$8,2,FALSE)&amp;"]")),FALSE)="","",
VLOOKUP($A330,YES_Reading_FLA[],COLUMN(INDIRECT("YES_Reading_FLA[Difference - Per "&amp;VLOOKUP($G$4,'Reading Report Logic'!$A$2:$B$8,2,FALSE)&amp;"]")),FALSE)),
IF($G$3="Combined",
IFERROR(
IF(VLOOKUP($A330, YES_Reading_ELA[], COLUMN(INDIRECT("YES_Reading_ELA[Difference - Per "&amp;VLOOKUP($G$4, 'Reading Report Logic'!$A$2:$B$8,2,FALSE)&amp;"]")), FALSE)="", "",
VLOOKUP($A330,YES_Reading_ELA[],COLUMN(INDIRECT("YES_Reading_ELA[Difference - Per "&amp;VLOOKUP($G$4,'Reading Report Logic'!$A$2:$B$8,2,FALSE)&amp;"]")),FALSE)),
IF(VLOOKUP($A330, YES_Reading_FLA[], COLUMN(INDIRECT("YES_Reading_FLA[Difference - Per "&amp;VLOOKUP($G$4, 'Reading Report Logic'!$A$2:$B$8, 2, FALSE)&amp;"]")),FALSE)="", "", VLOOKUP($A330,YES_Reading_FLA[],COLUMN(INDIRECT("YES_Reading_FLA[Difference - Per "&amp;VLOOKUP($G$4, 'Reading Report Logic'!$A$2:$B$8, 2, FALSE)&amp;"]")),FALSE))),""))),"")</f>
        <v/>
      </c>
    </row>
    <row r="331" spans="1:9" x14ac:dyDescent="0.25">
      <c r="A331" s="137"/>
      <c r="B331" s="137" t="str">
        <f>IFERROR(INDEX(_xlfn.VSTACK(YES_Writing_ELA[#Data], YES_Writing_FLA[#Data]),MATCH($A331,_xlfn.VSTACK(YES_Writing_ELA[Student Number], YES_Writing_FLA[Student Number]),0),MATCH(B$7,YES_Writing_ELA[#Headers],0)),IFERROR(INDEX(_xlfn.VSTACK(YES_Reading_ELA[#Data], YES_Reading_FLA[#Data]),MATCH($A331,_xlfn.VSTACK(YES_Reading_ELA[Student Number], YES_Reading_FLA[Student Number]),0),MATCH(B$7,YES_Reading_ELA[#Headers],0)),""))</f>
        <v/>
      </c>
      <c r="C331" s="137" t="str">
        <f>IFERROR(INDEX(_xlfn.VSTACK(YES_Writing_ELA[#Data], YES_Writing_FLA[#Data]),MATCH($A331,_xlfn.VSTACK(YES_Writing_ELA[Student Number], YES_Writing_FLA[Student Number]),0),MATCH(C$7,YES_Writing_ELA[#Headers],0)),IFERROR(INDEX(_xlfn.VSTACK(YES_Reading_ELA[#Data], YES_Reading_FLA[#Data]),MATCH($A331,_xlfn.VSTACK(YES_Reading_ELA[Student Number], YES_Reading_FLA[Student Number]),0),MATCH(C$7,YES_Reading_ELA[#Headers],0)),""))</f>
        <v/>
      </c>
      <c r="D331" s="138" t="str">
        <f>IFERROR(IF(IF(INDEX(_xlfn.VSTACK(YES_Writing_ELA[#Data],YES_Writing_FLA[#Data]),MATCH($A331,_xlfn.VSTACK(YES_Writing_ELA[Student Number],YES_Writing_FLA[Student Number]),0),MATCH(VLOOKUP(D$7,'Writing Logic'!$J$7:$K$11,2,FALSE)&amp;" - Per "&amp;VLOOKUP($C$4,'Writing Logic'!$G$8:$H$14,2,FALSE),YES_Writing_ELA[#Headers],0))=0,"",INDEX(_xlfn.VSTACK(YES_Writing_ELA[#Data],YES_Writing_FLA[#Data]),MATCH($A331,_xlfn.VSTACK(YES_Writing_ELA[Student Number],YES_Writing_FLA[Student Number]),0),MATCH(VLOOKUP(D$7,'Writing Logic'!$J$7:$K$11,2,FALSE)&amp;" - Per "&amp;VLOOKUP($C$4,'Writing Logic'!$G$8:$H$14,2,FALSE),YES_Writing_ELA[#Headers],0)))="INS",'Writing Logic'!$B$7,IF(INDEX(_xlfn.VSTACK(YES_Writing_ELA[#Data],YES_Writing_FLA[#Data]),MATCH($A331,_xlfn.VSTACK(YES_Writing_ELA[Student Number],YES_Writing_FLA[Student Number]),0),MATCH(VLOOKUP(D$7,'Writing Logic'!$J$7:$K$11,2,FALSE)&amp;" - Per "&amp;VLOOKUP($C$4,'Writing Logic'!$G$8:$H$14,2,FALSE),YES_Writing_ELA[#Headers],0))=0,"",INDEX(_xlfn.VSTACK(YES_Writing_ELA[#Data],YES_Writing_FLA[#Data]),MATCH($A331,_xlfn.VSTACK(YES_Writing_ELA[Student Number],YES_Writing_FLA[Student Number]),0),MATCH(VLOOKUP(D$7,'Writing Logic'!$J$7:$K$11,2,FALSE)&amp;" - Per "&amp;VLOOKUP($C$4,'Writing Logic'!$G$8:$H$14,2,FALSE),YES_Writing_ELA[#Headers],0)))),"")</f>
        <v/>
      </c>
      <c r="E331" s="138" t="str">
        <f>IFERROR(IF(IF(INDEX(_xlfn.VSTACK(YES_Writing_ELA[#Data],YES_Writing_FLA[#Data]),MATCH($A331,_xlfn.VSTACK(YES_Writing_ELA[Student Number],YES_Writing_FLA[Student Number]),0),MATCH(VLOOKUP(E$7,'Writing Logic'!$J$7:$K$11,2,FALSE)&amp;" - Per "&amp;VLOOKUP($C$4,'Writing Logic'!$G$8:$H$14,2,FALSE),YES_Writing_ELA[#Headers],0))=0,"",INDEX(_xlfn.VSTACK(YES_Writing_ELA[#Data],YES_Writing_FLA[#Data]),MATCH($A331,_xlfn.VSTACK(YES_Writing_ELA[Student Number],YES_Writing_FLA[Student Number]),0),MATCH(VLOOKUP(E$7,'Writing Logic'!$J$7:$K$11,2,FALSE)&amp;" - Per "&amp;VLOOKUP($C$4,'Writing Logic'!$G$8:$H$14,2,FALSE),YES_Writing_ELA[#Headers],0)))="INS",'Writing Logic'!$B$7,IF(INDEX(_xlfn.VSTACK(YES_Writing_ELA[#Data],YES_Writing_FLA[#Data]),MATCH($A331,_xlfn.VSTACK(YES_Writing_ELA[Student Number],YES_Writing_FLA[Student Number]),0),MATCH(VLOOKUP(E$7,'Writing Logic'!$J$7:$K$11,2,FALSE)&amp;" - Per "&amp;VLOOKUP($C$4,'Writing Logic'!$G$8:$H$14,2,FALSE),YES_Writing_ELA[#Headers],0))=0,"",INDEX(_xlfn.VSTACK(YES_Writing_ELA[#Data],YES_Writing_FLA[#Data]),MATCH($A331,_xlfn.VSTACK(YES_Writing_ELA[Student Number],YES_Writing_FLA[Student Number]),0),MATCH(VLOOKUP(E$7,'Writing Logic'!$J$7:$K$11,2,FALSE)&amp;" - Per "&amp;VLOOKUP($C$4,'Writing Logic'!$G$8:$H$14,2,FALSE),YES_Writing_ELA[#Headers],0)))),"")</f>
        <v/>
      </c>
      <c r="F331" s="138" t="str">
        <f>IFERROR(IF(IF(INDEX(_xlfn.VSTACK(YES_Writing_ELA[#Data],YES_Writing_FLA[#Data]),MATCH($A331,_xlfn.VSTACK(YES_Writing_ELA[Student Number],YES_Writing_FLA[Student Number]),0),MATCH(VLOOKUP(F$7,'Writing Logic'!$J$7:$K$11,2,FALSE)&amp;" - Per "&amp;VLOOKUP($C$4,'Writing Logic'!$G$8:$H$14,2,FALSE),YES_Writing_ELA[#Headers],0))=0,"",INDEX(_xlfn.VSTACK(YES_Writing_ELA[#Data],YES_Writing_FLA[#Data]),MATCH($A331,_xlfn.VSTACK(YES_Writing_ELA[Student Number],YES_Writing_FLA[Student Number]),0),MATCH(VLOOKUP(F$7,'Writing Logic'!$J$7:$K$11,2,FALSE)&amp;" - Per "&amp;VLOOKUP($C$4,'Writing Logic'!$G$8:$H$14,2,FALSE),YES_Writing_ELA[#Headers],0)))="INS",'Writing Logic'!$B$7,IF(INDEX(_xlfn.VSTACK(YES_Writing_ELA[#Data],YES_Writing_FLA[#Data]),MATCH($A331,_xlfn.VSTACK(YES_Writing_ELA[Student Number],YES_Writing_FLA[Student Number]),0),MATCH(VLOOKUP(F$7,'Writing Logic'!$J$7:$K$11,2,FALSE)&amp;" - Per "&amp;VLOOKUP($C$4,'Writing Logic'!$G$8:$H$14,2,FALSE),YES_Writing_ELA[#Headers],0))=0,"",INDEX(_xlfn.VSTACK(YES_Writing_ELA[#Data],YES_Writing_FLA[#Data]),MATCH($A331,_xlfn.VSTACK(YES_Writing_ELA[Student Number],YES_Writing_FLA[Student Number]),0),MATCH(VLOOKUP(F$7,'Writing Logic'!$J$7:$K$11,2,FALSE)&amp;" - Per "&amp;VLOOKUP($C$4,'Writing Logic'!$G$8:$H$14,2,FALSE),YES_Writing_ELA[#Headers],0)))),"")</f>
        <v/>
      </c>
      <c r="G331" s="138" t="str">
        <f>IFERROR(IF(IF(INDEX(_xlfn.VSTACK(YES_Writing_ELA[#Data],YES_Writing_FLA[#Data]),MATCH($A331,_xlfn.VSTACK(YES_Writing_ELA[Student Number],YES_Writing_FLA[Student Number]),0),MATCH(VLOOKUP(G$7,'Writing Logic'!$J$7:$K$11,2,FALSE)&amp;" - Per "&amp;VLOOKUP($C$4,'Writing Logic'!$G$8:$H$14,2,FALSE),YES_Writing_ELA[#Headers],0))=0,"",INDEX(_xlfn.VSTACK(YES_Writing_ELA[#Data],YES_Writing_FLA[#Data]),MATCH($A331,_xlfn.VSTACK(YES_Writing_ELA[Student Number],YES_Writing_FLA[Student Number]),0),MATCH(VLOOKUP(G$7,'Writing Logic'!$J$7:$K$11,2,FALSE)&amp;" - Per "&amp;VLOOKUP($C$4,'Writing Logic'!$G$8:$H$14,2,FALSE),YES_Writing_ELA[#Headers],0)))="INS",'Writing Logic'!$B$7,IF(INDEX(_xlfn.VSTACK(YES_Writing_ELA[#Data],YES_Writing_FLA[#Data]),MATCH($A331,_xlfn.VSTACK(YES_Writing_ELA[Student Number],YES_Writing_FLA[Student Number]),0),MATCH(VLOOKUP(G$7,'Writing Logic'!$J$7:$K$11,2,FALSE)&amp;" - Per "&amp;VLOOKUP($C$4,'Writing Logic'!$G$8:$H$14,2,FALSE),YES_Writing_ELA[#Headers],0))=0,"",INDEX(_xlfn.VSTACK(YES_Writing_ELA[#Data],YES_Writing_FLA[#Data]),MATCH($A331,_xlfn.VSTACK(YES_Writing_ELA[Student Number],YES_Writing_FLA[Student Number]),0),MATCH(VLOOKUP(G$7,'Writing Logic'!$J$7:$K$11,2,FALSE)&amp;" - Per "&amp;VLOOKUP($C$4,'Writing Logic'!$G$8:$H$14,2,FALSE),YES_Writing_ELA[#Headers],0)))),"")</f>
        <v/>
      </c>
      <c r="H331" s="223" t="str">
        <f>IFERROR(IF(IF(INDEX(_xlfn.VSTACK(YES_Writing_ELA[#Data],YES_Writing_FLA[#Data]),MATCH($A331,_xlfn.VSTACK(YES_Writing_ELA[Student Number],YES_Writing_FLA[Student Number]),0),MATCH(VLOOKUP(H$7,'Writing Logic'!$J$7:$K$11,2,FALSE)&amp;" - Per "&amp;VLOOKUP($C$4,'Writing Logic'!$G$8:$H$14,2,FALSE),YES_Writing_ELA[#Headers],0))=0,"",INDEX(_xlfn.VSTACK(YES_Writing_ELA[#Data],YES_Writing_FLA[#Data]),MATCH($A331,_xlfn.VSTACK(YES_Writing_ELA[Student Number],YES_Writing_FLA[Student Number]),0),MATCH(VLOOKUP(H$7,'Writing Logic'!$J$7:$K$11,2,FALSE)&amp;" - Per "&amp;VLOOKUP($C$4,'Writing Logic'!$G$8:$H$14,2,FALSE),YES_Writing_ELA[#Headers],0)))="INS",'Writing Logic'!$B$7,IF(INDEX(_xlfn.VSTACK(YES_Writing_ELA[#Data],YES_Writing_FLA[#Data]),MATCH($A331,_xlfn.VSTACK(YES_Writing_ELA[Student Number],YES_Writing_FLA[Student Number]),0),MATCH(VLOOKUP(H$7,'Writing Logic'!$J$7:$K$11,2,FALSE)&amp;" - Per "&amp;VLOOKUP($C$4,'Writing Logic'!$G$8:$H$14,2,FALSE),YES_Writing_ELA[#Headers],0))=0,"",INDEX(_xlfn.VSTACK(YES_Writing_ELA[#Data],YES_Writing_FLA[#Data]),MATCH($A331,_xlfn.VSTACK(YES_Writing_ELA[Student Number],YES_Writing_FLA[Student Number]),0),MATCH(VLOOKUP(H$7,'Writing Logic'!$J$7:$K$11,2,FALSE)&amp;" - Per "&amp;VLOOKUP($C$4,'Writing Logic'!$G$8:$H$14,2,FALSE),YES_Writing_ELA[#Headers],0)))),"")</f>
        <v/>
      </c>
      <c r="I331" s="224" t="str" cm="1">
        <f t="array" aca="1" ref="I331" ca="1">IFERROR(
IF($G$3="ELA",
IF(VLOOKUP($A331, YES_Reading_ELA[], COLUMN(INDIRECT("YES_Reading_ELA[Difference - Per "&amp;VLOOKUP($G$4, 'Reading Report Logic'!$A$2:$B$8, 2, FALSE)&amp;"]")), FALSE)="", "",
VLOOKUP($A331,YES_Reading_ELA[], COLUMN(INDIRECT("YES_Reading_ELA[Difference - Per "&amp;VLOOKUP($G$4,'Reading Report Logic'!$A$2:$B$8,2,FALSE)&amp;"]")), FALSE)),
IF($G$3="FLA",
IF(VLOOKUP($A331, YES_Reading_FLA[], COLUMN(INDIRECT("YES_Reading_FLA[Difference - Per "&amp;VLOOKUP($G$4,'Reading Report Logic'!$A$2:$B$8,2,FALSE)&amp;"]")),FALSE)="","",
VLOOKUP($A331,YES_Reading_FLA[],COLUMN(INDIRECT("YES_Reading_FLA[Difference - Per "&amp;VLOOKUP($G$4,'Reading Report Logic'!$A$2:$B$8,2,FALSE)&amp;"]")),FALSE)),
IF($G$3="Combined",
IFERROR(
IF(VLOOKUP($A331, YES_Reading_ELA[], COLUMN(INDIRECT("YES_Reading_ELA[Difference - Per "&amp;VLOOKUP($G$4, 'Reading Report Logic'!$A$2:$B$8,2,FALSE)&amp;"]")), FALSE)="", "",
VLOOKUP($A331,YES_Reading_ELA[],COLUMN(INDIRECT("YES_Reading_ELA[Difference - Per "&amp;VLOOKUP($G$4,'Reading Report Logic'!$A$2:$B$8,2,FALSE)&amp;"]")),FALSE)),
IF(VLOOKUP($A331, YES_Reading_FLA[], COLUMN(INDIRECT("YES_Reading_FLA[Difference - Per "&amp;VLOOKUP($G$4, 'Reading Report Logic'!$A$2:$B$8, 2, FALSE)&amp;"]")),FALSE)="", "", VLOOKUP($A331,YES_Reading_FLA[],COLUMN(INDIRECT("YES_Reading_FLA[Difference - Per "&amp;VLOOKUP($G$4, 'Reading Report Logic'!$A$2:$B$8, 2, FALSE)&amp;"]")),FALSE))),""))),"")</f>
        <v/>
      </c>
    </row>
    <row r="332" spans="1:9" x14ac:dyDescent="0.25">
      <c r="A332" s="137"/>
      <c r="B332" s="137" t="str">
        <f>IFERROR(INDEX(_xlfn.VSTACK(YES_Writing_ELA[#Data], YES_Writing_FLA[#Data]),MATCH($A332,_xlfn.VSTACK(YES_Writing_ELA[Student Number], YES_Writing_FLA[Student Number]),0),MATCH(B$7,YES_Writing_ELA[#Headers],0)),IFERROR(INDEX(_xlfn.VSTACK(YES_Reading_ELA[#Data], YES_Reading_FLA[#Data]),MATCH($A332,_xlfn.VSTACK(YES_Reading_ELA[Student Number], YES_Reading_FLA[Student Number]),0),MATCH(B$7,YES_Reading_ELA[#Headers],0)),""))</f>
        <v/>
      </c>
      <c r="C332" s="137" t="str">
        <f>IFERROR(INDEX(_xlfn.VSTACK(YES_Writing_ELA[#Data], YES_Writing_FLA[#Data]),MATCH($A332,_xlfn.VSTACK(YES_Writing_ELA[Student Number], YES_Writing_FLA[Student Number]),0),MATCH(C$7,YES_Writing_ELA[#Headers],0)),IFERROR(INDEX(_xlfn.VSTACK(YES_Reading_ELA[#Data], YES_Reading_FLA[#Data]),MATCH($A332,_xlfn.VSTACK(YES_Reading_ELA[Student Number], YES_Reading_FLA[Student Number]),0),MATCH(C$7,YES_Reading_ELA[#Headers],0)),""))</f>
        <v/>
      </c>
      <c r="D332" s="138" t="str">
        <f>IFERROR(IF(IF(INDEX(_xlfn.VSTACK(YES_Writing_ELA[#Data],YES_Writing_FLA[#Data]),MATCH($A332,_xlfn.VSTACK(YES_Writing_ELA[Student Number],YES_Writing_FLA[Student Number]),0),MATCH(VLOOKUP(D$7,'Writing Logic'!$J$7:$K$11,2,FALSE)&amp;" - Per "&amp;VLOOKUP($C$4,'Writing Logic'!$G$8:$H$14,2,FALSE),YES_Writing_ELA[#Headers],0))=0,"",INDEX(_xlfn.VSTACK(YES_Writing_ELA[#Data],YES_Writing_FLA[#Data]),MATCH($A332,_xlfn.VSTACK(YES_Writing_ELA[Student Number],YES_Writing_FLA[Student Number]),0),MATCH(VLOOKUP(D$7,'Writing Logic'!$J$7:$K$11,2,FALSE)&amp;" - Per "&amp;VLOOKUP($C$4,'Writing Logic'!$G$8:$H$14,2,FALSE),YES_Writing_ELA[#Headers],0)))="INS",'Writing Logic'!$B$7,IF(INDEX(_xlfn.VSTACK(YES_Writing_ELA[#Data],YES_Writing_FLA[#Data]),MATCH($A332,_xlfn.VSTACK(YES_Writing_ELA[Student Number],YES_Writing_FLA[Student Number]),0),MATCH(VLOOKUP(D$7,'Writing Logic'!$J$7:$K$11,2,FALSE)&amp;" - Per "&amp;VLOOKUP($C$4,'Writing Logic'!$G$8:$H$14,2,FALSE),YES_Writing_ELA[#Headers],0))=0,"",INDEX(_xlfn.VSTACK(YES_Writing_ELA[#Data],YES_Writing_FLA[#Data]),MATCH($A332,_xlfn.VSTACK(YES_Writing_ELA[Student Number],YES_Writing_FLA[Student Number]),0),MATCH(VLOOKUP(D$7,'Writing Logic'!$J$7:$K$11,2,FALSE)&amp;" - Per "&amp;VLOOKUP($C$4,'Writing Logic'!$G$8:$H$14,2,FALSE),YES_Writing_ELA[#Headers],0)))),"")</f>
        <v/>
      </c>
      <c r="E332" s="138" t="str">
        <f>IFERROR(IF(IF(INDEX(_xlfn.VSTACK(YES_Writing_ELA[#Data],YES_Writing_FLA[#Data]),MATCH($A332,_xlfn.VSTACK(YES_Writing_ELA[Student Number],YES_Writing_FLA[Student Number]),0),MATCH(VLOOKUP(E$7,'Writing Logic'!$J$7:$K$11,2,FALSE)&amp;" - Per "&amp;VLOOKUP($C$4,'Writing Logic'!$G$8:$H$14,2,FALSE),YES_Writing_ELA[#Headers],0))=0,"",INDEX(_xlfn.VSTACK(YES_Writing_ELA[#Data],YES_Writing_FLA[#Data]),MATCH($A332,_xlfn.VSTACK(YES_Writing_ELA[Student Number],YES_Writing_FLA[Student Number]),0),MATCH(VLOOKUP(E$7,'Writing Logic'!$J$7:$K$11,2,FALSE)&amp;" - Per "&amp;VLOOKUP($C$4,'Writing Logic'!$G$8:$H$14,2,FALSE),YES_Writing_ELA[#Headers],0)))="INS",'Writing Logic'!$B$7,IF(INDEX(_xlfn.VSTACK(YES_Writing_ELA[#Data],YES_Writing_FLA[#Data]),MATCH($A332,_xlfn.VSTACK(YES_Writing_ELA[Student Number],YES_Writing_FLA[Student Number]),0),MATCH(VLOOKUP(E$7,'Writing Logic'!$J$7:$K$11,2,FALSE)&amp;" - Per "&amp;VLOOKUP($C$4,'Writing Logic'!$G$8:$H$14,2,FALSE),YES_Writing_ELA[#Headers],0))=0,"",INDEX(_xlfn.VSTACK(YES_Writing_ELA[#Data],YES_Writing_FLA[#Data]),MATCH($A332,_xlfn.VSTACK(YES_Writing_ELA[Student Number],YES_Writing_FLA[Student Number]),0),MATCH(VLOOKUP(E$7,'Writing Logic'!$J$7:$K$11,2,FALSE)&amp;" - Per "&amp;VLOOKUP($C$4,'Writing Logic'!$G$8:$H$14,2,FALSE),YES_Writing_ELA[#Headers],0)))),"")</f>
        <v/>
      </c>
      <c r="F332" s="138" t="str">
        <f>IFERROR(IF(IF(INDEX(_xlfn.VSTACK(YES_Writing_ELA[#Data],YES_Writing_FLA[#Data]),MATCH($A332,_xlfn.VSTACK(YES_Writing_ELA[Student Number],YES_Writing_FLA[Student Number]),0),MATCH(VLOOKUP(F$7,'Writing Logic'!$J$7:$K$11,2,FALSE)&amp;" - Per "&amp;VLOOKUP($C$4,'Writing Logic'!$G$8:$H$14,2,FALSE),YES_Writing_ELA[#Headers],0))=0,"",INDEX(_xlfn.VSTACK(YES_Writing_ELA[#Data],YES_Writing_FLA[#Data]),MATCH($A332,_xlfn.VSTACK(YES_Writing_ELA[Student Number],YES_Writing_FLA[Student Number]),0),MATCH(VLOOKUP(F$7,'Writing Logic'!$J$7:$K$11,2,FALSE)&amp;" - Per "&amp;VLOOKUP($C$4,'Writing Logic'!$G$8:$H$14,2,FALSE),YES_Writing_ELA[#Headers],0)))="INS",'Writing Logic'!$B$7,IF(INDEX(_xlfn.VSTACK(YES_Writing_ELA[#Data],YES_Writing_FLA[#Data]),MATCH($A332,_xlfn.VSTACK(YES_Writing_ELA[Student Number],YES_Writing_FLA[Student Number]),0),MATCH(VLOOKUP(F$7,'Writing Logic'!$J$7:$K$11,2,FALSE)&amp;" - Per "&amp;VLOOKUP($C$4,'Writing Logic'!$G$8:$H$14,2,FALSE),YES_Writing_ELA[#Headers],0))=0,"",INDEX(_xlfn.VSTACK(YES_Writing_ELA[#Data],YES_Writing_FLA[#Data]),MATCH($A332,_xlfn.VSTACK(YES_Writing_ELA[Student Number],YES_Writing_FLA[Student Number]),0),MATCH(VLOOKUP(F$7,'Writing Logic'!$J$7:$K$11,2,FALSE)&amp;" - Per "&amp;VLOOKUP($C$4,'Writing Logic'!$G$8:$H$14,2,FALSE),YES_Writing_ELA[#Headers],0)))),"")</f>
        <v/>
      </c>
      <c r="G332" s="138" t="str">
        <f>IFERROR(IF(IF(INDEX(_xlfn.VSTACK(YES_Writing_ELA[#Data],YES_Writing_FLA[#Data]),MATCH($A332,_xlfn.VSTACK(YES_Writing_ELA[Student Number],YES_Writing_FLA[Student Number]),0),MATCH(VLOOKUP(G$7,'Writing Logic'!$J$7:$K$11,2,FALSE)&amp;" - Per "&amp;VLOOKUP($C$4,'Writing Logic'!$G$8:$H$14,2,FALSE),YES_Writing_ELA[#Headers],0))=0,"",INDEX(_xlfn.VSTACK(YES_Writing_ELA[#Data],YES_Writing_FLA[#Data]),MATCH($A332,_xlfn.VSTACK(YES_Writing_ELA[Student Number],YES_Writing_FLA[Student Number]),0),MATCH(VLOOKUP(G$7,'Writing Logic'!$J$7:$K$11,2,FALSE)&amp;" - Per "&amp;VLOOKUP($C$4,'Writing Logic'!$G$8:$H$14,2,FALSE),YES_Writing_ELA[#Headers],0)))="INS",'Writing Logic'!$B$7,IF(INDEX(_xlfn.VSTACK(YES_Writing_ELA[#Data],YES_Writing_FLA[#Data]),MATCH($A332,_xlfn.VSTACK(YES_Writing_ELA[Student Number],YES_Writing_FLA[Student Number]),0),MATCH(VLOOKUP(G$7,'Writing Logic'!$J$7:$K$11,2,FALSE)&amp;" - Per "&amp;VLOOKUP($C$4,'Writing Logic'!$G$8:$H$14,2,FALSE),YES_Writing_ELA[#Headers],0))=0,"",INDEX(_xlfn.VSTACK(YES_Writing_ELA[#Data],YES_Writing_FLA[#Data]),MATCH($A332,_xlfn.VSTACK(YES_Writing_ELA[Student Number],YES_Writing_FLA[Student Number]),0),MATCH(VLOOKUP(G$7,'Writing Logic'!$J$7:$K$11,2,FALSE)&amp;" - Per "&amp;VLOOKUP($C$4,'Writing Logic'!$G$8:$H$14,2,FALSE),YES_Writing_ELA[#Headers],0)))),"")</f>
        <v/>
      </c>
      <c r="H332" s="223" t="str">
        <f>IFERROR(IF(IF(INDEX(_xlfn.VSTACK(YES_Writing_ELA[#Data],YES_Writing_FLA[#Data]),MATCH($A332,_xlfn.VSTACK(YES_Writing_ELA[Student Number],YES_Writing_FLA[Student Number]),0),MATCH(VLOOKUP(H$7,'Writing Logic'!$J$7:$K$11,2,FALSE)&amp;" - Per "&amp;VLOOKUP($C$4,'Writing Logic'!$G$8:$H$14,2,FALSE),YES_Writing_ELA[#Headers],0))=0,"",INDEX(_xlfn.VSTACK(YES_Writing_ELA[#Data],YES_Writing_FLA[#Data]),MATCH($A332,_xlfn.VSTACK(YES_Writing_ELA[Student Number],YES_Writing_FLA[Student Number]),0),MATCH(VLOOKUP(H$7,'Writing Logic'!$J$7:$K$11,2,FALSE)&amp;" - Per "&amp;VLOOKUP($C$4,'Writing Logic'!$G$8:$H$14,2,FALSE),YES_Writing_ELA[#Headers],0)))="INS",'Writing Logic'!$B$7,IF(INDEX(_xlfn.VSTACK(YES_Writing_ELA[#Data],YES_Writing_FLA[#Data]),MATCH($A332,_xlfn.VSTACK(YES_Writing_ELA[Student Number],YES_Writing_FLA[Student Number]),0),MATCH(VLOOKUP(H$7,'Writing Logic'!$J$7:$K$11,2,FALSE)&amp;" - Per "&amp;VLOOKUP($C$4,'Writing Logic'!$G$8:$H$14,2,FALSE),YES_Writing_ELA[#Headers],0))=0,"",INDEX(_xlfn.VSTACK(YES_Writing_ELA[#Data],YES_Writing_FLA[#Data]),MATCH($A332,_xlfn.VSTACK(YES_Writing_ELA[Student Number],YES_Writing_FLA[Student Number]),0),MATCH(VLOOKUP(H$7,'Writing Logic'!$J$7:$K$11,2,FALSE)&amp;" - Per "&amp;VLOOKUP($C$4,'Writing Logic'!$G$8:$H$14,2,FALSE),YES_Writing_ELA[#Headers],0)))),"")</f>
        <v/>
      </c>
      <c r="I332" s="224" t="str" cm="1">
        <f t="array" aca="1" ref="I332" ca="1">IFERROR(
IF($G$3="ELA",
IF(VLOOKUP($A332, YES_Reading_ELA[], COLUMN(INDIRECT("YES_Reading_ELA[Difference - Per "&amp;VLOOKUP($G$4, 'Reading Report Logic'!$A$2:$B$8, 2, FALSE)&amp;"]")), FALSE)="", "",
VLOOKUP($A332,YES_Reading_ELA[], COLUMN(INDIRECT("YES_Reading_ELA[Difference - Per "&amp;VLOOKUP($G$4,'Reading Report Logic'!$A$2:$B$8,2,FALSE)&amp;"]")), FALSE)),
IF($G$3="FLA",
IF(VLOOKUP($A332, YES_Reading_FLA[], COLUMN(INDIRECT("YES_Reading_FLA[Difference - Per "&amp;VLOOKUP($G$4,'Reading Report Logic'!$A$2:$B$8,2,FALSE)&amp;"]")),FALSE)="","",
VLOOKUP($A332,YES_Reading_FLA[],COLUMN(INDIRECT("YES_Reading_FLA[Difference - Per "&amp;VLOOKUP($G$4,'Reading Report Logic'!$A$2:$B$8,2,FALSE)&amp;"]")),FALSE)),
IF($G$3="Combined",
IFERROR(
IF(VLOOKUP($A332, YES_Reading_ELA[], COLUMN(INDIRECT("YES_Reading_ELA[Difference - Per "&amp;VLOOKUP($G$4, 'Reading Report Logic'!$A$2:$B$8,2,FALSE)&amp;"]")), FALSE)="", "",
VLOOKUP($A332,YES_Reading_ELA[],COLUMN(INDIRECT("YES_Reading_ELA[Difference - Per "&amp;VLOOKUP($G$4,'Reading Report Logic'!$A$2:$B$8,2,FALSE)&amp;"]")),FALSE)),
IF(VLOOKUP($A332, YES_Reading_FLA[], COLUMN(INDIRECT("YES_Reading_FLA[Difference - Per "&amp;VLOOKUP($G$4, 'Reading Report Logic'!$A$2:$B$8, 2, FALSE)&amp;"]")),FALSE)="", "", VLOOKUP($A332,YES_Reading_FLA[],COLUMN(INDIRECT("YES_Reading_FLA[Difference - Per "&amp;VLOOKUP($G$4, 'Reading Report Logic'!$A$2:$B$8, 2, FALSE)&amp;"]")),FALSE))),""))),"")</f>
        <v/>
      </c>
    </row>
    <row r="333" spans="1:9" x14ac:dyDescent="0.25">
      <c r="A333" s="137"/>
      <c r="B333" s="137" t="str">
        <f>IFERROR(INDEX(_xlfn.VSTACK(YES_Writing_ELA[#Data], YES_Writing_FLA[#Data]),MATCH($A333,_xlfn.VSTACK(YES_Writing_ELA[Student Number], YES_Writing_FLA[Student Number]),0),MATCH(B$7,YES_Writing_ELA[#Headers],0)),IFERROR(INDEX(_xlfn.VSTACK(YES_Reading_ELA[#Data], YES_Reading_FLA[#Data]),MATCH($A333,_xlfn.VSTACK(YES_Reading_ELA[Student Number], YES_Reading_FLA[Student Number]),0),MATCH(B$7,YES_Reading_ELA[#Headers],0)),""))</f>
        <v/>
      </c>
      <c r="C333" s="137" t="str">
        <f>IFERROR(INDEX(_xlfn.VSTACK(YES_Writing_ELA[#Data], YES_Writing_FLA[#Data]),MATCH($A333,_xlfn.VSTACK(YES_Writing_ELA[Student Number], YES_Writing_FLA[Student Number]),0),MATCH(C$7,YES_Writing_ELA[#Headers],0)),IFERROR(INDEX(_xlfn.VSTACK(YES_Reading_ELA[#Data], YES_Reading_FLA[#Data]),MATCH($A333,_xlfn.VSTACK(YES_Reading_ELA[Student Number], YES_Reading_FLA[Student Number]),0),MATCH(C$7,YES_Reading_ELA[#Headers],0)),""))</f>
        <v/>
      </c>
      <c r="D333" s="138" t="str">
        <f>IFERROR(IF(IF(INDEX(_xlfn.VSTACK(YES_Writing_ELA[#Data],YES_Writing_FLA[#Data]),MATCH($A333,_xlfn.VSTACK(YES_Writing_ELA[Student Number],YES_Writing_FLA[Student Number]),0),MATCH(VLOOKUP(D$7,'Writing Logic'!$J$7:$K$11,2,FALSE)&amp;" - Per "&amp;VLOOKUP($C$4,'Writing Logic'!$G$8:$H$14,2,FALSE),YES_Writing_ELA[#Headers],0))=0,"",INDEX(_xlfn.VSTACK(YES_Writing_ELA[#Data],YES_Writing_FLA[#Data]),MATCH($A333,_xlfn.VSTACK(YES_Writing_ELA[Student Number],YES_Writing_FLA[Student Number]),0),MATCH(VLOOKUP(D$7,'Writing Logic'!$J$7:$K$11,2,FALSE)&amp;" - Per "&amp;VLOOKUP($C$4,'Writing Logic'!$G$8:$H$14,2,FALSE),YES_Writing_ELA[#Headers],0)))="INS",'Writing Logic'!$B$7,IF(INDEX(_xlfn.VSTACK(YES_Writing_ELA[#Data],YES_Writing_FLA[#Data]),MATCH($A333,_xlfn.VSTACK(YES_Writing_ELA[Student Number],YES_Writing_FLA[Student Number]),0),MATCH(VLOOKUP(D$7,'Writing Logic'!$J$7:$K$11,2,FALSE)&amp;" - Per "&amp;VLOOKUP($C$4,'Writing Logic'!$G$8:$H$14,2,FALSE),YES_Writing_ELA[#Headers],0))=0,"",INDEX(_xlfn.VSTACK(YES_Writing_ELA[#Data],YES_Writing_FLA[#Data]),MATCH($A333,_xlfn.VSTACK(YES_Writing_ELA[Student Number],YES_Writing_FLA[Student Number]),0),MATCH(VLOOKUP(D$7,'Writing Logic'!$J$7:$K$11,2,FALSE)&amp;" - Per "&amp;VLOOKUP($C$4,'Writing Logic'!$G$8:$H$14,2,FALSE),YES_Writing_ELA[#Headers],0)))),"")</f>
        <v/>
      </c>
      <c r="E333" s="138" t="str">
        <f>IFERROR(IF(IF(INDEX(_xlfn.VSTACK(YES_Writing_ELA[#Data],YES_Writing_FLA[#Data]),MATCH($A333,_xlfn.VSTACK(YES_Writing_ELA[Student Number],YES_Writing_FLA[Student Number]),0),MATCH(VLOOKUP(E$7,'Writing Logic'!$J$7:$K$11,2,FALSE)&amp;" - Per "&amp;VLOOKUP($C$4,'Writing Logic'!$G$8:$H$14,2,FALSE),YES_Writing_ELA[#Headers],0))=0,"",INDEX(_xlfn.VSTACK(YES_Writing_ELA[#Data],YES_Writing_FLA[#Data]),MATCH($A333,_xlfn.VSTACK(YES_Writing_ELA[Student Number],YES_Writing_FLA[Student Number]),0),MATCH(VLOOKUP(E$7,'Writing Logic'!$J$7:$K$11,2,FALSE)&amp;" - Per "&amp;VLOOKUP($C$4,'Writing Logic'!$G$8:$H$14,2,FALSE),YES_Writing_ELA[#Headers],0)))="INS",'Writing Logic'!$B$7,IF(INDEX(_xlfn.VSTACK(YES_Writing_ELA[#Data],YES_Writing_FLA[#Data]),MATCH($A333,_xlfn.VSTACK(YES_Writing_ELA[Student Number],YES_Writing_FLA[Student Number]),0),MATCH(VLOOKUP(E$7,'Writing Logic'!$J$7:$K$11,2,FALSE)&amp;" - Per "&amp;VLOOKUP($C$4,'Writing Logic'!$G$8:$H$14,2,FALSE),YES_Writing_ELA[#Headers],0))=0,"",INDEX(_xlfn.VSTACK(YES_Writing_ELA[#Data],YES_Writing_FLA[#Data]),MATCH($A333,_xlfn.VSTACK(YES_Writing_ELA[Student Number],YES_Writing_FLA[Student Number]),0),MATCH(VLOOKUP(E$7,'Writing Logic'!$J$7:$K$11,2,FALSE)&amp;" - Per "&amp;VLOOKUP($C$4,'Writing Logic'!$G$8:$H$14,2,FALSE),YES_Writing_ELA[#Headers],0)))),"")</f>
        <v/>
      </c>
      <c r="F333" s="138" t="str">
        <f>IFERROR(IF(IF(INDEX(_xlfn.VSTACK(YES_Writing_ELA[#Data],YES_Writing_FLA[#Data]),MATCH($A333,_xlfn.VSTACK(YES_Writing_ELA[Student Number],YES_Writing_FLA[Student Number]),0),MATCH(VLOOKUP(F$7,'Writing Logic'!$J$7:$K$11,2,FALSE)&amp;" - Per "&amp;VLOOKUP($C$4,'Writing Logic'!$G$8:$H$14,2,FALSE),YES_Writing_ELA[#Headers],0))=0,"",INDEX(_xlfn.VSTACK(YES_Writing_ELA[#Data],YES_Writing_FLA[#Data]),MATCH($A333,_xlfn.VSTACK(YES_Writing_ELA[Student Number],YES_Writing_FLA[Student Number]),0),MATCH(VLOOKUP(F$7,'Writing Logic'!$J$7:$K$11,2,FALSE)&amp;" - Per "&amp;VLOOKUP($C$4,'Writing Logic'!$G$8:$H$14,2,FALSE),YES_Writing_ELA[#Headers],0)))="INS",'Writing Logic'!$B$7,IF(INDEX(_xlfn.VSTACK(YES_Writing_ELA[#Data],YES_Writing_FLA[#Data]),MATCH($A333,_xlfn.VSTACK(YES_Writing_ELA[Student Number],YES_Writing_FLA[Student Number]),0),MATCH(VLOOKUP(F$7,'Writing Logic'!$J$7:$K$11,2,FALSE)&amp;" - Per "&amp;VLOOKUP($C$4,'Writing Logic'!$G$8:$H$14,2,FALSE),YES_Writing_ELA[#Headers],0))=0,"",INDEX(_xlfn.VSTACK(YES_Writing_ELA[#Data],YES_Writing_FLA[#Data]),MATCH($A333,_xlfn.VSTACK(YES_Writing_ELA[Student Number],YES_Writing_FLA[Student Number]),0),MATCH(VLOOKUP(F$7,'Writing Logic'!$J$7:$K$11,2,FALSE)&amp;" - Per "&amp;VLOOKUP($C$4,'Writing Logic'!$G$8:$H$14,2,FALSE),YES_Writing_ELA[#Headers],0)))),"")</f>
        <v/>
      </c>
      <c r="G333" s="138" t="str">
        <f>IFERROR(IF(IF(INDEX(_xlfn.VSTACK(YES_Writing_ELA[#Data],YES_Writing_FLA[#Data]),MATCH($A333,_xlfn.VSTACK(YES_Writing_ELA[Student Number],YES_Writing_FLA[Student Number]),0),MATCH(VLOOKUP(G$7,'Writing Logic'!$J$7:$K$11,2,FALSE)&amp;" - Per "&amp;VLOOKUP($C$4,'Writing Logic'!$G$8:$H$14,2,FALSE),YES_Writing_ELA[#Headers],0))=0,"",INDEX(_xlfn.VSTACK(YES_Writing_ELA[#Data],YES_Writing_FLA[#Data]),MATCH($A333,_xlfn.VSTACK(YES_Writing_ELA[Student Number],YES_Writing_FLA[Student Number]),0),MATCH(VLOOKUP(G$7,'Writing Logic'!$J$7:$K$11,2,FALSE)&amp;" - Per "&amp;VLOOKUP($C$4,'Writing Logic'!$G$8:$H$14,2,FALSE),YES_Writing_ELA[#Headers],0)))="INS",'Writing Logic'!$B$7,IF(INDEX(_xlfn.VSTACK(YES_Writing_ELA[#Data],YES_Writing_FLA[#Data]),MATCH($A333,_xlfn.VSTACK(YES_Writing_ELA[Student Number],YES_Writing_FLA[Student Number]),0),MATCH(VLOOKUP(G$7,'Writing Logic'!$J$7:$K$11,2,FALSE)&amp;" - Per "&amp;VLOOKUP($C$4,'Writing Logic'!$G$8:$H$14,2,FALSE),YES_Writing_ELA[#Headers],0))=0,"",INDEX(_xlfn.VSTACK(YES_Writing_ELA[#Data],YES_Writing_FLA[#Data]),MATCH($A333,_xlfn.VSTACK(YES_Writing_ELA[Student Number],YES_Writing_FLA[Student Number]),0),MATCH(VLOOKUP(G$7,'Writing Logic'!$J$7:$K$11,2,FALSE)&amp;" - Per "&amp;VLOOKUP($C$4,'Writing Logic'!$G$8:$H$14,2,FALSE),YES_Writing_ELA[#Headers],0)))),"")</f>
        <v/>
      </c>
      <c r="H333" s="223" t="str">
        <f>IFERROR(IF(IF(INDEX(_xlfn.VSTACK(YES_Writing_ELA[#Data],YES_Writing_FLA[#Data]),MATCH($A333,_xlfn.VSTACK(YES_Writing_ELA[Student Number],YES_Writing_FLA[Student Number]),0),MATCH(VLOOKUP(H$7,'Writing Logic'!$J$7:$K$11,2,FALSE)&amp;" - Per "&amp;VLOOKUP($C$4,'Writing Logic'!$G$8:$H$14,2,FALSE),YES_Writing_ELA[#Headers],0))=0,"",INDEX(_xlfn.VSTACK(YES_Writing_ELA[#Data],YES_Writing_FLA[#Data]),MATCH($A333,_xlfn.VSTACK(YES_Writing_ELA[Student Number],YES_Writing_FLA[Student Number]),0),MATCH(VLOOKUP(H$7,'Writing Logic'!$J$7:$K$11,2,FALSE)&amp;" - Per "&amp;VLOOKUP($C$4,'Writing Logic'!$G$8:$H$14,2,FALSE),YES_Writing_ELA[#Headers],0)))="INS",'Writing Logic'!$B$7,IF(INDEX(_xlfn.VSTACK(YES_Writing_ELA[#Data],YES_Writing_FLA[#Data]),MATCH($A333,_xlfn.VSTACK(YES_Writing_ELA[Student Number],YES_Writing_FLA[Student Number]),0),MATCH(VLOOKUP(H$7,'Writing Logic'!$J$7:$K$11,2,FALSE)&amp;" - Per "&amp;VLOOKUP($C$4,'Writing Logic'!$G$8:$H$14,2,FALSE),YES_Writing_ELA[#Headers],0))=0,"",INDEX(_xlfn.VSTACK(YES_Writing_ELA[#Data],YES_Writing_FLA[#Data]),MATCH($A333,_xlfn.VSTACK(YES_Writing_ELA[Student Number],YES_Writing_FLA[Student Number]),0),MATCH(VLOOKUP(H$7,'Writing Logic'!$J$7:$K$11,2,FALSE)&amp;" - Per "&amp;VLOOKUP($C$4,'Writing Logic'!$G$8:$H$14,2,FALSE),YES_Writing_ELA[#Headers],0)))),"")</f>
        <v/>
      </c>
      <c r="I333" s="224" t="str" cm="1">
        <f t="array" aca="1" ref="I333" ca="1">IFERROR(
IF($G$3="ELA",
IF(VLOOKUP($A333, YES_Reading_ELA[], COLUMN(INDIRECT("YES_Reading_ELA[Difference - Per "&amp;VLOOKUP($G$4, 'Reading Report Logic'!$A$2:$B$8, 2, FALSE)&amp;"]")), FALSE)="", "",
VLOOKUP($A333,YES_Reading_ELA[], COLUMN(INDIRECT("YES_Reading_ELA[Difference - Per "&amp;VLOOKUP($G$4,'Reading Report Logic'!$A$2:$B$8,2,FALSE)&amp;"]")), FALSE)),
IF($G$3="FLA",
IF(VLOOKUP($A333, YES_Reading_FLA[], COLUMN(INDIRECT("YES_Reading_FLA[Difference - Per "&amp;VLOOKUP($G$4,'Reading Report Logic'!$A$2:$B$8,2,FALSE)&amp;"]")),FALSE)="","",
VLOOKUP($A333,YES_Reading_FLA[],COLUMN(INDIRECT("YES_Reading_FLA[Difference - Per "&amp;VLOOKUP($G$4,'Reading Report Logic'!$A$2:$B$8,2,FALSE)&amp;"]")),FALSE)),
IF($G$3="Combined",
IFERROR(
IF(VLOOKUP($A333, YES_Reading_ELA[], COLUMN(INDIRECT("YES_Reading_ELA[Difference - Per "&amp;VLOOKUP($G$4, 'Reading Report Logic'!$A$2:$B$8,2,FALSE)&amp;"]")), FALSE)="", "",
VLOOKUP($A333,YES_Reading_ELA[],COLUMN(INDIRECT("YES_Reading_ELA[Difference - Per "&amp;VLOOKUP($G$4,'Reading Report Logic'!$A$2:$B$8,2,FALSE)&amp;"]")),FALSE)),
IF(VLOOKUP($A333, YES_Reading_FLA[], COLUMN(INDIRECT("YES_Reading_FLA[Difference - Per "&amp;VLOOKUP($G$4, 'Reading Report Logic'!$A$2:$B$8, 2, FALSE)&amp;"]")),FALSE)="", "", VLOOKUP($A333,YES_Reading_FLA[],COLUMN(INDIRECT("YES_Reading_FLA[Difference - Per "&amp;VLOOKUP($G$4, 'Reading Report Logic'!$A$2:$B$8, 2, FALSE)&amp;"]")),FALSE))),""))),"")</f>
        <v/>
      </c>
    </row>
    <row r="334" spans="1:9" x14ac:dyDescent="0.25">
      <c r="A334" s="137"/>
      <c r="B334" s="137" t="str">
        <f>IFERROR(INDEX(_xlfn.VSTACK(YES_Writing_ELA[#Data], YES_Writing_FLA[#Data]),MATCH($A334,_xlfn.VSTACK(YES_Writing_ELA[Student Number], YES_Writing_FLA[Student Number]),0),MATCH(B$7,YES_Writing_ELA[#Headers],0)),IFERROR(INDEX(_xlfn.VSTACK(YES_Reading_ELA[#Data], YES_Reading_FLA[#Data]),MATCH($A334,_xlfn.VSTACK(YES_Reading_ELA[Student Number], YES_Reading_FLA[Student Number]),0),MATCH(B$7,YES_Reading_ELA[#Headers],0)),""))</f>
        <v/>
      </c>
      <c r="C334" s="137" t="str">
        <f>IFERROR(INDEX(_xlfn.VSTACK(YES_Writing_ELA[#Data], YES_Writing_FLA[#Data]),MATCH($A334,_xlfn.VSTACK(YES_Writing_ELA[Student Number], YES_Writing_FLA[Student Number]),0),MATCH(C$7,YES_Writing_ELA[#Headers],0)),IFERROR(INDEX(_xlfn.VSTACK(YES_Reading_ELA[#Data], YES_Reading_FLA[#Data]),MATCH($A334,_xlfn.VSTACK(YES_Reading_ELA[Student Number], YES_Reading_FLA[Student Number]),0),MATCH(C$7,YES_Reading_ELA[#Headers],0)),""))</f>
        <v/>
      </c>
      <c r="D334" s="138" t="str">
        <f>IFERROR(IF(IF(INDEX(_xlfn.VSTACK(YES_Writing_ELA[#Data],YES_Writing_FLA[#Data]),MATCH($A334,_xlfn.VSTACK(YES_Writing_ELA[Student Number],YES_Writing_FLA[Student Number]),0),MATCH(VLOOKUP(D$7,'Writing Logic'!$J$7:$K$11,2,FALSE)&amp;" - Per "&amp;VLOOKUP($C$4,'Writing Logic'!$G$8:$H$14,2,FALSE),YES_Writing_ELA[#Headers],0))=0,"",INDEX(_xlfn.VSTACK(YES_Writing_ELA[#Data],YES_Writing_FLA[#Data]),MATCH($A334,_xlfn.VSTACK(YES_Writing_ELA[Student Number],YES_Writing_FLA[Student Number]),0),MATCH(VLOOKUP(D$7,'Writing Logic'!$J$7:$K$11,2,FALSE)&amp;" - Per "&amp;VLOOKUP($C$4,'Writing Logic'!$G$8:$H$14,2,FALSE),YES_Writing_ELA[#Headers],0)))="INS",'Writing Logic'!$B$7,IF(INDEX(_xlfn.VSTACK(YES_Writing_ELA[#Data],YES_Writing_FLA[#Data]),MATCH($A334,_xlfn.VSTACK(YES_Writing_ELA[Student Number],YES_Writing_FLA[Student Number]),0),MATCH(VLOOKUP(D$7,'Writing Logic'!$J$7:$K$11,2,FALSE)&amp;" - Per "&amp;VLOOKUP($C$4,'Writing Logic'!$G$8:$H$14,2,FALSE),YES_Writing_ELA[#Headers],0))=0,"",INDEX(_xlfn.VSTACK(YES_Writing_ELA[#Data],YES_Writing_FLA[#Data]),MATCH($A334,_xlfn.VSTACK(YES_Writing_ELA[Student Number],YES_Writing_FLA[Student Number]),0),MATCH(VLOOKUP(D$7,'Writing Logic'!$J$7:$K$11,2,FALSE)&amp;" - Per "&amp;VLOOKUP($C$4,'Writing Logic'!$G$8:$H$14,2,FALSE),YES_Writing_ELA[#Headers],0)))),"")</f>
        <v/>
      </c>
      <c r="E334" s="138" t="str">
        <f>IFERROR(IF(IF(INDEX(_xlfn.VSTACK(YES_Writing_ELA[#Data],YES_Writing_FLA[#Data]),MATCH($A334,_xlfn.VSTACK(YES_Writing_ELA[Student Number],YES_Writing_FLA[Student Number]),0),MATCH(VLOOKUP(E$7,'Writing Logic'!$J$7:$K$11,2,FALSE)&amp;" - Per "&amp;VLOOKUP($C$4,'Writing Logic'!$G$8:$H$14,2,FALSE),YES_Writing_ELA[#Headers],0))=0,"",INDEX(_xlfn.VSTACK(YES_Writing_ELA[#Data],YES_Writing_FLA[#Data]),MATCH($A334,_xlfn.VSTACK(YES_Writing_ELA[Student Number],YES_Writing_FLA[Student Number]),0),MATCH(VLOOKUP(E$7,'Writing Logic'!$J$7:$K$11,2,FALSE)&amp;" - Per "&amp;VLOOKUP($C$4,'Writing Logic'!$G$8:$H$14,2,FALSE),YES_Writing_ELA[#Headers],0)))="INS",'Writing Logic'!$B$7,IF(INDEX(_xlfn.VSTACK(YES_Writing_ELA[#Data],YES_Writing_FLA[#Data]),MATCH($A334,_xlfn.VSTACK(YES_Writing_ELA[Student Number],YES_Writing_FLA[Student Number]),0),MATCH(VLOOKUP(E$7,'Writing Logic'!$J$7:$K$11,2,FALSE)&amp;" - Per "&amp;VLOOKUP($C$4,'Writing Logic'!$G$8:$H$14,2,FALSE),YES_Writing_ELA[#Headers],0))=0,"",INDEX(_xlfn.VSTACK(YES_Writing_ELA[#Data],YES_Writing_FLA[#Data]),MATCH($A334,_xlfn.VSTACK(YES_Writing_ELA[Student Number],YES_Writing_FLA[Student Number]),0),MATCH(VLOOKUP(E$7,'Writing Logic'!$J$7:$K$11,2,FALSE)&amp;" - Per "&amp;VLOOKUP($C$4,'Writing Logic'!$G$8:$H$14,2,FALSE),YES_Writing_ELA[#Headers],0)))),"")</f>
        <v/>
      </c>
      <c r="F334" s="138" t="str">
        <f>IFERROR(IF(IF(INDEX(_xlfn.VSTACK(YES_Writing_ELA[#Data],YES_Writing_FLA[#Data]),MATCH($A334,_xlfn.VSTACK(YES_Writing_ELA[Student Number],YES_Writing_FLA[Student Number]),0),MATCH(VLOOKUP(F$7,'Writing Logic'!$J$7:$K$11,2,FALSE)&amp;" - Per "&amp;VLOOKUP($C$4,'Writing Logic'!$G$8:$H$14,2,FALSE),YES_Writing_ELA[#Headers],0))=0,"",INDEX(_xlfn.VSTACK(YES_Writing_ELA[#Data],YES_Writing_FLA[#Data]),MATCH($A334,_xlfn.VSTACK(YES_Writing_ELA[Student Number],YES_Writing_FLA[Student Number]),0),MATCH(VLOOKUP(F$7,'Writing Logic'!$J$7:$K$11,2,FALSE)&amp;" - Per "&amp;VLOOKUP($C$4,'Writing Logic'!$G$8:$H$14,2,FALSE),YES_Writing_ELA[#Headers],0)))="INS",'Writing Logic'!$B$7,IF(INDEX(_xlfn.VSTACK(YES_Writing_ELA[#Data],YES_Writing_FLA[#Data]),MATCH($A334,_xlfn.VSTACK(YES_Writing_ELA[Student Number],YES_Writing_FLA[Student Number]),0),MATCH(VLOOKUP(F$7,'Writing Logic'!$J$7:$K$11,2,FALSE)&amp;" - Per "&amp;VLOOKUP($C$4,'Writing Logic'!$G$8:$H$14,2,FALSE),YES_Writing_ELA[#Headers],0))=0,"",INDEX(_xlfn.VSTACK(YES_Writing_ELA[#Data],YES_Writing_FLA[#Data]),MATCH($A334,_xlfn.VSTACK(YES_Writing_ELA[Student Number],YES_Writing_FLA[Student Number]),0),MATCH(VLOOKUP(F$7,'Writing Logic'!$J$7:$K$11,2,FALSE)&amp;" - Per "&amp;VLOOKUP($C$4,'Writing Logic'!$G$8:$H$14,2,FALSE),YES_Writing_ELA[#Headers],0)))),"")</f>
        <v/>
      </c>
      <c r="G334" s="138" t="str">
        <f>IFERROR(IF(IF(INDEX(_xlfn.VSTACK(YES_Writing_ELA[#Data],YES_Writing_FLA[#Data]),MATCH($A334,_xlfn.VSTACK(YES_Writing_ELA[Student Number],YES_Writing_FLA[Student Number]),0),MATCH(VLOOKUP(G$7,'Writing Logic'!$J$7:$K$11,2,FALSE)&amp;" - Per "&amp;VLOOKUP($C$4,'Writing Logic'!$G$8:$H$14,2,FALSE),YES_Writing_ELA[#Headers],0))=0,"",INDEX(_xlfn.VSTACK(YES_Writing_ELA[#Data],YES_Writing_FLA[#Data]),MATCH($A334,_xlfn.VSTACK(YES_Writing_ELA[Student Number],YES_Writing_FLA[Student Number]),0),MATCH(VLOOKUP(G$7,'Writing Logic'!$J$7:$K$11,2,FALSE)&amp;" - Per "&amp;VLOOKUP($C$4,'Writing Logic'!$G$8:$H$14,2,FALSE),YES_Writing_ELA[#Headers],0)))="INS",'Writing Logic'!$B$7,IF(INDEX(_xlfn.VSTACK(YES_Writing_ELA[#Data],YES_Writing_FLA[#Data]),MATCH($A334,_xlfn.VSTACK(YES_Writing_ELA[Student Number],YES_Writing_FLA[Student Number]),0),MATCH(VLOOKUP(G$7,'Writing Logic'!$J$7:$K$11,2,FALSE)&amp;" - Per "&amp;VLOOKUP($C$4,'Writing Logic'!$G$8:$H$14,2,FALSE),YES_Writing_ELA[#Headers],0))=0,"",INDEX(_xlfn.VSTACK(YES_Writing_ELA[#Data],YES_Writing_FLA[#Data]),MATCH($A334,_xlfn.VSTACK(YES_Writing_ELA[Student Number],YES_Writing_FLA[Student Number]),0),MATCH(VLOOKUP(G$7,'Writing Logic'!$J$7:$K$11,2,FALSE)&amp;" - Per "&amp;VLOOKUP($C$4,'Writing Logic'!$G$8:$H$14,2,FALSE),YES_Writing_ELA[#Headers],0)))),"")</f>
        <v/>
      </c>
      <c r="H334" s="223" t="str">
        <f>IFERROR(IF(IF(INDEX(_xlfn.VSTACK(YES_Writing_ELA[#Data],YES_Writing_FLA[#Data]),MATCH($A334,_xlfn.VSTACK(YES_Writing_ELA[Student Number],YES_Writing_FLA[Student Number]),0),MATCH(VLOOKUP(H$7,'Writing Logic'!$J$7:$K$11,2,FALSE)&amp;" - Per "&amp;VLOOKUP($C$4,'Writing Logic'!$G$8:$H$14,2,FALSE),YES_Writing_ELA[#Headers],0))=0,"",INDEX(_xlfn.VSTACK(YES_Writing_ELA[#Data],YES_Writing_FLA[#Data]),MATCH($A334,_xlfn.VSTACK(YES_Writing_ELA[Student Number],YES_Writing_FLA[Student Number]),0),MATCH(VLOOKUP(H$7,'Writing Logic'!$J$7:$K$11,2,FALSE)&amp;" - Per "&amp;VLOOKUP($C$4,'Writing Logic'!$G$8:$H$14,2,FALSE),YES_Writing_ELA[#Headers],0)))="INS",'Writing Logic'!$B$7,IF(INDEX(_xlfn.VSTACK(YES_Writing_ELA[#Data],YES_Writing_FLA[#Data]),MATCH($A334,_xlfn.VSTACK(YES_Writing_ELA[Student Number],YES_Writing_FLA[Student Number]),0),MATCH(VLOOKUP(H$7,'Writing Logic'!$J$7:$K$11,2,FALSE)&amp;" - Per "&amp;VLOOKUP($C$4,'Writing Logic'!$G$8:$H$14,2,FALSE),YES_Writing_ELA[#Headers],0))=0,"",INDEX(_xlfn.VSTACK(YES_Writing_ELA[#Data],YES_Writing_FLA[#Data]),MATCH($A334,_xlfn.VSTACK(YES_Writing_ELA[Student Number],YES_Writing_FLA[Student Number]),0),MATCH(VLOOKUP(H$7,'Writing Logic'!$J$7:$K$11,2,FALSE)&amp;" - Per "&amp;VLOOKUP($C$4,'Writing Logic'!$G$8:$H$14,2,FALSE),YES_Writing_ELA[#Headers],0)))),"")</f>
        <v/>
      </c>
      <c r="I334" s="224" t="str" cm="1">
        <f t="array" aca="1" ref="I334" ca="1">IFERROR(
IF($G$3="ELA",
IF(VLOOKUP($A334, YES_Reading_ELA[], COLUMN(INDIRECT("YES_Reading_ELA[Difference - Per "&amp;VLOOKUP($G$4, 'Reading Report Logic'!$A$2:$B$8, 2, FALSE)&amp;"]")), FALSE)="", "",
VLOOKUP($A334,YES_Reading_ELA[], COLUMN(INDIRECT("YES_Reading_ELA[Difference - Per "&amp;VLOOKUP($G$4,'Reading Report Logic'!$A$2:$B$8,2,FALSE)&amp;"]")), FALSE)),
IF($G$3="FLA",
IF(VLOOKUP($A334, YES_Reading_FLA[], COLUMN(INDIRECT("YES_Reading_FLA[Difference - Per "&amp;VLOOKUP($G$4,'Reading Report Logic'!$A$2:$B$8,2,FALSE)&amp;"]")),FALSE)="","",
VLOOKUP($A334,YES_Reading_FLA[],COLUMN(INDIRECT("YES_Reading_FLA[Difference - Per "&amp;VLOOKUP($G$4,'Reading Report Logic'!$A$2:$B$8,2,FALSE)&amp;"]")),FALSE)),
IF($G$3="Combined",
IFERROR(
IF(VLOOKUP($A334, YES_Reading_ELA[], COLUMN(INDIRECT("YES_Reading_ELA[Difference - Per "&amp;VLOOKUP($G$4, 'Reading Report Logic'!$A$2:$B$8,2,FALSE)&amp;"]")), FALSE)="", "",
VLOOKUP($A334,YES_Reading_ELA[],COLUMN(INDIRECT("YES_Reading_ELA[Difference - Per "&amp;VLOOKUP($G$4,'Reading Report Logic'!$A$2:$B$8,2,FALSE)&amp;"]")),FALSE)),
IF(VLOOKUP($A334, YES_Reading_FLA[], COLUMN(INDIRECT("YES_Reading_FLA[Difference - Per "&amp;VLOOKUP($G$4, 'Reading Report Logic'!$A$2:$B$8, 2, FALSE)&amp;"]")),FALSE)="", "", VLOOKUP($A334,YES_Reading_FLA[],COLUMN(INDIRECT("YES_Reading_FLA[Difference - Per "&amp;VLOOKUP($G$4, 'Reading Report Logic'!$A$2:$B$8, 2, FALSE)&amp;"]")),FALSE))),""))),"")</f>
        <v/>
      </c>
    </row>
    <row r="335" spans="1:9" x14ac:dyDescent="0.25">
      <c r="A335" s="137"/>
      <c r="B335" s="137" t="str">
        <f>IFERROR(INDEX(_xlfn.VSTACK(YES_Writing_ELA[#Data], YES_Writing_FLA[#Data]),MATCH($A335,_xlfn.VSTACK(YES_Writing_ELA[Student Number], YES_Writing_FLA[Student Number]),0),MATCH(B$7,YES_Writing_ELA[#Headers],0)),IFERROR(INDEX(_xlfn.VSTACK(YES_Reading_ELA[#Data], YES_Reading_FLA[#Data]),MATCH($A335,_xlfn.VSTACK(YES_Reading_ELA[Student Number], YES_Reading_FLA[Student Number]),0),MATCH(B$7,YES_Reading_ELA[#Headers],0)),""))</f>
        <v/>
      </c>
      <c r="C335" s="137" t="str">
        <f>IFERROR(INDEX(_xlfn.VSTACK(YES_Writing_ELA[#Data], YES_Writing_FLA[#Data]),MATCH($A335,_xlfn.VSTACK(YES_Writing_ELA[Student Number], YES_Writing_FLA[Student Number]),0),MATCH(C$7,YES_Writing_ELA[#Headers],0)),IFERROR(INDEX(_xlfn.VSTACK(YES_Reading_ELA[#Data], YES_Reading_FLA[#Data]),MATCH($A335,_xlfn.VSTACK(YES_Reading_ELA[Student Number], YES_Reading_FLA[Student Number]),0),MATCH(C$7,YES_Reading_ELA[#Headers],0)),""))</f>
        <v/>
      </c>
      <c r="D335" s="138" t="str">
        <f>IFERROR(IF(IF(INDEX(_xlfn.VSTACK(YES_Writing_ELA[#Data],YES_Writing_FLA[#Data]),MATCH($A335,_xlfn.VSTACK(YES_Writing_ELA[Student Number],YES_Writing_FLA[Student Number]),0),MATCH(VLOOKUP(D$7,'Writing Logic'!$J$7:$K$11,2,FALSE)&amp;" - Per "&amp;VLOOKUP($C$4,'Writing Logic'!$G$8:$H$14,2,FALSE),YES_Writing_ELA[#Headers],0))=0,"",INDEX(_xlfn.VSTACK(YES_Writing_ELA[#Data],YES_Writing_FLA[#Data]),MATCH($A335,_xlfn.VSTACK(YES_Writing_ELA[Student Number],YES_Writing_FLA[Student Number]),0),MATCH(VLOOKUP(D$7,'Writing Logic'!$J$7:$K$11,2,FALSE)&amp;" - Per "&amp;VLOOKUP($C$4,'Writing Logic'!$G$8:$H$14,2,FALSE),YES_Writing_ELA[#Headers],0)))="INS",'Writing Logic'!$B$7,IF(INDEX(_xlfn.VSTACK(YES_Writing_ELA[#Data],YES_Writing_FLA[#Data]),MATCH($A335,_xlfn.VSTACK(YES_Writing_ELA[Student Number],YES_Writing_FLA[Student Number]),0),MATCH(VLOOKUP(D$7,'Writing Logic'!$J$7:$K$11,2,FALSE)&amp;" - Per "&amp;VLOOKUP($C$4,'Writing Logic'!$G$8:$H$14,2,FALSE),YES_Writing_ELA[#Headers],0))=0,"",INDEX(_xlfn.VSTACK(YES_Writing_ELA[#Data],YES_Writing_FLA[#Data]),MATCH($A335,_xlfn.VSTACK(YES_Writing_ELA[Student Number],YES_Writing_FLA[Student Number]),0),MATCH(VLOOKUP(D$7,'Writing Logic'!$J$7:$K$11,2,FALSE)&amp;" - Per "&amp;VLOOKUP($C$4,'Writing Logic'!$G$8:$H$14,2,FALSE),YES_Writing_ELA[#Headers],0)))),"")</f>
        <v/>
      </c>
      <c r="E335" s="138" t="str">
        <f>IFERROR(IF(IF(INDEX(_xlfn.VSTACK(YES_Writing_ELA[#Data],YES_Writing_FLA[#Data]),MATCH($A335,_xlfn.VSTACK(YES_Writing_ELA[Student Number],YES_Writing_FLA[Student Number]),0),MATCH(VLOOKUP(E$7,'Writing Logic'!$J$7:$K$11,2,FALSE)&amp;" - Per "&amp;VLOOKUP($C$4,'Writing Logic'!$G$8:$H$14,2,FALSE),YES_Writing_ELA[#Headers],0))=0,"",INDEX(_xlfn.VSTACK(YES_Writing_ELA[#Data],YES_Writing_FLA[#Data]),MATCH($A335,_xlfn.VSTACK(YES_Writing_ELA[Student Number],YES_Writing_FLA[Student Number]),0),MATCH(VLOOKUP(E$7,'Writing Logic'!$J$7:$K$11,2,FALSE)&amp;" - Per "&amp;VLOOKUP($C$4,'Writing Logic'!$G$8:$H$14,2,FALSE),YES_Writing_ELA[#Headers],0)))="INS",'Writing Logic'!$B$7,IF(INDEX(_xlfn.VSTACK(YES_Writing_ELA[#Data],YES_Writing_FLA[#Data]),MATCH($A335,_xlfn.VSTACK(YES_Writing_ELA[Student Number],YES_Writing_FLA[Student Number]),0),MATCH(VLOOKUP(E$7,'Writing Logic'!$J$7:$K$11,2,FALSE)&amp;" - Per "&amp;VLOOKUP($C$4,'Writing Logic'!$G$8:$H$14,2,FALSE),YES_Writing_ELA[#Headers],0))=0,"",INDEX(_xlfn.VSTACK(YES_Writing_ELA[#Data],YES_Writing_FLA[#Data]),MATCH($A335,_xlfn.VSTACK(YES_Writing_ELA[Student Number],YES_Writing_FLA[Student Number]),0),MATCH(VLOOKUP(E$7,'Writing Logic'!$J$7:$K$11,2,FALSE)&amp;" - Per "&amp;VLOOKUP($C$4,'Writing Logic'!$G$8:$H$14,2,FALSE),YES_Writing_ELA[#Headers],0)))),"")</f>
        <v/>
      </c>
      <c r="F335" s="138" t="str">
        <f>IFERROR(IF(IF(INDEX(_xlfn.VSTACK(YES_Writing_ELA[#Data],YES_Writing_FLA[#Data]),MATCH($A335,_xlfn.VSTACK(YES_Writing_ELA[Student Number],YES_Writing_FLA[Student Number]),0),MATCH(VLOOKUP(F$7,'Writing Logic'!$J$7:$K$11,2,FALSE)&amp;" - Per "&amp;VLOOKUP($C$4,'Writing Logic'!$G$8:$H$14,2,FALSE),YES_Writing_ELA[#Headers],0))=0,"",INDEX(_xlfn.VSTACK(YES_Writing_ELA[#Data],YES_Writing_FLA[#Data]),MATCH($A335,_xlfn.VSTACK(YES_Writing_ELA[Student Number],YES_Writing_FLA[Student Number]),0),MATCH(VLOOKUP(F$7,'Writing Logic'!$J$7:$K$11,2,FALSE)&amp;" - Per "&amp;VLOOKUP($C$4,'Writing Logic'!$G$8:$H$14,2,FALSE),YES_Writing_ELA[#Headers],0)))="INS",'Writing Logic'!$B$7,IF(INDEX(_xlfn.VSTACK(YES_Writing_ELA[#Data],YES_Writing_FLA[#Data]),MATCH($A335,_xlfn.VSTACK(YES_Writing_ELA[Student Number],YES_Writing_FLA[Student Number]),0),MATCH(VLOOKUP(F$7,'Writing Logic'!$J$7:$K$11,2,FALSE)&amp;" - Per "&amp;VLOOKUP($C$4,'Writing Logic'!$G$8:$H$14,2,FALSE),YES_Writing_ELA[#Headers],0))=0,"",INDEX(_xlfn.VSTACK(YES_Writing_ELA[#Data],YES_Writing_FLA[#Data]),MATCH($A335,_xlfn.VSTACK(YES_Writing_ELA[Student Number],YES_Writing_FLA[Student Number]),0),MATCH(VLOOKUP(F$7,'Writing Logic'!$J$7:$K$11,2,FALSE)&amp;" - Per "&amp;VLOOKUP($C$4,'Writing Logic'!$G$8:$H$14,2,FALSE),YES_Writing_ELA[#Headers],0)))),"")</f>
        <v/>
      </c>
      <c r="G335" s="138" t="str">
        <f>IFERROR(IF(IF(INDEX(_xlfn.VSTACK(YES_Writing_ELA[#Data],YES_Writing_FLA[#Data]),MATCH($A335,_xlfn.VSTACK(YES_Writing_ELA[Student Number],YES_Writing_FLA[Student Number]),0),MATCH(VLOOKUP(G$7,'Writing Logic'!$J$7:$K$11,2,FALSE)&amp;" - Per "&amp;VLOOKUP($C$4,'Writing Logic'!$G$8:$H$14,2,FALSE),YES_Writing_ELA[#Headers],0))=0,"",INDEX(_xlfn.VSTACK(YES_Writing_ELA[#Data],YES_Writing_FLA[#Data]),MATCH($A335,_xlfn.VSTACK(YES_Writing_ELA[Student Number],YES_Writing_FLA[Student Number]),0),MATCH(VLOOKUP(G$7,'Writing Logic'!$J$7:$K$11,2,FALSE)&amp;" - Per "&amp;VLOOKUP($C$4,'Writing Logic'!$G$8:$H$14,2,FALSE),YES_Writing_ELA[#Headers],0)))="INS",'Writing Logic'!$B$7,IF(INDEX(_xlfn.VSTACK(YES_Writing_ELA[#Data],YES_Writing_FLA[#Data]),MATCH($A335,_xlfn.VSTACK(YES_Writing_ELA[Student Number],YES_Writing_FLA[Student Number]),0),MATCH(VLOOKUP(G$7,'Writing Logic'!$J$7:$K$11,2,FALSE)&amp;" - Per "&amp;VLOOKUP($C$4,'Writing Logic'!$G$8:$H$14,2,FALSE),YES_Writing_ELA[#Headers],0))=0,"",INDEX(_xlfn.VSTACK(YES_Writing_ELA[#Data],YES_Writing_FLA[#Data]),MATCH($A335,_xlfn.VSTACK(YES_Writing_ELA[Student Number],YES_Writing_FLA[Student Number]),0),MATCH(VLOOKUP(G$7,'Writing Logic'!$J$7:$K$11,2,FALSE)&amp;" - Per "&amp;VLOOKUP($C$4,'Writing Logic'!$G$8:$H$14,2,FALSE),YES_Writing_ELA[#Headers],0)))),"")</f>
        <v/>
      </c>
      <c r="H335" s="223" t="str">
        <f>IFERROR(IF(IF(INDEX(_xlfn.VSTACK(YES_Writing_ELA[#Data],YES_Writing_FLA[#Data]),MATCH($A335,_xlfn.VSTACK(YES_Writing_ELA[Student Number],YES_Writing_FLA[Student Number]),0),MATCH(VLOOKUP(H$7,'Writing Logic'!$J$7:$K$11,2,FALSE)&amp;" - Per "&amp;VLOOKUP($C$4,'Writing Logic'!$G$8:$H$14,2,FALSE),YES_Writing_ELA[#Headers],0))=0,"",INDEX(_xlfn.VSTACK(YES_Writing_ELA[#Data],YES_Writing_FLA[#Data]),MATCH($A335,_xlfn.VSTACK(YES_Writing_ELA[Student Number],YES_Writing_FLA[Student Number]),0),MATCH(VLOOKUP(H$7,'Writing Logic'!$J$7:$K$11,2,FALSE)&amp;" - Per "&amp;VLOOKUP($C$4,'Writing Logic'!$G$8:$H$14,2,FALSE),YES_Writing_ELA[#Headers],0)))="INS",'Writing Logic'!$B$7,IF(INDEX(_xlfn.VSTACK(YES_Writing_ELA[#Data],YES_Writing_FLA[#Data]),MATCH($A335,_xlfn.VSTACK(YES_Writing_ELA[Student Number],YES_Writing_FLA[Student Number]),0),MATCH(VLOOKUP(H$7,'Writing Logic'!$J$7:$K$11,2,FALSE)&amp;" - Per "&amp;VLOOKUP($C$4,'Writing Logic'!$G$8:$H$14,2,FALSE),YES_Writing_ELA[#Headers],0))=0,"",INDEX(_xlfn.VSTACK(YES_Writing_ELA[#Data],YES_Writing_FLA[#Data]),MATCH($A335,_xlfn.VSTACK(YES_Writing_ELA[Student Number],YES_Writing_FLA[Student Number]),0),MATCH(VLOOKUP(H$7,'Writing Logic'!$J$7:$K$11,2,FALSE)&amp;" - Per "&amp;VLOOKUP($C$4,'Writing Logic'!$G$8:$H$14,2,FALSE),YES_Writing_ELA[#Headers],0)))),"")</f>
        <v/>
      </c>
      <c r="I335" s="224" t="str" cm="1">
        <f t="array" aca="1" ref="I335" ca="1">IFERROR(
IF($G$3="ELA",
IF(VLOOKUP($A335, YES_Reading_ELA[], COLUMN(INDIRECT("YES_Reading_ELA[Difference - Per "&amp;VLOOKUP($G$4, 'Reading Report Logic'!$A$2:$B$8, 2, FALSE)&amp;"]")), FALSE)="", "",
VLOOKUP($A335,YES_Reading_ELA[], COLUMN(INDIRECT("YES_Reading_ELA[Difference - Per "&amp;VLOOKUP($G$4,'Reading Report Logic'!$A$2:$B$8,2,FALSE)&amp;"]")), FALSE)),
IF($G$3="FLA",
IF(VLOOKUP($A335, YES_Reading_FLA[], COLUMN(INDIRECT("YES_Reading_FLA[Difference - Per "&amp;VLOOKUP($G$4,'Reading Report Logic'!$A$2:$B$8,2,FALSE)&amp;"]")),FALSE)="","",
VLOOKUP($A335,YES_Reading_FLA[],COLUMN(INDIRECT("YES_Reading_FLA[Difference - Per "&amp;VLOOKUP($G$4,'Reading Report Logic'!$A$2:$B$8,2,FALSE)&amp;"]")),FALSE)),
IF($G$3="Combined",
IFERROR(
IF(VLOOKUP($A335, YES_Reading_ELA[], COLUMN(INDIRECT("YES_Reading_ELA[Difference - Per "&amp;VLOOKUP($G$4, 'Reading Report Logic'!$A$2:$B$8,2,FALSE)&amp;"]")), FALSE)="", "",
VLOOKUP($A335,YES_Reading_ELA[],COLUMN(INDIRECT("YES_Reading_ELA[Difference - Per "&amp;VLOOKUP($G$4,'Reading Report Logic'!$A$2:$B$8,2,FALSE)&amp;"]")),FALSE)),
IF(VLOOKUP($A335, YES_Reading_FLA[], COLUMN(INDIRECT("YES_Reading_FLA[Difference - Per "&amp;VLOOKUP($G$4, 'Reading Report Logic'!$A$2:$B$8, 2, FALSE)&amp;"]")),FALSE)="", "", VLOOKUP($A335,YES_Reading_FLA[],COLUMN(INDIRECT("YES_Reading_FLA[Difference - Per "&amp;VLOOKUP($G$4, 'Reading Report Logic'!$A$2:$B$8, 2, FALSE)&amp;"]")),FALSE))),""))),"")</f>
        <v/>
      </c>
    </row>
    <row r="336" spans="1:9" x14ac:dyDescent="0.25">
      <c r="A336" s="137"/>
      <c r="B336" s="137" t="str">
        <f>IFERROR(INDEX(_xlfn.VSTACK(YES_Writing_ELA[#Data], YES_Writing_FLA[#Data]),MATCH($A336,_xlfn.VSTACK(YES_Writing_ELA[Student Number], YES_Writing_FLA[Student Number]),0),MATCH(B$7,YES_Writing_ELA[#Headers],0)),IFERROR(INDEX(_xlfn.VSTACK(YES_Reading_ELA[#Data], YES_Reading_FLA[#Data]),MATCH($A336,_xlfn.VSTACK(YES_Reading_ELA[Student Number], YES_Reading_FLA[Student Number]),0),MATCH(B$7,YES_Reading_ELA[#Headers],0)),""))</f>
        <v/>
      </c>
      <c r="C336" s="137" t="str">
        <f>IFERROR(INDEX(_xlfn.VSTACK(YES_Writing_ELA[#Data], YES_Writing_FLA[#Data]),MATCH($A336,_xlfn.VSTACK(YES_Writing_ELA[Student Number], YES_Writing_FLA[Student Number]),0),MATCH(C$7,YES_Writing_ELA[#Headers],0)),IFERROR(INDEX(_xlfn.VSTACK(YES_Reading_ELA[#Data], YES_Reading_FLA[#Data]),MATCH($A336,_xlfn.VSTACK(YES_Reading_ELA[Student Number], YES_Reading_FLA[Student Number]),0),MATCH(C$7,YES_Reading_ELA[#Headers],0)),""))</f>
        <v/>
      </c>
      <c r="D336" s="138" t="str">
        <f>IFERROR(IF(IF(INDEX(_xlfn.VSTACK(YES_Writing_ELA[#Data],YES_Writing_FLA[#Data]),MATCH($A336,_xlfn.VSTACK(YES_Writing_ELA[Student Number],YES_Writing_FLA[Student Number]),0),MATCH(VLOOKUP(D$7,'Writing Logic'!$J$7:$K$11,2,FALSE)&amp;" - Per "&amp;VLOOKUP($C$4,'Writing Logic'!$G$8:$H$14,2,FALSE),YES_Writing_ELA[#Headers],0))=0,"",INDEX(_xlfn.VSTACK(YES_Writing_ELA[#Data],YES_Writing_FLA[#Data]),MATCH($A336,_xlfn.VSTACK(YES_Writing_ELA[Student Number],YES_Writing_FLA[Student Number]),0),MATCH(VLOOKUP(D$7,'Writing Logic'!$J$7:$K$11,2,FALSE)&amp;" - Per "&amp;VLOOKUP($C$4,'Writing Logic'!$G$8:$H$14,2,FALSE),YES_Writing_ELA[#Headers],0)))="INS",'Writing Logic'!$B$7,IF(INDEX(_xlfn.VSTACK(YES_Writing_ELA[#Data],YES_Writing_FLA[#Data]),MATCH($A336,_xlfn.VSTACK(YES_Writing_ELA[Student Number],YES_Writing_FLA[Student Number]),0),MATCH(VLOOKUP(D$7,'Writing Logic'!$J$7:$K$11,2,FALSE)&amp;" - Per "&amp;VLOOKUP($C$4,'Writing Logic'!$G$8:$H$14,2,FALSE),YES_Writing_ELA[#Headers],0))=0,"",INDEX(_xlfn.VSTACK(YES_Writing_ELA[#Data],YES_Writing_FLA[#Data]),MATCH($A336,_xlfn.VSTACK(YES_Writing_ELA[Student Number],YES_Writing_FLA[Student Number]),0),MATCH(VLOOKUP(D$7,'Writing Logic'!$J$7:$K$11,2,FALSE)&amp;" - Per "&amp;VLOOKUP($C$4,'Writing Logic'!$G$8:$H$14,2,FALSE),YES_Writing_ELA[#Headers],0)))),"")</f>
        <v/>
      </c>
      <c r="E336" s="138" t="str">
        <f>IFERROR(IF(IF(INDEX(_xlfn.VSTACK(YES_Writing_ELA[#Data],YES_Writing_FLA[#Data]),MATCH($A336,_xlfn.VSTACK(YES_Writing_ELA[Student Number],YES_Writing_FLA[Student Number]),0),MATCH(VLOOKUP(E$7,'Writing Logic'!$J$7:$K$11,2,FALSE)&amp;" - Per "&amp;VLOOKUP($C$4,'Writing Logic'!$G$8:$H$14,2,FALSE),YES_Writing_ELA[#Headers],0))=0,"",INDEX(_xlfn.VSTACK(YES_Writing_ELA[#Data],YES_Writing_FLA[#Data]),MATCH($A336,_xlfn.VSTACK(YES_Writing_ELA[Student Number],YES_Writing_FLA[Student Number]),0),MATCH(VLOOKUP(E$7,'Writing Logic'!$J$7:$K$11,2,FALSE)&amp;" - Per "&amp;VLOOKUP($C$4,'Writing Logic'!$G$8:$H$14,2,FALSE),YES_Writing_ELA[#Headers],0)))="INS",'Writing Logic'!$B$7,IF(INDEX(_xlfn.VSTACK(YES_Writing_ELA[#Data],YES_Writing_FLA[#Data]),MATCH($A336,_xlfn.VSTACK(YES_Writing_ELA[Student Number],YES_Writing_FLA[Student Number]),0),MATCH(VLOOKUP(E$7,'Writing Logic'!$J$7:$K$11,2,FALSE)&amp;" - Per "&amp;VLOOKUP($C$4,'Writing Logic'!$G$8:$H$14,2,FALSE),YES_Writing_ELA[#Headers],0))=0,"",INDEX(_xlfn.VSTACK(YES_Writing_ELA[#Data],YES_Writing_FLA[#Data]),MATCH($A336,_xlfn.VSTACK(YES_Writing_ELA[Student Number],YES_Writing_FLA[Student Number]),0),MATCH(VLOOKUP(E$7,'Writing Logic'!$J$7:$K$11,2,FALSE)&amp;" - Per "&amp;VLOOKUP($C$4,'Writing Logic'!$G$8:$H$14,2,FALSE),YES_Writing_ELA[#Headers],0)))),"")</f>
        <v/>
      </c>
      <c r="F336" s="138" t="str">
        <f>IFERROR(IF(IF(INDEX(_xlfn.VSTACK(YES_Writing_ELA[#Data],YES_Writing_FLA[#Data]),MATCH($A336,_xlfn.VSTACK(YES_Writing_ELA[Student Number],YES_Writing_FLA[Student Number]),0),MATCH(VLOOKUP(F$7,'Writing Logic'!$J$7:$K$11,2,FALSE)&amp;" - Per "&amp;VLOOKUP($C$4,'Writing Logic'!$G$8:$H$14,2,FALSE),YES_Writing_ELA[#Headers],0))=0,"",INDEX(_xlfn.VSTACK(YES_Writing_ELA[#Data],YES_Writing_FLA[#Data]),MATCH($A336,_xlfn.VSTACK(YES_Writing_ELA[Student Number],YES_Writing_FLA[Student Number]),0),MATCH(VLOOKUP(F$7,'Writing Logic'!$J$7:$K$11,2,FALSE)&amp;" - Per "&amp;VLOOKUP($C$4,'Writing Logic'!$G$8:$H$14,2,FALSE),YES_Writing_ELA[#Headers],0)))="INS",'Writing Logic'!$B$7,IF(INDEX(_xlfn.VSTACK(YES_Writing_ELA[#Data],YES_Writing_FLA[#Data]),MATCH($A336,_xlfn.VSTACK(YES_Writing_ELA[Student Number],YES_Writing_FLA[Student Number]),0),MATCH(VLOOKUP(F$7,'Writing Logic'!$J$7:$K$11,2,FALSE)&amp;" - Per "&amp;VLOOKUP($C$4,'Writing Logic'!$G$8:$H$14,2,FALSE),YES_Writing_ELA[#Headers],0))=0,"",INDEX(_xlfn.VSTACK(YES_Writing_ELA[#Data],YES_Writing_FLA[#Data]),MATCH($A336,_xlfn.VSTACK(YES_Writing_ELA[Student Number],YES_Writing_FLA[Student Number]),0),MATCH(VLOOKUP(F$7,'Writing Logic'!$J$7:$K$11,2,FALSE)&amp;" - Per "&amp;VLOOKUP($C$4,'Writing Logic'!$G$8:$H$14,2,FALSE),YES_Writing_ELA[#Headers],0)))),"")</f>
        <v/>
      </c>
      <c r="G336" s="138" t="str">
        <f>IFERROR(IF(IF(INDEX(_xlfn.VSTACK(YES_Writing_ELA[#Data],YES_Writing_FLA[#Data]),MATCH($A336,_xlfn.VSTACK(YES_Writing_ELA[Student Number],YES_Writing_FLA[Student Number]),0),MATCH(VLOOKUP(G$7,'Writing Logic'!$J$7:$K$11,2,FALSE)&amp;" - Per "&amp;VLOOKUP($C$4,'Writing Logic'!$G$8:$H$14,2,FALSE),YES_Writing_ELA[#Headers],0))=0,"",INDEX(_xlfn.VSTACK(YES_Writing_ELA[#Data],YES_Writing_FLA[#Data]),MATCH($A336,_xlfn.VSTACK(YES_Writing_ELA[Student Number],YES_Writing_FLA[Student Number]),0),MATCH(VLOOKUP(G$7,'Writing Logic'!$J$7:$K$11,2,FALSE)&amp;" - Per "&amp;VLOOKUP($C$4,'Writing Logic'!$G$8:$H$14,2,FALSE),YES_Writing_ELA[#Headers],0)))="INS",'Writing Logic'!$B$7,IF(INDEX(_xlfn.VSTACK(YES_Writing_ELA[#Data],YES_Writing_FLA[#Data]),MATCH($A336,_xlfn.VSTACK(YES_Writing_ELA[Student Number],YES_Writing_FLA[Student Number]),0),MATCH(VLOOKUP(G$7,'Writing Logic'!$J$7:$K$11,2,FALSE)&amp;" - Per "&amp;VLOOKUP($C$4,'Writing Logic'!$G$8:$H$14,2,FALSE),YES_Writing_ELA[#Headers],0))=0,"",INDEX(_xlfn.VSTACK(YES_Writing_ELA[#Data],YES_Writing_FLA[#Data]),MATCH($A336,_xlfn.VSTACK(YES_Writing_ELA[Student Number],YES_Writing_FLA[Student Number]),0),MATCH(VLOOKUP(G$7,'Writing Logic'!$J$7:$K$11,2,FALSE)&amp;" - Per "&amp;VLOOKUP($C$4,'Writing Logic'!$G$8:$H$14,2,FALSE),YES_Writing_ELA[#Headers],0)))),"")</f>
        <v/>
      </c>
      <c r="H336" s="223" t="str">
        <f>IFERROR(IF(IF(INDEX(_xlfn.VSTACK(YES_Writing_ELA[#Data],YES_Writing_FLA[#Data]),MATCH($A336,_xlfn.VSTACK(YES_Writing_ELA[Student Number],YES_Writing_FLA[Student Number]),0),MATCH(VLOOKUP(H$7,'Writing Logic'!$J$7:$K$11,2,FALSE)&amp;" - Per "&amp;VLOOKUP($C$4,'Writing Logic'!$G$8:$H$14,2,FALSE),YES_Writing_ELA[#Headers],0))=0,"",INDEX(_xlfn.VSTACK(YES_Writing_ELA[#Data],YES_Writing_FLA[#Data]),MATCH($A336,_xlfn.VSTACK(YES_Writing_ELA[Student Number],YES_Writing_FLA[Student Number]),0),MATCH(VLOOKUP(H$7,'Writing Logic'!$J$7:$K$11,2,FALSE)&amp;" - Per "&amp;VLOOKUP($C$4,'Writing Logic'!$G$8:$H$14,2,FALSE),YES_Writing_ELA[#Headers],0)))="INS",'Writing Logic'!$B$7,IF(INDEX(_xlfn.VSTACK(YES_Writing_ELA[#Data],YES_Writing_FLA[#Data]),MATCH($A336,_xlfn.VSTACK(YES_Writing_ELA[Student Number],YES_Writing_FLA[Student Number]),0),MATCH(VLOOKUP(H$7,'Writing Logic'!$J$7:$K$11,2,FALSE)&amp;" - Per "&amp;VLOOKUP($C$4,'Writing Logic'!$G$8:$H$14,2,FALSE),YES_Writing_ELA[#Headers],0))=0,"",INDEX(_xlfn.VSTACK(YES_Writing_ELA[#Data],YES_Writing_FLA[#Data]),MATCH($A336,_xlfn.VSTACK(YES_Writing_ELA[Student Number],YES_Writing_FLA[Student Number]),0),MATCH(VLOOKUP(H$7,'Writing Logic'!$J$7:$K$11,2,FALSE)&amp;" - Per "&amp;VLOOKUP($C$4,'Writing Logic'!$G$8:$H$14,2,FALSE),YES_Writing_ELA[#Headers],0)))),"")</f>
        <v/>
      </c>
      <c r="I336" s="224" t="str" cm="1">
        <f t="array" aca="1" ref="I336" ca="1">IFERROR(
IF($G$3="ELA",
IF(VLOOKUP($A336, YES_Reading_ELA[], COLUMN(INDIRECT("YES_Reading_ELA[Difference - Per "&amp;VLOOKUP($G$4, 'Reading Report Logic'!$A$2:$B$8, 2, FALSE)&amp;"]")), FALSE)="", "",
VLOOKUP($A336,YES_Reading_ELA[], COLUMN(INDIRECT("YES_Reading_ELA[Difference - Per "&amp;VLOOKUP($G$4,'Reading Report Logic'!$A$2:$B$8,2,FALSE)&amp;"]")), FALSE)),
IF($G$3="FLA",
IF(VLOOKUP($A336, YES_Reading_FLA[], COLUMN(INDIRECT("YES_Reading_FLA[Difference - Per "&amp;VLOOKUP($G$4,'Reading Report Logic'!$A$2:$B$8,2,FALSE)&amp;"]")),FALSE)="","",
VLOOKUP($A336,YES_Reading_FLA[],COLUMN(INDIRECT("YES_Reading_FLA[Difference - Per "&amp;VLOOKUP($G$4,'Reading Report Logic'!$A$2:$B$8,2,FALSE)&amp;"]")),FALSE)),
IF($G$3="Combined",
IFERROR(
IF(VLOOKUP($A336, YES_Reading_ELA[], COLUMN(INDIRECT("YES_Reading_ELA[Difference - Per "&amp;VLOOKUP($G$4, 'Reading Report Logic'!$A$2:$B$8,2,FALSE)&amp;"]")), FALSE)="", "",
VLOOKUP($A336,YES_Reading_ELA[],COLUMN(INDIRECT("YES_Reading_ELA[Difference - Per "&amp;VLOOKUP($G$4,'Reading Report Logic'!$A$2:$B$8,2,FALSE)&amp;"]")),FALSE)),
IF(VLOOKUP($A336, YES_Reading_FLA[], COLUMN(INDIRECT("YES_Reading_FLA[Difference - Per "&amp;VLOOKUP($G$4, 'Reading Report Logic'!$A$2:$B$8, 2, FALSE)&amp;"]")),FALSE)="", "", VLOOKUP($A336,YES_Reading_FLA[],COLUMN(INDIRECT("YES_Reading_FLA[Difference - Per "&amp;VLOOKUP($G$4, 'Reading Report Logic'!$A$2:$B$8, 2, FALSE)&amp;"]")),FALSE))),""))),"")</f>
        <v/>
      </c>
    </row>
    <row r="337" spans="1:9" x14ac:dyDescent="0.25">
      <c r="A337" s="137"/>
      <c r="B337" s="137" t="str">
        <f>IFERROR(INDEX(_xlfn.VSTACK(YES_Writing_ELA[#Data], YES_Writing_FLA[#Data]),MATCH($A337,_xlfn.VSTACK(YES_Writing_ELA[Student Number], YES_Writing_FLA[Student Number]),0),MATCH(B$7,YES_Writing_ELA[#Headers],0)),IFERROR(INDEX(_xlfn.VSTACK(YES_Reading_ELA[#Data], YES_Reading_FLA[#Data]),MATCH($A337,_xlfn.VSTACK(YES_Reading_ELA[Student Number], YES_Reading_FLA[Student Number]),0),MATCH(B$7,YES_Reading_ELA[#Headers],0)),""))</f>
        <v/>
      </c>
      <c r="C337" s="137" t="str">
        <f>IFERROR(INDEX(_xlfn.VSTACK(YES_Writing_ELA[#Data], YES_Writing_FLA[#Data]),MATCH($A337,_xlfn.VSTACK(YES_Writing_ELA[Student Number], YES_Writing_FLA[Student Number]),0),MATCH(C$7,YES_Writing_ELA[#Headers],0)),IFERROR(INDEX(_xlfn.VSTACK(YES_Reading_ELA[#Data], YES_Reading_FLA[#Data]),MATCH($A337,_xlfn.VSTACK(YES_Reading_ELA[Student Number], YES_Reading_FLA[Student Number]),0),MATCH(C$7,YES_Reading_ELA[#Headers],0)),""))</f>
        <v/>
      </c>
      <c r="D337" s="138" t="str">
        <f>IFERROR(IF(IF(INDEX(_xlfn.VSTACK(YES_Writing_ELA[#Data],YES_Writing_FLA[#Data]),MATCH($A337,_xlfn.VSTACK(YES_Writing_ELA[Student Number],YES_Writing_FLA[Student Number]),0),MATCH(VLOOKUP(D$7,'Writing Logic'!$J$7:$K$11,2,FALSE)&amp;" - Per "&amp;VLOOKUP($C$4,'Writing Logic'!$G$8:$H$14,2,FALSE),YES_Writing_ELA[#Headers],0))=0,"",INDEX(_xlfn.VSTACK(YES_Writing_ELA[#Data],YES_Writing_FLA[#Data]),MATCH($A337,_xlfn.VSTACK(YES_Writing_ELA[Student Number],YES_Writing_FLA[Student Number]),0),MATCH(VLOOKUP(D$7,'Writing Logic'!$J$7:$K$11,2,FALSE)&amp;" - Per "&amp;VLOOKUP($C$4,'Writing Logic'!$G$8:$H$14,2,FALSE),YES_Writing_ELA[#Headers],0)))="INS",'Writing Logic'!$B$7,IF(INDEX(_xlfn.VSTACK(YES_Writing_ELA[#Data],YES_Writing_FLA[#Data]),MATCH($A337,_xlfn.VSTACK(YES_Writing_ELA[Student Number],YES_Writing_FLA[Student Number]),0),MATCH(VLOOKUP(D$7,'Writing Logic'!$J$7:$K$11,2,FALSE)&amp;" - Per "&amp;VLOOKUP($C$4,'Writing Logic'!$G$8:$H$14,2,FALSE),YES_Writing_ELA[#Headers],0))=0,"",INDEX(_xlfn.VSTACK(YES_Writing_ELA[#Data],YES_Writing_FLA[#Data]),MATCH($A337,_xlfn.VSTACK(YES_Writing_ELA[Student Number],YES_Writing_FLA[Student Number]),0),MATCH(VLOOKUP(D$7,'Writing Logic'!$J$7:$K$11,2,FALSE)&amp;" - Per "&amp;VLOOKUP($C$4,'Writing Logic'!$G$8:$H$14,2,FALSE),YES_Writing_ELA[#Headers],0)))),"")</f>
        <v/>
      </c>
      <c r="E337" s="138" t="str">
        <f>IFERROR(IF(IF(INDEX(_xlfn.VSTACK(YES_Writing_ELA[#Data],YES_Writing_FLA[#Data]),MATCH($A337,_xlfn.VSTACK(YES_Writing_ELA[Student Number],YES_Writing_FLA[Student Number]),0),MATCH(VLOOKUP(E$7,'Writing Logic'!$J$7:$K$11,2,FALSE)&amp;" - Per "&amp;VLOOKUP($C$4,'Writing Logic'!$G$8:$H$14,2,FALSE),YES_Writing_ELA[#Headers],0))=0,"",INDEX(_xlfn.VSTACK(YES_Writing_ELA[#Data],YES_Writing_FLA[#Data]),MATCH($A337,_xlfn.VSTACK(YES_Writing_ELA[Student Number],YES_Writing_FLA[Student Number]),0),MATCH(VLOOKUP(E$7,'Writing Logic'!$J$7:$K$11,2,FALSE)&amp;" - Per "&amp;VLOOKUP($C$4,'Writing Logic'!$G$8:$H$14,2,FALSE),YES_Writing_ELA[#Headers],0)))="INS",'Writing Logic'!$B$7,IF(INDEX(_xlfn.VSTACK(YES_Writing_ELA[#Data],YES_Writing_FLA[#Data]),MATCH($A337,_xlfn.VSTACK(YES_Writing_ELA[Student Number],YES_Writing_FLA[Student Number]),0),MATCH(VLOOKUP(E$7,'Writing Logic'!$J$7:$K$11,2,FALSE)&amp;" - Per "&amp;VLOOKUP($C$4,'Writing Logic'!$G$8:$H$14,2,FALSE),YES_Writing_ELA[#Headers],0))=0,"",INDEX(_xlfn.VSTACK(YES_Writing_ELA[#Data],YES_Writing_FLA[#Data]),MATCH($A337,_xlfn.VSTACK(YES_Writing_ELA[Student Number],YES_Writing_FLA[Student Number]),0),MATCH(VLOOKUP(E$7,'Writing Logic'!$J$7:$K$11,2,FALSE)&amp;" - Per "&amp;VLOOKUP($C$4,'Writing Logic'!$G$8:$H$14,2,FALSE),YES_Writing_ELA[#Headers],0)))),"")</f>
        <v/>
      </c>
      <c r="F337" s="138" t="str">
        <f>IFERROR(IF(IF(INDEX(_xlfn.VSTACK(YES_Writing_ELA[#Data],YES_Writing_FLA[#Data]),MATCH($A337,_xlfn.VSTACK(YES_Writing_ELA[Student Number],YES_Writing_FLA[Student Number]),0),MATCH(VLOOKUP(F$7,'Writing Logic'!$J$7:$K$11,2,FALSE)&amp;" - Per "&amp;VLOOKUP($C$4,'Writing Logic'!$G$8:$H$14,2,FALSE),YES_Writing_ELA[#Headers],0))=0,"",INDEX(_xlfn.VSTACK(YES_Writing_ELA[#Data],YES_Writing_FLA[#Data]),MATCH($A337,_xlfn.VSTACK(YES_Writing_ELA[Student Number],YES_Writing_FLA[Student Number]),0),MATCH(VLOOKUP(F$7,'Writing Logic'!$J$7:$K$11,2,FALSE)&amp;" - Per "&amp;VLOOKUP($C$4,'Writing Logic'!$G$8:$H$14,2,FALSE),YES_Writing_ELA[#Headers],0)))="INS",'Writing Logic'!$B$7,IF(INDEX(_xlfn.VSTACK(YES_Writing_ELA[#Data],YES_Writing_FLA[#Data]),MATCH($A337,_xlfn.VSTACK(YES_Writing_ELA[Student Number],YES_Writing_FLA[Student Number]),0),MATCH(VLOOKUP(F$7,'Writing Logic'!$J$7:$K$11,2,FALSE)&amp;" - Per "&amp;VLOOKUP($C$4,'Writing Logic'!$G$8:$H$14,2,FALSE),YES_Writing_ELA[#Headers],0))=0,"",INDEX(_xlfn.VSTACK(YES_Writing_ELA[#Data],YES_Writing_FLA[#Data]),MATCH($A337,_xlfn.VSTACK(YES_Writing_ELA[Student Number],YES_Writing_FLA[Student Number]),0),MATCH(VLOOKUP(F$7,'Writing Logic'!$J$7:$K$11,2,FALSE)&amp;" - Per "&amp;VLOOKUP($C$4,'Writing Logic'!$G$8:$H$14,2,FALSE),YES_Writing_ELA[#Headers],0)))),"")</f>
        <v/>
      </c>
      <c r="G337" s="138" t="str">
        <f>IFERROR(IF(IF(INDEX(_xlfn.VSTACK(YES_Writing_ELA[#Data],YES_Writing_FLA[#Data]),MATCH($A337,_xlfn.VSTACK(YES_Writing_ELA[Student Number],YES_Writing_FLA[Student Number]),0),MATCH(VLOOKUP(G$7,'Writing Logic'!$J$7:$K$11,2,FALSE)&amp;" - Per "&amp;VLOOKUP($C$4,'Writing Logic'!$G$8:$H$14,2,FALSE),YES_Writing_ELA[#Headers],0))=0,"",INDEX(_xlfn.VSTACK(YES_Writing_ELA[#Data],YES_Writing_FLA[#Data]),MATCH($A337,_xlfn.VSTACK(YES_Writing_ELA[Student Number],YES_Writing_FLA[Student Number]),0),MATCH(VLOOKUP(G$7,'Writing Logic'!$J$7:$K$11,2,FALSE)&amp;" - Per "&amp;VLOOKUP($C$4,'Writing Logic'!$G$8:$H$14,2,FALSE),YES_Writing_ELA[#Headers],0)))="INS",'Writing Logic'!$B$7,IF(INDEX(_xlfn.VSTACK(YES_Writing_ELA[#Data],YES_Writing_FLA[#Data]),MATCH($A337,_xlfn.VSTACK(YES_Writing_ELA[Student Number],YES_Writing_FLA[Student Number]),0),MATCH(VLOOKUP(G$7,'Writing Logic'!$J$7:$K$11,2,FALSE)&amp;" - Per "&amp;VLOOKUP($C$4,'Writing Logic'!$G$8:$H$14,2,FALSE),YES_Writing_ELA[#Headers],0))=0,"",INDEX(_xlfn.VSTACK(YES_Writing_ELA[#Data],YES_Writing_FLA[#Data]),MATCH($A337,_xlfn.VSTACK(YES_Writing_ELA[Student Number],YES_Writing_FLA[Student Number]),0),MATCH(VLOOKUP(G$7,'Writing Logic'!$J$7:$K$11,2,FALSE)&amp;" - Per "&amp;VLOOKUP($C$4,'Writing Logic'!$G$8:$H$14,2,FALSE),YES_Writing_ELA[#Headers],0)))),"")</f>
        <v/>
      </c>
      <c r="H337" s="223" t="str">
        <f>IFERROR(IF(IF(INDEX(_xlfn.VSTACK(YES_Writing_ELA[#Data],YES_Writing_FLA[#Data]),MATCH($A337,_xlfn.VSTACK(YES_Writing_ELA[Student Number],YES_Writing_FLA[Student Number]),0),MATCH(VLOOKUP(H$7,'Writing Logic'!$J$7:$K$11,2,FALSE)&amp;" - Per "&amp;VLOOKUP($C$4,'Writing Logic'!$G$8:$H$14,2,FALSE),YES_Writing_ELA[#Headers],0))=0,"",INDEX(_xlfn.VSTACK(YES_Writing_ELA[#Data],YES_Writing_FLA[#Data]),MATCH($A337,_xlfn.VSTACK(YES_Writing_ELA[Student Number],YES_Writing_FLA[Student Number]),0),MATCH(VLOOKUP(H$7,'Writing Logic'!$J$7:$K$11,2,FALSE)&amp;" - Per "&amp;VLOOKUP($C$4,'Writing Logic'!$G$8:$H$14,2,FALSE),YES_Writing_ELA[#Headers],0)))="INS",'Writing Logic'!$B$7,IF(INDEX(_xlfn.VSTACK(YES_Writing_ELA[#Data],YES_Writing_FLA[#Data]),MATCH($A337,_xlfn.VSTACK(YES_Writing_ELA[Student Number],YES_Writing_FLA[Student Number]),0),MATCH(VLOOKUP(H$7,'Writing Logic'!$J$7:$K$11,2,FALSE)&amp;" - Per "&amp;VLOOKUP($C$4,'Writing Logic'!$G$8:$H$14,2,FALSE),YES_Writing_ELA[#Headers],0))=0,"",INDEX(_xlfn.VSTACK(YES_Writing_ELA[#Data],YES_Writing_FLA[#Data]),MATCH($A337,_xlfn.VSTACK(YES_Writing_ELA[Student Number],YES_Writing_FLA[Student Number]),0),MATCH(VLOOKUP(H$7,'Writing Logic'!$J$7:$K$11,2,FALSE)&amp;" - Per "&amp;VLOOKUP($C$4,'Writing Logic'!$G$8:$H$14,2,FALSE),YES_Writing_ELA[#Headers],0)))),"")</f>
        <v/>
      </c>
      <c r="I337" s="224" t="str" cm="1">
        <f t="array" aca="1" ref="I337" ca="1">IFERROR(
IF($G$3="ELA",
IF(VLOOKUP($A337, YES_Reading_ELA[], COLUMN(INDIRECT("YES_Reading_ELA[Difference - Per "&amp;VLOOKUP($G$4, 'Reading Report Logic'!$A$2:$B$8, 2, FALSE)&amp;"]")), FALSE)="", "",
VLOOKUP($A337,YES_Reading_ELA[], COLUMN(INDIRECT("YES_Reading_ELA[Difference - Per "&amp;VLOOKUP($G$4,'Reading Report Logic'!$A$2:$B$8,2,FALSE)&amp;"]")), FALSE)),
IF($G$3="FLA",
IF(VLOOKUP($A337, YES_Reading_FLA[], COLUMN(INDIRECT("YES_Reading_FLA[Difference - Per "&amp;VLOOKUP($G$4,'Reading Report Logic'!$A$2:$B$8,2,FALSE)&amp;"]")),FALSE)="","",
VLOOKUP($A337,YES_Reading_FLA[],COLUMN(INDIRECT("YES_Reading_FLA[Difference - Per "&amp;VLOOKUP($G$4,'Reading Report Logic'!$A$2:$B$8,2,FALSE)&amp;"]")),FALSE)),
IF($G$3="Combined",
IFERROR(
IF(VLOOKUP($A337, YES_Reading_ELA[], COLUMN(INDIRECT("YES_Reading_ELA[Difference - Per "&amp;VLOOKUP($G$4, 'Reading Report Logic'!$A$2:$B$8,2,FALSE)&amp;"]")), FALSE)="", "",
VLOOKUP($A337,YES_Reading_ELA[],COLUMN(INDIRECT("YES_Reading_ELA[Difference - Per "&amp;VLOOKUP($G$4,'Reading Report Logic'!$A$2:$B$8,2,FALSE)&amp;"]")),FALSE)),
IF(VLOOKUP($A337, YES_Reading_FLA[], COLUMN(INDIRECT("YES_Reading_FLA[Difference - Per "&amp;VLOOKUP($G$4, 'Reading Report Logic'!$A$2:$B$8, 2, FALSE)&amp;"]")),FALSE)="", "", VLOOKUP($A337,YES_Reading_FLA[],COLUMN(INDIRECT("YES_Reading_FLA[Difference - Per "&amp;VLOOKUP($G$4, 'Reading Report Logic'!$A$2:$B$8, 2, FALSE)&amp;"]")),FALSE))),""))),"")</f>
        <v/>
      </c>
    </row>
    <row r="338" spans="1:9" x14ac:dyDescent="0.25">
      <c r="A338" s="137"/>
      <c r="B338" s="137" t="str">
        <f>IFERROR(INDEX(_xlfn.VSTACK(YES_Writing_ELA[#Data], YES_Writing_FLA[#Data]),MATCH($A338,_xlfn.VSTACK(YES_Writing_ELA[Student Number], YES_Writing_FLA[Student Number]),0),MATCH(B$7,YES_Writing_ELA[#Headers],0)),IFERROR(INDEX(_xlfn.VSTACK(YES_Reading_ELA[#Data], YES_Reading_FLA[#Data]),MATCH($A338,_xlfn.VSTACK(YES_Reading_ELA[Student Number], YES_Reading_FLA[Student Number]),0),MATCH(B$7,YES_Reading_ELA[#Headers],0)),""))</f>
        <v/>
      </c>
      <c r="C338" s="137" t="str">
        <f>IFERROR(INDEX(_xlfn.VSTACK(YES_Writing_ELA[#Data], YES_Writing_FLA[#Data]),MATCH($A338,_xlfn.VSTACK(YES_Writing_ELA[Student Number], YES_Writing_FLA[Student Number]),0),MATCH(C$7,YES_Writing_ELA[#Headers],0)),IFERROR(INDEX(_xlfn.VSTACK(YES_Reading_ELA[#Data], YES_Reading_FLA[#Data]),MATCH($A338,_xlfn.VSTACK(YES_Reading_ELA[Student Number], YES_Reading_FLA[Student Number]),0),MATCH(C$7,YES_Reading_ELA[#Headers],0)),""))</f>
        <v/>
      </c>
      <c r="D338" s="138" t="str">
        <f>IFERROR(IF(IF(INDEX(_xlfn.VSTACK(YES_Writing_ELA[#Data],YES_Writing_FLA[#Data]),MATCH($A338,_xlfn.VSTACK(YES_Writing_ELA[Student Number],YES_Writing_FLA[Student Number]),0),MATCH(VLOOKUP(D$7,'Writing Logic'!$J$7:$K$11,2,FALSE)&amp;" - Per "&amp;VLOOKUP($C$4,'Writing Logic'!$G$8:$H$14,2,FALSE),YES_Writing_ELA[#Headers],0))=0,"",INDEX(_xlfn.VSTACK(YES_Writing_ELA[#Data],YES_Writing_FLA[#Data]),MATCH($A338,_xlfn.VSTACK(YES_Writing_ELA[Student Number],YES_Writing_FLA[Student Number]),0),MATCH(VLOOKUP(D$7,'Writing Logic'!$J$7:$K$11,2,FALSE)&amp;" - Per "&amp;VLOOKUP($C$4,'Writing Logic'!$G$8:$H$14,2,FALSE),YES_Writing_ELA[#Headers],0)))="INS",'Writing Logic'!$B$7,IF(INDEX(_xlfn.VSTACK(YES_Writing_ELA[#Data],YES_Writing_FLA[#Data]),MATCH($A338,_xlfn.VSTACK(YES_Writing_ELA[Student Number],YES_Writing_FLA[Student Number]),0),MATCH(VLOOKUP(D$7,'Writing Logic'!$J$7:$K$11,2,FALSE)&amp;" - Per "&amp;VLOOKUP($C$4,'Writing Logic'!$G$8:$H$14,2,FALSE),YES_Writing_ELA[#Headers],0))=0,"",INDEX(_xlfn.VSTACK(YES_Writing_ELA[#Data],YES_Writing_FLA[#Data]),MATCH($A338,_xlfn.VSTACK(YES_Writing_ELA[Student Number],YES_Writing_FLA[Student Number]),0),MATCH(VLOOKUP(D$7,'Writing Logic'!$J$7:$K$11,2,FALSE)&amp;" - Per "&amp;VLOOKUP($C$4,'Writing Logic'!$G$8:$H$14,2,FALSE),YES_Writing_ELA[#Headers],0)))),"")</f>
        <v/>
      </c>
      <c r="E338" s="138" t="str">
        <f>IFERROR(IF(IF(INDEX(_xlfn.VSTACK(YES_Writing_ELA[#Data],YES_Writing_FLA[#Data]),MATCH($A338,_xlfn.VSTACK(YES_Writing_ELA[Student Number],YES_Writing_FLA[Student Number]),0),MATCH(VLOOKUP(E$7,'Writing Logic'!$J$7:$K$11,2,FALSE)&amp;" - Per "&amp;VLOOKUP($C$4,'Writing Logic'!$G$8:$H$14,2,FALSE),YES_Writing_ELA[#Headers],0))=0,"",INDEX(_xlfn.VSTACK(YES_Writing_ELA[#Data],YES_Writing_FLA[#Data]),MATCH($A338,_xlfn.VSTACK(YES_Writing_ELA[Student Number],YES_Writing_FLA[Student Number]),0),MATCH(VLOOKUP(E$7,'Writing Logic'!$J$7:$K$11,2,FALSE)&amp;" - Per "&amp;VLOOKUP($C$4,'Writing Logic'!$G$8:$H$14,2,FALSE),YES_Writing_ELA[#Headers],0)))="INS",'Writing Logic'!$B$7,IF(INDEX(_xlfn.VSTACK(YES_Writing_ELA[#Data],YES_Writing_FLA[#Data]),MATCH($A338,_xlfn.VSTACK(YES_Writing_ELA[Student Number],YES_Writing_FLA[Student Number]),0),MATCH(VLOOKUP(E$7,'Writing Logic'!$J$7:$K$11,2,FALSE)&amp;" - Per "&amp;VLOOKUP($C$4,'Writing Logic'!$G$8:$H$14,2,FALSE),YES_Writing_ELA[#Headers],0))=0,"",INDEX(_xlfn.VSTACK(YES_Writing_ELA[#Data],YES_Writing_FLA[#Data]),MATCH($A338,_xlfn.VSTACK(YES_Writing_ELA[Student Number],YES_Writing_FLA[Student Number]),0),MATCH(VLOOKUP(E$7,'Writing Logic'!$J$7:$K$11,2,FALSE)&amp;" - Per "&amp;VLOOKUP($C$4,'Writing Logic'!$G$8:$H$14,2,FALSE),YES_Writing_ELA[#Headers],0)))),"")</f>
        <v/>
      </c>
      <c r="F338" s="138" t="str">
        <f>IFERROR(IF(IF(INDEX(_xlfn.VSTACK(YES_Writing_ELA[#Data],YES_Writing_FLA[#Data]),MATCH($A338,_xlfn.VSTACK(YES_Writing_ELA[Student Number],YES_Writing_FLA[Student Number]),0),MATCH(VLOOKUP(F$7,'Writing Logic'!$J$7:$K$11,2,FALSE)&amp;" - Per "&amp;VLOOKUP($C$4,'Writing Logic'!$G$8:$H$14,2,FALSE),YES_Writing_ELA[#Headers],0))=0,"",INDEX(_xlfn.VSTACK(YES_Writing_ELA[#Data],YES_Writing_FLA[#Data]),MATCH($A338,_xlfn.VSTACK(YES_Writing_ELA[Student Number],YES_Writing_FLA[Student Number]),0),MATCH(VLOOKUP(F$7,'Writing Logic'!$J$7:$K$11,2,FALSE)&amp;" - Per "&amp;VLOOKUP($C$4,'Writing Logic'!$G$8:$H$14,2,FALSE),YES_Writing_ELA[#Headers],0)))="INS",'Writing Logic'!$B$7,IF(INDEX(_xlfn.VSTACK(YES_Writing_ELA[#Data],YES_Writing_FLA[#Data]),MATCH($A338,_xlfn.VSTACK(YES_Writing_ELA[Student Number],YES_Writing_FLA[Student Number]),0),MATCH(VLOOKUP(F$7,'Writing Logic'!$J$7:$K$11,2,FALSE)&amp;" - Per "&amp;VLOOKUP($C$4,'Writing Logic'!$G$8:$H$14,2,FALSE),YES_Writing_ELA[#Headers],0))=0,"",INDEX(_xlfn.VSTACK(YES_Writing_ELA[#Data],YES_Writing_FLA[#Data]),MATCH($A338,_xlfn.VSTACK(YES_Writing_ELA[Student Number],YES_Writing_FLA[Student Number]),0),MATCH(VLOOKUP(F$7,'Writing Logic'!$J$7:$K$11,2,FALSE)&amp;" - Per "&amp;VLOOKUP($C$4,'Writing Logic'!$G$8:$H$14,2,FALSE),YES_Writing_ELA[#Headers],0)))),"")</f>
        <v/>
      </c>
      <c r="G338" s="138" t="str">
        <f>IFERROR(IF(IF(INDEX(_xlfn.VSTACK(YES_Writing_ELA[#Data],YES_Writing_FLA[#Data]),MATCH($A338,_xlfn.VSTACK(YES_Writing_ELA[Student Number],YES_Writing_FLA[Student Number]),0),MATCH(VLOOKUP(G$7,'Writing Logic'!$J$7:$K$11,2,FALSE)&amp;" - Per "&amp;VLOOKUP($C$4,'Writing Logic'!$G$8:$H$14,2,FALSE),YES_Writing_ELA[#Headers],0))=0,"",INDEX(_xlfn.VSTACK(YES_Writing_ELA[#Data],YES_Writing_FLA[#Data]),MATCH($A338,_xlfn.VSTACK(YES_Writing_ELA[Student Number],YES_Writing_FLA[Student Number]),0),MATCH(VLOOKUP(G$7,'Writing Logic'!$J$7:$K$11,2,FALSE)&amp;" - Per "&amp;VLOOKUP($C$4,'Writing Logic'!$G$8:$H$14,2,FALSE),YES_Writing_ELA[#Headers],0)))="INS",'Writing Logic'!$B$7,IF(INDEX(_xlfn.VSTACK(YES_Writing_ELA[#Data],YES_Writing_FLA[#Data]),MATCH($A338,_xlfn.VSTACK(YES_Writing_ELA[Student Number],YES_Writing_FLA[Student Number]),0),MATCH(VLOOKUP(G$7,'Writing Logic'!$J$7:$K$11,2,FALSE)&amp;" - Per "&amp;VLOOKUP($C$4,'Writing Logic'!$G$8:$H$14,2,FALSE),YES_Writing_ELA[#Headers],0))=0,"",INDEX(_xlfn.VSTACK(YES_Writing_ELA[#Data],YES_Writing_FLA[#Data]),MATCH($A338,_xlfn.VSTACK(YES_Writing_ELA[Student Number],YES_Writing_FLA[Student Number]),0),MATCH(VLOOKUP(G$7,'Writing Logic'!$J$7:$K$11,2,FALSE)&amp;" - Per "&amp;VLOOKUP($C$4,'Writing Logic'!$G$8:$H$14,2,FALSE),YES_Writing_ELA[#Headers],0)))),"")</f>
        <v/>
      </c>
      <c r="H338" s="223" t="str">
        <f>IFERROR(IF(IF(INDEX(_xlfn.VSTACK(YES_Writing_ELA[#Data],YES_Writing_FLA[#Data]),MATCH($A338,_xlfn.VSTACK(YES_Writing_ELA[Student Number],YES_Writing_FLA[Student Number]),0),MATCH(VLOOKUP(H$7,'Writing Logic'!$J$7:$K$11,2,FALSE)&amp;" - Per "&amp;VLOOKUP($C$4,'Writing Logic'!$G$8:$H$14,2,FALSE),YES_Writing_ELA[#Headers],0))=0,"",INDEX(_xlfn.VSTACK(YES_Writing_ELA[#Data],YES_Writing_FLA[#Data]),MATCH($A338,_xlfn.VSTACK(YES_Writing_ELA[Student Number],YES_Writing_FLA[Student Number]),0),MATCH(VLOOKUP(H$7,'Writing Logic'!$J$7:$K$11,2,FALSE)&amp;" - Per "&amp;VLOOKUP($C$4,'Writing Logic'!$G$8:$H$14,2,FALSE),YES_Writing_ELA[#Headers],0)))="INS",'Writing Logic'!$B$7,IF(INDEX(_xlfn.VSTACK(YES_Writing_ELA[#Data],YES_Writing_FLA[#Data]),MATCH($A338,_xlfn.VSTACK(YES_Writing_ELA[Student Number],YES_Writing_FLA[Student Number]),0),MATCH(VLOOKUP(H$7,'Writing Logic'!$J$7:$K$11,2,FALSE)&amp;" - Per "&amp;VLOOKUP($C$4,'Writing Logic'!$G$8:$H$14,2,FALSE),YES_Writing_ELA[#Headers],0))=0,"",INDEX(_xlfn.VSTACK(YES_Writing_ELA[#Data],YES_Writing_FLA[#Data]),MATCH($A338,_xlfn.VSTACK(YES_Writing_ELA[Student Number],YES_Writing_FLA[Student Number]),0),MATCH(VLOOKUP(H$7,'Writing Logic'!$J$7:$K$11,2,FALSE)&amp;" - Per "&amp;VLOOKUP($C$4,'Writing Logic'!$G$8:$H$14,2,FALSE),YES_Writing_ELA[#Headers],0)))),"")</f>
        <v/>
      </c>
      <c r="I338" s="224" t="str" cm="1">
        <f t="array" aca="1" ref="I338" ca="1">IFERROR(
IF($G$3="ELA",
IF(VLOOKUP($A338, YES_Reading_ELA[], COLUMN(INDIRECT("YES_Reading_ELA[Difference - Per "&amp;VLOOKUP($G$4, 'Reading Report Logic'!$A$2:$B$8, 2, FALSE)&amp;"]")), FALSE)="", "",
VLOOKUP($A338,YES_Reading_ELA[], COLUMN(INDIRECT("YES_Reading_ELA[Difference - Per "&amp;VLOOKUP($G$4,'Reading Report Logic'!$A$2:$B$8,2,FALSE)&amp;"]")), FALSE)),
IF($G$3="FLA",
IF(VLOOKUP($A338, YES_Reading_FLA[], COLUMN(INDIRECT("YES_Reading_FLA[Difference - Per "&amp;VLOOKUP($G$4,'Reading Report Logic'!$A$2:$B$8,2,FALSE)&amp;"]")),FALSE)="","",
VLOOKUP($A338,YES_Reading_FLA[],COLUMN(INDIRECT("YES_Reading_FLA[Difference - Per "&amp;VLOOKUP($G$4,'Reading Report Logic'!$A$2:$B$8,2,FALSE)&amp;"]")),FALSE)),
IF($G$3="Combined",
IFERROR(
IF(VLOOKUP($A338, YES_Reading_ELA[], COLUMN(INDIRECT("YES_Reading_ELA[Difference - Per "&amp;VLOOKUP($G$4, 'Reading Report Logic'!$A$2:$B$8,2,FALSE)&amp;"]")), FALSE)="", "",
VLOOKUP($A338,YES_Reading_ELA[],COLUMN(INDIRECT("YES_Reading_ELA[Difference - Per "&amp;VLOOKUP($G$4,'Reading Report Logic'!$A$2:$B$8,2,FALSE)&amp;"]")),FALSE)),
IF(VLOOKUP($A338, YES_Reading_FLA[], COLUMN(INDIRECT("YES_Reading_FLA[Difference - Per "&amp;VLOOKUP($G$4, 'Reading Report Logic'!$A$2:$B$8, 2, FALSE)&amp;"]")),FALSE)="", "", VLOOKUP($A338,YES_Reading_FLA[],COLUMN(INDIRECT("YES_Reading_FLA[Difference - Per "&amp;VLOOKUP($G$4, 'Reading Report Logic'!$A$2:$B$8, 2, FALSE)&amp;"]")),FALSE))),""))),"")</f>
        <v/>
      </c>
    </row>
    <row r="339" spans="1:9" x14ac:dyDescent="0.25">
      <c r="A339" s="137"/>
      <c r="B339" s="137" t="str">
        <f>IFERROR(INDEX(_xlfn.VSTACK(YES_Writing_ELA[#Data], YES_Writing_FLA[#Data]),MATCH($A339,_xlfn.VSTACK(YES_Writing_ELA[Student Number], YES_Writing_FLA[Student Number]),0),MATCH(B$7,YES_Writing_ELA[#Headers],0)),IFERROR(INDEX(_xlfn.VSTACK(YES_Reading_ELA[#Data], YES_Reading_FLA[#Data]),MATCH($A339,_xlfn.VSTACK(YES_Reading_ELA[Student Number], YES_Reading_FLA[Student Number]),0),MATCH(B$7,YES_Reading_ELA[#Headers],0)),""))</f>
        <v/>
      </c>
      <c r="C339" s="137" t="str">
        <f>IFERROR(INDEX(_xlfn.VSTACK(YES_Writing_ELA[#Data], YES_Writing_FLA[#Data]),MATCH($A339,_xlfn.VSTACK(YES_Writing_ELA[Student Number], YES_Writing_FLA[Student Number]),0),MATCH(C$7,YES_Writing_ELA[#Headers],0)),IFERROR(INDEX(_xlfn.VSTACK(YES_Reading_ELA[#Data], YES_Reading_FLA[#Data]),MATCH($A339,_xlfn.VSTACK(YES_Reading_ELA[Student Number], YES_Reading_FLA[Student Number]),0),MATCH(C$7,YES_Reading_ELA[#Headers],0)),""))</f>
        <v/>
      </c>
      <c r="D339" s="138" t="str">
        <f>IFERROR(IF(IF(INDEX(_xlfn.VSTACK(YES_Writing_ELA[#Data],YES_Writing_FLA[#Data]),MATCH($A339,_xlfn.VSTACK(YES_Writing_ELA[Student Number],YES_Writing_FLA[Student Number]),0),MATCH(VLOOKUP(D$7,'Writing Logic'!$J$7:$K$11,2,FALSE)&amp;" - Per "&amp;VLOOKUP($C$4,'Writing Logic'!$G$8:$H$14,2,FALSE),YES_Writing_ELA[#Headers],0))=0,"",INDEX(_xlfn.VSTACK(YES_Writing_ELA[#Data],YES_Writing_FLA[#Data]),MATCH($A339,_xlfn.VSTACK(YES_Writing_ELA[Student Number],YES_Writing_FLA[Student Number]),0),MATCH(VLOOKUP(D$7,'Writing Logic'!$J$7:$K$11,2,FALSE)&amp;" - Per "&amp;VLOOKUP($C$4,'Writing Logic'!$G$8:$H$14,2,FALSE),YES_Writing_ELA[#Headers],0)))="INS",'Writing Logic'!$B$7,IF(INDEX(_xlfn.VSTACK(YES_Writing_ELA[#Data],YES_Writing_FLA[#Data]),MATCH($A339,_xlfn.VSTACK(YES_Writing_ELA[Student Number],YES_Writing_FLA[Student Number]),0),MATCH(VLOOKUP(D$7,'Writing Logic'!$J$7:$K$11,2,FALSE)&amp;" - Per "&amp;VLOOKUP($C$4,'Writing Logic'!$G$8:$H$14,2,FALSE),YES_Writing_ELA[#Headers],0))=0,"",INDEX(_xlfn.VSTACK(YES_Writing_ELA[#Data],YES_Writing_FLA[#Data]),MATCH($A339,_xlfn.VSTACK(YES_Writing_ELA[Student Number],YES_Writing_FLA[Student Number]),0),MATCH(VLOOKUP(D$7,'Writing Logic'!$J$7:$K$11,2,FALSE)&amp;" - Per "&amp;VLOOKUP($C$4,'Writing Logic'!$G$8:$H$14,2,FALSE),YES_Writing_ELA[#Headers],0)))),"")</f>
        <v/>
      </c>
      <c r="E339" s="138" t="str">
        <f>IFERROR(IF(IF(INDEX(_xlfn.VSTACK(YES_Writing_ELA[#Data],YES_Writing_FLA[#Data]),MATCH($A339,_xlfn.VSTACK(YES_Writing_ELA[Student Number],YES_Writing_FLA[Student Number]),0),MATCH(VLOOKUP(E$7,'Writing Logic'!$J$7:$K$11,2,FALSE)&amp;" - Per "&amp;VLOOKUP($C$4,'Writing Logic'!$G$8:$H$14,2,FALSE),YES_Writing_ELA[#Headers],0))=0,"",INDEX(_xlfn.VSTACK(YES_Writing_ELA[#Data],YES_Writing_FLA[#Data]),MATCH($A339,_xlfn.VSTACK(YES_Writing_ELA[Student Number],YES_Writing_FLA[Student Number]),0),MATCH(VLOOKUP(E$7,'Writing Logic'!$J$7:$K$11,2,FALSE)&amp;" - Per "&amp;VLOOKUP($C$4,'Writing Logic'!$G$8:$H$14,2,FALSE),YES_Writing_ELA[#Headers],0)))="INS",'Writing Logic'!$B$7,IF(INDEX(_xlfn.VSTACK(YES_Writing_ELA[#Data],YES_Writing_FLA[#Data]),MATCH($A339,_xlfn.VSTACK(YES_Writing_ELA[Student Number],YES_Writing_FLA[Student Number]),0),MATCH(VLOOKUP(E$7,'Writing Logic'!$J$7:$K$11,2,FALSE)&amp;" - Per "&amp;VLOOKUP($C$4,'Writing Logic'!$G$8:$H$14,2,FALSE),YES_Writing_ELA[#Headers],0))=0,"",INDEX(_xlfn.VSTACK(YES_Writing_ELA[#Data],YES_Writing_FLA[#Data]),MATCH($A339,_xlfn.VSTACK(YES_Writing_ELA[Student Number],YES_Writing_FLA[Student Number]),0),MATCH(VLOOKUP(E$7,'Writing Logic'!$J$7:$K$11,2,FALSE)&amp;" - Per "&amp;VLOOKUP($C$4,'Writing Logic'!$G$8:$H$14,2,FALSE),YES_Writing_ELA[#Headers],0)))),"")</f>
        <v/>
      </c>
      <c r="F339" s="138" t="str">
        <f>IFERROR(IF(IF(INDEX(_xlfn.VSTACK(YES_Writing_ELA[#Data],YES_Writing_FLA[#Data]),MATCH($A339,_xlfn.VSTACK(YES_Writing_ELA[Student Number],YES_Writing_FLA[Student Number]),0),MATCH(VLOOKUP(F$7,'Writing Logic'!$J$7:$K$11,2,FALSE)&amp;" - Per "&amp;VLOOKUP($C$4,'Writing Logic'!$G$8:$H$14,2,FALSE),YES_Writing_ELA[#Headers],0))=0,"",INDEX(_xlfn.VSTACK(YES_Writing_ELA[#Data],YES_Writing_FLA[#Data]),MATCH($A339,_xlfn.VSTACK(YES_Writing_ELA[Student Number],YES_Writing_FLA[Student Number]),0),MATCH(VLOOKUP(F$7,'Writing Logic'!$J$7:$K$11,2,FALSE)&amp;" - Per "&amp;VLOOKUP($C$4,'Writing Logic'!$G$8:$H$14,2,FALSE),YES_Writing_ELA[#Headers],0)))="INS",'Writing Logic'!$B$7,IF(INDEX(_xlfn.VSTACK(YES_Writing_ELA[#Data],YES_Writing_FLA[#Data]),MATCH($A339,_xlfn.VSTACK(YES_Writing_ELA[Student Number],YES_Writing_FLA[Student Number]),0),MATCH(VLOOKUP(F$7,'Writing Logic'!$J$7:$K$11,2,FALSE)&amp;" - Per "&amp;VLOOKUP($C$4,'Writing Logic'!$G$8:$H$14,2,FALSE),YES_Writing_ELA[#Headers],0))=0,"",INDEX(_xlfn.VSTACK(YES_Writing_ELA[#Data],YES_Writing_FLA[#Data]),MATCH($A339,_xlfn.VSTACK(YES_Writing_ELA[Student Number],YES_Writing_FLA[Student Number]),0),MATCH(VLOOKUP(F$7,'Writing Logic'!$J$7:$K$11,2,FALSE)&amp;" - Per "&amp;VLOOKUP($C$4,'Writing Logic'!$G$8:$H$14,2,FALSE),YES_Writing_ELA[#Headers],0)))),"")</f>
        <v/>
      </c>
      <c r="G339" s="138" t="str">
        <f>IFERROR(IF(IF(INDEX(_xlfn.VSTACK(YES_Writing_ELA[#Data],YES_Writing_FLA[#Data]),MATCH($A339,_xlfn.VSTACK(YES_Writing_ELA[Student Number],YES_Writing_FLA[Student Number]),0),MATCH(VLOOKUP(G$7,'Writing Logic'!$J$7:$K$11,2,FALSE)&amp;" - Per "&amp;VLOOKUP($C$4,'Writing Logic'!$G$8:$H$14,2,FALSE),YES_Writing_ELA[#Headers],0))=0,"",INDEX(_xlfn.VSTACK(YES_Writing_ELA[#Data],YES_Writing_FLA[#Data]),MATCH($A339,_xlfn.VSTACK(YES_Writing_ELA[Student Number],YES_Writing_FLA[Student Number]),0),MATCH(VLOOKUP(G$7,'Writing Logic'!$J$7:$K$11,2,FALSE)&amp;" - Per "&amp;VLOOKUP($C$4,'Writing Logic'!$G$8:$H$14,2,FALSE),YES_Writing_ELA[#Headers],0)))="INS",'Writing Logic'!$B$7,IF(INDEX(_xlfn.VSTACK(YES_Writing_ELA[#Data],YES_Writing_FLA[#Data]),MATCH($A339,_xlfn.VSTACK(YES_Writing_ELA[Student Number],YES_Writing_FLA[Student Number]),0),MATCH(VLOOKUP(G$7,'Writing Logic'!$J$7:$K$11,2,FALSE)&amp;" - Per "&amp;VLOOKUP($C$4,'Writing Logic'!$G$8:$H$14,2,FALSE),YES_Writing_ELA[#Headers],0))=0,"",INDEX(_xlfn.VSTACK(YES_Writing_ELA[#Data],YES_Writing_FLA[#Data]),MATCH($A339,_xlfn.VSTACK(YES_Writing_ELA[Student Number],YES_Writing_FLA[Student Number]),0),MATCH(VLOOKUP(G$7,'Writing Logic'!$J$7:$K$11,2,FALSE)&amp;" - Per "&amp;VLOOKUP($C$4,'Writing Logic'!$G$8:$H$14,2,FALSE),YES_Writing_ELA[#Headers],0)))),"")</f>
        <v/>
      </c>
      <c r="H339" s="223" t="str">
        <f>IFERROR(IF(IF(INDEX(_xlfn.VSTACK(YES_Writing_ELA[#Data],YES_Writing_FLA[#Data]),MATCH($A339,_xlfn.VSTACK(YES_Writing_ELA[Student Number],YES_Writing_FLA[Student Number]),0),MATCH(VLOOKUP(H$7,'Writing Logic'!$J$7:$K$11,2,FALSE)&amp;" - Per "&amp;VLOOKUP($C$4,'Writing Logic'!$G$8:$H$14,2,FALSE),YES_Writing_ELA[#Headers],0))=0,"",INDEX(_xlfn.VSTACK(YES_Writing_ELA[#Data],YES_Writing_FLA[#Data]),MATCH($A339,_xlfn.VSTACK(YES_Writing_ELA[Student Number],YES_Writing_FLA[Student Number]),0),MATCH(VLOOKUP(H$7,'Writing Logic'!$J$7:$K$11,2,FALSE)&amp;" - Per "&amp;VLOOKUP($C$4,'Writing Logic'!$G$8:$H$14,2,FALSE),YES_Writing_ELA[#Headers],0)))="INS",'Writing Logic'!$B$7,IF(INDEX(_xlfn.VSTACK(YES_Writing_ELA[#Data],YES_Writing_FLA[#Data]),MATCH($A339,_xlfn.VSTACK(YES_Writing_ELA[Student Number],YES_Writing_FLA[Student Number]),0),MATCH(VLOOKUP(H$7,'Writing Logic'!$J$7:$K$11,2,FALSE)&amp;" - Per "&amp;VLOOKUP($C$4,'Writing Logic'!$G$8:$H$14,2,FALSE),YES_Writing_ELA[#Headers],0))=0,"",INDEX(_xlfn.VSTACK(YES_Writing_ELA[#Data],YES_Writing_FLA[#Data]),MATCH($A339,_xlfn.VSTACK(YES_Writing_ELA[Student Number],YES_Writing_FLA[Student Number]),0),MATCH(VLOOKUP(H$7,'Writing Logic'!$J$7:$K$11,2,FALSE)&amp;" - Per "&amp;VLOOKUP($C$4,'Writing Logic'!$G$8:$H$14,2,FALSE),YES_Writing_ELA[#Headers],0)))),"")</f>
        <v/>
      </c>
      <c r="I339" s="224" t="str" cm="1">
        <f t="array" aca="1" ref="I339" ca="1">IFERROR(
IF($G$3="ELA",
IF(VLOOKUP($A339, YES_Reading_ELA[], COLUMN(INDIRECT("YES_Reading_ELA[Difference - Per "&amp;VLOOKUP($G$4, 'Reading Report Logic'!$A$2:$B$8, 2, FALSE)&amp;"]")), FALSE)="", "",
VLOOKUP($A339,YES_Reading_ELA[], COLUMN(INDIRECT("YES_Reading_ELA[Difference - Per "&amp;VLOOKUP($G$4,'Reading Report Logic'!$A$2:$B$8,2,FALSE)&amp;"]")), FALSE)),
IF($G$3="FLA",
IF(VLOOKUP($A339, YES_Reading_FLA[], COLUMN(INDIRECT("YES_Reading_FLA[Difference - Per "&amp;VLOOKUP($G$4,'Reading Report Logic'!$A$2:$B$8,2,FALSE)&amp;"]")),FALSE)="","",
VLOOKUP($A339,YES_Reading_FLA[],COLUMN(INDIRECT("YES_Reading_FLA[Difference - Per "&amp;VLOOKUP($G$4,'Reading Report Logic'!$A$2:$B$8,2,FALSE)&amp;"]")),FALSE)),
IF($G$3="Combined",
IFERROR(
IF(VLOOKUP($A339, YES_Reading_ELA[], COLUMN(INDIRECT("YES_Reading_ELA[Difference - Per "&amp;VLOOKUP($G$4, 'Reading Report Logic'!$A$2:$B$8,2,FALSE)&amp;"]")), FALSE)="", "",
VLOOKUP($A339,YES_Reading_ELA[],COLUMN(INDIRECT("YES_Reading_ELA[Difference - Per "&amp;VLOOKUP($G$4,'Reading Report Logic'!$A$2:$B$8,2,FALSE)&amp;"]")),FALSE)),
IF(VLOOKUP($A339, YES_Reading_FLA[], COLUMN(INDIRECT("YES_Reading_FLA[Difference - Per "&amp;VLOOKUP($G$4, 'Reading Report Logic'!$A$2:$B$8, 2, FALSE)&amp;"]")),FALSE)="", "", VLOOKUP($A339,YES_Reading_FLA[],COLUMN(INDIRECT("YES_Reading_FLA[Difference - Per "&amp;VLOOKUP($G$4, 'Reading Report Logic'!$A$2:$B$8, 2, FALSE)&amp;"]")),FALSE))),""))),"")</f>
        <v/>
      </c>
    </row>
    <row r="340" spans="1:9" x14ac:dyDescent="0.25">
      <c r="A340" s="137"/>
      <c r="B340" s="137" t="str">
        <f>IFERROR(INDEX(_xlfn.VSTACK(YES_Writing_ELA[#Data], YES_Writing_FLA[#Data]),MATCH($A340,_xlfn.VSTACK(YES_Writing_ELA[Student Number], YES_Writing_FLA[Student Number]),0),MATCH(B$7,YES_Writing_ELA[#Headers],0)),IFERROR(INDEX(_xlfn.VSTACK(YES_Reading_ELA[#Data], YES_Reading_FLA[#Data]),MATCH($A340,_xlfn.VSTACK(YES_Reading_ELA[Student Number], YES_Reading_FLA[Student Number]),0),MATCH(B$7,YES_Reading_ELA[#Headers],0)),""))</f>
        <v/>
      </c>
      <c r="C340" s="137" t="str">
        <f>IFERROR(INDEX(_xlfn.VSTACK(YES_Writing_ELA[#Data], YES_Writing_FLA[#Data]),MATCH($A340,_xlfn.VSTACK(YES_Writing_ELA[Student Number], YES_Writing_FLA[Student Number]),0),MATCH(C$7,YES_Writing_ELA[#Headers],0)),IFERROR(INDEX(_xlfn.VSTACK(YES_Reading_ELA[#Data], YES_Reading_FLA[#Data]),MATCH($A340,_xlfn.VSTACK(YES_Reading_ELA[Student Number], YES_Reading_FLA[Student Number]),0),MATCH(C$7,YES_Reading_ELA[#Headers],0)),""))</f>
        <v/>
      </c>
      <c r="D340" s="138" t="str">
        <f>IFERROR(IF(IF(INDEX(_xlfn.VSTACK(YES_Writing_ELA[#Data],YES_Writing_FLA[#Data]),MATCH($A340,_xlfn.VSTACK(YES_Writing_ELA[Student Number],YES_Writing_FLA[Student Number]),0),MATCH(VLOOKUP(D$7,'Writing Logic'!$J$7:$K$11,2,FALSE)&amp;" - Per "&amp;VLOOKUP($C$4,'Writing Logic'!$G$8:$H$14,2,FALSE),YES_Writing_ELA[#Headers],0))=0,"",INDEX(_xlfn.VSTACK(YES_Writing_ELA[#Data],YES_Writing_FLA[#Data]),MATCH($A340,_xlfn.VSTACK(YES_Writing_ELA[Student Number],YES_Writing_FLA[Student Number]),0),MATCH(VLOOKUP(D$7,'Writing Logic'!$J$7:$K$11,2,FALSE)&amp;" - Per "&amp;VLOOKUP($C$4,'Writing Logic'!$G$8:$H$14,2,FALSE),YES_Writing_ELA[#Headers],0)))="INS",'Writing Logic'!$B$7,IF(INDEX(_xlfn.VSTACK(YES_Writing_ELA[#Data],YES_Writing_FLA[#Data]),MATCH($A340,_xlfn.VSTACK(YES_Writing_ELA[Student Number],YES_Writing_FLA[Student Number]),0),MATCH(VLOOKUP(D$7,'Writing Logic'!$J$7:$K$11,2,FALSE)&amp;" - Per "&amp;VLOOKUP($C$4,'Writing Logic'!$G$8:$H$14,2,FALSE),YES_Writing_ELA[#Headers],0))=0,"",INDEX(_xlfn.VSTACK(YES_Writing_ELA[#Data],YES_Writing_FLA[#Data]),MATCH($A340,_xlfn.VSTACK(YES_Writing_ELA[Student Number],YES_Writing_FLA[Student Number]),0),MATCH(VLOOKUP(D$7,'Writing Logic'!$J$7:$K$11,2,FALSE)&amp;" - Per "&amp;VLOOKUP($C$4,'Writing Logic'!$G$8:$H$14,2,FALSE),YES_Writing_ELA[#Headers],0)))),"")</f>
        <v/>
      </c>
      <c r="E340" s="138" t="str">
        <f>IFERROR(IF(IF(INDEX(_xlfn.VSTACK(YES_Writing_ELA[#Data],YES_Writing_FLA[#Data]),MATCH($A340,_xlfn.VSTACK(YES_Writing_ELA[Student Number],YES_Writing_FLA[Student Number]),0),MATCH(VLOOKUP(E$7,'Writing Logic'!$J$7:$K$11,2,FALSE)&amp;" - Per "&amp;VLOOKUP($C$4,'Writing Logic'!$G$8:$H$14,2,FALSE),YES_Writing_ELA[#Headers],0))=0,"",INDEX(_xlfn.VSTACK(YES_Writing_ELA[#Data],YES_Writing_FLA[#Data]),MATCH($A340,_xlfn.VSTACK(YES_Writing_ELA[Student Number],YES_Writing_FLA[Student Number]),0),MATCH(VLOOKUP(E$7,'Writing Logic'!$J$7:$K$11,2,FALSE)&amp;" - Per "&amp;VLOOKUP($C$4,'Writing Logic'!$G$8:$H$14,2,FALSE),YES_Writing_ELA[#Headers],0)))="INS",'Writing Logic'!$B$7,IF(INDEX(_xlfn.VSTACK(YES_Writing_ELA[#Data],YES_Writing_FLA[#Data]),MATCH($A340,_xlfn.VSTACK(YES_Writing_ELA[Student Number],YES_Writing_FLA[Student Number]),0),MATCH(VLOOKUP(E$7,'Writing Logic'!$J$7:$K$11,2,FALSE)&amp;" - Per "&amp;VLOOKUP($C$4,'Writing Logic'!$G$8:$H$14,2,FALSE),YES_Writing_ELA[#Headers],0))=0,"",INDEX(_xlfn.VSTACK(YES_Writing_ELA[#Data],YES_Writing_FLA[#Data]),MATCH($A340,_xlfn.VSTACK(YES_Writing_ELA[Student Number],YES_Writing_FLA[Student Number]),0),MATCH(VLOOKUP(E$7,'Writing Logic'!$J$7:$K$11,2,FALSE)&amp;" - Per "&amp;VLOOKUP($C$4,'Writing Logic'!$G$8:$H$14,2,FALSE),YES_Writing_ELA[#Headers],0)))),"")</f>
        <v/>
      </c>
      <c r="F340" s="138" t="str">
        <f>IFERROR(IF(IF(INDEX(_xlfn.VSTACK(YES_Writing_ELA[#Data],YES_Writing_FLA[#Data]),MATCH($A340,_xlfn.VSTACK(YES_Writing_ELA[Student Number],YES_Writing_FLA[Student Number]),0),MATCH(VLOOKUP(F$7,'Writing Logic'!$J$7:$K$11,2,FALSE)&amp;" - Per "&amp;VLOOKUP($C$4,'Writing Logic'!$G$8:$H$14,2,FALSE),YES_Writing_ELA[#Headers],0))=0,"",INDEX(_xlfn.VSTACK(YES_Writing_ELA[#Data],YES_Writing_FLA[#Data]),MATCH($A340,_xlfn.VSTACK(YES_Writing_ELA[Student Number],YES_Writing_FLA[Student Number]),0),MATCH(VLOOKUP(F$7,'Writing Logic'!$J$7:$K$11,2,FALSE)&amp;" - Per "&amp;VLOOKUP($C$4,'Writing Logic'!$G$8:$H$14,2,FALSE),YES_Writing_ELA[#Headers],0)))="INS",'Writing Logic'!$B$7,IF(INDEX(_xlfn.VSTACK(YES_Writing_ELA[#Data],YES_Writing_FLA[#Data]),MATCH($A340,_xlfn.VSTACK(YES_Writing_ELA[Student Number],YES_Writing_FLA[Student Number]),0),MATCH(VLOOKUP(F$7,'Writing Logic'!$J$7:$K$11,2,FALSE)&amp;" - Per "&amp;VLOOKUP($C$4,'Writing Logic'!$G$8:$H$14,2,FALSE),YES_Writing_ELA[#Headers],0))=0,"",INDEX(_xlfn.VSTACK(YES_Writing_ELA[#Data],YES_Writing_FLA[#Data]),MATCH($A340,_xlfn.VSTACK(YES_Writing_ELA[Student Number],YES_Writing_FLA[Student Number]),0),MATCH(VLOOKUP(F$7,'Writing Logic'!$J$7:$K$11,2,FALSE)&amp;" - Per "&amp;VLOOKUP($C$4,'Writing Logic'!$G$8:$H$14,2,FALSE),YES_Writing_ELA[#Headers],0)))),"")</f>
        <v/>
      </c>
      <c r="G340" s="138" t="str">
        <f>IFERROR(IF(IF(INDEX(_xlfn.VSTACK(YES_Writing_ELA[#Data],YES_Writing_FLA[#Data]),MATCH($A340,_xlfn.VSTACK(YES_Writing_ELA[Student Number],YES_Writing_FLA[Student Number]),0),MATCH(VLOOKUP(G$7,'Writing Logic'!$J$7:$K$11,2,FALSE)&amp;" - Per "&amp;VLOOKUP($C$4,'Writing Logic'!$G$8:$H$14,2,FALSE),YES_Writing_ELA[#Headers],0))=0,"",INDEX(_xlfn.VSTACK(YES_Writing_ELA[#Data],YES_Writing_FLA[#Data]),MATCH($A340,_xlfn.VSTACK(YES_Writing_ELA[Student Number],YES_Writing_FLA[Student Number]),0),MATCH(VLOOKUP(G$7,'Writing Logic'!$J$7:$K$11,2,FALSE)&amp;" - Per "&amp;VLOOKUP($C$4,'Writing Logic'!$G$8:$H$14,2,FALSE),YES_Writing_ELA[#Headers],0)))="INS",'Writing Logic'!$B$7,IF(INDEX(_xlfn.VSTACK(YES_Writing_ELA[#Data],YES_Writing_FLA[#Data]),MATCH($A340,_xlfn.VSTACK(YES_Writing_ELA[Student Number],YES_Writing_FLA[Student Number]),0),MATCH(VLOOKUP(G$7,'Writing Logic'!$J$7:$K$11,2,FALSE)&amp;" - Per "&amp;VLOOKUP($C$4,'Writing Logic'!$G$8:$H$14,2,FALSE),YES_Writing_ELA[#Headers],0))=0,"",INDEX(_xlfn.VSTACK(YES_Writing_ELA[#Data],YES_Writing_FLA[#Data]),MATCH($A340,_xlfn.VSTACK(YES_Writing_ELA[Student Number],YES_Writing_FLA[Student Number]),0),MATCH(VLOOKUP(G$7,'Writing Logic'!$J$7:$K$11,2,FALSE)&amp;" - Per "&amp;VLOOKUP($C$4,'Writing Logic'!$G$8:$H$14,2,FALSE),YES_Writing_ELA[#Headers],0)))),"")</f>
        <v/>
      </c>
      <c r="H340" s="223" t="str">
        <f>IFERROR(IF(IF(INDEX(_xlfn.VSTACK(YES_Writing_ELA[#Data],YES_Writing_FLA[#Data]),MATCH($A340,_xlfn.VSTACK(YES_Writing_ELA[Student Number],YES_Writing_FLA[Student Number]),0),MATCH(VLOOKUP(H$7,'Writing Logic'!$J$7:$K$11,2,FALSE)&amp;" - Per "&amp;VLOOKUP($C$4,'Writing Logic'!$G$8:$H$14,2,FALSE),YES_Writing_ELA[#Headers],0))=0,"",INDEX(_xlfn.VSTACK(YES_Writing_ELA[#Data],YES_Writing_FLA[#Data]),MATCH($A340,_xlfn.VSTACK(YES_Writing_ELA[Student Number],YES_Writing_FLA[Student Number]),0),MATCH(VLOOKUP(H$7,'Writing Logic'!$J$7:$K$11,2,FALSE)&amp;" - Per "&amp;VLOOKUP($C$4,'Writing Logic'!$G$8:$H$14,2,FALSE),YES_Writing_ELA[#Headers],0)))="INS",'Writing Logic'!$B$7,IF(INDEX(_xlfn.VSTACK(YES_Writing_ELA[#Data],YES_Writing_FLA[#Data]),MATCH($A340,_xlfn.VSTACK(YES_Writing_ELA[Student Number],YES_Writing_FLA[Student Number]),0),MATCH(VLOOKUP(H$7,'Writing Logic'!$J$7:$K$11,2,FALSE)&amp;" - Per "&amp;VLOOKUP($C$4,'Writing Logic'!$G$8:$H$14,2,FALSE),YES_Writing_ELA[#Headers],0))=0,"",INDEX(_xlfn.VSTACK(YES_Writing_ELA[#Data],YES_Writing_FLA[#Data]),MATCH($A340,_xlfn.VSTACK(YES_Writing_ELA[Student Number],YES_Writing_FLA[Student Number]),0),MATCH(VLOOKUP(H$7,'Writing Logic'!$J$7:$K$11,2,FALSE)&amp;" - Per "&amp;VLOOKUP($C$4,'Writing Logic'!$G$8:$H$14,2,FALSE),YES_Writing_ELA[#Headers],0)))),"")</f>
        <v/>
      </c>
      <c r="I340" s="224" t="str" cm="1">
        <f t="array" aca="1" ref="I340" ca="1">IFERROR(
IF($G$3="ELA",
IF(VLOOKUP($A340, YES_Reading_ELA[], COLUMN(INDIRECT("YES_Reading_ELA[Difference - Per "&amp;VLOOKUP($G$4, 'Reading Report Logic'!$A$2:$B$8, 2, FALSE)&amp;"]")), FALSE)="", "",
VLOOKUP($A340,YES_Reading_ELA[], COLUMN(INDIRECT("YES_Reading_ELA[Difference - Per "&amp;VLOOKUP($G$4,'Reading Report Logic'!$A$2:$B$8,2,FALSE)&amp;"]")), FALSE)),
IF($G$3="FLA",
IF(VLOOKUP($A340, YES_Reading_FLA[], COLUMN(INDIRECT("YES_Reading_FLA[Difference - Per "&amp;VLOOKUP($G$4,'Reading Report Logic'!$A$2:$B$8,2,FALSE)&amp;"]")),FALSE)="","",
VLOOKUP($A340,YES_Reading_FLA[],COLUMN(INDIRECT("YES_Reading_FLA[Difference - Per "&amp;VLOOKUP($G$4,'Reading Report Logic'!$A$2:$B$8,2,FALSE)&amp;"]")),FALSE)),
IF($G$3="Combined",
IFERROR(
IF(VLOOKUP($A340, YES_Reading_ELA[], COLUMN(INDIRECT("YES_Reading_ELA[Difference - Per "&amp;VLOOKUP($G$4, 'Reading Report Logic'!$A$2:$B$8,2,FALSE)&amp;"]")), FALSE)="", "",
VLOOKUP($A340,YES_Reading_ELA[],COLUMN(INDIRECT("YES_Reading_ELA[Difference - Per "&amp;VLOOKUP($G$4,'Reading Report Logic'!$A$2:$B$8,2,FALSE)&amp;"]")),FALSE)),
IF(VLOOKUP($A340, YES_Reading_FLA[], COLUMN(INDIRECT("YES_Reading_FLA[Difference - Per "&amp;VLOOKUP($G$4, 'Reading Report Logic'!$A$2:$B$8, 2, FALSE)&amp;"]")),FALSE)="", "", VLOOKUP($A340,YES_Reading_FLA[],COLUMN(INDIRECT("YES_Reading_FLA[Difference - Per "&amp;VLOOKUP($G$4, 'Reading Report Logic'!$A$2:$B$8, 2, FALSE)&amp;"]")),FALSE))),""))),"")</f>
        <v/>
      </c>
    </row>
    <row r="341" spans="1:9" x14ac:dyDescent="0.25">
      <c r="A341" s="137"/>
      <c r="B341" s="137" t="str">
        <f>IFERROR(INDEX(_xlfn.VSTACK(YES_Writing_ELA[#Data], YES_Writing_FLA[#Data]),MATCH($A341,_xlfn.VSTACK(YES_Writing_ELA[Student Number], YES_Writing_FLA[Student Number]),0),MATCH(B$7,YES_Writing_ELA[#Headers],0)),IFERROR(INDEX(_xlfn.VSTACK(YES_Reading_ELA[#Data], YES_Reading_FLA[#Data]),MATCH($A341,_xlfn.VSTACK(YES_Reading_ELA[Student Number], YES_Reading_FLA[Student Number]),0),MATCH(B$7,YES_Reading_ELA[#Headers],0)),""))</f>
        <v/>
      </c>
      <c r="C341" s="137" t="str">
        <f>IFERROR(INDEX(_xlfn.VSTACK(YES_Writing_ELA[#Data], YES_Writing_FLA[#Data]),MATCH($A341,_xlfn.VSTACK(YES_Writing_ELA[Student Number], YES_Writing_FLA[Student Number]),0),MATCH(C$7,YES_Writing_ELA[#Headers],0)),IFERROR(INDEX(_xlfn.VSTACK(YES_Reading_ELA[#Data], YES_Reading_FLA[#Data]),MATCH($A341,_xlfn.VSTACK(YES_Reading_ELA[Student Number], YES_Reading_FLA[Student Number]),0),MATCH(C$7,YES_Reading_ELA[#Headers],0)),""))</f>
        <v/>
      </c>
      <c r="D341" s="138" t="str">
        <f>IFERROR(IF(IF(INDEX(_xlfn.VSTACK(YES_Writing_ELA[#Data],YES_Writing_FLA[#Data]),MATCH($A341,_xlfn.VSTACK(YES_Writing_ELA[Student Number],YES_Writing_FLA[Student Number]),0),MATCH(VLOOKUP(D$7,'Writing Logic'!$J$7:$K$11,2,FALSE)&amp;" - Per "&amp;VLOOKUP($C$4,'Writing Logic'!$G$8:$H$14,2,FALSE),YES_Writing_ELA[#Headers],0))=0,"",INDEX(_xlfn.VSTACK(YES_Writing_ELA[#Data],YES_Writing_FLA[#Data]),MATCH($A341,_xlfn.VSTACK(YES_Writing_ELA[Student Number],YES_Writing_FLA[Student Number]),0),MATCH(VLOOKUP(D$7,'Writing Logic'!$J$7:$K$11,2,FALSE)&amp;" - Per "&amp;VLOOKUP($C$4,'Writing Logic'!$G$8:$H$14,2,FALSE),YES_Writing_ELA[#Headers],0)))="INS",'Writing Logic'!$B$7,IF(INDEX(_xlfn.VSTACK(YES_Writing_ELA[#Data],YES_Writing_FLA[#Data]),MATCH($A341,_xlfn.VSTACK(YES_Writing_ELA[Student Number],YES_Writing_FLA[Student Number]),0),MATCH(VLOOKUP(D$7,'Writing Logic'!$J$7:$K$11,2,FALSE)&amp;" - Per "&amp;VLOOKUP($C$4,'Writing Logic'!$G$8:$H$14,2,FALSE),YES_Writing_ELA[#Headers],0))=0,"",INDEX(_xlfn.VSTACK(YES_Writing_ELA[#Data],YES_Writing_FLA[#Data]),MATCH($A341,_xlfn.VSTACK(YES_Writing_ELA[Student Number],YES_Writing_FLA[Student Number]),0),MATCH(VLOOKUP(D$7,'Writing Logic'!$J$7:$K$11,2,FALSE)&amp;" - Per "&amp;VLOOKUP($C$4,'Writing Logic'!$G$8:$H$14,2,FALSE),YES_Writing_ELA[#Headers],0)))),"")</f>
        <v/>
      </c>
      <c r="E341" s="138" t="str">
        <f>IFERROR(IF(IF(INDEX(_xlfn.VSTACK(YES_Writing_ELA[#Data],YES_Writing_FLA[#Data]),MATCH($A341,_xlfn.VSTACK(YES_Writing_ELA[Student Number],YES_Writing_FLA[Student Number]),0),MATCH(VLOOKUP(E$7,'Writing Logic'!$J$7:$K$11,2,FALSE)&amp;" - Per "&amp;VLOOKUP($C$4,'Writing Logic'!$G$8:$H$14,2,FALSE),YES_Writing_ELA[#Headers],0))=0,"",INDEX(_xlfn.VSTACK(YES_Writing_ELA[#Data],YES_Writing_FLA[#Data]),MATCH($A341,_xlfn.VSTACK(YES_Writing_ELA[Student Number],YES_Writing_FLA[Student Number]),0),MATCH(VLOOKUP(E$7,'Writing Logic'!$J$7:$K$11,2,FALSE)&amp;" - Per "&amp;VLOOKUP($C$4,'Writing Logic'!$G$8:$H$14,2,FALSE),YES_Writing_ELA[#Headers],0)))="INS",'Writing Logic'!$B$7,IF(INDEX(_xlfn.VSTACK(YES_Writing_ELA[#Data],YES_Writing_FLA[#Data]),MATCH($A341,_xlfn.VSTACK(YES_Writing_ELA[Student Number],YES_Writing_FLA[Student Number]),0),MATCH(VLOOKUP(E$7,'Writing Logic'!$J$7:$K$11,2,FALSE)&amp;" - Per "&amp;VLOOKUP($C$4,'Writing Logic'!$G$8:$H$14,2,FALSE),YES_Writing_ELA[#Headers],0))=0,"",INDEX(_xlfn.VSTACK(YES_Writing_ELA[#Data],YES_Writing_FLA[#Data]),MATCH($A341,_xlfn.VSTACK(YES_Writing_ELA[Student Number],YES_Writing_FLA[Student Number]),0),MATCH(VLOOKUP(E$7,'Writing Logic'!$J$7:$K$11,2,FALSE)&amp;" - Per "&amp;VLOOKUP($C$4,'Writing Logic'!$G$8:$H$14,2,FALSE),YES_Writing_ELA[#Headers],0)))),"")</f>
        <v/>
      </c>
      <c r="F341" s="138" t="str">
        <f>IFERROR(IF(IF(INDEX(_xlfn.VSTACK(YES_Writing_ELA[#Data],YES_Writing_FLA[#Data]),MATCH($A341,_xlfn.VSTACK(YES_Writing_ELA[Student Number],YES_Writing_FLA[Student Number]),0),MATCH(VLOOKUP(F$7,'Writing Logic'!$J$7:$K$11,2,FALSE)&amp;" - Per "&amp;VLOOKUP($C$4,'Writing Logic'!$G$8:$H$14,2,FALSE),YES_Writing_ELA[#Headers],0))=0,"",INDEX(_xlfn.VSTACK(YES_Writing_ELA[#Data],YES_Writing_FLA[#Data]),MATCH($A341,_xlfn.VSTACK(YES_Writing_ELA[Student Number],YES_Writing_FLA[Student Number]),0),MATCH(VLOOKUP(F$7,'Writing Logic'!$J$7:$K$11,2,FALSE)&amp;" - Per "&amp;VLOOKUP($C$4,'Writing Logic'!$G$8:$H$14,2,FALSE),YES_Writing_ELA[#Headers],0)))="INS",'Writing Logic'!$B$7,IF(INDEX(_xlfn.VSTACK(YES_Writing_ELA[#Data],YES_Writing_FLA[#Data]),MATCH($A341,_xlfn.VSTACK(YES_Writing_ELA[Student Number],YES_Writing_FLA[Student Number]),0),MATCH(VLOOKUP(F$7,'Writing Logic'!$J$7:$K$11,2,FALSE)&amp;" - Per "&amp;VLOOKUP($C$4,'Writing Logic'!$G$8:$H$14,2,FALSE),YES_Writing_ELA[#Headers],0))=0,"",INDEX(_xlfn.VSTACK(YES_Writing_ELA[#Data],YES_Writing_FLA[#Data]),MATCH($A341,_xlfn.VSTACK(YES_Writing_ELA[Student Number],YES_Writing_FLA[Student Number]),0),MATCH(VLOOKUP(F$7,'Writing Logic'!$J$7:$K$11,2,FALSE)&amp;" - Per "&amp;VLOOKUP($C$4,'Writing Logic'!$G$8:$H$14,2,FALSE),YES_Writing_ELA[#Headers],0)))),"")</f>
        <v/>
      </c>
      <c r="G341" s="138" t="str">
        <f>IFERROR(IF(IF(INDEX(_xlfn.VSTACK(YES_Writing_ELA[#Data],YES_Writing_FLA[#Data]),MATCH($A341,_xlfn.VSTACK(YES_Writing_ELA[Student Number],YES_Writing_FLA[Student Number]),0),MATCH(VLOOKUP(G$7,'Writing Logic'!$J$7:$K$11,2,FALSE)&amp;" - Per "&amp;VLOOKUP($C$4,'Writing Logic'!$G$8:$H$14,2,FALSE),YES_Writing_ELA[#Headers],0))=0,"",INDEX(_xlfn.VSTACK(YES_Writing_ELA[#Data],YES_Writing_FLA[#Data]),MATCH($A341,_xlfn.VSTACK(YES_Writing_ELA[Student Number],YES_Writing_FLA[Student Number]),0),MATCH(VLOOKUP(G$7,'Writing Logic'!$J$7:$K$11,2,FALSE)&amp;" - Per "&amp;VLOOKUP($C$4,'Writing Logic'!$G$8:$H$14,2,FALSE),YES_Writing_ELA[#Headers],0)))="INS",'Writing Logic'!$B$7,IF(INDEX(_xlfn.VSTACK(YES_Writing_ELA[#Data],YES_Writing_FLA[#Data]),MATCH($A341,_xlfn.VSTACK(YES_Writing_ELA[Student Number],YES_Writing_FLA[Student Number]),0),MATCH(VLOOKUP(G$7,'Writing Logic'!$J$7:$K$11,2,FALSE)&amp;" - Per "&amp;VLOOKUP($C$4,'Writing Logic'!$G$8:$H$14,2,FALSE),YES_Writing_ELA[#Headers],0))=0,"",INDEX(_xlfn.VSTACK(YES_Writing_ELA[#Data],YES_Writing_FLA[#Data]),MATCH($A341,_xlfn.VSTACK(YES_Writing_ELA[Student Number],YES_Writing_FLA[Student Number]),0),MATCH(VLOOKUP(G$7,'Writing Logic'!$J$7:$K$11,2,FALSE)&amp;" - Per "&amp;VLOOKUP($C$4,'Writing Logic'!$G$8:$H$14,2,FALSE),YES_Writing_ELA[#Headers],0)))),"")</f>
        <v/>
      </c>
      <c r="H341" s="223" t="str">
        <f>IFERROR(IF(IF(INDEX(_xlfn.VSTACK(YES_Writing_ELA[#Data],YES_Writing_FLA[#Data]),MATCH($A341,_xlfn.VSTACK(YES_Writing_ELA[Student Number],YES_Writing_FLA[Student Number]),0),MATCH(VLOOKUP(H$7,'Writing Logic'!$J$7:$K$11,2,FALSE)&amp;" - Per "&amp;VLOOKUP($C$4,'Writing Logic'!$G$8:$H$14,2,FALSE),YES_Writing_ELA[#Headers],0))=0,"",INDEX(_xlfn.VSTACK(YES_Writing_ELA[#Data],YES_Writing_FLA[#Data]),MATCH($A341,_xlfn.VSTACK(YES_Writing_ELA[Student Number],YES_Writing_FLA[Student Number]),0),MATCH(VLOOKUP(H$7,'Writing Logic'!$J$7:$K$11,2,FALSE)&amp;" - Per "&amp;VLOOKUP($C$4,'Writing Logic'!$G$8:$H$14,2,FALSE),YES_Writing_ELA[#Headers],0)))="INS",'Writing Logic'!$B$7,IF(INDEX(_xlfn.VSTACK(YES_Writing_ELA[#Data],YES_Writing_FLA[#Data]),MATCH($A341,_xlfn.VSTACK(YES_Writing_ELA[Student Number],YES_Writing_FLA[Student Number]),0),MATCH(VLOOKUP(H$7,'Writing Logic'!$J$7:$K$11,2,FALSE)&amp;" - Per "&amp;VLOOKUP($C$4,'Writing Logic'!$G$8:$H$14,2,FALSE),YES_Writing_ELA[#Headers],0))=0,"",INDEX(_xlfn.VSTACK(YES_Writing_ELA[#Data],YES_Writing_FLA[#Data]),MATCH($A341,_xlfn.VSTACK(YES_Writing_ELA[Student Number],YES_Writing_FLA[Student Number]),0),MATCH(VLOOKUP(H$7,'Writing Logic'!$J$7:$K$11,2,FALSE)&amp;" - Per "&amp;VLOOKUP($C$4,'Writing Logic'!$G$8:$H$14,2,FALSE),YES_Writing_ELA[#Headers],0)))),"")</f>
        <v/>
      </c>
      <c r="I341" s="224" t="str" cm="1">
        <f t="array" aca="1" ref="I341" ca="1">IFERROR(
IF($G$3="ELA",
IF(VLOOKUP($A341, YES_Reading_ELA[], COLUMN(INDIRECT("YES_Reading_ELA[Difference - Per "&amp;VLOOKUP($G$4, 'Reading Report Logic'!$A$2:$B$8, 2, FALSE)&amp;"]")), FALSE)="", "",
VLOOKUP($A341,YES_Reading_ELA[], COLUMN(INDIRECT("YES_Reading_ELA[Difference - Per "&amp;VLOOKUP($G$4,'Reading Report Logic'!$A$2:$B$8,2,FALSE)&amp;"]")), FALSE)),
IF($G$3="FLA",
IF(VLOOKUP($A341, YES_Reading_FLA[], COLUMN(INDIRECT("YES_Reading_FLA[Difference - Per "&amp;VLOOKUP($G$4,'Reading Report Logic'!$A$2:$B$8,2,FALSE)&amp;"]")),FALSE)="","",
VLOOKUP($A341,YES_Reading_FLA[],COLUMN(INDIRECT("YES_Reading_FLA[Difference - Per "&amp;VLOOKUP($G$4,'Reading Report Logic'!$A$2:$B$8,2,FALSE)&amp;"]")),FALSE)),
IF($G$3="Combined",
IFERROR(
IF(VLOOKUP($A341, YES_Reading_ELA[], COLUMN(INDIRECT("YES_Reading_ELA[Difference - Per "&amp;VLOOKUP($G$4, 'Reading Report Logic'!$A$2:$B$8,2,FALSE)&amp;"]")), FALSE)="", "",
VLOOKUP($A341,YES_Reading_ELA[],COLUMN(INDIRECT("YES_Reading_ELA[Difference - Per "&amp;VLOOKUP($G$4,'Reading Report Logic'!$A$2:$B$8,2,FALSE)&amp;"]")),FALSE)),
IF(VLOOKUP($A341, YES_Reading_FLA[], COLUMN(INDIRECT("YES_Reading_FLA[Difference - Per "&amp;VLOOKUP($G$4, 'Reading Report Logic'!$A$2:$B$8, 2, FALSE)&amp;"]")),FALSE)="", "", VLOOKUP($A341,YES_Reading_FLA[],COLUMN(INDIRECT("YES_Reading_FLA[Difference - Per "&amp;VLOOKUP($G$4, 'Reading Report Logic'!$A$2:$B$8, 2, FALSE)&amp;"]")),FALSE))),""))),"")</f>
        <v/>
      </c>
    </row>
    <row r="342" spans="1:9" x14ac:dyDescent="0.25">
      <c r="A342" s="137"/>
      <c r="B342" s="137" t="str">
        <f>IFERROR(INDEX(_xlfn.VSTACK(YES_Writing_ELA[#Data], YES_Writing_FLA[#Data]),MATCH($A342,_xlfn.VSTACK(YES_Writing_ELA[Student Number], YES_Writing_FLA[Student Number]),0),MATCH(B$7,YES_Writing_ELA[#Headers],0)),IFERROR(INDEX(_xlfn.VSTACK(YES_Reading_ELA[#Data], YES_Reading_FLA[#Data]),MATCH($A342,_xlfn.VSTACK(YES_Reading_ELA[Student Number], YES_Reading_FLA[Student Number]),0),MATCH(B$7,YES_Reading_ELA[#Headers],0)),""))</f>
        <v/>
      </c>
      <c r="C342" s="137" t="str">
        <f>IFERROR(INDEX(_xlfn.VSTACK(YES_Writing_ELA[#Data], YES_Writing_FLA[#Data]),MATCH($A342,_xlfn.VSTACK(YES_Writing_ELA[Student Number], YES_Writing_FLA[Student Number]),0),MATCH(C$7,YES_Writing_ELA[#Headers],0)),IFERROR(INDEX(_xlfn.VSTACK(YES_Reading_ELA[#Data], YES_Reading_FLA[#Data]),MATCH($A342,_xlfn.VSTACK(YES_Reading_ELA[Student Number], YES_Reading_FLA[Student Number]),0),MATCH(C$7,YES_Reading_ELA[#Headers],0)),""))</f>
        <v/>
      </c>
      <c r="D342" s="138" t="str">
        <f>IFERROR(IF(IF(INDEX(_xlfn.VSTACK(YES_Writing_ELA[#Data],YES_Writing_FLA[#Data]),MATCH($A342,_xlfn.VSTACK(YES_Writing_ELA[Student Number],YES_Writing_FLA[Student Number]),0),MATCH(VLOOKUP(D$7,'Writing Logic'!$J$7:$K$11,2,FALSE)&amp;" - Per "&amp;VLOOKUP($C$4,'Writing Logic'!$G$8:$H$14,2,FALSE),YES_Writing_ELA[#Headers],0))=0,"",INDEX(_xlfn.VSTACK(YES_Writing_ELA[#Data],YES_Writing_FLA[#Data]),MATCH($A342,_xlfn.VSTACK(YES_Writing_ELA[Student Number],YES_Writing_FLA[Student Number]),0),MATCH(VLOOKUP(D$7,'Writing Logic'!$J$7:$K$11,2,FALSE)&amp;" - Per "&amp;VLOOKUP($C$4,'Writing Logic'!$G$8:$H$14,2,FALSE),YES_Writing_ELA[#Headers],0)))="INS",'Writing Logic'!$B$7,IF(INDEX(_xlfn.VSTACK(YES_Writing_ELA[#Data],YES_Writing_FLA[#Data]),MATCH($A342,_xlfn.VSTACK(YES_Writing_ELA[Student Number],YES_Writing_FLA[Student Number]),0),MATCH(VLOOKUP(D$7,'Writing Logic'!$J$7:$K$11,2,FALSE)&amp;" - Per "&amp;VLOOKUP($C$4,'Writing Logic'!$G$8:$H$14,2,FALSE),YES_Writing_ELA[#Headers],0))=0,"",INDEX(_xlfn.VSTACK(YES_Writing_ELA[#Data],YES_Writing_FLA[#Data]),MATCH($A342,_xlfn.VSTACK(YES_Writing_ELA[Student Number],YES_Writing_FLA[Student Number]),0),MATCH(VLOOKUP(D$7,'Writing Logic'!$J$7:$K$11,2,FALSE)&amp;" - Per "&amp;VLOOKUP($C$4,'Writing Logic'!$G$8:$H$14,2,FALSE),YES_Writing_ELA[#Headers],0)))),"")</f>
        <v/>
      </c>
      <c r="E342" s="138" t="str">
        <f>IFERROR(IF(IF(INDEX(_xlfn.VSTACK(YES_Writing_ELA[#Data],YES_Writing_FLA[#Data]),MATCH($A342,_xlfn.VSTACK(YES_Writing_ELA[Student Number],YES_Writing_FLA[Student Number]),0),MATCH(VLOOKUP(E$7,'Writing Logic'!$J$7:$K$11,2,FALSE)&amp;" - Per "&amp;VLOOKUP($C$4,'Writing Logic'!$G$8:$H$14,2,FALSE),YES_Writing_ELA[#Headers],0))=0,"",INDEX(_xlfn.VSTACK(YES_Writing_ELA[#Data],YES_Writing_FLA[#Data]),MATCH($A342,_xlfn.VSTACK(YES_Writing_ELA[Student Number],YES_Writing_FLA[Student Number]),0),MATCH(VLOOKUP(E$7,'Writing Logic'!$J$7:$K$11,2,FALSE)&amp;" - Per "&amp;VLOOKUP($C$4,'Writing Logic'!$G$8:$H$14,2,FALSE),YES_Writing_ELA[#Headers],0)))="INS",'Writing Logic'!$B$7,IF(INDEX(_xlfn.VSTACK(YES_Writing_ELA[#Data],YES_Writing_FLA[#Data]),MATCH($A342,_xlfn.VSTACK(YES_Writing_ELA[Student Number],YES_Writing_FLA[Student Number]),0),MATCH(VLOOKUP(E$7,'Writing Logic'!$J$7:$K$11,2,FALSE)&amp;" - Per "&amp;VLOOKUP($C$4,'Writing Logic'!$G$8:$H$14,2,FALSE),YES_Writing_ELA[#Headers],0))=0,"",INDEX(_xlfn.VSTACK(YES_Writing_ELA[#Data],YES_Writing_FLA[#Data]),MATCH($A342,_xlfn.VSTACK(YES_Writing_ELA[Student Number],YES_Writing_FLA[Student Number]),0),MATCH(VLOOKUP(E$7,'Writing Logic'!$J$7:$K$11,2,FALSE)&amp;" - Per "&amp;VLOOKUP($C$4,'Writing Logic'!$G$8:$H$14,2,FALSE),YES_Writing_ELA[#Headers],0)))),"")</f>
        <v/>
      </c>
      <c r="F342" s="138" t="str">
        <f>IFERROR(IF(IF(INDEX(_xlfn.VSTACK(YES_Writing_ELA[#Data],YES_Writing_FLA[#Data]),MATCH($A342,_xlfn.VSTACK(YES_Writing_ELA[Student Number],YES_Writing_FLA[Student Number]),0),MATCH(VLOOKUP(F$7,'Writing Logic'!$J$7:$K$11,2,FALSE)&amp;" - Per "&amp;VLOOKUP($C$4,'Writing Logic'!$G$8:$H$14,2,FALSE),YES_Writing_ELA[#Headers],0))=0,"",INDEX(_xlfn.VSTACK(YES_Writing_ELA[#Data],YES_Writing_FLA[#Data]),MATCH($A342,_xlfn.VSTACK(YES_Writing_ELA[Student Number],YES_Writing_FLA[Student Number]),0),MATCH(VLOOKUP(F$7,'Writing Logic'!$J$7:$K$11,2,FALSE)&amp;" - Per "&amp;VLOOKUP($C$4,'Writing Logic'!$G$8:$H$14,2,FALSE),YES_Writing_ELA[#Headers],0)))="INS",'Writing Logic'!$B$7,IF(INDEX(_xlfn.VSTACK(YES_Writing_ELA[#Data],YES_Writing_FLA[#Data]),MATCH($A342,_xlfn.VSTACK(YES_Writing_ELA[Student Number],YES_Writing_FLA[Student Number]),0),MATCH(VLOOKUP(F$7,'Writing Logic'!$J$7:$K$11,2,FALSE)&amp;" - Per "&amp;VLOOKUP($C$4,'Writing Logic'!$G$8:$H$14,2,FALSE),YES_Writing_ELA[#Headers],0))=0,"",INDEX(_xlfn.VSTACK(YES_Writing_ELA[#Data],YES_Writing_FLA[#Data]),MATCH($A342,_xlfn.VSTACK(YES_Writing_ELA[Student Number],YES_Writing_FLA[Student Number]),0),MATCH(VLOOKUP(F$7,'Writing Logic'!$J$7:$K$11,2,FALSE)&amp;" - Per "&amp;VLOOKUP($C$4,'Writing Logic'!$G$8:$H$14,2,FALSE),YES_Writing_ELA[#Headers],0)))),"")</f>
        <v/>
      </c>
      <c r="G342" s="138" t="str">
        <f>IFERROR(IF(IF(INDEX(_xlfn.VSTACK(YES_Writing_ELA[#Data],YES_Writing_FLA[#Data]),MATCH($A342,_xlfn.VSTACK(YES_Writing_ELA[Student Number],YES_Writing_FLA[Student Number]),0),MATCH(VLOOKUP(G$7,'Writing Logic'!$J$7:$K$11,2,FALSE)&amp;" - Per "&amp;VLOOKUP($C$4,'Writing Logic'!$G$8:$H$14,2,FALSE),YES_Writing_ELA[#Headers],0))=0,"",INDEX(_xlfn.VSTACK(YES_Writing_ELA[#Data],YES_Writing_FLA[#Data]),MATCH($A342,_xlfn.VSTACK(YES_Writing_ELA[Student Number],YES_Writing_FLA[Student Number]),0),MATCH(VLOOKUP(G$7,'Writing Logic'!$J$7:$K$11,2,FALSE)&amp;" - Per "&amp;VLOOKUP($C$4,'Writing Logic'!$G$8:$H$14,2,FALSE),YES_Writing_ELA[#Headers],0)))="INS",'Writing Logic'!$B$7,IF(INDEX(_xlfn.VSTACK(YES_Writing_ELA[#Data],YES_Writing_FLA[#Data]),MATCH($A342,_xlfn.VSTACK(YES_Writing_ELA[Student Number],YES_Writing_FLA[Student Number]),0),MATCH(VLOOKUP(G$7,'Writing Logic'!$J$7:$K$11,2,FALSE)&amp;" - Per "&amp;VLOOKUP($C$4,'Writing Logic'!$G$8:$H$14,2,FALSE),YES_Writing_ELA[#Headers],0))=0,"",INDEX(_xlfn.VSTACK(YES_Writing_ELA[#Data],YES_Writing_FLA[#Data]),MATCH($A342,_xlfn.VSTACK(YES_Writing_ELA[Student Number],YES_Writing_FLA[Student Number]),0),MATCH(VLOOKUP(G$7,'Writing Logic'!$J$7:$K$11,2,FALSE)&amp;" - Per "&amp;VLOOKUP($C$4,'Writing Logic'!$G$8:$H$14,2,FALSE),YES_Writing_ELA[#Headers],0)))),"")</f>
        <v/>
      </c>
      <c r="H342" s="223" t="str">
        <f>IFERROR(IF(IF(INDEX(_xlfn.VSTACK(YES_Writing_ELA[#Data],YES_Writing_FLA[#Data]),MATCH($A342,_xlfn.VSTACK(YES_Writing_ELA[Student Number],YES_Writing_FLA[Student Number]),0),MATCH(VLOOKUP(H$7,'Writing Logic'!$J$7:$K$11,2,FALSE)&amp;" - Per "&amp;VLOOKUP($C$4,'Writing Logic'!$G$8:$H$14,2,FALSE),YES_Writing_ELA[#Headers],0))=0,"",INDEX(_xlfn.VSTACK(YES_Writing_ELA[#Data],YES_Writing_FLA[#Data]),MATCH($A342,_xlfn.VSTACK(YES_Writing_ELA[Student Number],YES_Writing_FLA[Student Number]),0),MATCH(VLOOKUP(H$7,'Writing Logic'!$J$7:$K$11,2,FALSE)&amp;" - Per "&amp;VLOOKUP($C$4,'Writing Logic'!$G$8:$H$14,2,FALSE),YES_Writing_ELA[#Headers],0)))="INS",'Writing Logic'!$B$7,IF(INDEX(_xlfn.VSTACK(YES_Writing_ELA[#Data],YES_Writing_FLA[#Data]),MATCH($A342,_xlfn.VSTACK(YES_Writing_ELA[Student Number],YES_Writing_FLA[Student Number]),0),MATCH(VLOOKUP(H$7,'Writing Logic'!$J$7:$K$11,2,FALSE)&amp;" - Per "&amp;VLOOKUP($C$4,'Writing Logic'!$G$8:$H$14,2,FALSE),YES_Writing_ELA[#Headers],0))=0,"",INDEX(_xlfn.VSTACK(YES_Writing_ELA[#Data],YES_Writing_FLA[#Data]),MATCH($A342,_xlfn.VSTACK(YES_Writing_ELA[Student Number],YES_Writing_FLA[Student Number]),0),MATCH(VLOOKUP(H$7,'Writing Logic'!$J$7:$K$11,2,FALSE)&amp;" - Per "&amp;VLOOKUP($C$4,'Writing Logic'!$G$8:$H$14,2,FALSE),YES_Writing_ELA[#Headers],0)))),"")</f>
        <v/>
      </c>
      <c r="I342" s="224" t="str" cm="1">
        <f t="array" aca="1" ref="I342" ca="1">IFERROR(
IF($G$3="ELA",
IF(VLOOKUP($A342, YES_Reading_ELA[], COLUMN(INDIRECT("YES_Reading_ELA[Difference - Per "&amp;VLOOKUP($G$4, 'Reading Report Logic'!$A$2:$B$8, 2, FALSE)&amp;"]")), FALSE)="", "",
VLOOKUP($A342,YES_Reading_ELA[], COLUMN(INDIRECT("YES_Reading_ELA[Difference - Per "&amp;VLOOKUP($G$4,'Reading Report Logic'!$A$2:$B$8,2,FALSE)&amp;"]")), FALSE)),
IF($G$3="FLA",
IF(VLOOKUP($A342, YES_Reading_FLA[], COLUMN(INDIRECT("YES_Reading_FLA[Difference - Per "&amp;VLOOKUP($G$4,'Reading Report Logic'!$A$2:$B$8,2,FALSE)&amp;"]")),FALSE)="","",
VLOOKUP($A342,YES_Reading_FLA[],COLUMN(INDIRECT("YES_Reading_FLA[Difference - Per "&amp;VLOOKUP($G$4,'Reading Report Logic'!$A$2:$B$8,2,FALSE)&amp;"]")),FALSE)),
IF($G$3="Combined",
IFERROR(
IF(VLOOKUP($A342, YES_Reading_ELA[], COLUMN(INDIRECT("YES_Reading_ELA[Difference - Per "&amp;VLOOKUP($G$4, 'Reading Report Logic'!$A$2:$B$8,2,FALSE)&amp;"]")), FALSE)="", "",
VLOOKUP($A342,YES_Reading_ELA[],COLUMN(INDIRECT("YES_Reading_ELA[Difference - Per "&amp;VLOOKUP($G$4,'Reading Report Logic'!$A$2:$B$8,2,FALSE)&amp;"]")),FALSE)),
IF(VLOOKUP($A342, YES_Reading_FLA[], COLUMN(INDIRECT("YES_Reading_FLA[Difference - Per "&amp;VLOOKUP($G$4, 'Reading Report Logic'!$A$2:$B$8, 2, FALSE)&amp;"]")),FALSE)="", "", VLOOKUP($A342,YES_Reading_FLA[],COLUMN(INDIRECT("YES_Reading_FLA[Difference - Per "&amp;VLOOKUP($G$4, 'Reading Report Logic'!$A$2:$B$8, 2, FALSE)&amp;"]")),FALSE))),""))),"")</f>
        <v/>
      </c>
    </row>
    <row r="343" spans="1:9" x14ac:dyDescent="0.25">
      <c r="A343" s="137"/>
      <c r="B343" s="137" t="str">
        <f>IFERROR(INDEX(_xlfn.VSTACK(YES_Writing_ELA[#Data], YES_Writing_FLA[#Data]),MATCH($A343,_xlfn.VSTACK(YES_Writing_ELA[Student Number], YES_Writing_FLA[Student Number]),0),MATCH(B$7,YES_Writing_ELA[#Headers],0)),IFERROR(INDEX(_xlfn.VSTACK(YES_Reading_ELA[#Data], YES_Reading_FLA[#Data]),MATCH($A343,_xlfn.VSTACK(YES_Reading_ELA[Student Number], YES_Reading_FLA[Student Number]),0),MATCH(B$7,YES_Reading_ELA[#Headers],0)),""))</f>
        <v/>
      </c>
      <c r="C343" s="137" t="str">
        <f>IFERROR(INDEX(_xlfn.VSTACK(YES_Writing_ELA[#Data], YES_Writing_FLA[#Data]),MATCH($A343,_xlfn.VSTACK(YES_Writing_ELA[Student Number], YES_Writing_FLA[Student Number]),0),MATCH(C$7,YES_Writing_ELA[#Headers],0)),IFERROR(INDEX(_xlfn.VSTACK(YES_Reading_ELA[#Data], YES_Reading_FLA[#Data]),MATCH($A343,_xlfn.VSTACK(YES_Reading_ELA[Student Number], YES_Reading_FLA[Student Number]),0),MATCH(C$7,YES_Reading_ELA[#Headers],0)),""))</f>
        <v/>
      </c>
      <c r="D343" s="138" t="str">
        <f>IFERROR(IF(IF(INDEX(_xlfn.VSTACK(YES_Writing_ELA[#Data],YES_Writing_FLA[#Data]),MATCH($A343,_xlfn.VSTACK(YES_Writing_ELA[Student Number],YES_Writing_FLA[Student Number]),0),MATCH(VLOOKUP(D$7,'Writing Logic'!$J$7:$K$11,2,FALSE)&amp;" - Per "&amp;VLOOKUP($C$4,'Writing Logic'!$G$8:$H$14,2,FALSE),YES_Writing_ELA[#Headers],0))=0,"",INDEX(_xlfn.VSTACK(YES_Writing_ELA[#Data],YES_Writing_FLA[#Data]),MATCH($A343,_xlfn.VSTACK(YES_Writing_ELA[Student Number],YES_Writing_FLA[Student Number]),0),MATCH(VLOOKUP(D$7,'Writing Logic'!$J$7:$K$11,2,FALSE)&amp;" - Per "&amp;VLOOKUP($C$4,'Writing Logic'!$G$8:$H$14,2,FALSE),YES_Writing_ELA[#Headers],0)))="INS",'Writing Logic'!$B$7,IF(INDEX(_xlfn.VSTACK(YES_Writing_ELA[#Data],YES_Writing_FLA[#Data]),MATCH($A343,_xlfn.VSTACK(YES_Writing_ELA[Student Number],YES_Writing_FLA[Student Number]),0),MATCH(VLOOKUP(D$7,'Writing Logic'!$J$7:$K$11,2,FALSE)&amp;" - Per "&amp;VLOOKUP($C$4,'Writing Logic'!$G$8:$H$14,2,FALSE),YES_Writing_ELA[#Headers],0))=0,"",INDEX(_xlfn.VSTACK(YES_Writing_ELA[#Data],YES_Writing_FLA[#Data]),MATCH($A343,_xlfn.VSTACK(YES_Writing_ELA[Student Number],YES_Writing_FLA[Student Number]),0),MATCH(VLOOKUP(D$7,'Writing Logic'!$J$7:$K$11,2,FALSE)&amp;" - Per "&amp;VLOOKUP($C$4,'Writing Logic'!$G$8:$H$14,2,FALSE),YES_Writing_ELA[#Headers],0)))),"")</f>
        <v/>
      </c>
      <c r="E343" s="138" t="str">
        <f>IFERROR(IF(IF(INDEX(_xlfn.VSTACK(YES_Writing_ELA[#Data],YES_Writing_FLA[#Data]),MATCH($A343,_xlfn.VSTACK(YES_Writing_ELA[Student Number],YES_Writing_FLA[Student Number]),0),MATCH(VLOOKUP(E$7,'Writing Logic'!$J$7:$K$11,2,FALSE)&amp;" - Per "&amp;VLOOKUP($C$4,'Writing Logic'!$G$8:$H$14,2,FALSE),YES_Writing_ELA[#Headers],0))=0,"",INDEX(_xlfn.VSTACK(YES_Writing_ELA[#Data],YES_Writing_FLA[#Data]),MATCH($A343,_xlfn.VSTACK(YES_Writing_ELA[Student Number],YES_Writing_FLA[Student Number]),0),MATCH(VLOOKUP(E$7,'Writing Logic'!$J$7:$K$11,2,FALSE)&amp;" - Per "&amp;VLOOKUP($C$4,'Writing Logic'!$G$8:$H$14,2,FALSE),YES_Writing_ELA[#Headers],0)))="INS",'Writing Logic'!$B$7,IF(INDEX(_xlfn.VSTACK(YES_Writing_ELA[#Data],YES_Writing_FLA[#Data]),MATCH($A343,_xlfn.VSTACK(YES_Writing_ELA[Student Number],YES_Writing_FLA[Student Number]),0),MATCH(VLOOKUP(E$7,'Writing Logic'!$J$7:$K$11,2,FALSE)&amp;" - Per "&amp;VLOOKUP($C$4,'Writing Logic'!$G$8:$H$14,2,FALSE),YES_Writing_ELA[#Headers],0))=0,"",INDEX(_xlfn.VSTACK(YES_Writing_ELA[#Data],YES_Writing_FLA[#Data]),MATCH($A343,_xlfn.VSTACK(YES_Writing_ELA[Student Number],YES_Writing_FLA[Student Number]),0),MATCH(VLOOKUP(E$7,'Writing Logic'!$J$7:$K$11,2,FALSE)&amp;" - Per "&amp;VLOOKUP($C$4,'Writing Logic'!$G$8:$H$14,2,FALSE),YES_Writing_ELA[#Headers],0)))),"")</f>
        <v/>
      </c>
      <c r="F343" s="138" t="str">
        <f>IFERROR(IF(IF(INDEX(_xlfn.VSTACK(YES_Writing_ELA[#Data],YES_Writing_FLA[#Data]),MATCH($A343,_xlfn.VSTACK(YES_Writing_ELA[Student Number],YES_Writing_FLA[Student Number]),0),MATCH(VLOOKUP(F$7,'Writing Logic'!$J$7:$K$11,2,FALSE)&amp;" - Per "&amp;VLOOKUP($C$4,'Writing Logic'!$G$8:$H$14,2,FALSE),YES_Writing_ELA[#Headers],0))=0,"",INDEX(_xlfn.VSTACK(YES_Writing_ELA[#Data],YES_Writing_FLA[#Data]),MATCH($A343,_xlfn.VSTACK(YES_Writing_ELA[Student Number],YES_Writing_FLA[Student Number]),0),MATCH(VLOOKUP(F$7,'Writing Logic'!$J$7:$K$11,2,FALSE)&amp;" - Per "&amp;VLOOKUP($C$4,'Writing Logic'!$G$8:$H$14,2,FALSE),YES_Writing_ELA[#Headers],0)))="INS",'Writing Logic'!$B$7,IF(INDEX(_xlfn.VSTACK(YES_Writing_ELA[#Data],YES_Writing_FLA[#Data]),MATCH($A343,_xlfn.VSTACK(YES_Writing_ELA[Student Number],YES_Writing_FLA[Student Number]),0),MATCH(VLOOKUP(F$7,'Writing Logic'!$J$7:$K$11,2,FALSE)&amp;" - Per "&amp;VLOOKUP($C$4,'Writing Logic'!$G$8:$H$14,2,FALSE),YES_Writing_ELA[#Headers],0))=0,"",INDEX(_xlfn.VSTACK(YES_Writing_ELA[#Data],YES_Writing_FLA[#Data]),MATCH($A343,_xlfn.VSTACK(YES_Writing_ELA[Student Number],YES_Writing_FLA[Student Number]),0),MATCH(VLOOKUP(F$7,'Writing Logic'!$J$7:$K$11,2,FALSE)&amp;" - Per "&amp;VLOOKUP($C$4,'Writing Logic'!$G$8:$H$14,2,FALSE),YES_Writing_ELA[#Headers],0)))),"")</f>
        <v/>
      </c>
      <c r="G343" s="138" t="str">
        <f>IFERROR(IF(IF(INDEX(_xlfn.VSTACK(YES_Writing_ELA[#Data],YES_Writing_FLA[#Data]),MATCH($A343,_xlfn.VSTACK(YES_Writing_ELA[Student Number],YES_Writing_FLA[Student Number]),0),MATCH(VLOOKUP(G$7,'Writing Logic'!$J$7:$K$11,2,FALSE)&amp;" - Per "&amp;VLOOKUP($C$4,'Writing Logic'!$G$8:$H$14,2,FALSE),YES_Writing_ELA[#Headers],0))=0,"",INDEX(_xlfn.VSTACK(YES_Writing_ELA[#Data],YES_Writing_FLA[#Data]),MATCH($A343,_xlfn.VSTACK(YES_Writing_ELA[Student Number],YES_Writing_FLA[Student Number]),0),MATCH(VLOOKUP(G$7,'Writing Logic'!$J$7:$K$11,2,FALSE)&amp;" - Per "&amp;VLOOKUP($C$4,'Writing Logic'!$G$8:$H$14,2,FALSE),YES_Writing_ELA[#Headers],0)))="INS",'Writing Logic'!$B$7,IF(INDEX(_xlfn.VSTACK(YES_Writing_ELA[#Data],YES_Writing_FLA[#Data]),MATCH($A343,_xlfn.VSTACK(YES_Writing_ELA[Student Number],YES_Writing_FLA[Student Number]),0),MATCH(VLOOKUP(G$7,'Writing Logic'!$J$7:$K$11,2,FALSE)&amp;" - Per "&amp;VLOOKUP($C$4,'Writing Logic'!$G$8:$H$14,2,FALSE),YES_Writing_ELA[#Headers],0))=0,"",INDEX(_xlfn.VSTACK(YES_Writing_ELA[#Data],YES_Writing_FLA[#Data]),MATCH($A343,_xlfn.VSTACK(YES_Writing_ELA[Student Number],YES_Writing_FLA[Student Number]),0),MATCH(VLOOKUP(G$7,'Writing Logic'!$J$7:$K$11,2,FALSE)&amp;" - Per "&amp;VLOOKUP($C$4,'Writing Logic'!$G$8:$H$14,2,FALSE),YES_Writing_ELA[#Headers],0)))),"")</f>
        <v/>
      </c>
      <c r="H343" s="223" t="str">
        <f>IFERROR(IF(IF(INDEX(_xlfn.VSTACK(YES_Writing_ELA[#Data],YES_Writing_FLA[#Data]),MATCH($A343,_xlfn.VSTACK(YES_Writing_ELA[Student Number],YES_Writing_FLA[Student Number]),0),MATCH(VLOOKUP(H$7,'Writing Logic'!$J$7:$K$11,2,FALSE)&amp;" - Per "&amp;VLOOKUP($C$4,'Writing Logic'!$G$8:$H$14,2,FALSE),YES_Writing_ELA[#Headers],0))=0,"",INDEX(_xlfn.VSTACK(YES_Writing_ELA[#Data],YES_Writing_FLA[#Data]),MATCH($A343,_xlfn.VSTACK(YES_Writing_ELA[Student Number],YES_Writing_FLA[Student Number]),0),MATCH(VLOOKUP(H$7,'Writing Logic'!$J$7:$K$11,2,FALSE)&amp;" - Per "&amp;VLOOKUP($C$4,'Writing Logic'!$G$8:$H$14,2,FALSE),YES_Writing_ELA[#Headers],0)))="INS",'Writing Logic'!$B$7,IF(INDEX(_xlfn.VSTACK(YES_Writing_ELA[#Data],YES_Writing_FLA[#Data]),MATCH($A343,_xlfn.VSTACK(YES_Writing_ELA[Student Number],YES_Writing_FLA[Student Number]),0),MATCH(VLOOKUP(H$7,'Writing Logic'!$J$7:$K$11,2,FALSE)&amp;" - Per "&amp;VLOOKUP($C$4,'Writing Logic'!$G$8:$H$14,2,FALSE),YES_Writing_ELA[#Headers],0))=0,"",INDEX(_xlfn.VSTACK(YES_Writing_ELA[#Data],YES_Writing_FLA[#Data]),MATCH($A343,_xlfn.VSTACK(YES_Writing_ELA[Student Number],YES_Writing_FLA[Student Number]),0),MATCH(VLOOKUP(H$7,'Writing Logic'!$J$7:$K$11,2,FALSE)&amp;" - Per "&amp;VLOOKUP($C$4,'Writing Logic'!$G$8:$H$14,2,FALSE),YES_Writing_ELA[#Headers],0)))),"")</f>
        <v/>
      </c>
      <c r="I343" s="224" t="str" cm="1">
        <f t="array" aca="1" ref="I343" ca="1">IFERROR(
IF($G$3="ELA",
IF(VLOOKUP($A343, YES_Reading_ELA[], COLUMN(INDIRECT("YES_Reading_ELA[Difference - Per "&amp;VLOOKUP($G$4, 'Reading Report Logic'!$A$2:$B$8, 2, FALSE)&amp;"]")), FALSE)="", "",
VLOOKUP($A343,YES_Reading_ELA[], COLUMN(INDIRECT("YES_Reading_ELA[Difference - Per "&amp;VLOOKUP($G$4,'Reading Report Logic'!$A$2:$B$8,2,FALSE)&amp;"]")), FALSE)),
IF($G$3="FLA",
IF(VLOOKUP($A343, YES_Reading_FLA[], COLUMN(INDIRECT("YES_Reading_FLA[Difference - Per "&amp;VLOOKUP($G$4,'Reading Report Logic'!$A$2:$B$8,2,FALSE)&amp;"]")),FALSE)="","",
VLOOKUP($A343,YES_Reading_FLA[],COLUMN(INDIRECT("YES_Reading_FLA[Difference - Per "&amp;VLOOKUP($G$4,'Reading Report Logic'!$A$2:$B$8,2,FALSE)&amp;"]")),FALSE)),
IF($G$3="Combined",
IFERROR(
IF(VLOOKUP($A343, YES_Reading_ELA[], COLUMN(INDIRECT("YES_Reading_ELA[Difference - Per "&amp;VLOOKUP($G$4, 'Reading Report Logic'!$A$2:$B$8,2,FALSE)&amp;"]")), FALSE)="", "",
VLOOKUP($A343,YES_Reading_ELA[],COLUMN(INDIRECT("YES_Reading_ELA[Difference - Per "&amp;VLOOKUP($G$4,'Reading Report Logic'!$A$2:$B$8,2,FALSE)&amp;"]")),FALSE)),
IF(VLOOKUP($A343, YES_Reading_FLA[], COLUMN(INDIRECT("YES_Reading_FLA[Difference - Per "&amp;VLOOKUP($G$4, 'Reading Report Logic'!$A$2:$B$8, 2, FALSE)&amp;"]")),FALSE)="", "", VLOOKUP($A343,YES_Reading_FLA[],COLUMN(INDIRECT("YES_Reading_FLA[Difference - Per "&amp;VLOOKUP($G$4, 'Reading Report Logic'!$A$2:$B$8, 2, FALSE)&amp;"]")),FALSE))),""))),"")</f>
        <v/>
      </c>
    </row>
    <row r="344" spans="1:9" x14ac:dyDescent="0.25">
      <c r="A344" s="137"/>
      <c r="B344" s="137" t="str">
        <f>IFERROR(INDEX(_xlfn.VSTACK(YES_Writing_ELA[#Data], YES_Writing_FLA[#Data]),MATCH($A344,_xlfn.VSTACK(YES_Writing_ELA[Student Number], YES_Writing_FLA[Student Number]),0),MATCH(B$7,YES_Writing_ELA[#Headers],0)),IFERROR(INDEX(_xlfn.VSTACK(YES_Reading_ELA[#Data], YES_Reading_FLA[#Data]),MATCH($A344,_xlfn.VSTACK(YES_Reading_ELA[Student Number], YES_Reading_FLA[Student Number]),0),MATCH(B$7,YES_Reading_ELA[#Headers],0)),""))</f>
        <v/>
      </c>
      <c r="C344" s="137" t="str">
        <f>IFERROR(INDEX(_xlfn.VSTACK(YES_Writing_ELA[#Data], YES_Writing_FLA[#Data]),MATCH($A344,_xlfn.VSTACK(YES_Writing_ELA[Student Number], YES_Writing_FLA[Student Number]),0),MATCH(C$7,YES_Writing_ELA[#Headers],0)),IFERROR(INDEX(_xlfn.VSTACK(YES_Reading_ELA[#Data], YES_Reading_FLA[#Data]),MATCH($A344,_xlfn.VSTACK(YES_Reading_ELA[Student Number], YES_Reading_FLA[Student Number]),0),MATCH(C$7,YES_Reading_ELA[#Headers],0)),""))</f>
        <v/>
      </c>
      <c r="D344" s="138" t="str">
        <f>IFERROR(IF(IF(INDEX(_xlfn.VSTACK(YES_Writing_ELA[#Data],YES_Writing_FLA[#Data]),MATCH($A344,_xlfn.VSTACK(YES_Writing_ELA[Student Number],YES_Writing_FLA[Student Number]),0),MATCH(VLOOKUP(D$7,'Writing Logic'!$J$7:$K$11,2,FALSE)&amp;" - Per "&amp;VLOOKUP($C$4,'Writing Logic'!$G$8:$H$14,2,FALSE),YES_Writing_ELA[#Headers],0))=0,"",INDEX(_xlfn.VSTACK(YES_Writing_ELA[#Data],YES_Writing_FLA[#Data]),MATCH($A344,_xlfn.VSTACK(YES_Writing_ELA[Student Number],YES_Writing_FLA[Student Number]),0),MATCH(VLOOKUP(D$7,'Writing Logic'!$J$7:$K$11,2,FALSE)&amp;" - Per "&amp;VLOOKUP($C$4,'Writing Logic'!$G$8:$H$14,2,FALSE),YES_Writing_ELA[#Headers],0)))="INS",'Writing Logic'!$B$7,IF(INDEX(_xlfn.VSTACK(YES_Writing_ELA[#Data],YES_Writing_FLA[#Data]),MATCH($A344,_xlfn.VSTACK(YES_Writing_ELA[Student Number],YES_Writing_FLA[Student Number]),0),MATCH(VLOOKUP(D$7,'Writing Logic'!$J$7:$K$11,2,FALSE)&amp;" - Per "&amp;VLOOKUP($C$4,'Writing Logic'!$G$8:$H$14,2,FALSE),YES_Writing_ELA[#Headers],0))=0,"",INDEX(_xlfn.VSTACK(YES_Writing_ELA[#Data],YES_Writing_FLA[#Data]),MATCH($A344,_xlfn.VSTACK(YES_Writing_ELA[Student Number],YES_Writing_FLA[Student Number]),0),MATCH(VLOOKUP(D$7,'Writing Logic'!$J$7:$K$11,2,FALSE)&amp;" - Per "&amp;VLOOKUP($C$4,'Writing Logic'!$G$8:$H$14,2,FALSE),YES_Writing_ELA[#Headers],0)))),"")</f>
        <v/>
      </c>
      <c r="E344" s="138" t="str">
        <f>IFERROR(IF(IF(INDEX(_xlfn.VSTACK(YES_Writing_ELA[#Data],YES_Writing_FLA[#Data]),MATCH($A344,_xlfn.VSTACK(YES_Writing_ELA[Student Number],YES_Writing_FLA[Student Number]),0),MATCH(VLOOKUP(E$7,'Writing Logic'!$J$7:$K$11,2,FALSE)&amp;" - Per "&amp;VLOOKUP($C$4,'Writing Logic'!$G$8:$H$14,2,FALSE),YES_Writing_ELA[#Headers],0))=0,"",INDEX(_xlfn.VSTACK(YES_Writing_ELA[#Data],YES_Writing_FLA[#Data]),MATCH($A344,_xlfn.VSTACK(YES_Writing_ELA[Student Number],YES_Writing_FLA[Student Number]),0),MATCH(VLOOKUP(E$7,'Writing Logic'!$J$7:$K$11,2,FALSE)&amp;" - Per "&amp;VLOOKUP($C$4,'Writing Logic'!$G$8:$H$14,2,FALSE),YES_Writing_ELA[#Headers],0)))="INS",'Writing Logic'!$B$7,IF(INDEX(_xlfn.VSTACK(YES_Writing_ELA[#Data],YES_Writing_FLA[#Data]),MATCH($A344,_xlfn.VSTACK(YES_Writing_ELA[Student Number],YES_Writing_FLA[Student Number]),0),MATCH(VLOOKUP(E$7,'Writing Logic'!$J$7:$K$11,2,FALSE)&amp;" - Per "&amp;VLOOKUP($C$4,'Writing Logic'!$G$8:$H$14,2,FALSE),YES_Writing_ELA[#Headers],0))=0,"",INDEX(_xlfn.VSTACK(YES_Writing_ELA[#Data],YES_Writing_FLA[#Data]),MATCH($A344,_xlfn.VSTACK(YES_Writing_ELA[Student Number],YES_Writing_FLA[Student Number]),0),MATCH(VLOOKUP(E$7,'Writing Logic'!$J$7:$K$11,2,FALSE)&amp;" - Per "&amp;VLOOKUP($C$4,'Writing Logic'!$G$8:$H$14,2,FALSE),YES_Writing_ELA[#Headers],0)))),"")</f>
        <v/>
      </c>
      <c r="F344" s="138" t="str">
        <f>IFERROR(IF(IF(INDEX(_xlfn.VSTACK(YES_Writing_ELA[#Data],YES_Writing_FLA[#Data]),MATCH($A344,_xlfn.VSTACK(YES_Writing_ELA[Student Number],YES_Writing_FLA[Student Number]),0),MATCH(VLOOKUP(F$7,'Writing Logic'!$J$7:$K$11,2,FALSE)&amp;" - Per "&amp;VLOOKUP($C$4,'Writing Logic'!$G$8:$H$14,2,FALSE),YES_Writing_ELA[#Headers],0))=0,"",INDEX(_xlfn.VSTACK(YES_Writing_ELA[#Data],YES_Writing_FLA[#Data]),MATCH($A344,_xlfn.VSTACK(YES_Writing_ELA[Student Number],YES_Writing_FLA[Student Number]),0),MATCH(VLOOKUP(F$7,'Writing Logic'!$J$7:$K$11,2,FALSE)&amp;" - Per "&amp;VLOOKUP($C$4,'Writing Logic'!$G$8:$H$14,2,FALSE),YES_Writing_ELA[#Headers],0)))="INS",'Writing Logic'!$B$7,IF(INDEX(_xlfn.VSTACK(YES_Writing_ELA[#Data],YES_Writing_FLA[#Data]),MATCH($A344,_xlfn.VSTACK(YES_Writing_ELA[Student Number],YES_Writing_FLA[Student Number]),0),MATCH(VLOOKUP(F$7,'Writing Logic'!$J$7:$K$11,2,FALSE)&amp;" - Per "&amp;VLOOKUP($C$4,'Writing Logic'!$G$8:$H$14,2,FALSE),YES_Writing_ELA[#Headers],0))=0,"",INDEX(_xlfn.VSTACK(YES_Writing_ELA[#Data],YES_Writing_FLA[#Data]),MATCH($A344,_xlfn.VSTACK(YES_Writing_ELA[Student Number],YES_Writing_FLA[Student Number]),0),MATCH(VLOOKUP(F$7,'Writing Logic'!$J$7:$K$11,2,FALSE)&amp;" - Per "&amp;VLOOKUP($C$4,'Writing Logic'!$G$8:$H$14,2,FALSE),YES_Writing_ELA[#Headers],0)))),"")</f>
        <v/>
      </c>
      <c r="G344" s="138" t="str">
        <f>IFERROR(IF(IF(INDEX(_xlfn.VSTACK(YES_Writing_ELA[#Data],YES_Writing_FLA[#Data]),MATCH($A344,_xlfn.VSTACK(YES_Writing_ELA[Student Number],YES_Writing_FLA[Student Number]),0),MATCH(VLOOKUP(G$7,'Writing Logic'!$J$7:$K$11,2,FALSE)&amp;" - Per "&amp;VLOOKUP($C$4,'Writing Logic'!$G$8:$H$14,2,FALSE),YES_Writing_ELA[#Headers],0))=0,"",INDEX(_xlfn.VSTACK(YES_Writing_ELA[#Data],YES_Writing_FLA[#Data]),MATCH($A344,_xlfn.VSTACK(YES_Writing_ELA[Student Number],YES_Writing_FLA[Student Number]),0),MATCH(VLOOKUP(G$7,'Writing Logic'!$J$7:$K$11,2,FALSE)&amp;" - Per "&amp;VLOOKUP($C$4,'Writing Logic'!$G$8:$H$14,2,FALSE),YES_Writing_ELA[#Headers],0)))="INS",'Writing Logic'!$B$7,IF(INDEX(_xlfn.VSTACK(YES_Writing_ELA[#Data],YES_Writing_FLA[#Data]),MATCH($A344,_xlfn.VSTACK(YES_Writing_ELA[Student Number],YES_Writing_FLA[Student Number]),0),MATCH(VLOOKUP(G$7,'Writing Logic'!$J$7:$K$11,2,FALSE)&amp;" - Per "&amp;VLOOKUP($C$4,'Writing Logic'!$G$8:$H$14,2,FALSE),YES_Writing_ELA[#Headers],0))=0,"",INDEX(_xlfn.VSTACK(YES_Writing_ELA[#Data],YES_Writing_FLA[#Data]),MATCH($A344,_xlfn.VSTACK(YES_Writing_ELA[Student Number],YES_Writing_FLA[Student Number]),0),MATCH(VLOOKUP(G$7,'Writing Logic'!$J$7:$K$11,2,FALSE)&amp;" - Per "&amp;VLOOKUP($C$4,'Writing Logic'!$G$8:$H$14,2,FALSE),YES_Writing_ELA[#Headers],0)))),"")</f>
        <v/>
      </c>
      <c r="H344" s="223" t="str">
        <f>IFERROR(IF(IF(INDEX(_xlfn.VSTACK(YES_Writing_ELA[#Data],YES_Writing_FLA[#Data]),MATCH($A344,_xlfn.VSTACK(YES_Writing_ELA[Student Number],YES_Writing_FLA[Student Number]),0),MATCH(VLOOKUP(H$7,'Writing Logic'!$J$7:$K$11,2,FALSE)&amp;" - Per "&amp;VLOOKUP($C$4,'Writing Logic'!$G$8:$H$14,2,FALSE),YES_Writing_ELA[#Headers],0))=0,"",INDEX(_xlfn.VSTACK(YES_Writing_ELA[#Data],YES_Writing_FLA[#Data]),MATCH($A344,_xlfn.VSTACK(YES_Writing_ELA[Student Number],YES_Writing_FLA[Student Number]),0),MATCH(VLOOKUP(H$7,'Writing Logic'!$J$7:$K$11,2,FALSE)&amp;" - Per "&amp;VLOOKUP($C$4,'Writing Logic'!$G$8:$H$14,2,FALSE),YES_Writing_ELA[#Headers],0)))="INS",'Writing Logic'!$B$7,IF(INDEX(_xlfn.VSTACK(YES_Writing_ELA[#Data],YES_Writing_FLA[#Data]),MATCH($A344,_xlfn.VSTACK(YES_Writing_ELA[Student Number],YES_Writing_FLA[Student Number]),0),MATCH(VLOOKUP(H$7,'Writing Logic'!$J$7:$K$11,2,FALSE)&amp;" - Per "&amp;VLOOKUP($C$4,'Writing Logic'!$G$8:$H$14,2,FALSE),YES_Writing_ELA[#Headers],0))=0,"",INDEX(_xlfn.VSTACK(YES_Writing_ELA[#Data],YES_Writing_FLA[#Data]),MATCH($A344,_xlfn.VSTACK(YES_Writing_ELA[Student Number],YES_Writing_FLA[Student Number]),0),MATCH(VLOOKUP(H$7,'Writing Logic'!$J$7:$K$11,2,FALSE)&amp;" - Per "&amp;VLOOKUP($C$4,'Writing Logic'!$G$8:$H$14,2,FALSE),YES_Writing_ELA[#Headers],0)))),"")</f>
        <v/>
      </c>
      <c r="I344" s="224" t="str" cm="1">
        <f t="array" aca="1" ref="I344" ca="1">IFERROR(
IF($G$3="ELA",
IF(VLOOKUP($A344, YES_Reading_ELA[], COLUMN(INDIRECT("YES_Reading_ELA[Difference - Per "&amp;VLOOKUP($G$4, 'Reading Report Logic'!$A$2:$B$8, 2, FALSE)&amp;"]")), FALSE)="", "",
VLOOKUP($A344,YES_Reading_ELA[], COLUMN(INDIRECT("YES_Reading_ELA[Difference - Per "&amp;VLOOKUP($G$4,'Reading Report Logic'!$A$2:$B$8,2,FALSE)&amp;"]")), FALSE)),
IF($G$3="FLA",
IF(VLOOKUP($A344, YES_Reading_FLA[], COLUMN(INDIRECT("YES_Reading_FLA[Difference - Per "&amp;VLOOKUP($G$4,'Reading Report Logic'!$A$2:$B$8,2,FALSE)&amp;"]")),FALSE)="","",
VLOOKUP($A344,YES_Reading_FLA[],COLUMN(INDIRECT("YES_Reading_FLA[Difference - Per "&amp;VLOOKUP($G$4,'Reading Report Logic'!$A$2:$B$8,2,FALSE)&amp;"]")),FALSE)),
IF($G$3="Combined",
IFERROR(
IF(VLOOKUP($A344, YES_Reading_ELA[], COLUMN(INDIRECT("YES_Reading_ELA[Difference - Per "&amp;VLOOKUP($G$4, 'Reading Report Logic'!$A$2:$B$8,2,FALSE)&amp;"]")), FALSE)="", "",
VLOOKUP($A344,YES_Reading_ELA[],COLUMN(INDIRECT("YES_Reading_ELA[Difference - Per "&amp;VLOOKUP($G$4,'Reading Report Logic'!$A$2:$B$8,2,FALSE)&amp;"]")),FALSE)),
IF(VLOOKUP($A344, YES_Reading_FLA[], COLUMN(INDIRECT("YES_Reading_FLA[Difference - Per "&amp;VLOOKUP($G$4, 'Reading Report Logic'!$A$2:$B$8, 2, FALSE)&amp;"]")),FALSE)="", "", VLOOKUP($A344,YES_Reading_FLA[],COLUMN(INDIRECT("YES_Reading_FLA[Difference - Per "&amp;VLOOKUP($G$4, 'Reading Report Logic'!$A$2:$B$8, 2, FALSE)&amp;"]")),FALSE))),""))),"")</f>
        <v/>
      </c>
    </row>
    <row r="345" spans="1:9" x14ac:dyDescent="0.25">
      <c r="A345" s="137"/>
      <c r="B345" s="137" t="str">
        <f>IFERROR(INDEX(_xlfn.VSTACK(YES_Writing_ELA[#Data], YES_Writing_FLA[#Data]),MATCH($A345,_xlfn.VSTACK(YES_Writing_ELA[Student Number], YES_Writing_FLA[Student Number]),0),MATCH(B$7,YES_Writing_ELA[#Headers],0)),IFERROR(INDEX(_xlfn.VSTACK(YES_Reading_ELA[#Data], YES_Reading_FLA[#Data]),MATCH($A345,_xlfn.VSTACK(YES_Reading_ELA[Student Number], YES_Reading_FLA[Student Number]),0),MATCH(B$7,YES_Reading_ELA[#Headers],0)),""))</f>
        <v/>
      </c>
      <c r="C345" s="137" t="str">
        <f>IFERROR(INDEX(_xlfn.VSTACK(YES_Writing_ELA[#Data], YES_Writing_FLA[#Data]),MATCH($A345,_xlfn.VSTACK(YES_Writing_ELA[Student Number], YES_Writing_FLA[Student Number]),0),MATCH(C$7,YES_Writing_ELA[#Headers],0)),IFERROR(INDEX(_xlfn.VSTACK(YES_Reading_ELA[#Data], YES_Reading_FLA[#Data]),MATCH($A345,_xlfn.VSTACK(YES_Reading_ELA[Student Number], YES_Reading_FLA[Student Number]),0),MATCH(C$7,YES_Reading_ELA[#Headers],0)),""))</f>
        <v/>
      </c>
      <c r="D345" s="138" t="str">
        <f>IFERROR(IF(IF(INDEX(_xlfn.VSTACK(YES_Writing_ELA[#Data],YES_Writing_FLA[#Data]),MATCH($A345,_xlfn.VSTACK(YES_Writing_ELA[Student Number],YES_Writing_FLA[Student Number]),0),MATCH(VLOOKUP(D$7,'Writing Logic'!$J$7:$K$11,2,FALSE)&amp;" - Per "&amp;VLOOKUP($C$4,'Writing Logic'!$G$8:$H$14,2,FALSE),YES_Writing_ELA[#Headers],0))=0,"",INDEX(_xlfn.VSTACK(YES_Writing_ELA[#Data],YES_Writing_FLA[#Data]),MATCH($A345,_xlfn.VSTACK(YES_Writing_ELA[Student Number],YES_Writing_FLA[Student Number]),0),MATCH(VLOOKUP(D$7,'Writing Logic'!$J$7:$K$11,2,FALSE)&amp;" - Per "&amp;VLOOKUP($C$4,'Writing Logic'!$G$8:$H$14,2,FALSE),YES_Writing_ELA[#Headers],0)))="INS",'Writing Logic'!$B$7,IF(INDEX(_xlfn.VSTACK(YES_Writing_ELA[#Data],YES_Writing_FLA[#Data]),MATCH($A345,_xlfn.VSTACK(YES_Writing_ELA[Student Number],YES_Writing_FLA[Student Number]),0),MATCH(VLOOKUP(D$7,'Writing Logic'!$J$7:$K$11,2,FALSE)&amp;" - Per "&amp;VLOOKUP($C$4,'Writing Logic'!$G$8:$H$14,2,FALSE),YES_Writing_ELA[#Headers],0))=0,"",INDEX(_xlfn.VSTACK(YES_Writing_ELA[#Data],YES_Writing_FLA[#Data]),MATCH($A345,_xlfn.VSTACK(YES_Writing_ELA[Student Number],YES_Writing_FLA[Student Number]),0),MATCH(VLOOKUP(D$7,'Writing Logic'!$J$7:$K$11,2,FALSE)&amp;" - Per "&amp;VLOOKUP($C$4,'Writing Logic'!$G$8:$H$14,2,FALSE),YES_Writing_ELA[#Headers],0)))),"")</f>
        <v/>
      </c>
      <c r="E345" s="138" t="str">
        <f>IFERROR(IF(IF(INDEX(_xlfn.VSTACK(YES_Writing_ELA[#Data],YES_Writing_FLA[#Data]),MATCH($A345,_xlfn.VSTACK(YES_Writing_ELA[Student Number],YES_Writing_FLA[Student Number]),0),MATCH(VLOOKUP(E$7,'Writing Logic'!$J$7:$K$11,2,FALSE)&amp;" - Per "&amp;VLOOKUP($C$4,'Writing Logic'!$G$8:$H$14,2,FALSE),YES_Writing_ELA[#Headers],0))=0,"",INDEX(_xlfn.VSTACK(YES_Writing_ELA[#Data],YES_Writing_FLA[#Data]),MATCH($A345,_xlfn.VSTACK(YES_Writing_ELA[Student Number],YES_Writing_FLA[Student Number]),0),MATCH(VLOOKUP(E$7,'Writing Logic'!$J$7:$K$11,2,FALSE)&amp;" - Per "&amp;VLOOKUP($C$4,'Writing Logic'!$G$8:$H$14,2,FALSE),YES_Writing_ELA[#Headers],0)))="INS",'Writing Logic'!$B$7,IF(INDEX(_xlfn.VSTACK(YES_Writing_ELA[#Data],YES_Writing_FLA[#Data]),MATCH($A345,_xlfn.VSTACK(YES_Writing_ELA[Student Number],YES_Writing_FLA[Student Number]),0),MATCH(VLOOKUP(E$7,'Writing Logic'!$J$7:$K$11,2,FALSE)&amp;" - Per "&amp;VLOOKUP($C$4,'Writing Logic'!$G$8:$H$14,2,FALSE),YES_Writing_ELA[#Headers],0))=0,"",INDEX(_xlfn.VSTACK(YES_Writing_ELA[#Data],YES_Writing_FLA[#Data]),MATCH($A345,_xlfn.VSTACK(YES_Writing_ELA[Student Number],YES_Writing_FLA[Student Number]),0),MATCH(VLOOKUP(E$7,'Writing Logic'!$J$7:$K$11,2,FALSE)&amp;" - Per "&amp;VLOOKUP($C$4,'Writing Logic'!$G$8:$H$14,2,FALSE),YES_Writing_ELA[#Headers],0)))),"")</f>
        <v/>
      </c>
      <c r="F345" s="138" t="str">
        <f>IFERROR(IF(IF(INDEX(_xlfn.VSTACK(YES_Writing_ELA[#Data],YES_Writing_FLA[#Data]),MATCH($A345,_xlfn.VSTACK(YES_Writing_ELA[Student Number],YES_Writing_FLA[Student Number]),0),MATCH(VLOOKUP(F$7,'Writing Logic'!$J$7:$K$11,2,FALSE)&amp;" - Per "&amp;VLOOKUP($C$4,'Writing Logic'!$G$8:$H$14,2,FALSE),YES_Writing_ELA[#Headers],0))=0,"",INDEX(_xlfn.VSTACK(YES_Writing_ELA[#Data],YES_Writing_FLA[#Data]),MATCH($A345,_xlfn.VSTACK(YES_Writing_ELA[Student Number],YES_Writing_FLA[Student Number]),0),MATCH(VLOOKUP(F$7,'Writing Logic'!$J$7:$K$11,2,FALSE)&amp;" - Per "&amp;VLOOKUP($C$4,'Writing Logic'!$G$8:$H$14,2,FALSE),YES_Writing_ELA[#Headers],0)))="INS",'Writing Logic'!$B$7,IF(INDEX(_xlfn.VSTACK(YES_Writing_ELA[#Data],YES_Writing_FLA[#Data]),MATCH($A345,_xlfn.VSTACK(YES_Writing_ELA[Student Number],YES_Writing_FLA[Student Number]),0),MATCH(VLOOKUP(F$7,'Writing Logic'!$J$7:$K$11,2,FALSE)&amp;" - Per "&amp;VLOOKUP($C$4,'Writing Logic'!$G$8:$H$14,2,FALSE),YES_Writing_ELA[#Headers],0))=0,"",INDEX(_xlfn.VSTACK(YES_Writing_ELA[#Data],YES_Writing_FLA[#Data]),MATCH($A345,_xlfn.VSTACK(YES_Writing_ELA[Student Number],YES_Writing_FLA[Student Number]),0),MATCH(VLOOKUP(F$7,'Writing Logic'!$J$7:$K$11,2,FALSE)&amp;" - Per "&amp;VLOOKUP($C$4,'Writing Logic'!$G$8:$H$14,2,FALSE),YES_Writing_ELA[#Headers],0)))),"")</f>
        <v/>
      </c>
      <c r="G345" s="138" t="str">
        <f>IFERROR(IF(IF(INDEX(_xlfn.VSTACK(YES_Writing_ELA[#Data],YES_Writing_FLA[#Data]),MATCH($A345,_xlfn.VSTACK(YES_Writing_ELA[Student Number],YES_Writing_FLA[Student Number]),0),MATCH(VLOOKUP(G$7,'Writing Logic'!$J$7:$K$11,2,FALSE)&amp;" - Per "&amp;VLOOKUP($C$4,'Writing Logic'!$G$8:$H$14,2,FALSE),YES_Writing_ELA[#Headers],0))=0,"",INDEX(_xlfn.VSTACK(YES_Writing_ELA[#Data],YES_Writing_FLA[#Data]),MATCH($A345,_xlfn.VSTACK(YES_Writing_ELA[Student Number],YES_Writing_FLA[Student Number]),0),MATCH(VLOOKUP(G$7,'Writing Logic'!$J$7:$K$11,2,FALSE)&amp;" - Per "&amp;VLOOKUP($C$4,'Writing Logic'!$G$8:$H$14,2,FALSE),YES_Writing_ELA[#Headers],0)))="INS",'Writing Logic'!$B$7,IF(INDEX(_xlfn.VSTACK(YES_Writing_ELA[#Data],YES_Writing_FLA[#Data]),MATCH($A345,_xlfn.VSTACK(YES_Writing_ELA[Student Number],YES_Writing_FLA[Student Number]),0),MATCH(VLOOKUP(G$7,'Writing Logic'!$J$7:$K$11,2,FALSE)&amp;" - Per "&amp;VLOOKUP($C$4,'Writing Logic'!$G$8:$H$14,2,FALSE),YES_Writing_ELA[#Headers],0))=0,"",INDEX(_xlfn.VSTACK(YES_Writing_ELA[#Data],YES_Writing_FLA[#Data]),MATCH($A345,_xlfn.VSTACK(YES_Writing_ELA[Student Number],YES_Writing_FLA[Student Number]),0),MATCH(VLOOKUP(G$7,'Writing Logic'!$J$7:$K$11,2,FALSE)&amp;" - Per "&amp;VLOOKUP($C$4,'Writing Logic'!$G$8:$H$14,2,FALSE),YES_Writing_ELA[#Headers],0)))),"")</f>
        <v/>
      </c>
      <c r="H345" s="223" t="str">
        <f>IFERROR(IF(IF(INDEX(_xlfn.VSTACK(YES_Writing_ELA[#Data],YES_Writing_FLA[#Data]),MATCH($A345,_xlfn.VSTACK(YES_Writing_ELA[Student Number],YES_Writing_FLA[Student Number]),0),MATCH(VLOOKUP(H$7,'Writing Logic'!$J$7:$K$11,2,FALSE)&amp;" - Per "&amp;VLOOKUP($C$4,'Writing Logic'!$G$8:$H$14,2,FALSE),YES_Writing_ELA[#Headers],0))=0,"",INDEX(_xlfn.VSTACK(YES_Writing_ELA[#Data],YES_Writing_FLA[#Data]),MATCH($A345,_xlfn.VSTACK(YES_Writing_ELA[Student Number],YES_Writing_FLA[Student Number]),0),MATCH(VLOOKUP(H$7,'Writing Logic'!$J$7:$K$11,2,FALSE)&amp;" - Per "&amp;VLOOKUP($C$4,'Writing Logic'!$G$8:$H$14,2,FALSE),YES_Writing_ELA[#Headers],0)))="INS",'Writing Logic'!$B$7,IF(INDEX(_xlfn.VSTACK(YES_Writing_ELA[#Data],YES_Writing_FLA[#Data]),MATCH($A345,_xlfn.VSTACK(YES_Writing_ELA[Student Number],YES_Writing_FLA[Student Number]),0),MATCH(VLOOKUP(H$7,'Writing Logic'!$J$7:$K$11,2,FALSE)&amp;" - Per "&amp;VLOOKUP($C$4,'Writing Logic'!$G$8:$H$14,2,FALSE),YES_Writing_ELA[#Headers],0))=0,"",INDEX(_xlfn.VSTACK(YES_Writing_ELA[#Data],YES_Writing_FLA[#Data]),MATCH($A345,_xlfn.VSTACK(YES_Writing_ELA[Student Number],YES_Writing_FLA[Student Number]),0),MATCH(VLOOKUP(H$7,'Writing Logic'!$J$7:$K$11,2,FALSE)&amp;" - Per "&amp;VLOOKUP($C$4,'Writing Logic'!$G$8:$H$14,2,FALSE),YES_Writing_ELA[#Headers],0)))),"")</f>
        <v/>
      </c>
      <c r="I345" s="224" t="str" cm="1">
        <f t="array" aca="1" ref="I345" ca="1">IFERROR(
IF($G$3="ELA",
IF(VLOOKUP($A345, YES_Reading_ELA[], COLUMN(INDIRECT("YES_Reading_ELA[Difference - Per "&amp;VLOOKUP($G$4, 'Reading Report Logic'!$A$2:$B$8, 2, FALSE)&amp;"]")), FALSE)="", "",
VLOOKUP($A345,YES_Reading_ELA[], COLUMN(INDIRECT("YES_Reading_ELA[Difference - Per "&amp;VLOOKUP($G$4,'Reading Report Logic'!$A$2:$B$8,2,FALSE)&amp;"]")), FALSE)),
IF($G$3="FLA",
IF(VLOOKUP($A345, YES_Reading_FLA[], COLUMN(INDIRECT("YES_Reading_FLA[Difference - Per "&amp;VLOOKUP($G$4,'Reading Report Logic'!$A$2:$B$8,2,FALSE)&amp;"]")),FALSE)="","",
VLOOKUP($A345,YES_Reading_FLA[],COLUMN(INDIRECT("YES_Reading_FLA[Difference - Per "&amp;VLOOKUP($G$4,'Reading Report Logic'!$A$2:$B$8,2,FALSE)&amp;"]")),FALSE)),
IF($G$3="Combined",
IFERROR(
IF(VLOOKUP($A345, YES_Reading_ELA[], COLUMN(INDIRECT("YES_Reading_ELA[Difference - Per "&amp;VLOOKUP($G$4, 'Reading Report Logic'!$A$2:$B$8,2,FALSE)&amp;"]")), FALSE)="", "",
VLOOKUP($A345,YES_Reading_ELA[],COLUMN(INDIRECT("YES_Reading_ELA[Difference - Per "&amp;VLOOKUP($G$4,'Reading Report Logic'!$A$2:$B$8,2,FALSE)&amp;"]")),FALSE)),
IF(VLOOKUP($A345, YES_Reading_FLA[], COLUMN(INDIRECT("YES_Reading_FLA[Difference - Per "&amp;VLOOKUP($G$4, 'Reading Report Logic'!$A$2:$B$8, 2, FALSE)&amp;"]")),FALSE)="", "", VLOOKUP($A345,YES_Reading_FLA[],COLUMN(INDIRECT("YES_Reading_FLA[Difference - Per "&amp;VLOOKUP($G$4, 'Reading Report Logic'!$A$2:$B$8, 2, FALSE)&amp;"]")),FALSE))),""))),"")</f>
        <v/>
      </c>
    </row>
    <row r="346" spans="1:9" x14ac:dyDescent="0.25">
      <c r="A346" s="137"/>
      <c r="B346" s="137" t="str">
        <f>IFERROR(INDEX(_xlfn.VSTACK(YES_Writing_ELA[#Data], YES_Writing_FLA[#Data]),MATCH($A346,_xlfn.VSTACK(YES_Writing_ELA[Student Number], YES_Writing_FLA[Student Number]),0),MATCH(B$7,YES_Writing_ELA[#Headers],0)),IFERROR(INDEX(_xlfn.VSTACK(YES_Reading_ELA[#Data], YES_Reading_FLA[#Data]),MATCH($A346,_xlfn.VSTACK(YES_Reading_ELA[Student Number], YES_Reading_FLA[Student Number]),0),MATCH(B$7,YES_Reading_ELA[#Headers],0)),""))</f>
        <v/>
      </c>
      <c r="C346" s="137" t="str">
        <f>IFERROR(INDEX(_xlfn.VSTACK(YES_Writing_ELA[#Data], YES_Writing_FLA[#Data]),MATCH($A346,_xlfn.VSTACK(YES_Writing_ELA[Student Number], YES_Writing_FLA[Student Number]),0),MATCH(C$7,YES_Writing_ELA[#Headers],0)),IFERROR(INDEX(_xlfn.VSTACK(YES_Reading_ELA[#Data], YES_Reading_FLA[#Data]),MATCH($A346,_xlfn.VSTACK(YES_Reading_ELA[Student Number], YES_Reading_FLA[Student Number]),0),MATCH(C$7,YES_Reading_ELA[#Headers],0)),""))</f>
        <v/>
      </c>
      <c r="D346" s="138" t="str">
        <f>IFERROR(IF(IF(INDEX(_xlfn.VSTACK(YES_Writing_ELA[#Data],YES_Writing_FLA[#Data]),MATCH($A346,_xlfn.VSTACK(YES_Writing_ELA[Student Number],YES_Writing_FLA[Student Number]),0),MATCH(VLOOKUP(D$7,'Writing Logic'!$J$7:$K$11,2,FALSE)&amp;" - Per "&amp;VLOOKUP($C$4,'Writing Logic'!$G$8:$H$14,2,FALSE),YES_Writing_ELA[#Headers],0))=0,"",INDEX(_xlfn.VSTACK(YES_Writing_ELA[#Data],YES_Writing_FLA[#Data]),MATCH($A346,_xlfn.VSTACK(YES_Writing_ELA[Student Number],YES_Writing_FLA[Student Number]),0),MATCH(VLOOKUP(D$7,'Writing Logic'!$J$7:$K$11,2,FALSE)&amp;" - Per "&amp;VLOOKUP($C$4,'Writing Logic'!$G$8:$H$14,2,FALSE),YES_Writing_ELA[#Headers],0)))="INS",'Writing Logic'!$B$7,IF(INDEX(_xlfn.VSTACK(YES_Writing_ELA[#Data],YES_Writing_FLA[#Data]),MATCH($A346,_xlfn.VSTACK(YES_Writing_ELA[Student Number],YES_Writing_FLA[Student Number]),0),MATCH(VLOOKUP(D$7,'Writing Logic'!$J$7:$K$11,2,FALSE)&amp;" - Per "&amp;VLOOKUP($C$4,'Writing Logic'!$G$8:$H$14,2,FALSE),YES_Writing_ELA[#Headers],0))=0,"",INDEX(_xlfn.VSTACK(YES_Writing_ELA[#Data],YES_Writing_FLA[#Data]),MATCH($A346,_xlfn.VSTACK(YES_Writing_ELA[Student Number],YES_Writing_FLA[Student Number]),0),MATCH(VLOOKUP(D$7,'Writing Logic'!$J$7:$K$11,2,FALSE)&amp;" - Per "&amp;VLOOKUP($C$4,'Writing Logic'!$G$8:$H$14,2,FALSE),YES_Writing_ELA[#Headers],0)))),"")</f>
        <v/>
      </c>
      <c r="E346" s="138" t="str">
        <f>IFERROR(IF(IF(INDEX(_xlfn.VSTACK(YES_Writing_ELA[#Data],YES_Writing_FLA[#Data]),MATCH($A346,_xlfn.VSTACK(YES_Writing_ELA[Student Number],YES_Writing_FLA[Student Number]),0),MATCH(VLOOKUP(E$7,'Writing Logic'!$J$7:$K$11,2,FALSE)&amp;" - Per "&amp;VLOOKUP($C$4,'Writing Logic'!$G$8:$H$14,2,FALSE),YES_Writing_ELA[#Headers],0))=0,"",INDEX(_xlfn.VSTACK(YES_Writing_ELA[#Data],YES_Writing_FLA[#Data]),MATCH($A346,_xlfn.VSTACK(YES_Writing_ELA[Student Number],YES_Writing_FLA[Student Number]),0),MATCH(VLOOKUP(E$7,'Writing Logic'!$J$7:$K$11,2,FALSE)&amp;" - Per "&amp;VLOOKUP($C$4,'Writing Logic'!$G$8:$H$14,2,FALSE),YES_Writing_ELA[#Headers],0)))="INS",'Writing Logic'!$B$7,IF(INDEX(_xlfn.VSTACK(YES_Writing_ELA[#Data],YES_Writing_FLA[#Data]),MATCH($A346,_xlfn.VSTACK(YES_Writing_ELA[Student Number],YES_Writing_FLA[Student Number]),0),MATCH(VLOOKUP(E$7,'Writing Logic'!$J$7:$K$11,2,FALSE)&amp;" - Per "&amp;VLOOKUP($C$4,'Writing Logic'!$G$8:$H$14,2,FALSE),YES_Writing_ELA[#Headers],0))=0,"",INDEX(_xlfn.VSTACK(YES_Writing_ELA[#Data],YES_Writing_FLA[#Data]),MATCH($A346,_xlfn.VSTACK(YES_Writing_ELA[Student Number],YES_Writing_FLA[Student Number]),0),MATCH(VLOOKUP(E$7,'Writing Logic'!$J$7:$K$11,2,FALSE)&amp;" - Per "&amp;VLOOKUP($C$4,'Writing Logic'!$G$8:$H$14,2,FALSE),YES_Writing_ELA[#Headers],0)))),"")</f>
        <v/>
      </c>
      <c r="F346" s="138" t="str">
        <f>IFERROR(IF(IF(INDEX(_xlfn.VSTACK(YES_Writing_ELA[#Data],YES_Writing_FLA[#Data]),MATCH($A346,_xlfn.VSTACK(YES_Writing_ELA[Student Number],YES_Writing_FLA[Student Number]),0),MATCH(VLOOKUP(F$7,'Writing Logic'!$J$7:$K$11,2,FALSE)&amp;" - Per "&amp;VLOOKUP($C$4,'Writing Logic'!$G$8:$H$14,2,FALSE),YES_Writing_ELA[#Headers],0))=0,"",INDEX(_xlfn.VSTACK(YES_Writing_ELA[#Data],YES_Writing_FLA[#Data]),MATCH($A346,_xlfn.VSTACK(YES_Writing_ELA[Student Number],YES_Writing_FLA[Student Number]),0),MATCH(VLOOKUP(F$7,'Writing Logic'!$J$7:$K$11,2,FALSE)&amp;" - Per "&amp;VLOOKUP($C$4,'Writing Logic'!$G$8:$H$14,2,FALSE),YES_Writing_ELA[#Headers],0)))="INS",'Writing Logic'!$B$7,IF(INDEX(_xlfn.VSTACK(YES_Writing_ELA[#Data],YES_Writing_FLA[#Data]),MATCH($A346,_xlfn.VSTACK(YES_Writing_ELA[Student Number],YES_Writing_FLA[Student Number]),0),MATCH(VLOOKUP(F$7,'Writing Logic'!$J$7:$K$11,2,FALSE)&amp;" - Per "&amp;VLOOKUP($C$4,'Writing Logic'!$G$8:$H$14,2,FALSE),YES_Writing_ELA[#Headers],0))=0,"",INDEX(_xlfn.VSTACK(YES_Writing_ELA[#Data],YES_Writing_FLA[#Data]),MATCH($A346,_xlfn.VSTACK(YES_Writing_ELA[Student Number],YES_Writing_FLA[Student Number]),0),MATCH(VLOOKUP(F$7,'Writing Logic'!$J$7:$K$11,2,FALSE)&amp;" - Per "&amp;VLOOKUP($C$4,'Writing Logic'!$G$8:$H$14,2,FALSE),YES_Writing_ELA[#Headers],0)))),"")</f>
        <v/>
      </c>
      <c r="G346" s="138" t="str">
        <f>IFERROR(IF(IF(INDEX(_xlfn.VSTACK(YES_Writing_ELA[#Data],YES_Writing_FLA[#Data]),MATCH($A346,_xlfn.VSTACK(YES_Writing_ELA[Student Number],YES_Writing_FLA[Student Number]),0),MATCH(VLOOKUP(G$7,'Writing Logic'!$J$7:$K$11,2,FALSE)&amp;" - Per "&amp;VLOOKUP($C$4,'Writing Logic'!$G$8:$H$14,2,FALSE),YES_Writing_ELA[#Headers],0))=0,"",INDEX(_xlfn.VSTACK(YES_Writing_ELA[#Data],YES_Writing_FLA[#Data]),MATCH($A346,_xlfn.VSTACK(YES_Writing_ELA[Student Number],YES_Writing_FLA[Student Number]),0),MATCH(VLOOKUP(G$7,'Writing Logic'!$J$7:$K$11,2,FALSE)&amp;" - Per "&amp;VLOOKUP($C$4,'Writing Logic'!$G$8:$H$14,2,FALSE),YES_Writing_ELA[#Headers],0)))="INS",'Writing Logic'!$B$7,IF(INDEX(_xlfn.VSTACK(YES_Writing_ELA[#Data],YES_Writing_FLA[#Data]),MATCH($A346,_xlfn.VSTACK(YES_Writing_ELA[Student Number],YES_Writing_FLA[Student Number]),0),MATCH(VLOOKUP(G$7,'Writing Logic'!$J$7:$K$11,2,FALSE)&amp;" - Per "&amp;VLOOKUP($C$4,'Writing Logic'!$G$8:$H$14,2,FALSE),YES_Writing_ELA[#Headers],0))=0,"",INDEX(_xlfn.VSTACK(YES_Writing_ELA[#Data],YES_Writing_FLA[#Data]),MATCH($A346,_xlfn.VSTACK(YES_Writing_ELA[Student Number],YES_Writing_FLA[Student Number]),0),MATCH(VLOOKUP(G$7,'Writing Logic'!$J$7:$K$11,2,FALSE)&amp;" - Per "&amp;VLOOKUP($C$4,'Writing Logic'!$G$8:$H$14,2,FALSE),YES_Writing_ELA[#Headers],0)))),"")</f>
        <v/>
      </c>
      <c r="H346" s="223" t="str">
        <f>IFERROR(IF(IF(INDEX(_xlfn.VSTACK(YES_Writing_ELA[#Data],YES_Writing_FLA[#Data]),MATCH($A346,_xlfn.VSTACK(YES_Writing_ELA[Student Number],YES_Writing_FLA[Student Number]),0),MATCH(VLOOKUP(H$7,'Writing Logic'!$J$7:$K$11,2,FALSE)&amp;" - Per "&amp;VLOOKUP($C$4,'Writing Logic'!$G$8:$H$14,2,FALSE),YES_Writing_ELA[#Headers],0))=0,"",INDEX(_xlfn.VSTACK(YES_Writing_ELA[#Data],YES_Writing_FLA[#Data]),MATCH($A346,_xlfn.VSTACK(YES_Writing_ELA[Student Number],YES_Writing_FLA[Student Number]),0),MATCH(VLOOKUP(H$7,'Writing Logic'!$J$7:$K$11,2,FALSE)&amp;" - Per "&amp;VLOOKUP($C$4,'Writing Logic'!$G$8:$H$14,2,FALSE),YES_Writing_ELA[#Headers],0)))="INS",'Writing Logic'!$B$7,IF(INDEX(_xlfn.VSTACK(YES_Writing_ELA[#Data],YES_Writing_FLA[#Data]),MATCH($A346,_xlfn.VSTACK(YES_Writing_ELA[Student Number],YES_Writing_FLA[Student Number]),0),MATCH(VLOOKUP(H$7,'Writing Logic'!$J$7:$K$11,2,FALSE)&amp;" - Per "&amp;VLOOKUP($C$4,'Writing Logic'!$G$8:$H$14,2,FALSE),YES_Writing_ELA[#Headers],0))=0,"",INDEX(_xlfn.VSTACK(YES_Writing_ELA[#Data],YES_Writing_FLA[#Data]),MATCH($A346,_xlfn.VSTACK(YES_Writing_ELA[Student Number],YES_Writing_FLA[Student Number]),0),MATCH(VLOOKUP(H$7,'Writing Logic'!$J$7:$K$11,2,FALSE)&amp;" - Per "&amp;VLOOKUP($C$4,'Writing Logic'!$G$8:$H$14,2,FALSE),YES_Writing_ELA[#Headers],0)))),"")</f>
        <v/>
      </c>
      <c r="I346" s="224" t="str" cm="1">
        <f t="array" aca="1" ref="I346" ca="1">IFERROR(
IF($G$3="ELA",
IF(VLOOKUP($A346, YES_Reading_ELA[], COLUMN(INDIRECT("YES_Reading_ELA[Difference - Per "&amp;VLOOKUP($G$4, 'Reading Report Logic'!$A$2:$B$8, 2, FALSE)&amp;"]")), FALSE)="", "",
VLOOKUP($A346,YES_Reading_ELA[], COLUMN(INDIRECT("YES_Reading_ELA[Difference - Per "&amp;VLOOKUP($G$4,'Reading Report Logic'!$A$2:$B$8,2,FALSE)&amp;"]")), FALSE)),
IF($G$3="FLA",
IF(VLOOKUP($A346, YES_Reading_FLA[], COLUMN(INDIRECT("YES_Reading_FLA[Difference - Per "&amp;VLOOKUP($G$4,'Reading Report Logic'!$A$2:$B$8,2,FALSE)&amp;"]")),FALSE)="","",
VLOOKUP($A346,YES_Reading_FLA[],COLUMN(INDIRECT("YES_Reading_FLA[Difference - Per "&amp;VLOOKUP($G$4,'Reading Report Logic'!$A$2:$B$8,2,FALSE)&amp;"]")),FALSE)),
IF($G$3="Combined",
IFERROR(
IF(VLOOKUP($A346, YES_Reading_ELA[], COLUMN(INDIRECT("YES_Reading_ELA[Difference - Per "&amp;VLOOKUP($G$4, 'Reading Report Logic'!$A$2:$B$8,2,FALSE)&amp;"]")), FALSE)="", "",
VLOOKUP($A346,YES_Reading_ELA[],COLUMN(INDIRECT("YES_Reading_ELA[Difference - Per "&amp;VLOOKUP($G$4,'Reading Report Logic'!$A$2:$B$8,2,FALSE)&amp;"]")),FALSE)),
IF(VLOOKUP($A346, YES_Reading_FLA[], COLUMN(INDIRECT("YES_Reading_FLA[Difference - Per "&amp;VLOOKUP($G$4, 'Reading Report Logic'!$A$2:$B$8, 2, FALSE)&amp;"]")),FALSE)="", "", VLOOKUP($A346,YES_Reading_FLA[],COLUMN(INDIRECT("YES_Reading_FLA[Difference - Per "&amp;VLOOKUP($G$4, 'Reading Report Logic'!$A$2:$B$8, 2, FALSE)&amp;"]")),FALSE))),""))),"")</f>
        <v/>
      </c>
    </row>
    <row r="347" spans="1:9" x14ac:dyDescent="0.25">
      <c r="A347" s="137"/>
      <c r="B347" s="137" t="str">
        <f>IFERROR(INDEX(_xlfn.VSTACK(YES_Writing_ELA[#Data], YES_Writing_FLA[#Data]),MATCH($A347,_xlfn.VSTACK(YES_Writing_ELA[Student Number], YES_Writing_FLA[Student Number]),0),MATCH(B$7,YES_Writing_ELA[#Headers],0)),IFERROR(INDEX(_xlfn.VSTACK(YES_Reading_ELA[#Data], YES_Reading_FLA[#Data]),MATCH($A347,_xlfn.VSTACK(YES_Reading_ELA[Student Number], YES_Reading_FLA[Student Number]),0),MATCH(B$7,YES_Reading_ELA[#Headers],0)),""))</f>
        <v/>
      </c>
      <c r="C347" s="137" t="str">
        <f>IFERROR(INDEX(_xlfn.VSTACK(YES_Writing_ELA[#Data], YES_Writing_FLA[#Data]),MATCH($A347,_xlfn.VSTACK(YES_Writing_ELA[Student Number], YES_Writing_FLA[Student Number]),0),MATCH(C$7,YES_Writing_ELA[#Headers],0)),IFERROR(INDEX(_xlfn.VSTACK(YES_Reading_ELA[#Data], YES_Reading_FLA[#Data]),MATCH($A347,_xlfn.VSTACK(YES_Reading_ELA[Student Number], YES_Reading_FLA[Student Number]),0),MATCH(C$7,YES_Reading_ELA[#Headers],0)),""))</f>
        <v/>
      </c>
      <c r="D347" s="138" t="str">
        <f>IFERROR(IF(IF(INDEX(_xlfn.VSTACK(YES_Writing_ELA[#Data],YES_Writing_FLA[#Data]),MATCH($A347,_xlfn.VSTACK(YES_Writing_ELA[Student Number],YES_Writing_FLA[Student Number]),0),MATCH(VLOOKUP(D$7,'Writing Logic'!$J$7:$K$11,2,FALSE)&amp;" - Per "&amp;VLOOKUP($C$4,'Writing Logic'!$G$8:$H$14,2,FALSE),YES_Writing_ELA[#Headers],0))=0,"",INDEX(_xlfn.VSTACK(YES_Writing_ELA[#Data],YES_Writing_FLA[#Data]),MATCH($A347,_xlfn.VSTACK(YES_Writing_ELA[Student Number],YES_Writing_FLA[Student Number]),0),MATCH(VLOOKUP(D$7,'Writing Logic'!$J$7:$K$11,2,FALSE)&amp;" - Per "&amp;VLOOKUP($C$4,'Writing Logic'!$G$8:$H$14,2,FALSE),YES_Writing_ELA[#Headers],0)))="INS",'Writing Logic'!$B$7,IF(INDEX(_xlfn.VSTACK(YES_Writing_ELA[#Data],YES_Writing_FLA[#Data]),MATCH($A347,_xlfn.VSTACK(YES_Writing_ELA[Student Number],YES_Writing_FLA[Student Number]),0),MATCH(VLOOKUP(D$7,'Writing Logic'!$J$7:$K$11,2,FALSE)&amp;" - Per "&amp;VLOOKUP($C$4,'Writing Logic'!$G$8:$H$14,2,FALSE),YES_Writing_ELA[#Headers],0))=0,"",INDEX(_xlfn.VSTACK(YES_Writing_ELA[#Data],YES_Writing_FLA[#Data]),MATCH($A347,_xlfn.VSTACK(YES_Writing_ELA[Student Number],YES_Writing_FLA[Student Number]),0),MATCH(VLOOKUP(D$7,'Writing Logic'!$J$7:$K$11,2,FALSE)&amp;" - Per "&amp;VLOOKUP($C$4,'Writing Logic'!$G$8:$H$14,2,FALSE),YES_Writing_ELA[#Headers],0)))),"")</f>
        <v/>
      </c>
      <c r="E347" s="138" t="str">
        <f>IFERROR(IF(IF(INDEX(_xlfn.VSTACK(YES_Writing_ELA[#Data],YES_Writing_FLA[#Data]),MATCH($A347,_xlfn.VSTACK(YES_Writing_ELA[Student Number],YES_Writing_FLA[Student Number]),0),MATCH(VLOOKUP(E$7,'Writing Logic'!$J$7:$K$11,2,FALSE)&amp;" - Per "&amp;VLOOKUP($C$4,'Writing Logic'!$G$8:$H$14,2,FALSE),YES_Writing_ELA[#Headers],0))=0,"",INDEX(_xlfn.VSTACK(YES_Writing_ELA[#Data],YES_Writing_FLA[#Data]),MATCH($A347,_xlfn.VSTACK(YES_Writing_ELA[Student Number],YES_Writing_FLA[Student Number]),0),MATCH(VLOOKUP(E$7,'Writing Logic'!$J$7:$K$11,2,FALSE)&amp;" - Per "&amp;VLOOKUP($C$4,'Writing Logic'!$G$8:$H$14,2,FALSE),YES_Writing_ELA[#Headers],0)))="INS",'Writing Logic'!$B$7,IF(INDEX(_xlfn.VSTACK(YES_Writing_ELA[#Data],YES_Writing_FLA[#Data]),MATCH($A347,_xlfn.VSTACK(YES_Writing_ELA[Student Number],YES_Writing_FLA[Student Number]),0),MATCH(VLOOKUP(E$7,'Writing Logic'!$J$7:$K$11,2,FALSE)&amp;" - Per "&amp;VLOOKUP($C$4,'Writing Logic'!$G$8:$H$14,2,FALSE),YES_Writing_ELA[#Headers],0))=0,"",INDEX(_xlfn.VSTACK(YES_Writing_ELA[#Data],YES_Writing_FLA[#Data]),MATCH($A347,_xlfn.VSTACK(YES_Writing_ELA[Student Number],YES_Writing_FLA[Student Number]),0),MATCH(VLOOKUP(E$7,'Writing Logic'!$J$7:$K$11,2,FALSE)&amp;" - Per "&amp;VLOOKUP($C$4,'Writing Logic'!$G$8:$H$14,2,FALSE),YES_Writing_ELA[#Headers],0)))),"")</f>
        <v/>
      </c>
      <c r="F347" s="138" t="str">
        <f>IFERROR(IF(IF(INDEX(_xlfn.VSTACK(YES_Writing_ELA[#Data],YES_Writing_FLA[#Data]),MATCH($A347,_xlfn.VSTACK(YES_Writing_ELA[Student Number],YES_Writing_FLA[Student Number]),0),MATCH(VLOOKUP(F$7,'Writing Logic'!$J$7:$K$11,2,FALSE)&amp;" - Per "&amp;VLOOKUP($C$4,'Writing Logic'!$G$8:$H$14,2,FALSE),YES_Writing_ELA[#Headers],0))=0,"",INDEX(_xlfn.VSTACK(YES_Writing_ELA[#Data],YES_Writing_FLA[#Data]),MATCH($A347,_xlfn.VSTACK(YES_Writing_ELA[Student Number],YES_Writing_FLA[Student Number]),0),MATCH(VLOOKUP(F$7,'Writing Logic'!$J$7:$K$11,2,FALSE)&amp;" - Per "&amp;VLOOKUP($C$4,'Writing Logic'!$G$8:$H$14,2,FALSE),YES_Writing_ELA[#Headers],0)))="INS",'Writing Logic'!$B$7,IF(INDEX(_xlfn.VSTACK(YES_Writing_ELA[#Data],YES_Writing_FLA[#Data]),MATCH($A347,_xlfn.VSTACK(YES_Writing_ELA[Student Number],YES_Writing_FLA[Student Number]),0),MATCH(VLOOKUP(F$7,'Writing Logic'!$J$7:$K$11,2,FALSE)&amp;" - Per "&amp;VLOOKUP($C$4,'Writing Logic'!$G$8:$H$14,2,FALSE),YES_Writing_ELA[#Headers],0))=0,"",INDEX(_xlfn.VSTACK(YES_Writing_ELA[#Data],YES_Writing_FLA[#Data]),MATCH($A347,_xlfn.VSTACK(YES_Writing_ELA[Student Number],YES_Writing_FLA[Student Number]),0),MATCH(VLOOKUP(F$7,'Writing Logic'!$J$7:$K$11,2,FALSE)&amp;" - Per "&amp;VLOOKUP($C$4,'Writing Logic'!$G$8:$H$14,2,FALSE),YES_Writing_ELA[#Headers],0)))),"")</f>
        <v/>
      </c>
      <c r="G347" s="138" t="str">
        <f>IFERROR(IF(IF(INDEX(_xlfn.VSTACK(YES_Writing_ELA[#Data],YES_Writing_FLA[#Data]),MATCH($A347,_xlfn.VSTACK(YES_Writing_ELA[Student Number],YES_Writing_FLA[Student Number]),0),MATCH(VLOOKUP(G$7,'Writing Logic'!$J$7:$K$11,2,FALSE)&amp;" - Per "&amp;VLOOKUP($C$4,'Writing Logic'!$G$8:$H$14,2,FALSE),YES_Writing_ELA[#Headers],0))=0,"",INDEX(_xlfn.VSTACK(YES_Writing_ELA[#Data],YES_Writing_FLA[#Data]),MATCH($A347,_xlfn.VSTACK(YES_Writing_ELA[Student Number],YES_Writing_FLA[Student Number]),0),MATCH(VLOOKUP(G$7,'Writing Logic'!$J$7:$K$11,2,FALSE)&amp;" - Per "&amp;VLOOKUP($C$4,'Writing Logic'!$G$8:$H$14,2,FALSE),YES_Writing_ELA[#Headers],0)))="INS",'Writing Logic'!$B$7,IF(INDEX(_xlfn.VSTACK(YES_Writing_ELA[#Data],YES_Writing_FLA[#Data]),MATCH($A347,_xlfn.VSTACK(YES_Writing_ELA[Student Number],YES_Writing_FLA[Student Number]),0),MATCH(VLOOKUP(G$7,'Writing Logic'!$J$7:$K$11,2,FALSE)&amp;" - Per "&amp;VLOOKUP($C$4,'Writing Logic'!$G$8:$H$14,2,FALSE),YES_Writing_ELA[#Headers],0))=0,"",INDEX(_xlfn.VSTACK(YES_Writing_ELA[#Data],YES_Writing_FLA[#Data]),MATCH($A347,_xlfn.VSTACK(YES_Writing_ELA[Student Number],YES_Writing_FLA[Student Number]),0),MATCH(VLOOKUP(G$7,'Writing Logic'!$J$7:$K$11,2,FALSE)&amp;" - Per "&amp;VLOOKUP($C$4,'Writing Logic'!$G$8:$H$14,2,FALSE),YES_Writing_ELA[#Headers],0)))),"")</f>
        <v/>
      </c>
      <c r="H347" s="223" t="str">
        <f>IFERROR(IF(IF(INDEX(_xlfn.VSTACK(YES_Writing_ELA[#Data],YES_Writing_FLA[#Data]),MATCH($A347,_xlfn.VSTACK(YES_Writing_ELA[Student Number],YES_Writing_FLA[Student Number]),0),MATCH(VLOOKUP(H$7,'Writing Logic'!$J$7:$K$11,2,FALSE)&amp;" - Per "&amp;VLOOKUP($C$4,'Writing Logic'!$G$8:$H$14,2,FALSE),YES_Writing_ELA[#Headers],0))=0,"",INDEX(_xlfn.VSTACK(YES_Writing_ELA[#Data],YES_Writing_FLA[#Data]),MATCH($A347,_xlfn.VSTACK(YES_Writing_ELA[Student Number],YES_Writing_FLA[Student Number]),0),MATCH(VLOOKUP(H$7,'Writing Logic'!$J$7:$K$11,2,FALSE)&amp;" - Per "&amp;VLOOKUP($C$4,'Writing Logic'!$G$8:$H$14,2,FALSE),YES_Writing_ELA[#Headers],0)))="INS",'Writing Logic'!$B$7,IF(INDEX(_xlfn.VSTACK(YES_Writing_ELA[#Data],YES_Writing_FLA[#Data]),MATCH($A347,_xlfn.VSTACK(YES_Writing_ELA[Student Number],YES_Writing_FLA[Student Number]),0),MATCH(VLOOKUP(H$7,'Writing Logic'!$J$7:$K$11,2,FALSE)&amp;" - Per "&amp;VLOOKUP($C$4,'Writing Logic'!$G$8:$H$14,2,FALSE),YES_Writing_ELA[#Headers],0))=0,"",INDEX(_xlfn.VSTACK(YES_Writing_ELA[#Data],YES_Writing_FLA[#Data]),MATCH($A347,_xlfn.VSTACK(YES_Writing_ELA[Student Number],YES_Writing_FLA[Student Number]),0),MATCH(VLOOKUP(H$7,'Writing Logic'!$J$7:$K$11,2,FALSE)&amp;" - Per "&amp;VLOOKUP($C$4,'Writing Logic'!$G$8:$H$14,2,FALSE),YES_Writing_ELA[#Headers],0)))),"")</f>
        <v/>
      </c>
      <c r="I347" s="224" t="str" cm="1">
        <f t="array" aca="1" ref="I347" ca="1">IFERROR(
IF($G$3="ELA",
IF(VLOOKUP($A347, YES_Reading_ELA[], COLUMN(INDIRECT("YES_Reading_ELA[Difference - Per "&amp;VLOOKUP($G$4, 'Reading Report Logic'!$A$2:$B$8, 2, FALSE)&amp;"]")), FALSE)="", "",
VLOOKUP($A347,YES_Reading_ELA[], COLUMN(INDIRECT("YES_Reading_ELA[Difference - Per "&amp;VLOOKUP($G$4,'Reading Report Logic'!$A$2:$B$8,2,FALSE)&amp;"]")), FALSE)),
IF($G$3="FLA",
IF(VLOOKUP($A347, YES_Reading_FLA[], COLUMN(INDIRECT("YES_Reading_FLA[Difference - Per "&amp;VLOOKUP($G$4,'Reading Report Logic'!$A$2:$B$8,2,FALSE)&amp;"]")),FALSE)="","",
VLOOKUP($A347,YES_Reading_FLA[],COLUMN(INDIRECT("YES_Reading_FLA[Difference - Per "&amp;VLOOKUP($G$4,'Reading Report Logic'!$A$2:$B$8,2,FALSE)&amp;"]")),FALSE)),
IF($G$3="Combined",
IFERROR(
IF(VLOOKUP($A347, YES_Reading_ELA[], COLUMN(INDIRECT("YES_Reading_ELA[Difference - Per "&amp;VLOOKUP($G$4, 'Reading Report Logic'!$A$2:$B$8,2,FALSE)&amp;"]")), FALSE)="", "",
VLOOKUP($A347,YES_Reading_ELA[],COLUMN(INDIRECT("YES_Reading_ELA[Difference - Per "&amp;VLOOKUP($G$4,'Reading Report Logic'!$A$2:$B$8,2,FALSE)&amp;"]")),FALSE)),
IF(VLOOKUP($A347, YES_Reading_FLA[], COLUMN(INDIRECT("YES_Reading_FLA[Difference - Per "&amp;VLOOKUP($G$4, 'Reading Report Logic'!$A$2:$B$8, 2, FALSE)&amp;"]")),FALSE)="", "", VLOOKUP($A347,YES_Reading_FLA[],COLUMN(INDIRECT("YES_Reading_FLA[Difference - Per "&amp;VLOOKUP($G$4, 'Reading Report Logic'!$A$2:$B$8, 2, FALSE)&amp;"]")),FALSE))),""))),"")</f>
        <v/>
      </c>
    </row>
    <row r="348" spans="1:9" x14ac:dyDescent="0.25">
      <c r="A348" s="137"/>
      <c r="B348" s="137" t="str">
        <f>IFERROR(INDEX(_xlfn.VSTACK(YES_Writing_ELA[#Data], YES_Writing_FLA[#Data]),MATCH($A348,_xlfn.VSTACK(YES_Writing_ELA[Student Number], YES_Writing_FLA[Student Number]),0),MATCH(B$7,YES_Writing_ELA[#Headers],0)),IFERROR(INDEX(_xlfn.VSTACK(YES_Reading_ELA[#Data], YES_Reading_FLA[#Data]),MATCH($A348,_xlfn.VSTACK(YES_Reading_ELA[Student Number], YES_Reading_FLA[Student Number]),0),MATCH(B$7,YES_Reading_ELA[#Headers],0)),""))</f>
        <v/>
      </c>
      <c r="C348" s="137" t="str">
        <f>IFERROR(INDEX(_xlfn.VSTACK(YES_Writing_ELA[#Data], YES_Writing_FLA[#Data]),MATCH($A348,_xlfn.VSTACK(YES_Writing_ELA[Student Number], YES_Writing_FLA[Student Number]),0),MATCH(C$7,YES_Writing_ELA[#Headers],0)),IFERROR(INDEX(_xlfn.VSTACK(YES_Reading_ELA[#Data], YES_Reading_FLA[#Data]),MATCH($A348,_xlfn.VSTACK(YES_Reading_ELA[Student Number], YES_Reading_FLA[Student Number]),0),MATCH(C$7,YES_Reading_ELA[#Headers],0)),""))</f>
        <v/>
      </c>
      <c r="D348" s="138" t="str">
        <f>IFERROR(IF(IF(INDEX(_xlfn.VSTACK(YES_Writing_ELA[#Data],YES_Writing_FLA[#Data]),MATCH($A348,_xlfn.VSTACK(YES_Writing_ELA[Student Number],YES_Writing_FLA[Student Number]),0),MATCH(VLOOKUP(D$7,'Writing Logic'!$J$7:$K$11,2,FALSE)&amp;" - Per "&amp;VLOOKUP($C$4,'Writing Logic'!$G$8:$H$14,2,FALSE),YES_Writing_ELA[#Headers],0))=0,"",INDEX(_xlfn.VSTACK(YES_Writing_ELA[#Data],YES_Writing_FLA[#Data]),MATCH($A348,_xlfn.VSTACK(YES_Writing_ELA[Student Number],YES_Writing_FLA[Student Number]),0),MATCH(VLOOKUP(D$7,'Writing Logic'!$J$7:$K$11,2,FALSE)&amp;" - Per "&amp;VLOOKUP($C$4,'Writing Logic'!$G$8:$H$14,2,FALSE),YES_Writing_ELA[#Headers],0)))="INS",'Writing Logic'!$B$7,IF(INDEX(_xlfn.VSTACK(YES_Writing_ELA[#Data],YES_Writing_FLA[#Data]),MATCH($A348,_xlfn.VSTACK(YES_Writing_ELA[Student Number],YES_Writing_FLA[Student Number]),0),MATCH(VLOOKUP(D$7,'Writing Logic'!$J$7:$K$11,2,FALSE)&amp;" - Per "&amp;VLOOKUP($C$4,'Writing Logic'!$G$8:$H$14,2,FALSE),YES_Writing_ELA[#Headers],0))=0,"",INDEX(_xlfn.VSTACK(YES_Writing_ELA[#Data],YES_Writing_FLA[#Data]),MATCH($A348,_xlfn.VSTACK(YES_Writing_ELA[Student Number],YES_Writing_FLA[Student Number]),0),MATCH(VLOOKUP(D$7,'Writing Logic'!$J$7:$K$11,2,FALSE)&amp;" - Per "&amp;VLOOKUP($C$4,'Writing Logic'!$G$8:$H$14,2,FALSE),YES_Writing_ELA[#Headers],0)))),"")</f>
        <v/>
      </c>
      <c r="E348" s="138" t="str">
        <f>IFERROR(IF(IF(INDEX(_xlfn.VSTACK(YES_Writing_ELA[#Data],YES_Writing_FLA[#Data]),MATCH($A348,_xlfn.VSTACK(YES_Writing_ELA[Student Number],YES_Writing_FLA[Student Number]),0),MATCH(VLOOKUP(E$7,'Writing Logic'!$J$7:$K$11,2,FALSE)&amp;" - Per "&amp;VLOOKUP($C$4,'Writing Logic'!$G$8:$H$14,2,FALSE),YES_Writing_ELA[#Headers],0))=0,"",INDEX(_xlfn.VSTACK(YES_Writing_ELA[#Data],YES_Writing_FLA[#Data]),MATCH($A348,_xlfn.VSTACK(YES_Writing_ELA[Student Number],YES_Writing_FLA[Student Number]),0),MATCH(VLOOKUP(E$7,'Writing Logic'!$J$7:$K$11,2,FALSE)&amp;" - Per "&amp;VLOOKUP($C$4,'Writing Logic'!$G$8:$H$14,2,FALSE),YES_Writing_ELA[#Headers],0)))="INS",'Writing Logic'!$B$7,IF(INDEX(_xlfn.VSTACK(YES_Writing_ELA[#Data],YES_Writing_FLA[#Data]),MATCH($A348,_xlfn.VSTACK(YES_Writing_ELA[Student Number],YES_Writing_FLA[Student Number]),0),MATCH(VLOOKUP(E$7,'Writing Logic'!$J$7:$K$11,2,FALSE)&amp;" - Per "&amp;VLOOKUP($C$4,'Writing Logic'!$G$8:$H$14,2,FALSE),YES_Writing_ELA[#Headers],0))=0,"",INDEX(_xlfn.VSTACK(YES_Writing_ELA[#Data],YES_Writing_FLA[#Data]),MATCH($A348,_xlfn.VSTACK(YES_Writing_ELA[Student Number],YES_Writing_FLA[Student Number]),0),MATCH(VLOOKUP(E$7,'Writing Logic'!$J$7:$K$11,2,FALSE)&amp;" - Per "&amp;VLOOKUP($C$4,'Writing Logic'!$G$8:$H$14,2,FALSE),YES_Writing_ELA[#Headers],0)))),"")</f>
        <v/>
      </c>
      <c r="F348" s="138" t="str">
        <f>IFERROR(IF(IF(INDEX(_xlfn.VSTACK(YES_Writing_ELA[#Data],YES_Writing_FLA[#Data]),MATCH($A348,_xlfn.VSTACK(YES_Writing_ELA[Student Number],YES_Writing_FLA[Student Number]),0),MATCH(VLOOKUP(F$7,'Writing Logic'!$J$7:$K$11,2,FALSE)&amp;" - Per "&amp;VLOOKUP($C$4,'Writing Logic'!$G$8:$H$14,2,FALSE),YES_Writing_ELA[#Headers],0))=0,"",INDEX(_xlfn.VSTACK(YES_Writing_ELA[#Data],YES_Writing_FLA[#Data]),MATCH($A348,_xlfn.VSTACK(YES_Writing_ELA[Student Number],YES_Writing_FLA[Student Number]),0),MATCH(VLOOKUP(F$7,'Writing Logic'!$J$7:$K$11,2,FALSE)&amp;" - Per "&amp;VLOOKUP($C$4,'Writing Logic'!$G$8:$H$14,2,FALSE),YES_Writing_ELA[#Headers],0)))="INS",'Writing Logic'!$B$7,IF(INDEX(_xlfn.VSTACK(YES_Writing_ELA[#Data],YES_Writing_FLA[#Data]),MATCH($A348,_xlfn.VSTACK(YES_Writing_ELA[Student Number],YES_Writing_FLA[Student Number]),0),MATCH(VLOOKUP(F$7,'Writing Logic'!$J$7:$K$11,2,FALSE)&amp;" - Per "&amp;VLOOKUP($C$4,'Writing Logic'!$G$8:$H$14,2,FALSE),YES_Writing_ELA[#Headers],0))=0,"",INDEX(_xlfn.VSTACK(YES_Writing_ELA[#Data],YES_Writing_FLA[#Data]),MATCH($A348,_xlfn.VSTACK(YES_Writing_ELA[Student Number],YES_Writing_FLA[Student Number]),0),MATCH(VLOOKUP(F$7,'Writing Logic'!$J$7:$K$11,2,FALSE)&amp;" - Per "&amp;VLOOKUP($C$4,'Writing Logic'!$G$8:$H$14,2,FALSE),YES_Writing_ELA[#Headers],0)))),"")</f>
        <v/>
      </c>
      <c r="G348" s="138" t="str">
        <f>IFERROR(IF(IF(INDEX(_xlfn.VSTACK(YES_Writing_ELA[#Data],YES_Writing_FLA[#Data]),MATCH($A348,_xlfn.VSTACK(YES_Writing_ELA[Student Number],YES_Writing_FLA[Student Number]),0),MATCH(VLOOKUP(G$7,'Writing Logic'!$J$7:$K$11,2,FALSE)&amp;" - Per "&amp;VLOOKUP($C$4,'Writing Logic'!$G$8:$H$14,2,FALSE),YES_Writing_ELA[#Headers],0))=0,"",INDEX(_xlfn.VSTACK(YES_Writing_ELA[#Data],YES_Writing_FLA[#Data]),MATCH($A348,_xlfn.VSTACK(YES_Writing_ELA[Student Number],YES_Writing_FLA[Student Number]),0),MATCH(VLOOKUP(G$7,'Writing Logic'!$J$7:$K$11,2,FALSE)&amp;" - Per "&amp;VLOOKUP($C$4,'Writing Logic'!$G$8:$H$14,2,FALSE),YES_Writing_ELA[#Headers],0)))="INS",'Writing Logic'!$B$7,IF(INDEX(_xlfn.VSTACK(YES_Writing_ELA[#Data],YES_Writing_FLA[#Data]),MATCH($A348,_xlfn.VSTACK(YES_Writing_ELA[Student Number],YES_Writing_FLA[Student Number]),0),MATCH(VLOOKUP(G$7,'Writing Logic'!$J$7:$K$11,2,FALSE)&amp;" - Per "&amp;VLOOKUP($C$4,'Writing Logic'!$G$8:$H$14,2,FALSE),YES_Writing_ELA[#Headers],0))=0,"",INDEX(_xlfn.VSTACK(YES_Writing_ELA[#Data],YES_Writing_FLA[#Data]),MATCH($A348,_xlfn.VSTACK(YES_Writing_ELA[Student Number],YES_Writing_FLA[Student Number]),0),MATCH(VLOOKUP(G$7,'Writing Logic'!$J$7:$K$11,2,FALSE)&amp;" - Per "&amp;VLOOKUP($C$4,'Writing Logic'!$G$8:$H$14,2,FALSE),YES_Writing_ELA[#Headers],0)))),"")</f>
        <v/>
      </c>
      <c r="H348" s="223" t="str">
        <f>IFERROR(IF(IF(INDEX(_xlfn.VSTACK(YES_Writing_ELA[#Data],YES_Writing_FLA[#Data]),MATCH($A348,_xlfn.VSTACK(YES_Writing_ELA[Student Number],YES_Writing_FLA[Student Number]),0),MATCH(VLOOKUP(H$7,'Writing Logic'!$J$7:$K$11,2,FALSE)&amp;" - Per "&amp;VLOOKUP($C$4,'Writing Logic'!$G$8:$H$14,2,FALSE),YES_Writing_ELA[#Headers],0))=0,"",INDEX(_xlfn.VSTACK(YES_Writing_ELA[#Data],YES_Writing_FLA[#Data]),MATCH($A348,_xlfn.VSTACK(YES_Writing_ELA[Student Number],YES_Writing_FLA[Student Number]),0),MATCH(VLOOKUP(H$7,'Writing Logic'!$J$7:$K$11,2,FALSE)&amp;" - Per "&amp;VLOOKUP($C$4,'Writing Logic'!$G$8:$H$14,2,FALSE),YES_Writing_ELA[#Headers],0)))="INS",'Writing Logic'!$B$7,IF(INDEX(_xlfn.VSTACK(YES_Writing_ELA[#Data],YES_Writing_FLA[#Data]),MATCH($A348,_xlfn.VSTACK(YES_Writing_ELA[Student Number],YES_Writing_FLA[Student Number]),0),MATCH(VLOOKUP(H$7,'Writing Logic'!$J$7:$K$11,2,FALSE)&amp;" - Per "&amp;VLOOKUP($C$4,'Writing Logic'!$G$8:$H$14,2,FALSE),YES_Writing_ELA[#Headers],0))=0,"",INDEX(_xlfn.VSTACK(YES_Writing_ELA[#Data],YES_Writing_FLA[#Data]),MATCH($A348,_xlfn.VSTACK(YES_Writing_ELA[Student Number],YES_Writing_FLA[Student Number]),0),MATCH(VLOOKUP(H$7,'Writing Logic'!$J$7:$K$11,2,FALSE)&amp;" - Per "&amp;VLOOKUP($C$4,'Writing Logic'!$G$8:$H$14,2,FALSE),YES_Writing_ELA[#Headers],0)))),"")</f>
        <v/>
      </c>
      <c r="I348" s="224" t="str" cm="1">
        <f t="array" aca="1" ref="I348" ca="1">IFERROR(
IF($G$3="ELA",
IF(VLOOKUP($A348, YES_Reading_ELA[], COLUMN(INDIRECT("YES_Reading_ELA[Difference - Per "&amp;VLOOKUP($G$4, 'Reading Report Logic'!$A$2:$B$8, 2, FALSE)&amp;"]")), FALSE)="", "",
VLOOKUP($A348,YES_Reading_ELA[], COLUMN(INDIRECT("YES_Reading_ELA[Difference - Per "&amp;VLOOKUP($G$4,'Reading Report Logic'!$A$2:$B$8,2,FALSE)&amp;"]")), FALSE)),
IF($G$3="FLA",
IF(VLOOKUP($A348, YES_Reading_FLA[], COLUMN(INDIRECT("YES_Reading_FLA[Difference - Per "&amp;VLOOKUP($G$4,'Reading Report Logic'!$A$2:$B$8,2,FALSE)&amp;"]")),FALSE)="","",
VLOOKUP($A348,YES_Reading_FLA[],COLUMN(INDIRECT("YES_Reading_FLA[Difference - Per "&amp;VLOOKUP($G$4,'Reading Report Logic'!$A$2:$B$8,2,FALSE)&amp;"]")),FALSE)),
IF($G$3="Combined",
IFERROR(
IF(VLOOKUP($A348, YES_Reading_ELA[], COLUMN(INDIRECT("YES_Reading_ELA[Difference - Per "&amp;VLOOKUP($G$4, 'Reading Report Logic'!$A$2:$B$8,2,FALSE)&amp;"]")), FALSE)="", "",
VLOOKUP($A348,YES_Reading_ELA[],COLUMN(INDIRECT("YES_Reading_ELA[Difference - Per "&amp;VLOOKUP($G$4,'Reading Report Logic'!$A$2:$B$8,2,FALSE)&amp;"]")),FALSE)),
IF(VLOOKUP($A348, YES_Reading_FLA[], COLUMN(INDIRECT("YES_Reading_FLA[Difference - Per "&amp;VLOOKUP($G$4, 'Reading Report Logic'!$A$2:$B$8, 2, FALSE)&amp;"]")),FALSE)="", "", VLOOKUP($A348,YES_Reading_FLA[],COLUMN(INDIRECT("YES_Reading_FLA[Difference - Per "&amp;VLOOKUP($G$4, 'Reading Report Logic'!$A$2:$B$8, 2, FALSE)&amp;"]")),FALSE))),""))),"")</f>
        <v/>
      </c>
    </row>
    <row r="349" spans="1:9" x14ac:dyDescent="0.25">
      <c r="A349" s="137"/>
      <c r="B349" s="137" t="str">
        <f>IFERROR(INDEX(_xlfn.VSTACK(YES_Writing_ELA[#Data], YES_Writing_FLA[#Data]),MATCH($A349,_xlfn.VSTACK(YES_Writing_ELA[Student Number], YES_Writing_FLA[Student Number]),0),MATCH(B$7,YES_Writing_ELA[#Headers],0)),IFERROR(INDEX(_xlfn.VSTACK(YES_Reading_ELA[#Data], YES_Reading_FLA[#Data]),MATCH($A349,_xlfn.VSTACK(YES_Reading_ELA[Student Number], YES_Reading_FLA[Student Number]),0),MATCH(B$7,YES_Reading_ELA[#Headers],0)),""))</f>
        <v/>
      </c>
      <c r="C349" s="137" t="str">
        <f>IFERROR(INDEX(_xlfn.VSTACK(YES_Writing_ELA[#Data], YES_Writing_FLA[#Data]),MATCH($A349,_xlfn.VSTACK(YES_Writing_ELA[Student Number], YES_Writing_FLA[Student Number]),0),MATCH(C$7,YES_Writing_ELA[#Headers],0)),IFERROR(INDEX(_xlfn.VSTACK(YES_Reading_ELA[#Data], YES_Reading_FLA[#Data]),MATCH($A349,_xlfn.VSTACK(YES_Reading_ELA[Student Number], YES_Reading_FLA[Student Number]),0),MATCH(C$7,YES_Reading_ELA[#Headers],0)),""))</f>
        <v/>
      </c>
      <c r="D349" s="138" t="str">
        <f>IFERROR(IF(IF(INDEX(_xlfn.VSTACK(YES_Writing_ELA[#Data],YES_Writing_FLA[#Data]),MATCH($A349,_xlfn.VSTACK(YES_Writing_ELA[Student Number],YES_Writing_FLA[Student Number]),0),MATCH(VLOOKUP(D$7,'Writing Logic'!$J$7:$K$11,2,FALSE)&amp;" - Per "&amp;VLOOKUP($C$4,'Writing Logic'!$G$8:$H$14,2,FALSE),YES_Writing_ELA[#Headers],0))=0,"",INDEX(_xlfn.VSTACK(YES_Writing_ELA[#Data],YES_Writing_FLA[#Data]),MATCH($A349,_xlfn.VSTACK(YES_Writing_ELA[Student Number],YES_Writing_FLA[Student Number]),0),MATCH(VLOOKUP(D$7,'Writing Logic'!$J$7:$K$11,2,FALSE)&amp;" - Per "&amp;VLOOKUP($C$4,'Writing Logic'!$G$8:$H$14,2,FALSE),YES_Writing_ELA[#Headers],0)))="INS",'Writing Logic'!$B$7,IF(INDEX(_xlfn.VSTACK(YES_Writing_ELA[#Data],YES_Writing_FLA[#Data]),MATCH($A349,_xlfn.VSTACK(YES_Writing_ELA[Student Number],YES_Writing_FLA[Student Number]),0),MATCH(VLOOKUP(D$7,'Writing Logic'!$J$7:$K$11,2,FALSE)&amp;" - Per "&amp;VLOOKUP($C$4,'Writing Logic'!$G$8:$H$14,2,FALSE),YES_Writing_ELA[#Headers],0))=0,"",INDEX(_xlfn.VSTACK(YES_Writing_ELA[#Data],YES_Writing_FLA[#Data]),MATCH($A349,_xlfn.VSTACK(YES_Writing_ELA[Student Number],YES_Writing_FLA[Student Number]),0),MATCH(VLOOKUP(D$7,'Writing Logic'!$J$7:$K$11,2,FALSE)&amp;" - Per "&amp;VLOOKUP($C$4,'Writing Logic'!$G$8:$H$14,2,FALSE),YES_Writing_ELA[#Headers],0)))),"")</f>
        <v/>
      </c>
      <c r="E349" s="138" t="str">
        <f>IFERROR(IF(IF(INDEX(_xlfn.VSTACK(YES_Writing_ELA[#Data],YES_Writing_FLA[#Data]),MATCH($A349,_xlfn.VSTACK(YES_Writing_ELA[Student Number],YES_Writing_FLA[Student Number]),0),MATCH(VLOOKUP(E$7,'Writing Logic'!$J$7:$K$11,2,FALSE)&amp;" - Per "&amp;VLOOKUP($C$4,'Writing Logic'!$G$8:$H$14,2,FALSE),YES_Writing_ELA[#Headers],0))=0,"",INDEX(_xlfn.VSTACK(YES_Writing_ELA[#Data],YES_Writing_FLA[#Data]),MATCH($A349,_xlfn.VSTACK(YES_Writing_ELA[Student Number],YES_Writing_FLA[Student Number]),0),MATCH(VLOOKUP(E$7,'Writing Logic'!$J$7:$K$11,2,FALSE)&amp;" - Per "&amp;VLOOKUP($C$4,'Writing Logic'!$G$8:$H$14,2,FALSE),YES_Writing_ELA[#Headers],0)))="INS",'Writing Logic'!$B$7,IF(INDEX(_xlfn.VSTACK(YES_Writing_ELA[#Data],YES_Writing_FLA[#Data]),MATCH($A349,_xlfn.VSTACK(YES_Writing_ELA[Student Number],YES_Writing_FLA[Student Number]),0),MATCH(VLOOKUP(E$7,'Writing Logic'!$J$7:$K$11,2,FALSE)&amp;" - Per "&amp;VLOOKUP($C$4,'Writing Logic'!$G$8:$H$14,2,FALSE),YES_Writing_ELA[#Headers],0))=0,"",INDEX(_xlfn.VSTACK(YES_Writing_ELA[#Data],YES_Writing_FLA[#Data]),MATCH($A349,_xlfn.VSTACK(YES_Writing_ELA[Student Number],YES_Writing_FLA[Student Number]),0),MATCH(VLOOKUP(E$7,'Writing Logic'!$J$7:$K$11,2,FALSE)&amp;" - Per "&amp;VLOOKUP($C$4,'Writing Logic'!$G$8:$H$14,2,FALSE),YES_Writing_ELA[#Headers],0)))),"")</f>
        <v/>
      </c>
      <c r="F349" s="138" t="str">
        <f>IFERROR(IF(IF(INDEX(_xlfn.VSTACK(YES_Writing_ELA[#Data],YES_Writing_FLA[#Data]),MATCH($A349,_xlfn.VSTACK(YES_Writing_ELA[Student Number],YES_Writing_FLA[Student Number]),0),MATCH(VLOOKUP(F$7,'Writing Logic'!$J$7:$K$11,2,FALSE)&amp;" - Per "&amp;VLOOKUP($C$4,'Writing Logic'!$G$8:$H$14,2,FALSE),YES_Writing_ELA[#Headers],0))=0,"",INDEX(_xlfn.VSTACK(YES_Writing_ELA[#Data],YES_Writing_FLA[#Data]),MATCH($A349,_xlfn.VSTACK(YES_Writing_ELA[Student Number],YES_Writing_FLA[Student Number]),0),MATCH(VLOOKUP(F$7,'Writing Logic'!$J$7:$K$11,2,FALSE)&amp;" - Per "&amp;VLOOKUP($C$4,'Writing Logic'!$G$8:$H$14,2,FALSE),YES_Writing_ELA[#Headers],0)))="INS",'Writing Logic'!$B$7,IF(INDEX(_xlfn.VSTACK(YES_Writing_ELA[#Data],YES_Writing_FLA[#Data]),MATCH($A349,_xlfn.VSTACK(YES_Writing_ELA[Student Number],YES_Writing_FLA[Student Number]),0),MATCH(VLOOKUP(F$7,'Writing Logic'!$J$7:$K$11,2,FALSE)&amp;" - Per "&amp;VLOOKUP($C$4,'Writing Logic'!$G$8:$H$14,2,FALSE),YES_Writing_ELA[#Headers],0))=0,"",INDEX(_xlfn.VSTACK(YES_Writing_ELA[#Data],YES_Writing_FLA[#Data]),MATCH($A349,_xlfn.VSTACK(YES_Writing_ELA[Student Number],YES_Writing_FLA[Student Number]),0),MATCH(VLOOKUP(F$7,'Writing Logic'!$J$7:$K$11,2,FALSE)&amp;" - Per "&amp;VLOOKUP($C$4,'Writing Logic'!$G$8:$H$14,2,FALSE),YES_Writing_ELA[#Headers],0)))),"")</f>
        <v/>
      </c>
      <c r="G349" s="138" t="str">
        <f>IFERROR(IF(IF(INDEX(_xlfn.VSTACK(YES_Writing_ELA[#Data],YES_Writing_FLA[#Data]),MATCH($A349,_xlfn.VSTACK(YES_Writing_ELA[Student Number],YES_Writing_FLA[Student Number]),0),MATCH(VLOOKUP(G$7,'Writing Logic'!$J$7:$K$11,2,FALSE)&amp;" - Per "&amp;VLOOKUP($C$4,'Writing Logic'!$G$8:$H$14,2,FALSE),YES_Writing_ELA[#Headers],0))=0,"",INDEX(_xlfn.VSTACK(YES_Writing_ELA[#Data],YES_Writing_FLA[#Data]),MATCH($A349,_xlfn.VSTACK(YES_Writing_ELA[Student Number],YES_Writing_FLA[Student Number]),0),MATCH(VLOOKUP(G$7,'Writing Logic'!$J$7:$K$11,2,FALSE)&amp;" - Per "&amp;VLOOKUP($C$4,'Writing Logic'!$G$8:$H$14,2,FALSE),YES_Writing_ELA[#Headers],0)))="INS",'Writing Logic'!$B$7,IF(INDEX(_xlfn.VSTACK(YES_Writing_ELA[#Data],YES_Writing_FLA[#Data]),MATCH($A349,_xlfn.VSTACK(YES_Writing_ELA[Student Number],YES_Writing_FLA[Student Number]),0),MATCH(VLOOKUP(G$7,'Writing Logic'!$J$7:$K$11,2,FALSE)&amp;" - Per "&amp;VLOOKUP($C$4,'Writing Logic'!$G$8:$H$14,2,FALSE),YES_Writing_ELA[#Headers],0))=0,"",INDEX(_xlfn.VSTACK(YES_Writing_ELA[#Data],YES_Writing_FLA[#Data]),MATCH($A349,_xlfn.VSTACK(YES_Writing_ELA[Student Number],YES_Writing_FLA[Student Number]),0),MATCH(VLOOKUP(G$7,'Writing Logic'!$J$7:$K$11,2,FALSE)&amp;" - Per "&amp;VLOOKUP($C$4,'Writing Logic'!$G$8:$H$14,2,FALSE),YES_Writing_ELA[#Headers],0)))),"")</f>
        <v/>
      </c>
      <c r="H349" s="223" t="str">
        <f>IFERROR(IF(IF(INDEX(_xlfn.VSTACK(YES_Writing_ELA[#Data],YES_Writing_FLA[#Data]),MATCH($A349,_xlfn.VSTACK(YES_Writing_ELA[Student Number],YES_Writing_FLA[Student Number]),0),MATCH(VLOOKUP(H$7,'Writing Logic'!$J$7:$K$11,2,FALSE)&amp;" - Per "&amp;VLOOKUP($C$4,'Writing Logic'!$G$8:$H$14,2,FALSE),YES_Writing_ELA[#Headers],0))=0,"",INDEX(_xlfn.VSTACK(YES_Writing_ELA[#Data],YES_Writing_FLA[#Data]),MATCH($A349,_xlfn.VSTACK(YES_Writing_ELA[Student Number],YES_Writing_FLA[Student Number]),0),MATCH(VLOOKUP(H$7,'Writing Logic'!$J$7:$K$11,2,FALSE)&amp;" - Per "&amp;VLOOKUP($C$4,'Writing Logic'!$G$8:$H$14,2,FALSE),YES_Writing_ELA[#Headers],0)))="INS",'Writing Logic'!$B$7,IF(INDEX(_xlfn.VSTACK(YES_Writing_ELA[#Data],YES_Writing_FLA[#Data]),MATCH($A349,_xlfn.VSTACK(YES_Writing_ELA[Student Number],YES_Writing_FLA[Student Number]),0),MATCH(VLOOKUP(H$7,'Writing Logic'!$J$7:$K$11,2,FALSE)&amp;" - Per "&amp;VLOOKUP($C$4,'Writing Logic'!$G$8:$H$14,2,FALSE),YES_Writing_ELA[#Headers],0))=0,"",INDEX(_xlfn.VSTACK(YES_Writing_ELA[#Data],YES_Writing_FLA[#Data]),MATCH($A349,_xlfn.VSTACK(YES_Writing_ELA[Student Number],YES_Writing_FLA[Student Number]),0),MATCH(VLOOKUP(H$7,'Writing Logic'!$J$7:$K$11,2,FALSE)&amp;" - Per "&amp;VLOOKUP($C$4,'Writing Logic'!$G$8:$H$14,2,FALSE),YES_Writing_ELA[#Headers],0)))),"")</f>
        <v/>
      </c>
      <c r="I349" s="224" t="str" cm="1">
        <f t="array" aca="1" ref="I349" ca="1">IFERROR(
IF($G$3="ELA",
IF(VLOOKUP($A349, YES_Reading_ELA[], COLUMN(INDIRECT("YES_Reading_ELA[Difference - Per "&amp;VLOOKUP($G$4, 'Reading Report Logic'!$A$2:$B$8, 2, FALSE)&amp;"]")), FALSE)="", "",
VLOOKUP($A349,YES_Reading_ELA[], COLUMN(INDIRECT("YES_Reading_ELA[Difference - Per "&amp;VLOOKUP($G$4,'Reading Report Logic'!$A$2:$B$8,2,FALSE)&amp;"]")), FALSE)),
IF($G$3="FLA",
IF(VLOOKUP($A349, YES_Reading_FLA[], COLUMN(INDIRECT("YES_Reading_FLA[Difference - Per "&amp;VLOOKUP($G$4,'Reading Report Logic'!$A$2:$B$8,2,FALSE)&amp;"]")),FALSE)="","",
VLOOKUP($A349,YES_Reading_FLA[],COLUMN(INDIRECT("YES_Reading_FLA[Difference - Per "&amp;VLOOKUP($G$4,'Reading Report Logic'!$A$2:$B$8,2,FALSE)&amp;"]")),FALSE)),
IF($G$3="Combined",
IFERROR(
IF(VLOOKUP($A349, YES_Reading_ELA[], COLUMN(INDIRECT("YES_Reading_ELA[Difference - Per "&amp;VLOOKUP($G$4, 'Reading Report Logic'!$A$2:$B$8,2,FALSE)&amp;"]")), FALSE)="", "",
VLOOKUP($A349,YES_Reading_ELA[],COLUMN(INDIRECT("YES_Reading_ELA[Difference - Per "&amp;VLOOKUP($G$4,'Reading Report Logic'!$A$2:$B$8,2,FALSE)&amp;"]")),FALSE)),
IF(VLOOKUP($A349, YES_Reading_FLA[], COLUMN(INDIRECT("YES_Reading_FLA[Difference - Per "&amp;VLOOKUP($G$4, 'Reading Report Logic'!$A$2:$B$8, 2, FALSE)&amp;"]")),FALSE)="", "", VLOOKUP($A349,YES_Reading_FLA[],COLUMN(INDIRECT("YES_Reading_FLA[Difference - Per "&amp;VLOOKUP($G$4, 'Reading Report Logic'!$A$2:$B$8, 2, FALSE)&amp;"]")),FALSE))),""))),"")</f>
        <v/>
      </c>
    </row>
    <row r="350" spans="1:9" x14ac:dyDescent="0.25">
      <c r="A350" s="137"/>
      <c r="B350" s="137" t="str">
        <f>IFERROR(INDEX(_xlfn.VSTACK(YES_Writing_ELA[#Data], YES_Writing_FLA[#Data]),MATCH($A350,_xlfn.VSTACK(YES_Writing_ELA[Student Number], YES_Writing_FLA[Student Number]),0),MATCH(B$7,YES_Writing_ELA[#Headers],0)),IFERROR(INDEX(_xlfn.VSTACK(YES_Reading_ELA[#Data], YES_Reading_FLA[#Data]),MATCH($A350,_xlfn.VSTACK(YES_Reading_ELA[Student Number], YES_Reading_FLA[Student Number]),0),MATCH(B$7,YES_Reading_ELA[#Headers],0)),""))</f>
        <v/>
      </c>
      <c r="C350" s="137" t="str">
        <f>IFERROR(INDEX(_xlfn.VSTACK(YES_Writing_ELA[#Data], YES_Writing_FLA[#Data]),MATCH($A350,_xlfn.VSTACK(YES_Writing_ELA[Student Number], YES_Writing_FLA[Student Number]),0),MATCH(C$7,YES_Writing_ELA[#Headers],0)),IFERROR(INDEX(_xlfn.VSTACK(YES_Reading_ELA[#Data], YES_Reading_FLA[#Data]),MATCH($A350,_xlfn.VSTACK(YES_Reading_ELA[Student Number], YES_Reading_FLA[Student Number]),0),MATCH(C$7,YES_Reading_ELA[#Headers],0)),""))</f>
        <v/>
      </c>
      <c r="D350" s="138" t="str">
        <f>IFERROR(IF(IF(INDEX(_xlfn.VSTACK(YES_Writing_ELA[#Data],YES_Writing_FLA[#Data]),MATCH($A350,_xlfn.VSTACK(YES_Writing_ELA[Student Number],YES_Writing_FLA[Student Number]),0),MATCH(VLOOKUP(D$7,'Writing Logic'!$J$7:$K$11,2,FALSE)&amp;" - Per "&amp;VLOOKUP($C$4,'Writing Logic'!$G$8:$H$14,2,FALSE),YES_Writing_ELA[#Headers],0))=0,"",INDEX(_xlfn.VSTACK(YES_Writing_ELA[#Data],YES_Writing_FLA[#Data]),MATCH($A350,_xlfn.VSTACK(YES_Writing_ELA[Student Number],YES_Writing_FLA[Student Number]),0),MATCH(VLOOKUP(D$7,'Writing Logic'!$J$7:$K$11,2,FALSE)&amp;" - Per "&amp;VLOOKUP($C$4,'Writing Logic'!$G$8:$H$14,2,FALSE),YES_Writing_ELA[#Headers],0)))="INS",'Writing Logic'!$B$7,IF(INDEX(_xlfn.VSTACK(YES_Writing_ELA[#Data],YES_Writing_FLA[#Data]),MATCH($A350,_xlfn.VSTACK(YES_Writing_ELA[Student Number],YES_Writing_FLA[Student Number]),0),MATCH(VLOOKUP(D$7,'Writing Logic'!$J$7:$K$11,2,FALSE)&amp;" - Per "&amp;VLOOKUP($C$4,'Writing Logic'!$G$8:$H$14,2,FALSE),YES_Writing_ELA[#Headers],0))=0,"",INDEX(_xlfn.VSTACK(YES_Writing_ELA[#Data],YES_Writing_FLA[#Data]),MATCH($A350,_xlfn.VSTACK(YES_Writing_ELA[Student Number],YES_Writing_FLA[Student Number]),0),MATCH(VLOOKUP(D$7,'Writing Logic'!$J$7:$K$11,2,FALSE)&amp;" - Per "&amp;VLOOKUP($C$4,'Writing Logic'!$G$8:$H$14,2,FALSE),YES_Writing_ELA[#Headers],0)))),"")</f>
        <v/>
      </c>
      <c r="E350" s="138" t="str">
        <f>IFERROR(IF(IF(INDEX(_xlfn.VSTACK(YES_Writing_ELA[#Data],YES_Writing_FLA[#Data]),MATCH($A350,_xlfn.VSTACK(YES_Writing_ELA[Student Number],YES_Writing_FLA[Student Number]),0),MATCH(VLOOKUP(E$7,'Writing Logic'!$J$7:$K$11,2,FALSE)&amp;" - Per "&amp;VLOOKUP($C$4,'Writing Logic'!$G$8:$H$14,2,FALSE),YES_Writing_ELA[#Headers],0))=0,"",INDEX(_xlfn.VSTACK(YES_Writing_ELA[#Data],YES_Writing_FLA[#Data]),MATCH($A350,_xlfn.VSTACK(YES_Writing_ELA[Student Number],YES_Writing_FLA[Student Number]),0),MATCH(VLOOKUP(E$7,'Writing Logic'!$J$7:$K$11,2,FALSE)&amp;" - Per "&amp;VLOOKUP($C$4,'Writing Logic'!$G$8:$H$14,2,FALSE),YES_Writing_ELA[#Headers],0)))="INS",'Writing Logic'!$B$7,IF(INDEX(_xlfn.VSTACK(YES_Writing_ELA[#Data],YES_Writing_FLA[#Data]),MATCH($A350,_xlfn.VSTACK(YES_Writing_ELA[Student Number],YES_Writing_FLA[Student Number]),0),MATCH(VLOOKUP(E$7,'Writing Logic'!$J$7:$K$11,2,FALSE)&amp;" - Per "&amp;VLOOKUP($C$4,'Writing Logic'!$G$8:$H$14,2,FALSE),YES_Writing_ELA[#Headers],0))=0,"",INDEX(_xlfn.VSTACK(YES_Writing_ELA[#Data],YES_Writing_FLA[#Data]),MATCH($A350,_xlfn.VSTACK(YES_Writing_ELA[Student Number],YES_Writing_FLA[Student Number]),0),MATCH(VLOOKUP(E$7,'Writing Logic'!$J$7:$K$11,2,FALSE)&amp;" - Per "&amp;VLOOKUP($C$4,'Writing Logic'!$G$8:$H$14,2,FALSE),YES_Writing_ELA[#Headers],0)))),"")</f>
        <v/>
      </c>
      <c r="F350" s="138" t="str">
        <f>IFERROR(IF(IF(INDEX(_xlfn.VSTACK(YES_Writing_ELA[#Data],YES_Writing_FLA[#Data]),MATCH($A350,_xlfn.VSTACK(YES_Writing_ELA[Student Number],YES_Writing_FLA[Student Number]),0),MATCH(VLOOKUP(F$7,'Writing Logic'!$J$7:$K$11,2,FALSE)&amp;" - Per "&amp;VLOOKUP($C$4,'Writing Logic'!$G$8:$H$14,2,FALSE),YES_Writing_ELA[#Headers],0))=0,"",INDEX(_xlfn.VSTACK(YES_Writing_ELA[#Data],YES_Writing_FLA[#Data]),MATCH($A350,_xlfn.VSTACK(YES_Writing_ELA[Student Number],YES_Writing_FLA[Student Number]),0),MATCH(VLOOKUP(F$7,'Writing Logic'!$J$7:$K$11,2,FALSE)&amp;" - Per "&amp;VLOOKUP($C$4,'Writing Logic'!$G$8:$H$14,2,FALSE),YES_Writing_ELA[#Headers],0)))="INS",'Writing Logic'!$B$7,IF(INDEX(_xlfn.VSTACK(YES_Writing_ELA[#Data],YES_Writing_FLA[#Data]),MATCH($A350,_xlfn.VSTACK(YES_Writing_ELA[Student Number],YES_Writing_FLA[Student Number]),0),MATCH(VLOOKUP(F$7,'Writing Logic'!$J$7:$K$11,2,FALSE)&amp;" - Per "&amp;VLOOKUP($C$4,'Writing Logic'!$G$8:$H$14,2,FALSE),YES_Writing_ELA[#Headers],0))=0,"",INDEX(_xlfn.VSTACK(YES_Writing_ELA[#Data],YES_Writing_FLA[#Data]),MATCH($A350,_xlfn.VSTACK(YES_Writing_ELA[Student Number],YES_Writing_FLA[Student Number]),0),MATCH(VLOOKUP(F$7,'Writing Logic'!$J$7:$K$11,2,FALSE)&amp;" - Per "&amp;VLOOKUP($C$4,'Writing Logic'!$G$8:$H$14,2,FALSE),YES_Writing_ELA[#Headers],0)))),"")</f>
        <v/>
      </c>
      <c r="G350" s="138" t="str">
        <f>IFERROR(IF(IF(INDEX(_xlfn.VSTACK(YES_Writing_ELA[#Data],YES_Writing_FLA[#Data]),MATCH($A350,_xlfn.VSTACK(YES_Writing_ELA[Student Number],YES_Writing_FLA[Student Number]),0),MATCH(VLOOKUP(G$7,'Writing Logic'!$J$7:$K$11,2,FALSE)&amp;" - Per "&amp;VLOOKUP($C$4,'Writing Logic'!$G$8:$H$14,2,FALSE),YES_Writing_ELA[#Headers],0))=0,"",INDEX(_xlfn.VSTACK(YES_Writing_ELA[#Data],YES_Writing_FLA[#Data]),MATCH($A350,_xlfn.VSTACK(YES_Writing_ELA[Student Number],YES_Writing_FLA[Student Number]),0),MATCH(VLOOKUP(G$7,'Writing Logic'!$J$7:$K$11,2,FALSE)&amp;" - Per "&amp;VLOOKUP($C$4,'Writing Logic'!$G$8:$H$14,2,FALSE),YES_Writing_ELA[#Headers],0)))="INS",'Writing Logic'!$B$7,IF(INDEX(_xlfn.VSTACK(YES_Writing_ELA[#Data],YES_Writing_FLA[#Data]),MATCH($A350,_xlfn.VSTACK(YES_Writing_ELA[Student Number],YES_Writing_FLA[Student Number]),0),MATCH(VLOOKUP(G$7,'Writing Logic'!$J$7:$K$11,2,FALSE)&amp;" - Per "&amp;VLOOKUP($C$4,'Writing Logic'!$G$8:$H$14,2,FALSE),YES_Writing_ELA[#Headers],0))=0,"",INDEX(_xlfn.VSTACK(YES_Writing_ELA[#Data],YES_Writing_FLA[#Data]),MATCH($A350,_xlfn.VSTACK(YES_Writing_ELA[Student Number],YES_Writing_FLA[Student Number]),0),MATCH(VLOOKUP(G$7,'Writing Logic'!$J$7:$K$11,2,FALSE)&amp;" - Per "&amp;VLOOKUP($C$4,'Writing Logic'!$G$8:$H$14,2,FALSE),YES_Writing_ELA[#Headers],0)))),"")</f>
        <v/>
      </c>
      <c r="H350" s="223" t="str">
        <f>IFERROR(IF(IF(INDEX(_xlfn.VSTACK(YES_Writing_ELA[#Data],YES_Writing_FLA[#Data]),MATCH($A350,_xlfn.VSTACK(YES_Writing_ELA[Student Number],YES_Writing_FLA[Student Number]),0),MATCH(VLOOKUP(H$7,'Writing Logic'!$J$7:$K$11,2,FALSE)&amp;" - Per "&amp;VLOOKUP($C$4,'Writing Logic'!$G$8:$H$14,2,FALSE),YES_Writing_ELA[#Headers],0))=0,"",INDEX(_xlfn.VSTACK(YES_Writing_ELA[#Data],YES_Writing_FLA[#Data]),MATCH($A350,_xlfn.VSTACK(YES_Writing_ELA[Student Number],YES_Writing_FLA[Student Number]),0),MATCH(VLOOKUP(H$7,'Writing Logic'!$J$7:$K$11,2,FALSE)&amp;" - Per "&amp;VLOOKUP($C$4,'Writing Logic'!$G$8:$H$14,2,FALSE),YES_Writing_ELA[#Headers],0)))="INS",'Writing Logic'!$B$7,IF(INDEX(_xlfn.VSTACK(YES_Writing_ELA[#Data],YES_Writing_FLA[#Data]),MATCH($A350,_xlfn.VSTACK(YES_Writing_ELA[Student Number],YES_Writing_FLA[Student Number]),0),MATCH(VLOOKUP(H$7,'Writing Logic'!$J$7:$K$11,2,FALSE)&amp;" - Per "&amp;VLOOKUP($C$4,'Writing Logic'!$G$8:$H$14,2,FALSE),YES_Writing_ELA[#Headers],0))=0,"",INDEX(_xlfn.VSTACK(YES_Writing_ELA[#Data],YES_Writing_FLA[#Data]),MATCH($A350,_xlfn.VSTACK(YES_Writing_ELA[Student Number],YES_Writing_FLA[Student Number]),0),MATCH(VLOOKUP(H$7,'Writing Logic'!$J$7:$K$11,2,FALSE)&amp;" - Per "&amp;VLOOKUP($C$4,'Writing Logic'!$G$8:$H$14,2,FALSE),YES_Writing_ELA[#Headers],0)))),"")</f>
        <v/>
      </c>
      <c r="I350" s="224" t="str" cm="1">
        <f t="array" aca="1" ref="I350" ca="1">IFERROR(
IF($G$3="ELA",
IF(VLOOKUP($A350, YES_Reading_ELA[], COLUMN(INDIRECT("YES_Reading_ELA[Difference - Per "&amp;VLOOKUP($G$4, 'Reading Report Logic'!$A$2:$B$8, 2, FALSE)&amp;"]")), FALSE)="", "",
VLOOKUP($A350,YES_Reading_ELA[], COLUMN(INDIRECT("YES_Reading_ELA[Difference - Per "&amp;VLOOKUP($G$4,'Reading Report Logic'!$A$2:$B$8,2,FALSE)&amp;"]")), FALSE)),
IF($G$3="FLA",
IF(VLOOKUP($A350, YES_Reading_FLA[], COLUMN(INDIRECT("YES_Reading_FLA[Difference - Per "&amp;VLOOKUP($G$4,'Reading Report Logic'!$A$2:$B$8,2,FALSE)&amp;"]")),FALSE)="","",
VLOOKUP($A350,YES_Reading_FLA[],COLUMN(INDIRECT("YES_Reading_FLA[Difference - Per "&amp;VLOOKUP($G$4,'Reading Report Logic'!$A$2:$B$8,2,FALSE)&amp;"]")),FALSE)),
IF($G$3="Combined",
IFERROR(
IF(VLOOKUP($A350, YES_Reading_ELA[], COLUMN(INDIRECT("YES_Reading_ELA[Difference - Per "&amp;VLOOKUP($G$4, 'Reading Report Logic'!$A$2:$B$8,2,FALSE)&amp;"]")), FALSE)="", "",
VLOOKUP($A350,YES_Reading_ELA[],COLUMN(INDIRECT("YES_Reading_ELA[Difference - Per "&amp;VLOOKUP($G$4,'Reading Report Logic'!$A$2:$B$8,2,FALSE)&amp;"]")),FALSE)),
IF(VLOOKUP($A350, YES_Reading_FLA[], COLUMN(INDIRECT("YES_Reading_FLA[Difference - Per "&amp;VLOOKUP($G$4, 'Reading Report Logic'!$A$2:$B$8, 2, FALSE)&amp;"]")),FALSE)="", "", VLOOKUP($A350,YES_Reading_FLA[],COLUMN(INDIRECT("YES_Reading_FLA[Difference - Per "&amp;VLOOKUP($G$4, 'Reading Report Logic'!$A$2:$B$8, 2, FALSE)&amp;"]")),FALSE))),""))),"")</f>
        <v/>
      </c>
    </row>
    <row r="351" spans="1:9" x14ac:dyDescent="0.25">
      <c r="A351" s="137"/>
      <c r="B351" s="137" t="str">
        <f>IFERROR(INDEX(_xlfn.VSTACK(YES_Writing_ELA[#Data], YES_Writing_FLA[#Data]),MATCH($A351,_xlfn.VSTACK(YES_Writing_ELA[Student Number], YES_Writing_FLA[Student Number]),0),MATCH(B$7,YES_Writing_ELA[#Headers],0)),IFERROR(INDEX(_xlfn.VSTACK(YES_Reading_ELA[#Data], YES_Reading_FLA[#Data]),MATCH($A351,_xlfn.VSTACK(YES_Reading_ELA[Student Number], YES_Reading_FLA[Student Number]),0),MATCH(B$7,YES_Reading_ELA[#Headers],0)),""))</f>
        <v/>
      </c>
      <c r="C351" s="137" t="str">
        <f>IFERROR(INDEX(_xlfn.VSTACK(YES_Writing_ELA[#Data], YES_Writing_FLA[#Data]),MATCH($A351,_xlfn.VSTACK(YES_Writing_ELA[Student Number], YES_Writing_FLA[Student Number]),0),MATCH(C$7,YES_Writing_ELA[#Headers],0)),IFERROR(INDEX(_xlfn.VSTACK(YES_Reading_ELA[#Data], YES_Reading_FLA[#Data]),MATCH($A351,_xlfn.VSTACK(YES_Reading_ELA[Student Number], YES_Reading_FLA[Student Number]),0),MATCH(C$7,YES_Reading_ELA[#Headers],0)),""))</f>
        <v/>
      </c>
      <c r="D351" s="138" t="str">
        <f>IFERROR(IF(IF(INDEX(_xlfn.VSTACK(YES_Writing_ELA[#Data],YES_Writing_FLA[#Data]),MATCH($A351,_xlfn.VSTACK(YES_Writing_ELA[Student Number],YES_Writing_FLA[Student Number]),0),MATCH(VLOOKUP(D$7,'Writing Logic'!$J$7:$K$11,2,FALSE)&amp;" - Per "&amp;VLOOKUP($C$4,'Writing Logic'!$G$8:$H$14,2,FALSE),YES_Writing_ELA[#Headers],0))=0,"",INDEX(_xlfn.VSTACK(YES_Writing_ELA[#Data],YES_Writing_FLA[#Data]),MATCH($A351,_xlfn.VSTACK(YES_Writing_ELA[Student Number],YES_Writing_FLA[Student Number]),0),MATCH(VLOOKUP(D$7,'Writing Logic'!$J$7:$K$11,2,FALSE)&amp;" - Per "&amp;VLOOKUP($C$4,'Writing Logic'!$G$8:$H$14,2,FALSE),YES_Writing_ELA[#Headers],0)))="INS",'Writing Logic'!$B$7,IF(INDEX(_xlfn.VSTACK(YES_Writing_ELA[#Data],YES_Writing_FLA[#Data]),MATCH($A351,_xlfn.VSTACK(YES_Writing_ELA[Student Number],YES_Writing_FLA[Student Number]),0),MATCH(VLOOKUP(D$7,'Writing Logic'!$J$7:$K$11,2,FALSE)&amp;" - Per "&amp;VLOOKUP($C$4,'Writing Logic'!$G$8:$H$14,2,FALSE),YES_Writing_ELA[#Headers],0))=0,"",INDEX(_xlfn.VSTACK(YES_Writing_ELA[#Data],YES_Writing_FLA[#Data]),MATCH($A351,_xlfn.VSTACK(YES_Writing_ELA[Student Number],YES_Writing_FLA[Student Number]),0),MATCH(VLOOKUP(D$7,'Writing Logic'!$J$7:$K$11,2,FALSE)&amp;" - Per "&amp;VLOOKUP($C$4,'Writing Logic'!$G$8:$H$14,2,FALSE),YES_Writing_ELA[#Headers],0)))),"")</f>
        <v/>
      </c>
      <c r="E351" s="138" t="str">
        <f>IFERROR(IF(IF(INDEX(_xlfn.VSTACK(YES_Writing_ELA[#Data],YES_Writing_FLA[#Data]),MATCH($A351,_xlfn.VSTACK(YES_Writing_ELA[Student Number],YES_Writing_FLA[Student Number]),0),MATCH(VLOOKUP(E$7,'Writing Logic'!$J$7:$K$11,2,FALSE)&amp;" - Per "&amp;VLOOKUP($C$4,'Writing Logic'!$G$8:$H$14,2,FALSE),YES_Writing_ELA[#Headers],0))=0,"",INDEX(_xlfn.VSTACK(YES_Writing_ELA[#Data],YES_Writing_FLA[#Data]),MATCH($A351,_xlfn.VSTACK(YES_Writing_ELA[Student Number],YES_Writing_FLA[Student Number]),0),MATCH(VLOOKUP(E$7,'Writing Logic'!$J$7:$K$11,2,FALSE)&amp;" - Per "&amp;VLOOKUP($C$4,'Writing Logic'!$G$8:$H$14,2,FALSE),YES_Writing_ELA[#Headers],0)))="INS",'Writing Logic'!$B$7,IF(INDEX(_xlfn.VSTACK(YES_Writing_ELA[#Data],YES_Writing_FLA[#Data]),MATCH($A351,_xlfn.VSTACK(YES_Writing_ELA[Student Number],YES_Writing_FLA[Student Number]),0),MATCH(VLOOKUP(E$7,'Writing Logic'!$J$7:$K$11,2,FALSE)&amp;" - Per "&amp;VLOOKUP($C$4,'Writing Logic'!$G$8:$H$14,2,FALSE),YES_Writing_ELA[#Headers],0))=0,"",INDEX(_xlfn.VSTACK(YES_Writing_ELA[#Data],YES_Writing_FLA[#Data]),MATCH($A351,_xlfn.VSTACK(YES_Writing_ELA[Student Number],YES_Writing_FLA[Student Number]),0),MATCH(VLOOKUP(E$7,'Writing Logic'!$J$7:$K$11,2,FALSE)&amp;" - Per "&amp;VLOOKUP($C$4,'Writing Logic'!$G$8:$H$14,2,FALSE),YES_Writing_ELA[#Headers],0)))),"")</f>
        <v/>
      </c>
      <c r="F351" s="138" t="str">
        <f>IFERROR(IF(IF(INDEX(_xlfn.VSTACK(YES_Writing_ELA[#Data],YES_Writing_FLA[#Data]),MATCH($A351,_xlfn.VSTACK(YES_Writing_ELA[Student Number],YES_Writing_FLA[Student Number]),0),MATCH(VLOOKUP(F$7,'Writing Logic'!$J$7:$K$11,2,FALSE)&amp;" - Per "&amp;VLOOKUP($C$4,'Writing Logic'!$G$8:$H$14,2,FALSE),YES_Writing_ELA[#Headers],0))=0,"",INDEX(_xlfn.VSTACK(YES_Writing_ELA[#Data],YES_Writing_FLA[#Data]),MATCH($A351,_xlfn.VSTACK(YES_Writing_ELA[Student Number],YES_Writing_FLA[Student Number]),0),MATCH(VLOOKUP(F$7,'Writing Logic'!$J$7:$K$11,2,FALSE)&amp;" - Per "&amp;VLOOKUP($C$4,'Writing Logic'!$G$8:$H$14,2,FALSE),YES_Writing_ELA[#Headers],0)))="INS",'Writing Logic'!$B$7,IF(INDEX(_xlfn.VSTACK(YES_Writing_ELA[#Data],YES_Writing_FLA[#Data]),MATCH($A351,_xlfn.VSTACK(YES_Writing_ELA[Student Number],YES_Writing_FLA[Student Number]),0),MATCH(VLOOKUP(F$7,'Writing Logic'!$J$7:$K$11,2,FALSE)&amp;" - Per "&amp;VLOOKUP($C$4,'Writing Logic'!$G$8:$H$14,2,FALSE),YES_Writing_ELA[#Headers],0))=0,"",INDEX(_xlfn.VSTACK(YES_Writing_ELA[#Data],YES_Writing_FLA[#Data]),MATCH($A351,_xlfn.VSTACK(YES_Writing_ELA[Student Number],YES_Writing_FLA[Student Number]),0),MATCH(VLOOKUP(F$7,'Writing Logic'!$J$7:$K$11,2,FALSE)&amp;" - Per "&amp;VLOOKUP($C$4,'Writing Logic'!$G$8:$H$14,2,FALSE),YES_Writing_ELA[#Headers],0)))),"")</f>
        <v/>
      </c>
      <c r="G351" s="138" t="str">
        <f>IFERROR(IF(IF(INDEX(_xlfn.VSTACK(YES_Writing_ELA[#Data],YES_Writing_FLA[#Data]),MATCH($A351,_xlfn.VSTACK(YES_Writing_ELA[Student Number],YES_Writing_FLA[Student Number]),0),MATCH(VLOOKUP(G$7,'Writing Logic'!$J$7:$K$11,2,FALSE)&amp;" - Per "&amp;VLOOKUP($C$4,'Writing Logic'!$G$8:$H$14,2,FALSE),YES_Writing_ELA[#Headers],0))=0,"",INDEX(_xlfn.VSTACK(YES_Writing_ELA[#Data],YES_Writing_FLA[#Data]),MATCH($A351,_xlfn.VSTACK(YES_Writing_ELA[Student Number],YES_Writing_FLA[Student Number]),0),MATCH(VLOOKUP(G$7,'Writing Logic'!$J$7:$K$11,2,FALSE)&amp;" - Per "&amp;VLOOKUP($C$4,'Writing Logic'!$G$8:$H$14,2,FALSE),YES_Writing_ELA[#Headers],0)))="INS",'Writing Logic'!$B$7,IF(INDEX(_xlfn.VSTACK(YES_Writing_ELA[#Data],YES_Writing_FLA[#Data]),MATCH($A351,_xlfn.VSTACK(YES_Writing_ELA[Student Number],YES_Writing_FLA[Student Number]),0),MATCH(VLOOKUP(G$7,'Writing Logic'!$J$7:$K$11,2,FALSE)&amp;" - Per "&amp;VLOOKUP($C$4,'Writing Logic'!$G$8:$H$14,2,FALSE),YES_Writing_ELA[#Headers],0))=0,"",INDEX(_xlfn.VSTACK(YES_Writing_ELA[#Data],YES_Writing_FLA[#Data]),MATCH($A351,_xlfn.VSTACK(YES_Writing_ELA[Student Number],YES_Writing_FLA[Student Number]),0),MATCH(VLOOKUP(G$7,'Writing Logic'!$J$7:$K$11,2,FALSE)&amp;" - Per "&amp;VLOOKUP($C$4,'Writing Logic'!$G$8:$H$14,2,FALSE),YES_Writing_ELA[#Headers],0)))),"")</f>
        <v/>
      </c>
      <c r="H351" s="223" t="str">
        <f>IFERROR(IF(IF(INDEX(_xlfn.VSTACK(YES_Writing_ELA[#Data],YES_Writing_FLA[#Data]),MATCH($A351,_xlfn.VSTACK(YES_Writing_ELA[Student Number],YES_Writing_FLA[Student Number]),0),MATCH(VLOOKUP(H$7,'Writing Logic'!$J$7:$K$11,2,FALSE)&amp;" - Per "&amp;VLOOKUP($C$4,'Writing Logic'!$G$8:$H$14,2,FALSE),YES_Writing_ELA[#Headers],0))=0,"",INDEX(_xlfn.VSTACK(YES_Writing_ELA[#Data],YES_Writing_FLA[#Data]),MATCH($A351,_xlfn.VSTACK(YES_Writing_ELA[Student Number],YES_Writing_FLA[Student Number]),0),MATCH(VLOOKUP(H$7,'Writing Logic'!$J$7:$K$11,2,FALSE)&amp;" - Per "&amp;VLOOKUP($C$4,'Writing Logic'!$G$8:$H$14,2,FALSE),YES_Writing_ELA[#Headers],0)))="INS",'Writing Logic'!$B$7,IF(INDEX(_xlfn.VSTACK(YES_Writing_ELA[#Data],YES_Writing_FLA[#Data]),MATCH($A351,_xlfn.VSTACK(YES_Writing_ELA[Student Number],YES_Writing_FLA[Student Number]),0),MATCH(VLOOKUP(H$7,'Writing Logic'!$J$7:$K$11,2,FALSE)&amp;" - Per "&amp;VLOOKUP($C$4,'Writing Logic'!$G$8:$H$14,2,FALSE),YES_Writing_ELA[#Headers],0))=0,"",INDEX(_xlfn.VSTACK(YES_Writing_ELA[#Data],YES_Writing_FLA[#Data]),MATCH($A351,_xlfn.VSTACK(YES_Writing_ELA[Student Number],YES_Writing_FLA[Student Number]),0),MATCH(VLOOKUP(H$7,'Writing Logic'!$J$7:$K$11,2,FALSE)&amp;" - Per "&amp;VLOOKUP($C$4,'Writing Logic'!$G$8:$H$14,2,FALSE),YES_Writing_ELA[#Headers],0)))),"")</f>
        <v/>
      </c>
      <c r="I351" s="224" t="str" cm="1">
        <f t="array" aca="1" ref="I351" ca="1">IFERROR(
IF($G$3="ELA",
IF(VLOOKUP($A351, YES_Reading_ELA[], COLUMN(INDIRECT("YES_Reading_ELA[Difference - Per "&amp;VLOOKUP($G$4, 'Reading Report Logic'!$A$2:$B$8, 2, FALSE)&amp;"]")), FALSE)="", "",
VLOOKUP($A351,YES_Reading_ELA[], COLUMN(INDIRECT("YES_Reading_ELA[Difference - Per "&amp;VLOOKUP($G$4,'Reading Report Logic'!$A$2:$B$8,2,FALSE)&amp;"]")), FALSE)),
IF($G$3="FLA",
IF(VLOOKUP($A351, YES_Reading_FLA[], COLUMN(INDIRECT("YES_Reading_FLA[Difference - Per "&amp;VLOOKUP($G$4,'Reading Report Logic'!$A$2:$B$8,2,FALSE)&amp;"]")),FALSE)="","",
VLOOKUP($A351,YES_Reading_FLA[],COLUMN(INDIRECT("YES_Reading_FLA[Difference - Per "&amp;VLOOKUP($G$4,'Reading Report Logic'!$A$2:$B$8,2,FALSE)&amp;"]")),FALSE)),
IF($G$3="Combined",
IFERROR(
IF(VLOOKUP($A351, YES_Reading_ELA[], COLUMN(INDIRECT("YES_Reading_ELA[Difference - Per "&amp;VLOOKUP($G$4, 'Reading Report Logic'!$A$2:$B$8,2,FALSE)&amp;"]")), FALSE)="", "",
VLOOKUP($A351,YES_Reading_ELA[],COLUMN(INDIRECT("YES_Reading_ELA[Difference - Per "&amp;VLOOKUP($G$4,'Reading Report Logic'!$A$2:$B$8,2,FALSE)&amp;"]")),FALSE)),
IF(VLOOKUP($A351, YES_Reading_FLA[], COLUMN(INDIRECT("YES_Reading_FLA[Difference - Per "&amp;VLOOKUP($G$4, 'Reading Report Logic'!$A$2:$B$8, 2, FALSE)&amp;"]")),FALSE)="", "", VLOOKUP($A351,YES_Reading_FLA[],COLUMN(INDIRECT("YES_Reading_FLA[Difference - Per "&amp;VLOOKUP($G$4, 'Reading Report Logic'!$A$2:$B$8, 2, FALSE)&amp;"]")),FALSE))),""))),"")</f>
        <v/>
      </c>
    </row>
    <row r="352" spans="1:9" x14ac:dyDescent="0.25">
      <c r="A352" s="137"/>
      <c r="B352" s="137" t="str">
        <f>IFERROR(INDEX(_xlfn.VSTACK(YES_Writing_ELA[#Data], YES_Writing_FLA[#Data]),MATCH($A352,_xlfn.VSTACK(YES_Writing_ELA[Student Number], YES_Writing_FLA[Student Number]),0),MATCH(B$7,YES_Writing_ELA[#Headers],0)),IFERROR(INDEX(_xlfn.VSTACK(YES_Reading_ELA[#Data], YES_Reading_FLA[#Data]),MATCH($A352,_xlfn.VSTACK(YES_Reading_ELA[Student Number], YES_Reading_FLA[Student Number]),0),MATCH(B$7,YES_Reading_ELA[#Headers],0)),""))</f>
        <v/>
      </c>
      <c r="C352" s="137" t="str">
        <f>IFERROR(INDEX(_xlfn.VSTACK(YES_Writing_ELA[#Data], YES_Writing_FLA[#Data]),MATCH($A352,_xlfn.VSTACK(YES_Writing_ELA[Student Number], YES_Writing_FLA[Student Number]),0),MATCH(C$7,YES_Writing_ELA[#Headers],0)),IFERROR(INDEX(_xlfn.VSTACK(YES_Reading_ELA[#Data], YES_Reading_FLA[#Data]),MATCH($A352,_xlfn.VSTACK(YES_Reading_ELA[Student Number], YES_Reading_FLA[Student Number]),0),MATCH(C$7,YES_Reading_ELA[#Headers],0)),""))</f>
        <v/>
      </c>
      <c r="D352" s="138" t="str">
        <f>IFERROR(IF(IF(INDEX(_xlfn.VSTACK(YES_Writing_ELA[#Data],YES_Writing_FLA[#Data]),MATCH($A352,_xlfn.VSTACK(YES_Writing_ELA[Student Number],YES_Writing_FLA[Student Number]),0),MATCH(VLOOKUP(D$7,'Writing Logic'!$J$7:$K$11,2,FALSE)&amp;" - Per "&amp;VLOOKUP($C$4,'Writing Logic'!$G$8:$H$14,2,FALSE),YES_Writing_ELA[#Headers],0))=0,"",INDEX(_xlfn.VSTACK(YES_Writing_ELA[#Data],YES_Writing_FLA[#Data]),MATCH($A352,_xlfn.VSTACK(YES_Writing_ELA[Student Number],YES_Writing_FLA[Student Number]),0),MATCH(VLOOKUP(D$7,'Writing Logic'!$J$7:$K$11,2,FALSE)&amp;" - Per "&amp;VLOOKUP($C$4,'Writing Logic'!$G$8:$H$14,2,FALSE),YES_Writing_ELA[#Headers],0)))="INS",'Writing Logic'!$B$7,IF(INDEX(_xlfn.VSTACK(YES_Writing_ELA[#Data],YES_Writing_FLA[#Data]),MATCH($A352,_xlfn.VSTACK(YES_Writing_ELA[Student Number],YES_Writing_FLA[Student Number]),0),MATCH(VLOOKUP(D$7,'Writing Logic'!$J$7:$K$11,2,FALSE)&amp;" - Per "&amp;VLOOKUP($C$4,'Writing Logic'!$G$8:$H$14,2,FALSE),YES_Writing_ELA[#Headers],0))=0,"",INDEX(_xlfn.VSTACK(YES_Writing_ELA[#Data],YES_Writing_FLA[#Data]),MATCH($A352,_xlfn.VSTACK(YES_Writing_ELA[Student Number],YES_Writing_FLA[Student Number]),0),MATCH(VLOOKUP(D$7,'Writing Logic'!$J$7:$K$11,2,FALSE)&amp;" - Per "&amp;VLOOKUP($C$4,'Writing Logic'!$G$8:$H$14,2,FALSE),YES_Writing_ELA[#Headers],0)))),"")</f>
        <v/>
      </c>
      <c r="E352" s="138" t="str">
        <f>IFERROR(IF(IF(INDEX(_xlfn.VSTACK(YES_Writing_ELA[#Data],YES_Writing_FLA[#Data]),MATCH($A352,_xlfn.VSTACK(YES_Writing_ELA[Student Number],YES_Writing_FLA[Student Number]),0),MATCH(VLOOKUP(E$7,'Writing Logic'!$J$7:$K$11,2,FALSE)&amp;" - Per "&amp;VLOOKUP($C$4,'Writing Logic'!$G$8:$H$14,2,FALSE),YES_Writing_ELA[#Headers],0))=0,"",INDEX(_xlfn.VSTACK(YES_Writing_ELA[#Data],YES_Writing_FLA[#Data]),MATCH($A352,_xlfn.VSTACK(YES_Writing_ELA[Student Number],YES_Writing_FLA[Student Number]),0),MATCH(VLOOKUP(E$7,'Writing Logic'!$J$7:$K$11,2,FALSE)&amp;" - Per "&amp;VLOOKUP($C$4,'Writing Logic'!$G$8:$H$14,2,FALSE),YES_Writing_ELA[#Headers],0)))="INS",'Writing Logic'!$B$7,IF(INDEX(_xlfn.VSTACK(YES_Writing_ELA[#Data],YES_Writing_FLA[#Data]),MATCH($A352,_xlfn.VSTACK(YES_Writing_ELA[Student Number],YES_Writing_FLA[Student Number]),0),MATCH(VLOOKUP(E$7,'Writing Logic'!$J$7:$K$11,2,FALSE)&amp;" - Per "&amp;VLOOKUP($C$4,'Writing Logic'!$G$8:$H$14,2,FALSE),YES_Writing_ELA[#Headers],0))=0,"",INDEX(_xlfn.VSTACK(YES_Writing_ELA[#Data],YES_Writing_FLA[#Data]),MATCH($A352,_xlfn.VSTACK(YES_Writing_ELA[Student Number],YES_Writing_FLA[Student Number]),0),MATCH(VLOOKUP(E$7,'Writing Logic'!$J$7:$K$11,2,FALSE)&amp;" - Per "&amp;VLOOKUP($C$4,'Writing Logic'!$G$8:$H$14,2,FALSE),YES_Writing_ELA[#Headers],0)))),"")</f>
        <v/>
      </c>
      <c r="F352" s="138" t="str">
        <f>IFERROR(IF(IF(INDEX(_xlfn.VSTACK(YES_Writing_ELA[#Data],YES_Writing_FLA[#Data]),MATCH($A352,_xlfn.VSTACK(YES_Writing_ELA[Student Number],YES_Writing_FLA[Student Number]),0),MATCH(VLOOKUP(F$7,'Writing Logic'!$J$7:$K$11,2,FALSE)&amp;" - Per "&amp;VLOOKUP($C$4,'Writing Logic'!$G$8:$H$14,2,FALSE),YES_Writing_ELA[#Headers],0))=0,"",INDEX(_xlfn.VSTACK(YES_Writing_ELA[#Data],YES_Writing_FLA[#Data]),MATCH($A352,_xlfn.VSTACK(YES_Writing_ELA[Student Number],YES_Writing_FLA[Student Number]),0),MATCH(VLOOKUP(F$7,'Writing Logic'!$J$7:$K$11,2,FALSE)&amp;" - Per "&amp;VLOOKUP($C$4,'Writing Logic'!$G$8:$H$14,2,FALSE),YES_Writing_ELA[#Headers],0)))="INS",'Writing Logic'!$B$7,IF(INDEX(_xlfn.VSTACK(YES_Writing_ELA[#Data],YES_Writing_FLA[#Data]),MATCH($A352,_xlfn.VSTACK(YES_Writing_ELA[Student Number],YES_Writing_FLA[Student Number]),0),MATCH(VLOOKUP(F$7,'Writing Logic'!$J$7:$K$11,2,FALSE)&amp;" - Per "&amp;VLOOKUP($C$4,'Writing Logic'!$G$8:$H$14,2,FALSE),YES_Writing_ELA[#Headers],0))=0,"",INDEX(_xlfn.VSTACK(YES_Writing_ELA[#Data],YES_Writing_FLA[#Data]),MATCH($A352,_xlfn.VSTACK(YES_Writing_ELA[Student Number],YES_Writing_FLA[Student Number]),0),MATCH(VLOOKUP(F$7,'Writing Logic'!$J$7:$K$11,2,FALSE)&amp;" - Per "&amp;VLOOKUP($C$4,'Writing Logic'!$G$8:$H$14,2,FALSE),YES_Writing_ELA[#Headers],0)))),"")</f>
        <v/>
      </c>
      <c r="G352" s="138" t="str">
        <f>IFERROR(IF(IF(INDEX(_xlfn.VSTACK(YES_Writing_ELA[#Data],YES_Writing_FLA[#Data]),MATCH($A352,_xlfn.VSTACK(YES_Writing_ELA[Student Number],YES_Writing_FLA[Student Number]),0),MATCH(VLOOKUP(G$7,'Writing Logic'!$J$7:$K$11,2,FALSE)&amp;" - Per "&amp;VLOOKUP($C$4,'Writing Logic'!$G$8:$H$14,2,FALSE),YES_Writing_ELA[#Headers],0))=0,"",INDEX(_xlfn.VSTACK(YES_Writing_ELA[#Data],YES_Writing_FLA[#Data]),MATCH($A352,_xlfn.VSTACK(YES_Writing_ELA[Student Number],YES_Writing_FLA[Student Number]),0),MATCH(VLOOKUP(G$7,'Writing Logic'!$J$7:$K$11,2,FALSE)&amp;" - Per "&amp;VLOOKUP($C$4,'Writing Logic'!$G$8:$H$14,2,FALSE),YES_Writing_ELA[#Headers],0)))="INS",'Writing Logic'!$B$7,IF(INDEX(_xlfn.VSTACK(YES_Writing_ELA[#Data],YES_Writing_FLA[#Data]),MATCH($A352,_xlfn.VSTACK(YES_Writing_ELA[Student Number],YES_Writing_FLA[Student Number]),0),MATCH(VLOOKUP(G$7,'Writing Logic'!$J$7:$K$11,2,FALSE)&amp;" - Per "&amp;VLOOKUP($C$4,'Writing Logic'!$G$8:$H$14,2,FALSE),YES_Writing_ELA[#Headers],0))=0,"",INDEX(_xlfn.VSTACK(YES_Writing_ELA[#Data],YES_Writing_FLA[#Data]),MATCH($A352,_xlfn.VSTACK(YES_Writing_ELA[Student Number],YES_Writing_FLA[Student Number]),0),MATCH(VLOOKUP(G$7,'Writing Logic'!$J$7:$K$11,2,FALSE)&amp;" - Per "&amp;VLOOKUP($C$4,'Writing Logic'!$G$8:$H$14,2,FALSE),YES_Writing_ELA[#Headers],0)))),"")</f>
        <v/>
      </c>
      <c r="H352" s="223" t="str">
        <f>IFERROR(IF(IF(INDEX(_xlfn.VSTACK(YES_Writing_ELA[#Data],YES_Writing_FLA[#Data]),MATCH($A352,_xlfn.VSTACK(YES_Writing_ELA[Student Number],YES_Writing_FLA[Student Number]),0),MATCH(VLOOKUP(H$7,'Writing Logic'!$J$7:$K$11,2,FALSE)&amp;" - Per "&amp;VLOOKUP($C$4,'Writing Logic'!$G$8:$H$14,2,FALSE),YES_Writing_ELA[#Headers],0))=0,"",INDEX(_xlfn.VSTACK(YES_Writing_ELA[#Data],YES_Writing_FLA[#Data]),MATCH($A352,_xlfn.VSTACK(YES_Writing_ELA[Student Number],YES_Writing_FLA[Student Number]),0),MATCH(VLOOKUP(H$7,'Writing Logic'!$J$7:$K$11,2,FALSE)&amp;" - Per "&amp;VLOOKUP($C$4,'Writing Logic'!$G$8:$H$14,2,FALSE),YES_Writing_ELA[#Headers],0)))="INS",'Writing Logic'!$B$7,IF(INDEX(_xlfn.VSTACK(YES_Writing_ELA[#Data],YES_Writing_FLA[#Data]),MATCH($A352,_xlfn.VSTACK(YES_Writing_ELA[Student Number],YES_Writing_FLA[Student Number]),0),MATCH(VLOOKUP(H$7,'Writing Logic'!$J$7:$K$11,2,FALSE)&amp;" - Per "&amp;VLOOKUP($C$4,'Writing Logic'!$G$8:$H$14,2,FALSE),YES_Writing_ELA[#Headers],0))=0,"",INDEX(_xlfn.VSTACK(YES_Writing_ELA[#Data],YES_Writing_FLA[#Data]),MATCH($A352,_xlfn.VSTACK(YES_Writing_ELA[Student Number],YES_Writing_FLA[Student Number]),0),MATCH(VLOOKUP(H$7,'Writing Logic'!$J$7:$K$11,2,FALSE)&amp;" - Per "&amp;VLOOKUP($C$4,'Writing Logic'!$G$8:$H$14,2,FALSE),YES_Writing_ELA[#Headers],0)))),"")</f>
        <v/>
      </c>
      <c r="I352" s="224" t="str" cm="1">
        <f t="array" aca="1" ref="I352" ca="1">IFERROR(
IF($G$3="ELA",
IF(VLOOKUP($A352, YES_Reading_ELA[], COLUMN(INDIRECT("YES_Reading_ELA[Difference - Per "&amp;VLOOKUP($G$4, 'Reading Report Logic'!$A$2:$B$8, 2, FALSE)&amp;"]")), FALSE)="", "",
VLOOKUP($A352,YES_Reading_ELA[], COLUMN(INDIRECT("YES_Reading_ELA[Difference - Per "&amp;VLOOKUP($G$4,'Reading Report Logic'!$A$2:$B$8,2,FALSE)&amp;"]")), FALSE)),
IF($G$3="FLA",
IF(VLOOKUP($A352, YES_Reading_FLA[], COLUMN(INDIRECT("YES_Reading_FLA[Difference - Per "&amp;VLOOKUP($G$4,'Reading Report Logic'!$A$2:$B$8,2,FALSE)&amp;"]")),FALSE)="","",
VLOOKUP($A352,YES_Reading_FLA[],COLUMN(INDIRECT("YES_Reading_FLA[Difference - Per "&amp;VLOOKUP($G$4,'Reading Report Logic'!$A$2:$B$8,2,FALSE)&amp;"]")),FALSE)),
IF($G$3="Combined",
IFERROR(
IF(VLOOKUP($A352, YES_Reading_ELA[], COLUMN(INDIRECT("YES_Reading_ELA[Difference - Per "&amp;VLOOKUP($G$4, 'Reading Report Logic'!$A$2:$B$8,2,FALSE)&amp;"]")), FALSE)="", "",
VLOOKUP($A352,YES_Reading_ELA[],COLUMN(INDIRECT("YES_Reading_ELA[Difference - Per "&amp;VLOOKUP($G$4,'Reading Report Logic'!$A$2:$B$8,2,FALSE)&amp;"]")),FALSE)),
IF(VLOOKUP($A352, YES_Reading_FLA[], COLUMN(INDIRECT("YES_Reading_FLA[Difference - Per "&amp;VLOOKUP($G$4, 'Reading Report Logic'!$A$2:$B$8, 2, FALSE)&amp;"]")),FALSE)="", "", VLOOKUP($A352,YES_Reading_FLA[],COLUMN(INDIRECT("YES_Reading_FLA[Difference - Per "&amp;VLOOKUP($G$4, 'Reading Report Logic'!$A$2:$B$8, 2, FALSE)&amp;"]")),FALSE))),""))),"")</f>
        <v/>
      </c>
    </row>
    <row r="353" spans="1:9" x14ac:dyDescent="0.25">
      <c r="A353" s="137"/>
      <c r="B353" s="137" t="str">
        <f>IFERROR(INDEX(_xlfn.VSTACK(YES_Writing_ELA[#Data], YES_Writing_FLA[#Data]),MATCH($A353,_xlfn.VSTACK(YES_Writing_ELA[Student Number], YES_Writing_FLA[Student Number]),0),MATCH(B$7,YES_Writing_ELA[#Headers],0)),IFERROR(INDEX(_xlfn.VSTACK(YES_Reading_ELA[#Data], YES_Reading_FLA[#Data]),MATCH($A353,_xlfn.VSTACK(YES_Reading_ELA[Student Number], YES_Reading_FLA[Student Number]),0),MATCH(B$7,YES_Reading_ELA[#Headers],0)),""))</f>
        <v/>
      </c>
      <c r="C353" s="137" t="str">
        <f>IFERROR(INDEX(_xlfn.VSTACK(YES_Writing_ELA[#Data], YES_Writing_FLA[#Data]),MATCH($A353,_xlfn.VSTACK(YES_Writing_ELA[Student Number], YES_Writing_FLA[Student Number]),0),MATCH(C$7,YES_Writing_ELA[#Headers],0)),IFERROR(INDEX(_xlfn.VSTACK(YES_Reading_ELA[#Data], YES_Reading_FLA[#Data]),MATCH($A353,_xlfn.VSTACK(YES_Reading_ELA[Student Number], YES_Reading_FLA[Student Number]),0),MATCH(C$7,YES_Reading_ELA[#Headers],0)),""))</f>
        <v/>
      </c>
      <c r="D353" s="138" t="str">
        <f>IFERROR(IF(IF(INDEX(_xlfn.VSTACK(YES_Writing_ELA[#Data],YES_Writing_FLA[#Data]),MATCH($A353,_xlfn.VSTACK(YES_Writing_ELA[Student Number],YES_Writing_FLA[Student Number]),0),MATCH(VLOOKUP(D$7,'Writing Logic'!$J$7:$K$11,2,FALSE)&amp;" - Per "&amp;VLOOKUP($C$4,'Writing Logic'!$G$8:$H$14,2,FALSE),YES_Writing_ELA[#Headers],0))=0,"",INDEX(_xlfn.VSTACK(YES_Writing_ELA[#Data],YES_Writing_FLA[#Data]),MATCH($A353,_xlfn.VSTACK(YES_Writing_ELA[Student Number],YES_Writing_FLA[Student Number]),0),MATCH(VLOOKUP(D$7,'Writing Logic'!$J$7:$K$11,2,FALSE)&amp;" - Per "&amp;VLOOKUP($C$4,'Writing Logic'!$G$8:$H$14,2,FALSE),YES_Writing_ELA[#Headers],0)))="INS",'Writing Logic'!$B$7,IF(INDEX(_xlfn.VSTACK(YES_Writing_ELA[#Data],YES_Writing_FLA[#Data]),MATCH($A353,_xlfn.VSTACK(YES_Writing_ELA[Student Number],YES_Writing_FLA[Student Number]),0),MATCH(VLOOKUP(D$7,'Writing Logic'!$J$7:$K$11,2,FALSE)&amp;" - Per "&amp;VLOOKUP($C$4,'Writing Logic'!$G$8:$H$14,2,FALSE),YES_Writing_ELA[#Headers],0))=0,"",INDEX(_xlfn.VSTACK(YES_Writing_ELA[#Data],YES_Writing_FLA[#Data]),MATCH($A353,_xlfn.VSTACK(YES_Writing_ELA[Student Number],YES_Writing_FLA[Student Number]),0),MATCH(VLOOKUP(D$7,'Writing Logic'!$J$7:$K$11,2,FALSE)&amp;" - Per "&amp;VLOOKUP($C$4,'Writing Logic'!$G$8:$H$14,2,FALSE),YES_Writing_ELA[#Headers],0)))),"")</f>
        <v/>
      </c>
      <c r="E353" s="138" t="str">
        <f>IFERROR(IF(IF(INDEX(_xlfn.VSTACK(YES_Writing_ELA[#Data],YES_Writing_FLA[#Data]),MATCH($A353,_xlfn.VSTACK(YES_Writing_ELA[Student Number],YES_Writing_FLA[Student Number]),0),MATCH(VLOOKUP(E$7,'Writing Logic'!$J$7:$K$11,2,FALSE)&amp;" - Per "&amp;VLOOKUP($C$4,'Writing Logic'!$G$8:$H$14,2,FALSE),YES_Writing_ELA[#Headers],0))=0,"",INDEX(_xlfn.VSTACK(YES_Writing_ELA[#Data],YES_Writing_FLA[#Data]),MATCH($A353,_xlfn.VSTACK(YES_Writing_ELA[Student Number],YES_Writing_FLA[Student Number]),0),MATCH(VLOOKUP(E$7,'Writing Logic'!$J$7:$K$11,2,FALSE)&amp;" - Per "&amp;VLOOKUP($C$4,'Writing Logic'!$G$8:$H$14,2,FALSE),YES_Writing_ELA[#Headers],0)))="INS",'Writing Logic'!$B$7,IF(INDEX(_xlfn.VSTACK(YES_Writing_ELA[#Data],YES_Writing_FLA[#Data]),MATCH($A353,_xlfn.VSTACK(YES_Writing_ELA[Student Number],YES_Writing_FLA[Student Number]),0),MATCH(VLOOKUP(E$7,'Writing Logic'!$J$7:$K$11,2,FALSE)&amp;" - Per "&amp;VLOOKUP($C$4,'Writing Logic'!$G$8:$H$14,2,FALSE),YES_Writing_ELA[#Headers],0))=0,"",INDEX(_xlfn.VSTACK(YES_Writing_ELA[#Data],YES_Writing_FLA[#Data]),MATCH($A353,_xlfn.VSTACK(YES_Writing_ELA[Student Number],YES_Writing_FLA[Student Number]),0),MATCH(VLOOKUP(E$7,'Writing Logic'!$J$7:$K$11,2,FALSE)&amp;" - Per "&amp;VLOOKUP($C$4,'Writing Logic'!$G$8:$H$14,2,FALSE),YES_Writing_ELA[#Headers],0)))),"")</f>
        <v/>
      </c>
      <c r="F353" s="138" t="str">
        <f>IFERROR(IF(IF(INDEX(_xlfn.VSTACK(YES_Writing_ELA[#Data],YES_Writing_FLA[#Data]),MATCH($A353,_xlfn.VSTACK(YES_Writing_ELA[Student Number],YES_Writing_FLA[Student Number]),0),MATCH(VLOOKUP(F$7,'Writing Logic'!$J$7:$K$11,2,FALSE)&amp;" - Per "&amp;VLOOKUP($C$4,'Writing Logic'!$G$8:$H$14,2,FALSE),YES_Writing_ELA[#Headers],0))=0,"",INDEX(_xlfn.VSTACK(YES_Writing_ELA[#Data],YES_Writing_FLA[#Data]),MATCH($A353,_xlfn.VSTACK(YES_Writing_ELA[Student Number],YES_Writing_FLA[Student Number]),0),MATCH(VLOOKUP(F$7,'Writing Logic'!$J$7:$K$11,2,FALSE)&amp;" - Per "&amp;VLOOKUP($C$4,'Writing Logic'!$G$8:$H$14,2,FALSE),YES_Writing_ELA[#Headers],0)))="INS",'Writing Logic'!$B$7,IF(INDEX(_xlfn.VSTACK(YES_Writing_ELA[#Data],YES_Writing_FLA[#Data]),MATCH($A353,_xlfn.VSTACK(YES_Writing_ELA[Student Number],YES_Writing_FLA[Student Number]),0),MATCH(VLOOKUP(F$7,'Writing Logic'!$J$7:$K$11,2,FALSE)&amp;" - Per "&amp;VLOOKUP($C$4,'Writing Logic'!$G$8:$H$14,2,FALSE),YES_Writing_ELA[#Headers],0))=0,"",INDEX(_xlfn.VSTACK(YES_Writing_ELA[#Data],YES_Writing_FLA[#Data]),MATCH($A353,_xlfn.VSTACK(YES_Writing_ELA[Student Number],YES_Writing_FLA[Student Number]),0),MATCH(VLOOKUP(F$7,'Writing Logic'!$J$7:$K$11,2,FALSE)&amp;" - Per "&amp;VLOOKUP($C$4,'Writing Logic'!$G$8:$H$14,2,FALSE),YES_Writing_ELA[#Headers],0)))),"")</f>
        <v/>
      </c>
      <c r="G353" s="138" t="str">
        <f>IFERROR(IF(IF(INDEX(_xlfn.VSTACK(YES_Writing_ELA[#Data],YES_Writing_FLA[#Data]),MATCH($A353,_xlfn.VSTACK(YES_Writing_ELA[Student Number],YES_Writing_FLA[Student Number]),0),MATCH(VLOOKUP(G$7,'Writing Logic'!$J$7:$K$11,2,FALSE)&amp;" - Per "&amp;VLOOKUP($C$4,'Writing Logic'!$G$8:$H$14,2,FALSE),YES_Writing_ELA[#Headers],0))=0,"",INDEX(_xlfn.VSTACK(YES_Writing_ELA[#Data],YES_Writing_FLA[#Data]),MATCH($A353,_xlfn.VSTACK(YES_Writing_ELA[Student Number],YES_Writing_FLA[Student Number]),0),MATCH(VLOOKUP(G$7,'Writing Logic'!$J$7:$K$11,2,FALSE)&amp;" - Per "&amp;VLOOKUP($C$4,'Writing Logic'!$G$8:$H$14,2,FALSE),YES_Writing_ELA[#Headers],0)))="INS",'Writing Logic'!$B$7,IF(INDEX(_xlfn.VSTACK(YES_Writing_ELA[#Data],YES_Writing_FLA[#Data]),MATCH($A353,_xlfn.VSTACK(YES_Writing_ELA[Student Number],YES_Writing_FLA[Student Number]),0),MATCH(VLOOKUP(G$7,'Writing Logic'!$J$7:$K$11,2,FALSE)&amp;" - Per "&amp;VLOOKUP($C$4,'Writing Logic'!$G$8:$H$14,2,FALSE),YES_Writing_ELA[#Headers],0))=0,"",INDEX(_xlfn.VSTACK(YES_Writing_ELA[#Data],YES_Writing_FLA[#Data]),MATCH($A353,_xlfn.VSTACK(YES_Writing_ELA[Student Number],YES_Writing_FLA[Student Number]),0),MATCH(VLOOKUP(G$7,'Writing Logic'!$J$7:$K$11,2,FALSE)&amp;" - Per "&amp;VLOOKUP($C$4,'Writing Logic'!$G$8:$H$14,2,FALSE),YES_Writing_ELA[#Headers],0)))),"")</f>
        <v/>
      </c>
      <c r="H353" s="223" t="str">
        <f>IFERROR(IF(IF(INDEX(_xlfn.VSTACK(YES_Writing_ELA[#Data],YES_Writing_FLA[#Data]),MATCH($A353,_xlfn.VSTACK(YES_Writing_ELA[Student Number],YES_Writing_FLA[Student Number]),0),MATCH(VLOOKUP(H$7,'Writing Logic'!$J$7:$K$11,2,FALSE)&amp;" - Per "&amp;VLOOKUP($C$4,'Writing Logic'!$G$8:$H$14,2,FALSE),YES_Writing_ELA[#Headers],0))=0,"",INDEX(_xlfn.VSTACK(YES_Writing_ELA[#Data],YES_Writing_FLA[#Data]),MATCH($A353,_xlfn.VSTACK(YES_Writing_ELA[Student Number],YES_Writing_FLA[Student Number]),0),MATCH(VLOOKUP(H$7,'Writing Logic'!$J$7:$K$11,2,FALSE)&amp;" - Per "&amp;VLOOKUP($C$4,'Writing Logic'!$G$8:$H$14,2,FALSE),YES_Writing_ELA[#Headers],0)))="INS",'Writing Logic'!$B$7,IF(INDEX(_xlfn.VSTACK(YES_Writing_ELA[#Data],YES_Writing_FLA[#Data]),MATCH($A353,_xlfn.VSTACK(YES_Writing_ELA[Student Number],YES_Writing_FLA[Student Number]),0),MATCH(VLOOKUP(H$7,'Writing Logic'!$J$7:$K$11,2,FALSE)&amp;" - Per "&amp;VLOOKUP($C$4,'Writing Logic'!$G$8:$H$14,2,FALSE),YES_Writing_ELA[#Headers],0))=0,"",INDEX(_xlfn.VSTACK(YES_Writing_ELA[#Data],YES_Writing_FLA[#Data]),MATCH($A353,_xlfn.VSTACK(YES_Writing_ELA[Student Number],YES_Writing_FLA[Student Number]),0),MATCH(VLOOKUP(H$7,'Writing Logic'!$J$7:$K$11,2,FALSE)&amp;" - Per "&amp;VLOOKUP($C$4,'Writing Logic'!$G$8:$H$14,2,FALSE),YES_Writing_ELA[#Headers],0)))),"")</f>
        <v/>
      </c>
      <c r="I353" s="224" t="str" cm="1">
        <f t="array" aca="1" ref="I353" ca="1">IFERROR(
IF($G$3="ELA",
IF(VLOOKUP($A353, YES_Reading_ELA[], COLUMN(INDIRECT("YES_Reading_ELA[Difference - Per "&amp;VLOOKUP($G$4, 'Reading Report Logic'!$A$2:$B$8, 2, FALSE)&amp;"]")), FALSE)="", "",
VLOOKUP($A353,YES_Reading_ELA[], COLUMN(INDIRECT("YES_Reading_ELA[Difference - Per "&amp;VLOOKUP($G$4,'Reading Report Logic'!$A$2:$B$8,2,FALSE)&amp;"]")), FALSE)),
IF($G$3="FLA",
IF(VLOOKUP($A353, YES_Reading_FLA[], COLUMN(INDIRECT("YES_Reading_FLA[Difference - Per "&amp;VLOOKUP($G$4,'Reading Report Logic'!$A$2:$B$8,2,FALSE)&amp;"]")),FALSE)="","",
VLOOKUP($A353,YES_Reading_FLA[],COLUMN(INDIRECT("YES_Reading_FLA[Difference - Per "&amp;VLOOKUP($G$4,'Reading Report Logic'!$A$2:$B$8,2,FALSE)&amp;"]")),FALSE)),
IF($G$3="Combined",
IFERROR(
IF(VLOOKUP($A353, YES_Reading_ELA[], COLUMN(INDIRECT("YES_Reading_ELA[Difference - Per "&amp;VLOOKUP($G$4, 'Reading Report Logic'!$A$2:$B$8,2,FALSE)&amp;"]")), FALSE)="", "",
VLOOKUP($A353,YES_Reading_ELA[],COLUMN(INDIRECT("YES_Reading_ELA[Difference - Per "&amp;VLOOKUP($G$4,'Reading Report Logic'!$A$2:$B$8,2,FALSE)&amp;"]")),FALSE)),
IF(VLOOKUP($A353, YES_Reading_FLA[], COLUMN(INDIRECT("YES_Reading_FLA[Difference - Per "&amp;VLOOKUP($G$4, 'Reading Report Logic'!$A$2:$B$8, 2, FALSE)&amp;"]")),FALSE)="", "", VLOOKUP($A353,YES_Reading_FLA[],COLUMN(INDIRECT("YES_Reading_FLA[Difference - Per "&amp;VLOOKUP($G$4, 'Reading Report Logic'!$A$2:$B$8, 2, FALSE)&amp;"]")),FALSE))),""))),"")</f>
        <v/>
      </c>
    </row>
    <row r="354" spans="1:9" x14ac:dyDescent="0.25">
      <c r="A354" s="137"/>
      <c r="B354" s="137" t="str">
        <f>IFERROR(INDEX(_xlfn.VSTACK(YES_Writing_ELA[#Data], YES_Writing_FLA[#Data]),MATCH($A354,_xlfn.VSTACK(YES_Writing_ELA[Student Number], YES_Writing_FLA[Student Number]),0),MATCH(B$7,YES_Writing_ELA[#Headers],0)),IFERROR(INDEX(_xlfn.VSTACK(YES_Reading_ELA[#Data], YES_Reading_FLA[#Data]),MATCH($A354,_xlfn.VSTACK(YES_Reading_ELA[Student Number], YES_Reading_FLA[Student Number]),0),MATCH(B$7,YES_Reading_ELA[#Headers],0)),""))</f>
        <v/>
      </c>
      <c r="C354" s="137" t="str">
        <f>IFERROR(INDEX(_xlfn.VSTACK(YES_Writing_ELA[#Data], YES_Writing_FLA[#Data]),MATCH($A354,_xlfn.VSTACK(YES_Writing_ELA[Student Number], YES_Writing_FLA[Student Number]),0),MATCH(C$7,YES_Writing_ELA[#Headers],0)),IFERROR(INDEX(_xlfn.VSTACK(YES_Reading_ELA[#Data], YES_Reading_FLA[#Data]),MATCH($A354,_xlfn.VSTACK(YES_Reading_ELA[Student Number], YES_Reading_FLA[Student Number]),0),MATCH(C$7,YES_Reading_ELA[#Headers],0)),""))</f>
        <v/>
      </c>
      <c r="D354" s="138" t="str">
        <f>IFERROR(IF(IF(INDEX(_xlfn.VSTACK(YES_Writing_ELA[#Data],YES_Writing_FLA[#Data]),MATCH($A354,_xlfn.VSTACK(YES_Writing_ELA[Student Number],YES_Writing_FLA[Student Number]),0),MATCH(VLOOKUP(D$7,'Writing Logic'!$J$7:$K$11,2,FALSE)&amp;" - Per "&amp;VLOOKUP($C$4,'Writing Logic'!$G$8:$H$14,2,FALSE),YES_Writing_ELA[#Headers],0))=0,"",INDEX(_xlfn.VSTACK(YES_Writing_ELA[#Data],YES_Writing_FLA[#Data]),MATCH($A354,_xlfn.VSTACK(YES_Writing_ELA[Student Number],YES_Writing_FLA[Student Number]),0),MATCH(VLOOKUP(D$7,'Writing Logic'!$J$7:$K$11,2,FALSE)&amp;" - Per "&amp;VLOOKUP($C$4,'Writing Logic'!$G$8:$H$14,2,FALSE),YES_Writing_ELA[#Headers],0)))="INS",'Writing Logic'!$B$7,IF(INDEX(_xlfn.VSTACK(YES_Writing_ELA[#Data],YES_Writing_FLA[#Data]),MATCH($A354,_xlfn.VSTACK(YES_Writing_ELA[Student Number],YES_Writing_FLA[Student Number]),0),MATCH(VLOOKUP(D$7,'Writing Logic'!$J$7:$K$11,2,FALSE)&amp;" - Per "&amp;VLOOKUP($C$4,'Writing Logic'!$G$8:$H$14,2,FALSE),YES_Writing_ELA[#Headers],0))=0,"",INDEX(_xlfn.VSTACK(YES_Writing_ELA[#Data],YES_Writing_FLA[#Data]),MATCH($A354,_xlfn.VSTACK(YES_Writing_ELA[Student Number],YES_Writing_FLA[Student Number]),0),MATCH(VLOOKUP(D$7,'Writing Logic'!$J$7:$K$11,2,FALSE)&amp;" - Per "&amp;VLOOKUP($C$4,'Writing Logic'!$G$8:$H$14,2,FALSE),YES_Writing_ELA[#Headers],0)))),"")</f>
        <v/>
      </c>
      <c r="E354" s="138" t="str">
        <f>IFERROR(IF(IF(INDEX(_xlfn.VSTACK(YES_Writing_ELA[#Data],YES_Writing_FLA[#Data]),MATCH($A354,_xlfn.VSTACK(YES_Writing_ELA[Student Number],YES_Writing_FLA[Student Number]),0),MATCH(VLOOKUP(E$7,'Writing Logic'!$J$7:$K$11,2,FALSE)&amp;" - Per "&amp;VLOOKUP($C$4,'Writing Logic'!$G$8:$H$14,2,FALSE),YES_Writing_ELA[#Headers],0))=0,"",INDEX(_xlfn.VSTACK(YES_Writing_ELA[#Data],YES_Writing_FLA[#Data]),MATCH($A354,_xlfn.VSTACK(YES_Writing_ELA[Student Number],YES_Writing_FLA[Student Number]),0),MATCH(VLOOKUP(E$7,'Writing Logic'!$J$7:$K$11,2,FALSE)&amp;" - Per "&amp;VLOOKUP($C$4,'Writing Logic'!$G$8:$H$14,2,FALSE),YES_Writing_ELA[#Headers],0)))="INS",'Writing Logic'!$B$7,IF(INDEX(_xlfn.VSTACK(YES_Writing_ELA[#Data],YES_Writing_FLA[#Data]),MATCH($A354,_xlfn.VSTACK(YES_Writing_ELA[Student Number],YES_Writing_FLA[Student Number]),0),MATCH(VLOOKUP(E$7,'Writing Logic'!$J$7:$K$11,2,FALSE)&amp;" - Per "&amp;VLOOKUP($C$4,'Writing Logic'!$G$8:$H$14,2,FALSE),YES_Writing_ELA[#Headers],0))=0,"",INDEX(_xlfn.VSTACK(YES_Writing_ELA[#Data],YES_Writing_FLA[#Data]),MATCH($A354,_xlfn.VSTACK(YES_Writing_ELA[Student Number],YES_Writing_FLA[Student Number]),0),MATCH(VLOOKUP(E$7,'Writing Logic'!$J$7:$K$11,2,FALSE)&amp;" - Per "&amp;VLOOKUP($C$4,'Writing Logic'!$G$8:$H$14,2,FALSE),YES_Writing_ELA[#Headers],0)))),"")</f>
        <v/>
      </c>
      <c r="F354" s="138" t="str">
        <f>IFERROR(IF(IF(INDEX(_xlfn.VSTACK(YES_Writing_ELA[#Data],YES_Writing_FLA[#Data]),MATCH($A354,_xlfn.VSTACK(YES_Writing_ELA[Student Number],YES_Writing_FLA[Student Number]),0),MATCH(VLOOKUP(F$7,'Writing Logic'!$J$7:$K$11,2,FALSE)&amp;" - Per "&amp;VLOOKUP($C$4,'Writing Logic'!$G$8:$H$14,2,FALSE),YES_Writing_ELA[#Headers],0))=0,"",INDEX(_xlfn.VSTACK(YES_Writing_ELA[#Data],YES_Writing_FLA[#Data]),MATCH($A354,_xlfn.VSTACK(YES_Writing_ELA[Student Number],YES_Writing_FLA[Student Number]),0),MATCH(VLOOKUP(F$7,'Writing Logic'!$J$7:$K$11,2,FALSE)&amp;" - Per "&amp;VLOOKUP($C$4,'Writing Logic'!$G$8:$H$14,2,FALSE),YES_Writing_ELA[#Headers],0)))="INS",'Writing Logic'!$B$7,IF(INDEX(_xlfn.VSTACK(YES_Writing_ELA[#Data],YES_Writing_FLA[#Data]),MATCH($A354,_xlfn.VSTACK(YES_Writing_ELA[Student Number],YES_Writing_FLA[Student Number]),0),MATCH(VLOOKUP(F$7,'Writing Logic'!$J$7:$K$11,2,FALSE)&amp;" - Per "&amp;VLOOKUP($C$4,'Writing Logic'!$G$8:$H$14,2,FALSE),YES_Writing_ELA[#Headers],0))=0,"",INDEX(_xlfn.VSTACK(YES_Writing_ELA[#Data],YES_Writing_FLA[#Data]),MATCH($A354,_xlfn.VSTACK(YES_Writing_ELA[Student Number],YES_Writing_FLA[Student Number]),0),MATCH(VLOOKUP(F$7,'Writing Logic'!$J$7:$K$11,2,FALSE)&amp;" - Per "&amp;VLOOKUP($C$4,'Writing Logic'!$G$8:$H$14,2,FALSE),YES_Writing_ELA[#Headers],0)))),"")</f>
        <v/>
      </c>
      <c r="G354" s="138" t="str">
        <f>IFERROR(IF(IF(INDEX(_xlfn.VSTACK(YES_Writing_ELA[#Data],YES_Writing_FLA[#Data]),MATCH($A354,_xlfn.VSTACK(YES_Writing_ELA[Student Number],YES_Writing_FLA[Student Number]),0),MATCH(VLOOKUP(G$7,'Writing Logic'!$J$7:$K$11,2,FALSE)&amp;" - Per "&amp;VLOOKUP($C$4,'Writing Logic'!$G$8:$H$14,2,FALSE),YES_Writing_ELA[#Headers],0))=0,"",INDEX(_xlfn.VSTACK(YES_Writing_ELA[#Data],YES_Writing_FLA[#Data]),MATCH($A354,_xlfn.VSTACK(YES_Writing_ELA[Student Number],YES_Writing_FLA[Student Number]),0),MATCH(VLOOKUP(G$7,'Writing Logic'!$J$7:$K$11,2,FALSE)&amp;" - Per "&amp;VLOOKUP($C$4,'Writing Logic'!$G$8:$H$14,2,FALSE),YES_Writing_ELA[#Headers],0)))="INS",'Writing Logic'!$B$7,IF(INDEX(_xlfn.VSTACK(YES_Writing_ELA[#Data],YES_Writing_FLA[#Data]),MATCH($A354,_xlfn.VSTACK(YES_Writing_ELA[Student Number],YES_Writing_FLA[Student Number]),0),MATCH(VLOOKUP(G$7,'Writing Logic'!$J$7:$K$11,2,FALSE)&amp;" - Per "&amp;VLOOKUP($C$4,'Writing Logic'!$G$8:$H$14,2,FALSE),YES_Writing_ELA[#Headers],0))=0,"",INDEX(_xlfn.VSTACK(YES_Writing_ELA[#Data],YES_Writing_FLA[#Data]),MATCH($A354,_xlfn.VSTACK(YES_Writing_ELA[Student Number],YES_Writing_FLA[Student Number]),0),MATCH(VLOOKUP(G$7,'Writing Logic'!$J$7:$K$11,2,FALSE)&amp;" - Per "&amp;VLOOKUP($C$4,'Writing Logic'!$G$8:$H$14,2,FALSE),YES_Writing_ELA[#Headers],0)))),"")</f>
        <v/>
      </c>
      <c r="H354" s="223" t="str">
        <f>IFERROR(IF(IF(INDEX(_xlfn.VSTACK(YES_Writing_ELA[#Data],YES_Writing_FLA[#Data]),MATCH($A354,_xlfn.VSTACK(YES_Writing_ELA[Student Number],YES_Writing_FLA[Student Number]),0),MATCH(VLOOKUP(H$7,'Writing Logic'!$J$7:$K$11,2,FALSE)&amp;" - Per "&amp;VLOOKUP($C$4,'Writing Logic'!$G$8:$H$14,2,FALSE),YES_Writing_ELA[#Headers],0))=0,"",INDEX(_xlfn.VSTACK(YES_Writing_ELA[#Data],YES_Writing_FLA[#Data]),MATCH($A354,_xlfn.VSTACK(YES_Writing_ELA[Student Number],YES_Writing_FLA[Student Number]),0),MATCH(VLOOKUP(H$7,'Writing Logic'!$J$7:$K$11,2,FALSE)&amp;" - Per "&amp;VLOOKUP($C$4,'Writing Logic'!$G$8:$H$14,2,FALSE),YES_Writing_ELA[#Headers],0)))="INS",'Writing Logic'!$B$7,IF(INDEX(_xlfn.VSTACK(YES_Writing_ELA[#Data],YES_Writing_FLA[#Data]),MATCH($A354,_xlfn.VSTACK(YES_Writing_ELA[Student Number],YES_Writing_FLA[Student Number]),0),MATCH(VLOOKUP(H$7,'Writing Logic'!$J$7:$K$11,2,FALSE)&amp;" - Per "&amp;VLOOKUP($C$4,'Writing Logic'!$G$8:$H$14,2,FALSE),YES_Writing_ELA[#Headers],0))=0,"",INDEX(_xlfn.VSTACK(YES_Writing_ELA[#Data],YES_Writing_FLA[#Data]),MATCH($A354,_xlfn.VSTACK(YES_Writing_ELA[Student Number],YES_Writing_FLA[Student Number]),0),MATCH(VLOOKUP(H$7,'Writing Logic'!$J$7:$K$11,2,FALSE)&amp;" - Per "&amp;VLOOKUP($C$4,'Writing Logic'!$G$8:$H$14,2,FALSE),YES_Writing_ELA[#Headers],0)))),"")</f>
        <v/>
      </c>
      <c r="I354" s="224" t="str" cm="1">
        <f t="array" aca="1" ref="I354" ca="1">IFERROR(
IF($G$3="ELA",
IF(VLOOKUP($A354, YES_Reading_ELA[], COLUMN(INDIRECT("YES_Reading_ELA[Difference - Per "&amp;VLOOKUP($G$4, 'Reading Report Logic'!$A$2:$B$8, 2, FALSE)&amp;"]")), FALSE)="", "",
VLOOKUP($A354,YES_Reading_ELA[], COLUMN(INDIRECT("YES_Reading_ELA[Difference - Per "&amp;VLOOKUP($G$4,'Reading Report Logic'!$A$2:$B$8,2,FALSE)&amp;"]")), FALSE)),
IF($G$3="FLA",
IF(VLOOKUP($A354, YES_Reading_FLA[], COLUMN(INDIRECT("YES_Reading_FLA[Difference - Per "&amp;VLOOKUP($G$4,'Reading Report Logic'!$A$2:$B$8,2,FALSE)&amp;"]")),FALSE)="","",
VLOOKUP($A354,YES_Reading_FLA[],COLUMN(INDIRECT("YES_Reading_FLA[Difference - Per "&amp;VLOOKUP($G$4,'Reading Report Logic'!$A$2:$B$8,2,FALSE)&amp;"]")),FALSE)),
IF($G$3="Combined",
IFERROR(
IF(VLOOKUP($A354, YES_Reading_ELA[], COLUMN(INDIRECT("YES_Reading_ELA[Difference - Per "&amp;VLOOKUP($G$4, 'Reading Report Logic'!$A$2:$B$8,2,FALSE)&amp;"]")), FALSE)="", "",
VLOOKUP($A354,YES_Reading_ELA[],COLUMN(INDIRECT("YES_Reading_ELA[Difference - Per "&amp;VLOOKUP($G$4,'Reading Report Logic'!$A$2:$B$8,2,FALSE)&amp;"]")),FALSE)),
IF(VLOOKUP($A354, YES_Reading_FLA[], COLUMN(INDIRECT("YES_Reading_FLA[Difference - Per "&amp;VLOOKUP($G$4, 'Reading Report Logic'!$A$2:$B$8, 2, FALSE)&amp;"]")),FALSE)="", "", VLOOKUP($A354,YES_Reading_FLA[],COLUMN(INDIRECT("YES_Reading_FLA[Difference - Per "&amp;VLOOKUP($G$4, 'Reading Report Logic'!$A$2:$B$8, 2, FALSE)&amp;"]")),FALSE))),""))),"")</f>
        <v/>
      </c>
    </row>
    <row r="355" spans="1:9" x14ac:dyDescent="0.25">
      <c r="A355" s="137"/>
      <c r="B355" s="137" t="str">
        <f>IFERROR(INDEX(_xlfn.VSTACK(YES_Writing_ELA[#Data], YES_Writing_FLA[#Data]),MATCH($A355,_xlfn.VSTACK(YES_Writing_ELA[Student Number], YES_Writing_FLA[Student Number]),0),MATCH(B$7,YES_Writing_ELA[#Headers],0)),IFERROR(INDEX(_xlfn.VSTACK(YES_Reading_ELA[#Data], YES_Reading_FLA[#Data]),MATCH($A355,_xlfn.VSTACK(YES_Reading_ELA[Student Number], YES_Reading_FLA[Student Number]),0),MATCH(B$7,YES_Reading_ELA[#Headers],0)),""))</f>
        <v/>
      </c>
      <c r="C355" s="137" t="str">
        <f>IFERROR(INDEX(_xlfn.VSTACK(YES_Writing_ELA[#Data], YES_Writing_FLA[#Data]),MATCH($A355,_xlfn.VSTACK(YES_Writing_ELA[Student Number], YES_Writing_FLA[Student Number]),0),MATCH(C$7,YES_Writing_ELA[#Headers],0)),IFERROR(INDEX(_xlfn.VSTACK(YES_Reading_ELA[#Data], YES_Reading_FLA[#Data]),MATCH($A355,_xlfn.VSTACK(YES_Reading_ELA[Student Number], YES_Reading_FLA[Student Number]),0),MATCH(C$7,YES_Reading_ELA[#Headers],0)),""))</f>
        <v/>
      </c>
      <c r="D355" s="138" t="str">
        <f>IFERROR(IF(IF(INDEX(_xlfn.VSTACK(YES_Writing_ELA[#Data],YES_Writing_FLA[#Data]),MATCH($A355,_xlfn.VSTACK(YES_Writing_ELA[Student Number],YES_Writing_FLA[Student Number]),0),MATCH(VLOOKUP(D$7,'Writing Logic'!$J$7:$K$11,2,FALSE)&amp;" - Per "&amp;VLOOKUP($C$4,'Writing Logic'!$G$8:$H$14,2,FALSE),YES_Writing_ELA[#Headers],0))=0,"",INDEX(_xlfn.VSTACK(YES_Writing_ELA[#Data],YES_Writing_FLA[#Data]),MATCH($A355,_xlfn.VSTACK(YES_Writing_ELA[Student Number],YES_Writing_FLA[Student Number]),0),MATCH(VLOOKUP(D$7,'Writing Logic'!$J$7:$K$11,2,FALSE)&amp;" - Per "&amp;VLOOKUP($C$4,'Writing Logic'!$G$8:$H$14,2,FALSE),YES_Writing_ELA[#Headers],0)))="INS",'Writing Logic'!$B$7,IF(INDEX(_xlfn.VSTACK(YES_Writing_ELA[#Data],YES_Writing_FLA[#Data]),MATCH($A355,_xlfn.VSTACK(YES_Writing_ELA[Student Number],YES_Writing_FLA[Student Number]),0),MATCH(VLOOKUP(D$7,'Writing Logic'!$J$7:$K$11,2,FALSE)&amp;" - Per "&amp;VLOOKUP($C$4,'Writing Logic'!$G$8:$H$14,2,FALSE),YES_Writing_ELA[#Headers],0))=0,"",INDEX(_xlfn.VSTACK(YES_Writing_ELA[#Data],YES_Writing_FLA[#Data]),MATCH($A355,_xlfn.VSTACK(YES_Writing_ELA[Student Number],YES_Writing_FLA[Student Number]),0),MATCH(VLOOKUP(D$7,'Writing Logic'!$J$7:$K$11,2,FALSE)&amp;" - Per "&amp;VLOOKUP($C$4,'Writing Logic'!$G$8:$H$14,2,FALSE),YES_Writing_ELA[#Headers],0)))),"")</f>
        <v/>
      </c>
      <c r="E355" s="138" t="str">
        <f>IFERROR(IF(IF(INDEX(_xlfn.VSTACK(YES_Writing_ELA[#Data],YES_Writing_FLA[#Data]),MATCH($A355,_xlfn.VSTACK(YES_Writing_ELA[Student Number],YES_Writing_FLA[Student Number]),0),MATCH(VLOOKUP(E$7,'Writing Logic'!$J$7:$K$11,2,FALSE)&amp;" - Per "&amp;VLOOKUP($C$4,'Writing Logic'!$G$8:$H$14,2,FALSE),YES_Writing_ELA[#Headers],0))=0,"",INDEX(_xlfn.VSTACK(YES_Writing_ELA[#Data],YES_Writing_FLA[#Data]),MATCH($A355,_xlfn.VSTACK(YES_Writing_ELA[Student Number],YES_Writing_FLA[Student Number]),0),MATCH(VLOOKUP(E$7,'Writing Logic'!$J$7:$K$11,2,FALSE)&amp;" - Per "&amp;VLOOKUP($C$4,'Writing Logic'!$G$8:$H$14,2,FALSE),YES_Writing_ELA[#Headers],0)))="INS",'Writing Logic'!$B$7,IF(INDEX(_xlfn.VSTACK(YES_Writing_ELA[#Data],YES_Writing_FLA[#Data]),MATCH($A355,_xlfn.VSTACK(YES_Writing_ELA[Student Number],YES_Writing_FLA[Student Number]),0),MATCH(VLOOKUP(E$7,'Writing Logic'!$J$7:$K$11,2,FALSE)&amp;" - Per "&amp;VLOOKUP($C$4,'Writing Logic'!$G$8:$H$14,2,FALSE),YES_Writing_ELA[#Headers],0))=0,"",INDEX(_xlfn.VSTACK(YES_Writing_ELA[#Data],YES_Writing_FLA[#Data]),MATCH($A355,_xlfn.VSTACK(YES_Writing_ELA[Student Number],YES_Writing_FLA[Student Number]),0),MATCH(VLOOKUP(E$7,'Writing Logic'!$J$7:$K$11,2,FALSE)&amp;" - Per "&amp;VLOOKUP($C$4,'Writing Logic'!$G$8:$H$14,2,FALSE),YES_Writing_ELA[#Headers],0)))),"")</f>
        <v/>
      </c>
      <c r="F355" s="138" t="str">
        <f>IFERROR(IF(IF(INDEX(_xlfn.VSTACK(YES_Writing_ELA[#Data],YES_Writing_FLA[#Data]),MATCH($A355,_xlfn.VSTACK(YES_Writing_ELA[Student Number],YES_Writing_FLA[Student Number]),0),MATCH(VLOOKUP(F$7,'Writing Logic'!$J$7:$K$11,2,FALSE)&amp;" - Per "&amp;VLOOKUP($C$4,'Writing Logic'!$G$8:$H$14,2,FALSE),YES_Writing_ELA[#Headers],0))=0,"",INDEX(_xlfn.VSTACK(YES_Writing_ELA[#Data],YES_Writing_FLA[#Data]),MATCH($A355,_xlfn.VSTACK(YES_Writing_ELA[Student Number],YES_Writing_FLA[Student Number]),0),MATCH(VLOOKUP(F$7,'Writing Logic'!$J$7:$K$11,2,FALSE)&amp;" - Per "&amp;VLOOKUP($C$4,'Writing Logic'!$G$8:$H$14,2,FALSE),YES_Writing_ELA[#Headers],0)))="INS",'Writing Logic'!$B$7,IF(INDEX(_xlfn.VSTACK(YES_Writing_ELA[#Data],YES_Writing_FLA[#Data]),MATCH($A355,_xlfn.VSTACK(YES_Writing_ELA[Student Number],YES_Writing_FLA[Student Number]),0),MATCH(VLOOKUP(F$7,'Writing Logic'!$J$7:$K$11,2,FALSE)&amp;" - Per "&amp;VLOOKUP($C$4,'Writing Logic'!$G$8:$H$14,2,FALSE),YES_Writing_ELA[#Headers],0))=0,"",INDEX(_xlfn.VSTACK(YES_Writing_ELA[#Data],YES_Writing_FLA[#Data]),MATCH($A355,_xlfn.VSTACK(YES_Writing_ELA[Student Number],YES_Writing_FLA[Student Number]),0),MATCH(VLOOKUP(F$7,'Writing Logic'!$J$7:$K$11,2,FALSE)&amp;" - Per "&amp;VLOOKUP($C$4,'Writing Logic'!$G$8:$H$14,2,FALSE),YES_Writing_ELA[#Headers],0)))),"")</f>
        <v/>
      </c>
      <c r="G355" s="138" t="str">
        <f>IFERROR(IF(IF(INDEX(_xlfn.VSTACK(YES_Writing_ELA[#Data],YES_Writing_FLA[#Data]),MATCH($A355,_xlfn.VSTACK(YES_Writing_ELA[Student Number],YES_Writing_FLA[Student Number]),0),MATCH(VLOOKUP(G$7,'Writing Logic'!$J$7:$K$11,2,FALSE)&amp;" - Per "&amp;VLOOKUP($C$4,'Writing Logic'!$G$8:$H$14,2,FALSE),YES_Writing_ELA[#Headers],0))=0,"",INDEX(_xlfn.VSTACK(YES_Writing_ELA[#Data],YES_Writing_FLA[#Data]),MATCH($A355,_xlfn.VSTACK(YES_Writing_ELA[Student Number],YES_Writing_FLA[Student Number]),0),MATCH(VLOOKUP(G$7,'Writing Logic'!$J$7:$K$11,2,FALSE)&amp;" - Per "&amp;VLOOKUP($C$4,'Writing Logic'!$G$8:$H$14,2,FALSE),YES_Writing_ELA[#Headers],0)))="INS",'Writing Logic'!$B$7,IF(INDEX(_xlfn.VSTACK(YES_Writing_ELA[#Data],YES_Writing_FLA[#Data]),MATCH($A355,_xlfn.VSTACK(YES_Writing_ELA[Student Number],YES_Writing_FLA[Student Number]),0),MATCH(VLOOKUP(G$7,'Writing Logic'!$J$7:$K$11,2,FALSE)&amp;" - Per "&amp;VLOOKUP($C$4,'Writing Logic'!$G$8:$H$14,2,FALSE),YES_Writing_ELA[#Headers],0))=0,"",INDEX(_xlfn.VSTACK(YES_Writing_ELA[#Data],YES_Writing_FLA[#Data]),MATCH($A355,_xlfn.VSTACK(YES_Writing_ELA[Student Number],YES_Writing_FLA[Student Number]),0),MATCH(VLOOKUP(G$7,'Writing Logic'!$J$7:$K$11,2,FALSE)&amp;" - Per "&amp;VLOOKUP($C$4,'Writing Logic'!$G$8:$H$14,2,FALSE),YES_Writing_ELA[#Headers],0)))),"")</f>
        <v/>
      </c>
      <c r="H355" s="223" t="str">
        <f>IFERROR(IF(IF(INDEX(_xlfn.VSTACK(YES_Writing_ELA[#Data],YES_Writing_FLA[#Data]),MATCH($A355,_xlfn.VSTACK(YES_Writing_ELA[Student Number],YES_Writing_FLA[Student Number]),0),MATCH(VLOOKUP(H$7,'Writing Logic'!$J$7:$K$11,2,FALSE)&amp;" - Per "&amp;VLOOKUP($C$4,'Writing Logic'!$G$8:$H$14,2,FALSE),YES_Writing_ELA[#Headers],0))=0,"",INDEX(_xlfn.VSTACK(YES_Writing_ELA[#Data],YES_Writing_FLA[#Data]),MATCH($A355,_xlfn.VSTACK(YES_Writing_ELA[Student Number],YES_Writing_FLA[Student Number]),0),MATCH(VLOOKUP(H$7,'Writing Logic'!$J$7:$K$11,2,FALSE)&amp;" - Per "&amp;VLOOKUP($C$4,'Writing Logic'!$G$8:$H$14,2,FALSE),YES_Writing_ELA[#Headers],0)))="INS",'Writing Logic'!$B$7,IF(INDEX(_xlfn.VSTACK(YES_Writing_ELA[#Data],YES_Writing_FLA[#Data]),MATCH($A355,_xlfn.VSTACK(YES_Writing_ELA[Student Number],YES_Writing_FLA[Student Number]),0),MATCH(VLOOKUP(H$7,'Writing Logic'!$J$7:$K$11,2,FALSE)&amp;" - Per "&amp;VLOOKUP($C$4,'Writing Logic'!$G$8:$H$14,2,FALSE),YES_Writing_ELA[#Headers],0))=0,"",INDEX(_xlfn.VSTACK(YES_Writing_ELA[#Data],YES_Writing_FLA[#Data]),MATCH($A355,_xlfn.VSTACK(YES_Writing_ELA[Student Number],YES_Writing_FLA[Student Number]),0),MATCH(VLOOKUP(H$7,'Writing Logic'!$J$7:$K$11,2,FALSE)&amp;" - Per "&amp;VLOOKUP($C$4,'Writing Logic'!$G$8:$H$14,2,FALSE),YES_Writing_ELA[#Headers],0)))),"")</f>
        <v/>
      </c>
      <c r="I355" s="224" t="str" cm="1">
        <f t="array" aca="1" ref="I355" ca="1">IFERROR(
IF($G$3="ELA",
IF(VLOOKUP($A355, YES_Reading_ELA[], COLUMN(INDIRECT("YES_Reading_ELA[Difference - Per "&amp;VLOOKUP($G$4, 'Reading Report Logic'!$A$2:$B$8, 2, FALSE)&amp;"]")), FALSE)="", "",
VLOOKUP($A355,YES_Reading_ELA[], COLUMN(INDIRECT("YES_Reading_ELA[Difference - Per "&amp;VLOOKUP($G$4,'Reading Report Logic'!$A$2:$B$8,2,FALSE)&amp;"]")), FALSE)),
IF($G$3="FLA",
IF(VLOOKUP($A355, YES_Reading_FLA[], COLUMN(INDIRECT("YES_Reading_FLA[Difference - Per "&amp;VLOOKUP($G$4,'Reading Report Logic'!$A$2:$B$8,2,FALSE)&amp;"]")),FALSE)="","",
VLOOKUP($A355,YES_Reading_FLA[],COLUMN(INDIRECT("YES_Reading_FLA[Difference - Per "&amp;VLOOKUP($G$4,'Reading Report Logic'!$A$2:$B$8,2,FALSE)&amp;"]")),FALSE)),
IF($G$3="Combined",
IFERROR(
IF(VLOOKUP($A355, YES_Reading_ELA[], COLUMN(INDIRECT("YES_Reading_ELA[Difference - Per "&amp;VLOOKUP($G$4, 'Reading Report Logic'!$A$2:$B$8,2,FALSE)&amp;"]")), FALSE)="", "",
VLOOKUP($A355,YES_Reading_ELA[],COLUMN(INDIRECT("YES_Reading_ELA[Difference - Per "&amp;VLOOKUP($G$4,'Reading Report Logic'!$A$2:$B$8,2,FALSE)&amp;"]")),FALSE)),
IF(VLOOKUP($A355, YES_Reading_FLA[], COLUMN(INDIRECT("YES_Reading_FLA[Difference - Per "&amp;VLOOKUP($G$4, 'Reading Report Logic'!$A$2:$B$8, 2, FALSE)&amp;"]")),FALSE)="", "", VLOOKUP($A355,YES_Reading_FLA[],COLUMN(INDIRECT("YES_Reading_FLA[Difference - Per "&amp;VLOOKUP($G$4, 'Reading Report Logic'!$A$2:$B$8, 2, FALSE)&amp;"]")),FALSE))),""))),"")</f>
        <v/>
      </c>
    </row>
    <row r="356" spans="1:9" x14ac:dyDescent="0.25">
      <c r="A356" s="137"/>
      <c r="B356" s="137" t="str">
        <f>IFERROR(INDEX(_xlfn.VSTACK(YES_Writing_ELA[#Data], YES_Writing_FLA[#Data]),MATCH($A356,_xlfn.VSTACK(YES_Writing_ELA[Student Number], YES_Writing_FLA[Student Number]),0),MATCH(B$7,YES_Writing_ELA[#Headers],0)),IFERROR(INDEX(_xlfn.VSTACK(YES_Reading_ELA[#Data], YES_Reading_FLA[#Data]),MATCH($A356,_xlfn.VSTACK(YES_Reading_ELA[Student Number], YES_Reading_FLA[Student Number]),0),MATCH(B$7,YES_Reading_ELA[#Headers],0)),""))</f>
        <v/>
      </c>
      <c r="C356" s="137" t="str">
        <f>IFERROR(INDEX(_xlfn.VSTACK(YES_Writing_ELA[#Data], YES_Writing_FLA[#Data]),MATCH($A356,_xlfn.VSTACK(YES_Writing_ELA[Student Number], YES_Writing_FLA[Student Number]),0),MATCH(C$7,YES_Writing_ELA[#Headers],0)),IFERROR(INDEX(_xlfn.VSTACK(YES_Reading_ELA[#Data], YES_Reading_FLA[#Data]),MATCH($A356,_xlfn.VSTACK(YES_Reading_ELA[Student Number], YES_Reading_FLA[Student Number]),0),MATCH(C$7,YES_Reading_ELA[#Headers],0)),""))</f>
        <v/>
      </c>
      <c r="D356" s="138" t="str">
        <f>IFERROR(IF(IF(INDEX(_xlfn.VSTACK(YES_Writing_ELA[#Data],YES_Writing_FLA[#Data]),MATCH($A356,_xlfn.VSTACK(YES_Writing_ELA[Student Number],YES_Writing_FLA[Student Number]),0),MATCH(VLOOKUP(D$7,'Writing Logic'!$J$7:$K$11,2,FALSE)&amp;" - Per "&amp;VLOOKUP($C$4,'Writing Logic'!$G$8:$H$14,2,FALSE),YES_Writing_ELA[#Headers],0))=0,"",INDEX(_xlfn.VSTACK(YES_Writing_ELA[#Data],YES_Writing_FLA[#Data]),MATCH($A356,_xlfn.VSTACK(YES_Writing_ELA[Student Number],YES_Writing_FLA[Student Number]),0),MATCH(VLOOKUP(D$7,'Writing Logic'!$J$7:$K$11,2,FALSE)&amp;" - Per "&amp;VLOOKUP($C$4,'Writing Logic'!$G$8:$H$14,2,FALSE),YES_Writing_ELA[#Headers],0)))="INS",'Writing Logic'!$B$7,IF(INDEX(_xlfn.VSTACK(YES_Writing_ELA[#Data],YES_Writing_FLA[#Data]),MATCH($A356,_xlfn.VSTACK(YES_Writing_ELA[Student Number],YES_Writing_FLA[Student Number]),0),MATCH(VLOOKUP(D$7,'Writing Logic'!$J$7:$K$11,2,FALSE)&amp;" - Per "&amp;VLOOKUP($C$4,'Writing Logic'!$G$8:$H$14,2,FALSE),YES_Writing_ELA[#Headers],0))=0,"",INDEX(_xlfn.VSTACK(YES_Writing_ELA[#Data],YES_Writing_FLA[#Data]),MATCH($A356,_xlfn.VSTACK(YES_Writing_ELA[Student Number],YES_Writing_FLA[Student Number]),0),MATCH(VLOOKUP(D$7,'Writing Logic'!$J$7:$K$11,2,FALSE)&amp;" - Per "&amp;VLOOKUP($C$4,'Writing Logic'!$G$8:$H$14,2,FALSE),YES_Writing_ELA[#Headers],0)))),"")</f>
        <v/>
      </c>
      <c r="E356" s="138" t="str">
        <f>IFERROR(IF(IF(INDEX(_xlfn.VSTACK(YES_Writing_ELA[#Data],YES_Writing_FLA[#Data]),MATCH($A356,_xlfn.VSTACK(YES_Writing_ELA[Student Number],YES_Writing_FLA[Student Number]),0),MATCH(VLOOKUP(E$7,'Writing Logic'!$J$7:$K$11,2,FALSE)&amp;" - Per "&amp;VLOOKUP($C$4,'Writing Logic'!$G$8:$H$14,2,FALSE),YES_Writing_ELA[#Headers],0))=0,"",INDEX(_xlfn.VSTACK(YES_Writing_ELA[#Data],YES_Writing_FLA[#Data]),MATCH($A356,_xlfn.VSTACK(YES_Writing_ELA[Student Number],YES_Writing_FLA[Student Number]),0),MATCH(VLOOKUP(E$7,'Writing Logic'!$J$7:$K$11,2,FALSE)&amp;" - Per "&amp;VLOOKUP($C$4,'Writing Logic'!$G$8:$H$14,2,FALSE),YES_Writing_ELA[#Headers],0)))="INS",'Writing Logic'!$B$7,IF(INDEX(_xlfn.VSTACK(YES_Writing_ELA[#Data],YES_Writing_FLA[#Data]),MATCH($A356,_xlfn.VSTACK(YES_Writing_ELA[Student Number],YES_Writing_FLA[Student Number]),0),MATCH(VLOOKUP(E$7,'Writing Logic'!$J$7:$K$11,2,FALSE)&amp;" - Per "&amp;VLOOKUP($C$4,'Writing Logic'!$G$8:$H$14,2,FALSE),YES_Writing_ELA[#Headers],0))=0,"",INDEX(_xlfn.VSTACK(YES_Writing_ELA[#Data],YES_Writing_FLA[#Data]),MATCH($A356,_xlfn.VSTACK(YES_Writing_ELA[Student Number],YES_Writing_FLA[Student Number]),0),MATCH(VLOOKUP(E$7,'Writing Logic'!$J$7:$K$11,2,FALSE)&amp;" - Per "&amp;VLOOKUP($C$4,'Writing Logic'!$G$8:$H$14,2,FALSE),YES_Writing_ELA[#Headers],0)))),"")</f>
        <v/>
      </c>
      <c r="F356" s="138" t="str">
        <f>IFERROR(IF(IF(INDEX(_xlfn.VSTACK(YES_Writing_ELA[#Data],YES_Writing_FLA[#Data]),MATCH($A356,_xlfn.VSTACK(YES_Writing_ELA[Student Number],YES_Writing_FLA[Student Number]),0),MATCH(VLOOKUP(F$7,'Writing Logic'!$J$7:$K$11,2,FALSE)&amp;" - Per "&amp;VLOOKUP($C$4,'Writing Logic'!$G$8:$H$14,2,FALSE),YES_Writing_ELA[#Headers],0))=0,"",INDEX(_xlfn.VSTACK(YES_Writing_ELA[#Data],YES_Writing_FLA[#Data]),MATCH($A356,_xlfn.VSTACK(YES_Writing_ELA[Student Number],YES_Writing_FLA[Student Number]),0),MATCH(VLOOKUP(F$7,'Writing Logic'!$J$7:$K$11,2,FALSE)&amp;" - Per "&amp;VLOOKUP($C$4,'Writing Logic'!$G$8:$H$14,2,FALSE),YES_Writing_ELA[#Headers],0)))="INS",'Writing Logic'!$B$7,IF(INDEX(_xlfn.VSTACK(YES_Writing_ELA[#Data],YES_Writing_FLA[#Data]),MATCH($A356,_xlfn.VSTACK(YES_Writing_ELA[Student Number],YES_Writing_FLA[Student Number]),0),MATCH(VLOOKUP(F$7,'Writing Logic'!$J$7:$K$11,2,FALSE)&amp;" - Per "&amp;VLOOKUP($C$4,'Writing Logic'!$G$8:$H$14,2,FALSE),YES_Writing_ELA[#Headers],0))=0,"",INDEX(_xlfn.VSTACK(YES_Writing_ELA[#Data],YES_Writing_FLA[#Data]),MATCH($A356,_xlfn.VSTACK(YES_Writing_ELA[Student Number],YES_Writing_FLA[Student Number]),0),MATCH(VLOOKUP(F$7,'Writing Logic'!$J$7:$K$11,2,FALSE)&amp;" - Per "&amp;VLOOKUP($C$4,'Writing Logic'!$G$8:$H$14,2,FALSE),YES_Writing_ELA[#Headers],0)))),"")</f>
        <v/>
      </c>
      <c r="G356" s="138" t="str">
        <f>IFERROR(IF(IF(INDEX(_xlfn.VSTACK(YES_Writing_ELA[#Data],YES_Writing_FLA[#Data]),MATCH($A356,_xlfn.VSTACK(YES_Writing_ELA[Student Number],YES_Writing_FLA[Student Number]),0),MATCH(VLOOKUP(G$7,'Writing Logic'!$J$7:$K$11,2,FALSE)&amp;" - Per "&amp;VLOOKUP($C$4,'Writing Logic'!$G$8:$H$14,2,FALSE),YES_Writing_ELA[#Headers],0))=0,"",INDEX(_xlfn.VSTACK(YES_Writing_ELA[#Data],YES_Writing_FLA[#Data]),MATCH($A356,_xlfn.VSTACK(YES_Writing_ELA[Student Number],YES_Writing_FLA[Student Number]),0),MATCH(VLOOKUP(G$7,'Writing Logic'!$J$7:$K$11,2,FALSE)&amp;" - Per "&amp;VLOOKUP($C$4,'Writing Logic'!$G$8:$H$14,2,FALSE),YES_Writing_ELA[#Headers],0)))="INS",'Writing Logic'!$B$7,IF(INDEX(_xlfn.VSTACK(YES_Writing_ELA[#Data],YES_Writing_FLA[#Data]),MATCH($A356,_xlfn.VSTACK(YES_Writing_ELA[Student Number],YES_Writing_FLA[Student Number]),0),MATCH(VLOOKUP(G$7,'Writing Logic'!$J$7:$K$11,2,FALSE)&amp;" - Per "&amp;VLOOKUP($C$4,'Writing Logic'!$G$8:$H$14,2,FALSE),YES_Writing_ELA[#Headers],0))=0,"",INDEX(_xlfn.VSTACK(YES_Writing_ELA[#Data],YES_Writing_FLA[#Data]),MATCH($A356,_xlfn.VSTACK(YES_Writing_ELA[Student Number],YES_Writing_FLA[Student Number]),0),MATCH(VLOOKUP(G$7,'Writing Logic'!$J$7:$K$11,2,FALSE)&amp;" - Per "&amp;VLOOKUP($C$4,'Writing Logic'!$G$8:$H$14,2,FALSE),YES_Writing_ELA[#Headers],0)))),"")</f>
        <v/>
      </c>
      <c r="H356" s="223" t="str">
        <f>IFERROR(IF(IF(INDEX(_xlfn.VSTACK(YES_Writing_ELA[#Data],YES_Writing_FLA[#Data]),MATCH($A356,_xlfn.VSTACK(YES_Writing_ELA[Student Number],YES_Writing_FLA[Student Number]),0),MATCH(VLOOKUP(H$7,'Writing Logic'!$J$7:$K$11,2,FALSE)&amp;" - Per "&amp;VLOOKUP($C$4,'Writing Logic'!$G$8:$H$14,2,FALSE),YES_Writing_ELA[#Headers],0))=0,"",INDEX(_xlfn.VSTACK(YES_Writing_ELA[#Data],YES_Writing_FLA[#Data]),MATCH($A356,_xlfn.VSTACK(YES_Writing_ELA[Student Number],YES_Writing_FLA[Student Number]),0),MATCH(VLOOKUP(H$7,'Writing Logic'!$J$7:$K$11,2,FALSE)&amp;" - Per "&amp;VLOOKUP($C$4,'Writing Logic'!$G$8:$H$14,2,FALSE),YES_Writing_ELA[#Headers],0)))="INS",'Writing Logic'!$B$7,IF(INDEX(_xlfn.VSTACK(YES_Writing_ELA[#Data],YES_Writing_FLA[#Data]),MATCH($A356,_xlfn.VSTACK(YES_Writing_ELA[Student Number],YES_Writing_FLA[Student Number]),0),MATCH(VLOOKUP(H$7,'Writing Logic'!$J$7:$K$11,2,FALSE)&amp;" - Per "&amp;VLOOKUP($C$4,'Writing Logic'!$G$8:$H$14,2,FALSE),YES_Writing_ELA[#Headers],0))=0,"",INDEX(_xlfn.VSTACK(YES_Writing_ELA[#Data],YES_Writing_FLA[#Data]),MATCH($A356,_xlfn.VSTACK(YES_Writing_ELA[Student Number],YES_Writing_FLA[Student Number]),0),MATCH(VLOOKUP(H$7,'Writing Logic'!$J$7:$K$11,2,FALSE)&amp;" - Per "&amp;VLOOKUP($C$4,'Writing Logic'!$G$8:$H$14,2,FALSE),YES_Writing_ELA[#Headers],0)))),"")</f>
        <v/>
      </c>
      <c r="I356" s="224" t="str" cm="1">
        <f t="array" aca="1" ref="I356" ca="1">IFERROR(
IF($G$3="ELA",
IF(VLOOKUP($A356, YES_Reading_ELA[], COLUMN(INDIRECT("YES_Reading_ELA[Difference - Per "&amp;VLOOKUP($G$4, 'Reading Report Logic'!$A$2:$B$8, 2, FALSE)&amp;"]")), FALSE)="", "",
VLOOKUP($A356,YES_Reading_ELA[], COLUMN(INDIRECT("YES_Reading_ELA[Difference - Per "&amp;VLOOKUP($G$4,'Reading Report Logic'!$A$2:$B$8,2,FALSE)&amp;"]")), FALSE)),
IF($G$3="FLA",
IF(VLOOKUP($A356, YES_Reading_FLA[], COLUMN(INDIRECT("YES_Reading_FLA[Difference - Per "&amp;VLOOKUP($G$4,'Reading Report Logic'!$A$2:$B$8,2,FALSE)&amp;"]")),FALSE)="","",
VLOOKUP($A356,YES_Reading_FLA[],COLUMN(INDIRECT("YES_Reading_FLA[Difference - Per "&amp;VLOOKUP($G$4,'Reading Report Logic'!$A$2:$B$8,2,FALSE)&amp;"]")),FALSE)),
IF($G$3="Combined",
IFERROR(
IF(VLOOKUP($A356, YES_Reading_ELA[], COLUMN(INDIRECT("YES_Reading_ELA[Difference - Per "&amp;VLOOKUP($G$4, 'Reading Report Logic'!$A$2:$B$8,2,FALSE)&amp;"]")), FALSE)="", "",
VLOOKUP($A356,YES_Reading_ELA[],COLUMN(INDIRECT("YES_Reading_ELA[Difference - Per "&amp;VLOOKUP($G$4,'Reading Report Logic'!$A$2:$B$8,2,FALSE)&amp;"]")),FALSE)),
IF(VLOOKUP($A356, YES_Reading_FLA[], COLUMN(INDIRECT("YES_Reading_FLA[Difference - Per "&amp;VLOOKUP($G$4, 'Reading Report Logic'!$A$2:$B$8, 2, FALSE)&amp;"]")),FALSE)="", "", VLOOKUP($A356,YES_Reading_FLA[],COLUMN(INDIRECT("YES_Reading_FLA[Difference - Per "&amp;VLOOKUP($G$4, 'Reading Report Logic'!$A$2:$B$8, 2, FALSE)&amp;"]")),FALSE))),""))),"")</f>
        <v/>
      </c>
    </row>
    <row r="357" spans="1:9" x14ac:dyDescent="0.25">
      <c r="A357" s="137"/>
      <c r="B357" s="137" t="str">
        <f>IFERROR(INDEX(_xlfn.VSTACK(YES_Writing_ELA[#Data], YES_Writing_FLA[#Data]),MATCH($A357,_xlfn.VSTACK(YES_Writing_ELA[Student Number], YES_Writing_FLA[Student Number]),0),MATCH(B$7,YES_Writing_ELA[#Headers],0)),IFERROR(INDEX(_xlfn.VSTACK(YES_Reading_ELA[#Data], YES_Reading_FLA[#Data]),MATCH($A357,_xlfn.VSTACK(YES_Reading_ELA[Student Number], YES_Reading_FLA[Student Number]),0),MATCH(B$7,YES_Reading_ELA[#Headers],0)),""))</f>
        <v/>
      </c>
      <c r="C357" s="137" t="str">
        <f>IFERROR(INDEX(_xlfn.VSTACK(YES_Writing_ELA[#Data], YES_Writing_FLA[#Data]),MATCH($A357,_xlfn.VSTACK(YES_Writing_ELA[Student Number], YES_Writing_FLA[Student Number]),0),MATCH(C$7,YES_Writing_ELA[#Headers],0)),IFERROR(INDEX(_xlfn.VSTACK(YES_Reading_ELA[#Data], YES_Reading_FLA[#Data]),MATCH($A357,_xlfn.VSTACK(YES_Reading_ELA[Student Number], YES_Reading_FLA[Student Number]),0),MATCH(C$7,YES_Reading_ELA[#Headers],0)),""))</f>
        <v/>
      </c>
      <c r="D357" s="138" t="str">
        <f>IFERROR(IF(IF(INDEX(_xlfn.VSTACK(YES_Writing_ELA[#Data],YES_Writing_FLA[#Data]),MATCH($A357,_xlfn.VSTACK(YES_Writing_ELA[Student Number],YES_Writing_FLA[Student Number]),0),MATCH(VLOOKUP(D$7,'Writing Logic'!$J$7:$K$11,2,FALSE)&amp;" - Per "&amp;VLOOKUP($C$4,'Writing Logic'!$G$8:$H$14,2,FALSE),YES_Writing_ELA[#Headers],0))=0,"",INDEX(_xlfn.VSTACK(YES_Writing_ELA[#Data],YES_Writing_FLA[#Data]),MATCH($A357,_xlfn.VSTACK(YES_Writing_ELA[Student Number],YES_Writing_FLA[Student Number]),0),MATCH(VLOOKUP(D$7,'Writing Logic'!$J$7:$K$11,2,FALSE)&amp;" - Per "&amp;VLOOKUP($C$4,'Writing Logic'!$G$8:$H$14,2,FALSE),YES_Writing_ELA[#Headers],0)))="INS",'Writing Logic'!$B$7,IF(INDEX(_xlfn.VSTACK(YES_Writing_ELA[#Data],YES_Writing_FLA[#Data]),MATCH($A357,_xlfn.VSTACK(YES_Writing_ELA[Student Number],YES_Writing_FLA[Student Number]),0),MATCH(VLOOKUP(D$7,'Writing Logic'!$J$7:$K$11,2,FALSE)&amp;" - Per "&amp;VLOOKUP($C$4,'Writing Logic'!$G$8:$H$14,2,FALSE),YES_Writing_ELA[#Headers],0))=0,"",INDEX(_xlfn.VSTACK(YES_Writing_ELA[#Data],YES_Writing_FLA[#Data]),MATCH($A357,_xlfn.VSTACK(YES_Writing_ELA[Student Number],YES_Writing_FLA[Student Number]),0),MATCH(VLOOKUP(D$7,'Writing Logic'!$J$7:$K$11,2,FALSE)&amp;" - Per "&amp;VLOOKUP($C$4,'Writing Logic'!$G$8:$H$14,2,FALSE),YES_Writing_ELA[#Headers],0)))),"")</f>
        <v/>
      </c>
      <c r="E357" s="138" t="str">
        <f>IFERROR(IF(IF(INDEX(_xlfn.VSTACK(YES_Writing_ELA[#Data],YES_Writing_FLA[#Data]),MATCH($A357,_xlfn.VSTACK(YES_Writing_ELA[Student Number],YES_Writing_FLA[Student Number]),0),MATCH(VLOOKUP(E$7,'Writing Logic'!$J$7:$K$11,2,FALSE)&amp;" - Per "&amp;VLOOKUP($C$4,'Writing Logic'!$G$8:$H$14,2,FALSE),YES_Writing_ELA[#Headers],0))=0,"",INDEX(_xlfn.VSTACK(YES_Writing_ELA[#Data],YES_Writing_FLA[#Data]),MATCH($A357,_xlfn.VSTACK(YES_Writing_ELA[Student Number],YES_Writing_FLA[Student Number]),0),MATCH(VLOOKUP(E$7,'Writing Logic'!$J$7:$K$11,2,FALSE)&amp;" - Per "&amp;VLOOKUP($C$4,'Writing Logic'!$G$8:$H$14,2,FALSE),YES_Writing_ELA[#Headers],0)))="INS",'Writing Logic'!$B$7,IF(INDEX(_xlfn.VSTACK(YES_Writing_ELA[#Data],YES_Writing_FLA[#Data]),MATCH($A357,_xlfn.VSTACK(YES_Writing_ELA[Student Number],YES_Writing_FLA[Student Number]),0),MATCH(VLOOKUP(E$7,'Writing Logic'!$J$7:$K$11,2,FALSE)&amp;" - Per "&amp;VLOOKUP($C$4,'Writing Logic'!$G$8:$H$14,2,FALSE),YES_Writing_ELA[#Headers],0))=0,"",INDEX(_xlfn.VSTACK(YES_Writing_ELA[#Data],YES_Writing_FLA[#Data]),MATCH($A357,_xlfn.VSTACK(YES_Writing_ELA[Student Number],YES_Writing_FLA[Student Number]),0),MATCH(VLOOKUP(E$7,'Writing Logic'!$J$7:$K$11,2,FALSE)&amp;" - Per "&amp;VLOOKUP($C$4,'Writing Logic'!$G$8:$H$14,2,FALSE),YES_Writing_ELA[#Headers],0)))),"")</f>
        <v/>
      </c>
      <c r="F357" s="138" t="str">
        <f>IFERROR(IF(IF(INDEX(_xlfn.VSTACK(YES_Writing_ELA[#Data],YES_Writing_FLA[#Data]),MATCH($A357,_xlfn.VSTACK(YES_Writing_ELA[Student Number],YES_Writing_FLA[Student Number]),0),MATCH(VLOOKUP(F$7,'Writing Logic'!$J$7:$K$11,2,FALSE)&amp;" - Per "&amp;VLOOKUP($C$4,'Writing Logic'!$G$8:$H$14,2,FALSE),YES_Writing_ELA[#Headers],0))=0,"",INDEX(_xlfn.VSTACK(YES_Writing_ELA[#Data],YES_Writing_FLA[#Data]),MATCH($A357,_xlfn.VSTACK(YES_Writing_ELA[Student Number],YES_Writing_FLA[Student Number]),0),MATCH(VLOOKUP(F$7,'Writing Logic'!$J$7:$K$11,2,FALSE)&amp;" - Per "&amp;VLOOKUP($C$4,'Writing Logic'!$G$8:$H$14,2,FALSE),YES_Writing_ELA[#Headers],0)))="INS",'Writing Logic'!$B$7,IF(INDEX(_xlfn.VSTACK(YES_Writing_ELA[#Data],YES_Writing_FLA[#Data]),MATCH($A357,_xlfn.VSTACK(YES_Writing_ELA[Student Number],YES_Writing_FLA[Student Number]),0),MATCH(VLOOKUP(F$7,'Writing Logic'!$J$7:$K$11,2,FALSE)&amp;" - Per "&amp;VLOOKUP($C$4,'Writing Logic'!$G$8:$H$14,2,FALSE),YES_Writing_ELA[#Headers],0))=0,"",INDEX(_xlfn.VSTACK(YES_Writing_ELA[#Data],YES_Writing_FLA[#Data]),MATCH($A357,_xlfn.VSTACK(YES_Writing_ELA[Student Number],YES_Writing_FLA[Student Number]),0),MATCH(VLOOKUP(F$7,'Writing Logic'!$J$7:$K$11,2,FALSE)&amp;" - Per "&amp;VLOOKUP($C$4,'Writing Logic'!$G$8:$H$14,2,FALSE),YES_Writing_ELA[#Headers],0)))),"")</f>
        <v/>
      </c>
      <c r="G357" s="138" t="str">
        <f>IFERROR(IF(IF(INDEX(_xlfn.VSTACK(YES_Writing_ELA[#Data],YES_Writing_FLA[#Data]),MATCH($A357,_xlfn.VSTACK(YES_Writing_ELA[Student Number],YES_Writing_FLA[Student Number]),0),MATCH(VLOOKUP(G$7,'Writing Logic'!$J$7:$K$11,2,FALSE)&amp;" - Per "&amp;VLOOKUP($C$4,'Writing Logic'!$G$8:$H$14,2,FALSE),YES_Writing_ELA[#Headers],0))=0,"",INDEX(_xlfn.VSTACK(YES_Writing_ELA[#Data],YES_Writing_FLA[#Data]),MATCH($A357,_xlfn.VSTACK(YES_Writing_ELA[Student Number],YES_Writing_FLA[Student Number]),0),MATCH(VLOOKUP(G$7,'Writing Logic'!$J$7:$K$11,2,FALSE)&amp;" - Per "&amp;VLOOKUP($C$4,'Writing Logic'!$G$8:$H$14,2,FALSE),YES_Writing_ELA[#Headers],0)))="INS",'Writing Logic'!$B$7,IF(INDEX(_xlfn.VSTACK(YES_Writing_ELA[#Data],YES_Writing_FLA[#Data]),MATCH($A357,_xlfn.VSTACK(YES_Writing_ELA[Student Number],YES_Writing_FLA[Student Number]),0),MATCH(VLOOKUP(G$7,'Writing Logic'!$J$7:$K$11,2,FALSE)&amp;" - Per "&amp;VLOOKUP($C$4,'Writing Logic'!$G$8:$H$14,2,FALSE),YES_Writing_ELA[#Headers],0))=0,"",INDEX(_xlfn.VSTACK(YES_Writing_ELA[#Data],YES_Writing_FLA[#Data]),MATCH($A357,_xlfn.VSTACK(YES_Writing_ELA[Student Number],YES_Writing_FLA[Student Number]),0),MATCH(VLOOKUP(G$7,'Writing Logic'!$J$7:$K$11,2,FALSE)&amp;" - Per "&amp;VLOOKUP($C$4,'Writing Logic'!$G$8:$H$14,2,FALSE),YES_Writing_ELA[#Headers],0)))),"")</f>
        <v/>
      </c>
      <c r="H357" s="223" t="str">
        <f>IFERROR(IF(IF(INDEX(_xlfn.VSTACK(YES_Writing_ELA[#Data],YES_Writing_FLA[#Data]),MATCH($A357,_xlfn.VSTACK(YES_Writing_ELA[Student Number],YES_Writing_FLA[Student Number]),0),MATCH(VLOOKUP(H$7,'Writing Logic'!$J$7:$K$11,2,FALSE)&amp;" - Per "&amp;VLOOKUP($C$4,'Writing Logic'!$G$8:$H$14,2,FALSE),YES_Writing_ELA[#Headers],0))=0,"",INDEX(_xlfn.VSTACK(YES_Writing_ELA[#Data],YES_Writing_FLA[#Data]),MATCH($A357,_xlfn.VSTACK(YES_Writing_ELA[Student Number],YES_Writing_FLA[Student Number]),0),MATCH(VLOOKUP(H$7,'Writing Logic'!$J$7:$K$11,2,FALSE)&amp;" - Per "&amp;VLOOKUP($C$4,'Writing Logic'!$G$8:$H$14,2,FALSE),YES_Writing_ELA[#Headers],0)))="INS",'Writing Logic'!$B$7,IF(INDEX(_xlfn.VSTACK(YES_Writing_ELA[#Data],YES_Writing_FLA[#Data]),MATCH($A357,_xlfn.VSTACK(YES_Writing_ELA[Student Number],YES_Writing_FLA[Student Number]),0),MATCH(VLOOKUP(H$7,'Writing Logic'!$J$7:$K$11,2,FALSE)&amp;" - Per "&amp;VLOOKUP($C$4,'Writing Logic'!$G$8:$H$14,2,FALSE),YES_Writing_ELA[#Headers],0))=0,"",INDEX(_xlfn.VSTACK(YES_Writing_ELA[#Data],YES_Writing_FLA[#Data]),MATCH($A357,_xlfn.VSTACK(YES_Writing_ELA[Student Number],YES_Writing_FLA[Student Number]),0),MATCH(VLOOKUP(H$7,'Writing Logic'!$J$7:$K$11,2,FALSE)&amp;" - Per "&amp;VLOOKUP($C$4,'Writing Logic'!$G$8:$H$14,2,FALSE),YES_Writing_ELA[#Headers],0)))),"")</f>
        <v/>
      </c>
      <c r="I357" s="224" t="str" cm="1">
        <f t="array" aca="1" ref="I357" ca="1">IFERROR(
IF($G$3="ELA",
IF(VLOOKUP($A357, YES_Reading_ELA[], COLUMN(INDIRECT("YES_Reading_ELA[Difference - Per "&amp;VLOOKUP($G$4, 'Reading Report Logic'!$A$2:$B$8, 2, FALSE)&amp;"]")), FALSE)="", "",
VLOOKUP($A357,YES_Reading_ELA[], COLUMN(INDIRECT("YES_Reading_ELA[Difference - Per "&amp;VLOOKUP($G$4,'Reading Report Logic'!$A$2:$B$8,2,FALSE)&amp;"]")), FALSE)),
IF($G$3="FLA",
IF(VLOOKUP($A357, YES_Reading_FLA[], COLUMN(INDIRECT("YES_Reading_FLA[Difference - Per "&amp;VLOOKUP($G$4,'Reading Report Logic'!$A$2:$B$8,2,FALSE)&amp;"]")),FALSE)="","",
VLOOKUP($A357,YES_Reading_FLA[],COLUMN(INDIRECT("YES_Reading_FLA[Difference - Per "&amp;VLOOKUP($G$4,'Reading Report Logic'!$A$2:$B$8,2,FALSE)&amp;"]")),FALSE)),
IF($G$3="Combined",
IFERROR(
IF(VLOOKUP($A357, YES_Reading_ELA[], COLUMN(INDIRECT("YES_Reading_ELA[Difference - Per "&amp;VLOOKUP($G$4, 'Reading Report Logic'!$A$2:$B$8,2,FALSE)&amp;"]")), FALSE)="", "",
VLOOKUP($A357,YES_Reading_ELA[],COLUMN(INDIRECT("YES_Reading_ELA[Difference - Per "&amp;VLOOKUP($G$4,'Reading Report Logic'!$A$2:$B$8,2,FALSE)&amp;"]")),FALSE)),
IF(VLOOKUP($A357, YES_Reading_FLA[], COLUMN(INDIRECT("YES_Reading_FLA[Difference - Per "&amp;VLOOKUP($G$4, 'Reading Report Logic'!$A$2:$B$8, 2, FALSE)&amp;"]")),FALSE)="", "", VLOOKUP($A357,YES_Reading_FLA[],COLUMN(INDIRECT("YES_Reading_FLA[Difference - Per "&amp;VLOOKUP($G$4, 'Reading Report Logic'!$A$2:$B$8, 2, FALSE)&amp;"]")),FALSE))),""))),"")</f>
        <v/>
      </c>
    </row>
    <row r="358" spans="1:9" x14ac:dyDescent="0.25">
      <c r="A358" s="137"/>
      <c r="B358" s="137" t="str">
        <f>IFERROR(INDEX(_xlfn.VSTACK(YES_Writing_ELA[#Data], YES_Writing_FLA[#Data]),MATCH($A358,_xlfn.VSTACK(YES_Writing_ELA[Student Number], YES_Writing_FLA[Student Number]),0),MATCH(B$7,YES_Writing_ELA[#Headers],0)),IFERROR(INDEX(_xlfn.VSTACK(YES_Reading_ELA[#Data], YES_Reading_FLA[#Data]),MATCH($A358,_xlfn.VSTACK(YES_Reading_ELA[Student Number], YES_Reading_FLA[Student Number]),0),MATCH(B$7,YES_Reading_ELA[#Headers],0)),""))</f>
        <v/>
      </c>
      <c r="C358" s="137" t="str">
        <f>IFERROR(INDEX(_xlfn.VSTACK(YES_Writing_ELA[#Data], YES_Writing_FLA[#Data]),MATCH($A358,_xlfn.VSTACK(YES_Writing_ELA[Student Number], YES_Writing_FLA[Student Number]),0),MATCH(C$7,YES_Writing_ELA[#Headers],0)),IFERROR(INDEX(_xlfn.VSTACK(YES_Reading_ELA[#Data], YES_Reading_FLA[#Data]),MATCH($A358,_xlfn.VSTACK(YES_Reading_ELA[Student Number], YES_Reading_FLA[Student Number]),0),MATCH(C$7,YES_Reading_ELA[#Headers],0)),""))</f>
        <v/>
      </c>
      <c r="D358" s="138" t="str">
        <f>IFERROR(IF(IF(INDEX(_xlfn.VSTACK(YES_Writing_ELA[#Data],YES_Writing_FLA[#Data]),MATCH($A358,_xlfn.VSTACK(YES_Writing_ELA[Student Number],YES_Writing_FLA[Student Number]),0),MATCH(VLOOKUP(D$7,'Writing Logic'!$J$7:$K$11,2,FALSE)&amp;" - Per "&amp;VLOOKUP($C$4,'Writing Logic'!$G$8:$H$14,2,FALSE),YES_Writing_ELA[#Headers],0))=0,"",INDEX(_xlfn.VSTACK(YES_Writing_ELA[#Data],YES_Writing_FLA[#Data]),MATCH($A358,_xlfn.VSTACK(YES_Writing_ELA[Student Number],YES_Writing_FLA[Student Number]),0),MATCH(VLOOKUP(D$7,'Writing Logic'!$J$7:$K$11,2,FALSE)&amp;" - Per "&amp;VLOOKUP($C$4,'Writing Logic'!$G$8:$H$14,2,FALSE),YES_Writing_ELA[#Headers],0)))="INS",'Writing Logic'!$B$7,IF(INDEX(_xlfn.VSTACK(YES_Writing_ELA[#Data],YES_Writing_FLA[#Data]),MATCH($A358,_xlfn.VSTACK(YES_Writing_ELA[Student Number],YES_Writing_FLA[Student Number]),0),MATCH(VLOOKUP(D$7,'Writing Logic'!$J$7:$K$11,2,FALSE)&amp;" - Per "&amp;VLOOKUP($C$4,'Writing Logic'!$G$8:$H$14,2,FALSE),YES_Writing_ELA[#Headers],0))=0,"",INDEX(_xlfn.VSTACK(YES_Writing_ELA[#Data],YES_Writing_FLA[#Data]),MATCH($A358,_xlfn.VSTACK(YES_Writing_ELA[Student Number],YES_Writing_FLA[Student Number]),0),MATCH(VLOOKUP(D$7,'Writing Logic'!$J$7:$K$11,2,FALSE)&amp;" - Per "&amp;VLOOKUP($C$4,'Writing Logic'!$G$8:$H$14,2,FALSE),YES_Writing_ELA[#Headers],0)))),"")</f>
        <v/>
      </c>
      <c r="E358" s="138" t="str">
        <f>IFERROR(IF(IF(INDEX(_xlfn.VSTACK(YES_Writing_ELA[#Data],YES_Writing_FLA[#Data]),MATCH($A358,_xlfn.VSTACK(YES_Writing_ELA[Student Number],YES_Writing_FLA[Student Number]),0),MATCH(VLOOKUP(E$7,'Writing Logic'!$J$7:$K$11,2,FALSE)&amp;" - Per "&amp;VLOOKUP($C$4,'Writing Logic'!$G$8:$H$14,2,FALSE),YES_Writing_ELA[#Headers],0))=0,"",INDEX(_xlfn.VSTACK(YES_Writing_ELA[#Data],YES_Writing_FLA[#Data]),MATCH($A358,_xlfn.VSTACK(YES_Writing_ELA[Student Number],YES_Writing_FLA[Student Number]),0),MATCH(VLOOKUP(E$7,'Writing Logic'!$J$7:$K$11,2,FALSE)&amp;" - Per "&amp;VLOOKUP($C$4,'Writing Logic'!$G$8:$H$14,2,FALSE),YES_Writing_ELA[#Headers],0)))="INS",'Writing Logic'!$B$7,IF(INDEX(_xlfn.VSTACK(YES_Writing_ELA[#Data],YES_Writing_FLA[#Data]),MATCH($A358,_xlfn.VSTACK(YES_Writing_ELA[Student Number],YES_Writing_FLA[Student Number]),0),MATCH(VLOOKUP(E$7,'Writing Logic'!$J$7:$K$11,2,FALSE)&amp;" - Per "&amp;VLOOKUP($C$4,'Writing Logic'!$G$8:$H$14,2,FALSE),YES_Writing_ELA[#Headers],0))=0,"",INDEX(_xlfn.VSTACK(YES_Writing_ELA[#Data],YES_Writing_FLA[#Data]),MATCH($A358,_xlfn.VSTACK(YES_Writing_ELA[Student Number],YES_Writing_FLA[Student Number]),0),MATCH(VLOOKUP(E$7,'Writing Logic'!$J$7:$K$11,2,FALSE)&amp;" - Per "&amp;VLOOKUP($C$4,'Writing Logic'!$G$8:$H$14,2,FALSE),YES_Writing_ELA[#Headers],0)))),"")</f>
        <v/>
      </c>
      <c r="F358" s="138" t="str">
        <f>IFERROR(IF(IF(INDEX(_xlfn.VSTACK(YES_Writing_ELA[#Data],YES_Writing_FLA[#Data]),MATCH($A358,_xlfn.VSTACK(YES_Writing_ELA[Student Number],YES_Writing_FLA[Student Number]),0),MATCH(VLOOKUP(F$7,'Writing Logic'!$J$7:$K$11,2,FALSE)&amp;" - Per "&amp;VLOOKUP($C$4,'Writing Logic'!$G$8:$H$14,2,FALSE),YES_Writing_ELA[#Headers],0))=0,"",INDEX(_xlfn.VSTACK(YES_Writing_ELA[#Data],YES_Writing_FLA[#Data]),MATCH($A358,_xlfn.VSTACK(YES_Writing_ELA[Student Number],YES_Writing_FLA[Student Number]),0),MATCH(VLOOKUP(F$7,'Writing Logic'!$J$7:$K$11,2,FALSE)&amp;" - Per "&amp;VLOOKUP($C$4,'Writing Logic'!$G$8:$H$14,2,FALSE),YES_Writing_ELA[#Headers],0)))="INS",'Writing Logic'!$B$7,IF(INDEX(_xlfn.VSTACK(YES_Writing_ELA[#Data],YES_Writing_FLA[#Data]),MATCH($A358,_xlfn.VSTACK(YES_Writing_ELA[Student Number],YES_Writing_FLA[Student Number]),0),MATCH(VLOOKUP(F$7,'Writing Logic'!$J$7:$K$11,2,FALSE)&amp;" - Per "&amp;VLOOKUP($C$4,'Writing Logic'!$G$8:$H$14,2,FALSE),YES_Writing_ELA[#Headers],0))=0,"",INDEX(_xlfn.VSTACK(YES_Writing_ELA[#Data],YES_Writing_FLA[#Data]),MATCH($A358,_xlfn.VSTACK(YES_Writing_ELA[Student Number],YES_Writing_FLA[Student Number]),0),MATCH(VLOOKUP(F$7,'Writing Logic'!$J$7:$K$11,2,FALSE)&amp;" - Per "&amp;VLOOKUP($C$4,'Writing Logic'!$G$8:$H$14,2,FALSE),YES_Writing_ELA[#Headers],0)))),"")</f>
        <v/>
      </c>
      <c r="G358" s="138" t="str">
        <f>IFERROR(IF(IF(INDEX(_xlfn.VSTACK(YES_Writing_ELA[#Data],YES_Writing_FLA[#Data]),MATCH($A358,_xlfn.VSTACK(YES_Writing_ELA[Student Number],YES_Writing_FLA[Student Number]),0),MATCH(VLOOKUP(G$7,'Writing Logic'!$J$7:$K$11,2,FALSE)&amp;" - Per "&amp;VLOOKUP($C$4,'Writing Logic'!$G$8:$H$14,2,FALSE),YES_Writing_ELA[#Headers],0))=0,"",INDEX(_xlfn.VSTACK(YES_Writing_ELA[#Data],YES_Writing_FLA[#Data]),MATCH($A358,_xlfn.VSTACK(YES_Writing_ELA[Student Number],YES_Writing_FLA[Student Number]),0),MATCH(VLOOKUP(G$7,'Writing Logic'!$J$7:$K$11,2,FALSE)&amp;" - Per "&amp;VLOOKUP($C$4,'Writing Logic'!$G$8:$H$14,2,FALSE),YES_Writing_ELA[#Headers],0)))="INS",'Writing Logic'!$B$7,IF(INDEX(_xlfn.VSTACK(YES_Writing_ELA[#Data],YES_Writing_FLA[#Data]),MATCH($A358,_xlfn.VSTACK(YES_Writing_ELA[Student Number],YES_Writing_FLA[Student Number]),0),MATCH(VLOOKUP(G$7,'Writing Logic'!$J$7:$K$11,2,FALSE)&amp;" - Per "&amp;VLOOKUP($C$4,'Writing Logic'!$G$8:$H$14,2,FALSE),YES_Writing_ELA[#Headers],0))=0,"",INDEX(_xlfn.VSTACK(YES_Writing_ELA[#Data],YES_Writing_FLA[#Data]),MATCH($A358,_xlfn.VSTACK(YES_Writing_ELA[Student Number],YES_Writing_FLA[Student Number]),0),MATCH(VLOOKUP(G$7,'Writing Logic'!$J$7:$K$11,2,FALSE)&amp;" - Per "&amp;VLOOKUP($C$4,'Writing Logic'!$G$8:$H$14,2,FALSE),YES_Writing_ELA[#Headers],0)))),"")</f>
        <v/>
      </c>
      <c r="H358" s="223" t="str">
        <f>IFERROR(IF(IF(INDEX(_xlfn.VSTACK(YES_Writing_ELA[#Data],YES_Writing_FLA[#Data]),MATCH($A358,_xlfn.VSTACK(YES_Writing_ELA[Student Number],YES_Writing_FLA[Student Number]),0),MATCH(VLOOKUP(H$7,'Writing Logic'!$J$7:$K$11,2,FALSE)&amp;" - Per "&amp;VLOOKUP($C$4,'Writing Logic'!$G$8:$H$14,2,FALSE),YES_Writing_ELA[#Headers],0))=0,"",INDEX(_xlfn.VSTACK(YES_Writing_ELA[#Data],YES_Writing_FLA[#Data]),MATCH($A358,_xlfn.VSTACK(YES_Writing_ELA[Student Number],YES_Writing_FLA[Student Number]),0),MATCH(VLOOKUP(H$7,'Writing Logic'!$J$7:$K$11,2,FALSE)&amp;" - Per "&amp;VLOOKUP($C$4,'Writing Logic'!$G$8:$H$14,2,FALSE),YES_Writing_ELA[#Headers],0)))="INS",'Writing Logic'!$B$7,IF(INDEX(_xlfn.VSTACK(YES_Writing_ELA[#Data],YES_Writing_FLA[#Data]),MATCH($A358,_xlfn.VSTACK(YES_Writing_ELA[Student Number],YES_Writing_FLA[Student Number]),0),MATCH(VLOOKUP(H$7,'Writing Logic'!$J$7:$K$11,2,FALSE)&amp;" - Per "&amp;VLOOKUP($C$4,'Writing Logic'!$G$8:$H$14,2,FALSE),YES_Writing_ELA[#Headers],0))=0,"",INDEX(_xlfn.VSTACK(YES_Writing_ELA[#Data],YES_Writing_FLA[#Data]),MATCH($A358,_xlfn.VSTACK(YES_Writing_ELA[Student Number],YES_Writing_FLA[Student Number]),0),MATCH(VLOOKUP(H$7,'Writing Logic'!$J$7:$K$11,2,FALSE)&amp;" - Per "&amp;VLOOKUP($C$4,'Writing Logic'!$G$8:$H$14,2,FALSE),YES_Writing_ELA[#Headers],0)))),"")</f>
        <v/>
      </c>
      <c r="I358" s="224" t="str" cm="1">
        <f t="array" aca="1" ref="I358" ca="1">IFERROR(
IF($G$3="ELA",
IF(VLOOKUP($A358, YES_Reading_ELA[], COLUMN(INDIRECT("YES_Reading_ELA[Difference - Per "&amp;VLOOKUP($G$4, 'Reading Report Logic'!$A$2:$B$8, 2, FALSE)&amp;"]")), FALSE)="", "",
VLOOKUP($A358,YES_Reading_ELA[], COLUMN(INDIRECT("YES_Reading_ELA[Difference - Per "&amp;VLOOKUP($G$4,'Reading Report Logic'!$A$2:$B$8,2,FALSE)&amp;"]")), FALSE)),
IF($G$3="FLA",
IF(VLOOKUP($A358, YES_Reading_FLA[], COLUMN(INDIRECT("YES_Reading_FLA[Difference - Per "&amp;VLOOKUP($G$4,'Reading Report Logic'!$A$2:$B$8,2,FALSE)&amp;"]")),FALSE)="","",
VLOOKUP($A358,YES_Reading_FLA[],COLUMN(INDIRECT("YES_Reading_FLA[Difference - Per "&amp;VLOOKUP($G$4,'Reading Report Logic'!$A$2:$B$8,2,FALSE)&amp;"]")),FALSE)),
IF($G$3="Combined",
IFERROR(
IF(VLOOKUP($A358, YES_Reading_ELA[], COLUMN(INDIRECT("YES_Reading_ELA[Difference - Per "&amp;VLOOKUP($G$4, 'Reading Report Logic'!$A$2:$B$8,2,FALSE)&amp;"]")), FALSE)="", "",
VLOOKUP($A358,YES_Reading_ELA[],COLUMN(INDIRECT("YES_Reading_ELA[Difference - Per "&amp;VLOOKUP($G$4,'Reading Report Logic'!$A$2:$B$8,2,FALSE)&amp;"]")),FALSE)),
IF(VLOOKUP($A358, YES_Reading_FLA[], COLUMN(INDIRECT("YES_Reading_FLA[Difference - Per "&amp;VLOOKUP($G$4, 'Reading Report Logic'!$A$2:$B$8, 2, FALSE)&amp;"]")),FALSE)="", "", VLOOKUP($A358,YES_Reading_FLA[],COLUMN(INDIRECT("YES_Reading_FLA[Difference - Per "&amp;VLOOKUP($G$4, 'Reading Report Logic'!$A$2:$B$8, 2, FALSE)&amp;"]")),FALSE))),""))),"")</f>
        <v/>
      </c>
    </row>
    <row r="359" spans="1:9" x14ac:dyDescent="0.25">
      <c r="A359" s="137"/>
      <c r="B359" s="137" t="str">
        <f>IFERROR(INDEX(_xlfn.VSTACK(YES_Writing_ELA[#Data], YES_Writing_FLA[#Data]),MATCH($A359,_xlfn.VSTACK(YES_Writing_ELA[Student Number], YES_Writing_FLA[Student Number]),0),MATCH(B$7,YES_Writing_ELA[#Headers],0)),IFERROR(INDEX(_xlfn.VSTACK(YES_Reading_ELA[#Data], YES_Reading_FLA[#Data]),MATCH($A359,_xlfn.VSTACK(YES_Reading_ELA[Student Number], YES_Reading_FLA[Student Number]),0),MATCH(B$7,YES_Reading_ELA[#Headers],0)),""))</f>
        <v/>
      </c>
      <c r="C359" s="137" t="str">
        <f>IFERROR(INDEX(_xlfn.VSTACK(YES_Writing_ELA[#Data], YES_Writing_FLA[#Data]),MATCH($A359,_xlfn.VSTACK(YES_Writing_ELA[Student Number], YES_Writing_FLA[Student Number]),0),MATCH(C$7,YES_Writing_ELA[#Headers],0)),IFERROR(INDEX(_xlfn.VSTACK(YES_Reading_ELA[#Data], YES_Reading_FLA[#Data]),MATCH($A359,_xlfn.VSTACK(YES_Reading_ELA[Student Number], YES_Reading_FLA[Student Number]),0),MATCH(C$7,YES_Reading_ELA[#Headers],0)),""))</f>
        <v/>
      </c>
      <c r="D359" s="138" t="str">
        <f>IFERROR(IF(IF(INDEX(_xlfn.VSTACK(YES_Writing_ELA[#Data],YES_Writing_FLA[#Data]),MATCH($A359,_xlfn.VSTACK(YES_Writing_ELA[Student Number],YES_Writing_FLA[Student Number]),0),MATCH(VLOOKUP(D$7,'Writing Logic'!$J$7:$K$11,2,FALSE)&amp;" - Per "&amp;VLOOKUP($C$4,'Writing Logic'!$G$8:$H$14,2,FALSE),YES_Writing_ELA[#Headers],0))=0,"",INDEX(_xlfn.VSTACK(YES_Writing_ELA[#Data],YES_Writing_FLA[#Data]),MATCH($A359,_xlfn.VSTACK(YES_Writing_ELA[Student Number],YES_Writing_FLA[Student Number]),0),MATCH(VLOOKUP(D$7,'Writing Logic'!$J$7:$K$11,2,FALSE)&amp;" - Per "&amp;VLOOKUP($C$4,'Writing Logic'!$G$8:$H$14,2,FALSE),YES_Writing_ELA[#Headers],0)))="INS",'Writing Logic'!$B$7,IF(INDEX(_xlfn.VSTACK(YES_Writing_ELA[#Data],YES_Writing_FLA[#Data]),MATCH($A359,_xlfn.VSTACK(YES_Writing_ELA[Student Number],YES_Writing_FLA[Student Number]),0),MATCH(VLOOKUP(D$7,'Writing Logic'!$J$7:$K$11,2,FALSE)&amp;" - Per "&amp;VLOOKUP($C$4,'Writing Logic'!$G$8:$H$14,2,FALSE),YES_Writing_ELA[#Headers],0))=0,"",INDEX(_xlfn.VSTACK(YES_Writing_ELA[#Data],YES_Writing_FLA[#Data]),MATCH($A359,_xlfn.VSTACK(YES_Writing_ELA[Student Number],YES_Writing_FLA[Student Number]),0),MATCH(VLOOKUP(D$7,'Writing Logic'!$J$7:$K$11,2,FALSE)&amp;" - Per "&amp;VLOOKUP($C$4,'Writing Logic'!$G$8:$H$14,2,FALSE),YES_Writing_ELA[#Headers],0)))),"")</f>
        <v/>
      </c>
      <c r="E359" s="138" t="str">
        <f>IFERROR(IF(IF(INDEX(_xlfn.VSTACK(YES_Writing_ELA[#Data],YES_Writing_FLA[#Data]),MATCH($A359,_xlfn.VSTACK(YES_Writing_ELA[Student Number],YES_Writing_FLA[Student Number]),0),MATCH(VLOOKUP(E$7,'Writing Logic'!$J$7:$K$11,2,FALSE)&amp;" - Per "&amp;VLOOKUP($C$4,'Writing Logic'!$G$8:$H$14,2,FALSE),YES_Writing_ELA[#Headers],0))=0,"",INDEX(_xlfn.VSTACK(YES_Writing_ELA[#Data],YES_Writing_FLA[#Data]),MATCH($A359,_xlfn.VSTACK(YES_Writing_ELA[Student Number],YES_Writing_FLA[Student Number]),0),MATCH(VLOOKUP(E$7,'Writing Logic'!$J$7:$K$11,2,FALSE)&amp;" - Per "&amp;VLOOKUP($C$4,'Writing Logic'!$G$8:$H$14,2,FALSE),YES_Writing_ELA[#Headers],0)))="INS",'Writing Logic'!$B$7,IF(INDEX(_xlfn.VSTACK(YES_Writing_ELA[#Data],YES_Writing_FLA[#Data]),MATCH($A359,_xlfn.VSTACK(YES_Writing_ELA[Student Number],YES_Writing_FLA[Student Number]),0),MATCH(VLOOKUP(E$7,'Writing Logic'!$J$7:$K$11,2,FALSE)&amp;" - Per "&amp;VLOOKUP($C$4,'Writing Logic'!$G$8:$H$14,2,FALSE),YES_Writing_ELA[#Headers],0))=0,"",INDEX(_xlfn.VSTACK(YES_Writing_ELA[#Data],YES_Writing_FLA[#Data]),MATCH($A359,_xlfn.VSTACK(YES_Writing_ELA[Student Number],YES_Writing_FLA[Student Number]),0),MATCH(VLOOKUP(E$7,'Writing Logic'!$J$7:$K$11,2,FALSE)&amp;" - Per "&amp;VLOOKUP($C$4,'Writing Logic'!$G$8:$H$14,2,FALSE),YES_Writing_ELA[#Headers],0)))),"")</f>
        <v/>
      </c>
      <c r="F359" s="138" t="str">
        <f>IFERROR(IF(IF(INDEX(_xlfn.VSTACK(YES_Writing_ELA[#Data],YES_Writing_FLA[#Data]),MATCH($A359,_xlfn.VSTACK(YES_Writing_ELA[Student Number],YES_Writing_FLA[Student Number]),0),MATCH(VLOOKUP(F$7,'Writing Logic'!$J$7:$K$11,2,FALSE)&amp;" - Per "&amp;VLOOKUP($C$4,'Writing Logic'!$G$8:$H$14,2,FALSE),YES_Writing_ELA[#Headers],0))=0,"",INDEX(_xlfn.VSTACK(YES_Writing_ELA[#Data],YES_Writing_FLA[#Data]),MATCH($A359,_xlfn.VSTACK(YES_Writing_ELA[Student Number],YES_Writing_FLA[Student Number]),0),MATCH(VLOOKUP(F$7,'Writing Logic'!$J$7:$K$11,2,FALSE)&amp;" - Per "&amp;VLOOKUP($C$4,'Writing Logic'!$G$8:$H$14,2,FALSE),YES_Writing_ELA[#Headers],0)))="INS",'Writing Logic'!$B$7,IF(INDEX(_xlfn.VSTACK(YES_Writing_ELA[#Data],YES_Writing_FLA[#Data]),MATCH($A359,_xlfn.VSTACK(YES_Writing_ELA[Student Number],YES_Writing_FLA[Student Number]),0),MATCH(VLOOKUP(F$7,'Writing Logic'!$J$7:$K$11,2,FALSE)&amp;" - Per "&amp;VLOOKUP($C$4,'Writing Logic'!$G$8:$H$14,2,FALSE),YES_Writing_ELA[#Headers],0))=0,"",INDEX(_xlfn.VSTACK(YES_Writing_ELA[#Data],YES_Writing_FLA[#Data]),MATCH($A359,_xlfn.VSTACK(YES_Writing_ELA[Student Number],YES_Writing_FLA[Student Number]),0),MATCH(VLOOKUP(F$7,'Writing Logic'!$J$7:$K$11,2,FALSE)&amp;" - Per "&amp;VLOOKUP($C$4,'Writing Logic'!$G$8:$H$14,2,FALSE),YES_Writing_ELA[#Headers],0)))),"")</f>
        <v/>
      </c>
      <c r="G359" s="138" t="str">
        <f>IFERROR(IF(IF(INDEX(_xlfn.VSTACK(YES_Writing_ELA[#Data],YES_Writing_FLA[#Data]),MATCH($A359,_xlfn.VSTACK(YES_Writing_ELA[Student Number],YES_Writing_FLA[Student Number]),0),MATCH(VLOOKUP(G$7,'Writing Logic'!$J$7:$K$11,2,FALSE)&amp;" - Per "&amp;VLOOKUP($C$4,'Writing Logic'!$G$8:$H$14,2,FALSE),YES_Writing_ELA[#Headers],0))=0,"",INDEX(_xlfn.VSTACK(YES_Writing_ELA[#Data],YES_Writing_FLA[#Data]),MATCH($A359,_xlfn.VSTACK(YES_Writing_ELA[Student Number],YES_Writing_FLA[Student Number]),0),MATCH(VLOOKUP(G$7,'Writing Logic'!$J$7:$K$11,2,FALSE)&amp;" - Per "&amp;VLOOKUP($C$4,'Writing Logic'!$G$8:$H$14,2,FALSE),YES_Writing_ELA[#Headers],0)))="INS",'Writing Logic'!$B$7,IF(INDEX(_xlfn.VSTACK(YES_Writing_ELA[#Data],YES_Writing_FLA[#Data]),MATCH($A359,_xlfn.VSTACK(YES_Writing_ELA[Student Number],YES_Writing_FLA[Student Number]),0),MATCH(VLOOKUP(G$7,'Writing Logic'!$J$7:$K$11,2,FALSE)&amp;" - Per "&amp;VLOOKUP($C$4,'Writing Logic'!$G$8:$H$14,2,FALSE),YES_Writing_ELA[#Headers],0))=0,"",INDEX(_xlfn.VSTACK(YES_Writing_ELA[#Data],YES_Writing_FLA[#Data]),MATCH($A359,_xlfn.VSTACK(YES_Writing_ELA[Student Number],YES_Writing_FLA[Student Number]),0),MATCH(VLOOKUP(G$7,'Writing Logic'!$J$7:$K$11,2,FALSE)&amp;" - Per "&amp;VLOOKUP($C$4,'Writing Logic'!$G$8:$H$14,2,FALSE),YES_Writing_ELA[#Headers],0)))),"")</f>
        <v/>
      </c>
      <c r="H359" s="223" t="str">
        <f>IFERROR(IF(IF(INDEX(_xlfn.VSTACK(YES_Writing_ELA[#Data],YES_Writing_FLA[#Data]),MATCH($A359,_xlfn.VSTACK(YES_Writing_ELA[Student Number],YES_Writing_FLA[Student Number]),0),MATCH(VLOOKUP(H$7,'Writing Logic'!$J$7:$K$11,2,FALSE)&amp;" - Per "&amp;VLOOKUP($C$4,'Writing Logic'!$G$8:$H$14,2,FALSE),YES_Writing_ELA[#Headers],0))=0,"",INDEX(_xlfn.VSTACK(YES_Writing_ELA[#Data],YES_Writing_FLA[#Data]),MATCH($A359,_xlfn.VSTACK(YES_Writing_ELA[Student Number],YES_Writing_FLA[Student Number]),0),MATCH(VLOOKUP(H$7,'Writing Logic'!$J$7:$K$11,2,FALSE)&amp;" - Per "&amp;VLOOKUP($C$4,'Writing Logic'!$G$8:$H$14,2,FALSE),YES_Writing_ELA[#Headers],0)))="INS",'Writing Logic'!$B$7,IF(INDEX(_xlfn.VSTACK(YES_Writing_ELA[#Data],YES_Writing_FLA[#Data]),MATCH($A359,_xlfn.VSTACK(YES_Writing_ELA[Student Number],YES_Writing_FLA[Student Number]),0),MATCH(VLOOKUP(H$7,'Writing Logic'!$J$7:$K$11,2,FALSE)&amp;" - Per "&amp;VLOOKUP($C$4,'Writing Logic'!$G$8:$H$14,2,FALSE),YES_Writing_ELA[#Headers],0))=0,"",INDEX(_xlfn.VSTACK(YES_Writing_ELA[#Data],YES_Writing_FLA[#Data]),MATCH($A359,_xlfn.VSTACK(YES_Writing_ELA[Student Number],YES_Writing_FLA[Student Number]),0),MATCH(VLOOKUP(H$7,'Writing Logic'!$J$7:$K$11,2,FALSE)&amp;" - Per "&amp;VLOOKUP($C$4,'Writing Logic'!$G$8:$H$14,2,FALSE),YES_Writing_ELA[#Headers],0)))),"")</f>
        <v/>
      </c>
      <c r="I359" s="224" t="str" cm="1">
        <f t="array" aca="1" ref="I359" ca="1">IFERROR(
IF($G$3="ELA",
IF(VLOOKUP($A359, YES_Reading_ELA[], COLUMN(INDIRECT("YES_Reading_ELA[Difference - Per "&amp;VLOOKUP($G$4, 'Reading Report Logic'!$A$2:$B$8, 2, FALSE)&amp;"]")), FALSE)="", "",
VLOOKUP($A359,YES_Reading_ELA[], COLUMN(INDIRECT("YES_Reading_ELA[Difference - Per "&amp;VLOOKUP($G$4,'Reading Report Logic'!$A$2:$B$8,2,FALSE)&amp;"]")), FALSE)),
IF($G$3="FLA",
IF(VLOOKUP($A359, YES_Reading_FLA[], COLUMN(INDIRECT("YES_Reading_FLA[Difference - Per "&amp;VLOOKUP($G$4,'Reading Report Logic'!$A$2:$B$8,2,FALSE)&amp;"]")),FALSE)="","",
VLOOKUP($A359,YES_Reading_FLA[],COLUMN(INDIRECT("YES_Reading_FLA[Difference - Per "&amp;VLOOKUP($G$4,'Reading Report Logic'!$A$2:$B$8,2,FALSE)&amp;"]")),FALSE)),
IF($G$3="Combined",
IFERROR(
IF(VLOOKUP($A359, YES_Reading_ELA[], COLUMN(INDIRECT("YES_Reading_ELA[Difference - Per "&amp;VLOOKUP($G$4, 'Reading Report Logic'!$A$2:$B$8,2,FALSE)&amp;"]")), FALSE)="", "",
VLOOKUP($A359,YES_Reading_ELA[],COLUMN(INDIRECT("YES_Reading_ELA[Difference - Per "&amp;VLOOKUP($G$4,'Reading Report Logic'!$A$2:$B$8,2,FALSE)&amp;"]")),FALSE)),
IF(VLOOKUP($A359, YES_Reading_FLA[], COLUMN(INDIRECT("YES_Reading_FLA[Difference - Per "&amp;VLOOKUP($G$4, 'Reading Report Logic'!$A$2:$B$8, 2, FALSE)&amp;"]")),FALSE)="", "", VLOOKUP($A359,YES_Reading_FLA[],COLUMN(INDIRECT("YES_Reading_FLA[Difference - Per "&amp;VLOOKUP($G$4, 'Reading Report Logic'!$A$2:$B$8, 2, FALSE)&amp;"]")),FALSE))),""))),"")</f>
        <v/>
      </c>
    </row>
    <row r="360" spans="1:9" x14ac:dyDescent="0.25">
      <c r="A360" s="137"/>
      <c r="B360" s="137" t="str">
        <f>IFERROR(INDEX(_xlfn.VSTACK(YES_Writing_ELA[#Data], YES_Writing_FLA[#Data]),MATCH($A360,_xlfn.VSTACK(YES_Writing_ELA[Student Number], YES_Writing_FLA[Student Number]),0),MATCH(B$7,YES_Writing_ELA[#Headers],0)),IFERROR(INDEX(_xlfn.VSTACK(YES_Reading_ELA[#Data], YES_Reading_FLA[#Data]),MATCH($A360,_xlfn.VSTACK(YES_Reading_ELA[Student Number], YES_Reading_FLA[Student Number]),0),MATCH(B$7,YES_Reading_ELA[#Headers],0)),""))</f>
        <v/>
      </c>
      <c r="C360" s="137" t="str">
        <f>IFERROR(INDEX(_xlfn.VSTACK(YES_Writing_ELA[#Data], YES_Writing_FLA[#Data]),MATCH($A360,_xlfn.VSTACK(YES_Writing_ELA[Student Number], YES_Writing_FLA[Student Number]),0),MATCH(C$7,YES_Writing_ELA[#Headers],0)),IFERROR(INDEX(_xlfn.VSTACK(YES_Reading_ELA[#Data], YES_Reading_FLA[#Data]),MATCH($A360,_xlfn.VSTACK(YES_Reading_ELA[Student Number], YES_Reading_FLA[Student Number]),0),MATCH(C$7,YES_Reading_ELA[#Headers],0)),""))</f>
        <v/>
      </c>
      <c r="D360" s="138" t="str">
        <f>IFERROR(IF(IF(INDEX(_xlfn.VSTACK(YES_Writing_ELA[#Data],YES_Writing_FLA[#Data]),MATCH($A360,_xlfn.VSTACK(YES_Writing_ELA[Student Number],YES_Writing_FLA[Student Number]),0),MATCH(VLOOKUP(D$7,'Writing Logic'!$J$7:$K$11,2,FALSE)&amp;" - Per "&amp;VLOOKUP($C$4,'Writing Logic'!$G$8:$H$14,2,FALSE),YES_Writing_ELA[#Headers],0))=0,"",INDEX(_xlfn.VSTACK(YES_Writing_ELA[#Data],YES_Writing_FLA[#Data]),MATCH($A360,_xlfn.VSTACK(YES_Writing_ELA[Student Number],YES_Writing_FLA[Student Number]),0),MATCH(VLOOKUP(D$7,'Writing Logic'!$J$7:$K$11,2,FALSE)&amp;" - Per "&amp;VLOOKUP($C$4,'Writing Logic'!$G$8:$H$14,2,FALSE),YES_Writing_ELA[#Headers],0)))="INS",'Writing Logic'!$B$7,IF(INDEX(_xlfn.VSTACK(YES_Writing_ELA[#Data],YES_Writing_FLA[#Data]),MATCH($A360,_xlfn.VSTACK(YES_Writing_ELA[Student Number],YES_Writing_FLA[Student Number]),0),MATCH(VLOOKUP(D$7,'Writing Logic'!$J$7:$K$11,2,FALSE)&amp;" - Per "&amp;VLOOKUP($C$4,'Writing Logic'!$G$8:$H$14,2,FALSE),YES_Writing_ELA[#Headers],0))=0,"",INDEX(_xlfn.VSTACK(YES_Writing_ELA[#Data],YES_Writing_FLA[#Data]),MATCH($A360,_xlfn.VSTACK(YES_Writing_ELA[Student Number],YES_Writing_FLA[Student Number]),0),MATCH(VLOOKUP(D$7,'Writing Logic'!$J$7:$K$11,2,FALSE)&amp;" - Per "&amp;VLOOKUP($C$4,'Writing Logic'!$G$8:$H$14,2,FALSE),YES_Writing_ELA[#Headers],0)))),"")</f>
        <v/>
      </c>
      <c r="E360" s="138" t="str">
        <f>IFERROR(IF(IF(INDEX(_xlfn.VSTACK(YES_Writing_ELA[#Data],YES_Writing_FLA[#Data]),MATCH($A360,_xlfn.VSTACK(YES_Writing_ELA[Student Number],YES_Writing_FLA[Student Number]),0),MATCH(VLOOKUP(E$7,'Writing Logic'!$J$7:$K$11,2,FALSE)&amp;" - Per "&amp;VLOOKUP($C$4,'Writing Logic'!$G$8:$H$14,2,FALSE),YES_Writing_ELA[#Headers],0))=0,"",INDEX(_xlfn.VSTACK(YES_Writing_ELA[#Data],YES_Writing_FLA[#Data]),MATCH($A360,_xlfn.VSTACK(YES_Writing_ELA[Student Number],YES_Writing_FLA[Student Number]),0),MATCH(VLOOKUP(E$7,'Writing Logic'!$J$7:$K$11,2,FALSE)&amp;" - Per "&amp;VLOOKUP($C$4,'Writing Logic'!$G$8:$H$14,2,FALSE),YES_Writing_ELA[#Headers],0)))="INS",'Writing Logic'!$B$7,IF(INDEX(_xlfn.VSTACK(YES_Writing_ELA[#Data],YES_Writing_FLA[#Data]),MATCH($A360,_xlfn.VSTACK(YES_Writing_ELA[Student Number],YES_Writing_FLA[Student Number]),0),MATCH(VLOOKUP(E$7,'Writing Logic'!$J$7:$K$11,2,FALSE)&amp;" - Per "&amp;VLOOKUP($C$4,'Writing Logic'!$G$8:$H$14,2,FALSE),YES_Writing_ELA[#Headers],0))=0,"",INDEX(_xlfn.VSTACK(YES_Writing_ELA[#Data],YES_Writing_FLA[#Data]),MATCH($A360,_xlfn.VSTACK(YES_Writing_ELA[Student Number],YES_Writing_FLA[Student Number]),0),MATCH(VLOOKUP(E$7,'Writing Logic'!$J$7:$K$11,2,FALSE)&amp;" - Per "&amp;VLOOKUP($C$4,'Writing Logic'!$G$8:$H$14,2,FALSE),YES_Writing_ELA[#Headers],0)))),"")</f>
        <v/>
      </c>
      <c r="F360" s="138" t="str">
        <f>IFERROR(IF(IF(INDEX(_xlfn.VSTACK(YES_Writing_ELA[#Data],YES_Writing_FLA[#Data]),MATCH($A360,_xlfn.VSTACK(YES_Writing_ELA[Student Number],YES_Writing_FLA[Student Number]),0),MATCH(VLOOKUP(F$7,'Writing Logic'!$J$7:$K$11,2,FALSE)&amp;" - Per "&amp;VLOOKUP($C$4,'Writing Logic'!$G$8:$H$14,2,FALSE),YES_Writing_ELA[#Headers],0))=0,"",INDEX(_xlfn.VSTACK(YES_Writing_ELA[#Data],YES_Writing_FLA[#Data]),MATCH($A360,_xlfn.VSTACK(YES_Writing_ELA[Student Number],YES_Writing_FLA[Student Number]),0),MATCH(VLOOKUP(F$7,'Writing Logic'!$J$7:$K$11,2,FALSE)&amp;" - Per "&amp;VLOOKUP($C$4,'Writing Logic'!$G$8:$H$14,2,FALSE),YES_Writing_ELA[#Headers],0)))="INS",'Writing Logic'!$B$7,IF(INDEX(_xlfn.VSTACK(YES_Writing_ELA[#Data],YES_Writing_FLA[#Data]),MATCH($A360,_xlfn.VSTACK(YES_Writing_ELA[Student Number],YES_Writing_FLA[Student Number]),0),MATCH(VLOOKUP(F$7,'Writing Logic'!$J$7:$K$11,2,FALSE)&amp;" - Per "&amp;VLOOKUP($C$4,'Writing Logic'!$G$8:$H$14,2,FALSE),YES_Writing_ELA[#Headers],0))=0,"",INDEX(_xlfn.VSTACK(YES_Writing_ELA[#Data],YES_Writing_FLA[#Data]),MATCH($A360,_xlfn.VSTACK(YES_Writing_ELA[Student Number],YES_Writing_FLA[Student Number]),0),MATCH(VLOOKUP(F$7,'Writing Logic'!$J$7:$K$11,2,FALSE)&amp;" - Per "&amp;VLOOKUP($C$4,'Writing Logic'!$G$8:$H$14,2,FALSE),YES_Writing_ELA[#Headers],0)))),"")</f>
        <v/>
      </c>
      <c r="G360" s="138" t="str">
        <f>IFERROR(IF(IF(INDEX(_xlfn.VSTACK(YES_Writing_ELA[#Data],YES_Writing_FLA[#Data]),MATCH($A360,_xlfn.VSTACK(YES_Writing_ELA[Student Number],YES_Writing_FLA[Student Number]),0),MATCH(VLOOKUP(G$7,'Writing Logic'!$J$7:$K$11,2,FALSE)&amp;" - Per "&amp;VLOOKUP($C$4,'Writing Logic'!$G$8:$H$14,2,FALSE),YES_Writing_ELA[#Headers],0))=0,"",INDEX(_xlfn.VSTACK(YES_Writing_ELA[#Data],YES_Writing_FLA[#Data]),MATCH($A360,_xlfn.VSTACK(YES_Writing_ELA[Student Number],YES_Writing_FLA[Student Number]),0),MATCH(VLOOKUP(G$7,'Writing Logic'!$J$7:$K$11,2,FALSE)&amp;" - Per "&amp;VLOOKUP($C$4,'Writing Logic'!$G$8:$H$14,2,FALSE),YES_Writing_ELA[#Headers],0)))="INS",'Writing Logic'!$B$7,IF(INDEX(_xlfn.VSTACK(YES_Writing_ELA[#Data],YES_Writing_FLA[#Data]),MATCH($A360,_xlfn.VSTACK(YES_Writing_ELA[Student Number],YES_Writing_FLA[Student Number]),0),MATCH(VLOOKUP(G$7,'Writing Logic'!$J$7:$K$11,2,FALSE)&amp;" - Per "&amp;VLOOKUP($C$4,'Writing Logic'!$G$8:$H$14,2,FALSE),YES_Writing_ELA[#Headers],0))=0,"",INDEX(_xlfn.VSTACK(YES_Writing_ELA[#Data],YES_Writing_FLA[#Data]),MATCH($A360,_xlfn.VSTACK(YES_Writing_ELA[Student Number],YES_Writing_FLA[Student Number]),0),MATCH(VLOOKUP(G$7,'Writing Logic'!$J$7:$K$11,2,FALSE)&amp;" - Per "&amp;VLOOKUP($C$4,'Writing Logic'!$G$8:$H$14,2,FALSE),YES_Writing_ELA[#Headers],0)))),"")</f>
        <v/>
      </c>
      <c r="H360" s="223" t="str">
        <f>IFERROR(IF(IF(INDEX(_xlfn.VSTACK(YES_Writing_ELA[#Data],YES_Writing_FLA[#Data]),MATCH($A360,_xlfn.VSTACK(YES_Writing_ELA[Student Number],YES_Writing_FLA[Student Number]),0),MATCH(VLOOKUP(H$7,'Writing Logic'!$J$7:$K$11,2,FALSE)&amp;" - Per "&amp;VLOOKUP($C$4,'Writing Logic'!$G$8:$H$14,2,FALSE),YES_Writing_ELA[#Headers],0))=0,"",INDEX(_xlfn.VSTACK(YES_Writing_ELA[#Data],YES_Writing_FLA[#Data]),MATCH($A360,_xlfn.VSTACK(YES_Writing_ELA[Student Number],YES_Writing_FLA[Student Number]),0),MATCH(VLOOKUP(H$7,'Writing Logic'!$J$7:$K$11,2,FALSE)&amp;" - Per "&amp;VLOOKUP($C$4,'Writing Logic'!$G$8:$H$14,2,FALSE),YES_Writing_ELA[#Headers],0)))="INS",'Writing Logic'!$B$7,IF(INDEX(_xlfn.VSTACK(YES_Writing_ELA[#Data],YES_Writing_FLA[#Data]),MATCH($A360,_xlfn.VSTACK(YES_Writing_ELA[Student Number],YES_Writing_FLA[Student Number]),0),MATCH(VLOOKUP(H$7,'Writing Logic'!$J$7:$K$11,2,FALSE)&amp;" - Per "&amp;VLOOKUP($C$4,'Writing Logic'!$G$8:$H$14,2,FALSE),YES_Writing_ELA[#Headers],0))=0,"",INDEX(_xlfn.VSTACK(YES_Writing_ELA[#Data],YES_Writing_FLA[#Data]),MATCH($A360,_xlfn.VSTACK(YES_Writing_ELA[Student Number],YES_Writing_FLA[Student Number]),0),MATCH(VLOOKUP(H$7,'Writing Logic'!$J$7:$K$11,2,FALSE)&amp;" - Per "&amp;VLOOKUP($C$4,'Writing Logic'!$G$8:$H$14,2,FALSE),YES_Writing_ELA[#Headers],0)))),"")</f>
        <v/>
      </c>
      <c r="I360" s="224" t="str" cm="1">
        <f t="array" aca="1" ref="I360" ca="1">IFERROR(
IF($G$3="ELA",
IF(VLOOKUP($A360, YES_Reading_ELA[], COLUMN(INDIRECT("YES_Reading_ELA[Difference - Per "&amp;VLOOKUP($G$4, 'Reading Report Logic'!$A$2:$B$8, 2, FALSE)&amp;"]")), FALSE)="", "",
VLOOKUP($A360,YES_Reading_ELA[], COLUMN(INDIRECT("YES_Reading_ELA[Difference - Per "&amp;VLOOKUP($G$4,'Reading Report Logic'!$A$2:$B$8,2,FALSE)&amp;"]")), FALSE)),
IF($G$3="FLA",
IF(VLOOKUP($A360, YES_Reading_FLA[], COLUMN(INDIRECT("YES_Reading_FLA[Difference - Per "&amp;VLOOKUP($G$4,'Reading Report Logic'!$A$2:$B$8,2,FALSE)&amp;"]")),FALSE)="","",
VLOOKUP($A360,YES_Reading_FLA[],COLUMN(INDIRECT("YES_Reading_FLA[Difference - Per "&amp;VLOOKUP($G$4,'Reading Report Logic'!$A$2:$B$8,2,FALSE)&amp;"]")),FALSE)),
IF($G$3="Combined",
IFERROR(
IF(VLOOKUP($A360, YES_Reading_ELA[], COLUMN(INDIRECT("YES_Reading_ELA[Difference - Per "&amp;VLOOKUP($G$4, 'Reading Report Logic'!$A$2:$B$8,2,FALSE)&amp;"]")), FALSE)="", "",
VLOOKUP($A360,YES_Reading_ELA[],COLUMN(INDIRECT("YES_Reading_ELA[Difference - Per "&amp;VLOOKUP($G$4,'Reading Report Logic'!$A$2:$B$8,2,FALSE)&amp;"]")),FALSE)),
IF(VLOOKUP($A360, YES_Reading_FLA[], COLUMN(INDIRECT("YES_Reading_FLA[Difference - Per "&amp;VLOOKUP($G$4, 'Reading Report Logic'!$A$2:$B$8, 2, FALSE)&amp;"]")),FALSE)="", "", VLOOKUP($A360,YES_Reading_FLA[],COLUMN(INDIRECT("YES_Reading_FLA[Difference - Per "&amp;VLOOKUP($G$4, 'Reading Report Logic'!$A$2:$B$8, 2, FALSE)&amp;"]")),FALSE))),""))),"")</f>
        <v/>
      </c>
    </row>
    <row r="361" spans="1:9" x14ac:dyDescent="0.25">
      <c r="A361" s="137"/>
      <c r="B361" s="137" t="str">
        <f>IFERROR(INDEX(_xlfn.VSTACK(YES_Writing_ELA[#Data], YES_Writing_FLA[#Data]),MATCH($A361,_xlfn.VSTACK(YES_Writing_ELA[Student Number], YES_Writing_FLA[Student Number]),0),MATCH(B$7,YES_Writing_ELA[#Headers],0)),IFERROR(INDEX(_xlfn.VSTACK(YES_Reading_ELA[#Data], YES_Reading_FLA[#Data]),MATCH($A361,_xlfn.VSTACK(YES_Reading_ELA[Student Number], YES_Reading_FLA[Student Number]),0),MATCH(B$7,YES_Reading_ELA[#Headers],0)),""))</f>
        <v/>
      </c>
      <c r="C361" s="137" t="str">
        <f>IFERROR(INDEX(_xlfn.VSTACK(YES_Writing_ELA[#Data], YES_Writing_FLA[#Data]),MATCH($A361,_xlfn.VSTACK(YES_Writing_ELA[Student Number], YES_Writing_FLA[Student Number]),0),MATCH(C$7,YES_Writing_ELA[#Headers],0)),IFERROR(INDEX(_xlfn.VSTACK(YES_Reading_ELA[#Data], YES_Reading_FLA[#Data]),MATCH($A361,_xlfn.VSTACK(YES_Reading_ELA[Student Number], YES_Reading_FLA[Student Number]),0),MATCH(C$7,YES_Reading_ELA[#Headers],0)),""))</f>
        <v/>
      </c>
      <c r="D361" s="138" t="str">
        <f>IFERROR(IF(IF(INDEX(_xlfn.VSTACK(YES_Writing_ELA[#Data],YES_Writing_FLA[#Data]),MATCH($A361,_xlfn.VSTACK(YES_Writing_ELA[Student Number],YES_Writing_FLA[Student Number]),0),MATCH(VLOOKUP(D$7,'Writing Logic'!$J$7:$K$11,2,FALSE)&amp;" - Per "&amp;VLOOKUP($C$4,'Writing Logic'!$G$8:$H$14,2,FALSE),YES_Writing_ELA[#Headers],0))=0,"",INDEX(_xlfn.VSTACK(YES_Writing_ELA[#Data],YES_Writing_FLA[#Data]),MATCH($A361,_xlfn.VSTACK(YES_Writing_ELA[Student Number],YES_Writing_FLA[Student Number]),0),MATCH(VLOOKUP(D$7,'Writing Logic'!$J$7:$K$11,2,FALSE)&amp;" - Per "&amp;VLOOKUP($C$4,'Writing Logic'!$G$8:$H$14,2,FALSE),YES_Writing_ELA[#Headers],0)))="INS",'Writing Logic'!$B$7,IF(INDEX(_xlfn.VSTACK(YES_Writing_ELA[#Data],YES_Writing_FLA[#Data]),MATCH($A361,_xlfn.VSTACK(YES_Writing_ELA[Student Number],YES_Writing_FLA[Student Number]),0),MATCH(VLOOKUP(D$7,'Writing Logic'!$J$7:$K$11,2,FALSE)&amp;" - Per "&amp;VLOOKUP($C$4,'Writing Logic'!$G$8:$H$14,2,FALSE),YES_Writing_ELA[#Headers],0))=0,"",INDEX(_xlfn.VSTACK(YES_Writing_ELA[#Data],YES_Writing_FLA[#Data]),MATCH($A361,_xlfn.VSTACK(YES_Writing_ELA[Student Number],YES_Writing_FLA[Student Number]),0),MATCH(VLOOKUP(D$7,'Writing Logic'!$J$7:$K$11,2,FALSE)&amp;" - Per "&amp;VLOOKUP($C$4,'Writing Logic'!$G$8:$H$14,2,FALSE),YES_Writing_ELA[#Headers],0)))),"")</f>
        <v/>
      </c>
      <c r="E361" s="138" t="str">
        <f>IFERROR(IF(IF(INDEX(_xlfn.VSTACK(YES_Writing_ELA[#Data],YES_Writing_FLA[#Data]),MATCH($A361,_xlfn.VSTACK(YES_Writing_ELA[Student Number],YES_Writing_FLA[Student Number]),0),MATCH(VLOOKUP(E$7,'Writing Logic'!$J$7:$K$11,2,FALSE)&amp;" - Per "&amp;VLOOKUP($C$4,'Writing Logic'!$G$8:$H$14,2,FALSE),YES_Writing_ELA[#Headers],0))=0,"",INDEX(_xlfn.VSTACK(YES_Writing_ELA[#Data],YES_Writing_FLA[#Data]),MATCH($A361,_xlfn.VSTACK(YES_Writing_ELA[Student Number],YES_Writing_FLA[Student Number]),0),MATCH(VLOOKUP(E$7,'Writing Logic'!$J$7:$K$11,2,FALSE)&amp;" - Per "&amp;VLOOKUP($C$4,'Writing Logic'!$G$8:$H$14,2,FALSE),YES_Writing_ELA[#Headers],0)))="INS",'Writing Logic'!$B$7,IF(INDEX(_xlfn.VSTACK(YES_Writing_ELA[#Data],YES_Writing_FLA[#Data]),MATCH($A361,_xlfn.VSTACK(YES_Writing_ELA[Student Number],YES_Writing_FLA[Student Number]),0),MATCH(VLOOKUP(E$7,'Writing Logic'!$J$7:$K$11,2,FALSE)&amp;" - Per "&amp;VLOOKUP($C$4,'Writing Logic'!$G$8:$H$14,2,FALSE),YES_Writing_ELA[#Headers],0))=0,"",INDEX(_xlfn.VSTACK(YES_Writing_ELA[#Data],YES_Writing_FLA[#Data]),MATCH($A361,_xlfn.VSTACK(YES_Writing_ELA[Student Number],YES_Writing_FLA[Student Number]),0),MATCH(VLOOKUP(E$7,'Writing Logic'!$J$7:$K$11,2,FALSE)&amp;" - Per "&amp;VLOOKUP($C$4,'Writing Logic'!$G$8:$H$14,2,FALSE),YES_Writing_ELA[#Headers],0)))),"")</f>
        <v/>
      </c>
      <c r="F361" s="138" t="str">
        <f>IFERROR(IF(IF(INDEX(_xlfn.VSTACK(YES_Writing_ELA[#Data],YES_Writing_FLA[#Data]),MATCH($A361,_xlfn.VSTACK(YES_Writing_ELA[Student Number],YES_Writing_FLA[Student Number]),0),MATCH(VLOOKUP(F$7,'Writing Logic'!$J$7:$K$11,2,FALSE)&amp;" - Per "&amp;VLOOKUP($C$4,'Writing Logic'!$G$8:$H$14,2,FALSE),YES_Writing_ELA[#Headers],0))=0,"",INDEX(_xlfn.VSTACK(YES_Writing_ELA[#Data],YES_Writing_FLA[#Data]),MATCH($A361,_xlfn.VSTACK(YES_Writing_ELA[Student Number],YES_Writing_FLA[Student Number]),0),MATCH(VLOOKUP(F$7,'Writing Logic'!$J$7:$K$11,2,FALSE)&amp;" - Per "&amp;VLOOKUP($C$4,'Writing Logic'!$G$8:$H$14,2,FALSE),YES_Writing_ELA[#Headers],0)))="INS",'Writing Logic'!$B$7,IF(INDEX(_xlfn.VSTACK(YES_Writing_ELA[#Data],YES_Writing_FLA[#Data]),MATCH($A361,_xlfn.VSTACK(YES_Writing_ELA[Student Number],YES_Writing_FLA[Student Number]),0),MATCH(VLOOKUP(F$7,'Writing Logic'!$J$7:$K$11,2,FALSE)&amp;" - Per "&amp;VLOOKUP($C$4,'Writing Logic'!$G$8:$H$14,2,FALSE),YES_Writing_ELA[#Headers],0))=0,"",INDEX(_xlfn.VSTACK(YES_Writing_ELA[#Data],YES_Writing_FLA[#Data]),MATCH($A361,_xlfn.VSTACK(YES_Writing_ELA[Student Number],YES_Writing_FLA[Student Number]),0),MATCH(VLOOKUP(F$7,'Writing Logic'!$J$7:$K$11,2,FALSE)&amp;" - Per "&amp;VLOOKUP($C$4,'Writing Logic'!$G$8:$H$14,2,FALSE),YES_Writing_ELA[#Headers],0)))),"")</f>
        <v/>
      </c>
      <c r="G361" s="138" t="str">
        <f>IFERROR(IF(IF(INDEX(_xlfn.VSTACK(YES_Writing_ELA[#Data],YES_Writing_FLA[#Data]),MATCH($A361,_xlfn.VSTACK(YES_Writing_ELA[Student Number],YES_Writing_FLA[Student Number]),0),MATCH(VLOOKUP(G$7,'Writing Logic'!$J$7:$K$11,2,FALSE)&amp;" - Per "&amp;VLOOKUP($C$4,'Writing Logic'!$G$8:$H$14,2,FALSE),YES_Writing_ELA[#Headers],0))=0,"",INDEX(_xlfn.VSTACK(YES_Writing_ELA[#Data],YES_Writing_FLA[#Data]),MATCH($A361,_xlfn.VSTACK(YES_Writing_ELA[Student Number],YES_Writing_FLA[Student Number]),0),MATCH(VLOOKUP(G$7,'Writing Logic'!$J$7:$K$11,2,FALSE)&amp;" - Per "&amp;VLOOKUP($C$4,'Writing Logic'!$G$8:$H$14,2,FALSE),YES_Writing_ELA[#Headers],0)))="INS",'Writing Logic'!$B$7,IF(INDEX(_xlfn.VSTACK(YES_Writing_ELA[#Data],YES_Writing_FLA[#Data]),MATCH($A361,_xlfn.VSTACK(YES_Writing_ELA[Student Number],YES_Writing_FLA[Student Number]),0),MATCH(VLOOKUP(G$7,'Writing Logic'!$J$7:$K$11,2,FALSE)&amp;" - Per "&amp;VLOOKUP($C$4,'Writing Logic'!$G$8:$H$14,2,FALSE),YES_Writing_ELA[#Headers],0))=0,"",INDEX(_xlfn.VSTACK(YES_Writing_ELA[#Data],YES_Writing_FLA[#Data]),MATCH($A361,_xlfn.VSTACK(YES_Writing_ELA[Student Number],YES_Writing_FLA[Student Number]),0),MATCH(VLOOKUP(G$7,'Writing Logic'!$J$7:$K$11,2,FALSE)&amp;" - Per "&amp;VLOOKUP($C$4,'Writing Logic'!$G$8:$H$14,2,FALSE),YES_Writing_ELA[#Headers],0)))),"")</f>
        <v/>
      </c>
      <c r="H361" s="223" t="str">
        <f>IFERROR(IF(IF(INDEX(_xlfn.VSTACK(YES_Writing_ELA[#Data],YES_Writing_FLA[#Data]),MATCH($A361,_xlfn.VSTACK(YES_Writing_ELA[Student Number],YES_Writing_FLA[Student Number]),0),MATCH(VLOOKUP(H$7,'Writing Logic'!$J$7:$K$11,2,FALSE)&amp;" - Per "&amp;VLOOKUP($C$4,'Writing Logic'!$G$8:$H$14,2,FALSE),YES_Writing_ELA[#Headers],0))=0,"",INDEX(_xlfn.VSTACK(YES_Writing_ELA[#Data],YES_Writing_FLA[#Data]),MATCH($A361,_xlfn.VSTACK(YES_Writing_ELA[Student Number],YES_Writing_FLA[Student Number]),0),MATCH(VLOOKUP(H$7,'Writing Logic'!$J$7:$K$11,2,FALSE)&amp;" - Per "&amp;VLOOKUP($C$4,'Writing Logic'!$G$8:$H$14,2,FALSE),YES_Writing_ELA[#Headers],0)))="INS",'Writing Logic'!$B$7,IF(INDEX(_xlfn.VSTACK(YES_Writing_ELA[#Data],YES_Writing_FLA[#Data]),MATCH($A361,_xlfn.VSTACK(YES_Writing_ELA[Student Number],YES_Writing_FLA[Student Number]),0),MATCH(VLOOKUP(H$7,'Writing Logic'!$J$7:$K$11,2,FALSE)&amp;" - Per "&amp;VLOOKUP($C$4,'Writing Logic'!$G$8:$H$14,2,FALSE),YES_Writing_ELA[#Headers],0))=0,"",INDEX(_xlfn.VSTACK(YES_Writing_ELA[#Data],YES_Writing_FLA[#Data]),MATCH($A361,_xlfn.VSTACK(YES_Writing_ELA[Student Number],YES_Writing_FLA[Student Number]),0),MATCH(VLOOKUP(H$7,'Writing Logic'!$J$7:$K$11,2,FALSE)&amp;" - Per "&amp;VLOOKUP($C$4,'Writing Logic'!$G$8:$H$14,2,FALSE),YES_Writing_ELA[#Headers],0)))),"")</f>
        <v/>
      </c>
      <c r="I361" s="224" t="str" cm="1">
        <f t="array" aca="1" ref="I361" ca="1">IFERROR(
IF($G$3="ELA",
IF(VLOOKUP($A361, YES_Reading_ELA[], COLUMN(INDIRECT("YES_Reading_ELA[Difference - Per "&amp;VLOOKUP($G$4, 'Reading Report Logic'!$A$2:$B$8, 2, FALSE)&amp;"]")), FALSE)="", "",
VLOOKUP($A361,YES_Reading_ELA[], COLUMN(INDIRECT("YES_Reading_ELA[Difference - Per "&amp;VLOOKUP($G$4,'Reading Report Logic'!$A$2:$B$8,2,FALSE)&amp;"]")), FALSE)),
IF($G$3="FLA",
IF(VLOOKUP($A361, YES_Reading_FLA[], COLUMN(INDIRECT("YES_Reading_FLA[Difference - Per "&amp;VLOOKUP($G$4,'Reading Report Logic'!$A$2:$B$8,2,FALSE)&amp;"]")),FALSE)="","",
VLOOKUP($A361,YES_Reading_FLA[],COLUMN(INDIRECT("YES_Reading_FLA[Difference - Per "&amp;VLOOKUP($G$4,'Reading Report Logic'!$A$2:$B$8,2,FALSE)&amp;"]")),FALSE)),
IF($G$3="Combined",
IFERROR(
IF(VLOOKUP($A361, YES_Reading_ELA[], COLUMN(INDIRECT("YES_Reading_ELA[Difference - Per "&amp;VLOOKUP($G$4, 'Reading Report Logic'!$A$2:$B$8,2,FALSE)&amp;"]")), FALSE)="", "",
VLOOKUP($A361,YES_Reading_ELA[],COLUMN(INDIRECT("YES_Reading_ELA[Difference - Per "&amp;VLOOKUP($G$4,'Reading Report Logic'!$A$2:$B$8,2,FALSE)&amp;"]")),FALSE)),
IF(VLOOKUP($A361, YES_Reading_FLA[], COLUMN(INDIRECT("YES_Reading_FLA[Difference - Per "&amp;VLOOKUP($G$4, 'Reading Report Logic'!$A$2:$B$8, 2, FALSE)&amp;"]")),FALSE)="", "", VLOOKUP($A361,YES_Reading_FLA[],COLUMN(INDIRECT("YES_Reading_FLA[Difference - Per "&amp;VLOOKUP($G$4, 'Reading Report Logic'!$A$2:$B$8, 2, FALSE)&amp;"]")),FALSE))),""))),"")</f>
        <v/>
      </c>
    </row>
    <row r="362" spans="1:9" x14ac:dyDescent="0.25">
      <c r="A362" s="137"/>
      <c r="B362" s="137" t="str">
        <f>IFERROR(INDEX(_xlfn.VSTACK(YES_Writing_ELA[#Data], YES_Writing_FLA[#Data]),MATCH($A362,_xlfn.VSTACK(YES_Writing_ELA[Student Number], YES_Writing_FLA[Student Number]),0),MATCH(B$7,YES_Writing_ELA[#Headers],0)),IFERROR(INDEX(_xlfn.VSTACK(YES_Reading_ELA[#Data], YES_Reading_FLA[#Data]),MATCH($A362,_xlfn.VSTACK(YES_Reading_ELA[Student Number], YES_Reading_FLA[Student Number]),0),MATCH(B$7,YES_Reading_ELA[#Headers],0)),""))</f>
        <v/>
      </c>
      <c r="C362" s="137" t="str">
        <f>IFERROR(INDEX(_xlfn.VSTACK(YES_Writing_ELA[#Data], YES_Writing_FLA[#Data]),MATCH($A362,_xlfn.VSTACK(YES_Writing_ELA[Student Number], YES_Writing_FLA[Student Number]),0),MATCH(C$7,YES_Writing_ELA[#Headers],0)),IFERROR(INDEX(_xlfn.VSTACK(YES_Reading_ELA[#Data], YES_Reading_FLA[#Data]),MATCH($A362,_xlfn.VSTACK(YES_Reading_ELA[Student Number], YES_Reading_FLA[Student Number]),0),MATCH(C$7,YES_Reading_ELA[#Headers],0)),""))</f>
        <v/>
      </c>
      <c r="D362" s="138" t="str">
        <f>IFERROR(IF(IF(INDEX(_xlfn.VSTACK(YES_Writing_ELA[#Data],YES_Writing_FLA[#Data]),MATCH($A362,_xlfn.VSTACK(YES_Writing_ELA[Student Number],YES_Writing_FLA[Student Number]),0),MATCH(VLOOKUP(D$7,'Writing Logic'!$J$7:$K$11,2,FALSE)&amp;" - Per "&amp;VLOOKUP($C$4,'Writing Logic'!$G$8:$H$14,2,FALSE),YES_Writing_ELA[#Headers],0))=0,"",INDEX(_xlfn.VSTACK(YES_Writing_ELA[#Data],YES_Writing_FLA[#Data]),MATCH($A362,_xlfn.VSTACK(YES_Writing_ELA[Student Number],YES_Writing_FLA[Student Number]),0),MATCH(VLOOKUP(D$7,'Writing Logic'!$J$7:$K$11,2,FALSE)&amp;" - Per "&amp;VLOOKUP($C$4,'Writing Logic'!$G$8:$H$14,2,FALSE),YES_Writing_ELA[#Headers],0)))="INS",'Writing Logic'!$B$7,IF(INDEX(_xlfn.VSTACK(YES_Writing_ELA[#Data],YES_Writing_FLA[#Data]),MATCH($A362,_xlfn.VSTACK(YES_Writing_ELA[Student Number],YES_Writing_FLA[Student Number]),0),MATCH(VLOOKUP(D$7,'Writing Logic'!$J$7:$K$11,2,FALSE)&amp;" - Per "&amp;VLOOKUP($C$4,'Writing Logic'!$G$8:$H$14,2,FALSE),YES_Writing_ELA[#Headers],0))=0,"",INDEX(_xlfn.VSTACK(YES_Writing_ELA[#Data],YES_Writing_FLA[#Data]),MATCH($A362,_xlfn.VSTACK(YES_Writing_ELA[Student Number],YES_Writing_FLA[Student Number]),0),MATCH(VLOOKUP(D$7,'Writing Logic'!$J$7:$K$11,2,FALSE)&amp;" - Per "&amp;VLOOKUP($C$4,'Writing Logic'!$G$8:$H$14,2,FALSE),YES_Writing_ELA[#Headers],0)))),"")</f>
        <v/>
      </c>
      <c r="E362" s="138" t="str">
        <f>IFERROR(IF(IF(INDEX(_xlfn.VSTACK(YES_Writing_ELA[#Data],YES_Writing_FLA[#Data]),MATCH($A362,_xlfn.VSTACK(YES_Writing_ELA[Student Number],YES_Writing_FLA[Student Number]),0),MATCH(VLOOKUP(E$7,'Writing Logic'!$J$7:$K$11,2,FALSE)&amp;" - Per "&amp;VLOOKUP($C$4,'Writing Logic'!$G$8:$H$14,2,FALSE),YES_Writing_ELA[#Headers],0))=0,"",INDEX(_xlfn.VSTACK(YES_Writing_ELA[#Data],YES_Writing_FLA[#Data]),MATCH($A362,_xlfn.VSTACK(YES_Writing_ELA[Student Number],YES_Writing_FLA[Student Number]),0),MATCH(VLOOKUP(E$7,'Writing Logic'!$J$7:$K$11,2,FALSE)&amp;" - Per "&amp;VLOOKUP($C$4,'Writing Logic'!$G$8:$H$14,2,FALSE),YES_Writing_ELA[#Headers],0)))="INS",'Writing Logic'!$B$7,IF(INDEX(_xlfn.VSTACK(YES_Writing_ELA[#Data],YES_Writing_FLA[#Data]),MATCH($A362,_xlfn.VSTACK(YES_Writing_ELA[Student Number],YES_Writing_FLA[Student Number]),0),MATCH(VLOOKUP(E$7,'Writing Logic'!$J$7:$K$11,2,FALSE)&amp;" - Per "&amp;VLOOKUP($C$4,'Writing Logic'!$G$8:$H$14,2,FALSE),YES_Writing_ELA[#Headers],0))=0,"",INDEX(_xlfn.VSTACK(YES_Writing_ELA[#Data],YES_Writing_FLA[#Data]),MATCH($A362,_xlfn.VSTACK(YES_Writing_ELA[Student Number],YES_Writing_FLA[Student Number]),0),MATCH(VLOOKUP(E$7,'Writing Logic'!$J$7:$K$11,2,FALSE)&amp;" - Per "&amp;VLOOKUP($C$4,'Writing Logic'!$G$8:$H$14,2,FALSE),YES_Writing_ELA[#Headers],0)))),"")</f>
        <v/>
      </c>
      <c r="F362" s="138" t="str">
        <f>IFERROR(IF(IF(INDEX(_xlfn.VSTACK(YES_Writing_ELA[#Data],YES_Writing_FLA[#Data]),MATCH($A362,_xlfn.VSTACK(YES_Writing_ELA[Student Number],YES_Writing_FLA[Student Number]),0),MATCH(VLOOKUP(F$7,'Writing Logic'!$J$7:$K$11,2,FALSE)&amp;" - Per "&amp;VLOOKUP($C$4,'Writing Logic'!$G$8:$H$14,2,FALSE),YES_Writing_ELA[#Headers],0))=0,"",INDEX(_xlfn.VSTACK(YES_Writing_ELA[#Data],YES_Writing_FLA[#Data]),MATCH($A362,_xlfn.VSTACK(YES_Writing_ELA[Student Number],YES_Writing_FLA[Student Number]),0),MATCH(VLOOKUP(F$7,'Writing Logic'!$J$7:$K$11,2,FALSE)&amp;" - Per "&amp;VLOOKUP($C$4,'Writing Logic'!$G$8:$H$14,2,FALSE),YES_Writing_ELA[#Headers],0)))="INS",'Writing Logic'!$B$7,IF(INDEX(_xlfn.VSTACK(YES_Writing_ELA[#Data],YES_Writing_FLA[#Data]),MATCH($A362,_xlfn.VSTACK(YES_Writing_ELA[Student Number],YES_Writing_FLA[Student Number]),0),MATCH(VLOOKUP(F$7,'Writing Logic'!$J$7:$K$11,2,FALSE)&amp;" - Per "&amp;VLOOKUP($C$4,'Writing Logic'!$G$8:$H$14,2,FALSE),YES_Writing_ELA[#Headers],0))=0,"",INDEX(_xlfn.VSTACK(YES_Writing_ELA[#Data],YES_Writing_FLA[#Data]),MATCH($A362,_xlfn.VSTACK(YES_Writing_ELA[Student Number],YES_Writing_FLA[Student Number]),0),MATCH(VLOOKUP(F$7,'Writing Logic'!$J$7:$K$11,2,FALSE)&amp;" - Per "&amp;VLOOKUP($C$4,'Writing Logic'!$G$8:$H$14,2,FALSE),YES_Writing_ELA[#Headers],0)))),"")</f>
        <v/>
      </c>
      <c r="G362" s="138" t="str">
        <f>IFERROR(IF(IF(INDEX(_xlfn.VSTACK(YES_Writing_ELA[#Data],YES_Writing_FLA[#Data]),MATCH($A362,_xlfn.VSTACK(YES_Writing_ELA[Student Number],YES_Writing_FLA[Student Number]),0),MATCH(VLOOKUP(G$7,'Writing Logic'!$J$7:$K$11,2,FALSE)&amp;" - Per "&amp;VLOOKUP($C$4,'Writing Logic'!$G$8:$H$14,2,FALSE),YES_Writing_ELA[#Headers],0))=0,"",INDEX(_xlfn.VSTACK(YES_Writing_ELA[#Data],YES_Writing_FLA[#Data]),MATCH($A362,_xlfn.VSTACK(YES_Writing_ELA[Student Number],YES_Writing_FLA[Student Number]),0),MATCH(VLOOKUP(G$7,'Writing Logic'!$J$7:$K$11,2,FALSE)&amp;" - Per "&amp;VLOOKUP($C$4,'Writing Logic'!$G$8:$H$14,2,FALSE),YES_Writing_ELA[#Headers],0)))="INS",'Writing Logic'!$B$7,IF(INDEX(_xlfn.VSTACK(YES_Writing_ELA[#Data],YES_Writing_FLA[#Data]),MATCH($A362,_xlfn.VSTACK(YES_Writing_ELA[Student Number],YES_Writing_FLA[Student Number]),0),MATCH(VLOOKUP(G$7,'Writing Logic'!$J$7:$K$11,2,FALSE)&amp;" - Per "&amp;VLOOKUP($C$4,'Writing Logic'!$G$8:$H$14,2,FALSE),YES_Writing_ELA[#Headers],0))=0,"",INDEX(_xlfn.VSTACK(YES_Writing_ELA[#Data],YES_Writing_FLA[#Data]),MATCH($A362,_xlfn.VSTACK(YES_Writing_ELA[Student Number],YES_Writing_FLA[Student Number]),0),MATCH(VLOOKUP(G$7,'Writing Logic'!$J$7:$K$11,2,FALSE)&amp;" - Per "&amp;VLOOKUP($C$4,'Writing Logic'!$G$8:$H$14,2,FALSE),YES_Writing_ELA[#Headers],0)))),"")</f>
        <v/>
      </c>
      <c r="H362" s="223" t="str">
        <f>IFERROR(IF(IF(INDEX(_xlfn.VSTACK(YES_Writing_ELA[#Data],YES_Writing_FLA[#Data]),MATCH($A362,_xlfn.VSTACK(YES_Writing_ELA[Student Number],YES_Writing_FLA[Student Number]),0),MATCH(VLOOKUP(H$7,'Writing Logic'!$J$7:$K$11,2,FALSE)&amp;" - Per "&amp;VLOOKUP($C$4,'Writing Logic'!$G$8:$H$14,2,FALSE),YES_Writing_ELA[#Headers],0))=0,"",INDEX(_xlfn.VSTACK(YES_Writing_ELA[#Data],YES_Writing_FLA[#Data]),MATCH($A362,_xlfn.VSTACK(YES_Writing_ELA[Student Number],YES_Writing_FLA[Student Number]),0),MATCH(VLOOKUP(H$7,'Writing Logic'!$J$7:$K$11,2,FALSE)&amp;" - Per "&amp;VLOOKUP($C$4,'Writing Logic'!$G$8:$H$14,2,FALSE),YES_Writing_ELA[#Headers],0)))="INS",'Writing Logic'!$B$7,IF(INDEX(_xlfn.VSTACK(YES_Writing_ELA[#Data],YES_Writing_FLA[#Data]),MATCH($A362,_xlfn.VSTACK(YES_Writing_ELA[Student Number],YES_Writing_FLA[Student Number]),0),MATCH(VLOOKUP(H$7,'Writing Logic'!$J$7:$K$11,2,FALSE)&amp;" - Per "&amp;VLOOKUP($C$4,'Writing Logic'!$G$8:$H$14,2,FALSE),YES_Writing_ELA[#Headers],0))=0,"",INDEX(_xlfn.VSTACK(YES_Writing_ELA[#Data],YES_Writing_FLA[#Data]),MATCH($A362,_xlfn.VSTACK(YES_Writing_ELA[Student Number],YES_Writing_FLA[Student Number]),0),MATCH(VLOOKUP(H$7,'Writing Logic'!$J$7:$K$11,2,FALSE)&amp;" - Per "&amp;VLOOKUP($C$4,'Writing Logic'!$G$8:$H$14,2,FALSE),YES_Writing_ELA[#Headers],0)))),"")</f>
        <v/>
      </c>
      <c r="I362" s="224" t="str" cm="1">
        <f t="array" aca="1" ref="I362" ca="1">IFERROR(
IF($G$3="ELA",
IF(VLOOKUP($A362, YES_Reading_ELA[], COLUMN(INDIRECT("YES_Reading_ELA[Difference - Per "&amp;VLOOKUP($G$4, 'Reading Report Logic'!$A$2:$B$8, 2, FALSE)&amp;"]")), FALSE)="", "",
VLOOKUP($A362,YES_Reading_ELA[], COLUMN(INDIRECT("YES_Reading_ELA[Difference - Per "&amp;VLOOKUP($G$4,'Reading Report Logic'!$A$2:$B$8,2,FALSE)&amp;"]")), FALSE)),
IF($G$3="FLA",
IF(VLOOKUP($A362, YES_Reading_FLA[], COLUMN(INDIRECT("YES_Reading_FLA[Difference - Per "&amp;VLOOKUP($G$4,'Reading Report Logic'!$A$2:$B$8,2,FALSE)&amp;"]")),FALSE)="","",
VLOOKUP($A362,YES_Reading_FLA[],COLUMN(INDIRECT("YES_Reading_FLA[Difference - Per "&amp;VLOOKUP($G$4,'Reading Report Logic'!$A$2:$B$8,2,FALSE)&amp;"]")),FALSE)),
IF($G$3="Combined",
IFERROR(
IF(VLOOKUP($A362, YES_Reading_ELA[], COLUMN(INDIRECT("YES_Reading_ELA[Difference - Per "&amp;VLOOKUP($G$4, 'Reading Report Logic'!$A$2:$B$8,2,FALSE)&amp;"]")), FALSE)="", "",
VLOOKUP($A362,YES_Reading_ELA[],COLUMN(INDIRECT("YES_Reading_ELA[Difference - Per "&amp;VLOOKUP($G$4,'Reading Report Logic'!$A$2:$B$8,2,FALSE)&amp;"]")),FALSE)),
IF(VLOOKUP($A362, YES_Reading_FLA[], COLUMN(INDIRECT("YES_Reading_FLA[Difference - Per "&amp;VLOOKUP($G$4, 'Reading Report Logic'!$A$2:$B$8, 2, FALSE)&amp;"]")),FALSE)="", "", VLOOKUP($A362,YES_Reading_FLA[],COLUMN(INDIRECT("YES_Reading_FLA[Difference - Per "&amp;VLOOKUP($G$4, 'Reading Report Logic'!$A$2:$B$8, 2, FALSE)&amp;"]")),FALSE))),""))),"")</f>
        <v/>
      </c>
    </row>
    <row r="363" spans="1:9" x14ac:dyDescent="0.25">
      <c r="A363" s="137"/>
      <c r="B363" s="137" t="str">
        <f>IFERROR(INDEX(_xlfn.VSTACK(YES_Writing_ELA[#Data], YES_Writing_FLA[#Data]),MATCH($A363,_xlfn.VSTACK(YES_Writing_ELA[Student Number], YES_Writing_FLA[Student Number]),0),MATCH(B$7,YES_Writing_ELA[#Headers],0)),IFERROR(INDEX(_xlfn.VSTACK(YES_Reading_ELA[#Data], YES_Reading_FLA[#Data]),MATCH($A363,_xlfn.VSTACK(YES_Reading_ELA[Student Number], YES_Reading_FLA[Student Number]),0),MATCH(B$7,YES_Reading_ELA[#Headers],0)),""))</f>
        <v/>
      </c>
      <c r="C363" s="137" t="str">
        <f>IFERROR(INDEX(_xlfn.VSTACK(YES_Writing_ELA[#Data], YES_Writing_FLA[#Data]),MATCH($A363,_xlfn.VSTACK(YES_Writing_ELA[Student Number], YES_Writing_FLA[Student Number]),0),MATCH(C$7,YES_Writing_ELA[#Headers],0)),IFERROR(INDEX(_xlfn.VSTACK(YES_Reading_ELA[#Data], YES_Reading_FLA[#Data]),MATCH($A363,_xlfn.VSTACK(YES_Reading_ELA[Student Number], YES_Reading_FLA[Student Number]),0),MATCH(C$7,YES_Reading_ELA[#Headers],0)),""))</f>
        <v/>
      </c>
      <c r="D363" s="138" t="str">
        <f>IFERROR(IF(IF(INDEX(_xlfn.VSTACK(YES_Writing_ELA[#Data],YES_Writing_FLA[#Data]),MATCH($A363,_xlfn.VSTACK(YES_Writing_ELA[Student Number],YES_Writing_FLA[Student Number]),0),MATCH(VLOOKUP(D$7,'Writing Logic'!$J$7:$K$11,2,FALSE)&amp;" - Per "&amp;VLOOKUP($C$4,'Writing Logic'!$G$8:$H$14,2,FALSE),YES_Writing_ELA[#Headers],0))=0,"",INDEX(_xlfn.VSTACK(YES_Writing_ELA[#Data],YES_Writing_FLA[#Data]),MATCH($A363,_xlfn.VSTACK(YES_Writing_ELA[Student Number],YES_Writing_FLA[Student Number]),0),MATCH(VLOOKUP(D$7,'Writing Logic'!$J$7:$K$11,2,FALSE)&amp;" - Per "&amp;VLOOKUP($C$4,'Writing Logic'!$G$8:$H$14,2,FALSE),YES_Writing_ELA[#Headers],0)))="INS",'Writing Logic'!$B$7,IF(INDEX(_xlfn.VSTACK(YES_Writing_ELA[#Data],YES_Writing_FLA[#Data]),MATCH($A363,_xlfn.VSTACK(YES_Writing_ELA[Student Number],YES_Writing_FLA[Student Number]),0),MATCH(VLOOKUP(D$7,'Writing Logic'!$J$7:$K$11,2,FALSE)&amp;" - Per "&amp;VLOOKUP($C$4,'Writing Logic'!$G$8:$H$14,2,FALSE),YES_Writing_ELA[#Headers],0))=0,"",INDEX(_xlfn.VSTACK(YES_Writing_ELA[#Data],YES_Writing_FLA[#Data]),MATCH($A363,_xlfn.VSTACK(YES_Writing_ELA[Student Number],YES_Writing_FLA[Student Number]),0),MATCH(VLOOKUP(D$7,'Writing Logic'!$J$7:$K$11,2,FALSE)&amp;" - Per "&amp;VLOOKUP($C$4,'Writing Logic'!$G$8:$H$14,2,FALSE),YES_Writing_ELA[#Headers],0)))),"")</f>
        <v/>
      </c>
      <c r="E363" s="138" t="str">
        <f>IFERROR(IF(IF(INDEX(_xlfn.VSTACK(YES_Writing_ELA[#Data],YES_Writing_FLA[#Data]),MATCH($A363,_xlfn.VSTACK(YES_Writing_ELA[Student Number],YES_Writing_FLA[Student Number]),0),MATCH(VLOOKUP(E$7,'Writing Logic'!$J$7:$K$11,2,FALSE)&amp;" - Per "&amp;VLOOKUP($C$4,'Writing Logic'!$G$8:$H$14,2,FALSE),YES_Writing_ELA[#Headers],0))=0,"",INDEX(_xlfn.VSTACK(YES_Writing_ELA[#Data],YES_Writing_FLA[#Data]),MATCH($A363,_xlfn.VSTACK(YES_Writing_ELA[Student Number],YES_Writing_FLA[Student Number]),0),MATCH(VLOOKUP(E$7,'Writing Logic'!$J$7:$K$11,2,FALSE)&amp;" - Per "&amp;VLOOKUP($C$4,'Writing Logic'!$G$8:$H$14,2,FALSE),YES_Writing_ELA[#Headers],0)))="INS",'Writing Logic'!$B$7,IF(INDEX(_xlfn.VSTACK(YES_Writing_ELA[#Data],YES_Writing_FLA[#Data]),MATCH($A363,_xlfn.VSTACK(YES_Writing_ELA[Student Number],YES_Writing_FLA[Student Number]),0),MATCH(VLOOKUP(E$7,'Writing Logic'!$J$7:$K$11,2,FALSE)&amp;" - Per "&amp;VLOOKUP($C$4,'Writing Logic'!$G$8:$H$14,2,FALSE),YES_Writing_ELA[#Headers],0))=0,"",INDEX(_xlfn.VSTACK(YES_Writing_ELA[#Data],YES_Writing_FLA[#Data]),MATCH($A363,_xlfn.VSTACK(YES_Writing_ELA[Student Number],YES_Writing_FLA[Student Number]),0),MATCH(VLOOKUP(E$7,'Writing Logic'!$J$7:$K$11,2,FALSE)&amp;" - Per "&amp;VLOOKUP($C$4,'Writing Logic'!$G$8:$H$14,2,FALSE),YES_Writing_ELA[#Headers],0)))),"")</f>
        <v/>
      </c>
      <c r="F363" s="138" t="str">
        <f>IFERROR(IF(IF(INDEX(_xlfn.VSTACK(YES_Writing_ELA[#Data],YES_Writing_FLA[#Data]),MATCH($A363,_xlfn.VSTACK(YES_Writing_ELA[Student Number],YES_Writing_FLA[Student Number]),0),MATCH(VLOOKUP(F$7,'Writing Logic'!$J$7:$K$11,2,FALSE)&amp;" - Per "&amp;VLOOKUP($C$4,'Writing Logic'!$G$8:$H$14,2,FALSE),YES_Writing_ELA[#Headers],0))=0,"",INDEX(_xlfn.VSTACK(YES_Writing_ELA[#Data],YES_Writing_FLA[#Data]),MATCH($A363,_xlfn.VSTACK(YES_Writing_ELA[Student Number],YES_Writing_FLA[Student Number]),0),MATCH(VLOOKUP(F$7,'Writing Logic'!$J$7:$K$11,2,FALSE)&amp;" - Per "&amp;VLOOKUP($C$4,'Writing Logic'!$G$8:$H$14,2,FALSE),YES_Writing_ELA[#Headers],0)))="INS",'Writing Logic'!$B$7,IF(INDEX(_xlfn.VSTACK(YES_Writing_ELA[#Data],YES_Writing_FLA[#Data]),MATCH($A363,_xlfn.VSTACK(YES_Writing_ELA[Student Number],YES_Writing_FLA[Student Number]),0),MATCH(VLOOKUP(F$7,'Writing Logic'!$J$7:$K$11,2,FALSE)&amp;" - Per "&amp;VLOOKUP($C$4,'Writing Logic'!$G$8:$H$14,2,FALSE),YES_Writing_ELA[#Headers],0))=0,"",INDEX(_xlfn.VSTACK(YES_Writing_ELA[#Data],YES_Writing_FLA[#Data]),MATCH($A363,_xlfn.VSTACK(YES_Writing_ELA[Student Number],YES_Writing_FLA[Student Number]),0),MATCH(VLOOKUP(F$7,'Writing Logic'!$J$7:$K$11,2,FALSE)&amp;" - Per "&amp;VLOOKUP($C$4,'Writing Logic'!$G$8:$H$14,2,FALSE),YES_Writing_ELA[#Headers],0)))),"")</f>
        <v/>
      </c>
      <c r="G363" s="138" t="str">
        <f>IFERROR(IF(IF(INDEX(_xlfn.VSTACK(YES_Writing_ELA[#Data],YES_Writing_FLA[#Data]),MATCH($A363,_xlfn.VSTACK(YES_Writing_ELA[Student Number],YES_Writing_FLA[Student Number]),0),MATCH(VLOOKUP(G$7,'Writing Logic'!$J$7:$K$11,2,FALSE)&amp;" - Per "&amp;VLOOKUP($C$4,'Writing Logic'!$G$8:$H$14,2,FALSE),YES_Writing_ELA[#Headers],0))=0,"",INDEX(_xlfn.VSTACK(YES_Writing_ELA[#Data],YES_Writing_FLA[#Data]),MATCH($A363,_xlfn.VSTACK(YES_Writing_ELA[Student Number],YES_Writing_FLA[Student Number]),0),MATCH(VLOOKUP(G$7,'Writing Logic'!$J$7:$K$11,2,FALSE)&amp;" - Per "&amp;VLOOKUP($C$4,'Writing Logic'!$G$8:$H$14,2,FALSE),YES_Writing_ELA[#Headers],0)))="INS",'Writing Logic'!$B$7,IF(INDEX(_xlfn.VSTACK(YES_Writing_ELA[#Data],YES_Writing_FLA[#Data]),MATCH($A363,_xlfn.VSTACK(YES_Writing_ELA[Student Number],YES_Writing_FLA[Student Number]),0),MATCH(VLOOKUP(G$7,'Writing Logic'!$J$7:$K$11,2,FALSE)&amp;" - Per "&amp;VLOOKUP($C$4,'Writing Logic'!$G$8:$H$14,2,FALSE),YES_Writing_ELA[#Headers],0))=0,"",INDEX(_xlfn.VSTACK(YES_Writing_ELA[#Data],YES_Writing_FLA[#Data]),MATCH($A363,_xlfn.VSTACK(YES_Writing_ELA[Student Number],YES_Writing_FLA[Student Number]),0),MATCH(VLOOKUP(G$7,'Writing Logic'!$J$7:$K$11,2,FALSE)&amp;" - Per "&amp;VLOOKUP($C$4,'Writing Logic'!$G$8:$H$14,2,FALSE),YES_Writing_ELA[#Headers],0)))),"")</f>
        <v/>
      </c>
      <c r="H363" s="223" t="str">
        <f>IFERROR(IF(IF(INDEX(_xlfn.VSTACK(YES_Writing_ELA[#Data],YES_Writing_FLA[#Data]),MATCH($A363,_xlfn.VSTACK(YES_Writing_ELA[Student Number],YES_Writing_FLA[Student Number]),0),MATCH(VLOOKUP(H$7,'Writing Logic'!$J$7:$K$11,2,FALSE)&amp;" - Per "&amp;VLOOKUP($C$4,'Writing Logic'!$G$8:$H$14,2,FALSE),YES_Writing_ELA[#Headers],0))=0,"",INDEX(_xlfn.VSTACK(YES_Writing_ELA[#Data],YES_Writing_FLA[#Data]),MATCH($A363,_xlfn.VSTACK(YES_Writing_ELA[Student Number],YES_Writing_FLA[Student Number]),0),MATCH(VLOOKUP(H$7,'Writing Logic'!$J$7:$K$11,2,FALSE)&amp;" - Per "&amp;VLOOKUP($C$4,'Writing Logic'!$G$8:$H$14,2,FALSE),YES_Writing_ELA[#Headers],0)))="INS",'Writing Logic'!$B$7,IF(INDEX(_xlfn.VSTACK(YES_Writing_ELA[#Data],YES_Writing_FLA[#Data]),MATCH($A363,_xlfn.VSTACK(YES_Writing_ELA[Student Number],YES_Writing_FLA[Student Number]),0),MATCH(VLOOKUP(H$7,'Writing Logic'!$J$7:$K$11,2,FALSE)&amp;" - Per "&amp;VLOOKUP($C$4,'Writing Logic'!$G$8:$H$14,2,FALSE),YES_Writing_ELA[#Headers],0))=0,"",INDEX(_xlfn.VSTACK(YES_Writing_ELA[#Data],YES_Writing_FLA[#Data]),MATCH($A363,_xlfn.VSTACK(YES_Writing_ELA[Student Number],YES_Writing_FLA[Student Number]),0),MATCH(VLOOKUP(H$7,'Writing Logic'!$J$7:$K$11,2,FALSE)&amp;" - Per "&amp;VLOOKUP($C$4,'Writing Logic'!$G$8:$H$14,2,FALSE),YES_Writing_ELA[#Headers],0)))),"")</f>
        <v/>
      </c>
      <c r="I363" s="224" t="str" cm="1">
        <f t="array" aca="1" ref="I363" ca="1">IFERROR(
IF($G$3="ELA",
IF(VLOOKUP($A363, YES_Reading_ELA[], COLUMN(INDIRECT("YES_Reading_ELA[Difference - Per "&amp;VLOOKUP($G$4, 'Reading Report Logic'!$A$2:$B$8, 2, FALSE)&amp;"]")), FALSE)="", "",
VLOOKUP($A363,YES_Reading_ELA[], COLUMN(INDIRECT("YES_Reading_ELA[Difference - Per "&amp;VLOOKUP($G$4,'Reading Report Logic'!$A$2:$B$8,2,FALSE)&amp;"]")), FALSE)),
IF($G$3="FLA",
IF(VLOOKUP($A363, YES_Reading_FLA[], COLUMN(INDIRECT("YES_Reading_FLA[Difference - Per "&amp;VLOOKUP($G$4,'Reading Report Logic'!$A$2:$B$8,2,FALSE)&amp;"]")),FALSE)="","",
VLOOKUP($A363,YES_Reading_FLA[],COLUMN(INDIRECT("YES_Reading_FLA[Difference - Per "&amp;VLOOKUP($G$4,'Reading Report Logic'!$A$2:$B$8,2,FALSE)&amp;"]")),FALSE)),
IF($G$3="Combined",
IFERROR(
IF(VLOOKUP($A363, YES_Reading_ELA[], COLUMN(INDIRECT("YES_Reading_ELA[Difference - Per "&amp;VLOOKUP($G$4, 'Reading Report Logic'!$A$2:$B$8,2,FALSE)&amp;"]")), FALSE)="", "",
VLOOKUP($A363,YES_Reading_ELA[],COLUMN(INDIRECT("YES_Reading_ELA[Difference - Per "&amp;VLOOKUP($G$4,'Reading Report Logic'!$A$2:$B$8,2,FALSE)&amp;"]")),FALSE)),
IF(VLOOKUP($A363, YES_Reading_FLA[], COLUMN(INDIRECT("YES_Reading_FLA[Difference - Per "&amp;VLOOKUP($G$4, 'Reading Report Logic'!$A$2:$B$8, 2, FALSE)&amp;"]")),FALSE)="", "", VLOOKUP($A363,YES_Reading_FLA[],COLUMN(INDIRECT("YES_Reading_FLA[Difference - Per "&amp;VLOOKUP($G$4, 'Reading Report Logic'!$A$2:$B$8, 2, FALSE)&amp;"]")),FALSE))),""))),"")</f>
        <v/>
      </c>
    </row>
    <row r="364" spans="1:9" x14ac:dyDescent="0.25">
      <c r="A364" s="137"/>
      <c r="B364" s="137" t="str">
        <f>IFERROR(INDEX(_xlfn.VSTACK(YES_Writing_ELA[#Data], YES_Writing_FLA[#Data]),MATCH($A364,_xlfn.VSTACK(YES_Writing_ELA[Student Number], YES_Writing_FLA[Student Number]),0),MATCH(B$7,YES_Writing_ELA[#Headers],0)),IFERROR(INDEX(_xlfn.VSTACK(YES_Reading_ELA[#Data], YES_Reading_FLA[#Data]),MATCH($A364,_xlfn.VSTACK(YES_Reading_ELA[Student Number], YES_Reading_FLA[Student Number]),0),MATCH(B$7,YES_Reading_ELA[#Headers],0)),""))</f>
        <v/>
      </c>
      <c r="C364" s="137" t="str">
        <f>IFERROR(INDEX(_xlfn.VSTACK(YES_Writing_ELA[#Data], YES_Writing_FLA[#Data]),MATCH($A364,_xlfn.VSTACK(YES_Writing_ELA[Student Number], YES_Writing_FLA[Student Number]),0),MATCH(C$7,YES_Writing_ELA[#Headers],0)),IFERROR(INDEX(_xlfn.VSTACK(YES_Reading_ELA[#Data], YES_Reading_FLA[#Data]),MATCH($A364,_xlfn.VSTACK(YES_Reading_ELA[Student Number], YES_Reading_FLA[Student Number]),0),MATCH(C$7,YES_Reading_ELA[#Headers],0)),""))</f>
        <v/>
      </c>
      <c r="D364" s="138" t="str">
        <f>IFERROR(IF(IF(INDEX(_xlfn.VSTACK(YES_Writing_ELA[#Data],YES_Writing_FLA[#Data]),MATCH($A364,_xlfn.VSTACK(YES_Writing_ELA[Student Number],YES_Writing_FLA[Student Number]),0),MATCH(VLOOKUP(D$7,'Writing Logic'!$J$7:$K$11,2,FALSE)&amp;" - Per "&amp;VLOOKUP($C$4,'Writing Logic'!$G$8:$H$14,2,FALSE),YES_Writing_ELA[#Headers],0))=0,"",INDEX(_xlfn.VSTACK(YES_Writing_ELA[#Data],YES_Writing_FLA[#Data]),MATCH($A364,_xlfn.VSTACK(YES_Writing_ELA[Student Number],YES_Writing_FLA[Student Number]),0),MATCH(VLOOKUP(D$7,'Writing Logic'!$J$7:$K$11,2,FALSE)&amp;" - Per "&amp;VLOOKUP($C$4,'Writing Logic'!$G$8:$H$14,2,FALSE),YES_Writing_ELA[#Headers],0)))="INS",'Writing Logic'!$B$7,IF(INDEX(_xlfn.VSTACK(YES_Writing_ELA[#Data],YES_Writing_FLA[#Data]),MATCH($A364,_xlfn.VSTACK(YES_Writing_ELA[Student Number],YES_Writing_FLA[Student Number]),0),MATCH(VLOOKUP(D$7,'Writing Logic'!$J$7:$K$11,2,FALSE)&amp;" - Per "&amp;VLOOKUP($C$4,'Writing Logic'!$G$8:$H$14,2,FALSE),YES_Writing_ELA[#Headers],0))=0,"",INDEX(_xlfn.VSTACK(YES_Writing_ELA[#Data],YES_Writing_FLA[#Data]),MATCH($A364,_xlfn.VSTACK(YES_Writing_ELA[Student Number],YES_Writing_FLA[Student Number]),0),MATCH(VLOOKUP(D$7,'Writing Logic'!$J$7:$K$11,2,FALSE)&amp;" - Per "&amp;VLOOKUP($C$4,'Writing Logic'!$G$8:$H$14,2,FALSE),YES_Writing_ELA[#Headers],0)))),"")</f>
        <v/>
      </c>
      <c r="E364" s="138" t="str">
        <f>IFERROR(IF(IF(INDEX(_xlfn.VSTACK(YES_Writing_ELA[#Data],YES_Writing_FLA[#Data]),MATCH($A364,_xlfn.VSTACK(YES_Writing_ELA[Student Number],YES_Writing_FLA[Student Number]),0),MATCH(VLOOKUP(E$7,'Writing Logic'!$J$7:$K$11,2,FALSE)&amp;" - Per "&amp;VLOOKUP($C$4,'Writing Logic'!$G$8:$H$14,2,FALSE),YES_Writing_ELA[#Headers],0))=0,"",INDEX(_xlfn.VSTACK(YES_Writing_ELA[#Data],YES_Writing_FLA[#Data]),MATCH($A364,_xlfn.VSTACK(YES_Writing_ELA[Student Number],YES_Writing_FLA[Student Number]),0),MATCH(VLOOKUP(E$7,'Writing Logic'!$J$7:$K$11,2,FALSE)&amp;" - Per "&amp;VLOOKUP($C$4,'Writing Logic'!$G$8:$H$14,2,FALSE),YES_Writing_ELA[#Headers],0)))="INS",'Writing Logic'!$B$7,IF(INDEX(_xlfn.VSTACK(YES_Writing_ELA[#Data],YES_Writing_FLA[#Data]),MATCH($A364,_xlfn.VSTACK(YES_Writing_ELA[Student Number],YES_Writing_FLA[Student Number]),0),MATCH(VLOOKUP(E$7,'Writing Logic'!$J$7:$K$11,2,FALSE)&amp;" - Per "&amp;VLOOKUP($C$4,'Writing Logic'!$G$8:$H$14,2,FALSE),YES_Writing_ELA[#Headers],0))=0,"",INDEX(_xlfn.VSTACK(YES_Writing_ELA[#Data],YES_Writing_FLA[#Data]),MATCH($A364,_xlfn.VSTACK(YES_Writing_ELA[Student Number],YES_Writing_FLA[Student Number]),0),MATCH(VLOOKUP(E$7,'Writing Logic'!$J$7:$K$11,2,FALSE)&amp;" - Per "&amp;VLOOKUP($C$4,'Writing Logic'!$G$8:$H$14,2,FALSE),YES_Writing_ELA[#Headers],0)))),"")</f>
        <v/>
      </c>
      <c r="F364" s="138" t="str">
        <f>IFERROR(IF(IF(INDEX(_xlfn.VSTACK(YES_Writing_ELA[#Data],YES_Writing_FLA[#Data]),MATCH($A364,_xlfn.VSTACK(YES_Writing_ELA[Student Number],YES_Writing_FLA[Student Number]),0),MATCH(VLOOKUP(F$7,'Writing Logic'!$J$7:$K$11,2,FALSE)&amp;" - Per "&amp;VLOOKUP($C$4,'Writing Logic'!$G$8:$H$14,2,FALSE),YES_Writing_ELA[#Headers],0))=0,"",INDEX(_xlfn.VSTACK(YES_Writing_ELA[#Data],YES_Writing_FLA[#Data]),MATCH($A364,_xlfn.VSTACK(YES_Writing_ELA[Student Number],YES_Writing_FLA[Student Number]),0),MATCH(VLOOKUP(F$7,'Writing Logic'!$J$7:$K$11,2,FALSE)&amp;" - Per "&amp;VLOOKUP($C$4,'Writing Logic'!$G$8:$H$14,2,FALSE),YES_Writing_ELA[#Headers],0)))="INS",'Writing Logic'!$B$7,IF(INDEX(_xlfn.VSTACK(YES_Writing_ELA[#Data],YES_Writing_FLA[#Data]),MATCH($A364,_xlfn.VSTACK(YES_Writing_ELA[Student Number],YES_Writing_FLA[Student Number]),0),MATCH(VLOOKUP(F$7,'Writing Logic'!$J$7:$K$11,2,FALSE)&amp;" - Per "&amp;VLOOKUP($C$4,'Writing Logic'!$G$8:$H$14,2,FALSE),YES_Writing_ELA[#Headers],0))=0,"",INDEX(_xlfn.VSTACK(YES_Writing_ELA[#Data],YES_Writing_FLA[#Data]),MATCH($A364,_xlfn.VSTACK(YES_Writing_ELA[Student Number],YES_Writing_FLA[Student Number]),0),MATCH(VLOOKUP(F$7,'Writing Logic'!$J$7:$K$11,2,FALSE)&amp;" - Per "&amp;VLOOKUP($C$4,'Writing Logic'!$G$8:$H$14,2,FALSE),YES_Writing_ELA[#Headers],0)))),"")</f>
        <v/>
      </c>
      <c r="G364" s="138" t="str">
        <f>IFERROR(IF(IF(INDEX(_xlfn.VSTACK(YES_Writing_ELA[#Data],YES_Writing_FLA[#Data]),MATCH($A364,_xlfn.VSTACK(YES_Writing_ELA[Student Number],YES_Writing_FLA[Student Number]),0),MATCH(VLOOKUP(G$7,'Writing Logic'!$J$7:$K$11,2,FALSE)&amp;" - Per "&amp;VLOOKUP($C$4,'Writing Logic'!$G$8:$H$14,2,FALSE),YES_Writing_ELA[#Headers],0))=0,"",INDEX(_xlfn.VSTACK(YES_Writing_ELA[#Data],YES_Writing_FLA[#Data]),MATCH($A364,_xlfn.VSTACK(YES_Writing_ELA[Student Number],YES_Writing_FLA[Student Number]),0),MATCH(VLOOKUP(G$7,'Writing Logic'!$J$7:$K$11,2,FALSE)&amp;" - Per "&amp;VLOOKUP($C$4,'Writing Logic'!$G$8:$H$14,2,FALSE),YES_Writing_ELA[#Headers],0)))="INS",'Writing Logic'!$B$7,IF(INDEX(_xlfn.VSTACK(YES_Writing_ELA[#Data],YES_Writing_FLA[#Data]),MATCH($A364,_xlfn.VSTACK(YES_Writing_ELA[Student Number],YES_Writing_FLA[Student Number]),0),MATCH(VLOOKUP(G$7,'Writing Logic'!$J$7:$K$11,2,FALSE)&amp;" - Per "&amp;VLOOKUP($C$4,'Writing Logic'!$G$8:$H$14,2,FALSE),YES_Writing_ELA[#Headers],0))=0,"",INDEX(_xlfn.VSTACK(YES_Writing_ELA[#Data],YES_Writing_FLA[#Data]),MATCH($A364,_xlfn.VSTACK(YES_Writing_ELA[Student Number],YES_Writing_FLA[Student Number]),0),MATCH(VLOOKUP(G$7,'Writing Logic'!$J$7:$K$11,2,FALSE)&amp;" - Per "&amp;VLOOKUP($C$4,'Writing Logic'!$G$8:$H$14,2,FALSE),YES_Writing_ELA[#Headers],0)))),"")</f>
        <v/>
      </c>
      <c r="H364" s="223" t="str">
        <f>IFERROR(IF(IF(INDEX(_xlfn.VSTACK(YES_Writing_ELA[#Data],YES_Writing_FLA[#Data]),MATCH($A364,_xlfn.VSTACK(YES_Writing_ELA[Student Number],YES_Writing_FLA[Student Number]),0),MATCH(VLOOKUP(H$7,'Writing Logic'!$J$7:$K$11,2,FALSE)&amp;" - Per "&amp;VLOOKUP($C$4,'Writing Logic'!$G$8:$H$14,2,FALSE),YES_Writing_ELA[#Headers],0))=0,"",INDEX(_xlfn.VSTACK(YES_Writing_ELA[#Data],YES_Writing_FLA[#Data]),MATCH($A364,_xlfn.VSTACK(YES_Writing_ELA[Student Number],YES_Writing_FLA[Student Number]),0),MATCH(VLOOKUP(H$7,'Writing Logic'!$J$7:$K$11,2,FALSE)&amp;" - Per "&amp;VLOOKUP($C$4,'Writing Logic'!$G$8:$H$14,2,FALSE),YES_Writing_ELA[#Headers],0)))="INS",'Writing Logic'!$B$7,IF(INDEX(_xlfn.VSTACK(YES_Writing_ELA[#Data],YES_Writing_FLA[#Data]),MATCH($A364,_xlfn.VSTACK(YES_Writing_ELA[Student Number],YES_Writing_FLA[Student Number]),0),MATCH(VLOOKUP(H$7,'Writing Logic'!$J$7:$K$11,2,FALSE)&amp;" - Per "&amp;VLOOKUP($C$4,'Writing Logic'!$G$8:$H$14,2,FALSE),YES_Writing_ELA[#Headers],0))=0,"",INDEX(_xlfn.VSTACK(YES_Writing_ELA[#Data],YES_Writing_FLA[#Data]),MATCH($A364,_xlfn.VSTACK(YES_Writing_ELA[Student Number],YES_Writing_FLA[Student Number]),0),MATCH(VLOOKUP(H$7,'Writing Logic'!$J$7:$K$11,2,FALSE)&amp;" - Per "&amp;VLOOKUP($C$4,'Writing Logic'!$G$8:$H$14,2,FALSE),YES_Writing_ELA[#Headers],0)))),"")</f>
        <v/>
      </c>
      <c r="I364" s="224" t="str" cm="1">
        <f t="array" aca="1" ref="I364" ca="1">IFERROR(
IF($G$3="ELA",
IF(VLOOKUP($A364, YES_Reading_ELA[], COLUMN(INDIRECT("YES_Reading_ELA[Difference - Per "&amp;VLOOKUP($G$4, 'Reading Report Logic'!$A$2:$B$8, 2, FALSE)&amp;"]")), FALSE)="", "",
VLOOKUP($A364,YES_Reading_ELA[], COLUMN(INDIRECT("YES_Reading_ELA[Difference - Per "&amp;VLOOKUP($G$4,'Reading Report Logic'!$A$2:$B$8,2,FALSE)&amp;"]")), FALSE)),
IF($G$3="FLA",
IF(VLOOKUP($A364, YES_Reading_FLA[], COLUMN(INDIRECT("YES_Reading_FLA[Difference - Per "&amp;VLOOKUP($G$4,'Reading Report Logic'!$A$2:$B$8,2,FALSE)&amp;"]")),FALSE)="","",
VLOOKUP($A364,YES_Reading_FLA[],COLUMN(INDIRECT("YES_Reading_FLA[Difference - Per "&amp;VLOOKUP($G$4,'Reading Report Logic'!$A$2:$B$8,2,FALSE)&amp;"]")),FALSE)),
IF($G$3="Combined",
IFERROR(
IF(VLOOKUP($A364, YES_Reading_ELA[], COLUMN(INDIRECT("YES_Reading_ELA[Difference - Per "&amp;VLOOKUP($G$4, 'Reading Report Logic'!$A$2:$B$8,2,FALSE)&amp;"]")), FALSE)="", "",
VLOOKUP($A364,YES_Reading_ELA[],COLUMN(INDIRECT("YES_Reading_ELA[Difference - Per "&amp;VLOOKUP($G$4,'Reading Report Logic'!$A$2:$B$8,2,FALSE)&amp;"]")),FALSE)),
IF(VLOOKUP($A364, YES_Reading_FLA[], COLUMN(INDIRECT("YES_Reading_FLA[Difference - Per "&amp;VLOOKUP($G$4, 'Reading Report Logic'!$A$2:$B$8, 2, FALSE)&amp;"]")),FALSE)="", "", VLOOKUP($A364,YES_Reading_FLA[],COLUMN(INDIRECT("YES_Reading_FLA[Difference - Per "&amp;VLOOKUP($G$4, 'Reading Report Logic'!$A$2:$B$8, 2, FALSE)&amp;"]")),FALSE))),""))),"")</f>
        <v/>
      </c>
    </row>
    <row r="365" spans="1:9" x14ac:dyDescent="0.25">
      <c r="A365" s="137"/>
      <c r="B365" s="137" t="str">
        <f>IFERROR(INDEX(_xlfn.VSTACK(YES_Writing_ELA[#Data], YES_Writing_FLA[#Data]),MATCH($A365,_xlfn.VSTACK(YES_Writing_ELA[Student Number], YES_Writing_FLA[Student Number]),0),MATCH(B$7,YES_Writing_ELA[#Headers],0)),IFERROR(INDEX(_xlfn.VSTACK(YES_Reading_ELA[#Data], YES_Reading_FLA[#Data]),MATCH($A365,_xlfn.VSTACK(YES_Reading_ELA[Student Number], YES_Reading_FLA[Student Number]),0),MATCH(B$7,YES_Reading_ELA[#Headers],0)),""))</f>
        <v/>
      </c>
      <c r="C365" s="137" t="str">
        <f>IFERROR(INDEX(_xlfn.VSTACK(YES_Writing_ELA[#Data], YES_Writing_FLA[#Data]),MATCH($A365,_xlfn.VSTACK(YES_Writing_ELA[Student Number], YES_Writing_FLA[Student Number]),0),MATCH(C$7,YES_Writing_ELA[#Headers],0)),IFERROR(INDEX(_xlfn.VSTACK(YES_Reading_ELA[#Data], YES_Reading_FLA[#Data]),MATCH($A365,_xlfn.VSTACK(YES_Reading_ELA[Student Number], YES_Reading_FLA[Student Number]),0),MATCH(C$7,YES_Reading_ELA[#Headers],0)),""))</f>
        <v/>
      </c>
      <c r="D365" s="138" t="str">
        <f>IFERROR(IF(IF(INDEX(_xlfn.VSTACK(YES_Writing_ELA[#Data],YES_Writing_FLA[#Data]),MATCH($A365,_xlfn.VSTACK(YES_Writing_ELA[Student Number],YES_Writing_FLA[Student Number]),0),MATCH(VLOOKUP(D$7,'Writing Logic'!$J$7:$K$11,2,FALSE)&amp;" - Per "&amp;VLOOKUP($C$4,'Writing Logic'!$G$8:$H$14,2,FALSE),YES_Writing_ELA[#Headers],0))=0,"",INDEX(_xlfn.VSTACK(YES_Writing_ELA[#Data],YES_Writing_FLA[#Data]),MATCH($A365,_xlfn.VSTACK(YES_Writing_ELA[Student Number],YES_Writing_FLA[Student Number]),0),MATCH(VLOOKUP(D$7,'Writing Logic'!$J$7:$K$11,2,FALSE)&amp;" - Per "&amp;VLOOKUP($C$4,'Writing Logic'!$G$8:$H$14,2,FALSE),YES_Writing_ELA[#Headers],0)))="INS",'Writing Logic'!$B$7,IF(INDEX(_xlfn.VSTACK(YES_Writing_ELA[#Data],YES_Writing_FLA[#Data]),MATCH($A365,_xlfn.VSTACK(YES_Writing_ELA[Student Number],YES_Writing_FLA[Student Number]),0),MATCH(VLOOKUP(D$7,'Writing Logic'!$J$7:$K$11,2,FALSE)&amp;" - Per "&amp;VLOOKUP($C$4,'Writing Logic'!$G$8:$H$14,2,FALSE),YES_Writing_ELA[#Headers],0))=0,"",INDEX(_xlfn.VSTACK(YES_Writing_ELA[#Data],YES_Writing_FLA[#Data]),MATCH($A365,_xlfn.VSTACK(YES_Writing_ELA[Student Number],YES_Writing_FLA[Student Number]),0),MATCH(VLOOKUP(D$7,'Writing Logic'!$J$7:$K$11,2,FALSE)&amp;" - Per "&amp;VLOOKUP($C$4,'Writing Logic'!$G$8:$H$14,2,FALSE),YES_Writing_ELA[#Headers],0)))),"")</f>
        <v/>
      </c>
      <c r="E365" s="138" t="str">
        <f>IFERROR(IF(IF(INDEX(_xlfn.VSTACK(YES_Writing_ELA[#Data],YES_Writing_FLA[#Data]),MATCH($A365,_xlfn.VSTACK(YES_Writing_ELA[Student Number],YES_Writing_FLA[Student Number]),0),MATCH(VLOOKUP(E$7,'Writing Logic'!$J$7:$K$11,2,FALSE)&amp;" - Per "&amp;VLOOKUP($C$4,'Writing Logic'!$G$8:$H$14,2,FALSE),YES_Writing_ELA[#Headers],0))=0,"",INDEX(_xlfn.VSTACK(YES_Writing_ELA[#Data],YES_Writing_FLA[#Data]),MATCH($A365,_xlfn.VSTACK(YES_Writing_ELA[Student Number],YES_Writing_FLA[Student Number]),0),MATCH(VLOOKUP(E$7,'Writing Logic'!$J$7:$K$11,2,FALSE)&amp;" - Per "&amp;VLOOKUP($C$4,'Writing Logic'!$G$8:$H$14,2,FALSE),YES_Writing_ELA[#Headers],0)))="INS",'Writing Logic'!$B$7,IF(INDEX(_xlfn.VSTACK(YES_Writing_ELA[#Data],YES_Writing_FLA[#Data]),MATCH($A365,_xlfn.VSTACK(YES_Writing_ELA[Student Number],YES_Writing_FLA[Student Number]),0),MATCH(VLOOKUP(E$7,'Writing Logic'!$J$7:$K$11,2,FALSE)&amp;" - Per "&amp;VLOOKUP($C$4,'Writing Logic'!$G$8:$H$14,2,FALSE),YES_Writing_ELA[#Headers],0))=0,"",INDEX(_xlfn.VSTACK(YES_Writing_ELA[#Data],YES_Writing_FLA[#Data]),MATCH($A365,_xlfn.VSTACK(YES_Writing_ELA[Student Number],YES_Writing_FLA[Student Number]),0),MATCH(VLOOKUP(E$7,'Writing Logic'!$J$7:$K$11,2,FALSE)&amp;" - Per "&amp;VLOOKUP($C$4,'Writing Logic'!$G$8:$H$14,2,FALSE),YES_Writing_ELA[#Headers],0)))),"")</f>
        <v/>
      </c>
      <c r="F365" s="138" t="str">
        <f>IFERROR(IF(IF(INDEX(_xlfn.VSTACK(YES_Writing_ELA[#Data],YES_Writing_FLA[#Data]),MATCH($A365,_xlfn.VSTACK(YES_Writing_ELA[Student Number],YES_Writing_FLA[Student Number]),0),MATCH(VLOOKUP(F$7,'Writing Logic'!$J$7:$K$11,2,FALSE)&amp;" - Per "&amp;VLOOKUP($C$4,'Writing Logic'!$G$8:$H$14,2,FALSE),YES_Writing_ELA[#Headers],0))=0,"",INDEX(_xlfn.VSTACK(YES_Writing_ELA[#Data],YES_Writing_FLA[#Data]),MATCH($A365,_xlfn.VSTACK(YES_Writing_ELA[Student Number],YES_Writing_FLA[Student Number]),0),MATCH(VLOOKUP(F$7,'Writing Logic'!$J$7:$K$11,2,FALSE)&amp;" - Per "&amp;VLOOKUP($C$4,'Writing Logic'!$G$8:$H$14,2,FALSE),YES_Writing_ELA[#Headers],0)))="INS",'Writing Logic'!$B$7,IF(INDEX(_xlfn.VSTACK(YES_Writing_ELA[#Data],YES_Writing_FLA[#Data]),MATCH($A365,_xlfn.VSTACK(YES_Writing_ELA[Student Number],YES_Writing_FLA[Student Number]),0),MATCH(VLOOKUP(F$7,'Writing Logic'!$J$7:$K$11,2,FALSE)&amp;" - Per "&amp;VLOOKUP($C$4,'Writing Logic'!$G$8:$H$14,2,FALSE),YES_Writing_ELA[#Headers],0))=0,"",INDEX(_xlfn.VSTACK(YES_Writing_ELA[#Data],YES_Writing_FLA[#Data]),MATCH($A365,_xlfn.VSTACK(YES_Writing_ELA[Student Number],YES_Writing_FLA[Student Number]),0),MATCH(VLOOKUP(F$7,'Writing Logic'!$J$7:$K$11,2,FALSE)&amp;" - Per "&amp;VLOOKUP($C$4,'Writing Logic'!$G$8:$H$14,2,FALSE),YES_Writing_ELA[#Headers],0)))),"")</f>
        <v/>
      </c>
      <c r="G365" s="138" t="str">
        <f>IFERROR(IF(IF(INDEX(_xlfn.VSTACK(YES_Writing_ELA[#Data],YES_Writing_FLA[#Data]),MATCH($A365,_xlfn.VSTACK(YES_Writing_ELA[Student Number],YES_Writing_FLA[Student Number]),0),MATCH(VLOOKUP(G$7,'Writing Logic'!$J$7:$K$11,2,FALSE)&amp;" - Per "&amp;VLOOKUP($C$4,'Writing Logic'!$G$8:$H$14,2,FALSE),YES_Writing_ELA[#Headers],0))=0,"",INDEX(_xlfn.VSTACK(YES_Writing_ELA[#Data],YES_Writing_FLA[#Data]),MATCH($A365,_xlfn.VSTACK(YES_Writing_ELA[Student Number],YES_Writing_FLA[Student Number]),0),MATCH(VLOOKUP(G$7,'Writing Logic'!$J$7:$K$11,2,FALSE)&amp;" - Per "&amp;VLOOKUP($C$4,'Writing Logic'!$G$8:$H$14,2,FALSE),YES_Writing_ELA[#Headers],0)))="INS",'Writing Logic'!$B$7,IF(INDEX(_xlfn.VSTACK(YES_Writing_ELA[#Data],YES_Writing_FLA[#Data]),MATCH($A365,_xlfn.VSTACK(YES_Writing_ELA[Student Number],YES_Writing_FLA[Student Number]),0),MATCH(VLOOKUP(G$7,'Writing Logic'!$J$7:$K$11,2,FALSE)&amp;" - Per "&amp;VLOOKUP($C$4,'Writing Logic'!$G$8:$H$14,2,FALSE),YES_Writing_ELA[#Headers],0))=0,"",INDEX(_xlfn.VSTACK(YES_Writing_ELA[#Data],YES_Writing_FLA[#Data]),MATCH($A365,_xlfn.VSTACK(YES_Writing_ELA[Student Number],YES_Writing_FLA[Student Number]),0),MATCH(VLOOKUP(G$7,'Writing Logic'!$J$7:$K$11,2,FALSE)&amp;" - Per "&amp;VLOOKUP($C$4,'Writing Logic'!$G$8:$H$14,2,FALSE),YES_Writing_ELA[#Headers],0)))),"")</f>
        <v/>
      </c>
      <c r="H365" s="223" t="str">
        <f>IFERROR(IF(IF(INDEX(_xlfn.VSTACK(YES_Writing_ELA[#Data],YES_Writing_FLA[#Data]),MATCH($A365,_xlfn.VSTACK(YES_Writing_ELA[Student Number],YES_Writing_FLA[Student Number]),0),MATCH(VLOOKUP(H$7,'Writing Logic'!$J$7:$K$11,2,FALSE)&amp;" - Per "&amp;VLOOKUP($C$4,'Writing Logic'!$G$8:$H$14,2,FALSE),YES_Writing_ELA[#Headers],0))=0,"",INDEX(_xlfn.VSTACK(YES_Writing_ELA[#Data],YES_Writing_FLA[#Data]),MATCH($A365,_xlfn.VSTACK(YES_Writing_ELA[Student Number],YES_Writing_FLA[Student Number]),0),MATCH(VLOOKUP(H$7,'Writing Logic'!$J$7:$K$11,2,FALSE)&amp;" - Per "&amp;VLOOKUP($C$4,'Writing Logic'!$G$8:$H$14,2,FALSE),YES_Writing_ELA[#Headers],0)))="INS",'Writing Logic'!$B$7,IF(INDEX(_xlfn.VSTACK(YES_Writing_ELA[#Data],YES_Writing_FLA[#Data]),MATCH($A365,_xlfn.VSTACK(YES_Writing_ELA[Student Number],YES_Writing_FLA[Student Number]),0),MATCH(VLOOKUP(H$7,'Writing Logic'!$J$7:$K$11,2,FALSE)&amp;" - Per "&amp;VLOOKUP($C$4,'Writing Logic'!$G$8:$H$14,2,FALSE),YES_Writing_ELA[#Headers],0))=0,"",INDEX(_xlfn.VSTACK(YES_Writing_ELA[#Data],YES_Writing_FLA[#Data]),MATCH($A365,_xlfn.VSTACK(YES_Writing_ELA[Student Number],YES_Writing_FLA[Student Number]),0),MATCH(VLOOKUP(H$7,'Writing Logic'!$J$7:$K$11,2,FALSE)&amp;" - Per "&amp;VLOOKUP($C$4,'Writing Logic'!$G$8:$H$14,2,FALSE),YES_Writing_ELA[#Headers],0)))),"")</f>
        <v/>
      </c>
      <c r="I365" s="224" t="str" cm="1">
        <f t="array" aca="1" ref="I365" ca="1">IFERROR(
IF($G$3="ELA",
IF(VLOOKUP($A365, YES_Reading_ELA[], COLUMN(INDIRECT("YES_Reading_ELA[Difference - Per "&amp;VLOOKUP($G$4, 'Reading Report Logic'!$A$2:$B$8, 2, FALSE)&amp;"]")), FALSE)="", "",
VLOOKUP($A365,YES_Reading_ELA[], COLUMN(INDIRECT("YES_Reading_ELA[Difference - Per "&amp;VLOOKUP($G$4,'Reading Report Logic'!$A$2:$B$8,2,FALSE)&amp;"]")), FALSE)),
IF($G$3="FLA",
IF(VLOOKUP($A365, YES_Reading_FLA[], COLUMN(INDIRECT("YES_Reading_FLA[Difference - Per "&amp;VLOOKUP($G$4,'Reading Report Logic'!$A$2:$B$8,2,FALSE)&amp;"]")),FALSE)="","",
VLOOKUP($A365,YES_Reading_FLA[],COLUMN(INDIRECT("YES_Reading_FLA[Difference - Per "&amp;VLOOKUP($G$4,'Reading Report Logic'!$A$2:$B$8,2,FALSE)&amp;"]")),FALSE)),
IF($G$3="Combined",
IFERROR(
IF(VLOOKUP($A365, YES_Reading_ELA[], COLUMN(INDIRECT("YES_Reading_ELA[Difference - Per "&amp;VLOOKUP($G$4, 'Reading Report Logic'!$A$2:$B$8,2,FALSE)&amp;"]")), FALSE)="", "",
VLOOKUP($A365,YES_Reading_ELA[],COLUMN(INDIRECT("YES_Reading_ELA[Difference - Per "&amp;VLOOKUP($G$4,'Reading Report Logic'!$A$2:$B$8,2,FALSE)&amp;"]")),FALSE)),
IF(VLOOKUP($A365, YES_Reading_FLA[], COLUMN(INDIRECT("YES_Reading_FLA[Difference - Per "&amp;VLOOKUP($G$4, 'Reading Report Logic'!$A$2:$B$8, 2, FALSE)&amp;"]")),FALSE)="", "", VLOOKUP($A365,YES_Reading_FLA[],COLUMN(INDIRECT("YES_Reading_FLA[Difference - Per "&amp;VLOOKUP($G$4, 'Reading Report Logic'!$A$2:$B$8, 2, FALSE)&amp;"]")),FALSE))),""))),"")</f>
        <v/>
      </c>
    </row>
    <row r="366" spans="1:9" x14ac:dyDescent="0.25">
      <c r="A366" s="137"/>
      <c r="B366" s="137" t="str">
        <f>IFERROR(INDEX(_xlfn.VSTACK(YES_Writing_ELA[#Data], YES_Writing_FLA[#Data]),MATCH($A366,_xlfn.VSTACK(YES_Writing_ELA[Student Number], YES_Writing_FLA[Student Number]),0),MATCH(B$7,YES_Writing_ELA[#Headers],0)),IFERROR(INDEX(_xlfn.VSTACK(YES_Reading_ELA[#Data], YES_Reading_FLA[#Data]),MATCH($A366,_xlfn.VSTACK(YES_Reading_ELA[Student Number], YES_Reading_FLA[Student Number]),0),MATCH(B$7,YES_Reading_ELA[#Headers],0)),""))</f>
        <v/>
      </c>
      <c r="C366" s="137" t="str">
        <f>IFERROR(INDEX(_xlfn.VSTACK(YES_Writing_ELA[#Data], YES_Writing_FLA[#Data]),MATCH($A366,_xlfn.VSTACK(YES_Writing_ELA[Student Number], YES_Writing_FLA[Student Number]),0),MATCH(C$7,YES_Writing_ELA[#Headers],0)),IFERROR(INDEX(_xlfn.VSTACK(YES_Reading_ELA[#Data], YES_Reading_FLA[#Data]),MATCH($A366,_xlfn.VSTACK(YES_Reading_ELA[Student Number], YES_Reading_FLA[Student Number]),0),MATCH(C$7,YES_Reading_ELA[#Headers],0)),""))</f>
        <v/>
      </c>
      <c r="D366" s="138" t="str">
        <f>IFERROR(IF(IF(INDEX(_xlfn.VSTACK(YES_Writing_ELA[#Data],YES_Writing_FLA[#Data]),MATCH($A366,_xlfn.VSTACK(YES_Writing_ELA[Student Number],YES_Writing_FLA[Student Number]),0),MATCH(VLOOKUP(D$7,'Writing Logic'!$J$7:$K$11,2,FALSE)&amp;" - Per "&amp;VLOOKUP($C$4,'Writing Logic'!$G$8:$H$14,2,FALSE),YES_Writing_ELA[#Headers],0))=0,"",INDEX(_xlfn.VSTACK(YES_Writing_ELA[#Data],YES_Writing_FLA[#Data]),MATCH($A366,_xlfn.VSTACK(YES_Writing_ELA[Student Number],YES_Writing_FLA[Student Number]),0),MATCH(VLOOKUP(D$7,'Writing Logic'!$J$7:$K$11,2,FALSE)&amp;" - Per "&amp;VLOOKUP($C$4,'Writing Logic'!$G$8:$H$14,2,FALSE),YES_Writing_ELA[#Headers],0)))="INS",'Writing Logic'!$B$7,IF(INDEX(_xlfn.VSTACK(YES_Writing_ELA[#Data],YES_Writing_FLA[#Data]),MATCH($A366,_xlfn.VSTACK(YES_Writing_ELA[Student Number],YES_Writing_FLA[Student Number]),0),MATCH(VLOOKUP(D$7,'Writing Logic'!$J$7:$K$11,2,FALSE)&amp;" - Per "&amp;VLOOKUP($C$4,'Writing Logic'!$G$8:$H$14,2,FALSE),YES_Writing_ELA[#Headers],0))=0,"",INDEX(_xlfn.VSTACK(YES_Writing_ELA[#Data],YES_Writing_FLA[#Data]),MATCH($A366,_xlfn.VSTACK(YES_Writing_ELA[Student Number],YES_Writing_FLA[Student Number]),0),MATCH(VLOOKUP(D$7,'Writing Logic'!$J$7:$K$11,2,FALSE)&amp;" - Per "&amp;VLOOKUP($C$4,'Writing Logic'!$G$8:$H$14,2,FALSE),YES_Writing_ELA[#Headers],0)))),"")</f>
        <v/>
      </c>
      <c r="E366" s="138" t="str">
        <f>IFERROR(IF(IF(INDEX(_xlfn.VSTACK(YES_Writing_ELA[#Data],YES_Writing_FLA[#Data]),MATCH($A366,_xlfn.VSTACK(YES_Writing_ELA[Student Number],YES_Writing_FLA[Student Number]),0),MATCH(VLOOKUP(E$7,'Writing Logic'!$J$7:$K$11,2,FALSE)&amp;" - Per "&amp;VLOOKUP($C$4,'Writing Logic'!$G$8:$H$14,2,FALSE),YES_Writing_ELA[#Headers],0))=0,"",INDEX(_xlfn.VSTACK(YES_Writing_ELA[#Data],YES_Writing_FLA[#Data]),MATCH($A366,_xlfn.VSTACK(YES_Writing_ELA[Student Number],YES_Writing_FLA[Student Number]),0),MATCH(VLOOKUP(E$7,'Writing Logic'!$J$7:$K$11,2,FALSE)&amp;" - Per "&amp;VLOOKUP($C$4,'Writing Logic'!$G$8:$H$14,2,FALSE),YES_Writing_ELA[#Headers],0)))="INS",'Writing Logic'!$B$7,IF(INDEX(_xlfn.VSTACK(YES_Writing_ELA[#Data],YES_Writing_FLA[#Data]),MATCH($A366,_xlfn.VSTACK(YES_Writing_ELA[Student Number],YES_Writing_FLA[Student Number]),0),MATCH(VLOOKUP(E$7,'Writing Logic'!$J$7:$K$11,2,FALSE)&amp;" - Per "&amp;VLOOKUP($C$4,'Writing Logic'!$G$8:$H$14,2,FALSE),YES_Writing_ELA[#Headers],0))=0,"",INDEX(_xlfn.VSTACK(YES_Writing_ELA[#Data],YES_Writing_FLA[#Data]),MATCH($A366,_xlfn.VSTACK(YES_Writing_ELA[Student Number],YES_Writing_FLA[Student Number]),0),MATCH(VLOOKUP(E$7,'Writing Logic'!$J$7:$K$11,2,FALSE)&amp;" - Per "&amp;VLOOKUP($C$4,'Writing Logic'!$G$8:$H$14,2,FALSE),YES_Writing_ELA[#Headers],0)))),"")</f>
        <v/>
      </c>
      <c r="F366" s="138" t="str">
        <f>IFERROR(IF(IF(INDEX(_xlfn.VSTACK(YES_Writing_ELA[#Data],YES_Writing_FLA[#Data]),MATCH($A366,_xlfn.VSTACK(YES_Writing_ELA[Student Number],YES_Writing_FLA[Student Number]),0),MATCH(VLOOKUP(F$7,'Writing Logic'!$J$7:$K$11,2,FALSE)&amp;" - Per "&amp;VLOOKUP($C$4,'Writing Logic'!$G$8:$H$14,2,FALSE),YES_Writing_ELA[#Headers],0))=0,"",INDEX(_xlfn.VSTACK(YES_Writing_ELA[#Data],YES_Writing_FLA[#Data]),MATCH($A366,_xlfn.VSTACK(YES_Writing_ELA[Student Number],YES_Writing_FLA[Student Number]),0),MATCH(VLOOKUP(F$7,'Writing Logic'!$J$7:$K$11,2,FALSE)&amp;" - Per "&amp;VLOOKUP($C$4,'Writing Logic'!$G$8:$H$14,2,FALSE),YES_Writing_ELA[#Headers],0)))="INS",'Writing Logic'!$B$7,IF(INDEX(_xlfn.VSTACK(YES_Writing_ELA[#Data],YES_Writing_FLA[#Data]),MATCH($A366,_xlfn.VSTACK(YES_Writing_ELA[Student Number],YES_Writing_FLA[Student Number]),0),MATCH(VLOOKUP(F$7,'Writing Logic'!$J$7:$K$11,2,FALSE)&amp;" - Per "&amp;VLOOKUP($C$4,'Writing Logic'!$G$8:$H$14,2,FALSE),YES_Writing_ELA[#Headers],0))=0,"",INDEX(_xlfn.VSTACK(YES_Writing_ELA[#Data],YES_Writing_FLA[#Data]),MATCH($A366,_xlfn.VSTACK(YES_Writing_ELA[Student Number],YES_Writing_FLA[Student Number]),0),MATCH(VLOOKUP(F$7,'Writing Logic'!$J$7:$K$11,2,FALSE)&amp;" - Per "&amp;VLOOKUP($C$4,'Writing Logic'!$G$8:$H$14,2,FALSE),YES_Writing_ELA[#Headers],0)))),"")</f>
        <v/>
      </c>
      <c r="G366" s="138" t="str">
        <f>IFERROR(IF(IF(INDEX(_xlfn.VSTACK(YES_Writing_ELA[#Data],YES_Writing_FLA[#Data]),MATCH($A366,_xlfn.VSTACK(YES_Writing_ELA[Student Number],YES_Writing_FLA[Student Number]),0),MATCH(VLOOKUP(G$7,'Writing Logic'!$J$7:$K$11,2,FALSE)&amp;" - Per "&amp;VLOOKUP($C$4,'Writing Logic'!$G$8:$H$14,2,FALSE),YES_Writing_ELA[#Headers],0))=0,"",INDEX(_xlfn.VSTACK(YES_Writing_ELA[#Data],YES_Writing_FLA[#Data]),MATCH($A366,_xlfn.VSTACK(YES_Writing_ELA[Student Number],YES_Writing_FLA[Student Number]),0),MATCH(VLOOKUP(G$7,'Writing Logic'!$J$7:$K$11,2,FALSE)&amp;" - Per "&amp;VLOOKUP($C$4,'Writing Logic'!$G$8:$H$14,2,FALSE),YES_Writing_ELA[#Headers],0)))="INS",'Writing Logic'!$B$7,IF(INDEX(_xlfn.VSTACK(YES_Writing_ELA[#Data],YES_Writing_FLA[#Data]),MATCH($A366,_xlfn.VSTACK(YES_Writing_ELA[Student Number],YES_Writing_FLA[Student Number]),0),MATCH(VLOOKUP(G$7,'Writing Logic'!$J$7:$K$11,2,FALSE)&amp;" - Per "&amp;VLOOKUP($C$4,'Writing Logic'!$G$8:$H$14,2,FALSE),YES_Writing_ELA[#Headers],0))=0,"",INDEX(_xlfn.VSTACK(YES_Writing_ELA[#Data],YES_Writing_FLA[#Data]),MATCH($A366,_xlfn.VSTACK(YES_Writing_ELA[Student Number],YES_Writing_FLA[Student Number]),0),MATCH(VLOOKUP(G$7,'Writing Logic'!$J$7:$K$11,2,FALSE)&amp;" - Per "&amp;VLOOKUP($C$4,'Writing Logic'!$G$8:$H$14,2,FALSE),YES_Writing_ELA[#Headers],0)))),"")</f>
        <v/>
      </c>
      <c r="H366" s="223" t="str">
        <f>IFERROR(IF(IF(INDEX(_xlfn.VSTACK(YES_Writing_ELA[#Data],YES_Writing_FLA[#Data]),MATCH($A366,_xlfn.VSTACK(YES_Writing_ELA[Student Number],YES_Writing_FLA[Student Number]),0),MATCH(VLOOKUP(H$7,'Writing Logic'!$J$7:$K$11,2,FALSE)&amp;" - Per "&amp;VLOOKUP($C$4,'Writing Logic'!$G$8:$H$14,2,FALSE),YES_Writing_ELA[#Headers],0))=0,"",INDEX(_xlfn.VSTACK(YES_Writing_ELA[#Data],YES_Writing_FLA[#Data]),MATCH($A366,_xlfn.VSTACK(YES_Writing_ELA[Student Number],YES_Writing_FLA[Student Number]),0),MATCH(VLOOKUP(H$7,'Writing Logic'!$J$7:$K$11,2,FALSE)&amp;" - Per "&amp;VLOOKUP($C$4,'Writing Logic'!$G$8:$H$14,2,FALSE),YES_Writing_ELA[#Headers],0)))="INS",'Writing Logic'!$B$7,IF(INDEX(_xlfn.VSTACK(YES_Writing_ELA[#Data],YES_Writing_FLA[#Data]),MATCH($A366,_xlfn.VSTACK(YES_Writing_ELA[Student Number],YES_Writing_FLA[Student Number]),0),MATCH(VLOOKUP(H$7,'Writing Logic'!$J$7:$K$11,2,FALSE)&amp;" - Per "&amp;VLOOKUP($C$4,'Writing Logic'!$G$8:$H$14,2,FALSE),YES_Writing_ELA[#Headers],0))=0,"",INDEX(_xlfn.VSTACK(YES_Writing_ELA[#Data],YES_Writing_FLA[#Data]),MATCH($A366,_xlfn.VSTACK(YES_Writing_ELA[Student Number],YES_Writing_FLA[Student Number]),0),MATCH(VLOOKUP(H$7,'Writing Logic'!$J$7:$K$11,2,FALSE)&amp;" - Per "&amp;VLOOKUP($C$4,'Writing Logic'!$G$8:$H$14,2,FALSE),YES_Writing_ELA[#Headers],0)))),"")</f>
        <v/>
      </c>
      <c r="I366" s="224" t="str" cm="1">
        <f t="array" aca="1" ref="I366" ca="1">IFERROR(
IF($G$3="ELA",
IF(VLOOKUP($A366, YES_Reading_ELA[], COLUMN(INDIRECT("YES_Reading_ELA[Difference - Per "&amp;VLOOKUP($G$4, 'Reading Report Logic'!$A$2:$B$8, 2, FALSE)&amp;"]")), FALSE)="", "",
VLOOKUP($A366,YES_Reading_ELA[], COLUMN(INDIRECT("YES_Reading_ELA[Difference - Per "&amp;VLOOKUP($G$4,'Reading Report Logic'!$A$2:$B$8,2,FALSE)&amp;"]")), FALSE)),
IF($G$3="FLA",
IF(VLOOKUP($A366, YES_Reading_FLA[], COLUMN(INDIRECT("YES_Reading_FLA[Difference - Per "&amp;VLOOKUP($G$4,'Reading Report Logic'!$A$2:$B$8,2,FALSE)&amp;"]")),FALSE)="","",
VLOOKUP($A366,YES_Reading_FLA[],COLUMN(INDIRECT("YES_Reading_FLA[Difference - Per "&amp;VLOOKUP($G$4,'Reading Report Logic'!$A$2:$B$8,2,FALSE)&amp;"]")),FALSE)),
IF($G$3="Combined",
IFERROR(
IF(VLOOKUP($A366, YES_Reading_ELA[], COLUMN(INDIRECT("YES_Reading_ELA[Difference - Per "&amp;VLOOKUP($G$4, 'Reading Report Logic'!$A$2:$B$8,2,FALSE)&amp;"]")), FALSE)="", "",
VLOOKUP($A366,YES_Reading_ELA[],COLUMN(INDIRECT("YES_Reading_ELA[Difference - Per "&amp;VLOOKUP($G$4,'Reading Report Logic'!$A$2:$B$8,2,FALSE)&amp;"]")),FALSE)),
IF(VLOOKUP($A366, YES_Reading_FLA[], COLUMN(INDIRECT("YES_Reading_FLA[Difference - Per "&amp;VLOOKUP($G$4, 'Reading Report Logic'!$A$2:$B$8, 2, FALSE)&amp;"]")),FALSE)="", "", VLOOKUP($A366,YES_Reading_FLA[],COLUMN(INDIRECT("YES_Reading_FLA[Difference - Per "&amp;VLOOKUP($G$4, 'Reading Report Logic'!$A$2:$B$8, 2, FALSE)&amp;"]")),FALSE))),""))),"")</f>
        <v/>
      </c>
    </row>
    <row r="367" spans="1:9" x14ac:dyDescent="0.25">
      <c r="A367" s="137"/>
      <c r="B367" s="137" t="str">
        <f>IFERROR(INDEX(_xlfn.VSTACK(YES_Writing_ELA[#Data], YES_Writing_FLA[#Data]),MATCH($A367,_xlfn.VSTACK(YES_Writing_ELA[Student Number], YES_Writing_FLA[Student Number]),0),MATCH(B$7,YES_Writing_ELA[#Headers],0)),IFERROR(INDEX(_xlfn.VSTACK(YES_Reading_ELA[#Data], YES_Reading_FLA[#Data]),MATCH($A367,_xlfn.VSTACK(YES_Reading_ELA[Student Number], YES_Reading_FLA[Student Number]),0),MATCH(B$7,YES_Reading_ELA[#Headers],0)),""))</f>
        <v/>
      </c>
      <c r="C367" s="137" t="str">
        <f>IFERROR(INDEX(_xlfn.VSTACK(YES_Writing_ELA[#Data], YES_Writing_FLA[#Data]),MATCH($A367,_xlfn.VSTACK(YES_Writing_ELA[Student Number], YES_Writing_FLA[Student Number]),0),MATCH(C$7,YES_Writing_ELA[#Headers],0)),IFERROR(INDEX(_xlfn.VSTACK(YES_Reading_ELA[#Data], YES_Reading_FLA[#Data]),MATCH($A367,_xlfn.VSTACK(YES_Reading_ELA[Student Number], YES_Reading_FLA[Student Number]),0),MATCH(C$7,YES_Reading_ELA[#Headers],0)),""))</f>
        <v/>
      </c>
      <c r="D367" s="138" t="str">
        <f>IFERROR(IF(IF(INDEX(_xlfn.VSTACK(YES_Writing_ELA[#Data],YES_Writing_FLA[#Data]),MATCH($A367,_xlfn.VSTACK(YES_Writing_ELA[Student Number],YES_Writing_FLA[Student Number]),0),MATCH(VLOOKUP(D$7,'Writing Logic'!$J$7:$K$11,2,FALSE)&amp;" - Per "&amp;VLOOKUP($C$4,'Writing Logic'!$G$8:$H$14,2,FALSE),YES_Writing_ELA[#Headers],0))=0,"",INDEX(_xlfn.VSTACK(YES_Writing_ELA[#Data],YES_Writing_FLA[#Data]),MATCH($A367,_xlfn.VSTACK(YES_Writing_ELA[Student Number],YES_Writing_FLA[Student Number]),0),MATCH(VLOOKUP(D$7,'Writing Logic'!$J$7:$K$11,2,FALSE)&amp;" - Per "&amp;VLOOKUP($C$4,'Writing Logic'!$G$8:$H$14,2,FALSE),YES_Writing_ELA[#Headers],0)))="INS",'Writing Logic'!$B$7,IF(INDEX(_xlfn.VSTACK(YES_Writing_ELA[#Data],YES_Writing_FLA[#Data]),MATCH($A367,_xlfn.VSTACK(YES_Writing_ELA[Student Number],YES_Writing_FLA[Student Number]),0),MATCH(VLOOKUP(D$7,'Writing Logic'!$J$7:$K$11,2,FALSE)&amp;" - Per "&amp;VLOOKUP($C$4,'Writing Logic'!$G$8:$H$14,2,FALSE),YES_Writing_ELA[#Headers],0))=0,"",INDEX(_xlfn.VSTACK(YES_Writing_ELA[#Data],YES_Writing_FLA[#Data]),MATCH($A367,_xlfn.VSTACK(YES_Writing_ELA[Student Number],YES_Writing_FLA[Student Number]),0),MATCH(VLOOKUP(D$7,'Writing Logic'!$J$7:$K$11,2,FALSE)&amp;" - Per "&amp;VLOOKUP($C$4,'Writing Logic'!$G$8:$H$14,2,FALSE),YES_Writing_ELA[#Headers],0)))),"")</f>
        <v/>
      </c>
      <c r="E367" s="138" t="str">
        <f>IFERROR(IF(IF(INDEX(_xlfn.VSTACK(YES_Writing_ELA[#Data],YES_Writing_FLA[#Data]),MATCH($A367,_xlfn.VSTACK(YES_Writing_ELA[Student Number],YES_Writing_FLA[Student Number]),0),MATCH(VLOOKUP(E$7,'Writing Logic'!$J$7:$K$11,2,FALSE)&amp;" - Per "&amp;VLOOKUP($C$4,'Writing Logic'!$G$8:$H$14,2,FALSE),YES_Writing_ELA[#Headers],0))=0,"",INDEX(_xlfn.VSTACK(YES_Writing_ELA[#Data],YES_Writing_FLA[#Data]),MATCH($A367,_xlfn.VSTACK(YES_Writing_ELA[Student Number],YES_Writing_FLA[Student Number]),0),MATCH(VLOOKUP(E$7,'Writing Logic'!$J$7:$K$11,2,FALSE)&amp;" - Per "&amp;VLOOKUP($C$4,'Writing Logic'!$G$8:$H$14,2,FALSE),YES_Writing_ELA[#Headers],0)))="INS",'Writing Logic'!$B$7,IF(INDEX(_xlfn.VSTACK(YES_Writing_ELA[#Data],YES_Writing_FLA[#Data]),MATCH($A367,_xlfn.VSTACK(YES_Writing_ELA[Student Number],YES_Writing_FLA[Student Number]),0),MATCH(VLOOKUP(E$7,'Writing Logic'!$J$7:$K$11,2,FALSE)&amp;" - Per "&amp;VLOOKUP($C$4,'Writing Logic'!$G$8:$H$14,2,FALSE),YES_Writing_ELA[#Headers],0))=0,"",INDEX(_xlfn.VSTACK(YES_Writing_ELA[#Data],YES_Writing_FLA[#Data]),MATCH($A367,_xlfn.VSTACK(YES_Writing_ELA[Student Number],YES_Writing_FLA[Student Number]),0),MATCH(VLOOKUP(E$7,'Writing Logic'!$J$7:$K$11,2,FALSE)&amp;" - Per "&amp;VLOOKUP($C$4,'Writing Logic'!$G$8:$H$14,2,FALSE),YES_Writing_ELA[#Headers],0)))),"")</f>
        <v/>
      </c>
      <c r="F367" s="138" t="str">
        <f>IFERROR(IF(IF(INDEX(_xlfn.VSTACK(YES_Writing_ELA[#Data],YES_Writing_FLA[#Data]),MATCH($A367,_xlfn.VSTACK(YES_Writing_ELA[Student Number],YES_Writing_FLA[Student Number]),0),MATCH(VLOOKUP(F$7,'Writing Logic'!$J$7:$K$11,2,FALSE)&amp;" - Per "&amp;VLOOKUP($C$4,'Writing Logic'!$G$8:$H$14,2,FALSE),YES_Writing_ELA[#Headers],0))=0,"",INDEX(_xlfn.VSTACK(YES_Writing_ELA[#Data],YES_Writing_FLA[#Data]),MATCH($A367,_xlfn.VSTACK(YES_Writing_ELA[Student Number],YES_Writing_FLA[Student Number]),0),MATCH(VLOOKUP(F$7,'Writing Logic'!$J$7:$K$11,2,FALSE)&amp;" - Per "&amp;VLOOKUP($C$4,'Writing Logic'!$G$8:$H$14,2,FALSE),YES_Writing_ELA[#Headers],0)))="INS",'Writing Logic'!$B$7,IF(INDEX(_xlfn.VSTACK(YES_Writing_ELA[#Data],YES_Writing_FLA[#Data]),MATCH($A367,_xlfn.VSTACK(YES_Writing_ELA[Student Number],YES_Writing_FLA[Student Number]),0),MATCH(VLOOKUP(F$7,'Writing Logic'!$J$7:$K$11,2,FALSE)&amp;" - Per "&amp;VLOOKUP($C$4,'Writing Logic'!$G$8:$H$14,2,FALSE),YES_Writing_ELA[#Headers],0))=0,"",INDEX(_xlfn.VSTACK(YES_Writing_ELA[#Data],YES_Writing_FLA[#Data]),MATCH($A367,_xlfn.VSTACK(YES_Writing_ELA[Student Number],YES_Writing_FLA[Student Number]),0),MATCH(VLOOKUP(F$7,'Writing Logic'!$J$7:$K$11,2,FALSE)&amp;" - Per "&amp;VLOOKUP($C$4,'Writing Logic'!$G$8:$H$14,2,FALSE),YES_Writing_ELA[#Headers],0)))),"")</f>
        <v/>
      </c>
      <c r="G367" s="138" t="str">
        <f>IFERROR(IF(IF(INDEX(_xlfn.VSTACK(YES_Writing_ELA[#Data],YES_Writing_FLA[#Data]),MATCH($A367,_xlfn.VSTACK(YES_Writing_ELA[Student Number],YES_Writing_FLA[Student Number]),0),MATCH(VLOOKUP(G$7,'Writing Logic'!$J$7:$K$11,2,FALSE)&amp;" - Per "&amp;VLOOKUP($C$4,'Writing Logic'!$G$8:$H$14,2,FALSE),YES_Writing_ELA[#Headers],0))=0,"",INDEX(_xlfn.VSTACK(YES_Writing_ELA[#Data],YES_Writing_FLA[#Data]),MATCH($A367,_xlfn.VSTACK(YES_Writing_ELA[Student Number],YES_Writing_FLA[Student Number]),0),MATCH(VLOOKUP(G$7,'Writing Logic'!$J$7:$K$11,2,FALSE)&amp;" - Per "&amp;VLOOKUP($C$4,'Writing Logic'!$G$8:$H$14,2,FALSE),YES_Writing_ELA[#Headers],0)))="INS",'Writing Logic'!$B$7,IF(INDEX(_xlfn.VSTACK(YES_Writing_ELA[#Data],YES_Writing_FLA[#Data]),MATCH($A367,_xlfn.VSTACK(YES_Writing_ELA[Student Number],YES_Writing_FLA[Student Number]),0),MATCH(VLOOKUP(G$7,'Writing Logic'!$J$7:$K$11,2,FALSE)&amp;" - Per "&amp;VLOOKUP($C$4,'Writing Logic'!$G$8:$H$14,2,FALSE),YES_Writing_ELA[#Headers],0))=0,"",INDEX(_xlfn.VSTACK(YES_Writing_ELA[#Data],YES_Writing_FLA[#Data]),MATCH($A367,_xlfn.VSTACK(YES_Writing_ELA[Student Number],YES_Writing_FLA[Student Number]),0),MATCH(VLOOKUP(G$7,'Writing Logic'!$J$7:$K$11,2,FALSE)&amp;" - Per "&amp;VLOOKUP($C$4,'Writing Logic'!$G$8:$H$14,2,FALSE),YES_Writing_ELA[#Headers],0)))),"")</f>
        <v/>
      </c>
      <c r="H367" s="223" t="str">
        <f>IFERROR(IF(IF(INDEX(_xlfn.VSTACK(YES_Writing_ELA[#Data],YES_Writing_FLA[#Data]),MATCH($A367,_xlfn.VSTACK(YES_Writing_ELA[Student Number],YES_Writing_FLA[Student Number]),0),MATCH(VLOOKUP(H$7,'Writing Logic'!$J$7:$K$11,2,FALSE)&amp;" - Per "&amp;VLOOKUP($C$4,'Writing Logic'!$G$8:$H$14,2,FALSE),YES_Writing_ELA[#Headers],0))=0,"",INDEX(_xlfn.VSTACK(YES_Writing_ELA[#Data],YES_Writing_FLA[#Data]),MATCH($A367,_xlfn.VSTACK(YES_Writing_ELA[Student Number],YES_Writing_FLA[Student Number]),0),MATCH(VLOOKUP(H$7,'Writing Logic'!$J$7:$K$11,2,FALSE)&amp;" - Per "&amp;VLOOKUP($C$4,'Writing Logic'!$G$8:$H$14,2,FALSE),YES_Writing_ELA[#Headers],0)))="INS",'Writing Logic'!$B$7,IF(INDEX(_xlfn.VSTACK(YES_Writing_ELA[#Data],YES_Writing_FLA[#Data]),MATCH($A367,_xlfn.VSTACK(YES_Writing_ELA[Student Number],YES_Writing_FLA[Student Number]),0),MATCH(VLOOKUP(H$7,'Writing Logic'!$J$7:$K$11,2,FALSE)&amp;" - Per "&amp;VLOOKUP($C$4,'Writing Logic'!$G$8:$H$14,2,FALSE),YES_Writing_ELA[#Headers],0))=0,"",INDEX(_xlfn.VSTACK(YES_Writing_ELA[#Data],YES_Writing_FLA[#Data]),MATCH($A367,_xlfn.VSTACK(YES_Writing_ELA[Student Number],YES_Writing_FLA[Student Number]),0),MATCH(VLOOKUP(H$7,'Writing Logic'!$J$7:$K$11,2,FALSE)&amp;" - Per "&amp;VLOOKUP($C$4,'Writing Logic'!$G$8:$H$14,2,FALSE),YES_Writing_ELA[#Headers],0)))),"")</f>
        <v/>
      </c>
      <c r="I367" s="224" t="str" cm="1">
        <f t="array" aca="1" ref="I367" ca="1">IFERROR(
IF($G$3="ELA",
IF(VLOOKUP($A367, YES_Reading_ELA[], COLUMN(INDIRECT("YES_Reading_ELA[Difference - Per "&amp;VLOOKUP($G$4, 'Reading Report Logic'!$A$2:$B$8, 2, FALSE)&amp;"]")), FALSE)="", "",
VLOOKUP($A367,YES_Reading_ELA[], COLUMN(INDIRECT("YES_Reading_ELA[Difference - Per "&amp;VLOOKUP($G$4,'Reading Report Logic'!$A$2:$B$8,2,FALSE)&amp;"]")), FALSE)),
IF($G$3="FLA",
IF(VLOOKUP($A367, YES_Reading_FLA[], COLUMN(INDIRECT("YES_Reading_FLA[Difference - Per "&amp;VLOOKUP($G$4,'Reading Report Logic'!$A$2:$B$8,2,FALSE)&amp;"]")),FALSE)="","",
VLOOKUP($A367,YES_Reading_FLA[],COLUMN(INDIRECT("YES_Reading_FLA[Difference - Per "&amp;VLOOKUP($G$4,'Reading Report Logic'!$A$2:$B$8,2,FALSE)&amp;"]")),FALSE)),
IF($G$3="Combined",
IFERROR(
IF(VLOOKUP($A367, YES_Reading_ELA[], COLUMN(INDIRECT("YES_Reading_ELA[Difference - Per "&amp;VLOOKUP($G$4, 'Reading Report Logic'!$A$2:$B$8,2,FALSE)&amp;"]")), FALSE)="", "",
VLOOKUP($A367,YES_Reading_ELA[],COLUMN(INDIRECT("YES_Reading_ELA[Difference - Per "&amp;VLOOKUP($G$4,'Reading Report Logic'!$A$2:$B$8,2,FALSE)&amp;"]")),FALSE)),
IF(VLOOKUP($A367, YES_Reading_FLA[], COLUMN(INDIRECT("YES_Reading_FLA[Difference - Per "&amp;VLOOKUP($G$4, 'Reading Report Logic'!$A$2:$B$8, 2, FALSE)&amp;"]")),FALSE)="", "", VLOOKUP($A367,YES_Reading_FLA[],COLUMN(INDIRECT("YES_Reading_FLA[Difference - Per "&amp;VLOOKUP($G$4, 'Reading Report Logic'!$A$2:$B$8, 2, FALSE)&amp;"]")),FALSE))),""))),"")</f>
        <v/>
      </c>
    </row>
    <row r="368" spans="1:9" x14ac:dyDescent="0.25">
      <c r="A368" s="137"/>
      <c r="B368" s="137" t="str">
        <f>IFERROR(INDEX(_xlfn.VSTACK(YES_Writing_ELA[#Data], YES_Writing_FLA[#Data]),MATCH($A368,_xlfn.VSTACK(YES_Writing_ELA[Student Number], YES_Writing_FLA[Student Number]),0),MATCH(B$7,YES_Writing_ELA[#Headers],0)),IFERROR(INDEX(_xlfn.VSTACK(YES_Reading_ELA[#Data], YES_Reading_FLA[#Data]),MATCH($A368,_xlfn.VSTACK(YES_Reading_ELA[Student Number], YES_Reading_FLA[Student Number]),0),MATCH(B$7,YES_Reading_ELA[#Headers],0)),""))</f>
        <v/>
      </c>
      <c r="C368" s="137" t="str">
        <f>IFERROR(INDEX(_xlfn.VSTACK(YES_Writing_ELA[#Data], YES_Writing_FLA[#Data]),MATCH($A368,_xlfn.VSTACK(YES_Writing_ELA[Student Number], YES_Writing_FLA[Student Number]),0),MATCH(C$7,YES_Writing_ELA[#Headers],0)),IFERROR(INDEX(_xlfn.VSTACK(YES_Reading_ELA[#Data], YES_Reading_FLA[#Data]),MATCH($A368,_xlfn.VSTACK(YES_Reading_ELA[Student Number], YES_Reading_FLA[Student Number]),0),MATCH(C$7,YES_Reading_ELA[#Headers],0)),""))</f>
        <v/>
      </c>
      <c r="D368" s="138" t="str">
        <f>IFERROR(IF(IF(INDEX(_xlfn.VSTACK(YES_Writing_ELA[#Data],YES_Writing_FLA[#Data]),MATCH($A368,_xlfn.VSTACK(YES_Writing_ELA[Student Number],YES_Writing_FLA[Student Number]),0),MATCH(VLOOKUP(D$7,'Writing Logic'!$J$7:$K$11,2,FALSE)&amp;" - Per "&amp;VLOOKUP($C$4,'Writing Logic'!$G$8:$H$14,2,FALSE),YES_Writing_ELA[#Headers],0))=0,"",INDEX(_xlfn.VSTACK(YES_Writing_ELA[#Data],YES_Writing_FLA[#Data]),MATCH($A368,_xlfn.VSTACK(YES_Writing_ELA[Student Number],YES_Writing_FLA[Student Number]),0),MATCH(VLOOKUP(D$7,'Writing Logic'!$J$7:$K$11,2,FALSE)&amp;" - Per "&amp;VLOOKUP($C$4,'Writing Logic'!$G$8:$H$14,2,FALSE),YES_Writing_ELA[#Headers],0)))="INS",'Writing Logic'!$B$7,IF(INDEX(_xlfn.VSTACK(YES_Writing_ELA[#Data],YES_Writing_FLA[#Data]),MATCH($A368,_xlfn.VSTACK(YES_Writing_ELA[Student Number],YES_Writing_FLA[Student Number]),0),MATCH(VLOOKUP(D$7,'Writing Logic'!$J$7:$K$11,2,FALSE)&amp;" - Per "&amp;VLOOKUP($C$4,'Writing Logic'!$G$8:$H$14,2,FALSE),YES_Writing_ELA[#Headers],0))=0,"",INDEX(_xlfn.VSTACK(YES_Writing_ELA[#Data],YES_Writing_FLA[#Data]),MATCH($A368,_xlfn.VSTACK(YES_Writing_ELA[Student Number],YES_Writing_FLA[Student Number]),0),MATCH(VLOOKUP(D$7,'Writing Logic'!$J$7:$K$11,2,FALSE)&amp;" - Per "&amp;VLOOKUP($C$4,'Writing Logic'!$G$8:$H$14,2,FALSE),YES_Writing_ELA[#Headers],0)))),"")</f>
        <v/>
      </c>
      <c r="E368" s="138" t="str">
        <f>IFERROR(IF(IF(INDEX(_xlfn.VSTACK(YES_Writing_ELA[#Data],YES_Writing_FLA[#Data]),MATCH($A368,_xlfn.VSTACK(YES_Writing_ELA[Student Number],YES_Writing_FLA[Student Number]),0),MATCH(VLOOKUP(E$7,'Writing Logic'!$J$7:$K$11,2,FALSE)&amp;" - Per "&amp;VLOOKUP($C$4,'Writing Logic'!$G$8:$H$14,2,FALSE),YES_Writing_ELA[#Headers],0))=0,"",INDEX(_xlfn.VSTACK(YES_Writing_ELA[#Data],YES_Writing_FLA[#Data]),MATCH($A368,_xlfn.VSTACK(YES_Writing_ELA[Student Number],YES_Writing_FLA[Student Number]),0),MATCH(VLOOKUP(E$7,'Writing Logic'!$J$7:$K$11,2,FALSE)&amp;" - Per "&amp;VLOOKUP($C$4,'Writing Logic'!$G$8:$H$14,2,FALSE),YES_Writing_ELA[#Headers],0)))="INS",'Writing Logic'!$B$7,IF(INDEX(_xlfn.VSTACK(YES_Writing_ELA[#Data],YES_Writing_FLA[#Data]),MATCH($A368,_xlfn.VSTACK(YES_Writing_ELA[Student Number],YES_Writing_FLA[Student Number]),0),MATCH(VLOOKUP(E$7,'Writing Logic'!$J$7:$K$11,2,FALSE)&amp;" - Per "&amp;VLOOKUP($C$4,'Writing Logic'!$G$8:$H$14,2,FALSE),YES_Writing_ELA[#Headers],0))=0,"",INDEX(_xlfn.VSTACK(YES_Writing_ELA[#Data],YES_Writing_FLA[#Data]),MATCH($A368,_xlfn.VSTACK(YES_Writing_ELA[Student Number],YES_Writing_FLA[Student Number]),0),MATCH(VLOOKUP(E$7,'Writing Logic'!$J$7:$K$11,2,FALSE)&amp;" - Per "&amp;VLOOKUP($C$4,'Writing Logic'!$G$8:$H$14,2,FALSE),YES_Writing_ELA[#Headers],0)))),"")</f>
        <v/>
      </c>
      <c r="F368" s="138" t="str">
        <f>IFERROR(IF(IF(INDEX(_xlfn.VSTACK(YES_Writing_ELA[#Data],YES_Writing_FLA[#Data]),MATCH($A368,_xlfn.VSTACK(YES_Writing_ELA[Student Number],YES_Writing_FLA[Student Number]),0),MATCH(VLOOKUP(F$7,'Writing Logic'!$J$7:$K$11,2,FALSE)&amp;" - Per "&amp;VLOOKUP($C$4,'Writing Logic'!$G$8:$H$14,2,FALSE),YES_Writing_ELA[#Headers],0))=0,"",INDEX(_xlfn.VSTACK(YES_Writing_ELA[#Data],YES_Writing_FLA[#Data]),MATCH($A368,_xlfn.VSTACK(YES_Writing_ELA[Student Number],YES_Writing_FLA[Student Number]),0),MATCH(VLOOKUP(F$7,'Writing Logic'!$J$7:$K$11,2,FALSE)&amp;" - Per "&amp;VLOOKUP($C$4,'Writing Logic'!$G$8:$H$14,2,FALSE),YES_Writing_ELA[#Headers],0)))="INS",'Writing Logic'!$B$7,IF(INDEX(_xlfn.VSTACK(YES_Writing_ELA[#Data],YES_Writing_FLA[#Data]),MATCH($A368,_xlfn.VSTACK(YES_Writing_ELA[Student Number],YES_Writing_FLA[Student Number]),0),MATCH(VLOOKUP(F$7,'Writing Logic'!$J$7:$K$11,2,FALSE)&amp;" - Per "&amp;VLOOKUP($C$4,'Writing Logic'!$G$8:$H$14,2,FALSE),YES_Writing_ELA[#Headers],0))=0,"",INDEX(_xlfn.VSTACK(YES_Writing_ELA[#Data],YES_Writing_FLA[#Data]),MATCH($A368,_xlfn.VSTACK(YES_Writing_ELA[Student Number],YES_Writing_FLA[Student Number]),0),MATCH(VLOOKUP(F$7,'Writing Logic'!$J$7:$K$11,2,FALSE)&amp;" - Per "&amp;VLOOKUP($C$4,'Writing Logic'!$G$8:$H$14,2,FALSE),YES_Writing_ELA[#Headers],0)))),"")</f>
        <v/>
      </c>
      <c r="G368" s="138" t="str">
        <f>IFERROR(IF(IF(INDEX(_xlfn.VSTACK(YES_Writing_ELA[#Data],YES_Writing_FLA[#Data]),MATCH($A368,_xlfn.VSTACK(YES_Writing_ELA[Student Number],YES_Writing_FLA[Student Number]),0),MATCH(VLOOKUP(G$7,'Writing Logic'!$J$7:$K$11,2,FALSE)&amp;" - Per "&amp;VLOOKUP($C$4,'Writing Logic'!$G$8:$H$14,2,FALSE),YES_Writing_ELA[#Headers],0))=0,"",INDEX(_xlfn.VSTACK(YES_Writing_ELA[#Data],YES_Writing_FLA[#Data]),MATCH($A368,_xlfn.VSTACK(YES_Writing_ELA[Student Number],YES_Writing_FLA[Student Number]),0),MATCH(VLOOKUP(G$7,'Writing Logic'!$J$7:$K$11,2,FALSE)&amp;" - Per "&amp;VLOOKUP($C$4,'Writing Logic'!$G$8:$H$14,2,FALSE),YES_Writing_ELA[#Headers],0)))="INS",'Writing Logic'!$B$7,IF(INDEX(_xlfn.VSTACK(YES_Writing_ELA[#Data],YES_Writing_FLA[#Data]),MATCH($A368,_xlfn.VSTACK(YES_Writing_ELA[Student Number],YES_Writing_FLA[Student Number]),0),MATCH(VLOOKUP(G$7,'Writing Logic'!$J$7:$K$11,2,FALSE)&amp;" - Per "&amp;VLOOKUP($C$4,'Writing Logic'!$G$8:$H$14,2,FALSE),YES_Writing_ELA[#Headers],0))=0,"",INDEX(_xlfn.VSTACK(YES_Writing_ELA[#Data],YES_Writing_FLA[#Data]),MATCH($A368,_xlfn.VSTACK(YES_Writing_ELA[Student Number],YES_Writing_FLA[Student Number]),0),MATCH(VLOOKUP(G$7,'Writing Logic'!$J$7:$K$11,2,FALSE)&amp;" - Per "&amp;VLOOKUP($C$4,'Writing Logic'!$G$8:$H$14,2,FALSE),YES_Writing_ELA[#Headers],0)))),"")</f>
        <v/>
      </c>
      <c r="H368" s="223" t="str">
        <f>IFERROR(IF(IF(INDEX(_xlfn.VSTACK(YES_Writing_ELA[#Data],YES_Writing_FLA[#Data]),MATCH($A368,_xlfn.VSTACK(YES_Writing_ELA[Student Number],YES_Writing_FLA[Student Number]),0),MATCH(VLOOKUP(H$7,'Writing Logic'!$J$7:$K$11,2,FALSE)&amp;" - Per "&amp;VLOOKUP($C$4,'Writing Logic'!$G$8:$H$14,2,FALSE),YES_Writing_ELA[#Headers],0))=0,"",INDEX(_xlfn.VSTACK(YES_Writing_ELA[#Data],YES_Writing_FLA[#Data]),MATCH($A368,_xlfn.VSTACK(YES_Writing_ELA[Student Number],YES_Writing_FLA[Student Number]),0),MATCH(VLOOKUP(H$7,'Writing Logic'!$J$7:$K$11,2,FALSE)&amp;" - Per "&amp;VLOOKUP($C$4,'Writing Logic'!$G$8:$H$14,2,FALSE),YES_Writing_ELA[#Headers],0)))="INS",'Writing Logic'!$B$7,IF(INDEX(_xlfn.VSTACK(YES_Writing_ELA[#Data],YES_Writing_FLA[#Data]),MATCH($A368,_xlfn.VSTACK(YES_Writing_ELA[Student Number],YES_Writing_FLA[Student Number]),0),MATCH(VLOOKUP(H$7,'Writing Logic'!$J$7:$K$11,2,FALSE)&amp;" - Per "&amp;VLOOKUP($C$4,'Writing Logic'!$G$8:$H$14,2,FALSE),YES_Writing_ELA[#Headers],0))=0,"",INDEX(_xlfn.VSTACK(YES_Writing_ELA[#Data],YES_Writing_FLA[#Data]),MATCH($A368,_xlfn.VSTACK(YES_Writing_ELA[Student Number],YES_Writing_FLA[Student Number]),0),MATCH(VLOOKUP(H$7,'Writing Logic'!$J$7:$K$11,2,FALSE)&amp;" - Per "&amp;VLOOKUP($C$4,'Writing Logic'!$G$8:$H$14,2,FALSE),YES_Writing_ELA[#Headers],0)))),"")</f>
        <v/>
      </c>
      <c r="I368" s="224" t="str" cm="1">
        <f t="array" aca="1" ref="I368" ca="1">IFERROR(
IF($G$3="ELA",
IF(VLOOKUP($A368, YES_Reading_ELA[], COLUMN(INDIRECT("YES_Reading_ELA[Difference - Per "&amp;VLOOKUP($G$4, 'Reading Report Logic'!$A$2:$B$8, 2, FALSE)&amp;"]")), FALSE)="", "",
VLOOKUP($A368,YES_Reading_ELA[], COLUMN(INDIRECT("YES_Reading_ELA[Difference - Per "&amp;VLOOKUP($G$4,'Reading Report Logic'!$A$2:$B$8,2,FALSE)&amp;"]")), FALSE)),
IF($G$3="FLA",
IF(VLOOKUP($A368, YES_Reading_FLA[], COLUMN(INDIRECT("YES_Reading_FLA[Difference - Per "&amp;VLOOKUP($G$4,'Reading Report Logic'!$A$2:$B$8,2,FALSE)&amp;"]")),FALSE)="","",
VLOOKUP($A368,YES_Reading_FLA[],COLUMN(INDIRECT("YES_Reading_FLA[Difference - Per "&amp;VLOOKUP($G$4,'Reading Report Logic'!$A$2:$B$8,2,FALSE)&amp;"]")),FALSE)),
IF($G$3="Combined",
IFERROR(
IF(VLOOKUP($A368, YES_Reading_ELA[], COLUMN(INDIRECT("YES_Reading_ELA[Difference - Per "&amp;VLOOKUP($G$4, 'Reading Report Logic'!$A$2:$B$8,2,FALSE)&amp;"]")), FALSE)="", "",
VLOOKUP($A368,YES_Reading_ELA[],COLUMN(INDIRECT("YES_Reading_ELA[Difference - Per "&amp;VLOOKUP($G$4,'Reading Report Logic'!$A$2:$B$8,2,FALSE)&amp;"]")),FALSE)),
IF(VLOOKUP($A368, YES_Reading_FLA[], COLUMN(INDIRECT("YES_Reading_FLA[Difference - Per "&amp;VLOOKUP($G$4, 'Reading Report Logic'!$A$2:$B$8, 2, FALSE)&amp;"]")),FALSE)="", "", VLOOKUP($A368,YES_Reading_FLA[],COLUMN(INDIRECT("YES_Reading_FLA[Difference - Per "&amp;VLOOKUP($G$4, 'Reading Report Logic'!$A$2:$B$8, 2, FALSE)&amp;"]")),FALSE))),""))),"")</f>
        <v/>
      </c>
    </row>
    <row r="369" spans="1:9" x14ac:dyDescent="0.25">
      <c r="A369" s="137"/>
      <c r="B369" s="137" t="str">
        <f>IFERROR(INDEX(_xlfn.VSTACK(YES_Writing_ELA[#Data], YES_Writing_FLA[#Data]),MATCH($A369,_xlfn.VSTACK(YES_Writing_ELA[Student Number], YES_Writing_FLA[Student Number]),0),MATCH(B$7,YES_Writing_ELA[#Headers],0)),IFERROR(INDEX(_xlfn.VSTACK(YES_Reading_ELA[#Data], YES_Reading_FLA[#Data]),MATCH($A369,_xlfn.VSTACK(YES_Reading_ELA[Student Number], YES_Reading_FLA[Student Number]),0),MATCH(B$7,YES_Reading_ELA[#Headers],0)),""))</f>
        <v/>
      </c>
      <c r="C369" s="137" t="str">
        <f>IFERROR(INDEX(_xlfn.VSTACK(YES_Writing_ELA[#Data], YES_Writing_FLA[#Data]),MATCH($A369,_xlfn.VSTACK(YES_Writing_ELA[Student Number], YES_Writing_FLA[Student Number]),0),MATCH(C$7,YES_Writing_ELA[#Headers],0)),IFERROR(INDEX(_xlfn.VSTACK(YES_Reading_ELA[#Data], YES_Reading_FLA[#Data]),MATCH($A369,_xlfn.VSTACK(YES_Reading_ELA[Student Number], YES_Reading_FLA[Student Number]),0),MATCH(C$7,YES_Reading_ELA[#Headers],0)),""))</f>
        <v/>
      </c>
      <c r="D369" s="138" t="str">
        <f>IFERROR(IF(IF(INDEX(_xlfn.VSTACK(YES_Writing_ELA[#Data],YES_Writing_FLA[#Data]),MATCH($A369,_xlfn.VSTACK(YES_Writing_ELA[Student Number],YES_Writing_FLA[Student Number]),0),MATCH(VLOOKUP(D$7,'Writing Logic'!$J$7:$K$11,2,FALSE)&amp;" - Per "&amp;VLOOKUP($C$4,'Writing Logic'!$G$8:$H$14,2,FALSE),YES_Writing_ELA[#Headers],0))=0,"",INDEX(_xlfn.VSTACK(YES_Writing_ELA[#Data],YES_Writing_FLA[#Data]),MATCH($A369,_xlfn.VSTACK(YES_Writing_ELA[Student Number],YES_Writing_FLA[Student Number]),0),MATCH(VLOOKUP(D$7,'Writing Logic'!$J$7:$K$11,2,FALSE)&amp;" - Per "&amp;VLOOKUP($C$4,'Writing Logic'!$G$8:$H$14,2,FALSE),YES_Writing_ELA[#Headers],0)))="INS",'Writing Logic'!$B$7,IF(INDEX(_xlfn.VSTACK(YES_Writing_ELA[#Data],YES_Writing_FLA[#Data]),MATCH($A369,_xlfn.VSTACK(YES_Writing_ELA[Student Number],YES_Writing_FLA[Student Number]),0),MATCH(VLOOKUP(D$7,'Writing Logic'!$J$7:$K$11,2,FALSE)&amp;" - Per "&amp;VLOOKUP($C$4,'Writing Logic'!$G$8:$H$14,2,FALSE),YES_Writing_ELA[#Headers],0))=0,"",INDEX(_xlfn.VSTACK(YES_Writing_ELA[#Data],YES_Writing_FLA[#Data]),MATCH($A369,_xlfn.VSTACK(YES_Writing_ELA[Student Number],YES_Writing_FLA[Student Number]),0),MATCH(VLOOKUP(D$7,'Writing Logic'!$J$7:$K$11,2,FALSE)&amp;" - Per "&amp;VLOOKUP($C$4,'Writing Logic'!$G$8:$H$14,2,FALSE),YES_Writing_ELA[#Headers],0)))),"")</f>
        <v/>
      </c>
      <c r="E369" s="138" t="str">
        <f>IFERROR(IF(IF(INDEX(_xlfn.VSTACK(YES_Writing_ELA[#Data],YES_Writing_FLA[#Data]),MATCH($A369,_xlfn.VSTACK(YES_Writing_ELA[Student Number],YES_Writing_FLA[Student Number]),0),MATCH(VLOOKUP(E$7,'Writing Logic'!$J$7:$K$11,2,FALSE)&amp;" - Per "&amp;VLOOKUP($C$4,'Writing Logic'!$G$8:$H$14,2,FALSE),YES_Writing_ELA[#Headers],0))=0,"",INDEX(_xlfn.VSTACK(YES_Writing_ELA[#Data],YES_Writing_FLA[#Data]),MATCH($A369,_xlfn.VSTACK(YES_Writing_ELA[Student Number],YES_Writing_FLA[Student Number]),0),MATCH(VLOOKUP(E$7,'Writing Logic'!$J$7:$K$11,2,FALSE)&amp;" - Per "&amp;VLOOKUP($C$4,'Writing Logic'!$G$8:$H$14,2,FALSE),YES_Writing_ELA[#Headers],0)))="INS",'Writing Logic'!$B$7,IF(INDEX(_xlfn.VSTACK(YES_Writing_ELA[#Data],YES_Writing_FLA[#Data]),MATCH($A369,_xlfn.VSTACK(YES_Writing_ELA[Student Number],YES_Writing_FLA[Student Number]),0),MATCH(VLOOKUP(E$7,'Writing Logic'!$J$7:$K$11,2,FALSE)&amp;" - Per "&amp;VLOOKUP($C$4,'Writing Logic'!$G$8:$H$14,2,FALSE),YES_Writing_ELA[#Headers],0))=0,"",INDEX(_xlfn.VSTACK(YES_Writing_ELA[#Data],YES_Writing_FLA[#Data]),MATCH($A369,_xlfn.VSTACK(YES_Writing_ELA[Student Number],YES_Writing_FLA[Student Number]),0),MATCH(VLOOKUP(E$7,'Writing Logic'!$J$7:$K$11,2,FALSE)&amp;" - Per "&amp;VLOOKUP($C$4,'Writing Logic'!$G$8:$H$14,2,FALSE),YES_Writing_ELA[#Headers],0)))),"")</f>
        <v/>
      </c>
      <c r="F369" s="138" t="str">
        <f>IFERROR(IF(IF(INDEX(_xlfn.VSTACK(YES_Writing_ELA[#Data],YES_Writing_FLA[#Data]),MATCH($A369,_xlfn.VSTACK(YES_Writing_ELA[Student Number],YES_Writing_FLA[Student Number]),0),MATCH(VLOOKUP(F$7,'Writing Logic'!$J$7:$K$11,2,FALSE)&amp;" - Per "&amp;VLOOKUP($C$4,'Writing Logic'!$G$8:$H$14,2,FALSE),YES_Writing_ELA[#Headers],0))=0,"",INDEX(_xlfn.VSTACK(YES_Writing_ELA[#Data],YES_Writing_FLA[#Data]),MATCH($A369,_xlfn.VSTACK(YES_Writing_ELA[Student Number],YES_Writing_FLA[Student Number]),0),MATCH(VLOOKUP(F$7,'Writing Logic'!$J$7:$K$11,2,FALSE)&amp;" - Per "&amp;VLOOKUP($C$4,'Writing Logic'!$G$8:$H$14,2,FALSE),YES_Writing_ELA[#Headers],0)))="INS",'Writing Logic'!$B$7,IF(INDEX(_xlfn.VSTACK(YES_Writing_ELA[#Data],YES_Writing_FLA[#Data]),MATCH($A369,_xlfn.VSTACK(YES_Writing_ELA[Student Number],YES_Writing_FLA[Student Number]),0),MATCH(VLOOKUP(F$7,'Writing Logic'!$J$7:$K$11,2,FALSE)&amp;" - Per "&amp;VLOOKUP($C$4,'Writing Logic'!$G$8:$H$14,2,FALSE),YES_Writing_ELA[#Headers],0))=0,"",INDEX(_xlfn.VSTACK(YES_Writing_ELA[#Data],YES_Writing_FLA[#Data]),MATCH($A369,_xlfn.VSTACK(YES_Writing_ELA[Student Number],YES_Writing_FLA[Student Number]),0),MATCH(VLOOKUP(F$7,'Writing Logic'!$J$7:$K$11,2,FALSE)&amp;" - Per "&amp;VLOOKUP($C$4,'Writing Logic'!$G$8:$H$14,2,FALSE),YES_Writing_ELA[#Headers],0)))),"")</f>
        <v/>
      </c>
      <c r="G369" s="138" t="str">
        <f>IFERROR(IF(IF(INDEX(_xlfn.VSTACK(YES_Writing_ELA[#Data],YES_Writing_FLA[#Data]),MATCH($A369,_xlfn.VSTACK(YES_Writing_ELA[Student Number],YES_Writing_FLA[Student Number]),0),MATCH(VLOOKUP(G$7,'Writing Logic'!$J$7:$K$11,2,FALSE)&amp;" - Per "&amp;VLOOKUP($C$4,'Writing Logic'!$G$8:$H$14,2,FALSE),YES_Writing_ELA[#Headers],0))=0,"",INDEX(_xlfn.VSTACK(YES_Writing_ELA[#Data],YES_Writing_FLA[#Data]),MATCH($A369,_xlfn.VSTACK(YES_Writing_ELA[Student Number],YES_Writing_FLA[Student Number]),0),MATCH(VLOOKUP(G$7,'Writing Logic'!$J$7:$K$11,2,FALSE)&amp;" - Per "&amp;VLOOKUP($C$4,'Writing Logic'!$G$8:$H$14,2,FALSE),YES_Writing_ELA[#Headers],0)))="INS",'Writing Logic'!$B$7,IF(INDEX(_xlfn.VSTACK(YES_Writing_ELA[#Data],YES_Writing_FLA[#Data]),MATCH($A369,_xlfn.VSTACK(YES_Writing_ELA[Student Number],YES_Writing_FLA[Student Number]),0),MATCH(VLOOKUP(G$7,'Writing Logic'!$J$7:$K$11,2,FALSE)&amp;" - Per "&amp;VLOOKUP($C$4,'Writing Logic'!$G$8:$H$14,2,FALSE),YES_Writing_ELA[#Headers],0))=0,"",INDEX(_xlfn.VSTACK(YES_Writing_ELA[#Data],YES_Writing_FLA[#Data]),MATCH($A369,_xlfn.VSTACK(YES_Writing_ELA[Student Number],YES_Writing_FLA[Student Number]),0),MATCH(VLOOKUP(G$7,'Writing Logic'!$J$7:$K$11,2,FALSE)&amp;" - Per "&amp;VLOOKUP($C$4,'Writing Logic'!$G$8:$H$14,2,FALSE),YES_Writing_ELA[#Headers],0)))),"")</f>
        <v/>
      </c>
      <c r="H369" s="223" t="str">
        <f>IFERROR(IF(IF(INDEX(_xlfn.VSTACK(YES_Writing_ELA[#Data],YES_Writing_FLA[#Data]),MATCH($A369,_xlfn.VSTACK(YES_Writing_ELA[Student Number],YES_Writing_FLA[Student Number]),0),MATCH(VLOOKUP(H$7,'Writing Logic'!$J$7:$K$11,2,FALSE)&amp;" - Per "&amp;VLOOKUP($C$4,'Writing Logic'!$G$8:$H$14,2,FALSE),YES_Writing_ELA[#Headers],0))=0,"",INDEX(_xlfn.VSTACK(YES_Writing_ELA[#Data],YES_Writing_FLA[#Data]),MATCH($A369,_xlfn.VSTACK(YES_Writing_ELA[Student Number],YES_Writing_FLA[Student Number]),0),MATCH(VLOOKUP(H$7,'Writing Logic'!$J$7:$K$11,2,FALSE)&amp;" - Per "&amp;VLOOKUP($C$4,'Writing Logic'!$G$8:$H$14,2,FALSE),YES_Writing_ELA[#Headers],0)))="INS",'Writing Logic'!$B$7,IF(INDEX(_xlfn.VSTACK(YES_Writing_ELA[#Data],YES_Writing_FLA[#Data]),MATCH($A369,_xlfn.VSTACK(YES_Writing_ELA[Student Number],YES_Writing_FLA[Student Number]),0),MATCH(VLOOKUP(H$7,'Writing Logic'!$J$7:$K$11,2,FALSE)&amp;" - Per "&amp;VLOOKUP($C$4,'Writing Logic'!$G$8:$H$14,2,FALSE),YES_Writing_ELA[#Headers],0))=0,"",INDEX(_xlfn.VSTACK(YES_Writing_ELA[#Data],YES_Writing_FLA[#Data]),MATCH($A369,_xlfn.VSTACK(YES_Writing_ELA[Student Number],YES_Writing_FLA[Student Number]),0),MATCH(VLOOKUP(H$7,'Writing Logic'!$J$7:$K$11,2,FALSE)&amp;" - Per "&amp;VLOOKUP($C$4,'Writing Logic'!$G$8:$H$14,2,FALSE),YES_Writing_ELA[#Headers],0)))),"")</f>
        <v/>
      </c>
      <c r="I369" s="224" t="str" cm="1">
        <f t="array" aca="1" ref="I369" ca="1">IFERROR(
IF($G$3="ELA",
IF(VLOOKUP($A369, YES_Reading_ELA[], COLUMN(INDIRECT("YES_Reading_ELA[Difference - Per "&amp;VLOOKUP($G$4, 'Reading Report Logic'!$A$2:$B$8, 2, FALSE)&amp;"]")), FALSE)="", "",
VLOOKUP($A369,YES_Reading_ELA[], COLUMN(INDIRECT("YES_Reading_ELA[Difference - Per "&amp;VLOOKUP($G$4,'Reading Report Logic'!$A$2:$B$8,2,FALSE)&amp;"]")), FALSE)),
IF($G$3="FLA",
IF(VLOOKUP($A369, YES_Reading_FLA[], COLUMN(INDIRECT("YES_Reading_FLA[Difference - Per "&amp;VLOOKUP($G$4,'Reading Report Logic'!$A$2:$B$8,2,FALSE)&amp;"]")),FALSE)="","",
VLOOKUP($A369,YES_Reading_FLA[],COLUMN(INDIRECT("YES_Reading_FLA[Difference - Per "&amp;VLOOKUP($G$4,'Reading Report Logic'!$A$2:$B$8,2,FALSE)&amp;"]")),FALSE)),
IF($G$3="Combined",
IFERROR(
IF(VLOOKUP($A369, YES_Reading_ELA[], COLUMN(INDIRECT("YES_Reading_ELA[Difference - Per "&amp;VLOOKUP($G$4, 'Reading Report Logic'!$A$2:$B$8,2,FALSE)&amp;"]")), FALSE)="", "",
VLOOKUP($A369,YES_Reading_ELA[],COLUMN(INDIRECT("YES_Reading_ELA[Difference - Per "&amp;VLOOKUP($G$4,'Reading Report Logic'!$A$2:$B$8,2,FALSE)&amp;"]")),FALSE)),
IF(VLOOKUP($A369, YES_Reading_FLA[], COLUMN(INDIRECT("YES_Reading_FLA[Difference - Per "&amp;VLOOKUP($G$4, 'Reading Report Logic'!$A$2:$B$8, 2, FALSE)&amp;"]")),FALSE)="", "", VLOOKUP($A369,YES_Reading_FLA[],COLUMN(INDIRECT("YES_Reading_FLA[Difference - Per "&amp;VLOOKUP($G$4, 'Reading Report Logic'!$A$2:$B$8, 2, FALSE)&amp;"]")),FALSE))),""))),"")</f>
        <v/>
      </c>
    </row>
    <row r="370" spans="1:9" x14ac:dyDescent="0.25">
      <c r="A370" s="137"/>
      <c r="B370" s="137" t="str">
        <f>IFERROR(INDEX(_xlfn.VSTACK(YES_Writing_ELA[#Data], YES_Writing_FLA[#Data]),MATCH($A370,_xlfn.VSTACK(YES_Writing_ELA[Student Number], YES_Writing_FLA[Student Number]),0),MATCH(B$7,YES_Writing_ELA[#Headers],0)),IFERROR(INDEX(_xlfn.VSTACK(YES_Reading_ELA[#Data], YES_Reading_FLA[#Data]),MATCH($A370,_xlfn.VSTACK(YES_Reading_ELA[Student Number], YES_Reading_FLA[Student Number]),0),MATCH(B$7,YES_Reading_ELA[#Headers],0)),""))</f>
        <v/>
      </c>
      <c r="C370" s="137" t="str">
        <f>IFERROR(INDEX(_xlfn.VSTACK(YES_Writing_ELA[#Data], YES_Writing_FLA[#Data]),MATCH($A370,_xlfn.VSTACK(YES_Writing_ELA[Student Number], YES_Writing_FLA[Student Number]),0),MATCH(C$7,YES_Writing_ELA[#Headers],0)),IFERROR(INDEX(_xlfn.VSTACK(YES_Reading_ELA[#Data], YES_Reading_FLA[#Data]),MATCH($A370,_xlfn.VSTACK(YES_Reading_ELA[Student Number], YES_Reading_FLA[Student Number]),0),MATCH(C$7,YES_Reading_ELA[#Headers],0)),""))</f>
        <v/>
      </c>
      <c r="D370" s="138" t="str">
        <f>IFERROR(IF(IF(INDEX(_xlfn.VSTACK(YES_Writing_ELA[#Data],YES_Writing_FLA[#Data]),MATCH($A370,_xlfn.VSTACK(YES_Writing_ELA[Student Number],YES_Writing_FLA[Student Number]),0),MATCH(VLOOKUP(D$7,'Writing Logic'!$J$7:$K$11,2,FALSE)&amp;" - Per "&amp;VLOOKUP($C$4,'Writing Logic'!$G$8:$H$14,2,FALSE),YES_Writing_ELA[#Headers],0))=0,"",INDEX(_xlfn.VSTACK(YES_Writing_ELA[#Data],YES_Writing_FLA[#Data]),MATCH($A370,_xlfn.VSTACK(YES_Writing_ELA[Student Number],YES_Writing_FLA[Student Number]),0),MATCH(VLOOKUP(D$7,'Writing Logic'!$J$7:$K$11,2,FALSE)&amp;" - Per "&amp;VLOOKUP($C$4,'Writing Logic'!$G$8:$H$14,2,FALSE),YES_Writing_ELA[#Headers],0)))="INS",'Writing Logic'!$B$7,IF(INDEX(_xlfn.VSTACK(YES_Writing_ELA[#Data],YES_Writing_FLA[#Data]),MATCH($A370,_xlfn.VSTACK(YES_Writing_ELA[Student Number],YES_Writing_FLA[Student Number]),0),MATCH(VLOOKUP(D$7,'Writing Logic'!$J$7:$K$11,2,FALSE)&amp;" - Per "&amp;VLOOKUP($C$4,'Writing Logic'!$G$8:$H$14,2,FALSE),YES_Writing_ELA[#Headers],0))=0,"",INDEX(_xlfn.VSTACK(YES_Writing_ELA[#Data],YES_Writing_FLA[#Data]),MATCH($A370,_xlfn.VSTACK(YES_Writing_ELA[Student Number],YES_Writing_FLA[Student Number]),0),MATCH(VLOOKUP(D$7,'Writing Logic'!$J$7:$K$11,2,FALSE)&amp;" - Per "&amp;VLOOKUP($C$4,'Writing Logic'!$G$8:$H$14,2,FALSE),YES_Writing_ELA[#Headers],0)))),"")</f>
        <v/>
      </c>
      <c r="E370" s="138" t="str">
        <f>IFERROR(IF(IF(INDEX(_xlfn.VSTACK(YES_Writing_ELA[#Data],YES_Writing_FLA[#Data]),MATCH($A370,_xlfn.VSTACK(YES_Writing_ELA[Student Number],YES_Writing_FLA[Student Number]),0),MATCH(VLOOKUP(E$7,'Writing Logic'!$J$7:$K$11,2,FALSE)&amp;" - Per "&amp;VLOOKUP($C$4,'Writing Logic'!$G$8:$H$14,2,FALSE),YES_Writing_ELA[#Headers],0))=0,"",INDEX(_xlfn.VSTACK(YES_Writing_ELA[#Data],YES_Writing_FLA[#Data]),MATCH($A370,_xlfn.VSTACK(YES_Writing_ELA[Student Number],YES_Writing_FLA[Student Number]),0),MATCH(VLOOKUP(E$7,'Writing Logic'!$J$7:$K$11,2,FALSE)&amp;" - Per "&amp;VLOOKUP($C$4,'Writing Logic'!$G$8:$H$14,2,FALSE),YES_Writing_ELA[#Headers],0)))="INS",'Writing Logic'!$B$7,IF(INDEX(_xlfn.VSTACK(YES_Writing_ELA[#Data],YES_Writing_FLA[#Data]),MATCH($A370,_xlfn.VSTACK(YES_Writing_ELA[Student Number],YES_Writing_FLA[Student Number]),0),MATCH(VLOOKUP(E$7,'Writing Logic'!$J$7:$K$11,2,FALSE)&amp;" - Per "&amp;VLOOKUP($C$4,'Writing Logic'!$G$8:$H$14,2,FALSE),YES_Writing_ELA[#Headers],0))=0,"",INDEX(_xlfn.VSTACK(YES_Writing_ELA[#Data],YES_Writing_FLA[#Data]),MATCH($A370,_xlfn.VSTACK(YES_Writing_ELA[Student Number],YES_Writing_FLA[Student Number]),0),MATCH(VLOOKUP(E$7,'Writing Logic'!$J$7:$K$11,2,FALSE)&amp;" - Per "&amp;VLOOKUP($C$4,'Writing Logic'!$G$8:$H$14,2,FALSE),YES_Writing_ELA[#Headers],0)))),"")</f>
        <v/>
      </c>
      <c r="F370" s="138" t="str">
        <f>IFERROR(IF(IF(INDEX(_xlfn.VSTACK(YES_Writing_ELA[#Data],YES_Writing_FLA[#Data]),MATCH($A370,_xlfn.VSTACK(YES_Writing_ELA[Student Number],YES_Writing_FLA[Student Number]),0),MATCH(VLOOKUP(F$7,'Writing Logic'!$J$7:$K$11,2,FALSE)&amp;" - Per "&amp;VLOOKUP($C$4,'Writing Logic'!$G$8:$H$14,2,FALSE),YES_Writing_ELA[#Headers],0))=0,"",INDEX(_xlfn.VSTACK(YES_Writing_ELA[#Data],YES_Writing_FLA[#Data]),MATCH($A370,_xlfn.VSTACK(YES_Writing_ELA[Student Number],YES_Writing_FLA[Student Number]),0),MATCH(VLOOKUP(F$7,'Writing Logic'!$J$7:$K$11,2,FALSE)&amp;" - Per "&amp;VLOOKUP($C$4,'Writing Logic'!$G$8:$H$14,2,FALSE),YES_Writing_ELA[#Headers],0)))="INS",'Writing Logic'!$B$7,IF(INDEX(_xlfn.VSTACK(YES_Writing_ELA[#Data],YES_Writing_FLA[#Data]),MATCH($A370,_xlfn.VSTACK(YES_Writing_ELA[Student Number],YES_Writing_FLA[Student Number]),0),MATCH(VLOOKUP(F$7,'Writing Logic'!$J$7:$K$11,2,FALSE)&amp;" - Per "&amp;VLOOKUP($C$4,'Writing Logic'!$G$8:$H$14,2,FALSE),YES_Writing_ELA[#Headers],0))=0,"",INDEX(_xlfn.VSTACK(YES_Writing_ELA[#Data],YES_Writing_FLA[#Data]),MATCH($A370,_xlfn.VSTACK(YES_Writing_ELA[Student Number],YES_Writing_FLA[Student Number]),0),MATCH(VLOOKUP(F$7,'Writing Logic'!$J$7:$K$11,2,FALSE)&amp;" - Per "&amp;VLOOKUP($C$4,'Writing Logic'!$G$8:$H$14,2,FALSE),YES_Writing_ELA[#Headers],0)))),"")</f>
        <v/>
      </c>
      <c r="G370" s="138" t="str">
        <f>IFERROR(IF(IF(INDEX(_xlfn.VSTACK(YES_Writing_ELA[#Data],YES_Writing_FLA[#Data]),MATCH($A370,_xlfn.VSTACK(YES_Writing_ELA[Student Number],YES_Writing_FLA[Student Number]),0),MATCH(VLOOKUP(G$7,'Writing Logic'!$J$7:$K$11,2,FALSE)&amp;" - Per "&amp;VLOOKUP($C$4,'Writing Logic'!$G$8:$H$14,2,FALSE),YES_Writing_ELA[#Headers],0))=0,"",INDEX(_xlfn.VSTACK(YES_Writing_ELA[#Data],YES_Writing_FLA[#Data]),MATCH($A370,_xlfn.VSTACK(YES_Writing_ELA[Student Number],YES_Writing_FLA[Student Number]),0),MATCH(VLOOKUP(G$7,'Writing Logic'!$J$7:$K$11,2,FALSE)&amp;" - Per "&amp;VLOOKUP($C$4,'Writing Logic'!$G$8:$H$14,2,FALSE),YES_Writing_ELA[#Headers],0)))="INS",'Writing Logic'!$B$7,IF(INDEX(_xlfn.VSTACK(YES_Writing_ELA[#Data],YES_Writing_FLA[#Data]),MATCH($A370,_xlfn.VSTACK(YES_Writing_ELA[Student Number],YES_Writing_FLA[Student Number]),0),MATCH(VLOOKUP(G$7,'Writing Logic'!$J$7:$K$11,2,FALSE)&amp;" - Per "&amp;VLOOKUP($C$4,'Writing Logic'!$G$8:$H$14,2,FALSE),YES_Writing_ELA[#Headers],0))=0,"",INDEX(_xlfn.VSTACK(YES_Writing_ELA[#Data],YES_Writing_FLA[#Data]),MATCH($A370,_xlfn.VSTACK(YES_Writing_ELA[Student Number],YES_Writing_FLA[Student Number]),0),MATCH(VLOOKUP(G$7,'Writing Logic'!$J$7:$K$11,2,FALSE)&amp;" - Per "&amp;VLOOKUP($C$4,'Writing Logic'!$G$8:$H$14,2,FALSE),YES_Writing_ELA[#Headers],0)))),"")</f>
        <v/>
      </c>
      <c r="H370" s="223" t="str">
        <f>IFERROR(IF(IF(INDEX(_xlfn.VSTACK(YES_Writing_ELA[#Data],YES_Writing_FLA[#Data]),MATCH($A370,_xlfn.VSTACK(YES_Writing_ELA[Student Number],YES_Writing_FLA[Student Number]),0),MATCH(VLOOKUP(H$7,'Writing Logic'!$J$7:$K$11,2,FALSE)&amp;" - Per "&amp;VLOOKUP($C$4,'Writing Logic'!$G$8:$H$14,2,FALSE),YES_Writing_ELA[#Headers],0))=0,"",INDEX(_xlfn.VSTACK(YES_Writing_ELA[#Data],YES_Writing_FLA[#Data]),MATCH($A370,_xlfn.VSTACK(YES_Writing_ELA[Student Number],YES_Writing_FLA[Student Number]),0),MATCH(VLOOKUP(H$7,'Writing Logic'!$J$7:$K$11,2,FALSE)&amp;" - Per "&amp;VLOOKUP($C$4,'Writing Logic'!$G$8:$H$14,2,FALSE),YES_Writing_ELA[#Headers],0)))="INS",'Writing Logic'!$B$7,IF(INDEX(_xlfn.VSTACK(YES_Writing_ELA[#Data],YES_Writing_FLA[#Data]),MATCH($A370,_xlfn.VSTACK(YES_Writing_ELA[Student Number],YES_Writing_FLA[Student Number]),0),MATCH(VLOOKUP(H$7,'Writing Logic'!$J$7:$K$11,2,FALSE)&amp;" - Per "&amp;VLOOKUP($C$4,'Writing Logic'!$G$8:$H$14,2,FALSE),YES_Writing_ELA[#Headers],0))=0,"",INDEX(_xlfn.VSTACK(YES_Writing_ELA[#Data],YES_Writing_FLA[#Data]),MATCH($A370,_xlfn.VSTACK(YES_Writing_ELA[Student Number],YES_Writing_FLA[Student Number]),0),MATCH(VLOOKUP(H$7,'Writing Logic'!$J$7:$K$11,2,FALSE)&amp;" - Per "&amp;VLOOKUP($C$4,'Writing Logic'!$G$8:$H$14,2,FALSE),YES_Writing_ELA[#Headers],0)))),"")</f>
        <v/>
      </c>
      <c r="I370" s="224" t="str" cm="1">
        <f t="array" aca="1" ref="I370" ca="1">IFERROR(
IF($G$3="ELA",
IF(VLOOKUP($A370, YES_Reading_ELA[], COLUMN(INDIRECT("YES_Reading_ELA[Difference - Per "&amp;VLOOKUP($G$4, 'Reading Report Logic'!$A$2:$B$8, 2, FALSE)&amp;"]")), FALSE)="", "",
VLOOKUP($A370,YES_Reading_ELA[], COLUMN(INDIRECT("YES_Reading_ELA[Difference - Per "&amp;VLOOKUP($G$4,'Reading Report Logic'!$A$2:$B$8,2,FALSE)&amp;"]")), FALSE)),
IF($G$3="FLA",
IF(VLOOKUP($A370, YES_Reading_FLA[], COLUMN(INDIRECT("YES_Reading_FLA[Difference - Per "&amp;VLOOKUP($G$4,'Reading Report Logic'!$A$2:$B$8,2,FALSE)&amp;"]")),FALSE)="","",
VLOOKUP($A370,YES_Reading_FLA[],COLUMN(INDIRECT("YES_Reading_FLA[Difference - Per "&amp;VLOOKUP($G$4,'Reading Report Logic'!$A$2:$B$8,2,FALSE)&amp;"]")),FALSE)),
IF($G$3="Combined",
IFERROR(
IF(VLOOKUP($A370, YES_Reading_ELA[], COLUMN(INDIRECT("YES_Reading_ELA[Difference - Per "&amp;VLOOKUP($G$4, 'Reading Report Logic'!$A$2:$B$8,2,FALSE)&amp;"]")), FALSE)="", "",
VLOOKUP($A370,YES_Reading_ELA[],COLUMN(INDIRECT("YES_Reading_ELA[Difference - Per "&amp;VLOOKUP($G$4,'Reading Report Logic'!$A$2:$B$8,2,FALSE)&amp;"]")),FALSE)),
IF(VLOOKUP($A370, YES_Reading_FLA[], COLUMN(INDIRECT("YES_Reading_FLA[Difference - Per "&amp;VLOOKUP($G$4, 'Reading Report Logic'!$A$2:$B$8, 2, FALSE)&amp;"]")),FALSE)="", "", VLOOKUP($A370,YES_Reading_FLA[],COLUMN(INDIRECT("YES_Reading_FLA[Difference - Per "&amp;VLOOKUP($G$4, 'Reading Report Logic'!$A$2:$B$8, 2, FALSE)&amp;"]")),FALSE))),""))),"")</f>
        <v/>
      </c>
    </row>
    <row r="371" spans="1:9" x14ac:dyDescent="0.25">
      <c r="A371" s="137"/>
      <c r="B371" s="137" t="str">
        <f>IFERROR(INDEX(_xlfn.VSTACK(YES_Writing_ELA[#Data], YES_Writing_FLA[#Data]),MATCH($A371,_xlfn.VSTACK(YES_Writing_ELA[Student Number], YES_Writing_FLA[Student Number]),0),MATCH(B$7,YES_Writing_ELA[#Headers],0)),IFERROR(INDEX(_xlfn.VSTACK(YES_Reading_ELA[#Data], YES_Reading_FLA[#Data]),MATCH($A371,_xlfn.VSTACK(YES_Reading_ELA[Student Number], YES_Reading_FLA[Student Number]),0),MATCH(B$7,YES_Reading_ELA[#Headers],0)),""))</f>
        <v/>
      </c>
      <c r="C371" s="137" t="str">
        <f>IFERROR(INDEX(_xlfn.VSTACK(YES_Writing_ELA[#Data], YES_Writing_FLA[#Data]),MATCH($A371,_xlfn.VSTACK(YES_Writing_ELA[Student Number], YES_Writing_FLA[Student Number]),0),MATCH(C$7,YES_Writing_ELA[#Headers],0)),IFERROR(INDEX(_xlfn.VSTACK(YES_Reading_ELA[#Data], YES_Reading_FLA[#Data]),MATCH($A371,_xlfn.VSTACK(YES_Reading_ELA[Student Number], YES_Reading_FLA[Student Number]),0),MATCH(C$7,YES_Reading_ELA[#Headers],0)),""))</f>
        <v/>
      </c>
      <c r="D371" s="138" t="str">
        <f>IFERROR(IF(IF(INDEX(_xlfn.VSTACK(YES_Writing_ELA[#Data],YES_Writing_FLA[#Data]),MATCH($A371,_xlfn.VSTACK(YES_Writing_ELA[Student Number],YES_Writing_FLA[Student Number]),0),MATCH(VLOOKUP(D$7,'Writing Logic'!$J$7:$K$11,2,FALSE)&amp;" - Per "&amp;VLOOKUP($C$4,'Writing Logic'!$G$8:$H$14,2,FALSE),YES_Writing_ELA[#Headers],0))=0,"",INDEX(_xlfn.VSTACK(YES_Writing_ELA[#Data],YES_Writing_FLA[#Data]),MATCH($A371,_xlfn.VSTACK(YES_Writing_ELA[Student Number],YES_Writing_FLA[Student Number]),0),MATCH(VLOOKUP(D$7,'Writing Logic'!$J$7:$K$11,2,FALSE)&amp;" - Per "&amp;VLOOKUP($C$4,'Writing Logic'!$G$8:$H$14,2,FALSE),YES_Writing_ELA[#Headers],0)))="INS",'Writing Logic'!$B$7,IF(INDEX(_xlfn.VSTACK(YES_Writing_ELA[#Data],YES_Writing_FLA[#Data]),MATCH($A371,_xlfn.VSTACK(YES_Writing_ELA[Student Number],YES_Writing_FLA[Student Number]),0),MATCH(VLOOKUP(D$7,'Writing Logic'!$J$7:$K$11,2,FALSE)&amp;" - Per "&amp;VLOOKUP($C$4,'Writing Logic'!$G$8:$H$14,2,FALSE),YES_Writing_ELA[#Headers],0))=0,"",INDEX(_xlfn.VSTACK(YES_Writing_ELA[#Data],YES_Writing_FLA[#Data]),MATCH($A371,_xlfn.VSTACK(YES_Writing_ELA[Student Number],YES_Writing_FLA[Student Number]),0),MATCH(VLOOKUP(D$7,'Writing Logic'!$J$7:$K$11,2,FALSE)&amp;" - Per "&amp;VLOOKUP($C$4,'Writing Logic'!$G$8:$H$14,2,FALSE),YES_Writing_ELA[#Headers],0)))),"")</f>
        <v/>
      </c>
      <c r="E371" s="138" t="str">
        <f>IFERROR(IF(IF(INDEX(_xlfn.VSTACK(YES_Writing_ELA[#Data],YES_Writing_FLA[#Data]),MATCH($A371,_xlfn.VSTACK(YES_Writing_ELA[Student Number],YES_Writing_FLA[Student Number]),0),MATCH(VLOOKUP(E$7,'Writing Logic'!$J$7:$K$11,2,FALSE)&amp;" - Per "&amp;VLOOKUP($C$4,'Writing Logic'!$G$8:$H$14,2,FALSE),YES_Writing_ELA[#Headers],0))=0,"",INDEX(_xlfn.VSTACK(YES_Writing_ELA[#Data],YES_Writing_FLA[#Data]),MATCH($A371,_xlfn.VSTACK(YES_Writing_ELA[Student Number],YES_Writing_FLA[Student Number]),0),MATCH(VLOOKUP(E$7,'Writing Logic'!$J$7:$K$11,2,FALSE)&amp;" - Per "&amp;VLOOKUP($C$4,'Writing Logic'!$G$8:$H$14,2,FALSE),YES_Writing_ELA[#Headers],0)))="INS",'Writing Logic'!$B$7,IF(INDEX(_xlfn.VSTACK(YES_Writing_ELA[#Data],YES_Writing_FLA[#Data]),MATCH($A371,_xlfn.VSTACK(YES_Writing_ELA[Student Number],YES_Writing_FLA[Student Number]),0),MATCH(VLOOKUP(E$7,'Writing Logic'!$J$7:$K$11,2,FALSE)&amp;" - Per "&amp;VLOOKUP($C$4,'Writing Logic'!$G$8:$H$14,2,FALSE),YES_Writing_ELA[#Headers],0))=0,"",INDEX(_xlfn.VSTACK(YES_Writing_ELA[#Data],YES_Writing_FLA[#Data]),MATCH($A371,_xlfn.VSTACK(YES_Writing_ELA[Student Number],YES_Writing_FLA[Student Number]),0),MATCH(VLOOKUP(E$7,'Writing Logic'!$J$7:$K$11,2,FALSE)&amp;" - Per "&amp;VLOOKUP($C$4,'Writing Logic'!$G$8:$H$14,2,FALSE),YES_Writing_ELA[#Headers],0)))),"")</f>
        <v/>
      </c>
      <c r="F371" s="138" t="str">
        <f>IFERROR(IF(IF(INDEX(_xlfn.VSTACK(YES_Writing_ELA[#Data],YES_Writing_FLA[#Data]),MATCH($A371,_xlfn.VSTACK(YES_Writing_ELA[Student Number],YES_Writing_FLA[Student Number]),0),MATCH(VLOOKUP(F$7,'Writing Logic'!$J$7:$K$11,2,FALSE)&amp;" - Per "&amp;VLOOKUP($C$4,'Writing Logic'!$G$8:$H$14,2,FALSE),YES_Writing_ELA[#Headers],0))=0,"",INDEX(_xlfn.VSTACK(YES_Writing_ELA[#Data],YES_Writing_FLA[#Data]),MATCH($A371,_xlfn.VSTACK(YES_Writing_ELA[Student Number],YES_Writing_FLA[Student Number]),0),MATCH(VLOOKUP(F$7,'Writing Logic'!$J$7:$K$11,2,FALSE)&amp;" - Per "&amp;VLOOKUP($C$4,'Writing Logic'!$G$8:$H$14,2,FALSE),YES_Writing_ELA[#Headers],0)))="INS",'Writing Logic'!$B$7,IF(INDEX(_xlfn.VSTACK(YES_Writing_ELA[#Data],YES_Writing_FLA[#Data]),MATCH($A371,_xlfn.VSTACK(YES_Writing_ELA[Student Number],YES_Writing_FLA[Student Number]),0),MATCH(VLOOKUP(F$7,'Writing Logic'!$J$7:$K$11,2,FALSE)&amp;" - Per "&amp;VLOOKUP($C$4,'Writing Logic'!$G$8:$H$14,2,FALSE),YES_Writing_ELA[#Headers],0))=0,"",INDEX(_xlfn.VSTACK(YES_Writing_ELA[#Data],YES_Writing_FLA[#Data]),MATCH($A371,_xlfn.VSTACK(YES_Writing_ELA[Student Number],YES_Writing_FLA[Student Number]),0),MATCH(VLOOKUP(F$7,'Writing Logic'!$J$7:$K$11,2,FALSE)&amp;" - Per "&amp;VLOOKUP($C$4,'Writing Logic'!$G$8:$H$14,2,FALSE),YES_Writing_ELA[#Headers],0)))),"")</f>
        <v/>
      </c>
      <c r="G371" s="138" t="str">
        <f>IFERROR(IF(IF(INDEX(_xlfn.VSTACK(YES_Writing_ELA[#Data],YES_Writing_FLA[#Data]),MATCH($A371,_xlfn.VSTACK(YES_Writing_ELA[Student Number],YES_Writing_FLA[Student Number]),0),MATCH(VLOOKUP(G$7,'Writing Logic'!$J$7:$K$11,2,FALSE)&amp;" - Per "&amp;VLOOKUP($C$4,'Writing Logic'!$G$8:$H$14,2,FALSE),YES_Writing_ELA[#Headers],0))=0,"",INDEX(_xlfn.VSTACK(YES_Writing_ELA[#Data],YES_Writing_FLA[#Data]),MATCH($A371,_xlfn.VSTACK(YES_Writing_ELA[Student Number],YES_Writing_FLA[Student Number]),0),MATCH(VLOOKUP(G$7,'Writing Logic'!$J$7:$K$11,2,FALSE)&amp;" - Per "&amp;VLOOKUP($C$4,'Writing Logic'!$G$8:$H$14,2,FALSE),YES_Writing_ELA[#Headers],0)))="INS",'Writing Logic'!$B$7,IF(INDEX(_xlfn.VSTACK(YES_Writing_ELA[#Data],YES_Writing_FLA[#Data]),MATCH($A371,_xlfn.VSTACK(YES_Writing_ELA[Student Number],YES_Writing_FLA[Student Number]),0),MATCH(VLOOKUP(G$7,'Writing Logic'!$J$7:$K$11,2,FALSE)&amp;" - Per "&amp;VLOOKUP($C$4,'Writing Logic'!$G$8:$H$14,2,FALSE),YES_Writing_ELA[#Headers],0))=0,"",INDEX(_xlfn.VSTACK(YES_Writing_ELA[#Data],YES_Writing_FLA[#Data]),MATCH($A371,_xlfn.VSTACK(YES_Writing_ELA[Student Number],YES_Writing_FLA[Student Number]),0),MATCH(VLOOKUP(G$7,'Writing Logic'!$J$7:$K$11,2,FALSE)&amp;" - Per "&amp;VLOOKUP($C$4,'Writing Logic'!$G$8:$H$14,2,FALSE),YES_Writing_ELA[#Headers],0)))),"")</f>
        <v/>
      </c>
      <c r="H371" s="223" t="str">
        <f>IFERROR(IF(IF(INDEX(_xlfn.VSTACK(YES_Writing_ELA[#Data],YES_Writing_FLA[#Data]),MATCH($A371,_xlfn.VSTACK(YES_Writing_ELA[Student Number],YES_Writing_FLA[Student Number]),0),MATCH(VLOOKUP(H$7,'Writing Logic'!$J$7:$K$11,2,FALSE)&amp;" - Per "&amp;VLOOKUP($C$4,'Writing Logic'!$G$8:$H$14,2,FALSE),YES_Writing_ELA[#Headers],0))=0,"",INDEX(_xlfn.VSTACK(YES_Writing_ELA[#Data],YES_Writing_FLA[#Data]),MATCH($A371,_xlfn.VSTACK(YES_Writing_ELA[Student Number],YES_Writing_FLA[Student Number]),0),MATCH(VLOOKUP(H$7,'Writing Logic'!$J$7:$K$11,2,FALSE)&amp;" - Per "&amp;VLOOKUP($C$4,'Writing Logic'!$G$8:$H$14,2,FALSE),YES_Writing_ELA[#Headers],0)))="INS",'Writing Logic'!$B$7,IF(INDEX(_xlfn.VSTACK(YES_Writing_ELA[#Data],YES_Writing_FLA[#Data]),MATCH($A371,_xlfn.VSTACK(YES_Writing_ELA[Student Number],YES_Writing_FLA[Student Number]),0),MATCH(VLOOKUP(H$7,'Writing Logic'!$J$7:$K$11,2,FALSE)&amp;" - Per "&amp;VLOOKUP($C$4,'Writing Logic'!$G$8:$H$14,2,FALSE),YES_Writing_ELA[#Headers],0))=0,"",INDEX(_xlfn.VSTACK(YES_Writing_ELA[#Data],YES_Writing_FLA[#Data]),MATCH($A371,_xlfn.VSTACK(YES_Writing_ELA[Student Number],YES_Writing_FLA[Student Number]),0),MATCH(VLOOKUP(H$7,'Writing Logic'!$J$7:$K$11,2,FALSE)&amp;" - Per "&amp;VLOOKUP($C$4,'Writing Logic'!$G$8:$H$14,2,FALSE),YES_Writing_ELA[#Headers],0)))),"")</f>
        <v/>
      </c>
      <c r="I371" s="224" t="str" cm="1">
        <f t="array" aca="1" ref="I371" ca="1">IFERROR(
IF($G$3="ELA",
IF(VLOOKUP($A371, YES_Reading_ELA[], COLUMN(INDIRECT("YES_Reading_ELA[Difference - Per "&amp;VLOOKUP($G$4, 'Reading Report Logic'!$A$2:$B$8, 2, FALSE)&amp;"]")), FALSE)="", "",
VLOOKUP($A371,YES_Reading_ELA[], COLUMN(INDIRECT("YES_Reading_ELA[Difference - Per "&amp;VLOOKUP($G$4,'Reading Report Logic'!$A$2:$B$8,2,FALSE)&amp;"]")), FALSE)),
IF($G$3="FLA",
IF(VLOOKUP($A371, YES_Reading_FLA[], COLUMN(INDIRECT("YES_Reading_FLA[Difference - Per "&amp;VLOOKUP($G$4,'Reading Report Logic'!$A$2:$B$8,2,FALSE)&amp;"]")),FALSE)="","",
VLOOKUP($A371,YES_Reading_FLA[],COLUMN(INDIRECT("YES_Reading_FLA[Difference - Per "&amp;VLOOKUP($G$4,'Reading Report Logic'!$A$2:$B$8,2,FALSE)&amp;"]")),FALSE)),
IF($G$3="Combined",
IFERROR(
IF(VLOOKUP($A371, YES_Reading_ELA[], COLUMN(INDIRECT("YES_Reading_ELA[Difference - Per "&amp;VLOOKUP($G$4, 'Reading Report Logic'!$A$2:$B$8,2,FALSE)&amp;"]")), FALSE)="", "",
VLOOKUP($A371,YES_Reading_ELA[],COLUMN(INDIRECT("YES_Reading_ELA[Difference - Per "&amp;VLOOKUP($G$4,'Reading Report Logic'!$A$2:$B$8,2,FALSE)&amp;"]")),FALSE)),
IF(VLOOKUP($A371, YES_Reading_FLA[], COLUMN(INDIRECT("YES_Reading_FLA[Difference - Per "&amp;VLOOKUP($G$4, 'Reading Report Logic'!$A$2:$B$8, 2, FALSE)&amp;"]")),FALSE)="", "", VLOOKUP($A371,YES_Reading_FLA[],COLUMN(INDIRECT("YES_Reading_FLA[Difference - Per "&amp;VLOOKUP($G$4, 'Reading Report Logic'!$A$2:$B$8, 2, FALSE)&amp;"]")),FALSE))),""))),"")</f>
        <v/>
      </c>
    </row>
    <row r="372" spans="1:9" x14ac:dyDescent="0.25">
      <c r="A372" s="137"/>
      <c r="B372" s="137" t="str">
        <f>IFERROR(INDEX(_xlfn.VSTACK(YES_Writing_ELA[#Data], YES_Writing_FLA[#Data]),MATCH($A372,_xlfn.VSTACK(YES_Writing_ELA[Student Number], YES_Writing_FLA[Student Number]),0),MATCH(B$7,YES_Writing_ELA[#Headers],0)),IFERROR(INDEX(_xlfn.VSTACK(YES_Reading_ELA[#Data], YES_Reading_FLA[#Data]),MATCH($A372,_xlfn.VSTACK(YES_Reading_ELA[Student Number], YES_Reading_FLA[Student Number]),0),MATCH(B$7,YES_Reading_ELA[#Headers],0)),""))</f>
        <v/>
      </c>
      <c r="C372" s="137" t="str">
        <f>IFERROR(INDEX(_xlfn.VSTACK(YES_Writing_ELA[#Data], YES_Writing_FLA[#Data]),MATCH($A372,_xlfn.VSTACK(YES_Writing_ELA[Student Number], YES_Writing_FLA[Student Number]),0),MATCH(C$7,YES_Writing_ELA[#Headers],0)),IFERROR(INDEX(_xlfn.VSTACK(YES_Reading_ELA[#Data], YES_Reading_FLA[#Data]),MATCH($A372,_xlfn.VSTACK(YES_Reading_ELA[Student Number], YES_Reading_FLA[Student Number]),0),MATCH(C$7,YES_Reading_ELA[#Headers],0)),""))</f>
        <v/>
      </c>
      <c r="D372" s="138" t="str">
        <f>IFERROR(IF(IF(INDEX(_xlfn.VSTACK(YES_Writing_ELA[#Data],YES_Writing_FLA[#Data]),MATCH($A372,_xlfn.VSTACK(YES_Writing_ELA[Student Number],YES_Writing_FLA[Student Number]),0),MATCH(VLOOKUP(D$7,'Writing Logic'!$J$7:$K$11,2,FALSE)&amp;" - Per "&amp;VLOOKUP($C$4,'Writing Logic'!$G$8:$H$14,2,FALSE),YES_Writing_ELA[#Headers],0))=0,"",INDEX(_xlfn.VSTACK(YES_Writing_ELA[#Data],YES_Writing_FLA[#Data]),MATCH($A372,_xlfn.VSTACK(YES_Writing_ELA[Student Number],YES_Writing_FLA[Student Number]),0),MATCH(VLOOKUP(D$7,'Writing Logic'!$J$7:$K$11,2,FALSE)&amp;" - Per "&amp;VLOOKUP($C$4,'Writing Logic'!$G$8:$H$14,2,FALSE),YES_Writing_ELA[#Headers],0)))="INS",'Writing Logic'!$B$7,IF(INDEX(_xlfn.VSTACK(YES_Writing_ELA[#Data],YES_Writing_FLA[#Data]),MATCH($A372,_xlfn.VSTACK(YES_Writing_ELA[Student Number],YES_Writing_FLA[Student Number]),0),MATCH(VLOOKUP(D$7,'Writing Logic'!$J$7:$K$11,2,FALSE)&amp;" - Per "&amp;VLOOKUP($C$4,'Writing Logic'!$G$8:$H$14,2,FALSE),YES_Writing_ELA[#Headers],0))=0,"",INDEX(_xlfn.VSTACK(YES_Writing_ELA[#Data],YES_Writing_FLA[#Data]),MATCH($A372,_xlfn.VSTACK(YES_Writing_ELA[Student Number],YES_Writing_FLA[Student Number]),0),MATCH(VLOOKUP(D$7,'Writing Logic'!$J$7:$K$11,2,FALSE)&amp;" - Per "&amp;VLOOKUP($C$4,'Writing Logic'!$G$8:$H$14,2,FALSE),YES_Writing_ELA[#Headers],0)))),"")</f>
        <v/>
      </c>
      <c r="E372" s="138" t="str">
        <f>IFERROR(IF(IF(INDEX(_xlfn.VSTACK(YES_Writing_ELA[#Data],YES_Writing_FLA[#Data]),MATCH($A372,_xlfn.VSTACK(YES_Writing_ELA[Student Number],YES_Writing_FLA[Student Number]),0),MATCH(VLOOKUP(E$7,'Writing Logic'!$J$7:$K$11,2,FALSE)&amp;" - Per "&amp;VLOOKUP($C$4,'Writing Logic'!$G$8:$H$14,2,FALSE),YES_Writing_ELA[#Headers],0))=0,"",INDEX(_xlfn.VSTACK(YES_Writing_ELA[#Data],YES_Writing_FLA[#Data]),MATCH($A372,_xlfn.VSTACK(YES_Writing_ELA[Student Number],YES_Writing_FLA[Student Number]),0),MATCH(VLOOKUP(E$7,'Writing Logic'!$J$7:$K$11,2,FALSE)&amp;" - Per "&amp;VLOOKUP($C$4,'Writing Logic'!$G$8:$H$14,2,FALSE),YES_Writing_ELA[#Headers],0)))="INS",'Writing Logic'!$B$7,IF(INDEX(_xlfn.VSTACK(YES_Writing_ELA[#Data],YES_Writing_FLA[#Data]),MATCH($A372,_xlfn.VSTACK(YES_Writing_ELA[Student Number],YES_Writing_FLA[Student Number]),0),MATCH(VLOOKUP(E$7,'Writing Logic'!$J$7:$K$11,2,FALSE)&amp;" - Per "&amp;VLOOKUP($C$4,'Writing Logic'!$G$8:$H$14,2,FALSE),YES_Writing_ELA[#Headers],0))=0,"",INDEX(_xlfn.VSTACK(YES_Writing_ELA[#Data],YES_Writing_FLA[#Data]),MATCH($A372,_xlfn.VSTACK(YES_Writing_ELA[Student Number],YES_Writing_FLA[Student Number]),0),MATCH(VLOOKUP(E$7,'Writing Logic'!$J$7:$K$11,2,FALSE)&amp;" - Per "&amp;VLOOKUP($C$4,'Writing Logic'!$G$8:$H$14,2,FALSE),YES_Writing_ELA[#Headers],0)))),"")</f>
        <v/>
      </c>
      <c r="F372" s="138" t="str">
        <f>IFERROR(IF(IF(INDEX(_xlfn.VSTACK(YES_Writing_ELA[#Data],YES_Writing_FLA[#Data]),MATCH($A372,_xlfn.VSTACK(YES_Writing_ELA[Student Number],YES_Writing_FLA[Student Number]),0),MATCH(VLOOKUP(F$7,'Writing Logic'!$J$7:$K$11,2,FALSE)&amp;" - Per "&amp;VLOOKUP($C$4,'Writing Logic'!$G$8:$H$14,2,FALSE),YES_Writing_ELA[#Headers],0))=0,"",INDEX(_xlfn.VSTACK(YES_Writing_ELA[#Data],YES_Writing_FLA[#Data]),MATCH($A372,_xlfn.VSTACK(YES_Writing_ELA[Student Number],YES_Writing_FLA[Student Number]),0),MATCH(VLOOKUP(F$7,'Writing Logic'!$J$7:$K$11,2,FALSE)&amp;" - Per "&amp;VLOOKUP($C$4,'Writing Logic'!$G$8:$H$14,2,FALSE),YES_Writing_ELA[#Headers],0)))="INS",'Writing Logic'!$B$7,IF(INDEX(_xlfn.VSTACK(YES_Writing_ELA[#Data],YES_Writing_FLA[#Data]),MATCH($A372,_xlfn.VSTACK(YES_Writing_ELA[Student Number],YES_Writing_FLA[Student Number]),0),MATCH(VLOOKUP(F$7,'Writing Logic'!$J$7:$K$11,2,FALSE)&amp;" - Per "&amp;VLOOKUP($C$4,'Writing Logic'!$G$8:$H$14,2,FALSE),YES_Writing_ELA[#Headers],0))=0,"",INDEX(_xlfn.VSTACK(YES_Writing_ELA[#Data],YES_Writing_FLA[#Data]),MATCH($A372,_xlfn.VSTACK(YES_Writing_ELA[Student Number],YES_Writing_FLA[Student Number]),0),MATCH(VLOOKUP(F$7,'Writing Logic'!$J$7:$K$11,2,FALSE)&amp;" - Per "&amp;VLOOKUP($C$4,'Writing Logic'!$G$8:$H$14,2,FALSE),YES_Writing_ELA[#Headers],0)))),"")</f>
        <v/>
      </c>
      <c r="G372" s="138" t="str">
        <f>IFERROR(IF(IF(INDEX(_xlfn.VSTACK(YES_Writing_ELA[#Data],YES_Writing_FLA[#Data]),MATCH($A372,_xlfn.VSTACK(YES_Writing_ELA[Student Number],YES_Writing_FLA[Student Number]),0),MATCH(VLOOKUP(G$7,'Writing Logic'!$J$7:$K$11,2,FALSE)&amp;" - Per "&amp;VLOOKUP($C$4,'Writing Logic'!$G$8:$H$14,2,FALSE),YES_Writing_ELA[#Headers],0))=0,"",INDEX(_xlfn.VSTACK(YES_Writing_ELA[#Data],YES_Writing_FLA[#Data]),MATCH($A372,_xlfn.VSTACK(YES_Writing_ELA[Student Number],YES_Writing_FLA[Student Number]),0),MATCH(VLOOKUP(G$7,'Writing Logic'!$J$7:$K$11,2,FALSE)&amp;" - Per "&amp;VLOOKUP($C$4,'Writing Logic'!$G$8:$H$14,2,FALSE),YES_Writing_ELA[#Headers],0)))="INS",'Writing Logic'!$B$7,IF(INDEX(_xlfn.VSTACK(YES_Writing_ELA[#Data],YES_Writing_FLA[#Data]),MATCH($A372,_xlfn.VSTACK(YES_Writing_ELA[Student Number],YES_Writing_FLA[Student Number]),0),MATCH(VLOOKUP(G$7,'Writing Logic'!$J$7:$K$11,2,FALSE)&amp;" - Per "&amp;VLOOKUP($C$4,'Writing Logic'!$G$8:$H$14,2,FALSE),YES_Writing_ELA[#Headers],0))=0,"",INDEX(_xlfn.VSTACK(YES_Writing_ELA[#Data],YES_Writing_FLA[#Data]),MATCH($A372,_xlfn.VSTACK(YES_Writing_ELA[Student Number],YES_Writing_FLA[Student Number]),0),MATCH(VLOOKUP(G$7,'Writing Logic'!$J$7:$K$11,2,FALSE)&amp;" - Per "&amp;VLOOKUP($C$4,'Writing Logic'!$G$8:$H$14,2,FALSE),YES_Writing_ELA[#Headers],0)))),"")</f>
        <v/>
      </c>
      <c r="H372" s="223" t="str">
        <f>IFERROR(IF(IF(INDEX(_xlfn.VSTACK(YES_Writing_ELA[#Data],YES_Writing_FLA[#Data]),MATCH($A372,_xlfn.VSTACK(YES_Writing_ELA[Student Number],YES_Writing_FLA[Student Number]),0),MATCH(VLOOKUP(H$7,'Writing Logic'!$J$7:$K$11,2,FALSE)&amp;" - Per "&amp;VLOOKUP($C$4,'Writing Logic'!$G$8:$H$14,2,FALSE),YES_Writing_ELA[#Headers],0))=0,"",INDEX(_xlfn.VSTACK(YES_Writing_ELA[#Data],YES_Writing_FLA[#Data]),MATCH($A372,_xlfn.VSTACK(YES_Writing_ELA[Student Number],YES_Writing_FLA[Student Number]),0),MATCH(VLOOKUP(H$7,'Writing Logic'!$J$7:$K$11,2,FALSE)&amp;" - Per "&amp;VLOOKUP($C$4,'Writing Logic'!$G$8:$H$14,2,FALSE),YES_Writing_ELA[#Headers],0)))="INS",'Writing Logic'!$B$7,IF(INDEX(_xlfn.VSTACK(YES_Writing_ELA[#Data],YES_Writing_FLA[#Data]),MATCH($A372,_xlfn.VSTACK(YES_Writing_ELA[Student Number],YES_Writing_FLA[Student Number]),0),MATCH(VLOOKUP(H$7,'Writing Logic'!$J$7:$K$11,2,FALSE)&amp;" - Per "&amp;VLOOKUP($C$4,'Writing Logic'!$G$8:$H$14,2,FALSE),YES_Writing_ELA[#Headers],0))=0,"",INDEX(_xlfn.VSTACK(YES_Writing_ELA[#Data],YES_Writing_FLA[#Data]),MATCH($A372,_xlfn.VSTACK(YES_Writing_ELA[Student Number],YES_Writing_FLA[Student Number]),0),MATCH(VLOOKUP(H$7,'Writing Logic'!$J$7:$K$11,2,FALSE)&amp;" - Per "&amp;VLOOKUP($C$4,'Writing Logic'!$G$8:$H$14,2,FALSE),YES_Writing_ELA[#Headers],0)))),"")</f>
        <v/>
      </c>
      <c r="I372" s="224" t="str" cm="1">
        <f t="array" aca="1" ref="I372" ca="1">IFERROR(
IF($G$3="ELA",
IF(VLOOKUP($A372, YES_Reading_ELA[], COLUMN(INDIRECT("YES_Reading_ELA[Difference - Per "&amp;VLOOKUP($G$4, 'Reading Report Logic'!$A$2:$B$8, 2, FALSE)&amp;"]")), FALSE)="", "",
VLOOKUP($A372,YES_Reading_ELA[], COLUMN(INDIRECT("YES_Reading_ELA[Difference - Per "&amp;VLOOKUP($G$4,'Reading Report Logic'!$A$2:$B$8,2,FALSE)&amp;"]")), FALSE)),
IF($G$3="FLA",
IF(VLOOKUP($A372, YES_Reading_FLA[], COLUMN(INDIRECT("YES_Reading_FLA[Difference - Per "&amp;VLOOKUP($G$4,'Reading Report Logic'!$A$2:$B$8,2,FALSE)&amp;"]")),FALSE)="","",
VLOOKUP($A372,YES_Reading_FLA[],COLUMN(INDIRECT("YES_Reading_FLA[Difference - Per "&amp;VLOOKUP($G$4,'Reading Report Logic'!$A$2:$B$8,2,FALSE)&amp;"]")),FALSE)),
IF($G$3="Combined",
IFERROR(
IF(VLOOKUP($A372, YES_Reading_ELA[], COLUMN(INDIRECT("YES_Reading_ELA[Difference - Per "&amp;VLOOKUP($G$4, 'Reading Report Logic'!$A$2:$B$8,2,FALSE)&amp;"]")), FALSE)="", "",
VLOOKUP($A372,YES_Reading_ELA[],COLUMN(INDIRECT("YES_Reading_ELA[Difference - Per "&amp;VLOOKUP($G$4,'Reading Report Logic'!$A$2:$B$8,2,FALSE)&amp;"]")),FALSE)),
IF(VLOOKUP($A372, YES_Reading_FLA[], COLUMN(INDIRECT("YES_Reading_FLA[Difference - Per "&amp;VLOOKUP($G$4, 'Reading Report Logic'!$A$2:$B$8, 2, FALSE)&amp;"]")),FALSE)="", "", VLOOKUP($A372,YES_Reading_FLA[],COLUMN(INDIRECT("YES_Reading_FLA[Difference - Per "&amp;VLOOKUP($G$4, 'Reading Report Logic'!$A$2:$B$8, 2, FALSE)&amp;"]")),FALSE))),""))),"")</f>
        <v/>
      </c>
    </row>
    <row r="373" spans="1:9" x14ac:dyDescent="0.25">
      <c r="A373" s="137"/>
      <c r="B373" s="137" t="str">
        <f>IFERROR(INDEX(_xlfn.VSTACK(YES_Writing_ELA[#Data], YES_Writing_FLA[#Data]),MATCH($A373,_xlfn.VSTACK(YES_Writing_ELA[Student Number], YES_Writing_FLA[Student Number]),0),MATCH(B$7,YES_Writing_ELA[#Headers],0)),IFERROR(INDEX(_xlfn.VSTACK(YES_Reading_ELA[#Data], YES_Reading_FLA[#Data]),MATCH($A373,_xlfn.VSTACK(YES_Reading_ELA[Student Number], YES_Reading_FLA[Student Number]),0),MATCH(B$7,YES_Reading_ELA[#Headers],0)),""))</f>
        <v/>
      </c>
      <c r="C373" s="137" t="str">
        <f>IFERROR(INDEX(_xlfn.VSTACK(YES_Writing_ELA[#Data], YES_Writing_FLA[#Data]),MATCH($A373,_xlfn.VSTACK(YES_Writing_ELA[Student Number], YES_Writing_FLA[Student Number]),0),MATCH(C$7,YES_Writing_ELA[#Headers],0)),IFERROR(INDEX(_xlfn.VSTACK(YES_Reading_ELA[#Data], YES_Reading_FLA[#Data]),MATCH($A373,_xlfn.VSTACK(YES_Reading_ELA[Student Number], YES_Reading_FLA[Student Number]),0),MATCH(C$7,YES_Reading_ELA[#Headers],0)),""))</f>
        <v/>
      </c>
      <c r="D373" s="138" t="str">
        <f>IFERROR(IF(IF(INDEX(_xlfn.VSTACK(YES_Writing_ELA[#Data],YES_Writing_FLA[#Data]),MATCH($A373,_xlfn.VSTACK(YES_Writing_ELA[Student Number],YES_Writing_FLA[Student Number]),0),MATCH(VLOOKUP(D$7,'Writing Logic'!$J$7:$K$11,2,FALSE)&amp;" - Per "&amp;VLOOKUP($C$4,'Writing Logic'!$G$8:$H$14,2,FALSE),YES_Writing_ELA[#Headers],0))=0,"",INDEX(_xlfn.VSTACK(YES_Writing_ELA[#Data],YES_Writing_FLA[#Data]),MATCH($A373,_xlfn.VSTACK(YES_Writing_ELA[Student Number],YES_Writing_FLA[Student Number]),0),MATCH(VLOOKUP(D$7,'Writing Logic'!$J$7:$K$11,2,FALSE)&amp;" - Per "&amp;VLOOKUP($C$4,'Writing Logic'!$G$8:$H$14,2,FALSE),YES_Writing_ELA[#Headers],0)))="INS",'Writing Logic'!$B$7,IF(INDEX(_xlfn.VSTACK(YES_Writing_ELA[#Data],YES_Writing_FLA[#Data]),MATCH($A373,_xlfn.VSTACK(YES_Writing_ELA[Student Number],YES_Writing_FLA[Student Number]),0),MATCH(VLOOKUP(D$7,'Writing Logic'!$J$7:$K$11,2,FALSE)&amp;" - Per "&amp;VLOOKUP($C$4,'Writing Logic'!$G$8:$H$14,2,FALSE),YES_Writing_ELA[#Headers],0))=0,"",INDEX(_xlfn.VSTACK(YES_Writing_ELA[#Data],YES_Writing_FLA[#Data]),MATCH($A373,_xlfn.VSTACK(YES_Writing_ELA[Student Number],YES_Writing_FLA[Student Number]),0),MATCH(VLOOKUP(D$7,'Writing Logic'!$J$7:$K$11,2,FALSE)&amp;" - Per "&amp;VLOOKUP($C$4,'Writing Logic'!$G$8:$H$14,2,FALSE),YES_Writing_ELA[#Headers],0)))),"")</f>
        <v/>
      </c>
      <c r="E373" s="138" t="str">
        <f>IFERROR(IF(IF(INDEX(_xlfn.VSTACK(YES_Writing_ELA[#Data],YES_Writing_FLA[#Data]),MATCH($A373,_xlfn.VSTACK(YES_Writing_ELA[Student Number],YES_Writing_FLA[Student Number]),0),MATCH(VLOOKUP(E$7,'Writing Logic'!$J$7:$K$11,2,FALSE)&amp;" - Per "&amp;VLOOKUP($C$4,'Writing Logic'!$G$8:$H$14,2,FALSE),YES_Writing_ELA[#Headers],0))=0,"",INDEX(_xlfn.VSTACK(YES_Writing_ELA[#Data],YES_Writing_FLA[#Data]),MATCH($A373,_xlfn.VSTACK(YES_Writing_ELA[Student Number],YES_Writing_FLA[Student Number]),0),MATCH(VLOOKUP(E$7,'Writing Logic'!$J$7:$K$11,2,FALSE)&amp;" - Per "&amp;VLOOKUP($C$4,'Writing Logic'!$G$8:$H$14,2,FALSE),YES_Writing_ELA[#Headers],0)))="INS",'Writing Logic'!$B$7,IF(INDEX(_xlfn.VSTACK(YES_Writing_ELA[#Data],YES_Writing_FLA[#Data]),MATCH($A373,_xlfn.VSTACK(YES_Writing_ELA[Student Number],YES_Writing_FLA[Student Number]),0),MATCH(VLOOKUP(E$7,'Writing Logic'!$J$7:$K$11,2,FALSE)&amp;" - Per "&amp;VLOOKUP($C$4,'Writing Logic'!$G$8:$H$14,2,FALSE),YES_Writing_ELA[#Headers],0))=0,"",INDEX(_xlfn.VSTACK(YES_Writing_ELA[#Data],YES_Writing_FLA[#Data]),MATCH($A373,_xlfn.VSTACK(YES_Writing_ELA[Student Number],YES_Writing_FLA[Student Number]),0),MATCH(VLOOKUP(E$7,'Writing Logic'!$J$7:$K$11,2,FALSE)&amp;" - Per "&amp;VLOOKUP($C$4,'Writing Logic'!$G$8:$H$14,2,FALSE),YES_Writing_ELA[#Headers],0)))),"")</f>
        <v/>
      </c>
      <c r="F373" s="138" t="str">
        <f>IFERROR(IF(IF(INDEX(_xlfn.VSTACK(YES_Writing_ELA[#Data],YES_Writing_FLA[#Data]),MATCH($A373,_xlfn.VSTACK(YES_Writing_ELA[Student Number],YES_Writing_FLA[Student Number]),0),MATCH(VLOOKUP(F$7,'Writing Logic'!$J$7:$K$11,2,FALSE)&amp;" - Per "&amp;VLOOKUP($C$4,'Writing Logic'!$G$8:$H$14,2,FALSE),YES_Writing_ELA[#Headers],0))=0,"",INDEX(_xlfn.VSTACK(YES_Writing_ELA[#Data],YES_Writing_FLA[#Data]),MATCH($A373,_xlfn.VSTACK(YES_Writing_ELA[Student Number],YES_Writing_FLA[Student Number]),0),MATCH(VLOOKUP(F$7,'Writing Logic'!$J$7:$K$11,2,FALSE)&amp;" - Per "&amp;VLOOKUP($C$4,'Writing Logic'!$G$8:$H$14,2,FALSE),YES_Writing_ELA[#Headers],0)))="INS",'Writing Logic'!$B$7,IF(INDEX(_xlfn.VSTACK(YES_Writing_ELA[#Data],YES_Writing_FLA[#Data]),MATCH($A373,_xlfn.VSTACK(YES_Writing_ELA[Student Number],YES_Writing_FLA[Student Number]),0),MATCH(VLOOKUP(F$7,'Writing Logic'!$J$7:$K$11,2,FALSE)&amp;" - Per "&amp;VLOOKUP($C$4,'Writing Logic'!$G$8:$H$14,2,FALSE),YES_Writing_ELA[#Headers],0))=0,"",INDEX(_xlfn.VSTACK(YES_Writing_ELA[#Data],YES_Writing_FLA[#Data]),MATCH($A373,_xlfn.VSTACK(YES_Writing_ELA[Student Number],YES_Writing_FLA[Student Number]),0),MATCH(VLOOKUP(F$7,'Writing Logic'!$J$7:$K$11,2,FALSE)&amp;" - Per "&amp;VLOOKUP($C$4,'Writing Logic'!$G$8:$H$14,2,FALSE),YES_Writing_ELA[#Headers],0)))),"")</f>
        <v/>
      </c>
      <c r="G373" s="138" t="str">
        <f>IFERROR(IF(IF(INDEX(_xlfn.VSTACK(YES_Writing_ELA[#Data],YES_Writing_FLA[#Data]),MATCH($A373,_xlfn.VSTACK(YES_Writing_ELA[Student Number],YES_Writing_FLA[Student Number]),0),MATCH(VLOOKUP(G$7,'Writing Logic'!$J$7:$K$11,2,FALSE)&amp;" - Per "&amp;VLOOKUP($C$4,'Writing Logic'!$G$8:$H$14,2,FALSE),YES_Writing_ELA[#Headers],0))=0,"",INDEX(_xlfn.VSTACK(YES_Writing_ELA[#Data],YES_Writing_FLA[#Data]),MATCH($A373,_xlfn.VSTACK(YES_Writing_ELA[Student Number],YES_Writing_FLA[Student Number]),0),MATCH(VLOOKUP(G$7,'Writing Logic'!$J$7:$K$11,2,FALSE)&amp;" - Per "&amp;VLOOKUP($C$4,'Writing Logic'!$G$8:$H$14,2,FALSE),YES_Writing_ELA[#Headers],0)))="INS",'Writing Logic'!$B$7,IF(INDEX(_xlfn.VSTACK(YES_Writing_ELA[#Data],YES_Writing_FLA[#Data]),MATCH($A373,_xlfn.VSTACK(YES_Writing_ELA[Student Number],YES_Writing_FLA[Student Number]),0),MATCH(VLOOKUP(G$7,'Writing Logic'!$J$7:$K$11,2,FALSE)&amp;" - Per "&amp;VLOOKUP($C$4,'Writing Logic'!$G$8:$H$14,2,FALSE),YES_Writing_ELA[#Headers],0))=0,"",INDEX(_xlfn.VSTACK(YES_Writing_ELA[#Data],YES_Writing_FLA[#Data]),MATCH($A373,_xlfn.VSTACK(YES_Writing_ELA[Student Number],YES_Writing_FLA[Student Number]),0),MATCH(VLOOKUP(G$7,'Writing Logic'!$J$7:$K$11,2,FALSE)&amp;" - Per "&amp;VLOOKUP($C$4,'Writing Logic'!$G$8:$H$14,2,FALSE),YES_Writing_ELA[#Headers],0)))),"")</f>
        <v/>
      </c>
      <c r="H373" s="223" t="str">
        <f>IFERROR(IF(IF(INDEX(_xlfn.VSTACK(YES_Writing_ELA[#Data],YES_Writing_FLA[#Data]),MATCH($A373,_xlfn.VSTACK(YES_Writing_ELA[Student Number],YES_Writing_FLA[Student Number]),0),MATCH(VLOOKUP(H$7,'Writing Logic'!$J$7:$K$11,2,FALSE)&amp;" - Per "&amp;VLOOKUP($C$4,'Writing Logic'!$G$8:$H$14,2,FALSE),YES_Writing_ELA[#Headers],0))=0,"",INDEX(_xlfn.VSTACK(YES_Writing_ELA[#Data],YES_Writing_FLA[#Data]),MATCH($A373,_xlfn.VSTACK(YES_Writing_ELA[Student Number],YES_Writing_FLA[Student Number]),0),MATCH(VLOOKUP(H$7,'Writing Logic'!$J$7:$K$11,2,FALSE)&amp;" - Per "&amp;VLOOKUP($C$4,'Writing Logic'!$G$8:$H$14,2,FALSE),YES_Writing_ELA[#Headers],0)))="INS",'Writing Logic'!$B$7,IF(INDEX(_xlfn.VSTACK(YES_Writing_ELA[#Data],YES_Writing_FLA[#Data]),MATCH($A373,_xlfn.VSTACK(YES_Writing_ELA[Student Number],YES_Writing_FLA[Student Number]),0),MATCH(VLOOKUP(H$7,'Writing Logic'!$J$7:$K$11,2,FALSE)&amp;" - Per "&amp;VLOOKUP($C$4,'Writing Logic'!$G$8:$H$14,2,FALSE),YES_Writing_ELA[#Headers],0))=0,"",INDEX(_xlfn.VSTACK(YES_Writing_ELA[#Data],YES_Writing_FLA[#Data]),MATCH($A373,_xlfn.VSTACK(YES_Writing_ELA[Student Number],YES_Writing_FLA[Student Number]),0),MATCH(VLOOKUP(H$7,'Writing Logic'!$J$7:$K$11,2,FALSE)&amp;" - Per "&amp;VLOOKUP($C$4,'Writing Logic'!$G$8:$H$14,2,FALSE),YES_Writing_ELA[#Headers],0)))),"")</f>
        <v/>
      </c>
      <c r="I373" s="224" t="str" cm="1">
        <f t="array" aca="1" ref="I373" ca="1">IFERROR(
IF($G$3="ELA",
IF(VLOOKUP($A373, YES_Reading_ELA[], COLUMN(INDIRECT("YES_Reading_ELA[Difference - Per "&amp;VLOOKUP($G$4, 'Reading Report Logic'!$A$2:$B$8, 2, FALSE)&amp;"]")), FALSE)="", "",
VLOOKUP($A373,YES_Reading_ELA[], COLUMN(INDIRECT("YES_Reading_ELA[Difference - Per "&amp;VLOOKUP($G$4,'Reading Report Logic'!$A$2:$B$8,2,FALSE)&amp;"]")), FALSE)),
IF($G$3="FLA",
IF(VLOOKUP($A373, YES_Reading_FLA[], COLUMN(INDIRECT("YES_Reading_FLA[Difference - Per "&amp;VLOOKUP($G$4,'Reading Report Logic'!$A$2:$B$8,2,FALSE)&amp;"]")),FALSE)="","",
VLOOKUP($A373,YES_Reading_FLA[],COLUMN(INDIRECT("YES_Reading_FLA[Difference - Per "&amp;VLOOKUP($G$4,'Reading Report Logic'!$A$2:$B$8,2,FALSE)&amp;"]")),FALSE)),
IF($G$3="Combined",
IFERROR(
IF(VLOOKUP($A373, YES_Reading_ELA[], COLUMN(INDIRECT("YES_Reading_ELA[Difference - Per "&amp;VLOOKUP($G$4, 'Reading Report Logic'!$A$2:$B$8,2,FALSE)&amp;"]")), FALSE)="", "",
VLOOKUP($A373,YES_Reading_ELA[],COLUMN(INDIRECT("YES_Reading_ELA[Difference - Per "&amp;VLOOKUP($G$4,'Reading Report Logic'!$A$2:$B$8,2,FALSE)&amp;"]")),FALSE)),
IF(VLOOKUP($A373, YES_Reading_FLA[], COLUMN(INDIRECT("YES_Reading_FLA[Difference - Per "&amp;VLOOKUP($G$4, 'Reading Report Logic'!$A$2:$B$8, 2, FALSE)&amp;"]")),FALSE)="", "", VLOOKUP($A373,YES_Reading_FLA[],COLUMN(INDIRECT("YES_Reading_FLA[Difference - Per "&amp;VLOOKUP($G$4, 'Reading Report Logic'!$A$2:$B$8, 2, FALSE)&amp;"]")),FALSE))),""))),"")</f>
        <v/>
      </c>
    </row>
    <row r="374" spans="1:9" x14ac:dyDescent="0.25">
      <c r="A374" s="137"/>
      <c r="B374" s="137" t="str">
        <f>IFERROR(INDEX(_xlfn.VSTACK(YES_Writing_ELA[#Data], YES_Writing_FLA[#Data]),MATCH($A374,_xlfn.VSTACK(YES_Writing_ELA[Student Number], YES_Writing_FLA[Student Number]),0),MATCH(B$7,YES_Writing_ELA[#Headers],0)),IFERROR(INDEX(_xlfn.VSTACK(YES_Reading_ELA[#Data], YES_Reading_FLA[#Data]),MATCH($A374,_xlfn.VSTACK(YES_Reading_ELA[Student Number], YES_Reading_FLA[Student Number]),0),MATCH(B$7,YES_Reading_ELA[#Headers],0)),""))</f>
        <v/>
      </c>
      <c r="C374" s="137" t="str">
        <f>IFERROR(INDEX(_xlfn.VSTACK(YES_Writing_ELA[#Data], YES_Writing_FLA[#Data]),MATCH($A374,_xlfn.VSTACK(YES_Writing_ELA[Student Number], YES_Writing_FLA[Student Number]),0),MATCH(C$7,YES_Writing_ELA[#Headers],0)),IFERROR(INDEX(_xlfn.VSTACK(YES_Reading_ELA[#Data], YES_Reading_FLA[#Data]),MATCH($A374,_xlfn.VSTACK(YES_Reading_ELA[Student Number], YES_Reading_FLA[Student Number]),0),MATCH(C$7,YES_Reading_ELA[#Headers],0)),""))</f>
        <v/>
      </c>
      <c r="D374" s="138" t="str">
        <f>IFERROR(IF(IF(INDEX(_xlfn.VSTACK(YES_Writing_ELA[#Data],YES_Writing_FLA[#Data]),MATCH($A374,_xlfn.VSTACK(YES_Writing_ELA[Student Number],YES_Writing_FLA[Student Number]),0),MATCH(VLOOKUP(D$7,'Writing Logic'!$J$7:$K$11,2,FALSE)&amp;" - Per "&amp;VLOOKUP($C$4,'Writing Logic'!$G$8:$H$14,2,FALSE),YES_Writing_ELA[#Headers],0))=0,"",INDEX(_xlfn.VSTACK(YES_Writing_ELA[#Data],YES_Writing_FLA[#Data]),MATCH($A374,_xlfn.VSTACK(YES_Writing_ELA[Student Number],YES_Writing_FLA[Student Number]),0),MATCH(VLOOKUP(D$7,'Writing Logic'!$J$7:$K$11,2,FALSE)&amp;" - Per "&amp;VLOOKUP($C$4,'Writing Logic'!$G$8:$H$14,2,FALSE),YES_Writing_ELA[#Headers],0)))="INS",'Writing Logic'!$B$7,IF(INDEX(_xlfn.VSTACK(YES_Writing_ELA[#Data],YES_Writing_FLA[#Data]),MATCH($A374,_xlfn.VSTACK(YES_Writing_ELA[Student Number],YES_Writing_FLA[Student Number]),0),MATCH(VLOOKUP(D$7,'Writing Logic'!$J$7:$K$11,2,FALSE)&amp;" - Per "&amp;VLOOKUP($C$4,'Writing Logic'!$G$8:$H$14,2,FALSE),YES_Writing_ELA[#Headers],0))=0,"",INDEX(_xlfn.VSTACK(YES_Writing_ELA[#Data],YES_Writing_FLA[#Data]),MATCH($A374,_xlfn.VSTACK(YES_Writing_ELA[Student Number],YES_Writing_FLA[Student Number]),0),MATCH(VLOOKUP(D$7,'Writing Logic'!$J$7:$K$11,2,FALSE)&amp;" - Per "&amp;VLOOKUP($C$4,'Writing Logic'!$G$8:$H$14,2,FALSE),YES_Writing_ELA[#Headers],0)))),"")</f>
        <v/>
      </c>
      <c r="E374" s="138" t="str">
        <f>IFERROR(IF(IF(INDEX(_xlfn.VSTACK(YES_Writing_ELA[#Data],YES_Writing_FLA[#Data]),MATCH($A374,_xlfn.VSTACK(YES_Writing_ELA[Student Number],YES_Writing_FLA[Student Number]),0),MATCH(VLOOKUP(E$7,'Writing Logic'!$J$7:$K$11,2,FALSE)&amp;" - Per "&amp;VLOOKUP($C$4,'Writing Logic'!$G$8:$H$14,2,FALSE),YES_Writing_ELA[#Headers],0))=0,"",INDEX(_xlfn.VSTACK(YES_Writing_ELA[#Data],YES_Writing_FLA[#Data]),MATCH($A374,_xlfn.VSTACK(YES_Writing_ELA[Student Number],YES_Writing_FLA[Student Number]),0),MATCH(VLOOKUP(E$7,'Writing Logic'!$J$7:$K$11,2,FALSE)&amp;" - Per "&amp;VLOOKUP($C$4,'Writing Logic'!$G$8:$H$14,2,FALSE),YES_Writing_ELA[#Headers],0)))="INS",'Writing Logic'!$B$7,IF(INDEX(_xlfn.VSTACK(YES_Writing_ELA[#Data],YES_Writing_FLA[#Data]),MATCH($A374,_xlfn.VSTACK(YES_Writing_ELA[Student Number],YES_Writing_FLA[Student Number]),0),MATCH(VLOOKUP(E$7,'Writing Logic'!$J$7:$K$11,2,FALSE)&amp;" - Per "&amp;VLOOKUP($C$4,'Writing Logic'!$G$8:$H$14,2,FALSE),YES_Writing_ELA[#Headers],0))=0,"",INDEX(_xlfn.VSTACK(YES_Writing_ELA[#Data],YES_Writing_FLA[#Data]),MATCH($A374,_xlfn.VSTACK(YES_Writing_ELA[Student Number],YES_Writing_FLA[Student Number]),0),MATCH(VLOOKUP(E$7,'Writing Logic'!$J$7:$K$11,2,FALSE)&amp;" - Per "&amp;VLOOKUP($C$4,'Writing Logic'!$G$8:$H$14,2,FALSE),YES_Writing_ELA[#Headers],0)))),"")</f>
        <v/>
      </c>
      <c r="F374" s="138" t="str">
        <f>IFERROR(IF(IF(INDEX(_xlfn.VSTACK(YES_Writing_ELA[#Data],YES_Writing_FLA[#Data]),MATCH($A374,_xlfn.VSTACK(YES_Writing_ELA[Student Number],YES_Writing_FLA[Student Number]),0),MATCH(VLOOKUP(F$7,'Writing Logic'!$J$7:$K$11,2,FALSE)&amp;" - Per "&amp;VLOOKUP($C$4,'Writing Logic'!$G$8:$H$14,2,FALSE),YES_Writing_ELA[#Headers],0))=0,"",INDEX(_xlfn.VSTACK(YES_Writing_ELA[#Data],YES_Writing_FLA[#Data]),MATCH($A374,_xlfn.VSTACK(YES_Writing_ELA[Student Number],YES_Writing_FLA[Student Number]),0),MATCH(VLOOKUP(F$7,'Writing Logic'!$J$7:$K$11,2,FALSE)&amp;" - Per "&amp;VLOOKUP($C$4,'Writing Logic'!$G$8:$H$14,2,FALSE),YES_Writing_ELA[#Headers],0)))="INS",'Writing Logic'!$B$7,IF(INDEX(_xlfn.VSTACK(YES_Writing_ELA[#Data],YES_Writing_FLA[#Data]),MATCH($A374,_xlfn.VSTACK(YES_Writing_ELA[Student Number],YES_Writing_FLA[Student Number]),0),MATCH(VLOOKUP(F$7,'Writing Logic'!$J$7:$K$11,2,FALSE)&amp;" - Per "&amp;VLOOKUP($C$4,'Writing Logic'!$G$8:$H$14,2,FALSE),YES_Writing_ELA[#Headers],0))=0,"",INDEX(_xlfn.VSTACK(YES_Writing_ELA[#Data],YES_Writing_FLA[#Data]),MATCH($A374,_xlfn.VSTACK(YES_Writing_ELA[Student Number],YES_Writing_FLA[Student Number]),0),MATCH(VLOOKUP(F$7,'Writing Logic'!$J$7:$K$11,2,FALSE)&amp;" - Per "&amp;VLOOKUP($C$4,'Writing Logic'!$G$8:$H$14,2,FALSE),YES_Writing_ELA[#Headers],0)))),"")</f>
        <v/>
      </c>
      <c r="G374" s="138" t="str">
        <f>IFERROR(IF(IF(INDEX(_xlfn.VSTACK(YES_Writing_ELA[#Data],YES_Writing_FLA[#Data]),MATCH($A374,_xlfn.VSTACK(YES_Writing_ELA[Student Number],YES_Writing_FLA[Student Number]),0),MATCH(VLOOKUP(G$7,'Writing Logic'!$J$7:$K$11,2,FALSE)&amp;" - Per "&amp;VLOOKUP($C$4,'Writing Logic'!$G$8:$H$14,2,FALSE),YES_Writing_ELA[#Headers],0))=0,"",INDEX(_xlfn.VSTACK(YES_Writing_ELA[#Data],YES_Writing_FLA[#Data]),MATCH($A374,_xlfn.VSTACK(YES_Writing_ELA[Student Number],YES_Writing_FLA[Student Number]),0),MATCH(VLOOKUP(G$7,'Writing Logic'!$J$7:$K$11,2,FALSE)&amp;" - Per "&amp;VLOOKUP($C$4,'Writing Logic'!$G$8:$H$14,2,FALSE),YES_Writing_ELA[#Headers],0)))="INS",'Writing Logic'!$B$7,IF(INDEX(_xlfn.VSTACK(YES_Writing_ELA[#Data],YES_Writing_FLA[#Data]),MATCH($A374,_xlfn.VSTACK(YES_Writing_ELA[Student Number],YES_Writing_FLA[Student Number]),0),MATCH(VLOOKUP(G$7,'Writing Logic'!$J$7:$K$11,2,FALSE)&amp;" - Per "&amp;VLOOKUP($C$4,'Writing Logic'!$G$8:$H$14,2,FALSE),YES_Writing_ELA[#Headers],0))=0,"",INDEX(_xlfn.VSTACK(YES_Writing_ELA[#Data],YES_Writing_FLA[#Data]),MATCH($A374,_xlfn.VSTACK(YES_Writing_ELA[Student Number],YES_Writing_FLA[Student Number]),0),MATCH(VLOOKUP(G$7,'Writing Logic'!$J$7:$K$11,2,FALSE)&amp;" - Per "&amp;VLOOKUP($C$4,'Writing Logic'!$G$8:$H$14,2,FALSE),YES_Writing_ELA[#Headers],0)))),"")</f>
        <v/>
      </c>
      <c r="H374" s="223" t="str">
        <f>IFERROR(IF(IF(INDEX(_xlfn.VSTACK(YES_Writing_ELA[#Data],YES_Writing_FLA[#Data]),MATCH($A374,_xlfn.VSTACK(YES_Writing_ELA[Student Number],YES_Writing_FLA[Student Number]),0),MATCH(VLOOKUP(H$7,'Writing Logic'!$J$7:$K$11,2,FALSE)&amp;" - Per "&amp;VLOOKUP($C$4,'Writing Logic'!$G$8:$H$14,2,FALSE),YES_Writing_ELA[#Headers],0))=0,"",INDEX(_xlfn.VSTACK(YES_Writing_ELA[#Data],YES_Writing_FLA[#Data]),MATCH($A374,_xlfn.VSTACK(YES_Writing_ELA[Student Number],YES_Writing_FLA[Student Number]),0),MATCH(VLOOKUP(H$7,'Writing Logic'!$J$7:$K$11,2,FALSE)&amp;" - Per "&amp;VLOOKUP($C$4,'Writing Logic'!$G$8:$H$14,2,FALSE),YES_Writing_ELA[#Headers],0)))="INS",'Writing Logic'!$B$7,IF(INDEX(_xlfn.VSTACK(YES_Writing_ELA[#Data],YES_Writing_FLA[#Data]),MATCH($A374,_xlfn.VSTACK(YES_Writing_ELA[Student Number],YES_Writing_FLA[Student Number]),0),MATCH(VLOOKUP(H$7,'Writing Logic'!$J$7:$K$11,2,FALSE)&amp;" - Per "&amp;VLOOKUP($C$4,'Writing Logic'!$G$8:$H$14,2,FALSE),YES_Writing_ELA[#Headers],0))=0,"",INDEX(_xlfn.VSTACK(YES_Writing_ELA[#Data],YES_Writing_FLA[#Data]),MATCH($A374,_xlfn.VSTACK(YES_Writing_ELA[Student Number],YES_Writing_FLA[Student Number]),0),MATCH(VLOOKUP(H$7,'Writing Logic'!$J$7:$K$11,2,FALSE)&amp;" - Per "&amp;VLOOKUP($C$4,'Writing Logic'!$G$8:$H$14,2,FALSE),YES_Writing_ELA[#Headers],0)))),"")</f>
        <v/>
      </c>
      <c r="I374" s="224" t="str" cm="1">
        <f t="array" aca="1" ref="I374" ca="1">IFERROR(
IF($G$3="ELA",
IF(VLOOKUP($A374, YES_Reading_ELA[], COLUMN(INDIRECT("YES_Reading_ELA[Difference - Per "&amp;VLOOKUP($G$4, 'Reading Report Logic'!$A$2:$B$8, 2, FALSE)&amp;"]")), FALSE)="", "",
VLOOKUP($A374,YES_Reading_ELA[], COLUMN(INDIRECT("YES_Reading_ELA[Difference - Per "&amp;VLOOKUP($G$4,'Reading Report Logic'!$A$2:$B$8,2,FALSE)&amp;"]")), FALSE)),
IF($G$3="FLA",
IF(VLOOKUP($A374, YES_Reading_FLA[], COLUMN(INDIRECT("YES_Reading_FLA[Difference - Per "&amp;VLOOKUP($G$4,'Reading Report Logic'!$A$2:$B$8,2,FALSE)&amp;"]")),FALSE)="","",
VLOOKUP($A374,YES_Reading_FLA[],COLUMN(INDIRECT("YES_Reading_FLA[Difference - Per "&amp;VLOOKUP($G$4,'Reading Report Logic'!$A$2:$B$8,2,FALSE)&amp;"]")),FALSE)),
IF($G$3="Combined",
IFERROR(
IF(VLOOKUP($A374, YES_Reading_ELA[], COLUMN(INDIRECT("YES_Reading_ELA[Difference - Per "&amp;VLOOKUP($G$4, 'Reading Report Logic'!$A$2:$B$8,2,FALSE)&amp;"]")), FALSE)="", "",
VLOOKUP($A374,YES_Reading_ELA[],COLUMN(INDIRECT("YES_Reading_ELA[Difference - Per "&amp;VLOOKUP($G$4,'Reading Report Logic'!$A$2:$B$8,2,FALSE)&amp;"]")),FALSE)),
IF(VLOOKUP($A374, YES_Reading_FLA[], COLUMN(INDIRECT("YES_Reading_FLA[Difference - Per "&amp;VLOOKUP($G$4, 'Reading Report Logic'!$A$2:$B$8, 2, FALSE)&amp;"]")),FALSE)="", "", VLOOKUP($A374,YES_Reading_FLA[],COLUMN(INDIRECT("YES_Reading_FLA[Difference - Per "&amp;VLOOKUP($G$4, 'Reading Report Logic'!$A$2:$B$8, 2, FALSE)&amp;"]")),FALSE))),""))),"")</f>
        <v/>
      </c>
    </row>
    <row r="375" spans="1:9" x14ac:dyDescent="0.25">
      <c r="A375" s="137"/>
      <c r="B375" s="137" t="str">
        <f>IFERROR(INDEX(_xlfn.VSTACK(YES_Writing_ELA[#Data], YES_Writing_FLA[#Data]),MATCH($A375,_xlfn.VSTACK(YES_Writing_ELA[Student Number], YES_Writing_FLA[Student Number]),0),MATCH(B$7,YES_Writing_ELA[#Headers],0)),IFERROR(INDEX(_xlfn.VSTACK(YES_Reading_ELA[#Data], YES_Reading_FLA[#Data]),MATCH($A375,_xlfn.VSTACK(YES_Reading_ELA[Student Number], YES_Reading_FLA[Student Number]),0),MATCH(B$7,YES_Reading_ELA[#Headers],0)),""))</f>
        <v/>
      </c>
      <c r="C375" s="137" t="str">
        <f>IFERROR(INDEX(_xlfn.VSTACK(YES_Writing_ELA[#Data], YES_Writing_FLA[#Data]),MATCH($A375,_xlfn.VSTACK(YES_Writing_ELA[Student Number], YES_Writing_FLA[Student Number]),0),MATCH(C$7,YES_Writing_ELA[#Headers],0)),IFERROR(INDEX(_xlfn.VSTACK(YES_Reading_ELA[#Data], YES_Reading_FLA[#Data]),MATCH($A375,_xlfn.VSTACK(YES_Reading_ELA[Student Number], YES_Reading_FLA[Student Number]),0),MATCH(C$7,YES_Reading_ELA[#Headers],0)),""))</f>
        <v/>
      </c>
      <c r="D375" s="138" t="str">
        <f>IFERROR(IF(IF(INDEX(_xlfn.VSTACK(YES_Writing_ELA[#Data],YES_Writing_FLA[#Data]),MATCH($A375,_xlfn.VSTACK(YES_Writing_ELA[Student Number],YES_Writing_FLA[Student Number]),0),MATCH(VLOOKUP(D$7,'Writing Logic'!$J$7:$K$11,2,FALSE)&amp;" - Per "&amp;VLOOKUP($C$4,'Writing Logic'!$G$8:$H$14,2,FALSE),YES_Writing_ELA[#Headers],0))=0,"",INDEX(_xlfn.VSTACK(YES_Writing_ELA[#Data],YES_Writing_FLA[#Data]),MATCH($A375,_xlfn.VSTACK(YES_Writing_ELA[Student Number],YES_Writing_FLA[Student Number]),0),MATCH(VLOOKUP(D$7,'Writing Logic'!$J$7:$K$11,2,FALSE)&amp;" - Per "&amp;VLOOKUP($C$4,'Writing Logic'!$G$8:$H$14,2,FALSE),YES_Writing_ELA[#Headers],0)))="INS",'Writing Logic'!$B$7,IF(INDEX(_xlfn.VSTACK(YES_Writing_ELA[#Data],YES_Writing_FLA[#Data]),MATCH($A375,_xlfn.VSTACK(YES_Writing_ELA[Student Number],YES_Writing_FLA[Student Number]),0),MATCH(VLOOKUP(D$7,'Writing Logic'!$J$7:$K$11,2,FALSE)&amp;" - Per "&amp;VLOOKUP($C$4,'Writing Logic'!$G$8:$H$14,2,FALSE),YES_Writing_ELA[#Headers],0))=0,"",INDEX(_xlfn.VSTACK(YES_Writing_ELA[#Data],YES_Writing_FLA[#Data]),MATCH($A375,_xlfn.VSTACK(YES_Writing_ELA[Student Number],YES_Writing_FLA[Student Number]),0),MATCH(VLOOKUP(D$7,'Writing Logic'!$J$7:$K$11,2,FALSE)&amp;" - Per "&amp;VLOOKUP($C$4,'Writing Logic'!$G$8:$H$14,2,FALSE),YES_Writing_ELA[#Headers],0)))),"")</f>
        <v/>
      </c>
      <c r="E375" s="138" t="str">
        <f>IFERROR(IF(IF(INDEX(_xlfn.VSTACK(YES_Writing_ELA[#Data],YES_Writing_FLA[#Data]),MATCH($A375,_xlfn.VSTACK(YES_Writing_ELA[Student Number],YES_Writing_FLA[Student Number]),0),MATCH(VLOOKUP(E$7,'Writing Logic'!$J$7:$K$11,2,FALSE)&amp;" - Per "&amp;VLOOKUP($C$4,'Writing Logic'!$G$8:$H$14,2,FALSE),YES_Writing_ELA[#Headers],0))=0,"",INDEX(_xlfn.VSTACK(YES_Writing_ELA[#Data],YES_Writing_FLA[#Data]),MATCH($A375,_xlfn.VSTACK(YES_Writing_ELA[Student Number],YES_Writing_FLA[Student Number]),0),MATCH(VLOOKUP(E$7,'Writing Logic'!$J$7:$K$11,2,FALSE)&amp;" - Per "&amp;VLOOKUP($C$4,'Writing Logic'!$G$8:$H$14,2,FALSE),YES_Writing_ELA[#Headers],0)))="INS",'Writing Logic'!$B$7,IF(INDEX(_xlfn.VSTACK(YES_Writing_ELA[#Data],YES_Writing_FLA[#Data]),MATCH($A375,_xlfn.VSTACK(YES_Writing_ELA[Student Number],YES_Writing_FLA[Student Number]),0),MATCH(VLOOKUP(E$7,'Writing Logic'!$J$7:$K$11,2,FALSE)&amp;" - Per "&amp;VLOOKUP($C$4,'Writing Logic'!$G$8:$H$14,2,FALSE),YES_Writing_ELA[#Headers],0))=0,"",INDEX(_xlfn.VSTACK(YES_Writing_ELA[#Data],YES_Writing_FLA[#Data]),MATCH($A375,_xlfn.VSTACK(YES_Writing_ELA[Student Number],YES_Writing_FLA[Student Number]),0),MATCH(VLOOKUP(E$7,'Writing Logic'!$J$7:$K$11,2,FALSE)&amp;" - Per "&amp;VLOOKUP($C$4,'Writing Logic'!$G$8:$H$14,2,FALSE),YES_Writing_ELA[#Headers],0)))),"")</f>
        <v/>
      </c>
      <c r="F375" s="138" t="str">
        <f>IFERROR(IF(IF(INDEX(_xlfn.VSTACK(YES_Writing_ELA[#Data],YES_Writing_FLA[#Data]),MATCH($A375,_xlfn.VSTACK(YES_Writing_ELA[Student Number],YES_Writing_FLA[Student Number]),0),MATCH(VLOOKUP(F$7,'Writing Logic'!$J$7:$K$11,2,FALSE)&amp;" - Per "&amp;VLOOKUP($C$4,'Writing Logic'!$G$8:$H$14,2,FALSE),YES_Writing_ELA[#Headers],0))=0,"",INDEX(_xlfn.VSTACK(YES_Writing_ELA[#Data],YES_Writing_FLA[#Data]),MATCH($A375,_xlfn.VSTACK(YES_Writing_ELA[Student Number],YES_Writing_FLA[Student Number]),0),MATCH(VLOOKUP(F$7,'Writing Logic'!$J$7:$K$11,2,FALSE)&amp;" - Per "&amp;VLOOKUP($C$4,'Writing Logic'!$G$8:$H$14,2,FALSE),YES_Writing_ELA[#Headers],0)))="INS",'Writing Logic'!$B$7,IF(INDEX(_xlfn.VSTACK(YES_Writing_ELA[#Data],YES_Writing_FLA[#Data]),MATCH($A375,_xlfn.VSTACK(YES_Writing_ELA[Student Number],YES_Writing_FLA[Student Number]),0),MATCH(VLOOKUP(F$7,'Writing Logic'!$J$7:$K$11,2,FALSE)&amp;" - Per "&amp;VLOOKUP($C$4,'Writing Logic'!$G$8:$H$14,2,FALSE),YES_Writing_ELA[#Headers],0))=0,"",INDEX(_xlfn.VSTACK(YES_Writing_ELA[#Data],YES_Writing_FLA[#Data]),MATCH($A375,_xlfn.VSTACK(YES_Writing_ELA[Student Number],YES_Writing_FLA[Student Number]),0),MATCH(VLOOKUP(F$7,'Writing Logic'!$J$7:$K$11,2,FALSE)&amp;" - Per "&amp;VLOOKUP($C$4,'Writing Logic'!$G$8:$H$14,2,FALSE),YES_Writing_ELA[#Headers],0)))),"")</f>
        <v/>
      </c>
      <c r="G375" s="138" t="str">
        <f>IFERROR(IF(IF(INDEX(_xlfn.VSTACK(YES_Writing_ELA[#Data],YES_Writing_FLA[#Data]),MATCH($A375,_xlfn.VSTACK(YES_Writing_ELA[Student Number],YES_Writing_FLA[Student Number]),0),MATCH(VLOOKUP(G$7,'Writing Logic'!$J$7:$K$11,2,FALSE)&amp;" - Per "&amp;VLOOKUP($C$4,'Writing Logic'!$G$8:$H$14,2,FALSE),YES_Writing_ELA[#Headers],0))=0,"",INDEX(_xlfn.VSTACK(YES_Writing_ELA[#Data],YES_Writing_FLA[#Data]),MATCH($A375,_xlfn.VSTACK(YES_Writing_ELA[Student Number],YES_Writing_FLA[Student Number]),0),MATCH(VLOOKUP(G$7,'Writing Logic'!$J$7:$K$11,2,FALSE)&amp;" - Per "&amp;VLOOKUP($C$4,'Writing Logic'!$G$8:$H$14,2,FALSE),YES_Writing_ELA[#Headers],0)))="INS",'Writing Logic'!$B$7,IF(INDEX(_xlfn.VSTACK(YES_Writing_ELA[#Data],YES_Writing_FLA[#Data]),MATCH($A375,_xlfn.VSTACK(YES_Writing_ELA[Student Number],YES_Writing_FLA[Student Number]),0),MATCH(VLOOKUP(G$7,'Writing Logic'!$J$7:$K$11,2,FALSE)&amp;" - Per "&amp;VLOOKUP($C$4,'Writing Logic'!$G$8:$H$14,2,FALSE),YES_Writing_ELA[#Headers],0))=0,"",INDEX(_xlfn.VSTACK(YES_Writing_ELA[#Data],YES_Writing_FLA[#Data]),MATCH($A375,_xlfn.VSTACK(YES_Writing_ELA[Student Number],YES_Writing_FLA[Student Number]),0),MATCH(VLOOKUP(G$7,'Writing Logic'!$J$7:$K$11,2,FALSE)&amp;" - Per "&amp;VLOOKUP($C$4,'Writing Logic'!$G$8:$H$14,2,FALSE),YES_Writing_ELA[#Headers],0)))),"")</f>
        <v/>
      </c>
      <c r="H375" s="223" t="str">
        <f>IFERROR(IF(IF(INDEX(_xlfn.VSTACK(YES_Writing_ELA[#Data],YES_Writing_FLA[#Data]),MATCH($A375,_xlfn.VSTACK(YES_Writing_ELA[Student Number],YES_Writing_FLA[Student Number]),0),MATCH(VLOOKUP(H$7,'Writing Logic'!$J$7:$K$11,2,FALSE)&amp;" - Per "&amp;VLOOKUP($C$4,'Writing Logic'!$G$8:$H$14,2,FALSE),YES_Writing_ELA[#Headers],0))=0,"",INDEX(_xlfn.VSTACK(YES_Writing_ELA[#Data],YES_Writing_FLA[#Data]),MATCH($A375,_xlfn.VSTACK(YES_Writing_ELA[Student Number],YES_Writing_FLA[Student Number]),0),MATCH(VLOOKUP(H$7,'Writing Logic'!$J$7:$K$11,2,FALSE)&amp;" - Per "&amp;VLOOKUP($C$4,'Writing Logic'!$G$8:$H$14,2,FALSE),YES_Writing_ELA[#Headers],0)))="INS",'Writing Logic'!$B$7,IF(INDEX(_xlfn.VSTACK(YES_Writing_ELA[#Data],YES_Writing_FLA[#Data]),MATCH($A375,_xlfn.VSTACK(YES_Writing_ELA[Student Number],YES_Writing_FLA[Student Number]),0),MATCH(VLOOKUP(H$7,'Writing Logic'!$J$7:$K$11,2,FALSE)&amp;" - Per "&amp;VLOOKUP($C$4,'Writing Logic'!$G$8:$H$14,2,FALSE),YES_Writing_ELA[#Headers],0))=0,"",INDEX(_xlfn.VSTACK(YES_Writing_ELA[#Data],YES_Writing_FLA[#Data]),MATCH($A375,_xlfn.VSTACK(YES_Writing_ELA[Student Number],YES_Writing_FLA[Student Number]),0),MATCH(VLOOKUP(H$7,'Writing Logic'!$J$7:$K$11,2,FALSE)&amp;" - Per "&amp;VLOOKUP($C$4,'Writing Logic'!$G$8:$H$14,2,FALSE),YES_Writing_ELA[#Headers],0)))),"")</f>
        <v/>
      </c>
      <c r="I375" s="224" t="str" cm="1">
        <f t="array" aca="1" ref="I375" ca="1">IFERROR(
IF($G$3="ELA",
IF(VLOOKUP($A375, YES_Reading_ELA[], COLUMN(INDIRECT("YES_Reading_ELA[Difference - Per "&amp;VLOOKUP($G$4, 'Reading Report Logic'!$A$2:$B$8, 2, FALSE)&amp;"]")), FALSE)="", "",
VLOOKUP($A375,YES_Reading_ELA[], COLUMN(INDIRECT("YES_Reading_ELA[Difference - Per "&amp;VLOOKUP($G$4,'Reading Report Logic'!$A$2:$B$8,2,FALSE)&amp;"]")), FALSE)),
IF($G$3="FLA",
IF(VLOOKUP($A375, YES_Reading_FLA[], COLUMN(INDIRECT("YES_Reading_FLA[Difference - Per "&amp;VLOOKUP($G$4,'Reading Report Logic'!$A$2:$B$8,2,FALSE)&amp;"]")),FALSE)="","",
VLOOKUP($A375,YES_Reading_FLA[],COLUMN(INDIRECT("YES_Reading_FLA[Difference - Per "&amp;VLOOKUP($G$4,'Reading Report Logic'!$A$2:$B$8,2,FALSE)&amp;"]")),FALSE)),
IF($G$3="Combined",
IFERROR(
IF(VLOOKUP($A375, YES_Reading_ELA[], COLUMN(INDIRECT("YES_Reading_ELA[Difference - Per "&amp;VLOOKUP($G$4, 'Reading Report Logic'!$A$2:$B$8,2,FALSE)&amp;"]")), FALSE)="", "",
VLOOKUP($A375,YES_Reading_ELA[],COLUMN(INDIRECT("YES_Reading_ELA[Difference - Per "&amp;VLOOKUP($G$4,'Reading Report Logic'!$A$2:$B$8,2,FALSE)&amp;"]")),FALSE)),
IF(VLOOKUP($A375, YES_Reading_FLA[], COLUMN(INDIRECT("YES_Reading_FLA[Difference - Per "&amp;VLOOKUP($G$4, 'Reading Report Logic'!$A$2:$B$8, 2, FALSE)&amp;"]")),FALSE)="", "", VLOOKUP($A375,YES_Reading_FLA[],COLUMN(INDIRECT("YES_Reading_FLA[Difference - Per "&amp;VLOOKUP($G$4, 'Reading Report Logic'!$A$2:$B$8, 2, FALSE)&amp;"]")),FALSE))),""))),"")</f>
        <v/>
      </c>
    </row>
    <row r="376" spans="1:9" x14ac:dyDescent="0.25">
      <c r="A376" s="137"/>
      <c r="B376" s="137" t="str">
        <f>IFERROR(INDEX(_xlfn.VSTACK(YES_Writing_ELA[#Data], YES_Writing_FLA[#Data]),MATCH($A376,_xlfn.VSTACK(YES_Writing_ELA[Student Number], YES_Writing_FLA[Student Number]),0),MATCH(B$7,YES_Writing_ELA[#Headers],0)),IFERROR(INDEX(_xlfn.VSTACK(YES_Reading_ELA[#Data], YES_Reading_FLA[#Data]),MATCH($A376,_xlfn.VSTACK(YES_Reading_ELA[Student Number], YES_Reading_FLA[Student Number]),0),MATCH(B$7,YES_Reading_ELA[#Headers],0)),""))</f>
        <v/>
      </c>
      <c r="C376" s="137" t="str">
        <f>IFERROR(INDEX(_xlfn.VSTACK(YES_Writing_ELA[#Data], YES_Writing_FLA[#Data]),MATCH($A376,_xlfn.VSTACK(YES_Writing_ELA[Student Number], YES_Writing_FLA[Student Number]),0),MATCH(C$7,YES_Writing_ELA[#Headers],0)),IFERROR(INDEX(_xlfn.VSTACK(YES_Reading_ELA[#Data], YES_Reading_FLA[#Data]),MATCH($A376,_xlfn.VSTACK(YES_Reading_ELA[Student Number], YES_Reading_FLA[Student Number]),0),MATCH(C$7,YES_Reading_ELA[#Headers],0)),""))</f>
        <v/>
      </c>
      <c r="D376" s="138" t="str">
        <f>IFERROR(IF(IF(INDEX(_xlfn.VSTACK(YES_Writing_ELA[#Data],YES_Writing_FLA[#Data]),MATCH($A376,_xlfn.VSTACK(YES_Writing_ELA[Student Number],YES_Writing_FLA[Student Number]),0),MATCH(VLOOKUP(D$7,'Writing Logic'!$J$7:$K$11,2,FALSE)&amp;" - Per "&amp;VLOOKUP($C$4,'Writing Logic'!$G$8:$H$14,2,FALSE),YES_Writing_ELA[#Headers],0))=0,"",INDEX(_xlfn.VSTACK(YES_Writing_ELA[#Data],YES_Writing_FLA[#Data]),MATCH($A376,_xlfn.VSTACK(YES_Writing_ELA[Student Number],YES_Writing_FLA[Student Number]),0),MATCH(VLOOKUP(D$7,'Writing Logic'!$J$7:$K$11,2,FALSE)&amp;" - Per "&amp;VLOOKUP($C$4,'Writing Logic'!$G$8:$H$14,2,FALSE),YES_Writing_ELA[#Headers],0)))="INS",'Writing Logic'!$B$7,IF(INDEX(_xlfn.VSTACK(YES_Writing_ELA[#Data],YES_Writing_FLA[#Data]),MATCH($A376,_xlfn.VSTACK(YES_Writing_ELA[Student Number],YES_Writing_FLA[Student Number]),0),MATCH(VLOOKUP(D$7,'Writing Logic'!$J$7:$K$11,2,FALSE)&amp;" - Per "&amp;VLOOKUP($C$4,'Writing Logic'!$G$8:$H$14,2,FALSE),YES_Writing_ELA[#Headers],0))=0,"",INDEX(_xlfn.VSTACK(YES_Writing_ELA[#Data],YES_Writing_FLA[#Data]),MATCH($A376,_xlfn.VSTACK(YES_Writing_ELA[Student Number],YES_Writing_FLA[Student Number]),0),MATCH(VLOOKUP(D$7,'Writing Logic'!$J$7:$K$11,2,FALSE)&amp;" - Per "&amp;VLOOKUP($C$4,'Writing Logic'!$G$8:$H$14,2,FALSE),YES_Writing_ELA[#Headers],0)))),"")</f>
        <v/>
      </c>
      <c r="E376" s="138" t="str">
        <f>IFERROR(IF(IF(INDEX(_xlfn.VSTACK(YES_Writing_ELA[#Data],YES_Writing_FLA[#Data]),MATCH($A376,_xlfn.VSTACK(YES_Writing_ELA[Student Number],YES_Writing_FLA[Student Number]),0),MATCH(VLOOKUP(E$7,'Writing Logic'!$J$7:$K$11,2,FALSE)&amp;" - Per "&amp;VLOOKUP($C$4,'Writing Logic'!$G$8:$H$14,2,FALSE),YES_Writing_ELA[#Headers],0))=0,"",INDEX(_xlfn.VSTACK(YES_Writing_ELA[#Data],YES_Writing_FLA[#Data]),MATCH($A376,_xlfn.VSTACK(YES_Writing_ELA[Student Number],YES_Writing_FLA[Student Number]),0),MATCH(VLOOKUP(E$7,'Writing Logic'!$J$7:$K$11,2,FALSE)&amp;" - Per "&amp;VLOOKUP($C$4,'Writing Logic'!$G$8:$H$14,2,FALSE),YES_Writing_ELA[#Headers],0)))="INS",'Writing Logic'!$B$7,IF(INDEX(_xlfn.VSTACK(YES_Writing_ELA[#Data],YES_Writing_FLA[#Data]),MATCH($A376,_xlfn.VSTACK(YES_Writing_ELA[Student Number],YES_Writing_FLA[Student Number]),0),MATCH(VLOOKUP(E$7,'Writing Logic'!$J$7:$K$11,2,FALSE)&amp;" - Per "&amp;VLOOKUP($C$4,'Writing Logic'!$G$8:$H$14,2,FALSE),YES_Writing_ELA[#Headers],0))=0,"",INDEX(_xlfn.VSTACK(YES_Writing_ELA[#Data],YES_Writing_FLA[#Data]),MATCH($A376,_xlfn.VSTACK(YES_Writing_ELA[Student Number],YES_Writing_FLA[Student Number]),0),MATCH(VLOOKUP(E$7,'Writing Logic'!$J$7:$K$11,2,FALSE)&amp;" - Per "&amp;VLOOKUP($C$4,'Writing Logic'!$G$8:$H$14,2,FALSE),YES_Writing_ELA[#Headers],0)))),"")</f>
        <v/>
      </c>
      <c r="F376" s="138" t="str">
        <f>IFERROR(IF(IF(INDEX(_xlfn.VSTACK(YES_Writing_ELA[#Data],YES_Writing_FLA[#Data]),MATCH($A376,_xlfn.VSTACK(YES_Writing_ELA[Student Number],YES_Writing_FLA[Student Number]),0),MATCH(VLOOKUP(F$7,'Writing Logic'!$J$7:$K$11,2,FALSE)&amp;" - Per "&amp;VLOOKUP($C$4,'Writing Logic'!$G$8:$H$14,2,FALSE),YES_Writing_ELA[#Headers],0))=0,"",INDEX(_xlfn.VSTACK(YES_Writing_ELA[#Data],YES_Writing_FLA[#Data]),MATCH($A376,_xlfn.VSTACK(YES_Writing_ELA[Student Number],YES_Writing_FLA[Student Number]),0),MATCH(VLOOKUP(F$7,'Writing Logic'!$J$7:$K$11,2,FALSE)&amp;" - Per "&amp;VLOOKUP($C$4,'Writing Logic'!$G$8:$H$14,2,FALSE),YES_Writing_ELA[#Headers],0)))="INS",'Writing Logic'!$B$7,IF(INDEX(_xlfn.VSTACK(YES_Writing_ELA[#Data],YES_Writing_FLA[#Data]),MATCH($A376,_xlfn.VSTACK(YES_Writing_ELA[Student Number],YES_Writing_FLA[Student Number]),0),MATCH(VLOOKUP(F$7,'Writing Logic'!$J$7:$K$11,2,FALSE)&amp;" - Per "&amp;VLOOKUP($C$4,'Writing Logic'!$G$8:$H$14,2,FALSE),YES_Writing_ELA[#Headers],0))=0,"",INDEX(_xlfn.VSTACK(YES_Writing_ELA[#Data],YES_Writing_FLA[#Data]),MATCH($A376,_xlfn.VSTACK(YES_Writing_ELA[Student Number],YES_Writing_FLA[Student Number]),0),MATCH(VLOOKUP(F$7,'Writing Logic'!$J$7:$K$11,2,FALSE)&amp;" - Per "&amp;VLOOKUP($C$4,'Writing Logic'!$G$8:$H$14,2,FALSE),YES_Writing_ELA[#Headers],0)))),"")</f>
        <v/>
      </c>
      <c r="G376" s="138" t="str">
        <f>IFERROR(IF(IF(INDEX(_xlfn.VSTACK(YES_Writing_ELA[#Data],YES_Writing_FLA[#Data]),MATCH($A376,_xlfn.VSTACK(YES_Writing_ELA[Student Number],YES_Writing_FLA[Student Number]),0),MATCH(VLOOKUP(G$7,'Writing Logic'!$J$7:$K$11,2,FALSE)&amp;" - Per "&amp;VLOOKUP($C$4,'Writing Logic'!$G$8:$H$14,2,FALSE),YES_Writing_ELA[#Headers],0))=0,"",INDEX(_xlfn.VSTACK(YES_Writing_ELA[#Data],YES_Writing_FLA[#Data]),MATCH($A376,_xlfn.VSTACK(YES_Writing_ELA[Student Number],YES_Writing_FLA[Student Number]),0),MATCH(VLOOKUP(G$7,'Writing Logic'!$J$7:$K$11,2,FALSE)&amp;" - Per "&amp;VLOOKUP($C$4,'Writing Logic'!$G$8:$H$14,2,FALSE),YES_Writing_ELA[#Headers],0)))="INS",'Writing Logic'!$B$7,IF(INDEX(_xlfn.VSTACK(YES_Writing_ELA[#Data],YES_Writing_FLA[#Data]),MATCH($A376,_xlfn.VSTACK(YES_Writing_ELA[Student Number],YES_Writing_FLA[Student Number]),0),MATCH(VLOOKUP(G$7,'Writing Logic'!$J$7:$K$11,2,FALSE)&amp;" - Per "&amp;VLOOKUP($C$4,'Writing Logic'!$G$8:$H$14,2,FALSE),YES_Writing_ELA[#Headers],0))=0,"",INDEX(_xlfn.VSTACK(YES_Writing_ELA[#Data],YES_Writing_FLA[#Data]),MATCH($A376,_xlfn.VSTACK(YES_Writing_ELA[Student Number],YES_Writing_FLA[Student Number]),0),MATCH(VLOOKUP(G$7,'Writing Logic'!$J$7:$K$11,2,FALSE)&amp;" - Per "&amp;VLOOKUP($C$4,'Writing Logic'!$G$8:$H$14,2,FALSE),YES_Writing_ELA[#Headers],0)))),"")</f>
        <v/>
      </c>
      <c r="H376" s="223" t="str">
        <f>IFERROR(IF(IF(INDEX(_xlfn.VSTACK(YES_Writing_ELA[#Data],YES_Writing_FLA[#Data]),MATCH($A376,_xlfn.VSTACK(YES_Writing_ELA[Student Number],YES_Writing_FLA[Student Number]),0),MATCH(VLOOKUP(H$7,'Writing Logic'!$J$7:$K$11,2,FALSE)&amp;" - Per "&amp;VLOOKUP($C$4,'Writing Logic'!$G$8:$H$14,2,FALSE),YES_Writing_ELA[#Headers],0))=0,"",INDEX(_xlfn.VSTACK(YES_Writing_ELA[#Data],YES_Writing_FLA[#Data]),MATCH($A376,_xlfn.VSTACK(YES_Writing_ELA[Student Number],YES_Writing_FLA[Student Number]),0),MATCH(VLOOKUP(H$7,'Writing Logic'!$J$7:$K$11,2,FALSE)&amp;" - Per "&amp;VLOOKUP($C$4,'Writing Logic'!$G$8:$H$14,2,FALSE),YES_Writing_ELA[#Headers],0)))="INS",'Writing Logic'!$B$7,IF(INDEX(_xlfn.VSTACK(YES_Writing_ELA[#Data],YES_Writing_FLA[#Data]),MATCH($A376,_xlfn.VSTACK(YES_Writing_ELA[Student Number],YES_Writing_FLA[Student Number]),0),MATCH(VLOOKUP(H$7,'Writing Logic'!$J$7:$K$11,2,FALSE)&amp;" - Per "&amp;VLOOKUP($C$4,'Writing Logic'!$G$8:$H$14,2,FALSE),YES_Writing_ELA[#Headers],0))=0,"",INDEX(_xlfn.VSTACK(YES_Writing_ELA[#Data],YES_Writing_FLA[#Data]),MATCH($A376,_xlfn.VSTACK(YES_Writing_ELA[Student Number],YES_Writing_FLA[Student Number]),0),MATCH(VLOOKUP(H$7,'Writing Logic'!$J$7:$K$11,2,FALSE)&amp;" - Per "&amp;VLOOKUP($C$4,'Writing Logic'!$G$8:$H$14,2,FALSE),YES_Writing_ELA[#Headers],0)))),"")</f>
        <v/>
      </c>
      <c r="I376" s="224" t="str" cm="1">
        <f t="array" aca="1" ref="I376" ca="1">IFERROR(
IF($G$3="ELA",
IF(VLOOKUP($A376, YES_Reading_ELA[], COLUMN(INDIRECT("YES_Reading_ELA[Difference - Per "&amp;VLOOKUP($G$4, 'Reading Report Logic'!$A$2:$B$8, 2, FALSE)&amp;"]")), FALSE)="", "",
VLOOKUP($A376,YES_Reading_ELA[], COLUMN(INDIRECT("YES_Reading_ELA[Difference - Per "&amp;VLOOKUP($G$4,'Reading Report Logic'!$A$2:$B$8,2,FALSE)&amp;"]")), FALSE)),
IF($G$3="FLA",
IF(VLOOKUP($A376, YES_Reading_FLA[], COLUMN(INDIRECT("YES_Reading_FLA[Difference - Per "&amp;VLOOKUP($G$4,'Reading Report Logic'!$A$2:$B$8,2,FALSE)&amp;"]")),FALSE)="","",
VLOOKUP($A376,YES_Reading_FLA[],COLUMN(INDIRECT("YES_Reading_FLA[Difference - Per "&amp;VLOOKUP($G$4,'Reading Report Logic'!$A$2:$B$8,2,FALSE)&amp;"]")),FALSE)),
IF($G$3="Combined",
IFERROR(
IF(VLOOKUP($A376, YES_Reading_ELA[], COLUMN(INDIRECT("YES_Reading_ELA[Difference - Per "&amp;VLOOKUP($G$4, 'Reading Report Logic'!$A$2:$B$8,2,FALSE)&amp;"]")), FALSE)="", "",
VLOOKUP($A376,YES_Reading_ELA[],COLUMN(INDIRECT("YES_Reading_ELA[Difference - Per "&amp;VLOOKUP($G$4,'Reading Report Logic'!$A$2:$B$8,2,FALSE)&amp;"]")),FALSE)),
IF(VLOOKUP($A376, YES_Reading_FLA[], COLUMN(INDIRECT("YES_Reading_FLA[Difference - Per "&amp;VLOOKUP($G$4, 'Reading Report Logic'!$A$2:$B$8, 2, FALSE)&amp;"]")),FALSE)="", "", VLOOKUP($A376,YES_Reading_FLA[],COLUMN(INDIRECT("YES_Reading_FLA[Difference - Per "&amp;VLOOKUP($G$4, 'Reading Report Logic'!$A$2:$B$8, 2, FALSE)&amp;"]")),FALSE))),""))),"")</f>
        <v/>
      </c>
    </row>
    <row r="377" spans="1:9" x14ac:dyDescent="0.25">
      <c r="A377" s="137"/>
      <c r="B377" s="137" t="str">
        <f>IFERROR(INDEX(_xlfn.VSTACK(YES_Writing_ELA[#Data], YES_Writing_FLA[#Data]),MATCH($A377,_xlfn.VSTACK(YES_Writing_ELA[Student Number], YES_Writing_FLA[Student Number]),0),MATCH(B$7,YES_Writing_ELA[#Headers],0)),IFERROR(INDEX(_xlfn.VSTACK(YES_Reading_ELA[#Data], YES_Reading_FLA[#Data]),MATCH($A377,_xlfn.VSTACK(YES_Reading_ELA[Student Number], YES_Reading_FLA[Student Number]),0),MATCH(B$7,YES_Reading_ELA[#Headers],0)),""))</f>
        <v/>
      </c>
      <c r="C377" s="137" t="str">
        <f>IFERROR(INDEX(_xlfn.VSTACK(YES_Writing_ELA[#Data], YES_Writing_FLA[#Data]),MATCH($A377,_xlfn.VSTACK(YES_Writing_ELA[Student Number], YES_Writing_FLA[Student Number]),0),MATCH(C$7,YES_Writing_ELA[#Headers],0)),IFERROR(INDEX(_xlfn.VSTACK(YES_Reading_ELA[#Data], YES_Reading_FLA[#Data]),MATCH($A377,_xlfn.VSTACK(YES_Reading_ELA[Student Number], YES_Reading_FLA[Student Number]),0),MATCH(C$7,YES_Reading_ELA[#Headers],0)),""))</f>
        <v/>
      </c>
      <c r="D377" s="138" t="str">
        <f>IFERROR(IF(IF(INDEX(_xlfn.VSTACK(YES_Writing_ELA[#Data],YES_Writing_FLA[#Data]),MATCH($A377,_xlfn.VSTACK(YES_Writing_ELA[Student Number],YES_Writing_FLA[Student Number]),0),MATCH(VLOOKUP(D$7,'Writing Logic'!$J$7:$K$11,2,FALSE)&amp;" - Per "&amp;VLOOKUP($C$4,'Writing Logic'!$G$8:$H$14,2,FALSE),YES_Writing_ELA[#Headers],0))=0,"",INDEX(_xlfn.VSTACK(YES_Writing_ELA[#Data],YES_Writing_FLA[#Data]),MATCH($A377,_xlfn.VSTACK(YES_Writing_ELA[Student Number],YES_Writing_FLA[Student Number]),0),MATCH(VLOOKUP(D$7,'Writing Logic'!$J$7:$K$11,2,FALSE)&amp;" - Per "&amp;VLOOKUP($C$4,'Writing Logic'!$G$8:$H$14,2,FALSE),YES_Writing_ELA[#Headers],0)))="INS",'Writing Logic'!$B$7,IF(INDEX(_xlfn.VSTACK(YES_Writing_ELA[#Data],YES_Writing_FLA[#Data]),MATCH($A377,_xlfn.VSTACK(YES_Writing_ELA[Student Number],YES_Writing_FLA[Student Number]),0),MATCH(VLOOKUP(D$7,'Writing Logic'!$J$7:$K$11,2,FALSE)&amp;" - Per "&amp;VLOOKUP($C$4,'Writing Logic'!$G$8:$H$14,2,FALSE),YES_Writing_ELA[#Headers],0))=0,"",INDEX(_xlfn.VSTACK(YES_Writing_ELA[#Data],YES_Writing_FLA[#Data]),MATCH($A377,_xlfn.VSTACK(YES_Writing_ELA[Student Number],YES_Writing_FLA[Student Number]),0),MATCH(VLOOKUP(D$7,'Writing Logic'!$J$7:$K$11,2,FALSE)&amp;" - Per "&amp;VLOOKUP($C$4,'Writing Logic'!$G$8:$H$14,2,FALSE),YES_Writing_ELA[#Headers],0)))),"")</f>
        <v/>
      </c>
      <c r="E377" s="138" t="str">
        <f>IFERROR(IF(IF(INDEX(_xlfn.VSTACK(YES_Writing_ELA[#Data],YES_Writing_FLA[#Data]),MATCH($A377,_xlfn.VSTACK(YES_Writing_ELA[Student Number],YES_Writing_FLA[Student Number]),0),MATCH(VLOOKUP(E$7,'Writing Logic'!$J$7:$K$11,2,FALSE)&amp;" - Per "&amp;VLOOKUP($C$4,'Writing Logic'!$G$8:$H$14,2,FALSE),YES_Writing_ELA[#Headers],0))=0,"",INDEX(_xlfn.VSTACK(YES_Writing_ELA[#Data],YES_Writing_FLA[#Data]),MATCH($A377,_xlfn.VSTACK(YES_Writing_ELA[Student Number],YES_Writing_FLA[Student Number]),0),MATCH(VLOOKUP(E$7,'Writing Logic'!$J$7:$K$11,2,FALSE)&amp;" - Per "&amp;VLOOKUP($C$4,'Writing Logic'!$G$8:$H$14,2,FALSE),YES_Writing_ELA[#Headers],0)))="INS",'Writing Logic'!$B$7,IF(INDEX(_xlfn.VSTACK(YES_Writing_ELA[#Data],YES_Writing_FLA[#Data]),MATCH($A377,_xlfn.VSTACK(YES_Writing_ELA[Student Number],YES_Writing_FLA[Student Number]),0),MATCH(VLOOKUP(E$7,'Writing Logic'!$J$7:$K$11,2,FALSE)&amp;" - Per "&amp;VLOOKUP($C$4,'Writing Logic'!$G$8:$H$14,2,FALSE),YES_Writing_ELA[#Headers],0))=0,"",INDEX(_xlfn.VSTACK(YES_Writing_ELA[#Data],YES_Writing_FLA[#Data]),MATCH($A377,_xlfn.VSTACK(YES_Writing_ELA[Student Number],YES_Writing_FLA[Student Number]),0),MATCH(VLOOKUP(E$7,'Writing Logic'!$J$7:$K$11,2,FALSE)&amp;" - Per "&amp;VLOOKUP($C$4,'Writing Logic'!$G$8:$H$14,2,FALSE),YES_Writing_ELA[#Headers],0)))),"")</f>
        <v/>
      </c>
      <c r="F377" s="138" t="str">
        <f>IFERROR(IF(IF(INDEX(_xlfn.VSTACK(YES_Writing_ELA[#Data],YES_Writing_FLA[#Data]),MATCH($A377,_xlfn.VSTACK(YES_Writing_ELA[Student Number],YES_Writing_FLA[Student Number]),0),MATCH(VLOOKUP(F$7,'Writing Logic'!$J$7:$K$11,2,FALSE)&amp;" - Per "&amp;VLOOKUP($C$4,'Writing Logic'!$G$8:$H$14,2,FALSE),YES_Writing_ELA[#Headers],0))=0,"",INDEX(_xlfn.VSTACK(YES_Writing_ELA[#Data],YES_Writing_FLA[#Data]),MATCH($A377,_xlfn.VSTACK(YES_Writing_ELA[Student Number],YES_Writing_FLA[Student Number]),0),MATCH(VLOOKUP(F$7,'Writing Logic'!$J$7:$K$11,2,FALSE)&amp;" - Per "&amp;VLOOKUP($C$4,'Writing Logic'!$G$8:$H$14,2,FALSE),YES_Writing_ELA[#Headers],0)))="INS",'Writing Logic'!$B$7,IF(INDEX(_xlfn.VSTACK(YES_Writing_ELA[#Data],YES_Writing_FLA[#Data]),MATCH($A377,_xlfn.VSTACK(YES_Writing_ELA[Student Number],YES_Writing_FLA[Student Number]),0),MATCH(VLOOKUP(F$7,'Writing Logic'!$J$7:$K$11,2,FALSE)&amp;" - Per "&amp;VLOOKUP($C$4,'Writing Logic'!$G$8:$H$14,2,FALSE),YES_Writing_ELA[#Headers],0))=0,"",INDEX(_xlfn.VSTACK(YES_Writing_ELA[#Data],YES_Writing_FLA[#Data]),MATCH($A377,_xlfn.VSTACK(YES_Writing_ELA[Student Number],YES_Writing_FLA[Student Number]),0),MATCH(VLOOKUP(F$7,'Writing Logic'!$J$7:$K$11,2,FALSE)&amp;" - Per "&amp;VLOOKUP($C$4,'Writing Logic'!$G$8:$H$14,2,FALSE),YES_Writing_ELA[#Headers],0)))),"")</f>
        <v/>
      </c>
      <c r="G377" s="138" t="str">
        <f>IFERROR(IF(IF(INDEX(_xlfn.VSTACK(YES_Writing_ELA[#Data],YES_Writing_FLA[#Data]),MATCH($A377,_xlfn.VSTACK(YES_Writing_ELA[Student Number],YES_Writing_FLA[Student Number]),0),MATCH(VLOOKUP(G$7,'Writing Logic'!$J$7:$K$11,2,FALSE)&amp;" - Per "&amp;VLOOKUP($C$4,'Writing Logic'!$G$8:$H$14,2,FALSE),YES_Writing_ELA[#Headers],0))=0,"",INDEX(_xlfn.VSTACK(YES_Writing_ELA[#Data],YES_Writing_FLA[#Data]),MATCH($A377,_xlfn.VSTACK(YES_Writing_ELA[Student Number],YES_Writing_FLA[Student Number]),0),MATCH(VLOOKUP(G$7,'Writing Logic'!$J$7:$K$11,2,FALSE)&amp;" - Per "&amp;VLOOKUP($C$4,'Writing Logic'!$G$8:$H$14,2,FALSE),YES_Writing_ELA[#Headers],0)))="INS",'Writing Logic'!$B$7,IF(INDEX(_xlfn.VSTACK(YES_Writing_ELA[#Data],YES_Writing_FLA[#Data]),MATCH($A377,_xlfn.VSTACK(YES_Writing_ELA[Student Number],YES_Writing_FLA[Student Number]),0),MATCH(VLOOKUP(G$7,'Writing Logic'!$J$7:$K$11,2,FALSE)&amp;" - Per "&amp;VLOOKUP($C$4,'Writing Logic'!$G$8:$H$14,2,FALSE),YES_Writing_ELA[#Headers],0))=0,"",INDEX(_xlfn.VSTACK(YES_Writing_ELA[#Data],YES_Writing_FLA[#Data]),MATCH($A377,_xlfn.VSTACK(YES_Writing_ELA[Student Number],YES_Writing_FLA[Student Number]),0),MATCH(VLOOKUP(G$7,'Writing Logic'!$J$7:$K$11,2,FALSE)&amp;" - Per "&amp;VLOOKUP($C$4,'Writing Logic'!$G$8:$H$14,2,FALSE),YES_Writing_ELA[#Headers],0)))),"")</f>
        <v/>
      </c>
      <c r="H377" s="223" t="str">
        <f>IFERROR(IF(IF(INDEX(_xlfn.VSTACK(YES_Writing_ELA[#Data],YES_Writing_FLA[#Data]),MATCH($A377,_xlfn.VSTACK(YES_Writing_ELA[Student Number],YES_Writing_FLA[Student Number]),0),MATCH(VLOOKUP(H$7,'Writing Logic'!$J$7:$K$11,2,FALSE)&amp;" - Per "&amp;VLOOKUP($C$4,'Writing Logic'!$G$8:$H$14,2,FALSE),YES_Writing_ELA[#Headers],0))=0,"",INDEX(_xlfn.VSTACK(YES_Writing_ELA[#Data],YES_Writing_FLA[#Data]),MATCH($A377,_xlfn.VSTACK(YES_Writing_ELA[Student Number],YES_Writing_FLA[Student Number]),0),MATCH(VLOOKUP(H$7,'Writing Logic'!$J$7:$K$11,2,FALSE)&amp;" - Per "&amp;VLOOKUP($C$4,'Writing Logic'!$G$8:$H$14,2,FALSE),YES_Writing_ELA[#Headers],0)))="INS",'Writing Logic'!$B$7,IF(INDEX(_xlfn.VSTACK(YES_Writing_ELA[#Data],YES_Writing_FLA[#Data]),MATCH($A377,_xlfn.VSTACK(YES_Writing_ELA[Student Number],YES_Writing_FLA[Student Number]),0),MATCH(VLOOKUP(H$7,'Writing Logic'!$J$7:$K$11,2,FALSE)&amp;" - Per "&amp;VLOOKUP($C$4,'Writing Logic'!$G$8:$H$14,2,FALSE),YES_Writing_ELA[#Headers],0))=0,"",INDEX(_xlfn.VSTACK(YES_Writing_ELA[#Data],YES_Writing_FLA[#Data]),MATCH($A377,_xlfn.VSTACK(YES_Writing_ELA[Student Number],YES_Writing_FLA[Student Number]),0),MATCH(VLOOKUP(H$7,'Writing Logic'!$J$7:$K$11,2,FALSE)&amp;" - Per "&amp;VLOOKUP($C$4,'Writing Logic'!$G$8:$H$14,2,FALSE),YES_Writing_ELA[#Headers],0)))),"")</f>
        <v/>
      </c>
      <c r="I377" s="224" t="str" cm="1">
        <f t="array" aca="1" ref="I377" ca="1">IFERROR(
IF($G$3="ELA",
IF(VLOOKUP($A377, YES_Reading_ELA[], COLUMN(INDIRECT("YES_Reading_ELA[Difference - Per "&amp;VLOOKUP($G$4, 'Reading Report Logic'!$A$2:$B$8, 2, FALSE)&amp;"]")), FALSE)="", "",
VLOOKUP($A377,YES_Reading_ELA[], COLUMN(INDIRECT("YES_Reading_ELA[Difference - Per "&amp;VLOOKUP($G$4,'Reading Report Logic'!$A$2:$B$8,2,FALSE)&amp;"]")), FALSE)),
IF($G$3="FLA",
IF(VLOOKUP($A377, YES_Reading_FLA[], COLUMN(INDIRECT("YES_Reading_FLA[Difference - Per "&amp;VLOOKUP($G$4,'Reading Report Logic'!$A$2:$B$8,2,FALSE)&amp;"]")),FALSE)="","",
VLOOKUP($A377,YES_Reading_FLA[],COLUMN(INDIRECT("YES_Reading_FLA[Difference - Per "&amp;VLOOKUP($G$4,'Reading Report Logic'!$A$2:$B$8,2,FALSE)&amp;"]")),FALSE)),
IF($G$3="Combined",
IFERROR(
IF(VLOOKUP($A377, YES_Reading_ELA[], COLUMN(INDIRECT("YES_Reading_ELA[Difference - Per "&amp;VLOOKUP($G$4, 'Reading Report Logic'!$A$2:$B$8,2,FALSE)&amp;"]")), FALSE)="", "",
VLOOKUP($A377,YES_Reading_ELA[],COLUMN(INDIRECT("YES_Reading_ELA[Difference - Per "&amp;VLOOKUP($G$4,'Reading Report Logic'!$A$2:$B$8,2,FALSE)&amp;"]")),FALSE)),
IF(VLOOKUP($A377, YES_Reading_FLA[], COLUMN(INDIRECT("YES_Reading_FLA[Difference - Per "&amp;VLOOKUP($G$4, 'Reading Report Logic'!$A$2:$B$8, 2, FALSE)&amp;"]")),FALSE)="", "", VLOOKUP($A377,YES_Reading_FLA[],COLUMN(INDIRECT("YES_Reading_FLA[Difference - Per "&amp;VLOOKUP($G$4, 'Reading Report Logic'!$A$2:$B$8, 2, FALSE)&amp;"]")),FALSE))),""))),"")</f>
        <v/>
      </c>
    </row>
    <row r="378" spans="1:9" x14ac:dyDescent="0.25">
      <c r="A378" s="137"/>
      <c r="B378" s="137" t="str">
        <f>IFERROR(INDEX(_xlfn.VSTACK(YES_Writing_ELA[#Data], YES_Writing_FLA[#Data]),MATCH($A378,_xlfn.VSTACK(YES_Writing_ELA[Student Number], YES_Writing_FLA[Student Number]),0),MATCH(B$7,YES_Writing_ELA[#Headers],0)),IFERROR(INDEX(_xlfn.VSTACK(YES_Reading_ELA[#Data], YES_Reading_FLA[#Data]),MATCH($A378,_xlfn.VSTACK(YES_Reading_ELA[Student Number], YES_Reading_FLA[Student Number]),0),MATCH(B$7,YES_Reading_ELA[#Headers],0)),""))</f>
        <v/>
      </c>
      <c r="C378" s="137" t="str">
        <f>IFERROR(INDEX(_xlfn.VSTACK(YES_Writing_ELA[#Data], YES_Writing_FLA[#Data]),MATCH($A378,_xlfn.VSTACK(YES_Writing_ELA[Student Number], YES_Writing_FLA[Student Number]),0),MATCH(C$7,YES_Writing_ELA[#Headers],0)),IFERROR(INDEX(_xlfn.VSTACK(YES_Reading_ELA[#Data], YES_Reading_FLA[#Data]),MATCH($A378,_xlfn.VSTACK(YES_Reading_ELA[Student Number], YES_Reading_FLA[Student Number]),0),MATCH(C$7,YES_Reading_ELA[#Headers],0)),""))</f>
        <v/>
      </c>
      <c r="D378" s="138" t="str">
        <f>IFERROR(IF(IF(INDEX(_xlfn.VSTACK(YES_Writing_ELA[#Data],YES_Writing_FLA[#Data]),MATCH($A378,_xlfn.VSTACK(YES_Writing_ELA[Student Number],YES_Writing_FLA[Student Number]),0),MATCH(VLOOKUP(D$7,'Writing Logic'!$J$7:$K$11,2,FALSE)&amp;" - Per "&amp;VLOOKUP($C$4,'Writing Logic'!$G$8:$H$14,2,FALSE),YES_Writing_ELA[#Headers],0))=0,"",INDEX(_xlfn.VSTACK(YES_Writing_ELA[#Data],YES_Writing_FLA[#Data]),MATCH($A378,_xlfn.VSTACK(YES_Writing_ELA[Student Number],YES_Writing_FLA[Student Number]),0),MATCH(VLOOKUP(D$7,'Writing Logic'!$J$7:$K$11,2,FALSE)&amp;" - Per "&amp;VLOOKUP($C$4,'Writing Logic'!$G$8:$H$14,2,FALSE),YES_Writing_ELA[#Headers],0)))="INS",'Writing Logic'!$B$7,IF(INDEX(_xlfn.VSTACK(YES_Writing_ELA[#Data],YES_Writing_FLA[#Data]),MATCH($A378,_xlfn.VSTACK(YES_Writing_ELA[Student Number],YES_Writing_FLA[Student Number]),0),MATCH(VLOOKUP(D$7,'Writing Logic'!$J$7:$K$11,2,FALSE)&amp;" - Per "&amp;VLOOKUP($C$4,'Writing Logic'!$G$8:$H$14,2,FALSE),YES_Writing_ELA[#Headers],0))=0,"",INDEX(_xlfn.VSTACK(YES_Writing_ELA[#Data],YES_Writing_FLA[#Data]),MATCH($A378,_xlfn.VSTACK(YES_Writing_ELA[Student Number],YES_Writing_FLA[Student Number]),0),MATCH(VLOOKUP(D$7,'Writing Logic'!$J$7:$K$11,2,FALSE)&amp;" - Per "&amp;VLOOKUP($C$4,'Writing Logic'!$G$8:$H$14,2,FALSE),YES_Writing_ELA[#Headers],0)))),"")</f>
        <v/>
      </c>
      <c r="E378" s="138" t="str">
        <f>IFERROR(IF(IF(INDEX(_xlfn.VSTACK(YES_Writing_ELA[#Data],YES_Writing_FLA[#Data]),MATCH($A378,_xlfn.VSTACK(YES_Writing_ELA[Student Number],YES_Writing_FLA[Student Number]),0),MATCH(VLOOKUP(E$7,'Writing Logic'!$J$7:$K$11,2,FALSE)&amp;" - Per "&amp;VLOOKUP($C$4,'Writing Logic'!$G$8:$H$14,2,FALSE),YES_Writing_ELA[#Headers],0))=0,"",INDEX(_xlfn.VSTACK(YES_Writing_ELA[#Data],YES_Writing_FLA[#Data]),MATCH($A378,_xlfn.VSTACK(YES_Writing_ELA[Student Number],YES_Writing_FLA[Student Number]),0),MATCH(VLOOKUP(E$7,'Writing Logic'!$J$7:$K$11,2,FALSE)&amp;" - Per "&amp;VLOOKUP($C$4,'Writing Logic'!$G$8:$H$14,2,FALSE),YES_Writing_ELA[#Headers],0)))="INS",'Writing Logic'!$B$7,IF(INDEX(_xlfn.VSTACK(YES_Writing_ELA[#Data],YES_Writing_FLA[#Data]),MATCH($A378,_xlfn.VSTACK(YES_Writing_ELA[Student Number],YES_Writing_FLA[Student Number]),0),MATCH(VLOOKUP(E$7,'Writing Logic'!$J$7:$K$11,2,FALSE)&amp;" - Per "&amp;VLOOKUP($C$4,'Writing Logic'!$G$8:$H$14,2,FALSE),YES_Writing_ELA[#Headers],0))=0,"",INDEX(_xlfn.VSTACK(YES_Writing_ELA[#Data],YES_Writing_FLA[#Data]),MATCH($A378,_xlfn.VSTACK(YES_Writing_ELA[Student Number],YES_Writing_FLA[Student Number]),0),MATCH(VLOOKUP(E$7,'Writing Logic'!$J$7:$K$11,2,FALSE)&amp;" - Per "&amp;VLOOKUP($C$4,'Writing Logic'!$G$8:$H$14,2,FALSE),YES_Writing_ELA[#Headers],0)))),"")</f>
        <v/>
      </c>
      <c r="F378" s="138" t="str">
        <f>IFERROR(IF(IF(INDEX(_xlfn.VSTACK(YES_Writing_ELA[#Data],YES_Writing_FLA[#Data]),MATCH($A378,_xlfn.VSTACK(YES_Writing_ELA[Student Number],YES_Writing_FLA[Student Number]),0),MATCH(VLOOKUP(F$7,'Writing Logic'!$J$7:$K$11,2,FALSE)&amp;" - Per "&amp;VLOOKUP($C$4,'Writing Logic'!$G$8:$H$14,2,FALSE),YES_Writing_ELA[#Headers],0))=0,"",INDEX(_xlfn.VSTACK(YES_Writing_ELA[#Data],YES_Writing_FLA[#Data]),MATCH($A378,_xlfn.VSTACK(YES_Writing_ELA[Student Number],YES_Writing_FLA[Student Number]),0),MATCH(VLOOKUP(F$7,'Writing Logic'!$J$7:$K$11,2,FALSE)&amp;" - Per "&amp;VLOOKUP($C$4,'Writing Logic'!$G$8:$H$14,2,FALSE),YES_Writing_ELA[#Headers],0)))="INS",'Writing Logic'!$B$7,IF(INDEX(_xlfn.VSTACK(YES_Writing_ELA[#Data],YES_Writing_FLA[#Data]),MATCH($A378,_xlfn.VSTACK(YES_Writing_ELA[Student Number],YES_Writing_FLA[Student Number]),0),MATCH(VLOOKUP(F$7,'Writing Logic'!$J$7:$K$11,2,FALSE)&amp;" - Per "&amp;VLOOKUP($C$4,'Writing Logic'!$G$8:$H$14,2,FALSE),YES_Writing_ELA[#Headers],0))=0,"",INDEX(_xlfn.VSTACK(YES_Writing_ELA[#Data],YES_Writing_FLA[#Data]),MATCH($A378,_xlfn.VSTACK(YES_Writing_ELA[Student Number],YES_Writing_FLA[Student Number]),0),MATCH(VLOOKUP(F$7,'Writing Logic'!$J$7:$K$11,2,FALSE)&amp;" - Per "&amp;VLOOKUP($C$4,'Writing Logic'!$G$8:$H$14,2,FALSE),YES_Writing_ELA[#Headers],0)))),"")</f>
        <v/>
      </c>
      <c r="G378" s="138" t="str">
        <f>IFERROR(IF(IF(INDEX(_xlfn.VSTACK(YES_Writing_ELA[#Data],YES_Writing_FLA[#Data]),MATCH($A378,_xlfn.VSTACK(YES_Writing_ELA[Student Number],YES_Writing_FLA[Student Number]),0),MATCH(VLOOKUP(G$7,'Writing Logic'!$J$7:$K$11,2,FALSE)&amp;" - Per "&amp;VLOOKUP($C$4,'Writing Logic'!$G$8:$H$14,2,FALSE),YES_Writing_ELA[#Headers],0))=0,"",INDEX(_xlfn.VSTACK(YES_Writing_ELA[#Data],YES_Writing_FLA[#Data]),MATCH($A378,_xlfn.VSTACK(YES_Writing_ELA[Student Number],YES_Writing_FLA[Student Number]),0),MATCH(VLOOKUP(G$7,'Writing Logic'!$J$7:$K$11,2,FALSE)&amp;" - Per "&amp;VLOOKUP($C$4,'Writing Logic'!$G$8:$H$14,2,FALSE),YES_Writing_ELA[#Headers],0)))="INS",'Writing Logic'!$B$7,IF(INDEX(_xlfn.VSTACK(YES_Writing_ELA[#Data],YES_Writing_FLA[#Data]),MATCH($A378,_xlfn.VSTACK(YES_Writing_ELA[Student Number],YES_Writing_FLA[Student Number]),0),MATCH(VLOOKUP(G$7,'Writing Logic'!$J$7:$K$11,2,FALSE)&amp;" - Per "&amp;VLOOKUP($C$4,'Writing Logic'!$G$8:$H$14,2,FALSE),YES_Writing_ELA[#Headers],0))=0,"",INDEX(_xlfn.VSTACK(YES_Writing_ELA[#Data],YES_Writing_FLA[#Data]),MATCH($A378,_xlfn.VSTACK(YES_Writing_ELA[Student Number],YES_Writing_FLA[Student Number]),0),MATCH(VLOOKUP(G$7,'Writing Logic'!$J$7:$K$11,2,FALSE)&amp;" - Per "&amp;VLOOKUP($C$4,'Writing Logic'!$G$8:$H$14,2,FALSE),YES_Writing_ELA[#Headers],0)))),"")</f>
        <v/>
      </c>
      <c r="H378" s="223" t="str">
        <f>IFERROR(IF(IF(INDEX(_xlfn.VSTACK(YES_Writing_ELA[#Data],YES_Writing_FLA[#Data]),MATCH($A378,_xlfn.VSTACK(YES_Writing_ELA[Student Number],YES_Writing_FLA[Student Number]),0),MATCH(VLOOKUP(H$7,'Writing Logic'!$J$7:$K$11,2,FALSE)&amp;" - Per "&amp;VLOOKUP($C$4,'Writing Logic'!$G$8:$H$14,2,FALSE),YES_Writing_ELA[#Headers],0))=0,"",INDEX(_xlfn.VSTACK(YES_Writing_ELA[#Data],YES_Writing_FLA[#Data]),MATCH($A378,_xlfn.VSTACK(YES_Writing_ELA[Student Number],YES_Writing_FLA[Student Number]),0),MATCH(VLOOKUP(H$7,'Writing Logic'!$J$7:$K$11,2,FALSE)&amp;" - Per "&amp;VLOOKUP($C$4,'Writing Logic'!$G$8:$H$14,2,FALSE),YES_Writing_ELA[#Headers],0)))="INS",'Writing Logic'!$B$7,IF(INDEX(_xlfn.VSTACK(YES_Writing_ELA[#Data],YES_Writing_FLA[#Data]),MATCH($A378,_xlfn.VSTACK(YES_Writing_ELA[Student Number],YES_Writing_FLA[Student Number]),0),MATCH(VLOOKUP(H$7,'Writing Logic'!$J$7:$K$11,2,FALSE)&amp;" - Per "&amp;VLOOKUP($C$4,'Writing Logic'!$G$8:$H$14,2,FALSE),YES_Writing_ELA[#Headers],0))=0,"",INDEX(_xlfn.VSTACK(YES_Writing_ELA[#Data],YES_Writing_FLA[#Data]),MATCH($A378,_xlfn.VSTACK(YES_Writing_ELA[Student Number],YES_Writing_FLA[Student Number]),0),MATCH(VLOOKUP(H$7,'Writing Logic'!$J$7:$K$11,2,FALSE)&amp;" - Per "&amp;VLOOKUP($C$4,'Writing Logic'!$G$8:$H$14,2,FALSE),YES_Writing_ELA[#Headers],0)))),"")</f>
        <v/>
      </c>
      <c r="I378" s="224" t="str" cm="1">
        <f t="array" aca="1" ref="I378" ca="1">IFERROR(
IF($G$3="ELA",
IF(VLOOKUP($A378, YES_Reading_ELA[], COLUMN(INDIRECT("YES_Reading_ELA[Difference - Per "&amp;VLOOKUP($G$4, 'Reading Report Logic'!$A$2:$B$8, 2, FALSE)&amp;"]")), FALSE)="", "",
VLOOKUP($A378,YES_Reading_ELA[], COLUMN(INDIRECT("YES_Reading_ELA[Difference - Per "&amp;VLOOKUP($G$4,'Reading Report Logic'!$A$2:$B$8,2,FALSE)&amp;"]")), FALSE)),
IF($G$3="FLA",
IF(VLOOKUP($A378, YES_Reading_FLA[], COLUMN(INDIRECT("YES_Reading_FLA[Difference - Per "&amp;VLOOKUP($G$4,'Reading Report Logic'!$A$2:$B$8,2,FALSE)&amp;"]")),FALSE)="","",
VLOOKUP($A378,YES_Reading_FLA[],COLUMN(INDIRECT("YES_Reading_FLA[Difference - Per "&amp;VLOOKUP($G$4,'Reading Report Logic'!$A$2:$B$8,2,FALSE)&amp;"]")),FALSE)),
IF($G$3="Combined",
IFERROR(
IF(VLOOKUP($A378, YES_Reading_ELA[], COLUMN(INDIRECT("YES_Reading_ELA[Difference - Per "&amp;VLOOKUP($G$4, 'Reading Report Logic'!$A$2:$B$8,2,FALSE)&amp;"]")), FALSE)="", "",
VLOOKUP($A378,YES_Reading_ELA[],COLUMN(INDIRECT("YES_Reading_ELA[Difference - Per "&amp;VLOOKUP($G$4,'Reading Report Logic'!$A$2:$B$8,2,FALSE)&amp;"]")),FALSE)),
IF(VLOOKUP($A378, YES_Reading_FLA[], COLUMN(INDIRECT("YES_Reading_FLA[Difference - Per "&amp;VLOOKUP($G$4, 'Reading Report Logic'!$A$2:$B$8, 2, FALSE)&amp;"]")),FALSE)="", "", VLOOKUP($A378,YES_Reading_FLA[],COLUMN(INDIRECT("YES_Reading_FLA[Difference - Per "&amp;VLOOKUP($G$4, 'Reading Report Logic'!$A$2:$B$8, 2, FALSE)&amp;"]")),FALSE))),""))),"")</f>
        <v/>
      </c>
    </row>
    <row r="379" spans="1:9" x14ac:dyDescent="0.25">
      <c r="A379" s="137"/>
      <c r="B379" s="137" t="str">
        <f>IFERROR(INDEX(_xlfn.VSTACK(YES_Writing_ELA[#Data], YES_Writing_FLA[#Data]),MATCH($A379,_xlfn.VSTACK(YES_Writing_ELA[Student Number], YES_Writing_FLA[Student Number]),0),MATCH(B$7,YES_Writing_ELA[#Headers],0)),IFERROR(INDEX(_xlfn.VSTACK(YES_Reading_ELA[#Data], YES_Reading_FLA[#Data]),MATCH($A379,_xlfn.VSTACK(YES_Reading_ELA[Student Number], YES_Reading_FLA[Student Number]),0),MATCH(B$7,YES_Reading_ELA[#Headers],0)),""))</f>
        <v/>
      </c>
      <c r="C379" s="137" t="str">
        <f>IFERROR(INDEX(_xlfn.VSTACK(YES_Writing_ELA[#Data], YES_Writing_FLA[#Data]),MATCH($A379,_xlfn.VSTACK(YES_Writing_ELA[Student Number], YES_Writing_FLA[Student Number]),0),MATCH(C$7,YES_Writing_ELA[#Headers],0)),IFERROR(INDEX(_xlfn.VSTACK(YES_Reading_ELA[#Data], YES_Reading_FLA[#Data]),MATCH($A379,_xlfn.VSTACK(YES_Reading_ELA[Student Number], YES_Reading_FLA[Student Number]),0),MATCH(C$7,YES_Reading_ELA[#Headers],0)),""))</f>
        <v/>
      </c>
      <c r="D379" s="138" t="str">
        <f>IFERROR(IF(IF(INDEX(_xlfn.VSTACK(YES_Writing_ELA[#Data],YES_Writing_FLA[#Data]),MATCH($A379,_xlfn.VSTACK(YES_Writing_ELA[Student Number],YES_Writing_FLA[Student Number]),0),MATCH(VLOOKUP(D$7,'Writing Logic'!$J$7:$K$11,2,FALSE)&amp;" - Per "&amp;VLOOKUP($C$4,'Writing Logic'!$G$8:$H$14,2,FALSE),YES_Writing_ELA[#Headers],0))=0,"",INDEX(_xlfn.VSTACK(YES_Writing_ELA[#Data],YES_Writing_FLA[#Data]),MATCH($A379,_xlfn.VSTACK(YES_Writing_ELA[Student Number],YES_Writing_FLA[Student Number]),0),MATCH(VLOOKUP(D$7,'Writing Logic'!$J$7:$K$11,2,FALSE)&amp;" - Per "&amp;VLOOKUP($C$4,'Writing Logic'!$G$8:$H$14,2,FALSE),YES_Writing_ELA[#Headers],0)))="INS",'Writing Logic'!$B$7,IF(INDEX(_xlfn.VSTACK(YES_Writing_ELA[#Data],YES_Writing_FLA[#Data]),MATCH($A379,_xlfn.VSTACK(YES_Writing_ELA[Student Number],YES_Writing_FLA[Student Number]),0),MATCH(VLOOKUP(D$7,'Writing Logic'!$J$7:$K$11,2,FALSE)&amp;" - Per "&amp;VLOOKUP($C$4,'Writing Logic'!$G$8:$H$14,2,FALSE),YES_Writing_ELA[#Headers],0))=0,"",INDEX(_xlfn.VSTACK(YES_Writing_ELA[#Data],YES_Writing_FLA[#Data]),MATCH($A379,_xlfn.VSTACK(YES_Writing_ELA[Student Number],YES_Writing_FLA[Student Number]),0),MATCH(VLOOKUP(D$7,'Writing Logic'!$J$7:$K$11,2,FALSE)&amp;" - Per "&amp;VLOOKUP($C$4,'Writing Logic'!$G$8:$H$14,2,FALSE),YES_Writing_ELA[#Headers],0)))),"")</f>
        <v/>
      </c>
      <c r="E379" s="138" t="str">
        <f>IFERROR(IF(IF(INDEX(_xlfn.VSTACK(YES_Writing_ELA[#Data],YES_Writing_FLA[#Data]),MATCH($A379,_xlfn.VSTACK(YES_Writing_ELA[Student Number],YES_Writing_FLA[Student Number]),0),MATCH(VLOOKUP(E$7,'Writing Logic'!$J$7:$K$11,2,FALSE)&amp;" - Per "&amp;VLOOKUP($C$4,'Writing Logic'!$G$8:$H$14,2,FALSE),YES_Writing_ELA[#Headers],0))=0,"",INDEX(_xlfn.VSTACK(YES_Writing_ELA[#Data],YES_Writing_FLA[#Data]),MATCH($A379,_xlfn.VSTACK(YES_Writing_ELA[Student Number],YES_Writing_FLA[Student Number]),0),MATCH(VLOOKUP(E$7,'Writing Logic'!$J$7:$K$11,2,FALSE)&amp;" - Per "&amp;VLOOKUP($C$4,'Writing Logic'!$G$8:$H$14,2,FALSE),YES_Writing_ELA[#Headers],0)))="INS",'Writing Logic'!$B$7,IF(INDEX(_xlfn.VSTACK(YES_Writing_ELA[#Data],YES_Writing_FLA[#Data]),MATCH($A379,_xlfn.VSTACK(YES_Writing_ELA[Student Number],YES_Writing_FLA[Student Number]),0),MATCH(VLOOKUP(E$7,'Writing Logic'!$J$7:$K$11,2,FALSE)&amp;" - Per "&amp;VLOOKUP($C$4,'Writing Logic'!$G$8:$H$14,2,FALSE),YES_Writing_ELA[#Headers],0))=0,"",INDEX(_xlfn.VSTACK(YES_Writing_ELA[#Data],YES_Writing_FLA[#Data]),MATCH($A379,_xlfn.VSTACK(YES_Writing_ELA[Student Number],YES_Writing_FLA[Student Number]),0),MATCH(VLOOKUP(E$7,'Writing Logic'!$J$7:$K$11,2,FALSE)&amp;" - Per "&amp;VLOOKUP($C$4,'Writing Logic'!$G$8:$H$14,2,FALSE),YES_Writing_ELA[#Headers],0)))),"")</f>
        <v/>
      </c>
      <c r="F379" s="138" t="str">
        <f>IFERROR(IF(IF(INDEX(_xlfn.VSTACK(YES_Writing_ELA[#Data],YES_Writing_FLA[#Data]),MATCH($A379,_xlfn.VSTACK(YES_Writing_ELA[Student Number],YES_Writing_FLA[Student Number]),0),MATCH(VLOOKUP(F$7,'Writing Logic'!$J$7:$K$11,2,FALSE)&amp;" - Per "&amp;VLOOKUP($C$4,'Writing Logic'!$G$8:$H$14,2,FALSE),YES_Writing_ELA[#Headers],0))=0,"",INDEX(_xlfn.VSTACK(YES_Writing_ELA[#Data],YES_Writing_FLA[#Data]),MATCH($A379,_xlfn.VSTACK(YES_Writing_ELA[Student Number],YES_Writing_FLA[Student Number]),0),MATCH(VLOOKUP(F$7,'Writing Logic'!$J$7:$K$11,2,FALSE)&amp;" - Per "&amp;VLOOKUP($C$4,'Writing Logic'!$G$8:$H$14,2,FALSE),YES_Writing_ELA[#Headers],0)))="INS",'Writing Logic'!$B$7,IF(INDEX(_xlfn.VSTACK(YES_Writing_ELA[#Data],YES_Writing_FLA[#Data]),MATCH($A379,_xlfn.VSTACK(YES_Writing_ELA[Student Number],YES_Writing_FLA[Student Number]),0),MATCH(VLOOKUP(F$7,'Writing Logic'!$J$7:$K$11,2,FALSE)&amp;" - Per "&amp;VLOOKUP($C$4,'Writing Logic'!$G$8:$H$14,2,FALSE),YES_Writing_ELA[#Headers],0))=0,"",INDEX(_xlfn.VSTACK(YES_Writing_ELA[#Data],YES_Writing_FLA[#Data]),MATCH($A379,_xlfn.VSTACK(YES_Writing_ELA[Student Number],YES_Writing_FLA[Student Number]),0),MATCH(VLOOKUP(F$7,'Writing Logic'!$J$7:$K$11,2,FALSE)&amp;" - Per "&amp;VLOOKUP($C$4,'Writing Logic'!$G$8:$H$14,2,FALSE),YES_Writing_ELA[#Headers],0)))),"")</f>
        <v/>
      </c>
      <c r="G379" s="138" t="str">
        <f>IFERROR(IF(IF(INDEX(_xlfn.VSTACK(YES_Writing_ELA[#Data],YES_Writing_FLA[#Data]),MATCH($A379,_xlfn.VSTACK(YES_Writing_ELA[Student Number],YES_Writing_FLA[Student Number]),0),MATCH(VLOOKUP(G$7,'Writing Logic'!$J$7:$K$11,2,FALSE)&amp;" - Per "&amp;VLOOKUP($C$4,'Writing Logic'!$G$8:$H$14,2,FALSE),YES_Writing_ELA[#Headers],0))=0,"",INDEX(_xlfn.VSTACK(YES_Writing_ELA[#Data],YES_Writing_FLA[#Data]),MATCH($A379,_xlfn.VSTACK(YES_Writing_ELA[Student Number],YES_Writing_FLA[Student Number]),0),MATCH(VLOOKUP(G$7,'Writing Logic'!$J$7:$K$11,2,FALSE)&amp;" - Per "&amp;VLOOKUP($C$4,'Writing Logic'!$G$8:$H$14,2,FALSE),YES_Writing_ELA[#Headers],0)))="INS",'Writing Logic'!$B$7,IF(INDEX(_xlfn.VSTACK(YES_Writing_ELA[#Data],YES_Writing_FLA[#Data]),MATCH($A379,_xlfn.VSTACK(YES_Writing_ELA[Student Number],YES_Writing_FLA[Student Number]),0),MATCH(VLOOKUP(G$7,'Writing Logic'!$J$7:$K$11,2,FALSE)&amp;" - Per "&amp;VLOOKUP($C$4,'Writing Logic'!$G$8:$H$14,2,FALSE),YES_Writing_ELA[#Headers],0))=0,"",INDEX(_xlfn.VSTACK(YES_Writing_ELA[#Data],YES_Writing_FLA[#Data]),MATCH($A379,_xlfn.VSTACK(YES_Writing_ELA[Student Number],YES_Writing_FLA[Student Number]),0),MATCH(VLOOKUP(G$7,'Writing Logic'!$J$7:$K$11,2,FALSE)&amp;" - Per "&amp;VLOOKUP($C$4,'Writing Logic'!$G$8:$H$14,2,FALSE),YES_Writing_ELA[#Headers],0)))),"")</f>
        <v/>
      </c>
      <c r="H379" s="223" t="str">
        <f>IFERROR(IF(IF(INDEX(_xlfn.VSTACK(YES_Writing_ELA[#Data],YES_Writing_FLA[#Data]),MATCH($A379,_xlfn.VSTACK(YES_Writing_ELA[Student Number],YES_Writing_FLA[Student Number]),0),MATCH(VLOOKUP(H$7,'Writing Logic'!$J$7:$K$11,2,FALSE)&amp;" - Per "&amp;VLOOKUP($C$4,'Writing Logic'!$G$8:$H$14,2,FALSE),YES_Writing_ELA[#Headers],0))=0,"",INDEX(_xlfn.VSTACK(YES_Writing_ELA[#Data],YES_Writing_FLA[#Data]),MATCH($A379,_xlfn.VSTACK(YES_Writing_ELA[Student Number],YES_Writing_FLA[Student Number]),0),MATCH(VLOOKUP(H$7,'Writing Logic'!$J$7:$K$11,2,FALSE)&amp;" - Per "&amp;VLOOKUP($C$4,'Writing Logic'!$G$8:$H$14,2,FALSE),YES_Writing_ELA[#Headers],0)))="INS",'Writing Logic'!$B$7,IF(INDEX(_xlfn.VSTACK(YES_Writing_ELA[#Data],YES_Writing_FLA[#Data]),MATCH($A379,_xlfn.VSTACK(YES_Writing_ELA[Student Number],YES_Writing_FLA[Student Number]),0),MATCH(VLOOKUP(H$7,'Writing Logic'!$J$7:$K$11,2,FALSE)&amp;" - Per "&amp;VLOOKUP($C$4,'Writing Logic'!$G$8:$H$14,2,FALSE),YES_Writing_ELA[#Headers],0))=0,"",INDEX(_xlfn.VSTACK(YES_Writing_ELA[#Data],YES_Writing_FLA[#Data]),MATCH($A379,_xlfn.VSTACK(YES_Writing_ELA[Student Number],YES_Writing_FLA[Student Number]),0),MATCH(VLOOKUP(H$7,'Writing Logic'!$J$7:$K$11,2,FALSE)&amp;" - Per "&amp;VLOOKUP($C$4,'Writing Logic'!$G$8:$H$14,2,FALSE),YES_Writing_ELA[#Headers],0)))),"")</f>
        <v/>
      </c>
      <c r="I379" s="224" t="str" cm="1">
        <f t="array" aca="1" ref="I379" ca="1">IFERROR(
IF($G$3="ELA",
IF(VLOOKUP($A379, YES_Reading_ELA[], COLUMN(INDIRECT("YES_Reading_ELA[Difference - Per "&amp;VLOOKUP($G$4, 'Reading Report Logic'!$A$2:$B$8, 2, FALSE)&amp;"]")), FALSE)="", "",
VLOOKUP($A379,YES_Reading_ELA[], COLUMN(INDIRECT("YES_Reading_ELA[Difference - Per "&amp;VLOOKUP($G$4,'Reading Report Logic'!$A$2:$B$8,2,FALSE)&amp;"]")), FALSE)),
IF($G$3="FLA",
IF(VLOOKUP($A379, YES_Reading_FLA[], COLUMN(INDIRECT("YES_Reading_FLA[Difference - Per "&amp;VLOOKUP($G$4,'Reading Report Logic'!$A$2:$B$8,2,FALSE)&amp;"]")),FALSE)="","",
VLOOKUP($A379,YES_Reading_FLA[],COLUMN(INDIRECT("YES_Reading_FLA[Difference - Per "&amp;VLOOKUP($G$4,'Reading Report Logic'!$A$2:$B$8,2,FALSE)&amp;"]")),FALSE)),
IF($G$3="Combined",
IFERROR(
IF(VLOOKUP($A379, YES_Reading_ELA[], COLUMN(INDIRECT("YES_Reading_ELA[Difference - Per "&amp;VLOOKUP($G$4, 'Reading Report Logic'!$A$2:$B$8,2,FALSE)&amp;"]")), FALSE)="", "",
VLOOKUP($A379,YES_Reading_ELA[],COLUMN(INDIRECT("YES_Reading_ELA[Difference - Per "&amp;VLOOKUP($G$4,'Reading Report Logic'!$A$2:$B$8,2,FALSE)&amp;"]")),FALSE)),
IF(VLOOKUP($A379, YES_Reading_FLA[], COLUMN(INDIRECT("YES_Reading_FLA[Difference - Per "&amp;VLOOKUP($G$4, 'Reading Report Logic'!$A$2:$B$8, 2, FALSE)&amp;"]")),FALSE)="", "", VLOOKUP($A379,YES_Reading_FLA[],COLUMN(INDIRECT("YES_Reading_FLA[Difference - Per "&amp;VLOOKUP($G$4, 'Reading Report Logic'!$A$2:$B$8, 2, FALSE)&amp;"]")),FALSE))),""))),"")</f>
        <v/>
      </c>
    </row>
    <row r="380" spans="1:9" x14ac:dyDescent="0.25">
      <c r="A380" s="137"/>
      <c r="B380" s="137" t="str">
        <f>IFERROR(INDEX(_xlfn.VSTACK(YES_Writing_ELA[#Data], YES_Writing_FLA[#Data]),MATCH($A380,_xlfn.VSTACK(YES_Writing_ELA[Student Number], YES_Writing_FLA[Student Number]),0),MATCH(B$7,YES_Writing_ELA[#Headers],0)),IFERROR(INDEX(_xlfn.VSTACK(YES_Reading_ELA[#Data], YES_Reading_FLA[#Data]),MATCH($A380,_xlfn.VSTACK(YES_Reading_ELA[Student Number], YES_Reading_FLA[Student Number]),0),MATCH(B$7,YES_Reading_ELA[#Headers],0)),""))</f>
        <v/>
      </c>
      <c r="C380" s="137" t="str">
        <f>IFERROR(INDEX(_xlfn.VSTACK(YES_Writing_ELA[#Data], YES_Writing_FLA[#Data]),MATCH($A380,_xlfn.VSTACK(YES_Writing_ELA[Student Number], YES_Writing_FLA[Student Number]),0),MATCH(C$7,YES_Writing_ELA[#Headers],0)),IFERROR(INDEX(_xlfn.VSTACK(YES_Reading_ELA[#Data], YES_Reading_FLA[#Data]),MATCH($A380,_xlfn.VSTACK(YES_Reading_ELA[Student Number], YES_Reading_FLA[Student Number]),0),MATCH(C$7,YES_Reading_ELA[#Headers],0)),""))</f>
        <v/>
      </c>
      <c r="D380" s="138" t="str">
        <f>IFERROR(IF(IF(INDEX(_xlfn.VSTACK(YES_Writing_ELA[#Data],YES_Writing_FLA[#Data]),MATCH($A380,_xlfn.VSTACK(YES_Writing_ELA[Student Number],YES_Writing_FLA[Student Number]),0),MATCH(VLOOKUP(D$7,'Writing Logic'!$J$7:$K$11,2,FALSE)&amp;" - Per "&amp;VLOOKUP($C$4,'Writing Logic'!$G$8:$H$14,2,FALSE),YES_Writing_ELA[#Headers],0))=0,"",INDEX(_xlfn.VSTACK(YES_Writing_ELA[#Data],YES_Writing_FLA[#Data]),MATCH($A380,_xlfn.VSTACK(YES_Writing_ELA[Student Number],YES_Writing_FLA[Student Number]),0),MATCH(VLOOKUP(D$7,'Writing Logic'!$J$7:$K$11,2,FALSE)&amp;" - Per "&amp;VLOOKUP($C$4,'Writing Logic'!$G$8:$H$14,2,FALSE),YES_Writing_ELA[#Headers],0)))="INS",'Writing Logic'!$B$7,IF(INDEX(_xlfn.VSTACK(YES_Writing_ELA[#Data],YES_Writing_FLA[#Data]),MATCH($A380,_xlfn.VSTACK(YES_Writing_ELA[Student Number],YES_Writing_FLA[Student Number]),0),MATCH(VLOOKUP(D$7,'Writing Logic'!$J$7:$K$11,2,FALSE)&amp;" - Per "&amp;VLOOKUP($C$4,'Writing Logic'!$G$8:$H$14,2,FALSE),YES_Writing_ELA[#Headers],0))=0,"",INDEX(_xlfn.VSTACK(YES_Writing_ELA[#Data],YES_Writing_FLA[#Data]),MATCH($A380,_xlfn.VSTACK(YES_Writing_ELA[Student Number],YES_Writing_FLA[Student Number]),0),MATCH(VLOOKUP(D$7,'Writing Logic'!$J$7:$K$11,2,FALSE)&amp;" - Per "&amp;VLOOKUP($C$4,'Writing Logic'!$G$8:$H$14,2,FALSE),YES_Writing_ELA[#Headers],0)))),"")</f>
        <v/>
      </c>
      <c r="E380" s="138" t="str">
        <f>IFERROR(IF(IF(INDEX(_xlfn.VSTACK(YES_Writing_ELA[#Data],YES_Writing_FLA[#Data]),MATCH($A380,_xlfn.VSTACK(YES_Writing_ELA[Student Number],YES_Writing_FLA[Student Number]),0),MATCH(VLOOKUP(E$7,'Writing Logic'!$J$7:$K$11,2,FALSE)&amp;" - Per "&amp;VLOOKUP($C$4,'Writing Logic'!$G$8:$H$14,2,FALSE),YES_Writing_ELA[#Headers],0))=0,"",INDEX(_xlfn.VSTACK(YES_Writing_ELA[#Data],YES_Writing_FLA[#Data]),MATCH($A380,_xlfn.VSTACK(YES_Writing_ELA[Student Number],YES_Writing_FLA[Student Number]),0),MATCH(VLOOKUP(E$7,'Writing Logic'!$J$7:$K$11,2,FALSE)&amp;" - Per "&amp;VLOOKUP($C$4,'Writing Logic'!$G$8:$H$14,2,FALSE),YES_Writing_ELA[#Headers],0)))="INS",'Writing Logic'!$B$7,IF(INDEX(_xlfn.VSTACK(YES_Writing_ELA[#Data],YES_Writing_FLA[#Data]),MATCH($A380,_xlfn.VSTACK(YES_Writing_ELA[Student Number],YES_Writing_FLA[Student Number]),0),MATCH(VLOOKUP(E$7,'Writing Logic'!$J$7:$K$11,2,FALSE)&amp;" - Per "&amp;VLOOKUP($C$4,'Writing Logic'!$G$8:$H$14,2,FALSE),YES_Writing_ELA[#Headers],0))=0,"",INDEX(_xlfn.VSTACK(YES_Writing_ELA[#Data],YES_Writing_FLA[#Data]),MATCH($A380,_xlfn.VSTACK(YES_Writing_ELA[Student Number],YES_Writing_FLA[Student Number]),0),MATCH(VLOOKUP(E$7,'Writing Logic'!$J$7:$K$11,2,FALSE)&amp;" - Per "&amp;VLOOKUP($C$4,'Writing Logic'!$G$8:$H$14,2,FALSE),YES_Writing_ELA[#Headers],0)))),"")</f>
        <v/>
      </c>
      <c r="F380" s="138" t="str">
        <f>IFERROR(IF(IF(INDEX(_xlfn.VSTACK(YES_Writing_ELA[#Data],YES_Writing_FLA[#Data]),MATCH($A380,_xlfn.VSTACK(YES_Writing_ELA[Student Number],YES_Writing_FLA[Student Number]),0),MATCH(VLOOKUP(F$7,'Writing Logic'!$J$7:$K$11,2,FALSE)&amp;" - Per "&amp;VLOOKUP($C$4,'Writing Logic'!$G$8:$H$14,2,FALSE),YES_Writing_ELA[#Headers],0))=0,"",INDEX(_xlfn.VSTACK(YES_Writing_ELA[#Data],YES_Writing_FLA[#Data]),MATCH($A380,_xlfn.VSTACK(YES_Writing_ELA[Student Number],YES_Writing_FLA[Student Number]),0),MATCH(VLOOKUP(F$7,'Writing Logic'!$J$7:$K$11,2,FALSE)&amp;" - Per "&amp;VLOOKUP($C$4,'Writing Logic'!$G$8:$H$14,2,FALSE),YES_Writing_ELA[#Headers],0)))="INS",'Writing Logic'!$B$7,IF(INDEX(_xlfn.VSTACK(YES_Writing_ELA[#Data],YES_Writing_FLA[#Data]),MATCH($A380,_xlfn.VSTACK(YES_Writing_ELA[Student Number],YES_Writing_FLA[Student Number]),0),MATCH(VLOOKUP(F$7,'Writing Logic'!$J$7:$K$11,2,FALSE)&amp;" - Per "&amp;VLOOKUP($C$4,'Writing Logic'!$G$8:$H$14,2,FALSE),YES_Writing_ELA[#Headers],0))=0,"",INDEX(_xlfn.VSTACK(YES_Writing_ELA[#Data],YES_Writing_FLA[#Data]),MATCH($A380,_xlfn.VSTACK(YES_Writing_ELA[Student Number],YES_Writing_FLA[Student Number]),0),MATCH(VLOOKUP(F$7,'Writing Logic'!$J$7:$K$11,2,FALSE)&amp;" - Per "&amp;VLOOKUP($C$4,'Writing Logic'!$G$8:$H$14,2,FALSE),YES_Writing_ELA[#Headers],0)))),"")</f>
        <v/>
      </c>
      <c r="G380" s="138" t="str">
        <f>IFERROR(IF(IF(INDEX(_xlfn.VSTACK(YES_Writing_ELA[#Data],YES_Writing_FLA[#Data]),MATCH($A380,_xlfn.VSTACK(YES_Writing_ELA[Student Number],YES_Writing_FLA[Student Number]),0),MATCH(VLOOKUP(G$7,'Writing Logic'!$J$7:$K$11,2,FALSE)&amp;" - Per "&amp;VLOOKUP($C$4,'Writing Logic'!$G$8:$H$14,2,FALSE),YES_Writing_ELA[#Headers],0))=0,"",INDEX(_xlfn.VSTACK(YES_Writing_ELA[#Data],YES_Writing_FLA[#Data]),MATCH($A380,_xlfn.VSTACK(YES_Writing_ELA[Student Number],YES_Writing_FLA[Student Number]),0),MATCH(VLOOKUP(G$7,'Writing Logic'!$J$7:$K$11,2,FALSE)&amp;" - Per "&amp;VLOOKUP($C$4,'Writing Logic'!$G$8:$H$14,2,FALSE),YES_Writing_ELA[#Headers],0)))="INS",'Writing Logic'!$B$7,IF(INDEX(_xlfn.VSTACK(YES_Writing_ELA[#Data],YES_Writing_FLA[#Data]),MATCH($A380,_xlfn.VSTACK(YES_Writing_ELA[Student Number],YES_Writing_FLA[Student Number]),0),MATCH(VLOOKUP(G$7,'Writing Logic'!$J$7:$K$11,2,FALSE)&amp;" - Per "&amp;VLOOKUP($C$4,'Writing Logic'!$G$8:$H$14,2,FALSE),YES_Writing_ELA[#Headers],0))=0,"",INDEX(_xlfn.VSTACK(YES_Writing_ELA[#Data],YES_Writing_FLA[#Data]),MATCH($A380,_xlfn.VSTACK(YES_Writing_ELA[Student Number],YES_Writing_FLA[Student Number]),0),MATCH(VLOOKUP(G$7,'Writing Logic'!$J$7:$K$11,2,FALSE)&amp;" - Per "&amp;VLOOKUP($C$4,'Writing Logic'!$G$8:$H$14,2,FALSE),YES_Writing_ELA[#Headers],0)))),"")</f>
        <v/>
      </c>
      <c r="H380" s="223" t="str">
        <f>IFERROR(IF(IF(INDEX(_xlfn.VSTACK(YES_Writing_ELA[#Data],YES_Writing_FLA[#Data]),MATCH($A380,_xlfn.VSTACK(YES_Writing_ELA[Student Number],YES_Writing_FLA[Student Number]),0),MATCH(VLOOKUP(H$7,'Writing Logic'!$J$7:$K$11,2,FALSE)&amp;" - Per "&amp;VLOOKUP($C$4,'Writing Logic'!$G$8:$H$14,2,FALSE),YES_Writing_ELA[#Headers],0))=0,"",INDEX(_xlfn.VSTACK(YES_Writing_ELA[#Data],YES_Writing_FLA[#Data]),MATCH($A380,_xlfn.VSTACK(YES_Writing_ELA[Student Number],YES_Writing_FLA[Student Number]),0),MATCH(VLOOKUP(H$7,'Writing Logic'!$J$7:$K$11,2,FALSE)&amp;" - Per "&amp;VLOOKUP($C$4,'Writing Logic'!$G$8:$H$14,2,FALSE),YES_Writing_ELA[#Headers],0)))="INS",'Writing Logic'!$B$7,IF(INDEX(_xlfn.VSTACK(YES_Writing_ELA[#Data],YES_Writing_FLA[#Data]),MATCH($A380,_xlfn.VSTACK(YES_Writing_ELA[Student Number],YES_Writing_FLA[Student Number]),0),MATCH(VLOOKUP(H$7,'Writing Logic'!$J$7:$K$11,2,FALSE)&amp;" - Per "&amp;VLOOKUP($C$4,'Writing Logic'!$G$8:$H$14,2,FALSE),YES_Writing_ELA[#Headers],0))=0,"",INDEX(_xlfn.VSTACK(YES_Writing_ELA[#Data],YES_Writing_FLA[#Data]),MATCH($A380,_xlfn.VSTACK(YES_Writing_ELA[Student Number],YES_Writing_FLA[Student Number]),0),MATCH(VLOOKUP(H$7,'Writing Logic'!$J$7:$K$11,2,FALSE)&amp;" - Per "&amp;VLOOKUP($C$4,'Writing Logic'!$G$8:$H$14,2,FALSE),YES_Writing_ELA[#Headers],0)))),"")</f>
        <v/>
      </c>
      <c r="I380" s="224" t="str" cm="1">
        <f t="array" aca="1" ref="I380" ca="1">IFERROR(
IF($G$3="ELA",
IF(VLOOKUP($A380, YES_Reading_ELA[], COLUMN(INDIRECT("YES_Reading_ELA[Difference - Per "&amp;VLOOKUP($G$4, 'Reading Report Logic'!$A$2:$B$8, 2, FALSE)&amp;"]")), FALSE)="", "",
VLOOKUP($A380,YES_Reading_ELA[], COLUMN(INDIRECT("YES_Reading_ELA[Difference - Per "&amp;VLOOKUP($G$4,'Reading Report Logic'!$A$2:$B$8,2,FALSE)&amp;"]")), FALSE)),
IF($G$3="FLA",
IF(VLOOKUP($A380, YES_Reading_FLA[], COLUMN(INDIRECT("YES_Reading_FLA[Difference - Per "&amp;VLOOKUP($G$4,'Reading Report Logic'!$A$2:$B$8,2,FALSE)&amp;"]")),FALSE)="","",
VLOOKUP($A380,YES_Reading_FLA[],COLUMN(INDIRECT("YES_Reading_FLA[Difference - Per "&amp;VLOOKUP($G$4,'Reading Report Logic'!$A$2:$B$8,2,FALSE)&amp;"]")),FALSE)),
IF($G$3="Combined",
IFERROR(
IF(VLOOKUP($A380, YES_Reading_ELA[], COLUMN(INDIRECT("YES_Reading_ELA[Difference - Per "&amp;VLOOKUP($G$4, 'Reading Report Logic'!$A$2:$B$8,2,FALSE)&amp;"]")), FALSE)="", "",
VLOOKUP($A380,YES_Reading_ELA[],COLUMN(INDIRECT("YES_Reading_ELA[Difference - Per "&amp;VLOOKUP($G$4,'Reading Report Logic'!$A$2:$B$8,2,FALSE)&amp;"]")),FALSE)),
IF(VLOOKUP($A380, YES_Reading_FLA[], COLUMN(INDIRECT("YES_Reading_FLA[Difference - Per "&amp;VLOOKUP($G$4, 'Reading Report Logic'!$A$2:$B$8, 2, FALSE)&amp;"]")),FALSE)="", "", VLOOKUP($A380,YES_Reading_FLA[],COLUMN(INDIRECT("YES_Reading_FLA[Difference - Per "&amp;VLOOKUP($G$4, 'Reading Report Logic'!$A$2:$B$8, 2, FALSE)&amp;"]")),FALSE))),""))),"")</f>
        <v/>
      </c>
    </row>
    <row r="381" spans="1:9" x14ac:dyDescent="0.25">
      <c r="A381" s="137"/>
      <c r="B381" s="137" t="str">
        <f>IFERROR(INDEX(_xlfn.VSTACK(YES_Writing_ELA[#Data], YES_Writing_FLA[#Data]),MATCH($A381,_xlfn.VSTACK(YES_Writing_ELA[Student Number], YES_Writing_FLA[Student Number]),0),MATCH(B$7,YES_Writing_ELA[#Headers],0)),IFERROR(INDEX(_xlfn.VSTACK(YES_Reading_ELA[#Data], YES_Reading_FLA[#Data]),MATCH($A381,_xlfn.VSTACK(YES_Reading_ELA[Student Number], YES_Reading_FLA[Student Number]),0),MATCH(B$7,YES_Reading_ELA[#Headers],0)),""))</f>
        <v/>
      </c>
      <c r="C381" s="137" t="str">
        <f>IFERROR(INDEX(_xlfn.VSTACK(YES_Writing_ELA[#Data], YES_Writing_FLA[#Data]),MATCH($A381,_xlfn.VSTACK(YES_Writing_ELA[Student Number], YES_Writing_FLA[Student Number]),0),MATCH(C$7,YES_Writing_ELA[#Headers],0)),IFERROR(INDEX(_xlfn.VSTACK(YES_Reading_ELA[#Data], YES_Reading_FLA[#Data]),MATCH($A381,_xlfn.VSTACK(YES_Reading_ELA[Student Number], YES_Reading_FLA[Student Number]),0),MATCH(C$7,YES_Reading_ELA[#Headers],0)),""))</f>
        <v/>
      </c>
      <c r="D381" s="138" t="str">
        <f>IFERROR(IF(IF(INDEX(_xlfn.VSTACK(YES_Writing_ELA[#Data],YES_Writing_FLA[#Data]),MATCH($A381,_xlfn.VSTACK(YES_Writing_ELA[Student Number],YES_Writing_FLA[Student Number]),0),MATCH(VLOOKUP(D$7,'Writing Logic'!$J$7:$K$11,2,FALSE)&amp;" - Per "&amp;VLOOKUP($C$4,'Writing Logic'!$G$8:$H$14,2,FALSE),YES_Writing_ELA[#Headers],0))=0,"",INDEX(_xlfn.VSTACK(YES_Writing_ELA[#Data],YES_Writing_FLA[#Data]),MATCH($A381,_xlfn.VSTACK(YES_Writing_ELA[Student Number],YES_Writing_FLA[Student Number]),0),MATCH(VLOOKUP(D$7,'Writing Logic'!$J$7:$K$11,2,FALSE)&amp;" - Per "&amp;VLOOKUP($C$4,'Writing Logic'!$G$8:$H$14,2,FALSE),YES_Writing_ELA[#Headers],0)))="INS",'Writing Logic'!$B$7,IF(INDEX(_xlfn.VSTACK(YES_Writing_ELA[#Data],YES_Writing_FLA[#Data]),MATCH($A381,_xlfn.VSTACK(YES_Writing_ELA[Student Number],YES_Writing_FLA[Student Number]),0),MATCH(VLOOKUP(D$7,'Writing Logic'!$J$7:$K$11,2,FALSE)&amp;" - Per "&amp;VLOOKUP($C$4,'Writing Logic'!$G$8:$H$14,2,FALSE),YES_Writing_ELA[#Headers],0))=0,"",INDEX(_xlfn.VSTACK(YES_Writing_ELA[#Data],YES_Writing_FLA[#Data]),MATCH($A381,_xlfn.VSTACK(YES_Writing_ELA[Student Number],YES_Writing_FLA[Student Number]),0),MATCH(VLOOKUP(D$7,'Writing Logic'!$J$7:$K$11,2,FALSE)&amp;" - Per "&amp;VLOOKUP($C$4,'Writing Logic'!$G$8:$H$14,2,FALSE),YES_Writing_ELA[#Headers],0)))),"")</f>
        <v/>
      </c>
      <c r="E381" s="138" t="str">
        <f>IFERROR(IF(IF(INDEX(_xlfn.VSTACK(YES_Writing_ELA[#Data],YES_Writing_FLA[#Data]),MATCH($A381,_xlfn.VSTACK(YES_Writing_ELA[Student Number],YES_Writing_FLA[Student Number]),0),MATCH(VLOOKUP(E$7,'Writing Logic'!$J$7:$K$11,2,FALSE)&amp;" - Per "&amp;VLOOKUP($C$4,'Writing Logic'!$G$8:$H$14,2,FALSE),YES_Writing_ELA[#Headers],0))=0,"",INDEX(_xlfn.VSTACK(YES_Writing_ELA[#Data],YES_Writing_FLA[#Data]),MATCH($A381,_xlfn.VSTACK(YES_Writing_ELA[Student Number],YES_Writing_FLA[Student Number]),0),MATCH(VLOOKUP(E$7,'Writing Logic'!$J$7:$K$11,2,FALSE)&amp;" - Per "&amp;VLOOKUP($C$4,'Writing Logic'!$G$8:$H$14,2,FALSE),YES_Writing_ELA[#Headers],0)))="INS",'Writing Logic'!$B$7,IF(INDEX(_xlfn.VSTACK(YES_Writing_ELA[#Data],YES_Writing_FLA[#Data]),MATCH($A381,_xlfn.VSTACK(YES_Writing_ELA[Student Number],YES_Writing_FLA[Student Number]),0),MATCH(VLOOKUP(E$7,'Writing Logic'!$J$7:$K$11,2,FALSE)&amp;" - Per "&amp;VLOOKUP($C$4,'Writing Logic'!$G$8:$H$14,2,FALSE),YES_Writing_ELA[#Headers],0))=0,"",INDEX(_xlfn.VSTACK(YES_Writing_ELA[#Data],YES_Writing_FLA[#Data]),MATCH($A381,_xlfn.VSTACK(YES_Writing_ELA[Student Number],YES_Writing_FLA[Student Number]),0),MATCH(VLOOKUP(E$7,'Writing Logic'!$J$7:$K$11,2,FALSE)&amp;" - Per "&amp;VLOOKUP($C$4,'Writing Logic'!$G$8:$H$14,2,FALSE),YES_Writing_ELA[#Headers],0)))),"")</f>
        <v/>
      </c>
      <c r="F381" s="138" t="str">
        <f>IFERROR(IF(IF(INDEX(_xlfn.VSTACK(YES_Writing_ELA[#Data],YES_Writing_FLA[#Data]),MATCH($A381,_xlfn.VSTACK(YES_Writing_ELA[Student Number],YES_Writing_FLA[Student Number]),0),MATCH(VLOOKUP(F$7,'Writing Logic'!$J$7:$K$11,2,FALSE)&amp;" - Per "&amp;VLOOKUP($C$4,'Writing Logic'!$G$8:$H$14,2,FALSE),YES_Writing_ELA[#Headers],0))=0,"",INDEX(_xlfn.VSTACK(YES_Writing_ELA[#Data],YES_Writing_FLA[#Data]),MATCH($A381,_xlfn.VSTACK(YES_Writing_ELA[Student Number],YES_Writing_FLA[Student Number]),0),MATCH(VLOOKUP(F$7,'Writing Logic'!$J$7:$K$11,2,FALSE)&amp;" - Per "&amp;VLOOKUP($C$4,'Writing Logic'!$G$8:$H$14,2,FALSE),YES_Writing_ELA[#Headers],0)))="INS",'Writing Logic'!$B$7,IF(INDEX(_xlfn.VSTACK(YES_Writing_ELA[#Data],YES_Writing_FLA[#Data]),MATCH($A381,_xlfn.VSTACK(YES_Writing_ELA[Student Number],YES_Writing_FLA[Student Number]),0),MATCH(VLOOKUP(F$7,'Writing Logic'!$J$7:$K$11,2,FALSE)&amp;" - Per "&amp;VLOOKUP($C$4,'Writing Logic'!$G$8:$H$14,2,FALSE),YES_Writing_ELA[#Headers],0))=0,"",INDEX(_xlfn.VSTACK(YES_Writing_ELA[#Data],YES_Writing_FLA[#Data]),MATCH($A381,_xlfn.VSTACK(YES_Writing_ELA[Student Number],YES_Writing_FLA[Student Number]),0),MATCH(VLOOKUP(F$7,'Writing Logic'!$J$7:$K$11,2,FALSE)&amp;" - Per "&amp;VLOOKUP($C$4,'Writing Logic'!$G$8:$H$14,2,FALSE),YES_Writing_ELA[#Headers],0)))),"")</f>
        <v/>
      </c>
      <c r="G381" s="138" t="str">
        <f>IFERROR(IF(IF(INDEX(_xlfn.VSTACK(YES_Writing_ELA[#Data],YES_Writing_FLA[#Data]),MATCH($A381,_xlfn.VSTACK(YES_Writing_ELA[Student Number],YES_Writing_FLA[Student Number]),0),MATCH(VLOOKUP(G$7,'Writing Logic'!$J$7:$K$11,2,FALSE)&amp;" - Per "&amp;VLOOKUP($C$4,'Writing Logic'!$G$8:$H$14,2,FALSE),YES_Writing_ELA[#Headers],0))=0,"",INDEX(_xlfn.VSTACK(YES_Writing_ELA[#Data],YES_Writing_FLA[#Data]),MATCH($A381,_xlfn.VSTACK(YES_Writing_ELA[Student Number],YES_Writing_FLA[Student Number]),0),MATCH(VLOOKUP(G$7,'Writing Logic'!$J$7:$K$11,2,FALSE)&amp;" - Per "&amp;VLOOKUP($C$4,'Writing Logic'!$G$8:$H$14,2,FALSE),YES_Writing_ELA[#Headers],0)))="INS",'Writing Logic'!$B$7,IF(INDEX(_xlfn.VSTACK(YES_Writing_ELA[#Data],YES_Writing_FLA[#Data]),MATCH($A381,_xlfn.VSTACK(YES_Writing_ELA[Student Number],YES_Writing_FLA[Student Number]),0),MATCH(VLOOKUP(G$7,'Writing Logic'!$J$7:$K$11,2,FALSE)&amp;" - Per "&amp;VLOOKUP($C$4,'Writing Logic'!$G$8:$H$14,2,FALSE),YES_Writing_ELA[#Headers],0))=0,"",INDEX(_xlfn.VSTACK(YES_Writing_ELA[#Data],YES_Writing_FLA[#Data]),MATCH($A381,_xlfn.VSTACK(YES_Writing_ELA[Student Number],YES_Writing_FLA[Student Number]),0),MATCH(VLOOKUP(G$7,'Writing Logic'!$J$7:$K$11,2,FALSE)&amp;" - Per "&amp;VLOOKUP($C$4,'Writing Logic'!$G$8:$H$14,2,FALSE),YES_Writing_ELA[#Headers],0)))),"")</f>
        <v/>
      </c>
      <c r="H381" s="223" t="str">
        <f>IFERROR(IF(IF(INDEX(_xlfn.VSTACK(YES_Writing_ELA[#Data],YES_Writing_FLA[#Data]),MATCH($A381,_xlfn.VSTACK(YES_Writing_ELA[Student Number],YES_Writing_FLA[Student Number]),0),MATCH(VLOOKUP(H$7,'Writing Logic'!$J$7:$K$11,2,FALSE)&amp;" - Per "&amp;VLOOKUP($C$4,'Writing Logic'!$G$8:$H$14,2,FALSE),YES_Writing_ELA[#Headers],0))=0,"",INDEX(_xlfn.VSTACK(YES_Writing_ELA[#Data],YES_Writing_FLA[#Data]),MATCH($A381,_xlfn.VSTACK(YES_Writing_ELA[Student Number],YES_Writing_FLA[Student Number]),0),MATCH(VLOOKUP(H$7,'Writing Logic'!$J$7:$K$11,2,FALSE)&amp;" - Per "&amp;VLOOKUP($C$4,'Writing Logic'!$G$8:$H$14,2,FALSE),YES_Writing_ELA[#Headers],0)))="INS",'Writing Logic'!$B$7,IF(INDEX(_xlfn.VSTACK(YES_Writing_ELA[#Data],YES_Writing_FLA[#Data]),MATCH($A381,_xlfn.VSTACK(YES_Writing_ELA[Student Number],YES_Writing_FLA[Student Number]),0),MATCH(VLOOKUP(H$7,'Writing Logic'!$J$7:$K$11,2,FALSE)&amp;" - Per "&amp;VLOOKUP($C$4,'Writing Logic'!$G$8:$H$14,2,FALSE),YES_Writing_ELA[#Headers],0))=0,"",INDEX(_xlfn.VSTACK(YES_Writing_ELA[#Data],YES_Writing_FLA[#Data]),MATCH($A381,_xlfn.VSTACK(YES_Writing_ELA[Student Number],YES_Writing_FLA[Student Number]),0),MATCH(VLOOKUP(H$7,'Writing Logic'!$J$7:$K$11,2,FALSE)&amp;" - Per "&amp;VLOOKUP($C$4,'Writing Logic'!$G$8:$H$14,2,FALSE),YES_Writing_ELA[#Headers],0)))),"")</f>
        <v/>
      </c>
      <c r="I381" s="224" t="str" cm="1">
        <f t="array" aca="1" ref="I381" ca="1">IFERROR(
IF($G$3="ELA",
IF(VLOOKUP($A381, YES_Reading_ELA[], COLUMN(INDIRECT("YES_Reading_ELA[Difference - Per "&amp;VLOOKUP($G$4, 'Reading Report Logic'!$A$2:$B$8, 2, FALSE)&amp;"]")), FALSE)="", "",
VLOOKUP($A381,YES_Reading_ELA[], COLUMN(INDIRECT("YES_Reading_ELA[Difference - Per "&amp;VLOOKUP($G$4,'Reading Report Logic'!$A$2:$B$8,2,FALSE)&amp;"]")), FALSE)),
IF($G$3="FLA",
IF(VLOOKUP($A381, YES_Reading_FLA[], COLUMN(INDIRECT("YES_Reading_FLA[Difference - Per "&amp;VLOOKUP($G$4,'Reading Report Logic'!$A$2:$B$8,2,FALSE)&amp;"]")),FALSE)="","",
VLOOKUP($A381,YES_Reading_FLA[],COLUMN(INDIRECT("YES_Reading_FLA[Difference - Per "&amp;VLOOKUP($G$4,'Reading Report Logic'!$A$2:$B$8,2,FALSE)&amp;"]")),FALSE)),
IF($G$3="Combined",
IFERROR(
IF(VLOOKUP($A381, YES_Reading_ELA[], COLUMN(INDIRECT("YES_Reading_ELA[Difference - Per "&amp;VLOOKUP($G$4, 'Reading Report Logic'!$A$2:$B$8,2,FALSE)&amp;"]")), FALSE)="", "",
VLOOKUP($A381,YES_Reading_ELA[],COLUMN(INDIRECT("YES_Reading_ELA[Difference - Per "&amp;VLOOKUP($G$4,'Reading Report Logic'!$A$2:$B$8,2,FALSE)&amp;"]")),FALSE)),
IF(VLOOKUP($A381, YES_Reading_FLA[], COLUMN(INDIRECT("YES_Reading_FLA[Difference - Per "&amp;VLOOKUP($G$4, 'Reading Report Logic'!$A$2:$B$8, 2, FALSE)&amp;"]")),FALSE)="", "", VLOOKUP($A381,YES_Reading_FLA[],COLUMN(INDIRECT("YES_Reading_FLA[Difference - Per "&amp;VLOOKUP($G$4, 'Reading Report Logic'!$A$2:$B$8, 2, FALSE)&amp;"]")),FALSE))),""))),"")</f>
        <v/>
      </c>
    </row>
    <row r="382" spans="1:9" x14ac:dyDescent="0.25">
      <c r="A382" s="137"/>
      <c r="B382" s="137" t="str">
        <f>IFERROR(INDEX(_xlfn.VSTACK(YES_Writing_ELA[#Data], YES_Writing_FLA[#Data]),MATCH($A382,_xlfn.VSTACK(YES_Writing_ELA[Student Number], YES_Writing_FLA[Student Number]),0),MATCH(B$7,YES_Writing_ELA[#Headers],0)),IFERROR(INDEX(_xlfn.VSTACK(YES_Reading_ELA[#Data], YES_Reading_FLA[#Data]),MATCH($A382,_xlfn.VSTACK(YES_Reading_ELA[Student Number], YES_Reading_FLA[Student Number]),0),MATCH(B$7,YES_Reading_ELA[#Headers],0)),""))</f>
        <v/>
      </c>
      <c r="C382" s="137" t="str">
        <f>IFERROR(INDEX(_xlfn.VSTACK(YES_Writing_ELA[#Data], YES_Writing_FLA[#Data]),MATCH($A382,_xlfn.VSTACK(YES_Writing_ELA[Student Number], YES_Writing_FLA[Student Number]),0),MATCH(C$7,YES_Writing_ELA[#Headers],0)),IFERROR(INDEX(_xlfn.VSTACK(YES_Reading_ELA[#Data], YES_Reading_FLA[#Data]),MATCH($A382,_xlfn.VSTACK(YES_Reading_ELA[Student Number], YES_Reading_FLA[Student Number]),0),MATCH(C$7,YES_Reading_ELA[#Headers],0)),""))</f>
        <v/>
      </c>
      <c r="D382" s="138" t="str">
        <f>IFERROR(IF(IF(INDEX(_xlfn.VSTACK(YES_Writing_ELA[#Data],YES_Writing_FLA[#Data]),MATCH($A382,_xlfn.VSTACK(YES_Writing_ELA[Student Number],YES_Writing_FLA[Student Number]),0),MATCH(VLOOKUP(D$7,'Writing Logic'!$J$7:$K$11,2,FALSE)&amp;" - Per "&amp;VLOOKUP($C$4,'Writing Logic'!$G$8:$H$14,2,FALSE),YES_Writing_ELA[#Headers],0))=0,"",INDEX(_xlfn.VSTACK(YES_Writing_ELA[#Data],YES_Writing_FLA[#Data]),MATCH($A382,_xlfn.VSTACK(YES_Writing_ELA[Student Number],YES_Writing_FLA[Student Number]),0),MATCH(VLOOKUP(D$7,'Writing Logic'!$J$7:$K$11,2,FALSE)&amp;" - Per "&amp;VLOOKUP($C$4,'Writing Logic'!$G$8:$H$14,2,FALSE),YES_Writing_ELA[#Headers],0)))="INS",'Writing Logic'!$B$7,IF(INDEX(_xlfn.VSTACK(YES_Writing_ELA[#Data],YES_Writing_FLA[#Data]),MATCH($A382,_xlfn.VSTACK(YES_Writing_ELA[Student Number],YES_Writing_FLA[Student Number]),0),MATCH(VLOOKUP(D$7,'Writing Logic'!$J$7:$K$11,2,FALSE)&amp;" - Per "&amp;VLOOKUP($C$4,'Writing Logic'!$G$8:$H$14,2,FALSE),YES_Writing_ELA[#Headers],0))=0,"",INDEX(_xlfn.VSTACK(YES_Writing_ELA[#Data],YES_Writing_FLA[#Data]),MATCH($A382,_xlfn.VSTACK(YES_Writing_ELA[Student Number],YES_Writing_FLA[Student Number]),0),MATCH(VLOOKUP(D$7,'Writing Logic'!$J$7:$K$11,2,FALSE)&amp;" - Per "&amp;VLOOKUP($C$4,'Writing Logic'!$G$8:$H$14,2,FALSE),YES_Writing_ELA[#Headers],0)))),"")</f>
        <v/>
      </c>
      <c r="E382" s="138" t="str">
        <f>IFERROR(IF(IF(INDEX(_xlfn.VSTACK(YES_Writing_ELA[#Data],YES_Writing_FLA[#Data]),MATCH($A382,_xlfn.VSTACK(YES_Writing_ELA[Student Number],YES_Writing_FLA[Student Number]),0),MATCH(VLOOKUP(E$7,'Writing Logic'!$J$7:$K$11,2,FALSE)&amp;" - Per "&amp;VLOOKUP($C$4,'Writing Logic'!$G$8:$H$14,2,FALSE),YES_Writing_ELA[#Headers],0))=0,"",INDEX(_xlfn.VSTACK(YES_Writing_ELA[#Data],YES_Writing_FLA[#Data]),MATCH($A382,_xlfn.VSTACK(YES_Writing_ELA[Student Number],YES_Writing_FLA[Student Number]),0),MATCH(VLOOKUP(E$7,'Writing Logic'!$J$7:$K$11,2,FALSE)&amp;" - Per "&amp;VLOOKUP($C$4,'Writing Logic'!$G$8:$H$14,2,FALSE),YES_Writing_ELA[#Headers],0)))="INS",'Writing Logic'!$B$7,IF(INDEX(_xlfn.VSTACK(YES_Writing_ELA[#Data],YES_Writing_FLA[#Data]),MATCH($A382,_xlfn.VSTACK(YES_Writing_ELA[Student Number],YES_Writing_FLA[Student Number]),0),MATCH(VLOOKUP(E$7,'Writing Logic'!$J$7:$K$11,2,FALSE)&amp;" - Per "&amp;VLOOKUP($C$4,'Writing Logic'!$G$8:$H$14,2,FALSE),YES_Writing_ELA[#Headers],0))=0,"",INDEX(_xlfn.VSTACK(YES_Writing_ELA[#Data],YES_Writing_FLA[#Data]),MATCH($A382,_xlfn.VSTACK(YES_Writing_ELA[Student Number],YES_Writing_FLA[Student Number]),0),MATCH(VLOOKUP(E$7,'Writing Logic'!$J$7:$K$11,2,FALSE)&amp;" - Per "&amp;VLOOKUP($C$4,'Writing Logic'!$G$8:$H$14,2,FALSE),YES_Writing_ELA[#Headers],0)))),"")</f>
        <v/>
      </c>
      <c r="F382" s="138" t="str">
        <f>IFERROR(IF(IF(INDEX(_xlfn.VSTACK(YES_Writing_ELA[#Data],YES_Writing_FLA[#Data]),MATCH($A382,_xlfn.VSTACK(YES_Writing_ELA[Student Number],YES_Writing_FLA[Student Number]),0),MATCH(VLOOKUP(F$7,'Writing Logic'!$J$7:$K$11,2,FALSE)&amp;" - Per "&amp;VLOOKUP($C$4,'Writing Logic'!$G$8:$H$14,2,FALSE),YES_Writing_ELA[#Headers],0))=0,"",INDEX(_xlfn.VSTACK(YES_Writing_ELA[#Data],YES_Writing_FLA[#Data]),MATCH($A382,_xlfn.VSTACK(YES_Writing_ELA[Student Number],YES_Writing_FLA[Student Number]),0),MATCH(VLOOKUP(F$7,'Writing Logic'!$J$7:$K$11,2,FALSE)&amp;" - Per "&amp;VLOOKUP($C$4,'Writing Logic'!$G$8:$H$14,2,FALSE),YES_Writing_ELA[#Headers],0)))="INS",'Writing Logic'!$B$7,IF(INDEX(_xlfn.VSTACK(YES_Writing_ELA[#Data],YES_Writing_FLA[#Data]),MATCH($A382,_xlfn.VSTACK(YES_Writing_ELA[Student Number],YES_Writing_FLA[Student Number]),0),MATCH(VLOOKUP(F$7,'Writing Logic'!$J$7:$K$11,2,FALSE)&amp;" - Per "&amp;VLOOKUP($C$4,'Writing Logic'!$G$8:$H$14,2,FALSE),YES_Writing_ELA[#Headers],0))=0,"",INDEX(_xlfn.VSTACK(YES_Writing_ELA[#Data],YES_Writing_FLA[#Data]),MATCH($A382,_xlfn.VSTACK(YES_Writing_ELA[Student Number],YES_Writing_FLA[Student Number]),0),MATCH(VLOOKUP(F$7,'Writing Logic'!$J$7:$K$11,2,FALSE)&amp;" - Per "&amp;VLOOKUP($C$4,'Writing Logic'!$G$8:$H$14,2,FALSE),YES_Writing_ELA[#Headers],0)))),"")</f>
        <v/>
      </c>
      <c r="G382" s="138" t="str">
        <f>IFERROR(IF(IF(INDEX(_xlfn.VSTACK(YES_Writing_ELA[#Data],YES_Writing_FLA[#Data]),MATCH($A382,_xlfn.VSTACK(YES_Writing_ELA[Student Number],YES_Writing_FLA[Student Number]),0),MATCH(VLOOKUP(G$7,'Writing Logic'!$J$7:$K$11,2,FALSE)&amp;" - Per "&amp;VLOOKUP($C$4,'Writing Logic'!$G$8:$H$14,2,FALSE),YES_Writing_ELA[#Headers],0))=0,"",INDEX(_xlfn.VSTACK(YES_Writing_ELA[#Data],YES_Writing_FLA[#Data]),MATCH($A382,_xlfn.VSTACK(YES_Writing_ELA[Student Number],YES_Writing_FLA[Student Number]),0),MATCH(VLOOKUP(G$7,'Writing Logic'!$J$7:$K$11,2,FALSE)&amp;" - Per "&amp;VLOOKUP($C$4,'Writing Logic'!$G$8:$H$14,2,FALSE),YES_Writing_ELA[#Headers],0)))="INS",'Writing Logic'!$B$7,IF(INDEX(_xlfn.VSTACK(YES_Writing_ELA[#Data],YES_Writing_FLA[#Data]),MATCH($A382,_xlfn.VSTACK(YES_Writing_ELA[Student Number],YES_Writing_FLA[Student Number]),0),MATCH(VLOOKUP(G$7,'Writing Logic'!$J$7:$K$11,2,FALSE)&amp;" - Per "&amp;VLOOKUP($C$4,'Writing Logic'!$G$8:$H$14,2,FALSE),YES_Writing_ELA[#Headers],0))=0,"",INDEX(_xlfn.VSTACK(YES_Writing_ELA[#Data],YES_Writing_FLA[#Data]),MATCH($A382,_xlfn.VSTACK(YES_Writing_ELA[Student Number],YES_Writing_FLA[Student Number]),0),MATCH(VLOOKUP(G$7,'Writing Logic'!$J$7:$K$11,2,FALSE)&amp;" - Per "&amp;VLOOKUP($C$4,'Writing Logic'!$G$8:$H$14,2,FALSE),YES_Writing_ELA[#Headers],0)))),"")</f>
        <v/>
      </c>
      <c r="H382" s="223" t="str">
        <f>IFERROR(IF(IF(INDEX(_xlfn.VSTACK(YES_Writing_ELA[#Data],YES_Writing_FLA[#Data]),MATCH($A382,_xlfn.VSTACK(YES_Writing_ELA[Student Number],YES_Writing_FLA[Student Number]),0),MATCH(VLOOKUP(H$7,'Writing Logic'!$J$7:$K$11,2,FALSE)&amp;" - Per "&amp;VLOOKUP($C$4,'Writing Logic'!$G$8:$H$14,2,FALSE),YES_Writing_ELA[#Headers],0))=0,"",INDEX(_xlfn.VSTACK(YES_Writing_ELA[#Data],YES_Writing_FLA[#Data]),MATCH($A382,_xlfn.VSTACK(YES_Writing_ELA[Student Number],YES_Writing_FLA[Student Number]),0),MATCH(VLOOKUP(H$7,'Writing Logic'!$J$7:$K$11,2,FALSE)&amp;" - Per "&amp;VLOOKUP($C$4,'Writing Logic'!$G$8:$H$14,2,FALSE),YES_Writing_ELA[#Headers],0)))="INS",'Writing Logic'!$B$7,IF(INDEX(_xlfn.VSTACK(YES_Writing_ELA[#Data],YES_Writing_FLA[#Data]),MATCH($A382,_xlfn.VSTACK(YES_Writing_ELA[Student Number],YES_Writing_FLA[Student Number]),0),MATCH(VLOOKUP(H$7,'Writing Logic'!$J$7:$K$11,2,FALSE)&amp;" - Per "&amp;VLOOKUP($C$4,'Writing Logic'!$G$8:$H$14,2,FALSE),YES_Writing_ELA[#Headers],0))=0,"",INDEX(_xlfn.VSTACK(YES_Writing_ELA[#Data],YES_Writing_FLA[#Data]),MATCH($A382,_xlfn.VSTACK(YES_Writing_ELA[Student Number],YES_Writing_FLA[Student Number]),0),MATCH(VLOOKUP(H$7,'Writing Logic'!$J$7:$K$11,2,FALSE)&amp;" - Per "&amp;VLOOKUP($C$4,'Writing Logic'!$G$8:$H$14,2,FALSE),YES_Writing_ELA[#Headers],0)))),"")</f>
        <v/>
      </c>
      <c r="I382" s="224" t="str" cm="1">
        <f t="array" aca="1" ref="I382" ca="1">IFERROR(
IF($G$3="ELA",
IF(VLOOKUP($A382, YES_Reading_ELA[], COLUMN(INDIRECT("YES_Reading_ELA[Difference - Per "&amp;VLOOKUP($G$4, 'Reading Report Logic'!$A$2:$B$8, 2, FALSE)&amp;"]")), FALSE)="", "",
VLOOKUP($A382,YES_Reading_ELA[], COLUMN(INDIRECT("YES_Reading_ELA[Difference - Per "&amp;VLOOKUP($G$4,'Reading Report Logic'!$A$2:$B$8,2,FALSE)&amp;"]")), FALSE)),
IF($G$3="FLA",
IF(VLOOKUP($A382, YES_Reading_FLA[], COLUMN(INDIRECT("YES_Reading_FLA[Difference - Per "&amp;VLOOKUP($G$4,'Reading Report Logic'!$A$2:$B$8,2,FALSE)&amp;"]")),FALSE)="","",
VLOOKUP($A382,YES_Reading_FLA[],COLUMN(INDIRECT("YES_Reading_FLA[Difference - Per "&amp;VLOOKUP($G$4,'Reading Report Logic'!$A$2:$B$8,2,FALSE)&amp;"]")),FALSE)),
IF($G$3="Combined",
IFERROR(
IF(VLOOKUP($A382, YES_Reading_ELA[], COLUMN(INDIRECT("YES_Reading_ELA[Difference - Per "&amp;VLOOKUP($G$4, 'Reading Report Logic'!$A$2:$B$8,2,FALSE)&amp;"]")), FALSE)="", "",
VLOOKUP($A382,YES_Reading_ELA[],COLUMN(INDIRECT("YES_Reading_ELA[Difference - Per "&amp;VLOOKUP($G$4,'Reading Report Logic'!$A$2:$B$8,2,FALSE)&amp;"]")),FALSE)),
IF(VLOOKUP($A382, YES_Reading_FLA[], COLUMN(INDIRECT("YES_Reading_FLA[Difference - Per "&amp;VLOOKUP($G$4, 'Reading Report Logic'!$A$2:$B$8, 2, FALSE)&amp;"]")),FALSE)="", "", VLOOKUP($A382,YES_Reading_FLA[],COLUMN(INDIRECT("YES_Reading_FLA[Difference - Per "&amp;VLOOKUP($G$4, 'Reading Report Logic'!$A$2:$B$8, 2, FALSE)&amp;"]")),FALSE))),""))),"")</f>
        <v/>
      </c>
    </row>
    <row r="383" spans="1:9" x14ac:dyDescent="0.25">
      <c r="A383" s="137"/>
      <c r="B383" s="137" t="str">
        <f>IFERROR(INDEX(_xlfn.VSTACK(YES_Writing_ELA[#Data], YES_Writing_FLA[#Data]),MATCH($A383,_xlfn.VSTACK(YES_Writing_ELA[Student Number], YES_Writing_FLA[Student Number]),0),MATCH(B$7,YES_Writing_ELA[#Headers],0)),IFERROR(INDEX(_xlfn.VSTACK(YES_Reading_ELA[#Data], YES_Reading_FLA[#Data]),MATCH($A383,_xlfn.VSTACK(YES_Reading_ELA[Student Number], YES_Reading_FLA[Student Number]),0),MATCH(B$7,YES_Reading_ELA[#Headers],0)),""))</f>
        <v/>
      </c>
      <c r="C383" s="137" t="str">
        <f>IFERROR(INDEX(_xlfn.VSTACK(YES_Writing_ELA[#Data], YES_Writing_FLA[#Data]),MATCH($A383,_xlfn.VSTACK(YES_Writing_ELA[Student Number], YES_Writing_FLA[Student Number]),0),MATCH(C$7,YES_Writing_ELA[#Headers],0)),IFERROR(INDEX(_xlfn.VSTACK(YES_Reading_ELA[#Data], YES_Reading_FLA[#Data]),MATCH($A383,_xlfn.VSTACK(YES_Reading_ELA[Student Number], YES_Reading_FLA[Student Number]),0),MATCH(C$7,YES_Reading_ELA[#Headers],0)),""))</f>
        <v/>
      </c>
      <c r="D383" s="138" t="str">
        <f>IFERROR(IF(IF(INDEX(_xlfn.VSTACK(YES_Writing_ELA[#Data],YES_Writing_FLA[#Data]),MATCH($A383,_xlfn.VSTACK(YES_Writing_ELA[Student Number],YES_Writing_FLA[Student Number]),0),MATCH(VLOOKUP(D$7,'Writing Logic'!$J$7:$K$11,2,FALSE)&amp;" - Per "&amp;VLOOKUP($C$4,'Writing Logic'!$G$8:$H$14,2,FALSE),YES_Writing_ELA[#Headers],0))=0,"",INDEX(_xlfn.VSTACK(YES_Writing_ELA[#Data],YES_Writing_FLA[#Data]),MATCH($A383,_xlfn.VSTACK(YES_Writing_ELA[Student Number],YES_Writing_FLA[Student Number]),0),MATCH(VLOOKUP(D$7,'Writing Logic'!$J$7:$K$11,2,FALSE)&amp;" - Per "&amp;VLOOKUP($C$4,'Writing Logic'!$G$8:$H$14,2,FALSE),YES_Writing_ELA[#Headers],0)))="INS",'Writing Logic'!$B$7,IF(INDEX(_xlfn.VSTACK(YES_Writing_ELA[#Data],YES_Writing_FLA[#Data]),MATCH($A383,_xlfn.VSTACK(YES_Writing_ELA[Student Number],YES_Writing_FLA[Student Number]),0),MATCH(VLOOKUP(D$7,'Writing Logic'!$J$7:$K$11,2,FALSE)&amp;" - Per "&amp;VLOOKUP($C$4,'Writing Logic'!$G$8:$H$14,2,FALSE),YES_Writing_ELA[#Headers],0))=0,"",INDEX(_xlfn.VSTACK(YES_Writing_ELA[#Data],YES_Writing_FLA[#Data]),MATCH($A383,_xlfn.VSTACK(YES_Writing_ELA[Student Number],YES_Writing_FLA[Student Number]),0),MATCH(VLOOKUP(D$7,'Writing Logic'!$J$7:$K$11,2,FALSE)&amp;" - Per "&amp;VLOOKUP($C$4,'Writing Logic'!$G$8:$H$14,2,FALSE),YES_Writing_ELA[#Headers],0)))),"")</f>
        <v/>
      </c>
      <c r="E383" s="138" t="str">
        <f>IFERROR(IF(IF(INDEX(_xlfn.VSTACK(YES_Writing_ELA[#Data],YES_Writing_FLA[#Data]),MATCH($A383,_xlfn.VSTACK(YES_Writing_ELA[Student Number],YES_Writing_FLA[Student Number]),0),MATCH(VLOOKUP(E$7,'Writing Logic'!$J$7:$K$11,2,FALSE)&amp;" - Per "&amp;VLOOKUP($C$4,'Writing Logic'!$G$8:$H$14,2,FALSE),YES_Writing_ELA[#Headers],0))=0,"",INDEX(_xlfn.VSTACK(YES_Writing_ELA[#Data],YES_Writing_FLA[#Data]),MATCH($A383,_xlfn.VSTACK(YES_Writing_ELA[Student Number],YES_Writing_FLA[Student Number]),0),MATCH(VLOOKUP(E$7,'Writing Logic'!$J$7:$K$11,2,FALSE)&amp;" - Per "&amp;VLOOKUP($C$4,'Writing Logic'!$G$8:$H$14,2,FALSE),YES_Writing_ELA[#Headers],0)))="INS",'Writing Logic'!$B$7,IF(INDEX(_xlfn.VSTACK(YES_Writing_ELA[#Data],YES_Writing_FLA[#Data]),MATCH($A383,_xlfn.VSTACK(YES_Writing_ELA[Student Number],YES_Writing_FLA[Student Number]),0),MATCH(VLOOKUP(E$7,'Writing Logic'!$J$7:$K$11,2,FALSE)&amp;" - Per "&amp;VLOOKUP($C$4,'Writing Logic'!$G$8:$H$14,2,FALSE),YES_Writing_ELA[#Headers],0))=0,"",INDEX(_xlfn.VSTACK(YES_Writing_ELA[#Data],YES_Writing_FLA[#Data]),MATCH($A383,_xlfn.VSTACK(YES_Writing_ELA[Student Number],YES_Writing_FLA[Student Number]),0),MATCH(VLOOKUP(E$7,'Writing Logic'!$J$7:$K$11,2,FALSE)&amp;" - Per "&amp;VLOOKUP($C$4,'Writing Logic'!$G$8:$H$14,2,FALSE),YES_Writing_ELA[#Headers],0)))),"")</f>
        <v/>
      </c>
      <c r="F383" s="138" t="str">
        <f>IFERROR(IF(IF(INDEX(_xlfn.VSTACK(YES_Writing_ELA[#Data],YES_Writing_FLA[#Data]),MATCH($A383,_xlfn.VSTACK(YES_Writing_ELA[Student Number],YES_Writing_FLA[Student Number]),0),MATCH(VLOOKUP(F$7,'Writing Logic'!$J$7:$K$11,2,FALSE)&amp;" - Per "&amp;VLOOKUP($C$4,'Writing Logic'!$G$8:$H$14,2,FALSE),YES_Writing_ELA[#Headers],0))=0,"",INDEX(_xlfn.VSTACK(YES_Writing_ELA[#Data],YES_Writing_FLA[#Data]),MATCH($A383,_xlfn.VSTACK(YES_Writing_ELA[Student Number],YES_Writing_FLA[Student Number]),0),MATCH(VLOOKUP(F$7,'Writing Logic'!$J$7:$K$11,2,FALSE)&amp;" - Per "&amp;VLOOKUP($C$4,'Writing Logic'!$G$8:$H$14,2,FALSE),YES_Writing_ELA[#Headers],0)))="INS",'Writing Logic'!$B$7,IF(INDEX(_xlfn.VSTACK(YES_Writing_ELA[#Data],YES_Writing_FLA[#Data]),MATCH($A383,_xlfn.VSTACK(YES_Writing_ELA[Student Number],YES_Writing_FLA[Student Number]),0),MATCH(VLOOKUP(F$7,'Writing Logic'!$J$7:$K$11,2,FALSE)&amp;" - Per "&amp;VLOOKUP($C$4,'Writing Logic'!$G$8:$H$14,2,FALSE),YES_Writing_ELA[#Headers],0))=0,"",INDEX(_xlfn.VSTACK(YES_Writing_ELA[#Data],YES_Writing_FLA[#Data]),MATCH($A383,_xlfn.VSTACK(YES_Writing_ELA[Student Number],YES_Writing_FLA[Student Number]),0),MATCH(VLOOKUP(F$7,'Writing Logic'!$J$7:$K$11,2,FALSE)&amp;" - Per "&amp;VLOOKUP($C$4,'Writing Logic'!$G$8:$H$14,2,FALSE),YES_Writing_ELA[#Headers],0)))),"")</f>
        <v/>
      </c>
      <c r="G383" s="138" t="str">
        <f>IFERROR(IF(IF(INDEX(_xlfn.VSTACK(YES_Writing_ELA[#Data],YES_Writing_FLA[#Data]),MATCH($A383,_xlfn.VSTACK(YES_Writing_ELA[Student Number],YES_Writing_FLA[Student Number]),0),MATCH(VLOOKUP(G$7,'Writing Logic'!$J$7:$K$11,2,FALSE)&amp;" - Per "&amp;VLOOKUP($C$4,'Writing Logic'!$G$8:$H$14,2,FALSE),YES_Writing_ELA[#Headers],0))=0,"",INDEX(_xlfn.VSTACK(YES_Writing_ELA[#Data],YES_Writing_FLA[#Data]),MATCH($A383,_xlfn.VSTACK(YES_Writing_ELA[Student Number],YES_Writing_FLA[Student Number]),0),MATCH(VLOOKUP(G$7,'Writing Logic'!$J$7:$K$11,2,FALSE)&amp;" - Per "&amp;VLOOKUP($C$4,'Writing Logic'!$G$8:$H$14,2,FALSE),YES_Writing_ELA[#Headers],0)))="INS",'Writing Logic'!$B$7,IF(INDEX(_xlfn.VSTACK(YES_Writing_ELA[#Data],YES_Writing_FLA[#Data]),MATCH($A383,_xlfn.VSTACK(YES_Writing_ELA[Student Number],YES_Writing_FLA[Student Number]),0),MATCH(VLOOKUP(G$7,'Writing Logic'!$J$7:$K$11,2,FALSE)&amp;" - Per "&amp;VLOOKUP($C$4,'Writing Logic'!$G$8:$H$14,2,FALSE),YES_Writing_ELA[#Headers],0))=0,"",INDEX(_xlfn.VSTACK(YES_Writing_ELA[#Data],YES_Writing_FLA[#Data]),MATCH($A383,_xlfn.VSTACK(YES_Writing_ELA[Student Number],YES_Writing_FLA[Student Number]),0),MATCH(VLOOKUP(G$7,'Writing Logic'!$J$7:$K$11,2,FALSE)&amp;" - Per "&amp;VLOOKUP($C$4,'Writing Logic'!$G$8:$H$14,2,FALSE),YES_Writing_ELA[#Headers],0)))),"")</f>
        <v/>
      </c>
      <c r="H383" s="223" t="str">
        <f>IFERROR(IF(IF(INDEX(_xlfn.VSTACK(YES_Writing_ELA[#Data],YES_Writing_FLA[#Data]),MATCH($A383,_xlfn.VSTACK(YES_Writing_ELA[Student Number],YES_Writing_FLA[Student Number]),0),MATCH(VLOOKUP(H$7,'Writing Logic'!$J$7:$K$11,2,FALSE)&amp;" - Per "&amp;VLOOKUP($C$4,'Writing Logic'!$G$8:$H$14,2,FALSE),YES_Writing_ELA[#Headers],0))=0,"",INDEX(_xlfn.VSTACK(YES_Writing_ELA[#Data],YES_Writing_FLA[#Data]),MATCH($A383,_xlfn.VSTACK(YES_Writing_ELA[Student Number],YES_Writing_FLA[Student Number]),0),MATCH(VLOOKUP(H$7,'Writing Logic'!$J$7:$K$11,2,FALSE)&amp;" - Per "&amp;VLOOKUP($C$4,'Writing Logic'!$G$8:$H$14,2,FALSE),YES_Writing_ELA[#Headers],0)))="INS",'Writing Logic'!$B$7,IF(INDEX(_xlfn.VSTACK(YES_Writing_ELA[#Data],YES_Writing_FLA[#Data]),MATCH($A383,_xlfn.VSTACK(YES_Writing_ELA[Student Number],YES_Writing_FLA[Student Number]),0),MATCH(VLOOKUP(H$7,'Writing Logic'!$J$7:$K$11,2,FALSE)&amp;" - Per "&amp;VLOOKUP($C$4,'Writing Logic'!$G$8:$H$14,2,FALSE),YES_Writing_ELA[#Headers],0))=0,"",INDEX(_xlfn.VSTACK(YES_Writing_ELA[#Data],YES_Writing_FLA[#Data]),MATCH($A383,_xlfn.VSTACK(YES_Writing_ELA[Student Number],YES_Writing_FLA[Student Number]),0),MATCH(VLOOKUP(H$7,'Writing Logic'!$J$7:$K$11,2,FALSE)&amp;" - Per "&amp;VLOOKUP($C$4,'Writing Logic'!$G$8:$H$14,2,FALSE),YES_Writing_ELA[#Headers],0)))),"")</f>
        <v/>
      </c>
      <c r="I383" s="224" t="str" cm="1">
        <f t="array" aca="1" ref="I383" ca="1">IFERROR(
IF($G$3="ELA",
IF(VLOOKUP($A383, YES_Reading_ELA[], COLUMN(INDIRECT("YES_Reading_ELA[Difference - Per "&amp;VLOOKUP($G$4, 'Reading Report Logic'!$A$2:$B$8, 2, FALSE)&amp;"]")), FALSE)="", "",
VLOOKUP($A383,YES_Reading_ELA[], COLUMN(INDIRECT("YES_Reading_ELA[Difference - Per "&amp;VLOOKUP($G$4,'Reading Report Logic'!$A$2:$B$8,2,FALSE)&amp;"]")), FALSE)),
IF($G$3="FLA",
IF(VLOOKUP($A383, YES_Reading_FLA[], COLUMN(INDIRECT("YES_Reading_FLA[Difference - Per "&amp;VLOOKUP($G$4,'Reading Report Logic'!$A$2:$B$8,2,FALSE)&amp;"]")),FALSE)="","",
VLOOKUP($A383,YES_Reading_FLA[],COLUMN(INDIRECT("YES_Reading_FLA[Difference - Per "&amp;VLOOKUP($G$4,'Reading Report Logic'!$A$2:$B$8,2,FALSE)&amp;"]")),FALSE)),
IF($G$3="Combined",
IFERROR(
IF(VLOOKUP($A383, YES_Reading_ELA[], COLUMN(INDIRECT("YES_Reading_ELA[Difference - Per "&amp;VLOOKUP($G$4, 'Reading Report Logic'!$A$2:$B$8,2,FALSE)&amp;"]")), FALSE)="", "",
VLOOKUP($A383,YES_Reading_ELA[],COLUMN(INDIRECT("YES_Reading_ELA[Difference - Per "&amp;VLOOKUP($G$4,'Reading Report Logic'!$A$2:$B$8,2,FALSE)&amp;"]")),FALSE)),
IF(VLOOKUP($A383, YES_Reading_FLA[], COLUMN(INDIRECT("YES_Reading_FLA[Difference - Per "&amp;VLOOKUP($G$4, 'Reading Report Logic'!$A$2:$B$8, 2, FALSE)&amp;"]")),FALSE)="", "", VLOOKUP($A383,YES_Reading_FLA[],COLUMN(INDIRECT("YES_Reading_FLA[Difference - Per "&amp;VLOOKUP($G$4, 'Reading Report Logic'!$A$2:$B$8, 2, FALSE)&amp;"]")),FALSE))),""))),"")</f>
        <v/>
      </c>
    </row>
    <row r="384" spans="1:9" x14ac:dyDescent="0.25">
      <c r="A384" s="137"/>
      <c r="B384" s="137" t="str">
        <f>IFERROR(INDEX(_xlfn.VSTACK(YES_Writing_ELA[#Data], YES_Writing_FLA[#Data]),MATCH($A384,_xlfn.VSTACK(YES_Writing_ELA[Student Number], YES_Writing_FLA[Student Number]),0),MATCH(B$7,YES_Writing_ELA[#Headers],0)),IFERROR(INDEX(_xlfn.VSTACK(YES_Reading_ELA[#Data], YES_Reading_FLA[#Data]),MATCH($A384,_xlfn.VSTACK(YES_Reading_ELA[Student Number], YES_Reading_FLA[Student Number]),0),MATCH(B$7,YES_Reading_ELA[#Headers],0)),""))</f>
        <v/>
      </c>
      <c r="C384" s="137" t="str">
        <f>IFERROR(INDEX(_xlfn.VSTACK(YES_Writing_ELA[#Data], YES_Writing_FLA[#Data]),MATCH($A384,_xlfn.VSTACK(YES_Writing_ELA[Student Number], YES_Writing_FLA[Student Number]),0),MATCH(C$7,YES_Writing_ELA[#Headers],0)),IFERROR(INDEX(_xlfn.VSTACK(YES_Reading_ELA[#Data], YES_Reading_FLA[#Data]),MATCH($A384,_xlfn.VSTACK(YES_Reading_ELA[Student Number], YES_Reading_FLA[Student Number]),0),MATCH(C$7,YES_Reading_ELA[#Headers],0)),""))</f>
        <v/>
      </c>
      <c r="D384" s="138" t="str">
        <f>IFERROR(IF(IF(INDEX(_xlfn.VSTACK(YES_Writing_ELA[#Data],YES_Writing_FLA[#Data]),MATCH($A384,_xlfn.VSTACK(YES_Writing_ELA[Student Number],YES_Writing_FLA[Student Number]),0),MATCH(VLOOKUP(D$7,'Writing Logic'!$J$7:$K$11,2,FALSE)&amp;" - Per "&amp;VLOOKUP($C$4,'Writing Logic'!$G$8:$H$14,2,FALSE),YES_Writing_ELA[#Headers],0))=0,"",INDEX(_xlfn.VSTACK(YES_Writing_ELA[#Data],YES_Writing_FLA[#Data]),MATCH($A384,_xlfn.VSTACK(YES_Writing_ELA[Student Number],YES_Writing_FLA[Student Number]),0),MATCH(VLOOKUP(D$7,'Writing Logic'!$J$7:$K$11,2,FALSE)&amp;" - Per "&amp;VLOOKUP($C$4,'Writing Logic'!$G$8:$H$14,2,FALSE),YES_Writing_ELA[#Headers],0)))="INS",'Writing Logic'!$B$7,IF(INDEX(_xlfn.VSTACK(YES_Writing_ELA[#Data],YES_Writing_FLA[#Data]),MATCH($A384,_xlfn.VSTACK(YES_Writing_ELA[Student Number],YES_Writing_FLA[Student Number]),0),MATCH(VLOOKUP(D$7,'Writing Logic'!$J$7:$K$11,2,FALSE)&amp;" - Per "&amp;VLOOKUP($C$4,'Writing Logic'!$G$8:$H$14,2,FALSE),YES_Writing_ELA[#Headers],0))=0,"",INDEX(_xlfn.VSTACK(YES_Writing_ELA[#Data],YES_Writing_FLA[#Data]),MATCH($A384,_xlfn.VSTACK(YES_Writing_ELA[Student Number],YES_Writing_FLA[Student Number]),0),MATCH(VLOOKUP(D$7,'Writing Logic'!$J$7:$K$11,2,FALSE)&amp;" - Per "&amp;VLOOKUP($C$4,'Writing Logic'!$G$8:$H$14,2,FALSE),YES_Writing_ELA[#Headers],0)))),"")</f>
        <v/>
      </c>
      <c r="E384" s="138" t="str">
        <f>IFERROR(IF(IF(INDEX(_xlfn.VSTACK(YES_Writing_ELA[#Data],YES_Writing_FLA[#Data]),MATCH($A384,_xlfn.VSTACK(YES_Writing_ELA[Student Number],YES_Writing_FLA[Student Number]),0),MATCH(VLOOKUP(E$7,'Writing Logic'!$J$7:$K$11,2,FALSE)&amp;" - Per "&amp;VLOOKUP($C$4,'Writing Logic'!$G$8:$H$14,2,FALSE),YES_Writing_ELA[#Headers],0))=0,"",INDEX(_xlfn.VSTACK(YES_Writing_ELA[#Data],YES_Writing_FLA[#Data]),MATCH($A384,_xlfn.VSTACK(YES_Writing_ELA[Student Number],YES_Writing_FLA[Student Number]),0),MATCH(VLOOKUP(E$7,'Writing Logic'!$J$7:$K$11,2,FALSE)&amp;" - Per "&amp;VLOOKUP($C$4,'Writing Logic'!$G$8:$H$14,2,FALSE),YES_Writing_ELA[#Headers],0)))="INS",'Writing Logic'!$B$7,IF(INDEX(_xlfn.VSTACK(YES_Writing_ELA[#Data],YES_Writing_FLA[#Data]),MATCH($A384,_xlfn.VSTACK(YES_Writing_ELA[Student Number],YES_Writing_FLA[Student Number]),0),MATCH(VLOOKUP(E$7,'Writing Logic'!$J$7:$K$11,2,FALSE)&amp;" - Per "&amp;VLOOKUP($C$4,'Writing Logic'!$G$8:$H$14,2,FALSE),YES_Writing_ELA[#Headers],0))=0,"",INDEX(_xlfn.VSTACK(YES_Writing_ELA[#Data],YES_Writing_FLA[#Data]),MATCH($A384,_xlfn.VSTACK(YES_Writing_ELA[Student Number],YES_Writing_FLA[Student Number]),0),MATCH(VLOOKUP(E$7,'Writing Logic'!$J$7:$K$11,2,FALSE)&amp;" - Per "&amp;VLOOKUP($C$4,'Writing Logic'!$G$8:$H$14,2,FALSE),YES_Writing_ELA[#Headers],0)))),"")</f>
        <v/>
      </c>
      <c r="F384" s="138" t="str">
        <f>IFERROR(IF(IF(INDEX(_xlfn.VSTACK(YES_Writing_ELA[#Data],YES_Writing_FLA[#Data]),MATCH($A384,_xlfn.VSTACK(YES_Writing_ELA[Student Number],YES_Writing_FLA[Student Number]),0),MATCH(VLOOKUP(F$7,'Writing Logic'!$J$7:$K$11,2,FALSE)&amp;" - Per "&amp;VLOOKUP($C$4,'Writing Logic'!$G$8:$H$14,2,FALSE),YES_Writing_ELA[#Headers],0))=0,"",INDEX(_xlfn.VSTACK(YES_Writing_ELA[#Data],YES_Writing_FLA[#Data]),MATCH($A384,_xlfn.VSTACK(YES_Writing_ELA[Student Number],YES_Writing_FLA[Student Number]),0),MATCH(VLOOKUP(F$7,'Writing Logic'!$J$7:$K$11,2,FALSE)&amp;" - Per "&amp;VLOOKUP($C$4,'Writing Logic'!$G$8:$H$14,2,FALSE),YES_Writing_ELA[#Headers],0)))="INS",'Writing Logic'!$B$7,IF(INDEX(_xlfn.VSTACK(YES_Writing_ELA[#Data],YES_Writing_FLA[#Data]),MATCH($A384,_xlfn.VSTACK(YES_Writing_ELA[Student Number],YES_Writing_FLA[Student Number]),0),MATCH(VLOOKUP(F$7,'Writing Logic'!$J$7:$K$11,2,FALSE)&amp;" - Per "&amp;VLOOKUP($C$4,'Writing Logic'!$G$8:$H$14,2,FALSE),YES_Writing_ELA[#Headers],0))=0,"",INDEX(_xlfn.VSTACK(YES_Writing_ELA[#Data],YES_Writing_FLA[#Data]),MATCH($A384,_xlfn.VSTACK(YES_Writing_ELA[Student Number],YES_Writing_FLA[Student Number]),0),MATCH(VLOOKUP(F$7,'Writing Logic'!$J$7:$K$11,2,FALSE)&amp;" - Per "&amp;VLOOKUP($C$4,'Writing Logic'!$G$8:$H$14,2,FALSE),YES_Writing_ELA[#Headers],0)))),"")</f>
        <v/>
      </c>
      <c r="G384" s="138" t="str">
        <f>IFERROR(IF(IF(INDEX(_xlfn.VSTACK(YES_Writing_ELA[#Data],YES_Writing_FLA[#Data]),MATCH($A384,_xlfn.VSTACK(YES_Writing_ELA[Student Number],YES_Writing_FLA[Student Number]),0),MATCH(VLOOKUP(G$7,'Writing Logic'!$J$7:$K$11,2,FALSE)&amp;" - Per "&amp;VLOOKUP($C$4,'Writing Logic'!$G$8:$H$14,2,FALSE),YES_Writing_ELA[#Headers],0))=0,"",INDEX(_xlfn.VSTACK(YES_Writing_ELA[#Data],YES_Writing_FLA[#Data]),MATCH($A384,_xlfn.VSTACK(YES_Writing_ELA[Student Number],YES_Writing_FLA[Student Number]),0),MATCH(VLOOKUP(G$7,'Writing Logic'!$J$7:$K$11,2,FALSE)&amp;" - Per "&amp;VLOOKUP($C$4,'Writing Logic'!$G$8:$H$14,2,FALSE),YES_Writing_ELA[#Headers],0)))="INS",'Writing Logic'!$B$7,IF(INDEX(_xlfn.VSTACK(YES_Writing_ELA[#Data],YES_Writing_FLA[#Data]),MATCH($A384,_xlfn.VSTACK(YES_Writing_ELA[Student Number],YES_Writing_FLA[Student Number]),0),MATCH(VLOOKUP(G$7,'Writing Logic'!$J$7:$K$11,2,FALSE)&amp;" - Per "&amp;VLOOKUP($C$4,'Writing Logic'!$G$8:$H$14,2,FALSE),YES_Writing_ELA[#Headers],0))=0,"",INDEX(_xlfn.VSTACK(YES_Writing_ELA[#Data],YES_Writing_FLA[#Data]),MATCH($A384,_xlfn.VSTACK(YES_Writing_ELA[Student Number],YES_Writing_FLA[Student Number]),0),MATCH(VLOOKUP(G$7,'Writing Logic'!$J$7:$K$11,2,FALSE)&amp;" - Per "&amp;VLOOKUP($C$4,'Writing Logic'!$G$8:$H$14,2,FALSE),YES_Writing_ELA[#Headers],0)))),"")</f>
        <v/>
      </c>
      <c r="H384" s="223" t="str">
        <f>IFERROR(IF(IF(INDEX(_xlfn.VSTACK(YES_Writing_ELA[#Data],YES_Writing_FLA[#Data]),MATCH($A384,_xlfn.VSTACK(YES_Writing_ELA[Student Number],YES_Writing_FLA[Student Number]),0),MATCH(VLOOKUP(H$7,'Writing Logic'!$J$7:$K$11,2,FALSE)&amp;" - Per "&amp;VLOOKUP($C$4,'Writing Logic'!$G$8:$H$14,2,FALSE),YES_Writing_ELA[#Headers],0))=0,"",INDEX(_xlfn.VSTACK(YES_Writing_ELA[#Data],YES_Writing_FLA[#Data]),MATCH($A384,_xlfn.VSTACK(YES_Writing_ELA[Student Number],YES_Writing_FLA[Student Number]),0),MATCH(VLOOKUP(H$7,'Writing Logic'!$J$7:$K$11,2,FALSE)&amp;" - Per "&amp;VLOOKUP($C$4,'Writing Logic'!$G$8:$H$14,2,FALSE),YES_Writing_ELA[#Headers],0)))="INS",'Writing Logic'!$B$7,IF(INDEX(_xlfn.VSTACK(YES_Writing_ELA[#Data],YES_Writing_FLA[#Data]),MATCH($A384,_xlfn.VSTACK(YES_Writing_ELA[Student Number],YES_Writing_FLA[Student Number]),0),MATCH(VLOOKUP(H$7,'Writing Logic'!$J$7:$K$11,2,FALSE)&amp;" - Per "&amp;VLOOKUP($C$4,'Writing Logic'!$G$8:$H$14,2,FALSE),YES_Writing_ELA[#Headers],0))=0,"",INDEX(_xlfn.VSTACK(YES_Writing_ELA[#Data],YES_Writing_FLA[#Data]),MATCH($A384,_xlfn.VSTACK(YES_Writing_ELA[Student Number],YES_Writing_FLA[Student Number]),0),MATCH(VLOOKUP(H$7,'Writing Logic'!$J$7:$K$11,2,FALSE)&amp;" - Per "&amp;VLOOKUP($C$4,'Writing Logic'!$G$8:$H$14,2,FALSE),YES_Writing_ELA[#Headers],0)))),"")</f>
        <v/>
      </c>
      <c r="I384" s="224" t="str" cm="1">
        <f t="array" aca="1" ref="I384" ca="1">IFERROR(
IF($G$3="ELA",
IF(VLOOKUP($A384, YES_Reading_ELA[], COLUMN(INDIRECT("YES_Reading_ELA[Difference - Per "&amp;VLOOKUP($G$4, 'Reading Report Logic'!$A$2:$B$8, 2, FALSE)&amp;"]")), FALSE)="", "",
VLOOKUP($A384,YES_Reading_ELA[], COLUMN(INDIRECT("YES_Reading_ELA[Difference - Per "&amp;VLOOKUP($G$4,'Reading Report Logic'!$A$2:$B$8,2,FALSE)&amp;"]")), FALSE)),
IF($G$3="FLA",
IF(VLOOKUP($A384, YES_Reading_FLA[], COLUMN(INDIRECT("YES_Reading_FLA[Difference - Per "&amp;VLOOKUP($G$4,'Reading Report Logic'!$A$2:$B$8,2,FALSE)&amp;"]")),FALSE)="","",
VLOOKUP($A384,YES_Reading_FLA[],COLUMN(INDIRECT("YES_Reading_FLA[Difference - Per "&amp;VLOOKUP($G$4,'Reading Report Logic'!$A$2:$B$8,2,FALSE)&amp;"]")),FALSE)),
IF($G$3="Combined",
IFERROR(
IF(VLOOKUP($A384, YES_Reading_ELA[], COLUMN(INDIRECT("YES_Reading_ELA[Difference - Per "&amp;VLOOKUP($G$4, 'Reading Report Logic'!$A$2:$B$8,2,FALSE)&amp;"]")), FALSE)="", "",
VLOOKUP($A384,YES_Reading_ELA[],COLUMN(INDIRECT("YES_Reading_ELA[Difference - Per "&amp;VLOOKUP($G$4,'Reading Report Logic'!$A$2:$B$8,2,FALSE)&amp;"]")),FALSE)),
IF(VLOOKUP($A384, YES_Reading_FLA[], COLUMN(INDIRECT("YES_Reading_FLA[Difference - Per "&amp;VLOOKUP($G$4, 'Reading Report Logic'!$A$2:$B$8, 2, FALSE)&amp;"]")),FALSE)="", "", VLOOKUP($A384,YES_Reading_FLA[],COLUMN(INDIRECT("YES_Reading_FLA[Difference - Per "&amp;VLOOKUP($G$4, 'Reading Report Logic'!$A$2:$B$8, 2, FALSE)&amp;"]")),FALSE))),""))),"")</f>
        <v/>
      </c>
    </row>
    <row r="385" spans="1:9" x14ac:dyDescent="0.25">
      <c r="A385" s="137"/>
      <c r="B385" s="137" t="str">
        <f>IFERROR(INDEX(_xlfn.VSTACK(YES_Writing_ELA[#Data], YES_Writing_FLA[#Data]),MATCH($A385,_xlfn.VSTACK(YES_Writing_ELA[Student Number], YES_Writing_FLA[Student Number]),0),MATCH(B$7,YES_Writing_ELA[#Headers],0)),IFERROR(INDEX(_xlfn.VSTACK(YES_Reading_ELA[#Data], YES_Reading_FLA[#Data]),MATCH($A385,_xlfn.VSTACK(YES_Reading_ELA[Student Number], YES_Reading_FLA[Student Number]),0),MATCH(B$7,YES_Reading_ELA[#Headers],0)),""))</f>
        <v/>
      </c>
      <c r="C385" s="137" t="str">
        <f>IFERROR(INDEX(_xlfn.VSTACK(YES_Writing_ELA[#Data], YES_Writing_FLA[#Data]),MATCH($A385,_xlfn.VSTACK(YES_Writing_ELA[Student Number], YES_Writing_FLA[Student Number]),0),MATCH(C$7,YES_Writing_ELA[#Headers],0)),IFERROR(INDEX(_xlfn.VSTACK(YES_Reading_ELA[#Data], YES_Reading_FLA[#Data]),MATCH($A385,_xlfn.VSTACK(YES_Reading_ELA[Student Number], YES_Reading_FLA[Student Number]),0),MATCH(C$7,YES_Reading_ELA[#Headers],0)),""))</f>
        <v/>
      </c>
      <c r="D385" s="138" t="str">
        <f>IFERROR(IF(IF(INDEX(_xlfn.VSTACK(YES_Writing_ELA[#Data],YES_Writing_FLA[#Data]),MATCH($A385,_xlfn.VSTACK(YES_Writing_ELA[Student Number],YES_Writing_FLA[Student Number]),0),MATCH(VLOOKUP(D$7,'Writing Logic'!$J$7:$K$11,2,FALSE)&amp;" - Per "&amp;VLOOKUP($C$4,'Writing Logic'!$G$8:$H$14,2,FALSE),YES_Writing_ELA[#Headers],0))=0,"",INDEX(_xlfn.VSTACK(YES_Writing_ELA[#Data],YES_Writing_FLA[#Data]),MATCH($A385,_xlfn.VSTACK(YES_Writing_ELA[Student Number],YES_Writing_FLA[Student Number]),0),MATCH(VLOOKUP(D$7,'Writing Logic'!$J$7:$K$11,2,FALSE)&amp;" - Per "&amp;VLOOKUP($C$4,'Writing Logic'!$G$8:$H$14,2,FALSE),YES_Writing_ELA[#Headers],0)))="INS",'Writing Logic'!$B$7,IF(INDEX(_xlfn.VSTACK(YES_Writing_ELA[#Data],YES_Writing_FLA[#Data]),MATCH($A385,_xlfn.VSTACK(YES_Writing_ELA[Student Number],YES_Writing_FLA[Student Number]),0),MATCH(VLOOKUP(D$7,'Writing Logic'!$J$7:$K$11,2,FALSE)&amp;" - Per "&amp;VLOOKUP($C$4,'Writing Logic'!$G$8:$H$14,2,FALSE),YES_Writing_ELA[#Headers],0))=0,"",INDEX(_xlfn.VSTACK(YES_Writing_ELA[#Data],YES_Writing_FLA[#Data]),MATCH($A385,_xlfn.VSTACK(YES_Writing_ELA[Student Number],YES_Writing_FLA[Student Number]),0),MATCH(VLOOKUP(D$7,'Writing Logic'!$J$7:$K$11,2,FALSE)&amp;" - Per "&amp;VLOOKUP($C$4,'Writing Logic'!$G$8:$H$14,2,FALSE),YES_Writing_ELA[#Headers],0)))),"")</f>
        <v/>
      </c>
      <c r="E385" s="138" t="str">
        <f>IFERROR(IF(IF(INDEX(_xlfn.VSTACK(YES_Writing_ELA[#Data],YES_Writing_FLA[#Data]),MATCH($A385,_xlfn.VSTACK(YES_Writing_ELA[Student Number],YES_Writing_FLA[Student Number]),0),MATCH(VLOOKUP(E$7,'Writing Logic'!$J$7:$K$11,2,FALSE)&amp;" - Per "&amp;VLOOKUP($C$4,'Writing Logic'!$G$8:$H$14,2,FALSE),YES_Writing_ELA[#Headers],0))=0,"",INDEX(_xlfn.VSTACK(YES_Writing_ELA[#Data],YES_Writing_FLA[#Data]),MATCH($A385,_xlfn.VSTACK(YES_Writing_ELA[Student Number],YES_Writing_FLA[Student Number]),0),MATCH(VLOOKUP(E$7,'Writing Logic'!$J$7:$K$11,2,FALSE)&amp;" - Per "&amp;VLOOKUP($C$4,'Writing Logic'!$G$8:$H$14,2,FALSE),YES_Writing_ELA[#Headers],0)))="INS",'Writing Logic'!$B$7,IF(INDEX(_xlfn.VSTACK(YES_Writing_ELA[#Data],YES_Writing_FLA[#Data]),MATCH($A385,_xlfn.VSTACK(YES_Writing_ELA[Student Number],YES_Writing_FLA[Student Number]),0),MATCH(VLOOKUP(E$7,'Writing Logic'!$J$7:$K$11,2,FALSE)&amp;" - Per "&amp;VLOOKUP($C$4,'Writing Logic'!$G$8:$H$14,2,FALSE),YES_Writing_ELA[#Headers],0))=0,"",INDEX(_xlfn.VSTACK(YES_Writing_ELA[#Data],YES_Writing_FLA[#Data]),MATCH($A385,_xlfn.VSTACK(YES_Writing_ELA[Student Number],YES_Writing_FLA[Student Number]),0),MATCH(VLOOKUP(E$7,'Writing Logic'!$J$7:$K$11,2,FALSE)&amp;" - Per "&amp;VLOOKUP($C$4,'Writing Logic'!$G$8:$H$14,2,FALSE),YES_Writing_ELA[#Headers],0)))),"")</f>
        <v/>
      </c>
      <c r="F385" s="138" t="str">
        <f>IFERROR(IF(IF(INDEX(_xlfn.VSTACK(YES_Writing_ELA[#Data],YES_Writing_FLA[#Data]),MATCH($A385,_xlfn.VSTACK(YES_Writing_ELA[Student Number],YES_Writing_FLA[Student Number]),0),MATCH(VLOOKUP(F$7,'Writing Logic'!$J$7:$K$11,2,FALSE)&amp;" - Per "&amp;VLOOKUP($C$4,'Writing Logic'!$G$8:$H$14,2,FALSE),YES_Writing_ELA[#Headers],0))=0,"",INDEX(_xlfn.VSTACK(YES_Writing_ELA[#Data],YES_Writing_FLA[#Data]),MATCH($A385,_xlfn.VSTACK(YES_Writing_ELA[Student Number],YES_Writing_FLA[Student Number]),0),MATCH(VLOOKUP(F$7,'Writing Logic'!$J$7:$K$11,2,FALSE)&amp;" - Per "&amp;VLOOKUP($C$4,'Writing Logic'!$G$8:$H$14,2,FALSE),YES_Writing_ELA[#Headers],0)))="INS",'Writing Logic'!$B$7,IF(INDEX(_xlfn.VSTACK(YES_Writing_ELA[#Data],YES_Writing_FLA[#Data]),MATCH($A385,_xlfn.VSTACK(YES_Writing_ELA[Student Number],YES_Writing_FLA[Student Number]),0),MATCH(VLOOKUP(F$7,'Writing Logic'!$J$7:$K$11,2,FALSE)&amp;" - Per "&amp;VLOOKUP($C$4,'Writing Logic'!$G$8:$H$14,2,FALSE),YES_Writing_ELA[#Headers],0))=0,"",INDEX(_xlfn.VSTACK(YES_Writing_ELA[#Data],YES_Writing_FLA[#Data]),MATCH($A385,_xlfn.VSTACK(YES_Writing_ELA[Student Number],YES_Writing_FLA[Student Number]),0),MATCH(VLOOKUP(F$7,'Writing Logic'!$J$7:$K$11,2,FALSE)&amp;" - Per "&amp;VLOOKUP($C$4,'Writing Logic'!$G$8:$H$14,2,FALSE),YES_Writing_ELA[#Headers],0)))),"")</f>
        <v/>
      </c>
      <c r="G385" s="138" t="str">
        <f>IFERROR(IF(IF(INDEX(_xlfn.VSTACK(YES_Writing_ELA[#Data],YES_Writing_FLA[#Data]),MATCH($A385,_xlfn.VSTACK(YES_Writing_ELA[Student Number],YES_Writing_FLA[Student Number]),0),MATCH(VLOOKUP(G$7,'Writing Logic'!$J$7:$K$11,2,FALSE)&amp;" - Per "&amp;VLOOKUP($C$4,'Writing Logic'!$G$8:$H$14,2,FALSE),YES_Writing_ELA[#Headers],0))=0,"",INDEX(_xlfn.VSTACK(YES_Writing_ELA[#Data],YES_Writing_FLA[#Data]),MATCH($A385,_xlfn.VSTACK(YES_Writing_ELA[Student Number],YES_Writing_FLA[Student Number]),0),MATCH(VLOOKUP(G$7,'Writing Logic'!$J$7:$K$11,2,FALSE)&amp;" - Per "&amp;VLOOKUP($C$4,'Writing Logic'!$G$8:$H$14,2,FALSE),YES_Writing_ELA[#Headers],0)))="INS",'Writing Logic'!$B$7,IF(INDEX(_xlfn.VSTACK(YES_Writing_ELA[#Data],YES_Writing_FLA[#Data]),MATCH($A385,_xlfn.VSTACK(YES_Writing_ELA[Student Number],YES_Writing_FLA[Student Number]),0),MATCH(VLOOKUP(G$7,'Writing Logic'!$J$7:$K$11,2,FALSE)&amp;" - Per "&amp;VLOOKUP($C$4,'Writing Logic'!$G$8:$H$14,2,FALSE),YES_Writing_ELA[#Headers],0))=0,"",INDEX(_xlfn.VSTACK(YES_Writing_ELA[#Data],YES_Writing_FLA[#Data]),MATCH($A385,_xlfn.VSTACK(YES_Writing_ELA[Student Number],YES_Writing_FLA[Student Number]),0),MATCH(VLOOKUP(G$7,'Writing Logic'!$J$7:$K$11,2,FALSE)&amp;" - Per "&amp;VLOOKUP($C$4,'Writing Logic'!$G$8:$H$14,2,FALSE),YES_Writing_ELA[#Headers],0)))),"")</f>
        <v/>
      </c>
      <c r="H385" s="223" t="str">
        <f>IFERROR(IF(IF(INDEX(_xlfn.VSTACK(YES_Writing_ELA[#Data],YES_Writing_FLA[#Data]),MATCH($A385,_xlfn.VSTACK(YES_Writing_ELA[Student Number],YES_Writing_FLA[Student Number]),0),MATCH(VLOOKUP(H$7,'Writing Logic'!$J$7:$K$11,2,FALSE)&amp;" - Per "&amp;VLOOKUP($C$4,'Writing Logic'!$G$8:$H$14,2,FALSE),YES_Writing_ELA[#Headers],0))=0,"",INDEX(_xlfn.VSTACK(YES_Writing_ELA[#Data],YES_Writing_FLA[#Data]),MATCH($A385,_xlfn.VSTACK(YES_Writing_ELA[Student Number],YES_Writing_FLA[Student Number]),0),MATCH(VLOOKUP(H$7,'Writing Logic'!$J$7:$K$11,2,FALSE)&amp;" - Per "&amp;VLOOKUP($C$4,'Writing Logic'!$G$8:$H$14,2,FALSE),YES_Writing_ELA[#Headers],0)))="INS",'Writing Logic'!$B$7,IF(INDEX(_xlfn.VSTACK(YES_Writing_ELA[#Data],YES_Writing_FLA[#Data]),MATCH($A385,_xlfn.VSTACK(YES_Writing_ELA[Student Number],YES_Writing_FLA[Student Number]),0),MATCH(VLOOKUP(H$7,'Writing Logic'!$J$7:$K$11,2,FALSE)&amp;" - Per "&amp;VLOOKUP($C$4,'Writing Logic'!$G$8:$H$14,2,FALSE),YES_Writing_ELA[#Headers],0))=0,"",INDEX(_xlfn.VSTACK(YES_Writing_ELA[#Data],YES_Writing_FLA[#Data]),MATCH($A385,_xlfn.VSTACK(YES_Writing_ELA[Student Number],YES_Writing_FLA[Student Number]),0),MATCH(VLOOKUP(H$7,'Writing Logic'!$J$7:$K$11,2,FALSE)&amp;" - Per "&amp;VLOOKUP($C$4,'Writing Logic'!$G$8:$H$14,2,FALSE),YES_Writing_ELA[#Headers],0)))),"")</f>
        <v/>
      </c>
      <c r="I385" s="224" t="str" cm="1">
        <f t="array" aca="1" ref="I385" ca="1">IFERROR(
IF($G$3="ELA",
IF(VLOOKUP($A385, YES_Reading_ELA[], COLUMN(INDIRECT("YES_Reading_ELA[Difference - Per "&amp;VLOOKUP($G$4, 'Reading Report Logic'!$A$2:$B$8, 2, FALSE)&amp;"]")), FALSE)="", "",
VLOOKUP($A385,YES_Reading_ELA[], COLUMN(INDIRECT("YES_Reading_ELA[Difference - Per "&amp;VLOOKUP($G$4,'Reading Report Logic'!$A$2:$B$8,2,FALSE)&amp;"]")), FALSE)),
IF($G$3="FLA",
IF(VLOOKUP($A385, YES_Reading_FLA[], COLUMN(INDIRECT("YES_Reading_FLA[Difference - Per "&amp;VLOOKUP($G$4,'Reading Report Logic'!$A$2:$B$8,2,FALSE)&amp;"]")),FALSE)="","",
VLOOKUP($A385,YES_Reading_FLA[],COLUMN(INDIRECT("YES_Reading_FLA[Difference - Per "&amp;VLOOKUP($G$4,'Reading Report Logic'!$A$2:$B$8,2,FALSE)&amp;"]")),FALSE)),
IF($G$3="Combined",
IFERROR(
IF(VLOOKUP($A385, YES_Reading_ELA[], COLUMN(INDIRECT("YES_Reading_ELA[Difference - Per "&amp;VLOOKUP($G$4, 'Reading Report Logic'!$A$2:$B$8,2,FALSE)&amp;"]")), FALSE)="", "",
VLOOKUP($A385,YES_Reading_ELA[],COLUMN(INDIRECT("YES_Reading_ELA[Difference - Per "&amp;VLOOKUP($G$4,'Reading Report Logic'!$A$2:$B$8,2,FALSE)&amp;"]")),FALSE)),
IF(VLOOKUP($A385, YES_Reading_FLA[], COLUMN(INDIRECT("YES_Reading_FLA[Difference - Per "&amp;VLOOKUP($G$4, 'Reading Report Logic'!$A$2:$B$8, 2, FALSE)&amp;"]")),FALSE)="", "", VLOOKUP($A385,YES_Reading_FLA[],COLUMN(INDIRECT("YES_Reading_FLA[Difference - Per "&amp;VLOOKUP($G$4, 'Reading Report Logic'!$A$2:$B$8, 2, FALSE)&amp;"]")),FALSE))),""))),"")</f>
        <v/>
      </c>
    </row>
    <row r="386" spans="1:9" x14ac:dyDescent="0.25">
      <c r="A386" s="137"/>
      <c r="B386" s="137" t="str">
        <f>IFERROR(INDEX(_xlfn.VSTACK(YES_Writing_ELA[#Data], YES_Writing_FLA[#Data]),MATCH($A386,_xlfn.VSTACK(YES_Writing_ELA[Student Number], YES_Writing_FLA[Student Number]),0),MATCH(B$7,YES_Writing_ELA[#Headers],0)),IFERROR(INDEX(_xlfn.VSTACK(YES_Reading_ELA[#Data], YES_Reading_FLA[#Data]),MATCH($A386,_xlfn.VSTACK(YES_Reading_ELA[Student Number], YES_Reading_FLA[Student Number]),0),MATCH(B$7,YES_Reading_ELA[#Headers],0)),""))</f>
        <v/>
      </c>
      <c r="C386" s="137" t="str">
        <f>IFERROR(INDEX(_xlfn.VSTACK(YES_Writing_ELA[#Data], YES_Writing_FLA[#Data]),MATCH($A386,_xlfn.VSTACK(YES_Writing_ELA[Student Number], YES_Writing_FLA[Student Number]),0),MATCH(C$7,YES_Writing_ELA[#Headers],0)),IFERROR(INDEX(_xlfn.VSTACK(YES_Reading_ELA[#Data], YES_Reading_FLA[#Data]),MATCH($A386,_xlfn.VSTACK(YES_Reading_ELA[Student Number], YES_Reading_FLA[Student Number]),0),MATCH(C$7,YES_Reading_ELA[#Headers],0)),""))</f>
        <v/>
      </c>
      <c r="D386" s="138" t="str">
        <f>IFERROR(IF(IF(INDEX(_xlfn.VSTACK(YES_Writing_ELA[#Data],YES_Writing_FLA[#Data]),MATCH($A386,_xlfn.VSTACK(YES_Writing_ELA[Student Number],YES_Writing_FLA[Student Number]),0),MATCH(VLOOKUP(D$7,'Writing Logic'!$J$7:$K$11,2,FALSE)&amp;" - Per "&amp;VLOOKUP($C$4,'Writing Logic'!$G$8:$H$14,2,FALSE),YES_Writing_ELA[#Headers],0))=0,"",INDEX(_xlfn.VSTACK(YES_Writing_ELA[#Data],YES_Writing_FLA[#Data]),MATCH($A386,_xlfn.VSTACK(YES_Writing_ELA[Student Number],YES_Writing_FLA[Student Number]),0),MATCH(VLOOKUP(D$7,'Writing Logic'!$J$7:$K$11,2,FALSE)&amp;" - Per "&amp;VLOOKUP($C$4,'Writing Logic'!$G$8:$H$14,2,FALSE),YES_Writing_ELA[#Headers],0)))="INS",'Writing Logic'!$B$7,IF(INDEX(_xlfn.VSTACK(YES_Writing_ELA[#Data],YES_Writing_FLA[#Data]),MATCH($A386,_xlfn.VSTACK(YES_Writing_ELA[Student Number],YES_Writing_FLA[Student Number]),0),MATCH(VLOOKUP(D$7,'Writing Logic'!$J$7:$K$11,2,FALSE)&amp;" - Per "&amp;VLOOKUP($C$4,'Writing Logic'!$G$8:$H$14,2,FALSE),YES_Writing_ELA[#Headers],0))=0,"",INDEX(_xlfn.VSTACK(YES_Writing_ELA[#Data],YES_Writing_FLA[#Data]),MATCH($A386,_xlfn.VSTACK(YES_Writing_ELA[Student Number],YES_Writing_FLA[Student Number]),0),MATCH(VLOOKUP(D$7,'Writing Logic'!$J$7:$K$11,2,FALSE)&amp;" - Per "&amp;VLOOKUP($C$4,'Writing Logic'!$G$8:$H$14,2,FALSE),YES_Writing_ELA[#Headers],0)))),"")</f>
        <v/>
      </c>
      <c r="E386" s="138" t="str">
        <f>IFERROR(IF(IF(INDEX(_xlfn.VSTACK(YES_Writing_ELA[#Data],YES_Writing_FLA[#Data]),MATCH($A386,_xlfn.VSTACK(YES_Writing_ELA[Student Number],YES_Writing_FLA[Student Number]),0),MATCH(VLOOKUP(E$7,'Writing Logic'!$J$7:$K$11,2,FALSE)&amp;" - Per "&amp;VLOOKUP($C$4,'Writing Logic'!$G$8:$H$14,2,FALSE),YES_Writing_ELA[#Headers],0))=0,"",INDEX(_xlfn.VSTACK(YES_Writing_ELA[#Data],YES_Writing_FLA[#Data]),MATCH($A386,_xlfn.VSTACK(YES_Writing_ELA[Student Number],YES_Writing_FLA[Student Number]),0),MATCH(VLOOKUP(E$7,'Writing Logic'!$J$7:$K$11,2,FALSE)&amp;" - Per "&amp;VLOOKUP($C$4,'Writing Logic'!$G$8:$H$14,2,FALSE),YES_Writing_ELA[#Headers],0)))="INS",'Writing Logic'!$B$7,IF(INDEX(_xlfn.VSTACK(YES_Writing_ELA[#Data],YES_Writing_FLA[#Data]),MATCH($A386,_xlfn.VSTACK(YES_Writing_ELA[Student Number],YES_Writing_FLA[Student Number]),0),MATCH(VLOOKUP(E$7,'Writing Logic'!$J$7:$K$11,2,FALSE)&amp;" - Per "&amp;VLOOKUP($C$4,'Writing Logic'!$G$8:$H$14,2,FALSE),YES_Writing_ELA[#Headers],0))=0,"",INDEX(_xlfn.VSTACK(YES_Writing_ELA[#Data],YES_Writing_FLA[#Data]),MATCH($A386,_xlfn.VSTACK(YES_Writing_ELA[Student Number],YES_Writing_FLA[Student Number]),0),MATCH(VLOOKUP(E$7,'Writing Logic'!$J$7:$K$11,2,FALSE)&amp;" - Per "&amp;VLOOKUP($C$4,'Writing Logic'!$G$8:$H$14,2,FALSE),YES_Writing_ELA[#Headers],0)))),"")</f>
        <v/>
      </c>
      <c r="F386" s="138" t="str">
        <f>IFERROR(IF(IF(INDEX(_xlfn.VSTACK(YES_Writing_ELA[#Data],YES_Writing_FLA[#Data]),MATCH($A386,_xlfn.VSTACK(YES_Writing_ELA[Student Number],YES_Writing_FLA[Student Number]),0),MATCH(VLOOKUP(F$7,'Writing Logic'!$J$7:$K$11,2,FALSE)&amp;" - Per "&amp;VLOOKUP($C$4,'Writing Logic'!$G$8:$H$14,2,FALSE),YES_Writing_ELA[#Headers],0))=0,"",INDEX(_xlfn.VSTACK(YES_Writing_ELA[#Data],YES_Writing_FLA[#Data]),MATCH($A386,_xlfn.VSTACK(YES_Writing_ELA[Student Number],YES_Writing_FLA[Student Number]),0),MATCH(VLOOKUP(F$7,'Writing Logic'!$J$7:$K$11,2,FALSE)&amp;" - Per "&amp;VLOOKUP($C$4,'Writing Logic'!$G$8:$H$14,2,FALSE),YES_Writing_ELA[#Headers],0)))="INS",'Writing Logic'!$B$7,IF(INDEX(_xlfn.VSTACK(YES_Writing_ELA[#Data],YES_Writing_FLA[#Data]),MATCH($A386,_xlfn.VSTACK(YES_Writing_ELA[Student Number],YES_Writing_FLA[Student Number]),0),MATCH(VLOOKUP(F$7,'Writing Logic'!$J$7:$K$11,2,FALSE)&amp;" - Per "&amp;VLOOKUP($C$4,'Writing Logic'!$G$8:$H$14,2,FALSE),YES_Writing_ELA[#Headers],0))=0,"",INDEX(_xlfn.VSTACK(YES_Writing_ELA[#Data],YES_Writing_FLA[#Data]),MATCH($A386,_xlfn.VSTACK(YES_Writing_ELA[Student Number],YES_Writing_FLA[Student Number]),0),MATCH(VLOOKUP(F$7,'Writing Logic'!$J$7:$K$11,2,FALSE)&amp;" - Per "&amp;VLOOKUP($C$4,'Writing Logic'!$G$8:$H$14,2,FALSE),YES_Writing_ELA[#Headers],0)))),"")</f>
        <v/>
      </c>
      <c r="G386" s="138" t="str">
        <f>IFERROR(IF(IF(INDEX(_xlfn.VSTACK(YES_Writing_ELA[#Data],YES_Writing_FLA[#Data]),MATCH($A386,_xlfn.VSTACK(YES_Writing_ELA[Student Number],YES_Writing_FLA[Student Number]),0),MATCH(VLOOKUP(G$7,'Writing Logic'!$J$7:$K$11,2,FALSE)&amp;" - Per "&amp;VLOOKUP($C$4,'Writing Logic'!$G$8:$H$14,2,FALSE),YES_Writing_ELA[#Headers],0))=0,"",INDEX(_xlfn.VSTACK(YES_Writing_ELA[#Data],YES_Writing_FLA[#Data]),MATCH($A386,_xlfn.VSTACK(YES_Writing_ELA[Student Number],YES_Writing_FLA[Student Number]),0),MATCH(VLOOKUP(G$7,'Writing Logic'!$J$7:$K$11,2,FALSE)&amp;" - Per "&amp;VLOOKUP($C$4,'Writing Logic'!$G$8:$H$14,2,FALSE),YES_Writing_ELA[#Headers],0)))="INS",'Writing Logic'!$B$7,IF(INDEX(_xlfn.VSTACK(YES_Writing_ELA[#Data],YES_Writing_FLA[#Data]),MATCH($A386,_xlfn.VSTACK(YES_Writing_ELA[Student Number],YES_Writing_FLA[Student Number]),0),MATCH(VLOOKUP(G$7,'Writing Logic'!$J$7:$K$11,2,FALSE)&amp;" - Per "&amp;VLOOKUP($C$4,'Writing Logic'!$G$8:$H$14,2,FALSE),YES_Writing_ELA[#Headers],0))=0,"",INDEX(_xlfn.VSTACK(YES_Writing_ELA[#Data],YES_Writing_FLA[#Data]),MATCH($A386,_xlfn.VSTACK(YES_Writing_ELA[Student Number],YES_Writing_FLA[Student Number]),0),MATCH(VLOOKUP(G$7,'Writing Logic'!$J$7:$K$11,2,FALSE)&amp;" - Per "&amp;VLOOKUP($C$4,'Writing Logic'!$G$8:$H$14,2,FALSE),YES_Writing_ELA[#Headers],0)))),"")</f>
        <v/>
      </c>
      <c r="H386" s="223" t="str">
        <f>IFERROR(IF(IF(INDEX(_xlfn.VSTACK(YES_Writing_ELA[#Data],YES_Writing_FLA[#Data]),MATCH($A386,_xlfn.VSTACK(YES_Writing_ELA[Student Number],YES_Writing_FLA[Student Number]),0),MATCH(VLOOKUP(H$7,'Writing Logic'!$J$7:$K$11,2,FALSE)&amp;" - Per "&amp;VLOOKUP($C$4,'Writing Logic'!$G$8:$H$14,2,FALSE),YES_Writing_ELA[#Headers],0))=0,"",INDEX(_xlfn.VSTACK(YES_Writing_ELA[#Data],YES_Writing_FLA[#Data]),MATCH($A386,_xlfn.VSTACK(YES_Writing_ELA[Student Number],YES_Writing_FLA[Student Number]),0),MATCH(VLOOKUP(H$7,'Writing Logic'!$J$7:$K$11,2,FALSE)&amp;" - Per "&amp;VLOOKUP($C$4,'Writing Logic'!$G$8:$H$14,2,FALSE),YES_Writing_ELA[#Headers],0)))="INS",'Writing Logic'!$B$7,IF(INDEX(_xlfn.VSTACK(YES_Writing_ELA[#Data],YES_Writing_FLA[#Data]),MATCH($A386,_xlfn.VSTACK(YES_Writing_ELA[Student Number],YES_Writing_FLA[Student Number]),0),MATCH(VLOOKUP(H$7,'Writing Logic'!$J$7:$K$11,2,FALSE)&amp;" - Per "&amp;VLOOKUP($C$4,'Writing Logic'!$G$8:$H$14,2,FALSE),YES_Writing_ELA[#Headers],0))=0,"",INDEX(_xlfn.VSTACK(YES_Writing_ELA[#Data],YES_Writing_FLA[#Data]),MATCH($A386,_xlfn.VSTACK(YES_Writing_ELA[Student Number],YES_Writing_FLA[Student Number]),0),MATCH(VLOOKUP(H$7,'Writing Logic'!$J$7:$K$11,2,FALSE)&amp;" - Per "&amp;VLOOKUP($C$4,'Writing Logic'!$G$8:$H$14,2,FALSE),YES_Writing_ELA[#Headers],0)))),"")</f>
        <v/>
      </c>
      <c r="I386" s="224" t="str" cm="1">
        <f t="array" aca="1" ref="I386" ca="1">IFERROR(
IF($G$3="ELA",
IF(VLOOKUP($A386, YES_Reading_ELA[], COLUMN(INDIRECT("YES_Reading_ELA[Difference - Per "&amp;VLOOKUP($G$4, 'Reading Report Logic'!$A$2:$B$8, 2, FALSE)&amp;"]")), FALSE)="", "",
VLOOKUP($A386,YES_Reading_ELA[], COLUMN(INDIRECT("YES_Reading_ELA[Difference - Per "&amp;VLOOKUP($G$4,'Reading Report Logic'!$A$2:$B$8,2,FALSE)&amp;"]")), FALSE)),
IF($G$3="FLA",
IF(VLOOKUP($A386, YES_Reading_FLA[], COLUMN(INDIRECT("YES_Reading_FLA[Difference - Per "&amp;VLOOKUP($G$4,'Reading Report Logic'!$A$2:$B$8,2,FALSE)&amp;"]")),FALSE)="","",
VLOOKUP($A386,YES_Reading_FLA[],COLUMN(INDIRECT("YES_Reading_FLA[Difference - Per "&amp;VLOOKUP($G$4,'Reading Report Logic'!$A$2:$B$8,2,FALSE)&amp;"]")),FALSE)),
IF($G$3="Combined",
IFERROR(
IF(VLOOKUP($A386, YES_Reading_ELA[], COLUMN(INDIRECT("YES_Reading_ELA[Difference - Per "&amp;VLOOKUP($G$4, 'Reading Report Logic'!$A$2:$B$8,2,FALSE)&amp;"]")), FALSE)="", "",
VLOOKUP($A386,YES_Reading_ELA[],COLUMN(INDIRECT("YES_Reading_ELA[Difference - Per "&amp;VLOOKUP($G$4,'Reading Report Logic'!$A$2:$B$8,2,FALSE)&amp;"]")),FALSE)),
IF(VLOOKUP($A386, YES_Reading_FLA[], COLUMN(INDIRECT("YES_Reading_FLA[Difference - Per "&amp;VLOOKUP($G$4, 'Reading Report Logic'!$A$2:$B$8, 2, FALSE)&amp;"]")),FALSE)="", "", VLOOKUP($A386,YES_Reading_FLA[],COLUMN(INDIRECT("YES_Reading_FLA[Difference - Per "&amp;VLOOKUP($G$4, 'Reading Report Logic'!$A$2:$B$8, 2, FALSE)&amp;"]")),FALSE))),""))),"")</f>
        <v/>
      </c>
    </row>
    <row r="387" spans="1:9" x14ac:dyDescent="0.25">
      <c r="A387" s="137"/>
      <c r="B387" s="137" t="str">
        <f>IFERROR(INDEX(_xlfn.VSTACK(YES_Writing_ELA[#Data], YES_Writing_FLA[#Data]),MATCH($A387,_xlfn.VSTACK(YES_Writing_ELA[Student Number], YES_Writing_FLA[Student Number]),0),MATCH(B$7,YES_Writing_ELA[#Headers],0)),IFERROR(INDEX(_xlfn.VSTACK(YES_Reading_ELA[#Data], YES_Reading_FLA[#Data]),MATCH($A387,_xlfn.VSTACK(YES_Reading_ELA[Student Number], YES_Reading_FLA[Student Number]),0),MATCH(B$7,YES_Reading_ELA[#Headers],0)),""))</f>
        <v/>
      </c>
      <c r="C387" s="137" t="str">
        <f>IFERROR(INDEX(_xlfn.VSTACK(YES_Writing_ELA[#Data], YES_Writing_FLA[#Data]),MATCH($A387,_xlfn.VSTACK(YES_Writing_ELA[Student Number], YES_Writing_FLA[Student Number]),0),MATCH(C$7,YES_Writing_ELA[#Headers],0)),IFERROR(INDEX(_xlfn.VSTACK(YES_Reading_ELA[#Data], YES_Reading_FLA[#Data]),MATCH($A387,_xlfn.VSTACK(YES_Reading_ELA[Student Number], YES_Reading_FLA[Student Number]),0),MATCH(C$7,YES_Reading_ELA[#Headers],0)),""))</f>
        <v/>
      </c>
      <c r="D387" s="138" t="str">
        <f>IFERROR(IF(IF(INDEX(_xlfn.VSTACK(YES_Writing_ELA[#Data],YES_Writing_FLA[#Data]),MATCH($A387,_xlfn.VSTACK(YES_Writing_ELA[Student Number],YES_Writing_FLA[Student Number]),0),MATCH(VLOOKUP(D$7,'Writing Logic'!$J$7:$K$11,2,FALSE)&amp;" - Per "&amp;VLOOKUP($C$4,'Writing Logic'!$G$8:$H$14,2,FALSE),YES_Writing_ELA[#Headers],0))=0,"",INDEX(_xlfn.VSTACK(YES_Writing_ELA[#Data],YES_Writing_FLA[#Data]),MATCH($A387,_xlfn.VSTACK(YES_Writing_ELA[Student Number],YES_Writing_FLA[Student Number]),0),MATCH(VLOOKUP(D$7,'Writing Logic'!$J$7:$K$11,2,FALSE)&amp;" - Per "&amp;VLOOKUP($C$4,'Writing Logic'!$G$8:$H$14,2,FALSE),YES_Writing_ELA[#Headers],0)))="INS",'Writing Logic'!$B$7,IF(INDEX(_xlfn.VSTACK(YES_Writing_ELA[#Data],YES_Writing_FLA[#Data]),MATCH($A387,_xlfn.VSTACK(YES_Writing_ELA[Student Number],YES_Writing_FLA[Student Number]),0),MATCH(VLOOKUP(D$7,'Writing Logic'!$J$7:$K$11,2,FALSE)&amp;" - Per "&amp;VLOOKUP($C$4,'Writing Logic'!$G$8:$H$14,2,FALSE),YES_Writing_ELA[#Headers],0))=0,"",INDEX(_xlfn.VSTACK(YES_Writing_ELA[#Data],YES_Writing_FLA[#Data]),MATCH($A387,_xlfn.VSTACK(YES_Writing_ELA[Student Number],YES_Writing_FLA[Student Number]),0),MATCH(VLOOKUP(D$7,'Writing Logic'!$J$7:$K$11,2,FALSE)&amp;" - Per "&amp;VLOOKUP($C$4,'Writing Logic'!$G$8:$H$14,2,FALSE),YES_Writing_ELA[#Headers],0)))),"")</f>
        <v/>
      </c>
      <c r="E387" s="138" t="str">
        <f>IFERROR(IF(IF(INDEX(_xlfn.VSTACK(YES_Writing_ELA[#Data],YES_Writing_FLA[#Data]),MATCH($A387,_xlfn.VSTACK(YES_Writing_ELA[Student Number],YES_Writing_FLA[Student Number]),0),MATCH(VLOOKUP(E$7,'Writing Logic'!$J$7:$K$11,2,FALSE)&amp;" - Per "&amp;VLOOKUP($C$4,'Writing Logic'!$G$8:$H$14,2,FALSE),YES_Writing_ELA[#Headers],0))=0,"",INDEX(_xlfn.VSTACK(YES_Writing_ELA[#Data],YES_Writing_FLA[#Data]),MATCH($A387,_xlfn.VSTACK(YES_Writing_ELA[Student Number],YES_Writing_FLA[Student Number]),0),MATCH(VLOOKUP(E$7,'Writing Logic'!$J$7:$K$11,2,FALSE)&amp;" - Per "&amp;VLOOKUP($C$4,'Writing Logic'!$G$8:$H$14,2,FALSE),YES_Writing_ELA[#Headers],0)))="INS",'Writing Logic'!$B$7,IF(INDEX(_xlfn.VSTACK(YES_Writing_ELA[#Data],YES_Writing_FLA[#Data]),MATCH($A387,_xlfn.VSTACK(YES_Writing_ELA[Student Number],YES_Writing_FLA[Student Number]),0),MATCH(VLOOKUP(E$7,'Writing Logic'!$J$7:$K$11,2,FALSE)&amp;" - Per "&amp;VLOOKUP($C$4,'Writing Logic'!$G$8:$H$14,2,FALSE),YES_Writing_ELA[#Headers],0))=0,"",INDEX(_xlfn.VSTACK(YES_Writing_ELA[#Data],YES_Writing_FLA[#Data]),MATCH($A387,_xlfn.VSTACK(YES_Writing_ELA[Student Number],YES_Writing_FLA[Student Number]),0),MATCH(VLOOKUP(E$7,'Writing Logic'!$J$7:$K$11,2,FALSE)&amp;" - Per "&amp;VLOOKUP($C$4,'Writing Logic'!$G$8:$H$14,2,FALSE),YES_Writing_ELA[#Headers],0)))),"")</f>
        <v/>
      </c>
      <c r="F387" s="138" t="str">
        <f>IFERROR(IF(IF(INDEX(_xlfn.VSTACK(YES_Writing_ELA[#Data],YES_Writing_FLA[#Data]),MATCH($A387,_xlfn.VSTACK(YES_Writing_ELA[Student Number],YES_Writing_FLA[Student Number]),0),MATCH(VLOOKUP(F$7,'Writing Logic'!$J$7:$K$11,2,FALSE)&amp;" - Per "&amp;VLOOKUP($C$4,'Writing Logic'!$G$8:$H$14,2,FALSE),YES_Writing_ELA[#Headers],0))=0,"",INDEX(_xlfn.VSTACK(YES_Writing_ELA[#Data],YES_Writing_FLA[#Data]),MATCH($A387,_xlfn.VSTACK(YES_Writing_ELA[Student Number],YES_Writing_FLA[Student Number]),0),MATCH(VLOOKUP(F$7,'Writing Logic'!$J$7:$K$11,2,FALSE)&amp;" - Per "&amp;VLOOKUP($C$4,'Writing Logic'!$G$8:$H$14,2,FALSE),YES_Writing_ELA[#Headers],0)))="INS",'Writing Logic'!$B$7,IF(INDEX(_xlfn.VSTACK(YES_Writing_ELA[#Data],YES_Writing_FLA[#Data]),MATCH($A387,_xlfn.VSTACK(YES_Writing_ELA[Student Number],YES_Writing_FLA[Student Number]),0),MATCH(VLOOKUP(F$7,'Writing Logic'!$J$7:$K$11,2,FALSE)&amp;" - Per "&amp;VLOOKUP($C$4,'Writing Logic'!$G$8:$H$14,2,FALSE),YES_Writing_ELA[#Headers],0))=0,"",INDEX(_xlfn.VSTACK(YES_Writing_ELA[#Data],YES_Writing_FLA[#Data]),MATCH($A387,_xlfn.VSTACK(YES_Writing_ELA[Student Number],YES_Writing_FLA[Student Number]),0),MATCH(VLOOKUP(F$7,'Writing Logic'!$J$7:$K$11,2,FALSE)&amp;" - Per "&amp;VLOOKUP($C$4,'Writing Logic'!$G$8:$H$14,2,FALSE),YES_Writing_ELA[#Headers],0)))),"")</f>
        <v/>
      </c>
      <c r="G387" s="138" t="str">
        <f>IFERROR(IF(IF(INDEX(_xlfn.VSTACK(YES_Writing_ELA[#Data],YES_Writing_FLA[#Data]),MATCH($A387,_xlfn.VSTACK(YES_Writing_ELA[Student Number],YES_Writing_FLA[Student Number]),0),MATCH(VLOOKUP(G$7,'Writing Logic'!$J$7:$K$11,2,FALSE)&amp;" - Per "&amp;VLOOKUP($C$4,'Writing Logic'!$G$8:$H$14,2,FALSE),YES_Writing_ELA[#Headers],0))=0,"",INDEX(_xlfn.VSTACK(YES_Writing_ELA[#Data],YES_Writing_FLA[#Data]),MATCH($A387,_xlfn.VSTACK(YES_Writing_ELA[Student Number],YES_Writing_FLA[Student Number]),0),MATCH(VLOOKUP(G$7,'Writing Logic'!$J$7:$K$11,2,FALSE)&amp;" - Per "&amp;VLOOKUP($C$4,'Writing Logic'!$G$8:$H$14,2,FALSE),YES_Writing_ELA[#Headers],0)))="INS",'Writing Logic'!$B$7,IF(INDEX(_xlfn.VSTACK(YES_Writing_ELA[#Data],YES_Writing_FLA[#Data]),MATCH($A387,_xlfn.VSTACK(YES_Writing_ELA[Student Number],YES_Writing_FLA[Student Number]),0),MATCH(VLOOKUP(G$7,'Writing Logic'!$J$7:$K$11,2,FALSE)&amp;" - Per "&amp;VLOOKUP($C$4,'Writing Logic'!$G$8:$H$14,2,FALSE),YES_Writing_ELA[#Headers],0))=0,"",INDEX(_xlfn.VSTACK(YES_Writing_ELA[#Data],YES_Writing_FLA[#Data]),MATCH($A387,_xlfn.VSTACK(YES_Writing_ELA[Student Number],YES_Writing_FLA[Student Number]),0),MATCH(VLOOKUP(G$7,'Writing Logic'!$J$7:$K$11,2,FALSE)&amp;" - Per "&amp;VLOOKUP($C$4,'Writing Logic'!$G$8:$H$14,2,FALSE),YES_Writing_ELA[#Headers],0)))),"")</f>
        <v/>
      </c>
      <c r="H387" s="223" t="str">
        <f>IFERROR(IF(IF(INDEX(_xlfn.VSTACK(YES_Writing_ELA[#Data],YES_Writing_FLA[#Data]),MATCH($A387,_xlfn.VSTACK(YES_Writing_ELA[Student Number],YES_Writing_FLA[Student Number]),0),MATCH(VLOOKUP(H$7,'Writing Logic'!$J$7:$K$11,2,FALSE)&amp;" - Per "&amp;VLOOKUP($C$4,'Writing Logic'!$G$8:$H$14,2,FALSE),YES_Writing_ELA[#Headers],0))=0,"",INDEX(_xlfn.VSTACK(YES_Writing_ELA[#Data],YES_Writing_FLA[#Data]),MATCH($A387,_xlfn.VSTACK(YES_Writing_ELA[Student Number],YES_Writing_FLA[Student Number]),0),MATCH(VLOOKUP(H$7,'Writing Logic'!$J$7:$K$11,2,FALSE)&amp;" - Per "&amp;VLOOKUP($C$4,'Writing Logic'!$G$8:$H$14,2,FALSE),YES_Writing_ELA[#Headers],0)))="INS",'Writing Logic'!$B$7,IF(INDEX(_xlfn.VSTACK(YES_Writing_ELA[#Data],YES_Writing_FLA[#Data]),MATCH($A387,_xlfn.VSTACK(YES_Writing_ELA[Student Number],YES_Writing_FLA[Student Number]),0),MATCH(VLOOKUP(H$7,'Writing Logic'!$J$7:$K$11,2,FALSE)&amp;" - Per "&amp;VLOOKUP($C$4,'Writing Logic'!$G$8:$H$14,2,FALSE),YES_Writing_ELA[#Headers],0))=0,"",INDEX(_xlfn.VSTACK(YES_Writing_ELA[#Data],YES_Writing_FLA[#Data]),MATCH($A387,_xlfn.VSTACK(YES_Writing_ELA[Student Number],YES_Writing_FLA[Student Number]),0),MATCH(VLOOKUP(H$7,'Writing Logic'!$J$7:$K$11,2,FALSE)&amp;" - Per "&amp;VLOOKUP($C$4,'Writing Logic'!$G$8:$H$14,2,FALSE),YES_Writing_ELA[#Headers],0)))),"")</f>
        <v/>
      </c>
      <c r="I387" s="224" t="str" cm="1">
        <f t="array" aca="1" ref="I387" ca="1">IFERROR(
IF($G$3="ELA",
IF(VLOOKUP($A387, YES_Reading_ELA[], COLUMN(INDIRECT("YES_Reading_ELA[Difference - Per "&amp;VLOOKUP($G$4, 'Reading Report Logic'!$A$2:$B$8, 2, FALSE)&amp;"]")), FALSE)="", "",
VLOOKUP($A387,YES_Reading_ELA[], COLUMN(INDIRECT("YES_Reading_ELA[Difference - Per "&amp;VLOOKUP($G$4,'Reading Report Logic'!$A$2:$B$8,2,FALSE)&amp;"]")), FALSE)),
IF($G$3="FLA",
IF(VLOOKUP($A387, YES_Reading_FLA[], COLUMN(INDIRECT("YES_Reading_FLA[Difference - Per "&amp;VLOOKUP($G$4,'Reading Report Logic'!$A$2:$B$8,2,FALSE)&amp;"]")),FALSE)="","",
VLOOKUP($A387,YES_Reading_FLA[],COLUMN(INDIRECT("YES_Reading_FLA[Difference - Per "&amp;VLOOKUP($G$4,'Reading Report Logic'!$A$2:$B$8,2,FALSE)&amp;"]")),FALSE)),
IF($G$3="Combined",
IFERROR(
IF(VLOOKUP($A387, YES_Reading_ELA[], COLUMN(INDIRECT("YES_Reading_ELA[Difference - Per "&amp;VLOOKUP($G$4, 'Reading Report Logic'!$A$2:$B$8,2,FALSE)&amp;"]")), FALSE)="", "",
VLOOKUP($A387,YES_Reading_ELA[],COLUMN(INDIRECT("YES_Reading_ELA[Difference - Per "&amp;VLOOKUP($G$4,'Reading Report Logic'!$A$2:$B$8,2,FALSE)&amp;"]")),FALSE)),
IF(VLOOKUP($A387, YES_Reading_FLA[], COLUMN(INDIRECT("YES_Reading_FLA[Difference - Per "&amp;VLOOKUP($G$4, 'Reading Report Logic'!$A$2:$B$8, 2, FALSE)&amp;"]")),FALSE)="", "", VLOOKUP($A387,YES_Reading_FLA[],COLUMN(INDIRECT("YES_Reading_FLA[Difference - Per "&amp;VLOOKUP($G$4, 'Reading Report Logic'!$A$2:$B$8, 2, FALSE)&amp;"]")),FALSE))),""))),"")</f>
        <v/>
      </c>
    </row>
    <row r="388" spans="1:9" x14ac:dyDescent="0.25">
      <c r="A388" s="137"/>
      <c r="B388" s="137" t="str">
        <f>IFERROR(INDEX(_xlfn.VSTACK(YES_Writing_ELA[#Data], YES_Writing_FLA[#Data]),MATCH($A388,_xlfn.VSTACK(YES_Writing_ELA[Student Number], YES_Writing_FLA[Student Number]),0),MATCH(B$7,YES_Writing_ELA[#Headers],0)),IFERROR(INDEX(_xlfn.VSTACK(YES_Reading_ELA[#Data], YES_Reading_FLA[#Data]),MATCH($A388,_xlfn.VSTACK(YES_Reading_ELA[Student Number], YES_Reading_FLA[Student Number]),0),MATCH(B$7,YES_Reading_ELA[#Headers],0)),""))</f>
        <v/>
      </c>
      <c r="C388" s="137" t="str">
        <f>IFERROR(INDEX(_xlfn.VSTACK(YES_Writing_ELA[#Data], YES_Writing_FLA[#Data]),MATCH($A388,_xlfn.VSTACK(YES_Writing_ELA[Student Number], YES_Writing_FLA[Student Number]),0),MATCH(C$7,YES_Writing_ELA[#Headers],0)),IFERROR(INDEX(_xlfn.VSTACK(YES_Reading_ELA[#Data], YES_Reading_FLA[#Data]),MATCH($A388,_xlfn.VSTACK(YES_Reading_ELA[Student Number], YES_Reading_FLA[Student Number]),0),MATCH(C$7,YES_Reading_ELA[#Headers],0)),""))</f>
        <v/>
      </c>
      <c r="D388" s="138" t="str">
        <f>IFERROR(IF(IF(INDEX(_xlfn.VSTACK(YES_Writing_ELA[#Data],YES_Writing_FLA[#Data]),MATCH($A388,_xlfn.VSTACK(YES_Writing_ELA[Student Number],YES_Writing_FLA[Student Number]),0),MATCH(VLOOKUP(D$7,'Writing Logic'!$J$7:$K$11,2,FALSE)&amp;" - Per "&amp;VLOOKUP($C$4,'Writing Logic'!$G$8:$H$14,2,FALSE),YES_Writing_ELA[#Headers],0))=0,"",INDEX(_xlfn.VSTACK(YES_Writing_ELA[#Data],YES_Writing_FLA[#Data]),MATCH($A388,_xlfn.VSTACK(YES_Writing_ELA[Student Number],YES_Writing_FLA[Student Number]),0),MATCH(VLOOKUP(D$7,'Writing Logic'!$J$7:$K$11,2,FALSE)&amp;" - Per "&amp;VLOOKUP($C$4,'Writing Logic'!$G$8:$H$14,2,FALSE),YES_Writing_ELA[#Headers],0)))="INS",'Writing Logic'!$B$7,IF(INDEX(_xlfn.VSTACK(YES_Writing_ELA[#Data],YES_Writing_FLA[#Data]),MATCH($A388,_xlfn.VSTACK(YES_Writing_ELA[Student Number],YES_Writing_FLA[Student Number]),0),MATCH(VLOOKUP(D$7,'Writing Logic'!$J$7:$K$11,2,FALSE)&amp;" - Per "&amp;VLOOKUP($C$4,'Writing Logic'!$G$8:$H$14,2,FALSE),YES_Writing_ELA[#Headers],0))=0,"",INDEX(_xlfn.VSTACK(YES_Writing_ELA[#Data],YES_Writing_FLA[#Data]),MATCH($A388,_xlfn.VSTACK(YES_Writing_ELA[Student Number],YES_Writing_FLA[Student Number]),0),MATCH(VLOOKUP(D$7,'Writing Logic'!$J$7:$K$11,2,FALSE)&amp;" - Per "&amp;VLOOKUP($C$4,'Writing Logic'!$G$8:$H$14,2,FALSE),YES_Writing_ELA[#Headers],0)))),"")</f>
        <v/>
      </c>
      <c r="E388" s="138" t="str">
        <f>IFERROR(IF(IF(INDEX(_xlfn.VSTACK(YES_Writing_ELA[#Data],YES_Writing_FLA[#Data]),MATCH($A388,_xlfn.VSTACK(YES_Writing_ELA[Student Number],YES_Writing_FLA[Student Number]),0),MATCH(VLOOKUP(E$7,'Writing Logic'!$J$7:$K$11,2,FALSE)&amp;" - Per "&amp;VLOOKUP($C$4,'Writing Logic'!$G$8:$H$14,2,FALSE),YES_Writing_ELA[#Headers],0))=0,"",INDEX(_xlfn.VSTACK(YES_Writing_ELA[#Data],YES_Writing_FLA[#Data]),MATCH($A388,_xlfn.VSTACK(YES_Writing_ELA[Student Number],YES_Writing_FLA[Student Number]),0),MATCH(VLOOKUP(E$7,'Writing Logic'!$J$7:$K$11,2,FALSE)&amp;" - Per "&amp;VLOOKUP($C$4,'Writing Logic'!$G$8:$H$14,2,FALSE),YES_Writing_ELA[#Headers],0)))="INS",'Writing Logic'!$B$7,IF(INDEX(_xlfn.VSTACK(YES_Writing_ELA[#Data],YES_Writing_FLA[#Data]),MATCH($A388,_xlfn.VSTACK(YES_Writing_ELA[Student Number],YES_Writing_FLA[Student Number]),0),MATCH(VLOOKUP(E$7,'Writing Logic'!$J$7:$K$11,2,FALSE)&amp;" - Per "&amp;VLOOKUP($C$4,'Writing Logic'!$G$8:$H$14,2,FALSE),YES_Writing_ELA[#Headers],0))=0,"",INDEX(_xlfn.VSTACK(YES_Writing_ELA[#Data],YES_Writing_FLA[#Data]),MATCH($A388,_xlfn.VSTACK(YES_Writing_ELA[Student Number],YES_Writing_FLA[Student Number]),0),MATCH(VLOOKUP(E$7,'Writing Logic'!$J$7:$K$11,2,FALSE)&amp;" - Per "&amp;VLOOKUP($C$4,'Writing Logic'!$G$8:$H$14,2,FALSE),YES_Writing_ELA[#Headers],0)))),"")</f>
        <v/>
      </c>
      <c r="F388" s="138" t="str">
        <f>IFERROR(IF(IF(INDEX(_xlfn.VSTACK(YES_Writing_ELA[#Data],YES_Writing_FLA[#Data]),MATCH($A388,_xlfn.VSTACK(YES_Writing_ELA[Student Number],YES_Writing_FLA[Student Number]),0),MATCH(VLOOKUP(F$7,'Writing Logic'!$J$7:$K$11,2,FALSE)&amp;" - Per "&amp;VLOOKUP($C$4,'Writing Logic'!$G$8:$H$14,2,FALSE),YES_Writing_ELA[#Headers],0))=0,"",INDEX(_xlfn.VSTACK(YES_Writing_ELA[#Data],YES_Writing_FLA[#Data]),MATCH($A388,_xlfn.VSTACK(YES_Writing_ELA[Student Number],YES_Writing_FLA[Student Number]),0),MATCH(VLOOKUP(F$7,'Writing Logic'!$J$7:$K$11,2,FALSE)&amp;" - Per "&amp;VLOOKUP($C$4,'Writing Logic'!$G$8:$H$14,2,FALSE),YES_Writing_ELA[#Headers],0)))="INS",'Writing Logic'!$B$7,IF(INDEX(_xlfn.VSTACK(YES_Writing_ELA[#Data],YES_Writing_FLA[#Data]),MATCH($A388,_xlfn.VSTACK(YES_Writing_ELA[Student Number],YES_Writing_FLA[Student Number]),0),MATCH(VLOOKUP(F$7,'Writing Logic'!$J$7:$K$11,2,FALSE)&amp;" - Per "&amp;VLOOKUP($C$4,'Writing Logic'!$G$8:$H$14,2,FALSE),YES_Writing_ELA[#Headers],0))=0,"",INDEX(_xlfn.VSTACK(YES_Writing_ELA[#Data],YES_Writing_FLA[#Data]),MATCH($A388,_xlfn.VSTACK(YES_Writing_ELA[Student Number],YES_Writing_FLA[Student Number]),0),MATCH(VLOOKUP(F$7,'Writing Logic'!$J$7:$K$11,2,FALSE)&amp;" - Per "&amp;VLOOKUP($C$4,'Writing Logic'!$G$8:$H$14,2,FALSE),YES_Writing_ELA[#Headers],0)))),"")</f>
        <v/>
      </c>
      <c r="G388" s="138" t="str">
        <f>IFERROR(IF(IF(INDEX(_xlfn.VSTACK(YES_Writing_ELA[#Data],YES_Writing_FLA[#Data]),MATCH($A388,_xlfn.VSTACK(YES_Writing_ELA[Student Number],YES_Writing_FLA[Student Number]),0),MATCH(VLOOKUP(G$7,'Writing Logic'!$J$7:$K$11,2,FALSE)&amp;" - Per "&amp;VLOOKUP($C$4,'Writing Logic'!$G$8:$H$14,2,FALSE),YES_Writing_ELA[#Headers],0))=0,"",INDEX(_xlfn.VSTACK(YES_Writing_ELA[#Data],YES_Writing_FLA[#Data]),MATCH($A388,_xlfn.VSTACK(YES_Writing_ELA[Student Number],YES_Writing_FLA[Student Number]),0),MATCH(VLOOKUP(G$7,'Writing Logic'!$J$7:$K$11,2,FALSE)&amp;" - Per "&amp;VLOOKUP($C$4,'Writing Logic'!$G$8:$H$14,2,FALSE),YES_Writing_ELA[#Headers],0)))="INS",'Writing Logic'!$B$7,IF(INDEX(_xlfn.VSTACK(YES_Writing_ELA[#Data],YES_Writing_FLA[#Data]),MATCH($A388,_xlfn.VSTACK(YES_Writing_ELA[Student Number],YES_Writing_FLA[Student Number]),0),MATCH(VLOOKUP(G$7,'Writing Logic'!$J$7:$K$11,2,FALSE)&amp;" - Per "&amp;VLOOKUP($C$4,'Writing Logic'!$G$8:$H$14,2,FALSE),YES_Writing_ELA[#Headers],0))=0,"",INDEX(_xlfn.VSTACK(YES_Writing_ELA[#Data],YES_Writing_FLA[#Data]),MATCH($A388,_xlfn.VSTACK(YES_Writing_ELA[Student Number],YES_Writing_FLA[Student Number]),0),MATCH(VLOOKUP(G$7,'Writing Logic'!$J$7:$K$11,2,FALSE)&amp;" - Per "&amp;VLOOKUP($C$4,'Writing Logic'!$G$8:$H$14,2,FALSE),YES_Writing_ELA[#Headers],0)))),"")</f>
        <v/>
      </c>
      <c r="H388" s="223" t="str">
        <f>IFERROR(IF(IF(INDEX(_xlfn.VSTACK(YES_Writing_ELA[#Data],YES_Writing_FLA[#Data]),MATCH($A388,_xlfn.VSTACK(YES_Writing_ELA[Student Number],YES_Writing_FLA[Student Number]),0),MATCH(VLOOKUP(H$7,'Writing Logic'!$J$7:$K$11,2,FALSE)&amp;" - Per "&amp;VLOOKUP($C$4,'Writing Logic'!$G$8:$H$14,2,FALSE),YES_Writing_ELA[#Headers],0))=0,"",INDEX(_xlfn.VSTACK(YES_Writing_ELA[#Data],YES_Writing_FLA[#Data]),MATCH($A388,_xlfn.VSTACK(YES_Writing_ELA[Student Number],YES_Writing_FLA[Student Number]),0),MATCH(VLOOKUP(H$7,'Writing Logic'!$J$7:$K$11,2,FALSE)&amp;" - Per "&amp;VLOOKUP($C$4,'Writing Logic'!$G$8:$H$14,2,FALSE),YES_Writing_ELA[#Headers],0)))="INS",'Writing Logic'!$B$7,IF(INDEX(_xlfn.VSTACK(YES_Writing_ELA[#Data],YES_Writing_FLA[#Data]),MATCH($A388,_xlfn.VSTACK(YES_Writing_ELA[Student Number],YES_Writing_FLA[Student Number]),0),MATCH(VLOOKUP(H$7,'Writing Logic'!$J$7:$K$11,2,FALSE)&amp;" - Per "&amp;VLOOKUP($C$4,'Writing Logic'!$G$8:$H$14,2,FALSE),YES_Writing_ELA[#Headers],0))=0,"",INDEX(_xlfn.VSTACK(YES_Writing_ELA[#Data],YES_Writing_FLA[#Data]),MATCH($A388,_xlfn.VSTACK(YES_Writing_ELA[Student Number],YES_Writing_FLA[Student Number]),0),MATCH(VLOOKUP(H$7,'Writing Logic'!$J$7:$K$11,2,FALSE)&amp;" - Per "&amp;VLOOKUP($C$4,'Writing Logic'!$G$8:$H$14,2,FALSE),YES_Writing_ELA[#Headers],0)))),"")</f>
        <v/>
      </c>
      <c r="I388" s="224" t="str" cm="1">
        <f t="array" aca="1" ref="I388" ca="1">IFERROR(
IF($G$3="ELA",
IF(VLOOKUP($A388, YES_Reading_ELA[], COLUMN(INDIRECT("YES_Reading_ELA[Difference - Per "&amp;VLOOKUP($G$4, 'Reading Report Logic'!$A$2:$B$8, 2, FALSE)&amp;"]")), FALSE)="", "",
VLOOKUP($A388,YES_Reading_ELA[], COLUMN(INDIRECT("YES_Reading_ELA[Difference - Per "&amp;VLOOKUP($G$4,'Reading Report Logic'!$A$2:$B$8,2,FALSE)&amp;"]")), FALSE)),
IF($G$3="FLA",
IF(VLOOKUP($A388, YES_Reading_FLA[], COLUMN(INDIRECT("YES_Reading_FLA[Difference - Per "&amp;VLOOKUP($G$4,'Reading Report Logic'!$A$2:$B$8,2,FALSE)&amp;"]")),FALSE)="","",
VLOOKUP($A388,YES_Reading_FLA[],COLUMN(INDIRECT("YES_Reading_FLA[Difference - Per "&amp;VLOOKUP($G$4,'Reading Report Logic'!$A$2:$B$8,2,FALSE)&amp;"]")),FALSE)),
IF($G$3="Combined",
IFERROR(
IF(VLOOKUP($A388, YES_Reading_ELA[], COLUMN(INDIRECT("YES_Reading_ELA[Difference - Per "&amp;VLOOKUP($G$4, 'Reading Report Logic'!$A$2:$B$8,2,FALSE)&amp;"]")), FALSE)="", "",
VLOOKUP($A388,YES_Reading_ELA[],COLUMN(INDIRECT("YES_Reading_ELA[Difference - Per "&amp;VLOOKUP($G$4,'Reading Report Logic'!$A$2:$B$8,2,FALSE)&amp;"]")),FALSE)),
IF(VLOOKUP($A388, YES_Reading_FLA[], COLUMN(INDIRECT("YES_Reading_FLA[Difference - Per "&amp;VLOOKUP($G$4, 'Reading Report Logic'!$A$2:$B$8, 2, FALSE)&amp;"]")),FALSE)="", "", VLOOKUP($A388,YES_Reading_FLA[],COLUMN(INDIRECT("YES_Reading_FLA[Difference - Per "&amp;VLOOKUP($G$4, 'Reading Report Logic'!$A$2:$B$8, 2, FALSE)&amp;"]")),FALSE))),""))),"")</f>
        <v/>
      </c>
    </row>
    <row r="389" spans="1:9" x14ac:dyDescent="0.25">
      <c r="A389" s="137"/>
      <c r="B389" s="137" t="str">
        <f>IFERROR(INDEX(_xlfn.VSTACK(YES_Writing_ELA[#Data], YES_Writing_FLA[#Data]),MATCH($A389,_xlfn.VSTACK(YES_Writing_ELA[Student Number], YES_Writing_FLA[Student Number]),0),MATCH(B$7,YES_Writing_ELA[#Headers],0)),IFERROR(INDEX(_xlfn.VSTACK(YES_Reading_ELA[#Data], YES_Reading_FLA[#Data]),MATCH($A389,_xlfn.VSTACK(YES_Reading_ELA[Student Number], YES_Reading_FLA[Student Number]),0),MATCH(B$7,YES_Reading_ELA[#Headers],0)),""))</f>
        <v/>
      </c>
      <c r="C389" s="137" t="str">
        <f>IFERROR(INDEX(_xlfn.VSTACK(YES_Writing_ELA[#Data], YES_Writing_FLA[#Data]),MATCH($A389,_xlfn.VSTACK(YES_Writing_ELA[Student Number], YES_Writing_FLA[Student Number]),0),MATCH(C$7,YES_Writing_ELA[#Headers],0)),IFERROR(INDEX(_xlfn.VSTACK(YES_Reading_ELA[#Data], YES_Reading_FLA[#Data]),MATCH($A389,_xlfn.VSTACK(YES_Reading_ELA[Student Number], YES_Reading_FLA[Student Number]),0),MATCH(C$7,YES_Reading_ELA[#Headers],0)),""))</f>
        <v/>
      </c>
      <c r="D389" s="138" t="str">
        <f>IFERROR(IF(IF(INDEX(_xlfn.VSTACK(YES_Writing_ELA[#Data],YES_Writing_FLA[#Data]),MATCH($A389,_xlfn.VSTACK(YES_Writing_ELA[Student Number],YES_Writing_FLA[Student Number]),0),MATCH(VLOOKUP(D$7,'Writing Logic'!$J$7:$K$11,2,FALSE)&amp;" - Per "&amp;VLOOKUP($C$4,'Writing Logic'!$G$8:$H$14,2,FALSE),YES_Writing_ELA[#Headers],0))=0,"",INDEX(_xlfn.VSTACK(YES_Writing_ELA[#Data],YES_Writing_FLA[#Data]),MATCH($A389,_xlfn.VSTACK(YES_Writing_ELA[Student Number],YES_Writing_FLA[Student Number]),0),MATCH(VLOOKUP(D$7,'Writing Logic'!$J$7:$K$11,2,FALSE)&amp;" - Per "&amp;VLOOKUP($C$4,'Writing Logic'!$G$8:$H$14,2,FALSE),YES_Writing_ELA[#Headers],0)))="INS",'Writing Logic'!$B$7,IF(INDEX(_xlfn.VSTACK(YES_Writing_ELA[#Data],YES_Writing_FLA[#Data]),MATCH($A389,_xlfn.VSTACK(YES_Writing_ELA[Student Number],YES_Writing_FLA[Student Number]),0),MATCH(VLOOKUP(D$7,'Writing Logic'!$J$7:$K$11,2,FALSE)&amp;" - Per "&amp;VLOOKUP($C$4,'Writing Logic'!$G$8:$H$14,2,FALSE),YES_Writing_ELA[#Headers],0))=0,"",INDEX(_xlfn.VSTACK(YES_Writing_ELA[#Data],YES_Writing_FLA[#Data]),MATCH($A389,_xlfn.VSTACK(YES_Writing_ELA[Student Number],YES_Writing_FLA[Student Number]),0),MATCH(VLOOKUP(D$7,'Writing Logic'!$J$7:$K$11,2,FALSE)&amp;" - Per "&amp;VLOOKUP($C$4,'Writing Logic'!$G$8:$H$14,2,FALSE),YES_Writing_ELA[#Headers],0)))),"")</f>
        <v/>
      </c>
      <c r="E389" s="138" t="str">
        <f>IFERROR(IF(IF(INDEX(_xlfn.VSTACK(YES_Writing_ELA[#Data],YES_Writing_FLA[#Data]),MATCH($A389,_xlfn.VSTACK(YES_Writing_ELA[Student Number],YES_Writing_FLA[Student Number]),0),MATCH(VLOOKUP(E$7,'Writing Logic'!$J$7:$K$11,2,FALSE)&amp;" - Per "&amp;VLOOKUP($C$4,'Writing Logic'!$G$8:$H$14,2,FALSE),YES_Writing_ELA[#Headers],0))=0,"",INDEX(_xlfn.VSTACK(YES_Writing_ELA[#Data],YES_Writing_FLA[#Data]),MATCH($A389,_xlfn.VSTACK(YES_Writing_ELA[Student Number],YES_Writing_FLA[Student Number]),0),MATCH(VLOOKUP(E$7,'Writing Logic'!$J$7:$K$11,2,FALSE)&amp;" - Per "&amp;VLOOKUP($C$4,'Writing Logic'!$G$8:$H$14,2,FALSE),YES_Writing_ELA[#Headers],0)))="INS",'Writing Logic'!$B$7,IF(INDEX(_xlfn.VSTACK(YES_Writing_ELA[#Data],YES_Writing_FLA[#Data]),MATCH($A389,_xlfn.VSTACK(YES_Writing_ELA[Student Number],YES_Writing_FLA[Student Number]),0),MATCH(VLOOKUP(E$7,'Writing Logic'!$J$7:$K$11,2,FALSE)&amp;" - Per "&amp;VLOOKUP($C$4,'Writing Logic'!$G$8:$H$14,2,FALSE),YES_Writing_ELA[#Headers],0))=0,"",INDEX(_xlfn.VSTACK(YES_Writing_ELA[#Data],YES_Writing_FLA[#Data]),MATCH($A389,_xlfn.VSTACK(YES_Writing_ELA[Student Number],YES_Writing_FLA[Student Number]),0),MATCH(VLOOKUP(E$7,'Writing Logic'!$J$7:$K$11,2,FALSE)&amp;" - Per "&amp;VLOOKUP($C$4,'Writing Logic'!$G$8:$H$14,2,FALSE),YES_Writing_ELA[#Headers],0)))),"")</f>
        <v/>
      </c>
      <c r="F389" s="138" t="str">
        <f>IFERROR(IF(IF(INDEX(_xlfn.VSTACK(YES_Writing_ELA[#Data],YES_Writing_FLA[#Data]),MATCH($A389,_xlfn.VSTACK(YES_Writing_ELA[Student Number],YES_Writing_FLA[Student Number]),0),MATCH(VLOOKUP(F$7,'Writing Logic'!$J$7:$K$11,2,FALSE)&amp;" - Per "&amp;VLOOKUP($C$4,'Writing Logic'!$G$8:$H$14,2,FALSE),YES_Writing_ELA[#Headers],0))=0,"",INDEX(_xlfn.VSTACK(YES_Writing_ELA[#Data],YES_Writing_FLA[#Data]),MATCH($A389,_xlfn.VSTACK(YES_Writing_ELA[Student Number],YES_Writing_FLA[Student Number]),0),MATCH(VLOOKUP(F$7,'Writing Logic'!$J$7:$K$11,2,FALSE)&amp;" - Per "&amp;VLOOKUP($C$4,'Writing Logic'!$G$8:$H$14,2,FALSE),YES_Writing_ELA[#Headers],0)))="INS",'Writing Logic'!$B$7,IF(INDEX(_xlfn.VSTACK(YES_Writing_ELA[#Data],YES_Writing_FLA[#Data]),MATCH($A389,_xlfn.VSTACK(YES_Writing_ELA[Student Number],YES_Writing_FLA[Student Number]),0),MATCH(VLOOKUP(F$7,'Writing Logic'!$J$7:$K$11,2,FALSE)&amp;" - Per "&amp;VLOOKUP($C$4,'Writing Logic'!$G$8:$H$14,2,FALSE),YES_Writing_ELA[#Headers],0))=0,"",INDEX(_xlfn.VSTACK(YES_Writing_ELA[#Data],YES_Writing_FLA[#Data]),MATCH($A389,_xlfn.VSTACK(YES_Writing_ELA[Student Number],YES_Writing_FLA[Student Number]),0),MATCH(VLOOKUP(F$7,'Writing Logic'!$J$7:$K$11,2,FALSE)&amp;" - Per "&amp;VLOOKUP($C$4,'Writing Logic'!$G$8:$H$14,2,FALSE),YES_Writing_ELA[#Headers],0)))),"")</f>
        <v/>
      </c>
      <c r="G389" s="138" t="str">
        <f>IFERROR(IF(IF(INDEX(_xlfn.VSTACK(YES_Writing_ELA[#Data],YES_Writing_FLA[#Data]),MATCH($A389,_xlfn.VSTACK(YES_Writing_ELA[Student Number],YES_Writing_FLA[Student Number]),0),MATCH(VLOOKUP(G$7,'Writing Logic'!$J$7:$K$11,2,FALSE)&amp;" - Per "&amp;VLOOKUP($C$4,'Writing Logic'!$G$8:$H$14,2,FALSE),YES_Writing_ELA[#Headers],0))=0,"",INDEX(_xlfn.VSTACK(YES_Writing_ELA[#Data],YES_Writing_FLA[#Data]),MATCH($A389,_xlfn.VSTACK(YES_Writing_ELA[Student Number],YES_Writing_FLA[Student Number]),0),MATCH(VLOOKUP(G$7,'Writing Logic'!$J$7:$K$11,2,FALSE)&amp;" - Per "&amp;VLOOKUP($C$4,'Writing Logic'!$G$8:$H$14,2,FALSE),YES_Writing_ELA[#Headers],0)))="INS",'Writing Logic'!$B$7,IF(INDEX(_xlfn.VSTACK(YES_Writing_ELA[#Data],YES_Writing_FLA[#Data]),MATCH($A389,_xlfn.VSTACK(YES_Writing_ELA[Student Number],YES_Writing_FLA[Student Number]),0),MATCH(VLOOKUP(G$7,'Writing Logic'!$J$7:$K$11,2,FALSE)&amp;" - Per "&amp;VLOOKUP($C$4,'Writing Logic'!$G$8:$H$14,2,FALSE),YES_Writing_ELA[#Headers],0))=0,"",INDEX(_xlfn.VSTACK(YES_Writing_ELA[#Data],YES_Writing_FLA[#Data]),MATCH($A389,_xlfn.VSTACK(YES_Writing_ELA[Student Number],YES_Writing_FLA[Student Number]),0),MATCH(VLOOKUP(G$7,'Writing Logic'!$J$7:$K$11,2,FALSE)&amp;" - Per "&amp;VLOOKUP($C$4,'Writing Logic'!$G$8:$H$14,2,FALSE),YES_Writing_ELA[#Headers],0)))),"")</f>
        <v/>
      </c>
      <c r="H389" s="223" t="str">
        <f>IFERROR(IF(IF(INDEX(_xlfn.VSTACK(YES_Writing_ELA[#Data],YES_Writing_FLA[#Data]),MATCH($A389,_xlfn.VSTACK(YES_Writing_ELA[Student Number],YES_Writing_FLA[Student Number]),0),MATCH(VLOOKUP(H$7,'Writing Logic'!$J$7:$K$11,2,FALSE)&amp;" - Per "&amp;VLOOKUP($C$4,'Writing Logic'!$G$8:$H$14,2,FALSE),YES_Writing_ELA[#Headers],0))=0,"",INDEX(_xlfn.VSTACK(YES_Writing_ELA[#Data],YES_Writing_FLA[#Data]),MATCH($A389,_xlfn.VSTACK(YES_Writing_ELA[Student Number],YES_Writing_FLA[Student Number]),0),MATCH(VLOOKUP(H$7,'Writing Logic'!$J$7:$K$11,2,FALSE)&amp;" - Per "&amp;VLOOKUP($C$4,'Writing Logic'!$G$8:$H$14,2,FALSE),YES_Writing_ELA[#Headers],0)))="INS",'Writing Logic'!$B$7,IF(INDEX(_xlfn.VSTACK(YES_Writing_ELA[#Data],YES_Writing_FLA[#Data]),MATCH($A389,_xlfn.VSTACK(YES_Writing_ELA[Student Number],YES_Writing_FLA[Student Number]),0),MATCH(VLOOKUP(H$7,'Writing Logic'!$J$7:$K$11,2,FALSE)&amp;" - Per "&amp;VLOOKUP($C$4,'Writing Logic'!$G$8:$H$14,2,FALSE),YES_Writing_ELA[#Headers],0))=0,"",INDEX(_xlfn.VSTACK(YES_Writing_ELA[#Data],YES_Writing_FLA[#Data]),MATCH($A389,_xlfn.VSTACK(YES_Writing_ELA[Student Number],YES_Writing_FLA[Student Number]),0),MATCH(VLOOKUP(H$7,'Writing Logic'!$J$7:$K$11,2,FALSE)&amp;" - Per "&amp;VLOOKUP($C$4,'Writing Logic'!$G$8:$H$14,2,FALSE),YES_Writing_ELA[#Headers],0)))),"")</f>
        <v/>
      </c>
      <c r="I389" s="224" t="str" cm="1">
        <f t="array" aca="1" ref="I389" ca="1">IFERROR(
IF($G$3="ELA",
IF(VLOOKUP($A389, YES_Reading_ELA[], COLUMN(INDIRECT("YES_Reading_ELA[Difference - Per "&amp;VLOOKUP($G$4, 'Reading Report Logic'!$A$2:$B$8, 2, FALSE)&amp;"]")), FALSE)="", "",
VLOOKUP($A389,YES_Reading_ELA[], COLUMN(INDIRECT("YES_Reading_ELA[Difference - Per "&amp;VLOOKUP($G$4,'Reading Report Logic'!$A$2:$B$8,2,FALSE)&amp;"]")), FALSE)),
IF($G$3="FLA",
IF(VLOOKUP($A389, YES_Reading_FLA[], COLUMN(INDIRECT("YES_Reading_FLA[Difference - Per "&amp;VLOOKUP($G$4,'Reading Report Logic'!$A$2:$B$8,2,FALSE)&amp;"]")),FALSE)="","",
VLOOKUP($A389,YES_Reading_FLA[],COLUMN(INDIRECT("YES_Reading_FLA[Difference - Per "&amp;VLOOKUP($G$4,'Reading Report Logic'!$A$2:$B$8,2,FALSE)&amp;"]")),FALSE)),
IF($G$3="Combined",
IFERROR(
IF(VLOOKUP($A389, YES_Reading_ELA[], COLUMN(INDIRECT("YES_Reading_ELA[Difference - Per "&amp;VLOOKUP($G$4, 'Reading Report Logic'!$A$2:$B$8,2,FALSE)&amp;"]")), FALSE)="", "",
VLOOKUP($A389,YES_Reading_ELA[],COLUMN(INDIRECT("YES_Reading_ELA[Difference - Per "&amp;VLOOKUP($G$4,'Reading Report Logic'!$A$2:$B$8,2,FALSE)&amp;"]")),FALSE)),
IF(VLOOKUP($A389, YES_Reading_FLA[], COLUMN(INDIRECT("YES_Reading_FLA[Difference - Per "&amp;VLOOKUP($G$4, 'Reading Report Logic'!$A$2:$B$8, 2, FALSE)&amp;"]")),FALSE)="", "", VLOOKUP($A389,YES_Reading_FLA[],COLUMN(INDIRECT("YES_Reading_FLA[Difference - Per "&amp;VLOOKUP($G$4, 'Reading Report Logic'!$A$2:$B$8, 2, FALSE)&amp;"]")),FALSE))),""))),"")</f>
        <v/>
      </c>
    </row>
    <row r="390" spans="1:9" x14ac:dyDescent="0.25">
      <c r="A390" s="137"/>
      <c r="B390" s="137" t="str">
        <f>IFERROR(INDEX(_xlfn.VSTACK(YES_Writing_ELA[#Data], YES_Writing_FLA[#Data]),MATCH($A390,_xlfn.VSTACK(YES_Writing_ELA[Student Number], YES_Writing_FLA[Student Number]),0),MATCH(B$7,YES_Writing_ELA[#Headers],0)),IFERROR(INDEX(_xlfn.VSTACK(YES_Reading_ELA[#Data], YES_Reading_FLA[#Data]),MATCH($A390,_xlfn.VSTACK(YES_Reading_ELA[Student Number], YES_Reading_FLA[Student Number]),0),MATCH(B$7,YES_Reading_ELA[#Headers],0)),""))</f>
        <v/>
      </c>
      <c r="C390" s="137" t="str">
        <f>IFERROR(INDEX(_xlfn.VSTACK(YES_Writing_ELA[#Data], YES_Writing_FLA[#Data]),MATCH($A390,_xlfn.VSTACK(YES_Writing_ELA[Student Number], YES_Writing_FLA[Student Number]),0),MATCH(C$7,YES_Writing_ELA[#Headers],0)),IFERROR(INDEX(_xlfn.VSTACK(YES_Reading_ELA[#Data], YES_Reading_FLA[#Data]),MATCH($A390,_xlfn.VSTACK(YES_Reading_ELA[Student Number], YES_Reading_FLA[Student Number]),0),MATCH(C$7,YES_Reading_ELA[#Headers],0)),""))</f>
        <v/>
      </c>
      <c r="D390" s="138" t="str">
        <f>IFERROR(IF(IF(INDEX(_xlfn.VSTACK(YES_Writing_ELA[#Data],YES_Writing_FLA[#Data]),MATCH($A390,_xlfn.VSTACK(YES_Writing_ELA[Student Number],YES_Writing_FLA[Student Number]),0),MATCH(VLOOKUP(D$7,'Writing Logic'!$J$7:$K$11,2,FALSE)&amp;" - Per "&amp;VLOOKUP($C$4,'Writing Logic'!$G$8:$H$14,2,FALSE),YES_Writing_ELA[#Headers],0))=0,"",INDEX(_xlfn.VSTACK(YES_Writing_ELA[#Data],YES_Writing_FLA[#Data]),MATCH($A390,_xlfn.VSTACK(YES_Writing_ELA[Student Number],YES_Writing_FLA[Student Number]),0),MATCH(VLOOKUP(D$7,'Writing Logic'!$J$7:$K$11,2,FALSE)&amp;" - Per "&amp;VLOOKUP($C$4,'Writing Logic'!$G$8:$H$14,2,FALSE),YES_Writing_ELA[#Headers],0)))="INS",'Writing Logic'!$B$7,IF(INDEX(_xlfn.VSTACK(YES_Writing_ELA[#Data],YES_Writing_FLA[#Data]),MATCH($A390,_xlfn.VSTACK(YES_Writing_ELA[Student Number],YES_Writing_FLA[Student Number]),0),MATCH(VLOOKUP(D$7,'Writing Logic'!$J$7:$K$11,2,FALSE)&amp;" - Per "&amp;VLOOKUP($C$4,'Writing Logic'!$G$8:$H$14,2,FALSE),YES_Writing_ELA[#Headers],0))=0,"",INDEX(_xlfn.VSTACK(YES_Writing_ELA[#Data],YES_Writing_FLA[#Data]),MATCH($A390,_xlfn.VSTACK(YES_Writing_ELA[Student Number],YES_Writing_FLA[Student Number]),0),MATCH(VLOOKUP(D$7,'Writing Logic'!$J$7:$K$11,2,FALSE)&amp;" - Per "&amp;VLOOKUP($C$4,'Writing Logic'!$G$8:$H$14,2,FALSE),YES_Writing_ELA[#Headers],0)))),"")</f>
        <v/>
      </c>
      <c r="E390" s="138" t="str">
        <f>IFERROR(IF(IF(INDEX(_xlfn.VSTACK(YES_Writing_ELA[#Data],YES_Writing_FLA[#Data]),MATCH($A390,_xlfn.VSTACK(YES_Writing_ELA[Student Number],YES_Writing_FLA[Student Number]),0),MATCH(VLOOKUP(E$7,'Writing Logic'!$J$7:$K$11,2,FALSE)&amp;" - Per "&amp;VLOOKUP($C$4,'Writing Logic'!$G$8:$H$14,2,FALSE),YES_Writing_ELA[#Headers],0))=0,"",INDEX(_xlfn.VSTACK(YES_Writing_ELA[#Data],YES_Writing_FLA[#Data]),MATCH($A390,_xlfn.VSTACK(YES_Writing_ELA[Student Number],YES_Writing_FLA[Student Number]),0),MATCH(VLOOKUP(E$7,'Writing Logic'!$J$7:$K$11,2,FALSE)&amp;" - Per "&amp;VLOOKUP($C$4,'Writing Logic'!$G$8:$H$14,2,FALSE),YES_Writing_ELA[#Headers],0)))="INS",'Writing Logic'!$B$7,IF(INDEX(_xlfn.VSTACK(YES_Writing_ELA[#Data],YES_Writing_FLA[#Data]),MATCH($A390,_xlfn.VSTACK(YES_Writing_ELA[Student Number],YES_Writing_FLA[Student Number]),0),MATCH(VLOOKUP(E$7,'Writing Logic'!$J$7:$K$11,2,FALSE)&amp;" - Per "&amp;VLOOKUP($C$4,'Writing Logic'!$G$8:$H$14,2,FALSE),YES_Writing_ELA[#Headers],0))=0,"",INDEX(_xlfn.VSTACK(YES_Writing_ELA[#Data],YES_Writing_FLA[#Data]),MATCH($A390,_xlfn.VSTACK(YES_Writing_ELA[Student Number],YES_Writing_FLA[Student Number]),0),MATCH(VLOOKUP(E$7,'Writing Logic'!$J$7:$K$11,2,FALSE)&amp;" - Per "&amp;VLOOKUP($C$4,'Writing Logic'!$G$8:$H$14,2,FALSE),YES_Writing_ELA[#Headers],0)))),"")</f>
        <v/>
      </c>
      <c r="F390" s="138" t="str">
        <f>IFERROR(IF(IF(INDEX(_xlfn.VSTACK(YES_Writing_ELA[#Data],YES_Writing_FLA[#Data]),MATCH($A390,_xlfn.VSTACK(YES_Writing_ELA[Student Number],YES_Writing_FLA[Student Number]),0),MATCH(VLOOKUP(F$7,'Writing Logic'!$J$7:$K$11,2,FALSE)&amp;" - Per "&amp;VLOOKUP($C$4,'Writing Logic'!$G$8:$H$14,2,FALSE),YES_Writing_ELA[#Headers],0))=0,"",INDEX(_xlfn.VSTACK(YES_Writing_ELA[#Data],YES_Writing_FLA[#Data]),MATCH($A390,_xlfn.VSTACK(YES_Writing_ELA[Student Number],YES_Writing_FLA[Student Number]),0),MATCH(VLOOKUP(F$7,'Writing Logic'!$J$7:$K$11,2,FALSE)&amp;" - Per "&amp;VLOOKUP($C$4,'Writing Logic'!$G$8:$H$14,2,FALSE),YES_Writing_ELA[#Headers],0)))="INS",'Writing Logic'!$B$7,IF(INDEX(_xlfn.VSTACK(YES_Writing_ELA[#Data],YES_Writing_FLA[#Data]),MATCH($A390,_xlfn.VSTACK(YES_Writing_ELA[Student Number],YES_Writing_FLA[Student Number]),0),MATCH(VLOOKUP(F$7,'Writing Logic'!$J$7:$K$11,2,FALSE)&amp;" - Per "&amp;VLOOKUP($C$4,'Writing Logic'!$G$8:$H$14,2,FALSE),YES_Writing_ELA[#Headers],0))=0,"",INDEX(_xlfn.VSTACK(YES_Writing_ELA[#Data],YES_Writing_FLA[#Data]),MATCH($A390,_xlfn.VSTACK(YES_Writing_ELA[Student Number],YES_Writing_FLA[Student Number]),0),MATCH(VLOOKUP(F$7,'Writing Logic'!$J$7:$K$11,2,FALSE)&amp;" - Per "&amp;VLOOKUP($C$4,'Writing Logic'!$G$8:$H$14,2,FALSE),YES_Writing_ELA[#Headers],0)))),"")</f>
        <v/>
      </c>
      <c r="G390" s="138" t="str">
        <f>IFERROR(IF(IF(INDEX(_xlfn.VSTACK(YES_Writing_ELA[#Data],YES_Writing_FLA[#Data]),MATCH($A390,_xlfn.VSTACK(YES_Writing_ELA[Student Number],YES_Writing_FLA[Student Number]),0),MATCH(VLOOKUP(G$7,'Writing Logic'!$J$7:$K$11,2,FALSE)&amp;" - Per "&amp;VLOOKUP($C$4,'Writing Logic'!$G$8:$H$14,2,FALSE),YES_Writing_ELA[#Headers],0))=0,"",INDEX(_xlfn.VSTACK(YES_Writing_ELA[#Data],YES_Writing_FLA[#Data]),MATCH($A390,_xlfn.VSTACK(YES_Writing_ELA[Student Number],YES_Writing_FLA[Student Number]),0),MATCH(VLOOKUP(G$7,'Writing Logic'!$J$7:$K$11,2,FALSE)&amp;" - Per "&amp;VLOOKUP($C$4,'Writing Logic'!$G$8:$H$14,2,FALSE),YES_Writing_ELA[#Headers],0)))="INS",'Writing Logic'!$B$7,IF(INDEX(_xlfn.VSTACK(YES_Writing_ELA[#Data],YES_Writing_FLA[#Data]),MATCH($A390,_xlfn.VSTACK(YES_Writing_ELA[Student Number],YES_Writing_FLA[Student Number]),0),MATCH(VLOOKUP(G$7,'Writing Logic'!$J$7:$K$11,2,FALSE)&amp;" - Per "&amp;VLOOKUP($C$4,'Writing Logic'!$G$8:$H$14,2,FALSE),YES_Writing_ELA[#Headers],0))=0,"",INDEX(_xlfn.VSTACK(YES_Writing_ELA[#Data],YES_Writing_FLA[#Data]),MATCH($A390,_xlfn.VSTACK(YES_Writing_ELA[Student Number],YES_Writing_FLA[Student Number]),0),MATCH(VLOOKUP(G$7,'Writing Logic'!$J$7:$K$11,2,FALSE)&amp;" - Per "&amp;VLOOKUP($C$4,'Writing Logic'!$G$8:$H$14,2,FALSE),YES_Writing_ELA[#Headers],0)))),"")</f>
        <v/>
      </c>
      <c r="H390" s="223" t="str">
        <f>IFERROR(IF(IF(INDEX(_xlfn.VSTACK(YES_Writing_ELA[#Data],YES_Writing_FLA[#Data]),MATCH($A390,_xlfn.VSTACK(YES_Writing_ELA[Student Number],YES_Writing_FLA[Student Number]),0),MATCH(VLOOKUP(H$7,'Writing Logic'!$J$7:$K$11,2,FALSE)&amp;" - Per "&amp;VLOOKUP($C$4,'Writing Logic'!$G$8:$H$14,2,FALSE),YES_Writing_ELA[#Headers],0))=0,"",INDEX(_xlfn.VSTACK(YES_Writing_ELA[#Data],YES_Writing_FLA[#Data]),MATCH($A390,_xlfn.VSTACK(YES_Writing_ELA[Student Number],YES_Writing_FLA[Student Number]),0),MATCH(VLOOKUP(H$7,'Writing Logic'!$J$7:$K$11,2,FALSE)&amp;" - Per "&amp;VLOOKUP($C$4,'Writing Logic'!$G$8:$H$14,2,FALSE),YES_Writing_ELA[#Headers],0)))="INS",'Writing Logic'!$B$7,IF(INDEX(_xlfn.VSTACK(YES_Writing_ELA[#Data],YES_Writing_FLA[#Data]),MATCH($A390,_xlfn.VSTACK(YES_Writing_ELA[Student Number],YES_Writing_FLA[Student Number]),0),MATCH(VLOOKUP(H$7,'Writing Logic'!$J$7:$K$11,2,FALSE)&amp;" - Per "&amp;VLOOKUP($C$4,'Writing Logic'!$G$8:$H$14,2,FALSE),YES_Writing_ELA[#Headers],0))=0,"",INDEX(_xlfn.VSTACK(YES_Writing_ELA[#Data],YES_Writing_FLA[#Data]),MATCH($A390,_xlfn.VSTACK(YES_Writing_ELA[Student Number],YES_Writing_FLA[Student Number]),0),MATCH(VLOOKUP(H$7,'Writing Logic'!$J$7:$K$11,2,FALSE)&amp;" - Per "&amp;VLOOKUP($C$4,'Writing Logic'!$G$8:$H$14,2,FALSE),YES_Writing_ELA[#Headers],0)))),"")</f>
        <v/>
      </c>
      <c r="I390" s="224" t="str" cm="1">
        <f t="array" aca="1" ref="I390" ca="1">IFERROR(
IF($G$3="ELA",
IF(VLOOKUP($A390, YES_Reading_ELA[], COLUMN(INDIRECT("YES_Reading_ELA[Difference - Per "&amp;VLOOKUP($G$4, 'Reading Report Logic'!$A$2:$B$8, 2, FALSE)&amp;"]")), FALSE)="", "",
VLOOKUP($A390,YES_Reading_ELA[], COLUMN(INDIRECT("YES_Reading_ELA[Difference - Per "&amp;VLOOKUP($G$4,'Reading Report Logic'!$A$2:$B$8,2,FALSE)&amp;"]")), FALSE)),
IF($G$3="FLA",
IF(VLOOKUP($A390, YES_Reading_FLA[], COLUMN(INDIRECT("YES_Reading_FLA[Difference - Per "&amp;VLOOKUP($G$4,'Reading Report Logic'!$A$2:$B$8,2,FALSE)&amp;"]")),FALSE)="","",
VLOOKUP($A390,YES_Reading_FLA[],COLUMN(INDIRECT("YES_Reading_FLA[Difference - Per "&amp;VLOOKUP($G$4,'Reading Report Logic'!$A$2:$B$8,2,FALSE)&amp;"]")),FALSE)),
IF($G$3="Combined",
IFERROR(
IF(VLOOKUP($A390, YES_Reading_ELA[], COLUMN(INDIRECT("YES_Reading_ELA[Difference - Per "&amp;VLOOKUP($G$4, 'Reading Report Logic'!$A$2:$B$8,2,FALSE)&amp;"]")), FALSE)="", "",
VLOOKUP($A390,YES_Reading_ELA[],COLUMN(INDIRECT("YES_Reading_ELA[Difference - Per "&amp;VLOOKUP($G$4,'Reading Report Logic'!$A$2:$B$8,2,FALSE)&amp;"]")),FALSE)),
IF(VLOOKUP($A390, YES_Reading_FLA[], COLUMN(INDIRECT("YES_Reading_FLA[Difference - Per "&amp;VLOOKUP($G$4, 'Reading Report Logic'!$A$2:$B$8, 2, FALSE)&amp;"]")),FALSE)="", "", VLOOKUP($A390,YES_Reading_FLA[],COLUMN(INDIRECT("YES_Reading_FLA[Difference - Per "&amp;VLOOKUP($G$4, 'Reading Report Logic'!$A$2:$B$8, 2, FALSE)&amp;"]")),FALSE))),""))),"")</f>
        <v/>
      </c>
    </row>
    <row r="391" spans="1:9" x14ac:dyDescent="0.25">
      <c r="A391" s="137"/>
      <c r="B391" s="137" t="str">
        <f>IFERROR(INDEX(_xlfn.VSTACK(YES_Writing_ELA[#Data], YES_Writing_FLA[#Data]),MATCH($A391,_xlfn.VSTACK(YES_Writing_ELA[Student Number], YES_Writing_FLA[Student Number]),0),MATCH(B$7,YES_Writing_ELA[#Headers],0)),IFERROR(INDEX(_xlfn.VSTACK(YES_Reading_ELA[#Data], YES_Reading_FLA[#Data]),MATCH($A391,_xlfn.VSTACK(YES_Reading_ELA[Student Number], YES_Reading_FLA[Student Number]),0),MATCH(B$7,YES_Reading_ELA[#Headers],0)),""))</f>
        <v/>
      </c>
      <c r="C391" s="137" t="str">
        <f>IFERROR(INDEX(_xlfn.VSTACK(YES_Writing_ELA[#Data], YES_Writing_FLA[#Data]),MATCH($A391,_xlfn.VSTACK(YES_Writing_ELA[Student Number], YES_Writing_FLA[Student Number]),0),MATCH(C$7,YES_Writing_ELA[#Headers],0)),IFERROR(INDEX(_xlfn.VSTACK(YES_Reading_ELA[#Data], YES_Reading_FLA[#Data]),MATCH($A391,_xlfn.VSTACK(YES_Reading_ELA[Student Number], YES_Reading_FLA[Student Number]),0),MATCH(C$7,YES_Reading_ELA[#Headers],0)),""))</f>
        <v/>
      </c>
      <c r="D391" s="138" t="str">
        <f>IFERROR(IF(IF(INDEX(_xlfn.VSTACK(YES_Writing_ELA[#Data],YES_Writing_FLA[#Data]),MATCH($A391,_xlfn.VSTACK(YES_Writing_ELA[Student Number],YES_Writing_FLA[Student Number]),0),MATCH(VLOOKUP(D$7,'Writing Logic'!$J$7:$K$11,2,FALSE)&amp;" - Per "&amp;VLOOKUP($C$4,'Writing Logic'!$G$8:$H$14,2,FALSE),YES_Writing_ELA[#Headers],0))=0,"",INDEX(_xlfn.VSTACK(YES_Writing_ELA[#Data],YES_Writing_FLA[#Data]),MATCH($A391,_xlfn.VSTACK(YES_Writing_ELA[Student Number],YES_Writing_FLA[Student Number]),0),MATCH(VLOOKUP(D$7,'Writing Logic'!$J$7:$K$11,2,FALSE)&amp;" - Per "&amp;VLOOKUP($C$4,'Writing Logic'!$G$8:$H$14,2,FALSE),YES_Writing_ELA[#Headers],0)))="INS",'Writing Logic'!$B$7,IF(INDEX(_xlfn.VSTACK(YES_Writing_ELA[#Data],YES_Writing_FLA[#Data]),MATCH($A391,_xlfn.VSTACK(YES_Writing_ELA[Student Number],YES_Writing_FLA[Student Number]),0),MATCH(VLOOKUP(D$7,'Writing Logic'!$J$7:$K$11,2,FALSE)&amp;" - Per "&amp;VLOOKUP($C$4,'Writing Logic'!$G$8:$H$14,2,FALSE),YES_Writing_ELA[#Headers],0))=0,"",INDEX(_xlfn.VSTACK(YES_Writing_ELA[#Data],YES_Writing_FLA[#Data]),MATCH($A391,_xlfn.VSTACK(YES_Writing_ELA[Student Number],YES_Writing_FLA[Student Number]),0),MATCH(VLOOKUP(D$7,'Writing Logic'!$J$7:$K$11,2,FALSE)&amp;" - Per "&amp;VLOOKUP($C$4,'Writing Logic'!$G$8:$H$14,2,FALSE),YES_Writing_ELA[#Headers],0)))),"")</f>
        <v/>
      </c>
      <c r="E391" s="138" t="str">
        <f>IFERROR(IF(IF(INDEX(_xlfn.VSTACK(YES_Writing_ELA[#Data],YES_Writing_FLA[#Data]),MATCH($A391,_xlfn.VSTACK(YES_Writing_ELA[Student Number],YES_Writing_FLA[Student Number]),0),MATCH(VLOOKUP(E$7,'Writing Logic'!$J$7:$K$11,2,FALSE)&amp;" - Per "&amp;VLOOKUP($C$4,'Writing Logic'!$G$8:$H$14,2,FALSE),YES_Writing_ELA[#Headers],0))=0,"",INDEX(_xlfn.VSTACK(YES_Writing_ELA[#Data],YES_Writing_FLA[#Data]),MATCH($A391,_xlfn.VSTACK(YES_Writing_ELA[Student Number],YES_Writing_FLA[Student Number]),0),MATCH(VLOOKUP(E$7,'Writing Logic'!$J$7:$K$11,2,FALSE)&amp;" - Per "&amp;VLOOKUP($C$4,'Writing Logic'!$G$8:$H$14,2,FALSE),YES_Writing_ELA[#Headers],0)))="INS",'Writing Logic'!$B$7,IF(INDEX(_xlfn.VSTACK(YES_Writing_ELA[#Data],YES_Writing_FLA[#Data]),MATCH($A391,_xlfn.VSTACK(YES_Writing_ELA[Student Number],YES_Writing_FLA[Student Number]),0),MATCH(VLOOKUP(E$7,'Writing Logic'!$J$7:$K$11,2,FALSE)&amp;" - Per "&amp;VLOOKUP($C$4,'Writing Logic'!$G$8:$H$14,2,FALSE),YES_Writing_ELA[#Headers],0))=0,"",INDEX(_xlfn.VSTACK(YES_Writing_ELA[#Data],YES_Writing_FLA[#Data]),MATCH($A391,_xlfn.VSTACK(YES_Writing_ELA[Student Number],YES_Writing_FLA[Student Number]),0),MATCH(VLOOKUP(E$7,'Writing Logic'!$J$7:$K$11,2,FALSE)&amp;" - Per "&amp;VLOOKUP($C$4,'Writing Logic'!$G$8:$H$14,2,FALSE),YES_Writing_ELA[#Headers],0)))),"")</f>
        <v/>
      </c>
      <c r="F391" s="138" t="str">
        <f>IFERROR(IF(IF(INDEX(_xlfn.VSTACK(YES_Writing_ELA[#Data],YES_Writing_FLA[#Data]),MATCH($A391,_xlfn.VSTACK(YES_Writing_ELA[Student Number],YES_Writing_FLA[Student Number]),0),MATCH(VLOOKUP(F$7,'Writing Logic'!$J$7:$K$11,2,FALSE)&amp;" - Per "&amp;VLOOKUP($C$4,'Writing Logic'!$G$8:$H$14,2,FALSE),YES_Writing_ELA[#Headers],0))=0,"",INDEX(_xlfn.VSTACK(YES_Writing_ELA[#Data],YES_Writing_FLA[#Data]),MATCH($A391,_xlfn.VSTACK(YES_Writing_ELA[Student Number],YES_Writing_FLA[Student Number]),0),MATCH(VLOOKUP(F$7,'Writing Logic'!$J$7:$K$11,2,FALSE)&amp;" - Per "&amp;VLOOKUP($C$4,'Writing Logic'!$G$8:$H$14,2,FALSE),YES_Writing_ELA[#Headers],0)))="INS",'Writing Logic'!$B$7,IF(INDEX(_xlfn.VSTACK(YES_Writing_ELA[#Data],YES_Writing_FLA[#Data]),MATCH($A391,_xlfn.VSTACK(YES_Writing_ELA[Student Number],YES_Writing_FLA[Student Number]),0),MATCH(VLOOKUP(F$7,'Writing Logic'!$J$7:$K$11,2,FALSE)&amp;" - Per "&amp;VLOOKUP($C$4,'Writing Logic'!$G$8:$H$14,2,FALSE),YES_Writing_ELA[#Headers],0))=0,"",INDEX(_xlfn.VSTACK(YES_Writing_ELA[#Data],YES_Writing_FLA[#Data]),MATCH($A391,_xlfn.VSTACK(YES_Writing_ELA[Student Number],YES_Writing_FLA[Student Number]),0),MATCH(VLOOKUP(F$7,'Writing Logic'!$J$7:$K$11,2,FALSE)&amp;" - Per "&amp;VLOOKUP($C$4,'Writing Logic'!$G$8:$H$14,2,FALSE),YES_Writing_ELA[#Headers],0)))),"")</f>
        <v/>
      </c>
      <c r="G391" s="138" t="str">
        <f>IFERROR(IF(IF(INDEX(_xlfn.VSTACK(YES_Writing_ELA[#Data],YES_Writing_FLA[#Data]),MATCH($A391,_xlfn.VSTACK(YES_Writing_ELA[Student Number],YES_Writing_FLA[Student Number]),0),MATCH(VLOOKUP(G$7,'Writing Logic'!$J$7:$K$11,2,FALSE)&amp;" - Per "&amp;VLOOKUP($C$4,'Writing Logic'!$G$8:$H$14,2,FALSE),YES_Writing_ELA[#Headers],0))=0,"",INDEX(_xlfn.VSTACK(YES_Writing_ELA[#Data],YES_Writing_FLA[#Data]),MATCH($A391,_xlfn.VSTACK(YES_Writing_ELA[Student Number],YES_Writing_FLA[Student Number]),0),MATCH(VLOOKUP(G$7,'Writing Logic'!$J$7:$K$11,2,FALSE)&amp;" - Per "&amp;VLOOKUP($C$4,'Writing Logic'!$G$8:$H$14,2,FALSE),YES_Writing_ELA[#Headers],0)))="INS",'Writing Logic'!$B$7,IF(INDEX(_xlfn.VSTACK(YES_Writing_ELA[#Data],YES_Writing_FLA[#Data]),MATCH($A391,_xlfn.VSTACK(YES_Writing_ELA[Student Number],YES_Writing_FLA[Student Number]),0),MATCH(VLOOKUP(G$7,'Writing Logic'!$J$7:$K$11,2,FALSE)&amp;" - Per "&amp;VLOOKUP($C$4,'Writing Logic'!$G$8:$H$14,2,FALSE),YES_Writing_ELA[#Headers],0))=0,"",INDEX(_xlfn.VSTACK(YES_Writing_ELA[#Data],YES_Writing_FLA[#Data]),MATCH($A391,_xlfn.VSTACK(YES_Writing_ELA[Student Number],YES_Writing_FLA[Student Number]),0),MATCH(VLOOKUP(G$7,'Writing Logic'!$J$7:$K$11,2,FALSE)&amp;" - Per "&amp;VLOOKUP($C$4,'Writing Logic'!$G$8:$H$14,2,FALSE),YES_Writing_ELA[#Headers],0)))),"")</f>
        <v/>
      </c>
      <c r="H391" s="223" t="str">
        <f>IFERROR(IF(IF(INDEX(_xlfn.VSTACK(YES_Writing_ELA[#Data],YES_Writing_FLA[#Data]),MATCH($A391,_xlfn.VSTACK(YES_Writing_ELA[Student Number],YES_Writing_FLA[Student Number]),0),MATCH(VLOOKUP(H$7,'Writing Logic'!$J$7:$K$11,2,FALSE)&amp;" - Per "&amp;VLOOKUP($C$4,'Writing Logic'!$G$8:$H$14,2,FALSE),YES_Writing_ELA[#Headers],0))=0,"",INDEX(_xlfn.VSTACK(YES_Writing_ELA[#Data],YES_Writing_FLA[#Data]),MATCH($A391,_xlfn.VSTACK(YES_Writing_ELA[Student Number],YES_Writing_FLA[Student Number]),0),MATCH(VLOOKUP(H$7,'Writing Logic'!$J$7:$K$11,2,FALSE)&amp;" - Per "&amp;VLOOKUP($C$4,'Writing Logic'!$G$8:$H$14,2,FALSE),YES_Writing_ELA[#Headers],0)))="INS",'Writing Logic'!$B$7,IF(INDEX(_xlfn.VSTACK(YES_Writing_ELA[#Data],YES_Writing_FLA[#Data]),MATCH($A391,_xlfn.VSTACK(YES_Writing_ELA[Student Number],YES_Writing_FLA[Student Number]),0),MATCH(VLOOKUP(H$7,'Writing Logic'!$J$7:$K$11,2,FALSE)&amp;" - Per "&amp;VLOOKUP($C$4,'Writing Logic'!$G$8:$H$14,2,FALSE),YES_Writing_ELA[#Headers],0))=0,"",INDEX(_xlfn.VSTACK(YES_Writing_ELA[#Data],YES_Writing_FLA[#Data]),MATCH($A391,_xlfn.VSTACK(YES_Writing_ELA[Student Number],YES_Writing_FLA[Student Number]),0),MATCH(VLOOKUP(H$7,'Writing Logic'!$J$7:$K$11,2,FALSE)&amp;" - Per "&amp;VLOOKUP($C$4,'Writing Logic'!$G$8:$H$14,2,FALSE),YES_Writing_ELA[#Headers],0)))),"")</f>
        <v/>
      </c>
      <c r="I391" s="224" t="str" cm="1">
        <f t="array" aca="1" ref="I391" ca="1">IFERROR(
IF($G$3="ELA",
IF(VLOOKUP($A391, YES_Reading_ELA[], COLUMN(INDIRECT("YES_Reading_ELA[Difference - Per "&amp;VLOOKUP($G$4, 'Reading Report Logic'!$A$2:$B$8, 2, FALSE)&amp;"]")), FALSE)="", "",
VLOOKUP($A391,YES_Reading_ELA[], COLUMN(INDIRECT("YES_Reading_ELA[Difference - Per "&amp;VLOOKUP($G$4,'Reading Report Logic'!$A$2:$B$8,2,FALSE)&amp;"]")), FALSE)),
IF($G$3="FLA",
IF(VLOOKUP($A391, YES_Reading_FLA[], COLUMN(INDIRECT("YES_Reading_FLA[Difference - Per "&amp;VLOOKUP($G$4,'Reading Report Logic'!$A$2:$B$8,2,FALSE)&amp;"]")),FALSE)="","",
VLOOKUP($A391,YES_Reading_FLA[],COLUMN(INDIRECT("YES_Reading_FLA[Difference - Per "&amp;VLOOKUP($G$4,'Reading Report Logic'!$A$2:$B$8,2,FALSE)&amp;"]")),FALSE)),
IF($G$3="Combined",
IFERROR(
IF(VLOOKUP($A391, YES_Reading_ELA[], COLUMN(INDIRECT("YES_Reading_ELA[Difference - Per "&amp;VLOOKUP($G$4, 'Reading Report Logic'!$A$2:$B$8,2,FALSE)&amp;"]")), FALSE)="", "",
VLOOKUP($A391,YES_Reading_ELA[],COLUMN(INDIRECT("YES_Reading_ELA[Difference - Per "&amp;VLOOKUP($G$4,'Reading Report Logic'!$A$2:$B$8,2,FALSE)&amp;"]")),FALSE)),
IF(VLOOKUP($A391, YES_Reading_FLA[], COLUMN(INDIRECT("YES_Reading_FLA[Difference - Per "&amp;VLOOKUP($G$4, 'Reading Report Logic'!$A$2:$B$8, 2, FALSE)&amp;"]")),FALSE)="", "", VLOOKUP($A391,YES_Reading_FLA[],COLUMN(INDIRECT("YES_Reading_FLA[Difference - Per "&amp;VLOOKUP($G$4, 'Reading Report Logic'!$A$2:$B$8, 2, FALSE)&amp;"]")),FALSE))),""))),"")</f>
        <v/>
      </c>
    </row>
    <row r="392" spans="1:9" x14ac:dyDescent="0.25">
      <c r="A392" s="137"/>
      <c r="B392" s="137" t="str">
        <f>IFERROR(INDEX(_xlfn.VSTACK(YES_Writing_ELA[#Data], YES_Writing_FLA[#Data]),MATCH($A392,_xlfn.VSTACK(YES_Writing_ELA[Student Number], YES_Writing_FLA[Student Number]),0),MATCH(B$7,YES_Writing_ELA[#Headers],0)),IFERROR(INDEX(_xlfn.VSTACK(YES_Reading_ELA[#Data], YES_Reading_FLA[#Data]),MATCH($A392,_xlfn.VSTACK(YES_Reading_ELA[Student Number], YES_Reading_FLA[Student Number]),0),MATCH(B$7,YES_Reading_ELA[#Headers],0)),""))</f>
        <v/>
      </c>
      <c r="C392" s="137" t="str">
        <f>IFERROR(INDEX(_xlfn.VSTACK(YES_Writing_ELA[#Data], YES_Writing_FLA[#Data]),MATCH($A392,_xlfn.VSTACK(YES_Writing_ELA[Student Number], YES_Writing_FLA[Student Number]),0),MATCH(C$7,YES_Writing_ELA[#Headers],0)),IFERROR(INDEX(_xlfn.VSTACK(YES_Reading_ELA[#Data], YES_Reading_FLA[#Data]),MATCH($A392,_xlfn.VSTACK(YES_Reading_ELA[Student Number], YES_Reading_FLA[Student Number]),0),MATCH(C$7,YES_Reading_ELA[#Headers],0)),""))</f>
        <v/>
      </c>
      <c r="D392" s="138" t="str">
        <f>IFERROR(IF(IF(INDEX(_xlfn.VSTACK(YES_Writing_ELA[#Data],YES_Writing_FLA[#Data]),MATCH($A392,_xlfn.VSTACK(YES_Writing_ELA[Student Number],YES_Writing_FLA[Student Number]),0),MATCH(VLOOKUP(D$7,'Writing Logic'!$J$7:$K$11,2,FALSE)&amp;" - Per "&amp;VLOOKUP($C$4,'Writing Logic'!$G$8:$H$14,2,FALSE),YES_Writing_ELA[#Headers],0))=0,"",INDEX(_xlfn.VSTACK(YES_Writing_ELA[#Data],YES_Writing_FLA[#Data]),MATCH($A392,_xlfn.VSTACK(YES_Writing_ELA[Student Number],YES_Writing_FLA[Student Number]),0),MATCH(VLOOKUP(D$7,'Writing Logic'!$J$7:$K$11,2,FALSE)&amp;" - Per "&amp;VLOOKUP($C$4,'Writing Logic'!$G$8:$H$14,2,FALSE),YES_Writing_ELA[#Headers],0)))="INS",'Writing Logic'!$B$7,IF(INDEX(_xlfn.VSTACK(YES_Writing_ELA[#Data],YES_Writing_FLA[#Data]),MATCH($A392,_xlfn.VSTACK(YES_Writing_ELA[Student Number],YES_Writing_FLA[Student Number]),0),MATCH(VLOOKUP(D$7,'Writing Logic'!$J$7:$K$11,2,FALSE)&amp;" - Per "&amp;VLOOKUP($C$4,'Writing Logic'!$G$8:$H$14,2,FALSE),YES_Writing_ELA[#Headers],0))=0,"",INDEX(_xlfn.VSTACK(YES_Writing_ELA[#Data],YES_Writing_FLA[#Data]),MATCH($A392,_xlfn.VSTACK(YES_Writing_ELA[Student Number],YES_Writing_FLA[Student Number]),0),MATCH(VLOOKUP(D$7,'Writing Logic'!$J$7:$K$11,2,FALSE)&amp;" - Per "&amp;VLOOKUP($C$4,'Writing Logic'!$G$8:$H$14,2,FALSE),YES_Writing_ELA[#Headers],0)))),"")</f>
        <v/>
      </c>
      <c r="E392" s="138" t="str">
        <f>IFERROR(IF(IF(INDEX(_xlfn.VSTACK(YES_Writing_ELA[#Data],YES_Writing_FLA[#Data]),MATCH($A392,_xlfn.VSTACK(YES_Writing_ELA[Student Number],YES_Writing_FLA[Student Number]),0),MATCH(VLOOKUP(E$7,'Writing Logic'!$J$7:$K$11,2,FALSE)&amp;" - Per "&amp;VLOOKUP($C$4,'Writing Logic'!$G$8:$H$14,2,FALSE),YES_Writing_ELA[#Headers],0))=0,"",INDEX(_xlfn.VSTACK(YES_Writing_ELA[#Data],YES_Writing_FLA[#Data]),MATCH($A392,_xlfn.VSTACK(YES_Writing_ELA[Student Number],YES_Writing_FLA[Student Number]),0),MATCH(VLOOKUP(E$7,'Writing Logic'!$J$7:$K$11,2,FALSE)&amp;" - Per "&amp;VLOOKUP($C$4,'Writing Logic'!$G$8:$H$14,2,FALSE),YES_Writing_ELA[#Headers],0)))="INS",'Writing Logic'!$B$7,IF(INDEX(_xlfn.VSTACK(YES_Writing_ELA[#Data],YES_Writing_FLA[#Data]),MATCH($A392,_xlfn.VSTACK(YES_Writing_ELA[Student Number],YES_Writing_FLA[Student Number]),0),MATCH(VLOOKUP(E$7,'Writing Logic'!$J$7:$K$11,2,FALSE)&amp;" - Per "&amp;VLOOKUP($C$4,'Writing Logic'!$G$8:$H$14,2,FALSE),YES_Writing_ELA[#Headers],0))=0,"",INDEX(_xlfn.VSTACK(YES_Writing_ELA[#Data],YES_Writing_FLA[#Data]),MATCH($A392,_xlfn.VSTACK(YES_Writing_ELA[Student Number],YES_Writing_FLA[Student Number]),0),MATCH(VLOOKUP(E$7,'Writing Logic'!$J$7:$K$11,2,FALSE)&amp;" - Per "&amp;VLOOKUP($C$4,'Writing Logic'!$G$8:$H$14,2,FALSE),YES_Writing_ELA[#Headers],0)))),"")</f>
        <v/>
      </c>
      <c r="F392" s="138" t="str">
        <f>IFERROR(IF(IF(INDEX(_xlfn.VSTACK(YES_Writing_ELA[#Data],YES_Writing_FLA[#Data]),MATCH($A392,_xlfn.VSTACK(YES_Writing_ELA[Student Number],YES_Writing_FLA[Student Number]),0),MATCH(VLOOKUP(F$7,'Writing Logic'!$J$7:$K$11,2,FALSE)&amp;" - Per "&amp;VLOOKUP($C$4,'Writing Logic'!$G$8:$H$14,2,FALSE),YES_Writing_ELA[#Headers],0))=0,"",INDEX(_xlfn.VSTACK(YES_Writing_ELA[#Data],YES_Writing_FLA[#Data]),MATCH($A392,_xlfn.VSTACK(YES_Writing_ELA[Student Number],YES_Writing_FLA[Student Number]),0),MATCH(VLOOKUP(F$7,'Writing Logic'!$J$7:$K$11,2,FALSE)&amp;" - Per "&amp;VLOOKUP($C$4,'Writing Logic'!$G$8:$H$14,2,FALSE),YES_Writing_ELA[#Headers],0)))="INS",'Writing Logic'!$B$7,IF(INDEX(_xlfn.VSTACK(YES_Writing_ELA[#Data],YES_Writing_FLA[#Data]),MATCH($A392,_xlfn.VSTACK(YES_Writing_ELA[Student Number],YES_Writing_FLA[Student Number]),0),MATCH(VLOOKUP(F$7,'Writing Logic'!$J$7:$K$11,2,FALSE)&amp;" - Per "&amp;VLOOKUP($C$4,'Writing Logic'!$G$8:$H$14,2,FALSE),YES_Writing_ELA[#Headers],0))=0,"",INDEX(_xlfn.VSTACK(YES_Writing_ELA[#Data],YES_Writing_FLA[#Data]),MATCH($A392,_xlfn.VSTACK(YES_Writing_ELA[Student Number],YES_Writing_FLA[Student Number]),0),MATCH(VLOOKUP(F$7,'Writing Logic'!$J$7:$K$11,2,FALSE)&amp;" - Per "&amp;VLOOKUP($C$4,'Writing Logic'!$G$8:$H$14,2,FALSE),YES_Writing_ELA[#Headers],0)))),"")</f>
        <v/>
      </c>
      <c r="G392" s="138" t="str">
        <f>IFERROR(IF(IF(INDEX(_xlfn.VSTACK(YES_Writing_ELA[#Data],YES_Writing_FLA[#Data]),MATCH($A392,_xlfn.VSTACK(YES_Writing_ELA[Student Number],YES_Writing_FLA[Student Number]),0),MATCH(VLOOKUP(G$7,'Writing Logic'!$J$7:$K$11,2,FALSE)&amp;" - Per "&amp;VLOOKUP($C$4,'Writing Logic'!$G$8:$H$14,2,FALSE),YES_Writing_ELA[#Headers],0))=0,"",INDEX(_xlfn.VSTACK(YES_Writing_ELA[#Data],YES_Writing_FLA[#Data]),MATCH($A392,_xlfn.VSTACK(YES_Writing_ELA[Student Number],YES_Writing_FLA[Student Number]),0),MATCH(VLOOKUP(G$7,'Writing Logic'!$J$7:$K$11,2,FALSE)&amp;" - Per "&amp;VLOOKUP($C$4,'Writing Logic'!$G$8:$H$14,2,FALSE),YES_Writing_ELA[#Headers],0)))="INS",'Writing Logic'!$B$7,IF(INDEX(_xlfn.VSTACK(YES_Writing_ELA[#Data],YES_Writing_FLA[#Data]),MATCH($A392,_xlfn.VSTACK(YES_Writing_ELA[Student Number],YES_Writing_FLA[Student Number]),0),MATCH(VLOOKUP(G$7,'Writing Logic'!$J$7:$K$11,2,FALSE)&amp;" - Per "&amp;VLOOKUP($C$4,'Writing Logic'!$G$8:$H$14,2,FALSE),YES_Writing_ELA[#Headers],0))=0,"",INDEX(_xlfn.VSTACK(YES_Writing_ELA[#Data],YES_Writing_FLA[#Data]),MATCH($A392,_xlfn.VSTACK(YES_Writing_ELA[Student Number],YES_Writing_FLA[Student Number]),0),MATCH(VLOOKUP(G$7,'Writing Logic'!$J$7:$K$11,2,FALSE)&amp;" - Per "&amp;VLOOKUP($C$4,'Writing Logic'!$G$8:$H$14,2,FALSE),YES_Writing_ELA[#Headers],0)))),"")</f>
        <v/>
      </c>
      <c r="H392" s="223" t="str">
        <f>IFERROR(IF(IF(INDEX(_xlfn.VSTACK(YES_Writing_ELA[#Data],YES_Writing_FLA[#Data]),MATCH($A392,_xlfn.VSTACK(YES_Writing_ELA[Student Number],YES_Writing_FLA[Student Number]),0),MATCH(VLOOKUP(H$7,'Writing Logic'!$J$7:$K$11,2,FALSE)&amp;" - Per "&amp;VLOOKUP($C$4,'Writing Logic'!$G$8:$H$14,2,FALSE),YES_Writing_ELA[#Headers],0))=0,"",INDEX(_xlfn.VSTACK(YES_Writing_ELA[#Data],YES_Writing_FLA[#Data]),MATCH($A392,_xlfn.VSTACK(YES_Writing_ELA[Student Number],YES_Writing_FLA[Student Number]),0),MATCH(VLOOKUP(H$7,'Writing Logic'!$J$7:$K$11,2,FALSE)&amp;" - Per "&amp;VLOOKUP($C$4,'Writing Logic'!$G$8:$H$14,2,FALSE),YES_Writing_ELA[#Headers],0)))="INS",'Writing Logic'!$B$7,IF(INDEX(_xlfn.VSTACK(YES_Writing_ELA[#Data],YES_Writing_FLA[#Data]),MATCH($A392,_xlfn.VSTACK(YES_Writing_ELA[Student Number],YES_Writing_FLA[Student Number]),0),MATCH(VLOOKUP(H$7,'Writing Logic'!$J$7:$K$11,2,FALSE)&amp;" - Per "&amp;VLOOKUP($C$4,'Writing Logic'!$G$8:$H$14,2,FALSE),YES_Writing_ELA[#Headers],0))=0,"",INDEX(_xlfn.VSTACK(YES_Writing_ELA[#Data],YES_Writing_FLA[#Data]),MATCH($A392,_xlfn.VSTACK(YES_Writing_ELA[Student Number],YES_Writing_FLA[Student Number]),0),MATCH(VLOOKUP(H$7,'Writing Logic'!$J$7:$K$11,2,FALSE)&amp;" - Per "&amp;VLOOKUP($C$4,'Writing Logic'!$G$8:$H$14,2,FALSE),YES_Writing_ELA[#Headers],0)))),"")</f>
        <v/>
      </c>
      <c r="I392" s="224" t="str" cm="1">
        <f t="array" aca="1" ref="I392" ca="1">IFERROR(
IF($G$3="ELA",
IF(VLOOKUP($A392, YES_Reading_ELA[], COLUMN(INDIRECT("YES_Reading_ELA[Difference - Per "&amp;VLOOKUP($G$4, 'Reading Report Logic'!$A$2:$B$8, 2, FALSE)&amp;"]")), FALSE)="", "",
VLOOKUP($A392,YES_Reading_ELA[], COLUMN(INDIRECT("YES_Reading_ELA[Difference - Per "&amp;VLOOKUP($G$4,'Reading Report Logic'!$A$2:$B$8,2,FALSE)&amp;"]")), FALSE)),
IF($G$3="FLA",
IF(VLOOKUP($A392, YES_Reading_FLA[], COLUMN(INDIRECT("YES_Reading_FLA[Difference - Per "&amp;VLOOKUP($G$4,'Reading Report Logic'!$A$2:$B$8,2,FALSE)&amp;"]")),FALSE)="","",
VLOOKUP($A392,YES_Reading_FLA[],COLUMN(INDIRECT("YES_Reading_FLA[Difference - Per "&amp;VLOOKUP($G$4,'Reading Report Logic'!$A$2:$B$8,2,FALSE)&amp;"]")),FALSE)),
IF($G$3="Combined",
IFERROR(
IF(VLOOKUP($A392, YES_Reading_ELA[], COLUMN(INDIRECT("YES_Reading_ELA[Difference - Per "&amp;VLOOKUP($G$4, 'Reading Report Logic'!$A$2:$B$8,2,FALSE)&amp;"]")), FALSE)="", "",
VLOOKUP($A392,YES_Reading_ELA[],COLUMN(INDIRECT("YES_Reading_ELA[Difference - Per "&amp;VLOOKUP($G$4,'Reading Report Logic'!$A$2:$B$8,2,FALSE)&amp;"]")),FALSE)),
IF(VLOOKUP($A392, YES_Reading_FLA[], COLUMN(INDIRECT("YES_Reading_FLA[Difference - Per "&amp;VLOOKUP($G$4, 'Reading Report Logic'!$A$2:$B$8, 2, FALSE)&amp;"]")),FALSE)="", "", VLOOKUP($A392,YES_Reading_FLA[],COLUMN(INDIRECT("YES_Reading_FLA[Difference - Per "&amp;VLOOKUP($G$4, 'Reading Report Logic'!$A$2:$B$8, 2, FALSE)&amp;"]")),FALSE))),""))),"")</f>
        <v/>
      </c>
    </row>
    <row r="393" spans="1:9" x14ac:dyDescent="0.25">
      <c r="A393" s="137"/>
      <c r="B393" s="137" t="str">
        <f>IFERROR(INDEX(_xlfn.VSTACK(YES_Writing_ELA[#Data], YES_Writing_FLA[#Data]),MATCH($A393,_xlfn.VSTACK(YES_Writing_ELA[Student Number], YES_Writing_FLA[Student Number]),0),MATCH(B$7,YES_Writing_ELA[#Headers],0)),IFERROR(INDEX(_xlfn.VSTACK(YES_Reading_ELA[#Data], YES_Reading_FLA[#Data]),MATCH($A393,_xlfn.VSTACK(YES_Reading_ELA[Student Number], YES_Reading_FLA[Student Number]),0),MATCH(B$7,YES_Reading_ELA[#Headers],0)),""))</f>
        <v/>
      </c>
      <c r="C393" s="137" t="str">
        <f>IFERROR(INDEX(_xlfn.VSTACK(YES_Writing_ELA[#Data], YES_Writing_FLA[#Data]),MATCH($A393,_xlfn.VSTACK(YES_Writing_ELA[Student Number], YES_Writing_FLA[Student Number]),0),MATCH(C$7,YES_Writing_ELA[#Headers],0)),IFERROR(INDEX(_xlfn.VSTACK(YES_Reading_ELA[#Data], YES_Reading_FLA[#Data]),MATCH($A393,_xlfn.VSTACK(YES_Reading_ELA[Student Number], YES_Reading_FLA[Student Number]),0),MATCH(C$7,YES_Reading_ELA[#Headers],0)),""))</f>
        <v/>
      </c>
      <c r="D393" s="138" t="str">
        <f>IFERROR(IF(IF(INDEX(_xlfn.VSTACK(YES_Writing_ELA[#Data],YES_Writing_FLA[#Data]),MATCH($A393,_xlfn.VSTACK(YES_Writing_ELA[Student Number],YES_Writing_FLA[Student Number]),0),MATCH(VLOOKUP(D$7,'Writing Logic'!$J$7:$K$11,2,FALSE)&amp;" - Per "&amp;VLOOKUP($C$4,'Writing Logic'!$G$8:$H$14,2,FALSE),YES_Writing_ELA[#Headers],0))=0,"",INDEX(_xlfn.VSTACK(YES_Writing_ELA[#Data],YES_Writing_FLA[#Data]),MATCH($A393,_xlfn.VSTACK(YES_Writing_ELA[Student Number],YES_Writing_FLA[Student Number]),0),MATCH(VLOOKUP(D$7,'Writing Logic'!$J$7:$K$11,2,FALSE)&amp;" - Per "&amp;VLOOKUP($C$4,'Writing Logic'!$G$8:$H$14,2,FALSE),YES_Writing_ELA[#Headers],0)))="INS",'Writing Logic'!$B$7,IF(INDEX(_xlfn.VSTACK(YES_Writing_ELA[#Data],YES_Writing_FLA[#Data]),MATCH($A393,_xlfn.VSTACK(YES_Writing_ELA[Student Number],YES_Writing_FLA[Student Number]),0),MATCH(VLOOKUP(D$7,'Writing Logic'!$J$7:$K$11,2,FALSE)&amp;" - Per "&amp;VLOOKUP($C$4,'Writing Logic'!$G$8:$H$14,2,FALSE),YES_Writing_ELA[#Headers],0))=0,"",INDEX(_xlfn.VSTACK(YES_Writing_ELA[#Data],YES_Writing_FLA[#Data]),MATCH($A393,_xlfn.VSTACK(YES_Writing_ELA[Student Number],YES_Writing_FLA[Student Number]),0),MATCH(VLOOKUP(D$7,'Writing Logic'!$J$7:$K$11,2,FALSE)&amp;" - Per "&amp;VLOOKUP($C$4,'Writing Logic'!$G$8:$H$14,2,FALSE),YES_Writing_ELA[#Headers],0)))),"")</f>
        <v/>
      </c>
      <c r="E393" s="138" t="str">
        <f>IFERROR(IF(IF(INDEX(_xlfn.VSTACK(YES_Writing_ELA[#Data],YES_Writing_FLA[#Data]),MATCH($A393,_xlfn.VSTACK(YES_Writing_ELA[Student Number],YES_Writing_FLA[Student Number]),0),MATCH(VLOOKUP(E$7,'Writing Logic'!$J$7:$K$11,2,FALSE)&amp;" - Per "&amp;VLOOKUP($C$4,'Writing Logic'!$G$8:$H$14,2,FALSE),YES_Writing_ELA[#Headers],0))=0,"",INDEX(_xlfn.VSTACK(YES_Writing_ELA[#Data],YES_Writing_FLA[#Data]),MATCH($A393,_xlfn.VSTACK(YES_Writing_ELA[Student Number],YES_Writing_FLA[Student Number]),0),MATCH(VLOOKUP(E$7,'Writing Logic'!$J$7:$K$11,2,FALSE)&amp;" - Per "&amp;VLOOKUP($C$4,'Writing Logic'!$G$8:$H$14,2,FALSE),YES_Writing_ELA[#Headers],0)))="INS",'Writing Logic'!$B$7,IF(INDEX(_xlfn.VSTACK(YES_Writing_ELA[#Data],YES_Writing_FLA[#Data]),MATCH($A393,_xlfn.VSTACK(YES_Writing_ELA[Student Number],YES_Writing_FLA[Student Number]),0),MATCH(VLOOKUP(E$7,'Writing Logic'!$J$7:$K$11,2,FALSE)&amp;" - Per "&amp;VLOOKUP($C$4,'Writing Logic'!$G$8:$H$14,2,FALSE),YES_Writing_ELA[#Headers],0))=0,"",INDEX(_xlfn.VSTACK(YES_Writing_ELA[#Data],YES_Writing_FLA[#Data]),MATCH($A393,_xlfn.VSTACK(YES_Writing_ELA[Student Number],YES_Writing_FLA[Student Number]),0),MATCH(VLOOKUP(E$7,'Writing Logic'!$J$7:$K$11,2,FALSE)&amp;" - Per "&amp;VLOOKUP($C$4,'Writing Logic'!$G$8:$H$14,2,FALSE),YES_Writing_ELA[#Headers],0)))),"")</f>
        <v/>
      </c>
      <c r="F393" s="138" t="str">
        <f>IFERROR(IF(IF(INDEX(_xlfn.VSTACK(YES_Writing_ELA[#Data],YES_Writing_FLA[#Data]),MATCH($A393,_xlfn.VSTACK(YES_Writing_ELA[Student Number],YES_Writing_FLA[Student Number]),0),MATCH(VLOOKUP(F$7,'Writing Logic'!$J$7:$K$11,2,FALSE)&amp;" - Per "&amp;VLOOKUP($C$4,'Writing Logic'!$G$8:$H$14,2,FALSE),YES_Writing_ELA[#Headers],0))=0,"",INDEX(_xlfn.VSTACK(YES_Writing_ELA[#Data],YES_Writing_FLA[#Data]),MATCH($A393,_xlfn.VSTACK(YES_Writing_ELA[Student Number],YES_Writing_FLA[Student Number]),0),MATCH(VLOOKUP(F$7,'Writing Logic'!$J$7:$K$11,2,FALSE)&amp;" - Per "&amp;VLOOKUP($C$4,'Writing Logic'!$G$8:$H$14,2,FALSE),YES_Writing_ELA[#Headers],0)))="INS",'Writing Logic'!$B$7,IF(INDEX(_xlfn.VSTACK(YES_Writing_ELA[#Data],YES_Writing_FLA[#Data]),MATCH($A393,_xlfn.VSTACK(YES_Writing_ELA[Student Number],YES_Writing_FLA[Student Number]),0),MATCH(VLOOKUP(F$7,'Writing Logic'!$J$7:$K$11,2,FALSE)&amp;" - Per "&amp;VLOOKUP($C$4,'Writing Logic'!$G$8:$H$14,2,FALSE),YES_Writing_ELA[#Headers],0))=0,"",INDEX(_xlfn.VSTACK(YES_Writing_ELA[#Data],YES_Writing_FLA[#Data]),MATCH($A393,_xlfn.VSTACK(YES_Writing_ELA[Student Number],YES_Writing_FLA[Student Number]),0),MATCH(VLOOKUP(F$7,'Writing Logic'!$J$7:$K$11,2,FALSE)&amp;" - Per "&amp;VLOOKUP($C$4,'Writing Logic'!$G$8:$H$14,2,FALSE),YES_Writing_ELA[#Headers],0)))),"")</f>
        <v/>
      </c>
      <c r="G393" s="138" t="str">
        <f>IFERROR(IF(IF(INDEX(_xlfn.VSTACK(YES_Writing_ELA[#Data],YES_Writing_FLA[#Data]),MATCH($A393,_xlfn.VSTACK(YES_Writing_ELA[Student Number],YES_Writing_FLA[Student Number]),0),MATCH(VLOOKUP(G$7,'Writing Logic'!$J$7:$K$11,2,FALSE)&amp;" - Per "&amp;VLOOKUP($C$4,'Writing Logic'!$G$8:$H$14,2,FALSE),YES_Writing_ELA[#Headers],0))=0,"",INDEX(_xlfn.VSTACK(YES_Writing_ELA[#Data],YES_Writing_FLA[#Data]),MATCH($A393,_xlfn.VSTACK(YES_Writing_ELA[Student Number],YES_Writing_FLA[Student Number]),0),MATCH(VLOOKUP(G$7,'Writing Logic'!$J$7:$K$11,2,FALSE)&amp;" - Per "&amp;VLOOKUP($C$4,'Writing Logic'!$G$8:$H$14,2,FALSE),YES_Writing_ELA[#Headers],0)))="INS",'Writing Logic'!$B$7,IF(INDEX(_xlfn.VSTACK(YES_Writing_ELA[#Data],YES_Writing_FLA[#Data]),MATCH($A393,_xlfn.VSTACK(YES_Writing_ELA[Student Number],YES_Writing_FLA[Student Number]),0),MATCH(VLOOKUP(G$7,'Writing Logic'!$J$7:$K$11,2,FALSE)&amp;" - Per "&amp;VLOOKUP($C$4,'Writing Logic'!$G$8:$H$14,2,FALSE),YES_Writing_ELA[#Headers],0))=0,"",INDEX(_xlfn.VSTACK(YES_Writing_ELA[#Data],YES_Writing_FLA[#Data]),MATCH($A393,_xlfn.VSTACK(YES_Writing_ELA[Student Number],YES_Writing_FLA[Student Number]),0),MATCH(VLOOKUP(G$7,'Writing Logic'!$J$7:$K$11,2,FALSE)&amp;" - Per "&amp;VLOOKUP($C$4,'Writing Logic'!$G$8:$H$14,2,FALSE),YES_Writing_ELA[#Headers],0)))),"")</f>
        <v/>
      </c>
      <c r="H393" s="223" t="str">
        <f>IFERROR(IF(IF(INDEX(_xlfn.VSTACK(YES_Writing_ELA[#Data],YES_Writing_FLA[#Data]),MATCH($A393,_xlfn.VSTACK(YES_Writing_ELA[Student Number],YES_Writing_FLA[Student Number]),0),MATCH(VLOOKUP(H$7,'Writing Logic'!$J$7:$K$11,2,FALSE)&amp;" - Per "&amp;VLOOKUP($C$4,'Writing Logic'!$G$8:$H$14,2,FALSE),YES_Writing_ELA[#Headers],0))=0,"",INDEX(_xlfn.VSTACK(YES_Writing_ELA[#Data],YES_Writing_FLA[#Data]),MATCH($A393,_xlfn.VSTACK(YES_Writing_ELA[Student Number],YES_Writing_FLA[Student Number]),0),MATCH(VLOOKUP(H$7,'Writing Logic'!$J$7:$K$11,2,FALSE)&amp;" - Per "&amp;VLOOKUP($C$4,'Writing Logic'!$G$8:$H$14,2,FALSE),YES_Writing_ELA[#Headers],0)))="INS",'Writing Logic'!$B$7,IF(INDEX(_xlfn.VSTACK(YES_Writing_ELA[#Data],YES_Writing_FLA[#Data]),MATCH($A393,_xlfn.VSTACK(YES_Writing_ELA[Student Number],YES_Writing_FLA[Student Number]),0),MATCH(VLOOKUP(H$7,'Writing Logic'!$J$7:$K$11,2,FALSE)&amp;" - Per "&amp;VLOOKUP($C$4,'Writing Logic'!$G$8:$H$14,2,FALSE),YES_Writing_ELA[#Headers],0))=0,"",INDEX(_xlfn.VSTACK(YES_Writing_ELA[#Data],YES_Writing_FLA[#Data]),MATCH($A393,_xlfn.VSTACK(YES_Writing_ELA[Student Number],YES_Writing_FLA[Student Number]),0),MATCH(VLOOKUP(H$7,'Writing Logic'!$J$7:$K$11,2,FALSE)&amp;" - Per "&amp;VLOOKUP($C$4,'Writing Logic'!$G$8:$H$14,2,FALSE),YES_Writing_ELA[#Headers],0)))),"")</f>
        <v/>
      </c>
      <c r="I393" s="224" t="str" cm="1">
        <f t="array" aca="1" ref="I393" ca="1">IFERROR(
IF($G$3="ELA",
IF(VLOOKUP($A393, YES_Reading_ELA[], COLUMN(INDIRECT("YES_Reading_ELA[Difference - Per "&amp;VLOOKUP($G$4, 'Reading Report Logic'!$A$2:$B$8, 2, FALSE)&amp;"]")), FALSE)="", "",
VLOOKUP($A393,YES_Reading_ELA[], COLUMN(INDIRECT("YES_Reading_ELA[Difference - Per "&amp;VLOOKUP($G$4,'Reading Report Logic'!$A$2:$B$8,2,FALSE)&amp;"]")), FALSE)),
IF($G$3="FLA",
IF(VLOOKUP($A393, YES_Reading_FLA[], COLUMN(INDIRECT("YES_Reading_FLA[Difference - Per "&amp;VLOOKUP($G$4,'Reading Report Logic'!$A$2:$B$8,2,FALSE)&amp;"]")),FALSE)="","",
VLOOKUP($A393,YES_Reading_FLA[],COLUMN(INDIRECT("YES_Reading_FLA[Difference - Per "&amp;VLOOKUP($G$4,'Reading Report Logic'!$A$2:$B$8,2,FALSE)&amp;"]")),FALSE)),
IF($G$3="Combined",
IFERROR(
IF(VLOOKUP($A393, YES_Reading_ELA[], COLUMN(INDIRECT("YES_Reading_ELA[Difference - Per "&amp;VLOOKUP($G$4, 'Reading Report Logic'!$A$2:$B$8,2,FALSE)&amp;"]")), FALSE)="", "",
VLOOKUP($A393,YES_Reading_ELA[],COLUMN(INDIRECT("YES_Reading_ELA[Difference - Per "&amp;VLOOKUP($G$4,'Reading Report Logic'!$A$2:$B$8,2,FALSE)&amp;"]")),FALSE)),
IF(VLOOKUP($A393, YES_Reading_FLA[], COLUMN(INDIRECT("YES_Reading_FLA[Difference - Per "&amp;VLOOKUP($G$4, 'Reading Report Logic'!$A$2:$B$8, 2, FALSE)&amp;"]")),FALSE)="", "", VLOOKUP($A393,YES_Reading_FLA[],COLUMN(INDIRECT("YES_Reading_FLA[Difference - Per "&amp;VLOOKUP($G$4, 'Reading Report Logic'!$A$2:$B$8, 2, FALSE)&amp;"]")),FALSE))),""))),"")</f>
        <v/>
      </c>
    </row>
    <row r="394" spans="1:9" x14ac:dyDescent="0.25">
      <c r="A394" s="137"/>
      <c r="B394" s="137" t="str">
        <f>IFERROR(INDEX(_xlfn.VSTACK(YES_Writing_ELA[#Data], YES_Writing_FLA[#Data]),MATCH($A394,_xlfn.VSTACK(YES_Writing_ELA[Student Number], YES_Writing_FLA[Student Number]),0),MATCH(B$7,YES_Writing_ELA[#Headers],0)),IFERROR(INDEX(_xlfn.VSTACK(YES_Reading_ELA[#Data], YES_Reading_FLA[#Data]),MATCH($A394,_xlfn.VSTACK(YES_Reading_ELA[Student Number], YES_Reading_FLA[Student Number]),0),MATCH(B$7,YES_Reading_ELA[#Headers],0)),""))</f>
        <v/>
      </c>
      <c r="C394" s="137" t="str">
        <f>IFERROR(INDEX(_xlfn.VSTACK(YES_Writing_ELA[#Data], YES_Writing_FLA[#Data]),MATCH($A394,_xlfn.VSTACK(YES_Writing_ELA[Student Number], YES_Writing_FLA[Student Number]),0),MATCH(C$7,YES_Writing_ELA[#Headers],0)),IFERROR(INDEX(_xlfn.VSTACK(YES_Reading_ELA[#Data], YES_Reading_FLA[#Data]),MATCH($A394,_xlfn.VSTACK(YES_Reading_ELA[Student Number], YES_Reading_FLA[Student Number]),0),MATCH(C$7,YES_Reading_ELA[#Headers],0)),""))</f>
        <v/>
      </c>
      <c r="D394" s="138" t="str">
        <f>IFERROR(IF(IF(INDEX(_xlfn.VSTACK(YES_Writing_ELA[#Data],YES_Writing_FLA[#Data]),MATCH($A394,_xlfn.VSTACK(YES_Writing_ELA[Student Number],YES_Writing_FLA[Student Number]),0),MATCH(VLOOKUP(D$7,'Writing Logic'!$J$7:$K$11,2,FALSE)&amp;" - Per "&amp;VLOOKUP($C$4,'Writing Logic'!$G$8:$H$14,2,FALSE),YES_Writing_ELA[#Headers],0))=0,"",INDEX(_xlfn.VSTACK(YES_Writing_ELA[#Data],YES_Writing_FLA[#Data]),MATCH($A394,_xlfn.VSTACK(YES_Writing_ELA[Student Number],YES_Writing_FLA[Student Number]),0),MATCH(VLOOKUP(D$7,'Writing Logic'!$J$7:$K$11,2,FALSE)&amp;" - Per "&amp;VLOOKUP($C$4,'Writing Logic'!$G$8:$H$14,2,FALSE),YES_Writing_ELA[#Headers],0)))="INS",'Writing Logic'!$B$7,IF(INDEX(_xlfn.VSTACK(YES_Writing_ELA[#Data],YES_Writing_FLA[#Data]),MATCH($A394,_xlfn.VSTACK(YES_Writing_ELA[Student Number],YES_Writing_FLA[Student Number]),0),MATCH(VLOOKUP(D$7,'Writing Logic'!$J$7:$K$11,2,FALSE)&amp;" - Per "&amp;VLOOKUP($C$4,'Writing Logic'!$G$8:$H$14,2,FALSE),YES_Writing_ELA[#Headers],0))=0,"",INDEX(_xlfn.VSTACK(YES_Writing_ELA[#Data],YES_Writing_FLA[#Data]),MATCH($A394,_xlfn.VSTACK(YES_Writing_ELA[Student Number],YES_Writing_FLA[Student Number]),0),MATCH(VLOOKUP(D$7,'Writing Logic'!$J$7:$K$11,2,FALSE)&amp;" - Per "&amp;VLOOKUP($C$4,'Writing Logic'!$G$8:$H$14,2,FALSE),YES_Writing_ELA[#Headers],0)))),"")</f>
        <v/>
      </c>
      <c r="E394" s="138" t="str">
        <f>IFERROR(IF(IF(INDEX(_xlfn.VSTACK(YES_Writing_ELA[#Data],YES_Writing_FLA[#Data]),MATCH($A394,_xlfn.VSTACK(YES_Writing_ELA[Student Number],YES_Writing_FLA[Student Number]),0),MATCH(VLOOKUP(E$7,'Writing Logic'!$J$7:$K$11,2,FALSE)&amp;" - Per "&amp;VLOOKUP($C$4,'Writing Logic'!$G$8:$H$14,2,FALSE),YES_Writing_ELA[#Headers],0))=0,"",INDEX(_xlfn.VSTACK(YES_Writing_ELA[#Data],YES_Writing_FLA[#Data]),MATCH($A394,_xlfn.VSTACK(YES_Writing_ELA[Student Number],YES_Writing_FLA[Student Number]),0),MATCH(VLOOKUP(E$7,'Writing Logic'!$J$7:$K$11,2,FALSE)&amp;" - Per "&amp;VLOOKUP($C$4,'Writing Logic'!$G$8:$H$14,2,FALSE),YES_Writing_ELA[#Headers],0)))="INS",'Writing Logic'!$B$7,IF(INDEX(_xlfn.VSTACK(YES_Writing_ELA[#Data],YES_Writing_FLA[#Data]),MATCH($A394,_xlfn.VSTACK(YES_Writing_ELA[Student Number],YES_Writing_FLA[Student Number]),0),MATCH(VLOOKUP(E$7,'Writing Logic'!$J$7:$K$11,2,FALSE)&amp;" - Per "&amp;VLOOKUP($C$4,'Writing Logic'!$G$8:$H$14,2,FALSE),YES_Writing_ELA[#Headers],0))=0,"",INDEX(_xlfn.VSTACK(YES_Writing_ELA[#Data],YES_Writing_FLA[#Data]),MATCH($A394,_xlfn.VSTACK(YES_Writing_ELA[Student Number],YES_Writing_FLA[Student Number]),0),MATCH(VLOOKUP(E$7,'Writing Logic'!$J$7:$K$11,2,FALSE)&amp;" - Per "&amp;VLOOKUP($C$4,'Writing Logic'!$G$8:$H$14,2,FALSE),YES_Writing_ELA[#Headers],0)))),"")</f>
        <v/>
      </c>
      <c r="F394" s="138" t="str">
        <f>IFERROR(IF(IF(INDEX(_xlfn.VSTACK(YES_Writing_ELA[#Data],YES_Writing_FLA[#Data]),MATCH($A394,_xlfn.VSTACK(YES_Writing_ELA[Student Number],YES_Writing_FLA[Student Number]),0),MATCH(VLOOKUP(F$7,'Writing Logic'!$J$7:$K$11,2,FALSE)&amp;" - Per "&amp;VLOOKUP($C$4,'Writing Logic'!$G$8:$H$14,2,FALSE),YES_Writing_ELA[#Headers],0))=0,"",INDEX(_xlfn.VSTACK(YES_Writing_ELA[#Data],YES_Writing_FLA[#Data]),MATCH($A394,_xlfn.VSTACK(YES_Writing_ELA[Student Number],YES_Writing_FLA[Student Number]),0),MATCH(VLOOKUP(F$7,'Writing Logic'!$J$7:$K$11,2,FALSE)&amp;" - Per "&amp;VLOOKUP($C$4,'Writing Logic'!$G$8:$H$14,2,FALSE),YES_Writing_ELA[#Headers],0)))="INS",'Writing Logic'!$B$7,IF(INDEX(_xlfn.VSTACK(YES_Writing_ELA[#Data],YES_Writing_FLA[#Data]),MATCH($A394,_xlfn.VSTACK(YES_Writing_ELA[Student Number],YES_Writing_FLA[Student Number]),0),MATCH(VLOOKUP(F$7,'Writing Logic'!$J$7:$K$11,2,FALSE)&amp;" - Per "&amp;VLOOKUP($C$4,'Writing Logic'!$G$8:$H$14,2,FALSE),YES_Writing_ELA[#Headers],0))=0,"",INDEX(_xlfn.VSTACK(YES_Writing_ELA[#Data],YES_Writing_FLA[#Data]),MATCH($A394,_xlfn.VSTACK(YES_Writing_ELA[Student Number],YES_Writing_FLA[Student Number]),0),MATCH(VLOOKUP(F$7,'Writing Logic'!$J$7:$K$11,2,FALSE)&amp;" - Per "&amp;VLOOKUP($C$4,'Writing Logic'!$G$8:$H$14,2,FALSE),YES_Writing_ELA[#Headers],0)))),"")</f>
        <v/>
      </c>
      <c r="G394" s="138" t="str">
        <f>IFERROR(IF(IF(INDEX(_xlfn.VSTACK(YES_Writing_ELA[#Data],YES_Writing_FLA[#Data]),MATCH($A394,_xlfn.VSTACK(YES_Writing_ELA[Student Number],YES_Writing_FLA[Student Number]),0),MATCH(VLOOKUP(G$7,'Writing Logic'!$J$7:$K$11,2,FALSE)&amp;" - Per "&amp;VLOOKUP($C$4,'Writing Logic'!$G$8:$H$14,2,FALSE),YES_Writing_ELA[#Headers],0))=0,"",INDEX(_xlfn.VSTACK(YES_Writing_ELA[#Data],YES_Writing_FLA[#Data]),MATCH($A394,_xlfn.VSTACK(YES_Writing_ELA[Student Number],YES_Writing_FLA[Student Number]),0),MATCH(VLOOKUP(G$7,'Writing Logic'!$J$7:$K$11,2,FALSE)&amp;" - Per "&amp;VLOOKUP($C$4,'Writing Logic'!$G$8:$H$14,2,FALSE),YES_Writing_ELA[#Headers],0)))="INS",'Writing Logic'!$B$7,IF(INDEX(_xlfn.VSTACK(YES_Writing_ELA[#Data],YES_Writing_FLA[#Data]),MATCH($A394,_xlfn.VSTACK(YES_Writing_ELA[Student Number],YES_Writing_FLA[Student Number]),0),MATCH(VLOOKUP(G$7,'Writing Logic'!$J$7:$K$11,2,FALSE)&amp;" - Per "&amp;VLOOKUP($C$4,'Writing Logic'!$G$8:$H$14,2,FALSE),YES_Writing_ELA[#Headers],0))=0,"",INDEX(_xlfn.VSTACK(YES_Writing_ELA[#Data],YES_Writing_FLA[#Data]),MATCH($A394,_xlfn.VSTACK(YES_Writing_ELA[Student Number],YES_Writing_FLA[Student Number]),0),MATCH(VLOOKUP(G$7,'Writing Logic'!$J$7:$K$11,2,FALSE)&amp;" - Per "&amp;VLOOKUP($C$4,'Writing Logic'!$G$8:$H$14,2,FALSE),YES_Writing_ELA[#Headers],0)))),"")</f>
        <v/>
      </c>
      <c r="H394" s="223" t="str">
        <f>IFERROR(IF(IF(INDEX(_xlfn.VSTACK(YES_Writing_ELA[#Data],YES_Writing_FLA[#Data]),MATCH($A394,_xlfn.VSTACK(YES_Writing_ELA[Student Number],YES_Writing_FLA[Student Number]),0),MATCH(VLOOKUP(H$7,'Writing Logic'!$J$7:$K$11,2,FALSE)&amp;" - Per "&amp;VLOOKUP($C$4,'Writing Logic'!$G$8:$H$14,2,FALSE),YES_Writing_ELA[#Headers],0))=0,"",INDEX(_xlfn.VSTACK(YES_Writing_ELA[#Data],YES_Writing_FLA[#Data]),MATCH($A394,_xlfn.VSTACK(YES_Writing_ELA[Student Number],YES_Writing_FLA[Student Number]),0),MATCH(VLOOKUP(H$7,'Writing Logic'!$J$7:$K$11,2,FALSE)&amp;" - Per "&amp;VLOOKUP($C$4,'Writing Logic'!$G$8:$H$14,2,FALSE),YES_Writing_ELA[#Headers],0)))="INS",'Writing Logic'!$B$7,IF(INDEX(_xlfn.VSTACK(YES_Writing_ELA[#Data],YES_Writing_FLA[#Data]),MATCH($A394,_xlfn.VSTACK(YES_Writing_ELA[Student Number],YES_Writing_FLA[Student Number]),0),MATCH(VLOOKUP(H$7,'Writing Logic'!$J$7:$K$11,2,FALSE)&amp;" - Per "&amp;VLOOKUP($C$4,'Writing Logic'!$G$8:$H$14,2,FALSE),YES_Writing_ELA[#Headers],0))=0,"",INDEX(_xlfn.VSTACK(YES_Writing_ELA[#Data],YES_Writing_FLA[#Data]),MATCH($A394,_xlfn.VSTACK(YES_Writing_ELA[Student Number],YES_Writing_FLA[Student Number]),0),MATCH(VLOOKUP(H$7,'Writing Logic'!$J$7:$K$11,2,FALSE)&amp;" - Per "&amp;VLOOKUP($C$4,'Writing Logic'!$G$8:$H$14,2,FALSE),YES_Writing_ELA[#Headers],0)))),"")</f>
        <v/>
      </c>
      <c r="I394" s="224" t="str" cm="1">
        <f t="array" aca="1" ref="I394" ca="1">IFERROR(
IF($G$3="ELA",
IF(VLOOKUP($A394, YES_Reading_ELA[], COLUMN(INDIRECT("YES_Reading_ELA[Difference - Per "&amp;VLOOKUP($G$4, 'Reading Report Logic'!$A$2:$B$8, 2, FALSE)&amp;"]")), FALSE)="", "",
VLOOKUP($A394,YES_Reading_ELA[], COLUMN(INDIRECT("YES_Reading_ELA[Difference - Per "&amp;VLOOKUP($G$4,'Reading Report Logic'!$A$2:$B$8,2,FALSE)&amp;"]")), FALSE)),
IF($G$3="FLA",
IF(VLOOKUP($A394, YES_Reading_FLA[], COLUMN(INDIRECT("YES_Reading_FLA[Difference - Per "&amp;VLOOKUP($G$4,'Reading Report Logic'!$A$2:$B$8,2,FALSE)&amp;"]")),FALSE)="","",
VLOOKUP($A394,YES_Reading_FLA[],COLUMN(INDIRECT("YES_Reading_FLA[Difference - Per "&amp;VLOOKUP($G$4,'Reading Report Logic'!$A$2:$B$8,2,FALSE)&amp;"]")),FALSE)),
IF($G$3="Combined",
IFERROR(
IF(VLOOKUP($A394, YES_Reading_ELA[], COLUMN(INDIRECT("YES_Reading_ELA[Difference - Per "&amp;VLOOKUP($G$4, 'Reading Report Logic'!$A$2:$B$8,2,FALSE)&amp;"]")), FALSE)="", "",
VLOOKUP($A394,YES_Reading_ELA[],COLUMN(INDIRECT("YES_Reading_ELA[Difference - Per "&amp;VLOOKUP($G$4,'Reading Report Logic'!$A$2:$B$8,2,FALSE)&amp;"]")),FALSE)),
IF(VLOOKUP($A394, YES_Reading_FLA[], COLUMN(INDIRECT("YES_Reading_FLA[Difference - Per "&amp;VLOOKUP($G$4, 'Reading Report Logic'!$A$2:$B$8, 2, FALSE)&amp;"]")),FALSE)="", "", VLOOKUP($A394,YES_Reading_FLA[],COLUMN(INDIRECT("YES_Reading_FLA[Difference - Per "&amp;VLOOKUP($G$4, 'Reading Report Logic'!$A$2:$B$8, 2, FALSE)&amp;"]")),FALSE))),""))),"")</f>
        <v/>
      </c>
    </row>
    <row r="395" spans="1:9" x14ac:dyDescent="0.25">
      <c r="A395" s="137"/>
      <c r="B395" s="137" t="str">
        <f>IFERROR(INDEX(_xlfn.VSTACK(YES_Writing_ELA[#Data], YES_Writing_FLA[#Data]),MATCH($A395,_xlfn.VSTACK(YES_Writing_ELA[Student Number], YES_Writing_FLA[Student Number]),0),MATCH(B$7,YES_Writing_ELA[#Headers],0)),IFERROR(INDEX(_xlfn.VSTACK(YES_Reading_ELA[#Data], YES_Reading_FLA[#Data]),MATCH($A395,_xlfn.VSTACK(YES_Reading_ELA[Student Number], YES_Reading_FLA[Student Number]),0),MATCH(B$7,YES_Reading_ELA[#Headers],0)),""))</f>
        <v/>
      </c>
      <c r="C395" s="137" t="str">
        <f>IFERROR(INDEX(_xlfn.VSTACK(YES_Writing_ELA[#Data], YES_Writing_FLA[#Data]),MATCH($A395,_xlfn.VSTACK(YES_Writing_ELA[Student Number], YES_Writing_FLA[Student Number]),0),MATCH(C$7,YES_Writing_ELA[#Headers],0)),IFERROR(INDEX(_xlfn.VSTACK(YES_Reading_ELA[#Data], YES_Reading_FLA[#Data]),MATCH($A395,_xlfn.VSTACK(YES_Reading_ELA[Student Number], YES_Reading_FLA[Student Number]),0),MATCH(C$7,YES_Reading_ELA[#Headers],0)),""))</f>
        <v/>
      </c>
      <c r="D395" s="138" t="str">
        <f>IFERROR(IF(IF(INDEX(_xlfn.VSTACK(YES_Writing_ELA[#Data],YES_Writing_FLA[#Data]),MATCH($A395,_xlfn.VSTACK(YES_Writing_ELA[Student Number],YES_Writing_FLA[Student Number]),0),MATCH(VLOOKUP(D$7,'Writing Logic'!$J$7:$K$11,2,FALSE)&amp;" - Per "&amp;VLOOKUP($C$4,'Writing Logic'!$G$8:$H$14,2,FALSE),YES_Writing_ELA[#Headers],0))=0,"",INDEX(_xlfn.VSTACK(YES_Writing_ELA[#Data],YES_Writing_FLA[#Data]),MATCH($A395,_xlfn.VSTACK(YES_Writing_ELA[Student Number],YES_Writing_FLA[Student Number]),0),MATCH(VLOOKUP(D$7,'Writing Logic'!$J$7:$K$11,2,FALSE)&amp;" - Per "&amp;VLOOKUP($C$4,'Writing Logic'!$G$8:$H$14,2,FALSE),YES_Writing_ELA[#Headers],0)))="INS",'Writing Logic'!$B$7,IF(INDEX(_xlfn.VSTACK(YES_Writing_ELA[#Data],YES_Writing_FLA[#Data]),MATCH($A395,_xlfn.VSTACK(YES_Writing_ELA[Student Number],YES_Writing_FLA[Student Number]),0),MATCH(VLOOKUP(D$7,'Writing Logic'!$J$7:$K$11,2,FALSE)&amp;" - Per "&amp;VLOOKUP($C$4,'Writing Logic'!$G$8:$H$14,2,FALSE),YES_Writing_ELA[#Headers],0))=0,"",INDEX(_xlfn.VSTACK(YES_Writing_ELA[#Data],YES_Writing_FLA[#Data]),MATCH($A395,_xlfn.VSTACK(YES_Writing_ELA[Student Number],YES_Writing_FLA[Student Number]),0),MATCH(VLOOKUP(D$7,'Writing Logic'!$J$7:$K$11,2,FALSE)&amp;" - Per "&amp;VLOOKUP($C$4,'Writing Logic'!$G$8:$H$14,2,FALSE),YES_Writing_ELA[#Headers],0)))),"")</f>
        <v/>
      </c>
      <c r="E395" s="138" t="str">
        <f>IFERROR(IF(IF(INDEX(_xlfn.VSTACK(YES_Writing_ELA[#Data],YES_Writing_FLA[#Data]),MATCH($A395,_xlfn.VSTACK(YES_Writing_ELA[Student Number],YES_Writing_FLA[Student Number]),0),MATCH(VLOOKUP(E$7,'Writing Logic'!$J$7:$K$11,2,FALSE)&amp;" - Per "&amp;VLOOKUP($C$4,'Writing Logic'!$G$8:$H$14,2,FALSE),YES_Writing_ELA[#Headers],0))=0,"",INDEX(_xlfn.VSTACK(YES_Writing_ELA[#Data],YES_Writing_FLA[#Data]),MATCH($A395,_xlfn.VSTACK(YES_Writing_ELA[Student Number],YES_Writing_FLA[Student Number]),0),MATCH(VLOOKUP(E$7,'Writing Logic'!$J$7:$K$11,2,FALSE)&amp;" - Per "&amp;VLOOKUP($C$4,'Writing Logic'!$G$8:$H$14,2,FALSE),YES_Writing_ELA[#Headers],0)))="INS",'Writing Logic'!$B$7,IF(INDEX(_xlfn.VSTACK(YES_Writing_ELA[#Data],YES_Writing_FLA[#Data]),MATCH($A395,_xlfn.VSTACK(YES_Writing_ELA[Student Number],YES_Writing_FLA[Student Number]),0),MATCH(VLOOKUP(E$7,'Writing Logic'!$J$7:$K$11,2,FALSE)&amp;" - Per "&amp;VLOOKUP($C$4,'Writing Logic'!$G$8:$H$14,2,FALSE),YES_Writing_ELA[#Headers],0))=0,"",INDEX(_xlfn.VSTACK(YES_Writing_ELA[#Data],YES_Writing_FLA[#Data]),MATCH($A395,_xlfn.VSTACK(YES_Writing_ELA[Student Number],YES_Writing_FLA[Student Number]),0),MATCH(VLOOKUP(E$7,'Writing Logic'!$J$7:$K$11,2,FALSE)&amp;" - Per "&amp;VLOOKUP($C$4,'Writing Logic'!$G$8:$H$14,2,FALSE),YES_Writing_ELA[#Headers],0)))),"")</f>
        <v/>
      </c>
      <c r="F395" s="138" t="str">
        <f>IFERROR(IF(IF(INDEX(_xlfn.VSTACK(YES_Writing_ELA[#Data],YES_Writing_FLA[#Data]),MATCH($A395,_xlfn.VSTACK(YES_Writing_ELA[Student Number],YES_Writing_FLA[Student Number]),0),MATCH(VLOOKUP(F$7,'Writing Logic'!$J$7:$K$11,2,FALSE)&amp;" - Per "&amp;VLOOKUP($C$4,'Writing Logic'!$G$8:$H$14,2,FALSE),YES_Writing_ELA[#Headers],0))=0,"",INDEX(_xlfn.VSTACK(YES_Writing_ELA[#Data],YES_Writing_FLA[#Data]),MATCH($A395,_xlfn.VSTACK(YES_Writing_ELA[Student Number],YES_Writing_FLA[Student Number]),0),MATCH(VLOOKUP(F$7,'Writing Logic'!$J$7:$K$11,2,FALSE)&amp;" - Per "&amp;VLOOKUP($C$4,'Writing Logic'!$G$8:$H$14,2,FALSE),YES_Writing_ELA[#Headers],0)))="INS",'Writing Logic'!$B$7,IF(INDEX(_xlfn.VSTACK(YES_Writing_ELA[#Data],YES_Writing_FLA[#Data]),MATCH($A395,_xlfn.VSTACK(YES_Writing_ELA[Student Number],YES_Writing_FLA[Student Number]),0),MATCH(VLOOKUP(F$7,'Writing Logic'!$J$7:$K$11,2,FALSE)&amp;" - Per "&amp;VLOOKUP($C$4,'Writing Logic'!$G$8:$H$14,2,FALSE),YES_Writing_ELA[#Headers],0))=0,"",INDEX(_xlfn.VSTACK(YES_Writing_ELA[#Data],YES_Writing_FLA[#Data]),MATCH($A395,_xlfn.VSTACK(YES_Writing_ELA[Student Number],YES_Writing_FLA[Student Number]),0),MATCH(VLOOKUP(F$7,'Writing Logic'!$J$7:$K$11,2,FALSE)&amp;" - Per "&amp;VLOOKUP($C$4,'Writing Logic'!$G$8:$H$14,2,FALSE),YES_Writing_ELA[#Headers],0)))),"")</f>
        <v/>
      </c>
      <c r="G395" s="138" t="str">
        <f>IFERROR(IF(IF(INDEX(_xlfn.VSTACK(YES_Writing_ELA[#Data],YES_Writing_FLA[#Data]),MATCH($A395,_xlfn.VSTACK(YES_Writing_ELA[Student Number],YES_Writing_FLA[Student Number]),0),MATCH(VLOOKUP(G$7,'Writing Logic'!$J$7:$K$11,2,FALSE)&amp;" - Per "&amp;VLOOKUP($C$4,'Writing Logic'!$G$8:$H$14,2,FALSE),YES_Writing_ELA[#Headers],0))=0,"",INDEX(_xlfn.VSTACK(YES_Writing_ELA[#Data],YES_Writing_FLA[#Data]),MATCH($A395,_xlfn.VSTACK(YES_Writing_ELA[Student Number],YES_Writing_FLA[Student Number]),0),MATCH(VLOOKUP(G$7,'Writing Logic'!$J$7:$K$11,2,FALSE)&amp;" - Per "&amp;VLOOKUP($C$4,'Writing Logic'!$G$8:$H$14,2,FALSE),YES_Writing_ELA[#Headers],0)))="INS",'Writing Logic'!$B$7,IF(INDEX(_xlfn.VSTACK(YES_Writing_ELA[#Data],YES_Writing_FLA[#Data]),MATCH($A395,_xlfn.VSTACK(YES_Writing_ELA[Student Number],YES_Writing_FLA[Student Number]),0),MATCH(VLOOKUP(G$7,'Writing Logic'!$J$7:$K$11,2,FALSE)&amp;" - Per "&amp;VLOOKUP($C$4,'Writing Logic'!$G$8:$H$14,2,FALSE),YES_Writing_ELA[#Headers],0))=0,"",INDEX(_xlfn.VSTACK(YES_Writing_ELA[#Data],YES_Writing_FLA[#Data]),MATCH($A395,_xlfn.VSTACK(YES_Writing_ELA[Student Number],YES_Writing_FLA[Student Number]),0),MATCH(VLOOKUP(G$7,'Writing Logic'!$J$7:$K$11,2,FALSE)&amp;" - Per "&amp;VLOOKUP($C$4,'Writing Logic'!$G$8:$H$14,2,FALSE),YES_Writing_ELA[#Headers],0)))),"")</f>
        <v/>
      </c>
      <c r="H395" s="223" t="str">
        <f>IFERROR(IF(IF(INDEX(_xlfn.VSTACK(YES_Writing_ELA[#Data],YES_Writing_FLA[#Data]),MATCH($A395,_xlfn.VSTACK(YES_Writing_ELA[Student Number],YES_Writing_FLA[Student Number]),0),MATCH(VLOOKUP(H$7,'Writing Logic'!$J$7:$K$11,2,FALSE)&amp;" - Per "&amp;VLOOKUP($C$4,'Writing Logic'!$G$8:$H$14,2,FALSE),YES_Writing_ELA[#Headers],0))=0,"",INDEX(_xlfn.VSTACK(YES_Writing_ELA[#Data],YES_Writing_FLA[#Data]),MATCH($A395,_xlfn.VSTACK(YES_Writing_ELA[Student Number],YES_Writing_FLA[Student Number]),0),MATCH(VLOOKUP(H$7,'Writing Logic'!$J$7:$K$11,2,FALSE)&amp;" - Per "&amp;VLOOKUP($C$4,'Writing Logic'!$G$8:$H$14,2,FALSE),YES_Writing_ELA[#Headers],0)))="INS",'Writing Logic'!$B$7,IF(INDEX(_xlfn.VSTACK(YES_Writing_ELA[#Data],YES_Writing_FLA[#Data]),MATCH($A395,_xlfn.VSTACK(YES_Writing_ELA[Student Number],YES_Writing_FLA[Student Number]),0),MATCH(VLOOKUP(H$7,'Writing Logic'!$J$7:$K$11,2,FALSE)&amp;" - Per "&amp;VLOOKUP($C$4,'Writing Logic'!$G$8:$H$14,2,FALSE),YES_Writing_ELA[#Headers],0))=0,"",INDEX(_xlfn.VSTACK(YES_Writing_ELA[#Data],YES_Writing_FLA[#Data]),MATCH($A395,_xlfn.VSTACK(YES_Writing_ELA[Student Number],YES_Writing_FLA[Student Number]),0),MATCH(VLOOKUP(H$7,'Writing Logic'!$J$7:$K$11,2,FALSE)&amp;" - Per "&amp;VLOOKUP($C$4,'Writing Logic'!$G$8:$H$14,2,FALSE),YES_Writing_ELA[#Headers],0)))),"")</f>
        <v/>
      </c>
      <c r="I395" s="224" t="str" cm="1">
        <f t="array" aca="1" ref="I395" ca="1">IFERROR(
IF($G$3="ELA",
IF(VLOOKUP($A395, YES_Reading_ELA[], COLUMN(INDIRECT("YES_Reading_ELA[Difference - Per "&amp;VLOOKUP($G$4, 'Reading Report Logic'!$A$2:$B$8, 2, FALSE)&amp;"]")), FALSE)="", "",
VLOOKUP($A395,YES_Reading_ELA[], COLUMN(INDIRECT("YES_Reading_ELA[Difference - Per "&amp;VLOOKUP($G$4,'Reading Report Logic'!$A$2:$B$8,2,FALSE)&amp;"]")), FALSE)),
IF($G$3="FLA",
IF(VLOOKUP($A395, YES_Reading_FLA[], COLUMN(INDIRECT("YES_Reading_FLA[Difference - Per "&amp;VLOOKUP($G$4,'Reading Report Logic'!$A$2:$B$8,2,FALSE)&amp;"]")),FALSE)="","",
VLOOKUP($A395,YES_Reading_FLA[],COLUMN(INDIRECT("YES_Reading_FLA[Difference - Per "&amp;VLOOKUP($G$4,'Reading Report Logic'!$A$2:$B$8,2,FALSE)&amp;"]")),FALSE)),
IF($G$3="Combined",
IFERROR(
IF(VLOOKUP($A395, YES_Reading_ELA[], COLUMN(INDIRECT("YES_Reading_ELA[Difference - Per "&amp;VLOOKUP($G$4, 'Reading Report Logic'!$A$2:$B$8,2,FALSE)&amp;"]")), FALSE)="", "",
VLOOKUP($A395,YES_Reading_ELA[],COLUMN(INDIRECT("YES_Reading_ELA[Difference - Per "&amp;VLOOKUP($G$4,'Reading Report Logic'!$A$2:$B$8,2,FALSE)&amp;"]")),FALSE)),
IF(VLOOKUP($A395, YES_Reading_FLA[], COLUMN(INDIRECT("YES_Reading_FLA[Difference - Per "&amp;VLOOKUP($G$4, 'Reading Report Logic'!$A$2:$B$8, 2, FALSE)&amp;"]")),FALSE)="", "", VLOOKUP($A395,YES_Reading_FLA[],COLUMN(INDIRECT("YES_Reading_FLA[Difference - Per "&amp;VLOOKUP($G$4, 'Reading Report Logic'!$A$2:$B$8, 2, FALSE)&amp;"]")),FALSE))),""))),"")</f>
        <v/>
      </c>
    </row>
    <row r="396" spans="1:9" x14ac:dyDescent="0.25">
      <c r="A396" s="137"/>
      <c r="B396" s="137" t="str">
        <f>IFERROR(INDEX(_xlfn.VSTACK(YES_Writing_ELA[#Data], YES_Writing_FLA[#Data]),MATCH($A396,_xlfn.VSTACK(YES_Writing_ELA[Student Number], YES_Writing_FLA[Student Number]),0),MATCH(B$7,YES_Writing_ELA[#Headers],0)),IFERROR(INDEX(_xlfn.VSTACK(YES_Reading_ELA[#Data], YES_Reading_FLA[#Data]),MATCH($A396,_xlfn.VSTACK(YES_Reading_ELA[Student Number], YES_Reading_FLA[Student Number]),0),MATCH(B$7,YES_Reading_ELA[#Headers],0)),""))</f>
        <v/>
      </c>
      <c r="C396" s="137" t="str">
        <f>IFERROR(INDEX(_xlfn.VSTACK(YES_Writing_ELA[#Data], YES_Writing_FLA[#Data]),MATCH($A396,_xlfn.VSTACK(YES_Writing_ELA[Student Number], YES_Writing_FLA[Student Number]),0),MATCH(C$7,YES_Writing_ELA[#Headers],0)),IFERROR(INDEX(_xlfn.VSTACK(YES_Reading_ELA[#Data], YES_Reading_FLA[#Data]),MATCH($A396,_xlfn.VSTACK(YES_Reading_ELA[Student Number], YES_Reading_FLA[Student Number]),0),MATCH(C$7,YES_Reading_ELA[#Headers],0)),""))</f>
        <v/>
      </c>
      <c r="D396" s="138" t="str">
        <f>IFERROR(IF(IF(INDEX(_xlfn.VSTACK(YES_Writing_ELA[#Data],YES_Writing_FLA[#Data]),MATCH($A396,_xlfn.VSTACK(YES_Writing_ELA[Student Number],YES_Writing_FLA[Student Number]),0),MATCH(VLOOKUP(D$7,'Writing Logic'!$J$7:$K$11,2,FALSE)&amp;" - Per "&amp;VLOOKUP($C$4,'Writing Logic'!$G$8:$H$14,2,FALSE),YES_Writing_ELA[#Headers],0))=0,"",INDEX(_xlfn.VSTACK(YES_Writing_ELA[#Data],YES_Writing_FLA[#Data]),MATCH($A396,_xlfn.VSTACK(YES_Writing_ELA[Student Number],YES_Writing_FLA[Student Number]),0),MATCH(VLOOKUP(D$7,'Writing Logic'!$J$7:$K$11,2,FALSE)&amp;" - Per "&amp;VLOOKUP($C$4,'Writing Logic'!$G$8:$H$14,2,FALSE),YES_Writing_ELA[#Headers],0)))="INS",'Writing Logic'!$B$7,IF(INDEX(_xlfn.VSTACK(YES_Writing_ELA[#Data],YES_Writing_FLA[#Data]),MATCH($A396,_xlfn.VSTACK(YES_Writing_ELA[Student Number],YES_Writing_FLA[Student Number]),0),MATCH(VLOOKUP(D$7,'Writing Logic'!$J$7:$K$11,2,FALSE)&amp;" - Per "&amp;VLOOKUP($C$4,'Writing Logic'!$G$8:$H$14,2,FALSE),YES_Writing_ELA[#Headers],0))=0,"",INDEX(_xlfn.VSTACK(YES_Writing_ELA[#Data],YES_Writing_FLA[#Data]),MATCH($A396,_xlfn.VSTACK(YES_Writing_ELA[Student Number],YES_Writing_FLA[Student Number]),0),MATCH(VLOOKUP(D$7,'Writing Logic'!$J$7:$K$11,2,FALSE)&amp;" - Per "&amp;VLOOKUP($C$4,'Writing Logic'!$G$8:$H$14,2,FALSE),YES_Writing_ELA[#Headers],0)))),"")</f>
        <v/>
      </c>
      <c r="E396" s="138" t="str">
        <f>IFERROR(IF(IF(INDEX(_xlfn.VSTACK(YES_Writing_ELA[#Data],YES_Writing_FLA[#Data]),MATCH($A396,_xlfn.VSTACK(YES_Writing_ELA[Student Number],YES_Writing_FLA[Student Number]),0),MATCH(VLOOKUP(E$7,'Writing Logic'!$J$7:$K$11,2,FALSE)&amp;" - Per "&amp;VLOOKUP($C$4,'Writing Logic'!$G$8:$H$14,2,FALSE),YES_Writing_ELA[#Headers],0))=0,"",INDEX(_xlfn.VSTACK(YES_Writing_ELA[#Data],YES_Writing_FLA[#Data]),MATCH($A396,_xlfn.VSTACK(YES_Writing_ELA[Student Number],YES_Writing_FLA[Student Number]),0),MATCH(VLOOKUP(E$7,'Writing Logic'!$J$7:$K$11,2,FALSE)&amp;" - Per "&amp;VLOOKUP($C$4,'Writing Logic'!$G$8:$H$14,2,FALSE),YES_Writing_ELA[#Headers],0)))="INS",'Writing Logic'!$B$7,IF(INDEX(_xlfn.VSTACK(YES_Writing_ELA[#Data],YES_Writing_FLA[#Data]),MATCH($A396,_xlfn.VSTACK(YES_Writing_ELA[Student Number],YES_Writing_FLA[Student Number]),0),MATCH(VLOOKUP(E$7,'Writing Logic'!$J$7:$K$11,2,FALSE)&amp;" - Per "&amp;VLOOKUP($C$4,'Writing Logic'!$G$8:$H$14,2,FALSE),YES_Writing_ELA[#Headers],0))=0,"",INDEX(_xlfn.VSTACK(YES_Writing_ELA[#Data],YES_Writing_FLA[#Data]),MATCH($A396,_xlfn.VSTACK(YES_Writing_ELA[Student Number],YES_Writing_FLA[Student Number]),0),MATCH(VLOOKUP(E$7,'Writing Logic'!$J$7:$K$11,2,FALSE)&amp;" - Per "&amp;VLOOKUP($C$4,'Writing Logic'!$G$8:$H$14,2,FALSE),YES_Writing_ELA[#Headers],0)))),"")</f>
        <v/>
      </c>
      <c r="F396" s="138" t="str">
        <f>IFERROR(IF(IF(INDEX(_xlfn.VSTACK(YES_Writing_ELA[#Data],YES_Writing_FLA[#Data]),MATCH($A396,_xlfn.VSTACK(YES_Writing_ELA[Student Number],YES_Writing_FLA[Student Number]),0),MATCH(VLOOKUP(F$7,'Writing Logic'!$J$7:$K$11,2,FALSE)&amp;" - Per "&amp;VLOOKUP($C$4,'Writing Logic'!$G$8:$H$14,2,FALSE),YES_Writing_ELA[#Headers],0))=0,"",INDEX(_xlfn.VSTACK(YES_Writing_ELA[#Data],YES_Writing_FLA[#Data]),MATCH($A396,_xlfn.VSTACK(YES_Writing_ELA[Student Number],YES_Writing_FLA[Student Number]),0),MATCH(VLOOKUP(F$7,'Writing Logic'!$J$7:$K$11,2,FALSE)&amp;" - Per "&amp;VLOOKUP($C$4,'Writing Logic'!$G$8:$H$14,2,FALSE),YES_Writing_ELA[#Headers],0)))="INS",'Writing Logic'!$B$7,IF(INDEX(_xlfn.VSTACK(YES_Writing_ELA[#Data],YES_Writing_FLA[#Data]),MATCH($A396,_xlfn.VSTACK(YES_Writing_ELA[Student Number],YES_Writing_FLA[Student Number]),0),MATCH(VLOOKUP(F$7,'Writing Logic'!$J$7:$K$11,2,FALSE)&amp;" - Per "&amp;VLOOKUP($C$4,'Writing Logic'!$G$8:$H$14,2,FALSE),YES_Writing_ELA[#Headers],0))=0,"",INDEX(_xlfn.VSTACK(YES_Writing_ELA[#Data],YES_Writing_FLA[#Data]),MATCH($A396,_xlfn.VSTACK(YES_Writing_ELA[Student Number],YES_Writing_FLA[Student Number]),0),MATCH(VLOOKUP(F$7,'Writing Logic'!$J$7:$K$11,2,FALSE)&amp;" - Per "&amp;VLOOKUP($C$4,'Writing Logic'!$G$8:$H$14,2,FALSE),YES_Writing_ELA[#Headers],0)))),"")</f>
        <v/>
      </c>
      <c r="G396" s="138" t="str">
        <f>IFERROR(IF(IF(INDEX(_xlfn.VSTACK(YES_Writing_ELA[#Data],YES_Writing_FLA[#Data]),MATCH($A396,_xlfn.VSTACK(YES_Writing_ELA[Student Number],YES_Writing_FLA[Student Number]),0),MATCH(VLOOKUP(G$7,'Writing Logic'!$J$7:$K$11,2,FALSE)&amp;" - Per "&amp;VLOOKUP($C$4,'Writing Logic'!$G$8:$H$14,2,FALSE),YES_Writing_ELA[#Headers],0))=0,"",INDEX(_xlfn.VSTACK(YES_Writing_ELA[#Data],YES_Writing_FLA[#Data]),MATCH($A396,_xlfn.VSTACK(YES_Writing_ELA[Student Number],YES_Writing_FLA[Student Number]),0),MATCH(VLOOKUP(G$7,'Writing Logic'!$J$7:$K$11,2,FALSE)&amp;" - Per "&amp;VLOOKUP($C$4,'Writing Logic'!$G$8:$H$14,2,FALSE),YES_Writing_ELA[#Headers],0)))="INS",'Writing Logic'!$B$7,IF(INDEX(_xlfn.VSTACK(YES_Writing_ELA[#Data],YES_Writing_FLA[#Data]),MATCH($A396,_xlfn.VSTACK(YES_Writing_ELA[Student Number],YES_Writing_FLA[Student Number]),0),MATCH(VLOOKUP(G$7,'Writing Logic'!$J$7:$K$11,2,FALSE)&amp;" - Per "&amp;VLOOKUP($C$4,'Writing Logic'!$G$8:$H$14,2,FALSE),YES_Writing_ELA[#Headers],0))=0,"",INDEX(_xlfn.VSTACK(YES_Writing_ELA[#Data],YES_Writing_FLA[#Data]),MATCH($A396,_xlfn.VSTACK(YES_Writing_ELA[Student Number],YES_Writing_FLA[Student Number]),0),MATCH(VLOOKUP(G$7,'Writing Logic'!$J$7:$K$11,2,FALSE)&amp;" - Per "&amp;VLOOKUP($C$4,'Writing Logic'!$G$8:$H$14,2,FALSE),YES_Writing_ELA[#Headers],0)))),"")</f>
        <v/>
      </c>
      <c r="H396" s="223" t="str">
        <f>IFERROR(IF(IF(INDEX(_xlfn.VSTACK(YES_Writing_ELA[#Data],YES_Writing_FLA[#Data]),MATCH($A396,_xlfn.VSTACK(YES_Writing_ELA[Student Number],YES_Writing_FLA[Student Number]),0),MATCH(VLOOKUP(H$7,'Writing Logic'!$J$7:$K$11,2,FALSE)&amp;" - Per "&amp;VLOOKUP($C$4,'Writing Logic'!$G$8:$H$14,2,FALSE),YES_Writing_ELA[#Headers],0))=0,"",INDEX(_xlfn.VSTACK(YES_Writing_ELA[#Data],YES_Writing_FLA[#Data]),MATCH($A396,_xlfn.VSTACK(YES_Writing_ELA[Student Number],YES_Writing_FLA[Student Number]),0),MATCH(VLOOKUP(H$7,'Writing Logic'!$J$7:$K$11,2,FALSE)&amp;" - Per "&amp;VLOOKUP($C$4,'Writing Logic'!$G$8:$H$14,2,FALSE),YES_Writing_ELA[#Headers],0)))="INS",'Writing Logic'!$B$7,IF(INDEX(_xlfn.VSTACK(YES_Writing_ELA[#Data],YES_Writing_FLA[#Data]),MATCH($A396,_xlfn.VSTACK(YES_Writing_ELA[Student Number],YES_Writing_FLA[Student Number]),0),MATCH(VLOOKUP(H$7,'Writing Logic'!$J$7:$K$11,2,FALSE)&amp;" - Per "&amp;VLOOKUP($C$4,'Writing Logic'!$G$8:$H$14,2,FALSE),YES_Writing_ELA[#Headers],0))=0,"",INDEX(_xlfn.VSTACK(YES_Writing_ELA[#Data],YES_Writing_FLA[#Data]),MATCH($A396,_xlfn.VSTACK(YES_Writing_ELA[Student Number],YES_Writing_FLA[Student Number]),0),MATCH(VLOOKUP(H$7,'Writing Logic'!$J$7:$K$11,2,FALSE)&amp;" - Per "&amp;VLOOKUP($C$4,'Writing Logic'!$G$8:$H$14,2,FALSE),YES_Writing_ELA[#Headers],0)))),"")</f>
        <v/>
      </c>
      <c r="I396" s="224" t="str" cm="1">
        <f t="array" aca="1" ref="I396" ca="1">IFERROR(
IF($G$3="ELA",
IF(VLOOKUP($A396, YES_Reading_ELA[], COLUMN(INDIRECT("YES_Reading_ELA[Difference - Per "&amp;VLOOKUP($G$4, 'Reading Report Logic'!$A$2:$B$8, 2, FALSE)&amp;"]")), FALSE)="", "",
VLOOKUP($A396,YES_Reading_ELA[], COLUMN(INDIRECT("YES_Reading_ELA[Difference - Per "&amp;VLOOKUP($G$4,'Reading Report Logic'!$A$2:$B$8,2,FALSE)&amp;"]")), FALSE)),
IF($G$3="FLA",
IF(VLOOKUP($A396, YES_Reading_FLA[], COLUMN(INDIRECT("YES_Reading_FLA[Difference - Per "&amp;VLOOKUP($G$4,'Reading Report Logic'!$A$2:$B$8,2,FALSE)&amp;"]")),FALSE)="","",
VLOOKUP($A396,YES_Reading_FLA[],COLUMN(INDIRECT("YES_Reading_FLA[Difference - Per "&amp;VLOOKUP($G$4,'Reading Report Logic'!$A$2:$B$8,2,FALSE)&amp;"]")),FALSE)),
IF($G$3="Combined",
IFERROR(
IF(VLOOKUP($A396, YES_Reading_ELA[], COLUMN(INDIRECT("YES_Reading_ELA[Difference - Per "&amp;VLOOKUP($G$4, 'Reading Report Logic'!$A$2:$B$8,2,FALSE)&amp;"]")), FALSE)="", "",
VLOOKUP($A396,YES_Reading_ELA[],COLUMN(INDIRECT("YES_Reading_ELA[Difference - Per "&amp;VLOOKUP($G$4,'Reading Report Logic'!$A$2:$B$8,2,FALSE)&amp;"]")),FALSE)),
IF(VLOOKUP($A396, YES_Reading_FLA[], COLUMN(INDIRECT("YES_Reading_FLA[Difference - Per "&amp;VLOOKUP($G$4, 'Reading Report Logic'!$A$2:$B$8, 2, FALSE)&amp;"]")),FALSE)="", "", VLOOKUP($A396,YES_Reading_FLA[],COLUMN(INDIRECT("YES_Reading_FLA[Difference - Per "&amp;VLOOKUP($G$4, 'Reading Report Logic'!$A$2:$B$8, 2, FALSE)&amp;"]")),FALSE))),""))),"")</f>
        <v/>
      </c>
    </row>
    <row r="397" spans="1:9" x14ac:dyDescent="0.25">
      <c r="A397" s="137"/>
      <c r="B397" s="137" t="str">
        <f>IFERROR(INDEX(_xlfn.VSTACK(YES_Writing_ELA[#Data], YES_Writing_FLA[#Data]),MATCH($A397,_xlfn.VSTACK(YES_Writing_ELA[Student Number], YES_Writing_FLA[Student Number]),0),MATCH(B$7,YES_Writing_ELA[#Headers],0)),IFERROR(INDEX(_xlfn.VSTACK(YES_Reading_ELA[#Data], YES_Reading_FLA[#Data]),MATCH($A397,_xlfn.VSTACK(YES_Reading_ELA[Student Number], YES_Reading_FLA[Student Number]),0),MATCH(B$7,YES_Reading_ELA[#Headers],0)),""))</f>
        <v/>
      </c>
      <c r="C397" s="137" t="str">
        <f>IFERROR(INDEX(_xlfn.VSTACK(YES_Writing_ELA[#Data], YES_Writing_FLA[#Data]),MATCH($A397,_xlfn.VSTACK(YES_Writing_ELA[Student Number], YES_Writing_FLA[Student Number]),0),MATCH(C$7,YES_Writing_ELA[#Headers],0)),IFERROR(INDEX(_xlfn.VSTACK(YES_Reading_ELA[#Data], YES_Reading_FLA[#Data]),MATCH($A397,_xlfn.VSTACK(YES_Reading_ELA[Student Number], YES_Reading_FLA[Student Number]),0),MATCH(C$7,YES_Reading_ELA[#Headers],0)),""))</f>
        <v/>
      </c>
      <c r="D397" s="138" t="str">
        <f>IFERROR(IF(IF(INDEX(_xlfn.VSTACK(YES_Writing_ELA[#Data],YES_Writing_FLA[#Data]),MATCH($A397,_xlfn.VSTACK(YES_Writing_ELA[Student Number],YES_Writing_FLA[Student Number]),0),MATCH(VLOOKUP(D$7,'Writing Logic'!$J$7:$K$11,2,FALSE)&amp;" - Per "&amp;VLOOKUP($C$4,'Writing Logic'!$G$8:$H$14,2,FALSE),YES_Writing_ELA[#Headers],0))=0,"",INDEX(_xlfn.VSTACK(YES_Writing_ELA[#Data],YES_Writing_FLA[#Data]),MATCH($A397,_xlfn.VSTACK(YES_Writing_ELA[Student Number],YES_Writing_FLA[Student Number]),0),MATCH(VLOOKUP(D$7,'Writing Logic'!$J$7:$K$11,2,FALSE)&amp;" - Per "&amp;VLOOKUP($C$4,'Writing Logic'!$G$8:$H$14,2,FALSE),YES_Writing_ELA[#Headers],0)))="INS",'Writing Logic'!$B$7,IF(INDEX(_xlfn.VSTACK(YES_Writing_ELA[#Data],YES_Writing_FLA[#Data]),MATCH($A397,_xlfn.VSTACK(YES_Writing_ELA[Student Number],YES_Writing_FLA[Student Number]),0),MATCH(VLOOKUP(D$7,'Writing Logic'!$J$7:$K$11,2,FALSE)&amp;" - Per "&amp;VLOOKUP($C$4,'Writing Logic'!$G$8:$H$14,2,FALSE),YES_Writing_ELA[#Headers],0))=0,"",INDEX(_xlfn.VSTACK(YES_Writing_ELA[#Data],YES_Writing_FLA[#Data]),MATCH($A397,_xlfn.VSTACK(YES_Writing_ELA[Student Number],YES_Writing_FLA[Student Number]),0),MATCH(VLOOKUP(D$7,'Writing Logic'!$J$7:$K$11,2,FALSE)&amp;" - Per "&amp;VLOOKUP($C$4,'Writing Logic'!$G$8:$H$14,2,FALSE),YES_Writing_ELA[#Headers],0)))),"")</f>
        <v/>
      </c>
      <c r="E397" s="138" t="str">
        <f>IFERROR(IF(IF(INDEX(_xlfn.VSTACK(YES_Writing_ELA[#Data],YES_Writing_FLA[#Data]),MATCH($A397,_xlfn.VSTACK(YES_Writing_ELA[Student Number],YES_Writing_FLA[Student Number]),0),MATCH(VLOOKUP(E$7,'Writing Logic'!$J$7:$K$11,2,FALSE)&amp;" - Per "&amp;VLOOKUP($C$4,'Writing Logic'!$G$8:$H$14,2,FALSE),YES_Writing_ELA[#Headers],0))=0,"",INDEX(_xlfn.VSTACK(YES_Writing_ELA[#Data],YES_Writing_FLA[#Data]),MATCH($A397,_xlfn.VSTACK(YES_Writing_ELA[Student Number],YES_Writing_FLA[Student Number]),0),MATCH(VLOOKUP(E$7,'Writing Logic'!$J$7:$K$11,2,FALSE)&amp;" - Per "&amp;VLOOKUP($C$4,'Writing Logic'!$G$8:$H$14,2,FALSE),YES_Writing_ELA[#Headers],0)))="INS",'Writing Logic'!$B$7,IF(INDEX(_xlfn.VSTACK(YES_Writing_ELA[#Data],YES_Writing_FLA[#Data]),MATCH($A397,_xlfn.VSTACK(YES_Writing_ELA[Student Number],YES_Writing_FLA[Student Number]),0),MATCH(VLOOKUP(E$7,'Writing Logic'!$J$7:$K$11,2,FALSE)&amp;" - Per "&amp;VLOOKUP($C$4,'Writing Logic'!$G$8:$H$14,2,FALSE),YES_Writing_ELA[#Headers],0))=0,"",INDEX(_xlfn.VSTACK(YES_Writing_ELA[#Data],YES_Writing_FLA[#Data]),MATCH($A397,_xlfn.VSTACK(YES_Writing_ELA[Student Number],YES_Writing_FLA[Student Number]),0),MATCH(VLOOKUP(E$7,'Writing Logic'!$J$7:$K$11,2,FALSE)&amp;" - Per "&amp;VLOOKUP($C$4,'Writing Logic'!$G$8:$H$14,2,FALSE),YES_Writing_ELA[#Headers],0)))),"")</f>
        <v/>
      </c>
      <c r="F397" s="138" t="str">
        <f>IFERROR(IF(IF(INDEX(_xlfn.VSTACK(YES_Writing_ELA[#Data],YES_Writing_FLA[#Data]),MATCH($A397,_xlfn.VSTACK(YES_Writing_ELA[Student Number],YES_Writing_FLA[Student Number]),0),MATCH(VLOOKUP(F$7,'Writing Logic'!$J$7:$K$11,2,FALSE)&amp;" - Per "&amp;VLOOKUP($C$4,'Writing Logic'!$G$8:$H$14,2,FALSE),YES_Writing_ELA[#Headers],0))=0,"",INDEX(_xlfn.VSTACK(YES_Writing_ELA[#Data],YES_Writing_FLA[#Data]),MATCH($A397,_xlfn.VSTACK(YES_Writing_ELA[Student Number],YES_Writing_FLA[Student Number]),0),MATCH(VLOOKUP(F$7,'Writing Logic'!$J$7:$K$11,2,FALSE)&amp;" - Per "&amp;VLOOKUP($C$4,'Writing Logic'!$G$8:$H$14,2,FALSE),YES_Writing_ELA[#Headers],0)))="INS",'Writing Logic'!$B$7,IF(INDEX(_xlfn.VSTACK(YES_Writing_ELA[#Data],YES_Writing_FLA[#Data]),MATCH($A397,_xlfn.VSTACK(YES_Writing_ELA[Student Number],YES_Writing_FLA[Student Number]),0),MATCH(VLOOKUP(F$7,'Writing Logic'!$J$7:$K$11,2,FALSE)&amp;" - Per "&amp;VLOOKUP($C$4,'Writing Logic'!$G$8:$H$14,2,FALSE),YES_Writing_ELA[#Headers],0))=0,"",INDEX(_xlfn.VSTACK(YES_Writing_ELA[#Data],YES_Writing_FLA[#Data]),MATCH($A397,_xlfn.VSTACK(YES_Writing_ELA[Student Number],YES_Writing_FLA[Student Number]),0),MATCH(VLOOKUP(F$7,'Writing Logic'!$J$7:$K$11,2,FALSE)&amp;" - Per "&amp;VLOOKUP($C$4,'Writing Logic'!$G$8:$H$14,2,FALSE),YES_Writing_ELA[#Headers],0)))),"")</f>
        <v/>
      </c>
      <c r="G397" s="138" t="str">
        <f>IFERROR(IF(IF(INDEX(_xlfn.VSTACK(YES_Writing_ELA[#Data],YES_Writing_FLA[#Data]),MATCH($A397,_xlfn.VSTACK(YES_Writing_ELA[Student Number],YES_Writing_FLA[Student Number]),0),MATCH(VLOOKUP(G$7,'Writing Logic'!$J$7:$K$11,2,FALSE)&amp;" - Per "&amp;VLOOKUP($C$4,'Writing Logic'!$G$8:$H$14,2,FALSE),YES_Writing_ELA[#Headers],0))=0,"",INDEX(_xlfn.VSTACK(YES_Writing_ELA[#Data],YES_Writing_FLA[#Data]),MATCH($A397,_xlfn.VSTACK(YES_Writing_ELA[Student Number],YES_Writing_FLA[Student Number]),0),MATCH(VLOOKUP(G$7,'Writing Logic'!$J$7:$K$11,2,FALSE)&amp;" - Per "&amp;VLOOKUP($C$4,'Writing Logic'!$G$8:$H$14,2,FALSE),YES_Writing_ELA[#Headers],0)))="INS",'Writing Logic'!$B$7,IF(INDEX(_xlfn.VSTACK(YES_Writing_ELA[#Data],YES_Writing_FLA[#Data]),MATCH($A397,_xlfn.VSTACK(YES_Writing_ELA[Student Number],YES_Writing_FLA[Student Number]),0),MATCH(VLOOKUP(G$7,'Writing Logic'!$J$7:$K$11,2,FALSE)&amp;" - Per "&amp;VLOOKUP($C$4,'Writing Logic'!$G$8:$H$14,2,FALSE),YES_Writing_ELA[#Headers],0))=0,"",INDEX(_xlfn.VSTACK(YES_Writing_ELA[#Data],YES_Writing_FLA[#Data]),MATCH($A397,_xlfn.VSTACK(YES_Writing_ELA[Student Number],YES_Writing_FLA[Student Number]),0),MATCH(VLOOKUP(G$7,'Writing Logic'!$J$7:$K$11,2,FALSE)&amp;" - Per "&amp;VLOOKUP($C$4,'Writing Logic'!$G$8:$H$14,2,FALSE),YES_Writing_ELA[#Headers],0)))),"")</f>
        <v/>
      </c>
      <c r="H397" s="223" t="str">
        <f>IFERROR(IF(IF(INDEX(_xlfn.VSTACK(YES_Writing_ELA[#Data],YES_Writing_FLA[#Data]),MATCH($A397,_xlfn.VSTACK(YES_Writing_ELA[Student Number],YES_Writing_FLA[Student Number]),0),MATCH(VLOOKUP(H$7,'Writing Logic'!$J$7:$K$11,2,FALSE)&amp;" - Per "&amp;VLOOKUP($C$4,'Writing Logic'!$G$8:$H$14,2,FALSE),YES_Writing_ELA[#Headers],0))=0,"",INDEX(_xlfn.VSTACK(YES_Writing_ELA[#Data],YES_Writing_FLA[#Data]),MATCH($A397,_xlfn.VSTACK(YES_Writing_ELA[Student Number],YES_Writing_FLA[Student Number]),0),MATCH(VLOOKUP(H$7,'Writing Logic'!$J$7:$K$11,2,FALSE)&amp;" - Per "&amp;VLOOKUP($C$4,'Writing Logic'!$G$8:$H$14,2,FALSE),YES_Writing_ELA[#Headers],0)))="INS",'Writing Logic'!$B$7,IF(INDEX(_xlfn.VSTACK(YES_Writing_ELA[#Data],YES_Writing_FLA[#Data]),MATCH($A397,_xlfn.VSTACK(YES_Writing_ELA[Student Number],YES_Writing_FLA[Student Number]),0),MATCH(VLOOKUP(H$7,'Writing Logic'!$J$7:$K$11,2,FALSE)&amp;" - Per "&amp;VLOOKUP($C$4,'Writing Logic'!$G$8:$H$14,2,FALSE),YES_Writing_ELA[#Headers],0))=0,"",INDEX(_xlfn.VSTACK(YES_Writing_ELA[#Data],YES_Writing_FLA[#Data]),MATCH($A397,_xlfn.VSTACK(YES_Writing_ELA[Student Number],YES_Writing_FLA[Student Number]),0),MATCH(VLOOKUP(H$7,'Writing Logic'!$J$7:$K$11,2,FALSE)&amp;" - Per "&amp;VLOOKUP($C$4,'Writing Logic'!$G$8:$H$14,2,FALSE),YES_Writing_ELA[#Headers],0)))),"")</f>
        <v/>
      </c>
      <c r="I397" s="224" t="str" cm="1">
        <f t="array" aca="1" ref="I397" ca="1">IFERROR(
IF($G$3="ELA",
IF(VLOOKUP($A397, YES_Reading_ELA[], COLUMN(INDIRECT("YES_Reading_ELA[Difference - Per "&amp;VLOOKUP($G$4, 'Reading Report Logic'!$A$2:$B$8, 2, FALSE)&amp;"]")), FALSE)="", "",
VLOOKUP($A397,YES_Reading_ELA[], COLUMN(INDIRECT("YES_Reading_ELA[Difference - Per "&amp;VLOOKUP($G$4,'Reading Report Logic'!$A$2:$B$8,2,FALSE)&amp;"]")), FALSE)),
IF($G$3="FLA",
IF(VLOOKUP($A397, YES_Reading_FLA[], COLUMN(INDIRECT("YES_Reading_FLA[Difference - Per "&amp;VLOOKUP($G$4,'Reading Report Logic'!$A$2:$B$8,2,FALSE)&amp;"]")),FALSE)="","",
VLOOKUP($A397,YES_Reading_FLA[],COLUMN(INDIRECT("YES_Reading_FLA[Difference - Per "&amp;VLOOKUP($G$4,'Reading Report Logic'!$A$2:$B$8,2,FALSE)&amp;"]")),FALSE)),
IF($G$3="Combined",
IFERROR(
IF(VLOOKUP($A397, YES_Reading_ELA[], COLUMN(INDIRECT("YES_Reading_ELA[Difference - Per "&amp;VLOOKUP($G$4, 'Reading Report Logic'!$A$2:$B$8,2,FALSE)&amp;"]")), FALSE)="", "",
VLOOKUP($A397,YES_Reading_ELA[],COLUMN(INDIRECT("YES_Reading_ELA[Difference - Per "&amp;VLOOKUP($G$4,'Reading Report Logic'!$A$2:$B$8,2,FALSE)&amp;"]")),FALSE)),
IF(VLOOKUP($A397, YES_Reading_FLA[], COLUMN(INDIRECT("YES_Reading_FLA[Difference - Per "&amp;VLOOKUP($G$4, 'Reading Report Logic'!$A$2:$B$8, 2, FALSE)&amp;"]")),FALSE)="", "", VLOOKUP($A397,YES_Reading_FLA[],COLUMN(INDIRECT("YES_Reading_FLA[Difference - Per "&amp;VLOOKUP($G$4, 'Reading Report Logic'!$A$2:$B$8, 2, FALSE)&amp;"]")),FALSE))),""))),"")</f>
        <v/>
      </c>
    </row>
    <row r="398" spans="1:9" x14ac:dyDescent="0.25">
      <c r="A398" s="137"/>
      <c r="B398" s="137" t="str">
        <f>IFERROR(INDEX(_xlfn.VSTACK(YES_Writing_ELA[#Data], YES_Writing_FLA[#Data]),MATCH($A398,_xlfn.VSTACK(YES_Writing_ELA[Student Number], YES_Writing_FLA[Student Number]),0),MATCH(B$7,YES_Writing_ELA[#Headers],0)),IFERROR(INDEX(_xlfn.VSTACK(YES_Reading_ELA[#Data], YES_Reading_FLA[#Data]),MATCH($A398,_xlfn.VSTACK(YES_Reading_ELA[Student Number], YES_Reading_FLA[Student Number]),0),MATCH(B$7,YES_Reading_ELA[#Headers],0)),""))</f>
        <v/>
      </c>
      <c r="C398" s="137" t="str">
        <f>IFERROR(INDEX(_xlfn.VSTACK(YES_Writing_ELA[#Data], YES_Writing_FLA[#Data]),MATCH($A398,_xlfn.VSTACK(YES_Writing_ELA[Student Number], YES_Writing_FLA[Student Number]),0),MATCH(C$7,YES_Writing_ELA[#Headers],0)),IFERROR(INDEX(_xlfn.VSTACK(YES_Reading_ELA[#Data], YES_Reading_FLA[#Data]),MATCH($A398,_xlfn.VSTACK(YES_Reading_ELA[Student Number], YES_Reading_FLA[Student Number]),0),MATCH(C$7,YES_Reading_ELA[#Headers],0)),""))</f>
        <v/>
      </c>
      <c r="D398" s="138" t="str">
        <f>IFERROR(IF(IF(INDEX(_xlfn.VSTACK(YES_Writing_ELA[#Data],YES_Writing_FLA[#Data]),MATCH($A398,_xlfn.VSTACK(YES_Writing_ELA[Student Number],YES_Writing_FLA[Student Number]),0),MATCH(VLOOKUP(D$7,'Writing Logic'!$J$7:$K$11,2,FALSE)&amp;" - Per "&amp;VLOOKUP($C$4,'Writing Logic'!$G$8:$H$14,2,FALSE),YES_Writing_ELA[#Headers],0))=0,"",INDEX(_xlfn.VSTACK(YES_Writing_ELA[#Data],YES_Writing_FLA[#Data]),MATCH($A398,_xlfn.VSTACK(YES_Writing_ELA[Student Number],YES_Writing_FLA[Student Number]),0),MATCH(VLOOKUP(D$7,'Writing Logic'!$J$7:$K$11,2,FALSE)&amp;" - Per "&amp;VLOOKUP($C$4,'Writing Logic'!$G$8:$H$14,2,FALSE),YES_Writing_ELA[#Headers],0)))="INS",'Writing Logic'!$B$7,IF(INDEX(_xlfn.VSTACK(YES_Writing_ELA[#Data],YES_Writing_FLA[#Data]),MATCH($A398,_xlfn.VSTACK(YES_Writing_ELA[Student Number],YES_Writing_FLA[Student Number]),0),MATCH(VLOOKUP(D$7,'Writing Logic'!$J$7:$K$11,2,FALSE)&amp;" - Per "&amp;VLOOKUP($C$4,'Writing Logic'!$G$8:$H$14,2,FALSE),YES_Writing_ELA[#Headers],0))=0,"",INDEX(_xlfn.VSTACK(YES_Writing_ELA[#Data],YES_Writing_FLA[#Data]),MATCH($A398,_xlfn.VSTACK(YES_Writing_ELA[Student Number],YES_Writing_FLA[Student Number]),0),MATCH(VLOOKUP(D$7,'Writing Logic'!$J$7:$K$11,2,FALSE)&amp;" - Per "&amp;VLOOKUP($C$4,'Writing Logic'!$G$8:$H$14,2,FALSE),YES_Writing_ELA[#Headers],0)))),"")</f>
        <v/>
      </c>
      <c r="E398" s="138" t="str">
        <f>IFERROR(IF(IF(INDEX(_xlfn.VSTACK(YES_Writing_ELA[#Data],YES_Writing_FLA[#Data]),MATCH($A398,_xlfn.VSTACK(YES_Writing_ELA[Student Number],YES_Writing_FLA[Student Number]),0),MATCH(VLOOKUP(E$7,'Writing Logic'!$J$7:$K$11,2,FALSE)&amp;" - Per "&amp;VLOOKUP($C$4,'Writing Logic'!$G$8:$H$14,2,FALSE),YES_Writing_ELA[#Headers],0))=0,"",INDEX(_xlfn.VSTACK(YES_Writing_ELA[#Data],YES_Writing_FLA[#Data]),MATCH($A398,_xlfn.VSTACK(YES_Writing_ELA[Student Number],YES_Writing_FLA[Student Number]),0),MATCH(VLOOKUP(E$7,'Writing Logic'!$J$7:$K$11,2,FALSE)&amp;" - Per "&amp;VLOOKUP($C$4,'Writing Logic'!$G$8:$H$14,2,FALSE),YES_Writing_ELA[#Headers],0)))="INS",'Writing Logic'!$B$7,IF(INDEX(_xlfn.VSTACK(YES_Writing_ELA[#Data],YES_Writing_FLA[#Data]),MATCH($A398,_xlfn.VSTACK(YES_Writing_ELA[Student Number],YES_Writing_FLA[Student Number]),0),MATCH(VLOOKUP(E$7,'Writing Logic'!$J$7:$K$11,2,FALSE)&amp;" - Per "&amp;VLOOKUP($C$4,'Writing Logic'!$G$8:$H$14,2,FALSE),YES_Writing_ELA[#Headers],0))=0,"",INDEX(_xlfn.VSTACK(YES_Writing_ELA[#Data],YES_Writing_FLA[#Data]),MATCH($A398,_xlfn.VSTACK(YES_Writing_ELA[Student Number],YES_Writing_FLA[Student Number]),0),MATCH(VLOOKUP(E$7,'Writing Logic'!$J$7:$K$11,2,FALSE)&amp;" - Per "&amp;VLOOKUP($C$4,'Writing Logic'!$G$8:$H$14,2,FALSE),YES_Writing_ELA[#Headers],0)))),"")</f>
        <v/>
      </c>
      <c r="F398" s="138" t="str">
        <f>IFERROR(IF(IF(INDEX(_xlfn.VSTACK(YES_Writing_ELA[#Data],YES_Writing_FLA[#Data]),MATCH($A398,_xlfn.VSTACK(YES_Writing_ELA[Student Number],YES_Writing_FLA[Student Number]),0),MATCH(VLOOKUP(F$7,'Writing Logic'!$J$7:$K$11,2,FALSE)&amp;" - Per "&amp;VLOOKUP($C$4,'Writing Logic'!$G$8:$H$14,2,FALSE),YES_Writing_ELA[#Headers],0))=0,"",INDEX(_xlfn.VSTACK(YES_Writing_ELA[#Data],YES_Writing_FLA[#Data]),MATCH($A398,_xlfn.VSTACK(YES_Writing_ELA[Student Number],YES_Writing_FLA[Student Number]),0),MATCH(VLOOKUP(F$7,'Writing Logic'!$J$7:$K$11,2,FALSE)&amp;" - Per "&amp;VLOOKUP($C$4,'Writing Logic'!$G$8:$H$14,2,FALSE),YES_Writing_ELA[#Headers],0)))="INS",'Writing Logic'!$B$7,IF(INDEX(_xlfn.VSTACK(YES_Writing_ELA[#Data],YES_Writing_FLA[#Data]),MATCH($A398,_xlfn.VSTACK(YES_Writing_ELA[Student Number],YES_Writing_FLA[Student Number]),0),MATCH(VLOOKUP(F$7,'Writing Logic'!$J$7:$K$11,2,FALSE)&amp;" - Per "&amp;VLOOKUP($C$4,'Writing Logic'!$G$8:$H$14,2,FALSE),YES_Writing_ELA[#Headers],0))=0,"",INDEX(_xlfn.VSTACK(YES_Writing_ELA[#Data],YES_Writing_FLA[#Data]),MATCH($A398,_xlfn.VSTACK(YES_Writing_ELA[Student Number],YES_Writing_FLA[Student Number]),0),MATCH(VLOOKUP(F$7,'Writing Logic'!$J$7:$K$11,2,FALSE)&amp;" - Per "&amp;VLOOKUP($C$4,'Writing Logic'!$G$8:$H$14,2,FALSE),YES_Writing_ELA[#Headers],0)))),"")</f>
        <v/>
      </c>
      <c r="G398" s="138" t="str">
        <f>IFERROR(IF(IF(INDEX(_xlfn.VSTACK(YES_Writing_ELA[#Data],YES_Writing_FLA[#Data]),MATCH($A398,_xlfn.VSTACK(YES_Writing_ELA[Student Number],YES_Writing_FLA[Student Number]),0),MATCH(VLOOKUP(G$7,'Writing Logic'!$J$7:$K$11,2,FALSE)&amp;" - Per "&amp;VLOOKUP($C$4,'Writing Logic'!$G$8:$H$14,2,FALSE),YES_Writing_ELA[#Headers],0))=0,"",INDEX(_xlfn.VSTACK(YES_Writing_ELA[#Data],YES_Writing_FLA[#Data]),MATCH($A398,_xlfn.VSTACK(YES_Writing_ELA[Student Number],YES_Writing_FLA[Student Number]),0),MATCH(VLOOKUP(G$7,'Writing Logic'!$J$7:$K$11,2,FALSE)&amp;" - Per "&amp;VLOOKUP($C$4,'Writing Logic'!$G$8:$H$14,2,FALSE),YES_Writing_ELA[#Headers],0)))="INS",'Writing Logic'!$B$7,IF(INDEX(_xlfn.VSTACK(YES_Writing_ELA[#Data],YES_Writing_FLA[#Data]),MATCH($A398,_xlfn.VSTACK(YES_Writing_ELA[Student Number],YES_Writing_FLA[Student Number]),0),MATCH(VLOOKUP(G$7,'Writing Logic'!$J$7:$K$11,2,FALSE)&amp;" - Per "&amp;VLOOKUP($C$4,'Writing Logic'!$G$8:$H$14,2,FALSE),YES_Writing_ELA[#Headers],0))=0,"",INDEX(_xlfn.VSTACK(YES_Writing_ELA[#Data],YES_Writing_FLA[#Data]),MATCH($A398,_xlfn.VSTACK(YES_Writing_ELA[Student Number],YES_Writing_FLA[Student Number]),0),MATCH(VLOOKUP(G$7,'Writing Logic'!$J$7:$K$11,2,FALSE)&amp;" - Per "&amp;VLOOKUP($C$4,'Writing Logic'!$G$8:$H$14,2,FALSE),YES_Writing_ELA[#Headers],0)))),"")</f>
        <v/>
      </c>
      <c r="H398" s="223" t="str">
        <f>IFERROR(IF(IF(INDEX(_xlfn.VSTACK(YES_Writing_ELA[#Data],YES_Writing_FLA[#Data]),MATCH($A398,_xlfn.VSTACK(YES_Writing_ELA[Student Number],YES_Writing_FLA[Student Number]),0),MATCH(VLOOKUP(H$7,'Writing Logic'!$J$7:$K$11,2,FALSE)&amp;" - Per "&amp;VLOOKUP($C$4,'Writing Logic'!$G$8:$H$14,2,FALSE),YES_Writing_ELA[#Headers],0))=0,"",INDEX(_xlfn.VSTACK(YES_Writing_ELA[#Data],YES_Writing_FLA[#Data]),MATCH($A398,_xlfn.VSTACK(YES_Writing_ELA[Student Number],YES_Writing_FLA[Student Number]),0),MATCH(VLOOKUP(H$7,'Writing Logic'!$J$7:$K$11,2,FALSE)&amp;" - Per "&amp;VLOOKUP($C$4,'Writing Logic'!$G$8:$H$14,2,FALSE),YES_Writing_ELA[#Headers],0)))="INS",'Writing Logic'!$B$7,IF(INDEX(_xlfn.VSTACK(YES_Writing_ELA[#Data],YES_Writing_FLA[#Data]),MATCH($A398,_xlfn.VSTACK(YES_Writing_ELA[Student Number],YES_Writing_FLA[Student Number]),0),MATCH(VLOOKUP(H$7,'Writing Logic'!$J$7:$K$11,2,FALSE)&amp;" - Per "&amp;VLOOKUP($C$4,'Writing Logic'!$G$8:$H$14,2,FALSE),YES_Writing_ELA[#Headers],0))=0,"",INDEX(_xlfn.VSTACK(YES_Writing_ELA[#Data],YES_Writing_FLA[#Data]),MATCH($A398,_xlfn.VSTACK(YES_Writing_ELA[Student Number],YES_Writing_FLA[Student Number]),0),MATCH(VLOOKUP(H$7,'Writing Logic'!$J$7:$K$11,2,FALSE)&amp;" - Per "&amp;VLOOKUP($C$4,'Writing Logic'!$G$8:$H$14,2,FALSE),YES_Writing_ELA[#Headers],0)))),"")</f>
        <v/>
      </c>
      <c r="I398" s="224" t="str" cm="1">
        <f t="array" aca="1" ref="I398" ca="1">IFERROR(
IF($G$3="ELA",
IF(VLOOKUP($A398, YES_Reading_ELA[], COLUMN(INDIRECT("YES_Reading_ELA[Difference - Per "&amp;VLOOKUP($G$4, 'Reading Report Logic'!$A$2:$B$8, 2, FALSE)&amp;"]")), FALSE)="", "",
VLOOKUP($A398,YES_Reading_ELA[], COLUMN(INDIRECT("YES_Reading_ELA[Difference - Per "&amp;VLOOKUP($G$4,'Reading Report Logic'!$A$2:$B$8,2,FALSE)&amp;"]")), FALSE)),
IF($G$3="FLA",
IF(VLOOKUP($A398, YES_Reading_FLA[], COLUMN(INDIRECT("YES_Reading_FLA[Difference - Per "&amp;VLOOKUP($G$4,'Reading Report Logic'!$A$2:$B$8,2,FALSE)&amp;"]")),FALSE)="","",
VLOOKUP($A398,YES_Reading_FLA[],COLUMN(INDIRECT("YES_Reading_FLA[Difference - Per "&amp;VLOOKUP($G$4,'Reading Report Logic'!$A$2:$B$8,2,FALSE)&amp;"]")),FALSE)),
IF($G$3="Combined",
IFERROR(
IF(VLOOKUP($A398, YES_Reading_ELA[], COLUMN(INDIRECT("YES_Reading_ELA[Difference - Per "&amp;VLOOKUP($G$4, 'Reading Report Logic'!$A$2:$B$8,2,FALSE)&amp;"]")), FALSE)="", "",
VLOOKUP($A398,YES_Reading_ELA[],COLUMN(INDIRECT("YES_Reading_ELA[Difference - Per "&amp;VLOOKUP($G$4,'Reading Report Logic'!$A$2:$B$8,2,FALSE)&amp;"]")),FALSE)),
IF(VLOOKUP($A398, YES_Reading_FLA[], COLUMN(INDIRECT("YES_Reading_FLA[Difference - Per "&amp;VLOOKUP($G$4, 'Reading Report Logic'!$A$2:$B$8, 2, FALSE)&amp;"]")),FALSE)="", "", VLOOKUP($A398,YES_Reading_FLA[],COLUMN(INDIRECT("YES_Reading_FLA[Difference - Per "&amp;VLOOKUP($G$4, 'Reading Report Logic'!$A$2:$B$8, 2, FALSE)&amp;"]")),FALSE))),""))),"")</f>
        <v/>
      </c>
    </row>
    <row r="399" spans="1:9" x14ac:dyDescent="0.25">
      <c r="A399" s="137"/>
      <c r="B399" s="137" t="str">
        <f>IFERROR(INDEX(_xlfn.VSTACK(YES_Writing_ELA[#Data], YES_Writing_FLA[#Data]),MATCH($A399,_xlfn.VSTACK(YES_Writing_ELA[Student Number], YES_Writing_FLA[Student Number]),0),MATCH(B$7,YES_Writing_ELA[#Headers],0)),IFERROR(INDEX(_xlfn.VSTACK(YES_Reading_ELA[#Data], YES_Reading_FLA[#Data]),MATCH($A399,_xlfn.VSTACK(YES_Reading_ELA[Student Number], YES_Reading_FLA[Student Number]),0),MATCH(B$7,YES_Reading_ELA[#Headers],0)),""))</f>
        <v/>
      </c>
      <c r="C399" s="137" t="str">
        <f>IFERROR(INDEX(_xlfn.VSTACK(YES_Writing_ELA[#Data], YES_Writing_FLA[#Data]),MATCH($A399,_xlfn.VSTACK(YES_Writing_ELA[Student Number], YES_Writing_FLA[Student Number]),0),MATCH(C$7,YES_Writing_ELA[#Headers],0)),IFERROR(INDEX(_xlfn.VSTACK(YES_Reading_ELA[#Data], YES_Reading_FLA[#Data]),MATCH($A399,_xlfn.VSTACK(YES_Reading_ELA[Student Number], YES_Reading_FLA[Student Number]),0),MATCH(C$7,YES_Reading_ELA[#Headers],0)),""))</f>
        <v/>
      </c>
      <c r="D399" s="138" t="str">
        <f>IFERROR(IF(IF(INDEX(_xlfn.VSTACK(YES_Writing_ELA[#Data],YES_Writing_FLA[#Data]),MATCH($A399,_xlfn.VSTACK(YES_Writing_ELA[Student Number],YES_Writing_FLA[Student Number]),0),MATCH(VLOOKUP(D$7,'Writing Logic'!$J$7:$K$11,2,FALSE)&amp;" - Per "&amp;VLOOKUP($C$4,'Writing Logic'!$G$8:$H$14,2,FALSE),YES_Writing_ELA[#Headers],0))=0,"",INDEX(_xlfn.VSTACK(YES_Writing_ELA[#Data],YES_Writing_FLA[#Data]),MATCH($A399,_xlfn.VSTACK(YES_Writing_ELA[Student Number],YES_Writing_FLA[Student Number]),0),MATCH(VLOOKUP(D$7,'Writing Logic'!$J$7:$K$11,2,FALSE)&amp;" - Per "&amp;VLOOKUP($C$4,'Writing Logic'!$G$8:$H$14,2,FALSE),YES_Writing_ELA[#Headers],0)))="INS",'Writing Logic'!$B$7,IF(INDEX(_xlfn.VSTACK(YES_Writing_ELA[#Data],YES_Writing_FLA[#Data]),MATCH($A399,_xlfn.VSTACK(YES_Writing_ELA[Student Number],YES_Writing_FLA[Student Number]),0),MATCH(VLOOKUP(D$7,'Writing Logic'!$J$7:$K$11,2,FALSE)&amp;" - Per "&amp;VLOOKUP($C$4,'Writing Logic'!$G$8:$H$14,2,FALSE),YES_Writing_ELA[#Headers],0))=0,"",INDEX(_xlfn.VSTACK(YES_Writing_ELA[#Data],YES_Writing_FLA[#Data]),MATCH($A399,_xlfn.VSTACK(YES_Writing_ELA[Student Number],YES_Writing_FLA[Student Number]),0),MATCH(VLOOKUP(D$7,'Writing Logic'!$J$7:$K$11,2,FALSE)&amp;" - Per "&amp;VLOOKUP($C$4,'Writing Logic'!$G$8:$H$14,2,FALSE),YES_Writing_ELA[#Headers],0)))),"")</f>
        <v/>
      </c>
      <c r="E399" s="138" t="str">
        <f>IFERROR(IF(IF(INDEX(_xlfn.VSTACK(YES_Writing_ELA[#Data],YES_Writing_FLA[#Data]),MATCH($A399,_xlfn.VSTACK(YES_Writing_ELA[Student Number],YES_Writing_FLA[Student Number]),0),MATCH(VLOOKUP(E$7,'Writing Logic'!$J$7:$K$11,2,FALSE)&amp;" - Per "&amp;VLOOKUP($C$4,'Writing Logic'!$G$8:$H$14,2,FALSE),YES_Writing_ELA[#Headers],0))=0,"",INDEX(_xlfn.VSTACK(YES_Writing_ELA[#Data],YES_Writing_FLA[#Data]),MATCH($A399,_xlfn.VSTACK(YES_Writing_ELA[Student Number],YES_Writing_FLA[Student Number]),0),MATCH(VLOOKUP(E$7,'Writing Logic'!$J$7:$K$11,2,FALSE)&amp;" - Per "&amp;VLOOKUP($C$4,'Writing Logic'!$G$8:$H$14,2,FALSE),YES_Writing_ELA[#Headers],0)))="INS",'Writing Logic'!$B$7,IF(INDEX(_xlfn.VSTACK(YES_Writing_ELA[#Data],YES_Writing_FLA[#Data]),MATCH($A399,_xlfn.VSTACK(YES_Writing_ELA[Student Number],YES_Writing_FLA[Student Number]),0),MATCH(VLOOKUP(E$7,'Writing Logic'!$J$7:$K$11,2,FALSE)&amp;" - Per "&amp;VLOOKUP($C$4,'Writing Logic'!$G$8:$H$14,2,FALSE),YES_Writing_ELA[#Headers],0))=0,"",INDEX(_xlfn.VSTACK(YES_Writing_ELA[#Data],YES_Writing_FLA[#Data]),MATCH($A399,_xlfn.VSTACK(YES_Writing_ELA[Student Number],YES_Writing_FLA[Student Number]),0),MATCH(VLOOKUP(E$7,'Writing Logic'!$J$7:$K$11,2,FALSE)&amp;" - Per "&amp;VLOOKUP($C$4,'Writing Logic'!$G$8:$H$14,2,FALSE),YES_Writing_ELA[#Headers],0)))),"")</f>
        <v/>
      </c>
      <c r="F399" s="138" t="str">
        <f>IFERROR(IF(IF(INDEX(_xlfn.VSTACK(YES_Writing_ELA[#Data],YES_Writing_FLA[#Data]),MATCH($A399,_xlfn.VSTACK(YES_Writing_ELA[Student Number],YES_Writing_FLA[Student Number]),0),MATCH(VLOOKUP(F$7,'Writing Logic'!$J$7:$K$11,2,FALSE)&amp;" - Per "&amp;VLOOKUP($C$4,'Writing Logic'!$G$8:$H$14,2,FALSE),YES_Writing_ELA[#Headers],0))=0,"",INDEX(_xlfn.VSTACK(YES_Writing_ELA[#Data],YES_Writing_FLA[#Data]),MATCH($A399,_xlfn.VSTACK(YES_Writing_ELA[Student Number],YES_Writing_FLA[Student Number]),0),MATCH(VLOOKUP(F$7,'Writing Logic'!$J$7:$K$11,2,FALSE)&amp;" - Per "&amp;VLOOKUP($C$4,'Writing Logic'!$G$8:$H$14,2,FALSE),YES_Writing_ELA[#Headers],0)))="INS",'Writing Logic'!$B$7,IF(INDEX(_xlfn.VSTACK(YES_Writing_ELA[#Data],YES_Writing_FLA[#Data]),MATCH($A399,_xlfn.VSTACK(YES_Writing_ELA[Student Number],YES_Writing_FLA[Student Number]),0),MATCH(VLOOKUP(F$7,'Writing Logic'!$J$7:$K$11,2,FALSE)&amp;" - Per "&amp;VLOOKUP($C$4,'Writing Logic'!$G$8:$H$14,2,FALSE),YES_Writing_ELA[#Headers],0))=0,"",INDEX(_xlfn.VSTACK(YES_Writing_ELA[#Data],YES_Writing_FLA[#Data]),MATCH($A399,_xlfn.VSTACK(YES_Writing_ELA[Student Number],YES_Writing_FLA[Student Number]),0),MATCH(VLOOKUP(F$7,'Writing Logic'!$J$7:$K$11,2,FALSE)&amp;" - Per "&amp;VLOOKUP($C$4,'Writing Logic'!$G$8:$H$14,2,FALSE),YES_Writing_ELA[#Headers],0)))),"")</f>
        <v/>
      </c>
      <c r="G399" s="138" t="str">
        <f>IFERROR(IF(IF(INDEX(_xlfn.VSTACK(YES_Writing_ELA[#Data],YES_Writing_FLA[#Data]),MATCH($A399,_xlfn.VSTACK(YES_Writing_ELA[Student Number],YES_Writing_FLA[Student Number]),0),MATCH(VLOOKUP(G$7,'Writing Logic'!$J$7:$K$11,2,FALSE)&amp;" - Per "&amp;VLOOKUP($C$4,'Writing Logic'!$G$8:$H$14,2,FALSE),YES_Writing_ELA[#Headers],0))=0,"",INDEX(_xlfn.VSTACK(YES_Writing_ELA[#Data],YES_Writing_FLA[#Data]),MATCH($A399,_xlfn.VSTACK(YES_Writing_ELA[Student Number],YES_Writing_FLA[Student Number]),0),MATCH(VLOOKUP(G$7,'Writing Logic'!$J$7:$K$11,2,FALSE)&amp;" - Per "&amp;VLOOKUP($C$4,'Writing Logic'!$G$8:$H$14,2,FALSE),YES_Writing_ELA[#Headers],0)))="INS",'Writing Logic'!$B$7,IF(INDEX(_xlfn.VSTACK(YES_Writing_ELA[#Data],YES_Writing_FLA[#Data]),MATCH($A399,_xlfn.VSTACK(YES_Writing_ELA[Student Number],YES_Writing_FLA[Student Number]),0),MATCH(VLOOKUP(G$7,'Writing Logic'!$J$7:$K$11,2,FALSE)&amp;" - Per "&amp;VLOOKUP($C$4,'Writing Logic'!$G$8:$H$14,2,FALSE),YES_Writing_ELA[#Headers],0))=0,"",INDEX(_xlfn.VSTACK(YES_Writing_ELA[#Data],YES_Writing_FLA[#Data]),MATCH($A399,_xlfn.VSTACK(YES_Writing_ELA[Student Number],YES_Writing_FLA[Student Number]),0),MATCH(VLOOKUP(G$7,'Writing Logic'!$J$7:$K$11,2,FALSE)&amp;" - Per "&amp;VLOOKUP($C$4,'Writing Logic'!$G$8:$H$14,2,FALSE),YES_Writing_ELA[#Headers],0)))),"")</f>
        <v/>
      </c>
      <c r="H399" s="223" t="str">
        <f>IFERROR(IF(IF(INDEX(_xlfn.VSTACK(YES_Writing_ELA[#Data],YES_Writing_FLA[#Data]),MATCH($A399,_xlfn.VSTACK(YES_Writing_ELA[Student Number],YES_Writing_FLA[Student Number]),0),MATCH(VLOOKUP(H$7,'Writing Logic'!$J$7:$K$11,2,FALSE)&amp;" - Per "&amp;VLOOKUP($C$4,'Writing Logic'!$G$8:$H$14,2,FALSE),YES_Writing_ELA[#Headers],0))=0,"",INDEX(_xlfn.VSTACK(YES_Writing_ELA[#Data],YES_Writing_FLA[#Data]),MATCH($A399,_xlfn.VSTACK(YES_Writing_ELA[Student Number],YES_Writing_FLA[Student Number]),0),MATCH(VLOOKUP(H$7,'Writing Logic'!$J$7:$K$11,2,FALSE)&amp;" - Per "&amp;VLOOKUP($C$4,'Writing Logic'!$G$8:$H$14,2,FALSE),YES_Writing_ELA[#Headers],0)))="INS",'Writing Logic'!$B$7,IF(INDEX(_xlfn.VSTACK(YES_Writing_ELA[#Data],YES_Writing_FLA[#Data]),MATCH($A399,_xlfn.VSTACK(YES_Writing_ELA[Student Number],YES_Writing_FLA[Student Number]),0),MATCH(VLOOKUP(H$7,'Writing Logic'!$J$7:$K$11,2,FALSE)&amp;" - Per "&amp;VLOOKUP($C$4,'Writing Logic'!$G$8:$H$14,2,FALSE),YES_Writing_ELA[#Headers],0))=0,"",INDEX(_xlfn.VSTACK(YES_Writing_ELA[#Data],YES_Writing_FLA[#Data]),MATCH($A399,_xlfn.VSTACK(YES_Writing_ELA[Student Number],YES_Writing_FLA[Student Number]),0),MATCH(VLOOKUP(H$7,'Writing Logic'!$J$7:$K$11,2,FALSE)&amp;" - Per "&amp;VLOOKUP($C$4,'Writing Logic'!$G$8:$H$14,2,FALSE),YES_Writing_ELA[#Headers],0)))),"")</f>
        <v/>
      </c>
      <c r="I399" s="224" t="str" cm="1">
        <f t="array" aca="1" ref="I399" ca="1">IFERROR(
IF($G$3="ELA",
IF(VLOOKUP($A399, YES_Reading_ELA[], COLUMN(INDIRECT("YES_Reading_ELA[Difference - Per "&amp;VLOOKUP($G$4, 'Reading Report Logic'!$A$2:$B$8, 2, FALSE)&amp;"]")), FALSE)="", "",
VLOOKUP($A399,YES_Reading_ELA[], COLUMN(INDIRECT("YES_Reading_ELA[Difference - Per "&amp;VLOOKUP($G$4,'Reading Report Logic'!$A$2:$B$8,2,FALSE)&amp;"]")), FALSE)),
IF($G$3="FLA",
IF(VLOOKUP($A399, YES_Reading_FLA[], COLUMN(INDIRECT("YES_Reading_FLA[Difference - Per "&amp;VLOOKUP($G$4,'Reading Report Logic'!$A$2:$B$8,2,FALSE)&amp;"]")),FALSE)="","",
VLOOKUP($A399,YES_Reading_FLA[],COLUMN(INDIRECT("YES_Reading_FLA[Difference - Per "&amp;VLOOKUP($G$4,'Reading Report Logic'!$A$2:$B$8,2,FALSE)&amp;"]")),FALSE)),
IF($G$3="Combined",
IFERROR(
IF(VLOOKUP($A399, YES_Reading_ELA[], COLUMN(INDIRECT("YES_Reading_ELA[Difference - Per "&amp;VLOOKUP($G$4, 'Reading Report Logic'!$A$2:$B$8,2,FALSE)&amp;"]")), FALSE)="", "",
VLOOKUP($A399,YES_Reading_ELA[],COLUMN(INDIRECT("YES_Reading_ELA[Difference - Per "&amp;VLOOKUP($G$4,'Reading Report Logic'!$A$2:$B$8,2,FALSE)&amp;"]")),FALSE)),
IF(VLOOKUP($A399, YES_Reading_FLA[], COLUMN(INDIRECT("YES_Reading_FLA[Difference - Per "&amp;VLOOKUP($G$4, 'Reading Report Logic'!$A$2:$B$8, 2, FALSE)&amp;"]")),FALSE)="", "", VLOOKUP($A399,YES_Reading_FLA[],COLUMN(INDIRECT("YES_Reading_FLA[Difference - Per "&amp;VLOOKUP($G$4, 'Reading Report Logic'!$A$2:$B$8, 2, FALSE)&amp;"]")),FALSE))),""))),"")</f>
        <v/>
      </c>
    </row>
    <row r="400" spans="1:9" x14ac:dyDescent="0.25">
      <c r="A400" s="137"/>
      <c r="B400" s="137" t="str">
        <f>IFERROR(INDEX(_xlfn.VSTACK(YES_Writing_ELA[#Data], YES_Writing_FLA[#Data]),MATCH($A400,_xlfn.VSTACK(YES_Writing_ELA[Student Number], YES_Writing_FLA[Student Number]),0),MATCH(B$7,YES_Writing_ELA[#Headers],0)),IFERROR(INDEX(_xlfn.VSTACK(YES_Reading_ELA[#Data], YES_Reading_FLA[#Data]),MATCH($A400,_xlfn.VSTACK(YES_Reading_ELA[Student Number], YES_Reading_FLA[Student Number]),0),MATCH(B$7,YES_Reading_ELA[#Headers],0)),""))</f>
        <v/>
      </c>
      <c r="C400" s="137" t="str">
        <f>IFERROR(INDEX(_xlfn.VSTACK(YES_Writing_ELA[#Data], YES_Writing_FLA[#Data]),MATCH($A400,_xlfn.VSTACK(YES_Writing_ELA[Student Number], YES_Writing_FLA[Student Number]),0),MATCH(C$7,YES_Writing_ELA[#Headers],0)),IFERROR(INDEX(_xlfn.VSTACK(YES_Reading_ELA[#Data], YES_Reading_FLA[#Data]),MATCH($A400,_xlfn.VSTACK(YES_Reading_ELA[Student Number], YES_Reading_FLA[Student Number]),0),MATCH(C$7,YES_Reading_ELA[#Headers],0)),""))</f>
        <v/>
      </c>
      <c r="D400" s="138" t="str">
        <f>IFERROR(IF(IF(INDEX(_xlfn.VSTACK(YES_Writing_ELA[#Data],YES_Writing_FLA[#Data]),MATCH($A400,_xlfn.VSTACK(YES_Writing_ELA[Student Number],YES_Writing_FLA[Student Number]),0),MATCH(VLOOKUP(D$7,'Writing Logic'!$J$7:$K$11,2,FALSE)&amp;" - Per "&amp;VLOOKUP($C$4,'Writing Logic'!$G$8:$H$14,2,FALSE),YES_Writing_ELA[#Headers],0))=0,"",INDEX(_xlfn.VSTACK(YES_Writing_ELA[#Data],YES_Writing_FLA[#Data]),MATCH($A400,_xlfn.VSTACK(YES_Writing_ELA[Student Number],YES_Writing_FLA[Student Number]),0),MATCH(VLOOKUP(D$7,'Writing Logic'!$J$7:$K$11,2,FALSE)&amp;" - Per "&amp;VLOOKUP($C$4,'Writing Logic'!$G$8:$H$14,2,FALSE),YES_Writing_ELA[#Headers],0)))="INS",'Writing Logic'!$B$7,IF(INDEX(_xlfn.VSTACK(YES_Writing_ELA[#Data],YES_Writing_FLA[#Data]),MATCH($A400,_xlfn.VSTACK(YES_Writing_ELA[Student Number],YES_Writing_FLA[Student Number]),0),MATCH(VLOOKUP(D$7,'Writing Logic'!$J$7:$K$11,2,FALSE)&amp;" - Per "&amp;VLOOKUP($C$4,'Writing Logic'!$G$8:$H$14,2,FALSE),YES_Writing_ELA[#Headers],0))=0,"",INDEX(_xlfn.VSTACK(YES_Writing_ELA[#Data],YES_Writing_FLA[#Data]),MATCH($A400,_xlfn.VSTACK(YES_Writing_ELA[Student Number],YES_Writing_FLA[Student Number]),0),MATCH(VLOOKUP(D$7,'Writing Logic'!$J$7:$K$11,2,FALSE)&amp;" - Per "&amp;VLOOKUP($C$4,'Writing Logic'!$G$8:$H$14,2,FALSE),YES_Writing_ELA[#Headers],0)))),"")</f>
        <v/>
      </c>
      <c r="E400" s="138" t="str">
        <f>IFERROR(IF(IF(INDEX(_xlfn.VSTACK(YES_Writing_ELA[#Data],YES_Writing_FLA[#Data]),MATCH($A400,_xlfn.VSTACK(YES_Writing_ELA[Student Number],YES_Writing_FLA[Student Number]),0),MATCH(VLOOKUP(E$7,'Writing Logic'!$J$7:$K$11,2,FALSE)&amp;" - Per "&amp;VLOOKUP($C$4,'Writing Logic'!$G$8:$H$14,2,FALSE),YES_Writing_ELA[#Headers],0))=0,"",INDEX(_xlfn.VSTACK(YES_Writing_ELA[#Data],YES_Writing_FLA[#Data]),MATCH($A400,_xlfn.VSTACK(YES_Writing_ELA[Student Number],YES_Writing_FLA[Student Number]),0),MATCH(VLOOKUP(E$7,'Writing Logic'!$J$7:$K$11,2,FALSE)&amp;" - Per "&amp;VLOOKUP($C$4,'Writing Logic'!$G$8:$H$14,2,FALSE),YES_Writing_ELA[#Headers],0)))="INS",'Writing Logic'!$B$7,IF(INDEX(_xlfn.VSTACK(YES_Writing_ELA[#Data],YES_Writing_FLA[#Data]),MATCH($A400,_xlfn.VSTACK(YES_Writing_ELA[Student Number],YES_Writing_FLA[Student Number]),0),MATCH(VLOOKUP(E$7,'Writing Logic'!$J$7:$K$11,2,FALSE)&amp;" - Per "&amp;VLOOKUP($C$4,'Writing Logic'!$G$8:$H$14,2,FALSE),YES_Writing_ELA[#Headers],0))=0,"",INDEX(_xlfn.VSTACK(YES_Writing_ELA[#Data],YES_Writing_FLA[#Data]),MATCH($A400,_xlfn.VSTACK(YES_Writing_ELA[Student Number],YES_Writing_FLA[Student Number]),0),MATCH(VLOOKUP(E$7,'Writing Logic'!$J$7:$K$11,2,FALSE)&amp;" - Per "&amp;VLOOKUP($C$4,'Writing Logic'!$G$8:$H$14,2,FALSE),YES_Writing_ELA[#Headers],0)))),"")</f>
        <v/>
      </c>
      <c r="F400" s="138" t="str">
        <f>IFERROR(IF(IF(INDEX(_xlfn.VSTACK(YES_Writing_ELA[#Data],YES_Writing_FLA[#Data]),MATCH($A400,_xlfn.VSTACK(YES_Writing_ELA[Student Number],YES_Writing_FLA[Student Number]),0),MATCH(VLOOKUP(F$7,'Writing Logic'!$J$7:$K$11,2,FALSE)&amp;" - Per "&amp;VLOOKUP($C$4,'Writing Logic'!$G$8:$H$14,2,FALSE),YES_Writing_ELA[#Headers],0))=0,"",INDEX(_xlfn.VSTACK(YES_Writing_ELA[#Data],YES_Writing_FLA[#Data]),MATCH($A400,_xlfn.VSTACK(YES_Writing_ELA[Student Number],YES_Writing_FLA[Student Number]),0),MATCH(VLOOKUP(F$7,'Writing Logic'!$J$7:$K$11,2,FALSE)&amp;" - Per "&amp;VLOOKUP($C$4,'Writing Logic'!$G$8:$H$14,2,FALSE),YES_Writing_ELA[#Headers],0)))="INS",'Writing Logic'!$B$7,IF(INDEX(_xlfn.VSTACK(YES_Writing_ELA[#Data],YES_Writing_FLA[#Data]),MATCH($A400,_xlfn.VSTACK(YES_Writing_ELA[Student Number],YES_Writing_FLA[Student Number]),0),MATCH(VLOOKUP(F$7,'Writing Logic'!$J$7:$K$11,2,FALSE)&amp;" - Per "&amp;VLOOKUP($C$4,'Writing Logic'!$G$8:$H$14,2,FALSE),YES_Writing_ELA[#Headers],0))=0,"",INDEX(_xlfn.VSTACK(YES_Writing_ELA[#Data],YES_Writing_FLA[#Data]),MATCH($A400,_xlfn.VSTACK(YES_Writing_ELA[Student Number],YES_Writing_FLA[Student Number]),0),MATCH(VLOOKUP(F$7,'Writing Logic'!$J$7:$K$11,2,FALSE)&amp;" - Per "&amp;VLOOKUP($C$4,'Writing Logic'!$G$8:$H$14,2,FALSE),YES_Writing_ELA[#Headers],0)))),"")</f>
        <v/>
      </c>
      <c r="G400" s="138" t="str">
        <f>IFERROR(IF(IF(INDEX(_xlfn.VSTACK(YES_Writing_ELA[#Data],YES_Writing_FLA[#Data]),MATCH($A400,_xlfn.VSTACK(YES_Writing_ELA[Student Number],YES_Writing_FLA[Student Number]),0),MATCH(VLOOKUP(G$7,'Writing Logic'!$J$7:$K$11,2,FALSE)&amp;" - Per "&amp;VLOOKUP($C$4,'Writing Logic'!$G$8:$H$14,2,FALSE),YES_Writing_ELA[#Headers],0))=0,"",INDEX(_xlfn.VSTACK(YES_Writing_ELA[#Data],YES_Writing_FLA[#Data]),MATCH($A400,_xlfn.VSTACK(YES_Writing_ELA[Student Number],YES_Writing_FLA[Student Number]),0),MATCH(VLOOKUP(G$7,'Writing Logic'!$J$7:$K$11,2,FALSE)&amp;" - Per "&amp;VLOOKUP($C$4,'Writing Logic'!$G$8:$H$14,2,FALSE),YES_Writing_ELA[#Headers],0)))="INS",'Writing Logic'!$B$7,IF(INDEX(_xlfn.VSTACK(YES_Writing_ELA[#Data],YES_Writing_FLA[#Data]),MATCH($A400,_xlfn.VSTACK(YES_Writing_ELA[Student Number],YES_Writing_FLA[Student Number]),0),MATCH(VLOOKUP(G$7,'Writing Logic'!$J$7:$K$11,2,FALSE)&amp;" - Per "&amp;VLOOKUP($C$4,'Writing Logic'!$G$8:$H$14,2,FALSE),YES_Writing_ELA[#Headers],0))=0,"",INDEX(_xlfn.VSTACK(YES_Writing_ELA[#Data],YES_Writing_FLA[#Data]),MATCH($A400,_xlfn.VSTACK(YES_Writing_ELA[Student Number],YES_Writing_FLA[Student Number]),0),MATCH(VLOOKUP(G$7,'Writing Logic'!$J$7:$K$11,2,FALSE)&amp;" - Per "&amp;VLOOKUP($C$4,'Writing Logic'!$G$8:$H$14,2,FALSE),YES_Writing_ELA[#Headers],0)))),"")</f>
        <v/>
      </c>
      <c r="H400" s="223" t="str">
        <f>IFERROR(IF(IF(INDEX(_xlfn.VSTACK(YES_Writing_ELA[#Data],YES_Writing_FLA[#Data]),MATCH($A400,_xlfn.VSTACK(YES_Writing_ELA[Student Number],YES_Writing_FLA[Student Number]),0),MATCH(VLOOKUP(H$7,'Writing Logic'!$J$7:$K$11,2,FALSE)&amp;" - Per "&amp;VLOOKUP($C$4,'Writing Logic'!$G$8:$H$14,2,FALSE),YES_Writing_ELA[#Headers],0))=0,"",INDEX(_xlfn.VSTACK(YES_Writing_ELA[#Data],YES_Writing_FLA[#Data]),MATCH($A400,_xlfn.VSTACK(YES_Writing_ELA[Student Number],YES_Writing_FLA[Student Number]),0),MATCH(VLOOKUP(H$7,'Writing Logic'!$J$7:$K$11,2,FALSE)&amp;" - Per "&amp;VLOOKUP($C$4,'Writing Logic'!$G$8:$H$14,2,FALSE),YES_Writing_ELA[#Headers],0)))="INS",'Writing Logic'!$B$7,IF(INDEX(_xlfn.VSTACK(YES_Writing_ELA[#Data],YES_Writing_FLA[#Data]),MATCH($A400,_xlfn.VSTACK(YES_Writing_ELA[Student Number],YES_Writing_FLA[Student Number]),0),MATCH(VLOOKUP(H$7,'Writing Logic'!$J$7:$K$11,2,FALSE)&amp;" - Per "&amp;VLOOKUP($C$4,'Writing Logic'!$G$8:$H$14,2,FALSE),YES_Writing_ELA[#Headers],0))=0,"",INDEX(_xlfn.VSTACK(YES_Writing_ELA[#Data],YES_Writing_FLA[#Data]),MATCH($A400,_xlfn.VSTACK(YES_Writing_ELA[Student Number],YES_Writing_FLA[Student Number]),0),MATCH(VLOOKUP(H$7,'Writing Logic'!$J$7:$K$11,2,FALSE)&amp;" - Per "&amp;VLOOKUP($C$4,'Writing Logic'!$G$8:$H$14,2,FALSE),YES_Writing_ELA[#Headers],0)))),"")</f>
        <v/>
      </c>
      <c r="I400" s="224" t="str" cm="1">
        <f t="array" aca="1" ref="I400" ca="1">IFERROR(
IF($G$3="ELA",
IF(VLOOKUP($A400, YES_Reading_ELA[], COLUMN(INDIRECT("YES_Reading_ELA[Difference - Per "&amp;VLOOKUP($G$4, 'Reading Report Logic'!$A$2:$B$8, 2, FALSE)&amp;"]")), FALSE)="", "",
VLOOKUP($A400,YES_Reading_ELA[], COLUMN(INDIRECT("YES_Reading_ELA[Difference - Per "&amp;VLOOKUP($G$4,'Reading Report Logic'!$A$2:$B$8,2,FALSE)&amp;"]")), FALSE)),
IF($G$3="FLA",
IF(VLOOKUP($A400, YES_Reading_FLA[], COLUMN(INDIRECT("YES_Reading_FLA[Difference - Per "&amp;VLOOKUP($G$4,'Reading Report Logic'!$A$2:$B$8,2,FALSE)&amp;"]")),FALSE)="","",
VLOOKUP($A400,YES_Reading_FLA[],COLUMN(INDIRECT("YES_Reading_FLA[Difference - Per "&amp;VLOOKUP($G$4,'Reading Report Logic'!$A$2:$B$8,2,FALSE)&amp;"]")),FALSE)),
IF($G$3="Combined",
IFERROR(
IF(VLOOKUP($A400, YES_Reading_ELA[], COLUMN(INDIRECT("YES_Reading_ELA[Difference - Per "&amp;VLOOKUP($G$4, 'Reading Report Logic'!$A$2:$B$8,2,FALSE)&amp;"]")), FALSE)="", "",
VLOOKUP($A400,YES_Reading_ELA[],COLUMN(INDIRECT("YES_Reading_ELA[Difference - Per "&amp;VLOOKUP($G$4,'Reading Report Logic'!$A$2:$B$8,2,FALSE)&amp;"]")),FALSE)),
IF(VLOOKUP($A400, YES_Reading_FLA[], COLUMN(INDIRECT("YES_Reading_FLA[Difference - Per "&amp;VLOOKUP($G$4, 'Reading Report Logic'!$A$2:$B$8, 2, FALSE)&amp;"]")),FALSE)="", "", VLOOKUP($A400,YES_Reading_FLA[],COLUMN(INDIRECT("YES_Reading_FLA[Difference - Per "&amp;VLOOKUP($G$4, 'Reading Report Logic'!$A$2:$B$8, 2, FALSE)&amp;"]")),FALSE))),""))),"")</f>
        <v/>
      </c>
    </row>
    <row r="401" spans="1:9" x14ac:dyDescent="0.25">
      <c r="A401" s="137"/>
      <c r="B401" s="137" t="str">
        <f>IFERROR(INDEX(_xlfn.VSTACK(YES_Writing_ELA[#Data], YES_Writing_FLA[#Data]),MATCH($A401,_xlfn.VSTACK(YES_Writing_ELA[Student Number], YES_Writing_FLA[Student Number]),0),MATCH(B$7,YES_Writing_ELA[#Headers],0)),IFERROR(INDEX(_xlfn.VSTACK(YES_Reading_ELA[#Data], YES_Reading_FLA[#Data]),MATCH($A401,_xlfn.VSTACK(YES_Reading_ELA[Student Number], YES_Reading_FLA[Student Number]),0),MATCH(B$7,YES_Reading_ELA[#Headers],0)),""))</f>
        <v/>
      </c>
      <c r="C401" s="137" t="str">
        <f>IFERROR(INDEX(_xlfn.VSTACK(YES_Writing_ELA[#Data], YES_Writing_FLA[#Data]),MATCH($A401,_xlfn.VSTACK(YES_Writing_ELA[Student Number], YES_Writing_FLA[Student Number]),0),MATCH(C$7,YES_Writing_ELA[#Headers],0)),IFERROR(INDEX(_xlfn.VSTACK(YES_Reading_ELA[#Data], YES_Reading_FLA[#Data]),MATCH($A401,_xlfn.VSTACK(YES_Reading_ELA[Student Number], YES_Reading_FLA[Student Number]),0),MATCH(C$7,YES_Reading_ELA[#Headers],0)),""))</f>
        <v/>
      </c>
      <c r="D401" s="138" t="str">
        <f>IFERROR(IF(IF(INDEX(_xlfn.VSTACK(YES_Writing_ELA[#Data],YES_Writing_FLA[#Data]),MATCH($A401,_xlfn.VSTACK(YES_Writing_ELA[Student Number],YES_Writing_FLA[Student Number]),0),MATCH(VLOOKUP(D$7,'Writing Logic'!$J$7:$K$11,2,FALSE)&amp;" - Per "&amp;VLOOKUP($C$4,'Writing Logic'!$G$8:$H$14,2,FALSE),YES_Writing_ELA[#Headers],0))=0,"",INDEX(_xlfn.VSTACK(YES_Writing_ELA[#Data],YES_Writing_FLA[#Data]),MATCH($A401,_xlfn.VSTACK(YES_Writing_ELA[Student Number],YES_Writing_FLA[Student Number]),0),MATCH(VLOOKUP(D$7,'Writing Logic'!$J$7:$K$11,2,FALSE)&amp;" - Per "&amp;VLOOKUP($C$4,'Writing Logic'!$G$8:$H$14,2,FALSE),YES_Writing_ELA[#Headers],0)))="INS",'Writing Logic'!$B$7,IF(INDEX(_xlfn.VSTACK(YES_Writing_ELA[#Data],YES_Writing_FLA[#Data]),MATCH($A401,_xlfn.VSTACK(YES_Writing_ELA[Student Number],YES_Writing_FLA[Student Number]),0),MATCH(VLOOKUP(D$7,'Writing Logic'!$J$7:$K$11,2,FALSE)&amp;" - Per "&amp;VLOOKUP($C$4,'Writing Logic'!$G$8:$H$14,2,FALSE),YES_Writing_ELA[#Headers],0))=0,"",INDEX(_xlfn.VSTACK(YES_Writing_ELA[#Data],YES_Writing_FLA[#Data]),MATCH($A401,_xlfn.VSTACK(YES_Writing_ELA[Student Number],YES_Writing_FLA[Student Number]),0),MATCH(VLOOKUP(D$7,'Writing Logic'!$J$7:$K$11,2,FALSE)&amp;" - Per "&amp;VLOOKUP($C$4,'Writing Logic'!$G$8:$H$14,2,FALSE),YES_Writing_ELA[#Headers],0)))),"")</f>
        <v/>
      </c>
      <c r="E401" s="138" t="str">
        <f>IFERROR(IF(IF(INDEX(_xlfn.VSTACK(YES_Writing_ELA[#Data],YES_Writing_FLA[#Data]),MATCH($A401,_xlfn.VSTACK(YES_Writing_ELA[Student Number],YES_Writing_FLA[Student Number]),0),MATCH(VLOOKUP(E$7,'Writing Logic'!$J$7:$K$11,2,FALSE)&amp;" - Per "&amp;VLOOKUP($C$4,'Writing Logic'!$G$8:$H$14,2,FALSE),YES_Writing_ELA[#Headers],0))=0,"",INDEX(_xlfn.VSTACK(YES_Writing_ELA[#Data],YES_Writing_FLA[#Data]),MATCH($A401,_xlfn.VSTACK(YES_Writing_ELA[Student Number],YES_Writing_FLA[Student Number]),0),MATCH(VLOOKUP(E$7,'Writing Logic'!$J$7:$K$11,2,FALSE)&amp;" - Per "&amp;VLOOKUP($C$4,'Writing Logic'!$G$8:$H$14,2,FALSE),YES_Writing_ELA[#Headers],0)))="INS",'Writing Logic'!$B$7,IF(INDEX(_xlfn.VSTACK(YES_Writing_ELA[#Data],YES_Writing_FLA[#Data]),MATCH($A401,_xlfn.VSTACK(YES_Writing_ELA[Student Number],YES_Writing_FLA[Student Number]),0),MATCH(VLOOKUP(E$7,'Writing Logic'!$J$7:$K$11,2,FALSE)&amp;" - Per "&amp;VLOOKUP($C$4,'Writing Logic'!$G$8:$H$14,2,FALSE),YES_Writing_ELA[#Headers],0))=0,"",INDEX(_xlfn.VSTACK(YES_Writing_ELA[#Data],YES_Writing_FLA[#Data]),MATCH($A401,_xlfn.VSTACK(YES_Writing_ELA[Student Number],YES_Writing_FLA[Student Number]),0),MATCH(VLOOKUP(E$7,'Writing Logic'!$J$7:$K$11,2,FALSE)&amp;" - Per "&amp;VLOOKUP($C$4,'Writing Logic'!$G$8:$H$14,2,FALSE),YES_Writing_ELA[#Headers],0)))),"")</f>
        <v/>
      </c>
      <c r="F401" s="138" t="str">
        <f>IFERROR(IF(IF(INDEX(_xlfn.VSTACK(YES_Writing_ELA[#Data],YES_Writing_FLA[#Data]),MATCH($A401,_xlfn.VSTACK(YES_Writing_ELA[Student Number],YES_Writing_FLA[Student Number]),0),MATCH(VLOOKUP(F$7,'Writing Logic'!$J$7:$K$11,2,FALSE)&amp;" - Per "&amp;VLOOKUP($C$4,'Writing Logic'!$G$8:$H$14,2,FALSE),YES_Writing_ELA[#Headers],0))=0,"",INDEX(_xlfn.VSTACK(YES_Writing_ELA[#Data],YES_Writing_FLA[#Data]),MATCH($A401,_xlfn.VSTACK(YES_Writing_ELA[Student Number],YES_Writing_FLA[Student Number]),0),MATCH(VLOOKUP(F$7,'Writing Logic'!$J$7:$K$11,2,FALSE)&amp;" - Per "&amp;VLOOKUP($C$4,'Writing Logic'!$G$8:$H$14,2,FALSE),YES_Writing_ELA[#Headers],0)))="INS",'Writing Logic'!$B$7,IF(INDEX(_xlfn.VSTACK(YES_Writing_ELA[#Data],YES_Writing_FLA[#Data]),MATCH($A401,_xlfn.VSTACK(YES_Writing_ELA[Student Number],YES_Writing_FLA[Student Number]),0),MATCH(VLOOKUP(F$7,'Writing Logic'!$J$7:$K$11,2,FALSE)&amp;" - Per "&amp;VLOOKUP($C$4,'Writing Logic'!$G$8:$H$14,2,FALSE),YES_Writing_ELA[#Headers],0))=0,"",INDEX(_xlfn.VSTACK(YES_Writing_ELA[#Data],YES_Writing_FLA[#Data]),MATCH($A401,_xlfn.VSTACK(YES_Writing_ELA[Student Number],YES_Writing_FLA[Student Number]),0),MATCH(VLOOKUP(F$7,'Writing Logic'!$J$7:$K$11,2,FALSE)&amp;" - Per "&amp;VLOOKUP($C$4,'Writing Logic'!$G$8:$H$14,2,FALSE),YES_Writing_ELA[#Headers],0)))),"")</f>
        <v/>
      </c>
      <c r="G401" s="138" t="str">
        <f>IFERROR(IF(IF(INDEX(_xlfn.VSTACK(YES_Writing_ELA[#Data],YES_Writing_FLA[#Data]),MATCH($A401,_xlfn.VSTACK(YES_Writing_ELA[Student Number],YES_Writing_FLA[Student Number]),0),MATCH(VLOOKUP(G$7,'Writing Logic'!$J$7:$K$11,2,FALSE)&amp;" - Per "&amp;VLOOKUP($C$4,'Writing Logic'!$G$8:$H$14,2,FALSE),YES_Writing_ELA[#Headers],0))=0,"",INDEX(_xlfn.VSTACK(YES_Writing_ELA[#Data],YES_Writing_FLA[#Data]),MATCH($A401,_xlfn.VSTACK(YES_Writing_ELA[Student Number],YES_Writing_FLA[Student Number]),0),MATCH(VLOOKUP(G$7,'Writing Logic'!$J$7:$K$11,2,FALSE)&amp;" - Per "&amp;VLOOKUP($C$4,'Writing Logic'!$G$8:$H$14,2,FALSE),YES_Writing_ELA[#Headers],0)))="INS",'Writing Logic'!$B$7,IF(INDEX(_xlfn.VSTACK(YES_Writing_ELA[#Data],YES_Writing_FLA[#Data]),MATCH($A401,_xlfn.VSTACK(YES_Writing_ELA[Student Number],YES_Writing_FLA[Student Number]),0),MATCH(VLOOKUP(G$7,'Writing Logic'!$J$7:$K$11,2,FALSE)&amp;" - Per "&amp;VLOOKUP($C$4,'Writing Logic'!$G$8:$H$14,2,FALSE),YES_Writing_ELA[#Headers],0))=0,"",INDEX(_xlfn.VSTACK(YES_Writing_ELA[#Data],YES_Writing_FLA[#Data]),MATCH($A401,_xlfn.VSTACK(YES_Writing_ELA[Student Number],YES_Writing_FLA[Student Number]),0),MATCH(VLOOKUP(G$7,'Writing Logic'!$J$7:$K$11,2,FALSE)&amp;" - Per "&amp;VLOOKUP($C$4,'Writing Logic'!$G$8:$H$14,2,FALSE),YES_Writing_ELA[#Headers],0)))),"")</f>
        <v/>
      </c>
      <c r="H401" s="223" t="str">
        <f>IFERROR(IF(IF(INDEX(_xlfn.VSTACK(YES_Writing_ELA[#Data],YES_Writing_FLA[#Data]),MATCH($A401,_xlfn.VSTACK(YES_Writing_ELA[Student Number],YES_Writing_FLA[Student Number]),0),MATCH(VLOOKUP(H$7,'Writing Logic'!$J$7:$K$11,2,FALSE)&amp;" - Per "&amp;VLOOKUP($C$4,'Writing Logic'!$G$8:$H$14,2,FALSE),YES_Writing_ELA[#Headers],0))=0,"",INDEX(_xlfn.VSTACK(YES_Writing_ELA[#Data],YES_Writing_FLA[#Data]),MATCH($A401,_xlfn.VSTACK(YES_Writing_ELA[Student Number],YES_Writing_FLA[Student Number]),0),MATCH(VLOOKUP(H$7,'Writing Logic'!$J$7:$K$11,2,FALSE)&amp;" - Per "&amp;VLOOKUP($C$4,'Writing Logic'!$G$8:$H$14,2,FALSE),YES_Writing_ELA[#Headers],0)))="INS",'Writing Logic'!$B$7,IF(INDEX(_xlfn.VSTACK(YES_Writing_ELA[#Data],YES_Writing_FLA[#Data]),MATCH($A401,_xlfn.VSTACK(YES_Writing_ELA[Student Number],YES_Writing_FLA[Student Number]),0),MATCH(VLOOKUP(H$7,'Writing Logic'!$J$7:$K$11,2,FALSE)&amp;" - Per "&amp;VLOOKUP($C$4,'Writing Logic'!$G$8:$H$14,2,FALSE),YES_Writing_ELA[#Headers],0))=0,"",INDEX(_xlfn.VSTACK(YES_Writing_ELA[#Data],YES_Writing_FLA[#Data]),MATCH($A401,_xlfn.VSTACK(YES_Writing_ELA[Student Number],YES_Writing_FLA[Student Number]),0),MATCH(VLOOKUP(H$7,'Writing Logic'!$J$7:$K$11,2,FALSE)&amp;" - Per "&amp;VLOOKUP($C$4,'Writing Logic'!$G$8:$H$14,2,FALSE),YES_Writing_ELA[#Headers],0)))),"")</f>
        <v/>
      </c>
      <c r="I401" s="224" t="str" cm="1">
        <f t="array" aca="1" ref="I401" ca="1">IFERROR(
IF($G$3="ELA",
IF(VLOOKUP($A401, YES_Reading_ELA[], COLUMN(INDIRECT("YES_Reading_ELA[Difference - Per "&amp;VLOOKUP($G$4, 'Reading Report Logic'!$A$2:$B$8, 2, FALSE)&amp;"]")), FALSE)="", "",
VLOOKUP($A401,YES_Reading_ELA[], COLUMN(INDIRECT("YES_Reading_ELA[Difference - Per "&amp;VLOOKUP($G$4,'Reading Report Logic'!$A$2:$B$8,2,FALSE)&amp;"]")), FALSE)),
IF($G$3="FLA",
IF(VLOOKUP($A401, YES_Reading_FLA[], COLUMN(INDIRECT("YES_Reading_FLA[Difference - Per "&amp;VLOOKUP($G$4,'Reading Report Logic'!$A$2:$B$8,2,FALSE)&amp;"]")),FALSE)="","",
VLOOKUP($A401,YES_Reading_FLA[],COLUMN(INDIRECT("YES_Reading_FLA[Difference - Per "&amp;VLOOKUP($G$4,'Reading Report Logic'!$A$2:$B$8,2,FALSE)&amp;"]")),FALSE)),
IF($G$3="Combined",
IFERROR(
IF(VLOOKUP($A401, YES_Reading_ELA[], COLUMN(INDIRECT("YES_Reading_ELA[Difference - Per "&amp;VLOOKUP($G$4, 'Reading Report Logic'!$A$2:$B$8,2,FALSE)&amp;"]")), FALSE)="", "",
VLOOKUP($A401,YES_Reading_ELA[],COLUMN(INDIRECT("YES_Reading_ELA[Difference - Per "&amp;VLOOKUP($G$4,'Reading Report Logic'!$A$2:$B$8,2,FALSE)&amp;"]")),FALSE)),
IF(VLOOKUP($A401, YES_Reading_FLA[], COLUMN(INDIRECT("YES_Reading_FLA[Difference - Per "&amp;VLOOKUP($G$4, 'Reading Report Logic'!$A$2:$B$8, 2, FALSE)&amp;"]")),FALSE)="", "", VLOOKUP($A401,YES_Reading_FLA[],COLUMN(INDIRECT("YES_Reading_FLA[Difference - Per "&amp;VLOOKUP($G$4, 'Reading Report Logic'!$A$2:$B$8, 2, FALSE)&amp;"]")),FALSE))),""))),"")</f>
        <v/>
      </c>
    </row>
    <row r="402" spans="1:9" x14ac:dyDescent="0.25">
      <c r="A402" s="137"/>
      <c r="B402" s="137" t="str">
        <f>IFERROR(INDEX(_xlfn.VSTACK(YES_Writing_ELA[#Data], YES_Writing_FLA[#Data]),MATCH($A402,_xlfn.VSTACK(YES_Writing_ELA[Student Number], YES_Writing_FLA[Student Number]),0),MATCH(B$7,YES_Writing_ELA[#Headers],0)),IFERROR(INDEX(_xlfn.VSTACK(YES_Reading_ELA[#Data], YES_Reading_FLA[#Data]),MATCH($A402,_xlfn.VSTACK(YES_Reading_ELA[Student Number], YES_Reading_FLA[Student Number]),0),MATCH(B$7,YES_Reading_ELA[#Headers],0)),""))</f>
        <v/>
      </c>
      <c r="C402" s="137" t="str">
        <f>IFERROR(INDEX(_xlfn.VSTACK(YES_Writing_ELA[#Data], YES_Writing_FLA[#Data]),MATCH($A402,_xlfn.VSTACK(YES_Writing_ELA[Student Number], YES_Writing_FLA[Student Number]),0),MATCH(C$7,YES_Writing_ELA[#Headers],0)),IFERROR(INDEX(_xlfn.VSTACK(YES_Reading_ELA[#Data], YES_Reading_FLA[#Data]),MATCH($A402,_xlfn.VSTACK(YES_Reading_ELA[Student Number], YES_Reading_FLA[Student Number]),0),MATCH(C$7,YES_Reading_ELA[#Headers],0)),""))</f>
        <v/>
      </c>
      <c r="D402" s="138" t="str">
        <f>IFERROR(IF(IF(INDEX(_xlfn.VSTACK(YES_Writing_ELA[#Data],YES_Writing_FLA[#Data]),MATCH($A402,_xlfn.VSTACK(YES_Writing_ELA[Student Number],YES_Writing_FLA[Student Number]),0),MATCH(VLOOKUP(D$7,'Writing Logic'!$J$7:$K$11,2,FALSE)&amp;" - Per "&amp;VLOOKUP($C$4,'Writing Logic'!$G$8:$H$14,2,FALSE),YES_Writing_ELA[#Headers],0))=0,"",INDEX(_xlfn.VSTACK(YES_Writing_ELA[#Data],YES_Writing_FLA[#Data]),MATCH($A402,_xlfn.VSTACK(YES_Writing_ELA[Student Number],YES_Writing_FLA[Student Number]),0),MATCH(VLOOKUP(D$7,'Writing Logic'!$J$7:$K$11,2,FALSE)&amp;" - Per "&amp;VLOOKUP($C$4,'Writing Logic'!$G$8:$H$14,2,FALSE),YES_Writing_ELA[#Headers],0)))="INS",'Writing Logic'!$B$7,IF(INDEX(_xlfn.VSTACK(YES_Writing_ELA[#Data],YES_Writing_FLA[#Data]),MATCH($A402,_xlfn.VSTACK(YES_Writing_ELA[Student Number],YES_Writing_FLA[Student Number]),0),MATCH(VLOOKUP(D$7,'Writing Logic'!$J$7:$K$11,2,FALSE)&amp;" - Per "&amp;VLOOKUP($C$4,'Writing Logic'!$G$8:$H$14,2,FALSE),YES_Writing_ELA[#Headers],0))=0,"",INDEX(_xlfn.VSTACK(YES_Writing_ELA[#Data],YES_Writing_FLA[#Data]),MATCH($A402,_xlfn.VSTACK(YES_Writing_ELA[Student Number],YES_Writing_FLA[Student Number]),0),MATCH(VLOOKUP(D$7,'Writing Logic'!$J$7:$K$11,2,FALSE)&amp;" - Per "&amp;VLOOKUP($C$4,'Writing Logic'!$G$8:$H$14,2,FALSE),YES_Writing_ELA[#Headers],0)))),"")</f>
        <v/>
      </c>
      <c r="E402" s="138" t="str">
        <f>IFERROR(IF(IF(INDEX(_xlfn.VSTACK(YES_Writing_ELA[#Data],YES_Writing_FLA[#Data]),MATCH($A402,_xlfn.VSTACK(YES_Writing_ELA[Student Number],YES_Writing_FLA[Student Number]),0),MATCH(VLOOKUP(E$7,'Writing Logic'!$J$7:$K$11,2,FALSE)&amp;" - Per "&amp;VLOOKUP($C$4,'Writing Logic'!$G$8:$H$14,2,FALSE),YES_Writing_ELA[#Headers],0))=0,"",INDEX(_xlfn.VSTACK(YES_Writing_ELA[#Data],YES_Writing_FLA[#Data]),MATCH($A402,_xlfn.VSTACK(YES_Writing_ELA[Student Number],YES_Writing_FLA[Student Number]),0),MATCH(VLOOKUP(E$7,'Writing Logic'!$J$7:$K$11,2,FALSE)&amp;" - Per "&amp;VLOOKUP($C$4,'Writing Logic'!$G$8:$H$14,2,FALSE),YES_Writing_ELA[#Headers],0)))="INS",'Writing Logic'!$B$7,IF(INDEX(_xlfn.VSTACK(YES_Writing_ELA[#Data],YES_Writing_FLA[#Data]),MATCH($A402,_xlfn.VSTACK(YES_Writing_ELA[Student Number],YES_Writing_FLA[Student Number]),0),MATCH(VLOOKUP(E$7,'Writing Logic'!$J$7:$K$11,2,FALSE)&amp;" - Per "&amp;VLOOKUP($C$4,'Writing Logic'!$G$8:$H$14,2,FALSE),YES_Writing_ELA[#Headers],0))=0,"",INDEX(_xlfn.VSTACK(YES_Writing_ELA[#Data],YES_Writing_FLA[#Data]),MATCH($A402,_xlfn.VSTACK(YES_Writing_ELA[Student Number],YES_Writing_FLA[Student Number]),0),MATCH(VLOOKUP(E$7,'Writing Logic'!$J$7:$K$11,2,FALSE)&amp;" - Per "&amp;VLOOKUP($C$4,'Writing Logic'!$G$8:$H$14,2,FALSE),YES_Writing_ELA[#Headers],0)))),"")</f>
        <v/>
      </c>
      <c r="F402" s="138" t="str">
        <f>IFERROR(IF(IF(INDEX(_xlfn.VSTACK(YES_Writing_ELA[#Data],YES_Writing_FLA[#Data]),MATCH($A402,_xlfn.VSTACK(YES_Writing_ELA[Student Number],YES_Writing_FLA[Student Number]),0),MATCH(VLOOKUP(F$7,'Writing Logic'!$J$7:$K$11,2,FALSE)&amp;" - Per "&amp;VLOOKUP($C$4,'Writing Logic'!$G$8:$H$14,2,FALSE),YES_Writing_ELA[#Headers],0))=0,"",INDEX(_xlfn.VSTACK(YES_Writing_ELA[#Data],YES_Writing_FLA[#Data]),MATCH($A402,_xlfn.VSTACK(YES_Writing_ELA[Student Number],YES_Writing_FLA[Student Number]),0),MATCH(VLOOKUP(F$7,'Writing Logic'!$J$7:$K$11,2,FALSE)&amp;" - Per "&amp;VLOOKUP($C$4,'Writing Logic'!$G$8:$H$14,2,FALSE),YES_Writing_ELA[#Headers],0)))="INS",'Writing Logic'!$B$7,IF(INDEX(_xlfn.VSTACK(YES_Writing_ELA[#Data],YES_Writing_FLA[#Data]),MATCH($A402,_xlfn.VSTACK(YES_Writing_ELA[Student Number],YES_Writing_FLA[Student Number]),0),MATCH(VLOOKUP(F$7,'Writing Logic'!$J$7:$K$11,2,FALSE)&amp;" - Per "&amp;VLOOKUP($C$4,'Writing Logic'!$G$8:$H$14,2,FALSE),YES_Writing_ELA[#Headers],0))=0,"",INDEX(_xlfn.VSTACK(YES_Writing_ELA[#Data],YES_Writing_FLA[#Data]),MATCH($A402,_xlfn.VSTACK(YES_Writing_ELA[Student Number],YES_Writing_FLA[Student Number]),0),MATCH(VLOOKUP(F$7,'Writing Logic'!$J$7:$K$11,2,FALSE)&amp;" - Per "&amp;VLOOKUP($C$4,'Writing Logic'!$G$8:$H$14,2,FALSE),YES_Writing_ELA[#Headers],0)))),"")</f>
        <v/>
      </c>
      <c r="G402" s="138" t="str">
        <f>IFERROR(IF(IF(INDEX(_xlfn.VSTACK(YES_Writing_ELA[#Data],YES_Writing_FLA[#Data]),MATCH($A402,_xlfn.VSTACK(YES_Writing_ELA[Student Number],YES_Writing_FLA[Student Number]),0),MATCH(VLOOKUP(G$7,'Writing Logic'!$J$7:$K$11,2,FALSE)&amp;" - Per "&amp;VLOOKUP($C$4,'Writing Logic'!$G$8:$H$14,2,FALSE),YES_Writing_ELA[#Headers],0))=0,"",INDEX(_xlfn.VSTACK(YES_Writing_ELA[#Data],YES_Writing_FLA[#Data]),MATCH($A402,_xlfn.VSTACK(YES_Writing_ELA[Student Number],YES_Writing_FLA[Student Number]),0),MATCH(VLOOKUP(G$7,'Writing Logic'!$J$7:$K$11,2,FALSE)&amp;" - Per "&amp;VLOOKUP($C$4,'Writing Logic'!$G$8:$H$14,2,FALSE),YES_Writing_ELA[#Headers],0)))="INS",'Writing Logic'!$B$7,IF(INDEX(_xlfn.VSTACK(YES_Writing_ELA[#Data],YES_Writing_FLA[#Data]),MATCH($A402,_xlfn.VSTACK(YES_Writing_ELA[Student Number],YES_Writing_FLA[Student Number]),0),MATCH(VLOOKUP(G$7,'Writing Logic'!$J$7:$K$11,2,FALSE)&amp;" - Per "&amp;VLOOKUP($C$4,'Writing Logic'!$G$8:$H$14,2,FALSE),YES_Writing_ELA[#Headers],0))=0,"",INDEX(_xlfn.VSTACK(YES_Writing_ELA[#Data],YES_Writing_FLA[#Data]),MATCH($A402,_xlfn.VSTACK(YES_Writing_ELA[Student Number],YES_Writing_FLA[Student Number]),0),MATCH(VLOOKUP(G$7,'Writing Logic'!$J$7:$K$11,2,FALSE)&amp;" - Per "&amp;VLOOKUP($C$4,'Writing Logic'!$G$8:$H$14,2,FALSE),YES_Writing_ELA[#Headers],0)))),"")</f>
        <v/>
      </c>
      <c r="H402" s="223" t="str">
        <f>IFERROR(IF(IF(INDEX(_xlfn.VSTACK(YES_Writing_ELA[#Data],YES_Writing_FLA[#Data]),MATCH($A402,_xlfn.VSTACK(YES_Writing_ELA[Student Number],YES_Writing_FLA[Student Number]),0),MATCH(VLOOKUP(H$7,'Writing Logic'!$J$7:$K$11,2,FALSE)&amp;" - Per "&amp;VLOOKUP($C$4,'Writing Logic'!$G$8:$H$14,2,FALSE),YES_Writing_ELA[#Headers],0))=0,"",INDEX(_xlfn.VSTACK(YES_Writing_ELA[#Data],YES_Writing_FLA[#Data]),MATCH($A402,_xlfn.VSTACK(YES_Writing_ELA[Student Number],YES_Writing_FLA[Student Number]),0),MATCH(VLOOKUP(H$7,'Writing Logic'!$J$7:$K$11,2,FALSE)&amp;" - Per "&amp;VLOOKUP($C$4,'Writing Logic'!$G$8:$H$14,2,FALSE),YES_Writing_ELA[#Headers],0)))="INS",'Writing Logic'!$B$7,IF(INDEX(_xlfn.VSTACK(YES_Writing_ELA[#Data],YES_Writing_FLA[#Data]),MATCH($A402,_xlfn.VSTACK(YES_Writing_ELA[Student Number],YES_Writing_FLA[Student Number]),0),MATCH(VLOOKUP(H$7,'Writing Logic'!$J$7:$K$11,2,FALSE)&amp;" - Per "&amp;VLOOKUP($C$4,'Writing Logic'!$G$8:$H$14,2,FALSE),YES_Writing_ELA[#Headers],0))=0,"",INDEX(_xlfn.VSTACK(YES_Writing_ELA[#Data],YES_Writing_FLA[#Data]),MATCH($A402,_xlfn.VSTACK(YES_Writing_ELA[Student Number],YES_Writing_FLA[Student Number]),0),MATCH(VLOOKUP(H$7,'Writing Logic'!$J$7:$K$11,2,FALSE)&amp;" - Per "&amp;VLOOKUP($C$4,'Writing Logic'!$G$8:$H$14,2,FALSE),YES_Writing_ELA[#Headers],0)))),"")</f>
        <v/>
      </c>
      <c r="I402" s="224" t="str" cm="1">
        <f t="array" aca="1" ref="I402" ca="1">IFERROR(
IF($G$3="ELA",
IF(VLOOKUP($A402, YES_Reading_ELA[], COLUMN(INDIRECT("YES_Reading_ELA[Difference - Per "&amp;VLOOKUP($G$4, 'Reading Report Logic'!$A$2:$B$8, 2, FALSE)&amp;"]")), FALSE)="", "",
VLOOKUP($A402,YES_Reading_ELA[], COLUMN(INDIRECT("YES_Reading_ELA[Difference - Per "&amp;VLOOKUP($G$4,'Reading Report Logic'!$A$2:$B$8,2,FALSE)&amp;"]")), FALSE)),
IF($G$3="FLA",
IF(VLOOKUP($A402, YES_Reading_FLA[], COLUMN(INDIRECT("YES_Reading_FLA[Difference - Per "&amp;VLOOKUP($G$4,'Reading Report Logic'!$A$2:$B$8,2,FALSE)&amp;"]")),FALSE)="","",
VLOOKUP($A402,YES_Reading_FLA[],COLUMN(INDIRECT("YES_Reading_FLA[Difference - Per "&amp;VLOOKUP($G$4,'Reading Report Logic'!$A$2:$B$8,2,FALSE)&amp;"]")),FALSE)),
IF($G$3="Combined",
IFERROR(
IF(VLOOKUP($A402, YES_Reading_ELA[], COLUMN(INDIRECT("YES_Reading_ELA[Difference - Per "&amp;VLOOKUP($G$4, 'Reading Report Logic'!$A$2:$B$8,2,FALSE)&amp;"]")), FALSE)="", "",
VLOOKUP($A402,YES_Reading_ELA[],COLUMN(INDIRECT("YES_Reading_ELA[Difference - Per "&amp;VLOOKUP($G$4,'Reading Report Logic'!$A$2:$B$8,2,FALSE)&amp;"]")),FALSE)),
IF(VLOOKUP($A402, YES_Reading_FLA[], COLUMN(INDIRECT("YES_Reading_FLA[Difference - Per "&amp;VLOOKUP($G$4, 'Reading Report Logic'!$A$2:$B$8, 2, FALSE)&amp;"]")),FALSE)="", "", VLOOKUP($A402,YES_Reading_FLA[],COLUMN(INDIRECT("YES_Reading_FLA[Difference - Per "&amp;VLOOKUP($G$4, 'Reading Report Logic'!$A$2:$B$8, 2, FALSE)&amp;"]")),FALSE))),""))),"")</f>
        <v/>
      </c>
    </row>
    <row r="403" spans="1:9" x14ac:dyDescent="0.25">
      <c r="A403" s="137"/>
      <c r="B403" s="137" t="str">
        <f>IFERROR(INDEX(_xlfn.VSTACK(YES_Writing_ELA[#Data], YES_Writing_FLA[#Data]),MATCH($A403,_xlfn.VSTACK(YES_Writing_ELA[Student Number], YES_Writing_FLA[Student Number]),0),MATCH(B$7,YES_Writing_ELA[#Headers],0)),IFERROR(INDEX(_xlfn.VSTACK(YES_Reading_ELA[#Data], YES_Reading_FLA[#Data]),MATCH($A403,_xlfn.VSTACK(YES_Reading_ELA[Student Number], YES_Reading_FLA[Student Number]),0),MATCH(B$7,YES_Reading_ELA[#Headers],0)),""))</f>
        <v/>
      </c>
      <c r="C403" s="137" t="str">
        <f>IFERROR(INDEX(_xlfn.VSTACK(YES_Writing_ELA[#Data], YES_Writing_FLA[#Data]),MATCH($A403,_xlfn.VSTACK(YES_Writing_ELA[Student Number], YES_Writing_FLA[Student Number]),0),MATCH(C$7,YES_Writing_ELA[#Headers],0)),IFERROR(INDEX(_xlfn.VSTACK(YES_Reading_ELA[#Data], YES_Reading_FLA[#Data]),MATCH($A403,_xlfn.VSTACK(YES_Reading_ELA[Student Number], YES_Reading_FLA[Student Number]),0),MATCH(C$7,YES_Reading_ELA[#Headers],0)),""))</f>
        <v/>
      </c>
      <c r="D403" s="138" t="str">
        <f>IFERROR(IF(IF(INDEX(_xlfn.VSTACK(YES_Writing_ELA[#Data],YES_Writing_FLA[#Data]),MATCH($A403,_xlfn.VSTACK(YES_Writing_ELA[Student Number],YES_Writing_FLA[Student Number]),0),MATCH(VLOOKUP(D$7,'Writing Logic'!$J$7:$K$11,2,FALSE)&amp;" - Per "&amp;VLOOKUP($C$4,'Writing Logic'!$G$8:$H$14,2,FALSE),YES_Writing_ELA[#Headers],0))=0,"",INDEX(_xlfn.VSTACK(YES_Writing_ELA[#Data],YES_Writing_FLA[#Data]),MATCH($A403,_xlfn.VSTACK(YES_Writing_ELA[Student Number],YES_Writing_FLA[Student Number]),0),MATCH(VLOOKUP(D$7,'Writing Logic'!$J$7:$K$11,2,FALSE)&amp;" - Per "&amp;VLOOKUP($C$4,'Writing Logic'!$G$8:$H$14,2,FALSE),YES_Writing_ELA[#Headers],0)))="INS",'Writing Logic'!$B$7,IF(INDEX(_xlfn.VSTACK(YES_Writing_ELA[#Data],YES_Writing_FLA[#Data]),MATCH($A403,_xlfn.VSTACK(YES_Writing_ELA[Student Number],YES_Writing_FLA[Student Number]),0),MATCH(VLOOKUP(D$7,'Writing Logic'!$J$7:$K$11,2,FALSE)&amp;" - Per "&amp;VLOOKUP($C$4,'Writing Logic'!$G$8:$H$14,2,FALSE),YES_Writing_ELA[#Headers],0))=0,"",INDEX(_xlfn.VSTACK(YES_Writing_ELA[#Data],YES_Writing_FLA[#Data]),MATCH($A403,_xlfn.VSTACK(YES_Writing_ELA[Student Number],YES_Writing_FLA[Student Number]),0),MATCH(VLOOKUP(D$7,'Writing Logic'!$J$7:$K$11,2,FALSE)&amp;" - Per "&amp;VLOOKUP($C$4,'Writing Logic'!$G$8:$H$14,2,FALSE),YES_Writing_ELA[#Headers],0)))),"")</f>
        <v/>
      </c>
      <c r="E403" s="138" t="str">
        <f>IFERROR(IF(IF(INDEX(_xlfn.VSTACK(YES_Writing_ELA[#Data],YES_Writing_FLA[#Data]),MATCH($A403,_xlfn.VSTACK(YES_Writing_ELA[Student Number],YES_Writing_FLA[Student Number]),0),MATCH(VLOOKUP(E$7,'Writing Logic'!$J$7:$K$11,2,FALSE)&amp;" - Per "&amp;VLOOKUP($C$4,'Writing Logic'!$G$8:$H$14,2,FALSE),YES_Writing_ELA[#Headers],0))=0,"",INDEX(_xlfn.VSTACK(YES_Writing_ELA[#Data],YES_Writing_FLA[#Data]),MATCH($A403,_xlfn.VSTACK(YES_Writing_ELA[Student Number],YES_Writing_FLA[Student Number]),0),MATCH(VLOOKUP(E$7,'Writing Logic'!$J$7:$K$11,2,FALSE)&amp;" - Per "&amp;VLOOKUP($C$4,'Writing Logic'!$G$8:$H$14,2,FALSE),YES_Writing_ELA[#Headers],0)))="INS",'Writing Logic'!$B$7,IF(INDEX(_xlfn.VSTACK(YES_Writing_ELA[#Data],YES_Writing_FLA[#Data]),MATCH($A403,_xlfn.VSTACK(YES_Writing_ELA[Student Number],YES_Writing_FLA[Student Number]),0),MATCH(VLOOKUP(E$7,'Writing Logic'!$J$7:$K$11,2,FALSE)&amp;" - Per "&amp;VLOOKUP($C$4,'Writing Logic'!$G$8:$H$14,2,FALSE),YES_Writing_ELA[#Headers],0))=0,"",INDEX(_xlfn.VSTACK(YES_Writing_ELA[#Data],YES_Writing_FLA[#Data]),MATCH($A403,_xlfn.VSTACK(YES_Writing_ELA[Student Number],YES_Writing_FLA[Student Number]),0),MATCH(VLOOKUP(E$7,'Writing Logic'!$J$7:$K$11,2,FALSE)&amp;" - Per "&amp;VLOOKUP($C$4,'Writing Logic'!$G$8:$H$14,2,FALSE),YES_Writing_ELA[#Headers],0)))),"")</f>
        <v/>
      </c>
      <c r="F403" s="138" t="str">
        <f>IFERROR(IF(IF(INDEX(_xlfn.VSTACK(YES_Writing_ELA[#Data],YES_Writing_FLA[#Data]),MATCH($A403,_xlfn.VSTACK(YES_Writing_ELA[Student Number],YES_Writing_FLA[Student Number]),0),MATCH(VLOOKUP(F$7,'Writing Logic'!$J$7:$K$11,2,FALSE)&amp;" - Per "&amp;VLOOKUP($C$4,'Writing Logic'!$G$8:$H$14,2,FALSE),YES_Writing_ELA[#Headers],0))=0,"",INDEX(_xlfn.VSTACK(YES_Writing_ELA[#Data],YES_Writing_FLA[#Data]),MATCH($A403,_xlfn.VSTACK(YES_Writing_ELA[Student Number],YES_Writing_FLA[Student Number]),0),MATCH(VLOOKUP(F$7,'Writing Logic'!$J$7:$K$11,2,FALSE)&amp;" - Per "&amp;VLOOKUP($C$4,'Writing Logic'!$G$8:$H$14,2,FALSE),YES_Writing_ELA[#Headers],0)))="INS",'Writing Logic'!$B$7,IF(INDEX(_xlfn.VSTACK(YES_Writing_ELA[#Data],YES_Writing_FLA[#Data]),MATCH($A403,_xlfn.VSTACK(YES_Writing_ELA[Student Number],YES_Writing_FLA[Student Number]),0),MATCH(VLOOKUP(F$7,'Writing Logic'!$J$7:$K$11,2,FALSE)&amp;" - Per "&amp;VLOOKUP($C$4,'Writing Logic'!$G$8:$H$14,2,FALSE),YES_Writing_ELA[#Headers],0))=0,"",INDEX(_xlfn.VSTACK(YES_Writing_ELA[#Data],YES_Writing_FLA[#Data]),MATCH($A403,_xlfn.VSTACK(YES_Writing_ELA[Student Number],YES_Writing_FLA[Student Number]),0),MATCH(VLOOKUP(F$7,'Writing Logic'!$J$7:$K$11,2,FALSE)&amp;" - Per "&amp;VLOOKUP($C$4,'Writing Logic'!$G$8:$H$14,2,FALSE),YES_Writing_ELA[#Headers],0)))),"")</f>
        <v/>
      </c>
      <c r="G403" s="138" t="str">
        <f>IFERROR(IF(IF(INDEX(_xlfn.VSTACK(YES_Writing_ELA[#Data],YES_Writing_FLA[#Data]),MATCH($A403,_xlfn.VSTACK(YES_Writing_ELA[Student Number],YES_Writing_FLA[Student Number]),0),MATCH(VLOOKUP(G$7,'Writing Logic'!$J$7:$K$11,2,FALSE)&amp;" - Per "&amp;VLOOKUP($C$4,'Writing Logic'!$G$8:$H$14,2,FALSE),YES_Writing_ELA[#Headers],0))=0,"",INDEX(_xlfn.VSTACK(YES_Writing_ELA[#Data],YES_Writing_FLA[#Data]),MATCH($A403,_xlfn.VSTACK(YES_Writing_ELA[Student Number],YES_Writing_FLA[Student Number]),0),MATCH(VLOOKUP(G$7,'Writing Logic'!$J$7:$K$11,2,FALSE)&amp;" - Per "&amp;VLOOKUP($C$4,'Writing Logic'!$G$8:$H$14,2,FALSE),YES_Writing_ELA[#Headers],0)))="INS",'Writing Logic'!$B$7,IF(INDEX(_xlfn.VSTACK(YES_Writing_ELA[#Data],YES_Writing_FLA[#Data]),MATCH($A403,_xlfn.VSTACK(YES_Writing_ELA[Student Number],YES_Writing_FLA[Student Number]),0),MATCH(VLOOKUP(G$7,'Writing Logic'!$J$7:$K$11,2,FALSE)&amp;" - Per "&amp;VLOOKUP($C$4,'Writing Logic'!$G$8:$H$14,2,FALSE),YES_Writing_ELA[#Headers],0))=0,"",INDEX(_xlfn.VSTACK(YES_Writing_ELA[#Data],YES_Writing_FLA[#Data]),MATCH($A403,_xlfn.VSTACK(YES_Writing_ELA[Student Number],YES_Writing_FLA[Student Number]),0),MATCH(VLOOKUP(G$7,'Writing Logic'!$J$7:$K$11,2,FALSE)&amp;" - Per "&amp;VLOOKUP($C$4,'Writing Logic'!$G$8:$H$14,2,FALSE),YES_Writing_ELA[#Headers],0)))),"")</f>
        <v/>
      </c>
      <c r="H403" s="223" t="str">
        <f>IFERROR(IF(IF(INDEX(_xlfn.VSTACK(YES_Writing_ELA[#Data],YES_Writing_FLA[#Data]),MATCH($A403,_xlfn.VSTACK(YES_Writing_ELA[Student Number],YES_Writing_FLA[Student Number]),0),MATCH(VLOOKUP(H$7,'Writing Logic'!$J$7:$K$11,2,FALSE)&amp;" - Per "&amp;VLOOKUP($C$4,'Writing Logic'!$G$8:$H$14,2,FALSE),YES_Writing_ELA[#Headers],0))=0,"",INDEX(_xlfn.VSTACK(YES_Writing_ELA[#Data],YES_Writing_FLA[#Data]),MATCH($A403,_xlfn.VSTACK(YES_Writing_ELA[Student Number],YES_Writing_FLA[Student Number]),0),MATCH(VLOOKUP(H$7,'Writing Logic'!$J$7:$K$11,2,FALSE)&amp;" - Per "&amp;VLOOKUP($C$4,'Writing Logic'!$G$8:$H$14,2,FALSE),YES_Writing_ELA[#Headers],0)))="INS",'Writing Logic'!$B$7,IF(INDEX(_xlfn.VSTACK(YES_Writing_ELA[#Data],YES_Writing_FLA[#Data]),MATCH($A403,_xlfn.VSTACK(YES_Writing_ELA[Student Number],YES_Writing_FLA[Student Number]),0),MATCH(VLOOKUP(H$7,'Writing Logic'!$J$7:$K$11,2,FALSE)&amp;" - Per "&amp;VLOOKUP($C$4,'Writing Logic'!$G$8:$H$14,2,FALSE),YES_Writing_ELA[#Headers],0))=0,"",INDEX(_xlfn.VSTACK(YES_Writing_ELA[#Data],YES_Writing_FLA[#Data]),MATCH($A403,_xlfn.VSTACK(YES_Writing_ELA[Student Number],YES_Writing_FLA[Student Number]),0),MATCH(VLOOKUP(H$7,'Writing Logic'!$J$7:$K$11,2,FALSE)&amp;" - Per "&amp;VLOOKUP($C$4,'Writing Logic'!$G$8:$H$14,2,FALSE),YES_Writing_ELA[#Headers],0)))),"")</f>
        <v/>
      </c>
      <c r="I403" s="224" t="str" cm="1">
        <f t="array" aca="1" ref="I403" ca="1">IFERROR(
IF($G$3="ELA",
IF(VLOOKUP($A403, YES_Reading_ELA[], COLUMN(INDIRECT("YES_Reading_ELA[Difference - Per "&amp;VLOOKUP($G$4, 'Reading Report Logic'!$A$2:$B$8, 2, FALSE)&amp;"]")), FALSE)="", "",
VLOOKUP($A403,YES_Reading_ELA[], COLUMN(INDIRECT("YES_Reading_ELA[Difference - Per "&amp;VLOOKUP($G$4,'Reading Report Logic'!$A$2:$B$8,2,FALSE)&amp;"]")), FALSE)),
IF($G$3="FLA",
IF(VLOOKUP($A403, YES_Reading_FLA[], COLUMN(INDIRECT("YES_Reading_FLA[Difference - Per "&amp;VLOOKUP($G$4,'Reading Report Logic'!$A$2:$B$8,2,FALSE)&amp;"]")),FALSE)="","",
VLOOKUP($A403,YES_Reading_FLA[],COLUMN(INDIRECT("YES_Reading_FLA[Difference - Per "&amp;VLOOKUP($G$4,'Reading Report Logic'!$A$2:$B$8,2,FALSE)&amp;"]")),FALSE)),
IF($G$3="Combined",
IFERROR(
IF(VLOOKUP($A403, YES_Reading_ELA[], COLUMN(INDIRECT("YES_Reading_ELA[Difference - Per "&amp;VLOOKUP($G$4, 'Reading Report Logic'!$A$2:$B$8,2,FALSE)&amp;"]")), FALSE)="", "",
VLOOKUP($A403,YES_Reading_ELA[],COLUMN(INDIRECT("YES_Reading_ELA[Difference - Per "&amp;VLOOKUP($G$4,'Reading Report Logic'!$A$2:$B$8,2,FALSE)&amp;"]")),FALSE)),
IF(VLOOKUP($A403, YES_Reading_FLA[], COLUMN(INDIRECT("YES_Reading_FLA[Difference - Per "&amp;VLOOKUP($G$4, 'Reading Report Logic'!$A$2:$B$8, 2, FALSE)&amp;"]")),FALSE)="", "", VLOOKUP($A403,YES_Reading_FLA[],COLUMN(INDIRECT("YES_Reading_FLA[Difference - Per "&amp;VLOOKUP($G$4, 'Reading Report Logic'!$A$2:$B$8, 2, FALSE)&amp;"]")),FALSE))),""))),"")</f>
        <v/>
      </c>
    </row>
    <row r="404" spans="1:9" x14ac:dyDescent="0.25">
      <c r="A404" s="137"/>
      <c r="B404" s="137" t="str">
        <f>IFERROR(INDEX(_xlfn.VSTACK(YES_Writing_ELA[#Data], YES_Writing_FLA[#Data]),MATCH($A404,_xlfn.VSTACK(YES_Writing_ELA[Student Number], YES_Writing_FLA[Student Number]),0),MATCH(B$7,YES_Writing_ELA[#Headers],0)),IFERROR(INDEX(_xlfn.VSTACK(YES_Reading_ELA[#Data], YES_Reading_FLA[#Data]),MATCH($A404,_xlfn.VSTACK(YES_Reading_ELA[Student Number], YES_Reading_FLA[Student Number]),0),MATCH(B$7,YES_Reading_ELA[#Headers],0)),""))</f>
        <v/>
      </c>
      <c r="C404" s="137" t="str">
        <f>IFERROR(INDEX(_xlfn.VSTACK(YES_Writing_ELA[#Data], YES_Writing_FLA[#Data]),MATCH($A404,_xlfn.VSTACK(YES_Writing_ELA[Student Number], YES_Writing_FLA[Student Number]),0),MATCH(C$7,YES_Writing_ELA[#Headers],0)),IFERROR(INDEX(_xlfn.VSTACK(YES_Reading_ELA[#Data], YES_Reading_FLA[#Data]),MATCH($A404,_xlfn.VSTACK(YES_Reading_ELA[Student Number], YES_Reading_FLA[Student Number]),0),MATCH(C$7,YES_Reading_ELA[#Headers],0)),""))</f>
        <v/>
      </c>
      <c r="D404" s="138" t="str">
        <f>IFERROR(IF(IF(INDEX(_xlfn.VSTACK(YES_Writing_ELA[#Data],YES_Writing_FLA[#Data]),MATCH($A404,_xlfn.VSTACK(YES_Writing_ELA[Student Number],YES_Writing_FLA[Student Number]),0),MATCH(VLOOKUP(D$7,'Writing Logic'!$J$7:$K$11,2,FALSE)&amp;" - Per "&amp;VLOOKUP($C$4,'Writing Logic'!$G$8:$H$14,2,FALSE),YES_Writing_ELA[#Headers],0))=0,"",INDEX(_xlfn.VSTACK(YES_Writing_ELA[#Data],YES_Writing_FLA[#Data]),MATCH($A404,_xlfn.VSTACK(YES_Writing_ELA[Student Number],YES_Writing_FLA[Student Number]),0),MATCH(VLOOKUP(D$7,'Writing Logic'!$J$7:$K$11,2,FALSE)&amp;" - Per "&amp;VLOOKUP($C$4,'Writing Logic'!$G$8:$H$14,2,FALSE),YES_Writing_ELA[#Headers],0)))="INS",'Writing Logic'!$B$7,IF(INDEX(_xlfn.VSTACK(YES_Writing_ELA[#Data],YES_Writing_FLA[#Data]),MATCH($A404,_xlfn.VSTACK(YES_Writing_ELA[Student Number],YES_Writing_FLA[Student Number]),0),MATCH(VLOOKUP(D$7,'Writing Logic'!$J$7:$K$11,2,FALSE)&amp;" - Per "&amp;VLOOKUP($C$4,'Writing Logic'!$G$8:$H$14,2,FALSE),YES_Writing_ELA[#Headers],0))=0,"",INDEX(_xlfn.VSTACK(YES_Writing_ELA[#Data],YES_Writing_FLA[#Data]),MATCH($A404,_xlfn.VSTACK(YES_Writing_ELA[Student Number],YES_Writing_FLA[Student Number]),0),MATCH(VLOOKUP(D$7,'Writing Logic'!$J$7:$K$11,2,FALSE)&amp;" - Per "&amp;VLOOKUP($C$4,'Writing Logic'!$G$8:$H$14,2,FALSE),YES_Writing_ELA[#Headers],0)))),"")</f>
        <v/>
      </c>
      <c r="E404" s="138" t="str">
        <f>IFERROR(IF(IF(INDEX(_xlfn.VSTACK(YES_Writing_ELA[#Data],YES_Writing_FLA[#Data]),MATCH($A404,_xlfn.VSTACK(YES_Writing_ELA[Student Number],YES_Writing_FLA[Student Number]),0),MATCH(VLOOKUP(E$7,'Writing Logic'!$J$7:$K$11,2,FALSE)&amp;" - Per "&amp;VLOOKUP($C$4,'Writing Logic'!$G$8:$H$14,2,FALSE),YES_Writing_ELA[#Headers],0))=0,"",INDEX(_xlfn.VSTACK(YES_Writing_ELA[#Data],YES_Writing_FLA[#Data]),MATCH($A404,_xlfn.VSTACK(YES_Writing_ELA[Student Number],YES_Writing_FLA[Student Number]),0),MATCH(VLOOKUP(E$7,'Writing Logic'!$J$7:$K$11,2,FALSE)&amp;" - Per "&amp;VLOOKUP($C$4,'Writing Logic'!$G$8:$H$14,2,FALSE),YES_Writing_ELA[#Headers],0)))="INS",'Writing Logic'!$B$7,IF(INDEX(_xlfn.VSTACK(YES_Writing_ELA[#Data],YES_Writing_FLA[#Data]),MATCH($A404,_xlfn.VSTACK(YES_Writing_ELA[Student Number],YES_Writing_FLA[Student Number]),0),MATCH(VLOOKUP(E$7,'Writing Logic'!$J$7:$K$11,2,FALSE)&amp;" - Per "&amp;VLOOKUP($C$4,'Writing Logic'!$G$8:$H$14,2,FALSE),YES_Writing_ELA[#Headers],0))=0,"",INDEX(_xlfn.VSTACK(YES_Writing_ELA[#Data],YES_Writing_FLA[#Data]),MATCH($A404,_xlfn.VSTACK(YES_Writing_ELA[Student Number],YES_Writing_FLA[Student Number]),0),MATCH(VLOOKUP(E$7,'Writing Logic'!$J$7:$K$11,2,FALSE)&amp;" - Per "&amp;VLOOKUP($C$4,'Writing Logic'!$G$8:$H$14,2,FALSE),YES_Writing_ELA[#Headers],0)))),"")</f>
        <v/>
      </c>
      <c r="F404" s="138" t="str">
        <f>IFERROR(IF(IF(INDEX(_xlfn.VSTACK(YES_Writing_ELA[#Data],YES_Writing_FLA[#Data]),MATCH($A404,_xlfn.VSTACK(YES_Writing_ELA[Student Number],YES_Writing_FLA[Student Number]),0),MATCH(VLOOKUP(F$7,'Writing Logic'!$J$7:$K$11,2,FALSE)&amp;" - Per "&amp;VLOOKUP($C$4,'Writing Logic'!$G$8:$H$14,2,FALSE),YES_Writing_ELA[#Headers],0))=0,"",INDEX(_xlfn.VSTACK(YES_Writing_ELA[#Data],YES_Writing_FLA[#Data]),MATCH($A404,_xlfn.VSTACK(YES_Writing_ELA[Student Number],YES_Writing_FLA[Student Number]),0),MATCH(VLOOKUP(F$7,'Writing Logic'!$J$7:$K$11,2,FALSE)&amp;" - Per "&amp;VLOOKUP($C$4,'Writing Logic'!$G$8:$H$14,2,FALSE),YES_Writing_ELA[#Headers],0)))="INS",'Writing Logic'!$B$7,IF(INDEX(_xlfn.VSTACK(YES_Writing_ELA[#Data],YES_Writing_FLA[#Data]),MATCH($A404,_xlfn.VSTACK(YES_Writing_ELA[Student Number],YES_Writing_FLA[Student Number]),0),MATCH(VLOOKUP(F$7,'Writing Logic'!$J$7:$K$11,2,FALSE)&amp;" - Per "&amp;VLOOKUP($C$4,'Writing Logic'!$G$8:$H$14,2,FALSE),YES_Writing_ELA[#Headers],0))=0,"",INDEX(_xlfn.VSTACK(YES_Writing_ELA[#Data],YES_Writing_FLA[#Data]),MATCH($A404,_xlfn.VSTACK(YES_Writing_ELA[Student Number],YES_Writing_FLA[Student Number]),0),MATCH(VLOOKUP(F$7,'Writing Logic'!$J$7:$K$11,2,FALSE)&amp;" - Per "&amp;VLOOKUP($C$4,'Writing Logic'!$G$8:$H$14,2,FALSE),YES_Writing_ELA[#Headers],0)))),"")</f>
        <v/>
      </c>
      <c r="G404" s="138" t="str">
        <f>IFERROR(IF(IF(INDEX(_xlfn.VSTACK(YES_Writing_ELA[#Data],YES_Writing_FLA[#Data]),MATCH($A404,_xlfn.VSTACK(YES_Writing_ELA[Student Number],YES_Writing_FLA[Student Number]),0),MATCH(VLOOKUP(G$7,'Writing Logic'!$J$7:$K$11,2,FALSE)&amp;" - Per "&amp;VLOOKUP($C$4,'Writing Logic'!$G$8:$H$14,2,FALSE),YES_Writing_ELA[#Headers],0))=0,"",INDEX(_xlfn.VSTACK(YES_Writing_ELA[#Data],YES_Writing_FLA[#Data]),MATCH($A404,_xlfn.VSTACK(YES_Writing_ELA[Student Number],YES_Writing_FLA[Student Number]),0),MATCH(VLOOKUP(G$7,'Writing Logic'!$J$7:$K$11,2,FALSE)&amp;" - Per "&amp;VLOOKUP($C$4,'Writing Logic'!$G$8:$H$14,2,FALSE),YES_Writing_ELA[#Headers],0)))="INS",'Writing Logic'!$B$7,IF(INDEX(_xlfn.VSTACK(YES_Writing_ELA[#Data],YES_Writing_FLA[#Data]),MATCH($A404,_xlfn.VSTACK(YES_Writing_ELA[Student Number],YES_Writing_FLA[Student Number]),0),MATCH(VLOOKUP(G$7,'Writing Logic'!$J$7:$K$11,2,FALSE)&amp;" - Per "&amp;VLOOKUP($C$4,'Writing Logic'!$G$8:$H$14,2,FALSE),YES_Writing_ELA[#Headers],0))=0,"",INDEX(_xlfn.VSTACK(YES_Writing_ELA[#Data],YES_Writing_FLA[#Data]),MATCH($A404,_xlfn.VSTACK(YES_Writing_ELA[Student Number],YES_Writing_FLA[Student Number]),0),MATCH(VLOOKUP(G$7,'Writing Logic'!$J$7:$K$11,2,FALSE)&amp;" - Per "&amp;VLOOKUP($C$4,'Writing Logic'!$G$8:$H$14,2,FALSE),YES_Writing_ELA[#Headers],0)))),"")</f>
        <v/>
      </c>
      <c r="H404" s="223" t="str">
        <f>IFERROR(IF(IF(INDEX(_xlfn.VSTACK(YES_Writing_ELA[#Data],YES_Writing_FLA[#Data]),MATCH($A404,_xlfn.VSTACK(YES_Writing_ELA[Student Number],YES_Writing_FLA[Student Number]),0),MATCH(VLOOKUP(H$7,'Writing Logic'!$J$7:$K$11,2,FALSE)&amp;" - Per "&amp;VLOOKUP($C$4,'Writing Logic'!$G$8:$H$14,2,FALSE),YES_Writing_ELA[#Headers],0))=0,"",INDEX(_xlfn.VSTACK(YES_Writing_ELA[#Data],YES_Writing_FLA[#Data]),MATCH($A404,_xlfn.VSTACK(YES_Writing_ELA[Student Number],YES_Writing_FLA[Student Number]),0),MATCH(VLOOKUP(H$7,'Writing Logic'!$J$7:$K$11,2,FALSE)&amp;" - Per "&amp;VLOOKUP($C$4,'Writing Logic'!$G$8:$H$14,2,FALSE),YES_Writing_ELA[#Headers],0)))="INS",'Writing Logic'!$B$7,IF(INDEX(_xlfn.VSTACK(YES_Writing_ELA[#Data],YES_Writing_FLA[#Data]),MATCH($A404,_xlfn.VSTACK(YES_Writing_ELA[Student Number],YES_Writing_FLA[Student Number]),0),MATCH(VLOOKUP(H$7,'Writing Logic'!$J$7:$K$11,2,FALSE)&amp;" - Per "&amp;VLOOKUP($C$4,'Writing Logic'!$G$8:$H$14,2,FALSE),YES_Writing_ELA[#Headers],0))=0,"",INDEX(_xlfn.VSTACK(YES_Writing_ELA[#Data],YES_Writing_FLA[#Data]),MATCH($A404,_xlfn.VSTACK(YES_Writing_ELA[Student Number],YES_Writing_FLA[Student Number]),0),MATCH(VLOOKUP(H$7,'Writing Logic'!$J$7:$K$11,2,FALSE)&amp;" - Per "&amp;VLOOKUP($C$4,'Writing Logic'!$G$8:$H$14,2,FALSE),YES_Writing_ELA[#Headers],0)))),"")</f>
        <v/>
      </c>
      <c r="I404" s="224" t="str" cm="1">
        <f t="array" aca="1" ref="I404" ca="1">IFERROR(
IF($G$3="ELA",
IF(VLOOKUP($A404, YES_Reading_ELA[], COLUMN(INDIRECT("YES_Reading_ELA[Difference - Per "&amp;VLOOKUP($G$4, 'Reading Report Logic'!$A$2:$B$8, 2, FALSE)&amp;"]")), FALSE)="", "",
VLOOKUP($A404,YES_Reading_ELA[], COLUMN(INDIRECT("YES_Reading_ELA[Difference - Per "&amp;VLOOKUP($G$4,'Reading Report Logic'!$A$2:$B$8,2,FALSE)&amp;"]")), FALSE)),
IF($G$3="FLA",
IF(VLOOKUP($A404, YES_Reading_FLA[], COLUMN(INDIRECT("YES_Reading_FLA[Difference - Per "&amp;VLOOKUP($G$4,'Reading Report Logic'!$A$2:$B$8,2,FALSE)&amp;"]")),FALSE)="","",
VLOOKUP($A404,YES_Reading_FLA[],COLUMN(INDIRECT("YES_Reading_FLA[Difference - Per "&amp;VLOOKUP($G$4,'Reading Report Logic'!$A$2:$B$8,2,FALSE)&amp;"]")),FALSE)),
IF($G$3="Combined",
IFERROR(
IF(VLOOKUP($A404, YES_Reading_ELA[], COLUMN(INDIRECT("YES_Reading_ELA[Difference - Per "&amp;VLOOKUP($G$4, 'Reading Report Logic'!$A$2:$B$8,2,FALSE)&amp;"]")), FALSE)="", "",
VLOOKUP($A404,YES_Reading_ELA[],COLUMN(INDIRECT("YES_Reading_ELA[Difference - Per "&amp;VLOOKUP($G$4,'Reading Report Logic'!$A$2:$B$8,2,FALSE)&amp;"]")),FALSE)),
IF(VLOOKUP($A404, YES_Reading_FLA[], COLUMN(INDIRECT("YES_Reading_FLA[Difference - Per "&amp;VLOOKUP($G$4, 'Reading Report Logic'!$A$2:$B$8, 2, FALSE)&amp;"]")),FALSE)="", "", VLOOKUP($A404,YES_Reading_FLA[],COLUMN(INDIRECT("YES_Reading_FLA[Difference - Per "&amp;VLOOKUP($G$4, 'Reading Report Logic'!$A$2:$B$8, 2, FALSE)&amp;"]")),FALSE))),""))),"")</f>
        <v/>
      </c>
    </row>
    <row r="405" spans="1:9" x14ac:dyDescent="0.25">
      <c r="A405" s="137"/>
      <c r="B405" s="137" t="str">
        <f>IFERROR(INDEX(_xlfn.VSTACK(YES_Writing_ELA[#Data], YES_Writing_FLA[#Data]),MATCH($A405,_xlfn.VSTACK(YES_Writing_ELA[Student Number], YES_Writing_FLA[Student Number]),0),MATCH(B$7,YES_Writing_ELA[#Headers],0)),IFERROR(INDEX(_xlfn.VSTACK(YES_Reading_ELA[#Data], YES_Reading_FLA[#Data]),MATCH($A405,_xlfn.VSTACK(YES_Reading_ELA[Student Number], YES_Reading_FLA[Student Number]),0),MATCH(B$7,YES_Reading_ELA[#Headers],0)),""))</f>
        <v/>
      </c>
      <c r="C405" s="137" t="str">
        <f>IFERROR(INDEX(_xlfn.VSTACK(YES_Writing_ELA[#Data], YES_Writing_FLA[#Data]),MATCH($A405,_xlfn.VSTACK(YES_Writing_ELA[Student Number], YES_Writing_FLA[Student Number]),0),MATCH(C$7,YES_Writing_ELA[#Headers],0)),IFERROR(INDEX(_xlfn.VSTACK(YES_Reading_ELA[#Data], YES_Reading_FLA[#Data]),MATCH($A405,_xlfn.VSTACK(YES_Reading_ELA[Student Number], YES_Reading_FLA[Student Number]),0),MATCH(C$7,YES_Reading_ELA[#Headers],0)),""))</f>
        <v/>
      </c>
      <c r="D405" s="138" t="str">
        <f>IFERROR(IF(IF(INDEX(_xlfn.VSTACK(YES_Writing_ELA[#Data],YES_Writing_FLA[#Data]),MATCH($A405,_xlfn.VSTACK(YES_Writing_ELA[Student Number],YES_Writing_FLA[Student Number]),0),MATCH(VLOOKUP(D$7,'Writing Logic'!$J$7:$K$11,2,FALSE)&amp;" - Per "&amp;VLOOKUP($C$4,'Writing Logic'!$G$8:$H$14,2,FALSE),YES_Writing_ELA[#Headers],0))=0,"",INDEX(_xlfn.VSTACK(YES_Writing_ELA[#Data],YES_Writing_FLA[#Data]),MATCH($A405,_xlfn.VSTACK(YES_Writing_ELA[Student Number],YES_Writing_FLA[Student Number]),0),MATCH(VLOOKUP(D$7,'Writing Logic'!$J$7:$K$11,2,FALSE)&amp;" - Per "&amp;VLOOKUP($C$4,'Writing Logic'!$G$8:$H$14,2,FALSE),YES_Writing_ELA[#Headers],0)))="INS",'Writing Logic'!$B$7,IF(INDEX(_xlfn.VSTACK(YES_Writing_ELA[#Data],YES_Writing_FLA[#Data]),MATCH($A405,_xlfn.VSTACK(YES_Writing_ELA[Student Number],YES_Writing_FLA[Student Number]),0),MATCH(VLOOKUP(D$7,'Writing Logic'!$J$7:$K$11,2,FALSE)&amp;" - Per "&amp;VLOOKUP($C$4,'Writing Logic'!$G$8:$H$14,2,FALSE),YES_Writing_ELA[#Headers],0))=0,"",INDEX(_xlfn.VSTACK(YES_Writing_ELA[#Data],YES_Writing_FLA[#Data]),MATCH($A405,_xlfn.VSTACK(YES_Writing_ELA[Student Number],YES_Writing_FLA[Student Number]),0),MATCH(VLOOKUP(D$7,'Writing Logic'!$J$7:$K$11,2,FALSE)&amp;" - Per "&amp;VLOOKUP($C$4,'Writing Logic'!$G$8:$H$14,2,FALSE),YES_Writing_ELA[#Headers],0)))),"")</f>
        <v/>
      </c>
      <c r="E405" s="138" t="str">
        <f>IFERROR(IF(IF(INDEX(_xlfn.VSTACK(YES_Writing_ELA[#Data],YES_Writing_FLA[#Data]),MATCH($A405,_xlfn.VSTACK(YES_Writing_ELA[Student Number],YES_Writing_FLA[Student Number]),0),MATCH(VLOOKUP(E$7,'Writing Logic'!$J$7:$K$11,2,FALSE)&amp;" - Per "&amp;VLOOKUP($C$4,'Writing Logic'!$G$8:$H$14,2,FALSE),YES_Writing_ELA[#Headers],0))=0,"",INDEX(_xlfn.VSTACK(YES_Writing_ELA[#Data],YES_Writing_FLA[#Data]),MATCH($A405,_xlfn.VSTACK(YES_Writing_ELA[Student Number],YES_Writing_FLA[Student Number]),0),MATCH(VLOOKUP(E$7,'Writing Logic'!$J$7:$K$11,2,FALSE)&amp;" - Per "&amp;VLOOKUP($C$4,'Writing Logic'!$G$8:$H$14,2,FALSE),YES_Writing_ELA[#Headers],0)))="INS",'Writing Logic'!$B$7,IF(INDEX(_xlfn.VSTACK(YES_Writing_ELA[#Data],YES_Writing_FLA[#Data]),MATCH($A405,_xlfn.VSTACK(YES_Writing_ELA[Student Number],YES_Writing_FLA[Student Number]),0),MATCH(VLOOKUP(E$7,'Writing Logic'!$J$7:$K$11,2,FALSE)&amp;" - Per "&amp;VLOOKUP($C$4,'Writing Logic'!$G$8:$H$14,2,FALSE),YES_Writing_ELA[#Headers],0))=0,"",INDEX(_xlfn.VSTACK(YES_Writing_ELA[#Data],YES_Writing_FLA[#Data]),MATCH($A405,_xlfn.VSTACK(YES_Writing_ELA[Student Number],YES_Writing_FLA[Student Number]),0),MATCH(VLOOKUP(E$7,'Writing Logic'!$J$7:$K$11,2,FALSE)&amp;" - Per "&amp;VLOOKUP($C$4,'Writing Logic'!$G$8:$H$14,2,FALSE),YES_Writing_ELA[#Headers],0)))),"")</f>
        <v/>
      </c>
      <c r="F405" s="138" t="str">
        <f>IFERROR(IF(IF(INDEX(_xlfn.VSTACK(YES_Writing_ELA[#Data],YES_Writing_FLA[#Data]),MATCH($A405,_xlfn.VSTACK(YES_Writing_ELA[Student Number],YES_Writing_FLA[Student Number]),0),MATCH(VLOOKUP(F$7,'Writing Logic'!$J$7:$K$11,2,FALSE)&amp;" - Per "&amp;VLOOKUP($C$4,'Writing Logic'!$G$8:$H$14,2,FALSE),YES_Writing_ELA[#Headers],0))=0,"",INDEX(_xlfn.VSTACK(YES_Writing_ELA[#Data],YES_Writing_FLA[#Data]),MATCH($A405,_xlfn.VSTACK(YES_Writing_ELA[Student Number],YES_Writing_FLA[Student Number]),0),MATCH(VLOOKUP(F$7,'Writing Logic'!$J$7:$K$11,2,FALSE)&amp;" - Per "&amp;VLOOKUP($C$4,'Writing Logic'!$G$8:$H$14,2,FALSE),YES_Writing_ELA[#Headers],0)))="INS",'Writing Logic'!$B$7,IF(INDEX(_xlfn.VSTACK(YES_Writing_ELA[#Data],YES_Writing_FLA[#Data]),MATCH($A405,_xlfn.VSTACK(YES_Writing_ELA[Student Number],YES_Writing_FLA[Student Number]),0),MATCH(VLOOKUP(F$7,'Writing Logic'!$J$7:$K$11,2,FALSE)&amp;" - Per "&amp;VLOOKUP($C$4,'Writing Logic'!$G$8:$H$14,2,FALSE),YES_Writing_ELA[#Headers],0))=0,"",INDEX(_xlfn.VSTACK(YES_Writing_ELA[#Data],YES_Writing_FLA[#Data]),MATCH($A405,_xlfn.VSTACK(YES_Writing_ELA[Student Number],YES_Writing_FLA[Student Number]),0),MATCH(VLOOKUP(F$7,'Writing Logic'!$J$7:$K$11,2,FALSE)&amp;" - Per "&amp;VLOOKUP($C$4,'Writing Logic'!$G$8:$H$14,2,FALSE),YES_Writing_ELA[#Headers],0)))),"")</f>
        <v/>
      </c>
      <c r="G405" s="138" t="str">
        <f>IFERROR(IF(IF(INDEX(_xlfn.VSTACK(YES_Writing_ELA[#Data],YES_Writing_FLA[#Data]),MATCH($A405,_xlfn.VSTACK(YES_Writing_ELA[Student Number],YES_Writing_FLA[Student Number]),0),MATCH(VLOOKUP(G$7,'Writing Logic'!$J$7:$K$11,2,FALSE)&amp;" - Per "&amp;VLOOKUP($C$4,'Writing Logic'!$G$8:$H$14,2,FALSE),YES_Writing_ELA[#Headers],0))=0,"",INDEX(_xlfn.VSTACK(YES_Writing_ELA[#Data],YES_Writing_FLA[#Data]),MATCH($A405,_xlfn.VSTACK(YES_Writing_ELA[Student Number],YES_Writing_FLA[Student Number]),0),MATCH(VLOOKUP(G$7,'Writing Logic'!$J$7:$K$11,2,FALSE)&amp;" - Per "&amp;VLOOKUP($C$4,'Writing Logic'!$G$8:$H$14,2,FALSE),YES_Writing_ELA[#Headers],0)))="INS",'Writing Logic'!$B$7,IF(INDEX(_xlfn.VSTACK(YES_Writing_ELA[#Data],YES_Writing_FLA[#Data]),MATCH($A405,_xlfn.VSTACK(YES_Writing_ELA[Student Number],YES_Writing_FLA[Student Number]),0),MATCH(VLOOKUP(G$7,'Writing Logic'!$J$7:$K$11,2,FALSE)&amp;" - Per "&amp;VLOOKUP($C$4,'Writing Logic'!$G$8:$H$14,2,FALSE),YES_Writing_ELA[#Headers],0))=0,"",INDEX(_xlfn.VSTACK(YES_Writing_ELA[#Data],YES_Writing_FLA[#Data]),MATCH($A405,_xlfn.VSTACK(YES_Writing_ELA[Student Number],YES_Writing_FLA[Student Number]),0),MATCH(VLOOKUP(G$7,'Writing Logic'!$J$7:$K$11,2,FALSE)&amp;" - Per "&amp;VLOOKUP($C$4,'Writing Logic'!$G$8:$H$14,2,FALSE),YES_Writing_ELA[#Headers],0)))),"")</f>
        <v/>
      </c>
      <c r="H405" s="223" t="str">
        <f>IFERROR(IF(IF(INDEX(_xlfn.VSTACK(YES_Writing_ELA[#Data],YES_Writing_FLA[#Data]),MATCH($A405,_xlfn.VSTACK(YES_Writing_ELA[Student Number],YES_Writing_FLA[Student Number]),0),MATCH(VLOOKUP(H$7,'Writing Logic'!$J$7:$K$11,2,FALSE)&amp;" - Per "&amp;VLOOKUP($C$4,'Writing Logic'!$G$8:$H$14,2,FALSE),YES_Writing_ELA[#Headers],0))=0,"",INDEX(_xlfn.VSTACK(YES_Writing_ELA[#Data],YES_Writing_FLA[#Data]),MATCH($A405,_xlfn.VSTACK(YES_Writing_ELA[Student Number],YES_Writing_FLA[Student Number]),0),MATCH(VLOOKUP(H$7,'Writing Logic'!$J$7:$K$11,2,FALSE)&amp;" - Per "&amp;VLOOKUP($C$4,'Writing Logic'!$G$8:$H$14,2,FALSE),YES_Writing_ELA[#Headers],0)))="INS",'Writing Logic'!$B$7,IF(INDEX(_xlfn.VSTACK(YES_Writing_ELA[#Data],YES_Writing_FLA[#Data]),MATCH($A405,_xlfn.VSTACK(YES_Writing_ELA[Student Number],YES_Writing_FLA[Student Number]),0),MATCH(VLOOKUP(H$7,'Writing Logic'!$J$7:$K$11,2,FALSE)&amp;" - Per "&amp;VLOOKUP($C$4,'Writing Logic'!$G$8:$H$14,2,FALSE),YES_Writing_ELA[#Headers],0))=0,"",INDEX(_xlfn.VSTACK(YES_Writing_ELA[#Data],YES_Writing_FLA[#Data]),MATCH($A405,_xlfn.VSTACK(YES_Writing_ELA[Student Number],YES_Writing_FLA[Student Number]),0),MATCH(VLOOKUP(H$7,'Writing Logic'!$J$7:$K$11,2,FALSE)&amp;" - Per "&amp;VLOOKUP($C$4,'Writing Logic'!$G$8:$H$14,2,FALSE),YES_Writing_ELA[#Headers],0)))),"")</f>
        <v/>
      </c>
      <c r="I405" s="224" t="str" cm="1">
        <f t="array" aca="1" ref="I405" ca="1">IFERROR(
IF($G$3="ELA",
IF(VLOOKUP($A405, YES_Reading_ELA[], COLUMN(INDIRECT("YES_Reading_ELA[Difference - Per "&amp;VLOOKUP($G$4, 'Reading Report Logic'!$A$2:$B$8, 2, FALSE)&amp;"]")), FALSE)="", "",
VLOOKUP($A405,YES_Reading_ELA[], COLUMN(INDIRECT("YES_Reading_ELA[Difference - Per "&amp;VLOOKUP($G$4,'Reading Report Logic'!$A$2:$B$8,2,FALSE)&amp;"]")), FALSE)),
IF($G$3="FLA",
IF(VLOOKUP($A405, YES_Reading_FLA[], COLUMN(INDIRECT("YES_Reading_FLA[Difference - Per "&amp;VLOOKUP($G$4,'Reading Report Logic'!$A$2:$B$8,2,FALSE)&amp;"]")),FALSE)="","",
VLOOKUP($A405,YES_Reading_FLA[],COLUMN(INDIRECT("YES_Reading_FLA[Difference - Per "&amp;VLOOKUP($G$4,'Reading Report Logic'!$A$2:$B$8,2,FALSE)&amp;"]")),FALSE)),
IF($G$3="Combined",
IFERROR(
IF(VLOOKUP($A405, YES_Reading_ELA[], COLUMN(INDIRECT("YES_Reading_ELA[Difference - Per "&amp;VLOOKUP($G$4, 'Reading Report Logic'!$A$2:$B$8,2,FALSE)&amp;"]")), FALSE)="", "",
VLOOKUP($A405,YES_Reading_ELA[],COLUMN(INDIRECT("YES_Reading_ELA[Difference - Per "&amp;VLOOKUP($G$4,'Reading Report Logic'!$A$2:$B$8,2,FALSE)&amp;"]")),FALSE)),
IF(VLOOKUP($A405, YES_Reading_FLA[], COLUMN(INDIRECT("YES_Reading_FLA[Difference - Per "&amp;VLOOKUP($G$4, 'Reading Report Logic'!$A$2:$B$8, 2, FALSE)&amp;"]")),FALSE)="", "", VLOOKUP($A405,YES_Reading_FLA[],COLUMN(INDIRECT("YES_Reading_FLA[Difference - Per "&amp;VLOOKUP($G$4, 'Reading Report Logic'!$A$2:$B$8, 2, FALSE)&amp;"]")),FALSE))),""))),"")</f>
        <v/>
      </c>
    </row>
    <row r="406" spans="1:9" x14ac:dyDescent="0.25">
      <c r="A406" s="137"/>
      <c r="B406" s="137" t="str">
        <f>IFERROR(INDEX(_xlfn.VSTACK(YES_Writing_ELA[#Data], YES_Writing_FLA[#Data]),MATCH($A406,_xlfn.VSTACK(YES_Writing_ELA[Student Number], YES_Writing_FLA[Student Number]),0),MATCH(B$7,YES_Writing_ELA[#Headers],0)),IFERROR(INDEX(_xlfn.VSTACK(YES_Reading_ELA[#Data], YES_Reading_FLA[#Data]),MATCH($A406,_xlfn.VSTACK(YES_Reading_ELA[Student Number], YES_Reading_FLA[Student Number]),0),MATCH(B$7,YES_Reading_ELA[#Headers],0)),""))</f>
        <v/>
      </c>
      <c r="C406" s="137" t="str">
        <f>IFERROR(INDEX(_xlfn.VSTACK(YES_Writing_ELA[#Data], YES_Writing_FLA[#Data]),MATCH($A406,_xlfn.VSTACK(YES_Writing_ELA[Student Number], YES_Writing_FLA[Student Number]),0),MATCH(C$7,YES_Writing_ELA[#Headers],0)),IFERROR(INDEX(_xlfn.VSTACK(YES_Reading_ELA[#Data], YES_Reading_FLA[#Data]),MATCH($A406,_xlfn.VSTACK(YES_Reading_ELA[Student Number], YES_Reading_FLA[Student Number]),0),MATCH(C$7,YES_Reading_ELA[#Headers],0)),""))</f>
        <v/>
      </c>
      <c r="D406" s="138" t="str">
        <f>IFERROR(IF(IF(INDEX(_xlfn.VSTACK(YES_Writing_ELA[#Data],YES_Writing_FLA[#Data]),MATCH($A406,_xlfn.VSTACK(YES_Writing_ELA[Student Number],YES_Writing_FLA[Student Number]),0),MATCH(VLOOKUP(D$7,'Writing Logic'!$J$7:$K$11,2,FALSE)&amp;" - Per "&amp;VLOOKUP($C$4,'Writing Logic'!$G$8:$H$14,2,FALSE),YES_Writing_ELA[#Headers],0))=0,"",INDEX(_xlfn.VSTACK(YES_Writing_ELA[#Data],YES_Writing_FLA[#Data]),MATCH($A406,_xlfn.VSTACK(YES_Writing_ELA[Student Number],YES_Writing_FLA[Student Number]),0),MATCH(VLOOKUP(D$7,'Writing Logic'!$J$7:$K$11,2,FALSE)&amp;" - Per "&amp;VLOOKUP($C$4,'Writing Logic'!$G$8:$H$14,2,FALSE),YES_Writing_ELA[#Headers],0)))="INS",'Writing Logic'!$B$7,IF(INDEX(_xlfn.VSTACK(YES_Writing_ELA[#Data],YES_Writing_FLA[#Data]),MATCH($A406,_xlfn.VSTACK(YES_Writing_ELA[Student Number],YES_Writing_FLA[Student Number]),0),MATCH(VLOOKUP(D$7,'Writing Logic'!$J$7:$K$11,2,FALSE)&amp;" - Per "&amp;VLOOKUP($C$4,'Writing Logic'!$G$8:$H$14,2,FALSE),YES_Writing_ELA[#Headers],0))=0,"",INDEX(_xlfn.VSTACK(YES_Writing_ELA[#Data],YES_Writing_FLA[#Data]),MATCH($A406,_xlfn.VSTACK(YES_Writing_ELA[Student Number],YES_Writing_FLA[Student Number]),0),MATCH(VLOOKUP(D$7,'Writing Logic'!$J$7:$K$11,2,FALSE)&amp;" - Per "&amp;VLOOKUP($C$4,'Writing Logic'!$G$8:$H$14,2,FALSE),YES_Writing_ELA[#Headers],0)))),"")</f>
        <v/>
      </c>
      <c r="E406" s="138" t="str">
        <f>IFERROR(IF(IF(INDEX(_xlfn.VSTACK(YES_Writing_ELA[#Data],YES_Writing_FLA[#Data]),MATCH($A406,_xlfn.VSTACK(YES_Writing_ELA[Student Number],YES_Writing_FLA[Student Number]),0),MATCH(VLOOKUP(E$7,'Writing Logic'!$J$7:$K$11,2,FALSE)&amp;" - Per "&amp;VLOOKUP($C$4,'Writing Logic'!$G$8:$H$14,2,FALSE),YES_Writing_ELA[#Headers],0))=0,"",INDEX(_xlfn.VSTACK(YES_Writing_ELA[#Data],YES_Writing_FLA[#Data]),MATCH($A406,_xlfn.VSTACK(YES_Writing_ELA[Student Number],YES_Writing_FLA[Student Number]),0),MATCH(VLOOKUP(E$7,'Writing Logic'!$J$7:$K$11,2,FALSE)&amp;" - Per "&amp;VLOOKUP($C$4,'Writing Logic'!$G$8:$H$14,2,FALSE),YES_Writing_ELA[#Headers],0)))="INS",'Writing Logic'!$B$7,IF(INDEX(_xlfn.VSTACK(YES_Writing_ELA[#Data],YES_Writing_FLA[#Data]),MATCH($A406,_xlfn.VSTACK(YES_Writing_ELA[Student Number],YES_Writing_FLA[Student Number]),0),MATCH(VLOOKUP(E$7,'Writing Logic'!$J$7:$K$11,2,FALSE)&amp;" - Per "&amp;VLOOKUP($C$4,'Writing Logic'!$G$8:$H$14,2,FALSE),YES_Writing_ELA[#Headers],0))=0,"",INDEX(_xlfn.VSTACK(YES_Writing_ELA[#Data],YES_Writing_FLA[#Data]),MATCH($A406,_xlfn.VSTACK(YES_Writing_ELA[Student Number],YES_Writing_FLA[Student Number]),0),MATCH(VLOOKUP(E$7,'Writing Logic'!$J$7:$K$11,2,FALSE)&amp;" - Per "&amp;VLOOKUP($C$4,'Writing Logic'!$G$8:$H$14,2,FALSE),YES_Writing_ELA[#Headers],0)))),"")</f>
        <v/>
      </c>
      <c r="F406" s="138" t="str">
        <f>IFERROR(IF(IF(INDEX(_xlfn.VSTACK(YES_Writing_ELA[#Data],YES_Writing_FLA[#Data]),MATCH($A406,_xlfn.VSTACK(YES_Writing_ELA[Student Number],YES_Writing_FLA[Student Number]),0),MATCH(VLOOKUP(F$7,'Writing Logic'!$J$7:$K$11,2,FALSE)&amp;" - Per "&amp;VLOOKUP($C$4,'Writing Logic'!$G$8:$H$14,2,FALSE),YES_Writing_ELA[#Headers],0))=0,"",INDEX(_xlfn.VSTACK(YES_Writing_ELA[#Data],YES_Writing_FLA[#Data]),MATCH($A406,_xlfn.VSTACK(YES_Writing_ELA[Student Number],YES_Writing_FLA[Student Number]),0),MATCH(VLOOKUP(F$7,'Writing Logic'!$J$7:$K$11,2,FALSE)&amp;" - Per "&amp;VLOOKUP($C$4,'Writing Logic'!$G$8:$H$14,2,FALSE),YES_Writing_ELA[#Headers],0)))="INS",'Writing Logic'!$B$7,IF(INDEX(_xlfn.VSTACK(YES_Writing_ELA[#Data],YES_Writing_FLA[#Data]),MATCH($A406,_xlfn.VSTACK(YES_Writing_ELA[Student Number],YES_Writing_FLA[Student Number]),0),MATCH(VLOOKUP(F$7,'Writing Logic'!$J$7:$K$11,2,FALSE)&amp;" - Per "&amp;VLOOKUP($C$4,'Writing Logic'!$G$8:$H$14,2,FALSE),YES_Writing_ELA[#Headers],0))=0,"",INDEX(_xlfn.VSTACK(YES_Writing_ELA[#Data],YES_Writing_FLA[#Data]),MATCH($A406,_xlfn.VSTACK(YES_Writing_ELA[Student Number],YES_Writing_FLA[Student Number]),0),MATCH(VLOOKUP(F$7,'Writing Logic'!$J$7:$K$11,2,FALSE)&amp;" - Per "&amp;VLOOKUP($C$4,'Writing Logic'!$G$8:$H$14,2,FALSE),YES_Writing_ELA[#Headers],0)))),"")</f>
        <v/>
      </c>
      <c r="G406" s="138" t="str">
        <f>IFERROR(IF(IF(INDEX(_xlfn.VSTACK(YES_Writing_ELA[#Data],YES_Writing_FLA[#Data]),MATCH($A406,_xlfn.VSTACK(YES_Writing_ELA[Student Number],YES_Writing_FLA[Student Number]),0),MATCH(VLOOKUP(G$7,'Writing Logic'!$J$7:$K$11,2,FALSE)&amp;" - Per "&amp;VLOOKUP($C$4,'Writing Logic'!$G$8:$H$14,2,FALSE),YES_Writing_ELA[#Headers],0))=0,"",INDEX(_xlfn.VSTACK(YES_Writing_ELA[#Data],YES_Writing_FLA[#Data]),MATCH($A406,_xlfn.VSTACK(YES_Writing_ELA[Student Number],YES_Writing_FLA[Student Number]),0),MATCH(VLOOKUP(G$7,'Writing Logic'!$J$7:$K$11,2,FALSE)&amp;" - Per "&amp;VLOOKUP($C$4,'Writing Logic'!$G$8:$H$14,2,FALSE),YES_Writing_ELA[#Headers],0)))="INS",'Writing Logic'!$B$7,IF(INDEX(_xlfn.VSTACK(YES_Writing_ELA[#Data],YES_Writing_FLA[#Data]),MATCH($A406,_xlfn.VSTACK(YES_Writing_ELA[Student Number],YES_Writing_FLA[Student Number]),0),MATCH(VLOOKUP(G$7,'Writing Logic'!$J$7:$K$11,2,FALSE)&amp;" - Per "&amp;VLOOKUP($C$4,'Writing Logic'!$G$8:$H$14,2,FALSE),YES_Writing_ELA[#Headers],0))=0,"",INDEX(_xlfn.VSTACK(YES_Writing_ELA[#Data],YES_Writing_FLA[#Data]),MATCH($A406,_xlfn.VSTACK(YES_Writing_ELA[Student Number],YES_Writing_FLA[Student Number]),0),MATCH(VLOOKUP(G$7,'Writing Logic'!$J$7:$K$11,2,FALSE)&amp;" - Per "&amp;VLOOKUP($C$4,'Writing Logic'!$G$8:$H$14,2,FALSE),YES_Writing_ELA[#Headers],0)))),"")</f>
        <v/>
      </c>
      <c r="H406" s="223" t="str">
        <f>IFERROR(IF(IF(INDEX(_xlfn.VSTACK(YES_Writing_ELA[#Data],YES_Writing_FLA[#Data]),MATCH($A406,_xlfn.VSTACK(YES_Writing_ELA[Student Number],YES_Writing_FLA[Student Number]),0),MATCH(VLOOKUP(H$7,'Writing Logic'!$J$7:$K$11,2,FALSE)&amp;" - Per "&amp;VLOOKUP($C$4,'Writing Logic'!$G$8:$H$14,2,FALSE),YES_Writing_ELA[#Headers],0))=0,"",INDEX(_xlfn.VSTACK(YES_Writing_ELA[#Data],YES_Writing_FLA[#Data]),MATCH($A406,_xlfn.VSTACK(YES_Writing_ELA[Student Number],YES_Writing_FLA[Student Number]),0),MATCH(VLOOKUP(H$7,'Writing Logic'!$J$7:$K$11,2,FALSE)&amp;" - Per "&amp;VLOOKUP($C$4,'Writing Logic'!$G$8:$H$14,2,FALSE),YES_Writing_ELA[#Headers],0)))="INS",'Writing Logic'!$B$7,IF(INDEX(_xlfn.VSTACK(YES_Writing_ELA[#Data],YES_Writing_FLA[#Data]),MATCH($A406,_xlfn.VSTACK(YES_Writing_ELA[Student Number],YES_Writing_FLA[Student Number]),0),MATCH(VLOOKUP(H$7,'Writing Logic'!$J$7:$K$11,2,FALSE)&amp;" - Per "&amp;VLOOKUP($C$4,'Writing Logic'!$G$8:$H$14,2,FALSE),YES_Writing_ELA[#Headers],0))=0,"",INDEX(_xlfn.VSTACK(YES_Writing_ELA[#Data],YES_Writing_FLA[#Data]),MATCH($A406,_xlfn.VSTACK(YES_Writing_ELA[Student Number],YES_Writing_FLA[Student Number]),0),MATCH(VLOOKUP(H$7,'Writing Logic'!$J$7:$K$11,2,FALSE)&amp;" - Per "&amp;VLOOKUP($C$4,'Writing Logic'!$G$8:$H$14,2,FALSE),YES_Writing_ELA[#Headers],0)))),"")</f>
        <v/>
      </c>
      <c r="I406" s="224" t="str" cm="1">
        <f t="array" aca="1" ref="I406" ca="1">IFERROR(
IF($G$3="ELA",
IF(VLOOKUP($A406, YES_Reading_ELA[], COLUMN(INDIRECT("YES_Reading_ELA[Difference - Per "&amp;VLOOKUP($G$4, 'Reading Report Logic'!$A$2:$B$8, 2, FALSE)&amp;"]")), FALSE)="", "",
VLOOKUP($A406,YES_Reading_ELA[], COLUMN(INDIRECT("YES_Reading_ELA[Difference - Per "&amp;VLOOKUP($G$4,'Reading Report Logic'!$A$2:$B$8,2,FALSE)&amp;"]")), FALSE)),
IF($G$3="FLA",
IF(VLOOKUP($A406, YES_Reading_FLA[], COLUMN(INDIRECT("YES_Reading_FLA[Difference - Per "&amp;VLOOKUP($G$4,'Reading Report Logic'!$A$2:$B$8,2,FALSE)&amp;"]")),FALSE)="","",
VLOOKUP($A406,YES_Reading_FLA[],COLUMN(INDIRECT("YES_Reading_FLA[Difference - Per "&amp;VLOOKUP($G$4,'Reading Report Logic'!$A$2:$B$8,2,FALSE)&amp;"]")),FALSE)),
IF($G$3="Combined",
IFERROR(
IF(VLOOKUP($A406, YES_Reading_ELA[], COLUMN(INDIRECT("YES_Reading_ELA[Difference - Per "&amp;VLOOKUP($G$4, 'Reading Report Logic'!$A$2:$B$8,2,FALSE)&amp;"]")), FALSE)="", "",
VLOOKUP($A406,YES_Reading_ELA[],COLUMN(INDIRECT("YES_Reading_ELA[Difference - Per "&amp;VLOOKUP($G$4,'Reading Report Logic'!$A$2:$B$8,2,FALSE)&amp;"]")),FALSE)),
IF(VLOOKUP($A406, YES_Reading_FLA[], COLUMN(INDIRECT("YES_Reading_FLA[Difference - Per "&amp;VLOOKUP($G$4, 'Reading Report Logic'!$A$2:$B$8, 2, FALSE)&amp;"]")),FALSE)="", "", VLOOKUP($A406,YES_Reading_FLA[],COLUMN(INDIRECT("YES_Reading_FLA[Difference - Per "&amp;VLOOKUP($G$4, 'Reading Report Logic'!$A$2:$B$8, 2, FALSE)&amp;"]")),FALSE))),""))),"")</f>
        <v/>
      </c>
    </row>
    <row r="407" spans="1:9" x14ac:dyDescent="0.25">
      <c r="A407" s="137"/>
      <c r="B407" s="137" t="str">
        <f>IFERROR(INDEX(_xlfn.VSTACK(YES_Writing_ELA[#Data], YES_Writing_FLA[#Data]),MATCH($A407,_xlfn.VSTACK(YES_Writing_ELA[Student Number], YES_Writing_FLA[Student Number]),0),MATCH(B$7,YES_Writing_ELA[#Headers],0)),IFERROR(INDEX(_xlfn.VSTACK(YES_Reading_ELA[#Data], YES_Reading_FLA[#Data]),MATCH($A407,_xlfn.VSTACK(YES_Reading_ELA[Student Number], YES_Reading_FLA[Student Number]),0),MATCH(B$7,YES_Reading_ELA[#Headers],0)),""))</f>
        <v/>
      </c>
      <c r="C407" s="137" t="str">
        <f>IFERROR(INDEX(_xlfn.VSTACK(YES_Writing_ELA[#Data], YES_Writing_FLA[#Data]),MATCH($A407,_xlfn.VSTACK(YES_Writing_ELA[Student Number], YES_Writing_FLA[Student Number]),0),MATCH(C$7,YES_Writing_ELA[#Headers],0)),IFERROR(INDEX(_xlfn.VSTACK(YES_Reading_ELA[#Data], YES_Reading_FLA[#Data]),MATCH($A407,_xlfn.VSTACK(YES_Reading_ELA[Student Number], YES_Reading_FLA[Student Number]),0),MATCH(C$7,YES_Reading_ELA[#Headers],0)),""))</f>
        <v/>
      </c>
      <c r="D407" s="138" t="str">
        <f>IFERROR(IF(IF(INDEX(_xlfn.VSTACK(YES_Writing_ELA[#Data],YES_Writing_FLA[#Data]),MATCH($A407,_xlfn.VSTACK(YES_Writing_ELA[Student Number],YES_Writing_FLA[Student Number]),0),MATCH(VLOOKUP(D$7,'Writing Logic'!$J$7:$K$11,2,FALSE)&amp;" - Per "&amp;VLOOKUP($C$4,'Writing Logic'!$G$8:$H$14,2,FALSE),YES_Writing_ELA[#Headers],0))=0,"",INDEX(_xlfn.VSTACK(YES_Writing_ELA[#Data],YES_Writing_FLA[#Data]),MATCH($A407,_xlfn.VSTACK(YES_Writing_ELA[Student Number],YES_Writing_FLA[Student Number]),0),MATCH(VLOOKUP(D$7,'Writing Logic'!$J$7:$K$11,2,FALSE)&amp;" - Per "&amp;VLOOKUP($C$4,'Writing Logic'!$G$8:$H$14,2,FALSE),YES_Writing_ELA[#Headers],0)))="INS",'Writing Logic'!$B$7,IF(INDEX(_xlfn.VSTACK(YES_Writing_ELA[#Data],YES_Writing_FLA[#Data]),MATCH($A407,_xlfn.VSTACK(YES_Writing_ELA[Student Number],YES_Writing_FLA[Student Number]),0),MATCH(VLOOKUP(D$7,'Writing Logic'!$J$7:$K$11,2,FALSE)&amp;" - Per "&amp;VLOOKUP($C$4,'Writing Logic'!$G$8:$H$14,2,FALSE),YES_Writing_ELA[#Headers],0))=0,"",INDEX(_xlfn.VSTACK(YES_Writing_ELA[#Data],YES_Writing_FLA[#Data]),MATCH($A407,_xlfn.VSTACK(YES_Writing_ELA[Student Number],YES_Writing_FLA[Student Number]),0),MATCH(VLOOKUP(D$7,'Writing Logic'!$J$7:$K$11,2,FALSE)&amp;" - Per "&amp;VLOOKUP($C$4,'Writing Logic'!$G$8:$H$14,2,FALSE),YES_Writing_ELA[#Headers],0)))),"")</f>
        <v/>
      </c>
      <c r="E407" s="138" t="str">
        <f>IFERROR(IF(IF(INDEX(_xlfn.VSTACK(YES_Writing_ELA[#Data],YES_Writing_FLA[#Data]),MATCH($A407,_xlfn.VSTACK(YES_Writing_ELA[Student Number],YES_Writing_FLA[Student Number]),0),MATCH(VLOOKUP(E$7,'Writing Logic'!$J$7:$K$11,2,FALSE)&amp;" - Per "&amp;VLOOKUP($C$4,'Writing Logic'!$G$8:$H$14,2,FALSE),YES_Writing_ELA[#Headers],0))=0,"",INDEX(_xlfn.VSTACK(YES_Writing_ELA[#Data],YES_Writing_FLA[#Data]),MATCH($A407,_xlfn.VSTACK(YES_Writing_ELA[Student Number],YES_Writing_FLA[Student Number]),0),MATCH(VLOOKUP(E$7,'Writing Logic'!$J$7:$K$11,2,FALSE)&amp;" - Per "&amp;VLOOKUP($C$4,'Writing Logic'!$G$8:$H$14,2,FALSE),YES_Writing_ELA[#Headers],0)))="INS",'Writing Logic'!$B$7,IF(INDEX(_xlfn.VSTACK(YES_Writing_ELA[#Data],YES_Writing_FLA[#Data]),MATCH($A407,_xlfn.VSTACK(YES_Writing_ELA[Student Number],YES_Writing_FLA[Student Number]),0),MATCH(VLOOKUP(E$7,'Writing Logic'!$J$7:$K$11,2,FALSE)&amp;" - Per "&amp;VLOOKUP($C$4,'Writing Logic'!$G$8:$H$14,2,FALSE),YES_Writing_ELA[#Headers],0))=0,"",INDEX(_xlfn.VSTACK(YES_Writing_ELA[#Data],YES_Writing_FLA[#Data]),MATCH($A407,_xlfn.VSTACK(YES_Writing_ELA[Student Number],YES_Writing_FLA[Student Number]),0),MATCH(VLOOKUP(E$7,'Writing Logic'!$J$7:$K$11,2,FALSE)&amp;" - Per "&amp;VLOOKUP($C$4,'Writing Logic'!$G$8:$H$14,2,FALSE),YES_Writing_ELA[#Headers],0)))),"")</f>
        <v/>
      </c>
      <c r="F407" s="138" t="str">
        <f>IFERROR(IF(IF(INDEX(_xlfn.VSTACK(YES_Writing_ELA[#Data],YES_Writing_FLA[#Data]),MATCH($A407,_xlfn.VSTACK(YES_Writing_ELA[Student Number],YES_Writing_FLA[Student Number]),0),MATCH(VLOOKUP(F$7,'Writing Logic'!$J$7:$K$11,2,FALSE)&amp;" - Per "&amp;VLOOKUP($C$4,'Writing Logic'!$G$8:$H$14,2,FALSE),YES_Writing_ELA[#Headers],0))=0,"",INDEX(_xlfn.VSTACK(YES_Writing_ELA[#Data],YES_Writing_FLA[#Data]),MATCH($A407,_xlfn.VSTACK(YES_Writing_ELA[Student Number],YES_Writing_FLA[Student Number]),0),MATCH(VLOOKUP(F$7,'Writing Logic'!$J$7:$K$11,2,FALSE)&amp;" - Per "&amp;VLOOKUP($C$4,'Writing Logic'!$G$8:$H$14,2,FALSE),YES_Writing_ELA[#Headers],0)))="INS",'Writing Logic'!$B$7,IF(INDEX(_xlfn.VSTACK(YES_Writing_ELA[#Data],YES_Writing_FLA[#Data]),MATCH($A407,_xlfn.VSTACK(YES_Writing_ELA[Student Number],YES_Writing_FLA[Student Number]),0),MATCH(VLOOKUP(F$7,'Writing Logic'!$J$7:$K$11,2,FALSE)&amp;" - Per "&amp;VLOOKUP($C$4,'Writing Logic'!$G$8:$H$14,2,FALSE),YES_Writing_ELA[#Headers],0))=0,"",INDEX(_xlfn.VSTACK(YES_Writing_ELA[#Data],YES_Writing_FLA[#Data]),MATCH($A407,_xlfn.VSTACK(YES_Writing_ELA[Student Number],YES_Writing_FLA[Student Number]),0),MATCH(VLOOKUP(F$7,'Writing Logic'!$J$7:$K$11,2,FALSE)&amp;" - Per "&amp;VLOOKUP($C$4,'Writing Logic'!$G$8:$H$14,2,FALSE),YES_Writing_ELA[#Headers],0)))),"")</f>
        <v/>
      </c>
      <c r="G407" s="138" t="str">
        <f>IFERROR(IF(IF(INDEX(_xlfn.VSTACK(YES_Writing_ELA[#Data],YES_Writing_FLA[#Data]),MATCH($A407,_xlfn.VSTACK(YES_Writing_ELA[Student Number],YES_Writing_FLA[Student Number]),0),MATCH(VLOOKUP(G$7,'Writing Logic'!$J$7:$K$11,2,FALSE)&amp;" - Per "&amp;VLOOKUP($C$4,'Writing Logic'!$G$8:$H$14,2,FALSE),YES_Writing_ELA[#Headers],0))=0,"",INDEX(_xlfn.VSTACK(YES_Writing_ELA[#Data],YES_Writing_FLA[#Data]),MATCH($A407,_xlfn.VSTACK(YES_Writing_ELA[Student Number],YES_Writing_FLA[Student Number]),0),MATCH(VLOOKUP(G$7,'Writing Logic'!$J$7:$K$11,2,FALSE)&amp;" - Per "&amp;VLOOKUP($C$4,'Writing Logic'!$G$8:$H$14,2,FALSE),YES_Writing_ELA[#Headers],0)))="INS",'Writing Logic'!$B$7,IF(INDEX(_xlfn.VSTACK(YES_Writing_ELA[#Data],YES_Writing_FLA[#Data]),MATCH($A407,_xlfn.VSTACK(YES_Writing_ELA[Student Number],YES_Writing_FLA[Student Number]),0),MATCH(VLOOKUP(G$7,'Writing Logic'!$J$7:$K$11,2,FALSE)&amp;" - Per "&amp;VLOOKUP($C$4,'Writing Logic'!$G$8:$H$14,2,FALSE),YES_Writing_ELA[#Headers],0))=0,"",INDEX(_xlfn.VSTACK(YES_Writing_ELA[#Data],YES_Writing_FLA[#Data]),MATCH($A407,_xlfn.VSTACK(YES_Writing_ELA[Student Number],YES_Writing_FLA[Student Number]),0),MATCH(VLOOKUP(G$7,'Writing Logic'!$J$7:$K$11,2,FALSE)&amp;" - Per "&amp;VLOOKUP($C$4,'Writing Logic'!$G$8:$H$14,2,FALSE),YES_Writing_ELA[#Headers],0)))),"")</f>
        <v/>
      </c>
      <c r="H407" s="223" t="str">
        <f>IFERROR(IF(IF(INDEX(_xlfn.VSTACK(YES_Writing_ELA[#Data],YES_Writing_FLA[#Data]),MATCH($A407,_xlfn.VSTACK(YES_Writing_ELA[Student Number],YES_Writing_FLA[Student Number]),0),MATCH(VLOOKUP(H$7,'Writing Logic'!$J$7:$K$11,2,FALSE)&amp;" - Per "&amp;VLOOKUP($C$4,'Writing Logic'!$G$8:$H$14,2,FALSE),YES_Writing_ELA[#Headers],0))=0,"",INDEX(_xlfn.VSTACK(YES_Writing_ELA[#Data],YES_Writing_FLA[#Data]),MATCH($A407,_xlfn.VSTACK(YES_Writing_ELA[Student Number],YES_Writing_FLA[Student Number]),0),MATCH(VLOOKUP(H$7,'Writing Logic'!$J$7:$K$11,2,FALSE)&amp;" - Per "&amp;VLOOKUP($C$4,'Writing Logic'!$G$8:$H$14,2,FALSE),YES_Writing_ELA[#Headers],0)))="INS",'Writing Logic'!$B$7,IF(INDEX(_xlfn.VSTACK(YES_Writing_ELA[#Data],YES_Writing_FLA[#Data]),MATCH($A407,_xlfn.VSTACK(YES_Writing_ELA[Student Number],YES_Writing_FLA[Student Number]),0),MATCH(VLOOKUP(H$7,'Writing Logic'!$J$7:$K$11,2,FALSE)&amp;" - Per "&amp;VLOOKUP($C$4,'Writing Logic'!$G$8:$H$14,2,FALSE),YES_Writing_ELA[#Headers],0))=0,"",INDEX(_xlfn.VSTACK(YES_Writing_ELA[#Data],YES_Writing_FLA[#Data]),MATCH($A407,_xlfn.VSTACK(YES_Writing_ELA[Student Number],YES_Writing_FLA[Student Number]),0),MATCH(VLOOKUP(H$7,'Writing Logic'!$J$7:$K$11,2,FALSE)&amp;" - Per "&amp;VLOOKUP($C$4,'Writing Logic'!$G$8:$H$14,2,FALSE),YES_Writing_ELA[#Headers],0)))),"")</f>
        <v/>
      </c>
      <c r="I407" s="224" t="str" cm="1">
        <f t="array" aca="1" ref="I407" ca="1">IFERROR(
IF($G$3="ELA",
IF(VLOOKUP($A407, YES_Reading_ELA[], COLUMN(INDIRECT("YES_Reading_ELA[Difference - Per "&amp;VLOOKUP($G$4, 'Reading Report Logic'!$A$2:$B$8, 2, FALSE)&amp;"]")), FALSE)="", "",
VLOOKUP($A407,YES_Reading_ELA[], COLUMN(INDIRECT("YES_Reading_ELA[Difference - Per "&amp;VLOOKUP($G$4,'Reading Report Logic'!$A$2:$B$8,2,FALSE)&amp;"]")), FALSE)),
IF($G$3="FLA",
IF(VLOOKUP($A407, YES_Reading_FLA[], COLUMN(INDIRECT("YES_Reading_FLA[Difference - Per "&amp;VLOOKUP($G$4,'Reading Report Logic'!$A$2:$B$8,2,FALSE)&amp;"]")),FALSE)="","",
VLOOKUP($A407,YES_Reading_FLA[],COLUMN(INDIRECT("YES_Reading_FLA[Difference - Per "&amp;VLOOKUP($G$4,'Reading Report Logic'!$A$2:$B$8,2,FALSE)&amp;"]")),FALSE)),
IF($G$3="Combined",
IFERROR(
IF(VLOOKUP($A407, YES_Reading_ELA[], COLUMN(INDIRECT("YES_Reading_ELA[Difference - Per "&amp;VLOOKUP($G$4, 'Reading Report Logic'!$A$2:$B$8,2,FALSE)&amp;"]")), FALSE)="", "",
VLOOKUP($A407,YES_Reading_ELA[],COLUMN(INDIRECT("YES_Reading_ELA[Difference - Per "&amp;VLOOKUP($G$4,'Reading Report Logic'!$A$2:$B$8,2,FALSE)&amp;"]")),FALSE)),
IF(VLOOKUP($A407, YES_Reading_FLA[], COLUMN(INDIRECT("YES_Reading_FLA[Difference - Per "&amp;VLOOKUP($G$4, 'Reading Report Logic'!$A$2:$B$8, 2, FALSE)&amp;"]")),FALSE)="", "", VLOOKUP($A407,YES_Reading_FLA[],COLUMN(INDIRECT("YES_Reading_FLA[Difference - Per "&amp;VLOOKUP($G$4, 'Reading Report Logic'!$A$2:$B$8, 2, FALSE)&amp;"]")),FALSE))),""))),"")</f>
        <v/>
      </c>
    </row>
    <row r="408" spans="1:9" x14ac:dyDescent="0.25">
      <c r="A408" s="137"/>
      <c r="B408" s="137" t="str">
        <f>IFERROR(INDEX(_xlfn.VSTACK(YES_Writing_ELA[#Data], YES_Writing_FLA[#Data]),MATCH($A408,_xlfn.VSTACK(YES_Writing_ELA[Student Number], YES_Writing_FLA[Student Number]),0),MATCH(B$7,YES_Writing_ELA[#Headers],0)),IFERROR(INDEX(_xlfn.VSTACK(YES_Reading_ELA[#Data], YES_Reading_FLA[#Data]),MATCH($A408,_xlfn.VSTACK(YES_Reading_ELA[Student Number], YES_Reading_FLA[Student Number]),0),MATCH(B$7,YES_Reading_ELA[#Headers],0)),""))</f>
        <v/>
      </c>
      <c r="C408" s="137" t="str">
        <f>IFERROR(INDEX(_xlfn.VSTACK(YES_Writing_ELA[#Data], YES_Writing_FLA[#Data]),MATCH($A408,_xlfn.VSTACK(YES_Writing_ELA[Student Number], YES_Writing_FLA[Student Number]),0),MATCH(C$7,YES_Writing_ELA[#Headers],0)),IFERROR(INDEX(_xlfn.VSTACK(YES_Reading_ELA[#Data], YES_Reading_FLA[#Data]),MATCH($A408,_xlfn.VSTACK(YES_Reading_ELA[Student Number], YES_Reading_FLA[Student Number]),0),MATCH(C$7,YES_Reading_ELA[#Headers],0)),""))</f>
        <v/>
      </c>
      <c r="D408" s="138" t="str">
        <f>IFERROR(IF(IF(INDEX(_xlfn.VSTACK(YES_Writing_ELA[#Data],YES_Writing_FLA[#Data]),MATCH($A408,_xlfn.VSTACK(YES_Writing_ELA[Student Number],YES_Writing_FLA[Student Number]),0),MATCH(VLOOKUP(D$7,'Writing Logic'!$J$7:$K$11,2,FALSE)&amp;" - Per "&amp;VLOOKUP($C$4,'Writing Logic'!$G$8:$H$14,2,FALSE),YES_Writing_ELA[#Headers],0))=0,"",INDEX(_xlfn.VSTACK(YES_Writing_ELA[#Data],YES_Writing_FLA[#Data]),MATCH($A408,_xlfn.VSTACK(YES_Writing_ELA[Student Number],YES_Writing_FLA[Student Number]),0),MATCH(VLOOKUP(D$7,'Writing Logic'!$J$7:$K$11,2,FALSE)&amp;" - Per "&amp;VLOOKUP($C$4,'Writing Logic'!$G$8:$H$14,2,FALSE),YES_Writing_ELA[#Headers],0)))="INS",'Writing Logic'!$B$7,IF(INDEX(_xlfn.VSTACK(YES_Writing_ELA[#Data],YES_Writing_FLA[#Data]),MATCH($A408,_xlfn.VSTACK(YES_Writing_ELA[Student Number],YES_Writing_FLA[Student Number]),0),MATCH(VLOOKUP(D$7,'Writing Logic'!$J$7:$K$11,2,FALSE)&amp;" - Per "&amp;VLOOKUP($C$4,'Writing Logic'!$G$8:$H$14,2,FALSE),YES_Writing_ELA[#Headers],0))=0,"",INDEX(_xlfn.VSTACK(YES_Writing_ELA[#Data],YES_Writing_FLA[#Data]),MATCH($A408,_xlfn.VSTACK(YES_Writing_ELA[Student Number],YES_Writing_FLA[Student Number]),0),MATCH(VLOOKUP(D$7,'Writing Logic'!$J$7:$K$11,2,FALSE)&amp;" - Per "&amp;VLOOKUP($C$4,'Writing Logic'!$G$8:$H$14,2,FALSE),YES_Writing_ELA[#Headers],0)))),"")</f>
        <v/>
      </c>
      <c r="E408" s="138" t="str">
        <f>IFERROR(IF(IF(INDEX(_xlfn.VSTACK(YES_Writing_ELA[#Data],YES_Writing_FLA[#Data]),MATCH($A408,_xlfn.VSTACK(YES_Writing_ELA[Student Number],YES_Writing_FLA[Student Number]),0),MATCH(VLOOKUP(E$7,'Writing Logic'!$J$7:$K$11,2,FALSE)&amp;" - Per "&amp;VLOOKUP($C$4,'Writing Logic'!$G$8:$H$14,2,FALSE),YES_Writing_ELA[#Headers],0))=0,"",INDEX(_xlfn.VSTACK(YES_Writing_ELA[#Data],YES_Writing_FLA[#Data]),MATCH($A408,_xlfn.VSTACK(YES_Writing_ELA[Student Number],YES_Writing_FLA[Student Number]),0),MATCH(VLOOKUP(E$7,'Writing Logic'!$J$7:$K$11,2,FALSE)&amp;" - Per "&amp;VLOOKUP($C$4,'Writing Logic'!$G$8:$H$14,2,FALSE),YES_Writing_ELA[#Headers],0)))="INS",'Writing Logic'!$B$7,IF(INDEX(_xlfn.VSTACK(YES_Writing_ELA[#Data],YES_Writing_FLA[#Data]),MATCH($A408,_xlfn.VSTACK(YES_Writing_ELA[Student Number],YES_Writing_FLA[Student Number]),0),MATCH(VLOOKUP(E$7,'Writing Logic'!$J$7:$K$11,2,FALSE)&amp;" - Per "&amp;VLOOKUP($C$4,'Writing Logic'!$G$8:$H$14,2,FALSE),YES_Writing_ELA[#Headers],0))=0,"",INDEX(_xlfn.VSTACK(YES_Writing_ELA[#Data],YES_Writing_FLA[#Data]),MATCH($A408,_xlfn.VSTACK(YES_Writing_ELA[Student Number],YES_Writing_FLA[Student Number]),0),MATCH(VLOOKUP(E$7,'Writing Logic'!$J$7:$K$11,2,FALSE)&amp;" - Per "&amp;VLOOKUP($C$4,'Writing Logic'!$G$8:$H$14,2,FALSE),YES_Writing_ELA[#Headers],0)))),"")</f>
        <v/>
      </c>
      <c r="F408" s="138" t="str">
        <f>IFERROR(IF(IF(INDEX(_xlfn.VSTACK(YES_Writing_ELA[#Data],YES_Writing_FLA[#Data]),MATCH($A408,_xlfn.VSTACK(YES_Writing_ELA[Student Number],YES_Writing_FLA[Student Number]),0),MATCH(VLOOKUP(F$7,'Writing Logic'!$J$7:$K$11,2,FALSE)&amp;" - Per "&amp;VLOOKUP($C$4,'Writing Logic'!$G$8:$H$14,2,FALSE),YES_Writing_ELA[#Headers],0))=0,"",INDEX(_xlfn.VSTACK(YES_Writing_ELA[#Data],YES_Writing_FLA[#Data]),MATCH($A408,_xlfn.VSTACK(YES_Writing_ELA[Student Number],YES_Writing_FLA[Student Number]),0),MATCH(VLOOKUP(F$7,'Writing Logic'!$J$7:$K$11,2,FALSE)&amp;" - Per "&amp;VLOOKUP($C$4,'Writing Logic'!$G$8:$H$14,2,FALSE),YES_Writing_ELA[#Headers],0)))="INS",'Writing Logic'!$B$7,IF(INDEX(_xlfn.VSTACK(YES_Writing_ELA[#Data],YES_Writing_FLA[#Data]),MATCH($A408,_xlfn.VSTACK(YES_Writing_ELA[Student Number],YES_Writing_FLA[Student Number]),0),MATCH(VLOOKUP(F$7,'Writing Logic'!$J$7:$K$11,2,FALSE)&amp;" - Per "&amp;VLOOKUP($C$4,'Writing Logic'!$G$8:$H$14,2,FALSE),YES_Writing_ELA[#Headers],0))=0,"",INDEX(_xlfn.VSTACK(YES_Writing_ELA[#Data],YES_Writing_FLA[#Data]),MATCH($A408,_xlfn.VSTACK(YES_Writing_ELA[Student Number],YES_Writing_FLA[Student Number]),0),MATCH(VLOOKUP(F$7,'Writing Logic'!$J$7:$K$11,2,FALSE)&amp;" - Per "&amp;VLOOKUP($C$4,'Writing Logic'!$G$8:$H$14,2,FALSE),YES_Writing_ELA[#Headers],0)))),"")</f>
        <v/>
      </c>
      <c r="G408" s="138" t="str">
        <f>IFERROR(IF(IF(INDEX(_xlfn.VSTACK(YES_Writing_ELA[#Data],YES_Writing_FLA[#Data]),MATCH($A408,_xlfn.VSTACK(YES_Writing_ELA[Student Number],YES_Writing_FLA[Student Number]),0),MATCH(VLOOKUP(G$7,'Writing Logic'!$J$7:$K$11,2,FALSE)&amp;" - Per "&amp;VLOOKUP($C$4,'Writing Logic'!$G$8:$H$14,2,FALSE),YES_Writing_ELA[#Headers],0))=0,"",INDEX(_xlfn.VSTACK(YES_Writing_ELA[#Data],YES_Writing_FLA[#Data]),MATCH($A408,_xlfn.VSTACK(YES_Writing_ELA[Student Number],YES_Writing_FLA[Student Number]),0),MATCH(VLOOKUP(G$7,'Writing Logic'!$J$7:$K$11,2,FALSE)&amp;" - Per "&amp;VLOOKUP($C$4,'Writing Logic'!$G$8:$H$14,2,FALSE),YES_Writing_ELA[#Headers],0)))="INS",'Writing Logic'!$B$7,IF(INDEX(_xlfn.VSTACK(YES_Writing_ELA[#Data],YES_Writing_FLA[#Data]),MATCH($A408,_xlfn.VSTACK(YES_Writing_ELA[Student Number],YES_Writing_FLA[Student Number]),0),MATCH(VLOOKUP(G$7,'Writing Logic'!$J$7:$K$11,2,FALSE)&amp;" - Per "&amp;VLOOKUP($C$4,'Writing Logic'!$G$8:$H$14,2,FALSE),YES_Writing_ELA[#Headers],0))=0,"",INDEX(_xlfn.VSTACK(YES_Writing_ELA[#Data],YES_Writing_FLA[#Data]),MATCH($A408,_xlfn.VSTACK(YES_Writing_ELA[Student Number],YES_Writing_FLA[Student Number]),0),MATCH(VLOOKUP(G$7,'Writing Logic'!$J$7:$K$11,2,FALSE)&amp;" - Per "&amp;VLOOKUP($C$4,'Writing Logic'!$G$8:$H$14,2,FALSE),YES_Writing_ELA[#Headers],0)))),"")</f>
        <v/>
      </c>
      <c r="H408" s="223" t="str">
        <f>IFERROR(IF(IF(INDEX(_xlfn.VSTACK(YES_Writing_ELA[#Data],YES_Writing_FLA[#Data]),MATCH($A408,_xlfn.VSTACK(YES_Writing_ELA[Student Number],YES_Writing_FLA[Student Number]),0),MATCH(VLOOKUP(H$7,'Writing Logic'!$J$7:$K$11,2,FALSE)&amp;" - Per "&amp;VLOOKUP($C$4,'Writing Logic'!$G$8:$H$14,2,FALSE),YES_Writing_ELA[#Headers],0))=0,"",INDEX(_xlfn.VSTACK(YES_Writing_ELA[#Data],YES_Writing_FLA[#Data]),MATCH($A408,_xlfn.VSTACK(YES_Writing_ELA[Student Number],YES_Writing_FLA[Student Number]),0),MATCH(VLOOKUP(H$7,'Writing Logic'!$J$7:$K$11,2,FALSE)&amp;" - Per "&amp;VLOOKUP($C$4,'Writing Logic'!$G$8:$H$14,2,FALSE),YES_Writing_ELA[#Headers],0)))="INS",'Writing Logic'!$B$7,IF(INDEX(_xlfn.VSTACK(YES_Writing_ELA[#Data],YES_Writing_FLA[#Data]),MATCH($A408,_xlfn.VSTACK(YES_Writing_ELA[Student Number],YES_Writing_FLA[Student Number]),0),MATCH(VLOOKUP(H$7,'Writing Logic'!$J$7:$K$11,2,FALSE)&amp;" - Per "&amp;VLOOKUP($C$4,'Writing Logic'!$G$8:$H$14,2,FALSE),YES_Writing_ELA[#Headers],0))=0,"",INDEX(_xlfn.VSTACK(YES_Writing_ELA[#Data],YES_Writing_FLA[#Data]),MATCH($A408,_xlfn.VSTACK(YES_Writing_ELA[Student Number],YES_Writing_FLA[Student Number]),0),MATCH(VLOOKUP(H$7,'Writing Logic'!$J$7:$K$11,2,FALSE)&amp;" - Per "&amp;VLOOKUP($C$4,'Writing Logic'!$G$8:$H$14,2,FALSE),YES_Writing_ELA[#Headers],0)))),"")</f>
        <v/>
      </c>
      <c r="I408" s="224" t="str" cm="1">
        <f t="array" aca="1" ref="I408" ca="1">IFERROR(
IF($G$3="ELA",
IF(VLOOKUP($A408, YES_Reading_ELA[], COLUMN(INDIRECT("YES_Reading_ELA[Difference - Per "&amp;VLOOKUP($G$4, 'Reading Report Logic'!$A$2:$B$8, 2, FALSE)&amp;"]")), FALSE)="", "",
VLOOKUP($A408,YES_Reading_ELA[], COLUMN(INDIRECT("YES_Reading_ELA[Difference - Per "&amp;VLOOKUP($G$4,'Reading Report Logic'!$A$2:$B$8,2,FALSE)&amp;"]")), FALSE)),
IF($G$3="FLA",
IF(VLOOKUP($A408, YES_Reading_FLA[], COLUMN(INDIRECT("YES_Reading_FLA[Difference - Per "&amp;VLOOKUP($G$4,'Reading Report Logic'!$A$2:$B$8,2,FALSE)&amp;"]")),FALSE)="","",
VLOOKUP($A408,YES_Reading_FLA[],COLUMN(INDIRECT("YES_Reading_FLA[Difference - Per "&amp;VLOOKUP($G$4,'Reading Report Logic'!$A$2:$B$8,2,FALSE)&amp;"]")),FALSE)),
IF($G$3="Combined",
IFERROR(
IF(VLOOKUP($A408, YES_Reading_ELA[], COLUMN(INDIRECT("YES_Reading_ELA[Difference - Per "&amp;VLOOKUP($G$4, 'Reading Report Logic'!$A$2:$B$8,2,FALSE)&amp;"]")), FALSE)="", "",
VLOOKUP($A408,YES_Reading_ELA[],COLUMN(INDIRECT("YES_Reading_ELA[Difference - Per "&amp;VLOOKUP($G$4,'Reading Report Logic'!$A$2:$B$8,2,FALSE)&amp;"]")),FALSE)),
IF(VLOOKUP($A408, YES_Reading_FLA[], COLUMN(INDIRECT("YES_Reading_FLA[Difference - Per "&amp;VLOOKUP($G$4, 'Reading Report Logic'!$A$2:$B$8, 2, FALSE)&amp;"]")),FALSE)="", "", VLOOKUP($A408,YES_Reading_FLA[],COLUMN(INDIRECT("YES_Reading_FLA[Difference - Per "&amp;VLOOKUP($G$4, 'Reading Report Logic'!$A$2:$B$8, 2, FALSE)&amp;"]")),FALSE))),""))),"")</f>
        <v/>
      </c>
    </row>
    <row r="409" spans="1:9" x14ac:dyDescent="0.25">
      <c r="A409" s="137"/>
      <c r="B409" s="137" t="str">
        <f>IFERROR(INDEX(_xlfn.VSTACK(YES_Writing_ELA[#Data], YES_Writing_FLA[#Data]),MATCH($A409,_xlfn.VSTACK(YES_Writing_ELA[Student Number], YES_Writing_FLA[Student Number]),0),MATCH(B$7,YES_Writing_ELA[#Headers],0)),IFERROR(INDEX(_xlfn.VSTACK(YES_Reading_ELA[#Data], YES_Reading_FLA[#Data]),MATCH($A409,_xlfn.VSTACK(YES_Reading_ELA[Student Number], YES_Reading_FLA[Student Number]),0),MATCH(B$7,YES_Reading_ELA[#Headers],0)),""))</f>
        <v/>
      </c>
      <c r="C409" s="137" t="str">
        <f>IFERROR(INDEX(_xlfn.VSTACK(YES_Writing_ELA[#Data], YES_Writing_FLA[#Data]),MATCH($A409,_xlfn.VSTACK(YES_Writing_ELA[Student Number], YES_Writing_FLA[Student Number]),0),MATCH(C$7,YES_Writing_ELA[#Headers],0)),IFERROR(INDEX(_xlfn.VSTACK(YES_Reading_ELA[#Data], YES_Reading_FLA[#Data]),MATCH($A409,_xlfn.VSTACK(YES_Reading_ELA[Student Number], YES_Reading_FLA[Student Number]),0),MATCH(C$7,YES_Reading_ELA[#Headers],0)),""))</f>
        <v/>
      </c>
      <c r="D409" s="138" t="str">
        <f>IFERROR(IF(IF(INDEX(_xlfn.VSTACK(YES_Writing_ELA[#Data],YES_Writing_FLA[#Data]),MATCH($A409,_xlfn.VSTACK(YES_Writing_ELA[Student Number],YES_Writing_FLA[Student Number]),0),MATCH(VLOOKUP(D$7,'Writing Logic'!$J$7:$K$11,2,FALSE)&amp;" - Per "&amp;VLOOKUP($C$4,'Writing Logic'!$G$8:$H$14,2,FALSE),YES_Writing_ELA[#Headers],0))=0,"",INDEX(_xlfn.VSTACK(YES_Writing_ELA[#Data],YES_Writing_FLA[#Data]),MATCH($A409,_xlfn.VSTACK(YES_Writing_ELA[Student Number],YES_Writing_FLA[Student Number]),0),MATCH(VLOOKUP(D$7,'Writing Logic'!$J$7:$K$11,2,FALSE)&amp;" - Per "&amp;VLOOKUP($C$4,'Writing Logic'!$G$8:$H$14,2,FALSE),YES_Writing_ELA[#Headers],0)))="INS",'Writing Logic'!$B$7,IF(INDEX(_xlfn.VSTACK(YES_Writing_ELA[#Data],YES_Writing_FLA[#Data]),MATCH($A409,_xlfn.VSTACK(YES_Writing_ELA[Student Number],YES_Writing_FLA[Student Number]),0),MATCH(VLOOKUP(D$7,'Writing Logic'!$J$7:$K$11,2,FALSE)&amp;" - Per "&amp;VLOOKUP($C$4,'Writing Logic'!$G$8:$H$14,2,FALSE),YES_Writing_ELA[#Headers],0))=0,"",INDEX(_xlfn.VSTACK(YES_Writing_ELA[#Data],YES_Writing_FLA[#Data]),MATCH($A409,_xlfn.VSTACK(YES_Writing_ELA[Student Number],YES_Writing_FLA[Student Number]),0),MATCH(VLOOKUP(D$7,'Writing Logic'!$J$7:$K$11,2,FALSE)&amp;" - Per "&amp;VLOOKUP($C$4,'Writing Logic'!$G$8:$H$14,2,FALSE),YES_Writing_ELA[#Headers],0)))),"")</f>
        <v/>
      </c>
      <c r="E409" s="138" t="str">
        <f>IFERROR(IF(IF(INDEX(_xlfn.VSTACK(YES_Writing_ELA[#Data],YES_Writing_FLA[#Data]),MATCH($A409,_xlfn.VSTACK(YES_Writing_ELA[Student Number],YES_Writing_FLA[Student Number]),0),MATCH(VLOOKUP(E$7,'Writing Logic'!$J$7:$K$11,2,FALSE)&amp;" - Per "&amp;VLOOKUP($C$4,'Writing Logic'!$G$8:$H$14,2,FALSE),YES_Writing_ELA[#Headers],0))=0,"",INDEX(_xlfn.VSTACK(YES_Writing_ELA[#Data],YES_Writing_FLA[#Data]),MATCH($A409,_xlfn.VSTACK(YES_Writing_ELA[Student Number],YES_Writing_FLA[Student Number]),0),MATCH(VLOOKUP(E$7,'Writing Logic'!$J$7:$K$11,2,FALSE)&amp;" - Per "&amp;VLOOKUP($C$4,'Writing Logic'!$G$8:$H$14,2,FALSE),YES_Writing_ELA[#Headers],0)))="INS",'Writing Logic'!$B$7,IF(INDEX(_xlfn.VSTACK(YES_Writing_ELA[#Data],YES_Writing_FLA[#Data]),MATCH($A409,_xlfn.VSTACK(YES_Writing_ELA[Student Number],YES_Writing_FLA[Student Number]),0),MATCH(VLOOKUP(E$7,'Writing Logic'!$J$7:$K$11,2,FALSE)&amp;" - Per "&amp;VLOOKUP($C$4,'Writing Logic'!$G$8:$H$14,2,FALSE),YES_Writing_ELA[#Headers],0))=0,"",INDEX(_xlfn.VSTACK(YES_Writing_ELA[#Data],YES_Writing_FLA[#Data]),MATCH($A409,_xlfn.VSTACK(YES_Writing_ELA[Student Number],YES_Writing_FLA[Student Number]),0),MATCH(VLOOKUP(E$7,'Writing Logic'!$J$7:$K$11,2,FALSE)&amp;" - Per "&amp;VLOOKUP($C$4,'Writing Logic'!$G$8:$H$14,2,FALSE),YES_Writing_ELA[#Headers],0)))),"")</f>
        <v/>
      </c>
      <c r="F409" s="138" t="str">
        <f>IFERROR(IF(IF(INDEX(_xlfn.VSTACK(YES_Writing_ELA[#Data],YES_Writing_FLA[#Data]),MATCH($A409,_xlfn.VSTACK(YES_Writing_ELA[Student Number],YES_Writing_FLA[Student Number]),0),MATCH(VLOOKUP(F$7,'Writing Logic'!$J$7:$K$11,2,FALSE)&amp;" - Per "&amp;VLOOKUP($C$4,'Writing Logic'!$G$8:$H$14,2,FALSE),YES_Writing_ELA[#Headers],0))=0,"",INDEX(_xlfn.VSTACK(YES_Writing_ELA[#Data],YES_Writing_FLA[#Data]),MATCH($A409,_xlfn.VSTACK(YES_Writing_ELA[Student Number],YES_Writing_FLA[Student Number]),0),MATCH(VLOOKUP(F$7,'Writing Logic'!$J$7:$K$11,2,FALSE)&amp;" - Per "&amp;VLOOKUP($C$4,'Writing Logic'!$G$8:$H$14,2,FALSE),YES_Writing_ELA[#Headers],0)))="INS",'Writing Logic'!$B$7,IF(INDEX(_xlfn.VSTACK(YES_Writing_ELA[#Data],YES_Writing_FLA[#Data]),MATCH($A409,_xlfn.VSTACK(YES_Writing_ELA[Student Number],YES_Writing_FLA[Student Number]),0),MATCH(VLOOKUP(F$7,'Writing Logic'!$J$7:$K$11,2,FALSE)&amp;" - Per "&amp;VLOOKUP($C$4,'Writing Logic'!$G$8:$H$14,2,FALSE),YES_Writing_ELA[#Headers],0))=0,"",INDEX(_xlfn.VSTACK(YES_Writing_ELA[#Data],YES_Writing_FLA[#Data]),MATCH($A409,_xlfn.VSTACK(YES_Writing_ELA[Student Number],YES_Writing_FLA[Student Number]),0),MATCH(VLOOKUP(F$7,'Writing Logic'!$J$7:$K$11,2,FALSE)&amp;" - Per "&amp;VLOOKUP($C$4,'Writing Logic'!$G$8:$H$14,2,FALSE),YES_Writing_ELA[#Headers],0)))),"")</f>
        <v/>
      </c>
      <c r="G409" s="138" t="str">
        <f>IFERROR(IF(IF(INDEX(_xlfn.VSTACK(YES_Writing_ELA[#Data],YES_Writing_FLA[#Data]),MATCH($A409,_xlfn.VSTACK(YES_Writing_ELA[Student Number],YES_Writing_FLA[Student Number]),0),MATCH(VLOOKUP(G$7,'Writing Logic'!$J$7:$K$11,2,FALSE)&amp;" - Per "&amp;VLOOKUP($C$4,'Writing Logic'!$G$8:$H$14,2,FALSE),YES_Writing_ELA[#Headers],0))=0,"",INDEX(_xlfn.VSTACK(YES_Writing_ELA[#Data],YES_Writing_FLA[#Data]),MATCH($A409,_xlfn.VSTACK(YES_Writing_ELA[Student Number],YES_Writing_FLA[Student Number]),0),MATCH(VLOOKUP(G$7,'Writing Logic'!$J$7:$K$11,2,FALSE)&amp;" - Per "&amp;VLOOKUP($C$4,'Writing Logic'!$G$8:$H$14,2,FALSE),YES_Writing_ELA[#Headers],0)))="INS",'Writing Logic'!$B$7,IF(INDEX(_xlfn.VSTACK(YES_Writing_ELA[#Data],YES_Writing_FLA[#Data]),MATCH($A409,_xlfn.VSTACK(YES_Writing_ELA[Student Number],YES_Writing_FLA[Student Number]),0),MATCH(VLOOKUP(G$7,'Writing Logic'!$J$7:$K$11,2,FALSE)&amp;" - Per "&amp;VLOOKUP($C$4,'Writing Logic'!$G$8:$H$14,2,FALSE),YES_Writing_ELA[#Headers],0))=0,"",INDEX(_xlfn.VSTACK(YES_Writing_ELA[#Data],YES_Writing_FLA[#Data]),MATCH($A409,_xlfn.VSTACK(YES_Writing_ELA[Student Number],YES_Writing_FLA[Student Number]),0),MATCH(VLOOKUP(G$7,'Writing Logic'!$J$7:$K$11,2,FALSE)&amp;" - Per "&amp;VLOOKUP($C$4,'Writing Logic'!$G$8:$H$14,2,FALSE),YES_Writing_ELA[#Headers],0)))),"")</f>
        <v/>
      </c>
      <c r="H409" s="223" t="str">
        <f>IFERROR(IF(IF(INDEX(_xlfn.VSTACK(YES_Writing_ELA[#Data],YES_Writing_FLA[#Data]),MATCH($A409,_xlfn.VSTACK(YES_Writing_ELA[Student Number],YES_Writing_FLA[Student Number]),0),MATCH(VLOOKUP(H$7,'Writing Logic'!$J$7:$K$11,2,FALSE)&amp;" - Per "&amp;VLOOKUP($C$4,'Writing Logic'!$G$8:$H$14,2,FALSE),YES_Writing_ELA[#Headers],0))=0,"",INDEX(_xlfn.VSTACK(YES_Writing_ELA[#Data],YES_Writing_FLA[#Data]),MATCH($A409,_xlfn.VSTACK(YES_Writing_ELA[Student Number],YES_Writing_FLA[Student Number]),0),MATCH(VLOOKUP(H$7,'Writing Logic'!$J$7:$K$11,2,FALSE)&amp;" - Per "&amp;VLOOKUP($C$4,'Writing Logic'!$G$8:$H$14,2,FALSE),YES_Writing_ELA[#Headers],0)))="INS",'Writing Logic'!$B$7,IF(INDEX(_xlfn.VSTACK(YES_Writing_ELA[#Data],YES_Writing_FLA[#Data]),MATCH($A409,_xlfn.VSTACK(YES_Writing_ELA[Student Number],YES_Writing_FLA[Student Number]),0),MATCH(VLOOKUP(H$7,'Writing Logic'!$J$7:$K$11,2,FALSE)&amp;" - Per "&amp;VLOOKUP($C$4,'Writing Logic'!$G$8:$H$14,2,FALSE),YES_Writing_ELA[#Headers],0))=0,"",INDEX(_xlfn.VSTACK(YES_Writing_ELA[#Data],YES_Writing_FLA[#Data]),MATCH($A409,_xlfn.VSTACK(YES_Writing_ELA[Student Number],YES_Writing_FLA[Student Number]),0),MATCH(VLOOKUP(H$7,'Writing Logic'!$J$7:$K$11,2,FALSE)&amp;" - Per "&amp;VLOOKUP($C$4,'Writing Logic'!$G$8:$H$14,2,FALSE),YES_Writing_ELA[#Headers],0)))),"")</f>
        <v/>
      </c>
      <c r="I409" s="224" t="str" cm="1">
        <f t="array" aca="1" ref="I409" ca="1">IFERROR(
IF($G$3="ELA",
IF(VLOOKUP($A409, YES_Reading_ELA[], COLUMN(INDIRECT("YES_Reading_ELA[Difference - Per "&amp;VLOOKUP($G$4, 'Reading Report Logic'!$A$2:$B$8, 2, FALSE)&amp;"]")), FALSE)="", "",
VLOOKUP($A409,YES_Reading_ELA[], COLUMN(INDIRECT("YES_Reading_ELA[Difference - Per "&amp;VLOOKUP($G$4,'Reading Report Logic'!$A$2:$B$8,2,FALSE)&amp;"]")), FALSE)),
IF($G$3="FLA",
IF(VLOOKUP($A409, YES_Reading_FLA[], COLUMN(INDIRECT("YES_Reading_FLA[Difference - Per "&amp;VLOOKUP($G$4,'Reading Report Logic'!$A$2:$B$8,2,FALSE)&amp;"]")),FALSE)="","",
VLOOKUP($A409,YES_Reading_FLA[],COLUMN(INDIRECT("YES_Reading_FLA[Difference - Per "&amp;VLOOKUP($G$4,'Reading Report Logic'!$A$2:$B$8,2,FALSE)&amp;"]")),FALSE)),
IF($G$3="Combined",
IFERROR(
IF(VLOOKUP($A409, YES_Reading_ELA[], COLUMN(INDIRECT("YES_Reading_ELA[Difference - Per "&amp;VLOOKUP($G$4, 'Reading Report Logic'!$A$2:$B$8,2,FALSE)&amp;"]")), FALSE)="", "",
VLOOKUP($A409,YES_Reading_ELA[],COLUMN(INDIRECT("YES_Reading_ELA[Difference - Per "&amp;VLOOKUP($G$4,'Reading Report Logic'!$A$2:$B$8,2,FALSE)&amp;"]")),FALSE)),
IF(VLOOKUP($A409, YES_Reading_FLA[], COLUMN(INDIRECT("YES_Reading_FLA[Difference - Per "&amp;VLOOKUP($G$4, 'Reading Report Logic'!$A$2:$B$8, 2, FALSE)&amp;"]")),FALSE)="", "", VLOOKUP($A409,YES_Reading_FLA[],COLUMN(INDIRECT("YES_Reading_FLA[Difference - Per "&amp;VLOOKUP($G$4, 'Reading Report Logic'!$A$2:$B$8, 2, FALSE)&amp;"]")),FALSE))),""))),"")</f>
        <v/>
      </c>
    </row>
    <row r="410" spans="1:9" x14ac:dyDescent="0.25">
      <c r="A410" s="137"/>
      <c r="B410" s="137" t="str">
        <f>IFERROR(INDEX(_xlfn.VSTACK(YES_Writing_ELA[#Data], YES_Writing_FLA[#Data]),MATCH($A410,_xlfn.VSTACK(YES_Writing_ELA[Student Number], YES_Writing_FLA[Student Number]),0),MATCH(B$7,YES_Writing_ELA[#Headers],0)),IFERROR(INDEX(_xlfn.VSTACK(YES_Reading_ELA[#Data], YES_Reading_FLA[#Data]),MATCH($A410,_xlfn.VSTACK(YES_Reading_ELA[Student Number], YES_Reading_FLA[Student Number]),0),MATCH(B$7,YES_Reading_ELA[#Headers],0)),""))</f>
        <v/>
      </c>
      <c r="C410" s="137" t="str">
        <f>IFERROR(INDEX(_xlfn.VSTACK(YES_Writing_ELA[#Data], YES_Writing_FLA[#Data]),MATCH($A410,_xlfn.VSTACK(YES_Writing_ELA[Student Number], YES_Writing_FLA[Student Number]),0),MATCH(C$7,YES_Writing_ELA[#Headers],0)),IFERROR(INDEX(_xlfn.VSTACK(YES_Reading_ELA[#Data], YES_Reading_FLA[#Data]),MATCH($A410,_xlfn.VSTACK(YES_Reading_ELA[Student Number], YES_Reading_FLA[Student Number]),0),MATCH(C$7,YES_Reading_ELA[#Headers],0)),""))</f>
        <v/>
      </c>
      <c r="D410" s="138" t="str">
        <f>IFERROR(IF(IF(INDEX(_xlfn.VSTACK(YES_Writing_ELA[#Data],YES_Writing_FLA[#Data]),MATCH($A410,_xlfn.VSTACK(YES_Writing_ELA[Student Number],YES_Writing_FLA[Student Number]),0),MATCH(VLOOKUP(D$7,'Writing Logic'!$J$7:$K$11,2,FALSE)&amp;" - Per "&amp;VLOOKUP($C$4,'Writing Logic'!$G$8:$H$14,2,FALSE),YES_Writing_ELA[#Headers],0))=0,"",INDEX(_xlfn.VSTACK(YES_Writing_ELA[#Data],YES_Writing_FLA[#Data]),MATCH($A410,_xlfn.VSTACK(YES_Writing_ELA[Student Number],YES_Writing_FLA[Student Number]),0),MATCH(VLOOKUP(D$7,'Writing Logic'!$J$7:$K$11,2,FALSE)&amp;" - Per "&amp;VLOOKUP($C$4,'Writing Logic'!$G$8:$H$14,2,FALSE),YES_Writing_ELA[#Headers],0)))="INS",'Writing Logic'!$B$7,IF(INDEX(_xlfn.VSTACK(YES_Writing_ELA[#Data],YES_Writing_FLA[#Data]),MATCH($A410,_xlfn.VSTACK(YES_Writing_ELA[Student Number],YES_Writing_FLA[Student Number]),0),MATCH(VLOOKUP(D$7,'Writing Logic'!$J$7:$K$11,2,FALSE)&amp;" - Per "&amp;VLOOKUP($C$4,'Writing Logic'!$G$8:$H$14,2,FALSE),YES_Writing_ELA[#Headers],0))=0,"",INDEX(_xlfn.VSTACK(YES_Writing_ELA[#Data],YES_Writing_FLA[#Data]),MATCH($A410,_xlfn.VSTACK(YES_Writing_ELA[Student Number],YES_Writing_FLA[Student Number]),0),MATCH(VLOOKUP(D$7,'Writing Logic'!$J$7:$K$11,2,FALSE)&amp;" - Per "&amp;VLOOKUP($C$4,'Writing Logic'!$G$8:$H$14,2,FALSE),YES_Writing_ELA[#Headers],0)))),"")</f>
        <v/>
      </c>
      <c r="E410" s="138" t="str">
        <f>IFERROR(IF(IF(INDEX(_xlfn.VSTACK(YES_Writing_ELA[#Data],YES_Writing_FLA[#Data]),MATCH($A410,_xlfn.VSTACK(YES_Writing_ELA[Student Number],YES_Writing_FLA[Student Number]),0),MATCH(VLOOKUP(E$7,'Writing Logic'!$J$7:$K$11,2,FALSE)&amp;" - Per "&amp;VLOOKUP($C$4,'Writing Logic'!$G$8:$H$14,2,FALSE),YES_Writing_ELA[#Headers],0))=0,"",INDEX(_xlfn.VSTACK(YES_Writing_ELA[#Data],YES_Writing_FLA[#Data]),MATCH($A410,_xlfn.VSTACK(YES_Writing_ELA[Student Number],YES_Writing_FLA[Student Number]),0),MATCH(VLOOKUP(E$7,'Writing Logic'!$J$7:$K$11,2,FALSE)&amp;" - Per "&amp;VLOOKUP($C$4,'Writing Logic'!$G$8:$H$14,2,FALSE),YES_Writing_ELA[#Headers],0)))="INS",'Writing Logic'!$B$7,IF(INDEX(_xlfn.VSTACK(YES_Writing_ELA[#Data],YES_Writing_FLA[#Data]),MATCH($A410,_xlfn.VSTACK(YES_Writing_ELA[Student Number],YES_Writing_FLA[Student Number]),0),MATCH(VLOOKUP(E$7,'Writing Logic'!$J$7:$K$11,2,FALSE)&amp;" - Per "&amp;VLOOKUP($C$4,'Writing Logic'!$G$8:$H$14,2,FALSE),YES_Writing_ELA[#Headers],0))=0,"",INDEX(_xlfn.VSTACK(YES_Writing_ELA[#Data],YES_Writing_FLA[#Data]),MATCH($A410,_xlfn.VSTACK(YES_Writing_ELA[Student Number],YES_Writing_FLA[Student Number]),0),MATCH(VLOOKUP(E$7,'Writing Logic'!$J$7:$K$11,2,FALSE)&amp;" - Per "&amp;VLOOKUP($C$4,'Writing Logic'!$G$8:$H$14,2,FALSE),YES_Writing_ELA[#Headers],0)))),"")</f>
        <v/>
      </c>
      <c r="F410" s="138" t="str">
        <f>IFERROR(IF(IF(INDEX(_xlfn.VSTACK(YES_Writing_ELA[#Data],YES_Writing_FLA[#Data]),MATCH($A410,_xlfn.VSTACK(YES_Writing_ELA[Student Number],YES_Writing_FLA[Student Number]),0),MATCH(VLOOKUP(F$7,'Writing Logic'!$J$7:$K$11,2,FALSE)&amp;" - Per "&amp;VLOOKUP($C$4,'Writing Logic'!$G$8:$H$14,2,FALSE),YES_Writing_ELA[#Headers],0))=0,"",INDEX(_xlfn.VSTACK(YES_Writing_ELA[#Data],YES_Writing_FLA[#Data]),MATCH($A410,_xlfn.VSTACK(YES_Writing_ELA[Student Number],YES_Writing_FLA[Student Number]),0),MATCH(VLOOKUP(F$7,'Writing Logic'!$J$7:$K$11,2,FALSE)&amp;" - Per "&amp;VLOOKUP($C$4,'Writing Logic'!$G$8:$H$14,2,FALSE),YES_Writing_ELA[#Headers],0)))="INS",'Writing Logic'!$B$7,IF(INDEX(_xlfn.VSTACK(YES_Writing_ELA[#Data],YES_Writing_FLA[#Data]),MATCH($A410,_xlfn.VSTACK(YES_Writing_ELA[Student Number],YES_Writing_FLA[Student Number]),0),MATCH(VLOOKUP(F$7,'Writing Logic'!$J$7:$K$11,2,FALSE)&amp;" - Per "&amp;VLOOKUP($C$4,'Writing Logic'!$G$8:$H$14,2,FALSE),YES_Writing_ELA[#Headers],0))=0,"",INDEX(_xlfn.VSTACK(YES_Writing_ELA[#Data],YES_Writing_FLA[#Data]),MATCH($A410,_xlfn.VSTACK(YES_Writing_ELA[Student Number],YES_Writing_FLA[Student Number]),0),MATCH(VLOOKUP(F$7,'Writing Logic'!$J$7:$K$11,2,FALSE)&amp;" - Per "&amp;VLOOKUP($C$4,'Writing Logic'!$G$8:$H$14,2,FALSE),YES_Writing_ELA[#Headers],0)))),"")</f>
        <v/>
      </c>
      <c r="G410" s="138" t="str">
        <f>IFERROR(IF(IF(INDEX(_xlfn.VSTACK(YES_Writing_ELA[#Data],YES_Writing_FLA[#Data]),MATCH($A410,_xlfn.VSTACK(YES_Writing_ELA[Student Number],YES_Writing_FLA[Student Number]),0),MATCH(VLOOKUP(G$7,'Writing Logic'!$J$7:$K$11,2,FALSE)&amp;" - Per "&amp;VLOOKUP($C$4,'Writing Logic'!$G$8:$H$14,2,FALSE),YES_Writing_ELA[#Headers],0))=0,"",INDEX(_xlfn.VSTACK(YES_Writing_ELA[#Data],YES_Writing_FLA[#Data]),MATCH($A410,_xlfn.VSTACK(YES_Writing_ELA[Student Number],YES_Writing_FLA[Student Number]),0),MATCH(VLOOKUP(G$7,'Writing Logic'!$J$7:$K$11,2,FALSE)&amp;" - Per "&amp;VLOOKUP($C$4,'Writing Logic'!$G$8:$H$14,2,FALSE),YES_Writing_ELA[#Headers],0)))="INS",'Writing Logic'!$B$7,IF(INDEX(_xlfn.VSTACK(YES_Writing_ELA[#Data],YES_Writing_FLA[#Data]),MATCH($A410,_xlfn.VSTACK(YES_Writing_ELA[Student Number],YES_Writing_FLA[Student Number]),0),MATCH(VLOOKUP(G$7,'Writing Logic'!$J$7:$K$11,2,FALSE)&amp;" - Per "&amp;VLOOKUP($C$4,'Writing Logic'!$G$8:$H$14,2,FALSE),YES_Writing_ELA[#Headers],0))=0,"",INDEX(_xlfn.VSTACK(YES_Writing_ELA[#Data],YES_Writing_FLA[#Data]),MATCH($A410,_xlfn.VSTACK(YES_Writing_ELA[Student Number],YES_Writing_FLA[Student Number]),0),MATCH(VLOOKUP(G$7,'Writing Logic'!$J$7:$K$11,2,FALSE)&amp;" - Per "&amp;VLOOKUP($C$4,'Writing Logic'!$G$8:$H$14,2,FALSE),YES_Writing_ELA[#Headers],0)))),"")</f>
        <v/>
      </c>
      <c r="H410" s="223" t="str">
        <f>IFERROR(IF(IF(INDEX(_xlfn.VSTACK(YES_Writing_ELA[#Data],YES_Writing_FLA[#Data]),MATCH($A410,_xlfn.VSTACK(YES_Writing_ELA[Student Number],YES_Writing_FLA[Student Number]),0),MATCH(VLOOKUP(H$7,'Writing Logic'!$J$7:$K$11,2,FALSE)&amp;" - Per "&amp;VLOOKUP($C$4,'Writing Logic'!$G$8:$H$14,2,FALSE),YES_Writing_ELA[#Headers],0))=0,"",INDEX(_xlfn.VSTACK(YES_Writing_ELA[#Data],YES_Writing_FLA[#Data]),MATCH($A410,_xlfn.VSTACK(YES_Writing_ELA[Student Number],YES_Writing_FLA[Student Number]),0),MATCH(VLOOKUP(H$7,'Writing Logic'!$J$7:$K$11,2,FALSE)&amp;" - Per "&amp;VLOOKUP($C$4,'Writing Logic'!$G$8:$H$14,2,FALSE),YES_Writing_ELA[#Headers],0)))="INS",'Writing Logic'!$B$7,IF(INDEX(_xlfn.VSTACK(YES_Writing_ELA[#Data],YES_Writing_FLA[#Data]),MATCH($A410,_xlfn.VSTACK(YES_Writing_ELA[Student Number],YES_Writing_FLA[Student Number]),0),MATCH(VLOOKUP(H$7,'Writing Logic'!$J$7:$K$11,2,FALSE)&amp;" - Per "&amp;VLOOKUP($C$4,'Writing Logic'!$G$8:$H$14,2,FALSE),YES_Writing_ELA[#Headers],0))=0,"",INDEX(_xlfn.VSTACK(YES_Writing_ELA[#Data],YES_Writing_FLA[#Data]),MATCH($A410,_xlfn.VSTACK(YES_Writing_ELA[Student Number],YES_Writing_FLA[Student Number]),0),MATCH(VLOOKUP(H$7,'Writing Logic'!$J$7:$K$11,2,FALSE)&amp;" - Per "&amp;VLOOKUP($C$4,'Writing Logic'!$G$8:$H$14,2,FALSE),YES_Writing_ELA[#Headers],0)))),"")</f>
        <v/>
      </c>
      <c r="I410" s="224" t="str" cm="1">
        <f t="array" aca="1" ref="I410" ca="1">IFERROR(
IF($G$3="ELA",
IF(VLOOKUP($A410, YES_Reading_ELA[], COLUMN(INDIRECT("YES_Reading_ELA[Difference - Per "&amp;VLOOKUP($G$4, 'Reading Report Logic'!$A$2:$B$8, 2, FALSE)&amp;"]")), FALSE)="", "",
VLOOKUP($A410,YES_Reading_ELA[], COLUMN(INDIRECT("YES_Reading_ELA[Difference - Per "&amp;VLOOKUP($G$4,'Reading Report Logic'!$A$2:$B$8,2,FALSE)&amp;"]")), FALSE)),
IF($G$3="FLA",
IF(VLOOKUP($A410, YES_Reading_FLA[], COLUMN(INDIRECT("YES_Reading_FLA[Difference - Per "&amp;VLOOKUP($G$4,'Reading Report Logic'!$A$2:$B$8,2,FALSE)&amp;"]")),FALSE)="","",
VLOOKUP($A410,YES_Reading_FLA[],COLUMN(INDIRECT("YES_Reading_FLA[Difference - Per "&amp;VLOOKUP($G$4,'Reading Report Logic'!$A$2:$B$8,2,FALSE)&amp;"]")),FALSE)),
IF($G$3="Combined",
IFERROR(
IF(VLOOKUP($A410, YES_Reading_ELA[], COLUMN(INDIRECT("YES_Reading_ELA[Difference - Per "&amp;VLOOKUP($G$4, 'Reading Report Logic'!$A$2:$B$8,2,FALSE)&amp;"]")), FALSE)="", "",
VLOOKUP($A410,YES_Reading_ELA[],COLUMN(INDIRECT("YES_Reading_ELA[Difference - Per "&amp;VLOOKUP($G$4,'Reading Report Logic'!$A$2:$B$8,2,FALSE)&amp;"]")),FALSE)),
IF(VLOOKUP($A410, YES_Reading_FLA[], COLUMN(INDIRECT("YES_Reading_FLA[Difference - Per "&amp;VLOOKUP($G$4, 'Reading Report Logic'!$A$2:$B$8, 2, FALSE)&amp;"]")),FALSE)="", "", VLOOKUP($A410,YES_Reading_FLA[],COLUMN(INDIRECT("YES_Reading_FLA[Difference - Per "&amp;VLOOKUP($G$4, 'Reading Report Logic'!$A$2:$B$8, 2, FALSE)&amp;"]")),FALSE))),""))),"")</f>
        <v/>
      </c>
    </row>
    <row r="411" spans="1:9" x14ac:dyDescent="0.25">
      <c r="A411" s="137"/>
      <c r="B411" s="137" t="str">
        <f>IFERROR(INDEX(_xlfn.VSTACK(YES_Writing_ELA[#Data], YES_Writing_FLA[#Data]),MATCH($A411,_xlfn.VSTACK(YES_Writing_ELA[Student Number], YES_Writing_FLA[Student Number]),0),MATCH(B$7,YES_Writing_ELA[#Headers],0)),IFERROR(INDEX(_xlfn.VSTACK(YES_Reading_ELA[#Data], YES_Reading_FLA[#Data]),MATCH($A411,_xlfn.VSTACK(YES_Reading_ELA[Student Number], YES_Reading_FLA[Student Number]),0),MATCH(B$7,YES_Reading_ELA[#Headers],0)),""))</f>
        <v/>
      </c>
      <c r="C411" s="137" t="str">
        <f>IFERROR(INDEX(_xlfn.VSTACK(YES_Writing_ELA[#Data], YES_Writing_FLA[#Data]),MATCH($A411,_xlfn.VSTACK(YES_Writing_ELA[Student Number], YES_Writing_FLA[Student Number]),0),MATCH(C$7,YES_Writing_ELA[#Headers],0)),IFERROR(INDEX(_xlfn.VSTACK(YES_Reading_ELA[#Data], YES_Reading_FLA[#Data]),MATCH($A411,_xlfn.VSTACK(YES_Reading_ELA[Student Number], YES_Reading_FLA[Student Number]),0),MATCH(C$7,YES_Reading_ELA[#Headers],0)),""))</f>
        <v/>
      </c>
      <c r="D411" s="138" t="str">
        <f>IFERROR(IF(IF(INDEX(_xlfn.VSTACK(YES_Writing_ELA[#Data],YES_Writing_FLA[#Data]),MATCH($A411,_xlfn.VSTACK(YES_Writing_ELA[Student Number],YES_Writing_FLA[Student Number]),0),MATCH(VLOOKUP(D$7,'Writing Logic'!$J$7:$K$11,2,FALSE)&amp;" - Per "&amp;VLOOKUP($C$4,'Writing Logic'!$G$8:$H$14,2,FALSE),YES_Writing_ELA[#Headers],0))=0,"",INDEX(_xlfn.VSTACK(YES_Writing_ELA[#Data],YES_Writing_FLA[#Data]),MATCH($A411,_xlfn.VSTACK(YES_Writing_ELA[Student Number],YES_Writing_FLA[Student Number]),0),MATCH(VLOOKUP(D$7,'Writing Logic'!$J$7:$K$11,2,FALSE)&amp;" - Per "&amp;VLOOKUP($C$4,'Writing Logic'!$G$8:$H$14,2,FALSE),YES_Writing_ELA[#Headers],0)))="INS",'Writing Logic'!$B$7,IF(INDEX(_xlfn.VSTACK(YES_Writing_ELA[#Data],YES_Writing_FLA[#Data]),MATCH($A411,_xlfn.VSTACK(YES_Writing_ELA[Student Number],YES_Writing_FLA[Student Number]),0),MATCH(VLOOKUP(D$7,'Writing Logic'!$J$7:$K$11,2,FALSE)&amp;" - Per "&amp;VLOOKUP($C$4,'Writing Logic'!$G$8:$H$14,2,FALSE),YES_Writing_ELA[#Headers],0))=0,"",INDEX(_xlfn.VSTACK(YES_Writing_ELA[#Data],YES_Writing_FLA[#Data]),MATCH($A411,_xlfn.VSTACK(YES_Writing_ELA[Student Number],YES_Writing_FLA[Student Number]),0),MATCH(VLOOKUP(D$7,'Writing Logic'!$J$7:$K$11,2,FALSE)&amp;" - Per "&amp;VLOOKUP($C$4,'Writing Logic'!$G$8:$H$14,2,FALSE),YES_Writing_ELA[#Headers],0)))),"")</f>
        <v/>
      </c>
      <c r="E411" s="138" t="str">
        <f>IFERROR(IF(IF(INDEX(_xlfn.VSTACK(YES_Writing_ELA[#Data],YES_Writing_FLA[#Data]),MATCH($A411,_xlfn.VSTACK(YES_Writing_ELA[Student Number],YES_Writing_FLA[Student Number]),0),MATCH(VLOOKUP(E$7,'Writing Logic'!$J$7:$K$11,2,FALSE)&amp;" - Per "&amp;VLOOKUP($C$4,'Writing Logic'!$G$8:$H$14,2,FALSE),YES_Writing_ELA[#Headers],0))=0,"",INDEX(_xlfn.VSTACK(YES_Writing_ELA[#Data],YES_Writing_FLA[#Data]),MATCH($A411,_xlfn.VSTACK(YES_Writing_ELA[Student Number],YES_Writing_FLA[Student Number]),0),MATCH(VLOOKUP(E$7,'Writing Logic'!$J$7:$K$11,2,FALSE)&amp;" - Per "&amp;VLOOKUP($C$4,'Writing Logic'!$G$8:$H$14,2,FALSE),YES_Writing_ELA[#Headers],0)))="INS",'Writing Logic'!$B$7,IF(INDEX(_xlfn.VSTACK(YES_Writing_ELA[#Data],YES_Writing_FLA[#Data]),MATCH($A411,_xlfn.VSTACK(YES_Writing_ELA[Student Number],YES_Writing_FLA[Student Number]),0),MATCH(VLOOKUP(E$7,'Writing Logic'!$J$7:$K$11,2,FALSE)&amp;" - Per "&amp;VLOOKUP($C$4,'Writing Logic'!$G$8:$H$14,2,FALSE),YES_Writing_ELA[#Headers],0))=0,"",INDEX(_xlfn.VSTACK(YES_Writing_ELA[#Data],YES_Writing_FLA[#Data]),MATCH($A411,_xlfn.VSTACK(YES_Writing_ELA[Student Number],YES_Writing_FLA[Student Number]),0),MATCH(VLOOKUP(E$7,'Writing Logic'!$J$7:$K$11,2,FALSE)&amp;" - Per "&amp;VLOOKUP($C$4,'Writing Logic'!$G$8:$H$14,2,FALSE),YES_Writing_ELA[#Headers],0)))),"")</f>
        <v/>
      </c>
      <c r="F411" s="138" t="str">
        <f>IFERROR(IF(IF(INDEX(_xlfn.VSTACK(YES_Writing_ELA[#Data],YES_Writing_FLA[#Data]),MATCH($A411,_xlfn.VSTACK(YES_Writing_ELA[Student Number],YES_Writing_FLA[Student Number]),0),MATCH(VLOOKUP(F$7,'Writing Logic'!$J$7:$K$11,2,FALSE)&amp;" - Per "&amp;VLOOKUP($C$4,'Writing Logic'!$G$8:$H$14,2,FALSE),YES_Writing_ELA[#Headers],0))=0,"",INDEX(_xlfn.VSTACK(YES_Writing_ELA[#Data],YES_Writing_FLA[#Data]),MATCH($A411,_xlfn.VSTACK(YES_Writing_ELA[Student Number],YES_Writing_FLA[Student Number]),0),MATCH(VLOOKUP(F$7,'Writing Logic'!$J$7:$K$11,2,FALSE)&amp;" - Per "&amp;VLOOKUP($C$4,'Writing Logic'!$G$8:$H$14,2,FALSE),YES_Writing_ELA[#Headers],0)))="INS",'Writing Logic'!$B$7,IF(INDEX(_xlfn.VSTACK(YES_Writing_ELA[#Data],YES_Writing_FLA[#Data]),MATCH($A411,_xlfn.VSTACK(YES_Writing_ELA[Student Number],YES_Writing_FLA[Student Number]),0),MATCH(VLOOKUP(F$7,'Writing Logic'!$J$7:$K$11,2,FALSE)&amp;" - Per "&amp;VLOOKUP($C$4,'Writing Logic'!$G$8:$H$14,2,FALSE),YES_Writing_ELA[#Headers],0))=0,"",INDEX(_xlfn.VSTACK(YES_Writing_ELA[#Data],YES_Writing_FLA[#Data]),MATCH($A411,_xlfn.VSTACK(YES_Writing_ELA[Student Number],YES_Writing_FLA[Student Number]),0),MATCH(VLOOKUP(F$7,'Writing Logic'!$J$7:$K$11,2,FALSE)&amp;" - Per "&amp;VLOOKUP($C$4,'Writing Logic'!$G$8:$H$14,2,FALSE),YES_Writing_ELA[#Headers],0)))),"")</f>
        <v/>
      </c>
      <c r="G411" s="138" t="str">
        <f>IFERROR(IF(IF(INDEX(_xlfn.VSTACK(YES_Writing_ELA[#Data],YES_Writing_FLA[#Data]),MATCH($A411,_xlfn.VSTACK(YES_Writing_ELA[Student Number],YES_Writing_FLA[Student Number]),0),MATCH(VLOOKUP(G$7,'Writing Logic'!$J$7:$K$11,2,FALSE)&amp;" - Per "&amp;VLOOKUP($C$4,'Writing Logic'!$G$8:$H$14,2,FALSE),YES_Writing_ELA[#Headers],0))=0,"",INDEX(_xlfn.VSTACK(YES_Writing_ELA[#Data],YES_Writing_FLA[#Data]),MATCH($A411,_xlfn.VSTACK(YES_Writing_ELA[Student Number],YES_Writing_FLA[Student Number]),0),MATCH(VLOOKUP(G$7,'Writing Logic'!$J$7:$K$11,2,FALSE)&amp;" - Per "&amp;VLOOKUP($C$4,'Writing Logic'!$G$8:$H$14,2,FALSE),YES_Writing_ELA[#Headers],0)))="INS",'Writing Logic'!$B$7,IF(INDEX(_xlfn.VSTACK(YES_Writing_ELA[#Data],YES_Writing_FLA[#Data]),MATCH($A411,_xlfn.VSTACK(YES_Writing_ELA[Student Number],YES_Writing_FLA[Student Number]),0),MATCH(VLOOKUP(G$7,'Writing Logic'!$J$7:$K$11,2,FALSE)&amp;" - Per "&amp;VLOOKUP($C$4,'Writing Logic'!$G$8:$H$14,2,FALSE),YES_Writing_ELA[#Headers],0))=0,"",INDEX(_xlfn.VSTACK(YES_Writing_ELA[#Data],YES_Writing_FLA[#Data]),MATCH($A411,_xlfn.VSTACK(YES_Writing_ELA[Student Number],YES_Writing_FLA[Student Number]),0),MATCH(VLOOKUP(G$7,'Writing Logic'!$J$7:$K$11,2,FALSE)&amp;" - Per "&amp;VLOOKUP($C$4,'Writing Logic'!$G$8:$H$14,2,FALSE),YES_Writing_ELA[#Headers],0)))),"")</f>
        <v/>
      </c>
      <c r="H411" s="223" t="str">
        <f>IFERROR(IF(IF(INDEX(_xlfn.VSTACK(YES_Writing_ELA[#Data],YES_Writing_FLA[#Data]),MATCH($A411,_xlfn.VSTACK(YES_Writing_ELA[Student Number],YES_Writing_FLA[Student Number]),0),MATCH(VLOOKUP(H$7,'Writing Logic'!$J$7:$K$11,2,FALSE)&amp;" - Per "&amp;VLOOKUP($C$4,'Writing Logic'!$G$8:$H$14,2,FALSE),YES_Writing_ELA[#Headers],0))=0,"",INDEX(_xlfn.VSTACK(YES_Writing_ELA[#Data],YES_Writing_FLA[#Data]),MATCH($A411,_xlfn.VSTACK(YES_Writing_ELA[Student Number],YES_Writing_FLA[Student Number]),0),MATCH(VLOOKUP(H$7,'Writing Logic'!$J$7:$K$11,2,FALSE)&amp;" - Per "&amp;VLOOKUP($C$4,'Writing Logic'!$G$8:$H$14,2,FALSE),YES_Writing_ELA[#Headers],0)))="INS",'Writing Logic'!$B$7,IF(INDEX(_xlfn.VSTACK(YES_Writing_ELA[#Data],YES_Writing_FLA[#Data]),MATCH($A411,_xlfn.VSTACK(YES_Writing_ELA[Student Number],YES_Writing_FLA[Student Number]),0),MATCH(VLOOKUP(H$7,'Writing Logic'!$J$7:$K$11,2,FALSE)&amp;" - Per "&amp;VLOOKUP($C$4,'Writing Logic'!$G$8:$H$14,2,FALSE),YES_Writing_ELA[#Headers],0))=0,"",INDEX(_xlfn.VSTACK(YES_Writing_ELA[#Data],YES_Writing_FLA[#Data]),MATCH($A411,_xlfn.VSTACK(YES_Writing_ELA[Student Number],YES_Writing_FLA[Student Number]),0),MATCH(VLOOKUP(H$7,'Writing Logic'!$J$7:$K$11,2,FALSE)&amp;" - Per "&amp;VLOOKUP($C$4,'Writing Logic'!$G$8:$H$14,2,FALSE),YES_Writing_ELA[#Headers],0)))),"")</f>
        <v/>
      </c>
      <c r="I411" s="224" t="str" cm="1">
        <f t="array" aca="1" ref="I411" ca="1">IFERROR(
IF($G$3="ELA",
IF(VLOOKUP($A411, YES_Reading_ELA[], COLUMN(INDIRECT("YES_Reading_ELA[Difference - Per "&amp;VLOOKUP($G$4, 'Reading Report Logic'!$A$2:$B$8, 2, FALSE)&amp;"]")), FALSE)="", "",
VLOOKUP($A411,YES_Reading_ELA[], COLUMN(INDIRECT("YES_Reading_ELA[Difference - Per "&amp;VLOOKUP($G$4,'Reading Report Logic'!$A$2:$B$8,2,FALSE)&amp;"]")), FALSE)),
IF($G$3="FLA",
IF(VLOOKUP($A411, YES_Reading_FLA[], COLUMN(INDIRECT("YES_Reading_FLA[Difference - Per "&amp;VLOOKUP($G$4,'Reading Report Logic'!$A$2:$B$8,2,FALSE)&amp;"]")),FALSE)="","",
VLOOKUP($A411,YES_Reading_FLA[],COLUMN(INDIRECT("YES_Reading_FLA[Difference - Per "&amp;VLOOKUP($G$4,'Reading Report Logic'!$A$2:$B$8,2,FALSE)&amp;"]")),FALSE)),
IF($G$3="Combined",
IFERROR(
IF(VLOOKUP($A411, YES_Reading_ELA[], COLUMN(INDIRECT("YES_Reading_ELA[Difference - Per "&amp;VLOOKUP($G$4, 'Reading Report Logic'!$A$2:$B$8,2,FALSE)&amp;"]")), FALSE)="", "",
VLOOKUP($A411,YES_Reading_ELA[],COLUMN(INDIRECT("YES_Reading_ELA[Difference - Per "&amp;VLOOKUP($G$4,'Reading Report Logic'!$A$2:$B$8,2,FALSE)&amp;"]")),FALSE)),
IF(VLOOKUP($A411, YES_Reading_FLA[], COLUMN(INDIRECT("YES_Reading_FLA[Difference - Per "&amp;VLOOKUP($G$4, 'Reading Report Logic'!$A$2:$B$8, 2, FALSE)&amp;"]")),FALSE)="", "", VLOOKUP($A411,YES_Reading_FLA[],COLUMN(INDIRECT("YES_Reading_FLA[Difference - Per "&amp;VLOOKUP($G$4, 'Reading Report Logic'!$A$2:$B$8, 2, FALSE)&amp;"]")),FALSE))),""))),"")</f>
        <v/>
      </c>
    </row>
    <row r="412" spans="1:9" x14ac:dyDescent="0.25">
      <c r="A412" s="137"/>
      <c r="B412" s="137" t="str">
        <f>IFERROR(INDEX(_xlfn.VSTACK(YES_Writing_ELA[#Data], YES_Writing_FLA[#Data]),MATCH($A412,_xlfn.VSTACK(YES_Writing_ELA[Student Number], YES_Writing_FLA[Student Number]),0),MATCH(B$7,YES_Writing_ELA[#Headers],0)),IFERROR(INDEX(_xlfn.VSTACK(YES_Reading_ELA[#Data], YES_Reading_FLA[#Data]),MATCH($A412,_xlfn.VSTACK(YES_Reading_ELA[Student Number], YES_Reading_FLA[Student Number]),0),MATCH(B$7,YES_Reading_ELA[#Headers],0)),""))</f>
        <v/>
      </c>
      <c r="C412" s="137" t="str">
        <f>IFERROR(INDEX(_xlfn.VSTACK(YES_Writing_ELA[#Data], YES_Writing_FLA[#Data]),MATCH($A412,_xlfn.VSTACK(YES_Writing_ELA[Student Number], YES_Writing_FLA[Student Number]),0),MATCH(C$7,YES_Writing_ELA[#Headers],0)),IFERROR(INDEX(_xlfn.VSTACK(YES_Reading_ELA[#Data], YES_Reading_FLA[#Data]),MATCH($A412,_xlfn.VSTACK(YES_Reading_ELA[Student Number], YES_Reading_FLA[Student Number]),0),MATCH(C$7,YES_Reading_ELA[#Headers],0)),""))</f>
        <v/>
      </c>
      <c r="D412" s="138" t="str">
        <f>IFERROR(IF(IF(INDEX(_xlfn.VSTACK(YES_Writing_ELA[#Data],YES_Writing_FLA[#Data]),MATCH($A412,_xlfn.VSTACK(YES_Writing_ELA[Student Number],YES_Writing_FLA[Student Number]),0),MATCH(VLOOKUP(D$7,'Writing Logic'!$J$7:$K$11,2,FALSE)&amp;" - Per "&amp;VLOOKUP($C$4,'Writing Logic'!$G$8:$H$14,2,FALSE),YES_Writing_ELA[#Headers],0))=0,"",INDEX(_xlfn.VSTACK(YES_Writing_ELA[#Data],YES_Writing_FLA[#Data]),MATCH($A412,_xlfn.VSTACK(YES_Writing_ELA[Student Number],YES_Writing_FLA[Student Number]),0),MATCH(VLOOKUP(D$7,'Writing Logic'!$J$7:$K$11,2,FALSE)&amp;" - Per "&amp;VLOOKUP($C$4,'Writing Logic'!$G$8:$H$14,2,FALSE),YES_Writing_ELA[#Headers],0)))="INS",'Writing Logic'!$B$7,IF(INDEX(_xlfn.VSTACK(YES_Writing_ELA[#Data],YES_Writing_FLA[#Data]),MATCH($A412,_xlfn.VSTACK(YES_Writing_ELA[Student Number],YES_Writing_FLA[Student Number]),0),MATCH(VLOOKUP(D$7,'Writing Logic'!$J$7:$K$11,2,FALSE)&amp;" - Per "&amp;VLOOKUP($C$4,'Writing Logic'!$G$8:$H$14,2,FALSE),YES_Writing_ELA[#Headers],0))=0,"",INDEX(_xlfn.VSTACK(YES_Writing_ELA[#Data],YES_Writing_FLA[#Data]),MATCH($A412,_xlfn.VSTACK(YES_Writing_ELA[Student Number],YES_Writing_FLA[Student Number]),0),MATCH(VLOOKUP(D$7,'Writing Logic'!$J$7:$K$11,2,FALSE)&amp;" - Per "&amp;VLOOKUP($C$4,'Writing Logic'!$G$8:$H$14,2,FALSE),YES_Writing_ELA[#Headers],0)))),"")</f>
        <v/>
      </c>
      <c r="E412" s="138" t="str">
        <f>IFERROR(IF(IF(INDEX(_xlfn.VSTACK(YES_Writing_ELA[#Data],YES_Writing_FLA[#Data]),MATCH($A412,_xlfn.VSTACK(YES_Writing_ELA[Student Number],YES_Writing_FLA[Student Number]),0),MATCH(VLOOKUP(E$7,'Writing Logic'!$J$7:$K$11,2,FALSE)&amp;" - Per "&amp;VLOOKUP($C$4,'Writing Logic'!$G$8:$H$14,2,FALSE),YES_Writing_ELA[#Headers],0))=0,"",INDEX(_xlfn.VSTACK(YES_Writing_ELA[#Data],YES_Writing_FLA[#Data]),MATCH($A412,_xlfn.VSTACK(YES_Writing_ELA[Student Number],YES_Writing_FLA[Student Number]),0),MATCH(VLOOKUP(E$7,'Writing Logic'!$J$7:$K$11,2,FALSE)&amp;" - Per "&amp;VLOOKUP($C$4,'Writing Logic'!$G$8:$H$14,2,FALSE),YES_Writing_ELA[#Headers],0)))="INS",'Writing Logic'!$B$7,IF(INDEX(_xlfn.VSTACK(YES_Writing_ELA[#Data],YES_Writing_FLA[#Data]),MATCH($A412,_xlfn.VSTACK(YES_Writing_ELA[Student Number],YES_Writing_FLA[Student Number]),0),MATCH(VLOOKUP(E$7,'Writing Logic'!$J$7:$K$11,2,FALSE)&amp;" - Per "&amp;VLOOKUP($C$4,'Writing Logic'!$G$8:$H$14,2,FALSE),YES_Writing_ELA[#Headers],0))=0,"",INDEX(_xlfn.VSTACK(YES_Writing_ELA[#Data],YES_Writing_FLA[#Data]),MATCH($A412,_xlfn.VSTACK(YES_Writing_ELA[Student Number],YES_Writing_FLA[Student Number]),0),MATCH(VLOOKUP(E$7,'Writing Logic'!$J$7:$K$11,2,FALSE)&amp;" - Per "&amp;VLOOKUP($C$4,'Writing Logic'!$G$8:$H$14,2,FALSE),YES_Writing_ELA[#Headers],0)))),"")</f>
        <v/>
      </c>
      <c r="F412" s="138" t="str">
        <f>IFERROR(IF(IF(INDEX(_xlfn.VSTACK(YES_Writing_ELA[#Data],YES_Writing_FLA[#Data]),MATCH($A412,_xlfn.VSTACK(YES_Writing_ELA[Student Number],YES_Writing_FLA[Student Number]),0),MATCH(VLOOKUP(F$7,'Writing Logic'!$J$7:$K$11,2,FALSE)&amp;" - Per "&amp;VLOOKUP($C$4,'Writing Logic'!$G$8:$H$14,2,FALSE),YES_Writing_ELA[#Headers],0))=0,"",INDEX(_xlfn.VSTACK(YES_Writing_ELA[#Data],YES_Writing_FLA[#Data]),MATCH($A412,_xlfn.VSTACK(YES_Writing_ELA[Student Number],YES_Writing_FLA[Student Number]),0),MATCH(VLOOKUP(F$7,'Writing Logic'!$J$7:$K$11,2,FALSE)&amp;" - Per "&amp;VLOOKUP($C$4,'Writing Logic'!$G$8:$H$14,2,FALSE),YES_Writing_ELA[#Headers],0)))="INS",'Writing Logic'!$B$7,IF(INDEX(_xlfn.VSTACK(YES_Writing_ELA[#Data],YES_Writing_FLA[#Data]),MATCH($A412,_xlfn.VSTACK(YES_Writing_ELA[Student Number],YES_Writing_FLA[Student Number]),0),MATCH(VLOOKUP(F$7,'Writing Logic'!$J$7:$K$11,2,FALSE)&amp;" - Per "&amp;VLOOKUP($C$4,'Writing Logic'!$G$8:$H$14,2,FALSE),YES_Writing_ELA[#Headers],0))=0,"",INDEX(_xlfn.VSTACK(YES_Writing_ELA[#Data],YES_Writing_FLA[#Data]),MATCH($A412,_xlfn.VSTACK(YES_Writing_ELA[Student Number],YES_Writing_FLA[Student Number]),0),MATCH(VLOOKUP(F$7,'Writing Logic'!$J$7:$K$11,2,FALSE)&amp;" - Per "&amp;VLOOKUP($C$4,'Writing Logic'!$G$8:$H$14,2,FALSE),YES_Writing_ELA[#Headers],0)))),"")</f>
        <v/>
      </c>
      <c r="G412" s="138" t="str">
        <f>IFERROR(IF(IF(INDEX(_xlfn.VSTACK(YES_Writing_ELA[#Data],YES_Writing_FLA[#Data]),MATCH($A412,_xlfn.VSTACK(YES_Writing_ELA[Student Number],YES_Writing_FLA[Student Number]),0),MATCH(VLOOKUP(G$7,'Writing Logic'!$J$7:$K$11,2,FALSE)&amp;" - Per "&amp;VLOOKUP($C$4,'Writing Logic'!$G$8:$H$14,2,FALSE),YES_Writing_ELA[#Headers],0))=0,"",INDEX(_xlfn.VSTACK(YES_Writing_ELA[#Data],YES_Writing_FLA[#Data]),MATCH($A412,_xlfn.VSTACK(YES_Writing_ELA[Student Number],YES_Writing_FLA[Student Number]),0),MATCH(VLOOKUP(G$7,'Writing Logic'!$J$7:$K$11,2,FALSE)&amp;" - Per "&amp;VLOOKUP($C$4,'Writing Logic'!$G$8:$H$14,2,FALSE),YES_Writing_ELA[#Headers],0)))="INS",'Writing Logic'!$B$7,IF(INDEX(_xlfn.VSTACK(YES_Writing_ELA[#Data],YES_Writing_FLA[#Data]),MATCH($A412,_xlfn.VSTACK(YES_Writing_ELA[Student Number],YES_Writing_FLA[Student Number]),0),MATCH(VLOOKUP(G$7,'Writing Logic'!$J$7:$K$11,2,FALSE)&amp;" - Per "&amp;VLOOKUP($C$4,'Writing Logic'!$G$8:$H$14,2,FALSE),YES_Writing_ELA[#Headers],0))=0,"",INDEX(_xlfn.VSTACK(YES_Writing_ELA[#Data],YES_Writing_FLA[#Data]),MATCH($A412,_xlfn.VSTACK(YES_Writing_ELA[Student Number],YES_Writing_FLA[Student Number]),0),MATCH(VLOOKUP(G$7,'Writing Logic'!$J$7:$K$11,2,FALSE)&amp;" - Per "&amp;VLOOKUP($C$4,'Writing Logic'!$G$8:$H$14,2,FALSE),YES_Writing_ELA[#Headers],0)))),"")</f>
        <v/>
      </c>
      <c r="H412" s="223" t="str">
        <f>IFERROR(IF(IF(INDEX(_xlfn.VSTACK(YES_Writing_ELA[#Data],YES_Writing_FLA[#Data]),MATCH($A412,_xlfn.VSTACK(YES_Writing_ELA[Student Number],YES_Writing_FLA[Student Number]),0),MATCH(VLOOKUP(H$7,'Writing Logic'!$J$7:$K$11,2,FALSE)&amp;" - Per "&amp;VLOOKUP($C$4,'Writing Logic'!$G$8:$H$14,2,FALSE),YES_Writing_ELA[#Headers],0))=0,"",INDEX(_xlfn.VSTACK(YES_Writing_ELA[#Data],YES_Writing_FLA[#Data]),MATCH($A412,_xlfn.VSTACK(YES_Writing_ELA[Student Number],YES_Writing_FLA[Student Number]),0),MATCH(VLOOKUP(H$7,'Writing Logic'!$J$7:$K$11,2,FALSE)&amp;" - Per "&amp;VLOOKUP($C$4,'Writing Logic'!$G$8:$H$14,2,FALSE),YES_Writing_ELA[#Headers],0)))="INS",'Writing Logic'!$B$7,IF(INDEX(_xlfn.VSTACK(YES_Writing_ELA[#Data],YES_Writing_FLA[#Data]),MATCH($A412,_xlfn.VSTACK(YES_Writing_ELA[Student Number],YES_Writing_FLA[Student Number]),0),MATCH(VLOOKUP(H$7,'Writing Logic'!$J$7:$K$11,2,FALSE)&amp;" - Per "&amp;VLOOKUP($C$4,'Writing Logic'!$G$8:$H$14,2,FALSE),YES_Writing_ELA[#Headers],0))=0,"",INDEX(_xlfn.VSTACK(YES_Writing_ELA[#Data],YES_Writing_FLA[#Data]),MATCH($A412,_xlfn.VSTACK(YES_Writing_ELA[Student Number],YES_Writing_FLA[Student Number]),0),MATCH(VLOOKUP(H$7,'Writing Logic'!$J$7:$K$11,2,FALSE)&amp;" - Per "&amp;VLOOKUP($C$4,'Writing Logic'!$G$8:$H$14,2,FALSE),YES_Writing_ELA[#Headers],0)))),"")</f>
        <v/>
      </c>
      <c r="I412" s="224" t="str" cm="1">
        <f t="array" aca="1" ref="I412" ca="1">IFERROR(
IF($G$3="ELA",
IF(VLOOKUP($A412, YES_Reading_ELA[], COLUMN(INDIRECT("YES_Reading_ELA[Difference - Per "&amp;VLOOKUP($G$4, 'Reading Report Logic'!$A$2:$B$8, 2, FALSE)&amp;"]")), FALSE)="", "",
VLOOKUP($A412,YES_Reading_ELA[], COLUMN(INDIRECT("YES_Reading_ELA[Difference - Per "&amp;VLOOKUP($G$4,'Reading Report Logic'!$A$2:$B$8,2,FALSE)&amp;"]")), FALSE)),
IF($G$3="FLA",
IF(VLOOKUP($A412, YES_Reading_FLA[], COLUMN(INDIRECT("YES_Reading_FLA[Difference - Per "&amp;VLOOKUP($G$4,'Reading Report Logic'!$A$2:$B$8,2,FALSE)&amp;"]")),FALSE)="","",
VLOOKUP($A412,YES_Reading_FLA[],COLUMN(INDIRECT("YES_Reading_FLA[Difference - Per "&amp;VLOOKUP($G$4,'Reading Report Logic'!$A$2:$B$8,2,FALSE)&amp;"]")),FALSE)),
IF($G$3="Combined",
IFERROR(
IF(VLOOKUP($A412, YES_Reading_ELA[], COLUMN(INDIRECT("YES_Reading_ELA[Difference - Per "&amp;VLOOKUP($G$4, 'Reading Report Logic'!$A$2:$B$8,2,FALSE)&amp;"]")), FALSE)="", "",
VLOOKUP($A412,YES_Reading_ELA[],COLUMN(INDIRECT("YES_Reading_ELA[Difference - Per "&amp;VLOOKUP($G$4,'Reading Report Logic'!$A$2:$B$8,2,FALSE)&amp;"]")),FALSE)),
IF(VLOOKUP($A412, YES_Reading_FLA[], COLUMN(INDIRECT("YES_Reading_FLA[Difference - Per "&amp;VLOOKUP($G$4, 'Reading Report Logic'!$A$2:$B$8, 2, FALSE)&amp;"]")),FALSE)="", "", VLOOKUP($A412,YES_Reading_FLA[],COLUMN(INDIRECT("YES_Reading_FLA[Difference - Per "&amp;VLOOKUP($G$4, 'Reading Report Logic'!$A$2:$B$8, 2, FALSE)&amp;"]")),FALSE))),""))),"")</f>
        <v/>
      </c>
    </row>
    <row r="413" spans="1:9" x14ac:dyDescent="0.25">
      <c r="A413" s="137"/>
      <c r="B413" s="137" t="str">
        <f>IFERROR(INDEX(_xlfn.VSTACK(YES_Writing_ELA[#Data], YES_Writing_FLA[#Data]),MATCH($A413,_xlfn.VSTACK(YES_Writing_ELA[Student Number], YES_Writing_FLA[Student Number]),0),MATCH(B$7,YES_Writing_ELA[#Headers],0)),IFERROR(INDEX(_xlfn.VSTACK(YES_Reading_ELA[#Data], YES_Reading_FLA[#Data]),MATCH($A413,_xlfn.VSTACK(YES_Reading_ELA[Student Number], YES_Reading_FLA[Student Number]),0),MATCH(B$7,YES_Reading_ELA[#Headers],0)),""))</f>
        <v/>
      </c>
      <c r="C413" s="137" t="str">
        <f>IFERROR(INDEX(_xlfn.VSTACK(YES_Writing_ELA[#Data], YES_Writing_FLA[#Data]),MATCH($A413,_xlfn.VSTACK(YES_Writing_ELA[Student Number], YES_Writing_FLA[Student Number]),0),MATCH(C$7,YES_Writing_ELA[#Headers],0)),IFERROR(INDEX(_xlfn.VSTACK(YES_Reading_ELA[#Data], YES_Reading_FLA[#Data]),MATCH($A413,_xlfn.VSTACK(YES_Reading_ELA[Student Number], YES_Reading_FLA[Student Number]),0),MATCH(C$7,YES_Reading_ELA[#Headers],0)),""))</f>
        <v/>
      </c>
      <c r="D413" s="138" t="str">
        <f>IFERROR(IF(IF(INDEX(_xlfn.VSTACK(YES_Writing_ELA[#Data],YES_Writing_FLA[#Data]),MATCH($A413,_xlfn.VSTACK(YES_Writing_ELA[Student Number],YES_Writing_FLA[Student Number]),0),MATCH(VLOOKUP(D$7,'Writing Logic'!$J$7:$K$11,2,FALSE)&amp;" - Per "&amp;VLOOKUP($C$4,'Writing Logic'!$G$8:$H$14,2,FALSE),YES_Writing_ELA[#Headers],0))=0,"",INDEX(_xlfn.VSTACK(YES_Writing_ELA[#Data],YES_Writing_FLA[#Data]),MATCH($A413,_xlfn.VSTACK(YES_Writing_ELA[Student Number],YES_Writing_FLA[Student Number]),0),MATCH(VLOOKUP(D$7,'Writing Logic'!$J$7:$K$11,2,FALSE)&amp;" - Per "&amp;VLOOKUP($C$4,'Writing Logic'!$G$8:$H$14,2,FALSE),YES_Writing_ELA[#Headers],0)))="INS",'Writing Logic'!$B$7,IF(INDEX(_xlfn.VSTACK(YES_Writing_ELA[#Data],YES_Writing_FLA[#Data]),MATCH($A413,_xlfn.VSTACK(YES_Writing_ELA[Student Number],YES_Writing_FLA[Student Number]),0),MATCH(VLOOKUP(D$7,'Writing Logic'!$J$7:$K$11,2,FALSE)&amp;" - Per "&amp;VLOOKUP($C$4,'Writing Logic'!$G$8:$H$14,2,FALSE),YES_Writing_ELA[#Headers],0))=0,"",INDEX(_xlfn.VSTACK(YES_Writing_ELA[#Data],YES_Writing_FLA[#Data]),MATCH($A413,_xlfn.VSTACK(YES_Writing_ELA[Student Number],YES_Writing_FLA[Student Number]),0),MATCH(VLOOKUP(D$7,'Writing Logic'!$J$7:$K$11,2,FALSE)&amp;" - Per "&amp;VLOOKUP($C$4,'Writing Logic'!$G$8:$H$14,2,FALSE),YES_Writing_ELA[#Headers],0)))),"")</f>
        <v/>
      </c>
      <c r="E413" s="138" t="str">
        <f>IFERROR(IF(IF(INDEX(_xlfn.VSTACK(YES_Writing_ELA[#Data],YES_Writing_FLA[#Data]),MATCH($A413,_xlfn.VSTACK(YES_Writing_ELA[Student Number],YES_Writing_FLA[Student Number]),0),MATCH(VLOOKUP(E$7,'Writing Logic'!$J$7:$K$11,2,FALSE)&amp;" - Per "&amp;VLOOKUP($C$4,'Writing Logic'!$G$8:$H$14,2,FALSE),YES_Writing_ELA[#Headers],0))=0,"",INDEX(_xlfn.VSTACK(YES_Writing_ELA[#Data],YES_Writing_FLA[#Data]),MATCH($A413,_xlfn.VSTACK(YES_Writing_ELA[Student Number],YES_Writing_FLA[Student Number]),0),MATCH(VLOOKUP(E$7,'Writing Logic'!$J$7:$K$11,2,FALSE)&amp;" - Per "&amp;VLOOKUP($C$4,'Writing Logic'!$G$8:$H$14,2,FALSE),YES_Writing_ELA[#Headers],0)))="INS",'Writing Logic'!$B$7,IF(INDEX(_xlfn.VSTACK(YES_Writing_ELA[#Data],YES_Writing_FLA[#Data]),MATCH($A413,_xlfn.VSTACK(YES_Writing_ELA[Student Number],YES_Writing_FLA[Student Number]),0),MATCH(VLOOKUP(E$7,'Writing Logic'!$J$7:$K$11,2,FALSE)&amp;" - Per "&amp;VLOOKUP($C$4,'Writing Logic'!$G$8:$H$14,2,FALSE),YES_Writing_ELA[#Headers],0))=0,"",INDEX(_xlfn.VSTACK(YES_Writing_ELA[#Data],YES_Writing_FLA[#Data]),MATCH($A413,_xlfn.VSTACK(YES_Writing_ELA[Student Number],YES_Writing_FLA[Student Number]),0),MATCH(VLOOKUP(E$7,'Writing Logic'!$J$7:$K$11,2,FALSE)&amp;" - Per "&amp;VLOOKUP($C$4,'Writing Logic'!$G$8:$H$14,2,FALSE),YES_Writing_ELA[#Headers],0)))),"")</f>
        <v/>
      </c>
      <c r="F413" s="138" t="str">
        <f>IFERROR(IF(IF(INDEX(_xlfn.VSTACK(YES_Writing_ELA[#Data],YES_Writing_FLA[#Data]),MATCH($A413,_xlfn.VSTACK(YES_Writing_ELA[Student Number],YES_Writing_FLA[Student Number]),0),MATCH(VLOOKUP(F$7,'Writing Logic'!$J$7:$K$11,2,FALSE)&amp;" - Per "&amp;VLOOKUP($C$4,'Writing Logic'!$G$8:$H$14,2,FALSE),YES_Writing_ELA[#Headers],0))=0,"",INDEX(_xlfn.VSTACK(YES_Writing_ELA[#Data],YES_Writing_FLA[#Data]),MATCH($A413,_xlfn.VSTACK(YES_Writing_ELA[Student Number],YES_Writing_FLA[Student Number]),0),MATCH(VLOOKUP(F$7,'Writing Logic'!$J$7:$K$11,2,FALSE)&amp;" - Per "&amp;VLOOKUP($C$4,'Writing Logic'!$G$8:$H$14,2,FALSE),YES_Writing_ELA[#Headers],0)))="INS",'Writing Logic'!$B$7,IF(INDEX(_xlfn.VSTACK(YES_Writing_ELA[#Data],YES_Writing_FLA[#Data]),MATCH($A413,_xlfn.VSTACK(YES_Writing_ELA[Student Number],YES_Writing_FLA[Student Number]),0),MATCH(VLOOKUP(F$7,'Writing Logic'!$J$7:$K$11,2,FALSE)&amp;" - Per "&amp;VLOOKUP($C$4,'Writing Logic'!$G$8:$H$14,2,FALSE),YES_Writing_ELA[#Headers],0))=0,"",INDEX(_xlfn.VSTACK(YES_Writing_ELA[#Data],YES_Writing_FLA[#Data]),MATCH($A413,_xlfn.VSTACK(YES_Writing_ELA[Student Number],YES_Writing_FLA[Student Number]),0),MATCH(VLOOKUP(F$7,'Writing Logic'!$J$7:$K$11,2,FALSE)&amp;" - Per "&amp;VLOOKUP($C$4,'Writing Logic'!$G$8:$H$14,2,FALSE),YES_Writing_ELA[#Headers],0)))),"")</f>
        <v/>
      </c>
      <c r="G413" s="138" t="str">
        <f>IFERROR(IF(IF(INDEX(_xlfn.VSTACK(YES_Writing_ELA[#Data],YES_Writing_FLA[#Data]),MATCH($A413,_xlfn.VSTACK(YES_Writing_ELA[Student Number],YES_Writing_FLA[Student Number]),0),MATCH(VLOOKUP(G$7,'Writing Logic'!$J$7:$K$11,2,FALSE)&amp;" - Per "&amp;VLOOKUP($C$4,'Writing Logic'!$G$8:$H$14,2,FALSE),YES_Writing_ELA[#Headers],0))=0,"",INDEX(_xlfn.VSTACK(YES_Writing_ELA[#Data],YES_Writing_FLA[#Data]),MATCH($A413,_xlfn.VSTACK(YES_Writing_ELA[Student Number],YES_Writing_FLA[Student Number]),0),MATCH(VLOOKUP(G$7,'Writing Logic'!$J$7:$K$11,2,FALSE)&amp;" - Per "&amp;VLOOKUP($C$4,'Writing Logic'!$G$8:$H$14,2,FALSE),YES_Writing_ELA[#Headers],0)))="INS",'Writing Logic'!$B$7,IF(INDEX(_xlfn.VSTACK(YES_Writing_ELA[#Data],YES_Writing_FLA[#Data]),MATCH($A413,_xlfn.VSTACK(YES_Writing_ELA[Student Number],YES_Writing_FLA[Student Number]),0),MATCH(VLOOKUP(G$7,'Writing Logic'!$J$7:$K$11,2,FALSE)&amp;" - Per "&amp;VLOOKUP($C$4,'Writing Logic'!$G$8:$H$14,2,FALSE),YES_Writing_ELA[#Headers],0))=0,"",INDEX(_xlfn.VSTACK(YES_Writing_ELA[#Data],YES_Writing_FLA[#Data]),MATCH($A413,_xlfn.VSTACK(YES_Writing_ELA[Student Number],YES_Writing_FLA[Student Number]),0),MATCH(VLOOKUP(G$7,'Writing Logic'!$J$7:$K$11,2,FALSE)&amp;" - Per "&amp;VLOOKUP($C$4,'Writing Logic'!$G$8:$H$14,2,FALSE),YES_Writing_ELA[#Headers],0)))),"")</f>
        <v/>
      </c>
      <c r="H413" s="223" t="str">
        <f>IFERROR(IF(IF(INDEX(_xlfn.VSTACK(YES_Writing_ELA[#Data],YES_Writing_FLA[#Data]),MATCH($A413,_xlfn.VSTACK(YES_Writing_ELA[Student Number],YES_Writing_FLA[Student Number]),0),MATCH(VLOOKUP(H$7,'Writing Logic'!$J$7:$K$11,2,FALSE)&amp;" - Per "&amp;VLOOKUP($C$4,'Writing Logic'!$G$8:$H$14,2,FALSE),YES_Writing_ELA[#Headers],0))=0,"",INDEX(_xlfn.VSTACK(YES_Writing_ELA[#Data],YES_Writing_FLA[#Data]),MATCH($A413,_xlfn.VSTACK(YES_Writing_ELA[Student Number],YES_Writing_FLA[Student Number]),0),MATCH(VLOOKUP(H$7,'Writing Logic'!$J$7:$K$11,2,FALSE)&amp;" - Per "&amp;VLOOKUP($C$4,'Writing Logic'!$G$8:$H$14,2,FALSE),YES_Writing_ELA[#Headers],0)))="INS",'Writing Logic'!$B$7,IF(INDEX(_xlfn.VSTACK(YES_Writing_ELA[#Data],YES_Writing_FLA[#Data]),MATCH($A413,_xlfn.VSTACK(YES_Writing_ELA[Student Number],YES_Writing_FLA[Student Number]),0),MATCH(VLOOKUP(H$7,'Writing Logic'!$J$7:$K$11,2,FALSE)&amp;" - Per "&amp;VLOOKUP($C$4,'Writing Logic'!$G$8:$H$14,2,FALSE),YES_Writing_ELA[#Headers],0))=0,"",INDEX(_xlfn.VSTACK(YES_Writing_ELA[#Data],YES_Writing_FLA[#Data]),MATCH($A413,_xlfn.VSTACK(YES_Writing_ELA[Student Number],YES_Writing_FLA[Student Number]),0),MATCH(VLOOKUP(H$7,'Writing Logic'!$J$7:$K$11,2,FALSE)&amp;" - Per "&amp;VLOOKUP($C$4,'Writing Logic'!$G$8:$H$14,2,FALSE),YES_Writing_ELA[#Headers],0)))),"")</f>
        <v/>
      </c>
      <c r="I413" s="224" t="str" cm="1">
        <f t="array" aca="1" ref="I413" ca="1">IFERROR(
IF($G$3="ELA",
IF(VLOOKUP($A413, YES_Reading_ELA[], COLUMN(INDIRECT("YES_Reading_ELA[Difference - Per "&amp;VLOOKUP($G$4, 'Reading Report Logic'!$A$2:$B$8, 2, FALSE)&amp;"]")), FALSE)="", "",
VLOOKUP($A413,YES_Reading_ELA[], COLUMN(INDIRECT("YES_Reading_ELA[Difference - Per "&amp;VLOOKUP($G$4,'Reading Report Logic'!$A$2:$B$8,2,FALSE)&amp;"]")), FALSE)),
IF($G$3="FLA",
IF(VLOOKUP($A413, YES_Reading_FLA[], COLUMN(INDIRECT("YES_Reading_FLA[Difference - Per "&amp;VLOOKUP($G$4,'Reading Report Logic'!$A$2:$B$8,2,FALSE)&amp;"]")),FALSE)="","",
VLOOKUP($A413,YES_Reading_FLA[],COLUMN(INDIRECT("YES_Reading_FLA[Difference - Per "&amp;VLOOKUP($G$4,'Reading Report Logic'!$A$2:$B$8,2,FALSE)&amp;"]")),FALSE)),
IF($G$3="Combined",
IFERROR(
IF(VLOOKUP($A413, YES_Reading_ELA[], COLUMN(INDIRECT("YES_Reading_ELA[Difference - Per "&amp;VLOOKUP($G$4, 'Reading Report Logic'!$A$2:$B$8,2,FALSE)&amp;"]")), FALSE)="", "",
VLOOKUP($A413,YES_Reading_ELA[],COLUMN(INDIRECT("YES_Reading_ELA[Difference - Per "&amp;VLOOKUP($G$4,'Reading Report Logic'!$A$2:$B$8,2,FALSE)&amp;"]")),FALSE)),
IF(VLOOKUP($A413, YES_Reading_FLA[], COLUMN(INDIRECT("YES_Reading_FLA[Difference - Per "&amp;VLOOKUP($G$4, 'Reading Report Logic'!$A$2:$B$8, 2, FALSE)&amp;"]")),FALSE)="", "", VLOOKUP($A413,YES_Reading_FLA[],COLUMN(INDIRECT("YES_Reading_FLA[Difference - Per "&amp;VLOOKUP($G$4, 'Reading Report Logic'!$A$2:$B$8, 2, FALSE)&amp;"]")),FALSE))),""))),"")</f>
        <v/>
      </c>
    </row>
    <row r="414" spans="1:9" x14ac:dyDescent="0.25">
      <c r="A414" s="137"/>
      <c r="B414" s="137" t="str">
        <f>IFERROR(INDEX(_xlfn.VSTACK(YES_Writing_ELA[#Data], YES_Writing_FLA[#Data]),MATCH($A414,_xlfn.VSTACK(YES_Writing_ELA[Student Number], YES_Writing_FLA[Student Number]),0),MATCH(B$7,YES_Writing_ELA[#Headers],0)),IFERROR(INDEX(_xlfn.VSTACK(YES_Reading_ELA[#Data], YES_Reading_FLA[#Data]),MATCH($A414,_xlfn.VSTACK(YES_Reading_ELA[Student Number], YES_Reading_FLA[Student Number]),0),MATCH(B$7,YES_Reading_ELA[#Headers],0)),""))</f>
        <v/>
      </c>
      <c r="C414" s="137" t="str">
        <f>IFERROR(INDEX(_xlfn.VSTACK(YES_Writing_ELA[#Data], YES_Writing_FLA[#Data]),MATCH($A414,_xlfn.VSTACK(YES_Writing_ELA[Student Number], YES_Writing_FLA[Student Number]),0),MATCH(C$7,YES_Writing_ELA[#Headers],0)),IFERROR(INDEX(_xlfn.VSTACK(YES_Reading_ELA[#Data], YES_Reading_FLA[#Data]),MATCH($A414,_xlfn.VSTACK(YES_Reading_ELA[Student Number], YES_Reading_FLA[Student Number]),0),MATCH(C$7,YES_Reading_ELA[#Headers],0)),""))</f>
        <v/>
      </c>
      <c r="D414" s="138" t="str">
        <f>IFERROR(IF(IF(INDEX(_xlfn.VSTACK(YES_Writing_ELA[#Data],YES_Writing_FLA[#Data]),MATCH($A414,_xlfn.VSTACK(YES_Writing_ELA[Student Number],YES_Writing_FLA[Student Number]),0),MATCH(VLOOKUP(D$7,'Writing Logic'!$J$7:$K$11,2,FALSE)&amp;" - Per "&amp;VLOOKUP($C$4,'Writing Logic'!$G$8:$H$14,2,FALSE),YES_Writing_ELA[#Headers],0))=0,"",INDEX(_xlfn.VSTACK(YES_Writing_ELA[#Data],YES_Writing_FLA[#Data]),MATCH($A414,_xlfn.VSTACK(YES_Writing_ELA[Student Number],YES_Writing_FLA[Student Number]),0),MATCH(VLOOKUP(D$7,'Writing Logic'!$J$7:$K$11,2,FALSE)&amp;" - Per "&amp;VLOOKUP($C$4,'Writing Logic'!$G$8:$H$14,2,FALSE),YES_Writing_ELA[#Headers],0)))="INS",'Writing Logic'!$B$7,IF(INDEX(_xlfn.VSTACK(YES_Writing_ELA[#Data],YES_Writing_FLA[#Data]),MATCH($A414,_xlfn.VSTACK(YES_Writing_ELA[Student Number],YES_Writing_FLA[Student Number]),0),MATCH(VLOOKUP(D$7,'Writing Logic'!$J$7:$K$11,2,FALSE)&amp;" - Per "&amp;VLOOKUP($C$4,'Writing Logic'!$G$8:$H$14,2,FALSE),YES_Writing_ELA[#Headers],0))=0,"",INDEX(_xlfn.VSTACK(YES_Writing_ELA[#Data],YES_Writing_FLA[#Data]),MATCH($A414,_xlfn.VSTACK(YES_Writing_ELA[Student Number],YES_Writing_FLA[Student Number]),0),MATCH(VLOOKUP(D$7,'Writing Logic'!$J$7:$K$11,2,FALSE)&amp;" - Per "&amp;VLOOKUP($C$4,'Writing Logic'!$G$8:$H$14,2,FALSE),YES_Writing_ELA[#Headers],0)))),"")</f>
        <v/>
      </c>
      <c r="E414" s="138" t="str">
        <f>IFERROR(IF(IF(INDEX(_xlfn.VSTACK(YES_Writing_ELA[#Data],YES_Writing_FLA[#Data]),MATCH($A414,_xlfn.VSTACK(YES_Writing_ELA[Student Number],YES_Writing_FLA[Student Number]),0),MATCH(VLOOKUP(E$7,'Writing Logic'!$J$7:$K$11,2,FALSE)&amp;" - Per "&amp;VLOOKUP($C$4,'Writing Logic'!$G$8:$H$14,2,FALSE),YES_Writing_ELA[#Headers],0))=0,"",INDEX(_xlfn.VSTACK(YES_Writing_ELA[#Data],YES_Writing_FLA[#Data]),MATCH($A414,_xlfn.VSTACK(YES_Writing_ELA[Student Number],YES_Writing_FLA[Student Number]),0),MATCH(VLOOKUP(E$7,'Writing Logic'!$J$7:$K$11,2,FALSE)&amp;" - Per "&amp;VLOOKUP($C$4,'Writing Logic'!$G$8:$H$14,2,FALSE),YES_Writing_ELA[#Headers],0)))="INS",'Writing Logic'!$B$7,IF(INDEX(_xlfn.VSTACK(YES_Writing_ELA[#Data],YES_Writing_FLA[#Data]),MATCH($A414,_xlfn.VSTACK(YES_Writing_ELA[Student Number],YES_Writing_FLA[Student Number]),0),MATCH(VLOOKUP(E$7,'Writing Logic'!$J$7:$K$11,2,FALSE)&amp;" - Per "&amp;VLOOKUP($C$4,'Writing Logic'!$G$8:$H$14,2,FALSE),YES_Writing_ELA[#Headers],0))=0,"",INDEX(_xlfn.VSTACK(YES_Writing_ELA[#Data],YES_Writing_FLA[#Data]),MATCH($A414,_xlfn.VSTACK(YES_Writing_ELA[Student Number],YES_Writing_FLA[Student Number]),0),MATCH(VLOOKUP(E$7,'Writing Logic'!$J$7:$K$11,2,FALSE)&amp;" - Per "&amp;VLOOKUP($C$4,'Writing Logic'!$G$8:$H$14,2,FALSE),YES_Writing_ELA[#Headers],0)))),"")</f>
        <v/>
      </c>
      <c r="F414" s="138" t="str">
        <f>IFERROR(IF(IF(INDEX(_xlfn.VSTACK(YES_Writing_ELA[#Data],YES_Writing_FLA[#Data]),MATCH($A414,_xlfn.VSTACK(YES_Writing_ELA[Student Number],YES_Writing_FLA[Student Number]),0),MATCH(VLOOKUP(F$7,'Writing Logic'!$J$7:$K$11,2,FALSE)&amp;" - Per "&amp;VLOOKUP($C$4,'Writing Logic'!$G$8:$H$14,2,FALSE),YES_Writing_ELA[#Headers],0))=0,"",INDEX(_xlfn.VSTACK(YES_Writing_ELA[#Data],YES_Writing_FLA[#Data]),MATCH($A414,_xlfn.VSTACK(YES_Writing_ELA[Student Number],YES_Writing_FLA[Student Number]),0),MATCH(VLOOKUP(F$7,'Writing Logic'!$J$7:$K$11,2,FALSE)&amp;" - Per "&amp;VLOOKUP($C$4,'Writing Logic'!$G$8:$H$14,2,FALSE),YES_Writing_ELA[#Headers],0)))="INS",'Writing Logic'!$B$7,IF(INDEX(_xlfn.VSTACK(YES_Writing_ELA[#Data],YES_Writing_FLA[#Data]),MATCH($A414,_xlfn.VSTACK(YES_Writing_ELA[Student Number],YES_Writing_FLA[Student Number]),0),MATCH(VLOOKUP(F$7,'Writing Logic'!$J$7:$K$11,2,FALSE)&amp;" - Per "&amp;VLOOKUP($C$4,'Writing Logic'!$G$8:$H$14,2,FALSE),YES_Writing_ELA[#Headers],0))=0,"",INDEX(_xlfn.VSTACK(YES_Writing_ELA[#Data],YES_Writing_FLA[#Data]),MATCH($A414,_xlfn.VSTACK(YES_Writing_ELA[Student Number],YES_Writing_FLA[Student Number]),0),MATCH(VLOOKUP(F$7,'Writing Logic'!$J$7:$K$11,2,FALSE)&amp;" - Per "&amp;VLOOKUP($C$4,'Writing Logic'!$G$8:$H$14,2,FALSE),YES_Writing_ELA[#Headers],0)))),"")</f>
        <v/>
      </c>
      <c r="G414" s="138" t="str">
        <f>IFERROR(IF(IF(INDEX(_xlfn.VSTACK(YES_Writing_ELA[#Data],YES_Writing_FLA[#Data]),MATCH($A414,_xlfn.VSTACK(YES_Writing_ELA[Student Number],YES_Writing_FLA[Student Number]),0),MATCH(VLOOKUP(G$7,'Writing Logic'!$J$7:$K$11,2,FALSE)&amp;" - Per "&amp;VLOOKUP($C$4,'Writing Logic'!$G$8:$H$14,2,FALSE),YES_Writing_ELA[#Headers],0))=0,"",INDEX(_xlfn.VSTACK(YES_Writing_ELA[#Data],YES_Writing_FLA[#Data]),MATCH($A414,_xlfn.VSTACK(YES_Writing_ELA[Student Number],YES_Writing_FLA[Student Number]),0),MATCH(VLOOKUP(G$7,'Writing Logic'!$J$7:$K$11,2,FALSE)&amp;" - Per "&amp;VLOOKUP($C$4,'Writing Logic'!$G$8:$H$14,2,FALSE),YES_Writing_ELA[#Headers],0)))="INS",'Writing Logic'!$B$7,IF(INDEX(_xlfn.VSTACK(YES_Writing_ELA[#Data],YES_Writing_FLA[#Data]),MATCH($A414,_xlfn.VSTACK(YES_Writing_ELA[Student Number],YES_Writing_FLA[Student Number]),0),MATCH(VLOOKUP(G$7,'Writing Logic'!$J$7:$K$11,2,FALSE)&amp;" - Per "&amp;VLOOKUP($C$4,'Writing Logic'!$G$8:$H$14,2,FALSE),YES_Writing_ELA[#Headers],0))=0,"",INDEX(_xlfn.VSTACK(YES_Writing_ELA[#Data],YES_Writing_FLA[#Data]),MATCH($A414,_xlfn.VSTACK(YES_Writing_ELA[Student Number],YES_Writing_FLA[Student Number]),0),MATCH(VLOOKUP(G$7,'Writing Logic'!$J$7:$K$11,2,FALSE)&amp;" - Per "&amp;VLOOKUP($C$4,'Writing Logic'!$G$8:$H$14,2,FALSE),YES_Writing_ELA[#Headers],0)))),"")</f>
        <v/>
      </c>
      <c r="H414" s="223" t="str">
        <f>IFERROR(IF(IF(INDEX(_xlfn.VSTACK(YES_Writing_ELA[#Data],YES_Writing_FLA[#Data]),MATCH($A414,_xlfn.VSTACK(YES_Writing_ELA[Student Number],YES_Writing_FLA[Student Number]),0),MATCH(VLOOKUP(H$7,'Writing Logic'!$J$7:$K$11,2,FALSE)&amp;" - Per "&amp;VLOOKUP($C$4,'Writing Logic'!$G$8:$H$14,2,FALSE),YES_Writing_ELA[#Headers],0))=0,"",INDEX(_xlfn.VSTACK(YES_Writing_ELA[#Data],YES_Writing_FLA[#Data]),MATCH($A414,_xlfn.VSTACK(YES_Writing_ELA[Student Number],YES_Writing_FLA[Student Number]),0),MATCH(VLOOKUP(H$7,'Writing Logic'!$J$7:$K$11,2,FALSE)&amp;" - Per "&amp;VLOOKUP($C$4,'Writing Logic'!$G$8:$H$14,2,FALSE),YES_Writing_ELA[#Headers],0)))="INS",'Writing Logic'!$B$7,IF(INDEX(_xlfn.VSTACK(YES_Writing_ELA[#Data],YES_Writing_FLA[#Data]),MATCH($A414,_xlfn.VSTACK(YES_Writing_ELA[Student Number],YES_Writing_FLA[Student Number]),0),MATCH(VLOOKUP(H$7,'Writing Logic'!$J$7:$K$11,2,FALSE)&amp;" - Per "&amp;VLOOKUP($C$4,'Writing Logic'!$G$8:$H$14,2,FALSE),YES_Writing_ELA[#Headers],0))=0,"",INDEX(_xlfn.VSTACK(YES_Writing_ELA[#Data],YES_Writing_FLA[#Data]),MATCH($A414,_xlfn.VSTACK(YES_Writing_ELA[Student Number],YES_Writing_FLA[Student Number]),0),MATCH(VLOOKUP(H$7,'Writing Logic'!$J$7:$K$11,2,FALSE)&amp;" - Per "&amp;VLOOKUP($C$4,'Writing Logic'!$G$8:$H$14,2,FALSE),YES_Writing_ELA[#Headers],0)))),"")</f>
        <v/>
      </c>
      <c r="I414" s="224" t="str" cm="1">
        <f t="array" aca="1" ref="I414" ca="1">IFERROR(
IF($G$3="ELA",
IF(VLOOKUP($A414, YES_Reading_ELA[], COLUMN(INDIRECT("YES_Reading_ELA[Difference - Per "&amp;VLOOKUP($G$4, 'Reading Report Logic'!$A$2:$B$8, 2, FALSE)&amp;"]")), FALSE)="", "",
VLOOKUP($A414,YES_Reading_ELA[], COLUMN(INDIRECT("YES_Reading_ELA[Difference - Per "&amp;VLOOKUP($G$4,'Reading Report Logic'!$A$2:$B$8,2,FALSE)&amp;"]")), FALSE)),
IF($G$3="FLA",
IF(VLOOKUP($A414, YES_Reading_FLA[], COLUMN(INDIRECT("YES_Reading_FLA[Difference - Per "&amp;VLOOKUP($G$4,'Reading Report Logic'!$A$2:$B$8,2,FALSE)&amp;"]")),FALSE)="","",
VLOOKUP($A414,YES_Reading_FLA[],COLUMN(INDIRECT("YES_Reading_FLA[Difference - Per "&amp;VLOOKUP($G$4,'Reading Report Logic'!$A$2:$B$8,2,FALSE)&amp;"]")),FALSE)),
IF($G$3="Combined",
IFERROR(
IF(VLOOKUP($A414, YES_Reading_ELA[], COLUMN(INDIRECT("YES_Reading_ELA[Difference - Per "&amp;VLOOKUP($G$4, 'Reading Report Logic'!$A$2:$B$8,2,FALSE)&amp;"]")), FALSE)="", "",
VLOOKUP($A414,YES_Reading_ELA[],COLUMN(INDIRECT("YES_Reading_ELA[Difference - Per "&amp;VLOOKUP($G$4,'Reading Report Logic'!$A$2:$B$8,2,FALSE)&amp;"]")),FALSE)),
IF(VLOOKUP($A414, YES_Reading_FLA[], COLUMN(INDIRECT("YES_Reading_FLA[Difference - Per "&amp;VLOOKUP($G$4, 'Reading Report Logic'!$A$2:$B$8, 2, FALSE)&amp;"]")),FALSE)="", "", VLOOKUP($A414,YES_Reading_FLA[],COLUMN(INDIRECT("YES_Reading_FLA[Difference - Per "&amp;VLOOKUP($G$4, 'Reading Report Logic'!$A$2:$B$8, 2, FALSE)&amp;"]")),FALSE))),""))),"")</f>
        <v/>
      </c>
    </row>
    <row r="415" spans="1:9" x14ac:dyDescent="0.25">
      <c r="A415" s="137"/>
      <c r="B415" s="137" t="str">
        <f>IFERROR(INDEX(_xlfn.VSTACK(YES_Writing_ELA[#Data], YES_Writing_FLA[#Data]),MATCH($A415,_xlfn.VSTACK(YES_Writing_ELA[Student Number], YES_Writing_FLA[Student Number]),0),MATCH(B$7,YES_Writing_ELA[#Headers],0)),IFERROR(INDEX(_xlfn.VSTACK(YES_Reading_ELA[#Data], YES_Reading_FLA[#Data]),MATCH($A415,_xlfn.VSTACK(YES_Reading_ELA[Student Number], YES_Reading_FLA[Student Number]),0),MATCH(B$7,YES_Reading_ELA[#Headers],0)),""))</f>
        <v/>
      </c>
      <c r="C415" s="137" t="str">
        <f>IFERROR(INDEX(_xlfn.VSTACK(YES_Writing_ELA[#Data], YES_Writing_FLA[#Data]),MATCH($A415,_xlfn.VSTACK(YES_Writing_ELA[Student Number], YES_Writing_FLA[Student Number]),0),MATCH(C$7,YES_Writing_ELA[#Headers],0)),IFERROR(INDEX(_xlfn.VSTACK(YES_Reading_ELA[#Data], YES_Reading_FLA[#Data]),MATCH($A415,_xlfn.VSTACK(YES_Reading_ELA[Student Number], YES_Reading_FLA[Student Number]),0),MATCH(C$7,YES_Reading_ELA[#Headers],0)),""))</f>
        <v/>
      </c>
      <c r="D415" s="138" t="str">
        <f>IFERROR(IF(IF(INDEX(_xlfn.VSTACK(YES_Writing_ELA[#Data],YES_Writing_FLA[#Data]),MATCH($A415,_xlfn.VSTACK(YES_Writing_ELA[Student Number],YES_Writing_FLA[Student Number]),0),MATCH(VLOOKUP(D$7,'Writing Logic'!$J$7:$K$11,2,FALSE)&amp;" - Per "&amp;VLOOKUP($C$4,'Writing Logic'!$G$8:$H$14,2,FALSE),YES_Writing_ELA[#Headers],0))=0,"",INDEX(_xlfn.VSTACK(YES_Writing_ELA[#Data],YES_Writing_FLA[#Data]),MATCH($A415,_xlfn.VSTACK(YES_Writing_ELA[Student Number],YES_Writing_FLA[Student Number]),0),MATCH(VLOOKUP(D$7,'Writing Logic'!$J$7:$K$11,2,FALSE)&amp;" - Per "&amp;VLOOKUP($C$4,'Writing Logic'!$G$8:$H$14,2,FALSE),YES_Writing_ELA[#Headers],0)))="INS",'Writing Logic'!$B$7,IF(INDEX(_xlfn.VSTACK(YES_Writing_ELA[#Data],YES_Writing_FLA[#Data]),MATCH($A415,_xlfn.VSTACK(YES_Writing_ELA[Student Number],YES_Writing_FLA[Student Number]),0),MATCH(VLOOKUP(D$7,'Writing Logic'!$J$7:$K$11,2,FALSE)&amp;" - Per "&amp;VLOOKUP($C$4,'Writing Logic'!$G$8:$H$14,2,FALSE),YES_Writing_ELA[#Headers],0))=0,"",INDEX(_xlfn.VSTACK(YES_Writing_ELA[#Data],YES_Writing_FLA[#Data]),MATCH($A415,_xlfn.VSTACK(YES_Writing_ELA[Student Number],YES_Writing_FLA[Student Number]),0),MATCH(VLOOKUP(D$7,'Writing Logic'!$J$7:$K$11,2,FALSE)&amp;" - Per "&amp;VLOOKUP($C$4,'Writing Logic'!$G$8:$H$14,2,FALSE),YES_Writing_ELA[#Headers],0)))),"")</f>
        <v/>
      </c>
      <c r="E415" s="138" t="str">
        <f>IFERROR(IF(IF(INDEX(_xlfn.VSTACK(YES_Writing_ELA[#Data],YES_Writing_FLA[#Data]),MATCH($A415,_xlfn.VSTACK(YES_Writing_ELA[Student Number],YES_Writing_FLA[Student Number]),0),MATCH(VLOOKUP(E$7,'Writing Logic'!$J$7:$K$11,2,FALSE)&amp;" - Per "&amp;VLOOKUP($C$4,'Writing Logic'!$G$8:$H$14,2,FALSE),YES_Writing_ELA[#Headers],0))=0,"",INDEX(_xlfn.VSTACK(YES_Writing_ELA[#Data],YES_Writing_FLA[#Data]),MATCH($A415,_xlfn.VSTACK(YES_Writing_ELA[Student Number],YES_Writing_FLA[Student Number]),0),MATCH(VLOOKUP(E$7,'Writing Logic'!$J$7:$K$11,2,FALSE)&amp;" - Per "&amp;VLOOKUP($C$4,'Writing Logic'!$G$8:$H$14,2,FALSE),YES_Writing_ELA[#Headers],0)))="INS",'Writing Logic'!$B$7,IF(INDEX(_xlfn.VSTACK(YES_Writing_ELA[#Data],YES_Writing_FLA[#Data]),MATCH($A415,_xlfn.VSTACK(YES_Writing_ELA[Student Number],YES_Writing_FLA[Student Number]),0),MATCH(VLOOKUP(E$7,'Writing Logic'!$J$7:$K$11,2,FALSE)&amp;" - Per "&amp;VLOOKUP($C$4,'Writing Logic'!$G$8:$H$14,2,FALSE),YES_Writing_ELA[#Headers],0))=0,"",INDEX(_xlfn.VSTACK(YES_Writing_ELA[#Data],YES_Writing_FLA[#Data]),MATCH($A415,_xlfn.VSTACK(YES_Writing_ELA[Student Number],YES_Writing_FLA[Student Number]),0),MATCH(VLOOKUP(E$7,'Writing Logic'!$J$7:$K$11,2,FALSE)&amp;" - Per "&amp;VLOOKUP($C$4,'Writing Logic'!$G$8:$H$14,2,FALSE),YES_Writing_ELA[#Headers],0)))),"")</f>
        <v/>
      </c>
      <c r="F415" s="138" t="str">
        <f>IFERROR(IF(IF(INDEX(_xlfn.VSTACK(YES_Writing_ELA[#Data],YES_Writing_FLA[#Data]),MATCH($A415,_xlfn.VSTACK(YES_Writing_ELA[Student Number],YES_Writing_FLA[Student Number]),0),MATCH(VLOOKUP(F$7,'Writing Logic'!$J$7:$K$11,2,FALSE)&amp;" - Per "&amp;VLOOKUP($C$4,'Writing Logic'!$G$8:$H$14,2,FALSE),YES_Writing_ELA[#Headers],0))=0,"",INDEX(_xlfn.VSTACK(YES_Writing_ELA[#Data],YES_Writing_FLA[#Data]),MATCH($A415,_xlfn.VSTACK(YES_Writing_ELA[Student Number],YES_Writing_FLA[Student Number]),0),MATCH(VLOOKUP(F$7,'Writing Logic'!$J$7:$K$11,2,FALSE)&amp;" - Per "&amp;VLOOKUP($C$4,'Writing Logic'!$G$8:$H$14,2,FALSE),YES_Writing_ELA[#Headers],0)))="INS",'Writing Logic'!$B$7,IF(INDEX(_xlfn.VSTACK(YES_Writing_ELA[#Data],YES_Writing_FLA[#Data]),MATCH($A415,_xlfn.VSTACK(YES_Writing_ELA[Student Number],YES_Writing_FLA[Student Number]),0),MATCH(VLOOKUP(F$7,'Writing Logic'!$J$7:$K$11,2,FALSE)&amp;" - Per "&amp;VLOOKUP($C$4,'Writing Logic'!$G$8:$H$14,2,FALSE),YES_Writing_ELA[#Headers],0))=0,"",INDEX(_xlfn.VSTACK(YES_Writing_ELA[#Data],YES_Writing_FLA[#Data]),MATCH($A415,_xlfn.VSTACK(YES_Writing_ELA[Student Number],YES_Writing_FLA[Student Number]),0),MATCH(VLOOKUP(F$7,'Writing Logic'!$J$7:$K$11,2,FALSE)&amp;" - Per "&amp;VLOOKUP($C$4,'Writing Logic'!$G$8:$H$14,2,FALSE),YES_Writing_ELA[#Headers],0)))),"")</f>
        <v/>
      </c>
      <c r="G415" s="138" t="str">
        <f>IFERROR(IF(IF(INDEX(_xlfn.VSTACK(YES_Writing_ELA[#Data],YES_Writing_FLA[#Data]),MATCH($A415,_xlfn.VSTACK(YES_Writing_ELA[Student Number],YES_Writing_FLA[Student Number]),0),MATCH(VLOOKUP(G$7,'Writing Logic'!$J$7:$K$11,2,FALSE)&amp;" - Per "&amp;VLOOKUP($C$4,'Writing Logic'!$G$8:$H$14,2,FALSE),YES_Writing_ELA[#Headers],0))=0,"",INDEX(_xlfn.VSTACK(YES_Writing_ELA[#Data],YES_Writing_FLA[#Data]),MATCH($A415,_xlfn.VSTACK(YES_Writing_ELA[Student Number],YES_Writing_FLA[Student Number]),0),MATCH(VLOOKUP(G$7,'Writing Logic'!$J$7:$K$11,2,FALSE)&amp;" - Per "&amp;VLOOKUP($C$4,'Writing Logic'!$G$8:$H$14,2,FALSE),YES_Writing_ELA[#Headers],0)))="INS",'Writing Logic'!$B$7,IF(INDEX(_xlfn.VSTACK(YES_Writing_ELA[#Data],YES_Writing_FLA[#Data]),MATCH($A415,_xlfn.VSTACK(YES_Writing_ELA[Student Number],YES_Writing_FLA[Student Number]),0),MATCH(VLOOKUP(G$7,'Writing Logic'!$J$7:$K$11,2,FALSE)&amp;" - Per "&amp;VLOOKUP($C$4,'Writing Logic'!$G$8:$H$14,2,FALSE),YES_Writing_ELA[#Headers],0))=0,"",INDEX(_xlfn.VSTACK(YES_Writing_ELA[#Data],YES_Writing_FLA[#Data]),MATCH($A415,_xlfn.VSTACK(YES_Writing_ELA[Student Number],YES_Writing_FLA[Student Number]),0),MATCH(VLOOKUP(G$7,'Writing Logic'!$J$7:$K$11,2,FALSE)&amp;" - Per "&amp;VLOOKUP($C$4,'Writing Logic'!$G$8:$H$14,2,FALSE),YES_Writing_ELA[#Headers],0)))),"")</f>
        <v/>
      </c>
      <c r="H415" s="223" t="str">
        <f>IFERROR(IF(IF(INDEX(_xlfn.VSTACK(YES_Writing_ELA[#Data],YES_Writing_FLA[#Data]),MATCH($A415,_xlfn.VSTACK(YES_Writing_ELA[Student Number],YES_Writing_FLA[Student Number]),0),MATCH(VLOOKUP(H$7,'Writing Logic'!$J$7:$K$11,2,FALSE)&amp;" - Per "&amp;VLOOKUP($C$4,'Writing Logic'!$G$8:$H$14,2,FALSE),YES_Writing_ELA[#Headers],0))=0,"",INDEX(_xlfn.VSTACK(YES_Writing_ELA[#Data],YES_Writing_FLA[#Data]),MATCH($A415,_xlfn.VSTACK(YES_Writing_ELA[Student Number],YES_Writing_FLA[Student Number]),0),MATCH(VLOOKUP(H$7,'Writing Logic'!$J$7:$K$11,2,FALSE)&amp;" - Per "&amp;VLOOKUP($C$4,'Writing Logic'!$G$8:$H$14,2,FALSE),YES_Writing_ELA[#Headers],0)))="INS",'Writing Logic'!$B$7,IF(INDEX(_xlfn.VSTACK(YES_Writing_ELA[#Data],YES_Writing_FLA[#Data]),MATCH($A415,_xlfn.VSTACK(YES_Writing_ELA[Student Number],YES_Writing_FLA[Student Number]),0),MATCH(VLOOKUP(H$7,'Writing Logic'!$J$7:$K$11,2,FALSE)&amp;" - Per "&amp;VLOOKUP($C$4,'Writing Logic'!$G$8:$H$14,2,FALSE),YES_Writing_ELA[#Headers],0))=0,"",INDEX(_xlfn.VSTACK(YES_Writing_ELA[#Data],YES_Writing_FLA[#Data]),MATCH($A415,_xlfn.VSTACK(YES_Writing_ELA[Student Number],YES_Writing_FLA[Student Number]),0),MATCH(VLOOKUP(H$7,'Writing Logic'!$J$7:$K$11,2,FALSE)&amp;" - Per "&amp;VLOOKUP($C$4,'Writing Logic'!$G$8:$H$14,2,FALSE),YES_Writing_ELA[#Headers],0)))),"")</f>
        <v/>
      </c>
      <c r="I415" s="224" t="str" cm="1">
        <f t="array" aca="1" ref="I415" ca="1">IFERROR(
IF($G$3="ELA",
IF(VLOOKUP($A415, YES_Reading_ELA[], COLUMN(INDIRECT("YES_Reading_ELA[Difference - Per "&amp;VLOOKUP($G$4, 'Reading Report Logic'!$A$2:$B$8, 2, FALSE)&amp;"]")), FALSE)="", "",
VLOOKUP($A415,YES_Reading_ELA[], COLUMN(INDIRECT("YES_Reading_ELA[Difference - Per "&amp;VLOOKUP($G$4,'Reading Report Logic'!$A$2:$B$8,2,FALSE)&amp;"]")), FALSE)),
IF($G$3="FLA",
IF(VLOOKUP($A415, YES_Reading_FLA[], COLUMN(INDIRECT("YES_Reading_FLA[Difference - Per "&amp;VLOOKUP($G$4,'Reading Report Logic'!$A$2:$B$8,2,FALSE)&amp;"]")),FALSE)="","",
VLOOKUP($A415,YES_Reading_FLA[],COLUMN(INDIRECT("YES_Reading_FLA[Difference - Per "&amp;VLOOKUP($G$4,'Reading Report Logic'!$A$2:$B$8,2,FALSE)&amp;"]")),FALSE)),
IF($G$3="Combined",
IFERROR(
IF(VLOOKUP($A415, YES_Reading_ELA[], COLUMN(INDIRECT("YES_Reading_ELA[Difference - Per "&amp;VLOOKUP($G$4, 'Reading Report Logic'!$A$2:$B$8,2,FALSE)&amp;"]")), FALSE)="", "",
VLOOKUP($A415,YES_Reading_ELA[],COLUMN(INDIRECT("YES_Reading_ELA[Difference - Per "&amp;VLOOKUP($G$4,'Reading Report Logic'!$A$2:$B$8,2,FALSE)&amp;"]")),FALSE)),
IF(VLOOKUP($A415, YES_Reading_FLA[], COLUMN(INDIRECT("YES_Reading_FLA[Difference - Per "&amp;VLOOKUP($G$4, 'Reading Report Logic'!$A$2:$B$8, 2, FALSE)&amp;"]")),FALSE)="", "", VLOOKUP($A415,YES_Reading_FLA[],COLUMN(INDIRECT("YES_Reading_FLA[Difference - Per "&amp;VLOOKUP($G$4, 'Reading Report Logic'!$A$2:$B$8, 2, FALSE)&amp;"]")),FALSE))),""))),"")</f>
        <v/>
      </c>
    </row>
    <row r="416" spans="1:9" x14ac:dyDescent="0.25">
      <c r="A416" s="137"/>
      <c r="B416" s="137" t="str">
        <f>IFERROR(INDEX(_xlfn.VSTACK(YES_Writing_ELA[#Data], YES_Writing_FLA[#Data]),MATCH($A416,_xlfn.VSTACK(YES_Writing_ELA[Student Number], YES_Writing_FLA[Student Number]),0),MATCH(B$7,YES_Writing_ELA[#Headers],0)),IFERROR(INDEX(_xlfn.VSTACK(YES_Reading_ELA[#Data], YES_Reading_FLA[#Data]),MATCH($A416,_xlfn.VSTACK(YES_Reading_ELA[Student Number], YES_Reading_FLA[Student Number]),0),MATCH(B$7,YES_Reading_ELA[#Headers],0)),""))</f>
        <v/>
      </c>
      <c r="C416" s="137" t="str">
        <f>IFERROR(INDEX(_xlfn.VSTACK(YES_Writing_ELA[#Data], YES_Writing_FLA[#Data]),MATCH($A416,_xlfn.VSTACK(YES_Writing_ELA[Student Number], YES_Writing_FLA[Student Number]),0),MATCH(C$7,YES_Writing_ELA[#Headers],0)),IFERROR(INDEX(_xlfn.VSTACK(YES_Reading_ELA[#Data], YES_Reading_FLA[#Data]),MATCH($A416,_xlfn.VSTACK(YES_Reading_ELA[Student Number], YES_Reading_FLA[Student Number]),0),MATCH(C$7,YES_Reading_ELA[#Headers],0)),""))</f>
        <v/>
      </c>
      <c r="D416" s="138" t="str">
        <f>IFERROR(IF(IF(INDEX(_xlfn.VSTACK(YES_Writing_ELA[#Data],YES_Writing_FLA[#Data]),MATCH($A416,_xlfn.VSTACK(YES_Writing_ELA[Student Number],YES_Writing_FLA[Student Number]),0),MATCH(VLOOKUP(D$7,'Writing Logic'!$J$7:$K$11,2,FALSE)&amp;" - Per "&amp;VLOOKUP($C$4,'Writing Logic'!$G$8:$H$14,2,FALSE),YES_Writing_ELA[#Headers],0))=0,"",INDEX(_xlfn.VSTACK(YES_Writing_ELA[#Data],YES_Writing_FLA[#Data]),MATCH($A416,_xlfn.VSTACK(YES_Writing_ELA[Student Number],YES_Writing_FLA[Student Number]),0),MATCH(VLOOKUP(D$7,'Writing Logic'!$J$7:$K$11,2,FALSE)&amp;" - Per "&amp;VLOOKUP($C$4,'Writing Logic'!$G$8:$H$14,2,FALSE),YES_Writing_ELA[#Headers],0)))="INS",'Writing Logic'!$B$7,IF(INDEX(_xlfn.VSTACK(YES_Writing_ELA[#Data],YES_Writing_FLA[#Data]),MATCH($A416,_xlfn.VSTACK(YES_Writing_ELA[Student Number],YES_Writing_FLA[Student Number]),0),MATCH(VLOOKUP(D$7,'Writing Logic'!$J$7:$K$11,2,FALSE)&amp;" - Per "&amp;VLOOKUP($C$4,'Writing Logic'!$G$8:$H$14,2,FALSE),YES_Writing_ELA[#Headers],0))=0,"",INDEX(_xlfn.VSTACK(YES_Writing_ELA[#Data],YES_Writing_FLA[#Data]),MATCH($A416,_xlfn.VSTACK(YES_Writing_ELA[Student Number],YES_Writing_FLA[Student Number]),0),MATCH(VLOOKUP(D$7,'Writing Logic'!$J$7:$K$11,2,FALSE)&amp;" - Per "&amp;VLOOKUP($C$4,'Writing Logic'!$G$8:$H$14,2,FALSE),YES_Writing_ELA[#Headers],0)))),"")</f>
        <v/>
      </c>
      <c r="E416" s="138" t="str">
        <f>IFERROR(IF(IF(INDEX(_xlfn.VSTACK(YES_Writing_ELA[#Data],YES_Writing_FLA[#Data]),MATCH($A416,_xlfn.VSTACK(YES_Writing_ELA[Student Number],YES_Writing_FLA[Student Number]),0),MATCH(VLOOKUP(E$7,'Writing Logic'!$J$7:$K$11,2,FALSE)&amp;" - Per "&amp;VLOOKUP($C$4,'Writing Logic'!$G$8:$H$14,2,FALSE),YES_Writing_ELA[#Headers],0))=0,"",INDEX(_xlfn.VSTACK(YES_Writing_ELA[#Data],YES_Writing_FLA[#Data]),MATCH($A416,_xlfn.VSTACK(YES_Writing_ELA[Student Number],YES_Writing_FLA[Student Number]),0),MATCH(VLOOKUP(E$7,'Writing Logic'!$J$7:$K$11,2,FALSE)&amp;" - Per "&amp;VLOOKUP($C$4,'Writing Logic'!$G$8:$H$14,2,FALSE),YES_Writing_ELA[#Headers],0)))="INS",'Writing Logic'!$B$7,IF(INDEX(_xlfn.VSTACK(YES_Writing_ELA[#Data],YES_Writing_FLA[#Data]),MATCH($A416,_xlfn.VSTACK(YES_Writing_ELA[Student Number],YES_Writing_FLA[Student Number]),0),MATCH(VLOOKUP(E$7,'Writing Logic'!$J$7:$K$11,2,FALSE)&amp;" - Per "&amp;VLOOKUP($C$4,'Writing Logic'!$G$8:$H$14,2,FALSE),YES_Writing_ELA[#Headers],0))=0,"",INDEX(_xlfn.VSTACK(YES_Writing_ELA[#Data],YES_Writing_FLA[#Data]),MATCH($A416,_xlfn.VSTACK(YES_Writing_ELA[Student Number],YES_Writing_FLA[Student Number]),0),MATCH(VLOOKUP(E$7,'Writing Logic'!$J$7:$K$11,2,FALSE)&amp;" - Per "&amp;VLOOKUP($C$4,'Writing Logic'!$G$8:$H$14,2,FALSE),YES_Writing_ELA[#Headers],0)))),"")</f>
        <v/>
      </c>
      <c r="F416" s="138" t="str">
        <f>IFERROR(IF(IF(INDEX(_xlfn.VSTACK(YES_Writing_ELA[#Data],YES_Writing_FLA[#Data]),MATCH($A416,_xlfn.VSTACK(YES_Writing_ELA[Student Number],YES_Writing_FLA[Student Number]),0),MATCH(VLOOKUP(F$7,'Writing Logic'!$J$7:$K$11,2,FALSE)&amp;" - Per "&amp;VLOOKUP($C$4,'Writing Logic'!$G$8:$H$14,2,FALSE),YES_Writing_ELA[#Headers],0))=0,"",INDEX(_xlfn.VSTACK(YES_Writing_ELA[#Data],YES_Writing_FLA[#Data]),MATCH($A416,_xlfn.VSTACK(YES_Writing_ELA[Student Number],YES_Writing_FLA[Student Number]),0),MATCH(VLOOKUP(F$7,'Writing Logic'!$J$7:$K$11,2,FALSE)&amp;" - Per "&amp;VLOOKUP($C$4,'Writing Logic'!$G$8:$H$14,2,FALSE),YES_Writing_ELA[#Headers],0)))="INS",'Writing Logic'!$B$7,IF(INDEX(_xlfn.VSTACK(YES_Writing_ELA[#Data],YES_Writing_FLA[#Data]),MATCH($A416,_xlfn.VSTACK(YES_Writing_ELA[Student Number],YES_Writing_FLA[Student Number]),0),MATCH(VLOOKUP(F$7,'Writing Logic'!$J$7:$K$11,2,FALSE)&amp;" - Per "&amp;VLOOKUP($C$4,'Writing Logic'!$G$8:$H$14,2,FALSE),YES_Writing_ELA[#Headers],0))=0,"",INDEX(_xlfn.VSTACK(YES_Writing_ELA[#Data],YES_Writing_FLA[#Data]),MATCH($A416,_xlfn.VSTACK(YES_Writing_ELA[Student Number],YES_Writing_FLA[Student Number]),0),MATCH(VLOOKUP(F$7,'Writing Logic'!$J$7:$K$11,2,FALSE)&amp;" - Per "&amp;VLOOKUP($C$4,'Writing Logic'!$G$8:$H$14,2,FALSE),YES_Writing_ELA[#Headers],0)))),"")</f>
        <v/>
      </c>
      <c r="G416" s="138" t="str">
        <f>IFERROR(IF(IF(INDEX(_xlfn.VSTACK(YES_Writing_ELA[#Data],YES_Writing_FLA[#Data]),MATCH($A416,_xlfn.VSTACK(YES_Writing_ELA[Student Number],YES_Writing_FLA[Student Number]),0),MATCH(VLOOKUP(G$7,'Writing Logic'!$J$7:$K$11,2,FALSE)&amp;" - Per "&amp;VLOOKUP($C$4,'Writing Logic'!$G$8:$H$14,2,FALSE),YES_Writing_ELA[#Headers],0))=0,"",INDEX(_xlfn.VSTACK(YES_Writing_ELA[#Data],YES_Writing_FLA[#Data]),MATCH($A416,_xlfn.VSTACK(YES_Writing_ELA[Student Number],YES_Writing_FLA[Student Number]),0),MATCH(VLOOKUP(G$7,'Writing Logic'!$J$7:$K$11,2,FALSE)&amp;" - Per "&amp;VLOOKUP($C$4,'Writing Logic'!$G$8:$H$14,2,FALSE),YES_Writing_ELA[#Headers],0)))="INS",'Writing Logic'!$B$7,IF(INDEX(_xlfn.VSTACK(YES_Writing_ELA[#Data],YES_Writing_FLA[#Data]),MATCH($A416,_xlfn.VSTACK(YES_Writing_ELA[Student Number],YES_Writing_FLA[Student Number]),0),MATCH(VLOOKUP(G$7,'Writing Logic'!$J$7:$K$11,2,FALSE)&amp;" - Per "&amp;VLOOKUP($C$4,'Writing Logic'!$G$8:$H$14,2,FALSE),YES_Writing_ELA[#Headers],0))=0,"",INDEX(_xlfn.VSTACK(YES_Writing_ELA[#Data],YES_Writing_FLA[#Data]),MATCH($A416,_xlfn.VSTACK(YES_Writing_ELA[Student Number],YES_Writing_FLA[Student Number]),0),MATCH(VLOOKUP(G$7,'Writing Logic'!$J$7:$K$11,2,FALSE)&amp;" - Per "&amp;VLOOKUP($C$4,'Writing Logic'!$G$8:$H$14,2,FALSE),YES_Writing_ELA[#Headers],0)))),"")</f>
        <v/>
      </c>
      <c r="H416" s="223" t="str">
        <f>IFERROR(IF(IF(INDEX(_xlfn.VSTACK(YES_Writing_ELA[#Data],YES_Writing_FLA[#Data]),MATCH($A416,_xlfn.VSTACK(YES_Writing_ELA[Student Number],YES_Writing_FLA[Student Number]),0),MATCH(VLOOKUP(H$7,'Writing Logic'!$J$7:$K$11,2,FALSE)&amp;" - Per "&amp;VLOOKUP($C$4,'Writing Logic'!$G$8:$H$14,2,FALSE),YES_Writing_ELA[#Headers],0))=0,"",INDEX(_xlfn.VSTACK(YES_Writing_ELA[#Data],YES_Writing_FLA[#Data]),MATCH($A416,_xlfn.VSTACK(YES_Writing_ELA[Student Number],YES_Writing_FLA[Student Number]),0),MATCH(VLOOKUP(H$7,'Writing Logic'!$J$7:$K$11,2,FALSE)&amp;" - Per "&amp;VLOOKUP($C$4,'Writing Logic'!$G$8:$H$14,2,FALSE),YES_Writing_ELA[#Headers],0)))="INS",'Writing Logic'!$B$7,IF(INDEX(_xlfn.VSTACK(YES_Writing_ELA[#Data],YES_Writing_FLA[#Data]),MATCH($A416,_xlfn.VSTACK(YES_Writing_ELA[Student Number],YES_Writing_FLA[Student Number]),0),MATCH(VLOOKUP(H$7,'Writing Logic'!$J$7:$K$11,2,FALSE)&amp;" - Per "&amp;VLOOKUP($C$4,'Writing Logic'!$G$8:$H$14,2,FALSE),YES_Writing_ELA[#Headers],0))=0,"",INDEX(_xlfn.VSTACK(YES_Writing_ELA[#Data],YES_Writing_FLA[#Data]),MATCH($A416,_xlfn.VSTACK(YES_Writing_ELA[Student Number],YES_Writing_FLA[Student Number]),0),MATCH(VLOOKUP(H$7,'Writing Logic'!$J$7:$K$11,2,FALSE)&amp;" - Per "&amp;VLOOKUP($C$4,'Writing Logic'!$G$8:$H$14,2,FALSE),YES_Writing_ELA[#Headers],0)))),"")</f>
        <v/>
      </c>
      <c r="I416" s="224" t="str" cm="1">
        <f t="array" aca="1" ref="I416" ca="1">IFERROR(
IF($G$3="ELA",
IF(VLOOKUP($A416, YES_Reading_ELA[], COLUMN(INDIRECT("YES_Reading_ELA[Difference - Per "&amp;VLOOKUP($G$4, 'Reading Report Logic'!$A$2:$B$8, 2, FALSE)&amp;"]")), FALSE)="", "",
VLOOKUP($A416,YES_Reading_ELA[], COLUMN(INDIRECT("YES_Reading_ELA[Difference - Per "&amp;VLOOKUP($G$4,'Reading Report Logic'!$A$2:$B$8,2,FALSE)&amp;"]")), FALSE)),
IF($G$3="FLA",
IF(VLOOKUP($A416, YES_Reading_FLA[], COLUMN(INDIRECT("YES_Reading_FLA[Difference - Per "&amp;VLOOKUP($G$4,'Reading Report Logic'!$A$2:$B$8,2,FALSE)&amp;"]")),FALSE)="","",
VLOOKUP($A416,YES_Reading_FLA[],COLUMN(INDIRECT("YES_Reading_FLA[Difference - Per "&amp;VLOOKUP($G$4,'Reading Report Logic'!$A$2:$B$8,2,FALSE)&amp;"]")),FALSE)),
IF($G$3="Combined",
IFERROR(
IF(VLOOKUP($A416, YES_Reading_ELA[], COLUMN(INDIRECT("YES_Reading_ELA[Difference - Per "&amp;VLOOKUP($G$4, 'Reading Report Logic'!$A$2:$B$8,2,FALSE)&amp;"]")), FALSE)="", "",
VLOOKUP($A416,YES_Reading_ELA[],COLUMN(INDIRECT("YES_Reading_ELA[Difference - Per "&amp;VLOOKUP($G$4,'Reading Report Logic'!$A$2:$B$8,2,FALSE)&amp;"]")),FALSE)),
IF(VLOOKUP($A416, YES_Reading_FLA[], COLUMN(INDIRECT("YES_Reading_FLA[Difference - Per "&amp;VLOOKUP($G$4, 'Reading Report Logic'!$A$2:$B$8, 2, FALSE)&amp;"]")),FALSE)="", "", VLOOKUP($A416,YES_Reading_FLA[],COLUMN(INDIRECT("YES_Reading_FLA[Difference - Per "&amp;VLOOKUP($G$4, 'Reading Report Logic'!$A$2:$B$8, 2, FALSE)&amp;"]")),FALSE))),""))),"")</f>
        <v/>
      </c>
    </row>
    <row r="417" spans="1:9" x14ac:dyDescent="0.25">
      <c r="A417" s="137"/>
      <c r="B417" s="137" t="str">
        <f>IFERROR(INDEX(_xlfn.VSTACK(YES_Writing_ELA[#Data], YES_Writing_FLA[#Data]),MATCH($A417,_xlfn.VSTACK(YES_Writing_ELA[Student Number], YES_Writing_FLA[Student Number]),0),MATCH(B$7,YES_Writing_ELA[#Headers],0)),IFERROR(INDEX(_xlfn.VSTACK(YES_Reading_ELA[#Data], YES_Reading_FLA[#Data]),MATCH($A417,_xlfn.VSTACK(YES_Reading_ELA[Student Number], YES_Reading_FLA[Student Number]),0),MATCH(B$7,YES_Reading_ELA[#Headers],0)),""))</f>
        <v/>
      </c>
      <c r="C417" s="137" t="str">
        <f>IFERROR(INDEX(_xlfn.VSTACK(YES_Writing_ELA[#Data], YES_Writing_FLA[#Data]),MATCH($A417,_xlfn.VSTACK(YES_Writing_ELA[Student Number], YES_Writing_FLA[Student Number]),0),MATCH(C$7,YES_Writing_ELA[#Headers],0)),IFERROR(INDEX(_xlfn.VSTACK(YES_Reading_ELA[#Data], YES_Reading_FLA[#Data]),MATCH($A417,_xlfn.VSTACK(YES_Reading_ELA[Student Number], YES_Reading_FLA[Student Number]),0),MATCH(C$7,YES_Reading_ELA[#Headers],0)),""))</f>
        <v/>
      </c>
      <c r="D417" s="138" t="str">
        <f>IFERROR(IF(IF(INDEX(_xlfn.VSTACK(YES_Writing_ELA[#Data],YES_Writing_FLA[#Data]),MATCH($A417,_xlfn.VSTACK(YES_Writing_ELA[Student Number],YES_Writing_FLA[Student Number]),0),MATCH(VLOOKUP(D$7,'Writing Logic'!$J$7:$K$11,2,FALSE)&amp;" - Per "&amp;VLOOKUP($C$4,'Writing Logic'!$G$8:$H$14,2,FALSE),YES_Writing_ELA[#Headers],0))=0,"",INDEX(_xlfn.VSTACK(YES_Writing_ELA[#Data],YES_Writing_FLA[#Data]),MATCH($A417,_xlfn.VSTACK(YES_Writing_ELA[Student Number],YES_Writing_FLA[Student Number]),0),MATCH(VLOOKUP(D$7,'Writing Logic'!$J$7:$K$11,2,FALSE)&amp;" - Per "&amp;VLOOKUP($C$4,'Writing Logic'!$G$8:$H$14,2,FALSE),YES_Writing_ELA[#Headers],0)))="INS",'Writing Logic'!$B$7,IF(INDEX(_xlfn.VSTACK(YES_Writing_ELA[#Data],YES_Writing_FLA[#Data]),MATCH($A417,_xlfn.VSTACK(YES_Writing_ELA[Student Number],YES_Writing_FLA[Student Number]),0),MATCH(VLOOKUP(D$7,'Writing Logic'!$J$7:$K$11,2,FALSE)&amp;" - Per "&amp;VLOOKUP($C$4,'Writing Logic'!$G$8:$H$14,2,FALSE),YES_Writing_ELA[#Headers],0))=0,"",INDEX(_xlfn.VSTACK(YES_Writing_ELA[#Data],YES_Writing_FLA[#Data]),MATCH($A417,_xlfn.VSTACK(YES_Writing_ELA[Student Number],YES_Writing_FLA[Student Number]),0),MATCH(VLOOKUP(D$7,'Writing Logic'!$J$7:$K$11,2,FALSE)&amp;" - Per "&amp;VLOOKUP($C$4,'Writing Logic'!$G$8:$H$14,2,FALSE),YES_Writing_ELA[#Headers],0)))),"")</f>
        <v/>
      </c>
      <c r="E417" s="138" t="str">
        <f>IFERROR(IF(IF(INDEX(_xlfn.VSTACK(YES_Writing_ELA[#Data],YES_Writing_FLA[#Data]),MATCH($A417,_xlfn.VSTACK(YES_Writing_ELA[Student Number],YES_Writing_FLA[Student Number]),0),MATCH(VLOOKUP(E$7,'Writing Logic'!$J$7:$K$11,2,FALSE)&amp;" - Per "&amp;VLOOKUP($C$4,'Writing Logic'!$G$8:$H$14,2,FALSE),YES_Writing_ELA[#Headers],0))=0,"",INDEX(_xlfn.VSTACK(YES_Writing_ELA[#Data],YES_Writing_FLA[#Data]),MATCH($A417,_xlfn.VSTACK(YES_Writing_ELA[Student Number],YES_Writing_FLA[Student Number]),0),MATCH(VLOOKUP(E$7,'Writing Logic'!$J$7:$K$11,2,FALSE)&amp;" - Per "&amp;VLOOKUP($C$4,'Writing Logic'!$G$8:$H$14,2,FALSE),YES_Writing_ELA[#Headers],0)))="INS",'Writing Logic'!$B$7,IF(INDEX(_xlfn.VSTACK(YES_Writing_ELA[#Data],YES_Writing_FLA[#Data]),MATCH($A417,_xlfn.VSTACK(YES_Writing_ELA[Student Number],YES_Writing_FLA[Student Number]),0),MATCH(VLOOKUP(E$7,'Writing Logic'!$J$7:$K$11,2,FALSE)&amp;" - Per "&amp;VLOOKUP($C$4,'Writing Logic'!$G$8:$H$14,2,FALSE),YES_Writing_ELA[#Headers],0))=0,"",INDEX(_xlfn.VSTACK(YES_Writing_ELA[#Data],YES_Writing_FLA[#Data]),MATCH($A417,_xlfn.VSTACK(YES_Writing_ELA[Student Number],YES_Writing_FLA[Student Number]),0),MATCH(VLOOKUP(E$7,'Writing Logic'!$J$7:$K$11,2,FALSE)&amp;" - Per "&amp;VLOOKUP($C$4,'Writing Logic'!$G$8:$H$14,2,FALSE),YES_Writing_ELA[#Headers],0)))),"")</f>
        <v/>
      </c>
      <c r="F417" s="138" t="str">
        <f>IFERROR(IF(IF(INDEX(_xlfn.VSTACK(YES_Writing_ELA[#Data],YES_Writing_FLA[#Data]),MATCH($A417,_xlfn.VSTACK(YES_Writing_ELA[Student Number],YES_Writing_FLA[Student Number]),0),MATCH(VLOOKUP(F$7,'Writing Logic'!$J$7:$K$11,2,FALSE)&amp;" - Per "&amp;VLOOKUP($C$4,'Writing Logic'!$G$8:$H$14,2,FALSE),YES_Writing_ELA[#Headers],0))=0,"",INDEX(_xlfn.VSTACK(YES_Writing_ELA[#Data],YES_Writing_FLA[#Data]),MATCH($A417,_xlfn.VSTACK(YES_Writing_ELA[Student Number],YES_Writing_FLA[Student Number]),0),MATCH(VLOOKUP(F$7,'Writing Logic'!$J$7:$K$11,2,FALSE)&amp;" - Per "&amp;VLOOKUP($C$4,'Writing Logic'!$G$8:$H$14,2,FALSE),YES_Writing_ELA[#Headers],0)))="INS",'Writing Logic'!$B$7,IF(INDEX(_xlfn.VSTACK(YES_Writing_ELA[#Data],YES_Writing_FLA[#Data]),MATCH($A417,_xlfn.VSTACK(YES_Writing_ELA[Student Number],YES_Writing_FLA[Student Number]),0),MATCH(VLOOKUP(F$7,'Writing Logic'!$J$7:$K$11,2,FALSE)&amp;" - Per "&amp;VLOOKUP($C$4,'Writing Logic'!$G$8:$H$14,2,FALSE),YES_Writing_ELA[#Headers],0))=0,"",INDEX(_xlfn.VSTACK(YES_Writing_ELA[#Data],YES_Writing_FLA[#Data]),MATCH($A417,_xlfn.VSTACK(YES_Writing_ELA[Student Number],YES_Writing_FLA[Student Number]),0),MATCH(VLOOKUP(F$7,'Writing Logic'!$J$7:$K$11,2,FALSE)&amp;" - Per "&amp;VLOOKUP($C$4,'Writing Logic'!$G$8:$H$14,2,FALSE),YES_Writing_ELA[#Headers],0)))),"")</f>
        <v/>
      </c>
      <c r="G417" s="138" t="str">
        <f>IFERROR(IF(IF(INDEX(_xlfn.VSTACK(YES_Writing_ELA[#Data],YES_Writing_FLA[#Data]),MATCH($A417,_xlfn.VSTACK(YES_Writing_ELA[Student Number],YES_Writing_FLA[Student Number]),0),MATCH(VLOOKUP(G$7,'Writing Logic'!$J$7:$K$11,2,FALSE)&amp;" - Per "&amp;VLOOKUP($C$4,'Writing Logic'!$G$8:$H$14,2,FALSE),YES_Writing_ELA[#Headers],0))=0,"",INDEX(_xlfn.VSTACK(YES_Writing_ELA[#Data],YES_Writing_FLA[#Data]),MATCH($A417,_xlfn.VSTACK(YES_Writing_ELA[Student Number],YES_Writing_FLA[Student Number]),0),MATCH(VLOOKUP(G$7,'Writing Logic'!$J$7:$K$11,2,FALSE)&amp;" - Per "&amp;VLOOKUP($C$4,'Writing Logic'!$G$8:$H$14,2,FALSE),YES_Writing_ELA[#Headers],0)))="INS",'Writing Logic'!$B$7,IF(INDEX(_xlfn.VSTACK(YES_Writing_ELA[#Data],YES_Writing_FLA[#Data]),MATCH($A417,_xlfn.VSTACK(YES_Writing_ELA[Student Number],YES_Writing_FLA[Student Number]),0),MATCH(VLOOKUP(G$7,'Writing Logic'!$J$7:$K$11,2,FALSE)&amp;" - Per "&amp;VLOOKUP($C$4,'Writing Logic'!$G$8:$H$14,2,FALSE),YES_Writing_ELA[#Headers],0))=0,"",INDEX(_xlfn.VSTACK(YES_Writing_ELA[#Data],YES_Writing_FLA[#Data]),MATCH($A417,_xlfn.VSTACK(YES_Writing_ELA[Student Number],YES_Writing_FLA[Student Number]),0),MATCH(VLOOKUP(G$7,'Writing Logic'!$J$7:$K$11,2,FALSE)&amp;" - Per "&amp;VLOOKUP($C$4,'Writing Logic'!$G$8:$H$14,2,FALSE),YES_Writing_ELA[#Headers],0)))),"")</f>
        <v/>
      </c>
      <c r="H417" s="223" t="str">
        <f>IFERROR(IF(IF(INDEX(_xlfn.VSTACK(YES_Writing_ELA[#Data],YES_Writing_FLA[#Data]),MATCH($A417,_xlfn.VSTACK(YES_Writing_ELA[Student Number],YES_Writing_FLA[Student Number]),0),MATCH(VLOOKUP(H$7,'Writing Logic'!$J$7:$K$11,2,FALSE)&amp;" - Per "&amp;VLOOKUP($C$4,'Writing Logic'!$G$8:$H$14,2,FALSE),YES_Writing_ELA[#Headers],0))=0,"",INDEX(_xlfn.VSTACK(YES_Writing_ELA[#Data],YES_Writing_FLA[#Data]),MATCH($A417,_xlfn.VSTACK(YES_Writing_ELA[Student Number],YES_Writing_FLA[Student Number]),0),MATCH(VLOOKUP(H$7,'Writing Logic'!$J$7:$K$11,2,FALSE)&amp;" - Per "&amp;VLOOKUP($C$4,'Writing Logic'!$G$8:$H$14,2,FALSE),YES_Writing_ELA[#Headers],0)))="INS",'Writing Logic'!$B$7,IF(INDEX(_xlfn.VSTACK(YES_Writing_ELA[#Data],YES_Writing_FLA[#Data]),MATCH($A417,_xlfn.VSTACK(YES_Writing_ELA[Student Number],YES_Writing_FLA[Student Number]),0),MATCH(VLOOKUP(H$7,'Writing Logic'!$J$7:$K$11,2,FALSE)&amp;" - Per "&amp;VLOOKUP($C$4,'Writing Logic'!$G$8:$H$14,2,FALSE),YES_Writing_ELA[#Headers],0))=0,"",INDEX(_xlfn.VSTACK(YES_Writing_ELA[#Data],YES_Writing_FLA[#Data]),MATCH($A417,_xlfn.VSTACK(YES_Writing_ELA[Student Number],YES_Writing_FLA[Student Number]),0),MATCH(VLOOKUP(H$7,'Writing Logic'!$J$7:$K$11,2,FALSE)&amp;" - Per "&amp;VLOOKUP($C$4,'Writing Logic'!$G$8:$H$14,2,FALSE),YES_Writing_ELA[#Headers],0)))),"")</f>
        <v/>
      </c>
      <c r="I417" s="224" t="str" cm="1">
        <f t="array" aca="1" ref="I417" ca="1">IFERROR(
IF($G$3="ELA",
IF(VLOOKUP($A417, YES_Reading_ELA[], COLUMN(INDIRECT("YES_Reading_ELA[Difference - Per "&amp;VLOOKUP($G$4, 'Reading Report Logic'!$A$2:$B$8, 2, FALSE)&amp;"]")), FALSE)="", "",
VLOOKUP($A417,YES_Reading_ELA[], COLUMN(INDIRECT("YES_Reading_ELA[Difference - Per "&amp;VLOOKUP($G$4,'Reading Report Logic'!$A$2:$B$8,2,FALSE)&amp;"]")), FALSE)),
IF($G$3="FLA",
IF(VLOOKUP($A417, YES_Reading_FLA[], COLUMN(INDIRECT("YES_Reading_FLA[Difference - Per "&amp;VLOOKUP($G$4,'Reading Report Logic'!$A$2:$B$8,2,FALSE)&amp;"]")),FALSE)="","",
VLOOKUP($A417,YES_Reading_FLA[],COLUMN(INDIRECT("YES_Reading_FLA[Difference - Per "&amp;VLOOKUP($G$4,'Reading Report Logic'!$A$2:$B$8,2,FALSE)&amp;"]")),FALSE)),
IF($G$3="Combined",
IFERROR(
IF(VLOOKUP($A417, YES_Reading_ELA[], COLUMN(INDIRECT("YES_Reading_ELA[Difference - Per "&amp;VLOOKUP($G$4, 'Reading Report Logic'!$A$2:$B$8,2,FALSE)&amp;"]")), FALSE)="", "",
VLOOKUP($A417,YES_Reading_ELA[],COLUMN(INDIRECT("YES_Reading_ELA[Difference - Per "&amp;VLOOKUP($G$4,'Reading Report Logic'!$A$2:$B$8,2,FALSE)&amp;"]")),FALSE)),
IF(VLOOKUP($A417, YES_Reading_FLA[], COLUMN(INDIRECT("YES_Reading_FLA[Difference - Per "&amp;VLOOKUP($G$4, 'Reading Report Logic'!$A$2:$B$8, 2, FALSE)&amp;"]")),FALSE)="", "", VLOOKUP($A417,YES_Reading_FLA[],COLUMN(INDIRECT("YES_Reading_FLA[Difference - Per "&amp;VLOOKUP($G$4, 'Reading Report Logic'!$A$2:$B$8, 2, FALSE)&amp;"]")),FALSE))),""))),"")</f>
        <v/>
      </c>
    </row>
    <row r="418" spans="1:9" x14ac:dyDescent="0.25">
      <c r="A418" s="137"/>
      <c r="B418" s="137" t="str">
        <f>IFERROR(INDEX(_xlfn.VSTACK(YES_Writing_ELA[#Data], YES_Writing_FLA[#Data]),MATCH($A418,_xlfn.VSTACK(YES_Writing_ELA[Student Number], YES_Writing_FLA[Student Number]),0),MATCH(B$7,YES_Writing_ELA[#Headers],0)),IFERROR(INDEX(_xlfn.VSTACK(YES_Reading_ELA[#Data], YES_Reading_FLA[#Data]),MATCH($A418,_xlfn.VSTACK(YES_Reading_ELA[Student Number], YES_Reading_FLA[Student Number]),0),MATCH(B$7,YES_Reading_ELA[#Headers],0)),""))</f>
        <v/>
      </c>
      <c r="C418" s="137" t="str">
        <f>IFERROR(INDEX(_xlfn.VSTACK(YES_Writing_ELA[#Data], YES_Writing_FLA[#Data]),MATCH($A418,_xlfn.VSTACK(YES_Writing_ELA[Student Number], YES_Writing_FLA[Student Number]),0),MATCH(C$7,YES_Writing_ELA[#Headers],0)),IFERROR(INDEX(_xlfn.VSTACK(YES_Reading_ELA[#Data], YES_Reading_FLA[#Data]),MATCH($A418,_xlfn.VSTACK(YES_Reading_ELA[Student Number], YES_Reading_FLA[Student Number]),0),MATCH(C$7,YES_Reading_ELA[#Headers],0)),""))</f>
        <v/>
      </c>
      <c r="D418" s="138" t="str">
        <f>IFERROR(IF(IF(INDEX(_xlfn.VSTACK(YES_Writing_ELA[#Data],YES_Writing_FLA[#Data]),MATCH($A418,_xlfn.VSTACK(YES_Writing_ELA[Student Number],YES_Writing_FLA[Student Number]),0),MATCH(VLOOKUP(D$7,'Writing Logic'!$J$7:$K$11,2,FALSE)&amp;" - Per "&amp;VLOOKUP($C$4,'Writing Logic'!$G$8:$H$14,2,FALSE),YES_Writing_ELA[#Headers],0))=0,"",INDEX(_xlfn.VSTACK(YES_Writing_ELA[#Data],YES_Writing_FLA[#Data]),MATCH($A418,_xlfn.VSTACK(YES_Writing_ELA[Student Number],YES_Writing_FLA[Student Number]),0),MATCH(VLOOKUP(D$7,'Writing Logic'!$J$7:$K$11,2,FALSE)&amp;" - Per "&amp;VLOOKUP($C$4,'Writing Logic'!$G$8:$H$14,2,FALSE),YES_Writing_ELA[#Headers],0)))="INS",'Writing Logic'!$B$7,IF(INDEX(_xlfn.VSTACK(YES_Writing_ELA[#Data],YES_Writing_FLA[#Data]),MATCH($A418,_xlfn.VSTACK(YES_Writing_ELA[Student Number],YES_Writing_FLA[Student Number]),0),MATCH(VLOOKUP(D$7,'Writing Logic'!$J$7:$K$11,2,FALSE)&amp;" - Per "&amp;VLOOKUP($C$4,'Writing Logic'!$G$8:$H$14,2,FALSE),YES_Writing_ELA[#Headers],0))=0,"",INDEX(_xlfn.VSTACK(YES_Writing_ELA[#Data],YES_Writing_FLA[#Data]),MATCH($A418,_xlfn.VSTACK(YES_Writing_ELA[Student Number],YES_Writing_FLA[Student Number]),0),MATCH(VLOOKUP(D$7,'Writing Logic'!$J$7:$K$11,2,FALSE)&amp;" - Per "&amp;VLOOKUP($C$4,'Writing Logic'!$G$8:$H$14,2,FALSE),YES_Writing_ELA[#Headers],0)))),"")</f>
        <v/>
      </c>
      <c r="E418" s="138" t="str">
        <f>IFERROR(IF(IF(INDEX(_xlfn.VSTACK(YES_Writing_ELA[#Data],YES_Writing_FLA[#Data]),MATCH($A418,_xlfn.VSTACK(YES_Writing_ELA[Student Number],YES_Writing_FLA[Student Number]),0),MATCH(VLOOKUP(E$7,'Writing Logic'!$J$7:$K$11,2,FALSE)&amp;" - Per "&amp;VLOOKUP($C$4,'Writing Logic'!$G$8:$H$14,2,FALSE),YES_Writing_ELA[#Headers],0))=0,"",INDEX(_xlfn.VSTACK(YES_Writing_ELA[#Data],YES_Writing_FLA[#Data]),MATCH($A418,_xlfn.VSTACK(YES_Writing_ELA[Student Number],YES_Writing_FLA[Student Number]),0),MATCH(VLOOKUP(E$7,'Writing Logic'!$J$7:$K$11,2,FALSE)&amp;" - Per "&amp;VLOOKUP($C$4,'Writing Logic'!$G$8:$H$14,2,FALSE),YES_Writing_ELA[#Headers],0)))="INS",'Writing Logic'!$B$7,IF(INDEX(_xlfn.VSTACK(YES_Writing_ELA[#Data],YES_Writing_FLA[#Data]),MATCH($A418,_xlfn.VSTACK(YES_Writing_ELA[Student Number],YES_Writing_FLA[Student Number]),0),MATCH(VLOOKUP(E$7,'Writing Logic'!$J$7:$K$11,2,FALSE)&amp;" - Per "&amp;VLOOKUP($C$4,'Writing Logic'!$G$8:$H$14,2,FALSE),YES_Writing_ELA[#Headers],0))=0,"",INDEX(_xlfn.VSTACK(YES_Writing_ELA[#Data],YES_Writing_FLA[#Data]),MATCH($A418,_xlfn.VSTACK(YES_Writing_ELA[Student Number],YES_Writing_FLA[Student Number]),0),MATCH(VLOOKUP(E$7,'Writing Logic'!$J$7:$K$11,2,FALSE)&amp;" - Per "&amp;VLOOKUP($C$4,'Writing Logic'!$G$8:$H$14,2,FALSE),YES_Writing_ELA[#Headers],0)))),"")</f>
        <v/>
      </c>
      <c r="F418" s="138" t="str">
        <f>IFERROR(IF(IF(INDEX(_xlfn.VSTACK(YES_Writing_ELA[#Data],YES_Writing_FLA[#Data]),MATCH($A418,_xlfn.VSTACK(YES_Writing_ELA[Student Number],YES_Writing_FLA[Student Number]),0),MATCH(VLOOKUP(F$7,'Writing Logic'!$J$7:$K$11,2,FALSE)&amp;" - Per "&amp;VLOOKUP($C$4,'Writing Logic'!$G$8:$H$14,2,FALSE),YES_Writing_ELA[#Headers],0))=0,"",INDEX(_xlfn.VSTACK(YES_Writing_ELA[#Data],YES_Writing_FLA[#Data]),MATCH($A418,_xlfn.VSTACK(YES_Writing_ELA[Student Number],YES_Writing_FLA[Student Number]),0),MATCH(VLOOKUP(F$7,'Writing Logic'!$J$7:$K$11,2,FALSE)&amp;" - Per "&amp;VLOOKUP($C$4,'Writing Logic'!$G$8:$H$14,2,FALSE),YES_Writing_ELA[#Headers],0)))="INS",'Writing Logic'!$B$7,IF(INDEX(_xlfn.VSTACK(YES_Writing_ELA[#Data],YES_Writing_FLA[#Data]),MATCH($A418,_xlfn.VSTACK(YES_Writing_ELA[Student Number],YES_Writing_FLA[Student Number]),0),MATCH(VLOOKUP(F$7,'Writing Logic'!$J$7:$K$11,2,FALSE)&amp;" - Per "&amp;VLOOKUP($C$4,'Writing Logic'!$G$8:$H$14,2,FALSE),YES_Writing_ELA[#Headers],0))=0,"",INDEX(_xlfn.VSTACK(YES_Writing_ELA[#Data],YES_Writing_FLA[#Data]),MATCH($A418,_xlfn.VSTACK(YES_Writing_ELA[Student Number],YES_Writing_FLA[Student Number]),0),MATCH(VLOOKUP(F$7,'Writing Logic'!$J$7:$K$11,2,FALSE)&amp;" - Per "&amp;VLOOKUP($C$4,'Writing Logic'!$G$8:$H$14,2,FALSE),YES_Writing_ELA[#Headers],0)))),"")</f>
        <v/>
      </c>
      <c r="G418" s="138" t="str">
        <f>IFERROR(IF(IF(INDEX(_xlfn.VSTACK(YES_Writing_ELA[#Data],YES_Writing_FLA[#Data]),MATCH($A418,_xlfn.VSTACK(YES_Writing_ELA[Student Number],YES_Writing_FLA[Student Number]),0),MATCH(VLOOKUP(G$7,'Writing Logic'!$J$7:$K$11,2,FALSE)&amp;" - Per "&amp;VLOOKUP($C$4,'Writing Logic'!$G$8:$H$14,2,FALSE),YES_Writing_ELA[#Headers],0))=0,"",INDEX(_xlfn.VSTACK(YES_Writing_ELA[#Data],YES_Writing_FLA[#Data]),MATCH($A418,_xlfn.VSTACK(YES_Writing_ELA[Student Number],YES_Writing_FLA[Student Number]),0),MATCH(VLOOKUP(G$7,'Writing Logic'!$J$7:$K$11,2,FALSE)&amp;" - Per "&amp;VLOOKUP($C$4,'Writing Logic'!$G$8:$H$14,2,FALSE),YES_Writing_ELA[#Headers],0)))="INS",'Writing Logic'!$B$7,IF(INDEX(_xlfn.VSTACK(YES_Writing_ELA[#Data],YES_Writing_FLA[#Data]),MATCH($A418,_xlfn.VSTACK(YES_Writing_ELA[Student Number],YES_Writing_FLA[Student Number]),0),MATCH(VLOOKUP(G$7,'Writing Logic'!$J$7:$K$11,2,FALSE)&amp;" - Per "&amp;VLOOKUP($C$4,'Writing Logic'!$G$8:$H$14,2,FALSE),YES_Writing_ELA[#Headers],0))=0,"",INDEX(_xlfn.VSTACK(YES_Writing_ELA[#Data],YES_Writing_FLA[#Data]),MATCH($A418,_xlfn.VSTACK(YES_Writing_ELA[Student Number],YES_Writing_FLA[Student Number]),0),MATCH(VLOOKUP(G$7,'Writing Logic'!$J$7:$K$11,2,FALSE)&amp;" - Per "&amp;VLOOKUP($C$4,'Writing Logic'!$G$8:$H$14,2,FALSE),YES_Writing_ELA[#Headers],0)))),"")</f>
        <v/>
      </c>
      <c r="H418" s="223" t="str">
        <f>IFERROR(IF(IF(INDEX(_xlfn.VSTACK(YES_Writing_ELA[#Data],YES_Writing_FLA[#Data]),MATCH($A418,_xlfn.VSTACK(YES_Writing_ELA[Student Number],YES_Writing_FLA[Student Number]),0),MATCH(VLOOKUP(H$7,'Writing Logic'!$J$7:$K$11,2,FALSE)&amp;" - Per "&amp;VLOOKUP($C$4,'Writing Logic'!$G$8:$H$14,2,FALSE),YES_Writing_ELA[#Headers],0))=0,"",INDEX(_xlfn.VSTACK(YES_Writing_ELA[#Data],YES_Writing_FLA[#Data]),MATCH($A418,_xlfn.VSTACK(YES_Writing_ELA[Student Number],YES_Writing_FLA[Student Number]),0),MATCH(VLOOKUP(H$7,'Writing Logic'!$J$7:$K$11,2,FALSE)&amp;" - Per "&amp;VLOOKUP($C$4,'Writing Logic'!$G$8:$H$14,2,FALSE),YES_Writing_ELA[#Headers],0)))="INS",'Writing Logic'!$B$7,IF(INDEX(_xlfn.VSTACK(YES_Writing_ELA[#Data],YES_Writing_FLA[#Data]),MATCH($A418,_xlfn.VSTACK(YES_Writing_ELA[Student Number],YES_Writing_FLA[Student Number]),0),MATCH(VLOOKUP(H$7,'Writing Logic'!$J$7:$K$11,2,FALSE)&amp;" - Per "&amp;VLOOKUP($C$4,'Writing Logic'!$G$8:$H$14,2,FALSE),YES_Writing_ELA[#Headers],0))=0,"",INDEX(_xlfn.VSTACK(YES_Writing_ELA[#Data],YES_Writing_FLA[#Data]),MATCH($A418,_xlfn.VSTACK(YES_Writing_ELA[Student Number],YES_Writing_FLA[Student Number]),0),MATCH(VLOOKUP(H$7,'Writing Logic'!$J$7:$K$11,2,FALSE)&amp;" - Per "&amp;VLOOKUP($C$4,'Writing Logic'!$G$8:$H$14,2,FALSE),YES_Writing_ELA[#Headers],0)))),"")</f>
        <v/>
      </c>
      <c r="I418" s="224" t="str" cm="1">
        <f t="array" aca="1" ref="I418" ca="1">IFERROR(
IF($G$3="ELA",
IF(VLOOKUP($A418, YES_Reading_ELA[], COLUMN(INDIRECT("YES_Reading_ELA[Difference - Per "&amp;VLOOKUP($G$4, 'Reading Report Logic'!$A$2:$B$8, 2, FALSE)&amp;"]")), FALSE)="", "",
VLOOKUP($A418,YES_Reading_ELA[], COLUMN(INDIRECT("YES_Reading_ELA[Difference - Per "&amp;VLOOKUP($G$4,'Reading Report Logic'!$A$2:$B$8,2,FALSE)&amp;"]")), FALSE)),
IF($G$3="FLA",
IF(VLOOKUP($A418, YES_Reading_FLA[], COLUMN(INDIRECT("YES_Reading_FLA[Difference - Per "&amp;VLOOKUP($G$4,'Reading Report Logic'!$A$2:$B$8,2,FALSE)&amp;"]")),FALSE)="","",
VLOOKUP($A418,YES_Reading_FLA[],COLUMN(INDIRECT("YES_Reading_FLA[Difference - Per "&amp;VLOOKUP($G$4,'Reading Report Logic'!$A$2:$B$8,2,FALSE)&amp;"]")),FALSE)),
IF($G$3="Combined",
IFERROR(
IF(VLOOKUP($A418, YES_Reading_ELA[], COLUMN(INDIRECT("YES_Reading_ELA[Difference - Per "&amp;VLOOKUP($G$4, 'Reading Report Logic'!$A$2:$B$8,2,FALSE)&amp;"]")), FALSE)="", "",
VLOOKUP($A418,YES_Reading_ELA[],COLUMN(INDIRECT("YES_Reading_ELA[Difference - Per "&amp;VLOOKUP($G$4,'Reading Report Logic'!$A$2:$B$8,2,FALSE)&amp;"]")),FALSE)),
IF(VLOOKUP($A418, YES_Reading_FLA[], COLUMN(INDIRECT("YES_Reading_FLA[Difference - Per "&amp;VLOOKUP($G$4, 'Reading Report Logic'!$A$2:$B$8, 2, FALSE)&amp;"]")),FALSE)="", "", VLOOKUP($A418,YES_Reading_FLA[],COLUMN(INDIRECT("YES_Reading_FLA[Difference - Per "&amp;VLOOKUP($G$4, 'Reading Report Logic'!$A$2:$B$8, 2, FALSE)&amp;"]")),FALSE))),""))),"")</f>
        <v/>
      </c>
    </row>
    <row r="419" spans="1:9" x14ac:dyDescent="0.25">
      <c r="A419" s="137"/>
      <c r="B419" s="137" t="str">
        <f>IFERROR(INDEX(_xlfn.VSTACK(YES_Writing_ELA[#Data], YES_Writing_FLA[#Data]),MATCH($A419,_xlfn.VSTACK(YES_Writing_ELA[Student Number], YES_Writing_FLA[Student Number]),0),MATCH(B$7,YES_Writing_ELA[#Headers],0)),IFERROR(INDEX(_xlfn.VSTACK(YES_Reading_ELA[#Data], YES_Reading_FLA[#Data]),MATCH($A419,_xlfn.VSTACK(YES_Reading_ELA[Student Number], YES_Reading_FLA[Student Number]),0),MATCH(B$7,YES_Reading_ELA[#Headers],0)),""))</f>
        <v/>
      </c>
      <c r="C419" s="137" t="str">
        <f>IFERROR(INDEX(_xlfn.VSTACK(YES_Writing_ELA[#Data], YES_Writing_FLA[#Data]),MATCH($A419,_xlfn.VSTACK(YES_Writing_ELA[Student Number], YES_Writing_FLA[Student Number]),0),MATCH(C$7,YES_Writing_ELA[#Headers],0)),IFERROR(INDEX(_xlfn.VSTACK(YES_Reading_ELA[#Data], YES_Reading_FLA[#Data]),MATCH($A419,_xlfn.VSTACK(YES_Reading_ELA[Student Number], YES_Reading_FLA[Student Number]),0),MATCH(C$7,YES_Reading_ELA[#Headers],0)),""))</f>
        <v/>
      </c>
      <c r="D419" s="138" t="str">
        <f>IFERROR(IF(IF(INDEX(_xlfn.VSTACK(YES_Writing_ELA[#Data],YES_Writing_FLA[#Data]),MATCH($A419,_xlfn.VSTACK(YES_Writing_ELA[Student Number],YES_Writing_FLA[Student Number]),0),MATCH(VLOOKUP(D$7,'Writing Logic'!$J$7:$K$11,2,FALSE)&amp;" - Per "&amp;VLOOKUP($C$4,'Writing Logic'!$G$8:$H$14,2,FALSE),YES_Writing_ELA[#Headers],0))=0,"",INDEX(_xlfn.VSTACK(YES_Writing_ELA[#Data],YES_Writing_FLA[#Data]),MATCH($A419,_xlfn.VSTACK(YES_Writing_ELA[Student Number],YES_Writing_FLA[Student Number]),0),MATCH(VLOOKUP(D$7,'Writing Logic'!$J$7:$K$11,2,FALSE)&amp;" - Per "&amp;VLOOKUP($C$4,'Writing Logic'!$G$8:$H$14,2,FALSE),YES_Writing_ELA[#Headers],0)))="INS",'Writing Logic'!$B$7,IF(INDEX(_xlfn.VSTACK(YES_Writing_ELA[#Data],YES_Writing_FLA[#Data]),MATCH($A419,_xlfn.VSTACK(YES_Writing_ELA[Student Number],YES_Writing_FLA[Student Number]),0),MATCH(VLOOKUP(D$7,'Writing Logic'!$J$7:$K$11,2,FALSE)&amp;" - Per "&amp;VLOOKUP($C$4,'Writing Logic'!$G$8:$H$14,2,FALSE),YES_Writing_ELA[#Headers],0))=0,"",INDEX(_xlfn.VSTACK(YES_Writing_ELA[#Data],YES_Writing_FLA[#Data]),MATCH($A419,_xlfn.VSTACK(YES_Writing_ELA[Student Number],YES_Writing_FLA[Student Number]),0),MATCH(VLOOKUP(D$7,'Writing Logic'!$J$7:$K$11,2,FALSE)&amp;" - Per "&amp;VLOOKUP($C$4,'Writing Logic'!$G$8:$H$14,2,FALSE),YES_Writing_ELA[#Headers],0)))),"")</f>
        <v/>
      </c>
      <c r="E419" s="138" t="str">
        <f>IFERROR(IF(IF(INDEX(_xlfn.VSTACK(YES_Writing_ELA[#Data],YES_Writing_FLA[#Data]),MATCH($A419,_xlfn.VSTACK(YES_Writing_ELA[Student Number],YES_Writing_FLA[Student Number]),0),MATCH(VLOOKUP(E$7,'Writing Logic'!$J$7:$K$11,2,FALSE)&amp;" - Per "&amp;VLOOKUP($C$4,'Writing Logic'!$G$8:$H$14,2,FALSE),YES_Writing_ELA[#Headers],0))=0,"",INDEX(_xlfn.VSTACK(YES_Writing_ELA[#Data],YES_Writing_FLA[#Data]),MATCH($A419,_xlfn.VSTACK(YES_Writing_ELA[Student Number],YES_Writing_FLA[Student Number]),0),MATCH(VLOOKUP(E$7,'Writing Logic'!$J$7:$K$11,2,FALSE)&amp;" - Per "&amp;VLOOKUP($C$4,'Writing Logic'!$G$8:$H$14,2,FALSE),YES_Writing_ELA[#Headers],0)))="INS",'Writing Logic'!$B$7,IF(INDEX(_xlfn.VSTACK(YES_Writing_ELA[#Data],YES_Writing_FLA[#Data]),MATCH($A419,_xlfn.VSTACK(YES_Writing_ELA[Student Number],YES_Writing_FLA[Student Number]),0),MATCH(VLOOKUP(E$7,'Writing Logic'!$J$7:$K$11,2,FALSE)&amp;" - Per "&amp;VLOOKUP($C$4,'Writing Logic'!$G$8:$H$14,2,FALSE),YES_Writing_ELA[#Headers],0))=0,"",INDEX(_xlfn.VSTACK(YES_Writing_ELA[#Data],YES_Writing_FLA[#Data]),MATCH($A419,_xlfn.VSTACK(YES_Writing_ELA[Student Number],YES_Writing_FLA[Student Number]),0),MATCH(VLOOKUP(E$7,'Writing Logic'!$J$7:$K$11,2,FALSE)&amp;" - Per "&amp;VLOOKUP($C$4,'Writing Logic'!$G$8:$H$14,2,FALSE),YES_Writing_ELA[#Headers],0)))),"")</f>
        <v/>
      </c>
      <c r="F419" s="138" t="str">
        <f>IFERROR(IF(IF(INDEX(_xlfn.VSTACK(YES_Writing_ELA[#Data],YES_Writing_FLA[#Data]),MATCH($A419,_xlfn.VSTACK(YES_Writing_ELA[Student Number],YES_Writing_FLA[Student Number]),0),MATCH(VLOOKUP(F$7,'Writing Logic'!$J$7:$K$11,2,FALSE)&amp;" - Per "&amp;VLOOKUP($C$4,'Writing Logic'!$G$8:$H$14,2,FALSE),YES_Writing_ELA[#Headers],0))=0,"",INDEX(_xlfn.VSTACK(YES_Writing_ELA[#Data],YES_Writing_FLA[#Data]),MATCH($A419,_xlfn.VSTACK(YES_Writing_ELA[Student Number],YES_Writing_FLA[Student Number]),0),MATCH(VLOOKUP(F$7,'Writing Logic'!$J$7:$K$11,2,FALSE)&amp;" - Per "&amp;VLOOKUP($C$4,'Writing Logic'!$G$8:$H$14,2,FALSE),YES_Writing_ELA[#Headers],0)))="INS",'Writing Logic'!$B$7,IF(INDEX(_xlfn.VSTACK(YES_Writing_ELA[#Data],YES_Writing_FLA[#Data]),MATCH($A419,_xlfn.VSTACK(YES_Writing_ELA[Student Number],YES_Writing_FLA[Student Number]),0),MATCH(VLOOKUP(F$7,'Writing Logic'!$J$7:$K$11,2,FALSE)&amp;" - Per "&amp;VLOOKUP($C$4,'Writing Logic'!$G$8:$H$14,2,FALSE),YES_Writing_ELA[#Headers],0))=0,"",INDEX(_xlfn.VSTACK(YES_Writing_ELA[#Data],YES_Writing_FLA[#Data]),MATCH($A419,_xlfn.VSTACK(YES_Writing_ELA[Student Number],YES_Writing_FLA[Student Number]),0),MATCH(VLOOKUP(F$7,'Writing Logic'!$J$7:$K$11,2,FALSE)&amp;" - Per "&amp;VLOOKUP($C$4,'Writing Logic'!$G$8:$H$14,2,FALSE),YES_Writing_ELA[#Headers],0)))),"")</f>
        <v/>
      </c>
      <c r="G419" s="138" t="str">
        <f>IFERROR(IF(IF(INDEX(_xlfn.VSTACK(YES_Writing_ELA[#Data],YES_Writing_FLA[#Data]),MATCH($A419,_xlfn.VSTACK(YES_Writing_ELA[Student Number],YES_Writing_FLA[Student Number]),0),MATCH(VLOOKUP(G$7,'Writing Logic'!$J$7:$K$11,2,FALSE)&amp;" - Per "&amp;VLOOKUP($C$4,'Writing Logic'!$G$8:$H$14,2,FALSE),YES_Writing_ELA[#Headers],0))=0,"",INDEX(_xlfn.VSTACK(YES_Writing_ELA[#Data],YES_Writing_FLA[#Data]),MATCH($A419,_xlfn.VSTACK(YES_Writing_ELA[Student Number],YES_Writing_FLA[Student Number]),0),MATCH(VLOOKUP(G$7,'Writing Logic'!$J$7:$K$11,2,FALSE)&amp;" - Per "&amp;VLOOKUP($C$4,'Writing Logic'!$G$8:$H$14,2,FALSE),YES_Writing_ELA[#Headers],0)))="INS",'Writing Logic'!$B$7,IF(INDEX(_xlfn.VSTACK(YES_Writing_ELA[#Data],YES_Writing_FLA[#Data]),MATCH($A419,_xlfn.VSTACK(YES_Writing_ELA[Student Number],YES_Writing_FLA[Student Number]),0),MATCH(VLOOKUP(G$7,'Writing Logic'!$J$7:$K$11,2,FALSE)&amp;" - Per "&amp;VLOOKUP($C$4,'Writing Logic'!$G$8:$H$14,2,FALSE),YES_Writing_ELA[#Headers],0))=0,"",INDEX(_xlfn.VSTACK(YES_Writing_ELA[#Data],YES_Writing_FLA[#Data]),MATCH($A419,_xlfn.VSTACK(YES_Writing_ELA[Student Number],YES_Writing_FLA[Student Number]),0),MATCH(VLOOKUP(G$7,'Writing Logic'!$J$7:$K$11,2,FALSE)&amp;" - Per "&amp;VLOOKUP($C$4,'Writing Logic'!$G$8:$H$14,2,FALSE),YES_Writing_ELA[#Headers],0)))),"")</f>
        <v/>
      </c>
      <c r="H419" s="223" t="str">
        <f>IFERROR(IF(IF(INDEX(_xlfn.VSTACK(YES_Writing_ELA[#Data],YES_Writing_FLA[#Data]),MATCH($A419,_xlfn.VSTACK(YES_Writing_ELA[Student Number],YES_Writing_FLA[Student Number]),0),MATCH(VLOOKUP(H$7,'Writing Logic'!$J$7:$K$11,2,FALSE)&amp;" - Per "&amp;VLOOKUP($C$4,'Writing Logic'!$G$8:$H$14,2,FALSE),YES_Writing_ELA[#Headers],0))=0,"",INDEX(_xlfn.VSTACK(YES_Writing_ELA[#Data],YES_Writing_FLA[#Data]),MATCH($A419,_xlfn.VSTACK(YES_Writing_ELA[Student Number],YES_Writing_FLA[Student Number]),0),MATCH(VLOOKUP(H$7,'Writing Logic'!$J$7:$K$11,2,FALSE)&amp;" - Per "&amp;VLOOKUP($C$4,'Writing Logic'!$G$8:$H$14,2,FALSE),YES_Writing_ELA[#Headers],0)))="INS",'Writing Logic'!$B$7,IF(INDEX(_xlfn.VSTACK(YES_Writing_ELA[#Data],YES_Writing_FLA[#Data]),MATCH($A419,_xlfn.VSTACK(YES_Writing_ELA[Student Number],YES_Writing_FLA[Student Number]),0),MATCH(VLOOKUP(H$7,'Writing Logic'!$J$7:$K$11,2,FALSE)&amp;" - Per "&amp;VLOOKUP($C$4,'Writing Logic'!$G$8:$H$14,2,FALSE),YES_Writing_ELA[#Headers],0))=0,"",INDEX(_xlfn.VSTACK(YES_Writing_ELA[#Data],YES_Writing_FLA[#Data]),MATCH($A419,_xlfn.VSTACK(YES_Writing_ELA[Student Number],YES_Writing_FLA[Student Number]),0),MATCH(VLOOKUP(H$7,'Writing Logic'!$J$7:$K$11,2,FALSE)&amp;" - Per "&amp;VLOOKUP($C$4,'Writing Logic'!$G$8:$H$14,2,FALSE),YES_Writing_ELA[#Headers],0)))),"")</f>
        <v/>
      </c>
      <c r="I419" s="224" t="str" cm="1">
        <f t="array" aca="1" ref="I419" ca="1">IFERROR(
IF($G$3="ELA",
IF(VLOOKUP($A419, YES_Reading_ELA[], COLUMN(INDIRECT("YES_Reading_ELA[Difference - Per "&amp;VLOOKUP($G$4, 'Reading Report Logic'!$A$2:$B$8, 2, FALSE)&amp;"]")), FALSE)="", "",
VLOOKUP($A419,YES_Reading_ELA[], COLUMN(INDIRECT("YES_Reading_ELA[Difference - Per "&amp;VLOOKUP($G$4,'Reading Report Logic'!$A$2:$B$8,2,FALSE)&amp;"]")), FALSE)),
IF($G$3="FLA",
IF(VLOOKUP($A419, YES_Reading_FLA[], COLUMN(INDIRECT("YES_Reading_FLA[Difference - Per "&amp;VLOOKUP($G$4,'Reading Report Logic'!$A$2:$B$8,2,FALSE)&amp;"]")),FALSE)="","",
VLOOKUP($A419,YES_Reading_FLA[],COLUMN(INDIRECT("YES_Reading_FLA[Difference - Per "&amp;VLOOKUP($G$4,'Reading Report Logic'!$A$2:$B$8,2,FALSE)&amp;"]")),FALSE)),
IF($G$3="Combined",
IFERROR(
IF(VLOOKUP($A419, YES_Reading_ELA[], COLUMN(INDIRECT("YES_Reading_ELA[Difference - Per "&amp;VLOOKUP($G$4, 'Reading Report Logic'!$A$2:$B$8,2,FALSE)&amp;"]")), FALSE)="", "",
VLOOKUP($A419,YES_Reading_ELA[],COLUMN(INDIRECT("YES_Reading_ELA[Difference - Per "&amp;VLOOKUP($G$4,'Reading Report Logic'!$A$2:$B$8,2,FALSE)&amp;"]")),FALSE)),
IF(VLOOKUP($A419, YES_Reading_FLA[], COLUMN(INDIRECT("YES_Reading_FLA[Difference - Per "&amp;VLOOKUP($G$4, 'Reading Report Logic'!$A$2:$B$8, 2, FALSE)&amp;"]")),FALSE)="", "", VLOOKUP($A419,YES_Reading_FLA[],COLUMN(INDIRECT("YES_Reading_FLA[Difference - Per "&amp;VLOOKUP($G$4, 'Reading Report Logic'!$A$2:$B$8, 2, FALSE)&amp;"]")),FALSE))),""))),"")</f>
        <v/>
      </c>
    </row>
    <row r="420" spans="1:9" x14ac:dyDescent="0.25">
      <c r="A420" s="137"/>
      <c r="B420" s="137" t="str">
        <f>IFERROR(INDEX(_xlfn.VSTACK(YES_Writing_ELA[#Data], YES_Writing_FLA[#Data]),MATCH($A420,_xlfn.VSTACK(YES_Writing_ELA[Student Number], YES_Writing_FLA[Student Number]),0),MATCH(B$7,YES_Writing_ELA[#Headers],0)),IFERROR(INDEX(_xlfn.VSTACK(YES_Reading_ELA[#Data], YES_Reading_FLA[#Data]),MATCH($A420,_xlfn.VSTACK(YES_Reading_ELA[Student Number], YES_Reading_FLA[Student Number]),0),MATCH(B$7,YES_Reading_ELA[#Headers],0)),""))</f>
        <v/>
      </c>
      <c r="C420" s="137" t="str">
        <f>IFERROR(INDEX(_xlfn.VSTACK(YES_Writing_ELA[#Data], YES_Writing_FLA[#Data]),MATCH($A420,_xlfn.VSTACK(YES_Writing_ELA[Student Number], YES_Writing_FLA[Student Number]),0),MATCH(C$7,YES_Writing_ELA[#Headers],0)),IFERROR(INDEX(_xlfn.VSTACK(YES_Reading_ELA[#Data], YES_Reading_FLA[#Data]),MATCH($A420,_xlfn.VSTACK(YES_Reading_ELA[Student Number], YES_Reading_FLA[Student Number]),0),MATCH(C$7,YES_Reading_ELA[#Headers],0)),""))</f>
        <v/>
      </c>
      <c r="D420" s="138" t="str">
        <f>IFERROR(IF(IF(INDEX(_xlfn.VSTACK(YES_Writing_ELA[#Data],YES_Writing_FLA[#Data]),MATCH($A420,_xlfn.VSTACK(YES_Writing_ELA[Student Number],YES_Writing_FLA[Student Number]),0),MATCH(VLOOKUP(D$7,'Writing Logic'!$J$7:$K$11,2,FALSE)&amp;" - Per "&amp;VLOOKUP($C$4,'Writing Logic'!$G$8:$H$14,2,FALSE),YES_Writing_ELA[#Headers],0))=0,"",INDEX(_xlfn.VSTACK(YES_Writing_ELA[#Data],YES_Writing_FLA[#Data]),MATCH($A420,_xlfn.VSTACK(YES_Writing_ELA[Student Number],YES_Writing_FLA[Student Number]),0),MATCH(VLOOKUP(D$7,'Writing Logic'!$J$7:$K$11,2,FALSE)&amp;" - Per "&amp;VLOOKUP($C$4,'Writing Logic'!$G$8:$H$14,2,FALSE),YES_Writing_ELA[#Headers],0)))="INS",'Writing Logic'!$B$7,IF(INDEX(_xlfn.VSTACK(YES_Writing_ELA[#Data],YES_Writing_FLA[#Data]),MATCH($A420,_xlfn.VSTACK(YES_Writing_ELA[Student Number],YES_Writing_FLA[Student Number]),0),MATCH(VLOOKUP(D$7,'Writing Logic'!$J$7:$K$11,2,FALSE)&amp;" - Per "&amp;VLOOKUP($C$4,'Writing Logic'!$G$8:$H$14,2,FALSE),YES_Writing_ELA[#Headers],0))=0,"",INDEX(_xlfn.VSTACK(YES_Writing_ELA[#Data],YES_Writing_FLA[#Data]),MATCH($A420,_xlfn.VSTACK(YES_Writing_ELA[Student Number],YES_Writing_FLA[Student Number]),0),MATCH(VLOOKUP(D$7,'Writing Logic'!$J$7:$K$11,2,FALSE)&amp;" - Per "&amp;VLOOKUP($C$4,'Writing Logic'!$G$8:$H$14,2,FALSE),YES_Writing_ELA[#Headers],0)))),"")</f>
        <v/>
      </c>
      <c r="E420" s="138" t="str">
        <f>IFERROR(IF(IF(INDEX(_xlfn.VSTACK(YES_Writing_ELA[#Data],YES_Writing_FLA[#Data]),MATCH($A420,_xlfn.VSTACK(YES_Writing_ELA[Student Number],YES_Writing_FLA[Student Number]),0),MATCH(VLOOKUP(E$7,'Writing Logic'!$J$7:$K$11,2,FALSE)&amp;" - Per "&amp;VLOOKUP($C$4,'Writing Logic'!$G$8:$H$14,2,FALSE),YES_Writing_ELA[#Headers],0))=0,"",INDEX(_xlfn.VSTACK(YES_Writing_ELA[#Data],YES_Writing_FLA[#Data]),MATCH($A420,_xlfn.VSTACK(YES_Writing_ELA[Student Number],YES_Writing_FLA[Student Number]),0),MATCH(VLOOKUP(E$7,'Writing Logic'!$J$7:$K$11,2,FALSE)&amp;" - Per "&amp;VLOOKUP($C$4,'Writing Logic'!$G$8:$H$14,2,FALSE),YES_Writing_ELA[#Headers],0)))="INS",'Writing Logic'!$B$7,IF(INDEX(_xlfn.VSTACK(YES_Writing_ELA[#Data],YES_Writing_FLA[#Data]),MATCH($A420,_xlfn.VSTACK(YES_Writing_ELA[Student Number],YES_Writing_FLA[Student Number]),0),MATCH(VLOOKUP(E$7,'Writing Logic'!$J$7:$K$11,2,FALSE)&amp;" - Per "&amp;VLOOKUP($C$4,'Writing Logic'!$G$8:$H$14,2,FALSE),YES_Writing_ELA[#Headers],0))=0,"",INDEX(_xlfn.VSTACK(YES_Writing_ELA[#Data],YES_Writing_FLA[#Data]),MATCH($A420,_xlfn.VSTACK(YES_Writing_ELA[Student Number],YES_Writing_FLA[Student Number]),0),MATCH(VLOOKUP(E$7,'Writing Logic'!$J$7:$K$11,2,FALSE)&amp;" - Per "&amp;VLOOKUP($C$4,'Writing Logic'!$G$8:$H$14,2,FALSE),YES_Writing_ELA[#Headers],0)))),"")</f>
        <v/>
      </c>
      <c r="F420" s="138" t="str">
        <f>IFERROR(IF(IF(INDEX(_xlfn.VSTACK(YES_Writing_ELA[#Data],YES_Writing_FLA[#Data]),MATCH($A420,_xlfn.VSTACK(YES_Writing_ELA[Student Number],YES_Writing_FLA[Student Number]),0),MATCH(VLOOKUP(F$7,'Writing Logic'!$J$7:$K$11,2,FALSE)&amp;" - Per "&amp;VLOOKUP($C$4,'Writing Logic'!$G$8:$H$14,2,FALSE),YES_Writing_ELA[#Headers],0))=0,"",INDEX(_xlfn.VSTACK(YES_Writing_ELA[#Data],YES_Writing_FLA[#Data]),MATCH($A420,_xlfn.VSTACK(YES_Writing_ELA[Student Number],YES_Writing_FLA[Student Number]),0),MATCH(VLOOKUP(F$7,'Writing Logic'!$J$7:$K$11,2,FALSE)&amp;" - Per "&amp;VLOOKUP($C$4,'Writing Logic'!$G$8:$H$14,2,FALSE),YES_Writing_ELA[#Headers],0)))="INS",'Writing Logic'!$B$7,IF(INDEX(_xlfn.VSTACK(YES_Writing_ELA[#Data],YES_Writing_FLA[#Data]),MATCH($A420,_xlfn.VSTACK(YES_Writing_ELA[Student Number],YES_Writing_FLA[Student Number]),0),MATCH(VLOOKUP(F$7,'Writing Logic'!$J$7:$K$11,2,FALSE)&amp;" - Per "&amp;VLOOKUP($C$4,'Writing Logic'!$G$8:$H$14,2,FALSE),YES_Writing_ELA[#Headers],0))=0,"",INDEX(_xlfn.VSTACK(YES_Writing_ELA[#Data],YES_Writing_FLA[#Data]),MATCH($A420,_xlfn.VSTACK(YES_Writing_ELA[Student Number],YES_Writing_FLA[Student Number]),0),MATCH(VLOOKUP(F$7,'Writing Logic'!$J$7:$K$11,2,FALSE)&amp;" - Per "&amp;VLOOKUP($C$4,'Writing Logic'!$G$8:$H$14,2,FALSE),YES_Writing_ELA[#Headers],0)))),"")</f>
        <v/>
      </c>
      <c r="G420" s="138" t="str">
        <f>IFERROR(IF(IF(INDEX(_xlfn.VSTACK(YES_Writing_ELA[#Data],YES_Writing_FLA[#Data]),MATCH($A420,_xlfn.VSTACK(YES_Writing_ELA[Student Number],YES_Writing_FLA[Student Number]),0),MATCH(VLOOKUP(G$7,'Writing Logic'!$J$7:$K$11,2,FALSE)&amp;" - Per "&amp;VLOOKUP($C$4,'Writing Logic'!$G$8:$H$14,2,FALSE),YES_Writing_ELA[#Headers],0))=0,"",INDEX(_xlfn.VSTACK(YES_Writing_ELA[#Data],YES_Writing_FLA[#Data]),MATCH($A420,_xlfn.VSTACK(YES_Writing_ELA[Student Number],YES_Writing_FLA[Student Number]),0),MATCH(VLOOKUP(G$7,'Writing Logic'!$J$7:$K$11,2,FALSE)&amp;" - Per "&amp;VLOOKUP($C$4,'Writing Logic'!$G$8:$H$14,2,FALSE),YES_Writing_ELA[#Headers],0)))="INS",'Writing Logic'!$B$7,IF(INDEX(_xlfn.VSTACK(YES_Writing_ELA[#Data],YES_Writing_FLA[#Data]),MATCH($A420,_xlfn.VSTACK(YES_Writing_ELA[Student Number],YES_Writing_FLA[Student Number]),0),MATCH(VLOOKUP(G$7,'Writing Logic'!$J$7:$K$11,2,FALSE)&amp;" - Per "&amp;VLOOKUP($C$4,'Writing Logic'!$G$8:$H$14,2,FALSE),YES_Writing_ELA[#Headers],0))=0,"",INDEX(_xlfn.VSTACK(YES_Writing_ELA[#Data],YES_Writing_FLA[#Data]),MATCH($A420,_xlfn.VSTACK(YES_Writing_ELA[Student Number],YES_Writing_FLA[Student Number]),0),MATCH(VLOOKUP(G$7,'Writing Logic'!$J$7:$K$11,2,FALSE)&amp;" - Per "&amp;VLOOKUP($C$4,'Writing Logic'!$G$8:$H$14,2,FALSE),YES_Writing_ELA[#Headers],0)))),"")</f>
        <v/>
      </c>
      <c r="H420" s="223" t="str">
        <f>IFERROR(IF(IF(INDEX(_xlfn.VSTACK(YES_Writing_ELA[#Data],YES_Writing_FLA[#Data]),MATCH($A420,_xlfn.VSTACK(YES_Writing_ELA[Student Number],YES_Writing_FLA[Student Number]),0),MATCH(VLOOKUP(H$7,'Writing Logic'!$J$7:$K$11,2,FALSE)&amp;" - Per "&amp;VLOOKUP($C$4,'Writing Logic'!$G$8:$H$14,2,FALSE),YES_Writing_ELA[#Headers],0))=0,"",INDEX(_xlfn.VSTACK(YES_Writing_ELA[#Data],YES_Writing_FLA[#Data]),MATCH($A420,_xlfn.VSTACK(YES_Writing_ELA[Student Number],YES_Writing_FLA[Student Number]),0),MATCH(VLOOKUP(H$7,'Writing Logic'!$J$7:$K$11,2,FALSE)&amp;" - Per "&amp;VLOOKUP($C$4,'Writing Logic'!$G$8:$H$14,2,FALSE),YES_Writing_ELA[#Headers],0)))="INS",'Writing Logic'!$B$7,IF(INDEX(_xlfn.VSTACK(YES_Writing_ELA[#Data],YES_Writing_FLA[#Data]),MATCH($A420,_xlfn.VSTACK(YES_Writing_ELA[Student Number],YES_Writing_FLA[Student Number]),0),MATCH(VLOOKUP(H$7,'Writing Logic'!$J$7:$K$11,2,FALSE)&amp;" - Per "&amp;VLOOKUP($C$4,'Writing Logic'!$G$8:$H$14,2,FALSE),YES_Writing_ELA[#Headers],0))=0,"",INDEX(_xlfn.VSTACK(YES_Writing_ELA[#Data],YES_Writing_FLA[#Data]),MATCH($A420,_xlfn.VSTACK(YES_Writing_ELA[Student Number],YES_Writing_FLA[Student Number]),0),MATCH(VLOOKUP(H$7,'Writing Logic'!$J$7:$K$11,2,FALSE)&amp;" - Per "&amp;VLOOKUP($C$4,'Writing Logic'!$G$8:$H$14,2,FALSE),YES_Writing_ELA[#Headers],0)))),"")</f>
        <v/>
      </c>
      <c r="I420" s="224" t="str" cm="1">
        <f t="array" aca="1" ref="I420" ca="1">IFERROR(
IF($G$3="ELA",
IF(VLOOKUP($A420, YES_Reading_ELA[], COLUMN(INDIRECT("YES_Reading_ELA[Difference - Per "&amp;VLOOKUP($G$4, 'Reading Report Logic'!$A$2:$B$8, 2, FALSE)&amp;"]")), FALSE)="", "",
VLOOKUP($A420,YES_Reading_ELA[], COLUMN(INDIRECT("YES_Reading_ELA[Difference - Per "&amp;VLOOKUP($G$4,'Reading Report Logic'!$A$2:$B$8,2,FALSE)&amp;"]")), FALSE)),
IF($G$3="FLA",
IF(VLOOKUP($A420, YES_Reading_FLA[], COLUMN(INDIRECT("YES_Reading_FLA[Difference - Per "&amp;VLOOKUP($G$4,'Reading Report Logic'!$A$2:$B$8,2,FALSE)&amp;"]")),FALSE)="","",
VLOOKUP($A420,YES_Reading_FLA[],COLUMN(INDIRECT("YES_Reading_FLA[Difference - Per "&amp;VLOOKUP($G$4,'Reading Report Logic'!$A$2:$B$8,2,FALSE)&amp;"]")),FALSE)),
IF($G$3="Combined",
IFERROR(
IF(VLOOKUP($A420, YES_Reading_ELA[], COLUMN(INDIRECT("YES_Reading_ELA[Difference - Per "&amp;VLOOKUP($G$4, 'Reading Report Logic'!$A$2:$B$8,2,FALSE)&amp;"]")), FALSE)="", "",
VLOOKUP($A420,YES_Reading_ELA[],COLUMN(INDIRECT("YES_Reading_ELA[Difference - Per "&amp;VLOOKUP($G$4,'Reading Report Logic'!$A$2:$B$8,2,FALSE)&amp;"]")),FALSE)),
IF(VLOOKUP($A420, YES_Reading_FLA[], COLUMN(INDIRECT("YES_Reading_FLA[Difference - Per "&amp;VLOOKUP($G$4, 'Reading Report Logic'!$A$2:$B$8, 2, FALSE)&amp;"]")),FALSE)="", "", VLOOKUP($A420,YES_Reading_FLA[],COLUMN(INDIRECT("YES_Reading_FLA[Difference - Per "&amp;VLOOKUP($G$4, 'Reading Report Logic'!$A$2:$B$8, 2, FALSE)&amp;"]")),FALSE))),""))),"")</f>
        <v/>
      </c>
    </row>
    <row r="421" spans="1:9" x14ac:dyDescent="0.25">
      <c r="A421" s="137"/>
      <c r="B421" s="137" t="str">
        <f>IFERROR(INDEX(_xlfn.VSTACK(YES_Writing_ELA[#Data], YES_Writing_FLA[#Data]),MATCH($A421,_xlfn.VSTACK(YES_Writing_ELA[Student Number], YES_Writing_FLA[Student Number]),0),MATCH(B$7,YES_Writing_ELA[#Headers],0)),IFERROR(INDEX(_xlfn.VSTACK(YES_Reading_ELA[#Data], YES_Reading_FLA[#Data]),MATCH($A421,_xlfn.VSTACK(YES_Reading_ELA[Student Number], YES_Reading_FLA[Student Number]),0),MATCH(B$7,YES_Reading_ELA[#Headers],0)),""))</f>
        <v/>
      </c>
      <c r="C421" s="137" t="str">
        <f>IFERROR(INDEX(_xlfn.VSTACK(YES_Writing_ELA[#Data], YES_Writing_FLA[#Data]),MATCH($A421,_xlfn.VSTACK(YES_Writing_ELA[Student Number], YES_Writing_FLA[Student Number]),0),MATCH(C$7,YES_Writing_ELA[#Headers],0)),IFERROR(INDEX(_xlfn.VSTACK(YES_Reading_ELA[#Data], YES_Reading_FLA[#Data]),MATCH($A421,_xlfn.VSTACK(YES_Reading_ELA[Student Number], YES_Reading_FLA[Student Number]),0),MATCH(C$7,YES_Reading_ELA[#Headers],0)),""))</f>
        <v/>
      </c>
      <c r="D421" s="138" t="str">
        <f>IFERROR(IF(IF(INDEX(_xlfn.VSTACK(YES_Writing_ELA[#Data],YES_Writing_FLA[#Data]),MATCH($A421,_xlfn.VSTACK(YES_Writing_ELA[Student Number],YES_Writing_FLA[Student Number]),0),MATCH(VLOOKUP(D$7,'Writing Logic'!$J$7:$K$11,2,FALSE)&amp;" - Per "&amp;VLOOKUP($C$4,'Writing Logic'!$G$8:$H$14,2,FALSE),YES_Writing_ELA[#Headers],0))=0,"",INDEX(_xlfn.VSTACK(YES_Writing_ELA[#Data],YES_Writing_FLA[#Data]),MATCH($A421,_xlfn.VSTACK(YES_Writing_ELA[Student Number],YES_Writing_FLA[Student Number]),0),MATCH(VLOOKUP(D$7,'Writing Logic'!$J$7:$K$11,2,FALSE)&amp;" - Per "&amp;VLOOKUP($C$4,'Writing Logic'!$G$8:$H$14,2,FALSE),YES_Writing_ELA[#Headers],0)))="INS",'Writing Logic'!$B$7,IF(INDEX(_xlfn.VSTACK(YES_Writing_ELA[#Data],YES_Writing_FLA[#Data]),MATCH($A421,_xlfn.VSTACK(YES_Writing_ELA[Student Number],YES_Writing_FLA[Student Number]),0),MATCH(VLOOKUP(D$7,'Writing Logic'!$J$7:$K$11,2,FALSE)&amp;" - Per "&amp;VLOOKUP($C$4,'Writing Logic'!$G$8:$H$14,2,FALSE),YES_Writing_ELA[#Headers],0))=0,"",INDEX(_xlfn.VSTACK(YES_Writing_ELA[#Data],YES_Writing_FLA[#Data]),MATCH($A421,_xlfn.VSTACK(YES_Writing_ELA[Student Number],YES_Writing_FLA[Student Number]),0),MATCH(VLOOKUP(D$7,'Writing Logic'!$J$7:$K$11,2,FALSE)&amp;" - Per "&amp;VLOOKUP($C$4,'Writing Logic'!$G$8:$H$14,2,FALSE),YES_Writing_ELA[#Headers],0)))),"")</f>
        <v/>
      </c>
      <c r="E421" s="138" t="str">
        <f>IFERROR(IF(IF(INDEX(_xlfn.VSTACK(YES_Writing_ELA[#Data],YES_Writing_FLA[#Data]),MATCH($A421,_xlfn.VSTACK(YES_Writing_ELA[Student Number],YES_Writing_FLA[Student Number]),0),MATCH(VLOOKUP(E$7,'Writing Logic'!$J$7:$K$11,2,FALSE)&amp;" - Per "&amp;VLOOKUP($C$4,'Writing Logic'!$G$8:$H$14,2,FALSE),YES_Writing_ELA[#Headers],0))=0,"",INDEX(_xlfn.VSTACK(YES_Writing_ELA[#Data],YES_Writing_FLA[#Data]),MATCH($A421,_xlfn.VSTACK(YES_Writing_ELA[Student Number],YES_Writing_FLA[Student Number]),0),MATCH(VLOOKUP(E$7,'Writing Logic'!$J$7:$K$11,2,FALSE)&amp;" - Per "&amp;VLOOKUP($C$4,'Writing Logic'!$G$8:$H$14,2,FALSE),YES_Writing_ELA[#Headers],0)))="INS",'Writing Logic'!$B$7,IF(INDEX(_xlfn.VSTACK(YES_Writing_ELA[#Data],YES_Writing_FLA[#Data]),MATCH($A421,_xlfn.VSTACK(YES_Writing_ELA[Student Number],YES_Writing_FLA[Student Number]),0),MATCH(VLOOKUP(E$7,'Writing Logic'!$J$7:$K$11,2,FALSE)&amp;" - Per "&amp;VLOOKUP($C$4,'Writing Logic'!$G$8:$H$14,2,FALSE),YES_Writing_ELA[#Headers],0))=0,"",INDEX(_xlfn.VSTACK(YES_Writing_ELA[#Data],YES_Writing_FLA[#Data]),MATCH($A421,_xlfn.VSTACK(YES_Writing_ELA[Student Number],YES_Writing_FLA[Student Number]),0),MATCH(VLOOKUP(E$7,'Writing Logic'!$J$7:$K$11,2,FALSE)&amp;" - Per "&amp;VLOOKUP($C$4,'Writing Logic'!$G$8:$H$14,2,FALSE),YES_Writing_ELA[#Headers],0)))),"")</f>
        <v/>
      </c>
      <c r="F421" s="138" t="str">
        <f>IFERROR(IF(IF(INDEX(_xlfn.VSTACK(YES_Writing_ELA[#Data],YES_Writing_FLA[#Data]),MATCH($A421,_xlfn.VSTACK(YES_Writing_ELA[Student Number],YES_Writing_FLA[Student Number]),0),MATCH(VLOOKUP(F$7,'Writing Logic'!$J$7:$K$11,2,FALSE)&amp;" - Per "&amp;VLOOKUP($C$4,'Writing Logic'!$G$8:$H$14,2,FALSE),YES_Writing_ELA[#Headers],0))=0,"",INDEX(_xlfn.VSTACK(YES_Writing_ELA[#Data],YES_Writing_FLA[#Data]),MATCH($A421,_xlfn.VSTACK(YES_Writing_ELA[Student Number],YES_Writing_FLA[Student Number]),0),MATCH(VLOOKUP(F$7,'Writing Logic'!$J$7:$K$11,2,FALSE)&amp;" - Per "&amp;VLOOKUP($C$4,'Writing Logic'!$G$8:$H$14,2,FALSE),YES_Writing_ELA[#Headers],0)))="INS",'Writing Logic'!$B$7,IF(INDEX(_xlfn.VSTACK(YES_Writing_ELA[#Data],YES_Writing_FLA[#Data]),MATCH($A421,_xlfn.VSTACK(YES_Writing_ELA[Student Number],YES_Writing_FLA[Student Number]),0),MATCH(VLOOKUP(F$7,'Writing Logic'!$J$7:$K$11,2,FALSE)&amp;" - Per "&amp;VLOOKUP($C$4,'Writing Logic'!$G$8:$H$14,2,FALSE),YES_Writing_ELA[#Headers],0))=0,"",INDEX(_xlfn.VSTACK(YES_Writing_ELA[#Data],YES_Writing_FLA[#Data]),MATCH($A421,_xlfn.VSTACK(YES_Writing_ELA[Student Number],YES_Writing_FLA[Student Number]),0),MATCH(VLOOKUP(F$7,'Writing Logic'!$J$7:$K$11,2,FALSE)&amp;" - Per "&amp;VLOOKUP($C$4,'Writing Logic'!$G$8:$H$14,2,FALSE),YES_Writing_ELA[#Headers],0)))),"")</f>
        <v/>
      </c>
      <c r="G421" s="138" t="str">
        <f>IFERROR(IF(IF(INDEX(_xlfn.VSTACK(YES_Writing_ELA[#Data],YES_Writing_FLA[#Data]),MATCH($A421,_xlfn.VSTACK(YES_Writing_ELA[Student Number],YES_Writing_FLA[Student Number]),0),MATCH(VLOOKUP(G$7,'Writing Logic'!$J$7:$K$11,2,FALSE)&amp;" - Per "&amp;VLOOKUP($C$4,'Writing Logic'!$G$8:$H$14,2,FALSE),YES_Writing_ELA[#Headers],0))=0,"",INDEX(_xlfn.VSTACK(YES_Writing_ELA[#Data],YES_Writing_FLA[#Data]),MATCH($A421,_xlfn.VSTACK(YES_Writing_ELA[Student Number],YES_Writing_FLA[Student Number]),0),MATCH(VLOOKUP(G$7,'Writing Logic'!$J$7:$K$11,2,FALSE)&amp;" - Per "&amp;VLOOKUP($C$4,'Writing Logic'!$G$8:$H$14,2,FALSE),YES_Writing_ELA[#Headers],0)))="INS",'Writing Logic'!$B$7,IF(INDEX(_xlfn.VSTACK(YES_Writing_ELA[#Data],YES_Writing_FLA[#Data]),MATCH($A421,_xlfn.VSTACK(YES_Writing_ELA[Student Number],YES_Writing_FLA[Student Number]),0),MATCH(VLOOKUP(G$7,'Writing Logic'!$J$7:$K$11,2,FALSE)&amp;" - Per "&amp;VLOOKUP($C$4,'Writing Logic'!$G$8:$H$14,2,FALSE),YES_Writing_ELA[#Headers],0))=0,"",INDEX(_xlfn.VSTACK(YES_Writing_ELA[#Data],YES_Writing_FLA[#Data]),MATCH($A421,_xlfn.VSTACK(YES_Writing_ELA[Student Number],YES_Writing_FLA[Student Number]),0),MATCH(VLOOKUP(G$7,'Writing Logic'!$J$7:$K$11,2,FALSE)&amp;" - Per "&amp;VLOOKUP($C$4,'Writing Logic'!$G$8:$H$14,2,FALSE),YES_Writing_ELA[#Headers],0)))),"")</f>
        <v/>
      </c>
      <c r="H421" s="223" t="str">
        <f>IFERROR(IF(IF(INDEX(_xlfn.VSTACK(YES_Writing_ELA[#Data],YES_Writing_FLA[#Data]),MATCH($A421,_xlfn.VSTACK(YES_Writing_ELA[Student Number],YES_Writing_FLA[Student Number]),0),MATCH(VLOOKUP(H$7,'Writing Logic'!$J$7:$K$11,2,FALSE)&amp;" - Per "&amp;VLOOKUP($C$4,'Writing Logic'!$G$8:$H$14,2,FALSE),YES_Writing_ELA[#Headers],0))=0,"",INDEX(_xlfn.VSTACK(YES_Writing_ELA[#Data],YES_Writing_FLA[#Data]),MATCH($A421,_xlfn.VSTACK(YES_Writing_ELA[Student Number],YES_Writing_FLA[Student Number]),0),MATCH(VLOOKUP(H$7,'Writing Logic'!$J$7:$K$11,2,FALSE)&amp;" - Per "&amp;VLOOKUP($C$4,'Writing Logic'!$G$8:$H$14,2,FALSE),YES_Writing_ELA[#Headers],0)))="INS",'Writing Logic'!$B$7,IF(INDEX(_xlfn.VSTACK(YES_Writing_ELA[#Data],YES_Writing_FLA[#Data]),MATCH($A421,_xlfn.VSTACK(YES_Writing_ELA[Student Number],YES_Writing_FLA[Student Number]),0),MATCH(VLOOKUP(H$7,'Writing Logic'!$J$7:$K$11,2,FALSE)&amp;" - Per "&amp;VLOOKUP($C$4,'Writing Logic'!$G$8:$H$14,2,FALSE),YES_Writing_ELA[#Headers],0))=0,"",INDEX(_xlfn.VSTACK(YES_Writing_ELA[#Data],YES_Writing_FLA[#Data]),MATCH($A421,_xlfn.VSTACK(YES_Writing_ELA[Student Number],YES_Writing_FLA[Student Number]),0),MATCH(VLOOKUP(H$7,'Writing Logic'!$J$7:$K$11,2,FALSE)&amp;" - Per "&amp;VLOOKUP($C$4,'Writing Logic'!$G$8:$H$14,2,FALSE),YES_Writing_ELA[#Headers],0)))),"")</f>
        <v/>
      </c>
      <c r="I421" s="224" t="str" cm="1">
        <f t="array" aca="1" ref="I421" ca="1">IFERROR(
IF($G$3="ELA",
IF(VLOOKUP($A421, YES_Reading_ELA[], COLUMN(INDIRECT("YES_Reading_ELA[Difference - Per "&amp;VLOOKUP($G$4, 'Reading Report Logic'!$A$2:$B$8, 2, FALSE)&amp;"]")), FALSE)="", "",
VLOOKUP($A421,YES_Reading_ELA[], COLUMN(INDIRECT("YES_Reading_ELA[Difference - Per "&amp;VLOOKUP($G$4,'Reading Report Logic'!$A$2:$B$8,2,FALSE)&amp;"]")), FALSE)),
IF($G$3="FLA",
IF(VLOOKUP($A421, YES_Reading_FLA[], COLUMN(INDIRECT("YES_Reading_FLA[Difference - Per "&amp;VLOOKUP($G$4,'Reading Report Logic'!$A$2:$B$8,2,FALSE)&amp;"]")),FALSE)="","",
VLOOKUP($A421,YES_Reading_FLA[],COLUMN(INDIRECT("YES_Reading_FLA[Difference - Per "&amp;VLOOKUP($G$4,'Reading Report Logic'!$A$2:$B$8,2,FALSE)&amp;"]")),FALSE)),
IF($G$3="Combined",
IFERROR(
IF(VLOOKUP($A421, YES_Reading_ELA[], COLUMN(INDIRECT("YES_Reading_ELA[Difference - Per "&amp;VLOOKUP($G$4, 'Reading Report Logic'!$A$2:$B$8,2,FALSE)&amp;"]")), FALSE)="", "",
VLOOKUP($A421,YES_Reading_ELA[],COLUMN(INDIRECT("YES_Reading_ELA[Difference - Per "&amp;VLOOKUP($G$4,'Reading Report Logic'!$A$2:$B$8,2,FALSE)&amp;"]")),FALSE)),
IF(VLOOKUP($A421, YES_Reading_FLA[], COLUMN(INDIRECT("YES_Reading_FLA[Difference - Per "&amp;VLOOKUP($G$4, 'Reading Report Logic'!$A$2:$B$8, 2, FALSE)&amp;"]")),FALSE)="", "", VLOOKUP($A421,YES_Reading_FLA[],COLUMN(INDIRECT("YES_Reading_FLA[Difference - Per "&amp;VLOOKUP($G$4, 'Reading Report Logic'!$A$2:$B$8, 2, FALSE)&amp;"]")),FALSE))),""))),"")</f>
        <v/>
      </c>
    </row>
    <row r="422" spans="1:9" x14ac:dyDescent="0.25">
      <c r="A422" s="137"/>
      <c r="B422" s="137" t="str">
        <f>IFERROR(INDEX(_xlfn.VSTACK(YES_Writing_ELA[#Data], YES_Writing_FLA[#Data]),MATCH($A422,_xlfn.VSTACK(YES_Writing_ELA[Student Number], YES_Writing_FLA[Student Number]),0),MATCH(B$7,YES_Writing_ELA[#Headers],0)),IFERROR(INDEX(_xlfn.VSTACK(YES_Reading_ELA[#Data], YES_Reading_FLA[#Data]),MATCH($A422,_xlfn.VSTACK(YES_Reading_ELA[Student Number], YES_Reading_FLA[Student Number]),0),MATCH(B$7,YES_Reading_ELA[#Headers],0)),""))</f>
        <v/>
      </c>
      <c r="C422" s="137" t="str">
        <f>IFERROR(INDEX(_xlfn.VSTACK(YES_Writing_ELA[#Data], YES_Writing_FLA[#Data]),MATCH($A422,_xlfn.VSTACK(YES_Writing_ELA[Student Number], YES_Writing_FLA[Student Number]),0),MATCH(C$7,YES_Writing_ELA[#Headers],0)),IFERROR(INDEX(_xlfn.VSTACK(YES_Reading_ELA[#Data], YES_Reading_FLA[#Data]),MATCH($A422,_xlfn.VSTACK(YES_Reading_ELA[Student Number], YES_Reading_FLA[Student Number]),0),MATCH(C$7,YES_Reading_ELA[#Headers],0)),""))</f>
        <v/>
      </c>
      <c r="D422" s="138" t="str">
        <f>IFERROR(IF(IF(INDEX(_xlfn.VSTACK(YES_Writing_ELA[#Data],YES_Writing_FLA[#Data]),MATCH($A422,_xlfn.VSTACK(YES_Writing_ELA[Student Number],YES_Writing_FLA[Student Number]),0),MATCH(VLOOKUP(D$7,'Writing Logic'!$J$7:$K$11,2,FALSE)&amp;" - Per "&amp;VLOOKUP($C$4,'Writing Logic'!$G$8:$H$14,2,FALSE),YES_Writing_ELA[#Headers],0))=0,"",INDEX(_xlfn.VSTACK(YES_Writing_ELA[#Data],YES_Writing_FLA[#Data]),MATCH($A422,_xlfn.VSTACK(YES_Writing_ELA[Student Number],YES_Writing_FLA[Student Number]),0),MATCH(VLOOKUP(D$7,'Writing Logic'!$J$7:$K$11,2,FALSE)&amp;" - Per "&amp;VLOOKUP($C$4,'Writing Logic'!$G$8:$H$14,2,FALSE),YES_Writing_ELA[#Headers],0)))="INS",'Writing Logic'!$B$7,IF(INDEX(_xlfn.VSTACK(YES_Writing_ELA[#Data],YES_Writing_FLA[#Data]),MATCH($A422,_xlfn.VSTACK(YES_Writing_ELA[Student Number],YES_Writing_FLA[Student Number]),0),MATCH(VLOOKUP(D$7,'Writing Logic'!$J$7:$K$11,2,FALSE)&amp;" - Per "&amp;VLOOKUP($C$4,'Writing Logic'!$G$8:$H$14,2,FALSE),YES_Writing_ELA[#Headers],0))=0,"",INDEX(_xlfn.VSTACK(YES_Writing_ELA[#Data],YES_Writing_FLA[#Data]),MATCH($A422,_xlfn.VSTACK(YES_Writing_ELA[Student Number],YES_Writing_FLA[Student Number]),0),MATCH(VLOOKUP(D$7,'Writing Logic'!$J$7:$K$11,2,FALSE)&amp;" - Per "&amp;VLOOKUP($C$4,'Writing Logic'!$G$8:$H$14,2,FALSE),YES_Writing_ELA[#Headers],0)))),"")</f>
        <v/>
      </c>
      <c r="E422" s="138" t="str">
        <f>IFERROR(IF(IF(INDEX(_xlfn.VSTACK(YES_Writing_ELA[#Data],YES_Writing_FLA[#Data]),MATCH($A422,_xlfn.VSTACK(YES_Writing_ELA[Student Number],YES_Writing_FLA[Student Number]),0),MATCH(VLOOKUP(E$7,'Writing Logic'!$J$7:$K$11,2,FALSE)&amp;" - Per "&amp;VLOOKUP($C$4,'Writing Logic'!$G$8:$H$14,2,FALSE),YES_Writing_ELA[#Headers],0))=0,"",INDEX(_xlfn.VSTACK(YES_Writing_ELA[#Data],YES_Writing_FLA[#Data]),MATCH($A422,_xlfn.VSTACK(YES_Writing_ELA[Student Number],YES_Writing_FLA[Student Number]),0),MATCH(VLOOKUP(E$7,'Writing Logic'!$J$7:$K$11,2,FALSE)&amp;" - Per "&amp;VLOOKUP($C$4,'Writing Logic'!$G$8:$H$14,2,FALSE),YES_Writing_ELA[#Headers],0)))="INS",'Writing Logic'!$B$7,IF(INDEX(_xlfn.VSTACK(YES_Writing_ELA[#Data],YES_Writing_FLA[#Data]),MATCH($A422,_xlfn.VSTACK(YES_Writing_ELA[Student Number],YES_Writing_FLA[Student Number]),0),MATCH(VLOOKUP(E$7,'Writing Logic'!$J$7:$K$11,2,FALSE)&amp;" - Per "&amp;VLOOKUP($C$4,'Writing Logic'!$G$8:$H$14,2,FALSE),YES_Writing_ELA[#Headers],0))=0,"",INDEX(_xlfn.VSTACK(YES_Writing_ELA[#Data],YES_Writing_FLA[#Data]),MATCH($A422,_xlfn.VSTACK(YES_Writing_ELA[Student Number],YES_Writing_FLA[Student Number]),0),MATCH(VLOOKUP(E$7,'Writing Logic'!$J$7:$K$11,2,FALSE)&amp;" - Per "&amp;VLOOKUP($C$4,'Writing Logic'!$G$8:$H$14,2,FALSE),YES_Writing_ELA[#Headers],0)))),"")</f>
        <v/>
      </c>
      <c r="F422" s="138" t="str">
        <f>IFERROR(IF(IF(INDEX(_xlfn.VSTACK(YES_Writing_ELA[#Data],YES_Writing_FLA[#Data]),MATCH($A422,_xlfn.VSTACK(YES_Writing_ELA[Student Number],YES_Writing_FLA[Student Number]),0),MATCH(VLOOKUP(F$7,'Writing Logic'!$J$7:$K$11,2,FALSE)&amp;" - Per "&amp;VLOOKUP($C$4,'Writing Logic'!$G$8:$H$14,2,FALSE),YES_Writing_ELA[#Headers],0))=0,"",INDEX(_xlfn.VSTACK(YES_Writing_ELA[#Data],YES_Writing_FLA[#Data]),MATCH($A422,_xlfn.VSTACK(YES_Writing_ELA[Student Number],YES_Writing_FLA[Student Number]),0),MATCH(VLOOKUP(F$7,'Writing Logic'!$J$7:$K$11,2,FALSE)&amp;" - Per "&amp;VLOOKUP($C$4,'Writing Logic'!$G$8:$H$14,2,FALSE),YES_Writing_ELA[#Headers],0)))="INS",'Writing Logic'!$B$7,IF(INDEX(_xlfn.VSTACK(YES_Writing_ELA[#Data],YES_Writing_FLA[#Data]),MATCH($A422,_xlfn.VSTACK(YES_Writing_ELA[Student Number],YES_Writing_FLA[Student Number]),0),MATCH(VLOOKUP(F$7,'Writing Logic'!$J$7:$K$11,2,FALSE)&amp;" - Per "&amp;VLOOKUP($C$4,'Writing Logic'!$G$8:$H$14,2,FALSE),YES_Writing_ELA[#Headers],0))=0,"",INDEX(_xlfn.VSTACK(YES_Writing_ELA[#Data],YES_Writing_FLA[#Data]),MATCH($A422,_xlfn.VSTACK(YES_Writing_ELA[Student Number],YES_Writing_FLA[Student Number]),0),MATCH(VLOOKUP(F$7,'Writing Logic'!$J$7:$K$11,2,FALSE)&amp;" - Per "&amp;VLOOKUP($C$4,'Writing Logic'!$G$8:$H$14,2,FALSE),YES_Writing_ELA[#Headers],0)))),"")</f>
        <v/>
      </c>
      <c r="G422" s="138" t="str">
        <f>IFERROR(IF(IF(INDEX(_xlfn.VSTACK(YES_Writing_ELA[#Data],YES_Writing_FLA[#Data]),MATCH($A422,_xlfn.VSTACK(YES_Writing_ELA[Student Number],YES_Writing_FLA[Student Number]),0),MATCH(VLOOKUP(G$7,'Writing Logic'!$J$7:$K$11,2,FALSE)&amp;" - Per "&amp;VLOOKUP($C$4,'Writing Logic'!$G$8:$H$14,2,FALSE),YES_Writing_ELA[#Headers],0))=0,"",INDEX(_xlfn.VSTACK(YES_Writing_ELA[#Data],YES_Writing_FLA[#Data]),MATCH($A422,_xlfn.VSTACK(YES_Writing_ELA[Student Number],YES_Writing_FLA[Student Number]),0),MATCH(VLOOKUP(G$7,'Writing Logic'!$J$7:$K$11,2,FALSE)&amp;" - Per "&amp;VLOOKUP($C$4,'Writing Logic'!$G$8:$H$14,2,FALSE),YES_Writing_ELA[#Headers],0)))="INS",'Writing Logic'!$B$7,IF(INDEX(_xlfn.VSTACK(YES_Writing_ELA[#Data],YES_Writing_FLA[#Data]),MATCH($A422,_xlfn.VSTACK(YES_Writing_ELA[Student Number],YES_Writing_FLA[Student Number]),0),MATCH(VLOOKUP(G$7,'Writing Logic'!$J$7:$K$11,2,FALSE)&amp;" - Per "&amp;VLOOKUP($C$4,'Writing Logic'!$G$8:$H$14,2,FALSE),YES_Writing_ELA[#Headers],0))=0,"",INDEX(_xlfn.VSTACK(YES_Writing_ELA[#Data],YES_Writing_FLA[#Data]),MATCH($A422,_xlfn.VSTACK(YES_Writing_ELA[Student Number],YES_Writing_FLA[Student Number]),0),MATCH(VLOOKUP(G$7,'Writing Logic'!$J$7:$K$11,2,FALSE)&amp;" - Per "&amp;VLOOKUP($C$4,'Writing Logic'!$G$8:$H$14,2,FALSE),YES_Writing_ELA[#Headers],0)))),"")</f>
        <v/>
      </c>
      <c r="H422" s="223" t="str">
        <f>IFERROR(IF(IF(INDEX(_xlfn.VSTACK(YES_Writing_ELA[#Data],YES_Writing_FLA[#Data]),MATCH($A422,_xlfn.VSTACK(YES_Writing_ELA[Student Number],YES_Writing_FLA[Student Number]),0),MATCH(VLOOKUP(H$7,'Writing Logic'!$J$7:$K$11,2,FALSE)&amp;" - Per "&amp;VLOOKUP($C$4,'Writing Logic'!$G$8:$H$14,2,FALSE),YES_Writing_ELA[#Headers],0))=0,"",INDEX(_xlfn.VSTACK(YES_Writing_ELA[#Data],YES_Writing_FLA[#Data]),MATCH($A422,_xlfn.VSTACK(YES_Writing_ELA[Student Number],YES_Writing_FLA[Student Number]),0),MATCH(VLOOKUP(H$7,'Writing Logic'!$J$7:$K$11,2,FALSE)&amp;" - Per "&amp;VLOOKUP($C$4,'Writing Logic'!$G$8:$H$14,2,FALSE),YES_Writing_ELA[#Headers],0)))="INS",'Writing Logic'!$B$7,IF(INDEX(_xlfn.VSTACK(YES_Writing_ELA[#Data],YES_Writing_FLA[#Data]),MATCH($A422,_xlfn.VSTACK(YES_Writing_ELA[Student Number],YES_Writing_FLA[Student Number]),0),MATCH(VLOOKUP(H$7,'Writing Logic'!$J$7:$K$11,2,FALSE)&amp;" - Per "&amp;VLOOKUP($C$4,'Writing Logic'!$G$8:$H$14,2,FALSE),YES_Writing_ELA[#Headers],0))=0,"",INDEX(_xlfn.VSTACK(YES_Writing_ELA[#Data],YES_Writing_FLA[#Data]),MATCH($A422,_xlfn.VSTACK(YES_Writing_ELA[Student Number],YES_Writing_FLA[Student Number]),0),MATCH(VLOOKUP(H$7,'Writing Logic'!$J$7:$K$11,2,FALSE)&amp;" - Per "&amp;VLOOKUP($C$4,'Writing Logic'!$G$8:$H$14,2,FALSE),YES_Writing_ELA[#Headers],0)))),"")</f>
        <v/>
      </c>
      <c r="I422" s="224" t="str" cm="1">
        <f t="array" aca="1" ref="I422" ca="1">IFERROR(
IF($G$3="ELA",
IF(VLOOKUP($A422, YES_Reading_ELA[], COLUMN(INDIRECT("YES_Reading_ELA[Difference - Per "&amp;VLOOKUP($G$4, 'Reading Report Logic'!$A$2:$B$8, 2, FALSE)&amp;"]")), FALSE)="", "",
VLOOKUP($A422,YES_Reading_ELA[], COLUMN(INDIRECT("YES_Reading_ELA[Difference - Per "&amp;VLOOKUP($G$4,'Reading Report Logic'!$A$2:$B$8,2,FALSE)&amp;"]")), FALSE)),
IF($G$3="FLA",
IF(VLOOKUP($A422, YES_Reading_FLA[], COLUMN(INDIRECT("YES_Reading_FLA[Difference - Per "&amp;VLOOKUP($G$4,'Reading Report Logic'!$A$2:$B$8,2,FALSE)&amp;"]")),FALSE)="","",
VLOOKUP($A422,YES_Reading_FLA[],COLUMN(INDIRECT("YES_Reading_FLA[Difference - Per "&amp;VLOOKUP($G$4,'Reading Report Logic'!$A$2:$B$8,2,FALSE)&amp;"]")),FALSE)),
IF($G$3="Combined",
IFERROR(
IF(VLOOKUP($A422, YES_Reading_ELA[], COLUMN(INDIRECT("YES_Reading_ELA[Difference - Per "&amp;VLOOKUP($G$4, 'Reading Report Logic'!$A$2:$B$8,2,FALSE)&amp;"]")), FALSE)="", "",
VLOOKUP($A422,YES_Reading_ELA[],COLUMN(INDIRECT("YES_Reading_ELA[Difference - Per "&amp;VLOOKUP($G$4,'Reading Report Logic'!$A$2:$B$8,2,FALSE)&amp;"]")),FALSE)),
IF(VLOOKUP($A422, YES_Reading_FLA[], COLUMN(INDIRECT("YES_Reading_FLA[Difference - Per "&amp;VLOOKUP($G$4, 'Reading Report Logic'!$A$2:$B$8, 2, FALSE)&amp;"]")),FALSE)="", "", VLOOKUP($A422,YES_Reading_FLA[],COLUMN(INDIRECT("YES_Reading_FLA[Difference - Per "&amp;VLOOKUP($G$4, 'Reading Report Logic'!$A$2:$B$8, 2, FALSE)&amp;"]")),FALSE))),""))),"")</f>
        <v/>
      </c>
    </row>
    <row r="423" spans="1:9" x14ac:dyDescent="0.25">
      <c r="A423" s="137"/>
      <c r="B423" s="137" t="str">
        <f>IFERROR(INDEX(_xlfn.VSTACK(YES_Writing_ELA[#Data], YES_Writing_FLA[#Data]),MATCH($A423,_xlfn.VSTACK(YES_Writing_ELA[Student Number], YES_Writing_FLA[Student Number]),0),MATCH(B$7,YES_Writing_ELA[#Headers],0)),IFERROR(INDEX(_xlfn.VSTACK(YES_Reading_ELA[#Data], YES_Reading_FLA[#Data]),MATCH($A423,_xlfn.VSTACK(YES_Reading_ELA[Student Number], YES_Reading_FLA[Student Number]),0),MATCH(B$7,YES_Reading_ELA[#Headers],0)),""))</f>
        <v/>
      </c>
      <c r="C423" s="137" t="str">
        <f>IFERROR(INDEX(_xlfn.VSTACK(YES_Writing_ELA[#Data], YES_Writing_FLA[#Data]),MATCH($A423,_xlfn.VSTACK(YES_Writing_ELA[Student Number], YES_Writing_FLA[Student Number]),0),MATCH(C$7,YES_Writing_ELA[#Headers],0)),IFERROR(INDEX(_xlfn.VSTACK(YES_Reading_ELA[#Data], YES_Reading_FLA[#Data]),MATCH($A423,_xlfn.VSTACK(YES_Reading_ELA[Student Number], YES_Reading_FLA[Student Number]),0),MATCH(C$7,YES_Reading_ELA[#Headers],0)),""))</f>
        <v/>
      </c>
      <c r="D423" s="138" t="str">
        <f>IFERROR(IF(IF(INDEX(_xlfn.VSTACK(YES_Writing_ELA[#Data],YES_Writing_FLA[#Data]),MATCH($A423,_xlfn.VSTACK(YES_Writing_ELA[Student Number],YES_Writing_FLA[Student Number]),0),MATCH(VLOOKUP(D$7,'Writing Logic'!$J$7:$K$11,2,FALSE)&amp;" - Per "&amp;VLOOKUP($C$4,'Writing Logic'!$G$8:$H$14,2,FALSE),YES_Writing_ELA[#Headers],0))=0,"",INDEX(_xlfn.VSTACK(YES_Writing_ELA[#Data],YES_Writing_FLA[#Data]),MATCH($A423,_xlfn.VSTACK(YES_Writing_ELA[Student Number],YES_Writing_FLA[Student Number]),0),MATCH(VLOOKUP(D$7,'Writing Logic'!$J$7:$K$11,2,FALSE)&amp;" - Per "&amp;VLOOKUP($C$4,'Writing Logic'!$G$8:$H$14,2,FALSE),YES_Writing_ELA[#Headers],0)))="INS",'Writing Logic'!$B$7,IF(INDEX(_xlfn.VSTACK(YES_Writing_ELA[#Data],YES_Writing_FLA[#Data]),MATCH($A423,_xlfn.VSTACK(YES_Writing_ELA[Student Number],YES_Writing_FLA[Student Number]),0),MATCH(VLOOKUP(D$7,'Writing Logic'!$J$7:$K$11,2,FALSE)&amp;" - Per "&amp;VLOOKUP($C$4,'Writing Logic'!$G$8:$H$14,2,FALSE),YES_Writing_ELA[#Headers],0))=0,"",INDEX(_xlfn.VSTACK(YES_Writing_ELA[#Data],YES_Writing_FLA[#Data]),MATCH($A423,_xlfn.VSTACK(YES_Writing_ELA[Student Number],YES_Writing_FLA[Student Number]),0),MATCH(VLOOKUP(D$7,'Writing Logic'!$J$7:$K$11,2,FALSE)&amp;" - Per "&amp;VLOOKUP($C$4,'Writing Logic'!$G$8:$H$14,2,FALSE),YES_Writing_ELA[#Headers],0)))),"")</f>
        <v/>
      </c>
      <c r="E423" s="138" t="str">
        <f>IFERROR(IF(IF(INDEX(_xlfn.VSTACK(YES_Writing_ELA[#Data],YES_Writing_FLA[#Data]),MATCH($A423,_xlfn.VSTACK(YES_Writing_ELA[Student Number],YES_Writing_FLA[Student Number]),0),MATCH(VLOOKUP(E$7,'Writing Logic'!$J$7:$K$11,2,FALSE)&amp;" - Per "&amp;VLOOKUP($C$4,'Writing Logic'!$G$8:$H$14,2,FALSE),YES_Writing_ELA[#Headers],0))=0,"",INDEX(_xlfn.VSTACK(YES_Writing_ELA[#Data],YES_Writing_FLA[#Data]),MATCH($A423,_xlfn.VSTACK(YES_Writing_ELA[Student Number],YES_Writing_FLA[Student Number]),0),MATCH(VLOOKUP(E$7,'Writing Logic'!$J$7:$K$11,2,FALSE)&amp;" - Per "&amp;VLOOKUP($C$4,'Writing Logic'!$G$8:$H$14,2,FALSE),YES_Writing_ELA[#Headers],0)))="INS",'Writing Logic'!$B$7,IF(INDEX(_xlfn.VSTACK(YES_Writing_ELA[#Data],YES_Writing_FLA[#Data]),MATCH($A423,_xlfn.VSTACK(YES_Writing_ELA[Student Number],YES_Writing_FLA[Student Number]),0),MATCH(VLOOKUP(E$7,'Writing Logic'!$J$7:$K$11,2,FALSE)&amp;" - Per "&amp;VLOOKUP($C$4,'Writing Logic'!$G$8:$H$14,2,FALSE),YES_Writing_ELA[#Headers],0))=0,"",INDEX(_xlfn.VSTACK(YES_Writing_ELA[#Data],YES_Writing_FLA[#Data]),MATCH($A423,_xlfn.VSTACK(YES_Writing_ELA[Student Number],YES_Writing_FLA[Student Number]),0),MATCH(VLOOKUP(E$7,'Writing Logic'!$J$7:$K$11,2,FALSE)&amp;" - Per "&amp;VLOOKUP($C$4,'Writing Logic'!$G$8:$H$14,2,FALSE),YES_Writing_ELA[#Headers],0)))),"")</f>
        <v/>
      </c>
      <c r="F423" s="138" t="str">
        <f>IFERROR(IF(IF(INDEX(_xlfn.VSTACK(YES_Writing_ELA[#Data],YES_Writing_FLA[#Data]),MATCH($A423,_xlfn.VSTACK(YES_Writing_ELA[Student Number],YES_Writing_FLA[Student Number]),0),MATCH(VLOOKUP(F$7,'Writing Logic'!$J$7:$K$11,2,FALSE)&amp;" - Per "&amp;VLOOKUP($C$4,'Writing Logic'!$G$8:$H$14,2,FALSE),YES_Writing_ELA[#Headers],0))=0,"",INDEX(_xlfn.VSTACK(YES_Writing_ELA[#Data],YES_Writing_FLA[#Data]),MATCH($A423,_xlfn.VSTACK(YES_Writing_ELA[Student Number],YES_Writing_FLA[Student Number]),0),MATCH(VLOOKUP(F$7,'Writing Logic'!$J$7:$K$11,2,FALSE)&amp;" - Per "&amp;VLOOKUP($C$4,'Writing Logic'!$G$8:$H$14,2,FALSE),YES_Writing_ELA[#Headers],0)))="INS",'Writing Logic'!$B$7,IF(INDEX(_xlfn.VSTACK(YES_Writing_ELA[#Data],YES_Writing_FLA[#Data]),MATCH($A423,_xlfn.VSTACK(YES_Writing_ELA[Student Number],YES_Writing_FLA[Student Number]),0),MATCH(VLOOKUP(F$7,'Writing Logic'!$J$7:$K$11,2,FALSE)&amp;" - Per "&amp;VLOOKUP($C$4,'Writing Logic'!$G$8:$H$14,2,FALSE),YES_Writing_ELA[#Headers],0))=0,"",INDEX(_xlfn.VSTACK(YES_Writing_ELA[#Data],YES_Writing_FLA[#Data]),MATCH($A423,_xlfn.VSTACK(YES_Writing_ELA[Student Number],YES_Writing_FLA[Student Number]),0),MATCH(VLOOKUP(F$7,'Writing Logic'!$J$7:$K$11,2,FALSE)&amp;" - Per "&amp;VLOOKUP($C$4,'Writing Logic'!$G$8:$H$14,2,FALSE),YES_Writing_ELA[#Headers],0)))),"")</f>
        <v/>
      </c>
      <c r="G423" s="138" t="str">
        <f>IFERROR(IF(IF(INDEX(_xlfn.VSTACK(YES_Writing_ELA[#Data],YES_Writing_FLA[#Data]),MATCH($A423,_xlfn.VSTACK(YES_Writing_ELA[Student Number],YES_Writing_FLA[Student Number]),0),MATCH(VLOOKUP(G$7,'Writing Logic'!$J$7:$K$11,2,FALSE)&amp;" - Per "&amp;VLOOKUP($C$4,'Writing Logic'!$G$8:$H$14,2,FALSE),YES_Writing_ELA[#Headers],0))=0,"",INDEX(_xlfn.VSTACK(YES_Writing_ELA[#Data],YES_Writing_FLA[#Data]),MATCH($A423,_xlfn.VSTACK(YES_Writing_ELA[Student Number],YES_Writing_FLA[Student Number]),0),MATCH(VLOOKUP(G$7,'Writing Logic'!$J$7:$K$11,2,FALSE)&amp;" - Per "&amp;VLOOKUP($C$4,'Writing Logic'!$G$8:$H$14,2,FALSE),YES_Writing_ELA[#Headers],0)))="INS",'Writing Logic'!$B$7,IF(INDEX(_xlfn.VSTACK(YES_Writing_ELA[#Data],YES_Writing_FLA[#Data]),MATCH($A423,_xlfn.VSTACK(YES_Writing_ELA[Student Number],YES_Writing_FLA[Student Number]),0),MATCH(VLOOKUP(G$7,'Writing Logic'!$J$7:$K$11,2,FALSE)&amp;" - Per "&amp;VLOOKUP($C$4,'Writing Logic'!$G$8:$H$14,2,FALSE),YES_Writing_ELA[#Headers],0))=0,"",INDEX(_xlfn.VSTACK(YES_Writing_ELA[#Data],YES_Writing_FLA[#Data]),MATCH($A423,_xlfn.VSTACK(YES_Writing_ELA[Student Number],YES_Writing_FLA[Student Number]),0),MATCH(VLOOKUP(G$7,'Writing Logic'!$J$7:$K$11,2,FALSE)&amp;" - Per "&amp;VLOOKUP($C$4,'Writing Logic'!$G$8:$H$14,2,FALSE),YES_Writing_ELA[#Headers],0)))),"")</f>
        <v/>
      </c>
      <c r="H423" s="223" t="str">
        <f>IFERROR(IF(IF(INDEX(_xlfn.VSTACK(YES_Writing_ELA[#Data],YES_Writing_FLA[#Data]),MATCH($A423,_xlfn.VSTACK(YES_Writing_ELA[Student Number],YES_Writing_FLA[Student Number]),0),MATCH(VLOOKUP(H$7,'Writing Logic'!$J$7:$K$11,2,FALSE)&amp;" - Per "&amp;VLOOKUP($C$4,'Writing Logic'!$G$8:$H$14,2,FALSE),YES_Writing_ELA[#Headers],0))=0,"",INDEX(_xlfn.VSTACK(YES_Writing_ELA[#Data],YES_Writing_FLA[#Data]),MATCH($A423,_xlfn.VSTACK(YES_Writing_ELA[Student Number],YES_Writing_FLA[Student Number]),0),MATCH(VLOOKUP(H$7,'Writing Logic'!$J$7:$K$11,2,FALSE)&amp;" - Per "&amp;VLOOKUP($C$4,'Writing Logic'!$G$8:$H$14,2,FALSE),YES_Writing_ELA[#Headers],0)))="INS",'Writing Logic'!$B$7,IF(INDEX(_xlfn.VSTACK(YES_Writing_ELA[#Data],YES_Writing_FLA[#Data]),MATCH($A423,_xlfn.VSTACK(YES_Writing_ELA[Student Number],YES_Writing_FLA[Student Number]),0),MATCH(VLOOKUP(H$7,'Writing Logic'!$J$7:$K$11,2,FALSE)&amp;" - Per "&amp;VLOOKUP($C$4,'Writing Logic'!$G$8:$H$14,2,FALSE),YES_Writing_ELA[#Headers],0))=0,"",INDEX(_xlfn.VSTACK(YES_Writing_ELA[#Data],YES_Writing_FLA[#Data]),MATCH($A423,_xlfn.VSTACK(YES_Writing_ELA[Student Number],YES_Writing_FLA[Student Number]),0),MATCH(VLOOKUP(H$7,'Writing Logic'!$J$7:$K$11,2,FALSE)&amp;" - Per "&amp;VLOOKUP($C$4,'Writing Logic'!$G$8:$H$14,2,FALSE),YES_Writing_ELA[#Headers],0)))),"")</f>
        <v/>
      </c>
      <c r="I423" s="224" t="str" cm="1">
        <f t="array" aca="1" ref="I423" ca="1">IFERROR(
IF($G$3="ELA",
IF(VLOOKUP($A423, YES_Reading_ELA[], COLUMN(INDIRECT("YES_Reading_ELA[Difference - Per "&amp;VLOOKUP($G$4, 'Reading Report Logic'!$A$2:$B$8, 2, FALSE)&amp;"]")), FALSE)="", "",
VLOOKUP($A423,YES_Reading_ELA[], COLUMN(INDIRECT("YES_Reading_ELA[Difference - Per "&amp;VLOOKUP($G$4,'Reading Report Logic'!$A$2:$B$8,2,FALSE)&amp;"]")), FALSE)),
IF($G$3="FLA",
IF(VLOOKUP($A423, YES_Reading_FLA[], COLUMN(INDIRECT("YES_Reading_FLA[Difference - Per "&amp;VLOOKUP($G$4,'Reading Report Logic'!$A$2:$B$8,2,FALSE)&amp;"]")),FALSE)="","",
VLOOKUP($A423,YES_Reading_FLA[],COLUMN(INDIRECT("YES_Reading_FLA[Difference - Per "&amp;VLOOKUP($G$4,'Reading Report Logic'!$A$2:$B$8,2,FALSE)&amp;"]")),FALSE)),
IF($G$3="Combined",
IFERROR(
IF(VLOOKUP($A423, YES_Reading_ELA[], COLUMN(INDIRECT("YES_Reading_ELA[Difference - Per "&amp;VLOOKUP($G$4, 'Reading Report Logic'!$A$2:$B$8,2,FALSE)&amp;"]")), FALSE)="", "",
VLOOKUP($A423,YES_Reading_ELA[],COLUMN(INDIRECT("YES_Reading_ELA[Difference - Per "&amp;VLOOKUP($G$4,'Reading Report Logic'!$A$2:$B$8,2,FALSE)&amp;"]")),FALSE)),
IF(VLOOKUP($A423, YES_Reading_FLA[], COLUMN(INDIRECT("YES_Reading_FLA[Difference - Per "&amp;VLOOKUP($G$4, 'Reading Report Logic'!$A$2:$B$8, 2, FALSE)&amp;"]")),FALSE)="", "", VLOOKUP($A423,YES_Reading_FLA[],COLUMN(INDIRECT("YES_Reading_FLA[Difference - Per "&amp;VLOOKUP($G$4, 'Reading Report Logic'!$A$2:$B$8, 2, FALSE)&amp;"]")),FALSE))),""))),"")</f>
        <v/>
      </c>
    </row>
    <row r="424" spans="1:9" x14ac:dyDescent="0.25">
      <c r="A424" s="137"/>
      <c r="B424" s="137" t="str">
        <f>IFERROR(INDEX(_xlfn.VSTACK(YES_Writing_ELA[#Data], YES_Writing_FLA[#Data]),MATCH($A424,_xlfn.VSTACK(YES_Writing_ELA[Student Number], YES_Writing_FLA[Student Number]),0),MATCH(B$7,YES_Writing_ELA[#Headers],0)),IFERROR(INDEX(_xlfn.VSTACK(YES_Reading_ELA[#Data], YES_Reading_FLA[#Data]),MATCH($A424,_xlfn.VSTACK(YES_Reading_ELA[Student Number], YES_Reading_FLA[Student Number]),0),MATCH(B$7,YES_Reading_ELA[#Headers],0)),""))</f>
        <v/>
      </c>
      <c r="C424" s="137" t="str">
        <f>IFERROR(INDEX(_xlfn.VSTACK(YES_Writing_ELA[#Data], YES_Writing_FLA[#Data]),MATCH($A424,_xlfn.VSTACK(YES_Writing_ELA[Student Number], YES_Writing_FLA[Student Number]),0),MATCH(C$7,YES_Writing_ELA[#Headers],0)),IFERROR(INDEX(_xlfn.VSTACK(YES_Reading_ELA[#Data], YES_Reading_FLA[#Data]),MATCH($A424,_xlfn.VSTACK(YES_Reading_ELA[Student Number], YES_Reading_FLA[Student Number]),0),MATCH(C$7,YES_Reading_ELA[#Headers],0)),""))</f>
        <v/>
      </c>
      <c r="D424" s="138" t="str">
        <f>IFERROR(IF(IF(INDEX(_xlfn.VSTACK(YES_Writing_ELA[#Data],YES_Writing_FLA[#Data]),MATCH($A424,_xlfn.VSTACK(YES_Writing_ELA[Student Number],YES_Writing_FLA[Student Number]),0),MATCH(VLOOKUP(D$7,'Writing Logic'!$J$7:$K$11,2,FALSE)&amp;" - Per "&amp;VLOOKUP($C$4,'Writing Logic'!$G$8:$H$14,2,FALSE),YES_Writing_ELA[#Headers],0))=0,"",INDEX(_xlfn.VSTACK(YES_Writing_ELA[#Data],YES_Writing_FLA[#Data]),MATCH($A424,_xlfn.VSTACK(YES_Writing_ELA[Student Number],YES_Writing_FLA[Student Number]),0),MATCH(VLOOKUP(D$7,'Writing Logic'!$J$7:$K$11,2,FALSE)&amp;" - Per "&amp;VLOOKUP($C$4,'Writing Logic'!$G$8:$H$14,2,FALSE),YES_Writing_ELA[#Headers],0)))="INS",'Writing Logic'!$B$7,IF(INDEX(_xlfn.VSTACK(YES_Writing_ELA[#Data],YES_Writing_FLA[#Data]),MATCH($A424,_xlfn.VSTACK(YES_Writing_ELA[Student Number],YES_Writing_FLA[Student Number]),0),MATCH(VLOOKUP(D$7,'Writing Logic'!$J$7:$K$11,2,FALSE)&amp;" - Per "&amp;VLOOKUP($C$4,'Writing Logic'!$G$8:$H$14,2,FALSE),YES_Writing_ELA[#Headers],0))=0,"",INDEX(_xlfn.VSTACK(YES_Writing_ELA[#Data],YES_Writing_FLA[#Data]),MATCH($A424,_xlfn.VSTACK(YES_Writing_ELA[Student Number],YES_Writing_FLA[Student Number]),0),MATCH(VLOOKUP(D$7,'Writing Logic'!$J$7:$K$11,2,FALSE)&amp;" - Per "&amp;VLOOKUP($C$4,'Writing Logic'!$G$8:$H$14,2,FALSE),YES_Writing_ELA[#Headers],0)))),"")</f>
        <v/>
      </c>
      <c r="E424" s="138" t="str">
        <f>IFERROR(IF(IF(INDEX(_xlfn.VSTACK(YES_Writing_ELA[#Data],YES_Writing_FLA[#Data]),MATCH($A424,_xlfn.VSTACK(YES_Writing_ELA[Student Number],YES_Writing_FLA[Student Number]),0),MATCH(VLOOKUP(E$7,'Writing Logic'!$J$7:$K$11,2,FALSE)&amp;" - Per "&amp;VLOOKUP($C$4,'Writing Logic'!$G$8:$H$14,2,FALSE),YES_Writing_ELA[#Headers],0))=0,"",INDEX(_xlfn.VSTACK(YES_Writing_ELA[#Data],YES_Writing_FLA[#Data]),MATCH($A424,_xlfn.VSTACK(YES_Writing_ELA[Student Number],YES_Writing_FLA[Student Number]),0),MATCH(VLOOKUP(E$7,'Writing Logic'!$J$7:$K$11,2,FALSE)&amp;" - Per "&amp;VLOOKUP($C$4,'Writing Logic'!$G$8:$H$14,2,FALSE),YES_Writing_ELA[#Headers],0)))="INS",'Writing Logic'!$B$7,IF(INDEX(_xlfn.VSTACK(YES_Writing_ELA[#Data],YES_Writing_FLA[#Data]),MATCH($A424,_xlfn.VSTACK(YES_Writing_ELA[Student Number],YES_Writing_FLA[Student Number]),0),MATCH(VLOOKUP(E$7,'Writing Logic'!$J$7:$K$11,2,FALSE)&amp;" - Per "&amp;VLOOKUP($C$4,'Writing Logic'!$G$8:$H$14,2,FALSE),YES_Writing_ELA[#Headers],0))=0,"",INDEX(_xlfn.VSTACK(YES_Writing_ELA[#Data],YES_Writing_FLA[#Data]),MATCH($A424,_xlfn.VSTACK(YES_Writing_ELA[Student Number],YES_Writing_FLA[Student Number]),0),MATCH(VLOOKUP(E$7,'Writing Logic'!$J$7:$K$11,2,FALSE)&amp;" - Per "&amp;VLOOKUP($C$4,'Writing Logic'!$G$8:$H$14,2,FALSE),YES_Writing_ELA[#Headers],0)))),"")</f>
        <v/>
      </c>
      <c r="F424" s="138" t="str">
        <f>IFERROR(IF(IF(INDEX(_xlfn.VSTACK(YES_Writing_ELA[#Data],YES_Writing_FLA[#Data]),MATCH($A424,_xlfn.VSTACK(YES_Writing_ELA[Student Number],YES_Writing_FLA[Student Number]),0),MATCH(VLOOKUP(F$7,'Writing Logic'!$J$7:$K$11,2,FALSE)&amp;" - Per "&amp;VLOOKUP($C$4,'Writing Logic'!$G$8:$H$14,2,FALSE),YES_Writing_ELA[#Headers],0))=0,"",INDEX(_xlfn.VSTACK(YES_Writing_ELA[#Data],YES_Writing_FLA[#Data]),MATCH($A424,_xlfn.VSTACK(YES_Writing_ELA[Student Number],YES_Writing_FLA[Student Number]),0),MATCH(VLOOKUP(F$7,'Writing Logic'!$J$7:$K$11,2,FALSE)&amp;" - Per "&amp;VLOOKUP($C$4,'Writing Logic'!$G$8:$H$14,2,FALSE),YES_Writing_ELA[#Headers],0)))="INS",'Writing Logic'!$B$7,IF(INDEX(_xlfn.VSTACK(YES_Writing_ELA[#Data],YES_Writing_FLA[#Data]),MATCH($A424,_xlfn.VSTACK(YES_Writing_ELA[Student Number],YES_Writing_FLA[Student Number]),0),MATCH(VLOOKUP(F$7,'Writing Logic'!$J$7:$K$11,2,FALSE)&amp;" - Per "&amp;VLOOKUP($C$4,'Writing Logic'!$G$8:$H$14,2,FALSE),YES_Writing_ELA[#Headers],0))=0,"",INDEX(_xlfn.VSTACK(YES_Writing_ELA[#Data],YES_Writing_FLA[#Data]),MATCH($A424,_xlfn.VSTACK(YES_Writing_ELA[Student Number],YES_Writing_FLA[Student Number]),0),MATCH(VLOOKUP(F$7,'Writing Logic'!$J$7:$K$11,2,FALSE)&amp;" - Per "&amp;VLOOKUP($C$4,'Writing Logic'!$G$8:$H$14,2,FALSE),YES_Writing_ELA[#Headers],0)))),"")</f>
        <v/>
      </c>
      <c r="G424" s="138" t="str">
        <f>IFERROR(IF(IF(INDEX(_xlfn.VSTACK(YES_Writing_ELA[#Data],YES_Writing_FLA[#Data]),MATCH($A424,_xlfn.VSTACK(YES_Writing_ELA[Student Number],YES_Writing_FLA[Student Number]),0),MATCH(VLOOKUP(G$7,'Writing Logic'!$J$7:$K$11,2,FALSE)&amp;" - Per "&amp;VLOOKUP($C$4,'Writing Logic'!$G$8:$H$14,2,FALSE),YES_Writing_ELA[#Headers],0))=0,"",INDEX(_xlfn.VSTACK(YES_Writing_ELA[#Data],YES_Writing_FLA[#Data]),MATCH($A424,_xlfn.VSTACK(YES_Writing_ELA[Student Number],YES_Writing_FLA[Student Number]),0),MATCH(VLOOKUP(G$7,'Writing Logic'!$J$7:$K$11,2,FALSE)&amp;" - Per "&amp;VLOOKUP($C$4,'Writing Logic'!$G$8:$H$14,2,FALSE),YES_Writing_ELA[#Headers],0)))="INS",'Writing Logic'!$B$7,IF(INDEX(_xlfn.VSTACK(YES_Writing_ELA[#Data],YES_Writing_FLA[#Data]),MATCH($A424,_xlfn.VSTACK(YES_Writing_ELA[Student Number],YES_Writing_FLA[Student Number]),0),MATCH(VLOOKUP(G$7,'Writing Logic'!$J$7:$K$11,2,FALSE)&amp;" - Per "&amp;VLOOKUP($C$4,'Writing Logic'!$G$8:$H$14,2,FALSE),YES_Writing_ELA[#Headers],0))=0,"",INDEX(_xlfn.VSTACK(YES_Writing_ELA[#Data],YES_Writing_FLA[#Data]),MATCH($A424,_xlfn.VSTACK(YES_Writing_ELA[Student Number],YES_Writing_FLA[Student Number]),0),MATCH(VLOOKUP(G$7,'Writing Logic'!$J$7:$K$11,2,FALSE)&amp;" - Per "&amp;VLOOKUP($C$4,'Writing Logic'!$G$8:$H$14,2,FALSE),YES_Writing_ELA[#Headers],0)))),"")</f>
        <v/>
      </c>
      <c r="H424" s="223" t="str">
        <f>IFERROR(IF(IF(INDEX(_xlfn.VSTACK(YES_Writing_ELA[#Data],YES_Writing_FLA[#Data]),MATCH($A424,_xlfn.VSTACK(YES_Writing_ELA[Student Number],YES_Writing_FLA[Student Number]),0),MATCH(VLOOKUP(H$7,'Writing Logic'!$J$7:$K$11,2,FALSE)&amp;" - Per "&amp;VLOOKUP($C$4,'Writing Logic'!$G$8:$H$14,2,FALSE),YES_Writing_ELA[#Headers],0))=0,"",INDEX(_xlfn.VSTACK(YES_Writing_ELA[#Data],YES_Writing_FLA[#Data]),MATCH($A424,_xlfn.VSTACK(YES_Writing_ELA[Student Number],YES_Writing_FLA[Student Number]),0),MATCH(VLOOKUP(H$7,'Writing Logic'!$J$7:$K$11,2,FALSE)&amp;" - Per "&amp;VLOOKUP($C$4,'Writing Logic'!$G$8:$H$14,2,FALSE),YES_Writing_ELA[#Headers],0)))="INS",'Writing Logic'!$B$7,IF(INDEX(_xlfn.VSTACK(YES_Writing_ELA[#Data],YES_Writing_FLA[#Data]),MATCH($A424,_xlfn.VSTACK(YES_Writing_ELA[Student Number],YES_Writing_FLA[Student Number]),0),MATCH(VLOOKUP(H$7,'Writing Logic'!$J$7:$K$11,2,FALSE)&amp;" - Per "&amp;VLOOKUP($C$4,'Writing Logic'!$G$8:$H$14,2,FALSE),YES_Writing_ELA[#Headers],0))=0,"",INDEX(_xlfn.VSTACK(YES_Writing_ELA[#Data],YES_Writing_FLA[#Data]),MATCH($A424,_xlfn.VSTACK(YES_Writing_ELA[Student Number],YES_Writing_FLA[Student Number]),0),MATCH(VLOOKUP(H$7,'Writing Logic'!$J$7:$K$11,2,FALSE)&amp;" - Per "&amp;VLOOKUP($C$4,'Writing Logic'!$G$8:$H$14,2,FALSE),YES_Writing_ELA[#Headers],0)))),"")</f>
        <v/>
      </c>
      <c r="I424" s="224" t="str" cm="1">
        <f t="array" aca="1" ref="I424" ca="1">IFERROR(
IF($G$3="ELA",
IF(VLOOKUP($A424, YES_Reading_ELA[], COLUMN(INDIRECT("YES_Reading_ELA[Difference - Per "&amp;VLOOKUP($G$4, 'Reading Report Logic'!$A$2:$B$8, 2, FALSE)&amp;"]")), FALSE)="", "",
VLOOKUP($A424,YES_Reading_ELA[], COLUMN(INDIRECT("YES_Reading_ELA[Difference - Per "&amp;VLOOKUP($G$4,'Reading Report Logic'!$A$2:$B$8,2,FALSE)&amp;"]")), FALSE)),
IF($G$3="FLA",
IF(VLOOKUP($A424, YES_Reading_FLA[], COLUMN(INDIRECT("YES_Reading_FLA[Difference - Per "&amp;VLOOKUP($G$4,'Reading Report Logic'!$A$2:$B$8,2,FALSE)&amp;"]")),FALSE)="","",
VLOOKUP($A424,YES_Reading_FLA[],COLUMN(INDIRECT("YES_Reading_FLA[Difference - Per "&amp;VLOOKUP($G$4,'Reading Report Logic'!$A$2:$B$8,2,FALSE)&amp;"]")),FALSE)),
IF($G$3="Combined",
IFERROR(
IF(VLOOKUP($A424, YES_Reading_ELA[], COLUMN(INDIRECT("YES_Reading_ELA[Difference - Per "&amp;VLOOKUP($G$4, 'Reading Report Logic'!$A$2:$B$8,2,FALSE)&amp;"]")), FALSE)="", "",
VLOOKUP($A424,YES_Reading_ELA[],COLUMN(INDIRECT("YES_Reading_ELA[Difference - Per "&amp;VLOOKUP($G$4,'Reading Report Logic'!$A$2:$B$8,2,FALSE)&amp;"]")),FALSE)),
IF(VLOOKUP($A424, YES_Reading_FLA[], COLUMN(INDIRECT("YES_Reading_FLA[Difference - Per "&amp;VLOOKUP($G$4, 'Reading Report Logic'!$A$2:$B$8, 2, FALSE)&amp;"]")),FALSE)="", "", VLOOKUP($A424,YES_Reading_FLA[],COLUMN(INDIRECT("YES_Reading_FLA[Difference - Per "&amp;VLOOKUP($G$4, 'Reading Report Logic'!$A$2:$B$8, 2, FALSE)&amp;"]")),FALSE))),""))),"")</f>
        <v/>
      </c>
    </row>
    <row r="425" spans="1:9" x14ac:dyDescent="0.25">
      <c r="A425" s="137"/>
      <c r="B425" s="137" t="str">
        <f>IFERROR(INDEX(_xlfn.VSTACK(YES_Writing_ELA[#Data], YES_Writing_FLA[#Data]),MATCH($A425,_xlfn.VSTACK(YES_Writing_ELA[Student Number], YES_Writing_FLA[Student Number]),0),MATCH(B$7,YES_Writing_ELA[#Headers],0)),IFERROR(INDEX(_xlfn.VSTACK(YES_Reading_ELA[#Data], YES_Reading_FLA[#Data]),MATCH($A425,_xlfn.VSTACK(YES_Reading_ELA[Student Number], YES_Reading_FLA[Student Number]),0),MATCH(B$7,YES_Reading_ELA[#Headers],0)),""))</f>
        <v/>
      </c>
      <c r="C425" s="137" t="str">
        <f>IFERROR(INDEX(_xlfn.VSTACK(YES_Writing_ELA[#Data], YES_Writing_FLA[#Data]),MATCH($A425,_xlfn.VSTACK(YES_Writing_ELA[Student Number], YES_Writing_FLA[Student Number]),0),MATCH(C$7,YES_Writing_ELA[#Headers],0)),IFERROR(INDEX(_xlfn.VSTACK(YES_Reading_ELA[#Data], YES_Reading_FLA[#Data]),MATCH($A425,_xlfn.VSTACK(YES_Reading_ELA[Student Number], YES_Reading_FLA[Student Number]),0),MATCH(C$7,YES_Reading_ELA[#Headers],0)),""))</f>
        <v/>
      </c>
      <c r="D425" s="138" t="str">
        <f>IFERROR(IF(IF(INDEX(_xlfn.VSTACK(YES_Writing_ELA[#Data],YES_Writing_FLA[#Data]),MATCH($A425,_xlfn.VSTACK(YES_Writing_ELA[Student Number],YES_Writing_FLA[Student Number]),0),MATCH(VLOOKUP(D$7,'Writing Logic'!$J$7:$K$11,2,FALSE)&amp;" - Per "&amp;VLOOKUP($C$4,'Writing Logic'!$G$8:$H$14,2,FALSE),YES_Writing_ELA[#Headers],0))=0,"",INDEX(_xlfn.VSTACK(YES_Writing_ELA[#Data],YES_Writing_FLA[#Data]),MATCH($A425,_xlfn.VSTACK(YES_Writing_ELA[Student Number],YES_Writing_FLA[Student Number]),0),MATCH(VLOOKUP(D$7,'Writing Logic'!$J$7:$K$11,2,FALSE)&amp;" - Per "&amp;VLOOKUP($C$4,'Writing Logic'!$G$8:$H$14,2,FALSE),YES_Writing_ELA[#Headers],0)))="INS",'Writing Logic'!$B$7,IF(INDEX(_xlfn.VSTACK(YES_Writing_ELA[#Data],YES_Writing_FLA[#Data]),MATCH($A425,_xlfn.VSTACK(YES_Writing_ELA[Student Number],YES_Writing_FLA[Student Number]),0),MATCH(VLOOKUP(D$7,'Writing Logic'!$J$7:$K$11,2,FALSE)&amp;" - Per "&amp;VLOOKUP($C$4,'Writing Logic'!$G$8:$H$14,2,FALSE),YES_Writing_ELA[#Headers],0))=0,"",INDEX(_xlfn.VSTACK(YES_Writing_ELA[#Data],YES_Writing_FLA[#Data]),MATCH($A425,_xlfn.VSTACK(YES_Writing_ELA[Student Number],YES_Writing_FLA[Student Number]),0),MATCH(VLOOKUP(D$7,'Writing Logic'!$J$7:$K$11,2,FALSE)&amp;" - Per "&amp;VLOOKUP($C$4,'Writing Logic'!$G$8:$H$14,2,FALSE),YES_Writing_ELA[#Headers],0)))),"")</f>
        <v/>
      </c>
      <c r="E425" s="138" t="str">
        <f>IFERROR(IF(IF(INDEX(_xlfn.VSTACK(YES_Writing_ELA[#Data],YES_Writing_FLA[#Data]),MATCH($A425,_xlfn.VSTACK(YES_Writing_ELA[Student Number],YES_Writing_FLA[Student Number]),0),MATCH(VLOOKUP(E$7,'Writing Logic'!$J$7:$K$11,2,FALSE)&amp;" - Per "&amp;VLOOKUP($C$4,'Writing Logic'!$G$8:$H$14,2,FALSE),YES_Writing_ELA[#Headers],0))=0,"",INDEX(_xlfn.VSTACK(YES_Writing_ELA[#Data],YES_Writing_FLA[#Data]),MATCH($A425,_xlfn.VSTACK(YES_Writing_ELA[Student Number],YES_Writing_FLA[Student Number]),0),MATCH(VLOOKUP(E$7,'Writing Logic'!$J$7:$K$11,2,FALSE)&amp;" - Per "&amp;VLOOKUP($C$4,'Writing Logic'!$G$8:$H$14,2,FALSE),YES_Writing_ELA[#Headers],0)))="INS",'Writing Logic'!$B$7,IF(INDEX(_xlfn.VSTACK(YES_Writing_ELA[#Data],YES_Writing_FLA[#Data]),MATCH($A425,_xlfn.VSTACK(YES_Writing_ELA[Student Number],YES_Writing_FLA[Student Number]),0),MATCH(VLOOKUP(E$7,'Writing Logic'!$J$7:$K$11,2,FALSE)&amp;" - Per "&amp;VLOOKUP($C$4,'Writing Logic'!$G$8:$H$14,2,FALSE),YES_Writing_ELA[#Headers],0))=0,"",INDEX(_xlfn.VSTACK(YES_Writing_ELA[#Data],YES_Writing_FLA[#Data]),MATCH($A425,_xlfn.VSTACK(YES_Writing_ELA[Student Number],YES_Writing_FLA[Student Number]),0),MATCH(VLOOKUP(E$7,'Writing Logic'!$J$7:$K$11,2,FALSE)&amp;" - Per "&amp;VLOOKUP($C$4,'Writing Logic'!$G$8:$H$14,2,FALSE),YES_Writing_ELA[#Headers],0)))),"")</f>
        <v/>
      </c>
      <c r="F425" s="138" t="str">
        <f>IFERROR(IF(IF(INDEX(_xlfn.VSTACK(YES_Writing_ELA[#Data],YES_Writing_FLA[#Data]),MATCH($A425,_xlfn.VSTACK(YES_Writing_ELA[Student Number],YES_Writing_FLA[Student Number]),0),MATCH(VLOOKUP(F$7,'Writing Logic'!$J$7:$K$11,2,FALSE)&amp;" - Per "&amp;VLOOKUP($C$4,'Writing Logic'!$G$8:$H$14,2,FALSE),YES_Writing_ELA[#Headers],0))=0,"",INDEX(_xlfn.VSTACK(YES_Writing_ELA[#Data],YES_Writing_FLA[#Data]),MATCH($A425,_xlfn.VSTACK(YES_Writing_ELA[Student Number],YES_Writing_FLA[Student Number]),0),MATCH(VLOOKUP(F$7,'Writing Logic'!$J$7:$K$11,2,FALSE)&amp;" - Per "&amp;VLOOKUP($C$4,'Writing Logic'!$G$8:$H$14,2,FALSE),YES_Writing_ELA[#Headers],0)))="INS",'Writing Logic'!$B$7,IF(INDEX(_xlfn.VSTACK(YES_Writing_ELA[#Data],YES_Writing_FLA[#Data]),MATCH($A425,_xlfn.VSTACK(YES_Writing_ELA[Student Number],YES_Writing_FLA[Student Number]),0),MATCH(VLOOKUP(F$7,'Writing Logic'!$J$7:$K$11,2,FALSE)&amp;" - Per "&amp;VLOOKUP($C$4,'Writing Logic'!$G$8:$H$14,2,FALSE),YES_Writing_ELA[#Headers],0))=0,"",INDEX(_xlfn.VSTACK(YES_Writing_ELA[#Data],YES_Writing_FLA[#Data]),MATCH($A425,_xlfn.VSTACK(YES_Writing_ELA[Student Number],YES_Writing_FLA[Student Number]),0),MATCH(VLOOKUP(F$7,'Writing Logic'!$J$7:$K$11,2,FALSE)&amp;" - Per "&amp;VLOOKUP($C$4,'Writing Logic'!$G$8:$H$14,2,FALSE),YES_Writing_ELA[#Headers],0)))),"")</f>
        <v/>
      </c>
      <c r="G425" s="138" t="str">
        <f>IFERROR(IF(IF(INDEX(_xlfn.VSTACK(YES_Writing_ELA[#Data],YES_Writing_FLA[#Data]),MATCH($A425,_xlfn.VSTACK(YES_Writing_ELA[Student Number],YES_Writing_FLA[Student Number]),0),MATCH(VLOOKUP(G$7,'Writing Logic'!$J$7:$K$11,2,FALSE)&amp;" - Per "&amp;VLOOKUP($C$4,'Writing Logic'!$G$8:$H$14,2,FALSE),YES_Writing_ELA[#Headers],0))=0,"",INDEX(_xlfn.VSTACK(YES_Writing_ELA[#Data],YES_Writing_FLA[#Data]),MATCH($A425,_xlfn.VSTACK(YES_Writing_ELA[Student Number],YES_Writing_FLA[Student Number]),0),MATCH(VLOOKUP(G$7,'Writing Logic'!$J$7:$K$11,2,FALSE)&amp;" - Per "&amp;VLOOKUP($C$4,'Writing Logic'!$G$8:$H$14,2,FALSE),YES_Writing_ELA[#Headers],0)))="INS",'Writing Logic'!$B$7,IF(INDEX(_xlfn.VSTACK(YES_Writing_ELA[#Data],YES_Writing_FLA[#Data]),MATCH($A425,_xlfn.VSTACK(YES_Writing_ELA[Student Number],YES_Writing_FLA[Student Number]),0),MATCH(VLOOKUP(G$7,'Writing Logic'!$J$7:$K$11,2,FALSE)&amp;" - Per "&amp;VLOOKUP($C$4,'Writing Logic'!$G$8:$H$14,2,FALSE),YES_Writing_ELA[#Headers],0))=0,"",INDEX(_xlfn.VSTACK(YES_Writing_ELA[#Data],YES_Writing_FLA[#Data]),MATCH($A425,_xlfn.VSTACK(YES_Writing_ELA[Student Number],YES_Writing_FLA[Student Number]),0),MATCH(VLOOKUP(G$7,'Writing Logic'!$J$7:$K$11,2,FALSE)&amp;" - Per "&amp;VLOOKUP($C$4,'Writing Logic'!$G$8:$H$14,2,FALSE),YES_Writing_ELA[#Headers],0)))),"")</f>
        <v/>
      </c>
      <c r="H425" s="223" t="str">
        <f>IFERROR(IF(IF(INDEX(_xlfn.VSTACK(YES_Writing_ELA[#Data],YES_Writing_FLA[#Data]),MATCH($A425,_xlfn.VSTACK(YES_Writing_ELA[Student Number],YES_Writing_FLA[Student Number]),0),MATCH(VLOOKUP(H$7,'Writing Logic'!$J$7:$K$11,2,FALSE)&amp;" - Per "&amp;VLOOKUP($C$4,'Writing Logic'!$G$8:$H$14,2,FALSE),YES_Writing_ELA[#Headers],0))=0,"",INDEX(_xlfn.VSTACK(YES_Writing_ELA[#Data],YES_Writing_FLA[#Data]),MATCH($A425,_xlfn.VSTACK(YES_Writing_ELA[Student Number],YES_Writing_FLA[Student Number]),0),MATCH(VLOOKUP(H$7,'Writing Logic'!$J$7:$K$11,2,FALSE)&amp;" - Per "&amp;VLOOKUP($C$4,'Writing Logic'!$G$8:$H$14,2,FALSE),YES_Writing_ELA[#Headers],0)))="INS",'Writing Logic'!$B$7,IF(INDEX(_xlfn.VSTACK(YES_Writing_ELA[#Data],YES_Writing_FLA[#Data]),MATCH($A425,_xlfn.VSTACK(YES_Writing_ELA[Student Number],YES_Writing_FLA[Student Number]),0),MATCH(VLOOKUP(H$7,'Writing Logic'!$J$7:$K$11,2,FALSE)&amp;" - Per "&amp;VLOOKUP($C$4,'Writing Logic'!$G$8:$H$14,2,FALSE),YES_Writing_ELA[#Headers],0))=0,"",INDEX(_xlfn.VSTACK(YES_Writing_ELA[#Data],YES_Writing_FLA[#Data]),MATCH($A425,_xlfn.VSTACK(YES_Writing_ELA[Student Number],YES_Writing_FLA[Student Number]),0),MATCH(VLOOKUP(H$7,'Writing Logic'!$J$7:$K$11,2,FALSE)&amp;" - Per "&amp;VLOOKUP($C$4,'Writing Logic'!$G$8:$H$14,2,FALSE),YES_Writing_ELA[#Headers],0)))),"")</f>
        <v/>
      </c>
      <c r="I425" s="224" t="str" cm="1">
        <f t="array" aca="1" ref="I425" ca="1">IFERROR(
IF($G$3="ELA",
IF(VLOOKUP($A425, YES_Reading_ELA[], COLUMN(INDIRECT("YES_Reading_ELA[Difference - Per "&amp;VLOOKUP($G$4, 'Reading Report Logic'!$A$2:$B$8, 2, FALSE)&amp;"]")), FALSE)="", "",
VLOOKUP($A425,YES_Reading_ELA[], COLUMN(INDIRECT("YES_Reading_ELA[Difference - Per "&amp;VLOOKUP($G$4,'Reading Report Logic'!$A$2:$B$8,2,FALSE)&amp;"]")), FALSE)),
IF($G$3="FLA",
IF(VLOOKUP($A425, YES_Reading_FLA[], COLUMN(INDIRECT("YES_Reading_FLA[Difference - Per "&amp;VLOOKUP($G$4,'Reading Report Logic'!$A$2:$B$8,2,FALSE)&amp;"]")),FALSE)="","",
VLOOKUP($A425,YES_Reading_FLA[],COLUMN(INDIRECT("YES_Reading_FLA[Difference - Per "&amp;VLOOKUP($G$4,'Reading Report Logic'!$A$2:$B$8,2,FALSE)&amp;"]")),FALSE)),
IF($G$3="Combined",
IFERROR(
IF(VLOOKUP($A425, YES_Reading_ELA[], COLUMN(INDIRECT("YES_Reading_ELA[Difference - Per "&amp;VLOOKUP($G$4, 'Reading Report Logic'!$A$2:$B$8,2,FALSE)&amp;"]")), FALSE)="", "",
VLOOKUP($A425,YES_Reading_ELA[],COLUMN(INDIRECT("YES_Reading_ELA[Difference - Per "&amp;VLOOKUP($G$4,'Reading Report Logic'!$A$2:$B$8,2,FALSE)&amp;"]")),FALSE)),
IF(VLOOKUP($A425, YES_Reading_FLA[], COLUMN(INDIRECT("YES_Reading_FLA[Difference - Per "&amp;VLOOKUP($G$4, 'Reading Report Logic'!$A$2:$B$8, 2, FALSE)&amp;"]")),FALSE)="", "", VLOOKUP($A425,YES_Reading_FLA[],COLUMN(INDIRECT("YES_Reading_FLA[Difference - Per "&amp;VLOOKUP($G$4, 'Reading Report Logic'!$A$2:$B$8, 2, FALSE)&amp;"]")),FALSE))),""))),"")</f>
        <v/>
      </c>
    </row>
    <row r="426" spans="1:9" x14ac:dyDescent="0.25">
      <c r="A426" s="137"/>
      <c r="B426" s="137" t="str">
        <f>IFERROR(INDEX(_xlfn.VSTACK(YES_Writing_ELA[#Data], YES_Writing_FLA[#Data]),MATCH($A426,_xlfn.VSTACK(YES_Writing_ELA[Student Number], YES_Writing_FLA[Student Number]),0),MATCH(B$7,YES_Writing_ELA[#Headers],0)),IFERROR(INDEX(_xlfn.VSTACK(YES_Reading_ELA[#Data], YES_Reading_FLA[#Data]),MATCH($A426,_xlfn.VSTACK(YES_Reading_ELA[Student Number], YES_Reading_FLA[Student Number]),0),MATCH(B$7,YES_Reading_ELA[#Headers],0)),""))</f>
        <v/>
      </c>
      <c r="C426" s="137" t="str">
        <f>IFERROR(INDEX(_xlfn.VSTACK(YES_Writing_ELA[#Data], YES_Writing_FLA[#Data]),MATCH($A426,_xlfn.VSTACK(YES_Writing_ELA[Student Number], YES_Writing_FLA[Student Number]),0),MATCH(C$7,YES_Writing_ELA[#Headers],0)),IFERROR(INDEX(_xlfn.VSTACK(YES_Reading_ELA[#Data], YES_Reading_FLA[#Data]),MATCH($A426,_xlfn.VSTACK(YES_Reading_ELA[Student Number], YES_Reading_FLA[Student Number]),0),MATCH(C$7,YES_Reading_ELA[#Headers],0)),""))</f>
        <v/>
      </c>
      <c r="D426" s="138" t="str">
        <f>IFERROR(IF(IF(INDEX(_xlfn.VSTACK(YES_Writing_ELA[#Data],YES_Writing_FLA[#Data]),MATCH($A426,_xlfn.VSTACK(YES_Writing_ELA[Student Number],YES_Writing_FLA[Student Number]),0),MATCH(VLOOKUP(D$7,'Writing Logic'!$J$7:$K$11,2,FALSE)&amp;" - Per "&amp;VLOOKUP($C$4,'Writing Logic'!$G$8:$H$14,2,FALSE),YES_Writing_ELA[#Headers],0))=0,"",INDEX(_xlfn.VSTACK(YES_Writing_ELA[#Data],YES_Writing_FLA[#Data]),MATCH($A426,_xlfn.VSTACK(YES_Writing_ELA[Student Number],YES_Writing_FLA[Student Number]),0),MATCH(VLOOKUP(D$7,'Writing Logic'!$J$7:$K$11,2,FALSE)&amp;" - Per "&amp;VLOOKUP($C$4,'Writing Logic'!$G$8:$H$14,2,FALSE),YES_Writing_ELA[#Headers],0)))="INS",'Writing Logic'!$B$7,IF(INDEX(_xlfn.VSTACK(YES_Writing_ELA[#Data],YES_Writing_FLA[#Data]),MATCH($A426,_xlfn.VSTACK(YES_Writing_ELA[Student Number],YES_Writing_FLA[Student Number]),0),MATCH(VLOOKUP(D$7,'Writing Logic'!$J$7:$K$11,2,FALSE)&amp;" - Per "&amp;VLOOKUP($C$4,'Writing Logic'!$G$8:$H$14,2,FALSE),YES_Writing_ELA[#Headers],0))=0,"",INDEX(_xlfn.VSTACK(YES_Writing_ELA[#Data],YES_Writing_FLA[#Data]),MATCH($A426,_xlfn.VSTACK(YES_Writing_ELA[Student Number],YES_Writing_FLA[Student Number]),0),MATCH(VLOOKUP(D$7,'Writing Logic'!$J$7:$K$11,2,FALSE)&amp;" - Per "&amp;VLOOKUP($C$4,'Writing Logic'!$G$8:$H$14,2,FALSE),YES_Writing_ELA[#Headers],0)))),"")</f>
        <v/>
      </c>
      <c r="E426" s="138" t="str">
        <f>IFERROR(IF(IF(INDEX(_xlfn.VSTACK(YES_Writing_ELA[#Data],YES_Writing_FLA[#Data]),MATCH($A426,_xlfn.VSTACK(YES_Writing_ELA[Student Number],YES_Writing_FLA[Student Number]),0),MATCH(VLOOKUP(E$7,'Writing Logic'!$J$7:$K$11,2,FALSE)&amp;" - Per "&amp;VLOOKUP($C$4,'Writing Logic'!$G$8:$H$14,2,FALSE),YES_Writing_ELA[#Headers],0))=0,"",INDEX(_xlfn.VSTACK(YES_Writing_ELA[#Data],YES_Writing_FLA[#Data]),MATCH($A426,_xlfn.VSTACK(YES_Writing_ELA[Student Number],YES_Writing_FLA[Student Number]),0),MATCH(VLOOKUP(E$7,'Writing Logic'!$J$7:$K$11,2,FALSE)&amp;" - Per "&amp;VLOOKUP($C$4,'Writing Logic'!$G$8:$H$14,2,FALSE),YES_Writing_ELA[#Headers],0)))="INS",'Writing Logic'!$B$7,IF(INDEX(_xlfn.VSTACK(YES_Writing_ELA[#Data],YES_Writing_FLA[#Data]),MATCH($A426,_xlfn.VSTACK(YES_Writing_ELA[Student Number],YES_Writing_FLA[Student Number]),0),MATCH(VLOOKUP(E$7,'Writing Logic'!$J$7:$K$11,2,FALSE)&amp;" - Per "&amp;VLOOKUP($C$4,'Writing Logic'!$G$8:$H$14,2,FALSE),YES_Writing_ELA[#Headers],0))=0,"",INDEX(_xlfn.VSTACK(YES_Writing_ELA[#Data],YES_Writing_FLA[#Data]),MATCH($A426,_xlfn.VSTACK(YES_Writing_ELA[Student Number],YES_Writing_FLA[Student Number]),0),MATCH(VLOOKUP(E$7,'Writing Logic'!$J$7:$K$11,2,FALSE)&amp;" - Per "&amp;VLOOKUP($C$4,'Writing Logic'!$G$8:$H$14,2,FALSE),YES_Writing_ELA[#Headers],0)))),"")</f>
        <v/>
      </c>
      <c r="F426" s="138" t="str">
        <f>IFERROR(IF(IF(INDEX(_xlfn.VSTACK(YES_Writing_ELA[#Data],YES_Writing_FLA[#Data]),MATCH($A426,_xlfn.VSTACK(YES_Writing_ELA[Student Number],YES_Writing_FLA[Student Number]),0),MATCH(VLOOKUP(F$7,'Writing Logic'!$J$7:$K$11,2,FALSE)&amp;" - Per "&amp;VLOOKUP($C$4,'Writing Logic'!$G$8:$H$14,2,FALSE),YES_Writing_ELA[#Headers],0))=0,"",INDEX(_xlfn.VSTACK(YES_Writing_ELA[#Data],YES_Writing_FLA[#Data]),MATCH($A426,_xlfn.VSTACK(YES_Writing_ELA[Student Number],YES_Writing_FLA[Student Number]),0),MATCH(VLOOKUP(F$7,'Writing Logic'!$J$7:$K$11,2,FALSE)&amp;" - Per "&amp;VLOOKUP($C$4,'Writing Logic'!$G$8:$H$14,2,FALSE),YES_Writing_ELA[#Headers],0)))="INS",'Writing Logic'!$B$7,IF(INDEX(_xlfn.VSTACK(YES_Writing_ELA[#Data],YES_Writing_FLA[#Data]),MATCH($A426,_xlfn.VSTACK(YES_Writing_ELA[Student Number],YES_Writing_FLA[Student Number]),0),MATCH(VLOOKUP(F$7,'Writing Logic'!$J$7:$K$11,2,FALSE)&amp;" - Per "&amp;VLOOKUP($C$4,'Writing Logic'!$G$8:$H$14,2,FALSE),YES_Writing_ELA[#Headers],0))=0,"",INDEX(_xlfn.VSTACK(YES_Writing_ELA[#Data],YES_Writing_FLA[#Data]),MATCH($A426,_xlfn.VSTACK(YES_Writing_ELA[Student Number],YES_Writing_FLA[Student Number]),0),MATCH(VLOOKUP(F$7,'Writing Logic'!$J$7:$K$11,2,FALSE)&amp;" - Per "&amp;VLOOKUP($C$4,'Writing Logic'!$G$8:$H$14,2,FALSE),YES_Writing_ELA[#Headers],0)))),"")</f>
        <v/>
      </c>
      <c r="G426" s="138" t="str">
        <f>IFERROR(IF(IF(INDEX(_xlfn.VSTACK(YES_Writing_ELA[#Data],YES_Writing_FLA[#Data]),MATCH($A426,_xlfn.VSTACK(YES_Writing_ELA[Student Number],YES_Writing_FLA[Student Number]),0),MATCH(VLOOKUP(G$7,'Writing Logic'!$J$7:$K$11,2,FALSE)&amp;" - Per "&amp;VLOOKUP($C$4,'Writing Logic'!$G$8:$H$14,2,FALSE),YES_Writing_ELA[#Headers],0))=0,"",INDEX(_xlfn.VSTACK(YES_Writing_ELA[#Data],YES_Writing_FLA[#Data]),MATCH($A426,_xlfn.VSTACK(YES_Writing_ELA[Student Number],YES_Writing_FLA[Student Number]),0),MATCH(VLOOKUP(G$7,'Writing Logic'!$J$7:$K$11,2,FALSE)&amp;" - Per "&amp;VLOOKUP($C$4,'Writing Logic'!$G$8:$H$14,2,FALSE),YES_Writing_ELA[#Headers],0)))="INS",'Writing Logic'!$B$7,IF(INDEX(_xlfn.VSTACK(YES_Writing_ELA[#Data],YES_Writing_FLA[#Data]),MATCH($A426,_xlfn.VSTACK(YES_Writing_ELA[Student Number],YES_Writing_FLA[Student Number]),0),MATCH(VLOOKUP(G$7,'Writing Logic'!$J$7:$K$11,2,FALSE)&amp;" - Per "&amp;VLOOKUP($C$4,'Writing Logic'!$G$8:$H$14,2,FALSE),YES_Writing_ELA[#Headers],0))=0,"",INDEX(_xlfn.VSTACK(YES_Writing_ELA[#Data],YES_Writing_FLA[#Data]),MATCH($A426,_xlfn.VSTACK(YES_Writing_ELA[Student Number],YES_Writing_FLA[Student Number]),0),MATCH(VLOOKUP(G$7,'Writing Logic'!$J$7:$K$11,2,FALSE)&amp;" - Per "&amp;VLOOKUP($C$4,'Writing Logic'!$G$8:$H$14,2,FALSE),YES_Writing_ELA[#Headers],0)))),"")</f>
        <v/>
      </c>
      <c r="H426" s="223" t="str">
        <f>IFERROR(IF(IF(INDEX(_xlfn.VSTACK(YES_Writing_ELA[#Data],YES_Writing_FLA[#Data]),MATCH($A426,_xlfn.VSTACK(YES_Writing_ELA[Student Number],YES_Writing_FLA[Student Number]),0),MATCH(VLOOKUP(H$7,'Writing Logic'!$J$7:$K$11,2,FALSE)&amp;" - Per "&amp;VLOOKUP($C$4,'Writing Logic'!$G$8:$H$14,2,FALSE),YES_Writing_ELA[#Headers],0))=0,"",INDEX(_xlfn.VSTACK(YES_Writing_ELA[#Data],YES_Writing_FLA[#Data]),MATCH($A426,_xlfn.VSTACK(YES_Writing_ELA[Student Number],YES_Writing_FLA[Student Number]),0),MATCH(VLOOKUP(H$7,'Writing Logic'!$J$7:$K$11,2,FALSE)&amp;" - Per "&amp;VLOOKUP($C$4,'Writing Logic'!$G$8:$H$14,2,FALSE),YES_Writing_ELA[#Headers],0)))="INS",'Writing Logic'!$B$7,IF(INDEX(_xlfn.VSTACK(YES_Writing_ELA[#Data],YES_Writing_FLA[#Data]),MATCH($A426,_xlfn.VSTACK(YES_Writing_ELA[Student Number],YES_Writing_FLA[Student Number]),0),MATCH(VLOOKUP(H$7,'Writing Logic'!$J$7:$K$11,2,FALSE)&amp;" - Per "&amp;VLOOKUP($C$4,'Writing Logic'!$G$8:$H$14,2,FALSE),YES_Writing_ELA[#Headers],0))=0,"",INDEX(_xlfn.VSTACK(YES_Writing_ELA[#Data],YES_Writing_FLA[#Data]),MATCH($A426,_xlfn.VSTACK(YES_Writing_ELA[Student Number],YES_Writing_FLA[Student Number]),0),MATCH(VLOOKUP(H$7,'Writing Logic'!$J$7:$K$11,2,FALSE)&amp;" - Per "&amp;VLOOKUP($C$4,'Writing Logic'!$G$8:$H$14,2,FALSE),YES_Writing_ELA[#Headers],0)))),"")</f>
        <v/>
      </c>
      <c r="I426" s="224" t="str" cm="1">
        <f t="array" aca="1" ref="I426" ca="1">IFERROR(
IF($G$3="ELA",
IF(VLOOKUP($A426, YES_Reading_ELA[], COLUMN(INDIRECT("YES_Reading_ELA[Difference - Per "&amp;VLOOKUP($G$4, 'Reading Report Logic'!$A$2:$B$8, 2, FALSE)&amp;"]")), FALSE)="", "",
VLOOKUP($A426,YES_Reading_ELA[], COLUMN(INDIRECT("YES_Reading_ELA[Difference - Per "&amp;VLOOKUP($G$4,'Reading Report Logic'!$A$2:$B$8,2,FALSE)&amp;"]")), FALSE)),
IF($G$3="FLA",
IF(VLOOKUP($A426, YES_Reading_FLA[], COLUMN(INDIRECT("YES_Reading_FLA[Difference - Per "&amp;VLOOKUP($G$4,'Reading Report Logic'!$A$2:$B$8,2,FALSE)&amp;"]")),FALSE)="","",
VLOOKUP($A426,YES_Reading_FLA[],COLUMN(INDIRECT("YES_Reading_FLA[Difference - Per "&amp;VLOOKUP($G$4,'Reading Report Logic'!$A$2:$B$8,2,FALSE)&amp;"]")),FALSE)),
IF($G$3="Combined",
IFERROR(
IF(VLOOKUP($A426, YES_Reading_ELA[], COLUMN(INDIRECT("YES_Reading_ELA[Difference - Per "&amp;VLOOKUP($G$4, 'Reading Report Logic'!$A$2:$B$8,2,FALSE)&amp;"]")), FALSE)="", "",
VLOOKUP($A426,YES_Reading_ELA[],COLUMN(INDIRECT("YES_Reading_ELA[Difference - Per "&amp;VLOOKUP($G$4,'Reading Report Logic'!$A$2:$B$8,2,FALSE)&amp;"]")),FALSE)),
IF(VLOOKUP($A426, YES_Reading_FLA[], COLUMN(INDIRECT("YES_Reading_FLA[Difference - Per "&amp;VLOOKUP($G$4, 'Reading Report Logic'!$A$2:$B$8, 2, FALSE)&amp;"]")),FALSE)="", "", VLOOKUP($A426,YES_Reading_FLA[],COLUMN(INDIRECT("YES_Reading_FLA[Difference - Per "&amp;VLOOKUP($G$4, 'Reading Report Logic'!$A$2:$B$8, 2, FALSE)&amp;"]")),FALSE))),""))),"")</f>
        <v/>
      </c>
    </row>
    <row r="427" spans="1:9" x14ac:dyDescent="0.25">
      <c r="A427" s="137"/>
      <c r="B427" s="137" t="str">
        <f>IFERROR(INDEX(_xlfn.VSTACK(YES_Writing_ELA[#Data], YES_Writing_FLA[#Data]),MATCH($A427,_xlfn.VSTACK(YES_Writing_ELA[Student Number], YES_Writing_FLA[Student Number]),0),MATCH(B$7,YES_Writing_ELA[#Headers],0)),IFERROR(INDEX(_xlfn.VSTACK(YES_Reading_ELA[#Data], YES_Reading_FLA[#Data]),MATCH($A427,_xlfn.VSTACK(YES_Reading_ELA[Student Number], YES_Reading_FLA[Student Number]),0),MATCH(B$7,YES_Reading_ELA[#Headers],0)),""))</f>
        <v/>
      </c>
      <c r="C427" s="137" t="str">
        <f>IFERROR(INDEX(_xlfn.VSTACK(YES_Writing_ELA[#Data], YES_Writing_FLA[#Data]),MATCH($A427,_xlfn.VSTACK(YES_Writing_ELA[Student Number], YES_Writing_FLA[Student Number]),0),MATCH(C$7,YES_Writing_ELA[#Headers],0)),IFERROR(INDEX(_xlfn.VSTACK(YES_Reading_ELA[#Data], YES_Reading_FLA[#Data]),MATCH($A427,_xlfn.VSTACK(YES_Reading_ELA[Student Number], YES_Reading_FLA[Student Number]),0),MATCH(C$7,YES_Reading_ELA[#Headers],0)),""))</f>
        <v/>
      </c>
      <c r="D427" s="138" t="str">
        <f>IFERROR(IF(IF(INDEX(_xlfn.VSTACK(YES_Writing_ELA[#Data],YES_Writing_FLA[#Data]),MATCH($A427,_xlfn.VSTACK(YES_Writing_ELA[Student Number],YES_Writing_FLA[Student Number]),0),MATCH(VLOOKUP(D$7,'Writing Logic'!$J$7:$K$11,2,FALSE)&amp;" - Per "&amp;VLOOKUP($C$4,'Writing Logic'!$G$8:$H$14,2,FALSE),YES_Writing_ELA[#Headers],0))=0,"",INDEX(_xlfn.VSTACK(YES_Writing_ELA[#Data],YES_Writing_FLA[#Data]),MATCH($A427,_xlfn.VSTACK(YES_Writing_ELA[Student Number],YES_Writing_FLA[Student Number]),0),MATCH(VLOOKUP(D$7,'Writing Logic'!$J$7:$K$11,2,FALSE)&amp;" - Per "&amp;VLOOKUP($C$4,'Writing Logic'!$G$8:$H$14,2,FALSE),YES_Writing_ELA[#Headers],0)))="INS",'Writing Logic'!$B$7,IF(INDEX(_xlfn.VSTACK(YES_Writing_ELA[#Data],YES_Writing_FLA[#Data]),MATCH($A427,_xlfn.VSTACK(YES_Writing_ELA[Student Number],YES_Writing_FLA[Student Number]),0),MATCH(VLOOKUP(D$7,'Writing Logic'!$J$7:$K$11,2,FALSE)&amp;" - Per "&amp;VLOOKUP($C$4,'Writing Logic'!$G$8:$H$14,2,FALSE),YES_Writing_ELA[#Headers],0))=0,"",INDEX(_xlfn.VSTACK(YES_Writing_ELA[#Data],YES_Writing_FLA[#Data]),MATCH($A427,_xlfn.VSTACK(YES_Writing_ELA[Student Number],YES_Writing_FLA[Student Number]),0),MATCH(VLOOKUP(D$7,'Writing Logic'!$J$7:$K$11,2,FALSE)&amp;" - Per "&amp;VLOOKUP($C$4,'Writing Logic'!$G$8:$H$14,2,FALSE),YES_Writing_ELA[#Headers],0)))),"")</f>
        <v/>
      </c>
      <c r="E427" s="138" t="str">
        <f>IFERROR(IF(IF(INDEX(_xlfn.VSTACK(YES_Writing_ELA[#Data],YES_Writing_FLA[#Data]),MATCH($A427,_xlfn.VSTACK(YES_Writing_ELA[Student Number],YES_Writing_FLA[Student Number]),0),MATCH(VLOOKUP(E$7,'Writing Logic'!$J$7:$K$11,2,FALSE)&amp;" - Per "&amp;VLOOKUP($C$4,'Writing Logic'!$G$8:$H$14,2,FALSE),YES_Writing_ELA[#Headers],0))=0,"",INDEX(_xlfn.VSTACK(YES_Writing_ELA[#Data],YES_Writing_FLA[#Data]),MATCH($A427,_xlfn.VSTACK(YES_Writing_ELA[Student Number],YES_Writing_FLA[Student Number]),0),MATCH(VLOOKUP(E$7,'Writing Logic'!$J$7:$K$11,2,FALSE)&amp;" - Per "&amp;VLOOKUP($C$4,'Writing Logic'!$G$8:$H$14,2,FALSE),YES_Writing_ELA[#Headers],0)))="INS",'Writing Logic'!$B$7,IF(INDEX(_xlfn.VSTACK(YES_Writing_ELA[#Data],YES_Writing_FLA[#Data]),MATCH($A427,_xlfn.VSTACK(YES_Writing_ELA[Student Number],YES_Writing_FLA[Student Number]),0),MATCH(VLOOKUP(E$7,'Writing Logic'!$J$7:$K$11,2,FALSE)&amp;" - Per "&amp;VLOOKUP($C$4,'Writing Logic'!$G$8:$H$14,2,FALSE),YES_Writing_ELA[#Headers],0))=0,"",INDEX(_xlfn.VSTACK(YES_Writing_ELA[#Data],YES_Writing_FLA[#Data]),MATCH($A427,_xlfn.VSTACK(YES_Writing_ELA[Student Number],YES_Writing_FLA[Student Number]),0),MATCH(VLOOKUP(E$7,'Writing Logic'!$J$7:$K$11,2,FALSE)&amp;" - Per "&amp;VLOOKUP($C$4,'Writing Logic'!$G$8:$H$14,2,FALSE),YES_Writing_ELA[#Headers],0)))),"")</f>
        <v/>
      </c>
      <c r="F427" s="138" t="str">
        <f>IFERROR(IF(IF(INDEX(_xlfn.VSTACK(YES_Writing_ELA[#Data],YES_Writing_FLA[#Data]),MATCH($A427,_xlfn.VSTACK(YES_Writing_ELA[Student Number],YES_Writing_FLA[Student Number]),0),MATCH(VLOOKUP(F$7,'Writing Logic'!$J$7:$K$11,2,FALSE)&amp;" - Per "&amp;VLOOKUP($C$4,'Writing Logic'!$G$8:$H$14,2,FALSE),YES_Writing_ELA[#Headers],0))=0,"",INDEX(_xlfn.VSTACK(YES_Writing_ELA[#Data],YES_Writing_FLA[#Data]),MATCH($A427,_xlfn.VSTACK(YES_Writing_ELA[Student Number],YES_Writing_FLA[Student Number]),0),MATCH(VLOOKUP(F$7,'Writing Logic'!$J$7:$K$11,2,FALSE)&amp;" - Per "&amp;VLOOKUP($C$4,'Writing Logic'!$G$8:$H$14,2,FALSE),YES_Writing_ELA[#Headers],0)))="INS",'Writing Logic'!$B$7,IF(INDEX(_xlfn.VSTACK(YES_Writing_ELA[#Data],YES_Writing_FLA[#Data]),MATCH($A427,_xlfn.VSTACK(YES_Writing_ELA[Student Number],YES_Writing_FLA[Student Number]),0),MATCH(VLOOKUP(F$7,'Writing Logic'!$J$7:$K$11,2,FALSE)&amp;" - Per "&amp;VLOOKUP($C$4,'Writing Logic'!$G$8:$H$14,2,FALSE),YES_Writing_ELA[#Headers],0))=0,"",INDEX(_xlfn.VSTACK(YES_Writing_ELA[#Data],YES_Writing_FLA[#Data]),MATCH($A427,_xlfn.VSTACK(YES_Writing_ELA[Student Number],YES_Writing_FLA[Student Number]),0),MATCH(VLOOKUP(F$7,'Writing Logic'!$J$7:$K$11,2,FALSE)&amp;" - Per "&amp;VLOOKUP($C$4,'Writing Logic'!$G$8:$H$14,2,FALSE),YES_Writing_ELA[#Headers],0)))),"")</f>
        <v/>
      </c>
      <c r="G427" s="138" t="str">
        <f>IFERROR(IF(IF(INDEX(_xlfn.VSTACK(YES_Writing_ELA[#Data],YES_Writing_FLA[#Data]),MATCH($A427,_xlfn.VSTACK(YES_Writing_ELA[Student Number],YES_Writing_FLA[Student Number]),0),MATCH(VLOOKUP(G$7,'Writing Logic'!$J$7:$K$11,2,FALSE)&amp;" - Per "&amp;VLOOKUP($C$4,'Writing Logic'!$G$8:$H$14,2,FALSE),YES_Writing_ELA[#Headers],0))=0,"",INDEX(_xlfn.VSTACK(YES_Writing_ELA[#Data],YES_Writing_FLA[#Data]),MATCH($A427,_xlfn.VSTACK(YES_Writing_ELA[Student Number],YES_Writing_FLA[Student Number]),0),MATCH(VLOOKUP(G$7,'Writing Logic'!$J$7:$K$11,2,FALSE)&amp;" - Per "&amp;VLOOKUP($C$4,'Writing Logic'!$G$8:$H$14,2,FALSE),YES_Writing_ELA[#Headers],0)))="INS",'Writing Logic'!$B$7,IF(INDEX(_xlfn.VSTACK(YES_Writing_ELA[#Data],YES_Writing_FLA[#Data]),MATCH($A427,_xlfn.VSTACK(YES_Writing_ELA[Student Number],YES_Writing_FLA[Student Number]),0),MATCH(VLOOKUP(G$7,'Writing Logic'!$J$7:$K$11,2,FALSE)&amp;" - Per "&amp;VLOOKUP($C$4,'Writing Logic'!$G$8:$H$14,2,FALSE),YES_Writing_ELA[#Headers],0))=0,"",INDEX(_xlfn.VSTACK(YES_Writing_ELA[#Data],YES_Writing_FLA[#Data]),MATCH($A427,_xlfn.VSTACK(YES_Writing_ELA[Student Number],YES_Writing_FLA[Student Number]),0),MATCH(VLOOKUP(G$7,'Writing Logic'!$J$7:$K$11,2,FALSE)&amp;" - Per "&amp;VLOOKUP($C$4,'Writing Logic'!$G$8:$H$14,2,FALSE),YES_Writing_ELA[#Headers],0)))),"")</f>
        <v/>
      </c>
      <c r="H427" s="223" t="str">
        <f>IFERROR(IF(IF(INDEX(_xlfn.VSTACK(YES_Writing_ELA[#Data],YES_Writing_FLA[#Data]),MATCH($A427,_xlfn.VSTACK(YES_Writing_ELA[Student Number],YES_Writing_FLA[Student Number]),0),MATCH(VLOOKUP(H$7,'Writing Logic'!$J$7:$K$11,2,FALSE)&amp;" - Per "&amp;VLOOKUP($C$4,'Writing Logic'!$G$8:$H$14,2,FALSE),YES_Writing_ELA[#Headers],0))=0,"",INDEX(_xlfn.VSTACK(YES_Writing_ELA[#Data],YES_Writing_FLA[#Data]),MATCH($A427,_xlfn.VSTACK(YES_Writing_ELA[Student Number],YES_Writing_FLA[Student Number]),0),MATCH(VLOOKUP(H$7,'Writing Logic'!$J$7:$K$11,2,FALSE)&amp;" - Per "&amp;VLOOKUP($C$4,'Writing Logic'!$G$8:$H$14,2,FALSE),YES_Writing_ELA[#Headers],0)))="INS",'Writing Logic'!$B$7,IF(INDEX(_xlfn.VSTACK(YES_Writing_ELA[#Data],YES_Writing_FLA[#Data]),MATCH($A427,_xlfn.VSTACK(YES_Writing_ELA[Student Number],YES_Writing_FLA[Student Number]),0),MATCH(VLOOKUP(H$7,'Writing Logic'!$J$7:$K$11,2,FALSE)&amp;" - Per "&amp;VLOOKUP($C$4,'Writing Logic'!$G$8:$H$14,2,FALSE),YES_Writing_ELA[#Headers],0))=0,"",INDEX(_xlfn.VSTACK(YES_Writing_ELA[#Data],YES_Writing_FLA[#Data]),MATCH($A427,_xlfn.VSTACK(YES_Writing_ELA[Student Number],YES_Writing_FLA[Student Number]),0),MATCH(VLOOKUP(H$7,'Writing Logic'!$J$7:$K$11,2,FALSE)&amp;" - Per "&amp;VLOOKUP($C$4,'Writing Logic'!$G$8:$H$14,2,FALSE),YES_Writing_ELA[#Headers],0)))),"")</f>
        <v/>
      </c>
      <c r="I427" s="224" t="str" cm="1">
        <f t="array" aca="1" ref="I427" ca="1">IFERROR(
IF($G$3="ELA",
IF(VLOOKUP($A427, YES_Reading_ELA[], COLUMN(INDIRECT("YES_Reading_ELA[Difference - Per "&amp;VLOOKUP($G$4, 'Reading Report Logic'!$A$2:$B$8, 2, FALSE)&amp;"]")), FALSE)="", "",
VLOOKUP($A427,YES_Reading_ELA[], COLUMN(INDIRECT("YES_Reading_ELA[Difference - Per "&amp;VLOOKUP($G$4,'Reading Report Logic'!$A$2:$B$8,2,FALSE)&amp;"]")), FALSE)),
IF($G$3="FLA",
IF(VLOOKUP($A427, YES_Reading_FLA[], COLUMN(INDIRECT("YES_Reading_FLA[Difference - Per "&amp;VLOOKUP($G$4,'Reading Report Logic'!$A$2:$B$8,2,FALSE)&amp;"]")),FALSE)="","",
VLOOKUP($A427,YES_Reading_FLA[],COLUMN(INDIRECT("YES_Reading_FLA[Difference - Per "&amp;VLOOKUP($G$4,'Reading Report Logic'!$A$2:$B$8,2,FALSE)&amp;"]")),FALSE)),
IF($G$3="Combined",
IFERROR(
IF(VLOOKUP($A427, YES_Reading_ELA[], COLUMN(INDIRECT("YES_Reading_ELA[Difference - Per "&amp;VLOOKUP($G$4, 'Reading Report Logic'!$A$2:$B$8,2,FALSE)&amp;"]")), FALSE)="", "",
VLOOKUP($A427,YES_Reading_ELA[],COLUMN(INDIRECT("YES_Reading_ELA[Difference - Per "&amp;VLOOKUP($G$4,'Reading Report Logic'!$A$2:$B$8,2,FALSE)&amp;"]")),FALSE)),
IF(VLOOKUP($A427, YES_Reading_FLA[], COLUMN(INDIRECT("YES_Reading_FLA[Difference - Per "&amp;VLOOKUP($G$4, 'Reading Report Logic'!$A$2:$B$8, 2, FALSE)&amp;"]")),FALSE)="", "", VLOOKUP($A427,YES_Reading_FLA[],COLUMN(INDIRECT("YES_Reading_FLA[Difference - Per "&amp;VLOOKUP($G$4, 'Reading Report Logic'!$A$2:$B$8, 2, FALSE)&amp;"]")),FALSE))),""))),"")</f>
        <v/>
      </c>
    </row>
    <row r="428" spans="1:9" x14ac:dyDescent="0.25">
      <c r="A428" s="137"/>
      <c r="B428" s="137" t="str">
        <f>IFERROR(INDEX(_xlfn.VSTACK(YES_Writing_ELA[#Data], YES_Writing_FLA[#Data]),MATCH($A428,_xlfn.VSTACK(YES_Writing_ELA[Student Number], YES_Writing_FLA[Student Number]),0),MATCH(B$7,YES_Writing_ELA[#Headers],0)),IFERROR(INDEX(_xlfn.VSTACK(YES_Reading_ELA[#Data], YES_Reading_FLA[#Data]),MATCH($A428,_xlfn.VSTACK(YES_Reading_ELA[Student Number], YES_Reading_FLA[Student Number]),0),MATCH(B$7,YES_Reading_ELA[#Headers],0)),""))</f>
        <v/>
      </c>
      <c r="C428" s="137" t="str">
        <f>IFERROR(INDEX(_xlfn.VSTACK(YES_Writing_ELA[#Data], YES_Writing_FLA[#Data]),MATCH($A428,_xlfn.VSTACK(YES_Writing_ELA[Student Number], YES_Writing_FLA[Student Number]),0),MATCH(C$7,YES_Writing_ELA[#Headers],0)),IFERROR(INDEX(_xlfn.VSTACK(YES_Reading_ELA[#Data], YES_Reading_FLA[#Data]),MATCH($A428,_xlfn.VSTACK(YES_Reading_ELA[Student Number], YES_Reading_FLA[Student Number]),0),MATCH(C$7,YES_Reading_ELA[#Headers],0)),""))</f>
        <v/>
      </c>
      <c r="D428" s="138" t="str">
        <f>IFERROR(IF(IF(INDEX(_xlfn.VSTACK(YES_Writing_ELA[#Data],YES_Writing_FLA[#Data]),MATCH($A428,_xlfn.VSTACK(YES_Writing_ELA[Student Number],YES_Writing_FLA[Student Number]),0),MATCH(VLOOKUP(D$7,'Writing Logic'!$J$7:$K$11,2,FALSE)&amp;" - Per "&amp;VLOOKUP($C$4,'Writing Logic'!$G$8:$H$14,2,FALSE),YES_Writing_ELA[#Headers],0))=0,"",INDEX(_xlfn.VSTACK(YES_Writing_ELA[#Data],YES_Writing_FLA[#Data]),MATCH($A428,_xlfn.VSTACK(YES_Writing_ELA[Student Number],YES_Writing_FLA[Student Number]),0),MATCH(VLOOKUP(D$7,'Writing Logic'!$J$7:$K$11,2,FALSE)&amp;" - Per "&amp;VLOOKUP($C$4,'Writing Logic'!$G$8:$H$14,2,FALSE),YES_Writing_ELA[#Headers],0)))="INS",'Writing Logic'!$B$7,IF(INDEX(_xlfn.VSTACK(YES_Writing_ELA[#Data],YES_Writing_FLA[#Data]),MATCH($A428,_xlfn.VSTACK(YES_Writing_ELA[Student Number],YES_Writing_FLA[Student Number]),0),MATCH(VLOOKUP(D$7,'Writing Logic'!$J$7:$K$11,2,FALSE)&amp;" - Per "&amp;VLOOKUP($C$4,'Writing Logic'!$G$8:$H$14,2,FALSE),YES_Writing_ELA[#Headers],0))=0,"",INDEX(_xlfn.VSTACK(YES_Writing_ELA[#Data],YES_Writing_FLA[#Data]),MATCH($A428,_xlfn.VSTACK(YES_Writing_ELA[Student Number],YES_Writing_FLA[Student Number]),0),MATCH(VLOOKUP(D$7,'Writing Logic'!$J$7:$K$11,2,FALSE)&amp;" - Per "&amp;VLOOKUP($C$4,'Writing Logic'!$G$8:$H$14,2,FALSE),YES_Writing_ELA[#Headers],0)))),"")</f>
        <v/>
      </c>
      <c r="E428" s="138" t="str">
        <f>IFERROR(IF(IF(INDEX(_xlfn.VSTACK(YES_Writing_ELA[#Data],YES_Writing_FLA[#Data]),MATCH($A428,_xlfn.VSTACK(YES_Writing_ELA[Student Number],YES_Writing_FLA[Student Number]),0),MATCH(VLOOKUP(E$7,'Writing Logic'!$J$7:$K$11,2,FALSE)&amp;" - Per "&amp;VLOOKUP($C$4,'Writing Logic'!$G$8:$H$14,2,FALSE),YES_Writing_ELA[#Headers],0))=0,"",INDEX(_xlfn.VSTACK(YES_Writing_ELA[#Data],YES_Writing_FLA[#Data]),MATCH($A428,_xlfn.VSTACK(YES_Writing_ELA[Student Number],YES_Writing_FLA[Student Number]),0),MATCH(VLOOKUP(E$7,'Writing Logic'!$J$7:$K$11,2,FALSE)&amp;" - Per "&amp;VLOOKUP($C$4,'Writing Logic'!$G$8:$H$14,2,FALSE),YES_Writing_ELA[#Headers],0)))="INS",'Writing Logic'!$B$7,IF(INDEX(_xlfn.VSTACK(YES_Writing_ELA[#Data],YES_Writing_FLA[#Data]),MATCH($A428,_xlfn.VSTACK(YES_Writing_ELA[Student Number],YES_Writing_FLA[Student Number]),0),MATCH(VLOOKUP(E$7,'Writing Logic'!$J$7:$K$11,2,FALSE)&amp;" - Per "&amp;VLOOKUP($C$4,'Writing Logic'!$G$8:$H$14,2,FALSE),YES_Writing_ELA[#Headers],0))=0,"",INDEX(_xlfn.VSTACK(YES_Writing_ELA[#Data],YES_Writing_FLA[#Data]),MATCH($A428,_xlfn.VSTACK(YES_Writing_ELA[Student Number],YES_Writing_FLA[Student Number]),0),MATCH(VLOOKUP(E$7,'Writing Logic'!$J$7:$K$11,2,FALSE)&amp;" - Per "&amp;VLOOKUP($C$4,'Writing Logic'!$G$8:$H$14,2,FALSE),YES_Writing_ELA[#Headers],0)))),"")</f>
        <v/>
      </c>
      <c r="F428" s="138" t="str">
        <f>IFERROR(IF(IF(INDEX(_xlfn.VSTACK(YES_Writing_ELA[#Data],YES_Writing_FLA[#Data]),MATCH($A428,_xlfn.VSTACK(YES_Writing_ELA[Student Number],YES_Writing_FLA[Student Number]),0),MATCH(VLOOKUP(F$7,'Writing Logic'!$J$7:$K$11,2,FALSE)&amp;" - Per "&amp;VLOOKUP($C$4,'Writing Logic'!$G$8:$H$14,2,FALSE),YES_Writing_ELA[#Headers],0))=0,"",INDEX(_xlfn.VSTACK(YES_Writing_ELA[#Data],YES_Writing_FLA[#Data]),MATCH($A428,_xlfn.VSTACK(YES_Writing_ELA[Student Number],YES_Writing_FLA[Student Number]),0),MATCH(VLOOKUP(F$7,'Writing Logic'!$J$7:$K$11,2,FALSE)&amp;" - Per "&amp;VLOOKUP($C$4,'Writing Logic'!$G$8:$H$14,2,FALSE),YES_Writing_ELA[#Headers],0)))="INS",'Writing Logic'!$B$7,IF(INDEX(_xlfn.VSTACK(YES_Writing_ELA[#Data],YES_Writing_FLA[#Data]),MATCH($A428,_xlfn.VSTACK(YES_Writing_ELA[Student Number],YES_Writing_FLA[Student Number]),0),MATCH(VLOOKUP(F$7,'Writing Logic'!$J$7:$K$11,2,FALSE)&amp;" - Per "&amp;VLOOKUP($C$4,'Writing Logic'!$G$8:$H$14,2,FALSE),YES_Writing_ELA[#Headers],0))=0,"",INDEX(_xlfn.VSTACK(YES_Writing_ELA[#Data],YES_Writing_FLA[#Data]),MATCH($A428,_xlfn.VSTACK(YES_Writing_ELA[Student Number],YES_Writing_FLA[Student Number]),0),MATCH(VLOOKUP(F$7,'Writing Logic'!$J$7:$K$11,2,FALSE)&amp;" - Per "&amp;VLOOKUP($C$4,'Writing Logic'!$G$8:$H$14,2,FALSE),YES_Writing_ELA[#Headers],0)))),"")</f>
        <v/>
      </c>
      <c r="G428" s="138" t="str">
        <f>IFERROR(IF(IF(INDEX(_xlfn.VSTACK(YES_Writing_ELA[#Data],YES_Writing_FLA[#Data]),MATCH($A428,_xlfn.VSTACK(YES_Writing_ELA[Student Number],YES_Writing_FLA[Student Number]),0),MATCH(VLOOKUP(G$7,'Writing Logic'!$J$7:$K$11,2,FALSE)&amp;" - Per "&amp;VLOOKUP($C$4,'Writing Logic'!$G$8:$H$14,2,FALSE),YES_Writing_ELA[#Headers],0))=0,"",INDEX(_xlfn.VSTACK(YES_Writing_ELA[#Data],YES_Writing_FLA[#Data]),MATCH($A428,_xlfn.VSTACK(YES_Writing_ELA[Student Number],YES_Writing_FLA[Student Number]),0),MATCH(VLOOKUP(G$7,'Writing Logic'!$J$7:$K$11,2,FALSE)&amp;" - Per "&amp;VLOOKUP($C$4,'Writing Logic'!$G$8:$H$14,2,FALSE),YES_Writing_ELA[#Headers],0)))="INS",'Writing Logic'!$B$7,IF(INDEX(_xlfn.VSTACK(YES_Writing_ELA[#Data],YES_Writing_FLA[#Data]),MATCH($A428,_xlfn.VSTACK(YES_Writing_ELA[Student Number],YES_Writing_FLA[Student Number]),0),MATCH(VLOOKUP(G$7,'Writing Logic'!$J$7:$K$11,2,FALSE)&amp;" - Per "&amp;VLOOKUP($C$4,'Writing Logic'!$G$8:$H$14,2,FALSE),YES_Writing_ELA[#Headers],0))=0,"",INDEX(_xlfn.VSTACK(YES_Writing_ELA[#Data],YES_Writing_FLA[#Data]),MATCH($A428,_xlfn.VSTACK(YES_Writing_ELA[Student Number],YES_Writing_FLA[Student Number]),0),MATCH(VLOOKUP(G$7,'Writing Logic'!$J$7:$K$11,2,FALSE)&amp;" - Per "&amp;VLOOKUP($C$4,'Writing Logic'!$G$8:$H$14,2,FALSE),YES_Writing_ELA[#Headers],0)))),"")</f>
        <v/>
      </c>
      <c r="H428" s="223" t="str">
        <f>IFERROR(IF(IF(INDEX(_xlfn.VSTACK(YES_Writing_ELA[#Data],YES_Writing_FLA[#Data]),MATCH($A428,_xlfn.VSTACK(YES_Writing_ELA[Student Number],YES_Writing_FLA[Student Number]),0),MATCH(VLOOKUP(H$7,'Writing Logic'!$J$7:$K$11,2,FALSE)&amp;" - Per "&amp;VLOOKUP($C$4,'Writing Logic'!$G$8:$H$14,2,FALSE),YES_Writing_ELA[#Headers],0))=0,"",INDEX(_xlfn.VSTACK(YES_Writing_ELA[#Data],YES_Writing_FLA[#Data]),MATCH($A428,_xlfn.VSTACK(YES_Writing_ELA[Student Number],YES_Writing_FLA[Student Number]),0),MATCH(VLOOKUP(H$7,'Writing Logic'!$J$7:$K$11,2,FALSE)&amp;" - Per "&amp;VLOOKUP($C$4,'Writing Logic'!$G$8:$H$14,2,FALSE),YES_Writing_ELA[#Headers],0)))="INS",'Writing Logic'!$B$7,IF(INDEX(_xlfn.VSTACK(YES_Writing_ELA[#Data],YES_Writing_FLA[#Data]),MATCH($A428,_xlfn.VSTACK(YES_Writing_ELA[Student Number],YES_Writing_FLA[Student Number]),0),MATCH(VLOOKUP(H$7,'Writing Logic'!$J$7:$K$11,2,FALSE)&amp;" - Per "&amp;VLOOKUP($C$4,'Writing Logic'!$G$8:$H$14,2,FALSE),YES_Writing_ELA[#Headers],0))=0,"",INDEX(_xlfn.VSTACK(YES_Writing_ELA[#Data],YES_Writing_FLA[#Data]),MATCH($A428,_xlfn.VSTACK(YES_Writing_ELA[Student Number],YES_Writing_FLA[Student Number]),0),MATCH(VLOOKUP(H$7,'Writing Logic'!$J$7:$K$11,2,FALSE)&amp;" - Per "&amp;VLOOKUP($C$4,'Writing Logic'!$G$8:$H$14,2,FALSE),YES_Writing_ELA[#Headers],0)))),"")</f>
        <v/>
      </c>
      <c r="I428" s="224" t="str" cm="1">
        <f t="array" aca="1" ref="I428" ca="1">IFERROR(
IF($G$3="ELA",
IF(VLOOKUP($A428, YES_Reading_ELA[], COLUMN(INDIRECT("YES_Reading_ELA[Difference - Per "&amp;VLOOKUP($G$4, 'Reading Report Logic'!$A$2:$B$8, 2, FALSE)&amp;"]")), FALSE)="", "",
VLOOKUP($A428,YES_Reading_ELA[], COLUMN(INDIRECT("YES_Reading_ELA[Difference - Per "&amp;VLOOKUP($G$4,'Reading Report Logic'!$A$2:$B$8,2,FALSE)&amp;"]")), FALSE)),
IF($G$3="FLA",
IF(VLOOKUP($A428, YES_Reading_FLA[], COLUMN(INDIRECT("YES_Reading_FLA[Difference - Per "&amp;VLOOKUP($G$4,'Reading Report Logic'!$A$2:$B$8,2,FALSE)&amp;"]")),FALSE)="","",
VLOOKUP($A428,YES_Reading_FLA[],COLUMN(INDIRECT("YES_Reading_FLA[Difference - Per "&amp;VLOOKUP($G$4,'Reading Report Logic'!$A$2:$B$8,2,FALSE)&amp;"]")),FALSE)),
IF($G$3="Combined",
IFERROR(
IF(VLOOKUP($A428, YES_Reading_ELA[], COLUMN(INDIRECT("YES_Reading_ELA[Difference - Per "&amp;VLOOKUP($G$4, 'Reading Report Logic'!$A$2:$B$8,2,FALSE)&amp;"]")), FALSE)="", "",
VLOOKUP($A428,YES_Reading_ELA[],COLUMN(INDIRECT("YES_Reading_ELA[Difference - Per "&amp;VLOOKUP($G$4,'Reading Report Logic'!$A$2:$B$8,2,FALSE)&amp;"]")),FALSE)),
IF(VLOOKUP($A428, YES_Reading_FLA[], COLUMN(INDIRECT("YES_Reading_FLA[Difference - Per "&amp;VLOOKUP($G$4, 'Reading Report Logic'!$A$2:$B$8, 2, FALSE)&amp;"]")),FALSE)="", "", VLOOKUP($A428,YES_Reading_FLA[],COLUMN(INDIRECT("YES_Reading_FLA[Difference - Per "&amp;VLOOKUP($G$4, 'Reading Report Logic'!$A$2:$B$8, 2, FALSE)&amp;"]")),FALSE))),""))),"")</f>
        <v/>
      </c>
    </row>
    <row r="429" spans="1:9" x14ac:dyDescent="0.25">
      <c r="A429" s="137"/>
      <c r="B429" s="137" t="str">
        <f>IFERROR(INDEX(_xlfn.VSTACK(YES_Writing_ELA[#Data], YES_Writing_FLA[#Data]),MATCH($A429,_xlfn.VSTACK(YES_Writing_ELA[Student Number], YES_Writing_FLA[Student Number]),0),MATCH(B$7,YES_Writing_ELA[#Headers],0)),IFERROR(INDEX(_xlfn.VSTACK(YES_Reading_ELA[#Data], YES_Reading_FLA[#Data]),MATCH($A429,_xlfn.VSTACK(YES_Reading_ELA[Student Number], YES_Reading_FLA[Student Number]),0),MATCH(B$7,YES_Reading_ELA[#Headers],0)),""))</f>
        <v/>
      </c>
      <c r="C429" s="137" t="str">
        <f>IFERROR(INDEX(_xlfn.VSTACK(YES_Writing_ELA[#Data], YES_Writing_FLA[#Data]),MATCH($A429,_xlfn.VSTACK(YES_Writing_ELA[Student Number], YES_Writing_FLA[Student Number]),0),MATCH(C$7,YES_Writing_ELA[#Headers],0)),IFERROR(INDEX(_xlfn.VSTACK(YES_Reading_ELA[#Data], YES_Reading_FLA[#Data]),MATCH($A429,_xlfn.VSTACK(YES_Reading_ELA[Student Number], YES_Reading_FLA[Student Number]),0),MATCH(C$7,YES_Reading_ELA[#Headers],0)),""))</f>
        <v/>
      </c>
      <c r="D429" s="138" t="str">
        <f>IFERROR(IF(IF(INDEX(_xlfn.VSTACK(YES_Writing_ELA[#Data],YES_Writing_FLA[#Data]),MATCH($A429,_xlfn.VSTACK(YES_Writing_ELA[Student Number],YES_Writing_FLA[Student Number]),0),MATCH(VLOOKUP(D$7,'Writing Logic'!$J$7:$K$11,2,FALSE)&amp;" - Per "&amp;VLOOKUP($C$4,'Writing Logic'!$G$8:$H$14,2,FALSE),YES_Writing_ELA[#Headers],0))=0,"",INDEX(_xlfn.VSTACK(YES_Writing_ELA[#Data],YES_Writing_FLA[#Data]),MATCH($A429,_xlfn.VSTACK(YES_Writing_ELA[Student Number],YES_Writing_FLA[Student Number]),0),MATCH(VLOOKUP(D$7,'Writing Logic'!$J$7:$K$11,2,FALSE)&amp;" - Per "&amp;VLOOKUP($C$4,'Writing Logic'!$G$8:$H$14,2,FALSE),YES_Writing_ELA[#Headers],0)))="INS",'Writing Logic'!$B$7,IF(INDEX(_xlfn.VSTACK(YES_Writing_ELA[#Data],YES_Writing_FLA[#Data]),MATCH($A429,_xlfn.VSTACK(YES_Writing_ELA[Student Number],YES_Writing_FLA[Student Number]),0),MATCH(VLOOKUP(D$7,'Writing Logic'!$J$7:$K$11,2,FALSE)&amp;" - Per "&amp;VLOOKUP($C$4,'Writing Logic'!$G$8:$H$14,2,FALSE),YES_Writing_ELA[#Headers],0))=0,"",INDEX(_xlfn.VSTACK(YES_Writing_ELA[#Data],YES_Writing_FLA[#Data]),MATCH($A429,_xlfn.VSTACK(YES_Writing_ELA[Student Number],YES_Writing_FLA[Student Number]),0),MATCH(VLOOKUP(D$7,'Writing Logic'!$J$7:$K$11,2,FALSE)&amp;" - Per "&amp;VLOOKUP($C$4,'Writing Logic'!$G$8:$H$14,2,FALSE),YES_Writing_ELA[#Headers],0)))),"")</f>
        <v/>
      </c>
      <c r="E429" s="138" t="str">
        <f>IFERROR(IF(IF(INDEX(_xlfn.VSTACK(YES_Writing_ELA[#Data],YES_Writing_FLA[#Data]),MATCH($A429,_xlfn.VSTACK(YES_Writing_ELA[Student Number],YES_Writing_FLA[Student Number]),0),MATCH(VLOOKUP(E$7,'Writing Logic'!$J$7:$K$11,2,FALSE)&amp;" - Per "&amp;VLOOKUP($C$4,'Writing Logic'!$G$8:$H$14,2,FALSE),YES_Writing_ELA[#Headers],0))=0,"",INDEX(_xlfn.VSTACK(YES_Writing_ELA[#Data],YES_Writing_FLA[#Data]),MATCH($A429,_xlfn.VSTACK(YES_Writing_ELA[Student Number],YES_Writing_FLA[Student Number]),0),MATCH(VLOOKUP(E$7,'Writing Logic'!$J$7:$K$11,2,FALSE)&amp;" - Per "&amp;VLOOKUP($C$4,'Writing Logic'!$G$8:$H$14,2,FALSE),YES_Writing_ELA[#Headers],0)))="INS",'Writing Logic'!$B$7,IF(INDEX(_xlfn.VSTACK(YES_Writing_ELA[#Data],YES_Writing_FLA[#Data]),MATCH($A429,_xlfn.VSTACK(YES_Writing_ELA[Student Number],YES_Writing_FLA[Student Number]),0),MATCH(VLOOKUP(E$7,'Writing Logic'!$J$7:$K$11,2,FALSE)&amp;" - Per "&amp;VLOOKUP($C$4,'Writing Logic'!$G$8:$H$14,2,FALSE),YES_Writing_ELA[#Headers],0))=0,"",INDEX(_xlfn.VSTACK(YES_Writing_ELA[#Data],YES_Writing_FLA[#Data]),MATCH($A429,_xlfn.VSTACK(YES_Writing_ELA[Student Number],YES_Writing_FLA[Student Number]),0),MATCH(VLOOKUP(E$7,'Writing Logic'!$J$7:$K$11,2,FALSE)&amp;" - Per "&amp;VLOOKUP($C$4,'Writing Logic'!$G$8:$H$14,2,FALSE),YES_Writing_ELA[#Headers],0)))),"")</f>
        <v/>
      </c>
      <c r="F429" s="138" t="str">
        <f>IFERROR(IF(IF(INDEX(_xlfn.VSTACK(YES_Writing_ELA[#Data],YES_Writing_FLA[#Data]),MATCH($A429,_xlfn.VSTACK(YES_Writing_ELA[Student Number],YES_Writing_FLA[Student Number]),0),MATCH(VLOOKUP(F$7,'Writing Logic'!$J$7:$K$11,2,FALSE)&amp;" - Per "&amp;VLOOKUP($C$4,'Writing Logic'!$G$8:$H$14,2,FALSE),YES_Writing_ELA[#Headers],0))=0,"",INDEX(_xlfn.VSTACK(YES_Writing_ELA[#Data],YES_Writing_FLA[#Data]),MATCH($A429,_xlfn.VSTACK(YES_Writing_ELA[Student Number],YES_Writing_FLA[Student Number]),0),MATCH(VLOOKUP(F$7,'Writing Logic'!$J$7:$K$11,2,FALSE)&amp;" - Per "&amp;VLOOKUP($C$4,'Writing Logic'!$G$8:$H$14,2,FALSE),YES_Writing_ELA[#Headers],0)))="INS",'Writing Logic'!$B$7,IF(INDEX(_xlfn.VSTACK(YES_Writing_ELA[#Data],YES_Writing_FLA[#Data]),MATCH($A429,_xlfn.VSTACK(YES_Writing_ELA[Student Number],YES_Writing_FLA[Student Number]),0),MATCH(VLOOKUP(F$7,'Writing Logic'!$J$7:$K$11,2,FALSE)&amp;" - Per "&amp;VLOOKUP($C$4,'Writing Logic'!$G$8:$H$14,2,FALSE),YES_Writing_ELA[#Headers],0))=0,"",INDEX(_xlfn.VSTACK(YES_Writing_ELA[#Data],YES_Writing_FLA[#Data]),MATCH($A429,_xlfn.VSTACK(YES_Writing_ELA[Student Number],YES_Writing_FLA[Student Number]),0),MATCH(VLOOKUP(F$7,'Writing Logic'!$J$7:$K$11,2,FALSE)&amp;" - Per "&amp;VLOOKUP($C$4,'Writing Logic'!$G$8:$H$14,2,FALSE),YES_Writing_ELA[#Headers],0)))),"")</f>
        <v/>
      </c>
      <c r="G429" s="138" t="str">
        <f>IFERROR(IF(IF(INDEX(_xlfn.VSTACK(YES_Writing_ELA[#Data],YES_Writing_FLA[#Data]),MATCH($A429,_xlfn.VSTACK(YES_Writing_ELA[Student Number],YES_Writing_FLA[Student Number]),0),MATCH(VLOOKUP(G$7,'Writing Logic'!$J$7:$K$11,2,FALSE)&amp;" - Per "&amp;VLOOKUP($C$4,'Writing Logic'!$G$8:$H$14,2,FALSE),YES_Writing_ELA[#Headers],0))=0,"",INDEX(_xlfn.VSTACK(YES_Writing_ELA[#Data],YES_Writing_FLA[#Data]),MATCH($A429,_xlfn.VSTACK(YES_Writing_ELA[Student Number],YES_Writing_FLA[Student Number]),0),MATCH(VLOOKUP(G$7,'Writing Logic'!$J$7:$K$11,2,FALSE)&amp;" - Per "&amp;VLOOKUP($C$4,'Writing Logic'!$G$8:$H$14,2,FALSE),YES_Writing_ELA[#Headers],0)))="INS",'Writing Logic'!$B$7,IF(INDEX(_xlfn.VSTACK(YES_Writing_ELA[#Data],YES_Writing_FLA[#Data]),MATCH($A429,_xlfn.VSTACK(YES_Writing_ELA[Student Number],YES_Writing_FLA[Student Number]),0),MATCH(VLOOKUP(G$7,'Writing Logic'!$J$7:$K$11,2,FALSE)&amp;" - Per "&amp;VLOOKUP($C$4,'Writing Logic'!$G$8:$H$14,2,FALSE),YES_Writing_ELA[#Headers],0))=0,"",INDEX(_xlfn.VSTACK(YES_Writing_ELA[#Data],YES_Writing_FLA[#Data]),MATCH($A429,_xlfn.VSTACK(YES_Writing_ELA[Student Number],YES_Writing_FLA[Student Number]),0),MATCH(VLOOKUP(G$7,'Writing Logic'!$J$7:$K$11,2,FALSE)&amp;" - Per "&amp;VLOOKUP($C$4,'Writing Logic'!$G$8:$H$14,2,FALSE),YES_Writing_ELA[#Headers],0)))),"")</f>
        <v/>
      </c>
      <c r="H429" s="223" t="str">
        <f>IFERROR(IF(IF(INDEX(_xlfn.VSTACK(YES_Writing_ELA[#Data],YES_Writing_FLA[#Data]),MATCH($A429,_xlfn.VSTACK(YES_Writing_ELA[Student Number],YES_Writing_FLA[Student Number]),0),MATCH(VLOOKUP(H$7,'Writing Logic'!$J$7:$K$11,2,FALSE)&amp;" - Per "&amp;VLOOKUP($C$4,'Writing Logic'!$G$8:$H$14,2,FALSE),YES_Writing_ELA[#Headers],0))=0,"",INDEX(_xlfn.VSTACK(YES_Writing_ELA[#Data],YES_Writing_FLA[#Data]),MATCH($A429,_xlfn.VSTACK(YES_Writing_ELA[Student Number],YES_Writing_FLA[Student Number]),0),MATCH(VLOOKUP(H$7,'Writing Logic'!$J$7:$K$11,2,FALSE)&amp;" - Per "&amp;VLOOKUP($C$4,'Writing Logic'!$G$8:$H$14,2,FALSE),YES_Writing_ELA[#Headers],0)))="INS",'Writing Logic'!$B$7,IF(INDEX(_xlfn.VSTACK(YES_Writing_ELA[#Data],YES_Writing_FLA[#Data]),MATCH($A429,_xlfn.VSTACK(YES_Writing_ELA[Student Number],YES_Writing_FLA[Student Number]),0),MATCH(VLOOKUP(H$7,'Writing Logic'!$J$7:$K$11,2,FALSE)&amp;" - Per "&amp;VLOOKUP($C$4,'Writing Logic'!$G$8:$H$14,2,FALSE),YES_Writing_ELA[#Headers],0))=0,"",INDEX(_xlfn.VSTACK(YES_Writing_ELA[#Data],YES_Writing_FLA[#Data]),MATCH($A429,_xlfn.VSTACK(YES_Writing_ELA[Student Number],YES_Writing_FLA[Student Number]),0),MATCH(VLOOKUP(H$7,'Writing Logic'!$J$7:$K$11,2,FALSE)&amp;" - Per "&amp;VLOOKUP($C$4,'Writing Logic'!$G$8:$H$14,2,FALSE),YES_Writing_ELA[#Headers],0)))),"")</f>
        <v/>
      </c>
      <c r="I429" s="224" t="str" cm="1">
        <f t="array" aca="1" ref="I429" ca="1">IFERROR(
IF($G$3="ELA",
IF(VLOOKUP($A429, YES_Reading_ELA[], COLUMN(INDIRECT("YES_Reading_ELA[Difference - Per "&amp;VLOOKUP($G$4, 'Reading Report Logic'!$A$2:$B$8, 2, FALSE)&amp;"]")), FALSE)="", "",
VLOOKUP($A429,YES_Reading_ELA[], COLUMN(INDIRECT("YES_Reading_ELA[Difference - Per "&amp;VLOOKUP($G$4,'Reading Report Logic'!$A$2:$B$8,2,FALSE)&amp;"]")), FALSE)),
IF($G$3="FLA",
IF(VLOOKUP($A429, YES_Reading_FLA[], COLUMN(INDIRECT("YES_Reading_FLA[Difference - Per "&amp;VLOOKUP($G$4,'Reading Report Logic'!$A$2:$B$8,2,FALSE)&amp;"]")),FALSE)="","",
VLOOKUP($A429,YES_Reading_FLA[],COLUMN(INDIRECT("YES_Reading_FLA[Difference - Per "&amp;VLOOKUP($G$4,'Reading Report Logic'!$A$2:$B$8,2,FALSE)&amp;"]")),FALSE)),
IF($G$3="Combined",
IFERROR(
IF(VLOOKUP($A429, YES_Reading_ELA[], COLUMN(INDIRECT("YES_Reading_ELA[Difference - Per "&amp;VLOOKUP($G$4, 'Reading Report Logic'!$A$2:$B$8,2,FALSE)&amp;"]")), FALSE)="", "",
VLOOKUP($A429,YES_Reading_ELA[],COLUMN(INDIRECT("YES_Reading_ELA[Difference - Per "&amp;VLOOKUP($G$4,'Reading Report Logic'!$A$2:$B$8,2,FALSE)&amp;"]")),FALSE)),
IF(VLOOKUP($A429, YES_Reading_FLA[], COLUMN(INDIRECT("YES_Reading_FLA[Difference - Per "&amp;VLOOKUP($G$4, 'Reading Report Logic'!$A$2:$B$8, 2, FALSE)&amp;"]")),FALSE)="", "", VLOOKUP($A429,YES_Reading_FLA[],COLUMN(INDIRECT("YES_Reading_FLA[Difference - Per "&amp;VLOOKUP($G$4, 'Reading Report Logic'!$A$2:$B$8, 2, FALSE)&amp;"]")),FALSE))),""))),"")</f>
        <v/>
      </c>
    </row>
    <row r="430" spans="1:9" x14ac:dyDescent="0.25">
      <c r="A430" s="137"/>
      <c r="B430" s="137" t="str">
        <f>IFERROR(INDEX(_xlfn.VSTACK(YES_Writing_ELA[#Data], YES_Writing_FLA[#Data]),MATCH($A430,_xlfn.VSTACK(YES_Writing_ELA[Student Number], YES_Writing_FLA[Student Number]),0),MATCH(B$7,YES_Writing_ELA[#Headers],0)),IFERROR(INDEX(_xlfn.VSTACK(YES_Reading_ELA[#Data], YES_Reading_FLA[#Data]),MATCH($A430,_xlfn.VSTACK(YES_Reading_ELA[Student Number], YES_Reading_FLA[Student Number]),0),MATCH(B$7,YES_Reading_ELA[#Headers],0)),""))</f>
        <v/>
      </c>
      <c r="C430" s="137" t="str">
        <f>IFERROR(INDEX(_xlfn.VSTACK(YES_Writing_ELA[#Data], YES_Writing_FLA[#Data]),MATCH($A430,_xlfn.VSTACK(YES_Writing_ELA[Student Number], YES_Writing_FLA[Student Number]),0),MATCH(C$7,YES_Writing_ELA[#Headers],0)),IFERROR(INDEX(_xlfn.VSTACK(YES_Reading_ELA[#Data], YES_Reading_FLA[#Data]),MATCH($A430,_xlfn.VSTACK(YES_Reading_ELA[Student Number], YES_Reading_FLA[Student Number]),0),MATCH(C$7,YES_Reading_ELA[#Headers],0)),""))</f>
        <v/>
      </c>
      <c r="D430" s="138" t="str">
        <f>IFERROR(IF(IF(INDEX(_xlfn.VSTACK(YES_Writing_ELA[#Data],YES_Writing_FLA[#Data]),MATCH($A430,_xlfn.VSTACK(YES_Writing_ELA[Student Number],YES_Writing_FLA[Student Number]),0),MATCH(VLOOKUP(D$7,'Writing Logic'!$J$7:$K$11,2,FALSE)&amp;" - Per "&amp;VLOOKUP($C$4,'Writing Logic'!$G$8:$H$14,2,FALSE),YES_Writing_ELA[#Headers],0))=0,"",INDEX(_xlfn.VSTACK(YES_Writing_ELA[#Data],YES_Writing_FLA[#Data]),MATCH($A430,_xlfn.VSTACK(YES_Writing_ELA[Student Number],YES_Writing_FLA[Student Number]),0),MATCH(VLOOKUP(D$7,'Writing Logic'!$J$7:$K$11,2,FALSE)&amp;" - Per "&amp;VLOOKUP($C$4,'Writing Logic'!$G$8:$H$14,2,FALSE),YES_Writing_ELA[#Headers],0)))="INS",'Writing Logic'!$B$7,IF(INDEX(_xlfn.VSTACK(YES_Writing_ELA[#Data],YES_Writing_FLA[#Data]),MATCH($A430,_xlfn.VSTACK(YES_Writing_ELA[Student Number],YES_Writing_FLA[Student Number]),0),MATCH(VLOOKUP(D$7,'Writing Logic'!$J$7:$K$11,2,FALSE)&amp;" - Per "&amp;VLOOKUP($C$4,'Writing Logic'!$G$8:$H$14,2,FALSE),YES_Writing_ELA[#Headers],0))=0,"",INDEX(_xlfn.VSTACK(YES_Writing_ELA[#Data],YES_Writing_FLA[#Data]),MATCH($A430,_xlfn.VSTACK(YES_Writing_ELA[Student Number],YES_Writing_FLA[Student Number]),0),MATCH(VLOOKUP(D$7,'Writing Logic'!$J$7:$K$11,2,FALSE)&amp;" - Per "&amp;VLOOKUP($C$4,'Writing Logic'!$G$8:$H$14,2,FALSE),YES_Writing_ELA[#Headers],0)))),"")</f>
        <v/>
      </c>
      <c r="E430" s="138" t="str">
        <f>IFERROR(IF(IF(INDEX(_xlfn.VSTACK(YES_Writing_ELA[#Data],YES_Writing_FLA[#Data]),MATCH($A430,_xlfn.VSTACK(YES_Writing_ELA[Student Number],YES_Writing_FLA[Student Number]),0),MATCH(VLOOKUP(E$7,'Writing Logic'!$J$7:$K$11,2,FALSE)&amp;" - Per "&amp;VLOOKUP($C$4,'Writing Logic'!$G$8:$H$14,2,FALSE),YES_Writing_ELA[#Headers],0))=0,"",INDEX(_xlfn.VSTACK(YES_Writing_ELA[#Data],YES_Writing_FLA[#Data]),MATCH($A430,_xlfn.VSTACK(YES_Writing_ELA[Student Number],YES_Writing_FLA[Student Number]),0),MATCH(VLOOKUP(E$7,'Writing Logic'!$J$7:$K$11,2,FALSE)&amp;" - Per "&amp;VLOOKUP($C$4,'Writing Logic'!$G$8:$H$14,2,FALSE),YES_Writing_ELA[#Headers],0)))="INS",'Writing Logic'!$B$7,IF(INDEX(_xlfn.VSTACK(YES_Writing_ELA[#Data],YES_Writing_FLA[#Data]),MATCH($A430,_xlfn.VSTACK(YES_Writing_ELA[Student Number],YES_Writing_FLA[Student Number]),0),MATCH(VLOOKUP(E$7,'Writing Logic'!$J$7:$K$11,2,FALSE)&amp;" - Per "&amp;VLOOKUP($C$4,'Writing Logic'!$G$8:$H$14,2,FALSE),YES_Writing_ELA[#Headers],0))=0,"",INDEX(_xlfn.VSTACK(YES_Writing_ELA[#Data],YES_Writing_FLA[#Data]),MATCH($A430,_xlfn.VSTACK(YES_Writing_ELA[Student Number],YES_Writing_FLA[Student Number]),0),MATCH(VLOOKUP(E$7,'Writing Logic'!$J$7:$K$11,2,FALSE)&amp;" - Per "&amp;VLOOKUP($C$4,'Writing Logic'!$G$8:$H$14,2,FALSE),YES_Writing_ELA[#Headers],0)))),"")</f>
        <v/>
      </c>
      <c r="F430" s="138" t="str">
        <f>IFERROR(IF(IF(INDEX(_xlfn.VSTACK(YES_Writing_ELA[#Data],YES_Writing_FLA[#Data]),MATCH($A430,_xlfn.VSTACK(YES_Writing_ELA[Student Number],YES_Writing_FLA[Student Number]),0),MATCH(VLOOKUP(F$7,'Writing Logic'!$J$7:$K$11,2,FALSE)&amp;" - Per "&amp;VLOOKUP($C$4,'Writing Logic'!$G$8:$H$14,2,FALSE),YES_Writing_ELA[#Headers],0))=0,"",INDEX(_xlfn.VSTACK(YES_Writing_ELA[#Data],YES_Writing_FLA[#Data]),MATCH($A430,_xlfn.VSTACK(YES_Writing_ELA[Student Number],YES_Writing_FLA[Student Number]),0),MATCH(VLOOKUP(F$7,'Writing Logic'!$J$7:$K$11,2,FALSE)&amp;" - Per "&amp;VLOOKUP($C$4,'Writing Logic'!$G$8:$H$14,2,FALSE),YES_Writing_ELA[#Headers],0)))="INS",'Writing Logic'!$B$7,IF(INDEX(_xlfn.VSTACK(YES_Writing_ELA[#Data],YES_Writing_FLA[#Data]),MATCH($A430,_xlfn.VSTACK(YES_Writing_ELA[Student Number],YES_Writing_FLA[Student Number]),0),MATCH(VLOOKUP(F$7,'Writing Logic'!$J$7:$K$11,2,FALSE)&amp;" - Per "&amp;VLOOKUP($C$4,'Writing Logic'!$G$8:$H$14,2,FALSE),YES_Writing_ELA[#Headers],0))=0,"",INDEX(_xlfn.VSTACK(YES_Writing_ELA[#Data],YES_Writing_FLA[#Data]),MATCH($A430,_xlfn.VSTACK(YES_Writing_ELA[Student Number],YES_Writing_FLA[Student Number]),0),MATCH(VLOOKUP(F$7,'Writing Logic'!$J$7:$K$11,2,FALSE)&amp;" - Per "&amp;VLOOKUP($C$4,'Writing Logic'!$G$8:$H$14,2,FALSE),YES_Writing_ELA[#Headers],0)))),"")</f>
        <v/>
      </c>
      <c r="G430" s="138" t="str">
        <f>IFERROR(IF(IF(INDEX(_xlfn.VSTACK(YES_Writing_ELA[#Data],YES_Writing_FLA[#Data]),MATCH($A430,_xlfn.VSTACK(YES_Writing_ELA[Student Number],YES_Writing_FLA[Student Number]),0),MATCH(VLOOKUP(G$7,'Writing Logic'!$J$7:$K$11,2,FALSE)&amp;" - Per "&amp;VLOOKUP($C$4,'Writing Logic'!$G$8:$H$14,2,FALSE),YES_Writing_ELA[#Headers],0))=0,"",INDEX(_xlfn.VSTACK(YES_Writing_ELA[#Data],YES_Writing_FLA[#Data]),MATCH($A430,_xlfn.VSTACK(YES_Writing_ELA[Student Number],YES_Writing_FLA[Student Number]),0),MATCH(VLOOKUP(G$7,'Writing Logic'!$J$7:$K$11,2,FALSE)&amp;" - Per "&amp;VLOOKUP($C$4,'Writing Logic'!$G$8:$H$14,2,FALSE),YES_Writing_ELA[#Headers],0)))="INS",'Writing Logic'!$B$7,IF(INDEX(_xlfn.VSTACK(YES_Writing_ELA[#Data],YES_Writing_FLA[#Data]),MATCH($A430,_xlfn.VSTACK(YES_Writing_ELA[Student Number],YES_Writing_FLA[Student Number]),0),MATCH(VLOOKUP(G$7,'Writing Logic'!$J$7:$K$11,2,FALSE)&amp;" - Per "&amp;VLOOKUP($C$4,'Writing Logic'!$G$8:$H$14,2,FALSE),YES_Writing_ELA[#Headers],0))=0,"",INDEX(_xlfn.VSTACK(YES_Writing_ELA[#Data],YES_Writing_FLA[#Data]),MATCH($A430,_xlfn.VSTACK(YES_Writing_ELA[Student Number],YES_Writing_FLA[Student Number]),0),MATCH(VLOOKUP(G$7,'Writing Logic'!$J$7:$K$11,2,FALSE)&amp;" - Per "&amp;VLOOKUP($C$4,'Writing Logic'!$G$8:$H$14,2,FALSE),YES_Writing_ELA[#Headers],0)))),"")</f>
        <v/>
      </c>
      <c r="H430" s="223" t="str">
        <f>IFERROR(IF(IF(INDEX(_xlfn.VSTACK(YES_Writing_ELA[#Data],YES_Writing_FLA[#Data]),MATCH($A430,_xlfn.VSTACK(YES_Writing_ELA[Student Number],YES_Writing_FLA[Student Number]),0),MATCH(VLOOKUP(H$7,'Writing Logic'!$J$7:$K$11,2,FALSE)&amp;" - Per "&amp;VLOOKUP($C$4,'Writing Logic'!$G$8:$H$14,2,FALSE),YES_Writing_ELA[#Headers],0))=0,"",INDEX(_xlfn.VSTACK(YES_Writing_ELA[#Data],YES_Writing_FLA[#Data]),MATCH($A430,_xlfn.VSTACK(YES_Writing_ELA[Student Number],YES_Writing_FLA[Student Number]),0),MATCH(VLOOKUP(H$7,'Writing Logic'!$J$7:$K$11,2,FALSE)&amp;" - Per "&amp;VLOOKUP($C$4,'Writing Logic'!$G$8:$H$14,2,FALSE),YES_Writing_ELA[#Headers],0)))="INS",'Writing Logic'!$B$7,IF(INDEX(_xlfn.VSTACK(YES_Writing_ELA[#Data],YES_Writing_FLA[#Data]),MATCH($A430,_xlfn.VSTACK(YES_Writing_ELA[Student Number],YES_Writing_FLA[Student Number]),0),MATCH(VLOOKUP(H$7,'Writing Logic'!$J$7:$K$11,2,FALSE)&amp;" - Per "&amp;VLOOKUP($C$4,'Writing Logic'!$G$8:$H$14,2,FALSE),YES_Writing_ELA[#Headers],0))=0,"",INDEX(_xlfn.VSTACK(YES_Writing_ELA[#Data],YES_Writing_FLA[#Data]),MATCH($A430,_xlfn.VSTACK(YES_Writing_ELA[Student Number],YES_Writing_FLA[Student Number]),0),MATCH(VLOOKUP(H$7,'Writing Logic'!$J$7:$K$11,2,FALSE)&amp;" - Per "&amp;VLOOKUP($C$4,'Writing Logic'!$G$8:$H$14,2,FALSE),YES_Writing_ELA[#Headers],0)))),"")</f>
        <v/>
      </c>
      <c r="I430" s="224" t="str" cm="1">
        <f t="array" aca="1" ref="I430" ca="1">IFERROR(
IF($G$3="ELA",
IF(VLOOKUP($A430, YES_Reading_ELA[], COLUMN(INDIRECT("YES_Reading_ELA[Difference - Per "&amp;VLOOKUP($G$4, 'Reading Report Logic'!$A$2:$B$8, 2, FALSE)&amp;"]")), FALSE)="", "",
VLOOKUP($A430,YES_Reading_ELA[], COLUMN(INDIRECT("YES_Reading_ELA[Difference - Per "&amp;VLOOKUP($G$4,'Reading Report Logic'!$A$2:$B$8,2,FALSE)&amp;"]")), FALSE)),
IF($G$3="FLA",
IF(VLOOKUP($A430, YES_Reading_FLA[], COLUMN(INDIRECT("YES_Reading_FLA[Difference - Per "&amp;VLOOKUP($G$4,'Reading Report Logic'!$A$2:$B$8,2,FALSE)&amp;"]")),FALSE)="","",
VLOOKUP($A430,YES_Reading_FLA[],COLUMN(INDIRECT("YES_Reading_FLA[Difference - Per "&amp;VLOOKUP($G$4,'Reading Report Logic'!$A$2:$B$8,2,FALSE)&amp;"]")),FALSE)),
IF($G$3="Combined",
IFERROR(
IF(VLOOKUP($A430, YES_Reading_ELA[], COLUMN(INDIRECT("YES_Reading_ELA[Difference - Per "&amp;VLOOKUP($G$4, 'Reading Report Logic'!$A$2:$B$8,2,FALSE)&amp;"]")), FALSE)="", "",
VLOOKUP($A430,YES_Reading_ELA[],COLUMN(INDIRECT("YES_Reading_ELA[Difference - Per "&amp;VLOOKUP($G$4,'Reading Report Logic'!$A$2:$B$8,2,FALSE)&amp;"]")),FALSE)),
IF(VLOOKUP($A430, YES_Reading_FLA[], COLUMN(INDIRECT("YES_Reading_FLA[Difference - Per "&amp;VLOOKUP($G$4, 'Reading Report Logic'!$A$2:$B$8, 2, FALSE)&amp;"]")),FALSE)="", "", VLOOKUP($A430,YES_Reading_FLA[],COLUMN(INDIRECT("YES_Reading_FLA[Difference - Per "&amp;VLOOKUP($G$4, 'Reading Report Logic'!$A$2:$B$8, 2, FALSE)&amp;"]")),FALSE))),""))),"")</f>
        <v/>
      </c>
    </row>
    <row r="431" spans="1:9" x14ac:dyDescent="0.25">
      <c r="A431" s="137"/>
      <c r="B431" s="137" t="str">
        <f>IFERROR(INDEX(_xlfn.VSTACK(YES_Writing_ELA[#Data], YES_Writing_FLA[#Data]),MATCH($A431,_xlfn.VSTACK(YES_Writing_ELA[Student Number], YES_Writing_FLA[Student Number]),0),MATCH(B$7,YES_Writing_ELA[#Headers],0)),IFERROR(INDEX(_xlfn.VSTACK(YES_Reading_ELA[#Data], YES_Reading_FLA[#Data]),MATCH($A431,_xlfn.VSTACK(YES_Reading_ELA[Student Number], YES_Reading_FLA[Student Number]),0),MATCH(B$7,YES_Reading_ELA[#Headers],0)),""))</f>
        <v/>
      </c>
      <c r="C431" s="137" t="str">
        <f>IFERROR(INDEX(_xlfn.VSTACK(YES_Writing_ELA[#Data], YES_Writing_FLA[#Data]),MATCH($A431,_xlfn.VSTACK(YES_Writing_ELA[Student Number], YES_Writing_FLA[Student Number]),0),MATCH(C$7,YES_Writing_ELA[#Headers],0)),IFERROR(INDEX(_xlfn.VSTACK(YES_Reading_ELA[#Data], YES_Reading_FLA[#Data]),MATCH($A431,_xlfn.VSTACK(YES_Reading_ELA[Student Number], YES_Reading_FLA[Student Number]),0),MATCH(C$7,YES_Reading_ELA[#Headers],0)),""))</f>
        <v/>
      </c>
      <c r="D431" s="138" t="str">
        <f>IFERROR(IF(IF(INDEX(_xlfn.VSTACK(YES_Writing_ELA[#Data],YES_Writing_FLA[#Data]),MATCH($A431,_xlfn.VSTACK(YES_Writing_ELA[Student Number],YES_Writing_FLA[Student Number]),0),MATCH(VLOOKUP(D$7,'Writing Logic'!$J$7:$K$11,2,FALSE)&amp;" - Per "&amp;VLOOKUP($C$4,'Writing Logic'!$G$8:$H$14,2,FALSE),YES_Writing_ELA[#Headers],0))=0,"",INDEX(_xlfn.VSTACK(YES_Writing_ELA[#Data],YES_Writing_FLA[#Data]),MATCH($A431,_xlfn.VSTACK(YES_Writing_ELA[Student Number],YES_Writing_FLA[Student Number]),0),MATCH(VLOOKUP(D$7,'Writing Logic'!$J$7:$K$11,2,FALSE)&amp;" - Per "&amp;VLOOKUP($C$4,'Writing Logic'!$G$8:$H$14,2,FALSE),YES_Writing_ELA[#Headers],0)))="INS",'Writing Logic'!$B$7,IF(INDEX(_xlfn.VSTACK(YES_Writing_ELA[#Data],YES_Writing_FLA[#Data]),MATCH($A431,_xlfn.VSTACK(YES_Writing_ELA[Student Number],YES_Writing_FLA[Student Number]),0),MATCH(VLOOKUP(D$7,'Writing Logic'!$J$7:$K$11,2,FALSE)&amp;" - Per "&amp;VLOOKUP($C$4,'Writing Logic'!$G$8:$H$14,2,FALSE),YES_Writing_ELA[#Headers],0))=0,"",INDEX(_xlfn.VSTACK(YES_Writing_ELA[#Data],YES_Writing_FLA[#Data]),MATCH($A431,_xlfn.VSTACK(YES_Writing_ELA[Student Number],YES_Writing_FLA[Student Number]),0),MATCH(VLOOKUP(D$7,'Writing Logic'!$J$7:$K$11,2,FALSE)&amp;" - Per "&amp;VLOOKUP($C$4,'Writing Logic'!$G$8:$H$14,2,FALSE),YES_Writing_ELA[#Headers],0)))),"")</f>
        <v/>
      </c>
      <c r="E431" s="138" t="str">
        <f>IFERROR(IF(IF(INDEX(_xlfn.VSTACK(YES_Writing_ELA[#Data],YES_Writing_FLA[#Data]),MATCH($A431,_xlfn.VSTACK(YES_Writing_ELA[Student Number],YES_Writing_FLA[Student Number]),0),MATCH(VLOOKUP(E$7,'Writing Logic'!$J$7:$K$11,2,FALSE)&amp;" - Per "&amp;VLOOKUP($C$4,'Writing Logic'!$G$8:$H$14,2,FALSE),YES_Writing_ELA[#Headers],0))=0,"",INDEX(_xlfn.VSTACK(YES_Writing_ELA[#Data],YES_Writing_FLA[#Data]),MATCH($A431,_xlfn.VSTACK(YES_Writing_ELA[Student Number],YES_Writing_FLA[Student Number]),0),MATCH(VLOOKUP(E$7,'Writing Logic'!$J$7:$K$11,2,FALSE)&amp;" - Per "&amp;VLOOKUP($C$4,'Writing Logic'!$G$8:$H$14,2,FALSE),YES_Writing_ELA[#Headers],0)))="INS",'Writing Logic'!$B$7,IF(INDEX(_xlfn.VSTACK(YES_Writing_ELA[#Data],YES_Writing_FLA[#Data]),MATCH($A431,_xlfn.VSTACK(YES_Writing_ELA[Student Number],YES_Writing_FLA[Student Number]),0),MATCH(VLOOKUP(E$7,'Writing Logic'!$J$7:$K$11,2,FALSE)&amp;" - Per "&amp;VLOOKUP($C$4,'Writing Logic'!$G$8:$H$14,2,FALSE),YES_Writing_ELA[#Headers],0))=0,"",INDEX(_xlfn.VSTACK(YES_Writing_ELA[#Data],YES_Writing_FLA[#Data]),MATCH($A431,_xlfn.VSTACK(YES_Writing_ELA[Student Number],YES_Writing_FLA[Student Number]),0),MATCH(VLOOKUP(E$7,'Writing Logic'!$J$7:$K$11,2,FALSE)&amp;" - Per "&amp;VLOOKUP($C$4,'Writing Logic'!$G$8:$H$14,2,FALSE),YES_Writing_ELA[#Headers],0)))),"")</f>
        <v/>
      </c>
      <c r="F431" s="138" t="str">
        <f>IFERROR(IF(IF(INDEX(_xlfn.VSTACK(YES_Writing_ELA[#Data],YES_Writing_FLA[#Data]),MATCH($A431,_xlfn.VSTACK(YES_Writing_ELA[Student Number],YES_Writing_FLA[Student Number]),0),MATCH(VLOOKUP(F$7,'Writing Logic'!$J$7:$K$11,2,FALSE)&amp;" - Per "&amp;VLOOKUP($C$4,'Writing Logic'!$G$8:$H$14,2,FALSE),YES_Writing_ELA[#Headers],0))=0,"",INDEX(_xlfn.VSTACK(YES_Writing_ELA[#Data],YES_Writing_FLA[#Data]),MATCH($A431,_xlfn.VSTACK(YES_Writing_ELA[Student Number],YES_Writing_FLA[Student Number]),0),MATCH(VLOOKUP(F$7,'Writing Logic'!$J$7:$K$11,2,FALSE)&amp;" - Per "&amp;VLOOKUP($C$4,'Writing Logic'!$G$8:$H$14,2,FALSE),YES_Writing_ELA[#Headers],0)))="INS",'Writing Logic'!$B$7,IF(INDEX(_xlfn.VSTACK(YES_Writing_ELA[#Data],YES_Writing_FLA[#Data]),MATCH($A431,_xlfn.VSTACK(YES_Writing_ELA[Student Number],YES_Writing_FLA[Student Number]),0),MATCH(VLOOKUP(F$7,'Writing Logic'!$J$7:$K$11,2,FALSE)&amp;" - Per "&amp;VLOOKUP($C$4,'Writing Logic'!$G$8:$H$14,2,FALSE),YES_Writing_ELA[#Headers],0))=0,"",INDEX(_xlfn.VSTACK(YES_Writing_ELA[#Data],YES_Writing_FLA[#Data]),MATCH($A431,_xlfn.VSTACK(YES_Writing_ELA[Student Number],YES_Writing_FLA[Student Number]),0),MATCH(VLOOKUP(F$7,'Writing Logic'!$J$7:$K$11,2,FALSE)&amp;" - Per "&amp;VLOOKUP($C$4,'Writing Logic'!$G$8:$H$14,2,FALSE),YES_Writing_ELA[#Headers],0)))),"")</f>
        <v/>
      </c>
      <c r="G431" s="138" t="str">
        <f>IFERROR(IF(IF(INDEX(_xlfn.VSTACK(YES_Writing_ELA[#Data],YES_Writing_FLA[#Data]),MATCH($A431,_xlfn.VSTACK(YES_Writing_ELA[Student Number],YES_Writing_FLA[Student Number]),0),MATCH(VLOOKUP(G$7,'Writing Logic'!$J$7:$K$11,2,FALSE)&amp;" - Per "&amp;VLOOKUP($C$4,'Writing Logic'!$G$8:$H$14,2,FALSE),YES_Writing_ELA[#Headers],0))=0,"",INDEX(_xlfn.VSTACK(YES_Writing_ELA[#Data],YES_Writing_FLA[#Data]),MATCH($A431,_xlfn.VSTACK(YES_Writing_ELA[Student Number],YES_Writing_FLA[Student Number]),0),MATCH(VLOOKUP(G$7,'Writing Logic'!$J$7:$K$11,2,FALSE)&amp;" - Per "&amp;VLOOKUP($C$4,'Writing Logic'!$G$8:$H$14,2,FALSE),YES_Writing_ELA[#Headers],0)))="INS",'Writing Logic'!$B$7,IF(INDEX(_xlfn.VSTACK(YES_Writing_ELA[#Data],YES_Writing_FLA[#Data]),MATCH($A431,_xlfn.VSTACK(YES_Writing_ELA[Student Number],YES_Writing_FLA[Student Number]),0),MATCH(VLOOKUP(G$7,'Writing Logic'!$J$7:$K$11,2,FALSE)&amp;" - Per "&amp;VLOOKUP($C$4,'Writing Logic'!$G$8:$H$14,2,FALSE),YES_Writing_ELA[#Headers],0))=0,"",INDEX(_xlfn.VSTACK(YES_Writing_ELA[#Data],YES_Writing_FLA[#Data]),MATCH($A431,_xlfn.VSTACK(YES_Writing_ELA[Student Number],YES_Writing_FLA[Student Number]),0),MATCH(VLOOKUP(G$7,'Writing Logic'!$J$7:$K$11,2,FALSE)&amp;" - Per "&amp;VLOOKUP($C$4,'Writing Logic'!$G$8:$H$14,2,FALSE),YES_Writing_ELA[#Headers],0)))),"")</f>
        <v/>
      </c>
      <c r="H431" s="223" t="str">
        <f>IFERROR(IF(IF(INDEX(_xlfn.VSTACK(YES_Writing_ELA[#Data],YES_Writing_FLA[#Data]),MATCH($A431,_xlfn.VSTACK(YES_Writing_ELA[Student Number],YES_Writing_FLA[Student Number]),0),MATCH(VLOOKUP(H$7,'Writing Logic'!$J$7:$K$11,2,FALSE)&amp;" - Per "&amp;VLOOKUP($C$4,'Writing Logic'!$G$8:$H$14,2,FALSE),YES_Writing_ELA[#Headers],0))=0,"",INDEX(_xlfn.VSTACK(YES_Writing_ELA[#Data],YES_Writing_FLA[#Data]),MATCH($A431,_xlfn.VSTACK(YES_Writing_ELA[Student Number],YES_Writing_FLA[Student Number]),0),MATCH(VLOOKUP(H$7,'Writing Logic'!$J$7:$K$11,2,FALSE)&amp;" - Per "&amp;VLOOKUP($C$4,'Writing Logic'!$G$8:$H$14,2,FALSE),YES_Writing_ELA[#Headers],0)))="INS",'Writing Logic'!$B$7,IF(INDEX(_xlfn.VSTACK(YES_Writing_ELA[#Data],YES_Writing_FLA[#Data]),MATCH($A431,_xlfn.VSTACK(YES_Writing_ELA[Student Number],YES_Writing_FLA[Student Number]),0),MATCH(VLOOKUP(H$7,'Writing Logic'!$J$7:$K$11,2,FALSE)&amp;" - Per "&amp;VLOOKUP($C$4,'Writing Logic'!$G$8:$H$14,2,FALSE),YES_Writing_ELA[#Headers],0))=0,"",INDEX(_xlfn.VSTACK(YES_Writing_ELA[#Data],YES_Writing_FLA[#Data]),MATCH($A431,_xlfn.VSTACK(YES_Writing_ELA[Student Number],YES_Writing_FLA[Student Number]),0),MATCH(VLOOKUP(H$7,'Writing Logic'!$J$7:$K$11,2,FALSE)&amp;" - Per "&amp;VLOOKUP($C$4,'Writing Logic'!$G$8:$H$14,2,FALSE),YES_Writing_ELA[#Headers],0)))),"")</f>
        <v/>
      </c>
      <c r="I431" s="224" t="str" cm="1">
        <f t="array" aca="1" ref="I431" ca="1">IFERROR(
IF($G$3="ELA",
IF(VLOOKUP($A431, YES_Reading_ELA[], COLUMN(INDIRECT("YES_Reading_ELA[Difference - Per "&amp;VLOOKUP($G$4, 'Reading Report Logic'!$A$2:$B$8, 2, FALSE)&amp;"]")), FALSE)="", "",
VLOOKUP($A431,YES_Reading_ELA[], COLUMN(INDIRECT("YES_Reading_ELA[Difference - Per "&amp;VLOOKUP($G$4,'Reading Report Logic'!$A$2:$B$8,2,FALSE)&amp;"]")), FALSE)),
IF($G$3="FLA",
IF(VLOOKUP($A431, YES_Reading_FLA[], COLUMN(INDIRECT("YES_Reading_FLA[Difference - Per "&amp;VLOOKUP($G$4,'Reading Report Logic'!$A$2:$B$8,2,FALSE)&amp;"]")),FALSE)="","",
VLOOKUP($A431,YES_Reading_FLA[],COLUMN(INDIRECT("YES_Reading_FLA[Difference - Per "&amp;VLOOKUP($G$4,'Reading Report Logic'!$A$2:$B$8,2,FALSE)&amp;"]")),FALSE)),
IF($G$3="Combined",
IFERROR(
IF(VLOOKUP($A431, YES_Reading_ELA[], COLUMN(INDIRECT("YES_Reading_ELA[Difference - Per "&amp;VLOOKUP($G$4, 'Reading Report Logic'!$A$2:$B$8,2,FALSE)&amp;"]")), FALSE)="", "",
VLOOKUP($A431,YES_Reading_ELA[],COLUMN(INDIRECT("YES_Reading_ELA[Difference - Per "&amp;VLOOKUP($G$4,'Reading Report Logic'!$A$2:$B$8,2,FALSE)&amp;"]")),FALSE)),
IF(VLOOKUP($A431, YES_Reading_FLA[], COLUMN(INDIRECT("YES_Reading_FLA[Difference - Per "&amp;VLOOKUP($G$4, 'Reading Report Logic'!$A$2:$B$8, 2, FALSE)&amp;"]")),FALSE)="", "", VLOOKUP($A431,YES_Reading_FLA[],COLUMN(INDIRECT("YES_Reading_FLA[Difference - Per "&amp;VLOOKUP($G$4, 'Reading Report Logic'!$A$2:$B$8, 2, FALSE)&amp;"]")),FALSE))),""))),"")</f>
        <v/>
      </c>
    </row>
    <row r="432" spans="1:9" x14ac:dyDescent="0.25">
      <c r="A432" s="137"/>
      <c r="B432" s="137" t="str">
        <f>IFERROR(INDEX(_xlfn.VSTACK(YES_Writing_ELA[#Data], YES_Writing_FLA[#Data]),MATCH($A432,_xlfn.VSTACK(YES_Writing_ELA[Student Number], YES_Writing_FLA[Student Number]),0),MATCH(B$7,YES_Writing_ELA[#Headers],0)),IFERROR(INDEX(_xlfn.VSTACK(YES_Reading_ELA[#Data], YES_Reading_FLA[#Data]),MATCH($A432,_xlfn.VSTACK(YES_Reading_ELA[Student Number], YES_Reading_FLA[Student Number]),0),MATCH(B$7,YES_Reading_ELA[#Headers],0)),""))</f>
        <v/>
      </c>
      <c r="C432" s="137" t="str">
        <f>IFERROR(INDEX(_xlfn.VSTACK(YES_Writing_ELA[#Data], YES_Writing_FLA[#Data]),MATCH($A432,_xlfn.VSTACK(YES_Writing_ELA[Student Number], YES_Writing_FLA[Student Number]),0),MATCH(C$7,YES_Writing_ELA[#Headers],0)),IFERROR(INDEX(_xlfn.VSTACK(YES_Reading_ELA[#Data], YES_Reading_FLA[#Data]),MATCH($A432,_xlfn.VSTACK(YES_Reading_ELA[Student Number], YES_Reading_FLA[Student Number]),0),MATCH(C$7,YES_Reading_ELA[#Headers],0)),""))</f>
        <v/>
      </c>
      <c r="D432" s="138" t="str">
        <f>IFERROR(IF(IF(INDEX(_xlfn.VSTACK(YES_Writing_ELA[#Data],YES_Writing_FLA[#Data]),MATCH($A432,_xlfn.VSTACK(YES_Writing_ELA[Student Number],YES_Writing_FLA[Student Number]),0),MATCH(VLOOKUP(D$7,'Writing Logic'!$J$7:$K$11,2,FALSE)&amp;" - Per "&amp;VLOOKUP($C$4,'Writing Logic'!$G$8:$H$14,2,FALSE),YES_Writing_ELA[#Headers],0))=0,"",INDEX(_xlfn.VSTACK(YES_Writing_ELA[#Data],YES_Writing_FLA[#Data]),MATCH($A432,_xlfn.VSTACK(YES_Writing_ELA[Student Number],YES_Writing_FLA[Student Number]),0),MATCH(VLOOKUP(D$7,'Writing Logic'!$J$7:$K$11,2,FALSE)&amp;" - Per "&amp;VLOOKUP($C$4,'Writing Logic'!$G$8:$H$14,2,FALSE),YES_Writing_ELA[#Headers],0)))="INS",'Writing Logic'!$B$7,IF(INDEX(_xlfn.VSTACK(YES_Writing_ELA[#Data],YES_Writing_FLA[#Data]),MATCH($A432,_xlfn.VSTACK(YES_Writing_ELA[Student Number],YES_Writing_FLA[Student Number]),0),MATCH(VLOOKUP(D$7,'Writing Logic'!$J$7:$K$11,2,FALSE)&amp;" - Per "&amp;VLOOKUP($C$4,'Writing Logic'!$G$8:$H$14,2,FALSE),YES_Writing_ELA[#Headers],0))=0,"",INDEX(_xlfn.VSTACK(YES_Writing_ELA[#Data],YES_Writing_FLA[#Data]),MATCH($A432,_xlfn.VSTACK(YES_Writing_ELA[Student Number],YES_Writing_FLA[Student Number]),0),MATCH(VLOOKUP(D$7,'Writing Logic'!$J$7:$K$11,2,FALSE)&amp;" - Per "&amp;VLOOKUP($C$4,'Writing Logic'!$G$8:$H$14,2,FALSE),YES_Writing_ELA[#Headers],0)))),"")</f>
        <v/>
      </c>
      <c r="E432" s="138" t="str">
        <f>IFERROR(IF(IF(INDEX(_xlfn.VSTACK(YES_Writing_ELA[#Data],YES_Writing_FLA[#Data]),MATCH($A432,_xlfn.VSTACK(YES_Writing_ELA[Student Number],YES_Writing_FLA[Student Number]),0),MATCH(VLOOKUP(E$7,'Writing Logic'!$J$7:$K$11,2,FALSE)&amp;" - Per "&amp;VLOOKUP($C$4,'Writing Logic'!$G$8:$H$14,2,FALSE),YES_Writing_ELA[#Headers],0))=0,"",INDEX(_xlfn.VSTACK(YES_Writing_ELA[#Data],YES_Writing_FLA[#Data]),MATCH($A432,_xlfn.VSTACK(YES_Writing_ELA[Student Number],YES_Writing_FLA[Student Number]),0),MATCH(VLOOKUP(E$7,'Writing Logic'!$J$7:$K$11,2,FALSE)&amp;" - Per "&amp;VLOOKUP($C$4,'Writing Logic'!$G$8:$H$14,2,FALSE),YES_Writing_ELA[#Headers],0)))="INS",'Writing Logic'!$B$7,IF(INDEX(_xlfn.VSTACK(YES_Writing_ELA[#Data],YES_Writing_FLA[#Data]),MATCH($A432,_xlfn.VSTACK(YES_Writing_ELA[Student Number],YES_Writing_FLA[Student Number]),0),MATCH(VLOOKUP(E$7,'Writing Logic'!$J$7:$K$11,2,FALSE)&amp;" - Per "&amp;VLOOKUP($C$4,'Writing Logic'!$G$8:$H$14,2,FALSE),YES_Writing_ELA[#Headers],0))=0,"",INDEX(_xlfn.VSTACK(YES_Writing_ELA[#Data],YES_Writing_FLA[#Data]),MATCH($A432,_xlfn.VSTACK(YES_Writing_ELA[Student Number],YES_Writing_FLA[Student Number]),0),MATCH(VLOOKUP(E$7,'Writing Logic'!$J$7:$K$11,2,FALSE)&amp;" - Per "&amp;VLOOKUP($C$4,'Writing Logic'!$G$8:$H$14,2,FALSE),YES_Writing_ELA[#Headers],0)))),"")</f>
        <v/>
      </c>
      <c r="F432" s="138" t="str">
        <f>IFERROR(IF(IF(INDEX(_xlfn.VSTACK(YES_Writing_ELA[#Data],YES_Writing_FLA[#Data]),MATCH($A432,_xlfn.VSTACK(YES_Writing_ELA[Student Number],YES_Writing_FLA[Student Number]),0),MATCH(VLOOKUP(F$7,'Writing Logic'!$J$7:$K$11,2,FALSE)&amp;" - Per "&amp;VLOOKUP($C$4,'Writing Logic'!$G$8:$H$14,2,FALSE),YES_Writing_ELA[#Headers],0))=0,"",INDEX(_xlfn.VSTACK(YES_Writing_ELA[#Data],YES_Writing_FLA[#Data]),MATCH($A432,_xlfn.VSTACK(YES_Writing_ELA[Student Number],YES_Writing_FLA[Student Number]),0),MATCH(VLOOKUP(F$7,'Writing Logic'!$J$7:$K$11,2,FALSE)&amp;" - Per "&amp;VLOOKUP($C$4,'Writing Logic'!$G$8:$H$14,2,FALSE),YES_Writing_ELA[#Headers],0)))="INS",'Writing Logic'!$B$7,IF(INDEX(_xlfn.VSTACK(YES_Writing_ELA[#Data],YES_Writing_FLA[#Data]),MATCH($A432,_xlfn.VSTACK(YES_Writing_ELA[Student Number],YES_Writing_FLA[Student Number]),0),MATCH(VLOOKUP(F$7,'Writing Logic'!$J$7:$K$11,2,FALSE)&amp;" - Per "&amp;VLOOKUP($C$4,'Writing Logic'!$G$8:$H$14,2,FALSE),YES_Writing_ELA[#Headers],0))=0,"",INDEX(_xlfn.VSTACK(YES_Writing_ELA[#Data],YES_Writing_FLA[#Data]),MATCH($A432,_xlfn.VSTACK(YES_Writing_ELA[Student Number],YES_Writing_FLA[Student Number]),0),MATCH(VLOOKUP(F$7,'Writing Logic'!$J$7:$K$11,2,FALSE)&amp;" - Per "&amp;VLOOKUP($C$4,'Writing Logic'!$G$8:$H$14,2,FALSE),YES_Writing_ELA[#Headers],0)))),"")</f>
        <v/>
      </c>
      <c r="G432" s="138" t="str">
        <f>IFERROR(IF(IF(INDEX(_xlfn.VSTACK(YES_Writing_ELA[#Data],YES_Writing_FLA[#Data]),MATCH($A432,_xlfn.VSTACK(YES_Writing_ELA[Student Number],YES_Writing_FLA[Student Number]),0),MATCH(VLOOKUP(G$7,'Writing Logic'!$J$7:$K$11,2,FALSE)&amp;" - Per "&amp;VLOOKUP($C$4,'Writing Logic'!$G$8:$H$14,2,FALSE),YES_Writing_ELA[#Headers],0))=0,"",INDEX(_xlfn.VSTACK(YES_Writing_ELA[#Data],YES_Writing_FLA[#Data]),MATCH($A432,_xlfn.VSTACK(YES_Writing_ELA[Student Number],YES_Writing_FLA[Student Number]),0),MATCH(VLOOKUP(G$7,'Writing Logic'!$J$7:$K$11,2,FALSE)&amp;" - Per "&amp;VLOOKUP($C$4,'Writing Logic'!$G$8:$H$14,2,FALSE),YES_Writing_ELA[#Headers],0)))="INS",'Writing Logic'!$B$7,IF(INDEX(_xlfn.VSTACK(YES_Writing_ELA[#Data],YES_Writing_FLA[#Data]),MATCH($A432,_xlfn.VSTACK(YES_Writing_ELA[Student Number],YES_Writing_FLA[Student Number]),0),MATCH(VLOOKUP(G$7,'Writing Logic'!$J$7:$K$11,2,FALSE)&amp;" - Per "&amp;VLOOKUP($C$4,'Writing Logic'!$G$8:$H$14,2,FALSE),YES_Writing_ELA[#Headers],0))=0,"",INDEX(_xlfn.VSTACK(YES_Writing_ELA[#Data],YES_Writing_FLA[#Data]),MATCH($A432,_xlfn.VSTACK(YES_Writing_ELA[Student Number],YES_Writing_FLA[Student Number]),0),MATCH(VLOOKUP(G$7,'Writing Logic'!$J$7:$K$11,2,FALSE)&amp;" - Per "&amp;VLOOKUP($C$4,'Writing Logic'!$G$8:$H$14,2,FALSE),YES_Writing_ELA[#Headers],0)))),"")</f>
        <v/>
      </c>
      <c r="H432" s="223" t="str">
        <f>IFERROR(IF(IF(INDEX(_xlfn.VSTACK(YES_Writing_ELA[#Data],YES_Writing_FLA[#Data]),MATCH($A432,_xlfn.VSTACK(YES_Writing_ELA[Student Number],YES_Writing_FLA[Student Number]),0),MATCH(VLOOKUP(H$7,'Writing Logic'!$J$7:$K$11,2,FALSE)&amp;" - Per "&amp;VLOOKUP($C$4,'Writing Logic'!$G$8:$H$14,2,FALSE),YES_Writing_ELA[#Headers],0))=0,"",INDEX(_xlfn.VSTACK(YES_Writing_ELA[#Data],YES_Writing_FLA[#Data]),MATCH($A432,_xlfn.VSTACK(YES_Writing_ELA[Student Number],YES_Writing_FLA[Student Number]),0),MATCH(VLOOKUP(H$7,'Writing Logic'!$J$7:$K$11,2,FALSE)&amp;" - Per "&amp;VLOOKUP($C$4,'Writing Logic'!$G$8:$H$14,2,FALSE),YES_Writing_ELA[#Headers],0)))="INS",'Writing Logic'!$B$7,IF(INDEX(_xlfn.VSTACK(YES_Writing_ELA[#Data],YES_Writing_FLA[#Data]),MATCH($A432,_xlfn.VSTACK(YES_Writing_ELA[Student Number],YES_Writing_FLA[Student Number]),0),MATCH(VLOOKUP(H$7,'Writing Logic'!$J$7:$K$11,2,FALSE)&amp;" - Per "&amp;VLOOKUP($C$4,'Writing Logic'!$G$8:$H$14,2,FALSE),YES_Writing_ELA[#Headers],0))=0,"",INDEX(_xlfn.VSTACK(YES_Writing_ELA[#Data],YES_Writing_FLA[#Data]),MATCH($A432,_xlfn.VSTACK(YES_Writing_ELA[Student Number],YES_Writing_FLA[Student Number]),0),MATCH(VLOOKUP(H$7,'Writing Logic'!$J$7:$K$11,2,FALSE)&amp;" - Per "&amp;VLOOKUP($C$4,'Writing Logic'!$G$8:$H$14,2,FALSE),YES_Writing_ELA[#Headers],0)))),"")</f>
        <v/>
      </c>
      <c r="I432" s="224" t="str" cm="1">
        <f t="array" aca="1" ref="I432" ca="1">IFERROR(
IF($G$3="ELA",
IF(VLOOKUP($A432, YES_Reading_ELA[], COLUMN(INDIRECT("YES_Reading_ELA[Difference - Per "&amp;VLOOKUP($G$4, 'Reading Report Logic'!$A$2:$B$8, 2, FALSE)&amp;"]")), FALSE)="", "",
VLOOKUP($A432,YES_Reading_ELA[], COLUMN(INDIRECT("YES_Reading_ELA[Difference - Per "&amp;VLOOKUP($G$4,'Reading Report Logic'!$A$2:$B$8,2,FALSE)&amp;"]")), FALSE)),
IF($G$3="FLA",
IF(VLOOKUP($A432, YES_Reading_FLA[], COLUMN(INDIRECT("YES_Reading_FLA[Difference - Per "&amp;VLOOKUP($G$4,'Reading Report Logic'!$A$2:$B$8,2,FALSE)&amp;"]")),FALSE)="","",
VLOOKUP($A432,YES_Reading_FLA[],COLUMN(INDIRECT("YES_Reading_FLA[Difference - Per "&amp;VLOOKUP($G$4,'Reading Report Logic'!$A$2:$B$8,2,FALSE)&amp;"]")),FALSE)),
IF($G$3="Combined",
IFERROR(
IF(VLOOKUP($A432, YES_Reading_ELA[], COLUMN(INDIRECT("YES_Reading_ELA[Difference - Per "&amp;VLOOKUP($G$4, 'Reading Report Logic'!$A$2:$B$8,2,FALSE)&amp;"]")), FALSE)="", "",
VLOOKUP($A432,YES_Reading_ELA[],COLUMN(INDIRECT("YES_Reading_ELA[Difference - Per "&amp;VLOOKUP($G$4,'Reading Report Logic'!$A$2:$B$8,2,FALSE)&amp;"]")),FALSE)),
IF(VLOOKUP($A432, YES_Reading_FLA[], COLUMN(INDIRECT("YES_Reading_FLA[Difference - Per "&amp;VLOOKUP($G$4, 'Reading Report Logic'!$A$2:$B$8, 2, FALSE)&amp;"]")),FALSE)="", "", VLOOKUP($A432,YES_Reading_FLA[],COLUMN(INDIRECT("YES_Reading_FLA[Difference - Per "&amp;VLOOKUP($G$4, 'Reading Report Logic'!$A$2:$B$8, 2, FALSE)&amp;"]")),FALSE))),""))),"")</f>
        <v/>
      </c>
    </row>
    <row r="433" spans="1:9" x14ac:dyDescent="0.25">
      <c r="A433" s="137"/>
      <c r="B433" s="137" t="str">
        <f>IFERROR(INDEX(_xlfn.VSTACK(YES_Writing_ELA[#Data], YES_Writing_FLA[#Data]),MATCH($A433,_xlfn.VSTACK(YES_Writing_ELA[Student Number], YES_Writing_FLA[Student Number]),0),MATCH(B$7,YES_Writing_ELA[#Headers],0)),IFERROR(INDEX(_xlfn.VSTACK(YES_Reading_ELA[#Data], YES_Reading_FLA[#Data]),MATCH($A433,_xlfn.VSTACK(YES_Reading_ELA[Student Number], YES_Reading_FLA[Student Number]),0),MATCH(B$7,YES_Reading_ELA[#Headers],0)),""))</f>
        <v/>
      </c>
      <c r="C433" s="137" t="str">
        <f>IFERROR(INDEX(_xlfn.VSTACK(YES_Writing_ELA[#Data], YES_Writing_FLA[#Data]),MATCH($A433,_xlfn.VSTACK(YES_Writing_ELA[Student Number], YES_Writing_FLA[Student Number]),0),MATCH(C$7,YES_Writing_ELA[#Headers],0)),IFERROR(INDEX(_xlfn.VSTACK(YES_Reading_ELA[#Data], YES_Reading_FLA[#Data]),MATCH($A433,_xlfn.VSTACK(YES_Reading_ELA[Student Number], YES_Reading_FLA[Student Number]),0),MATCH(C$7,YES_Reading_ELA[#Headers],0)),""))</f>
        <v/>
      </c>
      <c r="D433" s="138" t="str">
        <f>IFERROR(IF(IF(INDEX(_xlfn.VSTACK(YES_Writing_ELA[#Data],YES_Writing_FLA[#Data]),MATCH($A433,_xlfn.VSTACK(YES_Writing_ELA[Student Number],YES_Writing_FLA[Student Number]),0),MATCH(VLOOKUP(D$7,'Writing Logic'!$J$7:$K$11,2,FALSE)&amp;" - Per "&amp;VLOOKUP($C$4,'Writing Logic'!$G$8:$H$14,2,FALSE),YES_Writing_ELA[#Headers],0))=0,"",INDEX(_xlfn.VSTACK(YES_Writing_ELA[#Data],YES_Writing_FLA[#Data]),MATCH($A433,_xlfn.VSTACK(YES_Writing_ELA[Student Number],YES_Writing_FLA[Student Number]),0),MATCH(VLOOKUP(D$7,'Writing Logic'!$J$7:$K$11,2,FALSE)&amp;" - Per "&amp;VLOOKUP($C$4,'Writing Logic'!$G$8:$H$14,2,FALSE),YES_Writing_ELA[#Headers],0)))="INS",'Writing Logic'!$B$7,IF(INDEX(_xlfn.VSTACK(YES_Writing_ELA[#Data],YES_Writing_FLA[#Data]),MATCH($A433,_xlfn.VSTACK(YES_Writing_ELA[Student Number],YES_Writing_FLA[Student Number]),0),MATCH(VLOOKUP(D$7,'Writing Logic'!$J$7:$K$11,2,FALSE)&amp;" - Per "&amp;VLOOKUP($C$4,'Writing Logic'!$G$8:$H$14,2,FALSE),YES_Writing_ELA[#Headers],0))=0,"",INDEX(_xlfn.VSTACK(YES_Writing_ELA[#Data],YES_Writing_FLA[#Data]),MATCH($A433,_xlfn.VSTACK(YES_Writing_ELA[Student Number],YES_Writing_FLA[Student Number]),0),MATCH(VLOOKUP(D$7,'Writing Logic'!$J$7:$K$11,2,FALSE)&amp;" - Per "&amp;VLOOKUP($C$4,'Writing Logic'!$G$8:$H$14,2,FALSE),YES_Writing_ELA[#Headers],0)))),"")</f>
        <v/>
      </c>
      <c r="E433" s="138" t="str">
        <f>IFERROR(IF(IF(INDEX(_xlfn.VSTACK(YES_Writing_ELA[#Data],YES_Writing_FLA[#Data]),MATCH($A433,_xlfn.VSTACK(YES_Writing_ELA[Student Number],YES_Writing_FLA[Student Number]),0),MATCH(VLOOKUP(E$7,'Writing Logic'!$J$7:$K$11,2,FALSE)&amp;" - Per "&amp;VLOOKUP($C$4,'Writing Logic'!$G$8:$H$14,2,FALSE),YES_Writing_ELA[#Headers],0))=0,"",INDEX(_xlfn.VSTACK(YES_Writing_ELA[#Data],YES_Writing_FLA[#Data]),MATCH($A433,_xlfn.VSTACK(YES_Writing_ELA[Student Number],YES_Writing_FLA[Student Number]),0),MATCH(VLOOKUP(E$7,'Writing Logic'!$J$7:$K$11,2,FALSE)&amp;" - Per "&amp;VLOOKUP($C$4,'Writing Logic'!$G$8:$H$14,2,FALSE),YES_Writing_ELA[#Headers],0)))="INS",'Writing Logic'!$B$7,IF(INDEX(_xlfn.VSTACK(YES_Writing_ELA[#Data],YES_Writing_FLA[#Data]),MATCH($A433,_xlfn.VSTACK(YES_Writing_ELA[Student Number],YES_Writing_FLA[Student Number]),0),MATCH(VLOOKUP(E$7,'Writing Logic'!$J$7:$K$11,2,FALSE)&amp;" - Per "&amp;VLOOKUP($C$4,'Writing Logic'!$G$8:$H$14,2,FALSE),YES_Writing_ELA[#Headers],0))=0,"",INDEX(_xlfn.VSTACK(YES_Writing_ELA[#Data],YES_Writing_FLA[#Data]),MATCH($A433,_xlfn.VSTACK(YES_Writing_ELA[Student Number],YES_Writing_FLA[Student Number]),0),MATCH(VLOOKUP(E$7,'Writing Logic'!$J$7:$K$11,2,FALSE)&amp;" - Per "&amp;VLOOKUP($C$4,'Writing Logic'!$G$8:$H$14,2,FALSE),YES_Writing_ELA[#Headers],0)))),"")</f>
        <v/>
      </c>
      <c r="F433" s="138" t="str">
        <f>IFERROR(IF(IF(INDEX(_xlfn.VSTACK(YES_Writing_ELA[#Data],YES_Writing_FLA[#Data]),MATCH($A433,_xlfn.VSTACK(YES_Writing_ELA[Student Number],YES_Writing_FLA[Student Number]),0),MATCH(VLOOKUP(F$7,'Writing Logic'!$J$7:$K$11,2,FALSE)&amp;" - Per "&amp;VLOOKUP($C$4,'Writing Logic'!$G$8:$H$14,2,FALSE),YES_Writing_ELA[#Headers],0))=0,"",INDEX(_xlfn.VSTACK(YES_Writing_ELA[#Data],YES_Writing_FLA[#Data]),MATCH($A433,_xlfn.VSTACK(YES_Writing_ELA[Student Number],YES_Writing_FLA[Student Number]),0),MATCH(VLOOKUP(F$7,'Writing Logic'!$J$7:$K$11,2,FALSE)&amp;" - Per "&amp;VLOOKUP($C$4,'Writing Logic'!$G$8:$H$14,2,FALSE),YES_Writing_ELA[#Headers],0)))="INS",'Writing Logic'!$B$7,IF(INDEX(_xlfn.VSTACK(YES_Writing_ELA[#Data],YES_Writing_FLA[#Data]),MATCH($A433,_xlfn.VSTACK(YES_Writing_ELA[Student Number],YES_Writing_FLA[Student Number]),0),MATCH(VLOOKUP(F$7,'Writing Logic'!$J$7:$K$11,2,FALSE)&amp;" - Per "&amp;VLOOKUP($C$4,'Writing Logic'!$G$8:$H$14,2,FALSE),YES_Writing_ELA[#Headers],0))=0,"",INDEX(_xlfn.VSTACK(YES_Writing_ELA[#Data],YES_Writing_FLA[#Data]),MATCH($A433,_xlfn.VSTACK(YES_Writing_ELA[Student Number],YES_Writing_FLA[Student Number]),0),MATCH(VLOOKUP(F$7,'Writing Logic'!$J$7:$K$11,2,FALSE)&amp;" - Per "&amp;VLOOKUP($C$4,'Writing Logic'!$G$8:$H$14,2,FALSE),YES_Writing_ELA[#Headers],0)))),"")</f>
        <v/>
      </c>
      <c r="G433" s="138" t="str">
        <f>IFERROR(IF(IF(INDEX(_xlfn.VSTACK(YES_Writing_ELA[#Data],YES_Writing_FLA[#Data]),MATCH($A433,_xlfn.VSTACK(YES_Writing_ELA[Student Number],YES_Writing_FLA[Student Number]),0),MATCH(VLOOKUP(G$7,'Writing Logic'!$J$7:$K$11,2,FALSE)&amp;" - Per "&amp;VLOOKUP($C$4,'Writing Logic'!$G$8:$H$14,2,FALSE),YES_Writing_ELA[#Headers],0))=0,"",INDEX(_xlfn.VSTACK(YES_Writing_ELA[#Data],YES_Writing_FLA[#Data]),MATCH($A433,_xlfn.VSTACK(YES_Writing_ELA[Student Number],YES_Writing_FLA[Student Number]),0),MATCH(VLOOKUP(G$7,'Writing Logic'!$J$7:$K$11,2,FALSE)&amp;" - Per "&amp;VLOOKUP($C$4,'Writing Logic'!$G$8:$H$14,2,FALSE),YES_Writing_ELA[#Headers],0)))="INS",'Writing Logic'!$B$7,IF(INDEX(_xlfn.VSTACK(YES_Writing_ELA[#Data],YES_Writing_FLA[#Data]),MATCH($A433,_xlfn.VSTACK(YES_Writing_ELA[Student Number],YES_Writing_FLA[Student Number]),0),MATCH(VLOOKUP(G$7,'Writing Logic'!$J$7:$K$11,2,FALSE)&amp;" - Per "&amp;VLOOKUP($C$4,'Writing Logic'!$G$8:$H$14,2,FALSE),YES_Writing_ELA[#Headers],0))=0,"",INDEX(_xlfn.VSTACK(YES_Writing_ELA[#Data],YES_Writing_FLA[#Data]),MATCH($A433,_xlfn.VSTACK(YES_Writing_ELA[Student Number],YES_Writing_FLA[Student Number]),0),MATCH(VLOOKUP(G$7,'Writing Logic'!$J$7:$K$11,2,FALSE)&amp;" - Per "&amp;VLOOKUP($C$4,'Writing Logic'!$G$8:$H$14,2,FALSE),YES_Writing_ELA[#Headers],0)))),"")</f>
        <v/>
      </c>
      <c r="H433" s="223" t="str">
        <f>IFERROR(IF(IF(INDEX(_xlfn.VSTACK(YES_Writing_ELA[#Data],YES_Writing_FLA[#Data]),MATCH($A433,_xlfn.VSTACK(YES_Writing_ELA[Student Number],YES_Writing_FLA[Student Number]),0),MATCH(VLOOKUP(H$7,'Writing Logic'!$J$7:$K$11,2,FALSE)&amp;" - Per "&amp;VLOOKUP($C$4,'Writing Logic'!$G$8:$H$14,2,FALSE),YES_Writing_ELA[#Headers],0))=0,"",INDEX(_xlfn.VSTACK(YES_Writing_ELA[#Data],YES_Writing_FLA[#Data]),MATCH($A433,_xlfn.VSTACK(YES_Writing_ELA[Student Number],YES_Writing_FLA[Student Number]),0),MATCH(VLOOKUP(H$7,'Writing Logic'!$J$7:$K$11,2,FALSE)&amp;" - Per "&amp;VLOOKUP($C$4,'Writing Logic'!$G$8:$H$14,2,FALSE),YES_Writing_ELA[#Headers],0)))="INS",'Writing Logic'!$B$7,IF(INDEX(_xlfn.VSTACK(YES_Writing_ELA[#Data],YES_Writing_FLA[#Data]),MATCH($A433,_xlfn.VSTACK(YES_Writing_ELA[Student Number],YES_Writing_FLA[Student Number]),0),MATCH(VLOOKUP(H$7,'Writing Logic'!$J$7:$K$11,2,FALSE)&amp;" - Per "&amp;VLOOKUP($C$4,'Writing Logic'!$G$8:$H$14,2,FALSE),YES_Writing_ELA[#Headers],0))=0,"",INDEX(_xlfn.VSTACK(YES_Writing_ELA[#Data],YES_Writing_FLA[#Data]),MATCH($A433,_xlfn.VSTACK(YES_Writing_ELA[Student Number],YES_Writing_FLA[Student Number]),0),MATCH(VLOOKUP(H$7,'Writing Logic'!$J$7:$K$11,2,FALSE)&amp;" - Per "&amp;VLOOKUP($C$4,'Writing Logic'!$G$8:$H$14,2,FALSE),YES_Writing_ELA[#Headers],0)))),"")</f>
        <v/>
      </c>
      <c r="I433" s="224" t="str" cm="1">
        <f t="array" aca="1" ref="I433" ca="1">IFERROR(
IF($G$3="ELA",
IF(VLOOKUP($A433, YES_Reading_ELA[], COLUMN(INDIRECT("YES_Reading_ELA[Difference - Per "&amp;VLOOKUP($G$4, 'Reading Report Logic'!$A$2:$B$8, 2, FALSE)&amp;"]")), FALSE)="", "",
VLOOKUP($A433,YES_Reading_ELA[], COLUMN(INDIRECT("YES_Reading_ELA[Difference - Per "&amp;VLOOKUP($G$4,'Reading Report Logic'!$A$2:$B$8,2,FALSE)&amp;"]")), FALSE)),
IF($G$3="FLA",
IF(VLOOKUP($A433, YES_Reading_FLA[], COLUMN(INDIRECT("YES_Reading_FLA[Difference - Per "&amp;VLOOKUP($G$4,'Reading Report Logic'!$A$2:$B$8,2,FALSE)&amp;"]")),FALSE)="","",
VLOOKUP($A433,YES_Reading_FLA[],COLUMN(INDIRECT("YES_Reading_FLA[Difference - Per "&amp;VLOOKUP($G$4,'Reading Report Logic'!$A$2:$B$8,2,FALSE)&amp;"]")),FALSE)),
IF($G$3="Combined",
IFERROR(
IF(VLOOKUP($A433, YES_Reading_ELA[], COLUMN(INDIRECT("YES_Reading_ELA[Difference - Per "&amp;VLOOKUP($G$4, 'Reading Report Logic'!$A$2:$B$8,2,FALSE)&amp;"]")), FALSE)="", "",
VLOOKUP($A433,YES_Reading_ELA[],COLUMN(INDIRECT("YES_Reading_ELA[Difference - Per "&amp;VLOOKUP($G$4,'Reading Report Logic'!$A$2:$B$8,2,FALSE)&amp;"]")),FALSE)),
IF(VLOOKUP($A433, YES_Reading_FLA[], COLUMN(INDIRECT("YES_Reading_FLA[Difference - Per "&amp;VLOOKUP($G$4, 'Reading Report Logic'!$A$2:$B$8, 2, FALSE)&amp;"]")),FALSE)="", "", VLOOKUP($A433,YES_Reading_FLA[],COLUMN(INDIRECT("YES_Reading_FLA[Difference - Per "&amp;VLOOKUP($G$4, 'Reading Report Logic'!$A$2:$B$8, 2, FALSE)&amp;"]")),FALSE))),""))),"")</f>
        <v/>
      </c>
    </row>
    <row r="434" spans="1:9" x14ac:dyDescent="0.25">
      <c r="A434" s="137"/>
      <c r="B434" s="137" t="str">
        <f>IFERROR(INDEX(_xlfn.VSTACK(YES_Writing_ELA[#Data], YES_Writing_FLA[#Data]),MATCH($A434,_xlfn.VSTACK(YES_Writing_ELA[Student Number], YES_Writing_FLA[Student Number]),0),MATCH(B$7,YES_Writing_ELA[#Headers],0)),IFERROR(INDEX(_xlfn.VSTACK(YES_Reading_ELA[#Data], YES_Reading_FLA[#Data]),MATCH($A434,_xlfn.VSTACK(YES_Reading_ELA[Student Number], YES_Reading_FLA[Student Number]),0),MATCH(B$7,YES_Reading_ELA[#Headers],0)),""))</f>
        <v/>
      </c>
      <c r="C434" s="137" t="str">
        <f>IFERROR(INDEX(_xlfn.VSTACK(YES_Writing_ELA[#Data], YES_Writing_FLA[#Data]),MATCH($A434,_xlfn.VSTACK(YES_Writing_ELA[Student Number], YES_Writing_FLA[Student Number]),0),MATCH(C$7,YES_Writing_ELA[#Headers],0)),IFERROR(INDEX(_xlfn.VSTACK(YES_Reading_ELA[#Data], YES_Reading_FLA[#Data]),MATCH($A434,_xlfn.VSTACK(YES_Reading_ELA[Student Number], YES_Reading_FLA[Student Number]),0),MATCH(C$7,YES_Reading_ELA[#Headers],0)),""))</f>
        <v/>
      </c>
      <c r="D434" s="138" t="str">
        <f>IFERROR(IF(IF(INDEX(_xlfn.VSTACK(YES_Writing_ELA[#Data],YES_Writing_FLA[#Data]),MATCH($A434,_xlfn.VSTACK(YES_Writing_ELA[Student Number],YES_Writing_FLA[Student Number]),0),MATCH(VLOOKUP(D$7,'Writing Logic'!$J$7:$K$11,2,FALSE)&amp;" - Per "&amp;VLOOKUP($C$4,'Writing Logic'!$G$8:$H$14,2,FALSE),YES_Writing_ELA[#Headers],0))=0,"",INDEX(_xlfn.VSTACK(YES_Writing_ELA[#Data],YES_Writing_FLA[#Data]),MATCH($A434,_xlfn.VSTACK(YES_Writing_ELA[Student Number],YES_Writing_FLA[Student Number]),0),MATCH(VLOOKUP(D$7,'Writing Logic'!$J$7:$K$11,2,FALSE)&amp;" - Per "&amp;VLOOKUP($C$4,'Writing Logic'!$G$8:$H$14,2,FALSE),YES_Writing_ELA[#Headers],0)))="INS",'Writing Logic'!$B$7,IF(INDEX(_xlfn.VSTACK(YES_Writing_ELA[#Data],YES_Writing_FLA[#Data]),MATCH($A434,_xlfn.VSTACK(YES_Writing_ELA[Student Number],YES_Writing_FLA[Student Number]),0),MATCH(VLOOKUP(D$7,'Writing Logic'!$J$7:$K$11,2,FALSE)&amp;" - Per "&amp;VLOOKUP($C$4,'Writing Logic'!$G$8:$H$14,2,FALSE),YES_Writing_ELA[#Headers],0))=0,"",INDEX(_xlfn.VSTACK(YES_Writing_ELA[#Data],YES_Writing_FLA[#Data]),MATCH($A434,_xlfn.VSTACK(YES_Writing_ELA[Student Number],YES_Writing_FLA[Student Number]),0),MATCH(VLOOKUP(D$7,'Writing Logic'!$J$7:$K$11,2,FALSE)&amp;" - Per "&amp;VLOOKUP($C$4,'Writing Logic'!$G$8:$H$14,2,FALSE),YES_Writing_ELA[#Headers],0)))),"")</f>
        <v/>
      </c>
      <c r="E434" s="138" t="str">
        <f>IFERROR(IF(IF(INDEX(_xlfn.VSTACK(YES_Writing_ELA[#Data],YES_Writing_FLA[#Data]),MATCH($A434,_xlfn.VSTACK(YES_Writing_ELA[Student Number],YES_Writing_FLA[Student Number]),0),MATCH(VLOOKUP(E$7,'Writing Logic'!$J$7:$K$11,2,FALSE)&amp;" - Per "&amp;VLOOKUP($C$4,'Writing Logic'!$G$8:$H$14,2,FALSE),YES_Writing_ELA[#Headers],0))=0,"",INDEX(_xlfn.VSTACK(YES_Writing_ELA[#Data],YES_Writing_FLA[#Data]),MATCH($A434,_xlfn.VSTACK(YES_Writing_ELA[Student Number],YES_Writing_FLA[Student Number]),0),MATCH(VLOOKUP(E$7,'Writing Logic'!$J$7:$K$11,2,FALSE)&amp;" - Per "&amp;VLOOKUP($C$4,'Writing Logic'!$G$8:$H$14,2,FALSE),YES_Writing_ELA[#Headers],0)))="INS",'Writing Logic'!$B$7,IF(INDEX(_xlfn.VSTACK(YES_Writing_ELA[#Data],YES_Writing_FLA[#Data]),MATCH($A434,_xlfn.VSTACK(YES_Writing_ELA[Student Number],YES_Writing_FLA[Student Number]),0),MATCH(VLOOKUP(E$7,'Writing Logic'!$J$7:$K$11,2,FALSE)&amp;" - Per "&amp;VLOOKUP($C$4,'Writing Logic'!$G$8:$H$14,2,FALSE),YES_Writing_ELA[#Headers],0))=0,"",INDEX(_xlfn.VSTACK(YES_Writing_ELA[#Data],YES_Writing_FLA[#Data]),MATCH($A434,_xlfn.VSTACK(YES_Writing_ELA[Student Number],YES_Writing_FLA[Student Number]),0),MATCH(VLOOKUP(E$7,'Writing Logic'!$J$7:$K$11,2,FALSE)&amp;" - Per "&amp;VLOOKUP($C$4,'Writing Logic'!$G$8:$H$14,2,FALSE),YES_Writing_ELA[#Headers],0)))),"")</f>
        <v/>
      </c>
      <c r="F434" s="138" t="str">
        <f>IFERROR(IF(IF(INDEX(_xlfn.VSTACK(YES_Writing_ELA[#Data],YES_Writing_FLA[#Data]),MATCH($A434,_xlfn.VSTACK(YES_Writing_ELA[Student Number],YES_Writing_FLA[Student Number]),0),MATCH(VLOOKUP(F$7,'Writing Logic'!$J$7:$K$11,2,FALSE)&amp;" - Per "&amp;VLOOKUP($C$4,'Writing Logic'!$G$8:$H$14,2,FALSE),YES_Writing_ELA[#Headers],0))=0,"",INDEX(_xlfn.VSTACK(YES_Writing_ELA[#Data],YES_Writing_FLA[#Data]),MATCH($A434,_xlfn.VSTACK(YES_Writing_ELA[Student Number],YES_Writing_FLA[Student Number]),0),MATCH(VLOOKUP(F$7,'Writing Logic'!$J$7:$K$11,2,FALSE)&amp;" - Per "&amp;VLOOKUP($C$4,'Writing Logic'!$G$8:$H$14,2,FALSE),YES_Writing_ELA[#Headers],0)))="INS",'Writing Logic'!$B$7,IF(INDEX(_xlfn.VSTACK(YES_Writing_ELA[#Data],YES_Writing_FLA[#Data]),MATCH($A434,_xlfn.VSTACK(YES_Writing_ELA[Student Number],YES_Writing_FLA[Student Number]),0),MATCH(VLOOKUP(F$7,'Writing Logic'!$J$7:$K$11,2,FALSE)&amp;" - Per "&amp;VLOOKUP($C$4,'Writing Logic'!$G$8:$H$14,2,FALSE),YES_Writing_ELA[#Headers],0))=0,"",INDEX(_xlfn.VSTACK(YES_Writing_ELA[#Data],YES_Writing_FLA[#Data]),MATCH($A434,_xlfn.VSTACK(YES_Writing_ELA[Student Number],YES_Writing_FLA[Student Number]),0),MATCH(VLOOKUP(F$7,'Writing Logic'!$J$7:$K$11,2,FALSE)&amp;" - Per "&amp;VLOOKUP($C$4,'Writing Logic'!$G$8:$H$14,2,FALSE),YES_Writing_ELA[#Headers],0)))),"")</f>
        <v/>
      </c>
      <c r="G434" s="138" t="str">
        <f>IFERROR(IF(IF(INDEX(_xlfn.VSTACK(YES_Writing_ELA[#Data],YES_Writing_FLA[#Data]),MATCH($A434,_xlfn.VSTACK(YES_Writing_ELA[Student Number],YES_Writing_FLA[Student Number]),0),MATCH(VLOOKUP(G$7,'Writing Logic'!$J$7:$K$11,2,FALSE)&amp;" - Per "&amp;VLOOKUP($C$4,'Writing Logic'!$G$8:$H$14,2,FALSE),YES_Writing_ELA[#Headers],0))=0,"",INDEX(_xlfn.VSTACK(YES_Writing_ELA[#Data],YES_Writing_FLA[#Data]),MATCH($A434,_xlfn.VSTACK(YES_Writing_ELA[Student Number],YES_Writing_FLA[Student Number]),0),MATCH(VLOOKUP(G$7,'Writing Logic'!$J$7:$K$11,2,FALSE)&amp;" - Per "&amp;VLOOKUP($C$4,'Writing Logic'!$G$8:$H$14,2,FALSE),YES_Writing_ELA[#Headers],0)))="INS",'Writing Logic'!$B$7,IF(INDEX(_xlfn.VSTACK(YES_Writing_ELA[#Data],YES_Writing_FLA[#Data]),MATCH($A434,_xlfn.VSTACK(YES_Writing_ELA[Student Number],YES_Writing_FLA[Student Number]),0),MATCH(VLOOKUP(G$7,'Writing Logic'!$J$7:$K$11,2,FALSE)&amp;" - Per "&amp;VLOOKUP($C$4,'Writing Logic'!$G$8:$H$14,2,FALSE),YES_Writing_ELA[#Headers],0))=0,"",INDEX(_xlfn.VSTACK(YES_Writing_ELA[#Data],YES_Writing_FLA[#Data]),MATCH($A434,_xlfn.VSTACK(YES_Writing_ELA[Student Number],YES_Writing_FLA[Student Number]),0),MATCH(VLOOKUP(G$7,'Writing Logic'!$J$7:$K$11,2,FALSE)&amp;" - Per "&amp;VLOOKUP($C$4,'Writing Logic'!$G$8:$H$14,2,FALSE),YES_Writing_ELA[#Headers],0)))),"")</f>
        <v/>
      </c>
      <c r="H434" s="223" t="str">
        <f>IFERROR(IF(IF(INDEX(_xlfn.VSTACK(YES_Writing_ELA[#Data],YES_Writing_FLA[#Data]),MATCH($A434,_xlfn.VSTACK(YES_Writing_ELA[Student Number],YES_Writing_FLA[Student Number]),0),MATCH(VLOOKUP(H$7,'Writing Logic'!$J$7:$K$11,2,FALSE)&amp;" - Per "&amp;VLOOKUP($C$4,'Writing Logic'!$G$8:$H$14,2,FALSE),YES_Writing_ELA[#Headers],0))=0,"",INDEX(_xlfn.VSTACK(YES_Writing_ELA[#Data],YES_Writing_FLA[#Data]),MATCH($A434,_xlfn.VSTACK(YES_Writing_ELA[Student Number],YES_Writing_FLA[Student Number]),0),MATCH(VLOOKUP(H$7,'Writing Logic'!$J$7:$K$11,2,FALSE)&amp;" - Per "&amp;VLOOKUP($C$4,'Writing Logic'!$G$8:$H$14,2,FALSE),YES_Writing_ELA[#Headers],0)))="INS",'Writing Logic'!$B$7,IF(INDEX(_xlfn.VSTACK(YES_Writing_ELA[#Data],YES_Writing_FLA[#Data]),MATCH($A434,_xlfn.VSTACK(YES_Writing_ELA[Student Number],YES_Writing_FLA[Student Number]),0),MATCH(VLOOKUP(H$7,'Writing Logic'!$J$7:$K$11,2,FALSE)&amp;" - Per "&amp;VLOOKUP($C$4,'Writing Logic'!$G$8:$H$14,2,FALSE),YES_Writing_ELA[#Headers],0))=0,"",INDEX(_xlfn.VSTACK(YES_Writing_ELA[#Data],YES_Writing_FLA[#Data]),MATCH($A434,_xlfn.VSTACK(YES_Writing_ELA[Student Number],YES_Writing_FLA[Student Number]),0),MATCH(VLOOKUP(H$7,'Writing Logic'!$J$7:$K$11,2,FALSE)&amp;" - Per "&amp;VLOOKUP($C$4,'Writing Logic'!$G$8:$H$14,2,FALSE),YES_Writing_ELA[#Headers],0)))),"")</f>
        <v/>
      </c>
      <c r="I434" s="224" t="str" cm="1">
        <f t="array" aca="1" ref="I434" ca="1">IFERROR(
IF($G$3="ELA",
IF(VLOOKUP($A434, YES_Reading_ELA[], COLUMN(INDIRECT("YES_Reading_ELA[Difference - Per "&amp;VLOOKUP($G$4, 'Reading Report Logic'!$A$2:$B$8, 2, FALSE)&amp;"]")), FALSE)="", "",
VLOOKUP($A434,YES_Reading_ELA[], COLUMN(INDIRECT("YES_Reading_ELA[Difference - Per "&amp;VLOOKUP($G$4,'Reading Report Logic'!$A$2:$B$8,2,FALSE)&amp;"]")), FALSE)),
IF($G$3="FLA",
IF(VLOOKUP($A434, YES_Reading_FLA[], COLUMN(INDIRECT("YES_Reading_FLA[Difference - Per "&amp;VLOOKUP($G$4,'Reading Report Logic'!$A$2:$B$8,2,FALSE)&amp;"]")),FALSE)="","",
VLOOKUP($A434,YES_Reading_FLA[],COLUMN(INDIRECT("YES_Reading_FLA[Difference - Per "&amp;VLOOKUP($G$4,'Reading Report Logic'!$A$2:$B$8,2,FALSE)&amp;"]")),FALSE)),
IF($G$3="Combined",
IFERROR(
IF(VLOOKUP($A434, YES_Reading_ELA[], COLUMN(INDIRECT("YES_Reading_ELA[Difference - Per "&amp;VLOOKUP($G$4, 'Reading Report Logic'!$A$2:$B$8,2,FALSE)&amp;"]")), FALSE)="", "",
VLOOKUP($A434,YES_Reading_ELA[],COLUMN(INDIRECT("YES_Reading_ELA[Difference - Per "&amp;VLOOKUP($G$4,'Reading Report Logic'!$A$2:$B$8,2,FALSE)&amp;"]")),FALSE)),
IF(VLOOKUP($A434, YES_Reading_FLA[], COLUMN(INDIRECT("YES_Reading_FLA[Difference - Per "&amp;VLOOKUP($G$4, 'Reading Report Logic'!$A$2:$B$8, 2, FALSE)&amp;"]")),FALSE)="", "", VLOOKUP($A434,YES_Reading_FLA[],COLUMN(INDIRECT("YES_Reading_FLA[Difference - Per "&amp;VLOOKUP($G$4, 'Reading Report Logic'!$A$2:$B$8, 2, FALSE)&amp;"]")),FALSE))),""))),"")</f>
        <v/>
      </c>
    </row>
    <row r="435" spans="1:9" x14ac:dyDescent="0.25">
      <c r="A435" s="137"/>
      <c r="B435" s="137" t="str">
        <f>IFERROR(INDEX(_xlfn.VSTACK(YES_Writing_ELA[#Data], YES_Writing_FLA[#Data]),MATCH($A435,_xlfn.VSTACK(YES_Writing_ELA[Student Number], YES_Writing_FLA[Student Number]),0),MATCH(B$7,YES_Writing_ELA[#Headers],0)),IFERROR(INDEX(_xlfn.VSTACK(YES_Reading_ELA[#Data], YES_Reading_FLA[#Data]),MATCH($A435,_xlfn.VSTACK(YES_Reading_ELA[Student Number], YES_Reading_FLA[Student Number]),0),MATCH(B$7,YES_Reading_ELA[#Headers],0)),""))</f>
        <v/>
      </c>
      <c r="C435" s="137" t="str">
        <f>IFERROR(INDEX(_xlfn.VSTACK(YES_Writing_ELA[#Data], YES_Writing_FLA[#Data]),MATCH($A435,_xlfn.VSTACK(YES_Writing_ELA[Student Number], YES_Writing_FLA[Student Number]),0),MATCH(C$7,YES_Writing_ELA[#Headers],0)),IFERROR(INDEX(_xlfn.VSTACK(YES_Reading_ELA[#Data], YES_Reading_FLA[#Data]),MATCH($A435,_xlfn.VSTACK(YES_Reading_ELA[Student Number], YES_Reading_FLA[Student Number]),0),MATCH(C$7,YES_Reading_ELA[#Headers],0)),""))</f>
        <v/>
      </c>
      <c r="D435" s="138" t="str">
        <f>IFERROR(IF(IF(INDEX(_xlfn.VSTACK(YES_Writing_ELA[#Data],YES_Writing_FLA[#Data]),MATCH($A435,_xlfn.VSTACK(YES_Writing_ELA[Student Number],YES_Writing_FLA[Student Number]),0),MATCH(VLOOKUP(D$7,'Writing Logic'!$J$7:$K$11,2,FALSE)&amp;" - Per "&amp;VLOOKUP($C$4,'Writing Logic'!$G$8:$H$14,2,FALSE),YES_Writing_ELA[#Headers],0))=0,"",INDEX(_xlfn.VSTACK(YES_Writing_ELA[#Data],YES_Writing_FLA[#Data]),MATCH($A435,_xlfn.VSTACK(YES_Writing_ELA[Student Number],YES_Writing_FLA[Student Number]),0),MATCH(VLOOKUP(D$7,'Writing Logic'!$J$7:$K$11,2,FALSE)&amp;" - Per "&amp;VLOOKUP($C$4,'Writing Logic'!$G$8:$H$14,2,FALSE),YES_Writing_ELA[#Headers],0)))="INS",'Writing Logic'!$B$7,IF(INDEX(_xlfn.VSTACK(YES_Writing_ELA[#Data],YES_Writing_FLA[#Data]),MATCH($A435,_xlfn.VSTACK(YES_Writing_ELA[Student Number],YES_Writing_FLA[Student Number]),0),MATCH(VLOOKUP(D$7,'Writing Logic'!$J$7:$K$11,2,FALSE)&amp;" - Per "&amp;VLOOKUP($C$4,'Writing Logic'!$G$8:$H$14,2,FALSE),YES_Writing_ELA[#Headers],0))=0,"",INDEX(_xlfn.VSTACK(YES_Writing_ELA[#Data],YES_Writing_FLA[#Data]),MATCH($A435,_xlfn.VSTACK(YES_Writing_ELA[Student Number],YES_Writing_FLA[Student Number]),0),MATCH(VLOOKUP(D$7,'Writing Logic'!$J$7:$K$11,2,FALSE)&amp;" - Per "&amp;VLOOKUP($C$4,'Writing Logic'!$G$8:$H$14,2,FALSE),YES_Writing_ELA[#Headers],0)))),"")</f>
        <v/>
      </c>
      <c r="E435" s="138" t="str">
        <f>IFERROR(IF(IF(INDEX(_xlfn.VSTACK(YES_Writing_ELA[#Data],YES_Writing_FLA[#Data]),MATCH($A435,_xlfn.VSTACK(YES_Writing_ELA[Student Number],YES_Writing_FLA[Student Number]),0),MATCH(VLOOKUP(E$7,'Writing Logic'!$J$7:$K$11,2,FALSE)&amp;" - Per "&amp;VLOOKUP($C$4,'Writing Logic'!$G$8:$H$14,2,FALSE),YES_Writing_ELA[#Headers],0))=0,"",INDEX(_xlfn.VSTACK(YES_Writing_ELA[#Data],YES_Writing_FLA[#Data]),MATCH($A435,_xlfn.VSTACK(YES_Writing_ELA[Student Number],YES_Writing_FLA[Student Number]),0),MATCH(VLOOKUP(E$7,'Writing Logic'!$J$7:$K$11,2,FALSE)&amp;" - Per "&amp;VLOOKUP($C$4,'Writing Logic'!$G$8:$H$14,2,FALSE),YES_Writing_ELA[#Headers],0)))="INS",'Writing Logic'!$B$7,IF(INDEX(_xlfn.VSTACK(YES_Writing_ELA[#Data],YES_Writing_FLA[#Data]),MATCH($A435,_xlfn.VSTACK(YES_Writing_ELA[Student Number],YES_Writing_FLA[Student Number]),0),MATCH(VLOOKUP(E$7,'Writing Logic'!$J$7:$K$11,2,FALSE)&amp;" - Per "&amp;VLOOKUP($C$4,'Writing Logic'!$G$8:$H$14,2,FALSE),YES_Writing_ELA[#Headers],0))=0,"",INDEX(_xlfn.VSTACK(YES_Writing_ELA[#Data],YES_Writing_FLA[#Data]),MATCH($A435,_xlfn.VSTACK(YES_Writing_ELA[Student Number],YES_Writing_FLA[Student Number]),0),MATCH(VLOOKUP(E$7,'Writing Logic'!$J$7:$K$11,2,FALSE)&amp;" - Per "&amp;VLOOKUP($C$4,'Writing Logic'!$G$8:$H$14,2,FALSE),YES_Writing_ELA[#Headers],0)))),"")</f>
        <v/>
      </c>
      <c r="F435" s="138" t="str">
        <f>IFERROR(IF(IF(INDEX(_xlfn.VSTACK(YES_Writing_ELA[#Data],YES_Writing_FLA[#Data]),MATCH($A435,_xlfn.VSTACK(YES_Writing_ELA[Student Number],YES_Writing_FLA[Student Number]),0),MATCH(VLOOKUP(F$7,'Writing Logic'!$J$7:$K$11,2,FALSE)&amp;" - Per "&amp;VLOOKUP($C$4,'Writing Logic'!$G$8:$H$14,2,FALSE),YES_Writing_ELA[#Headers],0))=0,"",INDEX(_xlfn.VSTACK(YES_Writing_ELA[#Data],YES_Writing_FLA[#Data]),MATCH($A435,_xlfn.VSTACK(YES_Writing_ELA[Student Number],YES_Writing_FLA[Student Number]),0),MATCH(VLOOKUP(F$7,'Writing Logic'!$J$7:$K$11,2,FALSE)&amp;" - Per "&amp;VLOOKUP($C$4,'Writing Logic'!$G$8:$H$14,2,FALSE),YES_Writing_ELA[#Headers],0)))="INS",'Writing Logic'!$B$7,IF(INDEX(_xlfn.VSTACK(YES_Writing_ELA[#Data],YES_Writing_FLA[#Data]),MATCH($A435,_xlfn.VSTACK(YES_Writing_ELA[Student Number],YES_Writing_FLA[Student Number]),0),MATCH(VLOOKUP(F$7,'Writing Logic'!$J$7:$K$11,2,FALSE)&amp;" - Per "&amp;VLOOKUP($C$4,'Writing Logic'!$G$8:$H$14,2,FALSE),YES_Writing_ELA[#Headers],0))=0,"",INDEX(_xlfn.VSTACK(YES_Writing_ELA[#Data],YES_Writing_FLA[#Data]),MATCH($A435,_xlfn.VSTACK(YES_Writing_ELA[Student Number],YES_Writing_FLA[Student Number]),0),MATCH(VLOOKUP(F$7,'Writing Logic'!$J$7:$K$11,2,FALSE)&amp;" - Per "&amp;VLOOKUP($C$4,'Writing Logic'!$G$8:$H$14,2,FALSE),YES_Writing_ELA[#Headers],0)))),"")</f>
        <v/>
      </c>
      <c r="G435" s="138" t="str">
        <f>IFERROR(IF(IF(INDEX(_xlfn.VSTACK(YES_Writing_ELA[#Data],YES_Writing_FLA[#Data]),MATCH($A435,_xlfn.VSTACK(YES_Writing_ELA[Student Number],YES_Writing_FLA[Student Number]),0),MATCH(VLOOKUP(G$7,'Writing Logic'!$J$7:$K$11,2,FALSE)&amp;" - Per "&amp;VLOOKUP($C$4,'Writing Logic'!$G$8:$H$14,2,FALSE),YES_Writing_ELA[#Headers],0))=0,"",INDEX(_xlfn.VSTACK(YES_Writing_ELA[#Data],YES_Writing_FLA[#Data]),MATCH($A435,_xlfn.VSTACK(YES_Writing_ELA[Student Number],YES_Writing_FLA[Student Number]),0),MATCH(VLOOKUP(G$7,'Writing Logic'!$J$7:$K$11,2,FALSE)&amp;" - Per "&amp;VLOOKUP($C$4,'Writing Logic'!$G$8:$H$14,2,FALSE),YES_Writing_ELA[#Headers],0)))="INS",'Writing Logic'!$B$7,IF(INDEX(_xlfn.VSTACK(YES_Writing_ELA[#Data],YES_Writing_FLA[#Data]),MATCH($A435,_xlfn.VSTACK(YES_Writing_ELA[Student Number],YES_Writing_FLA[Student Number]),0),MATCH(VLOOKUP(G$7,'Writing Logic'!$J$7:$K$11,2,FALSE)&amp;" - Per "&amp;VLOOKUP($C$4,'Writing Logic'!$G$8:$H$14,2,FALSE),YES_Writing_ELA[#Headers],0))=0,"",INDEX(_xlfn.VSTACK(YES_Writing_ELA[#Data],YES_Writing_FLA[#Data]),MATCH($A435,_xlfn.VSTACK(YES_Writing_ELA[Student Number],YES_Writing_FLA[Student Number]),0),MATCH(VLOOKUP(G$7,'Writing Logic'!$J$7:$K$11,2,FALSE)&amp;" - Per "&amp;VLOOKUP($C$4,'Writing Logic'!$G$8:$H$14,2,FALSE),YES_Writing_ELA[#Headers],0)))),"")</f>
        <v/>
      </c>
      <c r="H435" s="223" t="str">
        <f>IFERROR(IF(IF(INDEX(_xlfn.VSTACK(YES_Writing_ELA[#Data],YES_Writing_FLA[#Data]),MATCH($A435,_xlfn.VSTACK(YES_Writing_ELA[Student Number],YES_Writing_FLA[Student Number]),0),MATCH(VLOOKUP(H$7,'Writing Logic'!$J$7:$K$11,2,FALSE)&amp;" - Per "&amp;VLOOKUP($C$4,'Writing Logic'!$G$8:$H$14,2,FALSE),YES_Writing_ELA[#Headers],0))=0,"",INDEX(_xlfn.VSTACK(YES_Writing_ELA[#Data],YES_Writing_FLA[#Data]),MATCH($A435,_xlfn.VSTACK(YES_Writing_ELA[Student Number],YES_Writing_FLA[Student Number]),0),MATCH(VLOOKUP(H$7,'Writing Logic'!$J$7:$K$11,2,FALSE)&amp;" - Per "&amp;VLOOKUP($C$4,'Writing Logic'!$G$8:$H$14,2,FALSE),YES_Writing_ELA[#Headers],0)))="INS",'Writing Logic'!$B$7,IF(INDEX(_xlfn.VSTACK(YES_Writing_ELA[#Data],YES_Writing_FLA[#Data]),MATCH($A435,_xlfn.VSTACK(YES_Writing_ELA[Student Number],YES_Writing_FLA[Student Number]),0),MATCH(VLOOKUP(H$7,'Writing Logic'!$J$7:$K$11,2,FALSE)&amp;" - Per "&amp;VLOOKUP($C$4,'Writing Logic'!$G$8:$H$14,2,FALSE),YES_Writing_ELA[#Headers],0))=0,"",INDEX(_xlfn.VSTACK(YES_Writing_ELA[#Data],YES_Writing_FLA[#Data]),MATCH($A435,_xlfn.VSTACK(YES_Writing_ELA[Student Number],YES_Writing_FLA[Student Number]),0),MATCH(VLOOKUP(H$7,'Writing Logic'!$J$7:$K$11,2,FALSE)&amp;" - Per "&amp;VLOOKUP($C$4,'Writing Logic'!$G$8:$H$14,2,FALSE),YES_Writing_ELA[#Headers],0)))),"")</f>
        <v/>
      </c>
      <c r="I435" s="224" t="str" cm="1">
        <f t="array" aca="1" ref="I435" ca="1">IFERROR(
IF($G$3="ELA",
IF(VLOOKUP($A435, YES_Reading_ELA[], COLUMN(INDIRECT("YES_Reading_ELA[Difference - Per "&amp;VLOOKUP($G$4, 'Reading Report Logic'!$A$2:$B$8, 2, FALSE)&amp;"]")), FALSE)="", "",
VLOOKUP($A435,YES_Reading_ELA[], COLUMN(INDIRECT("YES_Reading_ELA[Difference - Per "&amp;VLOOKUP($G$4,'Reading Report Logic'!$A$2:$B$8,2,FALSE)&amp;"]")), FALSE)),
IF($G$3="FLA",
IF(VLOOKUP($A435, YES_Reading_FLA[], COLUMN(INDIRECT("YES_Reading_FLA[Difference - Per "&amp;VLOOKUP($G$4,'Reading Report Logic'!$A$2:$B$8,2,FALSE)&amp;"]")),FALSE)="","",
VLOOKUP($A435,YES_Reading_FLA[],COLUMN(INDIRECT("YES_Reading_FLA[Difference - Per "&amp;VLOOKUP($G$4,'Reading Report Logic'!$A$2:$B$8,2,FALSE)&amp;"]")),FALSE)),
IF($G$3="Combined",
IFERROR(
IF(VLOOKUP($A435, YES_Reading_ELA[], COLUMN(INDIRECT("YES_Reading_ELA[Difference - Per "&amp;VLOOKUP($G$4, 'Reading Report Logic'!$A$2:$B$8,2,FALSE)&amp;"]")), FALSE)="", "",
VLOOKUP($A435,YES_Reading_ELA[],COLUMN(INDIRECT("YES_Reading_ELA[Difference - Per "&amp;VLOOKUP($G$4,'Reading Report Logic'!$A$2:$B$8,2,FALSE)&amp;"]")),FALSE)),
IF(VLOOKUP($A435, YES_Reading_FLA[], COLUMN(INDIRECT("YES_Reading_FLA[Difference - Per "&amp;VLOOKUP($G$4, 'Reading Report Logic'!$A$2:$B$8, 2, FALSE)&amp;"]")),FALSE)="", "", VLOOKUP($A435,YES_Reading_FLA[],COLUMN(INDIRECT("YES_Reading_FLA[Difference - Per "&amp;VLOOKUP($G$4, 'Reading Report Logic'!$A$2:$B$8, 2, FALSE)&amp;"]")),FALSE))),""))),"")</f>
        <v/>
      </c>
    </row>
    <row r="436" spans="1:9" x14ac:dyDescent="0.25">
      <c r="A436" s="137"/>
      <c r="B436" s="137" t="str">
        <f>IFERROR(INDEX(_xlfn.VSTACK(YES_Writing_ELA[#Data], YES_Writing_FLA[#Data]),MATCH($A436,_xlfn.VSTACK(YES_Writing_ELA[Student Number], YES_Writing_FLA[Student Number]),0),MATCH(B$7,YES_Writing_ELA[#Headers],0)),IFERROR(INDEX(_xlfn.VSTACK(YES_Reading_ELA[#Data], YES_Reading_FLA[#Data]),MATCH($A436,_xlfn.VSTACK(YES_Reading_ELA[Student Number], YES_Reading_FLA[Student Number]),0),MATCH(B$7,YES_Reading_ELA[#Headers],0)),""))</f>
        <v/>
      </c>
      <c r="C436" s="137" t="str">
        <f>IFERROR(INDEX(_xlfn.VSTACK(YES_Writing_ELA[#Data], YES_Writing_FLA[#Data]),MATCH($A436,_xlfn.VSTACK(YES_Writing_ELA[Student Number], YES_Writing_FLA[Student Number]),0),MATCH(C$7,YES_Writing_ELA[#Headers],0)),IFERROR(INDEX(_xlfn.VSTACK(YES_Reading_ELA[#Data], YES_Reading_FLA[#Data]),MATCH($A436,_xlfn.VSTACK(YES_Reading_ELA[Student Number], YES_Reading_FLA[Student Number]),0),MATCH(C$7,YES_Reading_ELA[#Headers],0)),""))</f>
        <v/>
      </c>
      <c r="D436" s="138" t="str">
        <f>IFERROR(IF(IF(INDEX(_xlfn.VSTACK(YES_Writing_ELA[#Data],YES_Writing_FLA[#Data]),MATCH($A436,_xlfn.VSTACK(YES_Writing_ELA[Student Number],YES_Writing_FLA[Student Number]),0),MATCH(VLOOKUP(D$7,'Writing Logic'!$J$7:$K$11,2,FALSE)&amp;" - Per "&amp;VLOOKUP($C$4,'Writing Logic'!$G$8:$H$14,2,FALSE),YES_Writing_ELA[#Headers],0))=0,"",INDEX(_xlfn.VSTACK(YES_Writing_ELA[#Data],YES_Writing_FLA[#Data]),MATCH($A436,_xlfn.VSTACK(YES_Writing_ELA[Student Number],YES_Writing_FLA[Student Number]),0),MATCH(VLOOKUP(D$7,'Writing Logic'!$J$7:$K$11,2,FALSE)&amp;" - Per "&amp;VLOOKUP($C$4,'Writing Logic'!$G$8:$H$14,2,FALSE),YES_Writing_ELA[#Headers],0)))="INS",'Writing Logic'!$B$7,IF(INDEX(_xlfn.VSTACK(YES_Writing_ELA[#Data],YES_Writing_FLA[#Data]),MATCH($A436,_xlfn.VSTACK(YES_Writing_ELA[Student Number],YES_Writing_FLA[Student Number]),0),MATCH(VLOOKUP(D$7,'Writing Logic'!$J$7:$K$11,2,FALSE)&amp;" - Per "&amp;VLOOKUP($C$4,'Writing Logic'!$G$8:$H$14,2,FALSE),YES_Writing_ELA[#Headers],0))=0,"",INDEX(_xlfn.VSTACK(YES_Writing_ELA[#Data],YES_Writing_FLA[#Data]),MATCH($A436,_xlfn.VSTACK(YES_Writing_ELA[Student Number],YES_Writing_FLA[Student Number]),0),MATCH(VLOOKUP(D$7,'Writing Logic'!$J$7:$K$11,2,FALSE)&amp;" - Per "&amp;VLOOKUP($C$4,'Writing Logic'!$G$8:$H$14,2,FALSE),YES_Writing_ELA[#Headers],0)))),"")</f>
        <v/>
      </c>
      <c r="E436" s="138" t="str">
        <f>IFERROR(IF(IF(INDEX(_xlfn.VSTACK(YES_Writing_ELA[#Data],YES_Writing_FLA[#Data]),MATCH($A436,_xlfn.VSTACK(YES_Writing_ELA[Student Number],YES_Writing_FLA[Student Number]),0),MATCH(VLOOKUP(E$7,'Writing Logic'!$J$7:$K$11,2,FALSE)&amp;" - Per "&amp;VLOOKUP($C$4,'Writing Logic'!$G$8:$H$14,2,FALSE),YES_Writing_ELA[#Headers],0))=0,"",INDEX(_xlfn.VSTACK(YES_Writing_ELA[#Data],YES_Writing_FLA[#Data]),MATCH($A436,_xlfn.VSTACK(YES_Writing_ELA[Student Number],YES_Writing_FLA[Student Number]),0),MATCH(VLOOKUP(E$7,'Writing Logic'!$J$7:$K$11,2,FALSE)&amp;" - Per "&amp;VLOOKUP($C$4,'Writing Logic'!$G$8:$H$14,2,FALSE),YES_Writing_ELA[#Headers],0)))="INS",'Writing Logic'!$B$7,IF(INDEX(_xlfn.VSTACK(YES_Writing_ELA[#Data],YES_Writing_FLA[#Data]),MATCH($A436,_xlfn.VSTACK(YES_Writing_ELA[Student Number],YES_Writing_FLA[Student Number]),0),MATCH(VLOOKUP(E$7,'Writing Logic'!$J$7:$K$11,2,FALSE)&amp;" - Per "&amp;VLOOKUP($C$4,'Writing Logic'!$G$8:$H$14,2,FALSE),YES_Writing_ELA[#Headers],0))=0,"",INDEX(_xlfn.VSTACK(YES_Writing_ELA[#Data],YES_Writing_FLA[#Data]),MATCH($A436,_xlfn.VSTACK(YES_Writing_ELA[Student Number],YES_Writing_FLA[Student Number]),0),MATCH(VLOOKUP(E$7,'Writing Logic'!$J$7:$K$11,2,FALSE)&amp;" - Per "&amp;VLOOKUP($C$4,'Writing Logic'!$G$8:$H$14,2,FALSE),YES_Writing_ELA[#Headers],0)))),"")</f>
        <v/>
      </c>
      <c r="F436" s="138" t="str">
        <f>IFERROR(IF(IF(INDEX(_xlfn.VSTACK(YES_Writing_ELA[#Data],YES_Writing_FLA[#Data]),MATCH($A436,_xlfn.VSTACK(YES_Writing_ELA[Student Number],YES_Writing_FLA[Student Number]),0),MATCH(VLOOKUP(F$7,'Writing Logic'!$J$7:$K$11,2,FALSE)&amp;" - Per "&amp;VLOOKUP($C$4,'Writing Logic'!$G$8:$H$14,2,FALSE),YES_Writing_ELA[#Headers],0))=0,"",INDEX(_xlfn.VSTACK(YES_Writing_ELA[#Data],YES_Writing_FLA[#Data]),MATCH($A436,_xlfn.VSTACK(YES_Writing_ELA[Student Number],YES_Writing_FLA[Student Number]),0),MATCH(VLOOKUP(F$7,'Writing Logic'!$J$7:$K$11,2,FALSE)&amp;" - Per "&amp;VLOOKUP($C$4,'Writing Logic'!$G$8:$H$14,2,FALSE),YES_Writing_ELA[#Headers],0)))="INS",'Writing Logic'!$B$7,IF(INDEX(_xlfn.VSTACK(YES_Writing_ELA[#Data],YES_Writing_FLA[#Data]),MATCH($A436,_xlfn.VSTACK(YES_Writing_ELA[Student Number],YES_Writing_FLA[Student Number]),0),MATCH(VLOOKUP(F$7,'Writing Logic'!$J$7:$K$11,2,FALSE)&amp;" - Per "&amp;VLOOKUP($C$4,'Writing Logic'!$G$8:$H$14,2,FALSE),YES_Writing_ELA[#Headers],0))=0,"",INDEX(_xlfn.VSTACK(YES_Writing_ELA[#Data],YES_Writing_FLA[#Data]),MATCH($A436,_xlfn.VSTACK(YES_Writing_ELA[Student Number],YES_Writing_FLA[Student Number]),0),MATCH(VLOOKUP(F$7,'Writing Logic'!$J$7:$K$11,2,FALSE)&amp;" - Per "&amp;VLOOKUP($C$4,'Writing Logic'!$G$8:$H$14,2,FALSE),YES_Writing_ELA[#Headers],0)))),"")</f>
        <v/>
      </c>
      <c r="G436" s="138" t="str">
        <f>IFERROR(IF(IF(INDEX(_xlfn.VSTACK(YES_Writing_ELA[#Data],YES_Writing_FLA[#Data]),MATCH($A436,_xlfn.VSTACK(YES_Writing_ELA[Student Number],YES_Writing_FLA[Student Number]),0),MATCH(VLOOKUP(G$7,'Writing Logic'!$J$7:$K$11,2,FALSE)&amp;" - Per "&amp;VLOOKUP($C$4,'Writing Logic'!$G$8:$H$14,2,FALSE),YES_Writing_ELA[#Headers],0))=0,"",INDEX(_xlfn.VSTACK(YES_Writing_ELA[#Data],YES_Writing_FLA[#Data]),MATCH($A436,_xlfn.VSTACK(YES_Writing_ELA[Student Number],YES_Writing_FLA[Student Number]),0),MATCH(VLOOKUP(G$7,'Writing Logic'!$J$7:$K$11,2,FALSE)&amp;" - Per "&amp;VLOOKUP($C$4,'Writing Logic'!$G$8:$H$14,2,FALSE),YES_Writing_ELA[#Headers],0)))="INS",'Writing Logic'!$B$7,IF(INDEX(_xlfn.VSTACK(YES_Writing_ELA[#Data],YES_Writing_FLA[#Data]),MATCH($A436,_xlfn.VSTACK(YES_Writing_ELA[Student Number],YES_Writing_FLA[Student Number]),0),MATCH(VLOOKUP(G$7,'Writing Logic'!$J$7:$K$11,2,FALSE)&amp;" - Per "&amp;VLOOKUP($C$4,'Writing Logic'!$G$8:$H$14,2,FALSE),YES_Writing_ELA[#Headers],0))=0,"",INDEX(_xlfn.VSTACK(YES_Writing_ELA[#Data],YES_Writing_FLA[#Data]),MATCH($A436,_xlfn.VSTACK(YES_Writing_ELA[Student Number],YES_Writing_FLA[Student Number]),0),MATCH(VLOOKUP(G$7,'Writing Logic'!$J$7:$K$11,2,FALSE)&amp;" - Per "&amp;VLOOKUP($C$4,'Writing Logic'!$G$8:$H$14,2,FALSE),YES_Writing_ELA[#Headers],0)))),"")</f>
        <v/>
      </c>
      <c r="H436" s="223" t="str">
        <f>IFERROR(IF(IF(INDEX(_xlfn.VSTACK(YES_Writing_ELA[#Data],YES_Writing_FLA[#Data]),MATCH($A436,_xlfn.VSTACK(YES_Writing_ELA[Student Number],YES_Writing_FLA[Student Number]),0),MATCH(VLOOKUP(H$7,'Writing Logic'!$J$7:$K$11,2,FALSE)&amp;" - Per "&amp;VLOOKUP($C$4,'Writing Logic'!$G$8:$H$14,2,FALSE),YES_Writing_ELA[#Headers],0))=0,"",INDEX(_xlfn.VSTACK(YES_Writing_ELA[#Data],YES_Writing_FLA[#Data]),MATCH($A436,_xlfn.VSTACK(YES_Writing_ELA[Student Number],YES_Writing_FLA[Student Number]),0),MATCH(VLOOKUP(H$7,'Writing Logic'!$J$7:$K$11,2,FALSE)&amp;" - Per "&amp;VLOOKUP($C$4,'Writing Logic'!$G$8:$H$14,2,FALSE),YES_Writing_ELA[#Headers],0)))="INS",'Writing Logic'!$B$7,IF(INDEX(_xlfn.VSTACK(YES_Writing_ELA[#Data],YES_Writing_FLA[#Data]),MATCH($A436,_xlfn.VSTACK(YES_Writing_ELA[Student Number],YES_Writing_FLA[Student Number]),0),MATCH(VLOOKUP(H$7,'Writing Logic'!$J$7:$K$11,2,FALSE)&amp;" - Per "&amp;VLOOKUP($C$4,'Writing Logic'!$G$8:$H$14,2,FALSE),YES_Writing_ELA[#Headers],0))=0,"",INDEX(_xlfn.VSTACK(YES_Writing_ELA[#Data],YES_Writing_FLA[#Data]),MATCH($A436,_xlfn.VSTACK(YES_Writing_ELA[Student Number],YES_Writing_FLA[Student Number]),0),MATCH(VLOOKUP(H$7,'Writing Logic'!$J$7:$K$11,2,FALSE)&amp;" - Per "&amp;VLOOKUP($C$4,'Writing Logic'!$G$8:$H$14,2,FALSE),YES_Writing_ELA[#Headers],0)))),"")</f>
        <v/>
      </c>
      <c r="I436" s="224" t="str" cm="1">
        <f t="array" aca="1" ref="I436" ca="1">IFERROR(
IF($G$3="ELA",
IF(VLOOKUP($A436, YES_Reading_ELA[], COLUMN(INDIRECT("YES_Reading_ELA[Difference - Per "&amp;VLOOKUP($G$4, 'Reading Report Logic'!$A$2:$B$8, 2, FALSE)&amp;"]")), FALSE)="", "",
VLOOKUP($A436,YES_Reading_ELA[], COLUMN(INDIRECT("YES_Reading_ELA[Difference - Per "&amp;VLOOKUP($G$4,'Reading Report Logic'!$A$2:$B$8,2,FALSE)&amp;"]")), FALSE)),
IF($G$3="FLA",
IF(VLOOKUP($A436, YES_Reading_FLA[], COLUMN(INDIRECT("YES_Reading_FLA[Difference - Per "&amp;VLOOKUP($G$4,'Reading Report Logic'!$A$2:$B$8,2,FALSE)&amp;"]")),FALSE)="","",
VLOOKUP($A436,YES_Reading_FLA[],COLUMN(INDIRECT("YES_Reading_FLA[Difference - Per "&amp;VLOOKUP($G$4,'Reading Report Logic'!$A$2:$B$8,2,FALSE)&amp;"]")),FALSE)),
IF($G$3="Combined",
IFERROR(
IF(VLOOKUP($A436, YES_Reading_ELA[], COLUMN(INDIRECT("YES_Reading_ELA[Difference - Per "&amp;VLOOKUP($G$4, 'Reading Report Logic'!$A$2:$B$8,2,FALSE)&amp;"]")), FALSE)="", "",
VLOOKUP($A436,YES_Reading_ELA[],COLUMN(INDIRECT("YES_Reading_ELA[Difference - Per "&amp;VLOOKUP($G$4,'Reading Report Logic'!$A$2:$B$8,2,FALSE)&amp;"]")),FALSE)),
IF(VLOOKUP($A436, YES_Reading_FLA[], COLUMN(INDIRECT("YES_Reading_FLA[Difference - Per "&amp;VLOOKUP($G$4, 'Reading Report Logic'!$A$2:$B$8, 2, FALSE)&amp;"]")),FALSE)="", "", VLOOKUP($A436,YES_Reading_FLA[],COLUMN(INDIRECT("YES_Reading_FLA[Difference - Per "&amp;VLOOKUP($G$4, 'Reading Report Logic'!$A$2:$B$8, 2, FALSE)&amp;"]")),FALSE))),""))),"")</f>
        <v/>
      </c>
    </row>
    <row r="437" spans="1:9" x14ac:dyDescent="0.25">
      <c r="A437" s="137"/>
      <c r="B437" s="137" t="str">
        <f>IFERROR(INDEX(_xlfn.VSTACK(YES_Writing_ELA[#Data], YES_Writing_FLA[#Data]),MATCH($A437,_xlfn.VSTACK(YES_Writing_ELA[Student Number], YES_Writing_FLA[Student Number]),0),MATCH(B$7,YES_Writing_ELA[#Headers],0)),IFERROR(INDEX(_xlfn.VSTACK(YES_Reading_ELA[#Data], YES_Reading_FLA[#Data]),MATCH($A437,_xlfn.VSTACK(YES_Reading_ELA[Student Number], YES_Reading_FLA[Student Number]),0),MATCH(B$7,YES_Reading_ELA[#Headers],0)),""))</f>
        <v/>
      </c>
      <c r="C437" s="137" t="str">
        <f>IFERROR(INDEX(_xlfn.VSTACK(YES_Writing_ELA[#Data], YES_Writing_FLA[#Data]),MATCH($A437,_xlfn.VSTACK(YES_Writing_ELA[Student Number], YES_Writing_FLA[Student Number]),0),MATCH(C$7,YES_Writing_ELA[#Headers],0)),IFERROR(INDEX(_xlfn.VSTACK(YES_Reading_ELA[#Data], YES_Reading_FLA[#Data]),MATCH($A437,_xlfn.VSTACK(YES_Reading_ELA[Student Number], YES_Reading_FLA[Student Number]),0),MATCH(C$7,YES_Reading_ELA[#Headers],0)),""))</f>
        <v/>
      </c>
      <c r="D437" s="138" t="str">
        <f>IFERROR(IF(IF(INDEX(_xlfn.VSTACK(YES_Writing_ELA[#Data],YES_Writing_FLA[#Data]),MATCH($A437,_xlfn.VSTACK(YES_Writing_ELA[Student Number],YES_Writing_FLA[Student Number]),0),MATCH(VLOOKUP(D$7,'Writing Logic'!$J$7:$K$11,2,FALSE)&amp;" - Per "&amp;VLOOKUP($C$4,'Writing Logic'!$G$8:$H$14,2,FALSE),YES_Writing_ELA[#Headers],0))=0,"",INDEX(_xlfn.VSTACK(YES_Writing_ELA[#Data],YES_Writing_FLA[#Data]),MATCH($A437,_xlfn.VSTACK(YES_Writing_ELA[Student Number],YES_Writing_FLA[Student Number]),0),MATCH(VLOOKUP(D$7,'Writing Logic'!$J$7:$K$11,2,FALSE)&amp;" - Per "&amp;VLOOKUP($C$4,'Writing Logic'!$G$8:$H$14,2,FALSE),YES_Writing_ELA[#Headers],0)))="INS",'Writing Logic'!$B$7,IF(INDEX(_xlfn.VSTACK(YES_Writing_ELA[#Data],YES_Writing_FLA[#Data]),MATCH($A437,_xlfn.VSTACK(YES_Writing_ELA[Student Number],YES_Writing_FLA[Student Number]),0),MATCH(VLOOKUP(D$7,'Writing Logic'!$J$7:$K$11,2,FALSE)&amp;" - Per "&amp;VLOOKUP($C$4,'Writing Logic'!$G$8:$H$14,2,FALSE),YES_Writing_ELA[#Headers],0))=0,"",INDEX(_xlfn.VSTACK(YES_Writing_ELA[#Data],YES_Writing_FLA[#Data]),MATCH($A437,_xlfn.VSTACK(YES_Writing_ELA[Student Number],YES_Writing_FLA[Student Number]),0),MATCH(VLOOKUP(D$7,'Writing Logic'!$J$7:$K$11,2,FALSE)&amp;" - Per "&amp;VLOOKUP($C$4,'Writing Logic'!$G$8:$H$14,2,FALSE),YES_Writing_ELA[#Headers],0)))),"")</f>
        <v/>
      </c>
      <c r="E437" s="138" t="str">
        <f>IFERROR(IF(IF(INDEX(_xlfn.VSTACK(YES_Writing_ELA[#Data],YES_Writing_FLA[#Data]),MATCH($A437,_xlfn.VSTACK(YES_Writing_ELA[Student Number],YES_Writing_FLA[Student Number]),0),MATCH(VLOOKUP(E$7,'Writing Logic'!$J$7:$K$11,2,FALSE)&amp;" - Per "&amp;VLOOKUP($C$4,'Writing Logic'!$G$8:$H$14,2,FALSE),YES_Writing_ELA[#Headers],0))=0,"",INDEX(_xlfn.VSTACK(YES_Writing_ELA[#Data],YES_Writing_FLA[#Data]),MATCH($A437,_xlfn.VSTACK(YES_Writing_ELA[Student Number],YES_Writing_FLA[Student Number]),0),MATCH(VLOOKUP(E$7,'Writing Logic'!$J$7:$K$11,2,FALSE)&amp;" - Per "&amp;VLOOKUP($C$4,'Writing Logic'!$G$8:$H$14,2,FALSE),YES_Writing_ELA[#Headers],0)))="INS",'Writing Logic'!$B$7,IF(INDEX(_xlfn.VSTACK(YES_Writing_ELA[#Data],YES_Writing_FLA[#Data]),MATCH($A437,_xlfn.VSTACK(YES_Writing_ELA[Student Number],YES_Writing_FLA[Student Number]),0),MATCH(VLOOKUP(E$7,'Writing Logic'!$J$7:$K$11,2,FALSE)&amp;" - Per "&amp;VLOOKUP($C$4,'Writing Logic'!$G$8:$H$14,2,FALSE),YES_Writing_ELA[#Headers],0))=0,"",INDEX(_xlfn.VSTACK(YES_Writing_ELA[#Data],YES_Writing_FLA[#Data]),MATCH($A437,_xlfn.VSTACK(YES_Writing_ELA[Student Number],YES_Writing_FLA[Student Number]),0),MATCH(VLOOKUP(E$7,'Writing Logic'!$J$7:$K$11,2,FALSE)&amp;" - Per "&amp;VLOOKUP($C$4,'Writing Logic'!$G$8:$H$14,2,FALSE),YES_Writing_ELA[#Headers],0)))),"")</f>
        <v/>
      </c>
      <c r="F437" s="138" t="str">
        <f>IFERROR(IF(IF(INDEX(_xlfn.VSTACK(YES_Writing_ELA[#Data],YES_Writing_FLA[#Data]),MATCH($A437,_xlfn.VSTACK(YES_Writing_ELA[Student Number],YES_Writing_FLA[Student Number]),0),MATCH(VLOOKUP(F$7,'Writing Logic'!$J$7:$K$11,2,FALSE)&amp;" - Per "&amp;VLOOKUP($C$4,'Writing Logic'!$G$8:$H$14,2,FALSE),YES_Writing_ELA[#Headers],0))=0,"",INDEX(_xlfn.VSTACK(YES_Writing_ELA[#Data],YES_Writing_FLA[#Data]),MATCH($A437,_xlfn.VSTACK(YES_Writing_ELA[Student Number],YES_Writing_FLA[Student Number]),0),MATCH(VLOOKUP(F$7,'Writing Logic'!$J$7:$K$11,2,FALSE)&amp;" - Per "&amp;VLOOKUP($C$4,'Writing Logic'!$G$8:$H$14,2,FALSE),YES_Writing_ELA[#Headers],0)))="INS",'Writing Logic'!$B$7,IF(INDEX(_xlfn.VSTACK(YES_Writing_ELA[#Data],YES_Writing_FLA[#Data]),MATCH($A437,_xlfn.VSTACK(YES_Writing_ELA[Student Number],YES_Writing_FLA[Student Number]),0),MATCH(VLOOKUP(F$7,'Writing Logic'!$J$7:$K$11,2,FALSE)&amp;" - Per "&amp;VLOOKUP($C$4,'Writing Logic'!$G$8:$H$14,2,FALSE),YES_Writing_ELA[#Headers],0))=0,"",INDEX(_xlfn.VSTACK(YES_Writing_ELA[#Data],YES_Writing_FLA[#Data]),MATCH($A437,_xlfn.VSTACK(YES_Writing_ELA[Student Number],YES_Writing_FLA[Student Number]),0),MATCH(VLOOKUP(F$7,'Writing Logic'!$J$7:$K$11,2,FALSE)&amp;" - Per "&amp;VLOOKUP($C$4,'Writing Logic'!$G$8:$H$14,2,FALSE),YES_Writing_ELA[#Headers],0)))),"")</f>
        <v/>
      </c>
      <c r="G437" s="138" t="str">
        <f>IFERROR(IF(IF(INDEX(_xlfn.VSTACK(YES_Writing_ELA[#Data],YES_Writing_FLA[#Data]),MATCH($A437,_xlfn.VSTACK(YES_Writing_ELA[Student Number],YES_Writing_FLA[Student Number]),0),MATCH(VLOOKUP(G$7,'Writing Logic'!$J$7:$K$11,2,FALSE)&amp;" - Per "&amp;VLOOKUP($C$4,'Writing Logic'!$G$8:$H$14,2,FALSE),YES_Writing_ELA[#Headers],0))=0,"",INDEX(_xlfn.VSTACK(YES_Writing_ELA[#Data],YES_Writing_FLA[#Data]),MATCH($A437,_xlfn.VSTACK(YES_Writing_ELA[Student Number],YES_Writing_FLA[Student Number]),0),MATCH(VLOOKUP(G$7,'Writing Logic'!$J$7:$K$11,2,FALSE)&amp;" - Per "&amp;VLOOKUP($C$4,'Writing Logic'!$G$8:$H$14,2,FALSE),YES_Writing_ELA[#Headers],0)))="INS",'Writing Logic'!$B$7,IF(INDEX(_xlfn.VSTACK(YES_Writing_ELA[#Data],YES_Writing_FLA[#Data]),MATCH($A437,_xlfn.VSTACK(YES_Writing_ELA[Student Number],YES_Writing_FLA[Student Number]),0),MATCH(VLOOKUP(G$7,'Writing Logic'!$J$7:$K$11,2,FALSE)&amp;" - Per "&amp;VLOOKUP($C$4,'Writing Logic'!$G$8:$H$14,2,FALSE),YES_Writing_ELA[#Headers],0))=0,"",INDEX(_xlfn.VSTACK(YES_Writing_ELA[#Data],YES_Writing_FLA[#Data]),MATCH($A437,_xlfn.VSTACK(YES_Writing_ELA[Student Number],YES_Writing_FLA[Student Number]),0),MATCH(VLOOKUP(G$7,'Writing Logic'!$J$7:$K$11,2,FALSE)&amp;" - Per "&amp;VLOOKUP($C$4,'Writing Logic'!$G$8:$H$14,2,FALSE),YES_Writing_ELA[#Headers],0)))),"")</f>
        <v/>
      </c>
      <c r="H437" s="223" t="str">
        <f>IFERROR(IF(IF(INDEX(_xlfn.VSTACK(YES_Writing_ELA[#Data],YES_Writing_FLA[#Data]),MATCH($A437,_xlfn.VSTACK(YES_Writing_ELA[Student Number],YES_Writing_FLA[Student Number]),0),MATCH(VLOOKUP(H$7,'Writing Logic'!$J$7:$K$11,2,FALSE)&amp;" - Per "&amp;VLOOKUP($C$4,'Writing Logic'!$G$8:$H$14,2,FALSE),YES_Writing_ELA[#Headers],0))=0,"",INDEX(_xlfn.VSTACK(YES_Writing_ELA[#Data],YES_Writing_FLA[#Data]),MATCH($A437,_xlfn.VSTACK(YES_Writing_ELA[Student Number],YES_Writing_FLA[Student Number]),0),MATCH(VLOOKUP(H$7,'Writing Logic'!$J$7:$K$11,2,FALSE)&amp;" - Per "&amp;VLOOKUP($C$4,'Writing Logic'!$G$8:$H$14,2,FALSE),YES_Writing_ELA[#Headers],0)))="INS",'Writing Logic'!$B$7,IF(INDEX(_xlfn.VSTACK(YES_Writing_ELA[#Data],YES_Writing_FLA[#Data]),MATCH($A437,_xlfn.VSTACK(YES_Writing_ELA[Student Number],YES_Writing_FLA[Student Number]),0),MATCH(VLOOKUP(H$7,'Writing Logic'!$J$7:$K$11,2,FALSE)&amp;" - Per "&amp;VLOOKUP($C$4,'Writing Logic'!$G$8:$H$14,2,FALSE),YES_Writing_ELA[#Headers],0))=0,"",INDEX(_xlfn.VSTACK(YES_Writing_ELA[#Data],YES_Writing_FLA[#Data]),MATCH($A437,_xlfn.VSTACK(YES_Writing_ELA[Student Number],YES_Writing_FLA[Student Number]),0),MATCH(VLOOKUP(H$7,'Writing Logic'!$J$7:$K$11,2,FALSE)&amp;" - Per "&amp;VLOOKUP($C$4,'Writing Logic'!$G$8:$H$14,2,FALSE),YES_Writing_ELA[#Headers],0)))),"")</f>
        <v/>
      </c>
      <c r="I437" s="224" t="str" cm="1">
        <f t="array" aca="1" ref="I437" ca="1">IFERROR(
IF($G$3="ELA",
IF(VLOOKUP($A437, YES_Reading_ELA[], COLUMN(INDIRECT("YES_Reading_ELA[Difference - Per "&amp;VLOOKUP($G$4, 'Reading Report Logic'!$A$2:$B$8, 2, FALSE)&amp;"]")), FALSE)="", "",
VLOOKUP($A437,YES_Reading_ELA[], COLUMN(INDIRECT("YES_Reading_ELA[Difference - Per "&amp;VLOOKUP($G$4,'Reading Report Logic'!$A$2:$B$8,2,FALSE)&amp;"]")), FALSE)),
IF($G$3="FLA",
IF(VLOOKUP($A437, YES_Reading_FLA[], COLUMN(INDIRECT("YES_Reading_FLA[Difference - Per "&amp;VLOOKUP($G$4,'Reading Report Logic'!$A$2:$B$8,2,FALSE)&amp;"]")),FALSE)="","",
VLOOKUP($A437,YES_Reading_FLA[],COLUMN(INDIRECT("YES_Reading_FLA[Difference - Per "&amp;VLOOKUP($G$4,'Reading Report Logic'!$A$2:$B$8,2,FALSE)&amp;"]")),FALSE)),
IF($G$3="Combined",
IFERROR(
IF(VLOOKUP($A437, YES_Reading_ELA[], COLUMN(INDIRECT("YES_Reading_ELA[Difference - Per "&amp;VLOOKUP($G$4, 'Reading Report Logic'!$A$2:$B$8,2,FALSE)&amp;"]")), FALSE)="", "",
VLOOKUP($A437,YES_Reading_ELA[],COLUMN(INDIRECT("YES_Reading_ELA[Difference - Per "&amp;VLOOKUP($G$4,'Reading Report Logic'!$A$2:$B$8,2,FALSE)&amp;"]")),FALSE)),
IF(VLOOKUP($A437, YES_Reading_FLA[], COLUMN(INDIRECT("YES_Reading_FLA[Difference - Per "&amp;VLOOKUP($G$4, 'Reading Report Logic'!$A$2:$B$8, 2, FALSE)&amp;"]")),FALSE)="", "", VLOOKUP($A437,YES_Reading_FLA[],COLUMN(INDIRECT("YES_Reading_FLA[Difference - Per "&amp;VLOOKUP($G$4, 'Reading Report Logic'!$A$2:$B$8, 2, FALSE)&amp;"]")),FALSE))),""))),"")</f>
        <v/>
      </c>
    </row>
    <row r="438" spans="1:9" x14ac:dyDescent="0.25">
      <c r="A438" s="137"/>
      <c r="B438" s="137" t="str">
        <f>IFERROR(INDEX(_xlfn.VSTACK(YES_Writing_ELA[#Data], YES_Writing_FLA[#Data]),MATCH($A438,_xlfn.VSTACK(YES_Writing_ELA[Student Number], YES_Writing_FLA[Student Number]),0),MATCH(B$7,YES_Writing_ELA[#Headers],0)),IFERROR(INDEX(_xlfn.VSTACK(YES_Reading_ELA[#Data], YES_Reading_FLA[#Data]),MATCH($A438,_xlfn.VSTACK(YES_Reading_ELA[Student Number], YES_Reading_FLA[Student Number]),0),MATCH(B$7,YES_Reading_ELA[#Headers],0)),""))</f>
        <v/>
      </c>
      <c r="C438" s="137" t="str">
        <f>IFERROR(INDEX(_xlfn.VSTACK(YES_Writing_ELA[#Data], YES_Writing_FLA[#Data]),MATCH($A438,_xlfn.VSTACK(YES_Writing_ELA[Student Number], YES_Writing_FLA[Student Number]),0),MATCH(C$7,YES_Writing_ELA[#Headers],0)),IFERROR(INDEX(_xlfn.VSTACK(YES_Reading_ELA[#Data], YES_Reading_FLA[#Data]),MATCH($A438,_xlfn.VSTACK(YES_Reading_ELA[Student Number], YES_Reading_FLA[Student Number]),0),MATCH(C$7,YES_Reading_ELA[#Headers],0)),""))</f>
        <v/>
      </c>
      <c r="D438" s="138" t="str">
        <f>IFERROR(IF(IF(INDEX(_xlfn.VSTACK(YES_Writing_ELA[#Data],YES_Writing_FLA[#Data]),MATCH($A438,_xlfn.VSTACK(YES_Writing_ELA[Student Number],YES_Writing_FLA[Student Number]),0),MATCH(VLOOKUP(D$7,'Writing Logic'!$J$7:$K$11,2,FALSE)&amp;" - Per "&amp;VLOOKUP($C$4,'Writing Logic'!$G$8:$H$14,2,FALSE),YES_Writing_ELA[#Headers],0))=0,"",INDEX(_xlfn.VSTACK(YES_Writing_ELA[#Data],YES_Writing_FLA[#Data]),MATCH($A438,_xlfn.VSTACK(YES_Writing_ELA[Student Number],YES_Writing_FLA[Student Number]),0),MATCH(VLOOKUP(D$7,'Writing Logic'!$J$7:$K$11,2,FALSE)&amp;" - Per "&amp;VLOOKUP($C$4,'Writing Logic'!$G$8:$H$14,2,FALSE),YES_Writing_ELA[#Headers],0)))="INS",'Writing Logic'!$B$7,IF(INDEX(_xlfn.VSTACK(YES_Writing_ELA[#Data],YES_Writing_FLA[#Data]),MATCH($A438,_xlfn.VSTACK(YES_Writing_ELA[Student Number],YES_Writing_FLA[Student Number]),0),MATCH(VLOOKUP(D$7,'Writing Logic'!$J$7:$K$11,2,FALSE)&amp;" - Per "&amp;VLOOKUP($C$4,'Writing Logic'!$G$8:$H$14,2,FALSE),YES_Writing_ELA[#Headers],0))=0,"",INDEX(_xlfn.VSTACK(YES_Writing_ELA[#Data],YES_Writing_FLA[#Data]),MATCH($A438,_xlfn.VSTACK(YES_Writing_ELA[Student Number],YES_Writing_FLA[Student Number]),0),MATCH(VLOOKUP(D$7,'Writing Logic'!$J$7:$K$11,2,FALSE)&amp;" - Per "&amp;VLOOKUP($C$4,'Writing Logic'!$G$8:$H$14,2,FALSE),YES_Writing_ELA[#Headers],0)))),"")</f>
        <v/>
      </c>
      <c r="E438" s="138" t="str">
        <f>IFERROR(IF(IF(INDEX(_xlfn.VSTACK(YES_Writing_ELA[#Data],YES_Writing_FLA[#Data]),MATCH($A438,_xlfn.VSTACK(YES_Writing_ELA[Student Number],YES_Writing_FLA[Student Number]),0),MATCH(VLOOKUP(E$7,'Writing Logic'!$J$7:$K$11,2,FALSE)&amp;" - Per "&amp;VLOOKUP($C$4,'Writing Logic'!$G$8:$H$14,2,FALSE),YES_Writing_ELA[#Headers],0))=0,"",INDEX(_xlfn.VSTACK(YES_Writing_ELA[#Data],YES_Writing_FLA[#Data]),MATCH($A438,_xlfn.VSTACK(YES_Writing_ELA[Student Number],YES_Writing_FLA[Student Number]),0),MATCH(VLOOKUP(E$7,'Writing Logic'!$J$7:$K$11,2,FALSE)&amp;" - Per "&amp;VLOOKUP($C$4,'Writing Logic'!$G$8:$H$14,2,FALSE),YES_Writing_ELA[#Headers],0)))="INS",'Writing Logic'!$B$7,IF(INDEX(_xlfn.VSTACK(YES_Writing_ELA[#Data],YES_Writing_FLA[#Data]),MATCH($A438,_xlfn.VSTACK(YES_Writing_ELA[Student Number],YES_Writing_FLA[Student Number]),0),MATCH(VLOOKUP(E$7,'Writing Logic'!$J$7:$K$11,2,FALSE)&amp;" - Per "&amp;VLOOKUP($C$4,'Writing Logic'!$G$8:$H$14,2,FALSE),YES_Writing_ELA[#Headers],0))=0,"",INDEX(_xlfn.VSTACK(YES_Writing_ELA[#Data],YES_Writing_FLA[#Data]),MATCH($A438,_xlfn.VSTACK(YES_Writing_ELA[Student Number],YES_Writing_FLA[Student Number]),0),MATCH(VLOOKUP(E$7,'Writing Logic'!$J$7:$K$11,2,FALSE)&amp;" - Per "&amp;VLOOKUP($C$4,'Writing Logic'!$G$8:$H$14,2,FALSE),YES_Writing_ELA[#Headers],0)))),"")</f>
        <v/>
      </c>
      <c r="F438" s="138" t="str">
        <f>IFERROR(IF(IF(INDEX(_xlfn.VSTACK(YES_Writing_ELA[#Data],YES_Writing_FLA[#Data]),MATCH($A438,_xlfn.VSTACK(YES_Writing_ELA[Student Number],YES_Writing_FLA[Student Number]),0),MATCH(VLOOKUP(F$7,'Writing Logic'!$J$7:$K$11,2,FALSE)&amp;" - Per "&amp;VLOOKUP($C$4,'Writing Logic'!$G$8:$H$14,2,FALSE),YES_Writing_ELA[#Headers],0))=0,"",INDEX(_xlfn.VSTACK(YES_Writing_ELA[#Data],YES_Writing_FLA[#Data]),MATCH($A438,_xlfn.VSTACK(YES_Writing_ELA[Student Number],YES_Writing_FLA[Student Number]),0),MATCH(VLOOKUP(F$7,'Writing Logic'!$J$7:$K$11,2,FALSE)&amp;" - Per "&amp;VLOOKUP($C$4,'Writing Logic'!$G$8:$H$14,2,FALSE),YES_Writing_ELA[#Headers],0)))="INS",'Writing Logic'!$B$7,IF(INDEX(_xlfn.VSTACK(YES_Writing_ELA[#Data],YES_Writing_FLA[#Data]),MATCH($A438,_xlfn.VSTACK(YES_Writing_ELA[Student Number],YES_Writing_FLA[Student Number]),0),MATCH(VLOOKUP(F$7,'Writing Logic'!$J$7:$K$11,2,FALSE)&amp;" - Per "&amp;VLOOKUP($C$4,'Writing Logic'!$G$8:$H$14,2,FALSE),YES_Writing_ELA[#Headers],0))=0,"",INDEX(_xlfn.VSTACK(YES_Writing_ELA[#Data],YES_Writing_FLA[#Data]),MATCH($A438,_xlfn.VSTACK(YES_Writing_ELA[Student Number],YES_Writing_FLA[Student Number]),0),MATCH(VLOOKUP(F$7,'Writing Logic'!$J$7:$K$11,2,FALSE)&amp;" - Per "&amp;VLOOKUP($C$4,'Writing Logic'!$G$8:$H$14,2,FALSE),YES_Writing_ELA[#Headers],0)))),"")</f>
        <v/>
      </c>
      <c r="G438" s="138" t="str">
        <f>IFERROR(IF(IF(INDEX(_xlfn.VSTACK(YES_Writing_ELA[#Data],YES_Writing_FLA[#Data]),MATCH($A438,_xlfn.VSTACK(YES_Writing_ELA[Student Number],YES_Writing_FLA[Student Number]),0),MATCH(VLOOKUP(G$7,'Writing Logic'!$J$7:$K$11,2,FALSE)&amp;" - Per "&amp;VLOOKUP($C$4,'Writing Logic'!$G$8:$H$14,2,FALSE),YES_Writing_ELA[#Headers],0))=0,"",INDEX(_xlfn.VSTACK(YES_Writing_ELA[#Data],YES_Writing_FLA[#Data]),MATCH($A438,_xlfn.VSTACK(YES_Writing_ELA[Student Number],YES_Writing_FLA[Student Number]),0),MATCH(VLOOKUP(G$7,'Writing Logic'!$J$7:$K$11,2,FALSE)&amp;" - Per "&amp;VLOOKUP($C$4,'Writing Logic'!$G$8:$H$14,2,FALSE),YES_Writing_ELA[#Headers],0)))="INS",'Writing Logic'!$B$7,IF(INDEX(_xlfn.VSTACK(YES_Writing_ELA[#Data],YES_Writing_FLA[#Data]),MATCH($A438,_xlfn.VSTACK(YES_Writing_ELA[Student Number],YES_Writing_FLA[Student Number]),0),MATCH(VLOOKUP(G$7,'Writing Logic'!$J$7:$K$11,2,FALSE)&amp;" - Per "&amp;VLOOKUP($C$4,'Writing Logic'!$G$8:$H$14,2,FALSE),YES_Writing_ELA[#Headers],0))=0,"",INDEX(_xlfn.VSTACK(YES_Writing_ELA[#Data],YES_Writing_FLA[#Data]),MATCH($A438,_xlfn.VSTACK(YES_Writing_ELA[Student Number],YES_Writing_FLA[Student Number]),0),MATCH(VLOOKUP(G$7,'Writing Logic'!$J$7:$K$11,2,FALSE)&amp;" - Per "&amp;VLOOKUP($C$4,'Writing Logic'!$G$8:$H$14,2,FALSE),YES_Writing_ELA[#Headers],0)))),"")</f>
        <v/>
      </c>
      <c r="H438" s="223" t="str">
        <f>IFERROR(IF(IF(INDEX(_xlfn.VSTACK(YES_Writing_ELA[#Data],YES_Writing_FLA[#Data]),MATCH($A438,_xlfn.VSTACK(YES_Writing_ELA[Student Number],YES_Writing_FLA[Student Number]),0),MATCH(VLOOKUP(H$7,'Writing Logic'!$J$7:$K$11,2,FALSE)&amp;" - Per "&amp;VLOOKUP($C$4,'Writing Logic'!$G$8:$H$14,2,FALSE),YES_Writing_ELA[#Headers],0))=0,"",INDEX(_xlfn.VSTACK(YES_Writing_ELA[#Data],YES_Writing_FLA[#Data]),MATCH($A438,_xlfn.VSTACK(YES_Writing_ELA[Student Number],YES_Writing_FLA[Student Number]),0),MATCH(VLOOKUP(H$7,'Writing Logic'!$J$7:$K$11,2,FALSE)&amp;" - Per "&amp;VLOOKUP($C$4,'Writing Logic'!$G$8:$H$14,2,FALSE),YES_Writing_ELA[#Headers],0)))="INS",'Writing Logic'!$B$7,IF(INDEX(_xlfn.VSTACK(YES_Writing_ELA[#Data],YES_Writing_FLA[#Data]),MATCH($A438,_xlfn.VSTACK(YES_Writing_ELA[Student Number],YES_Writing_FLA[Student Number]),0),MATCH(VLOOKUP(H$7,'Writing Logic'!$J$7:$K$11,2,FALSE)&amp;" - Per "&amp;VLOOKUP($C$4,'Writing Logic'!$G$8:$H$14,2,FALSE),YES_Writing_ELA[#Headers],0))=0,"",INDEX(_xlfn.VSTACK(YES_Writing_ELA[#Data],YES_Writing_FLA[#Data]),MATCH($A438,_xlfn.VSTACK(YES_Writing_ELA[Student Number],YES_Writing_FLA[Student Number]),0),MATCH(VLOOKUP(H$7,'Writing Logic'!$J$7:$K$11,2,FALSE)&amp;" - Per "&amp;VLOOKUP($C$4,'Writing Logic'!$G$8:$H$14,2,FALSE),YES_Writing_ELA[#Headers],0)))),"")</f>
        <v/>
      </c>
      <c r="I438" s="224" t="str" cm="1">
        <f t="array" aca="1" ref="I438" ca="1">IFERROR(
IF($G$3="ELA",
IF(VLOOKUP($A438, YES_Reading_ELA[], COLUMN(INDIRECT("YES_Reading_ELA[Difference - Per "&amp;VLOOKUP($G$4, 'Reading Report Logic'!$A$2:$B$8, 2, FALSE)&amp;"]")), FALSE)="", "",
VLOOKUP($A438,YES_Reading_ELA[], COLUMN(INDIRECT("YES_Reading_ELA[Difference - Per "&amp;VLOOKUP($G$4,'Reading Report Logic'!$A$2:$B$8,2,FALSE)&amp;"]")), FALSE)),
IF($G$3="FLA",
IF(VLOOKUP($A438, YES_Reading_FLA[], COLUMN(INDIRECT("YES_Reading_FLA[Difference - Per "&amp;VLOOKUP($G$4,'Reading Report Logic'!$A$2:$B$8,2,FALSE)&amp;"]")),FALSE)="","",
VLOOKUP($A438,YES_Reading_FLA[],COLUMN(INDIRECT("YES_Reading_FLA[Difference - Per "&amp;VLOOKUP($G$4,'Reading Report Logic'!$A$2:$B$8,2,FALSE)&amp;"]")),FALSE)),
IF($G$3="Combined",
IFERROR(
IF(VLOOKUP($A438, YES_Reading_ELA[], COLUMN(INDIRECT("YES_Reading_ELA[Difference - Per "&amp;VLOOKUP($G$4, 'Reading Report Logic'!$A$2:$B$8,2,FALSE)&amp;"]")), FALSE)="", "",
VLOOKUP($A438,YES_Reading_ELA[],COLUMN(INDIRECT("YES_Reading_ELA[Difference - Per "&amp;VLOOKUP($G$4,'Reading Report Logic'!$A$2:$B$8,2,FALSE)&amp;"]")),FALSE)),
IF(VLOOKUP($A438, YES_Reading_FLA[], COLUMN(INDIRECT("YES_Reading_FLA[Difference - Per "&amp;VLOOKUP($G$4, 'Reading Report Logic'!$A$2:$B$8, 2, FALSE)&amp;"]")),FALSE)="", "", VLOOKUP($A438,YES_Reading_FLA[],COLUMN(INDIRECT("YES_Reading_FLA[Difference - Per "&amp;VLOOKUP($G$4, 'Reading Report Logic'!$A$2:$B$8, 2, FALSE)&amp;"]")),FALSE))),""))),"")</f>
        <v/>
      </c>
    </row>
    <row r="439" spans="1:9" x14ac:dyDescent="0.25">
      <c r="A439" s="137"/>
      <c r="B439" s="137" t="str">
        <f>IFERROR(INDEX(_xlfn.VSTACK(YES_Writing_ELA[#Data], YES_Writing_FLA[#Data]),MATCH($A439,_xlfn.VSTACK(YES_Writing_ELA[Student Number], YES_Writing_FLA[Student Number]),0),MATCH(B$7,YES_Writing_ELA[#Headers],0)),IFERROR(INDEX(_xlfn.VSTACK(YES_Reading_ELA[#Data], YES_Reading_FLA[#Data]),MATCH($A439,_xlfn.VSTACK(YES_Reading_ELA[Student Number], YES_Reading_FLA[Student Number]),0),MATCH(B$7,YES_Reading_ELA[#Headers],0)),""))</f>
        <v/>
      </c>
      <c r="C439" s="137" t="str">
        <f>IFERROR(INDEX(_xlfn.VSTACK(YES_Writing_ELA[#Data], YES_Writing_FLA[#Data]),MATCH($A439,_xlfn.VSTACK(YES_Writing_ELA[Student Number], YES_Writing_FLA[Student Number]),0),MATCH(C$7,YES_Writing_ELA[#Headers],0)),IFERROR(INDEX(_xlfn.VSTACK(YES_Reading_ELA[#Data], YES_Reading_FLA[#Data]),MATCH($A439,_xlfn.VSTACK(YES_Reading_ELA[Student Number], YES_Reading_FLA[Student Number]),0),MATCH(C$7,YES_Reading_ELA[#Headers],0)),""))</f>
        <v/>
      </c>
      <c r="D439" s="138" t="str">
        <f>IFERROR(IF(IF(INDEX(_xlfn.VSTACK(YES_Writing_ELA[#Data],YES_Writing_FLA[#Data]),MATCH($A439,_xlfn.VSTACK(YES_Writing_ELA[Student Number],YES_Writing_FLA[Student Number]),0),MATCH(VLOOKUP(D$7,'Writing Logic'!$J$7:$K$11,2,FALSE)&amp;" - Per "&amp;VLOOKUP($C$4,'Writing Logic'!$G$8:$H$14,2,FALSE),YES_Writing_ELA[#Headers],0))=0,"",INDEX(_xlfn.VSTACK(YES_Writing_ELA[#Data],YES_Writing_FLA[#Data]),MATCH($A439,_xlfn.VSTACK(YES_Writing_ELA[Student Number],YES_Writing_FLA[Student Number]),0),MATCH(VLOOKUP(D$7,'Writing Logic'!$J$7:$K$11,2,FALSE)&amp;" - Per "&amp;VLOOKUP($C$4,'Writing Logic'!$G$8:$H$14,2,FALSE),YES_Writing_ELA[#Headers],0)))="INS",'Writing Logic'!$B$7,IF(INDEX(_xlfn.VSTACK(YES_Writing_ELA[#Data],YES_Writing_FLA[#Data]),MATCH($A439,_xlfn.VSTACK(YES_Writing_ELA[Student Number],YES_Writing_FLA[Student Number]),0),MATCH(VLOOKUP(D$7,'Writing Logic'!$J$7:$K$11,2,FALSE)&amp;" - Per "&amp;VLOOKUP($C$4,'Writing Logic'!$G$8:$H$14,2,FALSE),YES_Writing_ELA[#Headers],0))=0,"",INDEX(_xlfn.VSTACK(YES_Writing_ELA[#Data],YES_Writing_FLA[#Data]),MATCH($A439,_xlfn.VSTACK(YES_Writing_ELA[Student Number],YES_Writing_FLA[Student Number]),0),MATCH(VLOOKUP(D$7,'Writing Logic'!$J$7:$K$11,2,FALSE)&amp;" - Per "&amp;VLOOKUP($C$4,'Writing Logic'!$G$8:$H$14,2,FALSE),YES_Writing_ELA[#Headers],0)))),"")</f>
        <v/>
      </c>
      <c r="E439" s="138" t="str">
        <f>IFERROR(IF(IF(INDEX(_xlfn.VSTACK(YES_Writing_ELA[#Data],YES_Writing_FLA[#Data]),MATCH($A439,_xlfn.VSTACK(YES_Writing_ELA[Student Number],YES_Writing_FLA[Student Number]),0),MATCH(VLOOKUP(E$7,'Writing Logic'!$J$7:$K$11,2,FALSE)&amp;" - Per "&amp;VLOOKUP($C$4,'Writing Logic'!$G$8:$H$14,2,FALSE),YES_Writing_ELA[#Headers],0))=0,"",INDEX(_xlfn.VSTACK(YES_Writing_ELA[#Data],YES_Writing_FLA[#Data]),MATCH($A439,_xlfn.VSTACK(YES_Writing_ELA[Student Number],YES_Writing_FLA[Student Number]),0),MATCH(VLOOKUP(E$7,'Writing Logic'!$J$7:$K$11,2,FALSE)&amp;" - Per "&amp;VLOOKUP($C$4,'Writing Logic'!$G$8:$H$14,2,FALSE),YES_Writing_ELA[#Headers],0)))="INS",'Writing Logic'!$B$7,IF(INDEX(_xlfn.VSTACK(YES_Writing_ELA[#Data],YES_Writing_FLA[#Data]),MATCH($A439,_xlfn.VSTACK(YES_Writing_ELA[Student Number],YES_Writing_FLA[Student Number]),0),MATCH(VLOOKUP(E$7,'Writing Logic'!$J$7:$K$11,2,FALSE)&amp;" - Per "&amp;VLOOKUP($C$4,'Writing Logic'!$G$8:$H$14,2,FALSE),YES_Writing_ELA[#Headers],0))=0,"",INDEX(_xlfn.VSTACK(YES_Writing_ELA[#Data],YES_Writing_FLA[#Data]),MATCH($A439,_xlfn.VSTACK(YES_Writing_ELA[Student Number],YES_Writing_FLA[Student Number]),0),MATCH(VLOOKUP(E$7,'Writing Logic'!$J$7:$K$11,2,FALSE)&amp;" - Per "&amp;VLOOKUP($C$4,'Writing Logic'!$G$8:$H$14,2,FALSE),YES_Writing_ELA[#Headers],0)))),"")</f>
        <v/>
      </c>
      <c r="F439" s="138" t="str">
        <f>IFERROR(IF(IF(INDEX(_xlfn.VSTACK(YES_Writing_ELA[#Data],YES_Writing_FLA[#Data]),MATCH($A439,_xlfn.VSTACK(YES_Writing_ELA[Student Number],YES_Writing_FLA[Student Number]),0),MATCH(VLOOKUP(F$7,'Writing Logic'!$J$7:$K$11,2,FALSE)&amp;" - Per "&amp;VLOOKUP($C$4,'Writing Logic'!$G$8:$H$14,2,FALSE),YES_Writing_ELA[#Headers],0))=0,"",INDEX(_xlfn.VSTACK(YES_Writing_ELA[#Data],YES_Writing_FLA[#Data]),MATCH($A439,_xlfn.VSTACK(YES_Writing_ELA[Student Number],YES_Writing_FLA[Student Number]),0),MATCH(VLOOKUP(F$7,'Writing Logic'!$J$7:$K$11,2,FALSE)&amp;" - Per "&amp;VLOOKUP($C$4,'Writing Logic'!$G$8:$H$14,2,FALSE),YES_Writing_ELA[#Headers],0)))="INS",'Writing Logic'!$B$7,IF(INDEX(_xlfn.VSTACK(YES_Writing_ELA[#Data],YES_Writing_FLA[#Data]),MATCH($A439,_xlfn.VSTACK(YES_Writing_ELA[Student Number],YES_Writing_FLA[Student Number]),0),MATCH(VLOOKUP(F$7,'Writing Logic'!$J$7:$K$11,2,FALSE)&amp;" - Per "&amp;VLOOKUP($C$4,'Writing Logic'!$G$8:$H$14,2,FALSE),YES_Writing_ELA[#Headers],0))=0,"",INDEX(_xlfn.VSTACK(YES_Writing_ELA[#Data],YES_Writing_FLA[#Data]),MATCH($A439,_xlfn.VSTACK(YES_Writing_ELA[Student Number],YES_Writing_FLA[Student Number]),0),MATCH(VLOOKUP(F$7,'Writing Logic'!$J$7:$K$11,2,FALSE)&amp;" - Per "&amp;VLOOKUP($C$4,'Writing Logic'!$G$8:$H$14,2,FALSE),YES_Writing_ELA[#Headers],0)))),"")</f>
        <v/>
      </c>
      <c r="G439" s="138" t="str">
        <f>IFERROR(IF(IF(INDEX(_xlfn.VSTACK(YES_Writing_ELA[#Data],YES_Writing_FLA[#Data]),MATCH($A439,_xlfn.VSTACK(YES_Writing_ELA[Student Number],YES_Writing_FLA[Student Number]),0),MATCH(VLOOKUP(G$7,'Writing Logic'!$J$7:$K$11,2,FALSE)&amp;" - Per "&amp;VLOOKUP($C$4,'Writing Logic'!$G$8:$H$14,2,FALSE),YES_Writing_ELA[#Headers],0))=0,"",INDEX(_xlfn.VSTACK(YES_Writing_ELA[#Data],YES_Writing_FLA[#Data]),MATCH($A439,_xlfn.VSTACK(YES_Writing_ELA[Student Number],YES_Writing_FLA[Student Number]),0),MATCH(VLOOKUP(G$7,'Writing Logic'!$J$7:$K$11,2,FALSE)&amp;" - Per "&amp;VLOOKUP($C$4,'Writing Logic'!$G$8:$H$14,2,FALSE),YES_Writing_ELA[#Headers],0)))="INS",'Writing Logic'!$B$7,IF(INDEX(_xlfn.VSTACK(YES_Writing_ELA[#Data],YES_Writing_FLA[#Data]),MATCH($A439,_xlfn.VSTACK(YES_Writing_ELA[Student Number],YES_Writing_FLA[Student Number]),0),MATCH(VLOOKUP(G$7,'Writing Logic'!$J$7:$K$11,2,FALSE)&amp;" - Per "&amp;VLOOKUP($C$4,'Writing Logic'!$G$8:$H$14,2,FALSE),YES_Writing_ELA[#Headers],0))=0,"",INDEX(_xlfn.VSTACK(YES_Writing_ELA[#Data],YES_Writing_FLA[#Data]),MATCH($A439,_xlfn.VSTACK(YES_Writing_ELA[Student Number],YES_Writing_FLA[Student Number]),0),MATCH(VLOOKUP(G$7,'Writing Logic'!$J$7:$K$11,2,FALSE)&amp;" - Per "&amp;VLOOKUP($C$4,'Writing Logic'!$G$8:$H$14,2,FALSE),YES_Writing_ELA[#Headers],0)))),"")</f>
        <v/>
      </c>
      <c r="H439" s="223" t="str">
        <f>IFERROR(IF(IF(INDEX(_xlfn.VSTACK(YES_Writing_ELA[#Data],YES_Writing_FLA[#Data]),MATCH($A439,_xlfn.VSTACK(YES_Writing_ELA[Student Number],YES_Writing_FLA[Student Number]),0),MATCH(VLOOKUP(H$7,'Writing Logic'!$J$7:$K$11,2,FALSE)&amp;" - Per "&amp;VLOOKUP($C$4,'Writing Logic'!$G$8:$H$14,2,FALSE),YES_Writing_ELA[#Headers],0))=0,"",INDEX(_xlfn.VSTACK(YES_Writing_ELA[#Data],YES_Writing_FLA[#Data]),MATCH($A439,_xlfn.VSTACK(YES_Writing_ELA[Student Number],YES_Writing_FLA[Student Number]),0),MATCH(VLOOKUP(H$7,'Writing Logic'!$J$7:$K$11,2,FALSE)&amp;" - Per "&amp;VLOOKUP($C$4,'Writing Logic'!$G$8:$H$14,2,FALSE),YES_Writing_ELA[#Headers],0)))="INS",'Writing Logic'!$B$7,IF(INDEX(_xlfn.VSTACK(YES_Writing_ELA[#Data],YES_Writing_FLA[#Data]),MATCH($A439,_xlfn.VSTACK(YES_Writing_ELA[Student Number],YES_Writing_FLA[Student Number]),0),MATCH(VLOOKUP(H$7,'Writing Logic'!$J$7:$K$11,2,FALSE)&amp;" - Per "&amp;VLOOKUP($C$4,'Writing Logic'!$G$8:$H$14,2,FALSE),YES_Writing_ELA[#Headers],0))=0,"",INDEX(_xlfn.VSTACK(YES_Writing_ELA[#Data],YES_Writing_FLA[#Data]),MATCH($A439,_xlfn.VSTACK(YES_Writing_ELA[Student Number],YES_Writing_FLA[Student Number]),0),MATCH(VLOOKUP(H$7,'Writing Logic'!$J$7:$K$11,2,FALSE)&amp;" - Per "&amp;VLOOKUP($C$4,'Writing Logic'!$G$8:$H$14,2,FALSE),YES_Writing_ELA[#Headers],0)))),"")</f>
        <v/>
      </c>
      <c r="I439" s="224" t="str" cm="1">
        <f t="array" aca="1" ref="I439" ca="1">IFERROR(
IF($G$3="ELA",
IF(VLOOKUP($A439, YES_Reading_ELA[], COLUMN(INDIRECT("YES_Reading_ELA[Difference - Per "&amp;VLOOKUP($G$4, 'Reading Report Logic'!$A$2:$B$8, 2, FALSE)&amp;"]")), FALSE)="", "",
VLOOKUP($A439,YES_Reading_ELA[], COLUMN(INDIRECT("YES_Reading_ELA[Difference - Per "&amp;VLOOKUP($G$4,'Reading Report Logic'!$A$2:$B$8,2,FALSE)&amp;"]")), FALSE)),
IF($G$3="FLA",
IF(VLOOKUP($A439, YES_Reading_FLA[], COLUMN(INDIRECT("YES_Reading_FLA[Difference - Per "&amp;VLOOKUP($G$4,'Reading Report Logic'!$A$2:$B$8,2,FALSE)&amp;"]")),FALSE)="","",
VLOOKUP($A439,YES_Reading_FLA[],COLUMN(INDIRECT("YES_Reading_FLA[Difference - Per "&amp;VLOOKUP($G$4,'Reading Report Logic'!$A$2:$B$8,2,FALSE)&amp;"]")),FALSE)),
IF($G$3="Combined",
IFERROR(
IF(VLOOKUP($A439, YES_Reading_ELA[], COLUMN(INDIRECT("YES_Reading_ELA[Difference - Per "&amp;VLOOKUP($G$4, 'Reading Report Logic'!$A$2:$B$8,2,FALSE)&amp;"]")), FALSE)="", "",
VLOOKUP($A439,YES_Reading_ELA[],COLUMN(INDIRECT("YES_Reading_ELA[Difference - Per "&amp;VLOOKUP($G$4,'Reading Report Logic'!$A$2:$B$8,2,FALSE)&amp;"]")),FALSE)),
IF(VLOOKUP($A439, YES_Reading_FLA[], COLUMN(INDIRECT("YES_Reading_FLA[Difference - Per "&amp;VLOOKUP($G$4, 'Reading Report Logic'!$A$2:$B$8, 2, FALSE)&amp;"]")),FALSE)="", "", VLOOKUP($A439,YES_Reading_FLA[],COLUMN(INDIRECT("YES_Reading_FLA[Difference - Per "&amp;VLOOKUP($G$4, 'Reading Report Logic'!$A$2:$B$8, 2, FALSE)&amp;"]")),FALSE))),""))),"")</f>
        <v/>
      </c>
    </row>
    <row r="440" spans="1:9" x14ac:dyDescent="0.25">
      <c r="A440" s="137"/>
      <c r="B440" s="137" t="str">
        <f>IFERROR(INDEX(_xlfn.VSTACK(YES_Writing_ELA[#Data], YES_Writing_FLA[#Data]),MATCH($A440,_xlfn.VSTACK(YES_Writing_ELA[Student Number], YES_Writing_FLA[Student Number]),0),MATCH(B$7,YES_Writing_ELA[#Headers],0)),IFERROR(INDEX(_xlfn.VSTACK(YES_Reading_ELA[#Data], YES_Reading_FLA[#Data]),MATCH($A440,_xlfn.VSTACK(YES_Reading_ELA[Student Number], YES_Reading_FLA[Student Number]),0),MATCH(B$7,YES_Reading_ELA[#Headers],0)),""))</f>
        <v/>
      </c>
      <c r="C440" s="137" t="str">
        <f>IFERROR(INDEX(_xlfn.VSTACK(YES_Writing_ELA[#Data], YES_Writing_FLA[#Data]),MATCH($A440,_xlfn.VSTACK(YES_Writing_ELA[Student Number], YES_Writing_FLA[Student Number]),0),MATCH(C$7,YES_Writing_ELA[#Headers],0)),IFERROR(INDEX(_xlfn.VSTACK(YES_Reading_ELA[#Data], YES_Reading_FLA[#Data]),MATCH($A440,_xlfn.VSTACK(YES_Reading_ELA[Student Number], YES_Reading_FLA[Student Number]),0),MATCH(C$7,YES_Reading_ELA[#Headers],0)),""))</f>
        <v/>
      </c>
      <c r="D440" s="138" t="str">
        <f>IFERROR(IF(IF(INDEX(_xlfn.VSTACK(YES_Writing_ELA[#Data],YES_Writing_FLA[#Data]),MATCH($A440,_xlfn.VSTACK(YES_Writing_ELA[Student Number],YES_Writing_FLA[Student Number]),0),MATCH(VLOOKUP(D$7,'Writing Logic'!$J$7:$K$11,2,FALSE)&amp;" - Per "&amp;VLOOKUP($C$4,'Writing Logic'!$G$8:$H$14,2,FALSE),YES_Writing_ELA[#Headers],0))=0,"",INDEX(_xlfn.VSTACK(YES_Writing_ELA[#Data],YES_Writing_FLA[#Data]),MATCH($A440,_xlfn.VSTACK(YES_Writing_ELA[Student Number],YES_Writing_FLA[Student Number]),0),MATCH(VLOOKUP(D$7,'Writing Logic'!$J$7:$K$11,2,FALSE)&amp;" - Per "&amp;VLOOKUP($C$4,'Writing Logic'!$G$8:$H$14,2,FALSE),YES_Writing_ELA[#Headers],0)))="INS",'Writing Logic'!$B$7,IF(INDEX(_xlfn.VSTACK(YES_Writing_ELA[#Data],YES_Writing_FLA[#Data]),MATCH($A440,_xlfn.VSTACK(YES_Writing_ELA[Student Number],YES_Writing_FLA[Student Number]),0),MATCH(VLOOKUP(D$7,'Writing Logic'!$J$7:$K$11,2,FALSE)&amp;" - Per "&amp;VLOOKUP($C$4,'Writing Logic'!$G$8:$H$14,2,FALSE),YES_Writing_ELA[#Headers],0))=0,"",INDEX(_xlfn.VSTACK(YES_Writing_ELA[#Data],YES_Writing_FLA[#Data]),MATCH($A440,_xlfn.VSTACK(YES_Writing_ELA[Student Number],YES_Writing_FLA[Student Number]),0),MATCH(VLOOKUP(D$7,'Writing Logic'!$J$7:$K$11,2,FALSE)&amp;" - Per "&amp;VLOOKUP($C$4,'Writing Logic'!$G$8:$H$14,2,FALSE),YES_Writing_ELA[#Headers],0)))),"")</f>
        <v/>
      </c>
      <c r="E440" s="138" t="str">
        <f>IFERROR(IF(IF(INDEX(_xlfn.VSTACK(YES_Writing_ELA[#Data],YES_Writing_FLA[#Data]),MATCH($A440,_xlfn.VSTACK(YES_Writing_ELA[Student Number],YES_Writing_FLA[Student Number]),0),MATCH(VLOOKUP(E$7,'Writing Logic'!$J$7:$K$11,2,FALSE)&amp;" - Per "&amp;VLOOKUP($C$4,'Writing Logic'!$G$8:$H$14,2,FALSE),YES_Writing_ELA[#Headers],0))=0,"",INDEX(_xlfn.VSTACK(YES_Writing_ELA[#Data],YES_Writing_FLA[#Data]),MATCH($A440,_xlfn.VSTACK(YES_Writing_ELA[Student Number],YES_Writing_FLA[Student Number]),0),MATCH(VLOOKUP(E$7,'Writing Logic'!$J$7:$K$11,2,FALSE)&amp;" - Per "&amp;VLOOKUP($C$4,'Writing Logic'!$G$8:$H$14,2,FALSE),YES_Writing_ELA[#Headers],0)))="INS",'Writing Logic'!$B$7,IF(INDEX(_xlfn.VSTACK(YES_Writing_ELA[#Data],YES_Writing_FLA[#Data]),MATCH($A440,_xlfn.VSTACK(YES_Writing_ELA[Student Number],YES_Writing_FLA[Student Number]),0),MATCH(VLOOKUP(E$7,'Writing Logic'!$J$7:$K$11,2,FALSE)&amp;" - Per "&amp;VLOOKUP($C$4,'Writing Logic'!$G$8:$H$14,2,FALSE),YES_Writing_ELA[#Headers],0))=0,"",INDEX(_xlfn.VSTACK(YES_Writing_ELA[#Data],YES_Writing_FLA[#Data]),MATCH($A440,_xlfn.VSTACK(YES_Writing_ELA[Student Number],YES_Writing_FLA[Student Number]),0),MATCH(VLOOKUP(E$7,'Writing Logic'!$J$7:$K$11,2,FALSE)&amp;" - Per "&amp;VLOOKUP($C$4,'Writing Logic'!$G$8:$H$14,2,FALSE),YES_Writing_ELA[#Headers],0)))),"")</f>
        <v/>
      </c>
      <c r="F440" s="138" t="str">
        <f>IFERROR(IF(IF(INDEX(_xlfn.VSTACK(YES_Writing_ELA[#Data],YES_Writing_FLA[#Data]),MATCH($A440,_xlfn.VSTACK(YES_Writing_ELA[Student Number],YES_Writing_FLA[Student Number]),0),MATCH(VLOOKUP(F$7,'Writing Logic'!$J$7:$K$11,2,FALSE)&amp;" - Per "&amp;VLOOKUP($C$4,'Writing Logic'!$G$8:$H$14,2,FALSE),YES_Writing_ELA[#Headers],0))=0,"",INDEX(_xlfn.VSTACK(YES_Writing_ELA[#Data],YES_Writing_FLA[#Data]),MATCH($A440,_xlfn.VSTACK(YES_Writing_ELA[Student Number],YES_Writing_FLA[Student Number]),0),MATCH(VLOOKUP(F$7,'Writing Logic'!$J$7:$K$11,2,FALSE)&amp;" - Per "&amp;VLOOKUP($C$4,'Writing Logic'!$G$8:$H$14,2,FALSE),YES_Writing_ELA[#Headers],0)))="INS",'Writing Logic'!$B$7,IF(INDEX(_xlfn.VSTACK(YES_Writing_ELA[#Data],YES_Writing_FLA[#Data]),MATCH($A440,_xlfn.VSTACK(YES_Writing_ELA[Student Number],YES_Writing_FLA[Student Number]),0),MATCH(VLOOKUP(F$7,'Writing Logic'!$J$7:$K$11,2,FALSE)&amp;" - Per "&amp;VLOOKUP($C$4,'Writing Logic'!$G$8:$H$14,2,FALSE),YES_Writing_ELA[#Headers],0))=0,"",INDEX(_xlfn.VSTACK(YES_Writing_ELA[#Data],YES_Writing_FLA[#Data]),MATCH($A440,_xlfn.VSTACK(YES_Writing_ELA[Student Number],YES_Writing_FLA[Student Number]),0),MATCH(VLOOKUP(F$7,'Writing Logic'!$J$7:$K$11,2,FALSE)&amp;" - Per "&amp;VLOOKUP($C$4,'Writing Logic'!$G$8:$H$14,2,FALSE),YES_Writing_ELA[#Headers],0)))),"")</f>
        <v/>
      </c>
      <c r="G440" s="138" t="str">
        <f>IFERROR(IF(IF(INDEX(_xlfn.VSTACK(YES_Writing_ELA[#Data],YES_Writing_FLA[#Data]),MATCH($A440,_xlfn.VSTACK(YES_Writing_ELA[Student Number],YES_Writing_FLA[Student Number]),0),MATCH(VLOOKUP(G$7,'Writing Logic'!$J$7:$K$11,2,FALSE)&amp;" - Per "&amp;VLOOKUP($C$4,'Writing Logic'!$G$8:$H$14,2,FALSE),YES_Writing_ELA[#Headers],0))=0,"",INDEX(_xlfn.VSTACK(YES_Writing_ELA[#Data],YES_Writing_FLA[#Data]),MATCH($A440,_xlfn.VSTACK(YES_Writing_ELA[Student Number],YES_Writing_FLA[Student Number]),0),MATCH(VLOOKUP(G$7,'Writing Logic'!$J$7:$K$11,2,FALSE)&amp;" - Per "&amp;VLOOKUP($C$4,'Writing Logic'!$G$8:$H$14,2,FALSE),YES_Writing_ELA[#Headers],0)))="INS",'Writing Logic'!$B$7,IF(INDEX(_xlfn.VSTACK(YES_Writing_ELA[#Data],YES_Writing_FLA[#Data]),MATCH($A440,_xlfn.VSTACK(YES_Writing_ELA[Student Number],YES_Writing_FLA[Student Number]),0),MATCH(VLOOKUP(G$7,'Writing Logic'!$J$7:$K$11,2,FALSE)&amp;" - Per "&amp;VLOOKUP($C$4,'Writing Logic'!$G$8:$H$14,2,FALSE),YES_Writing_ELA[#Headers],0))=0,"",INDEX(_xlfn.VSTACK(YES_Writing_ELA[#Data],YES_Writing_FLA[#Data]),MATCH($A440,_xlfn.VSTACK(YES_Writing_ELA[Student Number],YES_Writing_FLA[Student Number]),0),MATCH(VLOOKUP(G$7,'Writing Logic'!$J$7:$K$11,2,FALSE)&amp;" - Per "&amp;VLOOKUP($C$4,'Writing Logic'!$G$8:$H$14,2,FALSE),YES_Writing_ELA[#Headers],0)))),"")</f>
        <v/>
      </c>
      <c r="H440" s="223" t="str">
        <f>IFERROR(IF(IF(INDEX(_xlfn.VSTACK(YES_Writing_ELA[#Data],YES_Writing_FLA[#Data]),MATCH($A440,_xlfn.VSTACK(YES_Writing_ELA[Student Number],YES_Writing_FLA[Student Number]),0),MATCH(VLOOKUP(H$7,'Writing Logic'!$J$7:$K$11,2,FALSE)&amp;" - Per "&amp;VLOOKUP($C$4,'Writing Logic'!$G$8:$H$14,2,FALSE),YES_Writing_ELA[#Headers],0))=0,"",INDEX(_xlfn.VSTACK(YES_Writing_ELA[#Data],YES_Writing_FLA[#Data]),MATCH($A440,_xlfn.VSTACK(YES_Writing_ELA[Student Number],YES_Writing_FLA[Student Number]),0),MATCH(VLOOKUP(H$7,'Writing Logic'!$J$7:$K$11,2,FALSE)&amp;" - Per "&amp;VLOOKUP($C$4,'Writing Logic'!$G$8:$H$14,2,FALSE),YES_Writing_ELA[#Headers],0)))="INS",'Writing Logic'!$B$7,IF(INDEX(_xlfn.VSTACK(YES_Writing_ELA[#Data],YES_Writing_FLA[#Data]),MATCH($A440,_xlfn.VSTACK(YES_Writing_ELA[Student Number],YES_Writing_FLA[Student Number]),0),MATCH(VLOOKUP(H$7,'Writing Logic'!$J$7:$K$11,2,FALSE)&amp;" - Per "&amp;VLOOKUP($C$4,'Writing Logic'!$G$8:$H$14,2,FALSE),YES_Writing_ELA[#Headers],0))=0,"",INDEX(_xlfn.VSTACK(YES_Writing_ELA[#Data],YES_Writing_FLA[#Data]),MATCH($A440,_xlfn.VSTACK(YES_Writing_ELA[Student Number],YES_Writing_FLA[Student Number]),0),MATCH(VLOOKUP(H$7,'Writing Logic'!$J$7:$K$11,2,FALSE)&amp;" - Per "&amp;VLOOKUP($C$4,'Writing Logic'!$G$8:$H$14,2,FALSE),YES_Writing_ELA[#Headers],0)))),"")</f>
        <v/>
      </c>
      <c r="I440" s="224" t="str" cm="1">
        <f t="array" aca="1" ref="I440" ca="1">IFERROR(
IF($G$3="ELA",
IF(VLOOKUP($A440, YES_Reading_ELA[], COLUMN(INDIRECT("YES_Reading_ELA[Difference - Per "&amp;VLOOKUP($G$4, 'Reading Report Logic'!$A$2:$B$8, 2, FALSE)&amp;"]")), FALSE)="", "",
VLOOKUP($A440,YES_Reading_ELA[], COLUMN(INDIRECT("YES_Reading_ELA[Difference - Per "&amp;VLOOKUP($G$4,'Reading Report Logic'!$A$2:$B$8,2,FALSE)&amp;"]")), FALSE)),
IF($G$3="FLA",
IF(VLOOKUP($A440, YES_Reading_FLA[], COLUMN(INDIRECT("YES_Reading_FLA[Difference - Per "&amp;VLOOKUP($G$4,'Reading Report Logic'!$A$2:$B$8,2,FALSE)&amp;"]")),FALSE)="","",
VLOOKUP($A440,YES_Reading_FLA[],COLUMN(INDIRECT("YES_Reading_FLA[Difference - Per "&amp;VLOOKUP($G$4,'Reading Report Logic'!$A$2:$B$8,2,FALSE)&amp;"]")),FALSE)),
IF($G$3="Combined",
IFERROR(
IF(VLOOKUP($A440, YES_Reading_ELA[], COLUMN(INDIRECT("YES_Reading_ELA[Difference - Per "&amp;VLOOKUP($G$4, 'Reading Report Logic'!$A$2:$B$8,2,FALSE)&amp;"]")), FALSE)="", "",
VLOOKUP($A440,YES_Reading_ELA[],COLUMN(INDIRECT("YES_Reading_ELA[Difference - Per "&amp;VLOOKUP($G$4,'Reading Report Logic'!$A$2:$B$8,2,FALSE)&amp;"]")),FALSE)),
IF(VLOOKUP($A440, YES_Reading_FLA[], COLUMN(INDIRECT("YES_Reading_FLA[Difference - Per "&amp;VLOOKUP($G$4, 'Reading Report Logic'!$A$2:$B$8, 2, FALSE)&amp;"]")),FALSE)="", "", VLOOKUP($A440,YES_Reading_FLA[],COLUMN(INDIRECT("YES_Reading_FLA[Difference - Per "&amp;VLOOKUP($G$4, 'Reading Report Logic'!$A$2:$B$8, 2, FALSE)&amp;"]")),FALSE))),""))),"")</f>
        <v/>
      </c>
    </row>
    <row r="441" spans="1:9" x14ac:dyDescent="0.25">
      <c r="A441" s="137"/>
      <c r="B441" s="137" t="str">
        <f>IFERROR(INDEX(_xlfn.VSTACK(YES_Writing_ELA[#Data], YES_Writing_FLA[#Data]),MATCH($A441,_xlfn.VSTACK(YES_Writing_ELA[Student Number], YES_Writing_FLA[Student Number]),0),MATCH(B$7,YES_Writing_ELA[#Headers],0)),IFERROR(INDEX(_xlfn.VSTACK(YES_Reading_ELA[#Data], YES_Reading_FLA[#Data]),MATCH($A441,_xlfn.VSTACK(YES_Reading_ELA[Student Number], YES_Reading_FLA[Student Number]),0),MATCH(B$7,YES_Reading_ELA[#Headers],0)),""))</f>
        <v/>
      </c>
      <c r="C441" s="137" t="str">
        <f>IFERROR(INDEX(_xlfn.VSTACK(YES_Writing_ELA[#Data], YES_Writing_FLA[#Data]),MATCH($A441,_xlfn.VSTACK(YES_Writing_ELA[Student Number], YES_Writing_FLA[Student Number]),0),MATCH(C$7,YES_Writing_ELA[#Headers],0)),IFERROR(INDEX(_xlfn.VSTACK(YES_Reading_ELA[#Data], YES_Reading_FLA[#Data]),MATCH($A441,_xlfn.VSTACK(YES_Reading_ELA[Student Number], YES_Reading_FLA[Student Number]),0),MATCH(C$7,YES_Reading_ELA[#Headers],0)),""))</f>
        <v/>
      </c>
      <c r="D441" s="138" t="str">
        <f>IFERROR(IF(IF(INDEX(_xlfn.VSTACK(YES_Writing_ELA[#Data],YES_Writing_FLA[#Data]),MATCH($A441,_xlfn.VSTACK(YES_Writing_ELA[Student Number],YES_Writing_FLA[Student Number]),0),MATCH(VLOOKUP(D$7,'Writing Logic'!$J$7:$K$11,2,FALSE)&amp;" - Per "&amp;VLOOKUP($C$4,'Writing Logic'!$G$8:$H$14,2,FALSE),YES_Writing_ELA[#Headers],0))=0,"",INDEX(_xlfn.VSTACK(YES_Writing_ELA[#Data],YES_Writing_FLA[#Data]),MATCH($A441,_xlfn.VSTACK(YES_Writing_ELA[Student Number],YES_Writing_FLA[Student Number]),0),MATCH(VLOOKUP(D$7,'Writing Logic'!$J$7:$K$11,2,FALSE)&amp;" - Per "&amp;VLOOKUP($C$4,'Writing Logic'!$G$8:$H$14,2,FALSE),YES_Writing_ELA[#Headers],0)))="INS",'Writing Logic'!$B$7,IF(INDEX(_xlfn.VSTACK(YES_Writing_ELA[#Data],YES_Writing_FLA[#Data]),MATCH($A441,_xlfn.VSTACK(YES_Writing_ELA[Student Number],YES_Writing_FLA[Student Number]),0),MATCH(VLOOKUP(D$7,'Writing Logic'!$J$7:$K$11,2,FALSE)&amp;" - Per "&amp;VLOOKUP($C$4,'Writing Logic'!$G$8:$H$14,2,FALSE),YES_Writing_ELA[#Headers],0))=0,"",INDEX(_xlfn.VSTACK(YES_Writing_ELA[#Data],YES_Writing_FLA[#Data]),MATCH($A441,_xlfn.VSTACK(YES_Writing_ELA[Student Number],YES_Writing_FLA[Student Number]),0),MATCH(VLOOKUP(D$7,'Writing Logic'!$J$7:$K$11,2,FALSE)&amp;" - Per "&amp;VLOOKUP($C$4,'Writing Logic'!$G$8:$H$14,2,FALSE),YES_Writing_ELA[#Headers],0)))),"")</f>
        <v/>
      </c>
      <c r="E441" s="138" t="str">
        <f>IFERROR(IF(IF(INDEX(_xlfn.VSTACK(YES_Writing_ELA[#Data],YES_Writing_FLA[#Data]),MATCH($A441,_xlfn.VSTACK(YES_Writing_ELA[Student Number],YES_Writing_FLA[Student Number]),0),MATCH(VLOOKUP(E$7,'Writing Logic'!$J$7:$K$11,2,FALSE)&amp;" - Per "&amp;VLOOKUP($C$4,'Writing Logic'!$G$8:$H$14,2,FALSE),YES_Writing_ELA[#Headers],0))=0,"",INDEX(_xlfn.VSTACK(YES_Writing_ELA[#Data],YES_Writing_FLA[#Data]),MATCH($A441,_xlfn.VSTACK(YES_Writing_ELA[Student Number],YES_Writing_FLA[Student Number]),0),MATCH(VLOOKUP(E$7,'Writing Logic'!$J$7:$K$11,2,FALSE)&amp;" - Per "&amp;VLOOKUP($C$4,'Writing Logic'!$G$8:$H$14,2,FALSE),YES_Writing_ELA[#Headers],0)))="INS",'Writing Logic'!$B$7,IF(INDEX(_xlfn.VSTACK(YES_Writing_ELA[#Data],YES_Writing_FLA[#Data]),MATCH($A441,_xlfn.VSTACK(YES_Writing_ELA[Student Number],YES_Writing_FLA[Student Number]),0),MATCH(VLOOKUP(E$7,'Writing Logic'!$J$7:$K$11,2,FALSE)&amp;" - Per "&amp;VLOOKUP($C$4,'Writing Logic'!$G$8:$H$14,2,FALSE),YES_Writing_ELA[#Headers],0))=0,"",INDEX(_xlfn.VSTACK(YES_Writing_ELA[#Data],YES_Writing_FLA[#Data]),MATCH($A441,_xlfn.VSTACK(YES_Writing_ELA[Student Number],YES_Writing_FLA[Student Number]),0),MATCH(VLOOKUP(E$7,'Writing Logic'!$J$7:$K$11,2,FALSE)&amp;" - Per "&amp;VLOOKUP($C$4,'Writing Logic'!$G$8:$H$14,2,FALSE),YES_Writing_ELA[#Headers],0)))),"")</f>
        <v/>
      </c>
      <c r="F441" s="138" t="str">
        <f>IFERROR(IF(IF(INDEX(_xlfn.VSTACK(YES_Writing_ELA[#Data],YES_Writing_FLA[#Data]),MATCH($A441,_xlfn.VSTACK(YES_Writing_ELA[Student Number],YES_Writing_FLA[Student Number]),0),MATCH(VLOOKUP(F$7,'Writing Logic'!$J$7:$K$11,2,FALSE)&amp;" - Per "&amp;VLOOKUP($C$4,'Writing Logic'!$G$8:$H$14,2,FALSE),YES_Writing_ELA[#Headers],0))=0,"",INDEX(_xlfn.VSTACK(YES_Writing_ELA[#Data],YES_Writing_FLA[#Data]),MATCH($A441,_xlfn.VSTACK(YES_Writing_ELA[Student Number],YES_Writing_FLA[Student Number]),0),MATCH(VLOOKUP(F$7,'Writing Logic'!$J$7:$K$11,2,FALSE)&amp;" - Per "&amp;VLOOKUP($C$4,'Writing Logic'!$G$8:$H$14,2,FALSE),YES_Writing_ELA[#Headers],0)))="INS",'Writing Logic'!$B$7,IF(INDEX(_xlfn.VSTACK(YES_Writing_ELA[#Data],YES_Writing_FLA[#Data]),MATCH($A441,_xlfn.VSTACK(YES_Writing_ELA[Student Number],YES_Writing_FLA[Student Number]),0),MATCH(VLOOKUP(F$7,'Writing Logic'!$J$7:$K$11,2,FALSE)&amp;" - Per "&amp;VLOOKUP($C$4,'Writing Logic'!$G$8:$H$14,2,FALSE),YES_Writing_ELA[#Headers],0))=0,"",INDEX(_xlfn.VSTACK(YES_Writing_ELA[#Data],YES_Writing_FLA[#Data]),MATCH($A441,_xlfn.VSTACK(YES_Writing_ELA[Student Number],YES_Writing_FLA[Student Number]),0),MATCH(VLOOKUP(F$7,'Writing Logic'!$J$7:$K$11,2,FALSE)&amp;" - Per "&amp;VLOOKUP($C$4,'Writing Logic'!$G$8:$H$14,2,FALSE),YES_Writing_ELA[#Headers],0)))),"")</f>
        <v/>
      </c>
      <c r="G441" s="138" t="str">
        <f>IFERROR(IF(IF(INDEX(_xlfn.VSTACK(YES_Writing_ELA[#Data],YES_Writing_FLA[#Data]),MATCH($A441,_xlfn.VSTACK(YES_Writing_ELA[Student Number],YES_Writing_FLA[Student Number]),0),MATCH(VLOOKUP(G$7,'Writing Logic'!$J$7:$K$11,2,FALSE)&amp;" - Per "&amp;VLOOKUP($C$4,'Writing Logic'!$G$8:$H$14,2,FALSE),YES_Writing_ELA[#Headers],0))=0,"",INDEX(_xlfn.VSTACK(YES_Writing_ELA[#Data],YES_Writing_FLA[#Data]),MATCH($A441,_xlfn.VSTACK(YES_Writing_ELA[Student Number],YES_Writing_FLA[Student Number]),0),MATCH(VLOOKUP(G$7,'Writing Logic'!$J$7:$K$11,2,FALSE)&amp;" - Per "&amp;VLOOKUP($C$4,'Writing Logic'!$G$8:$H$14,2,FALSE),YES_Writing_ELA[#Headers],0)))="INS",'Writing Logic'!$B$7,IF(INDEX(_xlfn.VSTACK(YES_Writing_ELA[#Data],YES_Writing_FLA[#Data]),MATCH($A441,_xlfn.VSTACK(YES_Writing_ELA[Student Number],YES_Writing_FLA[Student Number]),0),MATCH(VLOOKUP(G$7,'Writing Logic'!$J$7:$K$11,2,FALSE)&amp;" - Per "&amp;VLOOKUP($C$4,'Writing Logic'!$G$8:$H$14,2,FALSE),YES_Writing_ELA[#Headers],0))=0,"",INDEX(_xlfn.VSTACK(YES_Writing_ELA[#Data],YES_Writing_FLA[#Data]),MATCH($A441,_xlfn.VSTACK(YES_Writing_ELA[Student Number],YES_Writing_FLA[Student Number]),0),MATCH(VLOOKUP(G$7,'Writing Logic'!$J$7:$K$11,2,FALSE)&amp;" - Per "&amp;VLOOKUP($C$4,'Writing Logic'!$G$8:$H$14,2,FALSE),YES_Writing_ELA[#Headers],0)))),"")</f>
        <v/>
      </c>
      <c r="H441" s="223" t="str">
        <f>IFERROR(IF(IF(INDEX(_xlfn.VSTACK(YES_Writing_ELA[#Data],YES_Writing_FLA[#Data]),MATCH($A441,_xlfn.VSTACK(YES_Writing_ELA[Student Number],YES_Writing_FLA[Student Number]),0),MATCH(VLOOKUP(H$7,'Writing Logic'!$J$7:$K$11,2,FALSE)&amp;" - Per "&amp;VLOOKUP($C$4,'Writing Logic'!$G$8:$H$14,2,FALSE),YES_Writing_ELA[#Headers],0))=0,"",INDEX(_xlfn.VSTACK(YES_Writing_ELA[#Data],YES_Writing_FLA[#Data]),MATCH($A441,_xlfn.VSTACK(YES_Writing_ELA[Student Number],YES_Writing_FLA[Student Number]),0),MATCH(VLOOKUP(H$7,'Writing Logic'!$J$7:$K$11,2,FALSE)&amp;" - Per "&amp;VLOOKUP($C$4,'Writing Logic'!$G$8:$H$14,2,FALSE),YES_Writing_ELA[#Headers],0)))="INS",'Writing Logic'!$B$7,IF(INDEX(_xlfn.VSTACK(YES_Writing_ELA[#Data],YES_Writing_FLA[#Data]),MATCH($A441,_xlfn.VSTACK(YES_Writing_ELA[Student Number],YES_Writing_FLA[Student Number]),0),MATCH(VLOOKUP(H$7,'Writing Logic'!$J$7:$K$11,2,FALSE)&amp;" - Per "&amp;VLOOKUP($C$4,'Writing Logic'!$G$8:$H$14,2,FALSE),YES_Writing_ELA[#Headers],0))=0,"",INDEX(_xlfn.VSTACK(YES_Writing_ELA[#Data],YES_Writing_FLA[#Data]),MATCH($A441,_xlfn.VSTACK(YES_Writing_ELA[Student Number],YES_Writing_FLA[Student Number]),0),MATCH(VLOOKUP(H$7,'Writing Logic'!$J$7:$K$11,2,FALSE)&amp;" - Per "&amp;VLOOKUP($C$4,'Writing Logic'!$G$8:$H$14,2,FALSE),YES_Writing_ELA[#Headers],0)))),"")</f>
        <v/>
      </c>
      <c r="I441" s="224" t="str" cm="1">
        <f t="array" aca="1" ref="I441" ca="1">IFERROR(
IF($G$3="ELA",
IF(VLOOKUP($A441, YES_Reading_ELA[], COLUMN(INDIRECT("YES_Reading_ELA[Difference - Per "&amp;VLOOKUP($G$4, 'Reading Report Logic'!$A$2:$B$8, 2, FALSE)&amp;"]")), FALSE)="", "",
VLOOKUP($A441,YES_Reading_ELA[], COLUMN(INDIRECT("YES_Reading_ELA[Difference - Per "&amp;VLOOKUP($G$4,'Reading Report Logic'!$A$2:$B$8,2,FALSE)&amp;"]")), FALSE)),
IF($G$3="FLA",
IF(VLOOKUP($A441, YES_Reading_FLA[], COLUMN(INDIRECT("YES_Reading_FLA[Difference - Per "&amp;VLOOKUP($G$4,'Reading Report Logic'!$A$2:$B$8,2,FALSE)&amp;"]")),FALSE)="","",
VLOOKUP($A441,YES_Reading_FLA[],COLUMN(INDIRECT("YES_Reading_FLA[Difference - Per "&amp;VLOOKUP($G$4,'Reading Report Logic'!$A$2:$B$8,2,FALSE)&amp;"]")),FALSE)),
IF($G$3="Combined",
IFERROR(
IF(VLOOKUP($A441, YES_Reading_ELA[], COLUMN(INDIRECT("YES_Reading_ELA[Difference - Per "&amp;VLOOKUP($G$4, 'Reading Report Logic'!$A$2:$B$8,2,FALSE)&amp;"]")), FALSE)="", "",
VLOOKUP($A441,YES_Reading_ELA[],COLUMN(INDIRECT("YES_Reading_ELA[Difference - Per "&amp;VLOOKUP($G$4,'Reading Report Logic'!$A$2:$B$8,2,FALSE)&amp;"]")),FALSE)),
IF(VLOOKUP($A441, YES_Reading_FLA[], COLUMN(INDIRECT("YES_Reading_FLA[Difference - Per "&amp;VLOOKUP($G$4, 'Reading Report Logic'!$A$2:$B$8, 2, FALSE)&amp;"]")),FALSE)="", "", VLOOKUP($A441,YES_Reading_FLA[],COLUMN(INDIRECT("YES_Reading_FLA[Difference - Per "&amp;VLOOKUP($G$4, 'Reading Report Logic'!$A$2:$B$8, 2, FALSE)&amp;"]")),FALSE))),""))),"")</f>
        <v/>
      </c>
    </row>
    <row r="442" spans="1:9" x14ac:dyDescent="0.25">
      <c r="A442" s="137"/>
      <c r="B442" s="137" t="str">
        <f>IFERROR(INDEX(_xlfn.VSTACK(YES_Writing_ELA[#Data], YES_Writing_FLA[#Data]),MATCH($A442,_xlfn.VSTACK(YES_Writing_ELA[Student Number], YES_Writing_FLA[Student Number]),0),MATCH(B$7,YES_Writing_ELA[#Headers],0)),IFERROR(INDEX(_xlfn.VSTACK(YES_Reading_ELA[#Data], YES_Reading_FLA[#Data]),MATCH($A442,_xlfn.VSTACK(YES_Reading_ELA[Student Number], YES_Reading_FLA[Student Number]),0),MATCH(B$7,YES_Reading_ELA[#Headers],0)),""))</f>
        <v/>
      </c>
      <c r="C442" s="137" t="str">
        <f>IFERROR(INDEX(_xlfn.VSTACK(YES_Writing_ELA[#Data], YES_Writing_FLA[#Data]),MATCH($A442,_xlfn.VSTACK(YES_Writing_ELA[Student Number], YES_Writing_FLA[Student Number]),0),MATCH(C$7,YES_Writing_ELA[#Headers],0)),IFERROR(INDEX(_xlfn.VSTACK(YES_Reading_ELA[#Data], YES_Reading_FLA[#Data]),MATCH($A442,_xlfn.VSTACK(YES_Reading_ELA[Student Number], YES_Reading_FLA[Student Number]),0),MATCH(C$7,YES_Reading_ELA[#Headers],0)),""))</f>
        <v/>
      </c>
      <c r="D442" s="138" t="str">
        <f>IFERROR(IF(IF(INDEX(_xlfn.VSTACK(YES_Writing_ELA[#Data],YES_Writing_FLA[#Data]),MATCH($A442,_xlfn.VSTACK(YES_Writing_ELA[Student Number],YES_Writing_FLA[Student Number]),0),MATCH(VLOOKUP(D$7,'Writing Logic'!$J$7:$K$11,2,FALSE)&amp;" - Per "&amp;VLOOKUP($C$4,'Writing Logic'!$G$8:$H$14,2,FALSE),YES_Writing_ELA[#Headers],0))=0,"",INDEX(_xlfn.VSTACK(YES_Writing_ELA[#Data],YES_Writing_FLA[#Data]),MATCH($A442,_xlfn.VSTACK(YES_Writing_ELA[Student Number],YES_Writing_FLA[Student Number]),0),MATCH(VLOOKUP(D$7,'Writing Logic'!$J$7:$K$11,2,FALSE)&amp;" - Per "&amp;VLOOKUP($C$4,'Writing Logic'!$G$8:$H$14,2,FALSE),YES_Writing_ELA[#Headers],0)))="INS",'Writing Logic'!$B$7,IF(INDEX(_xlfn.VSTACK(YES_Writing_ELA[#Data],YES_Writing_FLA[#Data]),MATCH($A442,_xlfn.VSTACK(YES_Writing_ELA[Student Number],YES_Writing_FLA[Student Number]),0),MATCH(VLOOKUP(D$7,'Writing Logic'!$J$7:$K$11,2,FALSE)&amp;" - Per "&amp;VLOOKUP($C$4,'Writing Logic'!$G$8:$H$14,2,FALSE),YES_Writing_ELA[#Headers],0))=0,"",INDEX(_xlfn.VSTACK(YES_Writing_ELA[#Data],YES_Writing_FLA[#Data]),MATCH($A442,_xlfn.VSTACK(YES_Writing_ELA[Student Number],YES_Writing_FLA[Student Number]),0),MATCH(VLOOKUP(D$7,'Writing Logic'!$J$7:$K$11,2,FALSE)&amp;" - Per "&amp;VLOOKUP($C$4,'Writing Logic'!$G$8:$H$14,2,FALSE),YES_Writing_ELA[#Headers],0)))),"")</f>
        <v/>
      </c>
      <c r="E442" s="138" t="str">
        <f>IFERROR(IF(IF(INDEX(_xlfn.VSTACK(YES_Writing_ELA[#Data],YES_Writing_FLA[#Data]),MATCH($A442,_xlfn.VSTACK(YES_Writing_ELA[Student Number],YES_Writing_FLA[Student Number]),0),MATCH(VLOOKUP(E$7,'Writing Logic'!$J$7:$K$11,2,FALSE)&amp;" - Per "&amp;VLOOKUP($C$4,'Writing Logic'!$G$8:$H$14,2,FALSE),YES_Writing_ELA[#Headers],0))=0,"",INDEX(_xlfn.VSTACK(YES_Writing_ELA[#Data],YES_Writing_FLA[#Data]),MATCH($A442,_xlfn.VSTACK(YES_Writing_ELA[Student Number],YES_Writing_FLA[Student Number]),0),MATCH(VLOOKUP(E$7,'Writing Logic'!$J$7:$K$11,2,FALSE)&amp;" - Per "&amp;VLOOKUP($C$4,'Writing Logic'!$G$8:$H$14,2,FALSE),YES_Writing_ELA[#Headers],0)))="INS",'Writing Logic'!$B$7,IF(INDEX(_xlfn.VSTACK(YES_Writing_ELA[#Data],YES_Writing_FLA[#Data]),MATCH($A442,_xlfn.VSTACK(YES_Writing_ELA[Student Number],YES_Writing_FLA[Student Number]),0),MATCH(VLOOKUP(E$7,'Writing Logic'!$J$7:$K$11,2,FALSE)&amp;" - Per "&amp;VLOOKUP($C$4,'Writing Logic'!$G$8:$H$14,2,FALSE),YES_Writing_ELA[#Headers],0))=0,"",INDEX(_xlfn.VSTACK(YES_Writing_ELA[#Data],YES_Writing_FLA[#Data]),MATCH($A442,_xlfn.VSTACK(YES_Writing_ELA[Student Number],YES_Writing_FLA[Student Number]),0),MATCH(VLOOKUP(E$7,'Writing Logic'!$J$7:$K$11,2,FALSE)&amp;" - Per "&amp;VLOOKUP($C$4,'Writing Logic'!$G$8:$H$14,2,FALSE),YES_Writing_ELA[#Headers],0)))),"")</f>
        <v/>
      </c>
      <c r="F442" s="138" t="str">
        <f>IFERROR(IF(IF(INDEX(_xlfn.VSTACK(YES_Writing_ELA[#Data],YES_Writing_FLA[#Data]),MATCH($A442,_xlfn.VSTACK(YES_Writing_ELA[Student Number],YES_Writing_FLA[Student Number]),0),MATCH(VLOOKUP(F$7,'Writing Logic'!$J$7:$K$11,2,FALSE)&amp;" - Per "&amp;VLOOKUP($C$4,'Writing Logic'!$G$8:$H$14,2,FALSE),YES_Writing_ELA[#Headers],0))=0,"",INDEX(_xlfn.VSTACK(YES_Writing_ELA[#Data],YES_Writing_FLA[#Data]),MATCH($A442,_xlfn.VSTACK(YES_Writing_ELA[Student Number],YES_Writing_FLA[Student Number]),0),MATCH(VLOOKUP(F$7,'Writing Logic'!$J$7:$K$11,2,FALSE)&amp;" - Per "&amp;VLOOKUP($C$4,'Writing Logic'!$G$8:$H$14,2,FALSE),YES_Writing_ELA[#Headers],0)))="INS",'Writing Logic'!$B$7,IF(INDEX(_xlfn.VSTACK(YES_Writing_ELA[#Data],YES_Writing_FLA[#Data]),MATCH($A442,_xlfn.VSTACK(YES_Writing_ELA[Student Number],YES_Writing_FLA[Student Number]),0),MATCH(VLOOKUP(F$7,'Writing Logic'!$J$7:$K$11,2,FALSE)&amp;" - Per "&amp;VLOOKUP($C$4,'Writing Logic'!$G$8:$H$14,2,FALSE),YES_Writing_ELA[#Headers],0))=0,"",INDEX(_xlfn.VSTACK(YES_Writing_ELA[#Data],YES_Writing_FLA[#Data]),MATCH($A442,_xlfn.VSTACK(YES_Writing_ELA[Student Number],YES_Writing_FLA[Student Number]),0),MATCH(VLOOKUP(F$7,'Writing Logic'!$J$7:$K$11,2,FALSE)&amp;" - Per "&amp;VLOOKUP($C$4,'Writing Logic'!$G$8:$H$14,2,FALSE),YES_Writing_ELA[#Headers],0)))),"")</f>
        <v/>
      </c>
      <c r="G442" s="138" t="str">
        <f>IFERROR(IF(IF(INDEX(_xlfn.VSTACK(YES_Writing_ELA[#Data],YES_Writing_FLA[#Data]),MATCH($A442,_xlfn.VSTACK(YES_Writing_ELA[Student Number],YES_Writing_FLA[Student Number]),0),MATCH(VLOOKUP(G$7,'Writing Logic'!$J$7:$K$11,2,FALSE)&amp;" - Per "&amp;VLOOKUP($C$4,'Writing Logic'!$G$8:$H$14,2,FALSE),YES_Writing_ELA[#Headers],0))=0,"",INDEX(_xlfn.VSTACK(YES_Writing_ELA[#Data],YES_Writing_FLA[#Data]),MATCH($A442,_xlfn.VSTACK(YES_Writing_ELA[Student Number],YES_Writing_FLA[Student Number]),0),MATCH(VLOOKUP(G$7,'Writing Logic'!$J$7:$K$11,2,FALSE)&amp;" - Per "&amp;VLOOKUP($C$4,'Writing Logic'!$G$8:$H$14,2,FALSE),YES_Writing_ELA[#Headers],0)))="INS",'Writing Logic'!$B$7,IF(INDEX(_xlfn.VSTACK(YES_Writing_ELA[#Data],YES_Writing_FLA[#Data]),MATCH($A442,_xlfn.VSTACK(YES_Writing_ELA[Student Number],YES_Writing_FLA[Student Number]),0),MATCH(VLOOKUP(G$7,'Writing Logic'!$J$7:$K$11,2,FALSE)&amp;" - Per "&amp;VLOOKUP($C$4,'Writing Logic'!$G$8:$H$14,2,FALSE),YES_Writing_ELA[#Headers],0))=0,"",INDEX(_xlfn.VSTACK(YES_Writing_ELA[#Data],YES_Writing_FLA[#Data]),MATCH($A442,_xlfn.VSTACK(YES_Writing_ELA[Student Number],YES_Writing_FLA[Student Number]),0),MATCH(VLOOKUP(G$7,'Writing Logic'!$J$7:$K$11,2,FALSE)&amp;" - Per "&amp;VLOOKUP($C$4,'Writing Logic'!$G$8:$H$14,2,FALSE),YES_Writing_ELA[#Headers],0)))),"")</f>
        <v/>
      </c>
      <c r="H442" s="223" t="str">
        <f>IFERROR(IF(IF(INDEX(_xlfn.VSTACK(YES_Writing_ELA[#Data],YES_Writing_FLA[#Data]),MATCH($A442,_xlfn.VSTACK(YES_Writing_ELA[Student Number],YES_Writing_FLA[Student Number]),0),MATCH(VLOOKUP(H$7,'Writing Logic'!$J$7:$K$11,2,FALSE)&amp;" - Per "&amp;VLOOKUP($C$4,'Writing Logic'!$G$8:$H$14,2,FALSE),YES_Writing_ELA[#Headers],0))=0,"",INDEX(_xlfn.VSTACK(YES_Writing_ELA[#Data],YES_Writing_FLA[#Data]),MATCH($A442,_xlfn.VSTACK(YES_Writing_ELA[Student Number],YES_Writing_FLA[Student Number]),0),MATCH(VLOOKUP(H$7,'Writing Logic'!$J$7:$K$11,2,FALSE)&amp;" - Per "&amp;VLOOKUP($C$4,'Writing Logic'!$G$8:$H$14,2,FALSE),YES_Writing_ELA[#Headers],0)))="INS",'Writing Logic'!$B$7,IF(INDEX(_xlfn.VSTACK(YES_Writing_ELA[#Data],YES_Writing_FLA[#Data]),MATCH($A442,_xlfn.VSTACK(YES_Writing_ELA[Student Number],YES_Writing_FLA[Student Number]),0),MATCH(VLOOKUP(H$7,'Writing Logic'!$J$7:$K$11,2,FALSE)&amp;" - Per "&amp;VLOOKUP($C$4,'Writing Logic'!$G$8:$H$14,2,FALSE),YES_Writing_ELA[#Headers],0))=0,"",INDEX(_xlfn.VSTACK(YES_Writing_ELA[#Data],YES_Writing_FLA[#Data]),MATCH($A442,_xlfn.VSTACK(YES_Writing_ELA[Student Number],YES_Writing_FLA[Student Number]),0),MATCH(VLOOKUP(H$7,'Writing Logic'!$J$7:$K$11,2,FALSE)&amp;" - Per "&amp;VLOOKUP($C$4,'Writing Logic'!$G$8:$H$14,2,FALSE),YES_Writing_ELA[#Headers],0)))),"")</f>
        <v/>
      </c>
      <c r="I442" s="224" t="str" cm="1">
        <f t="array" aca="1" ref="I442" ca="1">IFERROR(
IF($G$3="ELA",
IF(VLOOKUP($A442, YES_Reading_ELA[], COLUMN(INDIRECT("YES_Reading_ELA[Difference - Per "&amp;VLOOKUP($G$4, 'Reading Report Logic'!$A$2:$B$8, 2, FALSE)&amp;"]")), FALSE)="", "",
VLOOKUP($A442,YES_Reading_ELA[], COLUMN(INDIRECT("YES_Reading_ELA[Difference - Per "&amp;VLOOKUP($G$4,'Reading Report Logic'!$A$2:$B$8,2,FALSE)&amp;"]")), FALSE)),
IF($G$3="FLA",
IF(VLOOKUP($A442, YES_Reading_FLA[], COLUMN(INDIRECT("YES_Reading_FLA[Difference - Per "&amp;VLOOKUP($G$4,'Reading Report Logic'!$A$2:$B$8,2,FALSE)&amp;"]")),FALSE)="","",
VLOOKUP($A442,YES_Reading_FLA[],COLUMN(INDIRECT("YES_Reading_FLA[Difference - Per "&amp;VLOOKUP($G$4,'Reading Report Logic'!$A$2:$B$8,2,FALSE)&amp;"]")),FALSE)),
IF($G$3="Combined",
IFERROR(
IF(VLOOKUP($A442, YES_Reading_ELA[], COLUMN(INDIRECT("YES_Reading_ELA[Difference - Per "&amp;VLOOKUP($G$4, 'Reading Report Logic'!$A$2:$B$8,2,FALSE)&amp;"]")), FALSE)="", "",
VLOOKUP($A442,YES_Reading_ELA[],COLUMN(INDIRECT("YES_Reading_ELA[Difference - Per "&amp;VLOOKUP($G$4,'Reading Report Logic'!$A$2:$B$8,2,FALSE)&amp;"]")),FALSE)),
IF(VLOOKUP($A442, YES_Reading_FLA[], COLUMN(INDIRECT("YES_Reading_FLA[Difference - Per "&amp;VLOOKUP($G$4, 'Reading Report Logic'!$A$2:$B$8, 2, FALSE)&amp;"]")),FALSE)="", "", VLOOKUP($A442,YES_Reading_FLA[],COLUMN(INDIRECT("YES_Reading_FLA[Difference - Per "&amp;VLOOKUP($G$4, 'Reading Report Logic'!$A$2:$B$8, 2, FALSE)&amp;"]")),FALSE))),""))),"")</f>
        <v/>
      </c>
    </row>
    <row r="443" spans="1:9" x14ac:dyDescent="0.25">
      <c r="A443" s="137"/>
      <c r="B443" s="137" t="str">
        <f>IFERROR(INDEX(_xlfn.VSTACK(YES_Writing_ELA[#Data], YES_Writing_FLA[#Data]),MATCH($A443,_xlfn.VSTACK(YES_Writing_ELA[Student Number], YES_Writing_FLA[Student Number]),0),MATCH(B$7,YES_Writing_ELA[#Headers],0)),IFERROR(INDEX(_xlfn.VSTACK(YES_Reading_ELA[#Data], YES_Reading_FLA[#Data]),MATCH($A443,_xlfn.VSTACK(YES_Reading_ELA[Student Number], YES_Reading_FLA[Student Number]),0),MATCH(B$7,YES_Reading_ELA[#Headers],0)),""))</f>
        <v/>
      </c>
      <c r="C443" s="137" t="str">
        <f>IFERROR(INDEX(_xlfn.VSTACK(YES_Writing_ELA[#Data], YES_Writing_FLA[#Data]),MATCH($A443,_xlfn.VSTACK(YES_Writing_ELA[Student Number], YES_Writing_FLA[Student Number]),0),MATCH(C$7,YES_Writing_ELA[#Headers],0)),IFERROR(INDEX(_xlfn.VSTACK(YES_Reading_ELA[#Data], YES_Reading_FLA[#Data]),MATCH($A443,_xlfn.VSTACK(YES_Reading_ELA[Student Number], YES_Reading_FLA[Student Number]),0),MATCH(C$7,YES_Reading_ELA[#Headers],0)),""))</f>
        <v/>
      </c>
      <c r="D443" s="138" t="str">
        <f>IFERROR(IF(IF(INDEX(_xlfn.VSTACK(YES_Writing_ELA[#Data],YES_Writing_FLA[#Data]),MATCH($A443,_xlfn.VSTACK(YES_Writing_ELA[Student Number],YES_Writing_FLA[Student Number]),0),MATCH(VLOOKUP(D$7,'Writing Logic'!$J$7:$K$11,2,FALSE)&amp;" - Per "&amp;VLOOKUP($C$4,'Writing Logic'!$G$8:$H$14,2,FALSE),YES_Writing_ELA[#Headers],0))=0,"",INDEX(_xlfn.VSTACK(YES_Writing_ELA[#Data],YES_Writing_FLA[#Data]),MATCH($A443,_xlfn.VSTACK(YES_Writing_ELA[Student Number],YES_Writing_FLA[Student Number]),0),MATCH(VLOOKUP(D$7,'Writing Logic'!$J$7:$K$11,2,FALSE)&amp;" - Per "&amp;VLOOKUP($C$4,'Writing Logic'!$G$8:$H$14,2,FALSE),YES_Writing_ELA[#Headers],0)))="INS",'Writing Logic'!$B$7,IF(INDEX(_xlfn.VSTACK(YES_Writing_ELA[#Data],YES_Writing_FLA[#Data]),MATCH($A443,_xlfn.VSTACK(YES_Writing_ELA[Student Number],YES_Writing_FLA[Student Number]),0),MATCH(VLOOKUP(D$7,'Writing Logic'!$J$7:$K$11,2,FALSE)&amp;" - Per "&amp;VLOOKUP($C$4,'Writing Logic'!$G$8:$H$14,2,FALSE),YES_Writing_ELA[#Headers],0))=0,"",INDEX(_xlfn.VSTACK(YES_Writing_ELA[#Data],YES_Writing_FLA[#Data]),MATCH($A443,_xlfn.VSTACK(YES_Writing_ELA[Student Number],YES_Writing_FLA[Student Number]),0),MATCH(VLOOKUP(D$7,'Writing Logic'!$J$7:$K$11,2,FALSE)&amp;" - Per "&amp;VLOOKUP($C$4,'Writing Logic'!$G$8:$H$14,2,FALSE),YES_Writing_ELA[#Headers],0)))),"")</f>
        <v/>
      </c>
      <c r="E443" s="138" t="str">
        <f>IFERROR(IF(IF(INDEX(_xlfn.VSTACK(YES_Writing_ELA[#Data],YES_Writing_FLA[#Data]),MATCH($A443,_xlfn.VSTACK(YES_Writing_ELA[Student Number],YES_Writing_FLA[Student Number]),0),MATCH(VLOOKUP(E$7,'Writing Logic'!$J$7:$K$11,2,FALSE)&amp;" - Per "&amp;VLOOKUP($C$4,'Writing Logic'!$G$8:$H$14,2,FALSE),YES_Writing_ELA[#Headers],0))=0,"",INDEX(_xlfn.VSTACK(YES_Writing_ELA[#Data],YES_Writing_FLA[#Data]),MATCH($A443,_xlfn.VSTACK(YES_Writing_ELA[Student Number],YES_Writing_FLA[Student Number]),0),MATCH(VLOOKUP(E$7,'Writing Logic'!$J$7:$K$11,2,FALSE)&amp;" - Per "&amp;VLOOKUP($C$4,'Writing Logic'!$G$8:$H$14,2,FALSE),YES_Writing_ELA[#Headers],0)))="INS",'Writing Logic'!$B$7,IF(INDEX(_xlfn.VSTACK(YES_Writing_ELA[#Data],YES_Writing_FLA[#Data]),MATCH($A443,_xlfn.VSTACK(YES_Writing_ELA[Student Number],YES_Writing_FLA[Student Number]),0),MATCH(VLOOKUP(E$7,'Writing Logic'!$J$7:$K$11,2,FALSE)&amp;" - Per "&amp;VLOOKUP($C$4,'Writing Logic'!$G$8:$H$14,2,FALSE),YES_Writing_ELA[#Headers],0))=0,"",INDEX(_xlfn.VSTACK(YES_Writing_ELA[#Data],YES_Writing_FLA[#Data]),MATCH($A443,_xlfn.VSTACK(YES_Writing_ELA[Student Number],YES_Writing_FLA[Student Number]),0),MATCH(VLOOKUP(E$7,'Writing Logic'!$J$7:$K$11,2,FALSE)&amp;" - Per "&amp;VLOOKUP($C$4,'Writing Logic'!$G$8:$H$14,2,FALSE),YES_Writing_ELA[#Headers],0)))),"")</f>
        <v/>
      </c>
      <c r="F443" s="138" t="str">
        <f>IFERROR(IF(IF(INDEX(_xlfn.VSTACK(YES_Writing_ELA[#Data],YES_Writing_FLA[#Data]),MATCH($A443,_xlfn.VSTACK(YES_Writing_ELA[Student Number],YES_Writing_FLA[Student Number]),0),MATCH(VLOOKUP(F$7,'Writing Logic'!$J$7:$K$11,2,FALSE)&amp;" - Per "&amp;VLOOKUP($C$4,'Writing Logic'!$G$8:$H$14,2,FALSE),YES_Writing_ELA[#Headers],0))=0,"",INDEX(_xlfn.VSTACK(YES_Writing_ELA[#Data],YES_Writing_FLA[#Data]),MATCH($A443,_xlfn.VSTACK(YES_Writing_ELA[Student Number],YES_Writing_FLA[Student Number]),0),MATCH(VLOOKUP(F$7,'Writing Logic'!$J$7:$K$11,2,FALSE)&amp;" - Per "&amp;VLOOKUP($C$4,'Writing Logic'!$G$8:$H$14,2,FALSE),YES_Writing_ELA[#Headers],0)))="INS",'Writing Logic'!$B$7,IF(INDEX(_xlfn.VSTACK(YES_Writing_ELA[#Data],YES_Writing_FLA[#Data]),MATCH($A443,_xlfn.VSTACK(YES_Writing_ELA[Student Number],YES_Writing_FLA[Student Number]),0),MATCH(VLOOKUP(F$7,'Writing Logic'!$J$7:$K$11,2,FALSE)&amp;" - Per "&amp;VLOOKUP($C$4,'Writing Logic'!$G$8:$H$14,2,FALSE),YES_Writing_ELA[#Headers],0))=0,"",INDEX(_xlfn.VSTACK(YES_Writing_ELA[#Data],YES_Writing_FLA[#Data]),MATCH($A443,_xlfn.VSTACK(YES_Writing_ELA[Student Number],YES_Writing_FLA[Student Number]),0),MATCH(VLOOKUP(F$7,'Writing Logic'!$J$7:$K$11,2,FALSE)&amp;" - Per "&amp;VLOOKUP($C$4,'Writing Logic'!$G$8:$H$14,2,FALSE),YES_Writing_ELA[#Headers],0)))),"")</f>
        <v/>
      </c>
      <c r="G443" s="138" t="str">
        <f>IFERROR(IF(IF(INDEX(_xlfn.VSTACK(YES_Writing_ELA[#Data],YES_Writing_FLA[#Data]),MATCH($A443,_xlfn.VSTACK(YES_Writing_ELA[Student Number],YES_Writing_FLA[Student Number]),0),MATCH(VLOOKUP(G$7,'Writing Logic'!$J$7:$K$11,2,FALSE)&amp;" - Per "&amp;VLOOKUP($C$4,'Writing Logic'!$G$8:$H$14,2,FALSE),YES_Writing_ELA[#Headers],0))=0,"",INDEX(_xlfn.VSTACK(YES_Writing_ELA[#Data],YES_Writing_FLA[#Data]),MATCH($A443,_xlfn.VSTACK(YES_Writing_ELA[Student Number],YES_Writing_FLA[Student Number]),0),MATCH(VLOOKUP(G$7,'Writing Logic'!$J$7:$K$11,2,FALSE)&amp;" - Per "&amp;VLOOKUP($C$4,'Writing Logic'!$G$8:$H$14,2,FALSE),YES_Writing_ELA[#Headers],0)))="INS",'Writing Logic'!$B$7,IF(INDEX(_xlfn.VSTACK(YES_Writing_ELA[#Data],YES_Writing_FLA[#Data]),MATCH($A443,_xlfn.VSTACK(YES_Writing_ELA[Student Number],YES_Writing_FLA[Student Number]),0),MATCH(VLOOKUP(G$7,'Writing Logic'!$J$7:$K$11,2,FALSE)&amp;" - Per "&amp;VLOOKUP($C$4,'Writing Logic'!$G$8:$H$14,2,FALSE),YES_Writing_ELA[#Headers],0))=0,"",INDEX(_xlfn.VSTACK(YES_Writing_ELA[#Data],YES_Writing_FLA[#Data]),MATCH($A443,_xlfn.VSTACK(YES_Writing_ELA[Student Number],YES_Writing_FLA[Student Number]),0),MATCH(VLOOKUP(G$7,'Writing Logic'!$J$7:$K$11,2,FALSE)&amp;" - Per "&amp;VLOOKUP($C$4,'Writing Logic'!$G$8:$H$14,2,FALSE),YES_Writing_ELA[#Headers],0)))),"")</f>
        <v/>
      </c>
      <c r="H443" s="223" t="str">
        <f>IFERROR(IF(IF(INDEX(_xlfn.VSTACK(YES_Writing_ELA[#Data],YES_Writing_FLA[#Data]),MATCH($A443,_xlfn.VSTACK(YES_Writing_ELA[Student Number],YES_Writing_FLA[Student Number]),0),MATCH(VLOOKUP(H$7,'Writing Logic'!$J$7:$K$11,2,FALSE)&amp;" - Per "&amp;VLOOKUP($C$4,'Writing Logic'!$G$8:$H$14,2,FALSE),YES_Writing_ELA[#Headers],0))=0,"",INDEX(_xlfn.VSTACK(YES_Writing_ELA[#Data],YES_Writing_FLA[#Data]),MATCH($A443,_xlfn.VSTACK(YES_Writing_ELA[Student Number],YES_Writing_FLA[Student Number]),0),MATCH(VLOOKUP(H$7,'Writing Logic'!$J$7:$K$11,2,FALSE)&amp;" - Per "&amp;VLOOKUP($C$4,'Writing Logic'!$G$8:$H$14,2,FALSE),YES_Writing_ELA[#Headers],0)))="INS",'Writing Logic'!$B$7,IF(INDEX(_xlfn.VSTACK(YES_Writing_ELA[#Data],YES_Writing_FLA[#Data]),MATCH($A443,_xlfn.VSTACK(YES_Writing_ELA[Student Number],YES_Writing_FLA[Student Number]),0),MATCH(VLOOKUP(H$7,'Writing Logic'!$J$7:$K$11,2,FALSE)&amp;" - Per "&amp;VLOOKUP($C$4,'Writing Logic'!$G$8:$H$14,2,FALSE),YES_Writing_ELA[#Headers],0))=0,"",INDEX(_xlfn.VSTACK(YES_Writing_ELA[#Data],YES_Writing_FLA[#Data]),MATCH($A443,_xlfn.VSTACK(YES_Writing_ELA[Student Number],YES_Writing_FLA[Student Number]),0),MATCH(VLOOKUP(H$7,'Writing Logic'!$J$7:$K$11,2,FALSE)&amp;" - Per "&amp;VLOOKUP($C$4,'Writing Logic'!$G$8:$H$14,2,FALSE),YES_Writing_ELA[#Headers],0)))),"")</f>
        <v/>
      </c>
      <c r="I443" s="224" t="str" cm="1">
        <f t="array" aca="1" ref="I443" ca="1">IFERROR(
IF($G$3="ELA",
IF(VLOOKUP($A443, YES_Reading_ELA[], COLUMN(INDIRECT("YES_Reading_ELA[Difference - Per "&amp;VLOOKUP($G$4, 'Reading Report Logic'!$A$2:$B$8, 2, FALSE)&amp;"]")), FALSE)="", "",
VLOOKUP($A443,YES_Reading_ELA[], COLUMN(INDIRECT("YES_Reading_ELA[Difference - Per "&amp;VLOOKUP($G$4,'Reading Report Logic'!$A$2:$B$8,2,FALSE)&amp;"]")), FALSE)),
IF($G$3="FLA",
IF(VLOOKUP($A443, YES_Reading_FLA[], COLUMN(INDIRECT("YES_Reading_FLA[Difference - Per "&amp;VLOOKUP($G$4,'Reading Report Logic'!$A$2:$B$8,2,FALSE)&amp;"]")),FALSE)="","",
VLOOKUP($A443,YES_Reading_FLA[],COLUMN(INDIRECT("YES_Reading_FLA[Difference - Per "&amp;VLOOKUP($G$4,'Reading Report Logic'!$A$2:$B$8,2,FALSE)&amp;"]")),FALSE)),
IF($G$3="Combined",
IFERROR(
IF(VLOOKUP($A443, YES_Reading_ELA[], COLUMN(INDIRECT("YES_Reading_ELA[Difference - Per "&amp;VLOOKUP($G$4, 'Reading Report Logic'!$A$2:$B$8,2,FALSE)&amp;"]")), FALSE)="", "",
VLOOKUP($A443,YES_Reading_ELA[],COLUMN(INDIRECT("YES_Reading_ELA[Difference - Per "&amp;VLOOKUP($G$4,'Reading Report Logic'!$A$2:$B$8,2,FALSE)&amp;"]")),FALSE)),
IF(VLOOKUP($A443, YES_Reading_FLA[], COLUMN(INDIRECT("YES_Reading_FLA[Difference - Per "&amp;VLOOKUP($G$4, 'Reading Report Logic'!$A$2:$B$8, 2, FALSE)&amp;"]")),FALSE)="", "", VLOOKUP($A443,YES_Reading_FLA[],COLUMN(INDIRECT("YES_Reading_FLA[Difference - Per "&amp;VLOOKUP($G$4, 'Reading Report Logic'!$A$2:$B$8, 2, FALSE)&amp;"]")),FALSE))),""))),"")</f>
        <v/>
      </c>
    </row>
    <row r="444" spans="1:9" x14ac:dyDescent="0.25">
      <c r="A444" s="137"/>
      <c r="B444" s="137" t="str">
        <f>IFERROR(INDEX(_xlfn.VSTACK(YES_Writing_ELA[#Data], YES_Writing_FLA[#Data]),MATCH($A444,_xlfn.VSTACK(YES_Writing_ELA[Student Number], YES_Writing_FLA[Student Number]),0),MATCH(B$7,YES_Writing_ELA[#Headers],0)),IFERROR(INDEX(_xlfn.VSTACK(YES_Reading_ELA[#Data], YES_Reading_FLA[#Data]),MATCH($A444,_xlfn.VSTACK(YES_Reading_ELA[Student Number], YES_Reading_FLA[Student Number]),0),MATCH(B$7,YES_Reading_ELA[#Headers],0)),""))</f>
        <v/>
      </c>
      <c r="C444" s="137" t="str">
        <f>IFERROR(INDEX(_xlfn.VSTACK(YES_Writing_ELA[#Data], YES_Writing_FLA[#Data]),MATCH($A444,_xlfn.VSTACK(YES_Writing_ELA[Student Number], YES_Writing_FLA[Student Number]),0),MATCH(C$7,YES_Writing_ELA[#Headers],0)),IFERROR(INDEX(_xlfn.VSTACK(YES_Reading_ELA[#Data], YES_Reading_FLA[#Data]),MATCH($A444,_xlfn.VSTACK(YES_Reading_ELA[Student Number], YES_Reading_FLA[Student Number]),0),MATCH(C$7,YES_Reading_ELA[#Headers],0)),""))</f>
        <v/>
      </c>
      <c r="D444" s="138" t="str">
        <f>IFERROR(IF(IF(INDEX(_xlfn.VSTACK(YES_Writing_ELA[#Data],YES_Writing_FLA[#Data]),MATCH($A444,_xlfn.VSTACK(YES_Writing_ELA[Student Number],YES_Writing_FLA[Student Number]),0),MATCH(VLOOKUP(D$7,'Writing Logic'!$J$7:$K$11,2,FALSE)&amp;" - Per "&amp;VLOOKUP($C$4,'Writing Logic'!$G$8:$H$14,2,FALSE),YES_Writing_ELA[#Headers],0))=0,"",INDEX(_xlfn.VSTACK(YES_Writing_ELA[#Data],YES_Writing_FLA[#Data]),MATCH($A444,_xlfn.VSTACK(YES_Writing_ELA[Student Number],YES_Writing_FLA[Student Number]),0),MATCH(VLOOKUP(D$7,'Writing Logic'!$J$7:$K$11,2,FALSE)&amp;" - Per "&amp;VLOOKUP($C$4,'Writing Logic'!$G$8:$H$14,2,FALSE),YES_Writing_ELA[#Headers],0)))="INS",'Writing Logic'!$B$7,IF(INDEX(_xlfn.VSTACK(YES_Writing_ELA[#Data],YES_Writing_FLA[#Data]),MATCH($A444,_xlfn.VSTACK(YES_Writing_ELA[Student Number],YES_Writing_FLA[Student Number]),0),MATCH(VLOOKUP(D$7,'Writing Logic'!$J$7:$K$11,2,FALSE)&amp;" - Per "&amp;VLOOKUP($C$4,'Writing Logic'!$G$8:$H$14,2,FALSE),YES_Writing_ELA[#Headers],0))=0,"",INDEX(_xlfn.VSTACK(YES_Writing_ELA[#Data],YES_Writing_FLA[#Data]),MATCH($A444,_xlfn.VSTACK(YES_Writing_ELA[Student Number],YES_Writing_FLA[Student Number]),0),MATCH(VLOOKUP(D$7,'Writing Logic'!$J$7:$K$11,2,FALSE)&amp;" - Per "&amp;VLOOKUP($C$4,'Writing Logic'!$G$8:$H$14,2,FALSE),YES_Writing_ELA[#Headers],0)))),"")</f>
        <v/>
      </c>
      <c r="E444" s="138" t="str">
        <f>IFERROR(IF(IF(INDEX(_xlfn.VSTACK(YES_Writing_ELA[#Data],YES_Writing_FLA[#Data]),MATCH($A444,_xlfn.VSTACK(YES_Writing_ELA[Student Number],YES_Writing_FLA[Student Number]),0),MATCH(VLOOKUP(E$7,'Writing Logic'!$J$7:$K$11,2,FALSE)&amp;" - Per "&amp;VLOOKUP($C$4,'Writing Logic'!$G$8:$H$14,2,FALSE),YES_Writing_ELA[#Headers],0))=0,"",INDEX(_xlfn.VSTACK(YES_Writing_ELA[#Data],YES_Writing_FLA[#Data]),MATCH($A444,_xlfn.VSTACK(YES_Writing_ELA[Student Number],YES_Writing_FLA[Student Number]),0),MATCH(VLOOKUP(E$7,'Writing Logic'!$J$7:$K$11,2,FALSE)&amp;" - Per "&amp;VLOOKUP($C$4,'Writing Logic'!$G$8:$H$14,2,FALSE),YES_Writing_ELA[#Headers],0)))="INS",'Writing Logic'!$B$7,IF(INDEX(_xlfn.VSTACK(YES_Writing_ELA[#Data],YES_Writing_FLA[#Data]),MATCH($A444,_xlfn.VSTACK(YES_Writing_ELA[Student Number],YES_Writing_FLA[Student Number]),0),MATCH(VLOOKUP(E$7,'Writing Logic'!$J$7:$K$11,2,FALSE)&amp;" - Per "&amp;VLOOKUP($C$4,'Writing Logic'!$G$8:$H$14,2,FALSE),YES_Writing_ELA[#Headers],0))=0,"",INDEX(_xlfn.VSTACK(YES_Writing_ELA[#Data],YES_Writing_FLA[#Data]),MATCH($A444,_xlfn.VSTACK(YES_Writing_ELA[Student Number],YES_Writing_FLA[Student Number]),0),MATCH(VLOOKUP(E$7,'Writing Logic'!$J$7:$K$11,2,FALSE)&amp;" - Per "&amp;VLOOKUP($C$4,'Writing Logic'!$G$8:$H$14,2,FALSE),YES_Writing_ELA[#Headers],0)))),"")</f>
        <v/>
      </c>
      <c r="F444" s="138" t="str">
        <f>IFERROR(IF(IF(INDEX(_xlfn.VSTACK(YES_Writing_ELA[#Data],YES_Writing_FLA[#Data]),MATCH($A444,_xlfn.VSTACK(YES_Writing_ELA[Student Number],YES_Writing_FLA[Student Number]),0),MATCH(VLOOKUP(F$7,'Writing Logic'!$J$7:$K$11,2,FALSE)&amp;" - Per "&amp;VLOOKUP($C$4,'Writing Logic'!$G$8:$H$14,2,FALSE),YES_Writing_ELA[#Headers],0))=0,"",INDEX(_xlfn.VSTACK(YES_Writing_ELA[#Data],YES_Writing_FLA[#Data]),MATCH($A444,_xlfn.VSTACK(YES_Writing_ELA[Student Number],YES_Writing_FLA[Student Number]),0),MATCH(VLOOKUP(F$7,'Writing Logic'!$J$7:$K$11,2,FALSE)&amp;" - Per "&amp;VLOOKUP($C$4,'Writing Logic'!$G$8:$H$14,2,FALSE),YES_Writing_ELA[#Headers],0)))="INS",'Writing Logic'!$B$7,IF(INDEX(_xlfn.VSTACK(YES_Writing_ELA[#Data],YES_Writing_FLA[#Data]),MATCH($A444,_xlfn.VSTACK(YES_Writing_ELA[Student Number],YES_Writing_FLA[Student Number]),0),MATCH(VLOOKUP(F$7,'Writing Logic'!$J$7:$K$11,2,FALSE)&amp;" - Per "&amp;VLOOKUP($C$4,'Writing Logic'!$G$8:$H$14,2,FALSE),YES_Writing_ELA[#Headers],0))=0,"",INDEX(_xlfn.VSTACK(YES_Writing_ELA[#Data],YES_Writing_FLA[#Data]),MATCH($A444,_xlfn.VSTACK(YES_Writing_ELA[Student Number],YES_Writing_FLA[Student Number]),0),MATCH(VLOOKUP(F$7,'Writing Logic'!$J$7:$K$11,2,FALSE)&amp;" - Per "&amp;VLOOKUP($C$4,'Writing Logic'!$G$8:$H$14,2,FALSE),YES_Writing_ELA[#Headers],0)))),"")</f>
        <v/>
      </c>
      <c r="G444" s="138" t="str">
        <f>IFERROR(IF(IF(INDEX(_xlfn.VSTACK(YES_Writing_ELA[#Data],YES_Writing_FLA[#Data]),MATCH($A444,_xlfn.VSTACK(YES_Writing_ELA[Student Number],YES_Writing_FLA[Student Number]),0),MATCH(VLOOKUP(G$7,'Writing Logic'!$J$7:$K$11,2,FALSE)&amp;" - Per "&amp;VLOOKUP($C$4,'Writing Logic'!$G$8:$H$14,2,FALSE),YES_Writing_ELA[#Headers],0))=0,"",INDEX(_xlfn.VSTACK(YES_Writing_ELA[#Data],YES_Writing_FLA[#Data]),MATCH($A444,_xlfn.VSTACK(YES_Writing_ELA[Student Number],YES_Writing_FLA[Student Number]),0),MATCH(VLOOKUP(G$7,'Writing Logic'!$J$7:$K$11,2,FALSE)&amp;" - Per "&amp;VLOOKUP($C$4,'Writing Logic'!$G$8:$H$14,2,FALSE),YES_Writing_ELA[#Headers],0)))="INS",'Writing Logic'!$B$7,IF(INDEX(_xlfn.VSTACK(YES_Writing_ELA[#Data],YES_Writing_FLA[#Data]),MATCH($A444,_xlfn.VSTACK(YES_Writing_ELA[Student Number],YES_Writing_FLA[Student Number]),0),MATCH(VLOOKUP(G$7,'Writing Logic'!$J$7:$K$11,2,FALSE)&amp;" - Per "&amp;VLOOKUP($C$4,'Writing Logic'!$G$8:$H$14,2,FALSE),YES_Writing_ELA[#Headers],0))=0,"",INDEX(_xlfn.VSTACK(YES_Writing_ELA[#Data],YES_Writing_FLA[#Data]),MATCH($A444,_xlfn.VSTACK(YES_Writing_ELA[Student Number],YES_Writing_FLA[Student Number]),0),MATCH(VLOOKUP(G$7,'Writing Logic'!$J$7:$K$11,2,FALSE)&amp;" - Per "&amp;VLOOKUP($C$4,'Writing Logic'!$G$8:$H$14,2,FALSE),YES_Writing_ELA[#Headers],0)))),"")</f>
        <v/>
      </c>
      <c r="H444" s="223" t="str">
        <f>IFERROR(IF(IF(INDEX(_xlfn.VSTACK(YES_Writing_ELA[#Data],YES_Writing_FLA[#Data]),MATCH($A444,_xlfn.VSTACK(YES_Writing_ELA[Student Number],YES_Writing_FLA[Student Number]),0),MATCH(VLOOKUP(H$7,'Writing Logic'!$J$7:$K$11,2,FALSE)&amp;" - Per "&amp;VLOOKUP($C$4,'Writing Logic'!$G$8:$H$14,2,FALSE),YES_Writing_ELA[#Headers],0))=0,"",INDEX(_xlfn.VSTACK(YES_Writing_ELA[#Data],YES_Writing_FLA[#Data]),MATCH($A444,_xlfn.VSTACK(YES_Writing_ELA[Student Number],YES_Writing_FLA[Student Number]),0),MATCH(VLOOKUP(H$7,'Writing Logic'!$J$7:$K$11,2,FALSE)&amp;" - Per "&amp;VLOOKUP($C$4,'Writing Logic'!$G$8:$H$14,2,FALSE),YES_Writing_ELA[#Headers],0)))="INS",'Writing Logic'!$B$7,IF(INDEX(_xlfn.VSTACK(YES_Writing_ELA[#Data],YES_Writing_FLA[#Data]),MATCH($A444,_xlfn.VSTACK(YES_Writing_ELA[Student Number],YES_Writing_FLA[Student Number]),0),MATCH(VLOOKUP(H$7,'Writing Logic'!$J$7:$K$11,2,FALSE)&amp;" - Per "&amp;VLOOKUP($C$4,'Writing Logic'!$G$8:$H$14,2,FALSE),YES_Writing_ELA[#Headers],0))=0,"",INDEX(_xlfn.VSTACK(YES_Writing_ELA[#Data],YES_Writing_FLA[#Data]),MATCH($A444,_xlfn.VSTACK(YES_Writing_ELA[Student Number],YES_Writing_FLA[Student Number]),0),MATCH(VLOOKUP(H$7,'Writing Logic'!$J$7:$K$11,2,FALSE)&amp;" - Per "&amp;VLOOKUP($C$4,'Writing Logic'!$G$8:$H$14,2,FALSE),YES_Writing_ELA[#Headers],0)))),"")</f>
        <v/>
      </c>
      <c r="I444" s="224" t="str" cm="1">
        <f t="array" aca="1" ref="I444" ca="1">IFERROR(
IF($G$3="ELA",
IF(VLOOKUP($A444, YES_Reading_ELA[], COLUMN(INDIRECT("YES_Reading_ELA[Difference - Per "&amp;VLOOKUP($G$4, 'Reading Report Logic'!$A$2:$B$8, 2, FALSE)&amp;"]")), FALSE)="", "",
VLOOKUP($A444,YES_Reading_ELA[], COLUMN(INDIRECT("YES_Reading_ELA[Difference - Per "&amp;VLOOKUP($G$4,'Reading Report Logic'!$A$2:$B$8,2,FALSE)&amp;"]")), FALSE)),
IF($G$3="FLA",
IF(VLOOKUP($A444, YES_Reading_FLA[], COLUMN(INDIRECT("YES_Reading_FLA[Difference - Per "&amp;VLOOKUP($G$4,'Reading Report Logic'!$A$2:$B$8,2,FALSE)&amp;"]")),FALSE)="","",
VLOOKUP($A444,YES_Reading_FLA[],COLUMN(INDIRECT("YES_Reading_FLA[Difference - Per "&amp;VLOOKUP($G$4,'Reading Report Logic'!$A$2:$B$8,2,FALSE)&amp;"]")),FALSE)),
IF($G$3="Combined",
IFERROR(
IF(VLOOKUP($A444, YES_Reading_ELA[], COLUMN(INDIRECT("YES_Reading_ELA[Difference - Per "&amp;VLOOKUP($G$4, 'Reading Report Logic'!$A$2:$B$8,2,FALSE)&amp;"]")), FALSE)="", "",
VLOOKUP($A444,YES_Reading_ELA[],COLUMN(INDIRECT("YES_Reading_ELA[Difference - Per "&amp;VLOOKUP($G$4,'Reading Report Logic'!$A$2:$B$8,2,FALSE)&amp;"]")),FALSE)),
IF(VLOOKUP($A444, YES_Reading_FLA[], COLUMN(INDIRECT("YES_Reading_FLA[Difference - Per "&amp;VLOOKUP($G$4, 'Reading Report Logic'!$A$2:$B$8, 2, FALSE)&amp;"]")),FALSE)="", "", VLOOKUP($A444,YES_Reading_FLA[],COLUMN(INDIRECT("YES_Reading_FLA[Difference - Per "&amp;VLOOKUP($G$4, 'Reading Report Logic'!$A$2:$B$8, 2, FALSE)&amp;"]")),FALSE))),""))),"")</f>
        <v/>
      </c>
    </row>
    <row r="445" spans="1:9" x14ac:dyDescent="0.25">
      <c r="A445" s="137"/>
      <c r="B445" s="137" t="str">
        <f>IFERROR(INDEX(_xlfn.VSTACK(YES_Writing_ELA[#Data], YES_Writing_FLA[#Data]),MATCH($A445,_xlfn.VSTACK(YES_Writing_ELA[Student Number], YES_Writing_FLA[Student Number]),0),MATCH(B$7,YES_Writing_ELA[#Headers],0)),IFERROR(INDEX(_xlfn.VSTACK(YES_Reading_ELA[#Data], YES_Reading_FLA[#Data]),MATCH($A445,_xlfn.VSTACK(YES_Reading_ELA[Student Number], YES_Reading_FLA[Student Number]),0),MATCH(B$7,YES_Reading_ELA[#Headers],0)),""))</f>
        <v/>
      </c>
      <c r="C445" s="137" t="str">
        <f>IFERROR(INDEX(_xlfn.VSTACK(YES_Writing_ELA[#Data], YES_Writing_FLA[#Data]),MATCH($A445,_xlfn.VSTACK(YES_Writing_ELA[Student Number], YES_Writing_FLA[Student Number]),0),MATCH(C$7,YES_Writing_ELA[#Headers],0)),IFERROR(INDEX(_xlfn.VSTACK(YES_Reading_ELA[#Data], YES_Reading_FLA[#Data]),MATCH($A445,_xlfn.VSTACK(YES_Reading_ELA[Student Number], YES_Reading_FLA[Student Number]),0),MATCH(C$7,YES_Reading_ELA[#Headers],0)),""))</f>
        <v/>
      </c>
      <c r="D445" s="138" t="str">
        <f>IFERROR(IF(IF(INDEX(_xlfn.VSTACK(YES_Writing_ELA[#Data],YES_Writing_FLA[#Data]),MATCH($A445,_xlfn.VSTACK(YES_Writing_ELA[Student Number],YES_Writing_FLA[Student Number]),0),MATCH(VLOOKUP(D$7,'Writing Logic'!$J$7:$K$11,2,FALSE)&amp;" - Per "&amp;VLOOKUP($C$4,'Writing Logic'!$G$8:$H$14,2,FALSE),YES_Writing_ELA[#Headers],0))=0,"",INDEX(_xlfn.VSTACK(YES_Writing_ELA[#Data],YES_Writing_FLA[#Data]),MATCH($A445,_xlfn.VSTACK(YES_Writing_ELA[Student Number],YES_Writing_FLA[Student Number]),0),MATCH(VLOOKUP(D$7,'Writing Logic'!$J$7:$K$11,2,FALSE)&amp;" - Per "&amp;VLOOKUP($C$4,'Writing Logic'!$G$8:$H$14,2,FALSE),YES_Writing_ELA[#Headers],0)))="INS",'Writing Logic'!$B$7,IF(INDEX(_xlfn.VSTACK(YES_Writing_ELA[#Data],YES_Writing_FLA[#Data]),MATCH($A445,_xlfn.VSTACK(YES_Writing_ELA[Student Number],YES_Writing_FLA[Student Number]),0),MATCH(VLOOKUP(D$7,'Writing Logic'!$J$7:$K$11,2,FALSE)&amp;" - Per "&amp;VLOOKUP($C$4,'Writing Logic'!$G$8:$H$14,2,FALSE),YES_Writing_ELA[#Headers],0))=0,"",INDEX(_xlfn.VSTACK(YES_Writing_ELA[#Data],YES_Writing_FLA[#Data]),MATCH($A445,_xlfn.VSTACK(YES_Writing_ELA[Student Number],YES_Writing_FLA[Student Number]),0),MATCH(VLOOKUP(D$7,'Writing Logic'!$J$7:$K$11,2,FALSE)&amp;" - Per "&amp;VLOOKUP($C$4,'Writing Logic'!$G$8:$H$14,2,FALSE),YES_Writing_ELA[#Headers],0)))),"")</f>
        <v/>
      </c>
      <c r="E445" s="138" t="str">
        <f>IFERROR(IF(IF(INDEX(_xlfn.VSTACK(YES_Writing_ELA[#Data],YES_Writing_FLA[#Data]),MATCH($A445,_xlfn.VSTACK(YES_Writing_ELA[Student Number],YES_Writing_FLA[Student Number]),0),MATCH(VLOOKUP(E$7,'Writing Logic'!$J$7:$K$11,2,FALSE)&amp;" - Per "&amp;VLOOKUP($C$4,'Writing Logic'!$G$8:$H$14,2,FALSE),YES_Writing_ELA[#Headers],0))=0,"",INDEX(_xlfn.VSTACK(YES_Writing_ELA[#Data],YES_Writing_FLA[#Data]),MATCH($A445,_xlfn.VSTACK(YES_Writing_ELA[Student Number],YES_Writing_FLA[Student Number]),0),MATCH(VLOOKUP(E$7,'Writing Logic'!$J$7:$K$11,2,FALSE)&amp;" - Per "&amp;VLOOKUP($C$4,'Writing Logic'!$G$8:$H$14,2,FALSE),YES_Writing_ELA[#Headers],0)))="INS",'Writing Logic'!$B$7,IF(INDEX(_xlfn.VSTACK(YES_Writing_ELA[#Data],YES_Writing_FLA[#Data]),MATCH($A445,_xlfn.VSTACK(YES_Writing_ELA[Student Number],YES_Writing_FLA[Student Number]),0),MATCH(VLOOKUP(E$7,'Writing Logic'!$J$7:$K$11,2,FALSE)&amp;" - Per "&amp;VLOOKUP($C$4,'Writing Logic'!$G$8:$H$14,2,FALSE),YES_Writing_ELA[#Headers],0))=0,"",INDEX(_xlfn.VSTACK(YES_Writing_ELA[#Data],YES_Writing_FLA[#Data]),MATCH($A445,_xlfn.VSTACK(YES_Writing_ELA[Student Number],YES_Writing_FLA[Student Number]),0),MATCH(VLOOKUP(E$7,'Writing Logic'!$J$7:$K$11,2,FALSE)&amp;" - Per "&amp;VLOOKUP($C$4,'Writing Logic'!$G$8:$H$14,2,FALSE),YES_Writing_ELA[#Headers],0)))),"")</f>
        <v/>
      </c>
      <c r="F445" s="138" t="str">
        <f>IFERROR(IF(IF(INDEX(_xlfn.VSTACK(YES_Writing_ELA[#Data],YES_Writing_FLA[#Data]),MATCH($A445,_xlfn.VSTACK(YES_Writing_ELA[Student Number],YES_Writing_FLA[Student Number]),0),MATCH(VLOOKUP(F$7,'Writing Logic'!$J$7:$K$11,2,FALSE)&amp;" - Per "&amp;VLOOKUP($C$4,'Writing Logic'!$G$8:$H$14,2,FALSE),YES_Writing_ELA[#Headers],0))=0,"",INDEX(_xlfn.VSTACK(YES_Writing_ELA[#Data],YES_Writing_FLA[#Data]),MATCH($A445,_xlfn.VSTACK(YES_Writing_ELA[Student Number],YES_Writing_FLA[Student Number]),0),MATCH(VLOOKUP(F$7,'Writing Logic'!$J$7:$K$11,2,FALSE)&amp;" - Per "&amp;VLOOKUP($C$4,'Writing Logic'!$G$8:$H$14,2,FALSE),YES_Writing_ELA[#Headers],0)))="INS",'Writing Logic'!$B$7,IF(INDEX(_xlfn.VSTACK(YES_Writing_ELA[#Data],YES_Writing_FLA[#Data]),MATCH($A445,_xlfn.VSTACK(YES_Writing_ELA[Student Number],YES_Writing_FLA[Student Number]),0),MATCH(VLOOKUP(F$7,'Writing Logic'!$J$7:$K$11,2,FALSE)&amp;" - Per "&amp;VLOOKUP($C$4,'Writing Logic'!$G$8:$H$14,2,FALSE),YES_Writing_ELA[#Headers],0))=0,"",INDEX(_xlfn.VSTACK(YES_Writing_ELA[#Data],YES_Writing_FLA[#Data]),MATCH($A445,_xlfn.VSTACK(YES_Writing_ELA[Student Number],YES_Writing_FLA[Student Number]),0),MATCH(VLOOKUP(F$7,'Writing Logic'!$J$7:$K$11,2,FALSE)&amp;" - Per "&amp;VLOOKUP($C$4,'Writing Logic'!$G$8:$H$14,2,FALSE),YES_Writing_ELA[#Headers],0)))),"")</f>
        <v/>
      </c>
      <c r="G445" s="138" t="str">
        <f>IFERROR(IF(IF(INDEX(_xlfn.VSTACK(YES_Writing_ELA[#Data],YES_Writing_FLA[#Data]),MATCH($A445,_xlfn.VSTACK(YES_Writing_ELA[Student Number],YES_Writing_FLA[Student Number]),0),MATCH(VLOOKUP(G$7,'Writing Logic'!$J$7:$K$11,2,FALSE)&amp;" - Per "&amp;VLOOKUP($C$4,'Writing Logic'!$G$8:$H$14,2,FALSE),YES_Writing_ELA[#Headers],0))=0,"",INDEX(_xlfn.VSTACK(YES_Writing_ELA[#Data],YES_Writing_FLA[#Data]),MATCH($A445,_xlfn.VSTACK(YES_Writing_ELA[Student Number],YES_Writing_FLA[Student Number]),0),MATCH(VLOOKUP(G$7,'Writing Logic'!$J$7:$K$11,2,FALSE)&amp;" - Per "&amp;VLOOKUP($C$4,'Writing Logic'!$G$8:$H$14,2,FALSE),YES_Writing_ELA[#Headers],0)))="INS",'Writing Logic'!$B$7,IF(INDEX(_xlfn.VSTACK(YES_Writing_ELA[#Data],YES_Writing_FLA[#Data]),MATCH($A445,_xlfn.VSTACK(YES_Writing_ELA[Student Number],YES_Writing_FLA[Student Number]),0),MATCH(VLOOKUP(G$7,'Writing Logic'!$J$7:$K$11,2,FALSE)&amp;" - Per "&amp;VLOOKUP($C$4,'Writing Logic'!$G$8:$H$14,2,FALSE),YES_Writing_ELA[#Headers],0))=0,"",INDEX(_xlfn.VSTACK(YES_Writing_ELA[#Data],YES_Writing_FLA[#Data]),MATCH($A445,_xlfn.VSTACK(YES_Writing_ELA[Student Number],YES_Writing_FLA[Student Number]),0),MATCH(VLOOKUP(G$7,'Writing Logic'!$J$7:$K$11,2,FALSE)&amp;" - Per "&amp;VLOOKUP($C$4,'Writing Logic'!$G$8:$H$14,2,FALSE),YES_Writing_ELA[#Headers],0)))),"")</f>
        <v/>
      </c>
      <c r="H445" s="223" t="str">
        <f>IFERROR(IF(IF(INDEX(_xlfn.VSTACK(YES_Writing_ELA[#Data],YES_Writing_FLA[#Data]),MATCH($A445,_xlfn.VSTACK(YES_Writing_ELA[Student Number],YES_Writing_FLA[Student Number]),0),MATCH(VLOOKUP(H$7,'Writing Logic'!$J$7:$K$11,2,FALSE)&amp;" - Per "&amp;VLOOKUP($C$4,'Writing Logic'!$G$8:$H$14,2,FALSE),YES_Writing_ELA[#Headers],0))=0,"",INDEX(_xlfn.VSTACK(YES_Writing_ELA[#Data],YES_Writing_FLA[#Data]),MATCH($A445,_xlfn.VSTACK(YES_Writing_ELA[Student Number],YES_Writing_FLA[Student Number]),0),MATCH(VLOOKUP(H$7,'Writing Logic'!$J$7:$K$11,2,FALSE)&amp;" - Per "&amp;VLOOKUP($C$4,'Writing Logic'!$G$8:$H$14,2,FALSE),YES_Writing_ELA[#Headers],0)))="INS",'Writing Logic'!$B$7,IF(INDEX(_xlfn.VSTACK(YES_Writing_ELA[#Data],YES_Writing_FLA[#Data]),MATCH($A445,_xlfn.VSTACK(YES_Writing_ELA[Student Number],YES_Writing_FLA[Student Number]),0),MATCH(VLOOKUP(H$7,'Writing Logic'!$J$7:$K$11,2,FALSE)&amp;" - Per "&amp;VLOOKUP($C$4,'Writing Logic'!$G$8:$H$14,2,FALSE),YES_Writing_ELA[#Headers],0))=0,"",INDEX(_xlfn.VSTACK(YES_Writing_ELA[#Data],YES_Writing_FLA[#Data]),MATCH($A445,_xlfn.VSTACK(YES_Writing_ELA[Student Number],YES_Writing_FLA[Student Number]),0),MATCH(VLOOKUP(H$7,'Writing Logic'!$J$7:$K$11,2,FALSE)&amp;" - Per "&amp;VLOOKUP($C$4,'Writing Logic'!$G$8:$H$14,2,FALSE),YES_Writing_ELA[#Headers],0)))),"")</f>
        <v/>
      </c>
      <c r="I445" s="224" t="str" cm="1">
        <f t="array" aca="1" ref="I445" ca="1">IFERROR(
IF($G$3="ELA",
IF(VLOOKUP($A445, YES_Reading_ELA[], COLUMN(INDIRECT("YES_Reading_ELA[Difference - Per "&amp;VLOOKUP($G$4, 'Reading Report Logic'!$A$2:$B$8, 2, FALSE)&amp;"]")), FALSE)="", "",
VLOOKUP($A445,YES_Reading_ELA[], COLUMN(INDIRECT("YES_Reading_ELA[Difference - Per "&amp;VLOOKUP($G$4,'Reading Report Logic'!$A$2:$B$8,2,FALSE)&amp;"]")), FALSE)),
IF($G$3="FLA",
IF(VLOOKUP($A445, YES_Reading_FLA[], COLUMN(INDIRECT("YES_Reading_FLA[Difference - Per "&amp;VLOOKUP($G$4,'Reading Report Logic'!$A$2:$B$8,2,FALSE)&amp;"]")),FALSE)="","",
VLOOKUP($A445,YES_Reading_FLA[],COLUMN(INDIRECT("YES_Reading_FLA[Difference - Per "&amp;VLOOKUP($G$4,'Reading Report Logic'!$A$2:$B$8,2,FALSE)&amp;"]")),FALSE)),
IF($G$3="Combined",
IFERROR(
IF(VLOOKUP($A445, YES_Reading_ELA[], COLUMN(INDIRECT("YES_Reading_ELA[Difference - Per "&amp;VLOOKUP($G$4, 'Reading Report Logic'!$A$2:$B$8,2,FALSE)&amp;"]")), FALSE)="", "",
VLOOKUP($A445,YES_Reading_ELA[],COLUMN(INDIRECT("YES_Reading_ELA[Difference - Per "&amp;VLOOKUP($G$4,'Reading Report Logic'!$A$2:$B$8,2,FALSE)&amp;"]")),FALSE)),
IF(VLOOKUP($A445, YES_Reading_FLA[], COLUMN(INDIRECT("YES_Reading_FLA[Difference - Per "&amp;VLOOKUP($G$4, 'Reading Report Logic'!$A$2:$B$8, 2, FALSE)&amp;"]")),FALSE)="", "", VLOOKUP($A445,YES_Reading_FLA[],COLUMN(INDIRECT("YES_Reading_FLA[Difference - Per "&amp;VLOOKUP($G$4, 'Reading Report Logic'!$A$2:$B$8, 2, FALSE)&amp;"]")),FALSE))),""))),"")</f>
        <v/>
      </c>
    </row>
    <row r="446" spans="1:9" x14ac:dyDescent="0.25">
      <c r="A446" s="137"/>
      <c r="B446" s="137" t="str">
        <f>IFERROR(INDEX(_xlfn.VSTACK(YES_Writing_ELA[#Data], YES_Writing_FLA[#Data]),MATCH($A446,_xlfn.VSTACK(YES_Writing_ELA[Student Number], YES_Writing_FLA[Student Number]),0),MATCH(B$7,YES_Writing_ELA[#Headers],0)),IFERROR(INDEX(_xlfn.VSTACK(YES_Reading_ELA[#Data], YES_Reading_FLA[#Data]),MATCH($A446,_xlfn.VSTACK(YES_Reading_ELA[Student Number], YES_Reading_FLA[Student Number]),0),MATCH(B$7,YES_Reading_ELA[#Headers],0)),""))</f>
        <v/>
      </c>
      <c r="C446" s="137" t="str">
        <f>IFERROR(INDEX(_xlfn.VSTACK(YES_Writing_ELA[#Data], YES_Writing_FLA[#Data]),MATCH($A446,_xlfn.VSTACK(YES_Writing_ELA[Student Number], YES_Writing_FLA[Student Number]),0),MATCH(C$7,YES_Writing_ELA[#Headers],0)),IFERROR(INDEX(_xlfn.VSTACK(YES_Reading_ELA[#Data], YES_Reading_FLA[#Data]),MATCH($A446,_xlfn.VSTACK(YES_Reading_ELA[Student Number], YES_Reading_FLA[Student Number]),0),MATCH(C$7,YES_Reading_ELA[#Headers],0)),""))</f>
        <v/>
      </c>
      <c r="D446" s="138" t="str">
        <f>IFERROR(IF(IF(INDEX(_xlfn.VSTACK(YES_Writing_ELA[#Data],YES_Writing_FLA[#Data]),MATCH($A446,_xlfn.VSTACK(YES_Writing_ELA[Student Number],YES_Writing_FLA[Student Number]),0),MATCH(VLOOKUP(D$7,'Writing Logic'!$J$7:$K$11,2,FALSE)&amp;" - Per "&amp;VLOOKUP($C$4,'Writing Logic'!$G$8:$H$14,2,FALSE),YES_Writing_ELA[#Headers],0))=0,"",INDEX(_xlfn.VSTACK(YES_Writing_ELA[#Data],YES_Writing_FLA[#Data]),MATCH($A446,_xlfn.VSTACK(YES_Writing_ELA[Student Number],YES_Writing_FLA[Student Number]),0),MATCH(VLOOKUP(D$7,'Writing Logic'!$J$7:$K$11,2,FALSE)&amp;" - Per "&amp;VLOOKUP($C$4,'Writing Logic'!$G$8:$H$14,2,FALSE),YES_Writing_ELA[#Headers],0)))="INS",'Writing Logic'!$B$7,IF(INDEX(_xlfn.VSTACK(YES_Writing_ELA[#Data],YES_Writing_FLA[#Data]),MATCH($A446,_xlfn.VSTACK(YES_Writing_ELA[Student Number],YES_Writing_FLA[Student Number]),0),MATCH(VLOOKUP(D$7,'Writing Logic'!$J$7:$K$11,2,FALSE)&amp;" - Per "&amp;VLOOKUP($C$4,'Writing Logic'!$G$8:$H$14,2,FALSE),YES_Writing_ELA[#Headers],0))=0,"",INDEX(_xlfn.VSTACK(YES_Writing_ELA[#Data],YES_Writing_FLA[#Data]),MATCH($A446,_xlfn.VSTACK(YES_Writing_ELA[Student Number],YES_Writing_FLA[Student Number]),0),MATCH(VLOOKUP(D$7,'Writing Logic'!$J$7:$K$11,2,FALSE)&amp;" - Per "&amp;VLOOKUP($C$4,'Writing Logic'!$G$8:$H$14,2,FALSE),YES_Writing_ELA[#Headers],0)))),"")</f>
        <v/>
      </c>
      <c r="E446" s="138" t="str">
        <f>IFERROR(IF(IF(INDEX(_xlfn.VSTACK(YES_Writing_ELA[#Data],YES_Writing_FLA[#Data]),MATCH($A446,_xlfn.VSTACK(YES_Writing_ELA[Student Number],YES_Writing_FLA[Student Number]),0),MATCH(VLOOKUP(E$7,'Writing Logic'!$J$7:$K$11,2,FALSE)&amp;" - Per "&amp;VLOOKUP($C$4,'Writing Logic'!$G$8:$H$14,2,FALSE),YES_Writing_ELA[#Headers],0))=0,"",INDEX(_xlfn.VSTACK(YES_Writing_ELA[#Data],YES_Writing_FLA[#Data]),MATCH($A446,_xlfn.VSTACK(YES_Writing_ELA[Student Number],YES_Writing_FLA[Student Number]),0),MATCH(VLOOKUP(E$7,'Writing Logic'!$J$7:$K$11,2,FALSE)&amp;" - Per "&amp;VLOOKUP($C$4,'Writing Logic'!$G$8:$H$14,2,FALSE),YES_Writing_ELA[#Headers],0)))="INS",'Writing Logic'!$B$7,IF(INDEX(_xlfn.VSTACK(YES_Writing_ELA[#Data],YES_Writing_FLA[#Data]),MATCH($A446,_xlfn.VSTACK(YES_Writing_ELA[Student Number],YES_Writing_FLA[Student Number]),0),MATCH(VLOOKUP(E$7,'Writing Logic'!$J$7:$K$11,2,FALSE)&amp;" - Per "&amp;VLOOKUP($C$4,'Writing Logic'!$G$8:$H$14,2,FALSE),YES_Writing_ELA[#Headers],0))=0,"",INDEX(_xlfn.VSTACK(YES_Writing_ELA[#Data],YES_Writing_FLA[#Data]),MATCH($A446,_xlfn.VSTACK(YES_Writing_ELA[Student Number],YES_Writing_FLA[Student Number]),0),MATCH(VLOOKUP(E$7,'Writing Logic'!$J$7:$K$11,2,FALSE)&amp;" - Per "&amp;VLOOKUP($C$4,'Writing Logic'!$G$8:$H$14,2,FALSE),YES_Writing_ELA[#Headers],0)))),"")</f>
        <v/>
      </c>
      <c r="F446" s="138" t="str">
        <f>IFERROR(IF(IF(INDEX(_xlfn.VSTACK(YES_Writing_ELA[#Data],YES_Writing_FLA[#Data]),MATCH($A446,_xlfn.VSTACK(YES_Writing_ELA[Student Number],YES_Writing_FLA[Student Number]),0),MATCH(VLOOKUP(F$7,'Writing Logic'!$J$7:$K$11,2,FALSE)&amp;" - Per "&amp;VLOOKUP($C$4,'Writing Logic'!$G$8:$H$14,2,FALSE),YES_Writing_ELA[#Headers],0))=0,"",INDEX(_xlfn.VSTACK(YES_Writing_ELA[#Data],YES_Writing_FLA[#Data]),MATCH($A446,_xlfn.VSTACK(YES_Writing_ELA[Student Number],YES_Writing_FLA[Student Number]),0),MATCH(VLOOKUP(F$7,'Writing Logic'!$J$7:$K$11,2,FALSE)&amp;" - Per "&amp;VLOOKUP($C$4,'Writing Logic'!$G$8:$H$14,2,FALSE),YES_Writing_ELA[#Headers],0)))="INS",'Writing Logic'!$B$7,IF(INDEX(_xlfn.VSTACK(YES_Writing_ELA[#Data],YES_Writing_FLA[#Data]),MATCH($A446,_xlfn.VSTACK(YES_Writing_ELA[Student Number],YES_Writing_FLA[Student Number]),0),MATCH(VLOOKUP(F$7,'Writing Logic'!$J$7:$K$11,2,FALSE)&amp;" - Per "&amp;VLOOKUP($C$4,'Writing Logic'!$G$8:$H$14,2,FALSE),YES_Writing_ELA[#Headers],0))=0,"",INDEX(_xlfn.VSTACK(YES_Writing_ELA[#Data],YES_Writing_FLA[#Data]),MATCH($A446,_xlfn.VSTACK(YES_Writing_ELA[Student Number],YES_Writing_FLA[Student Number]),0),MATCH(VLOOKUP(F$7,'Writing Logic'!$J$7:$K$11,2,FALSE)&amp;" - Per "&amp;VLOOKUP($C$4,'Writing Logic'!$G$8:$H$14,2,FALSE),YES_Writing_ELA[#Headers],0)))),"")</f>
        <v/>
      </c>
      <c r="G446" s="138" t="str">
        <f>IFERROR(IF(IF(INDEX(_xlfn.VSTACK(YES_Writing_ELA[#Data],YES_Writing_FLA[#Data]),MATCH($A446,_xlfn.VSTACK(YES_Writing_ELA[Student Number],YES_Writing_FLA[Student Number]),0),MATCH(VLOOKUP(G$7,'Writing Logic'!$J$7:$K$11,2,FALSE)&amp;" - Per "&amp;VLOOKUP($C$4,'Writing Logic'!$G$8:$H$14,2,FALSE),YES_Writing_ELA[#Headers],0))=0,"",INDEX(_xlfn.VSTACK(YES_Writing_ELA[#Data],YES_Writing_FLA[#Data]),MATCH($A446,_xlfn.VSTACK(YES_Writing_ELA[Student Number],YES_Writing_FLA[Student Number]),0),MATCH(VLOOKUP(G$7,'Writing Logic'!$J$7:$K$11,2,FALSE)&amp;" - Per "&amp;VLOOKUP($C$4,'Writing Logic'!$G$8:$H$14,2,FALSE),YES_Writing_ELA[#Headers],0)))="INS",'Writing Logic'!$B$7,IF(INDEX(_xlfn.VSTACK(YES_Writing_ELA[#Data],YES_Writing_FLA[#Data]),MATCH($A446,_xlfn.VSTACK(YES_Writing_ELA[Student Number],YES_Writing_FLA[Student Number]),0),MATCH(VLOOKUP(G$7,'Writing Logic'!$J$7:$K$11,2,FALSE)&amp;" - Per "&amp;VLOOKUP($C$4,'Writing Logic'!$G$8:$H$14,2,FALSE),YES_Writing_ELA[#Headers],0))=0,"",INDEX(_xlfn.VSTACK(YES_Writing_ELA[#Data],YES_Writing_FLA[#Data]),MATCH($A446,_xlfn.VSTACK(YES_Writing_ELA[Student Number],YES_Writing_FLA[Student Number]),0),MATCH(VLOOKUP(G$7,'Writing Logic'!$J$7:$K$11,2,FALSE)&amp;" - Per "&amp;VLOOKUP($C$4,'Writing Logic'!$G$8:$H$14,2,FALSE),YES_Writing_ELA[#Headers],0)))),"")</f>
        <v/>
      </c>
      <c r="H446" s="223" t="str">
        <f>IFERROR(IF(IF(INDEX(_xlfn.VSTACK(YES_Writing_ELA[#Data],YES_Writing_FLA[#Data]),MATCH($A446,_xlfn.VSTACK(YES_Writing_ELA[Student Number],YES_Writing_FLA[Student Number]),0),MATCH(VLOOKUP(H$7,'Writing Logic'!$J$7:$K$11,2,FALSE)&amp;" - Per "&amp;VLOOKUP($C$4,'Writing Logic'!$G$8:$H$14,2,FALSE),YES_Writing_ELA[#Headers],0))=0,"",INDEX(_xlfn.VSTACK(YES_Writing_ELA[#Data],YES_Writing_FLA[#Data]),MATCH($A446,_xlfn.VSTACK(YES_Writing_ELA[Student Number],YES_Writing_FLA[Student Number]),0),MATCH(VLOOKUP(H$7,'Writing Logic'!$J$7:$K$11,2,FALSE)&amp;" - Per "&amp;VLOOKUP($C$4,'Writing Logic'!$G$8:$H$14,2,FALSE),YES_Writing_ELA[#Headers],0)))="INS",'Writing Logic'!$B$7,IF(INDEX(_xlfn.VSTACK(YES_Writing_ELA[#Data],YES_Writing_FLA[#Data]),MATCH($A446,_xlfn.VSTACK(YES_Writing_ELA[Student Number],YES_Writing_FLA[Student Number]),0),MATCH(VLOOKUP(H$7,'Writing Logic'!$J$7:$K$11,2,FALSE)&amp;" - Per "&amp;VLOOKUP($C$4,'Writing Logic'!$G$8:$H$14,2,FALSE),YES_Writing_ELA[#Headers],0))=0,"",INDEX(_xlfn.VSTACK(YES_Writing_ELA[#Data],YES_Writing_FLA[#Data]),MATCH($A446,_xlfn.VSTACK(YES_Writing_ELA[Student Number],YES_Writing_FLA[Student Number]),0),MATCH(VLOOKUP(H$7,'Writing Logic'!$J$7:$K$11,2,FALSE)&amp;" - Per "&amp;VLOOKUP($C$4,'Writing Logic'!$G$8:$H$14,2,FALSE),YES_Writing_ELA[#Headers],0)))),"")</f>
        <v/>
      </c>
      <c r="I446" s="224" t="str" cm="1">
        <f t="array" aca="1" ref="I446" ca="1">IFERROR(
IF($G$3="ELA",
IF(VLOOKUP($A446, YES_Reading_ELA[], COLUMN(INDIRECT("YES_Reading_ELA[Difference - Per "&amp;VLOOKUP($G$4, 'Reading Report Logic'!$A$2:$B$8, 2, FALSE)&amp;"]")), FALSE)="", "",
VLOOKUP($A446,YES_Reading_ELA[], COLUMN(INDIRECT("YES_Reading_ELA[Difference - Per "&amp;VLOOKUP($G$4,'Reading Report Logic'!$A$2:$B$8,2,FALSE)&amp;"]")), FALSE)),
IF($G$3="FLA",
IF(VLOOKUP($A446, YES_Reading_FLA[], COLUMN(INDIRECT("YES_Reading_FLA[Difference - Per "&amp;VLOOKUP($G$4,'Reading Report Logic'!$A$2:$B$8,2,FALSE)&amp;"]")),FALSE)="","",
VLOOKUP($A446,YES_Reading_FLA[],COLUMN(INDIRECT("YES_Reading_FLA[Difference - Per "&amp;VLOOKUP($G$4,'Reading Report Logic'!$A$2:$B$8,2,FALSE)&amp;"]")),FALSE)),
IF($G$3="Combined",
IFERROR(
IF(VLOOKUP($A446, YES_Reading_ELA[], COLUMN(INDIRECT("YES_Reading_ELA[Difference - Per "&amp;VLOOKUP($G$4, 'Reading Report Logic'!$A$2:$B$8,2,FALSE)&amp;"]")), FALSE)="", "",
VLOOKUP($A446,YES_Reading_ELA[],COLUMN(INDIRECT("YES_Reading_ELA[Difference - Per "&amp;VLOOKUP($G$4,'Reading Report Logic'!$A$2:$B$8,2,FALSE)&amp;"]")),FALSE)),
IF(VLOOKUP($A446, YES_Reading_FLA[], COLUMN(INDIRECT("YES_Reading_FLA[Difference - Per "&amp;VLOOKUP($G$4, 'Reading Report Logic'!$A$2:$B$8, 2, FALSE)&amp;"]")),FALSE)="", "", VLOOKUP($A446,YES_Reading_FLA[],COLUMN(INDIRECT("YES_Reading_FLA[Difference - Per "&amp;VLOOKUP($G$4, 'Reading Report Logic'!$A$2:$B$8, 2, FALSE)&amp;"]")),FALSE))),""))),"")</f>
        <v/>
      </c>
    </row>
    <row r="447" spans="1:9" x14ac:dyDescent="0.25">
      <c r="A447" s="137"/>
      <c r="B447" s="137" t="str">
        <f>IFERROR(INDEX(_xlfn.VSTACK(YES_Writing_ELA[#Data], YES_Writing_FLA[#Data]),MATCH($A447,_xlfn.VSTACK(YES_Writing_ELA[Student Number], YES_Writing_FLA[Student Number]),0),MATCH(B$7,YES_Writing_ELA[#Headers],0)),IFERROR(INDEX(_xlfn.VSTACK(YES_Reading_ELA[#Data], YES_Reading_FLA[#Data]),MATCH($A447,_xlfn.VSTACK(YES_Reading_ELA[Student Number], YES_Reading_FLA[Student Number]),0),MATCH(B$7,YES_Reading_ELA[#Headers],0)),""))</f>
        <v/>
      </c>
      <c r="C447" s="137" t="str">
        <f>IFERROR(INDEX(_xlfn.VSTACK(YES_Writing_ELA[#Data], YES_Writing_FLA[#Data]),MATCH($A447,_xlfn.VSTACK(YES_Writing_ELA[Student Number], YES_Writing_FLA[Student Number]),0),MATCH(C$7,YES_Writing_ELA[#Headers],0)),IFERROR(INDEX(_xlfn.VSTACK(YES_Reading_ELA[#Data], YES_Reading_FLA[#Data]),MATCH($A447,_xlfn.VSTACK(YES_Reading_ELA[Student Number], YES_Reading_FLA[Student Number]),0),MATCH(C$7,YES_Reading_ELA[#Headers],0)),""))</f>
        <v/>
      </c>
      <c r="D447" s="138" t="str">
        <f>IFERROR(IF(IF(INDEX(_xlfn.VSTACK(YES_Writing_ELA[#Data],YES_Writing_FLA[#Data]),MATCH($A447,_xlfn.VSTACK(YES_Writing_ELA[Student Number],YES_Writing_FLA[Student Number]),0),MATCH(VLOOKUP(D$7,'Writing Logic'!$J$7:$K$11,2,FALSE)&amp;" - Per "&amp;VLOOKUP($C$4,'Writing Logic'!$G$8:$H$14,2,FALSE),YES_Writing_ELA[#Headers],0))=0,"",INDEX(_xlfn.VSTACK(YES_Writing_ELA[#Data],YES_Writing_FLA[#Data]),MATCH($A447,_xlfn.VSTACK(YES_Writing_ELA[Student Number],YES_Writing_FLA[Student Number]),0),MATCH(VLOOKUP(D$7,'Writing Logic'!$J$7:$K$11,2,FALSE)&amp;" - Per "&amp;VLOOKUP($C$4,'Writing Logic'!$G$8:$H$14,2,FALSE),YES_Writing_ELA[#Headers],0)))="INS",'Writing Logic'!$B$7,IF(INDEX(_xlfn.VSTACK(YES_Writing_ELA[#Data],YES_Writing_FLA[#Data]),MATCH($A447,_xlfn.VSTACK(YES_Writing_ELA[Student Number],YES_Writing_FLA[Student Number]),0),MATCH(VLOOKUP(D$7,'Writing Logic'!$J$7:$K$11,2,FALSE)&amp;" - Per "&amp;VLOOKUP($C$4,'Writing Logic'!$G$8:$H$14,2,FALSE),YES_Writing_ELA[#Headers],0))=0,"",INDEX(_xlfn.VSTACK(YES_Writing_ELA[#Data],YES_Writing_FLA[#Data]),MATCH($A447,_xlfn.VSTACK(YES_Writing_ELA[Student Number],YES_Writing_FLA[Student Number]),0),MATCH(VLOOKUP(D$7,'Writing Logic'!$J$7:$K$11,2,FALSE)&amp;" - Per "&amp;VLOOKUP($C$4,'Writing Logic'!$G$8:$H$14,2,FALSE),YES_Writing_ELA[#Headers],0)))),"")</f>
        <v/>
      </c>
      <c r="E447" s="138" t="str">
        <f>IFERROR(IF(IF(INDEX(_xlfn.VSTACK(YES_Writing_ELA[#Data],YES_Writing_FLA[#Data]),MATCH($A447,_xlfn.VSTACK(YES_Writing_ELA[Student Number],YES_Writing_FLA[Student Number]),0),MATCH(VLOOKUP(E$7,'Writing Logic'!$J$7:$K$11,2,FALSE)&amp;" - Per "&amp;VLOOKUP($C$4,'Writing Logic'!$G$8:$H$14,2,FALSE),YES_Writing_ELA[#Headers],0))=0,"",INDEX(_xlfn.VSTACK(YES_Writing_ELA[#Data],YES_Writing_FLA[#Data]),MATCH($A447,_xlfn.VSTACK(YES_Writing_ELA[Student Number],YES_Writing_FLA[Student Number]),0),MATCH(VLOOKUP(E$7,'Writing Logic'!$J$7:$K$11,2,FALSE)&amp;" - Per "&amp;VLOOKUP($C$4,'Writing Logic'!$G$8:$H$14,2,FALSE),YES_Writing_ELA[#Headers],0)))="INS",'Writing Logic'!$B$7,IF(INDEX(_xlfn.VSTACK(YES_Writing_ELA[#Data],YES_Writing_FLA[#Data]),MATCH($A447,_xlfn.VSTACK(YES_Writing_ELA[Student Number],YES_Writing_FLA[Student Number]),0),MATCH(VLOOKUP(E$7,'Writing Logic'!$J$7:$K$11,2,FALSE)&amp;" - Per "&amp;VLOOKUP($C$4,'Writing Logic'!$G$8:$H$14,2,FALSE),YES_Writing_ELA[#Headers],0))=0,"",INDEX(_xlfn.VSTACK(YES_Writing_ELA[#Data],YES_Writing_FLA[#Data]),MATCH($A447,_xlfn.VSTACK(YES_Writing_ELA[Student Number],YES_Writing_FLA[Student Number]),0),MATCH(VLOOKUP(E$7,'Writing Logic'!$J$7:$K$11,2,FALSE)&amp;" - Per "&amp;VLOOKUP($C$4,'Writing Logic'!$G$8:$H$14,2,FALSE),YES_Writing_ELA[#Headers],0)))),"")</f>
        <v/>
      </c>
      <c r="F447" s="138" t="str">
        <f>IFERROR(IF(IF(INDEX(_xlfn.VSTACK(YES_Writing_ELA[#Data],YES_Writing_FLA[#Data]),MATCH($A447,_xlfn.VSTACK(YES_Writing_ELA[Student Number],YES_Writing_FLA[Student Number]),0),MATCH(VLOOKUP(F$7,'Writing Logic'!$J$7:$K$11,2,FALSE)&amp;" - Per "&amp;VLOOKUP($C$4,'Writing Logic'!$G$8:$H$14,2,FALSE),YES_Writing_ELA[#Headers],0))=0,"",INDEX(_xlfn.VSTACK(YES_Writing_ELA[#Data],YES_Writing_FLA[#Data]),MATCH($A447,_xlfn.VSTACK(YES_Writing_ELA[Student Number],YES_Writing_FLA[Student Number]),0),MATCH(VLOOKUP(F$7,'Writing Logic'!$J$7:$K$11,2,FALSE)&amp;" - Per "&amp;VLOOKUP($C$4,'Writing Logic'!$G$8:$H$14,2,FALSE),YES_Writing_ELA[#Headers],0)))="INS",'Writing Logic'!$B$7,IF(INDEX(_xlfn.VSTACK(YES_Writing_ELA[#Data],YES_Writing_FLA[#Data]),MATCH($A447,_xlfn.VSTACK(YES_Writing_ELA[Student Number],YES_Writing_FLA[Student Number]),0),MATCH(VLOOKUP(F$7,'Writing Logic'!$J$7:$K$11,2,FALSE)&amp;" - Per "&amp;VLOOKUP($C$4,'Writing Logic'!$G$8:$H$14,2,FALSE),YES_Writing_ELA[#Headers],0))=0,"",INDEX(_xlfn.VSTACK(YES_Writing_ELA[#Data],YES_Writing_FLA[#Data]),MATCH($A447,_xlfn.VSTACK(YES_Writing_ELA[Student Number],YES_Writing_FLA[Student Number]),0),MATCH(VLOOKUP(F$7,'Writing Logic'!$J$7:$K$11,2,FALSE)&amp;" - Per "&amp;VLOOKUP($C$4,'Writing Logic'!$G$8:$H$14,2,FALSE),YES_Writing_ELA[#Headers],0)))),"")</f>
        <v/>
      </c>
      <c r="G447" s="138" t="str">
        <f>IFERROR(IF(IF(INDEX(_xlfn.VSTACK(YES_Writing_ELA[#Data],YES_Writing_FLA[#Data]),MATCH($A447,_xlfn.VSTACK(YES_Writing_ELA[Student Number],YES_Writing_FLA[Student Number]),0),MATCH(VLOOKUP(G$7,'Writing Logic'!$J$7:$K$11,2,FALSE)&amp;" - Per "&amp;VLOOKUP($C$4,'Writing Logic'!$G$8:$H$14,2,FALSE),YES_Writing_ELA[#Headers],0))=0,"",INDEX(_xlfn.VSTACK(YES_Writing_ELA[#Data],YES_Writing_FLA[#Data]),MATCH($A447,_xlfn.VSTACK(YES_Writing_ELA[Student Number],YES_Writing_FLA[Student Number]),0),MATCH(VLOOKUP(G$7,'Writing Logic'!$J$7:$K$11,2,FALSE)&amp;" - Per "&amp;VLOOKUP($C$4,'Writing Logic'!$G$8:$H$14,2,FALSE),YES_Writing_ELA[#Headers],0)))="INS",'Writing Logic'!$B$7,IF(INDEX(_xlfn.VSTACK(YES_Writing_ELA[#Data],YES_Writing_FLA[#Data]),MATCH($A447,_xlfn.VSTACK(YES_Writing_ELA[Student Number],YES_Writing_FLA[Student Number]),0),MATCH(VLOOKUP(G$7,'Writing Logic'!$J$7:$K$11,2,FALSE)&amp;" - Per "&amp;VLOOKUP($C$4,'Writing Logic'!$G$8:$H$14,2,FALSE),YES_Writing_ELA[#Headers],0))=0,"",INDEX(_xlfn.VSTACK(YES_Writing_ELA[#Data],YES_Writing_FLA[#Data]),MATCH($A447,_xlfn.VSTACK(YES_Writing_ELA[Student Number],YES_Writing_FLA[Student Number]),0),MATCH(VLOOKUP(G$7,'Writing Logic'!$J$7:$K$11,2,FALSE)&amp;" - Per "&amp;VLOOKUP($C$4,'Writing Logic'!$G$8:$H$14,2,FALSE),YES_Writing_ELA[#Headers],0)))),"")</f>
        <v/>
      </c>
      <c r="H447" s="223" t="str">
        <f>IFERROR(IF(IF(INDEX(_xlfn.VSTACK(YES_Writing_ELA[#Data],YES_Writing_FLA[#Data]),MATCH($A447,_xlfn.VSTACK(YES_Writing_ELA[Student Number],YES_Writing_FLA[Student Number]),0),MATCH(VLOOKUP(H$7,'Writing Logic'!$J$7:$K$11,2,FALSE)&amp;" - Per "&amp;VLOOKUP($C$4,'Writing Logic'!$G$8:$H$14,2,FALSE),YES_Writing_ELA[#Headers],0))=0,"",INDEX(_xlfn.VSTACK(YES_Writing_ELA[#Data],YES_Writing_FLA[#Data]),MATCH($A447,_xlfn.VSTACK(YES_Writing_ELA[Student Number],YES_Writing_FLA[Student Number]),0),MATCH(VLOOKUP(H$7,'Writing Logic'!$J$7:$K$11,2,FALSE)&amp;" - Per "&amp;VLOOKUP($C$4,'Writing Logic'!$G$8:$H$14,2,FALSE),YES_Writing_ELA[#Headers],0)))="INS",'Writing Logic'!$B$7,IF(INDEX(_xlfn.VSTACK(YES_Writing_ELA[#Data],YES_Writing_FLA[#Data]),MATCH($A447,_xlfn.VSTACK(YES_Writing_ELA[Student Number],YES_Writing_FLA[Student Number]),0),MATCH(VLOOKUP(H$7,'Writing Logic'!$J$7:$K$11,2,FALSE)&amp;" - Per "&amp;VLOOKUP($C$4,'Writing Logic'!$G$8:$H$14,2,FALSE),YES_Writing_ELA[#Headers],0))=0,"",INDEX(_xlfn.VSTACK(YES_Writing_ELA[#Data],YES_Writing_FLA[#Data]),MATCH($A447,_xlfn.VSTACK(YES_Writing_ELA[Student Number],YES_Writing_FLA[Student Number]),0),MATCH(VLOOKUP(H$7,'Writing Logic'!$J$7:$K$11,2,FALSE)&amp;" - Per "&amp;VLOOKUP($C$4,'Writing Logic'!$G$8:$H$14,2,FALSE),YES_Writing_ELA[#Headers],0)))),"")</f>
        <v/>
      </c>
      <c r="I447" s="224" t="str" cm="1">
        <f t="array" aca="1" ref="I447" ca="1">IFERROR(
IF($G$3="ELA",
IF(VLOOKUP($A447, YES_Reading_ELA[], COLUMN(INDIRECT("YES_Reading_ELA[Difference - Per "&amp;VLOOKUP($G$4, 'Reading Report Logic'!$A$2:$B$8, 2, FALSE)&amp;"]")), FALSE)="", "",
VLOOKUP($A447,YES_Reading_ELA[], COLUMN(INDIRECT("YES_Reading_ELA[Difference - Per "&amp;VLOOKUP($G$4,'Reading Report Logic'!$A$2:$B$8,2,FALSE)&amp;"]")), FALSE)),
IF($G$3="FLA",
IF(VLOOKUP($A447, YES_Reading_FLA[], COLUMN(INDIRECT("YES_Reading_FLA[Difference - Per "&amp;VLOOKUP($G$4,'Reading Report Logic'!$A$2:$B$8,2,FALSE)&amp;"]")),FALSE)="","",
VLOOKUP($A447,YES_Reading_FLA[],COLUMN(INDIRECT("YES_Reading_FLA[Difference - Per "&amp;VLOOKUP($G$4,'Reading Report Logic'!$A$2:$B$8,2,FALSE)&amp;"]")),FALSE)),
IF($G$3="Combined",
IFERROR(
IF(VLOOKUP($A447, YES_Reading_ELA[], COLUMN(INDIRECT("YES_Reading_ELA[Difference - Per "&amp;VLOOKUP($G$4, 'Reading Report Logic'!$A$2:$B$8,2,FALSE)&amp;"]")), FALSE)="", "",
VLOOKUP($A447,YES_Reading_ELA[],COLUMN(INDIRECT("YES_Reading_ELA[Difference - Per "&amp;VLOOKUP($G$4,'Reading Report Logic'!$A$2:$B$8,2,FALSE)&amp;"]")),FALSE)),
IF(VLOOKUP($A447, YES_Reading_FLA[], COLUMN(INDIRECT("YES_Reading_FLA[Difference - Per "&amp;VLOOKUP($G$4, 'Reading Report Logic'!$A$2:$B$8, 2, FALSE)&amp;"]")),FALSE)="", "", VLOOKUP($A447,YES_Reading_FLA[],COLUMN(INDIRECT("YES_Reading_FLA[Difference - Per "&amp;VLOOKUP($G$4, 'Reading Report Logic'!$A$2:$B$8, 2, FALSE)&amp;"]")),FALSE))),""))),"")</f>
        <v/>
      </c>
    </row>
    <row r="448" spans="1:9" x14ac:dyDescent="0.25">
      <c r="A448" s="137"/>
      <c r="B448" s="137" t="str">
        <f>IFERROR(INDEX(_xlfn.VSTACK(YES_Writing_ELA[#Data], YES_Writing_FLA[#Data]),MATCH($A448,_xlfn.VSTACK(YES_Writing_ELA[Student Number], YES_Writing_FLA[Student Number]),0),MATCH(B$7,YES_Writing_ELA[#Headers],0)),IFERROR(INDEX(_xlfn.VSTACK(YES_Reading_ELA[#Data], YES_Reading_FLA[#Data]),MATCH($A448,_xlfn.VSTACK(YES_Reading_ELA[Student Number], YES_Reading_FLA[Student Number]),0),MATCH(B$7,YES_Reading_ELA[#Headers],0)),""))</f>
        <v/>
      </c>
      <c r="C448" s="137" t="str">
        <f>IFERROR(INDEX(_xlfn.VSTACK(YES_Writing_ELA[#Data], YES_Writing_FLA[#Data]),MATCH($A448,_xlfn.VSTACK(YES_Writing_ELA[Student Number], YES_Writing_FLA[Student Number]),0),MATCH(C$7,YES_Writing_ELA[#Headers],0)),IFERROR(INDEX(_xlfn.VSTACK(YES_Reading_ELA[#Data], YES_Reading_FLA[#Data]),MATCH($A448,_xlfn.VSTACK(YES_Reading_ELA[Student Number], YES_Reading_FLA[Student Number]),0),MATCH(C$7,YES_Reading_ELA[#Headers],0)),""))</f>
        <v/>
      </c>
      <c r="D448" s="138" t="str">
        <f>IFERROR(IF(IF(INDEX(_xlfn.VSTACK(YES_Writing_ELA[#Data],YES_Writing_FLA[#Data]),MATCH($A448,_xlfn.VSTACK(YES_Writing_ELA[Student Number],YES_Writing_FLA[Student Number]),0),MATCH(VLOOKUP(D$7,'Writing Logic'!$J$7:$K$11,2,FALSE)&amp;" - Per "&amp;VLOOKUP($C$4,'Writing Logic'!$G$8:$H$14,2,FALSE),YES_Writing_ELA[#Headers],0))=0,"",INDEX(_xlfn.VSTACK(YES_Writing_ELA[#Data],YES_Writing_FLA[#Data]),MATCH($A448,_xlfn.VSTACK(YES_Writing_ELA[Student Number],YES_Writing_FLA[Student Number]),0),MATCH(VLOOKUP(D$7,'Writing Logic'!$J$7:$K$11,2,FALSE)&amp;" - Per "&amp;VLOOKUP($C$4,'Writing Logic'!$G$8:$H$14,2,FALSE),YES_Writing_ELA[#Headers],0)))="INS",'Writing Logic'!$B$7,IF(INDEX(_xlfn.VSTACK(YES_Writing_ELA[#Data],YES_Writing_FLA[#Data]),MATCH($A448,_xlfn.VSTACK(YES_Writing_ELA[Student Number],YES_Writing_FLA[Student Number]),0),MATCH(VLOOKUP(D$7,'Writing Logic'!$J$7:$K$11,2,FALSE)&amp;" - Per "&amp;VLOOKUP($C$4,'Writing Logic'!$G$8:$H$14,2,FALSE),YES_Writing_ELA[#Headers],0))=0,"",INDEX(_xlfn.VSTACK(YES_Writing_ELA[#Data],YES_Writing_FLA[#Data]),MATCH($A448,_xlfn.VSTACK(YES_Writing_ELA[Student Number],YES_Writing_FLA[Student Number]),0),MATCH(VLOOKUP(D$7,'Writing Logic'!$J$7:$K$11,2,FALSE)&amp;" - Per "&amp;VLOOKUP($C$4,'Writing Logic'!$G$8:$H$14,2,FALSE),YES_Writing_ELA[#Headers],0)))),"")</f>
        <v/>
      </c>
      <c r="E448" s="138" t="str">
        <f>IFERROR(IF(IF(INDEX(_xlfn.VSTACK(YES_Writing_ELA[#Data],YES_Writing_FLA[#Data]),MATCH($A448,_xlfn.VSTACK(YES_Writing_ELA[Student Number],YES_Writing_FLA[Student Number]),0),MATCH(VLOOKUP(E$7,'Writing Logic'!$J$7:$K$11,2,FALSE)&amp;" - Per "&amp;VLOOKUP($C$4,'Writing Logic'!$G$8:$H$14,2,FALSE),YES_Writing_ELA[#Headers],0))=0,"",INDEX(_xlfn.VSTACK(YES_Writing_ELA[#Data],YES_Writing_FLA[#Data]),MATCH($A448,_xlfn.VSTACK(YES_Writing_ELA[Student Number],YES_Writing_FLA[Student Number]),0),MATCH(VLOOKUP(E$7,'Writing Logic'!$J$7:$K$11,2,FALSE)&amp;" - Per "&amp;VLOOKUP($C$4,'Writing Logic'!$G$8:$H$14,2,FALSE),YES_Writing_ELA[#Headers],0)))="INS",'Writing Logic'!$B$7,IF(INDEX(_xlfn.VSTACK(YES_Writing_ELA[#Data],YES_Writing_FLA[#Data]),MATCH($A448,_xlfn.VSTACK(YES_Writing_ELA[Student Number],YES_Writing_FLA[Student Number]),0),MATCH(VLOOKUP(E$7,'Writing Logic'!$J$7:$K$11,2,FALSE)&amp;" - Per "&amp;VLOOKUP($C$4,'Writing Logic'!$G$8:$H$14,2,FALSE),YES_Writing_ELA[#Headers],0))=0,"",INDEX(_xlfn.VSTACK(YES_Writing_ELA[#Data],YES_Writing_FLA[#Data]),MATCH($A448,_xlfn.VSTACK(YES_Writing_ELA[Student Number],YES_Writing_FLA[Student Number]),0),MATCH(VLOOKUP(E$7,'Writing Logic'!$J$7:$K$11,2,FALSE)&amp;" - Per "&amp;VLOOKUP($C$4,'Writing Logic'!$G$8:$H$14,2,FALSE),YES_Writing_ELA[#Headers],0)))),"")</f>
        <v/>
      </c>
      <c r="F448" s="138" t="str">
        <f>IFERROR(IF(IF(INDEX(_xlfn.VSTACK(YES_Writing_ELA[#Data],YES_Writing_FLA[#Data]),MATCH($A448,_xlfn.VSTACK(YES_Writing_ELA[Student Number],YES_Writing_FLA[Student Number]),0),MATCH(VLOOKUP(F$7,'Writing Logic'!$J$7:$K$11,2,FALSE)&amp;" - Per "&amp;VLOOKUP($C$4,'Writing Logic'!$G$8:$H$14,2,FALSE),YES_Writing_ELA[#Headers],0))=0,"",INDEX(_xlfn.VSTACK(YES_Writing_ELA[#Data],YES_Writing_FLA[#Data]),MATCH($A448,_xlfn.VSTACK(YES_Writing_ELA[Student Number],YES_Writing_FLA[Student Number]),0),MATCH(VLOOKUP(F$7,'Writing Logic'!$J$7:$K$11,2,FALSE)&amp;" - Per "&amp;VLOOKUP($C$4,'Writing Logic'!$G$8:$H$14,2,FALSE),YES_Writing_ELA[#Headers],0)))="INS",'Writing Logic'!$B$7,IF(INDEX(_xlfn.VSTACK(YES_Writing_ELA[#Data],YES_Writing_FLA[#Data]),MATCH($A448,_xlfn.VSTACK(YES_Writing_ELA[Student Number],YES_Writing_FLA[Student Number]),0),MATCH(VLOOKUP(F$7,'Writing Logic'!$J$7:$K$11,2,FALSE)&amp;" - Per "&amp;VLOOKUP($C$4,'Writing Logic'!$G$8:$H$14,2,FALSE),YES_Writing_ELA[#Headers],0))=0,"",INDEX(_xlfn.VSTACK(YES_Writing_ELA[#Data],YES_Writing_FLA[#Data]),MATCH($A448,_xlfn.VSTACK(YES_Writing_ELA[Student Number],YES_Writing_FLA[Student Number]),0),MATCH(VLOOKUP(F$7,'Writing Logic'!$J$7:$K$11,2,FALSE)&amp;" - Per "&amp;VLOOKUP($C$4,'Writing Logic'!$G$8:$H$14,2,FALSE),YES_Writing_ELA[#Headers],0)))),"")</f>
        <v/>
      </c>
      <c r="G448" s="138" t="str">
        <f>IFERROR(IF(IF(INDEX(_xlfn.VSTACK(YES_Writing_ELA[#Data],YES_Writing_FLA[#Data]),MATCH($A448,_xlfn.VSTACK(YES_Writing_ELA[Student Number],YES_Writing_FLA[Student Number]),0),MATCH(VLOOKUP(G$7,'Writing Logic'!$J$7:$K$11,2,FALSE)&amp;" - Per "&amp;VLOOKUP($C$4,'Writing Logic'!$G$8:$H$14,2,FALSE),YES_Writing_ELA[#Headers],0))=0,"",INDEX(_xlfn.VSTACK(YES_Writing_ELA[#Data],YES_Writing_FLA[#Data]),MATCH($A448,_xlfn.VSTACK(YES_Writing_ELA[Student Number],YES_Writing_FLA[Student Number]),0),MATCH(VLOOKUP(G$7,'Writing Logic'!$J$7:$K$11,2,FALSE)&amp;" - Per "&amp;VLOOKUP($C$4,'Writing Logic'!$G$8:$H$14,2,FALSE),YES_Writing_ELA[#Headers],0)))="INS",'Writing Logic'!$B$7,IF(INDEX(_xlfn.VSTACK(YES_Writing_ELA[#Data],YES_Writing_FLA[#Data]),MATCH($A448,_xlfn.VSTACK(YES_Writing_ELA[Student Number],YES_Writing_FLA[Student Number]),0),MATCH(VLOOKUP(G$7,'Writing Logic'!$J$7:$K$11,2,FALSE)&amp;" - Per "&amp;VLOOKUP($C$4,'Writing Logic'!$G$8:$H$14,2,FALSE),YES_Writing_ELA[#Headers],0))=0,"",INDEX(_xlfn.VSTACK(YES_Writing_ELA[#Data],YES_Writing_FLA[#Data]),MATCH($A448,_xlfn.VSTACK(YES_Writing_ELA[Student Number],YES_Writing_FLA[Student Number]),0),MATCH(VLOOKUP(G$7,'Writing Logic'!$J$7:$K$11,2,FALSE)&amp;" - Per "&amp;VLOOKUP($C$4,'Writing Logic'!$G$8:$H$14,2,FALSE),YES_Writing_ELA[#Headers],0)))),"")</f>
        <v/>
      </c>
      <c r="H448" s="223" t="str">
        <f>IFERROR(IF(IF(INDEX(_xlfn.VSTACK(YES_Writing_ELA[#Data],YES_Writing_FLA[#Data]),MATCH($A448,_xlfn.VSTACK(YES_Writing_ELA[Student Number],YES_Writing_FLA[Student Number]),0),MATCH(VLOOKUP(H$7,'Writing Logic'!$J$7:$K$11,2,FALSE)&amp;" - Per "&amp;VLOOKUP($C$4,'Writing Logic'!$G$8:$H$14,2,FALSE),YES_Writing_ELA[#Headers],0))=0,"",INDEX(_xlfn.VSTACK(YES_Writing_ELA[#Data],YES_Writing_FLA[#Data]),MATCH($A448,_xlfn.VSTACK(YES_Writing_ELA[Student Number],YES_Writing_FLA[Student Number]),0),MATCH(VLOOKUP(H$7,'Writing Logic'!$J$7:$K$11,2,FALSE)&amp;" - Per "&amp;VLOOKUP($C$4,'Writing Logic'!$G$8:$H$14,2,FALSE),YES_Writing_ELA[#Headers],0)))="INS",'Writing Logic'!$B$7,IF(INDEX(_xlfn.VSTACK(YES_Writing_ELA[#Data],YES_Writing_FLA[#Data]),MATCH($A448,_xlfn.VSTACK(YES_Writing_ELA[Student Number],YES_Writing_FLA[Student Number]),0),MATCH(VLOOKUP(H$7,'Writing Logic'!$J$7:$K$11,2,FALSE)&amp;" - Per "&amp;VLOOKUP($C$4,'Writing Logic'!$G$8:$H$14,2,FALSE),YES_Writing_ELA[#Headers],0))=0,"",INDEX(_xlfn.VSTACK(YES_Writing_ELA[#Data],YES_Writing_FLA[#Data]),MATCH($A448,_xlfn.VSTACK(YES_Writing_ELA[Student Number],YES_Writing_FLA[Student Number]),0),MATCH(VLOOKUP(H$7,'Writing Logic'!$J$7:$K$11,2,FALSE)&amp;" - Per "&amp;VLOOKUP($C$4,'Writing Logic'!$G$8:$H$14,2,FALSE),YES_Writing_ELA[#Headers],0)))),"")</f>
        <v/>
      </c>
      <c r="I448" s="224" t="str" cm="1">
        <f t="array" aca="1" ref="I448" ca="1">IFERROR(
IF($G$3="ELA",
IF(VLOOKUP($A448, YES_Reading_ELA[], COLUMN(INDIRECT("YES_Reading_ELA[Difference - Per "&amp;VLOOKUP($G$4, 'Reading Report Logic'!$A$2:$B$8, 2, FALSE)&amp;"]")), FALSE)="", "",
VLOOKUP($A448,YES_Reading_ELA[], COLUMN(INDIRECT("YES_Reading_ELA[Difference - Per "&amp;VLOOKUP($G$4,'Reading Report Logic'!$A$2:$B$8,2,FALSE)&amp;"]")), FALSE)),
IF($G$3="FLA",
IF(VLOOKUP($A448, YES_Reading_FLA[], COLUMN(INDIRECT("YES_Reading_FLA[Difference - Per "&amp;VLOOKUP($G$4,'Reading Report Logic'!$A$2:$B$8,2,FALSE)&amp;"]")),FALSE)="","",
VLOOKUP($A448,YES_Reading_FLA[],COLUMN(INDIRECT("YES_Reading_FLA[Difference - Per "&amp;VLOOKUP($G$4,'Reading Report Logic'!$A$2:$B$8,2,FALSE)&amp;"]")),FALSE)),
IF($G$3="Combined",
IFERROR(
IF(VLOOKUP($A448, YES_Reading_ELA[], COLUMN(INDIRECT("YES_Reading_ELA[Difference - Per "&amp;VLOOKUP($G$4, 'Reading Report Logic'!$A$2:$B$8,2,FALSE)&amp;"]")), FALSE)="", "",
VLOOKUP($A448,YES_Reading_ELA[],COLUMN(INDIRECT("YES_Reading_ELA[Difference - Per "&amp;VLOOKUP($G$4,'Reading Report Logic'!$A$2:$B$8,2,FALSE)&amp;"]")),FALSE)),
IF(VLOOKUP($A448, YES_Reading_FLA[], COLUMN(INDIRECT("YES_Reading_FLA[Difference - Per "&amp;VLOOKUP($G$4, 'Reading Report Logic'!$A$2:$B$8, 2, FALSE)&amp;"]")),FALSE)="", "", VLOOKUP($A448,YES_Reading_FLA[],COLUMN(INDIRECT("YES_Reading_FLA[Difference - Per "&amp;VLOOKUP($G$4, 'Reading Report Logic'!$A$2:$B$8, 2, FALSE)&amp;"]")),FALSE))),""))),"")</f>
        <v/>
      </c>
    </row>
    <row r="449" spans="1:9" x14ac:dyDescent="0.25">
      <c r="A449" s="137"/>
      <c r="B449" s="137" t="str">
        <f>IFERROR(INDEX(_xlfn.VSTACK(YES_Writing_ELA[#Data], YES_Writing_FLA[#Data]),MATCH($A449,_xlfn.VSTACK(YES_Writing_ELA[Student Number], YES_Writing_FLA[Student Number]),0),MATCH(B$7,YES_Writing_ELA[#Headers],0)),IFERROR(INDEX(_xlfn.VSTACK(YES_Reading_ELA[#Data], YES_Reading_FLA[#Data]),MATCH($A449,_xlfn.VSTACK(YES_Reading_ELA[Student Number], YES_Reading_FLA[Student Number]),0),MATCH(B$7,YES_Reading_ELA[#Headers],0)),""))</f>
        <v/>
      </c>
      <c r="C449" s="137" t="str">
        <f>IFERROR(INDEX(_xlfn.VSTACK(YES_Writing_ELA[#Data], YES_Writing_FLA[#Data]),MATCH($A449,_xlfn.VSTACK(YES_Writing_ELA[Student Number], YES_Writing_FLA[Student Number]),0),MATCH(C$7,YES_Writing_ELA[#Headers],0)),IFERROR(INDEX(_xlfn.VSTACK(YES_Reading_ELA[#Data], YES_Reading_FLA[#Data]),MATCH($A449,_xlfn.VSTACK(YES_Reading_ELA[Student Number], YES_Reading_FLA[Student Number]),0),MATCH(C$7,YES_Reading_ELA[#Headers],0)),""))</f>
        <v/>
      </c>
      <c r="D449" s="138" t="str">
        <f>IFERROR(IF(IF(INDEX(_xlfn.VSTACK(YES_Writing_ELA[#Data],YES_Writing_FLA[#Data]),MATCH($A449,_xlfn.VSTACK(YES_Writing_ELA[Student Number],YES_Writing_FLA[Student Number]),0),MATCH(VLOOKUP(D$7,'Writing Logic'!$J$7:$K$11,2,FALSE)&amp;" - Per "&amp;VLOOKUP($C$4,'Writing Logic'!$G$8:$H$14,2,FALSE),YES_Writing_ELA[#Headers],0))=0,"",INDEX(_xlfn.VSTACK(YES_Writing_ELA[#Data],YES_Writing_FLA[#Data]),MATCH($A449,_xlfn.VSTACK(YES_Writing_ELA[Student Number],YES_Writing_FLA[Student Number]),0),MATCH(VLOOKUP(D$7,'Writing Logic'!$J$7:$K$11,2,FALSE)&amp;" - Per "&amp;VLOOKUP($C$4,'Writing Logic'!$G$8:$H$14,2,FALSE),YES_Writing_ELA[#Headers],0)))="INS",'Writing Logic'!$B$7,IF(INDEX(_xlfn.VSTACK(YES_Writing_ELA[#Data],YES_Writing_FLA[#Data]),MATCH($A449,_xlfn.VSTACK(YES_Writing_ELA[Student Number],YES_Writing_FLA[Student Number]),0),MATCH(VLOOKUP(D$7,'Writing Logic'!$J$7:$K$11,2,FALSE)&amp;" - Per "&amp;VLOOKUP($C$4,'Writing Logic'!$G$8:$H$14,2,FALSE),YES_Writing_ELA[#Headers],0))=0,"",INDEX(_xlfn.VSTACK(YES_Writing_ELA[#Data],YES_Writing_FLA[#Data]),MATCH($A449,_xlfn.VSTACK(YES_Writing_ELA[Student Number],YES_Writing_FLA[Student Number]),0),MATCH(VLOOKUP(D$7,'Writing Logic'!$J$7:$K$11,2,FALSE)&amp;" - Per "&amp;VLOOKUP($C$4,'Writing Logic'!$G$8:$H$14,2,FALSE),YES_Writing_ELA[#Headers],0)))),"")</f>
        <v/>
      </c>
      <c r="E449" s="138" t="str">
        <f>IFERROR(IF(IF(INDEX(_xlfn.VSTACK(YES_Writing_ELA[#Data],YES_Writing_FLA[#Data]),MATCH($A449,_xlfn.VSTACK(YES_Writing_ELA[Student Number],YES_Writing_FLA[Student Number]),0),MATCH(VLOOKUP(E$7,'Writing Logic'!$J$7:$K$11,2,FALSE)&amp;" - Per "&amp;VLOOKUP($C$4,'Writing Logic'!$G$8:$H$14,2,FALSE),YES_Writing_ELA[#Headers],0))=0,"",INDEX(_xlfn.VSTACK(YES_Writing_ELA[#Data],YES_Writing_FLA[#Data]),MATCH($A449,_xlfn.VSTACK(YES_Writing_ELA[Student Number],YES_Writing_FLA[Student Number]),0),MATCH(VLOOKUP(E$7,'Writing Logic'!$J$7:$K$11,2,FALSE)&amp;" - Per "&amp;VLOOKUP($C$4,'Writing Logic'!$G$8:$H$14,2,FALSE),YES_Writing_ELA[#Headers],0)))="INS",'Writing Logic'!$B$7,IF(INDEX(_xlfn.VSTACK(YES_Writing_ELA[#Data],YES_Writing_FLA[#Data]),MATCH($A449,_xlfn.VSTACK(YES_Writing_ELA[Student Number],YES_Writing_FLA[Student Number]),0),MATCH(VLOOKUP(E$7,'Writing Logic'!$J$7:$K$11,2,FALSE)&amp;" - Per "&amp;VLOOKUP($C$4,'Writing Logic'!$G$8:$H$14,2,FALSE),YES_Writing_ELA[#Headers],0))=0,"",INDEX(_xlfn.VSTACK(YES_Writing_ELA[#Data],YES_Writing_FLA[#Data]),MATCH($A449,_xlfn.VSTACK(YES_Writing_ELA[Student Number],YES_Writing_FLA[Student Number]),0),MATCH(VLOOKUP(E$7,'Writing Logic'!$J$7:$K$11,2,FALSE)&amp;" - Per "&amp;VLOOKUP($C$4,'Writing Logic'!$G$8:$H$14,2,FALSE),YES_Writing_ELA[#Headers],0)))),"")</f>
        <v/>
      </c>
      <c r="F449" s="138" t="str">
        <f>IFERROR(IF(IF(INDEX(_xlfn.VSTACK(YES_Writing_ELA[#Data],YES_Writing_FLA[#Data]),MATCH($A449,_xlfn.VSTACK(YES_Writing_ELA[Student Number],YES_Writing_FLA[Student Number]),0),MATCH(VLOOKUP(F$7,'Writing Logic'!$J$7:$K$11,2,FALSE)&amp;" - Per "&amp;VLOOKUP($C$4,'Writing Logic'!$G$8:$H$14,2,FALSE),YES_Writing_ELA[#Headers],0))=0,"",INDEX(_xlfn.VSTACK(YES_Writing_ELA[#Data],YES_Writing_FLA[#Data]),MATCH($A449,_xlfn.VSTACK(YES_Writing_ELA[Student Number],YES_Writing_FLA[Student Number]),0),MATCH(VLOOKUP(F$7,'Writing Logic'!$J$7:$K$11,2,FALSE)&amp;" - Per "&amp;VLOOKUP($C$4,'Writing Logic'!$G$8:$H$14,2,FALSE),YES_Writing_ELA[#Headers],0)))="INS",'Writing Logic'!$B$7,IF(INDEX(_xlfn.VSTACK(YES_Writing_ELA[#Data],YES_Writing_FLA[#Data]),MATCH($A449,_xlfn.VSTACK(YES_Writing_ELA[Student Number],YES_Writing_FLA[Student Number]),0),MATCH(VLOOKUP(F$7,'Writing Logic'!$J$7:$K$11,2,FALSE)&amp;" - Per "&amp;VLOOKUP($C$4,'Writing Logic'!$G$8:$H$14,2,FALSE),YES_Writing_ELA[#Headers],0))=0,"",INDEX(_xlfn.VSTACK(YES_Writing_ELA[#Data],YES_Writing_FLA[#Data]),MATCH($A449,_xlfn.VSTACK(YES_Writing_ELA[Student Number],YES_Writing_FLA[Student Number]),0),MATCH(VLOOKUP(F$7,'Writing Logic'!$J$7:$K$11,2,FALSE)&amp;" - Per "&amp;VLOOKUP($C$4,'Writing Logic'!$G$8:$H$14,2,FALSE),YES_Writing_ELA[#Headers],0)))),"")</f>
        <v/>
      </c>
      <c r="G449" s="138" t="str">
        <f>IFERROR(IF(IF(INDEX(_xlfn.VSTACK(YES_Writing_ELA[#Data],YES_Writing_FLA[#Data]),MATCH($A449,_xlfn.VSTACK(YES_Writing_ELA[Student Number],YES_Writing_FLA[Student Number]),0),MATCH(VLOOKUP(G$7,'Writing Logic'!$J$7:$K$11,2,FALSE)&amp;" - Per "&amp;VLOOKUP($C$4,'Writing Logic'!$G$8:$H$14,2,FALSE),YES_Writing_ELA[#Headers],0))=0,"",INDEX(_xlfn.VSTACK(YES_Writing_ELA[#Data],YES_Writing_FLA[#Data]),MATCH($A449,_xlfn.VSTACK(YES_Writing_ELA[Student Number],YES_Writing_FLA[Student Number]),0),MATCH(VLOOKUP(G$7,'Writing Logic'!$J$7:$K$11,2,FALSE)&amp;" - Per "&amp;VLOOKUP($C$4,'Writing Logic'!$G$8:$H$14,2,FALSE),YES_Writing_ELA[#Headers],0)))="INS",'Writing Logic'!$B$7,IF(INDEX(_xlfn.VSTACK(YES_Writing_ELA[#Data],YES_Writing_FLA[#Data]),MATCH($A449,_xlfn.VSTACK(YES_Writing_ELA[Student Number],YES_Writing_FLA[Student Number]),0),MATCH(VLOOKUP(G$7,'Writing Logic'!$J$7:$K$11,2,FALSE)&amp;" - Per "&amp;VLOOKUP($C$4,'Writing Logic'!$G$8:$H$14,2,FALSE),YES_Writing_ELA[#Headers],0))=0,"",INDEX(_xlfn.VSTACK(YES_Writing_ELA[#Data],YES_Writing_FLA[#Data]),MATCH($A449,_xlfn.VSTACK(YES_Writing_ELA[Student Number],YES_Writing_FLA[Student Number]),0),MATCH(VLOOKUP(G$7,'Writing Logic'!$J$7:$K$11,2,FALSE)&amp;" - Per "&amp;VLOOKUP($C$4,'Writing Logic'!$G$8:$H$14,2,FALSE),YES_Writing_ELA[#Headers],0)))),"")</f>
        <v/>
      </c>
      <c r="H449" s="223" t="str">
        <f>IFERROR(IF(IF(INDEX(_xlfn.VSTACK(YES_Writing_ELA[#Data],YES_Writing_FLA[#Data]),MATCH($A449,_xlfn.VSTACK(YES_Writing_ELA[Student Number],YES_Writing_FLA[Student Number]),0),MATCH(VLOOKUP(H$7,'Writing Logic'!$J$7:$K$11,2,FALSE)&amp;" - Per "&amp;VLOOKUP($C$4,'Writing Logic'!$G$8:$H$14,2,FALSE),YES_Writing_ELA[#Headers],0))=0,"",INDEX(_xlfn.VSTACK(YES_Writing_ELA[#Data],YES_Writing_FLA[#Data]),MATCH($A449,_xlfn.VSTACK(YES_Writing_ELA[Student Number],YES_Writing_FLA[Student Number]),0),MATCH(VLOOKUP(H$7,'Writing Logic'!$J$7:$K$11,2,FALSE)&amp;" - Per "&amp;VLOOKUP($C$4,'Writing Logic'!$G$8:$H$14,2,FALSE),YES_Writing_ELA[#Headers],0)))="INS",'Writing Logic'!$B$7,IF(INDEX(_xlfn.VSTACK(YES_Writing_ELA[#Data],YES_Writing_FLA[#Data]),MATCH($A449,_xlfn.VSTACK(YES_Writing_ELA[Student Number],YES_Writing_FLA[Student Number]),0),MATCH(VLOOKUP(H$7,'Writing Logic'!$J$7:$K$11,2,FALSE)&amp;" - Per "&amp;VLOOKUP($C$4,'Writing Logic'!$G$8:$H$14,2,FALSE),YES_Writing_ELA[#Headers],0))=0,"",INDEX(_xlfn.VSTACK(YES_Writing_ELA[#Data],YES_Writing_FLA[#Data]),MATCH($A449,_xlfn.VSTACK(YES_Writing_ELA[Student Number],YES_Writing_FLA[Student Number]),0),MATCH(VLOOKUP(H$7,'Writing Logic'!$J$7:$K$11,2,FALSE)&amp;" - Per "&amp;VLOOKUP($C$4,'Writing Logic'!$G$8:$H$14,2,FALSE),YES_Writing_ELA[#Headers],0)))),"")</f>
        <v/>
      </c>
      <c r="I449" s="224" t="str" cm="1">
        <f t="array" aca="1" ref="I449" ca="1">IFERROR(
IF($G$3="ELA",
IF(VLOOKUP($A449, YES_Reading_ELA[], COLUMN(INDIRECT("YES_Reading_ELA[Difference - Per "&amp;VLOOKUP($G$4, 'Reading Report Logic'!$A$2:$B$8, 2, FALSE)&amp;"]")), FALSE)="", "",
VLOOKUP($A449,YES_Reading_ELA[], COLUMN(INDIRECT("YES_Reading_ELA[Difference - Per "&amp;VLOOKUP($G$4,'Reading Report Logic'!$A$2:$B$8,2,FALSE)&amp;"]")), FALSE)),
IF($G$3="FLA",
IF(VLOOKUP($A449, YES_Reading_FLA[], COLUMN(INDIRECT("YES_Reading_FLA[Difference - Per "&amp;VLOOKUP($G$4,'Reading Report Logic'!$A$2:$B$8,2,FALSE)&amp;"]")),FALSE)="","",
VLOOKUP($A449,YES_Reading_FLA[],COLUMN(INDIRECT("YES_Reading_FLA[Difference - Per "&amp;VLOOKUP($G$4,'Reading Report Logic'!$A$2:$B$8,2,FALSE)&amp;"]")),FALSE)),
IF($G$3="Combined",
IFERROR(
IF(VLOOKUP($A449, YES_Reading_ELA[], COLUMN(INDIRECT("YES_Reading_ELA[Difference - Per "&amp;VLOOKUP($G$4, 'Reading Report Logic'!$A$2:$B$8,2,FALSE)&amp;"]")), FALSE)="", "",
VLOOKUP($A449,YES_Reading_ELA[],COLUMN(INDIRECT("YES_Reading_ELA[Difference - Per "&amp;VLOOKUP($G$4,'Reading Report Logic'!$A$2:$B$8,2,FALSE)&amp;"]")),FALSE)),
IF(VLOOKUP($A449, YES_Reading_FLA[], COLUMN(INDIRECT("YES_Reading_FLA[Difference - Per "&amp;VLOOKUP($G$4, 'Reading Report Logic'!$A$2:$B$8, 2, FALSE)&amp;"]")),FALSE)="", "", VLOOKUP($A449,YES_Reading_FLA[],COLUMN(INDIRECT("YES_Reading_FLA[Difference - Per "&amp;VLOOKUP($G$4, 'Reading Report Logic'!$A$2:$B$8, 2, FALSE)&amp;"]")),FALSE))),""))),"")</f>
        <v/>
      </c>
    </row>
    <row r="450" spans="1:9" x14ac:dyDescent="0.25">
      <c r="A450" s="137"/>
      <c r="B450" s="137" t="str">
        <f>IFERROR(INDEX(_xlfn.VSTACK(YES_Writing_ELA[#Data], YES_Writing_FLA[#Data]),MATCH($A450,_xlfn.VSTACK(YES_Writing_ELA[Student Number], YES_Writing_FLA[Student Number]),0),MATCH(B$7,YES_Writing_ELA[#Headers],0)),IFERROR(INDEX(_xlfn.VSTACK(YES_Reading_ELA[#Data], YES_Reading_FLA[#Data]),MATCH($A450,_xlfn.VSTACK(YES_Reading_ELA[Student Number], YES_Reading_FLA[Student Number]),0),MATCH(B$7,YES_Reading_ELA[#Headers],0)),""))</f>
        <v/>
      </c>
      <c r="C450" s="137" t="str">
        <f>IFERROR(INDEX(_xlfn.VSTACK(YES_Writing_ELA[#Data], YES_Writing_FLA[#Data]),MATCH($A450,_xlfn.VSTACK(YES_Writing_ELA[Student Number], YES_Writing_FLA[Student Number]),0),MATCH(C$7,YES_Writing_ELA[#Headers],0)),IFERROR(INDEX(_xlfn.VSTACK(YES_Reading_ELA[#Data], YES_Reading_FLA[#Data]),MATCH($A450,_xlfn.VSTACK(YES_Reading_ELA[Student Number], YES_Reading_FLA[Student Number]),0),MATCH(C$7,YES_Reading_ELA[#Headers],0)),""))</f>
        <v/>
      </c>
      <c r="D450" s="138" t="str">
        <f>IFERROR(IF(IF(INDEX(_xlfn.VSTACK(YES_Writing_ELA[#Data],YES_Writing_FLA[#Data]),MATCH($A450,_xlfn.VSTACK(YES_Writing_ELA[Student Number],YES_Writing_FLA[Student Number]),0),MATCH(VLOOKUP(D$7,'Writing Logic'!$J$7:$K$11,2,FALSE)&amp;" - Per "&amp;VLOOKUP($C$4,'Writing Logic'!$G$8:$H$14,2,FALSE),YES_Writing_ELA[#Headers],0))=0,"",INDEX(_xlfn.VSTACK(YES_Writing_ELA[#Data],YES_Writing_FLA[#Data]),MATCH($A450,_xlfn.VSTACK(YES_Writing_ELA[Student Number],YES_Writing_FLA[Student Number]),0),MATCH(VLOOKUP(D$7,'Writing Logic'!$J$7:$K$11,2,FALSE)&amp;" - Per "&amp;VLOOKUP($C$4,'Writing Logic'!$G$8:$H$14,2,FALSE),YES_Writing_ELA[#Headers],0)))="INS",'Writing Logic'!$B$7,IF(INDEX(_xlfn.VSTACK(YES_Writing_ELA[#Data],YES_Writing_FLA[#Data]),MATCH($A450,_xlfn.VSTACK(YES_Writing_ELA[Student Number],YES_Writing_FLA[Student Number]),0),MATCH(VLOOKUP(D$7,'Writing Logic'!$J$7:$K$11,2,FALSE)&amp;" - Per "&amp;VLOOKUP($C$4,'Writing Logic'!$G$8:$H$14,2,FALSE),YES_Writing_ELA[#Headers],0))=0,"",INDEX(_xlfn.VSTACK(YES_Writing_ELA[#Data],YES_Writing_FLA[#Data]),MATCH($A450,_xlfn.VSTACK(YES_Writing_ELA[Student Number],YES_Writing_FLA[Student Number]),0),MATCH(VLOOKUP(D$7,'Writing Logic'!$J$7:$K$11,2,FALSE)&amp;" - Per "&amp;VLOOKUP($C$4,'Writing Logic'!$G$8:$H$14,2,FALSE),YES_Writing_ELA[#Headers],0)))),"")</f>
        <v/>
      </c>
      <c r="E450" s="138" t="str">
        <f>IFERROR(IF(IF(INDEX(_xlfn.VSTACK(YES_Writing_ELA[#Data],YES_Writing_FLA[#Data]),MATCH($A450,_xlfn.VSTACK(YES_Writing_ELA[Student Number],YES_Writing_FLA[Student Number]),0),MATCH(VLOOKUP(E$7,'Writing Logic'!$J$7:$K$11,2,FALSE)&amp;" - Per "&amp;VLOOKUP($C$4,'Writing Logic'!$G$8:$H$14,2,FALSE),YES_Writing_ELA[#Headers],0))=0,"",INDEX(_xlfn.VSTACK(YES_Writing_ELA[#Data],YES_Writing_FLA[#Data]),MATCH($A450,_xlfn.VSTACK(YES_Writing_ELA[Student Number],YES_Writing_FLA[Student Number]),0),MATCH(VLOOKUP(E$7,'Writing Logic'!$J$7:$K$11,2,FALSE)&amp;" - Per "&amp;VLOOKUP($C$4,'Writing Logic'!$G$8:$H$14,2,FALSE),YES_Writing_ELA[#Headers],0)))="INS",'Writing Logic'!$B$7,IF(INDEX(_xlfn.VSTACK(YES_Writing_ELA[#Data],YES_Writing_FLA[#Data]),MATCH($A450,_xlfn.VSTACK(YES_Writing_ELA[Student Number],YES_Writing_FLA[Student Number]),0),MATCH(VLOOKUP(E$7,'Writing Logic'!$J$7:$K$11,2,FALSE)&amp;" - Per "&amp;VLOOKUP($C$4,'Writing Logic'!$G$8:$H$14,2,FALSE),YES_Writing_ELA[#Headers],0))=0,"",INDEX(_xlfn.VSTACK(YES_Writing_ELA[#Data],YES_Writing_FLA[#Data]),MATCH($A450,_xlfn.VSTACK(YES_Writing_ELA[Student Number],YES_Writing_FLA[Student Number]),0),MATCH(VLOOKUP(E$7,'Writing Logic'!$J$7:$K$11,2,FALSE)&amp;" - Per "&amp;VLOOKUP($C$4,'Writing Logic'!$G$8:$H$14,2,FALSE),YES_Writing_ELA[#Headers],0)))),"")</f>
        <v/>
      </c>
      <c r="F450" s="138" t="str">
        <f>IFERROR(IF(IF(INDEX(_xlfn.VSTACK(YES_Writing_ELA[#Data],YES_Writing_FLA[#Data]),MATCH($A450,_xlfn.VSTACK(YES_Writing_ELA[Student Number],YES_Writing_FLA[Student Number]),0),MATCH(VLOOKUP(F$7,'Writing Logic'!$J$7:$K$11,2,FALSE)&amp;" - Per "&amp;VLOOKUP($C$4,'Writing Logic'!$G$8:$H$14,2,FALSE),YES_Writing_ELA[#Headers],0))=0,"",INDEX(_xlfn.VSTACK(YES_Writing_ELA[#Data],YES_Writing_FLA[#Data]),MATCH($A450,_xlfn.VSTACK(YES_Writing_ELA[Student Number],YES_Writing_FLA[Student Number]),0),MATCH(VLOOKUP(F$7,'Writing Logic'!$J$7:$K$11,2,FALSE)&amp;" - Per "&amp;VLOOKUP($C$4,'Writing Logic'!$G$8:$H$14,2,FALSE),YES_Writing_ELA[#Headers],0)))="INS",'Writing Logic'!$B$7,IF(INDEX(_xlfn.VSTACK(YES_Writing_ELA[#Data],YES_Writing_FLA[#Data]),MATCH($A450,_xlfn.VSTACK(YES_Writing_ELA[Student Number],YES_Writing_FLA[Student Number]),0),MATCH(VLOOKUP(F$7,'Writing Logic'!$J$7:$K$11,2,FALSE)&amp;" - Per "&amp;VLOOKUP($C$4,'Writing Logic'!$G$8:$H$14,2,FALSE),YES_Writing_ELA[#Headers],0))=0,"",INDEX(_xlfn.VSTACK(YES_Writing_ELA[#Data],YES_Writing_FLA[#Data]),MATCH($A450,_xlfn.VSTACK(YES_Writing_ELA[Student Number],YES_Writing_FLA[Student Number]),0),MATCH(VLOOKUP(F$7,'Writing Logic'!$J$7:$K$11,2,FALSE)&amp;" - Per "&amp;VLOOKUP($C$4,'Writing Logic'!$G$8:$H$14,2,FALSE),YES_Writing_ELA[#Headers],0)))),"")</f>
        <v/>
      </c>
      <c r="G450" s="138" t="str">
        <f>IFERROR(IF(IF(INDEX(_xlfn.VSTACK(YES_Writing_ELA[#Data],YES_Writing_FLA[#Data]),MATCH($A450,_xlfn.VSTACK(YES_Writing_ELA[Student Number],YES_Writing_FLA[Student Number]),0),MATCH(VLOOKUP(G$7,'Writing Logic'!$J$7:$K$11,2,FALSE)&amp;" - Per "&amp;VLOOKUP($C$4,'Writing Logic'!$G$8:$H$14,2,FALSE),YES_Writing_ELA[#Headers],0))=0,"",INDEX(_xlfn.VSTACK(YES_Writing_ELA[#Data],YES_Writing_FLA[#Data]),MATCH($A450,_xlfn.VSTACK(YES_Writing_ELA[Student Number],YES_Writing_FLA[Student Number]),0),MATCH(VLOOKUP(G$7,'Writing Logic'!$J$7:$K$11,2,FALSE)&amp;" - Per "&amp;VLOOKUP($C$4,'Writing Logic'!$G$8:$H$14,2,FALSE),YES_Writing_ELA[#Headers],0)))="INS",'Writing Logic'!$B$7,IF(INDEX(_xlfn.VSTACK(YES_Writing_ELA[#Data],YES_Writing_FLA[#Data]),MATCH($A450,_xlfn.VSTACK(YES_Writing_ELA[Student Number],YES_Writing_FLA[Student Number]),0),MATCH(VLOOKUP(G$7,'Writing Logic'!$J$7:$K$11,2,FALSE)&amp;" - Per "&amp;VLOOKUP($C$4,'Writing Logic'!$G$8:$H$14,2,FALSE),YES_Writing_ELA[#Headers],0))=0,"",INDEX(_xlfn.VSTACK(YES_Writing_ELA[#Data],YES_Writing_FLA[#Data]),MATCH($A450,_xlfn.VSTACK(YES_Writing_ELA[Student Number],YES_Writing_FLA[Student Number]),0),MATCH(VLOOKUP(G$7,'Writing Logic'!$J$7:$K$11,2,FALSE)&amp;" - Per "&amp;VLOOKUP($C$4,'Writing Logic'!$G$8:$H$14,2,FALSE),YES_Writing_ELA[#Headers],0)))),"")</f>
        <v/>
      </c>
      <c r="H450" s="223" t="str">
        <f>IFERROR(IF(IF(INDEX(_xlfn.VSTACK(YES_Writing_ELA[#Data],YES_Writing_FLA[#Data]),MATCH($A450,_xlfn.VSTACK(YES_Writing_ELA[Student Number],YES_Writing_FLA[Student Number]),0),MATCH(VLOOKUP(H$7,'Writing Logic'!$J$7:$K$11,2,FALSE)&amp;" - Per "&amp;VLOOKUP($C$4,'Writing Logic'!$G$8:$H$14,2,FALSE),YES_Writing_ELA[#Headers],0))=0,"",INDEX(_xlfn.VSTACK(YES_Writing_ELA[#Data],YES_Writing_FLA[#Data]),MATCH($A450,_xlfn.VSTACK(YES_Writing_ELA[Student Number],YES_Writing_FLA[Student Number]),0),MATCH(VLOOKUP(H$7,'Writing Logic'!$J$7:$K$11,2,FALSE)&amp;" - Per "&amp;VLOOKUP($C$4,'Writing Logic'!$G$8:$H$14,2,FALSE),YES_Writing_ELA[#Headers],0)))="INS",'Writing Logic'!$B$7,IF(INDEX(_xlfn.VSTACK(YES_Writing_ELA[#Data],YES_Writing_FLA[#Data]),MATCH($A450,_xlfn.VSTACK(YES_Writing_ELA[Student Number],YES_Writing_FLA[Student Number]),0),MATCH(VLOOKUP(H$7,'Writing Logic'!$J$7:$K$11,2,FALSE)&amp;" - Per "&amp;VLOOKUP($C$4,'Writing Logic'!$G$8:$H$14,2,FALSE),YES_Writing_ELA[#Headers],0))=0,"",INDEX(_xlfn.VSTACK(YES_Writing_ELA[#Data],YES_Writing_FLA[#Data]),MATCH($A450,_xlfn.VSTACK(YES_Writing_ELA[Student Number],YES_Writing_FLA[Student Number]),0),MATCH(VLOOKUP(H$7,'Writing Logic'!$J$7:$K$11,2,FALSE)&amp;" - Per "&amp;VLOOKUP($C$4,'Writing Logic'!$G$8:$H$14,2,FALSE),YES_Writing_ELA[#Headers],0)))),"")</f>
        <v/>
      </c>
      <c r="I450" s="224" t="str" cm="1">
        <f t="array" aca="1" ref="I450" ca="1">IFERROR(
IF($G$3="ELA",
IF(VLOOKUP($A450, YES_Reading_ELA[], COLUMN(INDIRECT("YES_Reading_ELA[Difference - Per "&amp;VLOOKUP($G$4, 'Reading Report Logic'!$A$2:$B$8, 2, FALSE)&amp;"]")), FALSE)="", "",
VLOOKUP($A450,YES_Reading_ELA[], COLUMN(INDIRECT("YES_Reading_ELA[Difference - Per "&amp;VLOOKUP($G$4,'Reading Report Logic'!$A$2:$B$8,2,FALSE)&amp;"]")), FALSE)),
IF($G$3="FLA",
IF(VLOOKUP($A450, YES_Reading_FLA[], COLUMN(INDIRECT("YES_Reading_FLA[Difference - Per "&amp;VLOOKUP($G$4,'Reading Report Logic'!$A$2:$B$8,2,FALSE)&amp;"]")),FALSE)="","",
VLOOKUP($A450,YES_Reading_FLA[],COLUMN(INDIRECT("YES_Reading_FLA[Difference - Per "&amp;VLOOKUP($G$4,'Reading Report Logic'!$A$2:$B$8,2,FALSE)&amp;"]")),FALSE)),
IF($G$3="Combined",
IFERROR(
IF(VLOOKUP($A450, YES_Reading_ELA[], COLUMN(INDIRECT("YES_Reading_ELA[Difference - Per "&amp;VLOOKUP($G$4, 'Reading Report Logic'!$A$2:$B$8,2,FALSE)&amp;"]")), FALSE)="", "",
VLOOKUP($A450,YES_Reading_ELA[],COLUMN(INDIRECT("YES_Reading_ELA[Difference - Per "&amp;VLOOKUP($G$4,'Reading Report Logic'!$A$2:$B$8,2,FALSE)&amp;"]")),FALSE)),
IF(VLOOKUP($A450, YES_Reading_FLA[], COLUMN(INDIRECT("YES_Reading_FLA[Difference - Per "&amp;VLOOKUP($G$4, 'Reading Report Logic'!$A$2:$B$8, 2, FALSE)&amp;"]")),FALSE)="", "", VLOOKUP($A450,YES_Reading_FLA[],COLUMN(INDIRECT("YES_Reading_FLA[Difference - Per "&amp;VLOOKUP($G$4, 'Reading Report Logic'!$A$2:$B$8, 2, FALSE)&amp;"]")),FALSE))),""))),"")</f>
        <v/>
      </c>
    </row>
    <row r="451" spans="1:9" x14ac:dyDescent="0.25">
      <c r="A451" s="137"/>
      <c r="B451" s="137" t="str">
        <f>IFERROR(INDEX(_xlfn.VSTACK(YES_Writing_ELA[#Data], YES_Writing_FLA[#Data]),MATCH($A451,_xlfn.VSTACK(YES_Writing_ELA[Student Number], YES_Writing_FLA[Student Number]),0),MATCH(B$7,YES_Writing_ELA[#Headers],0)),IFERROR(INDEX(_xlfn.VSTACK(YES_Reading_ELA[#Data], YES_Reading_FLA[#Data]),MATCH($A451,_xlfn.VSTACK(YES_Reading_ELA[Student Number], YES_Reading_FLA[Student Number]),0),MATCH(B$7,YES_Reading_ELA[#Headers],0)),""))</f>
        <v/>
      </c>
      <c r="C451" s="137" t="str">
        <f>IFERROR(INDEX(_xlfn.VSTACK(YES_Writing_ELA[#Data], YES_Writing_FLA[#Data]),MATCH($A451,_xlfn.VSTACK(YES_Writing_ELA[Student Number], YES_Writing_FLA[Student Number]),0),MATCH(C$7,YES_Writing_ELA[#Headers],0)),IFERROR(INDEX(_xlfn.VSTACK(YES_Reading_ELA[#Data], YES_Reading_FLA[#Data]),MATCH($A451,_xlfn.VSTACK(YES_Reading_ELA[Student Number], YES_Reading_FLA[Student Number]),0),MATCH(C$7,YES_Reading_ELA[#Headers],0)),""))</f>
        <v/>
      </c>
      <c r="D451" s="138" t="str">
        <f>IFERROR(IF(IF(INDEX(_xlfn.VSTACK(YES_Writing_ELA[#Data],YES_Writing_FLA[#Data]),MATCH($A451,_xlfn.VSTACK(YES_Writing_ELA[Student Number],YES_Writing_FLA[Student Number]),0),MATCH(VLOOKUP(D$7,'Writing Logic'!$J$7:$K$11,2,FALSE)&amp;" - Per "&amp;VLOOKUP($C$4,'Writing Logic'!$G$8:$H$14,2,FALSE),YES_Writing_ELA[#Headers],0))=0,"",INDEX(_xlfn.VSTACK(YES_Writing_ELA[#Data],YES_Writing_FLA[#Data]),MATCH($A451,_xlfn.VSTACK(YES_Writing_ELA[Student Number],YES_Writing_FLA[Student Number]),0),MATCH(VLOOKUP(D$7,'Writing Logic'!$J$7:$K$11,2,FALSE)&amp;" - Per "&amp;VLOOKUP($C$4,'Writing Logic'!$G$8:$H$14,2,FALSE),YES_Writing_ELA[#Headers],0)))="INS",'Writing Logic'!$B$7,IF(INDEX(_xlfn.VSTACK(YES_Writing_ELA[#Data],YES_Writing_FLA[#Data]),MATCH($A451,_xlfn.VSTACK(YES_Writing_ELA[Student Number],YES_Writing_FLA[Student Number]),0),MATCH(VLOOKUP(D$7,'Writing Logic'!$J$7:$K$11,2,FALSE)&amp;" - Per "&amp;VLOOKUP($C$4,'Writing Logic'!$G$8:$H$14,2,FALSE),YES_Writing_ELA[#Headers],0))=0,"",INDEX(_xlfn.VSTACK(YES_Writing_ELA[#Data],YES_Writing_FLA[#Data]),MATCH($A451,_xlfn.VSTACK(YES_Writing_ELA[Student Number],YES_Writing_FLA[Student Number]),0),MATCH(VLOOKUP(D$7,'Writing Logic'!$J$7:$K$11,2,FALSE)&amp;" - Per "&amp;VLOOKUP($C$4,'Writing Logic'!$G$8:$H$14,2,FALSE),YES_Writing_ELA[#Headers],0)))),"")</f>
        <v/>
      </c>
      <c r="E451" s="138" t="str">
        <f>IFERROR(IF(IF(INDEX(_xlfn.VSTACK(YES_Writing_ELA[#Data],YES_Writing_FLA[#Data]),MATCH($A451,_xlfn.VSTACK(YES_Writing_ELA[Student Number],YES_Writing_FLA[Student Number]),0),MATCH(VLOOKUP(E$7,'Writing Logic'!$J$7:$K$11,2,FALSE)&amp;" - Per "&amp;VLOOKUP($C$4,'Writing Logic'!$G$8:$H$14,2,FALSE),YES_Writing_ELA[#Headers],0))=0,"",INDEX(_xlfn.VSTACK(YES_Writing_ELA[#Data],YES_Writing_FLA[#Data]),MATCH($A451,_xlfn.VSTACK(YES_Writing_ELA[Student Number],YES_Writing_FLA[Student Number]),0),MATCH(VLOOKUP(E$7,'Writing Logic'!$J$7:$K$11,2,FALSE)&amp;" - Per "&amp;VLOOKUP($C$4,'Writing Logic'!$G$8:$H$14,2,FALSE),YES_Writing_ELA[#Headers],0)))="INS",'Writing Logic'!$B$7,IF(INDEX(_xlfn.VSTACK(YES_Writing_ELA[#Data],YES_Writing_FLA[#Data]),MATCH($A451,_xlfn.VSTACK(YES_Writing_ELA[Student Number],YES_Writing_FLA[Student Number]),0),MATCH(VLOOKUP(E$7,'Writing Logic'!$J$7:$K$11,2,FALSE)&amp;" - Per "&amp;VLOOKUP($C$4,'Writing Logic'!$G$8:$H$14,2,FALSE),YES_Writing_ELA[#Headers],0))=0,"",INDEX(_xlfn.VSTACK(YES_Writing_ELA[#Data],YES_Writing_FLA[#Data]),MATCH($A451,_xlfn.VSTACK(YES_Writing_ELA[Student Number],YES_Writing_FLA[Student Number]),0),MATCH(VLOOKUP(E$7,'Writing Logic'!$J$7:$K$11,2,FALSE)&amp;" - Per "&amp;VLOOKUP($C$4,'Writing Logic'!$G$8:$H$14,2,FALSE),YES_Writing_ELA[#Headers],0)))),"")</f>
        <v/>
      </c>
      <c r="F451" s="138" t="str">
        <f>IFERROR(IF(IF(INDEX(_xlfn.VSTACK(YES_Writing_ELA[#Data],YES_Writing_FLA[#Data]),MATCH($A451,_xlfn.VSTACK(YES_Writing_ELA[Student Number],YES_Writing_FLA[Student Number]),0),MATCH(VLOOKUP(F$7,'Writing Logic'!$J$7:$K$11,2,FALSE)&amp;" - Per "&amp;VLOOKUP($C$4,'Writing Logic'!$G$8:$H$14,2,FALSE),YES_Writing_ELA[#Headers],0))=0,"",INDEX(_xlfn.VSTACK(YES_Writing_ELA[#Data],YES_Writing_FLA[#Data]),MATCH($A451,_xlfn.VSTACK(YES_Writing_ELA[Student Number],YES_Writing_FLA[Student Number]),0),MATCH(VLOOKUP(F$7,'Writing Logic'!$J$7:$K$11,2,FALSE)&amp;" - Per "&amp;VLOOKUP($C$4,'Writing Logic'!$G$8:$H$14,2,FALSE),YES_Writing_ELA[#Headers],0)))="INS",'Writing Logic'!$B$7,IF(INDEX(_xlfn.VSTACK(YES_Writing_ELA[#Data],YES_Writing_FLA[#Data]),MATCH($A451,_xlfn.VSTACK(YES_Writing_ELA[Student Number],YES_Writing_FLA[Student Number]),0),MATCH(VLOOKUP(F$7,'Writing Logic'!$J$7:$K$11,2,FALSE)&amp;" - Per "&amp;VLOOKUP($C$4,'Writing Logic'!$G$8:$H$14,2,FALSE),YES_Writing_ELA[#Headers],0))=0,"",INDEX(_xlfn.VSTACK(YES_Writing_ELA[#Data],YES_Writing_FLA[#Data]),MATCH($A451,_xlfn.VSTACK(YES_Writing_ELA[Student Number],YES_Writing_FLA[Student Number]),0),MATCH(VLOOKUP(F$7,'Writing Logic'!$J$7:$K$11,2,FALSE)&amp;" - Per "&amp;VLOOKUP($C$4,'Writing Logic'!$G$8:$H$14,2,FALSE),YES_Writing_ELA[#Headers],0)))),"")</f>
        <v/>
      </c>
      <c r="G451" s="138" t="str">
        <f>IFERROR(IF(IF(INDEX(_xlfn.VSTACK(YES_Writing_ELA[#Data],YES_Writing_FLA[#Data]),MATCH($A451,_xlfn.VSTACK(YES_Writing_ELA[Student Number],YES_Writing_FLA[Student Number]),0),MATCH(VLOOKUP(G$7,'Writing Logic'!$J$7:$K$11,2,FALSE)&amp;" - Per "&amp;VLOOKUP($C$4,'Writing Logic'!$G$8:$H$14,2,FALSE),YES_Writing_ELA[#Headers],0))=0,"",INDEX(_xlfn.VSTACK(YES_Writing_ELA[#Data],YES_Writing_FLA[#Data]),MATCH($A451,_xlfn.VSTACK(YES_Writing_ELA[Student Number],YES_Writing_FLA[Student Number]),0),MATCH(VLOOKUP(G$7,'Writing Logic'!$J$7:$K$11,2,FALSE)&amp;" - Per "&amp;VLOOKUP($C$4,'Writing Logic'!$G$8:$H$14,2,FALSE),YES_Writing_ELA[#Headers],0)))="INS",'Writing Logic'!$B$7,IF(INDEX(_xlfn.VSTACK(YES_Writing_ELA[#Data],YES_Writing_FLA[#Data]),MATCH($A451,_xlfn.VSTACK(YES_Writing_ELA[Student Number],YES_Writing_FLA[Student Number]),0),MATCH(VLOOKUP(G$7,'Writing Logic'!$J$7:$K$11,2,FALSE)&amp;" - Per "&amp;VLOOKUP($C$4,'Writing Logic'!$G$8:$H$14,2,FALSE),YES_Writing_ELA[#Headers],0))=0,"",INDEX(_xlfn.VSTACK(YES_Writing_ELA[#Data],YES_Writing_FLA[#Data]),MATCH($A451,_xlfn.VSTACK(YES_Writing_ELA[Student Number],YES_Writing_FLA[Student Number]),0),MATCH(VLOOKUP(G$7,'Writing Logic'!$J$7:$K$11,2,FALSE)&amp;" - Per "&amp;VLOOKUP($C$4,'Writing Logic'!$G$8:$H$14,2,FALSE),YES_Writing_ELA[#Headers],0)))),"")</f>
        <v/>
      </c>
      <c r="H451" s="223" t="str">
        <f>IFERROR(IF(IF(INDEX(_xlfn.VSTACK(YES_Writing_ELA[#Data],YES_Writing_FLA[#Data]),MATCH($A451,_xlfn.VSTACK(YES_Writing_ELA[Student Number],YES_Writing_FLA[Student Number]),0),MATCH(VLOOKUP(H$7,'Writing Logic'!$J$7:$K$11,2,FALSE)&amp;" - Per "&amp;VLOOKUP($C$4,'Writing Logic'!$G$8:$H$14,2,FALSE),YES_Writing_ELA[#Headers],0))=0,"",INDEX(_xlfn.VSTACK(YES_Writing_ELA[#Data],YES_Writing_FLA[#Data]),MATCH($A451,_xlfn.VSTACK(YES_Writing_ELA[Student Number],YES_Writing_FLA[Student Number]),0),MATCH(VLOOKUP(H$7,'Writing Logic'!$J$7:$K$11,2,FALSE)&amp;" - Per "&amp;VLOOKUP($C$4,'Writing Logic'!$G$8:$H$14,2,FALSE),YES_Writing_ELA[#Headers],0)))="INS",'Writing Logic'!$B$7,IF(INDEX(_xlfn.VSTACK(YES_Writing_ELA[#Data],YES_Writing_FLA[#Data]),MATCH($A451,_xlfn.VSTACK(YES_Writing_ELA[Student Number],YES_Writing_FLA[Student Number]),0),MATCH(VLOOKUP(H$7,'Writing Logic'!$J$7:$K$11,2,FALSE)&amp;" - Per "&amp;VLOOKUP($C$4,'Writing Logic'!$G$8:$H$14,2,FALSE),YES_Writing_ELA[#Headers],0))=0,"",INDEX(_xlfn.VSTACK(YES_Writing_ELA[#Data],YES_Writing_FLA[#Data]),MATCH($A451,_xlfn.VSTACK(YES_Writing_ELA[Student Number],YES_Writing_FLA[Student Number]),0),MATCH(VLOOKUP(H$7,'Writing Logic'!$J$7:$K$11,2,FALSE)&amp;" - Per "&amp;VLOOKUP($C$4,'Writing Logic'!$G$8:$H$14,2,FALSE),YES_Writing_ELA[#Headers],0)))),"")</f>
        <v/>
      </c>
      <c r="I451" s="224" t="str" cm="1">
        <f t="array" aca="1" ref="I451" ca="1">IFERROR(
IF($G$3="ELA",
IF(VLOOKUP($A451, YES_Reading_ELA[], COLUMN(INDIRECT("YES_Reading_ELA[Difference - Per "&amp;VLOOKUP($G$4, 'Reading Report Logic'!$A$2:$B$8, 2, FALSE)&amp;"]")), FALSE)="", "",
VLOOKUP($A451,YES_Reading_ELA[], COLUMN(INDIRECT("YES_Reading_ELA[Difference - Per "&amp;VLOOKUP($G$4,'Reading Report Logic'!$A$2:$B$8,2,FALSE)&amp;"]")), FALSE)),
IF($G$3="FLA",
IF(VLOOKUP($A451, YES_Reading_FLA[], COLUMN(INDIRECT("YES_Reading_FLA[Difference - Per "&amp;VLOOKUP($G$4,'Reading Report Logic'!$A$2:$B$8,2,FALSE)&amp;"]")),FALSE)="","",
VLOOKUP($A451,YES_Reading_FLA[],COLUMN(INDIRECT("YES_Reading_FLA[Difference - Per "&amp;VLOOKUP($G$4,'Reading Report Logic'!$A$2:$B$8,2,FALSE)&amp;"]")),FALSE)),
IF($G$3="Combined",
IFERROR(
IF(VLOOKUP($A451, YES_Reading_ELA[], COLUMN(INDIRECT("YES_Reading_ELA[Difference - Per "&amp;VLOOKUP($G$4, 'Reading Report Logic'!$A$2:$B$8,2,FALSE)&amp;"]")), FALSE)="", "",
VLOOKUP($A451,YES_Reading_ELA[],COLUMN(INDIRECT("YES_Reading_ELA[Difference - Per "&amp;VLOOKUP($G$4,'Reading Report Logic'!$A$2:$B$8,2,FALSE)&amp;"]")),FALSE)),
IF(VLOOKUP($A451, YES_Reading_FLA[], COLUMN(INDIRECT("YES_Reading_FLA[Difference - Per "&amp;VLOOKUP($G$4, 'Reading Report Logic'!$A$2:$B$8, 2, FALSE)&amp;"]")),FALSE)="", "", VLOOKUP($A451,YES_Reading_FLA[],COLUMN(INDIRECT("YES_Reading_FLA[Difference - Per "&amp;VLOOKUP($G$4, 'Reading Report Logic'!$A$2:$B$8, 2, FALSE)&amp;"]")),FALSE))),""))),"")</f>
        <v/>
      </c>
    </row>
    <row r="452" spans="1:9" x14ac:dyDescent="0.25">
      <c r="A452" s="137"/>
      <c r="B452" s="137" t="str">
        <f>IFERROR(INDEX(_xlfn.VSTACK(YES_Writing_ELA[#Data], YES_Writing_FLA[#Data]),MATCH($A452,_xlfn.VSTACK(YES_Writing_ELA[Student Number], YES_Writing_FLA[Student Number]),0),MATCH(B$7,YES_Writing_ELA[#Headers],0)),IFERROR(INDEX(_xlfn.VSTACK(YES_Reading_ELA[#Data], YES_Reading_FLA[#Data]),MATCH($A452,_xlfn.VSTACK(YES_Reading_ELA[Student Number], YES_Reading_FLA[Student Number]),0),MATCH(B$7,YES_Reading_ELA[#Headers],0)),""))</f>
        <v/>
      </c>
      <c r="C452" s="137" t="str">
        <f>IFERROR(INDEX(_xlfn.VSTACK(YES_Writing_ELA[#Data], YES_Writing_FLA[#Data]),MATCH($A452,_xlfn.VSTACK(YES_Writing_ELA[Student Number], YES_Writing_FLA[Student Number]),0),MATCH(C$7,YES_Writing_ELA[#Headers],0)),IFERROR(INDEX(_xlfn.VSTACK(YES_Reading_ELA[#Data], YES_Reading_FLA[#Data]),MATCH($A452,_xlfn.VSTACK(YES_Reading_ELA[Student Number], YES_Reading_FLA[Student Number]),0),MATCH(C$7,YES_Reading_ELA[#Headers],0)),""))</f>
        <v/>
      </c>
      <c r="D452" s="138" t="str">
        <f>IFERROR(IF(IF(INDEX(_xlfn.VSTACK(YES_Writing_ELA[#Data],YES_Writing_FLA[#Data]),MATCH($A452,_xlfn.VSTACK(YES_Writing_ELA[Student Number],YES_Writing_FLA[Student Number]),0),MATCH(VLOOKUP(D$7,'Writing Logic'!$J$7:$K$11,2,FALSE)&amp;" - Per "&amp;VLOOKUP($C$4,'Writing Logic'!$G$8:$H$14,2,FALSE),YES_Writing_ELA[#Headers],0))=0,"",INDEX(_xlfn.VSTACK(YES_Writing_ELA[#Data],YES_Writing_FLA[#Data]),MATCH($A452,_xlfn.VSTACK(YES_Writing_ELA[Student Number],YES_Writing_FLA[Student Number]),0),MATCH(VLOOKUP(D$7,'Writing Logic'!$J$7:$K$11,2,FALSE)&amp;" - Per "&amp;VLOOKUP($C$4,'Writing Logic'!$G$8:$H$14,2,FALSE),YES_Writing_ELA[#Headers],0)))="INS",'Writing Logic'!$B$7,IF(INDEX(_xlfn.VSTACK(YES_Writing_ELA[#Data],YES_Writing_FLA[#Data]),MATCH($A452,_xlfn.VSTACK(YES_Writing_ELA[Student Number],YES_Writing_FLA[Student Number]),0),MATCH(VLOOKUP(D$7,'Writing Logic'!$J$7:$K$11,2,FALSE)&amp;" - Per "&amp;VLOOKUP($C$4,'Writing Logic'!$G$8:$H$14,2,FALSE),YES_Writing_ELA[#Headers],0))=0,"",INDEX(_xlfn.VSTACK(YES_Writing_ELA[#Data],YES_Writing_FLA[#Data]),MATCH($A452,_xlfn.VSTACK(YES_Writing_ELA[Student Number],YES_Writing_FLA[Student Number]),0),MATCH(VLOOKUP(D$7,'Writing Logic'!$J$7:$K$11,2,FALSE)&amp;" - Per "&amp;VLOOKUP($C$4,'Writing Logic'!$G$8:$H$14,2,FALSE),YES_Writing_ELA[#Headers],0)))),"")</f>
        <v/>
      </c>
      <c r="E452" s="138" t="str">
        <f>IFERROR(IF(IF(INDEX(_xlfn.VSTACK(YES_Writing_ELA[#Data],YES_Writing_FLA[#Data]),MATCH($A452,_xlfn.VSTACK(YES_Writing_ELA[Student Number],YES_Writing_FLA[Student Number]),0),MATCH(VLOOKUP(E$7,'Writing Logic'!$J$7:$K$11,2,FALSE)&amp;" - Per "&amp;VLOOKUP($C$4,'Writing Logic'!$G$8:$H$14,2,FALSE),YES_Writing_ELA[#Headers],0))=0,"",INDEX(_xlfn.VSTACK(YES_Writing_ELA[#Data],YES_Writing_FLA[#Data]),MATCH($A452,_xlfn.VSTACK(YES_Writing_ELA[Student Number],YES_Writing_FLA[Student Number]),0),MATCH(VLOOKUP(E$7,'Writing Logic'!$J$7:$K$11,2,FALSE)&amp;" - Per "&amp;VLOOKUP($C$4,'Writing Logic'!$G$8:$H$14,2,FALSE),YES_Writing_ELA[#Headers],0)))="INS",'Writing Logic'!$B$7,IF(INDEX(_xlfn.VSTACK(YES_Writing_ELA[#Data],YES_Writing_FLA[#Data]),MATCH($A452,_xlfn.VSTACK(YES_Writing_ELA[Student Number],YES_Writing_FLA[Student Number]),0),MATCH(VLOOKUP(E$7,'Writing Logic'!$J$7:$K$11,2,FALSE)&amp;" - Per "&amp;VLOOKUP($C$4,'Writing Logic'!$G$8:$H$14,2,FALSE),YES_Writing_ELA[#Headers],0))=0,"",INDEX(_xlfn.VSTACK(YES_Writing_ELA[#Data],YES_Writing_FLA[#Data]),MATCH($A452,_xlfn.VSTACK(YES_Writing_ELA[Student Number],YES_Writing_FLA[Student Number]),0),MATCH(VLOOKUP(E$7,'Writing Logic'!$J$7:$K$11,2,FALSE)&amp;" - Per "&amp;VLOOKUP($C$4,'Writing Logic'!$G$8:$H$14,2,FALSE),YES_Writing_ELA[#Headers],0)))),"")</f>
        <v/>
      </c>
      <c r="F452" s="138" t="str">
        <f>IFERROR(IF(IF(INDEX(_xlfn.VSTACK(YES_Writing_ELA[#Data],YES_Writing_FLA[#Data]),MATCH($A452,_xlfn.VSTACK(YES_Writing_ELA[Student Number],YES_Writing_FLA[Student Number]),0),MATCH(VLOOKUP(F$7,'Writing Logic'!$J$7:$K$11,2,FALSE)&amp;" - Per "&amp;VLOOKUP($C$4,'Writing Logic'!$G$8:$H$14,2,FALSE),YES_Writing_ELA[#Headers],0))=0,"",INDEX(_xlfn.VSTACK(YES_Writing_ELA[#Data],YES_Writing_FLA[#Data]),MATCH($A452,_xlfn.VSTACK(YES_Writing_ELA[Student Number],YES_Writing_FLA[Student Number]),0),MATCH(VLOOKUP(F$7,'Writing Logic'!$J$7:$K$11,2,FALSE)&amp;" - Per "&amp;VLOOKUP($C$4,'Writing Logic'!$G$8:$H$14,2,FALSE),YES_Writing_ELA[#Headers],0)))="INS",'Writing Logic'!$B$7,IF(INDEX(_xlfn.VSTACK(YES_Writing_ELA[#Data],YES_Writing_FLA[#Data]),MATCH($A452,_xlfn.VSTACK(YES_Writing_ELA[Student Number],YES_Writing_FLA[Student Number]),0),MATCH(VLOOKUP(F$7,'Writing Logic'!$J$7:$K$11,2,FALSE)&amp;" - Per "&amp;VLOOKUP($C$4,'Writing Logic'!$G$8:$H$14,2,FALSE),YES_Writing_ELA[#Headers],0))=0,"",INDEX(_xlfn.VSTACK(YES_Writing_ELA[#Data],YES_Writing_FLA[#Data]),MATCH($A452,_xlfn.VSTACK(YES_Writing_ELA[Student Number],YES_Writing_FLA[Student Number]),0),MATCH(VLOOKUP(F$7,'Writing Logic'!$J$7:$K$11,2,FALSE)&amp;" - Per "&amp;VLOOKUP($C$4,'Writing Logic'!$G$8:$H$14,2,FALSE),YES_Writing_ELA[#Headers],0)))),"")</f>
        <v/>
      </c>
      <c r="G452" s="138" t="str">
        <f>IFERROR(IF(IF(INDEX(_xlfn.VSTACK(YES_Writing_ELA[#Data],YES_Writing_FLA[#Data]),MATCH($A452,_xlfn.VSTACK(YES_Writing_ELA[Student Number],YES_Writing_FLA[Student Number]),0),MATCH(VLOOKUP(G$7,'Writing Logic'!$J$7:$K$11,2,FALSE)&amp;" - Per "&amp;VLOOKUP($C$4,'Writing Logic'!$G$8:$H$14,2,FALSE),YES_Writing_ELA[#Headers],0))=0,"",INDEX(_xlfn.VSTACK(YES_Writing_ELA[#Data],YES_Writing_FLA[#Data]),MATCH($A452,_xlfn.VSTACK(YES_Writing_ELA[Student Number],YES_Writing_FLA[Student Number]),0),MATCH(VLOOKUP(G$7,'Writing Logic'!$J$7:$K$11,2,FALSE)&amp;" - Per "&amp;VLOOKUP($C$4,'Writing Logic'!$G$8:$H$14,2,FALSE),YES_Writing_ELA[#Headers],0)))="INS",'Writing Logic'!$B$7,IF(INDEX(_xlfn.VSTACK(YES_Writing_ELA[#Data],YES_Writing_FLA[#Data]),MATCH($A452,_xlfn.VSTACK(YES_Writing_ELA[Student Number],YES_Writing_FLA[Student Number]),0),MATCH(VLOOKUP(G$7,'Writing Logic'!$J$7:$K$11,2,FALSE)&amp;" - Per "&amp;VLOOKUP($C$4,'Writing Logic'!$G$8:$H$14,2,FALSE),YES_Writing_ELA[#Headers],0))=0,"",INDEX(_xlfn.VSTACK(YES_Writing_ELA[#Data],YES_Writing_FLA[#Data]),MATCH($A452,_xlfn.VSTACK(YES_Writing_ELA[Student Number],YES_Writing_FLA[Student Number]),0),MATCH(VLOOKUP(G$7,'Writing Logic'!$J$7:$K$11,2,FALSE)&amp;" - Per "&amp;VLOOKUP($C$4,'Writing Logic'!$G$8:$H$14,2,FALSE),YES_Writing_ELA[#Headers],0)))),"")</f>
        <v/>
      </c>
      <c r="H452" s="223" t="str">
        <f>IFERROR(IF(IF(INDEX(_xlfn.VSTACK(YES_Writing_ELA[#Data],YES_Writing_FLA[#Data]),MATCH($A452,_xlfn.VSTACK(YES_Writing_ELA[Student Number],YES_Writing_FLA[Student Number]),0),MATCH(VLOOKUP(H$7,'Writing Logic'!$J$7:$K$11,2,FALSE)&amp;" - Per "&amp;VLOOKUP($C$4,'Writing Logic'!$G$8:$H$14,2,FALSE),YES_Writing_ELA[#Headers],0))=0,"",INDEX(_xlfn.VSTACK(YES_Writing_ELA[#Data],YES_Writing_FLA[#Data]),MATCH($A452,_xlfn.VSTACK(YES_Writing_ELA[Student Number],YES_Writing_FLA[Student Number]),0),MATCH(VLOOKUP(H$7,'Writing Logic'!$J$7:$K$11,2,FALSE)&amp;" - Per "&amp;VLOOKUP($C$4,'Writing Logic'!$G$8:$H$14,2,FALSE),YES_Writing_ELA[#Headers],0)))="INS",'Writing Logic'!$B$7,IF(INDEX(_xlfn.VSTACK(YES_Writing_ELA[#Data],YES_Writing_FLA[#Data]),MATCH($A452,_xlfn.VSTACK(YES_Writing_ELA[Student Number],YES_Writing_FLA[Student Number]),0),MATCH(VLOOKUP(H$7,'Writing Logic'!$J$7:$K$11,2,FALSE)&amp;" - Per "&amp;VLOOKUP($C$4,'Writing Logic'!$G$8:$H$14,2,FALSE),YES_Writing_ELA[#Headers],0))=0,"",INDEX(_xlfn.VSTACK(YES_Writing_ELA[#Data],YES_Writing_FLA[#Data]),MATCH($A452,_xlfn.VSTACK(YES_Writing_ELA[Student Number],YES_Writing_FLA[Student Number]),0),MATCH(VLOOKUP(H$7,'Writing Logic'!$J$7:$K$11,2,FALSE)&amp;" - Per "&amp;VLOOKUP($C$4,'Writing Logic'!$G$8:$H$14,2,FALSE),YES_Writing_ELA[#Headers],0)))),"")</f>
        <v/>
      </c>
      <c r="I452" s="224" t="str" cm="1">
        <f t="array" aca="1" ref="I452" ca="1">IFERROR(
IF($G$3="ELA",
IF(VLOOKUP($A452, YES_Reading_ELA[], COLUMN(INDIRECT("YES_Reading_ELA[Difference - Per "&amp;VLOOKUP($G$4, 'Reading Report Logic'!$A$2:$B$8, 2, FALSE)&amp;"]")), FALSE)="", "",
VLOOKUP($A452,YES_Reading_ELA[], COLUMN(INDIRECT("YES_Reading_ELA[Difference - Per "&amp;VLOOKUP($G$4,'Reading Report Logic'!$A$2:$B$8,2,FALSE)&amp;"]")), FALSE)),
IF($G$3="FLA",
IF(VLOOKUP($A452, YES_Reading_FLA[], COLUMN(INDIRECT("YES_Reading_FLA[Difference - Per "&amp;VLOOKUP($G$4,'Reading Report Logic'!$A$2:$B$8,2,FALSE)&amp;"]")),FALSE)="","",
VLOOKUP($A452,YES_Reading_FLA[],COLUMN(INDIRECT("YES_Reading_FLA[Difference - Per "&amp;VLOOKUP($G$4,'Reading Report Logic'!$A$2:$B$8,2,FALSE)&amp;"]")),FALSE)),
IF($G$3="Combined",
IFERROR(
IF(VLOOKUP($A452, YES_Reading_ELA[], COLUMN(INDIRECT("YES_Reading_ELA[Difference - Per "&amp;VLOOKUP($G$4, 'Reading Report Logic'!$A$2:$B$8,2,FALSE)&amp;"]")), FALSE)="", "",
VLOOKUP($A452,YES_Reading_ELA[],COLUMN(INDIRECT("YES_Reading_ELA[Difference - Per "&amp;VLOOKUP($G$4,'Reading Report Logic'!$A$2:$B$8,2,FALSE)&amp;"]")),FALSE)),
IF(VLOOKUP($A452, YES_Reading_FLA[], COLUMN(INDIRECT("YES_Reading_FLA[Difference - Per "&amp;VLOOKUP($G$4, 'Reading Report Logic'!$A$2:$B$8, 2, FALSE)&amp;"]")),FALSE)="", "", VLOOKUP($A452,YES_Reading_FLA[],COLUMN(INDIRECT("YES_Reading_FLA[Difference - Per "&amp;VLOOKUP($G$4, 'Reading Report Logic'!$A$2:$B$8, 2, FALSE)&amp;"]")),FALSE))),""))),"")</f>
        <v/>
      </c>
    </row>
    <row r="453" spans="1:9" x14ac:dyDescent="0.25">
      <c r="A453" s="137"/>
      <c r="B453" s="137" t="str">
        <f>IFERROR(INDEX(_xlfn.VSTACK(YES_Writing_ELA[#Data], YES_Writing_FLA[#Data]),MATCH($A453,_xlfn.VSTACK(YES_Writing_ELA[Student Number], YES_Writing_FLA[Student Number]),0),MATCH(B$7,YES_Writing_ELA[#Headers],0)),IFERROR(INDEX(_xlfn.VSTACK(YES_Reading_ELA[#Data], YES_Reading_FLA[#Data]),MATCH($A453,_xlfn.VSTACK(YES_Reading_ELA[Student Number], YES_Reading_FLA[Student Number]),0),MATCH(B$7,YES_Reading_ELA[#Headers],0)),""))</f>
        <v/>
      </c>
      <c r="C453" s="137" t="str">
        <f>IFERROR(INDEX(_xlfn.VSTACK(YES_Writing_ELA[#Data], YES_Writing_FLA[#Data]),MATCH($A453,_xlfn.VSTACK(YES_Writing_ELA[Student Number], YES_Writing_FLA[Student Number]),0),MATCH(C$7,YES_Writing_ELA[#Headers],0)),IFERROR(INDEX(_xlfn.VSTACK(YES_Reading_ELA[#Data], YES_Reading_FLA[#Data]),MATCH($A453,_xlfn.VSTACK(YES_Reading_ELA[Student Number], YES_Reading_FLA[Student Number]),0),MATCH(C$7,YES_Reading_ELA[#Headers],0)),""))</f>
        <v/>
      </c>
      <c r="D453" s="138" t="str">
        <f>IFERROR(IF(IF(INDEX(_xlfn.VSTACK(YES_Writing_ELA[#Data],YES_Writing_FLA[#Data]),MATCH($A453,_xlfn.VSTACK(YES_Writing_ELA[Student Number],YES_Writing_FLA[Student Number]),0),MATCH(VLOOKUP(D$7,'Writing Logic'!$J$7:$K$11,2,FALSE)&amp;" - Per "&amp;VLOOKUP($C$4,'Writing Logic'!$G$8:$H$14,2,FALSE),YES_Writing_ELA[#Headers],0))=0,"",INDEX(_xlfn.VSTACK(YES_Writing_ELA[#Data],YES_Writing_FLA[#Data]),MATCH($A453,_xlfn.VSTACK(YES_Writing_ELA[Student Number],YES_Writing_FLA[Student Number]),0),MATCH(VLOOKUP(D$7,'Writing Logic'!$J$7:$K$11,2,FALSE)&amp;" - Per "&amp;VLOOKUP($C$4,'Writing Logic'!$G$8:$H$14,2,FALSE),YES_Writing_ELA[#Headers],0)))="INS",'Writing Logic'!$B$7,IF(INDEX(_xlfn.VSTACK(YES_Writing_ELA[#Data],YES_Writing_FLA[#Data]),MATCH($A453,_xlfn.VSTACK(YES_Writing_ELA[Student Number],YES_Writing_FLA[Student Number]),0),MATCH(VLOOKUP(D$7,'Writing Logic'!$J$7:$K$11,2,FALSE)&amp;" - Per "&amp;VLOOKUP($C$4,'Writing Logic'!$G$8:$H$14,2,FALSE),YES_Writing_ELA[#Headers],0))=0,"",INDEX(_xlfn.VSTACK(YES_Writing_ELA[#Data],YES_Writing_FLA[#Data]),MATCH($A453,_xlfn.VSTACK(YES_Writing_ELA[Student Number],YES_Writing_FLA[Student Number]),0),MATCH(VLOOKUP(D$7,'Writing Logic'!$J$7:$K$11,2,FALSE)&amp;" - Per "&amp;VLOOKUP($C$4,'Writing Logic'!$G$8:$H$14,2,FALSE),YES_Writing_ELA[#Headers],0)))),"")</f>
        <v/>
      </c>
      <c r="E453" s="138" t="str">
        <f>IFERROR(IF(IF(INDEX(_xlfn.VSTACK(YES_Writing_ELA[#Data],YES_Writing_FLA[#Data]),MATCH($A453,_xlfn.VSTACK(YES_Writing_ELA[Student Number],YES_Writing_FLA[Student Number]),0),MATCH(VLOOKUP(E$7,'Writing Logic'!$J$7:$K$11,2,FALSE)&amp;" - Per "&amp;VLOOKUP($C$4,'Writing Logic'!$G$8:$H$14,2,FALSE),YES_Writing_ELA[#Headers],0))=0,"",INDEX(_xlfn.VSTACK(YES_Writing_ELA[#Data],YES_Writing_FLA[#Data]),MATCH($A453,_xlfn.VSTACK(YES_Writing_ELA[Student Number],YES_Writing_FLA[Student Number]),0),MATCH(VLOOKUP(E$7,'Writing Logic'!$J$7:$K$11,2,FALSE)&amp;" - Per "&amp;VLOOKUP($C$4,'Writing Logic'!$G$8:$H$14,2,FALSE),YES_Writing_ELA[#Headers],0)))="INS",'Writing Logic'!$B$7,IF(INDEX(_xlfn.VSTACK(YES_Writing_ELA[#Data],YES_Writing_FLA[#Data]),MATCH($A453,_xlfn.VSTACK(YES_Writing_ELA[Student Number],YES_Writing_FLA[Student Number]),0),MATCH(VLOOKUP(E$7,'Writing Logic'!$J$7:$K$11,2,FALSE)&amp;" - Per "&amp;VLOOKUP($C$4,'Writing Logic'!$G$8:$H$14,2,FALSE),YES_Writing_ELA[#Headers],0))=0,"",INDEX(_xlfn.VSTACK(YES_Writing_ELA[#Data],YES_Writing_FLA[#Data]),MATCH($A453,_xlfn.VSTACK(YES_Writing_ELA[Student Number],YES_Writing_FLA[Student Number]),0),MATCH(VLOOKUP(E$7,'Writing Logic'!$J$7:$K$11,2,FALSE)&amp;" - Per "&amp;VLOOKUP($C$4,'Writing Logic'!$G$8:$H$14,2,FALSE),YES_Writing_ELA[#Headers],0)))),"")</f>
        <v/>
      </c>
      <c r="F453" s="138" t="str">
        <f>IFERROR(IF(IF(INDEX(_xlfn.VSTACK(YES_Writing_ELA[#Data],YES_Writing_FLA[#Data]),MATCH($A453,_xlfn.VSTACK(YES_Writing_ELA[Student Number],YES_Writing_FLA[Student Number]),0),MATCH(VLOOKUP(F$7,'Writing Logic'!$J$7:$K$11,2,FALSE)&amp;" - Per "&amp;VLOOKUP($C$4,'Writing Logic'!$G$8:$H$14,2,FALSE),YES_Writing_ELA[#Headers],0))=0,"",INDEX(_xlfn.VSTACK(YES_Writing_ELA[#Data],YES_Writing_FLA[#Data]),MATCH($A453,_xlfn.VSTACK(YES_Writing_ELA[Student Number],YES_Writing_FLA[Student Number]),0),MATCH(VLOOKUP(F$7,'Writing Logic'!$J$7:$K$11,2,FALSE)&amp;" - Per "&amp;VLOOKUP($C$4,'Writing Logic'!$G$8:$H$14,2,FALSE),YES_Writing_ELA[#Headers],0)))="INS",'Writing Logic'!$B$7,IF(INDEX(_xlfn.VSTACK(YES_Writing_ELA[#Data],YES_Writing_FLA[#Data]),MATCH($A453,_xlfn.VSTACK(YES_Writing_ELA[Student Number],YES_Writing_FLA[Student Number]),0),MATCH(VLOOKUP(F$7,'Writing Logic'!$J$7:$K$11,2,FALSE)&amp;" - Per "&amp;VLOOKUP($C$4,'Writing Logic'!$G$8:$H$14,2,FALSE),YES_Writing_ELA[#Headers],0))=0,"",INDEX(_xlfn.VSTACK(YES_Writing_ELA[#Data],YES_Writing_FLA[#Data]),MATCH($A453,_xlfn.VSTACK(YES_Writing_ELA[Student Number],YES_Writing_FLA[Student Number]),0),MATCH(VLOOKUP(F$7,'Writing Logic'!$J$7:$K$11,2,FALSE)&amp;" - Per "&amp;VLOOKUP($C$4,'Writing Logic'!$G$8:$H$14,2,FALSE),YES_Writing_ELA[#Headers],0)))),"")</f>
        <v/>
      </c>
      <c r="G453" s="138" t="str">
        <f>IFERROR(IF(IF(INDEX(_xlfn.VSTACK(YES_Writing_ELA[#Data],YES_Writing_FLA[#Data]),MATCH($A453,_xlfn.VSTACK(YES_Writing_ELA[Student Number],YES_Writing_FLA[Student Number]),0),MATCH(VLOOKUP(G$7,'Writing Logic'!$J$7:$K$11,2,FALSE)&amp;" - Per "&amp;VLOOKUP($C$4,'Writing Logic'!$G$8:$H$14,2,FALSE),YES_Writing_ELA[#Headers],0))=0,"",INDEX(_xlfn.VSTACK(YES_Writing_ELA[#Data],YES_Writing_FLA[#Data]),MATCH($A453,_xlfn.VSTACK(YES_Writing_ELA[Student Number],YES_Writing_FLA[Student Number]),0),MATCH(VLOOKUP(G$7,'Writing Logic'!$J$7:$K$11,2,FALSE)&amp;" - Per "&amp;VLOOKUP($C$4,'Writing Logic'!$G$8:$H$14,2,FALSE),YES_Writing_ELA[#Headers],0)))="INS",'Writing Logic'!$B$7,IF(INDEX(_xlfn.VSTACK(YES_Writing_ELA[#Data],YES_Writing_FLA[#Data]),MATCH($A453,_xlfn.VSTACK(YES_Writing_ELA[Student Number],YES_Writing_FLA[Student Number]),0),MATCH(VLOOKUP(G$7,'Writing Logic'!$J$7:$K$11,2,FALSE)&amp;" - Per "&amp;VLOOKUP($C$4,'Writing Logic'!$G$8:$H$14,2,FALSE),YES_Writing_ELA[#Headers],0))=0,"",INDEX(_xlfn.VSTACK(YES_Writing_ELA[#Data],YES_Writing_FLA[#Data]),MATCH($A453,_xlfn.VSTACK(YES_Writing_ELA[Student Number],YES_Writing_FLA[Student Number]),0),MATCH(VLOOKUP(G$7,'Writing Logic'!$J$7:$K$11,2,FALSE)&amp;" - Per "&amp;VLOOKUP($C$4,'Writing Logic'!$G$8:$H$14,2,FALSE),YES_Writing_ELA[#Headers],0)))),"")</f>
        <v/>
      </c>
      <c r="H453" s="223" t="str">
        <f>IFERROR(IF(IF(INDEX(_xlfn.VSTACK(YES_Writing_ELA[#Data],YES_Writing_FLA[#Data]),MATCH($A453,_xlfn.VSTACK(YES_Writing_ELA[Student Number],YES_Writing_FLA[Student Number]),0),MATCH(VLOOKUP(H$7,'Writing Logic'!$J$7:$K$11,2,FALSE)&amp;" - Per "&amp;VLOOKUP($C$4,'Writing Logic'!$G$8:$H$14,2,FALSE),YES_Writing_ELA[#Headers],0))=0,"",INDEX(_xlfn.VSTACK(YES_Writing_ELA[#Data],YES_Writing_FLA[#Data]),MATCH($A453,_xlfn.VSTACK(YES_Writing_ELA[Student Number],YES_Writing_FLA[Student Number]),0),MATCH(VLOOKUP(H$7,'Writing Logic'!$J$7:$K$11,2,FALSE)&amp;" - Per "&amp;VLOOKUP($C$4,'Writing Logic'!$G$8:$H$14,2,FALSE),YES_Writing_ELA[#Headers],0)))="INS",'Writing Logic'!$B$7,IF(INDEX(_xlfn.VSTACK(YES_Writing_ELA[#Data],YES_Writing_FLA[#Data]),MATCH($A453,_xlfn.VSTACK(YES_Writing_ELA[Student Number],YES_Writing_FLA[Student Number]),0),MATCH(VLOOKUP(H$7,'Writing Logic'!$J$7:$K$11,2,FALSE)&amp;" - Per "&amp;VLOOKUP($C$4,'Writing Logic'!$G$8:$H$14,2,FALSE),YES_Writing_ELA[#Headers],0))=0,"",INDEX(_xlfn.VSTACK(YES_Writing_ELA[#Data],YES_Writing_FLA[#Data]),MATCH($A453,_xlfn.VSTACK(YES_Writing_ELA[Student Number],YES_Writing_FLA[Student Number]),0),MATCH(VLOOKUP(H$7,'Writing Logic'!$J$7:$K$11,2,FALSE)&amp;" - Per "&amp;VLOOKUP($C$4,'Writing Logic'!$G$8:$H$14,2,FALSE),YES_Writing_ELA[#Headers],0)))),"")</f>
        <v/>
      </c>
      <c r="I453" s="224" t="str" cm="1">
        <f t="array" aca="1" ref="I453" ca="1">IFERROR(
IF($G$3="ELA",
IF(VLOOKUP($A453, YES_Reading_ELA[], COLUMN(INDIRECT("YES_Reading_ELA[Difference - Per "&amp;VLOOKUP($G$4, 'Reading Report Logic'!$A$2:$B$8, 2, FALSE)&amp;"]")), FALSE)="", "",
VLOOKUP($A453,YES_Reading_ELA[], COLUMN(INDIRECT("YES_Reading_ELA[Difference - Per "&amp;VLOOKUP($G$4,'Reading Report Logic'!$A$2:$B$8,2,FALSE)&amp;"]")), FALSE)),
IF($G$3="FLA",
IF(VLOOKUP($A453, YES_Reading_FLA[], COLUMN(INDIRECT("YES_Reading_FLA[Difference - Per "&amp;VLOOKUP($G$4,'Reading Report Logic'!$A$2:$B$8,2,FALSE)&amp;"]")),FALSE)="","",
VLOOKUP($A453,YES_Reading_FLA[],COLUMN(INDIRECT("YES_Reading_FLA[Difference - Per "&amp;VLOOKUP($G$4,'Reading Report Logic'!$A$2:$B$8,2,FALSE)&amp;"]")),FALSE)),
IF($G$3="Combined",
IFERROR(
IF(VLOOKUP($A453, YES_Reading_ELA[], COLUMN(INDIRECT("YES_Reading_ELA[Difference - Per "&amp;VLOOKUP($G$4, 'Reading Report Logic'!$A$2:$B$8,2,FALSE)&amp;"]")), FALSE)="", "",
VLOOKUP($A453,YES_Reading_ELA[],COLUMN(INDIRECT("YES_Reading_ELA[Difference - Per "&amp;VLOOKUP($G$4,'Reading Report Logic'!$A$2:$B$8,2,FALSE)&amp;"]")),FALSE)),
IF(VLOOKUP($A453, YES_Reading_FLA[], COLUMN(INDIRECT("YES_Reading_FLA[Difference - Per "&amp;VLOOKUP($G$4, 'Reading Report Logic'!$A$2:$B$8, 2, FALSE)&amp;"]")),FALSE)="", "", VLOOKUP($A453,YES_Reading_FLA[],COLUMN(INDIRECT("YES_Reading_FLA[Difference - Per "&amp;VLOOKUP($G$4, 'Reading Report Logic'!$A$2:$B$8, 2, FALSE)&amp;"]")),FALSE))),""))),"")</f>
        <v/>
      </c>
    </row>
    <row r="454" spans="1:9" x14ac:dyDescent="0.25">
      <c r="A454" s="137"/>
      <c r="B454" s="137" t="str">
        <f>IFERROR(INDEX(_xlfn.VSTACK(YES_Writing_ELA[#Data], YES_Writing_FLA[#Data]),MATCH($A454,_xlfn.VSTACK(YES_Writing_ELA[Student Number], YES_Writing_FLA[Student Number]),0),MATCH(B$7,YES_Writing_ELA[#Headers],0)),IFERROR(INDEX(_xlfn.VSTACK(YES_Reading_ELA[#Data], YES_Reading_FLA[#Data]),MATCH($A454,_xlfn.VSTACK(YES_Reading_ELA[Student Number], YES_Reading_FLA[Student Number]),0),MATCH(B$7,YES_Reading_ELA[#Headers],0)),""))</f>
        <v/>
      </c>
      <c r="C454" s="137" t="str">
        <f>IFERROR(INDEX(_xlfn.VSTACK(YES_Writing_ELA[#Data], YES_Writing_FLA[#Data]),MATCH($A454,_xlfn.VSTACK(YES_Writing_ELA[Student Number], YES_Writing_FLA[Student Number]),0),MATCH(C$7,YES_Writing_ELA[#Headers],0)),IFERROR(INDEX(_xlfn.VSTACK(YES_Reading_ELA[#Data], YES_Reading_FLA[#Data]),MATCH($A454,_xlfn.VSTACK(YES_Reading_ELA[Student Number], YES_Reading_FLA[Student Number]),0),MATCH(C$7,YES_Reading_ELA[#Headers],0)),""))</f>
        <v/>
      </c>
      <c r="D454" s="138" t="str">
        <f>IFERROR(IF(IF(INDEX(_xlfn.VSTACK(YES_Writing_ELA[#Data],YES_Writing_FLA[#Data]),MATCH($A454,_xlfn.VSTACK(YES_Writing_ELA[Student Number],YES_Writing_FLA[Student Number]),0),MATCH(VLOOKUP(D$7,'Writing Logic'!$J$7:$K$11,2,FALSE)&amp;" - Per "&amp;VLOOKUP($C$4,'Writing Logic'!$G$8:$H$14,2,FALSE),YES_Writing_ELA[#Headers],0))=0,"",INDEX(_xlfn.VSTACK(YES_Writing_ELA[#Data],YES_Writing_FLA[#Data]),MATCH($A454,_xlfn.VSTACK(YES_Writing_ELA[Student Number],YES_Writing_FLA[Student Number]),0),MATCH(VLOOKUP(D$7,'Writing Logic'!$J$7:$K$11,2,FALSE)&amp;" - Per "&amp;VLOOKUP($C$4,'Writing Logic'!$G$8:$H$14,2,FALSE),YES_Writing_ELA[#Headers],0)))="INS",'Writing Logic'!$B$7,IF(INDEX(_xlfn.VSTACK(YES_Writing_ELA[#Data],YES_Writing_FLA[#Data]),MATCH($A454,_xlfn.VSTACK(YES_Writing_ELA[Student Number],YES_Writing_FLA[Student Number]),0),MATCH(VLOOKUP(D$7,'Writing Logic'!$J$7:$K$11,2,FALSE)&amp;" - Per "&amp;VLOOKUP($C$4,'Writing Logic'!$G$8:$H$14,2,FALSE),YES_Writing_ELA[#Headers],0))=0,"",INDEX(_xlfn.VSTACK(YES_Writing_ELA[#Data],YES_Writing_FLA[#Data]),MATCH($A454,_xlfn.VSTACK(YES_Writing_ELA[Student Number],YES_Writing_FLA[Student Number]),0),MATCH(VLOOKUP(D$7,'Writing Logic'!$J$7:$K$11,2,FALSE)&amp;" - Per "&amp;VLOOKUP($C$4,'Writing Logic'!$G$8:$H$14,2,FALSE),YES_Writing_ELA[#Headers],0)))),"")</f>
        <v/>
      </c>
      <c r="E454" s="138" t="str">
        <f>IFERROR(IF(IF(INDEX(_xlfn.VSTACK(YES_Writing_ELA[#Data],YES_Writing_FLA[#Data]),MATCH($A454,_xlfn.VSTACK(YES_Writing_ELA[Student Number],YES_Writing_FLA[Student Number]),0),MATCH(VLOOKUP(E$7,'Writing Logic'!$J$7:$K$11,2,FALSE)&amp;" - Per "&amp;VLOOKUP($C$4,'Writing Logic'!$G$8:$H$14,2,FALSE),YES_Writing_ELA[#Headers],0))=0,"",INDEX(_xlfn.VSTACK(YES_Writing_ELA[#Data],YES_Writing_FLA[#Data]),MATCH($A454,_xlfn.VSTACK(YES_Writing_ELA[Student Number],YES_Writing_FLA[Student Number]),0),MATCH(VLOOKUP(E$7,'Writing Logic'!$J$7:$K$11,2,FALSE)&amp;" - Per "&amp;VLOOKUP($C$4,'Writing Logic'!$G$8:$H$14,2,FALSE),YES_Writing_ELA[#Headers],0)))="INS",'Writing Logic'!$B$7,IF(INDEX(_xlfn.VSTACK(YES_Writing_ELA[#Data],YES_Writing_FLA[#Data]),MATCH($A454,_xlfn.VSTACK(YES_Writing_ELA[Student Number],YES_Writing_FLA[Student Number]),0),MATCH(VLOOKUP(E$7,'Writing Logic'!$J$7:$K$11,2,FALSE)&amp;" - Per "&amp;VLOOKUP($C$4,'Writing Logic'!$G$8:$H$14,2,FALSE),YES_Writing_ELA[#Headers],0))=0,"",INDEX(_xlfn.VSTACK(YES_Writing_ELA[#Data],YES_Writing_FLA[#Data]),MATCH($A454,_xlfn.VSTACK(YES_Writing_ELA[Student Number],YES_Writing_FLA[Student Number]),0),MATCH(VLOOKUP(E$7,'Writing Logic'!$J$7:$K$11,2,FALSE)&amp;" - Per "&amp;VLOOKUP($C$4,'Writing Logic'!$G$8:$H$14,2,FALSE),YES_Writing_ELA[#Headers],0)))),"")</f>
        <v/>
      </c>
      <c r="F454" s="138" t="str">
        <f>IFERROR(IF(IF(INDEX(_xlfn.VSTACK(YES_Writing_ELA[#Data],YES_Writing_FLA[#Data]),MATCH($A454,_xlfn.VSTACK(YES_Writing_ELA[Student Number],YES_Writing_FLA[Student Number]),0),MATCH(VLOOKUP(F$7,'Writing Logic'!$J$7:$K$11,2,FALSE)&amp;" - Per "&amp;VLOOKUP($C$4,'Writing Logic'!$G$8:$H$14,2,FALSE),YES_Writing_ELA[#Headers],0))=0,"",INDEX(_xlfn.VSTACK(YES_Writing_ELA[#Data],YES_Writing_FLA[#Data]),MATCH($A454,_xlfn.VSTACK(YES_Writing_ELA[Student Number],YES_Writing_FLA[Student Number]),0),MATCH(VLOOKUP(F$7,'Writing Logic'!$J$7:$K$11,2,FALSE)&amp;" - Per "&amp;VLOOKUP($C$4,'Writing Logic'!$G$8:$H$14,2,FALSE),YES_Writing_ELA[#Headers],0)))="INS",'Writing Logic'!$B$7,IF(INDEX(_xlfn.VSTACK(YES_Writing_ELA[#Data],YES_Writing_FLA[#Data]),MATCH($A454,_xlfn.VSTACK(YES_Writing_ELA[Student Number],YES_Writing_FLA[Student Number]),0),MATCH(VLOOKUP(F$7,'Writing Logic'!$J$7:$K$11,2,FALSE)&amp;" - Per "&amp;VLOOKUP($C$4,'Writing Logic'!$G$8:$H$14,2,FALSE),YES_Writing_ELA[#Headers],0))=0,"",INDEX(_xlfn.VSTACK(YES_Writing_ELA[#Data],YES_Writing_FLA[#Data]),MATCH($A454,_xlfn.VSTACK(YES_Writing_ELA[Student Number],YES_Writing_FLA[Student Number]),0),MATCH(VLOOKUP(F$7,'Writing Logic'!$J$7:$K$11,2,FALSE)&amp;" - Per "&amp;VLOOKUP($C$4,'Writing Logic'!$G$8:$H$14,2,FALSE),YES_Writing_ELA[#Headers],0)))),"")</f>
        <v/>
      </c>
      <c r="G454" s="138" t="str">
        <f>IFERROR(IF(IF(INDEX(_xlfn.VSTACK(YES_Writing_ELA[#Data],YES_Writing_FLA[#Data]),MATCH($A454,_xlfn.VSTACK(YES_Writing_ELA[Student Number],YES_Writing_FLA[Student Number]),0),MATCH(VLOOKUP(G$7,'Writing Logic'!$J$7:$K$11,2,FALSE)&amp;" - Per "&amp;VLOOKUP($C$4,'Writing Logic'!$G$8:$H$14,2,FALSE),YES_Writing_ELA[#Headers],0))=0,"",INDEX(_xlfn.VSTACK(YES_Writing_ELA[#Data],YES_Writing_FLA[#Data]),MATCH($A454,_xlfn.VSTACK(YES_Writing_ELA[Student Number],YES_Writing_FLA[Student Number]),0),MATCH(VLOOKUP(G$7,'Writing Logic'!$J$7:$K$11,2,FALSE)&amp;" - Per "&amp;VLOOKUP($C$4,'Writing Logic'!$G$8:$H$14,2,FALSE),YES_Writing_ELA[#Headers],0)))="INS",'Writing Logic'!$B$7,IF(INDEX(_xlfn.VSTACK(YES_Writing_ELA[#Data],YES_Writing_FLA[#Data]),MATCH($A454,_xlfn.VSTACK(YES_Writing_ELA[Student Number],YES_Writing_FLA[Student Number]),0),MATCH(VLOOKUP(G$7,'Writing Logic'!$J$7:$K$11,2,FALSE)&amp;" - Per "&amp;VLOOKUP($C$4,'Writing Logic'!$G$8:$H$14,2,FALSE),YES_Writing_ELA[#Headers],0))=0,"",INDEX(_xlfn.VSTACK(YES_Writing_ELA[#Data],YES_Writing_FLA[#Data]),MATCH($A454,_xlfn.VSTACK(YES_Writing_ELA[Student Number],YES_Writing_FLA[Student Number]),0),MATCH(VLOOKUP(G$7,'Writing Logic'!$J$7:$K$11,2,FALSE)&amp;" - Per "&amp;VLOOKUP($C$4,'Writing Logic'!$G$8:$H$14,2,FALSE),YES_Writing_ELA[#Headers],0)))),"")</f>
        <v/>
      </c>
      <c r="H454" s="223" t="str">
        <f>IFERROR(IF(IF(INDEX(_xlfn.VSTACK(YES_Writing_ELA[#Data],YES_Writing_FLA[#Data]),MATCH($A454,_xlfn.VSTACK(YES_Writing_ELA[Student Number],YES_Writing_FLA[Student Number]),0),MATCH(VLOOKUP(H$7,'Writing Logic'!$J$7:$K$11,2,FALSE)&amp;" - Per "&amp;VLOOKUP($C$4,'Writing Logic'!$G$8:$H$14,2,FALSE),YES_Writing_ELA[#Headers],0))=0,"",INDEX(_xlfn.VSTACK(YES_Writing_ELA[#Data],YES_Writing_FLA[#Data]),MATCH($A454,_xlfn.VSTACK(YES_Writing_ELA[Student Number],YES_Writing_FLA[Student Number]),0),MATCH(VLOOKUP(H$7,'Writing Logic'!$J$7:$K$11,2,FALSE)&amp;" - Per "&amp;VLOOKUP($C$4,'Writing Logic'!$G$8:$H$14,2,FALSE),YES_Writing_ELA[#Headers],0)))="INS",'Writing Logic'!$B$7,IF(INDEX(_xlfn.VSTACK(YES_Writing_ELA[#Data],YES_Writing_FLA[#Data]),MATCH($A454,_xlfn.VSTACK(YES_Writing_ELA[Student Number],YES_Writing_FLA[Student Number]),0),MATCH(VLOOKUP(H$7,'Writing Logic'!$J$7:$K$11,2,FALSE)&amp;" - Per "&amp;VLOOKUP($C$4,'Writing Logic'!$G$8:$H$14,2,FALSE),YES_Writing_ELA[#Headers],0))=0,"",INDEX(_xlfn.VSTACK(YES_Writing_ELA[#Data],YES_Writing_FLA[#Data]),MATCH($A454,_xlfn.VSTACK(YES_Writing_ELA[Student Number],YES_Writing_FLA[Student Number]),0),MATCH(VLOOKUP(H$7,'Writing Logic'!$J$7:$K$11,2,FALSE)&amp;" - Per "&amp;VLOOKUP($C$4,'Writing Logic'!$G$8:$H$14,2,FALSE),YES_Writing_ELA[#Headers],0)))),"")</f>
        <v/>
      </c>
      <c r="I454" s="224" t="str" cm="1">
        <f t="array" aca="1" ref="I454" ca="1">IFERROR(
IF($G$3="ELA",
IF(VLOOKUP($A454, YES_Reading_ELA[], COLUMN(INDIRECT("YES_Reading_ELA[Difference - Per "&amp;VLOOKUP($G$4, 'Reading Report Logic'!$A$2:$B$8, 2, FALSE)&amp;"]")), FALSE)="", "",
VLOOKUP($A454,YES_Reading_ELA[], COLUMN(INDIRECT("YES_Reading_ELA[Difference - Per "&amp;VLOOKUP($G$4,'Reading Report Logic'!$A$2:$B$8,2,FALSE)&amp;"]")), FALSE)),
IF($G$3="FLA",
IF(VLOOKUP($A454, YES_Reading_FLA[], COLUMN(INDIRECT("YES_Reading_FLA[Difference - Per "&amp;VLOOKUP($G$4,'Reading Report Logic'!$A$2:$B$8,2,FALSE)&amp;"]")),FALSE)="","",
VLOOKUP($A454,YES_Reading_FLA[],COLUMN(INDIRECT("YES_Reading_FLA[Difference - Per "&amp;VLOOKUP($G$4,'Reading Report Logic'!$A$2:$B$8,2,FALSE)&amp;"]")),FALSE)),
IF($G$3="Combined",
IFERROR(
IF(VLOOKUP($A454, YES_Reading_ELA[], COLUMN(INDIRECT("YES_Reading_ELA[Difference - Per "&amp;VLOOKUP($G$4, 'Reading Report Logic'!$A$2:$B$8,2,FALSE)&amp;"]")), FALSE)="", "",
VLOOKUP($A454,YES_Reading_ELA[],COLUMN(INDIRECT("YES_Reading_ELA[Difference - Per "&amp;VLOOKUP($G$4,'Reading Report Logic'!$A$2:$B$8,2,FALSE)&amp;"]")),FALSE)),
IF(VLOOKUP($A454, YES_Reading_FLA[], COLUMN(INDIRECT("YES_Reading_FLA[Difference - Per "&amp;VLOOKUP($G$4, 'Reading Report Logic'!$A$2:$B$8, 2, FALSE)&amp;"]")),FALSE)="", "", VLOOKUP($A454,YES_Reading_FLA[],COLUMN(INDIRECT("YES_Reading_FLA[Difference - Per "&amp;VLOOKUP($G$4, 'Reading Report Logic'!$A$2:$B$8, 2, FALSE)&amp;"]")),FALSE))),""))),"")</f>
        <v/>
      </c>
    </row>
    <row r="455" spans="1:9" x14ac:dyDescent="0.25">
      <c r="A455" s="137"/>
      <c r="B455" s="137" t="str">
        <f>IFERROR(INDEX(_xlfn.VSTACK(YES_Writing_ELA[#Data], YES_Writing_FLA[#Data]),MATCH($A455,_xlfn.VSTACK(YES_Writing_ELA[Student Number], YES_Writing_FLA[Student Number]),0),MATCH(B$7,YES_Writing_ELA[#Headers],0)),IFERROR(INDEX(_xlfn.VSTACK(YES_Reading_ELA[#Data], YES_Reading_FLA[#Data]),MATCH($A455,_xlfn.VSTACK(YES_Reading_ELA[Student Number], YES_Reading_FLA[Student Number]),0),MATCH(B$7,YES_Reading_ELA[#Headers],0)),""))</f>
        <v/>
      </c>
      <c r="C455" s="137" t="str">
        <f>IFERROR(INDEX(_xlfn.VSTACK(YES_Writing_ELA[#Data], YES_Writing_FLA[#Data]),MATCH($A455,_xlfn.VSTACK(YES_Writing_ELA[Student Number], YES_Writing_FLA[Student Number]),0),MATCH(C$7,YES_Writing_ELA[#Headers],0)),IFERROR(INDEX(_xlfn.VSTACK(YES_Reading_ELA[#Data], YES_Reading_FLA[#Data]),MATCH($A455,_xlfn.VSTACK(YES_Reading_ELA[Student Number], YES_Reading_FLA[Student Number]),0),MATCH(C$7,YES_Reading_ELA[#Headers],0)),""))</f>
        <v/>
      </c>
      <c r="D455" s="138" t="str">
        <f>IFERROR(IF(IF(INDEX(_xlfn.VSTACK(YES_Writing_ELA[#Data],YES_Writing_FLA[#Data]),MATCH($A455,_xlfn.VSTACK(YES_Writing_ELA[Student Number],YES_Writing_FLA[Student Number]),0),MATCH(VLOOKUP(D$7,'Writing Logic'!$J$7:$K$11,2,FALSE)&amp;" - Per "&amp;VLOOKUP($C$4,'Writing Logic'!$G$8:$H$14,2,FALSE),YES_Writing_ELA[#Headers],0))=0,"",INDEX(_xlfn.VSTACK(YES_Writing_ELA[#Data],YES_Writing_FLA[#Data]),MATCH($A455,_xlfn.VSTACK(YES_Writing_ELA[Student Number],YES_Writing_FLA[Student Number]),0),MATCH(VLOOKUP(D$7,'Writing Logic'!$J$7:$K$11,2,FALSE)&amp;" - Per "&amp;VLOOKUP($C$4,'Writing Logic'!$G$8:$H$14,2,FALSE),YES_Writing_ELA[#Headers],0)))="INS",'Writing Logic'!$B$7,IF(INDEX(_xlfn.VSTACK(YES_Writing_ELA[#Data],YES_Writing_FLA[#Data]),MATCH($A455,_xlfn.VSTACK(YES_Writing_ELA[Student Number],YES_Writing_FLA[Student Number]),0),MATCH(VLOOKUP(D$7,'Writing Logic'!$J$7:$K$11,2,FALSE)&amp;" - Per "&amp;VLOOKUP($C$4,'Writing Logic'!$G$8:$H$14,2,FALSE),YES_Writing_ELA[#Headers],0))=0,"",INDEX(_xlfn.VSTACK(YES_Writing_ELA[#Data],YES_Writing_FLA[#Data]),MATCH($A455,_xlfn.VSTACK(YES_Writing_ELA[Student Number],YES_Writing_FLA[Student Number]),0),MATCH(VLOOKUP(D$7,'Writing Logic'!$J$7:$K$11,2,FALSE)&amp;" - Per "&amp;VLOOKUP($C$4,'Writing Logic'!$G$8:$H$14,2,FALSE),YES_Writing_ELA[#Headers],0)))),"")</f>
        <v/>
      </c>
      <c r="E455" s="138" t="str">
        <f>IFERROR(IF(IF(INDEX(_xlfn.VSTACK(YES_Writing_ELA[#Data],YES_Writing_FLA[#Data]),MATCH($A455,_xlfn.VSTACK(YES_Writing_ELA[Student Number],YES_Writing_FLA[Student Number]),0),MATCH(VLOOKUP(E$7,'Writing Logic'!$J$7:$K$11,2,FALSE)&amp;" - Per "&amp;VLOOKUP($C$4,'Writing Logic'!$G$8:$H$14,2,FALSE),YES_Writing_ELA[#Headers],0))=0,"",INDEX(_xlfn.VSTACK(YES_Writing_ELA[#Data],YES_Writing_FLA[#Data]),MATCH($A455,_xlfn.VSTACK(YES_Writing_ELA[Student Number],YES_Writing_FLA[Student Number]),0),MATCH(VLOOKUP(E$7,'Writing Logic'!$J$7:$K$11,2,FALSE)&amp;" - Per "&amp;VLOOKUP($C$4,'Writing Logic'!$G$8:$H$14,2,FALSE),YES_Writing_ELA[#Headers],0)))="INS",'Writing Logic'!$B$7,IF(INDEX(_xlfn.VSTACK(YES_Writing_ELA[#Data],YES_Writing_FLA[#Data]),MATCH($A455,_xlfn.VSTACK(YES_Writing_ELA[Student Number],YES_Writing_FLA[Student Number]),0),MATCH(VLOOKUP(E$7,'Writing Logic'!$J$7:$K$11,2,FALSE)&amp;" - Per "&amp;VLOOKUP($C$4,'Writing Logic'!$G$8:$H$14,2,FALSE),YES_Writing_ELA[#Headers],0))=0,"",INDEX(_xlfn.VSTACK(YES_Writing_ELA[#Data],YES_Writing_FLA[#Data]),MATCH($A455,_xlfn.VSTACK(YES_Writing_ELA[Student Number],YES_Writing_FLA[Student Number]),0),MATCH(VLOOKUP(E$7,'Writing Logic'!$J$7:$K$11,2,FALSE)&amp;" - Per "&amp;VLOOKUP($C$4,'Writing Logic'!$G$8:$H$14,2,FALSE),YES_Writing_ELA[#Headers],0)))),"")</f>
        <v/>
      </c>
      <c r="F455" s="138" t="str">
        <f>IFERROR(IF(IF(INDEX(_xlfn.VSTACK(YES_Writing_ELA[#Data],YES_Writing_FLA[#Data]),MATCH($A455,_xlfn.VSTACK(YES_Writing_ELA[Student Number],YES_Writing_FLA[Student Number]),0),MATCH(VLOOKUP(F$7,'Writing Logic'!$J$7:$K$11,2,FALSE)&amp;" - Per "&amp;VLOOKUP($C$4,'Writing Logic'!$G$8:$H$14,2,FALSE),YES_Writing_ELA[#Headers],0))=0,"",INDEX(_xlfn.VSTACK(YES_Writing_ELA[#Data],YES_Writing_FLA[#Data]),MATCH($A455,_xlfn.VSTACK(YES_Writing_ELA[Student Number],YES_Writing_FLA[Student Number]),0),MATCH(VLOOKUP(F$7,'Writing Logic'!$J$7:$K$11,2,FALSE)&amp;" - Per "&amp;VLOOKUP($C$4,'Writing Logic'!$G$8:$H$14,2,FALSE),YES_Writing_ELA[#Headers],0)))="INS",'Writing Logic'!$B$7,IF(INDEX(_xlfn.VSTACK(YES_Writing_ELA[#Data],YES_Writing_FLA[#Data]),MATCH($A455,_xlfn.VSTACK(YES_Writing_ELA[Student Number],YES_Writing_FLA[Student Number]),0),MATCH(VLOOKUP(F$7,'Writing Logic'!$J$7:$K$11,2,FALSE)&amp;" - Per "&amp;VLOOKUP($C$4,'Writing Logic'!$G$8:$H$14,2,FALSE),YES_Writing_ELA[#Headers],0))=0,"",INDEX(_xlfn.VSTACK(YES_Writing_ELA[#Data],YES_Writing_FLA[#Data]),MATCH($A455,_xlfn.VSTACK(YES_Writing_ELA[Student Number],YES_Writing_FLA[Student Number]),0),MATCH(VLOOKUP(F$7,'Writing Logic'!$J$7:$K$11,2,FALSE)&amp;" - Per "&amp;VLOOKUP($C$4,'Writing Logic'!$G$8:$H$14,2,FALSE),YES_Writing_ELA[#Headers],0)))),"")</f>
        <v/>
      </c>
      <c r="G455" s="138" t="str">
        <f>IFERROR(IF(IF(INDEX(_xlfn.VSTACK(YES_Writing_ELA[#Data],YES_Writing_FLA[#Data]),MATCH($A455,_xlfn.VSTACK(YES_Writing_ELA[Student Number],YES_Writing_FLA[Student Number]),0),MATCH(VLOOKUP(G$7,'Writing Logic'!$J$7:$K$11,2,FALSE)&amp;" - Per "&amp;VLOOKUP($C$4,'Writing Logic'!$G$8:$H$14,2,FALSE),YES_Writing_ELA[#Headers],0))=0,"",INDEX(_xlfn.VSTACK(YES_Writing_ELA[#Data],YES_Writing_FLA[#Data]),MATCH($A455,_xlfn.VSTACK(YES_Writing_ELA[Student Number],YES_Writing_FLA[Student Number]),0),MATCH(VLOOKUP(G$7,'Writing Logic'!$J$7:$K$11,2,FALSE)&amp;" - Per "&amp;VLOOKUP($C$4,'Writing Logic'!$G$8:$H$14,2,FALSE),YES_Writing_ELA[#Headers],0)))="INS",'Writing Logic'!$B$7,IF(INDEX(_xlfn.VSTACK(YES_Writing_ELA[#Data],YES_Writing_FLA[#Data]),MATCH($A455,_xlfn.VSTACK(YES_Writing_ELA[Student Number],YES_Writing_FLA[Student Number]),0),MATCH(VLOOKUP(G$7,'Writing Logic'!$J$7:$K$11,2,FALSE)&amp;" - Per "&amp;VLOOKUP($C$4,'Writing Logic'!$G$8:$H$14,2,FALSE),YES_Writing_ELA[#Headers],0))=0,"",INDEX(_xlfn.VSTACK(YES_Writing_ELA[#Data],YES_Writing_FLA[#Data]),MATCH($A455,_xlfn.VSTACK(YES_Writing_ELA[Student Number],YES_Writing_FLA[Student Number]),0),MATCH(VLOOKUP(G$7,'Writing Logic'!$J$7:$K$11,2,FALSE)&amp;" - Per "&amp;VLOOKUP($C$4,'Writing Logic'!$G$8:$H$14,2,FALSE),YES_Writing_ELA[#Headers],0)))),"")</f>
        <v/>
      </c>
      <c r="H455" s="223" t="str">
        <f>IFERROR(IF(IF(INDEX(_xlfn.VSTACK(YES_Writing_ELA[#Data],YES_Writing_FLA[#Data]),MATCH($A455,_xlfn.VSTACK(YES_Writing_ELA[Student Number],YES_Writing_FLA[Student Number]),0),MATCH(VLOOKUP(H$7,'Writing Logic'!$J$7:$K$11,2,FALSE)&amp;" - Per "&amp;VLOOKUP($C$4,'Writing Logic'!$G$8:$H$14,2,FALSE),YES_Writing_ELA[#Headers],0))=0,"",INDEX(_xlfn.VSTACK(YES_Writing_ELA[#Data],YES_Writing_FLA[#Data]),MATCH($A455,_xlfn.VSTACK(YES_Writing_ELA[Student Number],YES_Writing_FLA[Student Number]),0),MATCH(VLOOKUP(H$7,'Writing Logic'!$J$7:$K$11,2,FALSE)&amp;" - Per "&amp;VLOOKUP($C$4,'Writing Logic'!$G$8:$H$14,2,FALSE),YES_Writing_ELA[#Headers],0)))="INS",'Writing Logic'!$B$7,IF(INDEX(_xlfn.VSTACK(YES_Writing_ELA[#Data],YES_Writing_FLA[#Data]),MATCH($A455,_xlfn.VSTACK(YES_Writing_ELA[Student Number],YES_Writing_FLA[Student Number]),0),MATCH(VLOOKUP(H$7,'Writing Logic'!$J$7:$K$11,2,FALSE)&amp;" - Per "&amp;VLOOKUP($C$4,'Writing Logic'!$G$8:$H$14,2,FALSE),YES_Writing_ELA[#Headers],0))=0,"",INDEX(_xlfn.VSTACK(YES_Writing_ELA[#Data],YES_Writing_FLA[#Data]),MATCH($A455,_xlfn.VSTACK(YES_Writing_ELA[Student Number],YES_Writing_FLA[Student Number]),0),MATCH(VLOOKUP(H$7,'Writing Logic'!$J$7:$K$11,2,FALSE)&amp;" - Per "&amp;VLOOKUP($C$4,'Writing Logic'!$G$8:$H$14,2,FALSE),YES_Writing_ELA[#Headers],0)))),"")</f>
        <v/>
      </c>
      <c r="I455" s="224" t="str" cm="1">
        <f t="array" aca="1" ref="I455" ca="1">IFERROR(
IF($G$3="ELA",
IF(VLOOKUP($A455, YES_Reading_ELA[], COLUMN(INDIRECT("YES_Reading_ELA[Difference - Per "&amp;VLOOKUP($G$4, 'Reading Report Logic'!$A$2:$B$8, 2, FALSE)&amp;"]")), FALSE)="", "",
VLOOKUP($A455,YES_Reading_ELA[], COLUMN(INDIRECT("YES_Reading_ELA[Difference - Per "&amp;VLOOKUP($G$4,'Reading Report Logic'!$A$2:$B$8,2,FALSE)&amp;"]")), FALSE)),
IF($G$3="FLA",
IF(VLOOKUP($A455, YES_Reading_FLA[], COLUMN(INDIRECT("YES_Reading_FLA[Difference - Per "&amp;VLOOKUP($G$4,'Reading Report Logic'!$A$2:$B$8,2,FALSE)&amp;"]")),FALSE)="","",
VLOOKUP($A455,YES_Reading_FLA[],COLUMN(INDIRECT("YES_Reading_FLA[Difference - Per "&amp;VLOOKUP($G$4,'Reading Report Logic'!$A$2:$B$8,2,FALSE)&amp;"]")),FALSE)),
IF($G$3="Combined",
IFERROR(
IF(VLOOKUP($A455, YES_Reading_ELA[], COLUMN(INDIRECT("YES_Reading_ELA[Difference - Per "&amp;VLOOKUP($G$4, 'Reading Report Logic'!$A$2:$B$8,2,FALSE)&amp;"]")), FALSE)="", "",
VLOOKUP($A455,YES_Reading_ELA[],COLUMN(INDIRECT("YES_Reading_ELA[Difference - Per "&amp;VLOOKUP($G$4,'Reading Report Logic'!$A$2:$B$8,2,FALSE)&amp;"]")),FALSE)),
IF(VLOOKUP($A455, YES_Reading_FLA[], COLUMN(INDIRECT("YES_Reading_FLA[Difference - Per "&amp;VLOOKUP($G$4, 'Reading Report Logic'!$A$2:$B$8, 2, FALSE)&amp;"]")),FALSE)="", "", VLOOKUP($A455,YES_Reading_FLA[],COLUMN(INDIRECT("YES_Reading_FLA[Difference - Per "&amp;VLOOKUP($G$4, 'Reading Report Logic'!$A$2:$B$8, 2, FALSE)&amp;"]")),FALSE))),""))),"")</f>
        <v/>
      </c>
    </row>
    <row r="456" spans="1:9" x14ac:dyDescent="0.25">
      <c r="A456" s="137"/>
      <c r="B456" s="137" t="str">
        <f>IFERROR(INDEX(_xlfn.VSTACK(YES_Writing_ELA[#Data], YES_Writing_FLA[#Data]),MATCH($A456,_xlfn.VSTACK(YES_Writing_ELA[Student Number], YES_Writing_FLA[Student Number]),0),MATCH(B$7,YES_Writing_ELA[#Headers],0)),IFERROR(INDEX(_xlfn.VSTACK(YES_Reading_ELA[#Data], YES_Reading_FLA[#Data]),MATCH($A456,_xlfn.VSTACK(YES_Reading_ELA[Student Number], YES_Reading_FLA[Student Number]),0),MATCH(B$7,YES_Reading_ELA[#Headers],0)),""))</f>
        <v/>
      </c>
      <c r="C456" s="137" t="str">
        <f>IFERROR(INDEX(_xlfn.VSTACK(YES_Writing_ELA[#Data], YES_Writing_FLA[#Data]),MATCH($A456,_xlfn.VSTACK(YES_Writing_ELA[Student Number], YES_Writing_FLA[Student Number]),0),MATCH(C$7,YES_Writing_ELA[#Headers],0)),IFERROR(INDEX(_xlfn.VSTACK(YES_Reading_ELA[#Data], YES_Reading_FLA[#Data]),MATCH($A456,_xlfn.VSTACK(YES_Reading_ELA[Student Number], YES_Reading_FLA[Student Number]),0),MATCH(C$7,YES_Reading_ELA[#Headers],0)),""))</f>
        <v/>
      </c>
      <c r="D456" s="138" t="str">
        <f>IFERROR(IF(IF(INDEX(_xlfn.VSTACK(YES_Writing_ELA[#Data],YES_Writing_FLA[#Data]),MATCH($A456,_xlfn.VSTACK(YES_Writing_ELA[Student Number],YES_Writing_FLA[Student Number]),0),MATCH(VLOOKUP(D$7,'Writing Logic'!$J$7:$K$11,2,FALSE)&amp;" - Per "&amp;VLOOKUP($C$4,'Writing Logic'!$G$8:$H$14,2,FALSE),YES_Writing_ELA[#Headers],0))=0,"",INDEX(_xlfn.VSTACK(YES_Writing_ELA[#Data],YES_Writing_FLA[#Data]),MATCH($A456,_xlfn.VSTACK(YES_Writing_ELA[Student Number],YES_Writing_FLA[Student Number]),0),MATCH(VLOOKUP(D$7,'Writing Logic'!$J$7:$K$11,2,FALSE)&amp;" - Per "&amp;VLOOKUP($C$4,'Writing Logic'!$G$8:$H$14,2,FALSE),YES_Writing_ELA[#Headers],0)))="INS",'Writing Logic'!$B$7,IF(INDEX(_xlfn.VSTACK(YES_Writing_ELA[#Data],YES_Writing_FLA[#Data]),MATCH($A456,_xlfn.VSTACK(YES_Writing_ELA[Student Number],YES_Writing_FLA[Student Number]),0),MATCH(VLOOKUP(D$7,'Writing Logic'!$J$7:$K$11,2,FALSE)&amp;" - Per "&amp;VLOOKUP($C$4,'Writing Logic'!$G$8:$H$14,2,FALSE),YES_Writing_ELA[#Headers],0))=0,"",INDEX(_xlfn.VSTACK(YES_Writing_ELA[#Data],YES_Writing_FLA[#Data]),MATCH($A456,_xlfn.VSTACK(YES_Writing_ELA[Student Number],YES_Writing_FLA[Student Number]),0),MATCH(VLOOKUP(D$7,'Writing Logic'!$J$7:$K$11,2,FALSE)&amp;" - Per "&amp;VLOOKUP($C$4,'Writing Logic'!$G$8:$H$14,2,FALSE),YES_Writing_ELA[#Headers],0)))),"")</f>
        <v/>
      </c>
      <c r="E456" s="138" t="str">
        <f>IFERROR(IF(IF(INDEX(_xlfn.VSTACK(YES_Writing_ELA[#Data],YES_Writing_FLA[#Data]),MATCH($A456,_xlfn.VSTACK(YES_Writing_ELA[Student Number],YES_Writing_FLA[Student Number]),0),MATCH(VLOOKUP(E$7,'Writing Logic'!$J$7:$K$11,2,FALSE)&amp;" - Per "&amp;VLOOKUP($C$4,'Writing Logic'!$G$8:$H$14,2,FALSE),YES_Writing_ELA[#Headers],0))=0,"",INDEX(_xlfn.VSTACK(YES_Writing_ELA[#Data],YES_Writing_FLA[#Data]),MATCH($A456,_xlfn.VSTACK(YES_Writing_ELA[Student Number],YES_Writing_FLA[Student Number]),0),MATCH(VLOOKUP(E$7,'Writing Logic'!$J$7:$K$11,2,FALSE)&amp;" - Per "&amp;VLOOKUP($C$4,'Writing Logic'!$G$8:$H$14,2,FALSE),YES_Writing_ELA[#Headers],0)))="INS",'Writing Logic'!$B$7,IF(INDEX(_xlfn.VSTACK(YES_Writing_ELA[#Data],YES_Writing_FLA[#Data]),MATCH($A456,_xlfn.VSTACK(YES_Writing_ELA[Student Number],YES_Writing_FLA[Student Number]),0),MATCH(VLOOKUP(E$7,'Writing Logic'!$J$7:$K$11,2,FALSE)&amp;" - Per "&amp;VLOOKUP($C$4,'Writing Logic'!$G$8:$H$14,2,FALSE),YES_Writing_ELA[#Headers],0))=0,"",INDEX(_xlfn.VSTACK(YES_Writing_ELA[#Data],YES_Writing_FLA[#Data]),MATCH($A456,_xlfn.VSTACK(YES_Writing_ELA[Student Number],YES_Writing_FLA[Student Number]),0),MATCH(VLOOKUP(E$7,'Writing Logic'!$J$7:$K$11,2,FALSE)&amp;" - Per "&amp;VLOOKUP($C$4,'Writing Logic'!$G$8:$H$14,2,FALSE),YES_Writing_ELA[#Headers],0)))),"")</f>
        <v/>
      </c>
      <c r="F456" s="138" t="str">
        <f>IFERROR(IF(IF(INDEX(_xlfn.VSTACK(YES_Writing_ELA[#Data],YES_Writing_FLA[#Data]),MATCH($A456,_xlfn.VSTACK(YES_Writing_ELA[Student Number],YES_Writing_FLA[Student Number]),0),MATCH(VLOOKUP(F$7,'Writing Logic'!$J$7:$K$11,2,FALSE)&amp;" - Per "&amp;VLOOKUP($C$4,'Writing Logic'!$G$8:$H$14,2,FALSE),YES_Writing_ELA[#Headers],0))=0,"",INDEX(_xlfn.VSTACK(YES_Writing_ELA[#Data],YES_Writing_FLA[#Data]),MATCH($A456,_xlfn.VSTACK(YES_Writing_ELA[Student Number],YES_Writing_FLA[Student Number]),0),MATCH(VLOOKUP(F$7,'Writing Logic'!$J$7:$K$11,2,FALSE)&amp;" - Per "&amp;VLOOKUP($C$4,'Writing Logic'!$G$8:$H$14,2,FALSE),YES_Writing_ELA[#Headers],0)))="INS",'Writing Logic'!$B$7,IF(INDEX(_xlfn.VSTACK(YES_Writing_ELA[#Data],YES_Writing_FLA[#Data]),MATCH($A456,_xlfn.VSTACK(YES_Writing_ELA[Student Number],YES_Writing_FLA[Student Number]),0),MATCH(VLOOKUP(F$7,'Writing Logic'!$J$7:$K$11,2,FALSE)&amp;" - Per "&amp;VLOOKUP($C$4,'Writing Logic'!$G$8:$H$14,2,FALSE),YES_Writing_ELA[#Headers],0))=0,"",INDEX(_xlfn.VSTACK(YES_Writing_ELA[#Data],YES_Writing_FLA[#Data]),MATCH($A456,_xlfn.VSTACK(YES_Writing_ELA[Student Number],YES_Writing_FLA[Student Number]),0),MATCH(VLOOKUP(F$7,'Writing Logic'!$J$7:$K$11,2,FALSE)&amp;" - Per "&amp;VLOOKUP($C$4,'Writing Logic'!$G$8:$H$14,2,FALSE),YES_Writing_ELA[#Headers],0)))),"")</f>
        <v/>
      </c>
      <c r="G456" s="138" t="str">
        <f>IFERROR(IF(IF(INDEX(_xlfn.VSTACK(YES_Writing_ELA[#Data],YES_Writing_FLA[#Data]),MATCH($A456,_xlfn.VSTACK(YES_Writing_ELA[Student Number],YES_Writing_FLA[Student Number]),0),MATCH(VLOOKUP(G$7,'Writing Logic'!$J$7:$K$11,2,FALSE)&amp;" - Per "&amp;VLOOKUP($C$4,'Writing Logic'!$G$8:$H$14,2,FALSE),YES_Writing_ELA[#Headers],0))=0,"",INDEX(_xlfn.VSTACK(YES_Writing_ELA[#Data],YES_Writing_FLA[#Data]),MATCH($A456,_xlfn.VSTACK(YES_Writing_ELA[Student Number],YES_Writing_FLA[Student Number]),0),MATCH(VLOOKUP(G$7,'Writing Logic'!$J$7:$K$11,2,FALSE)&amp;" - Per "&amp;VLOOKUP($C$4,'Writing Logic'!$G$8:$H$14,2,FALSE),YES_Writing_ELA[#Headers],0)))="INS",'Writing Logic'!$B$7,IF(INDEX(_xlfn.VSTACK(YES_Writing_ELA[#Data],YES_Writing_FLA[#Data]),MATCH($A456,_xlfn.VSTACK(YES_Writing_ELA[Student Number],YES_Writing_FLA[Student Number]),0),MATCH(VLOOKUP(G$7,'Writing Logic'!$J$7:$K$11,2,FALSE)&amp;" - Per "&amp;VLOOKUP($C$4,'Writing Logic'!$G$8:$H$14,2,FALSE),YES_Writing_ELA[#Headers],0))=0,"",INDEX(_xlfn.VSTACK(YES_Writing_ELA[#Data],YES_Writing_FLA[#Data]),MATCH($A456,_xlfn.VSTACK(YES_Writing_ELA[Student Number],YES_Writing_FLA[Student Number]),0),MATCH(VLOOKUP(G$7,'Writing Logic'!$J$7:$K$11,2,FALSE)&amp;" - Per "&amp;VLOOKUP($C$4,'Writing Logic'!$G$8:$H$14,2,FALSE),YES_Writing_ELA[#Headers],0)))),"")</f>
        <v/>
      </c>
      <c r="H456" s="223" t="str">
        <f>IFERROR(IF(IF(INDEX(_xlfn.VSTACK(YES_Writing_ELA[#Data],YES_Writing_FLA[#Data]),MATCH($A456,_xlfn.VSTACK(YES_Writing_ELA[Student Number],YES_Writing_FLA[Student Number]),0),MATCH(VLOOKUP(H$7,'Writing Logic'!$J$7:$K$11,2,FALSE)&amp;" - Per "&amp;VLOOKUP($C$4,'Writing Logic'!$G$8:$H$14,2,FALSE),YES_Writing_ELA[#Headers],0))=0,"",INDEX(_xlfn.VSTACK(YES_Writing_ELA[#Data],YES_Writing_FLA[#Data]),MATCH($A456,_xlfn.VSTACK(YES_Writing_ELA[Student Number],YES_Writing_FLA[Student Number]),0),MATCH(VLOOKUP(H$7,'Writing Logic'!$J$7:$K$11,2,FALSE)&amp;" - Per "&amp;VLOOKUP($C$4,'Writing Logic'!$G$8:$H$14,2,FALSE),YES_Writing_ELA[#Headers],0)))="INS",'Writing Logic'!$B$7,IF(INDEX(_xlfn.VSTACK(YES_Writing_ELA[#Data],YES_Writing_FLA[#Data]),MATCH($A456,_xlfn.VSTACK(YES_Writing_ELA[Student Number],YES_Writing_FLA[Student Number]),0),MATCH(VLOOKUP(H$7,'Writing Logic'!$J$7:$K$11,2,FALSE)&amp;" - Per "&amp;VLOOKUP($C$4,'Writing Logic'!$G$8:$H$14,2,FALSE),YES_Writing_ELA[#Headers],0))=0,"",INDEX(_xlfn.VSTACK(YES_Writing_ELA[#Data],YES_Writing_FLA[#Data]),MATCH($A456,_xlfn.VSTACK(YES_Writing_ELA[Student Number],YES_Writing_FLA[Student Number]),0),MATCH(VLOOKUP(H$7,'Writing Logic'!$J$7:$K$11,2,FALSE)&amp;" - Per "&amp;VLOOKUP($C$4,'Writing Logic'!$G$8:$H$14,2,FALSE),YES_Writing_ELA[#Headers],0)))),"")</f>
        <v/>
      </c>
      <c r="I456" s="224" t="str" cm="1">
        <f t="array" aca="1" ref="I456" ca="1">IFERROR(
IF($G$3="ELA",
IF(VLOOKUP($A456, YES_Reading_ELA[], COLUMN(INDIRECT("YES_Reading_ELA[Difference - Per "&amp;VLOOKUP($G$4, 'Reading Report Logic'!$A$2:$B$8, 2, FALSE)&amp;"]")), FALSE)="", "",
VLOOKUP($A456,YES_Reading_ELA[], COLUMN(INDIRECT("YES_Reading_ELA[Difference - Per "&amp;VLOOKUP($G$4,'Reading Report Logic'!$A$2:$B$8,2,FALSE)&amp;"]")), FALSE)),
IF($G$3="FLA",
IF(VLOOKUP($A456, YES_Reading_FLA[], COLUMN(INDIRECT("YES_Reading_FLA[Difference - Per "&amp;VLOOKUP($G$4,'Reading Report Logic'!$A$2:$B$8,2,FALSE)&amp;"]")),FALSE)="","",
VLOOKUP($A456,YES_Reading_FLA[],COLUMN(INDIRECT("YES_Reading_FLA[Difference - Per "&amp;VLOOKUP($G$4,'Reading Report Logic'!$A$2:$B$8,2,FALSE)&amp;"]")),FALSE)),
IF($G$3="Combined",
IFERROR(
IF(VLOOKUP($A456, YES_Reading_ELA[], COLUMN(INDIRECT("YES_Reading_ELA[Difference - Per "&amp;VLOOKUP($G$4, 'Reading Report Logic'!$A$2:$B$8,2,FALSE)&amp;"]")), FALSE)="", "",
VLOOKUP($A456,YES_Reading_ELA[],COLUMN(INDIRECT("YES_Reading_ELA[Difference - Per "&amp;VLOOKUP($G$4,'Reading Report Logic'!$A$2:$B$8,2,FALSE)&amp;"]")),FALSE)),
IF(VLOOKUP($A456, YES_Reading_FLA[], COLUMN(INDIRECT("YES_Reading_FLA[Difference - Per "&amp;VLOOKUP($G$4, 'Reading Report Logic'!$A$2:$B$8, 2, FALSE)&amp;"]")),FALSE)="", "", VLOOKUP($A456,YES_Reading_FLA[],COLUMN(INDIRECT("YES_Reading_FLA[Difference - Per "&amp;VLOOKUP($G$4, 'Reading Report Logic'!$A$2:$B$8, 2, FALSE)&amp;"]")),FALSE))),""))),"")</f>
        <v/>
      </c>
    </row>
    <row r="457" spans="1:9" x14ac:dyDescent="0.25">
      <c r="A457" s="137"/>
      <c r="B457" s="137" t="str">
        <f>IFERROR(INDEX(_xlfn.VSTACK(YES_Writing_ELA[#Data], YES_Writing_FLA[#Data]),MATCH($A457,_xlfn.VSTACK(YES_Writing_ELA[Student Number], YES_Writing_FLA[Student Number]),0),MATCH(B$7,YES_Writing_ELA[#Headers],0)),IFERROR(INDEX(_xlfn.VSTACK(YES_Reading_ELA[#Data], YES_Reading_FLA[#Data]),MATCH($A457,_xlfn.VSTACK(YES_Reading_ELA[Student Number], YES_Reading_FLA[Student Number]),0),MATCH(B$7,YES_Reading_ELA[#Headers],0)),""))</f>
        <v/>
      </c>
      <c r="C457" s="137" t="str">
        <f>IFERROR(INDEX(_xlfn.VSTACK(YES_Writing_ELA[#Data], YES_Writing_FLA[#Data]),MATCH($A457,_xlfn.VSTACK(YES_Writing_ELA[Student Number], YES_Writing_FLA[Student Number]),0),MATCH(C$7,YES_Writing_ELA[#Headers],0)),IFERROR(INDEX(_xlfn.VSTACK(YES_Reading_ELA[#Data], YES_Reading_FLA[#Data]),MATCH($A457,_xlfn.VSTACK(YES_Reading_ELA[Student Number], YES_Reading_FLA[Student Number]),0),MATCH(C$7,YES_Reading_ELA[#Headers],0)),""))</f>
        <v/>
      </c>
      <c r="D457" s="138" t="str">
        <f>IFERROR(IF(IF(INDEX(_xlfn.VSTACK(YES_Writing_ELA[#Data],YES_Writing_FLA[#Data]),MATCH($A457,_xlfn.VSTACK(YES_Writing_ELA[Student Number],YES_Writing_FLA[Student Number]),0),MATCH(VLOOKUP(D$7,'Writing Logic'!$J$7:$K$11,2,FALSE)&amp;" - Per "&amp;VLOOKUP($C$4,'Writing Logic'!$G$8:$H$14,2,FALSE),YES_Writing_ELA[#Headers],0))=0,"",INDEX(_xlfn.VSTACK(YES_Writing_ELA[#Data],YES_Writing_FLA[#Data]),MATCH($A457,_xlfn.VSTACK(YES_Writing_ELA[Student Number],YES_Writing_FLA[Student Number]),0),MATCH(VLOOKUP(D$7,'Writing Logic'!$J$7:$K$11,2,FALSE)&amp;" - Per "&amp;VLOOKUP($C$4,'Writing Logic'!$G$8:$H$14,2,FALSE),YES_Writing_ELA[#Headers],0)))="INS",'Writing Logic'!$B$7,IF(INDEX(_xlfn.VSTACK(YES_Writing_ELA[#Data],YES_Writing_FLA[#Data]),MATCH($A457,_xlfn.VSTACK(YES_Writing_ELA[Student Number],YES_Writing_FLA[Student Number]),0),MATCH(VLOOKUP(D$7,'Writing Logic'!$J$7:$K$11,2,FALSE)&amp;" - Per "&amp;VLOOKUP($C$4,'Writing Logic'!$G$8:$H$14,2,FALSE),YES_Writing_ELA[#Headers],0))=0,"",INDEX(_xlfn.VSTACK(YES_Writing_ELA[#Data],YES_Writing_FLA[#Data]),MATCH($A457,_xlfn.VSTACK(YES_Writing_ELA[Student Number],YES_Writing_FLA[Student Number]),0),MATCH(VLOOKUP(D$7,'Writing Logic'!$J$7:$K$11,2,FALSE)&amp;" - Per "&amp;VLOOKUP($C$4,'Writing Logic'!$G$8:$H$14,2,FALSE),YES_Writing_ELA[#Headers],0)))),"")</f>
        <v/>
      </c>
      <c r="E457" s="138" t="str">
        <f>IFERROR(IF(IF(INDEX(_xlfn.VSTACK(YES_Writing_ELA[#Data],YES_Writing_FLA[#Data]),MATCH($A457,_xlfn.VSTACK(YES_Writing_ELA[Student Number],YES_Writing_FLA[Student Number]),0),MATCH(VLOOKUP(E$7,'Writing Logic'!$J$7:$K$11,2,FALSE)&amp;" - Per "&amp;VLOOKUP($C$4,'Writing Logic'!$G$8:$H$14,2,FALSE),YES_Writing_ELA[#Headers],0))=0,"",INDEX(_xlfn.VSTACK(YES_Writing_ELA[#Data],YES_Writing_FLA[#Data]),MATCH($A457,_xlfn.VSTACK(YES_Writing_ELA[Student Number],YES_Writing_FLA[Student Number]),0),MATCH(VLOOKUP(E$7,'Writing Logic'!$J$7:$K$11,2,FALSE)&amp;" - Per "&amp;VLOOKUP($C$4,'Writing Logic'!$G$8:$H$14,2,FALSE),YES_Writing_ELA[#Headers],0)))="INS",'Writing Logic'!$B$7,IF(INDEX(_xlfn.VSTACK(YES_Writing_ELA[#Data],YES_Writing_FLA[#Data]),MATCH($A457,_xlfn.VSTACK(YES_Writing_ELA[Student Number],YES_Writing_FLA[Student Number]),0),MATCH(VLOOKUP(E$7,'Writing Logic'!$J$7:$K$11,2,FALSE)&amp;" - Per "&amp;VLOOKUP($C$4,'Writing Logic'!$G$8:$H$14,2,FALSE),YES_Writing_ELA[#Headers],0))=0,"",INDEX(_xlfn.VSTACK(YES_Writing_ELA[#Data],YES_Writing_FLA[#Data]),MATCH($A457,_xlfn.VSTACK(YES_Writing_ELA[Student Number],YES_Writing_FLA[Student Number]),0),MATCH(VLOOKUP(E$7,'Writing Logic'!$J$7:$K$11,2,FALSE)&amp;" - Per "&amp;VLOOKUP($C$4,'Writing Logic'!$G$8:$H$14,2,FALSE),YES_Writing_ELA[#Headers],0)))),"")</f>
        <v/>
      </c>
      <c r="F457" s="138" t="str">
        <f>IFERROR(IF(IF(INDEX(_xlfn.VSTACK(YES_Writing_ELA[#Data],YES_Writing_FLA[#Data]),MATCH($A457,_xlfn.VSTACK(YES_Writing_ELA[Student Number],YES_Writing_FLA[Student Number]),0),MATCH(VLOOKUP(F$7,'Writing Logic'!$J$7:$K$11,2,FALSE)&amp;" - Per "&amp;VLOOKUP($C$4,'Writing Logic'!$G$8:$H$14,2,FALSE),YES_Writing_ELA[#Headers],0))=0,"",INDEX(_xlfn.VSTACK(YES_Writing_ELA[#Data],YES_Writing_FLA[#Data]),MATCH($A457,_xlfn.VSTACK(YES_Writing_ELA[Student Number],YES_Writing_FLA[Student Number]),0),MATCH(VLOOKUP(F$7,'Writing Logic'!$J$7:$K$11,2,FALSE)&amp;" - Per "&amp;VLOOKUP($C$4,'Writing Logic'!$G$8:$H$14,2,FALSE),YES_Writing_ELA[#Headers],0)))="INS",'Writing Logic'!$B$7,IF(INDEX(_xlfn.VSTACK(YES_Writing_ELA[#Data],YES_Writing_FLA[#Data]),MATCH($A457,_xlfn.VSTACK(YES_Writing_ELA[Student Number],YES_Writing_FLA[Student Number]),0),MATCH(VLOOKUP(F$7,'Writing Logic'!$J$7:$K$11,2,FALSE)&amp;" - Per "&amp;VLOOKUP($C$4,'Writing Logic'!$G$8:$H$14,2,FALSE),YES_Writing_ELA[#Headers],0))=0,"",INDEX(_xlfn.VSTACK(YES_Writing_ELA[#Data],YES_Writing_FLA[#Data]),MATCH($A457,_xlfn.VSTACK(YES_Writing_ELA[Student Number],YES_Writing_FLA[Student Number]),0),MATCH(VLOOKUP(F$7,'Writing Logic'!$J$7:$K$11,2,FALSE)&amp;" - Per "&amp;VLOOKUP($C$4,'Writing Logic'!$G$8:$H$14,2,FALSE),YES_Writing_ELA[#Headers],0)))),"")</f>
        <v/>
      </c>
      <c r="G457" s="138" t="str">
        <f>IFERROR(IF(IF(INDEX(_xlfn.VSTACK(YES_Writing_ELA[#Data],YES_Writing_FLA[#Data]),MATCH($A457,_xlfn.VSTACK(YES_Writing_ELA[Student Number],YES_Writing_FLA[Student Number]),0),MATCH(VLOOKUP(G$7,'Writing Logic'!$J$7:$K$11,2,FALSE)&amp;" - Per "&amp;VLOOKUP($C$4,'Writing Logic'!$G$8:$H$14,2,FALSE),YES_Writing_ELA[#Headers],0))=0,"",INDEX(_xlfn.VSTACK(YES_Writing_ELA[#Data],YES_Writing_FLA[#Data]),MATCH($A457,_xlfn.VSTACK(YES_Writing_ELA[Student Number],YES_Writing_FLA[Student Number]),0),MATCH(VLOOKUP(G$7,'Writing Logic'!$J$7:$K$11,2,FALSE)&amp;" - Per "&amp;VLOOKUP($C$4,'Writing Logic'!$G$8:$H$14,2,FALSE),YES_Writing_ELA[#Headers],0)))="INS",'Writing Logic'!$B$7,IF(INDEX(_xlfn.VSTACK(YES_Writing_ELA[#Data],YES_Writing_FLA[#Data]),MATCH($A457,_xlfn.VSTACK(YES_Writing_ELA[Student Number],YES_Writing_FLA[Student Number]),0),MATCH(VLOOKUP(G$7,'Writing Logic'!$J$7:$K$11,2,FALSE)&amp;" - Per "&amp;VLOOKUP($C$4,'Writing Logic'!$G$8:$H$14,2,FALSE),YES_Writing_ELA[#Headers],0))=0,"",INDEX(_xlfn.VSTACK(YES_Writing_ELA[#Data],YES_Writing_FLA[#Data]),MATCH($A457,_xlfn.VSTACK(YES_Writing_ELA[Student Number],YES_Writing_FLA[Student Number]),0),MATCH(VLOOKUP(G$7,'Writing Logic'!$J$7:$K$11,2,FALSE)&amp;" - Per "&amp;VLOOKUP($C$4,'Writing Logic'!$G$8:$H$14,2,FALSE),YES_Writing_ELA[#Headers],0)))),"")</f>
        <v/>
      </c>
      <c r="H457" s="223" t="str">
        <f>IFERROR(IF(IF(INDEX(_xlfn.VSTACK(YES_Writing_ELA[#Data],YES_Writing_FLA[#Data]),MATCH($A457,_xlfn.VSTACK(YES_Writing_ELA[Student Number],YES_Writing_FLA[Student Number]),0),MATCH(VLOOKUP(H$7,'Writing Logic'!$J$7:$K$11,2,FALSE)&amp;" - Per "&amp;VLOOKUP($C$4,'Writing Logic'!$G$8:$H$14,2,FALSE),YES_Writing_ELA[#Headers],0))=0,"",INDEX(_xlfn.VSTACK(YES_Writing_ELA[#Data],YES_Writing_FLA[#Data]),MATCH($A457,_xlfn.VSTACK(YES_Writing_ELA[Student Number],YES_Writing_FLA[Student Number]),0),MATCH(VLOOKUP(H$7,'Writing Logic'!$J$7:$K$11,2,FALSE)&amp;" - Per "&amp;VLOOKUP($C$4,'Writing Logic'!$G$8:$H$14,2,FALSE),YES_Writing_ELA[#Headers],0)))="INS",'Writing Logic'!$B$7,IF(INDEX(_xlfn.VSTACK(YES_Writing_ELA[#Data],YES_Writing_FLA[#Data]),MATCH($A457,_xlfn.VSTACK(YES_Writing_ELA[Student Number],YES_Writing_FLA[Student Number]),0),MATCH(VLOOKUP(H$7,'Writing Logic'!$J$7:$K$11,2,FALSE)&amp;" - Per "&amp;VLOOKUP($C$4,'Writing Logic'!$G$8:$H$14,2,FALSE),YES_Writing_ELA[#Headers],0))=0,"",INDEX(_xlfn.VSTACK(YES_Writing_ELA[#Data],YES_Writing_FLA[#Data]),MATCH($A457,_xlfn.VSTACK(YES_Writing_ELA[Student Number],YES_Writing_FLA[Student Number]),0),MATCH(VLOOKUP(H$7,'Writing Logic'!$J$7:$K$11,2,FALSE)&amp;" - Per "&amp;VLOOKUP($C$4,'Writing Logic'!$G$8:$H$14,2,FALSE),YES_Writing_ELA[#Headers],0)))),"")</f>
        <v/>
      </c>
      <c r="I457" s="224" t="str" cm="1">
        <f t="array" aca="1" ref="I457" ca="1">IFERROR(
IF($G$3="ELA",
IF(VLOOKUP($A457, YES_Reading_ELA[], COLUMN(INDIRECT("YES_Reading_ELA[Difference - Per "&amp;VLOOKUP($G$4, 'Reading Report Logic'!$A$2:$B$8, 2, FALSE)&amp;"]")), FALSE)="", "",
VLOOKUP($A457,YES_Reading_ELA[], COLUMN(INDIRECT("YES_Reading_ELA[Difference - Per "&amp;VLOOKUP($G$4,'Reading Report Logic'!$A$2:$B$8,2,FALSE)&amp;"]")), FALSE)),
IF($G$3="FLA",
IF(VLOOKUP($A457, YES_Reading_FLA[], COLUMN(INDIRECT("YES_Reading_FLA[Difference - Per "&amp;VLOOKUP($G$4,'Reading Report Logic'!$A$2:$B$8,2,FALSE)&amp;"]")),FALSE)="","",
VLOOKUP($A457,YES_Reading_FLA[],COLUMN(INDIRECT("YES_Reading_FLA[Difference - Per "&amp;VLOOKUP($G$4,'Reading Report Logic'!$A$2:$B$8,2,FALSE)&amp;"]")),FALSE)),
IF($G$3="Combined",
IFERROR(
IF(VLOOKUP($A457, YES_Reading_ELA[], COLUMN(INDIRECT("YES_Reading_ELA[Difference - Per "&amp;VLOOKUP($G$4, 'Reading Report Logic'!$A$2:$B$8,2,FALSE)&amp;"]")), FALSE)="", "",
VLOOKUP($A457,YES_Reading_ELA[],COLUMN(INDIRECT("YES_Reading_ELA[Difference - Per "&amp;VLOOKUP($G$4,'Reading Report Logic'!$A$2:$B$8,2,FALSE)&amp;"]")),FALSE)),
IF(VLOOKUP($A457, YES_Reading_FLA[], COLUMN(INDIRECT("YES_Reading_FLA[Difference - Per "&amp;VLOOKUP($G$4, 'Reading Report Logic'!$A$2:$B$8, 2, FALSE)&amp;"]")),FALSE)="", "", VLOOKUP($A457,YES_Reading_FLA[],COLUMN(INDIRECT("YES_Reading_FLA[Difference - Per "&amp;VLOOKUP($G$4, 'Reading Report Logic'!$A$2:$B$8, 2, FALSE)&amp;"]")),FALSE))),""))),"")</f>
        <v/>
      </c>
    </row>
    <row r="458" spans="1:9" x14ac:dyDescent="0.25">
      <c r="A458" s="137"/>
      <c r="B458" s="137" t="str">
        <f>IFERROR(INDEX(_xlfn.VSTACK(YES_Writing_ELA[#Data], YES_Writing_FLA[#Data]),MATCH($A458,_xlfn.VSTACK(YES_Writing_ELA[Student Number], YES_Writing_FLA[Student Number]),0),MATCH(B$7,YES_Writing_ELA[#Headers],0)),IFERROR(INDEX(_xlfn.VSTACK(YES_Reading_ELA[#Data], YES_Reading_FLA[#Data]),MATCH($A458,_xlfn.VSTACK(YES_Reading_ELA[Student Number], YES_Reading_FLA[Student Number]),0),MATCH(B$7,YES_Reading_ELA[#Headers],0)),""))</f>
        <v/>
      </c>
      <c r="C458" s="137" t="str">
        <f>IFERROR(INDEX(_xlfn.VSTACK(YES_Writing_ELA[#Data], YES_Writing_FLA[#Data]),MATCH($A458,_xlfn.VSTACK(YES_Writing_ELA[Student Number], YES_Writing_FLA[Student Number]),0),MATCH(C$7,YES_Writing_ELA[#Headers],0)),IFERROR(INDEX(_xlfn.VSTACK(YES_Reading_ELA[#Data], YES_Reading_FLA[#Data]),MATCH($A458,_xlfn.VSTACK(YES_Reading_ELA[Student Number], YES_Reading_FLA[Student Number]),0),MATCH(C$7,YES_Reading_ELA[#Headers],0)),""))</f>
        <v/>
      </c>
      <c r="D458" s="138" t="str">
        <f>IFERROR(IF(IF(INDEX(_xlfn.VSTACK(YES_Writing_ELA[#Data],YES_Writing_FLA[#Data]),MATCH($A458,_xlfn.VSTACK(YES_Writing_ELA[Student Number],YES_Writing_FLA[Student Number]),0),MATCH(VLOOKUP(D$7,'Writing Logic'!$J$7:$K$11,2,FALSE)&amp;" - Per "&amp;VLOOKUP($C$4,'Writing Logic'!$G$8:$H$14,2,FALSE),YES_Writing_ELA[#Headers],0))=0,"",INDEX(_xlfn.VSTACK(YES_Writing_ELA[#Data],YES_Writing_FLA[#Data]),MATCH($A458,_xlfn.VSTACK(YES_Writing_ELA[Student Number],YES_Writing_FLA[Student Number]),0),MATCH(VLOOKUP(D$7,'Writing Logic'!$J$7:$K$11,2,FALSE)&amp;" - Per "&amp;VLOOKUP($C$4,'Writing Logic'!$G$8:$H$14,2,FALSE),YES_Writing_ELA[#Headers],0)))="INS",'Writing Logic'!$B$7,IF(INDEX(_xlfn.VSTACK(YES_Writing_ELA[#Data],YES_Writing_FLA[#Data]),MATCH($A458,_xlfn.VSTACK(YES_Writing_ELA[Student Number],YES_Writing_FLA[Student Number]),0),MATCH(VLOOKUP(D$7,'Writing Logic'!$J$7:$K$11,2,FALSE)&amp;" - Per "&amp;VLOOKUP($C$4,'Writing Logic'!$G$8:$H$14,2,FALSE),YES_Writing_ELA[#Headers],0))=0,"",INDEX(_xlfn.VSTACK(YES_Writing_ELA[#Data],YES_Writing_FLA[#Data]),MATCH($A458,_xlfn.VSTACK(YES_Writing_ELA[Student Number],YES_Writing_FLA[Student Number]),0),MATCH(VLOOKUP(D$7,'Writing Logic'!$J$7:$K$11,2,FALSE)&amp;" - Per "&amp;VLOOKUP($C$4,'Writing Logic'!$G$8:$H$14,2,FALSE),YES_Writing_ELA[#Headers],0)))),"")</f>
        <v/>
      </c>
      <c r="E458" s="138" t="str">
        <f>IFERROR(IF(IF(INDEX(_xlfn.VSTACK(YES_Writing_ELA[#Data],YES_Writing_FLA[#Data]),MATCH($A458,_xlfn.VSTACK(YES_Writing_ELA[Student Number],YES_Writing_FLA[Student Number]),0),MATCH(VLOOKUP(E$7,'Writing Logic'!$J$7:$K$11,2,FALSE)&amp;" - Per "&amp;VLOOKUP($C$4,'Writing Logic'!$G$8:$H$14,2,FALSE),YES_Writing_ELA[#Headers],0))=0,"",INDEX(_xlfn.VSTACK(YES_Writing_ELA[#Data],YES_Writing_FLA[#Data]),MATCH($A458,_xlfn.VSTACK(YES_Writing_ELA[Student Number],YES_Writing_FLA[Student Number]),0),MATCH(VLOOKUP(E$7,'Writing Logic'!$J$7:$K$11,2,FALSE)&amp;" - Per "&amp;VLOOKUP($C$4,'Writing Logic'!$G$8:$H$14,2,FALSE),YES_Writing_ELA[#Headers],0)))="INS",'Writing Logic'!$B$7,IF(INDEX(_xlfn.VSTACK(YES_Writing_ELA[#Data],YES_Writing_FLA[#Data]),MATCH($A458,_xlfn.VSTACK(YES_Writing_ELA[Student Number],YES_Writing_FLA[Student Number]),0),MATCH(VLOOKUP(E$7,'Writing Logic'!$J$7:$K$11,2,FALSE)&amp;" - Per "&amp;VLOOKUP($C$4,'Writing Logic'!$G$8:$H$14,2,FALSE),YES_Writing_ELA[#Headers],0))=0,"",INDEX(_xlfn.VSTACK(YES_Writing_ELA[#Data],YES_Writing_FLA[#Data]),MATCH($A458,_xlfn.VSTACK(YES_Writing_ELA[Student Number],YES_Writing_FLA[Student Number]),0),MATCH(VLOOKUP(E$7,'Writing Logic'!$J$7:$K$11,2,FALSE)&amp;" - Per "&amp;VLOOKUP($C$4,'Writing Logic'!$G$8:$H$14,2,FALSE),YES_Writing_ELA[#Headers],0)))),"")</f>
        <v/>
      </c>
      <c r="F458" s="138" t="str">
        <f>IFERROR(IF(IF(INDEX(_xlfn.VSTACK(YES_Writing_ELA[#Data],YES_Writing_FLA[#Data]),MATCH($A458,_xlfn.VSTACK(YES_Writing_ELA[Student Number],YES_Writing_FLA[Student Number]),0),MATCH(VLOOKUP(F$7,'Writing Logic'!$J$7:$K$11,2,FALSE)&amp;" - Per "&amp;VLOOKUP($C$4,'Writing Logic'!$G$8:$H$14,2,FALSE),YES_Writing_ELA[#Headers],0))=0,"",INDEX(_xlfn.VSTACK(YES_Writing_ELA[#Data],YES_Writing_FLA[#Data]),MATCH($A458,_xlfn.VSTACK(YES_Writing_ELA[Student Number],YES_Writing_FLA[Student Number]),0),MATCH(VLOOKUP(F$7,'Writing Logic'!$J$7:$K$11,2,FALSE)&amp;" - Per "&amp;VLOOKUP($C$4,'Writing Logic'!$G$8:$H$14,2,FALSE),YES_Writing_ELA[#Headers],0)))="INS",'Writing Logic'!$B$7,IF(INDEX(_xlfn.VSTACK(YES_Writing_ELA[#Data],YES_Writing_FLA[#Data]),MATCH($A458,_xlfn.VSTACK(YES_Writing_ELA[Student Number],YES_Writing_FLA[Student Number]),0),MATCH(VLOOKUP(F$7,'Writing Logic'!$J$7:$K$11,2,FALSE)&amp;" - Per "&amp;VLOOKUP($C$4,'Writing Logic'!$G$8:$H$14,2,FALSE),YES_Writing_ELA[#Headers],0))=0,"",INDEX(_xlfn.VSTACK(YES_Writing_ELA[#Data],YES_Writing_FLA[#Data]),MATCH($A458,_xlfn.VSTACK(YES_Writing_ELA[Student Number],YES_Writing_FLA[Student Number]),0),MATCH(VLOOKUP(F$7,'Writing Logic'!$J$7:$K$11,2,FALSE)&amp;" - Per "&amp;VLOOKUP($C$4,'Writing Logic'!$G$8:$H$14,2,FALSE),YES_Writing_ELA[#Headers],0)))),"")</f>
        <v/>
      </c>
      <c r="G458" s="138" t="str">
        <f>IFERROR(IF(IF(INDEX(_xlfn.VSTACK(YES_Writing_ELA[#Data],YES_Writing_FLA[#Data]),MATCH($A458,_xlfn.VSTACK(YES_Writing_ELA[Student Number],YES_Writing_FLA[Student Number]),0),MATCH(VLOOKUP(G$7,'Writing Logic'!$J$7:$K$11,2,FALSE)&amp;" - Per "&amp;VLOOKUP($C$4,'Writing Logic'!$G$8:$H$14,2,FALSE),YES_Writing_ELA[#Headers],0))=0,"",INDEX(_xlfn.VSTACK(YES_Writing_ELA[#Data],YES_Writing_FLA[#Data]),MATCH($A458,_xlfn.VSTACK(YES_Writing_ELA[Student Number],YES_Writing_FLA[Student Number]),0),MATCH(VLOOKUP(G$7,'Writing Logic'!$J$7:$K$11,2,FALSE)&amp;" - Per "&amp;VLOOKUP($C$4,'Writing Logic'!$G$8:$H$14,2,FALSE),YES_Writing_ELA[#Headers],0)))="INS",'Writing Logic'!$B$7,IF(INDEX(_xlfn.VSTACK(YES_Writing_ELA[#Data],YES_Writing_FLA[#Data]),MATCH($A458,_xlfn.VSTACK(YES_Writing_ELA[Student Number],YES_Writing_FLA[Student Number]),0),MATCH(VLOOKUP(G$7,'Writing Logic'!$J$7:$K$11,2,FALSE)&amp;" - Per "&amp;VLOOKUP($C$4,'Writing Logic'!$G$8:$H$14,2,FALSE),YES_Writing_ELA[#Headers],0))=0,"",INDEX(_xlfn.VSTACK(YES_Writing_ELA[#Data],YES_Writing_FLA[#Data]),MATCH($A458,_xlfn.VSTACK(YES_Writing_ELA[Student Number],YES_Writing_FLA[Student Number]),0),MATCH(VLOOKUP(G$7,'Writing Logic'!$J$7:$K$11,2,FALSE)&amp;" - Per "&amp;VLOOKUP($C$4,'Writing Logic'!$G$8:$H$14,2,FALSE),YES_Writing_ELA[#Headers],0)))),"")</f>
        <v/>
      </c>
      <c r="H458" s="223" t="str">
        <f>IFERROR(IF(IF(INDEX(_xlfn.VSTACK(YES_Writing_ELA[#Data],YES_Writing_FLA[#Data]),MATCH($A458,_xlfn.VSTACK(YES_Writing_ELA[Student Number],YES_Writing_FLA[Student Number]),0),MATCH(VLOOKUP(H$7,'Writing Logic'!$J$7:$K$11,2,FALSE)&amp;" - Per "&amp;VLOOKUP($C$4,'Writing Logic'!$G$8:$H$14,2,FALSE),YES_Writing_ELA[#Headers],0))=0,"",INDEX(_xlfn.VSTACK(YES_Writing_ELA[#Data],YES_Writing_FLA[#Data]),MATCH($A458,_xlfn.VSTACK(YES_Writing_ELA[Student Number],YES_Writing_FLA[Student Number]),0),MATCH(VLOOKUP(H$7,'Writing Logic'!$J$7:$K$11,2,FALSE)&amp;" - Per "&amp;VLOOKUP($C$4,'Writing Logic'!$G$8:$H$14,2,FALSE),YES_Writing_ELA[#Headers],0)))="INS",'Writing Logic'!$B$7,IF(INDEX(_xlfn.VSTACK(YES_Writing_ELA[#Data],YES_Writing_FLA[#Data]),MATCH($A458,_xlfn.VSTACK(YES_Writing_ELA[Student Number],YES_Writing_FLA[Student Number]),0),MATCH(VLOOKUP(H$7,'Writing Logic'!$J$7:$K$11,2,FALSE)&amp;" - Per "&amp;VLOOKUP($C$4,'Writing Logic'!$G$8:$H$14,2,FALSE),YES_Writing_ELA[#Headers],0))=0,"",INDEX(_xlfn.VSTACK(YES_Writing_ELA[#Data],YES_Writing_FLA[#Data]),MATCH($A458,_xlfn.VSTACK(YES_Writing_ELA[Student Number],YES_Writing_FLA[Student Number]),0),MATCH(VLOOKUP(H$7,'Writing Logic'!$J$7:$K$11,2,FALSE)&amp;" - Per "&amp;VLOOKUP($C$4,'Writing Logic'!$G$8:$H$14,2,FALSE),YES_Writing_ELA[#Headers],0)))),"")</f>
        <v/>
      </c>
      <c r="I458" s="224" t="str" cm="1">
        <f t="array" aca="1" ref="I458" ca="1">IFERROR(
IF($G$3="ELA",
IF(VLOOKUP($A458, YES_Reading_ELA[], COLUMN(INDIRECT("YES_Reading_ELA[Difference - Per "&amp;VLOOKUP($G$4, 'Reading Report Logic'!$A$2:$B$8, 2, FALSE)&amp;"]")), FALSE)="", "",
VLOOKUP($A458,YES_Reading_ELA[], COLUMN(INDIRECT("YES_Reading_ELA[Difference - Per "&amp;VLOOKUP($G$4,'Reading Report Logic'!$A$2:$B$8,2,FALSE)&amp;"]")), FALSE)),
IF($G$3="FLA",
IF(VLOOKUP($A458, YES_Reading_FLA[], COLUMN(INDIRECT("YES_Reading_FLA[Difference - Per "&amp;VLOOKUP($G$4,'Reading Report Logic'!$A$2:$B$8,2,FALSE)&amp;"]")),FALSE)="","",
VLOOKUP($A458,YES_Reading_FLA[],COLUMN(INDIRECT("YES_Reading_FLA[Difference - Per "&amp;VLOOKUP($G$4,'Reading Report Logic'!$A$2:$B$8,2,FALSE)&amp;"]")),FALSE)),
IF($G$3="Combined",
IFERROR(
IF(VLOOKUP($A458, YES_Reading_ELA[], COLUMN(INDIRECT("YES_Reading_ELA[Difference - Per "&amp;VLOOKUP($G$4, 'Reading Report Logic'!$A$2:$B$8,2,FALSE)&amp;"]")), FALSE)="", "",
VLOOKUP($A458,YES_Reading_ELA[],COLUMN(INDIRECT("YES_Reading_ELA[Difference - Per "&amp;VLOOKUP($G$4,'Reading Report Logic'!$A$2:$B$8,2,FALSE)&amp;"]")),FALSE)),
IF(VLOOKUP($A458, YES_Reading_FLA[], COLUMN(INDIRECT("YES_Reading_FLA[Difference - Per "&amp;VLOOKUP($G$4, 'Reading Report Logic'!$A$2:$B$8, 2, FALSE)&amp;"]")),FALSE)="", "", VLOOKUP($A458,YES_Reading_FLA[],COLUMN(INDIRECT("YES_Reading_FLA[Difference - Per "&amp;VLOOKUP($G$4, 'Reading Report Logic'!$A$2:$B$8, 2, FALSE)&amp;"]")),FALSE))),""))),"")</f>
        <v/>
      </c>
    </row>
    <row r="459" spans="1:9" x14ac:dyDescent="0.25">
      <c r="A459" s="137"/>
      <c r="B459" s="137" t="str">
        <f>IFERROR(INDEX(_xlfn.VSTACK(YES_Writing_ELA[#Data], YES_Writing_FLA[#Data]),MATCH($A459,_xlfn.VSTACK(YES_Writing_ELA[Student Number], YES_Writing_FLA[Student Number]),0),MATCH(B$7,YES_Writing_ELA[#Headers],0)),IFERROR(INDEX(_xlfn.VSTACK(YES_Reading_ELA[#Data], YES_Reading_FLA[#Data]),MATCH($A459,_xlfn.VSTACK(YES_Reading_ELA[Student Number], YES_Reading_FLA[Student Number]),0),MATCH(B$7,YES_Reading_ELA[#Headers],0)),""))</f>
        <v/>
      </c>
      <c r="C459" s="137" t="str">
        <f>IFERROR(INDEX(_xlfn.VSTACK(YES_Writing_ELA[#Data], YES_Writing_FLA[#Data]),MATCH($A459,_xlfn.VSTACK(YES_Writing_ELA[Student Number], YES_Writing_FLA[Student Number]),0),MATCH(C$7,YES_Writing_ELA[#Headers],0)),IFERROR(INDEX(_xlfn.VSTACK(YES_Reading_ELA[#Data], YES_Reading_FLA[#Data]),MATCH($A459,_xlfn.VSTACK(YES_Reading_ELA[Student Number], YES_Reading_FLA[Student Number]),0),MATCH(C$7,YES_Reading_ELA[#Headers],0)),""))</f>
        <v/>
      </c>
      <c r="D459" s="138" t="str">
        <f>IFERROR(IF(IF(INDEX(_xlfn.VSTACK(YES_Writing_ELA[#Data],YES_Writing_FLA[#Data]),MATCH($A459,_xlfn.VSTACK(YES_Writing_ELA[Student Number],YES_Writing_FLA[Student Number]),0),MATCH(VLOOKUP(D$7,'Writing Logic'!$J$7:$K$11,2,FALSE)&amp;" - Per "&amp;VLOOKUP($C$4,'Writing Logic'!$G$8:$H$14,2,FALSE),YES_Writing_ELA[#Headers],0))=0,"",INDEX(_xlfn.VSTACK(YES_Writing_ELA[#Data],YES_Writing_FLA[#Data]),MATCH($A459,_xlfn.VSTACK(YES_Writing_ELA[Student Number],YES_Writing_FLA[Student Number]),0),MATCH(VLOOKUP(D$7,'Writing Logic'!$J$7:$K$11,2,FALSE)&amp;" - Per "&amp;VLOOKUP($C$4,'Writing Logic'!$G$8:$H$14,2,FALSE),YES_Writing_ELA[#Headers],0)))="INS",'Writing Logic'!$B$7,IF(INDEX(_xlfn.VSTACK(YES_Writing_ELA[#Data],YES_Writing_FLA[#Data]),MATCH($A459,_xlfn.VSTACK(YES_Writing_ELA[Student Number],YES_Writing_FLA[Student Number]),0),MATCH(VLOOKUP(D$7,'Writing Logic'!$J$7:$K$11,2,FALSE)&amp;" - Per "&amp;VLOOKUP($C$4,'Writing Logic'!$G$8:$H$14,2,FALSE),YES_Writing_ELA[#Headers],0))=0,"",INDEX(_xlfn.VSTACK(YES_Writing_ELA[#Data],YES_Writing_FLA[#Data]),MATCH($A459,_xlfn.VSTACK(YES_Writing_ELA[Student Number],YES_Writing_FLA[Student Number]),0),MATCH(VLOOKUP(D$7,'Writing Logic'!$J$7:$K$11,2,FALSE)&amp;" - Per "&amp;VLOOKUP($C$4,'Writing Logic'!$G$8:$H$14,2,FALSE),YES_Writing_ELA[#Headers],0)))),"")</f>
        <v/>
      </c>
      <c r="E459" s="138" t="str">
        <f>IFERROR(IF(IF(INDEX(_xlfn.VSTACK(YES_Writing_ELA[#Data],YES_Writing_FLA[#Data]),MATCH($A459,_xlfn.VSTACK(YES_Writing_ELA[Student Number],YES_Writing_FLA[Student Number]),0),MATCH(VLOOKUP(E$7,'Writing Logic'!$J$7:$K$11,2,FALSE)&amp;" - Per "&amp;VLOOKUP($C$4,'Writing Logic'!$G$8:$H$14,2,FALSE),YES_Writing_ELA[#Headers],0))=0,"",INDEX(_xlfn.VSTACK(YES_Writing_ELA[#Data],YES_Writing_FLA[#Data]),MATCH($A459,_xlfn.VSTACK(YES_Writing_ELA[Student Number],YES_Writing_FLA[Student Number]),0),MATCH(VLOOKUP(E$7,'Writing Logic'!$J$7:$K$11,2,FALSE)&amp;" - Per "&amp;VLOOKUP($C$4,'Writing Logic'!$G$8:$H$14,2,FALSE),YES_Writing_ELA[#Headers],0)))="INS",'Writing Logic'!$B$7,IF(INDEX(_xlfn.VSTACK(YES_Writing_ELA[#Data],YES_Writing_FLA[#Data]),MATCH($A459,_xlfn.VSTACK(YES_Writing_ELA[Student Number],YES_Writing_FLA[Student Number]),0),MATCH(VLOOKUP(E$7,'Writing Logic'!$J$7:$K$11,2,FALSE)&amp;" - Per "&amp;VLOOKUP($C$4,'Writing Logic'!$G$8:$H$14,2,FALSE),YES_Writing_ELA[#Headers],0))=0,"",INDEX(_xlfn.VSTACK(YES_Writing_ELA[#Data],YES_Writing_FLA[#Data]),MATCH($A459,_xlfn.VSTACK(YES_Writing_ELA[Student Number],YES_Writing_FLA[Student Number]),0),MATCH(VLOOKUP(E$7,'Writing Logic'!$J$7:$K$11,2,FALSE)&amp;" - Per "&amp;VLOOKUP($C$4,'Writing Logic'!$G$8:$H$14,2,FALSE),YES_Writing_ELA[#Headers],0)))),"")</f>
        <v/>
      </c>
      <c r="F459" s="138" t="str">
        <f>IFERROR(IF(IF(INDEX(_xlfn.VSTACK(YES_Writing_ELA[#Data],YES_Writing_FLA[#Data]),MATCH($A459,_xlfn.VSTACK(YES_Writing_ELA[Student Number],YES_Writing_FLA[Student Number]),0),MATCH(VLOOKUP(F$7,'Writing Logic'!$J$7:$K$11,2,FALSE)&amp;" - Per "&amp;VLOOKUP($C$4,'Writing Logic'!$G$8:$H$14,2,FALSE),YES_Writing_ELA[#Headers],0))=0,"",INDEX(_xlfn.VSTACK(YES_Writing_ELA[#Data],YES_Writing_FLA[#Data]),MATCH($A459,_xlfn.VSTACK(YES_Writing_ELA[Student Number],YES_Writing_FLA[Student Number]),0),MATCH(VLOOKUP(F$7,'Writing Logic'!$J$7:$K$11,2,FALSE)&amp;" - Per "&amp;VLOOKUP($C$4,'Writing Logic'!$G$8:$H$14,2,FALSE),YES_Writing_ELA[#Headers],0)))="INS",'Writing Logic'!$B$7,IF(INDEX(_xlfn.VSTACK(YES_Writing_ELA[#Data],YES_Writing_FLA[#Data]),MATCH($A459,_xlfn.VSTACK(YES_Writing_ELA[Student Number],YES_Writing_FLA[Student Number]),0),MATCH(VLOOKUP(F$7,'Writing Logic'!$J$7:$K$11,2,FALSE)&amp;" - Per "&amp;VLOOKUP($C$4,'Writing Logic'!$G$8:$H$14,2,FALSE),YES_Writing_ELA[#Headers],0))=0,"",INDEX(_xlfn.VSTACK(YES_Writing_ELA[#Data],YES_Writing_FLA[#Data]),MATCH($A459,_xlfn.VSTACK(YES_Writing_ELA[Student Number],YES_Writing_FLA[Student Number]),0),MATCH(VLOOKUP(F$7,'Writing Logic'!$J$7:$K$11,2,FALSE)&amp;" - Per "&amp;VLOOKUP($C$4,'Writing Logic'!$G$8:$H$14,2,FALSE),YES_Writing_ELA[#Headers],0)))),"")</f>
        <v/>
      </c>
      <c r="G459" s="138" t="str">
        <f>IFERROR(IF(IF(INDEX(_xlfn.VSTACK(YES_Writing_ELA[#Data],YES_Writing_FLA[#Data]),MATCH($A459,_xlfn.VSTACK(YES_Writing_ELA[Student Number],YES_Writing_FLA[Student Number]),0),MATCH(VLOOKUP(G$7,'Writing Logic'!$J$7:$K$11,2,FALSE)&amp;" - Per "&amp;VLOOKUP($C$4,'Writing Logic'!$G$8:$H$14,2,FALSE),YES_Writing_ELA[#Headers],0))=0,"",INDEX(_xlfn.VSTACK(YES_Writing_ELA[#Data],YES_Writing_FLA[#Data]),MATCH($A459,_xlfn.VSTACK(YES_Writing_ELA[Student Number],YES_Writing_FLA[Student Number]),0),MATCH(VLOOKUP(G$7,'Writing Logic'!$J$7:$K$11,2,FALSE)&amp;" - Per "&amp;VLOOKUP($C$4,'Writing Logic'!$G$8:$H$14,2,FALSE),YES_Writing_ELA[#Headers],0)))="INS",'Writing Logic'!$B$7,IF(INDEX(_xlfn.VSTACK(YES_Writing_ELA[#Data],YES_Writing_FLA[#Data]),MATCH($A459,_xlfn.VSTACK(YES_Writing_ELA[Student Number],YES_Writing_FLA[Student Number]),0),MATCH(VLOOKUP(G$7,'Writing Logic'!$J$7:$K$11,2,FALSE)&amp;" - Per "&amp;VLOOKUP($C$4,'Writing Logic'!$G$8:$H$14,2,FALSE),YES_Writing_ELA[#Headers],0))=0,"",INDEX(_xlfn.VSTACK(YES_Writing_ELA[#Data],YES_Writing_FLA[#Data]),MATCH($A459,_xlfn.VSTACK(YES_Writing_ELA[Student Number],YES_Writing_FLA[Student Number]),0),MATCH(VLOOKUP(G$7,'Writing Logic'!$J$7:$K$11,2,FALSE)&amp;" - Per "&amp;VLOOKUP($C$4,'Writing Logic'!$G$8:$H$14,2,FALSE),YES_Writing_ELA[#Headers],0)))),"")</f>
        <v/>
      </c>
      <c r="H459" s="223" t="str">
        <f>IFERROR(IF(IF(INDEX(_xlfn.VSTACK(YES_Writing_ELA[#Data],YES_Writing_FLA[#Data]),MATCH($A459,_xlfn.VSTACK(YES_Writing_ELA[Student Number],YES_Writing_FLA[Student Number]),0),MATCH(VLOOKUP(H$7,'Writing Logic'!$J$7:$K$11,2,FALSE)&amp;" - Per "&amp;VLOOKUP($C$4,'Writing Logic'!$G$8:$H$14,2,FALSE),YES_Writing_ELA[#Headers],0))=0,"",INDEX(_xlfn.VSTACK(YES_Writing_ELA[#Data],YES_Writing_FLA[#Data]),MATCH($A459,_xlfn.VSTACK(YES_Writing_ELA[Student Number],YES_Writing_FLA[Student Number]),0),MATCH(VLOOKUP(H$7,'Writing Logic'!$J$7:$K$11,2,FALSE)&amp;" - Per "&amp;VLOOKUP($C$4,'Writing Logic'!$G$8:$H$14,2,FALSE),YES_Writing_ELA[#Headers],0)))="INS",'Writing Logic'!$B$7,IF(INDEX(_xlfn.VSTACK(YES_Writing_ELA[#Data],YES_Writing_FLA[#Data]),MATCH($A459,_xlfn.VSTACK(YES_Writing_ELA[Student Number],YES_Writing_FLA[Student Number]),0),MATCH(VLOOKUP(H$7,'Writing Logic'!$J$7:$K$11,2,FALSE)&amp;" - Per "&amp;VLOOKUP($C$4,'Writing Logic'!$G$8:$H$14,2,FALSE),YES_Writing_ELA[#Headers],0))=0,"",INDEX(_xlfn.VSTACK(YES_Writing_ELA[#Data],YES_Writing_FLA[#Data]),MATCH($A459,_xlfn.VSTACK(YES_Writing_ELA[Student Number],YES_Writing_FLA[Student Number]),0),MATCH(VLOOKUP(H$7,'Writing Logic'!$J$7:$K$11,2,FALSE)&amp;" - Per "&amp;VLOOKUP($C$4,'Writing Logic'!$G$8:$H$14,2,FALSE),YES_Writing_ELA[#Headers],0)))),"")</f>
        <v/>
      </c>
      <c r="I459" s="224" t="str" cm="1">
        <f t="array" aca="1" ref="I459" ca="1">IFERROR(
IF($G$3="ELA",
IF(VLOOKUP($A459, YES_Reading_ELA[], COLUMN(INDIRECT("YES_Reading_ELA[Difference - Per "&amp;VLOOKUP($G$4, 'Reading Report Logic'!$A$2:$B$8, 2, FALSE)&amp;"]")), FALSE)="", "",
VLOOKUP($A459,YES_Reading_ELA[], COLUMN(INDIRECT("YES_Reading_ELA[Difference - Per "&amp;VLOOKUP($G$4,'Reading Report Logic'!$A$2:$B$8,2,FALSE)&amp;"]")), FALSE)),
IF($G$3="FLA",
IF(VLOOKUP($A459, YES_Reading_FLA[], COLUMN(INDIRECT("YES_Reading_FLA[Difference - Per "&amp;VLOOKUP($G$4,'Reading Report Logic'!$A$2:$B$8,2,FALSE)&amp;"]")),FALSE)="","",
VLOOKUP($A459,YES_Reading_FLA[],COLUMN(INDIRECT("YES_Reading_FLA[Difference - Per "&amp;VLOOKUP($G$4,'Reading Report Logic'!$A$2:$B$8,2,FALSE)&amp;"]")),FALSE)),
IF($G$3="Combined",
IFERROR(
IF(VLOOKUP($A459, YES_Reading_ELA[], COLUMN(INDIRECT("YES_Reading_ELA[Difference - Per "&amp;VLOOKUP($G$4, 'Reading Report Logic'!$A$2:$B$8,2,FALSE)&amp;"]")), FALSE)="", "",
VLOOKUP($A459,YES_Reading_ELA[],COLUMN(INDIRECT("YES_Reading_ELA[Difference - Per "&amp;VLOOKUP($G$4,'Reading Report Logic'!$A$2:$B$8,2,FALSE)&amp;"]")),FALSE)),
IF(VLOOKUP($A459, YES_Reading_FLA[], COLUMN(INDIRECT("YES_Reading_FLA[Difference - Per "&amp;VLOOKUP($G$4, 'Reading Report Logic'!$A$2:$B$8, 2, FALSE)&amp;"]")),FALSE)="", "", VLOOKUP($A459,YES_Reading_FLA[],COLUMN(INDIRECT("YES_Reading_FLA[Difference - Per "&amp;VLOOKUP($G$4, 'Reading Report Logic'!$A$2:$B$8, 2, FALSE)&amp;"]")),FALSE))),""))),"")</f>
        <v/>
      </c>
    </row>
    <row r="460" spans="1:9" x14ac:dyDescent="0.25">
      <c r="A460" s="137"/>
      <c r="B460" s="137" t="str">
        <f>IFERROR(INDEX(_xlfn.VSTACK(YES_Writing_ELA[#Data], YES_Writing_FLA[#Data]),MATCH($A460,_xlfn.VSTACK(YES_Writing_ELA[Student Number], YES_Writing_FLA[Student Number]),0),MATCH(B$7,YES_Writing_ELA[#Headers],0)),IFERROR(INDEX(_xlfn.VSTACK(YES_Reading_ELA[#Data], YES_Reading_FLA[#Data]),MATCH($A460,_xlfn.VSTACK(YES_Reading_ELA[Student Number], YES_Reading_FLA[Student Number]),0),MATCH(B$7,YES_Reading_ELA[#Headers],0)),""))</f>
        <v/>
      </c>
      <c r="C460" s="137" t="str">
        <f>IFERROR(INDEX(_xlfn.VSTACK(YES_Writing_ELA[#Data], YES_Writing_FLA[#Data]),MATCH($A460,_xlfn.VSTACK(YES_Writing_ELA[Student Number], YES_Writing_FLA[Student Number]),0),MATCH(C$7,YES_Writing_ELA[#Headers],0)),IFERROR(INDEX(_xlfn.VSTACK(YES_Reading_ELA[#Data], YES_Reading_FLA[#Data]),MATCH($A460,_xlfn.VSTACK(YES_Reading_ELA[Student Number], YES_Reading_FLA[Student Number]),0),MATCH(C$7,YES_Reading_ELA[#Headers],0)),""))</f>
        <v/>
      </c>
      <c r="D460" s="138" t="str">
        <f>IFERROR(IF(IF(INDEX(_xlfn.VSTACK(YES_Writing_ELA[#Data],YES_Writing_FLA[#Data]),MATCH($A460,_xlfn.VSTACK(YES_Writing_ELA[Student Number],YES_Writing_FLA[Student Number]),0),MATCH(VLOOKUP(D$7,'Writing Logic'!$J$7:$K$11,2,FALSE)&amp;" - Per "&amp;VLOOKUP($C$4,'Writing Logic'!$G$8:$H$14,2,FALSE),YES_Writing_ELA[#Headers],0))=0,"",INDEX(_xlfn.VSTACK(YES_Writing_ELA[#Data],YES_Writing_FLA[#Data]),MATCH($A460,_xlfn.VSTACK(YES_Writing_ELA[Student Number],YES_Writing_FLA[Student Number]),0),MATCH(VLOOKUP(D$7,'Writing Logic'!$J$7:$K$11,2,FALSE)&amp;" - Per "&amp;VLOOKUP($C$4,'Writing Logic'!$G$8:$H$14,2,FALSE),YES_Writing_ELA[#Headers],0)))="INS",'Writing Logic'!$B$7,IF(INDEX(_xlfn.VSTACK(YES_Writing_ELA[#Data],YES_Writing_FLA[#Data]),MATCH($A460,_xlfn.VSTACK(YES_Writing_ELA[Student Number],YES_Writing_FLA[Student Number]),0),MATCH(VLOOKUP(D$7,'Writing Logic'!$J$7:$K$11,2,FALSE)&amp;" - Per "&amp;VLOOKUP($C$4,'Writing Logic'!$G$8:$H$14,2,FALSE),YES_Writing_ELA[#Headers],0))=0,"",INDEX(_xlfn.VSTACK(YES_Writing_ELA[#Data],YES_Writing_FLA[#Data]),MATCH($A460,_xlfn.VSTACK(YES_Writing_ELA[Student Number],YES_Writing_FLA[Student Number]),0),MATCH(VLOOKUP(D$7,'Writing Logic'!$J$7:$K$11,2,FALSE)&amp;" - Per "&amp;VLOOKUP($C$4,'Writing Logic'!$G$8:$H$14,2,FALSE),YES_Writing_ELA[#Headers],0)))),"")</f>
        <v/>
      </c>
      <c r="E460" s="138" t="str">
        <f>IFERROR(IF(IF(INDEX(_xlfn.VSTACK(YES_Writing_ELA[#Data],YES_Writing_FLA[#Data]),MATCH($A460,_xlfn.VSTACK(YES_Writing_ELA[Student Number],YES_Writing_FLA[Student Number]),0),MATCH(VLOOKUP(E$7,'Writing Logic'!$J$7:$K$11,2,FALSE)&amp;" - Per "&amp;VLOOKUP($C$4,'Writing Logic'!$G$8:$H$14,2,FALSE),YES_Writing_ELA[#Headers],0))=0,"",INDEX(_xlfn.VSTACK(YES_Writing_ELA[#Data],YES_Writing_FLA[#Data]),MATCH($A460,_xlfn.VSTACK(YES_Writing_ELA[Student Number],YES_Writing_FLA[Student Number]),0),MATCH(VLOOKUP(E$7,'Writing Logic'!$J$7:$K$11,2,FALSE)&amp;" - Per "&amp;VLOOKUP($C$4,'Writing Logic'!$G$8:$H$14,2,FALSE),YES_Writing_ELA[#Headers],0)))="INS",'Writing Logic'!$B$7,IF(INDEX(_xlfn.VSTACK(YES_Writing_ELA[#Data],YES_Writing_FLA[#Data]),MATCH($A460,_xlfn.VSTACK(YES_Writing_ELA[Student Number],YES_Writing_FLA[Student Number]),0),MATCH(VLOOKUP(E$7,'Writing Logic'!$J$7:$K$11,2,FALSE)&amp;" - Per "&amp;VLOOKUP($C$4,'Writing Logic'!$G$8:$H$14,2,FALSE),YES_Writing_ELA[#Headers],0))=0,"",INDEX(_xlfn.VSTACK(YES_Writing_ELA[#Data],YES_Writing_FLA[#Data]),MATCH($A460,_xlfn.VSTACK(YES_Writing_ELA[Student Number],YES_Writing_FLA[Student Number]),0),MATCH(VLOOKUP(E$7,'Writing Logic'!$J$7:$K$11,2,FALSE)&amp;" - Per "&amp;VLOOKUP($C$4,'Writing Logic'!$G$8:$H$14,2,FALSE),YES_Writing_ELA[#Headers],0)))),"")</f>
        <v/>
      </c>
      <c r="F460" s="138" t="str">
        <f>IFERROR(IF(IF(INDEX(_xlfn.VSTACK(YES_Writing_ELA[#Data],YES_Writing_FLA[#Data]),MATCH($A460,_xlfn.VSTACK(YES_Writing_ELA[Student Number],YES_Writing_FLA[Student Number]),0),MATCH(VLOOKUP(F$7,'Writing Logic'!$J$7:$K$11,2,FALSE)&amp;" - Per "&amp;VLOOKUP($C$4,'Writing Logic'!$G$8:$H$14,2,FALSE),YES_Writing_ELA[#Headers],0))=0,"",INDEX(_xlfn.VSTACK(YES_Writing_ELA[#Data],YES_Writing_FLA[#Data]),MATCH($A460,_xlfn.VSTACK(YES_Writing_ELA[Student Number],YES_Writing_FLA[Student Number]),0),MATCH(VLOOKUP(F$7,'Writing Logic'!$J$7:$K$11,2,FALSE)&amp;" - Per "&amp;VLOOKUP($C$4,'Writing Logic'!$G$8:$H$14,2,FALSE),YES_Writing_ELA[#Headers],0)))="INS",'Writing Logic'!$B$7,IF(INDEX(_xlfn.VSTACK(YES_Writing_ELA[#Data],YES_Writing_FLA[#Data]),MATCH($A460,_xlfn.VSTACK(YES_Writing_ELA[Student Number],YES_Writing_FLA[Student Number]),0),MATCH(VLOOKUP(F$7,'Writing Logic'!$J$7:$K$11,2,FALSE)&amp;" - Per "&amp;VLOOKUP($C$4,'Writing Logic'!$G$8:$H$14,2,FALSE),YES_Writing_ELA[#Headers],0))=0,"",INDEX(_xlfn.VSTACK(YES_Writing_ELA[#Data],YES_Writing_FLA[#Data]),MATCH($A460,_xlfn.VSTACK(YES_Writing_ELA[Student Number],YES_Writing_FLA[Student Number]),0),MATCH(VLOOKUP(F$7,'Writing Logic'!$J$7:$K$11,2,FALSE)&amp;" - Per "&amp;VLOOKUP($C$4,'Writing Logic'!$G$8:$H$14,2,FALSE),YES_Writing_ELA[#Headers],0)))),"")</f>
        <v/>
      </c>
      <c r="G460" s="138" t="str">
        <f>IFERROR(IF(IF(INDEX(_xlfn.VSTACK(YES_Writing_ELA[#Data],YES_Writing_FLA[#Data]),MATCH($A460,_xlfn.VSTACK(YES_Writing_ELA[Student Number],YES_Writing_FLA[Student Number]),0),MATCH(VLOOKUP(G$7,'Writing Logic'!$J$7:$K$11,2,FALSE)&amp;" - Per "&amp;VLOOKUP($C$4,'Writing Logic'!$G$8:$H$14,2,FALSE),YES_Writing_ELA[#Headers],0))=0,"",INDEX(_xlfn.VSTACK(YES_Writing_ELA[#Data],YES_Writing_FLA[#Data]),MATCH($A460,_xlfn.VSTACK(YES_Writing_ELA[Student Number],YES_Writing_FLA[Student Number]),0),MATCH(VLOOKUP(G$7,'Writing Logic'!$J$7:$K$11,2,FALSE)&amp;" - Per "&amp;VLOOKUP($C$4,'Writing Logic'!$G$8:$H$14,2,FALSE),YES_Writing_ELA[#Headers],0)))="INS",'Writing Logic'!$B$7,IF(INDEX(_xlfn.VSTACK(YES_Writing_ELA[#Data],YES_Writing_FLA[#Data]),MATCH($A460,_xlfn.VSTACK(YES_Writing_ELA[Student Number],YES_Writing_FLA[Student Number]),0),MATCH(VLOOKUP(G$7,'Writing Logic'!$J$7:$K$11,2,FALSE)&amp;" - Per "&amp;VLOOKUP($C$4,'Writing Logic'!$G$8:$H$14,2,FALSE),YES_Writing_ELA[#Headers],0))=0,"",INDEX(_xlfn.VSTACK(YES_Writing_ELA[#Data],YES_Writing_FLA[#Data]),MATCH($A460,_xlfn.VSTACK(YES_Writing_ELA[Student Number],YES_Writing_FLA[Student Number]),0),MATCH(VLOOKUP(G$7,'Writing Logic'!$J$7:$K$11,2,FALSE)&amp;" - Per "&amp;VLOOKUP($C$4,'Writing Logic'!$G$8:$H$14,2,FALSE),YES_Writing_ELA[#Headers],0)))),"")</f>
        <v/>
      </c>
      <c r="H460" s="223" t="str">
        <f>IFERROR(IF(IF(INDEX(_xlfn.VSTACK(YES_Writing_ELA[#Data],YES_Writing_FLA[#Data]),MATCH($A460,_xlfn.VSTACK(YES_Writing_ELA[Student Number],YES_Writing_FLA[Student Number]),0),MATCH(VLOOKUP(H$7,'Writing Logic'!$J$7:$K$11,2,FALSE)&amp;" - Per "&amp;VLOOKUP($C$4,'Writing Logic'!$G$8:$H$14,2,FALSE),YES_Writing_ELA[#Headers],0))=0,"",INDEX(_xlfn.VSTACK(YES_Writing_ELA[#Data],YES_Writing_FLA[#Data]),MATCH($A460,_xlfn.VSTACK(YES_Writing_ELA[Student Number],YES_Writing_FLA[Student Number]),0),MATCH(VLOOKUP(H$7,'Writing Logic'!$J$7:$K$11,2,FALSE)&amp;" - Per "&amp;VLOOKUP($C$4,'Writing Logic'!$G$8:$H$14,2,FALSE),YES_Writing_ELA[#Headers],0)))="INS",'Writing Logic'!$B$7,IF(INDEX(_xlfn.VSTACK(YES_Writing_ELA[#Data],YES_Writing_FLA[#Data]),MATCH($A460,_xlfn.VSTACK(YES_Writing_ELA[Student Number],YES_Writing_FLA[Student Number]),0),MATCH(VLOOKUP(H$7,'Writing Logic'!$J$7:$K$11,2,FALSE)&amp;" - Per "&amp;VLOOKUP($C$4,'Writing Logic'!$G$8:$H$14,2,FALSE),YES_Writing_ELA[#Headers],0))=0,"",INDEX(_xlfn.VSTACK(YES_Writing_ELA[#Data],YES_Writing_FLA[#Data]),MATCH($A460,_xlfn.VSTACK(YES_Writing_ELA[Student Number],YES_Writing_FLA[Student Number]),0),MATCH(VLOOKUP(H$7,'Writing Logic'!$J$7:$K$11,2,FALSE)&amp;" - Per "&amp;VLOOKUP($C$4,'Writing Logic'!$G$8:$H$14,2,FALSE),YES_Writing_ELA[#Headers],0)))),"")</f>
        <v/>
      </c>
      <c r="I460" s="224" t="str" cm="1">
        <f t="array" aca="1" ref="I460" ca="1">IFERROR(
IF($G$3="ELA",
IF(VLOOKUP($A460, YES_Reading_ELA[], COLUMN(INDIRECT("YES_Reading_ELA[Difference - Per "&amp;VLOOKUP($G$4, 'Reading Report Logic'!$A$2:$B$8, 2, FALSE)&amp;"]")), FALSE)="", "",
VLOOKUP($A460,YES_Reading_ELA[], COLUMN(INDIRECT("YES_Reading_ELA[Difference - Per "&amp;VLOOKUP($G$4,'Reading Report Logic'!$A$2:$B$8,2,FALSE)&amp;"]")), FALSE)),
IF($G$3="FLA",
IF(VLOOKUP($A460, YES_Reading_FLA[], COLUMN(INDIRECT("YES_Reading_FLA[Difference - Per "&amp;VLOOKUP($G$4,'Reading Report Logic'!$A$2:$B$8,2,FALSE)&amp;"]")),FALSE)="","",
VLOOKUP($A460,YES_Reading_FLA[],COLUMN(INDIRECT("YES_Reading_FLA[Difference - Per "&amp;VLOOKUP($G$4,'Reading Report Logic'!$A$2:$B$8,2,FALSE)&amp;"]")),FALSE)),
IF($G$3="Combined",
IFERROR(
IF(VLOOKUP($A460, YES_Reading_ELA[], COLUMN(INDIRECT("YES_Reading_ELA[Difference - Per "&amp;VLOOKUP($G$4, 'Reading Report Logic'!$A$2:$B$8,2,FALSE)&amp;"]")), FALSE)="", "",
VLOOKUP($A460,YES_Reading_ELA[],COLUMN(INDIRECT("YES_Reading_ELA[Difference - Per "&amp;VLOOKUP($G$4,'Reading Report Logic'!$A$2:$B$8,2,FALSE)&amp;"]")),FALSE)),
IF(VLOOKUP($A460, YES_Reading_FLA[], COLUMN(INDIRECT("YES_Reading_FLA[Difference - Per "&amp;VLOOKUP($G$4, 'Reading Report Logic'!$A$2:$B$8, 2, FALSE)&amp;"]")),FALSE)="", "", VLOOKUP($A460,YES_Reading_FLA[],COLUMN(INDIRECT("YES_Reading_FLA[Difference - Per "&amp;VLOOKUP($G$4, 'Reading Report Logic'!$A$2:$B$8, 2, FALSE)&amp;"]")),FALSE))),""))),"")</f>
        <v/>
      </c>
    </row>
    <row r="461" spans="1:9" x14ac:dyDescent="0.25">
      <c r="A461" s="137"/>
      <c r="B461" s="137" t="str">
        <f>IFERROR(INDEX(_xlfn.VSTACK(YES_Writing_ELA[#Data], YES_Writing_FLA[#Data]),MATCH($A461,_xlfn.VSTACK(YES_Writing_ELA[Student Number], YES_Writing_FLA[Student Number]),0),MATCH(B$7,YES_Writing_ELA[#Headers],0)),IFERROR(INDEX(_xlfn.VSTACK(YES_Reading_ELA[#Data], YES_Reading_FLA[#Data]),MATCH($A461,_xlfn.VSTACK(YES_Reading_ELA[Student Number], YES_Reading_FLA[Student Number]),0),MATCH(B$7,YES_Reading_ELA[#Headers],0)),""))</f>
        <v/>
      </c>
      <c r="C461" s="137" t="str">
        <f>IFERROR(INDEX(_xlfn.VSTACK(YES_Writing_ELA[#Data], YES_Writing_FLA[#Data]),MATCH($A461,_xlfn.VSTACK(YES_Writing_ELA[Student Number], YES_Writing_FLA[Student Number]),0),MATCH(C$7,YES_Writing_ELA[#Headers],0)),IFERROR(INDEX(_xlfn.VSTACK(YES_Reading_ELA[#Data], YES_Reading_FLA[#Data]),MATCH($A461,_xlfn.VSTACK(YES_Reading_ELA[Student Number], YES_Reading_FLA[Student Number]),0),MATCH(C$7,YES_Reading_ELA[#Headers],0)),""))</f>
        <v/>
      </c>
      <c r="D461" s="138" t="str">
        <f>IFERROR(IF(IF(INDEX(_xlfn.VSTACK(YES_Writing_ELA[#Data],YES_Writing_FLA[#Data]),MATCH($A461,_xlfn.VSTACK(YES_Writing_ELA[Student Number],YES_Writing_FLA[Student Number]),0),MATCH(VLOOKUP(D$7,'Writing Logic'!$J$7:$K$11,2,FALSE)&amp;" - Per "&amp;VLOOKUP($C$4,'Writing Logic'!$G$8:$H$14,2,FALSE),YES_Writing_ELA[#Headers],0))=0,"",INDEX(_xlfn.VSTACK(YES_Writing_ELA[#Data],YES_Writing_FLA[#Data]),MATCH($A461,_xlfn.VSTACK(YES_Writing_ELA[Student Number],YES_Writing_FLA[Student Number]),0),MATCH(VLOOKUP(D$7,'Writing Logic'!$J$7:$K$11,2,FALSE)&amp;" - Per "&amp;VLOOKUP($C$4,'Writing Logic'!$G$8:$H$14,2,FALSE),YES_Writing_ELA[#Headers],0)))="INS",'Writing Logic'!$B$7,IF(INDEX(_xlfn.VSTACK(YES_Writing_ELA[#Data],YES_Writing_FLA[#Data]),MATCH($A461,_xlfn.VSTACK(YES_Writing_ELA[Student Number],YES_Writing_FLA[Student Number]),0),MATCH(VLOOKUP(D$7,'Writing Logic'!$J$7:$K$11,2,FALSE)&amp;" - Per "&amp;VLOOKUP($C$4,'Writing Logic'!$G$8:$H$14,2,FALSE),YES_Writing_ELA[#Headers],0))=0,"",INDEX(_xlfn.VSTACK(YES_Writing_ELA[#Data],YES_Writing_FLA[#Data]),MATCH($A461,_xlfn.VSTACK(YES_Writing_ELA[Student Number],YES_Writing_FLA[Student Number]),0),MATCH(VLOOKUP(D$7,'Writing Logic'!$J$7:$K$11,2,FALSE)&amp;" - Per "&amp;VLOOKUP($C$4,'Writing Logic'!$G$8:$H$14,2,FALSE),YES_Writing_ELA[#Headers],0)))),"")</f>
        <v/>
      </c>
      <c r="E461" s="138" t="str">
        <f>IFERROR(IF(IF(INDEX(_xlfn.VSTACK(YES_Writing_ELA[#Data],YES_Writing_FLA[#Data]),MATCH($A461,_xlfn.VSTACK(YES_Writing_ELA[Student Number],YES_Writing_FLA[Student Number]),0),MATCH(VLOOKUP(E$7,'Writing Logic'!$J$7:$K$11,2,FALSE)&amp;" - Per "&amp;VLOOKUP($C$4,'Writing Logic'!$G$8:$H$14,2,FALSE),YES_Writing_ELA[#Headers],0))=0,"",INDEX(_xlfn.VSTACK(YES_Writing_ELA[#Data],YES_Writing_FLA[#Data]),MATCH($A461,_xlfn.VSTACK(YES_Writing_ELA[Student Number],YES_Writing_FLA[Student Number]),0),MATCH(VLOOKUP(E$7,'Writing Logic'!$J$7:$K$11,2,FALSE)&amp;" - Per "&amp;VLOOKUP($C$4,'Writing Logic'!$G$8:$H$14,2,FALSE),YES_Writing_ELA[#Headers],0)))="INS",'Writing Logic'!$B$7,IF(INDEX(_xlfn.VSTACK(YES_Writing_ELA[#Data],YES_Writing_FLA[#Data]),MATCH($A461,_xlfn.VSTACK(YES_Writing_ELA[Student Number],YES_Writing_FLA[Student Number]),0),MATCH(VLOOKUP(E$7,'Writing Logic'!$J$7:$K$11,2,FALSE)&amp;" - Per "&amp;VLOOKUP($C$4,'Writing Logic'!$G$8:$H$14,2,FALSE),YES_Writing_ELA[#Headers],0))=0,"",INDEX(_xlfn.VSTACK(YES_Writing_ELA[#Data],YES_Writing_FLA[#Data]),MATCH($A461,_xlfn.VSTACK(YES_Writing_ELA[Student Number],YES_Writing_FLA[Student Number]),0),MATCH(VLOOKUP(E$7,'Writing Logic'!$J$7:$K$11,2,FALSE)&amp;" - Per "&amp;VLOOKUP($C$4,'Writing Logic'!$G$8:$H$14,2,FALSE),YES_Writing_ELA[#Headers],0)))),"")</f>
        <v/>
      </c>
      <c r="F461" s="138" t="str">
        <f>IFERROR(IF(IF(INDEX(_xlfn.VSTACK(YES_Writing_ELA[#Data],YES_Writing_FLA[#Data]),MATCH($A461,_xlfn.VSTACK(YES_Writing_ELA[Student Number],YES_Writing_FLA[Student Number]),0),MATCH(VLOOKUP(F$7,'Writing Logic'!$J$7:$K$11,2,FALSE)&amp;" - Per "&amp;VLOOKUP($C$4,'Writing Logic'!$G$8:$H$14,2,FALSE),YES_Writing_ELA[#Headers],0))=0,"",INDEX(_xlfn.VSTACK(YES_Writing_ELA[#Data],YES_Writing_FLA[#Data]),MATCH($A461,_xlfn.VSTACK(YES_Writing_ELA[Student Number],YES_Writing_FLA[Student Number]),0),MATCH(VLOOKUP(F$7,'Writing Logic'!$J$7:$K$11,2,FALSE)&amp;" - Per "&amp;VLOOKUP($C$4,'Writing Logic'!$G$8:$H$14,2,FALSE),YES_Writing_ELA[#Headers],0)))="INS",'Writing Logic'!$B$7,IF(INDEX(_xlfn.VSTACK(YES_Writing_ELA[#Data],YES_Writing_FLA[#Data]),MATCH($A461,_xlfn.VSTACK(YES_Writing_ELA[Student Number],YES_Writing_FLA[Student Number]),0),MATCH(VLOOKUP(F$7,'Writing Logic'!$J$7:$K$11,2,FALSE)&amp;" - Per "&amp;VLOOKUP($C$4,'Writing Logic'!$G$8:$H$14,2,FALSE),YES_Writing_ELA[#Headers],0))=0,"",INDEX(_xlfn.VSTACK(YES_Writing_ELA[#Data],YES_Writing_FLA[#Data]),MATCH($A461,_xlfn.VSTACK(YES_Writing_ELA[Student Number],YES_Writing_FLA[Student Number]),0),MATCH(VLOOKUP(F$7,'Writing Logic'!$J$7:$K$11,2,FALSE)&amp;" - Per "&amp;VLOOKUP($C$4,'Writing Logic'!$G$8:$H$14,2,FALSE),YES_Writing_ELA[#Headers],0)))),"")</f>
        <v/>
      </c>
      <c r="G461" s="138" t="str">
        <f>IFERROR(IF(IF(INDEX(_xlfn.VSTACK(YES_Writing_ELA[#Data],YES_Writing_FLA[#Data]),MATCH($A461,_xlfn.VSTACK(YES_Writing_ELA[Student Number],YES_Writing_FLA[Student Number]),0),MATCH(VLOOKUP(G$7,'Writing Logic'!$J$7:$K$11,2,FALSE)&amp;" - Per "&amp;VLOOKUP($C$4,'Writing Logic'!$G$8:$H$14,2,FALSE),YES_Writing_ELA[#Headers],0))=0,"",INDEX(_xlfn.VSTACK(YES_Writing_ELA[#Data],YES_Writing_FLA[#Data]),MATCH($A461,_xlfn.VSTACK(YES_Writing_ELA[Student Number],YES_Writing_FLA[Student Number]),0),MATCH(VLOOKUP(G$7,'Writing Logic'!$J$7:$K$11,2,FALSE)&amp;" - Per "&amp;VLOOKUP($C$4,'Writing Logic'!$G$8:$H$14,2,FALSE),YES_Writing_ELA[#Headers],0)))="INS",'Writing Logic'!$B$7,IF(INDEX(_xlfn.VSTACK(YES_Writing_ELA[#Data],YES_Writing_FLA[#Data]),MATCH($A461,_xlfn.VSTACK(YES_Writing_ELA[Student Number],YES_Writing_FLA[Student Number]),0),MATCH(VLOOKUP(G$7,'Writing Logic'!$J$7:$K$11,2,FALSE)&amp;" - Per "&amp;VLOOKUP($C$4,'Writing Logic'!$G$8:$H$14,2,FALSE),YES_Writing_ELA[#Headers],0))=0,"",INDEX(_xlfn.VSTACK(YES_Writing_ELA[#Data],YES_Writing_FLA[#Data]),MATCH($A461,_xlfn.VSTACK(YES_Writing_ELA[Student Number],YES_Writing_FLA[Student Number]),0),MATCH(VLOOKUP(G$7,'Writing Logic'!$J$7:$K$11,2,FALSE)&amp;" - Per "&amp;VLOOKUP($C$4,'Writing Logic'!$G$8:$H$14,2,FALSE),YES_Writing_ELA[#Headers],0)))),"")</f>
        <v/>
      </c>
      <c r="H461" s="223" t="str">
        <f>IFERROR(IF(IF(INDEX(_xlfn.VSTACK(YES_Writing_ELA[#Data],YES_Writing_FLA[#Data]),MATCH($A461,_xlfn.VSTACK(YES_Writing_ELA[Student Number],YES_Writing_FLA[Student Number]),0),MATCH(VLOOKUP(H$7,'Writing Logic'!$J$7:$K$11,2,FALSE)&amp;" - Per "&amp;VLOOKUP($C$4,'Writing Logic'!$G$8:$H$14,2,FALSE),YES_Writing_ELA[#Headers],0))=0,"",INDEX(_xlfn.VSTACK(YES_Writing_ELA[#Data],YES_Writing_FLA[#Data]),MATCH($A461,_xlfn.VSTACK(YES_Writing_ELA[Student Number],YES_Writing_FLA[Student Number]),0),MATCH(VLOOKUP(H$7,'Writing Logic'!$J$7:$K$11,2,FALSE)&amp;" - Per "&amp;VLOOKUP($C$4,'Writing Logic'!$G$8:$H$14,2,FALSE),YES_Writing_ELA[#Headers],0)))="INS",'Writing Logic'!$B$7,IF(INDEX(_xlfn.VSTACK(YES_Writing_ELA[#Data],YES_Writing_FLA[#Data]),MATCH($A461,_xlfn.VSTACK(YES_Writing_ELA[Student Number],YES_Writing_FLA[Student Number]),0),MATCH(VLOOKUP(H$7,'Writing Logic'!$J$7:$K$11,2,FALSE)&amp;" - Per "&amp;VLOOKUP($C$4,'Writing Logic'!$G$8:$H$14,2,FALSE),YES_Writing_ELA[#Headers],0))=0,"",INDEX(_xlfn.VSTACK(YES_Writing_ELA[#Data],YES_Writing_FLA[#Data]),MATCH($A461,_xlfn.VSTACK(YES_Writing_ELA[Student Number],YES_Writing_FLA[Student Number]),0),MATCH(VLOOKUP(H$7,'Writing Logic'!$J$7:$K$11,2,FALSE)&amp;" - Per "&amp;VLOOKUP($C$4,'Writing Logic'!$G$8:$H$14,2,FALSE),YES_Writing_ELA[#Headers],0)))),"")</f>
        <v/>
      </c>
      <c r="I461" s="224" t="str" cm="1">
        <f t="array" aca="1" ref="I461" ca="1">IFERROR(
IF($G$3="ELA",
IF(VLOOKUP($A461, YES_Reading_ELA[], COLUMN(INDIRECT("YES_Reading_ELA[Difference - Per "&amp;VLOOKUP($G$4, 'Reading Report Logic'!$A$2:$B$8, 2, FALSE)&amp;"]")), FALSE)="", "",
VLOOKUP($A461,YES_Reading_ELA[], COLUMN(INDIRECT("YES_Reading_ELA[Difference - Per "&amp;VLOOKUP($G$4,'Reading Report Logic'!$A$2:$B$8,2,FALSE)&amp;"]")), FALSE)),
IF($G$3="FLA",
IF(VLOOKUP($A461, YES_Reading_FLA[], COLUMN(INDIRECT("YES_Reading_FLA[Difference - Per "&amp;VLOOKUP($G$4,'Reading Report Logic'!$A$2:$B$8,2,FALSE)&amp;"]")),FALSE)="","",
VLOOKUP($A461,YES_Reading_FLA[],COLUMN(INDIRECT("YES_Reading_FLA[Difference - Per "&amp;VLOOKUP($G$4,'Reading Report Logic'!$A$2:$B$8,2,FALSE)&amp;"]")),FALSE)),
IF($G$3="Combined",
IFERROR(
IF(VLOOKUP($A461, YES_Reading_ELA[], COLUMN(INDIRECT("YES_Reading_ELA[Difference - Per "&amp;VLOOKUP($G$4, 'Reading Report Logic'!$A$2:$B$8,2,FALSE)&amp;"]")), FALSE)="", "",
VLOOKUP($A461,YES_Reading_ELA[],COLUMN(INDIRECT("YES_Reading_ELA[Difference - Per "&amp;VLOOKUP($G$4,'Reading Report Logic'!$A$2:$B$8,2,FALSE)&amp;"]")),FALSE)),
IF(VLOOKUP($A461, YES_Reading_FLA[], COLUMN(INDIRECT("YES_Reading_FLA[Difference - Per "&amp;VLOOKUP($G$4, 'Reading Report Logic'!$A$2:$B$8, 2, FALSE)&amp;"]")),FALSE)="", "", VLOOKUP($A461,YES_Reading_FLA[],COLUMN(INDIRECT("YES_Reading_FLA[Difference - Per "&amp;VLOOKUP($G$4, 'Reading Report Logic'!$A$2:$B$8, 2, FALSE)&amp;"]")),FALSE))),""))),"")</f>
        <v/>
      </c>
    </row>
    <row r="462" spans="1:9" x14ac:dyDescent="0.25">
      <c r="A462" s="137"/>
      <c r="B462" s="137" t="str">
        <f>IFERROR(INDEX(_xlfn.VSTACK(YES_Writing_ELA[#Data], YES_Writing_FLA[#Data]),MATCH($A462,_xlfn.VSTACK(YES_Writing_ELA[Student Number], YES_Writing_FLA[Student Number]),0),MATCH(B$7,YES_Writing_ELA[#Headers],0)),IFERROR(INDEX(_xlfn.VSTACK(YES_Reading_ELA[#Data], YES_Reading_FLA[#Data]),MATCH($A462,_xlfn.VSTACK(YES_Reading_ELA[Student Number], YES_Reading_FLA[Student Number]),0),MATCH(B$7,YES_Reading_ELA[#Headers],0)),""))</f>
        <v/>
      </c>
      <c r="C462" s="137" t="str">
        <f>IFERROR(INDEX(_xlfn.VSTACK(YES_Writing_ELA[#Data], YES_Writing_FLA[#Data]),MATCH($A462,_xlfn.VSTACK(YES_Writing_ELA[Student Number], YES_Writing_FLA[Student Number]),0),MATCH(C$7,YES_Writing_ELA[#Headers],0)),IFERROR(INDEX(_xlfn.VSTACK(YES_Reading_ELA[#Data], YES_Reading_FLA[#Data]),MATCH($A462,_xlfn.VSTACK(YES_Reading_ELA[Student Number], YES_Reading_FLA[Student Number]),0),MATCH(C$7,YES_Reading_ELA[#Headers],0)),""))</f>
        <v/>
      </c>
      <c r="D462" s="138" t="str">
        <f>IFERROR(IF(IF(INDEX(_xlfn.VSTACK(YES_Writing_ELA[#Data],YES_Writing_FLA[#Data]),MATCH($A462,_xlfn.VSTACK(YES_Writing_ELA[Student Number],YES_Writing_FLA[Student Number]),0),MATCH(VLOOKUP(D$7,'Writing Logic'!$J$7:$K$11,2,FALSE)&amp;" - Per "&amp;VLOOKUP($C$4,'Writing Logic'!$G$8:$H$14,2,FALSE),YES_Writing_ELA[#Headers],0))=0,"",INDEX(_xlfn.VSTACK(YES_Writing_ELA[#Data],YES_Writing_FLA[#Data]),MATCH($A462,_xlfn.VSTACK(YES_Writing_ELA[Student Number],YES_Writing_FLA[Student Number]),0),MATCH(VLOOKUP(D$7,'Writing Logic'!$J$7:$K$11,2,FALSE)&amp;" - Per "&amp;VLOOKUP($C$4,'Writing Logic'!$G$8:$H$14,2,FALSE),YES_Writing_ELA[#Headers],0)))="INS",'Writing Logic'!$B$7,IF(INDEX(_xlfn.VSTACK(YES_Writing_ELA[#Data],YES_Writing_FLA[#Data]),MATCH($A462,_xlfn.VSTACK(YES_Writing_ELA[Student Number],YES_Writing_FLA[Student Number]),0),MATCH(VLOOKUP(D$7,'Writing Logic'!$J$7:$K$11,2,FALSE)&amp;" - Per "&amp;VLOOKUP($C$4,'Writing Logic'!$G$8:$H$14,2,FALSE),YES_Writing_ELA[#Headers],0))=0,"",INDEX(_xlfn.VSTACK(YES_Writing_ELA[#Data],YES_Writing_FLA[#Data]),MATCH($A462,_xlfn.VSTACK(YES_Writing_ELA[Student Number],YES_Writing_FLA[Student Number]),0),MATCH(VLOOKUP(D$7,'Writing Logic'!$J$7:$K$11,2,FALSE)&amp;" - Per "&amp;VLOOKUP($C$4,'Writing Logic'!$G$8:$H$14,2,FALSE),YES_Writing_ELA[#Headers],0)))),"")</f>
        <v/>
      </c>
      <c r="E462" s="138" t="str">
        <f>IFERROR(IF(IF(INDEX(_xlfn.VSTACK(YES_Writing_ELA[#Data],YES_Writing_FLA[#Data]),MATCH($A462,_xlfn.VSTACK(YES_Writing_ELA[Student Number],YES_Writing_FLA[Student Number]),0),MATCH(VLOOKUP(E$7,'Writing Logic'!$J$7:$K$11,2,FALSE)&amp;" - Per "&amp;VLOOKUP($C$4,'Writing Logic'!$G$8:$H$14,2,FALSE),YES_Writing_ELA[#Headers],0))=0,"",INDEX(_xlfn.VSTACK(YES_Writing_ELA[#Data],YES_Writing_FLA[#Data]),MATCH($A462,_xlfn.VSTACK(YES_Writing_ELA[Student Number],YES_Writing_FLA[Student Number]),0),MATCH(VLOOKUP(E$7,'Writing Logic'!$J$7:$K$11,2,FALSE)&amp;" - Per "&amp;VLOOKUP($C$4,'Writing Logic'!$G$8:$H$14,2,FALSE),YES_Writing_ELA[#Headers],0)))="INS",'Writing Logic'!$B$7,IF(INDEX(_xlfn.VSTACK(YES_Writing_ELA[#Data],YES_Writing_FLA[#Data]),MATCH($A462,_xlfn.VSTACK(YES_Writing_ELA[Student Number],YES_Writing_FLA[Student Number]),0),MATCH(VLOOKUP(E$7,'Writing Logic'!$J$7:$K$11,2,FALSE)&amp;" - Per "&amp;VLOOKUP($C$4,'Writing Logic'!$G$8:$H$14,2,FALSE),YES_Writing_ELA[#Headers],0))=0,"",INDEX(_xlfn.VSTACK(YES_Writing_ELA[#Data],YES_Writing_FLA[#Data]),MATCH($A462,_xlfn.VSTACK(YES_Writing_ELA[Student Number],YES_Writing_FLA[Student Number]),0),MATCH(VLOOKUP(E$7,'Writing Logic'!$J$7:$K$11,2,FALSE)&amp;" - Per "&amp;VLOOKUP($C$4,'Writing Logic'!$G$8:$H$14,2,FALSE),YES_Writing_ELA[#Headers],0)))),"")</f>
        <v/>
      </c>
      <c r="F462" s="138" t="str">
        <f>IFERROR(IF(IF(INDEX(_xlfn.VSTACK(YES_Writing_ELA[#Data],YES_Writing_FLA[#Data]),MATCH($A462,_xlfn.VSTACK(YES_Writing_ELA[Student Number],YES_Writing_FLA[Student Number]),0),MATCH(VLOOKUP(F$7,'Writing Logic'!$J$7:$K$11,2,FALSE)&amp;" - Per "&amp;VLOOKUP($C$4,'Writing Logic'!$G$8:$H$14,2,FALSE),YES_Writing_ELA[#Headers],0))=0,"",INDEX(_xlfn.VSTACK(YES_Writing_ELA[#Data],YES_Writing_FLA[#Data]),MATCH($A462,_xlfn.VSTACK(YES_Writing_ELA[Student Number],YES_Writing_FLA[Student Number]),0),MATCH(VLOOKUP(F$7,'Writing Logic'!$J$7:$K$11,2,FALSE)&amp;" - Per "&amp;VLOOKUP($C$4,'Writing Logic'!$G$8:$H$14,2,FALSE),YES_Writing_ELA[#Headers],0)))="INS",'Writing Logic'!$B$7,IF(INDEX(_xlfn.VSTACK(YES_Writing_ELA[#Data],YES_Writing_FLA[#Data]),MATCH($A462,_xlfn.VSTACK(YES_Writing_ELA[Student Number],YES_Writing_FLA[Student Number]),0),MATCH(VLOOKUP(F$7,'Writing Logic'!$J$7:$K$11,2,FALSE)&amp;" - Per "&amp;VLOOKUP($C$4,'Writing Logic'!$G$8:$H$14,2,FALSE),YES_Writing_ELA[#Headers],0))=0,"",INDEX(_xlfn.VSTACK(YES_Writing_ELA[#Data],YES_Writing_FLA[#Data]),MATCH($A462,_xlfn.VSTACK(YES_Writing_ELA[Student Number],YES_Writing_FLA[Student Number]),0),MATCH(VLOOKUP(F$7,'Writing Logic'!$J$7:$K$11,2,FALSE)&amp;" - Per "&amp;VLOOKUP($C$4,'Writing Logic'!$G$8:$H$14,2,FALSE),YES_Writing_ELA[#Headers],0)))),"")</f>
        <v/>
      </c>
      <c r="G462" s="138" t="str">
        <f>IFERROR(IF(IF(INDEX(_xlfn.VSTACK(YES_Writing_ELA[#Data],YES_Writing_FLA[#Data]),MATCH($A462,_xlfn.VSTACK(YES_Writing_ELA[Student Number],YES_Writing_FLA[Student Number]),0),MATCH(VLOOKUP(G$7,'Writing Logic'!$J$7:$K$11,2,FALSE)&amp;" - Per "&amp;VLOOKUP($C$4,'Writing Logic'!$G$8:$H$14,2,FALSE),YES_Writing_ELA[#Headers],0))=0,"",INDEX(_xlfn.VSTACK(YES_Writing_ELA[#Data],YES_Writing_FLA[#Data]),MATCH($A462,_xlfn.VSTACK(YES_Writing_ELA[Student Number],YES_Writing_FLA[Student Number]),0),MATCH(VLOOKUP(G$7,'Writing Logic'!$J$7:$K$11,2,FALSE)&amp;" - Per "&amp;VLOOKUP($C$4,'Writing Logic'!$G$8:$H$14,2,FALSE),YES_Writing_ELA[#Headers],0)))="INS",'Writing Logic'!$B$7,IF(INDEX(_xlfn.VSTACK(YES_Writing_ELA[#Data],YES_Writing_FLA[#Data]),MATCH($A462,_xlfn.VSTACK(YES_Writing_ELA[Student Number],YES_Writing_FLA[Student Number]),0),MATCH(VLOOKUP(G$7,'Writing Logic'!$J$7:$K$11,2,FALSE)&amp;" - Per "&amp;VLOOKUP($C$4,'Writing Logic'!$G$8:$H$14,2,FALSE),YES_Writing_ELA[#Headers],0))=0,"",INDEX(_xlfn.VSTACK(YES_Writing_ELA[#Data],YES_Writing_FLA[#Data]),MATCH($A462,_xlfn.VSTACK(YES_Writing_ELA[Student Number],YES_Writing_FLA[Student Number]),0),MATCH(VLOOKUP(G$7,'Writing Logic'!$J$7:$K$11,2,FALSE)&amp;" - Per "&amp;VLOOKUP($C$4,'Writing Logic'!$G$8:$H$14,2,FALSE),YES_Writing_ELA[#Headers],0)))),"")</f>
        <v/>
      </c>
      <c r="H462" s="223" t="str">
        <f>IFERROR(IF(IF(INDEX(_xlfn.VSTACK(YES_Writing_ELA[#Data],YES_Writing_FLA[#Data]),MATCH($A462,_xlfn.VSTACK(YES_Writing_ELA[Student Number],YES_Writing_FLA[Student Number]),0),MATCH(VLOOKUP(H$7,'Writing Logic'!$J$7:$K$11,2,FALSE)&amp;" - Per "&amp;VLOOKUP($C$4,'Writing Logic'!$G$8:$H$14,2,FALSE),YES_Writing_ELA[#Headers],0))=0,"",INDEX(_xlfn.VSTACK(YES_Writing_ELA[#Data],YES_Writing_FLA[#Data]),MATCH($A462,_xlfn.VSTACK(YES_Writing_ELA[Student Number],YES_Writing_FLA[Student Number]),0),MATCH(VLOOKUP(H$7,'Writing Logic'!$J$7:$K$11,2,FALSE)&amp;" - Per "&amp;VLOOKUP($C$4,'Writing Logic'!$G$8:$H$14,2,FALSE),YES_Writing_ELA[#Headers],0)))="INS",'Writing Logic'!$B$7,IF(INDEX(_xlfn.VSTACK(YES_Writing_ELA[#Data],YES_Writing_FLA[#Data]),MATCH($A462,_xlfn.VSTACK(YES_Writing_ELA[Student Number],YES_Writing_FLA[Student Number]),0),MATCH(VLOOKUP(H$7,'Writing Logic'!$J$7:$K$11,2,FALSE)&amp;" - Per "&amp;VLOOKUP($C$4,'Writing Logic'!$G$8:$H$14,2,FALSE),YES_Writing_ELA[#Headers],0))=0,"",INDEX(_xlfn.VSTACK(YES_Writing_ELA[#Data],YES_Writing_FLA[#Data]),MATCH($A462,_xlfn.VSTACK(YES_Writing_ELA[Student Number],YES_Writing_FLA[Student Number]),0),MATCH(VLOOKUP(H$7,'Writing Logic'!$J$7:$K$11,2,FALSE)&amp;" - Per "&amp;VLOOKUP($C$4,'Writing Logic'!$G$8:$H$14,2,FALSE),YES_Writing_ELA[#Headers],0)))),"")</f>
        <v/>
      </c>
      <c r="I462" s="224" t="str" cm="1">
        <f t="array" aca="1" ref="I462" ca="1">IFERROR(
IF($G$3="ELA",
IF(VLOOKUP($A462, YES_Reading_ELA[], COLUMN(INDIRECT("YES_Reading_ELA[Difference - Per "&amp;VLOOKUP($G$4, 'Reading Report Logic'!$A$2:$B$8, 2, FALSE)&amp;"]")), FALSE)="", "",
VLOOKUP($A462,YES_Reading_ELA[], COLUMN(INDIRECT("YES_Reading_ELA[Difference - Per "&amp;VLOOKUP($G$4,'Reading Report Logic'!$A$2:$B$8,2,FALSE)&amp;"]")), FALSE)),
IF($G$3="FLA",
IF(VLOOKUP($A462, YES_Reading_FLA[], COLUMN(INDIRECT("YES_Reading_FLA[Difference - Per "&amp;VLOOKUP($G$4,'Reading Report Logic'!$A$2:$B$8,2,FALSE)&amp;"]")),FALSE)="","",
VLOOKUP($A462,YES_Reading_FLA[],COLUMN(INDIRECT("YES_Reading_FLA[Difference - Per "&amp;VLOOKUP($G$4,'Reading Report Logic'!$A$2:$B$8,2,FALSE)&amp;"]")),FALSE)),
IF($G$3="Combined",
IFERROR(
IF(VLOOKUP($A462, YES_Reading_ELA[], COLUMN(INDIRECT("YES_Reading_ELA[Difference - Per "&amp;VLOOKUP($G$4, 'Reading Report Logic'!$A$2:$B$8,2,FALSE)&amp;"]")), FALSE)="", "",
VLOOKUP($A462,YES_Reading_ELA[],COLUMN(INDIRECT("YES_Reading_ELA[Difference - Per "&amp;VLOOKUP($G$4,'Reading Report Logic'!$A$2:$B$8,2,FALSE)&amp;"]")),FALSE)),
IF(VLOOKUP($A462, YES_Reading_FLA[], COLUMN(INDIRECT("YES_Reading_FLA[Difference - Per "&amp;VLOOKUP($G$4, 'Reading Report Logic'!$A$2:$B$8, 2, FALSE)&amp;"]")),FALSE)="", "", VLOOKUP($A462,YES_Reading_FLA[],COLUMN(INDIRECT("YES_Reading_FLA[Difference - Per "&amp;VLOOKUP($G$4, 'Reading Report Logic'!$A$2:$B$8, 2, FALSE)&amp;"]")),FALSE))),""))),"")</f>
        <v/>
      </c>
    </row>
    <row r="463" spans="1:9" x14ac:dyDescent="0.25">
      <c r="A463" s="137"/>
      <c r="B463" s="137" t="str">
        <f>IFERROR(INDEX(_xlfn.VSTACK(YES_Writing_ELA[#Data], YES_Writing_FLA[#Data]),MATCH($A463,_xlfn.VSTACK(YES_Writing_ELA[Student Number], YES_Writing_FLA[Student Number]),0),MATCH(B$7,YES_Writing_ELA[#Headers],0)),IFERROR(INDEX(_xlfn.VSTACK(YES_Reading_ELA[#Data], YES_Reading_FLA[#Data]),MATCH($A463,_xlfn.VSTACK(YES_Reading_ELA[Student Number], YES_Reading_FLA[Student Number]),0),MATCH(B$7,YES_Reading_ELA[#Headers],0)),""))</f>
        <v/>
      </c>
      <c r="C463" s="137" t="str">
        <f>IFERROR(INDEX(_xlfn.VSTACK(YES_Writing_ELA[#Data], YES_Writing_FLA[#Data]),MATCH($A463,_xlfn.VSTACK(YES_Writing_ELA[Student Number], YES_Writing_FLA[Student Number]),0),MATCH(C$7,YES_Writing_ELA[#Headers],0)),IFERROR(INDEX(_xlfn.VSTACK(YES_Reading_ELA[#Data], YES_Reading_FLA[#Data]),MATCH($A463,_xlfn.VSTACK(YES_Reading_ELA[Student Number], YES_Reading_FLA[Student Number]),0),MATCH(C$7,YES_Reading_ELA[#Headers],0)),""))</f>
        <v/>
      </c>
      <c r="D463" s="138" t="str">
        <f>IFERROR(IF(IF(INDEX(_xlfn.VSTACK(YES_Writing_ELA[#Data],YES_Writing_FLA[#Data]),MATCH($A463,_xlfn.VSTACK(YES_Writing_ELA[Student Number],YES_Writing_FLA[Student Number]),0),MATCH(VLOOKUP(D$7,'Writing Logic'!$J$7:$K$11,2,FALSE)&amp;" - Per "&amp;VLOOKUP($C$4,'Writing Logic'!$G$8:$H$14,2,FALSE),YES_Writing_ELA[#Headers],0))=0,"",INDEX(_xlfn.VSTACK(YES_Writing_ELA[#Data],YES_Writing_FLA[#Data]),MATCH($A463,_xlfn.VSTACK(YES_Writing_ELA[Student Number],YES_Writing_FLA[Student Number]),0),MATCH(VLOOKUP(D$7,'Writing Logic'!$J$7:$K$11,2,FALSE)&amp;" - Per "&amp;VLOOKUP($C$4,'Writing Logic'!$G$8:$H$14,2,FALSE),YES_Writing_ELA[#Headers],0)))="INS",'Writing Logic'!$B$7,IF(INDEX(_xlfn.VSTACK(YES_Writing_ELA[#Data],YES_Writing_FLA[#Data]),MATCH($A463,_xlfn.VSTACK(YES_Writing_ELA[Student Number],YES_Writing_FLA[Student Number]),0),MATCH(VLOOKUP(D$7,'Writing Logic'!$J$7:$K$11,2,FALSE)&amp;" - Per "&amp;VLOOKUP($C$4,'Writing Logic'!$G$8:$H$14,2,FALSE),YES_Writing_ELA[#Headers],0))=0,"",INDEX(_xlfn.VSTACK(YES_Writing_ELA[#Data],YES_Writing_FLA[#Data]),MATCH($A463,_xlfn.VSTACK(YES_Writing_ELA[Student Number],YES_Writing_FLA[Student Number]),0),MATCH(VLOOKUP(D$7,'Writing Logic'!$J$7:$K$11,2,FALSE)&amp;" - Per "&amp;VLOOKUP($C$4,'Writing Logic'!$G$8:$H$14,2,FALSE),YES_Writing_ELA[#Headers],0)))),"")</f>
        <v/>
      </c>
      <c r="E463" s="138" t="str">
        <f>IFERROR(IF(IF(INDEX(_xlfn.VSTACK(YES_Writing_ELA[#Data],YES_Writing_FLA[#Data]),MATCH($A463,_xlfn.VSTACK(YES_Writing_ELA[Student Number],YES_Writing_FLA[Student Number]),0),MATCH(VLOOKUP(E$7,'Writing Logic'!$J$7:$K$11,2,FALSE)&amp;" - Per "&amp;VLOOKUP($C$4,'Writing Logic'!$G$8:$H$14,2,FALSE),YES_Writing_ELA[#Headers],0))=0,"",INDEX(_xlfn.VSTACK(YES_Writing_ELA[#Data],YES_Writing_FLA[#Data]),MATCH($A463,_xlfn.VSTACK(YES_Writing_ELA[Student Number],YES_Writing_FLA[Student Number]),0),MATCH(VLOOKUP(E$7,'Writing Logic'!$J$7:$K$11,2,FALSE)&amp;" - Per "&amp;VLOOKUP($C$4,'Writing Logic'!$G$8:$H$14,2,FALSE),YES_Writing_ELA[#Headers],0)))="INS",'Writing Logic'!$B$7,IF(INDEX(_xlfn.VSTACK(YES_Writing_ELA[#Data],YES_Writing_FLA[#Data]),MATCH($A463,_xlfn.VSTACK(YES_Writing_ELA[Student Number],YES_Writing_FLA[Student Number]),0),MATCH(VLOOKUP(E$7,'Writing Logic'!$J$7:$K$11,2,FALSE)&amp;" - Per "&amp;VLOOKUP($C$4,'Writing Logic'!$G$8:$H$14,2,FALSE),YES_Writing_ELA[#Headers],0))=0,"",INDEX(_xlfn.VSTACK(YES_Writing_ELA[#Data],YES_Writing_FLA[#Data]),MATCH($A463,_xlfn.VSTACK(YES_Writing_ELA[Student Number],YES_Writing_FLA[Student Number]),0),MATCH(VLOOKUP(E$7,'Writing Logic'!$J$7:$K$11,2,FALSE)&amp;" - Per "&amp;VLOOKUP($C$4,'Writing Logic'!$G$8:$H$14,2,FALSE),YES_Writing_ELA[#Headers],0)))),"")</f>
        <v/>
      </c>
      <c r="F463" s="138" t="str">
        <f>IFERROR(IF(IF(INDEX(_xlfn.VSTACK(YES_Writing_ELA[#Data],YES_Writing_FLA[#Data]),MATCH($A463,_xlfn.VSTACK(YES_Writing_ELA[Student Number],YES_Writing_FLA[Student Number]),0),MATCH(VLOOKUP(F$7,'Writing Logic'!$J$7:$K$11,2,FALSE)&amp;" - Per "&amp;VLOOKUP($C$4,'Writing Logic'!$G$8:$H$14,2,FALSE),YES_Writing_ELA[#Headers],0))=0,"",INDEX(_xlfn.VSTACK(YES_Writing_ELA[#Data],YES_Writing_FLA[#Data]),MATCH($A463,_xlfn.VSTACK(YES_Writing_ELA[Student Number],YES_Writing_FLA[Student Number]),0),MATCH(VLOOKUP(F$7,'Writing Logic'!$J$7:$K$11,2,FALSE)&amp;" - Per "&amp;VLOOKUP($C$4,'Writing Logic'!$G$8:$H$14,2,FALSE),YES_Writing_ELA[#Headers],0)))="INS",'Writing Logic'!$B$7,IF(INDEX(_xlfn.VSTACK(YES_Writing_ELA[#Data],YES_Writing_FLA[#Data]),MATCH($A463,_xlfn.VSTACK(YES_Writing_ELA[Student Number],YES_Writing_FLA[Student Number]),0),MATCH(VLOOKUP(F$7,'Writing Logic'!$J$7:$K$11,2,FALSE)&amp;" - Per "&amp;VLOOKUP($C$4,'Writing Logic'!$G$8:$H$14,2,FALSE),YES_Writing_ELA[#Headers],0))=0,"",INDEX(_xlfn.VSTACK(YES_Writing_ELA[#Data],YES_Writing_FLA[#Data]),MATCH($A463,_xlfn.VSTACK(YES_Writing_ELA[Student Number],YES_Writing_FLA[Student Number]),0),MATCH(VLOOKUP(F$7,'Writing Logic'!$J$7:$K$11,2,FALSE)&amp;" - Per "&amp;VLOOKUP($C$4,'Writing Logic'!$G$8:$H$14,2,FALSE),YES_Writing_ELA[#Headers],0)))),"")</f>
        <v/>
      </c>
      <c r="G463" s="138" t="str">
        <f>IFERROR(IF(IF(INDEX(_xlfn.VSTACK(YES_Writing_ELA[#Data],YES_Writing_FLA[#Data]),MATCH($A463,_xlfn.VSTACK(YES_Writing_ELA[Student Number],YES_Writing_FLA[Student Number]),0),MATCH(VLOOKUP(G$7,'Writing Logic'!$J$7:$K$11,2,FALSE)&amp;" - Per "&amp;VLOOKUP($C$4,'Writing Logic'!$G$8:$H$14,2,FALSE),YES_Writing_ELA[#Headers],0))=0,"",INDEX(_xlfn.VSTACK(YES_Writing_ELA[#Data],YES_Writing_FLA[#Data]),MATCH($A463,_xlfn.VSTACK(YES_Writing_ELA[Student Number],YES_Writing_FLA[Student Number]),0),MATCH(VLOOKUP(G$7,'Writing Logic'!$J$7:$K$11,2,FALSE)&amp;" - Per "&amp;VLOOKUP($C$4,'Writing Logic'!$G$8:$H$14,2,FALSE),YES_Writing_ELA[#Headers],0)))="INS",'Writing Logic'!$B$7,IF(INDEX(_xlfn.VSTACK(YES_Writing_ELA[#Data],YES_Writing_FLA[#Data]),MATCH($A463,_xlfn.VSTACK(YES_Writing_ELA[Student Number],YES_Writing_FLA[Student Number]),0),MATCH(VLOOKUP(G$7,'Writing Logic'!$J$7:$K$11,2,FALSE)&amp;" - Per "&amp;VLOOKUP($C$4,'Writing Logic'!$G$8:$H$14,2,FALSE),YES_Writing_ELA[#Headers],0))=0,"",INDEX(_xlfn.VSTACK(YES_Writing_ELA[#Data],YES_Writing_FLA[#Data]),MATCH($A463,_xlfn.VSTACK(YES_Writing_ELA[Student Number],YES_Writing_FLA[Student Number]),0),MATCH(VLOOKUP(G$7,'Writing Logic'!$J$7:$K$11,2,FALSE)&amp;" - Per "&amp;VLOOKUP($C$4,'Writing Logic'!$G$8:$H$14,2,FALSE),YES_Writing_ELA[#Headers],0)))),"")</f>
        <v/>
      </c>
      <c r="H463" s="223" t="str">
        <f>IFERROR(IF(IF(INDEX(_xlfn.VSTACK(YES_Writing_ELA[#Data],YES_Writing_FLA[#Data]),MATCH($A463,_xlfn.VSTACK(YES_Writing_ELA[Student Number],YES_Writing_FLA[Student Number]),0),MATCH(VLOOKUP(H$7,'Writing Logic'!$J$7:$K$11,2,FALSE)&amp;" - Per "&amp;VLOOKUP($C$4,'Writing Logic'!$G$8:$H$14,2,FALSE),YES_Writing_ELA[#Headers],0))=0,"",INDEX(_xlfn.VSTACK(YES_Writing_ELA[#Data],YES_Writing_FLA[#Data]),MATCH($A463,_xlfn.VSTACK(YES_Writing_ELA[Student Number],YES_Writing_FLA[Student Number]),0),MATCH(VLOOKUP(H$7,'Writing Logic'!$J$7:$K$11,2,FALSE)&amp;" - Per "&amp;VLOOKUP($C$4,'Writing Logic'!$G$8:$H$14,2,FALSE),YES_Writing_ELA[#Headers],0)))="INS",'Writing Logic'!$B$7,IF(INDEX(_xlfn.VSTACK(YES_Writing_ELA[#Data],YES_Writing_FLA[#Data]),MATCH($A463,_xlfn.VSTACK(YES_Writing_ELA[Student Number],YES_Writing_FLA[Student Number]),0),MATCH(VLOOKUP(H$7,'Writing Logic'!$J$7:$K$11,2,FALSE)&amp;" - Per "&amp;VLOOKUP($C$4,'Writing Logic'!$G$8:$H$14,2,FALSE),YES_Writing_ELA[#Headers],0))=0,"",INDEX(_xlfn.VSTACK(YES_Writing_ELA[#Data],YES_Writing_FLA[#Data]),MATCH($A463,_xlfn.VSTACK(YES_Writing_ELA[Student Number],YES_Writing_FLA[Student Number]),0),MATCH(VLOOKUP(H$7,'Writing Logic'!$J$7:$K$11,2,FALSE)&amp;" - Per "&amp;VLOOKUP($C$4,'Writing Logic'!$G$8:$H$14,2,FALSE),YES_Writing_ELA[#Headers],0)))),"")</f>
        <v/>
      </c>
      <c r="I463" s="224" t="str" cm="1">
        <f t="array" aca="1" ref="I463" ca="1">IFERROR(
IF($G$3="ELA",
IF(VLOOKUP($A463, YES_Reading_ELA[], COLUMN(INDIRECT("YES_Reading_ELA[Difference - Per "&amp;VLOOKUP($G$4, 'Reading Report Logic'!$A$2:$B$8, 2, FALSE)&amp;"]")), FALSE)="", "",
VLOOKUP($A463,YES_Reading_ELA[], COLUMN(INDIRECT("YES_Reading_ELA[Difference - Per "&amp;VLOOKUP($G$4,'Reading Report Logic'!$A$2:$B$8,2,FALSE)&amp;"]")), FALSE)),
IF($G$3="FLA",
IF(VLOOKUP($A463, YES_Reading_FLA[], COLUMN(INDIRECT("YES_Reading_FLA[Difference - Per "&amp;VLOOKUP($G$4,'Reading Report Logic'!$A$2:$B$8,2,FALSE)&amp;"]")),FALSE)="","",
VLOOKUP($A463,YES_Reading_FLA[],COLUMN(INDIRECT("YES_Reading_FLA[Difference - Per "&amp;VLOOKUP($G$4,'Reading Report Logic'!$A$2:$B$8,2,FALSE)&amp;"]")),FALSE)),
IF($G$3="Combined",
IFERROR(
IF(VLOOKUP($A463, YES_Reading_ELA[], COLUMN(INDIRECT("YES_Reading_ELA[Difference - Per "&amp;VLOOKUP($G$4, 'Reading Report Logic'!$A$2:$B$8,2,FALSE)&amp;"]")), FALSE)="", "",
VLOOKUP($A463,YES_Reading_ELA[],COLUMN(INDIRECT("YES_Reading_ELA[Difference - Per "&amp;VLOOKUP($G$4,'Reading Report Logic'!$A$2:$B$8,2,FALSE)&amp;"]")),FALSE)),
IF(VLOOKUP($A463, YES_Reading_FLA[], COLUMN(INDIRECT("YES_Reading_FLA[Difference - Per "&amp;VLOOKUP($G$4, 'Reading Report Logic'!$A$2:$B$8, 2, FALSE)&amp;"]")),FALSE)="", "", VLOOKUP($A463,YES_Reading_FLA[],COLUMN(INDIRECT("YES_Reading_FLA[Difference - Per "&amp;VLOOKUP($G$4, 'Reading Report Logic'!$A$2:$B$8, 2, FALSE)&amp;"]")),FALSE))),""))),"")</f>
        <v/>
      </c>
    </row>
    <row r="464" spans="1:9" x14ac:dyDescent="0.25">
      <c r="A464" s="137"/>
      <c r="B464" s="137" t="str">
        <f>IFERROR(INDEX(_xlfn.VSTACK(YES_Writing_ELA[#Data], YES_Writing_FLA[#Data]),MATCH($A464,_xlfn.VSTACK(YES_Writing_ELA[Student Number], YES_Writing_FLA[Student Number]),0),MATCH(B$7,YES_Writing_ELA[#Headers],0)),IFERROR(INDEX(_xlfn.VSTACK(YES_Reading_ELA[#Data], YES_Reading_FLA[#Data]),MATCH($A464,_xlfn.VSTACK(YES_Reading_ELA[Student Number], YES_Reading_FLA[Student Number]),0),MATCH(B$7,YES_Reading_ELA[#Headers],0)),""))</f>
        <v/>
      </c>
      <c r="C464" s="137" t="str">
        <f>IFERROR(INDEX(_xlfn.VSTACK(YES_Writing_ELA[#Data], YES_Writing_FLA[#Data]),MATCH($A464,_xlfn.VSTACK(YES_Writing_ELA[Student Number], YES_Writing_FLA[Student Number]),0),MATCH(C$7,YES_Writing_ELA[#Headers],0)),IFERROR(INDEX(_xlfn.VSTACK(YES_Reading_ELA[#Data], YES_Reading_FLA[#Data]),MATCH($A464,_xlfn.VSTACK(YES_Reading_ELA[Student Number], YES_Reading_FLA[Student Number]),0),MATCH(C$7,YES_Reading_ELA[#Headers],0)),""))</f>
        <v/>
      </c>
      <c r="D464" s="138" t="str">
        <f>IFERROR(IF(IF(INDEX(_xlfn.VSTACK(YES_Writing_ELA[#Data],YES_Writing_FLA[#Data]),MATCH($A464,_xlfn.VSTACK(YES_Writing_ELA[Student Number],YES_Writing_FLA[Student Number]),0),MATCH(VLOOKUP(D$7,'Writing Logic'!$J$7:$K$11,2,FALSE)&amp;" - Per "&amp;VLOOKUP($C$4,'Writing Logic'!$G$8:$H$14,2,FALSE),YES_Writing_ELA[#Headers],0))=0,"",INDEX(_xlfn.VSTACK(YES_Writing_ELA[#Data],YES_Writing_FLA[#Data]),MATCH($A464,_xlfn.VSTACK(YES_Writing_ELA[Student Number],YES_Writing_FLA[Student Number]),0),MATCH(VLOOKUP(D$7,'Writing Logic'!$J$7:$K$11,2,FALSE)&amp;" - Per "&amp;VLOOKUP($C$4,'Writing Logic'!$G$8:$H$14,2,FALSE),YES_Writing_ELA[#Headers],0)))="INS",'Writing Logic'!$B$7,IF(INDEX(_xlfn.VSTACK(YES_Writing_ELA[#Data],YES_Writing_FLA[#Data]),MATCH($A464,_xlfn.VSTACK(YES_Writing_ELA[Student Number],YES_Writing_FLA[Student Number]),0),MATCH(VLOOKUP(D$7,'Writing Logic'!$J$7:$K$11,2,FALSE)&amp;" - Per "&amp;VLOOKUP($C$4,'Writing Logic'!$G$8:$H$14,2,FALSE),YES_Writing_ELA[#Headers],0))=0,"",INDEX(_xlfn.VSTACK(YES_Writing_ELA[#Data],YES_Writing_FLA[#Data]),MATCH($A464,_xlfn.VSTACK(YES_Writing_ELA[Student Number],YES_Writing_FLA[Student Number]),0),MATCH(VLOOKUP(D$7,'Writing Logic'!$J$7:$K$11,2,FALSE)&amp;" - Per "&amp;VLOOKUP($C$4,'Writing Logic'!$G$8:$H$14,2,FALSE),YES_Writing_ELA[#Headers],0)))),"")</f>
        <v/>
      </c>
      <c r="E464" s="138" t="str">
        <f>IFERROR(IF(IF(INDEX(_xlfn.VSTACK(YES_Writing_ELA[#Data],YES_Writing_FLA[#Data]),MATCH($A464,_xlfn.VSTACK(YES_Writing_ELA[Student Number],YES_Writing_FLA[Student Number]),0),MATCH(VLOOKUP(E$7,'Writing Logic'!$J$7:$K$11,2,FALSE)&amp;" - Per "&amp;VLOOKUP($C$4,'Writing Logic'!$G$8:$H$14,2,FALSE),YES_Writing_ELA[#Headers],0))=0,"",INDEX(_xlfn.VSTACK(YES_Writing_ELA[#Data],YES_Writing_FLA[#Data]),MATCH($A464,_xlfn.VSTACK(YES_Writing_ELA[Student Number],YES_Writing_FLA[Student Number]),0),MATCH(VLOOKUP(E$7,'Writing Logic'!$J$7:$K$11,2,FALSE)&amp;" - Per "&amp;VLOOKUP($C$4,'Writing Logic'!$G$8:$H$14,2,FALSE),YES_Writing_ELA[#Headers],0)))="INS",'Writing Logic'!$B$7,IF(INDEX(_xlfn.VSTACK(YES_Writing_ELA[#Data],YES_Writing_FLA[#Data]),MATCH($A464,_xlfn.VSTACK(YES_Writing_ELA[Student Number],YES_Writing_FLA[Student Number]),0),MATCH(VLOOKUP(E$7,'Writing Logic'!$J$7:$K$11,2,FALSE)&amp;" - Per "&amp;VLOOKUP($C$4,'Writing Logic'!$G$8:$H$14,2,FALSE),YES_Writing_ELA[#Headers],0))=0,"",INDEX(_xlfn.VSTACK(YES_Writing_ELA[#Data],YES_Writing_FLA[#Data]),MATCH($A464,_xlfn.VSTACK(YES_Writing_ELA[Student Number],YES_Writing_FLA[Student Number]),0),MATCH(VLOOKUP(E$7,'Writing Logic'!$J$7:$K$11,2,FALSE)&amp;" - Per "&amp;VLOOKUP($C$4,'Writing Logic'!$G$8:$H$14,2,FALSE),YES_Writing_ELA[#Headers],0)))),"")</f>
        <v/>
      </c>
      <c r="F464" s="138" t="str">
        <f>IFERROR(IF(IF(INDEX(_xlfn.VSTACK(YES_Writing_ELA[#Data],YES_Writing_FLA[#Data]),MATCH($A464,_xlfn.VSTACK(YES_Writing_ELA[Student Number],YES_Writing_FLA[Student Number]),0),MATCH(VLOOKUP(F$7,'Writing Logic'!$J$7:$K$11,2,FALSE)&amp;" - Per "&amp;VLOOKUP($C$4,'Writing Logic'!$G$8:$H$14,2,FALSE),YES_Writing_ELA[#Headers],0))=0,"",INDEX(_xlfn.VSTACK(YES_Writing_ELA[#Data],YES_Writing_FLA[#Data]),MATCH($A464,_xlfn.VSTACK(YES_Writing_ELA[Student Number],YES_Writing_FLA[Student Number]),0),MATCH(VLOOKUP(F$7,'Writing Logic'!$J$7:$K$11,2,FALSE)&amp;" - Per "&amp;VLOOKUP($C$4,'Writing Logic'!$G$8:$H$14,2,FALSE),YES_Writing_ELA[#Headers],0)))="INS",'Writing Logic'!$B$7,IF(INDEX(_xlfn.VSTACK(YES_Writing_ELA[#Data],YES_Writing_FLA[#Data]),MATCH($A464,_xlfn.VSTACK(YES_Writing_ELA[Student Number],YES_Writing_FLA[Student Number]),0),MATCH(VLOOKUP(F$7,'Writing Logic'!$J$7:$K$11,2,FALSE)&amp;" - Per "&amp;VLOOKUP($C$4,'Writing Logic'!$G$8:$H$14,2,FALSE),YES_Writing_ELA[#Headers],0))=0,"",INDEX(_xlfn.VSTACK(YES_Writing_ELA[#Data],YES_Writing_FLA[#Data]),MATCH($A464,_xlfn.VSTACK(YES_Writing_ELA[Student Number],YES_Writing_FLA[Student Number]),0),MATCH(VLOOKUP(F$7,'Writing Logic'!$J$7:$K$11,2,FALSE)&amp;" - Per "&amp;VLOOKUP($C$4,'Writing Logic'!$G$8:$H$14,2,FALSE),YES_Writing_ELA[#Headers],0)))),"")</f>
        <v/>
      </c>
      <c r="G464" s="138" t="str">
        <f>IFERROR(IF(IF(INDEX(_xlfn.VSTACK(YES_Writing_ELA[#Data],YES_Writing_FLA[#Data]),MATCH($A464,_xlfn.VSTACK(YES_Writing_ELA[Student Number],YES_Writing_FLA[Student Number]),0),MATCH(VLOOKUP(G$7,'Writing Logic'!$J$7:$K$11,2,FALSE)&amp;" - Per "&amp;VLOOKUP($C$4,'Writing Logic'!$G$8:$H$14,2,FALSE),YES_Writing_ELA[#Headers],0))=0,"",INDEX(_xlfn.VSTACK(YES_Writing_ELA[#Data],YES_Writing_FLA[#Data]),MATCH($A464,_xlfn.VSTACK(YES_Writing_ELA[Student Number],YES_Writing_FLA[Student Number]),0),MATCH(VLOOKUP(G$7,'Writing Logic'!$J$7:$K$11,2,FALSE)&amp;" - Per "&amp;VLOOKUP($C$4,'Writing Logic'!$G$8:$H$14,2,FALSE),YES_Writing_ELA[#Headers],0)))="INS",'Writing Logic'!$B$7,IF(INDEX(_xlfn.VSTACK(YES_Writing_ELA[#Data],YES_Writing_FLA[#Data]),MATCH($A464,_xlfn.VSTACK(YES_Writing_ELA[Student Number],YES_Writing_FLA[Student Number]),0),MATCH(VLOOKUP(G$7,'Writing Logic'!$J$7:$K$11,2,FALSE)&amp;" - Per "&amp;VLOOKUP($C$4,'Writing Logic'!$G$8:$H$14,2,FALSE),YES_Writing_ELA[#Headers],0))=0,"",INDEX(_xlfn.VSTACK(YES_Writing_ELA[#Data],YES_Writing_FLA[#Data]),MATCH($A464,_xlfn.VSTACK(YES_Writing_ELA[Student Number],YES_Writing_FLA[Student Number]),0),MATCH(VLOOKUP(G$7,'Writing Logic'!$J$7:$K$11,2,FALSE)&amp;" - Per "&amp;VLOOKUP($C$4,'Writing Logic'!$G$8:$H$14,2,FALSE),YES_Writing_ELA[#Headers],0)))),"")</f>
        <v/>
      </c>
      <c r="H464" s="223" t="str">
        <f>IFERROR(IF(IF(INDEX(_xlfn.VSTACK(YES_Writing_ELA[#Data],YES_Writing_FLA[#Data]),MATCH($A464,_xlfn.VSTACK(YES_Writing_ELA[Student Number],YES_Writing_FLA[Student Number]),0),MATCH(VLOOKUP(H$7,'Writing Logic'!$J$7:$K$11,2,FALSE)&amp;" - Per "&amp;VLOOKUP($C$4,'Writing Logic'!$G$8:$H$14,2,FALSE),YES_Writing_ELA[#Headers],0))=0,"",INDEX(_xlfn.VSTACK(YES_Writing_ELA[#Data],YES_Writing_FLA[#Data]),MATCH($A464,_xlfn.VSTACK(YES_Writing_ELA[Student Number],YES_Writing_FLA[Student Number]),0),MATCH(VLOOKUP(H$7,'Writing Logic'!$J$7:$K$11,2,FALSE)&amp;" - Per "&amp;VLOOKUP($C$4,'Writing Logic'!$G$8:$H$14,2,FALSE),YES_Writing_ELA[#Headers],0)))="INS",'Writing Logic'!$B$7,IF(INDEX(_xlfn.VSTACK(YES_Writing_ELA[#Data],YES_Writing_FLA[#Data]),MATCH($A464,_xlfn.VSTACK(YES_Writing_ELA[Student Number],YES_Writing_FLA[Student Number]),0),MATCH(VLOOKUP(H$7,'Writing Logic'!$J$7:$K$11,2,FALSE)&amp;" - Per "&amp;VLOOKUP($C$4,'Writing Logic'!$G$8:$H$14,2,FALSE),YES_Writing_ELA[#Headers],0))=0,"",INDEX(_xlfn.VSTACK(YES_Writing_ELA[#Data],YES_Writing_FLA[#Data]),MATCH($A464,_xlfn.VSTACK(YES_Writing_ELA[Student Number],YES_Writing_FLA[Student Number]),0),MATCH(VLOOKUP(H$7,'Writing Logic'!$J$7:$K$11,2,FALSE)&amp;" - Per "&amp;VLOOKUP($C$4,'Writing Logic'!$G$8:$H$14,2,FALSE),YES_Writing_ELA[#Headers],0)))),"")</f>
        <v/>
      </c>
      <c r="I464" s="224" t="str" cm="1">
        <f t="array" aca="1" ref="I464" ca="1">IFERROR(
IF($G$3="ELA",
IF(VLOOKUP($A464, YES_Reading_ELA[], COLUMN(INDIRECT("YES_Reading_ELA[Difference - Per "&amp;VLOOKUP($G$4, 'Reading Report Logic'!$A$2:$B$8, 2, FALSE)&amp;"]")), FALSE)="", "",
VLOOKUP($A464,YES_Reading_ELA[], COLUMN(INDIRECT("YES_Reading_ELA[Difference - Per "&amp;VLOOKUP($G$4,'Reading Report Logic'!$A$2:$B$8,2,FALSE)&amp;"]")), FALSE)),
IF($G$3="FLA",
IF(VLOOKUP($A464, YES_Reading_FLA[], COLUMN(INDIRECT("YES_Reading_FLA[Difference - Per "&amp;VLOOKUP($G$4,'Reading Report Logic'!$A$2:$B$8,2,FALSE)&amp;"]")),FALSE)="","",
VLOOKUP($A464,YES_Reading_FLA[],COLUMN(INDIRECT("YES_Reading_FLA[Difference - Per "&amp;VLOOKUP($G$4,'Reading Report Logic'!$A$2:$B$8,2,FALSE)&amp;"]")),FALSE)),
IF($G$3="Combined",
IFERROR(
IF(VLOOKUP($A464, YES_Reading_ELA[], COLUMN(INDIRECT("YES_Reading_ELA[Difference - Per "&amp;VLOOKUP($G$4, 'Reading Report Logic'!$A$2:$B$8,2,FALSE)&amp;"]")), FALSE)="", "",
VLOOKUP($A464,YES_Reading_ELA[],COLUMN(INDIRECT("YES_Reading_ELA[Difference - Per "&amp;VLOOKUP($G$4,'Reading Report Logic'!$A$2:$B$8,2,FALSE)&amp;"]")),FALSE)),
IF(VLOOKUP($A464, YES_Reading_FLA[], COLUMN(INDIRECT("YES_Reading_FLA[Difference - Per "&amp;VLOOKUP($G$4, 'Reading Report Logic'!$A$2:$B$8, 2, FALSE)&amp;"]")),FALSE)="", "", VLOOKUP($A464,YES_Reading_FLA[],COLUMN(INDIRECT("YES_Reading_FLA[Difference - Per "&amp;VLOOKUP($G$4, 'Reading Report Logic'!$A$2:$B$8, 2, FALSE)&amp;"]")),FALSE))),""))),"")</f>
        <v/>
      </c>
    </row>
    <row r="465" spans="1:9" x14ac:dyDescent="0.25">
      <c r="A465" s="137"/>
      <c r="B465" s="137" t="str">
        <f>IFERROR(INDEX(_xlfn.VSTACK(YES_Writing_ELA[#Data], YES_Writing_FLA[#Data]),MATCH($A465,_xlfn.VSTACK(YES_Writing_ELA[Student Number], YES_Writing_FLA[Student Number]),0),MATCH(B$7,YES_Writing_ELA[#Headers],0)),IFERROR(INDEX(_xlfn.VSTACK(YES_Reading_ELA[#Data], YES_Reading_FLA[#Data]),MATCH($A465,_xlfn.VSTACK(YES_Reading_ELA[Student Number], YES_Reading_FLA[Student Number]),0),MATCH(B$7,YES_Reading_ELA[#Headers],0)),""))</f>
        <v/>
      </c>
      <c r="C465" s="137" t="str">
        <f>IFERROR(INDEX(_xlfn.VSTACK(YES_Writing_ELA[#Data], YES_Writing_FLA[#Data]),MATCH($A465,_xlfn.VSTACK(YES_Writing_ELA[Student Number], YES_Writing_FLA[Student Number]),0),MATCH(C$7,YES_Writing_ELA[#Headers],0)),IFERROR(INDEX(_xlfn.VSTACK(YES_Reading_ELA[#Data], YES_Reading_FLA[#Data]),MATCH($A465,_xlfn.VSTACK(YES_Reading_ELA[Student Number], YES_Reading_FLA[Student Number]),0),MATCH(C$7,YES_Reading_ELA[#Headers],0)),""))</f>
        <v/>
      </c>
      <c r="D465" s="138" t="str">
        <f>IFERROR(IF(IF(INDEX(_xlfn.VSTACK(YES_Writing_ELA[#Data],YES_Writing_FLA[#Data]),MATCH($A465,_xlfn.VSTACK(YES_Writing_ELA[Student Number],YES_Writing_FLA[Student Number]),0),MATCH(VLOOKUP(D$7,'Writing Logic'!$J$7:$K$11,2,FALSE)&amp;" - Per "&amp;VLOOKUP($C$4,'Writing Logic'!$G$8:$H$14,2,FALSE),YES_Writing_ELA[#Headers],0))=0,"",INDEX(_xlfn.VSTACK(YES_Writing_ELA[#Data],YES_Writing_FLA[#Data]),MATCH($A465,_xlfn.VSTACK(YES_Writing_ELA[Student Number],YES_Writing_FLA[Student Number]),0),MATCH(VLOOKUP(D$7,'Writing Logic'!$J$7:$K$11,2,FALSE)&amp;" - Per "&amp;VLOOKUP($C$4,'Writing Logic'!$G$8:$H$14,2,FALSE),YES_Writing_ELA[#Headers],0)))="INS",'Writing Logic'!$B$7,IF(INDEX(_xlfn.VSTACK(YES_Writing_ELA[#Data],YES_Writing_FLA[#Data]),MATCH($A465,_xlfn.VSTACK(YES_Writing_ELA[Student Number],YES_Writing_FLA[Student Number]),0),MATCH(VLOOKUP(D$7,'Writing Logic'!$J$7:$K$11,2,FALSE)&amp;" - Per "&amp;VLOOKUP($C$4,'Writing Logic'!$G$8:$H$14,2,FALSE),YES_Writing_ELA[#Headers],0))=0,"",INDEX(_xlfn.VSTACK(YES_Writing_ELA[#Data],YES_Writing_FLA[#Data]),MATCH($A465,_xlfn.VSTACK(YES_Writing_ELA[Student Number],YES_Writing_FLA[Student Number]),0),MATCH(VLOOKUP(D$7,'Writing Logic'!$J$7:$K$11,2,FALSE)&amp;" - Per "&amp;VLOOKUP($C$4,'Writing Logic'!$G$8:$H$14,2,FALSE),YES_Writing_ELA[#Headers],0)))),"")</f>
        <v/>
      </c>
      <c r="E465" s="138" t="str">
        <f>IFERROR(IF(IF(INDEX(_xlfn.VSTACK(YES_Writing_ELA[#Data],YES_Writing_FLA[#Data]),MATCH($A465,_xlfn.VSTACK(YES_Writing_ELA[Student Number],YES_Writing_FLA[Student Number]),0),MATCH(VLOOKUP(E$7,'Writing Logic'!$J$7:$K$11,2,FALSE)&amp;" - Per "&amp;VLOOKUP($C$4,'Writing Logic'!$G$8:$H$14,2,FALSE),YES_Writing_ELA[#Headers],0))=0,"",INDEX(_xlfn.VSTACK(YES_Writing_ELA[#Data],YES_Writing_FLA[#Data]),MATCH($A465,_xlfn.VSTACK(YES_Writing_ELA[Student Number],YES_Writing_FLA[Student Number]),0),MATCH(VLOOKUP(E$7,'Writing Logic'!$J$7:$K$11,2,FALSE)&amp;" - Per "&amp;VLOOKUP($C$4,'Writing Logic'!$G$8:$H$14,2,FALSE),YES_Writing_ELA[#Headers],0)))="INS",'Writing Logic'!$B$7,IF(INDEX(_xlfn.VSTACK(YES_Writing_ELA[#Data],YES_Writing_FLA[#Data]),MATCH($A465,_xlfn.VSTACK(YES_Writing_ELA[Student Number],YES_Writing_FLA[Student Number]),0),MATCH(VLOOKUP(E$7,'Writing Logic'!$J$7:$K$11,2,FALSE)&amp;" - Per "&amp;VLOOKUP($C$4,'Writing Logic'!$G$8:$H$14,2,FALSE),YES_Writing_ELA[#Headers],0))=0,"",INDEX(_xlfn.VSTACK(YES_Writing_ELA[#Data],YES_Writing_FLA[#Data]),MATCH($A465,_xlfn.VSTACK(YES_Writing_ELA[Student Number],YES_Writing_FLA[Student Number]),0),MATCH(VLOOKUP(E$7,'Writing Logic'!$J$7:$K$11,2,FALSE)&amp;" - Per "&amp;VLOOKUP($C$4,'Writing Logic'!$G$8:$H$14,2,FALSE),YES_Writing_ELA[#Headers],0)))),"")</f>
        <v/>
      </c>
      <c r="F465" s="138" t="str">
        <f>IFERROR(IF(IF(INDEX(_xlfn.VSTACK(YES_Writing_ELA[#Data],YES_Writing_FLA[#Data]),MATCH($A465,_xlfn.VSTACK(YES_Writing_ELA[Student Number],YES_Writing_FLA[Student Number]),0),MATCH(VLOOKUP(F$7,'Writing Logic'!$J$7:$K$11,2,FALSE)&amp;" - Per "&amp;VLOOKUP($C$4,'Writing Logic'!$G$8:$H$14,2,FALSE),YES_Writing_ELA[#Headers],0))=0,"",INDEX(_xlfn.VSTACK(YES_Writing_ELA[#Data],YES_Writing_FLA[#Data]),MATCH($A465,_xlfn.VSTACK(YES_Writing_ELA[Student Number],YES_Writing_FLA[Student Number]),0),MATCH(VLOOKUP(F$7,'Writing Logic'!$J$7:$K$11,2,FALSE)&amp;" - Per "&amp;VLOOKUP($C$4,'Writing Logic'!$G$8:$H$14,2,FALSE),YES_Writing_ELA[#Headers],0)))="INS",'Writing Logic'!$B$7,IF(INDEX(_xlfn.VSTACK(YES_Writing_ELA[#Data],YES_Writing_FLA[#Data]),MATCH($A465,_xlfn.VSTACK(YES_Writing_ELA[Student Number],YES_Writing_FLA[Student Number]),0),MATCH(VLOOKUP(F$7,'Writing Logic'!$J$7:$K$11,2,FALSE)&amp;" - Per "&amp;VLOOKUP($C$4,'Writing Logic'!$G$8:$H$14,2,FALSE),YES_Writing_ELA[#Headers],0))=0,"",INDEX(_xlfn.VSTACK(YES_Writing_ELA[#Data],YES_Writing_FLA[#Data]),MATCH($A465,_xlfn.VSTACK(YES_Writing_ELA[Student Number],YES_Writing_FLA[Student Number]),0),MATCH(VLOOKUP(F$7,'Writing Logic'!$J$7:$K$11,2,FALSE)&amp;" - Per "&amp;VLOOKUP($C$4,'Writing Logic'!$G$8:$H$14,2,FALSE),YES_Writing_ELA[#Headers],0)))),"")</f>
        <v/>
      </c>
      <c r="G465" s="138" t="str">
        <f>IFERROR(IF(IF(INDEX(_xlfn.VSTACK(YES_Writing_ELA[#Data],YES_Writing_FLA[#Data]),MATCH($A465,_xlfn.VSTACK(YES_Writing_ELA[Student Number],YES_Writing_FLA[Student Number]),0),MATCH(VLOOKUP(G$7,'Writing Logic'!$J$7:$K$11,2,FALSE)&amp;" - Per "&amp;VLOOKUP($C$4,'Writing Logic'!$G$8:$H$14,2,FALSE),YES_Writing_ELA[#Headers],0))=0,"",INDEX(_xlfn.VSTACK(YES_Writing_ELA[#Data],YES_Writing_FLA[#Data]),MATCH($A465,_xlfn.VSTACK(YES_Writing_ELA[Student Number],YES_Writing_FLA[Student Number]),0),MATCH(VLOOKUP(G$7,'Writing Logic'!$J$7:$K$11,2,FALSE)&amp;" - Per "&amp;VLOOKUP($C$4,'Writing Logic'!$G$8:$H$14,2,FALSE),YES_Writing_ELA[#Headers],0)))="INS",'Writing Logic'!$B$7,IF(INDEX(_xlfn.VSTACK(YES_Writing_ELA[#Data],YES_Writing_FLA[#Data]),MATCH($A465,_xlfn.VSTACK(YES_Writing_ELA[Student Number],YES_Writing_FLA[Student Number]),0),MATCH(VLOOKUP(G$7,'Writing Logic'!$J$7:$K$11,2,FALSE)&amp;" - Per "&amp;VLOOKUP($C$4,'Writing Logic'!$G$8:$H$14,2,FALSE),YES_Writing_ELA[#Headers],0))=0,"",INDEX(_xlfn.VSTACK(YES_Writing_ELA[#Data],YES_Writing_FLA[#Data]),MATCH($A465,_xlfn.VSTACK(YES_Writing_ELA[Student Number],YES_Writing_FLA[Student Number]),0),MATCH(VLOOKUP(G$7,'Writing Logic'!$J$7:$K$11,2,FALSE)&amp;" - Per "&amp;VLOOKUP($C$4,'Writing Logic'!$G$8:$H$14,2,FALSE),YES_Writing_ELA[#Headers],0)))),"")</f>
        <v/>
      </c>
      <c r="H465" s="223" t="str">
        <f>IFERROR(IF(IF(INDEX(_xlfn.VSTACK(YES_Writing_ELA[#Data],YES_Writing_FLA[#Data]),MATCH($A465,_xlfn.VSTACK(YES_Writing_ELA[Student Number],YES_Writing_FLA[Student Number]),0),MATCH(VLOOKUP(H$7,'Writing Logic'!$J$7:$K$11,2,FALSE)&amp;" - Per "&amp;VLOOKUP($C$4,'Writing Logic'!$G$8:$H$14,2,FALSE),YES_Writing_ELA[#Headers],0))=0,"",INDEX(_xlfn.VSTACK(YES_Writing_ELA[#Data],YES_Writing_FLA[#Data]),MATCH($A465,_xlfn.VSTACK(YES_Writing_ELA[Student Number],YES_Writing_FLA[Student Number]),0),MATCH(VLOOKUP(H$7,'Writing Logic'!$J$7:$K$11,2,FALSE)&amp;" - Per "&amp;VLOOKUP($C$4,'Writing Logic'!$G$8:$H$14,2,FALSE),YES_Writing_ELA[#Headers],0)))="INS",'Writing Logic'!$B$7,IF(INDEX(_xlfn.VSTACK(YES_Writing_ELA[#Data],YES_Writing_FLA[#Data]),MATCH($A465,_xlfn.VSTACK(YES_Writing_ELA[Student Number],YES_Writing_FLA[Student Number]),0),MATCH(VLOOKUP(H$7,'Writing Logic'!$J$7:$K$11,2,FALSE)&amp;" - Per "&amp;VLOOKUP($C$4,'Writing Logic'!$G$8:$H$14,2,FALSE),YES_Writing_ELA[#Headers],0))=0,"",INDEX(_xlfn.VSTACK(YES_Writing_ELA[#Data],YES_Writing_FLA[#Data]),MATCH($A465,_xlfn.VSTACK(YES_Writing_ELA[Student Number],YES_Writing_FLA[Student Number]),0),MATCH(VLOOKUP(H$7,'Writing Logic'!$J$7:$K$11,2,FALSE)&amp;" - Per "&amp;VLOOKUP($C$4,'Writing Logic'!$G$8:$H$14,2,FALSE),YES_Writing_ELA[#Headers],0)))),"")</f>
        <v/>
      </c>
      <c r="I465" s="224" t="str" cm="1">
        <f t="array" aca="1" ref="I465" ca="1">IFERROR(
IF($G$3="ELA",
IF(VLOOKUP($A465, YES_Reading_ELA[], COLUMN(INDIRECT("YES_Reading_ELA[Difference - Per "&amp;VLOOKUP($G$4, 'Reading Report Logic'!$A$2:$B$8, 2, FALSE)&amp;"]")), FALSE)="", "",
VLOOKUP($A465,YES_Reading_ELA[], COLUMN(INDIRECT("YES_Reading_ELA[Difference - Per "&amp;VLOOKUP($G$4,'Reading Report Logic'!$A$2:$B$8,2,FALSE)&amp;"]")), FALSE)),
IF($G$3="FLA",
IF(VLOOKUP($A465, YES_Reading_FLA[], COLUMN(INDIRECT("YES_Reading_FLA[Difference - Per "&amp;VLOOKUP($G$4,'Reading Report Logic'!$A$2:$B$8,2,FALSE)&amp;"]")),FALSE)="","",
VLOOKUP($A465,YES_Reading_FLA[],COLUMN(INDIRECT("YES_Reading_FLA[Difference - Per "&amp;VLOOKUP($G$4,'Reading Report Logic'!$A$2:$B$8,2,FALSE)&amp;"]")),FALSE)),
IF($G$3="Combined",
IFERROR(
IF(VLOOKUP($A465, YES_Reading_ELA[], COLUMN(INDIRECT("YES_Reading_ELA[Difference - Per "&amp;VLOOKUP($G$4, 'Reading Report Logic'!$A$2:$B$8,2,FALSE)&amp;"]")), FALSE)="", "",
VLOOKUP($A465,YES_Reading_ELA[],COLUMN(INDIRECT("YES_Reading_ELA[Difference - Per "&amp;VLOOKUP($G$4,'Reading Report Logic'!$A$2:$B$8,2,FALSE)&amp;"]")),FALSE)),
IF(VLOOKUP($A465, YES_Reading_FLA[], COLUMN(INDIRECT("YES_Reading_FLA[Difference - Per "&amp;VLOOKUP($G$4, 'Reading Report Logic'!$A$2:$B$8, 2, FALSE)&amp;"]")),FALSE)="", "", VLOOKUP($A465,YES_Reading_FLA[],COLUMN(INDIRECT("YES_Reading_FLA[Difference - Per "&amp;VLOOKUP($G$4, 'Reading Report Logic'!$A$2:$B$8, 2, FALSE)&amp;"]")),FALSE))),""))),"")</f>
        <v/>
      </c>
    </row>
    <row r="466" spans="1:9" x14ac:dyDescent="0.25">
      <c r="A466" s="137"/>
      <c r="B466" s="137" t="str">
        <f>IFERROR(INDEX(_xlfn.VSTACK(YES_Writing_ELA[#Data], YES_Writing_FLA[#Data]),MATCH($A466,_xlfn.VSTACK(YES_Writing_ELA[Student Number], YES_Writing_FLA[Student Number]),0),MATCH(B$7,YES_Writing_ELA[#Headers],0)),IFERROR(INDEX(_xlfn.VSTACK(YES_Reading_ELA[#Data], YES_Reading_FLA[#Data]),MATCH($A466,_xlfn.VSTACK(YES_Reading_ELA[Student Number], YES_Reading_FLA[Student Number]),0),MATCH(B$7,YES_Reading_ELA[#Headers],0)),""))</f>
        <v/>
      </c>
      <c r="C466" s="137" t="str">
        <f>IFERROR(INDEX(_xlfn.VSTACK(YES_Writing_ELA[#Data], YES_Writing_FLA[#Data]),MATCH($A466,_xlfn.VSTACK(YES_Writing_ELA[Student Number], YES_Writing_FLA[Student Number]),0),MATCH(C$7,YES_Writing_ELA[#Headers],0)),IFERROR(INDEX(_xlfn.VSTACK(YES_Reading_ELA[#Data], YES_Reading_FLA[#Data]),MATCH($A466,_xlfn.VSTACK(YES_Reading_ELA[Student Number], YES_Reading_FLA[Student Number]),0),MATCH(C$7,YES_Reading_ELA[#Headers],0)),""))</f>
        <v/>
      </c>
      <c r="D466" s="138" t="str">
        <f>IFERROR(IF(IF(INDEX(_xlfn.VSTACK(YES_Writing_ELA[#Data],YES_Writing_FLA[#Data]),MATCH($A466,_xlfn.VSTACK(YES_Writing_ELA[Student Number],YES_Writing_FLA[Student Number]),0),MATCH(VLOOKUP(D$7,'Writing Logic'!$J$7:$K$11,2,FALSE)&amp;" - Per "&amp;VLOOKUP($C$4,'Writing Logic'!$G$8:$H$14,2,FALSE),YES_Writing_ELA[#Headers],0))=0,"",INDEX(_xlfn.VSTACK(YES_Writing_ELA[#Data],YES_Writing_FLA[#Data]),MATCH($A466,_xlfn.VSTACK(YES_Writing_ELA[Student Number],YES_Writing_FLA[Student Number]),0),MATCH(VLOOKUP(D$7,'Writing Logic'!$J$7:$K$11,2,FALSE)&amp;" - Per "&amp;VLOOKUP($C$4,'Writing Logic'!$G$8:$H$14,2,FALSE),YES_Writing_ELA[#Headers],0)))="INS",'Writing Logic'!$B$7,IF(INDEX(_xlfn.VSTACK(YES_Writing_ELA[#Data],YES_Writing_FLA[#Data]),MATCH($A466,_xlfn.VSTACK(YES_Writing_ELA[Student Number],YES_Writing_FLA[Student Number]),0),MATCH(VLOOKUP(D$7,'Writing Logic'!$J$7:$K$11,2,FALSE)&amp;" - Per "&amp;VLOOKUP($C$4,'Writing Logic'!$G$8:$H$14,2,FALSE),YES_Writing_ELA[#Headers],0))=0,"",INDEX(_xlfn.VSTACK(YES_Writing_ELA[#Data],YES_Writing_FLA[#Data]),MATCH($A466,_xlfn.VSTACK(YES_Writing_ELA[Student Number],YES_Writing_FLA[Student Number]),0),MATCH(VLOOKUP(D$7,'Writing Logic'!$J$7:$K$11,2,FALSE)&amp;" - Per "&amp;VLOOKUP($C$4,'Writing Logic'!$G$8:$H$14,2,FALSE),YES_Writing_ELA[#Headers],0)))),"")</f>
        <v/>
      </c>
      <c r="E466" s="138" t="str">
        <f>IFERROR(IF(IF(INDEX(_xlfn.VSTACK(YES_Writing_ELA[#Data],YES_Writing_FLA[#Data]),MATCH($A466,_xlfn.VSTACK(YES_Writing_ELA[Student Number],YES_Writing_FLA[Student Number]),0),MATCH(VLOOKUP(E$7,'Writing Logic'!$J$7:$K$11,2,FALSE)&amp;" - Per "&amp;VLOOKUP($C$4,'Writing Logic'!$G$8:$H$14,2,FALSE),YES_Writing_ELA[#Headers],0))=0,"",INDEX(_xlfn.VSTACK(YES_Writing_ELA[#Data],YES_Writing_FLA[#Data]),MATCH($A466,_xlfn.VSTACK(YES_Writing_ELA[Student Number],YES_Writing_FLA[Student Number]),0),MATCH(VLOOKUP(E$7,'Writing Logic'!$J$7:$K$11,2,FALSE)&amp;" - Per "&amp;VLOOKUP($C$4,'Writing Logic'!$G$8:$H$14,2,FALSE),YES_Writing_ELA[#Headers],0)))="INS",'Writing Logic'!$B$7,IF(INDEX(_xlfn.VSTACK(YES_Writing_ELA[#Data],YES_Writing_FLA[#Data]),MATCH($A466,_xlfn.VSTACK(YES_Writing_ELA[Student Number],YES_Writing_FLA[Student Number]),0),MATCH(VLOOKUP(E$7,'Writing Logic'!$J$7:$K$11,2,FALSE)&amp;" - Per "&amp;VLOOKUP($C$4,'Writing Logic'!$G$8:$H$14,2,FALSE),YES_Writing_ELA[#Headers],0))=0,"",INDEX(_xlfn.VSTACK(YES_Writing_ELA[#Data],YES_Writing_FLA[#Data]),MATCH($A466,_xlfn.VSTACK(YES_Writing_ELA[Student Number],YES_Writing_FLA[Student Number]),0),MATCH(VLOOKUP(E$7,'Writing Logic'!$J$7:$K$11,2,FALSE)&amp;" - Per "&amp;VLOOKUP($C$4,'Writing Logic'!$G$8:$H$14,2,FALSE),YES_Writing_ELA[#Headers],0)))),"")</f>
        <v/>
      </c>
      <c r="F466" s="138" t="str">
        <f>IFERROR(IF(IF(INDEX(_xlfn.VSTACK(YES_Writing_ELA[#Data],YES_Writing_FLA[#Data]),MATCH($A466,_xlfn.VSTACK(YES_Writing_ELA[Student Number],YES_Writing_FLA[Student Number]),0),MATCH(VLOOKUP(F$7,'Writing Logic'!$J$7:$K$11,2,FALSE)&amp;" - Per "&amp;VLOOKUP($C$4,'Writing Logic'!$G$8:$H$14,2,FALSE),YES_Writing_ELA[#Headers],0))=0,"",INDEX(_xlfn.VSTACK(YES_Writing_ELA[#Data],YES_Writing_FLA[#Data]),MATCH($A466,_xlfn.VSTACK(YES_Writing_ELA[Student Number],YES_Writing_FLA[Student Number]),0),MATCH(VLOOKUP(F$7,'Writing Logic'!$J$7:$K$11,2,FALSE)&amp;" - Per "&amp;VLOOKUP($C$4,'Writing Logic'!$G$8:$H$14,2,FALSE),YES_Writing_ELA[#Headers],0)))="INS",'Writing Logic'!$B$7,IF(INDEX(_xlfn.VSTACK(YES_Writing_ELA[#Data],YES_Writing_FLA[#Data]),MATCH($A466,_xlfn.VSTACK(YES_Writing_ELA[Student Number],YES_Writing_FLA[Student Number]),0),MATCH(VLOOKUP(F$7,'Writing Logic'!$J$7:$K$11,2,FALSE)&amp;" - Per "&amp;VLOOKUP($C$4,'Writing Logic'!$G$8:$H$14,2,FALSE),YES_Writing_ELA[#Headers],0))=0,"",INDEX(_xlfn.VSTACK(YES_Writing_ELA[#Data],YES_Writing_FLA[#Data]),MATCH($A466,_xlfn.VSTACK(YES_Writing_ELA[Student Number],YES_Writing_FLA[Student Number]),0),MATCH(VLOOKUP(F$7,'Writing Logic'!$J$7:$K$11,2,FALSE)&amp;" - Per "&amp;VLOOKUP($C$4,'Writing Logic'!$G$8:$H$14,2,FALSE),YES_Writing_ELA[#Headers],0)))),"")</f>
        <v/>
      </c>
      <c r="G466" s="138" t="str">
        <f>IFERROR(IF(IF(INDEX(_xlfn.VSTACK(YES_Writing_ELA[#Data],YES_Writing_FLA[#Data]),MATCH($A466,_xlfn.VSTACK(YES_Writing_ELA[Student Number],YES_Writing_FLA[Student Number]),0),MATCH(VLOOKUP(G$7,'Writing Logic'!$J$7:$K$11,2,FALSE)&amp;" - Per "&amp;VLOOKUP($C$4,'Writing Logic'!$G$8:$H$14,2,FALSE),YES_Writing_ELA[#Headers],0))=0,"",INDEX(_xlfn.VSTACK(YES_Writing_ELA[#Data],YES_Writing_FLA[#Data]),MATCH($A466,_xlfn.VSTACK(YES_Writing_ELA[Student Number],YES_Writing_FLA[Student Number]),0),MATCH(VLOOKUP(G$7,'Writing Logic'!$J$7:$K$11,2,FALSE)&amp;" - Per "&amp;VLOOKUP($C$4,'Writing Logic'!$G$8:$H$14,2,FALSE),YES_Writing_ELA[#Headers],0)))="INS",'Writing Logic'!$B$7,IF(INDEX(_xlfn.VSTACK(YES_Writing_ELA[#Data],YES_Writing_FLA[#Data]),MATCH($A466,_xlfn.VSTACK(YES_Writing_ELA[Student Number],YES_Writing_FLA[Student Number]),0),MATCH(VLOOKUP(G$7,'Writing Logic'!$J$7:$K$11,2,FALSE)&amp;" - Per "&amp;VLOOKUP($C$4,'Writing Logic'!$G$8:$H$14,2,FALSE),YES_Writing_ELA[#Headers],0))=0,"",INDEX(_xlfn.VSTACK(YES_Writing_ELA[#Data],YES_Writing_FLA[#Data]),MATCH($A466,_xlfn.VSTACK(YES_Writing_ELA[Student Number],YES_Writing_FLA[Student Number]),0),MATCH(VLOOKUP(G$7,'Writing Logic'!$J$7:$K$11,2,FALSE)&amp;" - Per "&amp;VLOOKUP($C$4,'Writing Logic'!$G$8:$H$14,2,FALSE),YES_Writing_ELA[#Headers],0)))),"")</f>
        <v/>
      </c>
      <c r="H466" s="223" t="str">
        <f>IFERROR(IF(IF(INDEX(_xlfn.VSTACK(YES_Writing_ELA[#Data],YES_Writing_FLA[#Data]),MATCH($A466,_xlfn.VSTACK(YES_Writing_ELA[Student Number],YES_Writing_FLA[Student Number]),0),MATCH(VLOOKUP(H$7,'Writing Logic'!$J$7:$K$11,2,FALSE)&amp;" - Per "&amp;VLOOKUP($C$4,'Writing Logic'!$G$8:$H$14,2,FALSE),YES_Writing_ELA[#Headers],0))=0,"",INDEX(_xlfn.VSTACK(YES_Writing_ELA[#Data],YES_Writing_FLA[#Data]),MATCH($A466,_xlfn.VSTACK(YES_Writing_ELA[Student Number],YES_Writing_FLA[Student Number]),0),MATCH(VLOOKUP(H$7,'Writing Logic'!$J$7:$K$11,2,FALSE)&amp;" - Per "&amp;VLOOKUP($C$4,'Writing Logic'!$G$8:$H$14,2,FALSE),YES_Writing_ELA[#Headers],0)))="INS",'Writing Logic'!$B$7,IF(INDEX(_xlfn.VSTACK(YES_Writing_ELA[#Data],YES_Writing_FLA[#Data]),MATCH($A466,_xlfn.VSTACK(YES_Writing_ELA[Student Number],YES_Writing_FLA[Student Number]),0),MATCH(VLOOKUP(H$7,'Writing Logic'!$J$7:$K$11,2,FALSE)&amp;" - Per "&amp;VLOOKUP($C$4,'Writing Logic'!$G$8:$H$14,2,FALSE),YES_Writing_ELA[#Headers],0))=0,"",INDEX(_xlfn.VSTACK(YES_Writing_ELA[#Data],YES_Writing_FLA[#Data]),MATCH($A466,_xlfn.VSTACK(YES_Writing_ELA[Student Number],YES_Writing_FLA[Student Number]),0),MATCH(VLOOKUP(H$7,'Writing Logic'!$J$7:$K$11,2,FALSE)&amp;" - Per "&amp;VLOOKUP($C$4,'Writing Logic'!$G$8:$H$14,2,FALSE),YES_Writing_ELA[#Headers],0)))),"")</f>
        <v/>
      </c>
      <c r="I466" s="224" t="str" cm="1">
        <f t="array" aca="1" ref="I466" ca="1">IFERROR(
IF($G$3="ELA",
IF(VLOOKUP($A466, YES_Reading_ELA[], COLUMN(INDIRECT("YES_Reading_ELA[Difference - Per "&amp;VLOOKUP($G$4, 'Reading Report Logic'!$A$2:$B$8, 2, FALSE)&amp;"]")), FALSE)="", "",
VLOOKUP($A466,YES_Reading_ELA[], COLUMN(INDIRECT("YES_Reading_ELA[Difference - Per "&amp;VLOOKUP($G$4,'Reading Report Logic'!$A$2:$B$8,2,FALSE)&amp;"]")), FALSE)),
IF($G$3="FLA",
IF(VLOOKUP($A466, YES_Reading_FLA[], COLUMN(INDIRECT("YES_Reading_FLA[Difference - Per "&amp;VLOOKUP($G$4,'Reading Report Logic'!$A$2:$B$8,2,FALSE)&amp;"]")),FALSE)="","",
VLOOKUP($A466,YES_Reading_FLA[],COLUMN(INDIRECT("YES_Reading_FLA[Difference - Per "&amp;VLOOKUP($G$4,'Reading Report Logic'!$A$2:$B$8,2,FALSE)&amp;"]")),FALSE)),
IF($G$3="Combined",
IFERROR(
IF(VLOOKUP($A466, YES_Reading_ELA[], COLUMN(INDIRECT("YES_Reading_ELA[Difference - Per "&amp;VLOOKUP($G$4, 'Reading Report Logic'!$A$2:$B$8,2,FALSE)&amp;"]")), FALSE)="", "",
VLOOKUP($A466,YES_Reading_ELA[],COLUMN(INDIRECT("YES_Reading_ELA[Difference - Per "&amp;VLOOKUP($G$4,'Reading Report Logic'!$A$2:$B$8,2,FALSE)&amp;"]")),FALSE)),
IF(VLOOKUP($A466, YES_Reading_FLA[], COLUMN(INDIRECT("YES_Reading_FLA[Difference - Per "&amp;VLOOKUP($G$4, 'Reading Report Logic'!$A$2:$B$8, 2, FALSE)&amp;"]")),FALSE)="", "", VLOOKUP($A466,YES_Reading_FLA[],COLUMN(INDIRECT("YES_Reading_FLA[Difference - Per "&amp;VLOOKUP($G$4, 'Reading Report Logic'!$A$2:$B$8, 2, FALSE)&amp;"]")),FALSE))),""))),"")</f>
        <v/>
      </c>
    </row>
    <row r="467" spans="1:9" x14ac:dyDescent="0.25">
      <c r="A467" s="137"/>
      <c r="B467" s="137" t="str">
        <f>IFERROR(INDEX(_xlfn.VSTACK(YES_Writing_ELA[#Data], YES_Writing_FLA[#Data]),MATCH($A467,_xlfn.VSTACK(YES_Writing_ELA[Student Number], YES_Writing_FLA[Student Number]),0),MATCH(B$7,YES_Writing_ELA[#Headers],0)),IFERROR(INDEX(_xlfn.VSTACK(YES_Reading_ELA[#Data], YES_Reading_FLA[#Data]),MATCH($A467,_xlfn.VSTACK(YES_Reading_ELA[Student Number], YES_Reading_FLA[Student Number]),0),MATCH(B$7,YES_Reading_ELA[#Headers],0)),""))</f>
        <v/>
      </c>
      <c r="C467" s="137" t="str">
        <f>IFERROR(INDEX(_xlfn.VSTACK(YES_Writing_ELA[#Data], YES_Writing_FLA[#Data]),MATCH($A467,_xlfn.VSTACK(YES_Writing_ELA[Student Number], YES_Writing_FLA[Student Number]),0),MATCH(C$7,YES_Writing_ELA[#Headers],0)),IFERROR(INDEX(_xlfn.VSTACK(YES_Reading_ELA[#Data], YES_Reading_FLA[#Data]),MATCH($A467,_xlfn.VSTACK(YES_Reading_ELA[Student Number], YES_Reading_FLA[Student Number]),0),MATCH(C$7,YES_Reading_ELA[#Headers],0)),""))</f>
        <v/>
      </c>
      <c r="D467" s="138" t="str">
        <f>IFERROR(IF(IF(INDEX(_xlfn.VSTACK(YES_Writing_ELA[#Data],YES_Writing_FLA[#Data]),MATCH($A467,_xlfn.VSTACK(YES_Writing_ELA[Student Number],YES_Writing_FLA[Student Number]),0),MATCH(VLOOKUP(D$7,'Writing Logic'!$J$7:$K$11,2,FALSE)&amp;" - Per "&amp;VLOOKUP($C$4,'Writing Logic'!$G$8:$H$14,2,FALSE),YES_Writing_ELA[#Headers],0))=0,"",INDEX(_xlfn.VSTACK(YES_Writing_ELA[#Data],YES_Writing_FLA[#Data]),MATCH($A467,_xlfn.VSTACK(YES_Writing_ELA[Student Number],YES_Writing_FLA[Student Number]),0),MATCH(VLOOKUP(D$7,'Writing Logic'!$J$7:$K$11,2,FALSE)&amp;" - Per "&amp;VLOOKUP($C$4,'Writing Logic'!$G$8:$H$14,2,FALSE),YES_Writing_ELA[#Headers],0)))="INS",'Writing Logic'!$B$7,IF(INDEX(_xlfn.VSTACK(YES_Writing_ELA[#Data],YES_Writing_FLA[#Data]),MATCH($A467,_xlfn.VSTACK(YES_Writing_ELA[Student Number],YES_Writing_FLA[Student Number]),0),MATCH(VLOOKUP(D$7,'Writing Logic'!$J$7:$K$11,2,FALSE)&amp;" - Per "&amp;VLOOKUP($C$4,'Writing Logic'!$G$8:$H$14,2,FALSE),YES_Writing_ELA[#Headers],0))=0,"",INDEX(_xlfn.VSTACK(YES_Writing_ELA[#Data],YES_Writing_FLA[#Data]),MATCH($A467,_xlfn.VSTACK(YES_Writing_ELA[Student Number],YES_Writing_FLA[Student Number]),0),MATCH(VLOOKUP(D$7,'Writing Logic'!$J$7:$K$11,2,FALSE)&amp;" - Per "&amp;VLOOKUP($C$4,'Writing Logic'!$G$8:$H$14,2,FALSE),YES_Writing_ELA[#Headers],0)))),"")</f>
        <v/>
      </c>
      <c r="E467" s="138" t="str">
        <f>IFERROR(IF(IF(INDEX(_xlfn.VSTACK(YES_Writing_ELA[#Data],YES_Writing_FLA[#Data]),MATCH($A467,_xlfn.VSTACK(YES_Writing_ELA[Student Number],YES_Writing_FLA[Student Number]),0),MATCH(VLOOKUP(E$7,'Writing Logic'!$J$7:$K$11,2,FALSE)&amp;" - Per "&amp;VLOOKUP($C$4,'Writing Logic'!$G$8:$H$14,2,FALSE),YES_Writing_ELA[#Headers],0))=0,"",INDEX(_xlfn.VSTACK(YES_Writing_ELA[#Data],YES_Writing_FLA[#Data]),MATCH($A467,_xlfn.VSTACK(YES_Writing_ELA[Student Number],YES_Writing_FLA[Student Number]),0),MATCH(VLOOKUP(E$7,'Writing Logic'!$J$7:$K$11,2,FALSE)&amp;" - Per "&amp;VLOOKUP($C$4,'Writing Logic'!$G$8:$H$14,2,FALSE),YES_Writing_ELA[#Headers],0)))="INS",'Writing Logic'!$B$7,IF(INDEX(_xlfn.VSTACK(YES_Writing_ELA[#Data],YES_Writing_FLA[#Data]),MATCH($A467,_xlfn.VSTACK(YES_Writing_ELA[Student Number],YES_Writing_FLA[Student Number]),0),MATCH(VLOOKUP(E$7,'Writing Logic'!$J$7:$K$11,2,FALSE)&amp;" - Per "&amp;VLOOKUP($C$4,'Writing Logic'!$G$8:$H$14,2,FALSE),YES_Writing_ELA[#Headers],0))=0,"",INDEX(_xlfn.VSTACK(YES_Writing_ELA[#Data],YES_Writing_FLA[#Data]),MATCH($A467,_xlfn.VSTACK(YES_Writing_ELA[Student Number],YES_Writing_FLA[Student Number]),0),MATCH(VLOOKUP(E$7,'Writing Logic'!$J$7:$K$11,2,FALSE)&amp;" - Per "&amp;VLOOKUP($C$4,'Writing Logic'!$G$8:$H$14,2,FALSE),YES_Writing_ELA[#Headers],0)))),"")</f>
        <v/>
      </c>
      <c r="F467" s="138" t="str">
        <f>IFERROR(IF(IF(INDEX(_xlfn.VSTACK(YES_Writing_ELA[#Data],YES_Writing_FLA[#Data]),MATCH($A467,_xlfn.VSTACK(YES_Writing_ELA[Student Number],YES_Writing_FLA[Student Number]),0),MATCH(VLOOKUP(F$7,'Writing Logic'!$J$7:$K$11,2,FALSE)&amp;" - Per "&amp;VLOOKUP($C$4,'Writing Logic'!$G$8:$H$14,2,FALSE),YES_Writing_ELA[#Headers],0))=0,"",INDEX(_xlfn.VSTACK(YES_Writing_ELA[#Data],YES_Writing_FLA[#Data]),MATCH($A467,_xlfn.VSTACK(YES_Writing_ELA[Student Number],YES_Writing_FLA[Student Number]),0),MATCH(VLOOKUP(F$7,'Writing Logic'!$J$7:$K$11,2,FALSE)&amp;" - Per "&amp;VLOOKUP($C$4,'Writing Logic'!$G$8:$H$14,2,FALSE),YES_Writing_ELA[#Headers],0)))="INS",'Writing Logic'!$B$7,IF(INDEX(_xlfn.VSTACK(YES_Writing_ELA[#Data],YES_Writing_FLA[#Data]),MATCH($A467,_xlfn.VSTACK(YES_Writing_ELA[Student Number],YES_Writing_FLA[Student Number]),0),MATCH(VLOOKUP(F$7,'Writing Logic'!$J$7:$K$11,2,FALSE)&amp;" - Per "&amp;VLOOKUP($C$4,'Writing Logic'!$G$8:$H$14,2,FALSE),YES_Writing_ELA[#Headers],0))=0,"",INDEX(_xlfn.VSTACK(YES_Writing_ELA[#Data],YES_Writing_FLA[#Data]),MATCH($A467,_xlfn.VSTACK(YES_Writing_ELA[Student Number],YES_Writing_FLA[Student Number]),0),MATCH(VLOOKUP(F$7,'Writing Logic'!$J$7:$K$11,2,FALSE)&amp;" - Per "&amp;VLOOKUP($C$4,'Writing Logic'!$G$8:$H$14,2,FALSE),YES_Writing_ELA[#Headers],0)))),"")</f>
        <v/>
      </c>
      <c r="G467" s="138" t="str">
        <f>IFERROR(IF(IF(INDEX(_xlfn.VSTACK(YES_Writing_ELA[#Data],YES_Writing_FLA[#Data]),MATCH($A467,_xlfn.VSTACK(YES_Writing_ELA[Student Number],YES_Writing_FLA[Student Number]),0),MATCH(VLOOKUP(G$7,'Writing Logic'!$J$7:$K$11,2,FALSE)&amp;" - Per "&amp;VLOOKUP($C$4,'Writing Logic'!$G$8:$H$14,2,FALSE),YES_Writing_ELA[#Headers],0))=0,"",INDEX(_xlfn.VSTACK(YES_Writing_ELA[#Data],YES_Writing_FLA[#Data]),MATCH($A467,_xlfn.VSTACK(YES_Writing_ELA[Student Number],YES_Writing_FLA[Student Number]),0),MATCH(VLOOKUP(G$7,'Writing Logic'!$J$7:$K$11,2,FALSE)&amp;" - Per "&amp;VLOOKUP($C$4,'Writing Logic'!$G$8:$H$14,2,FALSE),YES_Writing_ELA[#Headers],0)))="INS",'Writing Logic'!$B$7,IF(INDEX(_xlfn.VSTACK(YES_Writing_ELA[#Data],YES_Writing_FLA[#Data]),MATCH($A467,_xlfn.VSTACK(YES_Writing_ELA[Student Number],YES_Writing_FLA[Student Number]),0),MATCH(VLOOKUP(G$7,'Writing Logic'!$J$7:$K$11,2,FALSE)&amp;" - Per "&amp;VLOOKUP($C$4,'Writing Logic'!$G$8:$H$14,2,FALSE),YES_Writing_ELA[#Headers],0))=0,"",INDEX(_xlfn.VSTACK(YES_Writing_ELA[#Data],YES_Writing_FLA[#Data]),MATCH($A467,_xlfn.VSTACK(YES_Writing_ELA[Student Number],YES_Writing_FLA[Student Number]),0),MATCH(VLOOKUP(G$7,'Writing Logic'!$J$7:$K$11,2,FALSE)&amp;" - Per "&amp;VLOOKUP($C$4,'Writing Logic'!$G$8:$H$14,2,FALSE),YES_Writing_ELA[#Headers],0)))),"")</f>
        <v/>
      </c>
      <c r="H467" s="223" t="str">
        <f>IFERROR(IF(IF(INDEX(_xlfn.VSTACK(YES_Writing_ELA[#Data],YES_Writing_FLA[#Data]),MATCH($A467,_xlfn.VSTACK(YES_Writing_ELA[Student Number],YES_Writing_FLA[Student Number]),0),MATCH(VLOOKUP(H$7,'Writing Logic'!$J$7:$K$11,2,FALSE)&amp;" - Per "&amp;VLOOKUP($C$4,'Writing Logic'!$G$8:$H$14,2,FALSE),YES_Writing_ELA[#Headers],0))=0,"",INDEX(_xlfn.VSTACK(YES_Writing_ELA[#Data],YES_Writing_FLA[#Data]),MATCH($A467,_xlfn.VSTACK(YES_Writing_ELA[Student Number],YES_Writing_FLA[Student Number]),0),MATCH(VLOOKUP(H$7,'Writing Logic'!$J$7:$K$11,2,FALSE)&amp;" - Per "&amp;VLOOKUP($C$4,'Writing Logic'!$G$8:$H$14,2,FALSE),YES_Writing_ELA[#Headers],0)))="INS",'Writing Logic'!$B$7,IF(INDEX(_xlfn.VSTACK(YES_Writing_ELA[#Data],YES_Writing_FLA[#Data]),MATCH($A467,_xlfn.VSTACK(YES_Writing_ELA[Student Number],YES_Writing_FLA[Student Number]),0),MATCH(VLOOKUP(H$7,'Writing Logic'!$J$7:$K$11,2,FALSE)&amp;" - Per "&amp;VLOOKUP($C$4,'Writing Logic'!$G$8:$H$14,2,FALSE),YES_Writing_ELA[#Headers],0))=0,"",INDEX(_xlfn.VSTACK(YES_Writing_ELA[#Data],YES_Writing_FLA[#Data]),MATCH($A467,_xlfn.VSTACK(YES_Writing_ELA[Student Number],YES_Writing_FLA[Student Number]),0),MATCH(VLOOKUP(H$7,'Writing Logic'!$J$7:$K$11,2,FALSE)&amp;" - Per "&amp;VLOOKUP($C$4,'Writing Logic'!$G$8:$H$14,2,FALSE),YES_Writing_ELA[#Headers],0)))),"")</f>
        <v/>
      </c>
      <c r="I467" s="224" t="str" cm="1">
        <f t="array" aca="1" ref="I467" ca="1">IFERROR(
IF($G$3="ELA",
IF(VLOOKUP($A467, YES_Reading_ELA[], COLUMN(INDIRECT("YES_Reading_ELA[Difference - Per "&amp;VLOOKUP($G$4, 'Reading Report Logic'!$A$2:$B$8, 2, FALSE)&amp;"]")), FALSE)="", "",
VLOOKUP($A467,YES_Reading_ELA[], COLUMN(INDIRECT("YES_Reading_ELA[Difference - Per "&amp;VLOOKUP($G$4,'Reading Report Logic'!$A$2:$B$8,2,FALSE)&amp;"]")), FALSE)),
IF($G$3="FLA",
IF(VLOOKUP($A467, YES_Reading_FLA[], COLUMN(INDIRECT("YES_Reading_FLA[Difference - Per "&amp;VLOOKUP($G$4,'Reading Report Logic'!$A$2:$B$8,2,FALSE)&amp;"]")),FALSE)="","",
VLOOKUP($A467,YES_Reading_FLA[],COLUMN(INDIRECT("YES_Reading_FLA[Difference - Per "&amp;VLOOKUP($G$4,'Reading Report Logic'!$A$2:$B$8,2,FALSE)&amp;"]")),FALSE)),
IF($G$3="Combined",
IFERROR(
IF(VLOOKUP($A467, YES_Reading_ELA[], COLUMN(INDIRECT("YES_Reading_ELA[Difference - Per "&amp;VLOOKUP($G$4, 'Reading Report Logic'!$A$2:$B$8,2,FALSE)&amp;"]")), FALSE)="", "",
VLOOKUP($A467,YES_Reading_ELA[],COLUMN(INDIRECT("YES_Reading_ELA[Difference - Per "&amp;VLOOKUP($G$4,'Reading Report Logic'!$A$2:$B$8,2,FALSE)&amp;"]")),FALSE)),
IF(VLOOKUP($A467, YES_Reading_FLA[], COLUMN(INDIRECT("YES_Reading_FLA[Difference - Per "&amp;VLOOKUP($G$4, 'Reading Report Logic'!$A$2:$B$8, 2, FALSE)&amp;"]")),FALSE)="", "", VLOOKUP($A467,YES_Reading_FLA[],COLUMN(INDIRECT("YES_Reading_FLA[Difference - Per "&amp;VLOOKUP($G$4, 'Reading Report Logic'!$A$2:$B$8, 2, FALSE)&amp;"]")),FALSE))),""))),"")</f>
        <v/>
      </c>
    </row>
    <row r="468" spans="1:9" x14ac:dyDescent="0.25">
      <c r="A468" s="137"/>
      <c r="B468" s="137" t="str">
        <f>IFERROR(INDEX(_xlfn.VSTACK(YES_Writing_ELA[#Data], YES_Writing_FLA[#Data]),MATCH($A468,_xlfn.VSTACK(YES_Writing_ELA[Student Number], YES_Writing_FLA[Student Number]),0),MATCH(B$7,YES_Writing_ELA[#Headers],0)),IFERROR(INDEX(_xlfn.VSTACK(YES_Reading_ELA[#Data], YES_Reading_FLA[#Data]),MATCH($A468,_xlfn.VSTACK(YES_Reading_ELA[Student Number], YES_Reading_FLA[Student Number]),0),MATCH(B$7,YES_Reading_ELA[#Headers],0)),""))</f>
        <v/>
      </c>
      <c r="C468" s="137" t="str">
        <f>IFERROR(INDEX(_xlfn.VSTACK(YES_Writing_ELA[#Data], YES_Writing_FLA[#Data]),MATCH($A468,_xlfn.VSTACK(YES_Writing_ELA[Student Number], YES_Writing_FLA[Student Number]),0),MATCH(C$7,YES_Writing_ELA[#Headers],0)),IFERROR(INDEX(_xlfn.VSTACK(YES_Reading_ELA[#Data], YES_Reading_FLA[#Data]),MATCH($A468,_xlfn.VSTACK(YES_Reading_ELA[Student Number], YES_Reading_FLA[Student Number]),0),MATCH(C$7,YES_Reading_ELA[#Headers],0)),""))</f>
        <v/>
      </c>
      <c r="D468" s="138" t="str">
        <f>IFERROR(IF(IF(INDEX(_xlfn.VSTACK(YES_Writing_ELA[#Data],YES_Writing_FLA[#Data]),MATCH($A468,_xlfn.VSTACK(YES_Writing_ELA[Student Number],YES_Writing_FLA[Student Number]),0),MATCH(VLOOKUP(D$7,'Writing Logic'!$J$7:$K$11,2,FALSE)&amp;" - Per "&amp;VLOOKUP($C$4,'Writing Logic'!$G$8:$H$14,2,FALSE),YES_Writing_ELA[#Headers],0))=0,"",INDEX(_xlfn.VSTACK(YES_Writing_ELA[#Data],YES_Writing_FLA[#Data]),MATCH($A468,_xlfn.VSTACK(YES_Writing_ELA[Student Number],YES_Writing_FLA[Student Number]),0),MATCH(VLOOKUP(D$7,'Writing Logic'!$J$7:$K$11,2,FALSE)&amp;" - Per "&amp;VLOOKUP($C$4,'Writing Logic'!$G$8:$H$14,2,FALSE),YES_Writing_ELA[#Headers],0)))="INS",'Writing Logic'!$B$7,IF(INDEX(_xlfn.VSTACK(YES_Writing_ELA[#Data],YES_Writing_FLA[#Data]),MATCH($A468,_xlfn.VSTACK(YES_Writing_ELA[Student Number],YES_Writing_FLA[Student Number]),0),MATCH(VLOOKUP(D$7,'Writing Logic'!$J$7:$K$11,2,FALSE)&amp;" - Per "&amp;VLOOKUP($C$4,'Writing Logic'!$G$8:$H$14,2,FALSE),YES_Writing_ELA[#Headers],0))=0,"",INDEX(_xlfn.VSTACK(YES_Writing_ELA[#Data],YES_Writing_FLA[#Data]),MATCH($A468,_xlfn.VSTACK(YES_Writing_ELA[Student Number],YES_Writing_FLA[Student Number]),0),MATCH(VLOOKUP(D$7,'Writing Logic'!$J$7:$K$11,2,FALSE)&amp;" - Per "&amp;VLOOKUP($C$4,'Writing Logic'!$G$8:$H$14,2,FALSE),YES_Writing_ELA[#Headers],0)))),"")</f>
        <v/>
      </c>
      <c r="E468" s="138" t="str">
        <f>IFERROR(IF(IF(INDEX(_xlfn.VSTACK(YES_Writing_ELA[#Data],YES_Writing_FLA[#Data]),MATCH($A468,_xlfn.VSTACK(YES_Writing_ELA[Student Number],YES_Writing_FLA[Student Number]),0),MATCH(VLOOKUP(E$7,'Writing Logic'!$J$7:$K$11,2,FALSE)&amp;" - Per "&amp;VLOOKUP($C$4,'Writing Logic'!$G$8:$H$14,2,FALSE),YES_Writing_ELA[#Headers],0))=0,"",INDEX(_xlfn.VSTACK(YES_Writing_ELA[#Data],YES_Writing_FLA[#Data]),MATCH($A468,_xlfn.VSTACK(YES_Writing_ELA[Student Number],YES_Writing_FLA[Student Number]),0),MATCH(VLOOKUP(E$7,'Writing Logic'!$J$7:$K$11,2,FALSE)&amp;" - Per "&amp;VLOOKUP($C$4,'Writing Logic'!$G$8:$H$14,2,FALSE),YES_Writing_ELA[#Headers],0)))="INS",'Writing Logic'!$B$7,IF(INDEX(_xlfn.VSTACK(YES_Writing_ELA[#Data],YES_Writing_FLA[#Data]),MATCH($A468,_xlfn.VSTACK(YES_Writing_ELA[Student Number],YES_Writing_FLA[Student Number]),0),MATCH(VLOOKUP(E$7,'Writing Logic'!$J$7:$K$11,2,FALSE)&amp;" - Per "&amp;VLOOKUP($C$4,'Writing Logic'!$G$8:$H$14,2,FALSE),YES_Writing_ELA[#Headers],0))=0,"",INDEX(_xlfn.VSTACK(YES_Writing_ELA[#Data],YES_Writing_FLA[#Data]),MATCH($A468,_xlfn.VSTACK(YES_Writing_ELA[Student Number],YES_Writing_FLA[Student Number]),0),MATCH(VLOOKUP(E$7,'Writing Logic'!$J$7:$K$11,2,FALSE)&amp;" - Per "&amp;VLOOKUP($C$4,'Writing Logic'!$G$8:$H$14,2,FALSE),YES_Writing_ELA[#Headers],0)))),"")</f>
        <v/>
      </c>
      <c r="F468" s="138" t="str">
        <f>IFERROR(IF(IF(INDEX(_xlfn.VSTACK(YES_Writing_ELA[#Data],YES_Writing_FLA[#Data]),MATCH($A468,_xlfn.VSTACK(YES_Writing_ELA[Student Number],YES_Writing_FLA[Student Number]),0),MATCH(VLOOKUP(F$7,'Writing Logic'!$J$7:$K$11,2,FALSE)&amp;" - Per "&amp;VLOOKUP($C$4,'Writing Logic'!$G$8:$H$14,2,FALSE),YES_Writing_ELA[#Headers],0))=0,"",INDEX(_xlfn.VSTACK(YES_Writing_ELA[#Data],YES_Writing_FLA[#Data]),MATCH($A468,_xlfn.VSTACK(YES_Writing_ELA[Student Number],YES_Writing_FLA[Student Number]),0),MATCH(VLOOKUP(F$7,'Writing Logic'!$J$7:$K$11,2,FALSE)&amp;" - Per "&amp;VLOOKUP($C$4,'Writing Logic'!$G$8:$H$14,2,FALSE),YES_Writing_ELA[#Headers],0)))="INS",'Writing Logic'!$B$7,IF(INDEX(_xlfn.VSTACK(YES_Writing_ELA[#Data],YES_Writing_FLA[#Data]),MATCH($A468,_xlfn.VSTACK(YES_Writing_ELA[Student Number],YES_Writing_FLA[Student Number]),0),MATCH(VLOOKUP(F$7,'Writing Logic'!$J$7:$K$11,2,FALSE)&amp;" - Per "&amp;VLOOKUP($C$4,'Writing Logic'!$G$8:$H$14,2,FALSE),YES_Writing_ELA[#Headers],0))=0,"",INDEX(_xlfn.VSTACK(YES_Writing_ELA[#Data],YES_Writing_FLA[#Data]),MATCH($A468,_xlfn.VSTACK(YES_Writing_ELA[Student Number],YES_Writing_FLA[Student Number]),0),MATCH(VLOOKUP(F$7,'Writing Logic'!$J$7:$K$11,2,FALSE)&amp;" - Per "&amp;VLOOKUP($C$4,'Writing Logic'!$G$8:$H$14,2,FALSE),YES_Writing_ELA[#Headers],0)))),"")</f>
        <v/>
      </c>
      <c r="G468" s="138" t="str">
        <f>IFERROR(IF(IF(INDEX(_xlfn.VSTACK(YES_Writing_ELA[#Data],YES_Writing_FLA[#Data]),MATCH($A468,_xlfn.VSTACK(YES_Writing_ELA[Student Number],YES_Writing_FLA[Student Number]),0),MATCH(VLOOKUP(G$7,'Writing Logic'!$J$7:$K$11,2,FALSE)&amp;" - Per "&amp;VLOOKUP($C$4,'Writing Logic'!$G$8:$H$14,2,FALSE),YES_Writing_ELA[#Headers],0))=0,"",INDEX(_xlfn.VSTACK(YES_Writing_ELA[#Data],YES_Writing_FLA[#Data]),MATCH($A468,_xlfn.VSTACK(YES_Writing_ELA[Student Number],YES_Writing_FLA[Student Number]),0),MATCH(VLOOKUP(G$7,'Writing Logic'!$J$7:$K$11,2,FALSE)&amp;" - Per "&amp;VLOOKUP($C$4,'Writing Logic'!$G$8:$H$14,2,FALSE),YES_Writing_ELA[#Headers],0)))="INS",'Writing Logic'!$B$7,IF(INDEX(_xlfn.VSTACK(YES_Writing_ELA[#Data],YES_Writing_FLA[#Data]),MATCH($A468,_xlfn.VSTACK(YES_Writing_ELA[Student Number],YES_Writing_FLA[Student Number]),0),MATCH(VLOOKUP(G$7,'Writing Logic'!$J$7:$K$11,2,FALSE)&amp;" - Per "&amp;VLOOKUP($C$4,'Writing Logic'!$G$8:$H$14,2,FALSE),YES_Writing_ELA[#Headers],0))=0,"",INDEX(_xlfn.VSTACK(YES_Writing_ELA[#Data],YES_Writing_FLA[#Data]),MATCH($A468,_xlfn.VSTACK(YES_Writing_ELA[Student Number],YES_Writing_FLA[Student Number]),0),MATCH(VLOOKUP(G$7,'Writing Logic'!$J$7:$K$11,2,FALSE)&amp;" - Per "&amp;VLOOKUP($C$4,'Writing Logic'!$G$8:$H$14,2,FALSE),YES_Writing_ELA[#Headers],0)))),"")</f>
        <v/>
      </c>
      <c r="H468" s="223" t="str">
        <f>IFERROR(IF(IF(INDEX(_xlfn.VSTACK(YES_Writing_ELA[#Data],YES_Writing_FLA[#Data]),MATCH($A468,_xlfn.VSTACK(YES_Writing_ELA[Student Number],YES_Writing_FLA[Student Number]),0),MATCH(VLOOKUP(H$7,'Writing Logic'!$J$7:$K$11,2,FALSE)&amp;" - Per "&amp;VLOOKUP($C$4,'Writing Logic'!$G$8:$H$14,2,FALSE),YES_Writing_ELA[#Headers],0))=0,"",INDEX(_xlfn.VSTACK(YES_Writing_ELA[#Data],YES_Writing_FLA[#Data]),MATCH($A468,_xlfn.VSTACK(YES_Writing_ELA[Student Number],YES_Writing_FLA[Student Number]),0),MATCH(VLOOKUP(H$7,'Writing Logic'!$J$7:$K$11,2,FALSE)&amp;" - Per "&amp;VLOOKUP($C$4,'Writing Logic'!$G$8:$H$14,2,FALSE),YES_Writing_ELA[#Headers],0)))="INS",'Writing Logic'!$B$7,IF(INDEX(_xlfn.VSTACK(YES_Writing_ELA[#Data],YES_Writing_FLA[#Data]),MATCH($A468,_xlfn.VSTACK(YES_Writing_ELA[Student Number],YES_Writing_FLA[Student Number]),0),MATCH(VLOOKUP(H$7,'Writing Logic'!$J$7:$K$11,2,FALSE)&amp;" - Per "&amp;VLOOKUP($C$4,'Writing Logic'!$G$8:$H$14,2,FALSE),YES_Writing_ELA[#Headers],0))=0,"",INDEX(_xlfn.VSTACK(YES_Writing_ELA[#Data],YES_Writing_FLA[#Data]),MATCH($A468,_xlfn.VSTACK(YES_Writing_ELA[Student Number],YES_Writing_FLA[Student Number]),0),MATCH(VLOOKUP(H$7,'Writing Logic'!$J$7:$K$11,2,FALSE)&amp;" - Per "&amp;VLOOKUP($C$4,'Writing Logic'!$G$8:$H$14,2,FALSE),YES_Writing_ELA[#Headers],0)))),"")</f>
        <v/>
      </c>
      <c r="I468" s="224" t="str" cm="1">
        <f t="array" aca="1" ref="I468" ca="1">IFERROR(
IF($G$3="ELA",
IF(VLOOKUP($A468, YES_Reading_ELA[], COLUMN(INDIRECT("YES_Reading_ELA[Difference - Per "&amp;VLOOKUP($G$4, 'Reading Report Logic'!$A$2:$B$8, 2, FALSE)&amp;"]")), FALSE)="", "",
VLOOKUP($A468,YES_Reading_ELA[], COLUMN(INDIRECT("YES_Reading_ELA[Difference - Per "&amp;VLOOKUP($G$4,'Reading Report Logic'!$A$2:$B$8,2,FALSE)&amp;"]")), FALSE)),
IF($G$3="FLA",
IF(VLOOKUP($A468, YES_Reading_FLA[], COLUMN(INDIRECT("YES_Reading_FLA[Difference - Per "&amp;VLOOKUP($G$4,'Reading Report Logic'!$A$2:$B$8,2,FALSE)&amp;"]")),FALSE)="","",
VLOOKUP($A468,YES_Reading_FLA[],COLUMN(INDIRECT("YES_Reading_FLA[Difference - Per "&amp;VLOOKUP($G$4,'Reading Report Logic'!$A$2:$B$8,2,FALSE)&amp;"]")),FALSE)),
IF($G$3="Combined",
IFERROR(
IF(VLOOKUP($A468, YES_Reading_ELA[], COLUMN(INDIRECT("YES_Reading_ELA[Difference - Per "&amp;VLOOKUP($G$4, 'Reading Report Logic'!$A$2:$B$8,2,FALSE)&amp;"]")), FALSE)="", "",
VLOOKUP($A468,YES_Reading_ELA[],COLUMN(INDIRECT("YES_Reading_ELA[Difference - Per "&amp;VLOOKUP($G$4,'Reading Report Logic'!$A$2:$B$8,2,FALSE)&amp;"]")),FALSE)),
IF(VLOOKUP($A468, YES_Reading_FLA[], COLUMN(INDIRECT("YES_Reading_FLA[Difference - Per "&amp;VLOOKUP($G$4, 'Reading Report Logic'!$A$2:$B$8, 2, FALSE)&amp;"]")),FALSE)="", "", VLOOKUP($A468,YES_Reading_FLA[],COLUMN(INDIRECT("YES_Reading_FLA[Difference - Per "&amp;VLOOKUP($G$4, 'Reading Report Logic'!$A$2:$B$8, 2, FALSE)&amp;"]")),FALSE))),""))),"")</f>
        <v/>
      </c>
    </row>
    <row r="469" spans="1:9" x14ac:dyDescent="0.25">
      <c r="A469" s="137"/>
      <c r="B469" s="137" t="str">
        <f>IFERROR(INDEX(_xlfn.VSTACK(YES_Writing_ELA[#Data], YES_Writing_FLA[#Data]),MATCH($A469,_xlfn.VSTACK(YES_Writing_ELA[Student Number], YES_Writing_FLA[Student Number]),0),MATCH(B$7,YES_Writing_ELA[#Headers],0)),IFERROR(INDEX(_xlfn.VSTACK(YES_Reading_ELA[#Data], YES_Reading_FLA[#Data]),MATCH($A469,_xlfn.VSTACK(YES_Reading_ELA[Student Number], YES_Reading_FLA[Student Number]),0),MATCH(B$7,YES_Reading_ELA[#Headers],0)),""))</f>
        <v/>
      </c>
      <c r="C469" s="137" t="str">
        <f>IFERROR(INDEX(_xlfn.VSTACK(YES_Writing_ELA[#Data], YES_Writing_FLA[#Data]),MATCH($A469,_xlfn.VSTACK(YES_Writing_ELA[Student Number], YES_Writing_FLA[Student Number]),0),MATCH(C$7,YES_Writing_ELA[#Headers],0)),IFERROR(INDEX(_xlfn.VSTACK(YES_Reading_ELA[#Data], YES_Reading_FLA[#Data]),MATCH($A469,_xlfn.VSTACK(YES_Reading_ELA[Student Number], YES_Reading_FLA[Student Number]),0),MATCH(C$7,YES_Reading_ELA[#Headers],0)),""))</f>
        <v/>
      </c>
      <c r="D469" s="138" t="str">
        <f>IFERROR(IF(IF(INDEX(_xlfn.VSTACK(YES_Writing_ELA[#Data],YES_Writing_FLA[#Data]),MATCH($A469,_xlfn.VSTACK(YES_Writing_ELA[Student Number],YES_Writing_FLA[Student Number]),0),MATCH(VLOOKUP(D$7,'Writing Logic'!$J$7:$K$11,2,FALSE)&amp;" - Per "&amp;VLOOKUP($C$4,'Writing Logic'!$G$8:$H$14,2,FALSE),YES_Writing_ELA[#Headers],0))=0,"",INDEX(_xlfn.VSTACK(YES_Writing_ELA[#Data],YES_Writing_FLA[#Data]),MATCH($A469,_xlfn.VSTACK(YES_Writing_ELA[Student Number],YES_Writing_FLA[Student Number]),0),MATCH(VLOOKUP(D$7,'Writing Logic'!$J$7:$K$11,2,FALSE)&amp;" - Per "&amp;VLOOKUP($C$4,'Writing Logic'!$G$8:$H$14,2,FALSE),YES_Writing_ELA[#Headers],0)))="INS",'Writing Logic'!$B$7,IF(INDEX(_xlfn.VSTACK(YES_Writing_ELA[#Data],YES_Writing_FLA[#Data]),MATCH($A469,_xlfn.VSTACK(YES_Writing_ELA[Student Number],YES_Writing_FLA[Student Number]),0),MATCH(VLOOKUP(D$7,'Writing Logic'!$J$7:$K$11,2,FALSE)&amp;" - Per "&amp;VLOOKUP($C$4,'Writing Logic'!$G$8:$H$14,2,FALSE),YES_Writing_ELA[#Headers],0))=0,"",INDEX(_xlfn.VSTACK(YES_Writing_ELA[#Data],YES_Writing_FLA[#Data]),MATCH($A469,_xlfn.VSTACK(YES_Writing_ELA[Student Number],YES_Writing_FLA[Student Number]),0),MATCH(VLOOKUP(D$7,'Writing Logic'!$J$7:$K$11,2,FALSE)&amp;" - Per "&amp;VLOOKUP($C$4,'Writing Logic'!$G$8:$H$14,2,FALSE),YES_Writing_ELA[#Headers],0)))),"")</f>
        <v/>
      </c>
      <c r="E469" s="138" t="str">
        <f>IFERROR(IF(IF(INDEX(_xlfn.VSTACK(YES_Writing_ELA[#Data],YES_Writing_FLA[#Data]),MATCH($A469,_xlfn.VSTACK(YES_Writing_ELA[Student Number],YES_Writing_FLA[Student Number]),0),MATCH(VLOOKUP(E$7,'Writing Logic'!$J$7:$K$11,2,FALSE)&amp;" - Per "&amp;VLOOKUP($C$4,'Writing Logic'!$G$8:$H$14,2,FALSE),YES_Writing_ELA[#Headers],0))=0,"",INDEX(_xlfn.VSTACK(YES_Writing_ELA[#Data],YES_Writing_FLA[#Data]),MATCH($A469,_xlfn.VSTACK(YES_Writing_ELA[Student Number],YES_Writing_FLA[Student Number]),0),MATCH(VLOOKUP(E$7,'Writing Logic'!$J$7:$K$11,2,FALSE)&amp;" - Per "&amp;VLOOKUP($C$4,'Writing Logic'!$G$8:$H$14,2,FALSE),YES_Writing_ELA[#Headers],0)))="INS",'Writing Logic'!$B$7,IF(INDEX(_xlfn.VSTACK(YES_Writing_ELA[#Data],YES_Writing_FLA[#Data]),MATCH($A469,_xlfn.VSTACK(YES_Writing_ELA[Student Number],YES_Writing_FLA[Student Number]),0),MATCH(VLOOKUP(E$7,'Writing Logic'!$J$7:$K$11,2,FALSE)&amp;" - Per "&amp;VLOOKUP($C$4,'Writing Logic'!$G$8:$H$14,2,FALSE),YES_Writing_ELA[#Headers],0))=0,"",INDEX(_xlfn.VSTACK(YES_Writing_ELA[#Data],YES_Writing_FLA[#Data]),MATCH($A469,_xlfn.VSTACK(YES_Writing_ELA[Student Number],YES_Writing_FLA[Student Number]),0),MATCH(VLOOKUP(E$7,'Writing Logic'!$J$7:$K$11,2,FALSE)&amp;" - Per "&amp;VLOOKUP($C$4,'Writing Logic'!$G$8:$H$14,2,FALSE),YES_Writing_ELA[#Headers],0)))),"")</f>
        <v/>
      </c>
      <c r="F469" s="138" t="str">
        <f>IFERROR(IF(IF(INDEX(_xlfn.VSTACK(YES_Writing_ELA[#Data],YES_Writing_FLA[#Data]),MATCH($A469,_xlfn.VSTACK(YES_Writing_ELA[Student Number],YES_Writing_FLA[Student Number]),0),MATCH(VLOOKUP(F$7,'Writing Logic'!$J$7:$K$11,2,FALSE)&amp;" - Per "&amp;VLOOKUP($C$4,'Writing Logic'!$G$8:$H$14,2,FALSE),YES_Writing_ELA[#Headers],0))=0,"",INDEX(_xlfn.VSTACK(YES_Writing_ELA[#Data],YES_Writing_FLA[#Data]),MATCH($A469,_xlfn.VSTACK(YES_Writing_ELA[Student Number],YES_Writing_FLA[Student Number]),0),MATCH(VLOOKUP(F$7,'Writing Logic'!$J$7:$K$11,2,FALSE)&amp;" - Per "&amp;VLOOKUP($C$4,'Writing Logic'!$G$8:$H$14,2,FALSE),YES_Writing_ELA[#Headers],0)))="INS",'Writing Logic'!$B$7,IF(INDEX(_xlfn.VSTACK(YES_Writing_ELA[#Data],YES_Writing_FLA[#Data]),MATCH($A469,_xlfn.VSTACK(YES_Writing_ELA[Student Number],YES_Writing_FLA[Student Number]),0),MATCH(VLOOKUP(F$7,'Writing Logic'!$J$7:$K$11,2,FALSE)&amp;" - Per "&amp;VLOOKUP($C$4,'Writing Logic'!$G$8:$H$14,2,FALSE),YES_Writing_ELA[#Headers],0))=0,"",INDEX(_xlfn.VSTACK(YES_Writing_ELA[#Data],YES_Writing_FLA[#Data]),MATCH($A469,_xlfn.VSTACK(YES_Writing_ELA[Student Number],YES_Writing_FLA[Student Number]),0),MATCH(VLOOKUP(F$7,'Writing Logic'!$J$7:$K$11,2,FALSE)&amp;" - Per "&amp;VLOOKUP($C$4,'Writing Logic'!$G$8:$H$14,2,FALSE),YES_Writing_ELA[#Headers],0)))),"")</f>
        <v/>
      </c>
      <c r="G469" s="138" t="str">
        <f>IFERROR(IF(IF(INDEX(_xlfn.VSTACK(YES_Writing_ELA[#Data],YES_Writing_FLA[#Data]),MATCH($A469,_xlfn.VSTACK(YES_Writing_ELA[Student Number],YES_Writing_FLA[Student Number]),0),MATCH(VLOOKUP(G$7,'Writing Logic'!$J$7:$K$11,2,FALSE)&amp;" - Per "&amp;VLOOKUP($C$4,'Writing Logic'!$G$8:$H$14,2,FALSE),YES_Writing_ELA[#Headers],0))=0,"",INDEX(_xlfn.VSTACK(YES_Writing_ELA[#Data],YES_Writing_FLA[#Data]),MATCH($A469,_xlfn.VSTACK(YES_Writing_ELA[Student Number],YES_Writing_FLA[Student Number]),0),MATCH(VLOOKUP(G$7,'Writing Logic'!$J$7:$K$11,2,FALSE)&amp;" - Per "&amp;VLOOKUP($C$4,'Writing Logic'!$G$8:$H$14,2,FALSE),YES_Writing_ELA[#Headers],0)))="INS",'Writing Logic'!$B$7,IF(INDEX(_xlfn.VSTACK(YES_Writing_ELA[#Data],YES_Writing_FLA[#Data]),MATCH($A469,_xlfn.VSTACK(YES_Writing_ELA[Student Number],YES_Writing_FLA[Student Number]),0),MATCH(VLOOKUP(G$7,'Writing Logic'!$J$7:$K$11,2,FALSE)&amp;" - Per "&amp;VLOOKUP($C$4,'Writing Logic'!$G$8:$H$14,2,FALSE),YES_Writing_ELA[#Headers],0))=0,"",INDEX(_xlfn.VSTACK(YES_Writing_ELA[#Data],YES_Writing_FLA[#Data]),MATCH($A469,_xlfn.VSTACK(YES_Writing_ELA[Student Number],YES_Writing_FLA[Student Number]),0),MATCH(VLOOKUP(G$7,'Writing Logic'!$J$7:$K$11,2,FALSE)&amp;" - Per "&amp;VLOOKUP($C$4,'Writing Logic'!$G$8:$H$14,2,FALSE),YES_Writing_ELA[#Headers],0)))),"")</f>
        <v/>
      </c>
      <c r="H469" s="223" t="str">
        <f>IFERROR(IF(IF(INDEX(_xlfn.VSTACK(YES_Writing_ELA[#Data],YES_Writing_FLA[#Data]),MATCH($A469,_xlfn.VSTACK(YES_Writing_ELA[Student Number],YES_Writing_FLA[Student Number]),0),MATCH(VLOOKUP(H$7,'Writing Logic'!$J$7:$K$11,2,FALSE)&amp;" - Per "&amp;VLOOKUP($C$4,'Writing Logic'!$G$8:$H$14,2,FALSE),YES_Writing_ELA[#Headers],0))=0,"",INDEX(_xlfn.VSTACK(YES_Writing_ELA[#Data],YES_Writing_FLA[#Data]),MATCH($A469,_xlfn.VSTACK(YES_Writing_ELA[Student Number],YES_Writing_FLA[Student Number]),0),MATCH(VLOOKUP(H$7,'Writing Logic'!$J$7:$K$11,2,FALSE)&amp;" - Per "&amp;VLOOKUP($C$4,'Writing Logic'!$G$8:$H$14,2,FALSE),YES_Writing_ELA[#Headers],0)))="INS",'Writing Logic'!$B$7,IF(INDEX(_xlfn.VSTACK(YES_Writing_ELA[#Data],YES_Writing_FLA[#Data]),MATCH($A469,_xlfn.VSTACK(YES_Writing_ELA[Student Number],YES_Writing_FLA[Student Number]),0),MATCH(VLOOKUP(H$7,'Writing Logic'!$J$7:$K$11,2,FALSE)&amp;" - Per "&amp;VLOOKUP($C$4,'Writing Logic'!$G$8:$H$14,2,FALSE),YES_Writing_ELA[#Headers],0))=0,"",INDEX(_xlfn.VSTACK(YES_Writing_ELA[#Data],YES_Writing_FLA[#Data]),MATCH($A469,_xlfn.VSTACK(YES_Writing_ELA[Student Number],YES_Writing_FLA[Student Number]),0),MATCH(VLOOKUP(H$7,'Writing Logic'!$J$7:$K$11,2,FALSE)&amp;" - Per "&amp;VLOOKUP($C$4,'Writing Logic'!$G$8:$H$14,2,FALSE),YES_Writing_ELA[#Headers],0)))),"")</f>
        <v/>
      </c>
      <c r="I469" s="224" t="str" cm="1">
        <f t="array" aca="1" ref="I469" ca="1">IFERROR(
IF($G$3="ELA",
IF(VLOOKUP($A469, YES_Reading_ELA[], COLUMN(INDIRECT("YES_Reading_ELA[Difference - Per "&amp;VLOOKUP($G$4, 'Reading Report Logic'!$A$2:$B$8, 2, FALSE)&amp;"]")), FALSE)="", "",
VLOOKUP($A469,YES_Reading_ELA[], COLUMN(INDIRECT("YES_Reading_ELA[Difference - Per "&amp;VLOOKUP($G$4,'Reading Report Logic'!$A$2:$B$8,2,FALSE)&amp;"]")), FALSE)),
IF($G$3="FLA",
IF(VLOOKUP($A469, YES_Reading_FLA[], COLUMN(INDIRECT("YES_Reading_FLA[Difference - Per "&amp;VLOOKUP($G$4,'Reading Report Logic'!$A$2:$B$8,2,FALSE)&amp;"]")),FALSE)="","",
VLOOKUP($A469,YES_Reading_FLA[],COLUMN(INDIRECT("YES_Reading_FLA[Difference - Per "&amp;VLOOKUP($G$4,'Reading Report Logic'!$A$2:$B$8,2,FALSE)&amp;"]")),FALSE)),
IF($G$3="Combined",
IFERROR(
IF(VLOOKUP($A469, YES_Reading_ELA[], COLUMN(INDIRECT("YES_Reading_ELA[Difference - Per "&amp;VLOOKUP($G$4, 'Reading Report Logic'!$A$2:$B$8,2,FALSE)&amp;"]")), FALSE)="", "",
VLOOKUP($A469,YES_Reading_ELA[],COLUMN(INDIRECT("YES_Reading_ELA[Difference - Per "&amp;VLOOKUP($G$4,'Reading Report Logic'!$A$2:$B$8,2,FALSE)&amp;"]")),FALSE)),
IF(VLOOKUP($A469, YES_Reading_FLA[], COLUMN(INDIRECT("YES_Reading_FLA[Difference - Per "&amp;VLOOKUP($G$4, 'Reading Report Logic'!$A$2:$B$8, 2, FALSE)&amp;"]")),FALSE)="", "", VLOOKUP($A469,YES_Reading_FLA[],COLUMN(INDIRECT("YES_Reading_FLA[Difference - Per "&amp;VLOOKUP($G$4, 'Reading Report Logic'!$A$2:$B$8, 2, FALSE)&amp;"]")),FALSE))),""))),"")</f>
        <v/>
      </c>
    </row>
    <row r="470" spans="1:9" x14ac:dyDescent="0.25">
      <c r="A470" s="137"/>
      <c r="B470" s="137" t="str">
        <f>IFERROR(INDEX(_xlfn.VSTACK(YES_Writing_ELA[#Data], YES_Writing_FLA[#Data]),MATCH($A470,_xlfn.VSTACK(YES_Writing_ELA[Student Number], YES_Writing_FLA[Student Number]),0),MATCH(B$7,YES_Writing_ELA[#Headers],0)),IFERROR(INDEX(_xlfn.VSTACK(YES_Reading_ELA[#Data], YES_Reading_FLA[#Data]),MATCH($A470,_xlfn.VSTACK(YES_Reading_ELA[Student Number], YES_Reading_FLA[Student Number]),0),MATCH(B$7,YES_Reading_ELA[#Headers],0)),""))</f>
        <v/>
      </c>
      <c r="C470" s="137" t="str">
        <f>IFERROR(INDEX(_xlfn.VSTACK(YES_Writing_ELA[#Data], YES_Writing_FLA[#Data]),MATCH($A470,_xlfn.VSTACK(YES_Writing_ELA[Student Number], YES_Writing_FLA[Student Number]),0),MATCH(C$7,YES_Writing_ELA[#Headers],0)),IFERROR(INDEX(_xlfn.VSTACK(YES_Reading_ELA[#Data], YES_Reading_FLA[#Data]),MATCH($A470,_xlfn.VSTACK(YES_Reading_ELA[Student Number], YES_Reading_FLA[Student Number]),0),MATCH(C$7,YES_Reading_ELA[#Headers],0)),""))</f>
        <v/>
      </c>
      <c r="D470" s="138" t="str">
        <f>IFERROR(IF(IF(INDEX(_xlfn.VSTACK(YES_Writing_ELA[#Data],YES_Writing_FLA[#Data]),MATCH($A470,_xlfn.VSTACK(YES_Writing_ELA[Student Number],YES_Writing_FLA[Student Number]),0),MATCH(VLOOKUP(D$7,'Writing Logic'!$J$7:$K$11,2,FALSE)&amp;" - Per "&amp;VLOOKUP($C$4,'Writing Logic'!$G$8:$H$14,2,FALSE),YES_Writing_ELA[#Headers],0))=0,"",INDEX(_xlfn.VSTACK(YES_Writing_ELA[#Data],YES_Writing_FLA[#Data]),MATCH($A470,_xlfn.VSTACK(YES_Writing_ELA[Student Number],YES_Writing_FLA[Student Number]),0),MATCH(VLOOKUP(D$7,'Writing Logic'!$J$7:$K$11,2,FALSE)&amp;" - Per "&amp;VLOOKUP($C$4,'Writing Logic'!$G$8:$H$14,2,FALSE),YES_Writing_ELA[#Headers],0)))="INS",'Writing Logic'!$B$7,IF(INDEX(_xlfn.VSTACK(YES_Writing_ELA[#Data],YES_Writing_FLA[#Data]),MATCH($A470,_xlfn.VSTACK(YES_Writing_ELA[Student Number],YES_Writing_FLA[Student Number]),0),MATCH(VLOOKUP(D$7,'Writing Logic'!$J$7:$K$11,2,FALSE)&amp;" - Per "&amp;VLOOKUP($C$4,'Writing Logic'!$G$8:$H$14,2,FALSE),YES_Writing_ELA[#Headers],0))=0,"",INDEX(_xlfn.VSTACK(YES_Writing_ELA[#Data],YES_Writing_FLA[#Data]),MATCH($A470,_xlfn.VSTACK(YES_Writing_ELA[Student Number],YES_Writing_FLA[Student Number]),0),MATCH(VLOOKUP(D$7,'Writing Logic'!$J$7:$K$11,2,FALSE)&amp;" - Per "&amp;VLOOKUP($C$4,'Writing Logic'!$G$8:$H$14,2,FALSE),YES_Writing_ELA[#Headers],0)))),"")</f>
        <v/>
      </c>
      <c r="E470" s="138" t="str">
        <f>IFERROR(IF(IF(INDEX(_xlfn.VSTACK(YES_Writing_ELA[#Data],YES_Writing_FLA[#Data]),MATCH($A470,_xlfn.VSTACK(YES_Writing_ELA[Student Number],YES_Writing_FLA[Student Number]),0),MATCH(VLOOKUP(E$7,'Writing Logic'!$J$7:$K$11,2,FALSE)&amp;" - Per "&amp;VLOOKUP($C$4,'Writing Logic'!$G$8:$H$14,2,FALSE),YES_Writing_ELA[#Headers],0))=0,"",INDEX(_xlfn.VSTACK(YES_Writing_ELA[#Data],YES_Writing_FLA[#Data]),MATCH($A470,_xlfn.VSTACK(YES_Writing_ELA[Student Number],YES_Writing_FLA[Student Number]),0),MATCH(VLOOKUP(E$7,'Writing Logic'!$J$7:$K$11,2,FALSE)&amp;" - Per "&amp;VLOOKUP($C$4,'Writing Logic'!$G$8:$H$14,2,FALSE),YES_Writing_ELA[#Headers],0)))="INS",'Writing Logic'!$B$7,IF(INDEX(_xlfn.VSTACK(YES_Writing_ELA[#Data],YES_Writing_FLA[#Data]),MATCH($A470,_xlfn.VSTACK(YES_Writing_ELA[Student Number],YES_Writing_FLA[Student Number]),0),MATCH(VLOOKUP(E$7,'Writing Logic'!$J$7:$K$11,2,FALSE)&amp;" - Per "&amp;VLOOKUP($C$4,'Writing Logic'!$G$8:$H$14,2,FALSE),YES_Writing_ELA[#Headers],0))=0,"",INDEX(_xlfn.VSTACK(YES_Writing_ELA[#Data],YES_Writing_FLA[#Data]),MATCH($A470,_xlfn.VSTACK(YES_Writing_ELA[Student Number],YES_Writing_FLA[Student Number]),0),MATCH(VLOOKUP(E$7,'Writing Logic'!$J$7:$K$11,2,FALSE)&amp;" - Per "&amp;VLOOKUP($C$4,'Writing Logic'!$G$8:$H$14,2,FALSE),YES_Writing_ELA[#Headers],0)))),"")</f>
        <v/>
      </c>
      <c r="F470" s="138" t="str">
        <f>IFERROR(IF(IF(INDEX(_xlfn.VSTACK(YES_Writing_ELA[#Data],YES_Writing_FLA[#Data]),MATCH($A470,_xlfn.VSTACK(YES_Writing_ELA[Student Number],YES_Writing_FLA[Student Number]),0),MATCH(VLOOKUP(F$7,'Writing Logic'!$J$7:$K$11,2,FALSE)&amp;" - Per "&amp;VLOOKUP($C$4,'Writing Logic'!$G$8:$H$14,2,FALSE),YES_Writing_ELA[#Headers],0))=0,"",INDEX(_xlfn.VSTACK(YES_Writing_ELA[#Data],YES_Writing_FLA[#Data]),MATCH($A470,_xlfn.VSTACK(YES_Writing_ELA[Student Number],YES_Writing_FLA[Student Number]),0),MATCH(VLOOKUP(F$7,'Writing Logic'!$J$7:$K$11,2,FALSE)&amp;" - Per "&amp;VLOOKUP($C$4,'Writing Logic'!$G$8:$H$14,2,FALSE),YES_Writing_ELA[#Headers],0)))="INS",'Writing Logic'!$B$7,IF(INDEX(_xlfn.VSTACK(YES_Writing_ELA[#Data],YES_Writing_FLA[#Data]),MATCH($A470,_xlfn.VSTACK(YES_Writing_ELA[Student Number],YES_Writing_FLA[Student Number]),0),MATCH(VLOOKUP(F$7,'Writing Logic'!$J$7:$K$11,2,FALSE)&amp;" - Per "&amp;VLOOKUP($C$4,'Writing Logic'!$G$8:$H$14,2,FALSE),YES_Writing_ELA[#Headers],0))=0,"",INDEX(_xlfn.VSTACK(YES_Writing_ELA[#Data],YES_Writing_FLA[#Data]),MATCH($A470,_xlfn.VSTACK(YES_Writing_ELA[Student Number],YES_Writing_FLA[Student Number]),0),MATCH(VLOOKUP(F$7,'Writing Logic'!$J$7:$K$11,2,FALSE)&amp;" - Per "&amp;VLOOKUP($C$4,'Writing Logic'!$G$8:$H$14,2,FALSE),YES_Writing_ELA[#Headers],0)))),"")</f>
        <v/>
      </c>
      <c r="G470" s="138" t="str">
        <f>IFERROR(IF(IF(INDEX(_xlfn.VSTACK(YES_Writing_ELA[#Data],YES_Writing_FLA[#Data]),MATCH($A470,_xlfn.VSTACK(YES_Writing_ELA[Student Number],YES_Writing_FLA[Student Number]),0),MATCH(VLOOKUP(G$7,'Writing Logic'!$J$7:$K$11,2,FALSE)&amp;" - Per "&amp;VLOOKUP($C$4,'Writing Logic'!$G$8:$H$14,2,FALSE),YES_Writing_ELA[#Headers],0))=0,"",INDEX(_xlfn.VSTACK(YES_Writing_ELA[#Data],YES_Writing_FLA[#Data]),MATCH($A470,_xlfn.VSTACK(YES_Writing_ELA[Student Number],YES_Writing_FLA[Student Number]),0),MATCH(VLOOKUP(G$7,'Writing Logic'!$J$7:$K$11,2,FALSE)&amp;" - Per "&amp;VLOOKUP($C$4,'Writing Logic'!$G$8:$H$14,2,FALSE),YES_Writing_ELA[#Headers],0)))="INS",'Writing Logic'!$B$7,IF(INDEX(_xlfn.VSTACK(YES_Writing_ELA[#Data],YES_Writing_FLA[#Data]),MATCH($A470,_xlfn.VSTACK(YES_Writing_ELA[Student Number],YES_Writing_FLA[Student Number]),0),MATCH(VLOOKUP(G$7,'Writing Logic'!$J$7:$K$11,2,FALSE)&amp;" - Per "&amp;VLOOKUP($C$4,'Writing Logic'!$G$8:$H$14,2,FALSE),YES_Writing_ELA[#Headers],0))=0,"",INDEX(_xlfn.VSTACK(YES_Writing_ELA[#Data],YES_Writing_FLA[#Data]),MATCH($A470,_xlfn.VSTACK(YES_Writing_ELA[Student Number],YES_Writing_FLA[Student Number]),0),MATCH(VLOOKUP(G$7,'Writing Logic'!$J$7:$K$11,2,FALSE)&amp;" - Per "&amp;VLOOKUP($C$4,'Writing Logic'!$G$8:$H$14,2,FALSE),YES_Writing_ELA[#Headers],0)))),"")</f>
        <v/>
      </c>
      <c r="H470" s="223" t="str">
        <f>IFERROR(IF(IF(INDEX(_xlfn.VSTACK(YES_Writing_ELA[#Data],YES_Writing_FLA[#Data]),MATCH($A470,_xlfn.VSTACK(YES_Writing_ELA[Student Number],YES_Writing_FLA[Student Number]),0),MATCH(VLOOKUP(H$7,'Writing Logic'!$J$7:$K$11,2,FALSE)&amp;" - Per "&amp;VLOOKUP($C$4,'Writing Logic'!$G$8:$H$14,2,FALSE),YES_Writing_ELA[#Headers],0))=0,"",INDEX(_xlfn.VSTACK(YES_Writing_ELA[#Data],YES_Writing_FLA[#Data]),MATCH($A470,_xlfn.VSTACK(YES_Writing_ELA[Student Number],YES_Writing_FLA[Student Number]),0),MATCH(VLOOKUP(H$7,'Writing Logic'!$J$7:$K$11,2,FALSE)&amp;" - Per "&amp;VLOOKUP($C$4,'Writing Logic'!$G$8:$H$14,2,FALSE),YES_Writing_ELA[#Headers],0)))="INS",'Writing Logic'!$B$7,IF(INDEX(_xlfn.VSTACK(YES_Writing_ELA[#Data],YES_Writing_FLA[#Data]),MATCH($A470,_xlfn.VSTACK(YES_Writing_ELA[Student Number],YES_Writing_FLA[Student Number]),0),MATCH(VLOOKUP(H$7,'Writing Logic'!$J$7:$K$11,2,FALSE)&amp;" - Per "&amp;VLOOKUP($C$4,'Writing Logic'!$G$8:$H$14,2,FALSE),YES_Writing_ELA[#Headers],0))=0,"",INDEX(_xlfn.VSTACK(YES_Writing_ELA[#Data],YES_Writing_FLA[#Data]),MATCH($A470,_xlfn.VSTACK(YES_Writing_ELA[Student Number],YES_Writing_FLA[Student Number]),0),MATCH(VLOOKUP(H$7,'Writing Logic'!$J$7:$K$11,2,FALSE)&amp;" - Per "&amp;VLOOKUP($C$4,'Writing Logic'!$G$8:$H$14,2,FALSE),YES_Writing_ELA[#Headers],0)))),"")</f>
        <v/>
      </c>
      <c r="I470" s="224" t="str" cm="1">
        <f t="array" aca="1" ref="I470" ca="1">IFERROR(
IF($G$3="ELA",
IF(VLOOKUP($A470, YES_Reading_ELA[], COLUMN(INDIRECT("YES_Reading_ELA[Difference - Per "&amp;VLOOKUP($G$4, 'Reading Report Logic'!$A$2:$B$8, 2, FALSE)&amp;"]")), FALSE)="", "",
VLOOKUP($A470,YES_Reading_ELA[], COLUMN(INDIRECT("YES_Reading_ELA[Difference - Per "&amp;VLOOKUP($G$4,'Reading Report Logic'!$A$2:$B$8,2,FALSE)&amp;"]")), FALSE)),
IF($G$3="FLA",
IF(VLOOKUP($A470, YES_Reading_FLA[], COLUMN(INDIRECT("YES_Reading_FLA[Difference - Per "&amp;VLOOKUP($G$4,'Reading Report Logic'!$A$2:$B$8,2,FALSE)&amp;"]")),FALSE)="","",
VLOOKUP($A470,YES_Reading_FLA[],COLUMN(INDIRECT("YES_Reading_FLA[Difference - Per "&amp;VLOOKUP($G$4,'Reading Report Logic'!$A$2:$B$8,2,FALSE)&amp;"]")),FALSE)),
IF($G$3="Combined",
IFERROR(
IF(VLOOKUP($A470, YES_Reading_ELA[], COLUMN(INDIRECT("YES_Reading_ELA[Difference - Per "&amp;VLOOKUP($G$4, 'Reading Report Logic'!$A$2:$B$8,2,FALSE)&amp;"]")), FALSE)="", "",
VLOOKUP($A470,YES_Reading_ELA[],COLUMN(INDIRECT("YES_Reading_ELA[Difference - Per "&amp;VLOOKUP($G$4,'Reading Report Logic'!$A$2:$B$8,2,FALSE)&amp;"]")),FALSE)),
IF(VLOOKUP($A470, YES_Reading_FLA[], COLUMN(INDIRECT("YES_Reading_FLA[Difference - Per "&amp;VLOOKUP($G$4, 'Reading Report Logic'!$A$2:$B$8, 2, FALSE)&amp;"]")),FALSE)="", "", VLOOKUP($A470,YES_Reading_FLA[],COLUMN(INDIRECT("YES_Reading_FLA[Difference - Per "&amp;VLOOKUP($G$4, 'Reading Report Logic'!$A$2:$B$8, 2, FALSE)&amp;"]")),FALSE))),""))),"")</f>
        <v/>
      </c>
    </row>
    <row r="471" spans="1:9" x14ac:dyDescent="0.25">
      <c r="A471" s="137"/>
      <c r="B471" s="137" t="str">
        <f>IFERROR(INDEX(_xlfn.VSTACK(YES_Writing_ELA[#Data], YES_Writing_FLA[#Data]),MATCH($A471,_xlfn.VSTACK(YES_Writing_ELA[Student Number], YES_Writing_FLA[Student Number]),0),MATCH(B$7,YES_Writing_ELA[#Headers],0)),IFERROR(INDEX(_xlfn.VSTACK(YES_Reading_ELA[#Data], YES_Reading_FLA[#Data]),MATCH($A471,_xlfn.VSTACK(YES_Reading_ELA[Student Number], YES_Reading_FLA[Student Number]),0),MATCH(B$7,YES_Reading_ELA[#Headers],0)),""))</f>
        <v/>
      </c>
      <c r="C471" s="137" t="str">
        <f>IFERROR(INDEX(_xlfn.VSTACK(YES_Writing_ELA[#Data], YES_Writing_FLA[#Data]),MATCH($A471,_xlfn.VSTACK(YES_Writing_ELA[Student Number], YES_Writing_FLA[Student Number]),0),MATCH(C$7,YES_Writing_ELA[#Headers],0)),IFERROR(INDEX(_xlfn.VSTACK(YES_Reading_ELA[#Data], YES_Reading_FLA[#Data]),MATCH($A471,_xlfn.VSTACK(YES_Reading_ELA[Student Number], YES_Reading_FLA[Student Number]),0),MATCH(C$7,YES_Reading_ELA[#Headers],0)),""))</f>
        <v/>
      </c>
      <c r="D471" s="138" t="str">
        <f>IFERROR(IF(IF(INDEX(_xlfn.VSTACK(YES_Writing_ELA[#Data],YES_Writing_FLA[#Data]),MATCH($A471,_xlfn.VSTACK(YES_Writing_ELA[Student Number],YES_Writing_FLA[Student Number]),0),MATCH(VLOOKUP(D$7,'Writing Logic'!$J$7:$K$11,2,FALSE)&amp;" - Per "&amp;VLOOKUP($C$4,'Writing Logic'!$G$8:$H$14,2,FALSE),YES_Writing_ELA[#Headers],0))=0,"",INDEX(_xlfn.VSTACK(YES_Writing_ELA[#Data],YES_Writing_FLA[#Data]),MATCH($A471,_xlfn.VSTACK(YES_Writing_ELA[Student Number],YES_Writing_FLA[Student Number]),0),MATCH(VLOOKUP(D$7,'Writing Logic'!$J$7:$K$11,2,FALSE)&amp;" - Per "&amp;VLOOKUP($C$4,'Writing Logic'!$G$8:$H$14,2,FALSE),YES_Writing_ELA[#Headers],0)))="INS",'Writing Logic'!$B$7,IF(INDEX(_xlfn.VSTACK(YES_Writing_ELA[#Data],YES_Writing_FLA[#Data]),MATCH($A471,_xlfn.VSTACK(YES_Writing_ELA[Student Number],YES_Writing_FLA[Student Number]),0),MATCH(VLOOKUP(D$7,'Writing Logic'!$J$7:$K$11,2,FALSE)&amp;" - Per "&amp;VLOOKUP($C$4,'Writing Logic'!$G$8:$H$14,2,FALSE),YES_Writing_ELA[#Headers],0))=0,"",INDEX(_xlfn.VSTACK(YES_Writing_ELA[#Data],YES_Writing_FLA[#Data]),MATCH($A471,_xlfn.VSTACK(YES_Writing_ELA[Student Number],YES_Writing_FLA[Student Number]),0),MATCH(VLOOKUP(D$7,'Writing Logic'!$J$7:$K$11,2,FALSE)&amp;" - Per "&amp;VLOOKUP($C$4,'Writing Logic'!$G$8:$H$14,2,FALSE),YES_Writing_ELA[#Headers],0)))),"")</f>
        <v/>
      </c>
      <c r="E471" s="138" t="str">
        <f>IFERROR(IF(IF(INDEX(_xlfn.VSTACK(YES_Writing_ELA[#Data],YES_Writing_FLA[#Data]),MATCH($A471,_xlfn.VSTACK(YES_Writing_ELA[Student Number],YES_Writing_FLA[Student Number]),0),MATCH(VLOOKUP(E$7,'Writing Logic'!$J$7:$K$11,2,FALSE)&amp;" - Per "&amp;VLOOKUP($C$4,'Writing Logic'!$G$8:$H$14,2,FALSE),YES_Writing_ELA[#Headers],0))=0,"",INDEX(_xlfn.VSTACK(YES_Writing_ELA[#Data],YES_Writing_FLA[#Data]),MATCH($A471,_xlfn.VSTACK(YES_Writing_ELA[Student Number],YES_Writing_FLA[Student Number]),0),MATCH(VLOOKUP(E$7,'Writing Logic'!$J$7:$K$11,2,FALSE)&amp;" - Per "&amp;VLOOKUP($C$4,'Writing Logic'!$G$8:$H$14,2,FALSE),YES_Writing_ELA[#Headers],0)))="INS",'Writing Logic'!$B$7,IF(INDEX(_xlfn.VSTACK(YES_Writing_ELA[#Data],YES_Writing_FLA[#Data]),MATCH($A471,_xlfn.VSTACK(YES_Writing_ELA[Student Number],YES_Writing_FLA[Student Number]),0),MATCH(VLOOKUP(E$7,'Writing Logic'!$J$7:$K$11,2,FALSE)&amp;" - Per "&amp;VLOOKUP($C$4,'Writing Logic'!$G$8:$H$14,2,FALSE),YES_Writing_ELA[#Headers],0))=0,"",INDEX(_xlfn.VSTACK(YES_Writing_ELA[#Data],YES_Writing_FLA[#Data]),MATCH($A471,_xlfn.VSTACK(YES_Writing_ELA[Student Number],YES_Writing_FLA[Student Number]),0),MATCH(VLOOKUP(E$7,'Writing Logic'!$J$7:$K$11,2,FALSE)&amp;" - Per "&amp;VLOOKUP($C$4,'Writing Logic'!$G$8:$H$14,2,FALSE),YES_Writing_ELA[#Headers],0)))),"")</f>
        <v/>
      </c>
      <c r="F471" s="138" t="str">
        <f>IFERROR(IF(IF(INDEX(_xlfn.VSTACK(YES_Writing_ELA[#Data],YES_Writing_FLA[#Data]),MATCH($A471,_xlfn.VSTACK(YES_Writing_ELA[Student Number],YES_Writing_FLA[Student Number]),0),MATCH(VLOOKUP(F$7,'Writing Logic'!$J$7:$K$11,2,FALSE)&amp;" - Per "&amp;VLOOKUP($C$4,'Writing Logic'!$G$8:$H$14,2,FALSE),YES_Writing_ELA[#Headers],0))=0,"",INDEX(_xlfn.VSTACK(YES_Writing_ELA[#Data],YES_Writing_FLA[#Data]),MATCH($A471,_xlfn.VSTACK(YES_Writing_ELA[Student Number],YES_Writing_FLA[Student Number]),0),MATCH(VLOOKUP(F$7,'Writing Logic'!$J$7:$K$11,2,FALSE)&amp;" - Per "&amp;VLOOKUP($C$4,'Writing Logic'!$G$8:$H$14,2,FALSE),YES_Writing_ELA[#Headers],0)))="INS",'Writing Logic'!$B$7,IF(INDEX(_xlfn.VSTACK(YES_Writing_ELA[#Data],YES_Writing_FLA[#Data]),MATCH($A471,_xlfn.VSTACK(YES_Writing_ELA[Student Number],YES_Writing_FLA[Student Number]),0),MATCH(VLOOKUP(F$7,'Writing Logic'!$J$7:$K$11,2,FALSE)&amp;" - Per "&amp;VLOOKUP($C$4,'Writing Logic'!$G$8:$H$14,2,FALSE),YES_Writing_ELA[#Headers],0))=0,"",INDEX(_xlfn.VSTACK(YES_Writing_ELA[#Data],YES_Writing_FLA[#Data]),MATCH($A471,_xlfn.VSTACK(YES_Writing_ELA[Student Number],YES_Writing_FLA[Student Number]),0),MATCH(VLOOKUP(F$7,'Writing Logic'!$J$7:$K$11,2,FALSE)&amp;" - Per "&amp;VLOOKUP($C$4,'Writing Logic'!$G$8:$H$14,2,FALSE),YES_Writing_ELA[#Headers],0)))),"")</f>
        <v/>
      </c>
      <c r="G471" s="138" t="str">
        <f>IFERROR(IF(IF(INDEX(_xlfn.VSTACK(YES_Writing_ELA[#Data],YES_Writing_FLA[#Data]),MATCH($A471,_xlfn.VSTACK(YES_Writing_ELA[Student Number],YES_Writing_FLA[Student Number]),0),MATCH(VLOOKUP(G$7,'Writing Logic'!$J$7:$K$11,2,FALSE)&amp;" - Per "&amp;VLOOKUP($C$4,'Writing Logic'!$G$8:$H$14,2,FALSE),YES_Writing_ELA[#Headers],0))=0,"",INDEX(_xlfn.VSTACK(YES_Writing_ELA[#Data],YES_Writing_FLA[#Data]),MATCH($A471,_xlfn.VSTACK(YES_Writing_ELA[Student Number],YES_Writing_FLA[Student Number]),0),MATCH(VLOOKUP(G$7,'Writing Logic'!$J$7:$K$11,2,FALSE)&amp;" - Per "&amp;VLOOKUP($C$4,'Writing Logic'!$G$8:$H$14,2,FALSE),YES_Writing_ELA[#Headers],0)))="INS",'Writing Logic'!$B$7,IF(INDEX(_xlfn.VSTACK(YES_Writing_ELA[#Data],YES_Writing_FLA[#Data]),MATCH($A471,_xlfn.VSTACK(YES_Writing_ELA[Student Number],YES_Writing_FLA[Student Number]),0),MATCH(VLOOKUP(G$7,'Writing Logic'!$J$7:$K$11,2,FALSE)&amp;" - Per "&amp;VLOOKUP($C$4,'Writing Logic'!$G$8:$H$14,2,FALSE),YES_Writing_ELA[#Headers],0))=0,"",INDEX(_xlfn.VSTACK(YES_Writing_ELA[#Data],YES_Writing_FLA[#Data]),MATCH($A471,_xlfn.VSTACK(YES_Writing_ELA[Student Number],YES_Writing_FLA[Student Number]),0),MATCH(VLOOKUP(G$7,'Writing Logic'!$J$7:$K$11,2,FALSE)&amp;" - Per "&amp;VLOOKUP($C$4,'Writing Logic'!$G$8:$H$14,2,FALSE),YES_Writing_ELA[#Headers],0)))),"")</f>
        <v/>
      </c>
      <c r="H471" s="223" t="str">
        <f>IFERROR(IF(IF(INDEX(_xlfn.VSTACK(YES_Writing_ELA[#Data],YES_Writing_FLA[#Data]),MATCH($A471,_xlfn.VSTACK(YES_Writing_ELA[Student Number],YES_Writing_FLA[Student Number]),0),MATCH(VLOOKUP(H$7,'Writing Logic'!$J$7:$K$11,2,FALSE)&amp;" - Per "&amp;VLOOKUP($C$4,'Writing Logic'!$G$8:$H$14,2,FALSE),YES_Writing_ELA[#Headers],0))=0,"",INDEX(_xlfn.VSTACK(YES_Writing_ELA[#Data],YES_Writing_FLA[#Data]),MATCH($A471,_xlfn.VSTACK(YES_Writing_ELA[Student Number],YES_Writing_FLA[Student Number]),0),MATCH(VLOOKUP(H$7,'Writing Logic'!$J$7:$K$11,2,FALSE)&amp;" - Per "&amp;VLOOKUP($C$4,'Writing Logic'!$G$8:$H$14,2,FALSE),YES_Writing_ELA[#Headers],0)))="INS",'Writing Logic'!$B$7,IF(INDEX(_xlfn.VSTACK(YES_Writing_ELA[#Data],YES_Writing_FLA[#Data]),MATCH($A471,_xlfn.VSTACK(YES_Writing_ELA[Student Number],YES_Writing_FLA[Student Number]),0),MATCH(VLOOKUP(H$7,'Writing Logic'!$J$7:$K$11,2,FALSE)&amp;" - Per "&amp;VLOOKUP($C$4,'Writing Logic'!$G$8:$H$14,2,FALSE),YES_Writing_ELA[#Headers],0))=0,"",INDEX(_xlfn.VSTACK(YES_Writing_ELA[#Data],YES_Writing_FLA[#Data]),MATCH($A471,_xlfn.VSTACK(YES_Writing_ELA[Student Number],YES_Writing_FLA[Student Number]),0),MATCH(VLOOKUP(H$7,'Writing Logic'!$J$7:$K$11,2,FALSE)&amp;" - Per "&amp;VLOOKUP($C$4,'Writing Logic'!$G$8:$H$14,2,FALSE),YES_Writing_ELA[#Headers],0)))),"")</f>
        <v/>
      </c>
      <c r="I471" s="224" t="str" cm="1">
        <f t="array" aca="1" ref="I471" ca="1">IFERROR(
IF($G$3="ELA",
IF(VLOOKUP($A471, YES_Reading_ELA[], COLUMN(INDIRECT("YES_Reading_ELA[Difference - Per "&amp;VLOOKUP($G$4, 'Reading Report Logic'!$A$2:$B$8, 2, FALSE)&amp;"]")), FALSE)="", "",
VLOOKUP($A471,YES_Reading_ELA[], COLUMN(INDIRECT("YES_Reading_ELA[Difference - Per "&amp;VLOOKUP($G$4,'Reading Report Logic'!$A$2:$B$8,2,FALSE)&amp;"]")), FALSE)),
IF($G$3="FLA",
IF(VLOOKUP($A471, YES_Reading_FLA[], COLUMN(INDIRECT("YES_Reading_FLA[Difference - Per "&amp;VLOOKUP($G$4,'Reading Report Logic'!$A$2:$B$8,2,FALSE)&amp;"]")),FALSE)="","",
VLOOKUP($A471,YES_Reading_FLA[],COLUMN(INDIRECT("YES_Reading_FLA[Difference - Per "&amp;VLOOKUP($G$4,'Reading Report Logic'!$A$2:$B$8,2,FALSE)&amp;"]")),FALSE)),
IF($G$3="Combined",
IFERROR(
IF(VLOOKUP($A471, YES_Reading_ELA[], COLUMN(INDIRECT("YES_Reading_ELA[Difference - Per "&amp;VLOOKUP($G$4, 'Reading Report Logic'!$A$2:$B$8,2,FALSE)&amp;"]")), FALSE)="", "",
VLOOKUP($A471,YES_Reading_ELA[],COLUMN(INDIRECT("YES_Reading_ELA[Difference - Per "&amp;VLOOKUP($G$4,'Reading Report Logic'!$A$2:$B$8,2,FALSE)&amp;"]")),FALSE)),
IF(VLOOKUP($A471, YES_Reading_FLA[], COLUMN(INDIRECT("YES_Reading_FLA[Difference - Per "&amp;VLOOKUP($G$4, 'Reading Report Logic'!$A$2:$B$8, 2, FALSE)&amp;"]")),FALSE)="", "", VLOOKUP($A471,YES_Reading_FLA[],COLUMN(INDIRECT("YES_Reading_FLA[Difference - Per "&amp;VLOOKUP($G$4, 'Reading Report Logic'!$A$2:$B$8, 2, FALSE)&amp;"]")),FALSE))),""))),"")</f>
        <v/>
      </c>
    </row>
    <row r="472" spans="1:9" x14ac:dyDescent="0.25">
      <c r="A472" s="137"/>
      <c r="B472" s="137" t="str">
        <f>IFERROR(INDEX(_xlfn.VSTACK(YES_Writing_ELA[#Data], YES_Writing_FLA[#Data]),MATCH($A472,_xlfn.VSTACK(YES_Writing_ELA[Student Number], YES_Writing_FLA[Student Number]),0),MATCH(B$7,YES_Writing_ELA[#Headers],0)),IFERROR(INDEX(_xlfn.VSTACK(YES_Reading_ELA[#Data], YES_Reading_FLA[#Data]),MATCH($A472,_xlfn.VSTACK(YES_Reading_ELA[Student Number], YES_Reading_FLA[Student Number]),0),MATCH(B$7,YES_Reading_ELA[#Headers],0)),""))</f>
        <v/>
      </c>
      <c r="C472" s="137" t="str">
        <f>IFERROR(INDEX(_xlfn.VSTACK(YES_Writing_ELA[#Data], YES_Writing_FLA[#Data]),MATCH($A472,_xlfn.VSTACK(YES_Writing_ELA[Student Number], YES_Writing_FLA[Student Number]),0),MATCH(C$7,YES_Writing_ELA[#Headers],0)),IFERROR(INDEX(_xlfn.VSTACK(YES_Reading_ELA[#Data], YES_Reading_FLA[#Data]),MATCH($A472,_xlfn.VSTACK(YES_Reading_ELA[Student Number], YES_Reading_FLA[Student Number]),0),MATCH(C$7,YES_Reading_ELA[#Headers],0)),""))</f>
        <v/>
      </c>
      <c r="D472" s="138" t="str">
        <f>IFERROR(IF(IF(INDEX(_xlfn.VSTACK(YES_Writing_ELA[#Data],YES_Writing_FLA[#Data]),MATCH($A472,_xlfn.VSTACK(YES_Writing_ELA[Student Number],YES_Writing_FLA[Student Number]),0),MATCH(VLOOKUP(D$7,'Writing Logic'!$J$7:$K$11,2,FALSE)&amp;" - Per "&amp;VLOOKUP($C$4,'Writing Logic'!$G$8:$H$14,2,FALSE),YES_Writing_ELA[#Headers],0))=0,"",INDEX(_xlfn.VSTACK(YES_Writing_ELA[#Data],YES_Writing_FLA[#Data]),MATCH($A472,_xlfn.VSTACK(YES_Writing_ELA[Student Number],YES_Writing_FLA[Student Number]),0),MATCH(VLOOKUP(D$7,'Writing Logic'!$J$7:$K$11,2,FALSE)&amp;" - Per "&amp;VLOOKUP($C$4,'Writing Logic'!$G$8:$H$14,2,FALSE),YES_Writing_ELA[#Headers],0)))="INS",'Writing Logic'!$B$7,IF(INDEX(_xlfn.VSTACK(YES_Writing_ELA[#Data],YES_Writing_FLA[#Data]),MATCH($A472,_xlfn.VSTACK(YES_Writing_ELA[Student Number],YES_Writing_FLA[Student Number]),0),MATCH(VLOOKUP(D$7,'Writing Logic'!$J$7:$K$11,2,FALSE)&amp;" - Per "&amp;VLOOKUP($C$4,'Writing Logic'!$G$8:$H$14,2,FALSE),YES_Writing_ELA[#Headers],0))=0,"",INDEX(_xlfn.VSTACK(YES_Writing_ELA[#Data],YES_Writing_FLA[#Data]),MATCH($A472,_xlfn.VSTACK(YES_Writing_ELA[Student Number],YES_Writing_FLA[Student Number]),0),MATCH(VLOOKUP(D$7,'Writing Logic'!$J$7:$K$11,2,FALSE)&amp;" - Per "&amp;VLOOKUP($C$4,'Writing Logic'!$G$8:$H$14,2,FALSE),YES_Writing_ELA[#Headers],0)))),"")</f>
        <v/>
      </c>
      <c r="E472" s="138" t="str">
        <f>IFERROR(IF(IF(INDEX(_xlfn.VSTACK(YES_Writing_ELA[#Data],YES_Writing_FLA[#Data]),MATCH($A472,_xlfn.VSTACK(YES_Writing_ELA[Student Number],YES_Writing_FLA[Student Number]),0),MATCH(VLOOKUP(E$7,'Writing Logic'!$J$7:$K$11,2,FALSE)&amp;" - Per "&amp;VLOOKUP($C$4,'Writing Logic'!$G$8:$H$14,2,FALSE),YES_Writing_ELA[#Headers],0))=0,"",INDEX(_xlfn.VSTACK(YES_Writing_ELA[#Data],YES_Writing_FLA[#Data]),MATCH($A472,_xlfn.VSTACK(YES_Writing_ELA[Student Number],YES_Writing_FLA[Student Number]),0),MATCH(VLOOKUP(E$7,'Writing Logic'!$J$7:$K$11,2,FALSE)&amp;" - Per "&amp;VLOOKUP($C$4,'Writing Logic'!$G$8:$H$14,2,FALSE),YES_Writing_ELA[#Headers],0)))="INS",'Writing Logic'!$B$7,IF(INDEX(_xlfn.VSTACK(YES_Writing_ELA[#Data],YES_Writing_FLA[#Data]),MATCH($A472,_xlfn.VSTACK(YES_Writing_ELA[Student Number],YES_Writing_FLA[Student Number]),0),MATCH(VLOOKUP(E$7,'Writing Logic'!$J$7:$K$11,2,FALSE)&amp;" - Per "&amp;VLOOKUP($C$4,'Writing Logic'!$G$8:$H$14,2,FALSE),YES_Writing_ELA[#Headers],0))=0,"",INDEX(_xlfn.VSTACK(YES_Writing_ELA[#Data],YES_Writing_FLA[#Data]),MATCH($A472,_xlfn.VSTACK(YES_Writing_ELA[Student Number],YES_Writing_FLA[Student Number]),0),MATCH(VLOOKUP(E$7,'Writing Logic'!$J$7:$K$11,2,FALSE)&amp;" - Per "&amp;VLOOKUP($C$4,'Writing Logic'!$G$8:$H$14,2,FALSE),YES_Writing_ELA[#Headers],0)))),"")</f>
        <v/>
      </c>
      <c r="F472" s="138" t="str">
        <f>IFERROR(IF(IF(INDEX(_xlfn.VSTACK(YES_Writing_ELA[#Data],YES_Writing_FLA[#Data]),MATCH($A472,_xlfn.VSTACK(YES_Writing_ELA[Student Number],YES_Writing_FLA[Student Number]),0),MATCH(VLOOKUP(F$7,'Writing Logic'!$J$7:$K$11,2,FALSE)&amp;" - Per "&amp;VLOOKUP($C$4,'Writing Logic'!$G$8:$H$14,2,FALSE),YES_Writing_ELA[#Headers],0))=0,"",INDEX(_xlfn.VSTACK(YES_Writing_ELA[#Data],YES_Writing_FLA[#Data]),MATCH($A472,_xlfn.VSTACK(YES_Writing_ELA[Student Number],YES_Writing_FLA[Student Number]),0),MATCH(VLOOKUP(F$7,'Writing Logic'!$J$7:$K$11,2,FALSE)&amp;" - Per "&amp;VLOOKUP($C$4,'Writing Logic'!$G$8:$H$14,2,FALSE),YES_Writing_ELA[#Headers],0)))="INS",'Writing Logic'!$B$7,IF(INDEX(_xlfn.VSTACK(YES_Writing_ELA[#Data],YES_Writing_FLA[#Data]),MATCH($A472,_xlfn.VSTACK(YES_Writing_ELA[Student Number],YES_Writing_FLA[Student Number]),0),MATCH(VLOOKUP(F$7,'Writing Logic'!$J$7:$K$11,2,FALSE)&amp;" - Per "&amp;VLOOKUP($C$4,'Writing Logic'!$G$8:$H$14,2,FALSE),YES_Writing_ELA[#Headers],0))=0,"",INDEX(_xlfn.VSTACK(YES_Writing_ELA[#Data],YES_Writing_FLA[#Data]),MATCH($A472,_xlfn.VSTACK(YES_Writing_ELA[Student Number],YES_Writing_FLA[Student Number]),0),MATCH(VLOOKUP(F$7,'Writing Logic'!$J$7:$K$11,2,FALSE)&amp;" - Per "&amp;VLOOKUP($C$4,'Writing Logic'!$G$8:$H$14,2,FALSE),YES_Writing_ELA[#Headers],0)))),"")</f>
        <v/>
      </c>
      <c r="G472" s="138" t="str">
        <f>IFERROR(IF(IF(INDEX(_xlfn.VSTACK(YES_Writing_ELA[#Data],YES_Writing_FLA[#Data]),MATCH($A472,_xlfn.VSTACK(YES_Writing_ELA[Student Number],YES_Writing_FLA[Student Number]),0),MATCH(VLOOKUP(G$7,'Writing Logic'!$J$7:$K$11,2,FALSE)&amp;" - Per "&amp;VLOOKUP($C$4,'Writing Logic'!$G$8:$H$14,2,FALSE),YES_Writing_ELA[#Headers],0))=0,"",INDEX(_xlfn.VSTACK(YES_Writing_ELA[#Data],YES_Writing_FLA[#Data]),MATCH($A472,_xlfn.VSTACK(YES_Writing_ELA[Student Number],YES_Writing_FLA[Student Number]),0),MATCH(VLOOKUP(G$7,'Writing Logic'!$J$7:$K$11,2,FALSE)&amp;" - Per "&amp;VLOOKUP($C$4,'Writing Logic'!$G$8:$H$14,2,FALSE),YES_Writing_ELA[#Headers],0)))="INS",'Writing Logic'!$B$7,IF(INDEX(_xlfn.VSTACK(YES_Writing_ELA[#Data],YES_Writing_FLA[#Data]),MATCH($A472,_xlfn.VSTACK(YES_Writing_ELA[Student Number],YES_Writing_FLA[Student Number]),0),MATCH(VLOOKUP(G$7,'Writing Logic'!$J$7:$K$11,2,FALSE)&amp;" - Per "&amp;VLOOKUP($C$4,'Writing Logic'!$G$8:$H$14,2,FALSE),YES_Writing_ELA[#Headers],0))=0,"",INDEX(_xlfn.VSTACK(YES_Writing_ELA[#Data],YES_Writing_FLA[#Data]),MATCH($A472,_xlfn.VSTACK(YES_Writing_ELA[Student Number],YES_Writing_FLA[Student Number]),0),MATCH(VLOOKUP(G$7,'Writing Logic'!$J$7:$K$11,2,FALSE)&amp;" - Per "&amp;VLOOKUP($C$4,'Writing Logic'!$G$8:$H$14,2,FALSE),YES_Writing_ELA[#Headers],0)))),"")</f>
        <v/>
      </c>
      <c r="H472" s="223" t="str">
        <f>IFERROR(IF(IF(INDEX(_xlfn.VSTACK(YES_Writing_ELA[#Data],YES_Writing_FLA[#Data]),MATCH($A472,_xlfn.VSTACK(YES_Writing_ELA[Student Number],YES_Writing_FLA[Student Number]),0),MATCH(VLOOKUP(H$7,'Writing Logic'!$J$7:$K$11,2,FALSE)&amp;" - Per "&amp;VLOOKUP($C$4,'Writing Logic'!$G$8:$H$14,2,FALSE),YES_Writing_ELA[#Headers],0))=0,"",INDEX(_xlfn.VSTACK(YES_Writing_ELA[#Data],YES_Writing_FLA[#Data]),MATCH($A472,_xlfn.VSTACK(YES_Writing_ELA[Student Number],YES_Writing_FLA[Student Number]),0),MATCH(VLOOKUP(H$7,'Writing Logic'!$J$7:$K$11,2,FALSE)&amp;" - Per "&amp;VLOOKUP($C$4,'Writing Logic'!$G$8:$H$14,2,FALSE),YES_Writing_ELA[#Headers],0)))="INS",'Writing Logic'!$B$7,IF(INDEX(_xlfn.VSTACK(YES_Writing_ELA[#Data],YES_Writing_FLA[#Data]),MATCH($A472,_xlfn.VSTACK(YES_Writing_ELA[Student Number],YES_Writing_FLA[Student Number]),0),MATCH(VLOOKUP(H$7,'Writing Logic'!$J$7:$K$11,2,FALSE)&amp;" - Per "&amp;VLOOKUP($C$4,'Writing Logic'!$G$8:$H$14,2,FALSE),YES_Writing_ELA[#Headers],0))=0,"",INDEX(_xlfn.VSTACK(YES_Writing_ELA[#Data],YES_Writing_FLA[#Data]),MATCH($A472,_xlfn.VSTACK(YES_Writing_ELA[Student Number],YES_Writing_FLA[Student Number]),0),MATCH(VLOOKUP(H$7,'Writing Logic'!$J$7:$K$11,2,FALSE)&amp;" - Per "&amp;VLOOKUP($C$4,'Writing Logic'!$G$8:$H$14,2,FALSE),YES_Writing_ELA[#Headers],0)))),"")</f>
        <v/>
      </c>
      <c r="I472" s="224" t="str" cm="1">
        <f t="array" aca="1" ref="I472" ca="1">IFERROR(
IF($G$3="ELA",
IF(VLOOKUP($A472, YES_Reading_ELA[], COLUMN(INDIRECT("YES_Reading_ELA[Difference - Per "&amp;VLOOKUP($G$4, 'Reading Report Logic'!$A$2:$B$8, 2, FALSE)&amp;"]")), FALSE)="", "",
VLOOKUP($A472,YES_Reading_ELA[], COLUMN(INDIRECT("YES_Reading_ELA[Difference - Per "&amp;VLOOKUP($G$4,'Reading Report Logic'!$A$2:$B$8,2,FALSE)&amp;"]")), FALSE)),
IF($G$3="FLA",
IF(VLOOKUP($A472, YES_Reading_FLA[], COLUMN(INDIRECT("YES_Reading_FLA[Difference - Per "&amp;VLOOKUP($G$4,'Reading Report Logic'!$A$2:$B$8,2,FALSE)&amp;"]")),FALSE)="","",
VLOOKUP($A472,YES_Reading_FLA[],COLUMN(INDIRECT("YES_Reading_FLA[Difference - Per "&amp;VLOOKUP($G$4,'Reading Report Logic'!$A$2:$B$8,2,FALSE)&amp;"]")),FALSE)),
IF($G$3="Combined",
IFERROR(
IF(VLOOKUP($A472, YES_Reading_ELA[], COLUMN(INDIRECT("YES_Reading_ELA[Difference - Per "&amp;VLOOKUP($G$4, 'Reading Report Logic'!$A$2:$B$8,2,FALSE)&amp;"]")), FALSE)="", "",
VLOOKUP($A472,YES_Reading_ELA[],COLUMN(INDIRECT("YES_Reading_ELA[Difference - Per "&amp;VLOOKUP($G$4,'Reading Report Logic'!$A$2:$B$8,2,FALSE)&amp;"]")),FALSE)),
IF(VLOOKUP($A472, YES_Reading_FLA[], COLUMN(INDIRECT("YES_Reading_FLA[Difference - Per "&amp;VLOOKUP($G$4, 'Reading Report Logic'!$A$2:$B$8, 2, FALSE)&amp;"]")),FALSE)="", "", VLOOKUP($A472,YES_Reading_FLA[],COLUMN(INDIRECT("YES_Reading_FLA[Difference - Per "&amp;VLOOKUP($G$4, 'Reading Report Logic'!$A$2:$B$8, 2, FALSE)&amp;"]")),FALSE))),""))),"")</f>
        <v/>
      </c>
    </row>
    <row r="473" spans="1:9" x14ac:dyDescent="0.25">
      <c r="A473" s="137"/>
      <c r="B473" s="137" t="str">
        <f>IFERROR(INDEX(_xlfn.VSTACK(YES_Writing_ELA[#Data], YES_Writing_FLA[#Data]),MATCH($A473,_xlfn.VSTACK(YES_Writing_ELA[Student Number], YES_Writing_FLA[Student Number]),0),MATCH(B$7,YES_Writing_ELA[#Headers],0)),IFERROR(INDEX(_xlfn.VSTACK(YES_Reading_ELA[#Data], YES_Reading_FLA[#Data]),MATCH($A473,_xlfn.VSTACK(YES_Reading_ELA[Student Number], YES_Reading_FLA[Student Number]),0),MATCH(B$7,YES_Reading_ELA[#Headers],0)),""))</f>
        <v/>
      </c>
      <c r="C473" s="137" t="str">
        <f>IFERROR(INDEX(_xlfn.VSTACK(YES_Writing_ELA[#Data], YES_Writing_FLA[#Data]),MATCH($A473,_xlfn.VSTACK(YES_Writing_ELA[Student Number], YES_Writing_FLA[Student Number]),0),MATCH(C$7,YES_Writing_ELA[#Headers],0)),IFERROR(INDEX(_xlfn.VSTACK(YES_Reading_ELA[#Data], YES_Reading_FLA[#Data]),MATCH($A473,_xlfn.VSTACK(YES_Reading_ELA[Student Number], YES_Reading_FLA[Student Number]),0),MATCH(C$7,YES_Reading_ELA[#Headers],0)),""))</f>
        <v/>
      </c>
      <c r="D473" s="138" t="str">
        <f>IFERROR(IF(IF(INDEX(_xlfn.VSTACK(YES_Writing_ELA[#Data],YES_Writing_FLA[#Data]),MATCH($A473,_xlfn.VSTACK(YES_Writing_ELA[Student Number],YES_Writing_FLA[Student Number]),0),MATCH(VLOOKUP(D$7,'Writing Logic'!$J$7:$K$11,2,FALSE)&amp;" - Per "&amp;VLOOKUP($C$4,'Writing Logic'!$G$8:$H$14,2,FALSE),YES_Writing_ELA[#Headers],0))=0,"",INDEX(_xlfn.VSTACK(YES_Writing_ELA[#Data],YES_Writing_FLA[#Data]),MATCH($A473,_xlfn.VSTACK(YES_Writing_ELA[Student Number],YES_Writing_FLA[Student Number]),0),MATCH(VLOOKUP(D$7,'Writing Logic'!$J$7:$K$11,2,FALSE)&amp;" - Per "&amp;VLOOKUP($C$4,'Writing Logic'!$G$8:$H$14,2,FALSE),YES_Writing_ELA[#Headers],0)))="INS",'Writing Logic'!$B$7,IF(INDEX(_xlfn.VSTACK(YES_Writing_ELA[#Data],YES_Writing_FLA[#Data]),MATCH($A473,_xlfn.VSTACK(YES_Writing_ELA[Student Number],YES_Writing_FLA[Student Number]),0),MATCH(VLOOKUP(D$7,'Writing Logic'!$J$7:$K$11,2,FALSE)&amp;" - Per "&amp;VLOOKUP($C$4,'Writing Logic'!$G$8:$H$14,2,FALSE),YES_Writing_ELA[#Headers],0))=0,"",INDEX(_xlfn.VSTACK(YES_Writing_ELA[#Data],YES_Writing_FLA[#Data]),MATCH($A473,_xlfn.VSTACK(YES_Writing_ELA[Student Number],YES_Writing_FLA[Student Number]),0),MATCH(VLOOKUP(D$7,'Writing Logic'!$J$7:$K$11,2,FALSE)&amp;" - Per "&amp;VLOOKUP($C$4,'Writing Logic'!$G$8:$H$14,2,FALSE),YES_Writing_ELA[#Headers],0)))),"")</f>
        <v/>
      </c>
      <c r="E473" s="138" t="str">
        <f>IFERROR(IF(IF(INDEX(_xlfn.VSTACK(YES_Writing_ELA[#Data],YES_Writing_FLA[#Data]),MATCH($A473,_xlfn.VSTACK(YES_Writing_ELA[Student Number],YES_Writing_FLA[Student Number]),0),MATCH(VLOOKUP(E$7,'Writing Logic'!$J$7:$K$11,2,FALSE)&amp;" - Per "&amp;VLOOKUP($C$4,'Writing Logic'!$G$8:$H$14,2,FALSE),YES_Writing_ELA[#Headers],0))=0,"",INDEX(_xlfn.VSTACK(YES_Writing_ELA[#Data],YES_Writing_FLA[#Data]),MATCH($A473,_xlfn.VSTACK(YES_Writing_ELA[Student Number],YES_Writing_FLA[Student Number]),0),MATCH(VLOOKUP(E$7,'Writing Logic'!$J$7:$K$11,2,FALSE)&amp;" - Per "&amp;VLOOKUP($C$4,'Writing Logic'!$G$8:$H$14,2,FALSE),YES_Writing_ELA[#Headers],0)))="INS",'Writing Logic'!$B$7,IF(INDEX(_xlfn.VSTACK(YES_Writing_ELA[#Data],YES_Writing_FLA[#Data]),MATCH($A473,_xlfn.VSTACK(YES_Writing_ELA[Student Number],YES_Writing_FLA[Student Number]),0),MATCH(VLOOKUP(E$7,'Writing Logic'!$J$7:$K$11,2,FALSE)&amp;" - Per "&amp;VLOOKUP($C$4,'Writing Logic'!$G$8:$H$14,2,FALSE),YES_Writing_ELA[#Headers],0))=0,"",INDEX(_xlfn.VSTACK(YES_Writing_ELA[#Data],YES_Writing_FLA[#Data]),MATCH($A473,_xlfn.VSTACK(YES_Writing_ELA[Student Number],YES_Writing_FLA[Student Number]),0),MATCH(VLOOKUP(E$7,'Writing Logic'!$J$7:$K$11,2,FALSE)&amp;" - Per "&amp;VLOOKUP($C$4,'Writing Logic'!$G$8:$H$14,2,FALSE),YES_Writing_ELA[#Headers],0)))),"")</f>
        <v/>
      </c>
      <c r="F473" s="138" t="str">
        <f>IFERROR(IF(IF(INDEX(_xlfn.VSTACK(YES_Writing_ELA[#Data],YES_Writing_FLA[#Data]),MATCH($A473,_xlfn.VSTACK(YES_Writing_ELA[Student Number],YES_Writing_FLA[Student Number]),0),MATCH(VLOOKUP(F$7,'Writing Logic'!$J$7:$K$11,2,FALSE)&amp;" - Per "&amp;VLOOKUP($C$4,'Writing Logic'!$G$8:$H$14,2,FALSE),YES_Writing_ELA[#Headers],0))=0,"",INDEX(_xlfn.VSTACK(YES_Writing_ELA[#Data],YES_Writing_FLA[#Data]),MATCH($A473,_xlfn.VSTACK(YES_Writing_ELA[Student Number],YES_Writing_FLA[Student Number]),0),MATCH(VLOOKUP(F$7,'Writing Logic'!$J$7:$K$11,2,FALSE)&amp;" - Per "&amp;VLOOKUP($C$4,'Writing Logic'!$G$8:$H$14,2,FALSE),YES_Writing_ELA[#Headers],0)))="INS",'Writing Logic'!$B$7,IF(INDEX(_xlfn.VSTACK(YES_Writing_ELA[#Data],YES_Writing_FLA[#Data]),MATCH($A473,_xlfn.VSTACK(YES_Writing_ELA[Student Number],YES_Writing_FLA[Student Number]),0),MATCH(VLOOKUP(F$7,'Writing Logic'!$J$7:$K$11,2,FALSE)&amp;" - Per "&amp;VLOOKUP($C$4,'Writing Logic'!$G$8:$H$14,2,FALSE),YES_Writing_ELA[#Headers],0))=0,"",INDEX(_xlfn.VSTACK(YES_Writing_ELA[#Data],YES_Writing_FLA[#Data]),MATCH($A473,_xlfn.VSTACK(YES_Writing_ELA[Student Number],YES_Writing_FLA[Student Number]),0),MATCH(VLOOKUP(F$7,'Writing Logic'!$J$7:$K$11,2,FALSE)&amp;" - Per "&amp;VLOOKUP($C$4,'Writing Logic'!$G$8:$H$14,2,FALSE),YES_Writing_ELA[#Headers],0)))),"")</f>
        <v/>
      </c>
      <c r="G473" s="138" t="str">
        <f>IFERROR(IF(IF(INDEX(_xlfn.VSTACK(YES_Writing_ELA[#Data],YES_Writing_FLA[#Data]),MATCH($A473,_xlfn.VSTACK(YES_Writing_ELA[Student Number],YES_Writing_FLA[Student Number]),0),MATCH(VLOOKUP(G$7,'Writing Logic'!$J$7:$K$11,2,FALSE)&amp;" - Per "&amp;VLOOKUP($C$4,'Writing Logic'!$G$8:$H$14,2,FALSE),YES_Writing_ELA[#Headers],0))=0,"",INDEX(_xlfn.VSTACK(YES_Writing_ELA[#Data],YES_Writing_FLA[#Data]),MATCH($A473,_xlfn.VSTACK(YES_Writing_ELA[Student Number],YES_Writing_FLA[Student Number]),0),MATCH(VLOOKUP(G$7,'Writing Logic'!$J$7:$K$11,2,FALSE)&amp;" - Per "&amp;VLOOKUP($C$4,'Writing Logic'!$G$8:$H$14,2,FALSE),YES_Writing_ELA[#Headers],0)))="INS",'Writing Logic'!$B$7,IF(INDEX(_xlfn.VSTACK(YES_Writing_ELA[#Data],YES_Writing_FLA[#Data]),MATCH($A473,_xlfn.VSTACK(YES_Writing_ELA[Student Number],YES_Writing_FLA[Student Number]),0),MATCH(VLOOKUP(G$7,'Writing Logic'!$J$7:$K$11,2,FALSE)&amp;" - Per "&amp;VLOOKUP($C$4,'Writing Logic'!$G$8:$H$14,2,FALSE),YES_Writing_ELA[#Headers],0))=0,"",INDEX(_xlfn.VSTACK(YES_Writing_ELA[#Data],YES_Writing_FLA[#Data]),MATCH($A473,_xlfn.VSTACK(YES_Writing_ELA[Student Number],YES_Writing_FLA[Student Number]),0),MATCH(VLOOKUP(G$7,'Writing Logic'!$J$7:$K$11,2,FALSE)&amp;" - Per "&amp;VLOOKUP($C$4,'Writing Logic'!$G$8:$H$14,2,FALSE),YES_Writing_ELA[#Headers],0)))),"")</f>
        <v/>
      </c>
      <c r="H473" s="223" t="str">
        <f>IFERROR(IF(IF(INDEX(_xlfn.VSTACK(YES_Writing_ELA[#Data],YES_Writing_FLA[#Data]),MATCH($A473,_xlfn.VSTACK(YES_Writing_ELA[Student Number],YES_Writing_FLA[Student Number]),0),MATCH(VLOOKUP(H$7,'Writing Logic'!$J$7:$K$11,2,FALSE)&amp;" - Per "&amp;VLOOKUP($C$4,'Writing Logic'!$G$8:$H$14,2,FALSE),YES_Writing_ELA[#Headers],0))=0,"",INDEX(_xlfn.VSTACK(YES_Writing_ELA[#Data],YES_Writing_FLA[#Data]),MATCH($A473,_xlfn.VSTACK(YES_Writing_ELA[Student Number],YES_Writing_FLA[Student Number]),0),MATCH(VLOOKUP(H$7,'Writing Logic'!$J$7:$K$11,2,FALSE)&amp;" - Per "&amp;VLOOKUP($C$4,'Writing Logic'!$G$8:$H$14,2,FALSE),YES_Writing_ELA[#Headers],0)))="INS",'Writing Logic'!$B$7,IF(INDEX(_xlfn.VSTACK(YES_Writing_ELA[#Data],YES_Writing_FLA[#Data]),MATCH($A473,_xlfn.VSTACK(YES_Writing_ELA[Student Number],YES_Writing_FLA[Student Number]),0),MATCH(VLOOKUP(H$7,'Writing Logic'!$J$7:$K$11,2,FALSE)&amp;" - Per "&amp;VLOOKUP($C$4,'Writing Logic'!$G$8:$H$14,2,FALSE),YES_Writing_ELA[#Headers],0))=0,"",INDEX(_xlfn.VSTACK(YES_Writing_ELA[#Data],YES_Writing_FLA[#Data]),MATCH($A473,_xlfn.VSTACK(YES_Writing_ELA[Student Number],YES_Writing_FLA[Student Number]),0),MATCH(VLOOKUP(H$7,'Writing Logic'!$J$7:$K$11,2,FALSE)&amp;" - Per "&amp;VLOOKUP($C$4,'Writing Logic'!$G$8:$H$14,2,FALSE),YES_Writing_ELA[#Headers],0)))),"")</f>
        <v/>
      </c>
      <c r="I473" s="224" t="str" cm="1">
        <f t="array" aca="1" ref="I473" ca="1">IFERROR(
IF($G$3="ELA",
IF(VLOOKUP($A473, YES_Reading_ELA[], COLUMN(INDIRECT("YES_Reading_ELA[Difference - Per "&amp;VLOOKUP($G$4, 'Reading Report Logic'!$A$2:$B$8, 2, FALSE)&amp;"]")), FALSE)="", "",
VLOOKUP($A473,YES_Reading_ELA[], COLUMN(INDIRECT("YES_Reading_ELA[Difference - Per "&amp;VLOOKUP($G$4,'Reading Report Logic'!$A$2:$B$8,2,FALSE)&amp;"]")), FALSE)),
IF($G$3="FLA",
IF(VLOOKUP($A473, YES_Reading_FLA[], COLUMN(INDIRECT("YES_Reading_FLA[Difference - Per "&amp;VLOOKUP($G$4,'Reading Report Logic'!$A$2:$B$8,2,FALSE)&amp;"]")),FALSE)="","",
VLOOKUP($A473,YES_Reading_FLA[],COLUMN(INDIRECT("YES_Reading_FLA[Difference - Per "&amp;VLOOKUP($G$4,'Reading Report Logic'!$A$2:$B$8,2,FALSE)&amp;"]")),FALSE)),
IF($G$3="Combined",
IFERROR(
IF(VLOOKUP($A473, YES_Reading_ELA[], COLUMN(INDIRECT("YES_Reading_ELA[Difference - Per "&amp;VLOOKUP($G$4, 'Reading Report Logic'!$A$2:$B$8,2,FALSE)&amp;"]")), FALSE)="", "",
VLOOKUP($A473,YES_Reading_ELA[],COLUMN(INDIRECT("YES_Reading_ELA[Difference - Per "&amp;VLOOKUP($G$4,'Reading Report Logic'!$A$2:$B$8,2,FALSE)&amp;"]")),FALSE)),
IF(VLOOKUP($A473, YES_Reading_FLA[], COLUMN(INDIRECT("YES_Reading_FLA[Difference - Per "&amp;VLOOKUP($G$4, 'Reading Report Logic'!$A$2:$B$8, 2, FALSE)&amp;"]")),FALSE)="", "", VLOOKUP($A473,YES_Reading_FLA[],COLUMN(INDIRECT("YES_Reading_FLA[Difference - Per "&amp;VLOOKUP($G$4, 'Reading Report Logic'!$A$2:$B$8, 2, FALSE)&amp;"]")),FALSE))),""))),"")</f>
        <v/>
      </c>
    </row>
    <row r="474" spans="1:9" x14ac:dyDescent="0.25">
      <c r="A474" s="137"/>
      <c r="B474" s="137" t="str">
        <f>IFERROR(INDEX(_xlfn.VSTACK(YES_Writing_ELA[#Data], YES_Writing_FLA[#Data]),MATCH($A474,_xlfn.VSTACK(YES_Writing_ELA[Student Number], YES_Writing_FLA[Student Number]),0),MATCH(B$7,YES_Writing_ELA[#Headers],0)),IFERROR(INDEX(_xlfn.VSTACK(YES_Reading_ELA[#Data], YES_Reading_FLA[#Data]),MATCH($A474,_xlfn.VSTACK(YES_Reading_ELA[Student Number], YES_Reading_FLA[Student Number]),0),MATCH(B$7,YES_Reading_ELA[#Headers],0)),""))</f>
        <v/>
      </c>
      <c r="C474" s="137" t="str">
        <f>IFERROR(INDEX(_xlfn.VSTACK(YES_Writing_ELA[#Data], YES_Writing_FLA[#Data]),MATCH($A474,_xlfn.VSTACK(YES_Writing_ELA[Student Number], YES_Writing_FLA[Student Number]),0),MATCH(C$7,YES_Writing_ELA[#Headers],0)),IFERROR(INDEX(_xlfn.VSTACK(YES_Reading_ELA[#Data], YES_Reading_FLA[#Data]),MATCH($A474,_xlfn.VSTACK(YES_Reading_ELA[Student Number], YES_Reading_FLA[Student Number]),0),MATCH(C$7,YES_Reading_ELA[#Headers],0)),""))</f>
        <v/>
      </c>
      <c r="D474" s="138" t="str">
        <f>IFERROR(IF(IF(INDEX(_xlfn.VSTACK(YES_Writing_ELA[#Data],YES_Writing_FLA[#Data]),MATCH($A474,_xlfn.VSTACK(YES_Writing_ELA[Student Number],YES_Writing_FLA[Student Number]),0),MATCH(VLOOKUP(D$7,'Writing Logic'!$J$7:$K$11,2,FALSE)&amp;" - Per "&amp;VLOOKUP($C$4,'Writing Logic'!$G$8:$H$14,2,FALSE),YES_Writing_ELA[#Headers],0))=0,"",INDEX(_xlfn.VSTACK(YES_Writing_ELA[#Data],YES_Writing_FLA[#Data]),MATCH($A474,_xlfn.VSTACK(YES_Writing_ELA[Student Number],YES_Writing_FLA[Student Number]),0),MATCH(VLOOKUP(D$7,'Writing Logic'!$J$7:$K$11,2,FALSE)&amp;" - Per "&amp;VLOOKUP($C$4,'Writing Logic'!$G$8:$H$14,2,FALSE),YES_Writing_ELA[#Headers],0)))="INS",'Writing Logic'!$B$7,IF(INDEX(_xlfn.VSTACK(YES_Writing_ELA[#Data],YES_Writing_FLA[#Data]),MATCH($A474,_xlfn.VSTACK(YES_Writing_ELA[Student Number],YES_Writing_FLA[Student Number]),0),MATCH(VLOOKUP(D$7,'Writing Logic'!$J$7:$K$11,2,FALSE)&amp;" - Per "&amp;VLOOKUP($C$4,'Writing Logic'!$G$8:$H$14,2,FALSE),YES_Writing_ELA[#Headers],0))=0,"",INDEX(_xlfn.VSTACK(YES_Writing_ELA[#Data],YES_Writing_FLA[#Data]),MATCH($A474,_xlfn.VSTACK(YES_Writing_ELA[Student Number],YES_Writing_FLA[Student Number]),0),MATCH(VLOOKUP(D$7,'Writing Logic'!$J$7:$K$11,2,FALSE)&amp;" - Per "&amp;VLOOKUP($C$4,'Writing Logic'!$G$8:$H$14,2,FALSE),YES_Writing_ELA[#Headers],0)))),"")</f>
        <v/>
      </c>
      <c r="E474" s="138" t="str">
        <f>IFERROR(IF(IF(INDEX(_xlfn.VSTACK(YES_Writing_ELA[#Data],YES_Writing_FLA[#Data]),MATCH($A474,_xlfn.VSTACK(YES_Writing_ELA[Student Number],YES_Writing_FLA[Student Number]),0),MATCH(VLOOKUP(E$7,'Writing Logic'!$J$7:$K$11,2,FALSE)&amp;" - Per "&amp;VLOOKUP($C$4,'Writing Logic'!$G$8:$H$14,2,FALSE),YES_Writing_ELA[#Headers],0))=0,"",INDEX(_xlfn.VSTACK(YES_Writing_ELA[#Data],YES_Writing_FLA[#Data]),MATCH($A474,_xlfn.VSTACK(YES_Writing_ELA[Student Number],YES_Writing_FLA[Student Number]),0),MATCH(VLOOKUP(E$7,'Writing Logic'!$J$7:$K$11,2,FALSE)&amp;" - Per "&amp;VLOOKUP($C$4,'Writing Logic'!$G$8:$H$14,2,FALSE),YES_Writing_ELA[#Headers],0)))="INS",'Writing Logic'!$B$7,IF(INDEX(_xlfn.VSTACK(YES_Writing_ELA[#Data],YES_Writing_FLA[#Data]),MATCH($A474,_xlfn.VSTACK(YES_Writing_ELA[Student Number],YES_Writing_FLA[Student Number]),0),MATCH(VLOOKUP(E$7,'Writing Logic'!$J$7:$K$11,2,FALSE)&amp;" - Per "&amp;VLOOKUP($C$4,'Writing Logic'!$G$8:$H$14,2,FALSE),YES_Writing_ELA[#Headers],0))=0,"",INDEX(_xlfn.VSTACK(YES_Writing_ELA[#Data],YES_Writing_FLA[#Data]),MATCH($A474,_xlfn.VSTACK(YES_Writing_ELA[Student Number],YES_Writing_FLA[Student Number]),0),MATCH(VLOOKUP(E$7,'Writing Logic'!$J$7:$K$11,2,FALSE)&amp;" - Per "&amp;VLOOKUP($C$4,'Writing Logic'!$G$8:$H$14,2,FALSE),YES_Writing_ELA[#Headers],0)))),"")</f>
        <v/>
      </c>
      <c r="F474" s="138" t="str">
        <f>IFERROR(IF(IF(INDEX(_xlfn.VSTACK(YES_Writing_ELA[#Data],YES_Writing_FLA[#Data]),MATCH($A474,_xlfn.VSTACK(YES_Writing_ELA[Student Number],YES_Writing_FLA[Student Number]),0),MATCH(VLOOKUP(F$7,'Writing Logic'!$J$7:$K$11,2,FALSE)&amp;" - Per "&amp;VLOOKUP($C$4,'Writing Logic'!$G$8:$H$14,2,FALSE),YES_Writing_ELA[#Headers],0))=0,"",INDEX(_xlfn.VSTACK(YES_Writing_ELA[#Data],YES_Writing_FLA[#Data]),MATCH($A474,_xlfn.VSTACK(YES_Writing_ELA[Student Number],YES_Writing_FLA[Student Number]),0),MATCH(VLOOKUP(F$7,'Writing Logic'!$J$7:$K$11,2,FALSE)&amp;" - Per "&amp;VLOOKUP($C$4,'Writing Logic'!$G$8:$H$14,2,FALSE),YES_Writing_ELA[#Headers],0)))="INS",'Writing Logic'!$B$7,IF(INDEX(_xlfn.VSTACK(YES_Writing_ELA[#Data],YES_Writing_FLA[#Data]),MATCH($A474,_xlfn.VSTACK(YES_Writing_ELA[Student Number],YES_Writing_FLA[Student Number]),0),MATCH(VLOOKUP(F$7,'Writing Logic'!$J$7:$K$11,2,FALSE)&amp;" - Per "&amp;VLOOKUP($C$4,'Writing Logic'!$G$8:$H$14,2,FALSE),YES_Writing_ELA[#Headers],0))=0,"",INDEX(_xlfn.VSTACK(YES_Writing_ELA[#Data],YES_Writing_FLA[#Data]),MATCH($A474,_xlfn.VSTACK(YES_Writing_ELA[Student Number],YES_Writing_FLA[Student Number]),0),MATCH(VLOOKUP(F$7,'Writing Logic'!$J$7:$K$11,2,FALSE)&amp;" - Per "&amp;VLOOKUP($C$4,'Writing Logic'!$G$8:$H$14,2,FALSE),YES_Writing_ELA[#Headers],0)))),"")</f>
        <v/>
      </c>
      <c r="G474" s="138" t="str">
        <f>IFERROR(IF(IF(INDEX(_xlfn.VSTACK(YES_Writing_ELA[#Data],YES_Writing_FLA[#Data]),MATCH($A474,_xlfn.VSTACK(YES_Writing_ELA[Student Number],YES_Writing_FLA[Student Number]),0),MATCH(VLOOKUP(G$7,'Writing Logic'!$J$7:$K$11,2,FALSE)&amp;" - Per "&amp;VLOOKUP($C$4,'Writing Logic'!$G$8:$H$14,2,FALSE),YES_Writing_ELA[#Headers],0))=0,"",INDEX(_xlfn.VSTACK(YES_Writing_ELA[#Data],YES_Writing_FLA[#Data]),MATCH($A474,_xlfn.VSTACK(YES_Writing_ELA[Student Number],YES_Writing_FLA[Student Number]),0),MATCH(VLOOKUP(G$7,'Writing Logic'!$J$7:$K$11,2,FALSE)&amp;" - Per "&amp;VLOOKUP($C$4,'Writing Logic'!$G$8:$H$14,2,FALSE),YES_Writing_ELA[#Headers],0)))="INS",'Writing Logic'!$B$7,IF(INDEX(_xlfn.VSTACK(YES_Writing_ELA[#Data],YES_Writing_FLA[#Data]),MATCH($A474,_xlfn.VSTACK(YES_Writing_ELA[Student Number],YES_Writing_FLA[Student Number]),0),MATCH(VLOOKUP(G$7,'Writing Logic'!$J$7:$K$11,2,FALSE)&amp;" - Per "&amp;VLOOKUP($C$4,'Writing Logic'!$G$8:$H$14,2,FALSE),YES_Writing_ELA[#Headers],0))=0,"",INDEX(_xlfn.VSTACK(YES_Writing_ELA[#Data],YES_Writing_FLA[#Data]),MATCH($A474,_xlfn.VSTACK(YES_Writing_ELA[Student Number],YES_Writing_FLA[Student Number]),0),MATCH(VLOOKUP(G$7,'Writing Logic'!$J$7:$K$11,2,FALSE)&amp;" - Per "&amp;VLOOKUP($C$4,'Writing Logic'!$G$8:$H$14,2,FALSE),YES_Writing_ELA[#Headers],0)))),"")</f>
        <v/>
      </c>
      <c r="H474" s="223" t="str">
        <f>IFERROR(IF(IF(INDEX(_xlfn.VSTACK(YES_Writing_ELA[#Data],YES_Writing_FLA[#Data]),MATCH($A474,_xlfn.VSTACK(YES_Writing_ELA[Student Number],YES_Writing_FLA[Student Number]),0),MATCH(VLOOKUP(H$7,'Writing Logic'!$J$7:$K$11,2,FALSE)&amp;" - Per "&amp;VLOOKUP($C$4,'Writing Logic'!$G$8:$H$14,2,FALSE),YES_Writing_ELA[#Headers],0))=0,"",INDEX(_xlfn.VSTACK(YES_Writing_ELA[#Data],YES_Writing_FLA[#Data]),MATCH($A474,_xlfn.VSTACK(YES_Writing_ELA[Student Number],YES_Writing_FLA[Student Number]),0),MATCH(VLOOKUP(H$7,'Writing Logic'!$J$7:$K$11,2,FALSE)&amp;" - Per "&amp;VLOOKUP($C$4,'Writing Logic'!$G$8:$H$14,2,FALSE),YES_Writing_ELA[#Headers],0)))="INS",'Writing Logic'!$B$7,IF(INDEX(_xlfn.VSTACK(YES_Writing_ELA[#Data],YES_Writing_FLA[#Data]),MATCH($A474,_xlfn.VSTACK(YES_Writing_ELA[Student Number],YES_Writing_FLA[Student Number]),0),MATCH(VLOOKUP(H$7,'Writing Logic'!$J$7:$K$11,2,FALSE)&amp;" - Per "&amp;VLOOKUP($C$4,'Writing Logic'!$G$8:$H$14,2,FALSE),YES_Writing_ELA[#Headers],0))=0,"",INDEX(_xlfn.VSTACK(YES_Writing_ELA[#Data],YES_Writing_FLA[#Data]),MATCH($A474,_xlfn.VSTACK(YES_Writing_ELA[Student Number],YES_Writing_FLA[Student Number]),0),MATCH(VLOOKUP(H$7,'Writing Logic'!$J$7:$K$11,2,FALSE)&amp;" - Per "&amp;VLOOKUP($C$4,'Writing Logic'!$G$8:$H$14,2,FALSE),YES_Writing_ELA[#Headers],0)))),"")</f>
        <v/>
      </c>
      <c r="I474" s="224" t="str" cm="1">
        <f t="array" aca="1" ref="I474" ca="1">IFERROR(
IF($G$3="ELA",
IF(VLOOKUP($A474, YES_Reading_ELA[], COLUMN(INDIRECT("YES_Reading_ELA[Difference - Per "&amp;VLOOKUP($G$4, 'Reading Report Logic'!$A$2:$B$8, 2, FALSE)&amp;"]")), FALSE)="", "",
VLOOKUP($A474,YES_Reading_ELA[], COLUMN(INDIRECT("YES_Reading_ELA[Difference - Per "&amp;VLOOKUP($G$4,'Reading Report Logic'!$A$2:$B$8,2,FALSE)&amp;"]")), FALSE)),
IF($G$3="FLA",
IF(VLOOKUP($A474, YES_Reading_FLA[], COLUMN(INDIRECT("YES_Reading_FLA[Difference - Per "&amp;VLOOKUP($G$4,'Reading Report Logic'!$A$2:$B$8,2,FALSE)&amp;"]")),FALSE)="","",
VLOOKUP($A474,YES_Reading_FLA[],COLUMN(INDIRECT("YES_Reading_FLA[Difference - Per "&amp;VLOOKUP($G$4,'Reading Report Logic'!$A$2:$B$8,2,FALSE)&amp;"]")),FALSE)),
IF($G$3="Combined",
IFERROR(
IF(VLOOKUP($A474, YES_Reading_ELA[], COLUMN(INDIRECT("YES_Reading_ELA[Difference - Per "&amp;VLOOKUP($G$4, 'Reading Report Logic'!$A$2:$B$8,2,FALSE)&amp;"]")), FALSE)="", "",
VLOOKUP($A474,YES_Reading_ELA[],COLUMN(INDIRECT("YES_Reading_ELA[Difference - Per "&amp;VLOOKUP($G$4,'Reading Report Logic'!$A$2:$B$8,2,FALSE)&amp;"]")),FALSE)),
IF(VLOOKUP($A474, YES_Reading_FLA[], COLUMN(INDIRECT("YES_Reading_FLA[Difference - Per "&amp;VLOOKUP($G$4, 'Reading Report Logic'!$A$2:$B$8, 2, FALSE)&amp;"]")),FALSE)="", "", VLOOKUP($A474,YES_Reading_FLA[],COLUMN(INDIRECT("YES_Reading_FLA[Difference - Per "&amp;VLOOKUP($G$4, 'Reading Report Logic'!$A$2:$B$8, 2, FALSE)&amp;"]")),FALSE))),""))),"")</f>
        <v/>
      </c>
    </row>
    <row r="475" spans="1:9" x14ac:dyDescent="0.25">
      <c r="A475" s="137"/>
      <c r="B475" s="137" t="str">
        <f>IFERROR(INDEX(_xlfn.VSTACK(YES_Writing_ELA[#Data], YES_Writing_FLA[#Data]),MATCH($A475,_xlfn.VSTACK(YES_Writing_ELA[Student Number], YES_Writing_FLA[Student Number]),0),MATCH(B$7,YES_Writing_ELA[#Headers],0)),IFERROR(INDEX(_xlfn.VSTACK(YES_Reading_ELA[#Data], YES_Reading_FLA[#Data]),MATCH($A475,_xlfn.VSTACK(YES_Reading_ELA[Student Number], YES_Reading_FLA[Student Number]),0),MATCH(B$7,YES_Reading_ELA[#Headers],0)),""))</f>
        <v/>
      </c>
      <c r="C475" s="137" t="str">
        <f>IFERROR(INDEX(_xlfn.VSTACK(YES_Writing_ELA[#Data], YES_Writing_FLA[#Data]),MATCH($A475,_xlfn.VSTACK(YES_Writing_ELA[Student Number], YES_Writing_FLA[Student Number]),0),MATCH(C$7,YES_Writing_ELA[#Headers],0)),IFERROR(INDEX(_xlfn.VSTACK(YES_Reading_ELA[#Data], YES_Reading_FLA[#Data]),MATCH($A475,_xlfn.VSTACK(YES_Reading_ELA[Student Number], YES_Reading_FLA[Student Number]),0),MATCH(C$7,YES_Reading_ELA[#Headers],0)),""))</f>
        <v/>
      </c>
      <c r="D475" s="138" t="str">
        <f>IFERROR(IF(IF(INDEX(_xlfn.VSTACK(YES_Writing_ELA[#Data],YES_Writing_FLA[#Data]),MATCH($A475,_xlfn.VSTACK(YES_Writing_ELA[Student Number],YES_Writing_FLA[Student Number]),0),MATCH(VLOOKUP(D$7,'Writing Logic'!$J$7:$K$11,2,FALSE)&amp;" - Per "&amp;VLOOKUP($C$4,'Writing Logic'!$G$8:$H$14,2,FALSE),YES_Writing_ELA[#Headers],0))=0,"",INDEX(_xlfn.VSTACK(YES_Writing_ELA[#Data],YES_Writing_FLA[#Data]),MATCH($A475,_xlfn.VSTACK(YES_Writing_ELA[Student Number],YES_Writing_FLA[Student Number]),0),MATCH(VLOOKUP(D$7,'Writing Logic'!$J$7:$K$11,2,FALSE)&amp;" - Per "&amp;VLOOKUP($C$4,'Writing Logic'!$G$8:$H$14,2,FALSE),YES_Writing_ELA[#Headers],0)))="INS",'Writing Logic'!$B$7,IF(INDEX(_xlfn.VSTACK(YES_Writing_ELA[#Data],YES_Writing_FLA[#Data]),MATCH($A475,_xlfn.VSTACK(YES_Writing_ELA[Student Number],YES_Writing_FLA[Student Number]),0),MATCH(VLOOKUP(D$7,'Writing Logic'!$J$7:$K$11,2,FALSE)&amp;" - Per "&amp;VLOOKUP($C$4,'Writing Logic'!$G$8:$H$14,2,FALSE),YES_Writing_ELA[#Headers],0))=0,"",INDEX(_xlfn.VSTACK(YES_Writing_ELA[#Data],YES_Writing_FLA[#Data]),MATCH($A475,_xlfn.VSTACK(YES_Writing_ELA[Student Number],YES_Writing_FLA[Student Number]),0),MATCH(VLOOKUP(D$7,'Writing Logic'!$J$7:$K$11,2,FALSE)&amp;" - Per "&amp;VLOOKUP($C$4,'Writing Logic'!$G$8:$H$14,2,FALSE),YES_Writing_ELA[#Headers],0)))),"")</f>
        <v/>
      </c>
      <c r="E475" s="138" t="str">
        <f>IFERROR(IF(IF(INDEX(_xlfn.VSTACK(YES_Writing_ELA[#Data],YES_Writing_FLA[#Data]),MATCH($A475,_xlfn.VSTACK(YES_Writing_ELA[Student Number],YES_Writing_FLA[Student Number]),0),MATCH(VLOOKUP(E$7,'Writing Logic'!$J$7:$K$11,2,FALSE)&amp;" - Per "&amp;VLOOKUP($C$4,'Writing Logic'!$G$8:$H$14,2,FALSE),YES_Writing_ELA[#Headers],0))=0,"",INDEX(_xlfn.VSTACK(YES_Writing_ELA[#Data],YES_Writing_FLA[#Data]),MATCH($A475,_xlfn.VSTACK(YES_Writing_ELA[Student Number],YES_Writing_FLA[Student Number]),0),MATCH(VLOOKUP(E$7,'Writing Logic'!$J$7:$K$11,2,FALSE)&amp;" - Per "&amp;VLOOKUP($C$4,'Writing Logic'!$G$8:$H$14,2,FALSE),YES_Writing_ELA[#Headers],0)))="INS",'Writing Logic'!$B$7,IF(INDEX(_xlfn.VSTACK(YES_Writing_ELA[#Data],YES_Writing_FLA[#Data]),MATCH($A475,_xlfn.VSTACK(YES_Writing_ELA[Student Number],YES_Writing_FLA[Student Number]),0),MATCH(VLOOKUP(E$7,'Writing Logic'!$J$7:$K$11,2,FALSE)&amp;" - Per "&amp;VLOOKUP($C$4,'Writing Logic'!$G$8:$H$14,2,FALSE),YES_Writing_ELA[#Headers],0))=0,"",INDEX(_xlfn.VSTACK(YES_Writing_ELA[#Data],YES_Writing_FLA[#Data]),MATCH($A475,_xlfn.VSTACK(YES_Writing_ELA[Student Number],YES_Writing_FLA[Student Number]),0),MATCH(VLOOKUP(E$7,'Writing Logic'!$J$7:$K$11,2,FALSE)&amp;" - Per "&amp;VLOOKUP($C$4,'Writing Logic'!$G$8:$H$14,2,FALSE),YES_Writing_ELA[#Headers],0)))),"")</f>
        <v/>
      </c>
      <c r="F475" s="138" t="str">
        <f>IFERROR(IF(IF(INDEX(_xlfn.VSTACK(YES_Writing_ELA[#Data],YES_Writing_FLA[#Data]),MATCH($A475,_xlfn.VSTACK(YES_Writing_ELA[Student Number],YES_Writing_FLA[Student Number]),0),MATCH(VLOOKUP(F$7,'Writing Logic'!$J$7:$K$11,2,FALSE)&amp;" - Per "&amp;VLOOKUP($C$4,'Writing Logic'!$G$8:$H$14,2,FALSE),YES_Writing_ELA[#Headers],0))=0,"",INDEX(_xlfn.VSTACK(YES_Writing_ELA[#Data],YES_Writing_FLA[#Data]),MATCH($A475,_xlfn.VSTACK(YES_Writing_ELA[Student Number],YES_Writing_FLA[Student Number]),0),MATCH(VLOOKUP(F$7,'Writing Logic'!$J$7:$K$11,2,FALSE)&amp;" - Per "&amp;VLOOKUP($C$4,'Writing Logic'!$G$8:$H$14,2,FALSE),YES_Writing_ELA[#Headers],0)))="INS",'Writing Logic'!$B$7,IF(INDEX(_xlfn.VSTACK(YES_Writing_ELA[#Data],YES_Writing_FLA[#Data]),MATCH($A475,_xlfn.VSTACK(YES_Writing_ELA[Student Number],YES_Writing_FLA[Student Number]),0),MATCH(VLOOKUP(F$7,'Writing Logic'!$J$7:$K$11,2,FALSE)&amp;" - Per "&amp;VLOOKUP($C$4,'Writing Logic'!$G$8:$H$14,2,FALSE),YES_Writing_ELA[#Headers],0))=0,"",INDEX(_xlfn.VSTACK(YES_Writing_ELA[#Data],YES_Writing_FLA[#Data]),MATCH($A475,_xlfn.VSTACK(YES_Writing_ELA[Student Number],YES_Writing_FLA[Student Number]),0),MATCH(VLOOKUP(F$7,'Writing Logic'!$J$7:$K$11,2,FALSE)&amp;" - Per "&amp;VLOOKUP($C$4,'Writing Logic'!$G$8:$H$14,2,FALSE),YES_Writing_ELA[#Headers],0)))),"")</f>
        <v/>
      </c>
      <c r="G475" s="138" t="str">
        <f>IFERROR(IF(IF(INDEX(_xlfn.VSTACK(YES_Writing_ELA[#Data],YES_Writing_FLA[#Data]),MATCH($A475,_xlfn.VSTACK(YES_Writing_ELA[Student Number],YES_Writing_FLA[Student Number]),0),MATCH(VLOOKUP(G$7,'Writing Logic'!$J$7:$K$11,2,FALSE)&amp;" - Per "&amp;VLOOKUP($C$4,'Writing Logic'!$G$8:$H$14,2,FALSE),YES_Writing_ELA[#Headers],0))=0,"",INDEX(_xlfn.VSTACK(YES_Writing_ELA[#Data],YES_Writing_FLA[#Data]),MATCH($A475,_xlfn.VSTACK(YES_Writing_ELA[Student Number],YES_Writing_FLA[Student Number]),0),MATCH(VLOOKUP(G$7,'Writing Logic'!$J$7:$K$11,2,FALSE)&amp;" - Per "&amp;VLOOKUP($C$4,'Writing Logic'!$G$8:$H$14,2,FALSE),YES_Writing_ELA[#Headers],0)))="INS",'Writing Logic'!$B$7,IF(INDEX(_xlfn.VSTACK(YES_Writing_ELA[#Data],YES_Writing_FLA[#Data]),MATCH($A475,_xlfn.VSTACK(YES_Writing_ELA[Student Number],YES_Writing_FLA[Student Number]),0),MATCH(VLOOKUP(G$7,'Writing Logic'!$J$7:$K$11,2,FALSE)&amp;" - Per "&amp;VLOOKUP($C$4,'Writing Logic'!$G$8:$H$14,2,FALSE),YES_Writing_ELA[#Headers],0))=0,"",INDEX(_xlfn.VSTACK(YES_Writing_ELA[#Data],YES_Writing_FLA[#Data]),MATCH($A475,_xlfn.VSTACK(YES_Writing_ELA[Student Number],YES_Writing_FLA[Student Number]),0),MATCH(VLOOKUP(G$7,'Writing Logic'!$J$7:$K$11,2,FALSE)&amp;" - Per "&amp;VLOOKUP($C$4,'Writing Logic'!$G$8:$H$14,2,FALSE),YES_Writing_ELA[#Headers],0)))),"")</f>
        <v/>
      </c>
      <c r="H475" s="223" t="str">
        <f>IFERROR(IF(IF(INDEX(_xlfn.VSTACK(YES_Writing_ELA[#Data],YES_Writing_FLA[#Data]),MATCH($A475,_xlfn.VSTACK(YES_Writing_ELA[Student Number],YES_Writing_FLA[Student Number]),0),MATCH(VLOOKUP(H$7,'Writing Logic'!$J$7:$K$11,2,FALSE)&amp;" - Per "&amp;VLOOKUP($C$4,'Writing Logic'!$G$8:$H$14,2,FALSE),YES_Writing_ELA[#Headers],0))=0,"",INDEX(_xlfn.VSTACK(YES_Writing_ELA[#Data],YES_Writing_FLA[#Data]),MATCH($A475,_xlfn.VSTACK(YES_Writing_ELA[Student Number],YES_Writing_FLA[Student Number]),0),MATCH(VLOOKUP(H$7,'Writing Logic'!$J$7:$K$11,2,FALSE)&amp;" - Per "&amp;VLOOKUP($C$4,'Writing Logic'!$G$8:$H$14,2,FALSE),YES_Writing_ELA[#Headers],0)))="INS",'Writing Logic'!$B$7,IF(INDEX(_xlfn.VSTACK(YES_Writing_ELA[#Data],YES_Writing_FLA[#Data]),MATCH($A475,_xlfn.VSTACK(YES_Writing_ELA[Student Number],YES_Writing_FLA[Student Number]),0),MATCH(VLOOKUP(H$7,'Writing Logic'!$J$7:$K$11,2,FALSE)&amp;" - Per "&amp;VLOOKUP($C$4,'Writing Logic'!$G$8:$H$14,2,FALSE),YES_Writing_ELA[#Headers],0))=0,"",INDEX(_xlfn.VSTACK(YES_Writing_ELA[#Data],YES_Writing_FLA[#Data]),MATCH($A475,_xlfn.VSTACK(YES_Writing_ELA[Student Number],YES_Writing_FLA[Student Number]),0),MATCH(VLOOKUP(H$7,'Writing Logic'!$J$7:$K$11,2,FALSE)&amp;" - Per "&amp;VLOOKUP($C$4,'Writing Logic'!$G$8:$H$14,2,FALSE),YES_Writing_ELA[#Headers],0)))),"")</f>
        <v/>
      </c>
      <c r="I475" s="224" t="str" cm="1">
        <f t="array" aca="1" ref="I475" ca="1">IFERROR(
IF($G$3="ELA",
IF(VLOOKUP($A475, YES_Reading_ELA[], COLUMN(INDIRECT("YES_Reading_ELA[Difference - Per "&amp;VLOOKUP($G$4, 'Reading Report Logic'!$A$2:$B$8, 2, FALSE)&amp;"]")), FALSE)="", "",
VLOOKUP($A475,YES_Reading_ELA[], COLUMN(INDIRECT("YES_Reading_ELA[Difference - Per "&amp;VLOOKUP($G$4,'Reading Report Logic'!$A$2:$B$8,2,FALSE)&amp;"]")), FALSE)),
IF($G$3="FLA",
IF(VLOOKUP($A475, YES_Reading_FLA[], COLUMN(INDIRECT("YES_Reading_FLA[Difference - Per "&amp;VLOOKUP($G$4,'Reading Report Logic'!$A$2:$B$8,2,FALSE)&amp;"]")),FALSE)="","",
VLOOKUP($A475,YES_Reading_FLA[],COLUMN(INDIRECT("YES_Reading_FLA[Difference - Per "&amp;VLOOKUP($G$4,'Reading Report Logic'!$A$2:$B$8,2,FALSE)&amp;"]")),FALSE)),
IF($G$3="Combined",
IFERROR(
IF(VLOOKUP($A475, YES_Reading_ELA[], COLUMN(INDIRECT("YES_Reading_ELA[Difference - Per "&amp;VLOOKUP($G$4, 'Reading Report Logic'!$A$2:$B$8,2,FALSE)&amp;"]")), FALSE)="", "",
VLOOKUP($A475,YES_Reading_ELA[],COLUMN(INDIRECT("YES_Reading_ELA[Difference - Per "&amp;VLOOKUP($G$4,'Reading Report Logic'!$A$2:$B$8,2,FALSE)&amp;"]")),FALSE)),
IF(VLOOKUP($A475, YES_Reading_FLA[], COLUMN(INDIRECT("YES_Reading_FLA[Difference - Per "&amp;VLOOKUP($G$4, 'Reading Report Logic'!$A$2:$B$8, 2, FALSE)&amp;"]")),FALSE)="", "", VLOOKUP($A475,YES_Reading_FLA[],COLUMN(INDIRECT("YES_Reading_FLA[Difference - Per "&amp;VLOOKUP($G$4, 'Reading Report Logic'!$A$2:$B$8, 2, FALSE)&amp;"]")),FALSE))),""))),"")</f>
        <v/>
      </c>
    </row>
    <row r="476" spans="1:9" x14ac:dyDescent="0.25">
      <c r="A476" s="137"/>
      <c r="B476" s="137" t="str">
        <f>IFERROR(INDEX(_xlfn.VSTACK(YES_Writing_ELA[#Data], YES_Writing_FLA[#Data]),MATCH($A476,_xlfn.VSTACK(YES_Writing_ELA[Student Number], YES_Writing_FLA[Student Number]),0),MATCH(B$7,YES_Writing_ELA[#Headers],0)),IFERROR(INDEX(_xlfn.VSTACK(YES_Reading_ELA[#Data], YES_Reading_FLA[#Data]),MATCH($A476,_xlfn.VSTACK(YES_Reading_ELA[Student Number], YES_Reading_FLA[Student Number]),0),MATCH(B$7,YES_Reading_ELA[#Headers],0)),""))</f>
        <v/>
      </c>
      <c r="C476" s="137" t="str">
        <f>IFERROR(INDEX(_xlfn.VSTACK(YES_Writing_ELA[#Data], YES_Writing_FLA[#Data]),MATCH($A476,_xlfn.VSTACK(YES_Writing_ELA[Student Number], YES_Writing_FLA[Student Number]),0),MATCH(C$7,YES_Writing_ELA[#Headers],0)),IFERROR(INDEX(_xlfn.VSTACK(YES_Reading_ELA[#Data], YES_Reading_FLA[#Data]),MATCH($A476,_xlfn.VSTACK(YES_Reading_ELA[Student Number], YES_Reading_FLA[Student Number]),0),MATCH(C$7,YES_Reading_ELA[#Headers],0)),""))</f>
        <v/>
      </c>
      <c r="D476" s="138" t="str">
        <f>IFERROR(IF(IF(INDEX(_xlfn.VSTACK(YES_Writing_ELA[#Data],YES_Writing_FLA[#Data]),MATCH($A476,_xlfn.VSTACK(YES_Writing_ELA[Student Number],YES_Writing_FLA[Student Number]),0),MATCH(VLOOKUP(D$7,'Writing Logic'!$J$7:$K$11,2,FALSE)&amp;" - Per "&amp;VLOOKUP($C$4,'Writing Logic'!$G$8:$H$14,2,FALSE),YES_Writing_ELA[#Headers],0))=0,"",INDEX(_xlfn.VSTACK(YES_Writing_ELA[#Data],YES_Writing_FLA[#Data]),MATCH($A476,_xlfn.VSTACK(YES_Writing_ELA[Student Number],YES_Writing_FLA[Student Number]),0),MATCH(VLOOKUP(D$7,'Writing Logic'!$J$7:$K$11,2,FALSE)&amp;" - Per "&amp;VLOOKUP($C$4,'Writing Logic'!$G$8:$H$14,2,FALSE),YES_Writing_ELA[#Headers],0)))="INS",'Writing Logic'!$B$7,IF(INDEX(_xlfn.VSTACK(YES_Writing_ELA[#Data],YES_Writing_FLA[#Data]),MATCH($A476,_xlfn.VSTACK(YES_Writing_ELA[Student Number],YES_Writing_FLA[Student Number]),0),MATCH(VLOOKUP(D$7,'Writing Logic'!$J$7:$K$11,2,FALSE)&amp;" - Per "&amp;VLOOKUP($C$4,'Writing Logic'!$G$8:$H$14,2,FALSE),YES_Writing_ELA[#Headers],0))=0,"",INDEX(_xlfn.VSTACK(YES_Writing_ELA[#Data],YES_Writing_FLA[#Data]),MATCH($A476,_xlfn.VSTACK(YES_Writing_ELA[Student Number],YES_Writing_FLA[Student Number]),0),MATCH(VLOOKUP(D$7,'Writing Logic'!$J$7:$K$11,2,FALSE)&amp;" - Per "&amp;VLOOKUP($C$4,'Writing Logic'!$G$8:$H$14,2,FALSE),YES_Writing_ELA[#Headers],0)))),"")</f>
        <v/>
      </c>
      <c r="E476" s="138" t="str">
        <f>IFERROR(IF(IF(INDEX(_xlfn.VSTACK(YES_Writing_ELA[#Data],YES_Writing_FLA[#Data]),MATCH($A476,_xlfn.VSTACK(YES_Writing_ELA[Student Number],YES_Writing_FLA[Student Number]),0),MATCH(VLOOKUP(E$7,'Writing Logic'!$J$7:$K$11,2,FALSE)&amp;" - Per "&amp;VLOOKUP($C$4,'Writing Logic'!$G$8:$H$14,2,FALSE),YES_Writing_ELA[#Headers],0))=0,"",INDEX(_xlfn.VSTACK(YES_Writing_ELA[#Data],YES_Writing_FLA[#Data]),MATCH($A476,_xlfn.VSTACK(YES_Writing_ELA[Student Number],YES_Writing_FLA[Student Number]),0),MATCH(VLOOKUP(E$7,'Writing Logic'!$J$7:$K$11,2,FALSE)&amp;" - Per "&amp;VLOOKUP($C$4,'Writing Logic'!$G$8:$H$14,2,FALSE),YES_Writing_ELA[#Headers],0)))="INS",'Writing Logic'!$B$7,IF(INDEX(_xlfn.VSTACK(YES_Writing_ELA[#Data],YES_Writing_FLA[#Data]),MATCH($A476,_xlfn.VSTACK(YES_Writing_ELA[Student Number],YES_Writing_FLA[Student Number]),0),MATCH(VLOOKUP(E$7,'Writing Logic'!$J$7:$K$11,2,FALSE)&amp;" - Per "&amp;VLOOKUP($C$4,'Writing Logic'!$G$8:$H$14,2,FALSE),YES_Writing_ELA[#Headers],0))=0,"",INDEX(_xlfn.VSTACK(YES_Writing_ELA[#Data],YES_Writing_FLA[#Data]),MATCH($A476,_xlfn.VSTACK(YES_Writing_ELA[Student Number],YES_Writing_FLA[Student Number]),0),MATCH(VLOOKUP(E$7,'Writing Logic'!$J$7:$K$11,2,FALSE)&amp;" - Per "&amp;VLOOKUP($C$4,'Writing Logic'!$G$8:$H$14,2,FALSE),YES_Writing_ELA[#Headers],0)))),"")</f>
        <v/>
      </c>
      <c r="F476" s="138" t="str">
        <f>IFERROR(IF(IF(INDEX(_xlfn.VSTACK(YES_Writing_ELA[#Data],YES_Writing_FLA[#Data]),MATCH($A476,_xlfn.VSTACK(YES_Writing_ELA[Student Number],YES_Writing_FLA[Student Number]),0),MATCH(VLOOKUP(F$7,'Writing Logic'!$J$7:$K$11,2,FALSE)&amp;" - Per "&amp;VLOOKUP($C$4,'Writing Logic'!$G$8:$H$14,2,FALSE),YES_Writing_ELA[#Headers],0))=0,"",INDEX(_xlfn.VSTACK(YES_Writing_ELA[#Data],YES_Writing_FLA[#Data]),MATCH($A476,_xlfn.VSTACK(YES_Writing_ELA[Student Number],YES_Writing_FLA[Student Number]),0),MATCH(VLOOKUP(F$7,'Writing Logic'!$J$7:$K$11,2,FALSE)&amp;" - Per "&amp;VLOOKUP($C$4,'Writing Logic'!$G$8:$H$14,2,FALSE),YES_Writing_ELA[#Headers],0)))="INS",'Writing Logic'!$B$7,IF(INDEX(_xlfn.VSTACK(YES_Writing_ELA[#Data],YES_Writing_FLA[#Data]),MATCH($A476,_xlfn.VSTACK(YES_Writing_ELA[Student Number],YES_Writing_FLA[Student Number]),0),MATCH(VLOOKUP(F$7,'Writing Logic'!$J$7:$K$11,2,FALSE)&amp;" - Per "&amp;VLOOKUP($C$4,'Writing Logic'!$G$8:$H$14,2,FALSE),YES_Writing_ELA[#Headers],0))=0,"",INDEX(_xlfn.VSTACK(YES_Writing_ELA[#Data],YES_Writing_FLA[#Data]),MATCH($A476,_xlfn.VSTACK(YES_Writing_ELA[Student Number],YES_Writing_FLA[Student Number]),0),MATCH(VLOOKUP(F$7,'Writing Logic'!$J$7:$K$11,2,FALSE)&amp;" - Per "&amp;VLOOKUP($C$4,'Writing Logic'!$G$8:$H$14,2,FALSE),YES_Writing_ELA[#Headers],0)))),"")</f>
        <v/>
      </c>
      <c r="G476" s="138" t="str">
        <f>IFERROR(IF(IF(INDEX(_xlfn.VSTACK(YES_Writing_ELA[#Data],YES_Writing_FLA[#Data]),MATCH($A476,_xlfn.VSTACK(YES_Writing_ELA[Student Number],YES_Writing_FLA[Student Number]),0),MATCH(VLOOKUP(G$7,'Writing Logic'!$J$7:$K$11,2,FALSE)&amp;" - Per "&amp;VLOOKUP($C$4,'Writing Logic'!$G$8:$H$14,2,FALSE),YES_Writing_ELA[#Headers],0))=0,"",INDEX(_xlfn.VSTACK(YES_Writing_ELA[#Data],YES_Writing_FLA[#Data]),MATCH($A476,_xlfn.VSTACK(YES_Writing_ELA[Student Number],YES_Writing_FLA[Student Number]),0),MATCH(VLOOKUP(G$7,'Writing Logic'!$J$7:$K$11,2,FALSE)&amp;" - Per "&amp;VLOOKUP($C$4,'Writing Logic'!$G$8:$H$14,2,FALSE),YES_Writing_ELA[#Headers],0)))="INS",'Writing Logic'!$B$7,IF(INDEX(_xlfn.VSTACK(YES_Writing_ELA[#Data],YES_Writing_FLA[#Data]),MATCH($A476,_xlfn.VSTACK(YES_Writing_ELA[Student Number],YES_Writing_FLA[Student Number]),0),MATCH(VLOOKUP(G$7,'Writing Logic'!$J$7:$K$11,2,FALSE)&amp;" - Per "&amp;VLOOKUP($C$4,'Writing Logic'!$G$8:$H$14,2,FALSE),YES_Writing_ELA[#Headers],0))=0,"",INDEX(_xlfn.VSTACK(YES_Writing_ELA[#Data],YES_Writing_FLA[#Data]),MATCH($A476,_xlfn.VSTACK(YES_Writing_ELA[Student Number],YES_Writing_FLA[Student Number]),0),MATCH(VLOOKUP(G$7,'Writing Logic'!$J$7:$K$11,2,FALSE)&amp;" - Per "&amp;VLOOKUP($C$4,'Writing Logic'!$G$8:$H$14,2,FALSE),YES_Writing_ELA[#Headers],0)))),"")</f>
        <v/>
      </c>
      <c r="H476" s="223" t="str">
        <f>IFERROR(IF(IF(INDEX(_xlfn.VSTACK(YES_Writing_ELA[#Data],YES_Writing_FLA[#Data]),MATCH($A476,_xlfn.VSTACK(YES_Writing_ELA[Student Number],YES_Writing_FLA[Student Number]),0),MATCH(VLOOKUP(H$7,'Writing Logic'!$J$7:$K$11,2,FALSE)&amp;" - Per "&amp;VLOOKUP($C$4,'Writing Logic'!$G$8:$H$14,2,FALSE),YES_Writing_ELA[#Headers],0))=0,"",INDEX(_xlfn.VSTACK(YES_Writing_ELA[#Data],YES_Writing_FLA[#Data]),MATCH($A476,_xlfn.VSTACK(YES_Writing_ELA[Student Number],YES_Writing_FLA[Student Number]),0),MATCH(VLOOKUP(H$7,'Writing Logic'!$J$7:$K$11,2,FALSE)&amp;" - Per "&amp;VLOOKUP($C$4,'Writing Logic'!$G$8:$H$14,2,FALSE),YES_Writing_ELA[#Headers],0)))="INS",'Writing Logic'!$B$7,IF(INDEX(_xlfn.VSTACK(YES_Writing_ELA[#Data],YES_Writing_FLA[#Data]),MATCH($A476,_xlfn.VSTACK(YES_Writing_ELA[Student Number],YES_Writing_FLA[Student Number]),0),MATCH(VLOOKUP(H$7,'Writing Logic'!$J$7:$K$11,2,FALSE)&amp;" - Per "&amp;VLOOKUP($C$4,'Writing Logic'!$G$8:$H$14,2,FALSE),YES_Writing_ELA[#Headers],0))=0,"",INDEX(_xlfn.VSTACK(YES_Writing_ELA[#Data],YES_Writing_FLA[#Data]),MATCH($A476,_xlfn.VSTACK(YES_Writing_ELA[Student Number],YES_Writing_FLA[Student Number]),0),MATCH(VLOOKUP(H$7,'Writing Logic'!$J$7:$K$11,2,FALSE)&amp;" - Per "&amp;VLOOKUP($C$4,'Writing Logic'!$G$8:$H$14,2,FALSE),YES_Writing_ELA[#Headers],0)))),"")</f>
        <v/>
      </c>
      <c r="I476" s="224" t="str" cm="1">
        <f t="array" aca="1" ref="I476" ca="1">IFERROR(
IF($G$3="ELA",
IF(VLOOKUP($A476, YES_Reading_ELA[], COLUMN(INDIRECT("YES_Reading_ELA[Difference - Per "&amp;VLOOKUP($G$4, 'Reading Report Logic'!$A$2:$B$8, 2, FALSE)&amp;"]")), FALSE)="", "",
VLOOKUP($A476,YES_Reading_ELA[], COLUMN(INDIRECT("YES_Reading_ELA[Difference - Per "&amp;VLOOKUP($G$4,'Reading Report Logic'!$A$2:$B$8,2,FALSE)&amp;"]")), FALSE)),
IF($G$3="FLA",
IF(VLOOKUP($A476, YES_Reading_FLA[], COLUMN(INDIRECT("YES_Reading_FLA[Difference - Per "&amp;VLOOKUP($G$4,'Reading Report Logic'!$A$2:$B$8,2,FALSE)&amp;"]")),FALSE)="","",
VLOOKUP($A476,YES_Reading_FLA[],COLUMN(INDIRECT("YES_Reading_FLA[Difference - Per "&amp;VLOOKUP($G$4,'Reading Report Logic'!$A$2:$B$8,2,FALSE)&amp;"]")),FALSE)),
IF($G$3="Combined",
IFERROR(
IF(VLOOKUP($A476, YES_Reading_ELA[], COLUMN(INDIRECT("YES_Reading_ELA[Difference - Per "&amp;VLOOKUP($G$4, 'Reading Report Logic'!$A$2:$B$8,2,FALSE)&amp;"]")), FALSE)="", "",
VLOOKUP($A476,YES_Reading_ELA[],COLUMN(INDIRECT("YES_Reading_ELA[Difference - Per "&amp;VLOOKUP($G$4,'Reading Report Logic'!$A$2:$B$8,2,FALSE)&amp;"]")),FALSE)),
IF(VLOOKUP($A476, YES_Reading_FLA[], COLUMN(INDIRECT("YES_Reading_FLA[Difference - Per "&amp;VLOOKUP($G$4, 'Reading Report Logic'!$A$2:$B$8, 2, FALSE)&amp;"]")),FALSE)="", "", VLOOKUP($A476,YES_Reading_FLA[],COLUMN(INDIRECT("YES_Reading_FLA[Difference - Per "&amp;VLOOKUP($G$4, 'Reading Report Logic'!$A$2:$B$8, 2, FALSE)&amp;"]")),FALSE))),""))),"")</f>
        <v/>
      </c>
    </row>
    <row r="477" spans="1:9" x14ac:dyDescent="0.25">
      <c r="A477" s="137"/>
      <c r="B477" s="137" t="str">
        <f>IFERROR(INDEX(_xlfn.VSTACK(YES_Writing_ELA[#Data], YES_Writing_FLA[#Data]),MATCH($A477,_xlfn.VSTACK(YES_Writing_ELA[Student Number], YES_Writing_FLA[Student Number]),0),MATCH(B$7,YES_Writing_ELA[#Headers],0)),IFERROR(INDEX(_xlfn.VSTACK(YES_Reading_ELA[#Data], YES_Reading_FLA[#Data]),MATCH($A477,_xlfn.VSTACK(YES_Reading_ELA[Student Number], YES_Reading_FLA[Student Number]),0),MATCH(B$7,YES_Reading_ELA[#Headers],0)),""))</f>
        <v/>
      </c>
      <c r="C477" s="137" t="str">
        <f>IFERROR(INDEX(_xlfn.VSTACK(YES_Writing_ELA[#Data], YES_Writing_FLA[#Data]),MATCH($A477,_xlfn.VSTACK(YES_Writing_ELA[Student Number], YES_Writing_FLA[Student Number]),0),MATCH(C$7,YES_Writing_ELA[#Headers],0)),IFERROR(INDEX(_xlfn.VSTACK(YES_Reading_ELA[#Data], YES_Reading_FLA[#Data]),MATCH($A477,_xlfn.VSTACK(YES_Reading_ELA[Student Number], YES_Reading_FLA[Student Number]),0),MATCH(C$7,YES_Reading_ELA[#Headers],0)),""))</f>
        <v/>
      </c>
      <c r="D477" s="138" t="str">
        <f>IFERROR(IF(IF(INDEX(_xlfn.VSTACK(YES_Writing_ELA[#Data],YES_Writing_FLA[#Data]),MATCH($A477,_xlfn.VSTACK(YES_Writing_ELA[Student Number],YES_Writing_FLA[Student Number]),0),MATCH(VLOOKUP(D$7,'Writing Logic'!$J$7:$K$11,2,FALSE)&amp;" - Per "&amp;VLOOKUP($C$4,'Writing Logic'!$G$8:$H$14,2,FALSE),YES_Writing_ELA[#Headers],0))=0,"",INDEX(_xlfn.VSTACK(YES_Writing_ELA[#Data],YES_Writing_FLA[#Data]),MATCH($A477,_xlfn.VSTACK(YES_Writing_ELA[Student Number],YES_Writing_FLA[Student Number]),0),MATCH(VLOOKUP(D$7,'Writing Logic'!$J$7:$K$11,2,FALSE)&amp;" - Per "&amp;VLOOKUP($C$4,'Writing Logic'!$G$8:$H$14,2,FALSE),YES_Writing_ELA[#Headers],0)))="INS",'Writing Logic'!$B$7,IF(INDEX(_xlfn.VSTACK(YES_Writing_ELA[#Data],YES_Writing_FLA[#Data]),MATCH($A477,_xlfn.VSTACK(YES_Writing_ELA[Student Number],YES_Writing_FLA[Student Number]),0),MATCH(VLOOKUP(D$7,'Writing Logic'!$J$7:$K$11,2,FALSE)&amp;" - Per "&amp;VLOOKUP($C$4,'Writing Logic'!$G$8:$H$14,2,FALSE),YES_Writing_ELA[#Headers],0))=0,"",INDEX(_xlfn.VSTACK(YES_Writing_ELA[#Data],YES_Writing_FLA[#Data]),MATCH($A477,_xlfn.VSTACK(YES_Writing_ELA[Student Number],YES_Writing_FLA[Student Number]),0),MATCH(VLOOKUP(D$7,'Writing Logic'!$J$7:$K$11,2,FALSE)&amp;" - Per "&amp;VLOOKUP($C$4,'Writing Logic'!$G$8:$H$14,2,FALSE),YES_Writing_ELA[#Headers],0)))),"")</f>
        <v/>
      </c>
      <c r="E477" s="138" t="str">
        <f>IFERROR(IF(IF(INDEX(_xlfn.VSTACK(YES_Writing_ELA[#Data],YES_Writing_FLA[#Data]),MATCH($A477,_xlfn.VSTACK(YES_Writing_ELA[Student Number],YES_Writing_FLA[Student Number]),0),MATCH(VLOOKUP(E$7,'Writing Logic'!$J$7:$K$11,2,FALSE)&amp;" - Per "&amp;VLOOKUP($C$4,'Writing Logic'!$G$8:$H$14,2,FALSE),YES_Writing_ELA[#Headers],0))=0,"",INDEX(_xlfn.VSTACK(YES_Writing_ELA[#Data],YES_Writing_FLA[#Data]),MATCH($A477,_xlfn.VSTACK(YES_Writing_ELA[Student Number],YES_Writing_FLA[Student Number]),0),MATCH(VLOOKUP(E$7,'Writing Logic'!$J$7:$K$11,2,FALSE)&amp;" - Per "&amp;VLOOKUP($C$4,'Writing Logic'!$G$8:$H$14,2,FALSE),YES_Writing_ELA[#Headers],0)))="INS",'Writing Logic'!$B$7,IF(INDEX(_xlfn.VSTACK(YES_Writing_ELA[#Data],YES_Writing_FLA[#Data]),MATCH($A477,_xlfn.VSTACK(YES_Writing_ELA[Student Number],YES_Writing_FLA[Student Number]),0),MATCH(VLOOKUP(E$7,'Writing Logic'!$J$7:$K$11,2,FALSE)&amp;" - Per "&amp;VLOOKUP($C$4,'Writing Logic'!$G$8:$H$14,2,FALSE),YES_Writing_ELA[#Headers],0))=0,"",INDEX(_xlfn.VSTACK(YES_Writing_ELA[#Data],YES_Writing_FLA[#Data]),MATCH($A477,_xlfn.VSTACK(YES_Writing_ELA[Student Number],YES_Writing_FLA[Student Number]),0),MATCH(VLOOKUP(E$7,'Writing Logic'!$J$7:$K$11,2,FALSE)&amp;" - Per "&amp;VLOOKUP($C$4,'Writing Logic'!$G$8:$H$14,2,FALSE),YES_Writing_ELA[#Headers],0)))),"")</f>
        <v/>
      </c>
      <c r="F477" s="138" t="str">
        <f>IFERROR(IF(IF(INDEX(_xlfn.VSTACK(YES_Writing_ELA[#Data],YES_Writing_FLA[#Data]),MATCH($A477,_xlfn.VSTACK(YES_Writing_ELA[Student Number],YES_Writing_FLA[Student Number]),0),MATCH(VLOOKUP(F$7,'Writing Logic'!$J$7:$K$11,2,FALSE)&amp;" - Per "&amp;VLOOKUP($C$4,'Writing Logic'!$G$8:$H$14,2,FALSE),YES_Writing_ELA[#Headers],0))=0,"",INDEX(_xlfn.VSTACK(YES_Writing_ELA[#Data],YES_Writing_FLA[#Data]),MATCH($A477,_xlfn.VSTACK(YES_Writing_ELA[Student Number],YES_Writing_FLA[Student Number]),0),MATCH(VLOOKUP(F$7,'Writing Logic'!$J$7:$K$11,2,FALSE)&amp;" - Per "&amp;VLOOKUP($C$4,'Writing Logic'!$G$8:$H$14,2,FALSE),YES_Writing_ELA[#Headers],0)))="INS",'Writing Logic'!$B$7,IF(INDEX(_xlfn.VSTACK(YES_Writing_ELA[#Data],YES_Writing_FLA[#Data]),MATCH($A477,_xlfn.VSTACK(YES_Writing_ELA[Student Number],YES_Writing_FLA[Student Number]),0),MATCH(VLOOKUP(F$7,'Writing Logic'!$J$7:$K$11,2,FALSE)&amp;" - Per "&amp;VLOOKUP($C$4,'Writing Logic'!$G$8:$H$14,2,FALSE),YES_Writing_ELA[#Headers],0))=0,"",INDEX(_xlfn.VSTACK(YES_Writing_ELA[#Data],YES_Writing_FLA[#Data]),MATCH($A477,_xlfn.VSTACK(YES_Writing_ELA[Student Number],YES_Writing_FLA[Student Number]),0),MATCH(VLOOKUP(F$7,'Writing Logic'!$J$7:$K$11,2,FALSE)&amp;" - Per "&amp;VLOOKUP($C$4,'Writing Logic'!$G$8:$H$14,2,FALSE),YES_Writing_ELA[#Headers],0)))),"")</f>
        <v/>
      </c>
      <c r="G477" s="138" t="str">
        <f>IFERROR(IF(IF(INDEX(_xlfn.VSTACK(YES_Writing_ELA[#Data],YES_Writing_FLA[#Data]),MATCH($A477,_xlfn.VSTACK(YES_Writing_ELA[Student Number],YES_Writing_FLA[Student Number]),0),MATCH(VLOOKUP(G$7,'Writing Logic'!$J$7:$K$11,2,FALSE)&amp;" - Per "&amp;VLOOKUP($C$4,'Writing Logic'!$G$8:$H$14,2,FALSE),YES_Writing_ELA[#Headers],0))=0,"",INDEX(_xlfn.VSTACK(YES_Writing_ELA[#Data],YES_Writing_FLA[#Data]),MATCH($A477,_xlfn.VSTACK(YES_Writing_ELA[Student Number],YES_Writing_FLA[Student Number]),0),MATCH(VLOOKUP(G$7,'Writing Logic'!$J$7:$K$11,2,FALSE)&amp;" - Per "&amp;VLOOKUP($C$4,'Writing Logic'!$G$8:$H$14,2,FALSE),YES_Writing_ELA[#Headers],0)))="INS",'Writing Logic'!$B$7,IF(INDEX(_xlfn.VSTACK(YES_Writing_ELA[#Data],YES_Writing_FLA[#Data]),MATCH($A477,_xlfn.VSTACK(YES_Writing_ELA[Student Number],YES_Writing_FLA[Student Number]),0),MATCH(VLOOKUP(G$7,'Writing Logic'!$J$7:$K$11,2,FALSE)&amp;" - Per "&amp;VLOOKUP($C$4,'Writing Logic'!$G$8:$H$14,2,FALSE),YES_Writing_ELA[#Headers],0))=0,"",INDEX(_xlfn.VSTACK(YES_Writing_ELA[#Data],YES_Writing_FLA[#Data]),MATCH($A477,_xlfn.VSTACK(YES_Writing_ELA[Student Number],YES_Writing_FLA[Student Number]),0),MATCH(VLOOKUP(G$7,'Writing Logic'!$J$7:$K$11,2,FALSE)&amp;" - Per "&amp;VLOOKUP($C$4,'Writing Logic'!$G$8:$H$14,2,FALSE),YES_Writing_ELA[#Headers],0)))),"")</f>
        <v/>
      </c>
      <c r="H477" s="223" t="str">
        <f>IFERROR(IF(IF(INDEX(_xlfn.VSTACK(YES_Writing_ELA[#Data],YES_Writing_FLA[#Data]),MATCH($A477,_xlfn.VSTACK(YES_Writing_ELA[Student Number],YES_Writing_FLA[Student Number]),0),MATCH(VLOOKUP(H$7,'Writing Logic'!$J$7:$K$11,2,FALSE)&amp;" - Per "&amp;VLOOKUP($C$4,'Writing Logic'!$G$8:$H$14,2,FALSE),YES_Writing_ELA[#Headers],0))=0,"",INDEX(_xlfn.VSTACK(YES_Writing_ELA[#Data],YES_Writing_FLA[#Data]),MATCH($A477,_xlfn.VSTACK(YES_Writing_ELA[Student Number],YES_Writing_FLA[Student Number]),0),MATCH(VLOOKUP(H$7,'Writing Logic'!$J$7:$K$11,2,FALSE)&amp;" - Per "&amp;VLOOKUP($C$4,'Writing Logic'!$G$8:$H$14,2,FALSE),YES_Writing_ELA[#Headers],0)))="INS",'Writing Logic'!$B$7,IF(INDEX(_xlfn.VSTACK(YES_Writing_ELA[#Data],YES_Writing_FLA[#Data]),MATCH($A477,_xlfn.VSTACK(YES_Writing_ELA[Student Number],YES_Writing_FLA[Student Number]),0),MATCH(VLOOKUP(H$7,'Writing Logic'!$J$7:$K$11,2,FALSE)&amp;" - Per "&amp;VLOOKUP($C$4,'Writing Logic'!$G$8:$H$14,2,FALSE),YES_Writing_ELA[#Headers],0))=0,"",INDEX(_xlfn.VSTACK(YES_Writing_ELA[#Data],YES_Writing_FLA[#Data]),MATCH($A477,_xlfn.VSTACK(YES_Writing_ELA[Student Number],YES_Writing_FLA[Student Number]),0),MATCH(VLOOKUP(H$7,'Writing Logic'!$J$7:$K$11,2,FALSE)&amp;" - Per "&amp;VLOOKUP($C$4,'Writing Logic'!$G$8:$H$14,2,FALSE),YES_Writing_ELA[#Headers],0)))),"")</f>
        <v/>
      </c>
      <c r="I477" s="224" t="str" cm="1">
        <f t="array" aca="1" ref="I477" ca="1">IFERROR(
IF($G$3="ELA",
IF(VLOOKUP($A477, YES_Reading_ELA[], COLUMN(INDIRECT("YES_Reading_ELA[Difference - Per "&amp;VLOOKUP($G$4, 'Reading Report Logic'!$A$2:$B$8, 2, FALSE)&amp;"]")), FALSE)="", "",
VLOOKUP($A477,YES_Reading_ELA[], COLUMN(INDIRECT("YES_Reading_ELA[Difference - Per "&amp;VLOOKUP($G$4,'Reading Report Logic'!$A$2:$B$8,2,FALSE)&amp;"]")), FALSE)),
IF($G$3="FLA",
IF(VLOOKUP($A477, YES_Reading_FLA[], COLUMN(INDIRECT("YES_Reading_FLA[Difference - Per "&amp;VLOOKUP($G$4,'Reading Report Logic'!$A$2:$B$8,2,FALSE)&amp;"]")),FALSE)="","",
VLOOKUP($A477,YES_Reading_FLA[],COLUMN(INDIRECT("YES_Reading_FLA[Difference - Per "&amp;VLOOKUP($G$4,'Reading Report Logic'!$A$2:$B$8,2,FALSE)&amp;"]")),FALSE)),
IF($G$3="Combined",
IFERROR(
IF(VLOOKUP($A477, YES_Reading_ELA[], COLUMN(INDIRECT("YES_Reading_ELA[Difference - Per "&amp;VLOOKUP($G$4, 'Reading Report Logic'!$A$2:$B$8,2,FALSE)&amp;"]")), FALSE)="", "",
VLOOKUP($A477,YES_Reading_ELA[],COLUMN(INDIRECT("YES_Reading_ELA[Difference - Per "&amp;VLOOKUP($G$4,'Reading Report Logic'!$A$2:$B$8,2,FALSE)&amp;"]")),FALSE)),
IF(VLOOKUP($A477, YES_Reading_FLA[], COLUMN(INDIRECT("YES_Reading_FLA[Difference - Per "&amp;VLOOKUP($G$4, 'Reading Report Logic'!$A$2:$B$8, 2, FALSE)&amp;"]")),FALSE)="", "", VLOOKUP($A477,YES_Reading_FLA[],COLUMN(INDIRECT("YES_Reading_FLA[Difference - Per "&amp;VLOOKUP($G$4, 'Reading Report Logic'!$A$2:$B$8, 2, FALSE)&amp;"]")),FALSE))),""))),"")</f>
        <v/>
      </c>
    </row>
    <row r="478" spans="1:9" x14ac:dyDescent="0.25">
      <c r="A478" s="137"/>
      <c r="B478" s="137" t="str">
        <f>IFERROR(INDEX(_xlfn.VSTACK(YES_Writing_ELA[#Data], YES_Writing_FLA[#Data]),MATCH($A478,_xlfn.VSTACK(YES_Writing_ELA[Student Number], YES_Writing_FLA[Student Number]),0),MATCH(B$7,YES_Writing_ELA[#Headers],0)),IFERROR(INDEX(_xlfn.VSTACK(YES_Reading_ELA[#Data], YES_Reading_FLA[#Data]),MATCH($A478,_xlfn.VSTACK(YES_Reading_ELA[Student Number], YES_Reading_FLA[Student Number]),0),MATCH(B$7,YES_Reading_ELA[#Headers],0)),""))</f>
        <v/>
      </c>
      <c r="C478" s="137" t="str">
        <f>IFERROR(INDEX(_xlfn.VSTACK(YES_Writing_ELA[#Data], YES_Writing_FLA[#Data]),MATCH($A478,_xlfn.VSTACK(YES_Writing_ELA[Student Number], YES_Writing_FLA[Student Number]),0),MATCH(C$7,YES_Writing_ELA[#Headers],0)),IFERROR(INDEX(_xlfn.VSTACK(YES_Reading_ELA[#Data], YES_Reading_FLA[#Data]),MATCH($A478,_xlfn.VSTACK(YES_Reading_ELA[Student Number], YES_Reading_FLA[Student Number]),0),MATCH(C$7,YES_Reading_ELA[#Headers],0)),""))</f>
        <v/>
      </c>
      <c r="D478" s="138" t="str">
        <f>IFERROR(IF(IF(INDEX(_xlfn.VSTACK(YES_Writing_ELA[#Data],YES_Writing_FLA[#Data]),MATCH($A478,_xlfn.VSTACK(YES_Writing_ELA[Student Number],YES_Writing_FLA[Student Number]),0),MATCH(VLOOKUP(D$7,'Writing Logic'!$J$7:$K$11,2,FALSE)&amp;" - Per "&amp;VLOOKUP($C$4,'Writing Logic'!$G$8:$H$14,2,FALSE),YES_Writing_ELA[#Headers],0))=0,"",INDEX(_xlfn.VSTACK(YES_Writing_ELA[#Data],YES_Writing_FLA[#Data]),MATCH($A478,_xlfn.VSTACK(YES_Writing_ELA[Student Number],YES_Writing_FLA[Student Number]),0),MATCH(VLOOKUP(D$7,'Writing Logic'!$J$7:$K$11,2,FALSE)&amp;" - Per "&amp;VLOOKUP($C$4,'Writing Logic'!$G$8:$H$14,2,FALSE),YES_Writing_ELA[#Headers],0)))="INS",'Writing Logic'!$B$7,IF(INDEX(_xlfn.VSTACK(YES_Writing_ELA[#Data],YES_Writing_FLA[#Data]),MATCH($A478,_xlfn.VSTACK(YES_Writing_ELA[Student Number],YES_Writing_FLA[Student Number]),0),MATCH(VLOOKUP(D$7,'Writing Logic'!$J$7:$K$11,2,FALSE)&amp;" - Per "&amp;VLOOKUP($C$4,'Writing Logic'!$G$8:$H$14,2,FALSE),YES_Writing_ELA[#Headers],0))=0,"",INDEX(_xlfn.VSTACK(YES_Writing_ELA[#Data],YES_Writing_FLA[#Data]),MATCH($A478,_xlfn.VSTACK(YES_Writing_ELA[Student Number],YES_Writing_FLA[Student Number]),0),MATCH(VLOOKUP(D$7,'Writing Logic'!$J$7:$K$11,2,FALSE)&amp;" - Per "&amp;VLOOKUP($C$4,'Writing Logic'!$G$8:$H$14,2,FALSE),YES_Writing_ELA[#Headers],0)))),"")</f>
        <v/>
      </c>
      <c r="E478" s="138" t="str">
        <f>IFERROR(IF(IF(INDEX(_xlfn.VSTACK(YES_Writing_ELA[#Data],YES_Writing_FLA[#Data]),MATCH($A478,_xlfn.VSTACK(YES_Writing_ELA[Student Number],YES_Writing_FLA[Student Number]),0),MATCH(VLOOKUP(E$7,'Writing Logic'!$J$7:$K$11,2,FALSE)&amp;" - Per "&amp;VLOOKUP($C$4,'Writing Logic'!$G$8:$H$14,2,FALSE),YES_Writing_ELA[#Headers],0))=0,"",INDEX(_xlfn.VSTACK(YES_Writing_ELA[#Data],YES_Writing_FLA[#Data]),MATCH($A478,_xlfn.VSTACK(YES_Writing_ELA[Student Number],YES_Writing_FLA[Student Number]),0),MATCH(VLOOKUP(E$7,'Writing Logic'!$J$7:$K$11,2,FALSE)&amp;" - Per "&amp;VLOOKUP($C$4,'Writing Logic'!$G$8:$H$14,2,FALSE),YES_Writing_ELA[#Headers],0)))="INS",'Writing Logic'!$B$7,IF(INDEX(_xlfn.VSTACK(YES_Writing_ELA[#Data],YES_Writing_FLA[#Data]),MATCH($A478,_xlfn.VSTACK(YES_Writing_ELA[Student Number],YES_Writing_FLA[Student Number]),0),MATCH(VLOOKUP(E$7,'Writing Logic'!$J$7:$K$11,2,FALSE)&amp;" - Per "&amp;VLOOKUP($C$4,'Writing Logic'!$G$8:$H$14,2,FALSE),YES_Writing_ELA[#Headers],0))=0,"",INDEX(_xlfn.VSTACK(YES_Writing_ELA[#Data],YES_Writing_FLA[#Data]),MATCH($A478,_xlfn.VSTACK(YES_Writing_ELA[Student Number],YES_Writing_FLA[Student Number]),0),MATCH(VLOOKUP(E$7,'Writing Logic'!$J$7:$K$11,2,FALSE)&amp;" - Per "&amp;VLOOKUP($C$4,'Writing Logic'!$G$8:$H$14,2,FALSE),YES_Writing_ELA[#Headers],0)))),"")</f>
        <v/>
      </c>
      <c r="F478" s="138" t="str">
        <f>IFERROR(IF(IF(INDEX(_xlfn.VSTACK(YES_Writing_ELA[#Data],YES_Writing_FLA[#Data]),MATCH($A478,_xlfn.VSTACK(YES_Writing_ELA[Student Number],YES_Writing_FLA[Student Number]),0),MATCH(VLOOKUP(F$7,'Writing Logic'!$J$7:$K$11,2,FALSE)&amp;" - Per "&amp;VLOOKUP($C$4,'Writing Logic'!$G$8:$H$14,2,FALSE),YES_Writing_ELA[#Headers],0))=0,"",INDEX(_xlfn.VSTACK(YES_Writing_ELA[#Data],YES_Writing_FLA[#Data]),MATCH($A478,_xlfn.VSTACK(YES_Writing_ELA[Student Number],YES_Writing_FLA[Student Number]),0),MATCH(VLOOKUP(F$7,'Writing Logic'!$J$7:$K$11,2,FALSE)&amp;" - Per "&amp;VLOOKUP($C$4,'Writing Logic'!$G$8:$H$14,2,FALSE),YES_Writing_ELA[#Headers],0)))="INS",'Writing Logic'!$B$7,IF(INDEX(_xlfn.VSTACK(YES_Writing_ELA[#Data],YES_Writing_FLA[#Data]),MATCH($A478,_xlfn.VSTACK(YES_Writing_ELA[Student Number],YES_Writing_FLA[Student Number]),0),MATCH(VLOOKUP(F$7,'Writing Logic'!$J$7:$K$11,2,FALSE)&amp;" - Per "&amp;VLOOKUP($C$4,'Writing Logic'!$G$8:$H$14,2,FALSE),YES_Writing_ELA[#Headers],0))=0,"",INDEX(_xlfn.VSTACK(YES_Writing_ELA[#Data],YES_Writing_FLA[#Data]),MATCH($A478,_xlfn.VSTACK(YES_Writing_ELA[Student Number],YES_Writing_FLA[Student Number]),0),MATCH(VLOOKUP(F$7,'Writing Logic'!$J$7:$K$11,2,FALSE)&amp;" - Per "&amp;VLOOKUP($C$4,'Writing Logic'!$G$8:$H$14,2,FALSE),YES_Writing_ELA[#Headers],0)))),"")</f>
        <v/>
      </c>
      <c r="G478" s="138" t="str">
        <f>IFERROR(IF(IF(INDEX(_xlfn.VSTACK(YES_Writing_ELA[#Data],YES_Writing_FLA[#Data]),MATCH($A478,_xlfn.VSTACK(YES_Writing_ELA[Student Number],YES_Writing_FLA[Student Number]),0),MATCH(VLOOKUP(G$7,'Writing Logic'!$J$7:$K$11,2,FALSE)&amp;" - Per "&amp;VLOOKUP($C$4,'Writing Logic'!$G$8:$H$14,2,FALSE),YES_Writing_ELA[#Headers],0))=0,"",INDEX(_xlfn.VSTACK(YES_Writing_ELA[#Data],YES_Writing_FLA[#Data]),MATCH($A478,_xlfn.VSTACK(YES_Writing_ELA[Student Number],YES_Writing_FLA[Student Number]),0),MATCH(VLOOKUP(G$7,'Writing Logic'!$J$7:$K$11,2,FALSE)&amp;" - Per "&amp;VLOOKUP($C$4,'Writing Logic'!$G$8:$H$14,2,FALSE),YES_Writing_ELA[#Headers],0)))="INS",'Writing Logic'!$B$7,IF(INDEX(_xlfn.VSTACK(YES_Writing_ELA[#Data],YES_Writing_FLA[#Data]),MATCH($A478,_xlfn.VSTACK(YES_Writing_ELA[Student Number],YES_Writing_FLA[Student Number]),0),MATCH(VLOOKUP(G$7,'Writing Logic'!$J$7:$K$11,2,FALSE)&amp;" - Per "&amp;VLOOKUP($C$4,'Writing Logic'!$G$8:$H$14,2,FALSE),YES_Writing_ELA[#Headers],0))=0,"",INDEX(_xlfn.VSTACK(YES_Writing_ELA[#Data],YES_Writing_FLA[#Data]),MATCH($A478,_xlfn.VSTACK(YES_Writing_ELA[Student Number],YES_Writing_FLA[Student Number]),0),MATCH(VLOOKUP(G$7,'Writing Logic'!$J$7:$K$11,2,FALSE)&amp;" - Per "&amp;VLOOKUP($C$4,'Writing Logic'!$G$8:$H$14,2,FALSE),YES_Writing_ELA[#Headers],0)))),"")</f>
        <v/>
      </c>
      <c r="H478" s="223" t="str">
        <f>IFERROR(IF(IF(INDEX(_xlfn.VSTACK(YES_Writing_ELA[#Data],YES_Writing_FLA[#Data]),MATCH($A478,_xlfn.VSTACK(YES_Writing_ELA[Student Number],YES_Writing_FLA[Student Number]),0),MATCH(VLOOKUP(H$7,'Writing Logic'!$J$7:$K$11,2,FALSE)&amp;" - Per "&amp;VLOOKUP($C$4,'Writing Logic'!$G$8:$H$14,2,FALSE),YES_Writing_ELA[#Headers],0))=0,"",INDEX(_xlfn.VSTACK(YES_Writing_ELA[#Data],YES_Writing_FLA[#Data]),MATCH($A478,_xlfn.VSTACK(YES_Writing_ELA[Student Number],YES_Writing_FLA[Student Number]),0),MATCH(VLOOKUP(H$7,'Writing Logic'!$J$7:$K$11,2,FALSE)&amp;" - Per "&amp;VLOOKUP($C$4,'Writing Logic'!$G$8:$H$14,2,FALSE),YES_Writing_ELA[#Headers],0)))="INS",'Writing Logic'!$B$7,IF(INDEX(_xlfn.VSTACK(YES_Writing_ELA[#Data],YES_Writing_FLA[#Data]),MATCH($A478,_xlfn.VSTACK(YES_Writing_ELA[Student Number],YES_Writing_FLA[Student Number]),0),MATCH(VLOOKUP(H$7,'Writing Logic'!$J$7:$K$11,2,FALSE)&amp;" - Per "&amp;VLOOKUP($C$4,'Writing Logic'!$G$8:$H$14,2,FALSE),YES_Writing_ELA[#Headers],0))=0,"",INDEX(_xlfn.VSTACK(YES_Writing_ELA[#Data],YES_Writing_FLA[#Data]),MATCH($A478,_xlfn.VSTACK(YES_Writing_ELA[Student Number],YES_Writing_FLA[Student Number]),0),MATCH(VLOOKUP(H$7,'Writing Logic'!$J$7:$K$11,2,FALSE)&amp;" - Per "&amp;VLOOKUP($C$4,'Writing Logic'!$G$8:$H$14,2,FALSE),YES_Writing_ELA[#Headers],0)))),"")</f>
        <v/>
      </c>
      <c r="I478" s="224" t="str" cm="1">
        <f t="array" aca="1" ref="I478" ca="1">IFERROR(
IF($G$3="ELA",
IF(VLOOKUP($A478, YES_Reading_ELA[], COLUMN(INDIRECT("YES_Reading_ELA[Difference - Per "&amp;VLOOKUP($G$4, 'Reading Report Logic'!$A$2:$B$8, 2, FALSE)&amp;"]")), FALSE)="", "",
VLOOKUP($A478,YES_Reading_ELA[], COLUMN(INDIRECT("YES_Reading_ELA[Difference - Per "&amp;VLOOKUP($G$4,'Reading Report Logic'!$A$2:$B$8,2,FALSE)&amp;"]")), FALSE)),
IF($G$3="FLA",
IF(VLOOKUP($A478, YES_Reading_FLA[], COLUMN(INDIRECT("YES_Reading_FLA[Difference - Per "&amp;VLOOKUP($G$4,'Reading Report Logic'!$A$2:$B$8,2,FALSE)&amp;"]")),FALSE)="","",
VLOOKUP($A478,YES_Reading_FLA[],COLUMN(INDIRECT("YES_Reading_FLA[Difference - Per "&amp;VLOOKUP($G$4,'Reading Report Logic'!$A$2:$B$8,2,FALSE)&amp;"]")),FALSE)),
IF($G$3="Combined",
IFERROR(
IF(VLOOKUP($A478, YES_Reading_ELA[], COLUMN(INDIRECT("YES_Reading_ELA[Difference - Per "&amp;VLOOKUP($G$4, 'Reading Report Logic'!$A$2:$B$8,2,FALSE)&amp;"]")), FALSE)="", "",
VLOOKUP($A478,YES_Reading_ELA[],COLUMN(INDIRECT("YES_Reading_ELA[Difference - Per "&amp;VLOOKUP($G$4,'Reading Report Logic'!$A$2:$B$8,2,FALSE)&amp;"]")),FALSE)),
IF(VLOOKUP($A478, YES_Reading_FLA[], COLUMN(INDIRECT("YES_Reading_FLA[Difference - Per "&amp;VLOOKUP($G$4, 'Reading Report Logic'!$A$2:$B$8, 2, FALSE)&amp;"]")),FALSE)="", "", VLOOKUP($A478,YES_Reading_FLA[],COLUMN(INDIRECT("YES_Reading_FLA[Difference - Per "&amp;VLOOKUP($G$4, 'Reading Report Logic'!$A$2:$B$8, 2, FALSE)&amp;"]")),FALSE))),""))),"")</f>
        <v/>
      </c>
    </row>
    <row r="479" spans="1:9" x14ac:dyDescent="0.25">
      <c r="A479" s="137"/>
      <c r="B479" s="137" t="str">
        <f>IFERROR(INDEX(_xlfn.VSTACK(YES_Writing_ELA[#Data], YES_Writing_FLA[#Data]),MATCH($A479,_xlfn.VSTACK(YES_Writing_ELA[Student Number], YES_Writing_FLA[Student Number]),0),MATCH(B$7,YES_Writing_ELA[#Headers],0)),IFERROR(INDEX(_xlfn.VSTACK(YES_Reading_ELA[#Data], YES_Reading_FLA[#Data]),MATCH($A479,_xlfn.VSTACK(YES_Reading_ELA[Student Number], YES_Reading_FLA[Student Number]),0),MATCH(B$7,YES_Reading_ELA[#Headers],0)),""))</f>
        <v/>
      </c>
      <c r="C479" s="137" t="str">
        <f>IFERROR(INDEX(_xlfn.VSTACK(YES_Writing_ELA[#Data], YES_Writing_FLA[#Data]),MATCH($A479,_xlfn.VSTACK(YES_Writing_ELA[Student Number], YES_Writing_FLA[Student Number]),0),MATCH(C$7,YES_Writing_ELA[#Headers],0)),IFERROR(INDEX(_xlfn.VSTACK(YES_Reading_ELA[#Data], YES_Reading_FLA[#Data]),MATCH($A479,_xlfn.VSTACK(YES_Reading_ELA[Student Number], YES_Reading_FLA[Student Number]),0),MATCH(C$7,YES_Reading_ELA[#Headers],0)),""))</f>
        <v/>
      </c>
      <c r="D479" s="138" t="str">
        <f>IFERROR(IF(IF(INDEX(_xlfn.VSTACK(YES_Writing_ELA[#Data],YES_Writing_FLA[#Data]),MATCH($A479,_xlfn.VSTACK(YES_Writing_ELA[Student Number],YES_Writing_FLA[Student Number]),0),MATCH(VLOOKUP(D$7,'Writing Logic'!$J$7:$K$11,2,FALSE)&amp;" - Per "&amp;VLOOKUP($C$4,'Writing Logic'!$G$8:$H$14,2,FALSE),YES_Writing_ELA[#Headers],0))=0,"",INDEX(_xlfn.VSTACK(YES_Writing_ELA[#Data],YES_Writing_FLA[#Data]),MATCH($A479,_xlfn.VSTACK(YES_Writing_ELA[Student Number],YES_Writing_FLA[Student Number]),0),MATCH(VLOOKUP(D$7,'Writing Logic'!$J$7:$K$11,2,FALSE)&amp;" - Per "&amp;VLOOKUP($C$4,'Writing Logic'!$G$8:$H$14,2,FALSE),YES_Writing_ELA[#Headers],0)))="INS",'Writing Logic'!$B$7,IF(INDEX(_xlfn.VSTACK(YES_Writing_ELA[#Data],YES_Writing_FLA[#Data]),MATCH($A479,_xlfn.VSTACK(YES_Writing_ELA[Student Number],YES_Writing_FLA[Student Number]),0),MATCH(VLOOKUP(D$7,'Writing Logic'!$J$7:$K$11,2,FALSE)&amp;" - Per "&amp;VLOOKUP($C$4,'Writing Logic'!$G$8:$H$14,2,FALSE),YES_Writing_ELA[#Headers],0))=0,"",INDEX(_xlfn.VSTACK(YES_Writing_ELA[#Data],YES_Writing_FLA[#Data]),MATCH($A479,_xlfn.VSTACK(YES_Writing_ELA[Student Number],YES_Writing_FLA[Student Number]),0),MATCH(VLOOKUP(D$7,'Writing Logic'!$J$7:$K$11,2,FALSE)&amp;" - Per "&amp;VLOOKUP($C$4,'Writing Logic'!$G$8:$H$14,2,FALSE),YES_Writing_ELA[#Headers],0)))),"")</f>
        <v/>
      </c>
      <c r="E479" s="138" t="str">
        <f>IFERROR(IF(IF(INDEX(_xlfn.VSTACK(YES_Writing_ELA[#Data],YES_Writing_FLA[#Data]),MATCH($A479,_xlfn.VSTACK(YES_Writing_ELA[Student Number],YES_Writing_FLA[Student Number]),0),MATCH(VLOOKUP(E$7,'Writing Logic'!$J$7:$K$11,2,FALSE)&amp;" - Per "&amp;VLOOKUP($C$4,'Writing Logic'!$G$8:$H$14,2,FALSE),YES_Writing_ELA[#Headers],0))=0,"",INDEX(_xlfn.VSTACK(YES_Writing_ELA[#Data],YES_Writing_FLA[#Data]),MATCH($A479,_xlfn.VSTACK(YES_Writing_ELA[Student Number],YES_Writing_FLA[Student Number]),0),MATCH(VLOOKUP(E$7,'Writing Logic'!$J$7:$K$11,2,FALSE)&amp;" - Per "&amp;VLOOKUP($C$4,'Writing Logic'!$G$8:$H$14,2,FALSE),YES_Writing_ELA[#Headers],0)))="INS",'Writing Logic'!$B$7,IF(INDEX(_xlfn.VSTACK(YES_Writing_ELA[#Data],YES_Writing_FLA[#Data]),MATCH($A479,_xlfn.VSTACK(YES_Writing_ELA[Student Number],YES_Writing_FLA[Student Number]),0),MATCH(VLOOKUP(E$7,'Writing Logic'!$J$7:$K$11,2,FALSE)&amp;" - Per "&amp;VLOOKUP($C$4,'Writing Logic'!$G$8:$H$14,2,FALSE),YES_Writing_ELA[#Headers],0))=0,"",INDEX(_xlfn.VSTACK(YES_Writing_ELA[#Data],YES_Writing_FLA[#Data]),MATCH($A479,_xlfn.VSTACK(YES_Writing_ELA[Student Number],YES_Writing_FLA[Student Number]),0),MATCH(VLOOKUP(E$7,'Writing Logic'!$J$7:$K$11,2,FALSE)&amp;" - Per "&amp;VLOOKUP($C$4,'Writing Logic'!$G$8:$H$14,2,FALSE),YES_Writing_ELA[#Headers],0)))),"")</f>
        <v/>
      </c>
      <c r="F479" s="138" t="str">
        <f>IFERROR(IF(IF(INDEX(_xlfn.VSTACK(YES_Writing_ELA[#Data],YES_Writing_FLA[#Data]),MATCH($A479,_xlfn.VSTACK(YES_Writing_ELA[Student Number],YES_Writing_FLA[Student Number]),0),MATCH(VLOOKUP(F$7,'Writing Logic'!$J$7:$K$11,2,FALSE)&amp;" - Per "&amp;VLOOKUP($C$4,'Writing Logic'!$G$8:$H$14,2,FALSE),YES_Writing_ELA[#Headers],0))=0,"",INDEX(_xlfn.VSTACK(YES_Writing_ELA[#Data],YES_Writing_FLA[#Data]),MATCH($A479,_xlfn.VSTACK(YES_Writing_ELA[Student Number],YES_Writing_FLA[Student Number]),0),MATCH(VLOOKUP(F$7,'Writing Logic'!$J$7:$K$11,2,FALSE)&amp;" - Per "&amp;VLOOKUP($C$4,'Writing Logic'!$G$8:$H$14,2,FALSE),YES_Writing_ELA[#Headers],0)))="INS",'Writing Logic'!$B$7,IF(INDEX(_xlfn.VSTACK(YES_Writing_ELA[#Data],YES_Writing_FLA[#Data]),MATCH($A479,_xlfn.VSTACK(YES_Writing_ELA[Student Number],YES_Writing_FLA[Student Number]),0),MATCH(VLOOKUP(F$7,'Writing Logic'!$J$7:$K$11,2,FALSE)&amp;" - Per "&amp;VLOOKUP($C$4,'Writing Logic'!$G$8:$H$14,2,FALSE),YES_Writing_ELA[#Headers],0))=0,"",INDEX(_xlfn.VSTACK(YES_Writing_ELA[#Data],YES_Writing_FLA[#Data]),MATCH($A479,_xlfn.VSTACK(YES_Writing_ELA[Student Number],YES_Writing_FLA[Student Number]),0),MATCH(VLOOKUP(F$7,'Writing Logic'!$J$7:$K$11,2,FALSE)&amp;" - Per "&amp;VLOOKUP($C$4,'Writing Logic'!$G$8:$H$14,2,FALSE),YES_Writing_ELA[#Headers],0)))),"")</f>
        <v/>
      </c>
      <c r="G479" s="138" t="str">
        <f>IFERROR(IF(IF(INDEX(_xlfn.VSTACK(YES_Writing_ELA[#Data],YES_Writing_FLA[#Data]),MATCH($A479,_xlfn.VSTACK(YES_Writing_ELA[Student Number],YES_Writing_FLA[Student Number]),0),MATCH(VLOOKUP(G$7,'Writing Logic'!$J$7:$K$11,2,FALSE)&amp;" - Per "&amp;VLOOKUP($C$4,'Writing Logic'!$G$8:$H$14,2,FALSE),YES_Writing_ELA[#Headers],0))=0,"",INDEX(_xlfn.VSTACK(YES_Writing_ELA[#Data],YES_Writing_FLA[#Data]),MATCH($A479,_xlfn.VSTACK(YES_Writing_ELA[Student Number],YES_Writing_FLA[Student Number]),0),MATCH(VLOOKUP(G$7,'Writing Logic'!$J$7:$K$11,2,FALSE)&amp;" - Per "&amp;VLOOKUP($C$4,'Writing Logic'!$G$8:$H$14,2,FALSE),YES_Writing_ELA[#Headers],0)))="INS",'Writing Logic'!$B$7,IF(INDEX(_xlfn.VSTACK(YES_Writing_ELA[#Data],YES_Writing_FLA[#Data]),MATCH($A479,_xlfn.VSTACK(YES_Writing_ELA[Student Number],YES_Writing_FLA[Student Number]),0),MATCH(VLOOKUP(G$7,'Writing Logic'!$J$7:$K$11,2,FALSE)&amp;" - Per "&amp;VLOOKUP($C$4,'Writing Logic'!$G$8:$H$14,2,FALSE),YES_Writing_ELA[#Headers],0))=0,"",INDEX(_xlfn.VSTACK(YES_Writing_ELA[#Data],YES_Writing_FLA[#Data]),MATCH($A479,_xlfn.VSTACK(YES_Writing_ELA[Student Number],YES_Writing_FLA[Student Number]),0),MATCH(VLOOKUP(G$7,'Writing Logic'!$J$7:$K$11,2,FALSE)&amp;" - Per "&amp;VLOOKUP($C$4,'Writing Logic'!$G$8:$H$14,2,FALSE),YES_Writing_ELA[#Headers],0)))),"")</f>
        <v/>
      </c>
      <c r="H479" s="223" t="str">
        <f>IFERROR(IF(IF(INDEX(_xlfn.VSTACK(YES_Writing_ELA[#Data],YES_Writing_FLA[#Data]),MATCH($A479,_xlfn.VSTACK(YES_Writing_ELA[Student Number],YES_Writing_FLA[Student Number]),0),MATCH(VLOOKUP(H$7,'Writing Logic'!$J$7:$K$11,2,FALSE)&amp;" - Per "&amp;VLOOKUP($C$4,'Writing Logic'!$G$8:$H$14,2,FALSE),YES_Writing_ELA[#Headers],0))=0,"",INDEX(_xlfn.VSTACK(YES_Writing_ELA[#Data],YES_Writing_FLA[#Data]),MATCH($A479,_xlfn.VSTACK(YES_Writing_ELA[Student Number],YES_Writing_FLA[Student Number]),0),MATCH(VLOOKUP(H$7,'Writing Logic'!$J$7:$K$11,2,FALSE)&amp;" - Per "&amp;VLOOKUP($C$4,'Writing Logic'!$G$8:$H$14,2,FALSE),YES_Writing_ELA[#Headers],0)))="INS",'Writing Logic'!$B$7,IF(INDEX(_xlfn.VSTACK(YES_Writing_ELA[#Data],YES_Writing_FLA[#Data]),MATCH($A479,_xlfn.VSTACK(YES_Writing_ELA[Student Number],YES_Writing_FLA[Student Number]),0),MATCH(VLOOKUP(H$7,'Writing Logic'!$J$7:$K$11,2,FALSE)&amp;" - Per "&amp;VLOOKUP($C$4,'Writing Logic'!$G$8:$H$14,2,FALSE),YES_Writing_ELA[#Headers],0))=0,"",INDEX(_xlfn.VSTACK(YES_Writing_ELA[#Data],YES_Writing_FLA[#Data]),MATCH($A479,_xlfn.VSTACK(YES_Writing_ELA[Student Number],YES_Writing_FLA[Student Number]),0),MATCH(VLOOKUP(H$7,'Writing Logic'!$J$7:$K$11,2,FALSE)&amp;" - Per "&amp;VLOOKUP($C$4,'Writing Logic'!$G$8:$H$14,2,FALSE),YES_Writing_ELA[#Headers],0)))),"")</f>
        <v/>
      </c>
      <c r="I479" s="224" t="str" cm="1">
        <f t="array" aca="1" ref="I479" ca="1">IFERROR(
IF($G$3="ELA",
IF(VLOOKUP($A479, YES_Reading_ELA[], COLUMN(INDIRECT("YES_Reading_ELA[Difference - Per "&amp;VLOOKUP($G$4, 'Reading Report Logic'!$A$2:$B$8, 2, FALSE)&amp;"]")), FALSE)="", "",
VLOOKUP($A479,YES_Reading_ELA[], COLUMN(INDIRECT("YES_Reading_ELA[Difference - Per "&amp;VLOOKUP($G$4,'Reading Report Logic'!$A$2:$B$8,2,FALSE)&amp;"]")), FALSE)),
IF($G$3="FLA",
IF(VLOOKUP($A479, YES_Reading_FLA[], COLUMN(INDIRECT("YES_Reading_FLA[Difference - Per "&amp;VLOOKUP($G$4,'Reading Report Logic'!$A$2:$B$8,2,FALSE)&amp;"]")),FALSE)="","",
VLOOKUP($A479,YES_Reading_FLA[],COLUMN(INDIRECT("YES_Reading_FLA[Difference - Per "&amp;VLOOKUP($G$4,'Reading Report Logic'!$A$2:$B$8,2,FALSE)&amp;"]")),FALSE)),
IF($G$3="Combined",
IFERROR(
IF(VLOOKUP($A479, YES_Reading_ELA[], COLUMN(INDIRECT("YES_Reading_ELA[Difference - Per "&amp;VLOOKUP($G$4, 'Reading Report Logic'!$A$2:$B$8,2,FALSE)&amp;"]")), FALSE)="", "",
VLOOKUP($A479,YES_Reading_ELA[],COLUMN(INDIRECT("YES_Reading_ELA[Difference - Per "&amp;VLOOKUP($G$4,'Reading Report Logic'!$A$2:$B$8,2,FALSE)&amp;"]")),FALSE)),
IF(VLOOKUP($A479, YES_Reading_FLA[], COLUMN(INDIRECT("YES_Reading_FLA[Difference - Per "&amp;VLOOKUP($G$4, 'Reading Report Logic'!$A$2:$B$8, 2, FALSE)&amp;"]")),FALSE)="", "", VLOOKUP($A479,YES_Reading_FLA[],COLUMN(INDIRECT("YES_Reading_FLA[Difference - Per "&amp;VLOOKUP($G$4, 'Reading Report Logic'!$A$2:$B$8, 2, FALSE)&amp;"]")),FALSE))),""))),"")</f>
        <v/>
      </c>
    </row>
    <row r="480" spans="1:9" x14ac:dyDescent="0.25">
      <c r="A480" s="137"/>
      <c r="B480" s="137" t="str">
        <f>IFERROR(INDEX(_xlfn.VSTACK(YES_Writing_ELA[#Data], YES_Writing_FLA[#Data]),MATCH($A480,_xlfn.VSTACK(YES_Writing_ELA[Student Number], YES_Writing_FLA[Student Number]),0),MATCH(B$7,YES_Writing_ELA[#Headers],0)),IFERROR(INDEX(_xlfn.VSTACK(YES_Reading_ELA[#Data], YES_Reading_FLA[#Data]),MATCH($A480,_xlfn.VSTACK(YES_Reading_ELA[Student Number], YES_Reading_FLA[Student Number]),0),MATCH(B$7,YES_Reading_ELA[#Headers],0)),""))</f>
        <v/>
      </c>
      <c r="C480" s="137" t="str">
        <f>IFERROR(INDEX(_xlfn.VSTACK(YES_Writing_ELA[#Data], YES_Writing_FLA[#Data]),MATCH($A480,_xlfn.VSTACK(YES_Writing_ELA[Student Number], YES_Writing_FLA[Student Number]),0),MATCH(C$7,YES_Writing_ELA[#Headers],0)),IFERROR(INDEX(_xlfn.VSTACK(YES_Reading_ELA[#Data], YES_Reading_FLA[#Data]),MATCH($A480,_xlfn.VSTACK(YES_Reading_ELA[Student Number], YES_Reading_FLA[Student Number]),0),MATCH(C$7,YES_Reading_ELA[#Headers],0)),""))</f>
        <v/>
      </c>
      <c r="D480" s="138" t="str">
        <f>IFERROR(IF(IF(INDEX(_xlfn.VSTACK(YES_Writing_ELA[#Data],YES_Writing_FLA[#Data]),MATCH($A480,_xlfn.VSTACK(YES_Writing_ELA[Student Number],YES_Writing_FLA[Student Number]),0),MATCH(VLOOKUP(D$7,'Writing Logic'!$J$7:$K$11,2,FALSE)&amp;" - Per "&amp;VLOOKUP($C$4,'Writing Logic'!$G$8:$H$14,2,FALSE),YES_Writing_ELA[#Headers],0))=0,"",INDEX(_xlfn.VSTACK(YES_Writing_ELA[#Data],YES_Writing_FLA[#Data]),MATCH($A480,_xlfn.VSTACK(YES_Writing_ELA[Student Number],YES_Writing_FLA[Student Number]),0),MATCH(VLOOKUP(D$7,'Writing Logic'!$J$7:$K$11,2,FALSE)&amp;" - Per "&amp;VLOOKUP($C$4,'Writing Logic'!$G$8:$H$14,2,FALSE),YES_Writing_ELA[#Headers],0)))="INS",'Writing Logic'!$B$7,IF(INDEX(_xlfn.VSTACK(YES_Writing_ELA[#Data],YES_Writing_FLA[#Data]),MATCH($A480,_xlfn.VSTACK(YES_Writing_ELA[Student Number],YES_Writing_FLA[Student Number]),0),MATCH(VLOOKUP(D$7,'Writing Logic'!$J$7:$K$11,2,FALSE)&amp;" - Per "&amp;VLOOKUP($C$4,'Writing Logic'!$G$8:$H$14,2,FALSE),YES_Writing_ELA[#Headers],0))=0,"",INDEX(_xlfn.VSTACK(YES_Writing_ELA[#Data],YES_Writing_FLA[#Data]),MATCH($A480,_xlfn.VSTACK(YES_Writing_ELA[Student Number],YES_Writing_FLA[Student Number]),0),MATCH(VLOOKUP(D$7,'Writing Logic'!$J$7:$K$11,2,FALSE)&amp;" - Per "&amp;VLOOKUP($C$4,'Writing Logic'!$G$8:$H$14,2,FALSE),YES_Writing_ELA[#Headers],0)))),"")</f>
        <v/>
      </c>
      <c r="E480" s="138" t="str">
        <f>IFERROR(IF(IF(INDEX(_xlfn.VSTACK(YES_Writing_ELA[#Data],YES_Writing_FLA[#Data]),MATCH($A480,_xlfn.VSTACK(YES_Writing_ELA[Student Number],YES_Writing_FLA[Student Number]),0),MATCH(VLOOKUP(E$7,'Writing Logic'!$J$7:$K$11,2,FALSE)&amp;" - Per "&amp;VLOOKUP($C$4,'Writing Logic'!$G$8:$H$14,2,FALSE),YES_Writing_ELA[#Headers],0))=0,"",INDEX(_xlfn.VSTACK(YES_Writing_ELA[#Data],YES_Writing_FLA[#Data]),MATCH($A480,_xlfn.VSTACK(YES_Writing_ELA[Student Number],YES_Writing_FLA[Student Number]),0),MATCH(VLOOKUP(E$7,'Writing Logic'!$J$7:$K$11,2,FALSE)&amp;" - Per "&amp;VLOOKUP($C$4,'Writing Logic'!$G$8:$H$14,2,FALSE),YES_Writing_ELA[#Headers],0)))="INS",'Writing Logic'!$B$7,IF(INDEX(_xlfn.VSTACK(YES_Writing_ELA[#Data],YES_Writing_FLA[#Data]),MATCH($A480,_xlfn.VSTACK(YES_Writing_ELA[Student Number],YES_Writing_FLA[Student Number]),0),MATCH(VLOOKUP(E$7,'Writing Logic'!$J$7:$K$11,2,FALSE)&amp;" - Per "&amp;VLOOKUP($C$4,'Writing Logic'!$G$8:$H$14,2,FALSE),YES_Writing_ELA[#Headers],0))=0,"",INDEX(_xlfn.VSTACK(YES_Writing_ELA[#Data],YES_Writing_FLA[#Data]),MATCH($A480,_xlfn.VSTACK(YES_Writing_ELA[Student Number],YES_Writing_FLA[Student Number]),0),MATCH(VLOOKUP(E$7,'Writing Logic'!$J$7:$K$11,2,FALSE)&amp;" - Per "&amp;VLOOKUP($C$4,'Writing Logic'!$G$8:$H$14,2,FALSE),YES_Writing_ELA[#Headers],0)))),"")</f>
        <v/>
      </c>
      <c r="F480" s="138" t="str">
        <f>IFERROR(IF(IF(INDEX(_xlfn.VSTACK(YES_Writing_ELA[#Data],YES_Writing_FLA[#Data]),MATCH($A480,_xlfn.VSTACK(YES_Writing_ELA[Student Number],YES_Writing_FLA[Student Number]),0),MATCH(VLOOKUP(F$7,'Writing Logic'!$J$7:$K$11,2,FALSE)&amp;" - Per "&amp;VLOOKUP($C$4,'Writing Logic'!$G$8:$H$14,2,FALSE),YES_Writing_ELA[#Headers],0))=0,"",INDEX(_xlfn.VSTACK(YES_Writing_ELA[#Data],YES_Writing_FLA[#Data]),MATCH($A480,_xlfn.VSTACK(YES_Writing_ELA[Student Number],YES_Writing_FLA[Student Number]),0),MATCH(VLOOKUP(F$7,'Writing Logic'!$J$7:$K$11,2,FALSE)&amp;" - Per "&amp;VLOOKUP($C$4,'Writing Logic'!$G$8:$H$14,2,FALSE),YES_Writing_ELA[#Headers],0)))="INS",'Writing Logic'!$B$7,IF(INDEX(_xlfn.VSTACK(YES_Writing_ELA[#Data],YES_Writing_FLA[#Data]),MATCH($A480,_xlfn.VSTACK(YES_Writing_ELA[Student Number],YES_Writing_FLA[Student Number]),0),MATCH(VLOOKUP(F$7,'Writing Logic'!$J$7:$K$11,2,FALSE)&amp;" - Per "&amp;VLOOKUP($C$4,'Writing Logic'!$G$8:$H$14,2,FALSE),YES_Writing_ELA[#Headers],0))=0,"",INDEX(_xlfn.VSTACK(YES_Writing_ELA[#Data],YES_Writing_FLA[#Data]),MATCH($A480,_xlfn.VSTACK(YES_Writing_ELA[Student Number],YES_Writing_FLA[Student Number]),0),MATCH(VLOOKUP(F$7,'Writing Logic'!$J$7:$K$11,2,FALSE)&amp;" - Per "&amp;VLOOKUP($C$4,'Writing Logic'!$G$8:$H$14,2,FALSE),YES_Writing_ELA[#Headers],0)))),"")</f>
        <v/>
      </c>
      <c r="G480" s="138" t="str">
        <f>IFERROR(IF(IF(INDEX(_xlfn.VSTACK(YES_Writing_ELA[#Data],YES_Writing_FLA[#Data]),MATCH($A480,_xlfn.VSTACK(YES_Writing_ELA[Student Number],YES_Writing_FLA[Student Number]),0),MATCH(VLOOKUP(G$7,'Writing Logic'!$J$7:$K$11,2,FALSE)&amp;" - Per "&amp;VLOOKUP($C$4,'Writing Logic'!$G$8:$H$14,2,FALSE),YES_Writing_ELA[#Headers],0))=0,"",INDEX(_xlfn.VSTACK(YES_Writing_ELA[#Data],YES_Writing_FLA[#Data]),MATCH($A480,_xlfn.VSTACK(YES_Writing_ELA[Student Number],YES_Writing_FLA[Student Number]),0),MATCH(VLOOKUP(G$7,'Writing Logic'!$J$7:$K$11,2,FALSE)&amp;" - Per "&amp;VLOOKUP($C$4,'Writing Logic'!$G$8:$H$14,2,FALSE),YES_Writing_ELA[#Headers],0)))="INS",'Writing Logic'!$B$7,IF(INDEX(_xlfn.VSTACK(YES_Writing_ELA[#Data],YES_Writing_FLA[#Data]),MATCH($A480,_xlfn.VSTACK(YES_Writing_ELA[Student Number],YES_Writing_FLA[Student Number]),0),MATCH(VLOOKUP(G$7,'Writing Logic'!$J$7:$K$11,2,FALSE)&amp;" - Per "&amp;VLOOKUP($C$4,'Writing Logic'!$G$8:$H$14,2,FALSE),YES_Writing_ELA[#Headers],0))=0,"",INDEX(_xlfn.VSTACK(YES_Writing_ELA[#Data],YES_Writing_FLA[#Data]),MATCH($A480,_xlfn.VSTACK(YES_Writing_ELA[Student Number],YES_Writing_FLA[Student Number]),0),MATCH(VLOOKUP(G$7,'Writing Logic'!$J$7:$K$11,2,FALSE)&amp;" - Per "&amp;VLOOKUP($C$4,'Writing Logic'!$G$8:$H$14,2,FALSE),YES_Writing_ELA[#Headers],0)))),"")</f>
        <v/>
      </c>
      <c r="H480" s="223" t="str">
        <f>IFERROR(IF(IF(INDEX(_xlfn.VSTACK(YES_Writing_ELA[#Data],YES_Writing_FLA[#Data]),MATCH($A480,_xlfn.VSTACK(YES_Writing_ELA[Student Number],YES_Writing_FLA[Student Number]),0),MATCH(VLOOKUP(H$7,'Writing Logic'!$J$7:$K$11,2,FALSE)&amp;" - Per "&amp;VLOOKUP($C$4,'Writing Logic'!$G$8:$H$14,2,FALSE),YES_Writing_ELA[#Headers],0))=0,"",INDEX(_xlfn.VSTACK(YES_Writing_ELA[#Data],YES_Writing_FLA[#Data]),MATCH($A480,_xlfn.VSTACK(YES_Writing_ELA[Student Number],YES_Writing_FLA[Student Number]),0),MATCH(VLOOKUP(H$7,'Writing Logic'!$J$7:$K$11,2,FALSE)&amp;" - Per "&amp;VLOOKUP($C$4,'Writing Logic'!$G$8:$H$14,2,FALSE),YES_Writing_ELA[#Headers],0)))="INS",'Writing Logic'!$B$7,IF(INDEX(_xlfn.VSTACK(YES_Writing_ELA[#Data],YES_Writing_FLA[#Data]),MATCH($A480,_xlfn.VSTACK(YES_Writing_ELA[Student Number],YES_Writing_FLA[Student Number]),0),MATCH(VLOOKUP(H$7,'Writing Logic'!$J$7:$K$11,2,FALSE)&amp;" - Per "&amp;VLOOKUP($C$4,'Writing Logic'!$G$8:$H$14,2,FALSE),YES_Writing_ELA[#Headers],0))=0,"",INDEX(_xlfn.VSTACK(YES_Writing_ELA[#Data],YES_Writing_FLA[#Data]),MATCH($A480,_xlfn.VSTACK(YES_Writing_ELA[Student Number],YES_Writing_FLA[Student Number]),0),MATCH(VLOOKUP(H$7,'Writing Logic'!$J$7:$K$11,2,FALSE)&amp;" - Per "&amp;VLOOKUP($C$4,'Writing Logic'!$G$8:$H$14,2,FALSE),YES_Writing_ELA[#Headers],0)))),"")</f>
        <v/>
      </c>
      <c r="I480" s="224" t="str" cm="1">
        <f t="array" aca="1" ref="I480" ca="1">IFERROR(
IF($G$3="ELA",
IF(VLOOKUP($A480, YES_Reading_ELA[], COLUMN(INDIRECT("YES_Reading_ELA[Difference - Per "&amp;VLOOKUP($G$4, 'Reading Report Logic'!$A$2:$B$8, 2, FALSE)&amp;"]")), FALSE)="", "",
VLOOKUP($A480,YES_Reading_ELA[], COLUMN(INDIRECT("YES_Reading_ELA[Difference - Per "&amp;VLOOKUP($G$4,'Reading Report Logic'!$A$2:$B$8,2,FALSE)&amp;"]")), FALSE)),
IF($G$3="FLA",
IF(VLOOKUP($A480, YES_Reading_FLA[], COLUMN(INDIRECT("YES_Reading_FLA[Difference - Per "&amp;VLOOKUP($G$4,'Reading Report Logic'!$A$2:$B$8,2,FALSE)&amp;"]")),FALSE)="","",
VLOOKUP($A480,YES_Reading_FLA[],COLUMN(INDIRECT("YES_Reading_FLA[Difference - Per "&amp;VLOOKUP($G$4,'Reading Report Logic'!$A$2:$B$8,2,FALSE)&amp;"]")),FALSE)),
IF($G$3="Combined",
IFERROR(
IF(VLOOKUP($A480, YES_Reading_ELA[], COLUMN(INDIRECT("YES_Reading_ELA[Difference - Per "&amp;VLOOKUP($G$4, 'Reading Report Logic'!$A$2:$B$8,2,FALSE)&amp;"]")), FALSE)="", "",
VLOOKUP($A480,YES_Reading_ELA[],COLUMN(INDIRECT("YES_Reading_ELA[Difference - Per "&amp;VLOOKUP($G$4,'Reading Report Logic'!$A$2:$B$8,2,FALSE)&amp;"]")),FALSE)),
IF(VLOOKUP($A480, YES_Reading_FLA[], COLUMN(INDIRECT("YES_Reading_FLA[Difference - Per "&amp;VLOOKUP($G$4, 'Reading Report Logic'!$A$2:$B$8, 2, FALSE)&amp;"]")),FALSE)="", "", VLOOKUP($A480,YES_Reading_FLA[],COLUMN(INDIRECT("YES_Reading_FLA[Difference - Per "&amp;VLOOKUP($G$4, 'Reading Report Logic'!$A$2:$B$8, 2, FALSE)&amp;"]")),FALSE))),""))),"")</f>
        <v/>
      </c>
    </row>
    <row r="481" spans="1:9" x14ac:dyDescent="0.25">
      <c r="A481" s="137"/>
      <c r="B481" s="137" t="str">
        <f>IFERROR(INDEX(_xlfn.VSTACK(YES_Writing_ELA[#Data], YES_Writing_FLA[#Data]),MATCH($A481,_xlfn.VSTACK(YES_Writing_ELA[Student Number], YES_Writing_FLA[Student Number]),0),MATCH(B$7,YES_Writing_ELA[#Headers],0)),IFERROR(INDEX(_xlfn.VSTACK(YES_Reading_ELA[#Data], YES_Reading_FLA[#Data]),MATCH($A481,_xlfn.VSTACK(YES_Reading_ELA[Student Number], YES_Reading_FLA[Student Number]),0),MATCH(B$7,YES_Reading_ELA[#Headers],0)),""))</f>
        <v/>
      </c>
      <c r="C481" s="137" t="str">
        <f>IFERROR(INDEX(_xlfn.VSTACK(YES_Writing_ELA[#Data], YES_Writing_FLA[#Data]),MATCH($A481,_xlfn.VSTACK(YES_Writing_ELA[Student Number], YES_Writing_FLA[Student Number]),0),MATCH(C$7,YES_Writing_ELA[#Headers],0)),IFERROR(INDEX(_xlfn.VSTACK(YES_Reading_ELA[#Data], YES_Reading_FLA[#Data]),MATCH($A481,_xlfn.VSTACK(YES_Reading_ELA[Student Number], YES_Reading_FLA[Student Number]),0),MATCH(C$7,YES_Reading_ELA[#Headers],0)),""))</f>
        <v/>
      </c>
      <c r="D481" s="138" t="str">
        <f>IFERROR(IF(IF(INDEX(_xlfn.VSTACK(YES_Writing_ELA[#Data],YES_Writing_FLA[#Data]),MATCH($A481,_xlfn.VSTACK(YES_Writing_ELA[Student Number],YES_Writing_FLA[Student Number]),0),MATCH(VLOOKUP(D$7,'Writing Logic'!$J$7:$K$11,2,FALSE)&amp;" - Per "&amp;VLOOKUP($C$4,'Writing Logic'!$G$8:$H$14,2,FALSE),YES_Writing_ELA[#Headers],0))=0,"",INDEX(_xlfn.VSTACK(YES_Writing_ELA[#Data],YES_Writing_FLA[#Data]),MATCH($A481,_xlfn.VSTACK(YES_Writing_ELA[Student Number],YES_Writing_FLA[Student Number]),0),MATCH(VLOOKUP(D$7,'Writing Logic'!$J$7:$K$11,2,FALSE)&amp;" - Per "&amp;VLOOKUP($C$4,'Writing Logic'!$G$8:$H$14,2,FALSE),YES_Writing_ELA[#Headers],0)))="INS",'Writing Logic'!$B$7,IF(INDEX(_xlfn.VSTACK(YES_Writing_ELA[#Data],YES_Writing_FLA[#Data]),MATCH($A481,_xlfn.VSTACK(YES_Writing_ELA[Student Number],YES_Writing_FLA[Student Number]),0),MATCH(VLOOKUP(D$7,'Writing Logic'!$J$7:$K$11,2,FALSE)&amp;" - Per "&amp;VLOOKUP($C$4,'Writing Logic'!$G$8:$H$14,2,FALSE),YES_Writing_ELA[#Headers],0))=0,"",INDEX(_xlfn.VSTACK(YES_Writing_ELA[#Data],YES_Writing_FLA[#Data]),MATCH($A481,_xlfn.VSTACK(YES_Writing_ELA[Student Number],YES_Writing_FLA[Student Number]),0),MATCH(VLOOKUP(D$7,'Writing Logic'!$J$7:$K$11,2,FALSE)&amp;" - Per "&amp;VLOOKUP($C$4,'Writing Logic'!$G$8:$H$14,2,FALSE),YES_Writing_ELA[#Headers],0)))),"")</f>
        <v/>
      </c>
      <c r="E481" s="138" t="str">
        <f>IFERROR(IF(IF(INDEX(_xlfn.VSTACK(YES_Writing_ELA[#Data],YES_Writing_FLA[#Data]),MATCH($A481,_xlfn.VSTACK(YES_Writing_ELA[Student Number],YES_Writing_FLA[Student Number]),0),MATCH(VLOOKUP(E$7,'Writing Logic'!$J$7:$K$11,2,FALSE)&amp;" - Per "&amp;VLOOKUP($C$4,'Writing Logic'!$G$8:$H$14,2,FALSE),YES_Writing_ELA[#Headers],0))=0,"",INDEX(_xlfn.VSTACK(YES_Writing_ELA[#Data],YES_Writing_FLA[#Data]),MATCH($A481,_xlfn.VSTACK(YES_Writing_ELA[Student Number],YES_Writing_FLA[Student Number]),0),MATCH(VLOOKUP(E$7,'Writing Logic'!$J$7:$K$11,2,FALSE)&amp;" - Per "&amp;VLOOKUP($C$4,'Writing Logic'!$G$8:$H$14,2,FALSE),YES_Writing_ELA[#Headers],0)))="INS",'Writing Logic'!$B$7,IF(INDEX(_xlfn.VSTACK(YES_Writing_ELA[#Data],YES_Writing_FLA[#Data]),MATCH($A481,_xlfn.VSTACK(YES_Writing_ELA[Student Number],YES_Writing_FLA[Student Number]),0),MATCH(VLOOKUP(E$7,'Writing Logic'!$J$7:$K$11,2,FALSE)&amp;" - Per "&amp;VLOOKUP($C$4,'Writing Logic'!$G$8:$H$14,2,FALSE),YES_Writing_ELA[#Headers],0))=0,"",INDEX(_xlfn.VSTACK(YES_Writing_ELA[#Data],YES_Writing_FLA[#Data]),MATCH($A481,_xlfn.VSTACK(YES_Writing_ELA[Student Number],YES_Writing_FLA[Student Number]),0),MATCH(VLOOKUP(E$7,'Writing Logic'!$J$7:$K$11,2,FALSE)&amp;" - Per "&amp;VLOOKUP($C$4,'Writing Logic'!$G$8:$H$14,2,FALSE),YES_Writing_ELA[#Headers],0)))),"")</f>
        <v/>
      </c>
      <c r="F481" s="138" t="str">
        <f>IFERROR(IF(IF(INDEX(_xlfn.VSTACK(YES_Writing_ELA[#Data],YES_Writing_FLA[#Data]),MATCH($A481,_xlfn.VSTACK(YES_Writing_ELA[Student Number],YES_Writing_FLA[Student Number]),0),MATCH(VLOOKUP(F$7,'Writing Logic'!$J$7:$K$11,2,FALSE)&amp;" - Per "&amp;VLOOKUP($C$4,'Writing Logic'!$G$8:$H$14,2,FALSE),YES_Writing_ELA[#Headers],0))=0,"",INDEX(_xlfn.VSTACK(YES_Writing_ELA[#Data],YES_Writing_FLA[#Data]),MATCH($A481,_xlfn.VSTACK(YES_Writing_ELA[Student Number],YES_Writing_FLA[Student Number]),0),MATCH(VLOOKUP(F$7,'Writing Logic'!$J$7:$K$11,2,FALSE)&amp;" - Per "&amp;VLOOKUP($C$4,'Writing Logic'!$G$8:$H$14,2,FALSE),YES_Writing_ELA[#Headers],0)))="INS",'Writing Logic'!$B$7,IF(INDEX(_xlfn.VSTACK(YES_Writing_ELA[#Data],YES_Writing_FLA[#Data]),MATCH($A481,_xlfn.VSTACK(YES_Writing_ELA[Student Number],YES_Writing_FLA[Student Number]),0),MATCH(VLOOKUP(F$7,'Writing Logic'!$J$7:$K$11,2,FALSE)&amp;" - Per "&amp;VLOOKUP($C$4,'Writing Logic'!$G$8:$H$14,2,FALSE),YES_Writing_ELA[#Headers],0))=0,"",INDEX(_xlfn.VSTACK(YES_Writing_ELA[#Data],YES_Writing_FLA[#Data]),MATCH($A481,_xlfn.VSTACK(YES_Writing_ELA[Student Number],YES_Writing_FLA[Student Number]),0),MATCH(VLOOKUP(F$7,'Writing Logic'!$J$7:$K$11,2,FALSE)&amp;" - Per "&amp;VLOOKUP($C$4,'Writing Logic'!$G$8:$H$14,2,FALSE),YES_Writing_ELA[#Headers],0)))),"")</f>
        <v/>
      </c>
      <c r="G481" s="138" t="str">
        <f>IFERROR(IF(IF(INDEX(_xlfn.VSTACK(YES_Writing_ELA[#Data],YES_Writing_FLA[#Data]),MATCH($A481,_xlfn.VSTACK(YES_Writing_ELA[Student Number],YES_Writing_FLA[Student Number]),0),MATCH(VLOOKUP(G$7,'Writing Logic'!$J$7:$K$11,2,FALSE)&amp;" - Per "&amp;VLOOKUP($C$4,'Writing Logic'!$G$8:$H$14,2,FALSE),YES_Writing_ELA[#Headers],0))=0,"",INDEX(_xlfn.VSTACK(YES_Writing_ELA[#Data],YES_Writing_FLA[#Data]),MATCH($A481,_xlfn.VSTACK(YES_Writing_ELA[Student Number],YES_Writing_FLA[Student Number]),0),MATCH(VLOOKUP(G$7,'Writing Logic'!$J$7:$K$11,2,FALSE)&amp;" - Per "&amp;VLOOKUP($C$4,'Writing Logic'!$G$8:$H$14,2,FALSE),YES_Writing_ELA[#Headers],0)))="INS",'Writing Logic'!$B$7,IF(INDEX(_xlfn.VSTACK(YES_Writing_ELA[#Data],YES_Writing_FLA[#Data]),MATCH($A481,_xlfn.VSTACK(YES_Writing_ELA[Student Number],YES_Writing_FLA[Student Number]),0),MATCH(VLOOKUP(G$7,'Writing Logic'!$J$7:$K$11,2,FALSE)&amp;" - Per "&amp;VLOOKUP($C$4,'Writing Logic'!$G$8:$H$14,2,FALSE),YES_Writing_ELA[#Headers],0))=0,"",INDEX(_xlfn.VSTACK(YES_Writing_ELA[#Data],YES_Writing_FLA[#Data]),MATCH($A481,_xlfn.VSTACK(YES_Writing_ELA[Student Number],YES_Writing_FLA[Student Number]),0),MATCH(VLOOKUP(G$7,'Writing Logic'!$J$7:$K$11,2,FALSE)&amp;" - Per "&amp;VLOOKUP($C$4,'Writing Logic'!$G$8:$H$14,2,FALSE),YES_Writing_ELA[#Headers],0)))),"")</f>
        <v/>
      </c>
      <c r="H481" s="223" t="str">
        <f>IFERROR(IF(IF(INDEX(_xlfn.VSTACK(YES_Writing_ELA[#Data],YES_Writing_FLA[#Data]),MATCH($A481,_xlfn.VSTACK(YES_Writing_ELA[Student Number],YES_Writing_FLA[Student Number]),0),MATCH(VLOOKUP(H$7,'Writing Logic'!$J$7:$K$11,2,FALSE)&amp;" - Per "&amp;VLOOKUP($C$4,'Writing Logic'!$G$8:$H$14,2,FALSE),YES_Writing_ELA[#Headers],0))=0,"",INDEX(_xlfn.VSTACK(YES_Writing_ELA[#Data],YES_Writing_FLA[#Data]),MATCH($A481,_xlfn.VSTACK(YES_Writing_ELA[Student Number],YES_Writing_FLA[Student Number]),0),MATCH(VLOOKUP(H$7,'Writing Logic'!$J$7:$K$11,2,FALSE)&amp;" - Per "&amp;VLOOKUP($C$4,'Writing Logic'!$G$8:$H$14,2,FALSE),YES_Writing_ELA[#Headers],0)))="INS",'Writing Logic'!$B$7,IF(INDEX(_xlfn.VSTACK(YES_Writing_ELA[#Data],YES_Writing_FLA[#Data]),MATCH($A481,_xlfn.VSTACK(YES_Writing_ELA[Student Number],YES_Writing_FLA[Student Number]),0),MATCH(VLOOKUP(H$7,'Writing Logic'!$J$7:$K$11,2,FALSE)&amp;" - Per "&amp;VLOOKUP($C$4,'Writing Logic'!$G$8:$H$14,2,FALSE),YES_Writing_ELA[#Headers],0))=0,"",INDEX(_xlfn.VSTACK(YES_Writing_ELA[#Data],YES_Writing_FLA[#Data]),MATCH($A481,_xlfn.VSTACK(YES_Writing_ELA[Student Number],YES_Writing_FLA[Student Number]),0),MATCH(VLOOKUP(H$7,'Writing Logic'!$J$7:$K$11,2,FALSE)&amp;" - Per "&amp;VLOOKUP($C$4,'Writing Logic'!$G$8:$H$14,2,FALSE),YES_Writing_ELA[#Headers],0)))),"")</f>
        <v/>
      </c>
      <c r="I481" s="224" t="str" cm="1">
        <f t="array" aca="1" ref="I481" ca="1">IFERROR(
IF($G$3="ELA",
IF(VLOOKUP($A481, YES_Reading_ELA[], COLUMN(INDIRECT("YES_Reading_ELA[Difference - Per "&amp;VLOOKUP($G$4, 'Reading Report Logic'!$A$2:$B$8, 2, FALSE)&amp;"]")), FALSE)="", "",
VLOOKUP($A481,YES_Reading_ELA[], COLUMN(INDIRECT("YES_Reading_ELA[Difference - Per "&amp;VLOOKUP($G$4,'Reading Report Logic'!$A$2:$B$8,2,FALSE)&amp;"]")), FALSE)),
IF($G$3="FLA",
IF(VLOOKUP($A481, YES_Reading_FLA[], COLUMN(INDIRECT("YES_Reading_FLA[Difference - Per "&amp;VLOOKUP($G$4,'Reading Report Logic'!$A$2:$B$8,2,FALSE)&amp;"]")),FALSE)="","",
VLOOKUP($A481,YES_Reading_FLA[],COLUMN(INDIRECT("YES_Reading_FLA[Difference - Per "&amp;VLOOKUP($G$4,'Reading Report Logic'!$A$2:$B$8,2,FALSE)&amp;"]")),FALSE)),
IF($G$3="Combined",
IFERROR(
IF(VLOOKUP($A481, YES_Reading_ELA[], COLUMN(INDIRECT("YES_Reading_ELA[Difference - Per "&amp;VLOOKUP($G$4, 'Reading Report Logic'!$A$2:$B$8,2,FALSE)&amp;"]")), FALSE)="", "",
VLOOKUP($A481,YES_Reading_ELA[],COLUMN(INDIRECT("YES_Reading_ELA[Difference - Per "&amp;VLOOKUP($G$4,'Reading Report Logic'!$A$2:$B$8,2,FALSE)&amp;"]")),FALSE)),
IF(VLOOKUP($A481, YES_Reading_FLA[], COLUMN(INDIRECT("YES_Reading_FLA[Difference - Per "&amp;VLOOKUP($G$4, 'Reading Report Logic'!$A$2:$B$8, 2, FALSE)&amp;"]")),FALSE)="", "", VLOOKUP($A481,YES_Reading_FLA[],COLUMN(INDIRECT("YES_Reading_FLA[Difference - Per "&amp;VLOOKUP($G$4, 'Reading Report Logic'!$A$2:$B$8, 2, FALSE)&amp;"]")),FALSE))),""))),"")</f>
        <v/>
      </c>
    </row>
    <row r="482" spans="1:9" x14ac:dyDescent="0.25">
      <c r="A482" s="137"/>
      <c r="B482" s="137" t="str">
        <f>IFERROR(INDEX(_xlfn.VSTACK(YES_Writing_ELA[#Data], YES_Writing_FLA[#Data]),MATCH($A482,_xlfn.VSTACK(YES_Writing_ELA[Student Number], YES_Writing_FLA[Student Number]),0),MATCH(B$7,YES_Writing_ELA[#Headers],0)),IFERROR(INDEX(_xlfn.VSTACK(YES_Reading_ELA[#Data], YES_Reading_FLA[#Data]),MATCH($A482,_xlfn.VSTACK(YES_Reading_ELA[Student Number], YES_Reading_FLA[Student Number]),0),MATCH(B$7,YES_Reading_ELA[#Headers],0)),""))</f>
        <v/>
      </c>
      <c r="C482" s="137" t="str">
        <f>IFERROR(INDEX(_xlfn.VSTACK(YES_Writing_ELA[#Data], YES_Writing_FLA[#Data]),MATCH($A482,_xlfn.VSTACK(YES_Writing_ELA[Student Number], YES_Writing_FLA[Student Number]),0),MATCH(C$7,YES_Writing_ELA[#Headers],0)),IFERROR(INDEX(_xlfn.VSTACK(YES_Reading_ELA[#Data], YES_Reading_FLA[#Data]),MATCH($A482,_xlfn.VSTACK(YES_Reading_ELA[Student Number], YES_Reading_FLA[Student Number]),0),MATCH(C$7,YES_Reading_ELA[#Headers],0)),""))</f>
        <v/>
      </c>
      <c r="D482" s="138" t="str">
        <f>IFERROR(IF(IF(INDEX(_xlfn.VSTACK(YES_Writing_ELA[#Data],YES_Writing_FLA[#Data]),MATCH($A482,_xlfn.VSTACK(YES_Writing_ELA[Student Number],YES_Writing_FLA[Student Number]),0),MATCH(VLOOKUP(D$7,'Writing Logic'!$J$7:$K$11,2,FALSE)&amp;" - Per "&amp;VLOOKUP($C$4,'Writing Logic'!$G$8:$H$14,2,FALSE),YES_Writing_ELA[#Headers],0))=0,"",INDEX(_xlfn.VSTACK(YES_Writing_ELA[#Data],YES_Writing_FLA[#Data]),MATCH($A482,_xlfn.VSTACK(YES_Writing_ELA[Student Number],YES_Writing_FLA[Student Number]),0),MATCH(VLOOKUP(D$7,'Writing Logic'!$J$7:$K$11,2,FALSE)&amp;" - Per "&amp;VLOOKUP($C$4,'Writing Logic'!$G$8:$H$14,2,FALSE),YES_Writing_ELA[#Headers],0)))="INS",'Writing Logic'!$B$7,IF(INDEX(_xlfn.VSTACK(YES_Writing_ELA[#Data],YES_Writing_FLA[#Data]),MATCH($A482,_xlfn.VSTACK(YES_Writing_ELA[Student Number],YES_Writing_FLA[Student Number]),0),MATCH(VLOOKUP(D$7,'Writing Logic'!$J$7:$K$11,2,FALSE)&amp;" - Per "&amp;VLOOKUP($C$4,'Writing Logic'!$G$8:$H$14,2,FALSE),YES_Writing_ELA[#Headers],0))=0,"",INDEX(_xlfn.VSTACK(YES_Writing_ELA[#Data],YES_Writing_FLA[#Data]),MATCH($A482,_xlfn.VSTACK(YES_Writing_ELA[Student Number],YES_Writing_FLA[Student Number]),0),MATCH(VLOOKUP(D$7,'Writing Logic'!$J$7:$K$11,2,FALSE)&amp;" - Per "&amp;VLOOKUP($C$4,'Writing Logic'!$G$8:$H$14,2,FALSE),YES_Writing_ELA[#Headers],0)))),"")</f>
        <v/>
      </c>
      <c r="E482" s="138" t="str">
        <f>IFERROR(IF(IF(INDEX(_xlfn.VSTACK(YES_Writing_ELA[#Data],YES_Writing_FLA[#Data]),MATCH($A482,_xlfn.VSTACK(YES_Writing_ELA[Student Number],YES_Writing_FLA[Student Number]),0),MATCH(VLOOKUP(E$7,'Writing Logic'!$J$7:$K$11,2,FALSE)&amp;" - Per "&amp;VLOOKUP($C$4,'Writing Logic'!$G$8:$H$14,2,FALSE),YES_Writing_ELA[#Headers],0))=0,"",INDEX(_xlfn.VSTACK(YES_Writing_ELA[#Data],YES_Writing_FLA[#Data]),MATCH($A482,_xlfn.VSTACK(YES_Writing_ELA[Student Number],YES_Writing_FLA[Student Number]),0),MATCH(VLOOKUP(E$7,'Writing Logic'!$J$7:$K$11,2,FALSE)&amp;" - Per "&amp;VLOOKUP($C$4,'Writing Logic'!$G$8:$H$14,2,FALSE),YES_Writing_ELA[#Headers],0)))="INS",'Writing Logic'!$B$7,IF(INDEX(_xlfn.VSTACK(YES_Writing_ELA[#Data],YES_Writing_FLA[#Data]),MATCH($A482,_xlfn.VSTACK(YES_Writing_ELA[Student Number],YES_Writing_FLA[Student Number]),0),MATCH(VLOOKUP(E$7,'Writing Logic'!$J$7:$K$11,2,FALSE)&amp;" - Per "&amp;VLOOKUP($C$4,'Writing Logic'!$G$8:$H$14,2,FALSE),YES_Writing_ELA[#Headers],0))=0,"",INDEX(_xlfn.VSTACK(YES_Writing_ELA[#Data],YES_Writing_FLA[#Data]),MATCH($A482,_xlfn.VSTACK(YES_Writing_ELA[Student Number],YES_Writing_FLA[Student Number]),0),MATCH(VLOOKUP(E$7,'Writing Logic'!$J$7:$K$11,2,FALSE)&amp;" - Per "&amp;VLOOKUP($C$4,'Writing Logic'!$G$8:$H$14,2,FALSE),YES_Writing_ELA[#Headers],0)))),"")</f>
        <v/>
      </c>
      <c r="F482" s="138" t="str">
        <f>IFERROR(IF(IF(INDEX(_xlfn.VSTACK(YES_Writing_ELA[#Data],YES_Writing_FLA[#Data]),MATCH($A482,_xlfn.VSTACK(YES_Writing_ELA[Student Number],YES_Writing_FLA[Student Number]),0),MATCH(VLOOKUP(F$7,'Writing Logic'!$J$7:$K$11,2,FALSE)&amp;" - Per "&amp;VLOOKUP($C$4,'Writing Logic'!$G$8:$H$14,2,FALSE),YES_Writing_ELA[#Headers],0))=0,"",INDEX(_xlfn.VSTACK(YES_Writing_ELA[#Data],YES_Writing_FLA[#Data]),MATCH($A482,_xlfn.VSTACK(YES_Writing_ELA[Student Number],YES_Writing_FLA[Student Number]),0),MATCH(VLOOKUP(F$7,'Writing Logic'!$J$7:$K$11,2,FALSE)&amp;" - Per "&amp;VLOOKUP($C$4,'Writing Logic'!$G$8:$H$14,2,FALSE),YES_Writing_ELA[#Headers],0)))="INS",'Writing Logic'!$B$7,IF(INDEX(_xlfn.VSTACK(YES_Writing_ELA[#Data],YES_Writing_FLA[#Data]),MATCH($A482,_xlfn.VSTACK(YES_Writing_ELA[Student Number],YES_Writing_FLA[Student Number]),0),MATCH(VLOOKUP(F$7,'Writing Logic'!$J$7:$K$11,2,FALSE)&amp;" - Per "&amp;VLOOKUP($C$4,'Writing Logic'!$G$8:$H$14,2,FALSE),YES_Writing_ELA[#Headers],0))=0,"",INDEX(_xlfn.VSTACK(YES_Writing_ELA[#Data],YES_Writing_FLA[#Data]),MATCH($A482,_xlfn.VSTACK(YES_Writing_ELA[Student Number],YES_Writing_FLA[Student Number]),0),MATCH(VLOOKUP(F$7,'Writing Logic'!$J$7:$K$11,2,FALSE)&amp;" - Per "&amp;VLOOKUP($C$4,'Writing Logic'!$G$8:$H$14,2,FALSE),YES_Writing_ELA[#Headers],0)))),"")</f>
        <v/>
      </c>
      <c r="G482" s="138" t="str">
        <f>IFERROR(IF(IF(INDEX(_xlfn.VSTACK(YES_Writing_ELA[#Data],YES_Writing_FLA[#Data]),MATCH($A482,_xlfn.VSTACK(YES_Writing_ELA[Student Number],YES_Writing_FLA[Student Number]),0),MATCH(VLOOKUP(G$7,'Writing Logic'!$J$7:$K$11,2,FALSE)&amp;" - Per "&amp;VLOOKUP($C$4,'Writing Logic'!$G$8:$H$14,2,FALSE),YES_Writing_ELA[#Headers],0))=0,"",INDEX(_xlfn.VSTACK(YES_Writing_ELA[#Data],YES_Writing_FLA[#Data]),MATCH($A482,_xlfn.VSTACK(YES_Writing_ELA[Student Number],YES_Writing_FLA[Student Number]),0),MATCH(VLOOKUP(G$7,'Writing Logic'!$J$7:$K$11,2,FALSE)&amp;" - Per "&amp;VLOOKUP($C$4,'Writing Logic'!$G$8:$H$14,2,FALSE),YES_Writing_ELA[#Headers],0)))="INS",'Writing Logic'!$B$7,IF(INDEX(_xlfn.VSTACK(YES_Writing_ELA[#Data],YES_Writing_FLA[#Data]),MATCH($A482,_xlfn.VSTACK(YES_Writing_ELA[Student Number],YES_Writing_FLA[Student Number]),0),MATCH(VLOOKUP(G$7,'Writing Logic'!$J$7:$K$11,2,FALSE)&amp;" - Per "&amp;VLOOKUP($C$4,'Writing Logic'!$G$8:$H$14,2,FALSE),YES_Writing_ELA[#Headers],0))=0,"",INDEX(_xlfn.VSTACK(YES_Writing_ELA[#Data],YES_Writing_FLA[#Data]),MATCH($A482,_xlfn.VSTACK(YES_Writing_ELA[Student Number],YES_Writing_FLA[Student Number]),0),MATCH(VLOOKUP(G$7,'Writing Logic'!$J$7:$K$11,2,FALSE)&amp;" - Per "&amp;VLOOKUP($C$4,'Writing Logic'!$G$8:$H$14,2,FALSE),YES_Writing_ELA[#Headers],0)))),"")</f>
        <v/>
      </c>
      <c r="H482" s="223" t="str">
        <f>IFERROR(IF(IF(INDEX(_xlfn.VSTACK(YES_Writing_ELA[#Data],YES_Writing_FLA[#Data]),MATCH($A482,_xlfn.VSTACK(YES_Writing_ELA[Student Number],YES_Writing_FLA[Student Number]),0),MATCH(VLOOKUP(H$7,'Writing Logic'!$J$7:$K$11,2,FALSE)&amp;" - Per "&amp;VLOOKUP($C$4,'Writing Logic'!$G$8:$H$14,2,FALSE),YES_Writing_ELA[#Headers],0))=0,"",INDEX(_xlfn.VSTACK(YES_Writing_ELA[#Data],YES_Writing_FLA[#Data]),MATCH($A482,_xlfn.VSTACK(YES_Writing_ELA[Student Number],YES_Writing_FLA[Student Number]),0),MATCH(VLOOKUP(H$7,'Writing Logic'!$J$7:$K$11,2,FALSE)&amp;" - Per "&amp;VLOOKUP($C$4,'Writing Logic'!$G$8:$H$14,2,FALSE),YES_Writing_ELA[#Headers],0)))="INS",'Writing Logic'!$B$7,IF(INDEX(_xlfn.VSTACK(YES_Writing_ELA[#Data],YES_Writing_FLA[#Data]),MATCH($A482,_xlfn.VSTACK(YES_Writing_ELA[Student Number],YES_Writing_FLA[Student Number]),0),MATCH(VLOOKUP(H$7,'Writing Logic'!$J$7:$K$11,2,FALSE)&amp;" - Per "&amp;VLOOKUP($C$4,'Writing Logic'!$G$8:$H$14,2,FALSE),YES_Writing_ELA[#Headers],0))=0,"",INDEX(_xlfn.VSTACK(YES_Writing_ELA[#Data],YES_Writing_FLA[#Data]),MATCH($A482,_xlfn.VSTACK(YES_Writing_ELA[Student Number],YES_Writing_FLA[Student Number]),0),MATCH(VLOOKUP(H$7,'Writing Logic'!$J$7:$K$11,2,FALSE)&amp;" - Per "&amp;VLOOKUP($C$4,'Writing Logic'!$G$8:$H$14,2,FALSE),YES_Writing_ELA[#Headers],0)))),"")</f>
        <v/>
      </c>
      <c r="I482" s="224" t="str" cm="1">
        <f t="array" aca="1" ref="I482" ca="1">IFERROR(
IF($G$3="ELA",
IF(VLOOKUP($A482, YES_Reading_ELA[], COLUMN(INDIRECT("YES_Reading_ELA[Difference - Per "&amp;VLOOKUP($G$4, 'Reading Report Logic'!$A$2:$B$8, 2, FALSE)&amp;"]")), FALSE)="", "",
VLOOKUP($A482,YES_Reading_ELA[], COLUMN(INDIRECT("YES_Reading_ELA[Difference - Per "&amp;VLOOKUP($G$4,'Reading Report Logic'!$A$2:$B$8,2,FALSE)&amp;"]")), FALSE)),
IF($G$3="FLA",
IF(VLOOKUP($A482, YES_Reading_FLA[], COLUMN(INDIRECT("YES_Reading_FLA[Difference - Per "&amp;VLOOKUP($G$4,'Reading Report Logic'!$A$2:$B$8,2,FALSE)&amp;"]")),FALSE)="","",
VLOOKUP($A482,YES_Reading_FLA[],COLUMN(INDIRECT("YES_Reading_FLA[Difference - Per "&amp;VLOOKUP($G$4,'Reading Report Logic'!$A$2:$B$8,2,FALSE)&amp;"]")),FALSE)),
IF($G$3="Combined",
IFERROR(
IF(VLOOKUP($A482, YES_Reading_ELA[], COLUMN(INDIRECT("YES_Reading_ELA[Difference - Per "&amp;VLOOKUP($G$4, 'Reading Report Logic'!$A$2:$B$8,2,FALSE)&amp;"]")), FALSE)="", "",
VLOOKUP($A482,YES_Reading_ELA[],COLUMN(INDIRECT("YES_Reading_ELA[Difference - Per "&amp;VLOOKUP($G$4,'Reading Report Logic'!$A$2:$B$8,2,FALSE)&amp;"]")),FALSE)),
IF(VLOOKUP($A482, YES_Reading_FLA[], COLUMN(INDIRECT("YES_Reading_FLA[Difference - Per "&amp;VLOOKUP($G$4, 'Reading Report Logic'!$A$2:$B$8, 2, FALSE)&amp;"]")),FALSE)="", "", VLOOKUP($A482,YES_Reading_FLA[],COLUMN(INDIRECT("YES_Reading_FLA[Difference - Per "&amp;VLOOKUP($G$4, 'Reading Report Logic'!$A$2:$B$8, 2, FALSE)&amp;"]")),FALSE))),""))),"")</f>
        <v/>
      </c>
    </row>
    <row r="483" spans="1:9" x14ac:dyDescent="0.25">
      <c r="A483" s="137"/>
      <c r="B483" s="137" t="str">
        <f>IFERROR(INDEX(_xlfn.VSTACK(YES_Writing_ELA[#Data], YES_Writing_FLA[#Data]),MATCH($A483,_xlfn.VSTACK(YES_Writing_ELA[Student Number], YES_Writing_FLA[Student Number]),0),MATCH(B$7,YES_Writing_ELA[#Headers],0)),IFERROR(INDEX(_xlfn.VSTACK(YES_Reading_ELA[#Data], YES_Reading_FLA[#Data]),MATCH($A483,_xlfn.VSTACK(YES_Reading_ELA[Student Number], YES_Reading_FLA[Student Number]),0),MATCH(B$7,YES_Reading_ELA[#Headers],0)),""))</f>
        <v/>
      </c>
      <c r="C483" s="137" t="str">
        <f>IFERROR(INDEX(_xlfn.VSTACK(YES_Writing_ELA[#Data], YES_Writing_FLA[#Data]),MATCH($A483,_xlfn.VSTACK(YES_Writing_ELA[Student Number], YES_Writing_FLA[Student Number]),0),MATCH(C$7,YES_Writing_ELA[#Headers],0)),IFERROR(INDEX(_xlfn.VSTACK(YES_Reading_ELA[#Data], YES_Reading_FLA[#Data]),MATCH($A483,_xlfn.VSTACK(YES_Reading_ELA[Student Number], YES_Reading_FLA[Student Number]),0),MATCH(C$7,YES_Reading_ELA[#Headers],0)),""))</f>
        <v/>
      </c>
      <c r="D483" s="138" t="str">
        <f>IFERROR(IF(IF(INDEX(_xlfn.VSTACK(YES_Writing_ELA[#Data],YES_Writing_FLA[#Data]),MATCH($A483,_xlfn.VSTACK(YES_Writing_ELA[Student Number],YES_Writing_FLA[Student Number]),0),MATCH(VLOOKUP(D$7,'Writing Logic'!$J$7:$K$11,2,FALSE)&amp;" - Per "&amp;VLOOKUP($C$4,'Writing Logic'!$G$8:$H$14,2,FALSE),YES_Writing_ELA[#Headers],0))=0,"",INDEX(_xlfn.VSTACK(YES_Writing_ELA[#Data],YES_Writing_FLA[#Data]),MATCH($A483,_xlfn.VSTACK(YES_Writing_ELA[Student Number],YES_Writing_FLA[Student Number]),0),MATCH(VLOOKUP(D$7,'Writing Logic'!$J$7:$K$11,2,FALSE)&amp;" - Per "&amp;VLOOKUP($C$4,'Writing Logic'!$G$8:$H$14,2,FALSE),YES_Writing_ELA[#Headers],0)))="INS",'Writing Logic'!$B$7,IF(INDEX(_xlfn.VSTACK(YES_Writing_ELA[#Data],YES_Writing_FLA[#Data]),MATCH($A483,_xlfn.VSTACK(YES_Writing_ELA[Student Number],YES_Writing_FLA[Student Number]),0),MATCH(VLOOKUP(D$7,'Writing Logic'!$J$7:$K$11,2,FALSE)&amp;" - Per "&amp;VLOOKUP($C$4,'Writing Logic'!$G$8:$H$14,2,FALSE),YES_Writing_ELA[#Headers],0))=0,"",INDEX(_xlfn.VSTACK(YES_Writing_ELA[#Data],YES_Writing_FLA[#Data]),MATCH($A483,_xlfn.VSTACK(YES_Writing_ELA[Student Number],YES_Writing_FLA[Student Number]),0),MATCH(VLOOKUP(D$7,'Writing Logic'!$J$7:$K$11,2,FALSE)&amp;" - Per "&amp;VLOOKUP($C$4,'Writing Logic'!$G$8:$H$14,2,FALSE),YES_Writing_ELA[#Headers],0)))),"")</f>
        <v/>
      </c>
      <c r="E483" s="138" t="str">
        <f>IFERROR(IF(IF(INDEX(_xlfn.VSTACK(YES_Writing_ELA[#Data],YES_Writing_FLA[#Data]),MATCH($A483,_xlfn.VSTACK(YES_Writing_ELA[Student Number],YES_Writing_FLA[Student Number]),0),MATCH(VLOOKUP(E$7,'Writing Logic'!$J$7:$K$11,2,FALSE)&amp;" - Per "&amp;VLOOKUP($C$4,'Writing Logic'!$G$8:$H$14,2,FALSE),YES_Writing_ELA[#Headers],0))=0,"",INDEX(_xlfn.VSTACK(YES_Writing_ELA[#Data],YES_Writing_FLA[#Data]),MATCH($A483,_xlfn.VSTACK(YES_Writing_ELA[Student Number],YES_Writing_FLA[Student Number]),0),MATCH(VLOOKUP(E$7,'Writing Logic'!$J$7:$K$11,2,FALSE)&amp;" - Per "&amp;VLOOKUP($C$4,'Writing Logic'!$G$8:$H$14,2,FALSE),YES_Writing_ELA[#Headers],0)))="INS",'Writing Logic'!$B$7,IF(INDEX(_xlfn.VSTACK(YES_Writing_ELA[#Data],YES_Writing_FLA[#Data]),MATCH($A483,_xlfn.VSTACK(YES_Writing_ELA[Student Number],YES_Writing_FLA[Student Number]),0),MATCH(VLOOKUP(E$7,'Writing Logic'!$J$7:$K$11,2,FALSE)&amp;" - Per "&amp;VLOOKUP($C$4,'Writing Logic'!$G$8:$H$14,2,FALSE),YES_Writing_ELA[#Headers],0))=0,"",INDEX(_xlfn.VSTACK(YES_Writing_ELA[#Data],YES_Writing_FLA[#Data]),MATCH($A483,_xlfn.VSTACK(YES_Writing_ELA[Student Number],YES_Writing_FLA[Student Number]),0),MATCH(VLOOKUP(E$7,'Writing Logic'!$J$7:$K$11,2,FALSE)&amp;" - Per "&amp;VLOOKUP($C$4,'Writing Logic'!$G$8:$H$14,2,FALSE),YES_Writing_ELA[#Headers],0)))),"")</f>
        <v/>
      </c>
      <c r="F483" s="138" t="str">
        <f>IFERROR(IF(IF(INDEX(_xlfn.VSTACK(YES_Writing_ELA[#Data],YES_Writing_FLA[#Data]),MATCH($A483,_xlfn.VSTACK(YES_Writing_ELA[Student Number],YES_Writing_FLA[Student Number]),0),MATCH(VLOOKUP(F$7,'Writing Logic'!$J$7:$K$11,2,FALSE)&amp;" - Per "&amp;VLOOKUP($C$4,'Writing Logic'!$G$8:$H$14,2,FALSE),YES_Writing_ELA[#Headers],0))=0,"",INDEX(_xlfn.VSTACK(YES_Writing_ELA[#Data],YES_Writing_FLA[#Data]),MATCH($A483,_xlfn.VSTACK(YES_Writing_ELA[Student Number],YES_Writing_FLA[Student Number]),0),MATCH(VLOOKUP(F$7,'Writing Logic'!$J$7:$K$11,2,FALSE)&amp;" - Per "&amp;VLOOKUP($C$4,'Writing Logic'!$G$8:$H$14,2,FALSE),YES_Writing_ELA[#Headers],0)))="INS",'Writing Logic'!$B$7,IF(INDEX(_xlfn.VSTACK(YES_Writing_ELA[#Data],YES_Writing_FLA[#Data]),MATCH($A483,_xlfn.VSTACK(YES_Writing_ELA[Student Number],YES_Writing_FLA[Student Number]),0),MATCH(VLOOKUP(F$7,'Writing Logic'!$J$7:$K$11,2,FALSE)&amp;" - Per "&amp;VLOOKUP($C$4,'Writing Logic'!$G$8:$H$14,2,FALSE),YES_Writing_ELA[#Headers],0))=0,"",INDEX(_xlfn.VSTACK(YES_Writing_ELA[#Data],YES_Writing_FLA[#Data]),MATCH($A483,_xlfn.VSTACK(YES_Writing_ELA[Student Number],YES_Writing_FLA[Student Number]),0),MATCH(VLOOKUP(F$7,'Writing Logic'!$J$7:$K$11,2,FALSE)&amp;" - Per "&amp;VLOOKUP($C$4,'Writing Logic'!$G$8:$H$14,2,FALSE),YES_Writing_ELA[#Headers],0)))),"")</f>
        <v/>
      </c>
      <c r="G483" s="138" t="str">
        <f>IFERROR(IF(IF(INDEX(_xlfn.VSTACK(YES_Writing_ELA[#Data],YES_Writing_FLA[#Data]),MATCH($A483,_xlfn.VSTACK(YES_Writing_ELA[Student Number],YES_Writing_FLA[Student Number]),0),MATCH(VLOOKUP(G$7,'Writing Logic'!$J$7:$K$11,2,FALSE)&amp;" - Per "&amp;VLOOKUP($C$4,'Writing Logic'!$G$8:$H$14,2,FALSE),YES_Writing_ELA[#Headers],0))=0,"",INDEX(_xlfn.VSTACK(YES_Writing_ELA[#Data],YES_Writing_FLA[#Data]),MATCH($A483,_xlfn.VSTACK(YES_Writing_ELA[Student Number],YES_Writing_FLA[Student Number]),0),MATCH(VLOOKUP(G$7,'Writing Logic'!$J$7:$K$11,2,FALSE)&amp;" - Per "&amp;VLOOKUP($C$4,'Writing Logic'!$G$8:$H$14,2,FALSE),YES_Writing_ELA[#Headers],0)))="INS",'Writing Logic'!$B$7,IF(INDEX(_xlfn.VSTACK(YES_Writing_ELA[#Data],YES_Writing_FLA[#Data]),MATCH($A483,_xlfn.VSTACK(YES_Writing_ELA[Student Number],YES_Writing_FLA[Student Number]),0),MATCH(VLOOKUP(G$7,'Writing Logic'!$J$7:$K$11,2,FALSE)&amp;" - Per "&amp;VLOOKUP($C$4,'Writing Logic'!$G$8:$H$14,2,FALSE),YES_Writing_ELA[#Headers],0))=0,"",INDEX(_xlfn.VSTACK(YES_Writing_ELA[#Data],YES_Writing_FLA[#Data]),MATCH($A483,_xlfn.VSTACK(YES_Writing_ELA[Student Number],YES_Writing_FLA[Student Number]),0),MATCH(VLOOKUP(G$7,'Writing Logic'!$J$7:$K$11,2,FALSE)&amp;" - Per "&amp;VLOOKUP($C$4,'Writing Logic'!$G$8:$H$14,2,FALSE),YES_Writing_ELA[#Headers],0)))),"")</f>
        <v/>
      </c>
      <c r="H483" s="223" t="str">
        <f>IFERROR(IF(IF(INDEX(_xlfn.VSTACK(YES_Writing_ELA[#Data],YES_Writing_FLA[#Data]),MATCH($A483,_xlfn.VSTACK(YES_Writing_ELA[Student Number],YES_Writing_FLA[Student Number]),0),MATCH(VLOOKUP(H$7,'Writing Logic'!$J$7:$K$11,2,FALSE)&amp;" - Per "&amp;VLOOKUP($C$4,'Writing Logic'!$G$8:$H$14,2,FALSE),YES_Writing_ELA[#Headers],0))=0,"",INDEX(_xlfn.VSTACK(YES_Writing_ELA[#Data],YES_Writing_FLA[#Data]),MATCH($A483,_xlfn.VSTACK(YES_Writing_ELA[Student Number],YES_Writing_FLA[Student Number]),0),MATCH(VLOOKUP(H$7,'Writing Logic'!$J$7:$K$11,2,FALSE)&amp;" - Per "&amp;VLOOKUP($C$4,'Writing Logic'!$G$8:$H$14,2,FALSE),YES_Writing_ELA[#Headers],0)))="INS",'Writing Logic'!$B$7,IF(INDEX(_xlfn.VSTACK(YES_Writing_ELA[#Data],YES_Writing_FLA[#Data]),MATCH($A483,_xlfn.VSTACK(YES_Writing_ELA[Student Number],YES_Writing_FLA[Student Number]),0),MATCH(VLOOKUP(H$7,'Writing Logic'!$J$7:$K$11,2,FALSE)&amp;" - Per "&amp;VLOOKUP($C$4,'Writing Logic'!$G$8:$H$14,2,FALSE),YES_Writing_ELA[#Headers],0))=0,"",INDEX(_xlfn.VSTACK(YES_Writing_ELA[#Data],YES_Writing_FLA[#Data]),MATCH($A483,_xlfn.VSTACK(YES_Writing_ELA[Student Number],YES_Writing_FLA[Student Number]),0),MATCH(VLOOKUP(H$7,'Writing Logic'!$J$7:$K$11,2,FALSE)&amp;" - Per "&amp;VLOOKUP($C$4,'Writing Logic'!$G$8:$H$14,2,FALSE),YES_Writing_ELA[#Headers],0)))),"")</f>
        <v/>
      </c>
      <c r="I483" s="224" t="str" cm="1">
        <f t="array" aca="1" ref="I483" ca="1">IFERROR(
IF($G$3="ELA",
IF(VLOOKUP($A483, YES_Reading_ELA[], COLUMN(INDIRECT("YES_Reading_ELA[Difference - Per "&amp;VLOOKUP($G$4, 'Reading Report Logic'!$A$2:$B$8, 2, FALSE)&amp;"]")), FALSE)="", "",
VLOOKUP($A483,YES_Reading_ELA[], COLUMN(INDIRECT("YES_Reading_ELA[Difference - Per "&amp;VLOOKUP($G$4,'Reading Report Logic'!$A$2:$B$8,2,FALSE)&amp;"]")), FALSE)),
IF($G$3="FLA",
IF(VLOOKUP($A483, YES_Reading_FLA[], COLUMN(INDIRECT("YES_Reading_FLA[Difference - Per "&amp;VLOOKUP($G$4,'Reading Report Logic'!$A$2:$B$8,2,FALSE)&amp;"]")),FALSE)="","",
VLOOKUP($A483,YES_Reading_FLA[],COLUMN(INDIRECT("YES_Reading_FLA[Difference - Per "&amp;VLOOKUP($G$4,'Reading Report Logic'!$A$2:$B$8,2,FALSE)&amp;"]")),FALSE)),
IF($G$3="Combined",
IFERROR(
IF(VLOOKUP($A483, YES_Reading_ELA[], COLUMN(INDIRECT("YES_Reading_ELA[Difference - Per "&amp;VLOOKUP($G$4, 'Reading Report Logic'!$A$2:$B$8,2,FALSE)&amp;"]")), FALSE)="", "",
VLOOKUP($A483,YES_Reading_ELA[],COLUMN(INDIRECT("YES_Reading_ELA[Difference - Per "&amp;VLOOKUP($G$4,'Reading Report Logic'!$A$2:$B$8,2,FALSE)&amp;"]")),FALSE)),
IF(VLOOKUP($A483, YES_Reading_FLA[], COLUMN(INDIRECT("YES_Reading_FLA[Difference - Per "&amp;VLOOKUP($G$4, 'Reading Report Logic'!$A$2:$B$8, 2, FALSE)&amp;"]")),FALSE)="", "", VLOOKUP($A483,YES_Reading_FLA[],COLUMN(INDIRECT("YES_Reading_FLA[Difference - Per "&amp;VLOOKUP($G$4, 'Reading Report Logic'!$A$2:$B$8, 2, FALSE)&amp;"]")),FALSE))),""))),"")</f>
        <v/>
      </c>
    </row>
    <row r="484" spans="1:9" x14ac:dyDescent="0.25">
      <c r="A484" s="137"/>
      <c r="B484" s="137" t="str">
        <f>IFERROR(INDEX(_xlfn.VSTACK(YES_Writing_ELA[#Data], YES_Writing_FLA[#Data]),MATCH($A484,_xlfn.VSTACK(YES_Writing_ELA[Student Number], YES_Writing_FLA[Student Number]),0),MATCH(B$7,YES_Writing_ELA[#Headers],0)),IFERROR(INDEX(_xlfn.VSTACK(YES_Reading_ELA[#Data], YES_Reading_FLA[#Data]),MATCH($A484,_xlfn.VSTACK(YES_Reading_ELA[Student Number], YES_Reading_FLA[Student Number]),0),MATCH(B$7,YES_Reading_ELA[#Headers],0)),""))</f>
        <v/>
      </c>
      <c r="C484" s="137" t="str">
        <f>IFERROR(INDEX(_xlfn.VSTACK(YES_Writing_ELA[#Data], YES_Writing_FLA[#Data]),MATCH($A484,_xlfn.VSTACK(YES_Writing_ELA[Student Number], YES_Writing_FLA[Student Number]),0),MATCH(C$7,YES_Writing_ELA[#Headers],0)),IFERROR(INDEX(_xlfn.VSTACK(YES_Reading_ELA[#Data], YES_Reading_FLA[#Data]),MATCH($A484,_xlfn.VSTACK(YES_Reading_ELA[Student Number], YES_Reading_FLA[Student Number]),0),MATCH(C$7,YES_Reading_ELA[#Headers],0)),""))</f>
        <v/>
      </c>
      <c r="D484" s="138" t="str">
        <f>IFERROR(IF(IF(INDEX(_xlfn.VSTACK(YES_Writing_ELA[#Data],YES_Writing_FLA[#Data]),MATCH($A484,_xlfn.VSTACK(YES_Writing_ELA[Student Number],YES_Writing_FLA[Student Number]),0),MATCH(VLOOKUP(D$7,'Writing Logic'!$J$7:$K$11,2,FALSE)&amp;" - Per "&amp;VLOOKUP($C$4,'Writing Logic'!$G$8:$H$14,2,FALSE),YES_Writing_ELA[#Headers],0))=0,"",INDEX(_xlfn.VSTACK(YES_Writing_ELA[#Data],YES_Writing_FLA[#Data]),MATCH($A484,_xlfn.VSTACK(YES_Writing_ELA[Student Number],YES_Writing_FLA[Student Number]),0),MATCH(VLOOKUP(D$7,'Writing Logic'!$J$7:$K$11,2,FALSE)&amp;" - Per "&amp;VLOOKUP($C$4,'Writing Logic'!$G$8:$H$14,2,FALSE),YES_Writing_ELA[#Headers],0)))="INS",'Writing Logic'!$B$7,IF(INDEX(_xlfn.VSTACK(YES_Writing_ELA[#Data],YES_Writing_FLA[#Data]),MATCH($A484,_xlfn.VSTACK(YES_Writing_ELA[Student Number],YES_Writing_FLA[Student Number]),0),MATCH(VLOOKUP(D$7,'Writing Logic'!$J$7:$K$11,2,FALSE)&amp;" - Per "&amp;VLOOKUP($C$4,'Writing Logic'!$G$8:$H$14,2,FALSE),YES_Writing_ELA[#Headers],0))=0,"",INDEX(_xlfn.VSTACK(YES_Writing_ELA[#Data],YES_Writing_FLA[#Data]),MATCH($A484,_xlfn.VSTACK(YES_Writing_ELA[Student Number],YES_Writing_FLA[Student Number]),0),MATCH(VLOOKUP(D$7,'Writing Logic'!$J$7:$K$11,2,FALSE)&amp;" - Per "&amp;VLOOKUP($C$4,'Writing Logic'!$G$8:$H$14,2,FALSE),YES_Writing_ELA[#Headers],0)))),"")</f>
        <v/>
      </c>
      <c r="E484" s="138" t="str">
        <f>IFERROR(IF(IF(INDEX(_xlfn.VSTACK(YES_Writing_ELA[#Data],YES_Writing_FLA[#Data]),MATCH($A484,_xlfn.VSTACK(YES_Writing_ELA[Student Number],YES_Writing_FLA[Student Number]),0),MATCH(VLOOKUP(E$7,'Writing Logic'!$J$7:$K$11,2,FALSE)&amp;" - Per "&amp;VLOOKUP($C$4,'Writing Logic'!$G$8:$H$14,2,FALSE),YES_Writing_ELA[#Headers],0))=0,"",INDEX(_xlfn.VSTACK(YES_Writing_ELA[#Data],YES_Writing_FLA[#Data]),MATCH($A484,_xlfn.VSTACK(YES_Writing_ELA[Student Number],YES_Writing_FLA[Student Number]),0),MATCH(VLOOKUP(E$7,'Writing Logic'!$J$7:$K$11,2,FALSE)&amp;" - Per "&amp;VLOOKUP($C$4,'Writing Logic'!$G$8:$H$14,2,FALSE),YES_Writing_ELA[#Headers],0)))="INS",'Writing Logic'!$B$7,IF(INDEX(_xlfn.VSTACK(YES_Writing_ELA[#Data],YES_Writing_FLA[#Data]),MATCH($A484,_xlfn.VSTACK(YES_Writing_ELA[Student Number],YES_Writing_FLA[Student Number]),0),MATCH(VLOOKUP(E$7,'Writing Logic'!$J$7:$K$11,2,FALSE)&amp;" - Per "&amp;VLOOKUP($C$4,'Writing Logic'!$G$8:$H$14,2,FALSE),YES_Writing_ELA[#Headers],0))=0,"",INDEX(_xlfn.VSTACK(YES_Writing_ELA[#Data],YES_Writing_FLA[#Data]),MATCH($A484,_xlfn.VSTACK(YES_Writing_ELA[Student Number],YES_Writing_FLA[Student Number]),0),MATCH(VLOOKUP(E$7,'Writing Logic'!$J$7:$K$11,2,FALSE)&amp;" - Per "&amp;VLOOKUP($C$4,'Writing Logic'!$G$8:$H$14,2,FALSE),YES_Writing_ELA[#Headers],0)))),"")</f>
        <v/>
      </c>
      <c r="F484" s="138" t="str">
        <f>IFERROR(IF(IF(INDEX(_xlfn.VSTACK(YES_Writing_ELA[#Data],YES_Writing_FLA[#Data]),MATCH($A484,_xlfn.VSTACK(YES_Writing_ELA[Student Number],YES_Writing_FLA[Student Number]),0),MATCH(VLOOKUP(F$7,'Writing Logic'!$J$7:$K$11,2,FALSE)&amp;" - Per "&amp;VLOOKUP($C$4,'Writing Logic'!$G$8:$H$14,2,FALSE),YES_Writing_ELA[#Headers],0))=0,"",INDEX(_xlfn.VSTACK(YES_Writing_ELA[#Data],YES_Writing_FLA[#Data]),MATCH($A484,_xlfn.VSTACK(YES_Writing_ELA[Student Number],YES_Writing_FLA[Student Number]),0),MATCH(VLOOKUP(F$7,'Writing Logic'!$J$7:$K$11,2,FALSE)&amp;" - Per "&amp;VLOOKUP($C$4,'Writing Logic'!$G$8:$H$14,2,FALSE),YES_Writing_ELA[#Headers],0)))="INS",'Writing Logic'!$B$7,IF(INDEX(_xlfn.VSTACK(YES_Writing_ELA[#Data],YES_Writing_FLA[#Data]),MATCH($A484,_xlfn.VSTACK(YES_Writing_ELA[Student Number],YES_Writing_FLA[Student Number]),0),MATCH(VLOOKUP(F$7,'Writing Logic'!$J$7:$K$11,2,FALSE)&amp;" - Per "&amp;VLOOKUP($C$4,'Writing Logic'!$G$8:$H$14,2,FALSE),YES_Writing_ELA[#Headers],0))=0,"",INDEX(_xlfn.VSTACK(YES_Writing_ELA[#Data],YES_Writing_FLA[#Data]),MATCH($A484,_xlfn.VSTACK(YES_Writing_ELA[Student Number],YES_Writing_FLA[Student Number]),0),MATCH(VLOOKUP(F$7,'Writing Logic'!$J$7:$K$11,2,FALSE)&amp;" - Per "&amp;VLOOKUP($C$4,'Writing Logic'!$G$8:$H$14,2,FALSE),YES_Writing_ELA[#Headers],0)))),"")</f>
        <v/>
      </c>
      <c r="G484" s="138" t="str">
        <f>IFERROR(IF(IF(INDEX(_xlfn.VSTACK(YES_Writing_ELA[#Data],YES_Writing_FLA[#Data]),MATCH($A484,_xlfn.VSTACK(YES_Writing_ELA[Student Number],YES_Writing_FLA[Student Number]),0),MATCH(VLOOKUP(G$7,'Writing Logic'!$J$7:$K$11,2,FALSE)&amp;" - Per "&amp;VLOOKUP($C$4,'Writing Logic'!$G$8:$H$14,2,FALSE),YES_Writing_ELA[#Headers],0))=0,"",INDEX(_xlfn.VSTACK(YES_Writing_ELA[#Data],YES_Writing_FLA[#Data]),MATCH($A484,_xlfn.VSTACK(YES_Writing_ELA[Student Number],YES_Writing_FLA[Student Number]),0),MATCH(VLOOKUP(G$7,'Writing Logic'!$J$7:$K$11,2,FALSE)&amp;" - Per "&amp;VLOOKUP($C$4,'Writing Logic'!$G$8:$H$14,2,FALSE),YES_Writing_ELA[#Headers],0)))="INS",'Writing Logic'!$B$7,IF(INDEX(_xlfn.VSTACK(YES_Writing_ELA[#Data],YES_Writing_FLA[#Data]),MATCH($A484,_xlfn.VSTACK(YES_Writing_ELA[Student Number],YES_Writing_FLA[Student Number]),0),MATCH(VLOOKUP(G$7,'Writing Logic'!$J$7:$K$11,2,FALSE)&amp;" - Per "&amp;VLOOKUP($C$4,'Writing Logic'!$G$8:$H$14,2,FALSE),YES_Writing_ELA[#Headers],0))=0,"",INDEX(_xlfn.VSTACK(YES_Writing_ELA[#Data],YES_Writing_FLA[#Data]),MATCH($A484,_xlfn.VSTACK(YES_Writing_ELA[Student Number],YES_Writing_FLA[Student Number]),0),MATCH(VLOOKUP(G$7,'Writing Logic'!$J$7:$K$11,2,FALSE)&amp;" - Per "&amp;VLOOKUP($C$4,'Writing Logic'!$G$8:$H$14,2,FALSE),YES_Writing_ELA[#Headers],0)))),"")</f>
        <v/>
      </c>
      <c r="H484" s="223" t="str">
        <f>IFERROR(IF(IF(INDEX(_xlfn.VSTACK(YES_Writing_ELA[#Data],YES_Writing_FLA[#Data]),MATCH($A484,_xlfn.VSTACK(YES_Writing_ELA[Student Number],YES_Writing_FLA[Student Number]),0),MATCH(VLOOKUP(H$7,'Writing Logic'!$J$7:$K$11,2,FALSE)&amp;" - Per "&amp;VLOOKUP($C$4,'Writing Logic'!$G$8:$H$14,2,FALSE),YES_Writing_ELA[#Headers],0))=0,"",INDEX(_xlfn.VSTACK(YES_Writing_ELA[#Data],YES_Writing_FLA[#Data]),MATCH($A484,_xlfn.VSTACK(YES_Writing_ELA[Student Number],YES_Writing_FLA[Student Number]),0),MATCH(VLOOKUP(H$7,'Writing Logic'!$J$7:$K$11,2,FALSE)&amp;" - Per "&amp;VLOOKUP($C$4,'Writing Logic'!$G$8:$H$14,2,FALSE),YES_Writing_ELA[#Headers],0)))="INS",'Writing Logic'!$B$7,IF(INDEX(_xlfn.VSTACK(YES_Writing_ELA[#Data],YES_Writing_FLA[#Data]),MATCH($A484,_xlfn.VSTACK(YES_Writing_ELA[Student Number],YES_Writing_FLA[Student Number]),0),MATCH(VLOOKUP(H$7,'Writing Logic'!$J$7:$K$11,2,FALSE)&amp;" - Per "&amp;VLOOKUP($C$4,'Writing Logic'!$G$8:$H$14,2,FALSE),YES_Writing_ELA[#Headers],0))=0,"",INDEX(_xlfn.VSTACK(YES_Writing_ELA[#Data],YES_Writing_FLA[#Data]),MATCH($A484,_xlfn.VSTACK(YES_Writing_ELA[Student Number],YES_Writing_FLA[Student Number]),0),MATCH(VLOOKUP(H$7,'Writing Logic'!$J$7:$K$11,2,FALSE)&amp;" - Per "&amp;VLOOKUP($C$4,'Writing Logic'!$G$8:$H$14,2,FALSE),YES_Writing_ELA[#Headers],0)))),"")</f>
        <v/>
      </c>
      <c r="I484" s="224" t="str" cm="1">
        <f t="array" aca="1" ref="I484" ca="1">IFERROR(
IF($G$3="ELA",
IF(VLOOKUP($A484, YES_Reading_ELA[], COLUMN(INDIRECT("YES_Reading_ELA[Difference - Per "&amp;VLOOKUP($G$4, 'Reading Report Logic'!$A$2:$B$8, 2, FALSE)&amp;"]")), FALSE)="", "",
VLOOKUP($A484,YES_Reading_ELA[], COLUMN(INDIRECT("YES_Reading_ELA[Difference - Per "&amp;VLOOKUP($G$4,'Reading Report Logic'!$A$2:$B$8,2,FALSE)&amp;"]")), FALSE)),
IF($G$3="FLA",
IF(VLOOKUP($A484, YES_Reading_FLA[], COLUMN(INDIRECT("YES_Reading_FLA[Difference - Per "&amp;VLOOKUP($G$4,'Reading Report Logic'!$A$2:$B$8,2,FALSE)&amp;"]")),FALSE)="","",
VLOOKUP($A484,YES_Reading_FLA[],COLUMN(INDIRECT("YES_Reading_FLA[Difference - Per "&amp;VLOOKUP($G$4,'Reading Report Logic'!$A$2:$B$8,2,FALSE)&amp;"]")),FALSE)),
IF($G$3="Combined",
IFERROR(
IF(VLOOKUP($A484, YES_Reading_ELA[], COLUMN(INDIRECT("YES_Reading_ELA[Difference - Per "&amp;VLOOKUP($G$4, 'Reading Report Logic'!$A$2:$B$8,2,FALSE)&amp;"]")), FALSE)="", "",
VLOOKUP($A484,YES_Reading_ELA[],COLUMN(INDIRECT("YES_Reading_ELA[Difference - Per "&amp;VLOOKUP($G$4,'Reading Report Logic'!$A$2:$B$8,2,FALSE)&amp;"]")),FALSE)),
IF(VLOOKUP($A484, YES_Reading_FLA[], COLUMN(INDIRECT("YES_Reading_FLA[Difference - Per "&amp;VLOOKUP($G$4, 'Reading Report Logic'!$A$2:$B$8, 2, FALSE)&amp;"]")),FALSE)="", "", VLOOKUP($A484,YES_Reading_FLA[],COLUMN(INDIRECT("YES_Reading_FLA[Difference - Per "&amp;VLOOKUP($G$4, 'Reading Report Logic'!$A$2:$B$8, 2, FALSE)&amp;"]")),FALSE))),""))),"")</f>
        <v/>
      </c>
    </row>
    <row r="485" spans="1:9" x14ac:dyDescent="0.25">
      <c r="A485" s="137"/>
      <c r="B485" s="137" t="str">
        <f>IFERROR(INDEX(_xlfn.VSTACK(YES_Writing_ELA[#Data], YES_Writing_FLA[#Data]),MATCH($A485,_xlfn.VSTACK(YES_Writing_ELA[Student Number], YES_Writing_FLA[Student Number]),0),MATCH(B$7,YES_Writing_ELA[#Headers],0)),IFERROR(INDEX(_xlfn.VSTACK(YES_Reading_ELA[#Data], YES_Reading_FLA[#Data]),MATCH($A485,_xlfn.VSTACK(YES_Reading_ELA[Student Number], YES_Reading_FLA[Student Number]),0),MATCH(B$7,YES_Reading_ELA[#Headers],0)),""))</f>
        <v/>
      </c>
      <c r="C485" s="137" t="str">
        <f>IFERROR(INDEX(_xlfn.VSTACK(YES_Writing_ELA[#Data], YES_Writing_FLA[#Data]),MATCH($A485,_xlfn.VSTACK(YES_Writing_ELA[Student Number], YES_Writing_FLA[Student Number]),0),MATCH(C$7,YES_Writing_ELA[#Headers],0)),IFERROR(INDEX(_xlfn.VSTACK(YES_Reading_ELA[#Data], YES_Reading_FLA[#Data]),MATCH($A485,_xlfn.VSTACK(YES_Reading_ELA[Student Number], YES_Reading_FLA[Student Number]),0),MATCH(C$7,YES_Reading_ELA[#Headers],0)),""))</f>
        <v/>
      </c>
      <c r="D485" s="138" t="str">
        <f>IFERROR(IF(IF(INDEX(_xlfn.VSTACK(YES_Writing_ELA[#Data],YES_Writing_FLA[#Data]),MATCH($A485,_xlfn.VSTACK(YES_Writing_ELA[Student Number],YES_Writing_FLA[Student Number]),0),MATCH(VLOOKUP(D$7,'Writing Logic'!$J$7:$K$11,2,FALSE)&amp;" - Per "&amp;VLOOKUP($C$4,'Writing Logic'!$G$8:$H$14,2,FALSE),YES_Writing_ELA[#Headers],0))=0,"",INDEX(_xlfn.VSTACK(YES_Writing_ELA[#Data],YES_Writing_FLA[#Data]),MATCH($A485,_xlfn.VSTACK(YES_Writing_ELA[Student Number],YES_Writing_FLA[Student Number]),0),MATCH(VLOOKUP(D$7,'Writing Logic'!$J$7:$K$11,2,FALSE)&amp;" - Per "&amp;VLOOKUP($C$4,'Writing Logic'!$G$8:$H$14,2,FALSE),YES_Writing_ELA[#Headers],0)))="INS",'Writing Logic'!$B$7,IF(INDEX(_xlfn.VSTACK(YES_Writing_ELA[#Data],YES_Writing_FLA[#Data]),MATCH($A485,_xlfn.VSTACK(YES_Writing_ELA[Student Number],YES_Writing_FLA[Student Number]),0),MATCH(VLOOKUP(D$7,'Writing Logic'!$J$7:$K$11,2,FALSE)&amp;" - Per "&amp;VLOOKUP($C$4,'Writing Logic'!$G$8:$H$14,2,FALSE),YES_Writing_ELA[#Headers],0))=0,"",INDEX(_xlfn.VSTACK(YES_Writing_ELA[#Data],YES_Writing_FLA[#Data]),MATCH($A485,_xlfn.VSTACK(YES_Writing_ELA[Student Number],YES_Writing_FLA[Student Number]),0),MATCH(VLOOKUP(D$7,'Writing Logic'!$J$7:$K$11,2,FALSE)&amp;" - Per "&amp;VLOOKUP($C$4,'Writing Logic'!$G$8:$H$14,2,FALSE),YES_Writing_ELA[#Headers],0)))),"")</f>
        <v/>
      </c>
      <c r="E485" s="138" t="str">
        <f>IFERROR(IF(IF(INDEX(_xlfn.VSTACK(YES_Writing_ELA[#Data],YES_Writing_FLA[#Data]),MATCH($A485,_xlfn.VSTACK(YES_Writing_ELA[Student Number],YES_Writing_FLA[Student Number]),0),MATCH(VLOOKUP(E$7,'Writing Logic'!$J$7:$K$11,2,FALSE)&amp;" - Per "&amp;VLOOKUP($C$4,'Writing Logic'!$G$8:$H$14,2,FALSE),YES_Writing_ELA[#Headers],0))=0,"",INDEX(_xlfn.VSTACK(YES_Writing_ELA[#Data],YES_Writing_FLA[#Data]),MATCH($A485,_xlfn.VSTACK(YES_Writing_ELA[Student Number],YES_Writing_FLA[Student Number]),0),MATCH(VLOOKUP(E$7,'Writing Logic'!$J$7:$K$11,2,FALSE)&amp;" - Per "&amp;VLOOKUP($C$4,'Writing Logic'!$G$8:$H$14,2,FALSE),YES_Writing_ELA[#Headers],0)))="INS",'Writing Logic'!$B$7,IF(INDEX(_xlfn.VSTACK(YES_Writing_ELA[#Data],YES_Writing_FLA[#Data]),MATCH($A485,_xlfn.VSTACK(YES_Writing_ELA[Student Number],YES_Writing_FLA[Student Number]),0),MATCH(VLOOKUP(E$7,'Writing Logic'!$J$7:$K$11,2,FALSE)&amp;" - Per "&amp;VLOOKUP($C$4,'Writing Logic'!$G$8:$H$14,2,FALSE),YES_Writing_ELA[#Headers],0))=0,"",INDEX(_xlfn.VSTACK(YES_Writing_ELA[#Data],YES_Writing_FLA[#Data]),MATCH($A485,_xlfn.VSTACK(YES_Writing_ELA[Student Number],YES_Writing_FLA[Student Number]),0),MATCH(VLOOKUP(E$7,'Writing Logic'!$J$7:$K$11,2,FALSE)&amp;" - Per "&amp;VLOOKUP($C$4,'Writing Logic'!$G$8:$H$14,2,FALSE),YES_Writing_ELA[#Headers],0)))),"")</f>
        <v/>
      </c>
      <c r="F485" s="138" t="str">
        <f>IFERROR(IF(IF(INDEX(_xlfn.VSTACK(YES_Writing_ELA[#Data],YES_Writing_FLA[#Data]),MATCH($A485,_xlfn.VSTACK(YES_Writing_ELA[Student Number],YES_Writing_FLA[Student Number]),0),MATCH(VLOOKUP(F$7,'Writing Logic'!$J$7:$K$11,2,FALSE)&amp;" - Per "&amp;VLOOKUP($C$4,'Writing Logic'!$G$8:$H$14,2,FALSE),YES_Writing_ELA[#Headers],0))=0,"",INDEX(_xlfn.VSTACK(YES_Writing_ELA[#Data],YES_Writing_FLA[#Data]),MATCH($A485,_xlfn.VSTACK(YES_Writing_ELA[Student Number],YES_Writing_FLA[Student Number]),0),MATCH(VLOOKUP(F$7,'Writing Logic'!$J$7:$K$11,2,FALSE)&amp;" - Per "&amp;VLOOKUP($C$4,'Writing Logic'!$G$8:$H$14,2,FALSE),YES_Writing_ELA[#Headers],0)))="INS",'Writing Logic'!$B$7,IF(INDEX(_xlfn.VSTACK(YES_Writing_ELA[#Data],YES_Writing_FLA[#Data]),MATCH($A485,_xlfn.VSTACK(YES_Writing_ELA[Student Number],YES_Writing_FLA[Student Number]),0),MATCH(VLOOKUP(F$7,'Writing Logic'!$J$7:$K$11,2,FALSE)&amp;" - Per "&amp;VLOOKUP($C$4,'Writing Logic'!$G$8:$H$14,2,FALSE),YES_Writing_ELA[#Headers],0))=0,"",INDEX(_xlfn.VSTACK(YES_Writing_ELA[#Data],YES_Writing_FLA[#Data]),MATCH($A485,_xlfn.VSTACK(YES_Writing_ELA[Student Number],YES_Writing_FLA[Student Number]),0),MATCH(VLOOKUP(F$7,'Writing Logic'!$J$7:$K$11,2,FALSE)&amp;" - Per "&amp;VLOOKUP($C$4,'Writing Logic'!$G$8:$H$14,2,FALSE),YES_Writing_ELA[#Headers],0)))),"")</f>
        <v/>
      </c>
      <c r="G485" s="138" t="str">
        <f>IFERROR(IF(IF(INDEX(_xlfn.VSTACK(YES_Writing_ELA[#Data],YES_Writing_FLA[#Data]),MATCH($A485,_xlfn.VSTACK(YES_Writing_ELA[Student Number],YES_Writing_FLA[Student Number]),0),MATCH(VLOOKUP(G$7,'Writing Logic'!$J$7:$K$11,2,FALSE)&amp;" - Per "&amp;VLOOKUP($C$4,'Writing Logic'!$G$8:$H$14,2,FALSE),YES_Writing_ELA[#Headers],0))=0,"",INDEX(_xlfn.VSTACK(YES_Writing_ELA[#Data],YES_Writing_FLA[#Data]),MATCH($A485,_xlfn.VSTACK(YES_Writing_ELA[Student Number],YES_Writing_FLA[Student Number]),0),MATCH(VLOOKUP(G$7,'Writing Logic'!$J$7:$K$11,2,FALSE)&amp;" - Per "&amp;VLOOKUP($C$4,'Writing Logic'!$G$8:$H$14,2,FALSE),YES_Writing_ELA[#Headers],0)))="INS",'Writing Logic'!$B$7,IF(INDEX(_xlfn.VSTACK(YES_Writing_ELA[#Data],YES_Writing_FLA[#Data]),MATCH($A485,_xlfn.VSTACK(YES_Writing_ELA[Student Number],YES_Writing_FLA[Student Number]),0),MATCH(VLOOKUP(G$7,'Writing Logic'!$J$7:$K$11,2,FALSE)&amp;" - Per "&amp;VLOOKUP($C$4,'Writing Logic'!$G$8:$H$14,2,FALSE),YES_Writing_ELA[#Headers],0))=0,"",INDEX(_xlfn.VSTACK(YES_Writing_ELA[#Data],YES_Writing_FLA[#Data]),MATCH($A485,_xlfn.VSTACK(YES_Writing_ELA[Student Number],YES_Writing_FLA[Student Number]),0),MATCH(VLOOKUP(G$7,'Writing Logic'!$J$7:$K$11,2,FALSE)&amp;" - Per "&amp;VLOOKUP($C$4,'Writing Logic'!$G$8:$H$14,2,FALSE),YES_Writing_ELA[#Headers],0)))),"")</f>
        <v/>
      </c>
      <c r="H485" s="223" t="str">
        <f>IFERROR(IF(IF(INDEX(_xlfn.VSTACK(YES_Writing_ELA[#Data],YES_Writing_FLA[#Data]),MATCH($A485,_xlfn.VSTACK(YES_Writing_ELA[Student Number],YES_Writing_FLA[Student Number]),0),MATCH(VLOOKUP(H$7,'Writing Logic'!$J$7:$K$11,2,FALSE)&amp;" - Per "&amp;VLOOKUP($C$4,'Writing Logic'!$G$8:$H$14,2,FALSE),YES_Writing_ELA[#Headers],0))=0,"",INDEX(_xlfn.VSTACK(YES_Writing_ELA[#Data],YES_Writing_FLA[#Data]),MATCH($A485,_xlfn.VSTACK(YES_Writing_ELA[Student Number],YES_Writing_FLA[Student Number]),0),MATCH(VLOOKUP(H$7,'Writing Logic'!$J$7:$K$11,2,FALSE)&amp;" - Per "&amp;VLOOKUP($C$4,'Writing Logic'!$G$8:$H$14,2,FALSE),YES_Writing_ELA[#Headers],0)))="INS",'Writing Logic'!$B$7,IF(INDEX(_xlfn.VSTACK(YES_Writing_ELA[#Data],YES_Writing_FLA[#Data]),MATCH($A485,_xlfn.VSTACK(YES_Writing_ELA[Student Number],YES_Writing_FLA[Student Number]),0),MATCH(VLOOKUP(H$7,'Writing Logic'!$J$7:$K$11,2,FALSE)&amp;" - Per "&amp;VLOOKUP($C$4,'Writing Logic'!$G$8:$H$14,2,FALSE),YES_Writing_ELA[#Headers],0))=0,"",INDEX(_xlfn.VSTACK(YES_Writing_ELA[#Data],YES_Writing_FLA[#Data]),MATCH($A485,_xlfn.VSTACK(YES_Writing_ELA[Student Number],YES_Writing_FLA[Student Number]),0),MATCH(VLOOKUP(H$7,'Writing Logic'!$J$7:$K$11,2,FALSE)&amp;" - Per "&amp;VLOOKUP($C$4,'Writing Logic'!$G$8:$H$14,2,FALSE),YES_Writing_ELA[#Headers],0)))),"")</f>
        <v/>
      </c>
      <c r="I485" s="224" t="str" cm="1">
        <f t="array" aca="1" ref="I485" ca="1">IFERROR(
IF($G$3="ELA",
IF(VLOOKUP($A485, YES_Reading_ELA[], COLUMN(INDIRECT("YES_Reading_ELA[Difference - Per "&amp;VLOOKUP($G$4, 'Reading Report Logic'!$A$2:$B$8, 2, FALSE)&amp;"]")), FALSE)="", "",
VLOOKUP($A485,YES_Reading_ELA[], COLUMN(INDIRECT("YES_Reading_ELA[Difference - Per "&amp;VLOOKUP($G$4,'Reading Report Logic'!$A$2:$B$8,2,FALSE)&amp;"]")), FALSE)),
IF($G$3="FLA",
IF(VLOOKUP($A485, YES_Reading_FLA[], COLUMN(INDIRECT("YES_Reading_FLA[Difference - Per "&amp;VLOOKUP($G$4,'Reading Report Logic'!$A$2:$B$8,2,FALSE)&amp;"]")),FALSE)="","",
VLOOKUP($A485,YES_Reading_FLA[],COLUMN(INDIRECT("YES_Reading_FLA[Difference - Per "&amp;VLOOKUP($G$4,'Reading Report Logic'!$A$2:$B$8,2,FALSE)&amp;"]")),FALSE)),
IF($G$3="Combined",
IFERROR(
IF(VLOOKUP($A485, YES_Reading_ELA[], COLUMN(INDIRECT("YES_Reading_ELA[Difference - Per "&amp;VLOOKUP($G$4, 'Reading Report Logic'!$A$2:$B$8,2,FALSE)&amp;"]")), FALSE)="", "",
VLOOKUP($A485,YES_Reading_ELA[],COLUMN(INDIRECT("YES_Reading_ELA[Difference - Per "&amp;VLOOKUP($G$4,'Reading Report Logic'!$A$2:$B$8,2,FALSE)&amp;"]")),FALSE)),
IF(VLOOKUP($A485, YES_Reading_FLA[], COLUMN(INDIRECT("YES_Reading_FLA[Difference - Per "&amp;VLOOKUP($G$4, 'Reading Report Logic'!$A$2:$B$8, 2, FALSE)&amp;"]")),FALSE)="", "", VLOOKUP($A485,YES_Reading_FLA[],COLUMN(INDIRECT("YES_Reading_FLA[Difference - Per "&amp;VLOOKUP($G$4, 'Reading Report Logic'!$A$2:$B$8, 2, FALSE)&amp;"]")),FALSE))),""))),"")</f>
        <v/>
      </c>
    </row>
    <row r="486" spans="1:9" x14ac:dyDescent="0.25">
      <c r="A486" s="137"/>
      <c r="B486" s="137" t="str">
        <f>IFERROR(INDEX(_xlfn.VSTACK(YES_Writing_ELA[#Data], YES_Writing_FLA[#Data]),MATCH($A486,_xlfn.VSTACK(YES_Writing_ELA[Student Number], YES_Writing_FLA[Student Number]),0),MATCH(B$7,YES_Writing_ELA[#Headers],0)),IFERROR(INDEX(_xlfn.VSTACK(YES_Reading_ELA[#Data], YES_Reading_FLA[#Data]),MATCH($A486,_xlfn.VSTACK(YES_Reading_ELA[Student Number], YES_Reading_FLA[Student Number]),0),MATCH(B$7,YES_Reading_ELA[#Headers],0)),""))</f>
        <v/>
      </c>
      <c r="C486" s="137" t="str">
        <f>IFERROR(INDEX(_xlfn.VSTACK(YES_Writing_ELA[#Data], YES_Writing_FLA[#Data]),MATCH($A486,_xlfn.VSTACK(YES_Writing_ELA[Student Number], YES_Writing_FLA[Student Number]),0),MATCH(C$7,YES_Writing_ELA[#Headers],0)),IFERROR(INDEX(_xlfn.VSTACK(YES_Reading_ELA[#Data], YES_Reading_FLA[#Data]),MATCH($A486,_xlfn.VSTACK(YES_Reading_ELA[Student Number], YES_Reading_FLA[Student Number]),0),MATCH(C$7,YES_Reading_ELA[#Headers],0)),""))</f>
        <v/>
      </c>
      <c r="D486" s="138" t="str">
        <f>IFERROR(IF(IF(INDEX(_xlfn.VSTACK(YES_Writing_ELA[#Data],YES_Writing_FLA[#Data]),MATCH($A486,_xlfn.VSTACK(YES_Writing_ELA[Student Number],YES_Writing_FLA[Student Number]),0),MATCH(VLOOKUP(D$7,'Writing Logic'!$J$7:$K$11,2,FALSE)&amp;" - Per "&amp;VLOOKUP($C$4,'Writing Logic'!$G$8:$H$14,2,FALSE),YES_Writing_ELA[#Headers],0))=0,"",INDEX(_xlfn.VSTACK(YES_Writing_ELA[#Data],YES_Writing_FLA[#Data]),MATCH($A486,_xlfn.VSTACK(YES_Writing_ELA[Student Number],YES_Writing_FLA[Student Number]),0),MATCH(VLOOKUP(D$7,'Writing Logic'!$J$7:$K$11,2,FALSE)&amp;" - Per "&amp;VLOOKUP($C$4,'Writing Logic'!$G$8:$H$14,2,FALSE),YES_Writing_ELA[#Headers],0)))="INS",'Writing Logic'!$B$7,IF(INDEX(_xlfn.VSTACK(YES_Writing_ELA[#Data],YES_Writing_FLA[#Data]),MATCH($A486,_xlfn.VSTACK(YES_Writing_ELA[Student Number],YES_Writing_FLA[Student Number]),0),MATCH(VLOOKUP(D$7,'Writing Logic'!$J$7:$K$11,2,FALSE)&amp;" - Per "&amp;VLOOKUP($C$4,'Writing Logic'!$G$8:$H$14,2,FALSE),YES_Writing_ELA[#Headers],0))=0,"",INDEX(_xlfn.VSTACK(YES_Writing_ELA[#Data],YES_Writing_FLA[#Data]),MATCH($A486,_xlfn.VSTACK(YES_Writing_ELA[Student Number],YES_Writing_FLA[Student Number]),0),MATCH(VLOOKUP(D$7,'Writing Logic'!$J$7:$K$11,2,FALSE)&amp;" - Per "&amp;VLOOKUP($C$4,'Writing Logic'!$G$8:$H$14,2,FALSE),YES_Writing_ELA[#Headers],0)))),"")</f>
        <v/>
      </c>
      <c r="E486" s="138" t="str">
        <f>IFERROR(IF(IF(INDEX(_xlfn.VSTACK(YES_Writing_ELA[#Data],YES_Writing_FLA[#Data]),MATCH($A486,_xlfn.VSTACK(YES_Writing_ELA[Student Number],YES_Writing_FLA[Student Number]),0),MATCH(VLOOKUP(E$7,'Writing Logic'!$J$7:$K$11,2,FALSE)&amp;" - Per "&amp;VLOOKUP($C$4,'Writing Logic'!$G$8:$H$14,2,FALSE),YES_Writing_ELA[#Headers],0))=0,"",INDEX(_xlfn.VSTACK(YES_Writing_ELA[#Data],YES_Writing_FLA[#Data]),MATCH($A486,_xlfn.VSTACK(YES_Writing_ELA[Student Number],YES_Writing_FLA[Student Number]),0),MATCH(VLOOKUP(E$7,'Writing Logic'!$J$7:$K$11,2,FALSE)&amp;" - Per "&amp;VLOOKUP($C$4,'Writing Logic'!$G$8:$H$14,2,FALSE),YES_Writing_ELA[#Headers],0)))="INS",'Writing Logic'!$B$7,IF(INDEX(_xlfn.VSTACK(YES_Writing_ELA[#Data],YES_Writing_FLA[#Data]),MATCH($A486,_xlfn.VSTACK(YES_Writing_ELA[Student Number],YES_Writing_FLA[Student Number]),0),MATCH(VLOOKUP(E$7,'Writing Logic'!$J$7:$K$11,2,FALSE)&amp;" - Per "&amp;VLOOKUP($C$4,'Writing Logic'!$G$8:$H$14,2,FALSE),YES_Writing_ELA[#Headers],0))=0,"",INDEX(_xlfn.VSTACK(YES_Writing_ELA[#Data],YES_Writing_FLA[#Data]),MATCH($A486,_xlfn.VSTACK(YES_Writing_ELA[Student Number],YES_Writing_FLA[Student Number]),0),MATCH(VLOOKUP(E$7,'Writing Logic'!$J$7:$K$11,2,FALSE)&amp;" - Per "&amp;VLOOKUP($C$4,'Writing Logic'!$G$8:$H$14,2,FALSE),YES_Writing_ELA[#Headers],0)))),"")</f>
        <v/>
      </c>
      <c r="F486" s="138" t="str">
        <f>IFERROR(IF(IF(INDEX(_xlfn.VSTACK(YES_Writing_ELA[#Data],YES_Writing_FLA[#Data]),MATCH($A486,_xlfn.VSTACK(YES_Writing_ELA[Student Number],YES_Writing_FLA[Student Number]),0),MATCH(VLOOKUP(F$7,'Writing Logic'!$J$7:$K$11,2,FALSE)&amp;" - Per "&amp;VLOOKUP($C$4,'Writing Logic'!$G$8:$H$14,2,FALSE),YES_Writing_ELA[#Headers],0))=0,"",INDEX(_xlfn.VSTACK(YES_Writing_ELA[#Data],YES_Writing_FLA[#Data]),MATCH($A486,_xlfn.VSTACK(YES_Writing_ELA[Student Number],YES_Writing_FLA[Student Number]),0),MATCH(VLOOKUP(F$7,'Writing Logic'!$J$7:$K$11,2,FALSE)&amp;" - Per "&amp;VLOOKUP($C$4,'Writing Logic'!$G$8:$H$14,2,FALSE),YES_Writing_ELA[#Headers],0)))="INS",'Writing Logic'!$B$7,IF(INDEX(_xlfn.VSTACK(YES_Writing_ELA[#Data],YES_Writing_FLA[#Data]),MATCH($A486,_xlfn.VSTACK(YES_Writing_ELA[Student Number],YES_Writing_FLA[Student Number]),0),MATCH(VLOOKUP(F$7,'Writing Logic'!$J$7:$K$11,2,FALSE)&amp;" - Per "&amp;VLOOKUP($C$4,'Writing Logic'!$G$8:$H$14,2,FALSE),YES_Writing_ELA[#Headers],0))=0,"",INDEX(_xlfn.VSTACK(YES_Writing_ELA[#Data],YES_Writing_FLA[#Data]),MATCH($A486,_xlfn.VSTACK(YES_Writing_ELA[Student Number],YES_Writing_FLA[Student Number]),0),MATCH(VLOOKUP(F$7,'Writing Logic'!$J$7:$K$11,2,FALSE)&amp;" - Per "&amp;VLOOKUP($C$4,'Writing Logic'!$G$8:$H$14,2,FALSE),YES_Writing_ELA[#Headers],0)))),"")</f>
        <v/>
      </c>
      <c r="G486" s="138" t="str">
        <f>IFERROR(IF(IF(INDEX(_xlfn.VSTACK(YES_Writing_ELA[#Data],YES_Writing_FLA[#Data]),MATCH($A486,_xlfn.VSTACK(YES_Writing_ELA[Student Number],YES_Writing_FLA[Student Number]),0),MATCH(VLOOKUP(G$7,'Writing Logic'!$J$7:$K$11,2,FALSE)&amp;" - Per "&amp;VLOOKUP($C$4,'Writing Logic'!$G$8:$H$14,2,FALSE),YES_Writing_ELA[#Headers],0))=0,"",INDEX(_xlfn.VSTACK(YES_Writing_ELA[#Data],YES_Writing_FLA[#Data]),MATCH($A486,_xlfn.VSTACK(YES_Writing_ELA[Student Number],YES_Writing_FLA[Student Number]),0),MATCH(VLOOKUP(G$7,'Writing Logic'!$J$7:$K$11,2,FALSE)&amp;" - Per "&amp;VLOOKUP($C$4,'Writing Logic'!$G$8:$H$14,2,FALSE),YES_Writing_ELA[#Headers],0)))="INS",'Writing Logic'!$B$7,IF(INDEX(_xlfn.VSTACK(YES_Writing_ELA[#Data],YES_Writing_FLA[#Data]),MATCH($A486,_xlfn.VSTACK(YES_Writing_ELA[Student Number],YES_Writing_FLA[Student Number]),0),MATCH(VLOOKUP(G$7,'Writing Logic'!$J$7:$K$11,2,FALSE)&amp;" - Per "&amp;VLOOKUP($C$4,'Writing Logic'!$G$8:$H$14,2,FALSE),YES_Writing_ELA[#Headers],0))=0,"",INDEX(_xlfn.VSTACK(YES_Writing_ELA[#Data],YES_Writing_FLA[#Data]),MATCH($A486,_xlfn.VSTACK(YES_Writing_ELA[Student Number],YES_Writing_FLA[Student Number]),0),MATCH(VLOOKUP(G$7,'Writing Logic'!$J$7:$K$11,2,FALSE)&amp;" - Per "&amp;VLOOKUP($C$4,'Writing Logic'!$G$8:$H$14,2,FALSE),YES_Writing_ELA[#Headers],0)))),"")</f>
        <v/>
      </c>
      <c r="H486" s="223" t="str">
        <f>IFERROR(IF(IF(INDEX(_xlfn.VSTACK(YES_Writing_ELA[#Data],YES_Writing_FLA[#Data]),MATCH($A486,_xlfn.VSTACK(YES_Writing_ELA[Student Number],YES_Writing_FLA[Student Number]),0),MATCH(VLOOKUP(H$7,'Writing Logic'!$J$7:$K$11,2,FALSE)&amp;" - Per "&amp;VLOOKUP($C$4,'Writing Logic'!$G$8:$H$14,2,FALSE),YES_Writing_ELA[#Headers],0))=0,"",INDEX(_xlfn.VSTACK(YES_Writing_ELA[#Data],YES_Writing_FLA[#Data]),MATCH($A486,_xlfn.VSTACK(YES_Writing_ELA[Student Number],YES_Writing_FLA[Student Number]),0),MATCH(VLOOKUP(H$7,'Writing Logic'!$J$7:$K$11,2,FALSE)&amp;" - Per "&amp;VLOOKUP($C$4,'Writing Logic'!$G$8:$H$14,2,FALSE),YES_Writing_ELA[#Headers],0)))="INS",'Writing Logic'!$B$7,IF(INDEX(_xlfn.VSTACK(YES_Writing_ELA[#Data],YES_Writing_FLA[#Data]),MATCH($A486,_xlfn.VSTACK(YES_Writing_ELA[Student Number],YES_Writing_FLA[Student Number]),0),MATCH(VLOOKUP(H$7,'Writing Logic'!$J$7:$K$11,2,FALSE)&amp;" - Per "&amp;VLOOKUP($C$4,'Writing Logic'!$G$8:$H$14,2,FALSE),YES_Writing_ELA[#Headers],0))=0,"",INDEX(_xlfn.VSTACK(YES_Writing_ELA[#Data],YES_Writing_FLA[#Data]),MATCH($A486,_xlfn.VSTACK(YES_Writing_ELA[Student Number],YES_Writing_FLA[Student Number]),0),MATCH(VLOOKUP(H$7,'Writing Logic'!$J$7:$K$11,2,FALSE)&amp;" - Per "&amp;VLOOKUP($C$4,'Writing Logic'!$G$8:$H$14,2,FALSE),YES_Writing_ELA[#Headers],0)))),"")</f>
        <v/>
      </c>
      <c r="I486" s="224" t="str" cm="1">
        <f t="array" aca="1" ref="I486" ca="1">IFERROR(
IF($G$3="ELA",
IF(VLOOKUP($A486, YES_Reading_ELA[], COLUMN(INDIRECT("YES_Reading_ELA[Difference - Per "&amp;VLOOKUP($G$4, 'Reading Report Logic'!$A$2:$B$8, 2, FALSE)&amp;"]")), FALSE)="", "",
VLOOKUP($A486,YES_Reading_ELA[], COLUMN(INDIRECT("YES_Reading_ELA[Difference - Per "&amp;VLOOKUP($G$4,'Reading Report Logic'!$A$2:$B$8,2,FALSE)&amp;"]")), FALSE)),
IF($G$3="FLA",
IF(VLOOKUP($A486, YES_Reading_FLA[], COLUMN(INDIRECT("YES_Reading_FLA[Difference - Per "&amp;VLOOKUP($G$4,'Reading Report Logic'!$A$2:$B$8,2,FALSE)&amp;"]")),FALSE)="","",
VLOOKUP($A486,YES_Reading_FLA[],COLUMN(INDIRECT("YES_Reading_FLA[Difference - Per "&amp;VLOOKUP($G$4,'Reading Report Logic'!$A$2:$B$8,2,FALSE)&amp;"]")),FALSE)),
IF($G$3="Combined",
IFERROR(
IF(VLOOKUP($A486, YES_Reading_ELA[], COLUMN(INDIRECT("YES_Reading_ELA[Difference - Per "&amp;VLOOKUP($G$4, 'Reading Report Logic'!$A$2:$B$8,2,FALSE)&amp;"]")), FALSE)="", "",
VLOOKUP($A486,YES_Reading_ELA[],COLUMN(INDIRECT("YES_Reading_ELA[Difference - Per "&amp;VLOOKUP($G$4,'Reading Report Logic'!$A$2:$B$8,2,FALSE)&amp;"]")),FALSE)),
IF(VLOOKUP($A486, YES_Reading_FLA[], COLUMN(INDIRECT("YES_Reading_FLA[Difference - Per "&amp;VLOOKUP($G$4, 'Reading Report Logic'!$A$2:$B$8, 2, FALSE)&amp;"]")),FALSE)="", "", VLOOKUP($A486,YES_Reading_FLA[],COLUMN(INDIRECT("YES_Reading_FLA[Difference - Per "&amp;VLOOKUP($G$4, 'Reading Report Logic'!$A$2:$B$8, 2, FALSE)&amp;"]")),FALSE))),""))),"")</f>
        <v/>
      </c>
    </row>
    <row r="487" spans="1:9" x14ac:dyDescent="0.25">
      <c r="A487" s="137"/>
      <c r="B487" s="137" t="str">
        <f>IFERROR(INDEX(_xlfn.VSTACK(YES_Writing_ELA[#Data], YES_Writing_FLA[#Data]),MATCH($A487,_xlfn.VSTACK(YES_Writing_ELA[Student Number], YES_Writing_FLA[Student Number]),0),MATCH(B$7,YES_Writing_ELA[#Headers],0)),IFERROR(INDEX(_xlfn.VSTACK(YES_Reading_ELA[#Data], YES_Reading_FLA[#Data]),MATCH($A487,_xlfn.VSTACK(YES_Reading_ELA[Student Number], YES_Reading_FLA[Student Number]),0),MATCH(B$7,YES_Reading_ELA[#Headers],0)),""))</f>
        <v/>
      </c>
      <c r="C487" s="137" t="str">
        <f>IFERROR(INDEX(_xlfn.VSTACK(YES_Writing_ELA[#Data], YES_Writing_FLA[#Data]),MATCH($A487,_xlfn.VSTACK(YES_Writing_ELA[Student Number], YES_Writing_FLA[Student Number]),0),MATCH(C$7,YES_Writing_ELA[#Headers],0)),IFERROR(INDEX(_xlfn.VSTACK(YES_Reading_ELA[#Data], YES_Reading_FLA[#Data]),MATCH($A487,_xlfn.VSTACK(YES_Reading_ELA[Student Number], YES_Reading_FLA[Student Number]),0),MATCH(C$7,YES_Reading_ELA[#Headers],0)),""))</f>
        <v/>
      </c>
      <c r="D487" s="138" t="str">
        <f>IFERROR(IF(IF(INDEX(_xlfn.VSTACK(YES_Writing_ELA[#Data],YES_Writing_FLA[#Data]),MATCH($A487,_xlfn.VSTACK(YES_Writing_ELA[Student Number],YES_Writing_FLA[Student Number]),0),MATCH(VLOOKUP(D$7,'Writing Logic'!$J$7:$K$11,2,FALSE)&amp;" - Per "&amp;VLOOKUP($C$4,'Writing Logic'!$G$8:$H$14,2,FALSE),YES_Writing_ELA[#Headers],0))=0,"",INDEX(_xlfn.VSTACK(YES_Writing_ELA[#Data],YES_Writing_FLA[#Data]),MATCH($A487,_xlfn.VSTACK(YES_Writing_ELA[Student Number],YES_Writing_FLA[Student Number]),0),MATCH(VLOOKUP(D$7,'Writing Logic'!$J$7:$K$11,2,FALSE)&amp;" - Per "&amp;VLOOKUP($C$4,'Writing Logic'!$G$8:$H$14,2,FALSE),YES_Writing_ELA[#Headers],0)))="INS",'Writing Logic'!$B$7,IF(INDEX(_xlfn.VSTACK(YES_Writing_ELA[#Data],YES_Writing_FLA[#Data]),MATCH($A487,_xlfn.VSTACK(YES_Writing_ELA[Student Number],YES_Writing_FLA[Student Number]),0),MATCH(VLOOKUP(D$7,'Writing Logic'!$J$7:$K$11,2,FALSE)&amp;" - Per "&amp;VLOOKUP($C$4,'Writing Logic'!$G$8:$H$14,2,FALSE),YES_Writing_ELA[#Headers],0))=0,"",INDEX(_xlfn.VSTACK(YES_Writing_ELA[#Data],YES_Writing_FLA[#Data]),MATCH($A487,_xlfn.VSTACK(YES_Writing_ELA[Student Number],YES_Writing_FLA[Student Number]),0),MATCH(VLOOKUP(D$7,'Writing Logic'!$J$7:$K$11,2,FALSE)&amp;" - Per "&amp;VLOOKUP($C$4,'Writing Logic'!$G$8:$H$14,2,FALSE),YES_Writing_ELA[#Headers],0)))),"")</f>
        <v/>
      </c>
      <c r="E487" s="138" t="str">
        <f>IFERROR(IF(IF(INDEX(_xlfn.VSTACK(YES_Writing_ELA[#Data],YES_Writing_FLA[#Data]),MATCH($A487,_xlfn.VSTACK(YES_Writing_ELA[Student Number],YES_Writing_FLA[Student Number]),0),MATCH(VLOOKUP(E$7,'Writing Logic'!$J$7:$K$11,2,FALSE)&amp;" - Per "&amp;VLOOKUP($C$4,'Writing Logic'!$G$8:$H$14,2,FALSE),YES_Writing_ELA[#Headers],0))=0,"",INDEX(_xlfn.VSTACK(YES_Writing_ELA[#Data],YES_Writing_FLA[#Data]),MATCH($A487,_xlfn.VSTACK(YES_Writing_ELA[Student Number],YES_Writing_FLA[Student Number]),0),MATCH(VLOOKUP(E$7,'Writing Logic'!$J$7:$K$11,2,FALSE)&amp;" - Per "&amp;VLOOKUP($C$4,'Writing Logic'!$G$8:$H$14,2,FALSE),YES_Writing_ELA[#Headers],0)))="INS",'Writing Logic'!$B$7,IF(INDEX(_xlfn.VSTACK(YES_Writing_ELA[#Data],YES_Writing_FLA[#Data]),MATCH($A487,_xlfn.VSTACK(YES_Writing_ELA[Student Number],YES_Writing_FLA[Student Number]),0),MATCH(VLOOKUP(E$7,'Writing Logic'!$J$7:$K$11,2,FALSE)&amp;" - Per "&amp;VLOOKUP($C$4,'Writing Logic'!$G$8:$H$14,2,FALSE),YES_Writing_ELA[#Headers],0))=0,"",INDEX(_xlfn.VSTACK(YES_Writing_ELA[#Data],YES_Writing_FLA[#Data]),MATCH($A487,_xlfn.VSTACK(YES_Writing_ELA[Student Number],YES_Writing_FLA[Student Number]),0),MATCH(VLOOKUP(E$7,'Writing Logic'!$J$7:$K$11,2,FALSE)&amp;" - Per "&amp;VLOOKUP($C$4,'Writing Logic'!$G$8:$H$14,2,FALSE),YES_Writing_ELA[#Headers],0)))),"")</f>
        <v/>
      </c>
      <c r="F487" s="138" t="str">
        <f>IFERROR(IF(IF(INDEX(_xlfn.VSTACK(YES_Writing_ELA[#Data],YES_Writing_FLA[#Data]),MATCH($A487,_xlfn.VSTACK(YES_Writing_ELA[Student Number],YES_Writing_FLA[Student Number]),0),MATCH(VLOOKUP(F$7,'Writing Logic'!$J$7:$K$11,2,FALSE)&amp;" - Per "&amp;VLOOKUP($C$4,'Writing Logic'!$G$8:$H$14,2,FALSE),YES_Writing_ELA[#Headers],0))=0,"",INDEX(_xlfn.VSTACK(YES_Writing_ELA[#Data],YES_Writing_FLA[#Data]),MATCH($A487,_xlfn.VSTACK(YES_Writing_ELA[Student Number],YES_Writing_FLA[Student Number]),0),MATCH(VLOOKUP(F$7,'Writing Logic'!$J$7:$K$11,2,FALSE)&amp;" - Per "&amp;VLOOKUP($C$4,'Writing Logic'!$G$8:$H$14,2,FALSE),YES_Writing_ELA[#Headers],0)))="INS",'Writing Logic'!$B$7,IF(INDEX(_xlfn.VSTACK(YES_Writing_ELA[#Data],YES_Writing_FLA[#Data]),MATCH($A487,_xlfn.VSTACK(YES_Writing_ELA[Student Number],YES_Writing_FLA[Student Number]),0),MATCH(VLOOKUP(F$7,'Writing Logic'!$J$7:$K$11,2,FALSE)&amp;" - Per "&amp;VLOOKUP($C$4,'Writing Logic'!$G$8:$H$14,2,FALSE),YES_Writing_ELA[#Headers],0))=0,"",INDEX(_xlfn.VSTACK(YES_Writing_ELA[#Data],YES_Writing_FLA[#Data]),MATCH($A487,_xlfn.VSTACK(YES_Writing_ELA[Student Number],YES_Writing_FLA[Student Number]),0),MATCH(VLOOKUP(F$7,'Writing Logic'!$J$7:$K$11,2,FALSE)&amp;" - Per "&amp;VLOOKUP($C$4,'Writing Logic'!$G$8:$H$14,2,FALSE),YES_Writing_ELA[#Headers],0)))),"")</f>
        <v/>
      </c>
      <c r="G487" s="138" t="str">
        <f>IFERROR(IF(IF(INDEX(_xlfn.VSTACK(YES_Writing_ELA[#Data],YES_Writing_FLA[#Data]),MATCH($A487,_xlfn.VSTACK(YES_Writing_ELA[Student Number],YES_Writing_FLA[Student Number]),0),MATCH(VLOOKUP(G$7,'Writing Logic'!$J$7:$K$11,2,FALSE)&amp;" - Per "&amp;VLOOKUP($C$4,'Writing Logic'!$G$8:$H$14,2,FALSE),YES_Writing_ELA[#Headers],0))=0,"",INDEX(_xlfn.VSTACK(YES_Writing_ELA[#Data],YES_Writing_FLA[#Data]),MATCH($A487,_xlfn.VSTACK(YES_Writing_ELA[Student Number],YES_Writing_FLA[Student Number]),0),MATCH(VLOOKUP(G$7,'Writing Logic'!$J$7:$K$11,2,FALSE)&amp;" - Per "&amp;VLOOKUP($C$4,'Writing Logic'!$G$8:$H$14,2,FALSE),YES_Writing_ELA[#Headers],0)))="INS",'Writing Logic'!$B$7,IF(INDEX(_xlfn.VSTACK(YES_Writing_ELA[#Data],YES_Writing_FLA[#Data]),MATCH($A487,_xlfn.VSTACK(YES_Writing_ELA[Student Number],YES_Writing_FLA[Student Number]),0),MATCH(VLOOKUP(G$7,'Writing Logic'!$J$7:$K$11,2,FALSE)&amp;" - Per "&amp;VLOOKUP($C$4,'Writing Logic'!$G$8:$H$14,2,FALSE),YES_Writing_ELA[#Headers],0))=0,"",INDEX(_xlfn.VSTACK(YES_Writing_ELA[#Data],YES_Writing_FLA[#Data]),MATCH($A487,_xlfn.VSTACK(YES_Writing_ELA[Student Number],YES_Writing_FLA[Student Number]),0),MATCH(VLOOKUP(G$7,'Writing Logic'!$J$7:$K$11,2,FALSE)&amp;" - Per "&amp;VLOOKUP($C$4,'Writing Logic'!$G$8:$H$14,2,FALSE),YES_Writing_ELA[#Headers],0)))),"")</f>
        <v/>
      </c>
      <c r="H487" s="223" t="str">
        <f>IFERROR(IF(IF(INDEX(_xlfn.VSTACK(YES_Writing_ELA[#Data],YES_Writing_FLA[#Data]),MATCH($A487,_xlfn.VSTACK(YES_Writing_ELA[Student Number],YES_Writing_FLA[Student Number]),0),MATCH(VLOOKUP(H$7,'Writing Logic'!$J$7:$K$11,2,FALSE)&amp;" - Per "&amp;VLOOKUP($C$4,'Writing Logic'!$G$8:$H$14,2,FALSE),YES_Writing_ELA[#Headers],0))=0,"",INDEX(_xlfn.VSTACK(YES_Writing_ELA[#Data],YES_Writing_FLA[#Data]),MATCH($A487,_xlfn.VSTACK(YES_Writing_ELA[Student Number],YES_Writing_FLA[Student Number]),0),MATCH(VLOOKUP(H$7,'Writing Logic'!$J$7:$K$11,2,FALSE)&amp;" - Per "&amp;VLOOKUP($C$4,'Writing Logic'!$G$8:$H$14,2,FALSE),YES_Writing_ELA[#Headers],0)))="INS",'Writing Logic'!$B$7,IF(INDEX(_xlfn.VSTACK(YES_Writing_ELA[#Data],YES_Writing_FLA[#Data]),MATCH($A487,_xlfn.VSTACK(YES_Writing_ELA[Student Number],YES_Writing_FLA[Student Number]),0),MATCH(VLOOKUP(H$7,'Writing Logic'!$J$7:$K$11,2,FALSE)&amp;" - Per "&amp;VLOOKUP($C$4,'Writing Logic'!$G$8:$H$14,2,FALSE),YES_Writing_ELA[#Headers],0))=0,"",INDEX(_xlfn.VSTACK(YES_Writing_ELA[#Data],YES_Writing_FLA[#Data]),MATCH($A487,_xlfn.VSTACK(YES_Writing_ELA[Student Number],YES_Writing_FLA[Student Number]),0),MATCH(VLOOKUP(H$7,'Writing Logic'!$J$7:$K$11,2,FALSE)&amp;" - Per "&amp;VLOOKUP($C$4,'Writing Logic'!$G$8:$H$14,2,FALSE),YES_Writing_ELA[#Headers],0)))),"")</f>
        <v/>
      </c>
      <c r="I487" s="224" t="str" cm="1">
        <f t="array" aca="1" ref="I487" ca="1">IFERROR(
IF($G$3="ELA",
IF(VLOOKUP($A487, YES_Reading_ELA[], COLUMN(INDIRECT("YES_Reading_ELA[Difference - Per "&amp;VLOOKUP($G$4, 'Reading Report Logic'!$A$2:$B$8, 2, FALSE)&amp;"]")), FALSE)="", "",
VLOOKUP($A487,YES_Reading_ELA[], COLUMN(INDIRECT("YES_Reading_ELA[Difference - Per "&amp;VLOOKUP($G$4,'Reading Report Logic'!$A$2:$B$8,2,FALSE)&amp;"]")), FALSE)),
IF($G$3="FLA",
IF(VLOOKUP($A487, YES_Reading_FLA[], COLUMN(INDIRECT("YES_Reading_FLA[Difference - Per "&amp;VLOOKUP($G$4,'Reading Report Logic'!$A$2:$B$8,2,FALSE)&amp;"]")),FALSE)="","",
VLOOKUP($A487,YES_Reading_FLA[],COLUMN(INDIRECT("YES_Reading_FLA[Difference - Per "&amp;VLOOKUP($G$4,'Reading Report Logic'!$A$2:$B$8,2,FALSE)&amp;"]")),FALSE)),
IF($G$3="Combined",
IFERROR(
IF(VLOOKUP($A487, YES_Reading_ELA[], COLUMN(INDIRECT("YES_Reading_ELA[Difference - Per "&amp;VLOOKUP($G$4, 'Reading Report Logic'!$A$2:$B$8,2,FALSE)&amp;"]")), FALSE)="", "",
VLOOKUP($A487,YES_Reading_ELA[],COLUMN(INDIRECT("YES_Reading_ELA[Difference - Per "&amp;VLOOKUP($G$4,'Reading Report Logic'!$A$2:$B$8,2,FALSE)&amp;"]")),FALSE)),
IF(VLOOKUP($A487, YES_Reading_FLA[], COLUMN(INDIRECT("YES_Reading_FLA[Difference - Per "&amp;VLOOKUP($G$4, 'Reading Report Logic'!$A$2:$B$8, 2, FALSE)&amp;"]")),FALSE)="", "", VLOOKUP($A487,YES_Reading_FLA[],COLUMN(INDIRECT("YES_Reading_FLA[Difference - Per "&amp;VLOOKUP($G$4, 'Reading Report Logic'!$A$2:$B$8, 2, FALSE)&amp;"]")),FALSE))),""))),"")</f>
        <v/>
      </c>
    </row>
    <row r="488" spans="1:9" x14ac:dyDescent="0.25">
      <c r="A488" s="137"/>
      <c r="B488" s="137" t="str">
        <f>IFERROR(INDEX(_xlfn.VSTACK(YES_Writing_ELA[#Data], YES_Writing_FLA[#Data]),MATCH($A488,_xlfn.VSTACK(YES_Writing_ELA[Student Number], YES_Writing_FLA[Student Number]),0),MATCH(B$7,YES_Writing_ELA[#Headers],0)),IFERROR(INDEX(_xlfn.VSTACK(YES_Reading_ELA[#Data], YES_Reading_FLA[#Data]),MATCH($A488,_xlfn.VSTACK(YES_Reading_ELA[Student Number], YES_Reading_FLA[Student Number]),0),MATCH(B$7,YES_Reading_ELA[#Headers],0)),""))</f>
        <v/>
      </c>
      <c r="C488" s="137" t="str">
        <f>IFERROR(INDEX(_xlfn.VSTACK(YES_Writing_ELA[#Data], YES_Writing_FLA[#Data]),MATCH($A488,_xlfn.VSTACK(YES_Writing_ELA[Student Number], YES_Writing_FLA[Student Number]),0),MATCH(C$7,YES_Writing_ELA[#Headers],0)),IFERROR(INDEX(_xlfn.VSTACK(YES_Reading_ELA[#Data], YES_Reading_FLA[#Data]),MATCH($A488,_xlfn.VSTACK(YES_Reading_ELA[Student Number], YES_Reading_FLA[Student Number]),0),MATCH(C$7,YES_Reading_ELA[#Headers],0)),""))</f>
        <v/>
      </c>
      <c r="D488" s="138" t="str">
        <f>IFERROR(IF(IF(INDEX(_xlfn.VSTACK(YES_Writing_ELA[#Data],YES_Writing_FLA[#Data]),MATCH($A488,_xlfn.VSTACK(YES_Writing_ELA[Student Number],YES_Writing_FLA[Student Number]),0),MATCH(VLOOKUP(D$7,'Writing Logic'!$J$7:$K$11,2,FALSE)&amp;" - Per "&amp;VLOOKUP($C$4,'Writing Logic'!$G$8:$H$14,2,FALSE),YES_Writing_ELA[#Headers],0))=0,"",INDEX(_xlfn.VSTACK(YES_Writing_ELA[#Data],YES_Writing_FLA[#Data]),MATCH($A488,_xlfn.VSTACK(YES_Writing_ELA[Student Number],YES_Writing_FLA[Student Number]),0),MATCH(VLOOKUP(D$7,'Writing Logic'!$J$7:$K$11,2,FALSE)&amp;" - Per "&amp;VLOOKUP($C$4,'Writing Logic'!$G$8:$H$14,2,FALSE),YES_Writing_ELA[#Headers],0)))="INS",'Writing Logic'!$B$7,IF(INDEX(_xlfn.VSTACK(YES_Writing_ELA[#Data],YES_Writing_FLA[#Data]),MATCH($A488,_xlfn.VSTACK(YES_Writing_ELA[Student Number],YES_Writing_FLA[Student Number]),0),MATCH(VLOOKUP(D$7,'Writing Logic'!$J$7:$K$11,2,FALSE)&amp;" - Per "&amp;VLOOKUP($C$4,'Writing Logic'!$G$8:$H$14,2,FALSE),YES_Writing_ELA[#Headers],0))=0,"",INDEX(_xlfn.VSTACK(YES_Writing_ELA[#Data],YES_Writing_FLA[#Data]),MATCH($A488,_xlfn.VSTACK(YES_Writing_ELA[Student Number],YES_Writing_FLA[Student Number]),0),MATCH(VLOOKUP(D$7,'Writing Logic'!$J$7:$K$11,2,FALSE)&amp;" - Per "&amp;VLOOKUP($C$4,'Writing Logic'!$G$8:$H$14,2,FALSE),YES_Writing_ELA[#Headers],0)))),"")</f>
        <v/>
      </c>
      <c r="E488" s="138" t="str">
        <f>IFERROR(IF(IF(INDEX(_xlfn.VSTACK(YES_Writing_ELA[#Data],YES_Writing_FLA[#Data]),MATCH($A488,_xlfn.VSTACK(YES_Writing_ELA[Student Number],YES_Writing_FLA[Student Number]),0),MATCH(VLOOKUP(E$7,'Writing Logic'!$J$7:$K$11,2,FALSE)&amp;" - Per "&amp;VLOOKUP($C$4,'Writing Logic'!$G$8:$H$14,2,FALSE),YES_Writing_ELA[#Headers],0))=0,"",INDEX(_xlfn.VSTACK(YES_Writing_ELA[#Data],YES_Writing_FLA[#Data]),MATCH($A488,_xlfn.VSTACK(YES_Writing_ELA[Student Number],YES_Writing_FLA[Student Number]),0),MATCH(VLOOKUP(E$7,'Writing Logic'!$J$7:$K$11,2,FALSE)&amp;" - Per "&amp;VLOOKUP($C$4,'Writing Logic'!$G$8:$H$14,2,FALSE),YES_Writing_ELA[#Headers],0)))="INS",'Writing Logic'!$B$7,IF(INDEX(_xlfn.VSTACK(YES_Writing_ELA[#Data],YES_Writing_FLA[#Data]),MATCH($A488,_xlfn.VSTACK(YES_Writing_ELA[Student Number],YES_Writing_FLA[Student Number]),0),MATCH(VLOOKUP(E$7,'Writing Logic'!$J$7:$K$11,2,FALSE)&amp;" - Per "&amp;VLOOKUP($C$4,'Writing Logic'!$G$8:$H$14,2,FALSE),YES_Writing_ELA[#Headers],0))=0,"",INDEX(_xlfn.VSTACK(YES_Writing_ELA[#Data],YES_Writing_FLA[#Data]),MATCH($A488,_xlfn.VSTACK(YES_Writing_ELA[Student Number],YES_Writing_FLA[Student Number]),0),MATCH(VLOOKUP(E$7,'Writing Logic'!$J$7:$K$11,2,FALSE)&amp;" - Per "&amp;VLOOKUP($C$4,'Writing Logic'!$G$8:$H$14,2,FALSE),YES_Writing_ELA[#Headers],0)))),"")</f>
        <v/>
      </c>
      <c r="F488" s="138" t="str">
        <f>IFERROR(IF(IF(INDEX(_xlfn.VSTACK(YES_Writing_ELA[#Data],YES_Writing_FLA[#Data]),MATCH($A488,_xlfn.VSTACK(YES_Writing_ELA[Student Number],YES_Writing_FLA[Student Number]),0),MATCH(VLOOKUP(F$7,'Writing Logic'!$J$7:$K$11,2,FALSE)&amp;" - Per "&amp;VLOOKUP($C$4,'Writing Logic'!$G$8:$H$14,2,FALSE),YES_Writing_ELA[#Headers],0))=0,"",INDEX(_xlfn.VSTACK(YES_Writing_ELA[#Data],YES_Writing_FLA[#Data]),MATCH($A488,_xlfn.VSTACK(YES_Writing_ELA[Student Number],YES_Writing_FLA[Student Number]),0),MATCH(VLOOKUP(F$7,'Writing Logic'!$J$7:$K$11,2,FALSE)&amp;" - Per "&amp;VLOOKUP($C$4,'Writing Logic'!$G$8:$H$14,2,FALSE),YES_Writing_ELA[#Headers],0)))="INS",'Writing Logic'!$B$7,IF(INDEX(_xlfn.VSTACK(YES_Writing_ELA[#Data],YES_Writing_FLA[#Data]),MATCH($A488,_xlfn.VSTACK(YES_Writing_ELA[Student Number],YES_Writing_FLA[Student Number]),0),MATCH(VLOOKUP(F$7,'Writing Logic'!$J$7:$K$11,2,FALSE)&amp;" - Per "&amp;VLOOKUP($C$4,'Writing Logic'!$G$8:$H$14,2,FALSE),YES_Writing_ELA[#Headers],0))=0,"",INDEX(_xlfn.VSTACK(YES_Writing_ELA[#Data],YES_Writing_FLA[#Data]),MATCH($A488,_xlfn.VSTACK(YES_Writing_ELA[Student Number],YES_Writing_FLA[Student Number]),0),MATCH(VLOOKUP(F$7,'Writing Logic'!$J$7:$K$11,2,FALSE)&amp;" - Per "&amp;VLOOKUP($C$4,'Writing Logic'!$G$8:$H$14,2,FALSE),YES_Writing_ELA[#Headers],0)))),"")</f>
        <v/>
      </c>
      <c r="G488" s="138" t="str">
        <f>IFERROR(IF(IF(INDEX(_xlfn.VSTACK(YES_Writing_ELA[#Data],YES_Writing_FLA[#Data]),MATCH($A488,_xlfn.VSTACK(YES_Writing_ELA[Student Number],YES_Writing_FLA[Student Number]),0),MATCH(VLOOKUP(G$7,'Writing Logic'!$J$7:$K$11,2,FALSE)&amp;" - Per "&amp;VLOOKUP($C$4,'Writing Logic'!$G$8:$H$14,2,FALSE),YES_Writing_ELA[#Headers],0))=0,"",INDEX(_xlfn.VSTACK(YES_Writing_ELA[#Data],YES_Writing_FLA[#Data]),MATCH($A488,_xlfn.VSTACK(YES_Writing_ELA[Student Number],YES_Writing_FLA[Student Number]),0),MATCH(VLOOKUP(G$7,'Writing Logic'!$J$7:$K$11,2,FALSE)&amp;" - Per "&amp;VLOOKUP($C$4,'Writing Logic'!$G$8:$H$14,2,FALSE),YES_Writing_ELA[#Headers],0)))="INS",'Writing Logic'!$B$7,IF(INDEX(_xlfn.VSTACK(YES_Writing_ELA[#Data],YES_Writing_FLA[#Data]),MATCH($A488,_xlfn.VSTACK(YES_Writing_ELA[Student Number],YES_Writing_FLA[Student Number]),0),MATCH(VLOOKUP(G$7,'Writing Logic'!$J$7:$K$11,2,FALSE)&amp;" - Per "&amp;VLOOKUP($C$4,'Writing Logic'!$G$8:$H$14,2,FALSE),YES_Writing_ELA[#Headers],0))=0,"",INDEX(_xlfn.VSTACK(YES_Writing_ELA[#Data],YES_Writing_FLA[#Data]),MATCH($A488,_xlfn.VSTACK(YES_Writing_ELA[Student Number],YES_Writing_FLA[Student Number]),0),MATCH(VLOOKUP(G$7,'Writing Logic'!$J$7:$K$11,2,FALSE)&amp;" - Per "&amp;VLOOKUP($C$4,'Writing Logic'!$G$8:$H$14,2,FALSE),YES_Writing_ELA[#Headers],0)))),"")</f>
        <v/>
      </c>
      <c r="H488" s="223" t="str">
        <f>IFERROR(IF(IF(INDEX(_xlfn.VSTACK(YES_Writing_ELA[#Data],YES_Writing_FLA[#Data]),MATCH($A488,_xlfn.VSTACK(YES_Writing_ELA[Student Number],YES_Writing_FLA[Student Number]),0),MATCH(VLOOKUP(H$7,'Writing Logic'!$J$7:$K$11,2,FALSE)&amp;" - Per "&amp;VLOOKUP($C$4,'Writing Logic'!$G$8:$H$14,2,FALSE),YES_Writing_ELA[#Headers],0))=0,"",INDEX(_xlfn.VSTACK(YES_Writing_ELA[#Data],YES_Writing_FLA[#Data]),MATCH($A488,_xlfn.VSTACK(YES_Writing_ELA[Student Number],YES_Writing_FLA[Student Number]),0),MATCH(VLOOKUP(H$7,'Writing Logic'!$J$7:$K$11,2,FALSE)&amp;" - Per "&amp;VLOOKUP($C$4,'Writing Logic'!$G$8:$H$14,2,FALSE),YES_Writing_ELA[#Headers],0)))="INS",'Writing Logic'!$B$7,IF(INDEX(_xlfn.VSTACK(YES_Writing_ELA[#Data],YES_Writing_FLA[#Data]),MATCH($A488,_xlfn.VSTACK(YES_Writing_ELA[Student Number],YES_Writing_FLA[Student Number]),0),MATCH(VLOOKUP(H$7,'Writing Logic'!$J$7:$K$11,2,FALSE)&amp;" - Per "&amp;VLOOKUP($C$4,'Writing Logic'!$G$8:$H$14,2,FALSE),YES_Writing_ELA[#Headers],0))=0,"",INDEX(_xlfn.VSTACK(YES_Writing_ELA[#Data],YES_Writing_FLA[#Data]),MATCH($A488,_xlfn.VSTACK(YES_Writing_ELA[Student Number],YES_Writing_FLA[Student Number]),0),MATCH(VLOOKUP(H$7,'Writing Logic'!$J$7:$K$11,2,FALSE)&amp;" - Per "&amp;VLOOKUP($C$4,'Writing Logic'!$G$8:$H$14,2,FALSE),YES_Writing_ELA[#Headers],0)))),"")</f>
        <v/>
      </c>
      <c r="I488" s="224" t="str" cm="1">
        <f t="array" aca="1" ref="I488" ca="1">IFERROR(
IF($G$3="ELA",
IF(VLOOKUP($A488, YES_Reading_ELA[], COLUMN(INDIRECT("YES_Reading_ELA[Difference - Per "&amp;VLOOKUP($G$4, 'Reading Report Logic'!$A$2:$B$8, 2, FALSE)&amp;"]")), FALSE)="", "",
VLOOKUP($A488,YES_Reading_ELA[], COLUMN(INDIRECT("YES_Reading_ELA[Difference - Per "&amp;VLOOKUP($G$4,'Reading Report Logic'!$A$2:$B$8,2,FALSE)&amp;"]")), FALSE)),
IF($G$3="FLA",
IF(VLOOKUP($A488, YES_Reading_FLA[], COLUMN(INDIRECT("YES_Reading_FLA[Difference - Per "&amp;VLOOKUP($G$4,'Reading Report Logic'!$A$2:$B$8,2,FALSE)&amp;"]")),FALSE)="","",
VLOOKUP($A488,YES_Reading_FLA[],COLUMN(INDIRECT("YES_Reading_FLA[Difference - Per "&amp;VLOOKUP($G$4,'Reading Report Logic'!$A$2:$B$8,2,FALSE)&amp;"]")),FALSE)),
IF($G$3="Combined",
IFERROR(
IF(VLOOKUP($A488, YES_Reading_ELA[], COLUMN(INDIRECT("YES_Reading_ELA[Difference - Per "&amp;VLOOKUP($G$4, 'Reading Report Logic'!$A$2:$B$8,2,FALSE)&amp;"]")), FALSE)="", "",
VLOOKUP($A488,YES_Reading_ELA[],COLUMN(INDIRECT("YES_Reading_ELA[Difference - Per "&amp;VLOOKUP($G$4,'Reading Report Logic'!$A$2:$B$8,2,FALSE)&amp;"]")),FALSE)),
IF(VLOOKUP($A488, YES_Reading_FLA[], COLUMN(INDIRECT("YES_Reading_FLA[Difference - Per "&amp;VLOOKUP($G$4, 'Reading Report Logic'!$A$2:$B$8, 2, FALSE)&amp;"]")),FALSE)="", "", VLOOKUP($A488,YES_Reading_FLA[],COLUMN(INDIRECT("YES_Reading_FLA[Difference - Per "&amp;VLOOKUP($G$4, 'Reading Report Logic'!$A$2:$B$8, 2, FALSE)&amp;"]")),FALSE))),""))),"")</f>
        <v/>
      </c>
    </row>
    <row r="489" spans="1:9" x14ac:dyDescent="0.25">
      <c r="A489" s="137"/>
      <c r="B489" s="137" t="str">
        <f>IFERROR(INDEX(_xlfn.VSTACK(YES_Writing_ELA[#Data], YES_Writing_FLA[#Data]),MATCH($A489,_xlfn.VSTACK(YES_Writing_ELA[Student Number], YES_Writing_FLA[Student Number]),0),MATCH(B$7,YES_Writing_ELA[#Headers],0)),IFERROR(INDEX(_xlfn.VSTACK(YES_Reading_ELA[#Data], YES_Reading_FLA[#Data]),MATCH($A489,_xlfn.VSTACK(YES_Reading_ELA[Student Number], YES_Reading_FLA[Student Number]),0),MATCH(B$7,YES_Reading_ELA[#Headers],0)),""))</f>
        <v/>
      </c>
      <c r="C489" s="137" t="str">
        <f>IFERROR(INDEX(_xlfn.VSTACK(YES_Writing_ELA[#Data], YES_Writing_FLA[#Data]),MATCH($A489,_xlfn.VSTACK(YES_Writing_ELA[Student Number], YES_Writing_FLA[Student Number]),0),MATCH(C$7,YES_Writing_ELA[#Headers],0)),IFERROR(INDEX(_xlfn.VSTACK(YES_Reading_ELA[#Data], YES_Reading_FLA[#Data]),MATCH($A489,_xlfn.VSTACK(YES_Reading_ELA[Student Number], YES_Reading_FLA[Student Number]),0),MATCH(C$7,YES_Reading_ELA[#Headers],0)),""))</f>
        <v/>
      </c>
      <c r="D489" s="138" t="str">
        <f>IFERROR(IF(IF(INDEX(_xlfn.VSTACK(YES_Writing_ELA[#Data],YES_Writing_FLA[#Data]),MATCH($A489,_xlfn.VSTACK(YES_Writing_ELA[Student Number],YES_Writing_FLA[Student Number]),0),MATCH(VLOOKUP(D$7,'Writing Logic'!$J$7:$K$11,2,FALSE)&amp;" - Per "&amp;VLOOKUP($C$4,'Writing Logic'!$G$8:$H$14,2,FALSE),YES_Writing_ELA[#Headers],0))=0,"",INDEX(_xlfn.VSTACK(YES_Writing_ELA[#Data],YES_Writing_FLA[#Data]),MATCH($A489,_xlfn.VSTACK(YES_Writing_ELA[Student Number],YES_Writing_FLA[Student Number]),0),MATCH(VLOOKUP(D$7,'Writing Logic'!$J$7:$K$11,2,FALSE)&amp;" - Per "&amp;VLOOKUP($C$4,'Writing Logic'!$G$8:$H$14,2,FALSE),YES_Writing_ELA[#Headers],0)))="INS",'Writing Logic'!$B$7,IF(INDEX(_xlfn.VSTACK(YES_Writing_ELA[#Data],YES_Writing_FLA[#Data]),MATCH($A489,_xlfn.VSTACK(YES_Writing_ELA[Student Number],YES_Writing_FLA[Student Number]),0),MATCH(VLOOKUP(D$7,'Writing Logic'!$J$7:$K$11,2,FALSE)&amp;" - Per "&amp;VLOOKUP($C$4,'Writing Logic'!$G$8:$H$14,2,FALSE),YES_Writing_ELA[#Headers],0))=0,"",INDEX(_xlfn.VSTACK(YES_Writing_ELA[#Data],YES_Writing_FLA[#Data]),MATCH($A489,_xlfn.VSTACK(YES_Writing_ELA[Student Number],YES_Writing_FLA[Student Number]),0),MATCH(VLOOKUP(D$7,'Writing Logic'!$J$7:$K$11,2,FALSE)&amp;" - Per "&amp;VLOOKUP($C$4,'Writing Logic'!$G$8:$H$14,2,FALSE),YES_Writing_ELA[#Headers],0)))),"")</f>
        <v/>
      </c>
      <c r="E489" s="138" t="str">
        <f>IFERROR(IF(IF(INDEX(_xlfn.VSTACK(YES_Writing_ELA[#Data],YES_Writing_FLA[#Data]),MATCH($A489,_xlfn.VSTACK(YES_Writing_ELA[Student Number],YES_Writing_FLA[Student Number]),0),MATCH(VLOOKUP(E$7,'Writing Logic'!$J$7:$K$11,2,FALSE)&amp;" - Per "&amp;VLOOKUP($C$4,'Writing Logic'!$G$8:$H$14,2,FALSE),YES_Writing_ELA[#Headers],0))=0,"",INDEX(_xlfn.VSTACK(YES_Writing_ELA[#Data],YES_Writing_FLA[#Data]),MATCH($A489,_xlfn.VSTACK(YES_Writing_ELA[Student Number],YES_Writing_FLA[Student Number]),0),MATCH(VLOOKUP(E$7,'Writing Logic'!$J$7:$K$11,2,FALSE)&amp;" - Per "&amp;VLOOKUP($C$4,'Writing Logic'!$G$8:$H$14,2,FALSE),YES_Writing_ELA[#Headers],0)))="INS",'Writing Logic'!$B$7,IF(INDEX(_xlfn.VSTACK(YES_Writing_ELA[#Data],YES_Writing_FLA[#Data]),MATCH($A489,_xlfn.VSTACK(YES_Writing_ELA[Student Number],YES_Writing_FLA[Student Number]),0),MATCH(VLOOKUP(E$7,'Writing Logic'!$J$7:$K$11,2,FALSE)&amp;" - Per "&amp;VLOOKUP($C$4,'Writing Logic'!$G$8:$H$14,2,FALSE),YES_Writing_ELA[#Headers],0))=0,"",INDEX(_xlfn.VSTACK(YES_Writing_ELA[#Data],YES_Writing_FLA[#Data]),MATCH($A489,_xlfn.VSTACK(YES_Writing_ELA[Student Number],YES_Writing_FLA[Student Number]),0),MATCH(VLOOKUP(E$7,'Writing Logic'!$J$7:$K$11,2,FALSE)&amp;" - Per "&amp;VLOOKUP($C$4,'Writing Logic'!$G$8:$H$14,2,FALSE),YES_Writing_ELA[#Headers],0)))),"")</f>
        <v/>
      </c>
      <c r="F489" s="138" t="str">
        <f>IFERROR(IF(IF(INDEX(_xlfn.VSTACK(YES_Writing_ELA[#Data],YES_Writing_FLA[#Data]),MATCH($A489,_xlfn.VSTACK(YES_Writing_ELA[Student Number],YES_Writing_FLA[Student Number]),0),MATCH(VLOOKUP(F$7,'Writing Logic'!$J$7:$K$11,2,FALSE)&amp;" - Per "&amp;VLOOKUP($C$4,'Writing Logic'!$G$8:$H$14,2,FALSE),YES_Writing_ELA[#Headers],0))=0,"",INDEX(_xlfn.VSTACK(YES_Writing_ELA[#Data],YES_Writing_FLA[#Data]),MATCH($A489,_xlfn.VSTACK(YES_Writing_ELA[Student Number],YES_Writing_FLA[Student Number]),0),MATCH(VLOOKUP(F$7,'Writing Logic'!$J$7:$K$11,2,FALSE)&amp;" - Per "&amp;VLOOKUP($C$4,'Writing Logic'!$G$8:$H$14,2,FALSE),YES_Writing_ELA[#Headers],0)))="INS",'Writing Logic'!$B$7,IF(INDEX(_xlfn.VSTACK(YES_Writing_ELA[#Data],YES_Writing_FLA[#Data]),MATCH($A489,_xlfn.VSTACK(YES_Writing_ELA[Student Number],YES_Writing_FLA[Student Number]),0),MATCH(VLOOKUP(F$7,'Writing Logic'!$J$7:$K$11,2,FALSE)&amp;" - Per "&amp;VLOOKUP($C$4,'Writing Logic'!$G$8:$H$14,2,FALSE),YES_Writing_ELA[#Headers],0))=0,"",INDEX(_xlfn.VSTACK(YES_Writing_ELA[#Data],YES_Writing_FLA[#Data]),MATCH($A489,_xlfn.VSTACK(YES_Writing_ELA[Student Number],YES_Writing_FLA[Student Number]),0),MATCH(VLOOKUP(F$7,'Writing Logic'!$J$7:$K$11,2,FALSE)&amp;" - Per "&amp;VLOOKUP($C$4,'Writing Logic'!$G$8:$H$14,2,FALSE),YES_Writing_ELA[#Headers],0)))),"")</f>
        <v/>
      </c>
      <c r="G489" s="138" t="str">
        <f>IFERROR(IF(IF(INDEX(_xlfn.VSTACK(YES_Writing_ELA[#Data],YES_Writing_FLA[#Data]),MATCH($A489,_xlfn.VSTACK(YES_Writing_ELA[Student Number],YES_Writing_FLA[Student Number]),0),MATCH(VLOOKUP(G$7,'Writing Logic'!$J$7:$K$11,2,FALSE)&amp;" - Per "&amp;VLOOKUP($C$4,'Writing Logic'!$G$8:$H$14,2,FALSE),YES_Writing_ELA[#Headers],0))=0,"",INDEX(_xlfn.VSTACK(YES_Writing_ELA[#Data],YES_Writing_FLA[#Data]),MATCH($A489,_xlfn.VSTACK(YES_Writing_ELA[Student Number],YES_Writing_FLA[Student Number]),0),MATCH(VLOOKUP(G$7,'Writing Logic'!$J$7:$K$11,2,FALSE)&amp;" - Per "&amp;VLOOKUP($C$4,'Writing Logic'!$G$8:$H$14,2,FALSE),YES_Writing_ELA[#Headers],0)))="INS",'Writing Logic'!$B$7,IF(INDEX(_xlfn.VSTACK(YES_Writing_ELA[#Data],YES_Writing_FLA[#Data]),MATCH($A489,_xlfn.VSTACK(YES_Writing_ELA[Student Number],YES_Writing_FLA[Student Number]),0),MATCH(VLOOKUP(G$7,'Writing Logic'!$J$7:$K$11,2,FALSE)&amp;" - Per "&amp;VLOOKUP($C$4,'Writing Logic'!$G$8:$H$14,2,FALSE),YES_Writing_ELA[#Headers],0))=0,"",INDEX(_xlfn.VSTACK(YES_Writing_ELA[#Data],YES_Writing_FLA[#Data]),MATCH($A489,_xlfn.VSTACK(YES_Writing_ELA[Student Number],YES_Writing_FLA[Student Number]),0),MATCH(VLOOKUP(G$7,'Writing Logic'!$J$7:$K$11,2,FALSE)&amp;" - Per "&amp;VLOOKUP($C$4,'Writing Logic'!$G$8:$H$14,2,FALSE),YES_Writing_ELA[#Headers],0)))),"")</f>
        <v/>
      </c>
      <c r="H489" s="223" t="str">
        <f>IFERROR(IF(IF(INDEX(_xlfn.VSTACK(YES_Writing_ELA[#Data],YES_Writing_FLA[#Data]),MATCH($A489,_xlfn.VSTACK(YES_Writing_ELA[Student Number],YES_Writing_FLA[Student Number]),0),MATCH(VLOOKUP(H$7,'Writing Logic'!$J$7:$K$11,2,FALSE)&amp;" - Per "&amp;VLOOKUP($C$4,'Writing Logic'!$G$8:$H$14,2,FALSE),YES_Writing_ELA[#Headers],0))=0,"",INDEX(_xlfn.VSTACK(YES_Writing_ELA[#Data],YES_Writing_FLA[#Data]),MATCH($A489,_xlfn.VSTACK(YES_Writing_ELA[Student Number],YES_Writing_FLA[Student Number]),0),MATCH(VLOOKUP(H$7,'Writing Logic'!$J$7:$K$11,2,FALSE)&amp;" - Per "&amp;VLOOKUP($C$4,'Writing Logic'!$G$8:$H$14,2,FALSE),YES_Writing_ELA[#Headers],0)))="INS",'Writing Logic'!$B$7,IF(INDEX(_xlfn.VSTACK(YES_Writing_ELA[#Data],YES_Writing_FLA[#Data]),MATCH($A489,_xlfn.VSTACK(YES_Writing_ELA[Student Number],YES_Writing_FLA[Student Number]),0),MATCH(VLOOKUP(H$7,'Writing Logic'!$J$7:$K$11,2,FALSE)&amp;" - Per "&amp;VLOOKUP($C$4,'Writing Logic'!$G$8:$H$14,2,FALSE),YES_Writing_ELA[#Headers],0))=0,"",INDEX(_xlfn.VSTACK(YES_Writing_ELA[#Data],YES_Writing_FLA[#Data]),MATCH($A489,_xlfn.VSTACK(YES_Writing_ELA[Student Number],YES_Writing_FLA[Student Number]),0),MATCH(VLOOKUP(H$7,'Writing Logic'!$J$7:$K$11,2,FALSE)&amp;" - Per "&amp;VLOOKUP($C$4,'Writing Logic'!$G$8:$H$14,2,FALSE),YES_Writing_ELA[#Headers],0)))),"")</f>
        <v/>
      </c>
      <c r="I489" s="224" t="str" cm="1">
        <f t="array" aca="1" ref="I489" ca="1">IFERROR(
IF($G$3="ELA",
IF(VLOOKUP($A489, YES_Reading_ELA[], COLUMN(INDIRECT("YES_Reading_ELA[Difference - Per "&amp;VLOOKUP($G$4, 'Reading Report Logic'!$A$2:$B$8, 2, FALSE)&amp;"]")), FALSE)="", "",
VLOOKUP($A489,YES_Reading_ELA[], COLUMN(INDIRECT("YES_Reading_ELA[Difference - Per "&amp;VLOOKUP($G$4,'Reading Report Logic'!$A$2:$B$8,2,FALSE)&amp;"]")), FALSE)),
IF($G$3="FLA",
IF(VLOOKUP($A489, YES_Reading_FLA[], COLUMN(INDIRECT("YES_Reading_FLA[Difference - Per "&amp;VLOOKUP($G$4,'Reading Report Logic'!$A$2:$B$8,2,FALSE)&amp;"]")),FALSE)="","",
VLOOKUP($A489,YES_Reading_FLA[],COLUMN(INDIRECT("YES_Reading_FLA[Difference - Per "&amp;VLOOKUP($G$4,'Reading Report Logic'!$A$2:$B$8,2,FALSE)&amp;"]")),FALSE)),
IF($G$3="Combined",
IFERROR(
IF(VLOOKUP($A489, YES_Reading_ELA[], COLUMN(INDIRECT("YES_Reading_ELA[Difference - Per "&amp;VLOOKUP($G$4, 'Reading Report Logic'!$A$2:$B$8,2,FALSE)&amp;"]")), FALSE)="", "",
VLOOKUP($A489,YES_Reading_ELA[],COLUMN(INDIRECT("YES_Reading_ELA[Difference - Per "&amp;VLOOKUP($G$4,'Reading Report Logic'!$A$2:$B$8,2,FALSE)&amp;"]")),FALSE)),
IF(VLOOKUP($A489, YES_Reading_FLA[], COLUMN(INDIRECT("YES_Reading_FLA[Difference - Per "&amp;VLOOKUP($G$4, 'Reading Report Logic'!$A$2:$B$8, 2, FALSE)&amp;"]")),FALSE)="", "", VLOOKUP($A489,YES_Reading_FLA[],COLUMN(INDIRECT("YES_Reading_FLA[Difference - Per "&amp;VLOOKUP($G$4, 'Reading Report Logic'!$A$2:$B$8, 2, FALSE)&amp;"]")),FALSE))),""))),"")</f>
        <v/>
      </c>
    </row>
    <row r="490" spans="1:9" x14ac:dyDescent="0.25">
      <c r="A490" s="137"/>
      <c r="B490" s="137" t="str">
        <f>IFERROR(INDEX(_xlfn.VSTACK(YES_Writing_ELA[#Data], YES_Writing_FLA[#Data]),MATCH($A490,_xlfn.VSTACK(YES_Writing_ELA[Student Number], YES_Writing_FLA[Student Number]),0),MATCH(B$7,YES_Writing_ELA[#Headers],0)),IFERROR(INDEX(_xlfn.VSTACK(YES_Reading_ELA[#Data], YES_Reading_FLA[#Data]),MATCH($A490,_xlfn.VSTACK(YES_Reading_ELA[Student Number], YES_Reading_FLA[Student Number]),0),MATCH(B$7,YES_Reading_ELA[#Headers],0)),""))</f>
        <v/>
      </c>
      <c r="C490" s="137" t="str">
        <f>IFERROR(INDEX(_xlfn.VSTACK(YES_Writing_ELA[#Data], YES_Writing_FLA[#Data]),MATCH($A490,_xlfn.VSTACK(YES_Writing_ELA[Student Number], YES_Writing_FLA[Student Number]),0),MATCH(C$7,YES_Writing_ELA[#Headers],0)),IFERROR(INDEX(_xlfn.VSTACK(YES_Reading_ELA[#Data], YES_Reading_FLA[#Data]),MATCH($A490,_xlfn.VSTACK(YES_Reading_ELA[Student Number], YES_Reading_FLA[Student Number]),0),MATCH(C$7,YES_Reading_ELA[#Headers],0)),""))</f>
        <v/>
      </c>
      <c r="D490" s="138" t="str">
        <f>IFERROR(IF(IF(INDEX(_xlfn.VSTACK(YES_Writing_ELA[#Data],YES_Writing_FLA[#Data]),MATCH($A490,_xlfn.VSTACK(YES_Writing_ELA[Student Number],YES_Writing_FLA[Student Number]),0),MATCH(VLOOKUP(D$7,'Writing Logic'!$J$7:$K$11,2,FALSE)&amp;" - Per "&amp;VLOOKUP($C$4,'Writing Logic'!$G$8:$H$14,2,FALSE),YES_Writing_ELA[#Headers],0))=0,"",INDEX(_xlfn.VSTACK(YES_Writing_ELA[#Data],YES_Writing_FLA[#Data]),MATCH($A490,_xlfn.VSTACK(YES_Writing_ELA[Student Number],YES_Writing_FLA[Student Number]),0),MATCH(VLOOKUP(D$7,'Writing Logic'!$J$7:$K$11,2,FALSE)&amp;" - Per "&amp;VLOOKUP($C$4,'Writing Logic'!$G$8:$H$14,2,FALSE),YES_Writing_ELA[#Headers],0)))="INS",'Writing Logic'!$B$7,IF(INDEX(_xlfn.VSTACK(YES_Writing_ELA[#Data],YES_Writing_FLA[#Data]),MATCH($A490,_xlfn.VSTACK(YES_Writing_ELA[Student Number],YES_Writing_FLA[Student Number]),0),MATCH(VLOOKUP(D$7,'Writing Logic'!$J$7:$K$11,2,FALSE)&amp;" - Per "&amp;VLOOKUP($C$4,'Writing Logic'!$G$8:$H$14,2,FALSE),YES_Writing_ELA[#Headers],0))=0,"",INDEX(_xlfn.VSTACK(YES_Writing_ELA[#Data],YES_Writing_FLA[#Data]),MATCH($A490,_xlfn.VSTACK(YES_Writing_ELA[Student Number],YES_Writing_FLA[Student Number]),0),MATCH(VLOOKUP(D$7,'Writing Logic'!$J$7:$K$11,2,FALSE)&amp;" - Per "&amp;VLOOKUP($C$4,'Writing Logic'!$G$8:$H$14,2,FALSE),YES_Writing_ELA[#Headers],0)))),"")</f>
        <v/>
      </c>
      <c r="E490" s="138" t="str">
        <f>IFERROR(IF(IF(INDEX(_xlfn.VSTACK(YES_Writing_ELA[#Data],YES_Writing_FLA[#Data]),MATCH($A490,_xlfn.VSTACK(YES_Writing_ELA[Student Number],YES_Writing_FLA[Student Number]),0),MATCH(VLOOKUP(E$7,'Writing Logic'!$J$7:$K$11,2,FALSE)&amp;" - Per "&amp;VLOOKUP($C$4,'Writing Logic'!$G$8:$H$14,2,FALSE),YES_Writing_ELA[#Headers],0))=0,"",INDEX(_xlfn.VSTACK(YES_Writing_ELA[#Data],YES_Writing_FLA[#Data]),MATCH($A490,_xlfn.VSTACK(YES_Writing_ELA[Student Number],YES_Writing_FLA[Student Number]),0),MATCH(VLOOKUP(E$7,'Writing Logic'!$J$7:$K$11,2,FALSE)&amp;" - Per "&amp;VLOOKUP($C$4,'Writing Logic'!$G$8:$H$14,2,FALSE),YES_Writing_ELA[#Headers],0)))="INS",'Writing Logic'!$B$7,IF(INDEX(_xlfn.VSTACK(YES_Writing_ELA[#Data],YES_Writing_FLA[#Data]),MATCH($A490,_xlfn.VSTACK(YES_Writing_ELA[Student Number],YES_Writing_FLA[Student Number]),0),MATCH(VLOOKUP(E$7,'Writing Logic'!$J$7:$K$11,2,FALSE)&amp;" - Per "&amp;VLOOKUP($C$4,'Writing Logic'!$G$8:$H$14,2,FALSE),YES_Writing_ELA[#Headers],0))=0,"",INDEX(_xlfn.VSTACK(YES_Writing_ELA[#Data],YES_Writing_FLA[#Data]),MATCH($A490,_xlfn.VSTACK(YES_Writing_ELA[Student Number],YES_Writing_FLA[Student Number]),0),MATCH(VLOOKUP(E$7,'Writing Logic'!$J$7:$K$11,2,FALSE)&amp;" - Per "&amp;VLOOKUP($C$4,'Writing Logic'!$G$8:$H$14,2,FALSE),YES_Writing_ELA[#Headers],0)))),"")</f>
        <v/>
      </c>
      <c r="F490" s="138" t="str">
        <f>IFERROR(IF(IF(INDEX(_xlfn.VSTACK(YES_Writing_ELA[#Data],YES_Writing_FLA[#Data]),MATCH($A490,_xlfn.VSTACK(YES_Writing_ELA[Student Number],YES_Writing_FLA[Student Number]),0),MATCH(VLOOKUP(F$7,'Writing Logic'!$J$7:$K$11,2,FALSE)&amp;" - Per "&amp;VLOOKUP($C$4,'Writing Logic'!$G$8:$H$14,2,FALSE),YES_Writing_ELA[#Headers],0))=0,"",INDEX(_xlfn.VSTACK(YES_Writing_ELA[#Data],YES_Writing_FLA[#Data]),MATCH($A490,_xlfn.VSTACK(YES_Writing_ELA[Student Number],YES_Writing_FLA[Student Number]),0),MATCH(VLOOKUP(F$7,'Writing Logic'!$J$7:$K$11,2,FALSE)&amp;" - Per "&amp;VLOOKUP($C$4,'Writing Logic'!$G$8:$H$14,2,FALSE),YES_Writing_ELA[#Headers],0)))="INS",'Writing Logic'!$B$7,IF(INDEX(_xlfn.VSTACK(YES_Writing_ELA[#Data],YES_Writing_FLA[#Data]),MATCH($A490,_xlfn.VSTACK(YES_Writing_ELA[Student Number],YES_Writing_FLA[Student Number]),0),MATCH(VLOOKUP(F$7,'Writing Logic'!$J$7:$K$11,2,FALSE)&amp;" - Per "&amp;VLOOKUP($C$4,'Writing Logic'!$G$8:$H$14,2,FALSE),YES_Writing_ELA[#Headers],0))=0,"",INDEX(_xlfn.VSTACK(YES_Writing_ELA[#Data],YES_Writing_FLA[#Data]),MATCH($A490,_xlfn.VSTACK(YES_Writing_ELA[Student Number],YES_Writing_FLA[Student Number]),0),MATCH(VLOOKUP(F$7,'Writing Logic'!$J$7:$K$11,2,FALSE)&amp;" - Per "&amp;VLOOKUP($C$4,'Writing Logic'!$G$8:$H$14,2,FALSE),YES_Writing_ELA[#Headers],0)))),"")</f>
        <v/>
      </c>
      <c r="G490" s="138" t="str">
        <f>IFERROR(IF(IF(INDEX(_xlfn.VSTACK(YES_Writing_ELA[#Data],YES_Writing_FLA[#Data]),MATCH($A490,_xlfn.VSTACK(YES_Writing_ELA[Student Number],YES_Writing_FLA[Student Number]),0),MATCH(VLOOKUP(G$7,'Writing Logic'!$J$7:$K$11,2,FALSE)&amp;" - Per "&amp;VLOOKUP($C$4,'Writing Logic'!$G$8:$H$14,2,FALSE),YES_Writing_ELA[#Headers],0))=0,"",INDEX(_xlfn.VSTACK(YES_Writing_ELA[#Data],YES_Writing_FLA[#Data]),MATCH($A490,_xlfn.VSTACK(YES_Writing_ELA[Student Number],YES_Writing_FLA[Student Number]),0),MATCH(VLOOKUP(G$7,'Writing Logic'!$J$7:$K$11,2,FALSE)&amp;" - Per "&amp;VLOOKUP($C$4,'Writing Logic'!$G$8:$H$14,2,FALSE),YES_Writing_ELA[#Headers],0)))="INS",'Writing Logic'!$B$7,IF(INDEX(_xlfn.VSTACK(YES_Writing_ELA[#Data],YES_Writing_FLA[#Data]),MATCH($A490,_xlfn.VSTACK(YES_Writing_ELA[Student Number],YES_Writing_FLA[Student Number]),0),MATCH(VLOOKUP(G$7,'Writing Logic'!$J$7:$K$11,2,FALSE)&amp;" - Per "&amp;VLOOKUP($C$4,'Writing Logic'!$G$8:$H$14,2,FALSE),YES_Writing_ELA[#Headers],0))=0,"",INDEX(_xlfn.VSTACK(YES_Writing_ELA[#Data],YES_Writing_FLA[#Data]),MATCH($A490,_xlfn.VSTACK(YES_Writing_ELA[Student Number],YES_Writing_FLA[Student Number]),0),MATCH(VLOOKUP(G$7,'Writing Logic'!$J$7:$K$11,2,FALSE)&amp;" - Per "&amp;VLOOKUP($C$4,'Writing Logic'!$G$8:$H$14,2,FALSE),YES_Writing_ELA[#Headers],0)))),"")</f>
        <v/>
      </c>
      <c r="H490" s="223" t="str">
        <f>IFERROR(IF(IF(INDEX(_xlfn.VSTACK(YES_Writing_ELA[#Data],YES_Writing_FLA[#Data]),MATCH($A490,_xlfn.VSTACK(YES_Writing_ELA[Student Number],YES_Writing_FLA[Student Number]),0),MATCH(VLOOKUP(H$7,'Writing Logic'!$J$7:$K$11,2,FALSE)&amp;" - Per "&amp;VLOOKUP($C$4,'Writing Logic'!$G$8:$H$14,2,FALSE),YES_Writing_ELA[#Headers],0))=0,"",INDEX(_xlfn.VSTACK(YES_Writing_ELA[#Data],YES_Writing_FLA[#Data]),MATCH($A490,_xlfn.VSTACK(YES_Writing_ELA[Student Number],YES_Writing_FLA[Student Number]),0),MATCH(VLOOKUP(H$7,'Writing Logic'!$J$7:$K$11,2,FALSE)&amp;" - Per "&amp;VLOOKUP($C$4,'Writing Logic'!$G$8:$H$14,2,FALSE),YES_Writing_ELA[#Headers],0)))="INS",'Writing Logic'!$B$7,IF(INDEX(_xlfn.VSTACK(YES_Writing_ELA[#Data],YES_Writing_FLA[#Data]),MATCH($A490,_xlfn.VSTACK(YES_Writing_ELA[Student Number],YES_Writing_FLA[Student Number]),0),MATCH(VLOOKUP(H$7,'Writing Logic'!$J$7:$K$11,2,FALSE)&amp;" - Per "&amp;VLOOKUP($C$4,'Writing Logic'!$G$8:$H$14,2,FALSE),YES_Writing_ELA[#Headers],0))=0,"",INDEX(_xlfn.VSTACK(YES_Writing_ELA[#Data],YES_Writing_FLA[#Data]),MATCH($A490,_xlfn.VSTACK(YES_Writing_ELA[Student Number],YES_Writing_FLA[Student Number]),0),MATCH(VLOOKUP(H$7,'Writing Logic'!$J$7:$K$11,2,FALSE)&amp;" - Per "&amp;VLOOKUP($C$4,'Writing Logic'!$G$8:$H$14,2,FALSE),YES_Writing_ELA[#Headers],0)))),"")</f>
        <v/>
      </c>
      <c r="I490" s="224" t="str" cm="1">
        <f t="array" aca="1" ref="I490" ca="1">IFERROR(
IF($G$3="ELA",
IF(VLOOKUP($A490, YES_Reading_ELA[], COLUMN(INDIRECT("YES_Reading_ELA[Difference - Per "&amp;VLOOKUP($G$4, 'Reading Report Logic'!$A$2:$B$8, 2, FALSE)&amp;"]")), FALSE)="", "",
VLOOKUP($A490,YES_Reading_ELA[], COLUMN(INDIRECT("YES_Reading_ELA[Difference - Per "&amp;VLOOKUP($G$4,'Reading Report Logic'!$A$2:$B$8,2,FALSE)&amp;"]")), FALSE)),
IF($G$3="FLA",
IF(VLOOKUP($A490, YES_Reading_FLA[], COLUMN(INDIRECT("YES_Reading_FLA[Difference - Per "&amp;VLOOKUP($G$4,'Reading Report Logic'!$A$2:$B$8,2,FALSE)&amp;"]")),FALSE)="","",
VLOOKUP($A490,YES_Reading_FLA[],COLUMN(INDIRECT("YES_Reading_FLA[Difference - Per "&amp;VLOOKUP($G$4,'Reading Report Logic'!$A$2:$B$8,2,FALSE)&amp;"]")),FALSE)),
IF($G$3="Combined",
IFERROR(
IF(VLOOKUP($A490, YES_Reading_ELA[], COLUMN(INDIRECT("YES_Reading_ELA[Difference - Per "&amp;VLOOKUP($G$4, 'Reading Report Logic'!$A$2:$B$8,2,FALSE)&amp;"]")), FALSE)="", "",
VLOOKUP($A490,YES_Reading_ELA[],COLUMN(INDIRECT("YES_Reading_ELA[Difference - Per "&amp;VLOOKUP($G$4,'Reading Report Logic'!$A$2:$B$8,2,FALSE)&amp;"]")),FALSE)),
IF(VLOOKUP($A490, YES_Reading_FLA[], COLUMN(INDIRECT("YES_Reading_FLA[Difference - Per "&amp;VLOOKUP($G$4, 'Reading Report Logic'!$A$2:$B$8, 2, FALSE)&amp;"]")),FALSE)="", "", VLOOKUP($A490,YES_Reading_FLA[],COLUMN(INDIRECT("YES_Reading_FLA[Difference - Per "&amp;VLOOKUP($G$4, 'Reading Report Logic'!$A$2:$B$8, 2, FALSE)&amp;"]")),FALSE))),""))),"")</f>
        <v/>
      </c>
    </row>
    <row r="491" spans="1:9" x14ac:dyDescent="0.25">
      <c r="A491" s="137"/>
      <c r="B491" s="137" t="str">
        <f>IFERROR(INDEX(_xlfn.VSTACK(YES_Writing_ELA[#Data], YES_Writing_FLA[#Data]),MATCH($A491,_xlfn.VSTACK(YES_Writing_ELA[Student Number], YES_Writing_FLA[Student Number]),0),MATCH(B$7,YES_Writing_ELA[#Headers],0)),IFERROR(INDEX(_xlfn.VSTACK(YES_Reading_ELA[#Data], YES_Reading_FLA[#Data]),MATCH($A491,_xlfn.VSTACK(YES_Reading_ELA[Student Number], YES_Reading_FLA[Student Number]),0),MATCH(B$7,YES_Reading_ELA[#Headers],0)),""))</f>
        <v/>
      </c>
      <c r="C491" s="137" t="str">
        <f>IFERROR(INDEX(_xlfn.VSTACK(YES_Writing_ELA[#Data], YES_Writing_FLA[#Data]),MATCH($A491,_xlfn.VSTACK(YES_Writing_ELA[Student Number], YES_Writing_FLA[Student Number]),0),MATCH(C$7,YES_Writing_ELA[#Headers],0)),IFERROR(INDEX(_xlfn.VSTACK(YES_Reading_ELA[#Data], YES_Reading_FLA[#Data]),MATCH($A491,_xlfn.VSTACK(YES_Reading_ELA[Student Number], YES_Reading_FLA[Student Number]),0),MATCH(C$7,YES_Reading_ELA[#Headers],0)),""))</f>
        <v/>
      </c>
      <c r="D491" s="138" t="str">
        <f>IFERROR(IF(IF(INDEX(_xlfn.VSTACK(YES_Writing_ELA[#Data],YES_Writing_FLA[#Data]),MATCH($A491,_xlfn.VSTACK(YES_Writing_ELA[Student Number],YES_Writing_FLA[Student Number]),0),MATCH(VLOOKUP(D$7,'Writing Logic'!$J$7:$K$11,2,FALSE)&amp;" - Per "&amp;VLOOKUP($C$4,'Writing Logic'!$G$8:$H$14,2,FALSE),YES_Writing_ELA[#Headers],0))=0,"",INDEX(_xlfn.VSTACK(YES_Writing_ELA[#Data],YES_Writing_FLA[#Data]),MATCH($A491,_xlfn.VSTACK(YES_Writing_ELA[Student Number],YES_Writing_FLA[Student Number]),0),MATCH(VLOOKUP(D$7,'Writing Logic'!$J$7:$K$11,2,FALSE)&amp;" - Per "&amp;VLOOKUP($C$4,'Writing Logic'!$G$8:$H$14,2,FALSE),YES_Writing_ELA[#Headers],0)))="INS",'Writing Logic'!$B$7,IF(INDEX(_xlfn.VSTACK(YES_Writing_ELA[#Data],YES_Writing_FLA[#Data]),MATCH($A491,_xlfn.VSTACK(YES_Writing_ELA[Student Number],YES_Writing_FLA[Student Number]),0),MATCH(VLOOKUP(D$7,'Writing Logic'!$J$7:$K$11,2,FALSE)&amp;" - Per "&amp;VLOOKUP($C$4,'Writing Logic'!$G$8:$H$14,2,FALSE),YES_Writing_ELA[#Headers],0))=0,"",INDEX(_xlfn.VSTACK(YES_Writing_ELA[#Data],YES_Writing_FLA[#Data]),MATCH($A491,_xlfn.VSTACK(YES_Writing_ELA[Student Number],YES_Writing_FLA[Student Number]),0),MATCH(VLOOKUP(D$7,'Writing Logic'!$J$7:$K$11,2,FALSE)&amp;" - Per "&amp;VLOOKUP($C$4,'Writing Logic'!$G$8:$H$14,2,FALSE),YES_Writing_ELA[#Headers],0)))),"")</f>
        <v/>
      </c>
      <c r="E491" s="138" t="str">
        <f>IFERROR(IF(IF(INDEX(_xlfn.VSTACK(YES_Writing_ELA[#Data],YES_Writing_FLA[#Data]),MATCH($A491,_xlfn.VSTACK(YES_Writing_ELA[Student Number],YES_Writing_FLA[Student Number]),0),MATCH(VLOOKUP(E$7,'Writing Logic'!$J$7:$K$11,2,FALSE)&amp;" - Per "&amp;VLOOKUP($C$4,'Writing Logic'!$G$8:$H$14,2,FALSE),YES_Writing_ELA[#Headers],0))=0,"",INDEX(_xlfn.VSTACK(YES_Writing_ELA[#Data],YES_Writing_FLA[#Data]),MATCH($A491,_xlfn.VSTACK(YES_Writing_ELA[Student Number],YES_Writing_FLA[Student Number]),0),MATCH(VLOOKUP(E$7,'Writing Logic'!$J$7:$K$11,2,FALSE)&amp;" - Per "&amp;VLOOKUP($C$4,'Writing Logic'!$G$8:$H$14,2,FALSE),YES_Writing_ELA[#Headers],0)))="INS",'Writing Logic'!$B$7,IF(INDEX(_xlfn.VSTACK(YES_Writing_ELA[#Data],YES_Writing_FLA[#Data]),MATCH($A491,_xlfn.VSTACK(YES_Writing_ELA[Student Number],YES_Writing_FLA[Student Number]),0),MATCH(VLOOKUP(E$7,'Writing Logic'!$J$7:$K$11,2,FALSE)&amp;" - Per "&amp;VLOOKUP($C$4,'Writing Logic'!$G$8:$H$14,2,FALSE),YES_Writing_ELA[#Headers],0))=0,"",INDEX(_xlfn.VSTACK(YES_Writing_ELA[#Data],YES_Writing_FLA[#Data]),MATCH($A491,_xlfn.VSTACK(YES_Writing_ELA[Student Number],YES_Writing_FLA[Student Number]),0),MATCH(VLOOKUP(E$7,'Writing Logic'!$J$7:$K$11,2,FALSE)&amp;" - Per "&amp;VLOOKUP($C$4,'Writing Logic'!$G$8:$H$14,2,FALSE),YES_Writing_ELA[#Headers],0)))),"")</f>
        <v/>
      </c>
      <c r="F491" s="138" t="str">
        <f>IFERROR(IF(IF(INDEX(_xlfn.VSTACK(YES_Writing_ELA[#Data],YES_Writing_FLA[#Data]),MATCH($A491,_xlfn.VSTACK(YES_Writing_ELA[Student Number],YES_Writing_FLA[Student Number]),0),MATCH(VLOOKUP(F$7,'Writing Logic'!$J$7:$K$11,2,FALSE)&amp;" - Per "&amp;VLOOKUP($C$4,'Writing Logic'!$G$8:$H$14,2,FALSE),YES_Writing_ELA[#Headers],0))=0,"",INDEX(_xlfn.VSTACK(YES_Writing_ELA[#Data],YES_Writing_FLA[#Data]),MATCH($A491,_xlfn.VSTACK(YES_Writing_ELA[Student Number],YES_Writing_FLA[Student Number]),0),MATCH(VLOOKUP(F$7,'Writing Logic'!$J$7:$K$11,2,FALSE)&amp;" - Per "&amp;VLOOKUP($C$4,'Writing Logic'!$G$8:$H$14,2,FALSE),YES_Writing_ELA[#Headers],0)))="INS",'Writing Logic'!$B$7,IF(INDEX(_xlfn.VSTACK(YES_Writing_ELA[#Data],YES_Writing_FLA[#Data]),MATCH($A491,_xlfn.VSTACK(YES_Writing_ELA[Student Number],YES_Writing_FLA[Student Number]),0),MATCH(VLOOKUP(F$7,'Writing Logic'!$J$7:$K$11,2,FALSE)&amp;" - Per "&amp;VLOOKUP($C$4,'Writing Logic'!$G$8:$H$14,2,FALSE),YES_Writing_ELA[#Headers],0))=0,"",INDEX(_xlfn.VSTACK(YES_Writing_ELA[#Data],YES_Writing_FLA[#Data]),MATCH($A491,_xlfn.VSTACK(YES_Writing_ELA[Student Number],YES_Writing_FLA[Student Number]),0),MATCH(VLOOKUP(F$7,'Writing Logic'!$J$7:$K$11,2,FALSE)&amp;" - Per "&amp;VLOOKUP($C$4,'Writing Logic'!$G$8:$H$14,2,FALSE),YES_Writing_ELA[#Headers],0)))),"")</f>
        <v/>
      </c>
      <c r="G491" s="138" t="str">
        <f>IFERROR(IF(IF(INDEX(_xlfn.VSTACK(YES_Writing_ELA[#Data],YES_Writing_FLA[#Data]),MATCH($A491,_xlfn.VSTACK(YES_Writing_ELA[Student Number],YES_Writing_FLA[Student Number]),0),MATCH(VLOOKUP(G$7,'Writing Logic'!$J$7:$K$11,2,FALSE)&amp;" - Per "&amp;VLOOKUP($C$4,'Writing Logic'!$G$8:$H$14,2,FALSE),YES_Writing_ELA[#Headers],0))=0,"",INDEX(_xlfn.VSTACK(YES_Writing_ELA[#Data],YES_Writing_FLA[#Data]),MATCH($A491,_xlfn.VSTACK(YES_Writing_ELA[Student Number],YES_Writing_FLA[Student Number]),0),MATCH(VLOOKUP(G$7,'Writing Logic'!$J$7:$K$11,2,FALSE)&amp;" - Per "&amp;VLOOKUP($C$4,'Writing Logic'!$G$8:$H$14,2,FALSE),YES_Writing_ELA[#Headers],0)))="INS",'Writing Logic'!$B$7,IF(INDEX(_xlfn.VSTACK(YES_Writing_ELA[#Data],YES_Writing_FLA[#Data]),MATCH($A491,_xlfn.VSTACK(YES_Writing_ELA[Student Number],YES_Writing_FLA[Student Number]),0),MATCH(VLOOKUP(G$7,'Writing Logic'!$J$7:$K$11,2,FALSE)&amp;" - Per "&amp;VLOOKUP($C$4,'Writing Logic'!$G$8:$H$14,2,FALSE),YES_Writing_ELA[#Headers],0))=0,"",INDEX(_xlfn.VSTACK(YES_Writing_ELA[#Data],YES_Writing_FLA[#Data]),MATCH($A491,_xlfn.VSTACK(YES_Writing_ELA[Student Number],YES_Writing_FLA[Student Number]),0),MATCH(VLOOKUP(G$7,'Writing Logic'!$J$7:$K$11,2,FALSE)&amp;" - Per "&amp;VLOOKUP($C$4,'Writing Logic'!$G$8:$H$14,2,FALSE),YES_Writing_ELA[#Headers],0)))),"")</f>
        <v/>
      </c>
      <c r="H491" s="223" t="str">
        <f>IFERROR(IF(IF(INDEX(_xlfn.VSTACK(YES_Writing_ELA[#Data],YES_Writing_FLA[#Data]),MATCH($A491,_xlfn.VSTACK(YES_Writing_ELA[Student Number],YES_Writing_FLA[Student Number]),0),MATCH(VLOOKUP(H$7,'Writing Logic'!$J$7:$K$11,2,FALSE)&amp;" - Per "&amp;VLOOKUP($C$4,'Writing Logic'!$G$8:$H$14,2,FALSE),YES_Writing_ELA[#Headers],0))=0,"",INDEX(_xlfn.VSTACK(YES_Writing_ELA[#Data],YES_Writing_FLA[#Data]),MATCH($A491,_xlfn.VSTACK(YES_Writing_ELA[Student Number],YES_Writing_FLA[Student Number]),0),MATCH(VLOOKUP(H$7,'Writing Logic'!$J$7:$K$11,2,FALSE)&amp;" - Per "&amp;VLOOKUP($C$4,'Writing Logic'!$G$8:$H$14,2,FALSE),YES_Writing_ELA[#Headers],0)))="INS",'Writing Logic'!$B$7,IF(INDEX(_xlfn.VSTACK(YES_Writing_ELA[#Data],YES_Writing_FLA[#Data]),MATCH($A491,_xlfn.VSTACK(YES_Writing_ELA[Student Number],YES_Writing_FLA[Student Number]),0),MATCH(VLOOKUP(H$7,'Writing Logic'!$J$7:$K$11,2,FALSE)&amp;" - Per "&amp;VLOOKUP($C$4,'Writing Logic'!$G$8:$H$14,2,FALSE),YES_Writing_ELA[#Headers],0))=0,"",INDEX(_xlfn.VSTACK(YES_Writing_ELA[#Data],YES_Writing_FLA[#Data]),MATCH($A491,_xlfn.VSTACK(YES_Writing_ELA[Student Number],YES_Writing_FLA[Student Number]),0),MATCH(VLOOKUP(H$7,'Writing Logic'!$J$7:$K$11,2,FALSE)&amp;" - Per "&amp;VLOOKUP($C$4,'Writing Logic'!$G$8:$H$14,2,FALSE),YES_Writing_ELA[#Headers],0)))),"")</f>
        <v/>
      </c>
      <c r="I491" s="224" t="str" cm="1">
        <f t="array" aca="1" ref="I491" ca="1">IFERROR(
IF($G$3="ELA",
IF(VLOOKUP($A491, YES_Reading_ELA[], COLUMN(INDIRECT("YES_Reading_ELA[Difference - Per "&amp;VLOOKUP($G$4, 'Reading Report Logic'!$A$2:$B$8, 2, FALSE)&amp;"]")), FALSE)="", "",
VLOOKUP($A491,YES_Reading_ELA[], COLUMN(INDIRECT("YES_Reading_ELA[Difference - Per "&amp;VLOOKUP($G$4,'Reading Report Logic'!$A$2:$B$8,2,FALSE)&amp;"]")), FALSE)),
IF($G$3="FLA",
IF(VLOOKUP($A491, YES_Reading_FLA[], COLUMN(INDIRECT("YES_Reading_FLA[Difference - Per "&amp;VLOOKUP($G$4,'Reading Report Logic'!$A$2:$B$8,2,FALSE)&amp;"]")),FALSE)="","",
VLOOKUP($A491,YES_Reading_FLA[],COLUMN(INDIRECT("YES_Reading_FLA[Difference - Per "&amp;VLOOKUP($G$4,'Reading Report Logic'!$A$2:$B$8,2,FALSE)&amp;"]")),FALSE)),
IF($G$3="Combined",
IFERROR(
IF(VLOOKUP($A491, YES_Reading_ELA[], COLUMN(INDIRECT("YES_Reading_ELA[Difference - Per "&amp;VLOOKUP($G$4, 'Reading Report Logic'!$A$2:$B$8,2,FALSE)&amp;"]")), FALSE)="", "",
VLOOKUP($A491,YES_Reading_ELA[],COLUMN(INDIRECT("YES_Reading_ELA[Difference - Per "&amp;VLOOKUP($G$4,'Reading Report Logic'!$A$2:$B$8,2,FALSE)&amp;"]")),FALSE)),
IF(VLOOKUP($A491, YES_Reading_FLA[], COLUMN(INDIRECT("YES_Reading_FLA[Difference - Per "&amp;VLOOKUP($G$4, 'Reading Report Logic'!$A$2:$B$8, 2, FALSE)&amp;"]")),FALSE)="", "", VLOOKUP($A491,YES_Reading_FLA[],COLUMN(INDIRECT("YES_Reading_FLA[Difference - Per "&amp;VLOOKUP($G$4, 'Reading Report Logic'!$A$2:$B$8, 2, FALSE)&amp;"]")),FALSE))),""))),"")</f>
        <v/>
      </c>
    </row>
    <row r="492" spans="1:9" x14ac:dyDescent="0.25">
      <c r="A492" s="137"/>
      <c r="B492" s="137" t="str">
        <f>IFERROR(INDEX(_xlfn.VSTACK(YES_Writing_ELA[#Data], YES_Writing_FLA[#Data]),MATCH($A492,_xlfn.VSTACK(YES_Writing_ELA[Student Number], YES_Writing_FLA[Student Number]),0),MATCH(B$7,YES_Writing_ELA[#Headers],0)),IFERROR(INDEX(_xlfn.VSTACK(YES_Reading_ELA[#Data], YES_Reading_FLA[#Data]),MATCH($A492,_xlfn.VSTACK(YES_Reading_ELA[Student Number], YES_Reading_FLA[Student Number]),0),MATCH(B$7,YES_Reading_ELA[#Headers],0)),""))</f>
        <v/>
      </c>
      <c r="C492" s="137" t="str">
        <f>IFERROR(INDEX(_xlfn.VSTACK(YES_Writing_ELA[#Data], YES_Writing_FLA[#Data]),MATCH($A492,_xlfn.VSTACK(YES_Writing_ELA[Student Number], YES_Writing_FLA[Student Number]),0),MATCH(C$7,YES_Writing_ELA[#Headers],0)),IFERROR(INDEX(_xlfn.VSTACK(YES_Reading_ELA[#Data], YES_Reading_FLA[#Data]),MATCH($A492,_xlfn.VSTACK(YES_Reading_ELA[Student Number], YES_Reading_FLA[Student Number]),0),MATCH(C$7,YES_Reading_ELA[#Headers],0)),""))</f>
        <v/>
      </c>
      <c r="D492" s="138" t="str">
        <f>IFERROR(IF(IF(INDEX(_xlfn.VSTACK(YES_Writing_ELA[#Data],YES_Writing_FLA[#Data]),MATCH($A492,_xlfn.VSTACK(YES_Writing_ELA[Student Number],YES_Writing_FLA[Student Number]),0),MATCH(VLOOKUP(D$7,'Writing Logic'!$J$7:$K$11,2,FALSE)&amp;" - Per "&amp;VLOOKUP($C$4,'Writing Logic'!$G$8:$H$14,2,FALSE),YES_Writing_ELA[#Headers],0))=0,"",INDEX(_xlfn.VSTACK(YES_Writing_ELA[#Data],YES_Writing_FLA[#Data]),MATCH($A492,_xlfn.VSTACK(YES_Writing_ELA[Student Number],YES_Writing_FLA[Student Number]),0),MATCH(VLOOKUP(D$7,'Writing Logic'!$J$7:$K$11,2,FALSE)&amp;" - Per "&amp;VLOOKUP($C$4,'Writing Logic'!$G$8:$H$14,2,FALSE),YES_Writing_ELA[#Headers],0)))="INS",'Writing Logic'!$B$7,IF(INDEX(_xlfn.VSTACK(YES_Writing_ELA[#Data],YES_Writing_FLA[#Data]),MATCH($A492,_xlfn.VSTACK(YES_Writing_ELA[Student Number],YES_Writing_FLA[Student Number]),0),MATCH(VLOOKUP(D$7,'Writing Logic'!$J$7:$K$11,2,FALSE)&amp;" - Per "&amp;VLOOKUP($C$4,'Writing Logic'!$G$8:$H$14,2,FALSE),YES_Writing_ELA[#Headers],0))=0,"",INDEX(_xlfn.VSTACK(YES_Writing_ELA[#Data],YES_Writing_FLA[#Data]),MATCH($A492,_xlfn.VSTACK(YES_Writing_ELA[Student Number],YES_Writing_FLA[Student Number]),0),MATCH(VLOOKUP(D$7,'Writing Logic'!$J$7:$K$11,2,FALSE)&amp;" - Per "&amp;VLOOKUP($C$4,'Writing Logic'!$G$8:$H$14,2,FALSE),YES_Writing_ELA[#Headers],0)))),"")</f>
        <v/>
      </c>
      <c r="E492" s="138" t="str">
        <f>IFERROR(IF(IF(INDEX(_xlfn.VSTACK(YES_Writing_ELA[#Data],YES_Writing_FLA[#Data]),MATCH($A492,_xlfn.VSTACK(YES_Writing_ELA[Student Number],YES_Writing_FLA[Student Number]),0),MATCH(VLOOKUP(E$7,'Writing Logic'!$J$7:$K$11,2,FALSE)&amp;" - Per "&amp;VLOOKUP($C$4,'Writing Logic'!$G$8:$H$14,2,FALSE),YES_Writing_ELA[#Headers],0))=0,"",INDEX(_xlfn.VSTACK(YES_Writing_ELA[#Data],YES_Writing_FLA[#Data]),MATCH($A492,_xlfn.VSTACK(YES_Writing_ELA[Student Number],YES_Writing_FLA[Student Number]),0),MATCH(VLOOKUP(E$7,'Writing Logic'!$J$7:$K$11,2,FALSE)&amp;" - Per "&amp;VLOOKUP($C$4,'Writing Logic'!$G$8:$H$14,2,FALSE),YES_Writing_ELA[#Headers],0)))="INS",'Writing Logic'!$B$7,IF(INDEX(_xlfn.VSTACK(YES_Writing_ELA[#Data],YES_Writing_FLA[#Data]),MATCH($A492,_xlfn.VSTACK(YES_Writing_ELA[Student Number],YES_Writing_FLA[Student Number]),0),MATCH(VLOOKUP(E$7,'Writing Logic'!$J$7:$K$11,2,FALSE)&amp;" - Per "&amp;VLOOKUP($C$4,'Writing Logic'!$G$8:$H$14,2,FALSE),YES_Writing_ELA[#Headers],0))=0,"",INDEX(_xlfn.VSTACK(YES_Writing_ELA[#Data],YES_Writing_FLA[#Data]),MATCH($A492,_xlfn.VSTACK(YES_Writing_ELA[Student Number],YES_Writing_FLA[Student Number]),0),MATCH(VLOOKUP(E$7,'Writing Logic'!$J$7:$K$11,2,FALSE)&amp;" - Per "&amp;VLOOKUP($C$4,'Writing Logic'!$G$8:$H$14,2,FALSE),YES_Writing_ELA[#Headers],0)))),"")</f>
        <v/>
      </c>
      <c r="F492" s="138" t="str">
        <f>IFERROR(IF(IF(INDEX(_xlfn.VSTACK(YES_Writing_ELA[#Data],YES_Writing_FLA[#Data]),MATCH($A492,_xlfn.VSTACK(YES_Writing_ELA[Student Number],YES_Writing_FLA[Student Number]),0),MATCH(VLOOKUP(F$7,'Writing Logic'!$J$7:$K$11,2,FALSE)&amp;" - Per "&amp;VLOOKUP($C$4,'Writing Logic'!$G$8:$H$14,2,FALSE),YES_Writing_ELA[#Headers],0))=0,"",INDEX(_xlfn.VSTACK(YES_Writing_ELA[#Data],YES_Writing_FLA[#Data]),MATCH($A492,_xlfn.VSTACK(YES_Writing_ELA[Student Number],YES_Writing_FLA[Student Number]),0),MATCH(VLOOKUP(F$7,'Writing Logic'!$J$7:$K$11,2,FALSE)&amp;" - Per "&amp;VLOOKUP($C$4,'Writing Logic'!$G$8:$H$14,2,FALSE),YES_Writing_ELA[#Headers],0)))="INS",'Writing Logic'!$B$7,IF(INDEX(_xlfn.VSTACK(YES_Writing_ELA[#Data],YES_Writing_FLA[#Data]),MATCH($A492,_xlfn.VSTACK(YES_Writing_ELA[Student Number],YES_Writing_FLA[Student Number]),0),MATCH(VLOOKUP(F$7,'Writing Logic'!$J$7:$K$11,2,FALSE)&amp;" - Per "&amp;VLOOKUP($C$4,'Writing Logic'!$G$8:$H$14,2,FALSE),YES_Writing_ELA[#Headers],0))=0,"",INDEX(_xlfn.VSTACK(YES_Writing_ELA[#Data],YES_Writing_FLA[#Data]),MATCH($A492,_xlfn.VSTACK(YES_Writing_ELA[Student Number],YES_Writing_FLA[Student Number]),0),MATCH(VLOOKUP(F$7,'Writing Logic'!$J$7:$K$11,2,FALSE)&amp;" - Per "&amp;VLOOKUP($C$4,'Writing Logic'!$G$8:$H$14,2,FALSE),YES_Writing_ELA[#Headers],0)))),"")</f>
        <v/>
      </c>
      <c r="G492" s="138" t="str">
        <f>IFERROR(IF(IF(INDEX(_xlfn.VSTACK(YES_Writing_ELA[#Data],YES_Writing_FLA[#Data]),MATCH($A492,_xlfn.VSTACK(YES_Writing_ELA[Student Number],YES_Writing_FLA[Student Number]),0),MATCH(VLOOKUP(G$7,'Writing Logic'!$J$7:$K$11,2,FALSE)&amp;" - Per "&amp;VLOOKUP($C$4,'Writing Logic'!$G$8:$H$14,2,FALSE),YES_Writing_ELA[#Headers],0))=0,"",INDEX(_xlfn.VSTACK(YES_Writing_ELA[#Data],YES_Writing_FLA[#Data]),MATCH($A492,_xlfn.VSTACK(YES_Writing_ELA[Student Number],YES_Writing_FLA[Student Number]),0),MATCH(VLOOKUP(G$7,'Writing Logic'!$J$7:$K$11,2,FALSE)&amp;" - Per "&amp;VLOOKUP($C$4,'Writing Logic'!$G$8:$H$14,2,FALSE),YES_Writing_ELA[#Headers],0)))="INS",'Writing Logic'!$B$7,IF(INDEX(_xlfn.VSTACK(YES_Writing_ELA[#Data],YES_Writing_FLA[#Data]),MATCH($A492,_xlfn.VSTACK(YES_Writing_ELA[Student Number],YES_Writing_FLA[Student Number]),0),MATCH(VLOOKUP(G$7,'Writing Logic'!$J$7:$K$11,2,FALSE)&amp;" - Per "&amp;VLOOKUP($C$4,'Writing Logic'!$G$8:$H$14,2,FALSE),YES_Writing_ELA[#Headers],0))=0,"",INDEX(_xlfn.VSTACK(YES_Writing_ELA[#Data],YES_Writing_FLA[#Data]),MATCH($A492,_xlfn.VSTACK(YES_Writing_ELA[Student Number],YES_Writing_FLA[Student Number]),0),MATCH(VLOOKUP(G$7,'Writing Logic'!$J$7:$K$11,2,FALSE)&amp;" - Per "&amp;VLOOKUP($C$4,'Writing Logic'!$G$8:$H$14,2,FALSE),YES_Writing_ELA[#Headers],0)))),"")</f>
        <v/>
      </c>
      <c r="H492" s="223" t="str">
        <f>IFERROR(IF(IF(INDEX(_xlfn.VSTACK(YES_Writing_ELA[#Data],YES_Writing_FLA[#Data]),MATCH($A492,_xlfn.VSTACK(YES_Writing_ELA[Student Number],YES_Writing_FLA[Student Number]),0),MATCH(VLOOKUP(H$7,'Writing Logic'!$J$7:$K$11,2,FALSE)&amp;" - Per "&amp;VLOOKUP($C$4,'Writing Logic'!$G$8:$H$14,2,FALSE),YES_Writing_ELA[#Headers],0))=0,"",INDEX(_xlfn.VSTACK(YES_Writing_ELA[#Data],YES_Writing_FLA[#Data]),MATCH($A492,_xlfn.VSTACK(YES_Writing_ELA[Student Number],YES_Writing_FLA[Student Number]),0),MATCH(VLOOKUP(H$7,'Writing Logic'!$J$7:$K$11,2,FALSE)&amp;" - Per "&amp;VLOOKUP($C$4,'Writing Logic'!$G$8:$H$14,2,FALSE),YES_Writing_ELA[#Headers],0)))="INS",'Writing Logic'!$B$7,IF(INDEX(_xlfn.VSTACK(YES_Writing_ELA[#Data],YES_Writing_FLA[#Data]),MATCH($A492,_xlfn.VSTACK(YES_Writing_ELA[Student Number],YES_Writing_FLA[Student Number]),0),MATCH(VLOOKUP(H$7,'Writing Logic'!$J$7:$K$11,2,FALSE)&amp;" - Per "&amp;VLOOKUP($C$4,'Writing Logic'!$G$8:$H$14,2,FALSE),YES_Writing_ELA[#Headers],0))=0,"",INDEX(_xlfn.VSTACK(YES_Writing_ELA[#Data],YES_Writing_FLA[#Data]),MATCH($A492,_xlfn.VSTACK(YES_Writing_ELA[Student Number],YES_Writing_FLA[Student Number]),0),MATCH(VLOOKUP(H$7,'Writing Logic'!$J$7:$K$11,2,FALSE)&amp;" - Per "&amp;VLOOKUP($C$4,'Writing Logic'!$G$8:$H$14,2,FALSE),YES_Writing_ELA[#Headers],0)))),"")</f>
        <v/>
      </c>
      <c r="I492" s="224" t="str" cm="1">
        <f t="array" aca="1" ref="I492" ca="1">IFERROR(
IF($G$3="ELA",
IF(VLOOKUP($A492, YES_Reading_ELA[], COLUMN(INDIRECT("YES_Reading_ELA[Difference - Per "&amp;VLOOKUP($G$4, 'Reading Report Logic'!$A$2:$B$8, 2, FALSE)&amp;"]")), FALSE)="", "",
VLOOKUP($A492,YES_Reading_ELA[], COLUMN(INDIRECT("YES_Reading_ELA[Difference - Per "&amp;VLOOKUP($G$4,'Reading Report Logic'!$A$2:$B$8,2,FALSE)&amp;"]")), FALSE)),
IF($G$3="FLA",
IF(VLOOKUP($A492, YES_Reading_FLA[], COLUMN(INDIRECT("YES_Reading_FLA[Difference - Per "&amp;VLOOKUP($G$4,'Reading Report Logic'!$A$2:$B$8,2,FALSE)&amp;"]")),FALSE)="","",
VLOOKUP($A492,YES_Reading_FLA[],COLUMN(INDIRECT("YES_Reading_FLA[Difference - Per "&amp;VLOOKUP($G$4,'Reading Report Logic'!$A$2:$B$8,2,FALSE)&amp;"]")),FALSE)),
IF($G$3="Combined",
IFERROR(
IF(VLOOKUP($A492, YES_Reading_ELA[], COLUMN(INDIRECT("YES_Reading_ELA[Difference - Per "&amp;VLOOKUP($G$4, 'Reading Report Logic'!$A$2:$B$8,2,FALSE)&amp;"]")), FALSE)="", "",
VLOOKUP($A492,YES_Reading_ELA[],COLUMN(INDIRECT("YES_Reading_ELA[Difference - Per "&amp;VLOOKUP($G$4,'Reading Report Logic'!$A$2:$B$8,2,FALSE)&amp;"]")),FALSE)),
IF(VLOOKUP($A492, YES_Reading_FLA[], COLUMN(INDIRECT("YES_Reading_FLA[Difference - Per "&amp;VLOOKUP($G$4, 'Reading Report Logic'!$A$2:$B$8, 2, FALSE)&amp;"]")),FALSE)="", "", VLOOKUP($A492,YES_Reading_FLA[],COLUMN(INDIRECT("YES_Reading_FLA[Difference - Per "&amp;VLOOKUP($G$4, 'Reading Report Logic'!$A$2:$B$8, 2, FALSE)&amp;"]")),FALSE))),""))),"")</f>
        <v/>
      </c>
    </row>
    <row r="493" spans="1:9" x14ac:dyDescent="0.25">
      <c r="A493" s="137"/>
      <c r="B493" s="137" t="str">
        <f>IFERROR(INDEX(_xlfn.VSTACK(YES_Writing_ELA[#Data], YES_Writing_FLA[#Data]),MATCH($A493,_xlfn.VSTACK(YES_Writing_ELA[Student Number], YES_Writing_FLA[Student Number]),0),MATCH(B$7,YES_Writing_ELA[#Headers],0)),IFERROR(INDEX(_xlfn.VSTACK(YES_Reading_ELA[#Data], YES_Reading_FLA[#Data]),MATCH($A493,_xlfn.VSTACK(YES_Reading_ELA[Student Number], YES_Reading_FLA[Student Number]),0),MATCH(B$7,YES_Reading_ELA[#Headers],0)),""))</f>
        <v/>
      </c>
      <c r="C493" s="137" t="str">
        <f>IFERROR(INDEX(_xlfn.VSTACK(YES_Writing_ELA[#Data], YES_Writing_FLA[#Data]),MATCH($A493,_xlfn.VSTACK(YES_Writing_ELA[Student Number], YES_Writing_FLA[Student Number]),0),MATCH(C$7,YES_Writing_ELA[#Headers],0)),IFERROR(INDEX(_xlfn.VSTACK(YES_Reading_ELA[#Data], YES_Reading_FLA[#Data]),MATCH($A493,_xlfn.VSTACK(YES_Reading_ELA[Student Number], YES_Reading_FLA[Student Number]),0),MATCH(C$7,YES_Reading_ELA[#Headers],0)),""))</f>
        <v/>
      </c>
      <c r="D493" s="138" t="str">
        <f>IFERROR(IF(IF(INDEX(_xlfn.VSTACK(YES_Writing_ELA[#Data],YES_Writing_FLA[#Data]),MATCH($A493,_xlfn.VSTACK(YES_Writing_ELA[Student Number],YES_Writing_FLA[Student Number]),0),MATCH(VLOOKUP(D$7,'Writing Logic'!$J$7:$K$11,2,FALSE)&amp;" - Per "&amp;VLOOKUP($C$4,'Writing Logic'!$G$8:$H$14,2,FALSE),YES_Writing_ELA[#Headers],0))=0,"",INDEX(_xlfn.VSTACK(YES_Writing_ELA[#Data],YES_Writing_FLA[#Data]),MATCH($A493,_xlfn.VSTACK(YES_Writing_ELA[Student Number],YES_Writing_FLA[Student Number]),0),MATCH(VLOOKUP(D$7,'Writing Logic'!$J$7:$K$11,2,FALSE)&amp;" - Per "&amp;VLOOKUP($C$4,'Writing Logic'!$G$8:$H$14,2,FALSE),YES_Writing_ELA[#Headers],0)))="INS",'Writing Logic'!$B$7,IF(INDEX(_xlfn.VSTACK(YES_Writing_ELA[#Data],YES_Writing_FLA[#Data]),MATCH($A493,_xlfn.VSTACK(YES_Writing_ELA[Student Number],YES_Writing_FLA[Student Number]),0),MATCH(VLOOKUP(D$7,'Writing Logic'!$J$7:$K$11,2,FALSE)&amp;" - Per "&amp;VLOOKUP($C$4,'Writing Logic'!$G$8:$H$14,2,FALSE),YES_Writing_ELA[#Headers],0))=0,"",INDEX(_xlfn.VSTACK(YES_Writing_ELA[#Data],YES_Writing_FLA[#Data]),MATCH($A493,_xlfn.VSTACK(YES_Writing_ELA[Student Number],YES_Writing_FLA[Student Number]),0),MATCH(VLOOKUP(D$7,'Writing Logic'!$J$7:$K$11,2,FALSE)&amp;" - Per "&amp;VLOOKUP($C$4,'Writing Logic'!$G$8:$H$14,2,FALSE),YES_Writing_ELA[#Headers],0)))),"")</f>
        <v/>
      </c>
      <c r="E493" s="138" t="str">
        <f>IFERROR(IF(IF(INDEX(_xlfn.VSTACK(YES_Writing_ELA[#Data],YES_Writing_FLA[#Data]),MATCH($A493,_xlfn.VSTACK(YES_Writing_ELA[Student Number],YES_Writing_FLA[Student Number]),0),MATCH(VLOOKUP(E$7,'Writing Logic'!$J$7:$K$11,2,FALSE)&amp;" - Per "&amp;VLOOKUP($C$4,'Writing Logic'!$G$8:$H$14,2,FALSE),YES_Writing_ELA[#Headers],0))=0,"",INDEX(_xlfn.VSTACK(YES_Writing_ELA[#Data],YES_Writing_FLA[#Data]),MATCH($A493,_xlfn.VSTACK(YES_Writing_ELA[Student Number],YES_Writing_FLA[Student Number]),0),MATCH(VLOOKUP(E$7,'Writing Logic'!$J$7:$K$11,2,FALSE)&amp;" - Per "&amp;VLOOKUP($C$4,'Writing Logic'!$G$8:$H$14,2,FALSE),YES_Writing_ELA[#Headers],0)))="INS",'Writing Logic'!$B$7,IF(INDEX(_xlfn.VSTACK(YES_Writing_ELA[#Data],YES_Writing_FLA[#Data]),MATCH($A493,_xlfn.VSTACK(YES_Writing_ELA[Student Number],YES_Writing_FLA[Student Number]),0),MATCH(VLOOKUP(E$7,'Writing Logic'!$J$7:$K$11,2,FALSE)&amp;" - Per "&amp;VLOOKUP($C$4,'Writing Logic'!$G$8:$H$14,2,FALSE),YES_Writing_ELA[#Headers],0))=0,"",INDEX(_xlfn.VSTACK(YES_Writing_ELA[#Data],YES_Writing_FLA[#Data]),MATCH($A493,_xlfn.VSTACK(YES_Writing_ELA[Student Number],YES_Writing_FLA[Student Number]),0),MATCH(VLOOKUP(E$7,'Writing Logic'!$J$7:$K$11,2,FALSE)&amp;" - Per "&amp;VLOOKUP($C$4,'Writing Logic'!$G$8:$H$14,2,FALSE),YES_Writing_ELA[#Headers],0)))),"")</f>
        <v/>
      </c>
      <c r="F493" s="138" t="str">
        <f>IFERROR(IF(IF(INDEX(_xlfn.VSTACK(YES_Writing_ELA[#Data],YES_Writing_FLA[#Data]),MATCH($A493,_xlfn.VSTACK(YES_Writing_ELA[Student Number],YES_Writing_FLA[Student Number]),0),MATCH(VLOOKUP(F$7,'Writing Logic'!$J$7:$K$11,2,FALSE)&amp;" - Per "&amp;VLOOKUP($C$4,'Writing Logic'!$G$8:$H$14,2,FALSE),YES_Writing_ELA[#Headers],0))=0,"",INDEX(_xlfn.VSTACK(YES_Writing_ELA[#Data],YES_Writing_FLA[#Data]),MATCH($A493,_xlfn.VSTACK(YES_Writing_ELA[Student Number],YES_Writing_FLA[Student Number]),0),MATCH(VLOOKUP(F$7,'Writing Logic'!$J$7:$K$11,2,FALSE)&amp;" - Per "&amp;VLOOKUP($C$4,'Writing Logic'!$G$8:$H$14,2,FALSE),YES_Writing_ELA[#Headers],0)))="INS",'Writing Logic'!$B$7,IF(INDEX(_xlfn.VSTACK(YES_Writing_ELA[#Data],YES_Writing_FLA[#Data]),MATCH($A493,_xlfn.VSTACK(YES_Writing_ELA[Student Number],YES_Writing_FLA[Student Number]),0),MATCH(VLOOKUP(F$7,'Writing Logic'!$J$7:$K$11,2,FALSE)&amp;" - Per "&amp;VLOOKUP($C$4,'Writing Logic'!$G$8:$H$14,2,FALSE),YES_Writing_ELA[#Headers],0))=0,"",INDEX(_xlfn.VSTACK(YES_Writing_ELA[#Data],YES_Writing_FLA[#Data]),MATCH($A493,_xlfn.VSTACK(YES_Writing_ELA[Student Number],YES_Writing_FLA[Student Number]),0),MATCH(VLOOKUP(F$7,'Writing Logic'!$J$7:$K$11,2,FALSE)&amp;" - Per "&amp;VLOOKUP($C$4,'Writing Logic'!$G$8:$H$14,2,FALSE),YES_Writing_ELA[#Headers],0)))),"")</f>
        <v/>
      </c>
      <c r="G493" s="138" t="str">
        <f>IFERROR(IF(IF(INDEX(_xlfn.VSTACK(YES_Writing_ELA[#Data],YES_Writing_FLA[#Data]),MATCH($A493,_xlfn.VSTACK(YES_Writing_ELA[Student Number],YES_Writing_FLA[Student Number]),0),MATCH(VLOOKUP(G$7,'Writing Logic'!$J$7:$K$11,2,FALSE)&amp;" - Per "&amp;VLOOKUP($C$4,'Writing Logic'!$G$8:$H$14,2,FALSE),YES_Writing_ELA[#Headers],0))=0,"",INDEX(_xlfn.VSTACK(YES_Writing_ELA[#Data],YES_Writing_FLA[#Data]),MATCH($A493,_xlfn.VSTACK(YES_Writing_ELA[Student Number],YES_Writing_FLA[Student Number]),0),MATCH(VLOOKUP(G$7,'Writing Logic'!$J$7:$K$11,2,FALSE)&amp;" - Per "&amp;VLOOKUP($C$4,'Writing Logic'!$G$8:$H$14,2,FALSE),YES_Writing_ELA[#Headers],0)))="INS",'Writing Logic'!$B$7,IF(INDEX(_xlfn.VSTACK(YES_Writing_ELA[#Data],YES_Writing_FLA[#Data]),MATCH($A493,_xlfn.VSTACK(YES_Writing_ELA[Student Number],YES_Writing_FLA[Student Number]),0),MATCH(VLOOKUP(G$7,'Writing Logic'!$J$7:$K$11,2,FALSE)&amp;" - Per "&amp;VLOOKUP($C$4,'Writing Logic'!$G$8:$H$14,2,FALSE),YES_Writing_ELA[#Headers],0))=0,"",INDEX(_xlfn.VSTACK(YES_Writing_ELA[#Data],YES_Writing_FLA[#Data]),MATCH($A493,_xlfn.VSTACK(YES_Writing_ELA[Student Number],YES_Writing_FLA[Student Number]),0),MATCH(VLOOKUP(G$7,'Writing Logic'!$J$7:$K$11,2,FALSE)&amp;" - Per "&amp;VLOOKUP($C$4,'Writing Logic'!$G$8:$H$14,2,FALSE),YES_Writing_ELA[#Headers],0)))),"")</f>
        <v/>
      </c>
      <c r="H493" s="223" t="str">
        <f>IFERROR(IF(IF(INDEX(_xlfn.VSTACK(YES_Writing_ELA[#Data],YES_Writing_FLA[#Data]),MATCH($A493,_xlfn.VSTACK(YES_Writing_ELA[Student Number],YES_Writing_FLA[Student Number]),0),MATCH(VLOOKUP(H$7,'Writing Logic'!$J$7:$K$11,2,FALSE)&amp;" - Per "&amp;VLOOKUP($C$4,'Writing Logic'!$G$8:$H$14,2,FALSE),YES_Writing_ELA[#Headers],0))=0,"",INDEX(_xlfn.VSTACK(YES_Writing_ELA[#Data],YES_Writing_FLA[#Data]),MATCH($A493,_xlfn.VSTACK(YES_Writing_ELA[Student Number],YES_Writing_FLA[Student Number]),0),MATCH(VLOOKUP(H$7,'Writing Logic'!$J$7:$K$11,2,FALSE)&amp;" - Per "&amp;VLOOKUP($C$4,'Writing Logic'!$G$8:$H$14,2,FALSE),YES_Writing_ELA[#Headers],0)))="INS",'Writing Logic'!$B$7,IF(INDEX(_xlfn.VSTACK(YES_Writing_ELA[#Data],YES_Writing_FLA[#Data]),MATCH($A493,_xlfn.VSTACK(YES_Writing_ELA[Student Number],YES_Writing_FLA[Student Number]),0),MATCH(VLOOKUP(H$7,'Writing Logic'!$J$7:$K$11,2,FALSE)&amp;" - Per "&amp;VLOOKUP($C$4,'Writing Logic'!$G$8:$H$14,2,FALSE),YES_Writing_ELA[#Headers],0))=0,"",INDEX(_xlfn.VSTACK(YES_Writing_ELA[#Data],YES_Writing_FLA[#Data]),MATCH($A493,_xlfn.VSTACK(YES_Writing_ELA[Student Number],YES_Writing_FLA[Student Number]),0),MATCH(VLOOKUP(H$7,'Writing Logic'!$J$7:$K$11,2,FALSE)&amp;" - Per "&amp;VLOOKUP($C$4,'Writing Logic'!$G$8:$H$14,2,FALSE),YES_Writing_ELA[#Headers],0)))),"")</f>
        <v/>
      </c>
      <c r="I493" s="224" t="str" cm="1">
        <f t="array" aca="1" ref="I493" ca="1">IFERROR(
IF($G$3="ELA",
IF(VLOOKUP($A493, YES_Reading_ELA[], COLUMN(INDIRECT("YES_Reading_ELA[Difference - Per "&amp;VLOOKUP($G$4, 'Reading Report Logic'!$A$2:$B$8, 2, FALSE)&amp;"]")), FALSE)="", "",
VLOOKUP($A493,YES_Reading_ELA[], COLUMN(INDIRECT("YES_Reading_ELA[Difference - Per "&amp;VLOOKUP($G$4,'Reading Report Logic'!$A$2:$B$8,2,FALSE)&amp;"]")), FALSE)),
IF($G$3="FLA",
IF(VLOOKUP($A493, YES_Reading_FLA[], COLUMN(INDIRECT("YES_Reading_FLA[Difference - Per "&amp;VLOOKUP($G$4,'Reading Report Logic'!$A$2:$B$8,2,FALSE)&amp;"]")),FALSE)="","",
VLOOKUP($A493,YES_Reading_FLA[],COLUMN(INDIRECT("YES_Reading_FLA[Difference - Per "&amp;VLOOKUP($G$4,'Reading Report Logic'!$A$2:$B$8,2,FALSE)&amp;"]")),FALSE)),
IF($G$3="Combined",
IFERROR(
IF(VLOOKUP($A493, YES_Reading_ELA[], COLUMN(INDIRECT("YES_Reading_ELA[Difference - Per "&amp;VLOOKUP($G$4, 'Reading Report Logic'!$A$2:$B$8,2,FALSE)&amp;"]")), FALSE)="", "",
VLOOKUP($A493,YES_Reading_ELA[],COLUMN(INDIRECT("YES_Reading_ELA[Difference - Per "&amp;VLOOKUP($G$4,'Reading Report Logic'!$A$2:$B$8,2,FALSE)&amp;"]")),FALSE)),
IF(VLOOKUP($A493, YES_Reading_FLA[], COLUMN(INDIRECT("YES_Reading_FLA[Difference - Per "&amp;VLOOKUP($G$4, 'Reading Report Logic'!$A$2:$B$8, 2, FALSE)&amp;"]")),FALSE)="", "", VLOOKUP($A493,YES_Reading_FLA[],COLUMN(INDIRECT("YES_Reading_FLA[Difference - Per "&amp;VLOOKUP($G$4, 'Reading Report Logic'!$A$2:$B$8, 2, FALSE)&amp;"]")),FALSE))),""))),"")</f>
        <v/>
      </c>
    </row>
    <row r="494" spans="1:9" x14ac:dyDescent="0.25">
      <c r="A494" s="137"/>
      <c r="B494" s="137" t="str">
        <f>IFERROR(INDEX(_xlfn.VSTACK(YES_Writing_ELA[#Data], YES_Writing_FLA[#Data]),MATCH($A494,_xlfn.VSTACK(YES_Writing_ELA[Student Number], YES_Writing_FLA[Student Number]),0),MATCH(B$7,YES_Writing_ELA[#Headers],0)),IFERROR(INDEX(_xlfn.VSTACK(YES_Reading_ELA[#Data], YES_Reading_FLA[#Data]),MATCH($A494,_xlfn.VSTACK(YES_Reading_ELA[Student Number], YES_Reading_FLA[Student Number]),0),MATCH(B$7,YES_Reading_ELA[#Headers],0)),""))</f>
        <v/>
      </c>
      <c r="C494" s="137" t="str">
        <f>IFERROR(INDEX(_xlfn.VSTACK(YES_Writing_ELA[#Data], YES_Writing_FLA[#Data]),MATCH($A494,_xlfn.VSTACK(YES_Writing_ELA[Student Number], YES_Writing_FLA[Student Number]),0),MATCH(C$7,YES_Writing_ELA[#Headers],0)),IFERROR(INDEX(_xlfn.VSTACK(YES_Reading_ELA[#Data], YES_Reading_FLA[#Data]),MATCH($A494,_xlfn.VSTACK(YES_Reading_ELA[Student Number], YES_Reading_FLA[Student Number]),0),MATCH(C$7,YES_Reading_ELA[#Headers],0)),""))</f>
        <v/>
      </c>
      <c r="D494" s="138" t="str">
        <f>IFERROR(IF(IF(INDEX(_xlfn.VSTACK(YES_Writing_ELA[#Data],YES_Writing_FLA[#Data]),MATCH($A494,_xlfn.VSTACK(YES_Writing_ELA[Student Number],YES_Writing_FLA[Student Number]),0),MATCH(VLOOKUP(D$7,'Writing Logic'!$J$7:$K$11,2,FALSE)&amp;" - Per "&amp;VLOOKUP($C$4,'Writing Logic'!$G$8:$H$14,2,FALSE),YES_Writing_ELA[#Headers],0))=0,"",INDEX(_xlfn.VSTACK(YES_Writing_ELA[#Data],YES_Writing_FLA[#Data]),MATCH($A494,_xlfn.VSTACK(YES_Writing_ELA[Student Number],YES_Writing_FLA[Student Number]),0),MATCH(VLOOKUP(D$7,'Writing Logic'!$J$7:$K$11,2,FALSE)&amp;" - Per "&amp;VLOOKUP($C$4,'Writing Logic'!$G$8:$H$14,2,FALSE),YES_Writing_ELA[#Headers],0)))="INS",'Writing Logic'!$B$7,IF(INDEX(_xlfn.VSTACK(YES_Writing_ELA[#Data],YES_Writing_FLA[#Data]),MATCH($A494,_xlfn.VSTACK(YES_Writing_ELA[Student Number],YES_Writing_FLA[Student Number]),0),MATCH(VLOOKUP(D$7,'Writing Logic'!$J$7:$K$11,2,FALSE)&amp;" - Per "&amp;VLOOKUP($C$4,'Writing Logic'!$G$8:$H$14,2,FALSE),YES_Writing_ELA[#Headers],0))=0,"",INDEX(_xlfn.VSTACK(YES_Writing_ELA[#Data],YES_Writing_FLA[#Data]),MATCH($A494,_xlfn.VSTACK(YES_Writing_ELA[Student Number],YES_Writing_FLA[Student Number]),0),MATCH(VLOOKUP(D$7,'Writing Logic'!$J$7:$K$11,2,FALSE)&amp;" - Per "&amp;VLOOKUP($C$4,'Writing Logic'!$G$8:$H$14,2,FALSE),YES_Writing_ELA[#Headers],0)))),"")</f>
        <v/>
      </c>
      <c r="E494" s="138" t="str">
        <f>IFERROR(IF(IF(INDEX(_xlfn.VSTACK(YES_Writing_ELA[#Data],YES_Writing_FLA[#Data]),MATCH($A494,_xlfn.VSTACK(YES_Writing_ELA[Student Number],YES_Writing_FLA[Student Number]),0),MATCH(VLOOKUP(E$7,'Writing Logic'!$J$7:$K$11,2,FALSE)&amp;" - Per "&amp;VLOOKUP($C$4,'Writing Logic'!$G$8:$H$14,2,FALSE),YES_Writing_ELA[#Headers],0))=0,"",INDEX(_xlfn.VSTACK(YES_Writing_ELA[#Data],YES_Writing_FLA[#Data]),MATCH($A494,_xlfn.VSTACK(YES_Writing_ELA[Student Number],YES_Writing_FLA[Student Number]),0),MATCH(VLOOKUP(E$7,'Writing Logic'!$J$7:$K$11,2,FALSE)&amp;" - Per "&amp;VLOOKUP($C$4,'Writing Logic'!$G$8:$H$14,2,FALSE),YES_Writing_ELA[#Headers],0)))="INS",'Writing Logic'!$B$7,IF(INDEX(_xlfn.VSTACK(YES_Writing_ELA[#Data],YES_Writing_FLA[#Data]),MATCH($A494,_xlfn.VSTACK(YES_Writing_ELA[Student Number],YES_Writing_FLA[Student Number]),0),MATCH(VLOOKUP(E$7,'Writing Logic'!$J$7:$K$11,2,FALSE)&amp;" - Per "&amp;VLOOKUP($C$4,'Writing Logic'!$G$8:$H$14,2,FALSE),YES_Writing_ELA[#Headers],0))=0,"",INDEX(_xlfn.VSTACK(YES_Writing_ELA[#Data],YES_Writing_FLA[#Data]),MATCH($A494,_xlfn.VSTACK(YES_Writing_ELA[Student Number],YES_Writing_FLA[Student Number]),0),MATCH(VLOOKUP(E$7,'Writing Logic'!$J$7:$K$11,2,FALSE)&amp;" - Per "&amp;VLOOKUP($C$4,'Writing Logic'!$G$8:$H$14,2,FALSE),YES_Writing_ELA[#Headers],0)))),"")</f>
        <v/>
      </c>
      <c r="F494" s="138" t="str">
        <f>IFERROR(IF(IF(INDEX(_xlfn.VSTACK(YES_Writing_ELA[#Data],YES_Writing_FLA[#Data]),MATCH($A494,_xlfn.VSTACK(YES_Writing_ELA[Student Number],YES_Writing_FLA[Student Number]),0),MATCH(VLOOKUP(F$7,'Writing Logic'!$J$7:$K$11,2,FALSE)&amp;" - Per "&amp;VLOOKUP($C$4,'Writing Logic'!$G$8:$H$14,2,FALSE),YES_Writing_ELA[#Headers],0))=0,"",INDEX(_xlfn.VSTACK(YES_Writing_ELA[#Data],YES_Writing_FLA[#Data]),MATCH($A494,_xlfn.VSTACK(YES_Writing_ELA[Student Number],YES_Writing_FLA[Student Number]),0),MATCH(VLOOKUP(F$7,'Writing Logic'!$J$7:$K$11,2,FALSE)&amp;" - Per "&amp;VLOOKUP($C$4,'Writing Logic'!$G$8:$H$14,2,FALSE),YES_Writing_ELA[#Headers],0)))="INS",'Writing Logic'!$B$7,IF(INDEX(_xlfn.VSTACK(YES_Writing_ELA[#Data],YES_Writing_FLA[#Data]),MATCH($A494,_xlfn.VSTACK(YES_Writing_ELA[Student Number],YES_Writing_FLA[Student Number]),0),MATCH(VLOOKUP(F$7,'Writing Logic'!$J$7:$K$11,2,FALSE)&amp;" - Per "&amp;VLOOKUP($C$4,'Writing Logic'!$G$8:$H$14,2,FALSE),YES_Writing_ELA[#Headers],0))=0,"",INDEX(_xlfn.VSTACK(YES_Writing_ELA[#Data],YES_Writing_FLA[#Data]),MATCH($A494,_xlfn.VSTACK(YES_Writing_ELA[Student Number],YES_Writing_FLA[Student Number]),0),MATCH(VLOOKUP(F$7,'Writing Logic'!$J$7:$K$11,2,FALSE)&amp;" - Per "&amp;VLOOKUP($C$4,'Writing Logic'!$G$8:$H$14,2,FALSE),YES_Writing_ELA[#Headers],0)))),"")</f>
        <v/>
      </c>
      <c r="G494" s="138" t="str">
        <f>IFERROR(IF(IF(INDEX(_xlfn.VSTACK(YES_Writing_ELA[#Data],YES_Writing_FLA[#Data]),MATCH($A494,_xlfn.VSTACK(YES_Writing_ELA[Student Number],YES_Writing_FLA[Student Number]),0),MATCH(VLOOKUP(G$7,'Writing Logic'!$J$7:$K$11,2,FALSE)&amp;" - Per "&amp;VLOOKUP($C$4,'Writing Logic'!$G$8:$H$14,2,FALSE),YES_Writing_ELA[#Headers],0))=0,"",INDEX(_xlfn.VSTACK(YES_Writing_ELA[#Data],YES_Writing_FLA[#Data]),MATCH($A494,_xlfn.VSTACK(YES_Writing_ELA[Student Number],YES_Writing_FLA[Student Number]),0),MATCH(VLOOKUP(G$7,'Writing Logic'!$J$7:$K$11,2,FALSE)&amp;" - Per "&amp;VLOOKUP($C$4,'Writing Logic'!$G$8:$H$14,2,FALSE),YES_Writing_ELA[#Headers],0)))="INS",'Writing Logic'!$B$7,IF(INDEX(_xlfn.VSTACK(YES_Writing_ELA[#Data],YES_Writing_FLA[#Data]),MATCH($A494,_xlfn.VSTACK(YES_Writing_ELA[Student Number],YES_Writing_FLA[Student Number]),0),MATCH(VLOOKUP(G$7,'Writing Logic'!$J$7:$K$11,2,FALSE)&amp;" - Per "&amp;VLOOKUP($C$4,'Writing Logic'!$G$8:$H$14,2,FALSE),YES_Writing_ELA[#Headers],0))=0,"",INDEX(_xlfn.VSTACK(YES_Writing_ELA[#Data],YES_Writing_FLA[#Data]),MATCH($A494,_xlfn.VSTACK(YES_Writing_ELA[Student Number],YES_Writing_FLA[Student Number]),0),MATCH(VLOOKUP(G$7,'Writing Logic'!$J$7:$K$11,2,FALSE)&amp;" - Per "&amp;VLOOKUP($C$4,'Writing Logic'!$G$8:$H$14,2,FALSE),YES_Writing_ELA[#Headers],0)))),"")</f>
        <v/>
      </c>
      <c r="H494" s="223" t="str">
        <f>IFERROR(IF(IF(INDEX(_xlfn.VSTACK(YES_Writing_ELA[#Data],YES_Writing_FLA[#Data]),MATCH($A494,_xlfn.VSTACK(YES_Writing_ELA[Student Number],YES_Writing_FLA[Student Number]),0),MATCH(VLOOKUP(H$7,'Writing Logic'!$J$7:$K$11,2,FALSE)&amp;" - Per "&amp;VLOOKUP($C$4,'Writing Logic'!$G$8:$H$14,2,FALSE),YES_Writing_ELA[#Headers],0))=0,"",INDEX(_xlfn.VSTACK(YES_Writing_ELA[#Data],YES_Writing_FLA[#Data]),MATCH($A494,_xlfn.VSTACK(YES_Writing_ELA[Student Number],YES_Writing_FLA[Student Number]),0),MATCH(VLOOKUP(H$7,'Writing Logic'!$J$7:$K$11,2,FALSE)&amp;" - Per "&amp;VLOOKUP($C$4,'Writing Logic'!$G$8:$H$14,2,FALSE),YES_Writing_ELA[#Headers],0)))="INS",'Writing Logic'!$B$7,IF(INDEX(_xlfn.VSTACK(YES_Writing_ELA[#Data],YES_Writing_FLA[#Data]),MATCH($A494,_xlfn.VSTACK(YES_Writing_ELA[Student Number],YES_Writing_FLA[Student Number]),0),MATCH(VLOOKUP(H$7,'Writing Logic'!$J$7:$K$11,2,FALSE)&amp;" - Per "&amp;VLOOKUP($C$4,'Writing Logic'!$G$8:$H$14,2,FALSE),YES_Writing_ELA[#Headers],0))=0,"",INDEX(_xlfn.VSTACK(YES_Writing_ELA[#Data],YES_Writing_FLA[#Data]),MATCH($A494,_xlfn.VSTACK(YES_Writing_ELA[Student Number],YES_Writing_FLA[Student Number]),0),MATCH(VLOOKUP(H$7,'Writing Logic'!$J$7:$K$11,2,FALSE)&amp;" - Per "&amp;VLOOKUP($C$4,'Writing Logic'!$G$8:$H$14,2,FALSE),YES_Writing_ELA[#Headers],0)))),"")</f>
        <v/>
      </c>
      <c r="I494" s="224" t="str" cm="1">
        <f t="array" aca="1" ref="I494" ca="1">IFERROR(
IF($G$3="ELA",
IF(VLOOKUP($A494, YES_Reading_ELA[], COLUMN(INDIRECT("YES_Reading_ELA[Difference - Per "&amp;VLOOKUP($G$4, 'Reading Report Logic'!$A$2:$B$8, 2, FALSE)&amp;"]")), FALSE)="", "",
VLOOKUP($A494,YES_Reading_ELA[], COLUMN(INDIRECT("YES_Reading_ELA[Difference - Per "&amp;VLOOKUP($G$4,'Reading Report Logic'!$A$2:$B$8,2,FALSE)&amp;"]")), FALSE)),
IF($G$3="FLA",
IF(VLOOKUP($A494, YES_Reading_FLA[], COLUMN(INDIRECT("YES_Reading_FLA[Difference - Per "&amp;VLOOKUP($G$4,'Reading Report Logic'!$A$2:$B$8,2,FALSE)&amp;"]")),FALSE)="","",
VLOOKUP($A494,YES_Reading_FLA[],COLUMN(INDIRECT("YES_Reading_FLA[Difference - Per "&amp;VLOOKUP($G$4,'Reading Report Logic'!$A$2:$B$8,2,FALSE)&amp;"]")),FALSE)),
IF($G$3="Combined",
IFERROR(
IF(VLOOKUP($A494, YES_Reading_ELA[], COLUMN(INDIRECT("YES_Reading_ELA[Difference - Per "&amp;VLOOKUP($G$4, 'Reading Report Logic'!$A$2:$B$8,2,FALSE)&amp;"]")), FALSE)="", "",
VLOOKUP($A494,YES_Reading_ELA[],COLUMN(INDIRECT("YES_Reading_ELA[Difference - Per "&amp;VLOOKUP($G$4,'Reading Report Logic'!$A$2:$B$8,2,FALSE)&amp;"]")),FALSE)),
IF(VLOOKUP($A494, YES_Reading_FLA[], COLUMN(INDIRECT("YES_Reading_FLA[Difference - Per "&amp;VLOOKUP($G$4, 'Reading Report Logic'!$A$2:$B$8, 2, FALSE)&amp;"]")),FALSE)="", "", VLOOKUP($A494,YES_Reading_FLA[],COLUMN(INDIRECT("YES_Reading_FLA[Difference - Per "&amp;VLOOKUP($G$4, 'Reading Report Logic'!$A$2:$B$8, 2, FALSE)&amp;"]")),FALSE))),""))),"")</f>
        <v/>
      </c>
    </row>
    <row r="495" spans="1:9" x14ac:dyDescent="0.25">
      <c r="A495" s="137"/>
      <c r="B495" s="137" t="str">
        <f>IFERROR(INDEX(_xlfn.VSTACK(YES_Writing_ELA[#Data], YES_Writing_FLA[#Data]),MATCH($A495,_xlfn.VSTACK(YES_Writing_ELA[Student Number], YES_Writing_FLA[Student Number]),0),MATCH(B$7,YES_Writing_ELA[#Headers],0)),IFERROR(INDEX(_xlfn.VSTACK(YES_Reading_ELA[#Data], YES_Reading_FLA[#Data]),MATCH($A495,_xlfn.VSTACK(YES_Reading_ELA[Student Number], YES_Reading_FLA[Student Number]),0),MATCH(B$7,YES_Reading_ELA[#Headers],0)),""))</f>
        <v/>
      </c>
      <c r="C495" s="137" t="str">
        <f>IFERROR(INDEX(_xlfn.VSTACK(YES_Writing_ELA[#Data], YES_Writing_FLA[#Data]),MATCH($A495,_xlfn.VSTACK(YES_Writing_ELA[Student Number], YES_Writing_FLA[Student Number]),0),MATCH(C$7,YES_Writing_ELA[#Headers],0)),IFERROR(INDEX(_xlfn.VSTACK(YES_Reading_ELA[#Data], YES_Reading_FLA[#Data]),MATCH($A495,_xlfn.VSTACK(YES_Reading_ELA[Student Number], YES_Reading_FLA[Student Number]),0),MATCH(C$7,YES_Reading_ELA[#Headers],0)),""))</f>
        <v/>
      </c>
      <c r="D495" s="138" t="str">
        <f>IFERROR(IF(IF(INDEX(_xlfn.VSTACK(YES_Writing_ELA[#Data],YES_Writing_FLA[#Data]),MATCH($A495,_xlfn.VSTACK(YES_Writing_ELA[Student Number],YES_Writing_FLA[Student Number]),0),MATCH(VLOOKUP(D$7,'Writing Logic'!$J$7:$K$11,2,FALSE)&amp;" - Per "&amp;VLOOKUP($C$4,'Writing Logic'!$G$8:$H$14,2,FALSE),YES_Writing_ELA[#Headers],0))=0,"",INDEX(_xlfn.VSTACK(YES_Writing_ELA[#Data],YES_Writing_FLA[#Data]),MATCH($A495,_xlfn.VSTACK(YES_Writing_ELA[Student Number],YES_Writing_FLA[Student Number]),0),MATCH(VLOOKUP(D$7,'Writing Logic'!$J$7:$K$11,2,FALSE)&amp;" - Per "&amp;VLOOKUP($C$4,'Writing Logic'!$G$8:$H$14,2,FALSE),YES_Writing_ELA[#Headers],0)))="INS",'Writing Logic'!$B$7,IF(INDEX(_xlfn.VSTACK(YES_Writing_ELA[#Data],YES_Writing_FLA[#Data]),MATCH($A495,_xlfn.VSTACK(YES_Writing_ELA[Student Number],YES_Writing_FLA[Student Number]),0),MATCH(VLOOKUP(D$7,'Writing Logic'!$J$7:$K$11,2,FALSE)&amp;" - Per "&amp;VLOOKUP($C$4,'Writing Logic'!$G$8:$H$14,2,FALSE),YES_Writing_ELA[#Headers],0))=0,"",INDEX(_xlfn.VSTACK(YES_Writing_ELA[#Data],YES_Writing_FLA[#Data]),MATCH($A495,_xlfn.VSTACK(YES_Writing_ELA[Student Number],YES_Writing_FLA[Student Number]),0),MATCH(VLOOKUP(D$7,'Writing Logic'!$J$7:$K$11,2,FALSE)&amp;" - Per "&amp;VLOOKUP($C$4,'Writing Logic'!$G$8:$H$14,2,FALSE),YES_Writing_ELA[#Headers],0)))),"")</f>
        <v/>
      </c>
      <c r="E495" s="138" t="str">
        <f>IFERROR(IF(IF(INDEX(_xlfn.VSTACK(YES_Writing_ELA[#Data],YES_Writing_FLA[#Data]),MATCH($A495,_xlfn.VSTACK(YES_Writing_ELA[Student Number],YES_Writing_FLA[Student Number]),0),MATCH(VLOOKUP(E$7,'Writing Logic'!$J$7:$K$11,2,FALSE)&amp;" - Per "&amp;VLOOKUP($C$4,'Writing Logic'!$G$8:$H$14,2,FALSE),YES_Writing_ELA[#Headers],0))=0,"",INDEX(_xlfn.VSTACK(YES_Writing_ELA[#Data],YES_Writing_FLA[#Data]),MATCH($A495,_xlfn.VSTACK(YES_Writing_ELA[Student Number],YES_Writing_FLA[Student Number]),0),MATCH(VLOOKUP(E$7,'Writing Logic'!$J$7:$K$11,2,FALSE)&amp;" - Per "&amp;VLOOKUP($C$4,'Writing Logic'!$G$8:$H$14,2,FALSE),YES_Writing_ELA[#Headers],0)))="INS",'Writing Logic'!$B$7,IF(INDEX(_xlfn.VSTACK(YES_Writing_ELA[#Data],YES_Writing_FLA[#Data]),MATCH($A495,_xlfn.VSTACK(YES_Writing_ELA[Student Number],YES_Writing_FLA[Student Number]),0),MATCH(VLOOKUP(E$7,'Writing Logic'!$J$7:$K$11,2,FALSE)&amp;" - Per "&amp;VLOOKUP($C$4,'Writing Logic'!$G$8:$H$14,2,FALSE),YES_Writing_ELA[#Headers],0))=0,"",INDEX(_xlfn.VSTACK(YES_Writing_ELA[#Data],YES_Writing_FLA[#Data]),MATCH($A495,_xlfn.VSTACK(YES_Writing_ELA[Student Number],YES_Writing_FLA[Student Number]),0),MATCH(VLOOKUP(E$7,'Writing Logic'!$J$7:$K$11,2,FALSE)&amp;" - Per "&amp;VLOOKUP($C$4,'Writing Logic'!$G$8:$H$14,2,FALSE),YES_Writing_ELA[#Headers],0)))),"")</f>
        <v/>
      </c>
      <c r="F495" s="138" t="str">
        <f>IFERROR(IF(IF(INDEX(_xlfn.VSTACK(YES_Writing_ELA[#Data],YES_Writing_FLA[#Data]),MATCH($A495,_xlfn.VSTACK(YES_Writing_ELA[Student Number],YES_Writing_FLA[Student Number]),0),MATCH(VLOOKUP(F$7,'Writing Logic'!$J$7:$K$11,2,FALSE)&amp;" - Per "&amp;VLOOKUP($C$4,'Writing Logic'!$G$8:$H$14,2,FALSE),YES_Writing_ELA[#Headers],0))=0,"",INDEX(_xlfn.VSTACK(YES_Writing_ELA[#Data],YES_Writing_FLA[#Data]),MATCH($A495,_xlfn.VSTACK(YES_Writing_ELA[Student Number],YES_Writing_FLA[Student Number]),0),MATCH(VLOOKUP(F$7,'Writing Logic'!$J$7:$K$11,2,FALSE)&amp;" - Per "&amp;VLOOKUP($C$4,'Writing Logic'!$G$8:$H$14,2,FALSE),YES_Writing_ELA[#Headers],0)))="INS",'Writing Logic'!$B$7,IF(INDEX(_xlfn.VSTACK(YES_Writing_ELA[#Data],YES_Writing_FLA[#Data]),MATCH($A495,_xlfn.VSTACK(YES_Writing_ELA[Student Number],YES_Writing_FLA[Student Number]),0),MATCH(VLOOKUP(F$7,'Writing Logic'!$J$7:$K$11,2,FALSE)&amp;" - Per "&amp;VLOOKUP($C$4,'Writing Logic'!$G$8:$H$14,2,FALSE),YES_Writing_ELA[#Headers],0))=0,"",INDEX(_xlfn.VSTACK(YES_Writing_ELA[#Data],YES_Writing_FLA[#Data]),MATCH($A495,_xlfn.VSTACK(YES_Writing_ELA[Student Number],YES_Writing_FLA[Student Number]),0),MATCH(VLOOKUP(F$7,'Writing Logic'!$J$7:$K$11,2,FALSE)&amp;" - Per "&amp;VLOOKUP($C$4,'Writing Logic'!$G$8:$H$14,2,FALSE),YES_Writing_ELA[#Headers],0)))),"")</f>
        <v/>
      </c>
      <c r="G495" s="138" t="str">
        <f>IFERROR(IF(IF(INDEX(_xlfn.VSTACK(YES_Writing_ELA[#Data],YES_Writing_FLA[#Data]),MATCH($A495,_xlfn.VSTACK(YES_Writing_ELA[Student Number],YES_Writing_FLA[Student Number]),0),MATCH(VLOOKUP(G$7,'Writing Logic'!$J$7:$K$11,2,FALSE)&amp;" - Per "&amp;VLOOKUP($C$4,'Writing Logic'!$G$8:$H$14,2,FALSE),YES_Writing_ELA[#Headers],0))=0,"",INDEX(_xlfn.VSTACK(YES_Writing_ELA[#Data],YES_Writing_FLA[#Data]),MATCH($A495,_xlfn.VSTACK(YES_Writing_ELA[Student Number],YES_Writing_FLA[Student Number]),0),MATCH(VLOOKUP(G$7,'Writing Logic'!$J$7:$K$11,2,FALSE)&amp;" - Per "&amp;VLOOKUP($C$4,'Writing Logic'!$G$8:$H$14,2,FALSE),YES_Writing_ELA[#Headers],0)))="INS",'Writing Logic'!$B$7,IF(INDEX(_xlfn.VSTACK(YES_Writing_ELA[#Data],YES_Writing_FLA[#Data]),MATCH($A495,_xlfn.VSTACK(YES_Writing_ELA[Student Number],YES_Writing_FLA[Student Number]),0),MATCH(VLOOKUP(G$7,'Writing Logic'!$J$7:$K$11,2,FALSE)&amp;" - Per "&amp;VLOOKUP($C$4,'Writing Logic'!$G$8:$H$14,2,FALSE),YES_Writing_ELA[#Headers],0))=0,"",INDEX(_xlfn.VSTACK(YES_Writing_ELA[#Data],YES_Writing_FLA[#Data]),MATCH($A495,_xlfn.VSTACK(YES_Writing_ELA[Student Number],YES_Writing_FLA[Student Number]),0),MATCH(VLOOKUP(G$7,'Writing Logic'!$J$7:$K$11,2,FALSE)&amp;" - Per "&amp;VLOOKUP($C$4,'Writing Logic'!$G$8:$H$14,2,FALSE),YES_Writing_ELA[#Headers],0)))),"")</f>
        <v/>
      </c>
      <c r="H495" s="223" t="str">
        <f>IFERROR(IF(IF(INDEX(_xlfn.VSTACK(YES_Writing_ELA[#Data],YES_Writing_FLA[#Data]),MATCH($A495,_xlfn.VSTACK(YES_Writing_ELA[Student Number],YES_Writing_FLA[Student Number]),0),MATCH(VLOOKUP(H$7,'Writing Logic'!$J$7:$K$11,2,FALSE)&amp;" - Per "&amp;VLOOKUP($C$4,'Writing Logic'!$G$8:$H$14,2,FALSE),YES_Writing_ELA[#Headers],0))=0,"",INDEX(_xlfn.VSTACK(YES_Writing_ELA[#Data],YES_Writing_FLA[#Data]),MATCH($A495,_xlfn.VSTACK(YES_Writing_ELA[Student Number],YES_Writing_FLA[Student Number]),0),MATCH(VLOOKUP(H$7,'Writing Logic'!$J$7:$K$11,2,FALSE)&amp;" - Per "&amp;VLOOKUP($C$4,'Writing Logic'!$G$8:$H$14,2,FALSE),YES_Writing_ELA[#Headers],0)))="INS",'Writing Logic'!$B$7,IF(INDEX(_xlfn.VSTACK(YES_Writing_ELA[#Data],YES_Writing_FLA[#Data]),MATCH($A495,_xlfn.VSTACK(YES_Writing_ELA[Student Number],YES_Writing_FLA[Student Number]),0),MATCH(VLOOKUP(H$7,'Writing Logic'!$J$7:$K$11,2,FALSE)&amp;" - Per "&amp;VLOOKUP($C$4,'Writing Logic'!$G$8:$H$14,2,FALSE),YES_Writing_ELA[#Headers],0))=0,"",INDEX(_xlfn.VSTACK(YES_Writing_ELA[#Data],YES_Writing_FLA[#Data]),MATCH($A495,_xlfn.VSTACK(YES_Writing_ELA[Student Number],YES_Writing_FLA[Student Number]),0),MATCH(VLOOKUP(H$7,'Writing Logic'!$J$7:$K$11,2,FALSE)&amp;" - Per "&amp;VLOOKUP($C$4,'Writing Logic'!$G$8:$H$14,2,FALSE),YES_Writing_ELA[#Headers],0)))),"")</f>
        <v/>
      </c>
      <c r="I495" s="224" t="str" cm="1">
        <f t="array" aca="1" ref="I495" ca="1">IFERROR(
IF($G$3="ELA",
IF(VLOOKUP($A495, YES_Reading_ELA[], COLUMN(INDIRECT("YES_Reading_ELA[Difference - Per "&amp;VLOOKUP($G$4, 'Reading Report Logic'!$A$2:$B$8, 2, FALSE)&amp;"]")), FALSE)="", "",
VLOOKUP($A495,YES_Reading_ELA[], COLUMN(INDIRECT("YES_Reading_ELA[Difference - Per "&amp;VLOOKUP($G$4,'Reading Report Logic'!$A$2:$B$8,2,FALSE)&amp;"]")), FALSE)),
IF($G$3="FLA",
IF(VLOOKUP($A495, YES_Reading_FLA[], COLUMN(INDIRECT("YES_Reading_FLA[Difference - Per "&amp;VLOOKUP($G$4,'Reading Report Logic'!$A$2:$B$8,2,FALSE)&amp;"]")),FALSE)="","",
VLOOKUP($A495,YES_Reading_FLA[],COLUMN(INDIRECT("YES_Reading_FLA[Difference - Per "&amp;VLOOKUP($G$4,'Reading Report Logic'!$A$2:$B$8,2,FALSE)&amp;"]")),FALSE)),
IF($G$3="Combined",
IFERROR(
IF(VLOOKUP($A495, YES_Reading_ELA[], COLUMN(INDIRECT("YES_Reading_ELA[Difference - Per "&amp;VLOOKUP($G$4, 'Reading Report Logic'!$A$2:$B$8,2,FALSE)&amp;"]")), FALSE)="", "",
VLOOKUP($A495,YES_Reading_ELA[],COLUMN(INDIRECT("YES_Reading_ELA[Difference - Per "&amp;VLOOKUP($G$4,'Reading Report Logic'!$A$2:$B$8,2,FALSE)&amp;"]")),FALSE)),
IF(VLOOKUP($A495, YES_Reading_FLA[], COLUMN(INDIRECT("YES_Reading_FLA[Difference - Per "&amp;VLOOKUP($G$4, 'Reading Report Logic'!$A$2:$B$8, 2, FALSE)&amp;"]")),FALSE)="", "", VLOOKUP($A495,YES_Reading_FLA[],COLUMN(INDIRECT("YES_Reading_FLA[Difference - Per "&amp;VLOOKUP($G$4, 'Reading Report Logic'!$A$2:$B$8, 2, FALSE)&amp;"]")),FALSE))),""))),"")</f>
        <v/>
      </c>
    </row>
    <row r="496" spans="1:9" x14ac:dyDescent="0.25">
      <c r="A496" s="137"/>
      <c r="B496" s="137" t="str">
        <f>IFERROR(INDEX(_xlfn.VSTACK(YES_Writing_ELA[#Data], YES_Writing_FLA[#Data]),MATCH($A496,_xlfn.VSTACK(YES_Writing_ELA[Student Number], YES_Writing_FLA[Student Number]),0),MATCH(B$7,YES_Writing_ELA[#Headers],0)),IFERROR(INDEX(_xlfn.VSTACK(YES_Reading_ELA[#Data], YES_Reading_FLA[#Data]),MATCH($A496,_xlfn.VSTACK(YES_Reading_ELA[Student Number], YES_Reading_FLA[Student Number]),0),MATCH(B$7,YES_Reading_ELA[#Headers],0)),""))</f>
        <v/>
      </c>
      <c r="C496" s="137" t="str">
        <f>IFERROR(INDEX(_xlfn.VSTACK(YES_Writing_ELA[#Data], YES_Writing_FLA[#Data]),MATCH($A496,_xlfn.VSTACK(YES_Writing_ELA[Student Number], YES_Writing_FLA[Student Number]),0),MATCH(C$7,YES_Writing_ELA[#Headers],0)),IFERROR(INDEX(_xlfn.VSTACK(YES_Reading_ELA[#Data], YES_Reading_FLA[#Data]),MATCH($A496,_xlfn.VSTACK(YES_Reading_ELA[Student Number], YES_Reading_FLA[Student Number]),0),MATCH(C$7,YES_Reading_ELA[#Headers],0)),""))</f>
        <v/>
      </c>
      <c r="D496" s="138" t="str">
        <f>IFERROR(IF(IF(INDEX(_xlfn.VSTACK(YES_Writing_ELA[#Data],YES_Writing_FLA[#Data]),MATCH($A496,_xlfn.VSTACK(YES_Writing_ELA[Student Number],YES_Writing_FLA[Student Number]),0),MATCH(VLOOKUP(D$7,'Writing Logic'!$J$7:$K$11,2,FALSE)&amp;" - Per "&amp;VLOOKUP($C$4,'Writing Logic'!$G$8:$H$14,2,FALSE),YES_Writing_ELA[#Headers],0))=0,"",INDEX(_xlfn.VSTACK(YES_Writing_ELA[#Data],YES_Writing_FLA[#Data]),MATCH($A496,_xlfn.VSTACK(YES_Writing_ELA[Student Number],YES_Writing_FLA[Student Number]),0),MATCH(VLOOKUP(D$7,'Writing Logic'!$J$7:$K$11,2,FALSE)&amp;" - Per "&amp;VLOOKUP($C$4,'Writing Logic'!$G$8:$H$14,2,FALSE),YES_Writing_ELA[#Headers],0)))="INS",'Writing Logic'!$B$7,IF(INDEX(_xlfn.VSTACK(YES_Writing_ELA[#Data],YES_Writing_FLA[#Data]),MATCH($A496,_xlfn.VSTACK(YES_Writing_ELA[Student Number],YES_Writing_FLA[Student Number]),0),MATCH(VLOOKUP(D$7,'Writing Logic'!$J$7:$K$11,2,FALSE)&amp;" - Per "&amp;VLOOKUP($C$4,'Writing Logic'!$G$8:$H$14,2,FALSE),YES_Writing_ELA[#Headers],0))=0,"",INDEX(_xlfn.VSTACK(YES_Writing_ELA[#Data],YES_Writing_FLA[#Data]),MATCH($A496,_xlfn.VSTACK(YES_Writing_ELA[Student Number],YES_Writing_FLA[Student Number]),0),MATCH(VLOOKUP(D$7,'Writing Logic'!$J$7:$K$11,2,FALSE)&amp;" - Per "&amp;VLOOKUP($C$4,'Writing Logic'!$G$8:$H$14,2,FALSE),YES_Writing_ELA[#Headers],0)))),"")</f>
        <v/>
      </c>
      <c r="E496" s="138" t="str">
        <f>IFERROR(IF(IF(INDEX(_xlfn.VSTACK(YES_Writing_ELA[#Data],YES_Writing_FLA[#Data]),MATCH($A496,_xlfn.VSTACK(YES_Writing_ELA[Student Number],YES_Writing_FLA[Student Number]),0),MATCH(VLOOKUP(E$7,'Writing Logic'!$J$7:$K$11,2,FALSE)&amp;" - Per "&amp;VLOOKUP($C$4,'Writing Logic'!$G$8:$H$14,2,FALSE),YES_Writing_ELA[#Headers],0))=0,"",INDEX(_xlfn.VSTACK(YES_Writing_ELA[#Data],YES_Writing_FLA[#Data]),MATCH($A496,_xlfn.VSTACK(YES_Writing_ELA[Student Number],YES_Writing_FLA[Student Number]),0),MATCH(VLOOKUP(E$7,'Writing Logic'!$J$7:$K$11,2,FALSE)&amp;" - Per "&amp;VLOOKUP($C$4,'Writing Logic'!$G$8:$H$14,2,FALSE),YES_Writing_ELA[#Headers],0)))="INS",'Writing Logic'!$B$7,IF(INDEX(_xlfn.VSTACK(YES_Writing_ELA[#Data],YES_Writing_FLA[#Data]),MATCH($A496,_xlfn.VSTACK(YES_Writing_ELA[Student Number],YES_Writing_FLA[Student Number]),0),MATCH(VLOOKUP(E$7,'Writing Logic'!$J$7:$K$11,2,FALSE)&amp;" - Per "&amp;VLOOKUP($C$4,'Writing Logic'!$G$8:$H$14,2,FALSE),YES_Writing_ELA[#Headers],0))=0,"",INDEX(_xlfn.VSTACK(YES_Writing_ELA[#Data],YES_Writing_FLA[#Data]),MATCH($A496,_xlfn.VSTACK(YES_Writing_ELA[Student Number],YES_Writing_FLA[Student Number]),0),MATCH(VLOOKUP(E$7,'Writing Logic'!$J$7:$K$11,2,FALSE)&amp;" - Per "&amp;VLOOKUP($C$4,'Writing Logic'!$G$8:$H$14,2,FALSE),YES_Writing_ELA[#Headers],0)))),"")</f>
        <v/>
      </c>
      <c r="F496" s="138" t="str">
        <f>IFERROR(IF(IF(INDEX(_xlfn.VSTACK(YES_Writing_ELA[#Data],YES_Writing_FLA[#Data]),MATCH($A496,_xlfn.VSTACK(YES_Writing_ELA[Student Number],YES_Writing_FLA[Student Number]),0),MATCH(VLOOKUP(F$7,'Writing Logic'!$J$7:$K$11,2,FALSE)&amp;" - Per "&amp;VLOOKUP($C$4,'Writing Logic'!$G$8:$H$14,2,FALSE),YES_Writing_ELA[#Headers],0))=0,"",INDEX(_xlfn.VSTACK(YES_Writing_ELA[#Data],YES_Writing_FLA[#Data]),MATCH($A496,_xlfn.VSTACK(YES_Writing_ELA[Student Number],YES_Writing_FLA[Student Number]),0),MATCH(VLOOKUP(F$7,'Writing Logic'!$J$7:$K$11,2,FALSE)&amp;" - Per "&amp;VLOOKUP($C$4,'Writing Logic'!$G$8:$H$14,2,FALSE),YES_Writing_ELA[#Headers],0)))="INS",'Writing Logic'!$B$7,IF(INDEX(_xlfn.VSTACK(YES_Writing_ELA[#Data],YES_Writing_FLA[#Data]),MATCH($A496,_xlfn.VSTACK(YES_Writing_ELA[Student Number],YES_Writing_FLA[Student Number]),0),MATCH(VLOOKUP(F$7,'Writing Logic'!$J$7:$K$11,2,FALSE)&amp;" - Per "&amp;VLOOKUP($C$4,'Writing Logic'!$G$8:$H$14,2,FALSE),YES_Writing_ELA[#Headers],0))=0,"",INDEX(_xlfn.VSTACK(YES_Writing_ELA[#Data],YES_Writing_FLA[#Data]),MATCH($A496,_xlfn.VSTACK(YES_Writing_ELA[Student Number],YES_Writing_FLA[Student Number]),0),MATCH(VLOOKUP(F$7,'Writing Logic'!$J$7:$K$11,2,FALSE)&amp;" - Per "&amp;VLOOKUP($C$4,'Writing Logic'!$G$8:$H$14,2,FALSE),YES_Writing_ELA[#Headers],0)))),"")</f>
        <v/>
      </c>
      <c r="G496" s="138" t="str">
        <f>IFERROR(IF(IF(INDEX(_xlfn.VSTACK(YES_Writing_ELA[#Data],YES_Writing_FLA[#Data]),MATCH($A496,_xlfn.VSTACK(YES_Writing_ELA[Student Number],YES_Writing_FLA[Student Number]),0),MATCH(VLOOKUP(G$7,'Writing Logic'!$J$7:$K$11,2,FALSE)&amp;" - Per "&amp;VLOOKUP($C$4,'Writing Logic'!$G$8:$H$14,2,FALSE),YES_Writing_ELA[#Headers],0))=0,"",INDEX(_xlfn.VSTACK(YES_Writing_ELA[#Data],YES_Writing_FLA[#Data]),MATCH($A496,_xlfn.VSTACK(YES_Writing_ELA[Student Number],YES_Writing_FLA[Student Number]),0),MATCH(VLOOKUP(G$7,'Writing Logic'!$J$7:$K$11,2,FALSE)&amp;" - Per "&amp;VLOOKUP($C$4,'Writing Logic'!$G$8:$H$14,2,FALSE),YES_Writing_ELA[#Headers],0)))="INS",'Writing Logic'!$B$7,IF(INDEX(_xlfn.VSTACK(YES_Writing_ELA[#Data],YES_Writing_FLA[#Data]),MATCH($A496,_xlfn.VSTACK(YES_Writing_ELA[Student Number],YES_Writing_FLA[Student Number]),0),MATCH(VLOOKUP(G$7,'Writing Logic'!$J$7:$K$11,2,FALSE)&amp;" - Per "&amp;VLOOKUP($C$4,'Writing Logic'!$G$8:$H$14,2,FALSE),YES_Writing_ELA[#Headers],0))=0,"",INDEX(_xlfn.VSTACK(YES_Writing_ELA[#Data],YES_Writing_FLA[#Data]),MATCH($A496,_xlfn.VSTACK(YES_Writing_ELA[Student Number],YES_Writing_FLA[Student Number]),0),MATCH(VLOOKUP(G$7,'Writing Logic'!$J$7:$K$11,2,FALSE)&amp;" - Per "&amp;VLOOKUP($C$4,'Writing Logic'!$G$8:$H$14,2,FALSE),YES_Writing_ELA[#Headers],0)))),"")</f>
        <v/>
      </c>
      <c r="H496" s="223" t="str">
        <f>IFERROR(IF(IF(INDEX(_xlfn.VSTACK(YES_Writing_ELA[#Data],YES_Writing_FLA[#Data]),MATCH($A496,_xlfn.VSTACK(YES_Writing_ELA[Student Number],YES_Writing_FLA[Student Number]),0),MATCH(VLOOKUP(H$7,'Writing Logic'!$J$7:$K$11,2,FALSE)&amp;" - Per "&amp;VLOOKUP($C$4,'Writing Logic'!$G$8:$H$14,2,FALSE),YES_Writing_ELA[#Headers],0))=0,"",INDEX(_xlfn.VSTACK(YES_Writing_ELA[#Data],YES_Writing_FLA[#Data]),MATCH($A496,_xlfn.VSTACK(YES_Writing_ELA[Student Number],YES_Writing_FLA[Student Number]),0),MATCH(VLOOKUP(H$7,'Writing Logic'!$J$7:$K$11,2,FALSE)&amp;" - Per "&amp;VLOOKUP($C$4,'Writing Logic'!$G$8:$H$14,2,FALSE),YES_Writing_ELA[#Headers],0)))="INS",'Writing Logic'!$B$7,IF(INDEX(_xlfn.VSTACK(YES_Writing_ELA[#Data],YES_Writing_FLA[#Data]),MATCH($A496,_xlfn.VSTACK(YES_Writing_ELA[Student Number],YES_Writing_FLA[Student Number]),0),MATCH(VLOOKUP(H$7,'Writing Logic'!$J$7:$K$11,2,FALSE)&amp;" - Per "&amp;VLOOKUP($C$4,'Writing Logic'!$G$8:$H$14,2,FALSE),YES_Writing_ELA[#Headers],0))=0,"",INDEX(_xlfn.VSTACK(YES_Writing_ELA[#Data],YES_Writing_FLA[#Data]),MATCH($A496,_xlfn.VSTACK(YES_Writing_ELA[Student Number],YES_Writing_FLA[Student Number]),0),MATCH(VLOOKUP(H$7,'Writing Logic'!$J$7:$K$11,2,FALSE)&amp;" - Per "&amp;VLOOKUP($C$4,'Writing Logic'!$G$8:$H$14,2,FALSE),YES_Writing_ELA[#Headers],0)))),"")</f>
        <v/>
      </c>
      <c r="I496" s="224" t="str" cm="1">
        <f t="array" aca="1" ref="I496" ca="1">IFERROR(
IF($G$3="ELA",
IF(VLOOKUP($A496, YES_Reading_ELA[], COLUMN(INDIRECT("YES_Reading_ELA[Difference - Per "&amp;VLOOKUP($G$4, 'Reading Report Logic'!$A$2:$B$8, 2, FALSE)&amp;"]")), FALSE)="", "",
VLOOKUP($A496,YES_Reading_ELA[], COLUMN(INDIRECT("YES_Reading_ELA[Difference - Per "&amp;VLOOKUP($G$4,'Reading Report Logic'!$A$2:$B$8,2,FALSE)&amp;"]")), FALSE)),
IF($G$3="FLA",
IF(VLOOKUP($A496, YES_Reading_FLA[], COLUMN(INDIRECT("YES_Reading_FLA[Difference - Per "&amp;VLOOKUP($G$4,'Reading Report Logic'!$A$2:$B$8,2,FALSE)&amp;"]")),FALSE)="","",
VLOOKUP($A496,YES_Reading_FLA[],COLUMN(INDIRECT("YES_Reading_FLA[Difference - Per "&amp;VLOOKUP($G$4,'Reading Report Logic'!$A$2:$B$8,2,FALSE)&amp;"]")),FALSE)),
IF($G$3="Combined",
IFERROR(
IF(VLOOKUP($A496, YES_Reading_ELA[], COLUMN(INDIRECT("YES_Reading_ELA[Difference - Per "&amp;VLOOKUP($G$4, 'Reading Report Logic'!$A$2:$B$8,2,FALSE)&amp;"]")), FALSE)="", "",
VLOOKUP($A496,YES_Reading_ELA[],COLUMN(INDIRECT("YES_Reading_ELA[Difference - Per "&amp;VLOOKUP($G$4,'Reading Report Logic'!$A$2:$B$8,2,FALSE)&amp;"]")),FALSE)),
IF(VLOOKUP($A496, YES_Reading_FLA[], COLUMN(INDIRECT("YES_Reading_FLA[Difference - Per "&amp;VLOOKUP($G$4, 'Reading Report Logic'!$A$2:$B$8, 2, FALSE)&amp;"]")),FALSE)="", "", VLOOKUP($A496,YES_Reading_FLA[],COLUMN(INDIRECT("YES_Reading_FLA[Difference - Per "&amp;VLOOKUP($G$4, 'Reading Report Logic'!$A$2:$B$8, 2, FALSE)&amp;"]")),FALSE))),""))),"")</f>
        <v/>
      </c>
    </row>
    <row r="497" spans="1:9" x14ac:dyDescent="0.25">
      <c r="A497" s="137"/>
      <c r="B497" s="137" t="str">
        <f>IFERROR(INDEX(_xlfn.VSTACK(YES_Writing_ELA[#Data], YES_Writing_FLA[#Data]),MATCH($A497,_xlfn.VSTACK(YES_Writing_ELA[Student Number], YES_Writing_FLA[Student Number]),0),MATCH(B$7,YES_Writing_ELA[#Headers],0)),IFERROR(INDEX(_xlfn.VSTACK(YES_Reading_ELA[#Data], YES_Reading_FLA[#Data]),MATCH($A497,_xlfn.VSTACK(YES_Reading_ELA[Student Number], YES_Reading_FLA[Student Number]),0),MATCH(B$7,YES_Reading_ELA[#Headers],0)),""))</f>
        <v/>
      </c>
      <c r="C497" s="137" t="str">
        <f>IFERROR(INDEX(_xlfn.VSTACK(YES_Writing_ELA[#Data], YES_Writing_FLA[#Data]),MATCH($A497,_xlfn.VSTACK(YES_Writing_ELA[Student Number], YES_Writing_FLA[Student Number]),0),MATCH(C$7,YES_Writing_ELA[#Headers],0)),IFERROR(INDEX(_xlfn.VSTACK(YES_Reading_ELA[#Data], YES_Reading_FLA[#Data]),MATCH($A497,_xlfn.VSTACK(YES_Reading_ELA[Student Number], YES_Reading_FLA[Student Number]),0),MATCH(C$7,YES_Reading_ELA[#Headers],0)),""))</f>
        <v/>
      </c>
      <c r="D497" s="138" t="str">
        <f>IFERROR(IF(IF(INDEX(_xlfn.VSTACK(YES_Writing_ELA[#Data],YES_Writing_FLA[#Data]),MATCH($A497,_xlfn.VSTACK(YES_Writing_ELA[Student Number],YES_Writing_FLA[Student Number]),0),MATCH(VLOOKUP(D$7,'Writing Logic'!$J$7:$K$11,2,FALSE)&amp;" - Per "&amp;VLOOKUP($C$4,'Writing Logic'!$G$8:$H$14,2,FALSE),YES_Writing_ELA[#Headers],0))=0,"",INDEX(_xlfn.VSTACK(YES_Writing_ELA[#Data],YES_Writing_FLA[#Data]),MATCH($A497,_xlfn.VSTACK(YES_Writing_ELA[Student Number],YES_Writing_FLA[Student Number]),0),MATCH(VLOOKUP(D$7,'Writing Logic'!$J$7:$K$11,2,FALSE)&amp;" - Per "&amp;VLOOKUP($C$4,'Writing Logic'!$G$8:$H$14,2,FALSE),YES_Writing_ELA[#Headers],0)))="INS",'Writing Logic'!$B$7,IF(INDEX(_xlfn.VSTACK(YES_Writing_ELA[#Data],YES_Writing_FLA[#Data]),MATCH($A497,_xlfn.VSTACK(YES_Writing_ELA[Student Number],YES_Writing_FLA[Student Number]),0),MATCH(VLOOKUP(D$7,'Writing Logic'!$J$7:$K$11,2,FALSE)&amp;" - Per "&amp;VLOOKUP($C$4,'Writing Logic'!$G$8:$H$14,2,FALSE),YES_Writing_ELA[#Headers],0))=0,"",INDEX(_xlfn.VSTACK(YES_Writing_ELA[#Data],YES_Writing_FLA[#Data]),MATCH($A497,_xlfn.VSTACK(YES_Writing_ELA[Student Number],YES_Writing_FLA[Student Number]),0),MATCH(VLOOKUP(D$7,'Writing Logic'!$J$7:$K$11,2,FALSE)&amp;" - Per "&amp;VLOOKUP($C$4,'Writing Logic'!$G$8:$H$14,2,FALSE),YES_Writing_ELA[#Headers],0)))),"")</f>
        <v/>
      </c>
      <c r="E497" s="138" t="str">
        <f>IFERROR(IF(IF(INDEX(_xlfn.VSTACK(YES_Writing_ELA[#Data],YES_Writing_FLA[#Data]),MATCH($A497,_xlfn.VSTACK(YES_Writing_ELA[Student Number],YES_Writing_FLA[Student Number]),0),MATCH(VLOOKUP(E$7,'Writing Logic'!$J$7:$K$11,2,FALSE)&amp;" - Per "&amp;VLOOKUP($C$4,'Writing Logic'!$G$8:$H$14,2,FALSE),YES_Writing_ELA[#Headers],0))=0,"",INDEX(_xlfn.VSTACK(YES_Writing_ELA[#Data],YES_Writing_FLA[#Data]),MATCH($A497,_xlfn.VSTACK(YES_Writing_ELA[Student Number],YES_Writing_FLA[Student Number]),0),MATCH(VLOOKUP(E$7,'Writing Logic'!$J$7:$K$11,2,FALSE)&amp;" - Per "&amp;VLOOKUP($C$4,'Writing Logic'!$G$8:$H$14,2,FALSE),YES_Writing_ELA[#Headers],0)))="INS",'Writing Logic'!$B$7,IF(INDEX(_xlfn.VSTACK(YES_Writing_ELA[#Data],YES_Writing_FLA[#Data]),MATCH($A497,_xlfn.VSTACK(YES_Writing_ELA[Student Number],YES_Writing_FLA[Student Number]),0),MATCH(VLOOKUP(E$7,'Writing Logic'!$J$7:$K$11,2,FALSE)&amp;" - Per "&amp;VLOOKUP($C$4,'Writing Logic'!$G$8:$H$14,2,FALSE),YES_Writing_ELA[#Headers],0))=0,"",INDEX(_xlfn.VSTACK(YES_Writing_ELA[#Data],YES_Writing_FLA[#Data]),MATCH($A497,_xlfn.VSTACK(YES_Writing_ELA[Student Number],YES_Writing_FLA[Student Number]),0),MATCH(VLOOKUP(E$7,'Writing Logic'!$J$7:$K$11,2,FALSE)&amp;" - Per "&amp;VLOOKUP($C$4,'Writing Logic'!$G$8:$H$14,2,FALSE),YES_Writing_ELA[#Headers],0)))),"")</f>
        <v/>
      </c>
      <c r="F497" s="138" t="str">
        <f>IFERROR(IF(IF(INDEX(_xlfn.VSTACK(YES_Writing_ELA[#Data],YES_Writing_FLA[#Data]),MATCH($A497,_xlfn.VSTACK(YES_Writing_ELA[Student Number],YES_Writing_FLA[Student Number]),0),MATCH(VLOOKUP(F$7,'Writing Logic'!$J$7:$K$11,2,FALSE)&amp;" - Per "&amp;VLOOKUP($C$4,'Writing Logic'!$G$8:$H$14,2,FALSE),YES_Writing_ELA[#Headers],0))=0,"",INDEX(_xlfn.VSTACK(YES_Writing_ELA[#Data],YES_Writing_FLA[#Data]),MATCH($A497,_xlfn.VSTACK(YES_Writing_ELA[Student Number],YES_Writing_FLA[Student Number]),0),MATCH(VLOOKUP(F$7,'Writing Logic'!$J$7:$K$11,2,FALSE)&amp;" - Per "&amp;VLOOKUP($C$4,'Writing Logic'!$G$8:$H$14,2,FALSE),YES_Writing_ELA[#Headers],0)))="INS",'Writing Logic'!$B$7,IF(INDEX(_xlfn.VSTACK(YES_Writing_ELA[#Data],YES_Writing_FLA[#Data]),MATCH($A497,_xlfn.VSTACK(YES_Writing_ELA[Student Number],YES_Writing_FLA[Student Number]),0),MATCH(VLOOKUP(F$7,'Writing Logic'!$J$7:$K$11,2,FALSE)&amp;" - Per "&amp;VLOOKUP($C$4,'Writing Logic'!$G$8:$H$14,2,FALSE),YES_Writing_ELA[#Headers],0))=0,"",INDEX(_xlfn.VSTACK(YES_Writing_ELA[#Data],YES_Writing_FLA[#Data]),MATCH($A497,_xlfn.VSTACK(YES_Writing_ELA[Student Number],YES_Writing_FLA[Student Number]),0),MATCH(VLOOKUP(F$7,'Writing Logic'!$J$7:$K$11,2,FALSE)&amp;" - Per "&amp;VLOOKUP($C$4,'Writing Logic'!$G$8:$H$14,2,FALSE),YES_Writing_ELA[#Headers],0)))),"")</f>
        <v/>
      </c>
      <c r="G497" s="138" t="str">
        <f>IFERROR(IF(IF(INDEX(_xlfn.VSTACK(YES_Writing_ELA[#Data],YES_Writing_FLA[#Data]),MATCH($A497,_xlfn.VSTACK(YES_Writing_ELA[Student Number],YES_Writing_FLA[Student Number]),0),MATCH(VLOOKUP(G$7,'Writing Logic'!$J$7:$K$11,2,FALSE)&amp;" - Per "&amp;VLOOKUP($C$4,'Writing Logic'!$G$8:$H$14,2,FALSE),YES_Writing_ELA[#Headers],0))=0,"",INDEX(_xlfn.VSTACK(YES_Writing_ELA[#Data],YES_Writing_FLA[#Data]),MATCH($A497,_xlfn.VSTACK(YES_Writing_ELA[Student Number],YES_Writing_FLA[Student Number]),0),MATCH(VLOOKUP(G$7,'Writing Logic'!$J$7:$K$11,2,FALSE)&amp;" - Per "&amp;VLOOKUP($C$4,'Writing Logic'!$G$8:$H$14,2,FALSE),YES_Writing_ELA[#Headers],0)))="INS",'Writing Logic'!$B$7,IF(INDEX(_xlfn.VSTACK(YES_Writing_ELA[#Data],YES_Writing_FLA[#Data]),MATCH($A497,_xlfn.VSTACK(YES_Writing_ELA[Student Number],YES_Writing_FLA[Student Number]),0),MATCH(VLOOKUP(G$7,'Writing Logic'!$J$7:$K$11,2,FALSE)&amp;" - Per "&amp;VLOOKUP($C$4,'Writing Logic'!$G$8:$H$14,2,FALSE),YES_Writing_ELA[#Headers],0))=0,"",INDEX(_xlfn.VSTACK(YES_Writing_ELA[#Data],YES_Writing_FLA[#Data]),MATCH($A497,_xlfn.VSTACK(YES_Writing_ELA[Student Number],YES_Writing_FLA[Student Number]),0),MATCH(VLOOKUP(G$7,'Writing Logic'!$J$7:$K$11,2,FALSE)&amp;" - Per "&amp;VLOOKUP($C$4,'Writing Logic'!$G$8:$H$14,2,FALSE),YES_Writing_ELA[#Headers],0)))),"")</f>
        <v/>
      </c>
      <c r="H497" s="223" t="str">
        <f>IFERROR(IF(IF(INDEX(_xlfn.VSTACK(YES_Writing_ELA[#Data],YES_Writing_FLA[#Data]),MATCH($A497,_xlfn.VSTACK(YES_Writing_ELA[Student Number],YES_Writing_FLA[Student Number]),0),MATCH(VLOOKUP(H$7,'Writing Logic'!$J$7:$K$11,2,FALSE)&amp;" - Per "&amp;VLOOKUP($C$4,'Writing Logic'!$G$8:$H$14,2,FALSE),YES_Writing_ELA[#Headers],0))=0,"",INDEX(_xlfn.VSTACK(YES_Writing_ELA[#Data],YES_Writing_FLA[#Data]),MATCH($A497,_xlfn.VSTACK(YES_Writing_ELA[Student Number],YES_Writing_FLA[Student Number]),0),MATCH(VLOOKUP(H$7,'Writing Logic'!$J$7:$K$11,2,FALSE)&amp;" - Per "&amp;VLOOKUP($C$4,'Writing Logic'!$G$8:$H$14,2,FALSE),YES_Writing_ELA[#Headers],0)))="INS",'Writing Logic'!$B$7,IF(INDEX(_xlfn.VSTACK(YES_Writing_ELA[#Data],YES_Writing_FLA[#Data]),MATCH($A497,_xlfn.VSTACK(YES_Writing_ELA[Student Number],YES_Writing_FLA[Student Number]),0),MATCH(VLOOKUP(H$7,'Writing Logic'!$J$7:$K$11,2,FALSE)&amp;" - Per "&amp;VLOOKUP($C$4,'Writing Logic'!$G$8:$H$14,2,FALSE),YES_Writing_ELA[#Headers],0))=0,"",INDEX(_xlfn.VSTACK(YES_Writing_ELA[#Data],YES_Writing_FLA[#Data]),MATCH($A497,_xlfn.VSTACK(YES_Writing_ELA[Student Number],YES_Writing_FLA[Student Number]),0),MATCH(VLOOKUP(H$7,'Writing Logic'!$J$7:$K$11,2,FALSE)&amp;" - Per "&amp;VLOOKUP($C$4,'Writing Logic'!$G$8:$H$14,2,FALSE),YES_Writing_ELA[#Headers],0)))),"")</f>
        <v/>
      </c>
      <c r="I497" s="224" t="str" cm="1">
        <f t="array" aca="1" ref="I497" ca="1">IFERROR(
IF($G$3="ELA",
IF(VLOOKUP($A497, YES_Reading_ELA[], COLUMN(INDIRECT("YES_Reading_ELA[Difference - Per "&amp;VLOOKUP($G$4, 'Reading Report Logic'!$A$2:$B$8, 2, FALSE)&amp;"]")), FALSE)="", "",
VLOOKUP($A497,YES_Reading_ELA[], COLUMN(INDIRECT("YES_Reading_ELA[Difference - Per "&amp;VLOOKUP($G$4,'Reading Report Logic'!$A$2:$B$8,2,FALSE)&amp;"]")), FALSE)),
IF($G$3="FLA",
IF(VLOOKUP($A497, YES_Reading_FLA[], COLUMN(INDIRECT("YES_Reading_FLA[Difference - Per "&amp;VLOOKUP($G$4,'Reading Report Logic'!$A$2:$B$8,2,FALSE)&amp;"]")),FALSE)="","",
VLOOKUP($A497,YES_Reading_FLA[],COLUMN(INDIRECT("YES_Reading_FLA[Difference - Per "&amp;VLOOKUP($G$4,'Reading Report Logic'!$A$2:$B$8,2,FALSE)&amp;"]")),FALSE)),
IF($G$3="Combined",
IFERROR(
IF(VLOOKUP($A497, YES_Reading_ELA[], COLUMN(INDIRECT("YES_Reading_ELA[Difference - Per "&amp;VLOOKUP($G$4, 'Reading Report Logic'!$A$2:$B$8,2,FALSE)&amp;"]")), FALSE)="", "",
VLOOKUP($A497,YES_Reading_ELA[],COLUMN(INDIRECT("YES_Reading_ELA[Difference - Per "&amp;VLOOKUP($G$4,'Reading Report Logic'!$A$2:$B$8,2,FALSE)&amp;"]")),FALSE)),
IF(VLOOKUP($A497, YES_Reading_FLA[], COLUMN(INDIRECT("YES_Reading_FLA[Difference - Per "&amp;VLOOKUP($G$4, 'Reading Report Logic'!$A$2:$B$8, 2, FALSE)&amp;"]")),FALSE)="", "", VLOOKUP($A497,YES_Reading_FLA[],COLUMN(INDIRECT("YES_Reading_FLA[Difference - Per "&amp;VLOOKUP($G$4, 'Reading Report Logic'!$A$2:$B$8, 2, FALSE)&amp;"]")),FALSE))),""))),"")</f>
        <v/>
      </c>
    </row>
    <row r="498" spans="1:9" x14ac:dyDescent="0.25">
      <c r="A498" s="137"/>
      <c r="B498" s="137" t="str">
        <f>IFERROR(INDEX(_xlfn.VSTACK(YES_Writing_ELA[#Data], YES_Writing_FLA[#Data]),MATCH($A498,_xlfn.VSTACK(YES_Writing_ELA[Student Number], YES_Writing_FLA[Student Number]),0),MATCH(B$7,YES_Writing_ELA[#Headers],0)),IFERROR(INDEX(_xlfn.VSTACK(YES_Reading_ELA[#Data], YES_Reading_FLA[#Data]),MATCH($A498,_xlfn.VSTACK(YES_Reading_ELA[Student Number], YES_Reading_FLA[Student Number]),0),MATCH(B$7,YES_Reading_ELA[#Headers],0)),""))</f>
        <v/>
      </c>
      <c r="C498" s="137" t="str">
        <f>IFERROR(INDEX(_xlfn.VSTACK(YES_Writing_ELA[#Data], YES_Writing_FLA[#Data]),MATCH($A498,_xlfn.VSTACK(YES_Writing_ELA[Student Number], YES_Writing_FLA[Student Number]),0),MATCH(C$7,YES_Writing_ELA[#Headers],0)),IFERROR(INDEX(_xlfn.VSTACK(YES_Reading_ELA[#Data], YES_Reading_FLA[#Data]),MATCH($A498,_xlfn.VSTACK(YES_Reading_ELA[Student Number], YES_Reading_FLA[Student Number]),0),MATCH(C$7,YES_Reading_ELA[#Headers],0)),""))</f>
        <v/>
      </c>
      <c r="D498" s="138" t="str">
        <f>IFERROR(IF(IF(INDEX(_xlfn.VSTACK(YES_Writing_ELA[#Data],YES_Writing_FLA[#Data]),MATCH($A498,_xlfn.VSTACK(YES_Writing_ELA[Student Number],YES_Writing_FLA[Student Number]),0),MATCH(VLOOKUP(D$7,'Writing Logic'!$J$7:$K$11,2,FALSE)&amp;" - Per "&amp;VLOOKUP($C$4,'Writing Logic'!$G$8:$H$14,2,FALSE),YES_Writing_ELA[#Headers],0))=0,"",INDEX(_xlfn.VSTACK(YES_Writing_ELA[#Data],YES_Writing_FLA[#Data]),MATCH($A498,_xlfn.VSTACK(YES_Writing_ELA[Student Number],YES_Writing_FLA[Student Number]),0),MATCH(VLOOKUP(D$7,'Writing Logic'!$J$7:$K$11,2,FALSE)&amp;" - Per "&amp;VLOOKUP($C$4,'Writing Logic'!$G$8:$H$14,2,FALSE),YES_Writing_ELA[#Headers],0)))="INS",'Writing Logic'!$B$7,IF(INDEX(_xlfn.VSTACK(YES_Writing_ELA[#Data],YES_Writing_FLA[#Data]),MATCH($A498,_xlfn.VSTACK(YES_Writing_ELA[Student Number],YES_Writing_FLA[Student Number]),0),MATCH(VLOOKUP(D$7,'Writing Logic'!$J$7:$K$11,2,FALSE)&amp;" - Per "&amp;VLOOKUP($C$4,'Writing Logic'!$G$8:$H$14,2,FALSE),YES_Writing_ELA[#Headers],0))=0,"",INDEX(_xlfn.VSTACK(YES_Writing_ELA[#Data],YES_Writing_FLA[#Data]),MATCH($A498,_xlfn.VSTACK(YES_Writing_ELA[Student Number],YES_Writing_FLA[Student Number]),0),MATCH(VLOOKUP(D$7,'Writing Logic'!$J$7:$K$11,2,FALSE)&amp;" - Per "&amp;VLOOKUP($C$4,'Writing Logic'!$G$8:$H$14,2,FALSE),YES_Writing_ELA[#Headers],0)))),"")</f>
        <v/>
      </c>
      <c r="E498" s="138" t="str">
        <f>IFERROR(IF(IF(INDEX(_xlfn.VSTACK(YES_Writing_ELA[#Data],YES_Writing_FLA[#Data]),MATCH($A498,_xlfn.VSTACK(YES_Writing_ELA[Student Number],YES_Writing_FLA[Student Number]),0),MATCH(VLOOKUP(E$7,'Writing Logic'!$J$7:$K$11,2,FALSE)&amp;" - Per "&amp;VLOOKUP($C$4,'Writing Logic'!$G$8:$H$14,2,FALSE),YES_Writing_ELA[#Headers],0))=0,"",INDEX(_xlfn.VSTACK(YES_Writing_ELA[#Data],YES_Writing_FLA[#Data]),MATCH($A498,_xlfn.VSTACK(YES_Writing_ELA[Student Number],YES_Writing_FLA[Student Number]),0),MATCH(VLOOKUP(E$7,'Writing Logic'!$J$7:$K$11,2,FALSE)&amp;" - Per "&amp;VLOOKUP($C$4,'Writing Logic'!$G$8:$H$14,2,FALSE),YES_Writing_ELA[#Headers],0)))="INS",'Writing Logic'!$B$7,IF(INDEX(_xlfn.VSTACK(YES_Writing_ELA[#Data],YES_Writing_FLA[#Data]),MATCH($A498,_xlfn.VSTACK(YES_Writing_ELA[Student Number],YES_Writing_FLA[Student Number]),0),MATCH(VLOOKUP(E$7,'Writing Logic'!$J$7:$K$11,2,FALSE)&amp;" - Per "&amp;VLOOKUP($C$4,'Writing Logic'!$G$8:$H$14,2,FALSE),YES_Writing_ELA[#Headers],0))=0,"",INDEX(_xlfn.VSTACK(YES_Writing_ELA[#Data],YES_Writing_FLA[#Data]),MATCH($A498,_xlfn.VSTACK(YES_Writing_ELA[Student Number],YES_Writing_FLA[Student Number]),0),MATCH(VLOOKUP(E$7,'Writing Logic'!$J$7:$K$11,2,FALSE)&amp;" - Per "&amp;VLOOKUP($C$4,'Writing Logic'!$G$8:$H$14,2,FALSE),YES_Writing_ELA[#Headers],0)))),"")</f>
        <v/>
      </c>
      <c r="F498" s="138" t="str">
        <f>IFERROR(IF(IF(INDEX(_xlfn.VSTACK(YES_Writing_ELA[#Data],YES_Writing_FLA[#Data]),MATCH($A498,_xlfn.VSTACK(YES_Writing_ELA[Student Number],YES_Writing_FLA[Student Number]),0),MATCH(VLOOKUP(F$7,'Writing Logic'!$J$7:$K$11,2,FALSE)&amp;" - Per "&amp;VLOOKUP($C$4,'Writing Logic'!$G$8:$H$14,2,FALSE),YES_Writing_ELA[#Headers],0))=0,"",INDEX(_xlfn.VSTACK(YES_Writing_ELA[#Data],YES_Writing_FLA[#Data]),MATCH($A498,_xlfn.VSTACK(YES_Writing_ELA[Student Number],YES_Writing_FLA[Student Number]),0),MATCH(VLOOKUP(F$7,'Writing Logic'!$J$7:$K$11,2,FALSE)&amp;" - Per "&amp;VLOOKUP($C$4,'Writing Logic'!$G$8:$H$14,2,FALSE),YES_Writing_ELA[#Headers],0)))="INS",'Writing Logic'!$B$7,IF(INDEX(_xlfn.VSTACK(YES_Writing_ELA[#Data],YES_Writing_FLA[#Data]),MATCH($A498,_xlfn.VSTACK(YES_Writing_ELA[Student Number],YES_Writing_FLA[Student Number]),0),MATCH(VLOOKUP(F$7,'Writing Logic'!$J$7:$K$11,2,FALSE)&amp;" - Per "&amp;VLOOKUP($C$4,'Writing Logic'!$G$8:$H$14,2,FALSE),YES_Writing_ELA[#Headers],0))=0,"",INDEX(_xlfn.VSTACK(YES_Writing_ELA[#Data],YES_Writing_FLA[#Data]),MATCH($A498,_xlfn.VSTACK(YES_Writing_ELA[Student Number],YES_Writing_FLA[Student Number]),0),MATCH(VLOOKUP(F$7,'Writing Logic'!$J$7:$K$11,2,FALSE)&amp;" - Per "&amp;VLOOKUP($C$4,'Writing Logic'!$G$8:$H$14,2,FALSE),YES_Writing_ELA[#Headers],0)))),"")</f>
        <v/>
      </c>
      <c r="G498" s="138" t="str">
        <f>IFERROR(IF(IF(INDEX(_xlfn.VSTACK(YES_Writing_ELA[#Data],YES_Writing_FLA[#Data]),MATCH($A498,_xlfn.VSTACK(YES_Writing_ELA[Student Number],YES_Writing_FLA[Student Number]),0),MATCH(VLOOKUP(G$7,'Writing Logic'!$J$7:$K$11,2,FALSE)&amp;" - Per "&amp;VLOOKUP($C$4,'Writing Logic'!$G$8:$H$14,2,FALSE),YES_Writing_ELA[#Headers],0))=0,"",INDEX(_xlfn.VSTACK(YES_Writing_ELA[#Data],YES_Writing_FLA[#Data]),MATCH($A498,_xlfn.VSTACK(YES_Writing_ELA[Student Number],YES_Writing_FLA[Student Number]),0),MATCH(VLOOKUP(G$7,'Writing Logic'!$J$7:$K$11,2,FALSE)&amp;" - Per "&amp;VLOOKUP($C$4,'Writing Logic'!$G$8:$H$14,2,FALSE),YES_Writing_ELA[#Headers],0)))="INS",'Writing Logic'!$B$7,IF(INDEX(_xlfn.VSTACK(YES_Writing_ELA[#Data],YES_Writing_FLA[#Data]),MATCH($A498,_xlfn.VSTACK(YES_Writing_ELA[Student Number],YES_Writing_FLA[Student Number]),0),MATCH(VLOOKUP(G$7,'Writing Logic'!$J$7:$K$11,2,FALSE)&amp;" - Per "&amp;VLOOKUP($C$4,'Writing Logic'!$G$8:$H$14,2,FALSE),YES_Writing_ELA[#Headers],0))=0,"",INDEX(_xlfn.VSTACK(YES_Writing_ELA[#Data],YES_Writing_FLA[#Data]),MATCH($A498,_xlfn.VSTACK(YES_Writing_ELA[Student Number],YES_Writing_FLA[Student Number]),0),MATCH(VLOOKUP(G$7,'Writing Logic'!$J$7:$K$11,2,FALSE)&amp;" - Per "&amp;VLOOKUP($C$4,'Writing Logic'!$G$8:$H$14,2,FALSE),YES_Writing_ELA[#Headers],0)))),"")</f>
        <v/>
      </c>
      <c r="H498" s="223" t="str">
        <f>IFERROR(IF(IF(INDEX(_xlfn.VSTACK(YES_Writing_ELA[#Data],YES_Writing_FLA[#Data]),MATCH($A498,_xlfn.VSTACK(YES_Writing_ELA[Student Number],YES_Writing_FLA[Student Number]),0),MATCH(VLOOKUP(H$7,'Writing Logic'!$J$7:$K$11,2,FALSE)&amp;" - Per "&amp;VLOOKUP($C$4,'Writing Logic'!$G$8:$H$14,2,FALSE),YES_Writing_ELA[#Headers],0))=0,"",INDEX(_xlfn.VSTACK(YES_Writing_ELA[#Data],YES_Writing_FLA[#Data]),MATCH($A498,_xlfn.VSTACK(YES_Writing_ELA[Student Number],YES_Writing_FLA[Student Number]),0),MATCH(VLOOKUP(H$7,'Writing Logic'!$J$7:$K$11,2,FALSE)&amp;" - Per "&amp;VLOOKUP($C$4,'Writing Logic'!$G$8:$H$14,2,FALSE),YES_Writing_ELA[#Headers],0)))="INS",'Writing Logic'!$B$7,IF(INDEX(_xlfn.VSTACK(YES_Writing_ELA[#Data],YES_Writing_FLA[#Data]),MATCH($A498,_xlfn.VSTACK(YES_Writing_ELA[Student Number],YES_Writing_FLA[Student Number]),0),MATCH(VLOOKUP(H$7,'Writing Logic'!$J$7:$K$11,2,FALSE)&amp;" - Per "&amp;VLOOKUP($C$4,'Writing Logic'!$G$8:$H$14,2,FALSE),YES_Writing_ELA[#Headers],0))=0,"",INDEX(_xlfn.VSTACK(YES_Writing_ELA[#Data],YES_Writing_FLA[#Data]),MATCH($A498,_xlfn.VSTACK(YES_Writing_ELA[Student Number],YES_Writing_FLA[Student Number]),0),MATCH(VLOOKUP(H$7,'Writing Logic'!$J$7:$K$11,2,FALSE)&amp;" - Per "&amp;VLOOKUP($C$4,'Writing Logic'!$G$8:$H$14,2,FALSE),YES_Writing_ELA[#Headers],0)))),"")</f>
        <v/>
      </c>
      <c r="I498" s="224" t="str" cm="1">
        <f t="array" aca="1" ref="I498" ca="1">IFERROR(
IF($G$3="ELA",
IF(VLOOKUP($A498, YES_Reading_ELA[], COLUMN(INDIRECT("YES_Reading_ELA[Difference - Per "&amp;VLOOKUP($G$4, 'Reading Report Logic'!$A$2:$B$8, 2, FALSE)&amp;"]")), FALSE)="", "",
VLOOKUP($A498,YES_Reading_ELA[], COLUMN(INDIRECT("YES_Reading_ELA[Difference - Per "&amp;VLOOKUP($G$4,'Reading Report Logic'!$A$2:$B$8,2,FALSE)&amp;"]")), FALSE)),
IF($G$3="FLA",
IF(VLOOKUP($A498, YES_Reading_FLA[], COLUMN(INDIRECT("YES_Reading_FLA[Difference - Per "&amp;VLOOKUP($G$4,'Reading Report Logic'!$A$2:$B$8,2,FALSE)&amp;"]")),FALSE)="","",
VLOOKUP($A498,YES_Reading_FLA[],COLUMN(INDIRECT("YES_Reading_FLA[Difference - Per "&amp;VLOOKUP($G$4,'Reading Report Logic'!$A$2:$B$8,2,FALSE)&amp;"]")),FALSE)),
IF($G$3="Combined",
IFERROR(
IF(VLOOKUP($A498, YES_Reading_ELA[], COLUMN(INDIRECT("YES_Reading_ELA[Difference - Per "&amp;VLOOKUP($G$4, 'Reading Report Logic'!$A$2:$B$8,2,FALSE)&amp;"]")), FALSE)="", "",
VLOOKUP($A498,YES_Reading_ELA[],COLUMN(INDIRECT("YES_Reading_ELA[Difference - Per "&amp;VLOOKUP($G$4,'Reading Report Logic'!$A$2:$B$8,2,FALSE)&amp;"]")),FALSE)),
IF(VLOOKUP($A498, YES_Reading_FLA[], COLUMN(INDIRECT("YES_Reading_FLA[Difference - Per "&amp;VLOOKUP($G$4, 'Reading Report Logic'!$A$2:$B$8, 2, FALSE)&amp;"]")),FALSE)="", "", VLOOKUP($A498,YES_Reading_FLA[],COLUMN(INDIRECT("YES_Reading_FLA[Difference - Per "&amp;VLOOKUP($G$4, 'Reading Report Logic'!$A$2:$B$8, 2, FALSE)&amp;"]")),FALSE))),""))),"")</f>
        <v/>
      </c>
    </row>
    <row r="499" spans="1:9" x14ac:dyDescent="0.25">
      <c r="A499" s="137"/>
      <c r="B499" s="137" t="str">
        <f>IFERROR(INDEX(_xlfn.VSTACK(YES_Writing_ELA[#Data], YES_Writing_FLA[#Data]),MATCH($A499,_xlfn.VSTACK(YES_Writing_ELA[Student Number], YES_Writing_FLA[Student Number]),0),MATCH(B$7,YES_Writing_ELA[#Headers],0)),IFERROR(INDEX(_xlfn.VSTACK(YES_Reading_ELA[#Data], YES_Reading_FLA[#Data]),MATCH($A499,_xlfn.VSTACK(YES_Reading_ELA[Student Number], YES_Reading_FLA[Student Number]),0),MATCH(B$7,YES_Reading_ELA[#Headers],0)),""))</f>
        <v/>
      </c>
      <c r="C499" s="137" t="str">
        <f>IFERROR(INDEX(_xlfn.VSTACK(YES_Writing_ELA[#Data], YES_Writing_FLA[#Data]),MATCH($A499,_xlfn.VSTACK(YES_Writing_ELA[Student Number], YES_Writing_FLA[Student Number]),0),MATCH(C$7,YES_Writing_ELA[#Headers],0)),IFERROR(INDEX(_xlfn.VSTACK(YES_Reading_ELA[#Data], YES_Reading_FLA[#Data]),MATCH($A499,_xlfn.VSTACK(YES_Reading_ELA[Student Number], YES_Reading_FLA[Student Number]),0),MATCH(C$7,YES_Reading_ELA[#Headers],0)),""))</f>
        <v/>
      </c>
      <c r="D499" s="138" t="str">
        <f>IFERROR(IF(IF(INDEX(_xlfn.VSTACK(YES_Writing_ELA[#Data],YES_Writing_FLA[#Data]),MATCH($A499,_xlfn.VSTACK(YES_Writing_ELA[Student Number],YES_Writing_FLA[Student Number]),0),MATCH(VLOOKUP(D$7,'Writing Logic'!$J$7:$K$11,2,FALSE)&amp;" - Per "&amp;VLOOKUP($C$4,'Writing Logic'!$G$8:$H$14,2,FALSE),YES_Writing_ELA[#Headers],0))=0,"",INDEX(_xlfn.VSTACK(YES_Writing_ELA[#Data],YES_Writing_FLA[#Data]),MATCH($A499,_xlfn.VSTACK(YES_Writing_ELA[Student Number],YES_Writing_FLA[Student Number]),0),MATCH(VLOOKUP(D$7,'Writing Logic'!$J$7:$K$11,2,FALSE)&amp;" - Per "&amp;VLOOKUP($C$4,'Writing Logic'!$G$8:$H$14,2,FALSE),YES_Writing_ELA[#Headers],0)))="INS",'Writing Logic'!$B$7,IF(INDEX(_xlfn.VSTACK(YES_Writing_ELA[#Data],YES_Writing_FLA[#Data]),MATCH($A499,_xlfn.VSTACK(YES_Writing_ELA[Student Number],YES_Writing_FLA[Student Number]),0),MATCH(VLOOKUP(D$7,'Writing Logic'!$J$7:$K$11,2,FALSE)&amp;" - Per "&amp;VLOOKUP($C$4,'Writing Logic'!$G$8:$H$14,2,FALSE),YES_Writing_ELA[#Headers],0))=0,"",INDEX(_xlfn.VSTACK(YES_Writing_ELA[#Data],YES_Writing_FLA[#Data]),MATCH($A499,_xlfn.VSTACK(YES_Writing_ELA[Student Number],YES_Writing_FLA[Student Number]),0),MATCH(VLOOKUP(D$7,'Writing Logic'!$J$7:$K$11,2,FALSE)&amp;" - Per "&amp;VLOOKUP($C$4,'Writing Logic'!$G$8:$H$14,2,FALSE),YES_Writing_ELA[#Headers],0)))),"")</f>
        <v/>
      </c>
      <c r="E499" s="138" t="str">
        <f>IFERROR(IF(IF(INDEX(_xlfn.VSTACK(YES_Writing_ELA[#Data],YES_Writing_FLA[#Data]),MATCH($A499,_xlfn.VSTACK(YES_Writing_ELA[Student Number],YES_Writing_FLA[Student Number]),0),MATCH(VLOOKUP(E$7,'Writing Logic'!$J$7:$K$11,2,FALSE)&amp;" - Per "&amp;VLOOKUP($C$4,'Writing Logic'!$G$8:$H$14,2,FALSE),YES_Writing_ELA[#Headers],0))=0,"",INDEX(_xlfn.VSTACK(YES_Writing_ELA[#Data],YES_Writing_FLA[#Data]),MATCH($A499,_xlfn.VSTACK(YES_Writing_ELA[Student Number],YES_Writing_FLA[Student Number]),0),MATCH(VLOOKUP(E$7,'Writing Logic'!$J$7:$K$11,2,FALSE)&amp;" - Per "&amp;VLOOKUP($C$4,'Writing Logic'!$G$8:$H$14,2,FALSE),YES_Writing_ELA[#Headers],0)))="INS",'Writing Logic'!$B$7,IF(INDEX(_xlfn.VSTACK(YES_Writing_ELA[#Data],YES_Writing_FLA[#Data]),MATCH($A499,_xlfn.VSTACK(YES_Writing_ELA[Student Number],YES_Writing_FLA[Student Number]),0),MATCH(VLOOKUP(E$7,'Writing Logic'!$J$7:$K$11,2,FALSE)&amp;" - Per "&amp;VLOOKUP($C$4,'Writing Logic'!$G$8:$H$14,2,FALSE),YES_Writing_ELA[#Headers],0))=0,"",INDEX(_xlfn.VSTACK(YES_Writing_ELA[#Data],YES_Writing_FLA[#Data]),MATCH($A499,_xlfn.VSTACK(YES_Writing_ELA[Student Number],YES_Writing_FLA[Student Number]),0),MATCH(VLOOKUP(E$7,'Writing Logic'!$J$7:$K$11,2,FALSE)&amp;" - Per "&amp;VLOOKUP($C$4,'Writing Logic'!$G$8:$H$14,2,FALSE),YES_Writing_ELA[#Headers],0)))),"")</f>
        <v/>
      </c>
      <c r="F499" s="138" t="str">
        <f>IFERROR(IF(IF(INDEX(_xlfn.VSTACK(YES_Writing_ELA[#Data],YES_Writing_FLA[#Data]),MATCH($A499,_xlfn.VSTACK(YES_Writing_ELA[Student Number],YES_Writing_FLA[Student Number]),0),MATCH(VLOOKUP(F$7,'Writing Logic'!$J$7:$K$11,2,FALSE)&amp;" - Per "&amp;VLOOKUP($C$4,'Writing Logic'!$G$8:$H$14,2,FALSE),YES_Writing_ELA[#Headers],0))=0,"",INDEX(_xlfn.VSTACK(YES_Writing_ELA[#Data],YES_Writing_FLA[#Data]),MATCH($A499,_xlfn.VSTACK(YES_Writing_ELA[Student Number],YES_Writing_FLA[Student Number]),0),MATCH(VLOOKUP(F$7,'Writing Logic'!$J$7:$K$11,2,FALSE)&amp;" - Per "&amp;VLOOKUP($C$4,'Writing Logic'!$G$8:$H$14,2,FALSE),YES_Writing_ELA[#Headers],0)))="INS",'Writing Logic'!$B$7,IF(INDEX(_xlfn.VSTACK(YES_Writing_ELA[#Data],YES_Writing_FLA[#Data]),MATCH($A499,_xlfn.VSTACK(YES_Writing_ELA[Student Number],YES_Writing_FLA[Student Number]),0),MATCH(VLOOKUP(F$7,'Writing Logic'!$J$7:$K$11,2,FALSE)&amp;" - Per "&amp;VLOOKUP($C$4,'Writing Logic'!$G$8:$H$14,2,FALSE),YES_Writing_ELA[#Headers],0))=0,"",INDEX(_xlfn.VSTACK(YES_Writing_ELA[#Data],YES_Writing_FLA[#Data]),MATCH($A499,_xlfn.VSTACK(YES_Writing_ELA[Student Number],YES_Writing_FLA[Student Number]),0),MATCH(VLOOKUP(F$7,'Writing Logic'!$J$7:$K$11,2,FALSE)&amp;" - Per "&amp;VLOOKUP($C$4,'Writing Logic'!$G$8:$H$14,2,FALSE),YES_Writing_ELA[#Headers],0)))),"")</f>
        <v/>
      </c>
      <c r="G499" s="138" t="str">
        <f>IFERROR(IF(IF(INDEX(_xlfn.VSTACK(YES_Writing_ELA[#Data],YES_Writing_FLA[#Data]),MATCH($A499,_xlfn.VSTACK(YES_Writing_ELA[Student Number],YES_Writing_FLA[Student Number]),0),MATCH(VLOOKUP(G$7,'Writing Logic'!$J$7:$K$11,2,FALSE)&amp;" - Per "&amp;VLOOKUP($C$4,'Writing Logic'!$G$8:$H$14,2,FALSE),YES_Writing_ELA[#Headers],0))=0,"",INDEX(_xlfn.VSTACK(YES_Writing_ELA[#Data],YES_Writing_FLA[#Data]),MATCH($A499,_xlfn.VSTACK(YES_Writing_ELA[Student Number],YES_Writing_FLA[Student Number]),0),MATCH(VLOOKUP(G$7,'Writing Logic'!$J$7:$K$11,2,FALSE)&amp;" - Per "&amp;VLOOKUP($C$4,'Writing Logic'!$G$8:$H$14,2,FALSE),YES_Writing_ELA[#Headers],0)))="INS",'Writing Logic'!$B$7,IF(INDEX(_xlfn.VSTACK(YES_Writing_ELA[#Data],YES_Writing_FLA[#Data]),MATCH($A499,_xlfn.VSTACK(YES_Writing_ELA[Student Number],YES_Writing_FLA[Student Number]),0),MATCH(VLOOKUP(G$7,'Writing Logic'!$J$7:$K$11,2,FALSE)&amp;" - Per "&amp;VLOOKUP($C$4,'Writing Logic'!$G$8:$H$14,2,FALSE),YES_Writing_ELA[#Headers],0))=0,"",INDEX(_xlfn.VSTACK(YES_Writing_ELA[#Data],YES_Writing_FLA[#Data]),MATCH($A499,_xlfn.VSTACK(YES_Writing_ELA[Student Number],YES_Writing_FLA[Student Number]),0),MATCH(VLOOKUP(G$7,'Writing Logic'!$J$7:$K$11,2,FALSE)&amp;" - Per "&amp;VLOOKUP($C$4,'Writing Logic'!$G$8:$H$14,2,FALSE),YES_Writing_ELA[#Headers],0)))),"")</f>
        <v/>
      </c>
      <c r="H499" s="223" t="str">
        <f>IFERROR(IF(IF(INDEX(_xlfn.VSTACK(YES_Writing_ELA[#Data],YES_Writing_FLA[#Data]),MATCH($A499,_xlfn.VSTACK(YES_Writing_ELA[Student Number],YES_Writing_FLA[Student Number]),0),MATCH(VLOOKUP(H$7,'Writing Logic'!$J$7:$K$11,2,FALSE)&amp;" - Per "&amp;VLOOKUP($C$4,'Writing Logic'!$G$8:$H$14,2,FALSE),YES_Writing_ELA[#Headers],0))=0,"",INDEX(_xlfn.VSTACK(YES_Writing_ELA[#Data],YES_Writing_FLA[#Data]),MATCH($A499,_xlfn.VSTACK(YES_Writing_ELA[Student Number],YES_Writing_FLA[Student Number]),0),MATCH(VLOOKUP(H$7,'Writing Logic'!$J$7:$K$11,2,FALSE)&amp;" - Per "&amp;VLOOKUP($C$4,'Writing Logic'!$G$8:$H$14,2,FALSE),YES_Writing_ELA[#Headers],0)))="INS",'Writing Logic'!$B$7,IF(INDEX(_xlfn.VSTACK(YES_Writing_ELA[#Data],YES_Writing_FLA[#Data]),MATCH($A499,_xlfn.VSTACK(YES_Writing_ELA[Student Number],YES_Writing_FLA[Student Number]),0),MATCH(VLOOKUP(H$7,'Writing Logic'!$J$7:$K$11,2,FALSE)&amp;" - Per "&amp;VLOOKUP($C$4,'Writing Logic'!$G$8:$H$14,2,FALSE),YES_Writing_ELA[#Headers],0))=0,"",INDEX(_xlfn.VSTACK(YES_Writing_ELA[#Data],YES_Writing_FLA[#Data]),MATCH($A499,_xlfn.VSTACK(YES_Writing_ELA[Student Number],YES_Writing_FLA[Student Number]),0),MATCH(VLOOKUP(H$7,'Writing Logic'!$J$7:$K$11,2,FALSE)&amp;" - Per "&amp;VLOOKUP($C$4,'Writing Logic'!$G$8:$H$14,2,FALSE),YES_Writing_ELA[#Headers],0)))),"")</f>
        <v/>
      </c>
      <c r="I499" s="224" t="str" cm="1">
        <f t="array" aca="1" ref="I499" ca="1">IFERROR(
IF($G$3="ELA",
IF(VLOOKUP($A499, YES_Reading_ELA[], COLUMN(INDIRECT("YES_Reading_ELA[Difference - Per "&amp;VLOOKUP($G$4, 'Reading Report Logic'!$A$2:$B$8, 2, FALSE)&amp;"]")), FALSE)="", "",
VLOOKUP($A499,YES_Reading_ELA[], COLUMN(INDIRECT("YES_Reading_ELA[Difference - Per "&amp;VLOOKUP($G$4,'Reading Report Logic'!$A$2:$B$8,2,FALSE)&amp;"]")), FALSE)),
IF($G$3="FLA",
IF(VLOOKUP($A499, YES_Reading_FLA[], COLUMN(INDIRECT("YES_Reading_FLA[Difference - Per "&amp;VLOOKUP($G$4,'Reading Report Logic'!$A$2:$B$8,2,FALSE)&amp;"]")),FALSE)="","",
VLOOKUP($A499,YES_Reading_FLA[],COLUMN(INDIRECT("YES_Reading_FLA[Difference - Per "&amp;VLOOKUP($G$4,'Reading Report Logic'!$A$2:$B$8,2,FALSE)&amp;"]")),FALSE)),
IF($G$3="Combined",
IFERROR(
IF(VLOOKUP($A499, YES_Reading_ELA[], COLUMN(INDIRECT("YES_Reading_ELA[Difference - Per "&amp;VLOOKUP($G$4, 'Reading Report Logic'!$A$2:$B$8,2,FALSE)&amp;"]")), FALSE)="", "",
VLOOKUP($A499,YES_Reading_ELA[],COLUMN(INDIRECT("YES_Reading_ELA[Difference - Per "&amp;VLOOKUP($G$4,'Reading Report Logic'!$A$2:$B$8,2,FALSE)&amp;"]")),FALSE)),
IF(VLOOKUP($A499, YES_Reading_FLA[], COLUMN(INDIRECT("YES_Reading_FLA[Difference - Per "&amp;VLOOKUP($G$4, 'Reading Report Logic'!$A$2:$B$8, 2, FALSE)&amp;"]")),FALSE)="", "", VLOOKUP($A499,YES_Reading_FLA[],COLUMN(INDIRECT("YES_Reading_FLA[Difference - Per "&amp;VLOOKUP($G$4, 'Reading Report Logic'!$A$2:$B$8, 2, FALSE)&amp;"]")),FALSE))),""))),"")</f>
        <v/>
      </c>
    </row>
    <row r="500" spans="1:9" x14ac:dyDescent="0.25">
      <c r="A500" s="137"/>
      <c r="B500" s="137" t="str">
        <f>IFERROR(INDEX(_xlfn.VSTACK(YES_Writing_ELA[#Data], YES_Writing_FLA[#Data]),MATCH($A500,_xlfn.VSTACK(YES_Writing_ELA[Student Number], YES_Writing_FLA[Student Number]),0),MATCH(B$7,YES_Writing_ELA[#Headers],0)),IFERROR(INDEX(_xlfn.VSTACK(YES_Reading_ELA[#Data], YES_Reading_FLA[#Data]),MATCH($A500,_xlfn.VSTACK(YES_Reading_ELA[Student Number], YES_Reading_FLA[Student Number]),0),MATCH(B$7,YES_Reading_ELA[#Headers],0)),""))</f>
        <v/>
      </c>
      <c r="C500" s="137" t="str">
        <f>IFERROR(INDEX(_xlfn.VSTACK(YES_Writing_ELA[#Data], YES_Writing_FLA[#Data]),MATCH($A500,_xlfn.VSTACK(YES_Writing_ELA[Student Number], YES_Writing_FLA[Student Number]),0),MATCH(C$7,YES_Writing_ELA[#Headers],0)),IFERROR(INDEX(_xlfn.VSTACK(YES_Reading_ELA[#Data], YES_Reading_FLA[#Data]),MATCH($A500,_xlfn.VSTACK(YES_Reading_ELA[Student Number], YES_Reading_FLA[Student Number]),0),MATCH(C$7,YES_Reading_ELA[#Headers],0)),""))</f>
        <v/>
      </c>
      <c r="D500" s="138" t="str">
        <f>IFERROR(IF(IF(INDEX(_xlfn.VSTACK(YES_Writing_ELA[#Data],YES_Writing_FLA[#Data]),MATCH($A500,_xlfn.VSTACK(YES_Writing_ELA[Student Number],YES_Writing_FLA[Student Number]),0),MATCH(VLOOKUP(D$7,'Writing Logic'!$J$7:$K$11,2,FALSE)&amp;" - Per "&amp;VLOOKUP($C$4,'Writing Logic'!$G$8:$H$14,2,FALSE),YES_Writing_ELA[#Headers],0))=0,"",INDEX(_xlfn.VSTACK(YES_Writing_ELA[#Data],YES_Writing_FLA[#Data]),MATCH($A500,_xlfn.VSTACK(YES_Writing_ELA[Student Number],YES_Writing_FLA[Student Number]),0),MATCH(VLOOKUP(D$7,'Writing Logic'!$J$7:$K$11,2,FALSE)&amp;" - Per "&amp;VLOOKUP($C$4,'Writing Logic'!$G$8:$H$14,2,FALSE),YES_Writing_ELA[#Headers],0)))="INS",'Writing Logic'!$B$7,IF(INDEX(_xlfn.VSTACK(YES_Writing_ELA[#Data],YES_Writing_FLA[#Data]),MATCH($A500,_xlfn.VSTACK(YES_Writing_ELA[Student Number],YES_Writing_FLA[Student Number]),0),MATCH(VLOOKUP(D$7,'Writing Logic'!$J$7:$K$11,2,FALSE)&amp;" - Per "&amp;VLOOKUP($C$4,'Writing Logic'!$G$8:$H$14,2,FALSE),YES_Writing_ELA[#Headers],0))=0,"",INDEX(_xlfn.VSTACK(YES_Writing_ELA[#Data],YES_Writing_FLA[#Data]),MATCH($A500,_xlfn.VSTACK(YES_Writing_ELA[Student Number],YES_Writing_FLA[Student Number]),0),MATCH(VLOOKUP(D$7,'Writing Logic'!$J$7:$K$11,2,FALSE)&amp;" - Per "&amp;VLOOKUP($C$4,'Writing Logic'!$G$8:$H$14,2,FALSE),YES_Writing_ELA[#Headers],0)))),"")</f>
        <v/>
      </c>
      <c r="E500" s="138" t="str">
        <f>IFERROR(IF(IF(INDEX(_xlfn.VSTACK(YES_Writing_ELA[#Data],YES_Writing_FLA[#Data]),MATCH($A500,_xlfn.VSTACK(YES_Writing_ELA[Student Number],YES_Writing_FLA[Student Number]),0),MATCH(VLOOKUP(E$7,'Writing Logic'!$J$7:$K$11,2,FALSE)&amp;" - Per "&amp;VLOOKUP($C$4,'Writing Logic'!$G$8:$H$14,2,FALSE),YES_Writing_ELA[#Headers],0))=0,"",INDEX(_xlfn.VSTACK(YES_Writing_ELA[#Data],YES_Writing_FLA[#Data]),MATCH($A500,_xlfn.VSTACK(YES_Writing_ELA[Student Number],YES_Writing_FLA[Student Number]),0),MATCH(VLOOKUP(E$7,'Writing Logic'!$J$7:$K$11,2,FALSE)&amp;" - Per "&amp;VLOOKUP($C$4,'Writing Logic'!$G$8:$H$14,2,FALSE),YES_Writing_ELA[#Headers],0)))="INS",'Writing Logic'!$B$7,IF(INDEX(_xlfn.VSTACK(YES_Writing_ELA[#Data],YES_Writing_FLA[#Data]),MATCH($A500,_xlfn.VSTACK(YES_Writing_ELA[Student Number],YES_Writing_FLA[Student Number]),0),MATCH(VLOOKUP(E$7,'Writing Logic'!$J$7:$K$11,2,FALSE)&amp;" - Per "&amp;VLOOKUP($C$4,'Writing Logic'!$G$8:$H$14,2,FALSE),YES_Writing_ELA[#Headers],0))=0,"",INDEX(_xlfn.VSTACK(YES_Writing_ELA[#Data],YES_Writing_FLA[#Data]),MATCH($A500,_xlfn.VSTACK(YES_Writing_ELA[Student Number],YES_Writing_FLA[Student Number]),0),MATCH(VLOOKUP(E$7,'Writing Logic'!$J$7:$K$11,2,FALSE)&amp;" - Per "&amp;VLOOKUP($C$4,'Writing Logic'!$G$8:$H$14,2,FALSE),YES_Writing_ELA[#Headers],0)))),"")</f>
        <v/>
      </c>
      <c r="F500" s="138" t="str">
        <f>IFERROR(IF(IF(INDEX(_xlfn.VSTACK(YES_Writing_ELA[#Data],YES_Writing_FLA[#Data]),MATCH($A500,_xlfn.VSTACK(YES_Writing_ELA[Student Number],YES_Writing_FLA[Student Number]),0),MATCH(VLOOKUP(F$7,'Writing Logic'!$J$7:$K$11,2,FALSE)&amp;" - Per "&amp;VLOOKUP($C$4,'Writing Logic'!$G$8:$H$14,2,FALSE),YES_Writing_ELA[#Headers],0))=0,"",INDEX(_xlfn.VSTACK(YES_Writing_ELA[#Data],YES_Writing_FLA[#Data]),MATCH($A500,_xlfn.VSTACK(YES_Writing_ELA[Student Number],YES_Writing_FLA[Student Number]),0),MATCH(VLOOKUP(F$7,'Writing Logic'!$J$7:$K$11,2,FALSE)&amp;" - Per "&amp;VLOOKUP($C$4,'Writing Logic'!$G$8:$H$14,2,FALSE),YES_Writing_ELA[#Headers],0)))="INS",'Writing Logic'!$B$7,IF(INDEX(_xlfn.VSTACK(YES_Writing_ELA[#Data],YES_Writing_FLA[#Data]),MATCH($A500,_xlfn.VSTACK(YES_Writing_ELA[Student Number],YES_Writing_FLA[Student Number]),0),MATCH(VLOOKUP(F$7,'Writing Logic'!$J$7:$K$11,2,FALSE)&amp;" - Per "&amp;VLOOKUP($C$4,'Writing Logic'!$G$8:$H$14,2,FALSE),YES_Writing_ELA[#Headers],0))=0,"",INDEX(_xlfn.VSTACK(YES_Writing_ELA[#Data],YES_Writing_FLA[#Data]),MATCH($A500,_xlfn.VSTACK(YES_Writing_ELA[Student Number],YES_Writing_FLA[Student Number]),0),MATCH(VLOOKUP(F$7,'Writing Logic'!$J$7:$K$11,2,FALSE)&amp;" - Per "&amp;VLOOKUP($C$4,'Writing Logic'!$G$8:$H$14,2,FALSE),YES_Writing_ELA[#Headers],0)))),"")</f>
        <v/>
      </c>
      <c r="G500" s="138" t="str">
        <f>IFERROR(IF(IF(INDEX(_xlfn.VSTACK(YES_Writing_ELA[#Data],YES_Writing_FLA[#Data]),MATCH($A500,_xlfn.VSTACK(YES_Writing_ELA[Student Number],YES_Writing_FLA[Student Number]),0),MATCH(VLOOKUP(G$7,'Writing Logic'!$J$7:$K$11,2,FALSE)&amp;" - Per "&amp;VLOOKUP($C$4,'Writing Logic'!$G$8:$H$14,2,FALSE),YES_Writing_ELA[#Headers],0))=0,"",INDEX(_xlfn.VSTACK(YES_Writing_ELA[#Data],YES_Writing_FLA[#Data]),MATCH($A500,_xlfn.VSTACK(YES_Writing_ELA[Student Number],YES_Writing_FLA[Student Number]),0),MATCH(VLOOKUP(G$7,'Writing Logic'!$J$7:$K$11,2,FALSE)&amp;" - Per "&amp;VLOOKUP($C$4,'Writing Logic'!$G$8:$H$14,2,FALSE),YES_Writing_ELA[#Headers],0)))="INS",'Writing Logic'!$B$7,IF(INDEX(_xlfn.VSTACK(YES_Writing_ELA[#Data],YES_Writing_FLA[#Data]),MATCH($A500,_xlfn.VSTACK(YES_Writing_ELA[Student Number],YES_Writing_FLA[Student Number]),0),MATCH(VLOOKUP(G$7,'Writing Logic'!$J$7:$K$11,2,FALSE)&amp;" - Per "&amp;VLOOKUP($C$4,'Writing Logic'!$G$8:$H$14,2,FALSE),YES_Writing_ELA[#Headers],0))=0,"",INDEX(_xlfn.VSTACK(YES_Writing_ELA[#Data],YES_Writing_FLA[#Data]),MATCH($A500,_xlfn.VSTACK(YES_Writing_ELA[Student Number],YES_Writing_FLA[Student Number]),0),MATCH(VLOOKUP(G$7,'Writing Logic'!$J$7:$K$11,2,FALSE)&amp;" - Per "&amp;VLOOKUP($C$4,'Writing Logic'!$G$8:$H$14,2,FALSE),YES_Writing_ELA[#Headers],0)))),"")</f>
        <v/>
      </c>
      <c r="H500" s="223" t="str">
        <f>IFERROR(IF(IF(INDEX(_xlfn.VSTACK(YES_Writing_ELA[#Data],YES_Writing_FLA[#Data]),MATCH($A500,_xlfn.VSTACK(YES_Writing_ELA[Student Number],YES_Writing_FLA[Student Number]),0),MATCH(VLOOKUP(H$7,'Writing Logic'!$J$7:$K$11,2,FALSE)&amp;" - Per "&amp;VLOOKUP($C$4,'Writing Logic'!$G$8:$H$14,2,FALSE),YES_Writing_ELA[#Headers],0))=0,"",INDEX(_xlfn.VSTACK(YES_Writing_ELA[#Data],YES_Writing_FLA[#Data]),MATCH($A500,_xlfn.VSTACK(YES_Writing_ELA[Student Number],YES_Writing_FLA[Student Number]),0),MATCH(VLOOKUP(H$7,'Writing Logic'!$J$7:$K$11,2,FALSE)&amp;" - Per "&amp;VLOOKUP($C$4,'Writing Logic'!$G$8:$H$14,2,FALSE),YES_Writing_ELA[#Headers],0)))="INS",'Writing Logic'!$B$7,IF(INDEX(_xlfn.VSTACK(YES_Writing_ELA[#Data],YES_Writing_FLA[#Data]),MATCH($A500,_xlfn.VSTACK(YES_Writing_ELA[Student Number],YES_Writing_FLA[Student Number]),0),MATCH(VLOOKUP(H$7,'Writing Logic'!$J$7:$K$11,2,FALSE)&amp;" - Per "&amp;VLOOKUP($C$4,'Writing Logic'!$G$8:$H$14,2,FALSE),YES_Writing_ELA[#Headers],0))=0,"",INDEX(_xlfn.VSTACK(YES_Writing_ELA[#Data],YES_Writing_FLA[#Data]),MATCH($A500,_xlfn.VSTACK(YES_Writing_ELA[Student Number],YES_Writing_FLA[Student Number]),0),MATCH(VLOOKUP(H$7,'Writing Logic'!$J$7:$K$11,2,FALSE)&amp;" - Per "&amp;VLOOKUP($C$4,'Writing Logic'!$G$8:$H$14,2,FALSE),YES_Writing_ELA[#Headers],0)))),"")</f>
        <v/>
      </c>
      <c r="I500" s="224" t="str" cm="1">
        <f t="array" aca="1" ref="I500" ca="1">IFERROR(
IF($G$3="ELA",
IF(VLOOKUP($A500, YES_Reading_ELA[], COLUMN(INDIRECT("YES_Reading_ELA[Difference - Per "&amp;VLOOKUP($G$4, 'Reading Report Logic'!$A$2:$B$8, 2, FALSE)&amp;"]")), FALSE)="", "",
VLOOKUP($A500,YES_Reading_ELA[], COLUMN(INDIRECT("YES_Reading_ELA[Difference - Per "&amp;VLOOKUP($G$4,'Reading Report Logic'!$A$2:$B$8,2,FALSE)&amp;"]")), FALSE)),
IF($G$3="FLA",
IF(VLOOKUP($A500, YES_Reading_FLA[], COLUMN(INDIRECT("YES_Reading_FLA[Difference - Per "&amp;VLOOKUP($G$4,'Reading Report Logic'!$A$2:$B$8,2,FALSE)&amp;"]")),FALSE)="","",
VLOOKUP($A500,YES_Reading_FLA[],COLUMN(INDIRECT("YES_Reading_FLA[Difference - Per "&amp;VLOOKUP($G$4,'Reading Report Logic'!$A$2:$B$8,2,FALSE)&amp;"]")),FALSE)),
IF($G$3="Combined",
IFERROR(
IF(VLOOKUP($A500, YES_Reading_ELA[], COLUMN(INDIRECT("YES_Reading_ELA[Difference - Per "&amp;VLOOKUP($G$4, 'Reading Report Logic'!$A$2:$B$8,2,FALSE)&amp;"]")), FALSE)="", "",
VLOOKUP($A500,YES_Reading_ELA[],COLUMN(INDIRECT("YES_Reading_ELA[Difference - Per "&amp;VLOOKUP($G$4,'Reading Report Logic'!$A$2:$B$8,2,FALSE)&amp;"]")),FALSE)),
IF(VLOOKUP($A500, YES_Reading_FLA[], COLUMN(INDIRECT("YES_Reading_FLA[Difference - Per "&amp;VLOOKUP($G$4, 'Reading Report Logic'!$A$2:$B$8, 2, FALSE)&amp;"]")),FALSE)="", "", VLOOKUP($A500,YES_Reading_FLA[],COLUMN(INDIRECT("YES_Reading_FLA[Difference - Per "&amp;VLOOKUP($G$4, 'Reading Report Logic'!$A$2:$B$8, 2, FALSE)&amp;"]")),FALSE))),""))),"")</f>
        <v/>
      </c>
    </row>
    <row r="501" spans="1:9" x14ac:dyDescent="0.25">
      <c r="A501" s="137"/>
      <c r="B501" s="137" t="str">
        <f>IFERROR(INDEX(_xlfn.VSTACK(YES_Writing_ELA[#Data], YES_Writing_FLA[#Data]),MATCH($A501,_xlfn.VSTACK(YES_Writing_ELA[Student Number], YES_Writing_FLA[Student Number]),0),MATCH(B$7,YES_Writing_ELA[#Headers],0)),IFERROR(INDEX(_xlfn.VSTACK(YES_Reading_ELA[#Data], YES_Reading_FLA[#Data]),MATCH($A501,_xlfn.VSTACK(YES_Reading_ELA[Student Number], YES_Reading_FLA[Student Number]),0),MATCH(B$7,YES_Reading_ELA[#Headers],0)),""))</f>
        <v/>
      </c>
      <c r="C501" s="137" t="str">
        <f>IFERROR(INDEX(_xlfn.VSTACK(YES_Writing_ELA[#Data], YES_Writing_FLA[#Data]),MATCH($A501,_xlfn.VSTACK(YES_Writing_ELA[Student Number], YES_Writing_FLA[Student Number]),0),MATCH(C$7,YES_Writing_ELA[#Headers],0)),IFERROR(INDEX(_xlfn.VSTACK(YES_Reading_ELA[#Data], YES_Reading_FLA[#Data]),MATCH($A501,_xlfn.VSTACK(YES_Reading_ELA[Student Number], YES_Reading_FLA[Student Number]),0),MATCH(C$7,YES_Reading_ELA[#Headers],0)),""))</f>
        <v/>
      </c>
      <c r="D501" s="138" t="str">
        <f>IFERROR(IF(IF(INDEX(_xlfn.VSTACK(YES_Writing_ELA[#Data],YES_Writing_FLA[#Data]),MATCH($A501,_xlfn.VSTACK(YES_Writing_ELA[Student Number],YES_Writing_FLA[Student Number]),0),MATCH(VLOOKUP(D$7,'Writing Logic'!$J$7:$K$11,2,FALSE)&amp;" - Per "&amp;VLOOKUP($C$4,'Writing Logic'!$G$8:$H$14,2,FALSE),YES_Writing_ELA[#Headers],0))=0,"",INDEX(_xlfn.VSTACK(YES_Writing_ELA[#Data],YES_Writing_FLA[#Data]),MATCH($A501,_xlfn.VSTACK(YES_Writing_ELA[Student Number],YES_Writing_FLA[Student Number]),0),MATCH(VLOOKUP(D$7,'Writing Logic'!$J$7:$K$11,2,FALSE)&amp;" - Per "&amp;VLOOKUP($C$4,'Writing Logic'!$G$8:$H$14,2,FALSE),YES_Writing_ELA[#Headers],0)))="INS",'Writing Logic'!$B$7,IF(INDEX(_xlfn.VSTACK(YES_Writing_ELA[#Data],YES_Writing_FLA[#Data]),MATCH($A501,_xlfn.VSTACK(YES_Writing_ELA[Student Number],YES_Writing_FLA[Student Number]),0),MATCH(VLOOKUP(D$7,'Writing Logic'!$J$7:$K$11,2,FALSE)&amp;" - Per "&amp;VLOOKUP($C$4,'Writing Logic'!$G$8:$H$14,2,FALSE),YES_Writing_ELA[#Headers],0))=0,"",INDEX(_xlfn.VSTACK(YES_Writing_ELA[#Data],YES_Writing_FLA[#Data]),MATCH($A501,_xlfn.VSTACK(YES_Writing_ELA[Student Number],YES_Writing_FLA[Student Number]),0),MATCH(VLOOKUP(D$7,'Writing Logic'!$J$7:$K$11,2,FALSE)&amp;" - Per "&amp;VLOOKUP($C$4,'Writing Logic'!$G$8:$H$14,2,FALSE),YES_Writing_ELA[#Headers],0)))),"")</f>
        <v/>
      </c>
      <c r="E501" s="138" t="str">
        <f>IFERROR(IF(IF(INDEX(_xlfn.VSTACK(YES_Writing_ELA[#Data],YES_Writing_FLA[#Data]),MATCH($A501,_xlfn.VSTACK(YES_Writing_ELA[Student Number],YES_Writing_FLA[Student Number]),0),MATCH(VLOOKUP(E$7,'Writing Logic'!$J$7:$K$11,2,FALSE)&amp;" - Per "&amp;VLOOKUP($C$4,'Writing Logic'!$G$8:$H$14,2,FALSE),YES_Writing_ELA[#Headers],0))=0,"",INDEX(_xlfn.VSTACK(YES_Writing_ELA[#Data],YES_Writing_FLA[#Data]),MATCH($A501,_xlfn.VSTACK(YES_Writing_ELA[Student Number],YES_Writing_FLA[Student Number]),0),MATCH(VLOOKUP(E$7,'Writing Logic'!$J$7:$K$11,2,FALSE)&amp;" - Per "&amp;VLOOKUP($C$4,'Writing Logic'!$G$8:$H$14,2,FALSE),YES_Writing_ELA[#Headers],0)))="INS",'Writing Logic'!$B$7,IF(INDEX(_xlfn.VSTACK(YES_Writing_ELA[#Data],YES_Writing_FLA[#Data]),MATCH($A501,_xlfn.VSTACK(YES_Writing_ELA[Student Number],YES_Writing_FLA[Student Number]),0),MATCH(VLOOKUP(E$7,'Writing Logic'!$J$7:$K$11,2,FALSE)&amp;" - Per "&amp;VLOOKUP($C$4,'Writing Logic'!$G$8:$H$14,2,FALSE),YES_Writing_ELA[#Headers],0))=0,"",INDEX(_xlfn.VSTACK(YES_Writing_ELA[#Data],YES_Writing_FLA[#Data]),MATCH($A501,_xlfn.VSTACK(YES_Writing_ELA[Student Number],YES_Writing_FLA[Student Number]),0),MATCH(VLOOKUP(E$7,'Writing Logic'!$J$7:$K$11,2,FALSE)&amp;" - Per "&amp;VLOOKUP($C$4,'Writing Logic'!$G$8:$H$14,2,FALSE),YES_Writing_ELA[#Headers],0)))),"")</f>
        <v/>
      </c>
      <c r="F501" s="138" t="str">
        <f>IFERROR(IF(IF(INDEX(_xlfn.VSTACK(YES_Writing_ELA[#Data],YES_Writing_FLA[#Data]),MATCH($A501,_xlfn.VSTACK(YES_Writing_ELA[Student Number],YES_Writing_FLA[Student Number]),0),MATCH(VLOOKUP(F$7,'Writing Logic'!$J$7:$K$11,2,FALSE)&amp;" - Per "&amp;VLOOKUP($C$4,'Writing Logic'!$G$8:$H$14,2,FALSE),YES_Writing_ELA[#Headers],0))=0,"",INDEX(_xlfn.VSTACK(YES_Writing_ELA[#Data],YES_Writing_FLA[#Data]),MATCH($A501,_xlfn.VSTACK(YES_Writing_ELA[Student Number],YES_Writing_FLA[Student Number]),0),MATCH(VLOOKUP(F$7,'Writing Logic'!$J$7:$K$11,2,FALSE)&amp;" - Per "&amp;VLOOKUP($C$4,'Writing Logic'!$G$8:$H$14,2,FALSE),YES_Writing_ELA[#Headers],0)))="INS",'Writing Logic'!$B$7,IF(INDEX(_xlfn.VSTACK(YES_Writing_ELA[#Data],YES_Writing_FLA[#Data]),MATCH($A501,_xlfn.VSTACK(YES_Writing_ELA[Student Number],YES_Writing_FLA[Student Number]),0),MATCH(VLOOKUP(F$7,'Writing Logic'!$J$7:$K$11,2,FALSE)&amp;" - Per "&amp;VLOOKUP($C$4,'Writing Logic'!$G$8:$H$14,2,FALSE),YES_Writing_ELA[#Headers],0))=0,"",INDEX(_xlfn.VSTACK(YES_Writing_ELA[#Data],YES_Writing_FLA[#Data]),MATCH($A501,_xlfn.VSTACK(YES_Writing_ELA[Student Number],YES_Writing_FLA[Student Number]),0),MATCH(VLOOKUP(F$7,'Writing Logic'!$J$7:$K$11,2,FALSE)&amp;" - Per "&amp;VLOOKUP($C$4,'Writing Logic'!$G$8:$H$14,2,FALSE),YES_Writing_ELA[#Headers],0)))),"")</f>
        <v/>
      </c>
      <c r="G501" s="138" t="str">
        <f>IFERROR(IF(IF(INDEX(_xlfn.VSTACK(YES_Writing_ELA[#Data],YES_Writing_FLA[#Data]),MATCH($A501,_xlfn.VSTACK(YES_Writing_ELA[Student Number],YES_Writing_FLA[Student Number]),0),MATCH(VLOOKUP(G$7,'Writing Logic'!$J$7:$K$11,2,FALSE)&amp;" - Per "&amp;VLOOKUP($C$4,'Writing Logic'!$G$8:$H$14,2,FALSE),YES_Writing_ELA[#Headers],0))=0,"",INDEX(_xlfn.VSTACK(YES_Writing_ELA[#Data],YES_Writing_FLA[#Data]),MATCH($A501,_xlfn.VSTACK(YES_Writing_ELA[Student Number],YES_Writing_FLA[Student Number]),0),MATCH(VLOOKUP(G$7,'Writing Logic'!$J$7:$K$11,2,FALSE)&amp;" - Per "&amp;VLOOKUP($C$4,'Writing Logic'!$G$8:$H$14,2,FALSE),YES_Writing_ELA[#Headers],0)))="INS",'Writing Logic'!$B$7,IF(INDEX(_xlfn.VSTACK(YES_Writing_ELA[#Data],YES_Writing_FLA[#Data]),MATCH($A501,_xlfn.VSTACK(YES_Writing_ELA[Student Number],YES_Writing_FLA[Student Number]),0),MATCH(VLOOKUP(G$7,'Writing Logic'!$J$7:$K$11,2,FALSE)&amp;" - Per "&amp;VLOOKUP($C$4,'Writing Logic'!$G$8:$H$14,2,FALSE),YES_Writing_ELA[#Headers],0))=0,"",INDEX(_xlfn.VSTACK(YES_Writing_ELA[#Data],YES_Writing_FLA[#Data]),MATCH($A501,_xlfn.VSTACK(YES_Writing_ELA[Student Number],YES_Writing_FLA[Student Number]),0),MATCH(VLOOKUP(G$7,'Writing Logic'!$J$7:$K$11,2,FALSE)&amp;" - Per "&amp;VLOOKUP($C$4,'Writing Logic'!$G$8:$H$14,2,FALSE),YES_Writing_ELA[#Headers],0)))),"")</f>
        <v/>
      </c>
      <c r="H501" s="223" t="str">
        <f>IFERROR(IF(IF(INDEX(_xlfn.VSTACK(YES_Writing_ELA[#Data],YES_Writing_FLA[#Data]),MATCH($A501,_xlfn.VSTACK(YES_Writing_ELA[Student Number],YES_Writing_FLA[Student Number]),0),MATCH(VLOOKUP(H$7,'Writing Logic'!$J$7:$K$11,2,FALSE)&amp;" - Per "&amp;VLOOKUP($C$4,'Writing Logic'!$G$8:$H$14,2,FALSE),YES_Writing_ELA[#Headers],0))=0,"",INDEX(_xlfn.VSTACK(YES_Writing_ELA[#Data],YES_Writing_FLA[#Data]),MATCH($A501,_xlfn.VSTACK(YES_Writing_ELA[Student Number],YES_Writing_FLA[Student Number]),0),MATCH(VLOOKUP(H$7,'Writing Logic'!$J$7:$K$11,2,FALSE)&amp;" - Per "&amp;VLOOKUP($C$4,'Writing Logic'!$G$8:$H$14,2,FALSE),YES_Writing_ELA[#Headers],0)))="INS",'Writing Logic'!$B$7,IF(INDEX(_xlfn.VSTACK(YES_Writing_ELA[#Data],YES_Writing_FLA[#Data]),MATCH($A501,_xlfn.VSTACK(YES_Writing_ELA[Student Number],YES_Writing_FLA[Student Number]),0),MATCH(VLOOKUP(H$7,'Writing Logic'!$J$7:$K$11,2,FALSE)&amp;" - Per "&amp;VLOOKUP($C$4,'Writing Logic'!$G$8:$H$14,2,FALSE),YES_Writing_ELA[#Headers],0))=0,"",INDEX(_xlfn.VSTACK(YES_Writing_ELA[#Data],YES_Writing_FLA[#Data]),MATCH($A501,_xlfn.VSTACK(YES_Writing_ELA[Student Number],YES_Writing_FLA[Student Number]),0),MATCH(VLOOKUP(H$7,'Writing Logic'!$J$7:$K$11,2,FALSE)&amp;" - Per "&amp;VLOOKUP($C$4,'Writing Logic'!$G$8:$H$14,2,FALSE),YES_Writing_ELA[#Headers],0)))),"")</f>
        <v/>
      </c>
      <c r="I501" s="224" t="str" cm="1">
        <f t="array" aca="1" ref="I501" ca="1">IFERROR(
IF($G$3="ELA",
IF(VLOOKUP($A501, YES_Reading_ELA[], COLUMN(INDIRECT("YES_Reading_ELA[Difference - Per "&amp;VLOOKUP($G$4, 'Reading Report Logic'!$A$2:$B$8, 2, FALSE)&amp;"]")), FALSE)="", "",
VLOOKUP($A501,YES_Reading_ELA[], COLUMN(INDIRECT("YES_Reading_ELA[Difference - Per "&amp;VLOOKUP($G$4,'Reading Report Logic'!$A$2:$B$8,2,FALSE)&amp;"]")), FALSE)),
IF($G$3="FLA",
IF(VLOOKUP($A501, YES_Reading_FLA[], COLUMN(INDIRECT("YES_Reading_FLA[Difference - Per "&amp;VLOOKUP($G$4,'Reading Report Logic'!$A$2:$B$8,2,FALSE)&amp;"]")),FALSE)="","",
VLOOKUP($A501,YES_Reading_FLA[],COLUMN(INDIRECT("YES_Reading_FLA[Difference - Per "&amp;VLOOKUP($G$4,'Reading Report Logic'!$A$2:$B$8,2,FALSE)&amp;"]")),FALSE)),
IF($G$3="Combined",
IFERROR(
IF(VLOOKUP($A501, YES_Reading_ELA[], COLUMN(INDIRECT("YES_Reading_ELA[Difference - Per "&amp;VLOOKUP($G$4, 'Reading Report Logic'!$A$2:$B$8,2,FALSE)&amp;"]")), FALSE)="", "",
VLOOKUP($A501,YES_Reading_ELA[],COLUMN(INDIRECT("YES_Reading_ELA[Difference - Per "&amp;VLOOKUP($G$4,'Reading Report Logic'!$A$2:$B$8,2,FALSE)&amp;"]")),FALSE)),
IF(VLOOKUP($A501, YES_Reading_FLA[], COLUMN(INDIRECT("YES_Reading_FLA[Difference - Per "&amp;VLOOKUP($G$4, 'Reading Report Logic'!$A$2:$B$8, 2, FALSE)&amp;"]")),FALSE)="", "", VLOOKUP($A501,YES_Reading_FLA[],COLUMN(INDIRECT("YES_Reading_FLA[Difference - Per "&amp;VLOOKUP($G$4, 'Reading Report Logic'!$A$2:$B$8, 2, FALSE)&amp;"]")),FALSE))),""))),"")</f>
        <v/>
      </c>
    </row>
    <row r="502" spans="1:9" x14ac:dyDescent="0.25">
      <c r="A502" s="137"/>
      <c r="B502" s="137" t="str">
        <f>IFERROR(INDEX(_xlfn.VSTACK(YES_Writing_ELA[#Data], YES_Writing_FLA[#Data]),MATCH($A502,_xlfn.VSTACK(YES_Writing_ELA[Student Number], YES_Writing_FLA[Student Number]),0),MATCH(B$7,YES_Writing_ELA[#Headers],0)),IFERROR(INDEX(_xlfn.VSTACK(YES_Reading_ELA[#Data], YES_Reading_FLA[#Data]),MATCH($A502,_xlfn.VSTACK(YES_Reading_ELA[Student Number], YES_Reading_FLA[Student Number]),0),MATCH(B$7,YES_Reading_ELA[#Headers],0)),""))</f>
        <v/>
      </c>
      <c r="C502" s="137" t="str">
        <f>IFERROR(INDEX(_xlfn.VSTACK(YES_Writing_ELA[#Data], YES_Writing_FLA[#Data]),MATCH($A502,_xlfn.VSTACK(YES_Writing_ELA[Student Number], YES_Writing_FLA[Student Number]),0),MATCH(C$7,YES_Writing_ELA[#Headers],0)),IFERROR(INDEX(_xlfn.VSTACK(YES_Reading_ELA[#Data], YES_Reading_FLA[#Data]),MATCH($A502,_xlfn.VSTACK(YES_Reading_ELA[Student Number], YES_Reading_FLA[Student Number]),0),MATCH(C$7,YES_Reading_ELA[#Headers],0)),""))</f>
        <v/>
      </c>
      <c r="D502" s="138" t="str">
        <f>IFERROR(IF(IF(INDEX(_xlfn.VSTACK(YES_Writing_ELA[#Data],YES_Writing_FLA[#Data]),MATCH($A502,_xlfn.VSTACK(YES_Writing_ELA[Student Number],YES_Writing_FLA[Student Number]),0),MATCH(VLOOKUP(D$7,'Writing Logic'!$J$7:$K$11,2,FALSE)&amp;" - Per "&amp;VLOOKUP($C$4,'Writing Logic'!$G$8:$H$14,2,FALSE),YES_Writing_ELA[#Headers],0))=0,"",INDEX(_xlfn.VSTACK(YES_Writing_ELA[#Data],YES_Writing_FLA[#Data]),MATCH($A502,_xlfn.VSTACK(YES_Writing_ELA[Student Number],YES_Writing_FLA[Student Number]),0),MATCH(VLOOKUP(D$7,'Writing Logic'!$J$7:$K$11,2,FALSE)&amp;" - Per "&amp;VLOOKUP($C$4,'Writing Logic'!$G$8:$H$14,2,FALSE),YES_Writing_ELA[#Headers],0)))="INS",'Writing Logic'!$B$7,IF(INDEX(_xlfn.VSTACK(YES_Writing_ELA[#Data],YES_Writing_FLA[#Data]),MATCH($A502,_xlfn.VSTACK(YES_Writing_ELA[Student Number],YES_Writing_FLA[Student Number]),0),MATCH(VLOOKUP(D$7,'Writing Logic'!$J$7:$K$11,2,FALSE)&amp;" - Per "&amp;VLOOKUP($C$4,'Writing Logic'!$G$8:$H$14,2,FALSE),YES_Writing_ELA[#Headers],0))=0,"",INDEX(_xlfn.VSTACK(YES_Writing_ELA[#Data],YES_Writing_FLA[#Data]),MATCH($A502,_xlfn.VSTACK(YES_Writing_ELA[Student Number],YES_Writing_FLA[Student Number]),0),MATCH(VLOOKUP(D$7,'Writing Logic'!$J$7:$K$11,2,FALSE)&amp;" - Per "&amp;VLOOKUP($C$4,'Writing Logic'!$G$8:$H$14,2,FALSE),YES_Writing_ELA[#Headers],0)))),"")</f>
        <v/>
      </c>
      <c r="E502" s="138" t="str">
        <f>IFERROR(IF(IF(INDEX(_xlfn.VSTACK(YES_Writing_ELA[#Data],YES_Writing_FLA[#Data]),MATCH($A502,_xlfn.VSTACK(YES_Writing_ELA[Student Number],YES_Writing_FLA[Student Number]),0),MATCH(VLOOKUP(E$7,'Writing Logic'!$J$7:$K$11,2,FALSE)&amp;" - Per "&amp;VLOOKUP($C$4,'Writing Logic'!$G$8:$H$14,2,FALSE),YES_Writing_ELA[#Headers],0))=0,"",INDEX(_xlfn.VSTACK(YES_Writing_ELA[#Data],YES_Writing_FLA[#Data]),MATCH($A502,_xlfn.VSTACK(YES_Writing_ELA[Student Number],YES_Writing_FLA[Student Number]),0),MATCH(VLOOKUP(E$7,'Writing Logic'!$J$7:$K$11,2,FALSE)&amp;" - Per "&amp;VLOOKUP($C$4,'Writing Logic'!$G$8:$H$14,2,FALSE),YES_Writing_ELA[#Headers],0)))="INS",'Writing Logic'!$B$7,IF(INDEX(_xlfn.VSTACK(YES_Writing_ELA[#Data],YES_Writing_FLA[#Data]),MATCH($A502,_xlfn.VSTACK(YES_Writing_ELA[Student Number],YES_Writing_FLA[Student Number]),0),MATCH(VLOOKUP(E$7,'Writing Logic'!$J$7:$K$11,2,FALSE)&amp;" - Per "&amp;VLOOKUP($C$4,'Writing Logic'!$G$8:$H$14,2,FALSE),YES_Writing_ELA[#Headers],0))=0,"",INDEX(_xlfn.VSTACK(YES_Writing_ELA[#Data],YES_Writing_FLA[#Data]),MATCH($A502,_xlfn.VSTACK(YES_Writing_ELA[Student Number],YES_Writing_FLA[Student Number]),0),MATCH(VLOOKUP(E$7,'Writing Logic'!$J$7:$K$11,2,FALSE)&amp;" - Per "&amp;VLOOKUP($C$4,'Writing Logic'!$G$8:$H$14,2,FALSE),YES_Writing_ELA[#Headers],0)))),"")</f>
        <v/>
      </c>
      <c r="F502" s="138" t="str">
        <f>IFERROR(IF(IF(INDEX(_xlfn.VSTACK(YES_Writing_ELA[#Data],YES_Writing_FLA[#Data]),MATCH($A502,_xlfn.VSTACK(YES_Writing_ELA[Student Number],YES_Writing_FLA[Student Number]),0),MATCH(VLOOKUP(F$7,'Writing Logic'!$J$7:$K$11,2,FALSE)&amp;" - Per "&amp;VLOOKUP($C$4,'Writing Logic'!$G$8:$H$14,2,FALSE),YES_Writing_ELA[#Headers],0))=0,"",INDEX(_xlfn.VSTACK(YES_Writing_ELA[#Data],YES_Writing_FLA[#Data]),MATCH($A502,_xlfn.VSTACK(YES_Writing_ELA[Student Number],YES_Writing_FLA[Student Number]),0),MATCH(VLOOKUP(F$7,'Writing Logic'!$J$7:$K$11,2,FALSE)&amp;" - Per "&amp;VLOOKUP($C$4,'Writing Logic'!$G$8:$H$14,2,FALSE),YES_Writing_ELA[#Headers],0)))="INS",'Writing Logic'!$B$7,IF(INDEX(_xlfn.VSTACK(YES_Writing_ELA[#Data],YES_Writing_FLA[#Data]),MATCH($A502,_xlfn.VSTACK(YES_Writing_ELA[Student Number],YES_Writing_FLA[Student Number]),0),MATCH(VLOOKUP(F$7,'Writing Logic'!$J$7:$K$11,2,FALSE)&amp;" - Per "&amp;VLOOKUP($C$4,'Writing Logic'!$G$8:$H$14,2,FALSE),YES_Writing_ELA[#Headers],0))=0,"",INDEX(_xlfn.VSTACK(YES_Writing_ELA[#Data],YES_Writing_FLA[#Data]),MATCH($A502,_xlfn.VSTACK(YES_Writing_ELA[Student Number],YES_Writing_FLA[Student Number]),0),MATCH(VLOOKUP(F$7,'Writing Logic'!$J$7:$K$11,2,FALSE)&amp;" - Per "&amp;VLOOKUP($C$4,'Writing Logic'!$G$8:$H$14,2,FALSE),YES_Writing_ELA[#Headers],0)))),"")</f>
        <v/>
      </c>
      <c r="G502" s="138" t="str">
        <f>IFERROR(IF(IF(INDEX(_xlfn.VSTACK(YES_Writing_ELA[#Data],YES_Writing_FLA[#Data]),MATCH($A502,_xlfn.VSTACK(YES_Writing_ELA[Student Number],YES_Writing_FLA[Student Number]),0),MATCH(VLOOKUP(G$7,'Writing Logic'!$J$7:$K$11,2,FALSE)&amp;" - Per "&amp;VLOOKUP($C$4,'Writing Logic'!$G$8:$H$14,2,FALSE),YES_Writing_ELA[#Headers],0))=0,"",INDEX(_xlfn.VSTACK(YES_Writing_ELA[#Data],YES_Writing_FLA[#Data]),MATCH($A502,_xlfn.VSTACK(YES_Writing_ELA[Student Number],YES_Writing_FLA[Student Number]),0),MATCH(VLOOKUP(G$7,'Writing Logic'!$J$7:$K$11,2,FALSE)&amp;" - Per "&amp;VLOOKUP($C$4,'Writing Logic'!$G$8:$H$14,2,FALSE),YES_Writing_ELA[#Headers],0)))="INS",'Writing Logic'!$B$7,IF(INDEX(_xlfn.VSTACK(YES_Writing_ELA[#Data],YES_Writing_FLA[#Data]),MATCH($A502,_xlfn.VSTACK(YES_Writing_ELA[Student Number],YES_Writing_FLA[Student Number]),0),MATCH(VLOOKUP(G$7,'Writing Logic'!$J$7:$K$11,2,FALSE)&amp;" - Per "&amp;VLOOKUP($C$4,'Writing Logic'!$G$8:$H$14,2,FALSE),YES_Writing_ELA[#Headers],0))=0,"",INDEX(_xlfn.VSTACK(YES_Writing_ELA[#Data],YES_Writing_FLA[#Data]),MATCH($A502,_xlfn.VSTACK(YES_Writing_ELA[Student Number],YES_Writing_FLA[Student Number]),0),MATCH(VLOOKUP(G$7,'Writing Logic'!$J$7:$K$11,2,FALSE)&amp;" - Per "&amp;VLOOKUP($C$4,'Writing Logic'!$G$8:$H$14,2,FALSE),YES_Writing_ELA[#Headers],0)))),"")</f>
        <v/>
      </c>
      <c r="H502" s="223" t="str">
        <f>IFERROR(IF(IF(INDEX(_xlfn.VSTACK(YES_Writing_ELA[#Data],YES_Writing_FLA[#Data]),MATCH($A502,_xlfn.VSTACK(YES_Writing_ELA[Student Number],YES_Writing_FLA[Student Number]),0),MATCH(VLOOKUP(H$7,'Writing Logic'!$J$7:$K$11,2,FALSE)&amp;" - Per "&amp;VLOOKUP($C$4,'Writing Logic'!$G$8:$H$14,2,FALSE),YES_Writing_ELA[#Headers],0))=0,"",INDEX(_xlfn.VSTACK(YES_Writing_ELA[#Data],YES_Writing_FLA[#Data]),MATCH($A502,_xlfn.VSTACK(YES_Writing_ELA[Student Number],YES_Writing_FLA[Student Number]),0),MATCH(VLOOKUP(H$7,'Writing Logic'!$J$7:$K$11,2,FALSE)&amp;" - Per "&amp;VLOOKUP($C$4,'Writing Logic'!$G$8:$H$14,2,FALSE),YES_Writing_ELA[#Headers],0)))="INS",'Writing Logic'!$B$7,IF(INDEX(_xlfn.VSTACK(YES_Writing_ELA[#Data],YES_Writing_FLA[#Data]),MATCH($A502,_xlfn.VSTACK(YES_Writing_ELA[Student Number],YES_Writing_FLA[Student Number]),0),MATCH(VLOOKUP(H$7,'Writing Logic'!$J$7:$K$11,2,FALSE)&amp;" - Per "&amp;VLOOKUP($C$4,'Writing Logic'!$G$8:$H$14,2,FALSE),YES_Writing_ELA[#Headers],0))=0,"",INDEX(_xlfn.VSTACK(YES_Writing_ELA[#Data],YES_Writing_FLA[#Data]),MATCH($A502,_xlfn.VSTACK(YES_Writing_ELA[Student Number],YES_Writing_FLA[Student Number]),0),MATCH(VLOOKUP(H$7,'Writing Logic'!$J$7:$K$11,2,FALSE)&amp;" - Per "&amp;VLOOKUP($C$4,'Writing Logic'!$G$8:$H$14,2,FALSE),YES_Writing_ELA[#Headers],0)))),"")</f>
        <v/>
      </c>
      <c r="I502" s="224" t="str" cm="1">
        <f t="array" aca="1" ref="I502" ca="1">IFERROR(
IF($G$3="ELA",
IF(VLOOKUP($A502, YES_Reading_ELA[], COLUMN(INDIRECT("YES_Reading_ELA[Difference - Per "&amp;VLOOKUP($G$4, 'Reading Report Logic'!$A$2:$B$8, 2, FALSE)&amp;"]")), FALSE)="", "",
VLOOKUP($A502,YES_Reading_ELA[], COLUMN(INDIRECT("YES_Reading_ELA[Difference - Per "&amp;VLOOKUP($G$4,'Reading Report Logic'!$A$2:$B$8,2,FALSE)&amp;"]")), FALSE)),
IF($G$3="FLA",
IF(VLOOKUP($A502, YES_Reading_FLA[], COLUMN(INDIRECT("YES_Reading_FLA[Difference - Per "&amp;VLOOKUP($G$4,'Reading Report Logic'!$A$2:$B$8,2,FALSE)&amp;"]")),FALSE)="","",
VLOOKUP($A502,YES_Reading_FLA[],COLUMN(INDIRECT("YES_Reading_FLA[Difference - Per "&amp;VLOOKUP($G$4,'Reading Report Logic'!$A$2:$B$8,2,FALSE)&amp;"]")),FALSE)),
IF($G$3="Combined",
IFERROR(
IF(VLOOKUP($A502, YES_Reading_ELA[], COLUMN(INDIRECT("YES_Reading_ELA[Difference - Per "&amp;VLOOKUP($G$4, 'Reading Report Logic'!$A$2:$B$8,2,FALSE)&amp;"]")), FALSE)="", "",
VLOOKUP($A502,YES_Reading_ELA[],COLUMN(INDIRECT("YES_Reading_ELA[Difference - Per "&amp;VLOOKUP($G$4,'Reading Report Logic'!$A$2:$B$8,2,FALSE)&amp;"]")),FALSE)),
IF(VLOOKUP($A502, YES_Reading_FLA[], COLUMN(INDIRECT("YES_Reading_FLA[Difference - Per "&amp;VLOOKUP($G$4, 'Reading Report Logic'!$A$2:$B$8, 2, FALSE)&amp;"]")),FALSE)="", "", VLOOKUP($A502,YES_Reading_FLA[],COLUMN(INDIRECT("YES_Reading_FLA[Difference - Per "&amp;VLOOKUP($G$4, 'Reading Report Logic'!$A$2:$B$8, 2, FALSE)&amp;"]")),FALSE))),""))),"")</f>
        <v/>
      </c>
    </row>
    <row r="503" spans="1:9" x14ac:dyDescent="0.25">
      <c r="A503" s="137"/>
      <c r="B503" s="137" t="str">
        <f>IFERROR(INDEX(_xlfn.VSTACK(YES_Writing_ELA[#Data], YES_Writing_FLA[#Data]),MATCH($A503,_xlfn.VSTACK(YES_Writing_ELA[Student Number], YES_Writing_FLA[Student Number]),0),MATCH(B$7,YES_Writing_ELA[#Headers],0)),IFERROR(INDEX(_xlfn.VSTACK(YES_Reading_ELA[#Data], YES_Reading_FLA[#Data]),MATCH($A503,_xlfn.VSTACK(YES_Reading_ELA[Student Number], YES_Reading_FLA[Student Number]),0),MATCH(B$7,YES_Reading_ELA[#Headers],0)),""))</f>
        <v/>
      </c>
      <c r="C503" s="137" t="str">
        <f>IFERROR(INDEX(_xlfn.VSTACK(YES_Writing_ELA[#Data], YES_Writing_FLA[#Data]),MATCH($A503,_xlfn.VSTACK(YES_Writing_ELA[Student Number], YES_Writing_FLA[Student Number]),0),MATCH(C$7,YES_Writing_ELA[#Headers],0)),IFERROR(INDEX(_xlfn.VSTACK(YES_Reading_ELA[#Data], YES_Reading_FLA[#Data]),MATCH($A503,_xlfn.VSTACK(YES_Reading_ELA[Student Number], YES_Reading_FLA[Student Number]),0),MATCH(C$7,YES_Reading_ELA[#Headers],0)),""))</f>
        <v/>
      </c>
      <c r="D503" s="138" t="str">
        <f>IFERROR(IF(IF(INDEX(_xlfn.VSTACK(YES_Writing_ELA[#Data],YES_Writing_FLA[#Data]),MATCH($A503,_xlfn.VSTACK(YES_Writing_ELA[Student Number],YES_Writing_FLA[Student Number]),0),MATCH(VLOOKUP(D$7,'Writing Logic'!$J$7:$K$11,2,FALSE)&amp;" - Per "&amp;VLOOKUP($C$4,'Writing Logic'!$G$8:$H$14,2,FALSE),YES_Writing_ELA[#Headers],0))=0,"",INDEX(_xlfn.VSTACK(YES_Writing_ELA[#Data],YES_Writing_FLA[#Data]),MATCH($A503,_xlfn.VSTACK(YES_Writing_ELA[Student Number],YES_Writing_FLA[Student Number]),0),MATCH(VLOOKUP(D$7,'Writing Logic'!$J$7:$K$11,2,FALSE)&amp;" - Per "&amp;VLOOKUP($C$4,'Writing Logic'!$G$8:$H$14,2,FALSE),YES_Writing_ELA[#Headers],0)))="INS",'Writing Logic'!$B$7,IF(INDEX(_xlfn.VSTACK(YES_Writing_ELA[#Data],YES_Writing_FLA[#Data]),MATCH($A503,_xlfn.VSTACK(YES_Writing_ELA[Student Number],YES_Writing_FLA[Student Number]),0),MATCH(VLOOKUP(D$7,'Writing Logic'!$J$7:$K$11,2,FALSE)&amp;" - Per "&amp;VLOOKUP($C$4,'Writing Logic'!$G$8:$H$14,2,FALSE),YES_Writing_ELA[#Headers],0))=0,"",INDEX(_xlfn.VSTACK(YES_Writing_ELA[#Data],YES_Writing_FLA[#Data]),MATCH($A503,_xlfn.VSTACK(YES_Writing_ELA[Student Number],YES_Writing_FLA[Student Number]),0),MATCH(VLOOKUP(D$7,'Writing Logic'!$J$7:$K$11,2,FALSE)&amp;" - Per "&amp;VLOOKUP($C$4,'Writing Logic'!$G$8:$H$14,2,FALSE),YES_Writing_ELA[#Headers],0)))),"")</f>
        <v/>
      </c>
      <c r="E503" s="138" t="str">
        <f>IFERROR(IF(IF(INDEX(_xlfn.VSTACK(YES_Writing_ELA[#Data],YES_Writing_FLA[#Data]),MATCH($A503,_xlfn.VSTACK(YES_Writing_ELA[Student Number],YES_Writing_FLA[Student Number]),0),MATCH(VLOOKUP(E$7,'Writing Logic'!$J$7:$K$11,2,FALSE)&amp;" - Per "&amp;VLOOKUP($C$4,'Writing Logic'!$G$8:$H$14,2,FALSE),YES_Writing_ELA[#Headers],0))=0,"",INDEX(_xlfn.VSTACK(YES_Writing_ELA[#Data],YES_Writing_FLA[#Data]),MATCH($A503,_xlfn.VSTACK(YES_Writing_ELA[Student Number],YES_Writing_FLA[Student Number]),0),MATCH(VLOOKUP(E$7,'Writing Logic'!$J$7:$K$11,2,FALSE)&amp;" - Per "&amp;VLOOKUP($C$4,'Writing Logic'!$G$8:$H$14,2,FALSE),YES_Writing_ELA[#Headers],0)))="INS",'Writing Logic'!$B$7,IF(INDEX(_xlfn.VSTACK(YES_Writing_ELA[#Data],YES_Writing_FLA[#Data]),MATCH($A503,_xlfn.VSTACK(YES_Writing_ELA[Student Number],YES_Writing_FLA[Student Number]),0),MATCH(VLOOKUP(E$7,'Writing Logic'!$J$7:$K$11,2,FALSE)&amp;" - Per "&amp;VLOOKUP($C$4,'Writing Logic'!$G$8:$H$14,2,FALSE),YES_Writing_ELA[#Headers],0))=0,"",INDEX(_xlfn.VSTACK(YES_Writing_ELA[#Data],YES_Writing_FLA[#Data]),MATCH($A503,_xlfn.VSTACK(YES_Writing_ELA[Student Number],YES_Writing_FLA[Student Number]),0),MATCH(VLOOKUP(E$7,'Writing Logic'!$J$7:$K$11,2,FALSE)&amp;" - Per "&amp;VLOOKUP($C$4,'Writing Logic'!$G$8:$H$14,2,FALSE),YES_Writing_ELA[#Headers],0)))),"")</f>
        <v/>
      </c>
      <c r="F503" s="138" t="str">
        <f>IFERROR(IF(IF(INDEX(_xlfn.VSTACK(YES_Writing_ELA[#Data],YES_Writing_FLA[#Data]),MATCH($A503,_xlfn.VSTACK(YES_Writing_ELA[Student Number],YES_Writing_FLA[Student Number]),0),MATCH(VLOOKUP(F$7,'Writing Logic'!$J$7:$K$11,2,FALSE)&amp;" - Per "&amp;VLOOKUP($C$4,'Writing Logic'!$G$8:$H$14,2,FALSE),YES_Writing_ELA[#Headers],0))=0,"",INDEX(_xlfn.VSTACK(YES_Writing_ELA[#Data],YES_Writing_FLA[#Data]),MATCH($A503,_xlfn.VSTACK(YES_Writing_ELA[Student Number],YES_Writing_FLA[Student Number]),0),MATCH(VLOOKUP(F$7,'Writing Logic'!$J$7:$K$11,2,FALSE)&amp;" - Per "&amp;VLOOKUP($C$4,'Writing Logic'!$G$8:$H$14,2,FALSE),YES_Writing_ELA[#Headers],0)))="INS",'Writing Logic'!$B$7,IF(INDEX(_xlfn.VSTACK(YES_Writing_ELA[#Data],YES_Writing_FLA[#Data]),MATCH($A503,_xlfn.VSTACK(YES_Writing_ELA[Student Number],YES_Writing_FLA[Student Number]),0),MATCH(VLOOKUP(F$7,'Writing Logic'!$J$7:$K$11,2,FALSE)&amp;" - Per "&amp;VLOOKUP($C$4,'Writing Logic'!$G$8:$H$14,2,FALSE),YES_Writing_ELA[#Headers],0))=0,"",INDEX(_xlfn.VSTACK(YES_Writing_ELA[#Data],YES_Writing_FLA[#Data]),MATCH($A503,_xlfn.VSTACK(YES_Writing_ELA[Student Number],YES_Writing_FLA[Student Number]),0),MATCH(VLOOKUP(F$7,'Writing Logic'!$J$7:$K$11,2,FALSE)&amp;" - Per "&amp;VLOOKUP($C$4,'Writing Logic'!$G$8:$H$14,2,FALSE),YES_Writing_ELA[#Headers],0)))),"")</f>
        <v/>
      </c>
      <c r="G503" s="138" t="str">
        <f>IFERROR(IF(IF(INDEX(_xlfn.VSTACK(YES_Writing_ELA[#Data],YES_Writing_FLA[#Data]),MATCH($A503,_xlfn.VSTACK(YES_Writing_ELA[Student Number],YES_Writing_FLA[Student Number]),0),MATCH(VLOOKUP(G$7,'Writing Logic'!$J$7:$K$11,2,FALSE)&amp;" - Per "&amp;VLOOKUP($C$4,'Writing Logic'!$G$8:$H$14,2,FALSE),YES_Writing_ELA[#Headers],0))=0,"",INDEX(_xlfn.VSTACK(YES_Writing_ELA[#Data],YES_Writing_FLA[#Data]),MATCH($A503,_xlfn.VSTACK(YES_Writing_ELA[Student Number],YES_Writing_FLA[Student Number]),0),MATCH(VLOOKUP(G$7,'Writing Logic'!$J$7:$K$11,2,FALSE)&amp;" - Per "&amp;VLOOKUP($C$4,'Writing Logic'!$G$8:$H$14,2,FALSE),YES_Writing_ELA[#Headers],0)))="INS",'Writing Logic'!$B$7,IF(INDEX(_xlfn.VSTACK(YES_Writing_ELA[#Data],YES_Writing_FLA[#Data]),MATCH($A503,_xlfn.VSTACK(YES_Writing_ELA[Student Number],YES_Writing_FLA[Student Number]),0),MATCH(VLOOKUP(G$7,'Writing Logic'!$J$7:$K$11,2,FALSE)&amp;" - Per "&amp;VLOOKUP($C$4,'Writing Logic'!$G$8:$H$14,2,FALSE),YES_Writing_ELA[#Headers],0))=0,"",INDEX(_xlfn.VSTACK(YES_Writing_ELA[#Data],YES_Writing_FLA[#Data]),MATCH($A503,_xlfn.VSTACK(YES_Writing_ELA[Student Number],YES_Writing_FLA[Student Number]),0),MATCH(VLOOKUP(G$7,'Writing Logic'!$J$7:$K$11,2,FALSE)&amp;" - Per "&amp;VLOOKUP($C$4,'Writing Logic'!$G$8:$H$14,2,FALSE),YES_Writing_ELA[#Headers],0)))),"")</f>
        <v/>
      </c>
      <c r="H503" s="223" t="str">
        <f>IFERROR(IF(IF(INDEX(_xlfn.VSTACK(YES_Writing_ELA[#Data],YES_Writing_FLA[#Data]),MATCH($A503,_xlfn.VSTACK(YES_Writing_ELA[Student Number],YES_Writing_FLA[Student Number]),0),MATCH(VLOOKUP(H$7,'Writing Logic'!$J$7:$K$11,2,FALSE)&amp;" - Per "&amp;VLOOKUP($C$4,'Writing Logic'!$G$8:$H$14,2,FALSE),YES_Writing_ELA[#Headers],0))=0,"",INDEX(_xlfn.VSTACK(YES_Writing_ELA[#Data],YES_Writing_FLA[#Data]),MATCH($A503,_xlfn.VSTACK(YES_Writing_ELA[Student Number],YES_Writing_FLA[Student Number]),0),MATCH(VLOOKUP(H$7,'Writing Logic'!$J$7:$K$11,2,FALSE)&amp;" - Per "&amp;VLOOKUP($C$4,'Writing Logic'!$G$8:$H$14,2,FALSE),YES_Writing_ELA[#Headers],0)))="INS",'Writing Logic'!$B$7,IF(INDEX(_xlfn.VSTACK(YES_Writing_ELA[#Data],YES_Writing_FLA[#Data]),MATCH($A503,_xlfn.VSTACK(YES_Writing_ELA[Student Number],YES_Writing_FLA[Student Number]),0),MATCH(VLOOKUP(H$7,'Writing Logic'!$J$7:$K$11,2,FALSE)&amp;" - Per "&amp;VLOOKUP($C$4,'Writing Logic'!$G$8:$H$14,2,FALSE),YES_Writing_ELA[#Headers],0))=0,"",INDEX(_xlfn.VSTACK(YES_Writing_ELA[#Data],YES_Writing_FLA[#Data]),MATCH($A503,_xlfn.VSTACK(YES_Writing_ELA[Student Number],YES_Writing_FLA[Student Number]),0),MATCH(VLOOKUP(H$7,'Writing Logic'!$J$7:$K$11,2,FALSE)&amp;" - Per "&amp;VLOOKUP($C$4,'Writing Logic'!$G$8:$H$14,2,FALSE),YES_Writing_ELA[#Headers],0)))),"")</f>
        <v/>
      </c>
      <c r="I503" s="224" t="str" cm="1">
        <f t="array" aca="1" ref="I503" ca="1">IFERROR(
IF($G$3="ELA",
IF(VLOOKUP($A503, YES_Reading_ELA[], COLUMN(INDIRECT("YES_Reading_ELA[Difference - Per "&amp;VLOOKUP($G$4, 'Reading Report Logic'!$A$2:$B$8, 2, FALSE)&amp;"]")), FALSE)="", "",
VLOOKUP($A503,YES_Reading_ELA[], COLUMN(INDIRECT("YES_Reading_ELA[Difference - Per "&amp;VLOOKUP($G$4,'Reading Report Logic'!$A$2:$B$8,2,FALSE)&amp;"]")), FALSE)),
IF($G$3="FLA",
IF(VLOOKUP($A503, YES_Reading_FLA[], COLUMN(INDIRECT("YES_Reading_FLA[Difference - Per "&amp;VLOOKUP($G$4,'Reading Report Logic'!$A$2:$B$8,2,FALSE)&amp;"]")),FALSE)="","",
VLOOKUP($A503,YES_Reading_FLA[],COLUMN(INDIRECT("YES_Reading_FLA[Difference - Per "&amp;VLOOKUP($G$4,'Reading Report Logic'!$A$2:$B$8,2,FALSE)&amp;"]")),FALSE)),
IF($G$3="Combined",
IFERROR(
IF(VLOOKUP($A503, YES_Reading_ELA[], COLUMN(INDIRECT("YES_Reading_ELA[Difference - Per "&amp;VLOOKUP($G$4, 'Reading Report Logic'!$A$2:$B$8,2,FALSE)&amp;"]")), FALSE)="", "",
VLOOKUP($A503,YES_Reading_ELA[],COLUMN(INDIRECT("YES_Reading_ELA[Difference - Per "&amp;VLOOKUP($G$4,'Reading Report Logic'!$A$2:$B$8,2,FALSE)&amp;"]")),FALSE)),
IF(VLOOKUP($A503, YES_Reading_FLA[], COLUMN(INDIRECT("YES_Reading_FLA[Difference - Per "&amp;VLOOKUP($G$4, 'Reading Report Logic'!$A$2:$B$8, 2, FALSE)&amp;"]")),FALSE)="", "", VLOOKUP($A503,YES_Reading_FLA[],COLUMN(INDIRECT("YES_Reading_FLA[Difference - Per "&amp;VLOOKUP($G$4, 'Reading Report Logic'!$A$2:$B$8, 2, FALSE)&amp;"]")),FALSE))),""))),"")</f>
        <v/>
      </c>
    </row>
    <row r="504" spans="1:9" x14ac:dyDescent="0.25">
      <c r="A504" s="137"/>
      <c r="B504" s="137" t="str">
        <f>IFERROR(INDEX(_xlfn.VSTACK(YES_Writing_ELA[#Data], YES_Writing_FLA[#Data]),MATCH($A504,_xlfn.VSTACK(YES_Writing_ELA[Student Number], YES_Writing_FLA[Student Number]),0),MATCH(B$7,YES_Writing_ELA[#Headers],0)),IFERROR(INDEX(_xlfn.VSTACK(YES_Reading_ELA[#Data], YES_Reading_FLA[#Data]),MATCH($A504,_xlfn.VSTACK(YES_Reading_ELA[Student Number], YES_Reading_FLA[Student Number]),0),MATCH(B$7,YES_Reading_ELA[#Headers],0)),""))</f>
        <v/>
      </c>
      <c r="C504" s="137" t="str">
        <f>IFERROR(INDEX(_xlfn.VSTACK(YES_Writing_ELA[#Data], YES_Writing_FLA[#Data]),MATCH($A504,_xlfn.VSTACK(YES_Writing_ELA[Student Number], YES_Writing_FLA[Student Number]),0),MATCH(C$7,YES_Writing_ELA[#Headers],0)),IFERROR(INDEX(_xlfn.VSTACK(YES_Reading_ELA[#Data], YES_Reading_FLA[#Data]),MATCH($A504,_xlfn.VSTACK(YES_Reading_ELA[Student Number], YES_Reading_FLA[Student Number]),0),MATCH(C$7,YES_Reading_ELA[#Headers],0)),""))</f>
        <v/>
      </c>
      <c r="D504" s="138" t="str">
        <f>IFERROR(IF(IF(INDEX(_xlfn.VSTACK(YES_Writing_ELA[#Data],YES_Writing_FLA[#Data]),MATCH($A504,_xlfn.VSTACK(YES_Writing_ELA[Student Number],YES_Writing_FLA[Student Number]),0),MATCH(VLOOKUP(D$7,'Writing Logic'!$J$7:$K$11,2,FALSE)&amp;" - Per "&amp;VLOOKUP($C$4,'Writing Logic'!$G$8:$H$14,2,FALSE),YES_Writing_ELA[#Headers],0))=0,"",INDEX(_xlfn.VSTACK(YES_Writing_ELA[#Data],YES_Writing_FLA[#Data]),MATCH($A504,_xlfn.VSTACK(YES_Writing_ELA[Student Number],YES_Writing_FLA[Student Number]),0),MATCH(VLOOKUP(D$7,'Writing Logic'!$J$7:$K$11,2,FALSE)&amp;" - Per "&amp;VLOOKUP($C$4,'Writing Logic'!$G$8:$H$14,2,FALSE),YES_Writing_ELA[#Headers],0)))="INS",'Writing Logic'!$B$7,IF(INDEX(_xlfn.VSTACK(YES_Writing_ELA[#Data],YES_Writing_FLA[#Data]),MATCH($A504,_xlfn.VSTACK(YES_Writing_ELA[Student Number],YES_Writing_FLA[Student Number]),0),MATCH(VLOOKUP(D$7,'Writing Logic'!$J$7:$K$11,2,FALSE)&amp;" - Per "&amp;VLOOKUP($C$4,'Writing Logic'!$G$8:$H$14,2,FALSE),YES_Writing_ELA[#Headers],0))=0,"",INDEX(_xlfn.VSTACK(YES_Writing_ELA[#Data],YES_Writing_FLA[#Data]),MATCH($A504,_xlfn.VSTACK(YES_Writing_ELA[Student Number],YES_Writing_FLA[Student Number]),0),MATCH(VLOOKUP(D$7,'Writing Logic'!$J$7:$K$11,2,FALSE)&amp;" - Per "&amp;VLOOKUP($C$4,'Writing Logic'!$G$8:$H$14,2,FALSE),YES_Writing_ELA[#Headers],0)))),"")</f>
        <v/>
      </c>
      <c r="E504" s="138" t="str">
        <f>IFERROR(IF(IF(INDEX(_xlfn.VSTACK(YES_Writing_ELA[#Data],YES_Writing_FLA[#Data]),MATCH($A504,_xlfn.VSTACK(YES_Writing_ELA[Student Number],YES_Writing_FLA[Student Number]),0),MATCH(VLOOKUP(E$7,'Writing Logic'!$J$7:$K$11,2,FALSE)&amp;" - Per "&amp;VLOOKUP($C$4,'Writing Logic'!$G$8:$H$14,2,FALSE),YES_Writing_ELA[#Headers],0))=0,"",INDEX(_xlfn.VSTACK(YES_Writing_ELA[#Data],YES_Writing_FLA[#Data]),MATCH($A504,_xlfn.VSTACK(YES_Writing_ELA[Student Number],YES_Writing_FLA[Student Number]),0),MATCH(VLOOKUP(E$7,'Writing Logic'!$J$7:$K$11,2,FALSE)&amp;" - Per "&amp;VLOOKUP($C$4,'Writing Logic'!$G$8:$H$14,2,FALSE),YES_Writing_ELA[#Headers],0)))="INS",'Writing Logic'!$B$7,IF(INDEX(_xlfn.VSTACK(YES_Writing_ELA[#Data],YES_Writing_FLA[#Data]),MATCH($A504,_xlfn.VSTACK(YES_Writing_ELA[Student Number],YES_Writing_FLA[Student Number]),0),MATCH(VLOOKUP(E$7,'Writing Logic'!$J$7:$K$11,2,FALSE)&amp;" - Per "&amp;VLOOKUP($C$4,'Writing Logic'!$G$8:$H$14,2,FALSE),YES_Writing_ELA[#Headers],0))=0,"",INDEX(_xlfn.VSTACK(YES_Writing_ELA[#Data],YES_Writing_FLA[#Data]),MATCH($A504,_xlfn.VSTACK(YES_Writing_ELA[Student Number],YES_Writing_FLA[Student Number]),0),MATCH(VLOOKUP(E$7,'Writing Logic'!$J$7:$K$11,2,FALSE)&amp;" - Per "&amp;VLOOKUP($C$4,'Writing Logic'!$G$8:$H$14,2,FALSE),YES_Writing_ELA[#Headers],0)))),"")</f>
        <v/>
      </c>
      <c r="F504" s="138" t="str">
        <f>IFERROR(IF(IF(INDEX(_xlfn.VSTACK(YES_Writing_ELA[#Data],YES_Writing_FLA[#Data]),MATCH($A504,_xlfn.VSTACK(YES_Writing_ELA[Student Number],YES_Writing_FLA[Student Number]),0),MATCH(VLOOKUP(F$7,'Writing Logic'!$J$7:$K$11,2,FALSE)&amp;" - Per "&amp;VLOOKUP($C$4,'Writing Logic'!$G$8:$H$14,2,FALSE),YES_Writing_ELA[#Headers],0))=0,"",INDEX(_xlfn.VSTACK(YES_Writing_ELA[#Data],YES_Writing_FLA[#Data]),MATCH($A504,_xlfn.VSTACK(YES_Writing_ELA[Student Number],YES_Writing_FLA[Student Number]),0),MATCH(VLOOKUP(F$7,'Writing Logic'!$J$7:$K$11,2,FALSE)&amp;" - Per "&amp;VLOOKUP($C$4,'Writing Logic'!$G$8:$H$14,2,FALSE),YES_Writing_ELA[#Headers],0)))="INS",'Writing Logic'!$B$7,IF(INDEX(_xlfn.VSTACK(YES_Writing_ELA[#Data],YES_Writing_FLA[#Data]),MATCH($A504,_xlfn.VSTACK(YES_Writing_ELA[Student Number],YES_Writing_FLA[Student Number]),0),MATCH(VLOOKUP(F$7,'Writing Logic'!$J$7:$K$11,2,FALSE)&amp;" - Per "&amp;VLOOKUP($C$4,'Writing Logic'!$G$8:$H$14,2,FALSE),YES_Writing_ELA[#Headers],0))=0,"",INDEX(_xlfn.VSTACK(YES_Writing_ELA[#Data],YES_Writing_FLA[#Data]),MATCH($A504,_xlfn.VSTACK(YES_Writing_ELA[Student Number],YES_Writing_FLA[Student Number]),0),MATCH(VLOOKUP(F$7,'Writing Logic'!$J$7:$K$11,2,FALSE)&amp;" - Per "&amp;VLOOKUP($C$4,'Writing Logic'!$G$8:$H$14,2,FALSE),YES_Writing_ELA[#Headers],0)))),"")</f>
        <v/>
      </c>
      <c r="G504" s="138" t="str">
        <f>IFERROR(IF(IF(INDEX(_xlfn.VSTACK(YES_Writing_ELA[#Data],YES_Writing_FLA[#Data]),MATCH($A504,_xlfn.VSTACK(YES_Writing_ELA[Student Number],YES_Writing_FLA[Student Number]),0),MATCH(VLOOKUP(G$7,'Writing Logic'!$J$7:$K$11,2,FALSE)&amp;" - Per "&amp;VLOOKUP($C$4,'Writing Logic'!$G$8:$H$14,2,FALSE),YES_Writing_ELA[#Headers],0))=0,"",INDEX(_xlfn.VSTACK(YES_Writing_ELA[#Data],YES_Writing_FLA[#Data]),MATCH($A504,_xlfn.VSTACK(YES_Writing_ELA[Student Number],YES_Writing_FLA[Student Number]),0),MATCH(VLOOKUP(G$7,'Writing Logic'!$J$7:$K$11,2,FALSE)&amp;" - Per "&amp;VLOOKUP($C$4,'Writing Logic'!$G$8:$H$14,2,FALSE),YES_Writing_ELA[#Headers],0)))="INS",'Writing Logic'!$B$7,IF(INDEX(_xlfn.VSTACK(YES_Writing_ELA[#Data],YES_Writing_FLA[#Data]),MATCH($A504,_xlfn.VSTACK(YES_Writing_ELA[Student Number],YES_Writing_FLA[Student Number]),0),MATCH(VLOOKUP(G$7,'Writing Logic'!$J$7:$K$11,2,FALSE)&amp;" - Per "&amp;VLOOKUP($C$4,'Writing Logic'!$G$8:$H$14,2,FALSE),YES_Writing_ELA[#Headers],0))=0,"",INDEX(_xlfn.VSTACK(YES_Writing_ELA[#Data],YES_Writing_FLA[#Data]),MATCH($A504,_xlfn.VSTACK(YES_Writing_ELA[Student Number],YES_Writing_FLA[Student Number]),0),MATCH(VLOOKUP(G$7,'Writing Logic'!$J$7:$K$11,2,FALSE)&amp;" - Per "&amp;VLOOKUP($C$4,'Writing Logic'!$G$8:$H$14,2,FALSE),YES_Writing_ELA[#Headers],0)))),"")</f>
        <v/>
      </c>
      <c r="H504" s="223" t="str">
        <f>IFERROR(IF(IF(INDEX(_xlfn.VSTACK(YES_Writing_ELA[#Data],YES_Writing_FLA[#Data]),MATCH($A504,_xlfn.VSTACK(YES_Writing_ELA[Student Number],YES_Writing_FLA[Student Number]),0),MATCH(VLOOKUP(H$7,'Writing Logic'!$J$7:$K$11,2,FALSE)&amp;" - Per "&amp;VLOOKUP($C$4,'Writing Logic'!$G$8:$H$14,2,FALSE),YES_Writing_ELA[#Headers],0))=0,"",INDEX(_xlfn.VSTACK(YES_Writing_ELA[#Data],YES_Writing_FLA[#Data]),MATCH($A504,_xlfn.VSTACK(YES_Writing_ELA[Student Number],YES_Writing_FLA[Student Number]),0),MATCH(VLOOKUP(H$7,'Writing Logic'!$J$7:$K$11,2,FALSE)&amp;" - Per "&amp;VLOOKUP($C$4,'Writing Logic'!$G$8:$H$14,2,FALSE),YES_Writing_ELA[#Headers],0)))="INS",'Writing Logic'!$B$7,IF(INDEX(_xlfn.VSTACK(YES_Writing_ELA[#Data],YES_Writing_FLA[#Data]),MATCH($A504,_xlfn.VSTACK(YES_Writing_ELA[Student Number],YES_Writing_FLA[Student Number]),0),MATCH(VLOOKUP(H$7,'Writing Logic'!$J$7:$K$11,2,FALSE)&amp;" - Per "&amp;VLOOKUP($C$4,'Writing Logic'!$G$8:$H$14,2,FALSE),YES_Writing_ELA[#Headers],0))=0,"",INDEX(_xlfn.VSTACK(YES_Writing_ELA[#Data],YES_Writing_FLA[#Data]),MATCH($A504,_xlfn.VSTACK(YES_Writing_ELA[Student Number],YES_Writing_FLA[Student Number]),0),MATCH(VLOOKUP(H$7,'Writing Logic'!$J$7:$K$11,2,FALSE)&amp;" - Per "&amp;VLOOKUP($C$4,'Writing Logic'!$G$8:$H$14,2,FALSE),YES_Writing_ELA[#Headers],0)))),"")</f>
        <v/>
      </c>
      <c r="I504" s="224" t="str" cm="1">
        <f t="array" aca="1" ref="I504" ca="1">IFERROR(
IF($G$3="ELA",
IF(VLOOKUP($A504, YES_Reading_ELA[], COLUMN(INDIRECT("YES_Reading_ELA[Difference - Per "&amp;VLOOKUP($G$4, 'Reading Report Logic'!$A$2:$B$8, 2, FALSE)&amp;"]")), FALSE)="", "",
VLOOKUP($A504,YES_Reading_ELA[], COLUMN(INDIRECT("YES_Reading_ELA[Difference - Per "&amp;VLOOKUP($G$4,'Reading Report Logic'!$A$2:$B$8,2,FALSE)&amp;"]")), FALSE)),
IF($G$3="FLA",
IF(VLOOKUP($A504, YES_Reading_FLA[], COLUMN(INDIRECT("YES_Reading_FLA[Difference - Per "&amp;VLOOKUP($G$4,'Reading Report Logic'!$A$2:$B$8,2,FALSE)&amp;"]")),FALSE)="","",
VLOOKUP($A504,YES_Reading_FLA[],COLUMN(INDIRECT("YES_Reading_FLA[Difference - Per "&amp;VLOOKUP($G$4,'Reading Report Logic'!$A$2:$B$8,2,FALSE)&amp;"]")),FALSE)),
IF($G$3="Combined",
IFERROR(
IF(VLOOKUP($A504, YES_Reading_ELA[], COLUMN(INDIRECT("YES_Reading_ELA[Difference - Per "&amp;VLOOKUP($G$4, 'Reading Report Logic'!$A$2:$B$8,2,FALSE)&amp;"]")), FALSE)="", "",
VLOOKUP($A504,YES_Reading_ELA[],COLUMN(INDIRECT("YES_Reading_ELA[Difference - Per "&amp;VLOOKUP($G$4,'Reading Report Logic'!$A$2:$B$8,2,FALSE)&amp;"]")),FALSE)),
IF(VLOOKUP($A504, YES_Reading_FLA[], COLUMN(INDIRECT("YES_Reading_FLA[Difference - Per "&amp;VLOOKUP($G$4, 'Reading Report Logic'!$A$2:$B$8, 2, FALSE)&amp;"]")),FALSE)="", "", VLOOKUP($A504,YES_Reading_FLA[],COLUMN(INDIRECT("YES_Reading_FLA[Difference - Per "&amp;VLOOKUP($G$4, 'Reading Report Logic'!$A$2:$B$8, 2, FALSE)&amp;"]")),FALSE))),""))),"")</f>
        <v/>
      </c>
    </row>
    <row r="505" spans="1:9" x14ac:dyDescent="0.25">
      <c r="A505" s="137"/>
      <c r="B505" s="137" t="str">
        <f>IFERROR(INDEX(_xlfn.VSTACK(YES_Writing_ELA[#Data], YES_Writing_FLA[#Data]),MATCH($A505,_xlfn.VSTACK(YES_Writing_ELA[Student Number], YES_Writing_FLA[Student Number]),0),MATCH(B$7,YES_Writing_ELA[#Headers],0)),IFERROR(INDEX(_xlfn.VSTACK(YES_Reading_ELA[#Data], YES_Reading_FLA[#Data]),MATCH($A505,_xlfn.VSTACK(YES_Reading_ELA[Student Number], YES_Reading_FLA[Student Number]),0),MATCH(B$7,YES_Reading_ELA[#Headers],0)),""))</f>
        <v/>
      </c>
      <c r="C505" s="137" t="str">
        <f>IFERROR(INDEX(_xlfn.VSTACK(YES_Writing_ELA[#Data], YES_Writing_FLA[#Data]),MATCH($A505,_xlfn.VSTACK(YES_Writing_ELA[Student Number], YES_Writing_FLA[Student Number]),0),MATCH(C$7,YES_Writing_ELA[#Headers],0)),IFERROR(INDEX(_xlfn.VSTACK(YES_Reading_ELA[#Data], YES_Reading_FLA[#Data]),MATCH($A505,_xlfn.VSTACK(YES_Reading_ELA[Student Number], YES_Reading_FLA[Student Number]),0),MATCH(C$7,YES_Reading_ELA[#Headers],0)),""))</f>
        <v/>
      </c>
      <c r="D505" s="138" t="str">
        <f>IFERROR(IF(IF(INDEX(_xlfn.VSTACK(YES_Writing_ELA[#Data],YES_Writing_FLA[#Data]),MATCH($A505,_xlfn.VSTACK(YES_Writing_ELA[Student Number],YES_Writing_FLA[Student Number]),0),MATCH(VLOOKUP(D$7,'Writing Logic'!$J$7:$K$11,2,FALSE)&amp;" - Per "&amp;VLOOKUP($C$4,'Writing Logic'!$G$8:$H$14,2,FALSE),YES_Writing_ELA[#Headers],0))=0,"",INDEX(_xlfn.VSTACK(YES_Writing_ELA[#Data],YES_Writing_FLA[#Data]),MATCH($A505,_xlfn.VSTACK(YES_Writing_ELA[Student Number],YES_Writing_FLA[Student Number]),0),MATCH(VLOOKUP(D$7,'Writing Logic'!$J$7:$K$11,2,FALSE)&amp;" - Per "&amp;VLOOKUP($C$4,'Writing Logic'!$G$8:$H$14,2,FALSE),YES_Writing_ELA[#Headers],0)))="INS",'Writing Logic'!$B$7,IF(INDEX(_xlfn.VSTACK(YES_Writing_ELA[#Data],YES_Writing_FLA[#Data]),MATCH($A505,_xlfn.VSTACK(YES_Writing_ELA[Student Number],YES_Writing_FLA[Student Number]),0),MATCH(VLOOKUP(D$7,'Writing Logic'!$J$7:$K$11,2,FALSE)&amp;" - Per "&amp;VLOOKUP($C$4,'Writing Logic'!$G$8:$H$14,2,FALSE),YES_Writing_ELA[#Headers],0))=0,"",INDEX(_xlfn.VSTACK(YES_Writing_ELA[#Data],YES_Writing_FLA[#Data]),MATCH($A505,_xlfn.VSTACK(YES_Writing_ELA[Student Number],YES_Writing_FLA[Student Number]),0),MATCH(VLOOKUP(D$7,'Writing Logic'!$J$7:$K$11,2,FALSE)&amp;" - Per "&amp;VLOOKUP($C$4,'Writing Logic'!$G$8:$H$14,2,FALSE),YES_Writing_ELA[#Headers],0)))),"")</f>
        <v/>
      </c>
      <c r="E505" s="138" t="str">
        <f>IFERROR(IF(IF(INDEX(_xlfn.VSTACK(YES_Writing_ELA[#Data],YES_Writing_FLA[#Data]),MATCH($A505,_xlfn.VSTACK(YES_Writing_ELA[Student Number],YES_Writing_FLA[Student Number]),0),MATCH(VLOOKUP(E$7,'Writing Logic'!$J$7:$K$11,2,FALSE)&amp;" - Per "&amp;VLOOKUP($C$4,'Writing Logic'!$G$8:$H$14,2,FALSE),YES_Writing_ELA[#Headers],0))=0,"",INDEX(_xlfn.VSTACK(YES_Writing_ELA[#Data],YES_Writing_FLA[#Data]),MATCH($A505,_xlfn.VSTACK(YES_Writing_ELA[Student Number],YES_Writing_FLA[Student Number]),0),MATCH(VLOOKUP(E$7,'Writing Logic'!$J$7:$K$11,2,FALSE)&amp;" - Per "&amp;VLOOKUP($C$4,'Writing Logic'!$G$8:$H$14,2,FALSE),YES_Writing_ELA[#Headers],0)))="INS",'Writing Logic'!$B$7,IF(INDEX(_xlfn.VSTACK(YES_Writing_ELA[#Data],YES_Writing_FLA[#Data]),MATCH($A505,_xlfn.VSTACK(YES_Writing_ELA[Student Number],YES_Writing_FLA[Student Number]),0),MATCH(VLOOKUP(E$7,'Writing Logic'!$J$7:$K$11,2,FALSE)&amp;" - Per "&amp;VLOOKUP($C$4,'Writing Logic'!$G$8:$H$14,2,FALSE),YES_Writing_ELA[#Headers],0))=0,"",INDEX(_xlfn.VSTACK(YES_Writing_ELA[#Data],YES_Writing_FLA[#Data]),MATCH($A505,_xlfn.VSTACK(YES_Writing_ELA[Student Number],YES_Writing_FLA[Student Number]),0),MATCH(VLOOKUP(E$7,'Writing Logic'!$J$7:$K$11,2,FALSE)&amp;" - Per "&amp;VLOOKUP($C$4,'Writing Logic'!$G$8:$H$14,2,FALSE),YES_Writing_ELA[#Headers],0)))),"")</f>
        <v/>
      </c>
      <c r="F505" s="138" t="str">
        <f>IFERROR(IF(IF(INDEX(_xlfn.VSTACK(YES_Writing_ELA[#Data],YES_Writing_FLA[#Data]),MATCH($A505,_xlfn.VSTACK(YES_Writing_ELA[Student Number],YES_Writing_FLA[Student Number]),0),MATCH(VLOOKUP(F$7,'Writing Logic'!$J$7:$K$11,2,FALSE)&amp;" - Per "&amp;VLOOKUP($C$4,'Writing Logic'!$G$8:$H$14,2,FALSE),YES_Writing_ELA[#Headers],0))=0,"",INDEX(_xlfn.VSTACK(YES_Writing_ELA[#Data],YES_Writing_FLA[#Data]),MATCH($A505,_xlfn.VSTACK(YES_Writing_ELA[Student Number],YES_Writing_FLA[Student Number]),0),MATCH(VLOOKUP(F$7,'Writing Logic'!$J$7:$K$11,2,FALSE)&amp;" - Per "&amp;VLOOKUP($C$4,'Writing Logic'!$G$8:$H$14,2,FALSE),YES_Writing_ELA[#Headers],0)))="INS",'Writing Logic'!$B$7,IF(INDEX(_xlfn.VSTACK(YES_Writing_ELA[#Data],YES_Writing_FLA[#Data]),MATCH($A505,_xlfn.VSTACK(YES_Writing_ELA[Student Number],YES_Writing_FLA[Student Number]),0),MATCH(VLOOKUP(F$7,'Writing Logic'!$J$7:$K$11,2,FALSE)&amp;" - Per "&amp;VLOOKUP($C$4,'Writing Logic'!$G$8:$H$14,2,FALSE),YES_Writing_ELA[#Headers],0))=0,"",INDEX(_xlfn.VSTACK(YES_Writing_ELA[#Data],YES_Writing_FLA[#Data]),MATCH($A505,_xlfn.VSTACK(YES_Writing_ELA[Student Number],YES_Writing_FLA[Student Number]),0),MATCH(VLOOKUP(F$7,'Writing Logic'!$J$7:$K$11,2,FALSE)&amp;" - Per "&amp;VLOOKUP($C$4,'Writing Logic'!$G$8:$H$14,2,FALSE),YES_Writing_ELA[#Headers],0)))),"")</f>
        <v/>
      </c>
      <c r="G505" s="138" t="str">
        <f>IFERROR(IF(IF(INDEX(_xlfn.VSTACK(YES_Writing_ELA[#Data],YES_Writing_FLA[#Data]),MATCH($A505,_xlfn.VSTACK(YES_Writing_ELA[Student Number],YES_Writing_FLA[Student Number]),0),MATCH(VLOOKUP(G$7,'Writing Logic'!$J$7:$K$11,2,FALSE)&amp;" - Per "&amp;VLOOKUP($C$4,'Writing Logic'!$G$8:$H$14,2,FALSE),YES_Writing_ELA[#Headers],0))=0,"",INDEX(_xlfn.VSTACK(YES_Writing_ELA[#Data],YES_Writing_FLA[#Data]),MATCH($A505,_xlfn.VSTACK(YES_Writing_ELA[Student Number],YES_Writing_FLA[Student Number]),0),MATCH(VLOOKUP(G$7,'Writing Logic'!$J$7:$K$11,2,FALSE)&amp;" - Per "&amp;VLOOKUP($C$4,'Writing Logic'!$G$8:$H$14,2,FALSE),YES_Writing_ELA[#Headers],0)))="INS",'Writing Logic'!$B$7,IF(INDEX(_xlfn.VSTACK(YES_Writing_ELA[#Data],YES_Writing_FLA[#Data]),MATCH($A505,_xlfn.VSTACK(YES_Writing_ELA[Student Number],YES_Writing_FLA[Student Number]),0),MATCH(VLOOKUP(G$7,'Writing Logic'!$J$7:$K$11,2,FALSE)&amp;" - Per "&amp;VLOOKUP($C$4,'Writing Logic'!$G$8:$H$14,2,FALSE),YES_Writing_ELA[#Headers],0))=0,"",INDEX(_xlfn.VSTACK(YES_Writing_ELA[#Data],YES_Writing_FLA[#Data]),MATCH($A505,_xlfn.VSTACK(YES_Writing_ELA[Student Number],YES_Writing_FLA[Student Number]),0),MATCH(VLOOKUP(G$7,'Writing Logic'!$J$7:$K$11,2,FALSE)&amp;" - Per "&amp;VLOOKUP($C$4,'Writing Logic'!$G$8:$H$14,2,FALSE),YES_Writing_ELA[#Headers],0)))),"")</f>
        <v/>
      </c>
      <c r="H505" s="223" t="str">
        <f>IFERROR(IF(IF(INDEX(_xlfn.VSTACK(YES_Writing_ELA[#Data],YES_Writing_FLA[#Data]),MATCH($A505,_xlfn.VSTACK(YES_Writing_ELA[Student Number],YES_Writing_FLA[Student Number]),0),MATCH(VLOOKUP(H$7,'Writing Logic'!$J$7:$K$11,2,FALSE)&amp;" - Per "&amp;VLOOKUP($C$4,'Writing Logic'!$G$8:$H$14,2,FALSE),YES_Writing_ELA[#Headers],0))=0,"",INDEX(_xlfn.VSTACK(YES_Writing_ELA[#Data],YES_Writing_FLA[#Data]),MATCH($A505,_xlfn.VSTACK(YES_Writing_ELA[Student Number],YES_Writing_FLA[Student Number]),0),MATCH(VLOOKUP(H$7,'Writing Logic'!$J$7:$K$11,2,FALSE)&amp;" - Per "&amp;VLOOKUP($C$4,'Writing Logic'!$G$8:$H$14,2,FALSE),YES_Writing_ELA[#Headers],0)))="INS",'Writing Logic'!$B$7,IF(INDEX(_xlfn.VSTACK(YES_Writing_ELA[#Data],YES_Writing_FLA[#Data]),MATCH($A505,_xlfn.VSTACK(YES_Writing_ELA[Student Number],YES_Writing_FLA[Student Number]),0),MATCH(VLOOKUP(H$7,'Writing Logic'!$J$7:$K$11,2,FALSE)&amp;" - Per "&amp;VLOOKUP($C$4,'Writing Logic'!$G$8:$H$14,2,FALSE),YES_Writing_ELA[#Headers],0))=0,"",INDEX(_xlfn.VSTACK(YES_Writing_ELA[#Data],YES_Writing_FLA[#Data]),MATCH($A505,_xlfn.VSTACK(YES_Writing_ELA[Student Number],YES_Writing_FLA[Student Number]),0),MATCH(VLOOKUP(H$7,'Writing Logic'!$J$7:$K$11,2,FALSE)&amp;" - Per "&amp;VLOOKUP($C$4,'Writing Logic'!$G$8:$H$14,2,FALSE),YES_Writing_ELA[#Headers],0)))),"")</f>
        <v/>
      </c>
      <c r="I505" s="224" t="str" cm="1">
        <f t="array" aca="1" ref="I505" ca="1">IFERROR(
IF($G$3="ELA",
IF(VLOOKUP($A505, YES_Reading_ELA[], COLUMN(INDIRECT("YES_Reading_ELA[Difference - Per "&amp;VLOOKUP($G$4, 'Reading Report Logic'!$A$2:$B$8, 2, FALSE)&amp;"]")), FALSE)="", "",
VLOOKUP($A505,YES_Reading_ELA[], COLUMN(INDIRECT("YES_Reading_ELA[Difference - Per "&amp;VLOOKUP($G$4,'Reading Report Logic'!$A$2:$B$8,2,FALSE)&amp;"]")), FALSE)),
IF($G$3="FLA",
IF(VLOOKUP($A505, YES_Reading_FLA[], COLUMN(INDIRECT("YES_Reading_FLA[Difference - Per "&amp;VLOOKUP($G$4,'Reading Report Logic'!$A$2:$B$8,2,FALSE)&amp;"]")),FALSE)="","",
VLOOKUP($A505,YES_Reading_FLA[],COLUMN(INDIRECT("YES_Reading_FLA[Difference - Per "&amp;VLOOKUP($G$4,'Reading Report Logic'!$A$2:$B$8,2,FALSE)&amp;"]")),FALSE)),
IF($G$3="Combined",
IFERROR(
IF(VLOOKUP($A505, YES_Reading_ELA[], COLUMN(INDIRECT("YES_Reading_ELA[Difference - Per "&amp;VLOOKUP($G$4, 'Reading Report Logic'!$A$2:$B$8,2,FALSE)&amp;"]")), FALSE)="", "",
VLOOKUP($A505,YES_Reading_ELA[],COLUMN(INDIRECT("YES_Reading_ELA[Difference - Per "&amp;VLOOKUP($G$4,'Reading Report Logic'!$A$2:$B$8,2,FALSE)&amp;"]")),FALSE)),
IF(VLOOKUP($A505, YES_Reading_FLA[], COLUMN(INDIRECT("YES_Reading_FLA[Difference - Per "&amp;VLOOKUP($G$4, 'Reading Report Logic'!$A$2:$B$8, 2, FALSE)&amp;"]")),FALSE)="", "", VLOOKUP($A505,YES_Reading_FLA[],COLUMN(INDIRECT("YES_Reading_FLA[Difference - Per "&amp;VLOOKUP($G$4, 'Reading Report Logic'!$A$2:$B$8, 2, FALSE)&amp;"]")),FALSE))),""))),"")</f>
        <v/>
      </c>
    </row>
    <row r="506" spans="1:9" x14ac:dyDescent="0.25">
      <c r="A506" s="137"/>
      <c r="B506" s="137" t="str">
        <f>IFERROR(INDEX(_xlfn.VSTACK(YES_Writing_ELA[#Data], YES_Writing_FLA[#Data]),MATCH($A506,_xlfn.VSTACK(YES_Writing_ELA[Student Number], YES_Writing_FLA[Student Number]),0),MATCH(B$7,YES_Writing_ELA[#Headers],0)),IFERROR(INDEX(_xlfn.VSTACK(YES_Reading_ELA[#Data], YES_Reading_FLA[#Data]),MATCH($A506,_xlfn.VSTACK(YES_Reading_ELA[Student Number], YES_Reading_FLA[Student Number]),0),MATCH(B$7,YES_Reading_ELA[#Headers],0)),""))</f>
        <v/>
      </c>
      <c r="C506" s="137" t="str">
        <f>IFERROR(INDEX(_xlfn.VSTACK(YES_Writing_ELA[#Data], YES_Writing_FLA[#Data]),MATCH($A506,_xlfn.VSTACK(YES_Writing_ELA[Student Number], YES_Writing_FLA[Student Number]),0),MATCH(C$7,YES_Writing_ELA[#Headers],0)),IFERROR(INDEX(_xlfn.VSTACK(YES_Reading_ELA[#Data], YES_Reading_FLA[#Data]),MATCH($A506,_xlfn.VSTACK(YES_Reading_ELA[Student Number], YES_Reading_FLA[Student Number]),0),MATCH(C$7,YES_Reading_ELA[#Headers],0)),""))</f>
        <v/>
      </c>
      <c r="D506" s="138" t="str">
        <f>IFERROR(IF(IF(INDEX(_xlfn.VSTACK(YES_Writing_ELA[#Data],YES_Writing_FLA[#Data]),MATCH($A506,_xlfn.VSTACK(YES_Writing_ELA[Student Number],YES_Writing_FLA[Student Number]),0),MATCH(VLOOKUP(D$7,'Writing Logic'!$J$7:$K$11,2,FALSE)&amp;" - Per "&amp;VLOOKUP($C$4,'Writing Logic'!$G$8:$H$14,2,FALSE),YES_Writing_ELA[#Headers],0))=0,"",INDEX(_xlfn.VSTACK(YES_Writing_ELA[#Data],YES_Writing_FLA[#Data]),MATCH($A506,_xlfn.VSTACK(YES_Writing_ELA[Student Number],YES_Writing_FLA[Student Number]),0),MATCH(VLOOKUP(D$7,'Writing Logic'!$J$7:$K$11,2,FALSE)&amp;" - Per "&amp;VLOOKUP($C$4,'Writing Logic'!$G$8:$H$14,2,FALSE),YES_Writing_ELA[#Headers],0)))="INS",'Writing Logic'!$B$7,IF(INDEX(_xlfn.VSTACK(YES_Writing_ELA[#Data],YES_Writing_FLA[#Data]),MATCH($A506,_xlfn.VSTACK(YES_Writing_ELA[Student Number],YES_Writing_FLA[Student Number]),0),MATCH(VLOOKUP(D$7,'Writing Logic'!$J$7:$K$11,2,FALSE)&amp;" - Per "&amp;VLOOKUP($C$4,'Writing Logic'!$G$8:$H$14,2,FALSE),YES_Writing_ELA[#Headers],0))=0,"",INDEX(_xlfn.VSTACK(YES_Writing_ELA[#Data],YES_Writing_FLA[#Data]),MATCH($A506,_xlfn.VSTACK(YES_Writing_ELA[Student Number],YES_Writing_FLA[Student Number]),0),MATCH(VLOOKUP(D$7,'Writing Logic'!$J$7:$K$11,2,FALSE)&amp;" - Per "&amp;VLOOKUP($C$4,'Writing Logic'!$G$8:$H$14,2,FALSE),YES_Writing_ELA[#Headers],0)))),"")</f>
        <v/>
      </c>
      <c r="E506" s="138" t="str">
        <f>IFERROR(IF(IF(INDEX(_xlfn.VSTACK(YES_Writing_ELA[#Data],YES_Writing_FLA[#Data]),MATCH($A506,_xlfn.VSTACK(YES_Writing_ELA[Student Number],YES_Writing_FLA[Student Number]),0),MATCH(VLOOKUP(E$7,'Writing Logic'!$J$7:$K$11,2,FALSE)&amp;" - Per "&amp;VLOOKUP($C$4,'Writing Logic'!$G$8:$H$14,2,FALSE),YES_Writing_ELA[#Headers],0))=0,"",INDEX(_xlfn.VSTACK(YES_Writing_ELA[#Data],YES_Writing_FLA[#Data]),MATCH($A506,_xlfn.VSTACK(YES_Writing_ELA[Student Number],YES_Writing_FLA[Student Number]),0),MATCH(VLOOKUP(E$7,'Writing Logic'!$J$7:$K$11,2,FALSE)&amp;" - Per "&amp;VLOOKUP($C$4,'Writing Logic'!$G$8:$H$14,2,FALSE),YES_Writing_ELA[#Headers],0)))="INS",'Writing Logic'!$B$7,IF(INDEX(_xlfn.VSTACK(YES_Writing_ELA[#Data],YES_Writing_FLA[#Data]),MATCH($A506,_xlfn.VSTACK(YES_Writing_ELA[Student Number],YES_Writing_FLA[Student Number]),0),MATCH(VLOOKUP(E$7,'Writing Logic'!$J$7:$K$11,2,FALSE)&amp;" - Per "&amp;VLOOKUP($C$4,'Writing Logic'!$G$8:$H$14,2,FALSE),YES_Writing_ELA[#Headers],0))=0,"",INDEX(_xlfn.VSTACK(YES_Writing_ELA[#Data],YES_Writing_FLA[#Data]),MATCH($A506,_xlfn.VSTACK(YES_Writing_ELA[Student Number],YES_Writing_FLA[Student Number]),0),MATCH(VLOOKUP(E$7,'Writing Logic'!$J$7:$K$11,2,FALSE)&amp;" - Per "&amp;VLOOKUP($C$4,'Writing Logic'!$G$8:$H$14,2,FALSE),YES_Writing_ELA[#Headers],0)))),"")</f>
        <v/>
      </c>
      <c r="F506" s="138" t="str">
        <f>IFERROR(IF(IF(INDEX(_xlfn.VSTACK(YES_Writing_ELA[#Data],YES_Writing_FLA[#Data]),MATCH($A506,_xlfn.VSTACK(YES_Writing_ELA[Student Number],YES_Writing_FLA[Student Number]),0),MATCH(VLOOKUP(F$7,'Writing Logic'!$J$7:$K$11,2,FALSE)&amp;" - Per "&amp;VLOOKUP($C$4,'Writing Logic'!$G$8:$H$14,2,FALSE),YES_Writing_ELA[#Headers],0))=0,"",INDEX(_xlfn.VSTACK(YES_Writing_ELA[#Data],YES_Writing_FLA[#Data]),MATCH($A506,_xlfn.VSTACK(YES_Writing_ELA[Student Number],YES_Writing_FLA[Student Number]),0),MATCH(VLOOKUP(F$7,'Writing Logic'!$J$7:$K$11,2,FALSE)&amp;" - Per "&amp;VLOOKUP($C$4,'Writing Logic'!$G$8:$H$14,2,FALSE),YES_Writing_ELA[#Headers],0)))="INS",'Writing Logic'!$B$7,IF(INDEX(_xlfn.VSTACK(YES_Writing_ELA[#Data],YES_Writing_FLA[#Data]),MATCH($A506,_xlfn.VSTACK(YES_Writing_ELA[Student Number],YES_Writing_FLA[Student Number]),0),MATCH(VLOOKUP(F$7,'Writing Logic'!$J$7:$K$11,2,FALSE)&amp;" - Per "&amp;VLOOKUP($C$4,'Writing Logic'!$G$8:$H$14,2,FALSE),YES_Writing_ELA[#Headers],0))=0,"",INDEX(_xlfn.VSTACK(YES_Writing_ELA[#Data],YES_Writing_FLA[#Data]),MATCH($A506,_xlfn.VSTACK(YES_Writing_ELA[Student Number],YES_Writing_FLA[Student Number]),0),MATCH(VLOOKUP(F$7,'Writing Logic'!$J$7:$K$11,2,FALSE)&amp;" - Per "&amp;VLOOKUP($C$4,'Writing Logic'!$G$8:$H$14,2,FALSE),YES_Writing_ELA[#Headers],0)))),"")</f>
        <v/>
      </c>
      <c r="G506" s="138" t="str">
        <f>IFERROR(IF(IF(INDEX(_xlfn.VSTACK(YES_Writing_ELA[#Data],YES_Writing_FLA[#Data]),MATCH($A506,_xlfn.VSTACK(YES_Writing_ELA[Student Number],YES_Writing_FLA[Student Number]),0),MATCH(VLOOKUP(G$7,'Writing Logic'!$J$7:$K$11,2,FALSE)&amp;" - Per "&amp;VLOOKUP($C$4,'Writing Logic'!$G$8:$H$14,2,FALSE),YES_Writing_ELA[#Headers],0))=0,"",INDEX(_xlfn.VSTACK(YES_Writing_ELA[#Data],YES_Writing_FLA[#Data]),MATCH($A506,_xlfn.VSTACK(YES_Writing_ELA[Student Number],YES_Writing_FLA[Student Number]),0),MATCH(VLOOKUP(G$7,'Writing Logic'!$J$7:$K$11,2,FALSE)&amp;" - Per "&amp;VLOOKUP($C$4,'Writing Logic'!$G$8:$H$14,2,FALSE),YES_Writing_ELA[#Headers],0)))="INS",'Writing Logic'!$B$7,IF(INDEX(_xlfn.VSTACK(YES_Writing_ELA[#Data],YES_Writing_FLA[#Data]),MATCH($A506,_xlfn.VSTACK(YES_Writing_ELA[Student Number],YES_Writing_FLA[Student Number]),0),MATCH(VLOOKUP(G$7,'Writing Logic'!$J$7:$K$11,2,FALSE)&amp;" - Per "&amp;VLOOKUP($C$4,'Writing Logic'!$G$8:$H$14,2,FALSE),YES_Writing_ELA[#Headers],0))=0,"",INDEX(_xlfn.VSTACK(YES_Writing_ELA[#Data],YES_Writing_FLA[#Data]),MATCH($A506,_xlfn.VSTACK(YES_Writing_ELA[Student Number],YES_Writing_FLA[Student Number]),0),MATCH(VLOOKUP(G$7,'Writing Logic'!$J$7:$K$11,2,FALSE)&amp;" - Per "&amp;VLOOKUP($C$4,'Writing Logic'!$G$8:$H$14,2,FALSE),YES_Writing_ELA[#Headers],0)))),"")</f>
        <v/>
      </c>
      <c r="H506" s="223" t="str">
        <f>IFERROR(IF(IF(INDEX(_xlfn.VSTACK(YES_Writing_ELA[#Data],YES_Writing_FLA[#Data]),MATCH($A506,_xlfn.VSTACK(YES_Writing_ELA[Student Number],YES_Writing_FLA[Student Number]),0),MATCH(VLOOKUP(H$7,'Writing Logic'!$J$7:$K$11,2,FALSE)&amp;" - Per "&amp;VLOOKUP($C$4,'Writing Logic'!$G$8:$H$14,2,FALSE),YES_Writing_ELA[#Headers],0))=0,"",INDEX(_xlfn.VSTACK(YES_Writing_ELA[#Data],YES_Writing_FLA[#Data]),MATCH($A506,_xlfn.VSTACK(YES_Writing_ELA[Student Number],YES_Writing_FLA[Student Number]),0),MATCH(VLOOKUP(H$7,'Writing Logic'!$J$7:$K$11,2,FALSE)&amp;" - Per "&amp;VLOOKUP($C$4,'Writing Logic'!$G$8:$H$14,2,FALSE),YES_Writing_ELA[#Headers],0)))="INS",'Writing Logic'!$B$7,IF(INDEX(_xlfn.VSTACK(YES_Writing_ELA[#Data],YES_Writing_FLA[#Data]),MATCH($A506,_xlfn.VSTACK(YES_Writing_ELA[Student Number],YES_Writing_FLA[Student Number]),0),MATCH(VLOOKUP(H$7,'Writing Logic'!$J$7:$K$11,2,FALSE)&amp;" - Per "&amp;VLOOKUP($C$4,'Writing Logic'!$G$8:$H$14,2,FALSE),YES_Writing_ELA[#Headers],0))=0,"",INDEX(_xlfn.VSTACK(YES_Writing_ELA[#Data],YES_Writing_FLA[#Data]),MATCH($A506,_xlfn.VSTACK(YES_Writing_ELA[Student Number],YES_Writing_FLA[Student Number]),0),MATCH(VLOOKUP(H$7,'Writing Logic'!$J$7:$K$11,2,FALSE)&amp;" - Per "&amp;VLOOKUP($C$4,'Writing Logic'!$G$8:$H$14,2,FALSE),YES_Writing_ELA[#Headers],0)))),"")</f>
        <v/>
      </c>
      <c r="I506" s="224" t="str" cm="1">
        <f t="array" aca="1" ref="I506" ca="1">IFERROR(
IF($G$3="ELA",
IF(VLOOKUP($A506, YES_Reading_ELA[], COLUMN(INDIRECT("YES_Reading_ELA[Difference - Per "&amp;VLOOKUP($G$4, 'Reading Report Logic'!$A$2:$B$8, 2, FALSE)&amp;"]")), FALSE)="", "",
VLOOKUP($A506,YES_Reading_ELA[], COLUMN(INDIRECT("YES_Reading_ELA[Difference - Per "&amp;VLOOKUP($G$4,'Reading Report Logic'!$A$2:$B$8,2,FALSE)&amp;"]")), FALSE)),
IF($G$3="FLA",
IF(VLOOKUP($A506, YES_Reading_FLA[], COLUMN(INDIRECT("YES_Reading_FLA[Difference - Per "&amp;VLOOKUP($G$4,'Reading Report Logic'!$A$2:$B$8,2,FALSE)&amp;"]")),FALSE)="","",
VLOOKUP($A506,YES_Reading_FLA[],COLUMN(INDIRECT("YES_Reading_FLA[Difference - Per "&amp;VLOOKUP($G$4,'Reading Report Logic'!$A$2:$B$8,2,FALSE)&amp;"]")),FALSE)),
IF($G$3="Combined",
IFERROR(
IF(VLOOKUP($A506, YES_Reading_ELA[], COLUMN(INDIRECT("YES_Reading_ELA[Difference - Per "&amp;VLOOKUP($G$4, 'Reading Report Logic'!$A$2:$B$8,2,FALSE)&amp;"]")), FALSE)="", "",
VLOOKUP($A506,YES_Reading_ELA[],COLUMN(INDIRECT("YES_Reading_ELA[Difference - Per "&amp;VLOOKUP($G$4,'Reading Report Logic'!$A$2:$B$8,2,FALSE)&amp;"]")),FALSE)),
IF(VLOOKUP($A506, YES_Reading_FLA[], COLUMN(INDIRECT("YES_Reading_FLA[Difference - Per "&amp;VLOOKUP($G$4, 'Reading Report Logic'!$A$2:$B$8, 2, FALSE)&amp;"]")),FALSE)="", "", VLOOKUP($A506,YES_Reading_FLA[],COLUMN(INDIRECT("YES_Reading_FLA[Difference - Per "&amp;VLOOKUP($G$4, 'Reading Report Logic'!$A$2:$B$8, 2, FALSE)&amp;"]")),FALSE))),""))),"")</f>
        <v/>
      </c>
    </row>
    <row r="507" spans="1:9" x14ac:dyDescent="0.25">
      <c r="A507" s="137"/>
      <c r="B507" s="137" t="str">
        <f>IFERROR(INDEX(_xlfn.VSTACK(YES_Writing_ELA[#Data], YES_Writing_FLA[#Data]),MATCH($A507,_xlfn.VSTACK(YES_Writing_ELA[Student Number], YES_Writing_FLA[Student Number]),0),MATCH(B$7,YES_Writing_ELA[#Headers],0)),IFERROR(INDEX(_xlfn.VSTACK(YES_Reading_ELA[#Data], YES_Reading_FLA[#Data]),MATCH($A507,_xlfn.VSTACK(YES_Reading_ELA[Student Number], YES_Reading_FLA[Student Number]),0),MATCH(B$7,YES_Reading_ELA[#Headers],0)),""))</f>
        <v/>
      </c>
      <c r="C507" s="137" t="str">
        <f>IFERROR(INDEX(_xlfn.VSTACK(YES_Writing_ELA[#Data], YES_Writing_FLA[#Data]),MATCH($A507,_xlfn.VSTACK(YES_Writing_ELA[Student Number], YES_Writing_FLA[Student Number]),0),MATCH(C$7,YES_Writing_ELA[#Headers],0)),IFERROR(INDEX(_xlfn.VSTACK(YES_Reading_ELA[#Data], YES_Reading_FLA[#Data]),MATCH($A507,_xlfn.VSTACK(YES_Reading_ELA[Student Number], YES_Reading_FLA[Student Number]),0),MATCH(C$7,YES_Reading_ELA[#Headers],0)),""))</f>
        <v/>
      </c>
      <c r="D507" s="138" t="str">
        <f>IFERROR(IF(IF(INDEX(_xlfn.VSTACK(YES_Writing_ELA[#Data],YES_Writing_FLA[#Data]),MATCH($A507,_xlfn.VSTACK(YES_Writing_ELA[Student Number],YES_Writing_FLA[Student Number]),0),MATCH(VLOOKUP(D$7,'Writing Logic'!$J$7:$K$11,2,FALSE)&amp;" - Per "&amp;VLOOKUP($C$4,'Writing Logic'!$G$8:$H$14,2,FALSE),YES_Writing_ELA[#Headers],0))=0,"",INDEX(_xlfn.VSTACK(YES_Writing_ELA[#Data],YES_Writing_FLA[#Data]),MATCH($A507,_xlfn.VSTACK(YES_Writing_ELA[Student Number],YES_Writing_FLA[Student Number]),0),MATCH(VLOOKUP(D$7,'Writing Logic'!$J$7:$K$11,2,FALSE)&amp;" - Per "&amp;VLOOKUP($C$4,'Writing Logic'!$G$8:$H$14,2,FALSE),YES_Writing_ELA[#Headers],0)))="INS",'Writing Logic'!$B$7,IF(INDEX(_xlfn.VSTACK(YES_Writing_ELA[#Data],YES_Writing_FLA[#Data]),MATCH($A507,_xlfn.VSTACK(YES_Writing_ELA[Student Number],YES_Writing_FLA[Student Number]),0),MATCH(VLOOKUP(D$7,'Writing Logic'!$J$7:$K$11,2,FALSE)&amp;" - Per "&amp;VLOOKUP($C$4,'Writing Logic'!$G$8:$H$14,2,FALSE),YES_Writing_ELA[#Headers],0))=0,"",INDEX(_xlfn.VSTACK(YES_Writing_ELA[#Data],YES_Writing_FLA[#Data]),MATCH($A507,_xlfn.VSTACK(YES_Writing_ELA[Student Number],YES_Writing_FLA[Student Number]),0),MATCH(VLOOKUP(D$7,'Writing Logic'!$J$7:$K$11,2,FALSE)&amp;" - Per "&amp;VLOOKUP($C$4,'Writing Logic'!$G$8:$H$14,2,FALSE),YES_Writing_ELA[#Headers],0)))),"")</f>
        <v/>
      </c>
      <c r="E507" s="138" t="str">
        <f>IFERROR(IF(IF(INDEX(_xlfn.VSTACK(YES_Writing_ELA[#Data],YES_Writing_FLA[#Data]),MATCH($A507,_xlfn.VSTACK(YES_Writing_ELA[Student Number],YES_Writing_FLA[Student Number]),0),MATCH(VLOOKUP(E$7,'Writing Logic'!$J$7:$K$11,2,FALSE)&amp;" - Per "&amp;VLOOKUP($C$4,'Writing Logic'!$G$8:$H$14,2,FALSE),YES_Writing_ELA[#Headers],0))=0,"",INDEX(_xlfn.VSTACK(YES_Writing_ELA[#Data],YES_Writing_FLA[#Data]),MATCH($A507,_xlfn.VSTACK(YES_Writing_ELA[Student Number],YES_Writing_FLA[Student Number]),0),MATCH(VLOOKUP(E$7,'Writing Logic'!$J$7:$K$11,2,FALSE)&amp;" - Per "&amp;VLOOKUP($C$4,'Writing Logic'!$G$8:$H$14,2,FALSE),YES_Writing_ELA[#Headers],0)))="INS",'Writing Logic'!$B$7,IF(INDEX(_xlfn.VSTACK(YES_Writing_ELA[#Data],YES_Writing_FLA[#Data]),MATCH($A507,_xlfn.VSTACK(YES_Writing_ELA[Student Number],YES_Writing_FLA[Student Number]),0),MATCH(VLOOKUP(E$7,'Writing Logic'!$J$7:$K$11,2,FALSE)&amp;" - Per "&amp;VLOOKUP($C$4,'Writing Logic'!$G$8:$H$14,2,FALSE),YES_Writing_ELA[#Headers],0))=0,"",INDEX(_xlfn.VSTACK(YES_Writing_ELA[#Data],YES_Writing_FLA[#Data]),MATCH($A507,_xlfn.VSTACK(YES_Writing_ELA[Student Number],YES_Writing_FLA[Student Number]),0),MATCH(VLOOKUP(E$7,'Writing Logic'!$J$7:$K$11,2,FALSE)&amp;" - Per "&amp;VLOOKUP($C$4,'Writing Logic'!$G$8:$H$14,2,FALSE),YES_Writing_ELA[#Headers],0)))),"")</f>
        <v/>
      </c>
      <c r="F507" s="138" t="str">
        <f>IFERROR(IF(IF(INDEX(_xlfn.VSTACK(YES_Writing_ELA[#Data],YES_Writing_FLA[#Data]),MATCH($A507,_xlfn.VSTACK(YES_Writing_ELA[Student Number],YES_Writing_FLA[Student Number]),0),MATCH(VLOOKUP(F$7,'Writing Logic'!$J$7:$K$11,2,FALSE)&amp;" - Per "&amp;VLOOKUP($C$4,'Writing Logic'!$G$8:$H$14,2,FALSE),YES_Writing_ELA[#Headers],0))=0,"",INDEX(_xlfn.VSTACK(YES_Writing_ELA[#Data],YES_Writing_FLA[#Data]),MATCH($A507,_xlfn.VSTACK(YES_Writing_ELA[Student Number],YES_Writing_FLA[Student Number]),0),MATCH(VLOOKUP(F$7,'Writing Logic'!$J$7:$K$11,2,FALSE)&amp;" - Per "&amp;VLOOKUP($C$4,'Writing Logic'!$G$8:$H$14,2,FALSE),YES_Writing_ELA[#Headers],0)))="INS",'Writing Logic'!$B$7,IF(INDEX(_xlfn.VSTACK(YES_Writing_ELA[#Data],YES_Writing_FLA[#Data]),MATCH($A507,_xlfn.VSTACK(YES_Writing_ELA[Student Number],YES_Writing_FLA[Student Number]),0),MATCH(VLOOKUP(F$7,'Writing Logic'!$J$7:$K$11,2,FALSE)&amp;" - Per "&amp;VLOOKUP($C$4,'Writing Logic'!$G$8:$H$14,2,FALSE),YES_Writing_ELA[#Headers],0))=0,"",INDEX(_xlfn.VSTACK(YES_Writing_ELA[#Data],YES_Writing_FLA[#Data]),MATCH($A507,_xlfn.VSTACK(YES_Writing_ELA[Student Number],YES_Writing_FLA[Student Number]),0),MATCH(VLOOKUP(F$7,'Writing Logic'!$J$7:$K$11,2,FALSE)&amp;" - Per "&amp;VLOOKUP($C$4,'Writing Logic'!$G$8:$H$14,2,FALSE),YES_Writing_ELA[#Headers],0)))),"")</f>
        <v/>
      </c>
      <c r="G507" s="138" t="str">
        <f>IFERROR(IF(IF(INDEX(_xlfn.VSTACK(YES_Writing_ELA[#Data],YES_Writing_FLA[#Data]),MATCH($A507,_xlfn.VSTACK(YES_Writing_ELA[Student Number],YES_Writing_FLA[Student Number]),0),MATCH(VLOOKUP(G$7,'Writing Logic'!$J$7:$K$11,2,FALSE)&amp;" - Per "&amp;VLOOKUP($C$4,'Writing Logic'!$G$8:$H$14,2,FALSE),YES_Writing_ELA[#Headers],0))=0,"",INDEX(_xlfn.VSTACK(YES_Writing_ELA[#Data],YES_Writing_FLA[#Data]),MATCH($A507,_xlfn.VSTACK(YES_Writing_ELA[Student Number],YES_Writing_FLA[Student Number]),0),MATCH(VLOOKUP(G$7,'Writing Logic'!$J$7:$K$11,2,FALSE)&amp;" - Per "&amp;VLOOKUP($C$4,'Writing Logic'!$G$8:$H$14,2,FALSE),YES_Writing_ELA[#Headers],0)))="INS",'Writing Logic'!$B$7,IF(INDEX(_xlfn.VSTACK(YES_Writing_ELA[#Data],YES_Writing_FLA[#Data]),MATCH($A507,_xlfn.VSTACK(YES_Writing_ELA[Student Number],YES_Writing_FLA[Student Number]),0),MATCH(VLOOKUP(G$7,'Writing Logic'!$J$7:$K$11,2,FALSE)&amp;" - Per "&amp;VLOOKUP($C$4,'Writing Logic'!$G$8:$H$14,2,FALSE),YES_Writing_ELA[#Headers],0))=0,"",INDEX(_xlfn.VSTACK(YES_Writing_ELA[#Data],YES_Writing_FLA[#Data]),MATCH($A507,_xlfn.VSTACK(YES_Writing_ELA[Student Number],YES_Writing_FLA[Student Number]),0),MATCH(VLOOKUP(G$7,'Writing Logic'!$J$7:$K$11,2,FALSE)&amp;" - Per "&amp;VLOOKUP($C$4,'Writing Logic'!$G$8:$H$14,2,FALSE),YES_Writing_ELA[#Headers],0)))),"")</f>
        <v/>
      </c>
      <c r="H507" s="223" t="str">
        <f>IFERROR(IF(IF(INDEX(_xlfn.VSTACK(YES_Writing_ELA[#Data],YES_Writing_FLA[#Data]),MATCH($A507,_xlfn.VSTACK(YES_Writing_ELA[Student Number],YES_Writing_FLA[Student Number]),0),MATCH(VLOOKUP(H$7,'Writing Logic'!$J$7:$K$11,2,FALSE)&amp;" - Per "&amp;VLOOKUP($C$4,'Writing Logic'!$G$8:$H$14,2,FALSE),YES_Writing_ELA[#Headers],0))=0,"",INDEX(_xlfn.VSTACK(YES_Writing_ELA[#Data],YES_Writing_FLA[#Data]),MATCH($A507,_xlfn.VSTACK(YES_Writing_ELA[Student Number],YES_Writing_FLA[Student Number]),0),MATCH(VLOOKUP(H$7,'Writing Logic'!$J$7:$K$11,2,FALSE)&amp;" - Per "&amp;VLOOKUP($C$4,'Writing Logic'!$G$8:$H$14,2,FALSE),YES_Writing_ELA[#Headers],0)))="INS",'Writing Logic'!$B$7,IF(INDEX(_xlfn.VSTACK(YES_Writing_ELA[#Data],YES_Writing_FLA[#Data]),MATCH($A507,_xlfn.VSTACK(YES_Writing_ELA[Student Number],YES_Writing_FLA[Student Number]),0),MATCH(VLOOKUP(H$7,'Writing Logic'!$J$7:$K$11,2,FALSE)&amp;" - Per "&amp;VLOOKUP($C$4,'Writing Logic'!$G$8:$H$14,2,FALSE),YES_Writing_ELA[#Headers],0))=0,"",INDEX(_xlfn.VSTACK(YES_Writing_ELA[#Data],YES_Writing_FLA[#Data]),MATCH($A507,_xlfn.VSTACK(YES_Writing_ELA[Student Number],YES_Writing_FLA[Student Number]),0),MATCH(VLOOKUP(H$7,'Writing Logic'!$J$7:$K$11,2,FALSE)&amp;" - Per "&amp;VLOOKUP($C$4,'Writing Logic'!$G$8:$H$14,2,FALSE),YES_Writing_ELA[#Headers],0)))),"")</f>
        <v/>
      </c>
      <c r="I507" s="224" t="str" cm="1">
        <f t="array" aca="1" ref="I507" ca="1">IFERROR(
IF($G$3="ELA",
IF(VLOOKUP($A507, YES_Reading_ELA[], COLUMN(INDIRECT("YES_Reading_ELA[Difference - Per "&amp;VLOOKUP($G$4, 'Reading Report Logic'!$A$2:$B$8, 2, FALSE)&amp;"]")), FALSE)="", "",
VLOOKUP($A507,YES_Reading_ELA[], COLUMN(INDIRECT("YES_Reading_ELA[Difference - Per "&amp;VLOOKUP($G$4,'Reading Report Logic'!$A$2:$B$8,2,FALSE)&amp;"]")), FALSE)),
IF($G$3="FLA",
IF(VLOOKUP($A507, YES_Reading_FLA[], COLUMN(INDIRECT("YES_Reading_FLA[Difference - Per "&amp;VLOOKUP($G$4,'Reading Report Logic'!$A$2:$B$8,2,FALSE)&amp;"]")),FALSE)="","",
VLOOKUP($A507,YES_Reading_FLA[],COLUMN(INDIRECT("YES_Reading_FLA[Difference - Per "&amp;VLOOKUP($G$4,'Reading Report Logic'!$A$2:$B$8,2,FALSE)&amp;"]")),FALSE)),
IF($G$3="Combined",
IFERROR(
IF(VLOOKUP($A507, YES_Reading_ELA[], COLUMN(INDIRECT("YES_Reading_ELA[Difference - Per "&amp;VLOOKUP($G$4, 'Reading Report Logic'!$A$2:$B$8,2,FALSE)&amp;"]")), FALSE)="", "",
VLOOKUP($A507,YES_Reading_ELA[],COLUMN(INDIRECT("YES_Reading_ELA[Difference - Per "&amp;VLOOKUP($G$4,'Reading Report Logic'!$A$2:$B$8,2,FALSE)&amp;"]")),FALSE)),
IF(VLOOKUP($A507, YES_Reading_FLA[], COLUMN(INDIRECT("YES_Reading_FLA[Difference - Per "&amp;VLOOKUP($G$4, 'Reading Report Logic'!$A$2:$B$8, 2, FALSE)&amp;"]")),FALSE)="", "", VLOOKUP($A507,YES_Reading_FLA[],COLUMN(INDIRECT("YES_Reading_FLA[Difference - Per "&amp;VLOOKUP($G$4, 'Reading Report Logic'!$A$2:$B$8, 2, FALSE)&amp;"]")),FALSE))),""))),"")</f>
        <v/>
      </c>
    </row>
    <row r="508" spans="1:9" x14ac:dyDescent="0.25">
      <c r="A508" s="137"/>
      <c r="B508" s="137" t="str">
        <f>IFERROR(INDEX(_xlfn.VSTACK(YES_Writing_ELA[#Data], YES_Writing_FLA[#Data]),MATCH($A508,_xlfn.VSTACK(YES_Writing_ELA[Student Number], YES_Writing_FLA[Student Number]),0),MATCH(B$7,YES_Writing_ELA[#Headers],0)),IFERROR(INDEX(_xlfn.VSTACK(YES_Reading_ELA[#Data], YES_Reading_FLA[#Data]),MATCH($A508,_xlfn.VSTACK(YES_Reading_ELA[Student Number], YES_Reading_FLA[Student Number]),0),MATCH(B$7,YES_Reading_ELA[#Headers],0)),""))</f>
        <v/>
      </c>
      <c r="C508" s="137" t="str">
        <f>IFERROR(INDEX(_xlfn.VSTACK(YES_Writing_ELA[#Data], YES_Writing_FLA[#Data]),MATCH($A508,_xlfn.VSTACK(YES_Writing_ELA[Student Number], YES_Writing_FLA[Student Number]),0),MATCH(C$7,YES_Writing_ELA[#Headers],0)),IFERROR(INDEX(_xlfn.VSTACK(YES_Reading_ELA[#Data], YES_Reading_FLA[#Data]),MATCH($A508,_xlfn.VSTACK(YES_Reading_ELA[Student Number], YES_Reading_FLA[Student Number]),0),MATCH(C$7,YES_Reading_ELA[#Headers],0)),""))</f>
        <v/>
      </c>
      <c r="D508" s="138" t="str">
        <f>IFERROR(IF(IF(INDEX(_xlfn.VSTACK(YES_Writing_ELA[#Data],YES_Writing_FLA[#Data]),MATCH($A508,_xlfn.VSTACK(YES_Writing_ELA[Student Number],YES_Writing_FLA[Student Number]),0),MATCH(VLOOKUP(D$7,'Writing Logic'!$J$7:$K$11,2,FALSE)&amp;" - Per "&amp;VLOOKUP($C$4,'Writing Logic'!$G$8:$H$14,2,FALSE),YES_Writing_ELA[#Headers],0))=0,"",INDEX(_xlfn.VSTACK(YES_Writing_ELA[#Data],YES_Writing_FLA[#Data]),MATCH($A508,_xlfn.VSTACK(YES_Writing_ELA[Student Number],YES_Writing_FLA[Student Number]),0),MATCH(VLOOKUP(D$7,'Writing Logic'!$J$7:$K$11,2,FALSE)&amp;" - Per "&amp;VLOOKUP($C$4,'Writing Logic'!$G$8:$H$14,2,FALSE),YES_Writing_ELA[#Headers],0)))="INS",'Writing Logic'!$B$7,IF(INDEX(_xlfn.VSTACK(YES_Writing_ELA[#Data],YES_Writing_FLA[#Data]),MATCH($A508,_xlfn.VSTACK(YES_Writing_ELA[Student Number],YES_Writing_FLA[Student Number]),0),MATCH(VLOOKUP(D$7,'Writing Logic'!$J$7:$K$11,2,FALSE)&amp;" - Per "&amp;VLOOKUP($C$4,'Writing Logic'!$G$8:$H$14,2,FALSE),YES_Writing_ELA[#Headers],0))=0,"",INDEX(_xlfn.VSTACK(YES_Writing_ELA[#Data],YES_Writing_FLA[#Data]),MATCH($A508,_xlfn.VSTACK(YES_Writing_ELA[Student Number],YES_Writing_FLA[Student Number]),0),MATCH(VLOOKUP(D$7,'Writing Logic'!$J$7:$K$11,2,FALSE)&amp;" - Per "&amp;VLOOKUP($C$4,'Writing Logic'!$G$8:$H$14,2,FALSE),YES_Writing_ELA[#Headers],0)))),"")</f>
        <v/>
      </c>
      <c r="E508" s="138" t="str">
        <f>IFERROR(IF(IF(INDEX(_xlfn.VSTACK(YES_Writing_ELA[#Data],YES_Writing_FLA[#Data]),MATCH($A508,_xlfn.VSTACK(YES_Writing_ELA[Student Number],YES_Writing_FLA[Student Number]),0),MATCH(VLOOKUP(E$7,'Writing Logic'!$J$7:$K$11,2,FALSE)&amp;" - Per "&amp;VLOOKUP($C$4,'Writing Logic'!$G$8:$H$14,2,FALSE),YES_Writing_ELA[#Headers],0))=0,"",INDEX(_xlfn.VSTACK(YES_Writing_ELA[#Data],YES_Writing_FLA[#Data]),MATCH($A508,_xlfn.VSTACK(YES_Writing_ELA[Student Number],YES_Writing_FLA[Student Number]),0),MATCH(VLOOKUP(E$7,'Writing Logic'!$J$7:$K$11,2,FALSE)&amp;" - Per "&amp;VLOOKUP($C$4,'Writing Logic'!$G$8:$H$14,2,FALSE),YES_Writing_ELA[#Headers],0)))="INS",'Writing Logic'!$B$7,IF(INDEX(_xlfn.VSTACK(YES_Writing_ELA[#Data],YES_Writing_FLA[#Data]),MATCH($A508,_xlfn.VSTACK(YES_Writing_ELA[Student Number],YES_Writing_FLA[Student Number]),0),MATCH(VLOOKUP(E$7,'Writing Logic'!$J$7:$K$11,2,FALSE)&amp;" - Per "&amp;VLOOKUP($C$4,'Writing Logic'!$G$8:$H$14,2,FALSE),YES_Writing_ELA[#Headers],0))=0,"",INDEX(_xlfn.VSTACK(YES_Writing_ELA[#Data],YES_Writing_FLA[#Data]),MATCH($A508,_xlfn.VSTACK(YES_Writing_ELA[Student Number],YES_Writing_FLA[Student Number]),0),MATCH(VLOOKUP(E$7,'Writing Logic'!$J$7:$K$11,2,FALSE)&amp;" - Per "&amp;VLOOKUP($C$4,'Writing Logic'!$G$8:$H$14,2,FALSE),YES_Writing_ELA[#Headers],0)))),"")</f>
        <v/>
      </c>
      <c r="F508" s="138" t="str">
        <f>IFERROR(IF(IF(INDEX(_xlfn.VSTACK(YES_Writing_ELA[#Data],YES_Writing_FLA[#Data]),MATCH($A508,_xlfn.VSTACK(YES_Writing_ELA[Student Number],YES_Writing_FLA[Student Number]),0),MATCH(VLOOKUP(F$7,'Writing Logic'!$J$7:$K$11,2,FALSE)&amp;" - Per "&amp;VLOOKUP($C$4,'Writing Logic'!$G$8:$H$14,2,FALSE),YES_Writing_ELA[#Headers],0))=0,"",INDEX(_xlfn.VSTACK(YES_Writing_ELA[#Data],YES_Writing_FLA[#Data]),MATCH($A508,_xlfn.VSTACK(YES_Writing_ELA[Student Number],YES_Writing_FLA[Student Number]),0),MATCH(VLOOKUP(F$7,'Writing Logic'!$J$7:$K$11,2,FALSE)&amp;" - Per "&amp;VLOOKUP($C$4,'Writing Logic'!$G$8:$H$14,2,FALSE),YES_Writing_ELA[#Headers],0)))="INS",'Writing Logic'!$B$7,IF(INDEX(_xlfn.VSTACK(YES_Writing_ELA[#Data],YES_Writing_FLA[#Data]),MATCH($A508,_xlfn.VSTACK(YES_Writing_ELA[Student Number],YES_Writing_FLA[Student Number]),0),MATCH(VLOOKUP(F$7,'Writing Logic'!$J$7:$K$11,2,FALSE)&amp;" - Per "&amp;VLOOKUP($C$4,'Writing Logic'!$G$8:$H$14,2,FALSE),YES_Writing_ELA[#Headers],0))=0,"",INDEX(_xlfn.VSTACK(YES_Writing_ELA[#Data],YES_Writing_FLA[#Data]),MATCH($A508,_xlfn.VSTACK(YES_Writing_ELA[Student Number],YES_Writing_FLA[Student Number]),0),MATCH(VLOOKUP(F$7,'Writing Logic'!$J$7:$K$11,2,FALSE)&amp;" - Per "&amp;VLOOKUP($C$4,'Writing Logic'!$G$8:$H$14,2,FALSE),YES_Writing_ELA[#Headers],0)))),"")</f>
        <v/>
      </c>
      <c r="G508" s="138" t="str">
        <f>IFERROR(IF(IF(INDEX(_xlfn.VSTACK(YES_Writing_ELA[#Data],YES_Writing_FLA[#Data]),MATCH($A508,_xlfn.VSTACK(YES_Writing_ELA[Student Number],YES_Writing_FLA[Student Number]),0),MATCH(VLOOKUP(G$7,'Writing Logic'!$J$7:$K$11,2,FALSE)&amp;" - Per "&amp;VLOOKUP($C$4,'Writing Logic'!$G$8:$H$14,2,FALSE),YES_Writing_ELA[#Headers],0))=0,"",INDEX(_xlfn.VSTACK(YES_Writing_ELA[#Data],YES_Writing_FLA[#Data]),MATCH($A508,_xlfn.VSTACK(YES_Writing_ELA[Student Number],YES_Writing_FLA[Student Number]),0),MATCH(VLOOKUP(G$7,'Writing Logic'!$J$7:$K$11,2,FALSE)&amp;" - Per "&amp;VLOOKUP($C$4,'Writing Logic'!$G$8:$H$14,2,FALSE),YES_Writing_ELA[#Headers],0)))="INS",'Writing Logic'!$B$7,IF(INDEX(_xlfn.VSTACK(YES_Writing_ELA[#Data],YES_Writing_FLA[#Data]),MATCH($A508,_xlfn.VSTACK(YES_Writing_ELA[Student Number],YES_Writing_FLA[Student Number]),0),MATCH(VLOOKUP(G$7,'Writing Logic'!$J$7:$K$11,2,FALSE)&amp;" - Per "&amp;VLOOKUP($C$4,'Writing Logic'!$G$8:$H$14,2,FALSE),YES_Writing_ELA[#Headers],0))=0,"",INDEX(_xlfn.VSTACK(YES_Writing_ELA[#Data],YES_Writing_FLA[#Data]),MATCH($A508,_xlfn.VSTACK(YES_Writing_ELA[Student Number],YES_Writing_FLA[Student Number]),0),MATCH(VLOOKUP(G$7,'Writing Logic'!$J$7:$K$11,2,FALSE)&amp;" - Per "&amp;VLOOKUP($C$4,'Writing Logic'!$G$8:$H$14,2,FALSE),YES_Writing_ELA[#Headers],0)))),"")</f>
        <v/>
      </c>
      <c r="H508" s="223" t="str">
        <f>IFERROR(IF(IF(INDEX(_xlfn.VSTACK(YES_Writing_ELA[#Data],YES_Writing_FLA[#Data]),MATCH($A508,_xlfn.VSTACK(YES_Writing_ELA[Student Number],YES_Writing_FLA[Student Number]),0),MATCH(VLOOKUP(H$7,'Writing Logic'!$J$7:$K$11,2,FALSE)&amp;" - Per "&amp;VLOOKUP($C$4,'Writing Logic'!$G$8:$H$14,2,FALSE),YES_Writing_ELA[#Headers],0))=0,"",INDEX(_xlfn.VSTACK(YES_Writing_ELA[#Data],YES_Writing_FLA[#Data]),MATCH($A508,_xlfn.VSTACK(YES_Writing_ELA[Student Number],YES_Writing_FLA[Student Number]),0),MATCH(VLOOKUP(H$7,'Writing Logic'!$J$7:$K$11,2,FALSE)&amp;" - Per "&amp;VLOOKUP($C$4,'Writing Logic'!$G$8:$H$14,2,FALSE),YES_Writing_ELA[#Headers],0)))="INS",'Writing Logic'!$B$7,IF(INDEX(_xlfn.VSTACK(YES_Writing_ELA[#Data],YES_Writing_FLA[#Data]),MATCH($A508,_xlfn.VSTACK(YES_Writing_ELA[Student Number],YES_Writing_FLA[Student Number]),0),MATCH(VLOOKUP(H$7,'Writing Logic'!$J$7:$K$11,2,FALSE)&amp;" - Per "&amp;VLOOKUP($C$4,'Writing Logic'!$G$8:$H$14,2,FALSE),YES_Writing_ELA[#Headers],0))=0,"",INDEX(_xlfn.VSTACK(YES_Writing_ELA[#Data],YES_Writing_FLA[#Data]),MATCH($A508,_xlfn.VSTACK(YES_Writing_ELA[Student Number],YES_Writing_FLA[Student Number]),0),MATCH(VLOOKUP(H$7,'Writing Logic'!$J$7:$K$11,2,FALSE)&amp;" - Per "&amp;VLOOKUP($C$4,'Writing Logic'!$G$8:$H$14,2,FALSE),YES_Writing_ELA[#Headers],0)))),"")</f>
        <v/>
      </c>
      <c r="I508" s="224" t="str" cm="1">
        <f t="array" aca="1" ref="I508" ca="1">IFERROR(
IF($G$3="ELA",
IF(VLOOKUP($A508, YES_Reading_ELA[], COLUMN(INDIRECT("YES_Reading_ELA[Difference - Per "&amp;VLOOKUP($G$4, 'Reading Report Logic'!$A$2:$B$8, 2, FALSE)&amp;"]")), FALSE)="", "",
VLOOKUP($A508,YES_Reading_ELA[], COLUMN(INDIRECT("YES_Reading_ELA[Difference - Per "&amp;VLOOKUP($G$4,'Reading Report Logic'!$A$2:$B$8,2,FALSE)&amp;"]")), FALSE)),
IF($G$3="FLA",
IF(VLOOKUP($A508, YES_Reading_FLA[], COLUMN(INDIRECT("YES_Reading_FLA[Difference - Per "&amp;VLOOKUP($G$4,'Reading Report Logic'!$A$2:$B$8,2,FALSE)&amp;"]")),FALSE)="","",
VLOOKUP($A508,YES_Reading_FLA[],COLUMN(INDIRECT("YES_Reading_FLA[Difference - Per "&amp;VLOOKUP($G$4,'Reading Report Logic'!$A$2:$B$8,2,FALSE)&amp;"]")),FALSE)),
IF($G$3="Combined",
IFERROR(
IF(VLOOKUP($A508, YES_Reading_ELA[], COLUMN(INDIRECT("YES_Reading_ELA[Difference - Per "&amp;VLOOKUP($G$4, 'Reading Report Logic'!$A$2:$B$8,2,FALSE)&amp;"]")), FALSE)="", "",
VLOOKUP($A508,YES_Reading_ELA[],COLUMN(INDIRECT("YES_Reading_ELA[Difference - Per "&amp;VLOOKUP($G$4,'Reading Report Logic'!$A$2:$B$8,2,FALSE)&amp;"]")),FALSE)),
IF(VLOOKUP($A508, YES_Reading_FLA[], COLUMN(INDIRECT("YES_Reading_FLA[Difference - Per "&amp;VLOOKUP($G$4, 'Reading Report Logic'!$A$2:$B$8, 2, FALSE)&amp;"]")),FALSE)="", "", VLOOKUP($A508,YES_Reading_FLA[],COLUMN(INDIRECT("YES_Reading_FLA[Difference - Per "&amp;VLOOKUP($G$4, 'Reading Report Logic'!$A$2:$B$8, 2, FALSE)&amp;"]")),FALSE))),""))),"")</f>
        <v/>
      </c>
    </row>
    <row r="509" spans="1:9" x14ac:dyDescent="0.25">
      <c r="A509" s="137"/>
      <c r="B509" s="137" t="str">
        <f>IFERROR(INDEX(_xlfn.VSTACK(YES_Writing_ELA[#Data], YES_Writing_FLA[#Data]),MATCH($A509,_xlfn.VSTACK(YES_Writing_ELA[Student Number], YES_Writing_FLA[Student Number]),0),MATCH(B$7,YES_Writing_ELA[#Headers],0)),IFERROR(INDEX(_xlfn.VSTACK(YES_Reading_ELA[#Data], YES_Reading_FLA[#Data]),MATCH($A509,_xlfn.VSTACK(YES_Reading_ELA[Student Number], YES_Reading_FLA[Student Number]),0),MATCH(B$7,YES_Reading_ELA[#Headers],0)),""))</f>
        <v/>
      </c>
      <c r="C509" s="137" t="str">
        <f>IFERROR(INDEX(_xlfn.VSTACK(YES_Writing_ELA[#Data], YES_Writing_FLA[#Data]),MATCH($A509,_xlfn.VSTACK(YES_Writing_ELA[Student Number], YES_Writing_FLA[Student Number]),0),MATCH(C$7,YES_Writing_ELA[#Headers],0)),IFERROR(INDEX(_xlfn.VSTACK(YES_Reading_ELA[#Data], YES_Reading_FLA[#Data]),MATCH($A509,_xlfn.VSTACK(YES_Reading_ELA[Student Number], YES_Reading_FLA[Student Number]),0),MATCH(C$7,YES_Reading_ELA[#Headers],0)),""))</f>
        <v/>
      </c>
      <c r="D509" s="138" t="str">
        <f>IFERROR(IF(IF(INDEX(_xlfn.VSTACK(YES_Writing_ELA[#Data],YES_Writing_FLA[#Data]),MATCH($A509,_xlfn.VSTACK(YES_Writing_ELA[Student Number],YES_Writing_FLA[Student Number]),0),MATCH(VLOOKUP(D$7,'Writing Logic'!$J$7:$K$11,2,FALSE)&amp;" - Per "&amp;VLOOKUP($C$4,'Writing Logic'!$G$8:$H$14,2,FALSE),YES_Writing_ELA[#Headers],0))=0,"",INDEX(_xlfn.VSTACK(YES_Writing_ELA[#Data],YES_Writing_FLA[#Data]),MATCH($A509,_xlfn.VSTACK(YES_Writing_ELA[Student Number],YES_Writing_FLA[Student Number]),0),MATCH(VLOOKUP(D$7,'Writing Logic'!$J$7:$K$11,2,FALSE)&amp;" - Per "&amp;VLOOKUP($C$4,'Writing Logic'!$G$8:$H$14,2,FALSE),YES_Writing_ELA[#Headers],0)))="INS",'Writing Logic'!$B$7,IF(INDEX(_xlfn.VSTACK(YES_Writing_ELA[#Data],YES_Writing_FLA[#Data]),MATCH($A509,_xlfn.VSTACK(YES_Writing_ELA[Student Number],YES_Writing_FLA[Student Number]),0),MATCH(VLOOKUP(D$7,'Writing Logic'!$J$7:$K$11,2,FALSE)&amp;" - Per "&amp;VLOOKUP($C$4,'Writing Logic'!$G$8:$H$14,2,FALSE),YES_Writing_ELA[#Headers],0))=0,"",INDEX(_xlfn.VSTACK(YES_Writing_ELA[#Data],YES_Writing_FLA[#Data]),MATCH($A509,_xlfn.VSTACK(YES_Writing_ELA[Student Number],YES_Writing_FLA[Student Number]),0),MATCH(VLOOKUP(D$7,'Writing Logic'!$J$7:$K$11,2,FALSE)&amp;" - Per "&amp;VLOOKUP($C$4,'Writing Logic'!$G$8:$H$14,2,FALSE),YES_Writing_ELA[#Headers],0)))),"")</f>
        <v/>
      </c>
      <c r="E509" s="138" t="str">
        <f>IFERROR(IF(IF(INDEX(_xlfn.VSTACK(YES_Writing_ELA[#Data],YES_Writing_FLA[#Data]),MATCH($A509,_xlfn.VSTACK(YES_Writing_ELA[Student Number],YES_Writing_FLA[Student Number]),0),MATCH(VLOOKUP(E$7,'Writing Logic'!$J$7:$K$11,2,FALSE)&amp;" - Per "&amp;VLOOKUP($C$4,'Writing Logic'!$G$8:$H$14,2,FALSE),YES_Writing_ELA[#Headers],0))=0,"",INDEX(_xlfn.VSTACK(YES_Writing_ELA[#Data],YES_Writing_FLA[#Data]),MATCH($A509,_xlfn.VSTACK(YES_Writing_ELA[Student Number],YES_Writing_FLA[Student Number]),0),MATCH(VLOOKUP(E$7,'Writing Logic'!$J$7:$K$11,2,FALSE)&amp;" - Per "&amp;VLOOKUP($C$4,'Writing Logic'!$G$8:$H$14,2,FALSE),YES_Writing_ELA[#Headers],0)))="INS",'Writing Logic'!$B$7,IF(INDEX(_xlfn.VSTACK(YES_Writing_ELA[#Data],YES_Writing_FLA[#Data]),MATCH($A509,_xlfn.VSTACK(YES_Writing_ELA[Student Number],YES_Writing_FLA[Student Number]),0),MATCH(VLOOKUP(E$7,'Writing Logic'!$J$7:$K$11,2,FALSE)&amp;" - Per "&amp;VLOOKUP($C$4,'Writing Logic'!$G$8:$H$14,2,FALSE),YES_Writing_ELA[#Headers],0))=0,"",INDEX(_xlfn.VSTACK(YES_Writing_ELA[#Data],YES_Writing_FLA[#Data]),MATCH($A509,_xlfn.VSTACK(YES_Writing_ELA[Student Number],YES_Writing_FLA[Student Number]),0),MATCH(VLOOKUP(E$7,'Writing Logic'!$J$7:$K$11,2,FALSE)&amp;" - Per "&amp;VLOOKUP($C$4,'Writing Logic'!$G$8:$H$14,2,FALSE),YES_Writing_ELA[#Headers],0)))),"")</f>
        <v/>
      </c>
      <c r="F509" s="138" t="str">
        <f>IFERROR(IF(IF(INDEX(_xlfn.VSTACK(YES_Writing_ELA[#Data],YES_Writing_FLA[#Data]),MATCH($A509,_xlfn.VSTACK(YES_Writing_ELA[Student Number],YES_Writing_FLA[Student Number]),0),MATCH(VLOOKUP(F$7,'Writing Logic'!$J$7:$K$11,2,FALSE)&amp;" - Per "&amp;VLOOKUP($C$4,'Writing Logic'!$G$8:$H$14,2,FALSE),YES_Writing_ELA[#Headers],0))=0,"",INDEX(_xlfn.VSTACK(YES_Writing_ELA[#Data],YES_Writing_FLA[#Data]),MATCH($A509,_xlfn.VSTACK(YES_Writing_ELA[Student Number],YES_Writing_FLA[Student Number]),0),MATCH(VLOOKUP(F$7,'Writing Logic'!$J$7:$K$11,2,FALSE)&amp;" - Per "&amp;VLOOKUP($C$4,'Writing Logic'!$G$8:$H$14,2,FALSE),YES_Writing_ELA[#Headers],0)))="INS",'Writing Logic'!$B$7,IF(INDEX(_xlfn.VSTACK(YES_Writing_ELA[#Data],YES_Writing_FLA[#Data]),MATCH($A509,_xlfn.VSTACK(YES_Writing_ELA[Student Number],YES_Writing_FLA[Student Number]),0),MATCH(VLOOKUP(F$7,'Writing Logic'!$J$7:$K$11,2,FALSE)&amp;" - Per "&amp;VLOOKUP($C$4,'Writing Logic'!$G$8:$H$14,2,FALSE),YES_Writing_ELA[#Headers],0))=0,"",INDEX(_xlfn.VSTACK(YES_Writing_ELA[#Data],YES_Writing_FLA[#Data]),MATCH($A509,_xlfn.VSTACK(YES_Writing_ELA[Student Number],YES_Writing_FLA[Student Number]),0),MATCH(VLOOKUP(F$7,'Writing Logic'!$J$7:$K$11,2,FALSE)&amp;" - Per "&amp;VLOOKUP($C$4,'Writing Logic'!$G$8:$H$14,2,FALSE),YES_Writing_ELA[#Headers],0)))),"")</f>
        <v/>
      </c>
      <c r="G509" s="138" t="str">
        <f>IFERROR(IF(IF(INDEX(_xlfn.VSTACK(YES_Writing_ELA[#Data],YES_Writing_FLA[#Data]),MATCH($A509,_xlfn.VSTACK(YES_Writing_ELA[Student Number],YES_Writing_FLA[Student Number]),0),MATCH(VLOOKUP(G$7,'Writing Logic'!$J$7:$K$11,2,FALSE)&amp;" - Per "&amp;VLOOKUP($C$4,'Writing Logic'!$G$8:$H$14,2,FALSE),YES_Writing_ELA[#Headers],0))=0,"",INDEX(_xlfn.VSTACK(YES_Writing_ELA[#Data],YES_Writing_FLA[#Data]),MATCH($A509,_xlfn.VSTACK(YES_Writing_ELA[Student Number],YES_Writing_FLA[Student Number]),0),MATCH(VLOOKUP(G$7,'Writing Logic'!$J$7:$K$11,2,FALSE)&amp;" - Per "&amp;VLOOKUP($C$4,'Writing Logic'!$G$8:$H$14,2,FALSE),YES_Writing_ELA[#Headers],0)))="INS",'Writing Logic'!$B$7,IF(INDEX(_xlfn.VSTACK(YES_Writing_ELA[#Data],YES_Writing_FLA[#Data]),MATCH($A509,_xlfn.VSTACK(YES_Writing_ELA[Student Number],YES_Writing_FLA[Student Number]),0),MATCH(VLOOKUP(G$7,'Writing Logic'!$J$7:$K$11,2,FALSE)&amp;" - Per "&amp;VLOOKUP($C$4,'Writing Logic'!$G$8:$H$14,2,FALSE),YES_Writing_ELA[#Headers],0))=0,"",INDEX(_xlfn.VSTACK(YES_Writing_ELA[#Data],YES_Writing_FLA[#Data]),MATCH($A509,_xlfn.VSTACK(YES_Writing_ELA[Student Number],YES_Writing_FLA[Student Number]),0),MATCH(VLOOKUP(G$7,'Writing Logic'!$J$7:$K$11,2,FALSE)&amp;" - Per "&amp;VLOOKUP($C$4,'Writing Logic'!$G$8:$H$14,2,FALSE),YES_Writing_ELA[#Headers],0)))),"")</f>
        <v/>
      </c>
      <c r="H509" s="223" t="str">
        <f>IFERROR(IF(IF(INDEX(_xlfn.VSTACK(YES_Writing_ELA[#Data],YES_Writing_FLA[#Data]),MATCH($A509,_xlfn.VSTACK(YES_Writing_ELA[Student Number],YES_Writing_FLA[Student Number]),0),MATCH(VLOOKUP(H$7,'Writing Logic'!$J$7:$K$11,2,FALSE)&amp;" - Per "&amp;VLOOKUP($C$4,'Writing Logic'!$G$8:$H$14,2,FALSE),YES_Writing_ELA[#Headers],0))=0,"",INDEX(_xlfn.VSTACK(YES_Writing_ELA[#Data],YES_Writing_FLA[#Data]),MATCH($A509,_xlfn.VSTACK(YES_Writing_ELA[Student Number],YES_Writing_FLA[Student Number]),0),MATCH(VLOOKUP(H$7,'Writing Logic'!$J$7:$K$11,2,FALSE)&amp;" - Per "&amp;VLOOKUP($C$4,'Writing Logic'!$G$8:$H$14,2,FALSE),YES_Writing_ELA[#Headers],0)))="INS",'Writing Logic'!$B$7,IF(INDEX(_xlfn.VSTACK(YES_Writing_ELA[#Data],YES_Writing_FLA[#Data]),MATCH($A509,_xlfn.VSTACK(YES_Writing_ELA[Student Number],YES_Writing_FLA[Student Number]),0),MATCH(VLOOKUP(H$7,'Writing Logic'!$J$7:$K$11,2,FALSE)&amp;" - Per "&amp;VLOOKUP($C$4,'Writing Logic'!$G$8:$H$14,2,FALSE),YES_Writing_ELA[#Headers],0))=0,"",INDEX(_xlfn.VSTACK(YES_Writing_ELA[#Data],YES_Writing_FLA[#Data]),MATCH($A509,_xlfn.VSTACK(YES_Writing_ELA[Student Number],YES_Writing_FLA[Student Number]),0),MATCH(VLOOKUP(H$7,'Writing Logic'!$J$7:$K$11,2,FALSE)&amp;" - Per "&amp;VLOOKUP($C$4,'Writing Logic'!$G$8:$H$14,2,FALSE),YES_Writing_ELA[#Headers],0)))),"")</f>
        <v/>
      </c>
      <c r="I509" s="224" t="str" cm="1">
        <f t="array" aca="1" ref="I509" ca="1">IFERROR(
IF($G$3="ELA",
IF(VLOOKUP($A509, YES_Reading_ELA[], COLUMN(INDIRECT("YES_Reading_ELA[Difference - Per "&amp;VLOOKUP($G$4, 'Reading Report Logic'!$A$2:$B$8, 2, FALSE)&amp;"]")), FALSE)="", "",
VLOOKUP($A509,YES_Reading_ELA[], COLUMN(INDIRECT("YES_Reading_ELA[Difference - Per "&amp;VLOOKUP($G$4,'Reading Report Logic'!$A$2:$B$8,2,FALSE)&amp;"]")), FALSE)),
IF($G$3="FLA",
IF(VLOOKUP($A509, YES_Reading_FLA[], COLUMN(INDIRECT("YES_Reading_FLA[Difference - Per "&amp;VLOOKUP($G$4,'Reading Report Logic'!$A$2:$B$8,2,FALSE)&amp;"]")),FALSE)="","",
VLOOKUP($A509,YES_Reading_FLA[],COLUMN(INDIRECT("YES_Reading_FLA[Difference - Per "&amp;VLOOKUP($G$4,'Reading Report Logic'!$A$2:$B$8,2,FALSE)&amp;"]")),FALSE)),
IF($G$3="Combined",
IFERROR(
IF(VLOOKUP($A509, YES_Reading_ELA[], COLUMN(INDIRECT("YES_Reading_ELA[Difference - Per "&amp;VLOOKUP($G$4, 'Reading Report Logic'!$A$2:$B$8,2,FALSE)&amp;"]")), FALSE)="", "",
VLOOKUP($A509,YES_Reading_ELA[],COLUMN(INDIRECT("YES_Reading_ELA[Difference - Per "&amp;VLOOKUP($G$4,'Reading Report Logic'!$A$2:$B$8,2,FALSE)&amp;"]")),FALSE)),
IF(VLOOKUP($A509, YES_Reading_FLA[], COLUMN(INDIRECT("YES_Reading_FLA[Difference - Per "&amp;VLOOKUP($G$4, 'Reading Report Logic'!$A$2:$B$8, 2, FALSE)&amp;"]")),FALSE)="", "", VLOOKUP($A509,YES_Reading_FLA[],COLUMN(INDIRECT("YES_Reading_FLA[Difference - Per "&amp;VLOOKUP($G$4, 'Reading Report Logic'!$A$2:$B$8, 2, FALSE)&amp;"]")),FALSE))),""))),"")</f>
        <v/>
      </c>
    </row>
    <row r="510" spans="1:9" x14ac:dyDescent="0.25">
      <c r="A510" s="137"/>
      <c r="B510" s="137" t="str">
        <f>IFERROR(INDEX(_xlfn.VSTACK(YES_Writing_ELA[#Data], YES_Writing_FLA[#Data]),MATCH($A510,_xlfn.VSTACK(YES_Writing_ELA[Student Number], YES_Writing_FLA[Student Number]),0),MATCH(B$7,YES_Writing_ELA[#Headers],0)),IFERROR(INDEX(_xlfn.VSTACK(YES_Reading_ELA[#Data], YES_Reading_FLA[#Data]),MATCH($A510,_xlfn.VSTACK(YES_Reading_ELA[Student Number], YES_Reading_FLA[Student Number]),0),MATCH(B$7,YES_Reading_ELA[#Headers],0)),""))</f>
        <v/>
      </c>
      <c r="C510" s="137" t="str">
        <f>IFERROR(INDEX(_xlfn.VSTACK(YES_Writing_ELA[#Data], YES_Writing_FLA[#Data]),MATCH($A510,_xlfn.VSTACK(YES_Writing_ELA[Student Number], YES_Writing_FLA[Student Number]),0),MATCH(C$7,YES_Writing_ELA[#Headers],0)),IFERROR(INDEX(_xlfn.VSTACK(YES_Reading_ELA[#Data], YES_Reading_FLA[#Data]),MATCH($A510,_xlfn.VSTACK(YES_Reading_ELA[Student Number], YES_Reading_FLA[Student Number]),0),MATCH(C$7,YES_Reading_ELA[#Headers],0)),""))</f>
        <v/>
      </c>
      <c r="D510" s="138" t="str">
        <f>IFERROR(IF(IF(INDEX(_xlfn.VSTACK(YES_Writing_ELA[#Data],YES_Writing_FLA[#Data]),MATCH($A510,_xlfn.VSTACK(YES_Writing_ELA[Student Number],YES_Writing_FLA[Student Number]),0),MATCH(VLOOKUP(D$7,'Writing Logic'!$J$7:$K$11,2,FALSE)&amp;" - Per "&amp;VLOOKUP($C$4,'Writing Logic'!$G$8:$H$14,2,FALSE),YES_Writing_ELA[#Headers],0))=0,"",INDEX(_xlfn.VSTACK(YES_Writing_ELA[#Data],YES_Writing_FLA[#Data]),MATCH($A510,_xlfn.VSTACK(YES_Writing_ELA[Student Number],YES_Writing_FLA[Student Number]),0),MATCH(VLOOKUP(D$7,'Writing Logic'!$J$7:$K$11,2,FALSE)&amp;" - Per "&amp;VLOOKUP($C$4,'Writing Logic'!$G$8:$H$14,2,FALSE),YES_Writing_ELA[#Headers],0)))="INS",'Writing Logic'!$B$7,IF(INDEX(_xlfn.VSTACK(YES_Writing_ELA[#Data],YES_Writing_FLA[#Data]),MATCH($A510,_xlfn.VSTACK(YES_Writing_ELA[Student Number],YES_Writing_FLA[Student Number]),0),MATCH(VLOOKUP(D$7,'Writing Logic'!$J$7:$K$11,2,FALSE)&amp;" - Per "&amp;VLOOKUP($C$4,'Writing Logic'!$G$8:$H$14,2,FALSE),YES_Writing_ELA[#Headers],0))=0,"",INDEX(_xlfn.VSTACK(YES_Writing_ELA[#Data],YES_Writing_FLA[#Data]),MATCH($A510,_xlfn.VSTACK(YES_Writing_ELA[Student Number],YES_Writing_FLA[Student Number]),0),MATCH(VLOOKUP(D$7,'Writing Logic'!$J$7:$K$11,2,FALSE)&amp;" - Per "&amp;VLOOKUP($C$4,'Writing Logic'!$G$8:$H$14,2,FALSE),YES_Writing_ELA[#Headers],0)))),"")</f>
        <v/>
      </c>
      <c r="E510" s="138" t="str">
        <f>IFERROR(IF(IF(INDEX(_xlfn.VSTACK(YES_Writing_ELA[#Data],YES_Writing_FLA[#Data]),MATCH($A510,_xlfn.VSTACK(YES_Writing_ELA[Student Number],YES_Writing_FLA[Student Number]),0),MATCH(VLOOKUP(E$7,'Writing Logic'!$J$7:$K$11,2,FALSE)&amp;" - Per "&amp;VLOOKUP($C$4,'Writing Logic'!$G$8:$H$14,2,FALSE),YES_Writing_ELA[#Headers],0))=0,"",INDEX(_xlfn.VSTACK(YES_Writing_ELA[#Data],YES_Writing_FLA[#Data]),MATCH($A510,_xlfn.VSTACK(YES_Writing_ELA[Student Number],YES_Writing_FLA[Student Number]),0),MATCH(VLOOKUP(E$7,'Writing Logic'!$J$7:$K$11,2,FALSE)&amp;" - Per "&amp;VLOOKUP($C$4,'Writing Logic'!$G$8:$H$14,2,FALSE),YES_Writing_ELA[#Headers],0)))="INS",'Writing Logic'!$B$7,IF(INDEX(_xlfn.VSTACK(YES_Writing_ELA[#Data],YES_Writing_FLA[#Data]),MATCH($A510,_xlfn.VSTACK(YES_Writing_ELA[Student Number],YES_Writing_FLA[Student Number]),0),MATCH(VLOOKUP(E$7,'Writing Logic'!$J$7:$K$11,2,FALSE)&amp;" - Per "&amp;VLOOKUP($C$4,'Writing Logic'!$G$8:$H$14,2,FALSE),YES_Writing_ELA[#Headers],0))=0,"",INDEX(_xlfn.VSTACK(YES_Writing_ELA[#Data],YES_Writing_FLA[#Data]),MATCH($A510,_xlfn.VSTACK(YES_Writing_ELA[Student Number],YES_Writing_FLA[Student Number]),0),MATCH(VLOOKUP(E$7,'Writing Logic'!$J$7:$K$11,2,FALSE)&amp;" - Per "&amp;VLOOKUP($C$4,'Writing Logic'!$G$8:$H$14,2,FALSE),YES_Writing_ELA[#Headers],0)))),"")</f>
        <v/>
      </c>
      <c r="F510" s="138" t="str">
        <f>IFERROR(IF(IF(INDEX(_xlfn.VSTACK(YES_Writing_ELA[#Data],YES_Writing_FLA[#Data]),MATCH($A510,_xlfn.VSTACK(YES_Writing_ELA[Student Number],YES_Writing_FLA[Student Number]),0),MATCH(VLOOKUP(F$7,'Writing Logic'!$J$7:$K$11,2,FALSE)&amp;" - Per "&amp;VLOOKUP($C$4,'Writing Logic'!$G$8:$H$14,2,FALSE),YES_Writing_ELA[#Headers],0))=0,"",INDEX(_xlfn.VSTACK(YES_Writing_ELA[#Data],YES_Writing_FLA[#Data]),MATCH($A510,_xlfn.VSTACK(YES_Writing_ELA[Student Number],YES_Writing_FLA[Student Number]),0),MATCH(VLOOKUP(F$7,'Writing Logic'!$J$7:$K$11,2,FALSE)&amp;" - Per "&amp;VLOOKUP($C$4,'Writing Logic'!$G$8:$H$14,2,FALSE),YES_Writing_ELA[#Headers],0)))="INS",'Writing Logic'!$B$7,IF(INDEX(_xlfn.VSTACK(YES_Writing_ELA[#Data],YES_Writing_FLA[#Data]),MATCH($A510,_xlfn.VSTACK(YES_Writing_ELA[Student Number],YES_Writing_FLA[Student Number]),0),MATCH(VLOOKUP(F$7,'Writing Logic'!$J$7:$K$11,2,FALSE)&amp;" - Per "&amp;VLOOKUP($C$4,'Writing Logic'!$G$8:$H$14,2,FALSE),YES_Writing_ELA[#Headers],0))=0,"",INDEX(_xlfn.VSTACK(YES_Writing_ELA[#Data],YES_Writing_FLA[#Data]),MATCH($A510,_xlfn.VSTACK(YES_Writing_ELA[Student Number],YES_Writing_FLA[Student Number]),0),MATCH(VLOOKUP(F$7,'Writing Logic'!$J$7:$K$11,2,FALSE)&amp;" - Per "&amp;VLOOKUP($C$4,'Writing Logic'!$G$8:$H$14,2,FALSE),YES_Writing_ELA[#Headers],0)))),"")</f>
        <v/>
      </c>
      <c r="G510" s="138" t="str">
        <f>IFERROR(IF(IF(INDEX(_xlfn.VSTACK(YES_Writing_ELA[#Data],YES_Writing_FLA[#Data]),MATCH($A510,_xlfn.VSTACK(YES_Writing_ELA[Student Number],YES_Writing_FLA[Student Number]),0),MATCH(VLOOKUP(G$7,'Writing Logic'!$J$7:$K$11,2,FALSE)&amp;" - Per "&amp;VLOOKUP($C$4,'Writing Logic'!$G$8:$H$14,2,FALSE),YES_Writing_ELA[#Headers],0))=0,"",INDEX(_xlfn.VSTACK(YES_Writing_ELA[#Data],YES_Writing_FLA[#Data]),MATCH($A510,_xlfn.VSTACK(YES_Writing_ELA[Student Number],YES_Writing_FLA[Student Number]),0),MATCH(VLOOKUP(G$7,'Writing Logic'!$J$7:$K$11,2,FALSE)&amp;" - Per "&amp;VLOOKUP($C$4,'Writing Logic'!$G$8:$H$14,2,FALSE),YES_Writing_ELA[#Headers],0)))="INS",'Writing Logic'!$B$7,IF(INDEX(_xlfn.VSTACK(YES_Writing_ELA[#Data],YES_Writing_FLA[#Data]),MATCH($A510,_xlfn.VSTACK(YES_Writing_ELA[Student Number],YES_Writing_FLA[Student Number]),0),MATCH(VLOOKUP(G$7,'Writing Logic'!$J$7:$K$11,2,FALSE)&amp;" - Per "&amp;VLOOKUP($C$4,'Writing Logic'!$G$8:$H$14,2,FALSE),YES_Writing_ELA[#Headers],0))=0,"",INDEX(_xlfn.VSTACK(YES_Writing_ELA[#Data],YES_Writing_FLA[#Data]),MATCH($A510,_xlfn.VSTACK(YES_Writing_ELA[Student Number],YES_Writing_FLA[Student Number]),0),MATCH(VLOOKUP(G$7,'Writing Logic'!$J$7:$K$11,2,FALSE)&amp;" - Per "&amp;VLOOKUP($C$4,'Writing Logic'!$G$8:$H$14,2,FALSE),YES_Writing_ELA[#Headers],0)))),"")</f>
        <v/>
      </c>
      <c r="H510" s="223" t="str">
        <f>IFERROR(IF(IF(INDEX(_xlfn.VSTACK(YES_Writing_ELA[#Data],YES_Writing_FLA[#Data]),MATCH($A510,_xlfn.VSTACK(YES_Writing_ELA[Student Number],YES_Writing_FLA[Student Number]),0),MATCH(VLOOKUP(H$7,'Writing Logic'!$J$7:$K$11,2,FALSE)&amp;" - Per "&amp;VLOOKUP($C$4,'Writing Logic'!$G$8:$H$14,2,FALSE),YES_Writing_ELA[#Headers],0))=0,"",INDEX(_xlfn.VSTACK(YES_Writing_ELA[#Data],YES_Writing_FLA[#Data]),MATCH($A510,_xlfn.VSTACK(YES_Writing_ELA[Student Number],YES_Writing_FLA[Student Number]),0),MATCH(VLOOKUP(H$7,'Writing Logic'!$J$7:$K$11,2,FALSE)&amp;" - Per "&amp;VLOOKUP($C$4,'Writing Logic'!$G$8:$H$14,2,FALSE),YES_Writing_ELA[#Headers],0)))="INS",'Writing Logic'!$B$7,IF(INDEX(_xlfn.VSTACK(YES_Writing_ELA[#Data],YES_Writing_FLA[#Data]),MATCH($A510,_xlfn.VSTACK(YES_Writing_ELA[Student Number],YES_Writing_FLA[Student Number]),0),MATCH(VLOOKUP(H$7,'Writing Logic'!$J$7:$K$11,2,FALSE)&amp;" - Per "&amp;VLOOKUP($C$4,'Writing Logic'!$G$8:$H$14,2,FALSE),YES_Writing_ELA[#Headers],0))=0,"",INDEX(_xlfn.VSTACK(YES_Writing_ELA[#Data],YES_Writing_FLA[#Data]),MATCH($A510,_xlfn.VSTACK(YES_Writing_ELA[Student Number],YES_Writing_FLA[Student Number]),0),MATCH(VLOOKUP(H$7,'Writing Logic'!$J$7:$K$11,2,FALSE)&amp;" - Per "&amp;VLOOKUP($C$4,'Writing Logic'!$G$8:$H$14,2,FALSE),YES_Writing_ELA[#Headers],0)))),"")</f>
        <v/>
      </c>
      <c r="I510" s="224" t="str" cm="1">
        <f t="array" aca="1" ref="I510" ca="1">IFERROR(
IF($G$3="ELA",
IF(VLOOKUP($A510, YES_Reading_ELA[], COLUMN(INDIRECT("YES_Reading_ELA[Difference - Per "&amp;VLOOKUP($G$4, 'Reading Report Logic'!$A$2:$B$8, 2, FALSE)&amp;"]")), FALSE)="", "",
VLOOKUP($A510,YES_Reading_ELA[], COLUMN(INDIRECT("YES_Reading_ELA[Difference - Per "&amp;VLOOKUP($G$4,'Reading Report Logic'!$A$2:$B$8,2,FALSE)&amp;"]")), FALSE)),
IF($G$3="FLA",
IF(VLOOKUP($A510, YES_Reading_FLA[], COLUMN(INDIRECT("YES_Reading_FLA[Difference - Per "&amp;VLOOKUP($G$4,'Reading Report Logic'!$A$2:$B$8,2,FALSE)&amp;"]")),FALSE)="","",
VLOOKUP($A510,YES_Reading_FLA[],COLUMN(INDIRECT("YES_Reading_FLA[Difference - Per "&amp;VLOOKUP($G$4,'Reading Report Logic'!$A$2:$B$8,2,FALSE)&amp;"]")),FALSE)),
IF($G$3="Combined",
IFERROR(
IF(VLOOKUP($A510, YES_Reading_ELA[], COLUMN(INDIRECT("YES_Reading_ELA[Difference - Per "&amp;VLOOKUP($G$4, 'Reading Report Logic'!$A$2:$B$8,2,FALSE)&amp;"]")), FALSE)="", "",
VLOOKUP($A510,YES_Reading_ELA[],COLUMN(INDIRECT("YES_Reading_ELA[Difference - Per "&amp;VLOOKUP($G$4,'Reading Report Logic'!$A$2:$B$8,2,FALSE)&amp;"]")),FALSE)),
IF(VLOOKUP($A510, YES_Reading_FLA[], COLUMN(INDIRECT("YES_Reading_FLA[Difference - Per "&amp;VLOOKUP($G$4, 'Reading Report Logic'!$A$2:$B$8, 2, FALSE)&amp;"]")),FALSE)="", "", VLOOKUP($A510,YES_Reading_FLA[],COLUMN(INDIRECT("YES_Reading_FLA[Difference - Per "&amp;VLOOKUP($G$4, 'Reading Report Logic'!$A$2:$B$8, 2, FALSE)&amp;"]")),FALSE))),""))),"")</f>
        <v/>
      </c>
    </row>
    <row r="511" spans="1:9" x14ac:dyDescent="0.25">
      <c r="A511" s="137"/>
      <c r="B511" s="137" t="str">
        <f>IFERROR(INDEX(_xlfn.VSTACK(YES_Writing_ELA[#Data], YES_Writing_FLA[#Data]),MATCH($A511,_xlfn.VSTACK(YES_Writing_ELA[Student Number], YES_Writing_FLA[Student Number]),0),MATCH(B$7,YES_Writing_ELA[#Headers],0)),IFERROR(INDEX(_xlfn.VSTACK(YES_Reading_ELA[#Data], YES_Reading_FLA[#Data]),MATCH($A511,_xlfn.VSTACK(YES_Reading_ELA[Student Number], YES_Reading_FLA[Student Number]),0),MATCH(B$7,YES_Reading_ELA[#Headers],0)),""))</f>
        <v/>
      </c>
      <c r="C511" s="137" t="str">
        <f>IFERROR(INDEX(_xlfn.VSTACK(YES_Writing_ELA[#Data], YES_Writing_FLA[#Data]),MATCH($A511,_xlfn.VSTACK(YES_Writing_ELA[Student Number], YES_Writing_FLA[Student Number]),0),MATCH(C$7,YES_Writing_ELA[#Headers],0)),IFERROR(INDEX(_xlfn.VSTACK(YES_Reading_ELA[#Data], YES_Reading_FLA[#Data]),MATCH($A511,_xlfn.VSTACK(YES_Reading_ELA[Student Number], YES_Reading_FLA[Student Number]),0),MATCH(C$7,YES_Reading_ELA[#Headers],0)),""))</f>
        <v/>
      </c>
      <c r="D511" s="138" t="str">
        <f>IFERROR(IF(IF(INDEX(_xlfn.VSTACK(YES_Writing_ELA[#Data],YES_Writing_FLA[#Data]),MATCH($A511,_xlfn.VSTACK(YES_Writing_ELA[Student Number],YES_Writing_FLA[Student Number]),0),MATCH(VLOOKUP(D$7,'Writing Logic'!$J$7:$K$11,2,FALSE)&amp;" - Per "&amp;VLOOKUP($C$4,'Writing Logic'!$G$8:$H$14,2,FALSE),YES_Writing_ELA[#Headers],0))=0,"",INDEX(_xlfn.VSTACK(YES_Writing_ELA[#Data],YES_Writing_FLA[#Data]),MATCH($A511,_xlfn.VSTACK(YES_Writing_ELA[Student Number],YES_Writing_FLA[Student Number]),0),MATCH(VLOOKUP(D$7,'Writing Logic'!$J$7:$K$11,2,FALSE)&amp;" - Per "&amp;VLOOKUP($C$4,'Writing Logic'!$G$8:$H$14,2,FALSE),YES_Writing_ELA[#Headers],0)))="INS",'Writing Logic'!$B$7,IF(INDEX(_xlfn.VSTACK(YES_Writing_ELA[#Data],YES_Writing_FLA[#Data]),MATCH($A511,_xlfn.VSTACK(YES_Writing_ELA[Student Number],YES_Writing_FLA[Student Number]),0),MATCH(VLOOKUP(D$7,'Writing Logic'!$J$7:$K$11,2,FALSE)&amp;" - Per "&amp;VLOOKUP($C$4,'Writing Logic'!$G$8:$H$14,2,FALSE),YES_Writing_ELA[#Headers],0))=0,"",INDEX(_xlfn.VSTACK(YES_Writing_ELA[#Data],YES_Writing_FLA[#Data]),MATCH($A511,_xlfn.VSTACK(YES_Writing_ELA[Student Number],YES_Writing_FLA[Student Number]),0),MATCH(VLOOKUP(D$7,'Writing Logic'!$J$7:$K$11,2,FALSE)&amp;" - Per "&amp;VLOOKUP($C$4,'Writing Logic'!$G$8:$H$14,2,FALSE),YES_Writing_ELA[#Headers],0)))),"")</f>
        <v/>
      </c>
      <c r="E511" s="138" t="str">
        <f>IFERROR(IF(IF(INDEX(_xlfn.VSTACK(YES_Writing_ELA[#Data],YES_Writing_FLA[#Data]),MATCH($A511,_xlfn.VSTACK(YES_Writing_ELA[Student Number],YES_Writing_FLA[Student Number]),0),MATCH(VLOOKUP(E$7,'Writing Logic'!$J$7:$K$11,2,FALSE)&amp;" - Per "&amp;VLOOKUP($C$4,'Writing Logic'!$G$8:$H$14,2,FALSE),YES_Writing_ELA[#Headers],0))=0,"",INDEX(_xlfn.VSTACK(YES_Writing_ELA[#Data],YES_Writing_FLA[#Data]),MATCH($A511,_xlfn.VSTACK(YES_Writing_ELA[Student Number],YES_Writing_FLA[Student Number]),0),MATCH(VLOOKUP(E$7,'Writing Logic'!$J$7:$K$11,2,FALSE)&amp;" - Per "&amp;VLOOKUP($C$4,'Writing Logic'!$G$8:$H$14,2,FALSE),YES_Writing_ELA[#Headers],0)))="INS",'Writing Logic'!$B$7,IF(INDEX(_xlfn.VSTACK(YES_Writing_ELA[#Data],YES_Writing_FLA[#Data]),MATCH($A511,_xlfn.VSTACK(YES_Writing_ELA[Student Number],YES_Writing_FLA[Student Number]),0),MATCH(VLOOKUP(E$7,'Writing Logic'!$J$7:$K$11,2,FALSE)&amp;" - Per "&amp;VLOOKUP($C$4,'Writing Logic'!$G$8:$H$14,2,FALSE),YES_Writing_ELA[#Headers],0))=0,"",INDEX(_xlfn.VSTACK(YES_Writing_ELA[#Data],YES_Writing_FLA[#Data]),MATCH($A511,_xlfn.VSTACK(YES_Writing_ELA[Student Number],YES_Writing_FLA[Student Number]),0),MATCH(VLOOKUP(E$7,'Writing Logic'!$J$7:$K$11,2,FALSE)&amp;" - Per "&amp;VLOOKUP($C$4,'Writing Logic'!$G$8:$H$14,2,FALSE),YES_Writing_ELA[#Headers],0)))),"")</f>
        <v/>
      </c>
      <c r="F511" s="138" t="str">
        <f>IFERROR(IF(IF(INDEX(_xlfn.VSTACK(YES_Writing_ELA[#Data],YES_Writing_FLA[#Data]),MATCH($A511,_xlfn.VSTACK(YES_Writing_ELA[Student Number],YES_Writing_FLA[Student Number]),0),MATCH(VLOOKUP(F$7,'Writing Logic'!$J$7:$K$11,2,FALSE)&amp;" - Per "&amp;VLOOKUP($C$4,'Writing Logic'!$G$8:$H$14,2,FALSE),YES_Writing_ELA[#Headers],0))=0,"",INDEX(_xlfn.VSTACK(YES_Writing_ELA[#Data],YES_Writing_FLA[#Data]),MATCH($A511,_xlfn.VSTACK(YES_Writing_ELA[Student Number],YES_Writing_FLA[Student Number]),0),MATCH(VLOOKUP(F$7,'Writing Logic'!$J$7:$K$11,2,FALSE)&amp;" - Per "&amp;VLOOKUP($C$4,'Writing Logic'!$G$8:$H$14,2,FALSE),YES_Writing_ELA[#Headers],0)))="INS",'Writing Logic'!$B$7,IF(INDEX(_xlfn.VSTACK(YES_Writing_ELA[#Data],YES_Writing_FLA[#Data]),MATCH($A511,_xlfn.VSTACK(YES_Writing_ELA[Student Number],YES_Writing_FLA[Student Number]),0),MATCH(VLOOKUP(F$7,'Writing Logic'!$J$7:$K$11,2,FALSE)&amp;" - Per "&amp;VLOOKUP($C$4,'Writing Logic'!$G$8:$H$14,2,FALSE),YES_Writing_ELA[#Headers],0))=0,"",INDEX(_xlfn.VSTACK(YES_Writing_ELA[#Data],YES_Writing_FLA[#Data]),MATCH($A511,_xlfn.VSTACK(YES_Writing_ELA[Student Number],YES_Writing_FLA[Student Number]),0),MATCH(VLOOKUP(F$7,'Writing Logic'!$J$7:$K$11,2,FALSE)&amp;" - Per "&amp;VLOOKUP($C$4,'Writing Logic'!$G$8:$H$14,2,FALSE),YES_Writing_ELA[#Headers],0)))),"")</f>
        <v/>
      </c>
      <c r="G511" s="138" t="str">
        <f>IFERROR(IF(IF(INDEX(_xlfn.VSTACK(YES_Writing_ELA[#Data],YES_Writing_FLA[#Data]),MATCH($A511,_xlfn.VSTACK(YES_Writing_ELA[Student Number],YES_Writing_FLA[Student Number]),0),MATCH(VLOOKUP(G$7,'Writing Logic'!$J$7:$K$11,2,FALSE)&amp;" - Per "&amp;VLOOKUP($C$4,'Writing Logic'!$G$8:$H$14,2,FALSE),YES_Writing_ELA[#Headers],0))=0,"",INDEX(_xlfn.VSTACK(YES_Writing_ELA[#Data],YES_Writing_FLA[#Data]),MATCH($A511,_xlfn.VSTACK(YES_Writing_ELA[Student Number],YES_Writing_FLA[Student Number]),0),MATCH(VLOOKUP(G$7,'Writing Logic'!$J$7:$K$11,2,FALSE)&amp;" - Per "&amp;VLOOKUP($C$4,'Writing Logic'!$G$8:$H$14,2,FALSE),YES_Writing_ELA[#Headers],0)))="INS",'Writing Logic'!$B$7,IF(INDEX(_xlfn.VSTACK(YES_Writing_ELA[#Data],YES_Writing_FLA[#Data]),MATCH($A511,_xlfn.VSTACK(YES_Writing_ELA[Student Number],YES_Writing_FLA[Student Number]),0),MATCH(VLOOKUP(G$7,'Writing Logic'!$J$7:$K$11,2,FALSE)&amp;" - Per "&amp;VLOOKUP($C$4,'Writing Logic'!$G$8:$H$14,2,FALSE),YES_Writing_ELA[#Headers],0))=0,"",INDEX(_xlfn.VSTACK(YES_Writing_ELA[#Data],YES_Writing_FLA[#Data]),MATCH($A511,_xlfn.VSTACK(YES_Writing_ELA[Student Number],YES_Writing_FLA[Student Number]),0),MATCH(VLOOKUP(G$7,'Writing Logic'!$J$7:$K$11,2,FALSE)&amp;" - Per "&amp;VLOOKUP($C$4,'Writing Logic'!$G$8:$H$14,2,FALSE),YES_Writing_ELA[#Headers],0)))),"")</f>
        <v/>
      </c>
      <c r="H511" s="223" t="str">
        <f>IFERROR(IF(IF(INDEX(_xlfn.VSTACK(YES_Writing_ELA[#Data],YES_Writing_FLA[#Data]),MATCH($A511,_xlfn.VSTACK(YES_Writing_ELA[Student Number],YES_Writing_FLA[Student Number]),0),MATCH(VLOOKUP(H$7,'Writing Logic'!$J$7:$K$11,2,FALSE)&amp;" - Per "&amp;VLOOKUP($C$4,'Writing Logic'!$G$8:$H$14,2,FALSE),YES_Writing_ELA[#Headers],0))=0,"",INDEX(_xlfn.VSTACK(YES_Writing_ELA[#Data],YES_Writing_FLA[#Data]),MATCH($A511,_xlfn.VSTACK(YES_Writing_ELA[Student Number],YES_Writing_FLA[Student Number]),0),MATCH(VLOOKUP(H$7,'Writing Logic'!$J$7:$K$11,2,FALSE)&amp;" - Per "&amp;VLOOKUP($C$4,'Writing Logic'!$G$8:$H$14,2,FALSE),YES_Writing_ELA[#Headers],0)))="INS",'Writing Logic'!$B$7,IF(INDEX(_xlfn.VSTACK(YES_Writing_ELA[#Data],YES_Writing_FLA[#Data]),MATCH($A511,_xlfn.VSTACK(YES_Writing_ELA[Student Number],YES_Writing_FLA[Student Number]),0),MATCH(VLOOKUP(H$7,'Writing Logic'!$J$7:$K$11,2,FALSE)&amp;" - Per "&amp;VLOOKUP($C$4,'Writing Logic'!$G$8:$H$14,2,FALSE),YES_Writing_ELA[#Headers],0))=0,"",INDEX(_xlfn.VSTACK(YES_Writing_ELA[#Data],YES_Writing_FLA[#Data]),MATCH($A511,_xlfn.VSTACK(YES_Writing_ELA[Student Number],YES_Writing_FLA[Student Number]),0),MATCH(VLOOKUP(H$7,'Writing Logic'!$J$7:$K$11,2,FALSE)&amp;" - Per "&amp;VLOOKUP($C$4,'Writing Logic'!$G$8:$H$14,2,FALSE),YES_Writing_ELA[#Headers],0)))),"")</f>
        <v/>
      </c>
      <c r="I511" s="224" t="str" cm="1">
        <f t="array" aca="1" ref="I511" ca="1">IFERROR(
IF($G$3="ELA",
IF(VLOOKUP($A511, YES_Reading_ELA[], COLUMN(INDIRECT("YES_Reading_ELA[Difference - Per "&amp;VLOOKUP($G$4, 'Reading Report Logic'!$A$2:$B$8, 2, FALSE)&amp;"]")), FALSE)="", "",
VLOOKUP($A511,YES_Reading_ELA[], COLUMN(INDIRECT("YES_Reading_ELA[Difference - Per "&amp;VLOOKUP($G$4,'Reading Report Logic'!$A$2:$B$8,2,FALSE)&amp;"]")), FALSE)),
IF($G$3="FLA",
IF(VLOOKUP($A511, YES_Reading_FLA[], COLUMN(INDIRECT("YES_Reading_FLA[Difference - Per "&amp;VLOOKUP($G$4,'Reading Report Logic'!$A$2:$B$8,2,FALSE)&amp;"]")),FALSE)="","",
VLOOKUP($A511,YES_Reading_FLA[],COLUMN(INDIRECT("YES_Reading_FLA[Difference - Per "&amp;VLOOKUP($G$4,'Reading Report Logic'!$A$2:$B$8,2,FALSE)&amp;"]")),FALSE)),
IF($G$3="Combined",
IFERROR(
IF(VLOOKUP($A511, YES_Reading_ELA[], COLUMN(INDIRECT("YES_Reading_ELA[Difference - Per "&amp;VLOOKUP($G$4, 'Reading Report Logic'!$A$2:$B$8,2,FALSE)&amp;"]")), FALSE)="", "",
VLOOKUP($A511,YES_Reading_ELA[],COLUMN(INDIRECT("YES_Reading_ELA[Difference - Per "&amp;VLOOKUP($G$4,'Reading Report Logic'!$A$2:$B$8,2,FALSE)&amp;"]")),FALSE)),
IF(VLOOKUP($A511, YES_Reading_FLA[], COLUMN(INDIRECT("YES_Reading_FLA[Difference - Per "&amp;VLOOKUP($G$4, 'Reading Report Logic'!$A$2:$B$8, 2, FALSE)&amp;"]")),FALSE)="", "", VLOOKUP($A511,YES_Reading_FLA[],COLUMN(INDIRECT("YES_Reading_FLA[Difference - Per "&amp;VLOOKUP($G$4, 'Reading Report Logic'!$A$2:$B$8, 2, FALSE)&amp;"]")),FALSE))),""))),"")</f>
        <v/>
      </c>
    </row>
    <row r="512" spans="1:9" x14ac:dyDescent="0.25">
      <c r="A512" s="137"/>
      <c r="B512" s="137" t="str">
        <f>IFERROR(INDEX(_xlfn.VSTACK(YES_Writing_ELA[#Data], YES_Writing_FLA[#Data]),MATCH($A512,_xlfn.VSTACK(YES_Writing_ELA[Student Number], YES_Writing_FLA[Student Number]),0),MATCH(B$7,YES_Writing_ELA[#Headers],0)),IFERROR(INDEX(_xlfn.VSTACK(YES_Reading_ELA[#Data], YES_Reading_FLA[#Data]),MATCH($A512,_xlfn.VSTACK(YES_Reading_ELA[Student Number], YES_Reading_FLA[Student Number]),0),MATCH(B$7,YES_Reading_ELA[#Headers],0)),""))</f>
        <v/>
      </c>
      <c r="C512" s="137" t="str">
        <f>IFERROR(INDEX(_xlfn.VSTACK(YES_Writing_ELA[#Data], YES_Writing_FLA[#Data]),MATCH($A512,_xlfn.VSTACK(YES_Writing_ELA[Student Number], YES_Writing_FLA[Student Number]),0),MATCH(C$7,YES_Writing_ELA[#Headers],0)),IFERROR(INDEX(_xlfn.VSTACK(YES_Reading_ELA[#Data], YES_Reading_FLA[#Data]),MATCH($A512,_xlfn.VSTACK(YES_Reading_ELA[Student Number], YES_Reading_FLA[Student Number]),0),MATCH(C$7,YES_Reading_ELA[#Headers],0)),""))</f>
        <v/>
      </c>
      <c r="D512" s="138" t="str">
        <f>IFERROR(IF(IF(INDEX(_xlfn.VSTACK(YES_Writing_ELA[#Data],YES_Writing_FLA[#Data]),MATCH($A512,_xlfn.VSTACK(YES_Writing_ELA[Student Number],YES_Writing_FLA[Student Number]),0),MATCH(VLOOKUP(D$7,'Writing Logic'!$J$7:$K$11,2,FALSE)&amp;" - Per "&amp;VLOOKUP($C$4,'Writing Logic'!$G$8:$H$14,2,FALSE),YES_Writing_ELA[#Headers],0))=0,"",INDEX(_xlfn.VSTACK(YES_Writing_ELA[#Data],YES_Writing_FLA[#Data]),MATCH($A512,_xlfn.VSTACK(YES_Writing_ELA[Student Number],YES_Writing_FLA[Student Number]),0),MATCH(VLOOKUP(D$7,'Writing Logic'!$J$7:$K$11,2,FALSE)&amp;" - Per "&amp;VLOOKUP($C$4,'Writing Logic'!$G$8:$H$14,2,FALSE),YES_Writing_ELA[#Headers],0)))="INS",'Writing Logic'!$B$7,IF(INDEX(_xlfn.VSTACK(YES_Writing_ELA[#Data],YES_Writing_FLA[#Data]),MATCH($A512,_xlfn.VSTACK(YES_Writing_ELA[Student Number],YES_Writing_FLA[Student Number]),0),MATCH(VLOOKUP(D$7,'Writing Logic'!$J$7:$K$11,2,FALSE)&amp;" - Per "&amp;VLOOKUP($C$4,'Writing Logic'!$G$8:$H$14,2,FALSE),YES_Writing_ELA[#Headers],0))=0,"",INDEX(_xlfn.VSTACK(YES_Writing_ELA[#Data],YES_Writing_FLA[#Data]),MATCH($A512,_xlfn.VSTACK(YES_Writing_ELA[Student Number],YES_Writing_FLA[Student Number]),0),MATCH(VLOOKUP(D$7,'Writing Logic'!$J$7:$K$11,2,FALSE)&amp;" - Per "&amp;VLOOKUP($C$4,'Writing Logic'!$G$8:$H$14,2,FALSE),YES_Writing_ELA[#Headers],0)))),"")</f>
        <v/>
      </c>
      <c r="E512" s="138" t="str">
        <f>IFERROR(IF(IF(INDEX(_xlfn.VSTACK(YES_Writing_ELA[#Data],YES_Writing_FLA[#Data]),MATCH($A512,_xlfn.VSTACK(YES_Writing_ELA[Student Number],YES_Writing_FLA[Student Number]),0),MATCH(VLOOKUP(E$7,'Writing Logic'!$J$7:$K$11,2,FALSE)&amp;" - Per "&amp;VLOOKUP($C$4,'Writing Logic'!$G$8:$H$14,2,FALSE),YES_Writing_ELA[#Headers],0))=0,"",INDEX(_xlfn.VSTACK(YES_Writing_ELA[#Data],YES_Writing_FLA[#Data]),MATCH($A512,_xlfn.VSTACK(YES_Writing_ELA[Student Number],YES_Writing_FLA[Student Number]),0),MATCH(VLOOKUP(E$7,'Writing Logic'!$J$7:$K$11,2,FALSE)&amp;" - Per "&amp;VLOOKUP($C$4,'Writing Logic'!$G$8:$H$14,2,FALSE),YES_Writing_ELA[#Headers],0)))="INS",'Writing Logic'!$B$7,IF(INDEX(_xlfn.VSTACK(YES_Writing_ELA[#Data],YES_Writing_FLA[#Data]),MATCH($A512,_xlfn.VSTACK(YES_Writing_ELA[Student Number],YES_Writing_FLA[Student Number]),0),MATCH(VLOOKUP(E$7,'Writing Logic'!$J$7:$K$11,2,FALSE)&amp;" - Per "&amp;VLOOKUP($C$4,'Writing Logic'!$G$8:$H$14,2,FALSE),YES_Writing_ELA[#Headers],0))=0,"",INDEX(_xlfn.VSTACK(YES_Writing_ELA[#Data],YES_Writing_FLA[#Data]),MATCH($A512,_xlfn.VSTACK(YES_Writing_ELA[Student Number],YES_Writing_FLA[Student Number]),0),MATCH(VLOOKUP(E$7,'Writing Logic'!$J$7:$K$11,2,FALSE)&amp;" - Per "&amp;VLOOKUP($C$4,'Writing Logic'!$G$8:$H$14,2,FALSE),YES_Writing_ELA[#Headers],0)))),"")</f>
        <v/>
      </c>
      <c r="F512" s="138" t="str">
        <f>IFERROR(IF(IF(INDEX(_xlfn.VSTACK(YES_Writing_ELA[#Data],YES_Writing_FLA[#Data]),MATCH($A512,_xlfn.VSTACK(YES_Writing_ELA[Student Number],YES_Writing_FLA[Student Number]),0),MATCH(VLOOKUP(F$7,'Writing Logic'!$J$7:$K$11,2,FALSE)&amp;" - Per "&amp;VLOOKUP($C$4,'Writing Logic'!$G$8:$H$14,2,FALSE),YES_Writing_ELA[#Headers],0))=0,"",INDEX(_xlfn.VSTACK(YES_Writing_ELA[#Data],YES_Writing_FLA[#Data]),MATCH($A512,_xlfn.VSTACK(YES_Writing_ELA[Student Number],YES_Writing_FLA[Student Number]),0),MATCH(VLOOKUP(F$7,'Writing Logic'!$J$7:$K$11,2,FALSE)&amp;" - Per "&amp;VLOOKUP($C$4,'Writing Logic'!$G$8:$H$14,2,FALSE),YES_Writing_ELA[#Headers],0)))="INS",'Writing Logic'!$B$7,IF(INDEX(_xlfn.VSTACK(YES_Writing_ELA[#Data],YES_Writing_FLA[#Data]),MATCH($A512,_xlfn.VSTACK(YES_Writing_ELA[Student Number],YES_Writing_FLA[Student Number]),0),MATCH(VLOOKUP(F$7,'Writing Logic'!$J$7:$K$11,2,FALSE)&amp;" - Per "&amp;VLOOKUP($C$4,'Writing Logic'!$G$8:$H$14,2,FALSE),YES_Writing_ELA[#Headers],0))=0,"",INDEX(_xlfn.VSTACK(YES_Writing_ELA[#Data],YES_Writing_FLA[#Data]),MATCH($A512,_xlfn.VSTACK(YES_Writing_ELA[Student Number],YES_Writing_FLA[Student Number]),0),MATCH(VLOOKUP(F$7,'Writing Logic'!$J$7:$K$11,2,FALSE)&amp;" - Per "&amp;VLOOKUP($C$4,'Writing Logic'!$G$8:$H$14,2,FALSE),YES_Writing_ELA[#Headers],0)))),"")</f>
        <v/>
      </c>
      <c r="G512" s="138" t="str">
        <f>IFERROR(IF(IF(INDEX(_xlfn.VSTACK(YES_Writing_ELA[#Data],YES_Writing_FLA[#Data]),MATCH($A512,_xlfn.VSTACK(YES_Writing_ELA[Student Number],YES_Writing_FLA[Student Number]),0),MATCH(VLOOKUP(G$7,'Writing Logic'!$J$7:$K$11,2,FALSE)&amp;" - Per "&amp;VLOOKUP($C$4,'Writing Logic'!$G$8:$H$14,2,FALSE),YES_Writing_ELA[#Headers],0))=0,"",INDEX(_xlfn.VSTACK(YES_Writing_ELA[#Data],YES_Writing_FLA[#Data]),MATCH($A512,_xlfn.VSTACK(YES_Writing_ELA[Student Number],YES_Writing_FLA[Student Number]),0),MATCH(VLOOKUP(G$7,'Writing Logic'!$J$7:$K$11,2,FALSE)&amp;" - Per "&amp;VLOOKUP($C$4,'Writing Logic'!$G$8:$H$14,2,FALSE),YES_Writing_ELA[#Headers],0)))="INS",'Writing Logic'!$B$7,IF(INDEX(_xlfn.VSTACK(YES_Writing_ELA[#Data],YES_Writing_FLA[#Data]),MATCH($A512,_xlfn.VSTACK(YES_Writing_ELA[Student Number],YES_Writing_FLA[Student Number]),0),MATCH(VLOOKUP(G$7,'Writing Logic'!$J$7:$K$11,2,FALSE)&amp;" - Per "&amp;VLOOKUP($C$4,'Writing Logic'!$G$8:$H$14,2,FALSE),YES_Writing_ELA[#Headers],0))=0,"",INDEX(_xlfn.VSTACK(YES_Writing_ELA[#Data],YES_Writing_FLA[#Data]),MATCH($A512,_xlfn.VSTACK(YES_Writing_ELA[Student Number],YES_Writing_FLA[Student Number]),0),MATCH(VLOOKUP(G$7,'Writing Logic'!$J$7:$K$11,2,FALSE)&amp;" - Per "&amp;VLOOKUP($C$4,'Writing Logic'!$G$8:$H$14,2,FALSE),YES_Writing_ELA[#Headers],0)))),"")</f>
        <v/>
      </c>
      <c r="H512" s="223" t="str">
        <f>IFERROR(IF(IF(INDEX(_xlfn.VSTACK(YES_Writing_ELA[#Data],YES_Writing_FLA[#Data]),MATCH($A512,_xlfn.VSTACK(YES_Writing_ELA[Student Number],YES_Writing_FLA[Student Number]),0),MATCH(VLOOKUP(H$7,'Writing Logic'!$J$7:$K$11,2,FALSE)&amp;" - Per "&amp;VLOOKUP($C$4,'Writing Logic'!$G$8:$H$14,2,FALSE),YES_Writing_ELA[#Headers],0))=0,"",INDEX(_xlfn.VSTACK(YES_Writing_ELA[#Data],YES_Writing_FLA[#Data]),MATCH($A512,_xlfn.VSTACK(YES_Writing_ELA[Student Number],YES_Writing_FLA[Student Number]),0),MATCH(VLOOKUP(H$7,'Writing Logic'!$J$7:$K$11,2,FALSE)&amp;" - Per "&amp;VLOOKUP($C$4,'Writing Logic'!$G$8:$H$14,2,FALSE),YES_Writing_ELA[#Headers],0)))="INS",'Writing Logic'!$B$7,IF(INDEX(_xlfn.VSTACK(YES_Writing_ELA[#Data],YES_Writing_FLA[#Data]),MATCH($A512,_xlfn.VSTACK(YES_Writing_ELA[Student Number],YES_Writing_FLA[Student Number]),0),MATCH(VLOOKUP(H$7,'Writing Logic'!$J$7:$K$11,2,FALSE)&amp;" - Per "&amp;VLOOKUP($C$4,'Writing Logic'!$G$8:$H$14,2,FALSE),YES_Writing_ELA[#Headers],0))=0,"",INDEX(_xlfn.VSTACK(YES_Writing_ELA[#Data],YES_Writing_FLA[#Data]),MATCH($A512,_xlfn.VSTACK(YES_Writing_ELA[Student Number],YES_Writing_FLA[Student Number]),0),MATCH(VLOOKUP(H$7,'Writing Logic'!$J$7:$K$11,2,FALSE)&amp;" - Per "&amp;VLOOKUP($C$4,'Writing Logic'!$G$8:$H$14,2,FALSE),YES_Writing_ELA[#Headers],0)))),"")</f>
        <v/>
      </c>
      <c r="I512" s="224" t="str" cm="1">
        <f t="array" aca="1" ref="I512" ca="1">IFERROR(
IF($G$3="ELA",
IF(VLOOKUP($A512, YES_Reading_ELA[], COLUMN(INDIRECT("YES_Reading_ELA[Difference - Per "&amp;VLOOKUP($G$4, 'Reading Report Logic'!$A$2:$B$8, 2, FALSE)&amp;"]")), FALSE)="", "",
VLOOKUP($A512,YES_Reading_ELA[], COLUMN(INDIRECT("YES_Reading_ELA[Difference - Per "&amp;VLOOKUP($G$4,'Reading Report Logic'!$A$2:$B$8,2,FALSE)&amp;"]")), FALSE)),
IF($G$3="FLA",
IF(VLOOKUP($A512, YES_Reading_FLA[], COLUMN(INDIRECT("YES_Reading_FLA[Difference - Per "&amp;VLOOKUP($G$4,'Reading Report Logic'!$A$2:$B$8,2,FALSE)&amp;"]")),FALSE)="","",
VLOOKUP($A512,YES_Reading_FLA[],COLUMN(INDIRECT("YES_Reading_FLA[Difference - Per "&amp;VLOOKUP($G$4,'Reading Report Logic'!$A$2:$B$8,2,FALSE)&amp;"]")),FALSE)),
IF($G$3="Combined",
IFERROR(
IF(VLOOKUP($A512, YES_Reading_ELA[], COLUMN(INDIRECT("YES_Reading_ELA[Difference - Per "&amp;VLOOKUP($G$4, 'Reading Report Logic'!$A$2:$B$8,2,FALSE)&amp;"]")), FALSE)="", "",
VLOOKUP($A512,YES_Reading_ELA[],COLUMN(INDIRECT("YES_Reading_ELA[Difference - Per "&amp;VLOOKUP($G$4,'Reading Report Logic'!$A$2:$B$8,2,FALSE)&amp;"]")),FALSE)),
IF(VLOOKUP($A512, YES_Reading_FLA[], COLUMN(INDIRECT("YES_Reading_FLA[Difference - Per "&amp;VLOOKUP($G$4, 'Reading Report Logic'!$A$2:$B$8, 2, FALSE)&amp;"]")),FALSE)="", "", VLOOKUP($A512,YES_Reading_FLA[],COLUMN(INDIRECT("YES_Reading_FLA[Difference - Per "&amp;VLOOKUP($G$4, 'Reading Report Logic'!$A$2:$B$8, 2, FALSE)&amp;"]")),FALSE))),""))),"")</f>
        <v/>
      </c>
    </row>
    <row r="513" spans="1:9" x14ac:dyDescent="0.25">
      <c r="A513" s="137"/>
      <c r="B513" s="137" t="str">
        <f>IFERROR(INDEX(_xlfn.VSTACK(YES_Writing_ELA[#Data], YES_Writing_FLA[#Data]),MATCH($A513,_xlfn.VSTACK(YES_Writing_ELA[Student Number], YES_Writing_FLA[Student Number]),0),MATCH(B$7,YES_Writing_ELA[#Headers],0)),IFERROR(INDEX(_xlfn.VSTACK(YES_Reading_ELA[#Data], YES_Reading_FLA[#Data]),MATCH($A513,_xlfn.VSTACK(YES_Reading_ELA[Student Number], YES_Reading_FLA[Student Number]),0),MATCH(B$7,YES_Reading_ELA[#Headers],0)),""))</f>
        <v/>
      </c>
      <c r="C513" s="137" t="str">
        <f>IFERROR(INDEX(_xlfn.VSTACK(YES_Writing_ELA[#Data], YES_Writing_FLA[#Data]),MATCH($A513,_xlfn.VSTACK(YES_Writing_ELA[Student Number], YES_Writing_FLA[Student Number]),0),MATCH(C$7,YES_Writing_ELA[#Headers],0)),IFERROR(INDEX(_xlfn.VSTACK(YES_Reading_ELA[#Data], YES_Reading_FLA[#Data]),MATCH($A513,_xlfn.VSTACK(YES_Reading_ELA[Student Number], YES_Reading_FLA[Student Number]),0),MATCH(C$7,YES_Reading_ELA[#Headers],0)),""))</f>
        <v/>
      </c>
      <c r="D513" s="138" t="str">
        <f>IFERROR(IF(IF(INDEX(_xlfn.VSTACK(YES_Writing_ELA[#Data],YES_Writing_FLA[#Data]),MATCH($A513,_xlfn.VSTACK(YES_Writing_ELA[Student Number],YES_Writing_FLA[Student Number]),0),MATCH(VLOOKUP(D$7,'Writing Logic'!$J$7:$K$11,2,FALSE)&amp;" - Per "&amp;VLOOKUP($C$4,'Writing Logic'!$G$8:$H$14,2,FALSE),YES_Writing_ELA[#Headers],0))=0,"",INDEX(_xlfn.VSTACK(YES_Writing_ELA[#Data],YES_Writing_FLA[#Data]),MATCH($A513,_xlfn.VSTACK(YES_Writing_ELA[Student Number],YES_Writing_FLA[Student Number]),0),MATCH(VLOOKUP(D$7,'Writing Logic'!$J$7:$K$11,2,FALSE)&amp;" - Per "&amp;VLOOKUP($C$4,'Writing Logic'!$G$8:$H$14,2,FALSE),YES_Writing_ELA[#Headers],0)))="INS",'Writing Logic'!$B$7,IF(INDEX(_xlfn.VSTACK(YES_Writing_ELA[#Data],YES_Writing_FLA[#Data]),MATCH($A513,_xlfn.VSTACK(YES_Writing_ELA[Student Number],YES_Writing_FLA[Student Number]),0),MATCH(VLOOKUP(D$7,'Writing Logic'!$J$7:$K$11,2,FALSE)&amp;" - Per "&amp;VLOOKUP($C$4,'Writing Logic'!$G$8:$H$14,2,FALSE),YES_Writing_ELA[#Headers],0))=0,"",INDEX(_xlfn.VSTACK(YES_Writing_ELA[#Data],YES_Writing_FLA[#Data]),MATCH($A513,_xlfn.VSTACK(YES_Writing_ELA[Student Number],YES_Writing_FLA[Student Number]),0),MATCH(VLOOKUP(D$7,'Writing Logic'!$J$7:$K$11,2,FALSE)&amp;" - Per "&amp;VLOOKUP($C$4,'Writing Logic'!$G$8:$H$14,2,FALSE),YES_Writing_ELA[#Headers],0)))),"")</f>
        <v/>
      </c>
      <c r="E513" s="138" t="str">
        <f>IFERROR(IF(IF(INDEX(_xlfn.VSTACK(YES_Writing_ELA[#Data],YES_Writing_FLA[#Data]),MATCH($A513,_xlfn.VSTACK(YES_Writing_ELA[Student Number],YES_Writing_FLA[Student Number]),0),MATCH(VLOOKUP(E$7,'Writing Logic'!$J$7:$K$11,2,FALSE)&amp;" - Per "&amp;VLOOKUP($C$4,'Writing Logic'!$G$8:$H$14,2,FALSE),YES_Writing_ELA[#Headers],0))=0,"",INDEX(_xlfn.VSTACK(YES_Writing_ELA[#Data],YES_Writing_FLA[#Data]),MATCH($A513,_xlfn.VSTACK(YES_Writing_ELA[Student Number],YES_Writing_FLA[Student Number]),0),MATCH(VLOOKUP(E$7,'Writing Logic'!$J$7:$K$11,2,FALSE)&amp;" - Per "&amp;VLOOKUP($C$4,'Writing Logic'!$G$8:$H$14,2,FALSE),YES_Writing_ELA[#Headers],0)))="INS",'Writing Logic'!$B$7,IF(INDEX(_xlfn.VSTACK(YES_Writing_ELA[#Data],YES_Writing_FLA[#Data]),MATCH($A513,_xlfn.VSTACK(YES_Writing_ELA[Student Number],YES_Writing_FLA[Student Number]),0),MATCH(VLOOKUP(E$7,'Writing Logic'!$J$7:$K$11,2,FALSE)&amp;" - Per "&amp;VLOOKUP($C$4,'Writing Logic'!$G$8:$H$14,2,FALSE),YES_Writing_ELA[#Headers],0))=0,"",INDEX(_xlfn.VSTACK(YES_Writing_ELA[#Data],YES_Writing_FLA[#Data]),MATCH($A513,_xlfn.VSTACK(YES_Writing_ELA[Student Number],YES_Writing_FLA[Student Number]),0),MATCH(VLOOKUP(E$7,'Writing Logic'!$J$7:$K$11,2,FALSE)&amp;" - Per "&amp;VLOOKUP($C$4,'Writing Logic'!$G$8:$H$14,2,FALSE),YES_Writing_ELA[#Headers],0)))),"")</f>
        <v/>
      </c>
      <c r="F513" s="138" t="str">
        <f>IFERROR(IF(IF(INDEX(_xlfn.VSTACK(YES_Writing_ELA[#Data],YES_Writing_FLA[#Data]),MATCH($A513,_xlfn.VSTACK(YES_Writing_ELA[Student Number],YES_Writing_FLA[Student Number]),0),MATCH(VLOOKUP(F$7,'Writing Logic'!$J$7:$K$11,2,FALSE)&amp;" - Per "&amp;VLOOKUP($C$4,'Writing Logic'!$G$8:$H$14,2,FALSE),YES_Writing_ELA[#Headers],0))=0,"",INDEX(_xlfn.VSTACK(YES_Writing_ELA[#Data],YES_Writing_FLA[#Data]),MATCH($A513,_xlfn.VSTACK(YES_Writing_ELA[Student Number],YES_Writing_FLA[Student Number]),0),MATCH(VLOOKUP(F$7,'Writing Logic'!$J$7:$K$11,2,FALSE)&amp;" - Per "&amp;VLOOKUP($C$4,'Writing Logic'!$G$8:$H$14,2,FALSE),YES_Writing_ELA[#Headers],0)))="INS",'Writing Logic'!$B$7,IF(INDEX(_xlfn.VSTACK(YES_Writing_ELA[#Data],YES_Writing_FLA[#Data]),MATCH($A513,_xlfn.VSTACK(YES_Writing_ELA[Student Number],YES_Writing_FLA[Student Number]),0),MATCH(VLOOKUP(F$7,'Writing Logic'!$J$7:$K$11,2,FALSE)&amp;" - Per "&amp;VLOOKUP($C$4,'Writing Logic'!$G$8:$H$14,2,FALSE),YES_Writing_ELA[#Headers],0))=0,"",INDEX(_xlfn.VSTACK(YES_Writing_ELA[#Data],YES_Writing_FLA[#Data]),MATCH($A513,_xlfn.VSTACK(YES_Writing_ELA[Student Number],YES_Writing_FLA[Student Number]),0),MATCH(VLOOKUP(F$7,'Writing Logic'!$J$7:$K$11,2,FALSE)&amp;" - Per "&amp;VLOOKUP($C$4,'Writing Logic'!$G$8:$H$14,2,FALSE),YES_Writing_ELA[#Headers],0)))),"")</f>
        <v/>
      </c>
      <c r="G513" s="138" t="str">
        <f>IFERROR(IF(IF(INDEX(_xlfn.VSTACK(YES_Writing_ELA[#Data],YES_Writing_FLA[#Data]),MATCH($A513,_xlfn.VSTACK(YES_Writing_ELA[Student Number],YES_Writing_FLA[Student Number]),0),MATCH(VLOOKUP(G$7,'Writing Logic'!$J$7:$K$11,2,FALSE)&amp;" - Per "&amp;VLOOKUP($C$4,'Writing Logic'!$G$8:$H$14,2,FALSE),YES_Writing_ELA[#Headers],0))=0,"",INDEX(_xlfn.VSTACK(YES_Writing_ELA[#Data],YES_Writing_FLA[#Data]),MATCH($A513,_xlfn.VSTACK(YES_Writing_ELA[Student Number],YES_Writing_FLA[Student Number]),0),MATCH(VLOOKUP(G$7,'Writing Logic'!$J$7:$K$11,2,FALSE)&amp;" - Per "&amp;VLOOKUP($C$4,'Writing Logic'!$G$8:$H$14,2,FALSE),YES_Writing_ELA[#Headers],0)))="INS",'Writing Logic'!$B$7,IF(INDEX(_xlfn.VSTACK(YES_Writing_ELA[#Data],YES_Writing_FLA[#Data]),MATCH($A513,_xlfn.VSTACK(YES_Writing_ELA[Student Number],YES_Writing_FLA[Student Number]),0),MATCH(VLOOKUP(G$7,'Writing Logic'!$J$7:$K$11,2,FALSE)&amp;" - Per "&amp;VLOOKUP($C$4,'Writing Logic'!$G$8:$H$14,2,FALSE),YES_Writing_ELA[#Headers],0))=0,"",INDEX(_xlfn.VSTACK(YES_Writing_ELA[#Data],YES_Writing_FLA[#Data]),MATCH($A513,_xlfn.VSTACK(YES_Writing_ELA[Student Number],YES_Writing_FLA[Student Number]),0),MATCH(VLOOKUP(G$7,'Writing Logic'!$J$7:$K$11,2,FALSE)&amp;" - Per "&amp;VLOOKUP($C$4,'Writing Logic'!$G$8:$H$14,2,FALSE),YES_Writing_ELA[#Headers],0)))),"")</f>
        <v/>
      </c>
      <c r="H513" s="223" t="str">
        <f>IFERROR(IF(IF(INDEX(_xlfn.VSTACK(YES_Writing_ELA[#Data],YES_Writing_FLA[#Data]),MATCH($A513,_xlfn.VSTACK(YES_Writing_ELA[Student Number],YES_Writing_FLA[Student Number]),0),MATCH(VLOOKUP(H$7,'Writing Logic'!$J$7:$K$11,2,FALSE)&amp;" - Per "&amp;VLOOKUP($C$4,'Writing Logic'!$G$8:$H$14,2,FALSE),YES_Writing_ELA[#Headers],0))=0,"",INDEX(_xlfn.VSTACK(YES_Writing_ELA[#Data],YES_Writing_FLA[#Data]),MATCH($A513,_xlfn.VSTACK(YES_Writing_ELA[Student Number],YES_Writing_FLA[Student Number]),0),MATCH(VLOOKUP(H$7,'Writing Logic'!$J$7:$K$11,2,FALSE)&amp;" - Per "&amp;VLOOKUP($C$4,'Writing Logic'!$G$8:$H$14,2,FALSE),YES_Writing_ELA[#Headers],0)))="INS",'Writing Logic'!$B$7,IF(INDEX(_xlfn.VSTACK(YES_Writing_ELA[#Data],YES_Writing_FLA[#Data]),MATCH($A513,_xlfn.VSTACK(YES_Writing_ELA[Student Number],YES_Writing_FLA[Student Number]),0),MATCH(VLOOKUP(H$7,'Writing Logic'!$J$7:$K$11,2,FALSE)&amp;" - Per "&amp;VLOOKUP($C$4,'Writing Logic'!$G$8:$H$14,2,FALSE),YES_Writing_ELA[#Headers],0))=0,"",INDEX(_xlfn.VSTACK(YES_Writing_ELA[#Data],YES_Writing_FLA[#Data]),MATCH($A513,_xlfn.VSTACK(YES_Writing_ELA[Student Number],YES_Writing_FLA[Student Number]),0),MATCH(VLOOKUP(H$7,'Writing Logic'!$J$7:$K$11,2,FALSE)&amp;" - Per "&amp;VLOOKUP($C$4,'Writing Logic'!$G$8:$H$14,2,FALSE),YES_Writing_ELA[#Headers],0)))),"")</f>
        <v/>
      </c>
      <c r="I513" s="224" t="str" cm="1">
        <f t="array" aca="1" ref="I513" ca="1">IFERROR(
IF($G$3="ELA",
IF(VLOOKUP($A513, YES_Reading_ELA[], COLUMN(INDIRECT("YES_Reading_ELA[Difference - Per "&amp;VLOOKUP($G$4, 'Reading Report Logic'!$A$2:$B$8, 2, FALSE)&amp;"]")), FALSE)="", "",
VLOOKUP($A513,YES_Reading_ELA[], COLUMN(INDIRECT("YES_Reading_ELA[Difference - Per "&amp;VLOOKUP($G$4,'Reading Report Logic'!$A$2:$B$8,2,FALSE)&amp;"]")), FALSE)),
IF($G$3="FLA",
IF(VLOOKUP($A513, YES_Reading_FLA[], COLUMN(INDIRECT("YES_Reading_FLA[Difference - Per "&amp;VLOOKUP($G$4,'Reading Report Logic'!$A$2:$B$8,2,FALSE)&amp;"]")),FALSE)="","",
VLOOKUP($A513,YES_Reading_FLA[],COLUMN(INDIRECT("YES_Reading_FLA[Difference - Per "&amp;VLOOKUP($G$4,'Reading Report Logic'!$A$2:$B$8,2,FALSE)&amp;"]")),FALSE)),
IF($G$3="Combined",
IFERROR(
IF(VLOOKUP($A513, YES_Reading_ELA[], COLUMN(INDIRECT("YES_Reading_ELA[Difference - Per "&amp;VLOOKUP($G$4, 'Reading Report Logic'!$A$2:$B$8,2,FALSE)&amp;"]")), FALSE)="", "",
VLOOKUP($A513,YES_Reading_ELA[],COLUMN(INDIRECT("YES_Reading_ELA[Difference - Per "&amp;VLOOKUP($G$4,'Reading Report Logic'!$A$2:$B$8,2,FALSE)&amp;"]")),FALSE)),
IF(VLOOKUP($A513, YES_Reading_FLA[], COLUMN(INDIRECT("YES_Reading_FLA[Difference - Per "&amp;VLOOKUP($G$4, 'Reading Report Logic'!$A$2:$B$8, 2, FALSE)&amp;"]")),FALSE)="", "", VLOOKUP($A513,YES_Reading_FLA[],COLUMN(INDIRECT("YES_Reading_FLA[Difference - Per "&amp;VLOOKUP($G$4, 'Reading Report Logic'!$A$2:$B$8, 2, FALSE)&amp;"]")),FALSE))),""))),"")</f>
        <v/>
      </c>
    </row>
    <row r="514" spans="1:9" x14ac:dyDescent="0.25">
      <c r="A514" s="137"/>
      <c r="B514" s="137" t="str">
        <f>IFERROR(INDEX(_xlfn.VSTACK(YES_Writing_ELA[#Data], YES_Writing_FLA[#Data]),MATCH($A514,_xlfn.VSTACK(YES_Writing_ELA[Student Number], YES_Writing_FLA[Student Number]),0),MATCH(B$7,YES_Writing_ELA[#Headers],0)),IFERROR(INDEX(_xlfn.VSTACK(YES_Reading_ELA[#Data], YES_Reading_FLA[#Data]),MATCH($A514,_xlfn.VSTACK(YES_Reading_ELA[Student Number], YES_Reading_FLA[Student Number]),0),MATCH(B$7,YES_Reading_ELA[#Headers],0)),""))</f>
        <v/>
      </c>
      <c r="C514" s="137" t="str">
        <f>IFERROR(INDEX(_xlfn.VSTACK(YES_Writing_ELA[#Data], YES_Writing_FLA[#Data]),MATCH($A514,_xlfn.VSTACK(YES_Writing_ELA[Student Number], YES_Writing_FLA[Student Number]),0),MATCH(C$7,YES_Writing_ELA[#Headers],0)),IFERROR(INDEX(_xlfn.VSTACK(YES_Reading_ELA[#Data], YES_Reading_FLA[#Data]),MATCH($A514,_xlfn.VSTACK(YES_Reading_ELA[Student Number], YES_Reading_FLA[Student Number]),0),MATCH(C$7,YES_Reading_ELA[#Headers],0)),""))</f>
        <v/>
      </c>
      <c r="D514" s="138" t="str">
        <f>IFERROR(IF(IF(INDEX(_xlfn.VSTACK(YES_Writing_ELA[#Data],YES_Writing_FLA[#Data]),MATCH($A514,_xlfn.VSTACK(YES_Writing_ELA[Student Number],YES_Writing_FLA[Student Number]),0),MATCH(VLOOKUP(D$7,'Writing Logic'!$J$7:$K$11,2,FALSE)&amp;" - Per "&amp;VLOOKUP($C$4,'Writing Logic'!$G$8:$H$14,2,FALSE),YES_Writing_ELA[#Headers],0))=0,"",INDEX(_xlfn.VSTACK(YES_Writing_ELA[#Data],YES_Writing_FLA[#Data]),MATCH($A514,_xlfn.VSTACK(YES_Writing_ELA[Student Number],YES_Writing_FLA[Student Number]),0),MATCH(VLOOKUP(D$7,'Writing Logic'!$J$7:$K$11,2,FALSE)&amp;" - Per "&amp;VLOOKUP($C$4,'Writing Logic'!$G$8:$H$14,2,FALSE),YES_Writing_ELA[#Headers],0)))="INS",'Writing Logic'!$B$7,IF(INDEX(_xlfn.VSTACK(YES_Writing_ELA[#Data],YES_Writing_FLA[#Data]),MATCH($A514,_xlfn.VSTACK(YES_Writing_ELA[Student Number],YES_Writing_FLA[Student Number]),0),MATCH(VLOOKUP(D$7,'Writing Logic'!$J$7:$K$11,2,FALSE)&amp;" - Per "&amp;VLOOKUP($C$4,'Writing Logic'!$G$8:$H$14,2,FALSE),YES_Writing_ELA[#Headers],0))=0,"",INDEX(_xlfn.VSTACK(YES_Writing_ELA[#Data],YES_Writing_FLA[#Data]),MATCH($A514,_xlfn.VSTACK(YES_Writing_ELA[Student Number],YES_Writing_FLA[Student Number]),0),MATCH(VLOOKUP(D$7,'Writing Logic'!$J$7:$K$11,2,FALSE)&amp;" - Per "&amp;VLOOKUP($C$4,'Writing Logic'!$G$8:$H$14,2,FALSE),YES_Writing_ELA[#Headers],0)))),"")</f>
        <v/>
      </c>
      <c r="E514" s="138" t="str">
        <f>IFERROR(IF(IF(INDEX(_xlfn.VSTACK(YES_Writing_ELA[#Data],YES_Writing_FLA[#Data]),MATCH($A514,_xlfn.VSTACK(YES_Writing_ELA[Student Number],YES_Writing_FLA[Student Number]),0),MATCH(VLOOKUP(E$7,'Writing Logic'!$J$7:$K$11,2,FALSE)&amp;" - Per "&amp;VLOOKUP($C$4,'Writing Logic'!$G$8:$H$14,2,FALSE),YES_Writing_ELA[#Headers],0))=0,"",INDEX(_xlfn.VSTACK(YES_Writing_ELA[#Data],YES_Writing_FLA[#Data]),MATCH($A514,_xlfn.VSTACK(YES_Writing_ELA[Student Number],YES_Writing_FLA[Student Number]),0),MATCH(VLOOKUP(E$7,'Writing Logic'!$J$7:$K$11,2,FALSE)&amp;" - Per "&amp;VLOOKUP($C$4,'Writing Logic'!$G$8:$H$14,2,FALSE),YES_Writing_ELA[#Headers],0)))="INS",'Writing Logic'!$B$7,IF(INDEX(_xlfn.VSTACK(YES_Writing_ELA[#Data],YES_Writing_FLA[#Data]),MATCH($A514,_xlfn.VSTACK(YES_Writing_ELA[Student Number],YES_Writing_FLA[Student Number]),0),MATCH(VLOOKUP(E$7,'Writing Logic'!$J$7:$K$11,2,FALSE)&amp;" - Per "&amp;VLOOKUP($C$4,'Writing Logic'!$G$8:$H$14,2,FALSE),YES_Writing_ELA[#Headers],0))=0,"",INDEX(_xlfn.VSTACK(YES_Writing_ELA[#Data],YES_Writing_FLA[#Data]),MATCH($A514,_xlfn.VSTACK(YES_Writing_ELA[Student Number],YES_Writing_FLA[Student Number]),0),MATCH(VLOOKUP(E$7,'Writing Logic'!$J$7:$K$11,2,FALSE)&amp;" - Per "&amp;VLOOKUP($C$4,'Writing Logic'!$G$8:$H$14,2,FALSE),YES_Writing_ELA[#Headers],0)))),"")</f>
        <v/>
      </c>
      <c r="F514" s="138" t="str">
        <f>IFERROR(IF(IF(INDEX(_xlfn.VSTACK(YES_Writing_ELA[#Data],YES_Writing_FLA[#Data]),MATCH($A514,_xlfn.VSTACK(YES_Writing_ELA[Student Number],YES_Writing_FLA[Student Number]),0),MATCH(VLOOKUP(F$7,'Writing Logic'!$J$7:$K$11,2,FALSE)&amp;" - Per "&amp;VLOOKUP($C$4,'Writing Logic'!$G$8:$H$14,2,FALSE),YES_Writing_ELA[#Headers],0))=0,"",INDEX(_xlfn.VSTACK(YES_Writing_ELA[#Data],YES_Writing_FLA[#Data]),MATCH($A514,_xlfn.VSTACK(YES_Writing_ELA[Student Number],YES_Writing_FLA[Student Number]),0),MATCH(VLOOKUP(F$7,'Writing Logic'!$J$7:$K$11,2,FALSE)&amp;" - Per "&amp;VLOOKUP($C$4,'Writing Logic'!$G$8:$H$14,2,FALSE),YES_Writing_ELA[#Headers],0)))="INS",'Writing Logic'!$B$7,IF(INDEX(_xlfn.VSTACK(YES_Writing_ELA[#Data],YES_Writing_FLA[#Data]),MATCH($A514,_xlfn.VSTACK(YES_Writing_ELA[Student Number],YES_Writing_FLA[Student Number]),0),MATCH(VLOOKUP(F$7,'Writing Logic'!$J$7:$K$11,2,FALSE)&amp;" - Per "&amp;VLOOKUP($C$4,'Writing Logic'!$G$8:$H$14,2,FALSE),YES_Writing_ELA[#Headers],0))=0,"",INDEX(_xlfn.VSTACK(YES_Writing_ELA[#Data],YES_Writing_FLA[#Data]),MATCH($A514,_xlfn.VSTACK(YES_Writing_ELA[Student Number],YES_Writing_FLA[Student Number]),0),MATCH(VLOOKUP(F$7,'Writing Logic'!$J$7:$K$11,2,FALSE)&amp;" - Per "&amp;VLOOKUP($C$4,'Writing Logic'!$G$8:$H$14,2,FALSE),YES_Writing_ELA[#Headers],0)))),"")</f>
        <v/>
      </c>
      <c r="G514" s="138" t="str">
        <f>IFERROR(IF(IF(INDEX(_xlfn.VSTACK(YES_Writing_ELA[#Data],YES_Writing_FLA[#Data]),MATCH($A514,_xlfn.VSTACK(YES_Writing_ELA[Student Number],YES_Writing_FLA[Student Number]),0),MATCH(VLOOKUP(G$7,'Writing Logic'!$J$7:$K$11,2,FALSE)&amp;" - Per "&amp;VLOOKUP($C$4,'Writing Logic'!$G$8:$H$14,2,FALSE),YES_Writing_ELA[#Headers],0))=0,"",INDEX(_xlfn.VSTACK(YES_Writing_ELA[#Data],YES_Writing_FLA[#Data]),MATCH($A514,_xlfn.VSTACK(YES_Writing_ELA[Student Number],YES_Writing_FLA[Student Number]),0),MATCH(VLOOKUP(G$7,'Writing Logic'!$J$7:$K$11,2,FALSE)&amp;" - Per "&amp;VLOOKUP($C$4,'Writing Logic'!$G$8:$H$14,2,FALSE),YES_Writing_ELA[#Headers],0)))="INS",'Writing Logic'!$B$7,IF(INDEX(_xlfn.VSTACK(YES_Writing_ELA[#Data],YES_Writing_FLA[#Data]),MATCH($A514,_xlfn.VSTACK(YES_Writing_ELA[Student Number],YES_Writing_FLA[Student Number]),0),MATCH(VLOOKUP(G$7,'Writing Logic'!$J$7:$K$11,2,FALSE)&amp;" - Per "&amp;VLOOKUP($C$4,'Writing Logic'!$G$8:$H$14,2,FALSE),YES_Writing_ELA[#Headers],0))=0,"",INDEX(_xlfn.VSTACK(YES_Writing_ELA[#Data],YES_Writing_FLA[#Data]),MATCH($A514,_xlfn.VSTACK(YES_Writing_ELA[Student Number],YES_Writing_FLA[Student Number]),0),MATCH(VLOOKUP(G$7,'Writing Logic'!$J$7:$K$11,2,FALSE)&amp;" - Per "&amp;VLOOKUP($C$4,'Writing Logic'!$G$8:$H$14,2,FALSE),YES_Writing_ELA[#Headers],0)))),"")</f>
        <v/>
      </c>
      <c r="H514" s="223" t="str">
        <f>IFERROR(IF(IF(INDEX(_xlfn.VSTACK(YES_Writing_ELA[#Data],YES_Writing_FLA[#Data]),MATCH($A514,_xlfn.VSTACK(YES_Writing_ELA[Student Number],YES_Writing_FLA[Student Number]),0),MATCH(VLOOKUP(H$7,'Writing Logic'!$J$7:$K$11,2,FALSE)&amp;" - Per "&amp;VLOOKUP($C$4,'Writing Logic'!$G$8:$H$14,2,FALSE),YES_Writing_ELA[#Headers],0))=0,"",INDEX(_xlfn.VSTACK(YES_Writing_ELA[#Data],YES_Writing_FLA[#Data]),MATCH($A514,_xlfn.VSTACK(YES_Writing_ELA[Student Number],YES_Writing_FLA[Student Number]),0),MATCH(VLOOKUP(H$7,'Writing Logic'!$J$7:$K$11,2,FALSE)&amp;" - Per "&amp;VLOOKUP($C$4,'Writing Logic'!$G$8:$H$14,2,FALSE),YES_Writing_ELA[#Headers],0)))="INS",'Writing Logic'!$B$7,IF(INDEX(_xlfn.VSTACK(YES_Writing_ELA[#Data],YES_Writing_FLA[#Data]),MATCH($A514,_xlfn.VSTACK(YES_Writing_ELA[Student Number],YES_Writing_FLA[Student Number]),0),MATCH(VLOOKUP(H$7,'Writing Logic'!$J$7:$K$11,2,FALSE)&amp;" - Per "&amp;VLOOKUP($C$4,'Writing Logic'!$G$8:$H$14,2,FALSE),YES_Writing_ELA[#Headers],0))=0,"",INDEX(_xlfn.VSTACK(YES_Writing_ELA[#Data],YES_Writing_FLA[#Data]),MATCH($A514,_xlfn.VSTACK(YES_Writing_ELA[Student Number],YES_Writing_FLA[Student Number]),0),MATCH(VLOOKUP(H$7,'Writing Logic'!$J$7:$K$11,2,FALSE)&amp;" - Per "&amp;VLOOKUP($C$4,'Writing Logic'!$G$8:$H$14,2,FALSE),YES_Writing_ELA[#Headers],0)))),"")</f>
        <v/>
      </c>
      <c r="I514" s="224" t="str" cm="1">
        <f t="array" aca="1" ref="I514" ca="1">IFERROR(
IF($G$3="ELA",
IF(VLOOKUP($A514, YES_Reading_ELA[], COLUMN(INDIRECT("YES_Reading_ELA[Difference - Per "&amp;VLOOKUP($G$4, 'Reading Report Logic'!$A$2:$B$8, 2, FALSE)&amp;"]")), FALSE)="", "",
VLOOKUP($A514,YES_Reading_ELA[], COLUMN(INDIRECT("YES_Reading_ELA[Difference - Per "&amp;VLOOKUP($G$4,'Reading Report Logic'!$A$2:$B$8,2,FALSE)&amp;"]")), FALSE)),
IF($G$3="FLA",
IF(VLOOKUP($A514, YES_Reading_FLA[], COLUMN(INDIRECT("YES_Reading_FLA[Difference - Per "&amp;VLOOKUP($G$4,'Reading Report Logic'!$A$2:$B$8,2,FALSE)&amp;"]")),FALSE)="","",
VLOOKUP($A514,YES_Reading_FLA[],COLUMN(INDIRECT("YES_Reading_FLA[Difference - Per "&amp;VLOOKUP($G$4,'Reading Report Logic'!$A$2:$B$8,2,FALSE)&amp;"]")),FALSE)),
IF($G$3="Combined",
IFERROR(
IF(VLOOKUP($A514, YES_Reading_ELA[], COLUMN(INDIRECT("YES_Reading_ELA[Difference - Per "&amp;VLOOKUP($G$4, 'Reading Report Logic'!$A$2:$B$8,2,FALSE)&amp;"]")), FALSE)="", "",
VLOOKUP($A514,YES_Reading_ELA[],COLUMN(INDIRECT("YES_Reading_ELA[Difference - Per "&amp;VLOOKUP($G$4,'Reading Report Logic'!$A$2:$B$8,2,FALSE)&amp;"]")),FALSE)),
IF(VLOOKUP($A514, YES_Reading_FLA[], COLUMN(INDIRECT("YES_Reading_FLA[Difference - Per "&amp;VLOOKUP($G$4, 'Reading Report Logic'!$A$2:$B$8, 2, FALSE)&amp;"]")),FALSE)="", "", VLOOKUP($A514,YES_Reading_FLA[],COLUMN(INDIRECT("YES_Reading_FLA[Difference - Per "&amp;VLOOKUP($G$4, 'Reading Report Logic'!$A$2:$B$8, 2, FALSE)&amp;"]")),FALSE))),""))),"")</f>
        <v/>
      </c>
    </row>
    <row r="515" spans="1:9" x14ac:dyDescent="0.25">
      <c r="A515" s="137"/>
      <c r="B515" s="137" t="str">
        <f>IFERROR(INDEX(_xlfn.VSTACK(YES_Writing_ELA[#Data], YES_Writing_FLA[#Data]),MATCH($A515,_xlfn.VSTACK(YES_Writing_ELA[Student Number], YES_Writing_FLA[Student Number]),0),MATCH(B$7,YES_Writing_ELA[#Headers],0)),IFERROR(INDEX(_xlfn.VSTACK(YES_Reading_ELA[#Data], YES_Reading_FLA[#Data]),MATCH($A515,_xlfn.VSTACK(YES_Reading_ELA[Student Number], YES_Reading_FLA[Student Number]),0),MATCH(B$7,YES_Reading_ELA[#Headers],0)),""))</f>
        <v/>
      </c>
      <c r="C515" s="137" t="str">
        <f>IFERROR(INDEX(_xlfn.VSTACK(YES_Writing_ELA[#Data], YES_Writing_FLA[#Data]),MATCH($A515,_xlfn.VSTACK(YES_Writing_ELA[Student Number], YES_Writing_FLA[Student Number]),0),MATCH(C$7,YES_Writing_ELA[#Headers],0)),IFERROR(INDEX(_xlfn.VSTACK(YES_Reading_ELA[#Data], YES_Reading_FLA[#Data]),MATCH($A515,_xlfn.VSTACK(YES_Reading_ELA[Student Number], YES_Reading_FLA[Student Number]),0),MATCH(C$7,YES_Reading_ELA[#Headers],0)),""))</f>
        <v/>
      </c>
      <c r="D515" s="138" t="str">
        <f>IFERROR(IF(IF(INDEX(_xlfn.VSTACK(YES_Writing_ELA[#Data],YES_Writing_FLA[#Data]),MATCH($A515,_xlfn.VSTACK(YES_Writing_ELA[Student Number],YES_Writing_FLA[Student Number]),0),MATCH(VLOOKUP(D$7,'Writing Logic'!$J$7:$K$11,2,FALSE)&amp;" - Per "&amp;VLOOKUP($C$4,'Writing Logic'!$G$8:$H$14,2,FALSE),YES_Writing_ELA[#Headers],0))=0,"",INDEX(_xlfn.VSTACK(YES_Writing_ELA[#Data],YES_Writing_FLA[#Data]),MATCH($A515,_xlfn.VSTACK(YES_Writing_ELA[Student Number],YES_Writing_FLA[Student Number]),0),MATCH(VLOOKUP(D$7,'Writing Logic'!$J$7:$K$11,2,FALSE)&amp;" - Per "&amp;VLOOKUP($C$4,'Writing Logic'!$G$8:$H$14,2,FALSE),YES_Writing_ELA[#Headers],0)))="INS",'Writing Logic'!$B$7,IF(INDEX(_xlfn.VSTACK(YES_Writing_ELA[#Data],YES_Writing_FLA[#Data]),MATCH($A515,_xlfn.VSTACK(YES_Writing_ELA[Student Number],YES_Writing_FLA[Student Number]),0),MATCH(VLOOKUP(D$7,'Writing Logic'!$J$7:$K$11,2,FALSE)&amp;" - Per "&amp;VLOOKUP($C$4,'Writing Logic'!$G$8:$H$14,2,FALSE),YES_Writing_ELA[#Headers],0))=0,"",INDEX(_xlfn.VSTACK(YES_Writing_ELA[#Data],YES_Writing_FLA[#Data]),MATCH($A515,_xlfn.VSTACK(YES_Writing_ELA[Student Number],YES_Writing_FLA[Student Number]),0),MATCH(VLOOKUP(D$7,'Writing Logic'!$J$7:$K$11,2,FALSE)&amp;" - Per "&amp;VLOOKUP($C$4,'Writing Logic'!$G$8:$H$14,2,FALSE),YES_Writing_ELA[#Headers],0)))),"")</f>
        <v/>
      </c>
      <c r="E515" s="138" t="str">
        <f>IFERROR(IF(IF(INDEX(_xlfn.VSTACK(YES_Writing_ELA[#Data],YES_Writing_FLA[#Data]),MATCH($A515,_xlfn.VSTACK(YES_Writing_ELA[Student Number],YES_Writing_FLA[Student Number]),0),MATCH(VLOOKUP(E$7,'Writing Logic'!$J$7:$K$11,2,FALSE)&amp;" - Per "&amp;VLOOKUP($C$4,'Writing Logic'!$G$8:$H$14,2,FALSE),YES_Writing_ELA[#Headers],0))=0,"",INDEX(_xlfn.VSTACK(YES_Writing_ELA[#Data],YES_Writing_FLA[#Data]),MATCH($A515,_xlfn.VSTACK(YES_Writing_ELA[Student Number],YES_Writing_FLA[Student Number]),0),MATCH(VLOOKUP(E$7,'Writing Logic'!$J$7:$K$11,2,FALSE)&amp;" - Per "&amp;VLOOKUP($C$4,'Writing Logic'!$G$8:$H$14,2,FALSE),YES_Writing_ELA[#Headers],0)))="INS",'Writing Logic'!$B$7,IF(INDEX(_xlfn.VSTACK(YES_Writing_ELA[#Data],YES_Writing_FLA[#Data]),MATCH($A515,_xlfn.VSTACK(YES_Writing_ELA[Student Number],YES_Writing_FLA[Student Number]),0),MATCH(VLOOKUP(E$7,'Writing Logic'!$J$7:$K$11,2,FALSE)&amp;" - Per "&amp;VLOOKUP($C$4,'Writing Logic'!$G$8:$H$14,2,FALSE),YES_Writing_ELA[#Headers],0))=0,"",INDEX(_xlfn.VSTACK(YES_Writing_ELA[#Data],YES_Writing_FLA[#Data]),MATCH($A515,_xlfn.VSTACK(YES_Writing_ELA[Student Number],YES_Writing_FLA[Student Number]),0),MATCH(VLOOKUP(E$7,'Writing Logic'!$J$7:$K$11,2,FALSE)&amp;" - Per "&amp;VLOOKUP($C$4,'Writing Logic'!$G$8:$H$14,2,FALSE),YES_Writing_ELA[#Headers],0)))),"")</f>
        <v/>
      </c>
      <c r="F515" s="138" t="str">
        <f>IFERROR(IF(IF(INDEX(_xlfn.VSTACK(YES_Writing_ELA[#Data],YES_Writing_FLA[#Data]),MATCH($A515,_xlfn.VSTACK(YES_Writing_ELA[Student Number],YES_Writing_FLA[Student Number]),0),MATCH(VLOOKUP(F$7,'Writing Logic'!$J$7:$K$11,2,FALSE)&amp;" - Per "&amp;VLOOKUP($C$4,'Writing Logic'!$G$8:$H$14,2,FALSE),YES_Writing_ELA[#Headers],0))=0,"",INDEX(_xlfn.VSTACK(YES_Writing_ELA[#Data],YES_Writing_FLA[#Data]),MATCH($A515,_xlfn.VSTACK(YES_Writing_ELA[Student Number],YES_Writing_FLA[Student Number]),0),MATCH(VLOOKUP(F$7,'Writing Logic'!$J$7:$K$11,2,FALSE)&amp;" - Per "&amp;VLOOKUP($C$4,'Writing Logic'!$G$8:$H$14,2,FALSE),YES_Writing_ELA[#Headers],0)))="INS",'Writing Logic'!$B$7,IF(INDEX(_xlfn.VSTACK(YES_Writing_ELA[#Data],YES_Writing_FLA[#Data]),MATCH($A515,_xlfn.VSTACK(YES_Writing_ELA[Student Number],YES_Writing_FLA[Student Number]),0),MATCH(VLOOKUP(F$7,'Writing Logic'!$J$7:$K$11,2,FALSE)&amp;" - Per "&amp;VLOOKUP($C$4,'Writing Logic'!$G$8:$H$14,2,FALSE),YES_Writing_ELA[#Headers],0))=0,"",INDEX(_xlfn.VSTACK(YES_Writing_ELA[#Data],YES_Writing_FLA[#Data]),MATCH($A515,_xlfn.VSTACK(YES_Writing_ELA[Student Number],YES_Writing_FLA[Student Number]),0),MATCH(VLOOKUP(F$7,'Writing Logic'!$J$7:$K$11,2,FALSE)&amp;" - Per "&amp;VLOOKUP($C$4,'Writing Logic'!$G$8:$H$14,2,FALSE),YES_Writing_ELA[#Headers],0)))),"")</f>
        <v/>
      </c>
      <c r="G515" s="138" t="str">
        <f>IFERROR(IF(IF(INDEX(_xlfn.VSTACK(YES_Writing_ELA[#Data],YES_Writing_FLA[#Data]),MATCH($A515,_xlfn.VSTACK(YES_Writing_ELA[Student Number],YES_Writing_FLA[Student Number]),0),MATCH(VLOOKUP(G$7,'Writing Logic'!$J$7:$K$11,2,FALSE)&amp;" - Per "&amp;VLOOKUP($C$4,'Writing Logic'!$G$8:$H$14,2,FALSE),YES_Writing_ELA[#Headers],0))=0,"",INDEX(_xlfn.VSTACK(YES_Writing_ELA[#Data],YES_Writing_FLA[#Data]),MATCH($A515,_xlfn.VSTACK(YES_Writing_ELA[Student Number],YES_Writing_FLA[Student Number]),0),MATCH(VLOOKUP(G$7,'Writing Logic'!$J$7:$K$11,2,FALSE)&amp;" - Per "&amp;VLOOKUP($C$4,'Writing Logic'!$G$8:$H$14,2,FALSE),YES_Writing_ELA[#Headers],0)))="INS",'Writing Logic'!$B$7,IF(INDEX(_xlfn.VSTACK(YES_Writing_ELA[#Data],YES_Writing_FLA[#Data]),MATCH($A515,_xlfn.VSTACK(YES_Writing_ELA[Student Number],YES_Writing_FLA[Student Number]),0),MATCH(VLOOKUP(G$7,'Writing Logic'!$J$7:$K$11,2,FALSE)&amp;" - Per "&amp;VLOOKUP($C$4,'Writing Logic'!$G$8:$H$14,2,FALSE),YES_Writing_ELA[#Headers],0))=0,"",INDEX(_xlfn.VSTACK(YES_Writing_ELA[#Data],YES_Writing_FLA[#Data]),MATCH($A515,_xlfn.VSTACK(YES_Writing_ELA[Student Number],YES_Writing_FLA[Student Number]),0),MATCH(VLOOKUP(G$7,'Writing Logic'!$J$7:$K$11,2,FALSE)&amp;" - Per "&amp;VLOOKUP($C$4,'Writing Logic'!$G$8:$H$14,2,FALSE),YES_Writing_ELA[#Headers],0)))),"")</f>
        <v/>
      </c>
      <c r="H515" s="223" t="str">
        <f>IFERROR(IF(IF(INDEX(_xlfn.VSTACK(YES_Writing_ELA[#Data],YES_Writing_FLA[#Data]),MATCH($A515,_xlfn.VSTACK(YES_Writing_ELA[Student Number],YES_Writing_FLA[Student Number]),0),MATCH(VLOOKUP(H$7,'Writing Logic'!$J$7:$K$11,2,FALSE)&amp;" - Per "&amp;VLOOKUP($C$4,'Writing Logic'!$G$8:$H$14,2,FALSE),YES_Writing_ELA[#Headers],0))=0,"",INDEX(_xlfn.VSTACK(YES_Writing_ELA[#Data],YES_Writing_FLA[#Data]),MATCH($A515,_xlfn.VSTACK(YES_Writing_ELA[Student Number],YES_Writing_FLA[Student Number]),0),MATCH(VLOOKUP(H$7,'Writing Logic'!$J$7:$K$11,2,FALSE)&amp;" - Per "&amp;VLOOKUP($C$4,'Writing Logic'!$G$8:$H$14,2,FALSE),YES_Writing_ELA[#Headers],0)))="INS",'Writing Logic'!$B$7,IF(INDEX(_xlfn.VSTACK(YES_Writing_ELA[#Data],YES_Writing_FLA[#Data]),MATCH($A515,_xlfn.VSTACK(YES_Writing_ELA[Student Number],YES_Writing_FLA[Student Number]),0),MATCH(VLOOKUP(H$7,'Writing Logic'!$J$7:$K$11,2,FALSE)&amp;" - Per "&amp;VLOOKUP($C$4,'Writing Logic'!$G$8:$H$14,2,FALSE),YES_Writing_ELA[#Headers],0))=0,"",INDEX(_xlfn.VSTACK(YES_Writing_ELA[#Data],YES_Writing_FLA[#Data]),MATCH($A515,_xlfn.VSTACK(YES_Writing_ELA[Student Number],YES_Writing_FLA[Student Number]),0),MATCH(VLOOKUP(H$7,'Writing Logic'!$J$7:$K$11,2,FALSE)&amp;" - Per "&amp;VLOOKUP($C$4,'Writing Logic'!$G$8:$H$14,2,FALSE),YES_Writing_ELA[#Headers],0)))),"")</f>
        <v/>
      </c>
      <c r="I515" s="224" t="str" cm="1">
        <f t="array" aca="1" ref="I515" ca="1">IFERROR(
IF($G$3="ELA",
IF(VLOOKUP($A515, YES_Reading_ELA[], COLUMN(INDIRECT("YES_Reading_ELA[Difference - Per "&amp;VLOOKUP($G$4, 'Reading Report Logic'!$A$2:$B$8, 2, FALSE)&amp;"]")), FALSE)="", "",
VLOOKUP($A515,YES_Reading_ELA[], COLUMN(INDIRECT("YES_Reading_ELA[Difference - Per "&amp;VLOOKUP($G$4,'Reading Report Logic'!$A$2:$B$8,2,FALSE)&amp;"]")), FALSE)),
IF($G$3="FLA",
IF(VLOOKUP($A515, YES_Reading_FLA[], COLUMN(INDIRECT("YES_Reading_FLA[Difference - Per "&amp;VLOOKUP($G$4,'Reading Report Logic'!$A$2:$B$8,2,FALSE)&amp;"]")),FALSE)="","",
VLOOKUP($A515,YES_Reading_FLA[],COLUMN(INDIRECT("YES_Reading_FLA[Difference - Per "&amp;VLOOKUP($G$4,'Reading Report Logic'!$A$2:$B$8,2,FALSE)&amp;"]")),FALSE)),
IF($G$3="Combined",
IFERROR(
IF(VLOOKUP($A515, YES_Reading_ELA[], COLUMN(INDIRECT("YES_Reading_ELA[Difference - Per "&amp;VLOOKUP($G$4, 'Reading Report Logic'!$A$2:$B$8,2,FALSE)&amp;"]")), FALSE)="", "",
VLOOKUP($A515,YES_Reading_ELA[],COLUMN(INDIRECT("YES_Reading_ELA[Difference - Per "&amp;VLOOKUP($G$4,'Reading Report Logic'!$A$2:$B$8,2,FALSE)&amp;"]")),FALSE)),
IF(VLOOKUP($A515, YES_Reading_FLA[], COLUMN(INDIRECT("YES_Reading_FLA[Difference - Per "&amp;VLOOKUP($G$4, 'Reading Report Logic'!$A$2:$B$8, 2, FALSE)&amp;"]")),FALSE)="", "", VLOOKUP($A515,YES_Reading_FLA[],COLUMN(INDIRECT("YES_Reading_FLA[Difference - Per "&amp;VLOOKUP($G$4, 'Reading Report Logic'!$A$2:$B$8, 2, FALSE)&amp;"]")),FALSE))),""))),"")</f>
        <v/>
      </c>
    </row>
    <row r="516" spans="1:9" x14ac:dyDescent="0.25">
      <c r="A516" s="137"/>
      <c r="B516" s="137" t="str">
        <f>IFERROR(INDEX(_xlfn.VSTACK(YES_Writing_ELA[#Data], YES_Writing_FLA[#Data]),MATCH($A516,_xlfn.VSTACK(YES_Writing_ELA[Student Number], YES_Writing_FLA[Student Number]),0),MATCH(B$7,YES_Writing_ELA[#Headers],0)),IFERROR(INDEX(_xlfn.VSTACK(YES_Reading_ELA[#Data], YES_Reading_FLA[#Data]),MATCH($A516,_xlfn.VSTACK(YES_Reading_ELA[Student Number], YES_Reading_FLA[Student Number]),0),MATCH(B$7,YES_Reading_ELA[#Headers],0)),""))</f>
        <v/>
      </c>
      <c r="C516" s="137" t="str">
        <f>IFERROR(INDEX(_xlfn.VSTACK(YES_Writing_ELA[#Data], YES_Writing_FLA[#Data]),MATCH($A516,_xlfn.VSTACK(YES_Writing_ELA[Student Number], YES_Writing_FLA[Student Number]),0),MATCH(C$7,YES_Writing_ELA[#Headers],0)),IFERROR(INDEX(_xlfn.VSTACK(YES_Reading_ELA[#Data], YES_Reading_FLA[#Data]),MATCH($A516,_xlfn.VSTACK(YES_Reading_ELA[Student Number], YES_Reading_FLA[Student Number]),0),MATCH(C$7,YES_Reading_ELA[#Headers],0)),""))</f>
        <v/>
      </c>
      <c r="D516" s="138" t="str">
        <f>IFERROR(IF(IF(INDEX(_xlfn.VSTACK(YES_Writing_ELA[#Data],YES_Writing_FLA[#Data]),MATCH($A516,_xlfn.VSTACK(YES_Writing_ELA[Student Number],YES_Writing_FLA[Student Number]),0),MATCH(VLOOKUP(D$7,'Writing Logic'!$J$7:$K$11,2,FALSE)&amp;" - Per "&amp;VLOOKUP($C$4,'Writing Logic'!$G$8:$H$14,2,FALSE),YES_Writing_ELA[#Headers],0))=0,"",INDEX(_xlfn.VSTACK(YES_Writing_ELA[#Data],YES_Writing_FLA[#Data]),MATCH($A516,_xlfn.VSTACK(YES_Writing_ELA[Student Number],YES_Writing_FLA[Student Number]),0),MATCH(VLOOKUP(D$7,'Writing Logic'!$J$7:$K$11,2,FALSE)&amp;" - Per "&amp;VLOOKUP($C$4,'Writing Logic'!$G$8:$H$14,2,FALSE),YES_Writing_ELA[#Headers],0)))="INS",'Writing Logic'!$B$7,IF(INDEX(_xlfn.VSTACK(YES_Writing_ELA[#Data],YES_Writing_FLA[#Data]),MATCH($A516,_xlfn.VSTACK(YES_Writing_ELA[Student Number],YES_Writing_FLA[Student Number]),0),MATCH(VLOOKUP(D$7,'Writing Logic'!$J$7:$K$11,2,FALSE)&amp;" - Per "&amp;VLOOKUP($C$4,'Writing Logic'!$G$8:$H$14,2,FALSE),YES_Writing_ELA[#Headers],0))=0,"",INDEX(_xlfn.VSTACK(YES_Writing_ELA[#Data],YES_Writing_FLA[#Data]),MATCH($A516,_xlfn.VSTACK(YES_Writing_ELA[Student Number],YES_Writing_FLA[Student Number]),0),MATCH(VLOOKUP(D$7,'Writing Logic'!$J$7:$K$11,2,FALSE)&amp;" - Per "&amp;VLOOKUP($C$4,'Writing Logic'!$G$8:$H$14,2,FALSE),YES_Writing_ELA[#Headers],0)))),"")</f>
        <v/>
      </c>
      <c r="E516" s="138" t="str">
        <f>IFERROR(IF(IF(INDEX(_xlfn.VSTACK(YES_Writing_ELA[#Data],YES_Writing_FLA[#Data]),MATCH($A516,_xlfn.VSTACK(YES_Writing_ELA[Student Number],YES_Writing_FLA[Student Number]),0),MATCH(VLOOKUP(E$7,'Writing Logic'!$J$7:$K$11,2,FALSE)&amp;" - Per "&amp;VLOOKUP($C$4,'Writing Logic'!$G$8:$H$14,2,FALSE),YES_Writing_ELA[#Headers],0))=0,"",INDEX(_xlfn.VSTACK(YES_Writing_ELA[#Data],YES_Writing_FLA[#Data]),MATCH($A516,_xlfn.VSTACK(YES_Writing_ELA[Student Number],YES_Writing_FLA[Student Number]),0),MATCH(VLOOKUP(E$7,'Writing Logic'!$J$7:$K$11,2,FALSE)&amp;" - Per "&amp;VLOOKUP($C$4,'Writing Logic'!$G$8:$H$14,2,FALSE),YES_Writing_ELA[#Headers],0)))="INS",'Writing Logic'!$B$7,IF(INDEX(_xlfn.VSTACK(YES_Writing_ELA[#Data],YES_Writing_FLA[#Data]),MATCH($A516,_xlfn.VSTACK(YES_Writing_ELA[Student Number],YES_Writing_FLA[Student Number]),0),MATCH(VLOOKUP(E$7,'Writing Logic'!$J$7:$K$11,2,FALSE)&amp;" - Per "&amp;VLOOKUP($C$4,'Writing Logic'!$G$8:$H$14,2,FALSE),YES_Writing_ELA[#Headers],0))=0,"",INDEX(_xlfn.VSTACK(YES_Writing_ELA[#Data],YES_Writing_FLA[#Data]),MATCH($A516,_xlfn.VSTACK(YES_Writing_ELA[Student Number],YES_Writing_FLA[Student Number]),0),MATCH(VLOOKUP(E$7,'Writing Logic'!$J$7:$K$11,2,FALSE)&amp;" - Per "&amp;VLOOKUP($C$4,'Writing Logic'!$G$8:$H$14,2,FALSE),YES_Writing_ELA[#Headers],0)))),"")</f>
        <v/>
      </c>
      <c r="F516" s="138" t="str">
        <f>IFERROR(IF(IF(INDEX(_xlfn.VSTACK(YES_Writing_ELA[#Data],YES_Writing_FLA[#Data]),MATCH($A516,_xlfn.VSTACK(YES_Writing_ELA[Student Number],YES_Writing_FLA[Student Number]),0),MATCH(VLOOKUP(F$7,'Writing Logic'!$J$7:$K$11,2,FALSE)&amp;" - Per "&amp;VLOOKUP($C$4,'Writing Logic'!$G$8:$H$14,2,FALSE),YES_Writing_ELA[#Headers],0))=0,"",INDEX(_xlfn.VSTACK(YES_Writing_ELA[#Data],YES_Writing_FLA[#Data]),MATCH($A516,_xlfn.VSTACK(YES_Writing_ELA[Student Number],YES_Writing_FLA[Student Number]),0),MATCH(VLOOKUP(F$7,'Writing Logic'!$J$7:$K$11,2,FALSE)&amp;" - Per "&amp;VLOOKUP($C$4,'Writing Logic'!$G$8:$H$14,2,FALSE),YES_Writing_ELA[#Headers],0)))="INS",'Writing Logic'!$B$7,IF(INDEX(_xlfn.VSTACK(YES_Writing_ELA[#Data],YES_Writing_FLA[#Data]),MATCH($A516,_xlfn.VSTACK(YES_Writing_ELA[Student Number],YES_Writing_FLA[Student Number]),0),MATCH(VLOOKUP(F$7,'Writing Logic'!$J$7:$K$11,2,FALSE)&amp;" - Per "&amp;VLOOKUP($C$4,'Writing Logic'!$G$8:$H$14,2,FALSE),YES_Writing_ELA[#Headers],0))=0,"",INDEX(_xlfn.VSTACK(YES_Writing_ELA[#Data],YES_Writing_FLA[#Data]),MATCH($A516,_xlfn.VSTACK(YES_Writing_ELA[Student Number],YES_Writing_FLA[Student Number]),0),MATCH(VLOOKUP(F$7,'Writing Logic'!$J$7:$K$11,2,FALSE)&amp;" - Per "&amp;VLOOKUP($C$4,'Writing Logic'!$G$8:$H$14,2,FALSE),YES_Writing_ELA[#Headers],0)))),"")</f>
        <v/>
      </c>
      <c r="G516" s="138" t="str">
        <f>IFERROR(IF(IF(INDEX(_xlfn.VSTACK(YES_Writing_ELA[#Data],YES_Writing_FLA[#Data]),MATCH($A516,_xlfn.VSTACK(YES_Writing_ELA[Student Number],YES_Writing_FLA[Student Number]),0),MATCH(VLOOKUP(G$7,'Writing Logic'!$J$7:$K$11,2,FALSE)&amp;" - Per "&amp;VLOOKUP($C$4,'Writing Logic'!$G$8:$H$14,2,FALSE),YES_Writing_ELA[#Headers],0))=0,"",INDEX(_xlfn.VSTACK(YES_Writing_ELA[#Data],YES_Writing_FLA[#Data]),MATCH($A516,_xlfn.VSTACK(YES_Writing_ELA[Student Number],YES_Writing_FLA[Student Number]),0),MATCH(VLOOKUP(G$7,'Writing Logic'!$J$7:$K$11,2,FALSE)&amp;" - Per "&amp;VLOOKUP($C$4,'Writing Logic'!$G$8:$H$14,2,FALSE),YES_Writing_ELA[#Headers],0)))="INS",'Writing Logic'!$B$7,IF(INDEX(_xlfn.VSTACK(YES_Writing_ELA[#Data],YES_Writing_FLA[#Data]),MATCH($A516,_xlfn.VSTACK(YES_Writing_ELA[Student Number],YES_Writing_FLA[Student Number]),0),MATCH(VLOOKUP(G$7,'Writing Logic'!$J$7:$K$11,2,FALSE)&amp;" - Per "&amp;VLOOKUP($C$4,'Writing Logic'!$G$8:$H$14,2,FALSE),YES_Writing_ELA[#Headers],0))=0,"",INDEX(_xlfn.VSTACK(YES_Writing_ELA[#Data],YES_Writing_FLA[#Data]),MATCH($A516,_xlfn.VSTACK(YES_Writing_ELA[Student Number],YES_Writing_FLA[Student Number]),0),MATCH(VLOOKUP(G$7,'Writing Logic'!$J$7:$K$11,2,FALSE)&amp;" - Per "&amp;VLOOKUP($C$4,'Writing Logic'!$G$8:$H$14,2,FALSE),YES_Writing_ELA[#Headers],0)))),"")</f>
        <v/>
      </c>
      <c r="H516" s="223" t="str">
        <f>IFERROR(IF(IF(INDEX(_xlfn.VSTACK(YES_Writing_ELA[#Data],YES_Writing_FLA[#Data]),MATCH($A516,_xlfn.VSTACK(YES_Writing_ELA[Student Number],YES_Writing_FLA[Student Number]),0),MATCH(VLOOKUP(H$7,'Writing Logic'!$J$7:$K$11,2,FALSE)&amp;" - Per "&amp;VLOOKUP($C$4,'Writing Logic'!$G$8:$H$14,2,FALSE),YES_Writing_ELA[#Headers],0))=0,"",INDEX(_xlfn.VSTACK(YES_Writing_ELA[#Data],YES_Writing_FLA[#Data]),MATCH($A516,_xlfn.VSTACK(YES_Writing_ELA[Student Number],YES_Writing_FLA[Student Number]),0),MATCH(VLOOKUP(H$7,'Writing Logic'!$J$7:$K$11,2,FALSE)&amp;" - Per "&amp;VLOOKUP($C$4,'Writing Logic'!$G$8:$H$14,2,FALSE),YES_Writing_ELA[#Headers],0)))="INS",'Writing Logic'!$B$7,IF(INDEX(_xlfn.VSTACK(YES_Writing_ELA[#Data],YES_Writing_FLA[#Data]),MATCH($A516,_xlfn.VSTACK(YES_Writing_ELA[Student Number],YES_Writing_FLA[Student Number]),0),MATCH(VLOOKUP(H$7,'Writing Logic'!$J$7:$K$11,2,FALSE)&amp;" - Per "&amp;VLOOKUP($C$4,'Writing Logic'!$G$8:$H$14,2,FALSE),YES_Writing_ELA[#Headers],0))=0,"",INDEX(_xlfn.VSTACK(YES_Writing_ELA[#Data],YES_Writing_FLA[#Data]),MATCH($A516,_xlfn.VSTACK(YES_Writing_ELA[Student Number],YES_Writing_FLA[Student Number]),0),MATCH(VLOOKUP(H$7,'Writing Logic'!$J$7:$K$11,2,FALSE)&amp;" - Per "&amp;VLOOKUP($C$4,'Writing Logic'!$G$8:$H$14,2,FALSE),YES_Writing_ELA[#Headers],0)))),"")</f>
        <v/>
      </c>
      <c r="I516" s="224" t="str" cm="1">
        <f t="array" aca="1" ref="I516" ca="1">IFERROR(
IF($G$3="ELA",
IF(VLOOKUP($A516, YES_Reading_ELA[], COLUMN(INDIRECT("YES_Reading_ELA[Difference - Per "&amp;VLOOKUP($G$4, 'Reading Report Logic'!$A$2:$B$8, 2, FALSE)&amp;"]")), FALSE)="", "",
VLOOKUP($A516,YES_Reading_ELA[], COLUMN(INDIRECT("YES_Reading_ELA[Difference - Per "&amp;VLOOKUP($G$4,'Reading Report Logic'!$A$2:$B$8,2,FALSE)&amp;"]")), FALSE)),
IF($G$3="FLA",
IF(VLOOKUP($A516, YES_Reading_FLA[], COLUMN(INDIRECT("YES_Reading_FLA[Difference - Per "&amp;VLOOKUP($G$4,'Reading Report Logic'!$A$2:$B$8,2,FALSE)&amp;"]")),FALSE)="","",
VLOOKUP($A516,YES_Reading_FLA[],COLUMN(INDIRECT("YES_Reading_FLA[Difference - Per "&amp;VLOOKUP($G$4,'Reading Report Logic'!$A$2:$B$8,2,FALSE)&amp;"]")),FALSE)),
IF($G$3="Combined",
IFERROR(
IF(VLOOKUP($A516, YES_Reading_ELA[], COLUMN(INDIRECT("YES_Reading_ELA[Difference - Per "&amp;VLOOKUP($G$4, 'Reading Report Logic'!$A$2:$B$8,2,FALSE)&amp;"]")), FALSE)="", "",
VLOOKUP($A516,YES_Reading_ELA[],COLUMN(INDIRECT("YES_Reading_ELA[Difference - Per "&amp;VLOOKUP($G$4,'Reading Report Logic'!$A$2:$B$8,2,FALSE)&amp;"]")),FALSE)),
IF(VLOOKUP($A516, YES_Reading_FLA[], COLUMN(INDIRECT("YES_Reading_FLA[Difference - Per "&amp;VLOOKUP($G$4, 'Reading Report Logic'!$A$2:$B$8, 2, FALSE)&amp;"]")),FALSE)="", "", VLOOKUP($A516,YES_Reading_FLA[],COLUMN(INDIRECT("YES_Reading_FLA[Difference - Per "&amp;VLOOKUP($G$4, 'Reading Report Logic'!$A$2:$B$8, 2, FALSE)&amp;"]")),FALSE))),""))),"")</f>
        <v/>
      </c>
    </row>
    <row r="517" spans="1:9" x14ac:dyDescent="0.25">
      <c r="A517" s="137"/>
      <c r="B517" s="137" t="str">
        <f>IFERROR(INDEX(_xlfn.VSTACK(YES_Writing_ELA[#Data], YES_Writing_FLA[#Data]),MATCH($A517,_xlfn.VSTACK(YES_Writing_ELA[Student Number], YES_Writing_FLA[Student Number]),0),MATCH(B$7,YES_Writing_ELA[#Headers],0)),IFERROR(INDEX(_xlfn.VSTACK(YES_Reading_ELA[#Data], YES_Reading_FLA[#Data]),MATCH($A517,_xlfn.VSTACK(YES_Reading_ELA[Student Number], YES_Reading_FLA[Student Number]),0),MATCH(B$7,YES_Reading_ELA[#Headers],0)),""))</f>
        <v/>
      </c>
      <c r="C517" s="137" t="str">
        <f>IFERROR(INDEX(_xlfn.VSTACK(YES_Writing_ELA[#Data], YES_Writing_FLA[#Data]),MATCH($A517,_xlfn.VSTACK(YES_Writing_ELA[Student Number], YES_Writing_FLA[Student Number]),0),MATCH(C$7,YES_Writing_ELA[#Headers],0)),IFERROR(INDEX(_xlfn.VSTACK(YES_Reading_ELA[#Data], YES_Reading_FLA[#Data]),MATCH($A517,_xlfn.VSTACK(YES_Reading_ELA[Student Number], YES_Reading_FLA[Student Number]),0),MATCH(C$7,YES_Reading_ELA[#Headers],0)),""))</f>
        <v/>
      </c>
      <c r="D517" s="138" t="str">
        <f>IFERROR(IF(IF(INDEX(_xlfn.VSTACK(YES_Writing_ELA[#Data],YES_Writing_FLA[#Data]),MATCH($A517,_xlfn.VSTACK(YES_Writing_ELA[Student Number],YES_Writing_FLA[Student Number]),0),MATCH(VLOOKUP(D$7,'Writing Logic'!$J$7:$K$11,2,FALSE)&amp;" - Per "&amp;VLOOKUP($C$4,'Writing Logic'!$G$8:$H$14,2,FALSE),YES_Writing_ELA[#Headers],0))=0,"",INDEX(_xlfn.VSTACK(YES_Writing_ELA[#Data],YES_Writing_FLA[#Data]),MATCH($A517,_xlfn.VSTACK(YES_Writing_ELA[Student Number],YES_Writing_FLA[Student Number]),0),MATCH(VLOOKUP(D$7,'Writing Logic'!$J$7:$K$11,2,FALSE)&amp;" - Per "&amp;VLOOKUP($C$4,'Writing Logic'!$G$8:$H$14,2,FALSE),YES_Writing_ELA[#Headers],0)))="INS",'Writing Logic'!$B$7,IF(INDEX(_xlfn.VSTACK(YES_Writing_ELA[#Data],YES_Writing_FLA[#Data]),MATCH($A517,_xlfn.VSTACK(YES_Writing_ELA[Student Number],YES_Writing_FLA[Student Number]),0),MATCH(VLOOKUP(D$7,'Writing Logic'!$J$7:$K$11,2,FALSE)&amp;" - Per "&amp;VLOOKUP($C$4,'Writing Logic'!$G$8:$H$14,2,FALSE),YES_Writing_ELA[#Headers],0))=0,"",INDEX(_xlfn.VSTACK(YES_Writing_ELA[#Data],YES_Writing_FLA[#Data]),MATCH($A517,_xlfn.VSTACK(YES_Writing_ELA[Student Number],YES_Writing_FLA[Student Number]),0),MATCH(VLOOKUP(D$7,'Writing Logic'!$J$7:$K$11,2,FALSE)&amp;" - Per "&amp;VLOOKUP($C$4,'Writing Logic'!$G$8:$H$14,2,FALSE),YES_Writing_ELA[#Headers],0)))),"")</f>
        <v/>
      </c>
      <c r="E517" s="138" t="str">
        <f>IFERROR(IF(IF(INDEX(_xlfn.VSTACK(YES_Writing_ELA[#Data],YES_Writing_FLA[#Data]),MATCH($A517,_xlfn.VSTACK(YES_Writing_ELA[Student Number],YES_Writing_FLA[Student Number]),0),MATCH(VLOOKUP(E$7,'Writing Logic'!$J$7:$K$11,2,FALSE)&amp;" - Per "&amp;VLOOKUP($C$4,'Writing Logic'!$G$8:$H$14,2,FALSE),YES_Writing_ELA[#Headers],0))=0,"",INDEX(_xlfn.VSTACK(YES_Writing_ELA[#Data],YES_Writing_FLA[#Data]),MATCH($A517,_xlfn.VSTACK(YES_Writing_ELA[Student Number],YES_Writing_FLA[Student Number]),0),MATCH(VLOOKUP(E$7,'Writing Logic'!$J$7:$K$11,2,FALSE)&amp;" - Per "&amp;VLOOKUP($C$4,'Writing Logic'!$G$8:$H$14,2,FALSE),YES_Writing_ELA[#Headers],0)))="INS",'Writing Logic'!$B$7,IF(INDEX(_xlfn.VSTACK(YES_Writing_ELA[#Data],YES_Writing_FLA[#Data]),MATCH($A517,_xlfn.VSTACK(YES_Writing_ELA[Student Number],YES_Writing_FLA[Student Number]),0),MATCH(VLOOKUP(E$7,'Writing Logic'!$J$7:$K$11,2,FALSE)&amp;" - Per "&amp;VLOOKUP($C$4,'Writing Logic'!$G$8:$H$14,2,FALSE),YES_Writing_ELA[#Headers],0))=0,"",INDEX(_xlfn.VSTACK(YES_Writing_ELA[#Data],YES_Writing_FLA[#Data]),MATCH($A517,_xlfn.VSTACK(YES_Writing_ELA[Student Number],YES_Writing_FLA[Student Number]),0),MATCH(VLOOKUP(E$7,'Writing Logic'!$J$7:$K$11,2,FALSE)&amp;" - Per "&amp;VLOOKUP($C$4,'Writing Logic'!$G$8:$H$14,2,FALSE),YES_Writing_ELA[#Headers],0)))),"")</f>
        <v/>
      </c>
      <c r="F517" s="138" t="str">
        <f>IFERROR(IF(IF(INDEX(_xlfn.VSTACK(YES_Writing_ELA[#Data],YES_Writing_FLA[#Data]),MATCH($A517,_xlfn.VSTACK(YES_Writing_ELA[Student Number],YES_Writing_FLA[Student Number]),0),MATCH(VLOOKUP(F$7,'Writing Logic'!$J$7:$K$11,2,FALSE)&amp;" - Per "&amp;VLOOKUP($C$4,'Writing Logic'!$G$8:$H$14,2,FALSE),YES_Writing_ELA[#Headers],0))=0,"",INDEX(_xlfn.VSTACK(YES_Writing_ELA[#Data],YES_Writing_FLA[#Data]),MATCH($A517,_xlfn.VSTACK(YES_Writing_ELA[Student Number],YES_Writing_FLA[Student Number]),0),MATCH(VLOOKUP(F$7,'Writing Logic'!$J$7:$K$11,2,FALSE)&amp;" - Per "&amp;VLOOKUP($C$4,'Writing Logic'!$G$8:$H$14,2,FALSE),YES_Writing_ELA[#Headers],0)))="INS",'Writing Logic'!$B$7,IF(INDEX(_xlfn.VSTACK(YES_Writing_ELA[#Data],YES_Writing_FLA[#Data]),MATCH($A517,_xlfn.VSTACK(YES_Writing_ELA[Student Number],YES_Writing_FLA[Student Number]),0),MATCH(VLOOKUP(F$7,'Writing Logic'!$J$7:$K$11,2,FALSE)&amp;" - Per "&amp;VLOOKUP($C$4,'Writing Logic'!$G$8:$H$14,2,FALSE),YES_Writing_ELA[#Headers],0))=0,"",INDEX(_xlfn.VSTACK(YES_Writing_ELA[#Data],YES_Writing_FLA[#Data]),MATCH($A517,_xlfn.VSTACK(YES_Writing_ELA[Student Number],YES_Writing_FLA[Student Number]),0),MATCH(VLOOKUP(F$7,'Writing Logic'!$J$7:$K$11,2,FALSE)&amp;" - Per "&amp;VLOOKUP($C$4,'Writing Logic'!$G$8:$H$14,2,FALSE),YES_Writing_ELA[#Headers],0)))),"")</f>
        <v/>
      </c>
      <c r="G517" s="138" t="str">
        <f>IFERROR(IF(IF(INDEX(_xlfn.VSTACK(YES_Writing_ELA[#Data],YES_Writing_FLA[#Data]),MATCH($A517,_xlfn.VSTACK(YES_Writing_ELA[Student Number],YES_Writing_FLA[Student Number]),0),MATCH(VLOOKUP(G$7,'Writing Logic'!$J$7:$K$11,2,FALSE)&amp;" - Per "&amp;VLOOKUP($C$4,'Writing Logic'!$G$8:$H$14,2,FALSE),YES_Writing_ELA[#Headers],0))=0,"",INDEX(_xlfn.VSTACK(YES_Writing_ELA[#Data],YES_Writing_FLA[#Data]),MATCH($A517,_xlfn.VSTACK(YES_Writing_ELA[Student Number],YES_Writing_FLA[Student Number]),0),MATCH(VLOOKUP(G$7,'Writing Logic'!$J$7:$K$11,2,FALSE)&amp;" - Per "&amp;VLOOKUP($C$4,'Writing Logic'!$G$8:$H$14,2,FALSE),YES_Writing_ELA[#Headers],0)))="INS",'Writing Logic'!$B$7,IF(INDEX(_xlfn.VSTACK(YES_Writing_ELA[#Data],YES_Writing_FLA[#Data]),MATCH($A517,_xlfn.VSTACK(YES_Writing_ELA[Student Number],YES_Writing_FLA[Student Number]),0),MATCH(VLOOKUP(G$7,'Writing Logic'!$J$7:$K$11,2,FALSE)&amp;" - Per "&amp;VLOOKUP($C$4,'Writing Logic'!$G$8:$H$14,2,FALSE),YES_Writing_ELA[#Headers],0))=0,"",INDEX(_xlfn.VSTACK(YES_Writing_ELA[#Data],YES_Writing_FLA[#Data]),MATCH($A517,_xlfn.VSTACK(YES_Writing_ELA[Student Number],YES_Writing_FLA[Student Number]),0),MATCH(VLOOKUP(G$7,'Writing Logic'!$J$7:$K$11,2,FALSE)&amp;" - Per "&amp;VLOOKUP($C$4,'Writing Logic'!$G$8:$H$14,2,FALSE),YES_Writing_ELA[#Headers],0)))),"")</f>
        <v/>
      </c>
      <c r="H517" s="223" t="str">
        <f>IFERROR(IF(IF(INDEX(_xlfn.VSTACK(YES_Writing_ELA[#Data],YES_Writing_FLA[#Data]),MATCH($A517,_xlfn.VSTACK(YES_Writing_ELA[Student Number],YES_Writing_FLA[Student Number]),0),MATCH(VLOOKUP(H$7,'Writing Logic'!$J$7:$K$11,2,FALSE)&amp;" - Per "&amp;VLOOKUP($C$4,'Writing Logic'!$G$8:$H$14,2,FALSE),YES_Writing_ELA[#Headers],0))=0,"",INDEX(_xlfn.VSTACK(YES_Writing_ELA[#Data],YES_Writing_FLA[#Data]),MATCH($A517,_xlfn.VSTACK(YES_Writing_ELA[Student Number],YES_Writing_FLA[Student Number]),0),MATCH(VLOOKUP(H$7,'Writing Logic'!$J$7:$K$11,2,FALSE)&amp;" - Per "&amp;VLOOKUP($C$4,'Writing Logic'!$G$8:$H$14,2,FALSE),YES_Writing_ELA[#Headers],0)))="INS",'Writing Logic'!$B$7,IF(INDEX(_xlfn.VSTACK(YES_Writing_ELA[#Data],YES_Writing_FLA[#Data]),MATCH($A517,_xlfn.VSTACK(YES_Writing_ELA[Student Number],YES_Writing_FLA[Student Number]),0),MATCH(VLOOKUP(H$7,'Writing Logic'!$J$7:$K$11,2,FALSE)&amp;" - Per "&amp;VLOOKUP($C$4,'Writing Logic'!$G$8:$H$14,2,FALSE),YES_Writing_ELA[#Headers],0))=0,"",INDEX(_xlfn.VSTACK(YES_Writing_ELA[#Data],YES_Writing_FLA[#Data]),MATCH($A517,_xlfn.VSTACK(YES_Writing_ELA[Student Number],YES_Writing_FLA[Student Number]),0),MATCH(VLOOKUP(H$7,'Writing Logic'!$J$7:$K$11,2,FALSE)&amp;" - Per "&amp;VLOOKUP($C$4,'Writing Logic'!$G$8:$H$14,2,FALSE),YES_Writing_ELA[#Headers],0)))),"")</f>
        <v/>
      </c>
      <c r="I517" s="224" t="str" cm="1">
        <f t="array" aca="1" ref="I517" ca="1">IFERROR(
IF($G$3="ELA",
IF(VLOOKUP($A517, YES_Reading_ELA[], COLUMN(INDIRECT("YES_Reading_ELA[Difference - Per "&amp;VLOOKUP($G$4, 'Reading Report Logic'!$A$2:$B$8, 2, FALSE)&amp;"]")), FALSE)="", "",
VLOOKUP($A517,YES_Reading_ELA[], COLUMN(INDIRECT("YES_Reading_ELA[Difference - Per "&amp;VLOOKUP($G$4,'Reading Report Logic'!$A$2:$B$8,2,FALSE)&amp;"]")), FALSE)),
IF($G$3="FLA",
IF(VLOOKUP($A517, YES_Reading_FLA[], COLUMN(INDIRECT("YES_Reading_FLA[Difference - Per "&amp;VLOOKUP($G$4,'Reading Report Logic'!$A$2:$B$8,2,FALSE)&amp;"]")),FALSE)="","",
VLOOKUP($A517,YES_Reading_FLA[],COLUMN(INDIRECT("YES_Reading_FLA[Difference - Per "&amp;VLOOKUP($G$4,'Reading Report Logic'!$A$2:$B$8,2,FALSE)&amp;"]")),FALSE)),
IF($G$3="Combined",
IFERROR(
IF(VLOOKUP($A517, YES_Reading_ELA[], COLUMN(INDIRECT("YES_Reading_ELA[Difference - Per "&amp;VLOOKUP($G$4, 'Reading Report Logic'!$A$2:$B$8,2,FALSE)&amp;"]")), FALSE)="", "",
VLOOKUP($A517,YES_Reading_ELA[],COLUMN(INDIRECT("YES_Reading_ELA[Difference - Per "&amp;VLOOKUP($G$4,'Reading Report Logic'!$A$2:$B$8,2,FALSE)&amp;"]")),FALSE)),
IF(VLOOKUP($A517, YES_Reading_FLA[], COLUMN(INDIRECT("YES_Reading_FLA[Difference - Per "&amp;VLOOKUP($G$4, 'Reading Report Logic'!$A$2:$B$8, 2, FALSE)&amp;"]")),FALSE)="", "", VLOOKUP($A517,YES_Reading_FLA[],COLUMN(INDIRECT("YES_Reading_FLA[Difference - Per "&amp;VLOOKUP($G$4, 'Reading Report Logic'!$A$2:$B$8, 2, FALSE)&amp;"]")),FALSE))),""))),"")</f>
        <v/>
      </c>
    </row>
    <row r="518" spans="1:9" x14ac:dyDescent="0.25">
      <c r="A518" s="137"/>
      <c r="B518" s="137" t="str">
        <f>IFERROR(INDEX(_xlfn.VSTACK(YES_Writing_ELA[#Data], YES_Writing_FLA[#Data]),MATCH($A518,_xlfn.VSTACK(YES_Writing_ELA[Student Number], YES_Writing_FLA[Student Number]),0),MATCH(B$7,YES_Writing_ELA[#Headers],0)),IFERROR(INDEX(_xlfn.VSTACK(YES_Reading_ELA[#Data], YES_Reading_FLA[#Data]),MATCH($A518,_xlfn.VSTACK(YES_Reading_ELA[Student Number], YES_Reading_FLA[Student Number]),0),MATCH(B$7,YES_Reading_ELA[#Headers],0)),""))</f>
        <v/>
      </c>
      <c r="C518" s="137" t="str">
        <f>IFERROR(INDEX(_xlfn.VSTACK(YES_Writing_ELA[#Data], YES_Writing_FLA[#Data]),MATCH($A518,_xlfn.VSTACK(YES_Writing_ELA[Student Number], YES_Writing_FLA[Student Number]),0),MATCH(C$7,YES_Writing_ELA[#Headers],0)),IFERROR(INDEX(_xlfn.VSTACK(YES_Reading_ELA[#Data], YES_Reading_FLA[#Data]),MATCH($A518,_xlfn.VSTACK(YES_Reading_ELA[Student Number], YES_Reading_FLA[Student Number]),0),MATCH(C$7,YES_Reading_ELA[#Headers],0)),""))</f>
        <v/>
      </c>
      <c r="D518" s="138" t="str">
        <f>IFERROR(IF(IF(INDEX(_xlfn.VSTACK(YES_Writing_ELA[#Data],YES_Writing_FLA[#Data]),MATCH($A518,_xlfn.VSTACK(YES_Writing_ELA[Student Number],YES_Writing_FLA[Student Number]),0),MATCH(VLOOKUP(D$7,'Writing Logic'!$J$7:$K$11,2,FALSE)&amp;" - Per "&amp;VLOOKUP($C$4,'Writing Logic'!$G$8:$H$14,2,FALSE),YES_Writing_ELA[#Headers],0))=0,"",INDEX(_xlfn.VSTACK(YES_Writing_ELA[#Data],YES_Writing_FLA[#Data]),MATCH($A518,_xlfn.VSTACK(YES_Writing_ELA[Student Number],YES_Writing_FLA[Student Number]),0),MATCH(VLOOKUP(D$7,'Writing Logic'!$J$7:$K$11,2,FALSE)&amp;" - Per "&amp;VLOOKUP($C$4,'Writing Logic'!$G$8:$H$14,2,FALSE),YES_Writing_ELA[#Headers],0)))="INS",'Writing Logic'!$B$7,IF(INDEX(_xlfn.VSTACK(YES_Writing_ELA[#Data],YES_Writing_FLA[#Data]),MATCH($A518,_xlfn.VSTACK(YES_Writing_ELA[Student Number],YES_Writing_FLA[Student Number]),0),MATCH(VLOOKUP(D$7,'Writing Logic'!$J$7:$K$11,2,FALSE)&amp;" - Per "&amp;VLOOKUP($C$4,'Writing Logic'!$G$8:$H$14,2,FALSE),YES_Writing_ELA[#Headers],0))=0,"",INDEX(_xlfn.VSTACK(YES_Writing_ELA[#Data],YES_Writing_FLA[#Data]),MATCH($A518,_xlfn.VSTACK(YES_Writing_ELA[Student Number],YES_Writing_FLA[Student Number]),0),MATCH(VLOOKUP(D$7,'Writing Logic'!$J$7:$K$11,2,FALSE)&amp;" - Per "&amp;VLOOKUP($C$4,'Writing Logic'!$G$8:$H$14,2,FALSE),YES_Writing_ELA[#Headers],0)))),"")</f>
        <v/>
      </c>
      <c r="E518" s="138" t="str">
        <f>IFERROR(IF(IF(INDEX(_xlfn.VSTACK(YES_Writing_ELA[#Data],YES_Writing_FLA[#Data]),MATCH($A518,_xlfn.VSTACK(YES_Writing_ELA[Student Number],YES_Writing_FLA[Student Number]),0),MATCH(VLOOKUP(E$7,'Writing Logic'!$J$7:$K$11,2,FALSE)&amp;" - Per "&amp;VLOOKUP($C$4,'Writing Logic'!$G$8:$H$14,2,FALSE),YES_Writing_ELA[#Headers],0))=0,"",INDEX(_xlfn.VSTACK(YES_Writing_ELA[#Data],YES_Writing_FLA[#Data]),MATCH($A518,_xlfn.VSTACK(YES_Writing_ELA[Student Number],YES_Writing_FLA[Student Number]),0),MATCH(VLOOKUP(E$7,'Writing Logic'!$J$7:$K$11,2,FALSE)&amp;" - Per "&amp;VLOOKUP($C$4,'Writing Logic'!$G$8:$H$14,2,FALSE),YES_Writing_ELA[#Headers],0)))="INS",'Writing Logic'!$B$7,IF(INDEX(_xlfn.VSTACK(YES_Writing_ELA[#Data],YES_Writing_FLA[#Data]),MATCH($A518,_xlfn.VSTACK(YES_Writing_ELA[Student Number],YES_Writing_FLA[Student Number]),0),MATCH(VLOOKUP(E$7,'Writing Logic'!$J$7:$K$11,2,FALSE)&amp;" - Per "&amp;VLOOKUP($C$4,'Writing Logic'!$G$8:$H$14,2,FALSE),YES_Writing_ELA[#Headers],0))=0,"",INDEX(_xlfn.VSTACK(YES_Writing_ELA[#Data],YES_Writing_FLA[#Data]),MATCH($A518,_xlfn.VSTACK(YES_Writing_ELA[Student Number],YES_Writing_FLA[Student Number]),0),MATCH(VLOOKUP(E$7,'Writing Logic'!$J$7:$K$11,2,FALSE)&amp;" - Per "&amp;VLOOKUP($C$4,'Writing Logic'!$G$8:$H$14,2,FALSE),YES_Writing_ELA[#Headers],0)))),"")</f>
        <v/>
      </c>
      <c r="F518" s="138" t="str">
        <f>IFERROR(IF(IF(INDEX(_xlfn.VSTACK(YES_Writing_ELA[#Data],YES_Writing_FLA[#Data]),MATCH($A518,_xlfn.VSTACK(YES_Writing_ELA[Student Number],YES_Writing_FLA[Student Number]),0),MATCH(VLOOKUP(F$7,'Writing Logic'!$J$7:$K$11,2,FALSE)&amp;" - Per "&amp;VLOOKUP($C$4,'Writing Logic'!$G$8:$H$14,2,FALSE),YES_Writing_ELA[#Headers],0))=0,"",INDEX(_xlfn.VSTACK(YES_Writing_ELA[#Data],YES_Writing_FLA[#Data]),MATCH($A518,_xlfn.VSTACK(YES_Writing_ELA[Student Number],YES_Writing_FLA[Student Number]),0),MATCH(VLOOKUP(F$7,'Writing Logic'!$J$7:$K$11,2,FALSE)&amp;" - Per "&amp;VLOOKUP($C$4,'Writing Logic'!$G$8:$H$14,2,FALSE),YES_Writing_ELA[#Headers],0)))="INS",'Writing Logic'!$B$7,IF(INDEX(_xlfn.VSTACK(YES_Writing_ELA[#Data],YES_Writing_FLA[#Data]),MATCH($A518,_xlfn.VSTACK(YES_Writing_ELA[Student Number],YES_Writing_FLA[Student Number]),0),MATCH(VLOOKUP(F$7,'Writing Logic'!$J$7:$K$11,2,FALSE)&amp;" - Per "&amp;VLOOKUP($C$4,'Writing Logic'!$G$8:$H$14,2,FALSE),YES_Writing_ELA[#Headers],0))=0,"",INDEX(_xlfn.VSTACK(YES_Writing_ELA[#Data],YES_Writing_FLA[#Data]),MATCH($A518,_xlfn.VSTACK(YES_Writing_ELA[Student Number],YES_Writing_FLA[Student Number]),0),MATCH(VLOOKUP(F$7,'Writing Logic'!$J$7:$K$11,2,FALSE)&amp;" - Per "&amp;VLOOKUP($C$4,'Writing Logic'!$G$8:$H$14,2,FALSE),YES_Writing_ELA[#Headers],0)))),"")</f>
        <v/>
      </c>
      <c r="G518" s="138" t="str">
        <f>IFERROR(IF(IF(INDEX(_xlfn.VSTACK(YES_Writing_ELA[#Data],YES_Writing_FLA[#Data]),MATCH($A518,_xlfn.VSTACK(YES_Writing_ELA[Student Number],YES_Writing_FLA[Student Number]),0),MATCH(VLOOKUP(G$7,'Writing Logic'!$J$7:$K$11,2,FALSE)&amp;" - Per "&amp;VLOOKUP($C$4,'Writing Logic'!$G$8:$H$14,2,FALSE),YES_Writing_ELA[#Headers],0))=0,"",INDEX(_xlfn.VSTACK(YES_Writing_ELA[#Data],YES_Writing_FLA[#Data]),MATCH($A518,_xlfn.VSTACK(YES_Writing_ELA[Student Number],YES_Writing_FLA[Student Number]),0),MATCH(VLOOKUP(G$7,'Writing Logic'!$J$7:$K$11,2,FALSE)&amp;" - Per "&amp;VLOOKUP($C$4,'Writing Logic'!$G$8:$H$14,2,FALSE),YES_Writing_ELA[#Headers],0)))="INS",'Writing Logic'!$B$7,IF(INDEX(_xlfn.VSTACK(YES_Writing_ELA[#Data],YES_Writing_FLA[#Data]),MATCH($A518,_xlfn.VSTACK(YES_Writing_ELA[Student Number],YES_Writing_FLA[Student Number]),0),MATCH(VLOOKUP(G$7,'Writing Logic'!$J$7:$K$11,2,FALSE)&amp;" - Per "&amp;VLOOKUP($C$4,'Writing Logic'!$G$8:$H$14,2,FALSE),YES_Writing_ELA[#Headers],0))=0,"",INDEX(_xlfn.VSTACK(YES_Writing_ELA[#Data],YES_Writing_FLA[#Data]),MATCH($A518,_xlfn.VSTACK(YES_Writing_ELA[Student Number],YES_Writing_FLA[Student Number]),0),MATCH(VLOOKUP(G$7,'Writing Logic'!$J$7:$K$11,2,FALSE)&amp;" - Per "&amp;VLOOKUP($C$4,'Writing Logic'!$G$8:$H$14,2,FALSE),YES_Writing_ELA[#Headers],0)))),"")</f>
        <v/>
      </c>
      <c r="H518" s="223" t="str">
        <f>IFERROR(IF(IF(INDEX(_xlfn.VSTACK(YES_Writing_ELA[#Data],YES_Writing_FLA[#Data]),MATCH($A518,_xlfn.VSTACK(YES_Writing_ELA[Student Number],YES_Writing_FLA[Student Number]),0),MATCH(VLOOKUP(H$7,'Writing Logic'!$J$7:$K$11,2,FALSE)&amp;" - Per "&amp;VLOOKUP($C$4,'Writing Logic'!$G$8:$H$14,2,FALSE),YES_Writing_ELA[#Headers],0))=0,"",INDEX(_xlfn.VSTACK(YES_Writing_ELA[#Data],YES_Writing_FLA[#Data]),MATCH($A518,_xlfn.VSTACK(YES_Writing_ELA[Student Number],YES_Writing_FLA[Student Number]),0),MATCH(VLOOKUP(H$7,'Writing Logic'!$J$7:$K$11,2,FALSE)&amp;" - Per "&amp;VLOOKUP($C$4,'Writing Logic'!$G$8:$H$14,2,FALSE),YES_Writing_ELA[#Headers],0)))="INS",'Writing Logic'!$B$7,IF(INDEX(_xlfn.VSTACK(YES_Writing_ELA[#Data],YES_Writing_FLA[#Data]),MATCH($A518,_xlfn.VSTACK(YES_Writing_ELA[Student Number],YES_Writing_FLA[Student Number]),0),MATCH(VLOOKUP(H$7,'Writing Logic'!$J$7:$K$11,2,FALSE)&amp;" - Per "&amp;VLOOKUP($C$4,'Writing Logic'!$G$8:$H$14,2,FALSE),YES_Writing_ELA[#Headers],0))=0,"",INDEX(_xlfn.VSTACK(YES_Writing_ELA[#Data],YES_Writing_FLA[#Data]),MATCH($A518,_xlfn.VSTACK(YES_Writing_ELA[Student Number],YES_Writing_FLA[Student Number]),0),MATCH(VLOOKUP(H$7,'Writing Logic'!$J$7:$K$11,2,FALSE)&amp;" - Per "&amp;VLOOKUP($C$4,'Writing Logic'!$G$8:$H$14,2,FALSE),YES_Writing_ELA[#Headers],0)))),"")</f>
        <v/>
      </c>
      <c r="I518" s="224" t="str" cm="1">
        <f t="array" aca="1" ref="I518" ca="1">IFERROR(
IF($G$3="ELA",
IF(VLOOKUP($A518, YES_Reading_ELA[], COLUMN(INDIRECT("YES_Reading_ELA[Difference - Per "&amp;VLOOKUP($G$4, 'Reading Report Logic'!$A$2:$B$8, 2, FALSE)&amp;"]")), FALSE)="", "",
VLOOKUP($A518,YES_Reading_ELA[], COLUMN(INDIRECT("YES_Reading_ELA[Difference - Per "&amp;VLOOKUP($G$4,'Reading Report Logic'!$A$2:$B$8,2,FALSE)&amp;"]")), FALSE)),
IF($G$3="FLA",
IF(VLOOKUP($A518, YES_Reading_FLA[], COLUMN(INDIRECT("YES_Reading_FLA[Difference - Per "&amp;VLOOKUP($G$4,'Reading Report Logic'!$A$2:$B$8,2,FALSE)&amp;"]")),FALSE)="","",
VLOOKUP($A518,YES_Reading_FLA[],COLUMN(INDIRECT("YES_Reading_FLA[Difference - Per "&amp;VLOOKUP($G$4,'Reading Report Logic'!$A$2:$B$8,2,FALSE)&amp;"]")),FALSE)),
IF($G$3="Combined",
IFERROR(
IF(VLOOKUP($A518, YES_Reading_ELA[], COLUMN(INDIRECT("YES_Reading_ELA[Difference - Per "&amp;VLOOKUP($G$4, 'Reading Report Logic'!$A$2:$B$8,2,FALSE)&amp;"]")), FALSE)="", "",
VLOOKUP($A518,YES_Reading_ELA[],COLUMN(INDIRECT("YES_Reading_ELA[Difference - Per "&amp;VLOOKUP($G$4,'Reading Report Logic'!$A$2:$B$8,2,FALSE)&amp;"]")),FALSE)),
IF(VLOOKUP($A518, YES_Reading_FLA[], COLUMN(INDIRECT("YES_Reading_FLA[Difference - Per "&amp;VLOOKUP($G$4, 'Reading Report Logic'!$A$2:$B$8, 2, FALSE)&amp;"]")),FALSE)="", "", VLOOKUP($A518,YES_Reading_FLA[],COLUMN(INDIRECT("YES_Reading_FLA[Difference - Per "&amp;VLOOKUP($G$4, 'Reading Report Logic'!$A$2:$B$8, 2, FALSE)&amp;"]")),FALSE))),""))),"")</f>
        <v/>
      </c>
    </row>
    <row r="519" spans="1:9" x14ac:dyDescent="0.25">
      <c r="A519" s="137"/>
      <c r="B519" s="137" t="str">
        <f>IFERROR(INDEX(_xlfn.VSTACK(YES_Writing_ELA[#Data], YES_Writing_FLA[#Data]),MATCH($A519,_xlfn.VSTACK(YES_Writing_ELA[Student Number], YES_Writing_FLA[Student Number]),0),MATCH(B$7,YES_Writing_ELA[#Headers],0)),IFERROR(INDEX(_xlfn.VSTACK(YES_Reading_ELA[#Data], YES_Reading_FLA[#Data]),MATCH($A519,_xlfn.VSTACK(YES_Reading_ELA[Student Number], YES_Reading_FLA[Student Number]),0),MATCH(B$7,YES_Reading_ELA[#Headers],0)),""))</f>
        <v/>
      </c>
      <c r="C519" s="137" t="str">
        <f>IFERROR(INDEX(_xlfn.VSTACK(YES_Writing_ELA[#Data], YES_Writing_FLA[#Data]),MATCH($A519,_xlfn.VSTACK(YES_Writing_ELA[Student Number], YES_Writing_FLA[Student Number]),0),MATCH(C$7,YES_Writing_ELA[#Headers],0)),IFERROR(INDEX(_xlfn.VSTACK(YES_Reading_ELA[#Data], YES_Reading_FLA[#Data]),MATCH($A519,_xlfn.VSTACK(YES_Reading_ELA[Student Number], YES_Reading_FLA[Student Number]),0),MATCH(C$7,YES_Reading_ELA[#Headers],0)),""))</f>
        <v/>
      </c>
      <c r="D519" s="138" t="str">
        <f>IFERROR(IF(IF(INDEX(_xlfn.VSTACK(YES_Writing_ELA[#Data],YES_Writing_FLA[#Data]),MATCH($A519,_xlfn.VSTACK(YES_Writing_ELA[Student Number],YES_Writing_FLA[Student Number]),0),MATCH(VLOOKUP(D$7,'Writing Logic'!$J$7:$K$11,2,FALSE)&amp;" - Per "&amp;VLOOKUP($C$4,'Writing Logic'!$G$8:$H$14,2,FALSE),YES_Writing_ELA[#Headers],0))=0,"",INDEX(_xlfn.VSTACK(YES_Writing_ELA[#Data],YES_Writing_FLA[#Data]),MATCH($A519,_xlfn.VSTACK(YES_Writing_ELA[Student Number],YES_Writing_FLA[Student Number]),0),MATCH(VLOOKUP(D$7,'Writing Logic'!$J$7:$K$11,2,FALSE)&amp;" - Per "&amp;VLOOKUP($C$4,'Writing Logic'!$G$8:$H$14,2,FALSE),YES_Writing_ELA[#Headers],0)))="INS",'Writing Logic'!$B$7,IF(INDEX(_xlfn.VSTACK(YES_Writing_ELA[#Data],YES_Writing_FLA[#Data]),MATCH($A519,_xlfn.VSTACK(YES_Writing_ELA[Student Number],YES_Writing_FLA[Student Number]),0),MATCH(VLOOKUP(D$7,'Writing Logic'!$J$7:$K$11,2,FALSE)&amp;" - Per "&amp;VLOOKUP($C$4,'Writing Logic'!$G$8:$H$14,2,FALSE),YES_Writing_ELA[#Headers],0))=0,"",INDEX(_xlfn.VSTACK(YES_Writing_ELA[#Data],YES_Writing_FLA[#Data]),MATCH($A519,_xlfn.VSTACK(YES_Writing_ELA[Student Number],YES_Writing_FLA[Student Number]),0),MATCH(VLOOKUP(D$7,'Writing Logic'!$J$7:$K$11,2,FALSE)&amp;" - Per "&amp;VLOOKUP($C$4,'Writing Logic'!$G$8:$H$14,2,FALSE),YES_Writing_ELA[#Headers],0)))),"")</f>
        <v/>
      </c>
      <c r="E519" s="138" t="str">
        <f>IFERROR(IF(IF(INDEX(_xlfn.VSTACK(YES_Writing_ELA[#Data],YES_Writing_FLA[#Data]),MATCH($A519,_xlfn.VSTACK(YES_Writing_ELA[Student Number],YES_Writing_FLA[Student Number]),0),MATCH(VLOOKUP(E$7,'Writing Logic'!$J$7:$K$11,2,FALSE)&amp;" - Per "&amp;VLOOKUP($C$4,'Writing Logic'!$G$8:$H$14,2,FALSE),YES_Writing_ELA[#Headers],0))=0,"",INDEX(_xlfn.VSTACK(YES_Writing_ELA[#Data],YES_Writing_FLA[#Data]),MATCH($A519,_xlfn.VSTACK(YES_Writing_ELA[Student Number],YES_Writing_FLA[Student Number]),0),MATCH(VLOOKUP(E$7,'Writing Logic'!$J$7:$K$11,2,FALSE)&amp;" - Per "&amp;VLOOKUP($C$4,'Writing Logic'!$G$8:$H$14,2,FALSE),YES_Writing_ELA[#Headers],0)))="INS",'Writing Logic'!$B$7,IF(INDEX(_xlfn.VSTACK(YES_Writing_ELA[#Data],YES_Writing_FLA[#Data]),MATCH($A519,_xlfn.VSTACK(YES_Writing_ELA[Student Number],YES_Writing_FLA[Student Number]),0),MATCH(VLOOKUP(E$7,'Writing Logic'!$J$7:$K$11,2,FALSE)&amp;" - Per "&amp;VLOOKUP($C$4,'Writing Logic'!$G$8:$H$14,2,FALSE),YES_Writing_ELA[#Headers],0))=0,"",INDEX(_xlfn.VSTACK(YES_Writing_ELA[#Data],YES_Writing_FLA[#Data]),MATCH($A519,_xlfn.VSTACK(YES_Writing_ELA[Student Number],YES_Writing_FLA[Student Number]),0),MATCH(VLOOKUP(E$7,'Writing Logic'!$J$7:$K$11,2,FALSE)&amp;" - Per "&amp;VLOOKUP($C$4,'Writing Logic'!$G$8:$H$14,2,FALSE),YES_Writing_ELA[#Headers],0)))),"")</f>
        <v/>
      </c>
      <c r="F519" s="138" t="str">
        <f>IFERROR(IF(IF(INDEX(_xlfn.VSTACK(YES_Writing_ELA[#Data],YES_Writing_FLA[#Data]),MATCH($A519,_xlfn.VSTACK(YES_Writing_ELA[Student Number],YES_Writing_FLA[Student Number]),0),MATCH(VLOOKUP(F$7,'Writing Logic'!$J$7:$K$11,2,FALSE)&amp;" - Per "&amp;VLOOKUP($C$4,'Writing Logic'!$G$8:$H$14,2,FALSE),YES_Writing_ELA[#Headers],0))=0,"",INDEX(_xlfn.VSTACK(YES_Writing_ELA[#Data],YES_Writing_FLA[#Data]),MATCH($A519,_xlfn.VSTACK(YES_Writing_ELA[Student Number],YES_Writing_FLA[Student Number]),0),MATCH(VLOOKUP(F$7,'Writing Logic'!$J$7:$K$11,2,FALSE)&amp;" - Per "&amp;VLOOKUP($C$4,'Writing Logic'!$G$8:$H$14,2,FALSE),YES_Writing_ELA[#Headers],0)))="INS",'Writing Logic'!$B$7,IF(INDEX(_xlfn.VSTACK(YES_Writing_ELA[#Data],YES_Writing_FLA[#Data]),MATCH($A519,_xlfn.VSTACK(YES_Writing_ELA[Student Number],YES_Writing_FLA[Student Number]),0),MATCH(VLOOKUP(F$7,'Writing Logic'!$J$7:$K$11,2,FALSE)&amp;" - Per "&amp;VLOOKUP($C$4,'Writing Logic'!$G$8:$H$14,2,FALSE),YES_Writing_ELA[#Headers],0))=0,"",INDEX(_xlfn.VSTACK(YES_Writing_ELA[#Data],YES_Writing_FLA[#Data]),MATCH($A519,_xlfn.VSTACK(YES_Writing_ELA[Student Number],YES_Writing_FLA[Student Number]),0),MATCH(VLOOKUP(F$7,'Writing Logic'!$J$7:$K$11,2,FALSE)&amp;" - Per "&amp;VLOOKUP($C$4,'Writing Logic'!$G$8:$H$14,2,FALSE),YES_Writing_ELA[#Headers],0)))),"")</f>
        <v/>
      </c>
      <c r="G519" s="138" t="str">
        <f>IFERROR(IF(IF(INDEX(_xlfn.VSTACK(YES_Writing_ELA[#Data],YES_Writing_FLA[#Data]),MATCH($A519,_xlfn.VSTACK(YES_Writing_ELA[Student Number],YES_Writing_FLA[Student Number]),0),MATCH(VLOOKUP(G$7,'Writing Logic'!$J$7:$K$11,2,FALSE)&amp;" - Per "&amp;VLOOKUP($C$4,'Writing Logic'!$G$8:$H$14,2,FALSE),YES_Writing_ELA[#Headers],0))=0,"",INDEX(_xlfn.VSTACK(YES_Writing_ELA[#Data],YES_Writing_FLA[#Data]),MATCH($A519,_xlfn.VSTACK(YES_Writing_ELA[Student Number],YES_Writing_FLA[Student Number]),0),MATCH(VLOOKUP(G$7,'Writing Logic'!$J$7:$K$11,2,FALSE)&amp;" - Per "&amp;VLOOKUP($C$4,'Writing Logic'!$G$8:$H$14,2,FALSE),YES_Writing_ELA[#Headers],0)))="INS",'Writing Logic'!$B$7,IF(INDEX(_xlfn.VSTACK(YES_Writing_ELA[#Data],YES_Writing_FLA[#Data]),MATCH($A519,_xlfn.VSTACK(YES_Writing_ELA[Student Number],YES_Writing_FLA[Student Number]),0),MATCH(VLOOKUP(G$7,'Writing Logic'!$J$7:$K$11,2,FALSE)&amp;" - Per "&amp;VLOOKUP($C$4,'Writing Logic'!$G$8:$H$14,2,FALSE),YES_Writing_ELA[#Headers],0))=0,"",INDEX(_xlfn.VSTACK(YES_Writing_ELA[#Data],YES_Writing_FLA[#Data]),MATCH($A519,_xlfn.VSTACK(YES_Writing_ELA[Student Number],YES_Writing_FLA[Student Number]),0),MATCH(VLOOKUP(G$7,'Writing Logic'!$J$7:$K$11,2,FALSE)&amp;" - Per "&amp;VLOOKUP($C$4,'Writing Logic'!$G$8:$H$14,2,FALSE),YES_Writing_ELA[#Headers],0)))),"")</f>
        <v/>
      </c>
      <c r="H519" s="223" t="str">
        <f>IFERROR(IF(IF(INDEX(_xlfn.VSTACK(YES_Writing_ELA[#Data],YES_Writing_FLA[#Data]),MATCH($A519,_xlfn.VSTACK(YES_Writing_ELA[Student Number],YES_Writing_FLA[Student Number]),0),MATCH(VLOOKUP(H$7,'Writing Logic'!$J$7:$K$11,2,FALSE)&amp;" - Per "&amp;VLOOKUP($C$4,'Writing Logic'!$G$8:$H$14,2,FALSE),YES_Writing_ELA[#Headers],0))=0,"",INDEX(_xlfn.VSTACK(YES_Writing_ELA[#Data],YES_Writing_FLA[#Data]),MATCH($A519,_xlfn.VSTACK(YES_Writing_ELA[Student Number],YES_Writing_FLA[Student Number]),0),MATCH(VLOOKUP(H$7,'Writing Logic'!$J$7:$K$11,2,FALSE)&amp;" - Per "&amp;VLOOKUP($C$4,'Writing Logic'!$G$8:$H$14,2,FALSE),YES_Writing_ELA[#Headers],0)))="INS",'Writing Logic'!$B$7,IF(INDEX(_xlfn.VSTACK(YES_Writing_ELA[#Data],YES_Writing_FLA[#Data]),MATCH($A519,_xlfn.VSTACK(YES_Writing_ELA[Student Number],YES_Writing_FLA[Student Number]),0),MATCH(VLOOKUP(H$7,'Writing Logic'!$J$7:$K$11,2,FALSE)&amp;" - Per "&amp;VLOOKUP($C$4,'Writing Logic'!$G$8:$H$14,2,FALSE),YES_Writing_ELA[#Headers],0))=0,"",INDEX(_xlfn.VSTACK(YES_Writing_ELA[#Data],YES_Writing_FLA[#Data]),MATCH($A519,_xlfn.VSTACK(YES_Writing_ELA[Student Number],YES_Writing_FLA[Student Number]),0),MATCH(VLOOKUP(H$7,'Writing Logic'!$J$7:$K$11,2,FALSE)&amp;" - Per "&amp;VLOOKUP($C$4,'Writing Logic'!$G$8:$H$14,2,FALSE),YES_Writing_ELA[#Headers],0)))),"")</f>
        <v/>
      </c>
      <c r="I519" s="224" t="str" cm="1">
        <f t="array" aca="1" ref="I519" ca="1">IFERROR(
IF($G$3="ELA",
IF(VLOOKUP($A519, YES_Reading_ELA[], COLUMN(INDIRECT("YES_Reading_ELA[Difference - Per "&amp;VLOOKUP($G$4, 'Reading Report Logic'!$A$2:$B$8, 2, FALSE)&amp;"]")), FALSE)="", "",
VLOOKUP($A519,YES_Reading_ELA[], COLUMN(INDIRECT("YES_Reading_ELA[Difference - Per "&amp;VLOOKUP($G$4,'Reading Report Logic'!$A$2:$B$8,2,FALSE)&amp;"]")), FALSE)),
IF($G$3="FLA",
IF(VLOOKUP($A519, YES_Reading_FLA[], COLUMN(INDIRECT("YES_Reading_FLA[Difference - Per "&amp;VLOOKUP($G$4,'Reading Report Logic'!$A$2:$B$8,2,FALSE)&amp;"]")),FALSE)="","",
VLOOKUP($A519,YES_Reading_FLA[],COLUMN(INDIRECT("YES_Reading_FLA[Difference - Per "&amp;VLOOKUP($G$4,'Reading Report Logic'!$A$2:$B$8,2,FALSE)&amp;"]")),FALSE)),
IF($G$3="Combined",
IFERROR(
IF(VLOOKUP($A519, YES_Reading_ELA[], COLUMN(INDIRECT("YES_Reading_ELA[Difference - Per "&amp;VLOOKUP($G$4, 'Reading Report Logic'!$A$2:$B$8,2,FALSE)&amp;"]")), FALSE)="", "",
VLOOKUP($A519,YES_Reading_ELA[],COLUMN(INDIRECT("YES_Reading_ELA[Difference - Per "&amp;VLOOKUP($G$4,'Reading Report Logic'!$A$2:$B$8,2,FALSE)&amp;"]")),FALSE)),
IF(VLOOKUP($A519, YES_Reading_FLA[], COLUMN(INDIRECT("YES_Reading_FLA[Difference - Per "&amp;VLOOKUP($G$4, 'Reading Report Logic'!$A$2:$B$8, 2, FALSE)&amp;"]")),FALSE)="", "", VLOOKUP($A519,YES_Reading_FLA[],COLUMN(INDIRECT("YES_Reading_FLA[Difference - Per "&amp;VLOOKUP($G$4, 'Reading Report Logic'!$A$2:$B$8, 2, FALSE)&amp;"]")),FALSE))),""))),"")</f>
        <v/>
      </c>
    </row>
    <row r="520" spans="1:9" x14ac:dyDescent="0.25">
      <c r="A520" s="137"/>
      <c r="B520" s="137" t="str">
        <f>IFERROR(INDEX(_xlfn.VSTACK(YES_Writing_ELA[#Data], YES_Writing_FLA[#Data]),MATCH($A520,_xlfn.VSTACK(YES_Writing_ELA[Student Number], YES_Writing_FLA[Student Number]),0),MATCH(B$7,YES_Writing_ELA[#Headers],0)),IFERROR(INDEX(_xlfn.VSTACK(YES_Reading_ELA[#Data], YES_Reading_FLA[#Data]),MATCH($A520,_xlfn.VSTACK(YES_Reading_ELA[Student Number], YES_Reading_FLA[Student Number]),0),MATCH(B$7,YES_Reading_ELA[#Headers],0)),""))</f>
        <v/>
      </c>
      <c r="C520" s="137" t="str">
        <f>IFERROR(INDEX(_xlfn.VSTACK(YES_Writing_ELA[#Data], YES_Writing_FLA[#Data]),MATCH($A520,_xlfn.VSTACK(YES_Writing_ELA[Student Number], YES_Writing_FLA[Student Number]),0),MATCH(C$7,YES_Writing_ELA[#Headers],0)),IFERROR(INDEX(_xlfn.VSTACK(YES_Reading_ELA[#Data], YES_Reading_FLA[#Data]),MATCH($A520,_xlfn.VSTACK(YES_Reading_ELA[Student Number], YES_Reading_FLA[Student Number]),0),MATCH(C$7,YES_Reading_ELA[#Headers],0)),""))</f>
        <v/>
      </c>
      <c r="D520" s="138" t="str">
        <f>IFERROR(IF(IF(INDEX(_xlfn.VSTACK(YES_Writing_ELA[#Data],YES_Writing_FLA[#Data]),MATCH($A520,_xlfn.VSTACK(YES_Writing_ELA[Student Number],YES_Writing_FLA[Student Number]),0),MATCH(VLOOKUP(D$7,'Writing Logic'!$J$7:$K$11,2,FALSE)&amp;" - Per "&amp;VLOOKUP($C$4,'Writing Logic'!$G$8:$H$14,2,FALSE),YES_Writing_ELA[#Headers],0))=0,"",INDEX(_xlfn.VSTACK(YES_Writing_ELA[#Data],YES_Writing_FLA[#Data]),MATCH($A520,_xlfn.VSTACK(YES_Writing_ELA[Student Number],YES_Writing_FLA[Student Number]),0),MATCH(VLOOKUP(D$7,'Writing Logic'!$J$7:$K$11,2,FALSE)&amp;" - Per "&amp;VLOOKUP($C$4,'Writing Logic'!$G$8:$H$14,2,FALSE),YES_Writing_ELA[#Headers],0)))="INS",'Writing Logic'!$B$7,IF(INDEX(_xlfn.VSTACK(YES_Writing_ELA[#Data],YES_Writing_FLA[#Data]),MATCH($A520,_xlfn.VSTACK(YES_Writing_ELA[Student Number],YES_Writing_FLA[Student Number]),0),MATCH(VLOOKUP(D$7,'Writing Logic'!$J$7:$K$11,2,FALSE)&amp;" - Per "&amp;VLOOKUP($C$4,'Writing Logic'!$G$8:$H$14,2,FALSE),YES_Writing_ELA[#Headers],0))=0,"",INDEX(_xlfn.VSTACK(YES_Writing_ELA[#Data],YES_Writing_FLA[#Data]),MATCH($A520,_xlfn.VSTACK(YES_Writing_ELA[Student Number],YES_Writing_FLA[Student Number]),0),MATCH(VLOOKUP(D$7,'Writing Logic'!$J$7:$K$11,2,FALSE)&amp;" - Per "&amp;VLOOKUP($C$4,'Writing Logic'!$G$8:$H$14,2,FALSE),YES_Writing_ELA[#Headers],0)))),"")</f>
        <v/>
      </c>
      <c r="E520" s="138" t="str">
        <f>IFERROR(IF(IF(INDEX(_xlfn.VSTACK(YES_Writing_ELA[#Data],YES_Writing_FLA[#Data]),MATCH($A520,_xlfn.VSTACK(YES_Writing_ELA[Student Number],YES_Writing_FLA[Student Number]),0),MATCH(VLOOKUP(E$7,'Writing Logic'!$J$7:$K$11,2,FALSE)&amp;" - Per "&amp;VLOOKUP($C$4,'Writing Logic'!$G$8:$H$14,2,FALSE),YES_Writing_ELA[#Headers],0))=0,"",INDEX(_xlfn.VSTACK(YES_Writing_ELA[#Data],YES_Writing_FLA[#Data]),MATCH($A520,_xlfn.VSTACK(YES_Writing_ELA[Student Number],YES_Writing_FLA[Student Number]),0),MATCH(VLOOKUP(E$7,'Writing Logic'!$J$7:$K$11,2,FALSE)&amp;" - Per "&amp;VLOOKUP($C$4,'Writing Logic'!$G$8:$H$14,2,FALSE),YES_Writing_ELA[#Headers],0)))="INS",'Writing Logic'!$B$7,IF(INDEX(_xlfn.VSTACK(YES_Writing_ELA[#Data],YES_Writing_FLA[#Data]),MATCH($A520,_xlfn.VSTACK(YES_Writing_ELA[Student Number],YES_Writing_FLA[Student Number]),0),MATCH(VLOOKUP(E$7,'Writing Logic'!$J$7:$K$11,2,FALSE)&amp;" - Per "&amp;VLOOKUP($C$4,'Writing Logic'!$G$8:$H$14,2,FALSE),YES_Writing_ELA[#Headers],0))=0,"",INDEX(_xlfn.VSTACK(YES_Writing_ELA[#Data],YES_Writing_FLA[#Data]),MATCH($A520,_xlfn.VSTACK(YES_Writing_ELA[Student Number],YES_Writing_FLA[Student Number]),0),MATCH(VLOOKUP(E$7,'Writing Logic'!$J$7:$K$11,2,FALSE)&amp;" - Per "&amp;VLOOKUP($C$4,'Writing Logic'!$G$8:$H$14,2,FALSE),YES_Writing_ELA[#Headers],0)))),"")</f>
        <v/>
      </c>
      <c r="F520" s="138" t="str">
        <f>IFERROR(IF(IF(INDEX(_xlfn.VSTACK(YES_Writing_ELA[#Data],YES_Writing_FLA[#Data]),MATCH($A520,_xlfn.VSTACK(YES_Writing_ELA[Student Number],YES_Writing_FLA[Student Number]),0),MATCH(VLOOKUP(F$7,'Writing Logic'!$J$7:$K$11,2,FALSE)&amp;" - Per "&amp;VLOOKUP($C$4,'Writing Logic'!$G$8:$H$14,2,FALSE),YES_Writing_ELA[#Headers],0))=0,"",INDEX(_xlfn.VSTACK(YES_Writing_ELA[#Data],YES_Writing_FLA[#Data]),MATCH($A520,_xlfn.VSTACK(YES_Writing_ELA[Student Number],YES_Writing_FLA[Student Number]),0),MATCH(VLOOKUP(F$7,'Writing Logic'!$J$7:$K$11,2,FALSE)&amp;" - Per "&amp;VLOOKUP($C$4,'Writing Logic'!$G$8:$H$14,2,FALSE),YES_Writing_ELA[#Headers],0)))="INS",'Writing Logic'!$B$7,IF(INDEX(_xlfn.VSTACK(YES_Writing_ELA[#Data],YES_Writing_FLA[#Data]),MATCH($A520,_xlfn.VSTACK(YES_Writing_ELA[Student Number],YES_Writing_FLA[Student Number]),0),MATCH(VLOOKUP(F$7,'Writing Logic'!$J$7:$K$11,2,FALSE)&amp;" - Per "&amp;VLOOKUP($C$4,'Writing Logic'!$G$8:$H$14,2,FALSE),YES_Writing_ELA[#Headers],0))=0,"",INDEX(_xlfn.VSTACK(YES_Writing_ELA[#Data],YES_Writing_FLA[#Data]),MATCH($A520,_xlfn.VSTACK(YES_Writing_ELA[Student Number],YES_Writing_FLA[Student Number]),0),MATCH(VLOOKUP(F$7,'Writing Logic'!$J$7:$K$11,2,FALSE)&amp;" - Per "&amp;VLOOKUP($C$4,'Writing Logic'!$G$8:$H$14,2,FALSE),YES_Writing_ELA[#Headers],0)))),"")</f>
        <v/>
      </c>
      <c r="G520" s="138" t="str">
        <f>IFERROR(IF(IF(INDEX(_xlfn.VSTACK(YES_Writing_ELA[#Data],YES_Writing_FLA[#Data]),MATCH($A520,_xlfn.VSTACK(YES_Writing_ELA[Student Number],YES_Writing_FLA[Student Number]),0),MATCH(VLOOKUP(G$7,'Writing Logic'!$J$7:$K$11,2,FALSE)&amp;" - Per "&amp;VLOOKUP($C$4,'Writing Logic'!$G$8:$H$14,2,FALSE),YES_Writing_ELA[#Headers],0))=0,"",INDEX(_xlfn.VSTACK(YES_Writing_ELA[#Data],YES_Writing_FLA[#Data]),MATCH($A520,_xlfn.VSTACK(YES_Writing_ELA[Student Number],YES_Writing_FLA[Student Number]),0),MATCH(VLOOKUP(G$7,'Writing Logic'!$J$7:$K$11,2,FALSE)&amp;" - Per "&amp;VLOOKUP($C$4,'Writing Logic'!$G$8:$H$14,2,FALSE),YES_Writing_ELA[#Headers],0)))="INS",'Writing Logic'!$B$7,IF(INDEX(_xlfn.VSTACK(YES_Writing_ELA[#Data],YES_Writing_FLA[#Data]),MATCH($A520,_xlfn.VSTACK(YES_Writing_ELA[Student Number],YES_Writing_FLA[Student Number]),0),MATCH(VLOOKUP(G$7,'Writing Logic'!$J$7:$K$11,2,FALSE)&amp;" - Per "&amp;VLOOKUP($C$4,'Writing Logic'!$G$8:$H$14,2,FALSE),YES_Writing_ELA[#Headers],0))=0,"",INDEX(_xlfn.VSTACK(YES_Writing_ELA[#Data],YES_Writing_FLA[#Data]),MATCH($A520,_xlfn.VSTACK(YES_Writing_ELA[Student Number],YES_Writing_FLA[Student Number]),0),MATCH(VLOOKUP(G$7,'Writing Logic'!$J$7:$K$11,2,FALSE)&amp;" - Per "&amp;VLOOKUP($C$4,'Writing Logic'!$G$8:$H$14,2,FALSE),YES_Writing_ELA[#Headers],0)))),"")</f>
        <v/>
      </c>
      <c r="H520" s="223" t="str">
        <f>IFERROR(IF(IF(INDEX(_xlfn.VSTACK(YES_Writing_ELA[#Data],YES_Writing_FLA[#Data]),MATCH($A520,_xlfn.VSTACK(YES_Writing_ELA[Student Number],YES_Writing_FLA[Student Number]),0),MATCH(VLOOKUP(H$7,'Writing Logic'!$J$7:$K$11,2,FALSE)&amp;" - Per "&amp;VLOOKUP($C$4,'Writing Logic'!$G$8:$H$14,2,FALSE),YES_Writing_ELA[#Headers],0))=0,"",INDEX(_xlfn.VSTACK(YES_Writing_ELA[#Data],YES_Writing_FLA[#Data]),MATCH($A520,_xlfn.VSTACK(YES_Writing_ELA[Student Number],YES_Writing_FLA[Student Number]),0),MATCH(VLOOKUP(H$7,'Writing Logic'!$J$7:$K$11,2,FALSE)&amp;" - Per "&amp;VLOOKUP($C$4,'Writing Logic'!$G$8:$H$14,2,FALSE),YES_Writing_ELA[#Headers],0)))="INS",'Writing Logic'!$B$7,IF(INDEX(_xlfn.VSTACK(YES_Writing_ELA[#Data],YES_Writing_FLA[#Data]),MATCH($A520,_xlfn.VSTACK(YES_Writing_ELA[Student Number],YES_Writing_FLA[Student Number]),0),MATCH(VLOOKUP(H$7,'Writing Logic'!$J$7:$K$11,2,FALSE)&amp;" - Per "&amp;VLOOKUP($C$4,'Writing Logic'!$G$8:$H$14,2,FALSE),YES_Writing_ELA[#Headers],0))=0,"",INDEX(_xlfn.VSTACK(YES_Writing_ELA[#Data],YES_Writing_FLA[#Data]),MATCH($A520,_xlfn.VSTACK(YES_Writing_ELA[Student Number],YES_Writing_FLA[Student Number]),0),MATCH(VLOOKUP(H$7,'Writing Logic'!$J$7:$K$11,2,FALSE)&amp;" - Per "&amp;VLOOKUP($C$4,'Writing Logic'!$G$8:$H$14,2,FALSE),YES_Writing_ELA[#Headers],0)))),"")</f>
        <v/>
      </c>
      <c r="I520" s="224" t="str" cm="1">
        <f t="array" aca="1" ref="I520" ca="1">IFERROR(
IF($G$3="ELA",
IF(VLOOKUP($A520, YES_Reading_ELA[], COLUMN(INDIRECT("YES_Reading_ELA[Difference - Per "&amp;VLOOKUP($G$4, 'Reading Report Logic'!$A$2:$B$8, 2, FALSE)&amp;"]")), FALSE)="", "",
VLOOKUP($A520,YES_Reading_ELA[], COLUMN(INDIRECT("YES_Reading_ELA[Difference - Per "&amp;VLOOKUP($G$4,'Reading Report Logic'!$A$2:$B$8,2,FALSE)&amp;"]")), FALSE)),
IF($G$3="FLA",
IF(VLOOKUP($A520, YES_Reading_FLA[], COLUMN(INDIRECT("YES_Reading_FLA[Difference - Per "&amp;VLOOKUP($G$4,'Reading Report Logic'!$A$2:$B$8,2,FALSE)&amp;"]")),FALSE)="","",
VLOOKUP($A520,YES_Reading_FLA[],COLUMN(INDIRECT("YES_Reading_FLA[Difference - Per "&amp;VLOOKUP($G$4,'Reading Report Logic'!$A$2:$B$8,2,FALSE)&amp;"]")),FALSE)),
IF($G$3="Combined",
IFERROR(
IF(VLOOKUP($A520, YES_Reading_ELA[], COLUMN(INDIRECT("YES_Reading_ELA[Difference - Per "&amp;VLOOKUP($G$4, 'Reading Report Logic'!$A$2:$B$8,2,FALSE)&amp;"]")), FALSE)="", "",
VLOOKUP($A520,YES_Reading_ELA[],COLUMN(INDIRECT("YES_Reading_ELA[Difference - Per "&amp;VLOOKUP($G$4,'Reading Report Logic'!$A$2:$B$8,2,FALSE)&amp;"]")),FALSE)),
IF(VLOOKUP($A520, YES_Reading_FLA[], COLUMN(INDIRECT("YES_Reading_FLA[Difference - Per "&amp;VLOOKUP($G$4, 'Reading Report Logic'!$A$2:$B$8, 2, FALSE)&amp;"]")),FALSE)="", "", VLOOKUP($A520,YES_Reading_FLA[],COLUMN(INDIRECT("YES_Reading_FLA[Difference - Per "&amp;VLOOKUP($G$4, 'Reading Report Logic'!$A$2:$B$8, 2, FALSE)&amp;"]")),FALSE))),""))),"")</f>
        <v/>
      </c>
    </row>
    <row r="521" spans="1:9" x14ac:dyDescent="0.25">
      <c r="A521" s="137"/>
      <c r="B521" s="137" t="str">
        <f>IFERROR(INDEX(_xlfn.VSTACK(YES_Writing_ELA[#Data], YES_Writing_FLA[#Data]),MATCH($A521,_xlfn.VSTACK(YES_Writing_ELA[Student Number], YES_Writing_FLA[Student Number]),0),MATCH(B$7,YES_Writing_ELA[#Headers],0)),IFERROR(INDEX(_xlfn.VSTACK(YES_Reading_ELA[#Data], YES_Reading_FLA[#Data]),MATCH($A521,_xlfn.VSTACK(YES_Reading_ELA[Student Number], YES_Reading_FLA[Student Number]),0),MATCH(B$7,YES_Reading_ELA[#Headers],0)),""))</f>
        <v/>
      </c>
      <c r="C521" s="137" t="str">
        <f>IFERROR(INDEX(_xlfn.VSTACK(YES_Writing_ELA[#Data], YES_Writing_FLA[#Data]),MATCH($A521,_xlfn.VSTACK(YES_Writing_ELA[Student Number], YES_Writing_FLA[Student Number]),0),MATCH(C$7,YES_Writing_ELA[#Headers],0)),IFERROR(INDEX(_xlfn.VSTACK(YES_Reading_ELA[#Data], YES_Reading_FLA[#Data]),MATCH($A521,_xlfn.VSTACK(YES_Reading_ELA[Student Number], YES_Reading_FLA[Student Number]),0),MATCH(C$7,YES_Reading_ELA[#Headers],0)),""))</f>
        <v/>
      </c>
      <c r="D521" s="138" t="str">
        <f>IFERROR(IF(IF(INDEX(_xlfn.VSTACK(YES_Writing_ELA[#Data],YES_Writing_FLA[#Data]),MATCH($A521,_xlfn.VSTACK(YES_Writing_ELA[Student Number],YES_Writing_FLA[Student Number]),0),MATCH(VLOOKUP(D$7,'Writing Logic'!$J$7:$K$11,2,FALSE)&amp;" - Per "&amp;VLOOKUP($C$4,'Writing Logic'!$G$8:$H$14,2,FALSE),YES_Writing_ELA[#Headers],0))=0,"",INDEX(_xlfn.VSTACK(YES_Writing_ELA[#Data],YES_Writing_FLA[#Data]),MATCH($A521,_xlfn.VSTACK(YES_Writing_ELA[Student Number],YES_Writing_FLA[Student Number]),0),MATCH(VLOOKUP(D$7,'Writing Logic'!$J$7:$K$11,2,FALSE)&amp;" - Per "&amp;VLOOKUP($C$4,'Writing Logic'!$G$8:$H$14,2,FALSE),YES_Writing_ELA[#Headers],0)))="INS",'Writing Logic'!$B$7,IF(INDEX(_xlfn.VSTACK(YES_Writing_ELA[#Data],YES_Writing_FLA[#Data]),MATCH($A521,_xlfn.VSTACK(YES_Writing_ELA[Student Number],YES_Writing_FLA[Student Number]),0),MATCH(VLOOKUP(D$7,'Writing Logic'!$J$7:$K$11,2,FALSE)&amp;" - Per "&amp;VLOOKUP($C$4,'Writing Logic'!$G$8:$H$14,2,FALSE),YES_Writing_ELA[#Headers],0))=0,"",INDEX(_xlfn.VSTACK(YES_Writing_ELA[#Data],YES_Writing_FLA[#Data]),MATCH($A521,_xlfn.VSTACK(YES_Writing_ELA[Student Number],YES_Writing_FLA[Student Number]),0),MATCH(VLOOKUP(D$7,'Writing Logic'!$J$7:$K$11,2,FALSE)&amp;" - Per "&amp;VLOOKUP($C$4,'Writing Logic'!$G$8:$H$14,2,FALSE),YES_Writing_ELA[#Headers],0)))),"")</f>
        <v/>
      </c>
      <c r="E521" s="138" t="str">
        <f>IFERROR(IF(IF(INDEX(_xlfn.VSTACK(YES_Writing_ELA[#Data],YES_Writing_FLA[#Data]),MATCH($A521,_xlfn.VSTACK(YES_Writing_ELA[Student Number],YES_Writing_FLA[Student Number]),0),MATCH(VLOOKUP(E$7,'Writing Logic'!$J$7:$K$11,2,FALSE)&amp;" - Per "&amp;VLOOKUP($C$4,'Writing Logic'!$G$8:$H$14,2,FALSE),YES_Writing_ELA[#Headers],0))=0,"",INDEX(_xlfn.VSTACK(YES_Writing_ELA[#Data],YES_Writing_FLA[#Data]),MATCH($A521,_xlfn.VSTACK(YES_Writing_ELA[Student Number],YES_Writing_FLA[Student Number]),0),MATCH(VLOOKUP(E$7,'Writing Logic'!$J$7:$K$11,2,FALSE)&amp;" - Per "&amp;VLOOKUP($C$4,'Writing Logic'!$G$8:$H$14,2,FALSE),YES_Writing_ELA[#Headers],0)))="INS",'Writing Logic'!$B$7,IF(INDEX(_xlfn.VSTACK(YES_Writing_ELA[#Data],YES_Writing_FLA[#Data]),MATCH($A521,_xlfn.VSTACK(YES_Writing_ELA[Student Number],YES_Writing_FLA[Student Number]),0),MATCH(VLOOKUP(E$7,'Writing Logic'!$J$7:$K$11,2,FALSE)&amp;" - Per "&amp;VLOOKUP($C$4,'Writing Logic'!$G$8:$H$14,2,FALSE),YES_Writing_ELA[#Headers],0))=0,"",INDEX(_xlfn.VSTACK(YES_Writing_ELA[#Data],YES_Writing_FLA[#Data]),MATCH($A521,_xlfn.VSTACK(YES_Writing_ELA[Student Number],YES_Writing_FLA[Student Number]),0),MATCH(VLOOKUP(E$7,'Writing Logic'!$J$7:$K$11,2,FALSE)&amp;" - Per "&amp;VLOOKUP($C$4,'Writing Logic'!$G$8:$H$14,2,FALSE),YES_Writing_ELA[#Headers],0)))),"")</f>
        <v/>
      </c>
      <c r="F521" s="138" t="str">
        <f>IFERROR(IF(IF(INDEX(_xlfn.VSTACK(YES_Writing_ELA[#Data],YES_Writing_FLA[#Data]),MATCH($A521,_xlfn.VSTACK(YES_Writing_ELA[Student Number],YES_Writing_FLA[Student Number]),0),MATCH(VLOOKUP(F$7,'Writing Logic'!$J$7:$K$11,2,FALSE)&amp;" - Per "&amp;VLOOKUP($C$4,'Writing Logic'!$G$8:$H$14,2,FALSE),YES_Writing_ELA[#Headers],0))=0,"",INDEX(_xlfn.VSTACK(YES_Writing_ELA[#Data],YES_Writing_FLA[#Data]),MATCH($A521,_xlfn.VSTACK(YES_Writing_ELA[Student Number],YES_Writing_FLA[Student Number]),0),MATCH(VLOOKUP(F$7,'Writing Logic'!$J$7:$K$11,2,FALSE)&amp;" - Per "&amp;VLOOKUP($C$4,'Writing Logic'!$G$8:$H$14,2,FALSE),YES_Writing_ELA[#Headers],0)))="INS",'Writing Logic'!$B$7,IF(INDEX(_xlfn.VSTACK(YES_Writing_ELA[#Data],YES_Writing_FLA[#Data]),MATCH($A521,_xlfn.VSTACK(YES_Writing_ELA[Student Number],YES_Writing_FLA[Student Number]),0),MATCH(VLOOKUP(F$7,'Writing Logic'!$J$7:$K$11,2,FALSE)&amp;" - Per "&amp;VLOOKUP($C$4,'Writing Logic'!$G$8:$H$14,2,FALSE),YES_Writing_ELA[#Headers],0))=0,"",INDEX(_xlfn.VSTACK(YES_Writing_ELA[#Data],YES_Writing_FLA[#Data]),MATCH($A521,_xlfn.VSTACK(YES_Writing_ELA[Student Number],YES_Writing_FLA[Student Number]),0),MATCH(VLOOKUP(F$7,'Writing Logic'!$J$7:$K$11,2,FALSE)&amp;" - Per "&amp;VLOOKUP($C$4,'Writing Logic'!$G$8:$H$14,2,FALSE),YES_Writing_ELA[#Headers],0)))),"")</f>
        <v/>
      </c>
      <c r="G521" s="138" t="str">
        <f>IFERROR(IF(IF(INDEX(_xlfn.VSTACK(YES_Writing_ELA[#Data],YES_Writing_FLA[#Data]),MATCH($A521,_xlfn.VSTACK(YES_Writing_ELA[Student Number],YES_Writing_FLA[Student Number]),0),MATCH(VLOOKUP(G$7,'Writing Logic'!$J$7:$K$11,2,FALSE)&amp;" - Per "&amp;VLOOKUP($C$4,'Writing Logic'!$G$8:$H$14,2,FALSE),YES_Writing_ELA[#Headers],0))=0,"",INDEX(_xlfn.VSTACK(YES_Writing_ELA[#Data],YES_Writing_FLA[#Data]),MATCH($A521,_xlfn.VSTACK(YES_Writing_ELA[Student Number],YES_Writing_FLA[Student Number]),0),MATCH(VLOOKUP(G$7,'Writing Logic'!$J$7:$K$11,2,FALSE)&amp;" - Per "&amp;VLOOKUP($C$4,'Writing Logic'!$G$8:$H$14,2,FALSE),YES_Writing_ELA[#Headers],0)))="INS",'Writing Logic'!$B$7,IF(INDEX(_xlfn.VSTACK(YES_Writing_ELA[#Data],YES_Writing_FLA[#Data]),MATCH($A521,_xlfn.VSTACK(YES_Writing_ELA[Student Number],YES_Writing_FLA[Student Number]),0),MATCH(VLOOKUP(G$7,'Writing Logic'!$J$7:$K$11,2,FALSE)&amp;" - Per "&amp;VLOOKUP($C$4,'Writing Logic'!$G$8:$H$14,2,FALSE),YES_Writing_ELA[#Headers],0))=0,"",INDEX(_xlfn.VSTACK(YES_Writing_ELA[#Data],YES_Writing_FLA[#Data]),MATCH($A521,_xlfn.VSTACK(YES_Writing_ELA[Student Number],YES_Writing_FLA[Student Number]),0),MATCH(VLOOKUP(G$7,'Writing Logic'!$J$7:$K$11,2,FALSE)&amp;" - Per "&amp;VLOOKUP($C$4,'Writing Logic'!$G$8:$H$14,2,FALSE),YES_Writing_ELA[#Headers],0)))),"")</f>
        <v/>
      </c>
      <c r="H521" s="223" t="str">
        <f>IFERROR(IF(IF(INDEX(_xlfn.VSTACK(YES_Writing_ELA[#Data],YES_Writing_FLA[#Data]),MATCH($A521,_xlfn.VSTACK(YES_Writing_ELA[Student Number],YES_Writing_FLA[Student Number]),0),MATCH(VLOOKUP(H$7,'Writing Logic'!$J$7:$K$11,2,FALSE)&amp;" - Per "&amp;VLOOKUP($C$4,'Writing Logic'!$G$8:$H$14,2,FALSE),YES_Writing_ELA[#Headers],0))=0,"",INDEX(_xlfn.VSTACK(YES_Writing_ELA[#Data],YES_Writing_FLA[#Data]),MATCH($A521,_xlfn.VSTACK(YES_Writing_ELA[Student Number],YES_Writing_FLA[Student Number]),0),MATCH(VLOOKUP(H$7,'Writing Logic'!$J$7:$K$11,2,FALSE)&amp;" - Per "&amp;VLOOKUP($C$4,'Writing Logic'!$G$8:$H$14,2,FALSE),YES_Writing_ELA[#Headers],0)))="INS",'Writing Logic'!$B$7,IF(INDEX(_xlfn.VSTACK(YES_Writing_ELA[#Data],YES_Writing_FLA[#Data]),MATCH($A521,_xlfn.VSTACK(YES_Writing_ELA[Student Number],YES_Writing_FLA[Student Number]),0),MATCH(VLOOKUP(H$7,'Writing Logic'!$J$7:$K$11,2,FALSE)&amp;" - Per "&amp;VLOOKUP($C$4,'Writing Logic'!$G$8:$H$14,2,FALSE),YES_Writing_ELA[#Headers],0))=0,"",INDEX(_xlfn.VSTACK(YES_Writing_ELA[#Data],YES_Writing_FLA[#Data]),MATCH($A521,_xlfn.VSTACK(YES_Writing_ELA[Student Number],YES_Writing_FLA[Student Number]),0),MATCH(VLOOKUP(H$7,'Writing Logic'!$J$7:$K$11,2,FALSE)&amp;" - Per "&amp;VLOOKUP($C$4,'Writing Logic'!$G$8:$H$14,2,FALSE),YES_Writing_ELA[#Headers],0)))),"")</f>
        <v/>
      </c>
      <c r="I521" s="224" t="str" cm="1">
        <f t="array" aca="1" ref="I521" ca="1">IFERROR(
IF($G$3="ELA",
IF(VLOOKUP($A521, YES_Reading_ELA[], COLUMN(INDIRECT("YES_Reading_ELA[Difference - Per "&amp;VLOOKUP($G$4, 'Reading Report Logic'!$A$2:$B$8, 2, FALSE)&amp;"]")), FALSE)="", "",
VLOOKUP($A521,YES_Reading_ELA[], COLUMN(INDIRECT("YES_Reading_ELA[Difference - Per "&amp;VLOOKUP($G$4,'Reading Report Logic'!$A$2:$B$8,2,FALSE)&amp;"]")), FALSE)),
IF($G$3="FLA",
IF(VLOOKUP($A521, YES_Reading_FLA[], COLUMN(INDIRECT("YES_Reading_FLA[Difference - Per "&amp;VLOOKUP($G$4,'Reading Report Logic'!$A$2:$B$8,2,FALSE)&amp;"]")),FALSE)="","",
VLOOKUP($A521,YES_Reading_FLA[],COLUMN(INDIRECT("YES_Reading_FLA[Difference - Per "&amp;VLOOKUP($G$4,'Reading Report Logic'!$A$2:$B$8,2,FALSE)&amp;"]")),FALSE)),
IF($G$3="Combined",
IFERROR(
IF(VLOOKUP($A521, YES_Reading_ELA[], COLUMN(INDIRECT("YES_Reading_ELA[Difference - Per "&amp;VLOOKUP($G$4, 'Reading Report Logic'!$A$2:$B$8,2,FALSE)&amp;"]")), FALSE)="", "",
VLOOKUP($A521,YES_Reading_ELA[],COLUMN(INDIRECT("YES_Reading_ELA[Difference - Per "&amp;VLOOKUP($G$4,'Reading Report Logic'!$A$2:$B$8,2,FALSE)&amp;"]")),FALSE)),
IF(VLOOKUP($A521, YES_Reading_FLA[], COLUMN(INDIRECT("YES_Reading_FLA[Difference - Per "&amp;VLOOKUP($G$4, 'Reading Report Logic'!$A$2:$B$8, 2, FALSE)&amp;"]")),FALSE)="", "", VLOOKUP($A521,YES_Reading_FLA[],COLUMN(INDIRECT("YES_Reading_FLA[Difference - Per "&amp;VLOOKUP($G$4, 'Reading Report Logic'!$A$2:$B$8, 2, FALSE)&amp;"]")),FALSE))),""))),"")</f>
        <v/>
      </c>
    </row>
    <row r="522" spans="1:9" x14ac:dyDescent="0.25">
      <c r="A522" s="137"/>
      <c r="B522" s="137" t="str">
        <f>IFERROR(INDEX(_xlfn.VSTACK(YES_Writing_ELA[#Data], YES_Writing_FLA[#Data]),MATCH($A522,_xlfn.VSTACK(YES_Writing_ELA[Student Number], YES_Writing_FLA[Student Number]),0),MATCH(B$7,YES_Writing_ELA[#Headers],0)),IFERROR(INDEX(_xlfn.VSTACK(YES_Reading_ELA[#Data], YES_Reading_FLA[#Data]),MATCH($A522,_xlfn.VSTACK(YES_Reading_ELA[Student Number], YES_Reading_FLA[Student Number]),0),MATCH(B$7,YES_Reading_ELA[#Headers],0)),""))</f>
        <v/>
      </c>
      <c r="C522" s="137" t="str">
        <f>IFERROR(INDEX(_xlfn.VSTACK(YES_Writing_ELA[#Data], YES_Writing_FLA[#Data]),MATCH($A522,_xlfn.VSTACK(YES_Writing_ELA[Student Number], YES_Writing_FLA[Student Number]),0),MATCH(C$7,YES_Writing_ELA[#Headers],0)),IFERROR(INDEX(_xlfn.VSTACK(YES_Reading_ELA[#Data], YES_Reading_FLA[#Data]),MATCH($A522,_xlfn.VSTACK(YES_Reading_ELA[Student Number], YES_Reading_FLA[Student Number]),0),MATCH(C$7,YES_Reading_ELA[#Headers],0)),""))</f>
        <v/>
      </c>
      <c r="D522" s="138" t="str">
        <f>IFERROR(IF(IF(INDEX(_xlfn.VSTACK(YES_Writing_ELA[#Data],YES_Writing_FLA[#Data]),MATCH($A522,_xlfn.VSTACK(YES_Writing_ELA[Student Number],YES_Writing_FLA[Student Number]),0),MATCH(VLOOKUP(D$7,'Writing Logic'!$J$7:$K$11,2,FALSE)&amp;" - Per "&amp;VLOOKUP($C$4,'Writing Logic'!$G$8:$H$14,2,FALSE),YES_Writing_ELA[#Headers],0))=0,"",INDEX(_xlfn.VSTACK(YES_Writing_ELA[#Data],YES_Writing_FLA[#Data]),MATCH($A522,_xlfn.VSTACK(YES_Writing_ELA[Student Number],YES_Writing_FLA[Student Number]),0),MATCH(VLOOKUP(D$7,'Writing Logic'!$J$7:$K$11,2,FALSE)&amp;" - Per "&amp;VLOOKUP($C$4,'Writing Logic'!$G$8:$H$14,2,FALSE),YES_Writing_ELA[#Headers],0)))="INS",'Writing Logic'!$B$7,IF(INDEX(_xlfn.VSTACK(YES_Writing_ELA[#Data],YES_Writing_FLA[#Data]),MATCH($A522,_xlfn.VSTACK(YES_Writing_ELA[Student Number],YES_Writing_FLA[Student Number]),0),MATCH(VLOOKUP(D$7,'Writing Logic'!$J$7:$K$11,2,FALSE)&amp;" - Per "&amp;VLOOKUP($C$4,'Writing Logic'!$G$8:$H$14,2,FALSE),YES_Writing_ELA[#Headers],0))=0,"",INDEX(_xlfn.VSTACK(YES_Writing_ELA[#Data],YES_Writing_FLA[#Data]),MATCH($A522,_xlfn.VSTACK(YES_Writing_ELA[Student Number],YES_Writing_FLA[Student Number]),0),MATCH(VLOOKUP(D$7,'Writing Logic'!$J$7:$K$11,2,FALSE)&amp;" - Per "&amp;VLOOKUP($C$4,'Writing Logic'!$G$8:$H$14,2,FALSE),YES_Writing_ELA[#Headers],0)))),"")</f>
        <v/>
      </c>
      <c r="E522" s="138" t="str">
        <f>IFERROR(IF(IF(INDEX(_xlfn.VSTACK(YES_Writing_ELA[#Data],YES_Writing_FLA[#Data]),MATCH($A522,_xlfn.VSTACK(YES_Writing_ELA[Student Number],YES_Writing_FLA[Student Number]),0),MATCH(VLOOKUP(E$7,'Writing Logic'!$J$7:$K$11,2,FALSE)&amp;" - Per "&amp;VLOOKUP($C$4,'Writing Logic'!$G$8:$H$14,2,FALSE),YES_Writing_ELA[#Headers],0))=0,"",INDEX(_xlfn.VSTACK(YES_Writing_ELA[#Data],YES_Writing_FLA[#Data]),MATCH($A522,_xlfn.VSTACK(YES_Writing_ELA[Student Number],YES_Writing_FLA[Student Number]),0),MATCH(VLOOKUP(E$7,'Writing Logic'!$J$7:$K$11,2,FALSE)&amp;" - Per "&amp;VLOOKUP($C$4,'Writing Logic'!$G$8:$H$14,2,FALSE),YES_Writing_ELA[#Headers],0)))="INS",'Writing Logic'!$B$7,IF(INDEX(_xlfn.VSTACK(YES_Writing_ELA[#Data],YES_Writing_FLA[#Data]),MATCH($A522,_xlfn.VSTACK(YES_Writing_ELA[Student Number],YES_Writing_FLA[Student Number]),0),MATCH(VLOOKUP(E$7,'Writing Logic'!$J$7:$K$11,2,FALSE)&amp;" - Per "&amp;VLOOKUP($C$4,'Writing Logic'!$G$8:$H$14,2,FALSE),YES_Writing_ELA[#Headers],0))=0,"",INDEX(_xlfn.VSTACK(YES_Writing_ELA[#Data],YES_Writing_FLA[#Data]),MATCH($A522,_xlfn.VSTACK(YES_Writing_ELA[Student Number],YES_Writing_FLA[Student Number]),0),MATCH(VLOOKUP(E$7,'Writing Logic'!$J$7:$K$11,2,FALSE)&amp;" - Per "&amp;VLOOKUP($C$4,'Writing Logic'!$G$8:$H$14,2,FALSE),YES_Writing_ELA[#Headers],0)))),"")</f>
        <v/>
      </c>
      <c r="F522" s="138" t="str">
        <f>IFERROR(IF(IF(INDEX(_xlfn.VSTACK(YES_Writing_ELA[#Data],YES_Writing_FLA[#Data]),MATCH($A522,_xlfn.VSTACK(YES_Writing_ELA[Student Number],YES_Writing_FLA[Student Number]),0),MATCH(VLOOKUP(F$7,'Writing Logic'!$J$7:$K$11,2,FALSE)&amp;" - Per "&amp;VLOOKUP($C$4,'Writing Logic'!$G$8:$H$14,2,FALSE),YES_Writing_ELA[#Headers],0))=0,"",INDEX(_xlfn.VSTACK(YES_Writing_ELA[#Data],YES_Writing_FLA[#Data]),MATCH($A522,_xlfn.VSTACK(YES_Writing_ELA[Student Number],YES_Writing_FLA[Student Number]),0),MATCH(VLOOKUP(F$7,'Writing Logic'!$J$7:$K$11,2,FALSE)&amp;" - Per "&amp;VLOOKUP($C$4,'Writing Logic'!$G$8:$H$14,2,FALSE),YES_Writing_ELA[#Headers],0)))="INS",'Writing Logic'!$B$7,IF(INDEX(_xlfn.VSTACK(YES_Writing_ELA[#Data],YES_Writing_FLA[#Data]),MATCH($A522,_xlfn.VSTACK(YES_Writing_ELA[Student Number],YES_Writing_FLA[Student Number]),0),MATCH(VLOOKUP(F$7,'Writing Logic'!$J$7:$K$11,2,FALSE)&amp;" - Per "&amp;VLOOKUP($C$4,'Writing Logic'!$G$8:$H$14,2,FALSE),YES_Writing_ELA[#Headers],0))=0,"",INDEX(_xlfn.VSTACK(YES_Writing_ELA[#Data],YES_Writing_FLA[#Data]),MATCH($A522,_xlfn.VSTACK(YES_Writing_ELA[Student Number],YES_Writing_FLA[Student Number]),0),MATCH(VLOOKUP(F$7,'Writing Logic'!$J$7:$K$11,2,FALSE)&amp;" - Per "&amp;VLOOKUP($C$4,'Writing Logic'!$G$8:$H$14,2,FALSE),YES_Writing_ELA[#Headers],0)))),"")</f>
        <v/>
      </c>
      <c r="G522" s="138" t="str">
        <f>IFERROR(IF(IF(INDEX(_xlfn.VSTACK(YES_Writing_ELA[#Data],YES_Writing_FLA[#Data]),MATCH($A522,_xlfn.VSTACK(YES_Writing_ELA[Student Number],YES_Writing_FLA[Student Number]),0),MATCH(VLOOKUP(G$7,'Writing Logic'!$J$7:$K$11,2,FALSE)&amp;" - Per "&amp;VLOOKUP($C$4,'Writing Logic'!$G$8:$H$14,2,FALSE),YES_Writing_ELA[#Headers],0))=0,"",INDEX(_xlfn.VSTACK(YES_Writing_ELA[#Data],YES_Writing_FLA[#Data]),MATCH($A522,_xlfn.VSTACK(YES_Writing_ELA[Student Number],YES_Writing_FLA[Student Number]),0),MATCH(VLOOKUP(G$7,'Writing Logic'!$J$7:$K$11,2,FALSE)&amp;" - Per "&amp;VLOOKUP($C$4,'Writing Logic'!$G$8:$H$14,2,FALSE),YES_Writing_ELA[#Headers],0)))="INS",'Writing Logic'!$B$7,IF(INDEX(_xlfn.VSTACK(YES_Writing_ELA[#Data],YES_Writing_FLA[#Data]),MATCH($A522,_xlfn.VSTACK(YES_Writing_ELA[Student Number],YES_Writing_FLA[Student Number]),0),MATCH(VLOOKUP(G$7,'Writing Logic'!$J$7:$K$11,2,FALSE)&amp;" - Per "&amp;VLOOKUP($C$4,'Writing Logic'!$G$8:$H$14,2,FALSE),YES_Writing_ELA[#Headers],0))=0,"",INDEX(_xlfn.VSTACK(YES_Writing_ELA[#Data],YES_Writing_FLA[#Data]),MATCH($A522,_xlfn.VSTACK(YES_Writing_ELA[Student Number],YES_Writing_FLA[Student Number]),0),MATCH(VLOOKUP(G$7,'Writing Logic'!$J$7:$K$11,2,FALSE)&amp;" - Per "&amp;VLOOKUP($C$4,'Writing Logic'!$G$8:$H$14,2,FALSE),YES_Writing_ELA[#Headers],0)))),"")</f>
        <v/>
      </c>
      <c r="H522" s="223" t="str">
        <f>IFERROR(IF(IF(INDEX(_xlfn.VSTACK(YES_Writing_ELA[#Data],YES_Writing_FLA[#Data]),MATCH($A522,_xlfn.VSTACK(YES_Writing_ELA[Student Number],YES_Writing_FLA[Student Number]),0),MATCH(VLOOKUP(H$7,'Writing Logic'!$J$7:$K$11,2,FALSE)&amp;" - Per "&amp;VLOOKUP($C$4,'Writing Logic'!$G$8:$H$14,2,FALSE),YES_Writing_ELA[#Headers],0))=0,"",INDEX(_xlfn.VSTACK(YES_Writing_ELA[#Data],YES_Writing_FLA[#Data]),MATCH($A522,_xlfn.VSTACK(YES_Writing_ELA[Student Number],YES_Writing_FLA[Student Number]),0),MATCH(VLOOKUP(H$7,'Writing Logic'!$J$7:$K$11,2,FALSE)&amp;" - Per "&amp;VLOOKUP($C$4,'Writing Logic'!$G$8:$H$14,2,FALSE),YES_Writing_ELA[#Headers],0)))="INS",'Writing Logic'!$B$7,IF(INDEX(_xlfn.VSTACK(YES_Writing_ELA[#Data],YES_Writing_FLA[#Data]),MATCH($A522,_xlfn.VSTACK(YES_Writing_ELA[Student Number],YES_Writing_FLA[Student Number]),0),MATCH(VLOOKUP(H$7,'Writing Logic'!$J$7:$K$11,2,FALSE)&amp;" - Per "&amp;VLOOKUP($C$4,'Writing Logic'!$G$8:$H$14,2,FALSE),YES_Writing_ELA[#Headers],0))=0,"",INDEX(_xlfn.VSTACK(YES_Writing_ELA[#Data],YES_Writing_FLA[#Data]),MATCH($A522,_xlfn.VSTACK(YES_Writing_ELA[Student Number],YES_Writing_FLA[Student Number]),0),MATCH(VLOOKUP(H$7,'Writing Logic'!$J$7:$K$11,2,FALSE)&amp;" - Per "&amp;VLOOKUP($C$4,'Writing Logic'!$G$8:$H$14,2,FALSE),YES_Writing_ELA[#Headers],0)))),"")</f>
        <v/>
      </c>
      <c r="I522" s="224" t="str" cm="1">
        <f t="array" aca="1" ref="I522" ca="1">IFERROR(
IF($G$3="ELA",
IF(VLOOKUP($A522, YES_Reading_ELA[], COLUMN(INDIRECT("YES_Reading_ELA[Difference - Per "&amp;VLOOKUP($G$4, 'Reading Report Logic'!$A$2:$B$8, 2, FALSE)&amp;"]")), FALSE)="", "",
VLOOKUP($A522,YES_Reading_ELA[], COLUMN(INDIRECT("YES_Reading_ELA[Difference - Per "&amp;VLOOKUP($G$4,'Reading Report Logic'!$A$2:$B$8,2,FALSE)&amp;"]")), FALSE)),
IF($G$3="FLA",
IF(VLOOKUP($A522, YES_Reading_FLA[], COLUMN(INDIRECT("YES_Reading_FLA[Difference - Per "&amp;VLOOKUP($G$4,'Reading Report Logic'!$A$2:$B$8,2,FALSE)&amp;"]")),FALSE)="","",
VLOOKUP($A522,YES_Reading_FLA[],COLUMN(INDIRECT("YES_Reading_FLA[Difference - Per "&amp;VLOOKUP($G$4,'Reading Report Logic'!$A$2:$B$8,2,FALSE)&amp;"]")),FALSE)),
IF($G$3="Combined",
IFERROR(
IF(VLOOKUP($A522, YES_Reading_ELA[], COLUMN(INDIRECT("YES_Reading_ELA[Difference - Per "&amp;VLOOKUP($G$4, 'Reading Report Logic'!$A$2:$B$8,2,FALSE)&amp;"]")), FALSE)="", "",
VLOOKUP($A522,YES_Reading_ELA[],COLUMN(INDIRECT("YES_Reading_ELA[Difference - Per "&amp;VLOOKUP($G$4,'Reading Report Logic'!$A$2:$B$8,2,FALSE)&amp;"]")),FALSE)),
IF(VLOOKUP($A522, YES_Reading_FLA[], COLUMN(INDIRECT("YES_Reading_FLA[Difference - Per "&amp;VLOOKUP($G$4, 'Reading Report Logic'!$A$2:$B$8, 2, FALSE)&amp;"]")),FALSE)="", "", VLOOKUP($A522,YES_Reading_FLA[],COLUMN(INDIRECT("YES_Reading_FLA[Difference - Per "&amp;VLOOKUP($G$4, 'Reading Report Logic'!$A$2:$B$8, 2, FALSE)&amp;"]")),FALSE))),""))),"")</f>
        <v/>
      </c>
    </row>
    <row r="523" spans="1:9" x14ac:dyDescent="0.25">
      <c r="A523" s="137"/>
      <c r="B523" s="137" t="str">
        <f>IFERROR(INDEX(_xlfn.VSTACK(YES_Writing_ELA[#Data], YES_Writing_FLA[#Data]),MATCH($A523,_xlfn.VSTACK(YES_Writing_ELA[Student Number], YES_Writing_FLA[Student Number]),0),MATCH(B$7,YES_Writing_ELA[#Headers],0)),IFERROR(INDEX(_xlfn.VSTACK(YES_Reading_ELA[#Data], YES_Reading_FLA[#Data]),MATCH($A523,_xlfn.VSTACK(YES_Reading_ELA[Student Number], YES_Reading_FLA[Student Number]),0),MATCH(B$7,YES_Reading_ELA[#Headers],0)),""))</f>
        <v/>
      </c>
      <c r="C523" s="137" t="str">
        <f>IFERROR(INDEX(_xlfn.VSTACK(YES_Writing_ELA[#Data], YES_Writing_FLA[#Data]),MATCH($A523,_xlfn.VSTACK(YES_Writing_ELA[Student Number], YES_Writing_FLA[Student Number]),0),MATCH(C$7,YES_Writing_ELA[#Headers],0)),IFERROR(INDEX(_xlfn.VSTACK(YES_Reading_ELA[#Data], YES_Reading_FLA[#Data]),MATCH($A523,_xlfn.VSTACK(YES_Reading_ELA[Student Number], YES_Reading_FLA[Student Number]),0),MATCH(C$7,YES_Reading_ELA[#Headers],0)),""))</f>
        <v/>
      </c>
      <c r="D523" s="138" t="str">
        <f>IFERROR(IF(IF(INDEX(_xlfn.VSTACK(YES_Writing_ELA[#Data],YES_Writing_FLA[#Data]),MATCH($A523,_xlfn.VSTACK(YES_Writing_ELA[Student Number],YES_Writing_FLA[Student Number]),0),MATCH(VLOOKUP(D$7,'Writing Logic'!$J$7:$K$11,2,FALSE)&amp;" - Per "&amp;VLOOKUP($C$4,'Writing Logic'!$G$8:$H$14,2,FALSE),YES_Writing_ELA[#Headers],0))=0,"",INDEX(_xlfn.VSTACK(YES_Writing_ELA[#Data],YES_Writing_FLA[#Data]),MATCH($A523,_xlfn.VSTACK(YES_Writing_ELA[Student Number],YES_Writing_FLA[Student Number]),0),MATCH(VLOOKUP(D$7,'Writing Logic'!$J$7:$K$11,2,FALSE)&amp;" - Per "&amp;VLOOKUP($C$4,'Writing Logic'!$G$8:$H$14,2,FALSE),YES_Writing_ELA[#Headers],0)))="INS",'Writing Logic'!$B$7,IF(INDEX(_xlfn.VSTACK(YES_Writing_ELA[#Data],YES_Writing_FLA[#Data]),MATCH($A523,_xlfn.VSTACK(YES_Writing_ELA[Student Number],YES_Writing_FLA[Student Number]),0),MATCH(VLOOKUP(D$7,'Writing Logic'!$J$7:$K$11,2,FALSE)&amp;" - Per "&amp;VLOOKUP($C$4,'Writing Logic'!$G$8:$H$14,2,FALSE),YES_Writing_ELA[#Headers],0))=0,"",INDEX(_xlfn.VSTACK(YES_Writing_ELA[#Data],YES_Writing_FLA[#Data]),MATCH($A523,_xlfn.VSTACK(YES_Writing_ELA[Student Number],YES_Writing_FLA[Student Number]),0),MATCH(VLOOKUP(D$7,'Writing Logic'!$J$7:$K$11,2,FALSE)&amp;" - Per "&amp;VLOOKUP($C$4,'Writing Logic'!$G$8:$H$14,2,FALSE),YES_Writing_ELA[#Headers],0)))),"")</f>
        <v/>
      </c>
      <c r="E523" s="138" t="str">
        <f>IFERROR(IF(IF(INDEX(_xlfn.VSTACK(YES_Writing_ELA[#Data],YES_Writing_FLA[#Data]),MATCH($A523,_xlfn.VSTACK(YES_Writing_ELA[Student Number],YES_Writing_FLA[Student Number]),0),MATCH(VLOOKUP(E$7,'Writing Logic'!$J$7:$K$11,2,FALSE)&amp;" - Per "&amp;VLOOKUP($C$4,'Writing Logic'!$G$8:$H$14,2,FALSE),YES_Writing_ELA[#Headers],0))=0,"",INDEX(_xlfn.VSTACK(YES_Writing_ELA[#Data],YES_Writing_FLA[#Data]),MATCH($A523,_xlfn.VSTACK(YES_Writing_ELA[Student Number],YES_Writing_FLA[Student Number]),0),MATCH(VLOOKUP(E$7,'Writing Logic'!$J$7:$K$11,2,FALSE)&amp;" - Per "&amp;VLOOKUP($C$4,'Writing Logic'!$G$8:$H$14,2,FALSE),YES_Writing_ELA[#Headers],0)))="INS",'Writing Logic'!$B$7,IF(INDEX(_xlfn.VSTACK(YES_Writing_ELA[#Data],YES_Writing_FLA[#Data]),MATCH($A523,_xlfn.VSTACK(YES_Writing_ELA[Student Number],YES_Writing_FLA[Student Number]),0),MATCH(VLOOKUP(E$7,'Writing Logic'!$J$7:$K$11,2,FALSE)&amp;" - Per "&amp;VLOOKUP($C$4,'Writing Logic'!$G$8:$H$14,2,FALSE),YES_Writing_ELA[#Headers],0))=0,"",INDEX(_xlfn.VSTACK(YES_Writing_ELA[#Data],YES_Writing_FLA[#Data]),MATCH($A523,_xlfn.VSTACK(YES_Writing_ELA[Student Number],YES_Writing_FLA[Student Number]),0),MATCH(VLOOKUP(E$7,'Writing Logic'!$J$7:$K$11,2,FALSE)&amp;" - Per "&amp;VLOOKUP($C$4,'Writing Logic'!$G$8:$H$14,2,FALSE),YES_Writing_ELA[#Headers],0)))),"")</f>
        <v/>
      </c>
      <c r="F523" s="138" t="str">
        <f>IFERROR(IF(IF(INDEX(_xlfn.VSTACK(YES_Writing_ELA[#Data],YES_Writing_FLA[#Data]),MATCH($A523,_xlfn.VSTACK(YES_Writing_ELA[Student Number],YES_Writing_FLA[Student Number]),0),MATCH(VLOOKUP(F$7,'Writing Logic'!$J$7:$K$11,2,FALSE)&amp;" - Per "&amp;VLOOKUP($C$4,'Writing Logic'!$G$8:$H$14,2,FALSE),YES_Writing_ELA[#Headers],0))=0,"",INDEX(_xlfn.VSTACK(YES_Writing_ELA[#Data],YES_Writing_FLA[#Data]),MATCH($A523,_xlfn.VSTACK(YES_Writing_ELA[Student Number],YES_Writing_FLA[Student Number]),0),MATCH(VLOOKUP(F$7,'Writing Logic'!$J$7:$K$11,2,FALSE)&amp;" - Per "&amp;VLOOKUP($C$4,'Writing Logic'!$G$8:$H$14,2,FALSE),YES_Writing_ELA[#Headers],0)))="INS",'Writing Logic'!$B$7,IF(INDEX(_xlfn.VSTACK(YES_Writing_ELA[#Data],YES_Writing_FLA[#Data]),MATCH($A523,_xlfn.VSTACK(YES_Writing_ELA[Student Number],YES_Writing_FLA[Student Number]),0),MATCH(VLOOKUP(F$7,'Writing Logic'!$J$7:$K$11,2,FALSE)&amp;" - Per "&amp;VLOOKUP($C$4,'Writing Logic'!$G$8:$H$14,2,FALSE),YES_Writing_ELA[#Headers],0))=0,"",INDEX(_xlfn.VSTACK(YES_Writing_ELA[#Data],YES_Writing_FLA[#Data]),MATCH($A523,_xlfn.VSTACK(YES_Writing_ELA[Student Number],YES_Writing_FLA[Student Number]),0),MATCH(VLOOKUP(F$7,'Writing Logic'!$J$7:$K$11,2,FALSE)&amp;" - Per "&amp;VLOOKUP($C$4,'Writing Logic'!$G$8:$H$14,2,FALSE),YES_Writing_ELA[#Headers],0)))),"")</f>
        <v/>
      </c>
      <c r="G523" s="138" t="str">
        <f>IFERROR(IF(IF(INDEX(_xlfn.VSTACK(YES_Writing_ELA[#Data],YES_Writing_FLA[#Data]),MATCH($A523,_xlfn.VSTACK(YES_Writing_ELA[Student Number],YES_Writing_FLA[Student Number]),0),MATCH(VLOOKUP(G$7,'Writing Logic'!$J$7:$K$11,2,FALSE)&amp;" - Per "&amp;VLOOKUP($C$4,'Writing Logic'!$G$8:$H$14,2,FALSE),YES_Writing_ELA[#Headers],0))=0,"",INDEX(_xlfn.VSTACK(YES_Writing_ELA[#Data],YES_Writing_FLA[#Data]),MATCH($A523,_xlfn.VSTACK(YES_Writing_ELA[Student Number],YES_Writing_FLA[Student Number]),0),MATCH(VLOOKUP(G$7,'Writing Logic'!$J$7:$K$11,2,FALSE)&amp;" - Per "&amp;VLOOKUP($C$4,'Writing Logic'!$G$8:$H$14,2,FALSE),YES_Writing_ELA[#Headers],0)))="INS",'Writing Logic'!$B$7,IF(INDEX(_xlfn.VSTACK(YES_Writing_ELA[#Data],YES_Writing_FLA[#Data]),MATCH($A523,_xlfn.VSTACK(YES_Writing_ELA[Student Number],YES_Writing_FLA[Student Number]),0),MATCH(VLOOKUP(G$7,'Writing Logic'!$J$7:$K$11,2,FALSE)&amp;" - Per "&amp;VLOOKUP($C$4,'Writing Logic'!$G$8:$H$14,2,FALSE),YES_Writing_ELA[#Headers],0))=0,"",INDEX(_xlfn.VSTACK(YES_Writing_ELA[#Data],YES_Writing_FLA[#Data]),MATCH($A523,_xlfn.VSTACK(YES_Writing_ELA[Student Number],YES_Writing_FLA[Student Number]),0),MATCH(VLOOKUP(G$7,'Writing Logic'!$J$7:$K$11,2,FALSE)&amp;" - Per "&amp;VLOOKUP($C$4,'Writing Logic'!$G$8:$H$14,2,FALSE),YES_Writing_ELA[#Headers],0)))),"")</f>
        <v/>
      </c>
      <c r="H523" s="223" t="str">
        <f>IFERROR(IF(IF(INDEX(_xlfn.VSTACK(YES_Writing_ELA[#Data],YES_Writing_FLA[#Data]),MATCH($A523,_xlfn.VSTACK(YES_Writing_ELA[Student Number],YES_Writing_FLA[Student Number]),0),MATCH(VLOOKUP(H$7,'Writing Logic'!$J$7:$K$11,2,FALSE)&amp;" - Per "&amp;VLOOKUP($C$4,'Writing Logic'!$G$8:$H$14,2,FALSE),YES_Writing_ELA[#Headers],0))=0,"",INDEX(_xlfn.VSTACK(YES_Writing_ELA[#Data],YES_Writing_FLA[#Data]),MATCH($A523,_xlfn.VSTACK(YES_Writing_ELA[Student Number],YES_Writing_FLA[Student Number]),0),MATCH(VLOOKUP(H$7,'Writing Logic'!$J$7:$K$11,2,FALSE)&amp;" - Per "&amp;VLOOKUP($C$4,'Writing Logic'!$G$8:$H$14,2,FALSE),YES_Writing_ELA[#Headers],0)))="INS",'Writing Logic'!$B$7,IF(INDEX(_xlfn.VSTACK(YES_Writing_ELA[#Data],YES_Writing_FLA[#Data]),MATCH($A523,_xlfn.VSTACK(YES_Writing_ELA[Student Number],YES_Writing_FLA[Student Number]),0),MATCH(VLOOKUP(H$7,'Writing Logic'!$J$7:$K$11,2,FALSE)&amp;" - Per "&amp;VLOOKUP($C$4,'Writing Logic'!$G$8:$H$14,2,FALSE),YES_Writing_ELA[#Headers],0))=0,"",INDEX(_xlfn.VSTACK(YES_Writing_ELA[#Data],YES_Writing_FLA[#Data]),MATCH($A523,_xlfn.VSTACK(YES_Writing_ELA[Student Number],YES_Writing_FLA[Student Number]),0),MATCH(VLOOKUP(H$7,'Writing Logic'!$J$7:$K$11,2,FALSE)&amp;" - Per "&amp;VLOOKUP($C$4,'Writing Logic'!$G$8:$H$14,2,FALSE),YES_Writing_ELA[#Headers],0)))),"")</f>
        <v/>
      </c>
      <c r="I523" s="224" t="str" cm="1">
        <f t="array" aca="1" ref="I523" ca="1">IFERROR(
IF($G$3="ELA",
IF(VLOOKUP($A523, YES_Reading_ELA[], COLUMN(INDIRECT("YES_Reading_ELA[Difference - Per "&amp;VLOOKUP($G$4, 'Reading Report Logic'!$A$2:$B$8, 2, FALSE)&amp;"]")), FALSE)="", "",
VLOOKUP($A523,YES_Reading_ELA[], COLUMN(INDIRECT("YES_Reading_ELA[Difference - Per "&amp;VLOOKUP($G$4,'Reading Report Logic'!$A$2:$B$8,2,FALSE)&amp;"]")), FALSE)),
IF($G$3="FLA",
IF(VLOOKUP($A523, YES_Reading_FLA[], COLUMN(INDIRECT("YES_Reading_FLA[Difference - Per "&amp;VLOOKUP($G$4,'Reading Report Logic'!$A$2:$B$8,2,FALSE)&amp;"]")),FALSE)="","",
VLOOKUP($A523,YES_Reading_FLA[],COLUMN(INDIRECT("YES_Reading_FLA[Difference - Per "&amp;VLOOKUP($G$4,'Reading Report Logic'!$A$2:$B$8,2,FALSE)&amp;"]")),FALSE)),
IF($G$3="Combined",
IFERROR(
IF(VLOOKUP($A523, YES_Reading_ELA[], COLUMN(INDIRECT("YES_Reading_ELA[Difference - Per "&amp;VLOOKUP($G$4, 'Reading Report Logic'!$A$2:$B$8,2,FALSE)&amp;"]")), FALSE)="", "",
VLOOKUP($A523,YES_Reading_ELA[],COLUMN(INDIRECT("YES_Reading_ELA[Difference - Per "&amp;VLOOKUP($G$4,'Reading Report Logic'!$A$2:$B$8,2,FALSE)&amp;"]")),FALSE)),
IF(VLOOKUP($A523, YES_Reading_FLA[], COLUMN(INDIRECT("YES_Reading_FLA[Difference - Per "&amp;VLOOKUP($G$4, 'Reading Report Logic'!$A$2:$B$8, 2, FALSE)&amp;"]")),FALSE)="", "", VLOOKUP($A523,YES_Reading_FLA[],COLUMN(INDIRECT("YES_Reading_FLA[Difference - Per "&amp;VLOOKUP($G$4, 'Reading Report Logic'!$A$2:$B$8, 2, FALSE)&amp;"]")),FALSE))),""))),"")</f>
        <v/>
      </c>
    </row>
    <row r="524" spans="1:9" x14ac:dyDescent="0.25">
      <c r="A524" s="137"/>
      <c r="B524" s="137" t="str">
        <f>IFERROR(INDEX(_xlfn.VSTACK(YES_Writing_ELA[#Data], YES_Writing_FLA[#Data]),MATCH($A524,_xlfn.VSTACK(YES_Writing_ELA[Student Number], YES_Writing_FLA[Student Number]),0),MATCH(B$7,YES_Writing_ELA[#Headers],0)),IFERROR(INDEX(_xlfn.VSTACK(YES_Reading_ELA[#Data], YES_Reading_FLA[#Data]),MATCH($A524,_xlfn.VSTACK(YES_Reading_ELA[Student Number], YES_Reading_FLA[Student Number]),0),MATCH(B$7,YES_Reading_ELA[#Headers],0)),""))</f>
        <v/>
      </c>
      <c r="C524" s="137" t="str">
        <f>IFERROR(INDEX(_xlfn.VSTACK(YES_Writing_ELA[#Data], YES_Writing_FLA[#Data]),MATCH($A524,_xlfn.VSTACK(YES_Writing_ELA[Student Number], YES_Writing_FLA[Student Number]),0),MATCH(C$7,YES_Writing_ELA[#Headers],0)),IFERROR(INDEX(_xlfn.VSTACK(YES_Reading_ELA[#Data], YES_Reading_FLA[#Data]),MATCH($A524,_xlfn.VSTACK(YES_Reading_ELA[Student Number], YES_Reading_FLA[Student Number]),0),MATCH(C$7,YES_Reading_ELA[#Headers],0)),""))</f>
        <v/>
      </c>
      <c r="D524" s="138" t="str">
        <f>IFERROR(IF(IF(INDEX(_xlfn.VSTACK(YES_Writing_ELA[#Data],YES_Writing_FLA[#Data]),MATCH($A524,_xlfn.VSTACK(YES_Writing_ELA[Student Number],YES_Writing_FLA[Student Number]),0),MATCH(VLOOKUP(D$7,'Writing Logic'!$J$7:$K$11,2,FALSE)&amp;" - Per "&amp;VLOOKUP($C$4,'Writing Logic'!$G$8:$H$14,2,FALSE),YES_Writing_ELA[#Headers],0))=0,"",INDEX(_xlfn.VSTACK(YES_Writing_ELA[#Data],YES_Writing_FLA[#Data]),MATCH($A524,_xlfn.VSTACK(YES_Writing_ELA[Student Number],YES_Writing_FLA[Student Number]),0),MATCH(VLOOKUP(D$7,'Writing Logic'!$J$7:$K$11,2,FALSE)&amp;" - Per "&amp;VLOOKUP($C$4,'Writing Logic'!$G$8:$H$14,2,FALSE),YES_Writing_ELA[#Headers],0)))="INS",'Writing Logic'!$B$7,IF(INDEX(_xlfn.VSTACK(YES_Writing_ELA[#Data],YES_Writing_FLA[#Data]),MATCH($A524,_xlfn.VSTACK(YES_Writing_ELA[Student Number],YES_Writing_FLA[Student Number]),0),MATCH(VLOOKUP(D$7,'Writing Logic'!$J$7:$K$11,2,FALSE)&amp;" - Per "&amp;VLOOKUP($C$4,'Writing Logic'!$G$8:$H$14,2,FALSE),YES_Writing_ELA[#Headers],0))=0,"",INDEX(_xlfn.VSTACK(YES_Writing_ELA[#Data],YES_Writing_FLA[#Data]),MATCH($A524,_xlfn.VSTACK(YES_Writing_ELA[Student Number],YES_Writing_FLA[Student Number]),0),MATCH(VLOOKUP(D$7,'Writing Logic'!$J$7:$K$11,2,FALSE)&amp;" - Per "&amp;VLOOKUP($C$4,'Writing Logic'!$G$8:$H$14,2,FALSE),YES_Writing_ELA[#Headers],0)))),"")</f>
        <v/>
      </c>
      <c r="E524" s="138" t="str">
        <f>IFERROR(IF(IF(INDEX(_xlfn.VSTACK(YES_Writing_ELA[#Data],YES_Writing_FLA[#Data]),MATCH($A524,_xlfn.VSTACK(YES_Writing_ELA[Student Number],YES_Writing_FLA[Student Number]),0),MATCH(VLOOKUP(E$7,'Writing Logic'!$J$7:$K$11,2,FALSE)&amp;" - Per "&amp;VLOOKUP($C$4,'Writing Logic'!$G$8:$H$14,2,FALSE),YES_Writing_ELA[#Headers],0))=0,"",INDEX(_xlfn.VSTACK(YES_Writing_ELA[#Data],YES_Writing_FLA[#Data]),MATCH($A524,_xlfn.VSTACK(YES_Writing_ELA[Student Number],YES_Writing_FLA[Student Number]),0),MATCH(VLOOKUP(E$7,'Writing Logic'!$J$7:$K$11,2,FALSE)&amp;" - Per "&amp;VLOOKUP($C$4,'Writing Logic'!$G$8:$H$14,2,FALSE),YES_Writing_ELA[#Headers],0)))="INS",'Writing Logic'!$B$7,IF(INDEX(_xlfn.VSTACK(YES_Writing_ELA[#Data],YES_Writing_FLA[#Data]),MATCH($A524,_xlfn.VSTACK(YES_Writing_ELA[Student Number],YES_Writing_FLA[Student Number]),0),MATCH(VLOOKUP(E$7,'Writing Logic'!$J$7:$K$11,2,FALSE)&amp;" - Per "&amp;VLOOKUP($C$4,'Writing Logic'!$G$8:$H$14,2,FALSE),YES_Writing_ELA[#Headers],0))=0,"",INDEX(_xlfn.VSTACK(YES_Writing_ELA[#Data],YES_Writing_FLA[#Data]),MATCH($A524,_xlfn.VSTACK(YES_Writing_ELA[Student Number],YES_Writing_FLA[Student Number]),0),MATCH(VLOOKUP(E$7,'Writing Logic'!$J$7:$K$11,2,FALSE)&amp;" - Per "&amp;VLOOKUP($C$4,'Writing Logic'!$G$8:$H$14,2,FALSE),YES_Writing_ELA[#Headers],0)))),"")</f>
        <v/>
      </c>
      <c r="F524" s="138" t="str">
        <f>IFERROR(IF(IF(INDEX(_xlfn.VSTACK(YES_Writing_ELA[#Data],YES_Writing_FLA[#Data]),MATCH($A524,_xlfn.VSTACK(YES_Writing_ELA[Student Number],YES_Writing_FLA[Student Number]),0),MATCH(VLOOKUP(F$7,'Writing Logic'!$J$7:$K$11,2,FALSE)&amp;" - Per "&amp;VLOOKUP($C$4,'Writing Logic'!$G$8:$H$14,2,FALSE),YES_Writing_ELA[#Headers],0))=0,"",INDEX(_xlfn.VSTACK(YES_Writing_ELA[#Data],YES_Writing_FLA[#Data]),MATCH($A524,_xlfn.VSTACK(YES_Writing_ELA[Student Number],YES_Writing_FLA[Student Number]),0),MATCH(VLOOKUP(F$7,'Writing Logic'!$J$7:$K$11,2,FALSE)&amp;" - Per "&amp;VLOOKUP($C$4,'Writing Logic'!$G$8:$H$14,2,FALSE),YES_Writing_ELA[#Headers],0)))="INS",'Writing Logic'!$B$7,IF(INDEX(_xlfn.VSTACK(YES_Writing_ELA[#Data],YES_Writing_FLA[#Data]),MATCH($A524,_xlfn.VSTACK(YES_Writing_ELA[Student Number],YES_Writing_FLA[Student Number]),0),MATCH(VLOOKUP(F$7,'Writing Logic'!$J$7:$K$11,2,FALSE)&amp;" - Per "&amp;VLOOKUP($C$4,'Writing Logic'!$G$8:$H$14,2,FALSE),YES_Writing_ELA[#Headers],0))=0,"",INDEX(_xlfn.VSTACK(YES_Writing_ELA[#Data],YES_Writing_FLA[#Data]),MATCH($A524,_xlfn.VSTACK(YES_Writing_ELA[Student Number],YES_Writing_FLA[Student Number]),0),MATCH(VLOOKUP(F$7,'Writing Logic'!$J$7:$K$11,2,FALSE)&amp;" - Per "&amp;VLOOKUP($C$4,'Writing Logic'!$G$8:$H$14,2,FALSE),YES_Writing_ELA[#Headers],0)))),"")</f>
        <v/>
      </c>
      <c r="G524" s="138" t="str">
        <f>IFERROR(IF(IF(INDEX(_xlfn.VSTACK(YES_Writing_ELA[#Data],YES_Writing_FLA[#Data]),MATCH($A524,_xlfn.VSTACK(YES_Writing_ELA[Student Number],YES_Writing_FLA[Student Number]),0),MATCH(VLOOKUP(G$7,'Writing Logic'!$J$7:$K$11,2,FALSE)&amp;" - Per "&amp;VLOOKUP($C$4,'Writing Logic'!$G$8:$H$14,2,FALSE),YES_Writing_ELA[#Headers],0))=0,"",INDEX(_xlfn.VSTACK(YES_Writing_ELA[#Data],YES_Writing_FLA[#Data]),MATCH($A524,_xlfn.VSTACK(YES_Writing_ELA[Student Number],YES_Writing_FLA[Student Number]),0),MATCH(VLOOKUP(G$7,'Writing Logic'!$J$7:$K$11,2,FALSE)&amp;" - Per "&amp;VLOOKUP($C$4,'Writing Logic'!$G$8:$H$14,2,FALSE),YES_Writing_ELA[#Headers],0)))="INS",'Writing Logic'!$B$7,IF(INDEX(_xlfn.VSTACK(YES_Writing_ELA[#Data],YES_Writing_FLA[#Data]),MATCH($A524,_xlfn.VSTACK(YES_Writing_ELA[Student Number],YES_Writing_FLA[Student Number]),0),MATCH(VLOOKUP(G$7,'Writing Logic'!$J$7:$K$11,2,FALSE)&amp;" - Per "&amp;VLOOKUP($C$4,'Writing Logic'!$G$8:$H$14,2,FALSE),YES_Writing_ELA[#Headers],0))=0,"",INDEX(_xlfn.VSTACK(YES_Writing_ELA[#Data],YES_Writing_FLA[#Data]),MATCH($A524,_xlfn.VSTACK(YES_Writing_ELA[Student Number],YES_Writing_FLA[Student Number]),0),MATCH(VLOOKUP(G$7,'Writing Logic'!$J$7:$K$11,2,FALSE)&amp;" - Per "&amp;VLOOKUP($C$4,'Writing Logic'!$G$8:$H$14,2,FALSE),YES_Writing_ELA[#Headers],0)))),"")</f>
        <v/>
      </c>
      <c r="H524" s="223" t="str">
        <f>IFERROR(IF(IF(INDEX(_xlfn.VSTACK(YES_Writing_ELA[#Data],YES_Writing_FLA[#Data]),MATCH($A524,_xlfn.VSTACK(YES_Writing_ELA[Student Number],YES_Writing_FLA[Student Number]),0),MATCH(VLOOKUP(H$7,'Writing Logic'!$J$7:$K$11,2,FALSE)&amp;" - Per "&amp;VLOOKUP($C$4,'Writing Logic'!$G$8:$H$14,2,FALSE),YES_Writing_ELA[#Headers],0))=0,"",INDEX(_xlfn.VSTACK(YES_Writing_ELA[#Data],YES_Writing_FLA[#Data]),MATCH($A524,_xlfn.VSTACK(YES_Writing_ELA[Student Number],YES_Writing_FLA[Student Number]),0),MATCH(VLOOKUP(H$7,'Writing Logic'!$J$7:$K$11,2,FALSE)&amp;" - Per "&amp;VLOOKUP($C$4,'Writing Logic'!$G$8:$H$14,2,FALSE),YES_Writing_ELA[#Headers],0)))="INS",'Writing Logic'!$B$7,IF(INDEX(_xlfn.VSTACK(YES_Writing_ELA[#Data],YES_Writing_FLA[#Data]),MATCH($A524,_xlfn.VSTACK(YES_Writing_ELA[Student Number],YES_Writing_FLA[Student Number]),0),MATCH(VLOOKUP(H$7,'Writing Logic'!$J$7:$K$11,2,FALSE)&amp;" - Per "&amp;VLOOKUP($C$4,'Writing Logic'!$G$8:$H$14,2,FALSE),YES_Writing_ELA[#Headers],0))=0,"",INDEX(_xlfn.VSTACK(YES_Writing_ELA[#Data],YES_Writing_FLA[#Data]),MATCH($A524,_xlfn.VSTACK(YES_Writing_ELA[Student Number],YES_Writing_FLA[Student Number]),0),MATCH(VLOOKUP(H$7,'Writing Logic'!$J$7:$K$11,2,FALSE)&amp;" - Per "&amp;VLOOKUP($C$4,'Writing Logic'!$G$8:$H$14,2,FALSE),YES_Writing_ELA[#Headers],0)))),"")</f>
        <v/>
      </c>
      <c r="I524" s="224" t="str" cm="1">
        <f t="array" aca="1" ref="I524" ca="1">IFERROR(
IF($G$3="ELA",
IF(VLOOKUP($A524, YES_Reading_ELA[], COLUMN(INDIRECT("YES_Reading_ELA[Difference - Per "&amp;VLOOKUP($G$4, 'Reading Report Logic'!$A$2:$B$8, 2, FALSE)&amp;"]")), FALSE)="", "",
VLOOKUP($A524,YES_Reading_ELA[], COLUMN(INDIRECT("YES_Reading_ELA[Difference - Per "&amp;VLOOKUP($G$4,'Reading Report Logic'!$A$2:$B$8,2,FALSE)&amp;"]")), FALSE)),
IF($G$3="FLA",
IF(VLOOKUP($A524, YES_Reading_FLA[], COLUMN(INDIRECT("YES_Reading_FLA[Difference - Per "&amp;VLOOKUP($G$4,'Reading Report Logic'!$A$2:$B$8,2,FALSE)&amp;"]")),FALSE)="","",
VLOOKUP($A524,YES_Reading_FLA[],COLUMN(INDIRECT("YES_Reading_FLA[Difference - Per "&amp;VLOOKUP($G$4,'Reading Report Logic'!$A$2:$B$8,2,FALSE)&amp;"]")),FALSE)),
IF($G$3="Combined",
IFERROR(
IF(VLOOKUP($A524, YES_Reading_ELA[], COLUMN(INDIRECT("YES_Reading_ELA[Difference - Per "&amp;VLOOKUP($G$4, 'Reading Report Logic'!$A$2:$B$8,2,FALSE)&amp;"]")), FALSE)="", "",
VLOOKUP($A524,YES_Reading_ELA[],COLUMN(INDIRECT("YES_Reading_ELA[Difference - Per "&amp;VLOOKUP($G$4,'Reading Report Logic'!$A$2:$B$8,2,FALSE)&amp;"]")),FALSE)),
IF(VLOOKUP($A524, YES_Reading_FLA[], COLUMN(INDIRECT("YES_Reading_FLA[Difference - Per "&amp;VLOOKUP($G$4, 'Reading Report Logic'!$A$2:$B$8, 2, FALSE)&amp;"]")),FALSE)="", "", VLOOKUP($A524,YES_Reading_FLA[],COLUMN(INDIRECT("YES_Reading_FLA[Difference - Per "&amp;VLOOKUP($G$4, 'Reading Report Logic'!$A$2:$B$8, 2, FALSE)&amp;"]")),FALSE))),""))),"")</f>
        <v/>
      </c>
    </row>
    <row r="525" spans="1:9" x14ac:dyDescent="0.25">
      <c r="A525" s="137"/>
      <c r="B525" s="137" t="str">
        <f>IFERROR(INDEX(_xlfn.VSTACK(YES_Writing_ELA[#Data], YES_Writing_FLA[#Data]),MATCH($A525,_xlfn.VSTACK(YES_Writing_ELA[Student Number], YES_Writing_FLA[Student Number]),0),MATCH(B$7,YES_Writing_ELA[#Headers],0)),IFERROR(INDEX(_xlfn.VSTACK(YES_Reading_ELA[#Data], YES_Reading_FLA[#Data]),MATCH($A525,_xlfn.VSTACK(YES_Reading_ELA[Student Number], YES_Reading_FLA[Student Number]),0),MATCH(B$7,YES_Reading_ELA[#Headers],0)),""))</f>
        <v/>
      </c>
      <c r="C525" s="137" t="str">
        <f>IFERROR(INDEX(_xlfn.VSTACK(YES_Writing_ELA[#Data], YES_Writing_FLA[#Data]),MATCH($A525,_xlfn.VSTACK(YES_Writing_ELA[Student Number], YES_Writing_FLA[Student Number]),0),MATCH(C$7,YES_Writing_ELA[#Headers],0)),IFERROR(INDEX(_xlfn.VSTACK(YES_Reading_ELA[#Data], YES_Reading_FLA[#Data]),MATCH($A525,_xlfn.VSTACK(YES_Reading_ELA[Student Number], YES_Reading_FLA[Student Number]),0),MATCH(C$7,YES_Reading_ELA[#Headers],0)),""))</f>
        <v/>
      </c>
      <c r="D525" s="138" t="str">
        <f>IFERROR(IF(IF(INDEX(_xlfn.VSTACK(YES_Writing_ELA[#Data],YES_Writing_FLA[#Data]),MATCH($A525,_xlfn.VSTACK(YES_Writing_ELA[Student Number],YES_Writing_FLA[Student Number]),0),MATCH(VLOOKUP(D$7,'Writing Logic'!$J$7:$K$11,2,FALSE)&amp;" - Per "&amp;VLOOKUP($C$4,'Writing Logic'!$G$8:$H$14,2,FALSE),YES_Writing_ELA[#Headers],0))=0,"",INDEX(_xlfn.VSTACK(YES_Writing_ELA[#Data],YES_Writing_FLA[#Data]),MATCH($A525,_xlfn.VSTACK(YES_Writing_ELA[Student Number],YES_Writing_FLA[Student Number]),0),MATCH(VLOOKUP(D$7,'Writing Logic'!$J$7:$K$11,2,FALSE)&amp;" - Per "&amp;VLOOKUP($C$4,'Writing Logic'!$G$8:$H$14,2,FALSE),YES_Writing_ELA[#Headers],0)))="INS",'Writing Logic'!$B$7,IF(INDEX(_xlfn.VSTACK(YES_Writing_ELA[#Data],YES_Writing_FLA[#Data]),MATCH($A525,_xlfn.VSTACK(YES_Writing_ELA[Student Number],YES_Writing_FLA[Student Number]),0),MATCH(VLOOKUP(D$7,'Writing Logic'!$J$7:$K$11,2,FALSE)&amp;" - Per "&amp;VLOOKUP($C$4,'Writing Logic'!$G$8:$H$14,2,FALSE),YES_Writing_ELA[#Headers],0))=0,"",INDEX(_xlfn.VSTACK(YES_Writing_ELA[#Data],YES_Writing_FLA[#Data]),MATCH($A525,_xlfn.VSTACK(YES_Writing_ELA[Student Number],YES_Writing_FLA[Student Number]),0),MATCH(VLOOKUP(D$7,'Writing Logic'!$J$7:$K$11,2,FALSE)&amp;" - Per "&amp;VLOOKUP($C$4,'Writing Logic'!$G$8:$H$14,2,FALSE),YES_Writing_ELA[#Headers],0)))),"")</f>
        <v/>
      </c>
      <c r="E525" s="138" t="str">
        <f>IFERROR(IF(IF(INDEX(_xlfn.VSTACK(YES_Writing_ELA[#Data],YES_Writing_FLA[#Data]),MATCH($A525,_xlfn.VSTACK(YES_Writing_ELA[Student Number],YES_Writing_FLA[Student Number]),0),MATCH(VLOOKUP(E$7,'Writing Logic'!$J$7:$K$11,2,FALSE)&amp;" - Per "&amp;VLOOKUP($C$4,'Writing Logic'!$G$8:$H$14,2,FALSE),YES_Writing_ELA[#Headers],0))=0,"",INDEX(_xlfn.VSTACK(YES_Writing_ELA[#Data],YES_Writing_FLA[#Data]),MATCH($A525,_xlfn.VSTACK(YES_Writing_ELA[Student Number],YES_Writing_FLA[Student Number]),0),MATCH(VLOOKUP(E$7,'Writing Logic'!$J$7:$K$11,2,FALSE)&amp;" - Per "&amp;VLOOKUP($C$4,'Writing Logic'!$G$8:$H$14,2,FALSE),YES_Writing_ELA[#Headers],0)))="INS",'Writing Logic'!$B$7,IF(INDEX(_xlfn.VSTACK(YES_Writing_ELA[#Data],YES_Writing_FLA[#Data]),MATCH($A525,_xlfn.VSTACK(YES_Writing_ELA[Student Number],YES_Writing_FLA[Student Number]),0),MATCH(VLOOKUP(E$7,'Writing Logic'!$J$7:$K$11,2,FALSE)&amp;" - Per "&amp;VLOOKUP($C$4,'Writing Logic'!$G$8:$H$14,2,FALSE),YES_Writing_ELA[#Headers],0))=0,"",INDEX(_xlfn.VSTACK(YES_Writing_ELA[#Data],YES_Writing_FLA[#Data]),MATCH($A525,_xlfn.VSTACK(YES_Writing_ELA[Student Number],YES_Writing_FLA[Student Number]),0),MATCH(VLOOKUP(E$7,'Writing Logic'!$J$7:$K$11,2,FALSE)&amp;" - Per "&amp;VLOOKUP($C$4,'Writing Logic'!$G$8:$H$14,2,FALSE),YES_Writing_ELA[#Headers],0)))),"")</f>
        <v/>
      </c>
      <c r="F525" s="138" t="str">
        <f>IFERROR(IF(IF(INDEX(_xlfn.VSTACK(YES_Writing_ELA[#Data],YES_Writing_FLA[#Data]),MATCH($A525,_xlfn.VSTACK(YES_Writing_ELA[Student Number],YES_Writing_FLA[Student Number]),0),MATCH(VLOOKUP(F$7,'Writing Logic'!$J$7:$K$11,2,FALSE)&amp;" - Per "&amp;VLOOKUP($C$4,'Writing Logic'!$G$8:$H$14,2,FALSE),YES_Writing_ELA[#Headers],0))=0,"",INDEX(_xlfn.VSTACK(YES_Writing_ELA[#Data],YES_Writing_FLA[#Data]),MATCH($A525,_xlfn.VSTACK(YES_Writing_ELA[Student Number],YES_Writing_FLA[Student Number]),0),MATCH(VLOOKUP(F$7,'Writing Logic'!$J$7:$K$11,2,FALSE)&amp;" - Per "&amp;VLOOKUP($C$4,'Writing Logic'!$G$8:$H$14,2,FALSE),YES_Writing_ELA[#Headers],0)))="INS",'Writing Logic'!$B$7,IF(INDEX(_xlfn.VSTACK(YES_Writing_ELA[#Data],YES_Writing_FLA[#Data]),MATCH($A525,_xlfn.VSTACK(YES_Writing_ELA[Student Number],YES_Writing_FLA[Student Number]),0),MATCH(VLOOKUP(F$7,'Writing Logic'!$J$7:$K$11,2,FALSE)&amp;" - Per "&amp;VLOOKUP($C$4,'Writing Logic'!$G$8:$H$14,2,FALSE),YES_Writing_ELA[#Headers],0))=0,"",INDEX(_xlfn.VSTACK(YES_Writing_ELA[#Data],YES_Writing_FLA[#Data]),MATCH($A525,_xlfn.VSTACK(YES_Writing_ELA[Student Number],YES_Writing_FLA[Student Number]),0),MATCH(VLOOKUP(F$7,'Writing Logic'!$J$7:$K$11,2,FALSE)&amp;" - Per "&amp;VLOOKUP($C$4,'Writing Logic'!$G$8:$H$14,2,FALSE),YES_Writing_ELA[#Headers],0)))),"")</f>
        <v/>
      </c>
      <c r="G525" s="138" t="str">
        <f>IFERROR(IF(IF(INDEX(_xlfn.VSTACK(YES_Writing_ELA[#Data],YES_Writing_FLA[#Data]),MATCH($A525,_xlfn.VSTACK(YES_Writing_ELA[Student Number],YES_Writing_FLA[Student Number]),0),MATCH(VLOOKUP(G$7,'Writing Logic'!$J$7:$K$11,2,FALSE)&amp;" - Per "&amp;VLOOKUP($C$4,'Writing Logic'!$G$8:$H$14,2,FALSE),YES_Writing_ELA[#Headers],0))=0,"",INDEX(_xlfn.VSTACK(YES_Writing_ELA[#Data],YES_Writing_FLA[#Data]),MATCH($A525,_xlfn.VSTACK(YES_Writing_ELA[Student Number],YES_Writing_FLA[Student Number]),0),MATCH(VLOOKUP(G$7,'Writing Logic'!$J$7:$K$11,2,FALSE)&amp;" - Per "&amp;VLOOKUP($C$4,'Writing Logic'!$G$8:$H$14,2,FALSE),YES_Writing_ELA[#Headers],0)))="INS",'Writing Logic'!$B$7,IF(INDEX(_xlfn.VSTACK(YES_Writing_ELA[#Data],YES_Writing_FLA[#Data]),MATCH($A525,_xlfn.VSTACK(YES_Writing_ELA[Student Number],YES_Writing_FLA[Student Number]),0),MATCH(VLOOKUP(G$7,'Writing Logic'!$J$7:$K$11,2,FALSE)&amp;" - Per "&amp;VLOOKUP($C$4,'Writing Logic'!$G$8:$H$14,2,FALSE),YES_Writing_ELA[#Headers],0))=0,"",INDEX(_xlfn.VSTACK(YES_Writing_ELA[#Data],YES_Writing_FLA[#Data]),MATCH($A525,_xlfn.VSTACK(YES_Writing_ELA[Student Number],YES_Writing_FLA[Student Number]),0),MATCH(VLOOKUP(G$7,'Writing Logic'!$J$7:$K$11,2,FALSE)&amp;" - Per "&amp;VLOOKUP($C$4,'Writing Logic'!$G$8:$H$14,2,FALSE),YES_Writing_ELA[#Headers],0)))),"")</f>
        <v/>
      </c>
      <c r="H525" s="223" t="str">
        <f>IFERROR(IF(IF(INDEX(_xlfn.VSTACK(YES_Writing_ELA[#Data],YES_Writing_FLA[#Data]),MATCH($A525,_xlfn.VSTACK(YES_Writing_ELA[Student Number],YES_Writing_FLA[Student Number]),0),MATCH(VLOOKUP(H$7,'Writing Logic'!$J$7:$K$11,2,FALSE)&amp;" - Per "&amp;VLOOKUP($C$4,'Writing Logic'!$G$8:$H$14,2,FALSE),YES_Writing_ELA[#Headers],0))=0,"",INDEX(_xlfn.VSTACK(YES_Writing_ELA[#Data],YES_Writing_FLA[#Data]),MATCH($A525,_xlfn.VSTACK(YES_Writing_ELA[Student Number],YES_Writing_FLA[Student Number]),0),MATCH(VLOOKUP(H$7,'Writing Logic'!$J$7:$K$11,2,FALSE)&amp;" - Per "&amp;VLOOKUP($C$4,'Writing Logic'!$G$8:$H$14,2,FALSE),YES_Writing_ELA[#Headers],0)))="INS",'Writing Logic'!$B$7,IF(INDEX(_xlfn.VSTACK(YES_Writing_ELA[#Data],YES_Writing_FLA[#Data]),MATCH($A525,_xlfn.VSTACK(YES_Writing_ELA[Student Number],YES_Writing_FLA[Student Number]),0),MATCH(VLOOKUP(H$7,'Writing Logic'!$J$7:$K$11,2,FALSE)&amp;" - Per "&amp;VLOOKUP($C$4,'Writing Logic'!$G$8:$H$14,2,FALSE),YES_Writing_ELA[#Headers],0))=0,"",INDEX(_xlfn.VSTACK(YES_Writing_ELA[#Data],YES_Writing_FLA[#Data]),MATCH($A525,_xlfn.VSTACK(YES_Writing_ELA[Student Number],YES_Writing_FLA[Student Number]),0),MATCH(VLOOKUP(H$7,'Writing Logic'!$J$7:$K$11,2,FALSE)&amp;" - Per "&amp;VLOOKUP($C$4,'Writing Logic'!$G$8:$H$14,2,FALSE),YES_Writing_ELA[#Headers],0)))),"")</f>
        <v/>
      </c>
      <c r="I525" s="224" t="str" cm="1">
        <f t="array" aca="1" ref="I525" ca="1">IFERROR(
IF($G$3="ELA",
IF(VLOOKUP($A525, YES_Reading_ELA[], COLUMN(INDIRECT("YES_Reading_ELA[Difference - Per "&amp;VLOOKUP($G$4, 'Reading Report Logic'!$A$2:$B$8, 2, FALSE)&amp;"]")), FALSE)="", "",
VLOOKUP($A525,YES_Reading_ELA[], COLUMN(INDIRECT("YES_Reading_ELA[Difference - Per "&amp;VLOOKUP($G$4,'Reading Report Logic'!$A$2:$B$8,2,FALSE)&amp;"]")), FALSE)),
IF($G$3="FLA",
IF(VLOOKUP($A525, YES_Reading_FLA[], COLUMN(INDIRECT("YES_Reading_FLA[Difference - Per "&amp;VLOOKUP($G$4,'Reading Report Logic'!$A$2:$B$8,2,FALSE)&amp;"]")),FALSE)="","",
VLOOKUP($A525,YES_Reading_FLA[],COLUMN(INDIRECT("YES_Reading_FLA[Difference - Per "&amp;VLOOKUP($G$4,'Reading Report Logic'!$A$2:$B$8,2,FALSE)&amp;"]")),FALSE)),
IF($G$3="Combined",
IFERROR(
IF(VLOOKUP($A525, YES_Reading_ELA[], COLUMN(INDIRECT("YES_Reading_ELA[Difference - Per "&amp;VLOOKUP($G$4, 'Reading Report Logic'!$A$2:$B$8,2,FALSE)&amp;"]")), FALSE)="", "",
VLOOKUP($A525,YES_Reading_ELA[],COLUMN(INDIRECT("YES_Reading_ELA[Difference - Per "&amp;VLOOKUP($G$4,'Reading Report Logic'!$A$2:$B$8,2,FALSE)&amp;"]")),FALSE)),
IF(VLOOKUP($A525, YES_Reading_FLA[], COLUMN(INDIRECT("YES_Reading_FLA[Difference - Per "&amp;VLOOKUP($G$4, 'Reading Report Logic'!$A$2:$B$8, 2, FALSE)&amp;"]")),FALSE)="", "", VLOOKUP($A525,YES_Reading_FLA[],COLUMN(INDIRECT("YES_Reading_FLA[Difference - Per "&amp;VLOOKUP($G$4, 'Reading Report Logic'!$A$2:$B$8, 2, FALSE)&amp;"]")),FALSE))),""))),"")</f>
        <v/>
      </c>
    </row>
    <row r="526" spans="1:9" x14ac:dyDescent="0.25">
      <c r="A526" s="137"/>
      <c r="B526" s="137" t="str">
        <f>IFERROR(INDEX(_xlfn.VSTACK(YES_Writing_ELA[#Data], YES_Writing_FLA[#Data]),MATCH($A526,_xlfn.VSTACK(YES_Writing_ELA[Student Number], YES_Writing_FLA[Student Number]),0),MATCH(B$7,YES_Writing_ELA[#Headers],0)),IFERROR(INDEX(_xlfn.VSTACK(YES_Reading_ELA[#Data], YES_Reading_FLA[#Data]),MATCH($A526,_xlfn.VSTACK(YES_Reading_ELA[Student Number], YES_Reading_FLA[Student Number]),0),MATCH(B$7,YES_Reading_ELA[#Headers],0)),""))</f>
        <v/>
      </c>
      <c r="C526" s="137" t="str">
        <f>IFERROR(INDEX(_xlfn.VSTACK(YES_Writing_ELA[#Data], YES_Writing_FLA[#Data]),MATCH($A526,_xlfn.VSTACK(YES_Writing_ELA[Student Number], YES_Writing_FLA[Student Number]),0),MATCH(C$7,YES_Writing_ELA[#Headers],0)),IFERROR(INDEX(_xlfn.VSTACK(YES_Reading_ELA[#Data], YES_Reading_FLA[#Data]),MATCH($A526,_xlfn.VSTACK(YES_Reading_ELA[Student Number], YES_Reading_FLA[Student Number]),0),MATCH(C$7,YES_Reading_ELA[#Headers],0)),""))</f>
        <v/>
      </c>
      <c r="D526" s="138" t="str">
        <f>IFERROR(IF(IF(INDEX(_xlfn.VSTACK(YES_Writing_ELA[#Data],YES_Writing_FLA[#Data]),MATCH($A526,_xlfn.VSTACK(YES_Writing_ELA[Student Number],YES_Writing_FLA[Student Number]),0),MATCH(VLOOKUP(D$7,'Writing Logic'!$J$7:$K$11,2,FALSE)&amp;" - Per "&amp;VLOOKUP($C$4,'Writing Logic'!$G$8:$H$14,2,FALSE),YES_Writing_ELA[#Headers],0))=0,"",INDEX(_xlfn.VSTACK(YES_Writing_ELA[#Data],YES_Writing_FLA[#Data]),MATCH($A526,_xlfn.VSTACK(YES_Writing_ELA[Student Number],YES_Writing_FLA[Student Number]),0),MATCH(VLOOKUP(D$7,'Writing Logic'!$J$7:$K$11,2,FALSE)&amp;" - Per "&amp;VLOOKUP($C$4,'Writing Logic'!$G$8:$H$14,2,FALSE),YES_Writing_ELA[#Headers],0)))="INS",'Writing Logic'!$B$7,IF(INDEX(_xlfn.VSTACK(YES_Writing_ELA[#Data],YES_Writing_FLA[#Data]),MATCH($A526,_xlfn.VSTACK(YES_Writing_ELA[Student Number],YES_Writing_FLA[Student Number]),0),MATCH(VLOOKUP(D$7,'Writing Logic'!$J$7:$K$11,2,FALSE)&amp;" - Per "&amp;VLOOKUP($C$4,'Writing Logic'!$G$8:$H$14,2,FALSE),YES_Writing_ELA[#Headers],0))=0,"",INDEX(_xlfn.VSTACK(YES_Writing_ELA[#Data],YES_Writing_FLA[#Data]),MATCH($A526,_xlfn.VSTACK(YES_Writing_ELA[Student Number],YES_Writing_FLA[Student Number]),0),MATCH(VLOOKUP(D$7,'Writing Logic'!$J$7:$K$11,2,FALSE)&amp;" - Per "&amp;VLOOKUP($C$4,'Writing Logic'!$G$8:$H$14,2,FALSE),YES_Writing_ELA[#Headers],0)))),"")</f>
        <v/>
      </c>
      <c r="E526" s="138" t="str">
        <f>IFERROR(IF(IF(INDEX(_xlfn.VSTACK(YES_Writing_ELA[#Data],YES_Writing_FLA[#Data]),MATCH($A526,_xlfn.VSTACK(YES_Writing_ELA[Student Number],YES_Writing_FLA[Student Number]),0),MATCH(VLOOKUP(E$7,'Writing Logic'!$J$7:$K$11,2,FALSE)&amp;" - Per "&amp;VLOOKUP($C$4,'Writing Logic'!$G$8:$H$14,2,FALSE),YES_Writing_ELA[#Headers],0))=0,"",INDEX(_xlfn.VSTACK(YES_Writing_ELA[#Data],YES_Writing_FLA[#Data]),MATCH($A526,_xlfn.VSTACK(YES_Writing_ELA[Student Number],YES_Writing_FLA[Student Number]),0),MATCH(VLOOKUP(E$7,'Writing Logic'!$J$7:$K$11,2,FALSE)&amp;" - Per "&amp;VLOOKUP($C$4,'Writing Logic'!$G$8:$H$14,2,FALSE),YES_Writing_ELA[#Headers],0)))="INS",'Writing Logic'!$B$7,IF(INDEX(_xlfn.VSTACK(YES_Writing_ELA[#Data],YES_Writing_FLA[#Data]),MATCH($A526,_xlfn.VSTACK(YES_Writing_ELA[Student Number],YES_Writing_FLA[Student Number]),0),MATCH(VLOOKUP(E$7,'Writing Logic'!$J$7:$K$11,2,FALSE)&amp;" - Per "&amp;VLOOKUP($C$4,'Writing Logic'!$G$8:$H$14,2,FALSE),YES_Writing_ELA[#Headers],0))=0,"",INDEX(_xlfn.VSTACK(YES_Writing_ELA[#Data],YES_Writing_FLA[#Data]),MATCH($A526,_xlfn.VSTACK(YES_Writing_ELA[Student Number],YES_Writing_FLA[Student Number]),0),MATCH(VLOOKUP(E$7,'Writing Logic'!$J$7:$K$11,2,FALSE)&amp;" - Per "&amp;VLOOKUP($C$4,'Writing Logic'!$G$8:$H$14,2,FALSE),YES_Writing_ELA[#Headers],0)))),"")</f>
        <v/>
      </c>
      <c r="F526" s="138" t="str">
        <f>IFERROR(IF(IF(INDEX(_xlfn.VSTACK(YES_Writing_ELA[#Data],YES_Writing_FLA[#Data]),MATCH($A526,_xlfn.VSTACK(YES_Writing_ELA[Student Number],YES_Writing_FLA[Student Number]),0),MATCH(VLOOKUP(F$7,'Writing Logic'!$J$7:$K$11,2,FALSE)&amp;" - Per "&amp;VLOOKUP($C$4,'Writing Logic'!$G$8:$H$14,2,FALSE),YES_Writing_ELA[#Headers],0))=0,"",INDEX(_xlfn.VSTACK(YES_Writing_ELA[#Data],YES_Writing_FLA[#Data]),MATCH($A526,_xlfn.VSTACK(YES_Writing_ELA[Student Number],YES_Writing_FLA[Student Number]),0),MATCH(VLOOKUP(F$7,'Writing Logic'!$J$7:$K$11,2,FALSE)&amp;" - Per "&amp;VLOOKUP($C$4,'Writing Logic'!$G$8:$H$14,2,FALSE),YES_Writing_ELA[#Headers],0)))="INS",'Writing Logic'!$B$7,IF(INDEX(_xlfn.VSTACK(YES_Writing_ELA[#Data],YES_Writing_FLA[#Data]),MATCH($A526,_xlfn.VSTACK(YES_Writing_ELA[Student Number],YES_Writing_FLA[Student Number]),0),MATCH(VLOOKUP(F$7,'Writing Logic'!$J$7:$K$11,2,FALSE)&amp;" - Per "&amp;VLOOKUP($C$4,'Writing Logic'!$G$8:$H$14,2,FALSE),YES_Writing_ELA[#Headers],0))=0,"",INDEX(_xlfn.VSTACK(YES_Writing_ELA[#Data],YES_Writing_FLA[#Data]),MATCH($A526,_xlfn.VSTACK(YES_Writing_ELA[Student Number],YES_Writing_FLA[Student Number]),0),MATCH(VLOOKUP(F$7,'Writing Logic'!$J$7:$K$11,2,FALSE)&amp;" - Per "&amp;VLOOKUP($C$4,'Writing Logic'!$G$8:$H$14,2,FALSE),YES_Writing_ELA[#Headers],0)))),"")</f>
        <v/>
      </c>
      <c r="G526" s="138" t="str">
        <f>IFERROR(IF(IF(INDEX(_xlfn.VSTACK(YES_Writing_ELA[#Data],YES_Writing_FLA[#Data]),MATCH($A526,_xlfn.VSTACK(YES_Writing_ELA[Student Number],YES_Writing_FLA[Student Number]),0),MATCH(VLOOKUP(G$7,'Writing Logic'!$J$7:$K$11,2,FALSE)&amp;" - Per "&amp;VLOOKUP($C$4,'Writing Logic'!$G$8:$H$14,2,FALSE),YES_Writing_ELA[#Headers],0))=0,"",INDEX(_xlfn.VSTACK(YES_Writing_ELA[#Data],YES_Writing_FLA[#Data]),MATCH($A526,_xlfn.VSTACK(YES_Writing_ELA[Student Number],YES_Writing_FLA[Student Number]),0),MATCH(VLOOKUP(G$7,'Writing Logic'!$J$7:$K$11,2,FALSE)&amp;" - Per "&amp;VLOOKUP($C$4,'Writing Logic'!$G$8:$H$14,2,FALSE),YES_Writing_ELA[#Headers],0)))="INS",'Writing Logic'!$B$7,IF(INDEX(_xlfn.VSTACK(YES_Writing_ELA[#Data],YES_Writing_FLA[#Data]),MATCH($A526,_xlfn.VSTACK(YES_Writing_ELA[Student Number],YES_Writing_FLA[Student Number]),0),MATCH(VLOOKUP(G$7,'Writing Logic'!$J$7:$K$11,2,FALSE)&amp;" - Per "&amp;VLOOKUP($C$4,'Writing Logic'!$G$8:$H$14,2,FALSE),YES_Writing_ELA[#Headers],0))=0,"",INDEX(_xlfn.VSTACK(YES_Writing_ELA[#Data],YES_Writing_FLA[#Data]),MATCH($A526,_xlfn.VSTACK(YES_Writing_ELA[Student Number],YES_Writing_FLA[Student Number]),0),MATCH(VLOOKUP(G$7,'Writing Logic'!$J$7:$K$11,2,FALSE)&amp;" - Per "&amp;VLOOKUP($C$4,'Writing Logic'!$G$8:$H$14,2,FALSE),YES_Writing_ELA[#Headers],0)))),"")</f>
        <v/>
      </c>
      <c r="H526" s="223" t="str">
        <f>IFERROR(IF(IF(INDEX(_xlfn.VSTACK(YES_Writing_ELA[#Data],YES_Writing_FLA[#Data]),MATCH($A526,_xlfn.VSTACK(YES_Writing_ELA[Student Number],YES_Writing_FLA[Student Number]),0),MATCH(VLOOKUP(H$7,'Writing Logic'!$J$7:$K$11,2,FALSE)&amp;" - Per "&amp;VLOOKUP($C$4,'Writing Logic'!$G$8:$H$14,2,FALSE),YES_Writing_ELA[#Headers],0))=0,"",INDEX(_xlfn.VSTACK(YES_Writing_ELA[#Data],YES_Writing_FLA[#Data]),MATCH($A526,_xlfn.VSTACK(YES_Writing_ELA[Student Number],YES_Writing_FLA[Student Number]),0),MATCH(VLOOKUP(H$7,'Writing Logic'!$J$7:$K$11,2,FALSE)&amp;" - Per "&amp;VLOOKUP($C$4,'Writing Logic'!$G$8:$H$14,2,FALSE),YES_Writing_ELA[#Headers],0)))="INS",'Writing Logic'!$B$7,IF(INDEX(_xlfn.VSTACK(YES_Writing_ELA[#Data],YES_Writing_FLA[#Data]),MATCH($A526,_xlfn.VSTACK(YES_Writing_ELA[Student Number],YES_Writing_FLA[Student Number]),0),MATCH(VLOOKUP(H$7,'Writing Logic'!$J$7:$K$11,2,FALSE)&amp;" - Per "&amp;VLOOKUP($C$4,'Writing Logic'!$G$8:$H$14,2,FALSE),YES_Writing_ELA[#Headers],0))=0,"",INDEX(_xlfn.VSTACK(YES_Writing_ELA[#Data],YES_Writing_FLA[#Data]),MATCH($A526,_xlfn.VSTACK(YES_Writing_ELA[Student Number],YES_Writing_FLA[Student Number]),0),MATCH(VLOOKUP(H$7,'Writing Logic'!$J$7:$K$11,2,FALSE)&amp;" - Per "&amp;VLOOKUP($C$4,'Writing Logic'!$G$8:$H$14,2,FALSE),YES_Writing_ELA[#Headers],0)))),"")</f>
        <v/>
      </c>
      <c r="I526" s="224" t="str" cm="1">
        <f t="array" aca="1" ref="I526" ca="1">IFERROR(
IF($G$3="ELA",
IF(VLOOKUP($A526, YES_Reading_ELA[], COLUMN(INDIRECT("YES_Reading_ELA[Difference - Per "&amp;VLOOKUP($G$4, 'Reading Report Logic'!$A$2:$B$8, 2, FALSE)&amp;"]")), FALSE)="", "",
VLOOKUP($A526,YES_Reading_ELA[], COLUMN(INDIRECT("YES_Reading_ELA[Difference - Per "&amp;VLOOKUP($G$4,'Reading Report Logic'!$A$2:$B$8,2,FALSE)&amp;"]")), FALSE)),
IF($G$3="FLA",
IF(VLOOKUP($A526, YES_Reading_FLA[], COLUMN(INDIRECT("YES_Reading_FLA[Difference - Per "&amp;VLOOKUP($G$4,'Reading Report Logic'!$A$2:$B$8,2,FALSE)&amp;"]")),FALSE)="","",
VLOOKUP($A526,YES_Reading_FLA[],COLUMN(INDIRECT("YES_Reading_FLA[Difference - Per "&amp;VLOOKUP($G$4,'Reading Report Logic'!$A$2:$B$8,2,FALSE)&amp;"]")),FALSE)),
IF($G$3="Combined",
IFERROR(
IF(VLOOKUP($A526, YES_Reading_ELA[], COLUMN(INDIRECT("YES_Reading_ELA[Difference - Per "&amp;VLOOKUP($G$4, 'Reading Report Logic'!$A$2:$B$8,2,FALSE)&amp;"]")), FALSE)="", "",
VLOOKUP($A526,YES_Reading_ELA[],COLUMN(INDIRECT("YES_Reading_ELA[Difference - Per "&amp;VLOOKUP($G$4,'Reading Report Logic'!$A$2:$B$8,2,FALSE)&amp;"]")),FALSE)),
IF(VLOOKUP($A526, YES_Reading_FLA[], COLUMN(INDIRECT("YES_Reading_FLA[Difference - Per "&amp;VLOOKUP($G$4, 'Reading Report Logic'!$A$2:$B$8, 2, FALSE)&amp;"]")),FALSE)="", "", VLOOKUP($A526,YES_Reading_FLA[],COLUMN(INDIRECT("YES_Reading_FLA[Difference - Per "&amp;VLOOKUP($G$4, 'Reading Report Logic'!$A$2:$B$8, 2, FALSE)&amp;"]")),FALSE))),""))),"")</f>
        <v/>
      </c>
    </row>
    <row r="527" spans="1:9" x14ac:dyDescent="0.25">
      <c r="A527" s="137"/>
      <c r="B527" s="137" t="str">
        <f>IFERROR(INDEX(_xlfn.VSTACK(YES_Writing_ELA[#Data], YES_Writing_FLA[#Data]),MATCH($A527,_xlfn.VSTACK(YES_Writing_ELA[Student Number], YES_Writing_FLA[Student Number]),0),MATCH(B$7,YES_Writing_ELA[#Headers],0)),IFERROR(INDEX(_xlfn.VSTACK(YES_Reading_ELA[#Data], YES_Reading_FLA[#Data]),MATCH($A527,_xlfn.VSTACK(YES_Reading_ELA[Student Number], YES_Reading_FLA[Student Number]),0),MATCH(B$7,YES_Reading_ELA[#Headers],0)),""))</f>
        <v/>
      </c>
      <c r="C527" s="137" t="str">
        <f>IFERROR(INDEX(_xlfn.VSTACK(YES_Writing_ELA[#Data], YES_Writing_FLA[#Data]),MATCH($A527,_xlfn.VSTACK(YES_Writing_ELA[Student Number], YES_Writing_FLA[Student Number]),0),MATCH(C$7,YES_Writing_ELA[#Headers],0)),IFERROR(INDEX(_xlfn.VSTACK(YES_Reading_ELA[#Data], YES_Reading_FLA[#Data]),MATCH($A527,_xlfn.VSTACK(YES_Reading_ELA[Student Number], YES_Reading_FLA[Student Number]),0),MATCH(C$7,YES_Reading_ELA[#Headers],0)),""))</f>
        <v/>
      </c>
      <c r="D527" s="138" t="str">
        <f>IFERROR(IF(IF(INDEX(_xlfn.VSTACK(YES_Writing_ELA[#Data],YES_Writing_FLA[#Data]),MATCH($A527,_xlfn.VSTACK(YES_Writing_ELA[Student Number],YES_Writing_FLA[Student Number]),0),MATCH(VLOOKUP(D$7,'Writing Logic'!$J$7:$K$11,2,FALSE)&amp;" - Per "&amp;VLOOKUP($C$4,'Writing Logic'!$G$8:$H$14,2,FALSE),YES_Writing_ELA[#Headers],0))=0,"",INDEX(_xlfn.VSTACK(YES_Writing_ELA[#Data],YES_Writing_FLA[#Data]),MATCH($A527,_xlfn.VSTACK(YES_Writing_ELA[Student Number],YES_Writing_FLA[Student Number]),0),MATCH(VLOOKUP(D$7,'Writing Logic'!$J$7:$K$11,2,FALSE)&amp;" - Per "&amp;VLOOKUP($C$4,'Writing Logic'!$G$8:$H$14,2,FALSE),YES_Writing_ELA[#Headers],0)))="INS",'Writing Logic'!$B$7,IF(INDEX(_xlfn.VSTACK(YES_Writing_ELA[#Data],YES_Writing_FLA[#Data]),MATCH($A527,_xlfn.VSTACK(YES_Writing_ELA[Student Number],YES_Writing_FLA[Student Number]),0),MATCH(VLOOKUP(D$7,'Writing Logic'!$J$7:$K$11,2,FALSE)&amp;" - Per "&amp;VLOOKUP($C$4,'Writing Logic'!$G$8:$H$14,2,FALSE),YES_Writing_ELA[#Headers],0))=0,"",INDEX(_xlfn.VSTACK(YES_Writing_ELA[#Data],YES_Writing_FLA[#Data]),MATCH($A527,_xlfn.VSTACK(YES_Writing_ELA[Student Number],YES_Writing_FLA[Student Number]),0),MATCH(VLOOKUP(D$7,'Writing Logic'!$J$7:$K$11,2,FALSE)&amp;" - Per "&amp;VLOOKUP($C$4,'Writing Logic'!$G$8:$H$14,2,FALSE),YES_Writing_ELA[#Headers],0)))),"")</f>
        <v/>
      </c>
      <c r="E527" s="138" t="str">
        <f>IFERROR(IF(IF(INDEX(_xlfn.VSTACK(YES_Writing_ELA[#Data],YES_Writing_FLA[#Data]),MATCH($A527,_xlfn.VSTACK(YES_Writing_ELA[Student Number],YES_Writing_FLA[Student Number]),0),MATCH(VLOOKUP(E$7,'Writing Logic'!$J$7:$K$11,2,FALSE)&amp;" - Per "&amp;VLOOKUP($C$4,'Writing Logic'!$G$8:$H$14,2,FALSE),YES_Writing_ELA[#Headers],0))=0,"",INDEX(_xlfn.VSTACK(YES_Writing_ELA[#Data],YES_Writing_FLA[#Data]),MATCH($A527,_xlfn.VSTACK(YES_Writing_ELA[Student Number],YES_Writing_FLA[Student Number]),0),MATCH(VLOOKUP(E$7,'Writing Logic'!$J$7:$K$11,2,FALSE)&amp;" - Per "&amp;VLOOKUP($C$4,'Writing Logic'!$G$8:$H$14,2,FALSE),YES_Writing_ELA[#Headers],0)))="INS",'Writing Logic'!$B$7,IF(INDEX(_xlfn.VSTACK(YES_Writing_ELA[#Data],YES_Writing_FLA[#Data]),MATCH($A527,_xlfn.VSTACK(YES_Writing_ELA[Student Number],YES_Writing_FLA[Student Number]),0),MATCH(VLOOKUP(E$7,'Writing Logic'!$J$7:$K$11,2,FALSE)&amp;" - Per "&amp;VLOOKUP($C$4,'Writing Logic'!$G$8:$H$14,2,FALSE),YES_Writing_ELA[#Headers],0))=0,"",INDEX(_xlfn.VSTACK(YES_Writing_ELA[#Data],YES_Writing_FLA[#Data]),MATCH($A527,_xlfn.VSTACK(YES_Writing_ELA[Student Number],YES_Writing_FLA[Student Number]),0),MATCH(VLOOKUP(E$7,'Writing Logic'!$J$7:$K$11,2,FALSE)&amp;" - Per "&amp;VLOOKUP($C$4,'Writing Logic'!$G$8:$H$14,2,FALSE),YES_Writing_ELA[#Headers],0)))),"")</f>
        <v/>
      </c>
      <c r="F527" s="138" t="str">
        <f>IFERROR(IF(IF(INDEX(_xlfn.VSTACK(YES_Writing_ELA[#Data],YES_Writing_FLA[#Data]),MATCH($A527,_xlfn.VSTACK(YES_Writing_ELA[Student Number],YES_Writing_FLA[Student Number]),0),MATCH(VLOOKUP(F$7,'Writing Logic'!$J$7:$K$11,2,FALSE)&amp;" - Per "&amp;VLOOKUP($C$4,'Writing Logic'!$G$8:$H$14,2,FALSE),YES_Writing_ELA[#Headers],0))=0,"",INDEX(_xlfn.VSTACK(YES_Writing_ELA[#Data],YES_Writing_FLA[#Data]),MATCH($A527,_xlfn.VSTACK(YES_Writing_ELA[Student Number],YES_Writing_FLA[Student Number]),0),MATCH(VLOOKUP(F$7,'Writing Logic'!$J$7:$K$11,2,FALSE)&amp;" - Per "&amp;VLOOKUP($C$4,'Writing Logic'!$G$8:$H$14,2,FALSE),YES_Writing_ELA[#Headers],0)))="INS",'Writing Logic'!$B$7,IF(INDEX(_xlfn.VSTACK(YES_Writing_ELA[#Data],YES_Writing_FLA[#Data]),MATCH($A527,_xlfn.VSTACK(YES_Writing_ELA[Student Number],YES_Writing_FLA[Student Number]),0),MATCH(VLOOKUP(F$7,'Writing Logic'!$J$7:$K$11,2,FALSE)&amp;" - Per "&amp;VLOOKUP($C$4,'Writing Logic'!$G$8:$H$14,2,FALSE),YES_Writing_ELA[#Headers],0))=0,"",INDEX(_xlfn.VSTACK(YES_Writing_ELA[#Data],YES_Writing_FLA[#Data]),MATCH($A527,_xlfn.VSTACK(YES_Writing_ELA[Student Number],YES_Writing_FLA[Student Number]),0),MATCH(VLOOKUP(F$7,'Writing Logic'!$J$7:$K$11,2,FALSE)&amp;" - Per "&amp;VLOOKUP($C$4,'Writing Logic'!$G$8:$H$14,2,FALSE),YES_Writing_ELA[#Headers],0)))),"")</f>
        <v/>
      </c>
      <c r="G527" s="138" t="str">
        <f>IFERROR(IF(IF(INDEX(_xlfn.VSTACK(YES_Writing_ELA[#Data],YES_Writing_FLA[#Data]),MATCH($A527,_xlfn.VSTACK(YES_Writing_ELA[Student Number],YES_Writing_FLA[Student Number]),0),MATCH(VLOOKUP(G$7,'Writing Logic'!$J$7:$K$11,2,FALSE)&amp;" - Per "&amp;VLOOKUP($C$4,'Writing Logic'!$G$8:$H$14,2,FALSE),YES_Writing_ELA[#Headers],0))=0,"",INDEX(_xlfn.VSTACK(YES_Writing_ELA[#Data],YES_Writing_FLA[#Data]),MATCH($A527,_xlfn.VSTACK(YES_Writing_ELA[Student Number],YES_Writing_FLA[Student Number]),0),MATCH(VLOOKUP(G$7,'Writing Logic'!$J$7:$K$11,2,FALSE)&amp;" - Per "&amp;VLOOKUP($C$4,'Writing Logic'!$G$8:$H$14,2,FALSE),YES_Writing_ELA[#Headers],0)))="INS",'Writing Logic'!$B$7,IF(INDEX(_xlfn.VSTACK(YES_Writing_ELA[#Data],YES_Writing_FLA[#Data]),MATCH($A527,_xlfn.VSTACK(YES_Writing_ELA[Student Number],YES_Writing_FLA[Student Number]),0),MATCH(VLOOKUP(G$7,'Writing Logic'!$J$7:$K$11,2,FALSE)&amp;" - Per "&amp;VLOOKUP($C$4,'Writing Logic'!$G$8:$H$14,2,FALSE),YES_Writing_ELA[#Headers],0))=0,"",INDEX(_xlfn.VSTACK(YES_Writing_ELA[#Data],YES_Writing_FLA[#Data]),MATCH($A527,_xlfn.VSTACK(YES_Writing_ELA[Student Number],YES_Writing_FLA[Student Number]),0),MATCH(VLOOKUP(G$7,'Writing Logic'!$J$7:$K$11,2,FALSE)&amp;" - Per "&amp;VLOOKUP($C$4,'Writing Logic'!$G$8:$H$14,2,FALSE),YES_Writing_ELA[#Headers],0)))),"")</f>
        <v/>
      </c>
      <c r="H527" s="223" t="str">
        <f>IFERROR(IF(IF(INDEX(_xlfn.VSTACK(YES_Writing_ELA[#Data],YES_Writing_FLA[#Data]),MATCH($A527,_xlfn.VSTACK(YES_Writing_ELA[Student Number],YES_Writing_FLA[Student Number]),0),MATCH(VLOOKUP(H$7,'Writing Logic'!$J$7:$K$11,2,FALSE)&amp;" - Per "&amp;VLOOKUP($C$4,'Writing Logic'!$G$8:$H$14,2,FALSE),YES_Writing_ELA[#Headers],0))=0,"",INDEX(_xlfn.VSTACK(YES_Writing_ELA[#Data],YES_Writing_FLA[#Data]),MATCH($A527,_xlfn.VSTACK(YES_Writing_ELA[Student Number],YES_Writing_FLA[Student Number]),0),MATCH(VLOOKUP(H$7,'Writing Logic'!$J$7:$K$11,2,FALSE)&amp;" - Per "&amp;VLOOKUP($C$4,'Writing Logic'!$G$8:$H$14,2,FALSE),YES_Writing_ELA[#Headers],0)))="INS",'Writing Logic'!$B$7,IF(INDEX(_xlfn.VSTACK(YES_Writing_ELA[#Data],YES_Writing_FLA[#Data]),MATCH($A527,_xlfn.VSTACK(YES_Writing_ELA[Student Number],YES_Writing_FLA[Student Number]),0),MATCH(VLOOKUP(H$7,'Writing Logic'!$J$7:$K$11,2,FALSE)&amp;" - Per "&amp;VLOOKUP($C$4,'Writing Logic'!$G$8:$H$14,2,FALSE),YES_Writing_ELA[#Headers],0))=0,"",INDEX(_xlfn.VSTACK(YES_Writing_ELA[#Data],YES_Writing_FLA[#Data]),MATCH($A527,_xlfn.VSTACK(YES_Writing_ELA[Student Number],YES_Writing_FLA[Student Number]),0),MATCH(VLOOKUP(H$7,'Writing Logic'!$J$7:$K$11,2,FALSE)&amp;" - Per "&amp;VLOOKUP($C$4,'Writing Logic'!$G$8:$H$14,2,FALSE),YES_Writing_ELA[#Headers],0)))),"")</f>
        <v/>
      </c>
      <c r="I527" s="224" t="str" cm="1">
        <f t="array" aca="1" ref="I527" ca="1">IFERROR(
IF($G$3="ELA",
IF(VLOOKUP($A527, YES_Reading_ELA[], COLUMN(INDIRECT("YES_Reading_ELA[Difference - Per "&amp;VLOOKUP($G$4, 'Reading Report Logic'!$A$2:$B$8, 2, FALSE)&amp;"]")), FALSE)="", "",
VLOOKUP($A527,YES_Reading_ELA[], COLUMN(INDIRECT("YES_Reading_ELA[Difference - Per "&amp;VLOOKUP($G$4,'Reading Report Logic'!$A$2:$B$8,2,FALSE)&amp;"]")), FALSE)),
IF($G$3="FLA",
IF(VLOOKUP($A527, YES_Reading_FLA[], COLUMN(INDIRECT("YES_Reading_FLA[Difference - Per "&amp;VLOOKUP($G$4,'Reading Report Logic'!$A$2:$B$8,2,FALSE)&amp;"]")),FALSE)="","",
VLOOKUP($A527,YES_Reading_FLA[],COLUMN(INDIRECT("YES_Reading_FLA[Difference - Per "&amp;VLOOKUP($G$4,'Reading Report Logic'!$A$2:$B$8,2,FALSE)&amp;"]")),FALSE)),
IF($G$3="Combined",
IFERROR(
IF(VLOOKUP($A527, YES_Reading_ELA[], COLUMN(INDIRECT("YES_Reading_ELA[Difference - Per "&amp;VLOOKUP($G$4, 'Reading Report Logic'!$A$2:$B$8,2,FALSE)&amp;"]")), FALSE)="", "",
VLOOKUP($A527,YES_Reading_ELA[],COLUMN(INDIRECT("YES_Reading_ELA[Difference - Per "&amp;VLOOKUP($G$4,'Reading Report Logic'!$A$2:$B$8,2,FALSE)&amp;"]")),FALSE)),
IF(VLOOKUP($A527, YES_Reading_FLA[], COLUMN(INDIRECT("YES_Reading_FLA[Difference - Per "&amp;VLOOKUP($G$4, 'Reading Report Logic'!$A$2:$B$8, 2, FALSE)&amp;"]")),FALSE)="", "", VLOOKUP($A527,YES_Reading_FLA[],COLUMN(INDIRECT("YES_Reading_FLA[Difference - Per "&amp;VLOOKUP($G$4, 'Reading Report Logic'!$A$2:$B$8, 2, FALSE)&amp;"]")),FALSE))),""))),"")</f>
        <v/>
      </c>
    </row>
    <row r="528" spans="1:9" x14ac:dyDescent="0.25">
      <c r="A528" s="137"/>
      <c r="B528" s="137" t="str">
        <f>IFERROR(INDEX(_xlfn.VSTACK(YES_Writing_ELA[#Data], YES_Writing_FLA[#Data]),MATCH($A528,_xlfn.VSTACK(YES_Writing_ELA[Student Number], YES_Writing_FLA[Student Number]),0),MATCH(B$7,YES_Writing_ELA[#Headers],0)),IFERROR(INDEX(_xlfn.VSTACK(YES_Reading_ELA[#Data], YES_Reading_FLA[#Data]),MATCH($A528,_xlfn.VSTACK(YES_Reading_ELA[Student Number], YES_Reading_FLA[Student Number]),0),MATCH(B$7,YES_Reading_ELA[#Headers],0)),""))</f>
        <v/>
      </c>
      <c r="C528" s="137" t="str">
        <f>IFERROR(INDEX(_xlfn.VSTACK(YES_Writing_ELA[#Data], YES_Writing_FLA[#Data]),MATCH($A528,_xlfn.VSTACK(YES_Writing_ELA[Student Number], YES_Writing_FLA[Student Number]),0),MATCH(C$7,YES_Writing_ELA[#Headers],0)),IFERROR(INDEX(_xlfn.VSTACK(YES_Reading_ELA[#Data], YES_Reading_FLA[#Data]),MATCH($A528,_xlfn.VSTACK(YES_Reading_ELA[Student Number], YES_Reading_FLA[Student Number]),0),MATCH(C$7,YES_Reading_ELA[#Headers],0)),""))</f>
        <v/>
      </c>
      <c r="D528" s="138" t="str">
        <f>IFERROR(IF(IF(INDEX(_xlfn.VSTACK(YES_Writing_ELA[#Data],YES_Writing_FLA[#Data]),MATCH($A528,_xlfn.VSTACK(YES_Writing_ELA[Student Number],YES_Writing_FLA[Student Number]),0),MATCH(VLOOKUP(D$7,'Writing Logic'!$J$7:$K$11,2,FALSE)&amp;" - Per "&amp;VLOOKUP($C$4,'Writing Logic'!$G$8:$H$14,2,FALSE),YES_Writing_ELA[#Headers],0))=0,"",INDEX(_xlfn.VSTACK(YES_Writing_ELA[#Data],YES_Writing_FLA[#Data]),MATCH($A528,_xlfn.VSTACK(YES_Writing_ELA[Student Number],YES_Writing_FLA[Student Number]),0),MATCH(VLOOKUP(D$7,'Writing Logic'!$J$7:$K$11,2,FALSE)&amp;" - Per "&amp;VLOOKUP($C$4,'Writing Logic'!$G$8:$H$14,2,FALSE),YES_Writing_ELA[#Headers],0)))="INS",'Writing Logic'!$B$7,IF(INDEX(_xlfn.VSTACK(YES_Writing_ELA[#Data],YES_Writing_FLA[#Data]),MATCH($A528,_xlfn.VSTACK(YES_Writing_ELA[Student Number],YES_Writing_FLA[Student Number]),0),MATCH(VLOOKUP(D$7,'Writing Logic'!$J$7:$K$11,2,FALSE)&amp;" - Per "&amp;VLOOKUP($C$4,'Writing Logic'!$G$8:$H$14,2,FALSE),YES_Writing_ELA[#Headers],0))=0,"",INDEX(_xlfn.VSTACK(YES_Writing_ELA[#Data],YES_Writing_FLA[#Data]),MATCH($A528,_xlfn.VSTACK(YES_Writing_ELA[Student Number],YES_Writing_FLA[Student Number]),0),MATCH(VLOOKUP(D$7,'Writing Logic'!$J$7:$K$11,2,FALSE)&amp;" - Per "&amp;VLOOKUP($C$4,'Writing Logic'!$G$8:$H$14,2,FALSE),YES_Writing_ELA[#Headers],0)))),"")</f>
        <v/>
      </c>
      <c r="E528" s="138" t="str">
        <f>IFERROR(IF(IF(INDEX(_xlfn.VSTACK(YES_Writing_ELA[#Data],YES_Writing_FLA[#Data]),MATCH($A528,_xlfn.VSTACK(YES_Writing_ELA[Student Number],YES_Writing_FLA[Student Number]),0),MATCH(VLOOKUP(E$7,'Writing Logic'!$J$7:$K$11,2,FALSE)&amp;" - Per "&amp;VLOOKUP($C$4,'Writing Logic'!$G$8:$H$14,2,FALSE),YES_Writing_ELA[#Headers],0))=0,"",INDEX(_xlfn.VSTACK(YES_Writing_ELA[#Data],YES_Writing_FLA[#Data]),MATCH($A528,_xlfn.VSTACK(YES_Writing_ELA[Student Number],YES_Writing_FLA[Student Number]),0),MATCH(VLOOKUP(E$7,'Writing Logic'!$J$7:$K$11,2,FALSE)&amp;" - Per "&amp;VLOOKUP($C$4,'Writing Logic'!$G$8:$H$14,2,FALSE),YES_Writing_ELA[#Headers],0)))="INS",'Writing Logic'!$B$7,IF(INDEX(_xlfn.VSTACK(YES_Writing_ELA[#Data],YES_Writing_FLA[#Data]),MATCH($A528,_xlfn.VSTACK(YES_Writing_ELA[Student Number],YES_Writing_FLA[Student Number]),0),MATCH(VLOOKUP(E$7,'Writing Logic'!$J$7:$K$11,2,FALSE)&amp;" - Per "&amp;VLOOKUP($C$4,'Writing Logic'!$G$8:$H$14,2,FALSE),YES_Writing_ELA[#Headers],0))=0,"",INDEX(_xlfn.VSTACK(YES_Writing_ELA[#Data],YES_Writing_FLA[#Data]),MATCH($A528,_xlfn.VSTACK(YES_Writing_ELA[Student Number],YES_Writing_FLA[Student Number]),0),MATCH(VLOOKUP(E$7,'Writing Logic'!$J$7:$K$11,2,FALSE)&amp;" - Per "&amp;VLOOKUP($C$4,'Writing Logic'!$G$8:$H$14,2,FALSE),YES_Writing_ELA[#Headers],0)))),"")</f>
        <v/>
      </c>
      <c r="F528" s="138" t="str">
        <f>IFERROR(IF(IF(INDEX(_xlfn.VSTACK(YES_Writing_ELA[#Data],YES_Writing_FLA[#Data]),MATCH($A528,_xlfn.VSTACK(YES_Writing_ELA[Student Number],YES_Writing_FLA[Student Number]),0),MATCH(VLOOKUP(F$7,'Writing Logic'!$J$7:$K$11,2,FALSE)&amp;" - Per "&amp;VLOOKUP($C$4,'Writing Logic'!$G$8:$H$14,2,FALSE),YES_Writing_ELA[#Headers],0))=0,"",INDEX(_xlfn.VSTACK(YES_Writing_ELA[#Data],YES_Writing_FLA[#Data]),MATCH($A528,_xlfn.VSTACK(YES_Writing_ELA[Student Number],YES_Writing_FLA[Student Number]),0),MATCH(VLOOKUP(F$7,'Writing Logic'!$J$7:$K$11,2,FALSE)&amp;" - Per "&amp;VLOOKUP($C$4,'Writing Logic'!$G$8:$H$14,2,FALSE),YES_Writing_ELA[#Headers],0)))="INS",'Writing Logic'!$B$7,IF(INDEX(_xlfn.VSTACK(YES_Writing_ELA[#Data],YES_Writing_FLA[#Data]),MATCH($A528,_xlfn.VSTACK(YES_Writing_ELA[Student Number],YES_Writing_FLA[Student Number]),0),MATCH(VLOOKUP(F$7,'Writing Logic'!$J$7:$K$11,2,FALSE)&amp;" - Per "&amp;VLOOKUP($C$4,'Writing Logic'!$G$8:$H$14,2,FALSE),YES_Writing_ELA[#Headers],0))=0,"",INDEX(_xlfn.VSTACK(YES_Writing_ELA[#Data],YES_Writing_FLA[#Data]),MATCH($A528,_xlfn.VSTACK(YES_Writing_ELA[Student Number],YES_Writing_FLA[Student Number]),0),MATCH(VLOOKUP(F$7,'Writing Logic'!$J$7:$K$11,2,FALSE)&amp;" - Per "&amp;VLOOKUP($C$4,'Writing Logic'!$G$8:$H$14,2,FALSE),YES_Writing_ELA[#Headers],0)))),"")</f>
        <v/>
      </c>
      <c r="G528" s="138" t="str">
        <f>IFERROR(IF(IF(INDEX(_xlfn.VSTACK(YES_Writing_ELA[#Data],YES_Writing_FLA[#Data]),MATCH($A528,_xlfn.VSTACK(YES_Writing_ELA[Student Number],YES_Writing_FLA[Student Number]),0),MATCH(VLOOKUP(G$7,'Writing Logic'!$J$7:$K$11,2,FALSE)&amp;" - Per "&amp;VLOOKUP($C$4,'Writing Logic'!$G$8:$H$14,2,FALSE),YES_Writing_ELA[#Headers],0))=0,"",INDEX(_xlfn.VSTACK(YES_Writing_ELA[#Data],YES_Writing_FLA[#Data]),MATCH($A528,_xlfn.VSTACK(YES_Writing_ELA[Student Number],YES_Writing_FLA[Student Number]),0),MATCH(VLOOKUP(G$7,'Writing Logic'!$J$7:$K$11,2,FALSE)&amp;" - Per "&amp;VLOOKUP($C$4,'Writing Logic'!$G$8:$H$14,2,FALSE),YES_Writing_ELA[#Headers],0)))="INS",'Writing Logic'!$B$7,IF(INDEX(_xlfn.VSTACK(YES_Writing_ELA[#Data],YES_Writing_FLA[#Data]),MATCH($A528,_xlfn.VSTACK(YES_Writing_ELA[Student Number],YES_Writing_FLA[Student Number]),0),MATCH(VLOOKUP(G$7,'Writing Logic'!$J$7:$K$11,2,FALSE)&amp;" - Per "&amp;VLOOKUP($C$4,'Writing Logic'!$G$8:$H$14,2,FALSE),YES_Writing_ELA[#Headers],0))=0,"",INDEX(_xlfn.VSTACK(YES_Writing_ELA[#Data],YES_Writing_FLA[#Data]),MATCH($A528,_xlfn.VSTACK(YES_Writing_ELA[Student Number],YES_Writing_FLA[Student Number]),0),MATCH(VLOOKUP(G$7,'Writing Logic'!$J$7:$K$11,2,FALSE)&amp;" - Per "&amp;VLOOKUP($C$4,'Writing Logic'!$G$8:$H$14,2,FALSE),YES_Writing_ELA[#Headers],0)))),"")</f>
        <v/>
      </c>
      <c r="H528" s="223" t="str">
        <f>IFERROR(IF(IF(INDEX(_xlfn.VSTACK(YES_Writing_ELA[#Data],YES_Writing_FLA[#Data]),MATCH($A528,_xlfn.VSTACK(YES_Writing_ELA[Student Number],YES_Writing_FLA[Student Number]),0),MATCH(VLOOKUP(H$7,'Writing Logic'!$J$7:$K$11,2,FALSE)&amp;" - Per "&amp;VLOOKUP($C$4,'Writing Logic'!$G$8:$H$14,2,FALSE),YES_Writing_ELA[#Headers],0))=0,"",INDEX(_xlfn.VSTACK(YES_Writing_ELA[#Data],YES_Writing_FLA[#Data]),MATCH($A528,_xlfn.VSTACK(YES_Writing_ELA[Student Number],YES_Writing_FLA[Student Number]),0),MATCH(VLOOKUP(H$7,'Writing Logic'!$J$7:$K$11,2,FALSE)&amp;" - Per "&amp;VLOOKUP($C$4,'Writing Logic'!$G$8:$H$14,2,FALSE),YES_Writing_ELA[#Headers],0)))="INS",'Writing Logic'!$B$7,IF(INDEX(_xlfn.VSTACK(YES_Writing_ELA[#Data],YES_Writing_FLA[#Data]),MATCH($A528,_xlfn.VSTACK(YES_Writing_ELA[Student Number],YES_Writing_FLA[Student Number]),0),MATCH(VLOOKUP(H$7,'Writing Logic'!$J$7:$K$11,2,FALSE)&amp;" - Per "&amp;VLOOKUP($C$4,'Writing Logic'!$G$8:$H$14,2,FALSE),YES_Writing_ELA[#Headers],0))=0,"",INDEX(_xlfn.VSTACK(YES_Writing_ELA[#Data],YES_Writing_FLA[#Data]),MATCH($A528,_xlfn.VSTACK(YES_Writing_ELA[Student Number],YES_Writing_FLA[Student Number]),0),MATCH(VLOOKUP(H$7,'Writing Logic'!$J$7:$K$11,2,FALSE)&amp;" - Per "&amp;VLOOKUP($C$4,'Writing Logic'!$G$8:$H$14,2,FALSE),YES_Writing_ELA[#Headers],0)))),"")</f>
        <v/>
      </c>
      <c r="I528" s="224" t="str" cm="1">
        <f t="array" aca="1" ref="I528" ca="1">IFERROR(
IF($G$3="ELA",
IF(VLOOKUP($A528, YES_Reading_ELA[], COLUMN(INDIRECT("YES_Reading_ELA[Difference - Per "&amp;VLOOKUP($G$4, 'Reading Report Logic'!$A$2:$B$8, 2, FALSE)&amp;"]")), FALSE)="", "",
VLOOKUP($A528,YES_Reading_ELA[], COLUMN(INDIRECT("YES_Reading_ELA[Difference - Per "&amp;VLOOKUP($G$4,'Reading Report Logic'!$A$2:$B$8,2,FALSE)&amp;"]")), FALSE)),
IF($G$3="FLA",
IF(VLOOKUP($A528, YES_Reading_FLA[], COLUMN(INDIRECT("YES_Reading_FLA[Difference - Per "&amp;VLOOKUP($G$4,'Reading Report Logic'!$A$2:$B$8,2,FALSE)&amp;"]")),FALSE)="","",
VLOOKUP($A528,YES_Reading_FLA[],COLUMN(INDIRECT("YES_Reading_FLA[Difference - Per "&amp;VLOOKUP($G$4,'Reading Report Logic'!$A$2:$B$8,2,FALSE)&amp;"]")),FALSE)),
IF($G$3="Combined",
IFERROR(
IF(VLOOKUP($A528, YES_Reading_ELA[], COLUMN(INDIRECT("YES_Reading_ELA[Difference - Per "&amp;VLOOKUP($G$4, 'Reading Report Logic'!$A$2:$B$8,2,FALSE)&amp;"]")), FALSE)="", "",
VLOOKUP($A528,YES_Reading_ELA[],COLUMN(INDIRECT("YES_Reading_ELA[Difference - Per "&amp;VLOOKUP($G$4,'Reading Report Logic'!$A$2:$B$8,2,FALSE)&amp;"]")),FALSE)),
IF(VLOOKUP($A528, YES_Reading_FLA[], COLUMN(INDIRECT("YES_Reading_FLA[Difference - Per "&amp;VLOOKUP($G$4, 'Reading Report Logic'!$A$2:$B$8, 2, FALSE)&amp;"]")),FALSE)="", "", VLOOKUP($A528,YES_Reading_FLA[],COLUMN(INDIRECT("YES_Reading_FLA[Difference - Per "&amp;VLOOKUP($G$4, 'Reading Report Logic'!$A$2:$B$8, 2, FALSE)&amp;"]")),FALSE))),""))),"")</f>
        <v/>
      </c>
    </row>
    <row r="529" spans="1:9" x14ac:dyDescent="0.25">
      <c r="A529" s="137"/>
      <c r="B529" s="137" t="str">
        <f>IFERROR(INDEX(_xlfn.VSTACK(YES_Writing_ELA[#Data], YES_Writing_FLA[#Data]),MATCH($A529,_xlfn.VSTACK(YES_Writing_ELA[Student Number], YES_Writing_FLA[Student Number]),0),MATCH(B$7,YES_Writing_ELA[#Headers],0)),IFERROR(INDEX(_xlfn.VSTACK(YES_Reading_ELA[#Data], YES_Reading_FLA[#Data]),MATCH($A529,_xlfn.VSTACK(YES_Reading_ELA[Student Number], YES_Reading_FLA[Student Number]),0),MATCH(B$7,YES_Reading_ELA[#Headers],0)),""))</f>
        <v/>
      </c>
      <c r="C529" s="137" t="str">
        <f>IFERROR(INDEX(_xlfn.VSTACK(YES_Writing_ELA[#Data], YES_Writing_FLA[#Data]),MATCH($A529,_xlfn.VSTACK(YES_Writing_ELA[Student Number], YES_Writing_FLA[Student Number]),0),MATCH(C$7,YES_Writing_ELA[#Headers],0)),IFERROR(INDEX(_xlfn.VSTACK(YES_Reading_ELA[#Data], YES_Reading_FLA[#Data]),MATCH($A529,_xlfn.VSTACK(YES_Reading_ELA[Student Number], YES_Reading_FLA[Student Number]),0),MATCH(C$7,YES_Reading_ELA[#Headers],0)),""))</f>
        <v/>
      </c>
      <c r="D529" s="138" t="str">
        <f>IFERROR(IF(IF(INDEX(_xlfn.VSTACK(YES_Writing_ELA[#Data],YES_Writing_FLA[#Data]),MATCH($A529,_xlfn.VSTACK(YES_Writing_ELA[Student Number],YES_Writing_FLA[Student Number]),0),MATCH(VLOOKUP(D$7,'Writing Logic'!$J$7:$K$11,2,FALSE)&amp;" - Per "&amp;VLOOKUP($C$4,'Writing Logic'!$G$8:$H$14,2,FALSE),YES_Writing_ELA[#Headers],0))=0,"",INDEX(_xlfn.VSTACK(YES_Writing_ELA[#Data],YES_Writing_FLA[#Data]),MATCH($A529,_xlfn.VSTACK(YES_Writing_ELA[Student Number],YES_Writing_FLA[Student Number]),0),MATCH(VLOOKUP(D$7,'Writing Logic'!$J$7:$K$11,2,FALSE)&amp;" - Per "&amp;VLOOKUP($C$4,'Writing Logic'!$G$8:$H$14,2,FALSE),YES_Writing_ELA[#Headers],0)))="INS",'Writing Logic'!$B$7,IF(INDEX(_xlfn.VSTACK(YES_Writing_ELA[#Data],YES_Writing_FLA[#Data]),MATCH($A529,_xlfn.VSTACK(YES_Writing_ELA[Student Number],YES_Writing_FLA[Student Number]),0),MATCH(VLOOKUP(D$7,'Writing Logic'!$J$7:$K$11,2,FALSE)&amp;" - Per "&amp;VLOOKUP($C$4,'Writing Logic'!$G$8:$H$14,2,FALSE),YES_Writing_ELA[#Headers],0))=0,"",INDEX(_xlfn.VSTACK(YES_Writing_ELA[#Data],YES_Writing_FLA[#Data]),MATCH($A529,_xlfn.VSTACK(YES_Writing_ELA[Student Number],YES_Writing_FLA[Student Number]),0),MATCH(VLOOKUP(D$7,'Writing Logic'!$J$7:$K$11,2,FALSE)&amp;" - Per "&amp;VLOOKUP($C$4,'Writing Logic'!$G$8:$H$14,2,FALSE),YES_Writing_ELA[#Headers],0)))),"")</f>
        <v/>
      </c>
      <c r="E529" s="138" t="str">
        <f>IFERROR(IF(IF(INDEX(_xlfn.VSTACK(YES_Writing_ELA[#Data],YES_Writing_FLA[#Data]),MATCH($A529,_xlfn.VSTACK(YES_Writing_ELA[Student Number],YES_Writing_FLA[Student Number]),0),MATCH(VLOOKUP(E$7,'Writing Logic'!$J$7:$K$11,2,FALSE)&amp;" - Per "&amp;VLOOKUP($C$4,'Writing Logic'!$G$8:$H$14,2,FALSE),YES_Writing_ELA[#Headers],0))=0,"",INDEX(_xlfn.VSTACK(YES_Writing_ELA[#Data],YES_Writing_FLA[#Data]),MATCH($A529,_xlfn.VSTACK(YES_Writing_ELA[Student Number],YES_Writing_FLA[Student Number]),0),MATCH(VLOOKUP(E$7,'Writing Logic'!$J$7:$K$11,2,FALSE)&amp;" - Per "&amp;VLOOKUP($C$4,'Writing Logic'!$G$8:$H$14,2,FALSE),YES_Writing_ELA[#Headers],0)))="INS",'Writing Logic'!$B$7,IF(INDEX(_xlfn.VSTACK(YES_Writing_ELA[#Data],YES_Writing_FLA[#Data]),MATCH($A529,_xlfn.VSTACK(YES_Writing_ELA[Student Number],YES_Writing_FLA[Student Number]),0),MATCH(VLOOKUP(E$7,'Writing Logic'!$J$7:$K$11,2,FALSE)&amp;" - Per "&amp;VLOOKUP($C$4,'Writing Logic'!$G$8:$H$14,2,FALSE),YES_Writing_ELA[#Headers],0))=0,"",INDEX(_xlfn.VSTACK(YES_Writing_ELA[#Data],YES_Writing_FLA[#Data]),MATCH($A529,_xlfn.VSTACK(YES_Writing_ELA[Student Number],YES_Writing_FLA[Student Number]),0),MATCH(VLOOKUP(E$7,'Writing Logic'!$J$7:$K$11,2,FALSE)&amp;" - Per "&amp;VLOOKUP($C$4,'Writing Logic'!$G$8:$H$14,2,FALSE),YES_Writing_ELA[#Headers],0)))),"")</f>
        <v/>
      </c>
      <c r="F529" s="138" t="str">
        <f>IFERROR(IF(IF(INDEX(_xlfn.VSTACK(YES_Writing_ELA[#Data],YES_Writing_FLA[#Data]),MATCH($A529,_xlfn.VSTACK(YES_Writing_ELA[Student Number],YES_Writing_FLA[Student Number]),0),MATCH(VLOOKUP(F$7,'Writing Logic'!$J$7:$K$11,2,FALSE)&amp;" - Per "&amp;VLOOKUP($C$4,'Writing Logic'!$G$8:$H$14,2,FALSE),YES_Writing_ELA[#Headers],0))=0,"",INDEX(_xlfn.VSTACK(YES_Writing_ELA[#Data],YES_Writing_FLA[#Data]),MATCH($A529,_xlfn.VSTACK(YES_Writing_ELA[Student Number],YES_Writing_FLA[Student Number]),0),MATCH(VLOOKUP(F$7,'Writing Logic'!$J$7:$K$11,2,FALSE)&amp;" - Per "&amp;VLOOKUP($C$4,'Writing Logic'!$G$8:$H$14,2,FALSE),YES_Writing_ELA[#Headers],0)))="INS",'Writing Logic'!$B$7,IF(INDEX(_xlfn.VSTACK(YES_Writing_ELA[#Data],YES_Writing_FLA[#Data]),MATCH($A529,_xlfn.VSTACK(YES_Writing_ELA[Student Number],YES_Writing_FLA[Student Number]),0),MATCH(VLOOKUP(F$7,'Writing Logic'!$J$7:$K$11,2,FALSE)&amp;" - Per "&amp;VLOOKUP($C$4,'Writing Logic'!$G$8:$H$14,2,FALSE),YES_Writing_ELA[#Headers],0))=0,"",INDEX(_xlfn.VSTACK(YES_Writing_ELA[#Data],YES_Writing_FLA[#Data]),MATCH($A529,_xlfn.VSTACK(YES_Writing_ELA[Student Number],YES_Writing_FLA[Student Number]),0),MATCH(VLOOKUP(F$7,'Writing Logic'!$J$7:$K$11,2,FALSE)&amp;" - Per "&amp;VLOOKUP($C$4,'Writing Logic'!$G$8:$H$14,2,FALSE),YES_Writing_ELA[#Headers],0)))),"")</f>
        <v/>
      </c>
      <c r="G529" s="138" t="str">
        <f>IFERROR(IF(IF(INDEX(_xlfn.VSTACK(YES_Writing_ELA[#Data],YES_Writing_FLA[#Data]),MATCH($A529,_xlfn.VSTACK(YES_Writing_ELA[Student Number],YES_Writing_FLA[Student Number]),0),MATCH(VLOOKUP(G$7,'Writing Logic'!$J$7:$K$11,2,FALSE)&amp;" - Per "&amp;VLOOKUP($C$4,'Writing Logic'!$G$8:$H$14,2,FALSE),YES_Writing_ELA[#Headers],0))=0,"",INDEX(_xlfn.VSTACK(YES_Writing_ELA[#Data],YES_Writing_FLA[#Data]),MATCH($A529,_xlfn.VSTACK(YES_Writing_ELA[Student Number],YES_Writing_FLA[Student Number]),0),MATCH(VLOOKUP(G$7,'Writing Logic'!$J$7:$K$11,2,FALSE)&amp;" - Per "&amp;VLOOKUP($C$4,'Writing Logic'!$G$8:$H$14,2,FALSE),YES_Writing_ELA[#Headers],0)))="INS",'Writing Logic'!$B$7,IF(INDEX(_xlfn.VSTACK(YES_Writing_ELA[#Data],YES_Writing_FLA[#Data]),MATCH($A529,_xlfn.VSTACK(YES_Writing_ELA[Student Number],YES_Writing_FLA[Student Number]),0),MATCH(VLOOKUP(G$7,'Writing Logic'!$J$7:$K$11,2,FALSE)&amp;" - Per "&amp;VLOOKUP($C$4,'Writing Logic'!$G$8:$H$14,2,FALSE),YES_Writing_ELA[#Headers],0))=0,"",INDEX(_xlfn.VSTACK(YES_Writing_ELA[#Data],YES_Writing_FLA[#Data]),MATCH($A529,_xlfn.VSTACK(YES_Writing_ELA[Student Number],YES_Writing_FLA[Student Number]),0),MATCH(VLOOKUP(G$7,'Writing Logic'!$J$7:$K$11,2,FALSE)&amp;" - Per "&amp;VLOOKUP($C$4,'Writing Logic'!$G$8:$H$14,2,FALSE),YES_Writing_ELA[#Headers],0)))),"")</f>
        <v/>
      </c>
      <c r="H529" s="223" t="str">
        <f>IFERROR(IF(IF(INDEX(_xlfn.VSTACK(YES_Writing_ELA[#Data],YES_Writing_FLA[#Data]),MATCH($A529,_xlfn.VSTACK(YES_Writing_ELA[Student Number],YES_Writing_FLA[Student Number]),0),MATCH(VLOOKUP(H$7,'Writing Logic'!$J$7:$K$11,2,FALSE)&amp;" - Per "&amp;VLOOKUP($C$4,'Writing Logic'!$G$8:$H$14,2,FALSE),YES_Writing_ELA[#Headers],0))=0,"",INDEX(_xlfn.VSTACK(YES_Writing_ELA[#Data],YES_Writing_FLA[#Data]),MATCH($A529,_xlfn.VSTACK(YES_Writing_ELA[Student Number],YES_Writing_FLA[Student Number]),0),MATCH(VLOOKUP(H$7,'Writing Logic'!$J$7:$K$11,2,FALSE)&amp;" - Per "&amp;VLOOKUP($C$4,'Writing Logic'!$G$8:$H$14,2,FALSE),YES_Writing_ELA[#Headers],0)))="INS",'Writing Logic'!$B$7,IF(INDEX(_xlfn.VSTACK(YES_Writing_ELA[#Data],YES_Writing_FLA[#Data]),MATCH($A529,_xlfn.VSTACK(YES_Writing_ELA[Student Number],YES_Writing_FLA[Student Number]),0),MATCH(VLOOKUP(H$7,'Writing Logic'!$J$7:$K$11,2,FALSE)&amp;" - Per "&amp;VLOOKUP($C$4,'Writing Logic'!$G$8:$H$14,2,FALSE),YES_Writing_ELA[#Headers],0))=0,"",INDEX(_xlfn.VSTACK(YES_Writing_ELA[#Data],YES_Writing_FLA[#Data]),MATCH($A529,_xlfn.VSTACK(YES_Writing_ELA[Student Number],YES_Writing_FLA[Student Number]),0),MATCH(VLOOKUP(H$7,'Writing Logic'!$J$7:$K$11,2,FALSE)&amp;" - Per "&amp;VLOOKUP($C$4,'Writing Logic'!$G$8:$H$14,2,FALSE),YES_Writing_ELA[#Headers],0)))),"")</f>
        <v/>
      </c>
      <c r="I529" s="224" t="str" cm="1">
        <f t="array" aca="1" ref="I529" ca="1">IFERROR(
IF($G$3="ELA",
IF(VLOOKUP($A529, YES_Reading_ELA[], COLUMN(INDIRECT("YES_Reading_ELA[Difference - Per "&amp;VLOOKUP($G$4, 'Reading Report Logic'!$A$2:$B$8, 2, FALSE)&amp;"]")), FALSE)="", "",
VLOOKUP($A529,YES_Reading_ELA[], COLUMN(INDIRECT("YES_Reading_ELA[Difference - Per "&amp;VLOOKUP($G$4,'Reading Report Logic'!$A$2:$B$8,2,FALSE)&amp;"]")), FALSE)),
IF($G$3="FLA",
IF(VLOOKUP($A529, YES_Reading_FLA[], COLUMN(INDIRECT("YES_Reading_FLA[Difference - Per "&amp;VLOOKUP($G$4,'Reading Report Logic'!$A$2:$B$8,2,FALSE)&amp;"]")),FALSE)="","",
VLOOKUP($A529,YES_Reading_FLA[],COLUMN(INDIRECT("YES_Reading_FLA[Difference - Per "&amp;VLOOKUP($G$4,'Reading Report Logic'!$A$2:$B$8,2,FALSE)&amp;"]")),FALSE)),
IF($G$3="Combined",
IFERROR(
IF(VLOOKUP($A529, YES_Reading_ELA[], COLUMN(INDIRECT("YES_Reading_ELA[Difference - Per "&amp;VLOOKUP($G$4, 'Reading Report Logic'!$A$2:$B$8,2,FALSE)&amp;"]")), FALSE)="", "",
VLOOKUP($A529,YES_Reading_ELA[],COLUMN(INDIRECT("YES_Reading_ELA[Difference - Per "&amp;VLOOKUP($G$4,'Reading Report Logic'!$A$2:$B$8,2,FALSE)&amp;"]")),FALSE)),
IF(VLOOKUP($A529, YES_Reading_FLA[], COLUMN(INDIRECT("YES_Reading_FLA[Difference - Per "&amp;VLOOKUP($G$4, 'Reading Report Logic'!$A$2:$B$8, 2, FALSE)&amp;"]")),FALSE)="", "", VLOOKUP($A529,YES_Reading_FLA[],COLUMN(INDIRECT("YES_Reading_FLA[Difference - Per "&amp;VLOOKUP($G$4, 'Reading Report Logic'!$A$2:$B$8, 2, FALSE)&amp;"]")),FALSE))),""))),"")</f>
        <v/>
      </c>
    </row>
    <row r="530" spans="1:9" x14ac:dyDescent="0.25">
      <c r="A530" s="137"/>
      <c r="B530" s="137" t="str">
        <f>IFERROR(INDEX(_xlfn.VSTACK(YES_Writing_ELA[#Data], YES_Writing_FLA[#Data]),MATCH($A530,_xlfn.VSTACK(YES_Writing_ELA[Student Number], YES_Writing_FLA[Student Number]),0),MATCH(B$7,YES_Writing_ELA[#Headers],0)),IFERROR(INDEX(_xlfn.VSTACK(YES_Reading_ELA[#Data], YES_Reading_FLA[#Data]),MATCH($A530,_xlfn.VSTACK(YES_Reading_ELA[Student Number], YES_Reading_FLA[Student Number]),0),MATCH(B$7,YES_Reading_ELA[#Headers],0)),""))</f>
        <v/>
      </c>
      <c r="C530" s="137" t="str">
        <f>IFERROR(INDEX(_xlfn.VSTACK(YES_Writing_ELA[#Data], YES_Writing_FLA[#Data]),MATCH($A530,_xlfn.VSTACK(YES_Writing_ELA[Student Number], YES_Writing_FLA[Student Number]),0),MATCH(C$7,YES_Writing_ELA[#Headers],0)),IFERROR(INDEX(_xlfn.VSTACK(YES_Reading_ELA[#Data], YES_Reading_FLA[#Data]),MATCH($A530,_xlfn.VSTACK(YES_Reading_ELA[Student Number], YES_Reading_FLA[Student Number]),0),MATCH(C$7,YES_Reading_ELA[#Headers],0)),""))</f>
        <v/>
      </c>
      <c r="D530" s="138" t="str">
        <f>IFERROR(IF(IF(INDEX(_xlfn.VSTACK(YES_Writing_ELA[#Data],YES_Writing_FLA[#Data]),MATCH($A530,_xlfn.VSTACK(YES_Writing_ELA[Student Number],YES_Writing_FLA[Student Number]),0),MATCH(VLOOKUP(D$7,'Writing Logic'!$J$7:$K$11,2,FALSE)&amp;" - Per "&amp;VLOOKUP($C$4,'Writing Logic'!$G$8:$H$14,2,FALSE),YES_Writing_ELA[#Headers],0))=0,"",INDEX(_xlfn.VSTACK(YES_Writing_ELA[#Data],YES_Writing_FLA[#Data]),MATCH($A530,_xlfn.VSTACK(YES_Writing_ELA[Student Number],YES_Writing_FLA[Student Number]),0),MATCH(VLOOKUP(D$7,'Writing Logic'!$J$7:$K$11,2,FALSE)&amp;" - Per "&amp;VLOOKUP($C$4,'Writing Logic'!$G$8:$H$14,2,FALSE),YES_Writing_ELA[#Headers],0)))="INS",'Writing Logic'!$B$7,IF(INDEX(_xlfn.VSTACK(YES_Writing_ELA[#Data],YES_Writing_FLA[#Data]),MATCH($A530,_xlfn.VSTACK(YES_Writing_ELA[Student Number],YES_Writing_FLA[Student Number]),0),MATCH(VLOOKUP(D$7,'Writing Logic'!$J$7:$K$11,2,FALSE)&amp;" - Per "&amp;VLOOKUP($C$4,'Writing Logic'!$G$8:$H$14,2,FALSE),YES_Writing_ELA[#Headers],0))=0,"",INDEX(_xlfn.VSTACK(YES_Writing_ELA[#Data],YES_Writing_FLA[#Data]),MATCH($A530,_xlfn.VSTACK(YES_Writing_ELA[Student Number],YES_Writing_FLA[Student Number]),0),MATCH(VLOOKUP(D$7,'Writing Logic'!$J$7:$K$11,2,FALSE)&amp;" - Per "&amp;VLOOKUP($C$4,'Writing Logic'!$G$8:$H$14,2,FALSE),YES_Writing_ELA[#Headers],0)))),"")</f>
        <v/>
      </c>
      <c r="E530" s="138" t="str">
        <f>IFERROR(IF(IF(INDEX(_xlfn.VSTACK(YES_Writing_ELA[#Data],YES_Writing_FLA[#Data]),MATCH($A530,_xlfn.VSTACK(YES_Writing_ELA[Student Number],YES_Writing_FLA[Student Number]),0),MATCH(VLOOKUP(E$7,'Writing Logic'!$J$7:$K$11,2,FALSE)&amp;" - Per "&amp;VLOOKUP($C$4,'Writing Logic'!$G$8:$H$14,2,FALSE),YES_Writing_ELA[#Headers],0))=0,"",INDEX(_xlfn.VSTACK(YES_Writing_ELA[#Data],YES_Writing_FLA[#Data]),MATCH($A530,_xlfn.VSTACK(YES_Writing_ELA[Student Number],YES_Writing_FLA[Student Number]),0),MATCH(VLOOKUP(E$7,'Writing Logic'!$J$7:$K$11,2,FALSE)&amp;" - Per "&amp;VLOOKUP($C$4,'Writing Logic'!$G$8:$H$14,2,FALSE),YES_Writing_ELA[#Headers],0)))="INS",'Writing Logic'!$B$7,IF(INDEX(_xlfn.VSTACK(YES_Writing_ELA[#Data],YES_Writing_FLA[#Data]),MATCH($A530,_xlfn.VSTACK(YES_Writing_ELA[Student Number],YES_Writing_FLA[Student Number]),0),MATCH(VLOOKUP(E$7,'Writing Logic'!$J$7:$K$11,2,FALSE)&amp;" - Per "&amp;VLOOKUP($C$4,'Writing Logic'!$G$8:$H$14,2,FALSE),YES_Writing_ELA[#Headers],0))=0,"",INDEX(_xlfn.VSTACK(YES_Writing_ELA[#Data],YES_Writing_FLA[#Data]),MATCH($A530,_xlfn.VSTACK(YES_Writing_ELA[Student Number],YES_Writing_FLA[Student Number]),0),MATCH(VLOOKUP(E$7,'Writing Logic'!$J$7:$K$11,2,FALSE)&amp;" - Per "&amp;VLOOKUP($C$4,'Writing Logic'!$G$8:$H$14,2,FALSE),YES_Writing_ELA[#Headers],0)))),"")</f>
        <v/>
      </c>
      <c r="F530" s="138" t="str">
        <f>IFERROR(IF(IF(INDEX(_xlfn.VSTACK(YES_Writing_ELA[#Data],YES_Writing_FLA[#Data]),MATCH($A530,_xlfn.VSTACK(YES_Writing_ELA[Student Number],YES_Writing_FLA[Student Number]),0),MATCH(VLOOKUP(F$7,'Writing Logic'!$J$7:$K$11,2,FALSE)&amp;" - Per "&amp;VLOOKUP($C$4,'Writing Logic'!$G$8:$H$14,2,FALSE),YES_Writing_ELA[#Headers],0))=0,"",INDEX(_xlfn.VSTACK(YES_Writing_ELA[#Data],YES_Writing_FLA[#Data]),MATCH($A530,_xlfn.VSTACK(YES_Writing_ELA[Student Number],YES_Writing_FLA[Student Number]),0),MATCH(VLOOKUP(F$7,'Writing Logic'!$J$7:$K$11,2,FALSE)&amp;" - Per "&amp;VLOOKUP($C$4,'Writing Logic'!$G$8:$H$14,2,FALSE),YES_Writing_ELA[#Headers],0)))="INS",'Writing Logic'!$B$7,IF(INDEX(_xlfn.VSTACK(YES_Writing_ELA[#Data],YES_Writing_FLA[#Data]),MATCH($A530,_xlfn.VSTACK(YES_Writing_ELA[Student Number],YES_Writing_FLA[Student Number]),0),MATCH(VLOOKUP(F$7,'Writing Logic'!$J$7:$K$11,2,FALSE)&amp;" - Per "&amp;VLOOKUP($C$4,'Writing Logic'!$G$8:$H$14,2,FALSE),YES_Writing_ELA[#Headers],0))=0,"",INDEX(_xlfn.VSTACK(YES_Writing_ELA[#Data],YES_Writing_FLA[#Data]),MATCH($A530,_xlfn.VSTACK(YES_Writing_ELA[Student Number],YES_Writing_FLA[Student Number]),0),MATCH(VLOOKUP(F$7,'Writing Logic'!$J$7:$K$11,2,FALSE)&amp;" - Per "&amp;VLOOKUP($C$4,'Writing Logic'!$G$8:$H$14,2,FALSE),YES_Writing_ELA[#Headers],0)))),"")</f>
        <v/>
      </c>
      <c r="G530" s="138" t="str">
        <f>IFERROR(IF(IF(INDEX(_xlfn.VSTACK(YES_Writing_ELA[#Data],YES_Writing_FLA[#Data]),MATCH($A530,_xlfn.VSTACK(YES_Writing_ELA[Student Number],YES_Writing_FLA[Student Number]),0),MATCH(VLOOKUP(G$7,'Writing Logic'!$J$7:$K$11,2,FALSE)&amp;" - Per "&amp;VLOOKUP($C$4,'Writing Logic'!$G$8:$H$14,2,FALSE),YES_Writing_ELA[#Headers],0))=0,"",INDEX(_xlfn.VSTACK(YES_Writing_ELA[#Data],YES_Writing_FLA[#Data]),MATCH($A530,_xlfn.VSTACK(YES_Writing_ELA[Student Number],YES_Writing_FLA[Student Number]),0),MATCH(VLOOKUP(G$7,'Writing Logic'!$J$7:$K$11,2,FALSE)&amp;" - Per "&amp;VLOOKUP($C$4,'Writing Logic'!$G$8:$H$14,2,FALSE),YES_Writing_ELA[#Headers],0)))="INS",'Writing Logic'!$B$7,IF(INDEX(_xlfn.VSTACK(YES_Writing_ELA[#Data],YES_Writing_FLA[#Data]),MATCH($A530,_xlfn.VSTACK(YES_Writing_ELA[Student Number],YES_Writing_FLA[Student Number]),0),MATCH(VLOOKUP(G$7,'Writing Logic'!$J$7:$K$11,2,FALSE)&amp;" - Per "&amp;VLOOKUP($C$4,'Writing Logic'!$G$8:$H$14,2,FALSE),YES_Writing_ELA[#Headers],0))=0,"",INDEX(_xlfn.VSTACK(YES_Writing_ELA[#Data],YES_Writing_FLA[#Data]),MATCH($A530,_xlfn.VSTACK(YES_Writing_ELA[Student Number],YES_Writing_FLA[Student Number]),0),MATCH(VLOOKUP(G$7,'Writing Logic'!$J$7:$K$11,2,FALSE)&amp;" - Per "&amp;VLOOKUP($C$4,'Writing Logic'!$G$8:$H$14,2,FALSE),YES_Writing_ELA[#Headers],0)))),"")</f>
        <v/>
      </c>
      <c r="H530" s="223" t="str">
        <f>IFERROR(IF(IF(INDEX(_xlfn.VSTACK(YES_Writing_ELA[#Data],YES_Writing_FLA[#Data]),MATCH($A530,_xlfn.VSTACK(YES_Writing_ELA[Student Number],YES_Writing_FLA[Student Number]),0),MATCH(VLOOKUP(H$7,'Writing Logic'!$J$7:$K$11,2,FALSE)&amp;" - Per "&amp;VLOOKUP($C$4,'Writing Logic'!$G$8:$H$14,2,FALSE),YES_Writing_ELA[#Headers],0))=0,"",INDEX(_xlfn.VSTACK(YES_Writing_ELA[#Data],YES_Writing_FLA[#Data]),MATCH($A530,_xlfn.VSTACK(YES_Writing_ELA[Student Number],YES_Writing_FLA[Student Number]),0),MATCH(VLOOKUP(H$7,'Writing Logic'!$J$7:$K$11,2,FALSE)&amp;" - Per "&amp;VLOOKUP($C$4,'Writing Logic'!$G$8:$H$14,2,FALSE),YES_Writing_ELA[#Headers],0)))="INS",'Writing Logic'!$B$7,IF(INDEX(_xlfn.VSTACK(YES_Writing_ELA[#Data],YES_Writing_FLA[#Data]),MATCH($A530,_xlfn.VSTACK(YES_Writing_ELA[Student Number],YES_Writing_FLA[Student Number]),0),MATCH(VLOOKUP(H$7,'Writing Logic'!$J$7:$K$11,2,FALSE)&amp;" - Per "&amp;VLOOKUP($C$4,'Writing Logic'!$G$8:$H$14,2,FALSE),YES_Writing_ELA[#Headers],0))=0,"",INDEX(_xlfn.VSTACK(YES_Writing_ELA[#Data],YES_Writing_FLA[#Data]),MATCH($A530,_xlfn.VSTACK(YES_Writing_ELA[Student Number],YES_Writing_FLA[Student Number]),0),MATCH(VLOOKUP(H$7,'Writing Logic'!$J$7:$K$11,2,FALSE)&amp;" - Per "&amp;VLOOKUP($C$4,'Writing Logic'!$G$8:$H$14,2,FALSE),YES_Writing_ELA[#Headers],0)))),"")</f>
        <v/>
      </c>
      <c r="I530" s="224" t="str" cm="1">
        <f t="array" aca="1" ref="I530" ca="1">IFERROR(
IF($G$3="ELA",
IF(VLOOKUP($A530, YES_Reading_ELA[], COLUMN(INDIRECT("YES_Reading_ELA[Difference - Per "&amp;VLOOKUP($G$4, 'Reading Report Logic'!$A$2:$B$8, 2, FALSE)&amp;"]")), FALSE)="", "",
VLOOKUP($A530,YES_Reading_ELA[], COLUMN(INDIRECT("YES_Reading_ELA[Difference - Per "&amp;VLOOKUP($G$4,'Reading Report Logic'!$A$2:$B$8,2,FALSE)&amp;"]")), FALSE)),
IF($G$3="FLA",
IF(VLOOKUP($A530, YES_Reading_FLA[], COLUMN(INDIRECT("YES_Reading_FLA[Difference - Per "&amp;VLOOKUP($G$4,'Reading Report Logic'!$A$2:$B$8,2,FALSE)&amp;"]")),FALSE)="","",
VLOOKUP($A530,YES_Reading_FLA[],COLUMN(INDIRECT("YES_Reading_FLA[Difference - Per "&amp;VLOOKUP($G$4,'Reading Report Logic'!$A$2:$B$8,2,FALSE)&amp;"]")),FALSE)),
IF($G$3="Combined",
IFERROR(
IF(VLOOKUP($A530, YES_Reading_ELA[], COLUMN(INDIRECT("YES_Reading_ELA[Difference - Per "&amp;VLOOKUP($G$4, 'Reading Report Logic'!$A$2:$B$8,2,FALSE)&amp;"]")), FALSE)="", "",
VLOOKUP($A530,YES_Reading_ELA[],COLUMN(INDIRECT("YES_Reading_ELA[Difference - Per "&amp;VLOOKUP($G$4,'Reading Report Logic'!$A$2:$B$8,2,FALSE)&amp;"]")),FALSE)),
IF(VLOOKUP($A530, YES_Reading_FLA[], COLUMN(INDIRECT("YES_Reading_FLA[Difference - Per "&amp;VLOOKUP($G$4, 'Reading Report Logic'!$A$2:$B$8, 2, FALSE)&amp;"]")),FALSE)="", "", VLOOKUP($A530,YES_Reading_FLA[],COLUMN(INDIRECT("YES_Reading_FLA[Difference - Per "&amp;VLOOKUP($G$4, 'Reading Report Logic'!$A$2:$B$8, 2, FALSE)&amp;"]")),FALSE))),""))),"")</f>
        <v/>
      </c>
    </row>
    <row r="531" spans="1:9" x14ac:dyDescent="0.25">
      <c r="A531" s="137"/>
      <c r="B531" s="137" t="str">
        <f>IFERROR(INDEX(_xlfn.VSTACK(YES_Writing_ELA[#Data], YES_Writing_FLA[#Data]),MATCH($A531,_xlfn.VSTACK(YES_Writing_ELA[Student Number], YES_Writing_FLA[Student Number]),0),MATCH(B$7,YES_Writing_ELA[#Headers],0)),IFERROR(INDEX(_xlfn.VSTACK(YES_Reading_ELA[#Data], YES_Reading_FLA[#Data]),MATCH($A531,_xlfn.VSTACK(YES_Reading_ELA[Student Number], YES_Reading_FLA[Student Number]),0),MATCH(B$7,YES_Reading_ELA[#Headers],0)),""))</f>
        <v/>
      </c>
      <c r="C531" s="137" t="str">
        <f>IFERROR(INDEX(_xlfn.VSTACK(YES_Writing_ELA[#Data], YES_Writing_FLA[#Data]),MATCH($A531,_xlfn.VSTACK(YES_Writing_ELA[Student Number], YES_Writing_FLA[Student Number]),0),MATCH(C$7,YES_Writing_ELA[#Headers],0)),IFERROR(INDEX(_xlfn.VSTACK(YES_Reading_ELA[#Data], YES_Reading_FLA[#Data]),MATCH($A531,_xlfn.VSTACK(YES_Reading_ELA[Student Number], YES_Reading_FLA[Student Number]),0),MATCH(C$7,YES_Reading_ELA[#Headers],0)),""))</f>
        <v/>
      </c>
      <c r="D531" s="138" t="str">
        <f>IFERROR(IF(IF(INDEX(_xlfn.VSTACK(YES_Writing_ELA[#Data],YES_Writing_FLA[#Data]),MATCH($A531,_xlfn.VSTACK(YES_Writing_ELA[Student Number],YES_Writing_FLA[Student Number]),0),MATCH(VLOOKUP(D$7,'Writing Logic'!$J$7:$K$11,2,FALSE)&amp;" - Per "&amp;VLOOKUP($C$4,'Writing Logic'!$G$8:$H$14,2,FALSE),YES_Writing_ELA[#Headers],0))=0,"",INDEX(_xlfn.VSTACK(YES_Writing_ELA[#Data],YES_Writing_FLA[#Data]),MATCH($A531,_xlfn.VSTACK(YES_Writing_ELA[Student Number],YES_Writing_FLA[Student Number]),0),MATCH(VLOOKUP(D$7,'Writing Logic'!$J$7:$K$11,2,FALSE)&amp;" - Per "&amp;VLOOKUP($C$4,'Writing Logic'!$G$8:$H$14,2,FALSE),YES_Writing_ELA[#Headers],0)))="INS",'Writing Logic'!$B$7,IF(INDEX(_xlfn.VSTACK(YES_Writing_ELA[#Data],YES_Writing_FLA[#Data]),MATCH($A531,_xlfn.VSTACK(YES_Writing_ELA[Student Number],YES_Writing_FLA[Student Number]),0),MATCH(VLOOKUP(D$7,'Writing Logic'!$J$7:$K$11,2,FALSE)&amp;" - Per "&amp;VLOOKUP($C$4,'Writing Logic'!$G$8:$H$14,2,FALSE),YES_Writing_ELA[#Headers],0))=0,"",INDEX(_xlfn.VSTACK(YES_Writing_ELA[#Data],YES_Writing_FLA[#Data]),MATCH($A531,_xlfn.VSTACK(YES_Writing_ELA[Student Number],YES_Writing_FLA[Student Number]),0),MATCH(VLOOKUP(D$7,'Writing Logic'!$J$7:$K$11,2,FALSE)&amp;" - Per "&amp;VLOOKUP($C$4,'Writing Logic'!$G$8:$H$14,2,FALSE),YES_Writing_ELA[#Headers],0)))),"")</f>
        <v/>
      </c>
      <c r="E531" s="138" t="str">
        <f>IFERROR(IF(IF(INDEX(_xlfn.VSTACK(YES_Writing_ELA[#Data],YES_Writing_FLA[#Data]),MATCH($A531,_xlfn.VSTACK(YES_Writing_ELA[Student Number],YES_Writing_FLA[Student Number]),0),MATCH(VLOOKUP(E$7,'Writing Logic'!$J$7:$K$11,2,FALSE)&amp;" - Per "&amp;VLOOKUP($C$4,'Writing Logic'!$G$8:$H$14,2,FALSE),YES_Writing_ELA[#Headers],0))=0,"",INDEX(_xlfn.VSTACK(YES_Writing_ELA[#Data],YES_Writing_FLA[#Data]),MATCH($A531,_xlfn.VSTACK(YES_Writing_ELA[Student Number],YES_Writing_FLA[Student Number]),0),MATCH(VLOOKUP(E$7,'Writing Logic'!$J$7:$K$11,2,FALSE)&amp;" - Per "&amp;VLOOKUP($C$4,'Writing Logic'!$G$8:$H$14,2,FALSE),YES_Writing_ELA[#Headers],0)))="INS",'Writing Logic'!$B$7,IF(INDEX(_xlfn.VSTACK(YES_Writing_ELA[#Data],YES_Writing_FLA[#Data]),MATCH($A531,_xlfn.VSTACK(YES_Writing_ELA[Student Number],YES_Writing_FLA[Student Number]),0),MATCH(VLOOKUP(E$7,'Writing Logic'!$J$7:$K$11,2,FALSE)&amp;" - Per "&amp;VLOOKUP($C$4,'Writing Logic'!$G$8:$H$14,2,FALSE),YES_Writing_ELA[#Headers],0))=0,"",INDEX(_xlfn.VSTACK(YES_Writing_ELA[#Data],YES_Writing_FLA[#Data]),MATCH($A531,_xlfn.VSTACK(YES_Writing_ELA[Student Number],YES_Writing_FLA[Student Number]),0),MATCH(VLOOKUP(E$7,'Writing Logic'!$J$7:$K$11,2,FALSE)&amp;" - Per "&amp;VLOOKUP($C$4,'Writing Logic'!$G$8:$H$14,2,FALSE),YES_Writing_ELA[#Headers],0)))),"")</f>
        <v/>
      </c>
      <c r="F531" s="138" t="str">
        <f>IFERROR(IF(IF(INDEX(_xlfn.VSTACK(YES_Writing_ELA[#Data],YES_Writing_FLA[#Data]),MATCH($A531,_xlfn.VSTACK(YES_Writing_ELA[Student Number],YES_Writing_FLA[Student Number]),0),MATCH(VLOOKUP(F$7,'Writing Logic'!$J$7:$K$11,2,FALSE)&amp;" - Per "&amp;VLOOKUP($C$4,'Writing Logic'!$G$8:$H$14,2,FALSE),YES_Writing_ELA[#Headers],0))=0,"",INDEX(_xlfn.VSTACK(YES_Writing_ELA[#Data],YES_Writing_FLA[#Data]),MATCH($A531,_xlfn.VSTACK(YES_Writing_ELA[Student Number],YES_Writing_FLA[Student Number]),0),MATCH(VLOOKUP(F$7,'Writing Logic'!$J$7:$K$11,2,FALSE)&amp;" - Per "&amp;VLOOKUP($C$4,'Writing Logic'!$G$8:$H$14,2,FALSE),YES_Writing_ELA[#Headers],0)))="INS",'Writing Logic'!$B$7,IF(INDEX(_xlfn.VSTACK(YES_Writing_ELA[#Data],YES_Writing_FLA[#Data]),MATCH($A531,_xlfn.VSTACK(YES_Writing_ELA[Student Number],YES_Writing_FLA[Student Number]),0),MATCH(VLOOKUP(F$7,'Writing Logic'!$J$7:$K$11,2,FALSE)&amp;" - Per "&amp;VLOOKUP($C$4,'Writing Logic'!$G$8:$H$14,2,FALSE),YES_Writing_ELA[#Headers],0))=0,"",INDEX(_xlfn.VSTACK(YES_Writing_ELA[#Data],YES_Writing_FLA[#Data]),MATCH($A531,_xlfn.VSTACK(YES_Writing_ELA[Student Number],YES_Writing_FLA[Student Number]),0),MATCH(VLOOKUP(F$7,'Writing Logic'!$J$7:$K$11,2,FALSE)&amp;" - Per "&amp;VLOOKUP($C$4,'Writing Logic'!$G$8:$H$14,2,FALSE),YES_Writing_ELA[#Headers],0)))),"")</f>
        <v/>
      </c>
      <c r="G531" s="138" t="str">
        <f>IFERROR(IF(IF(INDEX(_xlfn.VSTACK(YES_Writing_ELA[#Data],YES_Writing_FLA[#Data]),MATCH($A531,_xlfn.VSTACK(YES_Writing_ELA[Student Number],YES_Writing_FLA[Student Number]),0),MATCH(VLOOKUP(G$7,'Writing Logic'!$J$7:$K$11,2,FALSE)&amp;" - Per "&amp;VLOOKUP($C$4,'Writing Logic'!$G$8:$H$14,2,FALSE),YES_Writing_ELA[#Headers],0))=0,"",INDEX(_xlfn.VSTACK(YES_Writing_ELA[#Data],YES_Writing_FLA[#Data]),MATCH($A531,_xlfn.VSTACK(YES_Writing_ELA[Student Number],YES_Writing_FLA[Student Number]),0),MATCH(VLOOKUP(G$7,'Writing Logic'!$J$7:$K$11,2,FALSE)&amp;" - Per "&amp;VLOOKUP($C$4,'Writing Logic'!$G$8:$H$14,2,FALSE),YES_Writing_ELA[#Headers],0)))="INS",'Writing Logic'!$B$7,IF(INDEX(_xlfn.VSTACK(YES_Writing_ELA[#Data],YES_Writing_FLA[#Data]),MATCH($A531,_xlfn.VSTACK(YES_Writing_ELA[Student Number],YES_Writing_FLA[Student Number]),0),MATCH(VLOOKUP(G$7,'Writing Logic'!$J$7:$K$11,2,FALSE)&amp;" - Per "&amp;VLOOKUP($C$4,'Writing Logic'!$G$8:$H$14,2,FALSE),YES_Writing_ELA[#Headers],0))=0,"",INDEX(_xlfn.VSTACK(YES_Writing_ELA[#Data],YES_Writing_FLA[#Data]),MATCH($A531,_xlfn.VSTACK(YES_Writing_ELA[Student Number],YES_Writing_FLA[Student Number]),0),MATCH(VLOOKUP(G$7,'Writing Logic'!$J$7:$K$11,2,FALSE)&amp;" - Per "&amp;VLOOKUP($C$4,'Writing Logic'!$G$8:$H$14,2,FALSE),YES_Writing_ELA[#Headers],0)))),"")</f>
        <v/>
      </c>
      <c r="H531" s="223" t="str">
        <f>IFERROR(IF(IF(INDEX(_xlfn.VSTACK(YES_Writing_ELA[#Data],YES_Writing_FLA[#Data]),MATCH($A531,_xlfn.VSTACK(YES_Writing_ELA[Student Number],YES_Writing_FLA[Student Number]),0),MATCH(VLOOKUP(H$7,'Writing Logic'!$J$7:$K$11,2,FALSE)&amp;" - Per "&amp;VLOOKUP($C$4,'Writing Logic'!$G$8:$H$14,2,FALSE),YES_Writing_ELA[#Headers],0))=0,"",INDEX(_xlfn.VSTACK(YES_Writing_ELA[#Data],YES_Writing_FLA[#Data]),MATCH($A531,_xlfn.VSTACK(YES_Writing_ELA[Student Number],YES_Writing_FLA[Student Number]),0),MATCH(VLOOKUP(H$7,'Writing Logic'!$J$7:$K$11,2,FALSE)&amp;" - Per "&amp;VLOOKUP($C$4,'Writing Logic'!$G$8:$H$14,2,FALSE),YES_Writing_ELA[#Headers],0)))="INS",'Writing Logic'!$B$7,IF(INDEX(_xlfn.VSTACK(YES_Writing_ELA[#Data],YES_Writing_FLA[#Data]),MATCH($A531,_xlfn.VSTACK(YES_Writing_ELA[Student Number],YES_Writing_FLA[Student Number]),0),MATCH(VLOOKUP(H$7,'Writing Logic'!$J$7:$K$11,2,FALSE)&amp;" - Per "&amp;VLOOKUP($C$4,'Writing Logic'!$G$8:$H$14,2,FALSE),YES_Writing_ELA[#Headers],0))=0,"",INDEX(_xlfn.VSTACK(YES_Writing_ELA[#Data],YES_Writing_FLA[#Data]),MATCH($A531,_xlfn.VSTACK(YES_Writing_ELA[Student Number],YES_Writing_FLA[Student Number]),0),MATCH(VLOOKUP(H$7,'Writing Logic'!$J$7:$K$11,2,FALSE)&amp;" - Per "&amp;VLOOKUP($C$4,'Writing Logic'!$G$8:$H$14,2,FALSE),YES_Writing_ELA[#Headers],0)))),"")</f>
        <v/>
      </c>
      <c r="I531" s="224" t="str" cm="1">
        <f t="array" aca="1" ref="I531" ca="1">IFERROR(
IF($G$3="ELA",
IF(VLOOKUP($A531, YES_Reading_ELA[], COLUMN(INDIRECT("YES_Reading_ELA[Difference - Per "&amp;VLOOKUP($G$4, 'Reading Report Logic'!$A$2:$B$8, 2, FALSE)&amp;"]")), FALSE)="", "",
VLOOKUP($A531,YES_Reading_ELA[], COLUMN(INDIRECT("YES_Reading_ELA[Difference - Per "&amp;VLOOKUP($G$4,'Reading Report Logic'!$A$2:$B$8,2,FALSE)&amp;"]")), FALSE)),
IF($G$3="FLA",
IF(VLOOKUP($A531, YES_Reading_FLA[], COLUMN(INDIRECT("YES_Reading_FLA[Difference - Per "&amp;VLOOKUP($G$4,'Reading Report Logic'!$A$2:$B$8,2,FALSE)&amp;"]")),FALSE)="","",
VLOOKUP($A531,YES_Reading_FLA[],COLUMN(INDIRECT("YES_Reading_FLA[Difference - Per "&amp;VLOOKUP($G$4,'Reading Report Logic'!$A$2:$B$8,2,FALSE)&amp;"]")),FALSE)),
IF($G$3="Combined",
IFERROR(
IF(VLOOKUP($A531, YES_Reading_ELA[], COLUMN(INDIRECT("YES_Reading_ELA[Difference - Per "&amp;VLOOKUP($G$4, 'Reading Report Logic'!$A$2:$B$8,2,FALSE)&amp;"]")), FALSE)="", "",
VLOOKUP($A531,YES_Reading_ELA[],COLUMN(INDIRECT("YES_Reading_ELA[Difference - Per "&amp;VLOOKUP($G$4,'Reading Report Logic'!$A$2:$B$8,2,FALSE)&amp;"]")),FALSE)),
IF(VLOOKUP($A531, YES_Reading_FLA[], COLUMN(INDIRECT("YES_Reading_FLA[Difference - Per "&amp;VLOOKUP($G$4, 'Reading Report Logic'!$A$2:$B$8, 2, FALSE)&amp;"]")),FALSE)="", "", VLOOKUP($A531,YES_Reading_FLA[],COLUMN(INDIRECT("YES_Reading_FLA[Difference - Per "&amp;VLOOKUP($G$4, 'Reading Report Logic'!$A$2:$B$8, 2, FALSE)&amp;"]")),FALSE))),""))),"")</f>
        <v/>
      </c>
    </row>
    <row r="532" spans="1:9" x14ac:dyDescent="0.25">
      <c r="A532" s="137"/>
      <c r="B532" s="137" t="str">
        <f>IFERROR(INDEX(_xlfn.VSTACK(YES_Writing_ELA[#Data], YES_Writing_FLA[#Data]),MATCH($A532,_xlfn.VSTACK(YES_Writing_ELA[Student Number], YES_Writing_FLA[Student Number]),0),MATCH(B$7,YES_Writing_ELA[#Headers],0)),IFERROR(INDEX(_xlfn.VSTACK(YES_Reading_ELA[#Data], YES_Reading_FLA[#Data]),MATCH($A532,_xlfn.VSTACK(YES_Reading_ELA[Student Number], YES_Reading_FLA[Student Number]),0),MATCH(B$7,YES_Reading_ELA[#Headers],0)),""))</f>
        <v/>
      </c>
      <c r="C532" s="137" t="str">
        <f>IFERROR(INDEX(_xlfn.VSTACK(YES_Writing_ELA[#Data], YES_Writing_FLA[#Data]),MATCH($A532,_xlfn.VSTACK(YES_Writing_ELA[Student Number], YES_Writing_FLA[Student Number]),0),MATCH(C$7,YES_Writing_ELA[#Headers],0)),IFERROR(INDEX(_xlfn.VSTACK(YES_Reading_ELA[#Data], YES_Reading_FLA[#Data]),MATCH($A532,_xlfn.VSTACK(YES_Reading_ELA[Student Number], YES_Reading_FLA[Student Number]),0),MATCH(C$7,YES_Reading_ELA[#Headers],0)),""))</f>
        <v/>
      </c>
      <c r="D532" s="138" t="str">
        <f>IFERROR(IF(IF(INDEX(_xlfn.VSTACK(YES_Writing_ELA[#Data],YES_Writing_FLA[#Data]),MATCH($A532,_xlfn.VSTACK(YES_Writing_ELA[Student Number],YES_Writing_FLA[Student Number]),0),MATCH(VLOOKUP(D$7,'Writing Logic'!$J$7:$K$11,2,FALSE)&amp;" - Per "&amp;VLOOKUP($C$4,'Writing Logic'!$G$8:$H$14,2,FALSE),YES_Writing_ELA[#Headers],0))=0,"",INDEX(_xlfn.VSTACK(YES_Writing_ELA[#Data],YES_Writing_FLA[#Data]),MATCH($A532,_xlfn.VSTACK(YES_Writing_ELA[Student Number],YES_Writing_FLA[Student Number]),0),MATCH(VLOOKUP(D$7,'Writing Logic'!$J$7:$K$11,2,FALSE)&amp;" - Per "&amp;VLOOKUP($C$4,'Writing Logic'!$G$8:$H$14,2,FALSE),YES_Writing_ELA[#Headers],0)))="INS",'Writing Logic'!$B$7,IF(INDEX(_xlfn.VSTACK(YES_Writing_ELA[#Data],YES_Writing_FLA[#Data]),MATCH($A532,_xlfn.VSTACK(YES_Writing_ELA[Student Number],YES_Writing_FLA[Student Number]),0),MATCH(VLOOKUP(D$7,'Writing Logic'!$J$7:$K$11,2,FALSE)&amp;" - Per "&amp;VLOOKUP($C$4,'Writing Logic'!$G$8:$H$14,2,FALSE),YES_Writing_ELA[#Headers],0))=0,"",INDEX(_xlfn.VSTACK(YES_Writing_ELA[#Data],YES_Writing_FLA[#Data]),MATCH($A532,_xlfn.VSTACK(YES_Writing_ELA[Student Number],YES_Writing_FLA[Student Number]),0),MATCH(VLOOKUP(D$7,'Writing Logic'!$J$7:$K$11,2,FALSE)&amp;" - Per "&amp;VLOOKUP($C$4,'Writing Logic'!$G$8:$H$14,2,FALSE),YES_Writing_ELA[#Headers],0)))),"")</f>
        <v/>
      </c>
      <c r="E532" s="138" t="str">
        <f>IFERROR(IF(IF(INDEX(_xlfn.VSTACK(YES_Writing_ELA[#Data],YES_Writing_FLA[#Data]),MATCH($A532,_xlfn.VSTACK(YES_Writing_ELA[Student Number],YES_Writing_FLA[Student Number]),0),MATCH(VLOOKUP(E$7,'Writing Logic'!$J$7:$K$11,2,FALSE)&amp;" - Per "&amp;VLOOKUP($C$4,'Writing Logic'!$G$8:$H$14,2,FALSE),YES_Writing_ELA[#Headers],0))=0,"",INDEX(_xlfn.VSTACK(YES_Writing_ELA[#Data],YES_Writing_FLA[#Data]),MATCH($A532,_xlfn.VSTACK(YES_Writing_ELA[Student Number],YES_Writing_FLA[Student Number]),0),MATCH(VLOOKUP(E$7,'Writing Logic'!$J$7:$K$11,2,FALSE)&amp;" - Per "&amp;VLOOKUP($C$4,'Writing Logic'!$G$8:$H$14,2,FALSE),YES_Writing_ELA[#Headers],0)))="INS",'Writing Logic'!$B$7,IF(INDEX(_xlfn.VSTACK(YES_Writing_ELA[#Data],YES_Writing_FLA[#Data]),MATCH($A532,_xlfn.VSTACK(YES_Writing_ELA[Student Number],YES_Writing_FLA[Student Number]),0),MATCH(VLOOKUP(E$7,'Writing Logic'!$J$7:$K$11,2,FALSE)&amp;" - Per "&amp;VLOOKUP($C$4,'Writing Logic'!$G$8:$H$14,2,FALSE),YES_Writing_ELA[#Headers],0))=0,"",INDEX(_xlfn.VSTACK(YES_Writing_ELA[#Data],YES_Writing_FLA[#Data]),MATCH($A532,_xlfn.VSTACK(YES_Writing_ELA[Student Number],YES_Writing_FLA[Student Number]),0),MATCH(VLOOKUP(E$7,'Writing Logic'!$J$7:$K$11,2,FALSE)&amp;" - Per "&amp;VLOOKUP($C$4,'Writing Logic'!$G$8:$H$14,2,FALSE),YES_Writing_ELA[#Headers],0)))),"")</f>
        <v/>
      </c>
      <c r="F532" s="138" t="str">
        <f>IFERROR(IF(IF(INDEX(_xlfn.VSTACK(YES_Writing_ELA[#Data],YES_Writing_FLA[#Data]),MATCH($A532,_xlfn.VSTACK(YES_Writing_ELA[Student Number],YES_Writing_FLA[Student Number]),0),MATCH(VLOOKUP(F$7,'Writing Logic'!$J$7:$K$11,2,FALSE)&amp;" - Per "&amp;VLOOKUP($C$4,'Writing Logic'!$G$8:$H$14,2,FALSE),YES_Writing_ELA[#Headers],0))=0,"",INDEX(_xlfn.VSTACK(YES_Writing_ELA[#Data],YES_Writing_FLA[#Data]),MATCH($A532,_xlfn.VSTACK(YES_Writing_ELA[Student Number],YES_Writing_FLA[Student Number]),0),MATCH(VLOOKUP(F$7,'Writing Logic'!$J$7:$K$11,2,FALSE)&amp;" - Per "&amp;VLOOKUP($C$4,'Writing Logic'!$G$8:$H$14,2,FALSE),YES_Writing_ELA[#Headers],0)))="INS",'Writing Logic'!$B$7,IF(INDEX(_xlfn.VSTACK(YES_Writing_ELA[#Data],YES_Writing_FLA[#Data]),MATCH($A532,_xlfn.VSTACK(YES_Writing_ELA[Student Number],YES_Writing_FLA[Student Number]),0),MATCH(VLOOKUP(F$7,'Writing Logic'!$J$7:$K$11,2,FALSE)&amp;" - Per "&amp;VLOOKUP($C$4,'Writing Logic'!$G$8:$H$14,2,FALSE),YES_Writing_ELA[#Headers],0))=0,"",INDEX(_xlfn.VSTACK(YES_Writing_ELA[#Data],YES_Writing_FLA[#Data]),MATCH($A532,_xlfn.VSTACK(YES_Writing_ELA[Student Number],YES_Writing_FLA[Student Number]),0),MATCH(VLOOKUP(F$7,'Writing Logic'!$J$7:$K$11,2,FALSE)&amp;" - Per "&amp;VLOOKUP($C$4,'Writing Logic'!$G$8:$H$14,2,FALSE),YES_Writing_ELA[#Headers],0)))),"")</f>
        <v/>
      </c>
      <c r="G532" s="138" t="str">
        <f>IFERROR(IF(IF(INDEX(_xlfn.VSTACK(YES_Writing_ELA[#Data],YES_Writing_FLA[#Data]),MATCH($A532,_xlfn.VSTACK(YES_Writing_ELA[Student Number],YES_Writing_FLA[Student Number]),0),MATCH(VLOOKUP(G$7,'Writing Logic'!$J$7:$K$11,2,FALSE)&amp;" - Per "&amp;VLOOKUP($C$4,'Writing Logic'!$G$8:$H$14,2,FALSE),YES_Writing_ELA[#Headers],0))=0,"",INDEX(_xlfn.VSTACK(YES_Writing_ELA[#Data],YES_Writing_FLA[#Data]),MATCH($A532,_xlfn.VSTACK(YES_Writing_ELA[Student Number],YES_Writing_FLA[Student Number]),0),MATCH(VLOOKUP(G$7,'Writing Logic'!$J$7:$K$11,2,FALSE)&amp;" - Per "&amp;VLOOKUP($C$4,'Writing Logic'!$G$8:$H$14,2,FALSE),YES_Writing_ELA[#Headers],0)))="INS",'Writing Logic'!$B$7,IF(INDEX(_xlfn.VSTACK(YES_Writing_ELA[#Data],YES_Writing_FLA[#Data]),MATCH($A532,_xlfn.VSTACK(YES_Writing_ELA[Student Number],YES_Writing_FLA[Student Number]),0),MATCH(VLOOKUP(G$7,'Writing Logic'!$J$7:$K$11,2,FALSE)&amp;" - Per "&amp;VLOOKUP($C$4,'Writing Logic'!$G$8:$H$14,2,FALSE),YES_Writing_ELA[#Headers],0))=0,"",INDEX(_xlfn.VSTACK(YES_Writing_ELA[#Data],YES_Writing_FLA[#Data]),MATCH($A532,_xlfn.VSTACK(YES_Writing_ELA[Student Number],YES_Writing_FLA[Student Number]),0),MATCH(VLOOKUP(G$7,'Writing Logic'!$J$7:$K$11,2,FALSE)&amp;" - Per "&amp;VLOOKUP($C$4,'Writing Logic'!$G$8:$H$14,2,FALSE),YES_Writing_ELA[#Headers],0)))),"")</f>
        <v/>
      </c>
      <c r="H532" s="223" t="str">
        <f>IFERROR(IF(IF(INDEX(_xlfn.VSTACK(YES_Writing_ELA[#Data],YES_Writing_FLA[#Data]),MATCH($A532,_xlfn.VSTACK(YES_Writing_ELA[Student Number],YES_Writing_FLA[Student Number]),0),MATCH(VLOOKUP(H$7,'Writing Logic'!$J$7:$K$11,2,FALSE)&amp;" - Per "&amp;VLOOKUP($C$4,'Writing Logic'!$G$8:$H$14,2,FALSE),YES_Writing_ELA[#Headers],0))=0,"",INDEX(_xlfn.VSTACK(YES_Writing_ELA[#Data],YES_Writing_FLA[#Data]),MATCH($A532,_xlfn.VSTACK(YES_Writing_ELA[Student Number],YES_Writing_FLA[Student Number]),0),MATCH(VLOOKUP(H$7,'Writing Logic'!$J$7:$K$11,2,FALSE)&amp;" - Per "&amp;VLOOKUP($C$4,'Writing Logic'!$G$8:$H$14,2,FALSE),YES_Writing_ELA[#Headers],0)))="INS",'Writing Logic'!$B$7,IF(INDEX(_xlfn.VSTACK(YES_Writing_ELA[#Data],YES_Writing_FLA[#Data]),MATCH($A532,_xlfn.VSTACK(YES_Writing_ELA[Student Number],YES_Writing_FLA[Student Number]),0),MATCH(VLOOKUP(H$7,'Writing Logic'!$J$7:$K$11,2,FALSE)&amp;" - Per "&amp;VLOOKUP($C$4,'Writing Logic'!$G$8:$H$14,2,FALSE),YES_Writing_ELA[#Headers],0))=0,"",INDEX(_xlfn.VSTACK(YES_Writing_ELA[#Data],YES_Writing_FLA[#Data]),MATCH($A532,_xlfn.VSTACK(YES_Writing_ELA[Student Number],YES_Writing_FLA[Student Number]),0),MATCH(VLOOKUP(H$7,'Writing Logic'!$J$7:$K$11,2,FALSE)&amp;" - Per "&amp;VLOOKUP($C$4,'Writing Logic'!$G$8:$H$14,2,FALSE),YES_Writing_ELA[#Headers],0)))),"")</f>
        <v/>
      </c>
      <c r="I532" s="224" t="str" cm="1">
        <f t="array" aca="1" ref="I532" ca="1">IFERROR(
IF($G$3="ELA",
IF(VLOOKUP($A532, YES_Reading_ELA[], COLUMN(INDIRECT("YES_Reading_ELA[Difference - Per "&amp;VLOOKUP($G$4, 'Reading Report Logic'!$A$2:$B$8, 2, FALSE)&amp;"]")), FALSE)="", "",
VLOOKUP($A532,YES_Reading_ELA[], COLUMN(INDIRECT("YES_Reading_ELA[Difference - Per "&amp;VLOOKUP($G$4,'Reading Report Logic'!$A$2:$B$8,2,FALSE)&amp;"]")), FALSE)),
IF($G$3="FLA",
IF(VLOOKUP($A532, YES_Reading_FLA[], COLUMN(INDIRECT("YES_Reading_FLA[Difference - Per "&amp;VLOOKUP($G$4,'Reading Report Logic'!$A$2:$B$8,2,FALSE)&amp;"]")),FALSE)="","",
VLOOKUP($A532,YES_Reading_FLA[],COLUMN(INDIRECT("YES_Reading_FLA[Difference - Per "&amp;VLOOKUP($G$4,'Reading Report Logic'!$A$2:$B$8,2,FALSE)&amp;"]")),FALSE)),
IF($G$3="Combined",
IFERROR(
IF(VLOOKUP($A532, YES_Reading_ELA[], COLUMN(INDIRECT("YES_Reading_ELA[Difference - Per "&amp;VLOOKUP($G$4, 'Reading Report Logic'!$A$2:$B$8,2,FALSE)&amp;"]")), FALSE)="", "",
VLOOKUP($A532,YES_Reading_ELA[],COLUMN(INDIRECT("YES_Reading_ELA[Difference - Per "&amp;VLOOKUP($G$4,'Reading Report Logic'!$A$2:$B$8,2,FALSE)&amp;"]")),FALSE)),
IF(VLOOKUP($A532, YES_Reading_FLA[], COLUMN(INDIRECT("YES_Reading_FLA[Difference - Per "&amp;VLOOKUP($G$4, 'Reading Report Logic'!$A$2:$B$8, 2, FALSE)&amp;"]")),FALSE)="", "", VLOOKUP($A532,YES_Reading_FLA[],COLUMN(INDIRECT("YES_Reading_FLA[Difference - Per "&amp;VLOOKUP($G$4, 'Reading Report Logic'!$A$2:$B$8, 2, FALSE)&amp;"]")),FALSE))),""))),"")</f>
        <v/>
      </c>
    </row>
    <row r="533" spans="1:9" x14ac:dyDescent="0.25">
      <c r="A533" s="137"/>
      <c r="B533" s="137" t="str">
        <f>IFERROR(INDEX(_xlfn.VSTACK(YES_Writing_ELA[#Data], YES_Writing_FLA[#Data]),MATCH($A533,_xlfn.VSTACK(YES_Writing_ELA[Student Number], YES_Writing_FLA[Student Number]),0),MATCH(B$7,YES_Writing_ELA[#Headers],0)),IFERROR(INDEX(_xlfn.VSTACK(YES_Reading_ELA[#Data], YES_Reading_FLA[#Data]),MATCH($A533,_xlfn.VSTACK(YES_Reading_ELA[Student Number], YES_Reading_FLA[Student Number]),0),MATCH(B$7,YES_Reading_ELA[#Headers],0)),""))</f>
        <v/>
      </c>
      <c r="C533" s="137" t="str">
        <f>IFERROR(INDEX(_xlfn.VSTACK(YES_Writing_ELA[#Data], YES_Writing_FLA[#Data]),MATCH($A533,_xlfn.VSTACK(YES_Writing_ELA[Student Number], YES_Writing_FLA[Student Number]),0),MATCH(C$7,YES_Writing_ELA[#Headers],0)),IFERROR(INDEX(_xlfn.VSTACK(YES_Reading_ELA[#Data], YES_Reading_FLA[#Data]),MATCH($A533,_xlfn.VSTACK(YES_Reading_ELA[Student Number], YES_Reading_FLA[Student Number]),0),MATCH(C$7,YES_Reading_ELA[#Headers],0)),""))</f>
        <v/>
      </c>
      <c r="D533" s="138" t="str">
        <f>IFERROR(IF(IF(INDEX(_xlfn.VSTACK(YES_Writing_ELA[#Data],YES_Writing_FLA[#Data]),MATCH($A533,_xlfn.VSTACK(YES_Writing_ELA[Student Number],YES_Writing_FLA[Student Number]),0),MATCH(VLOOKUP(D$7,'Writing Logic'!$J$7:$K$11,2,FALSE)&amp;" - Per "&amp;VLOOKUP($C$4,'Writing Logic'!$G$8:$H$14,2,FALSE),YES_Writing_ELA[#Headers],0))=0,"",INDEX(_xlfn.VSTACK(YES_Writing_ELA[#Data],YES_Writing_FLA[#Data]),MATCH($A533,_xlfn.VSTACK(YES_Writing_ELA[Student Number],YES_Writing_FLA[Student Number]),0),MATCH(VLOOKUP(D$7,'Writing Logic'!$J$7:$K$11,2,FALSE)&amp;" - Per "&amp;VLOOKUP($C$4,'Writing Logic'!$G$8:$H$14,2,FALSE),YES_Writing_ELA[#Headers],0)))="INS",'Writing Logic'!$B$7,IF(INDEX(_xlfn.VSTACK(YES_Writing_ELA[#Data],YES_Writing_FLA[#Data]),MATCH($A533,_xlfn.VSTACK(YES_Writing_ELA[Student Number],YES_Writing_FLA[Student Number]),0),MATCH(VLOOKUP(D$7,'Writing Logic'!$J$7:$K$11,2,FALSE)&amp;" - Per "&amp;VLOOKUP($C$4,'Writing Logic'!$G$8:$H$14,2,FALSE),YES_Writing_ELA[#Headers],0))=0,"",INDEX(_xlfn.VSTACK(YES_Writing_ELA[#Data],YES_Writing_FLA[#Data]),MATCH($A533,_xlfn.VSTACK(YES_Writing_ELA[Student Number],YES_Writing_FLA[Student Number]),0),MATCH(VLOOKUP(D$7,'Writing Logic'!$J$7:$K$11,2,FALSE)&amp;" - Per "&amp;VLOOKUP($C$4,'Writing Logic'!$G$8:$H$14,2,FALSE),YES_Writing_ELA[#Headers],0)))),"")</f>
        <v/>
      </c>
      <c r="E533" s="138" t="str">
        <f>IFERROR(IF(IF(INDEX(_xlfn.VSTACK(YES_Writing_ELA[#Data],YES_Writing_FLA[#Data]),MATCH($A533,_xlfn.VSTACK(YES_Writing_ELA[Student Number],YES_Writing_FLA[Student Number]),0),MATCH(VLOOKUP(E$7,'Writing Logic'!$J$7:$K$11,2,FALSE)&amp;" - Per "&amp;VLOOKUP($C$4,'Writing Logic'!$G$8:$H$14,2,FALSE),YES_Writing_ELA[#Headers],0))=0,"",INDEX(_xlfn.VSTACK(YES_Writing_ELA[#Data],YES_Writing_FLA[#Data]),MATCH($A533,_xlfn.VSTACK(YES_Writing_ELA[Student Number],YES_Writing_FLA[Student Number]),0),MATCH(VLOOKUP(E$7,'Writing Logic'!$J$7:$K$11,2,FALSE)&amp;" - Per "&amp;VLOOKUP($C$4,'Writing Logic'!$G$8:$H$14,2,FALSE),YES_Writing_ELA[#Headers],0)))="INS",'Writing Logic'!$B$7,IF(INDEX(_xlfn.VSTACK(YES_Writing_ELA[#Data],YES_Writing_FLA[#Data]),MATCH($A533,_xlfn.VSTACK(YES_Writing_ELA[Student Number],YES_Writing_FLA[Student Number]),0),MATCH(VLOOKUP(E$7,'Writing Logic'!$J$7:$K$11,2,FALSE)&amp;" - Per "&amp;VLOOKUP($C$4,'Writing Logic'!$G$8:$H$14,2,FALSE),YES_Writing_ELA[#Headers],0))=0,"",INDEX(_xlfn.VSTACK(YES_Writing_ELA[#Data],YES_Writing_FLA[#Data]),MATCH($A533,_xlfn.VSTACK(YES_Writing_ELA[Student Number],YES_Writing_FLA[Student Number]),0),MATCH(VLOOKUP(E$7,'Writing Logic'!$J$7:$K$11,2,FALSE)&amp;" - Per "&amp;VLOOKUP($C$4,'Writing Logic'!$G$8:$H$14,2,FALSE),YES_Writing_ELA[#Headers],0)))),"")</f>
        <v/>
      </c>
      <c r="F533" s="138" t="str">
        <f>IFERROR(IF(IF(INDEX(_xlfn.VSTACK(YES_Writing_ELA[#Data],YES_Writing_FLA[#Data]),MATCH($A533,_xlfn.VSTACK(YES_Writing_ELA[Student Number],YES_Writing_FLA[Student Number]),0),MATCH(VLOOKUP(F$7,'Writing Logic'!$J$7:$K$11,2,FALSE)&amp;" - Per "&amp;VLOOKUP($C$4,'Writing Logic'!$G$8:$H$14,2,FALSE),YES_Writing_ELA[#Headers],0))=0,"",INDEX(_xlfn.VSTACK(YES_Writing_ELA[#Data],YES_Writing_FLA[#Data]),MATCH($A533,_xlfn.VSTACK(YES_Writing_ELA[Student Number],YES_Writing_FLA[Student Number]),0),MATCH(VLOOKUP(F$7,'Writing Logic'!$J$7:$K$11,2,FALSE)&amp;" - Per "&amp;VLOOKUP($C$4,'Writing Logic'!$G$8:$H$14,2,FALSE),YES_Writing_ELA[#Headers],0)))="INS",'Writing Logic'!$B$7,IF(INDEX(_xlfn.VSTACK(YES_Writing_ELA[#Data],YES_Writing_FLA[#Data]),MATCH($A533,_xlfn.VSTACK(YES_Writing_ELA[Student Number],YES_Writing_FLA[Student Number]),0),MATCH(VLOOKUP(F$7,'Writing Logic'!$J$7:$K$11,2,FALSE)&amp;" - Per "&amp;VLOOKUP($C$4,'Writing Logic'!$G$8:$H$14,2,FALSE),YES_Writing_ELA[#Headers],0))=0,"",INDEX(_xlfn.VSTACK(YES_Writing_ELA[#Data],YES_Writing_FLA[#Data]),MATCH($A533,_xlfn.VSTACK(YES_Writing_ELA[Student Number],YES_Writing_FLA[Student Number]),0),MATCH(VLOOKUP(F$7,'Writing Logic'!$J$7:$K$11,2,FALSE)&amp;" - Per "&amp;VLOOKUP($C$4,'Writing Logic'!$G$8:$H$14,2,FALSE),YES_Writing_ELA[#Headers],0)))),"")</f>
        <v/>
      </c>
      <c r="G533" s="138" t="str">
        <f>IFERROR(IF(IF(INDEX(_xlfn.VSTACK(YES_Writing_ELA[#Data],YES_Writing_FLA[#Data]),MATCH($A533,_xlfn.VSTACK(YES_Writing_ELA[Student Number],YES_Writing_FLA[Student Number]),0),MATCH(VLOOKUP(G$7,'Writing Logic'!$J$7:$K$11,2,FALSE)&amp;" - Per "&amp;VLOOKUP($C$4,'Writing Logic'!$G$8:$H$14,2,FALSE),YES_Writing_ELA[#Headers],0))=0,"",INDEX(_xlfn.VSTACK(YES_Writing_ELA[#Data],YES_Writing_FLA[#Data]),MATCH($A533,_xlfn.VSTACK(YES_Writing_ELA[Student Number],YES_Writing_FLA[Student Number]),0),MATCH(VLOOKUP(G$7,'Writing Logic'!$J$7:$K$11,2,FALSE)&amp;" - Per "&amp;VLOOKUP($C$4,'Writing Logic'!$G$8:$H$14,2,FALSE),YES_Writing_ELA[#Headers],0)))="INS",'Writing Logic'!$B$7,IF(INDEX(_xlfn.VSTACK(YES_Writing_ELA[#Data],YES_Writing_FLA[#Data]),MATCH($A533,_xlfn.VSTACK(YES_Writing_ELA[Student Number],YES_Writing_FLA[Student Number]),0),MATCH(VLOOKUP(G$7,'Writing Logic'!$J$7:$K$11,2,FALSE)&amp;" - Per "&amp;VLOOKUP($C$4,'Writing Logic'!$G$8:$H$14,2,FALSE),YES_Writing_ELA[#Headers],0))=0,"",INDEX(_xlfn.VSTACK(YES_Writing_ELA[#Data],YES_Writing_FLA[#Data]),MATCH($A533,_xlfn.VSTACK(YES_Writing_ELA[Student Number],YES_Writing_FLA[Student Number]),0),MATCH(VLOOKUP(G$7,'Writing Logic'!$J$7:$K$11,2,FALSE)&amp;" - Per "&amp;VLOOKUP($C$4,'Writing Logic'!$G$8:$H$14,2,FALSE),YES_Writing_ELA[#Headers],0)))),"")</f>
        <v/>
      </c>
      <c r="H533" s="223" t="str">
        <f>IFERROR(IF(IF(INDEX(_xlfn.VSTACK(YES_Writing_ELA[#Data],YES_Writing_FLA[#Data]),MATCH($A533,_xlfn.VSTACK(YES_Writing_ELA[Student Number],YES_Writing_FLA[Student Number]),0),MATCH(VLOOKUP(H$7,'Writing Logic'!$J$7:$K$11,2,FALSE)&amp;" - Per "&amp;VLOOKUP($C$4,'Writing Logic'!$G$8:$H$14,2,FALSE),YES_Writing_ELA[#Headers],0))=0,"",INDEX(_xlfn.VSTACK(YES_Writing_ELA[#Data],YES_Writing_FLA[#Data]),MATCH($A533,_xlfn.VSTACK(YES_Writing_ELA[Student Number],YES_Writing_FLA[Student Number]),0),MATCH(VLOOKUP(H$7,'Writing Logic'!$J$7:$K$11,2,FALSE)&amp;" - Per "&amp;VLOOKUP($C$4,'Writing Logic'!$G$8:$H$14,2,FALSE),YES_Writing_ELA[#Headers],0)))="INS",'Writing Logic'!$B$7,IF(INDEX(_xlfn.VSTACK(YES_Writing_ELA[#Data],YES_Writing_FLA[#Data]),MATCH($A533,_xlfn.VSTACK(YES_Writing_ELA[Student Number],YES_Writing_FLA[Student Number]),0),MATCH(VLOOKUP(H$7,'Writing Logic'!$J$7:$K$11,2,FALSE)&amp;" - Per "&amp;VLOOKUP($C$4,'Writing Logic'!$G$8:$H$14,2,FALSE),YES_Writing_ELA[#Headers],0))=0,"",INDEX(_xlfn.VSTACK(YES_Writing_ELA[#Data],YES_Writing_FLA[#Data]),MATCH($A533,_xlfn.VSTACK(YES_Writing_ELA[Student Number],YES_Writing_FLA[Student Number]),0),MATCH(VLOOKUP(H$7,'Writing Logic'!$J$7:$K$11,2,FALSE)&amp;" - Per "&amp;VLOOKUP($C$4,'Writing Logic'!$G$8:$H$14,2,FALSE),YES_Writing_ELA[#Headers],0)))),"")</f>
        <v/>
      </c>
      <c r="I533" s="224" t="str" cm="1">
        <f t="array" aca="1" ref="I533" ca="1">IFERROR(
IF($G$3="ELA",
IF(VLOOKUP($A533, YES_Reading_ELA[], COLUMN(INDIRECT("YES_Reading_ELA[Difference - Per "&amp;VLOOKUP($G$4, 'Reading Report Logic'!$A$2:$B$8, 2, FALSE)&amp;"]")), FALSE)="", "",
VLOOKUP($A533,YES_Reading_ELA[], COLUMN(INDIRECT("YES_Reading_ELA[Difference - Per "&amp;VLOOKUP($G$4,'Reading Report Logic'!$A$2:$B$8,2,FALSE)&amp;"]")), FALSE)),
IF($G$3="FLA",
IF(VLOOKUP($A533, YES_Reading_FLA[], COLUMN(INDIRECT("YES_Reading_FLA[Difference - Per "&amp;VLOOKUP($G$4,'Reading Report Logic'!$A$2:$B$8,2,FALSE)&amp;"]")),FALSE)="","",
VLOOKUP($A533,YES_Reading_FLA[],COLUMN(INDIRECT("YES_Reading_FLA[Difference - Per "&amp;VLOOKUP($G$4,'Reading Report Logic'!$A$2:$B$8,2,FALSE)&amp;"]")),FALSE)),
IF($G$3="Combined",
IFERROR(
IF(VLOOKUP($A533, YES_Reading_ELA[], COLUMN(INDIRECT("YES_Reading_ELA[Difference - Per "&amp;VLOOKUP($G$4, 'Reading Report Logic'!$A$2:$B$8,2,FALSE)&amp;"]")), FALSE)="", "",
VLOOKUP($A533,YES_Reading_ELA[],COLUMN(INDIRECT("YES_Reading_ELA[Difference - Per "&amp;VLOOKUP($G$4,'Reading Report Logic'!$A$2:$B$8,2,FALSE)&amp;"]")),FALSE)),
IF(VLOOKUP($A533, YES_Reading_FLA[], COLUMN(INDIRECT("YES_Reading_FLA[Difference - Per "&amp;VLOOKUP($G$4, 'Reading Report Logic'!$A$2:$B$8, 2, FALSE)&amp;"]")),FALSE)="", "", VLOOKUP($A533,YES_Reading_FLA[],COLUMN(INDIRECT("YES_Reading_FLA[Difference - Per "&amp;VLOOKUP($G$4, 'Reading Report Logic'!$A$2:$B$8, 2, FALSE)&amp;"]")),FALSE))),""))),"")</f>
        <v/>
      </c>
    </row>
    <row r="534" spans="1:9" x14ac:dyDescent="0.25">
      <c r="A534" s="137"/>
      <c r="B534" s="137" t="str">
        <f>IFERROR(INDEX(_xlfn.VSTACK(YES_Writing_ELA[#Data], YES_Writing_FLA[#Data]),MATCH($A534,_xlfn.VSTACK(YES_Writing_ELA[Student Number], YES_Writing_FLA[Student Number]),0),MATCH(B$7,YES_Writing_ELA[#Headers],0)),IFERROR(INDEX(_xlfn.VSTACK(YES_Reading_ELA[#Data], YES_Reading_FLA[#Data]),MATCH($A534,_xlfn.VSTACK(YES_Reading_ELA[Student Number], YES_Reading_FLA[Student Number]),0),MATCH(B$7,YES_Reading_ELA[#Headers],0)),""))</f>
        <v/>
      </c>
      <c r="C534" s="137" t="str">
        <f>IFERROR(INDEX(_xlfn.VSTACK(YES_Writing_ELA[#Data], YES_Writing_FLA[#Data]),MATCH($A534,_xlfn.VSTACK(YES_Writing_ELA[Student Number], YES_Writing_FLA[Student Number]),0),MATCH(C$7,YES_Writing_ELA[#Headers],0)),IFERROR(INDEX(_xlfn.VSTACK(YES_Reading_ELA[#Data], YES_Reading_FLA[#Data]),MATCH($A534,_xlfn.VSTACK(YES_Reading_ELA[Student Number], YES_Reading_FLA[Student Number]),0),MATCH(C$7,YES_Reading_ELA[#Headers],0)),""))</f>
        <v/>
      </c>
      <c r="D534" s="138" t="str">
        <f>IFERROR(IF(IF(INDEX(_xlfn.VSTACK(YES_Writing_ELA[#Data],YES_Writing_FLA[#Data]),MATCH($A534,_xlfn.VSTACK(YES_Writing_ELA[Student Number],YES_Writing_FLA[Student Number]),0),MATCH(VLOOKUP(D$7,'Writing Logic'!$J$7:$K$11,2,FALSE)&amp;" - Per "&amp;VLOOKUP($C$4,'Writing Logic'!$G$8:$H$14,2,FALSE),YES_Writing_ELA[#Headers],0))=0,"",INDEX(_xlfn.VSTACK(YES_Writing_ELA[#Data],YES_Writing_FLA[#Data]),MATCH($A534,_xlfn.VSTACK(YES_Writing_ELA[Student Number],YES_Writing_FLA[Student Number]),0),MATCH(VLOOKUP(D$7,'Writing Logic'!$J$7:$K$11,2,FALSE)&amp;" - Per "&amp;VLOOKUP($C$4,'Writing Logic'!$G$8:$H$14,2,FALSE),YES_Writing_ELA[#Headers],0)))="INS",'Writing Logic'!$B$7,IF(INDEX(_xlfn.VSTACK(YES_Writing_ELA[#Data],YES_Writing_FLA[#Data]),MATCH($A534,_xlfn.VSTACK(YES_Writing_ELA[Student Number],YES_Writing_FLA[Student Number]),0),MATCH(VLOOKUP(D$7,'Writing Logic'!$J$7:$K$11,2,FALSE)&amp;" - Per "&amp;VLOOKUP($C$4,'Writing Logic'!$G$8:$H$14,2,FALSE),YES_Writing_ELA[#Headers],0))=0,"",INDEX(_xlfn.VSTACK(YES_Writing_ELA[#Data],YES_Writing_FLA[#Data]),MATCH($A534,_xlfn.VSTACK(YES_Writing_ELA[Student Number],YES_Writing_FLA[Student Number]),0),MATCH(VLOOKUP(D$7,'Writing Logic'!$J$7:$K$11,2,FALSE)&amp;" - Per "&amp;VLOOKUP($C$4,'Writing Logic'!$G$8:$H$14,2,FALSE),YES_Writing_ELA[#Headers],0)))),"")</f>
        <v/>
      </c>
      <c r="E534" s="138" t="str">
        <f>IFERROR(IF(IF(INDEX(_xlfn.VSTACK(YES_Writing_ELA[#Data],YES_Writing_FLA[#Data]),MATCH($A534,_xlfn.VSTACK(YES_Writing_ELA[Student Number],YES_Writing_FLA[Student Number]),0),MATCH(VLOOKUP(E$7,'Writing Logic'!$J$7:$K$11,2,FALSE)&amp;" - Per "&amp;VLOOKUP($C$4,'Writing Logic'!$G$8:$H$14,2,FALSE),YES_Writing_ELA[#Headers],0))=0,"",INDEX(_xlfn.VSTACK(YES_Writing_ELA[#Data],YES_Writing_FLA[#Data]),MATCH($A534,_xlfn.VSTACK(YES_Writing_ELA[Student Number],YES_Writing_FLA[Student Number]),0),MATCH(VLOOKUP(E$7,'Writing Logic'!$J$7:$K$11,2,FALSE)&amp;" - Per "&amp;VLOOKUP($C$4,'Writing Logic'!$G$8:$H$14,2,FALSE),YES_Writing_ELA[#Headers],0)))="INS",'Writing Logic'!$B$7,IF(INDEX(_xlfn.VSTACK(YES_Writing_ELA[#Data],YES_Writing_FLA[#Data]),MATCH($A534,_xlfn.VSTACK(YES_Writing_ELA[Student Number],YES_Writing_FLA[Student Number]),0),MATCH(VLOOKUP(E$7,'Writing Logic'!$J$7:$K$11,2,FALSE)&amp;" - Per "&amp;VLOOKUP($C$4,'Writing Logic'!$G$8:$H$14,2,FALSE),YES_Writing_ELA[#Headers],0))=0,"",INDEX(_xlfn.VSTACK(YES_Writing_ELA[#Data],YES_Writing_FLA[#Data]),MATCH($A534,_xlfn.VSTACK(YES_Writing_ELA[Student Number],YES_Writing_FLA[Student Number]),0),MATCH(VLOOKUP(E$7,'Writing Logic'!$J$7:$K$11,2,FALSE)&amp;" - Per "&amp;VLOOKUP($C$4,'Writing Logic'!$G$8:$H$14,2,FALSE),YES_Writing_ELA[#Headers],0)))),"")</f>
        <v/>
      </c>
      <c r="F534" s="138" t="str">
        <f>IFERROR(IF(IF(INDEX(_xlfn.VSTACK(YES_Writing_ELA[#Data],YES_Writing_FLA[#Data]),MATCH($A534,_xlfn.VSTACK(YES_Writing_ELA[Student Number],YES_Writing_FLA[Student Number]),0),MATCH(VLOOKUP(F$7,'Writing Logic'!$J$7:$K$11,2,FALSE)&amp;" - Per "&amp;VLOOKUP($C$4,'Writing Logic'!$G$8:$H$14,2,FALSE),YES_Writing_ELA[#Headers],0))=0,"",INDEX(_xlfn.VSTACK(YES_Writing_ELA[#Data],YES_Writing_FLA[#Data]),MATCH($A534,_xlfn.VSTACK(YES_Writing_ELA[Student Number],YES_Writing_FLA[Student Number]),0),MATCH(VLOOKUP(F$7,'Writing Logic'!$J$7:$K$11,2,FALSE)&amp;" - Per "&amp;VLOOKUP($C$4,'Writing Logic'!$G$8:$H$14,2,FALSE),YES_Writing_ELA[#Headers],0)))="INS",'Writing Logic'!$B$7,IF(INDEX(_xlfn.VSTACK(YES_Writing_ELA[#Data],YES_Writing_FLA[#Data]),MATCH($A534,_xlfn.VSTACK(YES_Writing_ELA[Student Number],YES_Writing_FLA[Student Number]),0),MATCH(VLOOKUP(F$7,'Writing Logic'!$J$7:$K$11,2,FALSE)&amp;" - Per "&amp;VLOOKUP($C$4,'Writing Logic'!$G$8:$H$14,2,FALSE),YES_Writing_ELA[#Headers],0))=0,"",INDEX(_xlfn.VSTACK(YES_Writing_ELA[#Data],YES_Writing_FLA[#Data]),MATCH($A534,_xlfn.VSTACK(YES_Writing_ELA[Student Number],YES_Writing_FLA[Student Number]),0),MATCH(VLOOKUP(F$7,'Writing Logic'!$J$7:$K$11,2,FALSE)&amp;" - Per "&amp;VLOOKUP($C$4,'Writing Logic'!$G$8:$H$14,2,FALSE),YES_Writing_ELA[#Headers],0)))),"")</f>
        <v/>
      </c>
      <c r="G534" s="138" t="str">
        <f>IFERROR(IF(IF(INDEX(_xlfn.VSTACK(YES_Writing_ELA[#Data],YES_Writing_FLA[#Data]),MATCH($A534,_xlfn.VSTACK(YES_Writing_ELA[Student Number],YES_Writing_FLA[Student Number]),0),MATCH(VLOOKUP(G$7,'Writing Logic'!$J$7:$K$11,2,FALSE)&amp;" - Per "&amp;VLOOKUP($C$4,'Writing Logic'!$G$8:$H$14,2,FALSE),YES_Writing_ELA[#Headers],0))=0,"",INDEX(_xlfn.VSTACK(YES_Writing_ELA[#Data],YES_Writing_FLA[#Data]),MATCH($A534,_xlfn.VSTACK(YES_Writing_ELA[Student Number],YES_Writing_FLA[Student Number]),0),MATCH(VLOOKUP(G$7,'Writing Logic'!$J$7:$K$11,2,FALSE)&amp;" - Per "&amp;VLOOKUP($C$4,'Writing Logic'!$G$8:$H$14,2,FALSE),YES_Writing_ELA[#Headers],0)))="INS",'Writing Logic'!$B$7,IF(INDEX(_xlfn.VSTACK(YES_Writing_ELA[#Data],YES_Writing_FLA[#Data]),MATCH($A534,_xlfn.VSTACK(YES_Writing_ELA[Student Number],YES_Writing_FLA[Student Number]),0),MATCH(VLOOKUP(G$7,'Writing Logic'!$J$7:$K$11,2,FALSE)&amp;" - Per "&amp;VLOOKUP($C$4,'Writing Logic'!$G$8:$H$14,2,FALSE),YES_Writing_ELA[#Headers],0))=0,"",INDEX(_xlfn.VSTACK(YES_Writing_ELA[#Data],YES_Writing_FLA[#Data]),MATCH($A534,_xlfn.VSTACK(YES_Writing_ELA[Student Number],YES_Writing_FLA[Student Number]),0),MATCH(VLOOKUP(G$7,'Writing Logic'!$J$7:$K$11,2,FALSE)&amp;" - Per "&amp;VLOOKUP($C$4,'Writing Logic'!$G$8:$H$14,2,FALSE),YES_Writing_ELA[#Headers],0)))),"")</f>
        <v/>
      </c>
      <c r="H534" s="223" t="str">
        <f>IFERROR(IF(IF(INDEX(_xlfn.VSTACK(YES_Writing_ELA[#Data],YES_Writing_FLA[#Data]),MATCH($A534,_xlfn.VSTACK(YES_Writing_ELA[Student Number],YES_Writing_FLA[Student Number]),0),MATCH(VLOOKUP(H$7,'Writing Logic'!$J$7:$K$11,2,FALSE)&amp;" - Per "&amp;VLOOKUP($C$4,'Writing Logic'!$G$8:$H$14,2,FALSE),YES_Writing_ELA[#Headers],0))=0,"",INDEX(_xlfn.VSTACK(YES_Writing_ELA[#Data],YES_Writing_FLA[#Data]),MATCH($A534,_xlfn.VSTACK(YES_Writing_ELA[Student Number],YES_Writing_FLA[Student Number]),0),MATCH(VLOOKUP(H$7,'Writing Logic'!$J$7:$K$11,2,FALSE)&amp;" - Per "&amp;VLOOKUP($C$4,'Writing Logic'!$G$8:$H$14,2,FALSE),YES_Writing_ELA[#Headers],0)))="INS",'Writing Logic'!$B$7,IF(INDEX(_xlfn.VSTACK(YES_Writing_ELA[#Data],YES_Writing_FLA[#Data]),MATCH($A534,_xlfn.VSTACK(YES_Writing_ELA[Student Number],YES_Writing_FLA[Student Number]),0),MATCH(VLOOKUP(H$7,'Writing Logic'!$J$7:$K$11,2,FALSE)&amp;" - Per "&amp;VLOOKUP($C$4,'Writing Logic'!$G$8:$H$14,2,FALSE),YES_Writing_ELA[#Headers],0))=0,"",INDEX(_xlfn.VSTACK(YES_Writing_ELA[#Data],YES_Writing_FLA[#Data]),MATCH($A534,_xlfn.VSTACK(YES_Writing_ELA[Student Number],YES_Writing_FLA[Student Number]),0),MATCH(VLOOKUP(H$7,'Writing Logic'!$J$7:$K$11,2,FALSE)&amp;" - Per "&amp;VLOOKUP($C$4,'Writing Logic'!$G$8:$H$14,2,FALSE),YES_Writing_ELA[#Headers],0)))),"")</f>
        <v/>
      </c>
      <c r="I534" s="224" t="str" cm="1">
        <f t="array" aca="1" ref="I534" ca="1">IFERROR(
IF($G$3="ELA",
IF(VLOOKUP($A534, YES_Reading_ELA[], COLUMN(INDIRECT("YES_Reading_ELA[Difference - Per "&amp;VLOOKUP($G$4, 'Reading Report Logic'!$A$2:$B$8, 2, FALSE)&amp;"]")), FALSE)="", "",
VLOOKUP($A534,YES_Reading_ELA[], COLUMN(INDIRECT("YES_Reading_ELA[Difference - Per "&amp;VLOOKUP($G$4,'Reading Report Logic'!$A$2:$B$8,2,FALSE)&amp;"]")), FALSE)),
IF($G$3="FLA",
IF(VLOOKUP($A534, YES_Reading_FLA[], COLUMN(INDIRECT("YES_Reading_FLA[Difference - Per "&amp;VLOOKUP($G$4,'Reading Report Logic'!$A$2:$B$8,2,FALSE)&amp;"]")),FALSE)="","",
VLOOKUP($A534,YES_Reading_FLA[],COLUMN(INDIRECT("YES_Reading_FLA[Difference - Per "&amp;VLOOKUP($G$4,'Reading Report Logic'!$A$2:$B$8,2,FALSE)&amp;"]")),FALSE)),
IF($G$3="Combined",
IFERROR(
IF(VLOOKUP($A534, YES_Reading_ELA[], COLUMN(INDIRECT("YES_Reading_ELA[Difference - Per "&amp;VLOOKUP($G$4, 'Reading Report Logic'!$A$2:$B$8,2,FALSE)&amp;"]")), FALSE)="", "",
VLOOKUP($A534,YES_Reading_ELA[],COLUMN(INDIRECT("YES_Reading_ELA[Difference - Per "&amp;VLOOKUP($G$4,'Reading Report Logic'!$A$2:$B$8,2,FALSE)&amp;"]")),FALSE)),
IF(VLOOKUP($A534, YES_Reading_FLA[], COLUMN(INDIRECT("YES_Reading_FLA[Difference - Per "&amp;VLOOKUP($G$4, 'Reading Report Logic'!$A$2:$B$8, 2, FALSE)&amp;"]")),FALSE)="", "", VLOOKUP($A534,YES_Reading_FLA[],COLUMN(INDIRECT("YES_Reading_FLA[Difference - Per "&amp;VLOOKUP($G$4, 'Reading Report Logic'!$A$2:$B$8, 2, FALSE)&amp;"]")),FALSE))),""))),"")</f>
        <v/>
      </c>
    </row>
    <row r="535" spans="1:9" x14ac:dyDescent="0.25">
      <c r="A535" s="137"/>
      <c r="B535" s="137" t="str">
        <f>IFERROR(INDEX(_xlfn.VSTACK(YES_Writing_ELA[#Data], YES_Writing_FLA[#Data]),MATCH($A535,_xlfn.VSTACK(YES_Writing_ELA[Student Number], YES_Writing_FLA[Student Number]),0),MATCH(B$7,YES_Writing_ELA[#Headers],0)),IFERROR(INDEX(_xlfn.VSTACK(YES_Reading_ELA[#Data], YES_Reading_FLA[#Data]),MATCH($A535,_xlfn.VSTACK(YES_Reading_ELA[Student Number], YES_Reading_FLA[Student Number]),0),MATCH(B$7,YES_Reading_ELA[#Headers],0)),""))</f>
        <v/>
      </c>
      <c r="C535" s="137" t="str">
        <f>IFERROR(INDEX(_xlfn.VSTACK(YES_Writing_ELA[#Data], YES_Writing_FLA[#Data]),MATCH($A535,_xlfn.VSTACK(YES_Writing_ELA[Student Number], YES_Writing_FLA[Student Number]),0),MATCH(C$7,YES_Writing_ELA[#Headers],0)),IFERROR(INDEX(_xlfn.VSTACK(YES_Reading_ELA[#Data], YES_Reading_FLA[#Data]),MATCH($A535,_xlfn.VSTACK(YES_Reading_ELA[Student Number], YES_Reading_FLA[Student Number]),0),MATCH(C$7,YES_Reading_ELA[#Headers],0)),""))</f>
        <v/>
      </c>
      <c r="D535" s="138" t="str">
        <f>IFERROR(IF(IF(INDEX(_xlfn.VSTACK(YES_Writing_ELA[#Data],YES_Writing_FLA[#Data]),MATCH($A535,_xlfn.VSTACK(YES_Writing_ELA[Student Number],YES_Writing_FLA[Student Number]),0),MATCH(VLOOKUP(D$7,'Writing Logic'!$J$7:$K$11,2,FALSE)&amp;" - Per "&amp;VLOOKUP($C$4,'Writing Logic'!$G$8:$H$14,2,FALSE),YES_Writing_ELA[#Headers],0))=0,"",INDEX(_xlfn.VSTACK(YES_Writing_ELA[#Data],YES_Writing_FLA[#Data]),MATCH($A535,_xlfn.VSTACK(YES_Writing_ELA[Student Number],YES_Writing_FLA[Student Number]),0),MATCH(VLOOKUP(D$7,'Writing Logic'!$J$7:$K$11,2,FALSE)&amp;" - Per "&amp;VLOOKUP($C$4,'Writing Logic'!$G$8:$H$14,2,FALSE),YES_Writing_ELA[#Headers],0)))="INS",'Writing Logic'!$B$7,IF(INDEX(_xlfn.VSTACK(YES_Writing_ELA[#Data],YES_Writing_FLA[#Data]),MATCH($A535,_xlfn.VSTACK(YES_Writing_ELA[Student Number],YES_Writing_FLA[Student Number]),0),MATCH(VLOOKUP(D$7,'Writing Logic'!$J$7:$K$11,2,FALSE)&amp;" - Per "&amp;VLOOKUP($C$4,'Writing Logic'!$G$8:$H$14,2,FALSE),YES_Writing_ELA[#Headers],0))=0,"",INDEX(_xlfn.VSTACK(YES_Writing_ELA[#Data],YES_Writing_FLA[#Data]),MATCH($A535,_xlfn.VSTACK(YES_Writing_ELA[Student Number],YES_Writing_FLA[Student Number]),0),MATCH(VLOOKUP(D$7,'Writing Logic'!$J$7:$K$11,2,FALSE)&amp;" - Per "&amp;VLOOKUP($C$4,'Writing Logic'!$G$8:$H$14,2,FALSE),YES_Writing_ELA[#Headers],0)))),"")</f>
        <v/>
      </c>
      <c r="E535" s="138" t="str">
        <f>IFERROR(IF(IF(INDEX(_xlfn.VSTACK(YES_Writing_ELA[#Data],YES_Writing_FLA[#Data]),MATCH($A535,_xlfn.VSTACK(YES_Writing_ELA[Student Number],YES_Writing_FLA[Student Number]),0),MATCH(VLOOKUP(E$7,'Writing Logic'!$J$7:$K$11,2,FALSE)&amp;" - Per "&amp;VLOOKUP($C$4,'Writing Logic'!$G$8:$H$14,2,FALSE),YES_Writing_ELA[#Headers],0))=0,"",INDEX(_xlfn.VSTACK(YES_Writing_ELA[#Data],YES_Writing_FLA[#Data]),MATCH($A535,_xlfn.VSTACK(YES_Writing_ELA[Student Number],YES_Writing_FLA[Student Number]),0),MATCH(VLOOKUP(E$7,'Writing Logic'!$J$7:$K$11,2,FALSE)&amp;" - Per "&amp;VLOOKUP($C$4,'Writing Logic'!$G$8:$H$14,2,FALSE),YES_Writing_ELA[#Headers],0)))="INS",'Writing Logic'!$B$7,IF(INDEX(_xlfn.VSTACK(YES_Writing_ELA[#Data],YES_Writing_FLA[#Data]),MATCH($A535,_xlfn.VSTACK(YES_Writing_ELA[Student Number],YES_Writing_FLA[Student Number]),0),MATCH(VLOOKUP(E$7,'Writing Logic'!$J$7:$K$11,2,FALSE)&amp;" - Per "&amp;VLOOKUP($C$4,'Writing Logic'!$G$8:$H$14,2,FALSE),YES_Writing_ELA[#Headers],0))=0,"",INDEX(_xlfn.VSTACK(YES_Writing_ELA[#Data],YES_Writing_FLA[#Data]),MATCH($A535,_xlfn.VSTACK(YES_Writing_ELA[Student Number],YES_Writing_FLA[Student Number]),0),MATCH(VLOOKUP(E$7,'Writing Logic'!$J$7:$K$11,2,FALSE)&amp;" - Per "&amp;VLOOKUP($C$4,'Writing Logic'!$G$8:$H$14,2,FALSE),YES_Writing_ELA[#Headers],0)))),"")</f>
        <v/>
      </c>
      <c r="F535" s="138" t="str">
        <f>IFERROR(IF(IF(INDEX(_xlfn.VSTACK(YES_Writing_ELA[#Data],YES_Writing_FLA[#Data]),MATCH($A535,_xlfn.VSTACK(YES_Writing_ELA[Student Number],YES_Writing_FLA[Student Number]),0),MATCH(VLOOKUP(F$7,'Writing Logic'!$J$7:$K$11,2,FALSE)&amp;" - Per "&amp;VLOOKUP($C$4,'Writing Logic'!$G$8:$H$14,2,FALSE),YES_Writing_ELA[#Headers],0))=0,"",INDEX(_xlfn.VSTACK(YES_Writing_ELA[#Data],YES_Writing_FLA[#Data]),MATCH($A535,_xlfn.VSTACK(YES_Writing_ELA[Student Number],YES_Writing_FLA[Student Number]),0),MATCH(VLOOKUP(F$7,'Writing Logic'!$J$7:$K$11,2,FALSE)&amp;" - Per "&amp;VLOOKUP($C$4,'Writing Logic'!$G$8:$H$14,2,FALSE),YES_Writing_ELA[#Headers],0)))="INS",'Writing Logic'!$B$7,IF(INDEX(_xlfn.VSTACK(YES_Writing_ELA[#Data],YES_Writing_FLA[#Data]),MATCH($A535,_xlfn.VSTACK(YES_Writing_ELA[Student Number],YES_Writing_FLA[Student Number]),0),MATCH(VLOOKUP(F$7,'Writing Logic'!$J$7:$K$11,2,FALSE)&amp;" - Per "&amp;VLOOKUP($C$4,'Writing Logic'!$G$8:$H$14,2,FALSE),YES_Writing_ELA[#Headers],0))=0,"",INDEX(_xlfn.VSTACK(YES_Writing_ELA[#Data],YES_Writing_FLA[#Data]),MATCH($A535,_xlfn.VSTACK(YES_Writing_ELA[Student Number],YES_Writing_FLA[Student Number]),0),MATCH(VLOOKUP(F$7,'Writing Logic'!$J$7:$K$11,2,FALSE)&amp;" - Per "&amp;VLOOKUP($C$4,'Writing Logic'!$G$8:$H$14,2,FALSE),YES_Writing_ELA[#Headers],0)))),"")</f>
        <v/>
      </c>
      <c r="G535" s="138" t="str">
        <f>IFERROR(IF(IF(INDEX(_xlfn.VSTACK(YES_Writing_ELA[#Data],YES_Writing_FLA[#Data]),MATCH($A535,_xlfn.VSTACK(YES_Writing_ELA[Student Number],YES_Writing_FLA[Student Number]),0),MATCH(VLOOKUP(G$7,'Writing Logic'!$J$7:$K$11,2,FALSE)&amp;" - Per "&amp;VLOOKUP($C$4,'Writing Logic'!$G$8:$H$14,2,FALSE),YES_Writing_ELA[#Headers],0))=0,"",INDEX(_xlfn.VSTACK(YES_Writing_ELA[#Data],YES_Writing_FLA[#Data]),MATCH($A535,_xlfn.VSTACK(YES_Writing_ELA[Student Number],YES_Writing_FLA[Student Number]),0),MATCH(VLOOKUP(G$7,'Writing Logic'!$J$7:$K$11,2,FALSE)&amp;" - Per "&amp;VLOOKUP($C$4,'Writing Logic'!$G$8:$H$14,2,FALSE),YES_Writing_ELA[#Headers],0)))="INS",'Writing Logic'!$B$7,IF(INDEX(_xlfn.VSTACK(YES_Writing_ELA[#Data],YES_Writing_FLA[#Data]),MATCH($A535,_xlfn.VSTACK(YES_Writing_ELA[Student Number],YES_Writing_FLA[Student Number]),0),MATCH(VLOOKUP(G$7,'Writing Logic'!$J$7:$K$11,2,FALSE)&amp;" - Per "&amp;VLOOKUP($C$4,'Writing Logic'!$G$8:$H$14,2,FALSE),YES_Writing_ELA[#Headers],0))=0,"",INDEX(_xlfn.VSTACK(YES_Writing_ELA[#Data],YES_Writing_FLA[#Data]),MATCH($A535,_xlfn.VSTACK(YES_Writing_ELA[Student Number],YES_Writing_FLA[Student Number]),0),MATCH(VLOOKUP(G$7,'Writing Logic'!$J$7:$K$11,2,FALSE)&amp;" - Per "&amp;VLOOKUP($C$4,'Writing Logic'!$G$8:$H$14,2,FALSE),YES_Writing_ELA[#Headers],0)))),"")</f>
        <v/>
      </c>
      <c r="H535" s="223" t="str">
        <f>IFERROR(IF(IF(INDEX(_xlfn.VSTACK(YES_Writing_ELA[#Data],YES_Writing_FLA[#Data]),MATCH($A535,_xlfn.VSTACK(YES_Writing_ELA[Student Number],YES_Writing_FLA[Student Number]),0),MATCH(VLOOKUP(H$7,'Writing Logic'!$J$7:$K$11,2,FALSE)&amp;" - Per "&amp;VLOOKUP($C$4,'Writing Logic'!$G$8:$H$14,2,FALSE),YES_Writing_ELA[#Headers],0))=0,"",INDEX(_xlfn.VSTACK(YES_Writing_ELA[#Data],YES_Writing_FLA[#Data]),MATCH($A535,_xlfn.VSTACK(YES_Writing_ELA[Student Number],YES_Writing_FLA[Student Number]),0),MATCH(VLOOKUP(H$7,'Writing Logic'!$J$7:$K$11,2,FALSE)&amp;" - Per "&amp;VLOOKUP($C$4,'Writing Logic'!$G$8:$H$14,2,FALSE),YES_Writing_ELA[#Headers],0)))="INS",'Writing Logic'!$B$7,IF(INDEX(_xlfn.VSTACK(YES_Writing_ELA[#Data],YES_Writing_FLA[#Data]),MATCH($A535,_xlfn.VSTACK(YES_Writing_ELA[Student Number],YES_Writing_FLA[Student Number]),0),MATCH(VLOOKUP(H$7,'Writing Logic'!$J$7:$K$11,2,FALSE)&amp;" - Per "&amp;VLOOKUP($C$4,'Writing Logic'!$G$8:$H$14,2,FALSE),YES_Writing_ELA[#Headers],0))=0,"",INDEX(_xlfn.VSTACK(YES_Writing_ELA[#Data],YES_Writing_FLA[#Data]),MATCH($A535,_xlfn.VSTACK(YES_Writing_ELA[Student Number],YES_Writing_FLA[Student Number]),0),MATCH(VLOOKUP(H$7,'Writing Logic'!$J$7:$K$11,2,FALSE)&amp;" - Per "&amp;VLOOKUP($C$4,'Writing Logic'!$G$8:$H$14,2,FALSE),YES_Writing_ELA[#Headers],0)))),"")</f>
        <v/>
      </c>
      <c r="I535" s="224" t="str" cm="1">
        <f t="array" aca="1" ref="I535" ca="1">IFERROR(
IF($G$3="ELA",
IF(VLOOKUP($A535, YES_Reading_ELA[], COLUMN(INDIRECT("YES_Reading_ELA[Difference - Per "&amp;VLOOKUP($G$4, 'Reading Report Logic'!$A$2:$B$8, 2, FALSE)&amp;"]")), FALSE)="", "",
VLOOKUP($A535,YES_Reading_ELA[], COLUMN(INDIRECT("YES_Reading_ELA[Difference - Per "&amp;VLOOKUP($G$4,'Reading Report Logic'!$A$2:$B$8,2,FALSE)&amp;"]")), FALSE)),
IF($G$3="FLA",
IF(VLOOKUP($A535, YES_Reading_FLA[], COLUMN(INDIRECT("YES_Reading_FLA[Difference - Per "&amp;VLOOKUP($G$4,'Reading Report Logic'!$A$2:$B$8,2,FALSE)&amp;"]")),FALSE)="","",
VLOOKUP($A535,YES_Reading_FLA[],COLUMN(INDIRECT("YES_Reading_FLA[Difference - Per "&amp;VLOOKUP($G$4,'Reading Report Logic'!$A$2:$B$8,2,FALSE)&amp;"]")),FALSE)),
IF($G$3="Combined",
IFERROR(
IF(VLOOKUP($A535, YES_Reading_ELA[], COLUMN(INDIRECT("YES_Reading_ELA[Difference - Per "&amp;VLOOKUP($G$4, 'Reading Report Logic'!$A$2:$B$8,2,FALSE)&amp;"]")), FALSE)="", "",
VLOOKUP($A535,YES_Reading_ELA[],COLUMN(INDIRECT("YES_Reading_ELA[Difference - Per "&amp;VLOOKUP($G$4,'Reading Report Logic'!$A$2:$B$8,2,FALSE)&amp;"]")),FALSE)),
IF(VLOOKUP($A535, YES_Reading_FLA[], COLUMN(INDIRECT("YES_Reading_FLA[Difference - Per "&amp;VLOOKUP($G$4, 'Reading Report Logic'!$A$2:$B$8, 2, FALSE)&amp;"]")),FALSE)="", "", VLOOKUP($A535,YES_Reading_FLA[],COLUMN(INDIRECT("YES_Reading_FLA[Difference - Per "&amp;VLOOKUP($G$4, 'Reading Report Logic'!$A$2:$B$8, 2, FALSE)&amp;"]")),FALSE))),""))),"")</f>
        <v/>
      </c>
    </row>
    <row r="536" spans="1:9" x14ac:dyDescent="0.25">
      <c r="A536" s="137"/>
      <c r="B536" s="137" t="str">
        <f>IFERROR(INDEX(_xlfn.VSTACK(YES_Writing_ELA[#Data], YES_Writing_FLA[#Data]),MATCH($A536,_xlfn.VSTACK(YES_Writing_ELA[Student Number], YES_Writing_FLA[Student Number]),0),MATCH(B$7,YES_Writing_ELA[#Headers],0)),IFERROR(INDEX(_xlfn.VSTACK(YES_Reading_ELA[#Data], YES_Reading_FLA[#Data]),MATCH($A536,_xlfn.VSTACK(YES_Reading_ELA[Student Number], YES_Reading_FLA[Student Number]),0),MATCH(B$7,YES_Reading_ELA[#Headers],0)),""))</f>
        <v/>
      </c>
      <c r="C536" s="137" t="str">
        <f>IFERROR(INDEX(_xlfn.VSTACK(YES_Writing_ELA[#Data], YES_Writing_FLA[#Data]),MATCH($A536,_xlfn.VSTACK(YES_Writing_ELA[Student Number], YES_Writing_FLA[Student Number]),0),MATCH(C$7,YES_Writing_ELA[#Headers],0)),IFERROR(INDEX(_xlfn.VSTACK(YES_Reading_ELA[#Data], YES_Reading_FLA[#Data]),MATCH($A536,_xlfn.VSTACK(YES_Reading_ELA[Student Number], YES_Reading_FLA[Student Number]),0),MATCH(C$7,YES_Reading_ELA[#Headers],0)),""))</f>
        <v/>
      </c>
      <c r="D536" s="138" t="str">
        <f>IFERROR(IF(IF(INDEX(_xlfn.VSTACK(YES_Writing_ELA[#Data],YES_Writing_FLA[#Data]),MATCH($A536,_xlfn.VSTACK(YES_Writing_ELA[Student Number],YES_Writing_FLA[Student Number]),0),MATCH(VLOOKUP(D$7,'Writing Logic'!$J$7:$K$11,2,FALSE)&amp;" - Per "&amp;VLOOKUP($C$4,'Writing Logic'!$G$8:$H$14,2,FALSE),YES_Writing_ELA[#Headers],0))=0,"",INDEX(_xlfn.VSTACK(YES_Writing_ELA[#Data],YES_Writing_FLA[#Data]),MATCH($A536,_xlfn.VSTACK(YES_Writing_ELA[Student Number],YES_Writing_FLA[Student Number]),0),MATCH(VLOOKUP(D$7,'Writing Logic'!$J$7:$K$11,2,FALSE)&amp;" - Per "&amp;VLOOKUP($C$4,'Writing Logic'!$G$8:$H$14,2,FALSE),YES_Writing_ELA[#Headers],0)))="INS",'Writing Logic'!$B$7,IF(INDEX(_xlfn.VSTACK(YES_Writing_ELA[#Data],YES_Writing_FLA[#Data]),MATCH($A536,_xlfn.VSTACK(YES_Writing_ELA[Student Number],YES_Writing_FLA[Student Number]),0),MATCH(VLOOKUP(D$7,'Writing Logic'!$J$7:$K$11,2,FALSE)&amp;" - Per "&amp;VLOOKUP($C$4,'Writing Logic'!$G$8:$H$14,2,FALSE),YES_Writing_ELA[#Headers],0))=0,"",INDEX(_xlfn.VSTACK(YES_Writing_ELA[#Data],YES_Writing_FLA[#Data]),MATCH($A536,_xlfn.VSTACK(YES_Writing_ELA[Student Number],YES_Writing_FLA[Student Number]),0),MATCH(VLOOKUP(D$7,'Writing Logic'!$J$7:$K$11,2,FALSE)&amp;" - Per "&amp;VLOOKUP($C$4,'Writing Logic'!$G$8:$H$14,2,FALSE),YES_Writing_ELA[#Headers],0)))),"")</f>
        <v/>
      </c>
      <c r="E536" s="138" t="str">
        <f>IFERROR(IF(IF(INDEX(_xlfn.VSTACK(YES_Writing_ELA[#Data],YES_Writing_FLA[#Data]),MATCH($A536,_xlfn.VSTACK(YES_Writing_ELA[Student Number],YES_Writing_FLA[Student Number]),0),MATCH(VLOOKUP(E$7,'Writing Logic'!$J$7:$K$11,2,FALSE)&amp;" - Per "&amp;VLOOKUP($C$4,'Writing Logic'!$G$8:$H$14,2,FALSE),YES_Writing_ELA[#Headers],0))=0,"",INDEX(_xlfn.VSTACK(YES_Writing_ELA[#Data],YES_Writing_FLA[#Data]),MATCH($A536,_xlfn.VSTACK(YES_Writing_ELA[Student Number],YES_Writing_FLA[Student Number]),0),MATCH(VLOOKUP(E$7,'Writing Logic'!$J$7:$K$11,2,FALSE)&amp;" - Per "&amp;VLOOKUP($C$4,'Writing Logic'!$G$8:$H$14,2,FALSE),YES_Writing_ELA[#Headers],0)))="INS",'Writing Logic'!$B$7,IF(INDEX(_xlfn.VSTACK(YES_Writing_ELA[#Data],YES_Writing_FLA[#Data]),MATCH($A536,_xlfn.VSTACK(YES_Writing_ELA[Student Number],YES_Writing_FLA[Student Number]),0),MATCH(VLOOKUP(E$7,'Writing Logic'!$J$7:$K$11,2,FALSE)&amp;" - Per "&amp;VLOOKUP($C$4,'Writing Logic'!$G$8:$H$14,2,FALSE),YES_Writing_ELA[#Headers],0))=0,"",INDEX(_xlfn.VSTACK(YES_Writing_ELA[#Data],YES_Writing_FLA[#Data]),MATCH($A536,_xlfn.VSTACK(YES_Writing_ELA[Student Number],YES_Writing_FLA[Student Number]),0),MATCH(VLOOKUP(E$7,'Writing Logic'!$J$7:$K$11,2,FALSE)&amp;" - Per "&amp;VLOOKUP($C$4,'Writing Logic'!$G$8:$H$14,2,FALSE),YES_Writing_ELA[#Headers],0)))),"")</f>
        <v/>
      </c>
      <c r="F536" s="138" t="str">
        <f>IFERROR(IF(IF(INDEX(_xlfn.VSTACK(YES_Writing_ELA[#Data],YES_Writing_FLA[#Data]),MATCH($A536,_xlfn.VSTACK(YES_Writing_ELA[Student Number],YES_Writing_FLA[Student Number]),0),MATCH(VLOOKUP(F$7,'Writing Logic'!$J$7:$K$11,2,FALSE)&amp;" - Per "&amp;VLOOKUP($C$4,'Writing Logic'!$G$8:$H$14,2,FALSE),YES_Writing_ELA[#Headers],0))=0,"",INDEX(_xlfn.VSTACK(YES_Writing_ELA[#Data],YES_Writing_FLA[#Data]),MATCH($A536,_xlfn.VSTACK(YES_Writing_ELA[Student Number],YES_Writing_FLA[Student Number]),0),MATCH(VLOOKUP(F$7,'Writing Logic'!$J$7:$K$11,2,FALSE)&amp;" - Per "&amp;VLOOKUP($C$4,'Writing Logic'!$G$8:$H$14,2,FALSE),YES_Writing_ELA[#Headers],0)))="INS",'Writing Logic'!$B$7,IF(INDEX(_xlfn.VSTACK(YES_Writing_ELA[#Data],YES_Writing_FLA[#Data]),MATCH($A536,_xlfn.VSTACK(YES_Writing_ELA[Student Number],YES_Writing_FLA[Student Number]),0),MATCH(VLOOKUP(F$7,'Writing Logic'!$J$7:$K$11,2,FALSE)&amp;" - Per "&amp;VLOOKUP($C$4,'Writing Logic'!$G$8:$H$14,2,FALSE),YES_Writing_ELA[#Headers],0))=0,"",INDEX(_xlfn.VSTACK(YES_Writing_ELA[#Data],YES_Writing_FLA[#Data]),MATCH($A536,_xlfn.VSTACK(YES_Writing_ELA[Student Number],YES_Writing_FLA[Student Number]),0),MATCH(VLOOKUP(F$7,'Writing Logic'!$J$7:$K$11,2,FALSE)&amp;" - Per "&amp;VLOOKUP($C$4,'Writing Logic'!$G$8:$H$14,2,FALSE),YES_Writing_ELA[#Headers],0)))),"")</f>
        <v/>
      </c>
      <c r="G536" s="138" t="str">
        <f>IFERROR(IF(IF(INDEX(_xlfn.VSTACK(YES_Writing_ELA[#Data],YES_Writing_FLA[#Data]),MATCH($A536,_xlfn.VSTACK(YES_Writing_ELA[Student Number],YES_Writing_FLA[Student Number]),0),MATCH(VLOOKUP(G$7,'Writing Logic'!$J$7:$K$11,2,FALSE)&amp;" - Per "&amp;VLOOKUP($C$4,'Writing Logic'!$G$8:$H$14,2,FALSE),YES_Writing_ELA[#Headers],0))=0,"",INDEX(_xlfn.VSTACK(YES_Writing_ELA[#Data],YES_Writing_FLA[#Data]),MATCH($A536,_xlfn.VSTACK(YES_Writing_ELA[Student Number],YES_Writing_FLA[Student Number]),0),MATCH(VLOOKUP(G$7,'Writing Logic'!$J$7:$K$11,2,FALSE)&amp;" - Per "&amp;VLOOKUP($C$4,'Writing Logic'!$G$8:$H$14,2,FALSE),YES_Writing_ELA[#Headers],0)))="INS",'Writing Logic'!$B$7,IF(INDEX(_xlfn.VSTACK(YES_Writing_ELA[#Data],YES_Writing_FLA[#Data]),MATCH($A536,_xlfn.VSTACK(YES_Writing_ELA[Student Number],YES_Writing_FLA[Student Number]),0),MATCH(VLOOKUP(G$7,'Writing Logic'!$J$7:$K$11,2,FALSE)&amp;" - Per "&amp;VLOOKUP($C$4,'Writing Logic'!$G$8:$H$14,2,FALSE),YES_Writing_ELA[#Headers],0))=0,"",INDEX(_xlfn.VSTACK(YES_Writing_ELA[#Data],YES_Writing_FLA[#Data]),MATCH($A536,_xlfn.VSTACK(YES_Writing_ELA[Student Number],YES_Writing_FLA[Student Number]),0),MATCH(VLOOKUP(G$7,'Writing Logic'!$J$7:$K$11,2,FALSE)&amp;" - Per "&amp;VLOOKUP($C$4,'Writing Logic'!$G$8:$H$14,2,FALSE),YES_Writing_ELA[#Headers],0)))),"")</f>
        <v/>
      </c>
      <c r="H536" s="223" t="str">
        <f>IFERROR(IF(IF(INDEX(_xlfn.VSTACK(YES_Writing_ELA[#Data],YES_Writing_FLA[#Data]),MATCH($A536,_xlfn.VSTACK(YES_Writing_ELA[Student Number],YES_Writing_FLA[Student Number]),0),MATCH(VLOOKUP(H$7,'Writing Logic'!$J$7:$K$11,2,FALSE)&amp;" - Per "&amp;VLOOKUP($C$4,'Writing Logic'!$G$8:$H$14,2,FALSE),YES_Writing_ELA[#Headers],0))=0,"",INDEX(_xlfn.VSTACK(YES_Writing_ELA[#Data],YES_Writing_FLA[#Data]),MATCH($A536,_xlfn.VSTACK(YES_Writing_ELA[Student Number],YES_Writing_FLA[Student Number]),0),MATCH(VLOOKUP(H$7,'Writing Logic'!$J$7:$K$11,2,FALSE)&amp;" - Per "&amp;VLOOKUP($C$4,'Writing Logic'!$G$8:$H$14,2,FALSE),YES_Writing_ELA[#Headers],0)))="INS",'Writing Logic'!$B$7,IF(INDEX(_xlfn.VSTACK(YES_Writing_ELA[#Data],YES_Writing_FLA[#Data]),MATCH($A536,_xlfn.VSTACK(YES_Writing_ELA[Student Number],YES_Writing_FLA[Student Number]),0),MATCH(VLOOKUP(H$7,'Writing Logic'!$J$7:$K$11,2,FALSE)&amp;" - Per "&amp;VLOOKUP($C$4,'Writing Logic'!$G$8:$H$14,2,FALSE),YES_Writing_ELA[#Headers],0))=0,"",INDEX(_xlfn.VSTACK(YES_Writing_ELA[#Data],YES_Writing_FLA[#Data]),MATCH($A536,_xlfn.VSTACK(YES_Writing_ELA[Student Number],YES_Writing_FLA[Student Number]),0),MATCH(VLOOKUP(H$7,'Writing Logic'!$J$7:$K$11,2,FALSE)&amp;" - Per "&amp;VLOOKUP($C$4,'Writing Logic'!$G$8:$H$14,2,FALSE),YES_Writing_ELA[#Headers],0)))),"")</f>
        <v/>
      </c>
      <c r="I536" s="224" t="str" cm="1">
        <f t="array" aca="1" ref="I536" ca="1">IFERROR(
IF($G$3="ELA",
IF(VLOOKUP($A536, YES_Reading_ELA[], COLUMN(INDIRECT("YES_Reading_ELA[Difference - Per "&amp;VLOOKUP($G$4, 'Reading Report Logic'!$A$2:$B$8, 2, FALSE)&amp;"]")), FALSE)="", "",
VLOOKUP($A536,YES_Reading_ELA[], COLUMN(INDIRECT("YES_Reading_ELA[Difference - Per "&amp;VLOOKUP($G$4,'Reading Report Logic'!$A$2:$B$8,2,FALSE)&amp;"]")), FALSE)),
IF($G$3="FLA",
IF(VLOOKUP($A536, YES_Reading_FLA[], COLUMN(INDIRECT("YES_Reading_FLA[Difference - Per "&amp;VLOOKUP($G$4,'Reading Report Logic'!$A$2:$B$8,2,FALSE)&amp;"]")),FALSE)="","",
VLOOKUP($A536,YES_Reading_FLA[],COLUMN(INDIRECT("YES_Reading_FLA[Difference - Per "&amp;VLOOKUP($G$4,'Reading Report Logic'!$A$2:$B$8,2,FALSE)&amp;"]")),FALSE)),
IF($G$3="Combined",
IFERROR(
IF(VLOOKUP($A536, YES_Reading_ELA[], COLUMN(INDIRECT("YES_Reading_ELA[Difference - Per "&amp;VLOOKUP($G$4, 'Reading Report Logic'!$A$2:$B$8,2,FALSE)&amp;"]")), FALSE)="", "",
VLOOKUP($A536,YES_Reading_ELA[],COLUMN(INDIRECT("YES_Reading_ELA[Difference - Per "&amp;VLOOKUP($G$4,'Reading Report Logic'!$A$2:$B$8,2,FALSE)&amp;"]")),FALSE)),
IF(VLOOKUP($A536, YES_Reading_FLA[], COLUMN(INDIRECT("YES_Reading_FLA[Difference - Per "&amp;VLOOKUP($G$4, 'Reading Report Logic'!$A$2:$B$8, 2, FALSE)&amp;"]")),FALSE)="", "", VLOOKUP($A536,YES_Reading_FLA[],COLUMN(INDIRECT("YES_Reading_FLA[Difference - Per "&amp;VLOOKUP($G$4, 'Reading Report Logic'!$A$2:$B$8, 2, FALSE)&amp;"]")),FALSE))),""))),"")</f>
        <v/>
      </c>
    </row>
    <row r="537" spans="1:9" x14ac:dyDescent="0.25">
      <c r="A537" s="137"/>
      <c r="B537" s="137" t="str">
        <f>IFERROR(INDEX(_xlfn.VSTACK(YES_Writing_ELA[#Data], YES_Writing_FLA[#Data]),MATCH($A537,_xlfn.VSTACK(YES_Writing_ELA[Student Number], YES_Writing_FLA[Student Number]),0),MATCH(B$7,YES_Writing_ELA[#Headers],0)),IFERROR(INDEX(_xlfn.VSTACK(YES_Reading_ELA[#Data], YES_Reading_FLA[#Data]),MATCH($A537,_xlfn.VSTACK(YES_Reading_ELA[Student Number], YES_Reading_FLA[Student Number]),0),MATCH(B$7,YES_Reading_ELA[#Headers],0)),""))</f>
        <v/>
      </c>
      <c r="C537" s="137" t="str">
        <f>IFERROR(INDEX(_xlfn.VSTACK(YES_Writing_ELA[#Data], YES_Writing_FLA[#Data]),MATCH($A537,_xlfn.VSTACK(YES_Writing_ELA[Student Number], YES_Writing_FLA[Student Number]),0),MATCH(C$7,YES_Writing_ELA[#Headers],0)),IFERROR(INDEX(_xlfn.VSTACK(YES_Reading_ELA[#Data], YES_Reading_FLA[#Data]),MATCH($A537,_xlfn.VSTACK(YES_Reading_ELA[Student Number], YES_Reading_FLA[Student Number]),0),MATCH(C$7,YES_Reading_ELA[#Headers],0)),""))</f>
        <v/>
      </c>
      <c r="D537" s="138" t="str">
        <f>IFERROR(IF(IF(INDEX(_xlfn.VSTACK(YES_Writing_ELA[#Data],YES_Writing_FLA[#Data]),MATCH($A537,_xlfn.VSTACK(YES_Writing_ELA[Student Number],YES_Writing_FLA[Student Number]),0),MATCH(VLOOKUP(D$7,'Writing Logic'!$J$7:$K$11,2,FALSE)&amp;" - Per "&amp;VLOOKUP($C$4,'Writing Logic'!$G$8:$H$14,2,FALSE),YES_Writing_ELA[#Headers],0))=0,"",INDEX(_xlfn.VSTACK(YES_Writing_ELA[#Data],YES_Writing_FLA[#Data]),MATCH($A537,_xlfn.VSTACK(YES_Writing_ELA[Student Number],YES_Writing_FLA[Student Number]),0),MATCH(VLOOKUP(D$7,'Writing Logic'!$J$7:$K$11,2,FALSE)&amp;" - Per "&amp;VLOOKUP($C$4,'Writing Logic'!$G$8:$H$14,2,FALSE),YES_Writing_ELA[#Headers],0)))="INS",'Writing Logic'!$B$7,IF(INDEX(_xlfn.VSTACK(YES_Writing_ELA[#Data],YES_Writing_FLA[#Data]),MATCH($A537,_xlfn.VSTACK(YES_Writing_ELA[Student Number],YES_Writing_FLA[Student Number]),0),MATCH(VLOOKUP(D$7,'Writing Logic'!$J$7:$K$11,2,FALSE)&amp;" - Per "&amp;VLOOKUP($C$4,'Writing Logic'!$G$8:$H$14,2,FALSE),YES_Writing_ELA[#Headers],0))=0,"",INDEX(_xlfn.VSTACK(YES_Writing_ELA[#Data],YES_Writing_FLA[#Data]),MATCH($A537,_xlfn.VSTACK(YES_Writing_ELA[Student Number],YES_Writing_FLA[Student Number]),0),MATCH(VLOOKUP(D$7,'Writing Logic'!$J$7:$K$11,2,FALSE)&amp;" - Per "&amp;VLOOKUP($C$4,'Writing Logic'!$G$8:$H$14,2,FALSE),YES_Writing_ELA[#Headers],0)))),"")</f>
        <v/>
      </c>
      <c r="E537" s="138" t="str">
        <f>IFERROR(IF(IF(INDEX(_xlfn.VSTACK(YES_Writing_ELA[#Data],YES_Writing_FLA[#Data]),MATCH($A537,_xlfn.VSTACK(YES_Writing_ELA[Student Number],YES_Writing_FLA[Student Number]),0),MATCH(VLOOKUP(E$7,'Writing Logic'!$J$7:$K$11,2,FALSE)&amp;" - Per "&amp;VLOOKUP($C$4,'Writing Logic'!$G$8:$H$14,2,FALSE),YES_Writing_ELA[#Headers],0))=0,"",INDEX(_xlfn.VSTACK(YES_Writing_ELA[#Data],YES_Writing_FLA[#Data]),MATCH($A537,_xlfn.VSTACK(YES_Writing_ELA[Student Number],YES_Writing_FLA[Student Number]),0),MATCH(VLOOKUP(E$7,'Writing Logic'!$J$7:$K$11,2,FALSE)&amp;" - Per "&amp;VLOOKUP($C$4,'Writing Logic'!$G$8:$H$14,2,FALSE),YES_Writing_ELA[#Headers],0)))="INS",'Writing Logic'!$B$7,IF(INDEX(_xlfn.VSTACK(YES_Writing_ELA[#Data],YES_Writing_FLA[#Data]),MATCH($A537,_xlfn.VSTACK(YES_Writing_ELA[Student Number],YES_Writing_FLA[Student Number]),0),MATCH(VLOOKUP(E$7,'Writing Logic'!$J$7:$K$11,2,FALSE)&amp;" - Per "&amp;VLOOKUP($C$4,'Writing Logic'!$G$8:$H$14,2,FALSE),YES_Writing_ELA[#Headers],0))=0,"",INDEX(_xlfn.VSTACK(YES_Writing_ELA[#Data],YES_Writing_FLA[#Data]),MATCH($A537,_xlfn.VSTACK(YES_Writing_ELA[Student Number],YES_Writing_FLA[Student Number]),0),MATCH(VLOOKUP(E$7,'Writing Logic'!$J$7:$K$11,2,FALSE)&amp;" - Per "&amp;VLOOKUP($C$4,'Writing Logic'!$G$8:$H$14,2,FALSE),YES_Writing_ELA[#Headers],0)))),"")</f>
        <v/>
      </c>
      <c r="F537" s="138" t="str">
        <f>IFERROR(IF(IF(INDEX(_xlfn.VSTACK(YES_Writing_ELA[#Data],YES_Writing_FLA[#Data]),MATCH($A537,_xlfn.VSTACK(YES_Writing_ELA[Student Number],YES_Writing_FLA[Student Number]),0),MATCH(VLOOKUP(F$7,'Writing Logic'!$J$7:$K$11,2,FALSE)&amp;" - Per "&amp;VLOOKUP($C$4,'Writing Logic'!$G$8:$H$14,2,FALSE),YES_Writing_ELA[#Headers],0))=0,"",INDEX(_xlfn.VSTACK(YES_Writing_ELA[#Data],YES_Writing_FLA[#Data]),MATCH($A537,_xlfn.VSTACK(YES_Writing_ELA[Student Number],YES_Writing_FLA[Student Number]),0),MATCH(VLOOKUP(F$7,'Writing Logic'!$J$7:$K$11,2,FALSE)&amp;" - Per "&amp;VLOOKUP($C$4,'Writing Logic'!$G$8:$H$14,2,FALSE),YES_Writing_ELA[#Headers],0)))="INS",'Writing Logic'!$B$7,IF(INDEX(_xlfn.VSTACK(YES_Writing_ELA[#Data],YES_Writing_FLA[#Data]),MATCH($A537,_xlfn.VSTACK(YES_Writing_ELA[Student Number],YES_Writing_FLA[Student Number]),0),MATCH(VLOOKUP(F$7,'Writing Logic'!$J$7:$K$11,2,FALSE)&amp;" - Per "&amp;VLOOKUP($C$4,'Writing Logic'!$G$8:$H$14,2,FALSE),YES_Writing_ELA[#Headers],0))=0,"",INDEX(_xlfn.VSTACK(YES_Writing_ELA[#Data],YES_Writing_FLA[#Data]),MATCH($A537,_xlfn.VSTACK(YES_Writing_ELA[Student Number],YES_Writing_FLA[Student Number]),0),MATCH(VLOOKUP(F$7,'Writing Logic'!$J$7:$K$11,2,FALSE)&amp;" - Per "&amp;VLOOKUP($C$4,'Writing Logic'!$G$8:$H$14,2,FALSE),YES_Writing_ELA[#Headers],0)))),"")</f>
        <v/>
      </c>
      <c r="G537" s="138" t="str">
        <f>IFERROR(IF(IF(INDEX(_xlfn.VSTACK(YES_Writing_ELA[#Data],YES_Writing_FLA[#Data]),MATCH($A537,_xlfn.VSTACK(YES_Writing_ELA[Student Number],YES_Writing_FLA[Student Number]),0),MATCH(VLOOKUP(G$7,'Writing Logic'!$J$7:$K$11,2,FALSE)&amp;" - Per "&amp;VLOOKUP($C$4,'Writing Logic'!$G$8:$H$14,2,FALSE),YES_Writing_ELA[#Headers],0))=0,"",INDEX(_xlfn.VSTACK(YES_Writing_ELA[#Data],YES_Writing_FLA[#Data]),MATCH($A537,_xlfn.VSTACK(YES_Writing_ELA[Student Number],YES_Writing_FLA[Student Number]),0),MATCH(VLOOKUP(G$7,'Writing Logic'!$J$7:$K$11,2,FALSE)&amp;" - Per "&amp;VLOOKUP($C$4,'Writing Logic'!$G$8:$H$14,2,FALSE),YES_Writing_ELA[#Headers],0)))="INS",'Writing Logic'!$B$7,IF(INDEX(_xlfn.VSTACK(YES_Writing_ELA[#Data],YES_Writing_FLA[#Data]),MATCH($A537,_xlfn.VSTACK(YES_Writing_ELA[Student Number],YES_Writing_FLA[Student Number]),0),MATCH(VLOOKUP(G$7,'Writing Logic'!$J$7:$K$11,2,FALSE)&amp;" - Per "&amp;VLOOKUP($C$4,'Writing Logic'!$G$8:$H$14,2,FALSE),YES_Writing_ELA[#Headers],0))=0,"",INDEX(_xlfn.VSTACK(YES_Writing_ELA[#Data],YES_Writing_FLA[#Data]),MATCH($A537,_xlfn.VSTACK(YES_Writing_ELA[Student Number],YES_Writing_FLA[Student Number]),0),MATCH(VLOOKUP(G$7,'Writing Logic'!$J$7:$K$11,2,FALSE)&amp;" - Per "&amp;VLOOKUP($C$4,'Writing Logic'!$G$8:$H$14,2,FALSE),YES_Writing_ELA[#Headers],0)))),"")</f>
        <v/>
      </c>
      <c r="H537" s="223" t="str">
        <f>IFERROR(IF(IF(INDEX(_xlfn.VSTACK(YES_Writing_ELA[#Data],YES_Writing_FLA[#Data]),MATCH($A537,_xlfn.VSTACK(YES_Writing_ELA[Student Number],YES_Writing_FLA[Student Number]),0),MATCH(VLOOKUP(H$7,'Writing Logic'!$J$7:$K$11,2,FALSE)&amp;" - Per "&amp;VLOOKUP($C$4,'Writing Logic'!$G$8:$H$14,2,FALSE),YES_Writing_ELA[#Headers],0))=0,"",INDEX(_xlfn.VSTACK(YES_Writing_ELA[#Data],YES_Writing_FLA[#Data]),MATCH($A537,_xlfn.VSTACK(YES_Writing_ELA[Student Number],YES_Writing_FLA[Student Number]),0),MATCH(VLOOKUP(H$7,'Writing Logic'!$J$7:$K$11,2,FALSE)&amp;" - Per "&amp;VLOOKUP($C$4,'Writing Logic'!$G$8:$H$14,2,FALSE),YES_Writing_ELA[#Headers],0)))="INS",'Writing Logic'!$B$7,IF(INDEX(_xlfn.VSTACK(YES_Writing_ELA[#Data],YES_Writing_FLA[#Data]),MATCH($A537,_xlfn.VSTACK(YES_Writing_ELA[Student Number],YES_Writing_FLA[Student Number]),0),MATCH(VLOOKUP(H$7,'Writing Logic'!$J$7:$K$11,2,FALSE)&amp;" - Per "&amp;VLOOKUP($C$4,'Writing Logic'!$G$8:$H$14,2,FALSE),YES_Writing_ELA[#Headers],0))=0,"",INDEX(_xlfn.VSTACK(YES_Writing_ELA[#Data],YES_Writing_FLA[#Data]),MATCH($A537,_xlfn.VSTACK(YES_Writing_ELA[Student Number],YES_Writing_FLA[Student Number]),0),MATCH(VLOOKUP(H$7,'Writing Logic'!$J$7:$K$11,2,FALSE)&amp;" - Per "&amp;VLOOKUP($C$4,'Writing Logic'!$G$8:$H$14,2,FALSE),YES_Writing_ELA[#Headers],0)))),"")</f>
        <v/>
      </c>
      <c r="I537" s="224" t="str" cm="1">
        <f t="array" aca="1" ref="I537" ca="1">IFERROR(
IF($G$3="ELA",
IF(VLOOKUP($A537, YES_Reading_ELA[], COLUMN(INDIRECT("YES_Reading_ELA[Difference - Per "&amp;VLOOKUP($G$4, 'Reading Report Logic'!$A$2:$B$8, 2, FALSE)&amp;"]")), FALSE)="", "",
VLOOKUP($A537,YES_Reading_ELA[], COLUMN(INDIRECT("YES_Reading_ELA[Difference - Per "&amp;VLOOKUP($G$4,'Reading Report Logic'!$A$2:$B$8,2,FALSE)&amp;"]")), FALSE)),
IF($G$3="FLA",
IF(VLOOKUP($A537, YES_Reading_FLA[], COLUMN(INDIRECT("YES_Reading_FLA[Difference - Per "&amp;VLOOKUP($G$4,'Reading Report Logic'!$A$2:$B$8,2,FALSE)&amp;"]")),FALSE)="","",
VLOOKUP($A537,YES_Reading_FLA[],COLUMN(INDIRECT("YES_Reading_FLA[Difference - Per "&amp;VLOOKUP($G$4,'Reading Report Logic'!$A$2:$B$8,2,FALSE)&amp;"]")),FALSE)),
IF($G$3="Combined",
IFERROR(
IF(VLOOKUP($A537, YES_Reading_ELA[], COLUMN(INDIRECT("YES_Reading_ELA[Difference - Per "&amp;VLOOKUP($G$4, 'Reading Report Logic'!$A$2:$B$8,2,FALSE)&amp;"]")), FALSE)="", "",
VLOOKUP($A537,YES_Reading_ELA[],COLUMN(INDIRECT("YES_Reading_ELA[Difference - Per "&amp;VLOOKUP($G$4,'Reading Report Logic'!$A$2:$B$8,2,FALSE)&amp;"]")),FALSE)),
IF(VLOOKUP($A537, YES_Reading_FLA[], COLUMN(INDIRECT("YES_Reading_FLA[Difference - Per "&amp;VLOOKUP($G$4, 'Reading Report Logic'!$A$2:$B$8, 2, FALSE)&amp;"]")),FALSE)="", "", VLOOKUP($A537,YES_Reading_FLA[],COLUMN(INDIRECT("YES_Reading_FLA[Difference - Per "&amp;VLOOKUP($G$4, 'Reading Report Logic'!$A$2:$B$8, 2, FALSE)&amp;"]")),FALSE))),""))),"")</f>
        <v/>
      </c>
    </row>
    <row r="538" spans="1:9" x14ac:dyDescent="0.25">
      <c r="A538" s="137"/>
      <c r="B538" s="137" t="str">
        <f>IFERROR(INDEX(_xlfn.VSTACK(YES_Writing_ELA[#Data], YES_Writing_FLA[#Data]),MATCH($A538,_xlfn.VSTACK(YES_Writing_ELA[Student Number], YES_Writing_FLA[Student Number]),0),MATCH(B$7,YES_Writing_ELA[#Headers],0)),IFERROR(INDEX(_xlfn.VSTACK(YES_Reading_ELA[#Data], YES_Reading_FLA[#Data]),MATCH($A538,_xlfn.VSTACK(YES_Reading_ELA[Student Number], YES_Reading_FLA[Student Number]),0),MATCH(B$7,YES_Reading_ELA[#Headers],0)),""))</f>
        <v/>
      </c>
      <c r="C538" s="137" t="str">
        <f>IFERROR(INDEX(_xlfn.VSTACK(YES_Writing_ELA[#Data], YES_Writing_FLA[#Data]),MATCH($A538,_xlfn.VSTACK(YES_Writing_ELA[Student Number], YES_Writing_FLA[Student Number]),0),MATCH(C$7,YES_Writing_ELA[#Headers],0)),IFERROR(INDEX(_xlfn.VSTACK(YES_Reading_ELA[#Data], YES_Reading_FLA[#Data]),MATCH($A538,_xlfn.VSTACK(YES_Reading_ELA[Student Number], YES_Reading_FLA[Student Number]),0),MATCH(C$7,YES_Reading_ELA[#Headers],0)),""))</f>
        <v/>
      </c>
      <c r="D538" s="138" t="str">
        <f>IFERROR(IF(IF(INDEX(_xlfn.VSTACK(YES_Writing_ELA[#Data],YES_Writing_FLA[#Data]),MATCH($A538,_xlfn.VSTACK(YES_Writing_ELA[Student Number],YES_Writing_FLA[Student Number]),0),MATCH(VLOOKUP(D$7,'Writing Logic'!$J$7:$K$11,2,FALSE)&amp;" - Per "&amp;VLOOKUP($C$4,'Writing Logic'!$G$8:$H$14,2,FALSE),YES_Writing_ELA[#Headers],0))=0,"",INDEX(_xlfn.VSTACK(YES_Writing_ELA[#Data],YES_Writing_FLA[#Data]),MATCH($A538,_xlfn.VSTACK(YES_Writing_ELA[Student Number],YES_Writing_FLA[Student Number]),0),MATCH(VLOOKUP(D$7,'Writing Logic'!$J$7:$K$11,2,FALSE)&amp;" - Per "&amp;VLOOKUP($C$4,'Writing Logic'!$G$8:$H$14,2,FALSE),YES_Writing_ELA[#Headers],0)))="INS",'Writing Logic'!$B$7,IF(INDEX(_xlfn.VSTACK(YES_Writing_ELA[#Data],YES_Writing_FLA[#Data]),MATCH($A538,_xlfn.VSTACK(YES_Writing_ELA[Student Number],YES_Writing_FLA[Student Number]),0),MATCH(VLOOKUP(D$7,'Writing Logic'!$J$7:$K$11,2,FALSE)&amp;" - Per "&amp;VLOOKUP($C$4,'Writing Logic'!$G$8:$H$14,2,FALSE),YES_Writing_ELA[#Headers],0))=0,"",INDEX(_xlfn.VSTACK(YES_Writing_ELA[#Data],YES_Writing_FLA[#Data]),MATCH($A538,_xlfn.VSTACK(YES_Writing_ELA[Student Number],YES_Writing_FLA[Student Number]),0),MATCH(VLOOKUP(D$7,'Writing Logic'!$J$7:$K$11,2,FALSE)&amp;" - Per "&amp;VLOOKUP($C$4,'Writing Logic'!$G$8:$H$14,2,FALSE),YES_Writing_ELA[#Headers],0)))),"")</f>
        <v/>
      </c>
      <c r="E538" s="138" t="str">
        <f>IFERROR(IF(IF(INDEX(_xlfn.VSTACK(YES_Writing_ELA[#Data],YES_Writing_FLA[#Data]),MATCH($A538,_xlfn.VSTACK(YES_Writing_ELA[Student Number],YES_Writing_FLA[Student Number]),0),MATCH(VLOOKUP(E$7,'Writing Logic'!$J$7:$K$11,2,FALSE)&amp;" - Per "&amp;VLOOKUP($C$4,'Writing Logic'!$G$8:$H$14,2,FALSE),YES_Writing_ELA[#Headers],0))=0,"",INDEX(_xlfn.VSTACK(YES_Writing_ELA[#Data],YES_Writing_FLA[#Data]),MATCH($A538,_xlfn.VSTACK(YES_Writing_ELA[Student Number],YES_Writing_FLA[Student Number]),0),MATCH(VLOOKUP(E$7,'Writing Logic'!$J$7:$K$11,2,FALSE)&amp;" - Per "&amp;VLOOKUP($C$4,'Writing Logic'!$G$8:$H$14,2,FALSE),YES_Writing_ELA[#Headers],0)))="INS",'Writing Logic'!$B$7,IF(INDEX(_xlfn.VSTACK(YES_Writing_ELA[#Data],YES_Writing_FLA[#Data]),MATCH($A538,_xlfn.VSTACK(YES_Writing_ELA[Student Number],YES_Writing_FLA[Student Number]),0),MATCH(VLOOKUP(E$7,'Writing Logic'!$J$7:$K$11,2,FALSE)&amp;" - Per "&amp;VLOOKUP($C$4,'Writing Logic'!$G$8:$H$14,2,FALSE),YES_Writing_ELA[#Headers],0))=0,"",INDEX(_xlfn.VSTACK(YES_Writing_ELA[#Data],YES_Writing_FLA[#Data]),MATCH($A538,_xlfn.VSTACK(YES_Writing_ELA[Student Number],YES_Writing_FLA[Student Number]),0),MATCH(VLOOKUP(E$7,'Writing Logic'!$J$7:$K$11,2,FALSE)&amp;" - Per "&amp;VLOOKUP($C$4,'Writing Logic'!$G$8:$H$14,2,FALSE),YES_Writing_ELA[#Headers],0)))),"")</f>
        <v/>
      </c>
      <c r="F538" s="138" t="str">
        <f>IFERROR(IF(IF(INDEX(_xlfn.VSTACK(YES_Writing_ELA[#Data],YES_Writing_FLA[#Data]),MATCH($A538,_xlfn.VSTACK(YES_Writing_ELA[Student Number],YES_Writing_FLA[Student Number]),0),MATCH(VLOOKUP(F$7,'Writing Logic'!$J$7:$K$11,2,FALSE)&amp;" - Per "&amp;VLOOKUP($C$4,'Writing Logic'!$G$8:$H$14,2,FALSE),YES_Writing_ELA[#Headers],0))=0,"",INDEX(_xlfn.VSTACK(YES_Writing_ELA[#Data],YES_Writing_FLA[#Data]),MATCH($A538,_xlfn.VSTACK(YES_Writing_ELA[Student Number],YES_Writing_FLA[Student Number]),0),MATCH(VLOOKUP(F$7,'Writing Logic'!$J$7:$K$11,2,FALSE)&amp;" - Per "&amp;VLOOKUP($C$4,'Writing Logic'!$G$8:$H$14,2,FALSE),YES_Writing_ELA[#Headers],0)))="INS",'Writing Logic'!$B$7,IF(INDEX(_xlfn.VSTACK(YES_Writing_ELA[#Data],YES_Writing_FLA[#Data]),MATCH($A538,_xlfn.VSTACK(YES_Writing_ELA[Student Number],YES_Writing_FLA[Student Number]),0),MATCH(VLOOKUP(F$7,'Writing Logic'!$J$7:$K$11,2,FALSE)&amp;" - Per "&amp;VLOOKUP($C$4,'Writing Logic'!$G$8:$H$14,2,FALSE),YES_Writing_ELA[#Headers],0))=0,"",INDEX(_xlfn.VSTACK(YES_Writing_ELA[#Data],YES_Writing_FLA[#Data]),MATCH($A538,_xlfn.VSTACK(YES_Writing_ELA[Student Number],YES_Writing_FLA[Student Number]),0),MATCH(VLOOKUP(F$7,'Writing Logic'!$J$7:$K$11,2,FALSE)&amp;" - Per "&amp;VLOOKUP($C$4,'Writing Logic'!$G$8:$H$14,2,FALSE),YES_Writing_ELA[#Headers],0)))),"")</f>
        <v/>
      </c>
      <c r="G538" s="138" t="str">
        <f>IFERROR(IF(IF(INDEX(_xlfn.VSTACK(YES_Writing_ELA[#Data],YES_Writing_FLA[#Data]),MATCH($A538,_xlfn.VSTACK(YES_Writing_ELA[Student Number],YES_Writing_FLA[Student Number]),0),MATCH(VLOOKUP(G$7,'Writing Logic'!$J$7:$K$11,2,FALSE)&amp;" - Per "&amp;VLOOKUP($C$4,'Writing Logic'!$G$8:$H$14,2,FALSE),YES_Writing_ELA[#Headers],0))=0,"",INDEX(_xlfn.VSTACK(YES_Writing_ELA[#Data],YES_Writing_FLA[#Data]),MATCH($A538,_xlfn.VSTACK(YES_Writing_ELA[Student Number],YES_Writing_FLA[Student Number]),0),MATCH(VLOOKUP(G$7,'Writing Logic'!$J$7:$K$11,2,FALSE)&amp;" - Per "&amp;VLOOKUP($C$4,'Writing Logic'!$G$8:$H$14,2,FALSE),YES_Writing_ELA[#Headers],0)))="INS",'Writing Logic'!$B$7,IF(INDEX(_xlfn.VSTACK(YES_Writing_ELA[#Data],YES_Writing_FLA[#Data]),MATCH($A538,_xlfn.VSTACK(YES_Writing_ELA[Student Number],YES_Writing_FLA[Student Number]),0),MATCH(VLOOKUP(G$7,'Writing Logic'!$J$7:$K$11,2,FALSE)&amp;" - Per "&amp;VLOOKUP($C$4,'Writing Logic'!$G$8:$H$14,2,FALSE),YES_Writing_ELA[#Headers],0))=0,"",INDEX(_xlfn.VSTACK(YES_Writing_ELA[#Data],YES_Writing_FLA[#Data]),MATCH($A538,_xlfn.VSTACK(YES_Writing_ELA[Student Number],YES_Writing_FLA[Student Number]),0),MATCH(VLOOKUP(G$7,'Writing Logic'!$J$7:$K$11,2,FALSE)&amp;" - Per "&amp;VLOOKUP($C$4,'Writing Logic'!$G$8:$H$14,2,FALSE),YES_Writing_ELA[#Headers],0)))),"")</f>
        <v/>
      </c>
      <c r="H538" s="223" t="str">
        <f>IFERROR(IF(IF(INDEX(_xlfn.VSTACK(YES_Writing_ELA[#Data],YES_Writing_FLA[#Data]),MATCH($A538,_xlfn.VSTACK(YES_Writing_ELA[Student Number],YES_Writing_FLA[Student Number]),0),MATCH(VLOOKUP(H$7,'Writing Logic'!$J$7:$K$11,2,FALSE)&amp;" - Per "&amp;VLOOKUP($C$4,'Writing Logic'!$G$8:$H$14,2,FALSE),YES_Writing_ELA[#Headers],0))=0,"",INDEX(_xlfn.VSTACK(YES_Writing_ELA[#Data],YES_Writing_FLA[#Data]),MATCH($A538,_xlfn.VSTACK(YES_Writing_ELA[Student Number],YES_Writing_FLA[Student Number]),0),MATCH(VLOOKUP(H$7,'Writing Logic'!$J$7:$K$11,2,FALSE)&amp;" - Per "&amp;VLOOKUP($C$4,'Writing Logic'!$G$8:$H$14,2,FALSE),YES_Writing_ELA[#Headers],0)))="INS",'Writing Logic'!$B$7,IF(INDEX(_xlfn.VSTACK(YES_Writing_ELA[#Data],YES_Writing_FLA[#Data]),MATCH($A538,_xlfn.VSTACK(YES_Writing_ELA[Student Number],YES_Writing_FLA[Student Number]),0),MATCH(VLOOKUP(H$7,'Writing Logic'!$J$7:$K$11,2,FALSE)&amp;" - Per "&amp;VLOOKUP($C$4,'Writing Logic'!$G$8:$H$14,2,FALSE),YES_Writing_ELA[#Headers],0))=0,"",INDEX(_xlfn.VSTACK(YES_Writing_ELA[#Data],YES_Writing_FLA[#Data]),MATCH($A538,_xlfn.VSTACK(YES_Writing_ELA[Student Number],YES_Writing_FLA[Student Number]),0),MATCH(VLOOKUP(H$7,'Writing Logic'!$J$7:$K$11,2,FALSE)&amp;" - Per "&amp;VLOOKUP($C$4,'Writing Logic'!$G$8:$H$14,2,FALSE),YES_Writing_ELA[#Headers],0)))),"")</f>
        <v/>
      </c>
      <c r="I538" s="224" t="str" cm="1">
        <f t="array" aca="1" ref="I538" ca="1">IFERROR(
IF($G$3="ELA",
IF(VLOOKUP($A538, YES_Reading_ELA[], COLUMN(INDIRECT("YES_Reading_ELA[Difference - Per "&amp;VLOOKUP($G$4, 'Reading Report Logic'!$A$2:$B$8, 2, FALSE)&amp;"]")), FALSE)="", "",
VLOOKUP($A538,YES_Reading_ELA[], COLUMN(INDIRECT("YES_Reading_ELA[Difference - Per "&amp;VLOOKUP($G$4,'Reading Report Logic'!$A$2:$B$8,2,FALSE)&amp;"]")), FALSE)),
IF($G$3="FLA",
IF(VLOOKUP($A538, YES_Reading_FLA[], COLUMN(INDIRECT("YES_Reading_FLA[Difference - Per "&amp;VLOOKUP($G$4,'Reading Report Logic'!$A$2:$B$8,2,FALSE)&amp;"]")),FALSE)="","",
VLOOKUP($A538,YES_Reading_FLA[],COLUMN(INDIRECT("YES_Reading_FLA[Difference - Per "&amp;VLOOKUP($G$4,'Reading Report Logic'!$A$2:$B$8,2,FALSE)&amp;"]")),FALSE)),
IF($G$3="Combined",
IFERROR(
IF(VLOOKUP($A538, YES_Reading_ELA[], COLUMN(INDIRECT("YES_Reading_ELA[Difference - Per "&amp;VLOOKUP($G$4, 'Reading Report Logic'!$A$2:$B$8,2,FALSE)&amp;"]")), FALSE)="", "",
VLOOKUP($A538,YES_Reading_ELA[],COLUMN(INDIRECT("YES_Reading_ELA[Difference - Per "&amp;VLOOKUP($G$4,'Reading Report Logic'!$A$2:$B$8,2,FALSE)&amp;"]")),FALSE)),
IF(VLOOKUP($A538, YES_Reading_FLA[], COLUMN(INDIRECT("YES_Reading_FLA[Difference - Per "&amp;VLOOKUP($G$4, 'Reading Report Logic'!$A$2:$B$8, 2, FALSE)&amp;"]")),FALSE)="", "", VLOOKUP($A538,YES_Reading_FLA[],COLUMN(INDIRECT("YES_Reading_FLA[Difference - Per "&amp;VLOOKUP($G$4, 'Reading Report Logic'!$A$2:$B$8, 2, FALSE)&amp;"]")),FALSE))),""))),"")</f>
        <v/>
      </c>
    </row>
    <row r="539" spans="1:9" x14ac:dyDescent="0.25">
      <c r="A539" s="137"/>
      <c r="B539" s="137" t="str">
        <f>IFERROR(INDEX(_xlfn.VSTACK(YES_Writing_ELA[#Data], YES_Writing_FLA[#Data]),MATCH($A539,_xlfn.VSTACK(YES_Writing_ELA[Student Number], YES_Writing_FLA[Student Number]),0),MATCH(B$7,YES_Writing_ELA[#Headers],0)),IFERROR(INDEX(_xlfn.VSTACK(YES_Reading_ELA[#Data], YES_Reading_FLA[#Data]),MATCH($A539,_xlfn.VSTACK(YES_Reading_ELA[Student Number], YES_Reading_FLA[Student Number]),0),MATCH(B$7,YES_Reading_ELA[#Headers],0)),""))</f>
        <v/>
      </c>
      <c r="C539" s="137" t="str">
        <f>IFERROR(INDEX(_xlfn.VSTACK(YES_Writing_ELA[#Data], YES_Writing_FLA[#Data]),MATCH($A539,_xlfn.VSTACK(YES_Writing_ELA[Student Number], YES_Writing_FLA[Student Number]),0),MATCH(C$7,YES_Writing_ELA[#Headers],0)),IFERROR(INDEX(_xlfn.VSTACK(YES_Reading_ELA[#Data], YES_Reading_FLA[#Data]),MATCH($A539,_xlfn.VSTACK(YES_Reading_ELA[Student Number], YES_Reading_FLA[Student Number]),0),MATCH(C$7,YES_Reading_ELA[#Headers],0)),""))</f>
        <v/>
      </c>
      <c r="D539" s="138" t="str">
        <f>IFERROR(IF(IF(INDEX(_xlfn.VSTACK(YES_Writing_ELA[#Data],YES_Writing_FLA[#Data]),MATCH($A539,_xlfn.VSTACK(YES_Writing_ELA[Student Number],YES_Writing_FLA[Student Number]),0),MATCH(VLOOKUP(D$7,'Writing Logic'!$J$7:$K$11,2,FALSE)&amp;" - Per "&amp;VLOOKUP($C$4,'Writing Logic'!$G$8:$H$14,2,FALSE),YES_Writing_ELA[#Headers],0))=0,"",INDEX(_xlfn.VSTACK(YES_Writing_ELA[#Data],YES_Writing_FLA[#Data]),MATCH($A539,_xlfn.VSTACK(YES_Writing_ELA[Student Number],YES_Writing_FLA[Student Number]),0),MATCH(VLOOKUP(D$7,'Writing Logic'!$J$7:$K$11,2,FALSE)&amp;" - Per "&amp;VLOOKUP($C$4,'Writing Logic'!$G$8:$H$14,2,FALSE),YES_Writing_ELA[#Headers],0)))="INS",'Writing Logic'!$B$7,IF(INDEX(_xlfn.VSTACK(YES_Writing_ELA[#Data],YES_Writing_FLA[#Data]),MATCH($A539,_xlfn.VSTACK(YES_Writing_ELA[Student Number],YES_Writing_FLA[Student Number]),0),MATCH(VLOOKUP(D$7,'Writing Logic'!$J$7:$K$11,2,FALSE)&amp;" - Per "&amp;VLOOKUP($C$4,'Writing Logic'!$G$8:$H$14,2,FALSE),YES_Writing_ELA[#Headers],0))=0,"",INDEX(_xlfn.VSTACK(YES_Writing_ELA[#Data],YES_Writing_FLA[#Data]),MATCH($A539,_xlfn.VSTACK(YES_Writing_ELA[Student Number],YES_Writing_FLA[Student Number]),0),MATCH(VLOOKUP(D$7,'Writing Logic'!$J$7:$K$11,2,FALSE)&amp;" - Per "&amp;VLOOKUP($C$4,'Writing Logic'!$G$8:$H$14,2,FALSE),YES_Writing_ELA[#Headers],0)))),"")</f>
        <v/>
      </c>
      <c r="E539" s="138" t="str">
        <f>IFERROR(IF(IF(INDEX(_xlfn.VSTACK(YES_Writing_ELA[#Data],YES_Writing_FLA[#Data]),MATCH($A539,_xlfn.VSTACK(YES_Writing_ELA[Student Number],YES_Writing_FLA[Student Number]),0),MATCH(VLOOKUP(E$7,'Writing Logic'!$J$7:$K$11,2,FALSE)&amp;" - Per "&amp;VLOOKUP($C$4,'Writing Logic'!$G$8:$H$14,2,FALSE),YES_Writing_ELA[#Headers],0))=0,"",INDEX(_xlfn.VSTACK(YES_Writing_ELA[#Data],YES_Writing_FLA[#Data]),MATCH($A539,_xlfn.VSTACK(YES_Writing_ELA[Student Number],YES_Writing_FLA[Student Number]),0),MATCH(VLOOKUP(E$7,'Writing Logic'!$J$7:$K$11,2,FALSE)&amp;" - Per "&amp;VLOOKUP($C$4,'Writing Logic'!$G$8:$H$14,2,FALSE),YES_Writing_ELA[#Headers],0)))="INS",'Writing Logic'!$B$7,IF(INDEX(_xlfn.VSTACK(YES_Writing_ELA[#Data],YES_Writing_FLA[#Data]),MATCH($A539,_xlfn.VSTACK(YES_Writing_ELA[Student Number],YES_Writing_FLA[Student Number]),0),MATCH(VLOOKUP(E$7,'Writing Logic'!$J$7:$K$11,2,FALSE)&amp;" - Per "&amp;VLOOKUP($C$4,'Writing Logic'!$G$8:$H$14,2,FALSE),YES_Writing_ELA[#Headers],0))=0,"",INDEX(_xlfn.VSTACK(YES_Writing_ELA[#Data],YES_Writing_FLA[#Data]),MATCH($A539,_xlfn.VSTACK(YES_Writing_ELA[Student Number],YES_Writing_FLA[Student Number]),0),MATCH(VLOOKUP(E$7,'Writing Logic'!$J$7:$K$11,2,FALSE)&amp;" - Per "&amp;VLOOKUP($C$4,'Writing Logic'!$G$8:$H$14,2,FALSE),YES_Writing_ELA[#Headers],0)))),"")</f>
        <v/>
      </c>
      <c r="F539" s="138" t="str">
        <f>IFERROR(IF(IF(INDEX(_xlfn.VSTACK(YES_Writing_ELA[#Data],YES_Writing_FLA[#Data]),MATCH($A539,_xlfn.VSTACK(YES_Writing_ELA[Student Number],YES_Writing_FLA[Student Number]),0),MATCH(VLOOKUP(F$7,'Writing Logic'!$J$7:$K$11,2,FALSE)&amp;" - Per "&amp;VLOOKUP($C$4,'Writing Logic'!$G$8:$H$14,2,FALSE),YES_Writing_ELA[#Headers],0))=0,"",INDEX(_xlfn.VSTACK(YES_Writing_ELA[#Data],YES_Writing_FLA[#Data]),MATCH($A539,_xlfn.VSTACK(YES_Writing_ELA[Student Number],YES_Writing_FLA[Student Number]),0),MATCH(VLOOKUP(F$7,'Writing Logic'!$J$7:$K$11,2,FALSE)&amp;" - Per "&amp;VLOOKUP($C$4,'Writing Logic'!$G$8:$H$14,2,FALSE),YES_Writing_ELA[#Headers],0)))="INS",'Writing Logic'!$B$7,IF(INDEX(_xlfn.VSTACK(YES_Writing_ELA[#Data],YES_Writing_FLA[#Data]),MATCH($A539,_xlfn.VSTACK(YES_Writing_ELA[Student Number],YES_Writing_FLA[Student Number]),0),MATCH(VLOOKUP(F$7,'Writing Logic'!$J$7:$K$11,2,FALSE)&amp;" - Per "&amp;VLOOKUP($C$4,'Writing Logic'!$G$8:$H$14,2,FALSE),YES_Writing_ELA[#Headers],0))=0,"",INDEX(_xlfn.VSTACK(YES_Writing_ELA[#Data],YES_Writing_FLA[#Data]),MATCH($A539,_xlfn.VSTACK(YES_Writing_ELA[Student Number],YES_Writing_FLA[Student Number]),0),MATCH(VLOOKUP(F$7,'Writing Logic'!$J$7:$K$11,2,FALSE)&amp;" - Per "&amp;VLOOKUP($C$4,'Writing Logic'!$G$8:$H$14,2,FALSE),YES_Writing_ELA[#Headers],0)))),"")</f>
        <v/>
      </c>
      <c r="G539" s="138" t="str">
        <f>IFERROR(IF(IF(INDEX(_xlfn.VSTACK(YES_Writing_ELA[#Data],YES_Writing_FLA[#Data]),MATCH($A539,_xlfn.VSTACK(YES_Writing_ELA[Student Number],YES_Writing_FLA[Student Number]),0),MATCH(VLOOKUP(G$7,'Writing Logic'!$J$7:$K$11,2,FALSE)&amp;" - Per "&amp;VLOOKUP($C$4,'Writing Logic'!$G$8:$H$14,2,FALSE),YES_Writing_ELA[#Headers],0))=0,"",INDEX(_xlfn.VSTACK(YES_Writing_ELA[#Data],YES_Writing_FLA[#Data]),MATCH($A539,_xlfn.VSTACK(YES_Writing_ELA[Student Number],YES_Writing_FLA[Student Number]),0),MATCH(VLOOKUP(G$7,'Writing Logic'!$J$7:$K$11,2,FALSE)&amp;" - Per "&amp;VLOOKUP($C$4,'Writing Logic'!$G$8:$H$14,2,FALSE),YES_Writing_ELA[#Headers],0)))="INS",'Writing Logic'!$B$7,IF(INDEX(_xlfn.VSTACK(YES_Writing_ELA[#Data],YES_Writing_FLA[#Data]),MATCH($A539,_xlfn.VSTACK(YES_Writing_ELA[Student Number],YES_Writing_FLA[Student Number]),0),MATCH(VLOOKUP(G$7,'Writing Logic'!$J$7:$K$11,2,FALSE)&amp;" - Per "&amp;VLOOKUP($C$4,'Writing Logic'!$G$8:$H$14,2,FALSE),YES_Writing_ELA[#Headers],0))=0,"",INDEX(_xlfn.VSTACK(YES_Writing_ELA[#Data],YES_Writing_FLA[#Data]),MATCH($A539,_xlfn.VSTACK(YES_Writing_ELA[Student Number],YES_Writing_FLA[Student Number]),0),MATCH(VLOOKUP(G$7,'Writing Logic'!$J$7:$K$11,2,FALSE)&amp;" - Per "&amp;VLOOKUP($C$4,'Writing Logic'!$G$8:$H$14,2,FALSE),YES_Writing_ELA[#Headers],0)))),"")</f>
        <v/>
      </c>
      <c r="H539" s="223" t="str">
        <f>IFERROR(IF(IF(INDEX(_xlfn.VSTACK(YES_Writing_ELA[#Data],YES_Writing_FLA[#Data]),MATCH($A539,_xlfn.VSTACK(YES_Writing_ELA[Student Number],YES_Writing_FLA[Student Number]),0),MATCH(VLOOKUP(H$7,'Writing Logic'!$J$7:$K$11,2,FALSE)&amp;" - Per "&amp;VLOOKUP($C$4,'Writing Logic'!$G$8:$H$14,2,FALSE),YES_Writing_ELA[#Headers],0))=0,"",INDEX(_xlfn.VSTACK(YES_Writing_ELA[#Data],YES_Writing_FLA[#Data]),MATCH($A539,_xlfn.VSTACK(YES_Writing_ELA[Student Number],YES_Writing_FLA[Student Number]),0),MATCH(VLOOKUP(H$7,'Writing Logic'!$J$7:$K$11,2,FALSE)&amp;" - Per "&amp;VLOOKUP($C$4,'Writing Logic'!$G$8:$H$14,2,FALSE),YES_Writing_ELA[#Headers],0)))="INS",'Writing Logic'!$B$7,IF(INDEX(_xlfn.VSTACK(YES_Writing_ELA[#Data],YES_Writing_FLA[#Data]),MATCH($A539,_xlfn.VSTACK(YES_Writing_ELA[Student Number],YES_Writing_FLA[Student Number]),0),MATCH(VLOOKUP(H$7,'Writing Logic'!$J$7:$K$11,2,FALSE)&amp;" - Per "&amp;VLOOKUP($C$4,'Writing Logic'!$G$8:$H$14,2,FALSE),YES_Writing_ELA[#Headers],0))=0,"",INDEX(_xlfn.VSTACK(YES_Writing_ELA[#Data],YES_Writing_FLA[#Data]),MATCH($A539,_xlfn.VSTACK(YES_Writing_ELA[Student Number],YES_Writing_FLA[Student Number]),0),MATCH(VLOOKUP(H$7,'Writing Logic'!$J$7:$K$11,2,FALSE)&amp;" - Per "&amp;VLOOKUP($C$4,'Writing Logic'!$G$8:$H$14,2,FALSE),YES_Writing_ELA[#Headers],0)))),"")</f>
        <v/>
      </c>
      <c r="I539" s="224" t="str" cm="1">
        <f t="array" aca="1" ref="I539" ca="1">IFERROR(
IF($G$3="ELA",
IF(VLOOKUP($A539, YES_Reading_ELA[], COLUMN(INDIRECT("YES_Reading_ELA[Difference - Per "&amp;VLOOKUP($G$4, 'Reading Report Logic'!$A$2:$B$8, 2, FALSE)&amp;"]")), FALSE)="", "",
VLOOKUP($A539,YES_Reading_ELA[], COLUMN(INDIRECT("YES_Reading_ELA[Difference - Per "&amp;VLOOKUP($G$4,'Reading Report Logic'!$A$2:$B$8,2,FALSE)&amp;"]")), FALSE)),
IF($G$3="FLA",
IF(VLOOKUP($A539, YES_Reading_FLA[], COLUMN(INDIRECT("YES_Reading_FLA[Difference - Per "&amp;VLOOKUP($G$4,'Reading Report Logic'!$A$2:$B$8,2,FALSE)&amp;"]")),FALSE)="","",
VLOOKUP($A539,YES_Reading_FLA[],COLUMN(INDIRECT("YES_Reading_FLA[Difference - Per "&amp;VLOOKUP($G$4,'Reading Report Logic'!$A$2:$B$8,2,FALSE)&amp;"]")),FALSE)),
IF($G$3="Combined",
IFERROR(
IF(VLOOKUP($A539, YES_Reading_ELA[], COLUMN(INDIRECT("YES_Reading_ELA[Difference - Per "&amp;VLOOKUP($G$4, 'Reading Report Logic'!$A$2:$B$8,2,FALSE)&amp;"]")), FALSE)="", "",
VLOOKUP($A539,YES_Reading_ELA[],COLUMN(INDIRECT("YES_Reading_ELA[Difference - Per "&amp;VLOOKUP($G$4,'Reading Report Logic'!$A$2:$B$8,2,FALSE)&amp;"]")),FALSE)),
IF(VLOOKUP($A539, YES_Reading_FLA[], COLUMN(INDIRECT("YES_Reading_FLA[Difference - Per "&amp;VLOOKUP($G$4, 'Reading Report Logic'!$A$2:$B$8, 2, FALSE)&amp;"]")),FALSE)="", "", VLOOKUP($A539,YES_Reading_FLA[],COLUMN(INDIRECT("YES_Reading_FLA[Difference - Per "&amp;VLOOKUP($G$4, 'Reading Report Logic'!$A$2:$B$8, 2, FALSE)&amp;"]")),FALSE))),""))),"")</f>
        <v/>
      </c>
    </row>
    <row r="540" spans="1:9" x14ac:dyDescent="0.25">
      <c r="A540" s="137"/>
      <c r="B540" s="137" t="str">
        <f>IFERROR(INDEX(_xlfn.VSTACK(YES_Writing_ELA[#Data], YES_Writing_FLA[#Data]),MATCH($A540,_xlfn.VSTACK(YES_Writing_ELA[Student Number], YES_Writing_FLA[Student Number]),0),MATCH(B$7,YES_Writing_ELA[#Headers],0)),IFERROR(INDEX(_xlfn.VSTACK(YES_Reading_ELA[#Data], YES_Reading_FLA[#Data]),MATCH($A540,_xlfn.VSTACK(YES_Reading_ELA[Student Number], YES_Reading_FLA[Student Number]),0),MATCH(B$7,YES_Reading_ELA[#Headers],0)),""))</f>
        <v/>
      </c>
      <c r="C540" s="137" t="str">
        <f>IFERROR(INDEX(_xlfn.VSTACK(YES_Writing_ELA[#Data], YES_Writing_FLA[#Data]),MATCH($A540,_xlfn.VSTACK(YES_Writing_ELA[Student Number], YES_Writing_FLA[Student Number]),0),MATCH(C$7,YES_Writing_ELA[#Headers],0)),IFERROR(INDEX(_xlfn.VSTACK(YES_Reading_ELA[#Data], YES_Reading_FLA[#Data]),MATCH($A540,_xlfn.VSTACK(YES_Reading_ELA[Student Number], YES_Reading_FLA[Student Number]),0),MATCH(C$7,YES_Reading_ELA[#Headers],0)),""))</f>
        <v/>
      </c>
      <c r="D540" s="138" t="str">
        <f>IFERROR(IF(IF(INDEX(_xlfn.VSTACK(YES_Writing_ELA[#Data],YES_Writing_FLA[#Data]),MATCH($A540,_xlfn.VSTACK(YES_Writing_ELA[Student Number],YES_Writing_FLA[Student Number]),0),MATCH(VLOOKUP(D$7,'Writing Logic'!$J$7:$K$11,2,FALSE)&amp;" - Per "&amp;VLOOKUP($C$4,'Writing Logic'!$G$8:$H$14,2,FALSE),YES_Writing_ELA[#Headers],0))=0,"",INDEX(_xlfn.VSTACK(YES_Writing_ELA[#Data],YES_Writing_FLA[#Data]),MATCH($A540,_xlfn.VSTACK(YES_Writing_ELA[Student Number],YES_Writing_FLA[Student Number]),0),MATCH(VLOOKUP(D$7,'Writing Logic'!$J$7:$K$11,2,FALSE)&amp;" - Per "&amp;VLOOKUP($C$4,'Writing Logic'!$G$8:$H$14,2,FALSE),YES_Writing_ELA[#Headers],0)))="INS",'Writing Logic'!$B$7,IF(INDEX(_xlfn.VSTACK(YES_Writing_ELA[#Data],YES_Writing_FLA[#Data]),MATCH($A540,_xlfn.VSTACK(YES_Writing_ELA[Student Number],YES_Writing_FLA[Student Number]),0),MATCH(VLOOKUP(D$7,'Writing Logic'!$J$7:$K$11,2,FALSE)&amp;" - Per "&amp;VLOOKUP($C$4,'Writing Logic'!$G$8:$H$14,2,FALSE),YES_Writing_ELA[#Headers],0))=0,"",INDEX(_xlfn.VSTACK(YES_Writing_ELA[#Data],YES_Writing_FLA[#Data]),MATCH($A540,_xlfn.VSTACK(YES_Writing_ELA[Student Number],YES_Writing_FLA[Student Number]),0),MATCH(VLOOKUP(D$7,'Writing Logic'!$J$7:$K$11,2,FALSE)&amp;" - Per "&amp;VLOOKUP($C$4,'Writing Logic'!$G$8:$H$14,2,FALSE),YES_Writing_ELA[#Headers],0)))),"")</f>
        <v/>
      </c>
      <c r="E540" s="138" t="str">
        <f>IFERROR(IF(IF(INDEX(_xlfn.VSTACK(YES_Writing_ELA[#Data],YES_Writing_FLA[#Data]),MATCH($A540,_xlfn.VSTACK(YES_Writing_ELA[Student Number],YES_Writing_FLA[Student Number]),0),MATCH(VLOOKUP(E$7,'Writing Logic'!$J$7:$K$11,2,FALSE)&amp;" - Per "&amp;VLOOKUP($C$4,'Writing Logic'!$G$8:$H$14,2,FALSE),YES_Writing_ELA[#Headers],0))=0,"",INDEX(_xlfn.VSTACK(YES_Writing_ELA[#Data],YES_Writing_FLA[#Data]),MATCH($A540,_xlfn.VSTACK(YES_Writing_ELA[Student Number],YES_Writing_FLA[Student Number]),0),MATCH(VLOOKUP(E$7,'Writing Logic'!$J$7:$K$11,2,FALSE)&amp;" - Per "&amp;VLOOKUP($C$4,'Writing Logic'!$G$8:$H$14,2,FALSE),YES_Writing_ELA[#Headers],0)))="INS",'Writing Logic'!$B$7,IF(INDEX(_xlfn.VSTACK(YES_Writing_ELA[#Data],YES_Writing_FLA[#Data]),MATCH($A540,_xlfn.VSTACK(YES_Writing_ELA[Student Number],YES_Writing_FLA[Student Number]),0),MATCH(VLOOKUP(E$7,'Writing Logic'!$J$7:$K$11,2,FALSE)&amp;" - Per "&amp;VLOOKUP($C$4,'Writing Logic'!$G$8:$H$14,2,FALSE),YES_Writing_ELA[#Headers],0))=0,"",INDEX(_xlfn.VSTACK(YES_Writing_ELA[#Data],YES_Writing_FLA[#Data]),MATCH($A540,_xlfn.VSTACK(YES_Writing_ELA[Student Number],YES_Writing_FLA[Student Number]),0),MATCH(VLOOKUP(E$7,'Writing Logic'!$J$7:$K$11,2,FALSE)&amp;" - Per "&amp;VLOOKUP($C$4,'Writing Logic'!$G$8:$H$14,2,FALSE),YES_Writing_ELA[#Headers],0)))),"")</f>
        <v/>
      </c>
      <c r="F540" s="138" t="str">
        <f>IFERROR(IF(IF(INDEX(_xlfn.VSTACK(YES_Writing_ELA[#Data],YES_Writing_FLA[#Data]),MATCH($A540,_xlfn.VSTACK(YES_Writing_ELA[Student Number],YES_Writing_FLA[Student Number]),0),MATCH(VLOOKUP(F$7,'Writing Logic'!$J$7:$K$11,2,FALSE)&amp;" - Per "&amp;VLOOKUP($C$4,'Writing Logic'!$G$8:$H$14,2,FALSE),YES_Writing_ELA[#Headers],0))=0,"",INDEX(_xlfn.VSTACK(YES_Writing_ELA[#Data],YES_Writing_FLA[#Data]),MATCH($A540,_xlfn.VSTACK(YES_Writing_ELA[Student Number],YES_Writing_FLA[Student Number]),0),MATCH(VLOOKUP(F$7,'Writing Logic'!$J$7:$K$11,2,FALSE)&amp;" - Per "&amp;VLOOKUP($C$4,'Writing Logic'!$G$8:$H$14,2,FALSE),YES_Writing_ELA[#Headers],0)))="INS",'Writing Logic'!$B$7,IF(INDEX(_xlfn.VSTACK(YES_Writing_ELA[#Data],YES_Writing_FLA[#Data]),MATCH($A540,_xlfn.VSTACK(YES_Writing_ELA[Student Number],YES_Writing_FLA[Student Number]),0),MATCH(VLOOKUP(F$7,'Writing Logic'!$J$7:$K$11,2,FALSE)&amp;" - Per "&amp;VLOOKUP($C$4,'Writing Logic'!$G$8:$H$14,2,FALSE),YES_Writing_ELA[#Headers],0))=0,"",INDEX(_xlfn.VSTACK(YES_Writing_ELA[#Data],YES_Writing_FLA[#Data]),MATCH($A540,_xlfn.VSTACK(YES_Writing_ELA[Student Number],YES_Writing_FLA[Student Number]),0),MATCH(VLOOKUP(F$7,'Writing Logic'!$J$7:$K$11,2,FALSE)&amp;" - Per "&amp;VLOOKUP($C$4,'Writing Logic'!$G$8:$H$14,2,FALSE),YES_Writing_ELA[#Headers],0)))),"")</f>
        <v/>
      </c>
      <c r="G540" s="138" t="str">
        <f>IFERROR(IF(IF(INDEX(_xlfn.VSTACK(YES_Writing_ELA[#Data],YES_Writing_FLA[#Data]),MATCH($A540,_xlfn.VSTACK(YES_Writing_ELA[Student Number],YES_Writing_FLA[Student Number]),0),MATCH(VLOOKUP(G$7,'Writing Logic'!$J$7:$K$11,2,FALSE)&amp;" - Per "&amp;VLOOKUP($C$4,'Writing Logic'!$G$8:$H$14,2,FALSE),YES_Writing_ELA[#Headers],0))=0,"",INDEX(_xlfn.VSTACK(YES_Writing_ELA[#Data],YES_Writing_FLA[#Data]),MATCH($A540,_xlfn.VSTACK(YES_Writing_ELA[Student Number],YES_Writing_FLA[Student Number]),0),MATCH(VLOOKUP(G$7,'Writing Logic'!$J$7:$K$11,2,FALSE)&amp;" - Per "&amp;VLOOKUP($C$4,'Writing Logic'!$G$8:$H$14,2,FALSE),YES_Writing_ELA[#Headers],0)))="INS",'Writing Logic'!$B$7,IF(INDEX(_xlfn.VSTACK(YES_Writing_ELA[#Data],YES_Writing_FLA[#Data]),MATCH($A540,_xlfn.VSTACK(YES_Writing_ELA[Student Number],YES_Writing_FLA[Student Number]),0),MATCH(VLOOKUP(G$7,'Writing Logic'!$J$7:$K$11,2,FALSE)&amp;" - Per "&amp;VLOOKUP($C$4,'Writing Logic'!$G$8:$H$14,2,FALSE),YES_Writing_ELA[#Headers],0))=0,"",INDEX(_xlfn.VSTACK(YES_Writing_ELA[#Data],YES_Writing_FLA[#Data]),MATCH($A540,_xlfn.VSTACK(YES_Writing_ELA[Student Number],YES_Writing_FLA[Student Number]),0),MATCH(VLOOKUP(G$7,'Writing Logic'!$J$7:$K$11,2,FALSE)&amp;" - Per "&amp;VLOOKUP($C$4,'Writing Logic'!$G$8:$H$14,2,FALSE),YES_Writing_ELA[#Headers],0)))),"")</f>
        <v/>
      </c>
      <c r="H540" s="223" t="str">
        <f>IFERROR(IF(IF(INDEX(_xlfn.VSTACK(YES_Writing_ELA[#Data],YES_Writing_FLA[#Data]),MATCH($A540,_xlfn.VSTACK(YES_Writing_ELA[Student Number],YES_Writing_FLA[Student Number]),0),MATCH(VLOOKUP(H$7,'Writing Logic'!$J$7:$K$11,2,FALSE)&amp;" - Per "&amp;VLOOKUP($C$4,'Writing Logic'!$G$8:$H$14,2,FALSE),YES_Writing_ELA[#Headers],0))=0,"",INDEX(_xlfn.VSTACK(YES_Writing_ELA[#Data],YES_Writing_FLA[#Data]),MATCH($A540,_xlfn.VSTACK(YES_Writing_ELA[Student Number],YES_Writing_FLA[Student Number]),0),MATCH(VLOOKUP(H$7,'Writing Logic'!$J$7:$K$11,2,FALSE)&amp;" - Per "&amp;VLOOKUP($C$4,'Writing Logic'!$G$8:$H$14,2,FALSE),YES_Writing_ELA[#Headers],0)))="INS",'Writing Logic'!$B$7,IF(INDEX(_xlfn.VSTACK(YES_Writing_ELA[#Data],YES_Writing_FLA[#Data]),MATCH($A540,_xlfn.VSTACK(YES_Writing_ELA[Student Number],YES_Writing_FLA[Student Number]),0),MATCH(VLOOKUP(H$7,'Writing Logic'!$J$7:$K$11,2,FALSE)&amp;" - Per "&amp;VLOOKUP($C$4,'Writing Logic'!$G$8:$H$14,2,FALSE),YES_Writing_ELA[#Headers],0))=0,"",INDEX(_xlfn.VSTACK(YES_Writing_ELA[#Data],YES_Writing_FLA[#Data]),MATCH($A540,_xlfn.VSTACK(YES_Writing_ELA[Student Number],YES_Writing_FLA[Student Number]),0),MATCH(VLOOKUP(H$7,'Writing Logic'!$J$7:$K$11,2,FALSE)&amp;" - Per "&amp;VLOOKUP($C$4,'Writing Logic'!$G$8:$H$14,2,FALSE),YES_Writing_ELA[#Headers],0)))),"")</f>
        <v/>
      </c>
      <c r="I540" s="224" t="str" cm="1">
        <f t="array" aca="1" ref="I540" ca="1">IFERROR(
IF($G$3="ELA",
IF(VLOOKUP($A540, YES_Reading_ELA[], COLUMN(INDIRECT("YES_Reading_ELA[Difference - Per "&amp;VLOOKUP($G$4, 'Reading Report Logic'!$A$2:$B$8, 2, FALSE)&amp;"]")), FALSE)="", "",
VLOOKUP($A540,YES_Reading_ELA[], COLUMN(INDIRECT("YES_Reading_ELA[Difference - Per "&amp;VLOOKUP($G$4,'Reading Report Logic'!$A$2:$B$8,2,FALSE)&amp;"]")), FALSE)),
IF($G$3="FLA",
IF(VLOOKUP($A540, YES_Reading_FLA[], COLUMN(INDIRECT("YES_Reading_FLA[Difference - Per "&amp;VLOOKUP($G$4,'Reading Report Logic'!$A$2:$B$8,2,FALSE)&amp;"]")),FALSE)="","",
VLOOKUP($A540,YES_Reading_FLA[],COLUMN(INDIRECT("YES_Reading_FLA[Difference - Per "&amp;VLOOKUP($G$4,'Reading Report Logic'!$A$2:$B$8,2,FALSE)&amp;"]")),FALSE)),
IF($G$3="Combined",
IFERROR(
IF(VLOOKUP($A540, YES_Reading_ELA[], COLUMN(INDIRECT("YES_Reading_ELA[Difference - Per "&amp;VLOOKUP($G$4, 'Reading Report Logic'!$A$2:$B$8,2,FALSE)&amp;"]")), FALSE)="", "",
VLOOKUP($A540,YES_Reading_ELA[],COLUMN(INDIRECT("YES_Reading_ELA[Difference - Per "&amp;VLOOKUP($G$4,'Reading Report Logic'!$A$2:$B$8,2,FALSE)&amp;"]")),FALSE)),
IF(VLOOKUP($A540, YES_Reading_FLA[], COLUMN(INDIRECT("YES_Reading_FLA[Difference - Per "&amp;VLOOKUP($G$4, 'Reading Report Logic'!$A$2:$B$8, 2, FALSE)&amp;"]")),FALSE)="", "", VLOOKUP($A540,YES_Reading_FLA[],COLUMN(INDIRECT("YES_Reading_FLA[Difference - Per "&amp;VLOOKUP($G$4, 'Reading Report Logic'!$A$2:$B$8, 2, FALSE)&amp;"]")),FALSE))),""))),"")</f>
        <v/>
      </c>
    </row>
    <row r="541" spans="1:9" x14ac:dyDescent="0.25">
      <c r="A541" s="137"/>
      <c r="B541" s="137" t="str">
        <f>IFERROR(INDEX(_xlfn.VSTACK(YES_Writing_ELA[#Data], YES_Writing_FLA[#Data]),MATCH($A541,_xlfn.VSTACK(YES_Writing_ELA[Student Number], YES_Writing_FLA[Student Number]),0),MATCH(B$7,YES_Writing_ELA[#Headers],0)),IFERROR(INDEX(_xlfn.VSTACK(YES_Reading_ELA[#Data], YES_Reading_FLA[#Data]),MATCH($A541,_xlfn.VSTACK(YES_Reading_ELA[Student Number], YES_Reading_FLA[Student Number]),0),MATCH(B$7,YES_Reading_ELA[#Headers],0)),""))</f>
        <v/>
      </c>
      <c r="C541" s="137" t="str">
        <f>IFERROR(INDEX(_xlfn.VSTACK(YES_Writing_ELA[#Data], YES_Writing_FLA[#Data]),MATCH($A541,_xlfn.VSTACK(YES_Writing_ELA[Student Number], YES_Writing_FLA[Student Number]),0),MATCH(C$7,YES_Writing_ELA[#Headers],0)),IFERROR(INDEX(_xlfn.VSTACK(YES_Reading_ELA[#Data], YES_Reading_FLA[#Data]),MATCH($A541,_xlfn.VSTACK(YES_Reading_ELA[Student Number], YES_Reading_FLA[Student Number]),0),MATCH(C$7,YES_Reading_ELA[#Headers],0)),""))</f>
        <v/>
      </c>
      <c r="D541" s="138" t="str">
        <f>IFERROR(IF(IF(INDEX(_xlfn.VSTACK(YES_Writing_ELA[#Data],YES_Writing_FLA[#Data]),MATCH($A541,_xlfn.VSTACK(YES_Writing_ELA[Student Number],YES_Writing_FLA[Student Number]),0),MATCH(VLOOKUP(D$7,'Writing Logic'!$J$7:$K$11,2,FALSE)&amp;" - Per "&amp;VLOOKUP($C$4,'Writing Logic'!$G$8:$H$14,2,FALSE),YES_Writing_ELA[#Headers],0))=0,"",INDEX(_xlfn.VSTACK(YES_Writing_ELA[#Data],YES_Writing_FLA[#Data]),MATCH($A541,_xlfn.VSTACK(YES_Writing_ELA[Student Number],YES_Writing_FLA[Student Number]),0),MATCH(VLOOKUP(D$7,'Writing Logic'!$J$7:$K$11,2,FALSE)&amp;" - Per "&amp;VLOOKUP($C$4,'Writing Logic'!$G$8:$H$14,2,FALSE),YES_Writing_ELA[#Headers],0)))="INS",'Writing Logic'!$B$7,IF(INDEX(_xlfn.VSTACK(YES_Writing_ELA[#Data],YES_Writing_FLA[#Data]),MATCH($A541,_xlfn.VSTACK(YES_Writing_ELA[Student Number],YES_Writing_FLA[Student Number]),0),MATCH(VLOOKUP(D$7,'Writing Logic'!$J$7:$K$11,2,FALSE)&amp;" - Per "&amp;VLOOKUP($C$4,'Writing Logic'!$G$8:$H$14,2,FALSE),YES_Writing_ELA[#Headers],0))=0,"",INDEX(_xlfn.VSTACK(YES_Writing_ELA[#Data],YES_Writing_FLA[#Data]),MATCH($A541,_xlfn.VSTACK(YES_Writing_ELA[Student Number],YES_Writing_FLA[Student Number]),0),MATCH(VLOOKUP(D$7,'Writing Logic'!$J$7:$K$11,2,FALSE)&amp;" - Per "&amp;VLOOKUP($C$4,'Writing Logic'!$G$8:$H$14,2,FALSE),YES_Writing_ELA[#Headers],0)))),"")</f>
        <v/>
      </c>
      <c r="E541" s="138" t="str">
        <f>IFERROR(IF(IF(INDEX(_xlfn.VSTACK(YES_Writing_ELA[#Data],YES_Writing_FLA[#Data]),MATCH($A541,_xlfn.VSTACK(YES_Writing_ELA[Student Number],YES_Writing_FLA[Student Number]),0),MATCH(VLOOKUP(E$7,'Writing Logic'!$J$7:$K$11,2,FALSE)&amp;" - Per "&amp;VLOOKUP($C$4,'Writing Logic'!$G$8:$H$14,2,FALSE),YES_Writing_ELA[#Headers],0))=0,"",INDEX(_xlfn.VSTACK(YES_Writing_ELA[#Data],YES_Writing_FLA[#Data]),MATCH($A541,_xlfn.VSTACK(YES_Writing_ELA[Student Number],YES_Writing_FLA[Student Number]),0),MATCH(VLOOKUP(E$7,'Writing Logic'!$J$7:$K$11,2,FALSE)&amp;" - Per "&amp;VLOOKUP($C$4,'Writing Logic'!$G$8:$H$14,2,FALSE),YES_Writing_ELA[#Headers],0)))="INS",'Writing Logic'!$B$7,IF(INDEX(_xlfn.VSTACK(YES_Writing_ELA[#Data],YES_Writing_FLA[#Data]),MATCH($A541,_xlfn.VSTACK(YES_Writing_ELA[Student Number],YES_Writing_FLA[Student Number]),0),MATCH(VLOOKUP(E$7,'Writing Logic'!$J$7:$K$11,2,FALSE)&amp;" - Per "&amp;VLOOKUP($C$4,'Writing Logic'!$G$8:$H$14,2,FALSE),YES_Writing_ELA[#Headers],0))=0,"",INDEX(_xlfn.VSTACK(YES_Writing_ELA[#Data],YES_Writing_FLA[#Data]),MATCH($A541,_xlfn.VSTACK(YES_Writing_ELA[Student Number],YES_Writing_FLA[Student Number]),0),MATCH(VLOOKUP(E$7,'Writing Logic'!$J$7:$K$11,2,FALSE)&amp;" - Per "&amp;VLOOKUP($C$4,'Writing Logic'!$G$8:$H$14,2,FALSE),YES_Writing_ELA[#Headers],0)))),"")</f>
        <v/>
      </c>
      <c r="F541" s="138" t="str">
        <f>IFERROR(IF(IF(INDEX(_xlfn.VSTACK(YES_Writing_ELA[#Data],YES_Writing_FLA[#Data]),MATCH($A541,_xlfn.VSTACK(YES_Writing_ELA[Student Number],YES_Writing_FLA[Student Number]),0),MATCH(VLOOKUP(F$7,'Writing Logic'!$J$7:$K$11,2,FALSE)&amp;" - Per "&amp;VLOOKUP($C$4,'Writing Logic'!$G$8:$H$14,2,FALSE),YES_Writing_ELA[#Headers],0))=0,"",INDEX(_xlfn.VSTACK(YES_Writing_ELA[#Data],YES_Writing_FLA[#Data]),MATCH($A541,_xlfn.VSTACK(YES_Writing_ELA[Student Number],YES_Writing_FLA[Student Number]),0),MATCH(VLOOKUP(F$7,'Writing Logic'!$J$7:$K$11,2,FALSE)&amp;" - Per "&amp;VLOOKUP($C$4,'Writing Logic'!$G$8:$H$14,2,FALSE),YES_Writing_ELA[#Headers],0)))="INS",'Writing Logic'!$B$7,IF(INDEX(_xlfn.VSTACK(YES_Writing_ELA[#Data],YES_Writing_FLA[#Data]),MATCH($A541,_xlfn.VSTACK(YES_Writing_ELA[Student Number],YES_Writing_FLA[Student Number]),0),MATCH(VLOOKUP(F$7,'Writing Logic'!$J$7:$K$11,2,FALSE)&amp;" - Per "&amp;VLOOKUP($C$4,'Writing Logic'!$G$8:$H$14,2,FALSE),YES_Writing_ELA[#Headers],0))=0,"",INDEX(_xlfn.VSTACK(YES_Writing_ELA[#Data],YES_Writing_FLA[#Data]),MATCH($A541,_xlfn.VSTACK(YES_Writing_ELA[Student Number],YES_Writing_FLA[Student Number]),0),MATCH(VLOOKUP(F$7,'Writing Logic'!$J$7:$K$11,2,FALSE)&amp;" - Per "&amp;VLOOKUP($C$4,'Writing Logic'!$G$8:$H$14,2,FALSE),YES_Writing_ELA[#Headers],0)))),"")</f>
        <v/>
      </c>
      <c r="G541" s="138" t="str">
        <f>IFERROR(IF(IF(INDEX(_xlfn.VSTACK(YES_Writing_ELA[#Data],YES_Writing_FLA[#Data]),MATCH($A541,_xlfn.VSTACK(YES_Writing_ELA[Student Number],YES_Writing_FLA[Student Number]),0),MATCH(VLOOKUP(G$7,'Writing Logic'!$J$7:$K$11,2,FALSE)&amp;" - Per "&amp;VLOOKUP($C$4,'Writing Logic'!$G$8:$H$14,2,FALSE),YES_Writing_ELA[#Headers],0))=0,"",INDEX(_xlfn.VSTACK(YES_Writing_ELA[#Data],YES_Writing_FLA[#Data]),MATCH($A541,_xlfn.VSTACK(YES_Writing_ELA[Student Number],YES_Writing_FLA[Student Number]),0),MATCH(VLOOKUP(G$7,'Writing Logic'!$J$7:$K$11,2,FALSE)&amp;" - Per "&amp;VLOOKUP($C$4,'Writing Logic'!$G$8:$H$14,2,FALSE),YES_Writing_ELA[#Headers],0)))="INS",'Writing Logic'!$B$7,IF(INDEX(_xlfn.VSTACK(YES_Writing_ELA[#Data],YES_Writing_FLA[#Data]),MATCH($A541,_xlfn.VSTACK(YES_Writing_ELA[Student Number],YES_Writing_FLA[Student Number]),0),MATCH(VLOOKUP(G$7,'Writing Logic'!$J$7:$K$11,2,FALSE)&amp;" - Per "&amp;VLOOKUP($C$4,'Writing Logic'!$G$8:$H$14,2,FALSE),YES_Writing_ELA[#Headers],0))=0,"",INDEX(_xlfn.VSTACK(YES_Writing_ELA[#Data],YES_Writing_FLA[#Data]),MATCH($A541,_xlfn.VSTACK(YES_Writing_ELA[Student Number],YES_Writing_FLA[Student Number]),0),MATCH(VLOOKUP(G$7,'Writing Logic'!$J$7:$K$11,2,FALSE)&amp;" - Per "&amp;VLOOKUP($C$4,'Writing Logic'!$G$8:$H$14,2,FALSE),YES_Writing_ELA[#Headers],0)))),"")</f>
        <v/>
      </c>
      <c r="H541" s="223" t="str">
        <f>IFERROR(IF(IF(INDEX(_xlfn.VSTACK(YES_Writing_ELA[#Data],YES_Writing_FLA[#Data]),MATCH($A541,_xlfn.VSTACK(YES_Writing_ELA[Student Number],YES_Writing_FLA[Student Number]),0),MATCH(VLOOKUP(H$7,'Writing Logic'!$J$7:$K$11,2,FALSE)&amp;" - Per "&amp;VLOOKUP($C$4,'Writing Logic'!$G$8:$H$14,2,FALSE),YES_Writing_ELA[#Headers],0))=0,"",INDEX(_xlfn.VSTACK(YES_Writing_ELA[#Data],YES_Writing_FLA[#Data]),MATCH($A541,_xlfn.VSTACK(YES_Writing_ELA[Student Number],YES_Writing_FLA[Student Number]),0),MATCH(VLOOKUP(H$7,'Writing Logic'!$J$7:$K$11,2,FALSE)&amp;" - Per "&amp;VLOOKUP($C$4,'Writing Logic'!$G$8:$H$14,2,FALSE),YES_Writing_ELA[#Headers],0)))="INS",'Writing Logic'!$B$7,IF(INDEX(_xlfn.VSTACK(YES_Writing_ELA[#Data],YES_Writing_FLA[#Data]),MATCH($A541,_xlfn.VSTACK(YES_Writing_ELA[Student Number],YES_Writing_FLA[Student Number]),0),MATCH(VLOOKUP(H$7,'Writing Logic'!$J$7:$K$11,2,FALSE)&amp;" - Per "&amp;VLOOKUP($C$4,'Writing Logic'!$G$8:$H$14,2,FALSE),YES_Writing_ELA[#Headers],0))=0,"",INDEX(_xlfn.VSTACK(YES_Writing_ELA[#Data],YES_Writing_FLA[#Data]),MATCH($A541,_xlfn.VSTACK(YES_Writing_ELA[Student Number],YES_Writing_FLA[Student Number]),0),MATCH(VLOOKUP(H$7,'Writing Logic'!$J$7:$K$11,2,FALSE)&amp;" - Per "&amp;VLOOKUP($C$4,'Writing Logic'!$G$8:$H$14,2,FALSE),YES_Writing_ELA[#Headers],0)))),"")</f>
        <v/>
      </c>
      <c r="I541" s="224" t="str" cm="1">
        <f t="array" aca="1" ref="I541" ca="1">IFERROR(
IF($G$3="ELA",
IF(VLOOKUP($A541, YES_Reading_ELA[], COLUMN(INDIRECT("YES_Reading_ELA[Difference - Per "&amp;VLOOKUP($G$4, 'Reading Report Logic'!$A$2:$B$8, 2, FALSE)&amp;"]")), FALSE)="", "",
VLOOKUP($A541,YES_Reading_ELA[], COLUMN(INDIRECT("YES_Reading_ELA[Difference - Per "&amp;VLOOKUP($G$4,'Reading Report Logic'!$A$2:$B$8,2,FALSE)&amp;"]")), FALSE)),
IF($G$3="FLA",
IF(VLOOKUP($A541, YES_Reading_FLA[], COLUMN(INDIRECT("YES_Reading_FLA[Difference - Per "&amp;VLOOKUP($G$4,'Reading Report Logic'!$A$2:$B$8,2,FALSE)&amp;"]")),FALSE)="","",
VLOOKUP($A541,YES_Reading_FLA[],COLUMN(INDIRECT("YES_Reading_FLA[Difference - Per "&amp;VLOOKUP($G$4,'Reading Report Logic'!$A$2:$B$8,2,FALSE)&amp;"]")),FALSE)),
IF($G$3="Combined",
IFERROR(
IF(VLOOKUP($A541, YES_Reading_ELA[], COLUMN(INDIRECT("YES_Reading_ELA[Difference - Per "&amp;VLOOKUP($G$4, 'Reading Report Logic'!$A$2:$B$8,2,FALSE)&amp;"]")), FALSE)="", "",
VLOOKUP($A541,YES_Reading_ELA[],COLUMN(INDIRECT("YES_Reading_ELA[Difference - Per "&amp;VLOOKUP($G$4,'Reading Report Logic'!$A$2:$B$8,2,FALSE)&amp;"]")),FALSE)),
IF(VLOOKUP($A541, YES_Reading_FLA[], COLUMN(INDIRECT("YES_Reading_FLA[Difference - Per "&amp;VLOOKUP($G$4, 'Reading Report Logic'!$A$2:$B$8, 2, FALSE)&amp;"]")),FALSE)="", "", VLOOKUP($A541,YES_Reading_FLA[],COLUMN(INDIRECT("YES_Reading_FLA[Difference - Per "&amp;VLOOKUP($G$4, 'Reading Report Logic'!$A$2:$B$8, 2, FALSE)&amp;"]")),FALSE))),""))),"")</f>
        <v/>
      </c>
    </row>
    <row r="542" spans="1:9" x14ac:dyDescent="0.25">
      <c r="A542" s="137"/>
      <c r="B542" s="137" t="str">
        <f>IFERROR(INDEX(_xlfn.VSTACK(YES_Writing_ELA[#Data], YES_Writing_FLA[#Data]),MATCH($A542,_xlfn.VSTACK(YES_Writing_ELA[Student Number], YES_Writing_FLA[Student Number]),0),MATCH(B$7,YES_Writing_ELA[#Headers],0)),IFERROR(INDEX(_xlfn.VSTACK(YES_Reading_ELA[#Data], YES_Reading_FLA[#Data]),MATCH($A542,_xlfn.VSTACK(YES_Reading_ELA[Student Number], YES_Reading_FLA[Student Number]),0),MATCH(B$7,YES_Reading_ELA[#Headers],0)),""))</f>
        <v/>
      </c>
      <c r="C542" s="137" t="str">
        <f>IFERROR(INDEX(_xlfn.VSTACK(YES_Writing_ELA[#Data], YES_Writing_FLA[#Data]),MATCH($A542,_xlfn.VSTACK(YES_Writing_ELA[Student Number], YES_Writing_FLA[Student Number]),0),MATCH(C$7,YES_Writing_ELA[#Headers],0)),IFERROR(INDEX(_xlfn.VSTACK(YES_Reading_ELA[#Data], YES_Reading_FLA[#Data]),MATCH($A542,_xlfn.VSTACK(YES_Reading_ELA[Student Number], YES_Reading_FLA[Student Number]),0),MATCH(C$7,YES_Reading_ELA[#Headers],0)),""))</f>
        <v/>
      </c>
      <c r="D542" s="138" t="str">
        <f>IFERROR(IF(IF(INDEX(_xlfn.VSTACK(YES_Writing_ELA[#Data],YES_Writing_FLA[#Data]),MATCH($A542,_xlfn.VSTACK(YES_Writing_ELA[Student Number],YES_Writing_FLA[Student Number]),0),MATCH(VLOOKUP(D$7,'Writing Logic'!$J$7:$K$11,2,FALSE)&amp;" - Per "&amp;VLOOKUP($C$4,'Writing Logic'!$G$8:$H$14,2,FALSE),YES_Writing_ELA[#Headers],0))=0,"",INDEX(_xlfn.VSTACK(YES_Writing_ELA[#Data],YES_Writing_FLA[#Data]),MATCH($A542,_xlfn.VSTACK(YES_Writing_ELA[Student Number],YES_Writing_FLA[Student Number]),0),MATCH(VLOOKUP(D$7,'Writing Logic'!$J$7:$K$11,2,FALSE)&amp;" - Per "&amp;VLOOKUP($C$4,'Writing Logic'!$G$8:$H$14,2,FALSE),YES_Writing_ELA[#Headers],0)))="INS",'Writing Logic'!$B$7,IF(INDEX(_xlfn.VSTACK(YES_Writing_ELA[#Data],YES_Writing_FLA[#Data]),MATCH($A542,_xlfn.VSTACK(YES_Writing_ELA[Student Number],YES_Writing_FLA[Student Number]),0),MATCH(VLOOKUP(D$7,'Writing Logic'!$J$7:$K$11,2,FALSE)&amp;" - Per "&amp;VLOOKUP($C$4,'Writing Logic'!$G$8:$H$14,2,FALSE),YES_Writing_ELA[#Headers],0))=0,"",INDEX(_xlfn.VSTACK(YES_Writing_ELA[#Data],YES_Writing_FLA[#Data]),MATCH($A542,_xlfn.VSTACK(YES_Writing_ELA[Student Number],YES_Writing_FLA[Student Number]),0),MATCH(VLOOKUP(D$7,'Writing Logic'!$J$7:$K$11,2,FALSE)&amp;" - Per "&amp;VLOOKUP($C$4,'Writing Logic'!$G$8:$H$14,2,FALSE),YES_Writing_ELA[#Headers],0)))),"")</f>
        <v/>
      </c>
      <c r="E542" s="138" t="str">
        <f>IFERROR(IF(IF(INDEX(_xlfn.VSTACK(YES_Writing_ELA[#Data],YES_Writing_FLA[#Data]),MATCH($A542,_xlfn.VSTACK(YES_Writing_ELA[Student Number],YES_Writing_FLA[Student Number]),0),MATCH(VLOOKUP(E$7,'Writing Logic'!$J$7:$K$11,2,FALSE)&amp;" - Per "&amp;VLOOKUP($C$4,'Writing Logic'!$G$8:$H$14,2,FALSE),YES_Writing_ELA[#Headers],0))=0,"",INDEX(_xlfn.VSTACK(YES_Writing_ELA[#Data],YES_Writing_FLA[#Data]),MATCH($A542,_xlfn.VSTACK(YES_Writing_ELA[Student Number],YES_Writing_FLA[Student Number]),0),MATCH(VLOOKUP(E$7,'Writing Logic'!$J$7:$K$11,2,FALSE)&amp;" - Per "&amp;VLOOKUP($C$4,'Writing Logic'!$G$8:$H$14,2,FALSE),YES_Writing_ELA[#Headers],0)))="INS",'Writing Logic'!$B$7,IF(INDEX(_xlfn.VSTACK(YES_Writing_ELA[#Data],YES_Writing_FLA[#Data]),MATCH($A542,_xlfn.VSTACK(YES_Writing_ELA[Student Number],YES_Writing_FLA[Student Number]),0),MATCH(VLOOKUP(E$7,'Writing Logic'!$J$7:$K$11,2,FALSE)&amp;" - Per "&amp;VLOOKUP($C$4,'Writing Logic'!$G$8:$H$14,2,FALSE),YES_Writing_ELA[#Headers],0))=0,"",INDEX(_xlfn.VSTACK(YES_Writing_ELA[#Data],YES_Writing_FLA[#Data]),MATCH($A542,_xlfn.VSTACK(YES_Writing_ELA[Student Number],YES_Writing_FLA[Student Number]),0),MATCH(VLOOKUP(E$7,'Writing Logic'!$J$7:$K$11,2,FALSE)&amp;" - Per "&amp;VLOOKUP($C$4,'Writing Logic'!$G$8:$H$14,2,FALSE),YES_Writing_ELA[#Headers],0)))),"")</f>
        <v/>
      </c>
      <c r="F542" s="138" t="str">
        <f>IFERROR(IF(IF(INDEX(_xlfn.VSTACK(YES_Writing_ELA[#Data],YES_Writing_FLA[#Data]),MATCH($A542,_xlfn.VSTACK(YES_Writing_ELA[Student Number],YES_Writing_FLA[Student Number]),0),MATCH(VLOOKUP(F$7,'Writing Logic'!$J$7:$K$11,2,FALSE)&amp;" - Per "&amp;VLOOKUP($C$4,'Writing Logic'!$G$8:$H$14,2,FALSE),YES_Writing_ELA[#Headers],0))=0,"",INDEX(_xlfn.VSTACK(YES_Writing_ELA[#Data],YES_Writing_FLA[#Data]),MATCH($A542,_xlfn.VSTACK(YES_Writing_ELA[Student Number],YES_Writing_FLA[Student Number]),0),MATCH(VLOOKUP(F$7,'Writing Logic'!$J$7:$K$11,2,FALSE)&amp;" - Per "&amp;VLOOKUP($C$4,'Writing Logic'!$G$8:$H$14,2,FALSE),YES_Writing_ELA[#Headers],0)))="INS",'Writing Logic'!$B$7,IF(INDEX(_xlfn.VSTACK(YES_Writing_ELA[#Data],YES_Writing_FLA[#Data]),MATCH($A542,_xlfn.VSTACK(YES_Writing_ELA[Student Number],YES_Writing_FLA[Student Number]),0),MATCH(VLOOKUP(F$7,'Writing Logic'!$J$7:$K$11,2,FALSE)&amp;" - Per "&amp;VLOOKUP($C$4,'Writing Logic'!$G$8:$H$14,2,FALSE),YES_Writing_ELA[#Headers],0))=0,"",INDEX(_xlfn.VSTACK(YES_Writing_ELA[#Data],YES_Writing_FLA[#Data]),MATCH($A542,_xlfn.VSTACK(YES_Writing_ELA[Student Number],YES_Writing_FLA[Student Number]),0),MATCH(VLOOKUP(F$7,'Writing Logic'!$J$7:$K$11,2,FALSE)&amp;" - Per "&amp;VLOOKUP($C$4,'Writing Logic'!$G$8:$H$14,2,FALSE),YES_Writing_ELA[#Headers],0)))),"")</f>
        <v/>
      </c>
      <c r="G542" s="138" t="str">
        <f>IFERROR(IF(IF(INDEX(_xlfn.VSTACK(YES_Writing_ELA[#Data],YES_Writing_FLA[#Data]),MATCH($A542,_xlfn.VSTACK(YES_Writing_ELA[Student Number],YES_Writing_FLA[Student Number]),0),MATCH(VLOOKUP(G$7,'Writing Logic'!$J$7:$K$11,2,FALSE)&amp;" - Per "&amp;VLOOKUP($C$4,'Writing Logic'!$G$8:$H$14,2,FALSE),YES_Writing_ELA[#Headers],0))=0,"",INDEX(_xlfn.VSTACK(YES_Writing_ELA[#Data],YES_Writing_FLA[#Data]),MATCH($A542,_xlfn.VSTACK(YES_Writing_ELA[Student Number],YES_Writing_FLA[Student Number]),0),MATCH(VLOOKUP(G$7,'Writing Logic'!$J$7:$K$11,2,FALSE)&amp;" - Per "&amp;VLOOKUP($C$4,'Writing Logic'!$G$8:$H$14,2,FALSE),YES_Writing_ELA[#Headers],0)))="INS",'Writing Logic'!$B$7,IF(INDEX(_xlfn.VSTACK(YES_Writing_ELA[#Data],YES_Writing_FLA[#Data]),MATCH($A542,_xlfn.VSTACK(YES_Writing_ELA[Student Number],YES_Writing_FLA[Student Number]),0),MATCH(VLOOKUP(G$7,'Writing Logic'!$J$7:$K$11,2,FALSE)&amp;" - Per "&amp;VLOOKUP($C$4,'Writing Logic'!$G$8:$H$14,2,FALSE),YES_Writing_ELA[#Headers],0))=0,"",INDEX(_xlfn.VSTACK(YES_Writing_ELA[#Data],YES_Writing_FLA[#Data]),MATCH($A542,_xlfn.VSTACK(YES_Writing_ELA[Student Number],YES_Writing_FLA[Student Number]),0),MATCH(VLOOKUP(G$7,'Writing Logic'!$J$7:$K$11,2,FALSE)&amp;" - Per "&amp;VLOOKUP($C$4,'Writing Logic'!$G$8:$H$14,2,FALSE),YES_Writing_ELA[#Headers],0)))),"")</f>
        <v/>
      </c>
      <c r="H542" s="223" t="str">
        <f>IFERROR(IF(IF(INDEX(_xlfn.VSTACK(YES_Writing_ELA[#Data],YES_Writing_FLA[#Data]),MATCH($A542,_xlfn.VSTACK(YES_Writing_ELA[Student Number],YES_Writing_FLA[Student Number]),0),MATCH(VLOOKUP(H$7,'Writing Logic'!$J$7:$K$11,2,FALSE)&amp;" - Per "&amp;VLOOKUP($C$4,'Writing Logic'!$G$8:$H$14,2,FALSE),YES_Writing_ELA[#Headers],0))=0,"",INDEX(_xlfn.VSTACK(YES_Writing_ELA[#Data],YES_Writing_FLA[#Data]),MATCH($A542,_xlfn.VSTACK(YES_Writing_ELA[Student Number],YES_Writing_FLA[Student Number]),0),MATCH(VLOOKUP(H$7,'Writing Logic'!$J$7:$K$11,2,FALSE)&amp;" - Per "&amp;VLOOKUP($C$4,'Writing Logic'!$G$8:$H$14,2,FALSE),YES_Writing_ELA[#Headers],0)))="INS",'Writing Logic'!$B$7,IF(INDEX(_xlfn.VSTACK(YES_Writing_ELA[#Data],YES_Writing_FLA[#Data]),MATCH($A542,_xlfn.VSTACK(YES_Writing_ELA[Student Number],YES_Writing_FLA[Student Number]),0),MATCH(VLOOKUP(H$7,'Writing Logic'!$J$7:$K$11,2,FALSE)&amp;" - Per "&amp;VLOOKUP($C$4,'Writing Logic'!$G$8:$H$14,2,FALSE),YES_Writing_ELA[#Headers],0))=0,"",INDEX(_xlfn.VSTACK(YES_Writing_ELA[#Data],YES_Writing_FLA[#Data]),MATCH($A542,_xlfn.VSTACK(YES_Writing_ELA[Student Number],YES_Writing_FLA[Student Number]),0),MATCH(VLOOKUP(H$7,'Writing Logic'!$J$7:$K$11,2,FALSE)&amp;" - Per "&amp;VLOOKUP($C$4,'Writing Logic'!$G$8:$H$14,2,FALSE),YES_Writing_ELA[#Headers],0)))),"")</f>
        <v/>
      </c>
      <c r="I542" s="224" t="str" cm="1">
        <f t="array" aca="1" ref="I542" ca="1">IFERROR(
IF($G$3="ELA",
IF(VLOOKUP($A542, YES_Reading_ELA[], COLUMN(INDIRECT("YES_Reading_ELA[Difference - Per "&amp;VLOOKUP($G$4, 'Reading Report Logic'!$A$2:$B$8, 2, FALSE)&amp;"]")), FALSE)="", "",
VLOOKUP($A542,YES_Reading_ELA[], COLUMN(INDIRECT("YES_Reading_ELA[Difference - Per "&amp;VLOOKUP($G$4,'Reading Report Logic'!$A$2:$B$8,2,FALSE)&amp;"]")), FALSE)),
IF($G$3="FLA",
IF(VLOOKUP($A542, YES_Reading_FLA[], COLUMN(INDIRECT("YES_Reading_FLA[Difference - Per "&amp;VLOOKUP($G$4,'Reading Report Logic'!$A$2:$B$8,2,FALSE)&amp;"]")),FALSE)="","",
VLOOKUP($A542,YES_Reading_FLA[],COLUMN(INDIRECT("YES_Reading_FLA[Difference - Per "&amp;VLOOKUP($G$4,'Reading Report Logic'!$A$2:$B$8,2,FALSE)&amp;"]")),FALSE)),
IF($G$3="Combined",
IFERROR(
IF(VLOOKUP($A542, YES_Reading_ELA[], COLUMN(INDIRECT("YES_Reading_ELA[Difference - Per "&amp;VLOOKUP($G$4, 'Reading Report Logic'!$A$2:$B$8,2,FALSE)&amp;"]")), FALSE)="", "",
VLOOKUP($A542,YES_Reading_ELA[],COLUMN(INDIRECT("YES_Reading_ELA[Difference - Per "&amp;VLOOKUP($G$4,'Reading Report Logic'!$A$2:$B$8,2,FALSE)&amp;"]")),FALSE)),
IF(VLOOKUP($A542, YES_Reading_FLA[], COLUMN(INDIRECT("YES_Reading_FLA[Difference - Per "&amp;VLOOKUP($G$4, 'Reading Report Logic'!$A$2:$B$8, 2, FALSE)&amp;"]")),FALSE)="", "", VLOOKUP($A542,YES_Reading_FLA[],COLUMN(INDIRECT("YES_Reading_FLA[Difference - Per "&amp;VLOOKUP($G$4, 'Reading Report Logic'!$A$2:$B$8, 2, FALSE)&amp;"]")),FALSE))),""))),"")</f>
        <v/>
      </c>
    </row>
    <row r="543" spans="1:9" x14ac:dyDescent="0.25">
      <c r="A543" s="137"/>
      <c r="B543" s="137" t="str">
        <f>IFERROR(INDEX(_xlfn.VSTACK(YES_Writing_ELA[#Data], YES_Writing_FLA[#Data]),MATCH($A543,_xlfn.VSTACK(YES_Writing_ELA[Student Number], YES_Writing_FLA[Student Number]),0),MATCH(B$7,YES_Writing_ELA[#Headers],0)),IFERROR(INDEX(_xlfn.VSTACK(YES_Reading_ELA[#Data], YES_Reading_FLA[#Data]),MATCH($A543,_xlfn.VSTACK(YES_Reading_ELA[Student Number], YES_Reading_FLA[Student Number]),0),MATCH(B$7,YES_Reading_ELA[#Headers],0)),""))</f>
        <v/>
      </c>
      <c r="C543" s="137" t="str">
        <f>IFERROR(INDEX(_xlfn.VSTACK(YES_Writing_ELA[#Data], YES_Writing_FLA[#Data]),MATCH($A543,_xlfn.VSTACK(YES_Writing_ELA[Student Number], YES_Writing_FLA[Student Number]),0),MATCH(C$7,YES_Writing_ELA[#Headers],0)),IFERROR(INDEX(_xlfn.VSTACK(YES_Reading_ELA[#Data], YES_Reading_FLA[#Data]),MATCH($A543,_xlfn.VSTACK(YES_Reading_ELA[Student Number], YES_Reading_FLA[Student Number]),0),MATCH(C$7,YES_Reading_ELA[#Headers],0)),""))</f>
        <v/>
      </c>
      <c r="D543" s="138" t="str">
        <f>IFERROR(IF(IF(INDEX(_xlfn.VSTACK(YES_Writing_ELA[#Data],YES_Writing_FLA[#Data]),MATCH($A543,_xlfn.VSTACK(YES_Writing_ELA[Student Number],YES_Writing_FLA[Student Number]),0),MATCH(VLOOKUP(D$7,'Writing Logic'!$J$7:$K$11,2,FALSE)&amp;" - Per "&amp;VLOOKUP($C$4,'Writing Logic'!$G$8:$H$14,2,FALSE),YES_Writing_ELA[#Headers],0))=0,"",INDEX(_xlfn.VSTACK(YES_Writing_ELA[#Data],YES_Writing_FLA[#Data]),MATCH($A543,_xlfn.VSTACK(YES_Writing_ELA[Student Number],YES_Writing_FLA[Student Number]),0),MATCH(VLOOKUP(D$7,'Writing Logic'!$J$7:$K$11,2,FALSE)&amp;" - Per "&amp;VLOOKUP($C$4,'Writing Logic'!$G$8:$H$14,2,FALSE),YES_Writing_ELA[#Headers],0)))="INS",'Writing Logic'!$B$7,IF(INDEX(_xlfn.VSTACK(YES_Writing_ELA[#Data],YES_Writing_FLA[#Data]),MATCH($A543,_xlfn.VSTACK(YES_Writing_ELA[Student Number],YES_Writing_FLA[Student Number]),0),MATCH(VLOOKUP(D$7,'Writing Logic'!$J$7:$K$11,2,FALSE)&amp;" - Per "&amp;VLOOKUP($C$4,'Writing Logic'!$G$8:$H$14,2,FALSE),YES_Writing_ELA[#Headers],0))=0,"",INDEX(_xlfn.VSTACK(YES_Writing_ELA[#Data],YES_Writing_FLA[#Data]),MATCH($A543,_xlfn.VSTACK(YES_Writing_ELA[Student Number],YES_Writing_FLA[Student Number]),0),MATCH(VLOOKUP(D$7,'Writing Logic'!$J$7:$K$11,2,FALSE)&amp;" - Per "&amp;VLOOKUP($C$4,'Writing Logic'!$G$8:$H$14,2,FALSE),YES_Writing_ELA[#Headers],0)))),"")</f>
        <v/>
      </c>
      <c r="E543" s="138" t="str">
        <f>IFERROR(IF(IF(INDEX(_xlfn.VSTACK(YES_Writing_ELA[#Data],YES_Writing_FLA[#Data]),MATCH($A543,_xlfn.VSTACK(YES_Writing_ELA[Student Number],YES_Writing_FLA[Student Number]),0),MATCH(VLOOKUP(E$7,'Writing Logic'!$J$7:$K$11,2,FALSE)&amp;" - Per "&amp;VLOOKUP($C$4,'Writing Logic'!$G$8:$H$14,2,FALSE),YES_Writing_ELA[#Headers],0))=0,"",INDEX(_xlfn.VSTACK(YES_Writing_ELA[#Data],YES_Writing_FLA[#Data]),MATCH($A543,_xlfn.VSTACK(YES_Writing_ELA[Student Number],YES_Writing_FLA[Student Number]),0),MATCH(VLOOKUP(E$7,'Writing Logic'!$J$7:$K$11,2,FALSE)&amp;" - Per "&amp;VLOOKUP($C$4,'Writing Logic'!$G$8:$H$14,2,FALSE),YES_Writing_ELA[#Headers],0)))="INS",'Writing Logic'!$B$7,IF(INDEX(_xlfn.VSTACK(YES_Writing_ELA[#Data],YES_Writing_FLA[#Data]),MATCH($A543,_xlfn.VSTACK(YES_Writing_ELA[Student Number],YES_Writing_FLA[Student Number]),0),MATCH(VLOOKUP(E$7,'Writing Logic'!$J$7:$K$11,2,FALSE)&amp;" - Per "&amp;VLOOKUP($C$4,'Writing Logic'!$G$8:$H$14,2,FALSE),YES_Writing_ELA[#Headers],0))=0,"",INDEX(_xlfn.VSTACK(YES_Writing_ELA[#Data],YES_Writing_FLA[#Data]),MATCH($A543,_xlfn.VSTACK(YES_Writing_ELA[Student Number],YES_Writing_FLA[Student Number]),0),MATCH(VLOOKUP(E$7,'Writing Logic'!$J$7:$K$11,2,FALSE)&amp;" - Per "&amp;VLOOKUP($C$4,'Writing Logic'!$G$8:$H$14,2,FALSE),YES_Writing_ELA[#Headers],0)))),"")</f>
        <v/>
      </c>
      <c r="F543" s="138" t="str">
        <f>IFERROR(IF(IF(INDEX(_xlfn.VSTACK(YES_Writing_ELA[#Data],YES_Writing_FLA[#Data]),MATCH($A543,_xlfn.VSTACK(YES_Writing_ELA[Student Number],YES_Writing_FLA[Student Number]),0),MATCH(VLOOKUP(F$7,'Writing Logic'!$J$7:$K$11,2,FALSE)&amp;" - Per "&amp;VLOOKUP($C$4,'Writing Logic'!$G$8:$H$14,2,FALSE),YES_Writing_ELA[#Headers],0))=0,"",INDEX(_xlfn.VSTACK(YES_Writing_ELA[#Data],YES_Writing_FLA[#Data]),MATCH($A543,_xlfn.VSTACK(YES_Writing_ELA[Student Number],YES_Writing_FLA[Student Number]),0),MATCH(VLOOKUP(F$7,'Writing Logic'!$J$7:$K$11,2,FALSE)&amp;" - Per "&amp;VLOOKUP($C$4,'Writing Logic'!$G$8:$H$14,2,FALSE),YES_Writing_ELA[#Headers],0)))="INS",'Writing Logic'!$B$7,IF(INDEX(_xlfn.VSTACK(YES_Writing_ELA[#Data],YES_Writing_FLA[#Data]),MATCH($A543,_xlfn.VSTACK(YES_Writing_ELA[Student Number],YES_Writing_FLA[Student Number]),0),MATCH(VLOOKUP(F$7,'Writing Logic'!$J$7:$K$11,2,FALSE)&amp;" - Per "&amp;VLOOKUP($C$4,'Writing Logic'!$G$8:$H$14,2,FALSE),YES_Writing_ELA[#Headers],0))=0,"",INDEX(_xlfn.VSTACK(YES_Writing_ELA[#Data],YES_Writing_FLA[#Data]),MATCH($A543,_xlfn.VSTACK(YES_Writing_ELA[Student Number],YES_Writing_FLA[Student Number]),0),MATCH(VLOOKUP(F$7,'Writing Logic'!$J$7:$K$11,2,FALSE)&amp;" - Per "&amp;VLOOKUP($C$4,'Writing Logic'!$G$8:$H$14,2,FALSE),YES_Writing_ELA[#Headers],0)))),"")</f>
        <v/>
      </c>
      <c r="G543" s="138" t="str">
        <f>IFERROR(IF(IF(INDEX(_xlfn.VSTACK(YES_Writing_ELA[#Data],YES_Writing_FLA[#Data]),MATCH($A543,_xlfn.VSTACK(YES_Writing_ELA[Student Number],YES_Writing_FLA[Student Number]),0),MATCH(VLOOKUP(G$7,'Writing Logic'!$J$7:$K$11,2,FALSE)&amp;" - Per "&amp;VLOOKUP($C$4,'Writing Logic'!$G$8:$H$14,2,FALSE),YES_Writing_ELA[#Headers],0))=0,"",INDEX(_xlfn.VSTACK(YES_Writing_ELA[#Data],YES_Writing_FLA[#Data]),MATCH($A543,_xlfn.VSTACK(YES_Writing_ELA[Student Number],YES_Writing_FLA[Student Number]),0),MATCH(VLOOKUP(G$7,'Writing Logic'!$J$7:$K$11,2,FALSE)&amp;" - Per "&amp;VLOOKUP($C$4,'Writing Logic'!$G$8:$H$14,2,FALSE),YES_Writing_ELA[#Headers],0)))="INS",'Writing Logic'!$B$7,IF(INDEX(_xlfn.VSTACK(YES_Writing_ELA[#Data],YES_Writing_FLA[#Data]),MATCH($A543,_xlfn.VSTACK(YES_Writing_ELA[Student Number],YES_Writing_FLA[Student Number]),0),MATCH(VLOOKUP(G$7,'Writing Logic'!$J$7:$K$11,2,FALSE)&amp;" - Per "&amp;VLOOKUP($C$4,'Writing Logic'!$G$8:$H$14,2,FALSE),YES_Writing_ELA[#Headers],0))=0,"",INDEX(_xlfn.VSTACK(YES_Writing_ELA[#Data],YES_Writing_FLA[#Data]),MATCH($A543,_xlfn.VSTACK(YES_Writing_ELA[Student Number],YES_Writing_FLA[Student Number]),0),MATCH(VLOOKUP(G$7,'Writing Logic'!$J$7:$K$11,2,FALSE)&amp;" - Per "&amp;VLOOKUP($C$4,'Writing Logic'!$G$8:$H$14,2,FALSE),YES_Writing_ELA[#Headers],0)))),"")</f>
        <v/>
      </c>
      <c r="H543" s="223" t="str">
        <f>IFERROR(IF(IF(INDEX(_xlfn.VSTACK(YES_Writing_ELA[#Data],YES_Writing_FLA[#Data]),MATCH($A543,_xlfn.VSTACK(YES_Writing_ELA[Student Number],YES_Writing_FLA[Student Number]),0),MATCH(VLOOKUP(H$7,'Writing Logic'!$J$7:$K$11,2,FALSE)&amp;" - Per "&amp;VLOOKUP($C$4,'Writing Logic'!$G$8:$H$14,2,FALSE),YES_Writing_ELA[#Headers],0))=0,"",INDEX(_xlfn.VSTACK(YES_Writing_ELA[#Data],YES_Writing_FLA[#Data]),MATCH($A543,_xlfn.VSTACK(YES_Writing_ELA[Student Number],YES_Writing_FLA[Student Number]),0),MATCH(VLOOKUP(H$7,'Writing Logic'!$J$7:$K$11,2,FALSE)&amp;" - Per "&amp;VLOOKUP($C$4,'Writing Logic'!$G$8:$H$14,2,FALSE),YES_Writing_ELA[#Headers],0)))="INS",'Writing Logic'!$B$7,IF(INDEX(_xlfn.VSTACK(YES_Writing_ELA[#Data],YES_Writing_FLA[#Data]),MATCH($A543,_xlfn.VSTACK(YES_Writing_ELA[Student Number],YES_Writing_FLA[Student Number]),0),MATCH(VLOOKUP(H$7,'Writing Logic'!$J$7:$K$11,2,FALSE)&amp;" - Per "&amp;VLOOKUP($C$4,'Writing Logic'!$G$8:$H$14,2,FALSE),YES_Writing_ELA[#Headers],0))=0,"",INDEX(_xlfn.VSTACK(YES_Writing_ELA[#Data],YES_Writing_FLA[#Data]),MATCH($A543,_xlfn.VSTACK(YES_Writing_ELA[Student Number],YES_Writing_FLA[Student Number]),0),MATCH(VLOOKUP(H$7,'Writing Logic'!$J$7:$K$11,2,FALSE)&amp;" - Per "&amp;VLOOKUP($C$4,'Writing Logic'!$G$8:$H$14,2,FALSE),YES_Writing_ELA[#Headers],0)))),"")</f>
        <v/>
      </c>
      <c r="I543" s="224" t="str" cm="1">
        <f t="array" aca="1" ref="I543" ca="1">IFERROR(
IF($G$3="ELA",
IF(VLOOKUP($A543, YES_Reading_ELA[], COLUMN(INDIRECT("YES_Reading_ELA[Difference - Per "&amp;VLOOKUP($G$4, 'Reading Report Logic'!$A$2:$B$8, 2, FALSE)&amp;"]")), FALSE)="", "",
VLOOKUP($A543,YES_Reading_ELA[], COLUMN(INDIRECT("YES_Reading_ELA[Difference - Per "&amp;VLOOKUP($G$4,'Reading Report Logic'!$A$2:$B$8,2,FALSE)&amp;"]")), FALSE)),
IF($G$3="FLA",
IF(VLOOKUP($A543, YES_Reading_FLA[], COLUMN(INDIRECT("YES_Reading_FLA[Difference - Per "&amp;VLOOKUP($G$4,'Reading Report Logic'!$A$2:$B$8,2,FALSE)&amp;"]")),FALSE)="","",
VLOOKUP($A543,YES_Reading_FLA[],COLUMN(INDIRECT("YES_Reading_FLA[Difference - Per "&amp;VLOOKUP($G$4,'Reading Report Logic'!$A$2:$B$8,2,FALSE)&amp;"]")),FALSE)),
IF($G$3="Combined",
IFERROR(
IF(VLOOKUP($A543, YES_Reading_ELA[], COLUMN(INDIRECT("YES_Reading_ELA[Difference - Per "&amp;VLOOKUP($G$4, 'Reading Report Logic'!$A$2:$B$8,2,FALSE)&amp;"]")), FALSE)="", "",
VLOOKUP($A543,YES_Reading_ELA[],COLUMN(INDIRECT("YES_Reading_ELA[Difference - Per "&amp;VLOOKUP($G$4,'Reading Report Logic'!$A$2:$B$8,2,FALSE)&amp;"]")),FALSE)),
IF(VLOOKUP($A543, YES_Reading_FLA[], COLUMN(INDIRECT("YES_Reading_FLA[Difference - Per "&amp;VLOOKUP($G$4, 'Reading Report Logic'!$A$2:$B$8, 2, FALSE)&amp;"]")),FALSE)="", "", VLOOKUP($A543,YES_Reading_FLA[],COLUMN(INDIRECT("YES_Reading_FLA[Difference - Per "&amp;VLOOKUP($G$4, 'Reading Report Logic'!$A$2:$B$8, 2, FALSE)&amp;"]")),FALSE))),""))),"")</f>
        <v/>
      </c>
    </row>
    <row r="544" spans="1:9" x14ac:dyDescent="0.25">
      <c r="A544" s="137"/>
      <c r="B544" s="137" t="str">
        <f>IFERROR(INDEX(_xlfn.VSTACK(YES_Writing_ELA[#Data], YES_Writing_FLA[#Data]),MATCH($A544,_xlfn.VSTACK(YES_Writing_ELA[Student Number], YES_Writing_FLA[Student Number]),0),MATCH(B$7,YES_Writing_ELA[#Headers],0)),IFERROR(INDEX(_xlfn.VSTACK(YES_Reading_ELA[#Data], YES_Reading_FLA[#Data]),MATCH($A544,_xlfn.VSTACK(YES_Reading_ELA[Student Number], YES_Reading_FLA[Student Number]),0),MATCH(B$7,YES_Reading_ELA[#Headers],0)),""))</f>
        <v/>
      </c>
      <c r="C544" s="137" t="str">
        <f>IFERROR(INDEX(_xlfn.VSTACK(YES_Writing_ELA[#Data], YES_Writing_FLA[#Data]),MATCH($A544,_xlfn.VSTACK(YES_Writing_ELA[Student Number], YES_Writing_FLA[Student Number]),0),MATCH(C$7,YES_Writing_ELA[#Headers],0)),IFERROR(INDEX(_xlfn.VSTACK(YES_Reading_ELA[#Data], YES_Reading_FLA[#Data]),MATCH($A544,_xlfn.VSTACK(YES_Reading_ELA[Student Number], YES_Reading_FLA[Student Number]),0),MATCH(C$7,YES_Reading_ELA[#Headers],0)),""))</f>
        <v/>
      </c>
      <c r="D544" s="138" t="str">
        <f>IFERROR(IF(IF(INDEX(_xlfn.VSTACK(YES_Writing_ELA[#Data],YES_Writing_FLA[#Data]),MATCH($A544,_xlfn.VSTACK(YES_Writing_ELA[Student Number],YES_Writing_FLA[Student Number]),0),MATCH(VLOOKUP(D$7,'Writing Logic'!$J$7:$K$11,2,FALSE)&amp;" - Per "&amp;VLOOKUP($C$4,'Writing Logic'!$G$8:$H$14,2,FALSE),YES_Writing_ELA[#Headers],0))=0,"",INDEX(_xlfn.VSTACK(YES_Writing_ELA[#Data],YES_Writing_FLA[#Data]),MATCH($A544,_xlfn.VSTACK(YES_Writing_ELA[Student Number],YES_Writing_FLA[Student Number]),0),MATCH(VLOOKUP(D$7,'Writing Logic'!$J$7:$K$11,2,FALSE)&amp;" - Per "&amp;VLOOKUP($C$4,'Writing Logic'!$G$8:$H$14,2,FALSE),YES_Writing_ELA[#Headers],0)))="INS",'Writing Logic'!$B$7,IF(INDEX(_xlfn.VSTACK(YES_Writing_ELA[#Data],YES_Writing_FLA[#Data]),MATCH($A544,_xlfn.VSTACK(YES_Writing_ELA[Student Number],YES_Writing_FLA[Student Number]),0),MATCH(VLOOKUP(D$7,'Writing Logic'!$J$7:$K$11,2,FALSE)&amp;" - Per "&amp;VLOOKUP($C$4,'Writing Logic'!$G$8:$H$14,2,FALSE),YES_Writing_ELA[#Headers],0))=0,"",INDEX(_xlfn.VSTACK(YES_Writing_ELA[#Data],YES_Writing_FLA[#Data]),MATCH($A544,_xlfn.VSTACK(YES_Writing_ELA[Student Number],YES_Writing_FLA[Student Number]),0),MATCH(VLOOKUP(D$7,'Writing Logic'!$J$7:$K$11,2,FALSE)&amp;" - Per "&amp;VLOOKUP($C$4,'Writing Logic'!$G$8:$H$14,2,FALSE),YES_Writing_ELA[#Headers],0)))),"")</f>
        <v/>
      </c>
      <c r="E544" s="138" t="str">
        <f>IFERROR(IF(IF(INDEX(_xlfn.VSTACK(YES_Writing_ELA[#Data],YES_Writing_FLA[#Data]),MATCH($A544,_xlfn.VSTACK(YES_Writing_ELA[Student Number],YES_Writing_FLA[Student Number]),0),MATCH(VLOOKUP(E$7,'Writing Logic'!$J$7:$K$11,2,FALSE)&amp;" - Per "&amp;VLOOKUP($C$4,'Writing Logic'!$G$8:$H$14,2,FALSE),YES_Writing_ELA[#Headers],0))=0,"",INDEX(_xlfn.VSTACK(YES_Writing_ELA[#Data],YES_Writing_FLA[#Data]),MATCH($A544,_xlfn.VSTACK(YES_Writing_ELA[Student Number],YES_Writing_FLA[Student Number]),0),MATCH(VLOOKUP(E$7,'Writing Logic'!$J$7:$K$11,2,FALSE)&amp;" - Per "&amp;VLOOKUP($C$4,'Writing Logic'!$G$8:$H$14,2,FALSE),YES_Writing_ELA[#Headers],0)))="INS",'Writing Logic'!$B$7,IF(INDEX(_xlfn.VSTACK(YES_Writing_ELA[#Data],YES_Writing_FLA[#Data]),MATCH($A544,_xlfn.VSTACK(YES_Writing_ELA[Student Number],YES_Writing_FLA[Student Number]),0),MATCH(VLOOKUP(E$7,'Writing Logic'!$J$7:$K$11,2,FALSE)&amp;" - Per "&amp;VLOOKUP($C$4,'Writing Logic'!$G$8:$H$14,2,FALSE),YES_Writing_ELA[#Headers],0))=0,"",INDEX(_xlfn.VSTACK(YES_Writing_ELA[#Data],YES_Writing_FLA[#Data]),MATCH($A544,_xlfn.VSTACK(YES_Writing_ELA[Student Number],YES_Writing_FLA[Student Number]),0),MATCH(VLOOKUP(E$7,'Writing Logic'!$J$7:$K$11,2,FALSE)&amp;" - Per "&amp;VLOOKUP($C$4,'Writing Logic'!$G$8:$H$14,2,FALSE),YES_Writing_ELA[#Headers],0)))),"")</f>
        <v/>
      </c>
      <c r="F544" s="138" t="str">
        <f>IFERROR(IF(IF(INDEX(_xlfn.VSTACK(YES_Writing_ELA[#Data],YES_Writing_FLA[#Data]),MATCH($A544,_xlfn.VSTACK(YES_Writing_ELA[Student Number],YES_Writing_FLA[Student Number]),0),MATCH(VLOOKUP(F$7,'Writing Logic'!$J$7:$K$11,2,FALSE)&amp;" - Per "&amp;VLOOKUP($C$4,'Writing Logic'!$G$8:$H$14,2,FALSE),YES_Writing_ELA[#Headers],0))=0,"",INDEX(_xlfn.VSTACK(YES_Writing_ELA[#Data],YES_Writing_FLA[#Data]),MATCH($A544,_xlfn.VSTACK(YES_Writing_ELA[Student Number],YES_Writing_FLA[Student Number]),0),MATCH(VLOOKUP(F$7,'Writing Logic'!$J$7:$K$11,2,FALSE)&amp;" - Per "&amp;VLOOKUP($C$4,'Writing Logic'!$G$8:$H$14,2,FALSE),YES_Writing_ELA[#Headers],0)))="INS",'Writing Logic'!$B$7,IF(INDEX(_xlfn.VSTACK(YES_Writing_ELA[#Data],YES_Writing_FLA[#Data]),MATCH($A544,_xlfn.VSTACK(YES_Writing_ELA[Student Number],YES_Writing_FLA[Student Number]),0),MATCH(VLOOKUP(F$7,'Writing Logic'!$J$7:$K$11,2,FALSE)&amp;" - Per "&amp;VLOOKUP($C$4,'Writing Logic'!$G$8:$H$14,2,FALSE),YES_Writing_ELA[#Headers],0))=0,"",INDEX(_xlfn.VSTACK(YES_Writing_ELA[#Data],YES_Writing_FLA[#Data]),MATCH($A544,_xlfn.VSTACK(YES_Writing_ELA[Student Number],YES_Writing_FLA[Student Number]),0),MATCH(VLOOKUP(F$7,'Writing Logic'!$J$7:$K$11,2,FALSE)&amp;" - Per "&amp;VLOOKUP($C$4,'Writing Logic'!$G$8:$H$14,2,FALSE),YES_Writing_ELA[#Headers],0)))),"")</f>
        <v/>
      </c>
      <c r="G544" s="138" t="str">
        <f>IFERROR(IF(IF(INDEX(_xlfn.VSTACK(YES_Writing_ELA[#Data],YES_Writing_FLA[#Data]),MATCH($A544,_xlfn.VSTACK(YES_Writing_ELA[Student Number],YES_Writing_FLA[Student Number]),0),MATCH(VLOOKUP(G$7,'Writing Logic'!$J$7:$K$11,2,FALSE)&amp;" - Per "&amp;VLOOKUP($C$4,'Writing Logic'!$G$8:$H$14,2,FALSE),YES_Writing_ELA[#Headers],0))=0,"",INDEX(_xlfn.VSTACK(YES_Writing_ELA[#Data],YES_Writing_FLA[#Data]),MATCH($A544,_xlfn.VSTACK(YES_Writing_ELA[Student Number],YES_Writing_FLA[Student Number]),0),MATCH(VLOOKUP(G$7,'Writing Logic'!$J$7:$K$11,2,FALSE)&amp;" - Per "&amp;VLOOKUP($C$4,'Writing Logic'!$G$8:$H$14,2,FALSE),YES_Writing_ELA[#Headers],0)))="INS",'Writing Logic'!$B$7,IF(INDEX(_xlfn.VSTACK(YES_Writing_ELA[#Data],YES_Writing_FLA[#Data]),MATCH($A544,_xlfn.VSTACK(YES_Writing_ELA[Student Number],YES_Writing_FLA[Student Number]),0),MATCH(VLOOKUP(G$7,'Writing Logic'!$J$7:$K$11,2,FALSE)&amp;" - Per "&amp;VLOOKUP($C$4,'Writing Logic'!$G$8:$H$14,2,FALSE),YES_Writing_ELA[#Headers],0))=0,"",INDEX(_xlfn.VSTACK(YES_Writing_ELA[#Data],YES_Writing_FLA[#Data]),MATCH($A544,_xlfn.VSTACK(YES_Writing_ELA[Student Number],YES_Writing_FLA[Student Number]),0),MATCH(VLOOKUP(G$7,'Writing Logic'!$J$7:$K$11,2,FALSE)&amp;" - Per "&amp;VLOOKUP($C$4,'Writing Logic'!$G$8:$H$14,2,FALSE),YES_Writing_ELA[#Headers],0)))),"")</f>
        <v/>
      </c>
      <c r="H544" s="223" t="str">
        <f>IFERROR(IF(IF(INDEX(_xlfn.VSTACK(YES_Writing_ELA[#Data],YES_Writing_FLA[#Data]),MATCH($A544,_xlfn.VSTACK(YES_Writing_ELA[Student Number],YES_Writing_FLA[Student Number]),0),MATCH(VLOOKUP(H$7,'Writing Logic'!$J$7:$K$11,2,FALSE)&amp;" - Per "&amp;VLOOKUP($C$4,'Writing Logic'!$G$8:$H$14,2,FALSE),YES_Writing_ELA[#Headers],0))=0,"",INDEX(_xlfn.VSTACK(YES_Writing_ELA[#Data],YES_Writing_FLA[#Data]),MATCH($A544,_xlfn.VSTACK(YES_Writing_ELA[Student Number],YES_Writing_FLA[Student Number]),0),MATCH(VLOOKUP(H$7,'Writing Logic'!$J$7:$K$11,2,FALSE)&amp;" - Per "&amp;VLOOKUP($C$4,'Writing Logic'!$G$8:$H$14,2,FALSE),YES_Writing_ELA[#Headers],0)))="INS",'Writing Logic'!$B$7,IF(INDEX(_xlfn.VSTACK(YES_Writing_ELA[#Data],YES_Writing_FLA[#Data]),MATCH($A544,_xlfn.VSTACK(YES_Writing_ELA[Student Number],YES_Writing_FLA[Student Number]),0),MATCH(VLOOKUP(H$7,'Writing Logic'!$J$7:$K$11,2,FALSE)&amp;" - Per "&amp;VLOOKUP($C$4,'Writing Logic'!$G$8:$H$14,2,FALSE),YES_Writing_ELA[#Headers],0))=0,"",INDEX(_xlfn.VSTACK(YES_Writing_ELA[#Data],YES_Writing_FLA[#Data]),MATCH($A544,_xlfn.VSTACK(YES_Writing_ELA[Student Number],YES_Writing_FLA[Student Number]),0),MATCH(VLOOKUP(H$7,'Writing Logic'!$J$7:$K$11,2,FALSE)&amp;" - Per "&amp;VLOOKUP($C$4,'Writing Logic'!$G$8:$H$14,2,FALSE),YES_Writing_ELA[#Headers],0)))),"")</f>
        <v/>
      </c>
      <c r="I544" s="224" t="str" cm="1">
        <f t="array" aca="1" ref="I544" ca="1">IFERROR(
IF($G$3="ELA",
IF(VLOOKUP($A544, YES_Reading_ELA[], COLUMN(INDIRECT("YES_Reading_ELA[Difference - Per "&amp;VLOOKUP($G$4, 'Reading Report Logic'!$A$2:$B$8, 2, FALSE)&amp;"]")), FALSE)="", "",
VLOOKUP($A544,YES_Reading_ELA[], COLUMN(INDIRECT("YES_Reading_ELA[Difference - Per "&amp;VLOOKUP($G$4,'Reading Report Logic'!$A$2:$B$8,2,FALSE)&amp;"]")), FALSE)),
IF($G$3="FLA",
IF(VLOOKUP($A544, YES_Reading_FLA[], COLUMN(INDIRECT("YES_Reading_FLA[Difference - Per "&amp;VLOOKUP($G$4,'Reading Report Logic'!$A$2:$B$8,2,FALSE)&amp;"]")),FALSE)="","",
VLOOKUP($A544,YES_Reading_FLA[],COLUMN(INDIRECT("YES_Reading_FLA[Difference - Per "&amp;VLOOKUP($G$4,'Reading Report Logic'!$A$2:$B$8,2,FALSE)&amp;"]")),FALSE)),
IF($G$3="Combined",
IFERROR(
IF(VLOOKUP($A544, YES_Reading_ELA[], COLUMN(INDIRECT("YES_Reading_ELA[Difference - Per "&amp;VLOOKUP($G$4, 'Reading Report Logic'!$A$2:$B$8,2,FALSE)&amp;"]")), FALSE)="", "",
VLOOKUP($A544,YES_Reading_ELA[],COLUMN(INDIRECT("YES_Reading_ELA[Difference - Per "&amp;VLOOKUP($G$4,'Reading Report Logic'!$A$2:$B$8,2,FALSE)&amp;"]")),FALSE)),
IF(VLOOKUP($A544, YES_Reading_FLA[], COLUMN(INDIRECT("YES_Reading_FLA[Difference - Per "&amp;VLOOKUP($G$4, 'Reading Report Logic'!$A$2:$B$8, 2, FALSE)&amp;"]")),FALSE)="", "", VLOOKUP($A544,YES_Reading_FLA[],COLUMN(INDIRECT("YES_Reading_FLA[Difference - Per "&amp;VLOOKUP($G$4, 'Reading Report Logic'!$A$2:$B$8, 2, FALSE)&amp;"]")),FALSE))),""))),"")</f>
        <v/>
      </c>
    </row>
    <row r="545" spans="1:9" x14ac:dyDescent="0.25">
      <c r="A545" s="137"/>
      <c r="B545" s="137" t="str">
        <f>IFERROR(INDEX(_xlfn.VSTACK(YES_Writing_ELA[#Data], YES_Writing_FLA[#Data]),MATCH($A545,_xlfn.VSTACK(YES_Writing_ELA[Student Number], YES_Writing_FLA[Student Number]),0),MATCH(B$7,YES_Writing_ELA[#Headers],0)),IFERROR(INDEX(_xlfn.VSTACK(YES_Reading_ELA[#Data], YES_Reading_FLA[#Data]),MATCH($A545,_xlfn.VSTACK(YES_Reading_ELA[Student Number], YES_Reading_FLA[Student Number]),0),MATCH(B$7,YES_Reading_ELA[#Headers],0)),""))</f>
        <v/>
      </c>
      <c r="C545" s="137" t="str">
        <f>IFERROR(INDEX(_xlfn.VSTACK(YES_Writing_ELA[#Data], YES_Writing_FLA[#Data]),MATCH($A545,_xlfn.VSTACK(YES_Writing_ELA[Student Number], YES_Writing_FLA[Student Number]),0),MATCH(C$7,YES_Writing_ELA[#Headers],0)),IFERROR(INDEX(_xlfn.VSTACK(YES_Reading_ELA[#Data], YES_Reading_FLA[#Data]),MATCH($A545,_xlfn.VSTACK(YES_Reading_ELA[Student Number], YES_Reading_FLA[Student Number]),0),MATCH(C$7,YES_Reading_ELA[#Headers],0)),""))</f>
        <v/>
      </c>
      <c r="D545" s="138" t="str">
        <f>IFERROR(IF(IF(INDEX(_xlfn.VSTACK(YES_Writing_ELA[#Data],YES_Writing_FLA[#Data]),MATCH($A545,_xlfn.VSTACK(YES_Writing_ELA[Student Number],YES_Writing_FLA[Student Number]),0),MATCH(VLOOKUP(D$7,'Writing Logic'!$J$7:$K$11,2,FALSE)&amp;" - Per "&amp;VLOOKUP($C$4,'Writing Logic'!$G$8:$H$14,2,FALSE),YES_Writing_ELA[#Headers],0))=0,"",INDEX(_xlfn.VSTACK(YES_Writing_ELA[#Data],YES_Writing_FLA[#Data]),MATCH($A545,_xlfn.VSTACK(YES_Writing_ELA[Student Number],YES_Writing_FLA[Student Number]),0),MATCH(VLOOKUP(D$7,'Writing Logic'!$J$7:$K$11,2,FALSE)&amp;" - Per "&amp;VLOOKUP($C$4,'Writing Logic'!$G$8:$H$14,2,FALSE),YES_Writing_ELA[#Headers],0)))="INS",'Writing Logic'!$B$7,IF(INDEX(_xlfn.VSTACK(YES_Writing_ELA[#Data],YES_Writing_FLA[#Data]),MATCH($A545,_xlfn.VSTACK(YES_Writing_ELA[Student Number],YES_Writing_FLA[Student Number]),0),MATCH(VLOOKUP(D$7,'Writing Logic'!$J$7:$K$11,2,FALSE)&amp;" - Per "&amp;VLOOKUP($C$4,'Writing Logic'!$G$8:$H$14,2,FALSE),YES_Writing_ELA[#Headers],0))=0,"",INDEX(_xlfn.VSTACK(YES_Writing_ELA[#Data],YES_Writing_FLA[#Data]),MATCH($A545,_xlfn.VSTACK(YES_Writing_ELA[Student Number],YES_Writing_FLA[Student Number]),0),MATCH(VLOOKUP(D$7,'Writing Logic'!$J$7:$K$11,2,FALSE)&amp;" - Per "&amp;VLOOKUP($C$4,'Writing Logic'!$G$8:$H$14,2,FALSE),YES_Writing_ELA[#Headers],0)))),"")</f>
        <v/>
      </c>
      <c r="E545" s="138" t="str">
        <f>IFERROR(IF(IF(INDEX(_xlfn.VSTACK(YES_Writing_ELA[#Data],YES_Writing_FLA[#Data]),MATCH($A545,_xlfn.VSTACK(YES_Writing_ELA[Student Number],YES_Writing_FLA[Student Number]),0),MATCH(VLOOKUP(E$7,'Writing Logic'!$J$7:$K$11,2,FALSE)&amp;" - Per "&amp;VLOOKUP($C$4,'Writing Logic'!$G$8:$H$14,2,FALSE),YES_Writing_ELA[#Headers],0))=0,"",INDEX(_xlfn.VSTACK(YES_Writing_ELA[#Data],YES_Writing_FLA[#Data]),MATCH($A545,_xlfn.VSTACK(YES_Writing_ELA[Student Number],YES_Writing_FLA[Student Number]),0),MATCH(VLOOKUP(E$7,'Writing Logic'!$J$7:$K$11,2,FALSE)&amp;" - Per "&amp;VLOOKUP($C$4,'Writing Logic'!$G$8:$H$14,2,FALSE),YES_Writing_ELA[#Headers],0)))="INS",'Writing Logic'!$B$7,IF(INDEX(_xlfn.VSTACK(YES_Writing_ELA[#Data],YES_Writing_FLA[#Data]),MATCH($A545,_xlfn.VSTACK(YES_Writing_ELA[Student Number],YES_Writing_FLA[Student Number]),0),MATCH(VLOOKUP(E$7,'Writing Logic'!$J$7:$K$11,2,FALSE)&amp;" - Per "&amp;VLOOKUP($C$4,'Writing Logic'!$G$8:$H$14,2,FALSE),YES_Writing_ELA[#Headers],0))=0,"",INDEX(_xlfn.VSTACK(YES_Writing_ELA[#Data],YES_Writing_FLA[#Data]),MATCH($A545,_xlfn.VSTACK(YES_Writing_ELA[Student Number],YES_Writing_FLA[Student Number]),0),MATCH(VLOOKUP(E$7,'Writing Logic'!$J$7:$K$11,2,FALSE)&amp;" - Per "&amp;VLOOKUP($C$4,'Writing Logic'!$G$8:$H$14,2,FALSE),YES_Writing_ELA[#Headers],0)))),"")</f>
        <v/>
      </c>
      <c r="F545" s="138" t="str">
        <f>IFERROR(IF(IF(INDEX(_xlfn.VSTACK(YES_Writing_ELA[#Data],YES_Writing_FLA[#Data]),MATCH($A545,_xlfn.VSTACK(YES_Writing_ELA[Student Number],YES_Writing_FLA[Student Number]),0),MATCH(VLOOKUP(F$7,'Writing Logic'!$J$7:$K$11,2,FALSE)&amp;" - Per "&amp;VLOOKUP($C$4,'Writing Logic'!$G$8:$H$14,2,FALSE),YES_Writing_ELA[#Headers],0))=0,"",INDEX(_xlfn.VSTACK(YES_Writing_ELA[#Data],YES_Writing_FLA[#Data]),MATCH($A545,_xlfn.VSTACK(YES_Writing_ELA[Student Number],YES_Writing_FLA[Student Number]),0),MATCH(VLOOKUP(F$7,'Writing Logic'!$J$7:$K$11,2,FALSE)&amp;" - Per "&amp;VLOOKUP($C$4,'Writing Logic'!$G$8:$H$14,2,FALSE),YES_Writing_ELA[#Headers],0)))="INS",'Writing Logic'!$B$7,IF(INDEX(_xlfn.VSTACK(YES_Writing_ELA[#Data],YES_Writing_FLA[#Data]),MATCH($A545,_xlfn.VSTACK(YES_Writing_ELA[Student Number],YES_Writing_FLA[Student Number]),0),MATCH(VLOOKUP(F$7,'Writing Logic'!$J$7:$K$11,2,FALSE)&amp;" - Per "&amp;VLOOKUP($C$4,'Writing Logic'!$G$8:$H$14,2,FALSE),YES_Writing_ELA[#Headers],0))=0,"",INDEX(_xlfn.VSTACK(YES_Writing_ELA[#Data],YES_Writing_FLA[#Data]),MATCH($A545,_xlfn.VSTACK(YES_Writing_ELA[Student Number],YES_Writing_FLA[Student Number]),0),MATCH(VLOOKUP(F$7,'Writing Logic'!$J$7:$K$11,2,FALSE)&amp;" - Per "&amp;VLOOKUP($C$4,'Writing Logic'!$G$8:$H$14,2,FALSE),YES_Writing_ELA[#Headers],0)))),"")</f>
        <v/>
      </c>
      <c r="G545" s="138" t="str">
        <f>IFERROR(IF(IF(INDEX(_xlfn.VSTACK(YES_Writing_ELA[#Data],YES_Writing_FLA[#Data]),MATCH($A545,_xlfn.VSTACK(YES_Writing_ELA[Student Number],YES_Writing_FLA[Student Number]),0),MATCH(VLOOKUP(G$7,'Writing Logic'!$J$7:$K$11,2,FALSE)&amp;" - Per "&amp;VLOOKUP($C$4,'Writing Logic'!$G$8:$H$14,2,FALSE),YES_Writing_ELA[#Headers],0))=0,"",INDEX(_xlfn.VSTACK(YES_Writing_ELA[#Data],YES_Writing_FLA[#Data]),MATCH($A545,_xlfn.VSTACK(YES_Writing_ELA[Student Number],YES_Writing_FLA[Student Number]),0),MATCH(VLOOKUP(G$7,'Writing Logic'!$J$7:$K$11,2,FALSE)&amp;" - Per "&amp;VLOOKUP($C$4,'Writing Logic'!$G$8:$H$14,2,FALSE),YES_Writing_ELA[#Headers],0)))="INS",'Writing Logic'!$B$7,IF(INDEX(_xlfn.VSTACK(YES_Writing_ELA[#Data],YES_Writing_FLA[#Data]),MATCH($A545,_xlfn.VSTACK(YES_Writing_ELA[Student Number],YES_Writing_FLA[Student Number]),0),MATCH(VLOOKUP(G$7,'Writing Logic'!$J$7:$K$11,2,FALSE)&amp;" - Per "&amp;VLOOKUP($C$4,'Writing Logic'!$G$8:$H$14,2,FALSE),YES_Writing_ELA[#Headers],0))=0,"",INDEX(_xlfn.VSTACK(YES_Writing_ELA[#Data],YES_Writing_FLA[#Data]),MATCH($A545,_xlfn.VSTACK(YES_Writing_ELA[Student Number],YES_Writing_FLA[Student Number]),0),MATCH(VLOOKUP(G$7,'Writing Logic'!$J$7:$K$11,2,FALSE)&amp;" - Per "&amp;VLOOKUP($C$4,'Writing Logic'!$G$8:$H$14,2,FALSE),YES_Writing_ELA[#Headers],0)))),"")</f>
        <v/>
      </c>
      <c r="H545" s="223" t="str">
        <f>IFERROR(IF(IF(INDEX(_xlfn.VSTACK(YES_Writing_ELA[#Data],YES_Writing_FLA[#Data]),MATCH($A545,_xlfn.VSTACK(YES_Writing_ELA[Student Number],YES_Writing_FLA[Student Number]),0),MATCH(VLOOKUP(H$7,'Writing Logic'!$J$7:$K$11,2,FALSE)&amp;" - Per "&amp;VLOOKUP($C$4,'Writing Logic'!$G$8:$H$14,2,FALSE),YES_Writing_ELA[#Headers],0))=0,"",INDEX(_xlfn.VSTACK(YES_Writing_ELA[#Data],YES_Writing_FLA[#Data]),MATCH($A545,_xlfn.VSTACK(YES_Writing_ELA[Student Number],YES_Writing_FLA[Student Number]),0),MATCH(VLOOKUP(H$7,'Writing Logic'!$J$7:$K$11,2,FALSE)&amp;" - Per "&amp;VLOOKUP($C$4,'Writing Logic'!$G$8:$H$14,2,FALSE),YES_Writing_ELA[#Headers],0)))="INS",'Writing Logic'!$B$7,IF(INDEX(_xlfn.VSTACK(YES_Writing_ELA[#Data],YES_Writing_FLA[#Data]),MATCH($A545,_xlfn.VSTACK(YES_Writing_ELA[Student Number],YES_Writing_FLA[Student Number]),0),MATCH(VLOOKUP(H$7,'Writing Logic'!$J$7:$K$11,2,FALSE)&amp;" - Per "&amp;VLOOKUP($C$4,'Writing Logic'!$G$8:$H$14,2,FALSE),YES_Writing_ELA[#Headers],0))=0,"",INDEX(_xlfn.VSTACK(YES_Writing_ELA[#Data],YES_Writing_FLA[#Data]),MATCH($A545,_xlfn.VSTACK(YES_Writing_ELA[Student Number],YES_Writing_FLA[Student Number]),0),MATCH(VLOOKUP(H$7,'Writing Logic'!$J$7:$K$11,2,FALSE)&amp;" - Per "&amp;VLOOKUP($C$4,'Writing Logic'!$G$8:$H$14,2,FALSE),YES_Writing_ELA[#Headers],0)))),"")</f>
        <v/>
      </c>
      <c r="I545" s="224" t="str" cm="1">
        <f t="array" aca="1" ref="I545" ca="1">IFERROR(
IF($G$3="ELA",
IF(VLOOKUP($A545, YES_Reading_ELA[], COLUMN(INDIRECT("YES_Reading_ELA[Difference - Per "&amp;VLOOKUP($G$4, 'Reading Report Logic'!$A$2:$B$8, 2, FALSE)&amp;"]")), FALSE)="", "",
VLOOKUP($A545,YES_Reading_ELA[], COLUMN(INDIRECT("YES_Reading_ELA[Difference - Per "&amp;VLOOKUP($G$4,'Reading Report Logic'!$A$2:$B$8,2,FALSE)&amp;"]")), FALSE)),
IF($G$3="FLA",
IF(VLOOKUP($A545, YES_Reading_FLA[], COLUMN(INDIRECT("YES_Reading_FLA[Difference - Per "&amp;VLOOKUP($G$4,'Reading Report Logic'!$A$2:$B$8,2,FALSE)&amp;"]")),FALSE)="","",
VLOOKUP($A545,YES_Reading_FLA[],COLUMN(INDIRECT("YES_Reading_FLA[Difference - Per "&amp;VLOOKUP($G$4,'Reading Report Logic'!$A$2:$B$8,2,FALSE)&amp;"]")),FALSE)),
IF($G$3="Combined",
IFERROR(
IF(VLOOKUP($A545, YES_Reading_ELA[], COLUMN(INDIRECT("YES_Reading_ELA[Difference - Per "&amp;VLOOKUP($G$4, 'Reading Report Logic'!$A$2:$B$8,2,FALSE)&amp;"]")), FALSE)="", "",
VLOOKUP($A545,YES_Reading_ELA[],COLUMN(INDIRECT("YES_Reading_ELA[Difference - Per "&amp;VLOOKUP($G$4,'Reading Report Logic'!$A$2:$B$8,2,FALSE)&amp;"]")),FALSE)),
IF(VLOOKUP($A545, YES_Reading_FLA[], COLUMN(INDIRECT("YES_Reading_FLA[Difference - Per "&amp;VLOOKUP($G$4, 'Reading Report Logic'!$A$2:$B$8, 2, FALSE)&amp;"]")),FALSE)="", "", VLOOKUP($A545,YES_Reading_FLA[],COLUMN(INDIRECT("YES_Reading_FLA[Difference - Per "&amp;VLOOKUP($G$4, 'Reading Report Logic'!$A$2:$B$8, 2, FALSE)&amp;"]")),FALSE))),""))),"")</f>
        <v/>
      </c>
    </row>
    <row r="546" spans="1:9" x14ac:dyDescent="0.25">
      <c r="A546" s="137"/>
      <c r="B546" s="137" t="str">
        <f>IFERROR(INDEX(_xlfn.VSTACK(YES_Writing_ELA[#Data], YES_Writing_FLA[#Data]),MATCH($A546,_xlfn.VSTACK(YES_Writing_ELA[Student Number], YES_Writing_FLA[Student Number]),0),MATCH(B$7,YES_Writing_ELA[#Headers],0)),IFERROR(INDEX(_xlfn.VSTACK(YES_Reading_ELA[#Data], YES_Reading_FLA[#Data]),MATCH($A546,_xlfn.VSTACK(YES_Reading_ELA[Student Number], YES_Reading_FLA[Student Number]),0),MATCH(B$7,YES_Reading_ELA[#Headers],0)),""))</f>
        <v/>
      </c>
      <c r="C546" s="137" t="str">
        <f>IFERROR(INDEX(_xlfn.VSTACK(YES_Writing_ELA[#Data], YES_Writing_FLA[#Data]),MATCH($A546,_xlfn.VSTACK(YES_Writing_ELA[Student Number], YES_Writing_FLA[Student Number]),0),MATCH(C$7,YES_Writing_ELA[#Headers],0)),IFERROR(INDEX(_xlfn.VSTACK(YES_Reading_ELA[#Data], YES_Reading_FLA[#Data]),MATCH($A546,_xlfn.VSTACK(YES_Reading_ELA[Student Number], YES_Reading_FLA[Student Number]),0),MATCH(C$7,YES_Reading_ELA[#Headers],0)),""))</f>
        <v/>
      </c>
      <c r="D546" s="138" t="str">
        <f>IFERROR(IF(IF(INDEX(_xlfn.VSTACK(YES_Writing_ELA[#Data],YES_Writing_FLA[#Data]),MATCH($A546,_xlfn.VSTACK(YES_Writing_ELA[Student Number],YES_Writing_FLA[Student Number]),0),MATCH(VLOOKUP(D$7,'Writing Logic'!$J$7:$K$11,2,FALSE)&amp;" - Per "&amp;VLOOKUP($C$4,'Writing Logic'!$G$8:$H$14,2,FALSE),YES_Writing_ELA[#Headers],0))=0,"",INDEX(_xlfn.VSTACK(YES_Writing_ELA[#Data],YES_Writing_FLA[#Data]),MATCH($A546,_xlfn.VSTACK(YES_Writing_ELA[Student Number],YES_Writing_FLA[Student Number]),0),MATCH(VLOOKUP(D$7,'Writing Logic'!$J$7:$K$11,2,FALSE)&amp;" - Per "&amp;VLOOKUP($C$4,'Writing Logic'!$G$8:$H$14,2,FALSE),YES_Writing_ELA[#Headers],0)))="INS",'Writing Logic'!$B$7,IF(INDEX(_xlfn.VSTACK(YES_Writing_ELA[#Data],YES_Writing_FLA[#Data]),MATCH($A546,_xlfn.VSTACK(YES_Writing_ELA[Student Number],YES_Writing_FLA[Student Number]),0),MATCH(VLOOKUP(D$7,'Writing Logic'!$J$7:$K$11,2,FALSE)&amp;" - Per "&amp;VLOOKUP($C$4,'Writing Logic'!$G$8:$H$14,2,FALSE),YES_Writing_ELA[#Headers],0))=0,"",INDEX(_xlfn.VSTACK(YES_Writing_ELA[#Data],YES_Writing_FLA[#Data]),MATCH($A546,_xlfn.VSTACK(YES_Writing_ELA[Student Number],YES_Writing_FLA[Student Number]),0),MATCH(VLOOKUP(D$7,'Writing Logic'!$J$7:$K$11,2,FALSE)&amp;" - Per "&amp;VLOOKUP($C$4,'Writing Logic'!$G$8:$H$14,2,FALSE),YES_Writing_ELA[#Headers],0)))),"")</f>
        <v/>
      </c>
      <c r="E546" s="138" t="str">
        <f>IFERROR(IF(IF(INDEX(_xlfn.VSTACK(YES_Writing_ELA[#Data],YES_Writing_FLA[#Data]),MATCH($A546,_xlfn.VSTACK(YES_Writing_ELA[Student Number],YES_Writing_FLA[Student Number]),0),MATCH(VLOOKUP(E$7,'Writing Logic'!$J$7:$K$11,2,FALSE)&amp;" - Per "&amp;VLOOKUP($C$4,'Writing Logic'!$G$8:$H$14,2,FALSE),YES_Writing_ELA[#Headers],0))=0,"",INDEX(_xlfn.VSTACK(YES_Writing_ELA[#Data],YES_Writing_FLA[#Data]),MATCH($A546,_xlfn.VSTACK(YES_Writing_ELA[Student Number],YES_Writing_FLA[Student Number]),0),MATCH(VLOOKUP(E$7,'Writing Logic'!$J$7:$K$11,2,FALSE)&amp;" - Per "&amp;VLOOKUP($C$4,'Writing Logic'!$G$8:$H$14,2,FALSE),YES_Writing_ELA[#Headers],0)))="INS",'Writing Logic'!$B$7,IF(INDEX(_xlfn.VSTACK(YES_Writing_ELA[#Data],YES_Writing_FLA[#Data]),MATCH($A546,_xlfn.VSTACK(YES_Writing_ELA[Student Number],YES_Writing_FLA[Student Number]),0),MATCH(VLOOKUP(E$7,'Writing Logic'!$J$7:$K$11,2,FALSE)&amp;" - Per "&amp;VLOOKUP($C$4,'Writing Logic'!$G$8:$H$14,2,FALSE),YES_Writing_ELA[#Headers],0))=0,"",INDEX(_xlfn.VSTACK(YES_Writing_ELA[#Data],YES_Writing_FLA[#Data]),MATCH($A546,_xlfn.VSTACK(YES_Writing_ELA[Student Number],YES_Writing_FLA[Student Number]),0),MATCH(VLOOKUP(E$7,'Writing Logic'!$J$7:$K$11,2,FALSE)&amp;" - Per "&amp;VLOOKUP($C$4,'Writing Logic'!$G$8:$H$14,2,FALSE),YES_Writing_ELA[#Headers],0)))),"")</f>
        <v/>
      </c>
      <c r="F546" s="138" t="str">
        <f>IFERROR(IF(IF(INDEX(_xlfn.VSTACK(YES_Writing_ELA[#Data],YES_Writing_FLA[#Data]),MATCH($A546,_xlfn.VSTACK(YES_Writing_ELA[Student Number],YES_Writing_FLA[Student Number]),0),MATCH(VLOOKUP(F$7,'Writing Logic'!$J$7:$K$11,2,FALSE)&amp;" - Per "&amp;VLOOKUP($C$4,'Writing Logic'!$G$8:$H$14,2,FALSE),YES_Writing_ELA[#Headers],0))=0,"",INDEX(_xlfn.VSTACK(YES_Writing_ELA[#Data],YES_Writing_FLA[#Data]),MATCH($A546,_xlfn.VSTACK(YES_Writing_ELA[Student Number],YES_Writing_FLA[Student Number]),0),MATCH(VLOOKUP(F$7,'Writing Logic'!$J$7:$K$11,2,FALSE)&amp;" - Per "&amp;VLOOKUP($C$4,'Writing Logic'!$G$8:$H$14,2,FALSE),YES_Writing_ELA[#Headers],0)))="INS",'Writing Logic'!$B$7,IF(INDEX(_xlfn.VSTACK(YES_Writing_ELA[#Data],YES_Writing_FLA[#Data]),MATCH($A546,_xlfn.VSTACK(YES_Writing_ELA[Student Number],YES_Writing_FLA[Student Number]),0),MATCH(VLOOKUP(F$7,'Writing Logic'!$J$7:$K$11,2,FALSE)&amp;" - Per "&amp;VLOOKUP($C$4,'Writing Logic'!$G$8:$H$14,2,FALSE),YES_Writing_ELA[#Headers],0))=0,"",INDEX(_xlfn.VSTACK(YES_Writing_ELA[#Data],YES_Writing_FLA[#Data]),MATCH($A546,_xlfn.VSTACK(YES_Writing_ELA[Student Number],YES_Writing_FLA[Student Number]),0),MATCH(VLOOKUP(F$7,'Writing Logic'!$J$7:$K$11,2,FALSE)&amp;" - Per "&amp;VLOOKUP($C$4,'Writing Logic'!$G$8:$H$14,2,FALSE),YES_Writing_ELA[#Headers],0)))),"")</f>
        <v/>
      </c>
      <c r="G546" s="138" t="str">
        <f>IFERROR(IF(IF(INDEX(_xlfn.VSTACK(YES_Writing_ELA[#Data],YES_Writing_FLA[#Data]),MATCH($A546,_xlfn.VSTACK(YES_Writing_ELA[Student Number],YES_Writing_FLA[Student Number]),0),MATCH(VLOOKUP(G$7,'Writing Logic'!$J$7:$K$11,2,FALSE)&amp;" - Per "&amp;VLOOKUP($C$4,'Writing Logic'!$G$8:$H$14,2,FALSE),YES_Writing_ELA[#Headers],0))=0,"",INDEX(_xlfn.VSTACK(YES_Writing_ELA[#Data],YES_Writing_FLA[#Data]),MATCH($A546,_xlfn.VSTACK(YES_Writing_ELA[Student Number],YES_Writing_FLA[Student Number]),0),MATCH(VLOOKUP(G$7,'Writing Logic'!$J$7:$K$11,2,FALSE)&amp;" - Per "&amp;VLOOKUP($C$4,'Writing Logic'!$G$8:$H$14,2,FALSE),YES_Writing_ELA[#Headers],0)))="INS",'Writing Logic'!$B$7,IF(INDEX(_xlfn.VSTACK(YES_Writing_ELA[#Data],YES_Writing_FLA[#Data]),MATCH($A546,_xlfn.VSTACK(YES_Writing_ELA[Student Number],YES_Writing_FLA[Student Number]),0),MATCH(VLOOKUP(G$7,'Writing Logic'!$J$7:$K$11,2,FALSE)&amp;" - Per "&amp;VLOOKUP($C$4,'Writing Logic'!$G$8:$H$14,2,FALSE),YES_Writing_ELA[#Headers],0))=0,"",INDEX(_xlfn.VSTACK(YES_Writing_ELA[#Data],YES_Writing_FLA[#Data]),MATCH($A546,_xlfn.VSTACK(YES_Writing_ELA[Student Number],YES_Writing_FLA[Student Number]),0),MATCH(VLOOKUP(G$7,'Writing Logic'!$J$7:$K$11,2,FALSE)&amp;" - Per "&amp;VLOOKUP($C$4,'Writing Logic'!$G$8:$H$14,2,FALSE),YES_Writing_ELA[#Headers],0)))),"")</f>
        <v/>
      </c>
      <c r="H546" s="223" t="str">
        <f>IFERROR(IF(IF(INDEX(_xlfn.VSTACK(YES_Writing_ELA[#Data],YES_Writing_FLA[#Data]),MATCH($A546,_xlfn.VSTACK(YES_Writing_ELA[Student Number],YES_Writing_FLA[Student Number]),0),MATCH(VLOOKUP(H$7,'Writing Logic'!$J$7:$K$11,2,FALSE)&amp;" - Per "&amp;VLOOKUP($C$4,'Writing Logic'!$G$8:$H$14,2,FALSE),YES_Writing_ELA[#Headers],0))=0,"",INDEX(_xlfn.VSTACK(YES_Writing_ELA[#Data],YES_Writing_FLA[#Data]),MATCH($A546,_xlfn.VSTACK(YES_Writing_ELA[Student Number],YES_Writing_FLA[Student Number]),0),MATCH(VLOOKUP(H$7,'Writing Logic'!$J$7:$K$11,2,FALSE)&amp;" - Per "&amp;VLOOKUP($C$4,'Writing Logic'!$G$8:$H$14,2,FALSE),YES_Writing_ELA[#Headers],0)))="INS",'Writing Logic'!$B$7,IF(INDEX(_xlfn.VSTACK(YES_Writing_ELA[#Data],YES_Writing_FLA[#Data]),MATCH($A546,_xlfn.VSTACK(YES_Writing_ELA[Student Number],YES_Writing_FLA[Student Number]),0),MATCH(VLOOKUP(H$7,'Writing Logic'!$J$7:$K$11,2,FALSE)&amp;" - Per "&amp;VLOOKUP($C$4,'Writing Logic'!$G$8:$H$14,2,FALSE),YES_Writing_ELA[#Headers],0))=0,"",INDEX(_xlfn.VSTACK(YES_Writing_ELA[#Data],YES_Writing_FLA[#Data]),MATCH($A546,_xlfn.VSTACK(YES_Writing_ELA[Student Number],YES_Writing_FLA[Student Number]),0),MATCH(VLOOKUP(H$7,'Writing Logic'!$J$7:$K$11,2,FALSE)&amp;" - Per "&amp;VLOOKUP($C$4,'Writing Logic'!$G$8:$H$14,2,FALSE),YES_Writing_ELA[#Headers],0)))),"")</f>
        <v/>
      </c>
      <c r="I546" s="224" t="str" cm="1">
        <f t="array" aca="1" ref="I546" ca="1">IFERROR(
IF($G$3="ELA",
IF(VLOOKUP($A546, YES_Reading_ELA[], COLUMN(INDIRECT("YES_Reading_ELA[Difference - Per "&amp;VLOOKUP($G$4, 'Reading Report Logic'!$A$2:$B$8, 2, FALSE)&amp;"]")), FALSE)="", "",
VLOOKUP($A546,YES_Reading_ELA[], COLUMN(INDIRECT("YES_Reading_ELA[Difference - Per "&amp;VLOOKUP($G$4,'Reading Report Logic'!$A$2:$B$8,2,FALSE)&amp;"]")), FALSE)),
IF($G$3="FLA",
IF(VLOOKUP($A546, YES_Reading_FLA[], COLUMN(INDIRECT("YES_Reading_FLA[Difference - Per "&amp;VLOOKUP($G$4,'Reading Report Logic'!$A$2:$B$8,2,FALSE)&amp;"]")),FALSE)="","",
VLOOKUP($A546,YES_Reading_FLA[],COLUMN(INDIRECT("YES_Reading_FLA[Difference - Per "&amp;VLOOKUP($G$4,'Reading Report Logic'!$A$2:$B$8,2,FALSE)&amp;"]")),FALSE)),
IF($G$3="Combined",
IFERROR(
IF(VLOOKUP($A546, YES_Reading_ELA[], COLUMN(INDIRECT("YES_Reading_ELA[Difference - Per "&amp;VLOOKUP($G$4, 'Reading Report Logic'!$A$2:$B$8,2,FALSE)&amp;"]")), FALSE)="", "",
VLOOKUP($A546,YES_Reading_ELA[],COLUMN(INDIRECT("YES_Reading_ELA[Difference - Per "&amp;VLOOKUP($G$4,'Reading Report Logic'!$A$2:$B$8,2,FALSE)&amp;"]")),FALSE)),
IF(VLOOKUP($A546, YES_Reading_FLA[], COLUMN(INDIRECT("YES_Reading_FLA[Difference - Per "&amp;VLOOKUP($G$4, 'Reading Report Logic'!$A$2:$B$8, 2, FALSE)&amp;"]")),FALSE)="", "", VLOOKUP($A546,YES_Reading_FLA[],COLUMN(INDIRECT("YES_Reading_FLA[Difference - Per "&amp;VLOOKUP($G$4, 'Reading Report Logic'!$A$2:$B$8, 2, FALSE)&amp;"]")),FALSE))),""))),"")</f>
        <v/>
      </c>
    </row>
    <row r="547" spans="1:9" x14ac:dyDescent="0.25">
      <c r="A547" s="137"/>
      <c r="B547" s="137" t="str">
        <f>IFERROR(INDEX(_xlfn.VSTACK(YES_Writing_ELA[#Data], YES_Writing_FLA[#Data]),MATCH($A547,_xlfn.VSTACK(YES_Writing_ELA[Student Number], YES_Writing_FLA[Student Number]),0),MATCH(B$7,YES_Writing_ELA[#Headers],0)),IFERROR(INDEX(_xlfn.VSTACK(YES_Reading_ELA[#Data], YES_Reading_FLA[#Data]),MATCH($A547,_xlfn.VSTACK(YES_Reading_ELA[Student Number], YES_Reading_FLA[Student Number]),0),MATCH(B$7,YES_Reading_ELA[#Headers],0)),""))</f>
        <v/>
      </c>
      <c r="C547" s="137" t="str">
        <f>IFERROR(INDEX(_xlfn.VSTACK(YES_Writing_ELA[#Data], YES_Writing_FLA[#Data]),MATCH($A547,_xlfn.VSTACK(YES_Writing_ELA[Student Number], YES_Writing_FLA[Student Number]),0),MATCH(C$7,YES_Writing_ELA[#Headers],0)),IFERROR(INDEX(_xlfn.VSTACK(YES_Reading_ELA[#Data], YES_Reading_FLA[#Data]),MATCH($A547,_xlfn.VSTACK(YES_Reading_ELA[Student Number], YES_Reading_FLA[Student Number]),0),MATCH(C$7,YES_Reading_ELA[#Headers],0)),""))</f>
        <v/>
      </c>
      <c r="D547" s="138" t="str">
        <f>IFERROR(IF(IF(INDEX(_xlfn.VSTACK(YES_Writing_ELA[#Data],YES_Writing_FLA[#Data]),MATCH($A547,_xlfn.VSTACK(YES_Writing_ELA[Student Number],YES_Writing_FLA[Student Number]),0),MATCH(VLOOKUP(D$7,'Writing Logic'!$J$7:$K$11,2,FALSE)&amp;" - Per "&amp;VLOOKUP($C$4,'Writing Logic'!$G$8:$H$14,2,FALSE),YES_Writing_ELA[#Headers],0))=0,"",INDEX(_xlfn.VSTACK(YES_Writing_ELA[#Data],YES_Writing_FLA[#Data]),MATCH($A547,_xlfn.VSTACK(YES_Writing_ELA[Student Number],YES_Writing_FLA[Student Number]),0),MATCH(VLOOKUP(D$7,'Writing Logic'!$J$7:$K$11,2,FALSE)&amp;" - Per "&amp;VLOOKUP($C$4,'Writing Logic'!$G$8:$H$14,2,FALSE),YES_Writing_ELA[#Headers],0)))="INS",'Writing Logic'!$B$7,IF(INDEX(_xlfn.VSTACK(YES_Writing_ELA[#Data],YES_Writing_FLA[#Data]),MATCH($A547,_xlfn.VSTACK(YES_Writing_ELA[Student Number],YES_Writing_FLA[Student Number]),0),MATCH(VLOOKUP(D$7,'Writing Logic'!$J$7:$K$11,2,FALSE)&amp;" - Per "&amp;VLOOKUP($C$4,'Writing Logic'!$G$8:$H$14,2,FALSE),YES_Writing_ELA[#Headers],0))=0,"",INDEX(_xlfn.VSTACK(YES_Writing_ELA[#Data],YES_Writing_FLA[#Data]),MATCH($A547,_xlfn.VSTACK(YES_Writing_ELA[Student Number],YES_Writing_FLA[Student Number]),0),MATCH(VLOOKUP(D$7,'Writing Logic'!$J$7:$K$11,2,FALSE)&amp;" - Per "&amp;VLOOKUP($C$4,'Writing Logic'!$G$8:$H$14,2,FALSE),YES_Writing_ELA[#Headers],0)))),"")</f>
        <v/>
      </c>
      <c r="E547" s="138" t="str">
        <f>IFERROR(IF(IF(INDEX(_xlfn.VSTACK(YES_Writing_ELA[#Data],YES_Writing_FLA[#Data]),MATCH($A547,_xlfn.VSTACK(YES_Writing_ELA[Student Number],YES_Writing_FLA[Student Number]),0),MATCH(VLOOKUP(E$7,'Writing Logic'!$J$7:$K$11,2,FALSE)&amp;" - Per "&amp;VLOOKUP($C$4,'Writing Logic'!$G$8:$H$14,2,FALSE),YES_Writing_ELA[#Headers],0))=0,"",INDEX(_xlfn.VSTACK(YES_Writing_ELA[#Data],YES_Writing_FLA[#Data]),MATCH($A547,_xlfn.VSTACK(YES_Writing_ELA[Student Number],YES_Writing_FLA[Student Number]),0),MATCH(VLOOKUP(E$7,'Writing Logic'!$J$7:$K$11,2,FALSE)&amp;" - Per "&amp;VLOOKUP($C$4,'Writing Logic'!$G$8:$H$14,2,FALSE),YES_Writing_ELA[#Headers],0)))="INS",'Writing Logic'!$B$7,IF(INDEX(_xlfn.VSTACK(YES_Writing_ELA[#Data],YES_Writing_FLA[#Data]),MATCH($A547,_xlfn.VSTACK(YES_Writing_ELA[Student Number],YES_Writing_FLA[Student Number]),0),MATCH(VLOOKUP(E$7,'Writing Logic'!$J$7:$K$11,2,FALSE)&amp;" - Per "&amp;VLOOKUP($C$4,'Writing Logic'!$G$8:$H$14,2,FALSE),YES_Writing_ELA[#Headers],0))=0,"",INDEX(_xlfn.VSTACK(YES_Writing_ELA[#Data],YES_Writing_FLA[#Data]),MATCH($A547,_xlfn.VSTACK(YES_Writing_ELA[Student Number],YES_Writing_FLA[Student Number]),0),MATCH(VLOOKUP(E$7,'Writing Logic'!$J$7:$K$11,2,FALSE)&amp;" - Per "&amp;VLOOKUP($C$4,'Writing Logic'!$G$8:$H$14,2,FALSE),YES_Writing_ELA[#Headers],0)))),"")</f>
        <v/>
      </c>
      <c r="F547" s="138" t="str">
        <f>IFERROR(IF(IF(INDEX(_xlfn.VSTACK(YES_Writing_ELA[#Data],YES_Writing_FLA[#Data]),MATCH($A547,_xlfn.VSTACK(YES_Writing_ELA[Student Number],YES_Writing_FLA[Student Number]),0),MATCH(VLOOKUP(F$7,'Writing Logic'!$J$7:$K$11,2,FALSE)&amp;" - Per "&amp;VLOOKUP($C$4,'Writing Logic'!$G$8:$H$14,2,FALSE),YES_Writing_ELA[#Headers],0))=0,"",INDEX(_xlfn.VSTACK(YES_Writing_ELA[#Data],YES_Writing_FLA[#Data]),MATCH($A547,_xlfn.VSTACK(YES_Writing_ELA[Student Number],YES_Writing_FLA[Student Number]),0),MATCH(VLOOKUP(F$7,'Writing Logic'!$J$7:$K$11,2,FALSE)&amp;" - Per "&amp;VLOOKUP($C$4,'Writing Logic'!$G$8:$H$14,2,FALSE),YES_Writing_ELA[#Headers],0)))="INS",'Writing Logic'!$B$7,IF(INDEX(_xlfn.VSTACK(YES_Writing_ELA[#Data],YES_Writing_FLA[#Data]),MATCH($A547,_xlfn.VSTACK(YES_Writing_ELA[Student Number],YES_Writing_FLA[Student Number]),0),MATCH(VLOOKUP(F$7,'Writing Logic'!$J$7:$K$11,2,FALSE)&amp;" - Per "&amp;VLOOKUP($C$4,'Writing Logic'!$G$8:$H$14,2,FALSE),YES_Writing_ELA[#Headers],0))=0,"",INDEX(_xlfn.VSTACK(YES_Writing_ELA[#Data],YES_Writing_FLA[#Data]),MATCH($A547,_xlfn.VSTACK(YES_Writing_ELA[Student Number],YES_Writing_FLA[Student Number]),0),MATCH(VLOOKUP(F$7,'Writing Logic'!$J$7:$K$11,2,FALSE)&amp;" - Per "&amp;VLOOKUP($C$4,'Writing Logic'!$G$8:$H$14,2,FALSE),YES_Writing_ELA[#Headers],0)))),"")</f>
        <v/>
      </c>
      <c r="G547" s="138" t="str">
        <f>IFERROR(IF(IF(INDEX(_xlfn.VSTACK(YES_Writing_ELA[#Data],YES_Writing_FLA[#Data]),MATCH($A547,_xlfn.VSTACK(YES_Writing_ELA[Student Number],YES_Writing_FLA[Student Number]),0),MATCH(VLOOKUP(G$7,'Writing Logic'!$J$7:$K$11,2,FALSE)&amp;" - Per "&amp;VLOOKUP($C$4,'Writing Logic'!$G$8:$H$14,2,FALSE),YES_Writing_ELA[#Headers],0))=0,"",INDEX(_xlfn.VSTACK(YES_Writing_ELA[#Data],YES_Writing_FLA[#Data]),MATCH($A547,_xlfn.VSTACK(YES_Writing_ELA[Student Number],YES_Writing_FLA[Student Number]),0),MATCH(VLOOKUP(G$7,'Writing Logic'!$J$7:$K$11,2,FALSE)&amp;" - Per "&amp;VLOOKUP($C$4,'Writing Logic'!$G$8:$H$14,2,FALSE),YES_Writing_ELA[#Headers],0)))="INS",'Writing Logic'!$B$7,IF(INDEX(_xlfn.VSTACK(YES_Writing_ELA[#Data],YES_Writing_FLA[#Data]),MATCH($A547,_xlfn.VSTACK(YES_Writing_ELA[Student Number],YES_Writing_FLA[Student Number]),0),MATCH(VLOOKUP(G$7,'Writing Logic'!$J$7:$K$11,2,FALSE)&amp;" - Per "&amp;VLOOKUP($C$4,'Writing Logic'!$G$8:$H$14,2,FALSE),YES_Writing_ELA[#Headers],0))=0,"",INDEX(_xlfn.VSTACK(YES_Writing_ELA[#Data],YES_Writing_FLA[#Data]),MATCH($A547,_xlfn.VSTACK(YES_Writing_ELA[Student Number],YES_Writing_FLA[Student Number]),0),MATCH(VLOOKUP(G$7,'Writing Logic'!$J$7:$K$11,2,FALSE)&amp;" - Per "&amp;VLOOKUP($C$4,'Writing Logic'!$G$8:$H$14,2,FALSE),YES_Writing_ELA[#Headers],0)))),"")</f>
        <v/>
      </c>
      <c r="H547" s="223" t="str">
        <f>IFERROR(IF(IF(INDEX(_xlfn.VSTACK(YES_Writing_ELA[#Data],YES_Writing_FLA[#Data]),MATCH($A547,_xlfn.VSTACK(YES_Writing_ELA[Student Number],YES_Writing_FLA[Student Number]),0),MATCH(VLOOKUP(H$7,'Writing Logic'!$J$7:$K$11,2,FALSE)&amp;" - Per "&amp;VLOOKUP($C$4,'Writing Logic'!$G$8:$H$14,2,FALSE),YES_Writing_ELA[#Headers],0))=0,"",INDEX(_xlfn.VSTACK(YES_Writing_ELA[#Data],YES_Writing_FLA[#Data]),MATCH($A547,_xlfn.VSTACK(YES_Writing_ELA[Student Number],YES_Writing_FLA[Student Number]),0),MATCH(VLOOKUP(H$7,'Writing Logic'!$J$7:$K$11,2,FALSE)&amp;" - Per "&amp;VLOOKUP($C$4,'Writing Logic'!$G$8:$H$14,2,FALSE),YES_Writing_ELA[#Headers],0)))="INS",'Writing Logic'!$B$7,IF(INDEX(_xlfn.VSTACK(YES_Writing_ELA[#Data],YES_Writing_FLA[#Data]),MATCH($A547,_xlfn.VSTACK(YES_Writing_ELA[Student Number],YES_Writing_FLA[Student Number]),0),MATCH(VLOOKUP(H$7,'Writing Logic'!$J$7:$K$11,2,FALSE)&amp;" - Per "&amp;VLOOKUP($C$4,'Writing Logic'!$G$8:$H$14,2,FALSE),YES_Writing_ELA[#Headers],0))=0,"",INDEX(_xlfn.VSTACK(YES_Writing_ELA[#Data],YES_Writing_FLA[#Data]),MATCH($A547,_xlfn.VSTACK(YES_Writing_ELA[Student Number],YES_Writing_FLA[Student Number]),0),MATCH(VLOOKUP(H$7,'Writing Logic'!$J$7:$K$11,2,FALSE)&amp;" - Per "&amp;VLOOKUP($C$4,'Writing Logic'!$G$8:$H$14,2,FALSE),YES_Writing_ELA[#Headers],0)))),"")</f>
        <v/>
      </c>
      <c r="I547" s="224" t="str" cm="1">
        <f t="array" aca="1" ref="I547" ca="1">IFERROR(
IF($G$3="ELA",
IF(VLOOKUP($A547, YES_Reading_ELA[], COLUMN(INDIRECT("YES_Reading_ELA[Difference - Per "&amp;VLOOKUP($G$4, 'Reading Report Logic'!$A$2:$B$8, 2, FALSE)&amp;"]")), FALSE)="", "",
VLOOKUP($A547,YES_Reading_ELA[], COLUMN(INDIRECT("YES_Reading_ELA[Difference - Per "&amp;VLOOKUP($G$4,'Reading Report Logic'!$A$2:$B$8,2,FALSE)&amp;"]")), FALSE)),
IF($G$3="FLA",
IF(VLOOKUP($A547, YES_Reading_FLA[], COLUMN(INDIRECT("YES_Reading_FLA[Difference - Per "&amp;VLOOKUP($G$4,'Reading Report Logic'!$A$2:$B$8,2,FALSE)&amp;"]")),FALSE)="","",
VLOOKUP($A547,YES_Reading_FLA[],COLUMN(INDIRECT("YES_Reading_FLA[Difference - Per "&amp;VLOOKUP($G$4,'Reading Report Logic'!$A$2:$B$8,2,FALSE)&amp;"]")),FALSE)),
IF($G$3="Combined",
IFERROR(
IF(VLOOKUP($A547, YES_Reading_ELA[], COLUMN(INDIRECT("YES_Reading_ELA[Difference - Per "&amp;VLOOKUP($G$4, 'Reading Report Logic'!$A$2:$B$8,2,FALSE)&amp;"]")), FALSE)="", "",
VLOOKUP($A547,YES_Reading_ELA[],COLUMN(INDIRECT("YES_Reading_ELA[Difference - Per "&amp;VLOOKUP($G$4,'Reading Report Logic'!$A$2:$B$8,2,FALSE)&amp;"]")),FALSE)),
IF(VLOOKUP($A547, YES_Reading_FLA[], COLUMN(INDIRECT("YES_Reading_FLA[Difference - Per "&amp;VLOOKUP($G$4, 'Reading Report Logic'!$A$2:$B$8, 2, FALSE)&amp;"]")),FALSE)="", "", VLOOKUP($A547,YES_Reading_FLA[],COLUMN(INDIRECT("YES_Reading_FLA[Difference - Per "&amp;VLOOKUP($G$4, 'Reading Report Logic'!$A$2:$B$8, 2, FALSE)&amp;"]")),FALSE))),""))),"")</f>
        <v/>
      </c>
    </row>
    <row r="548" spans="1:9" x14ac:dyDescent="0.25">
      <c r="A548" s="137"/>
      <c r="B548" s="137" t="str">
        <f>IFERROR(INDEX(_xlfn.VSTACK(YES_Writing_ELA[#Data], YES_Writing_FLA[#Data]),MATCH($A548,_xlfn.VSTACK(YES_Writing_ELA[Student Number], YES_Writing_FLA[Student Number]),0),MATCH(B$7,YES_Writing_ELA[#Headers],0)),IFERROR(INDEX(_xlfn.VSTACK(YES_Reading_ELA[#Data], YES_Reading_FLA[#Data]),MATCH($A548,_xlfn.VSTACK(YES_Reading_ELA[Student Number], YES_Reading_FLA[Student Number]),0),MATCH(B$7,YES_Reading_ELA[#Headers],0)),""))</f>
        <v/>
      </c>
      <c r="C548" s="137" t="str">
        <f>IFERROR(INDEX(_xlfn.VSTACK(YES_Writing_ELA[#Data], YES_Writing_FLA[#Data]),MATCH($A548,_xlfn.VSTACK(YES_Writing_ELA[Student Number], YES_Writing_FLA[Student Number]),0),MATCH(C$7,YES_Writing_ELA[#Headers],0)),IFERROR(INDEX(_xlfn.VSTACK(YES_Reading_ELA[#Data], YES_Reading_FLA[#Data]),MATCH($A548,_xlfn.VSTACK(YES_Reading_ELA[Student Number], YES_Reading_FLA[Student Number]),0),MATCH(C$7,YES_Reading_ELA[#Headers],0)),""))</f>
        <v/>
      </c>
      <c r="D548" s="138" t="str">
        <f>IFERROR(IF(IF(INDEX(_xlfn.VSTACK(YES_Writing_ELA[#Data],YES_Writing_FLA[#Data]),MATCH($A548,_xlfn.VSTACK(YES_Writing_ELA[Student Number],YES_Writing_FLA[Student Number]),0),MATCH(VLOOKUP(D$7,'Writing Logic'!$J$7:$K$11,2,FALSE)&amp;" - Per "&amp;VLOOKUP($C$4,'Writing Logic'!$G$8:$H$14,2,FALSE),YES_Writing_ELA[#Headers],0))=0,"",INDEX(_xlfn.VSTACK(YES_Writing_ELA[#Data],YES_Writing_FLA[#Data]),MATCH($A548,_xlfn.VSTACK(YES_Writing_ELA[Student Number],YES_Writing_FLA[Student Number]),0),MATCH(VLOOKUP(D$7,'Writing Logic'!$J$7:$K$11,2,FALSE)&amp;" - Per "&amp;VLOOKUP($C$4,'Writing Logic'!$G$8:$H$14,2,FALSE),YES_Writing_ELA[#Headers],0)))="INS",'Writing Logic'!$B$7,IF(INDEX(_xlfn.VSTACK(YES_Writing_ELA[#Data],YES_Writing_FLA[#Data]),MATCH($A548,_xlfn.VSTACK(YES_Writing_ELA[Student Number],YES_Writing_FLA[Student Number]),0),MATCH(VLOOKUP(D$7,'Writing Logic'!$J$7:$K$11,2,FALSE)&amp;" - Per "&amp;VLOOKUP($C$4,'Writing Logic'!$G$8:$H$14,2,FALSE),YES_Writing_ELA[#Headers],0))=0,"",INDEX(_xlfn.VSTACK(YES_Writing_ELA[#Data],YES_Writing_FLA[#Data]),MATCH($A548,_xlfn.VSTACK(YES_Writing_ELA[Student Number],YES_Writing_FLA[Student Number]),0),MATCH(VLOOKUP(D$7,'Writing Logic'!$J$7:$K$11,2,FALSE)&amp;" - Per "&amp;VLOOKUP($C$4,'Writing Logic'!$G$8:$H$14,2,FALSE),YES_Writing_ELA[#Headers],0)))),"")</f>
        <v/>
      </c>
      <c r="E548" s="138" t="str">
        <f>IFERROR(IF(IF(INDEX(_xlfn.VSTACK(YES_Writing_ELA[#Data],YES_Writing_FLA[#Data]),MATCH($A548,_xlfn.VSTACK(YES_Writing_ELA[Student Number],YES_Writing_FLA[Student Number]),0),MATCH(VLOOKUP(E$7,'Writing Logic'!$J$7:$K$11,2,FALSE)&amp;" - Per "&amp;VLOOKUP($C$4,'Writing Logic'!$G$8:$H$14,2,FALSE),YES_Writing_ELA[#Headers],0))=0,"",INDEX(_xlfn.VSTACK(YES_Writing_ELA[#Data],YES_Writing_FLA[#Data]),MATCH($A548,_xlfn.VSTACK(YES_Writing_ELA[Student Number],YES_Writing_FLA[Student Number]),0),MATCH(VLOOKUP(E$7,'Writing Logic'!$J$7:$K$11,2,FALSE)&amp;" - Per "&amp;VLOOKUP($C$4,'Writing Logic'!$G$8:$H$14,2,FALSE),YES_Writing_ELA[#Headers],0)))="INS",'Writing Logic'!$B$7,IF(INDEX(_xlfn.VSTACK(YES_Writing_ELA[#Data],YES_Writing_FLA[#Data]),MATCH($A548,_xlfn.VSTACK(YES_Writing_ELA[Student Number],YES_Writing_FLA[Student Number]),0),MATCH(VLOOKUP(E$7,'Writing Logic'!$J$7:$K$11,2,FALSE)&amp;" - Per "&amp;VLOOKUP($C$4,'Writing Logic'!$G$8:$H$14,2,FALSE),YES_Writing_ELA[#Headers],0))=0,"",INDEX(_xlfn.VSTACK(YES_Writing_ELA[#Data],YES_Writing_FLA[#Data]),MATCH($A548,_xlfn.VSTACK(YES_Writing_ELA[Student Number],YES_Writing_FLA[Student Number]),0),MATCH(VLOOKUP(E$7,'Writing Logic'!$J$7:$K$11,2,FALSE)&amp;" - Per "&amp;VLOOKUP($C$4,'Writing Logic'!$G$8:$H$14,2,FALSE),YES_Writing_ELA[#Headers],0)))),"")</f>
        <v/>
      </c>
      <c r="F548" s="138" t="str">
        <f>IFERROR(IF(IF(INDEX(_xlfn.VSTACK(YES_Writing_ELA[#Data],YES_Writing_FLA[#Data]),MATCH($A548,_xlfn.VSTACK(YES_Writing_ELA[Student Number],YES_Writing_FLA[Student Number]),0),MATCH(VLOOKUP(F$7,'Writing Logic'!$J$7:$K$11,2,FALSE)&amp;" - Per "&amp;VLOOKUP($C$4,'Writing Logic'!$G$8:$H$14,2,FALSE),YES_Writing_ELA[#Headers],0))=0,"",INDEX(_xlfn.VSTACK(YES_Writing_ELA[#Data],YES_Writing_FLA[#Data]),MATCH($A548,_xlfn.VSTACK(YES_Writing_ELA[Student Number],YES_Writing_FLA[Student Number]),0),MATCH(VLOOKUP(F$7,'Writing Logic'!$J$7:$K$11,2,FALSE)&amp;" - Per "&amp;VLOOKUP($C$4,'Writing Logic'!$G$8:$H$14,2,FALSE),YES_Writing_ELA[#Headers],0)))="INS",'Writing Logic'!$B$7,IF(INDEX(_xlfn.VSTACK(YES_Writing_ELA[#Data],YES_Writing_FLA[#Data]),MATCH($A548,_xlfn.VSTACK(YES_Writing_ELA[Student Number],YES_Writing_FLA[Student Number]),0),MATCH(VLOOKUP(F$7,'Writing Logic'!$J$7:$K$11,2,FALSE)&amp;" - Per "&amp;VLOOKUP($C$4,'Writing Logic'!$G$8:$H$14,2,FALSE),YES_Writing_ELA[#Headers],0))=0,"",INDEX(_xlfn.VSTACK(YES_Writing_ELA[#Data],YES_Writing_FLA[#Data]),MATCH($A548,_xlfn.VSTACK(YES_Writing_ELA[Student Number],YES_Writing_FLA[Student Number]),0),MATCH(VLOOKUP(F$7,'Writing Logic'!$J$7:$K$11,2,FALSE)&amp;" - Per "&amp;VLOOKUP($C$4,'Writing Logic'!$G$8:$H$14,2,FALSE),YES_Writing_ELA[#Headers],0)))),"")</f>
        <v/>
      </c>
      <c r="G548" s="138" t="str">
        <f>IFERROR(IF(IF(INDEX(_xlfn.VSTACK(YES_Writing_ELA[#Data],YES_Writing_FLA[#Data]),MATCH($A548,_xlfn.VSTACK(YES_Writing_ELA[Student Number],YES_Writing_FLA[Student Number]),0),MATCH(VLOOKUP(G$7,'Writing Logic'!$J$7:$K$11,2,FALSE)&amp;" - Per "&amp;VLOOKUP($C$4,'Writing Logic'!$G$8:$H$14,2,FALSE),YES_Writing_ELA[#Headers],0))=0,"",INDEX(_xlfn.VSTACK(YES_Writing_ELA[#Data],YES_Writing_FLA[#Data]),MATCH($A548,_xlfn.VSTACK(YES_Writing_ELA[Student Number],YES_Writing_FLA[Student Number]),0),MATCH(VLOOKUP(G$7,'Writing Logic'!$J$7:$K$11,2,FALSE)&amp;" - Per "&amp;VLOOKUP($C$4,'Writing Logic'!$G$8:$H$14,2,FALSE),YES_Writing_ELA[#Headers],0)))="INS",'Writing Logic'!$B$7,IF(INDEX(_xlfn.VSTACK(YES_Writing_ELA[#Data],YES_Writing_FLA[#Data]),MATCH($A548,_xlfn.VSTACK(YES_Writing_ELA[Student Number],YES_Writing_FLA[Student Number]),0),MATCH(VLOOKUP(G$7,'Writing Logic'!$J$7:$K$11,2,FALSE)&amp;" - Per "&amp;VLOOKUP($C$4,'Writing Logic'!$G$8:$H$14,2,FALSE),YES_Writing_ELA[#Headers],0))=0,"",INDEX(_xlfn.VSTACK(YES_Writing_ELA[#Data],YES_Writing_FLA[#Data]),MATCH($A548,_xlfn.VSTACK(YES_Writing_ELA[Student Number],YES_Writing_FLA[Student Number]),0),MATCH(VLOOKUP(G$7,'Writing Logic'!$J$7:$K$11,2,FALSE)&amp;" - Per "&amp;VLOOKUP($C$4,'Writing Logic'!$G$8:$H$14,2,FALSE),YES_Writing_ELA[#Headers],0)))),"")</f>
        <v/>
      </c>
      <c r="H548" s="223" t="str">
        <f>IFERROR(IF(IF(INDEX(_xlfn.VSTACK(YES_Writing_ELA[#Data],YES_Writing_FLA[#Data]),MATCH($A548,_xlfn.VSTACK(YES_Writing_ELA[Student Number],YES_Writing_FLA[Student Number]),0),MATCH(VLOOKUP(H$7,'Writing Logic'!$J$7:$K$11,2,FALSE)&amp;" - Per "&amp;VLOOKUP($C$4,'Writing Logic'!$G$8:$H$14,2,FALSE),YES_Writing_ELA[#Headers],0))=0,"",INDEX(_xlfn.VSTACK(YES_Writing_ELA[#Data],YES_Writing_FLA[#Data]),MATCH($A548,_xlfn.VSTACK(YES_Writing_ELA[Student Number],YES_Writing_FLA[Student Number]),0),MATCH(VLOOKUP(H$7,'Writing Logic'!$J$7:$K$11,2,FALSE)&amp;" - Per "&amp;VLOOKUP($C$4,'Writing Logic'!$G$8:$H$14,2,FALSE),YES_Writing_ELA[#Headers],0)))="INS",'Writing Logic'!$B$7,IF(INDEX(_xlfn.VSTACK(YES_Writing_ELA[#Data],YES_Writing_FLA[#Data]),MATCH($A548,_xlfn.VSTACK(YES_Writing_ELA[Student Number],YES_Writing_FLA[Student Number]),0),MATCH(VLOOKUP(H$7,'Writing Logic'!$J$7:$K$11,2,FALSE)&amp;" - Per "&amp;VLOOKUP($C$4,'Writing Logic'!$G$8:$H$14,2,FALSE),YES_Writing_ELA[#Headers],0))=0,"",INDEX(_xlfn.VSTACK(YES_Writing_ELA[#Data],YES_Writing_FLA[#Data]),MATCH($A548,_xlfn.VSTACK(YES_Writing_ELA[Student Number],YES_Writing_FLA[Student Number]),0),MATCH(VLOOKUP(H$7,'Writing Logic'!$J$7:$K$11,2,FALSE)&amp;" - Per "&amp;VLOOKUP($C$4,'Writing Logic'!$G$8:$H$14,2,FALSE),YES_Writing_ELA[#Headers],0)))),"")</f>
        <v/>
      </c>
      <c r="I548" s="224" t="str" cm="1">
        <f t="array" aca="1" ref="I548" ca="1">IFERROR(
IF($G$3="ELA",
IF(VLOOKUP($A548, YES_Reading_ELA[], COLUMN(INDIRECT("YES_Reading_ELA[Difference - Per "&amp;VLOOKUP($G$4, 'Reading Report Logic'!$A$2:$B$8, 2, FALSE)&amp;"]")), FALSE)="", "",
VLOOKUP($A548,YES_Reading_ELA[], COLUMN(INDIRECT("YES_Reading_ELA[Difference - Per "&amp;VLOOKUP($G$4,'Reading Report Logic'!$A$2:$B$8,2,FALSE)&amp;"]")), FALSE)),
IF($G$3="FLA",
IF(VLOOKUP($A548, YES_Reading_FLA[], COLUMN(INDIRECT("YES_Reading_FLA[Difference - Per "&amp;VLOOKUP($G$4,'Reading Report Logic'!$A$2:$B$8,2,FALSE)&amp;"]")),FALSE)="","",
VLOOKUP($A548,YES_Reading_FLA[],COLUMN(INDIRECT("YES_Reading_FLA[Difference - Per "&amp;VLOOKUP($G$4,'Reading Report Logic'!$A$2:$B$8,2,FALSE)&amp;"]")),FALSE)),
IF($G$3="Combined",
IFERROR(
IF(VLOOKUP($A548, YES_Reading_ELA[], COLUMN(INDIRECT("YES_Reading_ELA[Difference - Per "&amp;VLOOKUP($G$4, 'Reading Report Logic'!$A$2:$B$8,2,FALSE)&amp;"]")), FALSE)="", "",
VLOOKUP($A548,YES_Reading_ELA[],COLUMN(INDIRECT("YES_Reading_ELA[Difference - Per "&amp;VLOOKUP($G$4,'Reading Report Logic'!$A$2:$B$8,2,FALSE)&amp;"]")),FALSE)),
IF(VLOOKUP($A548, YES_Reading_FLA[], COLUMN(INDIRECT("YES_Reading_FLA[Difference - Per "&amp;VLOOKUP($G$4, 'Reading Report Logic'!$A$2:$B$8, 2, FALSE)&amp;"]")),FALSE)="", "", VLOOKUP($A548,YES_Reading_FLA[],COLUMN(INDIRECT("YES_Reading_FLA[Difference - Per "&amp;VLOOKUP($G$4, 'Reading Report Logic'!$A$2:$B$8, 2, FALSE)&amp;"]")),FALSE))),""))),"")</f>
        <v/>
      </c>
    </row>
    <row r="549" spans="1:9" x14ac:dyDescent="0.25">
      <c r="A549" s="137"/>
      <c r="B549" s="137" t="str">
        <f>IFERROR(INDEX(_xlfn.VSTACK(YES_Writing_ELA[#Data], YES_Writing_FLA[#Data]),MATCH($A549,_xlfn.VSTACK(YES_Writing_ELA[Student Number], YES_Writing_FLA[Student Number]),0),MATCH(B$7,YES_Writing_ELA[#Headers],0)),IFERROR(INDEX(_xlfn.VSTACK(YES_Reading_ELA[#Data], YES_Reading_FLA[#Data]),MATCH($A549,_xlfn.VSTACK(YES_Reading_ELA[Student Number], YES_Reading_FLA[Student Number]),0),MATCH(B$7,YES_Reading_ELA[#Headers],0)),""))</f>
        <v/>
      </c>
      <c r="C549" s="137" t="str">
        <f>IFERROR(INDEX(_xlfn.VSTACK(YES_Writing_ELA[#Data], YES_Writing_FLA[#Data]),MATCH($A549,_xlfn.VSTACK(YES_Writing_ELA[Student Number], YES_Writing_FLA[Student Number]),0),MATCH(C$7,YES_Writing_ELA[#Headers],0)),IFERROR(INDEX(_xlfn.VSTACK(YES_Reading_ELA[#Data], YES_Reading_FLA[#Data]),MATCH($A549,_xlfn.VSTACK(YES_Reading_ELA[Student Number], YES_Reading_FLA[Student Number]),0),MATCH(C$7,YES_Reading_ELA[#Headers],0)),""))</f>
        <v/>
      </c>
      <c r="D549" s="138" t="str">
        <f>IFERROR(IF(IF(INDEX(_xlfn.VSTACK(YES_Writing_ELA[#Data],YES_Writing_FLA[#Data]),MATCH($A549,_xlfn.VSTACK(YES_Writing_ELA[Student Number],YES_Writing_FLA[Student Number]),0),MATCH(VLOOKUP(D$7,'Writing Logic'!$J$7:$K$11,2,FALSE)&amp;" - Per "&amp;VLOOKUP($C$4,'Writing Logic'!$G$8:$H$14,2,FALSE),YES_Writing_ELA[#Headers],0))=0,"",INDEX(_xlfn.VSTACK(YES_Writing_ELA[#Data],YES_Writing_FLA[#Data]),MATCH($A549,_xlfn.VSTACK(YES_Writing_ELA[Student Number],YES_Writing_FLA[Student Number]),0),MATCH(VLOOKUP(D$7,'Writing Logic'!$J$7:$K$11,2,FALSE)&amp;" - Per "&amp;VLOOKUP($C$4,'Writing Logic'!$G$8:$H$14,2,FALSE),YES_Writing_ELA[#Headers],0)))="INS",'Writing Logic'!$B$7,IF(INDEX(_xlfn.VSTACK(YES_Writing_ELA[#Data],YES_Writing_FLA[#Data]),MATCH($A549,_xlfn.VSTACK(YES_Writing_ELA[Student Number],YES_Writing_FLA[Student Number]),0),MATCH(VLOOKUP(D$7,'Writing Logic'!$J$7:$K$11,2,FALSE)&amp;" - Per "&amp;VLOOKUP($C$4,'Writing Logic'!$G$8:$H$14,2,FALSE),YES_Writing_ELA[#Headers],0))=0,"",INDEX(_xlfn.VSTACK(YES_Writing_ELA[#Data],YES_Writing_FLA[#Data]),MATCH($A549,_xlfn.VSTACK(YES_Writing_ELA[Student Number],YES_Writing_FLA[Student Number]),0),MATCH(VLOOKUP(D$7,'Writing Logic'!$J$7:$K$11,2,FALSE)&amp;" - Per "&amp;VLOOKUP($C$4,'Writing Logic'!$G$8:$H$14,2,FALSE),YES_Writing_ELA[#Headers],0)))),"")</f>
        <v/>
      </c>
      <c r="E549" s="138" t="str">
        <f>IFERROR(IF(IF(INDEX(_xlfn.VSTACK(YES_Writing_ELA[#Data],YES_Writing_FLA[#Data]),MATCH($A549,_xlfn.VSTACK(YES_Writing_ELA[Student Number],YES_Writing_FLA[Student Number]),0),MATCH(VLOOKUP(E$7,'Writing Logic'!$J$7:$K$11,2,FALSE)&amp;" - Per "&amp;VLOOKUP($C$4,'Writing Logic'!$G$8:$H$14,2,FALSE),YES_Writing_ELA[#Headers],0))=0,"",INDEX(_xlfn.VSTACK(YES_Writing_ELA[#Data],YES_Writing_FLA[#Data]),MATCH($A549,_xlfn.VSTACK(YES_Writing_ELA[Student Number],YES_Writing_FLA[Student Number]),0),MATCH(VLOOKUP(E$7,'Writing Logic'!$J$7:$K$11,2,FALSE)&amp;" - Per "&amp;VLOOKUP($C$4,'Writing Logic'!$G$8:$H$14,2,FALSE),YES_Writing_ELA[#Headers],0)))="INS",'Writing Logic'!$B$7,IF(INDEX(_xlfn.VSTACK(YES_Writing_ELA[#Data],YES_Writing_FLA[#Data]),MATCH($A549,_xlfn.VSTACK(YES_Writing_ELA[Student Number],YES_Writing_FLA[Student Number]),0),MATCH(VLOOKUP(E$7,'Writing Logic'!$J$7:$K$11,2,FALSE)&amp;" - Per "&amp;VLOOKUP($C$4,'Writing Logic'!$G$8:$H$14,2,FALSE),YES_Writing_ELA[#Headers],0))=0,"",INDEX(_xlfn.VSTACK(YES_Writing_ELA[#Data],YES_Writing_FLA[#Data]),MATCH($A549,_xlfn.VSTACK(YES_Writing_ELA[Student Number],YES_Writing_FLA[Student Number]),0),MATCH(VLOOKUP(E$7,'Writing Logic'!$J$7:$K$11,2,FALSE)&amp;" - Per "&amp;VLOOKUP($C$4,'Writing Logic'!$G$8:$H$14,2,FALSE),YES_Writing_ELA[#Headers],0)))),"")</f>
        <v/>
      </c>
      <c r="F549" s="138" t="str">
        <f>IFERROR(IF(IF(INDEX(_xlfn.VSTACK(YES_Writing_ELA[#Data],YES_Writing_FLA[#Data]),MATCH($A549,_xlfn.VSTACK(YES_Writing_ELA[Student Number],YES_Writing_FLA[Student Number]),0),MATCH(VLOOKUP(F$7,'Writing Logic'!$J$7:$K$11,2,FALSE)&amp;" - Per "&amp;VLOOKUP($C$4,'Writing Logic'!$G$8:$H$14,2,FALSE),YES_Writing_ELA[#Headers],0))=0,"",INDEX(_xlfn.VSTACK(YES_Writing_ELA[#Data],YES_Writing_FLA[#Data]),MATCH($A549,_xlfn.VSTACK(YES_Writing_ELA[Student Number],YES_Writing_FLA[Student Number]),0),MATCH(VLOOKUP(F$7,'Writing Logic'!$J$7:$K$11,2,FALSE)&amp;" - Per "&amp;VLOOKUP($C$4,'Writing Logic'!$G$8:$H$14,2,FALSE),YES_Writing_ELA[#Headers],0)))="INS",'Writing Logic'!$B$7,IF(INDEX(_xlfn.VSTACK(YES_Writing_ELA[#Data],YES_Writing_FLA[#Data]),MATCH($A549,_xlfn.VSTACK(YES_Writing_ELA[Student Number],YES_Writing_FLA[Student Number]),0),MATCH(VLOOKUP(F$7,'Writing Logic'!$J$7:$K$11,2,FALSE)&amp;" - Per "&amp;VLOOKUP($C$4,'Writing Logic'!$G$8:$H$14,2,FALSE),YES_Writing_ELA[#Headers],0))=0,"",INDEX(_xlfn.VSTACK(YES_Writing_ELA[#Data],YES_Writing_FLA[#Data]),MATCH($A549,_xlfn.VSTACK(YES_Writing_ELA[Student Number],YES_Writing_FLA[Student Number]),0),MATCH(VLOOKUP(F$7,'Writing Logic'!$J$7:$K$11,2,FALSE)&amp;" - Per "&amp;VLOOKUP($C$4,'Writing Logic'!$G$8:$H$14,2,FALSE),YES_Writing_ELA[#Headers],0)))),"")</f>
        <v/>
      </c>
      <c r="G549" s="138" t="str">
        <f>IFERROR(IF(IF(INDEX(_xlfn.VSTACK(YES_Writing_ELA[#Data],YES_Writing_FLA[#Data]),MATCH($A549,_xlfn.VSTACK(YES_Writing_ELA[Student Number],YES_Writing_FLA[Student Number]),0),MATCH(VLOOKUP(G$7,'Writing Logic'!$J$7:$K$11,2,FALSE)&amp;" - Per "&amp;VLOOKUP($C$4,'Writing Logic'!$G$8:$H$14,2,FALSE),YES_Writing_ELA[#Headers],0))=0,"",INDEX(_xlfn.VSTACK(YES_Writing_ELA[#Data],YES_Writing_FLA[#Data]),MATCH($A549,_xlfn.VSTACK(YES_Writing_ELA[Student Number],YES_Writing_FLA[Student Number]),0),MATCH(VLOOKUP(G$7,'Writing Logic'!$J$7:$K$11,2,FALSE)&amp;" - Per "&amp;VLOOKUP($C$4,'Writing Logic'!$G$8:$H$14,2,FALSE),YES_Writing_ELA[#Headers],0)))="INS",'Writing Logic'!$B$7,IF(INDEX(_xlfn.VSTACK(YES_Writing_ELA[#Data],YES_Writing_FLA[#Data]),MATCH($A549,_xlfn.VSTACK(YES_Writing_ELA[Student Number],YES_Writing_FLA[Student Number]),0),MATCH(VLOOKUP(G$7,'Writing Logic'!$J$7:$K$11,2,FALSE)&amp;" - Per "&amp;VLOOKUP($C$4,'Writing Logic'!$G$8:$H$14,2,FALSE),YES_Writing_ELA[#Headers],0))=0,"",INDEX(_xlfn.VSTACK(YES_Writing_ELA[#Data],YES_Writing_FLA[#Data]),MATCH($A549,_xlfn.VSTACK(YES_Writing_ELA[Student Number],YES_Writing_FLA[Student Number]),0),MATCH(VLOOKUP(G$7,'Writing Logic'!$J$7:$K$11,2,FALSE)&amp;" - Per "&amp;VLOOKUP($C$4,'Writing Logic'!$G$8:$H$14,2,FALSE),YES_Writing_ELA[#Headers],0)))),"")</f>
        <v/>
      </c>
      <c r="H549" s="223" t="str">
        <f>IFERROR(IF(IF(INDEX(_xlfn.VSTACK(YES_Writing_ELA[#Data],YES_Writing_FLA[#Data]),MATCH($A549,_xlfn.VSTACK(YES_Writing_ELA[Student Number],YES_Writing_FLA[Student Number]),0),MATCH(VLOOKUP(H$7,'Writing Logic'!$J$7:$K$11,2,FALSE)&amp;" - Per "&amp;VLOOKUP($C$4,'Writing Logic'!$G$8:$H$14,2,FALSE),YES_Writing_ELA[#Headers],0))=0,"",INDEX(_xlfn.VSTACK(YES_Writing_ELA[#Data],YES_Writing_FLA[#Data]),MATCH($A549,_xlfn.VSTACK(YES_Writing_ELA[Student Number],YES_Writing_FLA[Student Number]),0),MATCH(VLOOKUP(H$7,'Writing Logic'!$J$7:$K$11,2,FALSE)&amp;" - Per "&amp;VLOOKUP($C$4,'Writing Logic'!$G$8:$H$14,2,FALSE),YES_Writing_ELA[#Headers],0)))="INS",'Writing Logic'!$B$7,IF(INDEX(_xlfn.VSTACK(YES_Writing_ELA[#Data],YES_Writing_FLA[#Data]),MATCH($A549,_xlfn.VSTACK(YES_Writing_ELA[Student Number],YES_Writing_FLA[Student Number]),0),MATCH(VLOOKUP(H$7,'Writing Logic'!$J$7:$K$11,2,FALSE)&amp;" - Per "&amp;VLOOKUP($C$4,'Writing Logic'!$G$8:$H$14,2,FALSE),YES_Writing_ELA[#Headers],0))=0,"",INDEX(_xlfn.VSTACK(YES_Writing_ELA[#Data],YES_Writing_FLA[#Data]),MATCH($A549,_xlfn.VSTACK(YES_Writing_ELA[Student Number],YES_Writing_FLA[Student Number]),0),MATCH(VLOOKUP(H$7,'Writing Logic'!$J$7:$K$11,2,FALSE)&amp;" - Per "&amp;VLOOKUP($C$4,'Writing Logic'!$G$8:$H$14,2,FALSE),YES_Writing_ELA[#Headers],0)))),"")</f>
        <v/>
      </c>
      <c r="I549" s="224" t="str" cm="1">
        <f t="array" aca="1" ref="I549" ca="1">IFERROR(
IF($G$3="ELA",
IF(VLOOKUP($A549, YES_Reading_ELA[], COLUMN(INDIRECT("YES_Reading_ELA[Difference - Per "&amp;VLOOKUP($G$4, 'Reading Report Logic'!$A$2:$B$8, 2, FALSE)&amp;"]")), FALSE)="", "",
VLOOKUP($A549,YES_Reading_ELA[], COLUMN(INDIRECT("YES_Reading_ELA[Difference - Per "&amp;VLOOKUP($G$4,'Reading Report Logic'!$A$2:$B$8,2,FALSE)&amp;"]")), FALSE)),
IF($G$3="FLA",
IF(VLOOKUP($A549, YES_Reading_FLA[], COLUMN(INDIRECT("YES_Reading_FLA[Difference - Per "&amp;VLOOKUP($G$4,'Reading Report Logic'!$A$2:$B$8,2,FALSE)&amp;"]")),FALSE)="","",
VLOOKUP($A549,YES_Reading_FLA[],COLUMN(INDIRECT("YES_Reading_FLA[Difference - Per "&amp;VLOOKUP($G$4,'Reading Report Logic'!$A$2:$B$8,2,FALSE)&amp;"]")),FALSE)),
IF($G$3="Combined",
IFERROR(
IF(VLOOKUP($A549, YES_Reading_ELA[], COLUMN(INDIRECT("YES_Reading_ELA[Difference - Per "&amp;VLOOKUP($G$4, 'Reading Report Logic'!$A$2:$B$8,2,FALSE)&amp;"]")), FALSE)="", "",
VLOOKUP($A549,YES_Reading_ELA[],COLUMN(INDIRECT("YES_Reading_ELA[Difference - Per "&amp;VLOOKUP($G$4,'Reading Report Logic'!$A$2:$B$8,2,FALSE)&amp;"]")),FALSE)),
IF(VLOOKUP($A549, YES_Reading_FLA[], COLUMN(INDIRECT("YES_Reading_FLA[Difference - Per "&amp;VLOOKUP($G$4, 'Reading Report Logic'!$A$2:$B$8, 2, FALSE)&amp;"]")),FALSE)="", "", VLOOKUP($A549,YES_Reading_FLA[],COLUMN(INDIRECT("YES_Reading_FLA[Difference - Per "&amp;VLOOKUP($G$4, 'Reading Report Logic'!$A$2:$B$8, 2, FALSE)&amp;"]")),FALSE))),""))),"")</f>
        <v/>
      </c>
    </row>
    <row r="550" spans="1:9" x14ac:dyDescent="0.25">
      <c r="A550" s="137"/>
      <c r="B550" s="137" t="str">
        <f>IFERROR(INDEX(_xlfn.VSTACK(YES_Writing_ELA[#Data], YES_Writing_FLA[#Data]),MATCH($A550,_xlfn.VSTACK(YES_Writing_ELA[Student Number], YES_Writing_FLA[Student Number]),0),MATCH(B$7,YES_Writing_ELA[#Headers],0)),IFERROR(INDEX(_xlfn.VSTACK(YES_Reading_ELA[#Data], YES_Reading_FLA[#Data]),MATCH($A550,_xlfn.VSTACK(YES_Reading_ELA[Student Number], YES_Reading_FLA[Student Number]),0),MATCH(B$7,YES_Reading_ELA[#Headers],0)),""))</f>
        <v/>
      </c>
      <c r="C550" s="137" t="str">
        <f>IFERROR(INDEX(_xlfn.VSTACK(YES_Writing_ELA[#Data], YES_Writing_FLA[#Data]),MATCH($A550,_xlfn.VSTACK(YES_Writing_ELA[Student Number], YES_Writing_FLA[Student Number]),0),MATCH(C$7,YES_Writing_ELA[#Headers],0)),IFERROR(INDEX(_xlfn.VSTACK(YES_Reading_ELA[#Data], YES_Reading_FLA[#Data]),MATCH($A550,_xlfn.VSTACK(YES_Reading_ELA[Student Number], YES_Reading_FLA[Student Number]),0),MATCH(C$7,YES_Reading_ELA[#Headers],0)),""))</f>
        <v/>
      </c>
      <c r="D550" s="138" t="str">
        <f>IFERROR(IF(IF(INDEX(_xlfn.VSTACK(YES_Writing_ELA[#Data],YES_Writing_FLA[#Data]),MATCH($A550,_xlfn.VSTACK(YES_Writing_ELA[Student Number],YES_Writing_FLA[Student Number]),0),MATCH(VLOOKUP(D$7,'Writing Logic'!$J$7:$K$11,2,FALSE)&amp;" - Per "&amp;VLOOKUP($C$4,'Writing Logic'!$G$8:$H$14,2,FALSE),YES_Writing_ELA[#Headers],0))=0,"",INDEX(_xlfn.VSTACK(YES_Writing_ELA[#Data],YES_Writing_FLA[#Data]),MATCH($A550,_xlfn.VSTACK(YES_Writing_ELA[Student Number],YES_Writing_FLA[Student Number]),0),MATCH(VLOOKUP(D$7,'Writing Logic'!$J$7:$K$11,2,FALSE)&amp;" - Per "&amp;VLOOKUP($C$4,'Writing Logic'!$G$8:$H$14,2,FALSE),YES_Writing_ELA[#Headers],0)))="INS",'Writing Logic'!$B$7,IF(INDEX(_xlfn.VSTACK(YES_Writing_ELA[#Data],YES_Writing_FLA[#Data]),MATCH($A550,_xlfn.VSTACK(YES_Writing_ELA[Student Number],YES_Writing_FLA[Student Number]),0),MATCH(VLOOKUP(D$7,'Writing Logic'!$J$7:$K$11,2,FALSE)&amp;" - Per "&amp;VLOOKUP($C$4,'Writing Logic'!$G$8:$H$14,2,FALSE),YES_Writing_ELA[#Headers],0))=0,"",INDEX(_xlfn.VSTACK(YES_Writing_ELA[#Data],YES_Writing_FLA[#Data]),MATCH($A550,_xlfn.VSTACK(YES_Writing_ELA[Student Number],YES_Writing_FLA[Student Number]),0),MATCH(VLOOKUP(D$7,'Writing Logic'!$J$7:$K$11,2,FALSE)&amp;" - Per "&amp;VLOOKUP($C$4,'Writing Logic'!$G$8:$H$14,2,FALSE),YES_Writing_ELA[#Headers],0)))),"")</f>
        <v/>
      </c>
      <c r="E550" s="138" t="str">
        <f>IFERROR(IF(IF(INDEX(_xlfn.VSTACK(YES_Writing_ELA[#Data],YES_Writing_FLA[#Data]),MATCH($A550,_xlfn.VSTACK(YES_Writing_ELA[Student Number],YES_Writing_FLA[Student Number]),0),MATCH(VLOOKUP(E$7,'Writing Logic'!$J$7:$K$11,2,FALSE)&amp;" - Per "&amp;VLOOKUP($C$4,'Writing Logic'!$G$8:$H$14,2,FALSE),YES_Writing_ELA[#Headers],0))=0,"",INDEX(_xlfn.VSTACK(YES_Writing_ELA[#Data],YES_Writing_FLA[#Data]),MATCH($A550,_xlfn.VSTACK(YES_Writing_ELA[Student Number],YES_Writing_FLA[Student Number]),0),MATCH(VLOOKUP(E$7,'Writing Logic'!$J$7:$K$11,2,FALSE)&amp;" - Per "&amp;VLOOKUP($C$4,'Writing Logic'!$G$8:$H$14,2,FALSE),YES_Writing_ELA[#Headers],0)))="INS",'Writing Logic'!$B$7,IF(INDEX(_xlfn.VSTACK(YES_Writing_ELA[#Data],YES_Writing_FLA[#Data]),MATCH($A550,_xlfn.VSTACK(YES_Writing_ELA[Student Number],YES_Writing_FLA[Student Number]),0),MATCH(VLOOKUP(E$7,'Writing Logic'!$J$7:$K$11,2,FALSE)&amp;" - Per "&amp;VLOOKUP($C$4,'Writing Logic'!$G$8:$H$14,2,FALSE),YES_Writing_ELA[#Headers],0))=0,"",INDEX(_xlfn.VSTACK(YES_Writing_ELA[#Data],YES_Writing_FLA[#Data]),MATCH($A550,_xlfn.VSTACK(YES_Writing_ELA[Student Number],YES_Writing_FLA[Student Number]),0),MATCH(VLOOKUP(E$7,'Writing Logic'!$J$7:$K$11,2,FALSE)&amp;" - Per "&amp;VLOOKUP($C$4,'Writing Logic'!$G$8:$H$14,2,FALSE),YES_Writing_ELA[#Headers],0)))),"")</f>
        <v/>
      </c>
      <c r="F550" s="138" t="str">
        <f>IFERROR(IF(IF(INDEX(_xlfn.VSTACK(YES_Writing_ELA[#Data],YES_Writing_FLA[#Data]),MATCH($A550,_xlfn.VSTACK(YES_Writing_ELA[Student Number],YES_Writing_FLA[Student Number]),0),MATCH(VLOOKUP(F$7,'Writing Logic'!$J$7:$K$11,2,FALSE)&amp;" - Per "&amp;VLOOKUP($C$4,'Writing Logic'!$G$8:$H$14,2,FALSE),YES_Writing_ELA[#Headers],0))=0,"",INDEX(_xlfn.VSTACK(YES_Writing_ELA[#Data],YES_Writing_FLA[#Data]),MATCH($A550,_xlfn.VSTACK(YES_Writing_ELA[Student Number],YES_Writing_FLA[Student Number]),0),MATCH(VLOOKUP(F$7,'Writing Logic'!$J$7:$K$11,2,FALSE)&amp;" - Per "&amp;VLOOKUP($C$4,'Writing Logic'!$G$8:$H$14,2,FALSE),YES_Writing_ELA[#Headers],0)))="INS",'Writing Logic'!$B$7,IF(INDEX(_xlfn.VSTACK(YES_Writing_ELA[#Data],YES_Writing_FLA[#Data]),MATCH($A550,_xlfn.VSTACK(YES_Writing_ELA[Student Number],YES_Writing_FLA[Student Number]),0),MATCH(VLOOKUP(F$7,'Writing Logic'!$J$7:$K$11,2,FALSE)&amp;" - Per "&amp;VLOOKUP($C$4,'Writing Logic'!$G$8:$H$14,2,FALSE),YES_Writing_ELA[#Headers],0))=0,"",INDEX(_xlfn.VSTACK(YES_Writing_ELA[#Data],YES_Writing_FLA[#Data]),MATCH($A550,_xlfn.VSTACK(YES_Writing_ELA[Student Number],YES_Writing_FLA[Student Number]),0),MATCH(VLOOKUP(F$7,'Writing Logic'!$J$7:$K$11,2,FALSE)&amp;" - Per "&amp;VLOOKUP($C$4,'Writing Logic'!$G$8:$H$14,2,FALSE),YES_Writing_ELA[#Headers],0)))),"")</f>
        <v/>
      </c>
      <c r="G550" s="138" t="str">
        <f>IFERROR(IF(IF(INDEX(_xlfn.VSTACK(YES_Writing_ELA[#Data],YES_Writing_FLA[#Data]),MATCH($A550,_xlfn.VSTACK(YES_Writing_ELA[Student Number],YES_Writing_FLA[Student Number]),0),MATCH(VLOOKUP(G$7,'Writing Logic'!$J$7:$K$11,2,FALSE)&amp;" - Per "&amp;VLOOKUP($C$4,'Writing Logic'!$G$8:$H$14,2,FALSE),YES_Writing_ELA[#Headers],0))=0,"",INDEX(_xlfn.VSTACK(YES_Writing_ELA[#Data],YES_Writing_FLA[#Data]),MATCH($A550,_xlfn.VSTACK(YES_Writing_ELA[Student Number],YES_Writing_FLA[Student Number]),0),MATCH(VLOOKUP(G$7,'Writing Logic'!$J$7:$K$11,2,FALSE)&amp;" - Per "&amp;VLOOKUP($C$4,'Writing Logic'!$G$8:$H$14,2,FALSE),YES_Writing_ELA[#Headers],0)))="INS",'Writing Logic'!$B$7,IF(INDEX(_xlfn.VSTACK(YES_Writing_ELA[#Data],YES_Writing_FLA[#Data]),MATCH($A550,_xlfn.VSTACK(YES_Writing_ELA[Student Number],YES_Writing_FLA[Student Number]),0),MATCH(VLOOKUP(G$7,'Writing Logic'!$J$7:$K$11,2,FALSE)&amp;" - Per "&amp;VLOOKUP($C$4,'Writing Logic'!$G$8:$H$14,2,FALSE),YES_Writing_ELA[#Headers],0))=0,"",INDEX(_xlfn.VSTACK(YES_Writing_ELA[#Data],YES_Writing_FLA[#Data]),MATCH($A550,_xlfn.VSTACK(YES_Writing_ELA[Student Number],YES_Writing_FLA[Student Number]),0),MATCH(VLOOKUP(G$7,'Writing Logic'!$J$7:$K$11,2,FALSE)&amp;" - Per "&amp;VLOOKUP($C$4,'Writing Logic'!$G$8:$H$14,2,FALSE),YES_Writing_ELA[#Headers],0)))),"")</f>
        <v/>
      </c>
      <c r="H550" s="223" t="str">
        <f>IFERROR(IF(IF(INDEX(_xlfn.VSTACK(YES_Writing_ELA[#Data],YES_Writing_FLA[#Data]),MATCH($A550,_xlfn.VSTACK(YES_Writing_ELA[Student Number],YES_Writing_FLA[Student Number]),0),MATCH(VLOOKUP(H$7,'Writing Logic'!$J$7:$K$11,2,FALSE)&amp;" - Per "&amp;VLOOKUP($C$4,'Writing Logic'!$G$8:$H$14,2,FALSE),YES_Writing_ELA[#Headers],0))=0,"",INDEX(_xlfn.VSTACK(YES_Writing_ELA[#Data],YES_Writing_FLA[#Data]),MATCH($A550,_xlfn.VSTACK(YES_Writing_ELA[Student Number],YES_Writing_FLA[Student Number]),0),MATCH(VLOOKUP(H$7,'Writing Logic'!$J$7:$K$11,2,FALSE)&amp;" - Per "&amp;VLOOKUP($C$4,'Writing Logic'!$G$8:$H$14,2,FALSE),YES_Writing_ELA[#Headers],0)))="INS",'Writing Logic'!$B$7,IF(INDEX(_xlfn.VSTACK(YES_Writing_ELA[#Data],YES_Writing_FLA[#Data]),MATCH($A550,_xlfn.VSTACK(YES_Writing_ELA[Student Number],YES_Writing_FLA[Student Number]),0),MATCH(VLOOKUP(H$7,'Writing Logic'!$J$7:$K$11,2,FALSE)&amp;" - Per "&amp;VLOOKUP($C$4,'Writing Logic'!$G$8:$H$14,2,FALSE),YES_Writing_ELA[#Headers],0))=0,"",INDEX(_xlfn.VSTACK(YES_Writing_ELA[#Data],YES_Writing_FLA[#Data]),MATCH($A550,_xlfn.VSTACK(YES_Writing_ELA[Student Number],YES_Writing_FLA[Student Number]),0),MATCH(VLOOKUP(H$7,'Writing Logic'!$J$7:$K$11,2,FALSE)&amp;" - Per "&amp;VLOOKUP($C$4,'Writing Logic'!$G$8:$H$14,2,FALSE),YES_Writing_ELA[#Headers],0)))),"")</f>
        <v/>
      </c>
      <c r="I550" s="224" t="str" cm="1">
        <f t="array" aca="1" ref="I550" ca="1">IFERROR(
IF($G$3="ELA",
IF(VLOOKUP($A550, YES_Reading_ELA[], COLUMN(INDIRECT("YES_Reading_ELA[Difference - Per "&amp;VLOOKUP($G$4, 'Reading Report Logic'!$A$2:$B$8, 2, FALSE)&amp;"]")), FALSE)="", "",
VLOOKUP($A550,YES_Reading_ELA[], COLUMN(INDIRECT("YES_Reading_ELA[Difference - Per "&amp;VLOOKUP($G$4,'Reading Report Logic'!$A$2:$B$8,2,FALSE)&amp;"]")), FALSE)),
IF($G$3="FLA",
IF(VLOOKUP($A550, YES_Reading_FLA[], COLUMN(INDIRECT("YES_Reading_FLA[Difference - Per "&amp;VLOOKUP($G$4,'Reading Report Logic'!$A$2:$B$8,2,FALSE)&amp;"]")),FALSE)="","",
VLOOKUP($A550,YES_Reading_FLA[],COLUMN(INDIRECT("YES_Reading_FLA[Difference - Per "&amp;VLOOKUP($G$4,'Reading Report Logic'!$A$2:$B$8,2,FALSE)&amp;"]")),FALSE)),
IF($G$3="Combined",
IFERROR(
IF(VLOOKUP($A550, YES_Reading_ELA[], COLUMN(INDIRECT("YES_Reading_ELA[Difference - Per "&amp;VLOOKUP($G$4, 'Reading Report Logic'!$A$2:$B$8,2,FALSE)&amp;"]")), FALSE)="", "",
VLOOKUP($A550,YES_Reading_ELA[],COLUMN(INDIRECT("YES_Reading_ELA[Difference - Per "&amp;VLOOKUP($G$4,'Reading Report Logic'!$A$2:$B$8,2,FALSE)&amp;"]")),FALSE)),
IF(VLOOKUP($A550, YES_Reading_FLA[], COLUMN(INDIRECT("YES_Reading_FLA[Difference - Per "&amp;VLOOKUP($G$4, 'Reading Report Logic'!$A$2:$B$8, 2, FALSE)&amp;"]")),FALSE)="", "", VLOOKUP($A550,YES_Reading_FLA[],COLUMN(INDIRECT("YES_Reading_FLA[Difference - Per "&amp;VLOOKUP($G$4, 'Reading Report Logic'!$A$2:$B$8, 2, FALSE)&amp;"]")),FALSE))),""))),"")</f>
        <v/>
      </c>
    </row>
    <row r="551" spans="1:9" x14ac:dyDescent="0.25">
      <c r="A551" s="137"/>
      <c r="B551" s="137" t="str">
        <f>IFERROR(INDEX(_xlfn.VSTACK(YES_Writing_ELA[#Data], YES_Writing_FLA[#Data]),MATCH($A551,_xlfn.VSTACK(YES_Writing_ELA[Student Number], YES_Writing_FLA[Student Number]),0),MATCH(B$7,YES_Writing_ELA[#Headers],0)),IFERROR(INDEX(_xlfn.VSTACK(YES_Reading_ELA[#Data], YES_Reading_FLA[#Data]),MATCH($A551,_xlfn.VSTACK(YES_Reading_ELA[Student Number], YES_Reading_FLA[Student Number]),0),MATCH(B$7,YES_Reading_ELA[#Headers],0)),""))</f>
        <v/>
      </c>
      <c r="C551" s="137" t="str">
        <f>IFERROR(INDEX(_xlfn.VSTACK(YES_Writing_ELA[#Data], YES_Writing_FLA[#Data]),MATCH($A551,_xlfn.VSTACK(YES_Writing_ELA[Student Number], YES_Writing_FLA[Student Number]),0),MATCH(C$7,YES_Writing_ELA[#Headers],0)),IFERROR(INDEX(_xlfn.VSTACK(YES_Reading_ELA[#Data], YES_Reading_FLA[#Data]),MATCH($A551,_xlfn.VSTACK(YES_Reading_ELA[Student Number], YES_Reading_FLA[Student Number]),0),MATCH(C$7,YES_Reading_ELA[#Headers],0)),""))</f>
        <v/>
      </c>
      <c r="D551" s="138" t="str">
        <f>IFERROR(IF(IF(INDEX(_xlfn.VSTACK(YES_Writing_ELA[#Data],YES_Writing_FLA[#Data]),MATCH($A551,_xlfn.VSTACK(YES_Writing_ELA[Student Number],YES_Writing_FLA[Student Number]),0),MATCH(VLOOKUP(D$7,'Writing Logic'!$J$7:$K$11,2,FALSE)&amp;" - Per "&amp;VLOOKUP($C$4,'Writing Logic'!$G$8:$H$14,2,FALSE),YES_Writing_ELA[#Headers],0))=0,"",INDEX(_xlfn.VSTACK(YES_Writing_ELA[#Data],YES_Writing_FLA[#Data]),MATCH($A551,_xlfn.VSTACK(YES_Writing_ELA[Student Number],YES_Writing_FLA[Student Number]),0),MATCH(VLOOKUP(D$7,'Writing Logic'!$J$7:$K$11,2,FALSE)&amp;" - Per "&amp;VLOOKUP($C$4,'Writing Logic'!$G$8:$H$14,2,FALSE),YES_Writing_ELA[#Headers],0)))="INS",'Writing Logic'!$B$7,IF(INDEX(_xlfn.VSTACK(YES_Writing_ELA[#Data],YES_Writing_FLA[#Data]),MATCH($A551,_xlfn.VSTACK(YES_Writing_ELA[Student Number],YES_Writing_FLA[Student Number]),0),MATCH(VLOOKUP(D$7,'Writing Logic'!$J$7:$K$11,2,FALSE)&amp;" - Per "&amp;VLOOKUP($C$4,'Writing Logic'!$G$8:$H$14,2,FALSE),YES_Writing_ELA[#Headers],0))=0,"",INDEX(_xlfn.VSTACK(YES_Writing_ELA[#Data],YES_Writing_FLA[#Data]),MATCH($A551,_xlfn.VSTACK(YES_Writing_ELA[Student Number],YES_Writing_FLA[Student Number]),0),MATCH(VLOOKUP(D$7,'Writing Logic'!$J$7:$K$11,2,FALSE)&amp;" - Per "&amp;VLOOKUP($C$4,'Writing Logic'!$G$8:$H$14,2,FALSE),YES_Writing_ELA[#Headers],0)))),"")</f>
        <v/>
      </c>
      <c r="E551" s="138" t="str">
        <f>IFERROR(IF(IF(INDEX(_xlfn.VSTACK(YES_Writing_ELA[#Data],YES_Writing_FLA[#Data]),MATCH($A551,_xlfn.VSTACK(YES_Writing_ELA[Student Number],YES_Writing_FLA[Student Number]),0),MATCH(VLOOKUP(E$7,'Writing Logic'!$J$7:$K$11,2,FALSE)&amp;" - Per "&amp;VLOOKUP($C$4,'Writing Logic'!$G$8:$H$14,2,FALSE),YES_Writing_ELA[#Headers],0))=0,"",INDEX(_xlfn.VSTACK(YES_Writing_ELA[#Data],YES_Writing_FLA[#Data]),MATCH($A551,_xlfn.VSTACK(YES_Writing_ELA[Student Number],YES_Writing_FLA[Student Number]),0),MATCH(VLOOKUP(E$7,'Writing Logic'!$J$7:$K$11,2,FALSE)&amp;" - Per "&amp;VLOOKUP($C$4,'Writing Logic'!$G$8:$H$14,2,FALSE),YES_Writing_ELA[#Headers],0)))="INS",'Writing Logic'!$B$7,IF(INDEX(_xlfn.VSTACK(YES_Writing_ELA[#Data],YES_Writing_FLA[#Data]),MATCH($A551,_xlfn.VSTACK(YES_Writing_ELA[Student Number],YES_Writing_FLA[Student Number]),0),MATCH(VLOOKUP(E$7,'Writing Logic'!$J$7:$K$11,2,FALSE)&amp;" - Per "&amp;VLOOKUP($C$4,'Writing Logic'!$G$8:$H$14,2,FALSE),YES_Writing_ELA[#Headers],0))=0,"",INDEX(_xlfn.VSTACK(YES_Writing_ELA[#Data],YES_Writing_FLA[#Data]),MATCH($A551,_xlfn.VSTACK(YES_Writing_ELA[Student Number],YES_Writing_FLA[Student Number]),0),MATCH(VLOOKUP(E$7,'Writing Logic'!$J$7:$K$11,2,FALSE)&amp;" - Per "&amp;VLOOKUP($C$4,'Writing Logic'!$G$8:$H$14,2,FALSE),YES_Writing_ELA[#Headers],0)))),"")</f>
        <v/>
      </c>
      <c r="F551" s="138" t="str">
        <f>IFERROR(IF(IF(INDEX(_xlfn.VSTACK(YES_Writing_ELA[#Data],YES_Writing_FLA[#Data]),MATCH($A551,_xlfn.VSTACK(YES_Writing_ELA[Student Number],YES_Writing_FLA[Student Number]),0),MATCH(VLOOKUP(F$7,'Writing Logic'!$J$7:$K$11,2,FALSE)&amp;" - Per "&amp;VLOOKUP($C$4,'Writing Logic'!$G$8:$H$14,2,FALSE),YES_Writing_ELA[#Headers],0))=0,"",INDEX(_xlfn.VSTACK(YES_Writing_ELA[#Data],YES_Writing_FLA[#Data]),MATCH($A551,_xlfn.VSTACK(YES_Writing_ELA[Student Number],YES_Writing_FLA[Student Number]),0),MATCH(VLOOKUP(F$7,'Writing Logic'!$J$7:$K$11,2,FALSE)&amp;" - Per "&amp;VLOOKUP($C$4,'Writing Logic'!$G$8:$H$14,2,FALSE),YES_Writing_ELA[#Headers],0)))="INS",'Writing Logic'!$B$7,IF(INDEX(_xlfn.VSTACK(YES_Writing_ELA[#Data],YES_Writing_FLA[#Data]),MATCH($A551,_xlfn.VSTACK(YES_Writing_ELA[Student Number],YES_Writing_FLA[Student Number]),0),MATCH(VLOOKUP(F$7,'Writing Logic'!$J$7:$K$11,2,FALSE)&amp;" - Per "&amp;VLOOKUP($C$4,'Writing Logic'!$G$8:$H$14,2,FALSE),YES_Writing_ELA[#Headers],0))=0,"",INDEX(_xlfn.VSTACK(YES_Writing_ELA[#Data],YES_Writing_FLA[#Data]),MATCH($A551,_xlfn.VSTACK(YES_Writing_ELA[Student Number],YES_Writing_FLA[Student Number]),0),MATCH(VLOOKUP(F$7,'Writing Logic'!$J$7:$K$11,2,FALSE)&amp;" - Per "&amp;VLOOKUP($C$4,'Writing Logic'!$G$8:$H$14,2,FALSE),YES_Writing_ELA[#Headers],0)))),"")</f>
        <v/>
      </c>
      <c r="G551" s="138" t="str">
        <f>IFERROR(IF(IF(INDEX(_xlfn.VSTACK(YES_Writing_ELA[#Data],YES_Writing_FLA[#Data]),MATCH($A551,_xlfn.VSTACK(YES_Writing_ELA[Student Number],YES_Writing_FLA[Student Number]),0),MATCH(VLOOKUP(G$7,'Writing Logic'!$J$7:$K$11,2,FALSE)&amp;" - Per "&amp;VLOOKUP($C$4,'Writing Logic'!$G$8:$H$14,2,FALSE),YES_Writing_ELA[#Headers],0))=0,"",INDEX(_xlfn.VSTACK(YES_Writing_ELA[#Data],YES_Writing_FLA[#Data]),MATCH($A551,_xlfn.VSTACK(YES_Writing_ELA[Student Number],YES_Writing_FLA[Student Number]),0),MATCH(VLOOKUP(G$7,'Writing Logic'!$J$7:$K$11,2,FALSE)&amp;" - Per "&amp;VLOOKUP($C$4,'Writing Logic'!$G$8:$H$14,2,FALSE),YES_Writing_ELA[#Headers],0)))="INS",'Writing Logic'!$B$7,IF(INDEX(_xlfn.VSTACK(YES_Writing_ELA[#Data],YES_Writing_FLA[#Data]),MATCH($A551,_xlfn.VSTACK(YES_Writing_ELA[Student Number],YES_Writing_FLA[Student Number]),0),MATCH(VLOOKUP(G$7,'Writing Logic'!$J$7:$K$11,2,FALSE)&amp;" - Per "&amp;VLOOKUP($C$4,'Writing Logic'!$G$8:$H$14,2,FALSE),YES_Writing_ELA[#Headers],0))=0,"",INDEX(_xlfn.VSTACK(YES_Writing_ELA[#Data],YES_Writing_FLA[#Data]),MATCH($A551,_xlfn.VSTACK(YES_Writing_ELA[Student Number],YES_Writing_FLA[Student Number]),0),MATCH(VLOOKUP(G$7,'Writing Logic'!$J$7:$K$11,2,FALSE)&amp;" - Per "&amp;VLOOKUP($C$4,'Writing Logic'!$G$8:$H$14,2,FALSE),YES_Writing_ELA[#Headers],0)))),"")</f>
        <v/>
      </c>
      <c r="H551" s="223" t="str">
        <f>IFERROR(IF(IF(INDEX(_xlfn.VSTACK(YES_Writing_ELA[#Data],YES_Writing_FLA[#Data]),MATCH($A551,_xlfn.VSTACK(YES_Writing_ELA[Student Number],YES_Writing_FLA[Student Number]),0),MATCH(VLOOKUP(H$7,'Writing Logic'!$J$7:$K$11,2,FALSE)&amp;" - Per "&amp;VLOOKUP($C$4,'Writing Logic'!$G$8:$H$14,2,FALSE),YES_Writing_ELA[#Headers],0))=0,"",INDEX(_xlfn.VSTACK(YES_Writing_ELA[#Data],YES_Writing_FLA[#Data]),MATCH($A551,_xlfn.VSTACK(YES_Writing_ELA[Student Number],YES_Writing_FLA[Student Number]),0),MATCH(VLOOKUP(H$7,'Writing Logic'!$J$7:$K$11,2,FALSE)&amp;" - Per "&amp;VLOOKUP($C$4,'Writing Logic'!$G$8:$H$14,2,FALSE),YES_Writing_ELA[#Headers],0)))="INS",'Writing Logic'!$B$7,IF(INDEX(_xlfn.VSTACK(YES_Writing_ELA[#Data],YES_Writing_FLA[#Data]),MATCH($A551,_xlfn.VSTACK(YES_Writing_ELA[Student Number],YES_Writing_FLA[Student Number]),0),MATCH(VLOOKUP(H$7,'Writing Logic'!$J$7:$K$11,2,FALSE)&amp;" - Per "&amp;VLOOKUP($C$4,'Writing Logic'!$G$8:$H$14,2,FALSE),YES_Writing_ELA[#Headers],0))=0,"",INDEX(_xlfn.VSTACK(YES_Writing_ELA[#Data],YES_Writing_FLA[#Data]),MATCH($A551,_xlfn.VSTACK(YES_Writing_ELA[Student Number],YES_Writing_FLA[Student Number]),0),MATCH(VLOOKUP(H$7,'Writing Logic'!$J$7:$K$11,2,FALSE)&amp;" - Per "&amp;VLOOKUP($C$4,'Writing Logic'!$G$8:$H$14,2,FALSE),YES_Writing_ELA[#Headers],0)))),"")</f>
        <v/>
      </c>
      <c r="I551" s="224" t="str" cm="1">
        <f t="array" aca="1" ref="I551" ca="1">IFERROR(
IF($G$3="ELA",
IF(VLOOKUP($A551, YES_Reading_ELA[], COLUMN(INDIRECT("YES_Reading_ELA[Difference - Per "&amp;VLOOKUP($G$4, 'Reading Report Logic'!$A$2:$B$8, 2, FALSE)&amp;"]")), FALSE)="", "",
VLOOKUP($A551,YES_Reading_ELA[], COLUMN(INDIRECT("YES_Reading_ELA[Difference - Per "&amp;VLOOKUP($G$4,'Reading Report Logic'!$A$2:$B$8,2,FALSE)&amp;"]")), FALSE)),
IF($G$3="FLA",
IF(VLOOKUP($A551, YES_Reading_FLA[], COLUMN(INDIRECT("YES_Reading_FLA[Difference - Per "&amp;VLOOKUP($G$4,'Reading Report Logic'!$A$2:$B$8,2,FALSE)&amp;"]")),FALSE)="","",
VLOOKUP($A551,YES_Reading_FLA[],COLUMN(INDIRECT("YES_Reading_FLA[Difference - Per "&amp;VLOOKUP($G$4,'Reading Report Logic'!$A$2:$B$8,2,FALSE)&amp;"]")),FALSE)),
IF($G$3="Combined",
IFERROR(
IF(VLOOKUP($A551, YES_Reading_ELA[], COLUMN(INDIRECT("YES_Reading_ELA[Difference - Per "&amp;VLOOKUP($G$4, 'Reading Report Logic'!$A$2:$B$8,2,FALSE)&amp;"]")), FALSE)="", "",
VLOOKUP($A551,YES_Reading_ELA[],COLUMN(INDIRECT("YES_Reading_ELA[Difference - Per "&amp;VLOOKUP($G$4,'Reading Report Logic'!$A$2:$B$8,2,FALSE)&amp;"]")),FALSE)),
IF(VLOOKUP($A551, YES_Reading_FLA[], COLUMN(INDIRECT("YES_Reading_FLA[Difference - Per "&amp;VLOOKUP($G$4, 'Reading Report Logic'!$A$2:$B$8, 2, FALSE)&amp;"]")),FALSE)="", "", VLOOKUP($A551,YES_Reading_FLA[],COLUMN(INDIRECT("YES_Reading_FLA[Difference - Per "&amp;VLOOKUP($G$4, 'Reading Report Logic'!$A$2:$B$8, 2, FALSE)&amp;"]")),FALSE))),""))),"")</f>
        <v/>
      </c>
    </row>
    <row r="552" spans="1:9" x14ac:dyDescent="0.25">
      <c r="A552" s="137"/>
      <c r="B552" s="137" t="str">
        <f>IFERROR(INDEX(_xlfn.VSTACK(YES_Writing_ELA[#Data], YES_Writing_FLA[#Data]),MATCH($A552,_xlfn.VSTACK(YES_Writing_ELA[Student Number], YES_Writing_FLA[Student Number]),0),MATCH(B$7,YES_Writing_ELA[#Headers],0)),IFERROR(INDEX(_xlfn.VSTACK(YES_Reading_ELA[#Data], YES_Reading_FLA[#Data]),MATCH($A552,_xlfn.VSTACK(YES_Reading_ELA[Student Number], YES_Reading_FLA[Student Number]),0),MATCH(B$7,YES_Reading_ELA[#Headers],0)),""))</f>
        <v/>
      </c>
      <c r="C552" s="137" t="str">
        <f>IFERROR(INDEX(_xlfn.VSTACK(YES_Writing_ELA[#Data], YES_Writing_FLA[#Data]),MATCH($A552,_xlfn.VSTACK(YES_Writing_ELA[Student Number], YES_Writing_FLA[Student Number]),0),MATCH(C$7,YES_Writing_ELA[#Headers],0)),IFERROR(INDEX(_xlfn.VSTACK(YES_Reading_ELA[#Data], YES_Reading_FLA[#Data]),MATCH($A552,_xlfn.VSTACK(YES_Reading_ELA[Student Number], YES_Reading_FLA[Student Number]),0),MATCH(C$7,YES_Reading_ELA[#Headers],0)),""))</f>
        <v/>
      </c>
      <c r="D552" s="138" t="str">
        <f>IFERROR(IF(IF(INDEX(_xlfn.VSTACK(YES_Writing_ELA[#Data],YES_Writing_FLA[#Data]),MATCH($A552,_xlfn.VSTACK(YES_Writing_ELA[Student Number],YES_Writing_FLA[Student Number]),0),MATCH(VLOOKUP(D$7,'Writing Logic'!$J$7:$K$11,2,FALSE)&amp;" - Per "&amp;VLOOKUP($C$4,'Writing Logic'!$G$8:$H$14,2,FALSE),YES_Writing_ELA[#Headers],0))=0,"",INDEX(_xlfn.VSTACK(YES_Writing_ELA[#Data],YES_Writing_FLA[#Data]),MATCH($A552,_xlfn.VSTACK(YES_Writing_ELA[Student Number],YES_Writing_FLA[Student Number]),0),MATCH(VLOOKUP(D$7,'Writing Logic'!$J$7:$K$11,2,FALSE)&amp;" - Per "&amp;VLOOKUP($C$4,'Writing Logic'!$G$8:$H$14,2,FALSE),YES_Writing_ELA[#Headers],0)))="INS",'Writing Logic'!$B$7,IF(INDEX(_xlfn.VSTACK(YES_Writing_ELA[#Data],YES_Writing_FLA[#Data]),MATCH($A552,_xlfn.VSTACK(YES_Writing_ELA[Student Number],YES_Writing_FLA[Student Number]),0),MATCH(VLOOKUP(D$7,'Writing Logic'!$J$7:$K$11,2,FALSE)&amp;" - Per "&amp;VLOOKUP($C$4,'Writing Logic'!$G$8:$H$14,2,FALSE),YES_Writing_ELA[#Headers],0))=0,"",INDEX(_xlfn.VSTACK(YES_Writing_ELA[#Data],YES_Writing_FLA[#Data]),MATCH($A552,_xlfn.VSTACK(YES_Writing_ELA[Student Number],YES_Writing_FLA[Student Number]),0),MATCH(VLOOKUP(D$7,'Writing Logic'!$J$7:$K$11,2,FALSE)&amp;" - Per "&amp;VLOOKUP($C$4,'Writing Logic'!$G$8:$H$14,2,FALSE),YES_Writing_ELA[#Headers],0)))),"")</f>
        <v/>
      </c>
      <c r="E552" s="138" t="str">
        <f>IFERROR(IF(IF(INDEX(_xlfn.VSTACK(YES_Writing_ELA[#Data],YES_Writing_FLA[#Data]),MATCH($A552,_xlfn.VSTACK(YES_Writing_ELA[Student Number],YES_Writing_FLA[Student Number]),0),MATCH(VLOOKUP(E$7,'Writing Logic'!$J$7:$K$11,2,FALSE)&amp;" - Per "&amp;VLOOKUP($C$4,'Writing Logic'!$G$8:$H$14,2,FALSE),YES_Writing_ELA[#Headers],0))=0,"",INDEX(_xlfn.VSTACK(YES_Writing_ELA[#Data],YES_Writing_FLA[#Data]),MATCH($A552,_xlfn.VSTACK(YES_Writing_ELA[Student Number],YES_Writing_FLA[Student Number]),0),MATCH(VLOOKUP(E$7,'Writing Logic'!$J$7:$K$11,2,FALSE)&amp;" - Per "&amp;VLOOKUP($C$4,'Writing Logic'!$G$8:$H$14,2,FALSE),YES_Writing_ELA[#Headers],0)))="INS",'Writing Logic'!$B$7,IF(INDEX(_xlfn.VSTACK(YES_Writing_ELA[#Data],YES_Writing_FLA[#Data]),MATCH($A552,_xlfn.VSTACK(YES_Writing_ELA[Student Number],YES_Writing_FLA[Student Number]),0),MATCH(VLOOKUP(E$7,'Writing Logic'!$J$7:$K$11,2,FALSE)&amp;" - Per "&amp;VLOOKUP($C$4,'Writing Logic'!$G$8:$H$14,2,FALSE),YES_Writing_ELA[#Headers],0))=0,"",INDEX(_xlfn.VSTACK(YES_Writing_ELA[#Data],YES_Writing_FLA[#Data]),MATCH($A552,_xlfn.VSTACK(YES_Writing_ELA[Student Number],YES_Writing_FLA[Student Number]),0),MATCH(VLOOKUP(E$7,'Writing Logic'!$J$7:$K$11,2,FALSE)&amp;" - Per "&amp;VLOOKUP($C$4,'Writing Logic'!$G$8:$H$14,2,FALSE),YES_Writing_ELA[#Headers],0)))),"")</f>
        <v/>
      </c>
      <c r="F552" s="138" t="str">
        <f>IFERROR(IF(IF(INDEX(_xlfn.VSTACK(YES_Writing_ELA[#Data],YES_Writing_FLA[#Data]),MATCH($A552,_xlfn.VSTACK(YES_Writing_ELA[Student Number],YES_Writing_FLA[Student Number]),0),MATCH(VLOOKUP(F$7,'Writing Logic'!$J$7:$K$11,2,FALSE)&amp;" - Per "&amp;VLOOKUP($C$4,'Writing Logic'!$G$8:$H$14,2,FALSE),YES_Writing_ELA[#Headers],0))=0,"",INDEX(_xlfn.VSTACK(YES_Writing_ELA[#Data],YES_Writing_FLA[#Data]),MATCH($A552,_xlfn.VSTACK(YES_Writing_ELA[Student Number],YES_Writing_FLA[Student Number]),0),MATCH(VLOOKUP(F$7,'Writing Logic'!$J$7:$K$11,2,FALSE)&amp;" - Per "&amp;VLOOKUP($C$4,'Writing Logic'!$G$8:$H$14,2,FALSE),YES_Writing_ELA[#Headers],0)))="INS",'Writing Logic'!$B$7,IF(INDEX(_xlfn.VSTACK(YES_Writing_ELA[#Data],YES_Writing_FLA[#Data]),MATCH($A552,_xlfn.VSTACK(YES_Writing_ELA[Student Number],YES_Writing_FLA[Student Number]),0),MATCH(VLOOKUP(F$7,'Writing Logic'!$J$7:$K$11,2,FALSE)&amp;" - Per "&amp;VLOOKUP($C$4,'Writing Logic'!$G$8:$H$14,2,FALSE),YES_Writing_ELA[#Headers],0))=0,"",INDEX(_xlfn.VSTACK(YES_Writing_ELA[#Data],YES_Writing_FLA[#Data]),MATCH($A552,_xlfn.VSTACK(YES_Writing_ELA[Student Number],YES_Writing_FLA[Student Number]),0),MATCH(VLOOKUP(F$7,'Writing Logic'!$J$7:$K$11,2,FALSE)&amp;" - Per "&amp;VLOOKUP($C$4,'Writing Logic'!$G$8:$H$14,2,FALSE),YES_Writing_ELA[#Headers],0)))),"")</f>
        <v/>
      </c>
      <c r="G552" s="138" t="str">
        <f>IFERROR(IF(IF(INDEX(_xlfn.VSTACK(YES_Writing_ELA[#Data],YES_Writing_FLA[#Data]),MATCH($A552,_xlfn.VSTACK(YES_Writing_ELA[Student Number],YES_Writing_FLA[Student Number]),0),MATCH(VLOOKUP(G$7,'Writing Logic'!$J$7:$K$11,2,FALSE)&amp;" - Per "&amp;VLOOKUP($C$4,'Writing Logic'!$G$8:$H$14,2,FALSE),YES_Writing_ELA[#Headers],0))=0,"",INDEX(_xlfn.VSTACK(YES_Writing_ELA[#Data],YES_Writing_FLA[#Data]),MATCH($A552,_xlfn.VSTACK(YES_Writing_ELA[Student Number],YES_Writing_FLA[Student Number]),0),MATCH(VLOOKUP(G$7,'Writing Logic'!$J$7:$K$11,2,FALSE)&amp;" - Per "&amp;VLOOKUP($C$4,'Writing Logic'!$G$8:$H$14,2,FALSE),YES_Writing_ELA[#Headers],0)))="INS",'Writing Logic'!$B$7,IF(INDEX(_xlfn.VSTACK(YES_Writing_ELA[#Data],YES_Writing_FLA[#Data]),MATCH($A552,_xlfn.VSTACK(YES_Writing_ELA[Student Number],YES_Writing_FLA[Student Number]),0),MATCH(VLOOKUP(G$7,'Writing Logic'!$J$7:$K$11,2,FALSE)&amp;" - Per "&amp;VLOOKUP($C$4,'Writing Logic'!$G$8:$H$14,2,FALSE),YES_Writing_ELA[#Headers],0))=0,"",INDEX(_xlfn.VSTACK(YES_Writing_ELA[#Data],YES_Writing_FLA[#Data]),MATCH($A552,_xlfn.VSTACK(YES_Writing_ELA[Student Number],YES_Writing_FLA[Student Number]),0),MATCH(VLOOKUP(G$7,'Writing Logic'!$J$7:$K$11,2,FALSE)&amp;" - Per "&amp;VLOOKUP($C$4,'Writing Logic'!$G$8:$H$14,2,FALSE),YES_Writing_ELA[#Headers],0)))),"")</f>
        <v/>
      </c>
      <c r="H552" s="223" t="str">
        <f>IFERROR(IF(IF(INDEX(_xlfn.VSTACK(YES_Writing_ELA[#Data],YES_Writing_FLA[#Data]),MATCH($A552,_xlfn.VSTACK(YES_Writing_ELA[Student Number],YES_Writing_FLA[Student Number]),0),MATCH(VLOOKUP(H$7,'Writing Logic'!$J$7:$K$11,2,FALSE)&amp;" - Per "&amp;VLOOKUP($C$4,'Writing Logic'!$G$8:$H$14,2,FALSE),YES_Writing_ELA[#Headers],0))=0,"",INDEX(_xlfn.VSTACK(YES_Writing_ELA[#Data],YES_Writing_FLA[#Data]),MATCH($A552,_xlfn.VSTACK(YES_Writing_ELA[Student Number],YES_Writing_FLA[Student Number]),0),MATCH(VLOOKUP(H$7,'Writing Logic'!$J$7:$K$11,2,FALSE)&amp;" - Per "&amp;VLOOKUP($C$4,'Writing Logic'!$G$8:$H$14,2,FALSE),YES_Writing_ELA[#Headers],0)))="INS",'Writing Logic'!$B$7,IF(INDEX(_xlfn.VSTACK(YES_Writing_ELA[#Data],YES_Writing_FLA[#Data]),MATCH($A552,_xlfn.VSTACK(YES_Writing_ELA[Student Number],YES_Writing_FLA[Student Number]),0),MATCH(VLOOKUP(H$7,'Writing Logic'!$J$7:$K$11,2,FALSE)&amp;" - Per "&amp;VLOOKUP($C$4,'Writing Logic'!$G$8:$H$14,2,FALSE),YES_Writing_ELA[#Headers],0))=0,"",INDEX(_xlfn.VSTACK(YES_Writing_ELA[#Data],YES_Writing_FLA[#Data]),MATCH($A552,_xlfn.VSTACK(YES_Writing_ELA[Student Number],YES_Writing_FLA[Student Number]),0),MATCH(VLOOKUP(H$7,'Writing Logic'!$J$7:$K$11,2,FALSE)&amp;" - Per "&amp;VLOOKUP($C$4,'Writing Logic'!$G$8:$H$14,2,FALSE),YES_Writing_ELA[#Headers],0)))),"")</f>
        <v/>
      </c>
      <c r="I552" s="224" t="str" cm="1">
        <f t="array" aca="1" ref="I552" ca="1">IFERROR(
IF($G$3="ELA",
IF(VLOOKUP($A552, YES_Reading_ELA[], COLUMN(INDIRECT("YES_Reading_ELA[Difference - Per "&amp;VLOOKUP($G$4, 'Reading Report Logic'!$A$2:$B$8, 2, FALSE)&amp;"]")), FALSE)="", "",
VLOOKUP($A552,YES_Reading_ELA[], COLUMN(INDIRECT("YES_Reading_ELA[Difference - Per "&amp;VLOOKUP($G$4,'Reading Report Logic'!$A$2:$B$8,2,FALSE)&amp;"]")), FALSE)),
IF($G$3="FLA",
IF(VLOOKUP($A552, YES_Reading_FLA[], COLUMN(INDIRECT("YES_Reading_FLA[Difference - Per "&amp;VLOOKUP($G$4,'Reading Report Logic'!$A$2:$B$8,2,FALSE)&amp;"]")),FALSE)="","",
VLOOKUP($A552,YES_Reading_FLA[],COLUMN(INDIRECT("YES_Reading_FLA[Difference - Per "&amp;VLOOKUP($G$4,'Reading Report Logic'!$A$2:$B$8,2,FALSE)&amp;"]")),FALSE)),
IF($G$3="Combined",
IFERROR(
IF(VLOOKUP($A552, YES_Reading_ELA[], COLUMN(INDIRECT("YES_Reading_ELA[Difference - Per "&amp;VLOOKUP($G$4, 'Reading Report Logic'!$A$2:$B$8,2,FALSE)&amp;"]")), FALSE)="", "",
VLOOKUP($A552,YES_Reading_ELA[],COLUMN(INDIRECT("YES_Reading_ELA[Difference - Per "&amp;VLOOKUP($G$4,'Reading Report Logic'!$A$2:$B$8,2,FALSE)&amp;"]")),FALSE)),
IF(VLOOKUP($A552, YES_Reading_FLA[], COLUMN(INDIRECT("YES_Reading_FLA[Difference - Per "&amp;VLOOKUP($G$4, 'Reading Report Logic'!$A$2:$B$8, 2, FALSE)&amp;"]")),FALSE)="", "", VLOOKUP($A552,YES_Reading_FLA[],COLUMN(INDIRECT("YES_Reading_FLA[Difference - Per "&amp;VLOOKUP($G$4, 'Reading Report Logic'!$A$2:$B$8, 2, FALSE)&amp;"]")),FALSE))),""))),"")</f>
        <v/>
      </c>
    </row>
    <row r="553" spans="1:9" x14ac:dyDescent="0.25">
      <c r="A553" s="137"/>
      <c r="B553" s="137" t="str">
        <f>IFERROR(INDEX(_xlfn.VSTACK(YES_Writing_ELA[#Data], YES_Writing_FLA[#Data]),MATCH($A553,_xlfn.VSTACK(YES_Writing_ELA[Student Number], YES_Writing_FLA[Student Number]),0),MATCH(B$7,YES_Writing_ELA[#Headers],0)),IFERROR(INDEX(_xlfn.VSTACK(YES_Reading_ELA[#Data], YES_Reading_FLA[#Data]),MATCH($A553,_xlfn.VSTACK(YES_Reading_ELA[Student Number], YES_Reading_FLA[Student Number]),0),MATCH(B$7,YES_Reading_ELA[#Headers],0)),""))</f>
        <v/>
      </c>
      <c r="C553" s="137" t="str">
        <f>IFERROR(INDEX(_xlfn.VSTACK(YES_Writing_ELA[#Data], YES_Writing_FLA[#Data]),MATCH($A553,_xlfn.VSTACK(YES_Writing_ELA[Student Number], YES_Writing_FLA[Student Number]),0),MATCH(C$7,YES_Writing_ELA[#Headers],0)),IFERROR(INDEX(_xlfn.VSTACK(YES_Reading_ELA[#Data], YES_Reading_FLA[#Data]),MATCH($A553,_xlfn.VSTACK(YES_Reading_ELA[Student Number], YES_Reading_FLA[Student Number]),0),MATCH(C$7,YES_Reading_ELA[#Headers],0)),""))</f>
        <v/>
      </c>
      <c r="D553" s="138" t="str">
        <f>IFERROR(IF(IF(INDEX(_xlfn.VSTACK(YES_Writing_ELA[#Data],YES_Writing_FLA[#Data]),MATCH($A553,_xlfn.VSTACK(YES_Writing_ELA[Student Number],YES_Writing_FLA[Student Number]),0),MATCH(VLOOKUP(D$7,'Writing Logic'!$J$7:$K$11,2,FALSE)&amp;" - Per "&amp;VLOOKUP($C$4,'Writing Logic'!$G$8:$H$14,2,FALSE),YES_Writing_ELA[#Headers],0))=0,"",INDEX(_xlfn.VSTACK(YES_Writing_ELA[#Data],YES_Writing_FLA[#Data]),MATCH($A553,_xlfn.VSTACK(YES_Writing_ELA[Student Number],YES_Writing_FLA[Student Number]),0),MATCH(VLOOKUP(D$7,'Writing Logic'!$J$7:$K$11,2,FALSE)&amp;" - Per "&amp;VLOOKUP($C$4,'Writing Logic'!$G$8:$H$14,2,FALSE),YES_Writing_ELA[#Headers],0)))="INS",'Writing Logic'!$B$7,IF(INDEX(_xlfn.VSTACK(YES_Writing_ELA[#Data],YES_Writing_FLA[#Data]),MATCH($A553,_xlfn.VSTACK(YES_Writing_ELA[Student Number],YES_Writing_FLA[Student Number]),0),MATCH(VLOOKUP(D$7,'Writing Logic'!$J$7:$K$11,2,FALSE)&amp;" - Per "&amp;VLOOKUP($C$4,'Writing Logic'!$G$8:$H$14,2,FALSE),YES_Writing_ELA[#Headers],0))=0,"",INDEX(_xlfn.VSTACK(YES_Writing_ELA[#Data],YES_Writing_FLA[#Data]),MATCH($A553,_xlfn.VSTACK(YES_Writing_ELA[Student Number],YES_Writing_FLA[Student Number]),0),MATCH(VLOOKUP(D$7,'Writing Logic'!$J$7:$K$11,2,FALSE)&amp;" - Per "&amp;VLOOKUP($C$4,'Writing Logic'!$G$8:$H$14,2,FALSE),YES_Writing_ELA[#Headers],0)))),"")</f>
        <v/>
      </c>
      <c r="E553" s="138" t="str">
        <f>IFERROR(IF(IF(INDEX(_xlfn.VSTACK(YES_Writing_ELA[#Data],YES_Writing_FLA[#Data]),MATCH($A553,_xlfn.VSTACK(YES_Writing_ELA[Student Number],YES_Writing_FLA[Student Number]),0),MATCH(VLOOKUP(E$7,'Writing Logic'!$J$7:$K$11,2,FALSE)&amp;" - Per "&amp;VLOOKUP($C$4,'Writing Logic'!$G$8:$H$14,2,FALSE),YES_Writing_ELA[#Headers],0))=0,"",INDEX(_xlfn.VSTACK(YES_Writing_ELA[#Data],YES_Writing_FLA[#Data]),MATCH($A553,_xlfn.VSTACK(YES_Writing_ELA[Student Number],YES_Writing_FLA[Student Number]),0),MATCH(VLOOKUP(E$7,'Writing Logic'!$J$7:$K$11,2,FALSE)&amp;" - Per "&amp;VLOOKUP($C$4,'Writing Logic'!$G$8:$H$14,2,FALSE),YES_Writing_ELA[#Headers],0)))="INS",'Writing Logic'!$B$7,IF(INDEX(_xlfn.VSTACK(YES_Writing_ELA[#Data],YES_Writing_FLA[#Data]),MATCH($A553,_xlfn.VSTACK(YES_Writing_ELA[Student Number],YES_Writing_FLA[Student Number]),0),MATCH(VLOOKUP(E$7,'Writing Logic'!$J$7:$K$11,2,FALSE)&amp;" - Per "&amp;VLOOKUP($C$4,'Writing Logic'!$G$8:$H$14,2,FALSE),YES_Writing_ELA[#Headers],0))=0,"",INDEX(_xlfn.VSTACK(YES_Writing_ELA[#Data],YES_Writing_FLA[#Data]),MATCH($A553,_xlfn.VSTACK(YES_Writing_ELA[Student Number],YES_Writing_FLA[Student Number]),0),MATCH(VLOOKUP(E$7,'Writing Logic'!$J$7:$K$11,2,FALSE)&amp;" - Per "&amp;VLOOKUP($C$4,'Writing Logic'!$G$8:$H$14,2,FALSE),YES_Writing_ELA[#Headers],0)))),"")</f>
        <v/>
      </c>
      <c r="F553" s="138" t="str">
        <f>IFERROR(IF(IF(INDEX(_xlfn.VSTACK(YES_Writing_ELA[#Data],YES_Writing_FLA[#Data]),MATCH($A553,_xlfn.VSTACK(YES_Writing_ELA[Student Number],YES_Writing_FLA[Student Number]),0),MATCH(VLOOKUP(F$7,'Writing Logic'!$J$7:$K$11,2,FALSE)&amp;" - Per "&amp;VLOOKUP($C$4,'Writing Logic'!$G$8:$H$14,2,FALSE),YES_Writing_ELA[#Headers],0))=0,"",INDEX(_xlfn.VSTACK(YES_Writing_ELA[#Data],YES_Writing_FLA[#Data]),MATCH($A553,_xlfn.VSTACK(YES_Writing_ELA[Student Number],YES_Writing_FLA[Student Number]),0),MATCH(VLOOKUP(F$7,'Writing Logic'!$J$7:$K$11,2,FALSE)&amp;" - Per "&amp;VLOOKUP($C$4,'Writing Logic'!$G$8:$H$14,2,FALSE),YES_Writing_ELA[#Headers],0)))="INS",'Writing Logic'!$B$7,IF(INDEX(_xlfn.VSTACK(YES_Writing_ELA[#Data],YES_Writing_FLA[#Data]),MATCH($A553,_xlfn.VSTACK(YES_Writing_ELA[Student Number],YES_Writing_FLA[Student Number]),0),MATCH(VLOOKUP(F$7,'Writing Logic'!$J$7:$K$11,2,FALSE)&amp;" - Per "&amp;VLOOKUP($C$4,'Writing Logic'!$G$8:$H$14,2,FALSE),YES_Writing_ELA[#Headers],0))=0,"",INDEX(_xlfn.VSTACK(YES_Writing_ELA[#Data],YES_Writing_FLA[#Data]),MATCH($A553,_xlfn.VSTACK(YES_Writing_ELA[Student Number],YES_Writing_FLA[Student Number]),0),MATCH(VLOOKUP(F$7,'Writing Logic'!$J$7:$K$11,2,FALSE)&amp;" - Per "&amp;VLOOKUP($C$4,'Writing Logic'!$G$8:$H$14,2,FALSE),YES_Writing_ELA[#Headers],0)))),"")</f>
        <v/>
      </c>
      <c r="G553" s="138" t="str">
        <f>IFERROR(IF(IF(INDEX(_xlfn.VSTACK(YES_Writing_ELA[#Data],YES_Writing_FLA[#Data]),MATCH($A553,_xlfn.VSTACK(YES_Writing_ELA[Student Number],YES_Writing_FLA[Student Number]),0),MATCH(VLOOKUP(G$7,'Writing Logic'!$J$7:$K$11,2,FALSE)&amp;" - Per "&amp;VLOOKUP($C$4,'Writing Logic'!$G$8:$H$14,2,FALSE),YES_Writing_ELA[#Headers],0))=0,"",INDEX(_xlfn.VSTACK(YES_Writing_ELA[#Data],YES_Writing_FLA[#Data]),MATCH($A553,_xlfn.VSTACK(YES_Writing_ELA[Student Number],YES_Writing_FLA[Student Number]),0),MATCH(VLOOKUP(G$7,'Writing Logic'!$J$7:$K$11,2,FALSE)&amp;" - Per "&amp;VLOOKUP($C$4,'Writing Logic'!$G$8:$H$14,2,FALSE),YES_Writing_ELA[#Headers],0)))="INS",'Writing Logic'!$B$7,IF(INDEX(_xlfn.VSTACK(YES_Writing_ELA[#Data],YES_Writing_FLA[#Data]),MATCH($A553,_xlfn.VSTACK(YES_Writing_ELA[Student Number],YES_Writing_FLA[Student Number]),0),MATCH(VLOOKUP(G$7,'Writing Logic'!$J$7:$K$11,2,FALSE)&amp;" - Per "&amp;VLOOKUP($C$4,'Writing Logic'!$G$8:$H$14,2,FALSE),YES_Writing_ELA[#Headers],0))=0,"",INDEX(_xlfn.VSTACK(YES_Writing_ELA[#Data],YES_Writing_FLA[#Data]),MATCH($A553,_xlfn.VSTACK(YES_Writing_ELA[Student Number],YES_Writing_FLA[Student Number]),0),MATCH(VLOOKUP(G$7,'Writing Logic'!$J$7:$K$11,2,FALSE)&amp;" - Per "&amp;VLOOKUP($C$4,'Writing Logic'!$G$8:$H$14,2,FALSE),YES_Writing_ELA[#Headers],0)))),"")</f>
        <v/>
      </c>
      <c r="H553" s="223" t="str">
        <f>IFERROR(IF(IF(INDEX(_xlfn.VSTACK(YES_Writing_ELA[#Data],YES_Writing_FLA[#Data]),MATCH($A553,_xlfn.VSTACK(YES_Writing_ELA[Student Number],YES_Writing_FLA[Student Number]),0),MATCH(VLOOKUP(H$7,'Writing Logic'!$J$7:$K$11,2,FALSE)&amp;" - Per "&amp;VLOOKUP($C$4,'Writing Logic'!$G$8:$H$14,2,FALSE),YES_Writing_ELA[#Headers],0))=0,"",INDEX(_xlfn.VSTACK(YES_Writing_ELA[#Data],YES_Writing_FLA[#Data]),MATCH($A553,_xlfn.VSTACK(YES_Writing_ELA[Student Number],YES_Writing_FLA[Student Number]),0),MATCH(VLOOKUP(H$7,'Writing Logic'!$J$7:$K$11,2,FALSE)&amp;" - Per "&amp;VLOOKUP($C$4,'Writing Logic'!$G$8:$H$14,2,FALSE),YES_Writing_ELA[#Headers],0)))="INS",'Writing Logic'!$B$7,IF(INDEX(_xlfn.VSTACK(YES_Writing_ELA[#Data],YES_Writing_FLA[#Data]),MATCH($A553,_xlfn.VSTACK(YES_Writing_ELA[Student Number],YES_Writing_FLA[Student Number]),0),MATCH(VLOOKUP(H$7,'Writing Logic'!$J$7:$K$11,2,FALSE)&amp;" - Per "&amp;VLOOKUP($C$4,'Writing Logic'!$G$8:$H$14,2,FALSE),YES_Writing_ELA[#Headers],0))=0,"",INDEX(_xlfn.VSTACK(YES_Writing_ELA[#Data],YES_Writing_FLA[#Data]),MATCH($A553,_xlfn.VSTACK(YES_Writing_ELA[Student Number],YES_Writing_FLA[Student Number]),0),MATCH(VLOOKUP(H$7,'Writing Logic'!$J$7:$K$11,2,FALSE)&amp;" - Per "&amp;VLOOKUP($C$4,'Writing Logic'!$G$8:$H$14,2,FALSE),YES_Writing_ELA[#Headers],0)))),"")</f>
        <v/>
      </c>
      <c r="I553" s="224" t="str" cm="1">
        <f t="array" aca="1" ref="I553" ca="1">IFERROR(
IF($G$3="ELA",
IF(VLOOKUP($A553, YES_Reading_ELA[], COLUMN(INDIRECT("YES_Reading_ELA[Difference - Per "&amp;VLOOKUP($G$4, 'Reading Report Logic'!$A$2:$B$8, 2, FALSE)&amp;"]")), FALSE)="", "",
VLOOKUP($A553,YES_Reading_ELA[], COLUMN(INDIRECT("YES_Reading_ELA[Difference - Per "&amp;VLOOKUP($G$4,'Reading Report Logic'!$A$2:$B$8,2,FALSE)&amp;"]")), FALSE)),
IF($G$3="FLA",
IF(VLOOKUP($A553, YES_Reading_FLA[], COLUMN(INDIRECT("YES_Reading_FLA[Difference - Per "&amp;VLOOKUP($G$4,'Reading Report Logic'!$A$2:$B$8,2,FALSE)&amp;"]")),FALSE)="","",
VLOOKUP($A553,YES_Reading_FLA[],COLUMN(INDIRECT("YES_Reading_FLA[Difference - Per "&amp;VLOOKUP($G$4,'Reading Report Logic'!$A$2:$B$8,2,FALSE)&amp;"]")),FALSE)),
IF($G$3="Combined",
IFERROR(
IF(VLOOKUP($A553, YES_Reading_ELA[], COLUMN(INDIRECT("YES_Reading_ELA[Difference - Per "&amp;VLOOKUP($G$4, 'Reading Report Logic'!$A$2:$B$8,2,FALSE)&amp;"]")), FALSE)="", "",
VLOOKUP($A553,YES_Reading_ELA[],COLUMN(INDIRECT("YES_Reading_ELA[Difference - Per "&amp;VLOOKUP($G$4,'Reading Report Logic'!$A$2:$B$8,2,FALSE)&amp;"]")),FALSE)),
IF(VLOOKUP($A553, YES_Reading_FLA[], COLUMN(INDIRECT("YES_Reading_FLA[Difference - Per "&amp;VLOOKUP($G$4, 'Reading Report Logic'!$A$2:$B$8, 2, FALSE)&amp;"]")),FALSE)="", "", VLOOKUP($A553,YES_Reading_FLA[],COLUMN(INDIRECT("YES_Reading_FLA[Difference - Per "&amp;VLOOKUP($G$4, 'Reading Report Logic'!$A$2:$B$8, 2, FALSE)&amp;"]")),FALSE))),""))),"")</f>
        <v/>
      </c>
    </row>
    <row r="554" spans="1:9" x14ac:dyDescent="0.25">
      <c r="A554" s="137"/>
      <c r="B554" s="137" t="str">
        <f>IFERROR(INDEX(_xlfn.VSTACK(YES_Writing_ELA[#Data], YES_Writing_FLA[#Data]),MATCH($A554,_xlfn.VSTACK(YES_Writing_ELA[Student Number], YES_Writing_FLA[Student Number]),0),MATCH(B$7,YES_Writing_ELA[#Headers],0)),IFERROR(INDEX(_xlfn.VSTACK(YES_Reading_ELA[#Data], YES_Reading_FLA[#Data]),MATCH($A554,_xlfn.VSTACK(YES_Reading_ELA[Student Number], YES_Reading_FLA[Student Number]),0),MATCH(B$7,YES_Reading_ELA[#Headers],0)),""))</f>
        <v/>
      </c>
      <c r="C554" s="137" t="str">
        <f>IFERROR(INDEX(_xlfn.VSTACK(YES_Writing_ELA[#Data], YES_Writing_FLA[#Data]),MATCH($A554,_xlfn.VSTACK(YES_Writing_ELA[Student Number], YES_Writing_FLA[Student Number]),0),MATCH(C$7,YES_Writing_ELA[#Headers],0)),IFERROR(INDEX(_xlfn.VSTACK(YES_Reading_ELA[#Data], YES_Reading_FLA[#Data]),MATCH($A554,_xlfn.VSTACK(YES_Reading_ELA[Student Number], YES_Reading_FLA[Student Number]),0),MATCH(C$7,YES_Reading_ELA[#Headers],0)),""))</f>
        <v/>
      </c>
      <c r="D554" s="138" t="str">
        <f>IFERROR(IF(IF(INDEX(_xlfn.VSTACK(YES_Writing_ELA[#Data],YES_Writing_FLA[#Data]),MATCH($A554,_xlfn.VSTACK(YES_Writing_ELA[Student Number],YES_Writing_FLA[Student Number]),0),MATCH(VLOOKUP(D$7,'Writing Logic'!$J$7:$K$11,2,FALSE)&amp;" - Per "&amp;VLOOKUP($C$4,'Writing Logic'!$G$8:$H$14,2,FALSE),YES_Writing_ELA[#Headers],0))=0,"",INDEX(_xlfn.VSTACK(YES_Writing_ELA[#Data],YES_Writing_FLA[#Data]),MATCH($A554,_xlfn.VSTACK(YES_Writing_ELA[Student Number],YES_Writing_FLA[Student Number]),0),MATCH(VLOOKUP(D$7,'Writing Logic'!$J$7:$K$11,2,FALSE)&amp;" - Per "&amp;VLOOKUP($C$4,'Writing Logic'!$G$8:$H$14,2,FALSE),YES_Writing_ELA[#Headers],0)))="INS",'Writing Logic'!$B$7,IF(INDEX(_xlfn.VSTACK(YES_Writing_ELA[#Data],YES_Writing_FLA[#Data]),MATCH($A554,_xlfn.VSTACK(YES_Writing_ELA[Student Number],YES_Writing_FLA[Student Number]),0),MATCH(VLOOKUP(D$7,'Writing Logic'!$J$7:$K$11,2,FALSE)&amp;" - Per "&amp;VLOOKUP($C$4,'Writing Logic'!$G$8:$H$14,2,FALSE),YES_Writing_ELA[#Headers],0))=0,"",INDEX(_xlfn.VSTACK(YES_Writing_ELA[#Data],YES_Writing_FLA[#Data]),MATCH($A554,_xlfn.VSTACK(YES_Writing_ELA[Student Number],YES_Writing_FLA[Student Number]),0),MATCH(VLOOKUP(D$7,'Writing Logic'!$J$7:$K$11,2,FALSE)&amp;" - Per "&amp;VLOOKUP($C$4,'Writing Logic'!$G$8:$H$14,2,FALSE),YES_Writing_ELA[#Headers],0)))),"")</f>
        <v/>
      </c>
      <c r="E554" s="138" t="str">
        <f>IFERROR(IF(IF(INDEX(_xlfn.VSTACK(YES_Writing_ELA[#Data],YES_Writing_FLA[#Data]),MATCH($A554,_xlfn.VSTACK(YES_Writing_ELA[Student Number],YES_Writing_FLA[Student Number]),0),MATCH(VLOOKUP(E$7,'Writing Logic'!$J$7:$K$11,2,FALSE)&amp;" - Per "&amp;VLOOKUP($C$4,'Writing Logic'!$G$8:$H$14,2,FALSE),YES_Writing_ELA[#Headers],0))=0,"",INDEX(_xlfn.VSTACK(YES_Writing_ELA[#Data],YES_Writing_FLA[#Data]),MATCH($A554,_xlfn.VSTACK(YES_Writing_ELA[Student Number],YES_Writing_FLA[Student Number]),0),MATCH(VLOOKUP(E$7,'Writing Logic'!$J$7:$K$11,2,FALSE)&amp;" - Per "&amp;VLOOKUP($C$4,'Writing Logic'!$G$8:$H$14,2,FALSE),YES_Writing_ELA[#Headers],0)))="INS",'Writing Logic'!$B$7,IF(INDEX(_xlfn.VSTACK(YES_Writing_ELA[#Data],YES_Writing_FLA[#Data]),MATCH($A554,_xlfn.VSTACK(YES_Writing_ELA[Student Number],YES_Writing_FLA[Student Number]),0),MATCH(VLOOKUP(E$7,'Writing Logic'!$J$7:$K$11,2,FALSE)&amp;" - Per "&amp;VLOOKUP($C$4,'Writing Logic'!$G$8:$H$14,2,FALSE),YES_Writing_ELA[#Headers],0))=0,"",INDEX(_xlfn.VSTACK(YES_Writing_ELA[#Data],YES_Writing_FLA[#Data]),MATCH($A554,_xlfn.VSTACK(YES_Writing_ELA[Student Number],YES_Writing_FLA[Student Number]),0),MATCH(VLOOKUP(E$7,'Writing Logic'!$J$7:$K$11,2,FALSE)&amp;" - Per "&amp;VLOOKUP($C$4,'Writing Logic'!$G$8:$H$14,2,FALSE),YES_Writing_ELA[#Headers],0)))),"")</f>
        <v/>
      </c>
      <c r="F554" s="138" t="str">
        <f>IFERROR(IF(IF(INDEX(_xlfn.VSTACK(YES_Writing_ELA[#Data],YES_Writing_FLA[#Data]),MATCH($A554,_xlfn.VSTACK(YES_Writing_ELA[Student Number],YES_Writing_FLA[Student Number]),0),MATCH(VLOOKUP(F$7,'Writing Logic'!$J$7:$K$11,2,FALSE)&amp;" - Per "&amp;VLOOKUP($C$4,'Writing Logic'!$G$8:$H$14,2,FALSE),YES_Writing_ELA[#Headers],0))=0,"",INDEX(_xlfn.VSTACK(YES_Writing_ELA[#Data],YES_Writing_FLA[#Data]),MATCH($A554,_xlfn.VSTACK(YES_Writing_ELA[Student Number],YES_Writing_FLA[Student Number]),0),MATCH(VLOOKUP(F$7,'Writing Logic'!$J$7:$K$11,2,FALSE)&amp;" - Per "&amp;VLOOKUP($C$4,'Writing Logic'!$G$8:$H$14,2,FALSE),YES_Writing_ELA[#Headers],0)))="INS",'Writing Logic'!$B$7,IF(INDEX(_xlfn.VSTACK(YES_Writing_ELA[#Data],YES_Writing_FLA[#Data]),MATCH($A554,_xlfn.VSTACK(YES_Writing_ELA[Student Number],YES_Writing_FLA[Student Number]),0),MATCH(VLOOKUP(F$7,'Writing Logic'!$J$7:$K$11,2,FALSE)&amp;" - Per "&amp;VLOOKUP($C$4,'Writing Logic'!$G$8:$H$14,2,FALSE),YES_Writing_ELA[#Headers],0))=0,"",INDEX(_xlfn.VSTACK(YES_Writing_ELA[#Data],YES_Writing_FLA[#Data]),MATCH($A554,_xlfn.VSTACK(YES_Writing_ELA[Student Number],YES_Writing_FLA[Student Number]),0),MATCH(VLOOKUP(F$7,'Writing Logic'!$J$7:$K$11,2,FALSE)&amp;" - Per "&amp;VLOOKUP($C$4,'Writing Logic'!$G$8:$H$14,2,FALSE),YES_Writing_ELA[#Headers],0)))),"")</f>
        <v/>
      </c>
      <c r="G554" s="138" t="str">
        <f>IFERROR(IF(IF(INDEX(_xlfn.VSTACK(YES_Writing_ELA[#Data],YES_Writing_FLA[#Data]),MATCH($A554,_xlfn.VSTACK(YES_Writing_ELA[Student Number],YES_Writing_FLA[Student Number]),0),MATCH(VLOOKUP(G$7,'Writing Logic'!$J$7:$K$11,2,FALSE)&amp;" - Per "&amp;VLOOKUP($C$4,'Writing Logic'!$G$8:$H$14,2,FALSE),YES_Writing_ELA[#Headers],0))=0,"",INDEX(_xlfn.VSTACK(YES_Writing_ELA[#Data],YES_Writing_FLA[#Data]),MATCH($A554,_xlfn.VSTACK(YES_Writing_ELA[Student Number],YES_Writing_FLA[Student Number]),0),MATCH(VLOOKUP(G$7,'Writing Logic'!$J$7:$K$11,2,FALSE)&amp;" - Per "&amp;VLOOKUP($C$4,'Writing Logic'!$G$8:$H$14,2,FALSE),YES_Writing_ELA[#Headers],0)))="INS",'Writing Logic'!$B$7,IF(INDEX(_xlfn.VSTACK(YES_Writing_ELA[#Data],YES_Writing_FLA[#Data]),MATCH($A554,_xlfn.VSTACK(YES_Writing_ELA[Student Number],YES_Writing_FLA[Student Number]),0),MATCH(VLOOKUP(G$7,'Writing Logic'!$J$7:$K$11,2,FALSE)&amp;" - Per "&amp;VLOOKUP($C$4,'Writing Logic'!$G$8:$H$14,2,FALSE),YES_Writing_ELA[#Headers],0))=0,"",INDEX(_xlfn.VSTACK(YES_Writing_ELA[#Data],YES_Writing_FLA[#Data]),MATCH($A554,_xlfn.VSTACK(YES_Writing_ELA[Student Number],YES_Writing_FLA[Student Number]),0),MATCH(VLOOKUP(G$7,'Writing Logic'!$J$7:$K$11,2,FALSE)&amp;" - Per "&amp;VLOOKUP($C$4,'Writing Logic'!$G$8:$H$14,2,FALSE),YES_Writing_ELA[#Headers],0)))),"")</f>
        <v/>
      </c>
      <c r="H554" s="223" t="str">
        <f>IFERROR(IF(IF(INDEX(_xlfn.VSTACK(YES_Writing_ELA[#Data],YES_Writing_FLA[#Data]),MATCH($A554,_xlfn.VSTACK(YES_Writing_ELA[Student Number],YES_Writing_FLA[Student Number]),0),MATCH(VLOOKUP(H$7,'Writing Logic'!$J$7:$K$11,2,FALSE)&amp;" - Per "&amp;VLOOKUP($C$4,'Writing Logic'!$G$8:$H$14,2,FALSE),YES_Writing_ELA[#Headers],0))=0,"",INDEX(_xlfn.VSTACK(YES_Writing_ELA[#Data],YES_Writing_FLA[#Data]),MATCH($A554,_xlfn.VSTACK(YES_Writing_ELA[Student Number],YES_Writing_FLA[Student Number]),0),MATCH(VLOOKUP(H$7,'Writing Logic'!$J$7:$K$11,2,FALSE)&amp;" - Per "&amp;VLOOKUP($C$4,'Writing Logic'!$G$8:$H$14,2,FALSE),YES_Writing_ELA[#Headers],0)))="INS",'Writing Logic'!$B$7,IF(INDEX(_xlfn.VSTACK(YES_Writing_ELA[#Data],YES_Writing_FLA[#Data]),MATCH($A554,_xlfn.VSTACK(YES_Writing_ELA[Student Number],YES_Writing_FLA[Student Number]),0),MATCH(VLOOKUP(H$7,'Writing Logic'!$J$7:$K$11,2,FALSE)&amp;" - Per "&amp;VLOOKUP($C$4,'Writing Logic'!$G$8:$H$14,2,FALSE),YES_Writing_ELA[#Headers],0))=0,"",INDEX(_xlfn.VSTACK(YES_Writing_ELA[#Data],YES_Writing_FLA[#Data]),MATCH($A554,_xlfn.VSTACK(YES_Writing_ELA[Student Number],YES_Writing_FLA[Student Number]),0),MATCH(VLOOKUP(H$7,'Writing Logic'!$J$7:$K$11,2,FALSE)&amp;" - Per "&amp;VLOOKUP($C$4,'Writing Logic'!$G$8:$H$14,2,FALSE),YES_Writing_ELA[#Headers],0)))),"")</f>
        <v/>
      </c>
      <c r="I554" s="224" t="str" cm="1">
        <f t="array" aca="1" ref="I554" ca="1">IFERROR(
IF($G$3="ELA",
IF(VLOOKUP($A554, YES_Reading_ELA[], COLUMN(INDIRECT("YES_Reading_ELA[Difference - Per "&amp;VLOOKUP($G$4, 'Reading Report Logic'!$A$2:$B$8, 2, FALSE)&amp;"]")), FALSE)="", "",
VLOOKUP($A554,YES_Reading_ELA[], COLUMN(INDIRECT("YES_Reading_ELA[Difference - Per "&amp;VLOOKUP($G$4,'Reading Report Logic'!$A$2:$B$8,2,FALSE)&amp;"]")), FALSE)),
IF($G$3="FLA",
IF(VLOOKUP($A554, YES_Reading_FLA[], COLUMN(INDIRECT("YES_Reading_FLA[Difference - Per "&amp;VLOOKUP($G$4,'Reading Report Logic'!$A$2:$B$8,2,FALSE)&amp;"]")),FALSE)="","",
VLOOKUP($A554,YES_Reading_FLA[],COLUMN(INDIRECT("YES_Reading_FLA[Difference - Per "&amp;VLOOKUP($G$4,'Reading Report Logic'!$A$2:$B$8,2,FALSE)&amp;"]")),FALSE)),
IF($G$3="Combined",
IFERROR(
IF(VLOOKUP($A554, YES_Reading_ELA[], COLUMN(INDIRECT("YES_Reading_ELA[Difference - Per "&amp;VLOOKUP($G$4, 'Reading Report Logic'!$A$2:$B$8,2,FALSE)&amp;"]")), FALSE)="", "",
VLOOKUP($A554,YES_Reading_ELA[],COLUMN(INDIRECT("YES_Reading_ELA[Difference - Per "&amp;VLOOKUP($G$4,'Reading Report Logic'!$A$2:$B$8,2,FALSE)&amp;"]")),FALSE)),
IF(VLOOKUP($A554, YES_Reading_FLA[], COLUMN(INDIRECT("YES_Reading_FLA[Difference - Per "&amp;VLOOKUP($G$4, 'Reading Report Logic'!$A$2:$B$8, 2, FALSE)&amp;"]")),FALSE)="", "", VLOOKUP($A554,YES_Reading_FLA[],COLUMN(INDIRECT("YES_Reading_FLA[Difference - Per "&amp;VLOOKUP($G$4, 'Reading Report Logic'!$A$2:$B$8, 2, FALSE)&amp;"]")),FALSE))),""))),"")</f>
        <v/>
      </c>
    </row>
    <row r="555" spans="1:9" x14ac:dyDescent="0.25">
      <c r="A555" s="137"/>
      <c r="B555" s="137" t="str">
        <f>IFERROR(INDEX(_xlfn.VSTACK(YES_Writing_ELA[#Data], YES_Writing_FLA[#Data]),MATCH($A555,_xlfn.VSTACK(YES_Writing_ELA[Student Number], YES_Writing_FLA[Student Number]),0),MATCH(B$7,YES_Writing_ELA[#Headers],0)),IFERROR(INDEX(_xlfn.VSTACK(YES_Reading_ELA[#Data], YES_Reading_FLA[#Data]),MATCH($A555,_xlfn.VSTACK(YES_Reading_ELA[Student Number], YES_Reading_FLA[Student Number]),0),MATCH(B$7,YES_Reading_ELA[#Headers],0)),""))</f>
        <v/>
      </c>
      <c r="C555" s="137" t="str">
        <f>IFERROR(INDEX(_xlfn.VSTACK(YES_Writing_ELA[#Data], YES_Writing_FLA[#Data]),MATCH($A555,_xlfn.VSTACK(YES_Writing_ELA[Student Number], YES_Writing_FLA[Student Number]),0),MATCH(C$7,YES_Writing_ELA[#Headers],0)),IFERROR(INDEX(_xlfn.VSTACK(YES_Reading_ELA[#Data], YES_Reading_FLA[#Data]),MATCH($A555,_xlfn.VSTACK(YES_Reading_ELA[Student Number], YES_Reading_FLA[Student Number]),0),MATCH(C$7,YES_Reading_ELA[#Headers],0)),""))</f>
        <v/>
      </c>
      <c r="D555" s="138" t="str">
        <f>IFERROR(IF(IF(INDEX(_xlfn.VSTACK(YES_Writing_ELA[#Data],YES_Writing_FLA[#Data]),MATCH($A555,_xlfn.VSTACK(YES_Writing_ELA[Student Number],YES_Writing_FLA[Student Number]),0),MATCH(VLOOKUP(D$7,'Writing Logic'!$J$7:$K$11,2,FALSE)&amp;" - Per "&amp;VLOOKUP($C$4,'Writing Logic'!$G$8:$H$14,2,FALSE),YES_Writing_ELA[#Headers],0))=0,"",INDEX(_xlfn.VSTACK(YES_Writing_ELA[#Data],YES_Writing_FLA[#Data]),MATCH($A555,_xlfn.VSTACK(YES_Writing_ELA[Student Number],YES_Writing_FLA[Student Number]),0),MATCH(VLOOKUP(D$7,'Writing Logic'!$J$7:$K$11,2,FALSE)&amp;" - Per "&amp;VLOOKUP($C$4,'Writing Logic'!$G$8:$H$14,2,FALSE),YES_Writing_ELA[#Headers],0)))="INS",'Writing Logic'!$B$7,IF(INDEX(_xlfn.VSTACK(YES_Writing_ELA[#Data],YES_Writing_FLA[#Data]),MATCH($A555,_xlfn.VSTACK(YES_Writing_ELA[Student Number],YES_Writing_FLA[Student Number]),0),MATCH(VLOOKUP(D$7,'Writing Logic'!$J$7:$K$11,2,FALSE)&amp;" - Per "&amp;VLOOKUP($C$4,'Writing Logic'!$G$8:$H$14,2,FALSE),YES_Writing_ELA[#Headers],0))=0,"",INDEX(_xlfn.VSTACK(YES_Writing_ELA[#Data],YES_Writing_FLA[#Data]),MATCH($A555,_xlfn.VSTACK(YES_Writing_ELA[Student Number],YES_Writing_FLA[Student Number]),0),MATCH(VLOOKUP(D$7,'Writing Logic'!$J$7:$K$11,2,FALSE)&amp;" - Per "&amp;VLOOKUP($C$4,'Writing Logic'!$G$8:$H$14,2,FALSE),YES_Writing_ELA[#Headers],0)))),"")</f>
        <v/>
      </c>
      <c r="E555" s="138" t="str">
        <f>IFERROR(IF(IF(INDEX(_xlfn.VSTACK(YES_Writing_ELA[#Data],YES_Writing_FLA[#Data]),MATCH($A555,_xlfn.VSTACK(YES_Writing_ELA[Student Number],YES_Writing_FLA[Student Number]),0),MATCH(VLOOKUP(E$7,'Writing Logic'!$J$7:$K$11,2,FALSE)&amp;" - Per "&amp;VLOOKUP($C$4,'Writing Logic'!$G$8:$H$14,2,FALSE),YES_Writing_ELA[#Headers],0))=0,"",INDEX(_xlfn.VSTACK(YES_Writing_ELA[#Data],YES_Writing_FLA[#Data]),MATCH($A555,_xlfn.VSTACK(YES_Writing_ELA[Student Number],YES_Writing_FLA[Student Number]),0),MATCH(VLOOKUP(E$7,'Writing Logic'!$J$7:$K$11,2,FALSE)&amp;" - Per "&amp;VLOOKUP($C$4,'Writing Logic'!$G$8:$H$14,2,FALSE),YES_Writing_ELA[#Headers],0)))="INS",'Writing Logic'!$B$7,IF(INDEX(_xlfn.VSTACK(YES_Writing_ELA[#Data],YES_Writing_FLA[#Data]),MATCH($A555,_xlfn.VSTACK(YES_Writing_ELA[Student Number],YES_Writing_FLA[Student Number]),0),MATCH(VLOOKUP(E$7,'Writing Logic'!$J$7:$K$11,2,FALSE)&amp;" - Per "&amp;VLOOKUP($C$4,'Writing Logic'!$G$8:$H$14,2,FALSE),YES_Writing_ELA[#Headers],0))=0,"",INDEX(_xlfn.VSTACK(YES_Writing_ELA[#Data],YES_Writing_FLA[#Data]),MATCH($A555,_xlfn.VSTACK(YES_Writing_ELA[Student Number],YES_Writing_FLA[Student Number]),0),MATCH(VLOOKUP(E$7,'Writing Logic'!$J$7:$K$11,2,FALSE)&amp;" - Per "&amp;VLOOKUP($C$4,'Writing Logic'!$G$8:$H$14,2,FALSE),YES_Writing_ELA[#Headers],0)))),"")</f>
        <v/>
      </c>
      <c r="F555" s="138" t="str">
        <f>IFERROR(IF(IF(INDEX(_xlfn.VSTACK(YES_Writing_ELA[#Data],YES_Writing_FLA[#Data]),MATCH($A555,_xlfn.VSTACK(YES_Writing_ELA[Student Number],YES_Writing_FLA[Student Number]),0),MATCH(VLOOKUP(F$7,'Writing Logic'!$J$7:$K$11,2,FALSE)&amp;" - Per "&amp;VLOOKUP($C$4,'Writing Logic'!$G$8:$H$14,2,FALSE),YES_Writing_ELA[#Headers],0))=0,"",INDEX(_xlfn.VSTACK(YES_Writing_ELA[#Data],YES_Writing_FLA[#Data]),MATCH($A555,_xlfn.VSTACK(YES_Writing_ELA[Student Number],YES_Writing_FLA[Student Number]),0),MATCH(VLOOKUP(F$7,'Writing Logic'!$J$7:$K$11,2,FALSE)&amp;" - Per "&amp;VLOOKUP($C$4,'Writing Logic'!$G$8:$H$14,2,FALSE),YES_Writing_ELA[#Headers],0)))="INS",'Writing Logic'!$B$7,IF(INDEX(_xlfn.VSTACK(YES_Writing_ELA[#Data],YES_Writing_FLA[#Data]),MATCH($A555,_xlfn.VSTACK(YES_Writing_ELA[Student Number],YES_Writing_FLA[Student Number]),0),MATCH(VLOOKUP(F$7,'Writing Logic'!$J$7:$K$11,2,FALSE)&amp;" - Per "&amp;VLOOKUP($C$4,'Writing Logic'!$G$8:$H$14,2,FALSE),YES_Writing_ELA[#Headers],0))=0,"",INDEX(_xlfn.VSTACK(YES_Writing_ELA[#Data],YES_Writing_FLA[#Data]),MATCH($A555,_xlfn.VSTACK(YES_Writing_ELA[Student Number],YES_Writing_FLA[Student Number]),0),MATCH(VLOOKUP(F$7,'Writing Logic'!$J$7:$K$11,2,FALSE)&amp;" - Per "&amp;VLOOKUP($C$4,'Writing Logic'!$G$8:$H$14,2,FALSE),YES_Writing_ELA[#Headers],0)))),"")</f>
        <v/>
      </c>
      <c r="G555" s="138" t="str">
        <f>IFERROR(IF(IF(INDEX(_xlfn.VSTACK(YES_Writing_ELA[#Data],YES_Writing_FLA[#Data]),MATCH($A555,_xlfn.VSTACK(YES_Writing_ELA[Student Number],YES_Writing_FLA[Student Number]),0),MATCH(VLOOKUP(G$7,'Writing Logic'!$J$7:$K$11,2,FALSE)&amp;" - Per "&amp;VLOOKUP($C$4,'Writing Logic'!$G$8:$H$14,2,FALSE),YES_Writing_ELA[#Headers],0))=0,"",INDEX(_xlfn.VSTACK(YES_Writing_ELA[#Data],YES_Writing_FLA[#Data]),MATCH($A555,_xlfn.VSTACK(YES_Writing_ELA[Student Number],YES_Writing_FLA[Student Number]),0),MATCH(VLOOKUP(G$7,'Writing Logic'!$J$7:$K$11,2,FALSE)&amp;" - Per "&amp;VLOOKUP($C$4,'Writing Logic'!$G$8:$H$14,2,FALSE),YES_Writing_ELA[#Headers],0)))="INS",'Writing Logic'!$B$7,IF(INDEX(_xlfn.VSTACK(YES_Writing_ELA[#Data],YES_Writing_FLA[#Data]),MATCH($A555,_xlfn.VSTACK(YES_Writing_ELA[Student Number],YES_Writing_FLA[Student Number]),0),MATCH(VLOOKUP(G$7,'Writing Logic'!$J$7:$K$11,2,FALSE)&amp;" - Per "&amp;VLOOKUP($C$4,'Writing Logic'!$G$8:$H$14,2,FALSE),YES_Writing_ELA[#Headers],0))=0,"",INDEX(_xlfn.VSTACK(YES_Writing_ELA[#Data],YES_Writing_FLA[#Data]),MATCH($A555,_xlfn.VSTACK(YES_Writing_ELA[Student Number],YES_Writing_FLA[Student Number]),0),MATCH(VLOOKUP(G$7,'Writing Logic'!$J$7:$K$11,2,FALSE)&amp;" - Per "&amp;VLOOKUP($C$4,'Writing Logic'!$G$8:$H$14,2,FALSE),YES_Writing_ELA[#Headers],0)))),"")</f>
        <v/>
      </c>
      <c r="H555" s="223" t="str">
        <f>IFERROR(IF(IF(INDEX(_xlfn.VSTACK(YES_Writing_ELA[#Data],YES_Writing_FLA[#Data]),MATCH($A555,_xlfn.VSTACK(YES_Writing_ELA[Student Number],YES_Writing_FLA[Student Number]),0),MATCH(VLOOKUP(H$7,'Writing Logic'!$J$7:$K$11,2,FALSE)&amp;" - Per "&amp;VLOOKUP($C$4,'Writing Logic'!$G$8:$H$14,2,FALSE),YES_Writing_ELA[#Headers],0))=0,"",INDEX(_xlfn.VSTACK(YES_Writing_ELA[#Data],YES_Writing_FLA[#Data]),MATCH($A555,_xlfn.VSTACK(YES_Writing_ELA[Student Number],YES_Writing_FLA[Student Number]),0),MATCH(VLOOKUP(H$7,'Writing Logic'!$J$7:$K$11,2,FALSE)&amp;" - Per "&amp;VLOOKUP($C$4,'Writing Logic'!$G$8:$H$14,2,FALSE),YES_Writing_ELA[#Headers],0)))="INS",'Writing Logic'!$B$7,IF(INDEX(_xlfn.VSTACK(YES_Writing_ELA[#Data],YES_Writing_FLA[#Data]),MATCH($A555,_xlfn.VSTACK(YES_Writing_ELA[Student Number],YES_Writing_FLA[Student Number]),0),MATCH(VLOOKUP(H$7,'Writing Logic'!$J$7:$K$11,2,FALSE)&amp;" - Per "&amp;VLOOKUP($C$4,'Writing Logic'!$G$8:$H$14,2,FALSE),YES_Writing_ELA[#Headers],0))=0,"",INDEX(_xlfn.VSTACK(YES_Writing_ELA[#Data],YES_Writing_FLA[#Data]),MATCH($A555,_xlfn.VSTACK(YES_Writing_ELA[Student Number],YES_Writing_FLA[Student Number]),0),MATCH(VLOOKUP(H$7,'Writing Logic'!$J$7:$K$11,2,FALSE)&amp;" - Per "&amp;VLOOKUP($C$4,'Writing Logic'!$G$8:$H$14,2,FALSE),YES_Writing_ELA[#Headers],0)))),"")</f>
        <v/>
      </c>
      <c r="I555" s="224" t="str" cm="1">
        <f t="array" aca="1" ref="I555" ca="1">IFERROR(
IF($G$3="ELA",
IF(VLOOKUP($A555, YES_Reading_ELA[], COLUMN(INDIRECT("YES_Reading_ELA[Difference - Per "&amp;VLOOKUP($G$4, 'Reading Report Logic'!$A$2:$B$8, 2, FALSE)&amp;"]")), FALSE)="", "",
VLOOKUP($A555,YES_Reading_ELA[], COLUMN(INDIRECT("YES_Reading_ELA[Difference - Per "&amp;VLOOKUP($G$4,'Reading Report Logic'!$A$2:$B$8,2,FALSE)&amp;"]")), FALSE)),
IF($G$3="FLA",
IF(VLOOKUP($A555, YES_Reading_FLA[], COLUMN(INDIRECT("YES_Reading_FLA[Difference - Per "&amp;VLOOKUP($G$4,'Reading Report Logic'!$A$2:$B$8,2,FALSE)&amp;"]")),FALSE)="","",
VLOOKUP($A555,YES_Reading_FLA[],COLUMN(INDIRECT("YES_Reading_FLA[Difference - Per "&amp;VLOOKUP($G$4,'Reading Report Logic'!$A$2:$B$8,2,FALSE)&amp;"]")),FALSE)),
IF($G$3="Combined",
IFERROR(
IF(VLOOKUP($A555, YES_Reading_ELA[], COLUMN(INDIRECT("YES_Reading_ELA[Difference - Per "&amp;VLOOKUP($G$4, 'Reading Report Logic'!$A$2:$B$8,2,FALSE)&amp;"]")), FALSE)="", "",
VLOOKUP($A555,YES_Reading_ELA[],COLUMN(INDIRECT("YES_Reading_ELA[Difference - Per "&amp;VLOOKUP($G$4,'Reading Report Logic'!$A$2:$B$8,2,FALSE)&amp;"]")),FALSE)),
IF(VLOOKUP($A555, YES_Reading_FLA[], COLUMN(INDIRECT("YES_Reading_FLA[Difference - Per "&amp;VLOOKUP($G$4, 'Reading Report Logic'!$A$2:$B$8, 2, FALSE)&amp;"]")),FALSE)="", "", VLOOKUP($A555,YES_Reading_FLA[],COLUMN(INDIRECT("YES_Reading_FLA[Difference - Per "&amp;VLOOKUP($G$4, 'Reading Report Logic'!$A$2:$B$8, 2, FALSE)&amp;"]")),FALSE))),""))),"")</f>
        <v/>
      </c>
    </row>
    <row r="556" spans="1:9" x14ac:dyDescent="0.25">
      <c r="A556" s="137"/>
      <c r="B556" s="137" t="str">
        <f>IFERROR(INDEX(_xlfn.VSTACK(YES_Writing_ELA[#Data], YES_Writing_FLA[#Data]),MATCH($A556,_xlfn.VSTACK(YES_Writing_ELA[Student Number], YES_Writing_FLA[Student Number]),0),MATCH(B$7,YES_Writing_ELA[#Headers],0)),IFERROR(INDEX(_xlfn.VSTACK(YES_Reading_ELA[#Data], YES_Reading_FLA[#Data]),MATCH($A556,_xlfn.VSTACK(YES_Reading_ELA[Student Number], YES_Reading_FLA[Student Number]),0),MATCH(B$7,YES_Reading_ELA[#Headers],0)),""))</f>
        <v/>
      </c>
      <c r="C556" s="137" t="str">
        <f>IFERROR(INDEX(_xlfn.VSTACK(YES_Writing_ELA[#Data], YES_Writing_FLA[#Data]),MATCH($A556,_xlfn.VSTACK(YES_Writing_ELA[Student Number], YES_Writing_FLA[Student Number]),0),MATCH(C$7,YES_Writing_ELA[#Headers],0)),IFERROR(INDEX(_xlfn.VSTACK(YES_Reading_ELA[#Data], YES_Reading_FLA[#Data]),MATCH($A556,_xlfn.VSTACK(YES_Reading_ELA[Student Number], YES_Reading_FLA[Student Number]),0),MATCH(C$7,YES_Reading_ELA[#Headers],0)),""))</f>
        <v/>
      </c>
      <c r="D556" s="138" t="str">
        <f>IFERROR(IF(IF(INDEX(_xlfn.VSTACK(YES_Writing_ELA[#Data],YES_Writing_FLA[#Data]),MATCH($A556,_xlfn.VSTACK(YES_Writing_ELA[Student Number],YES_Writing_FLA[Student Number]),0),MATCH(VLOOKUP(D$7,'Writing Logic'!$J$7:$K$11,2,FALSE)&amp;" - Per "&amp;VLOOKUP($C$4,'Writing Logic'!$G$8:$H$14,2,FALSE),YES_Writing_ELA[#Headers],0))=0,"",INDEX(_xlfn.VSTACK(YES_Writing_ELA[#Data],YES_Writing_FLA[#Data]),MATCH($A556,_xlfn.VSTACK(YES_Writing_ELA[Student Number],YES_Writing_FLA[Student Number]),0),MATCH(VLOOKUP(D$7,'Writing Logic'!$J$7:$K$11,2,FALSE)&amp;" - Per "&amp;VLOOKUP($C$4,'Writing Logic'!$G$8:$H$14,2,FALSE),YES_Writing_ELA[#Headers],0)))="INS",'Writing Logic'!$B$7,IF(INDEX(_xlfn.VSTACK(YES_Writing_ELA[#Data],YES_Writing_FLA[#Data]),MATCH($A556,_xlfn.VSTACK(YES_Writing_ELA[Student Number],YES_Writing_FLA[Student Number]),0),MATCH(VLOOKUP(D$7,'Writing Logic'!$J$7:$K$11,2,FALSE)&amp;" - Per "&amp;VLOOKUP($C$4,'Writing Logic'!$G$8:$H$14,2,FALSE),YES_Writing_ELA[#Headers],0))=0,"",INDEX(_xlfn.VSTACK(YES_Writing_ELA[#Data],YES_Writing_FLA[#Data]),MATCH($A556,_xlfn.VSTACK(YES_Writing_ELA[Student Number],YES_Writing_FLA[Student Number]),0),MATCH(VLOOKUP(D$7,'Writing Logic'!$J$7:$K$11,2,FALSE)&amp;" - Per "&amp;VLOOKUP($C$4,'Writing Logic'!$G$8:$H$14,2,FALSE),YES_Writing_ELA[#Headers],0)))),"")</f>
        <v/>
      </c>
      <c r="E556" s="138" t="str">
        <f>IFERROR(IF(IF(INDEX(_xlfn.VSTACK(YES_Writing_ELA[#Data],YES_Writing_FLA[#Data]),MATCH($A556,_xlfn.VSTACK(YES_Writing_ELA[Student Number],YES_Writing_FLA[Student Number]),0),MATCH(VLOOKUP(E$7,'Writing Logic'!$J$7:$K$11,2,FALSE)&amp;" - Per "&amp;VLOOKUP($C$4,'Writing Logic'!$G$8:$H$14,2,FALSE),YES_Writing_ELA[#Headers],0))=0,"",INDEX(_xlfn.VSTACK(YES_Writing_ELA[#Data],YES_Writing_FLA[#Data]),MATCH($A556,_xlfn.VSTACK(YES_Writing_ELA[Student Number],YES_Writing_FLA[Student Number]),0),MATCH(VLOOKUP(E$7,'Writing Logic'!$J$7:$K$11,2,FALSE)&amp;" - Per "&amp;VLOOKUP($C$4,'Writing Logic'!$G$8:$H$14,2,FALSE),YES_Writing_ELA[#Headers],0)))="INS",'Writing Logic'!$B$7,IF(INDEX(_xlfn.VSTACK(YES_Writing_ELA[#Data],YES_Writing_FLA[#Data]),MATCH($A556,_xlfn.VSTACK(YES_Writing_ELA[Student Number],YES_Writing_FLA[Student Number]),0),MATCH(VLOOKUP(E$7,'Writing Logic'!$J$7:$K$11,2,FALSE)&amp;" - Per "&amp;VLOOKUP($C$4,'Writing Logic'!$G$8:$H$14,2,FALSE),YES_Writing_ELA[#Headers],0))=0,"",INDEX(_xlfn.VSTACK(YES_Writing_ELA[#Data],YES_Writing_FLA[#Data]),MATCH($A556,_xlfn.VSTACK(YES_Writing_ELA[Student Number],YES_Writing_FLA[Student Number]),0),MATCH(VLOOKUP(E$7,'Writing Logic'!$J$7:$K$11,2,FALSE)&amp;" - Per "&amp;VLOOKUP($C$4,'Writing Logic'!$G$8:$H$14,2,FALSE),YES_Writing_ELA[#Headers],0)))),"")</f>
        <v/>
      </c>
      <c r="F556" s="138" t="str">
        <f>IFERROR(IF(IF(INDEX(_xlfn.VSTACK(YES_Writing_ELA[#Data],YES_Writing_FLA[#Data]),MATCH($A556,_xlfn.VSTACK(YES_Writing_ELA[Student Number],YES_Writing_FLA[Student Number]),0),MATCH(VLOOKUP(F$7,'Writing Logic'!$J$7:$K$11,2,FALSE)&amp;" - Per "&amp;VLOOKUP($C$4,'Writing Logic'!$G$8:$H$14,2,FALSE),YES_Writing_ELA[#Headers],0))=0,"",INDEX(_xlfn.VSTACK(YES_Writing_ELA[#Data],YES_Writing_FLA[#Data]),MATCH($A556,_xlfn.VSTACK(YES_Writing_ELA[Student Number],YES_Writing_FLA[Student Number]),0),MATCH(VLOOKUP(F$7,'Writing Logic'!$J$7:$K$11,2,FALSE)&amp;" - Per "&amp;VLOOKUP($C$4,'Writing Logic'!$G$8:$H$14,2,FALSE),YES_Writing_ELA[#Headers],0)))="INS",'Writing Logic'!$B$7,IF(INDEX(_xlfn.VSTACK(YES_Writing_ELA[#Data],YES_Writing_FLA[#Data]),MATCH($A556,_xlfn.VSTACK(YES_Writing_ELA[Student Number],YES_Writing_FLA[Student Number]),0),MATCH(VLOOKUP(F$7,'Writing Logic'!$J$7:$K$11,2,FALSE)&amp;" - Per "&amp;VLOOKUP($C$4,'Writing Logic'!$G$8:$H$14,2,FALSE),YES_Writing_ELA[#Headers],0))=0,"",INDEX(_xlfn.VSTACK(YES_Writing_ELA[#Data],YES_Writing_FLA[#Data]),MATCH($A556,_xlfn.VSTACK(YES_Writing_ELA[Student Number],YES_Writing_FLA[Student Number]),0),MATCH(VLOOKUP(F$7,'Writing Logic'!$J$7:$K$11,2,FALSE)&amp;" - Per "&amp;VLOOKUP($C$4,'Writing Logic'!$G$8:$H$14,2,FALSE),YES_Writing_ELA[#Headers],0)))),"")</f>
        <v/>
      </c>
      <c r="G556" s="138" t="str">
        <f>IFERROR(IF(IF(INDEX(_xlfn.VSTACK(YES_Writing_ELA[#Data],YES_Writing_FLA[#Data]),MATCH($A556,_xlfn.VSTACK(YES_Writing_ELA[Student Number],YES_Writing_FLA[Student Number]),0),MATCH(VLOOKUP(G$7,'Writing Logic'!$J$7:$K$11,2,FALSE)&amp;" - Per "&amp;VLOOKUP($C$4,'Writing Logic'!$G$8:$H$14,2,FALSE),YES_Writing_ELA[#Headers],0))=0,"",INDEX(_xlfn.VSTACK(YES_Writing_ELA[#Data],YES_Writing_FLA[#Data]),MATCH($A556,_xlfn.VSTACK(YES_Writing_ELA[Student Number],YES_Writing_FLA[Student Number]),0),MATCH(VLOOKUP(G$7,'Writing Logic'!$J$7:$K$11,2,FALSE)&amp;" - Per "&amp;VLOOKUP($C$4,'Writing Logic'!$G$8:$H$14,2,FALSE),YES_Writing_ELA[#Headers],0)))="INS",'Writing Logic'!$B$7,IF(INDEX(_xlfn.VSTACK(YES_Writing_ELA[#Data],YES_Writing_FLA[#Data]),MATCH($A556,_xlfn.VSTACK(YES_Writing_ELA[Student Number],YES_Writing_FLA[Student Number]),0),MATCH(VLOOKUP(G$7,'Writing Logic'!$J$7:$K$11,2,FALSE)&amp;" - Per "&amp;VLOOKUP($C$4,'Writing Logic'!$G$8:$H$14,2,FALSE),YES_Writing_ELA[#Headers],0))=0,"",INDEX(_xlfn.VSTACK(YES_Writing_ELA[#Data],YES_Writing_FLA[#Data]),MATCH($A556,_xlfn.VSTACK(YES_Writing_ELA[Student Number],YES_Writing_FLA[Student Number]),0),MATCH(VLOOKUP(G$7,'Writing Logic'!$J$7:$K$11,2,FALSE)&amp;" - Per "&amp;VLOOKUP($C$4,'Writing Logic'!$G$8:$H$14,2,FALSE),YES_Writing_ELA[#Headers],0)))),"")</f>
        <v/>
      </c>
      <c r="H556" s="223" t="str">
        <f>IFERROR(IF(IF(INDEX(_xlfn.VSTACK(YES_Writing_ELA[#Data],YES_Writing_FLA[#Data]),MATCH($A556,_xlfn.VSTACK(YES_Writing_ELA[Student Number],YES_Writing_FLA[Student Number]),0),MATCH(VLOOKUP(H$7,'Writing Logic'!$J$7:$K$11,2,FALSE)&amp;" - Per "&amp;VLOOKUP($C$4,'Writing Logic'!$G$8:$H$14,2,FALSE),YES_Writing_ELA[#Headers],0))=0,"",INDEX(_xlfn.VSTACK(YES_Writing_ELA[#Data],YES_Writing_FLA[#Data]),MATCH($A556,_xlfn.VSTACK(YES_Writing_ELA[Student Number],YES_Writing_FLA[Student Number]),0),MATCH(VLOOKUP(H$7,'Writing Logic'!$J$7:$K$11,2,FALSE)&amp;" - Per "&amp;VLOOKUP($C$4,'Writing Logic'!$G$8:$H$14,2,FALSE),YES_Writing_ELA[#Headers],0)))="INS",'Writing Logic'!$B$7,IF(INDEX(_xlfn.VSTACK(YES_Writing_ELA[#Data],YES_Writing_FLA[#Data]),MATCH($A556,_xlfn.VSTACK(YES_Writing_ELA[Student Number],YES_Writing_FLA[Student Number]),0),MATCH(VLOOKUP(H$7,'Writing Logic'!$J$7:$K$11,2,FALSE)&amp;" - Per "&amp;VLOOKUP($C$4,'Writing Logic'!$G$8:$H$14,2,FALSE),YES_Writing_ELA[#Headers],0))=0,"",INDEX(_xlfn.VSTACK(YES_Writing_ELA[#Data],YES_Writing_FLA[#Data]),MATCH($A556,_xlfn.VSTACK(YES_Writing_ELA[Student Number],YES_Writing_FLA[Student Number]),0),MATCH(VLOOKUP(H$7,'Writing Logic'!$J$7:$K$11,2,FALSE)&amp;" - Per "&amp;VLOOKUP($C$4,'Writing Logic'!$G$8:$H$14,2,FALSE),YES_Writing_ELA[#Headers],0)))),"")</f>
        <v/>
      </c>
      <c r="I556" s="224" t="str" cm="1">
        <f t="array" aca="1" ref="I556" ca="1">IFERROR(
IF($G$3="ELA",
IF(VLOOKUP($A556, YES_Reading_ELA[], COLUMN(INDIRECT("YES_Reading_ELA[Difference - Per "&amp;VLOOKUP($G$4, 'Reading Report Logic'!$A$2:$B$8, 2, FALSE)&amp;"]")), FALSE)="", "",
VLOOKUP($A556,YES_Reading_ELA[], COLUMN(INDIRECT("YES_Reading_ELA[Difference - Per "&amp;VLOOKUP($G$4,'Reading Report Logic'!$A$2:$B$8,2,FALSE)&amp;"]")), FALSE)),
IF($G$3="FLA",
IF(VLOOKUP($A556, YES_Reading_FLA[], COLUMN(INDIRECT("YES_Reading_FLA[Difference - Per "&amp;VLOOKUP($G$4,'Reading Report Logic'!$A$2:$B$8,2,FALSE)&amp;"]")),FALSE)="","",
VLOOKUP($A556,YES_Reading_FLA[],COLUMN(INDIRECT("YES_Reading_FLA[Difference - Per "&amp;VLOOKUP($G$4,'Reading Report Logic'!$A$2:$B$8,2,FALSE)&amp;"]")),FALSE)),
IF($G$3="Combined",
IFERROR(
IF(VLOOKUP($A556, YES_Reading_ELA[], COLUMN(INDIRECT("YES_Reading_ELA[Difference - Per "&amp;VLOOKUP($G$4, 'Reading Report Logic'!$A$2:$B$8,2,FALSE)&amp;"]")), FALSE)="", "",
VLOOKUP($A556,YES_Reading_ELA[],COLUMN(INDIRECT("YES_Reading_ELA[Difference - Per "&amp;VLOOKUP($G$4,'Reading Report Logic'!$A$2:$B$8,2,FALSE)&amp;"]")),FALSE)),
IF(VLOOKUP($A556, YES_Reading_FLA[], COLUMN(INDIRECT("YES_Reading_FLA[Difference - Per "&amp;VLOOKUP($G$4, 'Reading Report Logic'!$A$2:$B$8, 2, FALSE)&amp;"]")),FALSE)="", "", VLOOKUP($A556,YES_Reading_FLA[],COLUMN(INDIRECT("YES_Reading_FLA[Difference - Per "&amp;VLOOKUP($G$4, 'Reading Report Logic'!$A$2:$B$8, 2, FALSE)&amp;"]")),FALSE))),""))),"")</f>
        <v/>
      </c>
    </row>
    <row r="557" spans="1:9" x14ac:dyDescent="0.25">
      <c r="A557" s="137"/>
      <c r="B557" s="137" t="str">
        <f>IFERROR(INDEX(_xlfn.VSTACK(YES_Writing_ELA[#Data], YES_Writing_FLA[#Data]),MATCH($A557,_xlfn.VSTACK(YES_Writing_ELA[Student Number], YES_Writing_FLA[Student Number]),0),MATCH(B$7,YES_Writing_ELA[#Headers],0)),IFERROR(INDEX(_xlfn.VSTACK(YES_Reading_ELA[#Data], YES_Reading_FLA[#Data]),MATCH($A557,_xlfn.VSTACK(YES_Reading_ELA[Student Number], YES_Reading_FLA[Student Number]),0),MATCH(B$7,YES_Reading_ELA[#Headers],0)),""))</f>
        <v/>
      </c>
      <c r="C557" s="137" t="str">
        <f>IFERROR(INDEX(_xlfn.VSTACK(YES_Writing_ELA[#Data], YES_Writing_FLA[#Data]),MATCH($A557,_xlfn.VSTACK(YES_Writing_ELA[Student Number], YES_Writing_FLA[Student Number]),0),MATCH(C$7,YES_Writing_ELA[#Headers],0)),IFERROR(INDEX(_xlfn.VSTACK(YES_Reading_ELA[#Data], YES_Reading_FLA[#Data]),MATCH($A557,_xlfn.VSTACK(YES_Reading_ELA[Student Number], YES_Reading_FLA[Student Number]),0),MATCH(C$7,YES_Reading_ELA[#Headers],0)),""))</f>
        <v/>
      </c>
      <c r="D557" s="138" t="str">
        <f>IFERROR(IF(IF(INDEX(_xlfn.VSTACK(YES_Writing_ELA[#Data],YES_Writing_FLA[#Data]),MATCH($A557,_xlfn.VSTACK(YES_Writing_ELA[Student Number],YES_Writing_FLA[Student Number]),0),MATCH(VLOOKUP(D$7,'Writing Logic'!$J$7:$K$11,2,FALSE)&amp;" - Per "&amp;VLOOKUP($C$4,'Writing Logic'!$G$8:$H$14,2,FALSE),YES_Writing_ELA[#Headers],0))=0,"",INDEX(_xlfn.VSTACK(YES_Writing_ELA[#Data],YES_Writing_FLA[#Data]),MATCH($A557,_xlfn.VSTACK(YES_Writing_ELA[Student Number],YES_Writing_FLA[Student Number]),0),MATCH(VLOOKUP(D$7,'Writing Logic'!$J$7:$K$11,2,FALSE)&amp;" - Per "&amp;VLOOKUP($C$4,'Writing Logic'!$G$8:$H$14,2,FALSE),YES_Writing_ELA[#Headers],0)))="INS",'Writing Logic'!$B$7,IF(INDEX(_xlfn.VSTACK(YES_Writing_ELA[#Data],YES_Writing_FLA[#Data]),MATCH($A557,_xlfn.VSTACK(YES_Writing_ELA[Student Number],YES_Writing_FLA[Student Number]),0),MATCH(VLOOKUP(D$7,'Writing Logic'!$J$7:$K$11,2,FALSE)&amp;" - Per "&amp;VLOOKUP($C$4,'Writing Logic'!$G$8:$H$14,2,FALSE),YES_Writing_ELA[#Headers],0))=0,"",INDEX(_xlfn.VSTACK(YES_Writing_ELA[#Data],YES_Writing_FLA[#Data]),MATCH($A557,_xlfn.VSTACK(YES_Writing_ELA[Student Number],YES_Writing_FLA[Student Number]),0),MATCH(VLOOKUP(D$7,'Writing Logic'!$J$7:$K$11,2,FALSE)&amp;" - Per "&amp;VLOOKUP($C$4,'Writing Logic'!$G$8:$H$14,2,FALSE),YES_Writing_ELA[#Headers],0)))),"")</f>
        <v/>
      </c>
      <c r="E557" s="138" t="str">
        <f>IFERROR(IF(IF(INDEX(_xlfn.VSTACK(YES_Writing_ELA[#Data],YES_Writing_FLA[#Data]),MATCH($A557,_xlfn.VSTACK(YES_Writing_ELA[Student Number],YES_Writing_FLA[Student Number]),0),MATCH(VLOOKUP(E$7,'Writing Logic'!$J$7:$K$11,2,FALSE)&amp;" - Per "&amp;VLOOKUP($C$4,'Writing Logic'!$G$8:$H$14,2,FALSE),YES_Writing_ELA[#Headers],0))=0,"",INDEX(_xlfn.VSTACK(YES_Writing_ELA[#Data],YES_Writing_FLA[#Data]),MATCH($A557,_xlfn.VSTACK(YES_Writing_ELA[Student Number],YES_Writing_FLA[Student Number]),0),MATCH(VLOOKUP(E$7,'Writing Logic'!$J$7:$K$11,2,FALSE)&amp;" - Per "&amp;VLOOKUP($C$4,'Writing Logic'!$G$8:$H$14,2,FALSE),YES_Writing_ELA[#Headers],0)))="INS",'Writing Logic'!$B$7,IF(INDEX(_xlfn.VSTACK(YES_Writing_ELA[#Data],YES_Writing_FLA[#Data]),MATCH($A557,_xlfn.VSTACK(YES_Writing_ELA[Student Number],YES_Writing_FLA[Student Number]),0),MATCH(VLOOKUP(E$7,'Writing Logic'!$J$7:$K$11,2,FALSE)&amp;" - Per "&amp;VLOOKUP($C$4,'Writing Logic'!$G$8:$H$14,2,FALSE),YES_Writing_ELA[#Headers],0))=0,"",INDEX(_xlfn.VSTACK(YES_Writing_ELA[#Data],YES_Writing_FLA[#Data]),MATCH($A557,_xlfn.VSTACK(YES_Writing_ELA[Student Number],YES_Writing_FLA[Student Number]),0),MATCH(VLOOKUP(E$7,'Writing Logic'!$J$7:$K$11,2,FALSE)&amp;" - Per "&amp;VLOOKUP($C$4,'Writing Logic'!$G$8:$H$14,2,FALSE),YES_Writing_ELA[#Headers],0)))),"")</f>
        <v/>
      </c>
      <c r="F557" s="138" t="str">
        <f>IFERROR(IF(IF(INDEX(_xlfn.VSTACK(YES_Writing_ELA[#Data],YES_Writing_FLA[#Data]),MATCH($A557,_xlfn.VSTACK(YES_Writing_ELA[Student Number],YES_Writing_FLA[Student Number]),0),MATCH(VLOOKUP(F$7,'Writing Logic'!$J$7:$K$11,2,FALSE)&amp;" - Per "&amp;VLOOKUP($C$4,'Writing Logic'!$G$8:$H$14,2,FALSE),YES_Writing_ELA[#Headers],0))=0,"",INDEX(_xlfn.VSTACK(YES_Writing_ELA[#Data],YES_Writing_FLA[#Data]),MATCH($A557,_xlfn.VSTACK(YES_Writing_ELA[Student Number],YES_Writing_FLA[Student Number]),0),MATCH(VLOOKUP(F$7,'Writing Logic'!$J$7:$K$11,2,FALSE)&amp;" - Per "&amp;VLOOKUP($C$4,'Writing Logic'!$G$8:$H$14,2,FALSE),YES_Writing_ELA[#Headers],0)))="INS",'Writing Logic'!$B$7,IF(INDEX(_xlfn.VSTACK(YES_Writing_ELA[#Data],YES_Writing_FLA[#Data]),MATCH($A557,_xlfn.VSTACK(YES_Writing_ELA[Student Number],YES_Writing_FLA[Student Number]),0),MATCH(VLOOKUP(F$7,'Writing Logic'!$J$7:$K$11,2,FALSE)&amp;" - Per "&amp;VLOOKUP($C$4,'Writing Logic'!$G$8:$H$14,2,FALSE),YES_Writing_ELA[#Headers],0))=0,"",INDEX(_xlfn.VSTACK(YES_Writing_ELA[#Data],YES_Writing_FLA[#Data]),MATCH($A557,_xlfn.VSTACK(YES_Writing_ELA[Student Number],YES_Writing_FLA[Student Number]),0),MATCH(VLOOKUP(F$7,'Writing Logic'!$J$7:$K$11,2,FALSE)&amp;" - Per "&amp;VLOOKUP($C$4,'Writing Logic'!$G$8:$H$14,2,FALSE),YES_Writing_ELA[#Headers],0)))),"")</f>
        <v/>
      </c>
      <c r="G557" s="138" t="str">
        <f>IFERROR(IF(IF(INDEX(_xlfn.VSTACK(YES_Writing_ELA[#Data],YES_Writing_FLA[#Data]),MATCH($A557,_xlfn.VSTACK(YES_Writing_ELA[Student Number],YES_Writing_FLA[Student Number]),0),MATCH(VLOOKUP(G$7,'Writing Logic'!$J$7:$K$11,2,FALSE)&amp;" - Per "&amp;VLOOKUP($C$4,'Writing Logic'!$G$8:$H$14,2,FALSE),YES_Writing_ELA[#Headers],0))=0,"",INDEX(_xlfn.VSTACK(YES_Writing_ELA[#Data],YES_Writing_FLA[#Data]),MATCH($A557,_xlfn.VSTACK(YES_Writing_ELA[Student Number],YES_Writing_FLA[Student Number]),0),MATCH(VLOOKUP(G$7,'Writing Logic'!$J$7:$K$11,2,FALSE)&amp;" - Per "&amp;VLOOKUP($C$4,'Writing Logic'!$G$8:$H$14,2,FALSE),YES_Writing_ELA[#Headers],0)))="INS",'Writing Logic'!$B$7,IF(INDEX(_xlfn.VSTACK(YES_Writing_ELA[#Data],YES_Writing_FLA[#Data]),MATCH($A557,_xlfn.VSTACK(YES_Writing_ELA[Student Number],YES_Writing_FLA[Student Number]),0),MATCH(VLOOKUP(G$7,'Writing Logic'!$J$7:$K$11,2,FALSE)&amp;" - Per "&amp;VLOOKUP($C$4,'Writing Logic'!$G$8:$H$14,2,FALSE),YES_Writing_ELA[#Headers],0))=0,"",INDEX(_xlfn.VSTACK(YES_Writing_ELA[#Data],YES_Writing_FLA[#Data]),MATCH($A557,_xlfn.VSTACK(YES_Writing_ELA[Student Number],YES_Writing_FLA[Student Number]),0),MATCH(VLOOKUP(G$7,'Writing Logic'!$J$7:$K$11,2,FALSE)&amp;" - Per "&amp;VLOOKUP($C$4,'Writing Logic'!$G$8:$H$14,2,FALSE),YES_Writing_ELA[#Headers],0)))),"")</f>
        <v/>
      </c>
      <c r="H557" s="223" t="str">
        <f>IFERROR(IF(IF(INDEX(_xlfn.VSTACK(YES_Writing_ELA[#Data],YES_Writing_FLA[#Data]),MATCH($A557,_xlfn.VSTACK(YES_Writing_ELA[Student Number],YES_Writing_FLA[Student Number]),0),MATCH(VLOOKUP(H$7,'Writing Logic'!$J$7:$K$11,2,FALSE)&amp;" - Per "&amp;VLOOKUP($C$4,'Writing Logic'!$G$8:$H$14,2,FALSE),YES_Writing_ELA[#Headers],0))=0,"",INDEX(_xlfn.VSTACK(YES_Writing_ELA[#Data],YES_Writing_FLA[#Data]),MATCH($A557,_xlfn.VSTACK(YES_Writing_ELA[Student Number],YES_Writing_FLA[Student Number]),0),MATCH(VLOOKUP(H$7,'Writing Logic'!$J$7:$K$11,2,FALSE)&amp;" - Per "&amp;VLOOKUP($C$4,'Writing Logic'!$G$8:$H$14,2,FALSE),YES_Writing_ELA[#Headers],0)))="INS",'Writing Logic'!$B$7,IF(INDEX(_xlfn.VSTACK(YES_Writing_ELA[#Data],YES_Writing_FLA[#Data]),MATCH($A557,_xlfn.VSTACK(YES_Writing_ELA[Student Number],YES_Writing_FLA[Student Number]),0),MATCH(VLOOKUP(H$7,'Writing Logic'!$J$7:$K$11,2,FALSE)&amp;" - Per "&amp;VLOOKUP($C$4,'Writing Logic'!$G$8:$H$14,2,FALSE),YES_Writing_ELA[#Headers],0))=0,"",INDEX(_xlfn.VSTACK(YES_Writing_ELA[#Data],YES_Writing_FLA[#Data]),MATCH($A557,_xlfn.VSTACK(YES_Writing_ELA[Student Number],YES_Writing_FLA[Student Number]),0),MATCH(VLOOKUP(H$7,'Writing Logic'!$J$7:$K$11,2,FALSE)&amp;" - Per "&amp;VLOOKUP($C$4,'Writing Logic'!$G$8:$H$14,2,FALSE),YES_Writing_ELA[#Headers],0)))),"")</f>
        <v/>
      </c>
      <c r="I557" s="224" t="str" cm="1">
        <f t="array" aca="1" ref="I557" ca="1">IFERROR(
IF($G$3="ELA",
IF(VLOOKUP($A557, YES_Reading_ELA[], COLUMN(INDIRECT("YES_Reading_ELA[Difference - Per "&amp;VLOOKUP($G$4, 'Reading Report Logic'!$A$2:$B$8, 2, FALSE)&amp;"]")), FALSE)="", "",
VLOOKUP($A557,YES_Reading_ELA[], COLUMN(INDIRECT("YES_Reading_ELA[Difference - Per "&amp;VLOOKUP($G$4,'Reading Report Logic'!$A$2:$B$8,2,FALSE)&amp;"]")), FALSE)),
IF($G$3="FLA",
IF(VLOOKUP($A557, YES_Reading_FLA[], COLUMN(INDIRECT("YES_Reading_FLA[Difference - Per "&amp;VLOOKUP($G$4,'Reading Report Logic'!$A$2:$B$8,2,FALSE)&amp;"]")),FALSE)="","",
VLOOKUP($A557,YES_Reading_FLA[],COLUMN(INDIRECT("YES_Reading_FLA[Difference - Per "&amp;VLOOKUP($G$4,'Reading Report Logic'!$A$2:$B$8,2,FALSE)&amp;"]")),FALSE)),
IF($G$3="Combined",
IFERROR(
IF(VLOOKUP($A557, YES_Reading_ELA[], COLUMN(INDIRECT("YES_Reading_ELA[Difference - Per "&amp;VLOOKUP($G$4, 'Reading Report Logic'!$A$2:$B$8,2,FALSE)&amp;"]")), FALSE)="", "",
VLOOKUP($A557,YES_Reading_ELA[],COLUMN(INDIRECT("YES_Reading_ELA[Difference - Per "&amp;VLOOKUP($G$4,'Reading Report Logic'!$A$2:$B$8,2,FALSE)&amp;"]")),FALSE)),
IF(VLOOKUP($A557, YES_Reading_FLA[], COLUMN(INDIRECT("YES_Reading_FLA[Difference - Per "&amp;VLOOKUP($G$4, 'Reading Report Logic'!$A$2:$B$8, 2, FALSE)&amp;"]")),FALSE)="", "", VLOOKUP($A557,YES_Reading_FLA[],COLUMN(INDIRECT("YES_Reading_FLA[Difference - Per "&amp;VLOOKUP($G$4, 'Reading Report Logic'!$A$2:$B$8, 2, FALSE)&amp;"]")),FALSE))),""))),"")</f>
        <v/>
      </c>
    </row>
    <row r="558" spans="1:9" x14ac:dyDescent="0.25">
      <c r="A558" s="137"/>
      <c r="B558" s="137" t="str">
        <f>IFERROR(INDEX(_xlfn.VSTACK(YES_Writing_ELA[#Data], YES_Writing_FLA[#Data]),MATCH($A558,_xlfn.VSTACK(YES_Writing_ELA[Student Number], YES_Writing_FLA[Student Number]),0),MATCH(B$7,YES_Writing_ELA[#Headers],0)),IFERROR(INDEX(_xlfn.VSTACK(YES_Reading_ELA[#Data], YES_Reading_FLA[#Data]),MATCH($A558,_xlfn.VSTACK(YES_Reading_ELA[Student Number], YES_Reading_FLA[Student Number]),0),MATCH(B$7,YES_Reading_ELA[#Headers],0)),""))</f>
        <v/>
      </c>
      <c r="C558" s="137" t="str">
        <f>IFERROR(INDEX(_xlfn.VSTACK(YES_Writing_ELA[#Data], YES_Writing_FLA[#Data]),MATCH($A558,_xlfn.VSTACK(YES_Writing_ELA[Student Number], YES_Writing_FLA[Student Number]),0),MATCH(C$7,YES_Writing_ELA[#Headers],0)),IFERROR(INDEX(_xlfn.VSTACK(YES_Reading_ELA[#Data], YES_Reading_FLA[#Data]),MATCH($A558,_xlfn.VSTACK(YES_Reading_ELA[Student Number], YES_Reading_FLA[Student Number]),0),MATCH(C$7,YES_Reading_ELA[#Headers],0)),""))</f>
        <v/>
      </c>
      <c r="D558" s="138" t="str">
        <f>IFERROR(IF(IF(INDEX(_xlfn.VSTACK(YES_Writing_ELA[#Data],YES_Writing_FLA[#Data]),MATCH($A558,_xlfn.VSTACK(YES_Writing_ELA[Student Number],YES_Writing_FLA[Student Number]),0),MATCH(VLOOKUP(D$7,'Writing Logic'!$J$7:$K$11,2,FALSE)&amp;" - Per "&amp;VLOOKUP($C$4,'Writing Logic'!$G$8:$H$14,2,FALSE),YES_Writing_ELA[#Headers],0))=0,"",INDEX(_xlfn.VSTACK(YES_Writing_ELA[#Data],YES_Writing_FLA[#Data]),MATCH($A558,_xlfn.VSTACK(YES_Writing_ELA[Student Number],YES_Writing_FLA[Student Number]),0),MATCH(VLOOKUP(D$7,'Writing Logic'!$J$7:$K$11,2,FALSE)&amp;" - Per "&amp;VLOOKUP($C$4,'Writing Logic'!$G$8:$H$14,2,FALSE),YES_Writing_ELA[#Headers],0)))="INS",'Writing Logic'!$B$7,IF(INDEX(_xlfn.VSTACK(YES_Writing_ELA[#Data],YES_Writing_FLA[#Data]),MATCH($A558,_xlfn.VSTACK(YES_Writing_ELA[Student Number],YES_Writing_FLA[Student Number]),0),MATCH(VLOOKUP(D$7,'Writing Logic'!$J$7:$K$11,2,FALSE)&amp;" - Per "&amp;VLOOKUP($C$4,'Writing Logic'!$G$8:$H$14,2,FALSE),YES_Writing_ELA[#Headers],0))=0,"",INDEX(_xlfn.VSTACK(YES_Writing_ELA[#Data],YES_Writing_FLA[#Data]),MATCH($A558,_xlfn.VSTACK(YES_Writing_ELA[Student Number],YES_Writing_FLA[Student Number]),0),MATCH(VLOOKUP(D$7,'Writing Logic'!$J$7:$K$11,2,FALSE)&amp;" - Per "&amp;VLOOKUP($C$4,'Writing Logic'!$G$8:$H$14,2,FALSE),YES_Writing_ELA[#Headers],0)))),"")</f>
        <v/>
      </c>
      <c r="E558" s="138" t="str">
        <f>IFERROR(IF(IF(INDEX(_xlfn.VSTACK(YES_Writing_ELA[#Data],YES_Writing_FLA[#Data]),MATCH($A558,_xlfn.VSTACK(YES_Writing_ELA[Student Number],YES_Writing_FLA[Student Number]),0),MATCH(VLOOKUP(E$7,'Writing Logic'!$J$7:$K$11,2,FALSE)&amp;" - Per "&amp;VLOOKUP($C$4,'Writing Logic'!$G$8:$H$14,2,FALSE),YES_Writing_ELA[#Headers],0))=0,"",INDEX(_xlfn.VSTACK(YES_Writing_ELA[#Data],YES_Writing_FLA[#Data]),MATCH($A558,_xlfn.VSTACK(YES_Writing_ELA[Student Number],YES_Writing_FLA[Student Number]),0),MATCH(VLOOKUP(E$7,'Writing Logic'!$J$7:$K$11,2,FALSE)&amp;" - Per "&amp;VLOOKUP($C$4,'Writing Logic'!$G$8:$H$14,2,FALSE),YES_Writing_ELA[#Headers],0)))="INS",'Writing Logic'!$B$7,IF(INDEX(_xlfn.VSTACK(YES_Writing_ELA[#Data],YES_Writing_FLA[#Data]),MATCH($A558,_xlfn.VSTACK(YES_Writing_ELA[Student Number],YES_Writing_FLA[Student Number]),0),MATCH(VLOOKUP(E$7,'Writing Logic'!$J$7:$K$11,2,FALSE)&amp;" - Per "&amp;VLOOKUP($C$4,'Writing Logic'!$G$8:$H$14,2,FALSE),YES_Writing_ELA[#Headers],0))=0,"",INDEX(_xlfn.VSTACK(YES_Writing_ELA[#Data],YES_Writing_FLA[#Data]),MATCH($A558,_xlfn.VSTACK(YES_Writing_ELA[Student Number],YES_Writing_FLA[Student Number]),0),MATCH(VLOOKUP(E$7,'Writing Logic'!$J$7:$K$11,2,FALSE)&amp;" - Per "&amp;VLOOKUP($C$4,'Writing Logic'!$G$8:$H$14,2,FALSE),YES_Writing_ELA[#Headers],0)))),"")</f>
        <v/>
      </c>
      <c r="F558" s="138" t="str">
        <f>IFERROR(IF(IF(INDEX(_xlfn.VSTACK(YES_Writing_ELA[#Data],YES_Writing_FLA[#Data]),MATCH($A558,_xlfn.VSTACK(YES_Writing_ELA[Student Number],YES_Writing_FLA[Student Number]),0),MATCH(VLOOKUP(F$7,'Writing Logic'!$J$7:$K$11,2,FALSE)&amp;" - Per "&amp;VLOOKUP($C$4,'Writing Logic'!$G$8:$H$14,2,FALSE),YES_Writing_ELA[#Headers],0))=0,"",INDEX(_xlfn.VSTACK(YES_Writing_ELA[#Data],YES_Writing_FLA[#Data]),MATCH($A558,_xlfn.VSTACK(YES_Writing_ELA[Student Number],YES_Writing_FLA[Student Number]),0),MATCH(VLOOKUP(F$7,'Writing Logic'!$J$7:$K$11,2,FALSE)&amp;" - Per "&amp;VLOOKUP($C$4,'Writing Logic'!$G$8:$H$14,2,FALSE),YES_Writing_ELA[#Headers],0)))="INS",'Writing Logic'!$B$7,IF(INDEX(_xlfn.VSTACK(YES_Writing_ELA[#Data],YES_Writing_FLA[#Data]),MATCH($A558,_xlfn.VSTACK(YES_Writing_ELA[Student Number],YES_Writing_FLA[Student Number]),0),MATCH(VLOOKUP(F$7,'Writing Logic'!$J$7:$K$11,2,FALSE)&amp;" - Per "&amp;VLOOKUP($C$4,'Writing Logic'!$G$8:$H$14,2,FALSE),YES_Writing_ELA[#Headers],0))=0,"",INDEX(_xlfn.VSTACK(YES_Writing_ELA[#Data],YES_Writing_FLA[#Data]),MATCH($A558,_xlfn.VSTACK(YES_Writing_ELA[Student Number],YES_Writing_FLA[Student Number]),0),MATCH(VLOOKUP(F$7,'Writing Logic'!$J$7:$K$11,2,FALSE)&amp;" - Per "&amp;VLOOKUP($C$4,'Writing Logic'!$G$8:$H$14,2,FALSE),YES_Writing_ELA[#Headers],0)))),"")</f>
        <v/>
      </c>
      <c r="G558" s="138" t="str">
        <f>IFERROR(IF(IF(INDEX(_xlfn.VSTACK(YES_Writing_ELA[#Data],YES_Writing_FLA[#Data]),MATCH($A558,_xlfn.VSTACK(YES_Writing_ELA[Student Number],YES_Writing_FLA[Student Number]),0),MATCH(VLOOKUP(G$7,'Writing Logic'!$J$7:$K$11,2,FALSE)&amp;" - Per "&amp;VLOOKUP($C$4,'Writing Logic'!$G$8:$H$14,2,FALSE),YES_Writing_ELA[#Headers],0))=0,"",INDEX(_xlfn.VSTACK(YES_Writing_ELA[#Data],YES_Writing_FLA[#Data]),MATCH($A558,_xlfn.VSTACK(YES_Writing_ELA[Student Number],YES_Writing_FLA[Student Number]),0),MATCH(VLOOKUP(G$7,'Writing Logic'!$J$7:$K$11,2,FALSE)&amp;" - Per "&amp;VLOOKUP($C$4,'Writing Logic'!$G$8:$H$14,2,FALSE),YES_Writing_ELA[#Headers],0)))="INS",'Writing Logic'!$B$7,IF(INDEX(_xlfn.VSTACK(YES_Writing_ELA[#Data],YES_Writing_FLA[#Data]),MATCH($A558,_xlfn.VSTACK(YES_Writing_ELA[Student Number],YES_Writing_FLA[Student Number]),0),MATCH(VLOOKUP(G$7,'Writing Logic'!$J$7:$K$11,2,FALSE)&amp;" - Per "&amp;VLOOKUP($C$4,'Writing Logic'!$G$8:$H$14,2,FALSE),YES_Writing_ELA[#Headers],0))=0,"",INDEX(_xlfn.VSTACK(YES_Writing_ELA[#Data],YES_Writing_FLA[#Data]),MATCH($A558,_xlfn.VSTACK(YES_Writing_ELA[Student Number],YES_Writing_FLA[Student Number]),0),MATCH(VLOOKUP(G$7,'Writing Logic'!$J$7:$K$11,2,FALSE)&amp;" - Per "&amp;VLOOKUP($C$4,'Writing Logic'!$G$8:$H$14,2,FALSE),YES_Writing_ELA[#Headers],0)))),"")</f>
        <v/>
      </c>
      <c r="H558" s="223" t="str">
        <f>IFERROR(IF(IF(INDEX(_xlfn.VSTACK(YES_Writing_ELA[#Data],YES_Writing_FLA[#Data]),MATCH($A558,_xlfn.VSTACK(YES_Writing_ELA[Student Number],YES_Writing_FLA[Student Number]),0),MATCH(VLOOKUP(H$7,'Writing Logic'!$J$7:$K$11,2,FALSE)&amp;" - Per "&amp;VLOOKUP($C$4,'Writing Logic'!$G$8:$H$14,2,FALSE),YES_Writing_ELA[#Headers],0))=0,"",INDEX(_xlfn.VSTACK(YES_Writing_ELA[#Data],YES_Writing_FLA[#Data]),MATCH($A558,_xlfn.VSTACK(YES_Writing_ELA[Student Number],YES_Writing_FLA[Student Number]),0),MATCH(VLOOKUP(H$7,'Writing Logic'!$J$7:$K$11,2,FALSE)&amp;" - Per "&amp;VLOOKUP($C$4,'Writing Logic'!$G$8:$H$14,2,FALSE),YES_Writing_ELA[#Headers],0)))="INS",'Writing Logic'!$B$7,IF(INDEX(_xlfn.VSTACK(YES_Writing_ELA[#Data],YES_Writing_FLA[#Data]),MATCH($A558,_xlfn.VSTACK(YES_Writing_ELA[Student Number],YES_Writing_FLA[Student Number]),0),MATCH(VLOOKUP(H$7,'Writing Logic'!$J$7:$K$11,2,FALSE)&amp;" - Per "&amp;VLOOKUP($C$4,'Writing Logic'!$G$8:$H$14,2,FALSE),YES_Writing_ELA[#Headers],0))=0,"",INDEX(_xlfn.VSTACK(YES_Writing_ELA[#Data],YES_Writing_FLA[#Data]),MATCH($A558,_xlfn.VSTACK(YES_Writing_ELA[Student Number],YES_Writing_FLA[Student Number]),0),MATCH(VLOOKUP(H$7,'Writing Logic'!$J$7:$K$11,2,FALSE)&amp;" - Per "&amp;VLOOKUP($C$4,'Writing Logic'!$G$8:$H$14,2,FALSE),YES_Writing_ELA[#Headers],0)))),"")</f>
        <v/>
      </c>
      <c r="I558" s="224" t="str" cm="1">
        <f t="array" aca="1" ref="I558" ca="1">IFERROR(
IF($G$3="ELA",
IF(VLOOKUP($A558, YES_Reading_ELA[], COLUMN(INDIRECT("YES_Reading_ELA[Difference - Per "&amp;VLOOKUP($G$4, 'Reading Report Logic'!$A$2:$B$8, 2, FALSE)&amp;"]")), FALSE)="", "",
VLOOKUP($A558,YES_Reading_ELA[], COLUMN(INDIRECT("YES_Reading_ELA[Difference - Per "&amp;VLOOKUP($G$4,'Reading Report Logic'!$A$2:$B$8,2,FALSE)&amp;"]")), FALSE)),
IF($G$3="FLA",
IF(VLOOKUP($A558, YES_Reading_FLA[], COLUMN(INDIRECT("YES_Reading_FLA[Difference - Per "&amp;VLOOKUP($G$4,'Reading Report Logic'!$A$2:$B$8,2,FALSE)&amp;"]")),FALSE)="","",
VLOOKUP($A558,YES_Reading_FLA[],COLUMN(INDIRECT("YES_Reading_FLA[Difference - Per "&amp;VLOOKUP($G$4,'Reading Report Logic'!$A$2:$B$8,2,FALSE)&amp;"]")),FALSE)),
IF($G$3="Combined",
IFERROR(
IF(VLOOKUP($A558, YES_Reading_ELA[], COLUMN(INDIRECT("YES_Reading_ELA[Difference - Per "&amp;VLOOKUP($G$4, 'Reading Report Logic'!$A$2:$B$8,2,FALSE)&amp;"]")), FALSE)="", "",
VLOOKUP($A558,YES_Reading_ELA[],COLUMN(INDIRECT("YES_Reading_ELA[Difference - Per "&amp;VLOOKUP($G$4,'Reading Report Logic'!$A$2:$B$8,2,FALSE)&amp;"]")),FALSE)),
IF(VLOOKUP($A558, YES_Reading_FLA[], COLUMN(INDIRECT("YES_Reading_FLA[Difference - Per "&amp;VLOOKUP($G$4, 'Reading Report Logic'!$A$2:$B$8, 2, FALSE)&amp;"]")),FALSE)="", "", VLOOKUP($A558,YES_Reading_FLA[],COLUMN(INDIRECT("YES_Reading_FLA[Difference - Per "&amp;VLOOKUP($G$4, 'Reading Report Logic'!$A$2:$B$8, 2, FALSE)&amp;"]")),FALSE))),""))),"")</f>
        <v/>
      </c>
    </row>
    <row r="559" spans="1:9" x14ac:dyDescent="0.25">
      <c r="A559" s="137"/>
      <c r="B559" s="137" t="str">
        <f>IFERROR(INDEX(_xlfn.VSTACK(YES_Writing_ELA[#Data], YES_Writing_FLA[#Data]),MATCH($A559,_xlfn.VSTACK(YES_Writing_ELA[Student Number], YES_Writing_FLA[Student Number]),0),MATCH(B$7,YES_Writing_ELA[#Headers],0)),IFERROR(INDEX(_xlfn.VSTACK(YES_Reading_ELA[#Data], YES_Reading_FLA[#Data]),MATCH($A559,_xlfn.VSTACK(YES_Reading_ELA[Student Number], YES_Reading_FLA[Student Number]),0),MATCH(B$7,YES_Reading_ELA[#Headers],0)),""))</f>
        <v/>
      </c>
      <c r="C559" s="137" t="str">
        <f>IFERROR(INDEX(_xlfn.VSTACK(YES_Writing_ELA[#Data], YES_Writing_FLA[#Data]),MATCH($A559,_xlfn.VSTACK(YES_Writing_ELA[Student Number], YES_Writing_FLA[Student Number]),0),MATCH(C$7,YES_Writing_ELA[#Headers],0)),IFERROR(INDEX(_xlfn.VSTACK(YES_Reading_ELA[#Data], YES_Reading_FLA[#Data]),MATCH($A559,_xlfn.VSTACK(YES_Reading_ELA[Student Number], YES_Reading_FLA[Student Number]),0),MATCH(C$7,YES_Reading_ELA[#Headers],0)),""))</f>
        <v/>
      </c>
      <c r="D559" s="138" t="str">
        <f>IFERROR(IF(IF(INDEX(_xlfn.VSTACK(YES_Writing_ELA[#Data],YES_Writing_FLA[#Data]),MATCH($A559,_xlfn.VSTACK(YES_Writing_ELA[Student Number],YES_Writing_FLA[Student Number]),0),MATCH(VLOOKUP(D$7,'Writing Logic'!$J$7:$K$11,2,FALSE)&amp;" - Per "&amp;VLOOKUP($C$4,'Writing Logic'!$G$8:$H$14,2,FALSE),YES_Writing_ELA[#Headers],0))=0,"",INDEX(_xlfn.VSTACK(YES_Writing_ELA[#Data],YES_Writing_FLA[#Data]),MATCH($A559,_xlfn.VSTACK(YES_Writing_ELA[Student Number],YES_Writing_FLA[Student Number]),0),MATCH(VLOOKUP(D$7,'Writing Logic'!$J$7:$K$11,2,FALSE)&amp;" - Per "&amp;VLOOKUP($C$4,'Writing Logic'!$G$8:$H$14,2,FALSE),YES_Writing_ELA[#Headers],0)))="INS",'Writing Logic'!$B$7,IF(INDEX(_xlfn.VSTACK(YES_Writing_ELA[#Data],YES_Writing_FLA[#Data]),MATCH($A559,_xlfn.VSTACK(YES_Writing_ELA[Student Number],YES_Writing_FLA[Student Number]),0),MATCH(VLOOKUP(D$7,'Writing Logic'!$J$7:$K$11,2,FALSE)&amp;" - Per "&amp;VLOOKUP($C$4,'Writing Logic'!$G$8:$H$14,2,FALSE),YES_Writing_ELA[#Headers],0))=0,"",INDEX(_xlfn.VSTACK(YES_Writing_ELA[#Data],YES_Writing_FLA[#Data]),MATCH($A559,_xlfn.VSTACK(YES_Writing_ELA[Student Number],YES_Writing_FLA[Student Number]),0),MATCH(VLOOKUP(D$7,'Writing Logic'!$J$7:$K$11,2,FALSE)&amp;" - Per "&amp;VLOOKUP($C$4,'Writing Logic'!$G$8:$H$14,2,FALSE),YES_Writing_ELA[#Headers],0)))),"")</f>
        <v/>
      </c>
      <c r="E559" s="138" t="str">
        <f>IFERROR(IF(IF(INDEX(_xlfn.VSTACK(YES_Writing_ELA[#Data],YES_Writing_FLA[#Data]),MATCH($A559,_xlfn.VSTACK(YES_Writing_ELA[Student Number],YES_Writing_FLA[Student Number]),0),MATCH(VLOOKUP(E$7,'Writing Logic'!$J$7:$K$11,2,FALSE)&amp;" - Per "&amp;VLOOKUP($C$4,'Writing Logic'!$G$8:$H$14,2,FALSE),YES_Writing_ELA[#Headers],0))=0,"",INDEX(_xlfn.VSTACK(YES_Writing_ELA[#Data],YES_Writing_FLA[#Data]),MATCH($A559,_xlfn.VSTACK(YES_Writing_ELA[Student Number],YES_Writing_FLA[Student Number]),0),MATCH(VLOOKUP(E$7,'Writing Logic'!$J$7:$K$11,2,FALSE)&amp;" - Per "&amp;VLOOKUP($C$4,'Writing Logic'!$G$8:$H$14,2,FALSE),YES_Writing_ELA[#Headers],0)))="INS",'Writing Logic'!$B$7,IF(INDEX(_xlfn.VSTACK(YES_Writing_ELA[#Data],YES_Writing_FLA[#Data]),MATCH($A559,_xlfn.VSTACK(YES_Writing_ELA[Student Number],YES_Writing_FLA[Student Number]),0),MATCH(VLOOKUP(E$7,'Writing Logic'!$J$7:$K$11,2,FALSE)&amp;" - Per "&amp;VLOOKUP($C$4,'Writing Logic'!$G$8:$H$14,2,FALSE),YES_Writing_ELA[#Headers],0))=0,"",INDEX(_xlfn.VSTACK(YES_Writing_ELA[#Data],YES_Writing_FLA[#Data]),MATCH($A559,_xlfn.VSTACK(YES_Writing_ELA[Student Number],YES_Writing_FLA[Student Number]),0),MATCH(VLOOKUP(E$7,'Writing Logic'!$J$7:$K$11,2,FALSE)&amp;" - Per "&amp;VLOOKUP($C$4,'Writing Logic'!$G$8:$H$14,2,FALSE),YES_Writing_ELA[#Headers],0)))),"")</f>
        <v/>
      </c>
      <c r="F559" s="138" t="str">
        <f>IFERROR(IF(IF(INDEX(_xlfn.VSTACK(YES_Writing_ELA[#Data],YES_Writing_FLA[#Data]),MATCH($A559,_xlfn.VSTACK(YES_Writing_ELA[Student Number],YES_Writing_FLA[Student Number]),0),MATCH(VLOOKUP(F$7,'Writing Logic'!$J$7:$K$11,2,FALSE)&amp;" - Per "&amp;VLOOKUP($C$4,'Writing Logic'!$G$8:$H$14,2,FALSE),YES_Writing_ELA[#Headers],0))=0,"",INDEX(_xlfn.VSTACK(YES_Writing_ELA[#Data],YES_Writing_FLA[#Data]),MATCH($A559,_xlfn.VSTACK(YES_Writing_ELA[Student Number],YES_Writing_FLA[Student Number]),0),MATCH(VLOOKUP(F$7,'Writing Logic'!$J$7:$K$11,2,FALSE)&amp;" - Per "&amp;VLOOKUP($C$4,'Writing Logic'!$G$8:$H$14,2,FALSE),YES_Writing_ELA[#Headers],0)))="INS",'Writing Logic'!$B$7,IF(INDEX(_xlfn.VSTACK(YES_Writing_ELA[#Data],YES_Writing_FLA[#Data]),MATCH($A559,_xlfn.VSTACK(YES_Writing_ELA[Student Number],YES_Writing_FLA[Student Number]),0),MATCH(VLOOKUP(F$7,'Writing Logic'!$J$7:$K$11,2,FALSE)&amp;" - Per "&amp;VLOOKUP($C$4,'Writing Logic'!$G$8:$H$14,2,FALSE),YES_Writing_ELA[#Headers],0))=0,"",INDEX(_xlfn.VSTACK(YES_Writing_ELA[#Data],YES_Writing_FLA[#Data]),MATCH($A559,_xlfn.VSTACK(YES_Writing_ELA[Student Number],YES_Writing_FLA[Student Number]),0),MATCH(VLOOKUP(F$7,'Writing Logic'!$J$7:$K$11,2,FALSE)&amp;" - Per "&amp;VLOOKUP($C$4,'Writing Logic'!$G$8:$H$14,2,FALSE),YES_Writing_ELA[#Headers],0)))),"")</f>
        <v/>
      </c>
      <c r="G559" s="138" t="str">
        <f>IFERROR(IF(IF(INDEX(_xlfn.VSTACK(YES_Writing_ELA[#Data],YES_Writing_FLA[#Data]),MATCH($A559,_xlfn.VSTACK(YES_Writing_ELA[Student Number],YES_Writing_FLA[Student Number]),0),MATCH(VLOOKUP(G$7,'Writing Logic'!$J$7:$K$11,2,FALSE)&amp;" - Per "&amp;VLOOKUP($C$4,'Writing Logic'!$G$8:$H$14,2,FALSE),YES_Writing_ELA[#Headers],0))=0,"",INDEX(_xlfn.VSTACK(YES_Writing_ELA[#Data],YES_Writing_FLA[#Data]),MATCH($A559,_xlfn.VSTACK(YES_Writing_ELA[Student Number],YES_Writing_FLA[Student Number]),0),MATCH(VLOOKUP(G$7,'Writing Logic'!$J$7:$K$11,2,FALSE)&amp;" - Per "&amp;VLOOKUP($C$4,'Writing Logic'!$G$8:$H$14,2,FALSE),YES_Writing_ELA[#Headers],0)))="INS",'Writing Logic'!$B$7,IF(INDEX(_xlfn.VSTACK(YES_Writing_ELA[#Data],YES_Writing_FLA[#Data]),MATCH($A559,_xlfn.VSTACK(YES_Writing_ELA[Student Number],YES_Writing_FLA[Student Number]),0),MATCH(VLOOKUP(G$7,'Writing Logic'!$J$7:$K$11,2,FALSE)&amp;" - Per "&amp;VLOOKUP($C$4,'Writing Logic'!$G$8:$H$14,2,FALSE),YES_Writing_ELA[#Headers],0))=0,"",INDEX(_xlfn.VSTACK(YES_Writing_ELA[#Data],YES_Writing_FLA[#Data]),MATCH($A559,_xlfn.VSTACK(YES_Writing_ELA[Student Number],YES_Writing_FLA[Student Number]),0),MATCH(VLOOKUP(G$7,'Writing Logic'!$J$7:$K$11,2,FALSE)&amp;" - Per "&amp;VLOOKUP($C$4,'Writing Logic'!$G$8:$H$14,2,FALSE),YES_Writing_ELA[#Headers],0)))),"")</f>
        <v/>
      </c>
      <c r="H559" s="223" t="str">
        <f>IFERROR(IF(IF(INDEX(_xlfn.VSTACK(YES_Writing_ELA[#Data],YES_Writing_FLA[#Data]),MATCH($A559,_xlfn.VSTACK(YES_Writing_ELA[Student Number],YES_Writing_FLA[Student Number]),0),MATCH(VLOOKUP(H$7,'Writing Logic'!$J$7:$K$11,2,FALSE)&amp;" - Per "&amp;VLOOKUP($C$4,'Writing Logic'!$G$8:$H$14,2,FALSE),YES_Writing_ELA[#Headers],0))=0,"",INDEX(_xlfn.VSTACK(YES_Writing_ELA[#Data],YES_Writing_FLA[#Data]),MATCH($A559,_xlfn.VSTACK(YES_Writing_ELA[Student Number],YES_Writing_FLA[Student Number]),0),MATCH(VLOOKUP(H$7,'Writing Logic'!$J$7:$K$11,2,FALSE)&amp;" - Per "&amp;VLOOKUP($C$4,'Writing Logic'!$G$8:$H$14,2,FALSE),YES_Writing_ELA[#Headers],0)))="INS",'Writing Logic'!$B$7,IF(INDEX(_xlfn.VSTACK(YES_Writing_ELA[#Data],YES_Writing_FLA[#Data]),MATCH($A559,_xlfn.VSTACK(YES_Writing_ELA[Student Number],YES_Writing_FLA[Student Number]),0),MATCH(VLOOKUP(H$7,'Writing Logic'!$J$7:$K$11,2,FALSE)&amp;" - Per "&amp;VLOOKUP($C$4,'Writing Logic'!$G$8:$H$14,2,FALSE),YES_Writing_ELA[#Headers],0))=0,"",INDEX(_xlfn.VSTACK(YES_Writing_ELA[#Data],YES_Writing_FLA[#Data]),MATCH($A559,_xlfn.VSTACK(YES_Writing_ELA[Student Number],YES_Writing_FLA[Student Number]),0),MATCH(VLOOKUP(H$7,'Writing Logic'!$J$7:$K$11,2,FALSE)&amp;" - Per "&amp;VLOOKUP($C$4,'Writing Logic'!$G$8:$H$14,2,FALSE),YES_Writing_ELA[#Headers],0)))),"")</f>
        <v/>
      </c>
      <c r="I559" s="224" t="str" cm="1">
        <f t="array" aca="1" ref="I559" ca="1">IFERROR(
IF($G$3="ELA",
IF(VLOOKUP($A559, YES_Reading_ELA[], COLUMN(INDIRECT("YES_Reading_ELA[Difference - Per "&amp;VLOOKUP($G$4, 'Reading Report Logic'!$A$2:$B$8, 2, FALSE)&amp;"]")), FALSE)="", "",
VLOOKUP($A559,YES_Reading_ELA[], COLUMN(INDIRECT("YES_Reading_ELA[Difference - Per "&amp;VLOOKUP($G$4,'Reading Report Logic'!$A$2:$B$8,2,FALSE)&amp;"]")), FALSE)),
IF($G$3="FLA",
IF(VLOOKUP($A559, YES_Reading_FLA[], COLUMN(INDIRECT("YES_Reading_FLA[Difference - Per "&amp;VLOOKUP($G$4,'Reading Report Logic'!$A$2:$B$8,2,FALSE)&amp;"]")),FALSE)="","",
VLOOKUP($A559,YES_Reading_FLA[],COLUMN(INDIRECT("YES_Reading_FLA[Difference - Per "&amp;VLOOKUP($G$4,'Reading Report Logic'!$A$2:$B$8,2,FALSE)&amp;"]")),FALSE)),
IF($G$3="Combined",
IFERROR(
IF(VLOOKUP($A559, YES_Reading_ELA[], COLUMN(INDIRECT("YES_Reading_ELA[Difference - Per "&amp;VLOOKUP($G$4, 'Reading Report Logic'!$A$2:$B$8,2,FALSE)&amp;"]")), FALSE)="", "",
VLOOKUP($A559,YES_Reading_ELA[],COLUMN(INDIRECT("YES_Reading_ELA[Difference - Per "&amp;VLOOKUP($G$4,'Reading Report Logic'!$A$2:$B$8,2,FALSE)&amp;"]")),FALSE)),
IF(VLOOKUP($A559, YES_Reading_FLA[], COLUMN(INDIRECT("YES_Reading_FLA[Difference - Per "&amp;VLOOKUP($G$4, 'Reading Report Logic'!$A$2:$B$8, 2, FALSE)&amp;"]")),FALSE)="", "", VLOOKUP($A559,YES_Reading_FLA[],COLUMN(INDIRECT("YES_Reading_FLA[Difference - Per "&amp;VLOOKUP($G$4, 'Reading Report Logic'!$A$2:$B$8, 2, FALSE)&amp;"]")),FALSE))),""))),"")</f>
        <v/>
      </c>
    </row>
    <row r="560" spans="1:9" x14ac:dyDescent="0.25">
      <c r="A560" s="137"/>
      <c r="B560" s="137" t="str">
        <f>IFERROR(INDEX(_xlfn.VSTACK(YES_Writing_ELA[#Data], YES_Writing_FLA[#Data]),MATCH($A560,_xlfn.VSTACK(YES_Writing_ELA[Student Number], YES_Writing_FLA[Student Number]),0),MATCH(B$7,YES_Writing_ELA[#Headers],0)),IFERROR(INDEX(_xlfn.VSTACK(YES_Reading_ELA[#Data], YES_Reading_FLA[#Data]),MATCH($A560,_xlfn.VSTACK(YES_Reading_ELA[Student Number], YES_Reading_FLA[Student Number]),0),MATCH(B$7,YES_Reading_ELA[#Headers],0)),""))</f>
        <v/>
      </c>
      <c r="C560" s="137" t="str">
        <f>IFERROR(INDEX(_xlfn.VSTACK(YES_Writing_ELA[#Data], YES_Writing_FLA[#Data]),MATCH($A560,_xlfn.VSTACK(YES_Writing_ELA[Student Number], YES_Writing_FLA[Student Number]),0),MATCH(C$7,YES_Writing_ELA[#Headers],0)),IFERROR(INDEX(_xlfn.VSTACK(YES_Reading_ELA[#Data], YES_Reading_FLA[#Data]),MATCH($A560,_xlfn.VSTACK(YES_Reading_ELA[Student Number], YES_Reading_FLA[Student Number]),0),MATCH(C$7,YES_Reading_ELA[#Headers],0)),""))</f>
        <v/>
      </c>
      <c r="D560" s="138" t="str">
        <f>IFERROR(IF(IF(INDEX(_xlfn.VSTACK(YES_Writing_ELA[#Data],YES_Writing_FLA[#Data]),MATCH($A560,_xlfn.VSTACK(YES_Writing_ELA[Student Number],YES_Writing_FLA[Student Number]),0),MATCH(VLOOKUP(D$7,'Writing Logic'!$J$7:$K$11,2,FALSE)&amp;" - Per "&amp;VLOOKUP($C$4,'Writing Logic'!$G$8:$H$14,2,FALSE),YES_Writing_ELA[#Headers],0))=0,"",INDEX(_xlfn.VSTACK(YES_Writing_ELA[#Data],YES_Writing_FLA[#Data]),MATCH($A560,_xlfn.VSTACK(YES_Writing_ELA[Student Number],YES_Writing_FLA[Student Number]),0),MATCH(VLOOKUP(D$7,'Writing Logic'!$J$7:$K$11,2,FALSE)&amp;" - Per "&amp;VLOOKUP($C$4,'Writing Logic'!$G$8:$H$14,2,FALSE),YES_Writing_ELA[#Headers],0)))="INS",'Writing Logic'!$B$7,IF(INDEX(_xlfn.VSTACK(YES_Writing_ELA[#Data],YES_Writing_FLA[#Data]),MATCH($A560,_xlfn.VSTACK(YES_Writing_ELA[Student Number],YES_Writing_FLA[Student Number]),0),MATCH(VLOOKUP(D$7,'Writing Logic'!$J$7:$K$11,2,FALSE)&amp;" - Per "&amp;VLOOKUP($C$4,'Writing Logic'!$G$8:$H$14,2,FALSE),YES_Writing_ELA[#Headers],0))=0,"",INDEX(_xlfn.VSTACK(YES_Writing_ELA[#Data],YES_Writing_FLA[#Data]),MATCH($A560,_xlfn.VSTACK(YES_Writing_ELA[Student Number],YES_Writing_FLA[Student Number]),0),MATCH(VLOOKUP(D$7,'Writing Logic'!$J$7:$K$11,2,FALSE)&amp;" - Per "&amp;VLOOKUP($C$4,'Writing Logic'!$G$8:$H$14,2,FALSE),YES_Writing_ELA[#Headers],0)))),"")</f>
        <v/>
      </c>
      <c r="E560" s="138" t="str">
        <f>IFERROR(IF(IF(INDEX(_xlfn.VSTACK(YES_Writing_ELA[#Data],YES_Writing_FLA[#Data]),MATCH($A560,_xlfn.VSTACK(YES_Writing_ELA[Student Number],YES_Writing_FLA[Student Number]),0),MATCH(VLOOKUP(E$7,'Writing Logic'!$J$7:$K$11,2,FALSE)&amp;" - Per "&amp;VLOOKUP($C$4,'Writing Logic'!$G$8:$H$14,2,FALSE),YES_Writing_ELA[#Headers],0))=0,"",INDEX(_xlfn.VSTACK(YES_Writing_ELA[#Data],YES_Writing_FLA[#Data]),MATCH($A560,_xlfn.VSTACK(YES_Writing_ELA[Student Number],YES_Writing_FLA[Student Number]),0),MATCH(VLOOKUP(E$7,'Writing Logic'!$J$7:$K$11,2,FALSE)&amp;" - Per "&amp;VLOOKUP($C$4,'Writing Logic'!$G$8:$H$14,2,FALSE),YES_Writing_ELA[#Headers],0)))="INS",'Writing Logic'!$B$7,IF(INDEX(_xlfn.VSTACK(YES_Writing_ELA[#Data],YES_Writing_FLA[#Data]),MATCH($A560,_xlfn.VSTACK(YES_Writing_ELA[Student Number],YES_Writing_FLA[Student Number]),0),MATCH(VLOOKUP(E$7,'Writing Logic'!$J$7:$K$11,2,FALSE)&amp;" - Per "&amp;VLOOKUP($C$4,'Writing Logic'!$G$8:$H$14,2,FALSE),YES_Writing_ELA[#Headers],0))=0,"",INDEX(_xlfn.VSTACK(YES_Writing_ELA[#Data],YES_Writing_FLA[#Data]),MATCH($A560,_xlfn.VSTACK(YES_Writing_ELA[Student Number],YES_Writing_FLA[Student Number]),0),MATCH(VLOOKUP(E$7,'Writing Logic'!$J$7:$K$11,2,FALSE)&amp;" - Per "&amp;VLOOKUP($C$4,'Writing Logic'!$G$8:$H$14,2,FALSE),YES_Writing_ELA[#Headers],0)))),"")</f>
        <v/>
      </c>
      <c r="F560" s="138" t="str">
        <f>IFERROR(IF(IF(INDEX(_xlfn.VSTACK(YES_Writing_ELA[#Data],YES_Writing_FLA[#Data]),MATCH($A560,_xlfn.VSTACK(YES_Writing_ELA[Student Number],YES_Writing_FLA[Student Number]),0),MATCH(VLOOKUP(F$7,'Writing Logic'!$J$7:$K$11,2,FALSE)&amp;" - Per "&amp;VLOOKUP($C$4,'Writing Logic'!$G$8:$H$14,2,FALSE),YES_Writing_ELA[#Headers],0))=0,"",INDEX(_xlfn.VSTACK(YES_Writing_ELA[#Data],YES_Writing_FLA[#Data]),MATCH($A560,_xlfn.VSTACK(YES_Writing_ELA[Student Number],YES_Writing_FLA[Student Number]),0),MATCH(VLOOKUP(F$7,'Writing Logic'!$J$7:$K$11,2,FALSE)&amp;" - Per "&amp;VLOOKUP($C$4,'Writing Logic'!$G$8:$H$14,2,FALSE),YES_Writing_ELA[#Headers],0)))="INS",'Writing Logic'!$B$7,IF(INDEX(_xlfn.VSTACK(YES_Writing_ELA[#Data],YES_Writing_FLA[#Data]),MATCH($A560,_xlfn.VSTACK(YES_Writing_ELA[Student Number],YES_Writing_FLA[Student Number]),0),MATCH(VLOOKUP(F$7,'Writing Logic'!$J$7:$K$11,2,FALSE)&amp;" - Per "&amp;VLOOKUP($C$4,'Writing Logic'!$G$8:$H$14,2,FALSE),YES_Writing_ELA[#Headers],0))=0,"",INDEX(_xlfn.VSTACK(YES_Writing_ELA[#Data],YES_Writing_FLA[#Data]),MATCH($A560,_xlfn.VSTACK(YES_Writing_ELA[Student Number],YES_Writing_FLA[Student Number]),0),MATCH(VLOOKUP(F$7,'Writing Logic'!$J$7:$K$11,2,FALSE)&amp;" - Per "&amp;VLOOKUP($C$4,'Writing Logic'!$G$8:$H$14,2,FALSE),YES_Writing_ELA[#Headers],0)))),"")</f>
        <v/>
      </c>
      <c r="G560" s="138" t="str">
        <f>IFERROR(IF(IF(INDEX(_xlfn.VSTACK(YES_Writing_ELA[#Data],YES_Writing_FLA[#Data]),MATCH($A560,_xlfn.VSTACK(YES_Writing_ELA[Student Number],YES_Writing_FLA[Student Number]),0),MATCH(VLOOKUP(G$7,'Writing Logic'!$J$7:$K$11,2,FALSE)&amp;" - Per "&amp;VLOOKUP($C$4,'Writing Logic'!$G$8:$H$14,2,FALSE),YES_Writing_ELA[#Headers],0))=0,"",INDEX(_xlfn.VSTACK(YES_Writing_ELA[#Data],YES_Writing_FLA[#Data]),MATCH($A560,_xlfn.VSTACK(YES_Writing_ELA[Student Number],YES_Writing_FLA[Student Number]),0),MATCH(VLOOKUP(G$7,'Writing Logic'!$J$7:$K$11,2,FALSE)&amp;" - Per "&amp;VLOOKUP($C$4,'Writing Logic'!$G$8:$H$14,2,FALSE),YES_Writing_ELA[#Headers],0)))="INS",'Writing Logic'!$B$7,IF(INDEX(_xlfn.VSTACK(YES_Writing_ELA[#Data],YES_Writing_FLA[#Data]),MATCH($A560,_xlfn.VSTACK(YES_Writing_ELA[Student Number],YES_Writing_FLA[Student Number]),0),MATCH(VLOOKUP(G$7,'Writing Logic'!$J$7:$K$11,2,FALSE)&amp;" - Per "&amp;VLOOKUP($C$4,'Writing Logic'!$G$8:$H$14,2,FALSE),YES_Writing_ELA[#Headers],0))=0,"",INDEX(_xlfn.VSTACK(YES_Writing_ELA[#Data],YES_Writing_FLA[#Data]),MATCH($A560,_xlfn.VSTACK(YES_Writing_ELA[Student Number],YES_Writing_FLA[Student Number]),0),MATCH(VLOOKUP(G$7,'Writing Logic'!$J$7:$K$11,2,FALSE)&amp;" - Per "&amp;VLOOKUP($C$4,'Writing Logic'!$G$8:$H$14,2,FALSE),YES_Writing_ELA[#Headers],0)))),"")</f>
        <v/>
      </c>
      <c r="H560" s="223" t="str">
        <f>IFERROR(IF(IF(INDEX(_xlfn.VSTACK(YES_Writing_ELA[#Data],YES_Writing_FLA[#Data]),MATCH($A560,_xlfn.VSTACK(YES_Writing_ELA[Student Number],YES_Writing_FLA[Student Number]),0),MATCH(VLOOKUP(H$7,'Writing Logic'!$J$7:$K$11,2,FALSE)&amp;" - Per "&amp;VLOOKUP($C$4,'Writing Logic'!$G$8:$H$14,2,FALSE),YES_Writing_ELA[#Headers],0))=0,"",INDEX(_xlfn.VSTACK(YES_Writing_ELA[#Data],YES_Writing_FLA[#Data]),MATCH($A560,_xlfn.VSTACK(YES_Writing_ELA[Student Number],YES_Writing_FLA[Student Number]),0),MATCH(VLOOKUP(H$7,'Writing Logic'!$J$7:$K$11,2,FALSE)&amp;" - Per "&amp;VLOOKUP($C$4,'Writing Logic'!$G$8:$H$14,2,FALSE),YES_Writing_ELA[#Headers],0)))="INS",'Writing Logic'!$B$7,IF(INDEX(_xlfn.VSTACK(YES_Writing_ELA[#Data],YES_Writing_FLA[#Data]),MATCH($A560,_xlfn.VSTACK(YES_Writing_ELA[Student Number],YES_Writing_FLA[Student Number]),0),MATCH(VLOOKUP(H$7,'Writing Logic'!$J$7:$K$11,2,FALSE)&amp;" - Per "&amp;VLOOKUP($C$4,'Writing Logic'!$G$8:$H$14,2,FALSE),YES_Writing_ELA[#Headers],0))=0,"",INDEX(_xlfn.VSTACK(YES_Writing_ELA[#Data],YES_Writing_FLA[#Data]),MATCH($A560,_xlfn.VSTACK(YES_Writing_ELA[Student Number],YES_Writing_FLA[Student Number]),0),MATCH(VLOOKUP(H$7,'Writing Logic'!$J$7:$K$11,2,FALSE)&amp;" - Per "&amp;VLOOKUP($C$4,'Writing Logic'!$G$8:$H$14,2,FALSE),YES_Writing_ELA[#Headers],0)))),"")</f>
        <v/>
      </c>
      <c r="I560" s="224" t="str" cm="1">
        <f t="array" aca="1" ref="I560" ca="1">IFERROR(
IF($G$3="ELA",
IF(VLOOKUP($A560, YES_Reading_ELA[], COLUMN(INDIRECT("YES_Reading_ELA[Difference - Per "&amp;VLOOKUP($G$4, 'Reading Report Logic'!$A$2:$B$8, 2, FALSE)&amp;"]")), FALSE)="", "",
VLOOKUP($A560,YES_Reading_ELA[], COLUMN(INDIRECT("YES_Reading_ELA[Difference - Per "&amp;VLOOKUP($G$4,'Reading Report Logic'!$A$2:$B$8,2,FALSE)&amp;"]")), FALSE)),
IF($G$3="FLA",
IF(VLOOKUP($A560, YES_Reading_FLA[], COLUMN(INDIRECT("YES_Reading_FLA[Difference - Per "&amp;VLOOKUP($G$4,'Reading Report Logic'!$A$2:$B$8,2,FALSE)&amp;"]")),FALSE)="","",
VLOOKUP($A560,YES_Reading_FLA[],COLUMN(INDIRECT("YES_Reading_FLA[Difference - Per "&amp;VLOOKUP($G$4,'Reading Report Logic'!$A$2:$B$8,2,FALSE)&amp;"]")),FALSE)),
IF($G$3="Combined",
IFERROR(
IF(VLOOKUP($A560, YES_Reading_ELA[], COLUMN(INDIRECT("YES_Reading_ELA[Difference - Per "&amp;VLOOKUP($G$4, 'Reading Report Logic'!$A$2:$B$8,2,FALSE)&amp;"]")), FALSE)="", "",
VLOOKUP($A560,YES_Reading_ELA[],COLUMN(INDIRECT("YES_Reading_ELA[Difference - Per "&amp;VLOOKUP($G$4,'Reading Report Logic'!$A$2:$B$8,2,FALSE)&amp;"]")),FALSE)),
IF(VLOOKUP($A560, YES_Reading_FLA[], COLUMN(INDIRECT("YES_Reading_FLA[Difference - Per "&amp;VLOOKUP($G$4, 'Reading Report Logic'!$A$2:$B$8, 2, FALSE)&amp;"]")),FALSE)="", "", VLOOKUP($A560,YES_Reading_FLA[],COLUMN(INDIRECT("YES_Reading_FLA[Difference - Per "&amp;VLOOKUP($G$4, 'Reading Report Logic'!$A$2:$B$8, 2, FALSE)&amp;"]")),FALSE))),""))),"")</f>
        <v/>
      </c>
    </row>
    <row r="561" spans="1:9" x14ac:dyDescent="0.25">
      <c r="A561" s="137"/>
      <c r="B561" s="137" t="str">
        <f>IFERROR(INDEX(_xlfn.VSTACK(YES_Writing_ELA[#Data], YES_Writing_FLA[#Data]),MATCH($A561,_xlfn.VSTACK(YES_Writing_ELA[Student Number], YES_Writing_FLA[Student Number]),0),MATCH(B$7,YES_Writing_ELA[#Headers],0)),IFERROR(INDEX(_xlfn.VSTACK(YES_Reading_ELA[#Data], YES_Reading_FLA[#Data]),MATCH($A561,_xlfn.VSTACK(YES_Reading_ELA[Student Number], YES_Reading_FLA[Student Number]),0),MATCH(B$7,YES_Reading_ELA[#Headers],0)),""))</f>
        <v/>
      </c>
      <c r="C561" s="137" t="str">
        <f>IFERROR(INDEX(_xlfn.VSTACK(YES_Writing_ELA[#Data], YES_Writing_FLA[#Data]),MATCH($A561,_xlfn.VSTACK(YES_Writing_ELA[Student Number], YES_Writing_FLA[Student Number]),0),MATCH(C$7,YES_Writing_ELA[#Headers],0)),IFERROR(INDEX(_xlfn.VSTACK(YES_Reading_ELA[#Data], YES_Reading_FLA[#Data]),MATCH($A561,_xlfn.VSTACK(YES_Reading_ELA[Student Number], YES_Reading_FLA[Student Number]),0),MATCH(C$7,YES_Reading_ELA[#Headers],0)),""))</f>
        <v/>
      </c>
      <c r="D561" s="138" t="str">
        <f>IFERROR(IF(IF(INDEX(_xlfn.VSTACK(YES_Writing_ELA[#Data],YES_Writing_FLA[#Data]),MATCH($A561,_xlfn.VSTACK(YES_Writing_ELA[Student Number],YES_Writing_FLA[Student Number]),0),MATCH(VLOOKUP(D$7,'Writing Logic'!$J$7:$K$11,2,FALSE)&amp;" - Per "&amp;VLOOKUP($C$4,'Writing Logic'!$G$8:$H$14,2,FALSE),YES_Writing_ELA[#Headers],0))=0,"",INDEX(_xlfn.VSTACK(YES_Writing_ELA[#Data],YES_Writing_FLA[#Data]),MATCH($A561,_xlfn.VSTACK(YES_Writing_ELA[Student Number],YES_Writing_FLA[Student Number]),0),MATCH(VLOOKUP(D$7,'Writing Logic'!$J$7:$K$11,2,FALSE)&amp;" - Per "&amp;VLOOKUP($C$4,'Writing Logic'!$G$8:$H$14,2,FALSE),YES_Writing_ELA[#Headers],0)))="INS",'Writing Logic'!$B$7,IF(INDEX(_xlfn.VSTACK(YES_Writing_ELA[#Data],YES_Writing_FLA[#Data]),MATCH($A561,_xlfn.VSTACK(YES_Writing_ELA[Student Number],YES_Writing_FLA[Student Number]),0),MATCH(VLOOKUP(D$7,'Writing Logic'!$J$7:$K$11,2,FALSE)&amp;" - Per "&amp;VLOOKUP($C$4,'Writing Logic'!$G$8:$H$14,2,FALSE),YES_Writing_ELA[#Headers],0))=0,"",INDEX(_xlfn.VSTACK(YES_Writing_ELA[#Data],YES_Writing_FLA[#Data]),MATCH($A561,_xlfn.VSTACK(YES_Writing_ELA[Student Number],YES_Writing_FLA[Student Number]),0),MATCH(VLOOKUP(D$7,'Writing Logic'!$J$7:$K$11,2,FALSE)&amp;" - Per "&amp;VLOOKUP($C$4,'Writing Logic'!$G$8:$H$14,2,FALSE),YES_Writing_ELA[#Headers],0)))),"")</f>
        <v/>
      </c>
      <c r="E561" s="138" t="str">
        <f>IFERROR(IF(IF(INDEX(_xlfn.VSTACK(YES_Writing_ELA[#Data],YES_Writing_FLA[#Data]),MATCH($A561,_xlfn.VSTACK(YES_Writing_ELA[Student Number],YES_Writing_FLA[Student Number]),0),MATCH(VLOOKUP(E$7,'Writing Logic'!$J$7:$K$11,2,FALSE)&amp;" - Per "&amp;VLOOKUP($C$4,'Writing Logic'!$G$8:$H$14,2,FALSE),YES_Writing_ELA[#Headers],0))=0,"",INDEX(_xlfn.VSTACK(YES_Writing_ELA[#Data],YES_Writing_FLA[#Data]),MATCH($A561,_xlfn.VSTACK(YES_Writing_ELA[Student Number],YES_Writing_FLA[Student Number]),0),MATCH(VLOOKUP(E$7,'Writing Logic'!$J$7:$K$11,2,FALSE)&amp;" - Per "&amp;VLOOKUP($C$4,'Writing Logic'!$G$8:$H$14,2,FALSE),YES_Writing_ELA[#Headers],0)))="INS",'Writing Logic'!$B$7,IF(INDEX(_xlfn.VSTACK(YES_Writing_ELA[#Data],YES_Writing_FLA[#Data]),MATCH($A561,_xlfn.VSTACK(YES_Writing_ELA[Student Number],YES_Writing_FLA[Student Number]),0),MATCH(VLOOKUP(E$7,'Writing Logic'!$J$7:$K$11,2,FALSE)&amp;" - Per "&amp;VLOOKUP($C$4,'Writing Logic'!$G$8:$H$14,2,FALSE),YES_Writing_ELA[#Headers],0))=0,"",INDEX(_xlfn.VSTACK(YES_Writing_ELA[#Data],YES_Writing_FLA[#Data]),MATCH($A561,_xlfn.VSTACK(YES_Writing_ELA[Student Number],YES_Writing_FLA[Student Number]),0),MATCH(VLOOKUP(E$7,'Writing Logic'!$J$7:$K$11,2,FALSE)&amp;" - Per "&amp;VLOOKUP($C$4,'Writing Logic'!$G$8:$H$14,2,FALSE),YES_Writing_ELA[#Headers],0)))),"")</f>
        <v/>
      </c>
      <c r="F561" s="138" t="str">
        <f>IFERROR(IF(IF(INDEX(_xlfn.VSTACK(YES_Writing_ELA[#Data],YES_Writing_FLA[#Data]),MATCH($A561,_xlfn.VSTACK(YES_Writing_ELA[Student Number],YES_Writing_FLA[Student Number]),0),MATCH(VLOOKUP(F$7,'Writing Logic'!$J$7:$K$11,2,FALSE)&amp;" - Per "&amp;VLOOKUP($C$4,'Writing Logic'!$G$8:$H$14,2,FALSE),YES_Writing_ELA[#Headers],0))=0,"",INDEX(_xlfn.VSTACK(YES_Writing_ELA[#Data],YES_Writing_FLA[#Data]),MATCH($A561,_xlfn.VSTACK(YES_Writing_ELA[Student Number],YES_Writing_FLA[Student Number]),0),MATCH(VLOOKUP(F$7,'Writing Logic'!$J$7:$K$11,2,FALSE)&amp;" - Per "&amp;VLOOKUP($C$4,'Writing Logic'!$G$8:$H$14,2,FALSE),YES_Writing_ELA[#Headers],0)))="INS",'Writing Logic'!$B$7,IF(INDEX(_xlfn.VSTACK(YES_Writing_ELA[#Data],YES_Writing_FLA[#Data]),MATCH($A561,_xlfn.VSTACK(YES_Writing_ELA[Student Number],YES_Writing_FLA[Student Number]),0),MATCH(VLOOKUP(F$7,'Writing Logic'!$J$7:$K$11,2,FALSE)&amp;" - Per "&amp;VLOOKUP($C$4,'Writing Logic'!$G$8:$H$14,2,FALSE),YES_Writing_ELA[#Headers],0))=0,"",INDEX(_xlfn.VSTACK(YES_Writing_ELA[#Data],YES_Writing_FLA[#Data]),MATCH($A561,_xlfn.VSTACK(YES_Writing_ELA[Student Number],YES_Writing_FLA[Student Number]),0),MATCH(VLOOKUP(F$7,'Writing Logic'!$J$7:$K$11,2,FALSE)&amp;" - Per "&amp;VLOOKUP($C$4,'Writing Logic'!$G$8:$H$14,2,FALSE),YES_Writing_ELA[#Headers],0)))),"")</f>
        <v/>
      </c>
      <c r="G561" s="138" t="str">
        <f>IFERROR(IF(IF(INDEX(_xlfn.VSTACK(YES_Writing_ELA[#Data],YES_Writing_FLA[#Data]),MATCH($A561,_xlfn.VSTACK(YES_Writing_ELA[Student Number],YES_Writing_FLA[Student Number]),0),MATCH(VLOOKUP(G$7,'Writing Logic'!$J$7:$K$11,2,FALSE)&amp;" - Per "&amp;VLOOKUP($C$4,'Writing Logic'!$G$8:$H$14,2,FALSE),YES_Writing_ELA[#Headers],0))=0,"",INDEX(_xlfn.VSTACK(YES_Writing_ELA[#Data],YES_Writing_FLA[#Data]),MATCH($A561,_xlfn.VSTACK(YES_Writing_ELA[Student Number],YES_Writing_FLA[Student Number]),0),MATCH(VLOOKUP(G$7,'Writing Logic'!$J$7:$K$11,2,FALSE)&amp;" - Per "&amp;VLOOKUP($C$4,'Writing Logic'!$G$8:$H$14,2,FALSE),YES_Writing_ELA[#Headers],0)))="INS",'Writing Logic'!$B$7,IF(INDEX(_xlfn.VSTACK(YES_Writing_ELA[#Data],YES_Writing_FLA[#Data]),MATCH($A561,_xlfn.VSTACK(YES_Writing_ELA[Student Number],YES_Writing_FLA[Student Number]),0),MATCH(VLOOKUP(G$7,'Writing Logic'!$J$7:$K$11,2,FALSE)&amp;" - Per "&amp;VLOOKUP($C$4,'Writing Logic'!$G$8:$H$14,2,FALSE),YES_Writing_ELA[#Headers],0))=0,"",INDEX(_xlfn.VSTACK(YES_Writing_ELA[#Data],YES_Writing_FLA[#Data]),MATCH($A561,_xlfn.VSTACK(YES_Writing_ELA[Student Number],YES_Writing_FLA[Student Number]),0),MATCH(VLOOKUP(G$7,'Writing Logic'!$J$7:$K$11,2,FALSE)&amp;" - Per "&amp;VLOOKUP($C$4,'Writing Logic'!$G$8:$H$14,2,FALSE),YES_Writing_ELA[#Headers],0)))),"")</f>
        <v/>
      </c>
      <c r="H561" s="223" t="str">
        <f>IFERROR(IF(IF(INDEX(_xlfn.VSTACK(YES_Writing_ELA[#Data],YES_Writing_FLA[#Data]),MATCH($A561,_xlfn.VSTACK(YES_Writing_ELA[Student Number],YES_Writing_FLA[Student Number]),0),MATCH(VLOOKUP(H$7,'Writing Logic'!$J$7:$K$11,2,FALSE)&amp;" - Per "&amp;VLOOKUP($C$4,'Writing Logic'!$G$8:$H$14,2,FALSE),YES_Writing_ELA[#Headers],0))=0,"",INDEX(_xlfn.VSTACK(YES_Writing_ELA[#Data],YES_Writing_FLA[#Data]),MATCH($A561,_xlfn.VSTACK(YES_Writing_ELA[Student Number],YES_Writing_FLA[Student Number]),0),MATCH(VLOOKUP(H$7,'Writing Logic'!$J$7:$K$11,2,FALSE)&amp;" - Per "&amp;VLOOKUP($C$4,'Writing Logic'!$G$8:$H$14,2,FALSE),YES_Writing_ELA[#Headers],0)))="INS",'Writing Logic'!$B$7,IF(INDEX(_xlfn.VSTACK(YES_Writing_ELA[#Data],YES_Writing_FLA[#Data]),MATCH($A561,_xlfn.VSTACK(YES_Writing_ELA[Student Number],YES_Writing_FLA[Student Number]),0),MATCH(VLOOKUP(H$7,'Writing Logic'!$J$7:$K$11,2,FALSE)&amp;" - Per "&amp;VLOOKUP($C$4,'Writing Logic'!$G$8:$H$14,2,FALSE),YES_Writing_ELA[#Headers],0))=0,"",INDEX(_xlfn.VSTACK(YES_Writing_ELA[#Data],YES_Writing_FLA[#Data]),MATCH($A561,_xlfn.VSTACK(YES_Writing_ELA[Student Number],YES_Writing_FLA[Student Number]),0),MATCH(VLOOKUP(H$7,'Writing Logic'!$J$7:$K$11,2,FALSE)&amp;" - Per "&amp;VLOOKUP($C$4,'Writing Logic'!$G$8:$H$14,2,FALSE),YES_Writing_ELA[#Headers],0)))),"")</f>
        <v/>
      </c>
      <c r="I561" s="224" t="str" cm="1">
        <f t="array" aca="1" ref="I561" ca="1">IFERROR(
IF($G$3="ELA",
IF(VLOOKUP($A561, YES_Reading_ELA[], COLUMN(INDIRECT("YES_Reading_ELA[Difference - Per "&amp;VLOOKUP($G$4, 'Reading Report Logic'!$A$2:$B$8, 2, FALSE)&amp;"]")), FALSE)="", "",
VLOOKUP($A561,YES_Reading_ELA[], COLUMN(INDIRECT("YES_Reading_ELA[Difference - Per "&amp;VLOOKUP($G$4,'Reading Report Logic'!$A$2:$B$8,2,FALSE)&amp;"]")), FALSE)),
IF($G$3="FLA",
IF(VLOOKUP($A561, YES_Reading_FLA[], COLUMN(INDIRECT("YES_Reading_FLA[Difference - Per "&amp;VLOOKUP($G$4,'Reading Report Logic'!$A$2:$B$8,2,FALSE)&amp;"]")),FALSE)="","",
VLOOKUP($A561,YES_Reading_FLA[],COLUMN(INDIRECT("YES_Reading_FLA[Difference - Per "&amp;VLOOKUP($G$4,'Reading Report Logic'!$A$2:$B$8,2,FALSE)&amp;"]")),FALSE)),
IF($G$3="Combined",
IFERROR(
IF(VLOOKUP($A561, YES_Reading_ELA[], COLUMN(INDIRECT("YES_Reading_ELA[Difference - Per "&amp;VLOOKUP($G$4, 'Reading Report Logic'!$A$2:$B$8,2,FALSE)&amp;"]")), FALSE)="", "",
VLOOKUP($A561,YES_Reading_ELA[],COLUMN(INDIRECT("YES_Reading_ELA[Difference - Per "&amp;VLOOKUP($G$4,'Reading Report Logic'!$A$2:$B$8,2,FALSE)&amp;"]")),FALSE)),
IF(VLOOKUP($A561, YES_Reading_FLA[], COLUMN(INDIRECT("YES_Reading_FLA[Difference - Per "&amp;VLOOKUP($G$4, 'Reading Report Logic'!$A$2:$B$8, 2, FALSE)&amp;"]")),FALSE)="", "", VLOOKUP($A561,YES_Reading_FLA[],COLUMN(INDIRECT("YES_Reading_FLA[Difference - Per "&amp;VLOOKUP($G$4, 'Reading Report Logic'!$A$2:$B$8, 2, FALSE)&amp;"]")),FALSE))),""))),"")</f>
        <v/>
      </c>
    </row>
    <row r="562" spans="1:9" x14ac:dyDescent="0.25">
      <c r="A562" s="137"/>
      <c r="B562" s="137" t="str">
        <f>IFERROR(INDEX(_xlfn.VSTACK(YES_Writing_ELA[#Data], YES_Writing_FLA[#Data]),MATCH($A562,_xlfn.VSTACK(YES_Writing_ELA[Student Number], YES_Writing_FLA[Student Number]),0),MATCH(B$7,YES_Writing_ELA[#Headers],0)),IFERROR(INDEX(_xlfn.VSTACK(YES_Reading_ELA[#Data], YES_Reading_FLA[#Data]),MATCH($A562,_xlfn.VSTACK(YES_Reading_ELA[Student Number], YES_Reading_FLA[Student Number]),0),MATCH(B$7,YES_Reading_ELA[#Headers],0)),""))</f>
        <v/>
      </c>
      <c r="C562" s="137" t="str">
        <f>IFERROR(INDEX(_xlfn.VSTACK(YES_Writing_ELA[#Data], YES_Writing_FLA[#Data]),MATCH($A562,_xlfn.VSTACK(YES_Writing_ELA[Student Number], YES_Writing_FLA[Student Number]),0),MATCH(C$7,YES_Writing_ELA[#Headers],0)),IFERROR(INDEX(_xlfn.VSTACK(YES_Reading_ELA[#Data], YES_Reading_FLA[#Data]),MATCH($A562,_xlfn.VSTACK(YES_Reading_ELA[Student Number], YES_Reading_FLA[Student Number]),0),MATCH(C$7,YES_Reading_ELA[#Headers],0)),""))</f>
        <v/>
      </c>
      <c r="D562" s="138" t="str">
        <f>IFERROR(IF(IF(INDEX(_xlfn.VSTACK(YES_Writing_ELA[#Data],YES_Writing_FLA[#Data]),MATCH($A562,_xlfn.VSTACK(YES_Writing_ELA[Student Number],YES_Writing_FLA[Student Number]),0),MATCH(VLOOKUP(D$7,'Writing Logic'!$J$7:$K$11,2,FALSE)&amp;" - Per "&amp;VLOOKUP($C$4,'Writing Logic'!$G$8:$H$14,2,FALSE),YES_Writing_ELA[#Headers],0))=0,"",INDEX(_xlfn.VSTACK(YES_Writing_ELA[#Data],YES_Writing_FLA[#Data]),MATCH($A562,_xlfn.VSTACK(YES_Writing_ELA[Student Number],YES_Writing_FLA[Student Number]),0),MATCH(VLOOKUP(D$7,'Writing Logic'!$J$7:$K$11,2,FALSE)&amp;" - Per "&amp;VLOOKUP($C$4,'Writing Logic'!$G$8:$H$14,2,FALSE),YES_Writing_ELA[#Headers],0)))="INS",'Writing Logic'!$B$7,IF(INDEX(_xlfn.VSTACK(YES_Writing_ELA[#Data],YES_Writing_FLA[#Data]),MATCH($A562,_xlfn.VSTACK(YES_Writing_ELA[Student Number],YES_Writing_FLA[Student Number]),0),MATCH(VLOOKUP(D$7,'Writing Logic'!$J$7:$K$11,2,FALSE)&amp;" - Per "&amp;VLOOKUP($C$4,'Writing Logic'!$G$8:$H$14,2,FALSE),YES_Writing_ELA[#Headers],0))=0,"",INDEX(_xlfn.VSTACK(YES_Writing_ELA[#Data],YES_Writing_FLA[#Data]),MATCH($A562,_xlfn.VSTACK(YES_Writing_ELA[Student Number],YES_Writing_FLA[Student Number]),0),MATCH(VLOOKUP(D$7,'Writing Logic'!$J$7:$K$11,2,FALSE)&amp;" - Per "&amp;VLOOKUP($C$4,'Writing Logic'!$G$8:$H$14,2,FALSE),YES_Writing_ELA[#Headers],0)))),"")</f>
        <v/>
      </c>
      <c r="E562" s="138" t="str">
        <f>IFERROR(IF(IF(INDEX(_xlfn.VSTACK(YES_Writing_ELA[#Data],YES_Writing_FLA[#Data]),MATCH($A562,_xlfn.VSTACK(YES_Writing_ELA[Student Number],YES_Writing_FLA[Student Number]),0),MATCH(VLOOKUP(E$7,'Writing Logic'!$J$7:$K$11,2,FALSE)&amp;" - Per "&amp;VLOOKUP($C$4,'Writing Logic'!$G$8:$H$14,2,FALSE),YES_Writing_ELA[#Headers],0))=0,"",INDEX(_xlfn.VSTACK(YES_Writing_ELA[#Data],YES_Writing_FLA[#Data]),MATCH($A562,_xlfn.VSTACK(YES_Writing_ELA[Student Number],YES_Writing_FLA[Student Number]),0),MATCH(VLOOKUP(E$7,'Writing Logic'!$J$7:$K$11,2,FALSE)&amp;" - Per "&amp;VLOOKUP($C$4,'Writing Logic'!$G$8:$H$14,2,FALSE),YES_Writing_ELA[#Headers],0)))="INS",'Writing Logic'!$B$7,IF(INDEX(_xlfn.VSTACK(YES_Writing_ELA[#Data],YES_Writing_FLA[#Data]),MATCH($A562,_xlfn.VSTACK(YES_Writing_ELA[Student Number],YES_Writing_FLA[Student Number]),0),MATCH(VLOOKUP(E$7,'Writing Logic'!$J$7:$K$11,2,FALSE)&amp;" - Per "&amp;VLOOKUP($C$4,'Writing Logic'!$G$8:$H$14,2,FALSE),YES_Writing_ELA[#Headers],0))=0,"",INDEX(_xlfn.VSTACK(YES_Writing_ELA[#Data],YES_Writing_FLA[#Data]),MATCH($A562,_xlfn.VSTACK(YES_Writing_ELA[Student Number],YES_Writing_FLA[Student Number]),0),MATCH(VLOOKUP(E$7,'Writing Logic'!$J$7:$K$11,2,FALSE)&amp;" - Per "&amp;VLOOKUP($C$4,'Writing Logic'!$G$8:$H$14,2,FALSE),YES_Writing_ELA[#Headers],0)))),"")</f>
        <v/>
      </c>
      <c r="F562" s="138" t="str">
        <f>IFERROR(IF(IF(INDEX(_xlfn.VSTACK(YES_Writing_ELA[#Data],YES_Writing_FLA[#Data]),MATCH($A562,_xlfn.VSTACK(YES_Writing_ELA[Student Number],YES_Writing_FLA[Student Number]),0),MATCH(VLOOKUP(F$7,'Writing Logic'!$J$7:$K$11,2,FALSE)&amp;" - Per "&amp;VLOOKUP($C$4,'Writing Logic'!$G$8:$H$14,2,FALSE),YES_Writing_ELA[#Headers],0))=0,"",INDEX(_xlfn.VSTACK(YES_Writing_ELA[#Data],YES_Writing_FLA[#Data]),MATCH($A562,_xlfn.VSTACK(YES_Writing_ELA[Student Number],YES_Writing_FLA[Student Number]),0),MATCH(VLOOKUP(F$7,'Writing Logic'!$J$7:$K$11,2,FALSE)&amp;" - Per "&amp;VLOOKUP($C$4,'Writing Logic'!$G$8:$H$14,2,FALSE),YES_Writing_ELA[#Headers],0)))="INS",'Writing Logic'!$B$7,IF(INDEX(_xlfn.VSTACK(YES_Writing_ELA[#Data],YES_Writing_FLA[#Data]),MATCH($A562,_xlfn.VSTACK(YES_Writing_ELA[Student Number],YES_Writing_FLA[Student Number]),0),MATCH(VLOOKUP(F$7,'Writing Logic'!$J$7:$K$11,2,FALSE)&amp;" - Per "&amp;VLOOKUP($C$4,'Writing Logic'!$G$8:$H$14,2,FALSE),YES_Writing_ELA[#Headers],0))=0,"",INDEX(_xlfn.VSTACK(YES_Writing_ELA[#Data],YES_Writing_FLA[#Data]),MATCH($A562,_xlfn.VSTACK(YES_Writing_ELA[Student Number],YES_Writing_FLA[Student Number]),0),MATCH(VLOOKUP(F$7,'Writing Logic'!$J$7:$K$11,2,FALSE)&amp;" - Per "&amp;VLOOKUP($C$4,'Writing Logic'!$G$8:$H$14,2,FALSE),YES_Writing_ELA[#Headers],0)))),"")</f>
        <v/>
      </c>
      <c r="G562" s="138" t="str">
        <f>IFERROR(IF(IF(INDEX(_xlfn.VSTACK(YES_Writing_ELA[#Data],YES_Writing_FLA[#Data]),MATCH($A562,_xlfn.VSTACK(YES_Writing_ELA[Student Number],YES_Writing_FLA[Student Number]),0),MATCH(VLOOKUP(G$7,'Writing Logic'!$J$7:$K$11,2,FALSE)&amp;" - Per "&amp;VLOOKUP($C$4,'Writing Logic'!$G$8:$H$14,2,FALSE),YES_Writing_ELA[#Headers],0))=0,"",INDEX(_xlfn.VSTACK(YES_Writing_ELA[#Data],YES_Writing_FLA[#Data]),MATCH($A562,_xlfn.VSTACK(YES_Writing_ELA[Student Number],YES_Writing_FLA[Student Number]),0),MATCH(VLOOKUP(G$7,'Writing Logic'!$J$7:$K$11,2,FALSE)&amp;" - Per "&amp;VLOOKUP($C$4,'Writing Logic'!$G$8:$H$14,2,FALSE),YES_Writing_ELA[#Headers],0)))="INS",'Writing Logic'!$B$7,IF(INDEX(_xlfn.VSTACK(YES_Writing_ELA[#Data],YES_Writing_FLA[#Data]),MATCH($A562,_xlfn.VSTACK(YES_Writing_ELA[Student Number],YES_Writing_FLA[Student Number]),0),MATCH(VLOOKUP(G$7,'Writing Logic'!$J$7:$K$11,2,FALSE)&amp;" - Per "&amp;VLOOKUP($C$4,'Writing Logic'!$G$8:$H$14,2,FALSE),YES_Writing_ELA[#Headers],0))=0,"",INDEX(_xlfn.VSTACK(YES_Writing_ELA[#Data],YES_Writing_FLA[#Data]),MATCH($A562,_xlfn.VSTACK(YES_Writing_ELA[Student Number],YES_Writing_FLA[Student Number]),0),MATCH(VLOOKUP(G$7,'Writing Logic'!$J$7:$K$11,2,FALSE)&amp;" - Per "&amp;VLOOKUP($C$4,'Writing Logic'!$G$8:$H$14,2,FALSE),YES_Writing_ELA[#Headers],0)))),"")</f>
        <v/>
      </c>
      <c r="H562" s="223" t="str">
        <f>IFERROR(IF(IF(INDEX(_xlfn.VSTACK(YES_Writing_ELA[#Data],YES_Writing_FLA[#Data]),MATCH($A562,_xlfn.VSTACK(YES_Writing_ELA[Student Number],YES_Writing_FLA[Student Number]),0),MATCH(VLOOKUP(H$7,'Writing Logic'!$J$7:$K$11,2,FALSE)&amp;" - Per "&amp;VLOOKUP($C$4,'Writing Logic'!$G$8:$H$14,2,FALSE),YES_Writing_ELA[#Headers],0))=0,"",INDEX(_xlfn.VSTACK(YES_Writing_ELA[#Data],YES_Writing_FLA[#Data]),MATCH($A562,_xlfn.VSTACK(YES_Writing_ELA[Student Number],YES_Writing_FLA[Student Number]),0),MATCH(VLOOKUP(H$7,'Writing Logic'!$J$7:$K$11,2,FALSE)&amp;" - Per "&amp;VLOOKUP($C$4,'Writing Logic'!$G$8:$H$14,2,FALSE),YES_Writing_ELA[#Headers],0)))="INS",'Writing Logic'!$B$7,IF(INDEX(_xlfn.VSTACK(YES_Writing_ELA[#Data],YES_Writing_FLA[#Data]),MATCH($A562,_xlfn.VSTACK(YES_Writing_ELA[Student Number],YES_Writing_FLA[Student Number]),0),MATCH(VLOOKUP(H$7,'Writing Logic'!$J$7:$K$11,2,FALSE)&amp;" - Per "&amp;VLOOKUP($C$4,'Writing Logic'!$G$8:$H$14,2,FALSE),YES_Writing_ELA[#Headers],0))=0,"",INDEX(_xlfn.VSTACK(YES_Writing_ELA[#Data],YES_Writing_FLA[#Data]),MATCH($A562,_xlfn.VSTACK(YES_Writing_ELA[Student Number],YES_Writing_FLA[Student Number]),0),MATCH(VLOOKUP(H$7,'Writing Logic'!$J$7:$K$11,2,FALSE)&amp;" - Per "&amp;VLOOKUP($C$4,'Writing Logic'!$G$8:$H$14,2,FALSE),YES_Writing_ELA[#Headers],0)))),"")</f>
        <v/>
      </c>
      <c r="I562" s="224" t="str" cm="1">
        <f t="array" aca="1" ref="I562" ca="1">IFERROR(
IF($G$3="ELA",
IF(VLOOKUP($A562, YES_Reading_ELA[], COLUMN(INDIRECT("YES_Reading_ELA[Difference - Per "&amp;VLOOKUP($G$4, 'Reading Report Logic'!$A$2:$B$8, 2, FALSE)&amp;"]")), FALSE)="", "",
VLOOKUP($A562,YES_Reading_ELA[], COLUMN(INDIRECT("YES_Reading_ELA[Difference - Per "&amp;VLOOKUP($G$4,'Reading Report Logic'!$A$2:$B$8,2,FALSE)&amp;"]")), FALSE)),
IF($G$3="FLA",
IF(VLOOKUP($A562, YES_Reading_FLA[], COLUMN(INDIRECT("YES_Reading_FLA[Difference - Per "&amp;VLOOKUP($G$4,'Reading Report Logic'!$A$2:$B$8,2,FALSE)&amp;"]")),FALSE)="","",
VLOOKUP($A562,YES_Reading_FLA[],COLUMN(INDIRECT("YES_Reading_FLA[Difference - Per "&amp;VLOOKUP($G$4,'Reading Report Logic'!$A$2:$B$8,2,FALSE)&amp;"]")),FALSE)),
IF($G$3="Combined",
IFERROR(
IF(VLOOKUP($A562, YES_Reading_ELA[], COLUMN(INDIRECT("YES_Reading_ELA[Difference - Per "&amp;VLOOKUP($G$4, 'Reading Report Logic'!$A$2:$B$8,2,FALSE)&amp;"]")), FALSE)="", "",
VLOOKUP($A562,YES_Reading_ELA[],COLUMN(INDIRECT("YES_Reading_ELA[Difference - Per "&amp;VLOOKUP($G$4,'Reading Report Logic'!$A$2:$B$8,2,FALSE)&amp;"]")),FALSE)),
IF(VLOOKUP($A562, YES_Reading_FLA[], COLUMN(INDIRECT("YES_Reading_FLA[Difference - Per "&amp;VLOOKUP($G$4, 'Reading Report Logic'!$A$2:$B$8, 2, FALSE)&amp;"]")),FALSE)="", "", VLOOKUP($A562,YES_Reading_FLA[],COLUMN(INDIRECT("YES_Reading_FLA[Difference - Per "&amp;VLOOKUP($G$4, 'Reading Report Logic'!$A$2:$B$8, 2, FALSE)&amp;"]")),FALSE))),""))),"")</f>
        <v/>
      </c>
    </row>
    <row r="563" spans="1:9" x14ac:dyDescent="0.25">
      <c r="A563" s="137"/>
      <c r="B563" s="137" t="str">
        <f>IFERROR(INDEX(_xlfn.VSTACK(YES_Writing_ELA[#Data], YES_Writing_FLA[#Data]),MATCH($A563,_xlfn.VSTACK(YES_Writing_ELA[Student Number], YES_Writing_FLA[Student Number]),0),MATCH(B$7,YES_Writing_ELA[#Headers],0)),IFERROR(INDEX(_xlfn.VSTACK(YES_Reading_ELA[#Data], YES_Reading_FLA[#Data]),MATCH($A563,_xlfn.VSTACK(YES_Reading_ELA[Student Number], YES_Reading_FLA[Student Number]),0),MATCH(B$7,YES_Reading_ELA[#Headers],0)),""))</f>
        <v/>
      </c>
      <c r="C563" s="137" t="str">
        <f>IFERROR(INDEX(_xlfn.VSTACK(YES_Writing_ELA[#Data], YES_Writing_FLA[#Data]),MATCH($A563,_xlfn.VSTACK(YES_Writing_ELA[Student Number], YES_Writing_FLA[Student Number]),0),MATCH(C$7,YES_Writing_ELA[#Headers],0)),IFERROR(INDEX(_xlfn.VSTACK(YES_Reading_ELA[#Data], YES_Reading_FLA[#Data]),MATCH($A563,_xlfn.VSTACK(YES_Reading_ELA[Student Number], YES_Reading_FLA[Student Number]),0),MATCH(C$7,YES_Reading_ELA[#Headers],0)),""))</f>
        <v/>
      </c>
      <c r="D563" s="138" t="str">
        <f>IFERROR(IF(IF(INDEX(_xlfn.VSTACK(YES_Writing_ELA[#Data],YES_Writing_FLA[#Data]),MATCH($A563,_xlfn.VSTACK(YES_Writing_ELA[Student Number],YES_Writing_FLA[Student Number]),0),MATCH(VLOOKUP(D$7,'Writing Logic'!$J$7:$K$11,2,FALSE)&amp;" - Per "&amp;VLOOKUP($C$4,'Writing Logic'!$G$8:$H$14,2,FALSE),YES_Writing_ELA[#Headers],0))=0,"",INDEX(_xlfn.VSTACK(YES_Writing_ELA[#Data],YES_Writing_FLA[#Data]),MATCH($A563,_xlfn.VSTACK(YES_Writing_ELA[Student Number],YES_Writing_FLA[Student Number]),0),MATCH(VLOOKUP(D$7,'Writing Logic'!$J$7:$K$11,2,FALSE)&amp;" - Per "&amp;VLOOKUP($C$4,'Writing Logic'!$G$8:$H$14,2,FALSE),YES_Writing_ELA[#Headers],0)))="INS",'Writing Logic'!$B$7,IF(INDEX(_xlfn.VSTACK(YES_Writing_ELA[#Data],YES_Writing_FLA[#Data]),MATCH($A563,_xlfn.VSTACK(YES_Writing_ELA[Student Number],YES_Writing_FLA[Student Number]),0),MATCH(VLOOKUP(D$7,'Writing Logic'!$J$7:$K$11,2,FALSE)&amp;" - Per "&amp;VLOOKUP($C$4,'Writing Logic'!$G$8:$H$14,2,FALSE),YES_Writing_ELA[#Headers],0))=0,"",INDEX(_xlfn.VSTACK(YES_Writing_ELA[#Data],YES_Writing_FLA[#Data]),MATCH($A563,_xlfn.VSTACK(YES_Writing_ELA[Student Number],YES_Writing_FLA[Student Number]),0),MATCH(VLOOKUP(D$7,'Writing Logic'!$J$7:$K$11,2,FALSE)&amp;" - Per "&amp;VLOOKUP($C$4,'Writing Logic'!$G$8:$H$14,2,FALSE),YES_Writing_ELA[#Headers],0)))),"")</f>
        <v/>
      </c>
      <c r="E563" s="138" t="str">
        <f>IFERROR(IF(IF(INDEX(_xlfn.VSTACK(YES_Writing_ELA[#Data],YES_Writing_FLA[#Data]),MATCH($A563,_xlfn.VSTACK(YES_Writing_ELA[Student Number],YES_Writing_FLA[Student Number]),0),MATCH(VLOOKUP(E$7,'Writing Logic'!$J$7:$K$11,2,FALSE)&amp;" - Per "&amp;VLOOKUP($C$4,'Writing Logic'!$G$8:$H$14,2,FALSE),YES_Writing_ELA[#Headers],0))=0,"",INDEX(_xlfn.VSTACK(YES_Writing_ELA[#Data],YES_Writing_FLA[#Data]),MATCH($A563,_xlfn.VSTACK(YES_Writing_ELA[Student Number],YES_Writing_FLA[Student Number]),0),MATCH(VLOOKUP(E$7,'Writing Logic'!$J$7:$K$11,2,FALSE)&amp;" - Per "&amp;VLOOKUP($C$4,'Writing Logic'!$G$8:$H$14,2,FALSE),YES_Writing_ELA[#Headers],0)))="INS",'Writing Logic'!$B$7,IF(INDEX(_xlfn.VSTACK(YES_Writing_ELA[#Data],YES_Writing_FLA[#Data]),MATCH($A563,_xlfn.VSTACK(YES_Writing_ELA[Student Number],YES_Writing_FLA[Student Number]),0),MATCH(VLOOKUP(E$7,'Writing Logic'!$J$7:$K$11,2,FALSE)&amp;" - Per "&amp;VLOOKUP($C$4,'Writing Logic'!$G$8:$H$14,2,FALSE),YES_Writing_ELA[#Headers],0))=0,"",INDEX(_xlfn.VSTACK(YES_Writing_ELA[#Data],YES_Writing_FLA[#Data]),MATCH($A563,_xlfn.VSTACK(YES_Writing_ELA[Student Number],YES_Writing_FLA[Student Number]),0),MATCH(VLOOKUP(E$7,'Writing Logic'!$J$7:$K$11,2,FALSE)&amp;" - Per "&amp;VLOOKUP($C$4,'Writing Logic'!$G$8:$H$14,2,FALSE),YES_Writing_ELA[#Headers],0)))),"")</f>
        <v/>
      </c>
      <c r="F563" s="138" t="str">
        <f>IFERROR(IF(IF(INDEX(_xlfn.VSTACK(YES_Writing_ELA[#Data],YES_Writing_FLA[#Data]),MATCH($A563,_xlfn.VSTACK(YES_Writing_ELA[Student Number],YES_Writing_FLA[Student Number]),0),MATCH(VLOOKUP(F$7,'Writing Logic'!$J$7:$K$11,2,FALSE)&amp;" - Per "&amp;VLOOKUP($C$4,'Writing Logic'!$G$8:$H$14,2,FALSE),YES_Writing_ELA[#Headers],0))=0,"",INDEX(_xlfn.VSTACK(YES_Writing_ELA[#Data],YES_Writing_FLA[#Data]),MATCH($A563,_xlfn.VSTACK(YES_Writing_ELA[Student Number],YES_Writing_FLA[Student Number]),0),MATCH(VLOOKUP(F$7,'Writing Logic'!$J$7:$K$11,2,FALSE)&amp;" - Per "&amp;VLOOKUP($C$4,'Writing Logic'!$G$8:$H$14,2,FALSE),YES_Writing_ELA[#Headers],0)))="INS",'Writing Logic'!$B$7,IF(INDEX(_xlfn.VSTACK(YES_Writing_ELA[#Data],YES_Writing_FLA[#Data]),MATCH($A563,_xlfn.VSTACK(YES_Writing_ELA[Student Number],YES_Writing_FLA[Student Number]),0),MATCH(VLOOKUP(F$7,'Writing Logic'!$J$7:$K$11,2,FALSE)&amp;" - Per "&amp;VLOOKUP($C$4,'Writing Logic'!$G$8:$H$14,2,FALSE),YES_Writing_ELA[#Headers],0))=0,"",INDEX(_xlfn.VSTACK(YES_Writing_ELA[#Data],YES_Writing_FLA[#Data]),MATCH($A563,_xlfn.VSTACK(YES_Writing_ELA[Student Number],YES_Writing_FLA[Student Number]),0),MATCH(VLOOKUP(F$7,'Writing Logic'!$J$7:$K$11,2,FALSE)&amp;" - Per "&amp;VLOOKUP($C$4,'Writing Logic'!$G$8:$H$14,2,FALSE),YES_Writing_ELA[#Headers],0)))),"")</f>
        <v/>
      </c>
      <c r="G563" s="138" t="str">
        <f>IFERROR(IF(IF(INDEX(_xlfn.VSTACK(YES_Writing_ELA[#Data],YES_Writing_FLA[#Data]),MATCH($A563,_xlfn.VSTACK(YES_Writing_ELA[Student Number],YES_Writing_FLA[Student Number]),0),MATCH(VLOOKUP(G$7,'Writing Logic'!$J$7:$K$11,2,FALSE)&amp;" - Per "&amp;VLOOKUP($C$4,'Writing Logic'!$G$8:$H$14,2,FALSE),YES_Writing_ELA[#Headers],0))=0,"",INDEX(_xlfn.VSTACK(YES_Writing_ELA[#Data],YES_Writing_FLA[#Data]),MATCH($A563,_xlfn.VSTACK(YES_Writing_ELA[Student Number],YES_Writing_FLA[Student Number]),0),MATCH(VLOOKUP(G$7,'Writing Logic'!$J$7:$K$11,2,FALSE)&amp;" - Per "&amp;VLOOKUP($C$4,'Writing Logic'!$G$8:$H$14,2,FALSE),YES_Writing_ELA[#Headers],0)))="INS",'Writing Logic'!$B$7,IF(INDEX(_xlfn.VSTACK(YES_Writing_ELA[#Data],YES_Writing_FLA[#Data]),MATCH($A563,_xlfn.VSTACK(YES_Writing_ELA[Student Number],YES_Writing_FLA[Student Number]),0),MATCH(VLOOKUP(G$7,'Writing Logic'!$J$7:$K$11,2,FALSE)&amp;" - Per "&amp;VLOOKUP($C$4,'Writing Logic'!$G$8:$H$14,2,FALSE),YES_Writing_ELA[#Headers],0))=0,"",INDEX(_xlfn.VSTACK(YES_Writing_ELA[#Data],YES_Writing_FLA[#Data]),MATCH($A563,_xlfn.VSTACK(YES_Writing_ELA[Student Number],YES_Writing_FLA[Student Number]),0),MATCH(VLOOKUP(G$7,'Writing Logic'!$J$7:$K$11,2,FALSE)&amp;" - Per "&amp;VLOOKUP($C$4,'Writing Logic'!$G$8:$H$14,2,FALSE),YES_Writing_ELA[#Headers],0)))),"")</f>
        <v/>
      </c>
      <c r="H563" s="223" t="str">
        <f>IFERROR(IF(IF(INDEX(_xlfn.VSTACK(YES_Writing_ELA[#Data],YES_Writing_FLA[#Data]),MATCH($A563,_xlfn.VSTACK(YES_Writing_ELA[Student Number],YES_Writing_FLA[Student Number]),0),MATCH(VLOOKUP(H$7,'Writing Logic'!$J$7:$K$11,2,FALSE)&amp;" - Per "&amp;VLOOKUP($C$4,'Writing Logic'!$G$8:$H$14,2,FALSE),YES_Writing_ELA[#Headers],0))=0,"",INDEX(_xlfn.VSTACK(YES_Writing_ELA[#Data],YES_Writing_FLA[#Data]),MATCH($A563,_xlfn.VSTACK(YES_Writing_ELA[Student Number],YES_Writing_FLA[Student Number]),0),MATCH(VLOOKUP(H$7,'Writing Logic'!$J$7:$K$11,2,FALSE)&amp;" - Per "&amp;VLOOKUP($C$4,'Writing Logic'!$G$8:$H$14,2,FALSE),YES_Writing_ELA[#Headers],0)))="INS",'Writing Logic'!$B$7,IF(INDEX(_xlfn.VSTACK(YES_Writing_ELA[#Data],YES_Writing_FLA[#Data]),MATCH($A563,_xlfn.VSTACK(YES_Writing_ELA[Student Number],YES_Writing_FLA[Student Number]),0),MATCH(VLOOKUP(H$7,'Writing Logic'!$J$7:$K$11,2,FALSE)&amp;" - Per "&amp;VLOOKUP($C$4,'Writing Logic'!$G$8:$H$14,2,FALSE),YES_Writing_ELA[#Headers],0))=0,"",INDEX(_xlfn.VSTACK(YES_Writing_ELA[#Data],YES_Writing_FLA[#Data]),MATCH($A563,_xlfn.VSTACK(YES_Writing_ELA[Student Number],YES_Writing_FLA[Student Number]),0),MATCH(VLOOKUP(H$7,'Writing Logic'!$J$7:$K$11,2,FALSE)&amp;" - Per "&amp;VLOOKUP($C$4,'Writing Logic'!$G$8:$H$14,2,FALSE),YES_Writing_ELA[#Headers],0)))),"")</f>
        <v/>
      </c>
      <c r="I563" s="224" t="str" cm="1">
        <f t="array" aca="1" ref="I563" ca="1">IFERROR(
IF($G$3="ELA",
IF(VLOOKUP($A563, YES_Reading_ELA[], COLUMN(INDIRECT("YES_Reading_ELA[Difference - Per "&amp;VLOOKUP($G$4, 'Reading Report Logic'!$A$2:$B$8, 2, FALSE)&amp;"]")), FALSE)="", "",
VLOOKUP($A563,YES_Reading_ELA[], COLUMN(INDIRECT("YES_Reading_ELA[Difference - Per "&amp;VLOOKUP($G$4,'Reading Report Logic'!$A$2:$B$8,2,FALSE)&amp;"]")), FALSE)),
IF($G$3="FLA",
IF(VLOOKUP($A563, YES_Reading_FLA[], COLUMN(INDIRECT("YES_Reading_FLA[Difference - Per "&amp;VLOOKUP($G$4,'Reading Report Logic'!$A$2:$B$8,2,FALSE)&amp;"]")),FALSE)="","",
VLOOKUP($A563,YES_Reading_FLA[],COLUMN(INDIRECT("YES_Reading_FLA[Difference - Per "&amp;VLOOKUP($G$4,'Reading Report Logic'!$A$2:$B$8,2,FALSE)&amp;"]")),FALSE)),
IF($G$3="Combined",
IFERROR(
IF(VLOOKUP($A563, YES_Reading_ELA[], COLUMN(INDIRECT("YES_Reading_ELA[Difference - Per "&amp;VLOOKUP($G$4, 'Reading Report Logic'!$A$2:$B$8,2,FALSE)&amp;"]")), FALSE)="", "",
VLOOKUP($A563,YES_Reading_ELA[],COLUMN(INDIRECT("YES_Reading_ELA[Difference - Per "&amp;VLOOKUP($G$4,'Reading Report Logic'!$A$2:$B$8,2,FALSE)&amp;"]")),FALSE)),
IF(VLOOKUP($A563, YES_Reading_FLA[], COLUMN(INDIRECT("YES_Reading_FLA[Difference - Per "&amp;VLOOKUP($G$4, 'Reading Report Logic'!$A$2:$B$8, 2, FALSE)&amp;"]")),FALSE)="", "", VLOOKUP($A563,YES_Reading_FLA[],COLUMN(INDIRECT("YES_Reading_FLA[Difference - Per "&amp;VLOOKUP($G$4, 'Reading Report Logic'!$A$2:$B$8, 2, FALSE)&amp;"]")),FALSE))),""))),"")</f>
        <v/>
      </c>
    </row>
    <row r="564" spans="1:9" x14ac:dyDescent="0.25">
      <c r="A564" s="137"/>
      <c r="B564" s="137" t="str">
        <f>IFERROR(INDEX(_xlfn.VSTACK(YES_Writing_ELA[#Data], YES_Writing_FLA[#Data]),MATCH($A564,_xlfn.VSTACK(YES_Writing_ELA[Student Number], YES_Writing_FLA[Student Number]),0),MATCH(B$7,YES_Writing_ELA[#Headers],0)),IFERROR(INDEX(_xlfn.VSTACK(YES_Reading_ELA[#Data], YES_Reading_FLA[#Data]),MATCH($A564,_xlfn.VSTACK(YES_Reading_ELA[Student Number], YES_Reading_FLA[Student Number]),0),MATCH(B$7,YES_Reading_ELA[#Headers],0)),""))</f>
        <v/>
      </c>
      <c r="C564" s="137" t="str">
        <f>IFERROR(INDEX(_xlfn.VSTACK(YES_Writing_ELA[#Data], YES_Writing_FLA[#Data]),MATCH($A564,_xlfn.VSTACK(YES_Writing_ELA[Student Number], YES_Writing_FLA[Student Number]),0),MATCH(C$7,YES_Writing_ELA[#Headers],0)),IFERROR(INDEX(_xlfn.VSTACK(YES_Reading_ELA[#Data], YES_Reading_FLA[#Data]),MATCH($A564,_xlfn.VSTACK(YES_Reading_ELA[Student Number], YES_Reading_FLA[Student Number]),0),MATCH(C$7,YES_Reading_ELA[#Headers],0)),""))</f>
        <v/>
      </c>
      <c r="D564" s="138" t="str">
        <f>IFERROR(IF(IF(INDEX(_xlfn.VSTACK(YES_Writing_ELA[#Data],YES_Writing_FLA[#Data]),MATCH($A564,_xlfn.VSTACK(YES_Writing_ELA[Student Number],YES_Writing_FLA[Student Number]),0),MATCH(VLOOKUP(D$7,'Writing Logic'!$J$7:$K$11,2,FALSE)&amp;" - Per "&amp;VLOOKUP($C$4,'Writing Logic'!$G$8:$H$14,2,FALSE),YES_Writing_ELA[#Headers],0))=0,"",INDEX(_xlfn.VSTACK(YES_Writing_ELA[#Data],YES_Writing_FLA[#Data]),MATCH($A564,_xlfn.VSTACK(YES_Writing_ELA[Student Number],YES_Writing_FLA[Student Number]),0),MATCH(VLOOKUP(D$7,'Writing Logic'!$J$7:$K$11,2,FALSE)&amp;" - Per "&amp;VLOOKUP($C$4,'Writing Logic'!$G$8:$H$14,2,FALSE),YES_Writing_ELA[#Headers],0)))="INS",'Writing Logic'!$B$7,IF(INDEX(_xlfn.VSTACK(YES_Writing_ELA[#Data],YES_Writing_FLA[#Data]),MATCH($A564,_xlfn.VSTACK(YES_Writing_ELA[Student Number],YES_Writing_FLA[Student Number]),0),MATCH(VLOOKUP(D$7,'Writing Logic'!$J$7:$K$11,2,FALSE)&amp;" - Per "&amp;VLOOKUP($C$4,'Writing Logic'!$G$8:$H$14,2,FALSE),YES_Writing_ELA[#Headers],0))=0,"",INDEX(_xlfn.VSTACK(YES_Writing_ELA[#Data],YES_Writing_FLA[#Data]),MATCH($A564,_xlfn.VSTACK(YES_Writing_ELA[Student Number],YES_Writing_FLA[Student Number]),0),MATCH(VLOOKUP(D$7,'Writing Logic'!$J$7:$K$11,2,FALSE)&amp;" - Per "&amp;VLOOKUP($C$4,'Writing Logic'!$G$8:$H$14,2,FALSE),YES_Writing_ELA[#Headers],0)))),"")</f>
        <v/>
      </c>
      <c r="E564" s="138" t="str">
        <f>IFERROR(IF(IF(INDEX(_xlfn.VSTACK(YES_Writing_ELA[#Data],YES_Writing_FLA[#Data]),MATCH($A564,_xlfn.VSTACK(YES_Writing_ELA[Student Number],YES_Writing_FLA[Student Number]),0),MATCH(VLOOKUP(E$7,'Writing Logic'!$J$7:$K$11,2,FALSE)&amp;" - Per "&amp;VLOOKUP($C$4,'Writing Logic'!$G$8:$H$14,2,FALSE),YES_Writing_ELA[#Headers],0))=0,"",INDEX(_xlfn.VSTACK(YES_Writing_ELA[#Data],YES_Writing_FLA[#Data]),MATCH($A564,_xlfn.VSTACK(YES_Writing_ELA[Student Number],YES_Writing_FLA[Student Number]),0),MATCH(VLOOKUP(E$7,'Writing Logic'!$J$7:$K$11,2,FALSE)&amp;" - Per "&amp;VLOOKUP($C$4,'Writing Logic'!$G$8:$H$14,2,FALSE),YES_Writing_ELA[#Headers],0)))="INS",'Writing Logic'!$B$7,IF(INDEX(_xlfn.VSTACK(YES_Writing_ELA[#Data],YES_Writing_FLA[#Data]),MATCH($A564,_xlfn.VSTACK(YES_Writing_ELA[Student Number],YES_Writing_FLA[Student Number]),0),MATCH(VLOOKUP(E$7,'Writing Logic'!$J$7:$K$11,2,FALSE)&amp;" - Per "&amp;VLOOKUP($C$4,'Writing Logic'!$G$8:$H$14,2,FALSE),YES_Writing_ELA[#Headers],0))=0,"",INDEX(_xlfn.VSTACK(YES_Writing_ELA[#Data],YES_Writing_FLA[#Data]),MATCH($A564,_xlfn.VSTACK(YES_Writing_ELA[Student Number],YES_Writing_FLA[Student Number]),0),MATCH(VLOOKUP(E$7,'Writing Logic'!$J$7:$K$11,2,FALSE)&amp;" - Per "&amp;VLOOKUP($C$4,'Writing Logic'!$G$8:$H$14,2,FALSE),YES_Writing_ELA[#Headers],0)))),"")</f>
        <v/>
      </c>
      <c r="F564" s="138" t="str">
        <f>IFERROR(IF(IF(INDEX(_xlfn.VSTACK(YES_Writing_ELA[#Data],YES_Writing_FLA[#Data]),MATCH($A564,_xlfn.VSTACK(YES_Writing_ELA[Student Number],YES_Writing_FLA[Student Number]),0),MATCH(VLOOKUP(F$7,'Writing Logic'!$J$7:$K$11,2,FALSE)&amp;" - Per "&amp;VLOOKUP($C$4,'Writing Logic'!$G$8:$H$14,2,FALSE),YES_Writing_ELA[#Headers],0))=0,"",INDEX(_xlfn.VSTACK(YES_Writing_ELA[#Data],YES_Writing_FLA[#Data]),MATCH($A564,_xlfn.VSTACK(YES_Writing_ELA[Student Number],YES_Writing_FLA[Student Number]),0),MATCH(VLOOKUP(F$7,'Writing Logic'!$J$7:$K$11,2,FALSE)&amp;" - Per "&amp;VLOOKUP($C$4,'Writing Logic'!$G$8:$H$14,2,FALSE),YES_Writing_ELA[#Headers],0)))="INS",'Writing Logic'!$B$7,IF(INDEX(_xlfn.VSTACK(YES_Writing_ELA[#Data],YES_Writing_FLA[#Data]),MATCH($A564,_xlfn.VSTACK(YES_Writing_ELA[Student Number],YES_Writing_FLA[Student Number]),0),MATCH(VLOOKUP(F$7,'Writing Logic'!$J$7:$K$11,2,FALSE)&amp;" - Per "&amp;VLOOKUP($C$4,'Writing Logic'!$G$8:$H$14,2,FALSE),YES_Writing_ELA[#Headers],0))=0,"",INDEX(_xlfn.VSTACK(YES_Writing_ELA[#Data],YES_Writing_FLA[#Data]),MATCH($A564,_xlfn.VSTACK(YES_Writing_ELA[Student Number],YES_Writing_FLA[Student Number]),0),MATCH(VLOOKUP(F$7,'Writing Logic'!$J$7:$K$11,2,FALSE)&amp;" - Per "&amp;VLOOKUP($C$4,'Writing Logic'!$G$8:$H$14,2,FALSE),YES_Writing_ELA[#Headers],0)))),"")</f>
        <v/>
      </c>
      <c r="G564" s="138" t="str">
        <f>IFERROR(IF(IF(INDEX(_xlfn.VSTACK(YES_Writing_ELA[#Data],YES_Writing_FLA[#Data]),MATCH($A564,_xlfn.VSTACK(YES_Writing_ELA[Student Number],YES_Writing_FLA[Student Number]),0),MATCH(VLOOKUP(G$7,'Writing Logic'!$J$7:$K$11,2,FALSE)&amp;" - Per "&amp;VLOOKUP($C$4,'Writing Logic'!$G$8:$H$14,2,FALSE),YES_Writing_ELA[#Headers],0))=0,"",INDEX(_xlfn.VSTACK(YES_Writing_ELA[#Data],YES_Writing_FLA[#Data]),MATCH($A564,_xlfn.VSTACK(YES_Writing_ELA[Student Number],YES_Writing_FLA[Student Number]),0),MATCH(VLOOKUP(G$7,'Writing Logic'!$J$7:$K$11,2,FALSE)&amp;" - Per "&amp;VLOOKUP($C$4,'Writing Logic'!$G$8:$H$14,2,FALSE),YES_Writing_ELA[#Headers],0)))="INS",'Writing Logic'!$B$7,IF(INDEX(_xlfn.VSTACK(YES_Writing_ELA[#Data],YES_Writing_FLA[#Data]),MATCH($A564,_xlfn.VSTACK(YES_Writing_ELA[Student Number],YES_Writing_FLA[Student Number]),0),MATCH(VLOOKUP(G$7,'Writing Logic'!$J$7:$K$11,2,FALSE)&amp;" - Per "&amp;VLOOKUP($C$4,'Writing Logic'!$G$8:$H$14,2,FALSE),YES_Writing_ELA[#Headers],0))=0,"",INDEX(_xlfn.VSTACK(YES_Writing_ELA[#Data],YES_Writing_FLA[#Data]),MATCH($A564,_xlfn.VSTACK(YES_Writing_ELA[Student Number],YES_Writing_FLA[Student Number]),0),MATCH(VLOOKUP(G$7,'Writing Logic'!$J$7:$K$11,2,FALSE)&amp;" - Per "&amp;VLOOKUP($C$4,'Writing Logic'!$G$8:$H$14,2,FALSE),YES_Writing_ELA[#Headers],0)))),"")</f>
        <v/>
      </c>
      <c r="H564" s="223" t="str">
        <f>IFERROR(IF(IF(INDEX(_xlfn.VSTACK(YES_Writing_ELA[#Data],YES_Writing_FLA[#Data]),MATCH($A564,_xlfn.VSTACK(YES_Writing_ELA[Student Number],YES_Writing_FLA[Student Number]),0),MATCH(VLOOKUP(H$7,'Writing Logic'!$J$7:$K$11,2,FALSE)&amp;" - Per "&amp;VLOOKUP($C$4,'Writing Logic'!$G$8:$H$14,2,FALSE),YES_Writing_ELA[#Headers],0))=0,"",INDEX(_xlfn.VSTACK(YES_Writing_ELA[#Data],YES_Writing_FLA[#Data]),MATCH($A564,_xlfn.VSTACK(YES_Writing_ELA[Student Number],YES_Writing_FLA[Student Number]),0),MATCH(VLOOKUP(H$7,'Writing Logic'!$J$7:$K$11,2,FALSE)&amp;" - Per "&amp;VLOOKUP($C$4,'Writing Logic'!$G$8:$H$14,2,FALSE),YES_Writing_ELA[#Headers],0)))="INS",'Writing Logic'!$B$7,IF(INDEX(_xlfn.VSTACK(YES_Writing_ELA[#Data],YES_Writing_FLA[#Data]),MATCH($A564,_xlfn.VSTACK(YES_Writing_ELA[Student Number],YES_Writing_FLA[Student Number]),0),MATCH(VLOOKUP(H$7,'Writing Logic'!$J$7:$K$11,2,FALSE)&amp;" - Per "&amp;VLOOKUP($C$4,'Writing Logic'!$G$8:$H$14,2,FALSE),YES_Writing_ELA[#Headers],0))=0,"",INDEX(_xlfn.VSTACK(YES_Writing_ELA[#Data],YES_Writing_FLA[#Data]),MATCH($A564,_xlfn.VSTACK(YES_Writing_ELA[Student Number],YES_Writing_FLA[Student Number]),0),MATCH(VLOOKUP(H$7,'Writing Logic'!$J$7:$K$11,2,FALSE)&amp;" - Per "&amp;VLOOKUP($C$4,'Writing Logic'!$G$8:$H$14,2,FALSE),YES_Writing_ELA[#Headers],0)))),"")</f>
        <v/>
      </c>
      <c r="I564" s="224" t="str" cm="1">
        <f t="array" aca="1" ref="I564" ca="1">IFERROR(
IF($G$3="ELA",
IF(VLOOKUP($A564, YES_Reading_ELA[], COLUMN(INDIRECT("YES_Reading_ELA[Difference - Per "&amp;VLOOKUP($G$4, 'Reading Report Logic'!$A$2:$B$8, 2, FALSE)&amp;"]")), FALSE)="", "",
VLOOKUP($A564,YES_Reading_ELA[], COLUMN(INDIRECT("YES_Reading_ELA[Difference - Per "&amp;VLOOKUP($G$4,'Reading Report Logic'!$A$2:$B$8,2,FALSE)&amp;"]")), FALSE)),
IF($G$3="FLA",
IF(VLOOKUP($A564, YES_Reading_FLA[], COLUMN(INDIRECT("YES_Reading_FLA[Difference - Per "&amp;VLOOKUP($G$4,'Reading Report Logic'!$A$2:$B$8,2,FALSE)&amp;"]")),FALSE)="","",
VLOOKUP($A564,YES_Reading_FLA[],COLUMN(INDIRECT("YES_Reading_FLA[Difference - Per "&amp;VLOOKUP($G$4,'Reading Report Logic'!$A$2:$B$8,2,FALSE)&amp;"]")),FALSE)),
IF($G$3="Combined",
IFERROR(
IF(VLOOKUP($A564, YES_Reading_ELA[], COLUMN(INDIRECT("YES_Reading_ELA[Difference - Per "&amp;VLOOKUP($G$4, 'Reading Report Logic'!$A$2:$B$8,2,FALSE)&amp;"]")), FALSE)="", "",
VLOOKUP($A564,YES_Reading_ELA[],COLUMN(INDIRECT("YES_Reading_ELA[Difference - Per "&amp;VLOOKUP($G$4,'Reading Report Logic'!$A$2:$B$8,2,FALSE)&amp;"]")),FALSE)),
IF(VLOOKUP($A564, YES_Reading_FLA[], COLUMN(INDIRECT("YES_Reading_FLA[Difference - Per "&amp;VLOOKUP($G$4, 'Reading Report Logic'!$A$2:$B$8, 2, FALSE)&amp;"]")),FALSE)="", "", VLOOKUP($A564,YES_Reading_FLA[],COLUMN(INDIRECT("YES_Reading_FLA[Difference - Per "&amp;VLOOKUP($G$4, 'Reading Report Logic'!$A$2:$B$8, 2, FALSE)&amp;"]")),FALSE))),""))),"")</f>
        <v/>
      </c>
    </row>
    <row r="565" spans="1:9" x14ac:dyDescent="0.25">
      <c r="A565" s="137"/>
      <c r="B565" s="137" t="str">
        <f>IFERROR(INDEX(_xlfn.VSTACK(YES_Writing_ELA[#Data], YES_Writing_FLA[#Data]),MATCH($A565,_xlfn.VSTACK(YES_Writing_ELA[Student Number], YES_Writing_FLA[Student Number]),0),MATCH(B$7,YES_Writing_ELA[#Headers],0)),IFERROR(INDEX(_xlfn.VSTACK(YES_Reading_ELA[#Data], YES_Reading_FLA[#Data]),MATCH($A565,_xlfn.VSTACK(YES_Reading_ELA[Student Number], YES_Reading_FLA[Student Number]),0),MATCH(B$7,YES_Reading_ELA[#Headers],0)),""))</f>
        <v/>
      </c>
      <c r="C565" s="137" t="str">
        <f>IFERROR(INDEX(_xlfn.VSTACK(YES_Writing_ELA[#Data], YES_Writing_FLA[#Data]),MATCH($A565,_xlfn.VSTACK(YES_Writing_ELA[Student Number], YES_Writing_FLA[Student Number]),0),MATCH(C$7,YES_Writing_ELA[#Headers],0)),IFERROR(INDEX(_xlfn.VSTACK(YES_Reading_ELA[#Data], YES_Reading_FLA[#Data]),MATCH($A565,_xlfn.VSTACK(YES_Reading_ELA[Student Number], YES_Reading_FLA[Student Number]),0),MATCH(C$7,YES_Reading_ELA[#Headers],0)),""))</f>
        <v/>
      </c>
      <c r="D565" s="138" t="str">
        <f>IFERROR(IF(IF(INDEX(_xlfn.VSTACK(YES_Writing_ELA[#Data],YES_Writing_FLA[#Data]),MATCH($A565,_xlfn.VSTACK(YES_Writing_ELA[Student Number],YES_Writing_FLA[Student Number]),0),MATCH(VLOOKUP(D$7,'Writing Logic'!$J$7:$K$11,2,FALSE)&amp;" - Per "&amp;VLOOKUP($C$4,'Writing Logic'!$G$8:$H$14,2,FALSE),YES_Writing_ELA[#Headers],0))=0,"",INDEX(_xlfn.VSTACK(YES_Writing_ELA[#Data],YES_Writing_FLA[#Data]),MATCH($A565,_xlfn.VSTACK(YES_Writing_ELA[Student Number],YES_Writing_FLA[Student Number]),0),MATCH(VLOOKUP(D$7,'Writing Logic'!$J$7:$K$11,2,FALSE)&amp;" - Per "&amp;VLOOKUP($C$4,'Writing Logic'!$G$8:$H$14,2,FALSE),YES_Writing_ELA[#Headers],0)))="INS",'Writing Logic'!$B$7,IF(INDEX(_xlfn.VSTACK(YES_Writing_ELA[#Data],YES_Writing_FLA[#Data]),MATCH($A565,_xlfn.VSTACK(YES_Writing_ELA[Student Number],YES_Writing_FLA[Student Number]),0),MATCH(VLOOKUP(D$7,'Writing Logic'!$J$7:$K$11,2,FALSE)&amp;" - Per "&amp;VLOOKUP($C$4,'Writing Logic'!$G$8:$H$14,2,FALSE),YES_Writing_ELA[#Headers],0))=0,"",INDEX(_xlfn.VSTACK(YES_Writing_ELA[#Data],YES_Writing_FLA[#Data]),MATCH($A565,_xlfn.VSTACK(YES_Writing_ELA[Student Number],YES_Writing_FLA[Student Number]),0),MATCH(VLOOKUP(D$7,'Writing Logic'!$J$7:$K$11,2,FALSE)&amp;" - Per "&amp;VLOOKUP($C$4,'Writing Logic'!$G$8:$H$14,2,FALSE),YES_Writing_ELA[#Headers],0)))),"")</f>
        <v/>
      </c>
      <c r="E565" s="138" t="str">
        <f>IFERROR(IF(IF(INDEX(_xlfn.VSTACK(YES_Writing_ELA[#Data],YES_Writing_FLA[#Data]),MATCH($A565,_xlfn.VSTACK(YES_Writing_ELA[Student Number],YES_Writing_FLA[Student Number]),0),MATCH(VLOOKUP(E$7,'Writing Logic'!$J$7:$K$11,2,FALSE)&amp;" - Per "&amp;VLOOKUP($C$4,'Writing Logic'!$G$8:$H$14,2,FALSE),YES_Writing_ELA[#Headers],0))=0,"",INDEX(_xlfn.VSTACK(YES_Writing_ELA[#Data],YES_Writing_FLA[#Data]),MATCH($A565,_xlfn.VSTACK(YES_Writing_ELA[Student Number],YES_Writing_FLA[Student Number]),0),MATCH(VLOOKUP(E$7,'Writing Logic'!$J$7:$K$11,2,FALSE)&amp;" - Per "&amp;VLOOKUP($C$4,'Writing Logic'!$G$8:$H$14,2,FALSE),YES_Writing_ELA[#Headers],0)))="INS",'Writing Logic'!$B$7,IF(INDEX(_xlfn.VSTACK(YES_Writing_ELA[#Data],YES_Writing_FLA[#Data]),MATCH($A565,_xlfn.VSTACK(YES_Writing_ELA[Student Number],YES_Writing_FLA[Student Number]),0),MATCH(VLOOKUP(E$7,'Writing Logic'!$J$7:$K$11,2,FALSE)&amp;" - Per "&amp;VLOOKUP($C$4,'Writing Logic'!$G$8:$H$14,2,FALSE),YES_Writing_ELA[#Headers],0))=0,"",INDEX(_xlfn.VSTACK(YES_Writing_ELA[#Data],YES_Writing_FLA[#Data]),MATCH($A565,_xlfn.VSTACK(YES_Writing_ELA[Student Number],YES_Writing_FLA[Student Number]),0),MATCH(VLOOKUP(E$7,'Writing Logic'!$J$7:$K$11,2,FALSE)&amp;" - Per "&amp;VLOOKUP($C$4,'Writing Logic'!$G$8:$H$14,2,FALSE),YES_Writing_ELA[#Headers],0)))),"")</f>
        <v/>
      </c>
      <c r="F565" s="138" t="str">
        <f>IFERROR(IF(IF(INDEX(_xlfn.VSTACK(YES_Writing_ELA[#Data],YES_Writing_FLA[#Data]),MATCH($A565,_xlfn.VSTACK(YES_Writing_ELA[Student Number],YES_Writing_FLA[Student Number]),0),MATCH(VLOOKUP(F$7,'Writing Logic'!$J$7:$K$11,2,FALSE)&amp;" - Per "&amp;VLOOKUP($C$4,'Writing Logic'!$G$8:$H$14,2,FALSE),YES_Writing_ELA[#Headers],0))=0,"",INDEX(_xlfn.VSTACK(YES_Writing_ELA[#Data],YES_Writing_FLA[#Data]),MATCH($A565,_xlfn.VSTACK(YES_Writing_ELA[Student Number],YES_Writing_FLA[Student Number]),0),MATCH(VLOOKUP(F$7,'Writing Logic'!$J$7:$K$11,2,FALSE)&amp;" - Per "&amp;VLOOKUP($C$4,'Writing Logic'!$G$8:$H$14,2,FALSE),YES_Writing_ELA[#Headers],0)))="INS",'Writing Logic'!$B$7,IF(INDEX(_xlfn.VSTACK(YES_Writing_ELA[#Data],YES_Writing_FLA[#Data]),MATCH($A565,_xlfn.VSTACK(YES_Writing_ELA[Student Number],YES_Writing_FLA[Student Number]),0),MATCH(VLOOKUP(F$7,'Writing Logic'!$J$7:$K$11,2,FALSE)&amp;" - Per "&amp;VLOOKUP($C$4,'Writing Logic'!$G$8:$H$14,2,FALSE),YES_Writing_ELA[#Headers],0))=0,"",INDEX(_xlfn.VSTACK(YES_Writing_ELA[#Data],YES_Writing_FLA[#Data]),MATCH($A565,_xlfn.VSTACK(YES_Writing_ELA[Student Number],YES_Writing_FLA[Student Number]),0),MATCH(VLOOKUP(F$7,'Writing Logic'!$J$7:$K$11,2,FALSE)&amp;" - Per "&amp;VLOOKUP($C$4,'Writing Logic'!$G$8:$H$14,2,FALSE),YES_Writing_ELA[#Headers],0)))),"")</f>
        <v/>
      </c>
      <c r="G565" s="138" t="str">
        <f>IFERROR(IF(IF(INDEX(_xlfn.VSTACK(YES_Writing_ELA[#Data],YES_Writing_FLA[#Data]),MATCH($A565,_xlfn.VSTACK(YES_Writing_ELA[Student Number],YES_Writing_FLA[Student Number]),0),MATCH(VLOOKUP(G$7,'Writing Logic'!$J$7:$K$11,2,FALSE)&amp;" - Per "&amp;VLOOKUP($C$4,'Writing Logic'!$G$8:$H$14,2,FALSE),YES_Writing_ELA[#Headers],0))=0,"",INDEX(_xlfn.VSTACK(YES_Writing_ELA[#Data],YES_Writing_FLA[#Data]),MATCH($A565,_xlfn.VSTACK(YES_Writing_ELA[Student Number],YES_Writing_FLA[Student Number]),0),MATCH(VLOOKUP(G$7,'Writing Logic'!$J$7:$K$11,2,FALSE)&amp;" - Per "&amp;VLOOKUP($C$4,'Writing Logic'!$G$8:$H$14,2,FALSE),YES_Writing_ELA[#Headers],0)))="INS",'Writing Logic'!$B$7,IF(INDEX(_xlfn.VSTACK(YES_Writing_ELA[#Data],YES_Writing_FLA[#Data]),MATCH($A565,_xlfn.VSTACK(YES_Writing_ELA[Student Number],YES_Writing_FLA[Student Number]),0),MATCH(VLOOKUP(G$7,'Writing Logic'!$J$7:$K$11,2,FALSE)&amp;" - Per "&amp;VLOOKUP($C$4,'Writing Logic'!$G$8:$H$14,2,FALSE),YES_Writing_ELA[#Headers],0))=0,"",INDEX(_xlfn.VSTACK(YES_Writing_ELA[#Data],YES_Writing_FLA[#Data]),MATCH($A565,_xlfn.VSTACK(YES_Writing_ELA[Student Number],YES_Writing_FLA[Student Number]),0),MATCH(VLOOKUP(G$7,'Writing Logic'!$J$7:$K$11,2,FALSE)&amp;" - Per "&amp;VLOOKUP($C$4,'Writing Logic'!$G$8:$H$14,2,FALSE),YES_Writing_ELA[#Headers],0)))),"")</f>
        <v/>
      </c>
      <c r="H565" s="223" t="str">
        <f>IFERROR(IF(IF(INDEX(_xlfn.VSTACK(YES_Writing_ELA[#Data],YES_Writing_FLA[#Data]),MATCH($A565,_xlfn.VSTACK(YES_Writing_ELA[Student Number],YES_Writing_FLA[Student Number]),0),MATCH(VLOOKUP(H$7,'Writing Logic'!$J$7:$K$11,2,FALSE)&amp;" - Per "&amp;VLOOKUP($C$4,'Writing Logic'!$G$8:$H$14,2,FALSE),YES_Writing_ELA[#Headers],0))=0,"",INDEX(_xlfn.VSTACK(YES_Writing_ELA[#Data],YES_Writing_FLA[#Data]),MATCH($A565,_xlfn.VSTACK(YES_Writing_ELA[Student Number],YES_Writing_FLA[Student Number]),0),MATCH(VLOOKUP(H$7,'Writing Logic'!$J$7:$K$11,2,FALSE)&amp;" - Per "&amp;VLOOKUP($C$4,'Writing Logic'!$G$8:$H$14,2,FALSE),YES_Writing_ELA[#Headers],0)))="INS",'Writing Logic'!$B$7,IF(INDEX(_xlfn.VSTACK(YES_Writing_ELA[#Data],YES_Writing_FLA[#Data]),MATCH($A565,_xlfn.VSTACK(YES_Writing_ELA[Student Number],YES_Writing_FLA[Student Number]),0),MATCH(VLOOKUP(H$7,'Writing Logic'!$J$7:$K$11,2,FALSE)&amp;" - Per "&amp;VLOOKUP($C$4,'Writing Logic'!$G$8:$H$14,2,FALSE),YES_Writing_ELA[#Headers],0))=0,"",INDEX(_xlfn.VSTACK(YES_Writing_ELA[#Data],YES_Writing_FLA[#Data]),MATCH($A565,_xlfn.VSTACK(YES_Writing_ELA[Student Number],YES_Writing_FLA[Student Number]),0),MATCH(VLOOKUP(H$7,'Writing Logic'!$J$7:$K$11,2,FALSE)&amp;" - Per "&amp;VLOOKUP($C$4,'Writing Logic'!$G$8:$H$14,2,FALSE),YES_Writing_ELA[#Headers],0)))),"")</f>
        <v/>
      </c>
      <c r="I565" s="224" t="str" cm="1">
        <f t="array" aca="1" ref="I565" ca="1">IFERROR(
IF($G$3="ELA",
IF(VLOOKUP($A565, YES_Reading_ELA[], COLUMN(INDIRECT("YES_Reading_ELA[Difference - Per "&amp;VLOOKUP($G$4, 'Reading Report Logic'!$A$2:$B$8, 2, FALSE)&amp;"]")), FALSE)="", "",
VLOOKUP($A565,YES_Reading_ELA[], COLUMN(INDIRECT("YES_Reading_ELA[Difference - Per "&amp;VLOOKUP($G$4,'Reading Report Logic'!$A$2:$B$8,2,FALSE)&amp;"]")), FALSE)),
IF($G$3="FLA",
IF(VLOOKUP($A565, YES_Reading_FLA[], COLUMN(INDIRECT("YES_Reading_FLA[Difference - Per "&amp;VLOOKUP($G$4,'Reading Report Logic'!$A$2:$B$8,2,FALSE)&amp;"]")),FALSE)="","",
VLOOKUP($A565,YES_Reading_FLA[],COLUMN(INDIRECT("YES_Reading_FLA[Difference - Per "&amp;VLOOKUP($G$4,'Reading Report Logic'!$A$2:$B$8,2,FALSE)&amp;"]")),FALSE)),
IF($G$3="Combined",
IFERROR(
IF(VLOOKUP($A565, YES_Reading_ELA[], COLUMN(INDIRECT("YES_Reading_ELA[Difference - Per "&amp;VLOOKUP($G$4, 'Reading Report Logic'!$A$2:$B$8,2,FALSE)&amp;"]")), FALSE)="", "",
VLOOKUP($A565,YES_Reading_ELA[],COLUMN(INDIRECT("YES_Reading_ELA[Difference - Per "&amp;VLOOKUP($G$4,'Reading Report Logic'!$A$2:$B$8,2,FALSE)&amp;"]")),FALSE)),
IF(VLOOKUP($A565, YES_Reading_FLA[], COLUMN(INDIRECT("YES_Reading_FLA[Difference - Per "&amp;VLOOKUP($G$4, 'Reading Report Logic'!$A$2:$B$8, 2, FALSE)&amp;"]")),FALSE)="", "", VLOOKUP($A565,YES_Reading_FLA[],COLUMN(INDIRECT("YES_Reading_FLA[Difference - Per "&amp;VLOOKUP($G$4, 'Reading Report Logic'!$A$2:$B$8, 2, FALSE)&amp;"]")),FALSE))),""))),"")</f>
        <v/>
      </c>
    </row>
    <row r="566" spans="1:9" x14ac:dyDescent="0.25">
      <c r="A566" s="137"/>
      <c r="B566" s="137" t="str">
        <f>IFERROR(INDEX(_xlfn.VSTACK(YES_Writing_ELA[#Data], YES_Writing_FLA[#Data]),MATCH($A566,_xlfn.VSTACK(YES_Writing_ELA[Student Number], YES_Writing_FLA[Student Number]),0),MATCH(B$7,YES_Writing_ELA[#Headers],0)),IFERROR(INDEX(_xlfn.VSTACK(YES_Reading_ELA[#Data], YES_Reading_FLA[#Data]),MATCH($A566,_xlfn.VSTACK(YES_Reading_ELA[Student Number], YES_Reading_FLA[Student Number]),0),MATCH(B$7,YES_Reading_ELA[#Headers],0)),""))</f>
        <v/>
      </c>
      <c r="C566" s="137" t="str">
        <f>IFERROR(INDEX(_xlfn.VSTACK(YES_Writing_ELA[#Data], YES_Writing_FLA[#Data]),MATCH($A566,_xlfn.VSTACK(YES_Writing_ELA[Student Number], YES_Writing_FLA[Student Number]),0),MATCH(C$7,YES_Writing_ELA[#Headers],0)),IFERROR(INDEX(_xlfn.VSTACK(YES_Reading_ELA[#Data], YES_Reading_FLA[#Data]),MATCH($A566,_xlfn.VSTACK(YES_Reading_ELA[Student Number], YES_Reading_FLA[Student Number]),0),MATCH(C$7,YES_Reading_ELA[#Headers],0)),""))</f>
        <v/>
      </c>
      <c r="D566" s="138" t="str">
        <f>IFERROR(IF(IF(INDEX(_xlfn.VSTACK(YES_Writing_ELA[#Data],YES_Writing_FLA[#Data]),MATCH($A566,_xlfn.VSTACK(YES_Writing_ELA[Student Number],YES_Writing_FLA[Student Number]),0),MATCH(VLOOKUP(D$7,'Writing Logic'!$J$7:$K$11,2,FALSE)&amp;" - Per "&amp;VLOOKUP($C$4,'Writing Logic'!$G$8:$H$14,2,FALSE),YES_Writing_ELA[#Headers],0))=0,"",INDEX(_xlfn.VSTACK(YES_Writing_ELA[#Data],YES_Writing_FLA[#Data]),MATCH($A566,_xlfn.VSTACK(YES_Writing_ELA[Student Number],YES_Writing_FLA[Student Number]),0),MATCH(VLOOKUP(D$7,'Writing Logic'!$J$7:$K$11,2,FALSE)&amp;" - Per "&amp;VLOOKUP($C$4,'Writing Logic'!$G$8:$H$14,2,FALSE),YES_Writing_ELA[#Headers],0)))="INS",'Writing Logic'!$B$7,IF(INDEX(_xlfn.VSTACK(YES_Writing_ELA[#Data],YES_Writing_FLA[#Data]),MATCH($A566,_xlfn.VSTACK(YES_Writing_ELA[Student Number],YES_Writing_FLA[Student Number]),0),MATCH(VLOOKUP(D$7,'Writing Logic'!$J$7:$K$11,2,FALSE)&amp;" - Per "&amp;VLOOKUP($C$4,'Writing Logic'!$G$8:$H$14,2,FALSE),YES_Writing_ELA[#Headers],0))=0,"",INDEX(_xlfn.VSTACK(YES_Writing_ELA[#Data],YES_Writing_FLA[#Data]),MATCH($A566,_xlfn.VSTACK(YES_Writing_ELA[Student Number],YES_Writing_FLA[Student Number]),0),MATCH(VLOOKUP(D$7,'Writing Logic'!$J$7:$K$11,2,FALSE)&amp;" - Per "&amp;VLOOKUP($C$4,'Writing Logic'!$G$8:$H$14,2,FALSE),YES_Writing_ELA[#Headers],0)))),"")</f>
        <v/>
      </c>
      <c r="E566" s="138" t="str">
        <f>IFERROR(IF(IF(INDEX(_xlfn.VSTACK(YES_Writing_ELA[#Data],YES_Writing_FLA[#Data]),MATCH($A566,_xlfn.VSTACK(YES_Writing_ELA[Student Number],YES_Writing_FLA[Student Number]),0),MATCH(VLOOKUP(E$7,'Writing Logic'!$J$7:$K$11,2,FALSE)&amp;" - Per "&amp;VLOOKUP($C$4,'Writing Logic'!$G$8:$H$14,2,FALSE),YES_Writing_ELA[#Headers],0))=0,"",INDEX(_xlfn.VSTACK(YES_Writing_ELA[#Data],YES_Writing_FLA[#Data]),MATCH($A566,_xlfn.VSTACK(YES_Writing_ELA[Student Number],YES_Writing_FLA[Student Number]),0),MATCH(VLOOKUP(E$7,'Writing Logic'!$J$7:$K$11,2,FALSE)&amp;" - Per "&amp;VLOOKUP($C$4,'Writing Logic'!$G$8:$H$14,2,FALSE),YES_Writing_ELA[#Headers],0)))="INS",'Writing Logic'!$B$7,IF(INDEX(_xlfn.VSTACK(YES_Writing_ELA[#Data],YES_Writing_FLA[#Data]),MATCH($A566,_xlfn.VSTACK(YES_Writing_ELA[Student Number],YES_Writing_FLA[Student Number]),0),MATCH(VLOOKUP(E$7,'Writing Logic'!$J$7:$K$11,2,FALSE)&amp;" - Per "&amp;VLOOKUP($C$4,'Writing Logic'!$G$8:$H$14,2,FALSE),YES_Writing_ELA[#Headers],0))=0,"",INDEX(_xlfn.VSTACK(YES_Writing_ELA[#Data],YES_Writing_FLA[#Data]),MATCH($A566,_xlfn.VSTACK(YES_Writing_ELA[Student Number],YES_Writing_FLA[Student Number]),0),MATCH(VLOOKUP(E$7,'Writing Logic'!$J$7:$K$11,2,FALSE)&amp;" - Per "&amp;VLOOKUP($C$4,'Writing Logic'!$G$8:$H$14,2,FALSE),YES_Writing_ELA[#Headers],0)))),"")</f>
        <v/>
      </c>
      <c r="F566" s="138" t="str">
        <f>IFERROR(IF(IF(INDEX(_xlfn.VSTACK(YES_Writing_ELA[#Data],YES_Writing_FLA[#Data]),MATCH($A566,_xlfn.VSTACK(YES_Writing_ELA[Student Number],YES_Writing_FLA[Student Number]),0),MATCH(VLOOKUP(F$7,'Writing Logic'!$J$7:$K$11,2,FALSE)&amp;" - Per "&amp;VLOOKUP($C$4,'Writing Logic'!$G$8:$H$14,2,FALSE),YES_Writing_ELA[#Headers],0))=0,"",INDEX(_xlfn.VSTACK(YES_Writing_ELA[#Data],YES_Writing_FLA[#Data]),MATCH($A566,_xlfn.VSTACK(YES_Writing_ELA[Student Number],YES_Writing_FLA[Student Number]),0),MATCH(VLOOKUP(F$7,'Writing Logic'!$J$7:$K$11,2,FALSE)&amp;" - Per "&amp;VLOOKUP($C$4,'Writing Logic'!$G$8:$H$14,2,FALSE),YES_Writing_ELA[#Headers],0)))="INS",'Writing Logic'!$B$7,IF(INDEX(_xlfn.VSTACK(YES_Writing_ELA[#Data],YES_Writing_FLA[#Data]),MATCH($A566,_xlfn.VSTACK(YES_Writing_ELA[Student Number],YES_Writing_FLA[Student Number]),0),MATCH(VLOOKUP(F$7,'Writing Logic'!$J$7:$K$11,2,FALSE)&amp;" - Per "&amp;VLOOKUP($C$4,'Writing Logic'!$G$8:$H$14,2,FALSE),YES_Writing_ELA[#Headers],0))=0,"",INDEX(_xlfn.VSTACK(YES_Writing_ELA[#Data],YES_Writing_FLA[#Data]),MATCH($A566,_xlfn.VSTACK(YES_Writing_ELA[Student Number],YES_Writing_FLA[Student Number]),0),MATCH(VLOOKUP(F$7,'Writing Logic'!$J$7:$K$11,2,FALSE)&amp;" - Per "&amp;VLOOKUP($C$4,'Writing Logic'!$G$8:$H$14,2,FALSE),YES_Writing_ELA[#Headers],0)))),"")</f>
        <v/>
      </c>
      <c r="G566" s="138" t="str">
        <f>IFERROR(IF(IF(INDEX(_xlfn.VSTACK(YES_Writing_ELA[#Data],YES_Writing_FLA[#Data]),MATCH($A566,_xlfn.VSTACK(YES_Writing_ELA[Student Number],YES_Writing_FLA[Student Number]),0),MATCH(VLOOKUP(G$7,'Writing Logic'!$J$7:$K$11,2,FALSE)&amp;" - Per "&amp;VLOOKUP($C$4,'Writing Logic'!$G$8:$H$14,2,FALSE),YES_Writing_ELA[#Headers],0))=0,"",INDEX(_xlfn.VSTACK(YES_Writing_ELA[#Data],YES_Writing_FLA[#Data]),MATCH($A566,_xlfn.VSTACK(YES_Writing_ELA[Student Number],YES_Writing_FLA[Student Number]),0),MATCH(VLOOKUP(G$7,'Writing Logic'!$J$7:$K$11,2,FALSE)&amp;" - Per "&amp;VLOOKUP($C$4,'Writing Logic'!$G$8:$H$14,2,FALSE),YES_Writing_ELA[#Headers],0)))="INS",'Writing Logic'!$B$7,IF(INDEX(_xlfn.VSTACK(YES_Writing_ELA[#Data],YES_Writing_FLA[#Data]),MATCH($A566,_xlfn.VSTACK(YES_Writing_ELA[Student Number],YES_Writing_FLA[Student Number]),0),MATCH(VLOOKUP(G$7,'Writing Logic'!$J$7:$K$11,2,FALSE)&amp;" - Per "&amp;VLOOKUP($C$4,'Writing Logic'!$G$8:$H$14,2,FALSE),YES_Writing_ELA[#Headers],0))=0,"",INDEX(_xlfn.VSTACK(YES_Writing_ELA[#Data],YES_Writing_FLA[#Data]),MATCH($A566,_xlfn.VSTACK(YES_Writing_ELA[Student Number],YES_Writing_FLA[Student Number]),0),MATCH(VLOOKUP(G$7,'Writing Logic'!$J$7:$K$11,2,FALSE)&amp;" - Per "&amp;VLOOKUP($C$4,'Writing Logic'!$G$8:$H$14,2,FALSE),YES_Writing_ELA[#Headers],0)))),"")</f>
        <v/>
      </c>
      <c r="H566" s="223" t="str">
        <f>IFERROR(IF(IF(INDEX(_xlfn.VSTACK(YES_Writing_ELA[#Data],YES_Writing_FLA[#Data]),MATCH($A566,_xlfn.VSTACK(YES_Writing_ELA[Student Number],YES_Writing_FLA[Student Number]),0),MATCH(VLOOKUP(H$7,'Writing Logic'!$J$7:$K$11,2,FALSE)&amp;" - Per "&amp;VLOOKUP($C$4,'Writing Logic'!$G$8:$H$14,2,FALSE),YES_Writing_ELA[#Headers],0))=0,"",INDEX(_xlfn.VSTACK(YES_Writing_ELA[#Data],YES_Writing_FLA[#Data]),MATCH($A566,_xlfn.VSTACK(YES_Writing_ELA[Student Number],YES_Writing_FLA[Student Number]),0),MATCH(VLOOKUP(H$7,'Writing Logic'!$J$7:$K$11,2,FALSE)&amp;" - Per "&amp;VLOOKUP($C$4,'Writing Logic'!$G$8:$H$14,2,FALSE),YES_Writing_ELA[#Headers],0)))="INS",'Writing Logic'!$B$7,IF(INDEX(_xlfn.VSTACK(YES_Writing_ELA[#Data],YES_Writing_FLA[#Data]),MATCH($A566,_xlfn.VSTACK(YES_Writing_ELA[Student Number],YES_Writing_FLA[Student Number]),0),MATCH(VLOOKUP(H$7,'Writing Logic'!$J$7:$K$11,2,FALSE)&amp;" - Per "&amp;VLOOKUP($C$4,'Writing Logic'!$G$8:$H$14,2,FALSE),YES_Writing_ELA[#Headers],0))=0,"",INDEX(_xlfn.VSTACK(YES_Writing_ELA[#Data],YES_Writing_FLA[#Data]),MATCH($A566,_xlfn.VSTACK(YES_Writing_ELA[Student Number],YES_Writing_FLA[Student Number]),0),MATCH(VLOOKUP(H$7,'Writing Logic'!$J$7:$K$11,2,FALSE)&amp;" - Per "&amp;VLOOKUP($C$4,'Writing Logic'!$G$8:$H$14,2,FALSE),YES_Writing_ELA[#Headers],0)))),"")</f>
        <v/>
      </c>
      <c r="I566" s="224" t="str" cm="1">
        <f t="array" aca="1" ref="I566" ca="1">IFERROR(
IF($G$3="ELA",
IF(VLOOKUP($A566, YES_Reading_ELA[], COLUMN(INDIRECT("YES_Reading_ELA[Difference - Per "&amp;VLOOKUP($G$4, 'Reading Report Logic'!$A$2:$B$8, 2, FALSE)&amp;"]")), FALSE)="", "",
VLOOKUP($A566,YES_Reading_ELA[], COLUMN(INDIRECT("YES_Reading_ELA[Difference - Per "&amp;VLOOKUP($G$4,'Reading Report Logic'!$A$2:$B$8,2,FALSE)&amp;"]")), FALSE)),
IF($G$3="FLA",
IF(VLOOKUP($A566, YES_Reading_FLA[], COLUMN(INDIRECT("YES_Reading_FLA[Difference - Per "&amp;VLOOKUP($G$4,'Reading Report Logic'!$A$2:$B$8,2,FALSE)&amp;"]")),FALSE)="","",
VLOOKUP($A566,YES_Reading_FLA[],COLUMN(INDIRECT("YES_Reading_FLA[Difference - Per "&amp;VLOOKUP($G$4,'Reading Report Logic'!$A$2:$B$8,2,FALSE)&amp;"]")),FALSE)),
IF($G$3="Combined",
IFERROR(
IF(VLOOKUP($A566, YES_Reading_ELA[], COLUMN(INDIRECT("YES_Reading_ELA[Difference - Per "&amp;VLOOKUP($G$4, 'Reading Report Logic'!$A$2:$B$8,2,FALSE)&amp;"]")), FALSE)="", "",
VLOOKUP($A566,YES_Reading_ELA[],COLUMN(INDIRECT("YES_Reading_ELA[Difference - Per "&amp;VLOOKUP($G$4,'Reading Report Logic'!$A$2:$B$8,2,FALSE)&amp;"]")),FALSE)),
IF(VLOOKUP($A566, YES_Reading_FLA[], COLUMN(INDIRECT("YES_Reading_FLA[Difference - Per "&amp;VLOOKUP($G$4, 'Reading Report Logic'!$A$2:$B$8, 2, FALSE)&amp;"]")),FALSE)="", "", VLOOKUP($A566,YES_Reading_FLA[],COLUMN(INDIRECT("YES_Reading_FLA[Difference - Per "&amp;VLOOKUP($G$4, 'Reading Report Logic'!$A$2:$B$8, 2, FALSE)&amp;"]")),FALSE))),""))),"")</f>
        <v/>
      </c>
    </row>
    <row r="567" spans="1:9" x14ac:dyDescent="0.25">
      <c r="A567" s="137"/>
      <c r="B567" s="137" t="str">
        <f>IFERROR(INDEX(_xlfn.VSTACK(YES_Writing_ELA[#Data], YES_Writing_FLA[#Data]),MATCH($A567,_xlfn.VSTACK(YES_Writing_ELA[Student Number], YES_Writing_FLA[Student Number]),0),MATCH(B$7,YES_Writing_ELA[#Headers],0)),IFERROR(INDEX(_xlfn.VSTACK(YES_Reading_ELA[#Data], YES_Reading_FLA[#Data]),MATCH($A567,_xlfn.VSTACK(YES_Reading_ELA[Student Number], YES_Reading_FLA[Student Number]),0),MATCH(B$7,YES_Reading_ELA[#Headers],0)),""))</f>
        <v/>
      </c>
      <c r="C567" s="137" t="str">
        <f>IFERROR(INDEX(_xlfn.VSTACK(YES_Writing_ELA[#Data], YES_Writing_FLA[#Data]),MATCH($A567,_xlfn.VSTACK(YES_Writing_ELA[Student Number], YES_Writing_FLA[Student Number]),0),MATCH(C$7,YES_Writing_ELA[#Headers],0)),IFERROR(INDEX(_xlfn.VSTACK(YES_Reading_ELA[#Data], YES_Reading_FLA[#Data]),MATCH($A567,_xlfn.VSTACK(YES_Reading_ELA[Student Number], YES_Reading_FLA[Student Number]),0),MATCH(C$7,YES_Reading_ELA[#Headers],0)),""))</f>
        <v/>
      </c>
      <c r="D567" s="138" t="str">
        <f>IFERROR(IF(IF(INDEX(_xlfn.VSTACK(YES_Writing_ELA[#Data],YES_Writing_FLA[#Data]),MATCH($A567,_xlfn.VSTACK(YES_Writing_ELA[Student Number],YES_Writing_FLA[Student Number]),0),MATCH(VLOOKUP(D$7,'Writing Logic'!$J$7:$K$11,2,FALSE)&amp;" - Per "&amp;VLOOKUP($C$4,'Writing Logic'!$G$8:$H$14,2,FALSE),YES_Writing_ELA[#Headers],0))=0,"",INDEX(_xlfn.VSTACK(YES_Writing_ELA[#Data],YES_Writing_FLA[#Data]),MATCH($A567,_xlfn.VSTACK(YES_Writing_ELA[Student Number],YES_Writing_FLA[Student Number]),0),MATCH(VLOOKUP(D$7,'Writing Logic'!$J$7:$K$11,2,FALSE)&amp;" - Per "&amp;VLOOKUP($C$4,'Writing Logic'!$G$8:$H$14,2,FALSE),YES_Writing_ELA[#Headers],0)))="INS",'Writing Logic'!$B$7,IF(INDEX(_xlfn.VSTACK(YES_Writing_ELA[#Data],YES_Writing_FLA[#Data]),MATCH($A567,_xlfn.VSTACK(YES_Writing_ELA[Student Number],YES_Writing_FLA[Student Number]),0),MATCH(VLOOKUP(D$7,'Writing Logic'!$J$7:$K$11,2,FALSE)&amp;" - Per "&amp;VLOOKUP($C$4,'Writing Logic'!$G$8:$H$14,2,FALSE),YES_Writing_ELA[#Headers],0))=0,"",INDEX(_xlfn.VSTACK(YES_Writing_ELA[#Data],YES_Writing_FLA[#Data]),MATCH($A567,_xlfn.VSTACK(YES_Writing_ELA[Student Number],YES_Writing_FLA[Student Number]),0),MATCH(VLOOKUP(D$7,'Writing Logic'!$J$7:$K$11,2,FALSE)&amp;" - Per "&amp;VLOOKUP($C$4,'Writing Logic'!$G$8:$H$14,2,FALSE),YES_Writing_ELA[#Headers],0)))),"")</f>
        <v/>
      </c>
      <c r="E567" s="138" t="str">
        <f>IFERROR(IF(IF(INDEX(_xlfn.VSTACK(YES_Writing_ELA[#Data],YES_Writing_FLA[#Data]),MATCH($A567,_xlfn.VSTACK(YES_Writing_ELA[Student Number],YES_Writing_FLA[Student Number]),0),MATCH(VLOOKUP(E$7,'Writing Logic'!$J$7:$K$11,2,FALSE)&amp;" - Per "&amp;VLOOKUP($C$4,'Writing Logic'!$G$8:$H$14,2,FALSE),YES_Writing_ELA[#Headers],0))=0,"",INDEX(_xlfn.VSTACK(YES_Writing_ELA[#Data],YES_Writing_FLA[#Data]),MATCH($A567,_xlfn.VSTACK(YES_Writing_ELA[Student Number],YES_Writing_FLA[Student Number]),0),MATCH(VLOOKUP(E$7,'Writing Logic'!$J$7:$K$11,2,FALSE)&amp;" - Per "&amp;VLOOKUP($C$4,'Writing Logic'!$G$8:$H$14,2,FALSE),YES_Writing_ELA[#Headers],0)))="INS",'Writing Logic'!$B$7,IF(INDEX(_xlfn.VSTACK(YES_Writing_ELA[#Data],YES_Writing_FLA[#Data]),MATCH($A567,_xlfn.VSTACK(YES_Writing_ELA[Student Number],YES_Writing_FLA[Student Number]),0),MATCH(VLOOKUP(E$7,'Writing Logic'!$J$7:$K$11,2,FALSE)&amp;" - Per "&amp;VLOOKUP($C$4,'Writing Logic'!$G$8:$H$14,2,FALSE),YES_Writing_ELA[#Headers],0))=0,"",INDEX(_xlfn.VSTACK(YES_Writing_ELA[#Data],YES_Writing_FLA[#Data]),MATCH($A567,_xlfn.VSTACK(YES_Writing_ELA[Student Number],YES_Writing_FLA[Student Number]),0),MATCH(VLOOKUP(E$7,'Writing Logic'!$J$7:$K$11,2,FALSE)&amp;" - Per "&amp;VLOOKUP($C$4,'Writing Logic'!$G$8:$H$14,2,FALSE),YES_Writing_ELA[#Headers],0)))),"")</f>
        <v/>
      </c>
      <c r="F567" s="138" t="str">
        <f>IFERROR(IF(IF(INDEX(_xlfn.VSTACK(YES_Writing_ELA[#Data],YES_Writing_FLA[#Data]),MATCH($A567,_xlfn.VSTACK(YES_Writing_ELA[Student Number],YES_Writing_FLA[Student Number]),0),MATCH(VLOOKUP(F$7,'Writing Logic'!$J$7:$K$11,2,FALSE)&amp;" - Per "&amp;VLOOKUP($C$4,'Writing Logic'!$G$8:$H$14,2,FALSE),YES_Writing_ELA[#Headers],0))=0,"",INDEX(_xlfn.VSTACK(YES_Writing_ELA[#Data],YES_Writing_FLA[#Data]),MATCH($A567,_xlfn.VSTACK(YES_Writing_ELA[Student Number],YES_Writing_FLA[Student Number]),0),MATCH(VLOOKUP(F$7,'Writing Logic'!$J$7:$K$11,2,FALSE)&amp;" - Per "&amp;VLOOKUP($C$4,'Writing Logic'!$G$8:$H$14,2,FALSE),YES_Writing_ELA[#Headers],0)))="INS",'Writing Logic'!$B$7,IF(INDEX(_xlfn.VSTACK(YES_Writing_ELA[#Data],YES_Writing_FLA[#Data]),MATCH($A567,_xlfn.VSTACK(YES_Writing_ELA[Student Number],YES_Writing_FLA[Student Number]),0),MATCH(VLOOKUP(F$7,'Writing Logic'!$J$7:$K$11,2,FALSE)&amp;" - Per "&amp;VLOOKUP($C$4,'Writing Logic'!$G$8:$H$14,2,FALSE),YES_Writing_ELA[#Headers],0))=0,"",INDEX(_xlfn.VSTACK(YES_Writing_ELA[#Data],YES_Writing_FLA[#Data]),MATCH($A567,_xlfn.VSTACK(YES_Writing_ELA[Student Number],YES_Writing_FLA[Student Number]),0),MATCH(VLOOKUP(F$7,'Writing Logic'!$J$7:$K$11,2,FALSE)&amp;" - Per "&amp;VLOOKUP($C$4,'Writing Logic'!$G$8:$H$14,2,FALSE),YES_Writing_ELA[#Headers],0)))),"")</f>
        <v/>
      </c>
      <c r="G567" s="138" t="str">
        <f>IFERROR(IF(IF(INDEX(_xlfn.VSTACK(YES_Writing_ELA[#Data],YES_Writing_FLA[#Data]),MATCH($A567,_xlfn.VSTACK(YES_Writing_ELA[Student Number],YES_Writing_FLA[Student Number]),0),MATCH(VLOOKUP(G$7,'Writing Logic'!$J$7:$K$11,2,FALSE)&amp;" - Per "&amp;VLOOKUP($C$4,'Writing Logic'!$G$8:$H$14,2,FALSE),YES_Writing_ELA[#Headers],0))=0,"",INDEX(_xlfn.VSTACK(YES_Writing_ELA[#Data],YES_Writing_FLA[#Data]),MATCH($A567,_xlfn.VSTACK(YES_Writing_ELA[Student Number],YES_Writing_FLA[Student Number]),0),MATCH(VLOOKUP(G$7,'Writing Logic'!$J$7:$K$11,2,FALSE)&amp;" - Per "&amp;VLOOKUP($C$4,'Writing Logic'!$G$8:$H$14,2,FALSE),YES_Writing_ELA[#Headers],0)))="INS",'Writing Logic'!$B$7,IF(INDEX(_xlfn.VSTACK(YES_Writing_ELA[#Data],YES_Writing_FLA[#Data]),MATCH($A567,_xlfn.VSTACK(YES_Writing_ELA[Student Number],YES_Writing_FLA[Student Number]),0),MATCH(VLOOKUP(G$7,'Writing Logic'!$J$7:$K$11,2,FALSE)&amp;" - Per "&amp;VLOOKUP($C$4,'Writing Logic'!$G$8:$H$14,2,FALSE),YES_Writing_ELA[#Headers],0))=0,"",INDEX(_xlfn.VSTACK(YES_Writing_ELA[#Data],YES_Writing_FLA[#Data]),MATCH($A567,_xlfn.VSTACK(YES_Writing_ELA[Student Number],YES_Writing_FLA[Student Number]),0),MATCH(VLOOKUP(G$7,'Writing Logic'!$J$7:$K$11,2,FALSE)&amp;" - Per "&amp;VLOOKUP($C$4,'Writing Logic'!$G$8:$H$14,2,FALSE),YES_Writing_ELA[#Headers],0)))),"")</f>
        <v/>
      </c>
      <c r="H567" s="223" t="str">
        <f>IFERROR(IF(IF(INDEX(_xlfn.VSTACK(YES_Writing_ELA[#Data],YES_Writing_FLA[#Data]),MATCH($A567,_xlfn.VSTACK(YES_Writing_ELA[Student Number],YES_Writing_FLA[Student Number]),0),MATCH(VLOOKUP(H$7,'Writing Logic'!$J$7:$K$11,2,FALSE)&amp;" - Per "&amp;VLOOKUP($C$4,'Writing Logic'!$G$8:$H$14,2,FALSE),YES_Writing_ELA[#Headers],0))=0,"",INDEX(_xlfn.VSTACK(YES_Writing_ELA[#Data],YES_Writing_FLA[#Data]),MATCH($A567,_xlfn.VSTACK(YES_Writing_ELA[Student Number],YES_Writing_FLA[Student Number]),0),MATCH(VLOOKUP(H$7,'Writing Logic'!$J$7:$K$11,2,FALSE)&amp;" - Per "&amp;VLOOKUP($C$4,'Writing Logic'!$G$8:$H$14,2,FALSE),YES_Writing_ELA[#Headers],0)))="INS",'Writing Logic'!$B$7,IF(INDEX(_xlfn.VSTACK(YES_Writing_ELA[#Data],YES_Writing_FLA[#Data]),MATCH($A567,_xlfn.VSTACK(YES_Writing_ELA[Student Number],YES_Writing_FLA[Student Number]),0),MATCH(VLOOKUP(H$7,'Writing Logic'!$J$7:$K$11,2,FALSE)&amp;" - Per "&amp;VLOOKUP($C$4,'Writing Logic'!$G$8:$H$14,2,FALSE),YES_Writing_ELA[#Headers],0))=0,"",INDEX(_xlfn.VSTACK(YES_Writing_ELA[#Data],YES_Writing_FLA[#Data]),MATCH($A567,_xlfn.VSTACK(YES_Writing_ELA[Student Number],YES_Writing_FLA[Student Number]),0),MATCH(VLOOKUP(H$7,'Writing Logic'!$J$7:$K$11,2,FALSE)&amp;" - Per "&amp;VLOOKUP($C$4,'Writing Logic'!$G$8:$H$14,2,FALSE),YES_Writing_ELA[#Headers],0)))),"")</f>
        <v/>
      </c>
      <c r="I567" s="224" t="str" cm="1">
        <f t="array" aca="1" ref="I567" ca="1">IFERROR(
IF($G$3="ELA",
IF(VLOOKUP($A567, YES_Reading_ELA[], COLUMN(INDIRECT("YES_Reading_ELA[Difference - Per "&amp;VLOOKUP($G$4, 'Reading Report Logic'!$A$2:$B$8, 2, FALSE)&amp;"]")), FALSE)="", "",
VLOOKUP($A567,YES_Reading_ELA[], COLUMN(INDIRECT("YES_Reading_ELA[Difference - Per "&amp;VLOOKUP($G$4,'Reading Report Logic'!$A$2:$B$8,2,FALSE)&amp;"]")), FALSE)),
IF($G$3="FLA",
IF(VLOOKUP($A567, YES_Reading_FLA[], COLUMN(INDIRECT("YES_Reading_FLA[Difference - Per "&amp;VLOOKUP($G$4,'Reading Report Logic'!$A$2:$B$8,2,FALSE)&amp;"]")),FALSE)="","",
VLOOKUP($A567,YES_Reading_FLA[],COLUMN(INDIRECT("YES_Reading_FLA[Difference - Per "&amp;VLOOKUP($G$4,'Reading Report Logic'!$A$2:$B$8,2,FALSE)&amp;"]")),FALSE)),
IF($G$3="Combined",
IFERROR(
IF(VLOOKUP($A567, YES_Reading_ELA[], COLUMN(INDIRECT("YES_Reading_ELA[Difference - Per "&amp;VLOOKUP($G$4, 'Reading Report Logic'!$A$2:$B$8,2,FALSE)&amp;"]")), FALSE)="", "",
VLOOKUP($A567,YES_Reading_ELA[],COLUMN(INDIRECT("YES_Reading_ELA[Difference - Per "&amp;VLOOKUP($G$4,'Reading Report Logic'!$A$2:$B$8,2,FALSE)&amp;"]")),FALSE)),
IF(VLOOKUP($A567, YES_Reading_FLA[], COLUMN(INDIRECT("YES_Reading_FLA[Difference - Per "&amp;VLOOKUP($G$4, 'Reading Report Logic'!$A$2:$B$8, 2, FALSE)&amp;"]")),FALSE)="", "", VLOOKUP($A567,YES_Reading_FLA[],COLUMN(INDIRECT("YES_Reading_FLA[Difference - Per "&amp;VLOOKUP($G$4, 'Reading Report Logic'!$A$2:$B$8, 2, FALSE)&amp;"]")),FALSE))),""))),"")</f>
        <v/>
      </c>
    </row>
    <row r="568" spans="1:9" x14ac:dyDescent="0.25">
      <c r="A568" s="137"/>
      <c r="B568" s="137" t="str">
        <f>IFERROR(INDEX(_xlfn.VSTACK(YES_Writing_ELA[#Data], YES_Writing_FLA[#Data]),MATCH($A568,_xlfn.VSTACK(YES_Writing_ELA[Student Number], YES_Writing_FLA[Student Number]),0),MATCH(B$7,YES_Writing_ELA[#Headers],0)),IFERROR(INDEX(_xlfn.VSTACK(YES_Reading_ELA[#Data], YES_Reading_FLA[#Data]),MATCH($A568,_xlfn.VSTACK(YES_Reading_ELA[Student Number], YES_Reading_FLA[Student Number]),0),MATCH(B$7,YES_Reading_ELA[#Headers],0)),""))</f>
        <v/>
      </c>
      <c r="C568" s="137" t="str">
        <f>IFERROR(INDEX(_xlfn.VSTACK(YES_Writing_ELA[#Data], YES_Writing_FLA[#Data]),MATCH($A568,_xlfn.VSTACK(YES_Writing_ELA[Student Number], YES_Writing_FLA[Student Number]),0),MATCH(C$7,YES_Writing_ELA[#Headers],0)),IFERROR(INDEX(_xlfn.VSTACK(YES_Reading_ELA[#Data], YES_Reading_FLA[#Data]),MATCH($A568,_xlfn.VSTACK(YES_Reading_ELA[Student Number], YES_Reading_FLA[Student Number]),0),MATCH(C$7,YES_Reading_ELA[#Headers],0)),""))</f>
        <v/>
      </c>
      <c r="D568" s="138" t="str">
        <f>IFERROR(IF(IF(INDEX(_xlfn.VSTACK(YES_Writing_ELA[#Data],YES_Writing_FLA[#Data]),MATCH($A568,_xlfn.VSTACK(YES_Writing_ELA[Student Number],YES_Writing_FLA[Student Number]),0),MATCH(VLOOKUP(D$7,'Writing Logic'!$J$7:$K$11,2,FALSE)&amp;" - Per "&amp;VLOOKUP($C$4,'Writing Logic'!$G$8:$H$14,2,FALSE),YES_Writing_ELA[#Headers],0))=0,"",INDEX(_xlfn.VSTACK(YES_Writing_ELA[#Data],YES_Writing_FLA[#Data]),MATCH($A568,_xlfn.VSTACK(YES_Writing_ELA[Student Number],YES_Writing_FLA[Student Number]),0),MATCH(VLOOKUP(D$7,'Writing Logic'!$J$7:$K$11,2,FALSE)&amp;" - Per "&amp;VLOOKUP($C$4,'Writing Logic'!$G$8:$H$14,2,FALSE),YES_Writing_ELA[#Headers],0)))="INS",'Writing Logic'!$B$7,IF(INDEX(_xlfn.VSTACK(YES_Writing_ELA[#Data],YES_Writing_FLA[#Data]),MATCH($A568,_xlfn.VSTACK(YES_Writing_ELA[Student Number],YES_Writing_FLA[Student Number]),0),MATCH(VLOOKUP(D$7,'Writing Logic'!$J$7:$K$11,2,FALSE)&amp;" - Per "&amp;VLOOKUP($C$4,'Writing Logic'!$G$8:$H$14,2,FALSE),YES_Writing_ELA[#Headers],0))=0,"",INDEX(_xlfn.VSTACK(YES_Writing_ELA[#Data],YES_Writing_FLA[#Data]),MATCH($A568,_xlfn.VSTACK(YES_Writing_ELA[Student Number],YES_Writing_FLA[Student Number]),0),MATCH(VLOOKUP(D$7,'Writing Logic'!$J$7:$K$11,2,FALSE)&amp;" - Per "&amp;VLOOKUP($C$4,'Writing Logic'!$G$8:$H$14,2,FALSE),YES_Writing_ELA[#Headers],0)))),"")</f>
        <v/>
      </c>
      <c r="E568" s="138" t="str">
        <f>IFERROR(IF(IF(INDEX(_xlfn.VSTACK(YES_Writing_ELA[#Data],YES_Writing_FLA[#Data]),MATCH($A568,_xlfn.VSTACK(YES_Writing_ELA[Student Number],YES_Writing_FLA[Student Number]),0),MATCH(VLOOKUP(E$7,'Writing Logic'!$J$7:$K$11,2,FALSE)&amp;" - Per "&amp;VLOOKUP($C$4,'Writing Logic'!$G$8:$H$14,2,FALSE),YES_Writing_ELA[#Headers],0))=0,"",INDEX(_xlfn.VSTACK(YES_Writing_ELA[#Data],YES_Writing_FLA[#Data]),MATCH($A568,_xlfn.VSTACK(YES_Writing_ELA[Student Number],YES_Writing_FLA[Student Number]),0),MATCH(VLOOKUP(E$7,'Writing Logic'!$J$7:$K$11,2,FALSE)&amp;" - Per "&amp;VLOOKUP($C$4,'Writing Logic'!$G$8:$H$14,2,FALSE),YES_Writing_ELA[#Headers],0)))="INS",'Writing Logic'!$B$7,IF(INDEX(_xlfn.VSTACK(YES_Writing_ELA[#Data],YES_Writing_FLA[#Data]),MATCH($A568,_xlfn.VSTACK(YES_Writing_ELA[Student Number],YES_Writing_FLA[Student Number]),0),MATCH(VLOOKUP(E$7,'Writing Logic'!$J$7:$K$11,2,FALSE)&amp;" - Per "&amp;VLOOKUP($C$4,'Writing Logic'!$G$8:$H$14,2,FALSE),YES_Writing_ELA[#Headers],0))=0,"",INDEX(_xlfn.VSTACK(YES_Writing_ELA[#Data],YES_Writing_FLA[#Data]),MATCH($A568,_xlfn.VSTACK(YES_Writing_ELA[Student Number],YES_Writing_FLA[Student Number]),0),MATCH(VLOOKUP(E$7,'Writing Logic'!$J$7:$K$11,2,FALSE)&amp;" - Per "&amp;VLOOKUP($C$4,'Writing Logic'!$G$8:$H$14,2,FALSE),YES_Writing_ELA[#Headers],0)))),"")</f>
        <v/>
      </c>
      <c r="F568" s="138" t="str">
        <f>IFERROR(IF(IF(INDEX(_xlfn.VSTACK(YES_Writing_ELA[#Data],YES_Writing_FLA[#Data]),MATCH($A568,_xlfn.VSTACK(YES_Writing_ELA[Student Number],YES_Writing_FLA[Student Number]),0),MATCH(VLOOKUP(F$7,'Writing Logic'!$J$7:$K$11,2,FALSE)&amp;" - Per "&amp;VLOOKUP($C$4,'Writing Logic'!$G$8:$H$14,2,FALSE),YES_Writing_ELA[#Headers],0))=0,"",INDEX(_xlfn.VSTACK(YES_Writing_ELA[#Data],YES_Writing_FLA[#Data]),MATCH($A568,_xlfn.VSTACK(YES_Writing_ELA[Student Number],YES_Writing_FLA[Student Number]),0),MATCH(VLOOKUP(F$7,'Writing Logic'!$J$7:$K$11,2,FALSE)&amp;" - Per "&amp;VLOOKUP($C$4,'Writing Logic'!$G$8:$H$14,2,FALSE),YES_Writing_ELA[#Headers],0)))="INS",'Writing Logic'!$B$7,IF(INDEX(_xlfn.VSTACK(YES_Writing_ELA[#Data],YES_Writing_FLA[#Data]),MATCH($A568,_xlfn.VSTACK(YES_Writing_ELA[Student Number],YES_Writing_FLA[Student Number]),0),MATCH(VLOOKUP(F$7,'Writing Logic'!$J$7:$K$11,2,FALSE)&amp;" - Per "&amp;VLOOKUP($C$4,'Writing Logic'!$G$8:$H$14,2,FALSE),YES_Writing_ELA[#Headers],0))=0,"",INDEX(_xlfn.VSTACK(YES_Writing_ELA[#Data],YES_Writing_FLA[#Data]),MATCH($A568,_xlfn.VSTACK(YES_Writing_ELA[Student Number],YES_Writing_FLA[Student Number]),0),MATCH(VLOOKUP(F$7,'Writing Logic'!$J$7:$K$11,2,FALSE)&amp;" - Per "&amp;VLOOKUP($C$4,'Writing Logic'!$G$8:$H$14,2,FALSE),YES_Writing_ELA[#Headers],0)))),"")</f>
        <v/>
      </c>
      <c r="G568" s="138" t="str">
        <f>IFERROR(IF(IF(INDEX(_xlfn.VSTACK(YES_Writing_ELA[#Data],YES_Writing_FLA[#Data]),MATCH($A568,_xlfn.VSTACK(YES_Writing_ELA[Student Number],YES_Writing_FLA[Student Number]),0),MATCH(VLOOKUP(G$7,'Writing Logic'!$J$7:$K$11,2,FALSE)&amp;" - Per "&amp;VLOOKUP($C$4,'Writing Logic'!$G$8:$H$14,2,FALSE),YES_Writing_ELA[#Headers],0))=0,"",INDEX(_xlfn.VSTACK(YES_Writing_ELA[#Data],YES_Writing_FLA[#Data]),MATCH($A568,_xlfn.VSTACK(YES_Writing_ELA[Student Number],YES_Writing_FLA[Student Number]),0),MATCH(VLOOKUP(G$7,'Writing Logic'!$J$7:$K$11,2,FALSE)&amp;" - Per "&amp;VLOOKUP($C$4,'Writing Logic'!$G$8:$H$14,2,FALSE),YES_Writing_ELA[#Headers],0)))="INS",'Writing Logic'!$B$7,IF(INDEX(_xlfn.VSTACK(YES_Writing_ELA[#Data],YES_Writing_FLA[#Data]),MATCH($A568,_xlfn.VSTACK(YES_Writing_ELA[Student Number],YES_Writing_FLA[Student Number]),0),MATCH(VLOOKUP(G$7,'Writing Logic'!$J$7:$K$11,2,FALSE)&amp;" - Per "&amp;VLOOKUP($C$4,'Writing Logic'!$G$8:$H$14,2,FALSE),YES_Writing_ELA[#Headers],0))=0,"",INDEX(_xlfn.VSTACK(YES_Writing_ELA[#Data],YES_Writing_FLA[#Data]),MATCH($A568,_xlfn.VSTACK(YES_Writing_ELA[Student Number],YES_Writing_FLA[Student Number]),0),MATCH(VLOOKUP(G$7,'Writing Logic'!$J$7:$K$11,2,FALSE)&amp;" - Per "&amp;VLOOKUP($C$4,'Writing Logic'!$G$8:$H$14,2,FALSE),YES_Writing_ELA[#Headers],0)))),"")</f>
        <v/>
      </c>
      <c r="H568" s="223" t="str">
        <f>IFERROR(IF(IF(INDEX(_xlfn.VSTACK(YES_Writing_ELA[#Data],YES_Writing_FLA[#Data]),MATCH($A568,_xlfn.VSTACK(YES_Writing_ELA[Student Number],YES_Writing_FLA[Student Number]),0),MATCH(VLOOKUP(H$7,'Writing Logic'!$J$7:$K$11,2,FALSE)&amp;" - Per "&amp;VLOOKUP($C$4,'Writing Logic'!$G$8:$H$14,2,FALSE),YES_Writing_ELA[#Headers],0))=0,"",INDEX(_xlfn.VSTACK(YES_Writing_ELA[#Data],YES_Writing_FLA[#Data]),MATCH($A568,_xlfn.VSTACK(YES_Writing_ELA[Student Number],YES_Writing_FLA[Student Number]),0),MATCH(VLOOKUP(H$7,'Writing Logic'!$J$7:$K$11,2,FALSE)&amp;" - Per "&amp;VLOOKUP($C$4,'Writing Logic'!$G$8:$H$14,2,FALSE),YES_Writing_ELA[#Headers],0)))="INS",'Writing Logic'!$B$7,IF(INDEX(_xlfn.VSTACK(YES_Writing_ELA[#Data],YES_Writing_FLA[#Data]),MATCH($A568,_xlfn.VSTACK(YES_Writing_ELA[Student Number],YES_Writing_FLA[Student Number]),0),MATCH(VLOOKUP(H$7,'Writing Logic'!$J$7:$K$11,2,FALSE)&amp;" - Per "&amp;VLOOKUP($C$4,'Writing Logic'!$G$8:$H$14,2,FALSE),YES_Writing_ELA[#Headers],0))=0,"",INDEX(_xlfn.VSTACK(YES_Writing_ELA[#Data],YES_Writing_FLA[#Data]),MATCH($A568,_xlfn.VSTACK(YES_Writing_ELA[Student Number],YES_Writing_FLA[Student Number]),0),MATCH(VLOOKUP(H$7,'Writing Logic'!$J$7:$K$11,2,FALSE)&amp;" - Per "&amp;VLOOKUP($C$4,'Writing Logic'!$G$8:$H$14,2,FALSE),YES_Writing_ELA[#Headers],0)))),"")</f>
        <v/>
      </c>
      <c r="I568" s="224" t="str" cm="1">
        <f t="array" aca="1" ref="I568" ca="1">IFERROR(
IF($G$3="ELA",
IF(VLOOKUP($A568, YES_Reading_ELA[], COLUMN(INDIRECT("YES_Reading_ELA[Difference - Per "&amp;VLOOKUP($G$4, 'Reading Report Logic'!$A$2:$B$8, 2, FALSE)&amp;"]")), FALSE)="", "",
VLOOKUP($A568,YES_Reading_ELA[], COLUMN(INDIRECT("YES_Reading_ELA[Difference - Per "&amp;VLOOKUP($G$4,'Reading Report Logic'!$A$2:$B$8,2,FALSE)&amp;"]")), FALSE)),
IF($G$3="FLA",
IF(VLOOKUP($A568, YES_Reading_FLA[], COLUMN(INDIRECT("YES_Reading_FLA[Difference - Per "&amp;VLOOKUP($G$4,'Reading Report Logic'!$A$2:$B$8,2,FALSE)&amp;"]")),FALSE)="","",
VLOOKUP($A568,YES_Reading_FLA[],COLUMN(INDIRECT("YES_Reading_FLA[Difference - Per "&amp;VLOOKUP($G$4,'Reading Report Logic'!$A$2:$B$8,2,FALSE)&amp;"]")),FALSE)),
IF($G$3="Combined",
IFERROR(
IF(VLOOKUP($A568, YES_Reading_ELA[], COLUMN(INDIRECT("YES_Reading_ELA[Difference - Per "&amp;VLOOKUP($G$4, 'Reading Report Logic'!$A$2:$B$8,2,FALSE)&amp;"]")), FALSE)="", "",
VLOOKUP($A568,YES_Reading_ELA[],COLUMN(INDIRECT("YES_Reading_ELA[Difference - Per "&amp;VLOOKUP($G$4,'Reading Report Logic'!$A$2:$B$8,2,FALSE)&amp;"]")),FALSE)),
IF(VLOOKUP($A568, YES_Reading_FLA[], COLUMN(INDIRECT("YES_Reading_FLA[Difference - Per "&amp;VLOOKUP($G$4, 'Reading Report Logic'!$A$2:$B$8, 2, FALSE)&amp;"]")),FALSE)="", "", VLOOKUP($A568,YES_Reading_FLA[],COLUMN(INDIRECT("YES_Reading_FLA[Difference - Per "&amp;VLOOKUP($G$4, 'Reading Report Logic'!$A$2:$B$8, 2, FALSE)&amp;"]")),FALSE))),""))),"")</f>
        <v/>
      </c>
    </row>
    <row r="569" spans="1:9" x14ac:dyDescent="0.25">
      <c r="A569" s="137"/>
      <c r="B569" s="137" t="str">
        <f>IFERROR(INDEX(_xlfn.VSTACK(YES_Writing_ELA[#Data], YES_Writing_FLA[#Data]),MATCH($A569,_xlfn.VSTACK(YES_Writing_ELA[Student Number], YES_Writing_FLA[Student Number]),0),MATCH(B$7,YES_Writing_ELA[#Headers],0)),IFERROR(INDEX(_xlfn.VSTACK(YES_Reading_ELA[#Data], YES_Reading_FLA[#Data]),MATCH($A569,_xlfn.VSTACK(YES_Reading_ELA[Student Number], YES_Reading_FLA[Student Number]),0),MATCH(B$7,YES_Reading_ELA[#Headers],0)),""))</f>
        <v/>
      </c>
      <c r="C569" s="137" t="str">
        <f>IFERROR(INDEX(_xlfn.VSTACK(YES_Writing_ELA[#Data], YES_Writing_FLA[#Data]),MATCH($A569,_xlfn.VSTACK(YES_Writing_ELA[Student Number], YES_Writing_FLA[Student Number]),0),MATCH(C$7,YES_Writing_ELA[#Headers],0)),IFERROR(INDEX(_xlfn.VSTACK(YES_Reading_ELA[#Data], YES_Reading_FLA[#Data]),MATCH($A569,_xlfn.VSTACK(YES_Reading_ELA[Student Number], YES_Reading_FLA[Student Number]),0),MATCH(C$7,YES_Reading_ELA[#Headers],0)),""))</f>
        <v/>
      </c>
      <c r="D569" s="138" t="str">
        <f>IFERROR(IF(IF(INDEX(_xlfn.VSTACK(YES_Writing_ELA[#Data],YES_Writing_FLA[#Data]),MATCH($A569,_xlfn.VSTACK(YES_Writing_ELA[Student Number],YES_Writing_FLA[Student Number]),0),MATCH(VLOOKUP(D$7,'Writing Logic'!$J$7:$K$11,2,FALSE)&amp;" - Per "&amp;VLOOKUP($C$4,'Writing Logic'!$G$8:$H$14,2,FALSE),YES_Writing_ELA[#Headers],0))=0,"",INDEX(_xlfn.VSTACK(YES_Writing_ELA[#Data],YES_Writing_FLA[#Data]),MATCH($A569,_xlfn.VSTACK(YES_Writing_ELA[Student Number],YES_Writing_FLA[Student Number]),0),MATCH(VLOOKUP(D$7,'Writing Logic'!$J$7:$K$11,2,FALSE)&amp;" - Per "&amp;VLOOKUP($C$4,'Writing Logic'!$G$8:$H$14,2,FALSE),YES_Writing_ELA[#Headers],0)))="INS",'Writing Logic'!$B$7,IF(INDEX(_xlfn.VSTACK(YES_Writing_ELA[#Data],YES_Writing_FLA[#Data]),MATCH($A569,_xlfn.VSTACK(YES_Writing_ELA[Student Number],YES_Writing_FLA[Student Number]),0),MATCH(VLOOKUP(D$7,'Writing Logic'!$J$7:$K$11,2,FALSE)&amp;" - Per "&amp;VLOOKUP($C$4,'Writing Logic'!$G$8:$H$14,2,FALSE),YES_Writing_ELA[#Headers],0))=0,"",INDEX(_xlfn.VSTACK(YES_Writing_ELA[#Data],YES_Writing_FLA[#Data]),MATCH($A569,_xlfn.VSTACK(YES_Writing_ELA[Student Number],YES_Writing_FLA[Student Number]),0),MATCH(VLOOKUP(D$7,'Writing Logic'!$J$7:$K$11,2,FALSE)&amp;" - Per "&amp;VLOOKUP($C$4,'Writing Logic'!$G$8:$H$14,2,FALSE),YES_Writing_ELA[#Headers],0)))),"")</f>
        <v/>
      </c>
      <c r="E569" s="138" t="str">
        <f>IFERROR(IF(IF(INDEX(_xlfn.VSTACK(YES_Writing_ELA[#Data],YES_Writing_FLA[#Data]),MATCH($A569,_xlfn.VSTACK(YES_Writing_ELA[Student Number],YES_Writing_FLA[Student Number]),0),MATCH(VLOOKUP(E$7,'Writing Logic'!$J$7:$K$11,2,FALSE)&amp;" - Per "&amp;VLOOKUP($C$4,'Writing Logic'!$G$8:$H$14,2,FALSE),YES_Writing_ELA[#Headers],0))=0,"",INDEX(_xlfn.VSTACK(YES_Writing_ELA[#Data],YES_Writing_FLA[#Data]),MATCH($A569,_xlfn.VSTACK(YES_Writing_ELA[Student Number],YES_Writing_FLA[Student Number]),0),MATCH(VLOOKUP(E$7,'Writing Logic'!$J$7:$K$11,2,FALSE)&amp;" - Per "&amp;VLOOKUP($C$4,'Writing Logic'!$G$8:$H$14,2,FALSE),YES_Writing_ELA[#Headers],0)))="INS",'Writing Logic'!$B$7,IF(INDEX(_xlfn.VSTACK(YES_Writing_ELA[#Data],YES_Writing_FLA[#Data]),MATCH($A569,_xlfn.VSTACK(YES_Writing_ELA[Student Number],YES_Writing_FLA[Student Number]),0),MATCH(VLOOKUP(E$7,'Writing Logic'!$J$7:$K$11,2,FALSE)&amp;" - Per "&amp;VLOOKUP($C$4,'Writing Logic'!$G$8:$H$14,2,FALSE),YES_Writing_ELA[#Headers],0))=0,"",INDEX(_xlfn.VSTACK(YES_Writing_ELA[#Data],YES_Writing_FLA[#Data]),MATCH($A569,_xlfn.VSTACK(YES_Writing_ELA[Student Number],YES_Writing_FLA[Student Number]),0),MATCH(VLOOKUP(E$7,'Writing Logic'!$J$7:$K$11,2,FALSE)&amp;" - Per "&amp;VLOOKUP($C$4,'Writing Logic'!$G$8:$H$14,2,FALSE),YES_Writing_ELA[#Headers],0)))),"")</f>
        <v/>
      </c>
      <c r="F569" s="138" t="str">
        <f>IFERROR(IF(IF(INDEX(_xlfn.VSTACK(YES_Writing_ELA[#Data],YES_Writing_FLA[#Data]),MATCH($A569,_xlfn.VSTACK(YES_Writing_ELA[Student Number],YES_Writing_FLA[Student Number]),0),MATCH(VLOOKUP(F$7,'Writing Logic'!$J$7:$K$11,2,FALSE)&amp;" - Per "&amp;VLOOKUP($C$4,'Writing Logic'!$G$8:$H$14,2,FALSE),YES_Writing_ELA[#Headers],0))=0,"",INDEX(_xlfn.VSTACK(YES_Writing_ELA[#Data],YES_Writing_FLA[#Data]),MATCH($A569,_xlfn.VSTACK(YES_Writing_ELA[Student Number],YES_Writing_FLA[Student Number]),0),MATCH(VLOOKUP(F$7,'Writing Logic'!$J$7:$K$11,2,FALSE)&amp;" - Per "&amp;VLOOKUP($C$4,'Writing Logic'!$G$8:$H$14,2,FALSE),YES_Writing_ELA[#Headers],0)))="INS",'Writing Logic'!$B$7,IF(INDEX(_xlfn.VSTACK(YES_Writing_ELA[#Data],YES_Writing_FLA[#Data]),MATCH($A569,_xlfn.VSTACK(YES_Writing_ELA[Student Number],YES_Writing_FLA[Student Number]),0),MATCH(VLOOKUP(F$7,'Writing Logic'!$J$7:$K$11,2,FALSE)&amp;" - Per "&amp;VLOOKUP($C$4,'Writing Logic'!$G$8:$H$14,2,FALSE),YES_Writing_ELA[#Headers],0))=0,"",INDEX(_xlfn.VSTACK(YES_Writing_ELA[#Data],YES_Writing_FLA[#Data]),MATCH($A569,_xlfn.VSTACK(YES_Writing_ELA[Student Number],YES_Writing_FLA[Student Number]),0),MATCH(VLOOKUP(F$7,'Writing Logic'!$J$7:$K$11,2,FALSE)&amp;" - Per "&amp;VLOOKUP($C$4,'Writing Logic'!$G$8:$H$14,2,FALSE),YES_Writing_ELA[#Headers],0)))),"")</f>
        <v/>
      </c>
      <c r="G569" s="138" t="str">
        <f>IFERROR(IF(IF(INDEX(_xlfn.VSTACK(YES_Writing_ELA[#Data],YES_Writing_FLA[#Data]),MATCH($A569,_xlfn.VSTACK(YES_Writing_ELA[Student Number],YES_Writing_FLA[Student Number]),0),MATCH(VLOOKUP(G$7,'Writing Logic'!$J$7:$K$11,2,FALSE)&amp;" - Per "&amp;VLOOKUP($C$4,'Writing Logic'!$G$8:$H$14,2,FALSE),YES_Writing_ELA[#Headers],0))=0,"",INDEX(_xlfn.VSTACK(YES_Writing_ELA[#Data],YES_Writing_FLA[#Data]),MATCH($A569,_xlfn.VSTACK(YES_Writing_ELA[Student Number],YES_Writing_FLA[Student Number]),0),MATCH(VLOOKUP(G$7,'Writing Logic'!$J$7:$K$11,2,FALSE)&amp;" - Per "&amp;VLOOKUP($C$4,'Writing Logic'!$G$8:$H$14,2,FALSE),YES_Writing_ELA[#Headers],0)))="INS",'Writing Logic'!$B$7,IF(INDEX(_xlfn.VSTACK(YES_Writing_ELA[#Data],YES_Writing_FLA[#Data]),MATCH($A569,_xlfn.VSTACK(YES_Writing_ELA[Student Number],YES_Writing_FLA[Student Number]),0),MATCH(VLOOKUP(G$7,'Writing Logic'!$J$7:$K$11,2,FALSE)&amp;" - Per "&amp;VLOOKUP($C$4,'Writing Logic'!$G$8:$H$14,2,FALSE),YES_Writing_ELA[#Headers],0))=0,"",INDEX(_xlfn.VSTACK(YES_Writing_ELA[#Data],YES_Writing_FLA[#Data]),MATCH($A569,_xlfn.VSTACK(YES_Writing_ELA[Student Number],YES_Writing_FLA[Student Number]),0),MATCH(VLOOKUP(G$7,'Writing Logic'!$J$7:$K$11,2,FALSE)&amp;" - Per "&amp;VLOOKUP($C$4,'Writing Logic'!$G$8:$H$14,2,FALSE),YES_Writing_ELA[#Headers],0)))),"")</f>
        <v/>
      </c>
      <c r="H569" s="223" t="str">
        <f>IFERROR(IF(IF(INDEX(_xlfn.VSTACK(YES_Writing_ELA[#Data],YES_Writing_FLA[#Data]),MATCH($A569,_xlfn.VSTACK(YES_Writing_ELA[Student Number],YES_Writing_FLA[Student Number]),0),MATCH(VLOOKUP(H$7,'Writing Logic'!$J$7:$K$11,2,FALSE)&amp;" - Per "&amp;VLOOKUP($C$4,'Writing Logic'!$G$8:$H$14,2,FALSE),YES_Writing_ELA[#Headers],0))=0,"",INDEX(_xlfn.VSTACK(YES_Writing_ELA[#Data],YES_Writing_FLA[#Data]),MATCH($A569,_xlfn.VSTACK(YES_Writing_ELA[Student Number],YES_Writing_FLA[Student Number]),0),MATCH(VLOOKUP(H$7,'Writing Logic'!$J$7:$K$11,2,FALSE)&amp;" - Per "&amp;VLOOKUP($C$4,'Writing Logic'!$G$8:$H$14,2,FALSE),YES_Writing_ELA[#Headers],0)))="INS",'Writing Logic'!$B$7,IF(INDEX(_xlfn.VSTACK(YES_Writing_ELA[#Data],YES_Writing_FLA[#Data]),MATCH($A569,_xlfn.VSTACK(YES_Writing_ELA[Student Number],YES_Writing_FLA[Student Number]),0),MATCH(VLOOKUP(H$7,'Writing Logic'!$J$7:$K$11,2,FALSE)&amp;" - Per "&amp;VLOOKUP($C$4,'Writing Logic'!$G$8:$H$14,2,FALSE),YES_Writing_ELA[#Headers],0))=0,"",INDEX(_xlfn.VSTACK(YES_Writing_ELA[#Data],YES_Writing_FLA[#Data]),MATCH($A569,_xlfn.VSTACK(YES_Writing_ELA[Student Number],YES_Writing_FLA[Student Number]),0),MATCH(VLOOKUP(H$7,'Writing Logic'!$J$7:$K$11,2,FALSE)&amp;" - Per "&amp;VLOOKUP($C$4,'Writing Logic'!$G$8:$H$14,2,FALSE),YES_Writing_ELA[#Headers],0)))),"")</f>
        <v/>
      </c>
      <c r="I569" s="224" t="str" cm="1">
        <f t="array" aca="1" ref="I569" ca="1">IFERROR(
IF($G$3="ELA",
IF(VLOOKUP($A569, YES_Reading_ELA[], COLUMN(INDIRECT("YES_Reading_ELA[Difference - Per "&amp;VLOOKUP($G$4, 'Reading Report Logic'!$A$2:$B$8, 2, FALSE)&amp;"]")), FALSE)="", "",
VLOOKUP($A569,YES_Reading_ELA[], COLUMN(INDIRECT("YES_Reading_ELA[Difference - Per "&amp;VLOOKUP($G$4,'Reading Report Logic'!$A$2:$B$8,2,FALSE)&amp;"]")), FALSE)),
IF($G$3="FLA",
IF(VLOOKUP($A569, YES_Reading_FLA[], COLUMN(INDIRECT("YES_Reading_FLA[Difference - Per "&amp;VLOOKUP($G$4,'Reading Report Logic'!$A$2:$B$8,2,FALSE)&amp;"]")),FALSE)="","",
VLOOKUP($A569,YES_Reading_FLA[],COLUMN(INDIRECT("YES_Reading_FLA[Difference - Per "&amp;VLOOKUP($G$4,'Reading Report Logic'!$A$2:$B$8,2,FALSE)&amp;"]")),FALSE)),
IF($G$3="Combined",
IFERROR(
IF(VLOOKUP($A569, YES_Reading_ELA[], COLUMN(INDIRECT("YES_Reading_ELA[Difference - Per "&amp;VLOOKUP($G$4, 'Reading Report Logic'!$A$2:$B$8,2,FALSE)&amp;"]")), FALSE)="", "",
VLOOKUP($A569,YES_Reading_ELA[],COLUMN(INDIRECT("YES_Reading_ELA[Difference - Per "&amp;VLOOKUP($G$4,'Reading Report Logic'!$A$2:$B$8,2,FALSE)&amp;"]")),FALSE)),
IF(VLOOKUP($A569, YES_Reading_FLA[], COLUMN(INDIRECT("YES_Reading_FLA[Difference - Per "&amp;VLOOKUP($G$4, 'Reading Report Logic'!$A$2:$B$8, 2, FALSE)&amp;"]")),FALSE)="", "", VLOOKUP($A569,YES_Reading_FLA[],COLUMN(INDIRECT("YES_Reading_FLA[Difference - Per "&amp;VLOOKUP($G$4, 'Reading Report Logic'!$A$2:$B$8, 2, FALSE)&amp;"]")),FALSE))),""))),"")</f>
        <v/>
      </c>
    </row>
    <row r="570" spans="1:9" x14ac:dyDescent="0.25">
      <c r="A570" s="137"/>
      <c r="B570" s="137" t="str">
        <f>IFERROR(INDEX(_xlfn.VSTACK(YES_Writing_ELA[#Data], YES_Writing_FLA[#Data]),MATCH($A570,_xlfn.VSTACK(YES_Writing_ELA[Student Number], YES_Writing_FLA[Student Number]),0),MATCH(B$7,YES_Writing_ELA[#Headers],0)),IFERROR(INDEX(_xlfn.VSTACK(YES_Reading_ELA[#Data], YES_Reading_FLA[#Data]),MATCH($A570,_xlfn.VSTACK(YES_Reading_ELA[Student Number], YES_Reading_FLA[Student Number]),0),MATCH(B$7,YES_Reading_ELA[#Headers],0)),""))</f>
        <v/>
      </c>
      <c r="C570" s="137" t="str">
        <f>IFERROR(INDEX(_xlfn.VSTACK(YES_Writing_ELA[#Data], YES_Writing_FLA[#Data]),MATCH($A570,_xlfn.VSTACK(YES_Writing_ELA[Student Number], YES_Writing_FLA[Student Number]),0),MATCH(C$7,YES_Writing_ELA[#Headers],0)),IFERROR(INDEX(_xlfn.VSTACK(YES_Reading_ELA[#Data], YES_Reading_FLA[#Data]),MATCH($A570,_xlfn.VSTACK(YES_Reading_ELA[Student Number], YES_Reading_FLA[Student Number]),0),MATCH(C$7,YES_Reading_ELA[#Headers],0)),""))</f>
        <v/>
      </c>
      <c r="D570" s="138" t="str">
        <f>IFERROR(IF(IF(INDEX(_xlfn.VSTACK(YES_Writing_ELA[#Data],YES_Writing_FLA[#Data]),MATCH($A570,_xlfn.VSTACK(YES_Writing_ELA[Student Number],YES_Writing_FLA[Student Number]),0),MATCH(VLOOKUP(D$7,'Writing Logic'!$J$7:$K$11,2,FALSE)&amp;" - Per "&amp;VLOOKUP($C$4,'Writing Logic'!$G$8:$H$14,2,FALSE),YES_Writing_ELA[#Headers],0))=0,"",INDEX(_xlfn.VSTACK(YES_Writing_ELA[#Data],YES_Writing_FLA[#Data]),MATCH($A570,_xlfn.VSTACK(YES_Writing_ELA[Student Number],YES_Writing_FLA[Student Number]),0),MATCH(VLOOKUP(D$7,'Writing Logic'!$J$7:$K$11,2,FALSE)&amp;" - Per "&amp;VLOOKUP($C$4,'Writing Logic'!$G$8:$H$14,2,FALSE),YES_Writing_ELA[#Headers],0)))="INS",'Writing Logic'!$B$7,IF(INDEX(_xlfn.VSTACK(YES_Writing_ELA[#Data],YES_Writing_FLA[#Data]),MATCH($A570,_xlfn.VSTACK(YES_Writing_ELA[Student Number],YES_Writing_FLA[Student Number]),0),MATCH(VLOOKUP(D$7,'Writing Logic'!$J$7:$K$11,2,FALSE)&amp;" - Per "&amp;VLOOKUP($C$4,'Writing Logic'!$G$8:$H$14,2,FALSE),YES_Writing_ELA[#Headers],0))=0,"",INDEX(_xlfn.VSTACK(YES_Writing_ELA[#Data],YES_Writing_FLA[#Data]),MATCH($A570,_xlfn.VSTACK(YES_Writing_ELA[Student Number],YES_Writing_FLA[Student Number]),0),MATCH(VLOOKUP(D$7,'Writing Logic'!$J$7:$K$11,2,FALSE)&amp;" - Per "&amp;VLOOKUP($C$4,'Writing Logic'!$G$8:$H$14,2,FALSE),YES_Writing_ELA[#Headers],0)))),"")</f>
        <v/>
      </c>
      <c r="E570" s="138" t="str">
        <f>IFERROR(IF(IF(INDEX(_xlfn.VSTACK(YES_Writing_ELA[#Data],YES_Writing_FLA[#Data]),MATCH($A570,_xlfn.VSTACK(YES_Writing_ELA[Student Number],YES_Writing_FLA[Student Number]),0),MATCH(VLOOKUP(E$7,'Writing Logic'!$J$7:$K$11,2,FALSE)&amp;" - Per "&amp;VLOOKUP($C$4,'Writing Logic'!$G$8:$H$14,2,FALSE),YES_Writing_ELA[#Headers],0))=0,"",INDEX(_xlfn.VSTACK(YES_Writing_ELA[#Data],YES_Writing_FLA[#Data]),MATCH($A570,_xlfn.VSTACK(YES_Writing_ELA[Student Number],YES_Writing_FLA[Student Number]),0),MATCH(VLOOKUP(E$7,'Writing Logic'!$J$7:$K$11,2,FALSE)&amp;" - Per "&amp;VLOOKUP($C$4,'Writing Logic'!$G$8:$H$14,2,FALSE),YES_Writing_ELA[#Headers],0)))="INS",'Writing Logic'!$B$7,IF(INDEX(_xlfn.VSTACK(YES_Writing_ELA[#Data],YES_Writing_FLA[#Data]),MATCH($A570,_xlfn.VSTACK(YES_Writing_ELA[Student Number],YES_Writing_FLA[Student Number]),0),MATCH(VLOOKUP(E$7,'Writing Logic'!$J$7:$K$11,2,FALSE)&amp;" - Per "&amp;VLOOKUP($C$4,'Writing Logic'!$G$8:$H$14,2,FALSE),YES_Writing_ELA[#Headers],0))=0,"",INDEX(_xlfn.VSTACK(YES_Writing_ELA[#Data],YES_Writing_FLA[#Data]),MATCH($A570,_xlfn.VSTACK(YES_Writing_ELA[Student Number],YES_Writing_FLA[Student Number]),0),MATCH(VLOOKUP(E$7,'Writing Logic'!$J$7:$K$11,2,FALSE)&amp;" - Per "&amp;VLOOKUP($C$4,'Writing Logic'!$G$8:$H$14,2,FALSE),YES_Writing_ELA[#Headers],0)))),"")</f>
        <v/>
      </c>
      <c r="F570" s="138" t="str">
        <f>IFERROR(IF(IF(INDEX(_xlfn.VSTACK(YES_Writing_ELA[#Data],YES_Writing_FLA[#Data]),MATCH($A570,_xlfn.VSTACK(YES_Writing_ELA[Student Number],YES_Writing_FLA[Student Number]),0),MATCH(VLOOKUP(F$7,'Writing Logic'!$J$7:$K$11,2,FALSE)&amp;" - Per "&amp;VLOOKUP($C$4,'Writing Logic'!$G$8:$H$14,2,FALSE),YES_Writing_ELA[#Headers],0))=0,"",INDEX(_xlfn.VSTACK(YES_Writing_ELA[#Data],YES_Writing_FLA[#Data]),MATCH($A570,_xlfn.VSTACK(YES_Writing_ELA[Student Number],YES_Writing_FLA[Student Number]),0),MATCH(VLOOKUP(F$7,'Writing Logic'!$J$7:$K$11,2,FALSE)&amp;" - Per "&amp;VLOOKUP($C$4,'Writing Logic'!$G$8:$H$14,2,FALSE),YES_Writing_ELA[#Headers],0)))="INS",'Writing Logic'!$B$7,IF(INDEX(_xlfn.VSTACK(YES_Writing_ELA[#Data],YES_Writing_FLA[#Data]),MATCH($A570,_xlfn.VSTACK(YES_Writing_ELA[Student Number],YES_Writing_FLA[Student Number]),0),MATCH(VLOOKUP(F$7,'Writing Logic'!$J$7:$K$11,2,FALSE)&amp;" - Per "&amp;VLOOKUP($C$4,'Writing Logic'!$G$8:$H$14,2,FALSE),YES_Writing_ELA[#Headers],0))=0,"",INDEX(_xlfn.VSTACK(YES_Writing_ELA[#Data],YES_Writing_FLA[#Data]),MATCH($A570,_xlfn.VSTACK(YES_Writing_ELA[Student Number],YES_Writing_FLA[Student Number]),0),MATCH(VLOOKUP(F$7,'Writing Logic'!$J$7:$K$11,2,FALSE)&amp;" - Per "&amp;VLOOKUP($C$4,'Writing Logic'!$G$8:$H$14,2,FALSE),YES_Writing_ELA[#Headers],0)))),"")</f>
        <v/>
      </c>
      <c r="G570" s="138" t="str">
        <f>IFERROR(IF(IF(INDEX(_xlfn.VSTACK(YES_Writing_ELA[#Data],YES_Writing_FLA[#Data]),MATCH($A570,_xlfn.VSTACK(YES_Writing_ELA[Student Number],YES_Writing_FLA[Student Number]),0),MATCH(VLOOKUP(G$7,'Writing Logic'!$J$7:$K$11,2,FALSE)&amp;" - Per "&amp;VLOOKUP($C$4,'Writing Logic'!$G$8:$H$14,2,FALSE),YES_Writing_ELA[#Headers],0))=0,"",INDEX(_xlfn.VSTACK(YES_Writing_ELA[#Data],YES_Writing_FLA[#Data]),MATCH($A570,_xlfn.VSTACK(YES_Writing_ELA[Student Number],YES_Writing_FLA[Student Number]),0),MATCH(VLOOKUP(G$7,'Writing Logic'!$J$7:$K$11,2,FALSE)&amp;" - Per "&amp;VLOOKUP($C$4,'Writing Logic'!$G$8:$H$14,2,FALSE),YES_Writing_ELA[#Headers],0)))="INS",'Writing Logic'!$B$7,IF(INDEX(_xlfn.VSTACK(YES_Writing_ELA[#Data],YES_Writing_FLA[#Data]),MATCH($A570,_xlfn.VSTACK(YES_Writing_ELA[Student Number],YES_Writing_FLA[Student Number]),0),MATCH(VLOOKUP(G$7,'Writing Logic'!$J$7:$K$11,2,FALSE)&amp;" - Per "&amp;VLOOKUP($C$4,'Writing Logic'!$G$8:$H$14,2,FALSE),YES_Writing_ELA[#Headers],0))=0,"",INDEX(_xlfn.VSTACK(YES_Writing_ELA[#Data],YES_Writing_FLA[#Data]),MATCH($A570,_xlfn.VSTACK(YES_Writing_ELA[Student Number],YES_Writing_FLA[Student Number]),0),MATCH(VLOOKUP(G$7,'Writing Logic'!$J$7:$K$11,2,FALSE)&amp;" - Per "&amp;VLOOKUP($C$4,'Writing Logic'!$G$8:$H$14,2,FALSE),YES_Writing_ELA[#Headers],0)))),"")</f>
        <v/>
      </c>
      <c r="H570" s="223" t="str">
        <f>IFERROR(IF(IF(INDEX(_xlfn.VSTACK(YES_Writing_ELA[#Data],YES_Writing_FLA[#Data]),MATCH($A570,_xlfn.VSTACK(YES_Writing_ELA[Student Number],YES_Writing_FLA[Student Number]),0),MATCH(VLOOKUP(H$7,'Writing Logic'!$J$7:$K$11,2,FALSE)&amp;" - Per "&amp;VLOOKUP($C$4,'Writing Logic'!$G$8:$H$14,2,FALSE),YES_Writing_ELA[#Headers],0))=0,"",INDEX(_xlfn.VSTACK(YES_Writing_ELA[#Data],YES_Writing_FLA[#Data]),MATCH($A570,_xlfn.VSTACK(YES_Writing_ELA[Student Number],YES_Writing_FLA[Student Number]),0),MATCH(VLOOKUP(H$7,'Writing Logic'!$J$7:$K$11,2,FALSE)&amp;" - Per "&amp;VLOOKUP($C$4,'Writing Logic'!$G$8:$H$14,2,FALSE),YES_Writing_ELA[#Headers],0)))="INS",'Writing Logic'!$B$7,IF(INDEX(_xlfn.VSTACK(YES_Writing_ELA[#Data],YES_Writing_FLA[#Data]),MATCH($A570,_xlfn.VSTACK(YES_Writing_ELA[Student Number],YES_Writing_FLA[Student Number]),0),MATCH(VLOOKUP(H$7,'Writing Logic'!$J$7:$K$11,2,FALSE)&amp;" - Per "&amp;VLOOKUP($C$4,'Writing Logic'!$G$8:$H$14,2,FALSE),YES_Writing_ELA[#Headers],0))=0,"",INDEX(_xlfn.VSTACK(YES_Writing_ELA[#Data],YES_Writing_FLA[#Data]),MATCH($A570,_xlfn.VSTACK(YES_Writing_ELA[Student Number],YES_Writing_FLA[Student Number]),0),MATCH(VLOOKUP(H$7,'Writing Logic'!$J$7:$K$11,2,FALSE)&amp;" - Per "&amp;VLOOKUP($C$4,'Writing Logic'!$G$8:$H$14,2,FALSE),YES_Writing_ELA[#Headers],0)))),"")</f>
        <v/>
      </c>
      <c r="I570" s="224" t="str" cm="1">
        <f t="array" aca="1" ref="I570" ca="1">IFERROR(
IF($G$3="ELA",
IF(VLOOKUP($A570, YES_Reading_ELA[], COLUMN(INDIRECT("YES_Reading_ELA[Difference - Per "&amp;VLOOKUP($G$4, 'Reading Report Logic'!$A$2:$B$8, 2, FALSE)&amp;"]")), FALSE)="", "",
VLOOKUP($A570,YES_Reading_ELA[], COLUMN(INDIRECT("YES_Reading_ELA[Difference - Per "&amp;VLOOKUP($G$4,'Reading Report Logic'!$A$2:$B$8,2,FALSE)&amp;"]")), FALSE)),
IF($G$3="FLA",
IF(VLOOKUP($A570, YES_Reading_FLA[], COLUMN(INDIRECT("YES_Reading_FLA[Difference - Per "&amp;VLOOKUP($G$4,'Reading Report Logic'!$A$2:$B$8,2,FALSE)&amp;"]")),FALSE)="","",
VLOOKUP($A570,YES_Reading_FLA[],COLUMN(INDIRECT("YES_Reading_FLA[Difference - Per "&amp;VLOOKUP($G$4,'Reading Report Logic'!$A$2:$B$8,2,FALSE)&amp;"]")),FALSE)),
IF($G$3="Combined",
IFERROR(
IF(VLOOKUP($A570, YES_Reading_ELA[], COLUMN(INDIRECT("YES_Reading_ELA[Difference - Per "&amp;VLOOKUP($G$4, 'Reading Report Logic'!$A$2:$B$8,2,FALSE)&amp;"]")), FALSE)="", "",
VLOOKUP($A570,YES_Reading_ELA[],COLUMN(INDIRECT("YES_Reading_ELA[Difference - Per "&amp;VLOOKUP($G$4,'Reading Report Logic'!$A$2:$B$8,2,FALSE)&amp;"]")),FALSE)),
IF(VLOOKUP($A570, YES_Reading_FLA[], COLUMN(INDIRECT("YES_Reading_FLA[Difference - Per "&amp;VLOOKUP($G$4, 'Reading Report Logic'!$A$2:$B$8, 2, FALSE)&amp;"]")),FALSE)="", "", VLOOKUP($A570,YES_Reading_FLA[],COLUMN(INDIRECT("YES_Reading_FLA[Difference - Per "&amp;VLOOKUP($G$4, 'Reading Report Logic'!$A$2:$B$8, 2, FALSE)&amp;"]")),FALSE))),""))),"")</f>
        <v/>
      </c>
    </row>
    <row r="571" spans="1:9" x14ac:dyDescent="0.25">
      <c r="A571" s="137"/>
      <c r="B571" s="137" t="str">
        <f>IFERROR(INDEX(_xlfn.VSTACK(YES_Writing_ELA[#Data], YES_Writing_FLA[#Data]),MATCH($A571,_xlfn.VSTACK(YES_Writing_ELA[Student Number], YES_Writing_FLA[Student Number]),0),MATCH(B$7,YES_Writing_ELA[#Headers],0)),IFERROR(INDEX(_xlfn.VSTACK(YES_Reading_ELA[#Data], YES_Reading_FLA[#Data]),MATCH($A571,_xlfn.VSTACK(YES_Reading_ELA[Student Number], YES_Reading_FLA[Student Number]),0),MATCH(B$7,YES_Reading_ELA[#Headers],0)),""))</f>
        <v/>
      </c>
      <c r="C571" s="137" t="str">
        <f>IFERROR(INDEX(_xlfn.VSTACK(YES_Writing_ELA[#Data], YES_Writing_FLA[#Data]),MATCH($A571,_xlfn.VSTACK(YES_Writing_ELA[Student Number], YES_Writing_FLA[Student Number]),0),MATCH(C$7,YES_Writing_ELA[#Headers],0)),IFERROR(INDEX(_xlfn.VSTACK(YES_Reading_ELA[#Data], YES_Reading_FLA[#Data]),MATCH($A571,_xlfn.VSTACK(YES_Reading_ELA[Student Number], YES_Reading_FLA[Student Number]),0),MATCH(C$7,YES_Reading_ELA[#Headers],0)),""))</f>
        <v/>
      </c>
      <c r="D571" s="138" t="str">
        <f>IFERROR(IF(IF(INDEX(_xlfn.VSTACK(YES_Writing_ELA[#Data],YES_Writing_FLA[#Data]),MATCH($A571,_xlfn.VSTACK(YES_Writing_ELA[Student Number],YES_Writing_FLA[Student Number]),0),MATCH(VLOOKUP(D$7,'Writing Logic'!$J$7:$K$11,2,FALSE)&amp;" - Per "&amp;VLOOKUP($C$4,'Writing Logic'!$G$8:$H$14,2,FALSE),YES_Writing_ELA[#Headers],0))=0,"",INDEX(_xlfn.VSTACK(YES_Writing_ELA[#Data],YES_Writing_FLA[#Data]),MATCH($A571,_xlfn.VSTACK(YES_Writing_ELA[Student Number],YES_Writing_FLA[Student Number]),0),MATCH(VLOOKUP(D$7,'Writing Logic'!$J$7:$K$11,2,FALSE)&amp;" - Per "&amp;VLOOKUP($C$4,'Writing Logic'!$G$8:$H$14,2,FALSE),YES_Writing_ELA[#Headers],0)))="INS",'Writing Logic'!$B$7,IF(INDEX(_xlfn.VSTACK(YES_Writing_ELA[#Data],YES_Writing_FLA[#Data]),MATCH($A571,_xlfn.VSTACK(YES_Writing_ELA[Student Number],YES_Writing_FLA[Student Number]),0),MATCH(VLOOKUP(D$7,'Writing Logic'!$J$7:$K$11,2,FALSE)&amp;" - Per "&amp;VLOOKUP($C$4,'Writing Logic'!$G$8:$H$14,2,FALSE),YES_Writing_ELA[#Headers],0))=0,"",INDEX(_xlfn.VSTACK(YES_Writing_ELA[#Data],YES_Writing_FLA[#Data]),MATCH($A571,_xlfn.VSTACK(YES_Writing_ELA[Student Number],YES_Writing_FLA[Student Number]),0),MATCH(VLOOKUP(D$7,'Writing Logic'!$J$7:$K$11,2,FALSE)&amp;" - Per "&amp;VLOOKUP($C$4,'Writing Logic'!$G$8:$H$14,2,FALSE),YES_Writing_ELA[#Headers],0)))),"")</f>
        <v/>
      </c>
      <c r="E571" s="138" t="str">
        <f>IFERROR(IF(IF(INDEX(_xlfn.VSTACK(YES_Writing_ELA[#Data],YES_Writing_FLA[#Data]),MATCH($A571,_xlfn.VSTACK(YES_Writing_ELA[Student Number],YES_Writing_FLA[Student Number]),0),MATCH(VLOOKUP(E$7,'Writing Logic'!$J$7:$K$11,2,FALSE)&amp;" - Per "&amp;VLOOKUP($C$4,'Writing Logic'!$G$8:$H$14,2,FALSE),YES_Writing_ELA[#Headers],0))=0,"",INDEX(_xlfn.VSTACK(YES_Writing_ELA[#Data],YES_Writing_FLA[#Data]),MATCH($A571,_xlfn.VSTACK(YES_Writing_ELA[Student Number],YES_Writing_FLA[Student Number]),0),MATCH(VLOOKUP(E$7,'Writing Logic'!$J$7:$K$11,2,FALSE)&amp;" - Per "&amp;VLOOKUP($C$4,'Writing Logic'!$G$8:$H$14,2,FALSE),YES_Writing_ELA[#Headers],0)))="INS",'Writing Logic'!$B$7,IF(INDEX(_xlfn.VSTACK(YES_Writing_ELA[#Data],YES_Writing_FLA[#Data]),MATCH($A571,_xlfn.VSTACK(YES_Writing_ELA[Student Number],YES_Writing_FLA[Student Number]),0),MATCH(VLOOKUP(E$7,'Writing Logic'!$J$7:$K$11,2,FALSE)&amp;" - Per "&amp;VLOOKUP($C$4,'Writing Logic'!$G$8:$H$14,2,FALSE),YES_Writing_ELA[#Headers],0))=0,"",INDEX(_xlfn.VSTACK(YES_Writing_ELA[#Data],YES_Writing_FLA[#Data]),MATCH($A571,_xlfn.VSTACK(YES_Writing_ELA[Student Number],YES_Writing_FLA[Student Number]),0),MATCH(VLOOKUP(E$7,'Writing Logic'!$J$7:$K$11,2,FALSE)&amp;" - Per "&amp;VLOOKUP($C$4,'Writing Logic'!$G$8:$H$14,2,FALSE),YES_Writing_ELA[#Headers],0)))),"")</f>
        <v/>
      </c>
      <c r="F571" s="138" t="str">
        <f>IFERROR(IF(IF(INDEX(_xlfn.VSTACK(YES_Writing_ELA[#Data],YES_Writing_FLA[#Data]),MATCH($A571,_xlfn.VSTACK(YES_Writing_ELA[Student Number],YES_Writing_FLA[Student Number]),0),MATCH(VLOOKUP(F$7,'Writing Logic'!$J$7:$K$11,2,FALSE)&amp;" - Per "&amp;VLOOKUP($C$4,'Writing Logic'!$G$8:$H$14,2,FALSE),YES_Writing_ELA[#Headers],0))=0,"",INDEX(_xlfn.VSTACK(YES_Writing_ELA[#Data],YES_Writing_FLA[#Data]),MATCH($A571,_xlfn.VSTACK(YES_Writing_ELA[Student Number],YES_Writing_FLA[Student Number]),0),MATCH(VLOOKUP(F$7,'Writing Logic'!$J$7:$K$11,2,FALSE)&amp;" - Per "&amp;VLOOKUP($C$4,'Writing Logic'!$G$8:$H$14,2,FALSE),YES_Writing_ELA[#Headers],0)))="INS",'Writing Logic'!$B$7,IF(INDEX(_xlfn.VSTACK(YES_Writing_ELA[#Data],YES_Writing_FLA[#Data]),MATCH($A571,_xlfn.VSTACK(YES_Writing_ELA[Student Number],YES_Writing_FLA[Student Number]),0),MATCH(VLOOKUP(F$7,'Writing Logic'!$J$7:$K$11,2,FALSE)&amp;" - Per "&amp;VLOOKUP($C$4,'Writing Logic'!$G$8:$H$14,2,FALSE),YES_Writing_ELA[#Headers],0))=0,"",INDEX(_xlfn.VSTACK(YES_Writing_ELA[#Data],YES_Writing_FLA[#Data]),MATCH($A571,_xlfn.VSTACK(YES_Writing_ELA[Student Number],YES_Writing_FLA[Student Number]),0),MATCH(VLOOKUP(F$7,'Writing Logic'!$J$7:$K$11,2,FALSE)&amp;" - Per "&amp;VLOOKUP($C$4,'Writing Logic'!$G$8:$H$14,2,FALSE),YES_Writing_ELA[#Headers],0)))),"")</f>
        <v/>
      </c>
      <c r="G571" s="138" t="str">
        <f>IFERROR(IF(IF(INDEX(_xlfn.VSTACK(YES_Writing_ELA[#Data],YES_Writing_FLA[#Data]),MATCH($A571,_xlfn.VSTACK(YES_Writing_ELA[Student Number],YES_Writing_FLA[Student Number]),0),MATCH(VLOOKUP(G$7,'Writing Logic'!$J$7:$K$11,2,FALSE)&amp;" - Per "&amp;VLOOKUP($C$4,'Writing Logic'!$G$8:$H$14,2,FALSE),YES_Writing_ELA[#Headers],0))=0,"",INDEX(_xlfn.VSTACK(YES_Writing_ELA[#Data],YES_Writing_FLA[#Data]),MATCH($A571,_xlfn.VSTACK(YES_Writing_ELA[Student Number],YES_Writing_FLA[Student Number]),0),MATCH(VLOOKUP(G$7,'Writing Logic'!$J$7:$K$11,2,FALSE)&amp;" - Per "&amp;VLOOKUP($C$4,'Writing Logic'!$G$8:$H$14,2,FALSE),YES_Writing_ELA[#Headers],0)))="INS",'Writing Logic'!$B$7,IF(INDEX(_xlfn.VSTACK(YES_Writing_ELA[#Data],YES_Writing_FLA[#Data]),MATCH($A571,_xlfn.VSTACK(YES_Writing_ELA[Student Number],YES_Writing_FLA[Student Number]),0),MATCH(VLOOKUP(G$7,'Writing Logic'!$J$7:$K$11,2,FALSE)&amp;" - Per "&amp;VLOOKUP($C$4,'Writing Logic'!$G$8:$H$14,2,FALSE),YES_Writing_ELA[#Headers],0))=0,"",INDEX(_xlfn.VSTACK(YES_Writing_ELA[#Data],YES_Writing_FLA[#Data]),MATCH($A571,_xlfn.VSTACK(YES_Writing_ELA[Student Number],YES_Writing_FLA[Student Number]),0),MATCH(VLOOKUP(G$7,'Writing Logic'!$J$7:$K$11,2,FALSE)&amp;" - Per "&amp;VLOOKUP($C$4,'Writing Logic'!$G$8:$H$14,2,FALSE),YES_Writing_ELA[#Headers],0)))),"")</f>
        <v/>
      </c>
      <c r="H571" s="223" t="str">
        <f>IFERROR(IF(IF(INDEX(_xlfn.VSTACK(YES_Writing_ELA[#Data],YES_Writing_FLA[#Data]),MATCH($A571,_xlfn.VSTACK(YES_Writing_ELA[Student Number],YES_Writing_FLA[Student Number]),0),MATCH(VLOOKUP(H$7,'Writing Logic'!$J$7:$K$11,2,FALSE)&amp;" - Per "&amp;VLOOKUP($C$4,'Writing Logic'!$G$8:$H$14,2,FALSE),YES_Writing_ELA[#Headers],0))=0,"",INDEX(_xlfn.VSTACK(YES_Writing_ELA[#Data],YES_Writing_FLA[#Data]),MATCH($A571,_xlfn.VSTACK(YES_Writing_ELA[Student Number],YES_Writing_FLA[Student Number]),0),MATCH(VLOOKUP(H$7,'Writing Logic'!$J$7:$K$11,2,FALSE)&amp;" - Per "&amp;VLOOKUP($C$4,'Writing Logic'!$G$8:$H$14,2,FALSE),YES_Writing_ELA[#Headers],0)))="INS",'Writing Logic'!$B$7,IF(INDEX(_xlfn.VSTACK(YES_Writing_ELA[#Data],YES_Writing_FLA[#Data]),MATCH($A571,_xlfn.VSTACK(YES_Writing_ELA[Student Number],YES_Writing_FLA[Student Number]),0),MATCH(VLOOKUP(H$7,'Writing Logic'!$J$7:$K$11,2,FALSE)&amp;" - Per "&amp;VLOOKUP($C$4,'Writing Logic'!$G$8:$H$14,2,FALSE),YES_Writing_ELA[#Headers],0))=0,"",INDEX(_xlfn.VSTACK(YES_Writing_ELA[#Data],YES_Writing_FLA[#Data]),MATCH($A571,_xlfn.VSTACK(YES_Writing_ELA[Student Number],YES_Writing_FLA[Student Number]),0),MATCH(VLOOKUP(H$7,'Writing Logic'!$J$7:$K$11,2,FALSE)&amp;" - Per "&amp;VLOOKUP($C$4,'Writing Logic'!$G$8:$H$14,2,FALSE),YES_Writing_ELA[#Headers],0)))),"")</f>
        <v/>
      </c>
      <c r="I571" s="224" t="str" cm="1">
        <f t="array" aca="1" ref="I571" ca="1">IFERROR(
IF($G$3="ELA",
IF(VLOOKUP($A571, YES_Reading_ELA[], COLUMN(INDIRECT("YES_Reading_ELA[Difference - Per "&amp;VLOOKUP($G$4, 'Reading Report Logic'!$A$2:$B$8, 2, FALSE)&amp;"]")), FALSE)="", "",
VLOOKUP($A571,YES_Reading_ELA[], COLUMN(INDIRECT("YES_Reading_ELA[Difference - Per "&amp;VLOOKUP($G$4,'Reading Report Logic'!$A$2:$B$8,2,FALSE)&amp;"]")), FALSE)),
IF($G$3="FLA",
IF(VLOOKUP($A571, YES_Reading_FLA[], COLUMN(INDIRECT("YES_Reading_FLA[Difference - Per "&amp;VLOOKUP($G$4,'Reading Report Logic'!$A$2:$B$8,2,FALSE)&amp;"]")),FALSE)="","",
VLOOKUP($A571,YES_Reading_FLA[],COLUMN(INDIRECT("YES_Reading_FLA[Difference - Per "&amp;VLOOKUP($G$4,'Reading Report Logic'!$A$2:$B$8,2,FALSE)&amp;"]")),FALSE)),
IF($G$3="Combined",
IFERROR(
IF(VLOOKUP($A571, YES_Reading_ELA[], COLUMN(INDIRECT("YES_Reading_ELA[Difference - Per "&amp;VLOOKUP($G$4, 'Reading Report Logic'!$A$2:$B$8,2,FALSE)&amp;"]")), FALSE)="", "",
VLOOKUP($A571,YES_Reading_ELA[],COLUMN(INDIRECT("YES_Reading_ELA[Difference - Per "&amp;VLOOKUP($G$4,'Reading Report Logic'!$A$2:$B$8,2,FALSE)&amp;"]")),FALSE)),
IF(VLOOKUP($A571, YES_Reading_FLA[], COLUMN(INDIRECT("YES_Reading_FLA[Difference - Per "&amp;VLOOKUP($G$4, 'Reading Report Logic'!$A$2:$B$8, 2, FALSE)&amp;"]")),FALSE)="", "", VLOOKUP($A571,YES_Reading_FLA[],COLUMN(INDIRECT("YES_Reading_FLA[Difference - Per "&amp;VLOOKUP($G$4, 'Reading Report Logic'!$A$2:$B$8, 2, FALSE)&amp;"]")),FALSE))),""))),"")</f>
        <v/>
      </c>
    </row>
    <row r="572" spans="1:9" x14ac:dyDescent="0.25">
      <c r="A572" s="137"/>
      <c r="B572" s="137" t="str">
        <f>IFERROR(INDEX(_xlfn.VSTACK(YES_Writing_ELA[#Data], YES_Writing_FLA[#Data]),MATCH($A572,_xlfn.VSTACK(YES_Writing_ELA[Student Number], YES_Writing_FLA[Student Number]),0),MATCH(B$7,YES_Writing_ELA[#Headers],0)),IFERROR(INDEX(_xlfn.VSTACK(YES_Reading_ELA[#Data], YES_Reading_FLA[#Data]),MATCH($A572,_xlfn.VSTACK(YES_Reading_ELA[Student Number], YES_Reading_FLA[Student Number]),0),MATCH(B$7,YES_Reading_ELA[#Headers],0)),""))</f>
        <v/>
      </c>
      <c r="C572" s="137" t="str">
        <f>IFERROR(INDEX(_xlfn.VSTACK(YES_Writing_ELA[#Data], YES_Writing_FLA[#Data]),MATCH($A572,_xlfn.VSTACK(YES_Writing_ELA[Student Number], YES_Writing_FLA[Student Number]),0),MATCH(C$7,YES_Writing_ELA[#Headers],0)),IFERROR(INDEX(_xlfn.VSTACK(YES_Reading_ELA[#Data], YES_Reading_FLA[#Data]),MATCH($A572,_xlfn.VSTACK(YES_Reading_ELA[Student Number], YES_Reading_FLA[Student Number]),0),MATCH(C$7,YES_Reading_ELA[#Headers],0)),""))</f>
        <v/>
      </c>
      <c r="D572" s="138" t="str">
        <f>IFERROR(IF(IF(INDEX(_xlfn.VSTACK(YES_Writing_ELA[#Data],YES_Writing_FLA[#Data]),MATCH($A572,_xlfn.VSTACK(YES_Writing_ELA[Student Number],YES_Writing_FLA[Student Number]),0),MATCH(VLOOKUP(D$7,'Writing Logic'!$J$7:$K$11,2,FALSE)&amp;" - Per "&amp;VLOOKUP($C$4,'Writing Logic'!$G$8:$H$14,2,FALSE),YES_Writing_ELA[#Headers],0))=0,"",INDEX(_xlfn.VSTACK(YES_Writing_ELA[#Data],YES_Writing_FLA[#Data]),MATCH($A572,_xlfn.VSTACK(YES_Writing_ELA[Student Number],YES_Writing_FLA[Student Number]),0),MATCH(VLOOKUP(D$7,'Writing Logic'!$J$7:$K$11,2,FALSE)&amp;" - Per "&amp;VLOOKUP($C$4,'Writing Logic'!$G$8:$H$14,2,FALSE),YES_Writing_ELA[#Headers],0)))="INS",'Writing Logic'!$B$7,IF(INDEX(_xlfn.VSTACK(YES_Writing_ELA[#Data],YES_Writing_FLA[#Data]),MATCH($A572,_xlfn.VSTACK(YES_Writing_ELA[Student Number],YES_Writing_FLA[Student Number]),0),MATCH(VLOOKUP(D$7,'Writing Logic'!$J$7:$K$11,2,FALSE)&amp;" - Per "&amp;VLOOKUP($C$4,'Writing Logic'!$G$8:$H$14,2,FALSE),YES_Writing_ELA[#Headers],0))=0,"",INDEX(_xlfn.VSTACK(YES_Writing_ELA[#Data],YES_Writing_FLA[#Data]),MATCH($A572,_xlfn.VSTACK(YES_Writing_ELA[Student Number],YES_Writing_FLA[Student Number]),0),MATCH(VLOOKUP(D$7,'Writing Logic'!$J$7:$K$11,2,FALSE)&amp;" - Per "&amp;VLOOKUP($C$4,'Writing Logic'!$G$8:$H$14,2,FALSE),YES_Writing_ELA[#Headers],0)))),"")</f>
        <v/>
      </c>
      <c r="E572" s="138" t="str">
        <f>IFERROR(IF(IF(INDEX(_xlfn.VSTACK(YES_Writing_ELA[#Data],YES_Writing_FLA[#Data]),MATCH($A572,_xlfn.VSTACK(YES_Writing_ELA[Student Number],YES_Writing_FLA[Student Number]),0),MATCH(VLOOKUP(E$7,'Writing Logic'!$J$7:$K$11,2,FALSE)&amp;" - Per "&amp;VLOOKUP($C$4,'Writing Logic'!$G$8:$H$14,2,FALSE),YES_Writing_ELA[#Headers],0))=0,"",INDEX(_xlfn.VSTACK(YES_Writing_ELA[#Data],YES_Writing_FLA[#Data]),MATCH($A572,_xlfn.VSTACK(YES_Writing_ELA[Student Number],YES_Writing_FLA[Student Number]),0),MATCH(VLOOKUP(E$7,'Writing Logic'!$J$7:$K$11,2,FALSE)&amp;" - Per "&amp;VLOOKUP($C$4,'Writing Logic'!$G$8:$H$14,2,FALSE),YES_Writing_ELA[#Headers],0)))="INS",'Writing Logic'!$B$7,IF(INDEX(_xlfn.VSTACK(YES_Writing_ELA[#Data],YES_Writing_FLA[#Data]),MATCH($A572,_xlfn.VSTACK(YES_Writing_ELA[Student Number],YES_Writing_FLA[Student Number]),0),MATCH(VLOOKUP(E$7,'Writing Logic'!$J$7:$K$11,2,FALSE)&amp;" - Per "&amp;VLOOKUP($C$4,'Writing Logic'!$G$8:$H$14,2,FALSE),YES_Writing_ELA[#Headers],0))=0,"",INDEX(_xlfn.VSTACK(YES_Writing_ELA[#Data],YES_Writing_FLA[#Data]),MATCH($A572,_xlfn.VSTACK(YES_Writing_ELA[Student Number],YES_Writing_FLA[Student Number]),0),MATCH(VLOOKUP(E$7,'Writing Logic'!$J$7:$K$11,2,FALSE)&amp;" - Per "&amp;VLOOKUP($C$4,'Writing Logic'!$G$8:$H$14,2,FALSE),YES_Writing_ELA[#Headers],0)))),"")</f>
        <v/>
      </c>
      <c r="F572" s="138" t="str">
        <f>IFERROR(IF(IF(INDEX(_xlfn.VSTACK(YES_Writing_ELA[#Data],YES_Writing_FLA[#Data]),MATCH($A572,_xlfn.VSTACK(YES_Writing_ELA[Student Number],YES_Writing_FLA[Student Number]),0),MATCH(VLOOKUP(F$7,'Writing Logic'!$J$7:$K$11,2,FALSE)&amp;" - Per "&amp;VLOOKUP($C$4,'Writing Logic'!$G$8:$H$14,2,FALSE),YES_Writing_ELA[#Headers],0))=0,"",INDEX(_xlfn.VSTACK(YES_Writing_ELA[#Data],YES_Writing_FLA[#Data]),MATCH($A572,_xlfn.VSTACK(YES_Writing_ELA[Student Number],YES_Writing_FLA[Student Number]),0),MATCH(VLOOKUP(F$7,'Writing Logic'!$J$7:$K$11,2,FALSE)&amp;" - Per "&amp;VLOOKUP($C$4,'Writing Logic'!$G$8:$H$14,2,FALSE),YES_Writing_ELA[#Headers],0)))="INS",'Writing Logic'!$B$7,IF(INDEX(_xlfn.VSTACK(YES_Writing_ELA[#Data],YES_Writing_FLA[#Data]),MATCH($A572,_xlfn.VSTACK(YES_Writing_ELA[Student Number],YES_Writing_FLA[Student Number]),0),MATCH(VLOOKUP(F$7,'Writing Logic'!$J$7:$K$11,2,FALSE)&amp;" - Per "&amp;VLOOKUP($C$4,'Writing Logic'!$G$8:$H$14,2,FALSE),YES_Writing_ELA[#Headers],0))=0,"",INDEX(_xlfn.VSTACK(YES_Writing_ELA[#Data],YES_Writing_FLA[#Data]),MATCH($A572,_xlfn.VSTACK(YES_Writing_ELA[Student Number],YES_Writing_FLA[Student Number]),0),MATCH(VLOOKUP(F$7,'Writing Logic'!$J$7:$K$11,2,FALSE)&amp;" - Per "&amp;VLOOKUP($C$4,'Writing Logic'!$G$8:$H$14,2,FALSE),YES_Writing_ELA[#Headers],0)))),"")</f>
        <v/>
      </c>
      <c r="G572" s="138" t="str">
        <f>IFERROR(IF(IF(INDEX(_xlfn.VSTACK(YES_Writing_ELA[#Data],YES_Writing_FLA[#Data]),MATCH($A572,_xlfn.VSTACK(YES_Writing_ELA[Student Number],YES_Writing_FLA[Student Number]),0),MATCH(VLOOKUP(G$7,'Writing Logic'!$J$7:$K$11,2,FALSE)&amp;" - Per "&amp;VLOOKUP($C$4,'Writing Logic'!$G$8:$H$14,2,FALSE),YES_Writing_ELA[#Headers],0))=0,"",INDEX(_xlfn.VSTACK(YES_Writing_ELA[#Data],YES_Writing_FLA[#Data]),MATCH($A572,_xlfn.VSTACK(YES_Writing_ELA[Student Number],YES_Writing_FLA[Student Number]),0),MATCH(VLOOKUP(G$7,'Writing Logic'!$J$7:$K$11,2,FALSE)&amp;" - Per "&amp;VLOOKUP($C$4,'Writing Logic'!$G$8:$H$14,2,FALSE),YES_Writing_ELA[#Headers],0)))="INS",'Writing Logic'!$B$7,IF(INDEX(_xlfn.VSTACK(YES_Writing_ELA[#Data],YES_Writing_FLA[#Data]),MATCH($A572,_xlfn.VSTACK(YES_Writing_ELA[Student Number],YES_Writing_FLA[Student Number]),0),MATCH(VLOOKUP(G$7,'Writing Logic'!$J$7:$K$11,2,FALSE)&amp;" - Per "&amp;VLOOKUP($C$4,'Writing Logic'!$G$8:$H$14,2,FALSE),YES_Writing_ELA[#Headers],0))=0,"",INDEX(_xlfn.VSTACK(YES_Writing_ELA[#Data],YES_Writing_FLA[#Data]),MATCH($A572,_xlfn.VSTACK(YES_Writing_ELA[Student Number],YES_Writing_FLA[Student Number]),0),MATCH(VLOOKUP(G$7,'Writing Logic'!$J$7:$K$11,2,FALSE)&amp;" - Per "&amp;VLOOKUP($C$4,'Writing Logic'!$G$8:$H$14,2,FALSE),YES_Writing_ELA[#Headers],0)))),"")</f>
        <v/>
      </c>
      <c r="H572" s="223" t="str">
        <f>IFERROR(IF(IF(INDEX(_xlfn.VSTACK(YES_Writing_ELA[#Data],YES_Writing_FLA[#Data]),MATCH($A572,_xlfn.VSTACK(YES_Writing_ELA[Student Number],YES_Writing_FLA[Student Number]),0),MATCH(VLOOKUP(H$7,'Writing Logic'!$J$7:$K$11,2,FALSE)&amp;" - Per "&amp;VLOOKUP($C$4,'Writing Logic'!$G$8:$H$14,2,FALSE),YES_Writing_ELA[#Headers],0))=0,"",INDEX(_xlfn.VSTACK(YES_Writing_ELA[#Data],YES_Writing_FLA[#Data]),MATCH($A572,_xlfn.VSTACK(YES_Writing_ELA[Student Number],YES_Writing_FLA[Student Number]),0),MATCH(VLOOKUP(H$7,'Writing Logic'!$J$7:$K$11,2,FALSE)&amp;" - Per "&amp;VLOOKUP($C$4,'Writing Logic'!$G$8:$H$14,2,FALSE),YES_Writing_ELA[#Headers],0)))="INS",'Writing Logic'!$B$7,IF(INDEX(_xlfn.VSTACK(YES_Writing_ELA[#Data],YES_Writing_FLA[#Data]),MATCH($A572,_xlfn.VSTACK(YES_Writing_ELA[Student Number],YES_Writing_FLA[Student Number]),0),MATCH(VLOOKUP(H$7,'Writing Logic'!$J$7:$K$11,2,FALSE)&amp;" - Per "&amp;VLOOKUP($C$4,'Writing Logic'!$G$8:$H$14,2,FALSE),YES_Writing_ELA[#Headers],0))=0,"",INDEX(_xlfn.VSTACK(YES_Writing_ELA[#Data],YES_Writing_FLA[#Data]),MATCH($A572,_xlfn.VSTACK(YES_Writing_ELA[Student Number],YES_Writing_FLA[Student Number]),0),MATCH(VLOOKUP(H$7,'Writing Logic'!$J$7:$K$11,2,FALSE)&amp;" - Per "&amp;VLOOKUP($C$4,'Writing Logic'!$G$8:$H$14,2,FALSE),YES_Writing_ELA[#Headers],0)))),"")</f>
        <v/>
      </c>
      <c r="I572" s="224" t="str" cm="1">
        <f t="array" aca="1" ref="I572" ca="1">IFERROR(
IF($G$3="ELA",
IF(VLOOKUP($A572, YES_Reading_ELA[], COLUMN(INDIRECT("YES_Reading_ELA[Difference - Per "&amp;VLOOKUP($G$4, 'Reading Report Logic'!$A$2:$B$8, 2, FALSE)&amp;"]")), FALSE)="", "",
VLOOKUP($A572,YES_Reading_ELA[], COLUMN(INDIRECT("YES_Reading_ELA[Difference - Per "&amp;VLOOKUP($G$4,'Reading Report Logic'!$A$2:$B$8,2,FALSE)&amp;"]")), FALSE)),
IF($G$3="FLA",
IF(VLOOKUP($A572, YES_Reading_FLA[], COLUMN(INDIRECT("YES_Reading_FLA[Difference - Per "&amp;VLOOKUP($G$4,'Reading Report Logic'!$A$2:$B$8,2,FALSE)&amp;"]")),FALSE)="","",
VLOOKUP($A572,YES_Reading_FLA[],COLUMN(INDIRECT("YES_Reading_FLA[Difference - Per "&amp;VLOOKUP($G$4,'Reading Report Logic'!$A$2:$B$8,2,FALSE)&amp;"]")),FALSE)),
IF($G$3="Combined",
IFERROR(
IF(VLOOKUP($A572, YES_Reading_ELA[], COLUMN(INDIRECT("YES_Reading_ELA[Difference - Per "&amp;VLOOKUP($G$4, 'Reading Report Logic'!$A$2:$B$8,2,FALSE)&amp;"]")), FALSE)="", "",
VLOOKUP($A572,YES_Reading_ELA[],COLUMN(INDIRECT("YES_Reading_ELA[Difference - Per "&amp;VLOOKUP($G$4,'Reading Report Logic'!$A$2:$B$8,2,FALSE)&amp;"]")),FALSE)),
IF(VLOOKUP($A572, YES_Reading_FLA[], COLUMN(INDIRECT("YES_Reading_FLA[Difference - Per "&amp;VLOOKUP($G$4, 'Reading Report Logic'!$A$2:$B$8, 2, FALSE)&amp;"]")),FALSE)="", "", VLOOKUP($A572,YES_Reading_FLA[],COLUMN(INDIRECT("YES_Reading_FLA[Difference - Per "&amp;VLOOKUP($G$4, 'Reading Report Logic'!$A$2:$B$8, 2, FALSE)&amp;"]")),FALSE))),""))),"")</f>
        <v/>
      </c>
    </row>
    <row r="573" spans="1:9" x14ac:dyDescent="0.25">
      <c r="A573" s="137"/>
      <c r="B573" s="137" t="str">
        <f>IFERROR(INDEX(_xlfn.VSTACK(YES_Writing_ELA[#Data], YES_Writing_FLA[#Data]),MATCH($A573,_xlfn.VSTACK(YES_Writing_ELA[Student Number], YES_Writing_FLA[Student Number]),0),MATCH(B$7,YES_Writing_ELA[#Headers],0)),IFERROR(INDEX(_xlfn.VSTACK(YES_Reading_ELA[#Data], YES_Reading_FLA[#Data]),MATCH($A573,_xlfn.VSTACK(YES_Reading_ELA[Student Number], YES_Reading_FLA[Student Number]),0),MATCH(B$7,YES_Reading_ELA[#Headers],0)),""))</f>
        <v/>
      </c>
      <c r="C573" s="137" t="str">
        <f>IFERROR(INDEX(_xlfn.VSTACK(YES_Writing_ELA[#Data], YES_Writing_FLA[#Data]),MATCH($A573,_xlfn.VSTACK(YES_Writing_ELA[Student Number], YES_Writing_FLA[Student Number]),0),MATCH(C$7,YES_Writing_ELA[#Headers],0)),IFERROR(INDEX(_xlfn.VSTACK(YES_Reading_ELA[#Data], YES_Reading_FLA[#Data]),MATCH($A573,_xlfn.VSTACK(YES_Reading_ELA[Student Number], YES_Reading_FLA[Student Number]),0),MATCH(C$7,YES_Reading_ELA[#Headers],0)),""))</f>
        <v/>
      </c>
      <c r="D573" s="138" t="str">
        <f>IFERROR(IF(IF(INDEX(_xlfn.VSTACK(YES_Writing_ELA[#Data],YES_Writing_FLA[#Data]),MATCH($A573,_xlfn.VSTACK(YES_Writing_ELA[Student Number],YES_Writing_FLA[Student Number]),0),MATCH(VLOOKUP(D$7,'Writing Logic'!$J$7:$K$11,2,FALSE)&amp;" - Per "&amp;VLOOKUP($C$4,'Writing Logic'!$G$8:$H$14,2,FALSE),YES_Writing_ELA[#Headers],0))=0,"",INDEX(_xlfn.VSTACK(YES_Writing_ELA[#Data],YES_Writing_FLA[#Data]),MATCH($A573,_xlfn.VSTACK(YES_Writing_ELA[Student Number],YES_Writing_FLA[Student Number]),0),MATCH(VLOOKUP(D$7,'Writing Logic'!$J$7:$K$11,2,FALSE)&amp;" - Per "&amp;VLOOKUP($C$4,'Writing Logic'!$G$8:$H$14,2,FALSE),YES_Writing_ELA[#Headers],0)))="INS",'Writing Logic'!$B$7,IF(INDEX(_xlfn.VSTACK(YES_Writing_ELA[#Data],YES_Writing_FLA[#Data]),MATCH($A573,_xlfn.VSTACK(YES_Writing_ELA[Student Number],YES_Writing_FLA[Student Number]),0),MATCH(VLOOKUP(D$7,'Writing Logic'!$J$7:$K$11,2,FALSE)&amp;" - Per "&amp;VLOOKUP($C$4,'Writing Logic'!$G$8:$H$14,2,FALSE),YES_Writing_ELA[#Headers],0))=0,"",INDEX(_xlfn.VSTACK(YES_Writing_ELA[#Data],YES_Writing_FLA[#Data]),MATCH($A573,_xlfn.VSTACK(YES_Writing_ELA[Student Number],YES_Writing_FLA[Student Number]),0),MATCH(VLOOKUP(D$7,'Writing Logic'!$J$7:$K$11,2,FALSE)&amp;" - Per "&amp;VLOOKUP($C$4,'Writing Logic'!$G$8:$H$14,2,FALSE),YES_Writing_ELA[#Headers],0)))),"")</f>
        <v/>
      </c>
      <c r="E573" s="138" t="str">
        <f>IFERROR(IF(IF(INDEX(_xlfn.VSTACK(YES_Writing_ELA[#Data],YES_Writing_FLA[#Data]),MATCH($A573,_xlfn.VSTACK(YES_Writing_ELA[Student Number],YES_Writing_FLA[Student Number]),0),MATCH(VLOOKUP(E$7,'Writing Logic'!$J$7:$K$11,2,FALSE)&amp;" - Per "&amp;VLOOKUP($C$4,'Writing Logic'!$G$8:$H$14,2,FALSE),YES_Writing_ELA[#Headers],0))=0,"",INDEX(_xlfn.VSTACK(YES_Writing_ELA[#Data],YES_Writing_FLA[#Data]),MATCH($A573,_xlfn.VSTACK(YES_Writing_ELA[Student Number],YES_Writing_FLA[Student Number]),0),MATCH(VLOOKUP(E$7,'Writing Logic'!$J$7:$K$11,2,FALSE)&amp;" - Per "&amp;VLOOKUP($C$4,'Writing Logic'!$G$8:$H$14,2,FALSE),YES_Writing_ELA[#Headers],0)))="INS",'Writing Logic'!$B$7,IF(INDEX(_xlfn.VSTACK(YES_Writing_ELA[#Data],YES_Writing_FLA[#Data]),MATCH($A573,_xlfn.VSTACK(YES_Writing_ELA[Student Number],YES_Writing_FLA[Student Number]),0),MATCH(VLOOKUP(E$7,'Writing Logic'!$J$7:$K$11,2,FALSE)&amp;" - Per "&amp;VLOOKUP($C$4,'Writing Logic'!$G$8:$H$14,2,FALSE),YES_Writing_ELA[#Headers],0))=0,"",INDEX(_xlfn.VSTACK(YES_Writing_ELA[#Data],YES_Writing_FLA[#Data]),MATCH($A573,_xlfn.VSTACK(YES_Writing_ELA[Student Number],YES_Writing_FLA[Student Number]),0),MATCH(VLOOKUP(E$7,'Writing Logic'!$J$7:$K$11,2,FALSE)&amp;" - Per "&amp;VLOOKUP($C$4,'Writing Logic'!$G$8:$H$14,2,FALSE),YES_Writing_ELA[#Headers],0)))),"")</f>
        <v/>
      </c>
      <c r="F573" s="138" t="str">
        <f>IFERROR(IF(IF(INDEX(_xlfn.VSTACK(YES_Writing_ELA[#Data],YES_Writing_FLA[#Data]),MATCH($A573,_xlfn.VSTACK(YES_Writing_ELA[Student Number],YES_Writing_FLA[Student Number]),0),MATCH(VLOOKUP(F$7,'Writing Logic'!$J$7:$K$11,2,FALSE)&amp;" - Per "&amp;VLOOKUP($C$4,'Writing Logic'!$G$8:$H$14,2,FALSE),YES_Writing_ELA[#Headers],0))=0,"",INDEX(_xlfn.VSTACK(YES_Writing_ELA[#Data],YES_Writing_FLA[#Data]),MATCH($A573,_xlfn.VSTACK(YES_Writing_ELA[Student Number],YES_Writing_FLA[Student Number]),0),MATCH(VLOOKUP(F$7,'Writing Logic'!$J$7:$K$11,2,FALSE)&amp;" - Per "&amp;VLOOKUP($C$4,'Writing Logic'!$G$8:$H$14,2,FALSE),YES_Writing_ELA[#Headers],0)))="INS",'Writing Logic'!$B$7,IF(INDEX(_xlfn.VSTACK(YES_Writing_ELA[#Data],YES_Writing_FLA[#Data]),MATCH($A573,_xlfn.VSTACK(YES_Writing_ELA[Student Number],YES_Writing_FLA[Student Number]),0),MATCH(VLOOKUP(F$7,'Writing Logic'!$J$7:$K$11,2,FALSE)&amp;" - Per "&amp;VLOOKUP($C$4,'Writing Logic'!$G$8:$H$14,2,FALSE),YES_Writing_ELA[#Headers],0))=0,"",INDEX(_xlfn.VSTACK(YES_Writing_ELA[#Data],YES_Writing_FLA[#Data]),MATCH($A573,_xlfn.VSTACK(YES_Writing_ELA[Student Number],YES_Writing_FLA[Student Number]),0),MATCH(VLOOKUP(F$7,'Writing Logic'!$J$7:$K$11,2,FALSE)&amp;" - Per "&amp;VLOOKUP($C$4,'Writing Logic'!$G$8:$H$14,2,FALSE),YES_Writing_ELA[#Headers],0)))),"")</f>
        <v/>
      </c>
      <c r="G573" s="138" t="str">
        <f>IFERROR(IF(IF(INDEX(_xlfn.VSTACK(YES_Writing_ELA[#Data],YES_Writing_FLA[#Data]),MATCH($A573,_xlfn.VSTACK(YES_Writing_ELA[Student Number],YES_Writing_FLA[Student Number]),0),MATCH(VLOOKUP(G$7,'Writing Logic'!$J$7:$K$11,2,FALSE)&amp;" - Per "&amp;VLOOKUP($C$4,'Writing Logic'!$G$8:$H$14,2,FALSE),YES_Writing_ELA[#Headers],0))=0,"",INDEX(_xlfn.VSTACK(YES_Writing_ELA[#Data],YES_Writing_FLA[#Data]),MATCH($A573,_xlfn.VSTACK(YES_Writing_ELA[Student Number],YES_Writing_FLA[Student Number]),0),MATCH(VLOOKUP(G$7,'Writing Logic'!$J$7:$K$11,2,FALSE)&amp;" - Per "&amp;VLOOKUP($C$4,'Writing Logic'!$G$8:$H$14,2,FALSE),YES_Writing_ELA[#Headers],0)))="INS",'Writing Logic'!$B$7,IF(INDEX(_xlfn.VSTACK(YES_Writing_ELA[#Data],YES_Writing_FLA[#Data]),MATCH($A573,_xlfn.VSTACK(YES_Writing_ELA[Student Number],YES_Writing_FLA[Student Number]),0),MATCH(VLOOKUP(G$7,'Writing Logic'!$J$7:$K$11,2,FALSE)&amp;" - Per "&amp;VLOOKUP($C$4,'Writing Logic'!$G$8:$H$14,2,FALSE),YES_Writing_ELA[#Headers],0))=0,"",INDEX(_xlfn.VSTACK(YES_Writing_ELA[#Data],YES_Writing_FLA[#Data]),MATCH($A573,_xlfn.VSTACK(YES_Writing_ELA[Student Number],YES_Writing_FLA[Student Number]),0),MATCH(VLOOKUP(G$7,'Writing Logic'!$J$7:$K$11,2,FALSE)&amp;" - Per "&amp;VLOOKUP($C$4,'Writing Logic'!$G$8:$H$14,2,FALSE),YES_Writing_ELA[#Headers],0)))),"")</f>
        <v/>
      </c>
      <c r="H573" s="223" t="str">
        <f>IFERROR(IF(IF(INDEX(_xlfn.VSTACK(YES_Writing_ELA[#Data],YES_Writing_FLA[#Data]),MATCH($A573,_xlfn.VSTACK(YES_Writing_ELA[Student Number],YES_Writing_FLA[Student Number]),0),MATCH(VLOOKUP(H$7,'Writing Logic'!$J$7:$K$11,2,FALSE)&amp;" - Per "&amp;VLOOKUP($C$4,'Writing Logic'!$G$8:$H$14,2,FALSE),YES_Writing_ELA[#Headers],0))=0,"",INDEX(_xlfn.VSTACK(YES_Writing_ELA[#Data],YES_Writing_FLA[#Data]),MATCH($A573,_xlfn.VSTACK(YES_Writing_ELA[Student Number],YES_Writing_FLA[Student Number]),0),MATCH(VLOOKUP(H$7,'Writing Logic'!$J$7:$K$11,2,FALSE)&amp;" - Per "&amp;VLOOKUP($C$4,'Writing Logic'!$G$8:$H$14,2,FALSE),YES_Writing_ELA[#Headers],0)))="INS",'Writing Logic'!$B$7,IF(INDEX(_xlfn.VSTACK(YES_Writing_ELA[#Data],YES_Writing_FLA[#Data]),MATCH($A573,_xlfn.VSTACK(YES_Writing_ELA[Student Number],YES_Writing_FLA[Student Number]),0),MATCH(VLOOKUP(H$7,'Writing Logic'!$J$7:$K$11,2,FALSE)&amp;" - Per "&amp;VLOOKUP($C$4,'Writing Logic'!$G$8:$H$14,2,FALSE),YES_Writing_ELA[#Headers],0))=0,"",INDEX(_xlfn.VSTACK(YES_Writing_ELA[#Data],YES_Writing_FLA[#Data]),MATCH($A573,_xlfn.VSTACK(YES_Writing_ELA[Student Number],YES_Writing_FLA[Student Number]),0),MATCH(VLOOKUP(H$7,'Writing Logic'!$J$7:$K$11,2,FALSE)&amp;" - Per "&amp;VLOOKUP($C$4,'Writing Logic'!$G$8:$H$14,2,FALSE),YES_Writing_ELA[#Headers],0)))),"")</f>
        <v/>
      </c>
      <c r="I573" s="224" t="str" cm="1">
        <f t="array" aca="1" ref="I573" ca="1">IFERROR(
IF($G$3="ELA",
IF(VLOOKUP($A573, YES_Reading_ELA[], COLUMN(INDIRECT("YES_Reading_ELA[Difference - Per "&amp;VLOOKUP($G$4, 'Reading Report Logic'!$A$2:$B$8, 2, FALSE)&amp;"]")), FALSE)="", "",
VLOOKUP($A573,YES_Reading_ELA[], COLUMN(INDIRECT("YES_Reading_ELA[Difference - Per "&amp;VLOOKUP($G$4,'Reading Report Logic'!$A$2:$B$8,2,FALSE)&amp;"]")), FALSE)),
IF($G$3="FLA",
IF(VLOOKUP($A573, YES_Reading_FLA[], COLUMN(INDIRECT("YES_Reading_FLA[Difference - Per "&amp;VLOOKUP($G$4,'Reading Report Logic'!$A$2:$B$8,2,FALSE)&amp;"]")),FALSE)="","",
VLOOKUP($A573,YES_Reading_FLA[],COLUMN(INDIRECT("YES_Reading_FLA[Difference - Per "&amp;VLOOKUP($G$4,'Reading Report Logic'!$A$2:$B$8,2,FALSE)&amp;"]")),FALSE)),
IF($G$3="Combined",
IFERROR(
IF(VLOOKUP($A573, YES_Reading_ELA[], COLUMN(INDIRECT("YES_Reading_ELA[Difference - Per "&amp;VLOOKUP($G$4, 'Reading Report Logic'!$A$2:$B$8,2,FALSE)&amp;"]")), FALSE)="", "",
VLOOKUP($A573,YES_Reading_ELA[],COLUMN(INDIRECT("YES_Reading_ELA[Difference - Per "&amp;VLOOKUP($G$4,'Reading Report Logic'!$A$2:$B$8,2,FALSE)&amp;"]")),FALSE)),
IF(VLOOKUP($A573, YES_Reading_FLA[], COLUMN(INDIRECT("YES_Reading_FLA[Difference - Per "&amp;VLOOKUP($G$4, 'Reading Report Logic'!$A$2:$B$8, 2, FALSE)&amp;"]")),FALSE)="", "", VLOOKUP($A573,YES_Reading_FLA[],COLUMN(INDIRECT("YES_Reading_FLA[Difference - Per "&amp;VLOOKUP($G$4, 'Reading Report Logic'!$A$2:$B$8, 2, FALSE)&amp;"]")),FALSE))),""))),"")</f>
        <v/>
      </c>
    </row>
    <row r="574" spans="1:9" x14ac:dyDescent="0.25">
      <c r="A574" s="137"/>
      <c r="B574" s="137" t="str">
        <f>IFERROR(INDEX(_xlfn.VSTACK(YES_Writing_ELA[#Data], YES_Writing_FLA[#Data]),MATCH($A574,_xlfn.VSTACK(YES_Writing_ELA[Student Number], YES_Writing_FLA[Student Number]),0),MATCH(B$7,YES_Writing_ELA[#Headers],0)),IFERROR(INDEX(_xlfn.VSTACK(YES_Reading_ELA[#Data], YES_Reading_FLA[#Data]),MATCH($A574,_xlfn.VSTACK(YES_Reading_ELA[Student Number], YES_Reading_FLA[Student Number]),0),MATCH(B$7,YES_Reading_ELA[#Headers],0)),""))</f>
        <v/>
      </c>
      <c r="C574" s="137" t="str">
        <f>IFERROR(INDEX(_xlfn.VSTACK(YES_Writing_ELA[#Data], YES_Writing_FLA[#Data]),MATCH($A574,_xlfn.VSTACK(YES_Writing_ELA[Student Number], YES_Writing_FLA[Student Number]),0),MATCH(C$7,YES_Writing_ELA[#Headers],0)),IFERROR(INDEX(_xlfn.VSTACK(YES_Reading_ELA[#Data], YES_Reading_FLA[#Data]),MATCH($A574,_xlfn.VSTACK(YES_Reading_ELA[Student Number], YES_Reading_FLA[Student Number]),0),MATCH(C$7,YES_Reading_ELA[#Headers],0)),""))</f>
        <v/>
      </c>
      <c r="D574" s="138" t="str">
        <f>IFERROR(IF(IF(INDEX(_xlfn.VSTACK(YES_Writing_ELA[#Data],YES_Writing_FLA[#Data]),MATCH($A574,_xlfn.VSTACK(YES_Writing_ELA[Student Number],YES_Writing_FLA[Student Number]),0),MATCH(VLOOKUP(D$7,'Writing Logic'!$J$7:$K$11,2,FALSE)&amp;" - Per "&amp;VLOOKUP($C$4,'Writing Logic'!$G$8:$H$14,2,FALSE),YES_Writing_ELA[#Headers],0))=0,"",INDEX(_xlfn.VSTACK(YES_Writing_ELA[#Data],YES_Writing_FLA[#Data]),MATCH($A574,_xlfn.VSTACK(YES_Writing_ELA[Student Number],YES_Writing_FLA[Student Number]),0),MATCH(VLOOKUP(D$7,'Writing Logic'!$J$7:$K$11,2,FALSE)&amp;" - Per "&amp;VLOOKUP($C$4,'Writing Logic'!$G$8:$H$14,2,FALSE),YES_Writing_ELA[#Headers],0)))="INS",'Writing Logic'!$B$7,IF(INDEX(_xlfn.VSTACK(YES_Writing_ELA[#Data],YES_Writing_FLA[#Data]),MATCH($A574,_xlfn.VSTACK(YES_Writing_ELA[Student Number],YES_Writing_FLA[Student Number]),0),MATCH(VLOOKUP(D$7,'Writing Logic'!$J$7:$K$11,2,FALSE)&amp;" - Per "&amp;VLOOKUP($C$4,'Writing Logic'!$G$8:$H$14,2,FALSE),YES_Writing_ELA[#Headers],0))=0,"",INDEX(_xlfn.VSTACK(YES_Writing_ELA[#Data],YES_Writing_FLA[#Data]),MATCH($A574,_xlfn.VSTACK(YES_Writing_ELA[Student Number],YES_Writing_FLA[Student Number]),0),MATCH(VLOOKUP(D$7,'Writing Logic'!$J$7:$K$11,2,FALSE)&amp;" - Per "&amp;VLOOKUP($C$4,'Writing Logic'!$G$8:$H$14,2,FALSE),YES_Writing_ELA[#Headers],0)))),"")</f>
        <v/>
      </c>
      <c r="E574" s="138" t="str">
        <f>IFERROR(IF(IF(INDEX(_xlfn.VSTACK(YES_Writing_ELA[#Data],YES_Writing_FLA[#Data]),MATCH($A574,_xlfn.VSTACK(YES_Writing_ELA[Student Number],YES_Writing_FLA[Student Number]),0),MATCH(VLOOKUP(E$7,'Writing Logic'!$J$7:$K$11,2,FALSE)&amp;" - Per "&amp;VLOOKUP($C$4,'Writing Logic'!$G$8:$H$14,2,FALSE),YES_Writing_ELA[#Headers],0))=0,"",INDEX(_xlfn.VSTACK(YES_Writing_ELA[#Data],YES_Writing_FLA[#Data]),MATCH($A574,_xlfn.VSTACK(YES_Writing_ELA[Student Number],YES_Writing_FLA[Student Number]),0),MATCH(VLOOKUP(E$7,'Writing Logic'!$J$7:$K$11,2,FALSE)&amp;" - Per "&amp;VLOOKUP($C$4,'Writing Logic'!$G$8:$H$14,2,FALSE),YES_Writing_ELA[#Headers],0)))="INS",'Writing Logic'!$B$7,IF(INDEX(_xlfn.VSTACK(YES_Writing_ELA[#Data],YES_Writing_FLA[#Data]),MATCH($A574,_xlfn.VSTACK(YES_Writing_ELA[Student Number],YES_Writing_FLA[Student Number]),0),MATCH(VLOOKUP(E$7,'Writing Logic'!$J$7:$K$11,2,FALSE)&amp;" - Per "&amp;VLOOKUP($C$4,'Writing Logic'!$G$8:$H$14,2,FALSE),YES_Writing_ELA[#Headers],0))=0,"",INDEX(_xlfn.VSTACK(YES_Writing_ELA[#Data],YES_Writing_FLA[#Data]),MATCH($A574,_xlfn.VSTACK(YES_Writing_ELA[Student Number],YES_Writing_FLA[Student Number]),0),MATCH(VLOOKUP(E$7,'Writing Logic'!$J$7:$K$11,2,FALSE)&amp;" - Per "&amp;VLOOKUP($C$4,'Writing Logic'!$G$8:$H$14,2,FALSE),YES_Writing_ELA[#Headers],0)))),"")</f>
        <v/>
      </c>
      <c r="F574" s="138" t="str">
        <f>IFERROR(IF(IF(INDEX(_xlfn.VSTACK(YES_Writing_ELA[#Data],YES_Writing_FLA[#Data]),MATCH($A574,_xlfn.VSTACK(YES_Writing_ELA[Student Number],YES_Writing_FLA[Student Number]),0),MATCH(VLOOKUP(F$7,'Writing Logic'!$J$7:$K$11,2,FALSE)&amp;" - Per "&amp;VLOOKUP($C$4,'Writing Logic'!$G$8:$H$14,2,FALSE),YES_Writing_ELA[#Headers],0))=0,"",INDEX(_xlfn.VSTACK(YES_Writing_ELA[#Data],YES_Writing_FLA[#Data]),MATCH($A574,_xlfn.VSTACK(YES_Writing_ELA[Student Number],YES_Writing_FLA[Student Number]),0),MATCH(VLOOKUP(F$7,'Writing Logic'!$J$7:$K$11,2,FALSE)&amp;" - Per "&amp;VLOOKUP($C$4,'Writing Logic'!$G$8:$H$14,2,FALSE),YES_Writing_ELA[#Headers],0)))="INS",'Writing Logic'!$B$7,IF(INDEX(_xlfn.VSTACK(YES_Writing_ELA[#Data],YES_Writing_FLA[#Data]),MATCH($A574,_xlfn.VSTACK(YES_Writing_ELA[Student Number],YES_Writing_FLA[Student Number]),0),MATCH(VLOOKUP(F$7,'Writing Logic'!$J$7:$K$11,2,FALSE)&amp;" - Per "&amp;VLOOKUP($C$4,'Writing Logic'!$G$8:$H$14,2,FALSE),YES_Writing_ELA[#Headers],0))=0,"",INDEX(_xlfn.VSTACK(YES_Writing_ELA[#Data],YES_Writing_FLA[#Data]),MATCH($A574,_xlfn.VSTACK(YES_Writing_ELA[Student Number],YES_Writing_FLA[Student Number]),0),MATCH(VLOOKUP(F$7,'Writing Logic'!$J$7:$K$11,2,FALSE)&amp;" - Per "&amp;VLOOKUP($C$4,'Writing Logic'!$G$8:$H$14,2,FALSE),YES_Writing_ELA[#Headers],0)))),"")</f>
        <v/>
      </c>
      <c r="G574" s="138" t="str">
        <f>IFERROR(IF(IF(INDEX(_xlfn.VSTACK(YES_Writing_ELA[#Data],YES_Writing_FLA[#Data]),MATCH($A574,_xlfn.VSTACK(YES_Writing_ELA[Student Number],YES_Writing_FLA[Student Number]),0),MATCH(VLOOKUP(G$7,'Writing Logic'!$J$7:$K$11,2,FALSE)&amp;" - Per "&amp;VLOOKUP($C$4,'Writing Logic'!$G$8:$H$14,2,FALSE),YES_Writing_ELA[#Headers],0))=0,"",INDEX(_xlfn.VSTACK(YES_Writing_ELA[#Data],YES_Writing_FLA[#Data]),MATCH($A574,_xlfn.VSTACK(YES_Writing_ELA[Student Number],YES_Writing_FLA[Student Number]),0),MATCH(VLOOKUP(G$7,'Writing Logic'!$J$7:$K$11,2,FALSE)&amp;" - Per "&amp;VLOOKUP($C$4,'Writing Logic'!$G$8:$H$14,2,FALSE),YES_Writing_ELA[#Headers],0)))="INS",'Writing Logic'!$B$7,IF(INDEX(_xlfn.VSTACK(YES_Writing_ELA[#Data],YES_Writing_FLA[#Data]),MATCH($A574,_xlfn.VSTACK(YES_Writing_ELA[Student Number],YES_Writing_FLA[Student Number]),0),MATCH(VLOOKUP(G$7,'Writing Logic'!$J$7:$K$11,2,FALSE)&amp;" - Per "&amp;VLOOKUP($C$4,'Writing Logic'!$G$8:$H$14,2,FALSE),YES_Writing_ELA[#Headers],0))=0,"",INDEX(_xlfn.VSTACK(YES_Writing_ELA[#Data],YES_Writing_FLA[#Data]),MATCH($A574,_xlfn.VSTACK(YES_Writing_ELA[Student Number],YES_Writing_FLA[Student Number]),0),MATCH(VLOOKUP(G$7,'Writing Logic'!$J$7:$K$11,2,FALSE)&amp;" - Per "&amp;VLOOKUP($C$4,'Writing Logic'!$G$8:$H$14,2,FALSE),YES_Writing_ELA[#Headers],0)))),"")</f>
        <v/>
      </c>
      <c r="H574" s="223" t="str">
        <f>IFERROR(IF(IF(INDEX(_xlfn.VSTACK(YES_Writing_ELA[#Data],YES_Writing_FLA[#Data]),MATCH($A574,_xlfn.VSTACK(YES_Writing_ELA[Student Number],YES_Writing_FLA[Student Number]),0),MATCH(VLOOKUP(H$7,'Writing Logic'!$J$7:$K$11,2,FALSE)&amp;" - Per "&amp;VLOOKUP($C$4,'Writing Logic'!$G$8:$H$14,2,FALSE),YES_Writing_ELA[#Headers],0))=0,"",INDEX(_xlfn.VSTACK(YES_Writing_ELA[#Data],YES_Writing_FLA[#Data]),MATCH($A574,_xlfn.VSTACK(YES_Writing_ELA[Student Number],YES_Writing_FLA[Student Number]),0),MATCH(VLOOKUP(H$7,'Writing Logic'!$J$7:$K$11,2,FALSE)&amp;" - Per "&amp;VLOOKUP($C$4,'Writing Logic'!$G$8:$H$14,2,FALSE),YES_Writing_ELA[#Headers],0)))="INS",'Writing Logic'!$B$7,IF(INDEX(_xlfn.VSTACK(YES_Writing_ELA[#Data],YES_Writing_FLA[#Data]),MATCH($A574,_xlfn.VSTACK(YES_Writing_ELA[Student Number],YES_Writing_FLA[Student Number]),0),MATCH(VLOOKUP(H$7,'Writing Logic'!$J$7:$K$11,2,FALSE)&amp;" - Per "&amp;VLOOKUP($C$4,'Writing Logic'!$G$8:$H$14,2,FALSE),YES_Writing_ELA[#Headers],0))=0,"",INDEX(_xlfn.VSTACK(YES_Writing_ELA[#Data],YES_Writing_FLA[#Data]),MATCH($A574,_xlfn.VSTACK(YES_Writing_ELA[Student Number],YES_Writing_FLA[Student Number]),0),MATCH(VLOOKUP(H$7,'Writing Logic'!$J$7:$K$11,2,FALSE)&amp;" - Per "&amp;VLOOKUP($C$4,'Writing Logic'!$G$8:$H$14,2,FALSE),YES_Writing_ELA[#Headers],0)))),"")</f>
        <v/>
      </c>
      <c r="I574" s="224" t="str" cm="1">
        <f t="array" aca="1" ref="I574" ca="1">IFERROR(
IF($G$3="ELA",
IF(VLOOKUP($A574, YES_Reading_ELA[], COLUMN(INDIRECT("YES_Reading_ELA[Difference - Per "&amp;VLOOKUP($G$4, 'Reading Report Logic'!$A$2:$B$8, 2, FALSE)&amp;"]")), FALSE)="", "",
VLOOKUP($A574,YES_Reading_ELA[], COLUMN(INDIRECT("YES_Reading_ELA[Difference - Per "&amp;VLOOKUP($G$4,'Reading Report Logic'!$A$2:$B$8,2,FALSE)&amp;"]")), FALSE)),
IF($G$3="FLA",
IF(VLOOKUP($A574, YES_Reading_FLA[], COLUMN(INDIRECT("YES_Reading_FLA[Difference - Per "&amp;VLOOKUP($G$4,'Reading Report Logic'!$A$2:$B$8,2,FALSE)&amp;"]")),FALSE)="","",
VLOOKUP($A574,YES_Reading_FLA[],COLUMN(INDIRECT("YES_Reading_FLA[Difference - Per "&amp;VLOOKUP($G$4,'Reading Report Logic'!$A$2:$B$8,2,FALSE)&amp;"]")),FALSE)),
IF($G$3="Combined",
IFERROR(
IF(VLOOKUP($A574, YES_Reading_ELA[], COLUMN(INDIRECT("YES_Reading_ELA[Difference - Per "&amp;VLOOKUP($G$4, 'Reading Report Logic'!$A$2:$B$8,2,FALSE)&amp;"]")), FALSE)="", "",
VLOOKUP($A574,YES_Reading_ELA[],COLUMN(INDIRECT("YES_Reading_ELA[Difference - Per "&amp;VLOOKUP($G$4,'Reading Report Logic'!$A$2:$B$8,2,FALSE)&amp;"]")),FALSE)),
IF(VLOOKUP($A574, YES_Reading_FLA[], COLUMN(INDIRECT("YES_Reading_FLA[Difference - Per "&amp;VLOOKUP($G$4, 'Reading Report Logic'!$A$2:$B$8, 2, FALSE)&amp;"]")),FALSE)="", "", VLOOKUP($A574,YES_Reading_FLA[],COLUMN(INDIRECT("YES_Reading_FLA[Difference - Per "&amp;VLOOKUP($G$4, 'Reading Report Logic'!$A$2:$B$8, 2, FALSE)&amp;"]")),FALSE))),""))),"")</f>
        <v/>
      </c>
    </row>
    <row r="575" spans="1:9" x14ac:dyDescent="0.25">
      <c r="A575" s="137"/>
      <c r="B575" s="137" t="str">
        <f>IFERROR(INDEX(_xlfn.VSTACK(YES_Writing_ELA[#Data], YES_Writing_FLA[#Data]),MATCH($A575,_xlfn.VSTACK(YES_Writing_ELA[Student Number], YES_Writing_FLA[Student Number]),0),MATCH(B$7,YES_Writing_ELA[#Headers],0)),IFERROR(INDEX(_xlfn.VSTACK(YES_Reading_ELA[#Data], YES_Reading_FLA[#Data]),MATCH($A575,_xlfn.VSTACK(YES_Reading_ELA[Student Number], YES_Reading_FLA[Student Number]),0),MATCH(B$7,YES_Reading_ELA[#Headers],0)),""))</f>
        <v/>
      </c>
      <c r="C575" s="137" t="str">
        <f>IFERROR(INDEX(_xlfn.VSTACK(YES_Writing_ELA[#Data], YES_Writing_FLA[#Data]),MATCH($A575,_xlfn.VSTACK(YES_Writing_ELA[Student Number], YES_Writing_FLA[Student Number]),0),MATCH(C$7,YES_Writing_ELA[#Headers],0)),IFERROR(INDEX(_xlfn.VSTACK(YES_Reading_ELA[#Data], YES_Reading_FLA[#Data]),MATCH($A575,_xlfn.VSTACK(YES_Reading_ELA[Student Number], YES_Reading_FLA[Student Number]),0),MATCH(C$7,YES_Reading_ELA[#Headers],0)),""))</f>
        <v/>
      </c>
      <c r="D575" s="138" t="str">
        <f>IFERROR(IF(IF(INDEX(_xlfn.VSTACK(YES_Writing_ELA[#Data],YES_Writing_FLA[#Data]),MATCH($A575,_xlfn.VSTACK(YES_Writing_ELA[Student Number],YES_Writing_FLA[Student Number]),0),MATCH(VLOOKUP(D$7,'Writing Logic'!$J$7:$K$11,2,FALSE)&amp;" - Per "&amp;VLOOKUP($C$4,'Writing Logic'!$G$8:$H$14,2,FALSE),YES_Writing_ELA[#Headers],0))=0,"",INDEX(_xlfn.VSTACK(YES_Writing_ELA[#Data],YES_Writing_FLA[#Data]),MATCH($A575,_xlfn.VSTACK(YES_Writing_ELA[Student Number],YES_Writing_FLA[Student Number]),0),MATCH(VLOOKUP(D$7,'Writing Logic'!$J$7:$K$11,2,FALSE)&amp;" - Per "&amp;VLOOKUP($C$4,'Writing Logic'!$G$8:$H$14,2,FALSE),YES_Writing_ELA[#Headers],0)))="INS",'Writing Logic'!$B$7,IF(INDEX(_xlfn.VSTACK(YES_Writing_ELA[#Data],YES_Writing_FLA[#Data]),MATCH($A575,_xlfn.VSTACK(YES_Writing_ELA[Student Number],YES_Writing_FLA[Student Number]),0),MATCH(VLOOKUP(D$7,'Writing Logic'!$J$7:$K$11,2,FALSE)&amp;" - Per "&amp;VLOOKUP($C$4,'Writing Logic'!$G$8:$H$14,2,FALSE),YES_Writing_ELA[#Headers],0))=0,"",INDEX(_xlfn.VSTACK(YES_Writing_ELA[#Data],YES_Writing_FLA[#Data]),MATCH($A575,_xlfn.VSTACK(YES_Writing_ELA[Student Number],YES_Writing_FLA[Student Number]),0),MATCH(VLOOKUP(D$7,'Writing Logic'!$J$7:$K$11,2,FALSE)&amp;" - Per "&amp;VLOOKUP($C$4,'Writing Logic'!$G$8:$H$14,2,FALSE),YES_Writing_ELA[#Headers],0)))),"")</f>
        <v/>
      </c>
      <c r="E575" s="138" t="str">
        <f>IFERROR(IF(IF(INDEX(_xlfn.VSTACK(YES_Writing_ELA[#Data],YES_Writing_FLA[#Data]),MATCH($A575,_xlfn.VSTACK(YES_Writing_ELA[Student Number],YES_Writing_FLA[Student Number]),0),MATCH(VLOOKUP(E$7,'Writing Logic'!$J$7:$K$11,2,FALSE)&amp;" - Per "&amp;VLOOKUP($C$4,'Writing Logic'!$G$8:$H$14,2,FALSE),YES_Writing_ELA[#Headers],0))=0,"",INDEX(_xlfn.VSTACK(YES_Writing_ELA[#Data],YES_Writing_FLA[#Data]),MATCH($A575,_xlfn.VSTACK(YES_Writing_ELA[Student Number],YES_Writing_FLA[Student Number]),0),MATCH(VLOOKUP(E$7,'Writing Logic'!$J$7:$K$11,2,FALSE)&amp;" - Per "&amp;VLOOKUP($C$4,'Writing Logic'!$G$8:$H$14,2,FALSE),YES_Writing_ELA[#Headers],0)))="INS",'Writing Logic'!$B$7,IF(INDEX(_xlfn.VSTACK(YES_Writing_ELA[#Data],YES_Writing_FLA[#Data]),MATCH($A575,_xlfn.VSTACK(YES_Writing_ELA[Student Number],YES_Writing_FLA[Student Number]),0),MATCH(VLOOKUP(E$7,'Writing Logic'!$J$7:$K$11,2,FALSE)&amp;" - Per "&amp;VLOOKUP($C$4,'Writing Logic'!$G$8:$H$14,2,FALSE),YES_Writing_ELA[#Headers],0))=0,"",INDEX(_xlfn.VSTACK(YES_Writing_ELA[#Data],YES_Writing_FLA[#Data]),MATCH($A575,_xlfn.VSTACK(YES_Writing_ELA[Student Number],YES_Writing_FLA[Student Number]),0),MATCH(VLOOKUP(E$7,'Writing Logic'!$J$7:$K$11,2,FALSE)&amp;" - Per "&amp;VLOOKUP($C$4,'Writing Logic'!$G$8:$H$14,2,FALSE),YES_Writing_ELA[#Headers],0)))),"")</f>
        <v/>
      </c>
      <c r="F575" s="138" t="str">
        <f>IFERROR(IF(IF(INDEX(_xlfn.VSTACK(YES_Writing_ELA[#Data],YES_Writing_FLA[#Data]),MATCH($A575,_xlfn.VSTACK(YES_Writing_ELA[Student Number],YES_Writing_FLA[Student Number]),0),MATCH(VLOOKUP(F$7,'Writing Logic'!$J$7:$K$11,2,FALSE)&amp;" - Per "&amp;VLOOKUP($C$4,'Writing Logic'!$G$8:$H$14,2,FALSE),YES_Writing_ELA[#Headers],0))=0,"",INDEX(_xlfn.VSTACK(YES_Writing_ELA[#Data],YES_Writing_FLA[#Data]),MATCH($A575,_xlfn.VSTACK(YES_Writing_ELA[Student Number],YES_Writing_FLA[Student Number]),0),MATCH(VLOOKUP(F$7,'Writing Logic'!$J$7:$K$11,2,FALSE)&amp;" - Per "&amp;VLOOKUP($C$4,'Writing Logic'!$G$8:$H$14,2,FALSE),YES_Writing_ELA[#Headers],0)))="INS",'Writing Logic'!$B$7,IF(INDEX(_xlfn.VSTACK(YES_Writing_ELA[#Data],YES_Writing_FLA[#Data]),MATCH($A575,_xlfn.VSTACK(YES_Writing_ELA[Student Number],YES_Writing_FLA[Student Number]),0),MATCH(VLOOKUP(F$7,'Writing Logic'!$J$7:$K$11,2,FALSE)&amp;" - Per "&amp;VLOOKUP($C$4,'Writing Logic'!$G$8:$H$14,2,FALSE),YES_Writing_ELA[#Headers],0))=0,"",INDEX(_xlfn.VSTACK(YES_Writing_ELA[#Data],YES_Writing_FLA[#Data]),MATCH($A575,_xlfn.VSTACK(YES_Writing_ELA[Student Number],YES_Writing_FLA[Student Number]),0),MATCH(VLOOKUP(F$7,'Writing Logic'!$J$7:$K$11,2,FALSE)&amp;" - Per "&amp;VLOOKUP($C$4,'Writing Logic'!$G$8:$H$14,2,FALSE),YES_Writing_ELA[#Headers],0)))),"")</f>
        <v/>
      </c>
      <c r="G575" s="138" t="str">
        <f>IFERROR(IF(IF(INDEX(_xlfn.VSTACK(YES_Writing_ELA[#Data],YES_Writing_FLA[#Data]),MATCH($A575,_xlfn.VSTACK(YES_Writing_ELA[Student Number],YES_Writing_FLA[Student Number]),0),MATCH(VLOOKUP(G$7,'Writing Logic'!$J$7:$K$11,2,FALSE)&amp;" - Per "&amp;VLOOKUP($C$4,'Writing Logic'!$G$8:$H$14,2,FALSE),YES_Writing_ELA[#Headers],0))=0,"",INDEX(_xlfn.VSTACK(YES_Writing_ELA[#Data],YES_Writing_FLA[#Data]),MATCH($A575,_xlfn.VSTACK(YES_Writing_ELA[Student Number],YES_Writing_FLA[Student Number]),0),MATCH(VLOOKUP(G$7,'Writing Logic'!$J$7:$K$11,2,FALSE)&amp;" - Per "&amp;VLOOKUP($C$4,'Writing Logic'!$G$8:$H$14,2,FALSE),YES_Writing_ELA[#Headers],0)))="INS",'Writing Logic'!$B$7,IF(INDEX(_xlfn.VSTACK(YES_Writing_ELA[#Data],YES_Writing_FLA[#Data]),MATCH($A575,_xlfn.VSTACK(YES_Writing_ELA[Student Number],YES_Writing_FLA[Student Number]),0),MATCH(VLOOKUP(G$7,'Writing Logic'!$J$7:$K$11,2,FALSE)&amp;" - Per "&amp;VLOOKUP($C$4,'Writing Logic'!$G$8:$H$14,2,FALSE),YES_Writing_ELA[#Headers],0))=0,"",INDEX(_xlfn.VSTACK(YES_Writing_ELA[#Data],YES_Writing_FLA[#Data]),MATCH($A575,_xlfn.VSTACK(YES_Writing_ELA[Student Number],YES_Writing_FLA[Student Number]),0),MATCH(VLOOKUP(G$7,'Writing Logic'!$J$7:$K$11,2,FALSE)&amp;" - Per "&amp;VLOOKUP($C$4,'Writing Logic'!$G$8:$H$14,2,FALSE),YES_Writing_ELA[#Headers],0)))),"")</f>
        <v/>
      </c>
      <c r="H575" s="223" t="str">
        <f>IFERROR(IF(IF(INDEX(_xlfn.VSTACK(YES_Writing_ELA[#Data],YES_Writing_FLA[#Data]),MATCH($A575,_xlfn.VSTACK(YES_Writing_ELA[Student Number],YES_Writing_FLA[Student Number]),0),MATCH(VLOOKUP(H$7,'Writing Logic'!$J$7:$K$11,2,FALSE)&amp;" - Per "&amp;VLOOKUP($C$4,'Writing Logic'!$G$8:$H$14,2,FALSE),YES_Writing_ELA[#Headers],0))=0,"",INDEX(_xlfn.VSTACK(YES_Writing_ELA[#Data],YES_Writing_FLA[#Data]),MATCH($A575,_xlfn.VSTACK(YES_Writing_ELA[Student Number],YES_Writing_FLA[Student Number]),0),MATCH(VLOOKUP(H$7,'Writing Logic'!$J$7:$K$11,2,FALSE)&amp;" - Per "&amp;VLOOKUP($C$4,'Writing Logic'!$G$8:$H$14,2,FALSE),YES_Writing_ELA[#Headers],0)))="INS",'Writing Logic'!$B$7,IF(INDEX(_xlfn.VSTACK(YES_Writing_ELA[#Data],YES_Writing_FLA[#Data]),MATCH($A575,_xlfn.VSTACK(YES_Writing_ELA[Student Number],YES_Writing_FLA[Student Number]),0),MATCH(VLOOKUP(H$7,'Writing Logic'!$J$7:$K$11,2,FALSE)&amp;" - Per "&amp;VLOOKUP($C$4,'Writing Logic'!$G$8:$H$14,2,FALSE),YES_Writing_ELA[#Headers],0))=0,"",INDEX(_xlfn.VSTACK(YES_Writing_ELA[#Data],YES_Writing_FLA[#Data]),MATCH($A575,_xlfn.VSTACK(YES_Writing_ELA[Student Number],YES_Writing_FLA[Student Number]),0),MATCH(VLOOKUP(H$7,'Writing Logic'!$J$7:$K$11,2,FALSE)&amp;" - Per "&amp;VLOOKUP($C$4,'Writing Logic'!$G$8:$H$14,2,FALSE),YES_Writing_ELA[#Headers],0)))),"")</f>
        <v/>
      </c>
      <c r="I575" s="224" t="str" cm="1">
        <f t="array" aca="1" ref="I575" ca="1">IFERROR(
IF($G$3="ELA",
IF(VLOOKUP($A575, YES_Reading_ELA[], COLUMN(INDIRECT("YES_Reading_ELA[Difference - Per "&amp;VLOOKUP($G$4, 'Reading Report Logic'!$A$2:$B$8, 2, FALSE)&amp;"]")), FALSE)="", "",
VLOOKUP($A575,YES_Reading_ELA[], COLUMN(INDIRECT("YES_Reading_ELA[Difference - Per "&amp;VLOOKUP($G$4,'Reading Report Logic'!$A$2:$B$8,2,FALSE)&amp;"]")), FALSE)),
IF($G$3="FLA",
IF(VLOOKUP($A575, YES_Reading_FLA[], COLUMN(INDIRECT("YES_Reading_FLA[Difference - Per "&amp;VLOOKUP($G$4,'Reading Report Logic'!$A$2:$B$8,2,FALSE)&amp;"]")),FALSE)="","",
VLOOKUP($A575,YES_Reading_FLA[],COLUMN(INDIRECT("YES_Reading_FLA[Difference - Per "&amp;VLOOKUP($G$4,'Reading Report Logic'!$A$2:$B$8,2,FALSE)&amp;"]")),FALSE)),
IF($G$3="Combined",
IFERROR(
IF(VLOOKUP($A575, YES_Reading_ELA[], COLUMN(INDIRECT("YES_Reading_ELA[Difference - Per "&amp;VLOOKUP($G$4, 'Reading Report Logic'!$A$2:$B$8,2,FALSE)&amp;"]")), FALSE)="", "",
VLOOKUP($A575,YES_Reading_ELA[],COLUMN(INDIRECT("YES_Reading_ELA[Difference - Per "&amp;VLOOKUP($G$4,'Reading Report Logic'!$A$2:$B$8,2,FALSE)&amp;"]")),FALSE)),
IF(VLOOKUP($A575, YES_Reading_FLA[], COLUMN(INDIRECT("YES_Reading_FLA[Difference - Per "&amp;VLOOKUP($G$4, 'Reading Report Logic'!$A$2:$B$8, 2, FALSE)&amp;"]")),FALSE)="", "", VLOOKUP($A575,YES_Reading_FLA[],COLUMN(INDIRECT("YES_Reading_FLA[Difference - Per "&amp;VLOOKUP($G$4, 'Reading Report Logic'!$A$2:$B$8, 2, FALSE)&amp;"]")),FALSE))),""))),"")</f>
        <v/>
      </c>
    </row>
    <row r="576" spans="1:9" x14ac:dyDescent="0.25">
      <c r="A576" s="137"/>
      <c r="B576" s="137" t="str">
        <f>IFERROR(INDEX(_xlfn.VSTACK(YES_Writing_ELA[#Data], YES_Writing_FLA[#Data]),MATCH($A576,_xlfn.VSTACK(YES_Writing_ELA[Student Number], YES_Writing_FLA[Student Number]),0),MATCH(B$7,YES_Writing_ELA[#Headers],0)),IFERROR(INDEX(_xlfn.VSTACK(YES_Reading_ELA[#Data], YES_Reading_FLA[#Data]),MATCH($A576,_xlfn.VSTACK(YES_Reading_ELA[Student Number], YES_Reading_FLA[Student Number]),0),MATCH(B$7,YES_Reading_ELA[#Headers],0)),""))</f>
        <v/>
      </c>
      <c r="C576" s="137" t="str">
        <f>IFERROR(INDEX(_xlfn.VSTACK(YES_Writing_ELA[#Data], YES_Writing_FLA[#Data]),MATCH($A576,_xlfn.VSTACK(YES_Writing_ELA[Student Number], YES_Writing_FLA[Student Number]),0),MATCH(C$7,YES_Writing_ELA[#Headers],0)),IFERROR(INDEX(_xlfn.VSTACK(YES_Reading_ELA[#Data], YES_Reading_FLA[#Data]),MATCH($A576,_xlfn.VSTACK(YES_Reading_ELA[Student Number], YES_Reading_FLA[Student Number]),0),MATCH(C$7,YES_Reading_ELA[#Headers],0)),""))</f>
        <v/>
      </c>
      <c r="D576" s="138" t="str">
        <f>IFERROR(IF(IF(INDEX(_xlfn.VSTACK(YES_Writing_ELA[#Data],YES_Writing_FLA[#Data]),MATCH($A576,_xlfn.VSTACK(YES_Writing_ELA[Student Number],YES_Writing_FLA[Student Number]),0),MATCH(VLOOKUP(D$7,'Writing Logic'!$J$7:$K$11,2,FALSE)&amp;" - Per "&amp;VLOOKUP($C$4,'Writing Logic'!$G$8:$H$14,2,FALSE),YES_Writing_ELA[#Headers],0))=0,"",INDEX(_xlfn.VSTACK(YES_Writing_ELA[#Data],YES_Writing_FLA[#Data]),MATCH($A576,_xlfn.VSTACK(YES_Writing_ELA[Student Number],YES_Writing_FLA[Student Number]),0),MATCH(VLOOKUP(D$7,'Writing Logic'!$J$7:$K$11,2,FALSE)&amp;" - Per "&amp;VLOOKUP($C$4,'Writing Logic'!$G$8:$H$14,2,FALSE),YES_Writing_ELA[#Headers],0)))="INS",'Writing Logic'!$B$7,IF(INDEX(_xlfn.VSTACK(YES_Writing_ELA[#Data],YES_Writing_FLA[#Data]),MATCH($A576,_xlfn.VSTACK(YES_Writing_ELA[Student Number],YES_Writing_FLA[Student Number]),0),MATCH(VLOOKUP(D$7,'Writing Logic'!$J$7:$K$11,2,FALSE)&amp;" - Per "&amp;VLOOKUP($C$4,'Writing Logic'!$G$8:$H$14,2,FALSE),YES_Writing_ELA[#Headers],0))=0,"",INDEX(_xlfn.VSTACK(YES_Writing_ELA[#Data],YES_Writing_FLA[#Data]),MATCH($A576,_xlfn.VSTACK(YES_Writing_ELA[Student Number],YES_Writing_FLA[Student Number]),0),MATCH(VLOOKUP(D$7,'Writing Logic'!$J$7:$K$11,2,FALSE)&amp;" - Per "&amp;VLOOKUP($C$4,'Writing Logic'!$G$8:$H$14,2,FALSE),YES_Writing_ELA[#Headers],0)))),"")</f>
        <v/>
      </c>
      <c r="E576" s="138" t="str">
        <f>IFERROR(IF(IF(INDEX(_xlfn.VSTACK(YES_Writing_ELA[#Data],YES_Writing_FLA[#Data]),MATCH($A576,_xlfn.VSTACK(YES_Writing_ELA[Student Number],YES_Writing_FLA[Student Number]),0),MATCH(VLOOKUP(E$7,'Writing Logic'!$J$7:$K$11,2,FALSE)&amp;" - Per "&amp;VLOOKUP($C$4,'Writing Logic'!$G$8:$H$14,2,FALSE),YES_Writing_ELA[#Headers],0))=0,"",INDEX(_xlfn.VSTACK(YES_Writing_ELA[#Data],YES_Writing_FLA[#Data]),MATCH($A576,_xlfn.VSTACK(YES_Writing_ELA[Student Number],YES_Writing_FLA[Student Number]),0),MATCH(VLOOKUP(E$7,'Writing Logic'!$J$7:$K$11,2,FALSE)&amp;" - Per "&amp;VLOOKUP($C$4,'Writing Logic'!$G$8:$H$14,2,FALSE),YES_Writing_ELA[#Headers],0)))="INS",'Writing Logic'!$B$7,IF(INDEX(_xlfn.VSTACK(YES_Writing_ELA[#Data],YES_Writing_FLA[#Data]),MATCH($A576,_xlfn.VSTACK(YES_Writing_ELA[Student Number],YES_Writing_FLA[Student Number]),0),MATCH(VLOOKUP(E$7,'Writing Logic'!$J$7:$K$11,2,FALSE)&amp;" - Per "&amp;VLOOKUP($C$4,'Writing Logic'!$G$8:$H$14,2,FALSE),YES_Writing_ELA[#Headers],0))=0,"",INDEX(_xlfn.VSTACK(YES_Writing_ELA[#Data],YES_Writing_FLA[#Data]),MATCH($A576,_xlfn.VSTACK(YES_Writing_ELA[Student Number],YES_Writing_FLA[Student Number]),0),MATCH(VLOOKUP(E$7,'Writing Logic'!$J$7:$K$11,2,FALSE)&amp;" - Per "&amp;VLOOKUP($C$4,'Writing Logic'!$G$8:$H$14,2,FALSE),YES_Writing_ELA[#Headers],0)))),"")</f>
        <v/>
      </c>
      <c r="F576" s="138" t="str">
        <f>IFERROR(IF(IF(INDEX(_xlfn.VSTACK(YES_Writing_ELA[#Data],YES_Writing_FLA[#Data]),MATCH($A576,_xlfn.VSTACK(YES_Writing_ELA[Student Number],YES_Writing_FLA[Student Number]),0),MATCH(VLOOKUP(F$7,'Writing Logic'!$J$7:$K$11,2,FALSE)&amp;" - Per "&amp;VLOOKUP($C$4,'Writing Logic'!$G$8:$H$14,2,FALSE),YES_Writing_ELA[#Headers],0))=0,"",INDEX(_xlfn.VSTACK(YES_Writing_ELA[#Data],YES_Writing_FLA[#Data]),MATCH($A576,_xlfn.VSTACK(YES_Writing_ELA[Student Number],YES_Writing_FLA[Student Number]),0),MATCH(VLOOKUP(F$7,'Writing Logic'!$J$7:$K$11,2,FALSE)&amp;" - Per "&amp;VLOOKUP($C$4,'Writing Logic'!$G$8:$H$14,2,FALSE),YES_Writing_ELA[#Headers],0)))="INS",'Writing Logic'!$B$7,IF(INDEX(_xlfn.VSTACK(YES_Writing_ELA[#Data],YES_Writing_FLA[#Data]),MATCH($A576,_xlfn.VSTACK(YES_Writing_ELA[Student Number],YES_Writing_FLA[Student Number]),0),MATCH(VLOOKUP(F$7,'Writing Logic'!$J$7:$K$11,2,FALSE)&amp;" - Per "&amp;VLOOKUP($C$4,'Writing Logic'!$G$8:$H$14,2,FALSE),YES_Writing_ELA[#Headers],0))=0,"",INDEX(_xlfn.VSTACK(YES_Writing_ELA[#Data],YES_Writing_FLA[#Data]),MATCH($A576,_xlfn.VSTACK(YES_Writing_ELA[Student Number],YES_Writing_FLA[Student Number]),0),MATCH(VLOOKUP(F$7,'Writing Logic'!$J$7:$K$11,2,FALSE)&amp;" - Per "&amp;VLOOKUP($C$4,'Writing Logic'!$G$8:$H$14,2,FALSE),YES_Writing_ELA[#Headers],0)))),"")</f>
        <v/>
      </c>
      <c r="G576" s="138" t="str">
        <f>IFERROR(IF(IF(INDEX(_xlfn.VSTACK(YES_Writing_ELA[#Data],YES_Writing_FLA[#Data]),MATCH($A576,_xlfn.VSTACK(YES_Writing_ELA[Student Number],YES_Writing_FLA[Student Number]),0),MATCH(VLOOKUP(G$7,'Writing Logic'!$J$7:$K$11,2,FALSE)&amp;" - Per "&amp;VLOOKUP($C$4,'Writing Logic'!$G$8:$H$14,2,FALSE),YES_Writing_ELA[#Headers],0))=0,"",INDEX(_xlfn.VSTACK(YES_Writing_ELA[#Data],YES_Writing_FLA[#Data]),MATCH($A576,_xlfn.VSTACK(YES_Writing_ELA[Student Number],YES_Writing_FLA[Student Number]),0),MATCH(VLOOKUP(G$7,'Writing Logic'!$J$7:$K$11,2,FALSE)&amp;" - Per "&amp;VLOOKUP($C$4,'Writing Logic'!$G$8:$H$14,2,FALSE),YES_Writing_ELA[#Headers],0)))="INS",'Writing Logic'!$B$7,IF(INDEX(_xlfn.VSTACK(YES_Writing_ELA[#Data],YES_Writing_FLA[#Data]),MATCH($A576,_xlfn.VSTACK(YES_Writing_ELA[Student Number],YES_Writing_FLA[Student Number]),0),MATCH(VLOOKUP(G$7,'Writing Logic'!$J$7:$K$11,2,FALSE)&amp;" - Per "&amp;VLOOKUP($C$4,'Writing Logic'!$G$8:$H$14,2,FALSE),YES_Writing_ELA[#Headers],0))=0,"",INDEX(_xlfn.VSTACK(YES_Writing_ELA[#Data],YES_Writing_FLA[#Data]),MATCH($A576,_xlfn.VSTACK(YES_Writing_ELA[Student Number],YES_Writing_FLA[Student Number]),0),MATCH(VLOOKUP(G$7,'Writing Logic'!$J$7:$K$11,2,FALSE)&amp;" - Per "&amp;VLOOKUP($C$4,'Writing Logic'!$G$8:$H$14,2,FALSE),YES_Writing_ELA[#Headers],0)))),"")</f>
        <v/>
      </c>
      <c r="H576" s="223" t="str">
        <f>IFERROR(IF(IF(INDEX(_xlfn.VSTACK(YES_Writing_ELA[#Data],YES_Writing_FLA[#Data]),MATCH($A576,_xlfn.VSTACK(YES_Writing_ELA[Student Number],YES_Writing_FLA[Student Number]),0),MATCH(VLOOKUP(H$7,'Writing Logic'!$J$7:$K$11,2,FALSE)&amp;" - Per "&amp;VLOOKUP($C$4,'Writing Logic'!$G$8:$H$14,2,FALSE),YES_Writing_ELA[#Headers],0))=0,"",INDEX(_xlfn.VSTACK(YES_Writing_ELA[#Data],YES_Writing_FLA[#Data]),MATCH($A576,_xlfn.VSTACK(YES_Writing_ELA[Student Number],YES_Writing_FLA[Student Number]),0),MATCH(VLOOKUP(H$7,'Writing Logic'!$J$7:$K$11,2,FALSE)&amp;" - Per "&amp;VLOOKUP($C$4,'Writing Logic'!$G$8:$H$14,2,FALSE),YES_Writing_ELA[#Headers],0)))="INS",'Writing Logic'!$B$7,IF(INDEX(_xlfn.VSTACK(YES_Writing_ELA[#Data],YES_Writing_FLA[#Data]),MATCH($A576,_xlfn.VSTACK(YES_Writing_ELA[Student Number],YES_Writing_FLA[Student Number]),0),MATCH(VLOOKUP(H$7,'Writing Logic'!$J$7:$K$11,2,FALSE)&amp;" - Per "&amp;VLOOKUP($C$4,'Writing Logic'!$G$8:$H$14,2,FALSE),YES_Writing_ELA[#Headers],0))=0,"",INDEX(_xlfn.VSTACK(YES_Writing_ELA[#Data],YES_Writing_FLA[#Data]),MATCH($A576,_xlfn.VSTACK(YES_Writing_ELA[Student Number],YES_Writing_FLA[Student Number]),0),MATCH(VLOOKUP(H$7,'Writing Logic'!$J$7:$K$11,2,FALSE)&amp;" - Per "&amp;VLOOKUP($C$4,'Writing Logic'!$G$8:$H$14,2,FALSE),YES_Writing_ELA[#Headers],0)))),"")</f>
        <v/>
      </c>
      <c r="I576" s="224" t="str" cm="1">
        <f t="array" aca="1" ref="I576" ca="1">IFERROR(
IF($G$3="ELA",
IF(VLOOKUP($A576, YES_Reading_ELA[], COLUMN(INDIRECT("YES_Reading_ELA[Difference - Per "&amp;VLOOKUP($G$4, 'Reading Report Logic'!$A$2:$B$8, 2, FALSE)&amp;"]")), FALSE)="", "",
VLOOKUP($A576,YES_Reading_ELA[], COLUMN(INDIRECT("YES_Reading_ELA[Difference - Per "&amp;VLOOKUP($G$4,'Reading Report Logic'!$A$2:$B$8,2,FALSE)&amp;"]")), FALSE)),
IF($G$3="FLA",
IF(VLOOKUP($A576, YES_Reading_FLA[], COLUMN(INDIRECT("YES_Reading_FLA[Difference - Per "&amp;VLOOKUP($G$4,'Reading Report Logic'!$A$2:$B$8,2,FALSE)&amp;"]")),FALSE)="","",
VLOOKUP($A576,YES_Reading_FLA[],COLUMN(INDIRECT("YES_Reading_FLA[Difference - Per "&amp;VLOOKUP($G$4,'Reading Report Logic'!$A$2:$B$8,2,FALSE)&amp;"]")),FALSE)),
IF($G$3="Combined",
IFERROR(
IF(VLOOKUP($A576, YES_Reading_ELA[], COLUMN(INDIRECT("YES_Reading_ELA[Difference - Per "&amp;VLOOKUP($G$4, 'Reading Report Logic'!$A$2:$B$8,2,FALSE)&amp;"]")), FALSE)="", "",
VLOOKUP($A576,YES_Reading_ELA[],COLUMN(INDIRECT("YES_Reading_ELA[Difference - Per "&amp;VLOOKUP($G$4,'Reading Report Logic'!$A$2:$B$8,2,FALSE)&amp;"]")),FALSE)),
IF(VLOOKUP($A576, YES_Reading_FLA[], COLUMN(INDIRECT("YES_Reading_FLA[Difference - Per "&amp;VLOOKUP($G$4, 'Reading Report Logic'!$A$2:$B$8, 2, FALSE)&amp;"]")),FALSE)="", "", VLOOKUP($A576,YES_Reading_FLA[],COLUMN(INDIRECT("YES_Reading_FLA[Difference - Per "&amp;VLOOKUP($G$4, 'Reading Report Logic'!$A$2:$B$8, 2, FALSE)&amp;"]")),FALSE))),""))),"")</f>
        <v/>
      </c>
    </row>
    <row r="577" spans="1:9" x14ac:dyDescent="0.25">
      <c r="A577" s="137"/>
      <c r="B577" s="137" t="str">
        <f>IFERROR(INDEX(_xlfn.VSTACK(YES_Writing_ELA[#Data], YES_Writing_FLA[#Data]),MATCH($A577,_xlfn.VSTACK(YES_Writing_ELA[Student Number], YES_Writing_FLA[Student Number]),0),MATCH(B$7,YES_Writing_ELA[#Headers],0)),IFERROR(INDEX(_xlfn.VSTACK(YES_Reading_ELA[#Data], YES_Reading_FLA[#Data]),MATCH($A577,_xlfn.VSTACK(YES_Reading_ELA[Student Number], YES_Reading_FLA[Student Number]),0),MATCH(B$7,YES_Reading_ELA[#Headers],0)),""))</f>
        <v/>
      </c>
      <c r="C577" s="137" t="str">
        <f>IFERROR(INDEX(_xlfn.VSTACK(YES_Writing_ELA[#Data], YES_Writing_FLA[#Data]),MATCH($A577,_xlfn.VSTACK(YES_Writing_ELA[Student Number], YES_Writing_FLA[Student Number]),0),MATCH(C$7,YES_Writing_ELA[#Headers],0)),IFERROR(INDEX(_xlfn.VSTACK(YES_Reading_ELA[#Data], YES_Reading_FLA[#Data]),MATCH($A577,_xlfn.VSTACK(YES_Reading_ELA[Student Number], YES_Reading_FLA[Student Number]),0),MATCH(C$7,YES_Reading_ELA[#Headers],0)),""))</f>
        <v/>
      </c>
      <c r="D577" s="138" t="str">
        <f>IFERROR(IF(IF(INDEX(_xlfn.VSTACK(YES_Writing_ELA[#Data],YES_Writing_FLA[#Data]),MATCH($A577,_xlfn.VSTACK(YES_Writing_ELA[Student Number],YES_Writing_FLA[Student Number]),0),MATCH(VLOOKUP(D$7,'Writing Logic'!$J$7:$K$11,2,FALSE)&amp;" - Per "&amp;VLOOKUP($C$4,'Writing Logic'!$G$8:$H$14,2,FALSE),YES_Writing_ELA[#Headers],0))=0,"",INDEX(_xlfn.VSTACK(YES_Writing_ELA[#Data],YES_Writing_FLA[#Data]),MATCH($A577,_xlfn.VSTACK(YES_Writing_ELA[Student Number],YES_Writing_FLA[Student Number]),0),MATCH(VLOOKUP(D$7,'Writing Logic'!$J$7:$K$11,2,FALSE)&amp;" - Per "&amp;VLOOKUP($C$4,'Writing Logic'!$G$8:$H$14,2,FALSE),YES_Writing_ELA[#Headers],0)))="INS",'Writing Logic'!$B$7,IF(INDEX(_xlfn.VSTACK(YES_Writing_ELA[#Data],YES_Writing_FLA[#Data]),MATCH($A577,_xlfn.VSTACK(YES_Writing_ELA[Student Number],YES_Writing_FLA[Student Number]),0),MATCH(VLOOKUP(D$7,'Writing Logic'!$J$7:$K$11,2,FALSE)&amp;" - Per "&amp;VLOOKUP($C$4,'Writing Logic'!$G$8:$H$14,2,FALSE),YES_Writing_ELA[#Headers],0))=0,"",INDEX(_xlfn.VSTACK(YES_Writing_ELA[#Data],YES_Writing_FLA[#Data]),MATCH($A577,_xlfn.VSTACK(YES_Writing_ELA[Student Number],YES_Writing_FLA[Student Number]),0),MATCH(VLOOKUP(D$7,'Writing Logic'!$J$7:$K$11,2,FALSE)&amp;" - Per "&amp;VLOOKUP($C$4,'Writing Logic'!$G$8:$H$14,2,FALSE),YES_Writing_ELA[#Headers],0)))),"")</f>
        <v/>
      </c>
      <c r="E577" s="138" t="str">
        <f>IFERROR(IF(IF(INDEX(_xlfn.VSTACK(YES_Writing_ELA[#Data],YES_Writing_FLA[#Data]),MATCH($A577,_xlfn.VSTACK(YES_Writing_ELA[Student Number],YES_Writing_FLA[Student Number]),0),MATCH(VLOOKUP(E$7,'Writing Logic'!$J$7:$K$11,2,FALSE)&amp;" - Per "&amp;VLOOKUP($C$4,'Writing Logic'!$G$8:$H$14,2,FALSE),YES_Writing_ELA[#Headers],0))=0,"",INDEX(_xlfn.VSTACK(YES_Writing_ELA[#Data],YES_Writing_FLA[#Data]),MATCH($A577,_xlfn.VSTACK(YES_Writing_ELA[Student Number],YES_Writing_FLA[Student Number]),0),MATCH(VLOOKUP(E$7,'Writing Logic'!$J$7:$K$11,2,FALSE)&amp;" - Per "&amp;VLOOKUP($C$4,'Writing Logic'!$G$8:$H$14,2,FALSE),YES_Writing_ELA[#Headers],0)))="INS",'Writing Logic'!$B$7,IF(INDEX(_xlfn.VSTACK(YES_Writing_ELA[#Data],YES_Writing_FLA[#Data]),MATCH($A577,_xlfn.VSTACK(YES_Writing_ELA[Student Number],YES_Writing_FLA[Student Number]),0),MATCH(VLOOKUP(E$7,'Writing Logic'!$J$7:$K$11,2,FALSE)&amp;" - Per "&amp;VLOOKUP($C$4,'Writing Logic'!$G$8:$H$14,2,FALSE),YES_Writing_ELA[#Headers],0))=0,"",INDEX(_xlfn.VSTACK(YES_Writing_ELA[#Data],YES_Writing_FLA[#Data]),MATCH($A577,_xlfn.VSTACK(YES_Writing_ELA[Student Number],YES_Writing_FLA[Student Number]),0),MATCH(VLOOKUP(E$7,'Writing Logic'!$J$7:$K$11,2,FALSE)&amp;" - Per "&amp;VLOOKUP($C$4,'Writing Logic'!$G$8:$H$14,2,FALSE),YES_Writing_ELA[#Headers],0)))),"")</f>
        <v/>
      </c>
      <c r="F577" s="138" t="str">
        <f>IFERROR(IF(IF(INDEX(_xlfn.VSTACK(YES_Writing_ELA[#Data],YES_Writing_FLA[#Data]),MATCH($A577,_xlfn.VSTACK(YES_Writing_ELA[Student Number],YES_Writing_FLA[Student Number]),0),MATCH(VLOOKUP(F$7,'Writing Logic'!$J$7:$K$11,2,FALSE)&amp;" - Per "&amp;VLOOKUP($C$4,'Writing Logic'!$G$8:$H$14,2,FALSE),YES_Writing_ELA[#Headers],0))=0,"",INDEX(_xlfn.VSTACK(YES_Writing_ELA[#Data],YES_Writing_FLA[#Data]),MATCH($A577,_xlfn.VSTACK(YES_Writing_ELA[Student Number],YES_Writing_FLA[Student Number]),0),MATCH(VLOOKUP(F$7,'Writing Logic'!$J$7:$K$11,2,FALSE)&amp;" - Per "&amp;VLOOKUP($C$4,'Writing Logic'!$G$8:$H$14,2,FALSE),YES_Writing_ELA[#Headers],0)))="INS",'Writing Logic'!$B$7,IF(INDEX(_xlfn.VSTACK(YES_Writing_ELA[#Data],YES_Writing_FLA[#Data]),MATCH($A577,_xlfn.VSTACK(YES_Writing_ELA[Student Number],YES_Writing_FLA[Student Number]),0),MATCH(VLOOKUP(F$7,'Writing Logic'!$J$7:$K$11,2,FALSE)&amp;" - Per "&amp;VLOOKUP($C$4,'Writing Logic'!$G$8:$H$14,2,FALSE),YES_Writing_ELA[#Headers],0))=0,"",INDEX(_xlfn.VSTACK(YES_Writing_ELA[#Data],YES_Writing_FLA[#Data]),MATCH($A577,_xlfn.VSTACK(YES_Writing_ELA[Student Number],YES_Writing_FLA[Student Number]),0),MATCH(VLOOKUP(F$7,'Writing Logic'!$J$7:$K$11,2,FALSE)&amp;" - Per "&amp;VLOOKUP($C$4,'Writing Logic'!$G$8:$H$14,2,FALSE),YES_Writing_ELA[#Headers],0)))),"")</f>
        <v/>
      </c>
      <c r="G577" s="138" t="str">
        <f>IFERROR(IF(IF(INDEX(_xlfn.VSTACK(YES_Writing_ELA[#Data],YES_Writing_FLA[#Data]),MATCH($A577,_xlfn.VSTACK(YES_Writing_ELA[Student Number],YES_Writing_FLA[Student Number]),0),MATCH(VLOOKUP(G$7,'Writing Logic'!$J$7:$K$11,2,FALSE)&amp;" - Per "&amp;VLOOKUP($C$4,'Writing Logic'!$G$8:$H$14,2,FALSE),YES_Writing_ELA[#Headers],0))=0,"",INDEX(_xlfn.VSTACK(YES_Writing_ELA[#Data],YES_Writing_FLA[#Data]),MATCH($A577,_xlfn.VSTACK(YES_Writing_ELA[Student Number],YES_Writing_FLA[Student Number]),0),MATCH(VLOOKUP(G$7,'Writing Logic'!$J$7:$K$11,2,FALSE)&amp;" - Per "&amp;VLOOKUP($C$4,'Writing Logic'!$G$8:$H$14,2,FALSE),YES_Writing_ELA[#Headers],0)))="INS",'Writing Logic'!$B$7,IF(INDEX(_xlfn.VSTACK(YES_Writing_ELA[#Data],YES_Writing_FLA[#Data]),MATCH($A577,_xlfn.VSTACK(YES_Writing_ELA[Student Number],YES_Writing_FLA[Student Number]),0),MATCH(VLOOKUP(G$7,'Writing Logic'!$J$7:$K$11,2,FALSE)&amp;" - Per "&amp;VLOOKUP($C$4,'Writing Logic'!$G$8:$H$14,2,FALSE),YES_Writing_ELA[#Headers],0))=0,"",INDEX(_xlfn.VSTACK(YES_Writing_ELA[#Data],YES_Writing_FLA[#Data]),MATCH($A577,_xlfn.VSTACK(YES_Writing_ELA[Student Number],YES_Writing_FLA[Student Number]),0),MATCH(VLOOKUP(G$7,'Writing Logic'!$J$7:$K$11,2,FALSE)&amp;" - Per "&amp;VLOOKUP($C$4,'Writing Logic'!$G$8:$H$14,2,FALSE),YES_Writing_ELA[#Headers],0)))),"")</f>
        <v/>
      </c>
      <c r="H577" s="223" t="str">
        <f>IFERROR(IF(IF(INDEX(_xlfn.VSTACK(YES_Writing_ELA[#Data],YES_Writing_FLA[#Data]),MATCH($A577,_xlfn.VSTACK(YES_Writing_ELA[Student Number],YES_Writing_FLA[Student Number]),0),MATCH(VLOOKUP(H$7,'Writing Logic'!$J$7:$K$11,2,FALSE)&amp;" - Per "&amp;VLOOKUP($C$4,'Writing Logic'!$G$8:$H$14,2,FALSE),YES_Writing_ELA[#Headers],0))=0,"",INDEX(_xlfn.VSTACK(YES_Writing_ELA[#Data],YES_Writing_FLA[#Data]),MATCH($A577,_xlfn.VSTACK(YES_Writing_ELA[Student Number],YES_Writing_FLA[Student Number]),0),MATCH(VLOOKUP(H$7,'Writing Logic'!$J$7:$K$11,2,FALSE)&amp;" - Per "&amp;VLOOKUP($C$4,'Writing Logic'!$G$8:$H$14,2,FALSE),YES_Writing_ELA[#Headers],0)))="INS",'Writing Logic'!$B$7,IF(INDEX(_xlfn.VSTACK(YES_Writing_ELA[#Data],YES_Writing_FLA[#Data]),MATCH($A577,_xlfn.VSTACK(YES_Writing_ELA[Student Number],YES_Writing_FLA[Student Number]),0),MATCH(VLOOKUP(H$7,'Writing Logic'!$J$7:$K$11,2,FALSE)&amp;" - Per "&amp;VLOOKUP($C$4,'Writing Logic'!$G$8:$H$14,2,FALSE),YES_Writing_ELA[#Headers],0))=0,"",INDEX(_xlfn.VSTACK(YES_Writing_ELA[#Data],YES_Writing_FLA[#Data]),MATCH($A577,_xlfn.VSTACK(YES_Writing_ELA[Student Number],YES_Writing_FLA[Student Number]),0),MATCH(VLOOKUP(H$7,'Writing Logic'!$J$7:$K$11,2,FALSE)&amp;" - Per "&amp;VLOOKUP($C$4,'Writing Logic'!$G$8:$H$14,2,FALSE),YES_Writing_ELA[#Headers],0)))),"")</f>
        <v/>
      </c>
      <c r="I577" s="224" t="str" cm="1">
        <f t="array" aca="1" ref="I577" ca="1">IFERROR(
IF($G$3="ELA",
IF(VLOOKUP($A577, YES_Reading_ELA[], COLUMN(INDIRECT("YES_Reading_ELA[Difference - Per "&amp;VLOOKUP($G$4, 'Reading Report Logic'!$A$2:$B$8, 2, FALSE)&amp;"]")), FALSE)="", "",
VLOOKUP($A577,YES_Reading_ELA[], COLUMN(INDIRECT("YES_Reading_ELA[Difference - Per "&amp;VLOOKUP($G$4,'Reading Report Logic'!$A$2:$B$8,2,FALSE)&amp;"]")), FALSE)),
IF($G$3="FLA",
IF(VLOOKUP($A577, YES_Reading_FLA[], COLUMN(INDIRECT("YES_Reading_FLA[Difference - Per "&amp;VLOOKUP($G$4,'Reading Report Logic'!$A$2:$B$8,2,FALSE)&amp;"]")),FALSE)="","",
VLOOKUP($A577,YES_Reading_FLA[],COLUMN(INDIRECT("YES_Reading_FLA[Difference - Per "&amp;VLOOKUP($G$4,'Reading Report Logic'!$A$2:$B$8,2,FALSE)&amp;"]")),FALSE)),
IF($G$3="Combined",
IFERROR(
IF(VLOOKUP($A577, YES_Reading_ELA[], COLUMN(INDIRECT("YES_Reading_ELA[Difference - Per "&amp;VLOOKUP($G$4, 'Reading Report Logic'!$A$2:$B$8,2,FALSE)&amp;"]")), FALSE)="", "",
VLOOKUP($A577,YES_Reading_ELA[],COLUMN(INDIRECT("YES_Reading_ELA[Difference - Per "&amp;VLOOKUP($G$4,'Reading Report Logic'!$A$2:$B$8,2,FALSE)&amp;"]")),FALSE)),
IF(VLOOKUP($A577, YES_Reading_FLA[], COLUMN(INDIRECT("YES_Reading_FLA[Difference - Per "&amp;VLOOKUP($G$4, 'Reading Report Logic'!$A$2:$B$8, 2, FALSE)&amp;"]")),FALSE)="", "", VLOOKUP($A577,YES_Reading_FLA[],COLUMN(INDIRECT("YES_Reading_FLA[Difference - Per "&amp;VLOOKUP($G$4, 'Reading Report Logic'!$A$2:$B$8, 2, FALSE)&amp;"]")),FALSE))),""))),"")</f>
        <v/>
      </c>
    </row>
    <row r="578" spans="1:9" x14ac:dyDescent="0.25">
      <c r="A578" s="137"/>
      <c r="B578" s="137" t="str">
        <f>IFERROR(INDEX(_xlfn.VSTACK(YES_Writing_ELA[#Data], YES_Writing_FLA[#Data]),MATCH($A578,_xlfn.VSTACK(YES_Writing_ELA[Student Number], YES_Writing_FLA[Student Number]),0),MATCH(B$7,YES_Writing_ELA[#Headers],0)),IFERROR(INDEX(_xlfn.VSTACK(YES_Reading_ELA[#Data], YES_Reading_FLA[#Data]),MATCH($A578,_xlfn.VSTACK(YES_Reading_ELA[Student Number], YES_Reading_FLA[Student Number]),0),MATCH(B$7,YES_Reading_ELA[#Headers],0)),""))</f>
        <v/>
      </c>
      <c r="C578" s="137" t="str">
        <f>IFERROR(INDEX(_xlfn.VSTACK(YES_Writing_ELA[#Data], YES_Writing_FLA[#Data]),MATCH($A578,_xlfn.VSTACK(YES_Writing_ELA[Student Number], YES_Writing_FLA[Student Number]),0),MATCH(C$7,YES_Writing_ELA[#Headers],0)),IFERROR(INDEX(_xlfn.VSTACK(YES_Reading_ELA[#Data], YES_Reading_FLA[#Data]),MATCH($A578,_xlfn.VSTACK(YES_Reading_ELA[Student Number], YES_Reading_FLA[Student Number]),0),MATCH(C$7,YES_Reading_ELA[#Headers],0)),""))</f>
        <v/>
      </c>
      <c r="D578" s="138" t="str">
        <f>IFERROR(IF(IF(INDEX(_xlfn.VSTACK(YES_Writing_ELA[#Data],YES_Writing_FLA[#Data]),MATCH($A578,_xlfn.VSTACK(YES_Writing_ELA[Student Number],YES_Writing_FLA[Student Number]),0),MATCH(VLOOKUP(D$7,'Writing Logic'!$J$7:$K$11,2,FALSE)&amp;" - Per "&amp;VLOOKUP($C$4,'Writing Logic'!$G$8:$H$14,2,FALSE),YES_Writing_ELA[#Headers],0))=0,"",INDEX(_xlfn.VSTACK(YES_Writing_ELA[#Data],YES_Writing_FLA[#Data]),MATCH($A578,_xlfn.VSTACK(YES_Writing_ELA[Student Number],YES_Writing_FLA[Student Number]),0),MATCH(VLOOKUP(D$7,'Writing Logic'!$J$7:$K$11,2,FALSE)&amp;" - Per "&amp;VLOOKUP($C$4,'Writing Logic'!$G$8:$H$14,2,FALSE),YES_Writing_ELA[#Headers],0)))="INS",'Writing Logic'!$B$7,IF(INDEX(_xlfn.VSTACK(YES_Writing_ELA[#Data],YES_Writing_FLA[#Data]),MATCH($A578,_xlfn.VSTACK(YES_Writing_ELA[Student Number],YES_Writing_FLA[Student Number]),0),MATCH(VLOOKUP(D$7,'Writing Logic'!$J$7:$K$11,2,FALSE)&amp;" - Per "&amp;VLOOKUP($C$4,'Writing Logic'!$G$8:$H$14,2,FALSE),YES_Writing_ELA[#Headers],0))=0,"",INDEX(_xlfn.VSTACK(YES_Writing_ELA[#Data],YES_Writing_FLA[#Data]),MATCH($A578,_xlfn.VSTACK(YES_Writing_ELA[Student Number],YES_Writing_FLA[Student Number]),0),MATCH(VLOOKUP(D$7,'Writing Logic'!$J$7:$K$11,2,FALSE)&amp;" - Per "&amp;VLOOKUP($C$4,'Writing Logic'!$G$8:$H$14,2,FALSE),YES_Writing_ELA[#Headers],0)))),"")</f>
        <v/>
      </c>
      <c r="E578" s="138" t="str">
        <f>IFERROR(IF(IF(INDEX(_xlfn.VSTACK(YES_Writing_ELA[#Data],YES_Writing_FLA[#Data]),MATCH($A578,_xlfn.VSTACK(YES_Writing_ELA[Student Number],YES_Writing_FLA[Student Number]),0),MATCH(VLOOKUP(E$7,'Writing Logic'!$J$7:$K$11,2,FALSE)&amp;" - Per "&amp;VLOOKUP($C$4,'Writing Logic'!$G$8:$H$14,2,FALSE),YES_Writing_ELA[#Headers],0))=0,"",INDEX(_xlfn.VSTACK(YES_Writing_ELA[#Data],YES_Writing_FLA[#Data]),MATCH($A578,_xlfn.VSTACK(YES_Writing_ELA[Student Number],YES_Writing_FLA[Student Number]),0),MATCH(VLOOKUP(E$7,'Writing Logic'!$J$7:$K$11,2,FALSE)&amp;" - Per "&amp;VLOOKUP($C$4,'Writing Logic'!$G$8:$H$14,2,FALSE),YES_Writing_ELA[#Headers],0)))="INS",'Writing Logic'!$B$7,IF(INDEX(_xlfn.VSTACK(YES_Writing_ELA[#Data],YES_Writing_FLA[#Data]),MATCH($A578,_xlfn.VSTACK(YES_Writing_ELA[Student Number],YES_Writing_FLA[Student Number]),0),MATCH(VLOOKUP(E$7,'Writing Logic'!$J$7:$K$11,2,FALSE)&amp;" - Per "&amp;VLOOKUP($C$4,'Writing Logic'!$G$8:$H$14,2,FALSE),YES_Writing_ELA[#Headers],0))=0,"",INDEX(_xlfn.VSTACK(YES_Writing_ELA[#Data],YES_Writing_FLA[#Data]),MATCH($A578,_xlfn.VSTACK(YES_Writing_ELA[Student Number],YES_Writing_FLA[Student Number]),0),MATCH(VLOOKUP(E$7,'Writing Logic'!$J$7:$K$11,2,FALSE)&amp;" - Per "&amp;VLOOKUP($C$4,'Writing Logic'!$G$8:$H$14,2,FALSE),YES_Writing_ELA[#Headers],0)))),"")</f>
        <v/>
      </c>
      <c r="F578" s="138" t="str">
        <f>IFERROR(IF(IF(INDEX(_xlfn.VSTACK(YES_Writing_ELA[#Data],YES_Writing_FLA[#Data]),MATCH($A578,_xlfn.VSTACK(YES_Writing_ELA[Student Number],YES_Writing_FLA[Student Number]),0),MATCH(VLOOKUP(F$7,'Writing Logic'!$J$7:$K$11,2,FALSE)&amp;" - Per "&amp;VLOOKUP($C$4,'Writing Logic'!$G$8:$H$14,2,FALSE),YES_Writing_ELA[#Headers],0))=0,"",INDEX(_xlfn.VSTACK(YES_Writing_ELA[#Data],YES_Writing_FLA[#Data]),MATCH($A578,_xlfn.VSTACK(YES_Writing_ELA[Student Number],YES_Writing_FLA[Student Number]),0),MATCH(VLOOKUP(F$7,'Writing Logic'!$J$7:$K$11,2,FALSE)&amp;" - Per "&amp;VLOOKUP($C$4,'Writing Logic'!$G$8:$H$14,2,FALSE),YES_Writing_ELA[#Headers],0)))="INS",'Writing Logic'!$B$7,IF(INDEX(_xlfn.VSTACK(YES_Writing_ELA[#Data],YES_Writing_FLA[#Data]),MATCH($A578,_xlfn.VSTACK(YES_Writing_ELA[Student Number],YES_Writing_FLA[Student Number]),0),MATCH(VLOOKUP(F$7,'Writing Logic'!$J$7:$K$11,2,FALSE)&amp;" - Per "&amp;VLOOKUP($C$4,'Writing Logic'!$G$8:$H$14,2,FALSE),YES_Writing_ELA[#Headers],0))=0,"",INDEX(_xlfn.VSTACK(YES_Writing_ELA[#Data],YES_Writing_FLA[#Data]),MATCH($A578,_xlfn.VSTACK(YES_Writing_ELA[Student Number],YES_Writing_FLA[Student Number]),0),MATCH(VLOOKUP(F$7,'Writing Logic'!$J$7:$K$11,2,FALSE)&amp;" - Per "&amp;VLOOKUP($C$4,'Writing Logic'!$G$8:$H$14,2,FALSE),YES_Writing_ELA[#Headers],0)))),"")</f>
        <v/>
      </c>
      <c r="G578" s="138" t="str">
        <f>IFERROR(IF(IF(INDEX(_xlfn.VSTACK(YES_Writing_ELA[#Data],YES_Writing_FLA[#Data]),MATCH($A578,_xlfn.VSTACK(YES_Writing_ELA[Student Number],YES_Writing_FLA[Student Number]),0),MATCH(VLOOKUP(G$7,'Writing Logic'!$J$7:$K$11,2,FALSE)&amp;" - Per "&amp;VLOOKUP($C$4,'Writing Logic'!$G$8:$H$14,2,FALSE),YES_Writing_ELA[#Headers],0))=0,"",INDEX(_xlfn.VSTACK(YES_Writing_ELA[#Data],YES_Writing_FLA[#Data]),MATCH($A578,_xlfn.VSTACK(YES_Writing_ELA[Student Number],YES_Writing_FLA[Student Number]),0),MATCH(VLOOKUP(G$7,'Writing Logic'!$J$7:$K$11,2,FALSE)&amp;" - Per "&amp;VLOOKUP($C$4,'Writing Logic'!$G$8:$H$14,2,FALSE),YES_Writing_ELA[#Headers],0)))="INS",'Writing Logic'!$B$7,IF(INDEX(_xlfn.VSTACK(YES_Writing_ELA[#Data],YES_Writing_FLA[#Data]),MATCH($A578,_xlfn.VSTACK(YES_Writing_ELA[Student Number],YES_Writing_FLA[Student Number]),0),MATCH(VLOOKUP(G$7,'Writing Logic'!$J$7:$K$11,2,FALSE)&amp;" - Per "&amp;VLOOKUP($C$4,'Writing Logic'!$G$8:$H$14,2,FALSE),YES_Writing_ELA[#Headers],0))=0,"",INDEX(_xlfn.VSTACK(YES_Writing_ELA[#Data],YES_Writing_FLA[#Data]),MATCH($A578,_xlfn.VSTACK(YES_Writing_ELA[Student Number],YES_Writing_FLA[Student Number]),0),MATCH(VLOOKUP(G$7,'Writing Logic'!$J$7:$K$11,2,FALSE)&amp;" - Per "&amp;VLOOKUP($C$4,'Writing Logic'!$G$8:$H$14,2,FALSE),YES_Writing_ELA[#Headers],0)))),"")</f>
        <v/>
      </c>
      <c r="H578" s="223" t="str">
        <f>IFERROR(IF(IF(INDEX(_xlfn.VSTACK(YES_Writing_ELA[#Data],YES_Writing_FLA[#Data]),MATCH($A578,_xlfn.VSTACK(YES_Writing_ELA[Student Number],YES_Writing_FLA[Student Number]),0),MATCH(VLOOKUP(H$7,'Writing Logic'!$J$7:$K$11,2,FALSE)&amp;" - Per "&amp;VLOOKUP($C$4,'Writing Logic'!$G$8:$H$14,2,FALSE),YES_Writing_ELA[#Headers],0))=0,"",INDEX(_xlfn.VSTACK(YES_Writing_ELA[#Data],YES_Writing_FLA[#Data]),MATCH($A578,_xlfn.VSTACK(YES_Writing_ELA[Student Number],YES_Writing_FLA[Student Number]),0),MATCH(VLOOKUP(H$7,'Writing Logic'!$J$7:$K$11,2,FALSE)&amp;" - Per "&amp;VLOOKUP($C$4,'Writing Logic'!$G$8:$H$14,2,FALSE),YES_Writing_ELA[#Headers],0)))="INS",'Writing Logic'!$B$7,IF(INDEX(_xlfn.VSTACK(YES_Writing_ELA[#Data],YES_Writing_FLA[#Data]),MATCH($A578,_xlfn.VSTACK(YES_Writing_ELA[Student Number],YES_Writing_FLA[Student Number]),0),MATCH(VLOOKUP(H$7,'Writing Logic'!$J$7:$K$11,2,FALSE)&amp;" - Per "&amp;VLOOKUP($C$4,'Writing Logic'!$G$8:$H$14,2,FALSE),YES_Writing_ELA[#Headers],0))=0,"",INDEX(_xlfn.VSTACK(YES_Writing_ELA[#Data],YES_Writing_FLA[#Data]),MATCH($A578,_xlfn.VSTACK(YES_Writing_ELA[Student Number],YES_Writing_FLA[Student Number]),0),MATCH(VLOOKUP(H$7,'Writing Logic'!$J$7:$K$11,2,FALSE)&amp;" - Per "&amp;VLOOKUP($C$4,'Writing Logic'!$G$8:$H$14,2,FALSE),YES_Writing_ELA[#Headers],0)))),"")</f>
        <v/>
      </c>
      <c r="I578" s="224" t="str" cm="1">
        <f t="array" aca="1" ref="I578" ca="1">IFERROR(
IF($G$3="ELA",
IF(VLOOKUP($A578, YES_Reading_ELA[], COLUMN(INDIRECT("YES_Reading_ELA[Difference - Per "&amp;VLOOKUP($G$4, 'Reading Report Logic'!$A$2:$B$8, 2, FALSE)&amp;"]")), FALSE)="", "",
VLOOKUP($A578,YES_Reading_ELA[], COLUMN(INDIRECT("YES_Reading_ELA[Difference - Per "&amp;VLOOKUP($G$4,'Reading Report Logic'!$A$2:$B$8,2,FALSE)&amp;"]")), FALSE)),
IF($G$3="FLA",
IF(VLOOKUP($A578, YES_Reading_FLA[], COLUMN(INDIRECT("YES_Reading_FLA[Difference - Per "&amp;VLOOKUP($G$4,'Reading Report Logic'!$A$2:$B$8,2,FALSE)&amp;"]")),FALSE)="","",
VLOOKUP($A578,YES_Reading_FLA[],COLUMN(INDIRECT("YES_Reading_FLA[Difference - Per "&amp;VLOOKUP($G$4,'Reading Report Logic'!$A$2:$B$8,2,FALSE)&amp;"]")),FALSE)),
IF($G$3="Combined",
IFERROR(
IF(VLOOKUP($A578, YES_Reading_ELA[], COLUMN(INDIRECT("YES_Reading_ELA[Difference - Per "&amp;VLOOKUP($G$4, 'Reading Report Logic'!$A$2:$B$8,2,FALSE)&amp;"]")), FALSE)="", "",
VLOOKUP($A578,YES_Reading_ELA[],COLUMN(INDIRECT("YES_Reading_ELA[Difference - Per "&amp;VLOOKUP($G$4,'Reading Report Logic'!$A$2:$B$8,2,FALSE)&amp;"]")),FALSE)),
IF(VLOOKUP($A578, YES_Reading_FLA[], COLUMN(INDIRECT("YES_Reading_FLA[Difference - Per "&amp;VLOOKUP($G$4, 'Reading Report Logic'!$A$2:$B$8, 2, FALSE)&amp;"]")),FALSE)="", "", VLOOKUP($A578,YES_Reading_FLA[],COLUMN(INDIRECT("YES_Reading_FLA[Difference - Per "&amp;VLOOKUP($G$4, 'Reading Report Logic'!$A$2:$B$8, 2, FALSE)&amp;"]")),FALSE))),""))),"")</f>
        <v/>
      </c>
    </row>
    <row r="579" spans="1:9" x14ac:dyDescent="0.25">
      <c r="A579" s="137"/>
      <c r="B579" s="137" t="str">
        <f>IFERROR(INDEX(_xlfn.VSTACK(YES_Writing_ELA[#Data], YES_Writing_FLA[#Data]),MATCH($A579,_xlfn.VSTACK(YES_Writing_ELA[Student Number], YES_Writing_FLA[Student Number]),0),MATCH(B$7,YES_Writing_ELA[#Headers],0)),IFERROR(INDEX(_xlfn.VSTACK(YES_Reading_ELA[#Data], YES_Reading_FLA[#Data]),MATCH($A579,_xlfn.VSTACK(YES_Reading_ELA[Student Number], YES_Reading_FLA[Student Number]),0),MATCH(B$7,YES_Reading_ELA[#Headers],0)),""))</f>
        <v/>
      </c>
      <c r="C579" s="137" t="str">
        <f>IFERROR(INDEX(_xlfn.VSTACK(YES_Writing_ELA[#Data], YES_Writing_FLA[#Data]),MATCH($A579,_xlfn.VSTACK(YES_Writing_ELA[Student Number], YES_Writing_FLA[Student Number]),0),MATCH(C$7,YES_Writing_ELA[#Headers],0)),IFERROR(INDEX(_xlfn.VSTACK(YES_Reading_ELA[#Data], YES_Reading_FLA[#Data]),MATCH($A579,_xlfn.VSTACK(YES_Reading_ELA[Student Number], YES_Reading_FLA[Student Number]),0),MATCH(C$7,YES_Reading_ELA[#Headers],0)),""))</f>
        <v/>
      </c>
      <c r="D579" s="138" t="str">
        <f>IFERROR(IF(IF(INDEX(_xlfn.VSTACK(YES_Writing_ELA[#Data],YES_Writing_FLA[#Data]),MATCH($A579,_xlfn.VSTACK(YES_Writing_ELA[Student Number],YES_Writing_FLA[Student Number]),0),MATCH(VLOOKUP(D$7,'Writing Logic'!$J$7:$K$11,2,FALSE)&amp;" - Per "&amp;VLOOKUP($C$4,'Writing Logic'!$G$8:$H$14,2,FALSE),YES_Writing_ELA[#Headers],0))=0,"",INDEX(_xlfn.VSTACK(YES_Writing_ELA[#Data],YES_Writing_FLA[#Data]),MATCH($A579,_xlfn.VSTACK(YES_Writing_ELA[Student Number],YES_Writing_FLA[Student Number]),0),MATCH(VLOOKUP(D$7,'Writing Logic'!$J$7:$K$11,2,FALSE)&amp;" - Per "&amp;VLOOKUP($C$4,'Writing Logic'!$G$8:$H$14,2,FALSE),YES_Writing_ELA[#Headers],0)))="INS",'Writing Logic'!$B$7,IF(INDEX(_xlfn.VSTACK(YES_Writing_ELA[#Data],YES_Writing_FLA[#Data]),MATCH($A579,_xlfn.VSTACK(YES_Writing_ELA[Student Number],YES_Writing_FLA[Student Number]),0),MATCH(VLOOKUP(D$7,'Writing Logic'!$J$7:$K$11,2,FALSE)&amp;" - Per "&amp;VLOOKUP($C$4,'Writing Logic'!$G$8:$H$14,2,FALSE),YES_Writing_ELA[#Headers],0))=0,"",INDEX(_xlfn.VSTACK(YES_Writing_ELA[#Data],YES_Writing_FLA[#Data]),MATCH($A579,_xlfn.VSTACK(YES_Writing_ELA[Student Number],YES_Writing_FLA[Student Number]),0),MATCH(VLOOKUP(D$7,'Writing Logic'!$J$7:$K$11,2,FALSE)&amp;" - Per "&amp;VLOOKUP($C$4,'Writing Logic'!$G$8:$H$14,2,FALSE),YES_Writing_ELA[#Headers],0)))),"")</f>
        <v/>
      </c>
      <c r="E579" s="138" t="str">
        <f>IFERROR(IF(IF(INDEX(_xlfn.VSTACK(YES_Writing_ELA[#Data],YES_Writing_FLA[#Data]),MATCH($A579,_xlfn.VSTACK(YES_Writing_ELA[Student Number],YES_Writing_FLA[Student Number]),0),MATCH(VLOOKUP(E$7,'Writing Logic'!$J$7:$K$11,2,FALSE)&amp;" - Per "&amp;VLOOKUP($C$4,'Writing Logic'!$G$8:$H$14,2,FALSE),YES_Writing_ELA[#Headers],0))=0,"",INDEX(_xlfn.VSTACK(YES_Writing_ELA[#Data],YES_Writing_FLA[#Data]),MATCH($A579,_xlfn.VSTACK(YES_Writing_ELA[Student Number],YES_Writing_FLA[Student Number]),0),MATCH(VLOOKUP(E$7,'Writing Logic'!$J$7:$K$11,2,FALSE)&amp;" - Per "&amp;VLOOKUP($C$4,'Writing Logic'!$G$8:$H$14,2,FALSE),YES_Writing_ELA[#Headers],0)))="INS",'Writing Logic'!$B$7,IF(INDEX(_xlfn.VSTACK(YES_Writing_ELA[#Data],YES_Writing_FLA[#Data]),MATCH($A579,_xlfn.VSTACK(YES_Writing_ELA[Student Number],YES_Writing_FLA[Student Number]),0),MATCH(VLOOKUP(E$7,'Writing Logic'!$J$7:$K$11,2,FALSE)&amp;" - Per "&amp;VLOOKUP($C$4,'Writing Logic'!$G$8:$H$14,2,FALSE),YES_Writing_ELA[#Headers],0))=0,"",INDEX(_xlfn.VSTACK(YES_Writing_ELA[#Data],YES_Writing_FLA[#Data]),MATCH($A579,_xlfn.VSTACK(YES_Writing_ELA[Student Number],YES_Writing_FLA[Student Number]),0),MATCH(VLOOKUP(E$7,'Writing Logic'!$J$7:$K$11,2,FALSE)&amp;" - Per "&amp;VLOOKUP($C$4,'Writing Logic'!$G$8:$H$14,2,FALSE),YES_Writing_ELA[#Headers],0)))),"")</f>
        <v/>
      </c>
      <c r="F579" s="138" t="str">
        <f>IFERROR(IF(IF(INDEX(_xlfn.VSTACK(YES_Writing_ELA[#Data],YES_Writing_FLA[#Data]),MATCH($A579,_xlfn.VSTACK(YES_Writing_ELA[Student Number],YES_Writing_FLA[Student Number]),0),MATCH(VLOOKUP(F$7,'Writing Logic'!$J$7:$K$11,2,FALSE)&amp;" - Per "&amp;VLOOKUP($C$4,'Writing Logic'!$G$8:$H$14,2,FALSE),YES_Writing_ELA[#Headers],0))=0,"",INDEX(_xlfn.VSTACK(YES_Writing_ELA[#Data],YES_Writing_FLA[#Data]),MATCH($A579,_xlfn.VSTACK(YES_Writing_ELA[Student Number],YES_Writing_FLA[Student Number]),0),MATCH(VLOOKUP(F$7,'Writing Logic'!$J$7:$K$11,2,FALSE)&amp;" - Per "&amp;VLOOKUP($C$4,'Writing Logic'!$G$8:$H$14,2,FALSE),YES_Writing_ELA[#Headers],0)))="INS",'Writing Logic'!$B$7,IF(INDEX(_xlfn.VSTACK(YES_Writing_ELA[#Data],YES_Writing_FLA[#Data]),MATCH($A579,_xlfn.VSTACK(YES_Writing_ELA[Student Number],YES_Writing_FLA[Student Number]),0),MATCH(VLOOKUP(F$7,'Writing Logic'!$J$7:$K$11,2,FALSE)&amp;" - Per "&amp;VLOOKUP($C$4,'Writing Logic'!$G$8:$H$14,2,FALSE),YES_Writing_ELA[#Headers],0))=0,"",INDEX(_xlfn.VSTACK(YES_Writing_ELA[#Data],YES_Writing_FLA[#Data]),MATCH($A579,_xlfn.VSTACK(YES_Writing_ELA[Student Number],YES_Writing_FLA[Student Number]),0),MATCH(VLOOKUP(F$7,'Writing Logic'!$J$7:$K$11,2,FALSE)&amp;" - Per "&amp;VLOOKUP($C$4,'Writing Logic'!$G$8:$H$14,2,FALSE),YES_Writing_ELA[#Headers],0)))),"")</f>
        <v/>
      </c>
      <c r="G579" s="138" t="str">
        <f>IFERROR(IF(IF(INDEX(_xlfn.VSTACK(YES_Writing_ELA[#Data],YES_Writing_FLA[#Data]),MATCH($A579,_xlfn.VSTACK(YES_Writing_ELA[Student Number],YES_Writing_FLA[Student Number]),0),MATCH(VLOOKUP(G$7,'Writing Logic'!$J$7:$K$11,2,FALSE)&amp;" - Per "&amp;VLOOKUP($C$4,'Writing Logic'!$G$8:$H$14,2,FALSE),YES_Writing_ELA[#Headers],0))=0,"",INDEX(_xlfn.VSTACK(YES_Writing_ELA[#Data],YES_Writing_FLA[#Data]),MATCH($A579,_xlfn.VSTACK(YES_Writing_ELA[Student Number],YES_Writing_FLA[Student Number]),0),MATCH(VLOOKUP(G$7,'Writing Logic'!$J$7:$K$11,2,FALSE)&amp;" - Per "&amp;VLOOKUP($C$4,'Writing Logic'!$G$8:$H$14,2,FALSE),YES_Writing_ELA[#Headers],0)))="INS",'Writing Logic'!$B$7,IF(INDEX(_xlfn.VSTACK(YES_Writing_ELA[#Data],YES_Writing_FLA[#Data]),MATCH($A579,_xlfn.VSTACK(YES_Writing_ELA[Student Number],YES_Writing_FLA[Student Number]),0),MATCH(VLOOKUP(G$7,'Writing Logic'!$J$7:$K$11,2,FALSE)&amp;" - Per "&amp;VLOOKUP($C$4,'Writing Logic'!$G$8:$H$14,2,FALSE),YES_Writing_ELA[#Headers],0))=0,"",INDEX(_xlfn.VSTACK(YES_Writing_ELA[#Data],YES_Writing_FLA[#Data]),MATCH($A579,_xlfn.VSTACK(YES_Writing_ELA[Student Number],YES_Writing_FLA[Student Number]),0),MATCH(VLOOKUP(G$7,'Writing Logic'!$J$7:$K$11,2,FALSE)&amp;" - Per "&amp;VLOOKUP($C$4,'Writing Logic'!$G$8:$H$14,2,FALSE),YES_Writing_ELA[#Headers],0)))),"")</f>
        <v/>
      </c>
      <c r="H579" s="223" t="str">
        <f>IFERROR(IF(IF(INDEX(_xlfn.VSTACK(YES_Writing_ELA[#Data],YES_Writing_FLA[#Data]),MATCH($A579,_xlfn.VSTACK(YES_Writing_ELA[Student Number],YES_Writing_FLA[Student Number]),0),MATCH(VLOOKUP(H$7,'Writing Logic'!$J$7:$K$11,2,FALSE)&amp;" - Per "&amp;VLOOKUP($C$4,'Writing Logic'!$G$8:$H$14,2,FALSE),YES_Writing_ELA[#Headers],0))=0,"",INDEX(_xlfn.VSTACK(YES_Writing_ELA[#Data],YES_Writing_FLA[#Data]),MATCH($A579,_xlfn.VSTACK(YES_Writing_ELA[Student Number],YES_Writing_FLA[Student Number]),0),MATCH(VLOOKUP(H$7,'Writing Logic'!$J$7:$K$11,2,FALSE)&amp;" - Per "&amp;VLOOKUP($C$4,'Writing Logic'!$G$8:$H$14,2,FALSE),YES_Writing_ELA[#Headers],0)))="INS",'Writing Logic'!$B$7,IF(INDEX(_xlfn.VSTACK(YES_Writing_ELA[#Data],YES_Writing_FLA[#Data]),MATCH($A579,_xlfn.VSTACK(YES_Writing_ELA[Student Number],YES_Writing_FLA[Student Number]),0),MATCH(VLOOKUP(H$7,'Writing Logic'!$J$7:$K$11,2,FALSE)&amp;" - Per "&amp;VLOOKUP($C$4,'Writing Logic'!$G$8:$H$14,2,FALSE),YES_Writing_ELA[#Headers],0))=0,"",INDEX(_xlfn.VSTACK(YES_Writing_ELA[#Data],YES_Writing_FLA[#Data]),MATCH($A579,_xlfn.VSTACK(YES_Writing_ELA[Student Number],YES_Writing_FLA[Student Number]),0),MATCH(VLOOKUP(H$7,'Writing Logic'!$J$7:$K$11,2,FALSE)&amp;" - Per "&amp;VLOOKUP($C$4,'Writing Logic'!$G$8:$H$14,2,FALSE),YES_Writing_ELA[#Headers],0)))),"")</f>
        <v/>
      </c>
      <c r="I579" s="224" t="str" cm="1">
        <f t="array" aca="1" ref="I579" ca="1">IFERROR(
IF($G$3="ELA",
IF(VLOOKUP($A579, YES_Reading_ELA[], COLUMN(INDIRECT("YES_Reading_ELA[Difference - Per "&amp;VLOOKUP($G$4, 'Reading Report Logic'!$A$2:$B$8, 2, FALSE)&amp;"]")), FALSE)="", "",
VLOOKUP($A579,YES_Reading_ELA[], COLUMN(INDIRECT("YES_Reading_ELA[Difference - Per "&amp;VLOOKUP($G$4,'Reading Report Logic'!$A$2:$B$8,2,FALSE)&amp;"]")), FALSE)),
IF($G$3="FLA",
IF(VLOOKUP($A579, YES_Reading_FLA[], COLUMN(INDIRECT("YES_Reading_FLA[Difference - Per "&amp;VLOOKUP($G$4,'Reading Report Logic'!$A$2:$B$8,2,FALSE)&amp;"]")),FALSE)="","",
VLOOKUP($A579,YES_Reading_FLA[],COLUMN(INDIRECT("YES_Reading_FLA[Difference - Per "&amp;VLOOKUP($G$4,'Reading Report Logic'!$A$2:$B$8,2,FALSE)&amp;"]")),FALSE)),
IF($G$3="Combined",
IFERROR(
IF(VLOOKUP($A579, YES_Reading_ELA[], COLUMN(INDIRECT("YES_Reading_ELA[Difference - Per "&amp;VLOOKUP($G$4, 'Reading Report Logic'!$A$2:$B$8,2,FALSE)&amp;"]")), FALSE)="", "",
VLOOKUP($A579,YES_Reading_ELA[],COLUMN(INDIRECT("YES_Reading_ELA[Difference - Per "&amp;VLOOKUP($G$4,'Reading Report Logic'!$A$2:$B$8,2,FALSE)&amp;"]")),FALSE)),
IF(VLOOKUP($A579, YES_Reading_FLA[], COLUMN(INDIRECT("YES_Reading_FLA[Difference - Per "&amp;VLOOKUP($G$4, 'Reading Report Logic'!$A$2:$B$8, 2, FALSE)&amp;"]")),FALSE)="", "", VLOOKUP($A579,YES_Reading_FLA[],COLUMN(INDIRECT("YES_Reading_FLA[Difference - Per "&amp;VLOOKUP($G$4, 'Reading Report Logic'!$A$2:$B$8, 2, FALSE)&amp;"]")),FALSE))),""))),"")</f>
        <v/>
      </c>
    </row>
    <row r="580" spans="1:9" x14ac:dyDescent="0.25">
      <c r="A580" s="137"/>
      <c r="B580" s="137" t="str">
        <f>IFERROR(INDEX(_xlfn.VSTACK(YES_Writing_ELA[#Data], YES_Writing_FLA[#Data]),MATCH($A580,_xlfn.VSTACK(YES_Writing_ELA[Student Number], YES_Writing_FLA[Student Number]),0),MATCH(B$7,YES_Writing_ELA[#Headers],0)),IFERROR(INDEX(_xlfn.VSTACK(YES_Reading_ELA[#Data], YES_Reading_FLA[#Data]),MATCH($A580,_xlfn.VSTACK(YES_Reading_ELA[Student Number], YES_Reading_FLA[Student Number]),0),MATCH(B$7,YES_Reading_ELA[#Headers],0)),""))</f>
        <v/>
      </c>
      <c r="C580" s="137" t="str">
        <f>IFERROR(INDEX(_xlfn.VSTACK(YES_Writing_ELA[#Data], YES_Writing_FLA[#Data]),MATCH($A580,_xlfn.VSTACK(YES_Writing_ELA[Student Number], YES_Writing_FLA[Student Number]),0),MATCH(C$7,YES_Writing_ELA[#Headers],0)),IFERROR(INDEX(_xlfn.VSTACK(YES_Reading_ELA[#Data], YES_Reading_FLA[#Data]),MATCH($A580,_xlfn.VSTACK(YES_Reading_ELA[Student Number], YES_Reading_FLA[Student Number]),0),MATCH(C$7,YES_Reading_ELA[#Headers],0)),""))</f>
        <v/>
      </c>
      <c r="D580" s="138" t="str">
        <f>IFERROR(IF(IF(INDEX(_xlfn.VSTACK(YES_Writing_ELA[#Data],YES_Writing_FLA[#Data]),MATCH($A580,_xlfn.VSTACK(YES_Writing_ELA[Student Number],YES_Writing_FLA[Student Number]),0),MATCH(VLOOKUP(D$7,'Writing Logic'!$J$7:$K$11,2,FALSE)&amp;" - Per "&amp;VLOOKUP($C$4,'Writing Logic'!$G$8:$H$14,2,FALSE),YES_Writing_ELA[#Headers],0))=0,"",INDEX(_xlfn.VSTACK(YES_Writing_ELA[#Data],YES_Writing_FLA[#Data]),MATCH($A580,_xlfn.VSTACK(YES_Writing_ELA[Student Number],YES_Writing_FLA[Student Number]),0),MATCH(VLOOKUP(D$7,'Writing Logic'!$J$7:$K$11,2,FALSE)&amp;" - Per "&amp;VLOOKUP($C$4,'Writing Logic'!$G$8:$H$14,2,FALSE),YES_Writing_ELA[#Headers],0)))="INS",'Writing Logic'!$B$7,IF(INDEX(_xlfn.VSTACK(YES_Writing_ELA[#Data],YES_Writing_FLA[#Data]),MATCH($A580,_xlfn.VSTACK(YES_Writing_ELA[Student Number],YES_Writing_FLA[Student Number]),0),MATCH(VLOOKUP(D$7,'Writing Logic'!$J$7:$K$11,2,FALSE)&amp;" - Per "&amp;VLOOKUP($C$4,'Writing Logic'!$G$8:$H$14,2,FALSE),YES_Writing_ELA[#Headers],0))=0,"",INDEX(_xlfn.VSTACK(YES_Writing_ELA[#Data],YES_Writing_FLA[#Data]),MATCH($A580,_xlfn.VSTACK(YES_Writing_ELA[Student Number],YES_Writing_FLA[Student Number]),0),MATCH(VLOOKUP(D$7,'Writing Logic'!$J$7:$K$11,2,FALSE)&amp;" - Per "&amp;VLOOKUP($C$4,'Writing Logic'!$G$8:$H$14,2,FALSE),YES_Writing_ELA[#Headers],0)))),"")</f>
        <v/>
      </c>
      <c r="E580" s="138" t="str">
        <f>IFERROR(IF(IF(INDEX(_xlfn.VSTACK(YES_Writing_ELA[#Data],YES_Writing_FLA[#Data]),MATCH($A580,_xlfn.VSTACK(YES_Writing_ELA[Student Number],YES_Writing_FLA[Student Number]),0),MATCH(VLOOKUP(E$7,'Writing Logic'!$J$7:$K$11,2,FALSE)&amp;" - Per "&amp;VLOOKUP($C$4,'Writing Logic'!$G$8:$H$14,2,FALSE),YES_Writing_ELA[#Headers],0))=0,"",INDEX(_xlfn.VSTACK(YES_Writing_ELA[#Data],YES_Writing_FLA[#Data]),MATCH($A580,_xlfn.VSTACK(YES_Writing_ELA[Student Number],YES_Writing_FLA[Student Number]),0),MATCH(VLOOKUP(E$7,'Writing Logic'!$J$7:$K$11,2,FALSE)&amp;" - Per "&amp;VLOOKUP($C$4,'Writing Logic'!$G$8:$H$14,2,FALSE),YES_Writing_ELA[#Headers],0)))="INS",'Writing Logic'!$B$7,IF(INDEX(_xlfn.VSTACK(YES_Writing_ELA[#Data],YES_Writing_FLA[#Data]),MATCH($A580,_xlfn.VSTACK(YES_Writing_ELA[Student Number],YES_Writing_FLA[Student Number]),0),MATCH(VLOOKUP(E$7,'Writing Logic'!$J$7:$K$11,2,FALSE)&amp;" - Per "&amp;VLOOKUP($C$4,'Writing Logic'!$G$8:$H$14,2,FALSE),YES_Writing_ELA[#Headers],0))=0,"",INDEX(_xlfn.VSTACK(YES_Writing_ELA[#Data],YES_Writing_FLA[#Data]),MATCH($A580,_xlfn.VSTACK(YES_Writing_ELA[Student Number],YES_Writing_FLA[Student Number]),0),MATCH(VLOOKUP(E$7,'Writing Logic'!$J$7:$K$11,2,FALSE)&amp;" - Per "&amp;VLOOKUP($C$4,'Writing Logic'!$G$8:$H$14,2,FALSE),YES_Writing_ELA[#Headers],0)))),"")</f>
        <v/>
      </c>
      <c r="F580" s="138" t="str">
        <f>IFERROR(IF(IF(INDEX(_xlfn.VSTACK(YES_Writing_ELA[#Data],YES_Writing_FLA[#Data]),MATCH($A580,_xlfn.VSTACK(YES_Writing_ELA[Student Number],YES_Writing_FLA[Student Number]),0),MATCH(VLOOKUP(F$7,'Writing Logic'!$J$7:$K$11,2,FALSE)&amp;" - Per "&amp;VLOOKUP($C$4,'Writing Logic'!$G$8:$H$14,2,FALSE),YES_Writing_ELA[#Headers],0))=0,"",INDEX(_xlfn.VSTACK(YES_Writing_ELA[#Data],YES_Writing_FLA[#Data]),MATCH($A580,_xlfn.VSTACK(YES_Writing_ELA[Student Number],YES_Writing_FLA[Student Number]),0),MATCH(VLOOKUP(F$7,'Writing Logic'!$J$7:$K$11,2,FALSE)&amp;" - Per "&amp;VLOOKUP($C$4,'Writing Logic'!$G$8:$H$14,2,FALSE),YES_Writing_ELA[#Headers],0)))="INS",'Writing Logic'!$B$7,IF(INDEX(_xlfn.VSTACK(YES_Writing_ELA[#Data],YES_Writing_FLA[#Data]),MATCH($A580,_xlfn.VSTACK(YES_Writing_ELA[Student Number],YES_Writing_FLA[Student Number]),0),MATCH(VLOOKUP(F$7,'Writing Logic'!$J$7:$K$11,2,FALSE)&amp;" - Per "&amp;VLOOKUP($C$4,'Writing Logic'!$G$8:$H$14,2,FALSE),YES_Writing_ELA[#Headers],0))=0,"",INDEX(_xlfn.VSTACK(YES_Writing_ELA[#Data],YES_Writing_FLA[#Data]),MATCH($A580,_xlfn.VSTACK(YES_Writing_ELA[Student Number],YES_Writing_FLA[Student Number]),0),MATCH(VLOOKUP(F$7,'Writing Logic'!$J$7:$K$11,2,FALSE)&amp;" - Per "&amp;VLOOKUP($C$4,'Writing Logic'!$G$8:$H$14,2,FALSE),YES_Writing_ELA[#Headers],0)))),"")</f>
        <v/>
      </c>
      <c r="G580" s="138" t="str">
        <f>IFERROR(IF(IF(INDEX(_xlfn.VSTACK(YES_Writing_ELA[#Data],YES_Writing_FLA[#Data]),MATCH($A580,_xlfn.VSTACK(YES_Writing_ELA[Student Number],YES_Writing_FLA[Student Number]),0),MATCH(VLOOKUP(G$7,'Writing Logic'!$J$7:$K$11,2,FALSE)&amp;" - Per "&amp;VLOOKUP($C$4,'Writing Logic'!$G$8:$H$14,2,FALSE),YES_Writing_ELA[#Headers],0))=0,"",INDEX(_xlfn.VSTACK(YES_Writing_ELA[#Data],YES_Writing_FLA[#Data]),MATCH($A580,_xlfn.VSTACK(YES_Writing_ELA[Student Number],YES_Writing_FLA[Student Number]),0),MATCH(VLOOKUP(G$7,'Writing Logic'!$J$7:$K$11,2,FALSE)&amp;" - Per "&amp;VLOOKUP($C$4,'Writing Logic'!$G$8:$H$14,2,FALSE),YES_Writing_ELA[#Headers],0)))="INS",'Writing Logic'!$B$7,IF(INDEX(_xlfn.VSTACK(YES_Writing_ELA[#Data],YES_Writing_FLA[#Data]),MATCH($A580,_xlfn.VSTACK(YES_Writing_ELA[Student Number],YES_Writing_FLA[Student Number]),0),MATCH(VLOOKUP(G$7,'Writing Logic'!$J$7:$K$11,2,FALSE)&amp;" - Per "&amp;VLOOKUP($C$4,'Writing Logic'!$G$8:$H$14,2,FALSE),YES_Writing_ELA[#Headers],0))=0,"",INDEX(_xlfn.VSTACK(YES_Writing_ELA[#Data],YES_Writing_FLA[#Data]),MATCH($A580,_xlfn.VSTACK(YES_Writing_ELA[Student Number],YES_Writing_FLA[Student Number]),0),MATCH(VLOOKUP(G$7,'Writing Logic'!$J$7:$K$11,2,FALSE)&amp;" - Per "&amp;VLOOKUP($C$4,'Writing Logic'!$G$8:$H$14,2,FALSE),YES_Writing_ELA[#Headers],0)))),"")</f>
        <v/>
      </c>
      <c r="H580" s="223" t="str">
        <f>IFERROR(IF(IF(INDEX(_xlfn.VSTACK(YES_Writing_ELA[#Data],YES_Writing_FLA[#Data]),MATCH($A580,_xlfn.VSTACK(YES_Writing_ELA[Student Number],YES_Writing_FLA[Student Number]),0),MATCH(VLOOKUP(H$7,'Writing Logic'!$J$7:$K$11,2,FALSE)&amp;" - Per "&amp;VLOOKUP($C$4,'Writing Logic'!$G$8:$H$14,2,FALSE),YES_Writing_ELA[#Headers],0))=0,"",INDEX(_xlfn.VSTACK(YES_Writing_ELA[#Data],YES_Writing_FLA[#Data]),MATCH($A580,_xlfn.VSTACK(YES_Writing_ELA[Student Number],YES_Writing_FLA[Student Number]),0),MATCH(VLOOKUP(H$7,'Writing Logic'!$J$7:$K$11,2,FALSE)&amp;" - Per "&amp;VLOOKUP($C$4,'Writing Logic'!$G$8:$H$14,2,FALSE),YES_Writing_ELA[#Headers],0)))="INS",'Writing Logic'!$B$7,IF(INDEX(_xlfn.VSTACK(YES_Writing_ELA[#Data],YES_Writing_FLA[#Data]),MATCH($A580,_xlfn.VSTACK(YES_Writing_ELA[Student Number],YES_Writing_FLA[Student Number]),0),MATCH(VLOOKUP(H$7,'Writing Logic'!$J$7:$K$11,2,FALSE)&amp;" - Per "&amp;VLOOKUP($C$4,'Writing Logic'!$G$8:$H$14,2,FALSE),YES_Writing_ELA[#Headers],0))=0,"",INDEX(_xlfn.VSTACK(YES_Writing_ELA[#Data],YES_Writing_FLA[#Data]),MATCH($A580,_xlfn.VSTACK(YES_Writing_ELA[Student Number],YES_Writing_FLA[Student Number]),0),MATCH(VLOOKUP(H$7,'Writing Logic'!$J$7:$K$11,2,FALSE)&amp;" - Per "&amp;VLOOKUP($C$4,'Writing Logic'!$G$8:$H$14,2,FALSE),YES_Writing_ELA[#Headers],0)))),"")</f>
        <v/>
      </c>
      <c r="I580" s="224" t="str" cm="1">
        <f t="array" aca="1" ref="I580" ca="1">IFERROR(
IF($G$3="ELA",
IF(VLOOKUP($A580, YES_Reading_ELA[], COLUMN(INDIRECT("YES_Reading_ELA[Difference - Per "&amp;VLOOKUP($G$4, 'Reading Report Logic'!$A$2:$B$8, 2, FALSE)&amp;"]")), FALSE)="", "",
VLOOKUP($A580,YES_Reading_ELA[], COLUMN(INDIRECT("YES_Reading_ELA[Difference - Per "&amp;VLOOKUP($G$4,'Reading Report Logic'!$A$2:$B$8,2,FALSE)&amp;"]")), FALSE)),
IF($G$3="FLA",
IF(VLOOKUP($A580, YES_Reading_FLA[], COLUMN(INDIRECT("YES_Reading_FLA[Difference - Per "&amp;VLOOKUP($G$4,'Reading Report Logic'!$A$2:$B$8,2,FALSE)&amp;"]")),FALSE)="","",
VLOOKUP($A580,YES_Reading_FLA[],COLUMN(INDIRECT("YES_Reading_FLA[Difference - Per "&amp;VLOOKUP($G$4,'Reading Report Logic'!$A$2:$B$8,2,FALSE)&amp;"]")),FALSE)),
IF($G$3="Combined",
IFERROR(
IF(VLOOKUP($A580, YES_Reading_ELA[], COLUMN(INDIRECT("YES_Reading_ELA[Difference - Per "&amp;VLOOKUP($G$4, 'Reading Report Logic'!$A$2:$B$8,2,FALSE)&amp;"]")), FALSE)="", "",
VLOOKUP($A580,YES_Reading_ELA[],COLUMN(INDIRECT("YES_Reading_ELA[Difference - Per "&amp;VLOOKUP($G$4,'Reading Report Logic'!$A$2:$B$8,2,FALSE)&amp;"]")),FALSE)),
IF(VLOOKUP($A580, YES_Reading_FLA[], COLUMN(INDIRECT("YES_Reading_FLA[Difference - Per "&amp;VLOOKUP($G$4, 'Reading Report Logic'!$A$2:$B$8, 2, FALSE)&amp;"]")),FALSE)="", "", VLOOKUP($A580,YES_Reading_FLA[],COLUMN(INDIRECT("YES_Reading_FLA[Difference - Per "&amp;VLOOKUP($G$4, 'Reading Report Logic'!$A$2:$B$8, 2, FALSE)&amp;"]")),FALSE))),""))),"")</f>
        <v/>
      </c>
    </row>
    <row r="581" spans="1:9" x14ac:dyDescent="0.25">
      <c r="A581" s="137"/>
      <c r="B581" s="137" t="str">
        <f>IFERROR(INDEX(_xlfn.VSTACK(YES_Writing_ELA[#Data], YES_Writing_FLA[#Data]),MATCH($A581,_xlfn.VSTACK(YES_Writing_ELA[Student Number], YES_Writing_FLA[Student Number]),0),MATCH(B$7,YES_Writing_ELA[#Headers],0)),IFERROR(INDEX(_xlfn.VSTACK(YES_Reading_ELA[#Data], YES_Reading_FLA[#Data]),MATCH($A581,_xlfn.VSTACK(YES_Reading_ELA[Student Number], YES_Reading_FLA[Student Number]),0),MATCH(B$7,YES_Reading_ELA[#Headers],0)),""))</f>
        <v/>
      </c>
      <c r="C581" s="137" t="str">
        <f>IFERROR(INDEX(_xlfn.VSTACK(YES_Writing_ELA[#Data], YES_Writing_FLA[#Data]),MATCH($A581,_xlfn.VSTACK(YES_Writing_ELA[Student Number], YES_Writing_FLA[Student Number]),0),MATCH(C$7,YES_Writing_ELA[#Headers],0)),IFERROR(INDEX(_xlfn.VSTACK(YES_Reading_ELA[#Data], YES_Reading_FLA[#Data]),MATCH($A581,_xlfn.VSTACK(YES_Reading_ELA[Student Number], YES_Reading_FLA[Student Number]),0),MATCH(C$7,YES_Reading_ELA[#Headers],0)),""))</f>
        <v/>
      </c>
      <c r="D581" s="138" t="str">
        <f>IFERROR(IF(IF(INDEX(_xlfn.VSTACK(YES_Writing_ELA[#Data],YES_Writing_FLA[#Data]),MATCH($A581,_xlfn.VSTACK(YES_Writing_ELA[Student Number],YES_Writing_FLA[Student Number]),0),MATCH(VLOOKUP(D$7,'Writing Logic'!$J$7:$K$11,2,FALSE)&amp;" - Per "&amp;VLOOKUP($C$4,'Writing Logic'!$G$8:$H$14,2,FALSE),YES_Writing_ELA[#Headers],0))=0,"",INDEX(_xlfn.VSTACK(YES_Writing_ELA[#Data],YES_Writing_FLA[#Data]),MATCH($A581,_xlfn.VSTACK(YES_Writing_ELA[Student Number],YES_Writing_FLA[Student Number]),0),MATCH(VLOOKUP(D$7,'Writing Logic'!$J$7:$K$11,2,FALSE)&amp;" - Per "&amp;VLOOKUP($C$4,'Writing Logic'!$G$8:$H$14,2,FALSE),YES_Writing_ELA[#Headers],0)))="INS",'Writing Logic'!$B$7,IF(INDEX(_xlfn.VSTACK(YES_Writing_ELA[#Data],YES_Writing_FLA[#Data]),MATCH($A581,_xlfn.VSTACK(YES_Writing_ELA[Student Number],YES_Writing_FLA[Student Number]),0),MATCH(VLOOKUP(D$7,'Writing Logic'!$J$7:$K$11,2,FALSE)&amp;" - Per "&amp;VLOOKUP($C$4,'Writing Logic'!$G$8:$H$14,2,FALSE),YES_Writing_ELA[#Headers],0))=0,"",INDEX(_xlfn.VSTACK(YES_Writing_ELA[#Data],YES_Writing_FLA[#Data]),MATCH($A581,_xlfn.VSTACK(YES_Writing_ELA[Student Number],YES_Writing_FLA[Student Number]),0),MATCH(VLOOKUP(D$7,'Writing Logic'!$J$7:$K$11,2,FALSE)&amp;" - Per "&amp;VLOOKUP($C$4,'Writing Logic'!$G$8:$H$14,2,FALSE),YES_Writing_ELA[#Headers],0)))),"")</f>
        <v/>
      </c>
      <c r="E581" s="138" t="str">
        <f>IFERROR(IF(IF(INDEX(_xlfn.VSTACK(YES_Writing_ELA[#Data],YES_Writing_FLA[#Data]),MATCH($A581,_xlfn.VSTACK(YES_Writing_ELA[Student Number],YES_Writing_FLA[Student Number]),0),MATCH(VLOOKUP(E$7,'Writing Logic'!$J$7:$K$11,2,FALSE)&amp;" - Per "&amp;VLOOKUP($C$4,'Writing Logic'!$G$8:$H$14,2,FALSE),YES_Writing_ELA[#Headers],0))=0,"",INDEX(_xlfn.VSTACK(YES_Writing_ELA[#Data],YES_Writing_FLA[#Data]),MATCH($A581,_xlfn.VSTACK(YES_Writing_ELA[Student Number],YES_Writing_FLA[Student Number]),0),MATCH(VLOOKUP(E$7,'Writing Logic'!$J$7:$K$11,2,FALSE)&amp;" - Per "&amp;VLOOKUP($C$4,'Writing Logic'!$G$8:$H$14,2,FALSE),YES_Writing_ELA[#Headers],0)))="INS",'Writing Logic'!$B$7,IF(INDEX(_xlfn.VSTACK(YES_Writing_ELA[#Data],YES_Writing_FLA[#Data]),MATCH($A581,_xlfn.VSTACK(YES_Writing_ELA[Student Number],YES_Writing_FLA[Student Number]),0),MATCH(VLOOKUP(E$7,'Writing Logic'!$J$7:$K$11,2,FALSE)&amp;" - Per "&amp;VLOOKUP($C$4,'Writing Logic'!$G$8:$H$14,2,FALSE),YES_Writing_ELA[#Headers],0))=0,"",INDEX(_xlfn.VSTACK(YES_Writing_ELA[#Data],YES_Writing_FLA[#Data]),MATCH($A581,_xlfn.VSTACK(YES_Writing_ELA[Student Number],YES_Writing_FLA[Student Number]),0),MATCH(VLOOKUP(E$7,'Writing Logic'!$J$7:$K$11,2,FALSE)&amp;" - Per "&amp;VLOOKUP($C$4,'Writing Logic'!$G$8:$H$14,2,FALSE),YES_Writing_ELA[#Headers],0)))),"")</f>
        <v/>
      </c>
      <c r="F581" s="138" t="str">
        <f>IFERROR(IF(IF(INDEX(_xlfn.VSTACK(YES_Writing_ELA[#Data],YES_Writing_FLA[#Data]),MATCH($A581,_xlfn.VSTACK(YES_Writing_ELA[Student Number],YES_Writing_FLA[Student Number]),0),MATCH(VLOOKUP(F$7,'Writing Logic'!$J$7:$K$11,2,FALSE)&amp;" - Per "&amp;VLOOKUP($C$4,'Writing Logic'!$G$8:$H$14,2,FALSE),YES_Writing_ELA[#Headers],0))=0,"",INDEX(_xlfn.VSTACK(YES_Writing_ELA[#Data],YES_Writing_FLA[#Data]),MATCH($A581,_xlfn.VSTACK(YES_Writing_ELA[Student Number],YES_Writing_FLA[Student Number]),0),MATCH(VLOOKUP(F$7,'Writing Logic'!$J$7:$K$11,2,FALSE)&amp;" - Per "&amp;VLOOKUP($C$4,'Writing Logic'!$G$8:$H$14,2,FALSE),YES_Writing_ELA[#Headers],0)))="INS",'Writing Logic'!$B$7,IF(INDEX(_xlfn.VSTACK(YES_Writing_ELA[#Data],YES_Writing_FLA[#Data]),MATCH($A581,_xlfn.VSTACK(YES_Writing_ELA[Student Number],YES_Writing_FLA[Student Number]),0),MATCH(VLOOKUP(F$7,'Writing Logic'!$J$7:$K$11,2,FALSE)&amp;" - Per "&amp;VLOOKUP($C$4,'Writing Logic'!$G$8:$H$14,2,FALSE),YES_Writing_ELA[#Headers],0))=0,"",INDEX(_xlfn.VSTACK(YES_Writing_ELA[#Data],YES_Writing_FLA[#Data]),MATCH($A581,_xlfn.VSTACK(YES_Writing_ELA[Student Number],YES_Writing_FLA[Student Number]),0),MATCH(VLOOKUP(F$7,'Writing Logic'!$J$7:$K$11,2,FALSE)&amp;" - Per "&amp;VLOOKUP($C$4,'Writing Logic'!$G$8:$H$14,2,FALSE),YES_Writing_ELA[#Headers],0)))),"")</f>
        <v/>
      </c>
      <c r="G581" s="138" t="str">
        <f>IFERROR(IF(IF(INDEX(_xlfn.VSTACK(YES_Writing_ELA[#Data],YES_Writing_FLA[#Data]),MATCH($A581,_xlfn.VSTACK(YES_Writing_ELA[Student Number],YES_Writing_FLA[Student Number]),0),MATCH(VLOOKUP(G$7,'Writing Logic'!$J$7:$K$11,2,FALSE)&amp;" - Per "&amp;VLOOKUP($C$4,'Writing Logic'!$G$8:$H$14,2,FALSE),YES_Writing_ELA[#Headers],0))=0,"",INDEX(_xlfn.VSTACK(YES_Writing_ELA[#Data],YES_Writing_FLA[#Data]),MATCH($A581,_xlfn.VSTACK(YES_Writing_ELA[Student Number],YES_Writing_FLA[Student Number]),0),MATCH(VLOOKUP(G$7,'Writing Logic'!$J$7:$K$11,2,FALSE)&amp;" - Per "&amp;VLOOKUP($C$4,'Writing Logic'!$G$8:$H$14,2,FALSE),YES_Writing_ELA[#Headers],0)))="INS",'Writing Logic'!$B$7,IF(INDEX(_xlfn.VSTACK(YES_Writing_ELA[#Data],YES_Writing_FLA[#Data]),MATCH($A581,_xlfn.VSTACK(YES_Writing_ELA[Student Number],YES_Writing_FLA[Student Number]),0),MATCH(VLOOKUP(G$7,'Writing Logic'!$J$7:$K$11,2,FALSE)&amp;" - Per "&amp;VLOOKUP($C$4,'Writing Logic'!$G$8:$H$14,2,FALSE),YES_Writing_ELA[#Headers],0))=0,"",INDEX(_xlfn.VSTACK(YES_Writing_ELA[#Data],YES_Writing_FLA[#Data]),MATCH($A581,_xlfn.VSTACK(YES_Writing_ELA[Student Number],YES_Writing_FLA[Student Number]),0),MATCH(VLOOKUP(G$7,'Writing Logic'!$J$7:$K$11,2,FALSE)&amp;" - Per "&amp;VLOOKUP($C$4,'Writing Logic'!$G$8:$H$14,2,FALSE),YES_Writing_ELA[#Headers],0)))),"")</f>
        <v/>
      </c>
      <c r="H581" s="223" t="str">
        <f>IFERROR(IF(IF(INDEX(_xlfn.VSTACK(YES_Writing_ELA[#Data],YES_Writing_FLA[#Data]),MATCH($A581,_xlfn.VSTACK(YES_Writing_ELA[Student Number],YES_Writing_FLA[Student Number]),0),MATCH(VLOOKUP(H$7,'Writing Logic'!$J$7:$K$11,2,FALSE)&amp;" - Per "&amp;VLOOKUP($C$4,'Writing Logic'!$G$8:$H$14,2,FALSE),YES_Writing_ELA[#Headers],0))=0,"",INDEX(_xlfn.VSTACK(YES_Writing_ELA[#Data],YES_Writing_FLA[#Data]),MATCH($A581,_xlfn.VSTACK(YES_Writing_ELA[Student Number],YES_Writing_FLA[Student Number]),0),MATCH(VLOOKUP(H$7,'Writing Logic'!$J$7:$K$11,2,FALSE)&amp;" - Per "&amp;VLOOKUP($C$4,'Writing Logic'!$G$8:$H$14,2,FALSE),YES_Writing_ELA[#Headers],0)))="INS",'Writing Logic'!$B$7,IF(INDEX(_xlfn.VSTACK(YES_Writing_ELA[#Data],YES_Writing_FLA[#Data]),MATCH($A581,_xlfn.VSTACK(YES_Writing_ELA[Student Number],YES_Writing_FLA[Student Number]),0),MATCH(VLOOKUP(H$7,'Writing Logic'!$J$7:$K$11,2,FALSE)&amp;" - Per "&amp;VLOOKUP($C$4,'Writing Logic'!$G$8:$H$14,2,FALSE),YES_Writing_ELA[#Headers],0))=0,"",INDEX(_xlfn.VSTACK(YES_Writing_ELA[#Data],YES_Writing_FLA[#Data]),MATCH($A581,_xlfn.VSTACK(YES_Writing_ELA[Student Number],YES_Writing_FLA[Student Number]),0),MATCH(VLOOKUP(H$7,'Writing Logic'!$J$7:$K$11,2,FALSE)&amp;" - Per "&amp;VLOOKUP($C$4,'Writing Logic'!$G$8:$H$14,2,FALSE),YES_Writing_ELA[#Headers],0)))),"")</f>
        <v/>
      </c>
      <c r="I581" s="224" t="str" cm="1">
        <f t="array" aca="1" ref="I581" ca="1">IFERROR(
IF($G$3="ELA",
IF(VLOOKUP($A581, YES_Reading_ELA[], COLUMN(INDIRECT("YES_Reading_ELA[Difference - Per "&amp;VLOOKUP($G$4, 'Reading Report Logic'!$A$2:$B$8, 2, FALSE)&amp;"]")), FALSE)="", "",
VLOOKUP($A581,YES_Reading_ELA[], COLUMN(INDIRECT("YES_Reading_ELA[Difference - Per "&amp;VLOOKUP($G$4,'Reading Report Logic'!$A$2:$B$8,2,FALSE)&amp;"]")), FALSE)),
IF($G$3="FLA",
IF(VLOOKUP($A581, YES_Reading_FLA[], COLUMN(INDIRECT("YES_Reading_FLA[Difference - Per "&amp;VLOOKUP($G$4,'Reading Report Logic'!$A$2:$B$8,2,FALSE)&amp;"]")),FALSE)="","",
VLOOKUP($A581,YES_Reading_FLA[],COLUMN(INDIRECT("YES_Reading_FLA[Difference - Per "&amp;VLOOKUP($G$4,'Reading Report Logic'!$A$2:$B$8,2,FALSE)&amp;"]")),FALSE)),
IF($G$3="Combined",
IFERROR(
IF(VLOOKUP($A581, YES_Reading_ELA[], COLUMN(INDIRECT("YES_Reading_ELA[Difference - Per "&amp;VLOOKUP($G$4, 'Reading Report Logic'!$A$2:$B$8,2,FALSE)&amp;"]")), FALSE)="", "",
VLOOKUP($A581,YES_Reading_ELA[],COLUMN(INDIRECT("YES_Reading_ELA[Difference - Per "&amp;VLOOKUP($G$4,'Reading Report Logic'!$A$2:$B$8,2,FALSE)&amp;"]")),FALSE)),
IF(VLOOKUP($A581, YES_Reading_FLA[], COLUMN(INDIRECT("YES_Reading_FLA[Difference - Per "&amp;VLOOKUP($G$4, 'Reading Report Logic'!$A$2:$B$8, 2, FALSE)&amp;"]")),FALSE)="", "", VLOOKUP($A581,YES_Reading_FLA[],COLUMN(INDIRECT("YES_Reading_FLA[Difference - Per "&amp;VLOOKUP($G$4, 'Reading Report Logic'!$A$2:$B$8, 2, FALSE)&amp;"]")),FALSE))),""))),"")</f>
        <v/>
      </c>
    </row>
    <row r="582" spans="1:9" x14ac:dyDescent="0.25">
      <c r="A582" s="137"/>
      <c r="B582" s="137" t="str">
        <f>IFERROR(INDEX(_xlfn.VSTACK(YES_Writing_ELA[#Data], YES_Writing_FLA[#Data]),MATCH($A582,_xlfn.VSTACK(YES_Writing_ELA[Student Number], YES_Writing_FLA[Student Number]),0),MATCH(B$7,YES_Writing_ELA[#Headers],0)),IFERROR(INDEX(_xlfn.VSTACK(YES_Reading_ELA[#Data], YES_Reading_FLA[#Data]),MATCH($A582,_xlfn.VSTACK(YES_Reading_ELA[Student Number], YES_Reading_FLA[Student Number]),0),MATCH(B$7,YES_Reading_ELA[#Headers],0)),""))</f>
        <v/>
      </c>
      <c r="C582" s="137" t="str">
        <f>IFERROR(INDEX(_xlfn.VSTACK(YES_Writing_ELA[#Data], YES_Writing_FLA[#Data]),MATCH($A582,_xlfn.VSTACK(YES_Writing_ELA[Student Number], YES_Writing_FLA[Student Number]),0),MATCH(C$7,YES_Writing_ELA[#Headers],0)),IFERROR(INDEX(_xlfn.VSTACK(YES_Reading_ELA[#Data], YES_Reading_FLA[#Data]),MATCH($A582,_xlfn.VSTACK(YES_Reading_ELA[Student Number], YES_Reading_FLA[Student Number]),0),MATCH(C$7,YES_Reading_ELA[#Headers],0)),""))</f>
        <v/>
      </c>
      <c r="D582" s="138" t="str">
        <f>IFERROR(IF(IF(INDEX(_xlfn.VSTACK(YES_Writing_ELA[#Data],YES_Writing_FLA[#Data]),MATCH($A582,_xlfn.VSTACK(YES_Writing_ELA[Student Number],YES_Writing_FLA[Student Number]),0),MATCH(VLOOKUP(D$7,'Writing Logic'!$J$7:$K$11,2,FALSE)&amp;" - Per "&amp;VLOOKUP($C$4,'Writing Logic'!$G$8:$H$14,2,FALSE),YES_Writing_ELA[#Headers],0))=0,"",INDEX(_xlfn.VSTACK(YES_Writing_ELA[#Data],YES_Writing_FLA[#Data]),MATCH($A582,_xlfn.VSTACK(YES_Writing_ELA[Student Number],YES_Writing_FLA[Student Number]),0),MATCH(VLOOKUP(D$7,'Writing Logic'!$J$7:$K$11,2,FALSE)&amp;" - Per "&amp;VLOOKUP($C$4,'Writing Logic'!$G$8:$H$14,2,FALSE),YES_Writing_ELA[#Headers],0)))="INS",'Writing Logic'!$B$7,IF(INDEX(_xlfn.VSTACK(YES_Writing_ELA[#Data],YES_Writing_FLA[#Data]),MATCH($A582,_xlfn.VSTACK(YES_Writing_ELA[Student Number],YES_Writing_FLA[Student Number]),0),MATCH(VLOOKUP(D$7,'Writing Logic'!$J$7:$K$11,2,FALSE)&amp;" - Per "&amp;VLOOKUP($C$4,'Writing Logic'!$G$8:$H$14,2,FALSE),YES_Writing_ELA[#Headers],0))=0,"",INDEX(_xlfn.VSTACK(YES_Writing_ELA[#Data],YES_Writing_FLA[#Data]),MATCH($A582,_xlfn.VSTACK(YES_Writing_ELA[Student Number],YES_Writing_FLA[Student Number]),0),MATCH(VLOOKUP(D$7,'Writing Logic'!$J$7:$K$11,2,FALSE)&amp;" - Per "&amp;VLOOKUP($C$4,'Writing Logic'!$G$8:$H$14,2,FALSE),YES_Writing_ELA[#Headers],0)))),"")</f>
        <v/>
      </c>
      <c r="E582" s="138" t="str">
        <f>IFERROR(IF(IF(INDEX(_xlfn.VSTACK(YES_Writing_ELA[#Data],YES_Writing_FLA[#Data]),MATCH($A582,_xlfn.VSTACK(YES_Writing_ELA[Student Number],YES_Writing_FLA[Student Number]),0),MATCH(VLOOKUP(E$7,'Writing Logic'!$J$7:$K$11,2,FALSE)&amp;" - Per "&amp;VLOOKUP($C$4,'Writing Logic'!$G$8:$H$14,2,FALSE),YES_Writing_ELA[#Headers],0))=0,"",INDEX(_xlfn.VSTACK(YES_Writing_ELA[#Data],YES_Writing_FLA[#Data]),MATCH($A582,_xlfn.VSTACK(YES_Writing_ELA[Student Number],YES_Writing_FLA[Student Number]),0),MATCH(VLOOKUP(E$7,'Writing Logic'!$J$7:$K$11,2,FALSE)&amp;" - Per "&amp;VLOOKUP($C$4,'Writing Logic'!$G$8:$H$14,2,FALSE),YES_Writing_ELA[#Headers],0)))="INS",'Writing Logic'!$B$7,IF(INDEX(_xlfn.VSTACK(YES_Writing_ELA[#Data],YES_Writing_FLA[#Data]),MATCH($A582,_xlfn.VSTACK(YES_Writing_ELA[Student Number],YES_Writing_FLA[Student Number]),0),MATCH(VLOOKUP(E$7,'Writing Logic'!$J$7:$K$11,2,FALSE)&amp;" - Per "&amp;VLOOKUP($C$4,'Writing Logic'!$G$8:$H$14,2,FALSE),YES_Writing_ELA[#Headers],0))=0,"",INDEX(_xlfn.VSTACK(YES_Writing_ELA[#Data],YES_Writing_FLA[#Data]),MATCH($A582,_xlfn.VSTACK(YES_Writing_ELA[Student Number],YES_Writing_FLA[Student Number]),0),MATCH(VLOOKUP(E$7,'Writing Logic'!$J$7:$K$11,2,FALSE)&amp;" - Per "&amp;VLOOKUP($C$4,'Writing Logic'!$G$8:$H$14,2,FALSE),YES_Writing_ELA[#Headers],0)))),"")</f>
        <v/>
      </c>
      <c r="F582" s="138" t="str">
        <f>IFERROR(IF(IF(INDEX(_xlfn.VSTACK(YES_Writing_ELA[#Data],YES_Writing_FLA[#Data]),MATCH($A582,_xlfn.VSTACK(YES_Writing_ELA[Student Number],YES_Writing_FLA[Student Number]),0),MATCH(VLOOKUP(F$7,'Writing Logic'!$J$7:$K$11,2,FALSE)&amp;" - Per "&amp;VLOOKUP($C$4,'Writing Logic'!$G$8:$H$14,2,FALSE),YES_Writing_ELA[#Headers],0))=0,"",INDEX(_xlfn.VSTACK(YES_Writing_ELA[#Data],YES_Writing_FLA[#Data]),MATCH($A582,_xlfn.VSTACK(YES_Writing_ELA[Student Number],YES_Writing_FLA[Student Number]),0),MATCH(VLOOKUP(F$7,'Writing Logic'!$J$7:$K$11,2,FALSE)&amp;" - Per "&amp;VLOOKUP($C$4,'Writing Logic'!$G$8:$H$14,2,FALSE),YES_Writing_ELA[#Headers],0)))="INS",'Writing Logic'!$B$7,IF(INDEX(_xlfn.VSTACK(YES_Writing_ELA[#Data],YES_Writing_FLA[#Data]),MATCH($A582,_xlfn.VSTACK(YES_Writing_ELA[Student Number],YES_Writing_FLA[Student Number]),0),MATCH(VLOOKUP(F$7,'Writing Logic'!$J$7:$K$11,2,FALSE)&amp;" - Per "&amp;VLOOKUP($C$4,'Writing Logic'!$G$8:$H$14,2,FALSE),YES_Writing_ELA[#Headers],0))=0,"",INDEX(_xlfn.VSTACK(YES_Writing_ELA[#Data],YES_Writing_FLA[#Data]),MATCH($A582,_xlfn.VSTACK(YES_Writing_ELA[Student Number],YES_Writing_FLA[Student Number]),0),MATCH(VLOOKUP(F$7,'Writing Logic'!$J$7:$K$11,2,FALSE)&amp;" - Per "&amp;VLOOKUP($C$4,'Writing Logic'!$G$8:$H$14,2,FALSE),YES_Writing_ELA[#Headers],0)))),"")</f>
        <v/>
      </c>
      <c r="G582" s="138" t="str">
        <f>IFERROR(IF(IF(INDEX(_xlfn.VSTACK(YES_Writing_ELA[#Data],YES_Writing_FLA[#Data]),MATCH($A582,_xlfn.VSTACK(YES_Writing_ELA[Student Number],YES_Writing_FLA[Student Number]),0),MATCH(VLOOKUP(G$7,'Writing Logic'!$J$7:$K$11,2,FALSE)&amp;" - Per "&amp;VLOOKUP($C$4,'Writing Logic'!$G$8:$H$14,2,FALSE),YES_Writing_ELA[#Headers],0))=0,"",INDEX(_xlfn.VSTACK(YES_Writing_ELA[#Data],YES_Writing_FLA[#Data]),MATCH($A582,_xlfn.VSTACK(YES_Writing_ELA[Student Number],YES_Writing_FLA[Student Number]),0),MATCH(VLOOKUP(G$7,'Writing Logic'!$J$7:$K$11,2,FALSE)&amp;" - Per "&amp;VLOOKUP($C$4,'Writing Logic'!$G$8:$H$14,2,FALSE),YES_Writing_ELA[#Headers],0)))="INS",'Writing Logic'!$B$7,IF(INDEX(_xlfn.VSTACK(YES_Writing_ELA[#Data],YES_Writing_FLA[#Data]),MATCH($A582,_xlfn.VSTACK(YES_Writing_ELA[Student Number],YES_Writing_FLA[Student Number]),0),MATCH(VLOOKUP(G$7,'Writing Logic'!$J$7:$K$11,2,FALSE)&amp;" - Per "&amp;VLOOKUP($C$4,'Writing Logic'!$G$8:$H$14,2,FALSE),YES_Writing_ELA[#Headers],0))=0,"",INDEX(_xlfn.VSTACK(YES_Writing_ELA[#Data],YES_Writing_FLA[#Data]),MATCH($A582,_xlfn.VSTACK(YES_Writing_ELA[Student Number],YES_Writing_FLA[Student Number]),0),MATCH(VLOOKUP(G$7,'Writing Logic'!$J$7:$K$11,2,FALSE)&amp;" - Per "&amp;VLOOKUP($C$4,'Writing Logic'!$G$8:$H$14,2,FALSE),YES_Writing_ELA[#Headers],0)))),"")</f>
        <v/>
      </c>
      <c r="H582" s="223" t="str">
        <f>IFERROR(IF(IF(INDEX(_xlfn.VSTACK(YES_Writing_ELA[#Data],YES_Writing_FLA[#Data]),MATCH($A582,_xlfn.VSTACK(YES_Writing_ELA[Student Number],YES_Writing_FLA[Student Number]),0),MATCH(VLOOKUP(H$7,'Writing Logic'!$J$7:$K$11,2,FALSE)&amp;" - Per "&amp;VLOOKUP($C$4,'Writing Logic'!$G$8:$H$14,2,FALSE),YES_Writing_ELA[#Headers],0))=0,"",INDEX(_xlfn.VSTACK(YES_Writing_ELA[#Data],YES_Writing_FLA[#Data]),MATCH($A582,_xlfn.VSTACK(YES_Writing_ELA[Student Number],YES_Writing_FLA[Student Number]),0),MATCH(VLOOKUP(H$7,'Writing Logic'!$J$7:$K$11,2,FALSE)&amp;" - Per "&amp;VLOOKUP($C$4,'Writing Logic'!$G$8:$H$14,2,FALSE),YES_Writing_ELA[#Headers],0)))="INS",'Writing Logic'!$B$7,IF(INDEX(_xlfn.VSTACK(YES_Writing_ELA[#Data],YES_Writing_FLA[#Data]),MATCH($A582,_xlfn.VSTACK(YES_Writing_ELA[Student Number],YES_Writing_FLA[Student Number]),0),MATCH(VLOOKUP(H$7,'Writing Logic'!$J$7:$K$11,2,FALSE)&amp;" - Per "&amp;VLOOKUP($C$4,'Writing Logic'!$G$8:$H$14,2,FALSE),YES_Writing_ELA[#Headers],0))=0,"",INDEX(_xlfn.VSTACK(YES_Writing_ELA[#Data],YES_Writing_FLA[#Data]),MATCH($A582,_xlfn.VSTACK(YES_Writing_ELA[Student Number],YES_Writing_FLA[Student Number]),0),MATCH(VLOOKUP(H$7,'Writing Logic'!$J$7:$K$11,2,FALSE)&amp;" - Per "&amp;VLOOKUP($C$4,'Writing Logic'!$G$8:$H$14,2,FALSE),YES_Writing_ELA[#Headers],0)))),"")</f>
        <v/>
      </c>
      <c r="I582" s="224" t="str" cm="1">
        <f t="array" aca="1" ref="I582" ca="1">IFERROR(
IF($G$3="ELA",
IF(VLOOKUP($A582, YES_Reading_ELA[], COLUMN(INDIRECT("YES_Reading_ELA[Difference - Per "&amp;VLOOKUP($G$4, 'Reading Report Logic'!$A$2:$B$8, 2, FALSE)&amp;"]")), FALSE)="", "",
VLOOKUP($A582,YES_Reading_ELA[], COLUMN(INDIRECT("YES_Reading_ELA[Difference - Per "&amp;VLOOKUP($G$4,'Reading Report Logic'!$A$2:$B$8,2,FALSE)&amp;"]")), FALSE)),
IF($G$3="FLA",
IF(VLOOKUP($A582, YES_Reading_FLA[], COLUMN(INDIRECT("YES_Reading_FLA[Difference - Per "&amp;VLOOKUP($G$4,'Reading Report Logic'!$A$2:$B$8,2,FALSE)&amp;"]")),FALSE)="","",
VLOOKUP($A582,YES_Reading_FLA[],COLUMN(INDIRECT("YES_Reading_FLA[Difference - Per "&amp;VLOOKUP($G$4,'Reading Report Logic'!$A$2:$B$8,2,FALSE)&amp;"]")),FALSE)),
IF($G$3="Combined",
IFERROR(
IF(VLOOKUP($A582, YES_Reading_ELA[], COLUMN(INDIRECT("YES_Reading_ELA[Difference - Per "&amp;VLOOKUP($G$4, 'Reading Report Logic'!$A$2:$B$8,2,FALSE)&amp;"]")), FALSE)="", "",
VLOOKUP($A582,YES_Reading_ELA[],COLUMN(INDIRECT("YES_Reading_ELA[Difference - Per "&amp;VLOOKUP($G$4,'Reading Report Logic'!$A$2:$B$8,2,FALSE)&amp;"]")),FALSE)),
IF(VLOOKUP($A582, YES_Reading_FLA[], COLUMN(INDIRECT("YES_Reading_FLA[Difference - Per "&amp;VLOOKUP($G$4, 'Reading Report Logic'!$A$2:$B$8, 2, FALSE)&amp;"]")),FALSE)="", "", VLOOKUP($A582,YES_Reading_FLA[],COLUMN(INDIRECT("YES_Reading_FLA[Difference - Per "&amp;VLOOKUP($G$4, 'Reading Report Logic'!$A$2:$B$8, 2, FALSE)&amp;"]")),FALSE))),""))),"")</f>
        <v/>
      </c>
    </row>
    <row r="583" spans="1:9" x14ac:dyDescent="0.25">
      <c r="A583" s="137"/>
      <c r="B583" s="137" t="str">
        <f>IFERROR(INDEX(_xlfn.VSTACK(YES_Writing_ELA[#Data], YES_Writing_FLA[#Data]),MATCH($A583,_xlfn.VSTACK(YES_Writing_ELA[Student Number], YES_Writing_FLA[Student Number]),0),MATCH(B$7,YES_Writing_ELA[#Headers],0)),IFERROR(INDEX(_xlfn.VSTACK(YES_Reading_ELA[#Data], YES_Reading_FLA[#Data]),MATCH($A583,_xlfn.VSTACK(YES_Reading_ELA[Student Number], YES_Reading_FLA[Student Number]),0),MATCH(B$7,YES_Reading_ELA[#Headers],0)),""))</f>
        <v/>
      </c>
      <c r="C583" s="137" t="str">
        <f>IFERROR(INDEX(_xlfn.VSTACK(YES_Writing_ELA[#Data], YES_Writing_FLA[#Data]),MATCH($A583,_xlfn.VSTACK(YES_Writing_ELA[Student Number], YES_Writing_FLA[Student Number]),0),MATCH(C$7,YES_Writing_ELA[#Headers],0)),IFERROR(INDEX(_xlfn.VSTACK(YES_Reading_ELA[#Data], YES_Reading_FLA[#Data]),MATCH($A583,_xlfn.VSTACK(YES_Reading_ELA[Student Number], YES_Reading_FLA[Student Number]),0),MATCH(C$7,YES_Reading_ELA[#Headers],0)),""))</f>
        <v/>
      </c>
      <c r="D583" s="138" t="str">
        <f>IFERROR(IF(IF(INDEX(_xlfn.VSTACK(YES_Writing_ELA[#Data],YES_Writing_FLA[#Data]),MATCH($A583,_xlfn.VSTACK(YES_Writing_ELA[Student Number],YES_Writing_FLA[Student Number]),0),MATCH(VLOOKUP(D$7,'Writing Logic'!$J$7:$K$11,2,FALSE)&amp;" - Per "&amp;VLOOKUP($C$4,'Writing Logic'!$G$8:$H$14,2,FALSE),YES_Writing_ELA[#Headers],0))=0,"",INDEX(_xlfn.VSTACK(YES_Writing_ELA[#Data],YES_Writing_FLA[#Data]),MATCH($A583,_xlfn.VSTACK(YES_Writing_ELA[Student Number],YES_Writing_FLA[Student Number]),0),MATCH(VLOOKUP(D$7,'Writing Logic'!$J$7:$K$11,2,FALSE)&amp;" - Per "&amp;VLOOKUP($C$4,'Writing Logic'!$G$8:$H$14,2,FALSE),YES_Writing_ELA[#Headers],0)))="INS",'Writing Logic'!$B$7,IF(INDEX(_xlfn.VSTACK(YES_Writing_ELA[#Data],YES_Writing_FLA[#Data]),MATCH($A583,_xlfn.VSTACK(YES_Writing_ELA[Student Number],YES_Writing_FLA[Student Number]),0),MATCH(VLOOKUP(D$7,'Writing Logic'!$J$7:$K$11,2,FALSE)&amp;" - Per "&amp;VLOOKUP($C$4,'Writing Logic'!$G$8:$H$14,2,FALSE),YES_Writing_ELA[#Headers],0))=0,"",INDEX(_xlfn.VSTACK(YES_Writing_ELA[#Data],YES_Writing_FLA[#Data]),MATCH($A583,_xlfn.VSTACK(YES_Writing_ELA[Student Number],YES_Writing_FLA[Student Number]),0),MATCH(VLOOKUP(D$7,'Writing Logic'!$J$7:$K$11,2,FALSE)&amp;" - Per "&amp;VLOOKUP($C$4,'Writing Logic'!$G$8:$H$14,2,FALSE),YES_Writing_ELA[#Headers],0)))),"")</f>
        <v/>
      </c>
      <c r="E583" s="138" t="str">
        <f>IFERROR(IF(IF(INDEX(_xlfn.VSTACK(YES_Writing_ELA[#Data],YES_Writing_FLA[#Data]),MATCH($A583,_xlfn.VSTACK(YES_Writing_ELA[Student Number],YES_Writing_FLA[Student Number]),0),MATCH(VLOOKUP(E$7,'Writing Logic'!$J$7:$K$11,2,FALSE)&amp;" - Per "&amp;VLOOKUP($C$4,'Writing Logic'!$G$8:$H$14,2,FALSE),YES_Writing_ELA[#Headers],0))=0,"",INDEX(_xlfn.VSTACK(YES_Writing_ELA[#Data],YES_Writing_FLA[#Data]),MATCH($A583,_xlfn.VSTACK(YES_Writing_ELA[Student Number],YES_Writing_FLA[Student Number]),0),MATCH(VLOOKUP(E$7,'Writing Logic'!$J$7:$K$11,2,FALSE)&amp;" - Per "&amp;VLOOKUP($C$4,'Writing Logic'!$G$8:$H$14,2,FALSE),YES_Writing_ELA[#Headers],0)))="INS",'Writing Logic'!$B$7,IF(INDEX(_xlfn.VSTACK(YES_Writing_ELA[#Data],YES_Writing_FLA[#Data]),MATCH($A583,_xlfn.VSTACK(YES_Writing_ELA[Student Number],YES_Writing_FLA[Student Number]),0),MATCH(VLOOKUP(E$7,'Writing Logic'!$J$7:$K$11,2,FALSE)&amp;" - Per "&amp;VLOOKUP($C$4,'Writing Logic'!$G$8:$H$14,2,FALSE),YES_Writing_ELA[#Headers],0))=0,"",INDEX(_xlfn.VSTACK(YES_Writing_ELA[#Data],YES_Writing_FLA[#Data]),MATCH($A583,_xlfn.VSTACK(YES_Writing_ELA[Student Number],YES_Writing_FLA[Student Number]),0),MATCH(VLOOKUP(E$7,'Writing Logic'!$J$7:$K$11,2,FALSE)&amp;" - Per "&amp;VLOOKUP($C$4,'Writing Logic'!$G$8:$H$14,2,FALSE),YES_Writing_ELA[#Headers],0)))),"")</f>
        <v/>
      </c>
      <c r="F583" s="138" t="str">
        <f>IFERROR(IF(IF(INDEX(_xlfn.VSTACK(YES_Writing_ELA[#Data],YES_Writing_FLA[#Data]),MATCH($A583,_xlfn.VSTACK(YES_Writing_ELA[Student Number],YES_Writing_FLA[Student Number]),0),MATCH(VLOOKUP(F$7,'Writing Logic'!$J$7:$K$11,2,FALSE)&amp;" - Per "&amp;VLOOKUP($C$4,'Writing Logic'!$G$8:$H$14,2,FALSE),YES_Writing_ELA[#Headers],0))=0,"",INDEX(_xlfn.VSTACK(YES_Writing_ELA[#Data],YES_Writing_FLA[#Data]),MATCH($A583,_xlfn.VSTACK(YES_Writing_ELA[Student Number],YES_Writing_FLA[Student Number]),0),MATCH(VLOOKUP(F$7,'Writing Logic'!$J$7:$K$11,2,FALSE)&amp;" - Per "&amp;VLOOKUP($C$4,'Writing Logic'!$G$8:$H$14,2,FALSE),YES_Writing_ELA[#Headers],0)))="INS",'Writing Logic'!$B$7,IF(INDEX(_xlfn.VSTACK(YES_Writing_ELA[#Data],YES_Writing_FLA[#Data]),MATCH($A583,_xlfn.VSTACK(YES_Writing_ELA[Student Number],YES_Writing_FLA[Student Number]),0),MATCH(VLOOKUP(F$7,'Writing Logic'!$J$7:$K$11,2,FALSE)&amp;" - Per "&amp;VLOOKUP($C$4,'Writing Logic'!$G$8:$H$14,2,FALSE),YES_Writing_ELA[#Headers],0))=0,"",INDEX(_xlfn.VSTACK(YES_Writing_ELA[#Data],YES_Writing_FLA[#Data]),MATCH($A583,_xlfn.VSTACK(YES_Writing_ELA[Student Number],YES_Writing_FLA[Student Number]),0),MATCH(VLOOKUP(F$7,'Writing Logic'!$J$7:$K$11,2,FALSE)&amp;" - Per "&amp;VLOOKUP($C$4,'Writing Logic'!$G$8:$H$14,2,FALSE),YES_Writing_ELA[#Headers],0)))),"")</f>
        <v/>
      </c>
      <c r="G583" s="138" t="str">
        <f>IFERROR(IF(IF(INDEX(_xlfn.VSTACK(YES_Writing_ELA[#Data],YES_Writing_FLA[#Data]),MATCH($A583,_xlfn.VSTACK(YES_Writing_ELA[Student Number],YES_Writing_FLA[Student Number]),0),MATCH(VLOOKUP(G$7,'Writing Logic'!$J$7:$K$11,2,FALSE)&amp;" - Per "&amp;VLOOKUP($C$4,'Writing Logic'!$G$8:$H$14,2,FALSE),YES_Writing_ELA[#Headers],0))=0,"",INDEX(_xlfn.VSTACK(YES_Writing_ELA[#Data],YES_Writing_FLA[#Data]),MATCH($A583,_xlfn.VSTACK(YES_Writing_ELA[Student Number],YES_Writing_FLA[Student Number]),0),MATCH(VLOOKUP(G$7,'Writing Logic'!$J$7:$K$11,2,FALSE)&amp;" - Per "&amp;VLOOKUP($C$4,'Writing Logic'!$G$8:$H$14,2,FALSE),YES_Writing_ELA[#Headers],0)))="INS",'Writing Logic'!$B$7,IF(INDEX(_xlfn.VSTACK(YES_Writing_ELA[#Data],YES_Writing_FLA[#Data]),MATCH($A583,_xlfn.VSTACK(YES_Writing_ELA[Student Number],YES_Writing_FLA[Student Number]),0),MATCH(VLOOKUP(G$7,'Writing Logic'!$J$7:$K$11,2,FALSE)&amp;" - Per "&amp;VLOOKUP($C$4,'Writing Logic'!$G$8:$H$14,2,FALSE),YES_Writing_ELA[#Headers],0))=0,"",INDEX(_xlfn.VSTACK(YES_Writing_ELA[#Data],YES_Writing_FLA[#Data]),MATCH($A583,_xlfn.VSTACK(YES_Writing_ELA[Student Number],YES_Writing_FLA[Student Number]),0),MATCH(VLOOKUP(G$7,'Writing Logic'!$J$7:$K$11,2,FALSE)&amp;" - Per "&amp;VLOOKUP($C$4,'Writing Logic'!$G$8:$H$14,2,FALSE),YES_Writing_ELA[#Headers],0)))),"")</f>
        <v/>
      </c>
      <c r="H583" s="223" t="str">
        <f>IFERROR(IF(IF(INDEX(_xlfn.VSTACK(YES_Writing_ELA[#Data],YES_Writing_FLA[#Data]),MATCH($A583,_xlfn.VSTACK(YES_Writing_ELA[Student Number],YES_Writing_FLA[Student Number]),0),MATCH(VLOOKUP(H$7,'Writing Logic'!$J$7:$K$11,2,FALSE)&amp;" - Per "&amp;VLOOKUP($C$4,'Writing Logic'!$G$8:$H$14,2,FALSE),YES_Writing_ELA[#Headers],0))=0,"",INDEX(_xlfn.VSTACK(YES_Writing_ELA[#Data],YES_Writing_FLA[#Data]),MATCH($A583,_xlfn.VSTACK(YES_Writing_ELA[Student Number],YES_Writing_FLA[Student Number]),0),MATCH(VLOOKUP(H$7,'Writing Logic'!$J$7:$K$11,2,FALSE)&amp;" - Per "&amp;VLOOKUP($C$4,'Writing Logic'!$G$8:$H$14,2,FALSE),YES_Writing_ELA[#Headers],0)))="INS",'Writing Logic'!$B$7,IF(INDEX(_xlfn.VSTACK(YES_Writing_ELA[#Data],YES_Writing_FLA[#Data]),MATCH($A583,_xlfn.VSTACK(YES_Writing_ELA[Student Number],YES_Writing_FLA[Student Number]),0),MATCH(VLOOKUP(H$7,'Writing Logic'!$J$7:$K$11,2,FALSE)&amp;" - Per "&amp;VLOOKUP($C$4,'Writing Logic'!$G$8:$H$14,2,FALSE),YES_Writing_ELA[#Headers],0))=0,"",INDEX(_xlfn.VSTACK(YES_Writing_ELA[#Data],YES_Writing_FLA[#Data]),MATCH($A583,_xlfn.VSTACK(YES_Writing_ELA[Student Number],YES_Writing_FLA[Student Number]),0),MATCH(VLOOKUP(H$7,'Writing Logic'!$J$7:$K$11,2,FALSE)&amp;" - Per "&amp;VLOOKUP($C$4,'Writing Logic'!$G$8:$H$14,2,FALSE),YES_Writing_ELA[#Headers],0)))),"")</f>
        <v/>
      </c>
      <c r="I583" s="224" t="str" cm="1">
        <f t="array" aca="1" ref="I583" ca="1">IFERROR(
IF($G$3="ELA",
IF(VLOOKUP($A583, YES_Reading_ELA[], COLUMN(INDIRECT("YES_Reading_ELA[Difference - Per "&amp;VLOOKUP($G$4, 'Reading Report Logic'!$A$2:$B$8, 2, FALSE)&amp;"]")), FALSE)="", "",
VLOOKUP($A583,YES_Reading_ELA[], COLUMN(INDIRECT("YES_Reading_ELA[Difference - Per "&amp;VLOOKUP($G$4,'Reading Report Logic'!$A$2:$B$8,2,FALSE)&amp;"]")), FALSE)),
IF($G$3="FLA",
IF(VLOOKUP($A583, YES_Reading_FLA[], COLUMN(INDIRECT("YES_Reading_FLA[Difference - Per "&amp;VLOOKUP($G$4,'Reading Report Logic'!$A$2:$B$8,2,FALSE)&amp;"]")),FALSE)="","",
VLOOKUP($A583,YES_Reading_FLA[],COLUMN(INDIRECT("YES_Reading_FLA[Difference - Per "&amp;VLOOKUP($G$4,'Reading Report Logic'!$A$2:$B$8,2,FALSE)&amp;"]")),FALSE)),
IF($G$3="Combined",
IFERROR(
IF(VLOOKUP($A583, YES_Reading_ELA[], COLUMN(INDIRECT("YES_Reading_ELA[Difference - Per "&amp;VLOOKUP($G$4, 'Reading Report Logic'!$A$2:$B$8,2,FALSE)&amp;"]")), FALSE)="", "",
VLOOKUP($A583,YES_Reading_ELA[],COLUMN(INDIRECT("YES_Reading_ELA[Difference - Per "&amp;VLOOKUP($G$4,'Reading Report Logic'!$A$2:$B$8,2,FALSE)&amp;"]")),FALSE)),
IF(VLOOKUP($A583, YES_Reading_FLA[], COLUMN(INDIRECT("YES_Reading_FLA[Difference - Per "&amp;VLOOKUP($G$4, 'Reading Report Logic'!$A$2:$B$8, 2, FALSE)&amp;"]")),FALSE)="", "", VLOOKUP($A583,YES_Reading_FLA[],COLUMN(INDIRECT("YES_Reading_FLA[Difference - Per "&amp;VLOOKUP($G$4, 'Reading Report Logic'!$A$2:$B$8, 2, FALSE)&amp;"]")),FALSE))),""))),"")</f>
        <v/>
      </c>
    </row>
    <row r="584" spans="1:9" x14ac:dyDescent="0.25">
      <c r="A584" s="137"/>
      <c r="B584" s="137" t="str">
        <f>IFERROR(INDEX(_xlfn.VSTACK(YES_Writing_ELA[#Data], YES_Writing_FLA[#Data]),MATCH($A584,_xlfn.VSTACK(YES_Writing_ELA[Student Number], YES_Writing_FLA[Student Number]),0),MATCH(B$7,YES_Writing_ELA[#Headers],0)),IFERROR(INDEX(_xlfn.VSTACK(YES_Reading_ELA[#Data], YES_Reading_FLA[#Data]),MATCH($A584,_xlfn.VSTACK(YES_Reading_ELA[Student Number], YES_Reading_FLA[Student Number]),0),MATCH(B$7,YES_Reading_ELA[#Headers],0)),""))</f>
        <v/>
      </c>
      <c r="C584" s="137" t="str">
        <f>IFERROR(INDEX(_xlfn.VSTACK(YES_Writing_ELA[#Data], YES_Writing_FLA[#Data]),MATCH($A584,_xlfn.VSTACK(YES_Writing_ELA[Student Number], YES_Writing_FLA[Student Number]),0),MATCH(C$7,YES_Writing_ELA[#Headers],0)),IFERROR(INDEX(_xlfn.VSTACK(YES_Reading_ELA[#Data], YES_Reading_FLA[#Data]),MATCH($A584,_xlfn.VSTACK(YES_Reading_ELA[Student Number], YES_Reading_FLA[Student Number]),0),MATCH(C$7,YES_Reading_ELA[#Headers],0)),""))</f>
        <v/>
      </c>
      <c r="D584" s="138" t="str">
        <f>IFERROR(IF(IF(INDEX(_xlfn.VSTACK(YES_Writing_ELA[#Data],YES_Writing_FLA[#Data]),MATCH($A584,_xlfn.VSTACK(YES_Writing_ELA[Student Number],YES_Writing_FLA[Student Number]),0),MATCH(VLOOKUP(D$7,'Writing Logic'!$J$7:$K$11,2,FALSE)&amp;" - Per "&amp;VLOOKUP($C$4,'Writing Logic'!$G$8:$H$14,2,FALSE),YES_Writing_ELA[#Headers],0))=0,"",INDEX(_xlfn.VSTACK(YES_Writing_ELA[#Data],YES_Writing_FLA[#Data]),MATCH($A584,_xlfn.VSTACK(YES_Writing_ELA[Student Number],YES_Writing_FLA[Student Number]),0),MATCH(VLOOKUP(D$7,'Writing Logic'!$J$7:$K$11,2,FALSE)&amp;" - Per "&amp;VLOOKUP($C$4,'Writing Logic'!$G$8:$H$14,2,FALSE),YES_Writing_ELA[#Headers],0)))="INS",'Writing Logic'!$B$7,IF(INDEX(_xlfn.VSTACK(YES_Writing_ELA[#Data],YES_Writing_FLA[#Data]),MATCH($A584,_xlfn.VSTACK(YES_Writing_ELA[Student Number],YES_Writing_FLA[Student Number]),0),MATCH(VLOOKUP(D$7,'Writing Logic'!$J$7:$K$11,2,FALSE)&amp;" - Per "&amp;VLOOKUP($C$4,'Writing Logic'!$G$8:$H$14,2,FALSE),YES_Writing_ELA[#Headers],0))=0,"",INDEX(_xlfn.VSTACK(YES_Writing_ELA[#Data],YES_Writing_FLA[#Data]),MATCH($A584,_xlfn.VSTACK(YES_Writing_ELA[Student Number],YES_Writing_FLA[Student Number]),0),MATCH(VLOOKUP(D$7,'Writing Logic'!$J$7:$K$11,2,FALSE)&amp;" - Per "&amp;VLOOKUP($C$4,'Writing Logic'!$G$8:$H$14,2,FALSE),YES_Writing_ELA[#Headers],0)))),"")</f>
        <v/>
      </c>
      <c r="E584" s="138" t="str">
        <f>IFERROR(IF(IF(INDEX(_xlfn.VSTACK(YES_Writing_ELA[#Data],YES_Writing_FLA[#Data]),MATCH($A584,_xlfn.VSTACK(YES_Writing_ELA[Student Number],YES_Writing_FLA[Student Number]),0),MATCH(VLOOKUP(E$7,'Writing Logic'!$J$7:$K$11,2,FALSE)&amp;" - Per "&amp;VLOOKUP($C$4,'Writing Logic'!$G$8:$H$14,2,FALSE),YES_Writing_ELA[#Headers],0))=0,"",INDEX(_xlfn.VSTACK(YES_Writing_ELA[#Data],YES_Writing_FLA[#Data]),MATCH($A584,_xlfn.VSTACK(YES_Writing_ELA[Student Number],YES_Writing_FLA[Student Number]),0),MATCH(VLOOKUP(E$7,'Writing Logic'!$J$7:$K$11,2,FALSE)&amp;" - Per "&amp;VLOOKUP($C$4,'Writing Logic'!$G$8:$H$14,2,FALSE),YES_Writing_ELA[#Headers],0)))="INS",'Writing Logic'!$B$7,IF(INDEX(_xlfn.VSTACK(YES_Writing_ELA[#Data],YES_Writing_FLA[#Data]),MATCH($A584,_xlfn.VSTACK(YES_Writing_ELA[Student Number],YES_Writing_FLA[Student Number]),0),MATCH(VLOOKUP(E$7,'Writing Logic'!$J$7:$K$11,2,FALSE)&amp;" - Per "&amp;VLOOKUP($C$4,'Writing Logic'!$G$8:$H$14,2,FALSE),YES_Writing_ELA[#Headers],0))=0,"",INDEX(_xlfn.VSTACK(YES_Writing_ELA[#Data],YES_Writing_FLA[#Data]),MATCH($A584,_xlfn.VSTACK(YES_Writing_ELA[Student Number],YES_Writing_FLA[Student Number]),0),MATCH(VLOOKUP(E$7,'Writing Logic'!$J$7:$K$11,2,FALSE)&amp;" - Per "&amp;VLOOKUP($C$4,'Writing Logic'!$G$8:$H$14,2,FALSE),YES_Writing_ELA[#Headers],0)))),"")</f>
        <v/>
      </c>
      <c r="F584" s="138" t="str">
        <f>IFERROR(IF(IF(INDEX(_xlfn.VSTACK(YES_Writing_ELA[#Data],YES_Writing_FLA[#Data]),MATCH($A584,_xlfn.VSTACK(YES_Writing_ELA[Student Number],YES_Writing_FLA[Student Number]),0),MATCH(VLOOKUP(F$7,'Writing Logic'!$J$7:$K$11,2,FALSE)&amp;" - Per "&amp;VLOOKUP($C$4,'Writing Logic'!$G$8:$H$14,2,FALSE),YES_Writing_ELA[#Headers],0))=0,"",INDEX(_xlfn.VSTACK(YES_Writing_ELA[#Data],YES_Writing_FLA[#Data]),MATCH($A584,_xlfn.VSTACK(YES_Writing_ELA[Student Number],YES_Writing_FLA[Student Number]),0),MATCH(VLOOKUP(F$7,'Writing Logic'!$J$7:$K$11,2,FALSE)&amp;" - Per "&amp;VLOOKUP($C$4,'Writing Logic'!$G$8:$H$14,2,FALSE),YES_Writing_ELA[#Headers],0)))="INS",'Writing Logic'!$B$7,IF(INDEX(_xlfn.VSTACK(YES_Writing_ELA[#Data],YES_Writing_FLA[#Data]),MATCH($A584,_xlfn.VSTACK(YES_Writing_ELA[Student Number],YES_Writing_FLA[Student Number]),0),MATCH(VLOOKUP(F$7,'Writing Logic'!$J$7:$K$11,2,FALSE)&amp;" - Per "&amp;VLOOKUP($C$4,'Writing Logic'!$G$8:$H$14,2,FALSE),YES_Writing_ELA[#Headers],0))=0,"",INDEX(_xlfn.VSTACK(YES_Writing_ELA[#Data],YES_Writing_FLA[#Data]),MATCH($A584,_xlfn.VSTACK(YES_Writing_ELA[Student Number],YES_Writing_FLA[Student Number]),0),MATCH(VLOOKUP(F$7,'Writing Logic'!$J$7:$K$11,2,FALSE)&amp;" - Per "&amp;VLOOKUP($C$4,'Writing Logic'!$G$8:$H$14,2,FALSE),YES_Writing_ELA[#Headers],0)))),"")</f>
        <v/>
      </c>
      <c r="G584" s="138" t="str">
        <f>IFERROR(IF(IF(INDEX(_xlfn.VSTACK(YES_Writing_ELA[#Data],YES_Writing_FLA[#Data]),MATCH($A584,_xlfn.VSTACK(YES_Writing_ELA[Student Number],YES_Writing_FLA[Student Number]),0),MATCH(VLOOKUP(G$7,'Writing Logic'!$J$7:$K$11,2,FALSE)&amp;" - Per "&amp;VLOOKUP($C$4,'Writing Logic'!$G$8:$H$14,2,FALSE),YES_Writing_ELA[#Headers],0))=0,"",INDEX(_xlfn.VSTACK(YES_Writing_ELA[#Data],YES_Writing_FLA[#Data]),MATCH($A584,_xlfn.VSTACK(YES_Writing_ELA[Student Number],YES_Writing_FLA[Student Number]),0),MATCH(VLOOKUP(G$7,'Writing Logic'!$J$7:$K$11,2,FALSE)&amp;" - Per "&amp;VLOOKUP($C$4,'Writing Logic'!$G$8:$H$14,2,FALSE),YES_Writing_ELA[#Headers],0)))="INS",'Writing Logic'!$B$7,IF(INDEX(_xlfn.VSTACK(YES_Writing_ELA[#Data],YES_Writing_FLA[#Data]),MATCH($A584,_xlfn.VSTACK(YES_Writing_ELA[Student Number],YES_Writing_FLA[Student Number]),0),MATCH(VLOOKUP(G$7,'Writing Logic'!$J$7:$K$11,2,FALSE)&amp;" - Per "&amp;VLOOKUP($C$4,'Writing Logic'!$G$8:$H$14,2,FALSE),YES_Writing_ELA[#Headers],0))=0,"",INDEX(_xlfn.VSTACK(YES_Writing_ELA[#Data],YES_Writing_FLA[#Data]),MATCH($A584,_xlfn.VSTACK(YES_Writing_ELA[Student Number],YES_Writing_FLA[Student Number]),0),MATCH(VLOOKUP(G$7,'Writing Logic'!$J$7:$K$11,2,FALSE)&amp;" - Per "&amp;VLOOKUP($C$4,'Writing Logic'!$G$8:$H$14,2,FALSE),YES_Writing_ELA[#Headers],0)))),"")</f>
        <v/>
      </c>
      <c r="H584" s="223" t="str">
        <f>IFERROR(IF(IF(INDEX(_xlfn.VSTACK(YES_Writing_ELA[#Data],YES_Writing_FLA[#Data]),MATCH($A584,_xlfn.VSTACK(YES_Writing_ELA[Student Number],YES_Writing_FLA[Student Number]),0),MATCH(VLOOKUP(H$7,'Writing Logic'!$J$7:$K$11,2,FALSE)&amp;" - Per "&amp;VLOOKUP($C$4,'Writing Logic'!$G$8:$H$14,2,FALSE),YES_Writing_ELA[#Headers],0))=0,"",INDEX(_xlfn.VSTACK(YES_Writing_ELA[#Data],YES_Writing_FLA[#Data]),MATCH($A584,_xlfn.VSTACK(YES_Writing_ELA[Student Number],YES_Writing_FLA[Student Number]),0),MATCH(VLOOKUP(H$7,'Writing Logic'!$J$7:$K$11,2,FALSE)&amp;" - Per "&amp;VLOOKUP($C$4,'Writing Logic'!$G$8:$H$14,2,FALSE),YES_Writing_ELA[#Headers],0)))="INS",'Writing Logic'!$B$7,IF(INDEX(_xlfn.VSTACK(YES_Writing_ELA[#Data],YES_Writing_FLA[#Data]),MATCH($A584,_xlfn.VSTACK(YES_Writing_ELA[Student Number],YES_Writing_FLA[Student Number]),0),MATCH(VLOOKUP(H$7,'Writing Logic'!$J$7:$K$11,2,FALSE)&amp;" - Per "&amp;VLOOKUP($C$4,'Writing Logic'!$G$8:$H$14,2,FALSE),YES_Writing_ELA[#Headers],0))=0,"",INDEX(_xlfn.VSTACK(YES_Writing_ELA[#Data],YES_Writing_FLA[#Data]),MATCH($A584,_xlfn.VSTACK(YES_Writing_ELA[Student Number],YES_Writing_FLA[Student Number]),0),MATCH(VLOOKUP(H$7,'Writing Logic'!$J$7:$K$11,2,FALSE)&amp;" - Per "&amp;VLOOKUP($C$4,'Writing Logic'!$G$8:$H$14,2,FALSE),YES_Writing_ELA[#Headers],0)))),"")</f>
        <v/>
      </c>
      <c r="I584" s="224" t="str" cm="1">
        <f t="array" aca="1" ref="I584" ca="1">IFERROR(
IF($G$3="ELA",
IF(VLOOKUP($A584, YES_Reading_ELA[], COLUMN(INDIRECT("YES_Reading_ELA[Difference - Per "&amp;VLOOKUP($G$4, 'Reading Report Logic'!$A$2:$B$8, 2, FALSE)&amp;"]")), FALSE)="", "",
VLOOKUP($A584,YES_Reading_ELA[], COLUMN(INDIRECT("YES_Reading_ELA[Difference - Per "&amp;VLOOKUP($G$4,'Reading Report Logic'!$A$2:$B$8,2,FALSE)&amp;"]")), FALSE)),
IF($G$3="FLA",
IF(VLOOKUP($A584, YES_Reading_FLA[], COLUMN(INDIRECT("YES_Reading_FLA[Difference - Per "&amp;VLOOKUP($G$4,'Reading Report Logic'!$A$2:$B$8,2,FALSE)&amp;"]")),FALSE)="","",
VLOOKUP($A584,YES_Reading_FLA[],COLUMN(INDIRECT("YES_Reading_FLA[Difference - Per "&amp;VLOOKUP($G$4,'Reading Report Logic'!$A$2:$B$8,2,FALSE)&amp;"]")),FALSE)),
IF($G$3="Combined",
IFERROR(
IF(VLOOKUP($A584, YES_Reading_ELA[], COLUMN(INDIRECT("YES_Reading_ELA[Difference - Per "&amp;VLOOKUP($G$4, 'Reading Report Logic'!$A$2:$B$8,2,FALSE)&amp;"]")), FALSE)="", "",
VLOOKUP($A584,YES_Reading_ELA[],COLUMN(INDIRECT("YES_Reading_ELA[Difference - Per "&amp;VLOOKUP($G$4,'Reading Report Logic'!$A$2:$B$8,2,FALSE)&amp;"]")),FALSE)),
IF(VLOOKUP($A584, YES_Reading_FLA[], COLUMN(INDIRECT("YES_Reading_FLA[Difference - Per "&amp;VLOOKUP($G$4, 'Reading Report Logic'!$A$2:$B$8, 2, FALSE)&amp;"]")),FALSE)="", "", VLOOKUP($A584,YES_Reading_FLA[],COLUMN(INDIRECT("YES_Reading_FLA[Difference - Per "&amp;VLOOKUP($G$4, 'Reading Report Logic'!$A$2:$B$8, 2, FALSE)&amp;"]")),FALSE))),""))),"")</f>
        <v/>
      </c>
    </row>
    <row r="585" spans="1:9" x14ac:dyDescent="0.25">
      <c r="A585" s="137"/>
      <c r="B585" s="137" t="str">
        <f>IFERROR(INDEX(_xlfn.VSTACK(YES_Writing_ELA[#Data], YES_Writing_FLA[#Data]),MATCH($A585,_xlfn.VSTACK(YES_Writing_ELA[Student Number], YES_Writing_FLA[Student Number]),0),MATCH(B$7,YES_Writing_ELA[#Headers],0)),IFERROR(INDEX(_xlfn.VSTACK(YES_Reading_ELA[#Data], YES_Reading_FLA[#Data]),MATCH($A585,_xlfn.VSTACK(YES_Reading_ELA[Student Number], YES_Reading_FLA[Student Number]),0),MATCH(B$7,YES_Reading_ELA[#Headers],0)),""))</f>
        <v/>
      </c>
      <c r="C585" s="137" t="str">
        <f>IFERROR(INDEX(_xlfn.VSTACK(YES_Writing_ELA[#Data], YES_Writing_FLA[#Data]),MATCH($A585,_xlfn.VSTACK(YES_Writing_ELA[Student Number], YES_Writing_FLA[Student Number]),0),MATCH(C$7,YES_Writing_ELA[#Headers],0)),IFERROR(INDEX(_xlfn.VSTACK(YES_Reading_ELA[#Data], YES_Reading_FLA[#Data]),MATCH($A585,_xlfn.VSTACK(YES_Reading_ELA[Student Number], YES_Reading_FLA[Student Number]),0),MATCH(C$7,YES_Reading_ELA[#Headers],0)),""))</f>
        <v/>
      </c>
      <c r="D585" s="138" t="str">
        <f>IFERROR(IF(IF(INDEX(_xlfn.VSTACK(YES_Writing_ELA[#Data],YES_Writing_FLA[#Data]),MATCH($A585,_xlfn.VSTACK(YES_Writing_ELA[Student Number],YES_Writing_FLA[Student Number]),0),MATCH(VLOOKUP(D$7,'Writing Logic'!$J$7:$K$11,2,FALSE)&amp;" - Per "&amp;VLOOKUP($C$4,'Writing Logic'!$G$8:$H$14,2,FALSE),YES_Writing_ELA[#Headers],0))=0,"",INDEX(_xlfn.VSTACK(YES_Writing_ELA[#Data],YES_Writing_FLA[#Data]),MATCH($A585,_xlfn.VSTACK(YES_Writing_ELA[Student Number],YES_Writing_FLA[Student Number]),0),MATCH(VLOOKUP(D$7,'Writing Logic'!$J$7:$K$11,2,FALSE)&amp;" - Per "&amp;VLOOKUP($C$4,'Writing Logic'!$G$8:$H$14,2,FALSE),YES_Writing_ELA[#Headers],0)))="INS",'Writing Logic'!$B$7,IF(INDEX(_xlfn.VSTACK(YES_Writing_ELA[#Data],YES_Writing_FLA[#Data]),MATCH($A585,_xlfn.VSTACK(YES_Writing_ELA[Student Number],YES_Writing_FLA[Student Number]),0),MATCH(VLOOKUP(D$7,'Writing Logic'!$J$7:$K$11,2,FALSE)&amp;" - Per "&amp;VLOOKUP($C$4,'Writing Logic'!$G$8:$H$14,2,FALSE),YES_Writing_ELA[#Headers],0))=0,"",INDEX(_xlfn.VSTACK(YES_Writing_ELA[#Data],YES_Writing_FLA[#Data]),MATCH($A585,_xlfn.VSTACK(YES_Writing_ELA[Student Number],YES_Writing_FLA[Student Number]),0),MATCH(VLOOKUP(D$7,'Writing Logic'!$J$7:$K$11,2,FALSE)&amp;" - Per "&amp;VLOOKUP($C$4,'Writing Logic'!$G$8:$H$14,2,FALSE),YES_Writing_ELA[#Headers],0)))),"")</f>
        <v/>
      </c>
      <c r="E585" s="138" t="str">
        <f>IFERROR(IF(IF(INDEX(_xlfn.VSTACK(YES_Writing_ELA[#Data],YES_Writing_FLA[#Data]),MATCH($A585,_xlfn.VSTACK(YES_Writing_ELA[Student Number],YES_Writing_FLA[Student Number]),0),MATCH(VLOOKUP(E$7,'Writing Logic'!$J$7:$K$11,2,FALSE)&amp;" - Per "&amp;VLOOKUP($C$4,'Writing Logic'!$G$8:$H$14,2,FALSE),YES_Writing_ELA[#Headers],0))=0,"",INDEX(_xlfn.VSTACK(YES_Writing_ELA[#Data],YES_Writing_FLA[#Data]),MATCH($A585,_xlfn.VSTACK(YES_Writing_ELA[Student Number],YES_Writing_FLA[Student Number]),0),MATCH(VLOOKUP(E$7,'Writing Logic'!$J$7:$K$11,2,FALSE)&amp;" - Per "&amp;VLOOKUP($C$4,'Writing Logic'!$G$8:$H$14,2,FALSE),YES_Writing_ELA[#Headers],0)))="INS",'Writing Logic'!$B$7,IF(INDEX(_xlfn.VSTACK(YES_Writing_ELA[#Data],YES_Writing_FLA[#Data]),MATCH($A585,_xlfn.VSTACK(YES_Writing_ELA[Student Number],YES_Writing_FLA[Student Number]),0),MATCH(VLOOKUP(E$7,'Writing Logic'!$J$7:$K$11,2,FALSE)&amp;" - Per "&amp;VLOOKUP($C$4,'Writing Logic'!$G$8:$H$14,2,FALSE),YES_Writing_ELA[#Headers],0))=0,"",INDEX(_xlfn.VSTACK(YES_Writing_ELA[#Data],YES_Writing_FLA[#Data]),MATCH($A585,_xlfn.VSTACK(YES_Writing_ELA[Student Number],YES_Writing_FLA[Student Number]),0),MATCH(VLOOKUP(E$7,'Writing Logic'!$J$7:$K$11,2,FALSE)&amp;" - Per "&amp;VLOOKUP($C$4,'Writing Logic'!$G$8:$H$14,2,FALSE),YES_Writing_ELA[#Headers],0)))),"")</f>
        <v/>
      </c>
      <c r="F585" s="138" t="str">
        <f>IFERROR(IF(IF(INDEX(_xlfn.VSTACK(YES_Writing_ELA[#Data],YES_Writing_FLA[#Data]),MATCH($A585,_xlfn.VSTACK(YES_Writing_ELA[Student Number],YES_Writing_FLA[Student Number]),0),MATCH(VLOOKUP(F$7,'Writing Logic'!$J$7:$K$11,2,FALSE)&amp;" - Per "&amp;VLOOKUP($C$4,'Writing Logic'!$G$8:$H$14,2,FALSE),YES_Writing_ELA[#Headers],0))=0,"",INDEX(_xlfn.VSTACK(YES_Writing_ELA[#Data],YES_Writing_FLA[#Data]),MATCH($A585,_xlfn.VSTACK(YES_Writing_ELA[Student Number],YES_Writing_FLA[Student Number]),0),MATCH(VLOOKUP(F$7,'Writing Logic'!$J$7:$K$11,2,FALSE)&amp;" - Per "&amp;VLOOKUP($C$4,'Writing Logic'!$G$8:$H$14,2,FALSE),YES_Writing_ELA[#Headers],0)))="INS",'Writing Logic'!$B$7,IF(INDEX(_xlfn.VSTACK(YES_Writing_ELA[#Data],YES_Writing_FLA[#Data]),MATCH($A585,_xlfn.VSTACK(YES_Writing_ELA[Student Number],YES_Writing_FLA[Student Number]),0),MATCH(VLOOKUP(F$7,'Writing Logic'!$J$7:$K$11,2,FALSE)&amp;" - Per "&amp;VLOOKUP($C$4,'Writing Logic'!$G$8:$H$14,2,FALSE),YES_Writing_ELA[#Headers],0))=0,"",INDEX(_xlfn.VSTACK(YES_Writing_ELA[#Data],YES_Writing_FLA[#Data]),MATCH($A585,_xlfn.VSTACK(YES_Writing_ELA[Student Number],YES_Writing_FLA[Student Number]),0),MATCH(VLOOKUP(F$7,'Writing Logic'!$J$7:$K$11,2,FALSE)&amp;" - Per "&amp;VLOOKUP($C$4,'Writing Logic'!$G$8:$H$14,2,FALSE),YES_Writing_ELA[#Headers],0)))),"")</f>
        <v/>
      </c>
      <c r="G585" s="138" t="str">
        <f>IFERROR(IF(IF(INDEX(_xlfn.VSTACK(YES_Writing_ELA[#Data],YES_Writing_FLA[#Data]),MATCH($A585,_xlfn.VSTACK(YES_Writing_ELA[Student Number],YES_Writing_FLA[Student Number]),0),MATCH(VLOOKUP(G$7,'Writing Logic'!$J$7:$K$11,2,FALSE)&amp;" - Per "&amp;VLOOKUP($C$4,'Writing Logic'!$G$8:$H$14,2,FALSE),YES_Writing_ELA[#Headers],0))=0,"",INDEX(_xlfn.VSTACK(YES_Writing_ELA[#Data],YES_Writing_FLA[#Data]),MATCH($A585,_xlfn.VSTACK(YES_Writing_ELA[Student Number],YES_Writing_FLA[Student Number]),0),MATCH(VLOOKUP(G$7,'Writing Logic'!$J$7:$K$11,2,FALSE)&amp;" - Per "&amp;VLOOKUP($C$4,'Writing Logic'!$G$8:$H$14,2,FALSE),YES_Writing_ELA[#Headers],0)))="INS",'Writing Logic'!$B$7,IF(INDEX(_xlfn.VSTACK(YES_Writing_ELA[#Data],YES_Writing_FLA[#Data]),MATCH($A585,_xlfn.VSTACK(YES_Writing_ELA[Student Number],YES_Writing_FLA[Student Number]),0),MATCH(VLOOKUP(G$7,'Writing Logic'!$J$7:$K$11,2,FALSE)&amp;" - Per "&amp;VLOOKUP($C$4,'Writing Logic'!$G$8:$H$14,2,FALSE),YES_Writing_ELA[#Headers],0))=0,"",INDEX(_xlfn.VSTACK(YES_Writing_ELA[#Data],YES_Writing_FLA[#Data]),MATCH($A585,_xlfn.VSTACK(YES_Writing_ELA[Student Number],YES_Writing_FLA[Student Number]),0),MATCH(VLOOKUP(G$7,'Writing Logic'!$J$7:$K$11,2,FALSE)&amp;" - Per "&amp;VLOOKUP($C$4,'Writing Logic'!$G$8:$H$14,2,FALSE),YES_Writing_ELA[#Headers],0)))),"")</f>
        <v/>
      </c>
      <c r="H585" s="223" t="str">
        <f>IFERROR(IF(IF(INDEX(_xlfn.VSTACK(YES_Writing_ELA[#Data],YES_Writing_FLA[#Data]),MATCH($A585,_xlfn.VSTACK(YES_Writing_ELA[Student Number],YES_Writing_FLA[Student Number]),0),MATCH(VLOOKUP(H$7,'Writing Logic'!$J$7:$K$11,2,FALSE)&amp;" - Per "&amp;VLOOKUP($C$4,'Writing Logic'!$G$8:$H$14,2,FALSE),YES_Writing_ELA[#Headers],0))=0,"",INDEX(_xlfn.VSTACK(YES_Writing_ELA[#Data],YES_Writing_FLA[#Data]),MATCH($A585,_xlfn.VSTACK(YES_Writing_ELA[Student Number],YES_Writing_FLA[Student Number]),0),MATCH(VLOOKUP(H$7,'Writing Logic'!$J$7:$K$11,2,FALSE)&amp;" - Per "&amp;VLOOKUP($C$4,'Writing Logic'!$G$8:$H$14,2,FALSE),YES_Writing_ELA[#Headers],0)))="INS",'Writing Logic'!$B$7,IF(INDEX(_xlfn.VSTACK(YES_Writing_ELA[#Data],YES_Writing_FLA[#Data]),MATCH($A585,_xlfn.VSTACK(YES_Writing_ELA[Student Number],YES_Writing_FLA[Student Number]),0),MATCH(VLOOKUP(H$7,'Writing Logic'!$J$7:$K$11,2,FALSE)&amp;" - Per "&amp;VLOOKUP($C$4,'Writing Logic'!$G$8:$H$14,2,FALSE),YES_Writing_ELA[#Headers],0))=0,"",INDEX(_xlfn.VSTACK(YES_Writing_ELA[#Data],YES_Writing_FLA[#Data]),MATCH($A585,_xlfn.VSTACK(YES_Writing_ELA[Student Number],YES_Writing_FLA[Student Number]),0),MATCH(VLOOKUP(H$7,'Writing Logic'!$J$7:$K$11,2,FALSE)&amp;" - Per "&amp;VLOOKUP($C$4,'Writing Logic'!$G$8:$H$14,2,FALSE),YES_Writing_ELA[#Headers],0)))),"")</f>
        <v/>
      </c>
      <c r="I585" s="224" t="str" cm="1">
        <f t="array" aca="1" ref="I585" ca="1">IFERROR(
IF($G$3="ELA",
IF(VLOOKUP($A585, YES_Reading_ELA[], COLUMN(INDIRECT("YES_Reading_ELA[Difference - Per "&amp;VLOOKUP($G$4, 'Reading Report Logic'!$A$2:$B$8, 2, FALSE)&amp;"]")), FALSE)="", "",
VLOOKUP($A585,YES_Reading_ELA[], COLUMN(INDIRECT("YES_Reading_ELA[Difference - Per "&amp;VLOOKUP($G$4,'Reading Report Logic'!$A$2:$B$8,2,FALSE)&amp;"]")), FALSE)),
IF($G$3="FLA",
IF(VLOOKUP($A585, YES_Reading_FLA[], COLUMN(INDIRECT("YES_Reading_FLA[Difference - Per "&amp;VLOOKUP($G$4,'Reading Report Logic'!$A$2:$B$8,2,FALSE)&amp;"]")),FALSE)="","",
VLOOKUP($A585,YES_Reading_FLA[],COLUMN(INDIRECT("YES_Reading_FLA[Difference - Per "&amp;VLOOKUP($G$4,'Reading Report Logic'!$A$2:$B$8,2,FALSE)&amp;"]")),FALSE)),
IF($G$3="Combined",
IFERROR(
IF(VLOOKUP($A585, YES_Reading_ELA[], COLUMN(INDIRECT("YES_Reading_ELA[Difference - Per "&amp;VLOOKUP($G$4, 'Reading Report Logic'!$A$2:$B$8,2,FALSE)&amp;"]")), FALSE)="", "",
VLOOKUP($A585,YES_Reading_ELA[],COLUMN(INDIRECT("YES_Reading_ELA[Difference - Per "&amp;VLOOKUP($G$4,'Reading Report Logic'!$A$2:$B$8,2,FALSE)&amp;"]")),FALSE)),
IF(VLOOKUP($A585, YES_Reading_FLA[], COLUMN(INDIRECT("YES_Reading_FLA[Difference - Per "&amp;VLOOKUP($G$4, 'Reading Report Logic'!$A$2:$B$8, 2, FALSE)&amp;"]")),FALSE)="", "", VLOOKUP($A585,YES_Reading_FLA[],COLUMN(INDIRECT("YES_Reading_FLA[Difference - Per "&amp;VLOOKUP($G$4, 'Reading Report Logic'!$A$2:$B$8, 2, FALSE)&amp;"]")),FALSE))),""))),"")</f>
        <v/>
      </c>
    </row>
    <row r="586" spans="1:9" x14ac:dyDescent="0.25">
      <c r="A586" s="137"/>
      <c r="B586" s="137" t="str">
        <f>IFERROR(INDEX(_xlfn.VSTACK(YES_Writing_ELA[#Data], YES_Writing_FLA[#Data]),MATCH($A586,_xlfn.VSTACK(YES_Writing_ELA[Student Number], YES_Writing_FLA[Student Number]),0),MATCH(B$7,YES_Writing_ELA[#Headers],0)),IFERROR(INDEX(_xlfn.VSTACK(YES_Reading_ELA[#Data], YES_Reading_FLA[#Data]),MATCH($A586,_xlfn.VSTACK(YES_Reading_ELA[Student Number], YES_Reading_FLA[Student Number]),0),MATCH(B$7,YES_Reading_ELA[#Headers],0)),""))</f>
        <v/>
      </c>
      <c r="C586" s="137" t="str">
        <f>IFERROR(INDEX(_xlfn.VSTACK(YES_Writing_ELA[#Data], YES_Writing_FLA[#Data]),MATCH($A586,_xlfn.VSTACK(YES_Writing_ELA[Student Number], YES_Writing_FLA[Student Number]),0),MATCH(C$7,YES_Writing_ELA[#Headers],0)),IFERROR(INDEX(_xlfn.VSTACK(YES_Reading_ELA[#Data], YES_Reading_FLA[#Data]),MATCH($A586,_xlfn.VSTACK(YES_Reading_ELA[Student Number], YES_Reading_FLA[Student Number]),0),MATCH(C$7,YES_Reading_ELA[#Headers],0)),""))</f>
        <v/>
      </c>
      <c r="D586" s="138" t="str">
        <f>IFERROR(IF(IF(INDEX(_xlfn.VSTACK(YES_Writing_ELA[#Data],YES_Writing_FLA[#Data]),MATCH($A586,_xlfn.VSTACK(YES_Writing_ELA[Student Number],YES_Writing_FLA[Student Number]),0),MATCH(VLOOKUP(D$7,'Writing Logic'!$J$7:$K$11,2,FALSE)&amp;" - Per "&amp;VLOOKUP($C$4,'Writing Logic'!$G$8:$H$14,2,FALSE),YES_Writing_ELA[#Headers],0))=0,"",INDEX(_xlfn.VSTACK(YES_Writing_ELA[#Data],YES_Writing_FLA[#Data]),MATCH($A586,_xlfn.VSTACK(YES_Writing_ELA[Student Number],YES_Writing_FLA[Student Number]),0),MATCH(VLOOKUP(D$7,'Writing Logic'!$J$7:$K$11,2,FALSE)&amp;" - Per "&amp;VLOOKUP($C$4,'Writing Logic'!$G$8:$H$14,2,FALSE),YES_Writing_ELA[#Headers],0)))="INS",'Writing Logic'!$B$7,IF(INDEX(_xlfn.VSTACK(YES_Writing_ELA[#Data],YES_Writing_FLA[#Data]),MATCH($A586,_xlfn.VSTACK(YES_Writing_ELA[Student Number],YES_Writing_FLA[Student Number]),0),MATCH(VLOOKUP(D$7,'Writing Logic'!$J$7:$K$11,2,FALSE)&amp;" - Per "&amp;VLOOKUP($C$4,'Writing Logic'!$G$8:$H$14,2,FALSE),YES_Writing_ELA[#Headers],0))=0,"",INDEX(_xlfn.VSTACK(YES_Writing_ELA[#Data],YES_Writing_FLA[#Data]),MATCH($A586,_xlfn.VSTACK(YES_Writing_ELA[Student Number],YES_Writing_FLA[Student Number]),0),MATCH(VLOOKUP(D$7,'Writing Logic'!$J$7:$K$11,2,FALSE)&amp;" - Per "&amp;VLOOKUP($C$4,'Writing Logic'!$G$8:$H$14,2,FALSE),YES_Writing_ELA[#Headers],0)))),"")</f>
        <v/>
      </c>
      <c r="E586" s="138" t="str">
        <f>IFERROR(IF(IF(INDEX(_xlfn.VSTACK(YES_Writing_ELA[#Data],YES_Writing_FLA[#Data]),MATCH($A586,_xlfn.VSTACK(YES_Writing_ELA[Student Number],YES_Writing_FLA[Student Number]),0),MATCH(VLOOKUP(E$7,'Writing Logic'!$J$7:$K$11,2,FALSE)&amp;" - Per "&amp;VLOOKUP($C$4,'Writing Logic'!$G$8:$H$14,2,FALSE),YES_Writing_ELA[#Headers],0))=0,"",INDEX(_xlfn.VSTACK(YES_Writing_ELA[#Data],YES_Writing_FLA[#Data]),MATCH($A586,_xlfn.VSTACK(YES_Writing_ELA[Student Number],YES_Writing_FLA[Student Number]),0),MATCH(VLOOKUP(E$7,'Writing Logic'!$J$7:$K$11,2,FALSE)&amp;" - Per "&amp;VLOOKUP($C$4,'Writing Logic'!$G$8:$H$14,2,FALSE),YES_Writing_ELA[#Headers],0)))="INS",'Writing Logic'!$B$7,IF(INDEX(_xlfn.VSTACK(YES_Writing_ELA[#Data],YES_Writing_FLA[#Data]),MATCH($A586,_xlfn.VSTACK(YES_Writing_ELA[Student Number],YES_Writing_FLA[Student Number]),0),MATCH(VLOOKUP(E$7,'Writing Logic'!$J$7:$K$11,2,FALSE)&amp;" - Per "&amp;VLOOKUP($C$4,'Writing Logic'!$G$8:$H$14,2,FALSE),YES_Writing_ELA[#Headers],0))=0,"",INDEX(_xlfn.VSTACK(YES_Writing_ELA[#Data],YES_Writing_FLA[#Data]),MATCH($A586,_xlfn.VSTACK(YES_Writing_ELA[Student Number],YES_Writing_FLA[Student Number]),0),MATCH(VLOOKUP(E$7,'Writing Logic'!$J$7:$K$11,2,FALSE)&amp;" - Per "&amp;VLOOKUP($C$4,'Writing Logic'!$G$8:$H$14,2,FALSE),YES_Writing_ELA[#Headers],0)))),"")</f>
        <v/>
      </c>
      <c r="F586" s="138" t="str">
        <f>IFERROR(IF(IF(INDEX(_xlfn.VSTACK(YES_Writing_ELA[#Data],YES_Writing_FLA[#Data]),MATCH($A586,_xlfn.VSTACK(YES_Writing_ELA[Student Number],YES_Writing_FLA[Student Number]),0),MATCH(VLOOKUP(F$7,'Writing Logic'!$J$7:$K$11,2,FALSE)&amp;" - Per "&amp;VLOOKUP($C$4,'Writing Logic'!$G$8:$H$14,2,FALSE),YES_Writing_ELA[#Headers],0))=0,"",INDEX(_xlfn.VSTACK(YES_Writing_ELA[#Data],YES_Writing_FLA[#Data]),MATCH($A586,_xlfn.VSTACK(YES_Writing_ELA[Student Number],YES_Writing_FLA[Student Number]),0),MATCH(VLOOKUP(F$7,'Writing Logic'!$J$7:$K$11,2,FALSE)&amp;" - Per "&amp;VLOOKUP($C$4,'Writing Logic'!$G$8:$H$14,2,FALSE),YES_Writing_ELA[#Headers],0)))="INS",'Writing Logic'!$B$7,IF(INDEX(_xlfn.VSTACK(YES_Writing_ELA[#Data],YES_Writing_FLA[#Data]),MATCH($A586,_xlfn.VSTACK(YES_Writing_ELA[Student Number],YES_Writing_FLA[Student Number]),0),MATCH(VLOOKUP(F$7,'Writing Logic'!$J$7:$K$11,2,FALSE)&amp;" - Per "&amp;VLOOKUP($C$4,'Writing Logic'!$G$8:$H$14,2,FALSE),YES_Writing_ELA[#Headers],0))=0,"",INDEX(_xlfn.VSTACK(YES_Writing_ELA[#Data],YES_Writing_FLA[#Data]),MATCH($A586,_xlfn.VSTACK(YES_Writing_ELA[Student Number],YES_Writing_FLA[Student Number]),0),MATCH(VLOOKUP(F$7,'Writing Logic'!$J$7:$K$11,2,FALSE)&amp;" - Per "&amp;VLOOKUP($C$4,'Writing Logic'!$G$8:$H$14,2,FALSE),YES_Writing_ELA[#Headers],0)))),"")</f>
        <v/>
      </c>
      <c r="G586" s="138" t="str">
        <f>IFERROR(IF(IF(INDEX(_xlfn.VSTACK(YES_Writing_ELA[#Data],YES_Writing_FLA[#Data]),MATCH($A586,_xlfn.VSTACK(YES_Writing_ELA[Student Number],YES_Writing_FLA[Student Number]),0),MATCH(VLOOKUP(G$7,'Writing Logic'!$J$7:$K$11,2,FALSE)&amp;" - Per "&amp;VLOOKUP($C$4,'Writing Logic'!$G$8:$H$14,2,FALSE),YES_Writing_ELA[#Headers],0))=0,"",INDEX(_xlfn.VSTACK(YES_Writing_ELA[#Data],YES_Writing_FLA[#Data]),MATCH($A586,_xlfn.VSTACK(YES_Writing_ELA[Student Number],YES_Writing_FLA[Student Number]),0),MATCH(VLOOKUP(G$7,'Writing Logic'!$J$7:$K$11,2,FALSE)&amp;" - Per "&amp;VLOOKUP($C$4,'Writing Logic'!$G$8:$H$14,2,FALSE),YES_Writing_ELA[#Headers],0)))="INS",'Writing Logic'!$B$7,IF(INDEX(_xlfn.VSTACK(YES_Writing_ELA[#Data],YES_Writing_FLA[#Data]),MATCH($A586,_xlfn.VSTACK(YES_Writing_ELA[Student Number],YES_Writing_FLA[Student Number]),0),MATCH(VLOOKUP(G$7,'Writing Logic'!$J$7:$K$11,2,FALSE)&amp;" - Per "&amp;VLOOKUP($C$4,'Writing Logic'!$G$8:$H$14,2,FALSE),YES_Writing_ELA[#Headers],0))=0,"",INDEX(_xlfn.VSTACK(YES_Writing_ELA[#Data],YES_Writing_FLA[#Data]),MATCH($A586,_xlfn.VSTACK(YES_Writing_ELA[Student Number],YES_Writing_FLA[Student Number]),0),MATCH(VLOOKUP(G$7,'Writing Logic'!$J$7:$K$11,2,FALSE)&amp;" - Per "&amp;VLOOKUP($C$4,'Writing Logic'!$G$8:$H$14,2,FALSE),YES_Writing_ELA[#Headers],0)))),"")</f>
        <v/>
      </c>
      <c r="H586" s="223" t="str">
        <f>IFERROR(IF(IF(INDEX(_xlfn.VSTACK(YES_Writing_ELA[#Data],YES_Writing_FLA[#Data]),MATCH($A586,_xlfn.VSTACK(YES_Writing_ELA[Student Number],YES_Writing_FLA[Student Number]),0),MATCH(VLOOKUP(H$7,'Writing Logic'!$J$7:$K$11,2,FALSE)&amp;" - Per "&amp;VLOOKUP($C$4,'Writing Logic'!$G$8:$H$14,2,FALSE),YES_Writing_ELA[#Headers],0))=0,"",INDEX(_xlfn.VSTACK(YES_Writing_ELA[#Data],YES_Writing_FLA[#Data]),MATCH($A586,_xlfn.VSTACK(YES_Writing_ELA[Student Number],YES_Writing_FLA[Student Number]),0),MATCH(VLOOKUP(H$7,'Writing Logic'!$J$7:$K$11,2,FALSE)&amp;" - Per "&amp;VLOOKUP($C$4,'Writing Logic'!$G$8:$H$14,2,FALSE),YES_Writing_ELA[#Headers],0)))="INS",'Writing Logic'!$B$7,IF(INDEX(_xlfn.VSTACK(YES_Writing_ELA[#Data],YES_Writing_FLA[#Data]),MATCH($A586,_xlfn.VSTACK(YES_Writing_ELA[Student Number],YES_Writing_FLA[Student Number]),0),MATCH(VLOOKUP(H$7,'Writing Logic'!$J$7:$K$11,2,FALSE)&amp;" - Per "&amp;VLOOKUP($C$4,'Writing Logic'!$G$8:$H$14,2,FALSE),YES_Writing_ELA[#Headers],0))=0,"",INDEX(_xlfn.VSTACK(YES_Writing_ELA[#Data],YES_Writing_FLA[#Data]),MATCH($A586,_xlfn.VSTACK(YES_Writing_ELA[Student Number],YES_Writing_FLA[Student Number]),0),MATCH(VLOOKUP(H$7,'Writing Logic'!$J$7:$K$11,2,FALSE)&amp;" - Per "&amp;VLOOKUP($C$4,'Writing Logic'!$G$8:$H$14,2,FALSE),YES_Writing_ELA[#Headers],0)))),"")</f>
        <v/>
      </c>
      <c r="I586" s="224" t="str" cm="1">
        <f t="array" aca="1" ref="I586" ca="1">IFERROR(
IF($G$3="ELA",
IF(VLOOKUP($A586, YES_Reading_ELA[], COLUMN(INDIRECT("YES_Reading_ELA[Difference - Per "&amp;VLOOKUP($G$4, 'Reading Report Logic'!$A$2:$B$8, 2, FALSE)&amp;"]")), FALSE)="", "",
VLOOKUP($A586,YES_Reading_ELA[], COLUMN(INDIRECT("YES_Reading_ELA[Difference - Per "&amp;VLOOKUP($G$4,'Reading Report Logic'!$A$2:$B$8,2,FALSE)&amp;"]")), FALSE)),
IF($G$3="FLA",
IF(VLOOKUP($A586, YES_Reading_FLA[], COLUMN(INDIRECT("YES_Reading_FLA[Difference - Per "&amp;VLOOKUP($G$4,'Reading Report Logic'!$A$2:$B$8,2,FALSE)&amp;"]")),FALSE)="","",
VLOOKUP($A586,YES_Reading_FLA[],COLUMN(INDIRECT("YES_Reading_FLA[Difference - Per "&amp;VLOOKUP($G$4,'Reading Report Logic'!$A$2:$B$8,2,FALSE)&amp;"]")),FALSE)),
IF($G$3="Combined",
IFERROR(
IF(VLOOKUP($A586, YES_Reading_ELA[], COLUMN(INDIRECT("YES_Reading_ELA[Difference - Per "&amp;VLOOKUP($G$4, 'Reading Report Logic'!$A$2:$B$8,2,FALSE)&amp;"]")), FALSE)="", "",
VLOOKUP($A586,YES_Reading_ELA[],COLUMN(INDIRECT("YES_Reading_ELA[Difference - Per "&amp;VLOOKUP($G$4,'Reading Report Logic'!$A$2:$B$8,2,FALSE)&amp;"]")),FALSE)),
IF(VLOOKUP($A586, YES_Reading_FLA[], COLUMN(INDIRECT("YES_Reading_FLA[Difference - Per "&amp;VLOOKUP($G$4, 'Reading Report Logic'!$A$2:$B$8, 2, FALSE)&amp;"]")),FALSE)="", "", VLOOKUP($A586,YES_Reading_FLA[],COLUMN(INDIRECT("YES_Reading_FLA[Difference - Per "&amp;VLOOKUP($G$4, 'Reading Report Logic'!$A$2:$B$8, 2, FALSE)&amp;"]")),FALSE))),""))),"")</f>
        <v/>
      </c>
    </row>
    <row r="587" spans="1:9" x14ac:dyDescent="0.25">
      <c r="A587" s="137"/>
      <c r="B587" s="137" t="str">
        <f>IFERROR(INDEX(_xlfn.VSTACK(YES_Writing_ELA[#Data], YES_Writing_FLA[#Data]),MATCH($A587,_xlfn.VSTACK(YES_Writing_ELA[Student Number], YES_Writing_FLA[Student Number]),0),MATCH(B$7,YES_Writing_ELA[#Headers],0)),IFERROR(INDEX(_xlfn.VSTACK(YES_Reading_ELA[#Data], YES_Reading_FLA[#Data]),MATCH($A587,_xlfn.VSTACK(YES_Reading_ELA[Student Number], YES_Reading_FLA[Student Number]),0),MATCH(B$7,YES_Reading_ELA[#Headers],0)),""))</f>
        <v/>
      </c>
      <c r="C587" s="137" t="str">
        <f>IFERROR(INDEX(_xlfn.VSTACK(YES_Writing_ELA[#Data], YES_Writing_FLA[#Data]),MATCH($A587,_xlfn.VSTACK(YES_Writing_ELA[Student Number], YES_Writing_FLA[Student Number]),0),MATCH(C$7,YES_Writing_ELA[#Headers],0)),IFERROR(INDEX(_xlfn.VSTACK(YES_Reading_ELA[#Data], YES_Reading_FLA[#Data]),MATCH($A587,_xlfn.VSTACK(YES_Reading_ELA[Student Number], YES_Reading_FLA[Student Number]),0),MATCH(C$7,YES_Reading_ELA[#Headers],0)),""))</f>
        <v/>
      </c>
      <c r="D587" s="138" t="str">
        <f>IFERROR(IF(IF(INDEX(_xlfn.VSTACK(YES_Writing_ELA[#Data],YES_Writing_FLA[#Data]),MATCH($A587,_xlfn.VSTACK(YES_Writing_ELA[Student Number],YES_Writing_FLA[Student Number]),0),MATCH(VLOOKUP(D$7,'Writing Logic'!$J$7:$K$11,2,FALSE)&amp;" - Per "&amp;VLOOKUP($C$4,'Writing Logic'!$G$8:$H$14,2,FALSE),YES_Writing_ELA[#Headers],0))=0,"",INDEX(_xlfn.VSTACK(YES_Writing_ELA[#Data],YES_Writing_FLA[#Data]),MATCH($A587,_xlfn.VSTACK(YES_Writing_ELA[Student Number],YES_Writing_FLA[Student Number]),0),MATCH(VLOOKUP(D$7,'Writing Logic'!$J$7:$K$11,2,FALSE)&amp;" - Per "&amp;VLOOKUP($C$4,'Writing Logic'!$G$8:$H$14,2,FALSE),YES_Writing_ELA[#Headers],0)))="INS",'Writing Logic'!$B$7,IF(INDEX(_xlfn.VSTACK(YES_Writing_ELA[#Data],YES_Writing_FLA[#Data]),MATCH($A587,_xlfn.VSTACK(YES_Writing_ELA[Student Number],YES_Writing_FLA[Student Number]),0),MATCH(VLOOKUP(D$7,'Writing Logic'!$J$7:$K$11,2,FALSE)&amp;" - Per "&amp;VLOOKUP($C$4,'Writing Logic'!$G$8:$H$14,2,FALSE),YES_Writing_ELA[#Headers],0))=0,"",INDEX(_xlfn.VSTACK(YES_Writing_ELA[#Data],YES_Writing_FLA[#Data]),MATCH($A587,_xlfn.VSTACK(YES_Writing_ELA[Student Number],YES_Writing_FLA[Student Number]),0),MATCH(VLOOKUP(D$7,'Writing Logic'!$J$7:$K$11,2,FALSE)&amp;" - Per "&amp;VLOOKUP($C$4,'Writing Logic'!$G$8:$H$14,2,FALSE),YES_Writing_ELA[#Headers],0)))),"")</f>
        <v/>
      </c>
      <c r="E587" s="138" t="str">
        <f>IFERROR(IF(IF(INDEX(_xlfn.VSTACK(YES_Writing_ELA[#Data],YES_Writing_FLA[#Data]),MATCH($A587,_xlfn.VSTACK(YES_Writing_ELA[Student Number],YES_Writing_FLA[Student Number]),0),MATCH(VLOOKUP(E$7,'Writing Logic'!$J$7:$K$11,2,FALSE)&amp;" - Per "&amp;VLOOKUP($C$4,'Writing Logic'!$G$8:$H$14,2,FALSE),YES_Writing_ELA[#Headers],0))=0,"",INDEX(_xlfn.VSTACK(YES_Writing_ELA[#Data],YES_Writing_FLA[#Data]),MATCH($A587,_xlfn.VSTACK(YES_Writing_ELA[Student Number],YES_Writing_FLA[Student Number]),0),MATCH(VLOOKUP(E$7,'Writing Logic'!$J$7:$K$11,2,FALSE)&amp;" - Per "&amp;VLOOKUP($C$4,'Writing Logic'!$G$8:$H$14,2,FALSE),YES_Writing_ELA[#Headers],0)))="INS",'Writing Logic'!$B$7,IF(INDEX(_xlfn.VSTACK(YES_Writing_ELA[#Data],YES_Writing_FLA[#Data]),MATCH($A587,_xlfn.VSTACK(YES_Writing_ELA[Student Number],YES_Writing_FLA[Student Number]),0),MATCH(VLOOKUP(E$7,'Writing Logic'!$J$7:$K$11,2,FALSE)&amp;" - Per "&amp;VLOOKUP($C$4,'Writing Logic'!$G$8:$H$14,2,FALSE),YES_Writing_ELA[#Headers],0))=0,"",INDEX(_xlfn.VSTACK(YES_Writing_ELA[#Data],YES_Writing_FLA[#Data]),MATCH($A587,_xlfn.VSTACK(YES_Writing_ELA[Student Number],YES_Writing_FLA[Student Number]),0),MATCH(VLOOKUP(E$7,'Writing Logic'!$J$7:$K$11,2,FALSE)&amp;" - Per "&amp;VLOOKUP($C$4,'Writing Logic'!$G$8:$H$14,2,FALSE),YES_Writing_ELA[#Headers],0)))),"")</f>
        <v/>
      </c>
      <c r="F587" s="138" t="str">
        <f>IFERROR(IF(IF(INDEX(_xlfn.VSTACK(YES_Writing_ELA[#Data],YES_Writing_FLA[#Data]),MATCH($A587,_xlfn.VSTACK(YES_Writing_ELA[Student Number],YES_Writing_FLA[Student Number]),0),MATCH(VLOOKUP(F$7,'Writing Logic'!$J$7:$K$11,2,FALSE)&amp;" - Per "&amp;VLOOKUP($C$4,'Writing Logic'!$G$8:$H$14,2,FALSE),YES_Writing_ELA[#Headers],0))=0,"",INDEX(_xlfn.VSTACK(YES_Writing_ELA[#Data],YES_Writing_FLA[#Data]),MATCH($A587,_xlfn.VSTACK(YES_Writing_ELA[Student Number],YES_Writing_FLA[Student Number]),0),MATCH(VLOOKUP(F$7,'Writing Logic'!$J$7:$K$11,2,FALSE)&amp;" - Per "&amp;VLOOKUP($C$4,'Writing Logic'!$G$8:$H$14,2,FALSE),YES_Writing_ELA[#Headers],0)))="INS",'Writing Logic'!$B$7,IF(INDEX(_xlfn.VSTACK(YES_Writing_ELA[#Data],YES_Writing_FLA[#Data]),MATCH($A587,_xlfn.VSTACK(YES_Writing_ELA[Student Number],YES_Writing_FLA[Student Number]),0),MATCH(VLOOKUP(F$7,'Writing Logic'!$J$7:$K$11,2,FALSE)&amp;" - Per "&amp;VLOOKUP($C$4,'Writing Logic'!$G$8:$H$14,2,FALSE),YES_Writing_ELA[#Headers],0))=0,"",INDEX(_xlfn.VSTACK(YES_Writing_ELA[#Data],YES_Writing_FLA[#Data]),MATCH($A587,_xlfn.VSTACK(YES_Writing_ELA[Student Number],YES_Writing_FLA[Student Number]),0),MATCH(VLOOKUP(F$7,'Writing Logic'!$J$7:$K$11,2,FALSE)&amp;" - Per "&amp;VLOOKUP($C$4,'Writing Logic'!$G$8:$H$14,2,FALSE),YES_Writing_ELA[#Headers],0)))),"")</f>
        <v/>
      </c>
      <c r="G587" s="138" t="str">
        <f>IFERROR(IF(IF(INDEX(_xlfn.VSTACK(YES_Writing_ELA[#Data],YES_Writing_FLA[#Data]),MATCH($A587,_xlfn.VSTACK(YES_Writing_ELA[Student Number],YES_Writing_FLA[Student Number]),0),MATCH(VLOOKUP(G$7,'Writing Logic'!$J$7:$K$11,2,FALSE)&amp;" - Per "&amp;VLOOKUP($C$4,'Writing Logic'!$G$8:$H$14,2,FALSE),YES_Writing_ELA[#Headers],0))=0,"",INDEX(_xlfn.VSTACK(YES_Writing_ELA[#Data],YES_Writing_FLA[#Data]),MATCH($A587,_xlfn.VSTACK(YES_Writing_ELA[Student Number],YES_Writing_FLA[Student Number]),0),MATCH(VLOOKUP(G$7,'Writing Logic'!$J$7:$K$11,2,FALSE)&amp;" - Per "&amp;VLOOKUP($C$4,'Writing Logic'!$G$8:$H$14,2,FALSE),YES_Writing_ELA[#Headers],0)))="INS",'Writing Logic'!$B$7,IF(INDEX(_xlfn.VSTACK(YES_Writing_ELA[#Data],YES_Writing_FLA[#Data]),MATCH($A587,_xlfn.VSTACK(YES_Writing_ELA[Student Number],YES_Writing_FLA[Student Number]),0),MATCH(VLOOKUP(G$7,'Writing Logic'!$J$7:$K$11,2,FALSE)&amp;" - Per "&amp;VLOOKUP($C$4,'Writing Logic'!$G$8:$H$14,2,FALSE),YES_Writing_ELA[#Headers],0))=0,"",INDEX(_xlfn.VSTACK(YES_Writing_ELA[#Data],YES_Writing_FLA[#Data]),MATCH($A587,_xlfn.VSTACK(YES_Writing_ELA[Student Number],YES_Writing_FLA[Student Number]),0),MATCH(VLOOKUP(G$7,'Writing Logic'!$J$7:$K$11,2,FALSE)&amp;" - Per "&amp;VLOOKUP($C$4,'Writing Logic'!$G$8:$H$14,2,FALSE),YES_Writing_ELA[#Headers],0)))),"")</f>
        <v/>
      </c>
      <c r="H587" s="223" t="str">
        <f>IFERROR(IF(IF(INDEX(_xlfn.VSTACK(YES_Writing_ELA[#Data],YES_Writing_FLA[#Data]),MATCH($A587,_xlfn.VSTACK(YES_Writing_ELA[Student Number],YES_Writing_FLA[Student Number]),0),MATCH(VLOOKUP(H$7,'Writing Logic'!$J$7:$K$11,2,FALSE)&amp;" - Per "&amp;VLOOKUP($C$4,'Writing Logic'!$G$8:$H$14,2,FALSE),YES_Writing_ELA[#Headers],0))=0,"",INDEX(_xlfn.VSTACK(YES_Writing_ELA[#Data],YES_Writing_FLA[#Data]),MATCH($A587,_xlfn.VSTACK(YES_Writing_ELA[Student Number],YES_Writing_FLA[Student Number]),0),MATCH(VLOOKUP(H$7,'Writing Logic'!$J$7:$K$11,2,FALSE)&amp;" - Per "&amp;VLOOKUP($C$4,'Writing Logic'!$G$8:$H$14,2,FALSE),YES_Writing_ELA[#Headers],0)))="INS",'Writing Logic'!$B$7,IF(INDEX(_xlfn.VSTACK(YES_Writing_ELA[#Data],YES_Writing_FLA[#Data]),MATCH($A587,_xlfn.VSTACK(YES_Writing_ELA[Student Number],YES_Writing_FLA[Student Number]),0),MATCH(VLOOKUP(H$7,'Writing Logic'!$J$7:$K$11,2,FALSE)&amp;" - Per "&amp;VLOOKUP($C$4,'Writing Logic'!$G$8:$H$14,2,FALSE),YES_Writing_ELA[#Headers],0))=0,"",INDEX(_xlfn.VSTACK(YES_Writing_ELA[#Data],YES_Writing_FLA[#Data]),MATCH($A587,_xlfn.VSTACK(YES_Writing_ELA[Student Number],YES_Writing_FLA[Student Number]),0),MATCH(VLOOKUP(H$7,'Writing Logic'!$J$7:$K$11,2,FALSE)&amp;" - Per "&amp;VLOOKUP($C$4,'Writing Logic'!$G$8:$H$14,2,FALSE),YES_Writing_ELA[#Headers],0)))),"")</f>
        <v/>
      </c>
      <c r="I587" s="224" t="str" cm="1">
        <f t="array" aca="1" ref="I587" ca="1">IFERROR(
IF($G$3="ELA",
IF(VLOOKUP($A587, YES_Reading_ELA[], COLUMN(INDIRECT("YES_Reading_ELA[Difference - Per "&amp;VLOOKUP($G$4, 'Reading Report Logic'!$A$2:$B$8, 2, FALSE)&amp;"]")), FALSE)="", "",
VLOOKUP($A587,YES_Reading_ELA[], COLUMN(INDIRECT("YES_Reading_ELA[Difference - Per "&amp;VLOOKUP($G$4,'Reading Report Logic'!$A$2:$B$8,2,FALSE)&amp;"]")), FALSE)),
IF($G$3="FLA",
IF(VLOOKUP($A587, YES_Reading_FLA[], COLUMN(INDIRECT("YES_Reading_FLA[Difference - Per "&amp;VLOOKUP($G$4,'Reading Report Logic'!$A$2:$B$8,2,FALSE)&amp;"]")),FALSE)="","",
VLOOKUP($A587,YES_Reading_FLA[],COLUMN(INDIRECT("YES_Reading_FLA[Difference - Per "&amp;VLOOKUP($G$4,'Reading Report Logic'!$A$2:$B$8,2,FALSE)&amp;"]")),FALSE)),
IF($G$3="Combined",
IFERROR(
IF(VLOOKUP($A587, YES_Reading_ELA[], COLUMN(INDIRECT("YES_Reading_ELA[Difference - Per "&amp;VLOOKUP($G$4, 'Reading Report Logic'!$A$2:$B$8,2,FALSE)&amp;"]")), FALSE)="", "",
VLOOKUP($A587,YES_Reading_ELA[],COLUMN(INDIRECT("YES_Reading_ELA[Difference - Per "&amp;VLOOKUP($G$4,'Reading Report Logic'!$A$2:$B$8,2,FALSE)&amp;"]")),FALSE)),
IF(VLOOKUP($A587, YES_Reading_FLA[], COLUMN(INDIRECT("YES_Reading_FLA[Difference - Per "&amp;VLOOKUP($G$4, 'Reading Report Logic'!$A$2:$B$8, 2, FALSE)&amp;"]")),FALSE)="", "", VLOOKUP($A587,YES_Reading_FLA[],COLUMN(INDIRECT("YES_Reading_FLA[Difference - Per "&amp;VLOOKUP($G$4, 'Reading Report Logic'!$A$2:$B$8, 2, FALSE)&amp;"]")),FALSE))),""))),"")</f>
        <v/>
      </c>
    </row>
    <row r="588" spans="1:9" x14ac:dyDescent="0.25">
      <c r="A588" s="137"/>
      <c r="B588" s="137" t="str">
        <f>IFERROR(INDEX(_xlfn.VSTACK(YES_Writing_ELA[#Data], YES_Writing_FLA[#Data]),MATCH($A588,_xlfn.VSTACK(YES_Writing_ELA[Student Number], YES_Writing_FLA[Student Number]),0),MATCH(B$7,YES_Writing_ELA[#Headers],0)),IFERROR(INDEX(_xlfn.VSTACK(YES_Reading_ELA[#Data], YES_Reading_FLA[#Data]),MATCH($A588,_xlfn.VSTACK(YES_Reading_ELA[Student Number], YES_Reading_FLA[Student Number]),0),MATCH(B$7,YES_Reading_ELA[#Headers],0)),""))</f>
        <v/>
      </c>
      <c r="C588" s="137" t="str">
        <f>IFERROR(INDEX(_xlfn.VSTACK(YES_Writing_ELA[#Data], YES_Writing_FLA[#Data]),MATCH($A588,_xlfn.VSTACK(YES_Writing_ELA[Student Number], YES_Writing_FLA[Student Number]),0),MATCH(C$7,YES_Writing_ELA[#Headers],0)),IFERROR(INDEX(_xlfn.VSTACK(YES_Reading_ELA[#Data], YES_Reading_FLA[#Data]),MATCH($A588,_xlfn.VSTACK(YES_Reading_ELA[Student Number], YES_Reading_FLA[Student Number]),0),MATCH(C$7,YES_Reading_ELA[#Headers],0)),""))</f>
        <v/>
      </c>
      <c r="D588" s="138" t="str">
        <f>IFERROR(IF(IF(INDEX(_xlfn.VSTACK(YES_Writing_ELA[#Data],YES_Writing_FLA[#Data]),MATCH($A588,_xlfn.VSTACK(YES_Writing_ELA[Student Number],YES_Writing_FLA[Student Number]),0),MATCH(VLOOKUP(D$7,'Writing Logic'!$J$7:$K$11,2,FALSE)&amp;" - Per "&amp;VLOOKUP($C$4,'Writing Logic'!$G$8:$H$14,2,FALSE),YES_Writing_ELA[#Headers],0))=0,"",INDEX(_xlfn.VSTACK(YES_Writing_ELA[#Data],YES_Writing_FLA[#Data]),MATCH($A588,_xlfn.VSTACK(YES_Writing_ELA[Student Number],YES_Writing_FLA[Student Number]),0),MATCH(VLOOKUP(D$7,'Writing Logic'!$J$7:$K$11,2,FALSE)&amp;" - Per "&amp;VLOOKUP($C$4,'Writing Logic'!$G$8:$H$14,2,FALSE),YES_Writing_ELA[#Headers],0)))="INS",'Writing Logic'!$B$7,IF(INDEX(_xlfn.VSTACK(YES_Writing_ELA[#Data],YES_Writing_FLA[#Data]),MATCH($A588,_xlfn.VSTACK(YES_Writing_ELA[Student Number],YES_Writing_FLA[Student Number]),0),MATCH(VLOOKUP(D$7,'Writing Logic'!$J$7:$K$11,2,FALSE)&amp;" - Per "&amp;VLOOKUP($C$4,'Writing Logic'!$G$8:$H$14,2,FALSE),YES_Writing_ELA[#Headers],0))=0,"",INDEX(_xlfn.VSTACK(YES_Writing_ELA[#Data],YES_Writing_FLA[#Data]),MATCH($A588,_xlfn.VSTACK(YES_Writing_ELA[Student Number],YES_Writing_FLA[Student Number]),0),MATCH(VLOOKUP(D$7,'Writing Logic'!$J$7:$K$11,2,FALSE)&amp;" - Per "&amp;VLOOKUP($C$4,'Writing Logic'!$G$8:$H$14,2,FALSE),YES_Writing_ELA[#Headers],0)))),"")</f>
        <v/>
      </c>
      <c r="E588" s="138" t="str">
        <f>IFERROR(IF(IF(INDEX(_xlfn.VSTACK(YES_Writing_ELA[#Data],YES_Writing_FLA[#Data]),MATCH($A588,_xlfn.VSTACK(YES_Writing_ELA[Student Number],YES_Writing_FLA[Student Number]),0),MATCH(VLOOKUP(E$7,'Writing Logic'!$J$7:$K$11,2,FALSE)&amp;" - Per "&amp;VLOOKUP($C$4,'Writing Logic'!$G$8:$H$14,2,FALSE),YES_Writing_ELA[#Headers],0))=0,"",INDEX(_xlfn.VSTACK(YES_Writing_ELA[#Data],YES_Writing_FLA[#Data]),MATCH($A588,_xlfn.VSTACK(YES_Writing_ELA[Student Number],YES_Writing_FLA[Student Number]),0),MATCH(VLOOKUP(E$7,'Writing Logic'!$J$7:$K$11,2,FALSE)&amp;" - Per "&amp;VLOOKUP($C$4,'Writing Logic'!$G$8:$H$14,2,FALSE),YES_Writing_ELA[#Headers],0)))="INS",'Writing Logic'!$B$7,IF(INDEX(_xlfn.VSTACK(YES_Writing_ELA[#Data],YES_Writing_FLA[#Data]),MATCH($A588,_xlfn.VSTACK(YES_Writing_ELA[Student Number],YES_Writing_FLA[Student Number]),0),MATCH(VLOOKUP(E$7,'Writing Logic'!$J$7:$K$11,2,FALSE)&amp;" - Per "&amp;VLOOKUP($C$4,'Writing Logic'!$G$8:$H$14,2,FALSE),YES_Writing_ELA[#Headers],0))=0,"",INDEX(_xlfn.VSTACK(YES_Writing_ELA[#Data],YES_Writing_FLA[#Data]),MATCH($A588,_xlfn.VSTACK(YES_Writing_ELA[Student Number],YES_Writing_FLA[Student Number]),0),MATCH(VLOOKUP(E$7,'Writing Logic'!$J$7:$K$11,2,FALSE)&amp;" - Per "&amp;VLOOKUP($C$4,'Writing Logic'!$G$8:$H$14,2,FALSE),YES_Writing_ELA[#Headers],0)))),"")</f>
        <v/>
      </c>
      <c r="F588" s="138" t="str">
        <f>IFERROR(IF(IF(INDEX(_xlfn.VSTACK(YES_Writing_ELA[#Data],YES_Writing_FLA[#Data]),MATCH($A588,_xlfn.VSTACK(YES_Writing_ELA[Student Number],YES_Writing_FLA[Student Number]),0),MATCH(VLOOKUP(F$7,'Writing Logic'!$J$7:$K$11,2,FALSE)&amp;" - Per "&amp;VLOOKUP($C$4,'Writing Logic'!$G$8:$H$14,2,FALSE),YES_Writing_ELA[#Headers],0))=0,"",INDEX(_xlfn.VSTACK(YES_Writing_ELA[#Data],YES_Writing_FLA[#Data]),MATCH($A588,_xlfn.VSTACK(YES_Writing_ELA[Student Number],YES_Writing_FLA[Student Number]),0),MATCH(VLOOKUP(F$7,'Writing Logic'!$J$7:$K$11,2,FALSE)&amp;" - Per "&amp;VLOOKUP($C$4,'Writing Logic'!$G$8:$H$14,2,FALSE),YES_Writing_ELA[#Headers],0)))="INS",'Writing Logic'!$B$7,IF(INDEX(_xlfn.VSTACK(YES_Writing_ELA[#Data],YES_Writing_FLA[#Data]),MATCH($A588,_xlfn.VSTACK(YES_Writing_ELA[Student Number],YES_Writing_FLA[Student Number]),0),MATCH(VLOOKUP(F$7,'Writing Logic'!$J$7:$K$11,2,FALSE)&amp;" - Per "&amp;VLOOKUP($C$4,'Writing Logic'!$G$8:$H$14,2,FALSE),YES_Writing_ELA[#Headers],0))=0,"",INDEX(_xlfn.VSTACK(YES_Writing_ELA[#Data],YES_Writing_FLA[#Data]),MATCH($A588,_xlfn.VSTACK(YES_Writing_ELA[Student Number],YES_Writing_FLA[Student Number]),0),MATCH(VLOOKUP(F$7,'Writing Logic'!$J$7:$K$11,2,FALSE)&amp;" - Per "&amp;VLOOKUP($C$4,'Writing Logic'!$G$8:$H$14,2,FALSE),YES_Writing_ELA[#Headers],0)))),"")</f>
        <v/>
      </c>
      <c r="G588" s="138" t="str">
        <f>IFERROR(IF(IF(INDEX(_xlfn.VSTACK(YES_Writing_ELA[#Data],YES_Writing_FLA[#Data]),MATCH($A588,_xlfn.VSTACK(YES_Writing_ELA[Student Number],YES_Writing_FLA[Student Number]),0),MATCH(VLOOKUP(G$7,'Writing Logic'!$J$7:$K$11,2,FALSE)&amp;" - Per "&amp;VLOOKUP($C$4,'Writing Logic'!$G$8:$H$14,2,FALSE),YES_Writing_ELA[#Headers],0))=0,"",INDEX(_xlfn.VSTACK(YES_Writing_ELA[#Data],YES_Writing_FLA[#Data]),MATCH($A588,_xlfn.VSTACK(YES_Writing_ELA[Student Number],YES_Writing_FLA[Student Number]),0),MATCH(VLOOKUP(G$7,'Writing Logic'!$J$7:$K$11,2,FALSE)&amp;" - Per "&amp;VLOOKUP($C$4,'Writing Logic'!$G$8:$H$14,2,FALSE),YES_Writing_ELA[#Headers],0)))="INS",'Writing Logic'!$B$7,IF(INDEX(_xlfn.VSTACK(YES_Writing_ELA[#Data],YES_Writing_FLA[#Data]),MATCH($A588,_xlfn.VSTACK(YES_Writing_ELA[Student Number],YES_Writing_FLA[Student Number]),0),MATCH(VLOOKUP(G$7,'Writing Logic'!$J$7:$K$11,2,FALSE)&amp;" - Per "&amp;VLOOKUP($C$4,'Writing Logic'!$G$8:$H$14,2,FALSE),YES_Writing_ELA[#Headers],0))=0,"",INDEX(_xlfn.VSTACK(YES_Writing_ELA[#Data],YES_Writing_FLA[#Data]),MATCH($A588,_xlfn.VSTACK(YES_Writing_ELA[Student Number],YES_Writing_FLA[Student Number]),0),MATCH(VLOOKUP(G$7,'Writing Logic'!$J$7:$K$11,2,FALSE)&amp;" - Per "&amp;VLOOKUP($C$4,'Writing Logic'!$G$8:$H$14,2,FALSE),YES_Writing_ELA[#Headers],0)))),"")</f>
        <v/>
      </c>
      <c r="H588" s="223" t="str">
        <f>IFERROR(IF(IF(INDEX(_xlfn.VSTACK(YES_Writing_ELA[#Data],YES_Writing_FLA[#Data]),MATCH($A588,_xlfn.VSTACK(YES_Writing_ELA[Student Number],YES_Writing_FLA[Student Number]),0),MATCH(VLOOKUP(H$7,'Writing Logic'!$J$7:$K$11,2,FALSE)&amp;" - Per "&amp;VLOOKUP($C$4,'Writing Logic'!$G$8:$H$14,2,FALSE),YES_Writing_ELA[#Headers],0))=0,"",INDEX(_xlfn.VSTACK(YES_Writing_ELA[#Data],YES_Writing_FLA[#Data]),MATCH($A588,_xlfn.VSTACK(YES_Writing_ELA[Student Number],YES_Writing_FLA[Student Number]),0),MATCH(VLOOKUP(H$7,'Writing Logic'!$J$7:$K$11,2,FALSE)&amp;" - Per "&amp;VLOOKUP($C$4,'Writing Logic'!$G$8:$H$14,2,FALSE),YES_Writing_ELA[#Headers],0)))="INS",'Writing Logic'!$B$7,IF(INDEX(_xlfn.VSTACK(YES_Writing_ELA[#Data],YES_Writing_FLA[#Data]),MATCH($A588,_xlfn.VSTACK(YES_Writing_ELA[Student Number],YES_Writing_FLA[Student Number]),0),MATCH(VLOOKUP(H$7,'Writing Logic'!$J$7:$K$11,2,FALSE)&amp;" - Per "&amp;VLOOKUP($C$4,'Writing Logic'!$G$8:$H$14,2,FALSE),YES_Writing_ELA[#Headers],0))=0,"",INDEX(_xlfn.VSTACK(YES_Writing_ELA[#Data],YES_Writing_FLA[#Data]),MATCH($A588,_xlfn.VSTACK(YES_Writing_ELA[Student Number],YES_Writing_FLA[Student Number]),0),MATCH(VLOOKUP(H$7,'Writing Logic'!$J$7:$K$11,2,FALSE)&amp;" - Per "&amp;VLOOKUP($C$4,'Writing Logic'!$G$8:$H$14,2,FALSE),YES_Writing_ELA[#Headers],0)))),"")</f>
        <v/>
      </c>
      <c r="I588" s="224" t="str" cm="1">
        <f t="array" aca="1" ref="I588" ca="1">IFERROR(
IF($G$3="ELA",
IF(VLOOKUP($A588, YES_Reading_ELA[], COLUMN(INDIRECT("YES_Reading_ELA[Difference - Per "&amp;VLOOKUP($G$4, 'Reading Report Logic'!$A$2:$B$8, 2, FALSE)&amp;"]")), FALSE)="", "",
VLOOKUP($A588,YES_Reading_ELA[], COLUMN(INDIRECT("YES_Reading_ELA[Difference - Per "&amp;VLOOKUP($G$4,'Reading Report Logic'!$A$2:$B$8,2,FALSE)&amp;"]")), FALSE)),
IF($G$3="FLA",
IF(VLOOKUP($A588, YES_Reading_FLA[], COLUMN(INDIRECT("YES_Reading_FLA[Difference - Per "&amp;VLOOKUP($G$4,'Reading Report Logic'!$A$2:$B$8,2,FALSE)&amp;"]")),FALSE)="","",
VLOOKUP($A588,YES_Reading_FLA[],COLUMN(INDIRECT("YES_Reading_FLA[Difference - Per "&amp;VLOOKUP($G$4,'Reading Report Logic'!$A$2:$B$8,2,FALSE)&amp;"]")),FALSE)),
IF($G$3="Combined",
IFERROR(
IF(VLOOKUP($A588, YES_Reading_ELA[], COLUMN(INDIRECT("YES_Reading_ELA[Difference - Per "&amp;VLOOKUP($G$4, 'Reading Report Logic'!$A$2:$B$8,2,FALSE)&amp;"]")), FALSE)="", "",
VLOOKUP($A588,YES_Reading_ELA[],COLUMN(INDIRECT("YES_Reading_ELA[Difference - Per "&amp;VLOOKUP($G$4,'Reading Report Logic'!$A$2:$B$8,2,FALSE)&amp;"]")),FALSE)),
IF(VLOOKUP($A588, YES_Reading_FLA[], COLUMN(INDIRECT("YES_Reading_FLA[Difference - Per "&amp;VLOOKUP($G$4, 'Reading Report Logic'!$A$2:$B$8, 2, FALSE)&amp;"]")),FALSE)="", "", VLOOKUP($A588,YES_Reading_FLA[],COLUMN(INDIRECT("YES_Reading_FLA[Difference - Per "&amp;VLOOKUP($G$4, 'Reading Report Logic'!$A$2:$B$8, 2, FALSE)&amp;"]")),FALSE))),""))),"")</f>
        <v/>
      </c>
    </row>
    <row r="589" spans="1:9" x14ac:dyDescent="0.25">
      <c r="A589" s="137"/>
      <c r="B589" s="137" t="str">
        <f>IFERROR(INDEX(_xlfn.VSTACK(YES_Writing_ELA[#Data], YES_Writing_FLA[#Data]),MATCH($A589,_xlfn.VSTACK(YES_Writing_ELA[Student Number], YES_Writing_FLA[Student Number]),0),MATCH(B$7,YES_Writing_ELA[#Headers],0)),IFERROR(INDEX(_xlfn.VSTACK(YES_Reading_ELA[#Data], YES_Reading_FLA[#Data]),MATCH($A589,_xlfn.VSTACK(YES_Reading_ELA[Student Number], YES_Reading_FLA[Student Number]),0),MATCH(B$7,YES_Reading_ELA[#Headers],0)),""))</f>
        <v/>
      </c>
      <c r="C589" s="137" t="str">
        <f>IFERROR(INDEX(_xlfn.VSTACK(YES_Writing_ELA[#Data], YES_Writing_FLA[#Data]),MATCH($A589,_xlfn.VSTACK(YES_Writing_ELA[Student Number], YES_Writing_FLA[Student Number]),0),MATCH(C$7,YES_Writing_ELA[#Headers],0)),IFERROR(INDEX(_xlfn.VSTACK(YES_Reading_ELA[#Data], YES_Reading_FLA[#Data]),MATCH($A589,_xlfn.VSTACK(YES_Reading_ELA[Student Number], YES_Reading_FLA[Student Number]),0),MATCH(C$7,YES_Reading_ELA[#Headers],0)),""))</f>
        <v/>
      </c>
      <c r="D589" s="138" t="str">
        <f>IFERROR(IF(IF(INDEX(_xlfn.VSTACK(YES_Writing_ELA[#Data],YES_Writing_FLA[#Data]),MATCH($A589,_xlfn.VSTACK(YES_Writing_ELA[Student Number],YES_Writing_FLA[Student Number]),0),MATCH(VLOOKUP(D$7,'Writing Logic'!$J$7:$K$11,2,FALSE)&amp;" - Per "&amp;VLOOKUP($C$4,'Writing Logic'!$G$8:$H$14,2,FALSE),YES_Writing_ELA[#Headers],0))=0,"",INDEX(_xlfn.VSTACK(YES_Writing_ELA[#Data],YES_Writing_FLA[#Data]),MATCH($A589,_xlfn.VSTACK(YES_Writing_ELA[Student Number],YES_Writing_FLA[Student Number]),0),MATCH(VLOOKUP(D$7,'Writing Logic'!$J$7:$K$11,2,FALSE)&amp;" - Per "&amp;VLOOKUP($C$4,'Writing Logic'!$G$8:$H$14,2,FALSE),YES_Writing_ELA[#Headers],0)))="INS",'Writing Logic'!$B$7,IF(INDEX(_xlfn.VSTACK(YES_Writing_ELA[#Data],YES_Writing_FLA[#Data]),MATCH($A589,_xlfn.VSTACK(YES_Writing_ELA[Student Number],YES_Writing_FLA[Student Number]),0),MATCH(VLOOKUP(D$7,'Writing Logic'!$J$7:$K$11,2,FALSE)&amp;" - Per "&amp;VLOOKUP($C$4,'Writing Logic'!$G$8:$H$14,2,FALSE),YES_Writing_ELA[#Headers],0))=0,"",INDEX(_xlfn.VSTACK(YES_Writing_ELA[#Data],YES_Writing_FLA[#Data]),MATCH($A589,_xlfn.VSTACK(YES_Writing_ELA[Student Number],YES_Writing_FLA[Student Number]),0),MATCH(VLOOKUP(D$7,'Writing Logic'!$J$7:$K$11,2,FALSE)&amp;" - Per "&amp;VLOOKUP($C$4,'Writing Logic'!$G$8:$H$14,2,FALSE),YES_Writing_ELA[#Headers],0)))),"")</f>
        <v/>
      </c>
      <c r="E589" s="138" t="str">
        <f>IFERROR(IF(IF(INDEX(_xlfn.VSTACK(YES_Writing_ELA[#Data],YES_Writing_FLA[#Data]),MATCH($A589,_xlfn.VSTACK(YES_Writing_ELA[Student Number],YES_Writing_FLA[Student Number]),0),MATCH(VLOOKUP(E$7,'Writing Logic'!$J$7:$K$11,2,FALSE)&amp;" - Per "&amp;VLOOKUP($C$4,'Writing Logic'!$G$8:$H$14,2,FALSE),YES_Writing_ELA[#Headers],0))=0,"",INDEX(_xlfn.VSTACK(YES_Writing_ELA[#Data],YES_Writing_FLA[#Data]),MATCH($A589,_xlfn.VSTACK(YES_Writing_ELA[Student Number],YES_Writing_FLA[Student Number]),0),MATCH(VLOOKUP(E$7,'Writing Logic'!$J$7:$K$11,2,FALSE)&amp;" - Per "&amp;VLOOKUP($C$4,'Writing Logic'!$G$8:$H$14,2,FALSE),YES_Writing_ELA[#Headers],0)))="INS",'Writing Logic'!$B$7,IF(INDEX(_xlfn.VSTACK(YES_Writing_ELA[#Data],YES_Writing_FLA[#Data]),MATCH($A589,_xlfn.VSTACK(YES_Writing_ELA[Student Number],YES_Writing_FLA[Student Number]),0),MATCH(VLOOKUP(E$7,'Writing Logic'!$J$7:$K$11,2,FALSE)&amp;" - Per "&amp;VLOOKUP($C$4,'Writing Logic'!$G$8:$H$14,2,FALSE),YES_Writing_ELA[#Headers],0))=0,"",INDEX(_xlfn.VSTACK(YES_Writing_ELA[#Data],YES_Writing_FLA[#Data]),MATCH($A589,_xlfn.VSTACK(YES_Writing_ELA[Student Number],YES_Writing_FLA[Student Number]),0),MATCH(VLOOKUP(E$7,'Writing Logic'!$J$7:$K$11,2,FALSE)&amp;" - Per "&amp;VLOOKUP($C$4,'Writing Logic'!$G$8:$H$14,2,FALSE),YES_Writing_ELA[#Headers],0)))),"")</f>
        <v/>
      </c>
      <c r="F589" s="138" t="str">
        <f>IFERROR(IF(IF(INDEX(_xlfn.VSTACK(YES_Writing_ELA[#Data],YES_Writing_FLA[#Data]),MATCH($A589,_xlfn.VSTACK(YES_Writing_ELA[Student Number],YES_Writing_FLA[Student Number]),0),MATCH(VLOOKUP(F$7,'Writing Logic'!$J$7:$K$11,2,FALSE)&amp;" - Per "&amp;VLOOKUP($C$4,'Writing Logic'!$G$8:$H$14,2,FALSE),YES_Writing_ELA[#Headers],0))=0,"",INDEX(_xlfn.VSTACK(YES_Writing_ELA[#Data],YES_Writing_FLA[#Data]),MATCH($A589,_xlfn.VSTACK(YES_Writing_ELA[Student Number],YES_Writing_FLA[Student Number]),0),MATCH(VLOOKUP(F$7,'Writing Logic'!$J$7:$K$11,2,FALSE)&amp;" - Per "&amp;VLOOKUP($C$4,'Writing Logic'!$G$8:$H$14,2,FALSE),YES_Writing_ELA[#Headers],0)))="INS",'Writing Logic'!$B$7,IF(INDEX(_xlfn.VSTACK(YES_Writing_ELA[#Data],YES_Writing_FLA[#Data]),MATCH($A589,_xlfn.VSTACK(YES_Writing_ELA[Student Number],YES_Writing_FLA[Student Number]),0),MATCH(VLOOKUP(F$7,'Writing Logic'!$J$7:$K$11,2,FALSE)&amp;" - Per "&amp;VLOOKUP($C$4,'Writing Logic'!$G$8:$H$14,2,FALSE),YES_Writing_ELA[#Headers],0))=0,"",INDEX(_xlfn.VSTACK(YES_Writing_ELA[#Data],YES_Writing_FLA[#Data]),MATCH($A589,_xlfn.VSTACK(YES_Writing_ELA[Student Number],YES_Writing_FLA[Student Number]),0),MATCH(VLOOKUP(F$7,'Writing Logic'!$J$7:$K$11,2,FALSE)&amp;" - Per "&amp;VLOOKUP($C$4,'Writing Logic'!$G$8:$H$14,2,FALSE),YES_Writing_ELA[#Headers],0)))),"")</f>
        <v/>
      </c>
      <c r="G589" s="138" t="str">
        <f>IFERROR(IF(IF(INDEX(_xlfn.VSTACK(YES_Writing_ELA[#Data],YES_Writing_FLA[#Data]),MATCH($A589,_xlfn.VSTACK(YES_Writing_ELA[Student Number],YES_Writing_FLA[Student Number]),0),MATCH(VLOOKUP(G$7,'Writing Logic'!$J$7:$K$11,2,FALSE)&amp;" - Per "&amp;VLOOKUP($C$4,'Writing Logic'!$G$8:$H$14,2,FALSE),YES_Writing_ELA[#Headers],0))=0,"",INDEX(_xlfn.VSTACK(YES_Writing_ELA[#Data],YES_Writing_FLA[#Data]),MATCH($A589,_xlfn.VSTACK(YES_Writing_ELA[Student Number],YES_Writing_FLA[Student Number]),0),MATCH(VLOOKUP(G$7,'Writing Logic'!$J$7:$K$11,2,FALSE)&amp;" - Per "&amp;VLOOKUP($C$4,'Writing Logic'!$G$8:$H$14,2,FALSE),YES_Writing_ELA[#Headers],0)))="INS",'Writing Logic'!$B$7,IF(INDEX(_xlfn.VSTACK(YES_Writing_ELA[#Data],YES_Writing_FLA[#Data]),MATCH($A589,_xlfn.VSTACK(YES_Writing_ELA[Student Number],YES_Writing_FLA[Student Number]),0),MATCH(VLOOKUP(G$7,'Writing Logic'!$J$7:$K$11,2,FALSE)&amp;" - Per "&amp;VLOOKUP($C$4,'Writing Logic'!$G$8:$H$14,2,FALSE),YES_Writing_ELA[#Headers],0))=0,"",INDEX(_xlfn.VSTACK(YES_Writing_ELA[#Data],YES_Writing_FLA[#Data]),MATCH($A589,_xlfn.VSTACK(YES_Writing_ELA[Student Number],YES_Writing_FLA[Student Number]),0),MATCH(VLOOKUP(G$7,'Writing Logic'!$J$7:$K$11,2,FALSE)&amp;" - Per "&amp;VLOOKUP($C$4,'Writing Logic'!$G$8:$H$14,2,FALSE),YES_Writing_ELA[#Headers],0)))),"")</f>
        <v/>
      </c>
      <c r="H589" s="223" t="str">
        <f>IFERROR(IF(IF(INDEX(_xlfn.VSTACK(YES_Writing_ELA[#Data],YES_Writing_FLA[#Data]),MATCH($A589,_xlfn.VSTACK(YES_Writing_ELA[Student Number],YES_Writing_FLA[Student Number]),0),MATCH(VLOOKUP(H$7,'Writing Logic'!$J$7:$K$11,2,FALSE)&amp;" - Per "&amp;VLOOKUP($C$4,'Writing Logic'!$G$8:$H$14,2,FALSE),YES_Writing_ELA[#Headers],0))=0,"",INDEX(_xlfn.VSTACK(YES_Writing_ELA[#Data],YES_Writing_FLA[#Data]),MATCH($A589,_xlfn.VSTACK(YES_Writing_ELA[Student Number],YES_Writing_FLA[Student Number]),0),MATCH(VLOOKUP(H$7,'Writing Logic'!$J$7:$K$11,2,FALSE)&amp;" - Per "&amp;VLOOKUP($C$4,'Writing Logic'!$G$8:$H$14,2,FALSE),YES_Writing_ELA[#Headers],0)))="INS",'Writing Logic'!$B$7,IF(INDEX(_xlfn.VSTACK(YES_Writing_ELA[#Data],YES_Writing_FLA[#Data]),MATCH($A589,_xlfn.VSTACK(YES_Writing_ELA[Student Number],YES_Writing_FLA[Student Number]),0),MATCH(VLOOKUP(H$7,'Writing Logic'!$J$7:$K$11,2,FALSE)&amp;" - Per "&amp;VLOOKUP($C$4,'Writing Logic'!$G$8:$H$14,2,FALSE),YES_Writing_ELA[#Headers],0))=0,"",INDEX(_xlfn.VSTACK(YES_Writing_ELA[#Data],YES_Writing_FLA[#Data]),MATCH($A589,_xlfn.VSTACK(YES_Writing_ELA[Student Number],YES_Writing_FLA[Student Number]),0),MATCH(VLOOKUP(H$7,'Writing Logic'!$J$7:$K$11,2,FALSE)&amp;" - Per "&amp;VLOOKUP($C$4,'Writing Logic'!$G$8:$H$14,2,FALSE),YES_Writing_ELA[#Headers],0)))),"")</f>
        <v/>
      </c>
      <c r="I589" s="224" t="str" cm="1">
        <f t="array" aca="1" ref="I589" ca="1">IFERROR(
IF($G$3="ELA",
IF(VLOOKUP($A589, YES_Reading_ELA[], COLUMN(INDIRECT("YES_Reading_ELA[Difference - Per "&amp;VLOOKUP($G$4, 'Reading Report Logic'!$A$2:$B$8, 2, FALSE)&amp;"]")), FALSE)="", "",
VLOOKUP($A589,YES_Reading_ELA[], COLUMN(INDIRECT("YES_Reading_ELA[Difference - Per "&amp;VLOOKUP($G$4,'Reading Report Logic'!$A$2:$B$8,2,FALSE)&amp;"]")), FALSE)),
IF($G$3="FLA",
IF(VLOOKUP($A589, YES_Reading_FLA[], COLUMN(INDIRECT("YES_Reading_FLA[Difference - Per "&amp;VLOOKUP($G$4,'Reading Report Logic'!$A$2:$B$8,2,FALSE)&amp;"]")),FALSE)="","",
VLOOKUP($A589,YES_Reading_FLA[],COLUMN(INDIRECT("YES_Reading_FLA[Difference - Per "&amp;VLOOKUP($G$4,'Reading Report Logic'!$A$2:$B$8,2,FALSE)&amp;"]")),FALSE)),
IF($G$3="Combined",
IFERROR(
IF(VLOOKUP($A589, YES_Reading_ELA[], COLUMN(INDIRECT("YES_Reading_ELA[Difference - Per "&amp;VLOOKUP($G$4, 'Reading Report Logic'!$A$2:$B$8,2,FALSE)&amp;"]")), FALSE)="", "",
VLOOKUP($A589,YES_Reading_ELA[],COLUMN(INDIRECT("YES_Reading_ELA[Difference - Per "&amp;VLOOKUP($G$4,'Reading Report Logic'!$A$2:$B$8,2,FALSE)&amp;"]")),FALSE)),
IF(VLOOKUP($A589, YES_Reading_FLA[], COLUMN(INDIRECT("YES_Reading_FLA[Difference - Per "&amp;VLOOKUP($G$4, 'Reading Report Logic'!$A$2:$B$8, 2, FALSE)&amp;"]")),FALSE)="", "", VLOOKUP($A589,YES_Reading_FLA[],COLUMN(INDIRECT("YES_Reading_FLA[Difference - Per "&amp;VLOOKUP($G$4, 'Reading Report Logic'!$A$2:$B$8, 2, FALSE)&amp;"]")),FALSE))),""))),"")</f>
        <v/>
      </c>
    </row>
    <row r="590" spans="1:9" x14ac:dyDescent="0.25">
      <c r="A590" s="137"/>
      <c r="B590" s="137" t="str">
        <f>IFERROR(INDEX(_xlfn.VSTACK(YES_Writing_ELA[#Data], YES_Writing_FLA[#Data]),MATCH($A590,_xlfn.VSTACK(YES_Writing_ELA[Student Number], YES_Writing_FLA[Student Number]),0),MATCH(B$7,YES_Writing_ELA[#Headers],0)),IFERROR(INDEX(_xlfn.VSTACK(YES_Reading_ELA[#Data], YES_Reading_FLA[#Data]),MATCH($A590,_xlfn.VSTACK(YES_Reading_ELA[Student Number], YES_Reading_FLA[Student Number]),0),MATCH(B$7,YES_Reading_ELA[#Headers],0)),""))</f>
        <v/>
      </c>
      <c r="C590" s="137" t="str">
        <f>IFERROR(INDEX(_xlfn.VSTACK(YES_Writing_ELA[#Data], YES_Writing_FLA[#Data]),MATCH($A590,_xlfn.VSTACK(YES_Writing_ELA[Student Number], YES_Writing_FLA[Student Number]),0),MATCH(C$7,YES_Writing_ELA[#Headers],0)),IFERROR(INDEX(_xlfn.VSTACK(YES_Reading_ELA[#Data], YES_Reading_FLA[#Data]),MATCH($A590,_xlfn.VSTACK(YES_Reading_ELA[Student Number], YES_Reading_FLA[Student Number]),0),MATCH(C$7,YES_Reading_ELA[#Headers],0)),""))</f>
        <v/>
      </c>
      <c r="D590" s="138" t="str">
        <f>IFERROR(IF(IF(INDEX(_xlfn.VSTACK(YES_Writing_ELA[#Data],YES_Writing_FLA[#Data]),MATCH($A590,_xlfn.VSTACK(YES_Writing_ELA[Student Number],YES_Writing_FLA[Student Number]),0),MATCH(VLOOKUP(D$7,'Writing Logic'!$J$7:$K$11,2,FALSE)&amp;" - Per "&amp;VLOOKUP($C$4,'Writing Logic'!$G$8:$H$14,2,FALSE),YES_Writing_ELA[#Headers],0))=0,"",INDEX(_xlfn.VSTACK(YES_Writing_ELA[#Data],YES_Writing_FLA[#Data]),MATCH($A590,_xlfn.VSTACK(YES_Writing_ELA[Student Number],YES_Writing_FLA[Student Number]),0),MATCH(VLOOKUP(D$7,'Writing Logic'!$J$7:$K$11,2,FALSE)&amp;" - Per "&amp;VLOOKUP($C$4,'Writing Logic'!$G$8:$H$14,2,FALSE),YES_Writing_ELA[#Headers],0)))="INS",'Writing Logic'!$B$7,IF(INDEX(_xlfn.VSTACK(YES_Writing_ELA[#Data],YES_Writing_FLA[#Data]),MATCH($A590,_xlfn.VSTACK(YES_Writing_ELA[Student Number],YES_Writing_FLA[Student Number]),0),MATCH(VLOOKUP(D$7,'Writing Logic'!$J$7:$K$11,2,FALSE)&amp;" - Per "&amp;VLOOKUP($C$4,'Writing Logic'!$G$8:$H$14,2,FALSE),YES_Writing_ELA[#Headers],0))=0,"",INDEX(_xlfn.VSTACK(YES_Writing_ELA[#Data],YES_Writing_FLA[#Data]),MATCH($A590,_xlfn.VSTACK(YES_Writing_ELA[Student Number],YES_Writing_FLA[Student Number]),0),MATCH(VLOOKUP(D$7,'Writing Logic'!$J$7:$K$11,2,FALSE)&amp;" - Per "&amp;VLOOKUP($C$4,'Writing Logic'!$G$8:$H$14,2,FALSE),YES_Writing_ELA[#Headers],0)))),"")</f>
        <v/>
      </c>
      <c r="E590" s="138" t="str">
        <f>IFERROR(IF(IF(INDEX(_xlfn.VSTACK(YES_Writing_ELA[#Data],YES_Writing_FLA[#Data]),MATCH($A590,_xlfn.VSTACK(YES_Writing_ELA[Student Number],YES_Writing_FLA[Student Number]),0),MATCH(VLOOKUP(E$7,'Writing Logic'!$J$7:$K$11,2,FALSE)&amp;" - Per "&amp;VLOOKUP($C$4,'Writing Logic'!$G$8:$H$14,2,FALSE),YES_Writing_ELA[#Headers],0))=0,"",INDEX(_xlfn.VSTACK(YES_Writing_ELA[#Data],YES_Writing_FLA[#Data]),MATCH($A590,_xlfn.VSTACK(YES_Writing_ELA[Student Number],YES_Writing_FLA[Student Number]),0),MATCH(VLOOKUP(E$7,'Writing Logic'!$J$7:$K$11,2,FALSE)&amp;" - Per "&amp;VLOOKUP($C$4,'Writing Logic'!$G$8:$H$14,2,FALSE),YES_Writing_ELA[#Headers],0)))="INS",'Writing Logic'!$B$7,IF(INDEX(_xlfn.VSTACK(YES_Writing_ELA[#Data],YES_Writing_FLA[#Data]),MATCH($A590,_xlfn.VSTACK(YES_Writing_ELA[Student Number],YES_Writing_FLA[Student Number]),0),MATCH(VLOOKUP(E$7,'Writing Logic'!$J$7:$K$11,2,FALSE)&amp;" - Per "&amp;VLOOKUP($C$4,'Writing Logic'!$G$8:$H$14,2,FALSE),YES_Writing_ELA[#Headers],0))=0,"",INDEX(_xlfn.VSTACK(YES_Writing_ELA[#Data],YES_Writing_FLA[#Data]),MATCH($A590,_xlfn.VSTACK(YES_Writing_ELA[Student Number],YES_Writing_FLA[Student Number]),0),MATCH(VLOOKUP(E$7,'Writing Logic'!$J$7:$K$11,2,FALSE)&amp;" - Per "&amp;VLOOKUP($C$4,'Writing Logic'!$G$8:$H$14,2,FALSE),YES_Writing_ELA[#Headers],0)))),"")</f>
        <v/>
      </c>
      <c r="F590" s="138" t="str">
        <f>IFERROR(IF(IF(INDEX(_xlfn.VSTACK(YES_Writing_ELA[#Data],YES_Writing_FLA[#Data]),MATCH($A590,_xlfn.VSTACK(YES_Writing_ELA[Student Number],YES_Writing_FLA[Student Number]),0),MATCH(VLOOKUP(F$7,'Writing Logic'!$J$7:$K$11,2,FALSE)&amp;" - Per "&amp;VLOOKUP($C$4,'Writing Logic'!$G$8:$H$14,2,FALSE),YES_Writing_ELA[#Headers],0))=0,"",INDEX(_xlfn.VSTACK(YES_Writing_ELA[#Data],YES_Writing_FLA[#Data]),MATCH($A590,_xlfn.VSTACK(YES_Writing_ELA[Student Number],YES_Writing_FLA[Student Number]),0),MATCH(VLOOKUP(F$7,'Writing Logic'!$J$7:$K$11,2,FALSE)&amp;" - Per "&amp;VLOOKUP($C$4,'Writing Logic'!$G$8:$H$14,2,FALSE),YES_Writing_ELA[#Headers],0)))="INS",'Writing Logic'!$B$7,IF(INDEX(_xlfn.VSTACK(YES_Writing_ELA[#Data],YES_Writing_FLA[#Data]),MATCH($A590,_xlfn.VSTACK(YES_Writing_ELA[Student Number],YES_Writing_FLA[Student Number]),0),MATCH(VLOOKUP(F$7,'Writing Logic'!$J$7:$K$11,2,FALSE)&amp;" - Per "&amp;VLOOKUP($C$4,'Writing Logic'!$G$8:$H$14,2,FALSE),YES_Writing_ELA[#Headers],0))=0,"",INDEX(_xlfn.VSTACK(YES_Writing_ELA[#Data],YES_Writing_FLA[#Data]),MATCH($A590,_xlfn.VSTACK(YES_Writing_ELA[Student Number],YES_Writing_FLA[Student Number]),0),MATCH(VLOOKUP(F$7,'Writing Logic'!$J$7:$K$11,2,FALSE)&amp;" - Per "&amp;VLOOKUP($C$4,'Writing Logic'!$G$8:$H$14,2,FALSE),YES_Writing_ELA[#Headers],0)))),"")</f>
        <v/>
      </c>
      <c r="G590" s="138" t="str">
        <f>IFERROR(IF(IF(INDEX(_xlfn.VSTACK(YES_Writing_ELA[#Data],YES_Writing_FLA[#Data]),MATCH($A590,_xlfn.VSTACK(YES_Writing_ELA[Student Number],YES_Writing_FLA[Student Number]),0),MATCH(VLOOKUP(G$7,'Writing Logic'!$J$7:$K$11,2,FALSE)&amp;" - Per "&amp;VLOOKUP($C$4,'Writing Logic'!$G$8:$H$14,2,FALSE),YES_Writing_ELA[#Headers],0))=0,"",INDEX(_xlfn.VSTACK(YES_Writing_ELA[#Data],YES_Writing_FLA[#Data]),MATCH($A590,_xlfn.VSTACK(YES_Writing_ELA[Student Number],YES_Writing_FLA[Student Number]),0),MATCH(VLOOKUP(G$7,'Writing Logic'!$J$7:$K$11,2,FALSE)&amp;" - Per "&amp;VLOOKUP($C$4,'Writing Logic'!$G$8:$H$14,2,FALSE),YES_Writing_ELA[#Headers],0)))="INS",'Writing Logic'!$B$7,IF(INDEX(_xlfn.VSTACK(YES_Writing_ELA[#Data],YES_Writing_FLA[#Data]),MATCH($A590,_xlfn.VSTACK(YES_Writing_ELA[Student Number],YES_Writing_FLA[Student Number]),0),MATCH(VLOOKUP(G$7,'Writing Logic'!$J$7:$K$11,2,FALSE)&amp;" - Per "&amp;VLOOKUP($C$4,'Writing Logic'!$G$8:$H$14,2,FALSE),YES_Writing_ELA[#Headers],0))=0,"",INDEX(_xlfn.VSTACK(YES_Writing_ELA[#Data],YES_Writing_FLA[#Data]),MATCH($A590,_xlfn.VSTACK(YES_Writing_ELA[Student Number],YES_Writing_FLA[Student Number]),0),MATCH(VLOOKUP(G$7,'Writing Logic'!$J$7:$K$11,2,FALSE)&amp;" - Per "&amp;VLOOKUP($C$4,'Writing Logic'!$G$8:$H$14,2,FALSE),YES_Writing_ELA[#Headers],0)))),"")</f>
        <v/>
      </c>
      <c r="H590" s="223" t="str">
        <f>IFERROR(IF(IF(INDEX(_xlfn.VSTACK(YES_Writing_ELA[#Data],YES_Writing_FLA[#Data]),MATCH($A590,_xlfn.VSTACK(YES_Writing_ELA[Student Number],YES_Writing_FLA[Student Number]),0),MATCH(VLOOKUP(H$7,'Writing Logic'!$J$7:$K$11,2,FALSE)&amp;" - Per "&amp;VLOOKUP($C$4,'Writing Logic'!$G$8:$H$14,2,FALSE),YES_Writing_ELA[#Headers],0))=0,"",INDEX(_xlfn.VSTACK(YES_Writing_ELA[#Data],YES_Writing_FLA[#Data]),MATCH($A590,_xlfn.VSTACK(YES_Writing_ELA[Student Number],YES_Writing_FLA[Student Number]),0),MATCH(VLOOKUP(H$7,'Writing Logic'!$J$7:$K$11,2,FALSE)&amp;" - Per "&amp;VLOOKUP($C$4,'Writing Logic'!$G$8:$H$14,2,FALSE),YES_Writing_ELA[#Headers],0)))="INS",'Writing Logic'!$B$7,IF(INDEX(_xlfn.VSTACK(YES_Writing_ELA[#Data],YES_Writing_FLA[#Data]),MATCH($A590,_xlfn.VSTACK(YES_Writing_ELA[Student Number],YES_Writing_FLA[Student Number]),0),MATCH(VLOOKUP(H$7,'Writing Logic'!$J$7:$K$11,2,FALSE)&amp;" - Per "&amp;VLOOKUP($C$4,'Writing Logic'!$G$8:$H$14,2,FALSE),YES_Writing_ELA[#Headers],0))=0,"",INDEX(_xlfn.VSTACK(YES_Writing_ELA[#Data],YES_Writing_FLA[#Data]),MATCH($A590,_xlfn.VSTACK(YES_Writing_ELA[Student Number],YES_Writing_FLA[Student Number]),0),MATCH(VLOOKUP(H$7,'Writing Logic'!$J$7:$K$11,2,FALSE)&amp;" - Per "&amp;VLOOKUP($C$4,'Writing Logic'!$G$8:$H$14,2,FALSE),YES_Writing_ELA[#Headers],0)))),"")</f>
        <v/>
      </c>
      <c r="I590" s="224" t="str" cm="1">
        <f t="array" aca="1" ref="I590" ca="1">IFERROR(
IF($G$3="ELA",
IF(VLOOKUP($A590, YES_Reading_ELA[], COLUMN(INDIRECT("YES_Reading_ELA[Difference - Per "&amp;VLOOKUP($G$4, 'Reading Report Logic'!$A$2:$B$8, 2, FALSE)&amp;"]")), FALSE)="", "",
VLOOKUP($A590,YES_Reading_ELA[], COLUMN(INDIRECT("YES_Reading_ELA[Difference - Per "&amp;VLOOKUP($G$4,'Reading Report Logic'!$A$2:$B$8,2,FALSE)&amp;"]")), FALSE)),
IF($G$3="FLA",
IF(VLOOKUP($A590, YES_Reading_FLA[], COLUMN(INDIRECT("YES_Reading_FLA[Difference - Per "&amp;VLOOKUP($G$4,'Reading Report Logic'!$A$2:$B$8,2,FALSE)&amp;"]")),FALSE)="","",
VLOOKUP($A590,YES_Reading_FLA[],COLUMN(INDIRECT("YES_Reading_FLA[Difference - Per "&amp;VLOOKUP($G$4,'Reading Report Logic'!$A$2:$B$8,2,FALSE)&amp;"]")),FALSE)),
IF($G$3="Combined",
IFERROR(
IF(VLOOKUP($A590, YES_Reading_ELA[], COLUMN(INDIRECT("YES_Reading_ELA[Difference - Per "&amp;VLOOKUP($G$4, 'Reading Report Logic'!$A$2:$B$8,2,FALSE)&amp;"]")), FALSE)="", "",
VLOOKUP($A590,YES_Reading_ELA[],COLUMN(INDIRECT("YES_Reading_ELA[Difference - Per "&amp;VLOOKUP($G$4,'Reading Report Logic'!$A$2:$B$8,2,FALSE)&amp;"]")),FALSE)),
IF(VLOOKUP($A590, YES_Reading_FLA[], COLUMN(INDIRECT("YES_Reading_FLA[Difference - Per "&amp;VLOOKUP($G$4, 'Reading Report Logic'!$A$2:$B$8, 2, FALSE)&amp;"]")),FALSE)="", "", VLOOKUP($A590,YES_Reading_FLA[],COLUMN(INDIRECT("YES_Reading_FLA[Difference - Per "&amp;VLOOKUP($G$4, 'Reading Report Logic'!$A$2:$B$8, 2, FALSE)&amp;"]")),FALSE))),""))),"")</f>
        <v/>
      </c>
    </row>
    <row r="591" spans="1:9" x14ac:dyDescent="0.25">
      <c r="A591" s="137"/>
      <c r="B591" s="137" t="str">
        <f>IFERROR(INDEX(_xlfn.VSTACK(YES_Writing_ELA[#Data], YES_Writing_FLA[#Data]),MATCH($A591,_xlfn.VSTACK(YES_Writing_ELA[Student Number], YES_Writing_FLA[Student Number]),0),MATCH(B$7,YES_Writing_ELA[#Headers],0)),IFERROR(INDEX(_xlfn.VSTACK(YES_Reading_ELA[#Data], YES_Reading_FLA[#Data]),MATCH($A591,_xlfn.VSTACK(YES_Reading_ELA[Student Number], YES_Reading_FLA[Student Number]),0),MATCH(B$7,YES_Reading_ELA[#Headers],0)),""))</f>
        <v/>
      </c>
      <c r="C591" s="137" t="str">
        <f>IFERROR(INDEX(_xlfn.VSTACK(YES_Writing_ELA[#Data], YES_Writing_FLA[#Data]),MATCH($A591,_xlfn.VSTACK(YES_Writing_ELA[Student Number], YES_Writing_FLA[Student Number]),0),MATCH(C$7,YES_Writing_ELA[#Headers],0)),IFERROR(INDEX(_xlfn.VSTACK(YES_Reading_ELA[#Data], YES_Reading_FLA[#Data]),MATCH($A591,_xlfn.VSTACK(YES_Reading_ELA[Student Number], YES_Reading_FLA[Student Number]),0),MATCH(C$7,YES_Reading_ELA[#Headers],0)),""))</f>
        <v/>
      </c>
      <c r="D591" s="138" t="str">
        <f>IFERROR(IF(IF(INDEX(_xlfn.VSTACK(YES_Writing_ELA[#Data],YES_Writing_FLA[#Data]),MATCH($A591,_xlfn.VSTACK(YES_Writing_ELA[Student Number],YES_Writing_FLA[Student Number]),0),MATCH(VLOOKUP(D$7,'Writing Logic'!$J$7:$K$11,2,FALSE)&amp;" - Per "&amp;VLOOKUP($C$4,'Writing Logic'!$G$8:$H$14,2,FALSE),YES_Writing_ELA[#Headers],0))=0,"",INDEX(_xlfn.VSTACK(YES_Writing_ELA[#Data],YES_Writing_FLA[#Data]),MATCH($A591,_xlfn.VSTACK(YES_Writing_ELA[Student Number],YES_Writing_FLA[Student Number]),0),MATCH(VLOOKUP(D$7,'Writing Logic'!$J$7:$K$11,2,FALSE)&amp;" - Per "&amp;VLOOKUP($C$4,'Writing Logic'!$G$8:$H$14,2,FALSE),YES_Writing_ELA[#Headers],0)))="INS",'Writing Logic'!$B$7,IF(INDEX(_xlfn.VSTACK(YES_Writing_ELA[#Data],YES_Writing_FLA[#Data]),MATCH($A591,_xlfn.VSTACK(YES_Writing_ELA[Student Number],YES_Writing_FLA[Student Number]),0),MATCH(VLOOKUP(D$7,'Writing Logic'!$J$7:$K$11,2,FALSE)&amp;" - Per "&amp;VLOOKUP($C$4,'Writing Logic'!$G$8:$H$14,2,FALSE),YES_Writing_ELA[#Headers],0))=0,"",INDEX(_xlfn.VSTACK(YES_Writing_ELA[#Data],YES_Writing_FLA[#Data]),MATCH($A591,_xlfn.VSTACK(YES_Writing_ELA[Student Number],YES_Writing_FLA[Student Number]),0),MATCH(VLOOKUP(D$7,'Writing Logic'!$J$7:$K$11,2,FALSE)&amp;" - Per "&amp;VLOOKUP($C$4,'Writing Logic'!$G$8:$H$14,2,FALSE),YES_Writing_ELA[#Headers],0)))),"")</f>
        <v/>
      </c>
      <c r="E591" s="138" t="str">
        <f>IFERROR(IF(IF(INDEX(_xlfn.VSTACK(YES_Writing_ELA[#Data],YES_Writing_FLA[#Data]),MATCH($A591,_xlfn.VSTACK(YES_Writing_ELA[Student Number],YES_Writing_FLA[Student Number]),0),MATCH(VLOOKUP(E$7,'Writing Logic'!$J$7:$K$11,2,FALSE)&amp;" - Per "&amp;VLOOKUP($C$4,'Writing Logic'!$G$8:$H$14,2,FALSE),YES_Writing_ELA[#Headers],0))=0,"",INDEX(_xlfn.VSTACK(YES_Writing_ELA[#Data],YES_Writing_FLA[#Data]),MATCH($A591,_xlfn.VSTACK(YES_Writing_ELA[Student Number],YES_Writing_FLA[Student Number]),0),MATCH(VLOOKUP(E$7,'Writing Logic'!$J$7:$K$11,2,FALSE)&amp;" - Per "&amp;VLOOKUP($C$4,'Writing Logic'!$G$8:$H$14,2,FALSE),YES_Writing_ELA[#Headers],0)))="INS",'Writing Logic'!$B$7,IF(INDEX(_xlfn.VSTACK(YES_Writing_ELA[#Data],YES_Writing_FLA[#Data]),MATCH($A591,_xlfn.VSTACK(YES_Writing_ELA[Student Number],YES_Writing_FLA[Student Number]),0),MATCH(VLOOKUP(E$7,'Writing Logic'!$J$7:$K$11,2,FALSE)&amp;" - Per "&amp;VLOOKUP($C$4,'Writing Logic'!$G$8:$H$14,2,FALSE),YES_Writing_ELA[#Headers],0))=0,"",INDEX(_xlfn.VSTACK(YES_Writing_ELA[#Data],YES_Writing_FLA[#Data]),MATCH($A591,_xlfn.VSTACK(YES_Writing_ELA[Student Number],YES_Writing_FLA[Student Number]),0),MATCH(VLOOKUP(E$7,'Writing Logic'!$J$7:$K$11,2,FALSE)&amp;" - Per "&amp;VLOOKUP($C$4,'Writing Logic'!$G$8:$H$14,2,FALSE),YES_Writing_ELA[#Headers],0)))),"")</f>
        <v/>
      </c>
      <c r="F591" s="138" t="str">
        <f>IFERROR(IF(IF(INDEX(_xlfn.VSTACK(YES_Writing_ELA[#Data],YES_Writing_FLA[#Data]),MATCH($A591,_xlfn.VSTACK(YES_Writing_ELA[Student Number],YES_Writing_FLA[Student Number]),0),MATCH(VLOOKUP(F$7,'Writing Logic'!$J$7:$K$11,2,FALSE)&amp;" - Per "&amp;VLOOKUP($C$4,'Writing Logic'!$G$8:$H$14,2,FALSE),YES_Writing_ELA[#Headers],0))=0,"",INDEX(_xlfn.VSTACK(YES_Writing_ELA[#Data],YES_Writing_FLA[#Data]),MATCH($A591,_xlfn.VSTACK(YES_Writing_ELA[Student Number],YES_Writing_FLA[Student Number]),0),MATCH(VLOOKUP(F$7,'Writing Logic'!$J$7:$K$11,2,FALSE)&amp;" - Per "&amp;VLOOKUP($C$4,'Writing Logic'!$G$8:$H$14,2,FALSE),YES_Writing_ELA[#Headers],0)))="INS",'Writing Logic'!$B$7,IF(INDEX(_xlfn.VSTACK(YES_Writing_ELA[#Data],YES_Writing_FLA[#Data]),MATCH($A591,_xlfn.VSTACK(YES_Writing_ELA[Student Number],YES_Writing_FLA[Student Number]),0),MATCH(VLOOKUP(F$7,'Writing Logic'!$J$7:$K$11,2,FALSE)&amp;" - Per "&amp;VLOOKUP($C$4,'Writing Logic'!$G$8:$H$14,2,FALSE),YES_Writing_ELA[#Headers],0))=0,"",INDEX(_xlfn.VSTACK(YES_Writing_ELA[#Data],YES_Writing_FLA[#Data]),MATCH($A591,_xlfn.VSTACK(YES_Writing_ELA[Student Number],YES_Writing_FLA[Student Number]),0),MATCH(VLOOKUP(F$7,'Writing Logic'!$J$7:$K$11,2,FALSE)&amp;" - Per "&amp;VLOOKUP($C$4,'Writing Logic'!$G$8:$H$14,2,FALSE),YES_Writing_ELA[#Headers],0)))),"")</f>
        <v/>
      </c>
      <c r="G591" s="138" t="str">
        <f>IFERROR(IF(IF(INDEX(_xlfn.VSTACK(YES_Writing_ELA[#Data],YES_Writing_FLA[#Data]),MATCH($A591,_xlfn.VSTACK(YES_Writing_ELA[Student Number],YES_Writing_FLA[Student Number]),0),MATCH(VLOOKUP(G$7,'Writing Logic'!$J$7:$K$11,2,FALSE)&amp;" - Per "&amp;VLOOKUP($C$4,'Writing Logic'!$G$8:$H$14,2,FALSE),YES_Writing_ELA[#Headers],0))=0,"",INDEX(_xlfn.VSTACK(YES_Writing_ELA[#Data],YES_Writing_FLA[#Data]),MATCH($A591,_xlfn.VSTACK(YES_Writing_ELA[Student Number],YES_Writing_FLA[Student Number]),0),MATCH(VLOOKUP(G$7,'Writing Logic'!$J$7:$K$11,2,FALSE)&amp;" - Per "&amp;VLOOKUP($C$4,'Writing Logic'!$G$8:$H$14,2,FALSE),YES_Writing_ELA[#Headers],0)))="INS",'Writing Logic'!$B$7,IF(INDEX(_xlfn.VSTACK(YES_Writing_ELA[#Data],YES_Writing_FLA[#Data]),MATCH($A591,_xlfn.VSTACK(YES_Writing_ELA[Student Number],YES_Writing_FLA[Student Number]),0),MATCH(VLOOKUP(G$7,'Writing Logic'!$J$7:$K$11,2,FALSE)&amp;" - Per "&amp;VLOOKUP($C$4,'Writing Logic'!$G$8:$H$14,2,FALSE),YES_Writing_ELA[#Headers],0))=0,"",INDEX(_xlfn.VSTACK(YES_Writing_ELA[#Data],YES_Writing_FLA[#Data]),MATCH($A591,_xlfn.VSTACK(YES_Writing_ELA[Student Number],YES_Writing_FLA[Student Number]),0),MATCH(VLOOKUP(G$7,'Writing Logic'!$J$7:$K$11,2,FALSE)&amp;" - Per "&amp;VLOOKUP($C$4,'Writing Logic'!$G$8:$H$14,2,FALSE),YES_Writing_ELA[#Headers],0)))),"")</f>
        <v/>
      </c>
      <c r="H591" s="223" t="str">
        <f>IFERROR(IF(IF(INDEX(_xlfn.VSTACK(YES_Writing_ELA[#Data],YES_Writing_FLA[#Data]),MATCH($A591,_xlfn.VSTACK(YES_Writing_ELA[Student Number],YES_Writing_FLA[Student Number]),0),MATCH(VLOOKUP(H$7,'Writing Logic'!$J$7:$K$11,2,FALSE)&amp;" - Per "&amp;VLOOKUP($C$4,'Writing Logic'!$G$8:$H$14,2,FALSE),YES_Writing_ELA[#Headers],0))=0,"",INDEX(_xlfn.VSTACK(YES_Writing_ELA[#Data],YES_Writing_FLA[#Data]),MATCH($A591,_xlfn.VSTACK(YES_Writing_ELA[Student Number],YES_Writing_FLA[Student Number]),0),MATCH(VLOOKUP(H$7,'Writing Logic'!$J$7:$K$11,2,FALSE)&amp;" - Per "&amp;VLOOKUP($C$4,'Writing Logic'!$G$8:$H$14,2,FALSE),YES_Writing_ELA[#Headers],0)))="INS",'Writing Logic'!$B$7,IF(INDEX(_xlfn.VSTACK(YES_Writing_ELA[#Data],YES_Writing_FLA[#Data]),MATCH($A591,_xlfn.VSTACK(YES_Writing_ELA[Student Number],YES_Writing_FLA[Student Number]),0),MATCH(VLOOKUP(H$7,'Writing Logic'!$J$7:$K$11,2,FALSE)&amp;" - Per "&amp;VLOOKUP($C$4,'Writing Logic'!$G$8:$H$14,2,FALSE),YES_Writing_ELA[#Headers],0))=0,"",INDEX(_xlfn.VSTACK(YES_Writing_ELA[#Data],YES_Writing_FLA[#Data]),MATCH($A591,_xlfn.VSTACK(YES_Writing_ELA[Student Number],YES_Writing_FLA[Student Number]),0),MATCH(VLOOKUP(H$7,'Writing Logic'!$J$7:$K$11,2,FALSE)&amp;" - Per "&amp;VLOOKUP($C$4,'Writing Logic'!$G$8:$H$14,2,FALSE),YES_Writing_ELA[#Headers],0)))),"")</f>
        <v/>
      </c>
      <c r="I591" s="224" t="str" cm="1">
        <f t="array" aca="1" ref="I591" ca="1">IFERROR(
IF($G$3="ELA",
IF(VLOOKUP($A591, YES_Reading_ELA[], COLUMN(INDIRECT("YES_Reading_ELA[Difference - Per "&amp;VLOOKUP($G$4, 'Reading Report Logic'!$A$2:$B$8, 2, FALSE)&amp;"]")), FALSE)="", "",
VLOOKUP($A591,YES_Reading_ELA[], COLUMN(INDIRECT("YES_Reading_ELA[Difference - Per "&amp;VLOOKUP($G$4,'Reading Report Logic'!$A$2:$B$8,2,FALSE)&amp;"]")), FALSE)),
IF($G$3="FLA",
IF(VLOOKUP($A591, YES_Reading_FLA[], COLUMN(INDIRECT("YES_Reading_FLA[Difference - Per "&amp;VLOOKUP($G$4,'Reading Report Logic'!$A$2:$B$8,2,FALSE)&amp;"]")),FALSE)="","",
VLOOKUP($A591,YES_Reading_FLA[],COLUMN(INDIRECT("YES_Reading_FLA[Difference - Per "&amp;VLOOKUP($G$4,'Reading Report Logic'!$A$2:$B$8,2,FALSE)&amp;"]")),FALSE)),
IF($G$3="Combined",
IFERROR(
IF(VLOOKUP($A591, YES_Reading_ELA[], COLUMN(INDIRECT("YES_Reading_ELA[Difference - Per "&amp;VLOOKUP($G$4, 'Reading Report Logic'!$A$2:$B$8,2,FALSE)&amp;"]")), FALSE)="", "",
VLOOKUP($A591,YES_Reading_ELA[],COLUMN(INDIRECT("YES_Reading_ELA[Difference - Per "&amp;VLOOKUP($G$4,'Reading Report Logic'!$A$2:$B$8,2,FALSE)&amp;"]")),FALSE)),
IF(VLOOKUP($A591, YES_Reading_FLA[], COLUMN(INDIRECT("YES_Reading_FLA[Difference - Per "&amp;VLOOKUP($G$4, 'Reading Report Logic'!$A$2:$B$8, 2, FALSE)&amp;"]")),FALSE)="", "", VLOOKUP($A591,YES_Reading_FLA[],COLUMN(INDIRECT("YES_Reading_FLA[Difference - Per "&amp;VLOOKUP($G$4, 'Reading Report Logic'!$A$2:$B$8, 2, FALSE)&amp;"]")),FALSE))),""))),"")</f>
        <v/>
      </c>
    </row>
    <row r="592" spans="1:9" x14ac:dyDescent="0.25">
      <c r="A592" s="137"/>
      <c r="B592" s="137" t="str">
        <f>IFERROR(INDEX(_xlfn.VSTACK(YES_Writing_ELA[#Data], YES_Writing_FLA[#Data]),MATCH($A592,_xlfn.VSTACK(YES_Writing_ELA[Student Number], YES_Writing_FLA[Student Number]),0),MATCH(B$7,YES_Writing_ELA[#Headers],0)),IFERROR(INDEX(_xlfn.VSTACK(YES_Reading_ELA[#Data], YES_Reading_FLA[#Data]),MATCH($A592,_xlfn.VSTACK(YES_Reading_ELA[Student Number], YES_Reading_FLA[Student Number]),0),MATCH(B$7,YES_Reading_ELA[#Headers],0)),""))</f>
        <v/>
      </c>
      <c r="C592" s="137" t="str">
        <f>IFERROR(INDEX(_xlfn.VSTACK(YES_Writing_ELA[#Data], YES_Writing_FLA[#Data]),MATCH($A592,_xlfn.VSTACK(YES_Writing_ELA[Student Number], YES_Writing_FLA[Student Number]),0),MATCH(C$7,YES_Writing_ELA[#Headers],0)),IFERROR(INDEX(_xlfn.VSTACK(YES_Reading_ELA[#Data], YES_Reading_FLA[#Data]),MATCH($A592,_xlfn.VSTACK(YES_Reading_ELA[Student Number], YES_Reading_FLA[Student Number]),0),MATCH(C$7,YES_Reading_ELA[#Headers],0)),""))</f>
        <v/>
      </c>
      <c r="D592" s="138" t="str">
        <f>IFERROR(IF(IF(INDEX(_xlfn.VSTACK(YES_Writing_ELA[#Data],YES_Writing_FLA[#Data]),MATCH($A592,_xlfn.VSTACK(YES_Writing_ELA[Student Number],YES_Writing_FLA[Student Number]),0),MATCH(VLOOKUP(D$7,'Writing Logic'!$J$7:$K$11,2,FALSE)&amp;" - Per "&amp;VLOOKUP($C$4,'Writing Logic'!$G$8:$H$14,2,FALSE),YES_Writing_ELA[#Headers],0))=0,"",INDEX(_xlfn.VSTACK(YES_Writing_ELA[#Data],YES_Writing_FLA[#Data]),MATCH($A592,_xlfn.VSTACK(YES_Writing_ELA[Student Number],YES_Writing_FLA[Student Number]),0),MATCH(VLOOKUP(D$7,'Writing Logic'!$J$7:$K$11,2,FALSE)&amp;" - Per "&amp;VLOOKUP($C$4,'Writing Logic'!$G$8:$H$14,2,FALSE),YES_Writing_ELA[#Headers],0)))="INS",'Writing Logic'!$B$7,IF(INDEX(_xlfn.VSTACK(YES_Writing_ELA[#Data],YES_Writing_FLA[#Data]),MATCH($A592,_xlfn.VSTACK(YES_Writing_ELA[Student Number],YES_Writing_FLA[Student Number]),0),MATCH(VLOOKUP(D$7,'Writing Logic'!$J$7:$K$11,2,FALSE)&amp;" - Per "&amp;VLOOKUP($C$4,'Writing Logic'!$G$8:$H$14,2,FALSE),YES_Writing_ELA[#Headers],0))=0,"",INDEX(_xlfn.VSTACK(YES_Writing_ELA[#Data],YES_Writing_FLA[#Data]),MATCH($A592,_xlfn.VSTACK(YES_Writing_ELA[Student Number],YES_Writing_FLA[Student Number]),0),MATCH(VLOOKUP(D$7,'Writing Logic'!$J$7:$K$11,2,FALSE)&amp;" - Per "&amp;VLOOKUP($C$4,'Writing Logic'!$G$8:$H$14,2,FALSE),YES_Writing_ELA[#Headers],0)))),"")</f>
        <v/>
      </c>
      <c r="E592" s="138" t="str">
        <f>IFERROR(IF(IF(INDEX(_xlfn.VSTACK(YES_Writing_ELA[#Data],YES_Writing_FLA[#Data]),MATCH($A592,_xlfn.VSTACK(YES_Writing_ELA[Student Number],YES_Writing_FLA[Student Number]),0),MATCH(VLOOKUP(E$7,'Writing Logic'!$J$7:$K$11,2,FALSE)&amp;" - Per "&amp;VLOOKUP($C$4,'Writing Logic'!$G$8:$H$14,2,FALSE),YES_Writing_ELA[#Headers],0))=0,"",INDEX(_xlfn.VSTACK(YES_Writing_ELA[#Data],YES_Writing_FLA[#Data]),MATCH($A592,_xlfn.VSTACK(YES_Writing_ELA[Student Number],YES_Writing_FLA[Student Number]),0),MATCH(VLOOKUP(E$7,'Writing Logic'!$J$7:$K$11,2,FALSE)&amp;" - Per "&amp;VLOOKUP($C$4,'Writing Logic'!$G$8:$H$14,2,FALSE),YES_Writing_ELA[#Headers],0)))="INS",'Writing Logic'!$B$7,IF(INDEX(_xlfn.VSTACK(YES_Writing_ELA[#Data],YES_Writing_FLA[#Data]),MATCH($A592,_xlfn.VSTACK(YES_Writing_ELA[Student Number],YES_Writing_FLA[Student Number]),0),MATCH(VLOOKUP(E$7,'Writing Logic'!$J$7:$K$11,2,FALSE)&amp;" - Per "&amp;VLOOKUP($C$4,'Writing Logic'!$G$8:$H$14,2,FALSE),YES_Writing_ELA[#Headers],0))=0,"",INDEX(_xlfn.VSTACK(YES_Writing_ELA[#Data],YES_Writing_FLA[#Data]),MATCH($A592,_xlfn.VSTACK(YES_Writing_ELA[Student Number],YES_Writing_FLA[Student Number]),0),MATCH(VLOOKUP(E$7,'Writing Logic'!$J$7:$K$11,2,FALSE)&amp;" - Per "&amp;VLOOKUP($C$4,'Writing Logic'!$G$8:$H$14,2,FALSE),YES_Writing_ELA[#Headers],0)))),"")</f>
        <v/>
      </c>
      <c r="F592" s="138" t="str">
        <f>IFERROR(IF(IF(INDEX(_xlfn.VSTACK(YES_Writing_ELA[#Data],YES_Writing_FLA[#Data]),MATCH($A592,_xlfn.VSTACK(YES_Writing_ELA[Student Number],YES_Writing_FLA[Student Number]),0),MATCH(VLOOKUP(F$7,'Writing Logic'!$J$7:$K$11,2,FALSE)&amp;" - Per "&amp;VLOOKUP($C$4,'Writing Logic'!$G$8:$H$14,2,FALSE),YES_Writing_ELA[#Headers],0))=0,"",INDEX(_xlfn.VSTACK(YES_Writing_ELA[#Data],YES_Writing_FLA[#Data]),MATCH($A592,_xlfn.VSTACK(YES_Writing_ELA[Student Number],YES_Writing_FLA[Student Number]),0),MATCH(VLOOKUP(F$7,'Writing Logic'!$J$7:$K$11,2,FALSE)&amp;" - Per "&amp;VLOOKUP($C$4,'Writing Logic'!$G$8:$H$14,2,FALSE),YES_Writing_ELA[#Headers],0)))="INS",'Writing Logic'!$B$7,IF(INDEX(_xlfn.VSTACK(YES_Writing_ELA[#Data],YES_Writing_FLA[#Data]),MATCH($A592,_xlfn.VSTACK(YES_Writing_ELA[Student Number],YES_Writing_FLA[Student Number]),0),MATCH(VLOOKUP(F$7,'Writing Logic'!$J$7:$K$11,2,FALSE)&amp;" - Per "&amp;VLOOKUP($C$4,'Writing Logic'!$G$8:$H$14,2,FALSE),YES_Writing_ELA[#Headers],0))=0,"",INDEX(_xlfn.VSTACK(YES_Writing_ELA[#Data],YES_Writing_FLA[#Data]),MATCH($A592,_xlfn.VSTACK(YES_Writing_ELA[Student Number],YES_Writing_FLA[Student Number]),0),MATCH(VLOOKUP(F$7,'Writing Logic'!$J$7:$K$11,2,FALSE)&amp;" - Per "&amp;VLOOKUP($C$4,'Writing Logic'!$G$8:$H$14,2,FALSE),YES_Writing_ELA[#Headers],0)))),"")</f>
        <v/>
      </c>
      <c r="G592" s="138" t="str">
        <f>IFERROR(IF(IF(INDEX(_xlfn.VSTACK(YES_Writing_ELA[#Data],YES_Writing_FLA[#Data]),MATCH($A592,_xlfn.VSTACK(YES_Writing_ELA[Student Number],YES_Writing_FLA[Student Number]),0),MATCH(VLOOKUP(G$7,'Writing Logic'!$J$7:$K$11,2,FALSE)&amp;" - Per "&amp;VLOOKUP($C$4,'Writing Logic'!$G$8:$H$14,2,FALSE),YES_Writing_ELA[#Headers],0))=0,"",INDEX(_xlfn.VSTACK(YES_Writing_ELA[#Data],YES_Writing_FLA[#Data]),MATCH($A592,_xlfn.VSTACK(YES_Writing_ELA[Student Number],YES_Writing_FLA[Student Number]),0),MATCH(VLOOKUP(G$7,'Writing Logic'!$J$7:$K$11,2,FALSE)&amp;" - Per "&amp;VLOOKUP($C$4,'Writing Logic'!$G$8:$H$14,2,FALSE),YES_Writing_ELA[#Headers],0)))="INS",'Writing Logic'!$B$7,IF(INDEX(_xlfn.VSTACK(YES_Writing_ELA[#Data],YES_Writing_FLA[#Data]),MATCH($A592,_xlfn.VSTACK(YES_Writing_ELA[Student Number],YES_Writing_FLA[Student Number]),0),MATCH(VLOOKUP(G$7,'Writing Logic'!$J$7:$K$11,2,FALSE)&amp;" - Per "&amp;VLOOKUP($C$4,'Writing Logic'!$G$8:$H$14,2,FALSE),YES_Writing_ELA[#Headers],0))=0,"",INDEX(_xlfn.VSTACK(YES_Writing_ELA[#Data],YES_Writing_FLA[#Data]),MATCH($A592,_xlfn.VSTACK(YES_Writing_ELA[Student Number],YES_Writing_FLA[Student Number]),0),MATCH(VLOOKUP(G$7,'Writing Logic'!$J$7:$K$11,2,FALSE)&amp;" - Per "&amp;VLOOKUP($C$4,'Writing Logic'!$G$8:$H$14,2,FALSE),YES_Writing_ELA[#Headers],0)))),"")</f>
        <v/>
      </c>
      <c r="H592" s="223" t="str">
        <f>IFERROR(IF(IF(INDEX(_xlfn.VSTACK(YES_Writing_ELA[#Data],YES_Writing_FLA[#Data]),MATCH($A592,_xlfn.VSTACK(YES_Writing_ELA[Student Number],YES_Writing_FLA[Student Number]),0),MATCH(VLOOKUP(H$7,'Writing Logic'!$J$7:$K$11,2,FALSE)&amp;" - Per "&amp;VLOOKUP($C$4,'Writing Logic'!$G$8:$H$14,2,FALSE),YES_Writing_ELA[#Headers],0))=0,"",INDEX(_xlfn.VSTACK(YES_Writing_ELA[#Data],YES_Writing_FLA[#Data]),MATCH($A592,_xlfn.VSTACK(YES_Writing_ELA[Student Number],YES_Writing_FLA[Student Number]),0),MATCH(VLOOKUP(H$7,'Writing Logic'!$J$7:$K$11,2,FALSE)&amp;" - Per "&amp;VLOOKUP($C$4,'Writing Logic'!$G$8:$H$14,2,FALSE),YES_Writing_ELA[#Headers],0)))="INS",'Writing Logic'!$B$7,IF(INDEX(_xlfn.VSTACK(YES_Writing_ELA[#Data],YES_Writing_FLA[#Data]),MATCH($A592,_xlfn.VSTACK(YES_Writing_ELA[Student Number],YES_Writing_FLA[Student Number]),0),MATCH(VLOOKUP(H$7,'Writing Logic'!$J$7:$K$11,2,FALSE)&amp;" - Per "&amp;VLOOKUP($C$4,'Writing Logic'!$G$8:$H$14,2,FALSE),YES_Writing_ELA[#Headers],0))=0,"",INDEX(_xlfn.VSTACK(YES_Writing_ELA[#Data],YES_Writing_FLA[#Data]),MATCH($A592,_xlfn.VSTACK(YES_Writing_ELA[Student Number],YES_Writing_FLA[Student Number]),0),MATCH(VLOOKUP(H$7,'Writing Logic'!$J$7:$K$11,2,FALSE)&amp;" - Per "&amp;VLOOKUP($C$4,'Writing Logic'!$G$8:$H$14,2,FALSE),YES_Writing_ELA[#Headers],0)))),"")</f>
        <v/>
      </c>
      <c r="I592" s="224" t="str" cm="1">
        <f t="array" aca="1" ref="I592" ca="1">IFERROR(
IF($G$3="ELA",
IF(VLOOKUP($A592, YES_Reading_ELA[], COLUMN(INDIRECT("YES_Reading_ELA[Difference - Per "&amp;VLOOKUP($G$4, 'Reading Report Logic'!$A$2:$B$8, 2, FALSE)&amp;"]")), FALSE)="", "",
VLOOKUP($A592,YES_Reading_ELA[], COLUMN(INDIRECT("YES_Reading_ELA[Difference - Per "&amp;VLOOKUP($G$4,'Reading Report Logic'!$A$2:$B$8,2,FALSE)&amp;"]")), FALSE)),
IF($G$3="FLA",
IF(VLOOKUP($A592, YES_Reading_FLA[], COLUMN(INDIRECT("YES_Reading_FLA[Difference - Per "&amp;VLOOKUP($G$4,'Reading Report Logic'!$A$2:$B$8,2,FALSE)&amp;"]")),FALSE)="","",
VLOOKUP($A592,YES_Reading_FLA[],COLUMN(INDIRECT("YES_Reading_FLA[Difference - Per "&amp;VLOOKUP($G$4,'Reading Report Logic'!$A$2:$B$8,2,FALSE)&amp;"]")),FALSE)),
IF($G$3="Combined",
IFERROR(
IF(VLOOKUP($A592, YES_Reading_ELA[], COLUMN(INDIRECT("YES_Reading_ELA[Difference - Per "&amp;VLOOKUP($G$4, 'Reading Report Logic'!$A$2:$B$8,2,FALSE)&amp;"]")), FALSE)="", "",
VLOOKUP($A592,YES_Reading_ELA[],COLUMN(INDIRECT("YES_Reading_ELA[Difference - Per "&amp;VLOOKUP($G$4,'Reading Report Logic'!$A$2:$B$8,2,FALSE)&amp;"]")),FALSE)),
IF(VLOOKUP($A592, YES_Reading_FLA[], COLUMN(INDIRECT("YES_Reading_FLA[Difference - Per "&amp;VLOOKUP($G$4, 'Reading Report Logic'!$A$2:$B$8, 2, FALSE)&amp;"]")),FALSE)="", "", VLOOKUP($A592,YES_Reading_FLA[],COLUMN(INDIRECT("YES_Reading_FLA[Difference - Per "&amp;VLOOKUP($G$4, 'Reading Report Logic'!$A$2:$B$8, 2, FALSE)&amp;"]")),FALSE))),""))),"")</f>
        <v/>
      </c>
    </row>
    <row r="593" spans="1:9" x14ac:dyDescent="0.25">
      <c r="A593" s="137"/>
      <c r="B593" s="137" t="str">
        <f>IFERROR(INDEX(_xlfn.VSTACK(YES_Writing_ELA[#Data], YES_Writing_FLA[#Data]),MATCH($A593,_xlfn.VSTACK(YES_Writing_ELA[Student Number], YES_Writing_FLA[Student Number]),0),MATCH(B$7,YES_Writing_ELA[#Headers],0)),IFERROR(INDEX(_xlfn.VSTACK(YES_Reading_ELA[#Data], YES_Reading_FLA[#Data]),MATCH($A593,_xlfn.VSTACK(YES_Reading_ELA[Student Number], YES_Reading_FLA[Student Number]),0),MATCH(B$7,YES_Reading_ELA[#Headers],0)),""))</f>
        <v/>
      </c>
      <c r="C593" s="137" t="str">
        <f>IFERROR(INDEX(_xlfn.VSTACK(YES_Writing_ELA[#Data], YES_Writing_FLA[#Data]),MATCH($A593,_xlfn.VSTACK(YES_Writing_ELA[Student Number], YES_Writing_FLA[Student Number]),0),MATCH(C$7,YES_Writing_ELA[#Headers],0)),IFERROR(INDEX(_xlfn.VSTACK(YES_Reading_ELA[#Data], YES_Reading_FLA[#Data]),MATCH($A593,_xlfn.VSTACK(YES_Reading_ELA[Student Number], YES_Reading_FLA[Student Number]),0),MATCH(C$7,YES_Reading_ELA[#Headers],0)),""))</f>
        <v/>
      </c>
      <c r="D593" s="138" t="str">
        <f>IFERROR(IF(IF(INDEX(_xlfn.VSTACK(YES_Writing_ELA[#Data],YES_Writing_FLA[#Data]),MATCH($A593,_xlfn.VSTACK(YES_Writing_ELA[Student Number],YES_Writing_FLA[Student Number]),0),MATCH(VLOOKUP(D$7,'Writing Logic'!$J$7:$K$11,2,FALSE)&amp;" - Per "&amp;VLOOKUP($C$4,'Writing Logic'!$G$8:$H$14,2,FALSE),YES_Writing_ELA[#Headers],0))=0,"",INDEX(_xlfn.VSTACK(YES_Writing_ELA[#Data],YES_Writing_FLA[#Data]),MATCH($A593,_xlfn.VSTACK(YES_Writing_ELA[Student Number],YES_Writing_FLA[Student Number]),0),MATCH(VLOOKUP(D$7,'Writing Logic'!$J$7:$K$11,2,FALSE)&amp;" - Per "&amp;VLOOKUP($C$4,'Writing Logic'!$G$8:$H$14,2,FALSE),YES_Writing_ELA[#Headers],0)))="INS",'Writing Logic'!$B$7,IF(INDEX(_xlfn.VSTACK(YES_Writing_ELA[#Data],YES_Writing_FLA[#Data]),MATCH($A593,_xlfn.VSTACK(YES_Writing_ELA[Student Number],YES_Writing_FLA[Student Number]),0),MATCH(VLOOKUP(D$7,'Writing Logic'!$J$7:$K$11,2,FALSE)&amp;" - Per "&amp;VLOOKUP($C$4,'Writing Logic'!$G$8:$H$14,2,FALSE),YES_Writing_ELA[#Headers],0))=0,"",INDEX(_xlfn.VSTACK(YES_Writing_ELA[#Data],YES_Writing_FLA[#Data]),MATCH($A593,_xlfn.VSTACK(YES_Writing_ELA[Student Number],YES_Writing_FLA[Student Number]),0),MATCH(VLOOKUP(D$7,'Writing Logic'!$J$7:$K$11,2,FALSE)&amp;" - Per "&amp;VLOOKUP($C$4,'Writing Logic'!$G$8:$H$14,2,FALSE),YES_Writing_ELA[#Headers],0)))),"")</f>
        <v/>
      </c>
      <c r="E593" s="138" t="str">
        <f>IFERROR(IF(IF(INDEX(_xlfn.VSTACK(YES_Writing_ELA[#Data],YES_Writing_FLA[#Data]),MATCH($A593,_xlfn.VSTACK(YES_Writing_ELA[Student Number],YES_Writing_FLA[Student Number]),0),MATCH(VLOOKUP(E$7,'Writing Logic'!$J$7:$K$11,2,FALSE)&amp;" - Per "&amp;VLOOKUP($C$4,'Writing Logic'!$G$8:$H$14,2,FALSE),YES_Writing_ELA[#Headers],0))=0,"",INDEX(_xlfn.VSTACK(YES_Writing_ELA[#Data],YES_Writing_FLA[#Data]),MATCH($A593,_xlfn.VSTACK(YES_Writing_ELA[Student Number],YES_Writing_FLA[Student Number]),0),MATCH(VLOOKUP(E$7,'Writing Logic'!$J$7:$K$11,2,FALSE)&amp;" - Per "&amp;VLOOKUP($C$4,'Writing Logic'!$G$8:$H$14,2,FALSE),YES_Writing_ELA[#Headers],0)))="INS",'Writing Logic'!$B$7,IF(INDEX(_xlfn.VSTACK(YES_Writing_ELA[#Data],YES_Writing_FLA[#Data]),MATCH($A593,_xlfn.VSTACK(YES_Writing_ELA[Student Number],YES_Writing_FLA[Student Number]),0),MATCH(VLOOKUP(E$7,'Writing Logic'!$J$7:$K$11,2,FALSE)&amp;" - Per "&amp;VLOOKUP($C$4,'Writing Logic'!$G$8:$H$14,2,FALSE),YES_Writing_ELA[#Headers],0))=0,"",INDEX(_xlfn.VSTACK(YES_Writing_ELA[#Data],YES_Writing_FLA[#Data]),MATCH($A593,_xlfn.VSTACK(YES_Writing_ELA[Student Number],YES_Writing_FLA[Student Number]),0),MATCH(VLOOKUP(E$7,'Writing Logic'!$J$7:$K$11,2,FALSE)&amp;" - Per "&amp;VLOOKUP($C$4,'Writing Logic'!$G$8:$H$14,2,FALSE),YES_Writing_ELA[#Headers],0)))),"")</f>
        <v/>
      </c>
      <c r="F593" s="138" t="str">
        <f>IFERROR(IF(IF(INDEX(_xlfn.VSTACK(YES_Writing_ELA[#Data],YES_Writing_FLA[#Data]),MATCH($A593,_xlfn.VSTACK(YES_Writing_ELA[Student Number],YES_Writing_FLA[Student Number]),0),MATCH(VLOOKUP(F$7,'Writing Logic'!$J$7:$K$11,2,FALSE)&amp;" - Per "&amp;VLOOKUP($C$4,'Writing Logic'!$G$8:$H$14,2,FALSE),YES_Writing_ELA[#Headers],0))=0,"",INDEX(_xlfn.VSTACK(YES_Writing_ELA[#Data],YES_Writing_FLA[#Data]),MATCH($A593,_xlfn.VSTACK(YES_Writing_ELA[Student Number],YES_Writing_FLA[Student Number]),0),MATCH(VLOOKUP(F$7,'Writing Logic'!$J$7:$K$11,2,FALSE)&amp;" - Per "&amp;VLOOKUP($C$4,'Writing Logic'!$G$8:$H$14,2,FALSE),YES_Writing_ELA[#Headers],0)))="INS",'Writing Logic'!$B$7,IF(INDEX(_xlfn.VSTACK(YES_Writing_ELA[#Data],YES_Writing_FLA[#Data]),MATCH($A593,_xlfn.VSTACK(YES_Writing_ELA[Student Number],YES_Writing_FLA[Student Number]),0),MATCH(VLOOKUP(F$7,'Writing Logic'!$J$7:$K$11,2,FALSE)&amp;" - Per "&amp;VLOOKUP($C$4,'Writing Logic'!$G$8:$H$14,2,FALSE),YES_Writing_ELA[#Headers],0))=0,"",INDEX(_xlfn.VSTACK(YES_Writing_ELA[#Data],YES_Writing_FLA[#Data]),MATCH($A593,_xlfn.VSTACK(YES_Writing_ELA[Student Number],YES_Writing_FLA[Student Number]),0),MATCH(VLOOKUP(F$7,'Writing Logic'!$J$7:$K$11,2,FALSE)&amp;" - Per "&amp;VLOOKUP($C$4,'Writing Logic'!$G$8:$H$14,2,FALSE),YES_Writing_ELA[#Headers],0)))),"")</f>
        <v/>
      </c>
      <c r="G593" s="138" t="str">
        <f>IFERROR(IF(IF(INDEX(_xlfn.VSTACK(YES_Writing_ELA[#Data],YES_Writing_FLA[#Data]),MATCH($A593,_xlfn.VSTACK(YES_Writing_ELA[Student Number],YES_Writing_FLA[Student Number]),0),MATCH(VLOOKUP(G$7,'Writing Logic'!$J$7:$K$11,2,FALSE)&amp;" - Per "&amp;VLOOKUP($C$4,'Writing Logic'!$G$8:$H$14,2,FALSE),YES_Writing_ELA[#Headers],0))=0,"",INDEX(_xlfn.VSTACK(YES_Writing_ELA[#Data],YES_Writing_FLA[#Data]),MATCH($A593,_xlfn.VSTACK(YES_Writing_ELA[Student Number],YES_Writing_FLA[Student Number]),0),MATCH(VLOOKUP(G$7,'Writing Logic'!$J$7:$K$11,2,FALSE)&amp;" - Per "&amp;VLOOKUP($C$4,'Writing Logic'!$G$8:$H$14,2,FALSE),YES_Writing_ELA[#Headers],0)))="INS",'Writing Logic'!$B$7,IF(INDEX(_xlfn.VSTACK(YES_Writing_ELA[#Data],YES_Writing_FLA[#Data]),MATCH($A593,_xlfn.VSTACK(YES_Writing_ELA[Student Number],YES_Writing_FLA[Student Number]),0),MATCH(VLOOKUP(G$7,'Writing Logic'!$J$7:$K$11,2,FALSE)&amp;" - Per "&amp;VLOOKUP($C$4,'Writing Logic'!$G$8:$H$14,2,FALSE),YES_Writing_ELA[#Headers],0))=0,"",INDEX(_xlfn.VSTACK(YES_Writing_ELA[#Data],YES_Writing_FLA[#Data]),MATCH($A593,_xlfn.VSTACK(YES_Writing_ELA[Student Number],YES_Writing_FLA[Student Number]),0),MATCH(VLOOKUP(G$7,'Writing Logic'!$J$7:$K$11,2,FALSE)&amp;" - Per "&amp;VLOOKUP($C$4,'Writing Logic'!$G$8:$H$14,2,FALSE),YES_Writing_ELA[#Headers],0)))),"")</f>
        <v/>
      </c>
      <c r="H593" s="223" t="str">
        <f>IFERROR(IF(IF(INDEX(_xlfn.VSTACK(YES_Writing_ELA[#Data],YES_Writing_FLA[#Data]),MATCH($A593,_xlfn.VSTACK(YES_Writing_ELA[Student Number],YES_Writing_FLA[Student Number]),0),MATCH(VLOOKUP(H$7,'Writing Logic'!$J$7:$K$11,2,FALSE)&amp;" - Per "&amp;VLOOKUP($C$4,'Writing Logic'!$G$8:$H$14,2,FALSE),YES_Writing_ELA[#Headers],0))=0,"",INDEX(_xlfn.VSTACK(YES_Writing_ELA[#Data],YES_Writing_FLA[#Data]),MATCH($A593,_xlfn.VSTACK(YES_Writing_ELA[Student Number],YES_Writing_FLA[Student Number]),0),MATCH(VLOOKUP(H$7,'Writing Logic'!$J$7:$K$11,2,FALSE)&amp;" - Per "&amp;VLOOKUP($C$4,'Writing Logic'!$G$8:$H$14,2,FALSE),YES_Writing_ELA[#Headers],0)))="INS",'Writing Logic'!$B$7,IF(INDEX(_xlfn.VSTACK(YES_Writing_ELA[#Data],YES_Writing_FLA[#Data]),MATCH($A593,_xlfn.VSTACK(YES_Writing_ELA[Student Number],YES_Writing_FLA[Student Number]),0),MATCH(VLOOKUP(H$7,'Writing Logic'!$J$7:$K$11,2,FALSE)&amp;" - Per "&amp;VLOOKUP($C$4,'Writing Logic'!$G$8:$H$14,2,FALSE),YES_Writing_ELA[#Headers],0))=0,"",INDEX(_xlfn.VSTACK(YES_Writing_ELA[#Data],YES_Writing_FLA[#Data]),MATCH($A593,_xlfn.VSTACK(YES_Writing_ELA[Student Number],YES_Writing_FLA[Student Number]),0),MATCH(VLOOKUP(H$7,'Writing Logic'!$J$7:$K$11,2,FALSE)&amp;" - Per "&amp;VLOOKUP($C$4,'Writing Logic'!$G$8:$H$14,2,FALSE),YES_Writing_ELA[#Headers],0)))),"")</f>
        <v/>
      </c>
      <c r="I593" s="224" t="str" cm="1">
        <f t="array" aca="1" ref="I593" ca="1">IFERROR(
IF($G$3="ELA",
IF(VLOOKUP($A593, YES_Reading_ELA[], COLUMN(INDIRECT("YES_Reading_ELA[Difference - Per "&amp;VLOOKUP($G$4, 'Reading Report Logic'!$A$2:$B$8, 2, FALSE)&amp;"]")), FALSE)="", "",
VLOOKUP($A593,YES_Reading_ELA[], COLUMN(INDIRECT("YES_Reading_ELA[Difference - Per "&amp;VLOOKUP($G$4,'Reading Report Logic'!$A$2:$B$8,2,FALSE)&amp;"]")), FALSE)),
IF($G$3="FLA",
IF(VLOOKUP($A593, YES_Reading_FLA[], COLUMN(INDIRECT("YES_Reading_FLA[Difference - Per "&amp;VLOOKUP($G$4,'Reading Report Logic'!$A$2:$B$8,2,FALSE)&amp;"]")),FALSE)="","",
VLOOKUP($A593,YES_Reading_FLA[],COLUMN(INDIRECT("YES_Reading_FLA[Difference - Per "&amp;VLOOKUP($G$4,'Reading Report Logic'!$A$2:$B$8,2,FALSE)&amp;"]")),FALSE)),
IF($G$3="Combined",
IFERROR(
IF(VLOOKUP($A593, YES_Reading_ELA[], COLUMN(INDIRECT("YES_Reading_ELA[Difference - Per "&amp;VLOOKUP($G$4, 'Reading Report Logic'!$A$2:$B$8,2,FALSE)&amp;"]")), FALSE)="", "",
VLOOKUP($A593,YES_Reading_ELA[],COLUMN(INDIRECT("YES_Reading_ELA[Difference - Per "&amp;VLOOKUP($G$4,'Reading Report Logic'!$A$2:$B$8,2,FALSE)&amp;"]")),FALSE)),
IF(VLOOKUP($A593, YES_Reading_FLA[], COLUMN(INDIRECT("YES_Reading_FLA[Difference - Per "&amp;VLOOKUP($G$4, 'Reading Report Logic'!$A$2:$B$8, 2, FALSE)&amp;"]")),FALSE)="", "", VLOOKUP($A593,YES_Reading_FLA[],COLUMN(INDIRECT("YES_Reading_FLA[Difference - Per "&amp;VLOOKUP($G$4, 'Reading Report Logic'!$A$2:$B$8, 2, FALSE)&amp;"]")),FALSE))),""))),"")</f>
        <v/>
      </c>
    </row>
    <row r="594" spans="1:9" x14ac:dyDescent="0.25">
      <c r="A594" s="137"/>
      <c r="B594" s="137" t="str">
        <f>IFERROR(INDEX(_xlfn.VSTACK(YES_Writing_ELA[#Data], YES_Writing_FLA[#Data]),MATCH($A594,_xlfn.VSTACK(YES_Writing_ELA[Student Number], YES_Writing_FLA[Student Number]),0),MATCH(B$7,YES_Writing_ELA[#Headers],0)),IFERROR(INDEX(_xlfn.VSTACK(YES_Reading_ELA[#Data], YES_Reading_FLA[#Data]),MATCH($A594,_xlfn.VSTACK(YES_Reading_ELA[Student Number], YES_Reading_FLA[Student Number]),0),MATCH(B$7,YES_Reading_ELA[#Headers],0)),""))</f>
        <v/>
      </c>
      <c r="C594" s="137" t="str">
        <f>IFERROR(INDEX(_xlfn.VSTACK(YES_Writing_ELA[#Data], YES_Writing_FLA[#Data]),MATCH($A594,_xlfn.VSTACK(YES_Writing_ELA[Student Number], YES_Writing_FLA[Student Number]),0),MATCH(C$7,YES_Writing_ELA[#Headers],0)),IFERROR(INDEX(_xlfn.VSTACK(YES_Reading_ELA[#Data], YES_Reading_FLA[#Data]),MATCH($A594,_xlfn.VSTACK(YES_Reading_ELA[Student Number], YES_Reading_FLA[Student Number]),0),MATCH(C$7,YES_Reading_ELA[#Headers],0)),""))</f>
        <v/>
      </c>
      <c r="D594" s="138" t="str">
        <f>IFERROR(IF(IF(INDEX(_xlfn.VSTACK(YES_Writing_ELA[#Data],YES_Writing_FLA[#Data]),MATCH($A594,_xlfn.VSTACK(YES_Writing_ELA[Student Number],YES_Writing_FLA[Student Number]),0),MATCH(VLOOKUP(D$7,'Writing Logic'!$J$7:$K$11,2,FALSE)&amp;" - Per "&amp;VLOOKUP($C$4,'Writing Logic'!$G$8:$H$14,2,FALSE),YES_Writing_ELA[#Headers],0))=0,"",INDEX(_xlfn.VSTACK(YES_Writing_ELA[#Data],YES_Writing_FLA[#Data]),MATCH($A594,_xlfn.VSTACK(YES_Writing_ELA[Student Number],YES_Writing_FLA[Student Number]),0),MATCH(VLOOKUP(D$7,'Writing Logic'!$J$7:$K$11,2,FALSE)&amp;" - Per "&amp;VLOOKUP($C$4,'Writing Logic'!$G$8:$H$14,2,FALSE),YES_Writing_ELA[#Headers],0)))="INS",'Writing Logic'!$B$7,IF(INDEX(_xlfn.VSTACK(YES_Writing_ELA[#Data],YES_Writing_FLA[#Data]),MATCH($A594,_xlfn.VSTACK(YES_Writing_ELA[Student Number],YES_Writing_FLA[Student Number]),0),MATCH(VLOOKUP(D$7,'Writing Logic'!$J$7:$K$11,2,FALSE)&amp;" - Per "&amp;VLOOKUP($C$4,'Writing Logic'!$G$8:$H$14,2,FALSE),YES_Writing_ELA[#Headers],0))=0,"",INDEX(_xlfn.VSTACK(YES_Writing_ELA[#Data],YES_Writing_FLA[#Data]),MATCH($A594,_xlfn.VSTACK(YES_Writing_ELA[Student Number],YES_Writing_FLA[Student Number]),0),MATCH(VLOOKUP(D$7,'Writing Logic'!$J$7:$K$11,2,FALSE)&amp;" - Per "&amp;VLOOKUP($C$4,'Writing Logic'!$G$8:$H$14,2,FALSE),YES_Writing_ELA[#Headers],0)))),"")</f>
        <v/>
      </c>
      <c r="E594" s="138" t="str">
        <f>IFERROR(IF(IF(INDEX(_xlfn.VSTACK(YES_Writing_ELA[#Data],YES_Writing_FLA[#Data]),MATCH($A594,_xlfn.VSTACK(YES_Writing_ELA[Student Number],YES_Writing_FLA[Student Number]),0),MATCH(VLOOKUP(E$7,'Writing Logic'!$J$7:$K$11,2,FALSE)&amp;" - Per "&amp;VLOOKUP($C$4,'Writing Logic'!$G$8:$H$14,2,FALSE),YES_Writing_ELA[#Headers],0))=0,"",INDEX(_xlfn.VSTACK(YES_Writing_ELA[#Data],YES_Writing_FLA[#Data]),MATCH($A594,_xlfn.VSTACK(YES_Writing_ELA[Student Number],YES_Writing_FLA[Student Number]),0),MATCH(VLOOKUP(E$7,'Writing Logic'!$J$7:$K$11,2,FALSE)&amp;" - Per "&amp;VLOOKUP($C$4,'Writing Logic'!$G$8:$H$14,2,FALSE),YES_Writing_ELA[#Headers],0)))="INS",'Writing Logic'!$B$7,IF(INDEX(_xlfn.VSTACK(YES_Writing_ELA[#Data],YES_Writing_FLA[#Data]),MATCH($A594,_xlfn.VSTACK(YES_Writing_ELA[Student Number],YES_Writing_FLA[Student Number]),0),MATCH(VLOOKUP(E$7,'Writing Logic'!$J$7:$K$11,2,FALSE)&amp;" - Per "&amp;VLOOKUP($C$4,'Writing Logic'!$G$8:$H$14,2,FALSE),YES_Writing_ELA[#Headers],0))=0,"",INDEX(_xlfn.VSTACK(YES_Writing_ELA[#Data],YES_Writing_FLA[#Data]),MATCH($A594,_xlfn.VSTACK(YES_Writing_ELA[Student Number],YES_Writing_FLA[Student Number]),0),MATCH(VLOOKUP(E$7,'Writing Logic'!$J$7:$K$11,2,FALSE)&amp;" - Per "&amp;VLOOKUP($C$4,'Writing Logic'!$G$8:$H$14,2,FALSE),YES_Writing_ELA[#Headers],0)))),"")</f>
        <v/>
      </c>
      <c r="F594" s="138" t="str">
        <f>IFERROR(IF(IF(INDEX(_xlfn.VSTACK(YES_Writing_ELA[#Data],YES_Writing_FLA[#Data]),MATCH($A594,_xlfn.VSTACK(YES_Writing_ELA[Student Number],YES_Writing_FLA[Student Number]),0),MATCH(VLOOKUP(F$7,'Writing Logic'!$J$7:$K$11,2,FALSE)&amp;" - Per "&amp;VLOOKUP($C$4,'Writing Logic'!$G$8:$H$14,2,FALSE),YES_Writing_ELA[#Headers],0))=0,"",INDEX(_xlfn.VSTACK(YES_Writing_ELA[#Data],YES_Writing_FLA[#Data]),MATCH($A594,_xlfn.VSTACK(YES_Writing_ELA[Student Number],YES_Writing_FLA[Student Number]),0),MATCH(VLOOKUP(F$7,'Writing Logic'!$J$7:$K$11,2,FALSE)&amp;" - Per "&amp;VLOOKUP($C$4,'Writing Logic'!$G$8:$H$14,2,FALSE),YES_Writing_ELA[#Headers],0)))="INS",'Writing Logic'!$B$7,IF(INDEX(_xlfn.VSTACK(YES_Writing_ELA[#Data],YES_Writing_FLA[#Data]),MATCH($A594,_xlfn.VSTACK(YES_Writing_ELA[Student Number],YES_Writing_FLA[Student Number]),0),MATCH(VLOOKUP(F$7,'Writing Logic'!$J$7:$K$11,2,FALSE)&amp;" - Per "&amp;VLOOKUP($C$4,'Writing Logic'!$G$8:$H$14,2,FALSE),YES_Writing_ELA[#Headers],0))=0,"",INDEX(_xlfn.VSTACK(YES_Writing_ELA[#Data],YES_Writing_FLA[#Data]),MATCH($A594,_xlfn.VSTACK(YES_Writing_ELA[Student Number],YES_Writing_FLA[Student Number]),0),MATCH(VLOOKUP(F$7,'Writing Logic'!$J$7:$K$11,2,FALSE)&amp;" - Per "&amp;VLOOKUP($C$4,'Writing Logic'!$G$8:$H$14,2,FALSE),YES_Writing_ELA[#Headers],0)))),"")</f>
        <v/>
      </c>
      <c r="G594" s="138" t="str">
        <f>IFERROR(IF(IF(INDEX(_xlfn.VSTACK(YES_Writing_ELA[#Data],YES_Writing_FLA[#Data]),MATCH($A594,_xlfn.VSTACK(YES_Writing_ELA[Student Number],YES_Writing_FLA[Student Number]),0),MATCH(VLOOKUP(G$7,'Writing Logic'!$J$7:$K$11,2,FALSE)&amp;" - Per "&amp;VLOOKUP($C$4,'Writing Logic'!$G$8:$H$14,2,FALSE),YES_Writing_ELA[#Headers],0))=0,"",INDEX(_xlfn.VSTACK(YES_Writing_ELA[#Data],YES_Writing_FLA[#Data]),MATCH($A594,_xlfn.VSTACK(YES_Writing_ELA[Student Number],YES_Writing_FLA[Student Number]),0),MATCH(VLOOKUP(G$7,'Writing Logic'!$J$7:$K$11,2,FALSE)&amp;" - Per "&amp;VLOOKUP($C$4,'Writing Logic'!$G$8:$H$14,2,FALSE),YES_Writing_ELA[#Headers],0)))="INS",'Writing Logic'!$B$7,IF(INDEX(_xlfn.VSTACK(YES_Writing_ELA[#Data],YES_Writing_FLA[#Data]),MATCH($A594,_xlfn.VSTACK(YES_Writing_ELA[Student Number],YES_Writing_FLA[Student Number]),0),MATCH(VLOOKUP(G$7,'Writing Logic'!$J$7:$K$11,2,FALSE)&amp;" - Per "&amp;VLOOKUP($C$4,'Writing Logic'!$G$8:$H$14,2,FALSE),YES_Writing_ELA[#Headers],0))=0,"",INDEX(_xlfn.VSTACK(YES_Writing_ELA[#Data],YES_Writing_FLA[#Data]),MATCH($A594,_xlfn.VSTACK(YES_Writing_ELA[Student Number],YES_Writing_FLA[Student Number]),0),MATCH(VLOOKUP(G$7,'Writing Logic'!$J$7:$K$11,2,FALSE)&amp;" - Per "&amp;VLOOKUP($C$4,'Writing Logic'!$G$8:$H$14,2,FALSE),YES_Writing_ELA[#Headers],0)))),"")</f>
        <v/>
      </c>
      <c r="H594" s="223" t="str">
        <f>IFERROR(IF(IF(INDEX(_xlfn.VSTACK(YES_Writing_ELA[#Data],YES_Writing_FLA[#Data]),MATCH($A594,_xlfn.VSTACK(YES_Writing_ELA[Student Number],YES_Writing_FLA[Student Number]),0),MATCH(VLOOKUP(H$7,'Writing Logic'!$J$7:$K$11,2,FALSE)&amp;" - Per "&amp;VLOOKUP($C$4,'Writing Logic'!$G$8:$H$14,2,FALSE),YES_Writing_ELA[#Headers],0))=0,"",INDEX(_xlfn.VSTACK(YES_Writing_ELA[#Data],YES_Writing_FLA[#Data]),MATCH($A594,_xlfn.VSTACK(YES_Writing_ELA[Student Number],YES_Writing_FLA[Student Number]),0),MATCH(VLOOKUP(H$7,'Writing Logic'!$J$7:$K$11,2,FALSE)&amp;" - Per "&amp;VLOOKUP($C$4,'Writing Logic'!$G$8:$H$14,2,FALSE),YES_Writing_ELA[#Headers],0)))="INS",'Writing Logic'!$B$7,IF(INDEX(_xlfn.VSTACK(YES_Writing_ELA[#Data],YES_Writing_FLA[#Data]),MATCH($A594,_xlfn.VSTACK(YES_Writing_ELA[Student Number],YES_Writing_FLA[Student Number]),0),MATCH(VLOOKUP(H$7,'Writing Logic'!$J$7:$K$11,2,FALSE)&amp;" - Per "&amp;VLOOKUP($C$4,'Writing Logic'!$G$8:$H$14,2,FALSE),YES_Writing_ELA[#Headers],0))=0,"",INDEX(_xlfn.VSTACK(YES_Writing_ELA[#Data],YES_Writing_FLA[#Data]),MATCH($A594,_xlfn.VSTACK(YES_Writing_ELA[Student Number],YES_Writing_FLA[Student Number]),0),MATCH(VLOOKUP(H$7,'Writing Logic'!$J$7:$K$11,2,FALSE)&amp;" - Per "&amp;VLOOKUP($C$4,'Writing Logic'!$G$8:$H$14,2,FALSE),YES_Writing_ELA[#Headers],0)))),"")</f>
        <v/>
      </c>
      <c r="I594" s="224" t="str" cm="1">
        <f t="array" aca="1" ref="I594" ca="1">IFERROR(
IF($G$3="ELA",
IF(VLOOKUP($A594, YES_Reading_ELA[], COLUMN(INDIRECT("YES_Reading_ELA[Difference - Per "&amp;VLOOKUP($G$4, 'Reading Report Logic'!$A$2:$B$8, 2, FALSE)&amp;"]")), FALSE)="", "",
VLOOKUP($A594,YES_Reading_ELA[], COLUMN(INDIRECT("YES_Reading_ELA[Difference - Per "&amp;VLOOKUP($G$4,'Reading Report Logic'!$A$2:$B$8,2,FALSE)&amp;"]")), FALSE)),
IF($G$3="FLA",
IF(VLOOKUP($A594, YES_Reading_FLA[], COLUMN(INDIRECT("YES_Reading_FLA[Difference - Per "&amp;VLOOKUP($G$4,'Reading Report Logic'!$A$2:$B$8,2,FALSE)&amp;"]")),FALSE)="","",
VLOOKUP($A594,YES_Reading_FLA[],COLUMN(INDIRECT("YES_Reading_FLA[Difference - Per "&amp;VLOOKUP($G$4,'Reading Report Logic'!$A$2:$B$8,2,FALSE)&amp;"]")),FALSE)),
IF($G$3="Combined",
IFERROR(
IF(VLOOKUP($A594, YES_Reading_ELA[], COLUMN(INDIRECT("YES_Reading_ELA[Difference - Per "&amp;VLOOKUP($G$4, 'Reading Report Logic'!$A$2:$B$8,2,FALSE)&amp;"]")), FALSE)="", "",
VLOOKUP($A594,YES_Reading_ELA[],COLUMN(INDIRECT("YES_Reading_ELA[Difference - Per "&amp;VLOOKUP($G$4,'Reading Report Logic'!$A$2:$B$8,2,FALSE)&amp;"]")),FALSE)),
IF(VLOOKUP($A594, YES_Reading_FLA[], COLUMN(INDIRECT("YES_Reading_FLA[Difference - Per "&amp;VLOOKUP($G$4, 'Reading Report Logic'!$A$2:$B$8, 2, FALSE)&amp;"]")),FALSE)="", "", VLOOKUP($A594,YES_Reading_FLA[],COLUMN(INDIRECT("YES_Reading_FLA[Difference - Per "&amp;VLOOKUP($G$4, 'Reading Report Logic'!$A$2:$B$8, 2, FALSE)&amp;"]")),FALSE))),""))),"")</f>
        <v/>
      </c>
    </row>
    <row r="595" spans="1:9" x14ac:dyDescent="0.25">
      <c r="A595" s="137"/>
      <c r="B595" s="137" t="str">
        <f>IFERROR(INDEX(_xlfn.VSTACK(YES_Writing_ELA[#Data], YES_Writing_FLA[#Data]),MATCH($A595,_xlfn.VSTACK(YES_Writing_ELA[Student Number], YES_Writing_FLA[Student Number]),0),MATCH(B$7,YES_Writing_ELA[#Headers],0)),IFERROR(INDEX(_xlfn.VSTACK(YES_Reading_ELA[#Data], YES_Reading_FLA[#Data]),MATCH($A595,_xlfn.VSTACK(YES_Reading_ELA[Student Number], YES_Reading_FLA[Student Number]),0),MATCH(B$7,YES_Reading_ELA[#Headers],0)),""))</f>
        <v/>
      </c>
      <c r="C595" s="137" t="str">
        <f>IFERROR(INDEX(_xlfn.VSTACK(YES_Writing_ELA[#Data], YES_Writing_FLA[#Data]),MATCH($A595,_xlfn.VSTACK(YES_Writing_ELA[Student Number], YES_Writing_FLA[Student Number]),0),MATCH(C$7,YES_Writing_ELA[#Headers],0)),IFERROR(INDEX(_xlfn.VSTACK(YES_Reading_ELA[#Data], YES_Reading_FLA[#Data]),MATCH($A595,_xlfn.VSTACK(YES_Reading_ELA[Student Number], YES_Reading_FLA[Student Number]),0),MATCH(C$7,YES_Reading_ELA[#Headers],0)),""))</f>
        <v/>
      </c>
      <c r="D595" s="138" t="str">
        <f>IFERROR(IF(IF(INDEX(_xlfn.VSTACK(YES_Writing_ELA[#Data],YES_Writing_FLA[#Data]),MATCH($A595,_xlfn.VSTACK(YES_Writing_ELA[Student Number],YES_Writing_FLA[Student Number]),0),MATCH(VLOOKUP(D$7,'Writing Logic'!$J$7:$K$11,2,FALSE)&amp;" - Per "&amp;VLOOKUP($C$4,'Writing Logic'!$G$8:$H$14,2,FALSE),YES_Writing_ELA[#Headers],0))=0,"",INDEX(_xlfn.VSTACK(YES_Writing_ELA[#Data],YES_Writing_FLA[#Data]),MATCH($A595,_xlfn.VSTACK(YES_Writing_ELA[Student Number],YES_Writing_FLA[Student Number]),0),MATCH(VLOOKUP(D$7,'Writing Logic'!$J$7:$K$11,2,FALSE)&amp;" - Per "&amp;VLOOKUP($C$4,'Writing Logic'!$G$8:$H$14,2,FALSE),YES_Writing_ELA[#Headers],0)))="INS",'Writing Logic'!$B$7,IF(INDEX(_xlfn.VSTACK(YES_Writing_ELA[#Data],YES_Writing_FLA[#Data]),MATCH($A595,_xlfn.VSTACK(YES_Writing_ELA[Student Number],YES_Writing_FLA[Student Number]),0),MATCH(VLOOKUP(D$7,'Writing Logic'!$J$7:$K$11,2,FALSE)&amp;" - Per "&amp;VLOOKUP($C$4,'Writing Logic'!$G$8:$H$14,2,FALSE),YES_Writing_ELA[#Headers],0))=0,"",INDEX(_xlfn.VSTACK(YES_Writing_ELA[#Data],YES_Writing_FLA[#Data]),MATCH($A595,_xlfn.VSTACK(YES_Writing_ELA[Student Number],YES_Writing_FLA[Student Number]),0),MATCH(VLOOKUP(D$7,'Writing Logic'!$J$7:$K$11,2,FALSE)&amp;" - Per "&amp;VLOOKUP($C$4,'Writing Logic'!$G$8:$H$14,2,FALSE),YES_Writing_ELA[#Headers],0)))),"")</f>
        <v/>
      </c>
      <c r="E595" s="138" t="str">
        <f>IFERROR(IF(IF(INDEX(_xlfn.VSTACK(YES_Writing_ELA[#Data],YES_Writing_FLA[#Data]),MATCH($A595,_xlfn.VSTACK(YES_Writing_ELA[Student Number],YES_Writing_FLA[Student Number]),0),MATCH(VLOOKUP(E$7,'Writing Logic'!$J$7:$K$11,2,FALSE)&amp;" - Per "&amp;VLOOKUP($C$4,'Writing Logic'!$G$8:$H$14,2,FALSE),YES_Writing_ELA[#Headers],0))=0,"",INDEX(_xlfn.VSTACK(YES_Writing_ELA[#Data],YES_Writing_FLA[#Data]),MATCH($A595,_xlfn.VSTACK(YES_Writing_ELA[Student Number],YES_Writing_FLA[Student Number]),0),MATCH(VLOOKUP(E$7,'Writing Logic'!$J$7:$K$11,2,FALSE)&amp;" - Per "&amp;VLOOKUP($C$4,'Writing Logic'!$G$8:$H$14,2,FALSE),YES_Writing_ELA[#Headers],0)))="INS",'Writing Logic'!$B$7,IF(INDEX(_xlfn.VSTACK(YES_Writing_ELA[#Data],YES_Writing_FLA[#Data]),MATCH($A595,_xlfn.VSTACK(YES_Writing_ELA[Student Number],YES_Writing_FLA[Student Number]),0),MATCH(VLOOKUP(E$7,'Writing Logic'!$J$7:$K$11,2,FALSE)&amp;" - Per "&amp;VLOOKUP($C$4,'Writing Logic'!$G$8:$H$14,2,FALSE),YES_Writing_ELA[#Headers],0))=0,"",INDEX(_xlfn.VSTACK(YES_Writing_ELA[#Data],YES_Writing_FLA[#Data]),MATCH($A595,_xlfn.VSTACK(YES_Writing_ELA[Student Number],YES_Writing_FLA[Student Number]),0),MATCH(VLOOKUP(E$7,'Writing Logic'!$J$7:$K$11,2,FALSE)&amp;" - Per "&amp;VLOOKUP($C$4,'Writing Logic'!$G$8:$H$14,2,FALSE),YES_Writing_ELA[#Headers],0)))),"")</f>
        <v/>
      </c>
      <c r="F595" s="138" t="str">
        <f>IFERROR(IF(IF(INDEX(_xlfn.VSTACK(YES_Writing_ELA[#Data],YES_Writing_FLA[#Data]),MATCH($A595,_xlfn.VSTACK(YES_Writing_ELA[Student Number],YES_Writing_FLA[Student Number]),0),MATCH(VLOOKUP(F$7,'Writing Logic'!$J$7:$K$11,2,FALSE)&amp;" - Per "&amp;VLOOKUP($C$4,'Writing Logic'!$G$8:$H$14,2,FALSE),YES_Writing_ELA[#Headers],0))=0,"",INDEX(_xlfn.VSTACK(YES_Writing_ELA[#Data],YES_Writing_FLA[#Data]),MATCH($A595,_xlfn.VSTACK(YES_Writing_ELA[Student Number],YES_Writing_FLA[Student Number]),0),MATCH(VLOOKUP(F$7,'Writing Logic'!$J$7:$K$11,2,FALSE)&amp;" - Per "&amp;VLOOKUP($C$4,'Writing Logic'!$G$8:$H$14,2,FALSE),YES_Writing_ELA[#Headers],0)))="INS",'Writing Logic'!$B$7,IF(INDEX(_xlfn.VSTACK(YES_Writing_ELA[#Data],YES_Writing_FLA[#Data]),MATCH($A595,_xlfn.VSTACK(YES_Writing_ELA[Student Number],YES_Writing_FLA[Student Number]),0),MATCH(VLOOKUP(F$7,'Writing Logic'!$J$7:$K$11,2,FALSE)&amp;" - Per "&amp;VLOOKUP($C$4,'Writing Logic'!$G$8:$H$14,2,FALSE),YES_Writing_ELA[#Headers],0))=0,"",INDEX(_xlfn.VSTACK(YES_Writing_ELA[#Data],YES_Writing_FLA[#Data]),MATCH($A595,_xlfn.VSTACK(YES_Writing_ELA[Student Number],YES_Writing_FLA[Student Number]),0),MATCH(VLOOKUP(F$7,'Writing Logic'!$J$7:$K$11,2,FALSE)&amp;" - Per "&amp;VLOOKUP($C$4,'Writing Logic'!$G$8:$H$14,2,FALSE),YES_Writing_ELA[#Headers],0)))),"")</f>
        <v/>
      </c>
      <c r="G595" s="138" t="str">
        <f>IFERROR(IF(IF(INDEX(_xlfn.VSTACK(YES_Writing_ELA[#Data],YES_Writing_FLA[#Data]),MATCH($A595,_xlfn.VSTACK(YES_Writing_ELA[Student Number],YES_Writing_FLA[Student Number]),0),MATCH(VLOOKUP(G$7,'Writing Logic'!$J$7:$K$11,2,FALSE)&amp;" - Per "&amp;VLOOKUP($C$4,'Writing Logic'!$G$8:$H$14,2,FALSE),YES_Writing_ELA[#Headers],0))=0,"",INDEX(_xlfn.VSTACK(YES_Writing_ELA[#Data],YES_Writing_FLA[#Data]),MATCH($A595,_xlfn.VSTACK(YES_Writing_ELA[Student Number],YES_Writing_FLA[Student Number]),0),MATCH(VLOOKUP(G$7,'Writing Logic'!$J$7:$K$11,2,FALSE)&amp;" - Per "&amp;VLOOKUP($C$4,'Writing Logic'!$G$8:$H$14,2,FALSE),YES_Writing_ELA[#Headers],0)))="INS",'Writing Logic'!$B$7,IF(INDEX(_xlfn.VSTACK(YES_Writing_ELA[#Data],YES_Writing_FLA[#Data]),MATCH($A595,_xlfn.VSTACK(YES_Writing_ELA[Student Number],YES_Writing_FLA[Student Number]),0),MATCH(VLOOKUP(G$7,'Writing Logic'!$J$7:$K$11,2,FALSE)&amp;" - Per "&amp;VLOOKUP($C$4,'Writing Logic'!$G$8:$H$14,2,FALSE),YES_Writing_ELA[#Headers],0))=0,"",INDEX(_xlfn.VSTACK(YES_Writing_ELA[#Data],YES_Writing_FLA[#Data]),MATCH($A595,_xlfn.VSTACK(YES_Writing_ELA[Student Number],YES_Writing_FLA[Student Number]),0),MATCH(VLOOKUP(G$7,'Writing Logic'!$J$7:$K$11,2,FALSE)&amp;" - Per "&amp;VLOOKUP($C$4,'Writing Logic'!$G$8:$H$14,2,FALSE),YES_Writing_ELA[#Headers],0)))),"")</f>
        <v/>
      </c>
      <c r="H595" s="223" t="str">
        <f>IFERROR(IF(IF(INDEX(_xlfn.VSTACK(YES_Writing_ELA[#Data],YES_Writing_FLA[#Data]),MATCH($A595,_xlfn.VSTACK(YES_Writing_ELA[Student Number],YES_Writing_FLA[Student Number]),0),MATCH(VLOOKUP(H$7,'Writing Logic'!$J$7:$K$11,2,FALSE)&amp;" - Per "&amp;VLOOKUP($C$4,'Writing Logic'!$G$8:$H$14,2,FALSE),YES_Writing_ELA[#Headers],0))=0,"",INDEX(_xlfn.VSTACK(YES_Writing_ELA[#Data],YES_Writing_FLA[#Data]),MATCH($A595,_xlfn.VSTACK(YES_Writing_ELA[Student Number],YES_Writing_FLA[Student Number]),0),MATCH(VLOOKUP(H$7,'Writing Logic'!$J$7:$K$11,2,FALSE)&amp;" - Per "&amp;VLOOKUP($C$4,'Writing Logic'!$G$8:$H$14,2,FALSE),YES_Writing_ELA[#Headers],0)))="INS",'Writing Logic'!$B$7,IF(INDEX(_xlfn.VSTACK(YES_Writing_ELA[#Data],YES_Writing_FLA[#Data]),MATCH($A595,_xlfn.VSTACK(YES_Writing_ELA[Student Number],YES_Writing_FLA[Student Number]),0),MATCH(VLOOKUP(H$7,'Writing Logic'!$J$7:$K$11,2,FALSE)&amp;" - Per "&amp;VLOOKUP($C$4,'Writing Logic'!$G$8:$H$14,2,FALSE),YES_Writing_ELA[#Headers],0))=0,"",INDEX(_xlfn.VSTACK(YES_Writing_ELA[#Data],YES_Writing_FLA[#Data]),MATCH($A595,_xlfn.VSTACK(YES_Writing_ELA[Student Number],YES_Writing_FLA[Student Number]),0),MATCH(VLOOKUP(H$7,'Writing Logic'!$J$7:$K$11,2,FALSE)&amp;" - Per "&amp;VLOOKUP($C$4,'Writing Logic'!$G$8:$H$14,2,FALSE),YES_Writing_ELA[#Headers],0)))),"")</f>
        <v/>
      </c>
      <c r="I595" s="224" t="str" cm="1">
        <f t="array" aca="1" ref="I595" ca="1">IFERROR(
IF($G$3="ELA",
IF(VLOOKUP($A595, YES_Reading_ELA[], COLUMN(INDIRECT("YES_Reading_ELA[Difference - Per "&amp;VLOOKUP($G$4, 'Reading Report Logic'!$A$2:$B$8, 2, FALSE)&amp;"]")), FALSE)="", "",
VLOOKUP($A595,YES_Reading_ELA[], COLUMN(INDIRECT("YES_Reading_ELA[Difference - Per "&amp;VLOOKUP($G$4,'Reading Report Logic'!$A$2:$B$8,2,FALSE)&amp;"]")), FALSE)),
IF($G$3="FLA",
IF(VLOOKUP($A595, YES_Reading_FLA[], COLUMN(INDIRECT("YES_Reading_FLA[Difference - Per "&amp;VLOOKUP($G$4,'Reading Report Logic'!$A$2:$B$8,2,FALSE)&amp;"]")),FALSE)="","",
VLOOKUP($A595,YES_Reading_FLA[],COLUMN(INDIRECT("YES_Reading_FLA[Difference - Per "&amp;VLOOKUP($G$4,'Reading Report Logic'!$A$2:$B$8,2,FALSE)&amp;"]")),FALSE)),
IF($G$3="Combined",
IFERROR(
IF(VLOOKUP($A595, YES_Reading_ELA[], COLUMN(INDIRECT("YES_Reading_ELA[Difference - Per "&amp;VLOOKUP($G$4, 'Reading Report Logic'!$A$2:$B$8,2,FALSE)&amp;"]")), FALSE)="", "",
VLOOKUP($A595,YES_Reading_ELA[],COLUMN(INDIRECT("YES_Reading_ELA[Difference - Per "&amp;VLOOKUP($G$4,'Reading Report Logic'!$A$2:$B$8,2,FALSE)&amp;"]")),FALSE)),
IF(VLOOKUP($A595, YES_Reading_FLA[], COLUMN(INDIRECT("YES_Reading_FLA[Difference - Per "&amp;VLOOKUP($G$4, 'Reading Report Logic'!$A$2:$B$8, 2, FALSE)&amp;"]")),FALSE)="", "", VLOOKUP($A595,YES_Reading_FLA[],COLUMN(INDIRECT("YES_Reading_FLA[Difference - Per "&amp;VLOOKUP($G$4, 'Reading Report Logic'!$A$2:$B$8, 2, FALSE)&amp;"]")),FALSE))),""))),"")</f>
        <v/>
      </c>
    </row>
    <row r="596" spans="1:9" x14ac:dyDescent="0.25">
      <c r="A596" s="137"/>
      <c r="B596" s="137" t="str">
        <f>IFERROR(INDEX(_xlfn.VSTACK(YES_Writing_ELA[#Data], YES_Writing_FLA[#Data]),MATCH($A596,_xlfn.VSTACK(YES_Writing_ELA[Student Number], YES_Writing_FLA[Student Number]),0),MATCH(B$7,YES_Writing_ELA[#Headers],0)),IFERROR(INDEX(_xlfn.VSTACK(YES_Reading_ELA[#Data], YES_Reading_FLA[#Data]),MATCH($A596,_xlfn.VSTACK(YES_Reading_ELA[Student Number], YES_Reading_FLA[Student Number]),0),MATCH(B$7,YES_Reading_ELA[#Headers],0)),""))</f>
        <v/>
      </c>
      <c r="C596" s="137" t="str">
        <f>IFERROR(INDEX(_xlfn.VSTACK(YES_Writing_ELA[#Data], YES_Writing_FLA[#Data]),MATCH($A596,_xlfn.VSTACK(YES_Writing_ELA[Student Number], YES_Writing_FLA[Student Number]),0),MATCH(C$7,YES_Writing_ELA[#Headers],0)),IFERROR(INDEX(_xlfn.VSTACK(YES_Reading_ELA[#Data], YES_Reading_FLA[#Data]),MATCH($A596,_xlfn.VSTACK(YES_Reading_ELA[Student Number], YES_Reading_FLA[Student Number]),0),MATCH(C$7,YES_Reading_ELA[#Headers],0)),""))</f>
        <v/>
      </c>
      <c r="D596" s="138" t="str">
        <f>IFERROR(IF(IF(INDEX(_xlfn.VSTACK(YES_Writing_ELA[#Data],YES_Writing_FLA[#Data]),MATCH($A596,_xlfn.VSTACK(YES_Writing_ELA[Student Number],YES_Writing_FLA[Student Number]),0),MATCH(VLOOKUP(D$7,'Writing Logic'!$J$7:$K$11,2,FALSE)&amp;" - Per "&amp;VLOOKUP($C$4,'Writing Logic'!$G$8:$H$14,2,FALSE),YES_Writing_ELA[#Headers],0))=0,"",INDEX(_xlfn.VSTACK(YES_Writing_ELA[#Data],YES_Writing_FLA[#Data]),MATCH($A596,_xlfn.VSTACK(YES_Writing_ELA[Student Number],YES_Writing_FLA[Student Number]),0),MATCH(VLOOKUP(D$7,'Writing Logic'!$J$7:$K$11,2,FALSE)&amp;" - Per "&amp;VLOOKUP($C$4,'Writing Logic'!$G$8:$H$14,2,FALSE),YES_Writing_ELA[#Headers],0)))="INS",'Writing Logic'!$B$7,IF(INDEX(_xlfn.VSTACK(YES_Writing_ELA[#Data],YES_Writing_FLA[#Data]),MATCH($A596,_xlfn.VSTACK(YES_Writing_ELA[Student Number],YES_Writing_FLA[Student Number]),0),MATCH(VLOOKUP(D$7,'Writing Logic'!$J$7:$K$11,2,FALSE)&amp;" - Per "&amp;VLOOKUP($C$4,'Writing Logic'!$G$8:$H$14,2,FALSE),YES_Writing_ELA[#Headers],0))=0,"",INDEX(_xlfn.VSTACK(YES_Writing_ELA[#Data],YES_Writing_FLA[#Data]),MATCH($A596,_xlfn.VSTACK(YES_Writing_ELA[Student Number],YES_Writing_FLA[Student Number]),0),MATCH(VLOOKUP(D$7,'Writing Logic'!$J$7:$K$11,2,FALSE)&amp;" - Per "&amp;VLOOKUP($C$4,'Writing Logic'!$G$8:$H$14,2,FALSE),YES_Writing_ELA[#Headers],0)))),"")</f>
        <v/>
      </c>
      <c r="E596" s="138" t="str">
        <f>IFERROR(IF(IF(INDEX(_xlfn.VSTACK(YES_Writing_ELA[#Data],YES_Writing_FLA[#Data]),MATCH($A596,_xlfn.VSTACK(YES_Writing_ELA[Student Number],YES_Writing_FLA[Student Number]),0),MATCH(VLOOKUP(E$7,'Writing Logic'!$J$7:$K$11,2,FALSE)&amp;" - Per "&amp;VLOOKUP($C$4,'Writing Logic'!$G$8:$H$14,2,FALSE),YES_Writing_ELA[#Headers],0))=0,"",INDEX(_xlfn.VSTACK(YES_Writing_ELA[#Data],YES_Writing_FLA[#Data]),MATCH($A596,_xlfn.VSTACK(YES_Writing_ELA[Student Number],YES_Writing_FLA[Student Number]),0),MATCH(VLOOKUP(E$7,'Writing Logic'!$J$7:$K$11,2,FALSE)&amp;" - Per "&amp;VLOOKUP($C$4,'Writing Logic'!$G$8:$H$14,2,FALSE),YES_Writing_ELA[#Headers],0)))="INS",'Writing Logic'!$B$7,IF(INDEX(_xlfn.VSTACK(YES_Writing_ELA[#Data],YES_Writing_FLA[#Data]),MATCH($A596,_xlfn.VSTACK(YES_Writing_ELA[Student Number],YES_Writing_FLA[Student Number]),0),MATCH(VLOOKUP(E$7,'Writing Logic'!$J$7:$K$11,2,FALSE)&amp;" - Per "&amp;VLOOKUP($C$4,'Writing Logic'!$G$8:$H$14,2,FALSE),YES_Writing_ELA[#Headers],0))=0,"",INDEX(_xlfn.VSTACK(YES_Writing_ELA[#Data],YES_Writing_FLA[#Data]),MATCH($A596,_xlfn.VSTACK(YES_Writing_ELA[Student Number],YES_Writing_FLA[Student Number]),0),MATCH(VLOOKUP(E$7,'Writing Logic'!$J$7:$K$11,2,FALSE)&amp;" - Per "&amp;VLOOKUP($C$4,'Writing Logic'!$G$8:$H$14,2,FALSE),YES_Writing_ELA[#Headers],0)))),"")</f>
        <v/>
      </c>
      <c r="F596" s="138" t="str">
        <f>IFERROR(IF(IF(INDEX(_xlfn.VSTACK(YES_Writing_ELA[#Data],YES_Writing_FLA[#Data]),MATCH($A596,_xlfn.VSTACK(YES_Writing_ELA[Student Number],YES_Writing_FLA[Student Number]),0),MATCH(VLOOKUP(F$7,'Writing Logic'!$J$7:$K$11,2,FALSE)&amp;" - Per "&amp;VLOOKUP($C$4,'Writing Logic'!$G$8:$H$14,2,FALSE),YES_Writing_ELA[#Headers],0))=0,"",INDEX(_xlfn.VSTACK(YES_Writing_ELA[#Data],YES_Writing_FLA[#Data]),MATCH($A596,_xlfn.VSTACK(YES_Writing_ELA[Student Number],YES_Writing_FLA[Student Number]),0),MATCH(VLOOKUP(F$7,'Writing Logic'!$J$7:$K$11,2,FALSE)&amp;" - Per "&amp;VLOOKUP($C$4,'Writing Logic'!$G$8:$H$14,2,FALSE),YES_Writing_ELA[#Headers],0)))="INS",'Writing Logic'!$B$7,IF(INDEX(_xlfn.VSTACK(YES_Writing_ELA[#Data],YES_Writing_FLA[#Data]),MATCH($A596,_xlfn.VSTACK(YES_Writing_ELA[Student Number],YES_Writing_FLA[Student Number]),0),MATCH(VLOOKUP(F$7,'Writing Logic'!$J$7:$K$11,2,FALSE)&amp;" - Per "&amp;VLOOKUP($C$4,'Writing Logic'!$G$8:$H$14,2,FALSE),YES_Writing_ELA[#Headers],0))=0,"",INDEX(_xlfn.VSTACK(YES_Writing_ELA[#Data],YES_Writing_FLA[#Data]),MATCH($A596,_xlfn.VSTACK(YES_Writing_ELA[Student Number],YES_Writing_FLA[Student Number]),0),MATCH(VLOOKUP(F$7,'Writing Logic'!$J$7:$K$11,2,FALSE)&amp;" - Per "&amp;VLOOKUP($C$4,'Writing Logic'!$G$8:$H$14,2,FALSE),YES_Writing_ELA[#Headers],0)))),"")</f>
        <v/>
      </c>
      <c r="G596" s="138" t="str">
        <f>IFERROR(IF(IF(INDEX(_xlfn.VSTACK(YES_Writing_ELA[#Data],YES_Writing_FLA[#Data]),MATCH($A596,_xlfn.VSTACK(YES_Writing_ELA[Student Number],YES_Writing_FLA[Student Number]),0),MATCH(VLOOKUP(G$7,'Writing Logic'!$J$7:$K$11,2,FALSE)&amp;" - Per "&amp;VLOOKUP($C$4,'Writing Logic'!$G$8:$H$14,2,FALSE),YES_Writing_ELA[#Headers],0))=0,"",INDEX(_xlfn.VSTACK(YES_Writing_ELA[#Data],YES_Writing_FLA[#Data]),MATCH($A596,_xlfn.VSTACK(YES_Writing_ELA[Student Number],YES_Writing_FLA[Student Number]),0),MATCH(VLOOKUP(G$7,'Writing Logic'!$J$7:$K$11,2,FALSE)&amp;" - Per "&amp;VLOOKUP($C$4,'Writing Logic'!$G$8:$H$14,2,FALSE),YES_Writing_ELA[#Headers],0)))="INS",'Writing Logic'!$B$7,IF(INDEX(_xlfn.VSTACK(YES_Writing_ELA[#Data],YES_Writing_FLA[#Data]),MATCH($A596,_xlfn.VSTACK(YES_Writing_ELA[Student Number],YES_Writing_FLA[Student Number]),0),MATCH(VLOOKUP(G$7,'Writing Logic'!$J$7:$K$11,2,FALSE)&amp;" - Per "&amp;VLOOKUP($C$4,'Writing Logic'!$G$8:$H$14,2,FALSE),YES_Writing_ELA[#Headers],0))=0,"",INDEX(_xlfn.VSTACK(YES_Writing_ELA[#Data],YES_Writing_FLA[#Data]),MATCH($A596,_xlfn.VSTACK(YES_Writing_ELA[Student Number],YES_Writing_FLA[Student Number]),0),MATCH(VLOOKUP(G$7,'Writing Logic'!$J$7:$K$11,2,FALSE)&amp;" - Per "&amp;VLOOKUP($C$4,'Writing Logic'!$G$8:$H$14,2,FALSE),YES_Writing_ELA[#Headers],0)))),"")</f>
        <v/>
      </c>
      <c r="H596" s="223" t="str">
        <f>IFERROR(IF(IF(INDEX(_xlfn.VSTACK(YES_Writing_ELA[#Data],YES_Writing_FLA[#Data]),MATCH($A596,_xlfn.VSTACK(YES_Writing_ELA[Student Number],YES_Writing_FLA[Student Number]),0),MATCH(VLOOKUP(H$7,'Writing Logic'!$J$7:$K$11,2,FALSE)&amp;" - Per "&amp;VLOOKUP($C$4,'Writing Logic'!$G$8:$H$14,2,FALSE),YES_Writing_ELA[#Headers],0))=0,"",INDEX(_xlfn.VSTACK(YES_Writing_ELA[#Data],YES_Writing_FLA[#Data]),MATCH($A596,_xlfn.VSTACK(YES_Writing_ELA[Student Number],YES_Writing_FLA[Student Number]),0),MATCH(VLOOKUP(H$7,'Writing Logic'!$J$7:$K$11,2,FALSE)&amp;" - Per "&amp;VLOOKUP($C$4,'Writing Logic'!$G$8:$H$14,2,FALSE),YES_Writing_ELA[#Headers],0)))="INS",'Writing Logic'!$B$7,IF(INDEX(_xlfn.VSTACK(YES_Writing_ELA[#Data],YES_Writing_FLA[#Data]),MATCH($A596,_xlfn.VSTACK(YES_Writing_ELA[Student Number],YES_Writing_FLA[Student Number]),0),MATCH(VLOOKUP(H$7,'Writing Logic'!$J$7:$K$11,2,FALSE)&amp;" - Per "&amp;VLOOKUP($C$4,'Writing Logic'!$G$8:$H$14,2,FALSE),YES_Writing_ELA[#Headers],0))=0,"",INDEX(_xlfn.VSTACK(YES_Writing_ELA[#Data],YES_Writing_FLA[#Data]),MATCH($A596,_xlfn.VSTACK(YES_Writing_ELA[Student Number],YES_Writing_FLA[Student Number]),0),MATCH(VLOOKUP(H$7,'Writing Logic'!$J$7:$K$11,2,FALSE)&amp;" - Per "&amp;VLOOKUP($C$4,'Writing Logic'!$G$8:$H$14,2,FALSE),YES_Writing_ELA[#Headers],0)))),"")</f>
        <v/>
      </c>
      <c r="I596" s="224" t="str" cm="1">
        <f t="array" aca="1" ref="I596" ca="1">IFERROR(
IF($G$3="ELA",
IF(VLOOKUP($A596, YES_Reading_ELA[], COLUMN(INDIRECT("YES_Reading_ELA[Difference - Per "&amp;VLOOKUP($G$4, 'Reading Report Logic'!$A$2:$B$8, 2, FALSE)&amp;"]")), FALSE)="", "",
VLOOKUP($A596,YES_Reading_ELA[], COLUMN(INDIRECT("YES_Reading_ELA[Difference - Per "&amp;VLOOKUP($G$4,'Reading Report Logic'!$A$2:$B$8,2,FALSE)&amp;"]")), FALSE)),
IF($G$3="FLA",
IF(VLOOKUP($A596, YES_Reading_FLA[], COLUMN(INDIRECT("YES_Reading_FLA[Difference - Per "&amp;VLOOKUP($G$4,'Reading Report Logic'!$A$2:$B$8,2,FALSE)&amp;"]")),FALSE)="","",
VLOOKUP($A596,YES_Reading_FLA[],COLUMN(INDIRECT("YES_Reading_FLA[Difference - Per "&amp;VLOOKUP($G$4,'Reading Report Logic'!$A$2:$B$8,2,FALSE)&amp;"]")),FALSE)),
IF($G$3="Combined",
IFERROR(
IF(VLOOKUP($A596, YES_Reading_ELA[], COLUMN(INDIRECT("YES_Reading_ELA[Difference - Per "&amp;VLOOKUP($G$4, 'Reading Report Logic'!$A$2:$B$8,2,FALSE)&amp;"]")), FALSE)="", "",
VLOOKUP($A596,YES_Reading_ELA[],COLUMN(INDIRECT("YES_Reading_ELA[Difference - Per "&amp;VLOOKUP($G$4,'Reading Report Logic'!$A$2:$B$8,2,FALSE)&amp;"]")),FALSE)),
IF(VLOOKUP($A596, YES_Reading_FLA[], COLUMN(INDIRECT("YES_Reading_FLA[Difference - Per "&amp;VLOOKUP($G$4, 'Reading Report Logic'!$A$2:$B$8, 2, FALSE)&amp;"]")),FALSE)="", "", VLOOKUP($A596,YES_Reading_FLA[],COLUMN(INDIRECT("YES_Reading_FLA[Difference - Per "&amp;VLOOKUP($G$4, 'Reading Report Logic'!$A$2:$B$8, 2, FALSE)&amp;"]")),FALSE))),""))),"")</f>
        <v/>
      </c>
    </row>
    <row r="597" spans="1:9" x14ac:dyDescent="0.25">
      <c r="A597" s="137"/>
      <c r="B597" s="137" t="str">
        <f>IFERROR(INDEX(_xlfn.VSTACK(YES_Writing_ELA[#Data], YES_Writing_FLA[#Data]),MATCH($A597,_xlfn.VSTACK(YES_Writing_ELA[Student Number], YES_Writing_FLA[Student Number]),0),MATCH(B$7,YES_Writing_ELA[#Headers],0)),IFERROR(INDEX(_xlfn.VSTACK(YES_Reading_ELA[#Data], YES_Reading_FLA[#Data]),MATCH($A597,_xlfn.VSTACK(YES_Reading_ELA[Student Number], YES_Reading_FLA[Student Number]),0),MATCH(B$7,YES_Reading_ELA[#Headers],0)),""))</f>
        <v/>
      </c>
      <c r="C597" s="137" t="str">
        <f>IFERROR(INDEX(_xlfn.VSTACK(YES_Writing_ELA[#Data], YES_Writing_FLA[#Data]),MATCH($A597,_xlfn.VSTACK(YES_Writing_ELA[Student Number], YES_Writing_FLA[Student Number]),0),MATCH(C$7,YES_Writing_ELA[#Headers],0)),IFERROR(INDEX(_xlfn.VSTACK(YES_Reading_ELA[#Data], YES_Reading_FLA[#Data]),MATCH($A597,_xlfn.VSTACK(YES_Reading_ELA[Student Number], YES_Reading_FLA[Student Number]),0),MATCH(C$7,YES_Reading_ELA[#Headers],0)),""))</f>
        <v/>
      </c>
      <c r="D597" s="138" t="str">
        <f>IFERROR(IF(IF(INDEX(_xlfn.VSTACK(YES_Writing_ELA[#Data],YES_Writing_FLA[#Data]),MATCH($A597,_xlfn.VSTACK(YES_Writing_ELA[Student Number],YES_Writing_FLA[Student Number]),0),MATCH(VLOOKUP(D$7,'Writing Logic'!$J$7:$K$11,2,FALSE)&amp;" - Per "&amp;VLOOKUP($C$4,'Writing Logic'!$G$8:$H$14,2,FALSE),YES_Writing_ELA[#Headers],0))=0,"",INDEX(_xlfn.VSTACK(YES_Writing_ELA[#Data],YES_Writing_FLA[#Data]),MATCH($A597,_xlfn.VSTACK(YES_Writing_ELA[Student Number],YES_Writing_FLA[Student Number]),0),MATCH(VLOOKUP(D$7,'Writing Logic'!$J$7:$K$11,2,FALSE)&amp;" - Per "&amp;VLOOKUP($C$4,'Writing Logic'!$G$8:$H$14,2,FALSE),YES_Writing_ELA[#Headers],0)))="INS",'Writing Logic'!$B$7,IF(INDEX(_xlfn.VSTACK(YES_Writing_ELA[#Data],YES_Writing_FLA[#Data]),MATCH($A597,_xlfn.VSTACK(YES_Writing_ELA[Student Number],YES_Writing_FLA[Student Number]),0),MATCH(VLOOKUP(D$7,'Writing Logic'!$J$7:$K$11,2,FALSE)&amp;" - Per "&amp;VLOOKUP($C$4,'Writing Logic'!$G$8:$H$14,2,FALSE),YES_Writing_ELA[#Headers],0))=0,"",INDEX(_xlfn.VSTACK(YES_Writing_ELA[#Data],YES_Writing_FLA[#Data]),MATCH($A597,_xlfn.VSTACK(YES_Writing_ELA[Student Number],YES_Writing_FLA[Student Number]),0),MATCH(VLOOKUP(D$7,'Writing Logic'!$J$7:$K$11,2,FALSE)&amp;" - Per "&amp;VLOOKUP($C$4,'Writing Logic'!$G$8:$H$14,2,FALSE),YES_Writing_ELA[#Headers],0)))),"")</f>
        <v/>
      </c>
      <c r="E597" s="138" t="str">
        <f>IFERROR(IF(IF(INDEX(_xlfn.VSTACK(YES_Writing_ELA[#Data],YES_Writing_FLA[#Data]),MATCH($A597,_xlfn.VSTACK(YES_Writing_ELA[Student Number],YES_Writing_FLA[Student Number]),0),MATCH(VLOOKUP(E$7,'Writing Logic'!$J$7:$K$11,2,FALSE)&amp;" - Per "&amp;VLOOKUP($C$4,'Writing Logic'!$G$8:$H$14,2,FALSE),YES_Writing_ELA[#Headers],0))=0,"",INDEX(_xlfn.VSTACK(YES_Writing_ELA[#Data],YES_Writing_FLA[#Data]),MATCH($A597,_xlfn.VSTACK(YES_Writing_ELA[Student Number],YES_Writing_FLA[Student Number]),0),MATCH(VLOOKUP(E$7,'Writing Logic'!$J$7:$K$11,2,FALSE)&amp;" - Per "&amp;VLOOKUP($C$4,'Writing Logic'!$G$8:$H$14,2,FALSE),YES_Writing_ELA[#Headers],0)))="INS",'Writing Logic'!$B$7,IF(INDEX(_xlfn.VSTACK(YES_Writing_ELA[#Data],YES_Writing_FLA[#Data]),MATCH($A597,_xlfn.VSTACK(YES_Writing_ELA[Student Number],YES_Writing_FLA[Student Number]),0),MATCH(VLOOKUP(E$7,'Writing Logic'!$J$7:$K$11,2,FALSE)&amp;" - Per "&amp;VLOOKUP($C$4,'Writing Logic'!$G$8:$H$14,2,FALSE),YES_Writing_ELA[#Headers],0))=0,"",INDEX(_xlfn.VSTACK(YES_Writing_ELA[#Data],YES_Writing_FLA[#Data]),MATCH($A597,_xlfn.VSTACK(YES_Writing_ELA[Student Number],YES_Writing_FLA[Student Number]),0),MATCH(VLOOKUP(E$7,'Writing Logic'!$J$7:$K$11,2,FALSE)&amp;" - Per "&amp;VLOOKUP($C$4,'Writing Logic'!$G$8:$H$14,2,FALSE),YES_Writing_ELA[#Headers],0)))),"")</f>
        <v/>
      </c>
      <c r="F597" s="138" t="str">
        <f>IFERROR(IF(IF(INDEX(_xlfn.VSTACK(YES_Writing_ELA[#Data],YES_Writing_FLA[#Data]),MATCH($A597,_xlfn.VSTACK(YES_Writing_ELA[Student Number],YES_Writing_FLA[Student Number]),0),MATCH(VLOOKUP(F$7,'Writing Logic'!$J$7:$K$11,2,FALSE)&amp;" - Per "&amp;VLOOKUP($C$4,'Writing Logic'!$G$8:$H$14,2,FALSE),YES_Writing_ELA[#Headers],0))=0,"",INDEX(_xlfn.VSTACK(YES_Writing_ELA[#Data],YES_Writing_FLA[#Data]),MATCH($A597,_xlfn.VSTACK(YES_Writing_ELA[Student Number],YES_Writing_FLA[Student Number]),0),MATCH(VLOOKUP(F$7,'Writing Logic'!$J$7:$K$11,2,FALSE)&amp;" - Per "&amp;VLOOKUP($C$4,'Writing Logic'!$G$8:$H$14,2,FALSE),YES_Writing_ELA[#Headers],0)))="INS",'Writing Logic'!$B$7,IF(INDEX(_xlfn.VSTACK(YES_Writing_ELA[#Data],YES_Writing_FLA[#Data]),MATCH($A597,_xlfn.VSTACK(YES_Writing_ELA[Student Number],YES_Writing_FLA[Student Number]),0),MATCH(VLOOKUP(F$7,'Writing Logic'!$J$7:$K$11,2,FALSE)&amp;" - Per "&amp;VLOOKUP($C$4,'Writing Logic'!$G$8:$H$14,2,FALSE),YES_Writing_ELA[#Headers],0))=0,"",INDEX(_xlfn.VSTACK(YES_Writing_ELA[#Data],YES_Writing_FLA[#Data]),MATCH($A597,_xlfn.VSTACK(YES_Writing_ELA[Student Number],YES_Writing_FLA[Student Number]),0),MATCH(VLOOKUP(F$7,'Writing Logic'!$J$7:$K$11,2,FALSE)&amp;" - Per "&amp;VLOOKUP($C$4,'Writing Logic'!$G$8:$H$14,2,FALSE),YES_Writing_ELA[#Headers],0)))),"")</f>
        <v/>
      </c>
      <c r="G597" s="138" t="str">
        <f>IFERROR(IF(IF(INDEX(_xlfn.VSTACK(YES_Writing_ELA[#Data],YES_Writing_FLA[#Data]),MATCH($A597,_xlfn.VSTACK(YES_Writing_ELA[Student Number],YES_Writing_FLA[Student Number]),0),MATCH(VLOOKUP(G$7,'Writing Logic'!$J$7:$K$11,2,FALSE)&amp;" - Per "&amp;VLOOKUP($C$4,'Writing Logic'!$G$8:$H$14,2,FALSE),YES_Writing_ELA[#Headers],0))=0,"",INDEX(_xlfn.VSTACK(YES_Writing_ELA[#Data],YES_Writing_FLA[#Data]),MATCH($A597,_xlfn.VSTACK(YES_Writing_ELA[Student Number],YES_Writing_FLA[Student Number]),0),MATCH(VLOOKUP(G$7,'Writing Logic'!$J$7:$K$11,2,FALSE)&amp;" - Per "&amp;VLOOKUP($C$4,'Writing Logic'!$G$8:$H$14,2,FALSE),YES_Writing_ELA[#Headers],0)))="INS",'Writing Logic'!$B$7,IF(INDEX(_xlfn.VSTACK(YES_Writing_ELA[#Data],YES_Writing_FLA[#Data]),MATCH($A597,_xlfn.VSTACK(YES_Writing_ELA[Student Number],YES_Writing_FLA[Student Number]),0),MATCH(VLOOKUP(G$7,'Writing Logic'!$J$7:$K$11,2,FALSE)&amp;" - Per "&amp;VLOOKUP($C$4,'Writing Logic'!$G$8:$H$14,2,FALSE),YES_Writing_ELA[#Headers],0))=0,"",INDEX(_xlfn.VSTACK(YES_Writing_ELA[#Data],YES_Writing_FLA[#Data]),MATCH($A597,_xlfn.VSTACK(YES_Writing_ELA[Student Number],YES_Writing_FLA[Student Number]),0),MATCH(VLOOKUP(G$7,'Writing Logic'!$J$7:$K$11,2,FALSE)&amp;" - Per "&amp;VLOOKUP($C$4,'Writing Logic'!$G$8:$H$14,2,FALSE),YES_Writing_ELA[#Headers],0)))),"")</f>
        <v/>
      </c>
      <c r="H597" s="223" t="str">
        <f>IFERROR(IF(IF(INDEX(_xlfn.VSTACK(YES_Writing_ELA[#Data],YES_Writing_FLA[#Data]),MATCH($A597,_xlfn.VSTACK(YES_Writing_ELA[Student Number],YES_Writing_FLA[Student Number]),0),MATCH(VLOOKUP(H$7,'Writing Logic'!$J$7:$K$11,2,FALSE)&amp;" - Per "&amp;VLOOKUP($C$4,'Writing Logic'!$G$8:$H$14,2,FALSE),YES_Writing_ELA[#Headers],0))=0,"",INDEX(_xlfn.VSTACK(YES_Writing_ELA[#Data],YES_Writing_FLA[#Data]),MATCH($A597,_xlfn.VSTACK(YES_Writing_ELA[Student Number],YES_Writing_FLA[Student Number]),0),MATCH(VLOOKUP(H$7,'Writing Logic'!$J$7:$K$11,2,FALSE)&amp;" - Per "&amp;VLOOKUP($C$4,'Writing Logic'!$G$8:$H$14,2,FALSE),YES_Writing_ELA[#Headers],0)))="INS",'Writing Logic'!$B$7,IF(INDEX(_xlfn.VSTACK(YES_Writing_ELA[#Data],YES_Writing_FLA[#Data]),MATCH($A597,_xlfn.VSTACK(YES_Writing_ELA[Student Number],YES_Writing_FLA[Student Number]),0),MATCH(VLOOKUP(H$7,'Writing Logic'!$J$7:$K$11,2,FALSE)&amp;" - Per "&amp;VLOOKUP($C$4,'Writing Logic'!$G$8:$H$14,2,FALSE),YES_Writing_ELA[#Headers],0))=0,"",INDEX(_xlfn.VSTACK(YES_Writing_ELA[#Data],YES_Writing_FLA[#Data]),MATCH($A597,_xlfn.VSTACK(YES_Writing_ELA[Student Number],YES_Writing_FLA[Student Number]),0),MATCH(VLOOKUP(H$7,'Writing Logic'!$J$7:$K$11,2,FALSE)&amp;" - Per "&amp;VLOOKUP($C$4,'Writing Logic'!$G$8:$H$14,2,FALSE),YES_Writing_ELA[#Headers],0)))),"")</f>
        <v/>
      </c>
      <c r="I597" s="224" t="str" cm="1">
        <f t="array" aca="1" ref="I597" ca="1">IFERROR(
IF($G$3="ELA",
IF(VLOOKUP($A597, YES_Reading_ELA[], COLUMN(INDIRECT("YES_Reading_ELA[Difference - Per "&amp;VLOOKUP($G$4, 'Reading Report Logic'!$A$2:$B$8, 2, FALSE)&amp;"]")), FALSE)="", "",
VLOOKUP($A597,YES_Reading_ELA[], COLUMN(INDIRECT("YES_Reading_ELA[Difference - Per "&amp;VLOOKUP($G$4,'Reading Report Logic'!$A$2:$B$8,2,FALSE)&amp;"]")), FALSE)),
IF($G$3="FLA",
IF(VLOOKUP($A597, YES_Reading_FLA[], COLUMN(INDIRECT("YES_Reading_FLA[Difference - Per "&amp;VLOOKUP($G$4,'Reading Report Logic'!$A$2:$B$8,2,FALSE)&amp;"]")),FALSE)="","",
VLOOKUP($A597,YES_Reading_FLA[],COLUMN(INDIRECT("YES_Reading_FLA[Difference - Per "&amp;VLOOKUP($G$4,'Reading Report Logic'!$A$2:$B$8,2,FALSE)&amp;"]")),FALSE)),
IF($G$3="Combined",
IFERROR(
IF(VLOOKUP($A597, YES_Reading_ELA[], COLUMN(INDIRECT("YES_Reading_ELA[Difference - Per "&amp;VLOOKUP($G$4, 'Reading Report Logic'!$A$2:$B$8,2,FALSE)&amp;"]")), FALSE)="", "",
VLOOKUP($A597,YES_Reading_ELA[],COLUMN(INDIRECT("YES_Reading_ELA[Difference - Per "&amp;VLOOKUP($G$4,'Reading Report Logic'!$A$2:$B$8,2,FALSE)&amp;"]")),FALSE)),
IF(VLOOKUP($A597, YES_Reading_FLA[], COLUMN(INDIRECT("YES_Reading_FLA[Difference - Per "&amp;VLOOKUP($G$4, 'Reading Report Logic'!$A$2:$B$8, 2, FALSE)&amp;"]")),FALSE)="", "", VLOOKUP($A597,YES_Reading_FLA[],COLUMN(INDIRECT("YES_Reading_FLA[Difference - Per "&amp;VLOOKUP($G$4, 'Reading Report Logic'!$A$2:$B$8, 2, FALSE)&amp;"]")),FALSE))),""))),"")</f>
        <v/>
      </c>
    </row>
    <row r="598" spans="1:9" x14ac:dyDescent="0.25">
      <c r="A598" s="137"/>
      <c r="B598" s="137" t="str">
        <f>IFERROR(INDEX(_xlfn.VSTACK(YES_Writing_ELA[#Data], YES_Writing_FLA[#Data]),MATCH($A598,_xlfn.VSTACK(YES_Writing_ELA[Student Number], YES_Writing_FLA[Student Number]),0),MATCH(B$7,YES_Writing_ELA[#Headers],0)),IFERROR(INDEX(_xlfn.VSTACK(YES_Reading_ELA[#Data], YES_Reading_FLA[#Data]),MATCH($A598,_xlfn.VSTACK(YES_Reading_ELA[Student Number], YES_Reading_FLA[Student Number]),0),MATCH(B$7,YES_Reading_ELA[#Headers],0)),""))</f>
        <v/>
      </c>
      <c r="C598" s="137" t="str">
        <f>IFERROR(INDEX(_xlfn.VSTACK(YES_Writing_ELA[#Data], YES_Writing_FLA[#Data]),MATCH($A598,_xlfn.VSTACK(YES_Writing_ELA[Student Number], YES_Writing_FLA[Student Number]),0),MATCH(C$7,YES_Writing_ELA[#Headers],0)),IFERROR(INDEX(_xlfn.VSTACK(YES_Reading_ELA[#Data], YES_Reading_FLA[#Data]),MATCH($A598,_xlfn.VSTACK(YES_Reading_ELA[Student Number], YES_Reading_FLA[Student Number]),0),MATCH(C$7,YES_Reading_ELA[#Headers],0)),""))</f>
        <v/>
      </c>
      <c r="D598" s="138" t="str">
        <f>IFERROR(IF(IF(INDEX(_xlfn.VSTACK(YES_Writing_ELA[#Data],YES_Writing_FLA[#Data]),MATCH($A598,_xlfn.VSTACK(YES_Writing_ELA[Student Number],YES_Writing_FLA[Student Number]),0),MATCH(VLOOKUP(D$7,'Writing Logic'!$J$7:$K$11,2,FALSE)&amp;" - Per "&amp;VLOOKUP($C$4,'Writing Logic'!$G$8:$H$14,2,FALSE),YES_Writing_ELA[#Headers],0))=0,"",INDEX(_xlfn.VSTACK(YES_Writing_ELA[#Data],YES_Writing_FLA[#Data]),MATCH($A598,_xlfn.VSTACK(YES_Writing_ELA[Student Number],YES_Writing_FLA[Student Number]),0),MATCH(VLOOKUP(D$7,'Writing Logic'!$J$7:$K$11,2,FALSE)&amp;" - Per "&amp;VLOOKUP($C$4,'Writing Logic'!$G$8:$H$14,2,FALSE),YES_Writing_ELA[#Headers],0)))="INS",'Writing Logic'!$B$7,IF(INDEX(_xlfn.VSTACK(YES_Writing_ELA[#Data],YES_Writing_FLA[#Data]),MATCH($A598,_xlfn.VSTACK(YES_Writing_ELA[Student Number],YES_Writing_FLA[Student Number]),0),MATCH(VLOOKUP(D$7,'Writing Logic'!$J$7:$K$11,2,FALSE)&amp;" - Per "&amp;VLOOKUP($C$4,'Writing Logic'!$G$8:$H$14,2,FALSE),YES_Writing_ELA[#Headers],0))=0,"",INDEX(_xlfn.VSTACK(YES_Writing_ELA[#Data],YES_Writing_FLA[#Data]),MATCH($A598,_xlfn.VSTACK(YES_Writing_ELA[Student Number],YES_Writing_FLA[Student Number]),0),MATCH(VLOOKUP(D$7,'Writing Logic'!$J$7:$K$11,2,FALSE)&amp;" - Per "&amp;VLOOKUP($C$4,'Writing Logic'!$G$8:$H$14,2,FALSE),YES_Writing_ELA[#Headers],0)))),"")</f>
        <v/>
      </c>
      <c r="E598" s="138" t="str">
        <f>IFERROR(IF(IF(INDEX(_xlfn.VSTACK(YES_Writing_ELA[#Data],YES_Writing_FLA[#Data]),MATCH($A598,_xlfn.VSTACK(YES_Writing_ELA[Student Number],YES_Writing_FLA[Student Number]),0),MATCH(VLOOKUP(E$7,'Writing Logic'!$J$7:$K$11,2,FALSE)&amp;" - Per "&amp;VLOOKUP($C$4,'Writing Logic'!$G$8:$H$14,2,FALSE),YES_Writing_ELA[#Headers],0))=0,"",INDEX(_xlfn.VSTACK(YES_Writing_ELA[#Data],YES_Writing_FLA[#Data]),MATCH($A598,_xlfn.VSTACK(YES_Writing_ELA[Student Number],YES_Writing_FLA[Student Number]),0),MATCH(VLOOKUP(E$7,'Writing Logic'!$J$7:$K$11,2,FALSE)&amp;" - Per "&amp;VLOOKUP($C$4,'Writing Logic'!$G$8:$H$14,2,FALSE),YES_Writing_ELA[#Headers],0)))="INS",'Writing Logic'!$B$7,IF(INDEX(_xlfn.VSTACK(YES_Writing_ELA[#Data],YES_Writing_FLA[#Data]),MATCH($A598,_xlfn.VSTACK(YES_Writing_ELA[Student Number],YES_Writing_FLA[Student Number]),0),MATCH(VLOOKUP(E$7,'Writing Logic'!$J$7:$K$11,2,FALSE)&amp;" - Per "&amp;VLOOKUP($C$4,'Writing Logic'!$G$8:$H$14,2,FALSE),YES_Writing_ELA[#Headers],0))=0,"",INDEX(_xlfn.VSTACK(YES_Writing_ELA[#Data],YES_Writing_FLA[#Data]),MATCH($A598,_xlfn.VSTACK(YES_Writing_ELA[Student Number],YES_Writing_FLA[Student Number]),0),MATCH(VLOOKUP(E$7,'Writing Logic'!$J$7:$K$11,2,FALSE)&amp;" - Per "&amp;VLOOKUP($C$4,'Writing Logic'!$G$8:$H$14,2,FALSE),YES_Writing_ELA[#Headers],0)))),"")</f>
        <v/>
      </c>
      <c r="F598" s="138" t="str">
        <f>IFERROR(IF(IF(INDEX(_xlfn.VSTACK(YES_Writing_ELA[#Data],YES_Writing_FLA[#Data]),MATCH($A598,_xlfn.VSTACK(YES_Writing_ELA[Student Number],YES_Writing_FLA[Student Number]),0),MATCH(VLOOKUP(F$7,'Writing Logic'!$J$7:$K$11,2,FALSE)&amp;" - Per "&amp;VLOOKUP($C$4,'Writing Logic'!$G$8:$H$14,2,FALSE),YES_Writing_ELA[#Headers],0))=0,"",INDEX(_xlfn.VSTACK(YES_Writing_ELA[#Data],YES_Writing_FLA[#Data]),MATCH($A598,_xlfn.VSTACK(YES_Writing_ELA[Student Number],YES_Writing_FLA[Student Number]),0),MATCH(VLOOKUP(F$7,'Writing Logic'!$J$7:$K$11,2,FALSE)&amp;" - Per "&amp;VLOOKUP($C$4,'Writing Logic'!$G$8:$H$14,2,FALSE),YES_Writing_ELA[#Headers],0)))="INS",'Writing Logic'!$B$7,IF(INDEX(_xlfn.VSTACK(YES_Writing_ELA[#Data],YES_Writing_FLA[#Data]),MATCH($A598,_xlfn.VSTACK(YES_Writing_ELA[Student Number],YES_Writing_FLA[Student Number]),0),MATCH(VLOOKUP(F$7,'Writing Logic'!$J$7:$K$11,2,FALSE)&amp;" - Per "&amp;VLOOKUP($C$4,'Writing Logic'!$G$8:$H$14,2,FALSE),YES_Writing_ELA[#Headers],0))=0,"",INDEX(_xlfn.VSTACK(YES_Writing_ELA[#Data],YES_Writing_FLA[#Data]),MATCH($A598,_xlfn.VSTACK(YES_Writing_ELA[Student Number],YES_Writing_FLA[Student Number]),0),MATCH(VLOOKUP(F$7,'Writing Logic'!$J$7:$K$11,2,FALSE)&amp;" - Per "&amp;VLOOKUP($C$4,'Writing Logic'!$G$8:$H$14,2,FALSE),YES_Writing_ELA[#Headers],0)))),"")</f>
        <v/>
      </c>
      <c r="G598" s="138" t="str">
        <f>IFERROR(IF(IF(INDEX(_xlfn.VSTACK(YES_Writing_ELA[#Data],YES_Writing_FLA[#Data]),MATCH($A598,_xlfn.VSTACK(YES_Writing_ELA[Student Number],YES_Writing_FLA[Student Number]),0),MATCH(VLOOKUP(G$7,'Writing Logic'!$J$7:$K$11,2,FALSE)&amp;" - Per "&amp;VLOOKUP($C$4,'Writing Logic'!$G$8:$H$14,2,FALSE),YES_Writing_ELA[#Headers],0))=0,"",INDEX(_xlfn.VSTACK(YES_Writing_ELA[#Data],YES_Writing_FLA[#Data]),MATCH($A598,_xlfn.VSTACK(YES_Writing_ELA[Student Number],YES_Writing_FLA[Student Number]),0),MATCH(VLOOKUP(G$7,'Writing Logic'!$J$7:$K$11,2,FALSE)&amp;" - Per "&amp;VLOOKUP($C$4,'Writing Logic'!$G$8:$H$14,2,FALSE),YES_Writing_ELA[#Headers],0)))="INS",'Writing Logic'!$B$7,IF(INDEX(_xlfn.VSTACK(YES_Writing_ELA[#Data],YES_Writing_FLA[#Data]),MATCH($A598,_xlfn.VSTACK(YES_Writing_ELA[Student Number],YES_Writing_FLA[Student Number]),0),MATCH(VLOOKUP(G$7,'Writing Logic'!$J$7:$K$11,2,FALSE)&amp;" - Per "&amp;VLOOKUP($C$4,'Writing Logic'!$G$8:$H$14,2,FALSE),YES_Writing_ELA[#Headers],0))=0,"",INDEX(_xlfn.VSTACK(YES_Writing_ELA[#Data],YES_Writing_FLA[#Data]),MATCH($A598,_xlfn.VSTACK(YES_Writing_ELA[Student Number],YES_Writing_FLA[Student Number]),0),MATCH(VLOOKUP(G$7,'Writing Logic'!$J$7:$K$11,2,FALSE)&amp;" - Per "&amp;VLOOKUP($C$4,'Writing Logic'!$G$8:$H$14,2,FALSE),YES_Writing_ELA[#Headers],0)))),"")</f>
        <v/>
      </c>
      <c r="H598" s="223" t="str">
        <f>IFERROR(IF(IF(INDEX(_xlfn.VSTACK(YES_Writing_ELA[#Data],YES_Writing_FLA[#Data]),MATCH($A598,_xlfn.VSTACK(YES_Writing_ELA[Student Number],YES_Writing_FLA[Student Number]),0),MATCH(VLOOKUP(H$7,'Writing Logic'!$J$7:$K$11,2,FALSE)&amp;" - Per "&amp;VLOOKUP($C$4,'Writing Logic'!$G$8:$H$14,2,FALSE),YES_Writing_ELA[#Headers],0))=0,"",INDEX(_xlfn.VSTACK(YES_Writing_ELA[#Data],YES_Writing_FLA[#Data]),MATCH($A598,_xlfn.VSTACK(YES_Writing_ELA[Student Number],YES_Writing_FLA[Student Number]),0),MATCH(VLOOKUP(H$7,'Writing Logic'!$J$7:$K$11,2,FALSE)&amp;" - Per "&amp;VLOOKUP($C$4,'Writing Logic'!$G$8:$H$14,2,FALSE),YES_Writing_ELA[#Headers],0)))="INS",'Writing Logic'!$B$7,IF(INDEX(_xlfn.VSTACK(YES_Writing_ELA[#Data],YES_Writing_FLA[#Data]),MATCH($A598,_xlfn.VSTACK(YES_Writing_ELA[Student Number],YES_Writing_FLA[Student Number]),0),MATCH(VLOOKUP(H$7,'Writing Logic'!$J$7:$K$11,2,FALSE)&amp;" - Per "&amp;VLOOKUP($C$4,'Writing Logic'!$G$8:$H$14,2,FALSE),YES_Writing_ELA[#Headers],0))=0,"",INDEX(_xlfn.VSTACK(YES_Writing_ELA[#Data],YES_Writing_FLA[#Data]),MATCH($A598,_xlfn.VSTACK(YES_Writing_ELA[Student Number],YES_Writing_FLA[Student Number]),0),MATCH(VLOOKUP(H$7,'Writing Logic'!$J$7:$K$11,2,FALSE)&amp;" - Per "&amp;VLOOKUP($C$4,'Writing Logic'!$G$8:$H$14,2,FALSE),YES_Writing_ELA[#Headers],0)))),"")</f>
        <v/>
      </c>
      <c r="I598" s="224" t="str" cm="1">
        <f t="array" aca="1" ref="I598" ca="1">IFERROR(
IF($G$3="ELA",
IF(VLOOKUP($A598, YES_Reading_ELA[], COLUMN(INDIRECT("YES_Reading_ELA[Difference - Per "&amp;VLOOKUP($G$4, 'Reading Report Logic'!$A$2:$B$8, 2, FALSE)&amp;"]")), FALSE)="", "",
VLOOKUP($A598,YES_Reading_ELA[], COLUMN(INDIRECT("YES_Reading_ELA[Difference - Per "&amp;VLOOKUP($G$4,'Reading Report Logic'!$A$2:$B$8,2,FALSE)&amp;"]")), FALSE)),
IF($G$3="FLA",
IF(VLOOKUP($A598, YES_Reading_FLA[], COLUMN(INDIRECT("YES_Reading_FLA[Difference - Per "&amp;VLOOKUP($G$4,'Reading Report Logic'!$A$2:$B$8,2,FALSE)&amp;"]")),FALSE)="","",
VLOOKUP($A598,YES_Reading_FLA[],COLUMN(INDIRECT("YES_Reading_FLA[Difference - Per "&amp;VLOOKUP($G$4,'Reading Report Logic'!$A$2:$B$8,2,FALSE)&amp;"]")),FALSE)),
IF($G$3="Combined",
IFERROR(
IF(VLOOKUP($A598, YES_Reading_ELA[], COLUMN(INDIRECT("YES_Reading_ELA[Difference - Per "&amp;VLOOKUP($G$4, 'Reading Report Logic'!$A$2:$B$8,2,FALSE)&amp;"]")), FALSE)="", "",
VLOOKUP($A598,YES_Reading_ELA[],COLUMN(INDIRECT("YES_Reading_ELA[Difference - Per "&amp;VLOOKUP($G$4,'Reading Report Logic'!$A$2:$B$8,2,FALSE)&amp;"]")),FALSE)),
IF(VLOOKUP($A598, YES_Reading_FLA[], COLUMN(INDIRECT("YES_Reading_FLA[Difference - Per "&amp;VLOOKUP($G$4, 'Reading Report Logic'!$A$2:$B$8, 2, FALSE)&amp;"]")),FALSE)="", "", VLOOKUP($A598,YES_Reading_FLA[],COLUMN(INDIRECT("YES_Reading_FLA[Difference - Per "&amp;VLOOKUP($G$4, 'Reading Report Logic'!$A$2:$B$8, 2, FALSE)&amp;"]")),FALSE))),""))),"")</f>
        <v/>
      </c>
    </row>
    <row r="599" spans="1:9" x14ac:dyDescent="0.25">
      <c r="A599" s="137"/>
      <c r="B599" s="137" t="str">
        <f>IFERROR(INDEX(_xlfn.VSTACK(YES_Writing_ELA[#Data], YES_Writing_FLA[#Data]),MATCH($A599,_xlfn.VSTACK(YES_Writing_ELA[Student Number], YES_Writing_FLA[Student Number]),0),MATCH(B$7,YES_Writing_ELA[#Headers],0)),IFERROR(INDEX(_xlfn.VSTACK(YES_Reading_ELA[#Data], YES_Reading_FLA[#Data]),MATCH($A599,_xlfn.VSTACK(YES_Reading_ELA[Student Number], YES_Reading_FLA[Student Number]),0),MATCH(B$7,YES_Reading_ELA[#Headers],0)),""))</f>
        <v/>
      </c>
      <c r="C599" s="137" t="str">
        <f>IFERROR(INDEX(_xlfn.VSTACK(YES_Writing_ELA[#Data], YES_Writing_FLA[#Data]),MATCH($A599,_xlfn.VSTACK(YES_Writing_ELA[Student Number], YES_Writing_FLA[Student Number]),0),MATCH(C$7,YES_Writing_ELA[#Headers],0)),IFERROR(INDEX(_xlfn.VSTACK(YES_Reading_ELA[#Data], YES_Reading_FLA[#Data]),MATCH($A599,_xlfn.VSTACK(YES_Reading_ELA[Student Number], YES_Reading_FLA[Student Number]),0),MATCH(C$7,YES_Reading_ELA[#Headers],0)),""))</f>
        <v/>
      </c>
      <c r="D599" s="138" t="str">
        <f>IFERROR(IF(IF(INDEX(_xlfn.VSTACK(YES_Writing_ELA[#Data],YES_Writing_FLA[#Data]),MATCH($A599,_xlfn.VSTACK(YES_Writing_ELA[Student Number],YES_Writing_FLA[Student Number]),0),MATCH(VLOOKUP(D$7,'Writing Logic'!$J$7:$K$11,2,FALSE)&amp;" - Per "&amp;VLOOKUP($C$4,'Writing Logic'!$G$8:$H$14,2,FALSE),YES_Writing_ELA[#Headers],0))=0,"",INDEX(_xlfn.VSTACK(YES_Writing_ELA[#Data],YES_Writing_FLA[#Data]),MATCH($A599,_xlfn.VSTACK(YES_Writing_ELA[Student Number],YES_Writing_FLA[Student Number]),0),MATCH(VLOOKUP(D$7,'Writing Logic'!$J$7:$K$11,2,FALSE)&amp;" - Per "&amp;VLOOKUP($C$4,'Writing Logic'!$G$8:$H$14,2,FALSE),YES_Writing_ELA[#Headers],0)))="INS",'Writing Logic'!$B$7,IF(INDEX(_xlfn.VSTACK(YES_Writing_ELA[#Data],YES_Writing_FLA[#Data]),MATCH($A599,_xlfn.VSTACK(YES_Writing_ELA[Student Number],YES_Writing_FLA[Student Number]),0),MATCH(VLOOKUP(D$7,'Writing Logic'!$J$7:$K$11,2,FALSE)&amp;" - Per "&amp;VLOOKUP($C$4,'Writing Logic'!$G$8:$H$14,2,FALSE),YES_Writing_ELA[#Headers],0))=0,"",INDEX(_xlfn.VSTACK(YES_Writing_ELA[#Data],YES_Writing_FLA[#Data]),MATCH($A599,_xlfn.VSTACK(YES_Writing_ELA[Student Number],YES_Writing_FLA[Student Number]),0),MATCH(VLOOKUP(D$7,'Writing Logic'!$J$7:$K$11,2,FALSE)&amp;" - Per "&amp;VLOOKUP($C$4,'Writing Logic'!$G$8:$H$14,2,FALSE),YES_Writing_ELA[#Headers],0)))),"")</f>
        <v/>
      </c>
      <c r="E599" s="138" t="str">
        <f>IFERROR(IF(IF(INDEX(_xlfn.VSTACK(YES_Writing_ELA[#Data],YES_Writing_FLA[#Data]),MATCH($A599,_xlfn.VSTACK(YES_Writing_ELA[Student Number],YES_Writing_FLA[Student Number]),0),MATCH(VLOOKUP(E$7,'Writing Logic'!$J$7:$K$11,2,FALSE)&amp;" - Per "&amp;VLOOKUP($C$4,'Writing Logic'!$G$8:$H$14,2,FALSE),YES_Writing_ELA[#Headers],0))=0,"",INDEX(_xlfn.VSTACK(YES_Writing_ELA[#Data],YES_Writing_FLA[#Data]),MATCH($A599,_xlfn.VSTACK(YES_Writing_ELA[Student Number],YES_Writing_FLA[Student Number]),0),MATCH(VLOOKUP(E$7,'Writing Logic'!$J$7:$K$11,2,FALSE)&amp;" - Per "&amp;VLOOKUP($C$4,'Writing Logic'!$G$8:$H$14,2,FALSE),YES_Writing_ELA[#Headers],0)))="INS",'Writing Logic'!$B$7,IF(INDEX(_xlfn.VSTACK(YES_Writing_ELA[#Data],YES_Writing_FLA[#Data]),MATCH($A599,_xlfn.VSTACK(YES_Writing_ELA[Student Number],YES_Writing_FLA[Student Number]),0),MATCH(VLOOKUP(E$7,'Writing Logic'!$J$7:$K$11,2,FALSE)&amp;" - Per "&amp;VLOOKUP($C$4,'Writing Logic'!$G$8:$H$14,2,FALSE),YES_Writing_ELA[#Headers],0))=0,"",INDEX(_xlfn.VSTACK(YES_Writing_ELA[#Data],YES_Writing_FLA[#Data]),MATCH($A599,_xlfn.VSTACK(YES_Writing_ELA[Student Number],YES_Writing_FLA[Student Number]),0),MATCH(VLOOKUP(E$7,'Writing Logic'!$J$7:$K$11,2,FALSE)&amp;" - Per "&amp;VLOOKUP($C$4,'Writing Logic'!$G$8:$H$14,2,FALSE),YES_Writing_ELA[#Headers],0)))),"")</f>
        <v/>
      </c>
      <c r="F599" s="138" t="str">
        <f>IFERROR(IF(IF(INDEX(_xlfn.VSTACK(YES_Writing_ELA[#Data],YES_Writing_FLA[#Data]),MATCH($A599,_xlfn.VSTACK(YES_Writing_ELA[Student Number],YES_Writing_FLA[Student Number]),0),MATCH(VLOOKUP(F$7,'Writing Logic'!$J$7:$K$11,2,FALSE)&amp;" - Per "&amp;VLOOKUP($C$4,'Writing Logic'!$G$8:$H$14,2,FALSE),YES_Writing_ELA[#Headers],0))=0,"",INDEX(_xlfn.VSTACK(YES_Writing_ELA[#Data],YES_Writing_FLA[#Data]),MATCH($A599,_xlfn.VSTACK(YES_Writing_ELA[Student Number],YES_Writing_FLA[Student Number]),0),MATCH(VLOOKUP(F$7,'Writing Logic'!$J$7:$K$11,2,FALSE)&amp;" - Per "&amp;VLOOKUP($C$4,'Writing Logic'!$G$8:$H$14,2,FALSE),YES_Writing_ELA[#Headers],0)))="INS",'Writing Logic'!$B$7,IF(INDEX(_xlfn.VSTACK(YES_Writing_ELA[#Data],YES_Writing_FLA[#Data]),MATCH($A599,_xlfn.VSTACK(YES_Writing_ELA[Student Number],YES_Writing_FLA[Student Number]),0),MATCH(VLOOKUP(F$7,'Writing Logic'!$J$7:$K$11,2,FALSE)&amp;" - Per "&amp;VLOOKUP($C$4,'Writing Logic'!$G$8:$H$14,2,FALSE),YES_Writing_ELA[#Headers],0))=0,"",INDEX(_xlfn.VSTACK(YES_Writing_ELA[#Data],YES_Writing_FLA[#Data]),MATCH($A599,_xlfn.VSTACK(YES_Writing_ELA[Student Number],YES_Writing_FLA[Student Number]),0),MATCH(VLOOKUP(F$7,'Writing Logic'!$J$7:$K$11,2,FALSE)&amp;" - Per "&amp;VLOOKUP($C$4,'Writing Logic'!$G$8:$H$14,2,FALSE),YES_Writing_ELA[#Headers],0)))),"")</f>
        <v/>
      </c>
      <c r="G599" s="138" t="str">
        <f>IFERROR(IF(IF(INDEX(_xlfn.VSTACK(YES_Writing_ELA[#Data],YES_Writing_FLA[#Data]),MATCH($A599,_xlfn.VSTACK(YES_Writing_ELA[Student Number],YES_Writing_FLA[Student Number]),0),MATCH(VLOOKUP(G$7,'Writing Logic'!$J$7:$K$11,2,FALSE)&amp;" - Per "&amp;VLOOKUP($C$4,'Writing Logic'!$G$8:$H$14,2,FALSE),YES_Writing_ELA[#Headers],0))=0,"",INDEX(_xlfn.VSTACK(YES_Writing_ELA[#Data],YES_Writing_FLA[#Data]),MATCH($A599,_xlfn.VSTACK(YES_Writing_ELA[Student Number],YES_Writing_FLA[Student Number]),0),MATCH(VLOOKUP(G$7,'Writing Logic'!$J$7:$K$11,2,FALSE)&amp;" - Per "&amp;VLOOKUP($C$4,'Writing Logic'!$G$8:$H$14,2,FALSE),YES_Writing_ELA[#Headers],0)))="INS",'Writing Logic'!$B$7,IF(INDEX(_xlfn.VSTACK(YES_Writing_ELA[#Data],YES_Writing_FLA[#Data]),MATCH($A599,_xlfn.VSTACK(YES_Writing_ELA[Student Number],YES_Writing_FLA[Student Number]),0),MATCH(VLOOKUP(G$7,'Writing Logic'!$J$7:$K$11,2,FALSE)&amp;" - Per "&amp;VLOOKUP($C$4,'Writing Logic'!$G$8:$H$14,2,FALSE),YES_Writing_ELA[#Headers],0))=0,"",INDEX(_xlfn.VSTACK(YES_Writing_ELA[#Data],YES_Writing_FLA[#Data]),MATCH($A599,_xlfn.VSTACK(YES_Writing_ELA[Student Number],YES_Writing_FLA[Student Number]),0),MATCH(VLOOKUP(G$7,'Writing Logic'!$J$7:$K$11,2,FALSE)&amp;" - Per "&amp;VLOOKUP($C$4,'Writing Logic'!$G$8:$H$14,2,FALSE),YES_Writing_ELA[#Headers],0)))),"")</f>
        <v/>
      </c>
      <c r="H599" s="223" t="str">
        <f>IFERROR(IF(IF(INDEX(_xlfn.VSTACK(YES_Writing_ELA[#Data],YES_Writing_FLA[#Data]),MATCH($A599,_xlfn.VSTACK(YES_Writing_ELA[Student Number],YES_Writing_FLA[Student Number]),0),MATCH(VLOOKUP(H$7,'Writing Logic'!$J$7:$K$11,2,FALSE)&amp;" - Per "&amp;VLOOKUP($C$4,'Writing Logic'!$G$8:$H$14,2,FALSE),YES_Writing_ELA[#Headers],0))=0,"",INDEX(_xlfn.VSTACK(YES_Writing_ELA[#Data],YES_Writing_FLA[#Data]),MATCH($A599,_xlfn.VSTACK(YES_Writing_ELA[Student Number],YES_Writing_FLA[Student Number]),0),MATCH(VLOOKUP(H$7,'Writing Logic'!$J$7:$K$11,2,FALSE)&amp;" - Per "&amp;VLOOKUP($C$4,'Writing Logic'!$G$8:$H$14,2,FALSE),YES_Writing_ELA[#Headers],0)))="INS",'Writing Logic'!$B$7,IF(INDEX(_xlfn.VSTACK(YES_Writing_ELA[#Data],YES_Writing_FLA[#Data]),MATCH($A599,_xlfn.VSTACK(YES_Writing_ELA[Student Number],YES_Writing_FLA[Student Number]),0),MATCH(VLOOKUP(H$7,'Writing Logic'!$J$7:$K$11,2,FALSE)&amp;" - Per "&amp;VLOOKUP($C$4,'Writing Logic'!$G$8:$H$14,2,FALSE),YES_Writing_ELA[#Headers],0))=0,"",INDEX(_xlfn.VSTACK(YES_Writing_ELA[#Data],YES_Writing_FLA[#Data]),MATCH($A599,_xlfn.VSTACK(YES_Writing_ELA[Student Number],YES_Writing_FLA[Student Number]),0),MATCH(VLOOKUP(H$7,'Writing Logic'!$J$7:$K$11,2,FALSE)&amp;" - Per "&amp;VLOOKUP($C$4,'Writing Logic'!$G$8:$H$14,2,FALSE),YES_Writing_ELA[#Headers],0)))),"")</f>
        <v/>
      </c>
      <c r="I599" s="224" t="str" cm="1">
        <f t="array" aca="1" ref="I599" ca="1">IFERROR(
IF($G$3="ELA",
IF(VLOOKUP($A599, YES_Reading_ELA[], COLUMN(INDIRECT("YES_Reading_ELA[Difference - Per "&amp;VLOOKUP($G$4, 'Reading Report Logic'!$A$2:$B$8, 2, FALSE)&amp;"]")), FALSE)="", "",
VLOOKUP($A599,YES_Reading_ELA[], COLUMN(INDIRECT("YES_Reading_ELA[Difference - Per "&amp;VLOOKUP($G$4,'Reading Report Logic'!$A$2:$B$8,2,FALSE)&amp;"]")), FALSE)),
IF($G$3="FLA",
IF(VLOOKUP($A599, YES_Reading_FLA[], COLUMN(INDIRECT("YES_Reading_FLA[Difference - Per "&amp;VLOOKUP($G$4,'Reading Report Logic'!$A$2:$B$8,2,FALSE)&amp;"]")),FALSE)="","",
VLOOKUP($A599,YES_Reading_FLA[],COLUMN(INDIRECT("YES_Reading_FLA[Difference - Per "&amp;VLOOKUP($G$4,'Reading Report Logic'!$A$2:$B$8,2,FALSE)&amp;"]")),FALSE)),
IF($G$3="Combined",
IFERROR(
IF(VLOOKUP($A599, YES_Reading_ELA[], COLUMN(INDIRECT("YES_Reading_ELA[Difference - Per "&amp;VLOOKUP($G$4, 'Reading Report Logic'!$A$2:$B$8,2,FALSE)&amp;"]")), FALSE)="", "",
VLOOKUP($A599,YES_Reading_ELA[],COLUMN(INDIRECT("YES_Reading_ELA[Difference - Per "&amp;VLOOKUP($G$4,'Reading Report Logic'!$A$2:$B$8,2,FALSE)&amp;"]")),FALSE)),
IF(VLOOKUP($A599, YES_Reading_FLA[], COLUMN(INDIRECT("YES_Reading_FLA[Difference - Per "&amp;VLOOKUP($G$4, 'Reading Report Logic'!$A$2:$B$8, 2, FALSE)&amp;"]")),FALSE)="", "", VLOOKUP($A599,YES_Reading_FLA[],COLUMN(INDIRECT("YES_Reading_FLA[Difference - Per "&amp;VLOOKUP($G$4, 'Reading Report Logic'!$A$2:$B$8, 2, FALSE)&amp;"]")),FALSE))),""))),"")</f>
        <v/>
      </c>
    </row>
    <row r="600" spans="1:9" x14ac:dyDescent="0.25">
      <c r="A600" s="137"/>
      <c r="B600" s="137" t="str">
        <f>IFERROR(INDEX(_xlfn.VSTACK(YES_Writing_ELA[#Data], YES_Writing_FLA[#Data]),MATCH($A600,_xlfn.VSTACK(YES_Writing_ELA[Student Number], YES_Writing_FLA[Student Number]),0),MATCH(B$7,YES_Writing_ELA[#Headers],0)),IFERROR(INDEX(_xlfn.VSTACK(YES_Reading_ELA[#Data], YES_Reading_FLA[#Data]),MATCH($A600,_xlfn.VSTACK(YES_Reading_ELA[Student Number], YES_Reading_FLA[Student Number]),0),MATCH(B$7,YES_Reading_ELA[#Headers],0)),""))</f>
        <v/>
      </c>
      <c r="C600" s="137" t="str">
        <f>IFERROR(INDEX(_xlfn.VSTACK(YES_Writing_ELA[#Data], YES_Writing_FLA[#Data]),MATCH($A600,_xlfn.VSTACK(YES_Writing_ELA[Student Number], YES_Writing_FLA[Student Number]),0),MATCH(C$7,YES_Writing_ELA[#Headers],0)),IFERROR(INDEX(_xlfn.VSTACK(YES_Reading_ELA[#Data], YES_Reading_FLA[#Data]),MATCH($A600,_xlfn.VSTACK(YES_Reading_ELA[Student Number], YES_Reading_FLA[Student Number]),0),MATCH(C$7,YES_Reading_ELA[#Headers],0)),""))</f>
        <v/>
      </c>
      <c r="D600" s="138" t="str">
        <f>IFERROR(IF(IF(INDEX(_xlfn.VSTACK(YES_Writing_ELA[#Data],YES_Writing_FLA[#Data]),MATCH($A600,_xlfn.VSTACK(YES_Writing_ELA[Student Number],YES_Writing_FLA[Student Number]),0),MATCH(VLOOKUP(D$7,'Writing Logic'!$J$7:$K$11,2,FALSE)&amp;" - Per "&amp;VLOOKUP($C$4,'Writing Logic'!$G$8:$H$14,2,FALSE),YES_Writing_ELA[#Headers],0))=0,"",INDEX(_xlfn.VSTACK(YES_Writing_ELA[#Data],YES_Writing_FLA[#Data]),MATCH($A600,_xlfn.VSTACK(YES_Writing_ELA[Student Number],YES_Writing_FLA[Student Number]),0),MATCH(VLOOKUP(D$7,'Writing Logic'!$J$7:$K$11,2,FALSE)&amp;" - Per "&amp;VLOOKUP($C$4,'Writing Logic'!$G$8:$H$14,2,FALSE),YES_Writing_ELA[#Headers],0)))="INS",'Writing Logic'!$B$7,IF(INDEX(_xlfn.VSTACK(YES_Writing_ELA[#Data],YES_Writing_FLA[#Data]),MATCH($A600,_xlfn.VSTACK(YES_Writing_ELA[Student Number],YES_Writing_FLA[Student Number]),0),MATCH(VLOOKUP(D$7,'Writing Logic'!$J$7:$K$11,2,FALSE)&amp;" - Per "&amp;VLOOKUP($C$4,'Writing Logic'!$G$8:$H$14,2,FALSE),YES_Writing_ELA[#Headers],0))=0,"",INDEX(_xlfn.VSTACK(YES_Writing_ELA[#Data],YES_Writing_FLA[#Data]),MATCH($A600,_xlfn.VSTACK(YES_Writing_ELA[Student Number],YES_Writing_FLA[Student Number]),0),MATCH(VLOOKUP(D$7,'Writing Logic'!$J$7:$K$11,2,FALSE)&amp;" - Per "&amp;VLOOKUP($C$4,'Writing Logic'!$G$8:$H$14,2,FALSE),YES_Writing_ELA[#Headers],0)))),"")</f>
        <v/>
      </c>
      <c r="E600" s="138" t="str">
        <f>IFERROR(IF(IF(INDEX(_xlfn.VSTACK(YES_Writing_ELA[#Data],YES_Writing_FLA[#Data]),MATCH($A600,_xlfn.VSTACK(YES_Writing_ELA[Student Number],YES_Writing_FLA[Student Number]),0),MATCH(VLOOKUP(E$7,'Writing Logic'!$J$7:$K$11,2,FALSE)&amp;" - Per "&amp;VLOOKUP($C$4,'Writing Logic'!$G$8:$H$14,2,FALSE),YES_Writing_ELA[#Headers],0))=0,"",INDEX(_xlfn.VSTACK(YES_Writing_ELA[#Data],YES_Writing_FLA[#Data]),MATCH($A600,_xlfn.VSTACK(YES_Writing_ELA[Student Number],YES_Writing_FLA[Student Number]),0),MATCH(VLOOKUP(E$7,'Writing Logic'!$J$7:$K$11,2,FALSE)&amp;" - Per "&amp;VLOOKUP($C$4,'Writing Logic'!$G$8:$H$14,2,FALSE),YES_Writing_ELA[#Headers],0)))="INS",'Writing Logic'!$B$7,IF(INDEX(_xlfn.VSTACK(YES_Writing_ELA[#Data],YES_Writing_FLA[#Data]),MATCH($A600,_xlfn.VSTACK(YES_Writing_ELA[Student Number],YES_Writing_FLA[Student Number]),0),MATCH(VLOOKUP(E$7,'Writing Logic'!$J$7:$K$11,2,FALSE)&amp;" - Per "&amp;VLOOKUP($C$4,'Writing Logic'!$G$8:$H$14,2,FALSE),YES_Writing_ELA[#Headers],0))=0,"",INDEX(_xlfn.VSTACK(YES_Writing_ELA[#Data],YES_Writing_FLA[#Data]),MATCH($A600,_xlfn.VSTACK(YES_Writing_ELA[Student Number],YES_Writing_FLA[Student Number]),0),MATCH(VLOOKUP(E$7,'Writing Logic'!$J$7:$K$11,2,FALSE)&amp;" - Per "&amp;VLOOKUP($C$4,'Writing Logic'!$G$8:$H$14,2,FALSE),YES_Writing_ELA[#Headers],0)))),"")</f>
        <v/>
      </c>
      <c r="F600" s="138" t="str">
        <f>IFERROR(IF(IF(INDEX(_xlfn.VSTACK(YES_Writing_ELA[#Data],YES_Writing_FLA[#Data]),MATCH($A600,_xlfn.VSTACK(YES_Writing_ELA[Student Number],YES_Writing_FLA[Student Number]),0),MATCH(VLOOKUP(F$7,'Writing Logic'!$J$7:$K$11,2,FALSE)&amp;" - Per "&amp;VLOOKUP($C$4,'Writing Logic'!$G$8:$H$14,2,FALSE),YES_Writing_ELA[#Headers],0))=0,"",INDEX(_xlfn.VSTACK(YES_Writing_ELA[#Data],YES_Writing_FLA[#Data]),MATCH($A600,_xlfn.VSTACK(YES_Writing_ELA[Student Number],YES_Writing_FLA[Student Number]),0),MATCH(VLOOKUP(F$7,'Writing Logic'!$J$7:$K$11,2,FALSE)&amp;" - Per "&amp;VLOOKUP($C$4,'Writing Logic'!$G$8:$H$14,2,FALSE),YES_Writing_ELA[#Headers],0)))="INS",'Writing Logic'!$B$7,IF(INDEX(_xlfn.VSTACK(YES_Writing_ELA[#Data],YES_Writing_FLA[#Data]),MATCH($A600,_xlfn.VSTACK(YES_Writing_ELA[Student Number],YES_Writing_FLA[Student Number]),0),MATCH(VLOOKUP(F$7,'Writing Logic'!$J$7:$K$11,2,FALSE)&amp;" - Per "&amp;VLOOKUP($C$4,'Writing Logic'!$G$8:$H$14,2,FALSE),YES_Writing_ELA[#Headers],0))=0,"",INDEX(_xlfn.VSTACK(YES_Writing_ELA[#Data],YES_Writing_FLA[#Data]),MATCH($A600,_xlfn.VSTACK(YES_Writing_ELA[Student Number],YES_Writing_FLA[Student Number]),0),MATCH(VLOOKUP(F$7,'Writing Logic'!$J$7:$K$11,2,FALSE)&amp;" - Per "&amp;VLOOKUP($C$4,'Writing Logic'!$G$8:$H$14,2,FALSE),YES_Writing_ELA[#Headers],0)))),"")</f>
        <v/>
      </c>
      <c r="G600" s="138" t="str">
        <f>IFERROR(IF(IF(INDEX(_xlfn.VSTACK(YES_Writing_ELA[#Data],YES_Writing_FLA[#Data]),MATCH($A600,_xlfn.VSTACK(YES_Writing_ELA[Student Number],YES_Writing_FLA[Student Number]),0),MATCH(VLOOKUP(G$7,'Writing Logic'!$J$7:$K$11,2,FALSE)&amp;" - Per "&amp;VLOOKUP($C$4,'Writing Logic'!$G$8:$H$14,2,FALSE),YES_Writing_ELA[#Headers],0))=0,"",INDEX(_xlfn.VSTACK(YES_Writing_ELA[#Data],YES_Writing_FLA[#Data]),MATCH($A600,_xlfn.VSTACK(YES_Writing_ELA[Student Number],YES_Writing_FLA[Student Number]),0),MATCH(VLOOKUP(G$7,'Writing Logic'!$J$7:$K$11,2,FALSE)&amp;" - Per "&amp;VLOOKUP($C$4,'Writing Logic'!$G$8:$H$14,2,FALSE),YES_Writing_ELA[#Headers],0)))="INS",'Writing Logic'!$B$7,IF(INDEX(_xlfn.VSTACK(YES_Writing_ELA[#Data],YES_Writing_FLA[#Data]),MATCH($A600,_xlfn.VSTACK(YES_Writing_ELA[Student Number],YES_Writing_FLA[Student Number]),0),MATCH(VLOOKUP(G$7,'Writing Logic'!$J$7:$K$11,2,FALSE)&amp;" - Per "&amp;VLOOKUP($C$4,'Writing Logic'!$G$8:$H$14,2,FALSE),YES_Writing_ELA[#Headers],0))=0,"",INDEX(_xlfn.VSTACK(YES_Writing_ELA[#Data],YES_Writing_FLA[#Data]),MATCH($A600,_xlfn.VSTACK(YES_Writing_ELA[Student Number],YES_Writing_FLA[Student Number]),0),MATCH(VLOOKUP(G$7,'Writing Logic'!$J$7:$K$11,2,FALSE)&amp;" - Per "&amp;VLOOKUP($C$4,'Writing Logic'!$G$8:$H$14,2,FALSE),YES_Writing_ELA[#Headers],0)))),"")</f>
        <v/>
      </c>
      <c r="H600" s="223" t="str">
        <f>IFERROR(IF(IF(INDEX(_xlfn.VSTACK(YES_Writing_ELA[#Data],YES_Writing_FLA[#Data]),MATCH($A600,_xlfn.VSTACK(YES_Writing_ELA[Student Number],YES_Writing_FLA[Student Number]),0),MATCH(VLOOKUP(H$7,'Writing Logic'!$J$7:$K$11,2,FALSE)&amp;" - Per "&amp;VLOOKUP($C$4,'Writing Logic'!$G$8:$H$14,2,FALSE),YES_Writing_ELA[#Headers],0))=0,"",INDEX(_xlfn.VSTACK(YES_Writing_ELA[#Data],YES_Writing_FLA[#Data]),MATCH($A600,_xlfn.VSTACK(YES_Writing_ELA[Student Number],YES_Writing_FLA[Student Number]),0),MATCH(VLOOKUP(H$7,'Writing Logic'!$J$7:$K$11,2,FALSE)&amp;" - Per "&amp;VLOOKUP($C$4,'Writing Logic'!$G$8:$H$14,2,FALSE),YES_Writing_ELA[#Headers],0)))="INS",'Writing Logic'!$B$7,IF(INDEX(_xlfn.VSTACK(YES_Writing_ELA[#Data],YES_Writing_FLA[#Data]),MATCH($A600,_xlfn.VSTACK(YES_Writing_ELA[Student Number],YES_Writing_FLA[Student Number]),0),MATCH(VLOOKUP(H$7,'Writing Logic'!$J$7:$K$11,2,FALSE)&amp;" - Per "&amp;VLOOKUP($C$4,'Writing Logic'!$G$8:$H$14,2,FALSE),YES_Writing_ELA[#Headers],0))=0,"",INDEX(_xlfn.VSTACK(YES_Writing_ELA[#Data],YES_Writing_FLA[#Data]),MATCH($A600,_xlfn.VSTACK(YES_Writing_ELA[Student Number],YES_Writing_FLA[Student Number]),0),MATCH(VLOOKUP(H$7,'Writing Logic'!$J$7:$K$11,2,FALSE)&amp;" - Per "&amp;VLOOKUP($C$4,'Writing Logic'!$G$8:$H$14,2,FALSE),YES_Writing_ELA[#Headers],0)))),"")</f>
        <v/>
      </c>
      <c r="I600" s="224" t="str" cm="1">
        <f t="array" aca="1" ref="I600" ca="1">IFERROR(
IF($G$3="ELA",
IF(VLOOKUP($A600, YES_Reading_ELA[], COLUMN(INDIRECT("YES_Reading_ELA[Difference - Per "&amp;VLOOKUP($G$4, 'Reading Report Logic'!$A$2:$B$8, 2, FALSE)&amp;"]")), FALSE)="", "",
VLOOKUP($A600,YES_Reading_ELA[], COLUMN(INDIRECT("YES_Reading_ELA[Difference - Per "&amp;VLOOKUP($G$4,'Reading Report Logic'!$A$2:$B$8,2,FALSE)&amp;"]")), FALSE)),
IF($G$3="FLA",
IF(VLOOKUP($A600, YES_Reading_FLA[], COLUMN(INDIRECT("YES_Reading_FLA[Difference - Per "&amp;VLOOKUP($G$4,'Reading Report Logic'!$A$2:$B$8,2,FALSE)&amp;"]")),FALSE)="","",
VLOOKUP($A600,YES_Reading_FLA[],COLUMN(INDIRECT("YES_Reading_FLA[Difference - Per "&amp;VLOOKUP($G$4,'Reading Report Logic'!$A$2:$B$8,2,FALSE)&amp;"]")),FALSE)),
IF($G$3="Combined",
IFERROR(
IF(VLOOKUP($A600, YES_Reading_ELA[], COLUMN(INDIRECT("YES_Reading_ELA[Difference - Per "&amp;VLOOKUP($G$4, 'Reading Report Logic'!$A$2:$B$8,2,FALSE)&amp;"]")), FALSE)="", "",
VLOOKUP($A600,YES_Reading_ELA[],COLUMN(INDIRECT("YES_Reading_ELA[Difference - Per "&amp;VLOOKUP($G$4,'Reading Report Logic'!$A$2:$B$8,2,FALSE)&amp;"]")),FALSE)),
IF(VLOOKUP($A600, YES_Reading_FLA[], COLUMN(INDIRECT("YES_Reading_FLA[Difference - Per "&amp;VLOOKUP($G$4, 'Reading Report Logic'!$A$2:$B$8, 2, FALSE)&amp;"]")),FALSE)="", "", VLOOKUP($A600,YES_Reading_FLA[],COLUMN(INDIRECT("YES_Reading_FLA[Difference - Per "&amp;VLOOKUP($G$4, 'Reading Report Logic'!$A$2:$B$8, 2, FALSE)&amp;"]")),FALSE))),""))),"")</f>
        <v/>
      </c>
    </row>
  </sheetData>
  <mergeCells count="20">
    <mergeCell ref="O7:O8"/>
    <mergeCell ref="M7:M8"/>
    <mergeCell ref="N7:N8"/>
    <mergeCell ref="H7:H8"/>
    <mergeCell ref="E4:F4"/>
    <mergeCell ref="G4:H4"/>
    <mergeCell ref="G3:H3"/>
    <mergeCell ref="I7:I8"/>
    <mergeCell ref="A1:O1"/>
    <mergeCell ref="C2:G2"/>
    <mergeCell ref="C4:D4"/>
    <mergeCell ref="A7:A8"/>
    <mergeCell ref="B7:B8"/>
    <mergeCell ref="C7:C8"/>
    <mergeCell ref="D7:D8"/>
    <mergeCell ref="E7:E8"/>
    <mergeCell ref="F7:F8"/>
    <mergeCell ref="G7:G8"/>
    <mergeCell ref="K7:K8"/>
    <mergeCell ref="L7:L8"/>
  </mergeCells>
  <conditionalFormatting sqref="D9:H600">
    <cfRule type="cellIs" priority="9" stopIfTrue="1" operator="equal">
      <formula>"Fill All 4"</formula>
    </cfRule>
    <cfRule type="cellIs" priority="10" stopIfTrue="1" operator="equal">
      <formula>""</formula>
    </cfRule>
  </conditionalFormatting>
  <conditionalFormatting sqref="I9:I600">
    <cfRule type="cellIs" dxfId="198" priority="4" stopIfTrue="1" operator="equal">
      <formula>0</formula>
    </cfRule>
    <cfRule type="cellIs" dxfId="197" priority="5" operator="between">
      <formula>0</formula>
      <formula>-2</formula>
    </cfRule>
    <cfRule type="cellIs" dxfId="196" priority="6" operator="lessThan">
      <formula>-2</formula>
    </cfRule>
    <cfRule type="cellIs" dxfId="195" priority="7" operator="greaterThan">
      <formula>0</formula>
    </cfRule>
  </conditionalFormatting>
  <conditionalFormatting sqref="D10:I600">
    <cfRule type="cellIs" priority="1" stopIfTrue="1" operator="equal">
      <formula>"No Value"</formula>
    </cfRule>
    <cfRule type="cellIs" priority="2" stopIfTrue="1" operator="equal">
      <formula>""</formula>
    </cfRule>
    <cfRule type="cellIs" priority="3" stopIfTrue="1" operator="equal">
      <formula>"IPP"</formula>
    </cfRule>
  </conditionalFormatting>
  <pageMargins left="0.25" right="0.25" top="0.75" bottom="0.75" header="0.3" footer="0.3"/>
  <pageSetup paperSize="5" scale="97" fitToHeight="0" orientation="landscape" r:id="rId1"/>
  <extLst>
    <ext xmlns:x14="http://schemas.microsoft.com/office/spreadsheetml/2009/9/main" uri="{78C0D931-6437-407d-A8EE-F0AAD7539E65}">
      <x14:conditionalFormattings>
        <x14:conditionalFormatting xmlns:xm="http://schemas.microsoft.com/office/excel/2006/main">
          <x14:cfRule type="cellIs" priority="11" stopIfTrue="1" operator="greaterThanOrEqual" id="{7495443B-17A4-4554-A941-0DDEA4D91268}">
            <xm:f>'Writing Logic'!$F$3</xm:f>
            <x14:dxf>
              <font>
                <color rgb="FF006100"/>
              </font>
              <fill>
                <patternFill>
                  <bgColor rgb="FFC6EFCE"/>
                </patternFill>
              </fill>
            </x14:dxf>
          </x14:cfRule>
          <x14:cfRule type="cellIs" priority="12" operator="between" id="{410A3C20-1DA3-4201-88A7-516A93E85D5E}">
            <xm:f>'Writing Logic'!$F$5</xm:f>
            <xm:f>'Writing Logic'!$G$5</xm:f>
            <x14:dxf>
              <font>
                <color rgb="FF9C5700"/>
              </font>
              <fill>
                <patternFill>
                  <bgColor rgb="FFFFEB9C"/>
                </patternFill>
              </fill>
            </x14:dxf>
          </x14:cfRule>
          <x14:cfRule type="cellIs" priority="13" operator="lessThan" id="{41325554-60E4-4460-9548-A1291CA0EE4D}">
            <xm:f>'Writing Logic'!$F$4</xm:f>
            <x14:dxf>
              <font>
                <color rgb="FF9C0006"/>
              </font>
              <fill>
                <patternFill>
                  <bgColor rgb="FFFFC7CE"/>
                </patternFill>
              </fill>
            </x14:dxf>
          </x14:cfRule>
          <xm:sqref>D9:H600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69D81FC9-0A1B-4A29-B600-5130DCF42546}">
          <x14:formula1>
            <xm:f>'Writing Logic'!$J$2:$J$4</xm:f>
          </x14:formula1>
          <xm:sqref>G3</xm:sqref>
        </x14:dataValidation>
        <x14:dataValidation type="list" allowBlank="1" showInputMessage="1" showErrorMessage="1" xr:uid="{5340AA5E-E374-48D3-83FE-6A3A0FC725ED}">
          <x14:formula1>
            <xm:f>'Writing Logic'!$G$8:$G$14</xm:f>
          </x14:formula1>
          <xm:sqref>C4:D4</xm:sqref>
        </x14:dataValidation>
        <x14:dataValidation type="list" allowBlank="1" showInputMessage="1" showErrorMessage="1" xr:uid="{43425F82-3CD1-45F1-A40D-FE352E00679D}">
          <x14:formula1>
            <xm:f>'Writing Logic'!$F$7:$F$21</xm:f>
          </x14:formula1>
          <xm:sqref>C3</xm:sqref>
        </x14:dataValidation>
        <x14:dataValidation type="list" allowBlank="1" showInputMessage="1" showErrorMessage="1" xr:uid="{1124AFA0-69CE-430D-852F-0DD0A858E9E0}">
          <x14:formula1>
            <xm:f>'Writing Logic'!$A$12:$A$35</xm:f>
          </x14:formula1>
          <xm:sqref>C2:G2</xm:sqref>
        </x14:dataValidation>
        <x14:dataValidation type="list" allowBlank="1" showInputMessage="1" showErrorMessage="1" xr:uid="{0A5BF9C2-CD72-4A9F-B817-FA9A7360FF73}">
          <x14:formula1>
            <xm:f>'Reading Report Logic'!$A$2:$A$8</xm:f>
          </x14:formula1>
          <xm:sqref>G4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88ED-0C87-48FF-B544-72F55F2F2140}">
  <sheetPr codeName="Sheet9">
    <pageSetUpPr fitToPage="1"/>
  </sheetPr>
  <dimension ref="A1:L600"/>
  <sheetViews>
    <sheetView zoomScaleNormal="100" workbookViewId="0">
      <selection activeCell="L35" sqref="L35"/>
    </sheetView>
  </sheetViews>
  <sheetFormatPr defaultRowHeight="15" x14ac:dyDescent="0.25"/>
  <cols>
    <col min="1" max="1" width="11" customWidth="1"/>
    <col min="2" max="2" width="34.42578125" bestFit="1" customWidth="1"/>
    <col min="3" max="3" width="18.140625" customWidth="1"/>
    <col min="9" max="9" width="2.140625" customWidth="1"/>
    <col min="10" max="10" width="19.28515625" customWidth="1"/>
    <col min="11" max="12" width="11.42578125" customWidth="1"/>
  </cols>
  <sheetData>
    <row r="1" spans="1:12" ht="24" x14ac:dyDescent="0.4">
      <c r="A1" s="313" t="s">
        <v>172</v>
      </c>
      <c r="B1" s="313"/>
      <c r="C1" s="313"/>
      <c r="D1" s="313"/>
      <c r="E1" s="313"/>
      <c r="F1" s="313"/>
      <c r="G1" s="313"/>
      <c r="H1" s="313"/>
      <c r="I1" s="313"/>
      <c r="J1" s="313"/>
      <c r="K1" s="313"/>
      <c r="L1" s="313"/>
    </row>
    <row r="2" spans="1:12" ht="14.25" customHeight="1" x14ac:dyDescent="0.25">
      <c r="B2" s="46" t="s">
        <v>173</v>
      </c>
      <c r="C2" s="310" t="s">
        <v>90</v>
      </c>
      <c r="D2" s="310"/>
      <c r="E2" s="310"/>
      <c r="F2" s="310"/>
      <c r="G2" s="310"/>
    </row>
    <row r="3" spans="1:12" ht="14.25" customHeight="1" x14ac:dyDescent="0.25">
      <c r="B3" s="46" t="s">
        <v>174</v>
      </c>
      <c r="C3" s="45" t="s">
        <v>104</v>
      </c>
    </row>
    <row r="4" spans="1:12" ht="14.25" customHeight="1" x14ac:dyDescent="0.25">
      <c r="B4" s="46" t="s">
        <v>191</v>
      </c>
      <c r="C4" s="314" t="s">
        <v>43</v>
      </c>
      <c r="D4" s="314"/>
      <c r="E4" s="46" t="s">
        <v>176</v>
      </c>
      <c r="F4" s="45" t="s">
        <v>177</v>
      </c>
    </row>
    <row r="5" spans="1:12" ht="14.25" customHeight="1" x14ac:dyDescent="0.25">
      <c r="B5" s="46" t="s">
        <v>180</v>
      </c>
      <c r="C5" s="87">
        <f ca="1">NOW()</f>
        <v>46168.387202314814</v>
      </c>
      <c r="D5" s="86"/>
      <c r="F5" s="43"/>
      <c r="G5" s="43"/>
    </row>
    <row r="6" spans="1:12" ht="14.25" customHeight="1" x14ac:dyDescent="0.25"/>
    <row r="7" spans="1:12" s="99" customFormat="1" ht="14.25" customHeight="1" x14ac:dyDescent="0.25">
      <c r="A7" s="311" t="s">
        <v>181</v>
      </c>
      <c r="B7" s="311" t="s">
        <v>45</v>
      </c>
      <c r="C7" s="311" t="s">
        <v>121</v>
      </c>
      <c r="D7" s="311" t="s">
        <v>182</v>
      </c>
      <c r="E7" s="311" t="s">
        <v>183</v>
      </c>
      <c r="F7" s="311" t="s">
        <v>184</v>
      </c>
      <c r="G7" s="311" t="s">
        <v>185</v>
      </c>
      <c r="H7" s="311" t="s">
        <v>186</v>
      </c>
      <c r="I7"/>
      <c r="J7" s="132" t="s">
        <v>121</v>
      </c>
      <c r="K7" s="132" t="s">
        <v>192</v>
      </c>
      <c r="L7" s="132" t="s">
        <v>190</v>
      </c>
    </row>
    <row r="8" spans="1:12" s="99" customFormat="1" ht="14.25" customHeight="1" x14ac:dyDescent="0.25">
      <c r="A8" s="315"/>
      <c r="B8" s="315"/>
      <c r="C8" s="315"/>
      <c r="D8" s="315"/>
      <c r="E8" s="315"/>
      <c r="F8" s="315"/>
      <c r="G8" s="315"/>
      <c r="H8" s="315"/>
      <c r="I8"/>
      <c r="J8" s="109" t="s">
        <v>46</v>
      </c>
      <c r="K8" s="109">
        <f>IF(J8="","",COUNTIFS($H$10:$H$600,"&gt;="&amp;'Writing Logic'!$F$1))</f>
        <v>0</v>
      </c>
      <c r="L8" s="134" t="str">
        <f>IFERROR(K8/(COUNTIFS($H$10:$H$600,"&lt;&gt;"&amp;"")-COUNTIFS($H$10:$H$600,"=IPP")-COUNTIFS($H$10:$H$600,"")),"")</f>
        <v/>
      </c>
    </row>
    <row r="9" spans="1:12" s="99" customFormat="1" ht="14.25" customHeight="1" x14ac:dyDescent="0.25">
      <c r="A9" s="133"/>
      <c r="B9" s="133" t="str">
        <f>$C$2</f>
        <v>Yarmouth Elementary School</v>
      </c>
      <c r="C9" s="133" t="s">
        <v>186</v>
      </c>
      <c r="D9" s="135" t="str">
        <f>IFERROR(AVERAGE(D10:D600),"")</f>
        <v/>
      </c>
      <c r="E9" s="135" t="str">
        <f>IFERROR(AVERAGE(E10:E600),"")</f>
        <v/>
      </c>
      <c r="F9" s="135" t="str">
        <f>IFERROR(AVERAGE(F10:F600),"")</f>
        <v/>
      </c>
      <c r="G9" s="135" t="str">
        <f>IFERROR(AVERAGE(G10:G600),"")</f>
        <v/>
      </c>
      <c r="H9" s="135" t="str">
        <f>IFERROR(AVERAGE(H10:H600),"")</f>
        <v/>
      </c>
      <c r="I9" s="136"/>
      <c r="J9" s="108" t="str" cm="1">
        <f t="array" ref="J9">IFERROR(_xlfn.UNIQUE(_xlfn._xlws.FILTER($C$10:$C$600,$C$10:$C$600&lt;&gt;""),FALSE,FALSE),"")</f>
        <v/>
      </c>
      <c r="K9" s="109" t="str">
        <f>IF(J9="","",COUNTIFS($C$10:$C$600,$J9,$H$10:$H$600,"&gt;="&amp;'Writing Logic'!$F$1))</f>
        <v/>
      </c>
      <c r="L9" s="134" t="str">
        <f>IFERROR(K9/(COUNTIFS($C$10:$C$600,$J9,$H$10:$H$600,"&lt;&gt;"&amp;"")-COUNTIFS($C$10:$C$600,$J9,$H$10:$H$600,"=IPP")-COUNTIFS($C$10:$C$600,$J9,$H$10:$H$600,"")),"")</f>
        <v/>
      </c>
    </row>
    <row r="10" spans="1:12" s="99" customFormat="1" ht="14.25" customHeight="1" x14ac:dyDescent="0.25">
      <c r="A10" s="137" t="str" cm="1">
        <f t="array" ref="A10">_xlfn._xlws.FILTER(IF($F$4="ELA",_xlfn.VSTACK(YES_Writing_ELA[Student Number]),IF($F$4="FLA",_xlfn.VSTACK(YES_Writing_FLA[Student Number]),IF($F$4="Combined",_xlfn.VSTACK(YES_Writing_ELA[Student Number],YES_Writing_FLA[Student Number]),))),IF($C$2="TCRCE",IF($F$4="ELA",_xlfn.VSTACK(YES_Writing_ELA[Student Number]),IF($F$4="FLA",_xlfn.VSTACK(YES_Writing_FLA[Student Number]),IF($F$4="Combined",_xlfn.VSTACK(YES_Writing_ELA[Student Number],YES_Writing_FLA[Student Number]),)))&lt;&gt;0,IF($F$4="ELA",_xlfn.VSTACK(YES_Writing_ELA[School]),IF($F$4="FLA",_xlfn.VSTACK(YES_Writing_FLA[School]),IF($F$4="Combined",_xlfn.VSTACK(YES_Writing_ELA[School],YES_Writing_FLA[School]),)))=$C$2)*IF($C$3="All",IF($F$4="ELA",_xlfn.VSTACK(YES_Writing_ELA[Grade]),IF($F$4="FLA",_xlfn.VSTACK(YES_Writing_FLA[Grade]),IF($F$4="Combined",_xlfn.VSTACK(YES_Writing_ELA[Grade],YES_Writing_FLA[Grade]),)))&lt;&gt;0,IF($F$4="ELA",_xlfn.VSTACK(YES_Writing_ELA[Grade]),IF($F$4="FLA",_xlfn.VSTACK(YES_Writing_FLA[Grade]),IF($F$4="Combined",_xlfn.VSTACK(YES_Writing_ELA[Grade],YES_Writing_FLA[Grade]),)))=$C$3),"")</f>
        <v/>
      </c>
      <c r="B10" s="137" t="str">
        <f>IFERROR(INDEX(_xlfn.VSTACK(YES_Writing_ELA[#Data], YES_Writing_FLA[#Data]),MATCH($A10,_xlfn.VSTACK(YES_Writing_ELA[Student Number], YES_Writing_FLA[Student Number]),0),MATCH(B$7,YES_Writing_ELA[#Headers],0)),"")</f>
        <v/>
      </c>
      <c r="C10" s="137" t="str">
        <f>IFERROR(INDEX(_xlfn.VSTACK(YES_Writing_ELA[#Data], YES_Writing_FLA[#Data]),MATCH($A10,_xlfn.VSTACK(YES_Writing_ELA[Student Number], YES_Writing_FLA[Student Number]),0),MATCH(C$7,YES_Writing_ELA[#Headers],0)),"")</f>
        <v/>
      </c>
      <c r="D10" s="138" t="str">
        <f>IFERROR(IF(IF(INDEX(_xlfn.VSTACK(YES_Writing_ELA[#Data],YES_Writing_FLA[#Data]),MATCH($A10,_xlfn.VSTACK(YES_Writing_ELA[Student Number],YES_Writing_FLA[Student Number]),0),MATCH(VLOOKUP(D$7,'Writing Logic'!$J$7:$K$11,2,FALSE)&amp;" - Per "&amp;VLOOKUP($C$4,'Writing Logic'!$G$8:$H$14,2,FALSE),YES_Writing_ELA[#Headers],0))=0,"",INDEX(_xlfn.VSTACK(YES_Writing_ELA[#Data],YES_Writing_FLA[#Data]),MATCH($A10,_xlfn.VSTACK(YES_Writing_ELA[Student Number],YES_Writing_FLA[Student Number]),0),MATCH(VLOOKUP(D$7,'Writing Logic'!$J$7:$K$11,2,FALSE)&amp;" - Per "&amp;VLOOKUP($C$4,'Writing Logic'!$G$8:$H$14,2,FALSE),YES_Writing_ELA[#Headers],0)))="INS",'Writing Logic'!$B$7,IF(INDEX(_xlfn.VSTACK(YES_Writing_ELA[#Data],YES_Writing_FLA[#Data]),MATCH($A10,_xlfn.VSTACK(YES_Writing_ELA[Student Number],YES_Writing_FLA[Student Number]),0),MATCH(VLOOKUP(D$7,'Writing Logic'!$J$7:$K$11,2,FALSE)&amp;" - Per "&amp;VLOOKUP($C$4,'Writing Logic'!$G$8:$H$14,2,FALSE),YES_Writing_ELA[#Headers],0))=0,"",INDEX(_xlfn.VSTACK(YES_Writing_ELA[#Data],YES_Writing_FLA[#Data]),MATCH($A10,_xlfn.VSTACK(YES_Writing_ELA[Student Number],YES_Writing_FLA[Student Number]),0),MATCH(VLOOKUP(D$7,'Writing Logic'!$J$7:$K$11,2,FALSE)&amp;" - Per "&amp;VLOOKUP($C$4,'Writing Logic'!$G$8:$H$14,2,FALSE),YES_Writing_ELA[#Headers],0)))),"")</f>
        <v/>
      </c>
      <c r="E10" s="138" t="str">
        <f>IFERROR(IF(IF(INDEX(_xlfn.VSTACK(YES_Writing_ELA[#Data],YES_Writing_FLA[#Data]),MATCH($A10,_xlfn.VSTACK(YES_Writing_ELA[Student Number],YES_Writing_FLA[Student Number]),0),MATCH(VLOOKUP(E$7,'Writing Logic'!$J$7:$K$11,2,FALSE)&amp;" - Per "&amp;VLOOKUP($C$4,'Writing Logic'!$G$8:$H$14,2,FALSE),YES_Writing_ELA[#Headers],0))=0,"",INDEX(_xlfn.VSTACK(YES_Writing_ELA[#Data],YES_Writing_FLA[#Data]),MATCH($A10,_xlfn.VSTACK(YES_Writing_ELA[Student Number],YES_Writing_FLA[Student Number]),0),MATCH(VLOOKUP(E$7,'Writing Logic'!$J$7:$K$11,2,FALSE)&amp;" - Per "&amp;VLOOKUP($C$4,'Writing Logic'!$G$8:$H$14,2,FALSE),YES_Writing_ELA[#Headers],0)))="INS",'Writing Logic'!$B$7,IF(INDEX(_xlfn.VSTACK(YES_Writing_ELA[#Data],YES_Writing_FLA[#Data]),MATCH($A10,_xlfn.VSTACK(YES_Writing_ELA[Student Number],YES_Writing_FLA[Student Number]),0),MATCH(VLOOKUP(E$7,'Writing Logic'!$J$7:$K$11,2,FALSE)&amp;" - Per "&amp;VLOOKUP($C$4,'Writing Logic'!$G$8:$H$14,2,FALSE),YES_Writing_ELA[#Headers],0))=0,"",INDEX(_xlfn.VSTACK(YES_Writing_ELA[#Data],YES_Writing_FLA[#Data]),MATCH($A10,_xlfn.VSTACK(YES_Writing_ELA[Student Number],YES_Writing_FLA[Student Number]),0),MATCH(VLOOKUP(E$7,'Writing Logic'!$J$7:$K$11,2,FALSE)&amp;" - Per "&amp;VLOOKUP($C$4,'Writing Logic'!$G$8:$H$14,2,FALSE),YES_Writing_ELA[#Headers],0)))),"")</f>
        <v/>
      </c>
      <c r="F10" s="138" t="str">
        <f>IFERROR(IF(IF(INDEX(_xlfn.VSTACK(YES_Writing_ELA[#Data],YES_Writing_FLA[#Data]),MATCH($A10,_xlfn.VSTACK(YES_Writing_ELA[Student Number],YES_Writing_FLA[Student Number]),0),MATCH(VLOOKUP(F$7,'Writing Logic'!$J$7:$K$11,2,FALSE)&amp;" - Per "&amp;VLOOKUP($C$4,'Writing Logic'!$G$8:$H$14,2,FALSE),YES_Writing_ELA[#Headers],0))=0,"",INDEX(_xlfn.VSTACK(YES_Writing_ELA[#Data],YES_Writing_FLA[#Data]),MATCH($A10,_xlfn.VSTACK(YES_Writing_ELA[Student Number],YES_Writing_FLA[Student Number]),0),MATCH(VLOOKUP(F$7,'Writing Logic'!$J$7:$K$11,2,FALSE)&amp;" - Per "&amp;VLOOKUP($C$4,'Writing Logic'!$G$8:$H$14,2,FALSE),YES_Writing_ELA[#Headers],0)))="INS",'Writing Logic'!$B$7,IF(INDEX(_xlfn.VSTACK(YES_Writing_ELA[#Data],YES_Writing_FLA[#Data]),MATCH($A10,_xlfn.VSTACK(YES_Writing_ELA[Student Number],YES_Writing_FLA[Student Number]),0),MATCH(VLOOKUP(F$7,'Writing Logic'!$J$7:$K$11,2,FALSE)&amp;" - Per "&amp;VLOOKUP($C$4,'Writing Logic'!$G$8:$H$14,2,FALSE),YES_Writing_ELA[#Headers],0))=0,"",INDEX(_xlfn.VSTACK(YES_Writing_ELA[#Data],YES_Writing_FLA[#Data]),MATCH($A10,_xlfn.VSTACK(YES_Writing_ELA[Student Number],YES_Writing_FLA[Student Number]),0),MATCH(VLOOKUP(F$7,'Writing Logic'!$J$7:$K$11,2,FALSE)&amp;" - Per "&amp;VLOOKUP($C$4,'Writing Logic'!$G$8:$H$14,2,FALSE),YES_Writing_ELA[#Headers],0)))),"")</f>
        <v/>
      </c>
      <c r="G10" s="138" t="str">
        <f>IFERROR(IF(IF(INDEX(_xlfn.VSTACK(YES_Writing_ELA[#Data],YES_Writing_FLA[#Data]),MATCH($A10,_xlfn.VSTACK(YES_Writing_ELA[Student Number],YES_Writing_FLA[Student Number]),0),MATCH(VLOOKUP(G$7,'Writing Logic'!$J$7:$K$11,2,FALSE)&amp;" - Per "&amp;VLOOKUP($C$4,'Writing Logic'!$G$8:$H$14,2,FALSE),YES_Writing_ELA[#Headers],0))=0,"",INDEX(_xlfn.VSTACK(YES_Writing_ELA[#Data],YES_Writing_FLA[#Data]),MATCH($A10,_xlfn.VSTACK(YES_Writing_ELA[Student Number],YES_Writing_FLA[Student Number]),0),MATCH(VLOOKUP(G$7,'Writing Logic'!$J$7:$K$11,2,FALSE)&amp;" - Per "&amp;VLOOKUP($C$4,'Writing Logic'!$G$8:$H$14,2,FALSE),YES_Writing_ELA[#Headers],0)))="INS",'Writing Logic'!$B$7,IF(INDEX(_xlfn.VSTACK(YES_Writing_ELA[#Data],YES_Writing_FLA[#Data]),MATCH($A10,_xlfn.VSTACK(YES_Writing_ELA[Student Number],YES_Writing_FLA[Student Number]),0),MATCH(VLOOKUP(G$7,'Writing Logic'!$J$7:$K$11,2,FALSE)&amp;" - Per "&amp;VLOOKUP($C$4,'Writing Logic'!$G$8:$H$14,2,FALSE),YES_Writing_ELA[#Headers],0))=0,"",INDEX(_xlfn.VSTACK(YES_Writing_ELA[#Data],YES_Writing_FLA[#Data]),MATCH($A10,_xlfn.VSTACK(YES_Writing_ELA[Student Number],YES_Writing_FLA[Student Number]),0),MATCH(VLOOKUP(G$7,'Writing Logic'!$J$7:$K$11,2,FALSE)&amp;" - Per "&amp;VLOOKUP($C$4,'Writing Logic'!$G$8:$H$14,2,FALSE),YES_Writing_ELA[#Headers],0)))),"")</f>
        <v/>
      </c>
      <c r="H10" s="138" t="str">
        <f>IFERROR(IF(IF(INDEX(_xlfn.VSTACK(YES_Writing_ELA[#Data],YES_Writing_FLA[#Data]),MATCH($A10,_xlfn.VSTACK(YES_Writing_ELA[Student Number],YES_Writing_FLA[Student Number]),0),MATCH(VLOOKUP(H$7,'Writing Logic'!$J$7:$K$11,2,FALSE)&amp;" - Per "&amp;VLOOKUP($C$4,'Writing Logic'!$G$8:$H$14,2,FALSE),YES_Writing_ELA[#Headers],0))=0,"",INDEX(_xlfn.VSTACK(YES_Writing_ELA[#Data],YES_Writing_FLA[#Data]),MATCH($A10,_xlfn.VSTACK(YES_Writing_ELA[Student Number],YES_Writing_FLA[Student Number]),0),MATCH(VLOOKUP(H$7,'Writing Logic'!$J$7:$K$11,2,FALSE)&amp;" - Per "&amp;VLOOKUP($C$4,'Writing Logic'!$G$8:$H$14,2,FALSE),YES_Writing_ELA[#Headers],0)))="INS",'Writing Logic'!$B$7,IF(INDEX(_xlfn.VSTACK(YES_Writing_ELA[#Data],YES_Writing_FLA[#Data]),MATCH($A10,_xlfn.VSTACK(YES_Writing_ELA[Student Number],YES_Writing_FLA[Student Number]),0),MATCH(VLOOKUP(H$7,'Writing Logic'!$J$7:$K$11,2,FALSE)&amp;" - Per "&amp;VLOOKUP($C$4,'Writing Logic'!$G$8:$H$14,2,FALSE),YES_Writing_ELA[#Headers],0))=0,"",INDEX(_xlfn.VSTACK(YES_Writing_ELA[#Data],YES_Writing_FLA[#Data]),MATCH($A10,_xlfn.VSTACK(YES_Writing_ELA[Student Number],YES_Writing_FLA[Student Number]),0),MATCH(VLOOKUP(H$7,'Writing Logic'!$J$7:$K$11,2,FALSE)&amp;" - Per "&amp;VLOOKUP($C$4,'Writing Logic'!$G$8:$H$14,2,FALSE),YES_Writing_ELA[#Headers],0)))),"")</f>
        <v/>
      </c>
      <c r="I10" s="136"/>
      <c r="J10" s="108"/>
      <c r="K10" s="109" t="str">
        <f>IF(J10="","",COUNTIFS($C$10:$C$600,$J10,$H$10:$H$600,"&gt;="&amp;'Writing Logic'!$F$1))</f>
        <v/>
      </c>
      <c r="L10" s="134" t="str">
        <f t="shared" ref="L10:L31" si="0">IFERROR(K10/(COUNTIFS($C$10:$C$600,$J10,$H$10:$H$600,"&lt;&gt;"&amp;"")-COUNTIFS($C$10:$C$600,$J10,$H$10:$H$600,"=IPP")-COUNTIFS($C$10:$C$600,$J10,$H$10:$H$600,"")),"")</f>
        <v/>
      </c>
    </row>
    <row r="11" spans="1:12" s="99" customFormat="1" ht="14.25" customHeight="1" x14ac:dyDescent="0.25">
      <c r="A11" s="137"/>
      <c r="B11" s="137" t="str">
        <f>IFERROR(INDEX(_xlfn.VSTACK(YES_Writing_ELA[#Data], YES_Writing_FLA[#Data]),MATCH($A11,_xlfn.VSTACK(YES_Writing_ELA[Student Number], YES_Writing_FLA[Student Number]),0),MATCH(B$7,YES_Writing_ELA[#Headers],0)),"")</f>
        <v/>
      </c>
      <c r="C11" s="137" t="str">
        <f>IFERROR(INDEX(_xlfn.VSTACK(YES_Writing_ELA[#Data], YES_Writing_FLA[#Data]),MATCH($A11,_xlfn.VSTACK(YES_Writing_ELA[Student Number], YES_Writing_FLA[Student Number]),0),MATCH(C$7,YES_Writing_ELA[#Headers],0)),"")</f>
        <v/>
      </c>
      <c r="D11" s="138" t="str">
        <f>IFERROR(IF(IF(INDEX(_xlfn.VSTACK(YES_Writing_ELA[#Data],YES_Writing_FLA[#Data]),MATCH($A11,_xlfn.VSTACK(YES_Writing_ELA[Student Number],YES_Writing_FLA[Student Number]),0),MATCH(VLOOKUP(D$7,'Writing Logic'!$J$7:$K$11,2,FALSE)&amp;" - Per "&amp;VLOOKUP($C$4,'Writing Logic'!$G$8:$H$14,2,FALSE),YES_Writing_ELA[#Headers],0))=0,"",INDEX(_xlfn.VSTACK(YES_Writing_ELA[#Data],YES_Writing_FLA[#Data]),MATCH($A11,_xlfn.VSTACK(YES_Writing_ELA[Student Number],YES_Writing_FLA[Student Number]),0),MATCH(VLOOKUP(D$7,'Writing Logic'!$J$7:$K$11,2,FALSE)&amp;" - Per "&amp;VLOOKUP($C$4,'Writing Logic'!$G$8:$H$14,2,FALSE),YES_Writing_ELA[#Headers],0)))="INS",'Writing Logic'!$B$7,IF(INDEX(_xlfn.VSTACK(YES_Writing_ELA[#Data],YES_Writing_FLA[#Data]),MATCH($A11,_xlfn.VSTACK(YES_Writing_ELA[Student Number],YES_Writing_FLA[Student Number]),0),MATCH(VLOOKUP(D$7,'Writing Logic'!$J$7:$K$11,2,FALSE)&amp;" - Per "&amp;VLOOKUP($C$4,'Writing Logic'!$G$8:$H$14,2,FALSE),YES_Writing_ELA[#Headers],0))=0,"",INDEX(_xlfn.VSTACK(YES_Writing_ELA[#Data],YES_Writing_FLA[#Data]),MATCH($A11,_xlfn.VSTACK(YES_Writing_ELA[Student Number],YES_Writing_FLA[Student Number]),0),MATCH(VLOOKUP(D$7,'Writing Logic'!$J$7:$K$11,2,FALSE)&amp;" - Per "&amp;VLOOKUP($C$4,'Writing Logic'!$G$8:$H$14,2,FALSE),YES_Writing_ELA[#Headers],0)))),"")</f>
        <v/>
      </c>
      <c r="E11" s="138" t="str">
        <f>IFERROR(IF(IF(INDEX(_xlfn.VSTACK(YES_Writing_ELA[#Data],YES_Writing_FLA[#Data]),MATCH($A11,_xlfn.VSTACK(YES_Writing_ELA[Student Number],YES_Writing_FLA[Student Number]),0),MATCH(VLOOKUP(E$7,'Writing Logic'!$J$7:$K$11,2,FALSE)&amp;" - Per "&amp;VLOOKUP($C$4,'Writing Logic'!$G$8:$H$14,2,FALSE),YES_Writing_ELA[#Headers],0))=0,"",INDEX(_xlfn.VSTACK(YES_Writing_ELA[#Data],YES_Writing_FLA[#Data]),MATCH($A11,_xlfn.VSTACK(YES_Writing_ELA[Student Number],YES_Writing_FLA[Student Number]),0),MATCH(VLOOKUP(E$7,'Writing Logic'!$J$7:$K$11,2,FALSE)&amp;" - Per "&amp;VLOOKUP($C$4,'Writing Logic'!$G$8:$H$14,2,FALSE),YES_Writing_ELA[#Headers],0)))="INS",'Writing Logic'!$B$7,IF(INDEX(_xlfn.VSTACK(YES_Writing_ELA[#Data],YES_Writing_FLA[#Data]),MATCH($A11,_xlfn.VSTACK(YES_Writing_ELA[Student Number],YES_Writing_FLA[Student Number]),0),MATCH(VLOOKUP(E$7,'Writing Logic'!$J$7:$K$11,2,FALSE)&amp;" - Per "&amp;VLOOKUP($C$4,'Writing Logic'!$G$8:$H$14,2,FALSE),YES_Writing_ELA[#Headers],0))=0,"",INDEX(_xlfn.VSTACK(YES_Writing_ELA[#Data],YES_Writing_FLA[#Data]),MATCH($A11,_xlfn.VSTACK(YES_Writing_ELA[Student Number],YES_Writing_FLA[Student Number]),0),MATCH(VLOOKUP(E$7,'Writing Logic'!$J$7:$K$11,2,FALSE)&amp;" - Per "&amp;VLOOKUP($C$4,'Writing Logic'!$G$8:$H$14,2,FALSE),YES_Writing_ELA[#Headers],0)))),"")</f>
        <v/>
      </c>
      <c r="F11" s="138" t="str">
        <f>IFERROR(IF(IF(INDEX(_xlfn.VSTACK(YES_Writing_ELA[#Data],YES_Writing_FLA[#Data]),MATCH($A11,_xlfn.VSTACK(YES_Writing_ELA[Student Number],YES_Writing_FLA[Student Number]),0),MATCH(VLOOKUP(F$7,'Writing Logic'!$J$7:$K$11,2,FALSE)&amp;" - Per "&amp;VLOOKUP($C$4,'Writing Logic'!$G$8:$H$14,2,FALSE),YES_Writing_ELA[#Headers],0))=0,"",INDEX(_xlfn.VSTACK(YES_Writing_ELA[#Data],YES_Writing_FLA[#Data]),MATCH($A11,_xlfn.VSTACK(YES_Writing_ELA[Student Number],YES_Writing_FLA[Student Number]),0),MATCH(VLOOKUP(F$7,'Writing Logic'!$J$7:$K$11,2,FALSE)&amp;" - Per "&amp;VLOOKUP($C$4,'Writing Logic'!$G$8:$H$14,2,FALSE),YES_Writing_ELA[#Headers],0)))="INS",'Writing Logic'!$B$7,IF(INDEX(_xlfn.VSTACK(YES_Writing_ELA[#Data],YES_Writing_FLA[#Data]),MATCH($A11,_xlfn.VSTACK(YES_Writing_ELA[Student Number],YES_Writing_FLA[Student Number]),0),MATCH(VLOOKUP(F$7,'Writing Logic'!$J$7:$K$11,2,FALSE)&amp;" - Per "&amp;VLOOKUP($C$4,'Writing Logic'!$G$8:$H$14,2,FALSE),YES_Writing_ELA[#Headers],0))=0,"",INDEX(_xlfn.VSTACK(YES_Writing_ELA[#Data],YES_Writing_FLA[#Data]),MATCH($A11,_xlfn.VSTACK(YES_Writing_ELA[Student Number],YES_Writing_FLA[Student Number]),0),MATCH(VLOOKUP(F$7,'Writing Logic'!$J$7:$K$11,2,FALSE)&amp;" - Per "&amp;VLOOKUP($C$4,'Writing Logic'!$G$8:$H$14,2,FALSE),YES_Writing_ELA[#Headers],0)))),"")</f>
        <v/>
      </c>
      <c r="G11" s="138" t="str">
        <f>IFERROR(IF(IF(INDEX(_xlfn.VSTACK(YES_Writing_ELA[#Data],YES_Writing_FLA[#Data]),MATCH($A11,_xlfn.VSTACK(YES_Writing_ELA[Student Number],YES_Writing_FLA[Student Number]),0),MATCH(VLOOKUP(G$7,'Writing Logic'!$J$7:$K$11,2,FALSE)&amp;" - Per "&amp;VLOOKUP($C$4,'Writing Logic'!$G$8:$H$14,2,FALSE),YES_Writing_ELA[#Headers],0))=0,"",INDEX(_xlfn.VSTACK(YES_Writing_ELA[#Data],YES_Writing_FLA[#Data]),MATCH($A11,_xlfn.VSTACK(YES_Writing_ELA[Student Number],YES_Writing_FLA[Student Number]),0),MATCH(VLOOKUP(G$7,'Writing Logic'!$J$7:$K$11,2,FALSE)&amp;" - Per "&amp;VLOOKUP($C$4,'Writing Logic'!$G$8:$H$14,2,FALSE),YES_Writing_ELA[#Headers],0)))="INS",'Writing Logic'!$B$7,IF(INDEX(_xlfn.VSTACK(YES_Writing_ELA[#Data],YES_Writing_FLA[#Data]),MATCH($A11,_xlfn.VSTACK(YES_Writing_ELA[Student Number],YES_Writing_FLA[Student Number]),0),MATCH(VLOOKUP(G$7,'Writing Logic'!$J$7:$K$11,2,FALSE)&amp;" - Per "&amp;VLOOKUP($C$4,'Writing Logic'!$G$8:$H$14,2,FALSE),YES_Writing_ELA[#Headers],0))=0,"",INDEX(_xlfn.VSTACK(YES_Writing_ELA[#Data],YES_Writing_FLA[#Data]),MATCH($A11,_xlfn.VSTACK(YES_Writing_ELA[Student Number],YES_Writing_FLA[Student Number]),0),MATCH(VLOOKUP(G$7,'Writing Logic'!$J$7:$K$11,2,FALSE)&amp;" - Per "&amp;VLOOKUP($C$4,'Writing Logic'!$G$8:$H$14,2,FALSE),YES_Writing_ELA[#Headers],0)))),"")</f>
        <v/>
      </c>
      <c r="H11" s="138" t="str">
        <f>IFERROR(IF(IF(INDEX(_xlfn.VSTACK(YES_Writing_ELA[#Data],YES_Writing_FLA[#Data]),MATCH($A11,_xlfn.VSTACK(YES_Writing_ELA[Student Number],YES_Writing_FLA[Student Number]),0),MATCH(VLOOKUP(H$7,'Writing Logic'!$J$7:$K$11,2,FALSE)&amp;" - Per "&amp;VLOOKUP($C$4,'Writing Logic'!$G$8:$H$14,2,FALSE),YES_Writing_ELA[#Headers],0))=0,"",INDEX(_xlfn.VSTACK(YES_Writing_ELA[#Data],YES_Writing_FLA[#Data]),MATCH($A11,_xlfn.VSTACK(YES_Writing_ELA[Student Number],YES_Writing_FLA[Student Number]),0),MATCH(VLOOKUP(H$7,'Writing Logic'!$J$7:$K$11,2,FALSE)&amp;" - Per "&amp;VLOOKUP($C$4,'Writing Logic'!$G$8:$H$14,2,FALSE),YES_Writing_ELA[#Headers],0)))="INS",'Writing Logic'!$B$7,IF(INDEX(_xlfn.VSTACK(YES_Writing_ELA[#Data],YES_Writing_FLA[#Data]),MATCH($A11,_xlfn.VSTACK(YES_Writing_ELA[Student Number],YES_Writing_FLA[Student Number]),0),MATCH(VLOOKUP(H$7,'Writing Logic'!$J$7:$K$11,2,FALSE)&amp;" - Per "&amp;VLOOKUP($C$4,'Writing Logic'!$G$8:$H$14,2,FALSE),YES_Writing_ELA[#Headers],0))=0,"",INDEX(_xlfn.VSTACK(YES_Writing_ELA[#Data],YES_Writing_FLA[#Data]),MATCH($A11,_xlfn.VSTACK(YES_Writing_ELA[Student Number],YES_Writing_FLA[Student Number]),0),MATCH(VLOOKUP(H$7,'Writing Logic'!$J$7:$K$11,2,FALSE)&amp;" - Per "&amp;VLOOKUP($C$4,'Writing Logic'!$G$8:$H$14,2,FALSE),YES_Writing_ELA[#Headers],0)))),"")</f>
        <v/>
      </c>
      <c r="I11" s="136"/>
      <c r="J11" s="108"/>
      <c r="K11" s="109" t="str">
        <f>IF(J11="","",COUNTIFS($C$10:$C$600,$J11,$H$10:$H$600,"&gt;="&amp;'Writing Logic'!$F$1))</f>
        <v/>
      </c>
      <c r="L11" s="134" t="str">
        <f t="shared" si="0"/>
        <v/>
      </c>
    </row>
    <row r="12" spans="1:12" s="99" customFormat="1" ht="14.25" customHeight="1" x14ac:dyDescent="0.25">
      <c r="A12" s="137"/>
      <c r="B12" s="137" t="str">
        <f>IFERROR(INDEX(_xlfn.VSTACK(YES_Writing_ELA[#Data], YES_Writing_FLA[#Data]),MATCH($A12,_xlfn.VSTACK(YES_Writing_ELA[Student Number], YES_Writing_FLA[Student Number]),0),MATCH(B$7,YES_Writing_ELA[#Headers],0)),"")</f>
        <v/>
      </c>
      <c r="C12" s="137" t="str">
        <f>IFERROR(INDEX(_xlfn.VSTACK(YES_Writing_ELA[#Data], YES_Writing_FLA[#Data]),MATCH($A12,_xlfn.VSTACK(YES_Writing_ELA[Student Number], YES_Writing_FLA[Student Number]),0),MATCH(C$7,YES_Writing_ELA[#Headers],0)),"")</f>
        <v/>
      </c>
      <c r="D12" s="138" t="str">
        <f>IFERROR(IF(IF(INDEX(_xlfn.VSTACK(YES_Writing_ELA[#Data],YES_Writing_FLA[#Data]),MATCH($A12,_xlfn.VSTACK(YES_Writing_ELA[Student Number],YES_Writing_FLA[Student Number]),0),MATCH(VLOOKUP(D$7,'Writing Logic'!$J$7:$K$11,2,FALSE)&amp;" - Per "&amp;VLOOKUP($C$4,'Writing Logic'!$G$8:$H$14,2,FALSE),YES_Writing_ELA[#Headers],0))=0,"",INDEX(_xlfn.VSTACK(YES_Writing_ELA[#Data],YES_Writing_FLA[#Data]),MATCH($A12,_xlfn.VSTACK(YES_Writing_ELA[Student Number],YES_Writing_FLA[Student Number]),0),MATCH(VLOOKUP(D$7,'Writing Logic'!$J$7:$K$11,2,FALSE)&amp;" - Per "&amp;VLOOKUP($C$4,'Writing Logic'!$G$8:$H$14,2,FALSE),YES_Writing_ELA[#Headers],0)))="INS",'Writing Logic'!$B$7,IF(INDEX(_xlfn.VSTACK(YES_Writing_ELA[#Data],YES_Writing_FLA[#Data]),MATCH($A12,_xlfn.VSTACK(YES_Writing_ELA[Student Number],YES_Writing_FLA[Student Number]),0),MATCH(VLOOKUP(D$7,'Writing Logic'!$J$7:$K$11,2,FALSE)&amp;" - Per "&amp;VLOOKUP($C$4,'Writing Logic'!$G$8:$H$14,2,FALSE),YES_Writing_ELA[#Headers],0))=0,"",INDEX(_xlfn.VSTACK(YES_Writing_ELA[#Data],YES_Writing_FLA[#Data]),MATCH($A12,_xlfn.VSTACK(YES_Writing_ELA[Student Number],YES_Writing_FLA[Student Number]),0),MATCH(VLOOKUP(D$7,'Writing Logic'!$J$7:$K$11,2,FALSE)&amp;" - Per "&amp;VLOOKUP($C$4,'Writing Logic'!$G$8:$H$14,2,FALSE),YES_Writing_ELA[#Headers],0)))),"")</f>
        <v/>
      </c>
      <c r="E12" s="138" t="str">
        <f>IFERROR(IF(IF(INDEX(_xlfn.VSTACK(YES_Writing_ELA[#Data],YES_Writing_FLA[#Data]),MATCH($A12,_xlfn.VSTACK(YES_Writing_ELA[Student Number],YES_Writing_FLA[Student Number]),0),MATCH(VLOOKUP(E$7,'Writing Logic'!$J$7:$K$11,2,FALSE)&amp;" - Per "&amp;VLOOKUP($C$4,'Writing Logic'!$G$8:$H$14,2,FALSE),YES_Writing_ELA[#Headers],0))=0,"",INDEX(_xlfn.VSTACK(YES_Writing_ELA[#Data],YES_Writing_FLA[#Data]),MATCH($A12,_xlfn.VSTACK(YES_Writing_ELA[Student Number],YES_Writing_FLA[Student Number]),0),MATCH(VLOOKUP(E$7,'Writing Logic'!$J$7:$K$11,2,FALSE)&amp;" - Per "&amp;VLOOKUP($C$4,'Writing Logic'!$G$8:$H$14,2,FALSE),YES_Writing_ELA[#Headers],0)))="INS",'Writing Logic'!$B$7,IF(INDEX(_xlfn.VSTACK(YES_Writing_ELA[#Data],YES_Writing_FLA[#Data]),MATCH($A12,_xlfn.VSTACK(YES_Writing_ELA[Student Number],YES_Writing_FLA[Student Number]),0),MATCH(VLOOKUP(E$7,'Writing Logic'!$J$7:$K$11,2,FALSE)&amp;" - Per "&amp;VLOOKUP($C$4,'Writing Logic'!$G$8:$H$14,2,FALSE),YES_Writing_ELA[#Headers],0))=0,"",INDEX(_xlfn.VSTACK(YES_Writing_ELA[#Data],YES_Writing_FLA[#Data]),MATCH($A12,_xlfn.VSTACK(YES_Writing_ELA[Student Number],YES_Writing_FLA[Student Number]),0),MATCH(VLOOKUP(E$7,'Writing Logic'!$J$7:$K$11,2,FALSE)&amp;" - Per "&amp;VLOOKUP($C$4,'Writing Logic'!$G$8:$H$14,2,FALSE),YES_Writing_ELA[#Headers],0)))),"")</f>
        <v/>
      </c>
      <c r="F12" s="138" t="str">
        <f>IFERROR(IF(IF(INDEX(_xlfn.VSTACK(YES_Writing_ELA[#Data],YES_Writing_FLA[#Data]),MATCH($A12,_xlfn.VSTACK(YES_Writing_ELA[Student Number],YES_Writing_FLA[Student Number]),0),MATCH(VLOOKUP(F$7,'Writing Logic'!$J$7:$K$11,2,FALSE)&amp;" - Per "&amp;VLOOKUP($C$4,'Writing Logic'!$G$8:$H$14,2,FALSE),YES_Writing_ELA[#Headers],0))=0,"",INDEX(_xlfn.VSTACK(YES_Writing_ELA[#Data],YES_Writing_FLA[#Data]),MATCH($A12,_xlfn.VSTACK(YES_Writing_ELA[Student Number],YES_Writing_FLA[Student Number]),0),MATCH(VLOOKUP(F$7,'Writing Logic'!$J$7:$K$11,2,FALSE)&amp;" - Per "&amp;VLOOKUP($C$4,'Writing Logic'!$G$8:$H$14,2,FALSE),YES_Writing_ELA[#Headers],0)))="INS",'Writing Logic'!$B$7,IF(INDEX(_xlfn.VSTACK(YES_Writing_ELA[#Data],YES_Writing_FLA[#Data]),MATCH($A12,_xlfn.VSTACK(YES_Writing_ELA[Student Number],YES_Writing_FLA[Student Number]),0),MATCH(VLOOKUP(F$7,'Writing Logic'!$J$7:$K$11,2,FALSE)&amp;" - Per "&amp;VLOOKUP($C$4,'Writing Logic'!$G$8:$H$14,2,FALSE),YES_Writing_ELA[#Headers],0))=0,"",INDEX(_xlfn.VSTACK(YES_Writing_ELA[#Data],YES_Writing_FLA[#Data]),MATCH($A12,_xlfn.VSTACK(YES_Writing_ELA[Student Number],YES_Writing_FLA[Student Number]),0),MATCH(VLOOKUP(F$7,'Writing Logic'!$J$7:$K$11,2,FALSE)&amp;" - Per "&amp;VLOOKUP($C$4,'Writing Logic'!$G$8:$H$14,2,FALSE),YES_Writing_ELA[#Headers],0)))),"")</f>
        <v/>
      </c>
      <c r="G12" s="138" t="str">
        <f>IFERROR(IF(IF(INDEX(_xlfn.VSTACK(YES_Writing_ELA[#Data],YES_Writing_FLA[#Data]),MATCH($A12,_xlfn.VSTACK(YES_Writing_ELA[Student Number],YES_Writing_FLA[Student Number]),0),MATCH(VLOOKUP(G$7,'Writing Logic'!$J$7:$K$11,2,FALSE)&amp;" - Per "&amp;VLOOKUP($C$4,'Writing Logic'!$G$8:$H$14,2,FALSE),YES_Writing_ELA[#Headers],0))=0,"",INDEX(_xlfn.VSTACK(YES_Writing_ELA[#Data],YES_Writing_FLA[#Data]),MATCH($A12,_xlfn.VSTACK(YES_Writing_ELA[Student Number],YES_Writing_FLA[Student Number]),0),MATCH(VLOOKUP(G$7,'Writing Logic'!$J$7:$K$11,2,FALSE)&amp;" - Per "&amp;VLOOKUP($C$4,'Writing Logic'!$G$8:$H$14,2,FALSE),YES_Writing_ELA[#Headers],0)))="INS",'Writing Logic'!$B$7,IF(INDEX(_xlfn.VSTACK(YES_Writing_ELA[#Data],YES_Writing_FLA[#Data]),MATCH($A12,_xlfn.VSTACK(YES_Writing_ELA[Student Number],YES_Writing_FLA[Student Number]),0),MATCH(VLOOKUP(G$7,'Writing Logic'!$J$7:$K$11,2,FALSE)&amp;" - Per "&amp;VLOOKUP($C$4,'Writing Logic'!$G$8:$H$14,2,FALSE),YES_Writing_ELA[#Headers],0))=0,"",INDEX(_xlfn.VSTACK(YES_Writing_ELA[#Data],YES_Writing_FLA[#Data]),MATCH($A12,_xlfn.VSTACK(YES_Writing_ELA[Student Number],YES_Writing_FLA[Student Number]),0),MATCH(VLOOKUP(G$7,'Writing Logic'!$J$7:$K$11,2,FALSE)&amp;" - Per "&amp;VLOOKUP($C$4,'Writing Logic'!$G$8:$H$14,2,FALSE),YES_Writing_ELA[#Headers],0)))),"")</f>
        <v/>
      </c>
      <c r="H12" s="138" t="str">
        <f>IFERROR(IF(IF(INDEX(_xlfn.VSTACK(YES_Writing_ELA[#Data],YES_Writing_FLA[#Data]),MATCH($A12,_xlfn.VSTACK(YES_Writing_ELA[Student Number],YES_Writing_FLA[Student Number]),0),MATCH(VLOOKUP(H$7,'Writing Logic'!$J$7:$K$11,2,FALSE)&amp;" - Per "&amp;VLOOKUP($C$4,'Writing Logic'!$G$8:$H$14,2,FALSE),YES_Writing_ELA[#Headers],0))=0,"",INDEX(_xlfn.VSTACK(YES_Writing_ELA[#Data],YES_Writing_FLA[#Data]),MATCH($A12,_xlfn.VSTACK(YES_Writing_ELA[Student Number],YES_Writing_FLA[Student Number]),0),MATCH(VLOOKUP(H$7,'Writing Logic'!$J$7:$K$11,2,FALSE)&amp;" - Per "&amp;VLOOKUP($C$4,'Writing Logic'!$G$8:$H$14,2,FALSE),YES_Writing_ELA[#Headers],0)))="INS",'Writing Logic'!$B$7,IF(INDEX(_xlfn.VSTACK(YES_Writing_ELA[#Data],YES_Writing_FLA[#Data]),MATCH($A12,_xlfn.VSTACK(YES_Writing_ELA[Student Number],YES_Writing_FLA[Student Number]),0),MATCH(VLOOKUP(H$7,'Writing Logic'!$J$7:$K$11,2,FALSE)&amp;" - Per "&amp;VLOOKUP($C$4,'Writing Logic'!$G$8:$H$14,2,FALSE),YES_Writing_ELA[#Headers],0))=0,"",INDEX(_xlfn.VSTACK(YES_Writing_ELA[#Data],YES_Writing_FLA[#Data]),MATCH($A12,_xlfn.VSTACK(YES_Writing_ELA[Student Number],YES_Writing_FLA[Student Number]),0),MATCH(VLOOKUP(H$7,'Writing Logic'!$J$7:$K$11,2,FALSE)&amp;" - Per "&amp;VLOOKUP($C$4,'Writing Logic'!$G$8:$H$14,2,FALSE),YES_Writing_ELA[#Headers],0)))),"")</f>
        <v/>
      </c>
      <c r="I12" s="136"/>
      <c r="J12" s="108"/>
      <c r="K12" s="109" t="str">
        <f>IF(J12="","",COUNTIFS($C$10:$C$600,$J12,$H$10:$H$600,"&gt;="&amp;'Writing Logic'!$F$1))</f>
        <v/>
      </c>
      <c r="L12" s="134" t="str">
        <f t="shared" si="0"/>
        <v/>
      </c>
    </row>
    <row r="13" spans="1:12" s="99" customFormat="1" ht="14.25" customHeight="1" x14ac:dyDescent="0.25">
      <c r="A13" s="137"/>
      <c r="B13" s="137" t="str">
        <f>IFERROR(INDEX(_xlfn.VSTACK(YES_Writing_ELA[#Data], YES_Writing_FLA[#Data]),MATCH($A13,_xlfn.VSTACK(YES_Writing_ELA[Student Number], YES_Writing_FLA[Student Number]),0),MATCH(B$7,YES_Writing_ELA[#Headers],0)),"")</f>
        <v/>
      </c>
      <c r="C13" s="137" t="str">
        <f>IFERROR(INDEX(_xlfn.VSTACK(YES_Writing_ELA[#Data], YES_Writing_FLA[#Data]),MATCH($A13,_xlfn.VSTACK(YES_Writing_ELA[Student Number], YES_Writing_FLA[Student Number]),0),MATCH(C$7,YES_Writing_ELA[#Headers],0)),"")</f>
        <v/>
      </c>
      <c r="D13" s="138" t="str">
        <f>IFERROR(IF(IF(INDEX(_xlfn.VSTACK(YES_Writing_ELA[#Data],YES_Writing_FLA[#Data]),MATCH($A13,_xlfn.VSTACK(YES_Writing_ELA[Student Number],YES_Writing_FLA[Student Number]),0),MATCH(VLOOKUP(D$7,'Writing Logic'!$J$7:$K$11,2,FALSE)&amp;" - Per "&amp;VLOOKUP($C$4,'Writing Logic'!$G$8:$H$14,2,FALSE),YES_Writing_ELA[#Headers],0))=0,"",INDEX(_xlfn.VSTACK(YES_Writing_ELA[#Data],YES_Writing_FLA[#Data]),MATCH($A13,_xlfn.VSTACK(YES_Writing_ELA[Student Number],YES_Writing_FLA[Student Number]),0),MATCH(VLOOKUP(D$7,'Writing Logic'!$J$7:$K$11,2,FALSE)&amp;" - Per "&amp;VLOOKUP($C$4,'Writing Logic'!$G$8:$H$14,2,FALSE),YES_Writing_ELA[#Headers],0)))="INS",'Writing Logic'!$B$7,IF(INDEX(_xlfn.VSTACK(YES_Writing_ELA[#Data],YES_Writing_FLA[#Data]),MATCH($A13,_xlfn.VSTACK(YES_Writing_ELA[Student Number],YES_Writing_FLA[Student Number]),0),MATCH(VLOOKUP(D$7,'Writing Logic'!$J$7:$K$11,2,FALSE)&amp;" - Per "&amp;VLOOKUP($C$4,'Writing Logic'!$G$8:$H$14,2,FALSE),YES_Writing_ELA[#Headers],0))=0,"",INDEX(_xlfn.VSTACK(YES_Writing_ELA[#Data],YES_Writing_FLA[#Data]),MATCH($A13,_xlfn.VSTACK(YES_Writing_ELA[Student Number],YES_Writing_FLA[Student Number]),0),MATCH(VLOOKUP(D$7,'Writing Logic'!$J$7:$K$11,2,FALSE)&amp;" - Per "&amp;VLOOKUP($C$4,'Writing Logic'!$G$8:$H$14,2,FALSE),YES_Writing_ELA[#Headers],0)))),"")</f>
        <v/>
      </c>
      <c r="E13" s="138" t="str">
        <f>IFERROR(IF(IF(INDEX(_xlfn.VSTACK(YES_Writing_ELA[#Data],YES_Writing_FLA[#Data]),MATCH($A13,_xlfn.VSTACK(YES_Writing_ELA[Student Number],YES_Writing_FLA[Student Number]),0),MATCH(VLOOKUP(E$7,'Writing Logic'!$J$7:$K$11,2,FALSE)&amp;" - Per "&amp;VLOOKUP($C$4,'Writing Logic'!$G$8:$H$14,2,FALSE),YES_Writing_ELA[#Headers],0))=0,"",INDEX(_xlfn.VSTACK(YES_Writing_ELA[#Data],YES_Writing_FLA[#Data]),MATCH($A13,_xlfn.VSTACK(YES_Writing_ELA[Student Number],YES_Writing_FLA[Student Number]),0),MATCH(VLOOKUP(E$7,'Writing Logic'!$J$7:$K$11,2,FALSE)&amp;" - Per "&amp;VLOOKUP($C$4,'Writing Logic'!$G$8:$H$14,2,FALSE),YES_Writing_ELA[#Headers],0)))="INS",'Writing Logic'!$B$7,IF(INDEX(_xlfn.VSTACK(YES_Writing_ELA[#Data],YES_Writing_FLA[#Data]),MATCH($A13,_xlfn.VSTACK(YES_Writing_ELA[Student Number],YES_Writing_FLA[Student Number]),0),MATCH(VLOOKUP(E$7,'Writing Logic'!$J$7:$K$11,2,FALSE)&amp;" - Per "&amp;VLOOKUP($C$4,'Writing Logic'!$G$8:$H$14,2,FALSE),YES_Writing_ELA[#Headers],0))=0,"",INDEX(_xlfn.VSTACK(YES_Writing_ELA[#Data],YES_Writing_FLA[#Data]),MATCH($A13,_xlfn.VSTACK(YES_Writing_ELA[Student Number],YES_Writing_FLA[Student Number]),0),MATCH(VLOOKUP(E$7,'Writing Logic'!$J$7:$K$11,2,FALSE)&amp;" - Per "&amp;VLOOKUP($C$4,'Writing Logic'!$G$8:$H$14,2,FALSE),YES_Writing_ELA[#Headers],0)))),"")</f>
        <v/>
      </c>
      <c r="F13" s="138" t="str">
        <f>IFERROR(IF(IF(INDEX(_xlfn.VSTACK(YES_Writing_ELA[#Data],YES_Writing_FLA[#Data]),MATCH($A13,_xlfn.VSTACK(YES_Writing_ELA[Student Number],YES_Writing_FLA[Student Number]),0),MATCH(VLOOKUP(F$7,'Writing Logic'!$J$7:$K$11,2,FALSE)&amp;" - Per "&amp;VLOOKUP($C$4,'Writing Logic'!$G$8:$H$14,2,FALSE),YES_Writing_ELA[#Headers],0))=0,"",INDEX(_xlfn.VSTACK(YES_Writing_ELA[#Data],YES_Writing_FLA[#Data]),MATCH($A13,_xlfn.VSTACK(YES_Writing_ELA[Student Number],YES_Writing_FLA[Student Number]),0),MATCH(VLOOKUP(F$7,'Writing Logic'!$J$7:$K$11,2,FALSE)&amp;" - Per "&amp;VLOOKUP($C$4,'Writing Logic'!$G$8:$H$14,2,FALSE),YES_Writing_ELA[#Headers],0)))="INS",'Writing Logic'!$B$7,IF(INDEX(_xlfn.VSTACK(YES_Writing_ELA[#Data],YES_Writing_FLA[#Data]),MATCH($A13,_xlfn.VSTACK(YES_Writing_ELA[Student Number],YES_Writing_FLA[Student Number]),0),MATCH(VLOOKUP(F$7,'Writing Logic'!$J$7:$K$11,2,FALSE)&amp;" - Per "&amp;VLOOKUP($C$4,'Writing Logic'!$G$8:$H$14,2,FALSE),YES_Writing_ELA[#Headers],0))=0,"",INDEX(_xlfn.VSTACK(YES_Writing_ELA[#Data],YES_Writing_FLA[#Data]),MATCH($A13,_xlfn.VSTACK(YES_Writing_ELA[Student Number],YES_Writing_FLA[Student Number]),0),MATCH(VLOOKUP(F$7,'Writing Logic'!$J$7:$K$11,2,FALSE)&amp;" - Per "&amp;VLOOKUP($C$4,'Writing Logic'!$G$8:$H$14,2,FALSE),YES_Writing_ELA[#Headers],0)))),"")</f>
        <v/>
      </c>
      <c r="G13" s="138" t="str">
        <f>IFERROR(IF(IF(INDEX(_xlfn.VSTACK(YES_Writing_ELA[#Data],YES_Writing_FLA[#Data]),MATCH($A13,_xlfn.VSTACK(YES_Writing_ELA[Student Number],YES_Writing_FLA[Student Number]),0),MATCH(VLOOKUP(G$7,'Writing Logic'!$J$7:$K$11,2,FALSE)&amp;" - Per "&amp;VLOOKUP($C$4,'Writing Logic'!$G$8:$H$14,2,FALSE),YES_Writing_ELA[#Headers],0))=0,"",INDEX(_xlfn.VSTACK(YES_Writing_ELA[#Data],YES_Writing_FLA[#Data]),MATCH($A13,_xlfn.VSTACK(YES_Writing_ELA[Student Number],YES_Writing_FLA[Student Number]),0),MATCH(VLOOKUP(G$7,'Writing Logic'!$J$7:$K$11,2,FALSE)&amp;" - Per "&amp;VLOOKUP($C$4,'Writing Logic'!$G$8:$H$14,2,FALSE),YES_Writing_ELA[#Headers],0)))="INS",'Writing Logic'!$B$7,IF(INDEX(_xlfn.VSTACK(YES_Writing_ELA[#Data],YES_Writing_FLA[#Data]),MATCH($A13,_xlfn.VSTACK(YES_Writing_ELA[Student Number],YES_Writing_FLA[Student Number]),0),MATCH(VLOOKUP(G$7,'Writing Logic'!$J$7:$K$11,2,FALSE)&amp;" - Per "&amp;VLOOKUP($C$4,'Writing Logic'!$G$8:$H$14,2,FALSE),YES_Writing_ELA[#Headers],0))=0,"",INDEX(_xlfn.VSTACK(YES_Writing_ELA[#Data],YES_Writing_FLA[#Data]),MATCH($A13,_xlfn.VSTACK(YES_Writing_ELA[Student Number],YES_Writing_FLA[Student Number]),0),MATCH(VLOOKUP(G$7,'Writing Logic'!$J$7:$K$11,2,FALSE)&amp;" - Per "&amp;VLOOKUP($C$4,'Writing Logic'!$G$8:$H$14,2,FALSE),YES_Writing_ELA[#Headers],0)))),"")</f>
        <v/>
      </c>
      <c r="H13" s="138" t="str">
        <f>IFERROR(IF(IF(INDEX(_xlfn.VSTACK(YES_Writing_ELA[#Data],YES_Writing_FLA[#Data]),MATCH($A13,_xlfn.VSTACK(YES_Writing_ELA[Student Number],YES_Writing_FLA[Student Number]),0),MATCH(VLOOKUP(H$7,'Writing Logic'!$J$7:$K$11,2,FALSE)&amp;" - Per "&amp;VLOOKUP($C$4,'Writing Logic'!$G$8:$H$14,2,FALSE),YES_Writing_ELA[#Headers],0))=0,"",INDEX(_xlfn.VSTACK(YES_Writing_ELA[#Data],YES_Writing_FLA[#Data]),MATCH($A13,_xlfn.VSTACK(YES_Writing_ELA[Student Number],YES_Writing_FLA[Student Number]),0),MATCH(VLOOKUP(H$7,'Writing Logic'!$J$7:$K$11,2,FALSE)&amp;" - Per "&amp;VLOOKUP($C$4,'Writing Logic'!$G$8:$H$14,2,FALSE),YES_Writing_ELA[#Headers],0)))="INS",'Writing Logic'!$B$7,IF(INDEX(_xlfn.VSTACK(YES_Writing_ELA[#Data],YES_Writing_FLA[#Data]),MATCH($A13,_xlfn.VSTACK(YES_Writing_ELA[Student Number],YES_Writing_FLA[Student Number]),0),MATCH(VLOOKUP(H$7,'Writing Logic'!$J$7:$K$11,2,FALSE)&amp;" - Per "&amp;VLOOKUP($C$4,'Writing Logic'!$G$8:$H$14,2,FALSE),YES_Writing_ELA[#Headers],0))=0,"",INDEX(_xlfn.VSTACK(YES_Writing_ELA[#Data],YES_Writing_FLA[#Data]),MATCH($A13,_xlfn.VSTACK(YES_Writing_ELA[Student Number],YES_Writing_FLA[Student Number]),0),MATCH(VLOOKUP(H$7,'Writing Logic'!$J$7:$K$11,2,FALSE)&amp;" - Per "&amp;VLOOKUP($C$4,'Writing Logic'!$G$8:$H$14,2,FALSE),YES_Writing_ELA[#Headers],0)))),"")</f>
        <v/>
      </c>
      <c r="I13" s="136"/>
      <c r="J13" s="108"/>
      <c r="K13" s="109" t="str">
        <f>IF(J13="","",COUNTIFS($C$10:$C$600,$J13,$H$10:$H$600,"&gt;="&amp;'Writing Logic'!$F$1))</f>
        <v/>
      </c>
      <c r="L13" s="134" t="str">
        <f t="shared" si="0"/>
        <v/>
      </c>
    </row>
    <row r="14" spans="1:12" s="99" customFormat="1" ht="14.25" customHeight="1" x14ac:dyDescent="0.25">
      <c r="A14" s="137"/>
      <c r="B14" s="137" t="str">
        <f>IFERROR(INDEX(_xlfn.VSTACK(YES_Writing_ELA[#Data], YES_Writing_FLA[#Data]),MATCH($A14,_xlfn.VSTACK(YES_Writing_ELA[Student Number], YES_Writing_FLA[Student Number]),0),MATCH(B$7,YES_Writing_ELA[#Headers],0)),"")</f>
        <v/>
      </c>
      <c r="C14" s="137" t="str">
        <f>IFERROR(INDEX(_xlfn.VSTACK(YES_Writing_ELA[#Data], YES_Writing_FLA[#Data]),MATCH($A14,_xlfn.VSTACK(YES_Writing_ELA[Student Number], YES_Writing_FLA[Student Number]),0),MATCH(C$7,YES_Writing_ELA[#Headers],0)),"")</f>
        <v/>
      </c>
      <c r="D14" s="138" t="str">
        <f>IFERROR(IF(IF(INDEX(_xlfn.VSTACK(YES_Writing_ELA[#Data],YES_Writing_FLA[#Data]),MATCH($A14,_xlfn.VSTACK(YES_Writing_ELA[Student Number],YES_Writing_FLA[Student Number]),0),MATCH(VLOOKUP(D$7,'Writing Logic'!$J$7:$K$11,2,FALSE)&amp;" - Per "&amp;VLOOKUP($C$4,'Writing Logic'!$G$8:$H$14,2,FALSE),YES_Writing_ELA[#Headers],0))=0,"",INDEX(_xlfn.VSTACK(YES_Writing_ELA[#Data],YES_Writing_FLA[#Data]),MATCH($A14,_xlfn.VSTACK(YES_Writing_ELA[Student Number],YES_Writing_FLA[Student Number]),0),MATCH(VLOOKUP(D$7,'Writing Logic'!$J$7:$K$11,2,FALSE)&amp;" - Per "&amp;VLOOKUP($C$4,'Writing Logic'!$G$8:$H$14,2,FALSE),YES_Writing_ELA[#Headers],0)))="INS",'Writing Logic'!$B$7,IF(INDEX(_xlfn.VSTACK(YES_Writing_ELA[#Data],YES_Writing_FLA[#Data]),MATCH($A14,_xlfn.VSTACK(YES_Writing_ELA[Student Number],YES_Writing_FLA[Student Number]),0),MATCH(VLOOKUP(D$7,'Writing Logic'!$J$7:$K$11,2,FALSE)&amp;" - Per "&amp;VLOOKUP($C$4,'Writing Logic'!$G$8:$H$14,2,FALSE),YES_Writing_ELA[#Headers],0))=0,"",INDEX(_xlfn.VSTACK(YES_Writing_ELA[#Data],YES_Writing_FLA[#Data]),MATCH($A14,_xlfn.VSTACK(YES_Writing_ELA[Student Number],YES_Writing_FLA[Student Number]),0),MATCH(VLOOKUP(D$7,'Writing Logic'!$J$7:$K$11,2,FALSE)&amp;" - Per "&amp;VLOOKUP($C$4,'Writing Logic'!$G$8:$H$14,2,FALSE),YES_Writing_ELA[#Headers],0)))),"")</f>
        <v/>
      </c>
      <c r="E14" s="138" t="str">
        <f>IFERROR(IF(IF(INDEX(_xlfn.VSTACK(YES_Writing_ELA[#Data],YES_Writing_FLA[#Data]),MATCH($A14,_xlfn.VSTACK(YES_Writing_ELA[Student Number],YES_Writing_FLA[Student Number]),0),MATCH(VLOOKUP(E$7,'Writing Logic'!$J$7:$K$11,2,FALSE)&amp;" - Per "&amp;VLOOKUP($C$4,'Writing Logic'!$G$8:$H$14,2,FALSE),YES_Writing_ELA[#Headers],0))=0,"",INDEX(_xlfn.VSTACK(YES_Writing_ELA[#Data],YES_Writing_FLA[#Data]),MATCH($A14,_xlfn.VSTACK(YES_Writing_ELA[Student Number],YES_Writing_FLA[Student Number]),0),MATCH(VLOOKUP(E$7,'Writing Logic'!$J$7:$K$11,2,FALSE)&amp;" - Per "&amp;VLOOKUP($C$4,'Writing Logic'!$G$8:$H$14,2,FALSE),YES_Writing_ELA[#Headers],0)))="INS",'Writing Logic'!$B$7,IF(INDEX(_xlfn.VSTACK(YES_Writing_ELA[#Data],YES_Writing_FLA[#Data]),MATCH($A14,_xlfn.VSTACK(YES_Writing_ELA[Student Number],YES_Writing_FLA[Student Number]),0),MATCH(VLOOKUP(E$7,'Writing Logic'!$J$7:$K$11,2,FALSE)&amp;" - Per "&amp;VLOOKUP($C$4,'Writing Logic'!$G$8:$H$14,2,FALSE),YES_Writing_ELA[#Headers],0))=0,"",INDEX(_xlfn.VSTACK(YES_Writing_ELA[#Data],YES_Writing_FLA[#Data]),MATCH($A14,_xlfn.VSTACK(YES_Writing_ELA[Student Number],YES_Writing_FLA[Student Number]),0),MATCH(VLOOKUP(E$7,'Writing Logic'!$J$7:$K$11,2,FALSE)&amp;" - Per "&amp;VLOOKUP($C$4,'Writing Logic'!$G$8:$H$14,2,FALSE),YES_Writing_ELA[#Headers],0)))),"")</f>
        <v/>
      </c>
      <c r="F14" s="138" t="str">
        <f>IFERROR(IF(IF(INDEX(_xlfn.VSTACK(YES_Writing_ELA[#Data],YES_Writing_FLA[#Data]),MATCH($A14,_xlfn.VSTACK(YES_Writing_ELA[Student Number],YES_Writing_FLA[Student Number]),0),MATCH(VLOOKUP(F$7,'Writing Logic'!$J$7:$K$11,2,FALSE)&amp;" - Per "&amp;VLOOKUP($C$4,'Writing Logic'!$G$8:$H$14,2,FALSE),YES_Writing_ELA[#Headers],0))=0,"",INDEX(_xlfn.VSTACK(YES_Writing_ELA[#Data],YES_Writing_FLA[#Data]),MATCH($A14,_xlfn.VSTACK(YES_Writing_ELA[Student Number],YES_Writing_FLA[Student Number]),0),MATCH(VLOOKUP(F$7,'Writing Logic'!$J$7:$K$11,2,FALSE)&amp;" - Per "&amp;VLOOKUP($C$4,'Writing Logic'!$G$8:$H$14,2,FALSE),YES_Writing_ELA[#Headers],0)))="INS",'Writing Logic'!$B$7,IF(INDEX(_xlfn.VSTACK(YES_Writing_ELA[#Data],YES_Writing_FLA[#Data]),MATCH($A14,_xlfn.VSTACK(YES_Writing_ELA[Student Number],YES_Writing_FLA[Student Number]),0),MATCH(VLOOKUP(F$7,'Writing Logic'!$J$7:$K$11,2,FALSE)&amp;" - Per "&amp;VLOOKUP($C$4,'Writing Logic'!$G$8:$H$14,2,FALSE),YES_Writing_ELA[#Headers],0))=0,"",INDEX(_xlfn.VSTACK(YES_Writing_ELA[#Data],YES_Writing_FLA[#Data]),MATCH($A14,_xlfn.VSTACK(YES_Writing_ELA[Student Number],YES_Writing_FLA[Student Number]),0),MATCH(VLOOKUP(F$7,'Writing Logic'!$J$7:$K$11,2,FALSE)&amp;" - Per "&amp;VLOOKUP($C$4,'Writing Logic'!$G$8:$H$14,2,FALSE),YES_Writing_ELA[#Headers],0)))),"")</f>
        <v/>
      </c>
      <c r="G14" s="138" t="str">
        <f>IFERROR(IF(IF(INDEX(_xlfn.VSTACK(YES_Writing_ELA[#Data],YES_Writing_FLA[#Data]),MATCH($A14,_xlfn.VSTACK(YES_Writing_ELA[Student Number],YES_Writing_FLA[Student Number]),0),MATCH(VLOOKUP(G$7,'Writing Logic'!$J$7:$K$11,2,FALSE)&amp;" - Per "&amp;VLOOKUP($C$4,'Writing Logic'!$G$8:$H$14,2,FALSE),YES_Writing_ELA[#Headers],0))=0,"",INDEX(_xlfn.VSTACK(YES_Writing_ELA[#Data],YES_Writing_FLA[#Data]),MATCH($A14,_xlfn.VSTACK(YES_Writing_ELA[Student Number],YES_Writing_FLA[Student Number]),0),MATCH(VLOOKUP(G$7,'Writing Logic'!$J$7:$K$11,2,FALSE)&amp;" - Per "&amp;VLOOKUP($C$4,'Writing Logic'!$G$8:$H$14,2,FALSE),YES_Writing_ELA[#Headers],0)))="INS",'Writing Logic'!$B$7,IF(INDEX(_xlfn.VSTACK(YES_Writing_ELA[#Data],YES_Writing_FLA[#Data]),MATCH($A14,_xlfn.VSTACK(YES_Writing_ELA[Student Number],YES_Writing_FLA[Student Number]),0),MATCH(VLOOKUP(G$7,'Writing Logic'!$J$7:$K$11,2,FALSE)&amp;" - Per "&amp;VLOOKUP($C$4,'Writing Logic'!$G$8:$H$14,2,FALSE),YES_Writing_ELA[#Headers],0))=0,"",INDEX(_xlfn.VSTACK(YES_Writing_ELA[#Data],YES_Writing_FLA[#Data]),MATCH($A14,_xlfn.VSTACK(YES_Writing_ELA[Student Number],YES_Writing_FLA[Student Number]),0),MATCH(VLOOKUP(G$7,'Writing Logic'!$J$7:$K$11,2,FALSE)&amp;" - Per "&amp;VLOOKUP($C$4,'Writing Logic'!$G$8:$H$14,2,FALSE),YES_Writing_ELA[#Headers],0)))),"")</f>
        <v/>
      </c>
      <c r="H14" s="138" t="str">
        <f>IFERROR(IF(IF(INDEX(_xlfn.VSTACK(YES_Writing_ELA[#Data],YES_Writing_FLA[#Data]),MATCH($A14,_xlfn.VSTACK(YES_Writing_ELA[Student Number],YES_Writing_FLA[Student Number]),0),MATCH(VLOOKUP(H$7,'Writing Logic'!$J$7:$K$11,2,FALSE)&amp;" - Per "&amp;VLOOKUP($C$4,'Writing Logic'!$G$8:$H$14,2,FALSE),YES_Writing_ELA[#Headers],0))=0,"",INDEX(_xlfn.VSTACK(YES_Writing_ELA[#Data],YES_Writing_FLA[#Data]),MATCH($A14,_xlfn.VSTACK(YES_Writing_ELA[Student Number],YES_Writing_FLA[Student Number]),0),MATCH(VLOOKUP(H$7,'Writing Logic'!$J$7:$K$11,2,FALSE)&amp;" - Per "&amp;VLOOKUP($C$4,'Writing Logic'!$G$8:$H$14,2,FALSE),YES_Writing_ELA[#Headers],0)))="INS",'Writing Logic'!$B$7,IF(INDEX(_xlfn.VSTACK(YES_Writing_ELA[#Data],YES_Writing_FLA[#Data]),MATCH($A14,_xlfn.VSTACK(YES_Writing_ELA[Student Number],YES_Writing_FLA[Student Number]),0),MATCH(VLOOKUP(H$7,'Writing Logic'!$J$7:$K$11,2,FALSE)&amp;" - Per "&amp;VLOOKUP($C$4,'Writing Logic'!$G$8:$H$14,2,FALSE),YES_Writing_ELA[#Headers],0))=0,"",INDEX(_xlfn.VSTACK(YES_Writing_ELA[#Data],YES_Writing_FLA[#Data]),MATCH($A14,_xlfn.VSTACK(YES_Writing_ELA[Student Number],YES_Writing_FLA[Student Number]),0),MATCH(VLOOKUP(H$7,'Writing Logic'!$J$7:$K$11,2,FALSE)&amp;" - Per "&amp;VLOOKUP($C$4,'Writing Logic'!$G$8:$H$14,2,FALSE),YES_Writing_ELA[#Headers],0)))),"")</f>
        <v/>
      </c>
      <c r="I14" s="136"/>
      <c r="J14" s="108"/>
      <c r="K14" s="109" t="str">
        <f>IF(J14="","",COUNTIFS($C$10:$C$600,$J14,$H$10:$H$600,"&gt;="&amp;'Writing Logic'!$F$1))</f>
        <v/>
      </c>
      <c r="L14" s="134" t="str">
        <f t="shared" si="0"/>
        <v/>
      </c>
    </row>
    <row r="15" spans="1:12" s="99" customFormat="1" ht="14.25" customHeight="1" x14ac:dyDescent="0.25">
      <c r="A15" s="137"/>
      <c r="B15" s="137" t="str">
        <f>IFERROR(INDEX(_xlfn.VSTACK(YES_Writing_ELA[#Data], YES_Writing_FLA[#Data]),MATCH($A15,_xlfn.VSTACK(YES_Writing_ELA[Student Number], YES_Writing_FLA[Student Number]),0),MATCH(B$7,YES_Writing_ELA[#Headers],0)),"")</f>
        <v/>
      </c>
      <c r="C15" s="137" t="str">
        <f>IFERROR(INDEX(_xlfn.VSTACK(YES_Writing_ELA[#Data], YES_Writing_FLA[#Data]),MATCH($A15,_xlfn.VSTACK(YES_Writing_ELA[Student Number], YES_Writing_FLA[Student Number]),0),MATCH(C$7,YES_Writing_ELA[#Headers],0)),"")</f>
        <v/>
      </c>
      <c r="D15" s="138" t="str">
        <f>IFERROR(IF(IF(INDEX(_xlfn.VSTACK(YES_Writing_ELA[#Data],YES_Writing_FLA[#Data]),MATCH($A15,_xlfn.VSTACK(YES_Writing_ELA[Student Number],YES_Writing_FLA[Student Number]),0),MATCH(VLOOKUP(D$7,'Writing Logic'!$J$7:$K$11,2,FALSE)&amp;" - Per "&amp;VLOOKUP($C$4,'Writing Logic'!$G$8:$H$14,2,FALSE),YES_Writing_ELA[#Headers],0))=0,"",INDEX(_xlfn.VSTACK(YES_Writing_ELA[#Data],YES_Writing_FLA[#Data]),MATCH($A15,_xlfn.VSTACK(YES_Writing_ELA[Student Number],YES_Writing_FLA[Student Number]),0),MATCH(VLOOKUP(D$7,'Writing Logic'!$J$7:$K$11,2,FALSE)&amp;" - Per "&amp;VLOOKUP($C$4,'Writing Logic'!$G$8:$H$14,2,FALSE),YES_Writing_ELA[#Headers],0)))="INS",'Writing Logic'!$B$7,IF(INDEX(_xlfn.VSTACK(YES_Writing_ELA[#Data],YES_Writing_FLA[#Data]),MATCH($A15,_xlfn.VSTACK(YES_Writing_ELA[Student Number],YES_Writing_FLA[Student Number]),0),MATCH(VLOOKUP(D$7,'Writing Logic'!$J$7:$K$11,2,FALSE)&amp;" - Per "&amp;VLOOKUP($C$4,'Writing Logic'!$G$8:$H$14,2,FALSE),YES_Writing_ELA[#Headers],0))=0,"",INDEX(_xlfn.VSTACK(YES_Writing_ELA[#Data],YES_Writing_FLA[#Data]),MATCH($A15,_xlfn.VSTACK(YES_Writing_ELA[Student Number],YES_Writing_FLA[Student Number]),0),MATCH(VLOOKUP(D$7,'Writing Logic'!$J$7:$K$11,2,FALSE)&amp;" - Per "&amp;VLOOKUP($C$4,'Writing Logic'!$G$8:$H$14,2,FALSE),YES_Writing_ELA[#Headers],0)))),"")</f>
        <v/>
      </c>
      <c r="E15" s="138" t="str">
        <f>IFERROR(IF(IF(INDEX(_xlfn.VSTACK(YES_Writing_ELA[#Data],YES_Writing_FLA[#Data]),MATCH($A15,_xlfn.VSTACK(YES_Writing_ELA[Student Number],YES_Writing_FLA[Student Number]),0),MATCH(VLOOKUP(E$7,'Writing Logic'!$J$7:$K$11,2,FALSE)&amp;" - Per "&amp;VLOOKUP($C$4,'Writing Logic'!$G$8:$H$14,2,FALSE),YES_Writing_ELA[#Headers],0))=0,"",INDEX(_xlfn.VSTACK(YES_Writing_ELA[#Data],YES_Writing_FLA[#Data]),MATCH($A15,_xlfn.VSTACK(YES_Writing_ELA[Student Number],YES_Writing_FLA[Student Number]),0),MATCH(VLOOKUP(E$7,'Writing Logic'!$J$7:$K$11,2,FALSE)&amp;" - Per "&amp;VLOOKUP($C$4,'Writing Logic'!$G$8:$H$14,2,FALSE),YES_Writing_ELA[#Headers],0)))="INS",'Writing Logic'!$B$7,IF(INDEX(_xlfn.VSTACK(YES_Writing_ELA[#Data],YES_Writing_FLA[#Data]),MATCH($A15,_xlfn.VSTACK(YES_Writing_ELA[Student Number],YES_Writing_FLA[Student Number]),0),MATCH(VLOOKUP(E$7,'Writing Logic'!$J$7:$K$11,2,FALSE)&amp;" - Per "&amp;VLOOKUP($C$4,'Writing Logic'!$G$8:$H$14,2,FALSE),YES_Writing_ELA[#Headers],0))=0,"",INDEX(_xlfn.VSTACK(YES_Writing_ELA[#Data],YES_Writing_FLA[#Data]),MATCH($A15,_xlfn.VSTACK(YES_Writing_ELA[Student Number],YES_Writing_FLA[Student Number]),0),MATCH(VLOOKUP(E$7,'Writing Logic'!$J$7:$K$11,2,FALSE)&amp;" - Per "&amp;VLOOKUP($C$4,'Writing Logic'!$G$8:$H$14,2,FALSE),YES_Writing_ELA[#Headers],0)))),"")</f>
        <v/>
      </c>
      <c r="F15" s="138" t="str">
        <f>IFERROR(IF(IF(INDEX(_xlfn.VSTACK(YES_Writing_ELA[#Data],YES_Writing_FLA[#Data]),MATCH($A15,_xlfn.VSTACK(YES_Writing_ELA[Student Number],YES_Writing_FLA[Student Number]),0),MATCH(VLOOKUP(F$7,'Writing Logic'!$J$7:$K$11,2,FALSE)&amp;" - Per "&amp;VLOOKUP($C$4,'Writing Logic'!$G$8:$H$14,2,FALSE),YES_Writing_ELA[#Headers],0))=0,"",INDEX(_xlfn.VSTACK(YES_Writing_ELA[#Data],YES_Writing_FLA[#Data]),MATCH($A15,_xlfn.VSTACK(YES_Writing_ELA[Student Number],YES_Writing_FLA[Student Number]),0),MATCH(VLOOKUP(F$7,'Writing Logic'!$J$7:$K$11,2,FALSE)&amp;" - Per "&amp;VLOOKUP($C$4,'Writing Logic'!$G$8:$H$14,2,FALSE),YES_Writing_ELA[#Headers],0)))="INS",'Writing Logic'!$B$7,IF(INDEX(_xlfn.VSTACK(YES_Writing_ELA[#Data],YES_Writing_FLA[#Data]),MATCH($A15,_xlfn.VSTACK(YES_Writing_ELA[Student Number],YES_Writing_FLA[Student Number]),0),MATCH(VLOOKUP(F$7,'Writing Logic'!$J$7:$K$11,2,FALSE)&amp;" - Per "&amp;VLOOKUP($C$4,'Writing Logic'!$G$8:$H$14,2,FALSE),YES_Writing_ELA[#Headers],0))=0,"",INDEX(_xlfn.VSTACK(YES_Writing_ELA[#Data],YES_Writing_FLA[#Data]),MATCH($A15,_xlfn.VSTACK(YES_Writing_ELA[Student Number],YES_Writing_FLA[Student Number]),0),MATCH(VLOOKUP(F$7,'Writing Logic'!$J$7:$K$11,2,FALSE)&amp;" - Per "&amp;VLOOKUP($C$4,'Writing Logic'!$G$8:$H$14,2,FALSE),YES_Writing_ELA[#Headers],0)))),"")</f>
        <v/>
      </c>
      <c r="G15" s="138" t="str">
        <f>IFERROR(IF(IF(INDEX(_xlfn.VSTACK(YES_Writing_ELA[#Data],YES_Writing_FLA[#Data]),MATCH($A15,_xlfn.VSTACK(YES_Writing_ELA[Student Number],YES_Writing_FLA[Student Number]),0),MATCH(VLOOKUP(G$7,'Writing Logic'!$J$7:$K$11,2,FALSE)&amp;" - Per "&amp;VLOOKUP($C$4,'Writing Logic'!$G$8:$H$14,2,FALSE),YES_Writing_ELA[#Headers],0))=0,"",INDEX(_xlfn.VSTACK(YES_Writing_ELA[#Data],YES_Writing_FLA[#Data]),MATCH($A15,_xlfn.VSTACK(YES_Writing_ELA[Student Number],YES_Writing_FLA[Student Number]),0),MATCH(VLOOKUP(G$7,'Writing Logic'!$J$7:$K$11,2,FALSE)&amp;" - Per "&amp;VLOOKUP($C$4,'Writing Logic'!$G$8:$H$14,2,FALSE),YES_Writing_ELA[#Headers],0)))="INS",'Writing Logic'!$B$7,IF(INDEX(_xlfn.VSTACK(YES_Writing_ELA[#Data],YES_Writing_FLA[#Data]),MATCH($A15,_xlfn.VSTACK(YES_Writing_ELA[Student Number],YES_Writing_FLA[Student Number]),0),MATCH(VLOOKUP(G$7,'Writing Logic'!$J$7:$K$11,2,FALSE)&amp;" - Per "&amp;VLOOKUP($C$4,'Writing Logic'!$G$8:$H$14,2,FALSE),YES_Writing_ELA[#Headers],0))=0,"",INDEX(_xlfn.VSTACK(YES_Writing_ELA[#Data],YES_Writing_FLA[#Data]),MATCH($A15,_xlfn.VSTACK(YES_Writing_ELA[Student Number],YES_Writing_FLA[Student Number]),0),MATCH(VLOOKUP(G$7,'Writing Logic'!$J$7:$K$11,2,FALSE)&amp;" - Per "&amp;VLOOKUP($C$4,'Writing Logic'!$G$8:$H$14,2,FALSE),YES_Writing_ELA[#Headers],0)))),"")</f>
        <v/>
      </c>
      <c r="H15" s="138" t="str">
        <f>IFERROR(IF(IF(INDEX(_xlfn.VSTACK(YES_Writing_ELA[#Data],YES_Writing_FLA[#Data]),MATCH($A15,_xlfn.VSTACK(YES_Writing_ELA[Student Number],YES_Writing_FLA[Student Number]),0),MATCH(VLOOKUP(H$7,'Writing Logic'!$J$7:$K$11,2,FALSE)&amp;" - Per "&amp;VLOOKUP($C$4,'Writing Logic'!$G$8:$H$14,2,FALSE),YES_Writing_ELA[#Headers],0))=0,"",INDEX(_xlfn.VSTACK(YES_Writing_ELA[#Data],YES_Writing_FLA[#Data]),MATCH($A15,_xlfn.VSTACK(YES_Writing_ELA[Student Number],YES_Writing_FLA[Student Number]),0),MATCH(VLOOKUP(H$7,'Writing Logic'!$J$7:$K$11,2,FALSE)&amp;" - Per "&amp;VLOOKUP($C$4,'Writing Logic'!$G$8:$H$14,2,FALSE),YES_Writing_ELA[#Headers],0)))="INS",'Writing Logic'!$B$7,IF(INDEX(_xlfn.VSTACK(YES_Writing_ELA[#Data],YES_Writing_FLA[#Data]),MATCH($A15,_xlfn.VSTACK(YES_Writing_ELA[Student Number],YES_Writing_FLA[Student Number]),0),MATCH(VLOOKUP(H$7,'Writing Logic'!$J$7:$K$11,2,FALSE)&amp;" - Per "&amp;VLOOKUP($C$4,'Writing Logic'!$G$8:$H$14,2,FALSE),YES_Writing_ELA[#Headers],0))=0,"",INDEX(_xlfn.VSTACK(YES_Writing_ELA[#Data],YES_Writing_FLA[#Data]),MATCH($A15,_xlfn.VSTACK(YES_Writing_ELA[Student Number],YES_Writing_FLA[Student Number]),0),MATCH(VLOOKUP(H$7,'Writing Logic'!$J$7:$K$11,2,FALSE)&amp;" - Per "&amp;VLOOKUP($C$4,'Writing Logic'!$G$8:$H$14,2,FALSE),YES_Writing_ELA[#Headers],0)))),"")</f>
        <v/>
      </c>
      <c r="I15" s="136"/>
      <c r="J15" s="108"/>
      <c r="K15" s="109" t="str">
        <f>IF(J15="","",COUNTIFS($C$10:$C$600,$J15,$H$10:$H$600,"&gt;="&amp;'Writing Logic'!$F$1))</f>
        <v/>
      </c>
      <c r="L15" s="134" t="str">
        <f t="shared" si="0"/>
        <v/>
      </c>
    </row>
    <row r="16" spans="1:12" s="99" customFormat="1" ht="14.25" customHeight="1" x14ac:dyDescent="0.25">
      <c r="A16" s="137"/>
      <c r="B16" s="137" t="str">
        <f>IFERROR(INDEX(_xlfn.VSTACK(YES_Writing_ELA[#Data], YES_Writing_FLA[#Data]),MATCH($A16,_xlfn.VSTACK(YES_Writing_ELA[Student Number], YES_Writing_FLA[Student Number]),0),MATCH(B$7,YES_Writing_ELA[#Headers],0)),"")</f>
        <v/>
      </c>
      <c r="C16" s="137" t="str">
        <f>IFERROR(INDEX(_xlfn.VSTACK(YES_Writing_ELA[#Data], YES_Writing_FLA[#Data]),MATCH($A16,_xlfn.VSTACK(YES_Writing_ELA[Student Number], YES_Writing_FLA[Student Number]),0),MATCH(C$7,YES_Writing_ELA[#Headers],0)),"")</f>
        <v/>
      </c>
      <c r="D16" s="138" t="str">
        <f>IFERROR(IF(IF(INDEX(_xlfn.VSTACK(YES_Writing_ELA[#Data],YES_Writing_FLA[#Data]),MATCH($A16,_xlfn.VSTACK(YES_Writing_ELA[Student Number],YES_Writing_FLA[Student Number]),0),MATCH(VLOOKUP(D$7,'Writing Logic'!$J$7:$K$11,2,FALSE)&amp;" - Per "&amp;VLOOKUP($C$4,'Writing Logic'!$G$8:$H$14,2,FALSE),YES_Writing_ELA[#Headers],0))=0,"",INDEX(_xlfn.VSTACK(YES_Writing_ELA[#Data],YES_Writing_FLA[#Data]),MATCH($A16,_xlfn.VSTACK(YES_Writing_ELA[Student Number],YES_Writing_FLA[Student Number]),0),MATCH(VLOOKUP(D$7,'Writing Logic'!$J$7:$K$11,2,FALSE)&amp;" - Per "&amp;VLOOKUP($C$4,'Writing Logic'!$G$8:$H$14,2,FALSE),YES_Writing_ELA[#Headers],0)))="INS",'Writing Logic'!$B$7,IF(INDEX(_xlfn.VSTACK(YES_Writing_ELA[#Data],YES_Writing_FLA[#Data]),MATCH($A16,_xlfn.VSTACK(YES_Writing_ELA[Student Number],YES_Writing_FLA[Student Number]),0),MATCH(VLOOKUP(D$7,'Writing Logic'!$J$7:$K$11,2,FALSE)&amp;" - Per "&amp;VLOOKUP($C$4,'Writing Logic'!$G$8:$H$14,2,FALSE),YES_Writing_ELA[#Headers],0))=0,"",INDEX(_xlfn.VSTACK(YES_Writing_ELA[#Data],YES_Writing_FLA[#Data]),MATCH($A16,_xlfn.VSTACK(YES_Writing_ELA[Student Number],YES_Writing_FLA[Student Number]),0),MATCH(VLOOKUP(D$7,'Writing Logic'!$J$7:$K$11,2,FALSE)&amp;" - Per "&amp;VLOOKUP($C$4,'Writing Logic'!$G$8:$H$14,2,FALSE),YES_Writing_ELA[#Headers],0)))),"")</f>
        <v/>
      </c>
      <c r="E16" s="138" t="str">
        <f>IFERROR(IF(IF(INDEX(_xlfn.VSTACK(YES_Writing_ELA[#Data],YES_Writing_FLA[#Data]),MATCH($A16,_xlfn.VSTACK(YES_Writing_ELA[Student Number],YES_Writing_FLA[Student Number]),0),MATCH(VLOOKUP(E$7,'Writing Logic'!$J$7:$K$11,2,FALSE)&amp;" - Per "&amp;VLOOKUP($C$4,'Writing Logic'!$G$8:$H$14,2,FALSE),YES_Writing_ELA[#Headers],0))=0,"",INDEX(_xlfn.VSTACK(YES_Writing_ELA[#Data],YES_Writing_FLA[#Data]),MATCH($A16,_xlfn.VSTACK(YES_Writing_ELA[Student Number],YES_Writing_FLA[Student Number]),0),MATCH(VLOOKUP(E$7,'Writing Logic'!$J$7:$K$11,2,FALSE)&amp;" - Per "&amp;VLOOKUP($C$4,'Writing Logic'!$G$8:$H$14,2,FALSE),YES_Writing_ELA[#Headers],0)))="INS",'Writing Logic'!$B$7,IF(INDEX(_xlfn.VSTACK(YES_Writing_ELA[#Data],YES_Writing_FLA[#Data]),MATCH($A16,_xlfn.VSTACK(YES_Writing_ELA[Student Number],YES_Writing_FLA[Student Number]),0),MATCH(VLOOKUP(E$7,'Writing Logic'!$J$7:$K$11,2,FALSE)&amp;" - Per "&amp;VLOOKUP($C$4,'Writing Logic'!$G$8:$H$14,2,FALSE),YES_Writing_ELA[#Headers],0))=0,"",INDEX(_xlfn.VSTACK(YES_Writing_ELA[#Data],YES_Writing_FLA[#Data]),MATCH($A16,_xlfn.VSTACK(YES_Writing_ELA[Student Number],YES_Writing_FLA[Student Number]),0),MATCH(VLOOKUP(E$7,'Writing Logic'!$J$7:$K$11,2,FALSE)&amp;" - Per "&amp;VLOOKUP($C$4,'Writing Logic'!$G$8:$H$14,2,FALSE),YES_Writing_ELA[#Headers],0)))),"")</f>
        <v/>
      </c>
      <c r="F16" s="138" t="str">
        <f>IFERROR(IF(IF(INDEX(_xlfn.VSTACK(YES_Writing_ELA[#Data],YES_Writing_FLA[#Data]),MATCH($A16,_xlfn.VSTACK(YES_Writing_ELA[Student Number],YES_Writing_FLA[Student Number]),0),MATCH(VLOOKUP(F$7,'Writing Logic'!$J$7:$K$11,2,FALSE)&amp;" - Per "&amp;VLOOKUP($C$4,'Writing Logic'!$G$8:$H$14,2,FALSE),YES_Writing_ELA[#Headers],0))=0,"",INDEX(_xlfn.VSTACK(YES_Writing_ELA[#Data],YES_Writing_FLA[#Data]),MATCH($A16,_xlfn.VSTACK(YES_Writing_ELA[Student Number],YES_Writing_FLA[Student Number]),0),MATCH(VLOOKUP(F$7,'Writing Logic'!$J$7:$K$11,2,FALSE)&amp;" - Per "&amp;VLOOKUP($C$4,'Writing Logic'!$G$8:$H$14,2,FALSE),YES_Writing_ELA[#Headers],0)))="INS",'Writing Logic'!$B$7,IF(INDEX(_xlfn.VSTACK(YES_Writing_ELA[#Data],YES_Writing_FLA[#Data]),MATCH($A16,_xlfn.VSTACK(YES_Writing_ELA[Student Number],YES_Writing_FLA[Student Number]),0),MATCH(VLOOKUP(F$7,'Writing Logic'!$J$7:$K$11,2,FALSE)&amp;" - Per "&amp;VLOOKUP($C$4,'Writing Logic'!$G$8:$H$14,2,FALSE),YES_Writing_ELA[#Headers],0))=0,"",INDEX(_xlfn.VSTACK(YES_Writing_ELA[#Data],YES_Writing_FLA[#Data]),MATCH($A16,_xlfn.VSTACK(YES_Writing_ELA[Student Number],YES_Writing_FLA[Student Number]),0),MATCH(VLOOKUP(F$7,'Writing Logic'!$J$7:$K$11,2,FALSE)&amp;" - Per "&amp;VLOOKUP($C$4,'Writing Logic'!$G$8:$H$14,2,FALSE),YES_Writing_ELA[#Headers],0)))),"")</f>
        <v/>
      </c>
      <c r="G16" s="138" t="str">
        <f>IFERROR(IF(IF(INDEX(_xlfn.VSTACK(YES_Writing_ELA[#Data],YES_Writing_FLA[#Data]),MATCH($A16,_xlfn.VSTACK(YES_Writing_ELA[Student Number],YES_Writing_FLA[Student Number]),0),MATCH(VLOOKUP(G$7,'Writing Logic'!$J$7:$K$11,2,FALSE)&amp;" - Per "&amp;VLOOKUP($C$4,'Writing Logic'!$G$8:$H$14,2,FALSE),YES_Writing_ELA[#Headers],0))=0,"",INDEX(_xlfn.VSTACK(YES_Writing_ELA[#Data],YES_Writing_FLA[#Data]),MATCH($A16,_xlfn.VSTACK(YES_Writing_ELA[Student Number],YES_Writing_FLA[Student Number]),0),MATCH(VLOOKUP(G$7,'Writing Logic'!$J$7:$K$11,2,FALSE)&amp;" - Per "&amp;VLOOKUP($C$4,'Writing Logic'!$G$8:$H$14,2,FALSE),YES_Writing_ELA[#Headers],0)))="INS",'Writing Logic'!$B$7,IF(INDEX(_xlfn.VSTACK(YES_Writing_ELA[#Data],YES_Writing_FLA[#Data]),MATCH($A16,_xlfn.VSTACK(YES_Writing_ELA[Student Number],YES_Writing_FLA[Student Number]),0),MATCH(VLOOKUP(G$7,'Writing Logic'!$J$7:$K$11,2,FALSE)&amp;" - Per "&amp;VLOOKUP($C$4,'Writing Logic'!$G$8:$H$14,2,FALSE),YES_Writing_ELA[#Headers],0))=0,"",INDEX(_xlfn.VSTACK(YES_Writing_ELA[#Data],YES_Writing_FLA[#Data]),MATCH($A16,_xlfn.VSTACK(YES_Writing_ELA[Student Number],YES_Writing_FLA[Student Number]),0),MATCH(VLOOKUP(G$7,'Writing Logic'!$J$7:$K$11,2,FALSE)&amp;" - Per "&amp;VLOOKUP($C$4,'Writing Logic'!$G$8:$H$14,2,FALSE),YES_Writing_ELA[#Headers],0)))),"")</f>
        <v/>
      </c>
      <c r="H16" s="138" t="str">
        <f>IFERROR(IF(IF(INDEX(_xlfn.VSTACK(YES_Writing_ELA[#Data],YES_Writing_FLA[#Data]),MATCH($A16,_xlfn.VSTACK(YES_Writing_ELA[Student Number],YES_Writing_FLA[Student Number]),0),MATCH(VLOOKUP(H$7,'Writing Logic'!$J$7:$K$11,2,FALSE)&amp;" - Per "&amp;VLOOKUP($C$4,'Writing Logic'!$G$8:$H$14,2,FALSE),YES_Writing_ELA[#Headers],0))=0,"",INDEX(_xlfn.VSTACK(YES_Writing_ELA[#Data],YES_Writing_FLA[#Data]),MATCH($A16,_xlfn.VSTACK(YES_Writing_ELA[Student Number],YES_Writing_FLA[Student Number]),0),MATCH(VLOOKUP(H$7,'Writing Logic'!$J$7:$K$11,2,FALSE)&amp;" - Per "&amp;VLOOKUP($C$4,'Writing Logic'!$G$8:$H$14,2,FALSE),YES_Writing_ELA[#Headers],0)))="INS",'Writing Logic'!$B$7,IF(INDEX(_xlfn.VSTACK(YES_Writing_ELA[#Data],YES_Writing_FLA[#Data]),MATCH($A16,_xlfn.VSTACK(YES_Writing_ELA[Student Number],YES_Writing_FLA[Student Number]),0),MATCH(VLOOKUP(H$7,'Writing Logic'!$J$7:$K$11,2,FALSE)&amp;" - Per "&amp;VLOOKUP($C$4,'Writing Logic'!$G$8:$H$14,2,FALSE),YES_Writing_ELA[#Headers],0))=0,"",INDEX(_xlfn.VSTACK(YES_Writing_ELA[#Data],YES_Writing_FLA[#Data]),MATCH($A16,_xlfn.VSTACK(YES_Writing_ELA[Student Number],YES_Writing_FLA[Student Number]),0),MATCH(VLOOKUP(H$7,'Writing Logic'!$J$7:$K$11,2,FALSE)&amp;" - Per "&amp;VLOOKUP($C$4,'Writing Logic'!$G$8:$H$14,2,FALSE),YES_Writing_ELA[#Headers],0)))),"")</f>
        <v/>
      </c>
      <c r="I16" s="136"/>
      <c r="J16" s="108"/>
      <c r="K16" s="109" t="str">
        <f>IF(J16="","",COUNTIFS($C$10:$C$600,$J16,$H$10:$H$600,"&gt;="&amp;'Writing Logic'!$F$1))</f>
        <v/>
      </c>
      <c r="L16" s="134" t="str">
        <f t="shared" si="0"/>
        <v/>
      </c>
    </row>
    <row r="17" spans="1:12" s="99" customFormat="1" ht="14.25" customHeight="1" x14ac:dyDescent="0.25">
      <c r="A17" s="137"/>
      <c r="B17" s="137" t="str">
        <f>IFERROR(INDEX(_xlfn.VSTACK(YES_Writing_ELA[#Data], YES_Writing_FLA[#Data]),MATCH($A17,_xlfn.VSTACK(YES_Writing_ELA[Student Number], YES_Writing_FLA[Student Number]),0),MATCH(B$7,YES_Writing_ELA[#Headers],0)),"")</f>
        <v/>
      </c>
      <c r="C17" s="137" t="str">
        <f>IFERROR(INDEX(_xlfn.VSTACK(YES_Writing_ELA[#Data], YES_Writing_FLA[#Data]),MATCH($A17,_xlfn.VSTACK(YES_Writing_ELA[Student Number], YES_Writing_FLA[Student Number]),0),MATCH(C$7,YES_Writing_ELA[#Headers],0)),"")</f>
        <v/>
      </c>
      <c r="D17" s="138" t="str">
        <f>IFERROR(IF(IF(INDEX(_xlfn.VSTACK(YES_Writing_ELA[#Data],YES_Writing_FLA[#Data]),MATCH($A17,_xlfn.VSTACK(YES_Writing_ELA[Student Number],YES_Writing_FLA[Student Number]),0),MATCH(VLOOKUP(D$7,'Writing Logic'!$J$7:$K$11,2,FALSE)&amp;" - Per "&amp;VLOOKUP($C$4,'Writing Logic'!$G$8:$H$14,2,FALSE),YES_Writing_ELA[#Headers],0))=0,"",INDEX(_xlfn.VSTACK(YES_Writing_ELA[#Data],YES_Writing_FLA[#Data]),MATCH($A17,_xlfn.VSTACK(YES_Writing_ELA[Student Number],YES_Writing_FLA[Student Number]),0),MATCH(VLOOKUP(D$7,'Writing Logic'!$J$7:$K$11,2,FALSE)&amp;" - Per "&amp;VLOOKUP($C$4,'Writing Logic'!$G$8:$H$14,2,FALSE),YES_Writing_ELA[#Headers],0)))="INS",'Writing Logic'!$B$7,IF(INDEX(_xlfn.VSTACK(YES_Writing_ELA[#Data],YES_Writing_FLA[#Data]),MATCH($A17,_xlfn.VSTACK(YES_Writing_ELA[Student Number],YES_Writing_FLA[Student Number]),0),MATCH(VLOOKUP(D$7,'Writing Logic'!$J$7:$K$11,2,FALSE)&amp;" - Per "&amp;VLOOKUP($C$4,'Writing Logic'!$G$8:$H$14,2,FALSE),YES_Writing_ELA[#Headers],0))=0,"",INDEX(_xlfn.VSTACK(YES_Writing_ELA[#Data],YES_Writing_FLA[#Data]),MATCH($A17,_xlfn.VSTACK(YES_Writing_ELA[Student Number],YES_Writing_FLA[Student Number]),0),MATCH(VLOOKUP(D$7,'Writing Logic'!$J$7:$K$11,2,FALSE)&amp;" - Per "&amp;VLOOKUP($C$4,'Writing Logic'!$G$8:$H$14,2,FALSE),YES_Writing_ELA[#Headers],0)))),"")</f>
        <v/>
      </c>
      <c r="E17" s="138" t="str">
        <f>IFERROR(IF(IF(INDEX(_xlfn.VSTACK(YES_Writing_ELA[#Data],YES_Writing_FLA[#Data]),MATCH($A17,_xlfn.VSTACK(YES_Writing_ELA[Student Number],YES_Writing_FLA[Student Number]),0),MATCH(VLOOKUP(E$7,'Writing Logic'!$J$7:$K$11,2,FALSE)&amp;" - Per "&amp;VLOOKUP($C$4,'Writing Logic'!$G$8:$H$14,2,FALSE),YES_Writing_ELA[#Headers],0))=0,"",INDEX(_xlfn.VSTACK(YES_Writing_ELA[#Data],YES_Writing_FLA[#Data]),MATCH($A17,_xlfn.VSTACK(YES_Writing_ELA[Student Number],YES_Writing_FLA[Student Number]),0),MATCH(VLOOKUP(E$7,'Writing Logic'!$J$7:$K$11,2,FALSE)&amp;" - Per "&amp;VLOOKUP($C$4,'Writing Logic'!$G$8:$H$14,2,FALSE),YES_Writing_ELA[#Headers],0)))="INS",'Writing Logic'!$B$7,IF(INDEX(_xlfn.VSTACK(YES_Writing_ELA[#Data],YES_Writing_FLA[#Data]),MATCH($A17,_xlfn.VSTACK(YES_Writing_ELA[Student Number],YES_Writing_FLA[Student Number]),0),MATCH(VLOOKUP(E$7,'Writing Logic'!$J$7:$K$11,2,FALSE)&amp;" - Per "&amp;VLOOKUP($C$4,'Writing Logic'!$G$8:$H$14,2,FALSE),YES_Writing_ELA[#Headers],0))=0,"",INDEX(_xlfn.VSTACK(YES_Writing_ELA[#Data],YES_Writing_FLA[#Data]),MATCH($A17,_xlfn.VSTACK(YES_Writing_ELA[Student Number],YES_Writing_FLA[Student Number]),0),MATCH(VLOOKUP(E$7,'Writing Logic'!$J$7:$K$11,2,FALSE)&amp;" - Per "&amp;VLOOKUP($C$4,'Writing Logic'!$G$8:$H$14,2,FALSE),YES_Writing_ELA[#Headers],0)))),"")</f>
        <v/>
      </c>
      <c r="F17" s="138" t="str">
        <f>IFERROR(IF(IF(INDEX(_xlfn.VSTACK(YES_Writing_ELA[#Data],YES_Writing_FLA[#Data]),MATCH($A17,_xlfn.VSTACK(YES_Writing_ELA[Student Number],YES_Writing_FLA[Student Number]),0),MATCH(VLOOKUP(F$7,'Writing Logic'!$J$7:$K$11,2,FALSE)&amp;" - Per "&amp;VLOOKUP($C$4,'Writing Logic'!$G$8:$H$14,2,FALSE),YES_Writing_ELA[#Headers],0))=0,"",INDEX(_xlfn.VSTACK(YES_Writing_ELA[#Data],YES_Writing_FLA[#Data]),MATCH($A17,_xlfn.VSTACK(YES_Writing_ELA[Student Number],YES_Writing_FLA[Student Number]),0),MATCH(VLOOKUP(F$7,'Writing Logic'!$J$7:$K$11,2,FALSE)&amp;" - Per "&amp;VLOOKUP($C$4,'Writing Logic'!$G$8:$H$14,2,FALSE),YES_Writing_ELA[#Headers],0)))="INS",'Writing Logic'!$B$7,IF(INDEX(_xlfn.VSTACK(YES_Writing_ELA[#Data],YES_Writing_FLA[#Data]),MATCH($A17,_xlfn.VSTACK(YES_Writing_ELA[Student Number],YES_Writing_FLA[Student Number]),0),MATCH(VLOOKUP(F$7,'Writing Logic'!$J$7:$K$11,2,FALSE)&amp;" - Per "&amp;VLOOKUP($C$4,'Writing Logic'!$G$8:$H$14,2,FALSE),YES_Writing_ELA[#Headers],0))=0,"",INDEX(_xlfn.VSTACK(YES_Writing_ELA[#Data],YES_Writing_FLA[#Data]),MATCH($A17,_xlfn.VSTACK(YES_Writing_ELA[Student Number],YES_Writing_FLA[Student Number]),0),MATCH(VLOOKUP(F$7,'Writing Logic'!$J$7:$K$11,2,FALSE)&amp;" - Per "&amp;VLOOKUP($C$4,'Writing Logic'!$G$8:$H$14,2,FALSE),YES_Writing_ELA[#Headers],0)))),"")</f>
        <v/>
      </c>
      <c r="G17" s="138" t="str">
        <f>IFERROR(IF(IF(INDEX(_xlfn.VSTACK(YES_Writing_ELA[#Data],YES_Writing_FLA[#Data]),MATCH($A17,_xlfn.VSTACK(YES_Writing_ELA[Student Number],YES_Writing_FLA[Student Number]),0),MATCH(VLOOKUP(G$7,'Writing Logic'!$J$7:$K$11,2,FALSE)&amp;" - Per "&amp;VLOOKUP($C$4,'Writing Logic'!$G$8:$H$14,2,FALSE),YES_Writing_ELA[#Headers],0))=0,"",INDEX(_xlfn.VSTACK(YES_Writing_ELA[#Data],YES_Writing_FLA[#Data]),MATCH($A17,_xlfn.VSTACK(YES_Writing_ELA[Student Number],YES_Writing_FLA[Student Number]),0),MATCH(VLOOKUP(G$7,'Writing Logic'!$J$7:$K$11,2,FALSE)&amp;" - Per "&amp;VLOOKUP($C$4,'Writing Logic'!$G$8:$H$14,2,FALSE),YES_Writing_ELA[#Headers],0)))="INS",'Writing Logic'!$B$7,IF(INDEX(_xlfn.VSTACK(YES_Writing_ELA[#Data],YES_Writing_FLA[#Data]),MATCH($A17,_xlfn.VSTACK(YES_Writing_ELA[Student Number],YES_Writing_FLA[Student Number]),0),MATCH(VLOOKUP(G$7,'Writing Logic'!$J$7:$K$11,2,FALSE)&amp;" - Per "&amp;VLOOKUP($C$4,'Writing Logic'!$G$8:$H$14,2,FALSE),YES_Writing_ELA[#Headers],0))=0,"",INDEX(_xlfn.VSTACK(YES_Writing_ELA[#Data],YES_Writing_FLA[#Data]),MATCH($A17,_xlfn.VSTACK(YES_Writing_ELA[Student Number],YES_Writing_FLA[Student Number]),0),MATCH(VLOOKUP(G$7,'Writing Logic'!$J$7:$K$11,2,FALSE)&amp;" - Per "&amp;VLOOKUP($C$4,'Writing Logic'!$G$8:$H$14,2,FALSE),YES_Writing_ELA[#Headers],0)))),"")</f>
        <v/>
      </c>
      <c r="H17" s="138" t="str">
        <f>IFERROR(IF(IF(INDEX(_xlfn.VSTACK(YES_Writing_ELA[#Data],YES_Writing_FLA[#Data]),MATCH($A17,_xlfn.VSTACK(YES_Writing_ELA[Student Number],YES_Writing_FLA[Student Number]),0),MATCH(VLOOKUP(H$7,'Writing Logic'!$J$7:$K$11,2,FALSE)&amp;" - Per "&amp;VLOOKUP($C$4,'Writing Logic'!$G$8:$H$14,2,FALSE),YES_Writing_ELA[#Headers],0))=0,"",INDEX(_xlfn.VSTACK(YES_Writing_ELA[#Data],YES_Writing_FLA[#Data]),MATCH($A17,_xlfn.VSTACK(YES_Writing_ELA[Student Number],YES_Writing_FLA[Student Number]),0),MATCH(VLOOKUP(H$7,'Writing Logic'!$J$7:$K$11,2,FALSE)&amp;" - Per "&amp;VLOOKUP($C$4,'Writing Logic'!$G$8:$H$14,2,FALSE),YES_Writing_ELA[#Headers],0)))="INS",'Writing Logic'!$B$7,IF(INDEX(_xlfn.VSTACK(YES_Writing_ELA[#Data],YES_Writing_FLA[#Data]),MATCH($A17,_xlfn.VSTACK(YES_Writing_ELA[Student Number],YES_Writing_FLA[Student Number]),0),MATCH(VLOOKUP(H$7,'Writing Logic'!$J$7:$K$11,2,FALSE)&amp;" - Per "&amp;VLOOKUP($C$4,'Writing Logic'!$G$8:$H$14,2,FALSE),YES_Writing_ELA[#Headers],0))=0,"",INDEX(_xlfn.VSTACK(YES_Writing_ELA[#Data],YES_Writing_FLA[#Data]),MATCH($A17,_xlfn.VSTACK(YES_Writing_ELA[Student Number],YES_Writing_FLA[Student Number]),0),MATCH(VLOOKUP(H$7,'Writing Logic'!$J$7:$K$11,2,FALSE)&amp;" - Per "&amp;VLOOKUP($C$4,'Writing Logic'!$G$8:$H$14,2,FALSE),YES_Writing_ELA[#Headers],0)))),"")</f>
        <v/>
      </c>
      <c r="I17" s="136"/>
      <c r="J17" s="108"/>
      <c r="K17" s="109" t="str">
        <f>IF(J17="","",COUNTIFS($C$10:$C$600,$J17,$H$10:$H$600,"&gt;="&amp;'Writing Logic'!$F$1))</f>
        <v/>
      </c>
      <c r="L17" s="134" t="str">
        <f t="shared" si="0"/>
        <v/>
      </c>
    </row>
    <row r="18" spans="1:12" s="99" customFormat="1" ht="14.25" customHeight="1" x14ac:dyDescent="0.25">
      <c r="A18" s="137"/>
      <c r="B18" s="137" t="str">
        <f>IFERROR(INDEX(_xlfn.VSTACK(YES_Writing_ELA[#Data], YES_Writing_FLA[#Data]),MATCH($A18,_xlfn.VSTACK(YES_Writing_ELA[Student Number], YES_Writing_FLA[Student Number]),0),MATCH(B$7,YES_Writing_ELA[#Headers],0)),"")</f>
        <v/>
      </c>
      <c r="C18" s="137" t="str">
        <f>IFERROR(INDEX(_xlfn.VSTACK(YES_Writing_ELA[#Data], YES_Writing_FLA[#Data]),MATCH($A18,_xlfn.VSTACK(YES_Writing_ELA[Student Number], YES_Writing_FLA[Student Number]),0),MATCH(C$7,YES_Writing_ELA[#Headers],0)),"")</f>
        <v/>
      </c>
      <c r="D18" s="138" t="str">
        <f>IFERROR(IF(IF(INDEX(_xlfn.VSTACK(YES_Writing_ELA[#Data],YES_Writing_FLA[#Data]),MATCH($A18,_xlfn.VSTACK(YES_Writing_ELA[Student Number],YES_Writing_FLA[Student Number]),0),MATCH(VLOOKUP(D$7,'Writing Logic'!$J$7:$K$11,2,FALSE)&amp;" - Per "&amp;VLOOKUP($C$4,'Writing Logic'!$G$8:$H$14,2,FALSE),YES_Writing_ELA[#Headers],0))=0,"",INDEX(_xlfn.VSTACK(YES_Writing_ELA[#Data],YES_Writing_FLA[#Data]),MATCH($A18,_xlfn.VSTACK(YES_Writing_ELA[Student Number],YES_Writing_FLA[Student Number]),0),MATCH(VLOOKUP(D$7,'Writing Logic'!$J$7:$K$11,2,FALSE)&amp;" - Per "&amp;VLOOKUP($C$4,'Writing Logic'!$G$8:$H$14,2,FALSE),YES_Writing_ELA[#Headers],0)))="INS",'Writing Logic'!$B$7,IF(INDEX(_xlfn.VSTACK(YES_Writing_ELA[#Data],YES_Writing_FLA[#Data]),MATCH($A18,_xlfn.VSTACK(YES_Writing_ELA[Student Number],YES_Writing_FLA[Student Number]),0),MATCH(VLOOKUP(D$7,'Writing Logic'!$J$7:$K$11,2,FALSE)&amp;" - Per "&amp;VLOOKUP($C$4,'Writing Logic'!$G$8:$H$14,2,FALSE),YES_Writing_ELA[#Headers],0))=0,"",INDEX(_xlfn.VSTACK(YES_Writing_ELA[#Data],YES_Writing_FLA[#Data]),MATCH($A18,_xlfn.VSTACK(YES_Writing_ELA[Student Number],YES_Writing_FLA[Student Number]),0),MATCH(VLOOKUP(D$7,'Writing Logic'!$J$7:$K$11,2,FALSE)&amp;" - Per "&amp;VLOOKUP($C$4,'Writing Logic'!$G$8:$H$14,2,FALSE),YES_Writing_ELA[#Headers],0)))),"")</f>
        <v/>
      </c>
      <c r="E18" s="138" t="str">
        <f>IFERROR(IF(IF(INDEX(_xlfn.VSTACK(YES_Writing_ELA[#Data],YES_Writing_FLA[#Data]),MATCH($A18,_xlfn.VSTACK(YES_Writing_ELA[Student Number],YES_Writing_FLA[Student Number]),0),MATCH(VLOOKUP(E$7,'Writing Logic'!$J$7:$K$11,2,FALSE)&amp;" - Per "&amp;VLOOKUP($C$4,'Writing Logic'!$G$8:$H$14,2,FALSE),YES_Writing_ELA[#Headers],0))=0,"",INDEX(_xlfn.VSTACK(YES_Writing_ELA[#Data],YES_Writing_FLA[#Data]),MATCH($A18,_xlfn.VSTACK(YES_Writing_ELA[Student Number],YES_Writing_FLA[Student Number]),0),MATCH(VLOOKUP(E$7,'Writing Logic'!$J$7:$K$11,2,FALSE)&amp;" - Per "&amp;VLOOKUP($C$4,'Writing Logic'!$G$8:$H$14,2,FALSE),YES_Writing_ELA[#Headers],0)))="INS",'Writing Logic'!$B$7,IF(INDEX(_xlfn.VSTACK(YES_Writing_ELA[#Data],YES_Writing_FLA[#Data]),MATCH($A18,_xlfn.VSTACK(YES_Writing_ELA[Student Number],YES_Writing_FLA[Student Number]),0),MATCH(VLOOKUP(E$7,'Writing Logic'!$J$7:$K$11,2,FALSE)&amp;" - Per "&amp;VLOOKUP($C$4,'Writing Logic'!$G$8:$H$14,2,FALSE),YES_Writing_ELA[#Headers],0))=0,"",INDEX(_xlfn.VSTACK(YES_Writing_ELA[#Data],YES_Writing_FLA[#Data]),MATCH($A18,_xlfn.VSTACK(YES_Writing_ELA[Student Number],YES_Writing_FLA[Student Number]),0),MATCH(VLOOKUP(E$7,'Writing Logic'!$J$7:$K$11,2,FALSE)&amp;" - Per "&amp;VLOOKUP($C$4,'Writing Logic'!$G$8:$H$14,2,FALSE),YES_Writing_ELA[#Headers],0)))),"")</f>
        <v/>
      </c>
      <c r="F18" s="138" t="str">
        <f>IFERROR(IF(IF(INDEX(_xlfn.VSTACK(YES_Writing_ELA[#Data],YES_Writing_FLA[#Data]),MATCH($A18,_xlfn.VSTACK(YES_Writing_ELA[Student Number],YES_Writing_FLA[Student Number]),0),MATCH(VLOOKUP(F$7,'Writing Logic'!$J$7:$K$11,2,FALSE)&amp;" - Per "&amp;VLOOKUP($C$4,'Writing Logic'!$G$8:$H$14,2,FALSE),YES_Writing_ELA[#Headers],0))=0,"",INDEX(_xlfn.VSTACK(YES_Writing_ELA[#Data],YES_Writing_FLA[#Data]),MATCH($A18,_xlfn.VSTACK(YES_Writing_ELA[Student Number],YES_Writing_FLA[Student Number]),0),MATCH(VLOOKUP(F$7,'Writing Logic'!$J$7:$K$11,2,FALSE)&amp;" - Per "&amp;VLOOKUP($C$4,'Writing Logic'!$G$8:$H$14,2,FALSE),YES_Writing_ELA[#Headers],0)))="INS",'Writing Logic'!$B$7,IF(INDEX(_xlfn.VSTACK(YES_Writing_ELA[#Data],YES_Writing_FLA[#Data]),MATCH($A18,_xlfn.VSTACK(YES_Writing_ELA[Student Number],YES_Writing_FLA[Student Number]),0),MATCH(VLOOKUP(F$7,'Writing Logic'!$J$7:$K$11,2,FALSE)&amp;" - Per "&amp;VLOOKUP($C$4,'Writing Logic'!$G$8:$H$14,2,FALSE),YES_Writing_ELA[#Headers],0))=0,"",INDEX(_xlfn.VSTACK(YES_Writing_ELA[#Data],YES_Writing_FLA[#Data]),MATCH($A18,_xlfn.VSTACK(YES_Writing_ELA[Student Number],YES_Writing_FLA[Student Number]),0),MATCH(VLOOKUP(F$7,'Writing Logic'!$J$7:$K$11,2,FALSE)&amp;" - Per "&amp;VLOOKUP($C$4,'Writing Logic'!$G$8:$H$14,2,FALSE),YES_Writing_ELA[#Headers],0)))),"")</f>
        <v/>
      </c>
      <c r="G18" s="138" t="str">
        <f>IFERROR(IF(IF(INDEX(_xlfn.VSTACK(YES_Writing_ELA[#Data],YES_Writing_FLA[#Data]),MATCH($A18,_xlfn.VSTACK(YES_Writing_ELA[Student Number],YES_Writing_FLA[Student Number]),0),MATCH(VLOOKUP(G$7,'Writing Logic'!$J$7:$K$11,2,FALSE)&amp;" - Per "&amp;VLOOKUP($C$4,'Writing Logic'!$G$8:$H$14,2,FALSE),YES_Writing_ELA[#Headers],0))=0,"",INDEX(_xlfn.VSTACK(YES_Writing_ELA[#Data],YES_Writing_FLA[#Data]),MATCH($A18,_xlfn.VSTACK(YES_Writing_ELA[Student Number],YES_Writing_FLA[Student Number]),0),MATCH(VLOOKUP(G$7,'Writing Logic'!$J$7:$K$11,2,FALSE)&amp;" - Per "&amp;VLOOKUP($C$4,'Writing Logic'!$G$8:$H$14,2,FALSE),YES_Writing_ELA[#Headers],0)))="INS",'Writing Logic'!$B$7,IF(INDEX(_xlfn.VSTACK(YES_Writing_ELA[#Data],YES_Writing_FLA[#Data]),MATCH($A18,_xlfn.VSTACK(YES_Writing_ELA[Student Number],YES_Writing_FLA[Student Number]),0),MATCH(VLOOKUP(G$7,'Writing Logic'!$J$7:$K$11,2,FALSE)&amp;" - Per "&amp;VLOOKUP($C$4,'Writing Logic'!$G$8:$H$14,2,FALSE),YES_Writing_ELA[#Headers],0))=0,"",INDEX(_xlfn.VSTACK(YES_Writing_ELA[#Data],YES_Writing_FLA[#Data]),MATCH($A18,_xlfn.VSTACK(YES_Writing_ELA[Student Number],YES_Writing_FLA[Student Number]),0),MATCH(VLOOKUP(G$7,'Writing Logic'!$J$7:$K$11,2,FALSE)&amp;" - Per "&amp;VLOOKUP($C$4,'Writing Logic'!$G$8:$H$14,2,FALSE),YES_Writing_ELA[#Headers],0)))),"")</f>
        <v/>
      </c>
      <c r="H18" s="138" t="str">
        <f>IFERROR(IF(IF(INDEX(_xlfn.VSTACK(YES_Writing_ELA[#Data],YES_Writing_FLA[#Data]),MATCH($A18,_xlfn.VSTACK(YES_Writing_ELA[Student Number],YES_Writing_FLA[Student Number]),0),MATCH(VLOOKUP(H$7,'Writing Logic'!$J$7:$K$11,2,FALSE)&amp;" - Per "&amp;VLOOKUP($C$4,'Writing Logic'!$G$8:$H$14,2,FALSE),YES_Writing_ELA[#Headers],0))=0,"",INDEX(_xlfn.VSTACK(YES_Writing_ELA[#Data],YES_Writing_FLA[#Data]),MATCH($A18,_xlfn.VSTACK(YES_Writing_ELA[Student Number],YES_Writing_FLA[Student Number]),0),MATCH(VLOOKUP(H$7,'Writing Logic'!$J$7:$K$11,2,FALSE)&amp;" - Per "&amp;VLOOKUP($C$4,'Writing Logic'!$G$8:$H$14,2,FALSE),YES_Writing_ELA[#Headers],0)))="INS",'Writing Logic'!$B$7,IF(INDEX(_xlfn.VSTACK(YES_Writing_ELA[#Data],YES_Writing_FLA[#Data]),MATCH($A18,_xlfn.VSTACK(YES_Writing_ELA[Student Number],YES_Writing_FLA[Student Number]),0),MATCH(VLOOKUP(H$7,'Writing Logic'!$J$7:$K$11,2,FALSE)&amp;" - Per "&amp;VLOOKUP($C$4,'Writing Logic'!$G$8:$H$14,2,FALSE),YES_Writing_ELA[#Headers],0))=0,"",INDEX(_xlfn.VSTACK(YES_Writing_ELA[#Data],YES_Writing_FLA[#Data]),MATCH($A18,_xlfn.VSTACK(YES_Writing_ELA[Student Number],YES_Writing_FLA[Student Number]),0),MATCH(VLOOKUP(H$7,'Writing Logic'!$J$7:$K$11,2,FALSE)&amp;" - Per "&amp;VLOOKUP($C$4,'Writing Logic'!$G$8:$H$14,2,FALSE),YES_Writing_ELA[#Headers],0)))),"")</f>
        <v/>
      </c>
      <c r="I18" s="136"/>
      <c r="J18" s="108"/>
      <c r="K18" s="109" t="str">
        <f>IF(J18="","",COUNTIFS($C$10:$C$600,$J18,$H$10:$H$600,"&gt;="&amp;'Writing Logic'!$F$1))</f>
        <v/>
      </c>
      <c r="L18" s="134" t="str">
        <f t="shared" si="0"/>
        <v/>
      </c>
    </row>
    <row r="19" spans="1:12" s="99" customFormat="1" ht="14.25" customHeight="1" x14ac:dyDescent="0.25">
      <c r="A19" s="137"/>
      <c r="B19" s="137" t="str">
        <f>IFERROR(INDEX(_xlfn.VSTACK(YES_Writing_ELA[#Data], YES_Writing_FLA[#Data]),MATCH($A19,_xlfn.VSTACK(YES_Writing_ELA[Student Number], YES_Writing_FLA[Student Number]),0),MATCH(B$7,YES_Writing_ELA[#Headers],0)),"")</f>
        <v/>
      </c>
      <c r="C19" s="137" t="str">
        <f>IFERROR(INDEX(_xlfn.VSTACK(YES_Writing_ELA[#Data], YES_Writing_FLA[#Data]),MATCH($A19,_xlfn.VSTACK(YES_Writing_ELA[Student Number], YES_Writing_FLA[Student Number]),0),MATCH(C$7,YES_Writing_ELA[#Headers],0)),"")</f>
        <v/>
      </c>
      <c r="D19" s="138" t="str">
        <f>IFERROR(IF(IF(INDEX(_xlfn.VSTACK(YES_Writing_ELA[#Data],YES_Writing_FLA[#Data]),MATCH($A19,_xlfn.VSTACK(YES_Writing_ELA[Student Number],YES_Writing_FLA[Student Number]),0),MATCH(VLOOKUP(D$7,'Writing Logic'!$J$7:$K$11,2,FALSE)&amp;" - Per "&amp;VLOOKUP($C$4,'Writing Logic'!$G$8:$H$14,2,FALSE),YES_Writing_ELA[#Headers],0))=0,"",INDEX(_xlfn.VSTACK(YES_Writing_ELA[#Data],YES_Writing_FLA[#Data]),MATCH($A19,_xlfn.VSTACK(YES_Writing_ELA[Student Number],YES_Writing_FLA[Student Number]),0),MATCH(VLOOKUP(D$7,'Writing Logic'!$J$7:$K$11,2,FALSE)&amp;" - Per "&amp;VLOOKUP($C$4,'Writing Logic'!$G$8:$H$14,2,FALSE),YES_Writing_ELA[#Headers],0)))="INS",'Writing Logic'!$B$7,IF(INDEX(_xlfn.VSTACK(YES_Writing_ELA[#Data],YES_Writing_FLA[#Data]),MATCH($A19,_xlfn.VSTACK(YES_Writing_ELA[Student Number],YES_Writing_FLA[Student Number]),0),MATCH(VLOOKUP(D$7,'Writing Logic'!$J$7:$K$11,2,FALSE)&amp;" - Per "&amp;VLOOKUP($C$4,'Writing Logic'!$G$8:$H$14,2,FALSE),YES_Writing_ELA[#Headers],0))=0,"",INDEX(_xlfn.VSTACK(YES_Writing_ELA[#Data],YES_Writing_FLA[#Data]),MATCH($A19,_xlfn.VSTACK(YES_Writing_ELA[Student Number],YES_Writing_FLA[Student Number]),0),MATCH(VLOOKUP(D$7,'Writing Logic'!$J$7:$K$11,2,FALSE)&amp;" - Per "&amp;VLOOKUP($C$4,'Writing Logic'!$G$8:$H$14,2,FALSE),YES_Writing_ELA[#Headers],0)))),"")</f>
        <v/>
      </c>
      <c r="E19" s="138" t="str">
        <f>IFERROR(IF(IF(INDEX(_xlfn.VSTACK(YES_Writing_ELA[#Data],YES_Writing_FLA[#Data]),MATCH($A19,_xlfn.VSTACK(YES_Writing_ELA[Student Number],YES_Writing_FLA[Student Number]),0),MATCH(VLOOKUP(E$7,'Writing Logic'!$J$7:$K$11,2,FALSE)&amp;" - Per "&amp;VLOOKUP($C$4,'Writing Logic'!$G$8:$H$14,2,FALSE),YES_Writing_ELA[#Headers],0))=0,"",INDEX(_xlfn.VSTACK(YES_Writing_ELA[#Data],YES_Writing_FLA[#Data]),MATCH($A19,_xlfn.VSTACK(YES_Writing_ELA[Student Number],YES_Writing_FLA[Student Number]),0),MATCH(VLOOKUP(E$7,'Writing Logic'!$J$7:$K$11,2,FALSE)&amp;" - Per "&amp;VLOOKUP($C$4,'Writing Logic'!$G$8:$H$14,2,FALSE),YES_Writing_ELA[#Headers],0)))="INS",'Writing Logic'!$B$7,IF(INDEX(_xlfn.VSTACK(YES_Writing_ELA[#Data],YES_Writing_FLA[#Data]),MATCH($A19,_xlfn.VSTACK(YES_Writing_ELA[Student Number],YES_Writing_FLA[Student Number]),0),MATCH(VLOOKUP(E$7,'Writing Logic'!$J$7:$K$11,2,FALSE)&amp;" - Per "&amp;VLOOKUP($C$4,'Writing Logic'!$G$8:$H$14,2,FALSE),YES_Writing_ELA[#Headers],0))=0,"",INDEX(_xlfn.VSTACK(YES_Writing_ELA[#Data],YES_Writing_FLA[#Data]),MATCH($A19,_xlfn.VSTACK(YES_Writing_ELA[Student Number],YES_Writing_FLA[Student Number]),0),MATCH(VLOOKUP(E$7,'Writing Logic'!$J$7:$K$11,2,FALSE)&amp;" - Per "&amp;VLOOKUP($C$4,'Writing Logic'!$G$8:$H$14,2,FALSE),YES_Writing_ELA[#Headers],0)))),"")</f>
        <v/>
      </c>
      <c r="F19" s="138" t="str">
        <f>IFERROR(IF(IF(INDEX(_xlfn.VSTACK(YES_Writing_ELA[#Data],YES_Writing_FLA[#Data]),MATCH($A19,_xlfn.VSTACK(YES_Writing_ELA[Student Number],YES_Writing_FLA[Student Number]),0),MATCH(VLOOKUP(F$7,'Writing Logic'!$J$7:$K$11,2,FALSE)&amp;" - Per "&amp;VLOOKUP($C$4,'Writing Logic'!$G$8:$H$14,2,FALSE),YES_Writing_ELA[#Headers],0))=0,"",INDEX(_xlfn.VSTACK(YES_Writing_ELA[#Data],YES_Writing_FLA[#Data]),MATCH($A19,_xlfn.VSTACK(YES_Writing_ELA[Student Number],YES_Writing_FLA[Student Number]),0),MATCH(VLOOKUP(F$7,'Writing Logic'!$J$7:$K$11,2,FALSE)&amp;" - Per "&amp;VLOOKUP($C$4,'Writing Logic'!$G$8:$H$14,2,FALSE),YES_Writing_ELA[#Headers],0)))="INS",'Writing Logic'!$B$7,IF(INDEX(_xlfn.VSTACK(YES_Writing_ELA[#Data],YES_Writing_FLA[#Data]),MATCH($A19,_xlfn.VSTACK(YES_Writing_ELA[Student Number],YES_Writing_FLA[Student Number]),0),MATCH(VLOOKUP(F$7,'Writing Logic'!$J$7:$K$11,2,FALSE)&amp;" - Per "&amp;VLOOKUP($C$4,'Writing Logic'!$G$8:$H$14,2,FALSE),YES_Writing_ELA[#Headers],0))=0,"",INDEX(_xlfn.VSTACK(YES_Writing_ELA[#Data],YES_Writing_FLA[#Data]),MATCH($A19,_xlfn.VSTACK(YES_Writing_ELA[Student Number],YES_Writing_FLA[Student Number]),0),MATCH(VLOOKUP(F$7,'Writing Logic'!$J$7:$K$11,2,FALSE)&amp;" - Per "&amp;VLOOKUP($C$4,'Writing Logic'!$G$8:$H$14,2,FALSE),YES_Writing_ELA[#Headers],0)))),"")</f>
        <v/>
      </c>
      <c r="G19" s="138" t="str">
        <f>IFERROR(IF(IF(INDEX(_xlfn.VSTACK(YES_Writing_ELA[#Data],YES_Writing_FLA[#Data]),MATCH($A19,_xlfn.VSTACK(YES_Writing_ELA[Student Number],YES_Writing_FLA[Student Number]),0),MATCH(VLOOKUP(G$7,'Writing Logic'!$J$7:$K$11,2,FALSE)&amp;" - Per "&amp;VLOOKUP($C$4,'Writing Logic'!$G$8:$H$14,2,FALSE),YES_Writing_ELA[#Headers],0))=0,"",INDEX(_xlfn.VSTACK(YES_Writing_ELA[#Data],YES_Writing_FLA[#Data]),MATCH($A19,_xlfn.VSTACK(YES_Writing_ELA[Student Number],YES_Writing_FLA[Student Number]),0),MATCH(VLOOKUP(G$7,'Writing Logic'!$J$7:$K$11,2,FALSE)&amp;" - Per "&amp;VLOOKUP($C$4,'Writing Logic'!$G$8:$H$14,2,FALSE),YES_Writing_ELA[#Headers],0)))="INS",'Writing Logic'!$B$7,IF(INDEX(_xlfn.VSTACK(YES_Writing_ELA[#Data],YES_Writing_FLA[#Data]),MATCH($A19,_xlfn.VSTACK(YES_Writing_ELA[Student Number],YES_Writing_FLA[Student Number]),0),MATCH(VLOOKUP(G$7,'Writing Logic'!$J$7:$K$11,2,FALSE)&amp;" - Per "&amp;VLOOKUP($C$4,'Writing Logic'!$G$8:$H$14,2,FALSE),YES_Writing_ELA[#Headers],0))=0,"",INDEX(_xlfn.VSTACK(YES_Writing_ELA[#Data],YES_Writing_FLA[#Data]),MATCH($A19,_xlfn.VSTACK(YES_Writing_ELA[Student Number],YES_Writing_FLA[Student Number]),0),MATCH(VLOOKUP(G$7,'Writing Logic'!$J$7:$K$11,2,FALSE)&amp;" - Per "&amp;VLOOKUP($C$4,'Writing Logic'!$G$8:$H$14,2,FALSE),YES_Writing_ELA[#Headers],0)))),"")</f>
        <v/>
      </c>
      <c r="H19" s="138" t="str">
        <f>IFERROR(IF(IF(INDEX(_xlfn.VSTACK(YES_Writing_ELA[#Data],YES_Writing_FLA[#Data]),MATCH($A19,_xlfn.VSTACK(YES_Writing_ELA[Student Number],YES_Writing_FLA[Student Number]),0),MATCH(VLOOKUP(H$7,'Writing Logic'!$J$7:$K$11,2,FALSE)&amp;" - Per "&amp;VLOOKUP($C$4,'Writing Logic'!$G$8:$H$14,2,FALSE),YES_Writing_ELA[#Headers],0))=0,"",INDEX(_xlfn.VSTACK(YES_Writing_ELA[#Data],YES_Writing_FLA[#Data]),MATCH($A19,_xlfn.VSTACK(YES_Writing_ELA[Student Number],YES_Writing_FLA[Student Number]),0),MATCH(VLOOKUP(H$7,'Writing Logic'!$J$7:$K$11,2,FALSE)&amp;" - Per "&amp;VLOOKUP($C$4,'Writing Logic'!$G$8:$H$14,2,FALSE),YES_Writing_ELA[#Headers],0)))="INS",'Writing Logic'!$B$7,IF(INDEX(_xlfn.VSTACK(YES_Writing_ELA[#Data],YES_Writing_FLA[#Data]),MATCH($A19,_xlfn.VSTACK(YES_Writing_ELA[Student Number],YES_Writing_FLA[Student Number]),0),MATCH(VLOOKUP(H$7,'Writing Logic'!$J$7:$K$11,2,FALSE)&amp;" - Per "&amp;VLOOKUP($C$4,'Writing Logic'!$G$8:$H$14,2,FALSE),YES_Writing_ELA[#Headers],0))=0,"",INDEX(_xlfn.VSTACK(YES_Writing_ELA[#Data],YES_Writing_FLA[#Data]),MATCH($A19,_xlfn.VSTACK(YES_Writing_ELA[Student Number],YES_Writing_FLA[Student Number]),0),MATCH(VLOOKUP(H$7,'Writing Logic'!$J$7:$K$11,2,FALSE)&amp;" - Per "&amp;VLOOKUP($C$4,'Writing Logic'!$G$8:$H$14,2,FALSE),YES_Writing_ELA[#Headers],0)))),"")</f>
        <v/>
      </c>
      <c r="I19" s="136"/>
      <c r="J19" s="108"/>
      <c r="K19" s="109" t="str">
        <f>IF(J19="","",COUNTIFS($C$10:$C$600,$J19,$H$10:$H$600,"&gt;="&amp;'Writing Logic'!$F$1))</f>
        <v/>
      </c>
      <c r="L19" s="134" t="str">
        <f t="shared" si="0"/>
        <v/>
      </c>
    </row>
    <row r="20" spans="1:12" s="99" customFormat="1" ht="14.25" customHeight="1" x14ac:dyDescent="0.25">
      <c r="A20" s="137"/>
      <c r="B20" s="137" t="str">
        <f>IFERROR(INDEX(_xlfn.VSTACK(YES_Writing_ELA[#Data], YES_Writing_FLA[#Data]),MATCH($A20,_xlfn.VSTACK(YES_Writing_ELA[Student Number], YES_Writing_FLA[Student Number]),0),MATCH(B$7,YES_Writing_ELA[#Headers],0)),"")</f>
        <v/>
      </c>
      <c r="C20" s="137" t="str">
        <f>IFERROR(INDEX(_xlfn.VSTACK(YES_Writing_ELA[#Data], YES_Writing_FLA[#Data]),MATCH($A20,_xlfn.VSTACK(YES_Writing_ELA[Student Number], YES_Writing_FLA[Student Number]),0),MATCH(C$7,YES_Writing_ELA[#Headers],0)),"")</f>
        <v/>
      </c>
      <c r="D20" s="138" t="str">
        <f>IFERROR(IF(IF(INDEX(_xlfn.VSTACK(YES_Writing_ELA[#Data],YES_Writing_FLA[#Data]),MATCH($A20,_xlfn.VSTACK(YES_Writing_ELA[Student Number],YES_Writing_FLA[Student Number]),0),MATCH(VLOOKUP(D$7,'Writing Logic'!$J$7:$K$11,2,FALSE)&amp;" - Per "&amp;VLOOKUP($C$4,'Writing Logic'!$G$8:$H$14,2,FALSE),YES_Writing_ELA[#Headers],0))=0,"",INDEX(_xlfn.VSTACK(YES_Writing_ELA[#Data],YES_Writing_FLA[#Data]),MATCH($A20,_xlfn.VSTACK(YES_Writing_ELA[Student Number],YES_Writing_FLA[Student Number]),0),MATCH(VLOOKUP(D$7,'Writing Logic'!$J$7:$K$11,2,FALSE)&amp;" - Per "&amp;VLOOKUP($C$4,'Writing Logic'!$G$8:$H$14,2,FALSE),YES_Writing_ELA[#Headers],0)))="INS",'Writing Logic'!$B$7,IF(INDEX(_xlfn.VSTACK(YES_Writing_ELA[#Data],YES_Writing_FLA[#Data]),MATCH($A20,_xlfn.VSTACK(YES_Writing_ELA[Student Number],YES_Writing_FLA[Student Number]),0),MATCH(VLOOKUP(D$7,'Writing Logic'!$J$7:$K$11,2,FALSE)&amp;" - Per "&amp;VLOOKUP($C$4,'Writing Logic'!$G$8:$H$14,2,FALSE),YES_Writing_ELA[#Headers],0))=0,"",INDEX(_xlfn.VSTACK(YES_Writing_ELA[#Data],YES_Writing_FLA[#Data]),MATCH($A20,_xlfn.VSTACK(YES_Writing_ELA[Student Number],YES_Writing_FLA[Student Number]),0),MATCH(VLOOKUP(D$7,'Writing Logic'!$J$7:$K$11,2,FALSE)&amp;" - Per "&amp;VLOOKUP($C$4,'Writing Logic'!$G$8:$H$14,2,FALSE),YES_Writing_ELA[#Headers],0)))),"")</f>
        <v/>
      </c>
      <c r="E20" s="138" t="str">
        <f>IFERROR(IF(IF(INDEX(_xlfn.VSTACK(YES_Writing_ELA[#Data],YES_Writing_FLA[#Data]),MATCH($A20,_xlfn.VSTACK(YES_Writing_ELA[Student Number],YES_Writing_FLA[Student Number]),0),MATCH(VLOOKUP(E$7,'Writing Logic'!$J$7:$K$11,2,FALSE)&amp;" - Per "&amp;VLOOKUP($C$4,'Writing Logic'!$G$8:$H$14,2,FALSE),YES_Writing_ELA[#Headers],0))=0,"",INDEX(_xlfn.VSTACK(YES_Writing_ELA[#Data],YES_Writing_FLA[#Data]),MATCH($A20,_xlfn.VSTACK(YES_Writing_ELA[Student Number],YES_Writing_FLA[Student Number]),0),MATCH(VLOOKUP(E$7,'Writing Logic'!$J$7:$K$11,2,FALSE)&amp;" - Per "&amp;VLOOKUP($C$4,'Writing Logic'!$G$8:$H$14,2,FALSE),YES_Writing_ELA[#Headers],0)))="INS",'Writing Logic'!$B$7,IF(INDEX(_xlfn.VSTACK(YES_Writing_ELA[#Data],YES_Writing_FLA[#Data]),MATCH($A20,_xlfn.VSTACK(YES_Writing_ELA[Student Number],YES_Writing_FLA[Student Number]),0),MATCH(VLOOKUP(E$7,'Writing Logic'!$J$7:$K$11,2,FALSE)&amp;" - Per "&amp;VLOOKUP($C$4,'Writing Logic'!$G$8:$H$14,2,FALSE),YES_Writing_ELA[#Headers],0))=0,"",INDEX(_xlfn.VSTACK(YES_Writing_ELA[#Data],YES_Writing_FLA[#Data]),MATCH($A20,_xlfn.VSTACK(YES_Writing_ELA[Student Number],YES_Writing_FLA[Student Number]),0),MATCH(VLOOKUP(E$7,'Writing Logic'!$J$7:$K$11,2,FALSE)&amp;" - Per "&amp;VLOOKUP($C$4,'Writing Logic'!$G$8:$H$14,2,FALSE),YES_Writing_ELA[#Headers],0)))),"")</f>
        <v/>
      </c>
      <c r="F20" s="138" t="str">
        <f>IFERROR(IF(IF(INDEX(_xlfn.VSTACK(YES_Writing_ELA[#Data],YES_Writing_FLA[#Data]),MATCH($A20,_xlfn.VSTACK(YES_Writing_ELA[Student Number],YES_Writing_FLA[Student Number]),0),MATCH(VLOOKUP(F$7,'Writing Logic'!$J$7:$K$11,2,FALSE)&amp;" - Per "&amp;VLOOKUP($C$4,'Writing Logic'!$G$8:$H$14,2,FALSE),YES_Writing_ELA[#Headers],0))=0,"",INDEX(_xlfn.VSTACK(YES_Writing_ELA[#Data],YES_Writing_FLA[#Data]),MATCH($A20,_xlfn.VSTACK(YES_Writing_ELA[Student Number],YES_Writing_FLA[Student Number]),0),MATCH(VLOOKUP(F$7,'Writing Logic'!$J$7:$K$11,2,FALSE)&amp;" - Per "&amp;VLOOKUP($C$4,'Writing Logic'!$G$8:$H$14,2,FALSE),YES_Writing_ELA[#Headers],0)))="INS",'Writing Logic'!$B$7,IF(INDEX(_xlfn.VSTACK(YES_Writing_ELA[#Data],YES_Writing_FLA[#Data]),MATCH($A20,_xlfn.VSTACK(YES_Writing_ELA[Student Number],YES_Writing_FLA[Student Number]),0),MATCH(VLOOKUP(F$7,'Writing Logic'!$J$7:$K$11,2,FALSE)&amp;" - Per "&amp;VLOOKUP($C$4,'Writing Logic'!$G$8:$H$14,2,FALSE),YES_Writing_ELA[#Headers],0))=0,"",INDEX(_xlfn.VSTACK(YES_Writing_ELA[#Data],YES_Writing_FLA[#Data]),MATCH($A20,_xlfn.VSTACK(YES_Writing_ELA[Student Number],YES_Writing_FLA[Student Number]),0),MATCH(VLOOKUP(F$7,'Writing Logic'!$J$7:$K$11,2,FALSE)&amp;" - Per "&amp;VLOOKUP($C$4,'Writing Logic'!$G$8:$H$14,2,FALSE),YES_Writing_ELA[#Headers],0)))),"")</f>
        <v/>
      </c>
      <c r="G20" s="138" t="str">
        <f>IFERROR(IF(IF(INDEX(_xlfn.VSTACK(YES_Writing_ELA[#Data],YES_Writing_FLA[#Data]),MATCH($A20,_xlfn.VSTACK(YES_Writing_ELA[Student Number],YES_Writing_FLA[Student Number]),0),MATCH(VLOOKUP(G$7,'Writing Logic'!$J$7:$K$11,2,FALSE)&amp;" - Per "&amp;VLOOKUP($C$4,'Writing Logic'!$G$8:$H$14,2,FALSE),YES_Writing_ELA[#Headers],0))=0,"",INDEX(_xlfn.VSTACK(YES_Writing_ELA[#Data],YES_Writing_FLA[#Data]),MATCH($A20,_xlfn.VSTACK(YES_Writing_ELA[Student Number],YES_Writing_FLA[Student Number]),0),MATCH(VLOOKUP(G$7,'Writing Logic'!$J$7:$K$11,2,FALSE)&amp;" - Per "&amp;VLOOKUP($C$4,'Writing Logic'!$G$8:$H$14,2,FALSE),YES_Writing_ELA[#Headers],0)))="INS",'Writing Logic'!$B$7,IF(INDEX(_xlfn.VSTACK(YES_Writing_ELA[#Data],YES_Writing_FLA[#Data]),MATCH($A20,_xlfn.VSTACK(YES_Writing_ELA[Student Number],YES_Writing_FLA[Student Number]),0),MATCH(VLOOKUP(G$7,'Writing Logic'!$J$7:$K$11,2,FALSE)&amp;" - Per "&amp;VLOOKUP($C$4,'Writing Logic'!$G$8:$H$14,2,FALSE),YES_Writing_ELA[#Headers],0))=0,"",INDEX(_xlfn.VSTACK(YES_Writing_ELA[#Data],YES_Writing_FLA[#Data]),MATCH($A20,_xlfn.VSTACK(YES_Writing_ELA[Student Number],YES_Writing_FLA[Student Number]),0),MATCH(VLOOKUP(G$7,'Writing Logic'!$J$7:$K$11,2,FALSE)&amp;" - Per "&amp;VLOOKUP($C$4,'Writing Logic'!$G$8:$H$14,2,FALSE),YES_Writing_ELA[#Headers],0)))),"")</f>
        <v/>
      </c>
      <c r="H20" s="138" t="str">
        <f>IFERROR(IF(IF(INDEX(_xlfn.VSTACK(YES_Writing_ELA[#Data],YES_Writing_FLA[#Data]),MATCH($A20,_xlfn.VSTACK(YES_Writing_ELA[Student Number],YES_Writing_FLA[Student Number]),0),MATCH(VLOOKUP(H$7,'Writing Logic'!$J$7:$K$11,2,FALSE)&amp;" - Per "&amp;VLOOKUP($C$4,'Writing Logic'!$G$8:$H$14,2,FALSE),YES_Writing_ELA[#Headers],0))=0,"",INDEX(_xlfn.VSTACK(YES_Writing_ELA[#Data],YES_Writing_FLA[#Data]),MATCH($A20,_xlfn.VSTACK(YES_Writing_ELA[Student Number],YES_Writing_FLA[Student Number]),0),MATCH(VLOOKUP(H$7,'Writing Logic'!$J$7:$K$11,2,FALSE)&amp;" - Per "&amp;VLOOKUP($C$4,'Writing Logic'!$G$8:$H$14,2,FALSE),YES_Writing_ELA[#Headers],0)))="INS",'Writing Logic'!$B$7,IF(INDEX(_xlfn.VSTACK(YES_Writing_ELA[#Data],YES_Writing_FLA[#Data]),MATCH($A20,_xlfn.VSTACK(YES_Writing_ELA[Student Number],YES_Writing_FLA[Student Number]),0),MATCH(VLOOKUP(H$7,'Writing Logic'!$J$7:$K$11,2,FALSE)&amp;" - Per "&amp;VLOOKUP($C$4,'Writing Logic'!$G$8:$H$14,2,FALSE),YES_Writing_ELA[#Headers],0))=0,"",INDEX(_xlfn.VSTACK(YES_Writing_ELA[#Data],YES_Writing_FLA[#Data]),MATCH($A20,_xlfn.VSTACK(YES_Writing_ELA[Student Number],YES_Writing_FLA[Student Number]),0),MATCH(VLOOKUP(H$7,'Writing Logic'!$J$7:$K$11,2,FALSE)&amp;" - Per "&amp;VLOOKUP($C$4,'Writing Logic'!$G$8:$H$14,2,FALSE),YES_Writing_ELA[#Headers],0)))),"")</f>
        <v/>
      </c>
      <c r="I20" s="136"/>
      <c r="J20" s="108"/>
      <c r="K20" s="109" t="str">
        <f>IF(J20="","",COUNTIFS($C$10:$C$600,$J20,$H$10:$H$600,"&gt;="&amp;'Writing Logic'!$F$1))</f>
        <v/>
      </c>
      <c r="L20" s="134" t="str">
        <f t="shared" si="0"/>
        <v/>
      </c>
    </row>
    <row r="21" spans="1:12" s="99" customFormat="1" ht="14.25" customHeight="1" x14ac:dyDescent="0.25">
      <c r="A21" s="137"/>
      <c r="B21" s="137" t="str">
        <f>IFERROR(INDEX(_xlfn.VSTACK(YES_Writing_ELA[#Data], YES_Writing_FLA[#Data]),MATCH($A21,_xlfn.VSTACK(YES_Writing_ELA[Student Number], YES_Writing_FLA[Student Number]),0),MATCH(B$7,YES_Writing_ELA[#Headers],0)),"")</f>
        <v/>
      </c>
      <c r="C21" s="137" t="str">
        <f>IFERROR(INDEX(_xlfn.VSTACK(YES_Writing_ELA[#Data], YES_Writing_FLA[#Data]),MATCH($A21,_xlfn.VSTACK(YES_Writing_ELA[Student Number], YES_Writing_FLA[Student Number]),0),MATCH(C$7,YES_Writing_ELA[#Headers],0)),"")</f>
        <v/>
      </c>
      <c r="D21" s="138" t="str">
        <f>IFERROR(IF(IF(INDEX(_xlfn.VSTACK(YES_Writing_ELA[#Data],YES_Writing_FLA[#Data]),MATCH($A21,_xlfn.VSTACK(YES_Writing_ELA[Student Number],YES_Writing_FLA[Student Number]),0),MATCH(VLOOKUP(D$7,'Writing Logic'!$J$7:$K$11,2,FALSE)&amp;" - Per "&amp;VLOOKUP($C$4,'Writing Logic'!$G$8:$H$14,2,FALSE),YES_Writing_ELA[#Headers],0))=0,"",INDEX(_xlfn.VSTACK(YES_Writing_ELA[#Data],YES_Writing_FLA[#Data]),MATCH($A21,_xlfn.VSTACK(YES_Writing_ELA[Student Number],YES_Writing_FLA[Student Number]),0),MATCH(VLOOKUP(D$7,'Writing Logic'!$J$7:$K$11,2,FALSE)&amp;" - Per "&amp;VLOOKUP($C$4,'Writing Logic'!$G$8:$H$14,2,FALSE),YES_Writing_ELA[#Headers],0)))="INS",'Writing Logic'!$B$7,IF(INDEX(_xlfn.VSTACK(YES_Writing_ELA[#Data],YES_Writing_FLA[#Data]),MATCH($A21,_xlfn.VSTACK(YES_Writing_ELA[Student Number],YES_Writing_FLA[Student Number]),0),MATCH(VLOOKUP(D$7,'Writing Logic'!$J$7:$K$11,2,FALSE)&amp;" - Per "&amp;VLOOKUP($C$4,'Writing Logic'!$G$8:$H$14,2,FALSE),YES_Writing_ELA[#Headers],0))=0,"",INDEX(_xlfn.VSTACK(YES_Writing_ELA[#Data],YES_Writing_FLA[#Data]),MATCH($A21,_xlfn.VSTACK(YES_Writing_ELA[Student Number],YES_Writing_FLA[Student Number]),0),MATCH(VLOOKUP(D$7,'Writing Logic'!$J$7:$K$11,2,FALSE)&amp;" - Per "&amp;VLOOKUP($C$4,'Writing Logic'!$G$8:$H$14,2,FALSE),YES_Writing_ELA[#Headers],0)))),"")</f>
        <v/>
      </c>
      <c r="E21" s="138" t="str">
        <f>IFERROR(IF(IF(INDEX(_xlfn.VSTACK(YES_Writing_ELA[#Data],YES_Writing_FLA[#Data]),MATCH($A21,_xlfn.VSTACK(YES_Writing_ELA[Student Number],YES_Writing_FLA[Student Number]),0),MATCH(VLOOKUP(E$7,'Writing Logic'!$J$7:$K$11,2,FALSE)&amp;" - Per "&amp;VLOOKUP($C$4,'Writing Logic'!$G$8:$H$14,2,FALSE),YES_Writing_ELA[#Headers],0))=0,"",INDEX(_xlfn.VSTACK(YES_Writing_ELA[#Data],YES_Writing_FLA[#Data]),MATCH($A21,_xlfn.VSTACK(YES_Writing_ELA[Student Number],YES_Writing_FLA[Student Number]),0),MATCH(VLOOKUP(E$7,'Writing Logic'!$J$7:$K$11,2,FALSE)&amp;" - Per "&amp;VLOOKUP($C$4,'Writing Logic'!$G$8:$H$14,2,FALSE),YES_Writing_ELA[#Headers],0)))="INS",'Writing Logic'!$B$7,IF(INDEX(_xlfn.VSTACK(YES_Writing_ELA[#Data],YES_Writing_FLA[#Data]),MATCH($A21,_xlfn.VSTACK(YES_Writing_ELA[Student Number],YES_Writing_FLA[Student Number]),0),MATCH(VLOOKUP(E$7,'Writing Logic'!$J$7:$K$11,2,FALSE)&amp;" - Per "&amp;VLOOKUP($C$4,'Writing Logic'!$G$8:$H$14,2,FALSE),YES_Writing_ELA[#Headers],0))=0,"",INDEX(_xlfn.VSTACK(YES_Writing_ELA[#Data],YES_Writing_FLA[#Data]),MATCH($A21,_xlfn.VSTACK(YES_Writing_ELA[Student Number],YES_Writing_FLA[Student Number]),0),MATCH(VLOOKUP(E$7,'Writing Logic'!$J$7:$K$11,2,FALSE)&amp;" - Per "&amp;VLOOKUP($C$4,'Writing Logic'!$G$8:$H$14,2,FALSE),YES_Writing_ELA[#Headers],0)))),"")</f>
        <v/>
      </c>
      <c r="F21" s="138" t="str">
        <f>IFERROR(IF(IF(INDEX(_xlfn.VSTACK(YES_Writing_ELA[#Data],YES_Writing_FLA[#Data]),MATCH($A21,_xlfn.VSTACK(YES_Writing_ELA[Student Number],YES_Writing_FLA[Student Number]),0),MATCH(VLOOKUP(F$7,'Writing Logic'!$J$7:$K$11,2,FALSE)&amp;" - Per "&amp;VLOOKUP($C$4,'Writing Logic'!$G$8:$H$14,2,FALSE),YES_Writing_ELA[#Headers],0))=0,"",INDEX(_xlfn.VSTACK(YES_Writing_ELA[#Data],YES_Writing_FLA[#Data]),MATCH($A21,_xlfn.VSTACK(YES_Writing_ELA[Student Number],YES_Writing_FLA[Student Number]),0),MATCH(VLOOKUP(F$7,'Writing Logic'!$J$7:$K$11,2,FALSE)&amp;" - Per "&amp;VLOOKUP($C$4,'Writing Logic'!$G$8:$H$14,2,FALSE),YES_Writing_ELA[#Headers],0)))="INS",'Writing Logic'!$B$7,IF(INDEX(_xlfn.VSTACK(YES_Writing_ELA[#Data],YES_Writing_FLA[#Data]),MATCH($A21,_xlfn.VSTACK(YES_Writing_ELA[Student Number],YES_Writing_FLA[Student Number]),0),MATCH(VLOOKUP(F$7,'Writing Logic'!$J$7:$K$11,2,FALSE)&amp;" - Per "&amp;VLOOKUP($C$4,'Writing Logic'!$G$8:$H$14,2,FALSE),YES_Writing_ELA[#Headers],0))=0,"",INDEX(_xlfn.VSTACK(YES_Writing_ELA[#Data],YES_Writing_FLA[#Data]),MATCH($A21,_xlfn.VSTACK(YES_Writing_ELA[Student Number],YES_Writing_FLA[Student Number]),0),MATCH(VLOOKUP(F$7,'Writing Logic'!$J$7:$K$11,2,FALSE)&amp;" - Per "&amp;VLOOKUP($C$4,'Writing Logic'!$G$8:$H$14,2,FALSE),YES_Writing_ELA[#Headers],0)))),"")</f>
        <v/>
      </c>
      <c r="G21" s="138" t="str">
        <f>IFERROR(IF(IF(INDEX(_xlfn.VSTACK(YES_Writing_ELA[#Data],YES_Writing_FLA[#Data]),MATCH($A21,_xlfn.VSTACK(YES_Writing_ELA[Student Number],YES_Writing_FLA[Student Number]),0),MATCH(VLOOKUP(G$7,'Writing Logic'!$J$7:$K$11,2,FALSE)&amp;" - Per "&amp;VLOOKUP($C$4,'Writing Logic'!$G$8:$H$14,2,FALSE),YES_Writing_ELA[#Headers],0))=0,"",INDEX(_xlfn.VSTACK(YES_Writing_ELA[#Data],YES_Writing_FLA[#Data]),MATCH($A21,_xlfn.VSTACK(YES_Writing_ELA[Student Number],YES_Writing_FLA[Student Number]),0),MATCH(VLOOKUP(G$7,'Writing Logic'!$J$7:$K$11,2,FALSE)&amp;" - Per "&amp;VLOOKUP($C$4,'Writing Logic'!$G$8:$H$14,2,FALSE),YES_Writing_ELA[#Headers],0)))="INS",'Writing Logic'!$B$7,IF(INDEX(_xlfn.VSTACK(YES_Writing_ELA[#Data],YES_Writing_FLA[#Data]),MATCH($A21,_xlfn.VSTACK(YES_Writing_ELA[Student Number],YES_Writing_FLA[Student Number]),0),MATCH(VLOOKUP(G$7,'Writing Logic'!$J$7:$K$11,2,FALSE)&amp;" - Per "&amp;VLOOKUP($C$4,'Writing Logic'!$G$8:$H$14,2,FALSE),YES_Writing_ELA[#Headers],0))=0,"",INDEX(_xlfn.VSTACK(YES_Writing_ELA[#Data],YES_Writing_FLA[#Data]),MATCH($A21,_xlfn.VSTACK(YES_Writing_ELA[Student Number],YES_Writing_FLA[Student Number]),0),MATCH(VLOOKUP(G$7,'Writing Logic'!$J$7:$K$11,2,FALSE)&amp;" - Per "&amp;VLOOKUP($C$4,'Writing Logic'!$G$8:$H$14,2,FALSE),YES_Writing_ELA[#Headers],0)))),"")</f>
        <v/>
      </c>
      <c r="H21" s="138" t="str">
        <f>IFERROR(IF(IF(INDEX(_xlfn.VSTACK(YES_Writing_ELA[#Data],YES_Writing_FLA[#Data]),MATCH($A21,_xlfn.VSTACK(YES_Writing_ELA[Student Number],YES_Writing_FLA[Student Number]),0),MATCH(VLOOKUP(H$7,'Writing Logic'!$J$7:$K$11,2,FALSE)&amp;" - Per "&amp;VLOOKUP($C$4,'Writing Logic'!$G$8:$H$14,2,FALSE),YES_Writing_ELA[#Headers],0))=0,"",INDEX(_xlfn.VSTACK(YES_Writing_ELA[#Data],YES_Writing_FLA[#Data]),MATCH($A21,_xlfn.VSTACK(YES_Writing_ELA[Student Number],YES_Writing_FLA[Student Number]),0),MATCH(VLOOKUP(H$7,'Writing Logic'!$J$7:$K$11,2,FALSE)&amp;" - Per "&amp;VLOOKUP($C$4,'Writing Logic'!$G$8:$H$14,2,FALSE),YES_Writing_ELA[#Headers],0)))="INS",'Writing Logic'!$B$7,IF(INDEX(_xlfn.VSTACK(YES_Writing_ELA[#Data],YES_Writing_FLA[#Data]),MATCH($A21,_xlfn.VSTACK(YES_Writing_ELA[Student Number],YES_Writing_FLA[Student Number]),0),MATCH(VLOOKUP(H$7,'Writing Logic'!$J$7:$K$11,2,FALSE)&amp;" - Per "&amp;VLOOKUP($C$4,'Writing Logic'!$G$8:$H$14,2,FALSE),YES_Writing_ELA[#Headers],0))=0,"",INDEX(_xlfn.VSTACK(YES_Writing_ELA[#Data],YES_Writing_FLA[#Data]),MATCH($A21,_xlfn.VSTACK(YES_Writing_ELA[Student Number],YES_Writing_FLA[Student Number]),0),MATCH(VLOOKUP(H$7,'Writing Logic'!$J$7:$K$11,2,FALSE)&amp;" - Per "&amp;VLOOKUP($C$4,'Writing Logic'!$G$8:$H$14,2,FALSE),YES_Writing_ELA[#Headers],0)))),"")</f>
        <v/>
      </c>
      <c r="I21" s="136"/>
      <c r="J21" s="108"/>
      <c r="K21" s="109" t="str">
        <f>IF(J21="","",COUNTIFS($C$10:$C$600,$J21,$H$10:$H$600,"&gt;="&amp;'Writing Logic'!$F$1))</f>
        <v/>
      </c>
      <c r="L21" s="134" t="str">
        <f t="shared" si="0"/>
        <v/>
      </c>
    </row>
    <row r="22" spans="1:12" s="99" customFormat="1" ht="14.25" customHeight="1" x14ac:dyDescent="0.25">
      <c r="A22" s="137"/>
      <c r="B22" s="137" t="str">
        <f>IFERROR(INDEX(_xlfn.VSTACK(YES_Writing_ELA[#Data], YES_Writing_FLA[#Data]),MATCH($A22,_xlfn.VSTACK(YES_Writing_ELA[Student Number], YES_Writing_FLA[Student Number]),0),MATCH(B$7,YES_Writing_ELA[#Headers],0)),"")</f>
        <v/>
      </c>
      <c r="C22" s="137" t="str">
        <f>IFERROR(INDEX(_xlfn.VSTACK(YES_Writing_ELA[#Data], YES_Writing_FLA[#Data]),MATCH($A22,_xlfn.VSTACK(YES_Writing_ELA[Student Number], YES_Writing_FLA[Student Number]),0),MATCH(C$7,YES_Writing_ELA[#Headers],0)),"")</f>
        <v/>
      </c>
      <c r="D22" s="138" t="str">
        <f>IFERROR(IF(IF(INDEX(_xlfn.VSTACK(YES_Writing_ELA[#Data],YES_Writing_FLA[#Data]),MATCH($A22,_xlfn.VSTACK(YES_Writing_ELA[Student Number],YES_Writing_FLA[Student Number]),0),MATCH(VLOOKUP(D$7,'Writing Logic'!$J$7:$K$11,2,FALSE)&amp;" - Per "&amp;VLOOKUP($C$4,'Writing Logic'!$G$8:$H$14,2,FALSE),YES_Writing_ELA[#Headers],0))=0,"",INDEX(_xlfn.VSTACK(YES_Writing_ELA[#Data],YES_Writing_FLA[#Data]),MATCH($A22,_xlfn.VSTACK(YES_Writing_ELA[Student Number],YES_Writing_FLA[Student Number]),0),MATCH(VLOOKUP(D$7,'Writing Logic'!$J$7:$K$11,2,FALSE)&amp;" - Per "&amp;VLOOKUP($C$4,'Writing Logic'!$G$8:$H$14,2,FALSE),YES_Writing_ELA[#Headers],0)))="INS",'Writing Logic'!$B$7,IF(INDEX(_xlfn.VSTACK(YES_Writing_ELA[#Data],YES_Writing_FLA[#Data]),MATCH($A22,_xlfn.VSTACK(YES_Writing_ELA[Student Number],YES_Writing_FLA[Student Number]),0),MATCH(VLOOKUP(D$7,'Writing Logic'!$J$7:$K$11,2,FALSE)&amp;" - Per "&amp;VLOOKUP($C$4,'Writing Logic'!$G$8:$H$14,2,FALSE),YES_Writing_ELA[#Headers],0))=0,"",INDEX(_xlfn.VSTACK(YES_Writing_ELA[#Data],YES_Writing_FLA[#Data]),MATCH($A22,_xlfn.VSTACK(YES_Writing_ELA[Student Number],YES_Writing_FLA[Student Number]),0),MATCH(VLOOKUP(D$7,'Writing Logic'!$J$7:$K$11,2,FALSE)&amp;" - Per "&amp;VLOOKUP($C$4,'Writing Logic'!$G$8:$H$14,2,FALSE),YES_Writing_ELA[#Headers],0)))),"")</f>
        <v/>
      </c>
      <c r="E22" s="138" t="str">
        <f>IFERROR(IF(IF(INDEX(_xlfn.VSTACK(YES_Writing_ELA[#Data],YES_Writing_FLA[#Data]),MATCH($A22,_xlfn.VSTACK(YES_Writing_ELA[Student Number],YES_Writing_FLA[Student Number]),0),MATCH(VLOOKUP(E$7,'Writing Logic'!$J$7:$K$11,2,FALSE)&amp;" - Per "&amp;VLOOKUP($C$4,'Writing Logic'!$G$8:$H$14,2,FALSE),YES_Writing_ELA[#Headers],0))=0,"",INDEX(_xlfn.VSTACK(YES_Writing_ELA[#Data],YES_Writing_FLA[#Data]),MATCH($A22,_xlfn.VSTACK(YES_Writing_ELA[Student Number],YES_Writing_FLA[Student Number]),0),MATCH(VLOOKUP(E$7,'Writing Logic'!$J$7:$K$11,2,FALSE)&amp;" - Per "&amp;VLOOKUP($C$4,'Writing Logic'!$G$8:$H$14,2,FALSE),YES_Writing_ELA[#Headers],0)))="INS",'Writing Logic'!$B$7,IF(INDEX(_xlfn.VSTACK(YES_Writing_ELA[#Data],YES_Writing_FLA[#Data]),MATCH($A22,_xlfn.VSTACK(YES_Writing_ELA[Student Number],YES_Writing_FLA[Student Number]),0),MATCH(VLOOKUP(E$7,'Writing Logic'!$J$7:$K$11,2,FALSE)&amp;" - Per "&amp;VLOOKUP($C$4,'Writing Logic'!$G$8:$H$14,2,FALSE),YES_Writing_ELA[#Headers],0))=0,"",INDEX(_xlfn.VSTACK(YES_Writing_ELA[#Data],YES_Writing_FLA[#Data]),MATCH($A22,_xlfn.VSTACK(YES_Writing_ELA[Student Number],YES_Writing_FLA[Student Number]),0),MATCH(VLOOKUP(E$7,'Writing Logic'!$J$7:$K$11,2,FALSE)&amp;" - Per "&amp;VLOOKUP($C$4,'Writing Logic'!$G$8:$H$14,2,FALSE),YES_Writing_ELA[#Headers],0)))),"")</f>
        <v/>
      </c>
      <c r="F22" s="138" t="str">
        <f>IFERROR(IF(IF(INDEX(_xlfn.VSTACK(YES_Writing_ELA[#Data],YES_Writing_FLA[#Data]),MATCH($A22,_xlfn.VSTACK(YES_Writing_ELA[Student Number],YES_Writing_FLA[Student Number]),0),MATCH(VLOOKUP(F$7,'Writing Logic'!$J$7:$K$11,2,FALSE)&amp;" - Per "&amp;VLOOKUP($C$4,'Writing Logic'!$G$8:$H$14,2,FALSE),YES_Writing_ELA[#Headers],0))=0,"",INDEX(_xlfn.VSTACK(YES_Writing_ELA[#Data],YES_Writing_FLA[#Data]),MATCH($A22,_xlfn.VSTACK(YES_Writing_ELA[Student Number],YES_Writing_FLA[Student Number]),0),MATCH(VLOOKUP(F$7,'Writing Logic'!$J$7:$K$11,2,FALSE)&amp;" - Per "&amp;VLOOKUP($C$4,'Writing Logic'!$G$8:$H$14,2,FALSE),YES_Writing_ELA[#Headers],0)))="INS",'Writing Logic'!$B$7,IF(INDEX(_xlfn.VSTACK(YES_Writing_ELA[#Data],YES_Writing_FLA[#Data]),MATCH($A22,_xlfn.VSTACK(YES_Writing_ELA[Student Number],YES_Writing_FLA[Student Number]),0),MATCH(VLOOKUP(F$7,'Writing Logic'!$J$7:$K$11,2,FALSE)&amp;" - Per "&amp;VLOOKUP($C$4,'Writing Logic'!$G$8:$H$14,2,FALSE),YES_Writing_ELA[#Headers],0))=0,"",INDEX(_xlfn.VSTACK(YES_Writing_ELA[#Data],YES_Writing_FLA[#Data]),MATCH($A22,_xlfn.VSTACK(YES_Writing_ELA[Student Number],YES_Writing_FLA[Student Number]),0),MATCH(VLOOKUP(F$7,'Writing Logic'!$J$7:$K$11,2,FALSE)&amp;" - Per "&amp;VLOOKUP($C$4,'Writing Logic'!$G$8:$H$14,2,FALSE),YES_Writing_ELA[#Headers],0)))),"")</f>
        <v/>
      </c>
      <c r="G22" s="138" t="str">
        <f>IFERROR(IF(IF(INDEX(_xlfn.VSTACK(YES_Writing_ELA[#Data],YES_Writing_FLA[#Data]),MATCH($A22,_xlfn.VSTACK(YES_Writing_ELA[Student Number],YES_Writing_FLA[Student Number]),0),MATCH(VLOOKUP(G$7,'Writing Logic'!$J$7:$K$11,2,FALSE)&amp;" - Per "&amp;VLOOKUP($C$4,'Writing Logic'!$G$8:$H$14,2,FALSE),YES_Writing_ELA[#Headers],0))=0,"",INDEX(_xlfn.VSTACK(YES_Writing_ELA[#Data],YES_Writing_FLA[#Data]),MATCH($A22,_xlfn.VSTACK(YES_Writing_ELA[Student Number],YES_Writing_FLA[Student Number]),0),MATCH(VLOOKUP(G$7,'Writing Logic'!$J$7:$K$11,2,FALSE)&amp;" - Per "&amp;VLOOKUP($C$4,'Writing Logic'!$G$8:$H$14,2,FALSE),YES_Writing_ELA[#Headers],0)))="INS",'Writing Logic'!$B$7,IF(INDEX(_xlfn.VSTACK(YES_Writing_ELA[#Data],YES_Writing_FLA[#Data]),MATCH($A22,_xlfn.VSTACK(YES_Writing_ELA[Student Number],YES_Writing_FLA[Student Number]),0),MATCH(VLOOKUP(G$7,'Writing Logic'!$J$7:$K$11,2,FALSE)&amp;" - Per "&amp;VLOOKUP($C$4,'Writing Logic'!$G$8:$H$14,2,FALSE),YES_Writing_ELA[#Headers],0))=0,"",INDEX(_xlfn.VSTACK(YES_Writing_ELA[#Data],YES_Writing_FLA[#Data]),MATCH($A22,_xlfn.VSTACK(YES_Writing_ELA[Student Number],YES_Writing_FLA[Student Number]),0),MATCH(VLOOKUP(G$7,'Writing Logic'!$J$7:$K$11,2,FALSE)&amp;" - Per "&amp;VLOOKUP($C$4,'Writing Logic'!$G$8:$H$14,2,FALSE),YES_Writing_ELA[#Headers],0)))),"")</f>
        <v/>
      </c>
      <c r="H22" s="138" t="str">
        <f>IFERROR(IF(IF(INDEX(_xlfn.VSTACK(YES_Writing_ELA[#Data],YES_Writing_FLA[#Data]),MATCH($A22,_xlfn.VSTACK(YES_Writing_ELA[Student Number],YES_Writing_FLA[Student Number]),0),MATCH(VLOOKUP(H$7,'Writing Logic'!$J$7:$K$11,2,FALSE)&amp;" - Per "&amp;VLOOKUP($C$4,'Writing Logic'!$G$8:$H$14,2,FALSE),YES_Writing_ELA[#Headers],0))=0,"",INDEX(_xlfn.VSTACK(YES_Writing_ELA[#Data],YES_Writing_FLA[#Data]),MATCH($A22,_xlfn.VSTACK(YES_Writing_ELA[Student Number],YES_Writing_FLA[Student Number]),0),MATCH(VLOOKUP(H$7,'Writing Logic'!$J$7:$K$11,2,FALSE)&amp;" - Per "&amp;VLOOKUP($C$4,'Writing Logic'!$G$8:$H$14,2,FALSE),YES_Writing_ELA[#Headers],0)))="INS",'Writing Logic'!$B$7,IF(INDEX(_xlfn.VSTACK(YES_Writing_ELA[#Data],YES_Writing_FLA[#Data]),MATCH($A22,_xlfn.VSTACK(YES_Writing_ELA[Student Number],YES_Writing_FLA[Student Number]),0),MATCH(VLOOKUP(H$7,'Writing Logic'!$J$7:$K$11,2,FALSE)&amp;" - Per "&amp;VLOOKUP($C$4,'Writing Logic'!$G$8:$H$14,2,FALSE),YES_Writing_ELA[#Headers],0))=0,"",INDEX(_xlfn.VSTACK(YES_Writing_ELA[#Data],YES_Writing_FLA[#Data]),MATCH($A22,_xlfn.VSTACK(YES_Writing_ELA[Student Number],YES_Writing_FLA[Student Number]),0),MATCH(VLOOKUP(H$7,'Writing Logic'!$J$7:$K$11,2,FALSE)&amp;" - Per "&amp;VLOOKUP($C$4,'Writing Logic'!$G$8:$H$14,2,FALSE),YES_Writing_ELA[#Headers],0)))),"")</f>
        <v/>
      </c>
      <c r="I22" s="136"/>
      <c r="J22" s="108"/>
      <c r="K22" s="109" t="str">
        <f>IF(J22="","",COUNTIFS($C$10:$C$600,$J22,$H$10:$H$600,"&gt;="&amp;'Writing Logic'!$F$1))</f>
        <v/>
      </c>
      <c r="L22" s="134" t="str">
        <f t="shared" si="0"/>
        <v/>
      </c>
    </row>
    <row r="23" spans="1:12" s="99" customFormat="1" ht="14.25" customHeight="1" x14ac:dyDescent="0.25">
      <c r="A23" s="137"/>
      <c r="B23" s="137" t="str">
        <f>IFERROR(INDEX(_xlfn.VSTACK(YES_Writing_ELA[#Data], YES_Writing_FLA[#Data]),MATCH($A23,_xlfn.VSTACK(YES_Writing_ELA[Student Number], YES_Writing_FLA[Student Number]),0),MATCH(B$7,YES_Writing_ELA[#Headers],0)),"")</f>
        <v/>
      </c>
      <c r="C23" s="137" t="str">
        <f>IFERROR(INDEX(_xlfn.VSTACK(YES_Writing_ELA[#Data], YES_Writing_FLA[#Data]),MATCH($A23,_xlfn.VSTACK(YES_Writing_ELA[Student Number], YES_Writing_FLA[Student Number]),0),MATCH(C$7,YES_Writing_ELA[#Headers],0)),"")</f>
        <v/>
      </c>
      <c r="D23" s="138" t="str">
        <f>IFERROR(IF(IF(INDEX(_xlfn.VSTACK(YES_Writing_ELA[#Data],YES_Writing_FLA[#Data]),MATCH($A23,_xlfn.VSTACK(YES_Writing_ELA[Student Number],YES_Writing_FLA[Student Number]),0),MATCH(VLOOKUP(D$7,'Writing Logic'!$J$7:$K$11,2,FALSE)&amp;" - Per "&amp;VLOOKUP($C$4,'Writing Logic'!$G$8:$H$14,2,FALSE),YES_Writing_ELA[#Headers],0))=0,"",INDEX(_xlfn.VSTACK(YES_Writing_ELA[#Data],YES_Writing_FLA[#Data]),MATCH($A23,_xlfn.VSTACK(YES_Writing_ELA[Student Number],YES_Writing_FLA[Student Number]),0),MATCH(VLOOKUP(D$7,'Writing Logic'!$J$7:$K$11,2,FALSE)&amp;" - Per "&amp;VLOOKUP($C$4,'Writing Logic'!$G$8:$H$14,2,FALSE),YES_Writing_ELA[#Headers],0)))="INS",'Writing Logic'!$B$7,IF(INDEX(_xlfn.VSTACK(YES_Writing_ELA[#Data],YES_Writing_FLA[#Data]),MATCH($A23,_xlfn.VSTACK(YES_Writing_ELA[Student Number],YES_Writing_FLA[Student Number]),0),MATCH(VLOOKUP(D$7,'Writing Logic'!$J$7:$K$11,2,FALSE)&amp;" - Per "&amp;VLOOKUP($C$4,'Writing Logic'!$G$8:$H$14,2,FALSE),YES_Writing_ELA[#Headers],0))=0,"",INDEX(_xlfn.VSTACK(YES_Writing_ELA[#Data],YES_Writing_FLA[#Data]),MATCH($A23,_xlfn.VSTACK(YES_Writing_ELA[Student Number],YES_Writing_FLA[Student Number]),0),MATCH(VLOOKUP(D$7,'Writing Logic'!$J$7:$K$11,2,FALSE)&amp;" - Per "&amp;VLOOKUP($C$4,'Writing Logic'!$G$8:$H$14,2,FALSE),YES_Writing_ELA[#Headers],0)))),"")</f>
        <v/>
      </c>
      <c r="E23" s="138" t="str">
        <f>IFERROR(IF(IF(INDEX(_xlfn.VSTACK(YES_Writing_ELA[#Data],YES_Writing_FLA[#Data]),MATCH($A23,_xlfn.VSTACK(YES_Writing_ELA[Student Number],YES_Writing_FLA[Student Number]),0),MATCH(VLOOKUP(E$7,'Writing Logic'!$J$7:$K$11,2,FALSE)&amp;" - Per "&amp;VLOOKUP($C$4,'Writing Logic'!$G$8:$H$14,2,FALSE),YES_Writing_ELA[#Headers],0))=0,"",INDEX(_xlfn.VSTACK(YES_Writing_ELA[#Data],YES_Writing_FLA[#Data]),MATCH($A23,_xlfn.VSTACK(YES_Writing_ELA[Student Number],YES_Writing_FLA[Student Number]),0),MATCH(VLOOKUP(E$7,'Writing Logic'!$J$7:$K$11,2,FALSE)&amp;" - Per "&amp;VLOOKUP($C$4,'Writing Logic'!$G$8:$H$14,2,FALSE),YES_Writing_ELA[#Headers],0)))="INS",'Writing Logic'!$B$7,IF(INDEX(_xlfn.VSTACK(YES_Writing_ELA[#Data],YES_Writing_FLA[#Data]),MATCH($A23,_xlfn.VSTACK(YES_Writing_ELA[Student Number],YES_Writing_FLA[Student Number]),0),MATCH(VLOOKUP(E$7,'Writing Logic'!$J$7:$K$11,2,FALSE)&amp;" - Per "&amp;VLOOKUP($C$4,'Writing Logic'!$G$8:$H$14,2,FALSE),YES_Writing_ELA[#Headers],0))=0,"",INDEX(_xlfn.VSTACK(YES_Writing_ELA[#Data],YES_Writing_FLA[#Data]),MATCH($A23,_xlfn.VSTACK(YES_Writing_ELA[Student Number],YES_Writing_FLA[Student Number]),0),MATCH(VLOOKUP(E$7,'Writing Logic'!$J$7:$K$11,2,FALSE)&amp;" - Per "&amp;VLOOKUP($C$4,'Writing Logic'!$G$8:$H$14,2,FALSE),YES_Writing_ELA[#Headers],0)))),"")</f>
        <v/>
      </c>
      <c r="F23" s="138" t="str">
        <f>IFERROR(IF(IF(INDEX(_xlfn.VSTACK(YES_Writing_ELA[#Data],YES_Writing_FLA[#Data]),MATCH($A23,_xlfn.VSTACK(YES_Writing_ELA[Student Number],YES_Writing_FLA[Student Number]),0),MATCH(VLOOKUP(F$7,'Writing Logic'!$J$7:$K$11,2,FALSE)&amp;" - Per "&amp;VLOOKUP($C$4,'Writing Logic'!$G$8:$H$14,2,FALSE),YES_Writing_ELA[#Headers],0))=0,"",INDEX(_xlfn.VSTACK(YES_Writing_ELA[#Data],YES_Writing_FLA[#Data]),MATCH($A23,_xlfn.VSTACK(YES_Writing_ELA[Student Number],YES_Writing_FLA[Student Number]),0),MATCH(VLOOKUP(F$7,'Writing Logic'!$J$7:$K$11,2,FALSE)&amp;" - Per "&amp;VLOOKUP($C$4,'Writing Logic'!$G$8:$H$14,2,FALSE),YES_Writing_ELA[#Headers],0)))="INS",'Writing Logic'!$B$7,IF(INDEX(_xlfn.VSTACK(YES_Writing_ELA[#Data],YES_Writing_FLA[#Data]),MATCH($A23,_xlfn.VSTACK(YES_Writing_ELA[Student Number],YES_Writing_FLA[Student Number]),0),MATCH(VLOOKUP(F$7,'Writing Logic'!$J$7:$K$11,2,FALSE)&amp;" - Per "&amp;VLOOKUP($C$4,'Writing Logic'!$G$8:$H$14,2,FALSE),YES_Writing_ELA[#Headers],0))=0,"",INDEX(_xlfn.VSTACK(YES_Writing_ELA[#Data],YES_Writing_FLA[#Data]),MATCH($A23,_xlfn.VSTACK(YES_Writing_ELA[Student Number],YES_Writing_FLA[Student Number]),0),MATCH(VLOOKUP(F$7,'Writing Logic'!$J$7:$K$11,2,FALSE)&amp;" - Per "&amp;VLOOKUP($C$4,'Writing Logic'!$G$8:$H$14,2,FALSE),YES_Writing_ELA[#Headers],0)))),"")</f>
        <v/>
      </c>
      <c r="G23" s="138" t="str">
        <f>IFERROR(IF(IF(INDEX(_xlfn.VSTACK(YES_Writing_ELA[#Data],YES_Writing_FLA[#Data]),MATCH($A23,_xlfn.VSTACK(YES_Writing_ELA[Student Number],YES_Writing_FLA[Student Number]),0),MATCH(VLOOKUP(G$7,'Writing Logic'!$J$7:$K$11,2,FALSE)&amp;" - Per "&amp;VLOOKUP($C$4,'Writing Logic'!$G$8:$H$14,2,FALSE),YES_Writing_ELA[#Headers],0))=0,"",INDEX(_xlfn.VSTACK(YES_Writing_ELA[#Data],YES_Writing_FLA[#Data]),MATCH($A23,_xlfn.VSTACK(YES_Writing_ELA[Student Number],YES_Writing_FLA[Student Number]),0),MATCH(VLOOKUP(G$7,'Writing Logic'!$J$7:$K$11,2,FALSE)&amp;" - Per "&amp;VLOOKUP($C$4,'Writing Logic'!$G$8:$H$14,2,FALSE),YES_Writing_ELA[#Headers],0)))="INS",'Writing Logic'!$B$7,IF(INDEX(_xlfn.VSTACK(YES_Writing_ELA[#Data],YES_Writing_FLA[#Data]),MATCH($A23,_xlfn.VSTACK(YES_Writing_ELA[Student Number],YES_Writing_FLA[Student Number]),0),MATCH(VLOOKUP(G$7,'Writing Logic'!$J$7:$K$11,2,FALSE)&amp;" - Per "&amp;VLOOKUP($C$4,'Writing Logic'!$G$8:$H$14,2,FALSE),YES_Writing_ELA[#Headers],0))=0,"",INDEX(_xlfn.VSTACK(YES_Writing_ELA[#Data],YES_Writing_FLA[#Data]),MATCH($A23,_xlfn.VSTACK(YES_Writing_ELA[Student Number],YES_Writing_FLA[Student Number]),0),MATCH(VLOOKUP(G$7,'Writing Logic'!$J$7:$K$11,2,FALSE)&amp;" - Per "&amp;VLOOKUP($C$4,'Writing Logic'!$G$8:$H$14,2,FALSE),YES_Writing_ELA[#Headers],0)))),"")</f>
        <v/>
      </c>
      <c r="H23" s="138" t="str">
        <f>IFERROR(IF(IF(INDEX(_xlfn.VSTACK(YES_Writing_ELA[#Data],YES_Writing_FLA[#Data]),MATCH($A23,_xlfn.VSTACK(YES_Writing_ELA[Student Number],YES_Writing_FLA[Student Number]),0),MATCH(VLOOKUP(H$7,'Writing Logic'!$J$7:$K$11,2,FALSE)&amp;" - Per "&amp;VLOOKUP($C$4,'Writing Logic'!$G$8:$H$14,2,FALSE),YES_Writing_ELA[#Headers],0))=0,"",INDEX(_xlfn.VSTACK(YES_Writing_ELA[#Data],YES_Writing_FLA[#Data]),MATCH($A23,_xlfn.VSTACK(YES_Writing_ELA[Student Number],YES_Writing_FLA[Student Number]),0),MATCH(VLOOKUP(H$7,'Writing Logic'!$J$7:$K$11,2,FALSE)&amp;" - Per "&amp;VLOOKUP($C$4,'Writing Logic'!$G$8:$H$14,2,FALSE),YES_Writing_ELA[#Headers],0)))="INS",'Writing Logic'!$B$7,IF(INDEX(_xlfn.VSTACK(YES_Writing_ELA[#Data],YES_Writing_FLA[#Data]),MATCH($A23,_xlfn.VSTACK(YES_Writing_ELA[Student Number],YES_Writing_FLA[Student Number]),0),MATCH(VLOOKUP(H$7,'Writing Logic'!$J$7:$K$11,2,FALSE)&amp;" - Per "&amp;VLOOKUP($C$4,'Writing Logic'!$G$8:$H$14,2,FALSE),YES_Writing_ELA[#Headers],0))=0,"",INDEX(_xlfn.VSTACK(YES_Writing_ELA[#Data],YES_Writing_FLA[#Data]),MATCH($A23,_xlfn.VSTACK(YES_Writing_ELA[Student Number],YES_Writing_FLA[Student Number]),0),MATCH(VLOOKUP(H$7,'Writing Logic'!$J$7:$K$11,2,FALSE)&amp;" - Per "&amp;VLOOKUP($C$4,'Writing Logic'!$G$8:$H$14,2,FALSE),YES_Writing_ELA[#Headers],0)))),"")</f>
        <v/>
      </c>
      <c r="I23" s="136"/>
      <c r="J23" s="108"/>
      <c r="K23" s="109" t="str">
        <f>IF(J23="","",COUNTIFS($C$10:$C$600,$J23,$H$10:$H$600,"&gt;="&amp;'Writing Logic'!$F$1))</f>
        <v/>
      </c>
      <c r="L23" s="134" t="str">
        <f t="shared" si="0"/>
        <v/>
      </c>
    </row>
    <row r="24" spans="1:12" s="99" customFormat="1" ht="14.25" customHeight="1" x14ac:dyDescent="0.25">
      <c r="A24" s="137"/>
      <c r="B24" s="137" t="str">
        <f>IFERROR(INDEX(_xlfn.VSTACK(YES_Writing_ELA[#Data], YES_Writing_FLA[#Data]),MATCH($A24,_xlfn.VSTACK(YES_Writing_ELA[Student Number], YES_Writing_FLA[Student Number]),0),MATCH(B$7,YES_Writing_ELA[#Headers],0)),"")</f>
        <v/>
      </c>
      <c r="C24" s="137" t="str">
        <f>IFERROR(INDEX(_xlfn.VSTACK(YES_Writing_ELA[#Data], YES_Writing_FLA[#Data]),MATCH($A24,_xlfn.VSTACK(YES_Writing_ELA[Student Number], YES_Writing_FLA[Student Number]),0),MATCH(C$7,YES_Writing_ELA[#Headers],0)),"")</f>
        <v/>
      </c>
      <c r="D24" s="138" t="str">
        <f>IFERROR(IF(IF(INDEX(_xlfn.VSTACK(YES_Writing_ELA[#Data],YES_Writing_FLA[#Data]),MATCH($A24,_xlfn.VSTACK(YES_Writing_ELA[Student Number],YES_Writing_FLA[Student Number]),0),MATCH(VLOOKUP(D$7,'Writing Logic'!$J$7:$K$11,2,FALSE)&amp;" - Per "&amp;VLOOKUP($C$4,'Writing Logic'!$G$8:$H$14,2,FALSE),YES_Writing_ELA[#Headers],0))=0,"",INDEX(_xlfn.VSTACK(YES_Writing_ELA[#Data],YES_Writing_FLA[#Data]),MATCH($A24,_xlfn.VSTACK(YES_Writing_ELA[Student Number],YES_Writing_FLA[Student Number]),0),MATCH(VLOOKUP(D$7,'Writing Logic'!$J$7:$K$11,2,FALSE)&amp;" - Per "&amp;VLOOKUP($C$4,'Writing Logic'!$G$8:$H$14,2,FALSE),YES_Writing_ELA[#Headers],0)))="INS",'Writing Logic'!$B$7,IF(INDEX(_xlfn.VSTACK(YES_Writing_ELA[#Data],YES_Writing_FLA[#Data]),MATCH($A24,_xlfn.VSTACK(YES_Writing_ELA[Student Number],YES_Writing_FLA[Student Number]),0),MATCH(VLOOKUP(D$7,'Writing Logic'!$J$7:$K$11,2,FALSE)&amp;" - Per "&amp;VLOOKUP($C$4,'Writing Logic'!$G$8:$H$14,2,FALSE),YES_Writing_ELA[#Headers],0))=0,"",INDEX(_xlfn.VSTACK(YES_Writing_ELA[#Data],YES_Writing_FLA[#Data]),MATCH($A24,_xlfn.VSTACK(YES_Writing_ELA[Student Number],YES_Writing_FLA[Student Number]),0),MATCH(VLOOKUP(D$7,'Writing Logic'!$J$7:$K$11,2,FALSE)&amp;" - Per "&amp;VLOOKUP($C$4,'Writing Logic'!$G$8:$H$14,2,FALSE),YES_Writing_ELA[#Headers],0)))),"")</f>
        <v/>
      </c>
      <c r="E24" s="138" t="str">
        <f>IFERROR(IF(IF(INDEX(_xlfn.VSTACK(YES_Writing_ELA[#Data],YES_Writing_FLA[#Data]),MATCH($A24,_xlfn.VSTACK(YES_Writing_ELA[Student Number],YES_Writing_FLA[Student Number]),0),MATCH(VLOOKUP(E$7,'Writing Logic'!$J$7:$K$11,2,FALSE)&amp;" - Per "&amp;VLOOKUP($C$4,'Writing Logic'!$G$8:$H$14,2,FALSE),YES_Writing_ELA[#Headers],0))=0,"",INDEX(_xlfn.VSTACK(YES_Writing_ELA[#Data],YES_Writing_FLA[#Data]),MATCH($A24,_xlfn.VSTACK(YES_Writing_ELA[Student Number],YES_Writing_FLA[Student Number]),0),MATCH(VLOOKUP(E$7,'Writing Logic'!$J$7:$K$11,2,FALSE)&amp;" - Per "&amp;VLOOKUP($C$4,'Writing Logic'!$G$8:$H$14,2,FALSE),YES_Writing_ELA[#Headers],0)))="INS",'Writing Logic'!$B$7,IF(INDEX(_xlfn.VSTACK(YES_Writing_ELA[#Data],YES_Writing_FLA[#Data]),MATCH($A24,_xlfn.VSTACK(YES_Writing_ELA[Student Number],YES_Writing_FLA[Student Number]),0),MATCH(VLOOKUP(E$7,'Writing Logic'!$J$7:$K$11,2,FALSE)&amp;" - Per "&amp;VLOOKUP($C$4,'Writing Logic'!$G$8:$H$14,2,FALSE),YES_Writing_ELA[#Headers],0))=0,"",INDEX(_xlfn.VSTACK(YES_Writing_ELA[#Data],YES_Writing_FLA[#Data]),MATCH($A24,_xlfn.VSTACK(YES_Writing_ELA[Student Number],YES_Writing_FLA[Student Number]),0),MATCH(VLOOKUP(E$7,'Writing Logic'!$J$7:$K$11,2,FALSE)&amp;" - Per "&amp;VLOOKUP($C$4,'Writing Logic'!$G$8:$H$14,2,FALSE),YES_Writing_ELA[#Headers],0)))),"")</f>
        <v/>
      </c>
      <c r="F24" s="138" t="str">
        <f>IFERROR(IF(IF(INDEX(_xlfn.VSTACK(YES_Writing_ELA[#Data],YES_Writing_FLA[#Data]),MATCH($A24,_xlfn.VSTACK(YES_Writing_ELA[Student Number],YES_Writing_FLA[Student Number]),0),MATCH(VLOOKUP(F$7,'Writing Logic'!$J$7:$K$11,2,FALSE)&amp;" - Per "&amp;VLOOKUP($C$4,'Writing Logic'!$G$8:$H$14,2,FALSE),YES_Writing_ELA[#Headers],0))=0,"",INDEX(_xlfn.VSTACK(YES_Writing_ELA[#Data],YES_Writing_FLA[#Data]),MATCH($A24,_xlfn.VSTACK(YES_Writing_ELA[Student Number],YES_Writing_FLA[Student Number]),0),MATCH(VLOOKUP(F$7,'Writing Logic'!$J$7:$K$11,2,FALSE)&amp;" - Per "&amp;VLOOKUP($C$4,'Writing Logic'!$G$8:$H$14,2,FALSE),YES_Writing_ELA[#Headers],0)))="INS",'Writing Logic'!$B$7,IF(INDEX(_xlfn.VSTACK(YES_Writing_ELA[#Data],YES_Writing_FLA[#Data]),MATCH($A24,_xlfn.VSTACK(YES_Writing_ELA[Student Number],YES_Writing_FLA[Student Number]),0),MATCH(VLOOKUP(F$7,'Writing Logic'!$J$7:$K$11,2,FALSE)&amp;" - Per "&amp;VLOOKUP($C$4,'Writing Logic'!$G$8:$H$14,2,FALSE),YES_Writing_ELA[#Headers],0))=0,"",INDEX(_xlfn.VSTACK(YES_Writing_ELA[#Data],YES_Writing_FLA[#Data]),MATCH($A24,_xlfn.VSTACK(YES_Writing_ELA[Student Number],YES_Writing_FLA[Student Number]),0),MATCH(VLOOKUP(F$7,'Writing Logic'!$J$7:$K$11,2,FALSE)&amp;" - Per "&amp;VLOOKUP($C$4,'Writing Logic'!$G$8:$H$14,2,FALSE),YES_Writing_ELA[#Headers],0)))),"")</f>
        <v/>
      </c>
      <c r="G24" s="138" t="str">
        <f>IFERROR(IF(IF(INDEX(_xlfn.VSTACK(YES_Writing_ELA[#Data],YES_Writing_FLA[#Data]),MATCH($A24,_xlfn.VSTACK(YES_Writing_ELA[Student Number],YES_Writing_FLA[Student Number]),0),MATCH(VLOOKUP(G$7,'Writing Logic'!$J$7:$K$11,2,FALSE)&amp;" - Per "&amp;VLOOKUP($C$4,'Writing Logic'!$G$8:$H$14,2,FALSE),YES_Writing_ELA[#Headers],0))=0,"",INDEX(_xlfn.VSTACK(YES_Writing_ELA[#Data],YES_Writing_FLA[#Data]),MATCH($A24,_xlfn.VSTACK(YES_Writing_ELA[Student Number],YES_Writing_FLA[Student Number]),0),MATCH(VLOOKUP(G$7,'Writing Logic'!$J$7:$K$11,2,FALSE)&amp;" - Per "&amp;VLOOKUP($C$4,'Writing Logic'!$G$8:$H$14,2,FALSE),YES_Writing_ELA[#Headers],0)))="INS",'Writing Logic'!$B$7,IF(INDEX(_xlfn.VSTACK(YES_Writing_ELA[#Data],YES_Writing_FLA[#Data]),MATCH($A24,_xlfn.VSTACK(YES_Writing_ELA[Student Number],YES_Writing_FLA[Student Number]),0),MATCH(VLOOKUP(G$7,'Writing Logic'!$J$7:$K$11,2,FALSE)&amp;" - Per "&amp;VLOOKUP($C$4,'Writing Logic'!$G$8:$H$14,2,FALSE),YES_Writing_ELA[#Headers],0))=0,"",INDEX(_xlfn.VSTACK(YES_Writing_ELA[#Data],YES_Writing_FLA[#Data]),MATCH($A24,_xlfn.VSTACK(YES_Writing_ELA[Student Number],YES_Writing_FLA[Student Number]),0),MATCH(VLOOKUP(G$7,'Writing Logic'!$J$7:$K$11,2,FALSE)&amp;" - Per "&amp;VLOOKUP($C$4,'Writing Logic'!$G$8:$H$14,2,FALSE),YES_Writing_ELA[#Headers],0)))),"")</f>
        <v/>
      </c>
      <c r="H24" s="138" t="str">
        <f>IFERROR(IF(IF(INDEX(_xlfn.VSTACK(YES_Writing_ELA[#Data],YES_Writing_FLA[#Data]),MATCH($A24,_xlfn.VSTACK(YES_Writing_ELA[Student Number],YES_Writing_FLA[Student Number]),0),MATCH(VLOOKUP(H$7,'Writing Logic'!$J$7:$K$11,2,FALSE)&amp;" - Per "&amp;VLOOKUP($C$4,'Writing Logic'!$G$8:$H$14,2,FALSE),YES_Writing_ELA[#Headers],0))=0,"",INDEX(_xlfn.VSTACK(YES_Writing_ELA[#Data],YES_Writing_FLA[#Data]),MATCH($A24,_xlfn.VSTACK(YES_Writing_ELA[Student Number],YES_Writing_FLA[Student Number]),0),MATCH(VLOOKUP(H$7,'Writing Logic'!$J$7:$K$11,2,FALSE)&amp;" - Per "&amp;VLOOKUP($C$4,'Writing Logic'!$G$8:$H$14,2,FALSE),YES_Writing_ELA[#Headers],0)))="INS",'Writing Logic'!$B$7,IF(INDEX(_xlfn.VSTACK(YES_Writing_ELA[#Data],YES_Writing_FLA[#Data]),MATCH($A24,_xlfn.VSTACK(YES_Writing_ELA[Student Number],YES_Writing_FLA[Student Number]),0),MATCH(VLOOKUP(H$7,'Writing Logic'!$J$7:$K$11,2,FALSE)&amp;" - Per "&amp;VLOOKUP($C$4,'Writing Logic'!$G$8:$H$14,2,FALSE),YES_Writing_ELA[#Headers],0))=0,"",INDEX(_xlfn.VSTACK(YES_Writing_ELA[#Data],YES_Writing_FLA[#Data]),MATCH($A24,_xlfn.VSTACK(YES_Writing_ELA[Student Number],YES_Writing_FLA[Student Number]),0),MATCH(VLOOKUP(H$7,'Writing Logic'!$J$7:$K$11,2,FALSE)&amp;" - Per "&amp;VLOOKUP($C$4,'Writing Logic'!$G$8:$H$14,2,FALSE),YES_Writing_ELA[#Headers],0)))),"")</f>
        <v/>
      </c>
      <c r="I24" s="136"/>
      <c r="J24" s="108"/>
      <c r="K24" s="109" t="str">
        <f>IF(J24="","",COUNTIFS($C$10:$C$600,$J24,$H$10:$H$600,"&gt;="&amp;'Writing Logic'!$F$1))</f>
        <v/>
      </c>
      <c r="L24" s="134" t="str">
        <f t="shared" si="0"/>
        <v/>
      </c>
    </row>
    <row r="25" spans="1:12" s="99" customFormat="1" ht="14.25" customHeight="1" x14ac:dyDescent="0.25">
      <c r="A25" s="137"/>
      <c r="B25" s="137" t="str">
        <f>IFERROR(INDEX(_xlfn.VSTACK(YES_Writing_ELA[#Data], YES_Writing_FLA[#Data]),MATCH($A25,_xlfn.VSTACK(YES_Writing_ELA[Student Number], YES_Writing_FLA[Student Number]),0),MATCH(B$7,YES_Writing_ELA[#Headers],0)),"")</f>
        <v/>
      </c>
      <c r="C25" s="137" t="str">
        <f>IFERROR(INDEX(_xlfn.VSTACK(YES_Writing_ELA[#Data], YES_Writing_FLA[#Data]),MATCH($A25,_xlfn.VSTACK(YES_Writing_ELA[Student Number], YES_Writing_FLA[Student Number]),0),MATCH(C$7,YES_Writing_ELA[#Headers],0)),"")</f>
        <v/>
      </c>
      <c r="D25" s="138" t="str">
        <f>IFERROR(IF(IF(INDEX(_xlfn.VSTACK(YES_Writing_ELA[#Data],YES_Writing_FLA[#Data]),MATCH($A25,_xlfn.VSTACK(YES_Writing_ELA[Student Number],YES_Writing_FLA[Student Number]),0),MATCH(VLOOKUP(D$7,'Writing Logic'!$J$7:$K$11,2,FALSE)&amp;" - Per "&amp;VLOOKUP($C$4,'Writing Logic'!$G$8:$H$14,2,FALSE),YES_Writing_ELA[#Headers],0))=0,"",INDEX(_xlfn.VSTACK(YES_Writing_ELA[#Data],YES_Writing_FLA[#Data]),MATCH($A25,_xlfn.VSTACK(YES_Writing_ELA[Student Number],YES_Writing_FLA[Student Number]),0),MATCH(VLOOKUP(D$7,'Writing Logic'!$J$7:$K$11,2,FALSE)&amp;" - Per "&amp;VLOOKUP($C$4,'Writing Logic'!$G$8:$H$14,2,FALSE),YES_Writing_ELA[#Headers],0)))="INS",'Writing Logic'!$B$7,IF(INDEX(_xlfn.VSTACK(YES_Writing_ELA[#Data],YES_Writing_FLA[#Data]),MATCH($A25,_xlfn.VSTACK(YES_Writing_ELA[Student Number],YES_Writing_FLA[Student Number]),0),MATCH(VLOOKUP(D$7,'Writing Logic'!$J$7:$K$11,2,FALSE)&amp;" - Per "&amp;VLOOKUP($C$4,'Writing Logic'!$G$8:$H$14,2,FALSE),YES_Writing_ELA[#Headers],0))=0,"",INDEX(_xlfn.VSTACK(YES_Writing_ELA[#Data],YES_Writing_FLA[#Data]),MATCH($A25,_xlfn.VSTACK(YES_Writing_ELA[Student Number],YES_Writing_FLA[Student Number]),0),MATCH(VLOOKUP(D$7,'Writing Logic'!$J$7:$K$11,2,FALSE)&amp;" - Per "&amp;VLOOKUP($C$4,'Writing Logic'!$G$8:$H$14,2,FALSE),YES_Writing_ELA[#Headers],0)))),"")</f>
        <v/>
      </c>
      <c r="E25" s="138" t="str">
        <f>IFERROR(IF(IF(INDEX(_xlfn.VSTACK(YES_Writing_ELA[#Data],YES_Writing_FLA[#Data]),MATCH($A25,_xlfn.VSTACK(YES_Writing_ELA[Student Number],YES_Writing_FLA[Student Number]),0),MATCH(VLOOKUP(E$7,'Writing Logic'!$J$7:$K$11,2,FALSE)&amp;" - Per "&amp;VLOOKUP($C$4,'Writing Logic'!$G$8:$H$14,2,FALSE),YES_Writing_ELA[#Headers],0))=0,"",INDEX(_xlfn.VSTACK(YES_Writing_ELA[#Data],YES_Writing_FLA[#Data]),MATCH($A25,_xlfn.VSTACK(YES_Writing_ELA[Student Number],YES_Writing_FLA[Student Number]),0),MATCH(VLOOKUP(E$7,'Writing Logic'!$J$7:$K$11,2,FALSE)&amp;" - Per "&amp;VLOOKUP($C$4,'Writing Logic'!$G$8:$H$14,2,FALSE),YES_Writing_ELA[#Headers],0)))="INS",'Writing Logic'!$B$7,IF(INDEX(_xlfn.VSTACK(YES_Writing_ELA[#Data],YES_Writing_FLA[#Data]),MATCH($A25,_xlfn.VSTACK(YES_Writing_ELA[Student Number],YES_Writing_FLA[Student Number]),0),MATCH(VLOOKUP(E$7,'Writing Logic'!$J$7:$K$11,2,FALSE)&amp;" - Per "&amp;VLOOKUP($C$4,'Writing Logic'!$G$8:$H$14,2,FALSE),YES_Writing_ELA[#Headers],0))=0,"",INDEX(_xlfn.VSTACK(YES_Writing_ELA[#Data],YES_Writing_FLA[#Data]),MATCH($A25,_xlfn.VSTACK(YES_Writing_ELA[Student Number],YES_Writing_FLA[Student Number]),0),MATCH(VLOOKUP(E$7,'Writing Logic'!$J$7:$K$11,2,FALSE)&amp;" - Per "&amp;VLOOKUP($C$4,'Writing Logic'!$G$8:$H$14,2,FALSE),YES_Writing_ELA[#Headers],0)))),"")</f>
        <v/>
      </c>
      <c r="F25" s="138" t="str">
        <f>IFERROR(IF(IF(INDEX(_xlfn.VSTACK(YES_Writing_ELA[#Data],YES_Writing_FLA[#Data]),MATCH($A25,_xlfn.VSTACK(YES_Writing_ELA[Student Number],YES_Writing_FLA[Student Number]),0),MATCH(VLOOKUP(F$7,'Writing Logic'!$J$7:$K$11,2,FALSE)&amp;" - Per "&amp;VLOOKUP($C$4,'Writing Logic'!$G$8:$H$14,2,FALSE),YES_Writing_ELA[#Headers],0))=0,"",INDEX(_xlfn.VSTACK(YES_Writing_ELA[#Data],YES_Writing_FLA[#Data]),MATCH($A25,_xlfn.VSTACK(YES_Writing_ELA[Student Number],YES_Writing_FLA[Student Number]),0),MATCH(VLOOKUP(F$7,'Writing Logic'!$J$7:$K$11,2,FALSE)&amp;" - Per "&amp;VLOOKUP($C$4,'Writing Logic'!$G$8:$H$14,2,FALSE),YES_Writing_ELA[#Headers],0)))="INS",'Writing Logic'!$B$7,IF(INDEX(_xlfn.VSTACK(YES_Writing_ELA[#Data],YES_Writing_FLA[#Data]),MATCH($A25,_xlfn.VSTACK(YES_Writing_ELA[Student Number],YES_Writing_FLA[Student Number]),0),MATCH(VLOOKUP(F$7,'Writing Logic'!$J$7:$K$11,2,FALSE)&amp;" - Per "&amp;VLOOKUP($C$4,'Writing Logic'!$G$8:$H$14,2,FALSE),YES_Writing_ELA[#Headers],0))=0,"",INDEX(_xlfn.VSTACK(YES_Writing_ELA[#Data],YES_Writing_FLA[#Data]),MATCH($A25,_xlfn.VSTACK(YES_Writing_ELA[Student Number],YES_Writing_FLA[Student Number]),0),MATCH(VLOOKUP(F$7,'Writing Logic'!$J$7:$K$11,2,FALSE)&amp;" - Per "&amp;VLOOKUP($C$4,'Writing Logic'!$G$8:$H$14,2,FALSE),YES_Writing_ELA[#Headers],0)))),"")</f>
        <v/>
      </c>
      <c r="G25" s="138" t="str">
        <f>IFERROR(IF(IF(INDEX(_xlfn.VSTACK(YES_Writing_ELA[#Data],YES_Writing_FLA[#Data]),MATCH($A25,_xlfn.VSTACK(YES_Writing_ELA[Student Number],YES_Writing_FLA[Student Number]),0),MATCH(VLOOKUP(G$7,'Writing Logic'!$J$7:$K$11,2,FALSE)&amp;" - Per "&amp;VLOOKUP($C$4,'Writing Logic'!$G$8:$H$14,2,FALSE),YES_Writing_ELA[#Headers],0))=0,"",INDEX(_xlfn.VSTACK(YES_Writing_ELA[#Data],YES_Writing_FLA[#Data]),MATCH($A25,_xlfn.VSTACK(YES_Writing_ELA[Student Number],YES_Writing_FLA[Student Number]),0),MATCH(VLOOKUP(G$7,'Writing Logic'!$J$7:$K$11,2,FALSE)&amp;" - Per "&amp;VLOOKUP($C$4,'Writing Logic'!$G$8:$H$14,2,FALSE),YES_Writing_ELA[#Headers],0)))="INS",'Writing Logic'!$B$7,IF(INDEX(_xlfn.VSTACK(YES_Writing_ELA[#Data],YES_Writing_FLA[#Data]),MATCH($A25,_xlfn.VSTACK(YES_Writing_ELA[Student Number],YES_Writing_FLA[Student Number]),0),MATCH(VLOOKUP(G$7,'Writing Logic'!$J$7:$K$11,2,FALSE)&amp;" - Per "&amp;VLOOKUP($C$4,'Writing Logic'!$G$8:$H$14,2,FALSE),YES_Writing_ELA[#Headers],0))=0,"",INDEX(_xlfn.VSTACK(YES_Writing_ELA[#Data],YES_Writing_FLA[#Data]),MATCH($A25,_xlfn.VSTACK(YES_Writing_ELA[Student Number],YES_Writing_FLA[Student Number]),0),MATCH(VLOOKUP(G$7,'Writing Logic'!$J$7:$K$11,2,FALSE)&amp;" - Per "&amp;VLOOKUP($C$4,'Writing Logic'!$G$8:$H$14,2,FALSE),YES_Writing_ELA[#Headers],0)))),"")</f>
        <v/>
      </c>
      <c r="H25" s="138" t="str">
        <f>IFERROR(IF(IF(INDEX(_xlfn.VSTACK(YES_Writing_ELA[#Data],YES_Writing_FLA[#Data]),MATCH($A25,_xlfn.VSTACK(YES_Writing_ELA[Student Number],YES_Writing_FLA[Student Number]),0),MATCH(VLOOKUP(H$7,'Writing Logic'!$J$7:$K$11,2,FALSE)&amp;" - Per "&amp;VLOOKUP($C$4,'Writing Logic'!$G$8:$H$14,2,FALSE),YES_Writing_ELA[#Headers],0))=0,"",INDEX(_xlfn.VSTACK(YES_Writing_ELA[#Data],YES_Writing_FLA[#Data]),MATCH($A25,_xlfn.VSTACK(YES_Writing_ELA[Student Number],YES_Writing_FLA[Student Number]),0),MATCH(VLOOKUP(H$7,'Writing Logic'!$J$7:$K$11,2,FALSE)&amp;" - Per "&amp;VLOOKUP($C$4,'Writing Logic'!$G$8:$H$14,2,FALSE),YES_Writing_ELA[#Headers],0)))="INS",'Writing Logic'!$B$7,IF(INDEX(_xlfn.VSTACK(YES_Writing_ELA[#Data],YES_Writing_FLA[#Data]),MATCH($A25,_xlfn.VSTACK(YES_Writing_ELA[Student Number],YES_Writing_FLA[Student Number]),0),MATCH(VLOOKUP(H$7,'Writing Logic'!$J$7:$K$11,2,FALSE)&amp;" - Per "&amp;VLOOKUP($C$4,'Writing Logic'!$G$8:$H$14,2,FALSE),YES_Writing_ELA[#Headers],0))=0,"",INDEX(_xlfn.VSTACK(YES_Writing_ELA[#Data],YES_Writing_FLA[#Data]),MATCH($A25,_xlfn.VSTACK(YES_Writing_ELA[Student Number],YES_Writing_FLA[Student Number]),0),MATCH(VLOOKUP(H$7,'Writing Logic'!$J$7:$K$11,2,FALSE)&amp;" - Per "&amp;VLOOKUP($C$4,'Writing Logic'!$G$8:$H$14,2,FALSE),YES_Writing_ELA[#Headers],0)))),"")</f>
        <v/>
      </c>
      <c r="I25" s="136"/>
      <c r="J25" s="108"/>
      <c r="K25" s="109" t="str">
        <f>IF(J25="","",COUNTIFS($C$10:$C$600,$J25,$H$10:$H$600,"&gt;="&amp;'Writing Logic'!$F$1))</f>
        <v/>
      </c>
      <c r="L25" s="134" t="str">
        <f t="shared" si="0"/>
        <v/>
      </c>
    </row>
    <row r="26" spans="1:12" s="99" customFormat="1" ht="14.25" customHeight="1" x14ac:dyDescent="0.25">
      <c r="A26" s="137"/>
      <c r="B26" s="137" t="str">
        <f>IFERROR(INDEX(_xlfn.VSTACK(YES_Writing_ELA[#Data], YES_Writing_FLA[#Data]),MATCH($A26,_xlfn.VSTACK(YES_Writing_ELA[Student Number], YES_Writing_FLA[Student Number]),0),MATCH(B$7,YES_Writing_ELA[#Headers],0)),"")</f>
        <v/>
      </c>
      <c r="C26" s="137" t="str">
        <f>IFERROR(INDEX(_xlfn.VSTACK(YES_Writing_ELA[#Data], YES_Writing_FLA[#Data]),MATCH($A26,_xlfn.VSTACK(YES_Writing_ELA[Student Number], YES_Writing_FLA[Student Number]),0),MATCH(C$7,YES_Writing_ELA[#Headers],0)),"")</f>
        <v/>
      </c>
      <c r="D26" s="138" t="str">
        <f>IFERROR(IF(IF(INDEX(_xlfn.VSTACK(YES_Writing_ELA[#Data],YES_Writing_FLA[#Data]),MATCH($A26,_xlfn.VSTACK(YES_Writing_ELA[Student Number],YES_Writing_FLA[Student Number]),0),MATCH(VLOOKUP(D$7,'Writing Logic'!$J$7:$K$11,2,FALSE)&amp;" - Per "&amp;VLOOKUP($C$4,'Writing Logic'!$G$8:$H$14,2,FALSE),YES_Writing_ELA[#Headers],0))=0,"",INDEX(_xlfn.VSTACK(YES_Writing_ELA[#Data],YES_Writing_FLA[#Data]),MATCH($A26,_xlfn.VSTACK(YES_Writing_ELA[Student Number],YES_Writing_FLA[Student Number]),0),MATCH(VLOOKUP(D$7,'Writing Logic'!$J$7:$K$11,2,FALSE)&amp;" - Per "&amp;VLOOKUP($C$4,'Writing Logic'!$G$8:$H$14,2,FALSE),YES_Writing_ELA[#Headers],0)))="INS",'Writing Logic'!$B$7,IF(INDEX(_xlfn.VSTACK(YES_Writing_ELA[#Data],YES_Writing_FLA[#Data]),MATCH($A26,_xlfn.VSTACK(YES_Writing_ELA[Student Number],YES_Writing_FLA[Student Number]),0),MATCH(VLOOKUP(D$7,'Writing Logic'!$J$7:$K$11,2,FALSE)&amp;" - Per "&amp;VLOOKUP($C$4,'Writing Logic'!$G$8:$H$14,2,FALSE),YES_Writing_ELA[#Headers],0))=0,"",INDEX(_xlfn.VSTACK(YES_Writing_ELA[#Data],YES_Writing_FLA[#Data]),MATCH($A26,_xlfn.VSTACK(YES_Writing_ELA[Student Number],YES_Writing_FLA[Student Number]),0),MATCH(VLOOKUP(D$7,'Writing Logic'!$J$7:$K$11,2,FALSE)&amp;" - Per "&amp;VLOOKUP($C$4,'Writing Logic'!$G$8:$H$14,2,FALSE),YES_Writing_ELA[#Headers],0)))),"")</f>
        <v/>
      </c>
      <c r="E26" s="138" t="str">
        <f>IFERROR(IF(IF(INDEX(_xlfn.VSTACK(YES_Writing_ELA[#Data],YES_Writing_FLA[#Data]),MATCH($A26,_xlfn.VSTACK(YES_Writing_ELA[Student Number],YES_Writing_FLA[Student Number]),0),MATCH(VLOOKUP(E$7,'Writing Logic'!$J$7:$K$11,2,FALSE)&amp;" - Per "&amp;VLOOKUP($C$4,'Writing Logic'!$G$8:$H$14,2,FALSE),YES_Writing_ELA[#Headers],0))=0,"",INDEX(_xlfn.VSTACK(YES_Writing_ELA[#Data],YES_Writing_FLA[#Data]),MATCH($A26,_xlfn.VSTACK(YES_Writing_ELA[Student Number],YES_Writing_FLA[Student Number]),0),MATCH(VLOOKUP(E$7,'Writing Logic'!$J$7:$K$11,2,FALSE)&amp;" - Per "&amp;VLOOKUP($C$4,'Writing Logic'!$G$8:$H$14,2,FALSE),YES_Writing_ELA[#Headers],0)))="INS",'Writing Logic'!$B$7,IF(INDEX(_xlfn.VSTACK(YES_Writing_ELA[#Data],YES_Writing_FLA[#Data]),MATCH($A26,_xlfn.VSTACK(YES_Writing_ELA[Student Number],YES_Writing_FLA[Student Number]),0),MATCH(VLOOKUP(E$7,'Writing Logic'!$J$7:$K$11,2,FALSE)&amp;" - Per "&amp;VLOOKUP($C$4,'Writing Logic'!$G$8:$H$14,2,FALSE),YES_Writing_ELA[#Headers],0))=0,"",INDEX(_xlfn.VSTACK(YES_Writing_ELA[#Data],YES_Writing_FLA[#Data]),MATCH($A26,_xlfn.VSTACK(YES_Writing_ELA[Student Number],YES_Writing_FLA[Student Number]),0),MATCH(VLOOKUP(E$7,'Writing Logic'!$J$7:$K$11,2,FALSE)&amp;" - Per "&amp;VLOOKUP($C$4,'Writing Logic'!$G$8:$H$14,2,FALSE),YES_Writing_ELA[#Headers],0)))),"")</f>
        <v/>
      </c>
      <c r="F26" s="138" t="str">
        <f>IFERROR(IF(IF(INDEX(_xlfn.VSTACK(YES_Writing_ELA[#Data],YES_Writing_FLA[#Data]),MATCH($A26,_xlfn.VSTACK(YES_Writing_ELA[Student Number],YES_Writing_FLA[Student Number]),0),MATCH(VLOOKUP(F$7,'Writing Logic'!$J$7:$K$11,2,FALSE)&amp;" - Per "&amp;VLOOKUP($C$4,'Writing Logic'!$G$8:$H$14,2,FALSE),YES_Writing_ELA[#Headers],0))=0,"",INDEX(_xlfn.VSTACK(YES_Writing_ELA[#Data],YES_Writing_FLA[#Data]),MATCH($A26,_xlfn.VSTACK(YES_Writing_ELA[Student Number],YES_Writing_FLA[Student Number]),0),MATCH(VLOOKUP(F$7,'Writing Logic'!$J$7:$K$11,2,FALSE)&amp;" - Per "&amp;VLOOKUP($C$4,'Writing Logic'!$G$8:$H$14,2,FALSE),YES_Writing_ELA[#Headers],0)))="INS",'Writing Logic'!$B$7,IF(INDEX(_xlfn.VSTACK(YES_Writing_ELA[#Data],YES_Writing_FLA[#Data]),MATCH($A26,_xlfn.VSTACK(YES_Writing_ELA[Student Number],YES_Writing_FLA[Student Number]),0),MATCH(VLOOKUP(F$7,'Writing Logic'!$J$7:$K$11,2,FALSE)&amp;" - Per "&amp;VLOOKUP($C$4,'Writing Logic'!$G$8:$H$14,2,FALSE),YES_Writing_ELA[#Headers],0))=0,"",INDEX(_xlfn.VSTACK(YES_Writing_ELA[#Data],YES_Writing_FLA[#Data]),MATCH($A26,_xlfn.VSTACK(YES_Writing_ELA[Student Number],YES_Writing_FLA[Student Number]),0),MATCH(VLOOKUP(F$7,'Writing Logic'!$J$7:$K$11,2,FALSE)&amp;" - Per "&amp;VLOOKUP($C$4,'Writing Logic'!$G$8:$H$14,2,FALSE),YES_Writing_ELA[#Headers],0)))),"")</f>
        <v/>
      </c>
      <c r="G26" s="138" t="str">
        <f>IFERROR(IF(IF(INDEX(_xlfn.VSTACK(YES_Writing_ELA[#Data],YES_Writing_FLA[#Data]),MATCH($A26,_xlfn.VSTACK(YES_Writing_ELA[Student Number],YES_Writing_FLA[Student Number]),0),MATCH(VLOOKUP(G$7,'Writing Logic'!$J$7:$K$11,2,FALSE)&amp;" - Per "&amp;VLOOKUP($C$4,'Writing Logic'!$G$8:$H$14,2,FALSE),YES_Writing_ELA[#Headers],0))=0,"",INDEX(_xlfn.VSTACK(YES_Writing_ELA[#Data],YES_Writing_FLA[#Data]),MATCH($A26,_xlfn.VSTACK(YES_Writing_ELA[Student Number],YES_Writing_FLA[Student Number]),0),MATCH(VLOOKUP(G$7,'Writing Logic'!$J$7:$K$11,2,FALSE)&amp;" - Per "&amp;VLOOKUP($C$4,'Writing Logic'!$G$8:$H$14,2,FALSE),YES_Writing_ELA[#Headers],0)))="INS",'Writing Logic'!$B$7,IF(INDEX(_xlfn.VSTACK(YES_Writing_ELA[#Data],YES_Writing_FLA[#Data]),MATCH($A26,_xlfn.VSTACK(YES_Writing_ELA[Student Number],YES_Writing_FLA[Student Number]),0),MATCH(VLOOKUP(G$7,'Writing Logic'!$J$7:$K$11,2,FALSE)&amp;" - Per "&amp;VLOOKUP($C$4,'Writing Logic'!$G$8:$H$14,2,FALSE),YES_Writing_ELA[#Headers],0))=0,"",INDEX(_xlfn.VSTACK(YES_Writing_ELA[#Data],YES_Writing_FLA[#Data]),MATCH($A26,_xlfn.VSTACK(YES_Writing_ELA[Student Number],YES_Writing_FLA[Student Number]),0),MATCH(VLOOKUP(G$7,'Writing Logic'!$J$7:$K$11,2,FALSE)&amp;" - Per "&amp;VLOOKUP($C$4,'Writing Logic'!$G$8:$H$14,2,FALSE),YES_Writing_ELA[#Headers],0)))),"")</f>
        <v/>
      </c>
      <c r="H26" s="138" t="str">
        <f>IFERROR(IF(IF(INDEX(_xlfn.VSTACK(YES_Writing_ELA[#Data],YES_Writing_FLA[#Data]),MATCH($A26,_xlfn.VSTACK(YES_Writing_ELA[Student Number],YES_Writing_FLA[Student Number]),0),MATCH(VLOOKUP(H$7,'Writing Logic'!$J$7:$K$11,2,FALSE)&amp;" - Per "&amp;VLOOKUP($C$4,'Writing Logic'!$G$8:$H$14,2,FALSE),YES_Writing_ELA[#Headers],0))=0,"",INDEX(_xlfn.VSTACK(YES_Writing_ELA[#Data],YES_Writing_FLA[#Data]),MATCH($A26,_xlfn.VSTACK(YES_Writing_ELA[Student Number],YES_Writing_FLA[Student Number]),0),MATCH(VLOOKUP(H$7,'Writing Logic'!$J$7:$K$11,2,FALSE)&amp;" - Per "&amp;VLOOKUP($C$4,'Writing Logic'!$G$8:$H$14,2,FALSE),YES_Writing_ELA[#Headers],0)))="INS",'Writing Logic'!$B$7,IF(INDEX(_xlfn.VSTACK(YES_Writing_ELA[#Data],YES_Writing_FLA[#Data]),MATCH($A26,_xlfn.VSTACK(YES_Writing_ELA[Student Number],YES_Writing_FLA[Student Number]),0),MATCH(VLOOKUP(H$7,'Writing Logic'!$J$7:$K$11,2,FALSE)&amp;" - Per "&amp;VLOOKUP($C$4,'Writing Logic'!$G$8:$H$14,2,FALSE),YES_Writing_ELA[#Headers],0))=0,"",INDEX(_xlfn.VSTACK(YES_Writing_ELA[#Data],YES_Writing_FLA[#Data]),MATCH($A26,_xlfn.VSTACK(YES_Writing_ELA[Student Number],YES_Writing_FLA[Student Number]),0),MATCH(VLOOKUP(H$7,'Writing Logic'!$J$7:$K$11,2,FALSE)&amp;" - Per "&amp;VLOOKUP($C$4,'Writing Logic'!$G$8:$H$14,2,FALSE),YES_Writing_ELA[#Headers],0)))),"")</f>
        <v/>
      </c>
      <c r="I26" s="136"/>
      <c r="J26" s="108"/>
      <c r="K26" s="109" t="str">
        <f>IF(J26="","",COUNTIFS($C$10:$C$600,$J26,$H$10:$H$600,"&gt;="&amp;'Writing Logic'!$F$1))</f>
        <v/>
      </c>
      <c r="L26" s="134" t="str">
        <f t="shared" si="0"/>
        <v/>
      </c>
    </row>
    <row r="27" spans="1:12" s="99" customFormat="1" ht="14.25" customHeight="1" x14ac:dyDescent="0.25">
      <c r="A27" s="137"/>
      <c r="B27" s="137" t="str">
        <f>IFERROR(INDEX(_xlfn.VSTACK(YES_Writing_ELA[#Data], YES_Writing_FLA[#Data]),MATCH($A27,_xlfn.VSTACK(YES_Writing_ELA[Student Number], YES_Writing_FLA[Student Number]),0),MATCH(B$7,YES_Writing_ELA[#Headers],0)),"")</f>
        <v/>
      </c>
      <c r="C27" s="137" t="str">
        <f>IFERROR(INDEX(_xlfn.VSTACK(YES_Writing_ELA[#Data], YES_Writing_FLA[#Data]),MATCH($A27,_xlfn.VSTACK(YES_Writing_ELA[Student Number], YES_Writing_FLA[Student Number]),0),MATCH(C$7,YES_Writing_ELA[#Headers],0)),"")</f>
        <v/>
      </c>
      <c r="D27" s="138" t="str">
        <f>IFERROR(IF(IF(INDEX(_xlfn.VSTACK(YES_Writing_ELA[#Data],YES_Writing_FLA[#Data]),MATCH($A27,_xlfn.VSTACK(YES_Writing_ELA[Student Number],YES_Writing_FLA[Student Number]),0),MATCH(VLOOKUP(D$7,'Writing Logic'!$J$7:$K$11,2,FALSE)&amp;" - Per "&amp;VLOOKUP($C$4,'Writing Logic'!$G$8:$H$14,2,FALSE),YES_Writing_ELA[#Headers],0))=0,"",INDEX(_xlfn.VSTACK(YES_Writing_ELA[#Data],YES_Writing_FLA[#Data]),MATCH($A27,_xlfn.VSTACK(YES_Writing_ELA[Student Number],YES_Writing_FLA[Student Number]),0),MATCH(VLOOKUP(D$7,'Writing Logic'!$J$7:$K$11,2,FALSE)&amp;" - Per "&amp;VLOOKUP($C$4,'Writing Logic'!$G$8:$H$14,2,FALSE),YES_Writing_ELA[#Headers],0)))="INS",'Writing Logic'!$B$7,IF(INDEX(_xlfn.VSTACK(YES_Writing_ELA[#Data],YES_Writing_FLA[#Data]),MATCH($A27,_xlfn.VSTACK(YES_Writing_ELA[Student Number],YES_Writing_FLA[Student Number]),0),MATCH(VLOOKUP(D$7,'Writing Logic'!$J$7:$K$11,2,FALSE)&amp;" - Per "&amp;VLOOKUP($C$4,'Writing Logic'!$G$8:$H$14,2,FALSE),YES_Writing_ELA[#Headers],0))=0,"",INDEX(_xlfn.VSTACK(YES_Writing_ELA[#Data],YES_Writing_FLA[#Data]),MATCH($A27,_xlfn.VSTACK(YES_Writing_ELA[Student Number],YES_Writing_FLA[Student Number]),0),MATCH(VLOOKUP(D$7,'Writing Logic'!$J$7:$K$11,2,FALSE)&amp;" - Per "&amp;VLOOKUP($C$4,'Writing Logic'!$G$8:$H$14,2,FALSE),YES_Writing_ELA[#Headers],0)))),"")</f>
        <v/>
      </c>
      <c r="E27" s="138" t="str">
        <f>IFERROR(IF(IF(INDEX(_xlfn.VSTACK(YES_Writing_ELA[#Data],YES_Writing_FLA[#Data]),MATCH($A27,_xlfn.VSTACK(YES_Writing_ELA[Student Number],YES_Writing_FLA[Student Number]),0),MATCH(VLOOKUP(E$7,'Writing Logic'!$J$7:$K$11,2,FALSE)&amp;" - Per "&amp;VLOOKUP($C$4,'Writing Logic'!$G$8:$H$14,2,FALSE),YES_Writing_ELA[#Headers],0))=0,"",INDEX(_xlfn.VSTACK(YES_Writing_ELA[#Data],YES_Writing_FLA[#Data]),MATCH($A27,_xlfn.VSTACK(YES_Writing_ELA[Student Number],YES_Writing_FLA[Student Number]),0),MATCH(VLOOKUP(E$7,'Writing Logic'!$J$7:$K$11,2,FALSE)&amp;" - Per "&amp;VLOOKUP($C$4,'Writing Logic'!$G$8:$H$14,2,FALSE),YES_Writing_ELA[#Headers],0)))="INS",'Writing Logic'!$B$7,IF(INDEX(_xlfn.VSTACK(YES_Writing_ELA[#Data],YES_Writing_FLA[#Data]),MATCH($A27,_xlfn.VSTACK(YES_Writing_ELA[Student Number],YES_Writing_FLA[Student Number]),0),MATCH(VLOOKUP(E$7,'Writing Logic'!$J$7:$K$11,2,FALSE)&amp;" - Per "&amp;VLOOKUP($C$4,'Writing Logic'!$G$8:$H$14,2,FALSE),YES_Writing_ELA[#Headers],0))=0,"",INDEX(_xlfn.VSTACK(YES_Writing_ELA[#Data],YES_Writing_FLA[#Data]),MATCH($A27,_xlfn.VSTACK(YES_Writing_ELA[Student Number],YES_Writing_FLA[Student Number]),0),MATCH(VLOOKUP(E$7,'Writing Logic'!$J$7:$K$11,2,FALSE)&amp;" - Per "&amp;VLOOKUP($C$4,'Writing Logic'!$G$8:$H$14,2,FALSE),YES_Writing_ELA[#Headers],0)))),"")</f>
        <v/>
      </c>
      <c r="F27" s="138" t="str">
        <f>IFERROR(IF(IF(INDEX(_xlfn.VSTACK(YES_Writing_ELA[#Data],YES_Writing_FLA[#Data]),MATCH($A27,_xlfn.VSTACK(YES_Writing_ELA[Student Number],YES_Writing_FLA[Student Number]),0),MATCH(VLOOKUP(F$7,'Writing Logic'!$J$7:$K$11,2,FALSE)&amp;" - Per "&amp;VLOOKUP($C$4,'Writing Logic'!$G$8:$H$14,2,FALSE),YES_Writing_ELA[#Headers],0))=0,"",INDEX(_xlfn.VSTACK(YES_Writing_ELA[#Data],YES_Writing_FLA[#Data]),MATCH($A27,_xlfn.VSTACK(YES_Writing_ELA[Student Number],YES_Writing_FLA[Student Number]),0),MATCH(VLOOKUP(F$7,'Writing Logic'!$J$7:$K$11,2,FALSE)&amp;" - Per "&amp;VLOOKUP($C$4,'Writing Logic'!$G$8:$H$14,2,FALSE),YES_Writing_ELA[#Headers],0)))="INS",'Writing Logic'!$B$7,IF(INDEX(_xlfn.VSTACK(YES_Writing_ELA[#Data],YES_Writing_FLA[#Data]),MATCH($A27,_xlfn.VSTACK(YES_Writing_ELA[Student Number],YES_Writing_FLA[Student Number]),0),MATCH(VLOOKUP(F$7,'Writing Logic'!$J$7:$K$11,2,FALSE)&amp;" - Per "&amp;VLOOKUP($C$4,'Writing Logic'!$G$8:$H$14,2,FALSE),YES_Writing_ELA[#Headers],0))=0,"",INDEX(_xlfn.VSTACK(YES_Writing_ELA[#Data],YES_Writing_FLA[#Data]),MATCH($A27,_xlfn.VSTACK(YES_Writing_ELA[Student Number],YES_Writing_FLA[Student Number]),0),MATCH(VLOOKUP(F$7,'Writing Logic'!$J$7:$K$11,2,FALSE)&amp;" - Per "&amp;VLOOKUP($C$4,'Writing Logic'!$G$8:$H$14,2,FALSE),YES_Writing_ELA[#Headers],0)))),"")</f>
        <v/>
      </c>
      <c r="G27" s="138" t="str">
        <f>IFERROR(IF(IF(INDEX(_xlfn.VSTACK(YES_Writing_ELA[#Data],YES_Writing_FLA[#Data]),MATCH($A27,_xlfn.VSTACK(YES_Writing_ELA[Student Number],YES_Writing_FLA[Student Number]),0),MATCH(VLOOKUP(G$7,'Writing Logic'!$J$7:$K$11,2,FALSE)&amp;" - Per "&amp;VLOOKUP($C$4,'Writing Logic'!$G$8:$H$14,2,FALSE),YES_Writing_ELA[#Headers],0))=0,"",INDEX(_xlfn.VSTACK(YES_Writing_ELA[#Data],YES_Writing_FLA[#Data]),MATCH($A27,_xlfn.VSTACK(YES_Writing_ELA[Student Number],YES_Writing_FLA[Student Number]),0),MATCH(VLOOKUP(G$7,'Writing Logic'!$J$7:$K$11,2,FALSE)&amp;" - Per "&amp;VLOOKUP($C$4,'Writing Logic'!$G$8:$H$14,2,FALSE),YES_Writing_ELA[#Headers],0)))="INS",'Writing Logic'!$B$7,IF(INDEX(_xlfn.VSTACK(YES_Writing_ELA[#Data],YES_Writing_FLA[#Data]),MATCH($A27,_xlfn.VSTACK(YES_Writing_ELA[Student Number],YES_Writing_FLA[Student Number]),0),MATCH(VLOOKUP(G$7,'Writing Logic'!$J$7:$K$11,2,FALSE)&amp;" - Per "&amp;VLOOKUP($C$4,'Writing Logic'!$G$8:$H$14,2,FALSE),YES_Writing_ELA[#Headers],0))=0,"",INDEX(_xlfn.VSTACK(YES_Writing_ELA[#Data],YES_Writing_FLA[#Data]),MATCH($A27,_xlfn.VSTACK(YES_Writing_ELA[Student Number],YES_Writing_FLA[Student Number]),0),MATCH(VLOOKUP(G$7,'Writing Logic'!$J$7:$K$11,2,FALSE)&amp;" - Per "&amp;VLOOKUP($C$4,'Writing Logic'!$G$8:$H$14,2,FALSE),YES_Writing_ELA[#Headers],0)))),"")</f>
        <v/>
      </c>
      <c r="H27" s="138" t="str">
        <f>IFERROR(IF(IF(INDEX(_xlfn.VSTACK(YES_Writing_ELA[#Data],YES_Writing_FLA[#Data]),MATCH($A27,_xlfn.VSTACK(YES_Writing_ELA[Student Number],YES_Writing_FLA[Student Number]),0),MATCH(VLOOKUP(H$7,'Writing Logic'!$J$7:$K$11,2,FALSE)&amp;" - Per "&amp;VLOOKUP($C$4,'Writing Logic'!$G$8:$H$14,2,FALSE),YES_Writing_ELA[#Headers],0))=0,"",INDEX(_xlfn.VSTACK(YES_Writing_ELA[#Data],YES_Writing_FLA[#Data]),MATCH($A27,_xlfn.VSTACK(YES_Writing_ELA[Student Number],YES_Writing_FLA[Student Number]),0),MATCH(VLOOKUP(H$7,'Writing Logic'!$J$7:$K$11,2,FALSE)&amp;" - Per "&amp;VLOOKUP($C$4,'Writing Logic'!$G$8:$H$14,2,FALSE),YES_Writing_ELA[#Headers],0)))="INS",'Writing Logic'!$B$7,IF(INDEX(_xlfn.VSTACK(YES_Writing_ELA[#Data],YES_Writing_FLA[#Data]),MATCH($A27,_xlfn.VSTACK(YES_Writing_ELA[Student Number],YES_Writing_FLA[Student Number]),0),MATCH(VLOOKUP(H$7,'Writing Logic'!$J$7:$K$11,2,FALSE)&amp;" - Per "&amp;VLOOKUP($C$4,'Writing Logic'!$G$8:$H$14,2,FALSE),YES_Writing_ELA[#Headers],0))=0,"",INDEX(_xlfn.VSTACK(YES_Writing_ELA[#Data],YES_Writing_FLA[#Data]),MATCH($A27,_xlfn.VSTACK(YES_Writing_ELA[Student Number],YES_Writing_FLA[Student Number]),0),MATCH(VLOOKUP(H$7,'Writing Logic'!$J$7:$K$11,2,FALSE)&amp;" - Per "&amp;VLOOKUP($C$4,'Writing Logic'!$G$8:$H$14,2,FALSE),YES_Writing_ELA[#Headers],0)))),"")</f>
        <v/>
      </c>
      <c r="I27" s="136"/>
      <c r="J27" s="108"/>
      <c r="K27" s="109" t="str">
        <f>IF(J27="","",COUNTIFS($C$10:$C$600,$J27,$H$10:$H$600,"&gt;="&amp;'Writing Logic'!$F$1))</f>
        <v/>
      </c>
      <c r="L27" s="134" t="str">
        <f t="shared" si="0"/>
        <v/>
      </c>
    </row>
    <row r="28" spans="1:12" s="99" customFormat="1" ht="14.25" customHeight="1" x14ac:dyDescent="0.25">
      <c r="A28" s="137"/>
      <c r="B28" s="137" t="str">
        <f>IFERROR(INDEX(_xlfn.VSTACK(YES_Writing_ELA[#Data], YES_Writing_FLA[#Data]),MATCH($A28,_xlfn.VSTACK(YES_Writing_ELA[Student Number], YES_Writing_FLA[Student Number]),0),MATCH(B$7,YES_Writing_ELA[#Headers],0)),"")</f>
        <v/>
      </c>
      <c r="C28" s="137" t="str">
        <f>IFERROR(INDEX(_xlfn.VSTACK(YES_Writing_ELA[#Data], YES_Writing_FLA[#Data]),MATCH($A28,_xlfn.VSTACK(YES_Writing_ELA[Student Number], YES_Writing_FLA[Student Number]),0),MATCH(C$7,YES_Writing_ELA[#Headers],0)),"")</f>
        <v/>
      </c>
      <c r="D28" s="138" t="str">
        <f>IFERROR(IF(IF(INDEX(_xlfn.VSTACK(YES_Writing_ELA[#Data],YES_Writing_FLA[#Data]),MATCH($A28,_xlfn.VSTACK(YES_Writing_ELA[Student Number],YES_Writing_FLA[Student Number]),0),MATCH(VLOOKUP(D$7,'Writing Logic'!$J$7:$K$11,2,FALSE)&amp;" - Per "&amp;VLOOKUP($C$4,'Writing Logic'!$G$8:$H$14,2,FALSE),YES_Writing_ELA[#Headers],0))=0,"",INDEX(_xlfn.VSTACK(YES_Writing_ELA[#Data],YES_Writing_FLA[#Data]),MATCH($A28,_xlfn.VSTACK(YES_Writing_ELA[Student Number],YES_Writing_FLA[Student Number]),0),MATCH(VLOOKUP(D$7,'Writing Logic'!$J$7:$K$11,2,FALSE)&amp;" - Per "&amp;VLOOKUP($C$4,'Writing Logic'!$G$8:$H$14,2,FALSE),YES_Writing_ELA[#Headers],0)))="INS",'Writing Logic'!$B$7,IF(INDEX(_xlfn.VSTACK(YES_Writing_ELA[#Data],YES_Writing_FLA[#Data]),MATCH($A28,_xlfn.VSTACK(YES_Writing_ELA[Student Number],YES_Writing_FLA[Student Number]),0),MATCH(VLOOKUP(D$7,'Writing Logic'!$J$7:$K$11,2,FALSE)&amp;" - Per "&amp;VLOOKUP($C$4,'Writing Logic'!$G$8:$H$14,2,FALSE),YES_Writing_ELA[#Headers],0))=0,"",INDEX(_xlfn.VSTACK(YES_Writing_ELA[#Data],YES_Writing_FLA[#Data]),MATCH($A28,_xlfn.VSTACK(YES_Writing_ELA[Student Number],YES_Writing_FLA[Student Number]),0),MATCH(VLOOKUP(D$7,'Writing Logic'!$J$7:$K$11,2,FALSE)&amp;" - Per "&amp;VLOOKUP($C$4,'Writing Logic'!$G$8:$H$14,2,FALSE),YES_Writing_ELA[#Headers],0)))),"")</f>
        <v/>
      </c>
      <c r="E28" s="138" t="str">
        <f>IFERROR(IF(IF(INDEX(_xlfn.VSTACK(YES_Writing_ELA[#Data],YES_Writing_FLA[#Data]),MATCH($A28,_xlfn.VSTACK(YES_Writing_ELA[Student Number],YES_Writing_FLA[Student Number]),0),MATCH(VLOOKUP(E$7,'Writing Logic'!$J$7:$K$11,2,FALSE)&amp;" - Per "&amp;VLOOKUP($C$4,'Writing Logic'!$G$8:$H$14,2,FALSE),YES_Writing_ELA[#Headers],0))=0,"",INDEX(_xlfn.VSTACK(YES_Writing_ELA[#Data],YES_Writing_FLA[#Data]),MATCH($A28,_xlfn.VSTACK(YES_Writing_ELA[Student Number],YES_Writing_FLA[Student Number]),0),MATCH(VLOOKUP(E$7,'Writing Logic'!$J$7:$K$11,2,FALSE)&amp;" - Per "&amp;VLOOKUP($C$4,'Writing Logic'!$G$8:$H$14,2,FALSE),YES_Writing_ELA[#Headers],0)))="INS",'Writing Logic'!$B$7,IF(INDEX(_xlfn.VSTACK(YES_Writing_ELA[#Data],YES_Writing_FLA[#Data]),MATCH($A28,_xlfn.VSTACK(YES_Writing_ELA[Student Number],YES_Writing_FLA[Student Number]),0),MATCH(VLOOKUP(E$7,'Writing Logic'!$J$7:$K$11,2,FALSE)&amp;" - Per "&amp;VLOOKUP($C$4,'Writing Logic'!$G$8:$H$14,2,FALSE),YES_Writing_ELA[#Headers],0))=0,"",INDEX(_xlfn.VSTACK(YES_Writing_ELA[#Data],YES_Writing_FLA[#Data]),MATCH($A28,_xlfn.VSTACK(YES_Writing_ELA[Student Number],YES_Writing_FLA[Student Number]),0),MATCH(VLOOKUP(E$7,'Writing Logic'!$J$7:$K$11,2,FALSE)&amp;" - Per "&amp;VLOOKUP($C$4,'Writing Logic'!$G$8:$H$14,2,FALSE),YES_Writing_ELA[#Headers],0)))),"")</f>
        <v/>
      </c>
      <c r="F28" s="138" t="str">
        <f>IFERROR(IF(IF(INDEX(_xlfn.VSTACK(YES_Writing_ELA[#Data],YES_Writing_FLA[#Data]),MATCH($A28,_xlfn.VSTACK(YES_Writing_ELA[Student Number],YES_Writing_FLA[Student Number]),0),MATCH(VLOOKUP(F$7,'Writing Logic'!$J$7:$K$11,2,FALSE)&amp;" - Per "&amp;VLOOKUP($C$4,'Writing Logic'!$G$8:$H$14,2,FALSE),YES_Writing_ELA[#Headers],0))=0,"",INDEX(_xlfn.VSTACK(YES_Writing_ELA[#Data],YES_Writing_FLA[#Data]),MATCH($A28,_xlfn.VSTACK(YES_Writing_ELA[Student Number],YES_Writing_FLA[Student Number]),0),MATCH(VLOOKUP(F$7,'Writing Logic'!$J$7:$K$11,2,FALSE)&amp;" - Per "&amp;VLOOKUP($C$4,'Writing Logic'!$G$8:$H$14,2,FALSE),YES_Writing_ELA[#Headers],0)))="INS",'Writing Logic'!$B$7,IF(INDEX(_xlfn.VSTACK(YES_Writing_ELA[#Data],YES_Writing_FLA[#Data]),MATCH($A28,_xlfn.VSTACK(YES_Writing_ELA[Student Number],YES_Writing_FLA[Student Number]),0),MATCH(VLOOKUP(F$7,'Writing Logic'!$J$7:$K$11,2,FALSE)&amp;" - Per "&amp;VLOOKUP($C$4,'Writing Logic'!$G$8:$H$14,2,FALSE),YES_Writing_ELA[#Headers],0))=0,"",INDEX(_xlfn.VSTACK(YES_Writing_ELA[#Data],YES_Writing_FLA[#Data]),MATCH($A28,_xlfn.VSTACK(YES_Writing_ELA[Student Number],YES_Writing_FLA[Student Number]),0),MATCH(VLOOKUP(F$7,'Writing Logic'!$J$7:$K$11,2,FALSE)&amp;" - Per "&amp;VLOOKUP($C$4,'Writing Logic'!$G$8:$H$14,2,FALSE),YES_Writing_ELA[#Headers],0)))),"")</f>
        <v/>
      </c>
      <c r="G28" s="138" t="str">
        <f>IFERROR(IF(IF(INDEX(_xlfn.VSTACK(YES_Writing_ELA[#Data],YES_Writing_FLA[#Data]),MATCH($A28,_xlfn.VSTACK(YES_Writing_ELA[Student Number],YES_Writing_FLA[Student Number]),0),MATCH(VLOOKUP(G$7,'Writing Logic'!$J$7:$K$11,2,FALSE)&amp;" - Per "&amp;VLOOKUP($C$4,'Writing Logic'!$G$8:$H$14,2,FALSE),YES_Writing_ELA[#Headers],0))=0,"",INDEX(_xlfn.VSTACK(YES_Writing_ELA[#Data],YES_Writing_FLA[#Data]),MATCH($A28,_xlfn.VSTACK(YES_Writing_ELA[Student Number],YES_Writing_FLA[Student Number]),0),MATCH(VLOOKUP(G$7,'Writing Logic'!$J$7:$K$11,2,FALSE)&amp;" - Per "&amp;VLOOKUP($C$4,'Writing Logic'!$G$8:$H$14,2,FALSE),YES_Writing_ELA[#Headers],0)))="INS",'Writing Logic'!$B$7,IF(INDEX(_xlfn.VSTACK(YES_Writing_ELA[#Data],YES_Writing_FLA[#Data]),MATCH($A28,_xlfn.VSTACK(YES_Writing_ELA[Student Number],YES_Writing_FLA[Student Number]),0),MATCH(VLOOKUP(G$7,'Writing Logic'!$J$7:$K$11,2,FALSE)&amp;" - Per "&amp;VLOOKUP($C$4,'Writing Logic'!$G$8:$H$14,2,FALSE),YES_Writing_ELA[#Headers],0))=0,"",INDEX(_xlfn.VSTACK(YES_Writing_ELA[#Data],YES_Writing_FLA[#Data]),MATCH($A28,_xlfn.VSTACK(YES_Writing_ELA[Student Number],YES_Writing_FLA[Student Number]),0),MATCH(VLOOKUP(G$7,'Writing Logic'!$J$7:$K$11,2,FALSE)&amp;" - Per "&amp;VLOOKUP($C$4,'Writing Logic'!$G$8:$H$14,2,FALSE),YES_Writing_ELA[#Headers],0)))),"")</f>
        <v/>
      </c>
      <c r="H28" s="138" t="str">
        <f>IFERROR(IF(IF(INDEX(_xlfn.VSTACK(YES_Writing_ELA[#Data],YES_Writing_FLA[#Data]),MATCH($A28,_xlfn.VSTACK(YES_Writing_ELA[Student Number],YES_Writing_FLA[Student Number]),0),MATCH(VLOOKUP(H$7,'Writing Logic'!$J$7:$K$11,2,FALSE)&amp;" - Per "&amp;VLOOKUP($C$4,'Writing Logic'!$G$8:$H$14,2,FALSE),YES_Writing_ELA[#Headers],0))=0,"",INDEX(_xlfn.VSTACK(YES_Writing_ELA[#Data],YES_Writing_FLA[#Data]),MATCH($A28,_xlfn.VSTACK(YES_Writing_ELA[Student Number],YES_Writing_FLA[Student Number]),0),MATCH(VLOOKUP(H$7,'Writing Logic'!$J$7:$K$11,2,FALSE)&amp;" - Per "&amp;VLOOKUP($C$4,'Writing Logic'!$G$8:$H$14,2,FALSE),YES_Writing_ELA[#Headers],0)))="INS",'Writing Logic'!$B$7,IF(INDEX(_xlfn.VSTACK(YES_Writing_ELA[#Data],YES_Writing_FLA[#Data]),MATCH($A28,_xlfn.VSTACK(YES_Writing_ELA[Student Number],YES_Writing_FLA[Student Number]),0),MATCH(VLOOKUP(H$7,'Writing Logic'!$J$7:$K$11,2,FALSE)&amp;" - Per "&amp;VLOOKUP($C$4,'Writing Logic'!$G$8:$H$14,2,FALSE),YES_Writing_ELA[#Headers],0))=0,"",INDEX(_xlfn.VSTACK(YES_Writing_ELA[#Data],YES_Writing_FLA[#Data]),MATCH($A28,_xlfn.VSTACK(YES_Writing_ELA[Student Number],YES_Writing_FLA[Student Number]),0),MATCH(VLOOKUP(H$7,'Writing Logic'!$J$7:$K$11,2,FALSE)&amp;" - Per "&amp;VLOOKUP($C$4,'Writing Logic'!$G$8:$H$14,2,FALSE),YES_Writing_ELA[#Headers],0)))),"")</f>
        <v/>
      </c>
      <c r="I28" s="136"/>
      <c r="J28" s="108"/>
      <c r="K28" s="109" t="str">
        <f>IF(J28="","",COUNTIFS($C$10:$C$600,$J28,$H$10:$H$600,"&gt;="&amp;'Writing Logic'!$F$1))</f>
        <v/>
      </c>
      <c r="L28" s="134" t="str">
        <f t="shared" si="0"/>
        <v/>
      </c>
    </row>
    <row r="29" spans="1:12" s="99" customFormat="1" ht="14.25" customHeight="1" x14ac:dyDescent="0.25">
      <c r="A29" s="137"/>
      <c r="B29" s="137" t="str">
        <f>IFERROR(INDEX(_xlfn.VSTACK(YES_Writing_ELA[#Data], YES_Writing_FLA[#Data]),MATCH($A29,_xlfn.VSTACK(YES_Writing_ELA[Student Number], YES_Writing_FLA[Student Number]),0),MATCH(B$7,YES_Writing_ELA[#Headers],0)),"")</f>
        <v/>
      </c>
      <c r="C29" s="137" t="str">
        <f>IFERROR(INDEX(_xlfn.VSTACK(YES_Writing_ELA[#Data], YES_Writing_FLA[#Data]),MATCH($A29,_xlfn.VSTACK(YES_Writing_ELA[Student Number], YES_Writing_FLA[Student Number]),0),MATCH(C$7,YES_Writing_ELA[#Headers],0)),"")</f>
        <v/>
      </c>
      <c r="D29" s="138" t="str">
        <f>IFERROR(IF(IF(INDEX(_xlfn.VSTACK(YES_Writing_ELA[#Data],YES_Writing_FLA[#Data]),MATCH($A29,_xlfn.VSTACK(YES_Writing_ELA[Student Number],YES_Writing_FLA[Student Number]),0),MATCH(VLOOKUP(D$7,'Writing Logic'!$J$7:$K$11,2,FALSE)&amp;" - Per "&amp;VLOOKUP($C$4,'Writing Logic'!$G$8:$H$14,2,FALSE),YES_Writing_ELA[#Headers],0))=0,"",INDEX(_xlfn.VSTACK(YES_Writing_ELA[#Data],YES_Writing_FLA[#Data]),MATCH($A29,_xlfn.VSTACK(YES_Writing_ELA[Student Number],YES_Writing_FLA[Student Number]),0),MATCH(VLOOKUP(D$7,'Writing Logic'!$J$7:$K$11,2,FALSE)&amp;" - Per "&amp;VLOOKUP($C$4,'Writing Logic'!$G$8:$H$14,2,FALSE),YES_Writing_ELA[#Headers],0)))="INS",'Writing Logic'!$B$7,IF(INDEX(_xlfn.VSTACK(YES_Writing_ELA[#Data],YES_Writing_FLA[#Data]),MATCH($A29,_xlfn.VSTACK(YES_Writing_ELA[Student Number],YES_Writing_FLA[Student Number]),0),MATCH(VLOOKUP(D$7,'Writing Logic'!$J$7:$K$11,2,FALSE)&amp;" - Per "&amp;VLOOKUP($C$4,'Writing Logic'!$G$8:$H$14,2,FALSE),YES_Writing_ELA[#Headers],0))=0,"",INDEX(_xlfn.VSTACK(YES_Writing_ELA[#Data],YES_Writing_FLA[#Data]),MATCH($A29,_xlfn.VSTACK(YES_Writing_ELA[Student Number],YES_Writing_FLA[Student Number]),0),MATCH(VLOOKUP(D$7,'Writing Logic'!$J$7:$K$11,2,FALSE)&amp;" - Per "&amp;VLOOKUP($C$4,'Writing Logic'!$G$8:$H$14,2,FALSE),YES_Writing_ELA[#Headers],0)))),"")</f>
        <v/>
      </c>
      <c r="E29" s="138" t="str">
        <f>IFERROR(IF(IF(INDEX(_xlfn.VSTACK(YES_Writing_ELA[#Data],YES_Writing_FLA[#Data]),MATCH($A29,_xlfn.VSTACK(YES_Writing_ELA[Student Number],YES_Writing_FLA[Student Number]),0),MATCH(VLOOKUP(E$7,'Writing Logic'!$J$7:$K$11,2,FALSE)&amp;" - Per "&amp;VLOOKUP($C$4,'Writing Logic'!$G$8:$H$14,2,FALSE),YES_Writing_ELA[#Headers],0))=0,"",INDEX(_xlfn.VSTACK(YES_Writing_ELA[#Data],YES_Writing_FLA[#Data]),MATCH($A29,_xlfn.VSTACK(YES_Writing_ELA[Student Number],YES_Writing_FLA[Student Number]),0),MATCH(VLOOKUP(E$7,'Writing Logic'!$J$7:$K$11,2,FALSE)&amp;" - Per "&amp;VLOOKUP($C$4,'Writing Logic'!$G$8:$H$14,2,FALSE),YES_Writing_ELA[#Headers],0)))="INS",'Writing Logic'!$B$7,IF(INDEX(_xlfn.VSTACK(YES_Writing_ELA[#Data],YES_Writing_FLA[#Data]),MATCH($A29,_xlfn.VSTACK(YES_Writing_ELA[Student Number],YES_Writing_FLA[Student Number]),0),MATCH(VLOOKUP(E$7,'Writing Logic'!$J$7:$K$11,2,FALSE)&amp;" - Per "&amp;VLOOKUP($C$4,'Writing Logic'!$G$8:$H$14,2,FALSE),YES_Writing_ELA[#Headers],0))=0,"",INDEX(_xlfn.VSTACK(YES_Writing_ELA[#Data],YES_Writing_FLA[#Data]),MATCH($A29,_xlfn.VSTACK(YES_Writing_ELA[Student Number],YES_Writing_FLA[Student Number]),0),MATCH(VLOOKUP(E$7,'Writing Logic'!$J$7:$K$11,2,FALSE)&amp;" - Per "&amp;VLOOKUP($C$4,'Writing Logic'!$G$8:$H$14,2,FALSE),YES_Writing_ELA[#Headers],0)))),"")</f>
        <v/>
      </c>
      <c r="F29" s="138" t="str">
        <f>IFERROR(IF(IF(INDEX(_xlfn.VSTACK(YES_Writing_ELA[#Data],YES_Writing_FLA[#Data]),MATCH($A29,_xlfn.VSTACK(YES_Writing_ELA[Student Number],YES_Writing_FLA[Student Number]),0),MATCH(VLOOKUP(F$7,'Writing Logic'!$J$7:$K$11,2,FALSE)&amp;" - Per "&amp;VLOOKUP($C$4,'Writing Logic'!$G$8:$H$14,2,FALSE),YES_Writing_ELA[#Headers],0))=0,"",INDEX(_xlfn.VSTACK(YES_Writing_ELA[#Data],YES_Writing_FLA[#Data]),MATCH($A29,_xlfn.VSTACK(YES_Writing_ELA[Student Number],YES_Writing_FLA[Student Number]),0),MATCH(VLOOKUP(F$7,'Writing Logic'!$J$7:$K$11,2,FALSE)&amp;" - Per "&amp;VLOOKUP($C$4,'Writing Logic'!$G$8:$H$14,2,FALSE),YES_Writing_ELA[#Headers],0)))="INS",'Writing Logic'!$B$7,IF(INDEX(_xlfn.VSTACK(YES_Writing_ELA[#Data],YES_Writing_FLA[#Data]),MATCH($A29,_xlfn.VSTACK(YES_Writing_ELA[Student Number],YES_Writing_FLA[Student Number]),0),MATCH(VLOOKUP(F$7,'Writing Logic'!$J$7:$K$11,2,FALSE)&amp;" - Per "&amp;VLOOKUP($C$4,'Writing Logic'!$G$8:$H$14,2,FALSE),YES_Writing_ELA[#Headers],0))=0,"",INDEX(_xlfn.VSTACK(YES_Writing_ELA[#Data],YES_Writing_FLA[#Data]),MATCH($A29,_xlfn.VSTACK(YES_Writing_ELA[Student Number],YES_Writing_FLA[Student Number]),0),MATCH(VLOOKUP(F$7,'Writing Logic'!$J$7:$K$11,2,FALSE)&amp;" - Per "&amp;VLOOKUP($C$4,'Writing Logic'!$G$8:$H$14,2,FALSE),YES_Writing_ELA[#Headers],0)))),"")</f>
        <v/>
      </c>
      <c r="G29" s="138" t="str">
        <f>IFERROR(IF(IF(INDEX(_xlfn.VSTACK(YES_Writing_ELA[#Data],YES_Writing_FLA[#Data]),MATCH($A29,_xlfn.VSTACK(YES_Writing_ELA[Student Number],YES_Writing_FLA[Student Number]),0),MATCH(VLOOKUP(G$7,'Writing Logic'!$J$7:$K$11,2,FALSE)&amp;" - Per "&amp;VLOOKUP($C$4,'Writing Logic'!$G$8:$H$14,2,FALSE),YES_Writing_ELA[#Headers],0))=0,"",INDEX(_xlfn.VSTACK(YES_Writing_ELA[#Data],YES_Writing_FLA[#Data]),MATCH($A29,_xlfn.VSTACK(YES_Writing_ELA[Student Number],YES_Writing_FLA[Student Number]),0),MATCH(VLOOKUP(G$7,'Writing Logic'!$J$7:$K$11,2,FALSE)&amp;" - Per "&amp;VLOOKUP($C$4,'Writing Logic'!$G$8:$H$14,2,FALSE),YES_Writing_ELA[#Headers],0)))="INS",'Writing Logic'!$B$7,IF(INDEX(_xlfn.VSTACK(YES_Writing_ELA[#Data],YES_Writing_FLA[#Data]),MATCH($A29,_xlfn.VSTACK(YES_Writing_ELA[Student Number],YES_Writing_FLA[Student Number]),0),MATCH(VLOOKUP(G$7,'Writing Logic'!$J$7:$K$11,2,FALSE)&amp;" - Per "&amp;VLOOKUP($C$4,'Writing Logic'!$G$8:$H$14,2,FALSE),YES_Writing_ELA[#Headers],0))=0,"",INDEX(_xlfn.VSTACK(YES_Writing_ELA[#Data],YES_Writing_FLA[#Data]),MATCH($A29,_xlfn.VSTACK(YES_Writing_ELA[Student Number],YES_Writing_FLA[Student Number]),0),MATCH(VLOOKUP(G$7,'Writing Logic'!$J$7:$K$11,2,FALSE)&amp;" - Per "&amp;VLOOKUP($C$4,'Writing Logic'!$G$8:$H$14,2,FALSE),YES_Writing_ELA[#Headers],0)))),"")</f>
        <v/>
      </c>
      <c r="H29" s="138" t="str">
        <f>IFERROR(IF(IF(INDEX(_xlfn.VSTACK(YES_Writing_ELA[#Data],YES_Writing_FLA[#Data]),MATCH($A29,_xlfn.VSTACK(YES_Writing_ELA[Student Number],YES_Writing_FLA[Student Number]),0),MATCH(VLOOKUP(H$7,'Writing Logic'!$J$7:$K$11,2,FALSE)&amp;" - Per "&amp;VLOOKUP($C$4,'Writing Logic'!$G$8:$H$14,2,FALSE),YES_Writing_ELA[#Headers],0))=0,"",INDEX(_xlfn.VSTACK(YES_Writing_ELA[#Data],YES_Writing_FLA[#Data]),MATCH($A29,_xlfn.VSTACK(YES_Writing_ELA[Student Number],YES_Writing_FLA[Student Number]),0),MATCH(VLOOKUP(H$7,'Writing Logic'!$J$7:$K$11,2,FALSE)&amp;" - Per "&amp;VLOOKUP($C$4,'Writing Logic'!$G$8:$H$14,2,FALSE),YES_Writing_ELA[#Headers],0)))="INS",'Writing Logic'!$B$7,IF(INDEX(_xlfn.VSTACK(YES_Writing_ELA[#Data],YES_Writing_FLA[#Data]),MATCH($A29,_xlfn.VSTACK(YES_Writing_ELA[Student Number],YES_Writing_FLA[Student Number]),0),MATCH(VLOOKUP(H$7,'Writing Logic'!$J$7:$K$11,2,FALSE)&amp;" - Per "&amp;VLOOKUP($C$4,'Writing Logic'!$G$8:$H$14,2,FALSE),YES_Writing_ELA[#Headers],0))=0,"",INDEX(_xlfn.VSTACK(YES_Writing_ELA[#Data],YES_Writing_FLA[#Data]),MATCH($A29,_xlfn.VSTACK(YES_Writing_ELA[Student Number],YES_Writing_FLA[Student Number]),0),MATCH(VLOOKUP(H$7,'Writing Logic'!$J$7:$K$11,2,FALSE)&amp;" - Per "&amp;VLOOKUP($C$4,'Writing Logic'!$G$8:$H$14,2,FALSE),YES_Writing_ELA[#Headers],0)))),"")</f>
        <v/>
      </c>
      <c r="I29" s="136"/>
      <c r="J29" s="108"/>
      <c r="K29" s="109" t="str">
        <f>IF(J29="","",COUNTIFS($C$10:$C$600,$J29,$H$10:$H$600,"&gt;="&amp;'Writing Logic'!$F$1))</f>
        <v/>
      </c>
      <c r="L29" s="134" t="str">
        <f t="shared" si="0"/>
        <v/>
      </c>
    </row>
    <row r="30" spans="1:12" s="99" customFormat="1" ht="14.25" customHeight="1" x14ac:dyDescent="0.25">
      <c r="A30" s="137"/>
      <c r="B30" s="137" t="str">
        <f>IFERROR(INDEX(_xlfn.VSTACK(YES_Writing_ELA[#Data], YES_Writing_FLA[#Data]),MATCH($A30,_xlfn.VSTACK(YES_Writing_ELA[Student Number], YES_Writing_FLA[Student Number]),0),MATCH(B$7,YES_Writing_ELA[#Headers],0)),"")</f>
        <v/>
      </c>
      <c r="C30" s="137" t="str">
        <f>IFERROR(INDEX(_xlfn.VSTACK(YES_Writing_ELA[#Data], YES_Writing_FLA[#Data]),MATCH($A30,_xlfn.VSTACK(YES_Writing_ELA[Student Number], YES_Writing_FLA[Student Number]),0),MATCH(C$7,YES_Writing_ELA[#Headers],0)),"")</f>
        <v/>
      </c>
      <c r="D30" s="138" t="str">
        <f>IFERROR(IF(IF(INDEX(_xlfn.VSTACK(YES_Writing_ELA[#Data],YES_Writing_FLA[#Data]),MATCH($A30,_xlfn.VSTACK(YES_Writing_ELA[Student Number],YES_Writing_FLA[Student Number]),0),MATCH(VLOOKUP(D$7,'Writing Logic'!$J$7:$K$11,2,FALSE)&amp;" - Per "&amp;VLOOKUP($C$4,'Writing Logic'!$G$8:$H$14,2,FALSE),YES_Writing_ELA[#Headers],0))=0,"",INDEX(_xlfn.VSTACK(YES_Writing_ELA[#Data],YES_Writing_FLA[#Data]),MATCH($A30,_xlfn.VSTACK(YES_Writing_ELA[Student Number],YES_Writing_FLA[Student Number]),0),MATCH(VLOOKUP(D$7,'Writing Logic'!$J$7:$K$11,2,FALSE)&amp;" - Per "&amp;VLOOKUP($C$4,'Writing Logic'!$G$8:$H$14,2,FALSE),YES_Writing_ELA[#Headers],0)))="INS",'Writing Logic'!$B$7,IF(INDEX(_xlfn.VSTACK(YES_Writing_ELA[#Data],YES_Writing_FLA[#Data]),MATCH($A30,_xlfn.VSTACK(YES_Writing_ELA[Student Number],YES_Writing_FLA[Student Number]),0),MATCH(VLOOKUP(D$7,'Writing Logic'!$J$7:$K$11,2,FALSE)&amp;" - Per "&amp;VLOOKUP($C$4,'Writing Logic'!$G$8:$H$14,2,FALSE),YES_Writing_ELA[#Headers],0))=0,"",INDEX(_xlfn.VSTACK(YES_Writing_ELA[#Data],YES_Writing_FLA[#Data]),MATCH($A30,_xlfn.VSTACK(YES_Writing_ELA[Student Number],YES_Writing_FLA[Student Number]),0),MATCH(VLOOKUP(D$7,'Writing Logic'!$J$7:$K$11,2,FALSE)&amp;" - Per "&amp;VLOOKUP($C$4,'Writing Logic'!$G$8:$H$14,2,FALSE),YES_Writing_ELA[#Headers],0)))),"")</f>
        <v/>
      </c>
      <c r="E30" s="138" t="str">
        <f>IFERROR(IF(IF(INDEX(_xlfn.VSTACK(YES_Writing_ELA[#Data],YES_Writing_FLA[#Data]),MATCH($A30,_xlfn.VSTACK(YES_Writing_ELA[Student Number],YES_Writing_FLA[Student Number]),0),MATCH(VLOOKUP(E$7,'Writing Logic'!$J$7:$K$11,2,FALSE)&amp;" - Per "&amp;VLOOKUP($C$4,'Writing Logic'!$G$8:$H$14,2,FALSE),YES_Writing_ELA[#Headers],0))=0,"",INDEX(_xlfn.VSTACK(YES_Writing_ELA[#Data],YES_Writing_FLA[#Data]),MATCH($A30,_xlfn.VSTACK(YES_Writing_ELA[Student Number],YES_Writing_FLA[Student Number]),0),MATCH(VLOOKUP(E$7,'Writing Logic'!$J$7:$K$11,2,FALSE)&amp;" - Per "&amp;VLOOKUP($C$4,'Writing Logic'!$G$8:$H$14,2,FALSE),YES_Writing_ELA[#Headers],0)))="INS",'Writing Logic'!$B$7,IF(INDEX(_xlfn.VSTACK(YES_Writing_ELA[#Data],YES_Writing_FLA[#Data]),MATCH($A30,_xlfn.VSTACK(YES_Writing_ELA[Student Number],YES_Writing_FLA[Student Number]),0),MATCH(VLOOKUP(E$7,'Writing Logic'!$J$7:$K$11,2,FALSE)&amp;" - Per "&amp;VLOOKUP($C$4,'Writing Logic'!$G$8:$H$14,2,FALSE),YES_Writing_ELA[#Headers],0))=0,"",INDEX(_xlfn.VSTACK(YES_Writing_ELA[#Data],YES_Writing_FLA[#Data]),MATCH($A30,_xlfn.VSTACK(YES_Writing_ELA[Student Number],YES_Writing_FLA[Student Number]),0),MATCH(VLOOKUP(E$7,'Writing Logic'!$J$7:$K$11,2,FALSE)&amp;" - Per "&amp;VLOOKUP($C$4,'Writing Logic'!$G$8:$H$14,2,FALSE),YES_Writing_ELA[#Headers],0)))),"")</f>
        <v/>
      </c>
      <c r="F30" s="138" t="str">
        <f>IFERROR(IF(IF(INDEX(_xlfn.VSTACK(YES_Writing_ELA[#Data],YES_Writing_FLA[#Data]),MATCH($A30,_xlfn.VSTACK(YES_Writing_ELA[Student Number],YES_Writing_FLA[Student Number]),0),MATCH(VLOOKUP(F$7,'Writing Logic'!$J$7:$K$11,2,FALSE)&amp;" - Per "&amp;VLOOKUP($C$4,'Writing Logic'!$G$8:$H$14,2,FALSE),YES_Writing_ELA[#Headers],0))=0,"",INDEX(_xlfn.VSTACK(YES_Writing_ELA[#Data],YES_Writing_FLA[#Data]),MATCH($A30,_xlfn.VSTACK(YES_Writing_ELA[Student Number],YES_Writing_FLA[Student Number]),0),MATCH(VLOOKUP(F$7,'Writing Logic'!$J$7:$K$11,2,FALSE)&amp;" - Per "&amp;VLOOKUP($C$4,'Writing Logic'!$G$8:$H$14,2,FALSE),YES_Writing_ELA[#Headers],0)))="INS",'Writing Logic'!$B$7,IF(INDEX(_xlfn.VSTACK(YES_Writing_ELA[#Data],YES_Writing_FLA[#Data]),MATCH($A30,_xlfn.VSTACK(YES_Writing_ELA[Student Number],YES_Writing_FLA[Student Number]),0),MATCH(VLOOKUP(F$7,'Writing Logic'!$J$7:$K$11,2,FALSE)&amp;" - Per "&amp;VLOOKUP($C$4,'Writing Logic'!$G$8:$H$14,2,FALSE),YES_Writing_ELA[#Headers],0))=0,"",INDEX(_xlfn.VSTACK(YES_Writing_ELA[#Data],YES_Writing_FLA[#Data]),MATCH($A30,_xlfn.VSTACK(YES_Writing_ELA[Student Number],YES_Writing_FLA[Student Number]),0),MATCH(VLOOKUP(F$7,'Writing Logic'!$J$7:$K$11,2,FALSE)&amp;" - Per "&amp;VLOOKUP($C$4,'Writing Logic'!$G$8:$H$14,2,FALSE),YES_Writing_ELA[#Headers],0)))),"")</f>
        <v/>
      </c>
      <c r="G30" s="138" t="str">
        <f>IFERROR(IF(IF(INDEX(_xlfn.VSTACK(YES_Writing_ELA[#Data],YES_Writing_FLA[#Data]),MATCH($A30,_xlfn.VSTACK(YES_Writing_ELA[Student Number],YES_Writing_FLA[Student Number]),0),MATCH(VLOOKUP(G$7,'Writing Logic'!$J$7:$K$11,2,FALSE)&amp;" - Per "&amp;VLOOKUP($C$4,'Writing Logic'!$G$8:$H$14,2,FALSE),YES_Writing_ELA[#Headers],0))=0,"",INDEX(_xlfn.VSTACK(YES_Writing_ELA[#Data],YES_Writing_FLA[#Data]),MATCH($A30,_xlfn.VSTACK(YES_Writing_ELA[Student Number],YES_Writing_FLA[Student Number]),0),MATCH(VLOOKUP(G$7,'Writing Logic'!$J$7:$K$11,2,FALSE)&amp;" - Per "&amp;VLOOKUP($C$4,'Writing Logic'!$G$8:$H$14,2,FALSE),YES_Writing_ELA[#Headers],0)))="INS",'Writing Logic'!$B$7,IF(INDEX(_xlfn.VSTACK(YES_Writing_ELA[#Data],YES_Writing_FLA[#Data]),MATCH($A30,_xlfn.VSTACK(YES_Writing_ELA[Student Number],YES_Writing_FLA[Student Number]),0),MATCH(VLOOKUP(G$7,'Writing Logic'!$J$7:$K$11,2,FALSE)&amp;" - Per "&amp;VLOOKUP($C$4,'Writing Logic'!$G$8:$H$14,2,FALSE),YES_Writing_ELA[#Headers],0))=0,"",INDEX(_xlfn.VSTACK(YES_Writing_ELA[#Data],YES_Writing_FLA[#Data]),MATCH($A30,_xlfn.VSTACK(YES_Writing_ELA[Student Number],YES_Writing_FLA[Student Number]),0),MATCH(VLOOKUP(G$7,'Writing Logic'!$J$7:$K$11,2,FALSE)&amp;" - Per "&amp;VLOOKUP($C$4,'Writing Logic'!$G$8:$H$14,2,FALSE),YES_Writing_ELA[#Headers],0)))),"")</f>
        <v/>
      </c>
      <c r="H30" s="138" t="str">
        <f>IFERROR(IF(IF(INDEX(_xlfn.VSTACK(YES_Writing_ELA[#Data],YES_Writing_FLA[#Data]),MATCH($A30,_xlfn.VSTACK(YES_Writing_ELA[Student Number],YES_Writing_FLA[Student Number]),0),MATCH(VLOOKUP(H$7,'Writing Logic'!$J$7:$K$11,2,FALSE)&amp;" - Per "&amp;VLOOKUP($C$4,'Writing Logic'!$G$8:$H$14,2,FALSE),YES_Writing_ELA[#Headers],0))=0,"",INDEX(_xlfn.VSTACK(YES_Writing_ELA[#Data],YES_Writing_FLA[#Data]),MATCH($A30,_xlfn.VSTACK(YES_Writing_ELA[Student Number],YES_Writing_FLA[Student Number]),0),MATCH(VLOOKUP(H$7,'Writing Logic'!$J$7:$K$11,2,FALSE)&amp;" - Per "&amp;VLOOKUP($C$4,'Writing Logic'!$G$8:$H$14,2,FALSE),YES_Writing_ELA[#Headers],0)))="INS",'Writing Logic'!$B$7,IF(INDEX(_xlfn.VSTACK(YES_Writing_ELA[#Data],YES_Writing_FLA[#Data]),MATCH($A30,_xlfn.VSTACK(YES_Writing_ELA[Student Number],YES_Writing_FLA[Student Number]),0),MATCH(VLOOKUP(H$7,'Writing Logic'!$J$7:$K$11,2,FALSE)&amp;" - Per "&amp;VLOOKUP($C$4,'Writing Logic'!$G$8:$H$14,2,FALSE),YES_Writing_ELA[#Headers],0))=0,"",INDEX(_xlfn.VSTACK(YES_Writing_ELA[#Data],YES_Writing_FLA[#Data]),MATCH($A30,_xlfn.VSTACK(YES_Writing_ELA[Student Number],YES_Writing_FLA[Student Number]),0),MATCH(VLOOKUP(H$7,'Writing Logic'!$J$7:$K$11,2,FALSE)&amp;" - Per "&amp;VLOOKUP($C$4,'Writing Logic'!$G$8:$H$14,2,FALSE),YES_Writing_ELA[#Headers],0)))),"")</f>
        <v/>
      </c>
      <c r="I30"/>
      <c r="J30" s="108"/>
      <c r="K30" s="109" t="str">
        <f>IF(J30="","",COUNTIFS($C$10:$C$600,$J30,$H$10:$H$600,"&gt;="&amp;'Writing Logic'!$F$1))</f>
        <v/>
      </c>
      <c r="L30" s="134" t="str">
        <f t="shared" si="0"/>
        <v/>
      </c>
    </row>
    <row r="31" spans="1:12" s="99" customFormat="1" ht="14.25" customHeight="1" x14ac:dyDescent="0.25">
      <c r="A31" s="137"/>
      <c r="B31" s="137" t="str">
        <f>IFERROR(INDEX(_xlfn.VSTACK(YES_Writing_ELA[#Data], YES_Writing_FLA[#Data]),MATCH($A31,_xlfn.VSTACK(YES_Writing_ELA[Student Number], YES_Writing_FLA[Student Number]),0),MATCH(B$7,YES_Writing_ELA[#Headers],0)),"")</f>
        <v/>
      </c>
      <c r="C31" s="137" t="str">
        <f>IFERROR(INDEX(_xlfn.VSTACK(YES_Writing_ELA[#Data], YES_Writing_FLA[#Data]),MATCH($A31,_xlfn.VSTACK(YES_Writing_ELA[Student Number], YES_Writing_FLA[Student Number]),0),MATCH(C$7,YES_Writing_ELA[#Headers],0)),"")</f>
        <v/>
      </c>
      <c r="D31" s="138" t="str">
        <f>IFERROR(IF(IF(INDEX(_xlfn.VSTACK(YES_Writing_ELA[#Data],YES_Writing_FLA[#Data]),MATCH($A31,_xlfn.VSTACK(YES_Writing_ELA[Student Number],YES_Writing_FLA[Student Number]),0),MATCH(VLOOKUP(D$7,'Writing Logic'!$J$7:$K$11,2,FALSE)&amp;" - Per "&amp;VLOOKUP($C$4,'Writing Logic'!$G$8:$H$14,2,FALSE),YES_Writing_ELA[#Headers],0))=0,"",INDEX(_xlfn.VSTACK(YES_Writing_ELA[#Data],YES_Writing_FLA[#Data]),MATCH($A31,_xlfn.VSTACK(YES_Writing_ELA[Student Number],YES_Writing_FLA[Student Number]),0),MATCH(VLOOKUP(D$7,'Writing Logic'!$J$7:$K$11,2,FALSE)&amp;" - Per "&amp;VLOOKUP($C$4,'Writing Logic'!$G$8:$H$14,2,FALSE),YES_Writing_ELA[#Headers],0)))="INS",'Writing Logic'!$B$7,IF(INDEX(_xlfn.VSTACK(YES_Writing_ELA[#Data],YES_Writing_FLA[#Data]),MATCH($A31,_xlfn.VSTACK(YES_Writing_ELA[Student Number],YES_Writing_FLA[Student Number]),0),MATCH(VLOOKUP(D$7,'Writing Logic'!$J$7:$K$11,2,FALSE)&amp;" - Per "&amp;VLOOKUP($C$4,'Writing Logic'!$G$8:$H$14,2,FALSE),YES_Writing_ELA[#Headers],0))=0,"",INDEX(_xlfn.VSTACK(YES_Writing_ELA[#Data],YES_Writing_FLA[#Data]),MATCH($A31,_xlfn.VSTACK(YES_Writing_ELA[Student Number],YES_Writing_FLA[Student Number]),0),MATCH(VLOOKUP(D$7,'Writing Logic'!$J$7:$K$11,2,FALSE)&amp;" - Per "&amp;VLOOKUP($C$4,'Writing Logic'!$G$8:$H$14,2,FALSE),YES_Writing_ELA[#Headers],0)))),"")</f>
        <v/>
      </c>
      <c r="E31" s="138" t="str">
        <f>IFERROR(IF(IF(INDEX(_xlfn.VSTACK(YES_Writing_ELA[#Data],YES_Writing_FLA[#Data]),MATCH($A31,_xlfn.VSTACK(YES_Writing_ELA[Student Number],YES_Writing_FLA[Student Number]),0),MATCH(VLOOKUP(E$7,'Writing Logic'!$J$7:$K$11,2,FALSE)&amp;" - Per "&amp;VLOOKUP($C$4,'Writing Logic'!$G$8:$H$14,2,FALSE),YES_Writing_ELA[#Headers],0))=0,"",INDEX(_xlfn.VSTACK(YES_Writing_ELA[#Data],YES_Writing_FLA[#Data]),MATCH($A31,_xlfn.VSTACK(YES_Writing_ELA[Student Number],YES_Writing_FLA[Student Number]),0),MATCH(VLOOKUP(E$7,'Writing Logic'!$J$7:$K$11,2,FALSE)&amp;" - Per "&amp;VLOOKUP($C$4,'Writing Logic'!$G$8:$H$14,2,FALSE),YES_Writing_ELA[#Headers],0)))="INS",'Writing Logic'!$B$7,IF(INDEX(_xlfn.VSTACK(YES_Writing_ELA[#Data],YES_Writing_FLA[#Data]),MATCH($A31,_xlfn.VSTACK(YES_Writing_ELA[Student Number],YES_Writing_FLA[Student Number]),0),MATCH(VLOOKUP(E$7,'Writing Logic'!$J$7:$K$11,2,FALSE)&amp;" - Per "&amp;VLOOKUP($C$4,'Writing Logic'!$G$8:$H$14,2,FALSE),YES_Writing_ELA[#Headers],0))=0,"",INDEX(_xlfn.VSTACK(YES_Writing_ELA[#Data],YES_Writing_FLA[#Data]),MATCH($A31,_xlfn.VSTACK(YES_Writing_ELA[Student Number],YES_Writing_FLA[Student Number]),0),MATCH(VLOOKUP(E$7,'Writing Logic'!$J$7:$K$11,2,FALSE)&amp;" - Per "&amp;VLOOKUP($C$4,'Writing Logic'!$G$8:$H$14,2,FALSE),YES_Writing_ELA[#Headers],0)))),"")</f>
        <v/>
      </c>
      <c r="F31" s="138" t="str">
        <f>IFERROR(IF(IF(INDEX(_xlfn.VSTACK(YES_Writing_ELA[#Data],YES_Writing_FLA[#Data]),MATCH($A31,_xlfn.VSTACK(YES_Writing_ELA[Student Number],YES_Writing_FLA[Student Number]),0),MATCH(VLOOKUP(F$7,'Writing Logic'!$J$7:$K$11,2,FALSE)&amp;" - Per "&amp;VLOOKUP($C$4,'Writing Logic'!$G$8:$H$14,2,FALSE),YES_Writing_ELA[#Headers],0))=0,"",INDEX(_xlfn.VSTACK(YES_Writing_ELA[#Data],YES_Writing_FLA[#Data]),MATCH($A31,_xlfn.VSTACK(YES_Writing_ELA[Student Number],YES_Writing_FLA[Student Number]),0),MATCH(VLOOKUP(F$7,'Writing Logic'!$J$7:$K$11,2,FALSE)&amp;" - Per "&amp;VLOOKUP($C$4,'Writing Logic'!$G$8:$H$14,2,FALSE),YES_Writing_ELA[#Headers],0)))="INS",'Writing Logic'!$B$7,IF(INDEX(_xlfn.VSTACK(YES_Writing_ELA[#Data],YES_Writing_FLA[#Data]),MATCH($A31,_xlfn.VSTACK(YES_Writing_ELA[Student Number],YES_Writing_FLA[Student Number]),0),MATCH(VLOOKUP(F$7,'Writing Logic'!$J$7:$K$11,2,FALSE)&amp;" - Per "&amp;VLOOKUP($C$4,'Writing Logic'!$G$8:$H$14,2,FALSE),YES_Writing_ELA[#Headers],0))=0,"",INDEX(_xlfn.VSTACK(YES_Writing_ELA[#Data],YES_Writing_FLA[#Data]),MATCH($A31,_xlfn.VSTACK(YES_Writing_ELA[Student Number],YES_Writing_FLA[Student Number]),0),MATCH(VLOOKUP(F$7,'Writing Logic'!$J$7:$K$11,2,FALSE)&amp;" - Per "&amp;VLOOKUP($C$4,'Writing Logic'!$G$8:$H$14,2,FALSE),YES_Writing_ELA[#Headers],0)))),"")</f>
        <v/>
      </c>
      <c r="G31" s="138" t="str">
        <f>IFERROR(IF(IF(INDEX(_xlfn.VSTACK(YES_Writing_ELA[#Data],YES_Writing_FLA[#Data]),MATCH($A31,_xlfn.VSTACK(YES_Writing_ELA[Student Number],YES_Writing_FLA[Student Number]),0),MATCH(VLOOKUP(G$7,'Writing Logic'!$J$7:$K$11,2,FALSE)&amp;" - Per "&amp;VLOOKUP($C$4,'Writing Logic'!$G$8:$H$14,2,FALSE),YES_Writing_ELA[#Headers],0))=0,"",INDEX(_xlfn.VSTACK(YES_Writing_ELA[#Data],YES_Writing_FLA[#Data]),MATCH($A31,_xlfn.VSTACK(YES_Writing_ELA[Student Number],YES_Writing_FLA[Student Number]),0),MATCH(VLOOKUP(G$7,'Writing Logic'!$J$7:$K$11,2,FALSE)&amp;" - Per "&amp;VLOOKUP($C$4,'Writing Logic'!$G$8:$H$14,2,FALSE),YES_Writing_ELA[#Headers],0)))="INS",'Writing Logic'!$B$7,IF(INDEX(_xlfn.VSTACK(YES_Writing_ELA[#Data],YES_Writing_FLA[#Data]),MATCH($A31,_xlfn.VSTACK(YES_Writing_ELA[Student Number],YES_Writing_FLA[Student Number]),0),MATCH(VLOOKUP(G$7,'Writing Logic'!$J$7:$K$11,2,FALSE)&amp;" - Per "&amp;VLOOKUP($C$4,'Writing Logic'!$G$8:$H$14,2,FALSE),YES_Writing_ELA[#Headers],0))=0,"",INDEX(_xlfn.VSTACK(YES_Writing_ELA[#Data],YES_Writing_FLA[#Data]),MATCH($A31,_xlfn.VSTACK(YES_Writing_ELA[Student Number],YES_Writing_FLA[Student Number]),0),MATCH(VLOOKUP(G$7,'Writing Logic'!$J$7:$K$11,2,FALSE)&amp;" - Per "&amp;VLOOKUP($C$4,'Writing Logic'!$G$8:$H$14,2,FALSE),YES_Writing_ELA[#Headers],0)))),"")</f>
        <v/>
      </c>
      <c r="H31" s="138" t="str">
        <f>IFERROR(IF(IF(INDEX(_xlfn.VSTACK(YES_Writing_ELA[#Data],YES_Writing_FLA[#Data]),MATCH($A31,_xlfn.VSTACK(YES_Writing_ELA[Student Number],YES_Writing_FLA[Student Number]),0),MATCH(VLOOKUP(H$7,'Writing Logic'!$J$7:$K$11,2,FALSE)&amp;" - Per "&amp;VLOOKUP($C$4,'Writing Logic'!$G$8:$H$14,2,FALSE),YES_Writing_ELA[#Headers],0))=0,"",INDEX(_xlfn.VSTACK(YES_Writing_ELA[#Data],YES_Writing_FLA[#Data]),MATCH($A31,_xlfn.VSTACK(YES_Writing_ELA[Student Number],YES_Writing_FLA[Student Number]),0),MATCH(VLOOKUP(H$7,'Writing Logic'!$J$7:$K$11,2,FALSE)&amp;" - Per "&amp;VLOOKUP($C$4,'Writing Logic'!$G$8:$H$14,2,FALSE),YES_Writing_ELA[#Headers],0)))="INS",'Writing Logic'!$B$7,IF(INDEX(_xlfn.VSTACK(YES_Writing_ELA[#Data],YES_Writing_FLA[#Data]),MATCH($A31,_xlfn.VSTACK(YES_Writing_ELA[Student Number],YES_Writing_FLA[Student Number]),0),MATCH(VLOOKUP(H$7,'Writing Logic'!$J$7:$K$11,2,FALSE)&amp;" - Per "&amp;VLOOKUP($C$4,'Writing Logic'!$G$8:$H$14,2,FALSE),YES_Writing_ELA[#Headers],0))=0,"",INDEX(_xlfn.VSTACK(YES_Writing_ELA[#Data],YES_Writing_FLA[#Data]),MATCH($A31,_xlfn.VSTACK(YES_Writing_ELA[Student Number],YES_Writing_FLA[Student Number]),0),MATCH(VLOOKUP(H$7,'Writing Logic'!$J$7:$K$11,2,FALSE)&amp;" - Per "&amp;VLOOKUP($C$4,'Writing Logic'!$G$8:$H$14,2,FALSE),YES_Writing_ELA[#Headers],0)))),"")</f>
        <v/>
      </c>
      <c r="I31"/>
      <c r="J31" s="108"/>
      <c r="K31" s="109" t="str">
        <f>IF(J31="","",COUNTIFS($C$10:$C$600,$J31,$H$10:$H$600,"&gt;="&amp;'Writing Logic'!$F$1))</f>
        <v/>
      </c>
      <c r="L31" s="134" t="str">
        <f t="shared" si="0"/>
        <v/>
      </c>
    </row>
    <row r="32" spans="1:12" s="99" customFormat="1" ht="14.25" customHeight="1" x14ac:dyDescent="0.25">
      <c r="A32" s="137"/>
      <c r="B32" s="137" t="str">
        <f>IFERROR(INDEX(_xlfn.VSTACK(YES_Writing_ELA[#Data], YES_Writing_FLA[#Data]),MATCH($A32,_xlfn.VSTACK(YES_Writing_ELA[Student Number], YES_Writing_FLA[Student Number]),0),MATCH(B$7,YES_Writing_ELA[#Headers],0)),"")</f>
        <v/>
      </c>
      <c r="C32" s="137" t="str">
        <f>IFERROR(INDEX(_xlfn.VSTACK(YES_Writing_ELA[#Data], YES_Writing_FLA[#Data]),MATCH($A32,_xlfn.VSTACK(YES_Writing_ELA[Student Number], YES_Writing_FLA[Student Number]),0),MATCH(C$7,YES_Writing_ELA[#Headers],0)),"")</f>
        <v/>
      </c>
      <c r="D32" s="138" t="str">
        <f>IFERROR(IF(IF(INDEX(_xlfn.VSTACK(YES_Writing_ELA[#Data],YES_Writing_FLA[#Data]),MATCH($A32,_xlfn.VSTACK(YES_Writing_ELA[Student Number],YES_Writing_FLA[Student Number]),0),MATCH(VLOOKUP(D$7,'Writing Logic'!$J$7:$K$11,2,FALSE)&amp;" - Per "&amp;VLOOKUP($C$4,'Writing Logic'!$G$8:$H$14,2,FALSE),YES_Writing_ELA[#Headers],0))=0,"",INDEX(_xlfn.VSTACK(YES_Writing_ELA[#Data],YES_Writing_FLA[#Data]),MATCH($A32,_xlfn.VSTACK(YES_Writing_ELA[Student Number],YES_Writing_FLA[Student Number]),0),MATCH(VLOOKUP(D$7,'Writing Logic'!$J$7:$K$11,2,FALSE)&amp;" - Per "&amp;VLOOKUP($C$4,'Writing Logic'!$G$8:$H$14,2,FALSE),YES_Writing_ELA[#Headers],0)))="INS",'Writing Logic'!$B$7,IF(INDEX(_xlfn.VSTACK(YES_Writing_ELA[#Data],YES_Writing_FLA[#Data]),MATCH($A32,_xlfn.VSTACK(YES_Writing_ELA[Student Number],YES_Writing_FLA[Student Number]),0),MATCH(VLOOKUP(D$7,'Writing Logic'!$J$7:$K$11,2,FALSE)&amp;" - Per "&amp;VLOOKUP($C$4,'Writing Logic'!$G$8:$H$14,2,FALSE),YES_Writing_ELA[#Headers],0))=0,"",INDEX(_xlfn.VSTACK(YES_Writing_ELA[#Data],YES_Writing_FLA[#Data]),MATCH($A32,_xlfn.VSTACK(YES_Writing_ELA[Student Number],YES_Writing_FLA[Student Number]),0),MATCH(VLOOKUP(D$7,'Writing Logic'!$J$7:$K$11,2,FALSE)&amp;" - Per "&amp;VLOOKUP($C$4,'Writing Logic'!$G$8:$H$14,2,FALSE),YES_Writing_ELA[#Headers],0)))),"")</f>
        <v/>
      </c>
      <c r="E32" s="138" t="str">
        <f>IFERROR(IF(IF(INDEX(_xlfn.VSTACK(YES_Writing_ELA[#Data],YES_Writing_FLA[#Data]),MATCH($A32,_xlfn.VSTACK(YES_Writing_ELA[Student Number],YES_Writing_FLA[Student Number]),0),MATCH(VLOOKUP(E$7,'Writing Logic'!$J$7:$K$11,2,FALSE)&amp;" - Per "&amp;VLOOKUP($C$4,'Writing Logic'!$G$8:$H$14,2,FALSE),YES_Writing_ELA[#Headers],0))=0,"",INDEX(_xlfn.VSTACK(YES_Writing_ELA[#Data],YES_Writing_FLA[#Data]),MATCH($A32,_xlfn.VSTACK(YES_Writing_ELA[Student Number],YES_Writing_FLA[Student Number]),0),MATCH(VLOOKUP(E$7,'Writing Logic'!$J$7:$K$11,2,FALSE)&amp;" - Per "&amp;VLOOKUP($C$4,'Writing Logic'!$G$8:$H$14,2,FALSE),YES_Writing_ELA[#Headers],0)))="INS",'Writing Logic'!$B$7,IF(INDEX(_xlfn.VSTACK(YES_Writing_ELA[#Data],YES_Writing_FLA[#Data]),MATCH($A32,_xlfn.VSTACK(YES_Writing_ELA[Student Number],YES_Writing_FLA[Student Number]),0),MATCH(VLOOKUP(E$7,'Writing Logic'!$J$7:$K$11,2,FALSE)&amp;" - Per "&amp;VLOOKUP($C$4,'Writing Logic'!$G$8:$H$14,2,FALSE),YES_Writing_ELA[#Headers],0))=0,"",INDEX(_xlfn.VSTACK(YES_Writing_ELA[#Data],YES_Writing_FLA[#Data]),MATCH($A32,_xlfn.VSTACK(YES_Writing_ELA[Student Number],YES_Writing_FLA[Student Number]),0),MATCH(VLOOKUP(E$7,'Writing Logic'!$J$7:$K$11,2,FALSE)&amp;" - Per "&amp;VLOOKUP($C$4,'Writing Logic'!$G$8:$H$14,2,FALSE),YES_Writing_ELA[#Headers],0)))),"")</f>
        <v/>
      </c>
      <c r="F32" s="138" t="str">
        <f>IFERROR(IF(IF(INDEX(_xlfn.VSTACK(YES_Writing_ELA[#Data],YES_Writing_FLA[#Data]),MATCH($A32,_xlfn.VSTACK(YES_Writing_ELA[Student Number],YES_Writing_FLA[Student Number]),0),MATCH(VLOOKUP(F$7,'Writing Logic'!$J$7:$K$11,2,FALSE)&amp;" - Per "&amp;VLOOKUP($C$4,'Writing Logic'!$G$8:$H$14,2,FALSE),YES_Writing_ELA[#Headers],0))=0,"",INDEX(_xlfn.VSTACK(YES_Writing_ELA[#Data],YES_Writing_FLA[#Data]),MATCH($A32,_xlfn.VSTACK(YES_Writing_ELA[Student Number],YES_Writing_FLA[Student Number]),0),MATCH(VLOOKUP(F$7,'Writing Logic'!$J$7:$K$11,2,FALSE)&amp;" - Per "&amp;VLOOKUP($C$4,'Writing Logic'!$G$8:$H$14,2,FALSE),YES_Writing_ELA[#Headers],0)))="INS",'Writing Logic'!$B$7,IF(INDEX(_xlfn.VSTACK(YES_Writing_ELA[#Data],YES_Writing_FLA[#Data]),MATCH($A32,_xlfn.VSTACK(YES_Writing_ELA[Student Number],YES_Writing_FLA[Student Number]),0),MATCH(VLOOKUP(F$7,'Writing Logic'!$J$7:$K$11,2,FALSE)&amp;" - Per "&amp;VLOOKUP($C$4,'Writing Logic'!$G$8:$H$14,2,FALSE),YES_Writing_ELA[#Headers],0))=0,"",INDEX(_xlfn.VSTACK(YES_Writing_ELA[#Data],YES_Writing_FLA[#Data]),MATCH($A32,_xlfn.VSTACK(YES_Writing_ELA[Student Number],YES_Writing_FLA[Student Number]),0),MATCH(VLOOKUP(F$7,'Writing Logic'!$J$7:$K$11,2,FALSE)&amp;" - Per "&amp;VLOOKUP($C$4,'Writing Logic'!$G$8:$H$14,2,FALSE),YES_Writing_ELA[#Headers],0)))),"")</f>
        <v/>
      </c>
      <c r="G32" s="138" t="str">
        <f>IFERROR(IF(IF(INDEX(_xlfn.VSTACK(YES_Writing_ELA[#Data],YES_Writing_FLA[#Data]),MATCH($A32,_xlfn.VSTACK(YES_Writing_ELA[Student Number],YES_Writing_FLA[Student Number]),0),MATCH(VLOOKUP(G$7,'Writing Logic'!$J$7:$K$11,2,FALSE)&amp;" - Per "&amp;VLOOKUP($C$4,'Writing Logic'!$G$8:$H$14,2,FALSE),YES_Writing_ELA[#Headers],0))=0,"",INDEX(_xlfn.VSTACK(YES_Writing_ELA[#Data],YES_Writing_FLA[#Data]),MATCH($A32,_xlfn.VSTACK(YES_Writing_ELA[Student Number],YES_Writing_FLA[Student Number]),0),MATCH(VLOOKUP(G$7,'Writing Logic'!$J$7:$K$11,2,FALSE)&amp;" - Per "&amp;VLOOKUP($C$4,'Writing Logic'!$G$8:$H$14,2,FALSE),YES_Writing_ELA[#Headers],0)))="INS",'Writing Logic'!$B$7,IF(INDEX(_xlfn.VSTACK(YES_Writing_ELA[#Data],YES_Writing_FLA[#Data]),MATCH($A32,_xlfn.VSTACK(YES_Writing_ELA[Student Number],YES_Writing_FLA[Student Number]),0),MATCH(VLOOKUP(G$7,'Writing Logic'!$J$7:$K$11,2,FALSE)&amp;" - Per "&amp;VLOOKUP($C$4,'Writing Logic'!$G$8:$H$14,2,FALSE),YES_Writing_ELA[#Headers],0))=0,"",INDEX(_xlfn.VSTACK(YES_Writing_ELA[#Data],YES_Writing_FLA[#Data]),MATCH($A32,_xlfn.VSTACK(YES_Writing_ELA[Student Number],YES_Writing_FLA[Student Number]),0),MATCH(VLOOKUP(G$7,'Writing Logic'!$J$7:$K$11,2,FALSE)&amp;" - Per "&amp;VLOOKUP($C$4,'Writing Logic'!$G$8:$H$14,2,FALSE),YES_Writing_ELA[#Headers],0)))),"")</f>
        <v/>
      </c>
      <c r="H32" s="138" t="str">
        <f>IFERROR(IF(IF(INDEX(_xlfn.VSTACK(YES_Writing_ELA[#Data],YES_Writing_FLA[#Data]),MATCH($A32,_xlfn.VSTACK(YES_Writing_ELA[Student Number],YES_Writing_FLA[Student Number]),0),MATCH(VLOOKUP(H$7,'Writing Logic'!$J$7:$K$11,2,FALSE)&amp;" - Per "&amp;VLOOKUP($C$4,'Writing Logic'!$G$8:$H$14,2,FALSE),YES_Writing_ELA[#Headers],0))=0,"",INDEX(_xlfn.VSTACK(YES_Writing_ELA[#Data],YES_Writing_FLA[#Data]),MATCH($A32,_xlfn.VSTACK(YES_Writing_ELA[Student Number],YES_Writing_FLA[Student Number]),0),MATCH(VLOOKUP(H$7,'Writing Logic'!$J$7:$K$11,2,FALSE)&amp;" - Per "&amp;VLOOKUP($C$4,'Writing Logic'!$G$8:$H$14,2,FALSE),YES_Writing_ELA[#Headers],0)))="INS",'Writing Logic'!$B$7,IF(INDEX(_xlfn.VSTACK(YES_Writing_ELA[#Data],YES_Writing_FLA[#Data]),MATCH($A32,_xlfn.VSTACK(YES_Writing_ELA[Student Number],YES_Writing_FLA[Student Number]),0),MATCH(VLOOKUP(H$7,'Writing Logic'!$J$7:$K$11,2,FALSE)&amp;" - Per "&amp;VLOOKUP($C$4,'Writing Logic'!$G$8:$H$14,2,FALSE),YES_Writing_ELA[#Headers],0))=0,"",INDEX(_xlfn.VSTACK(YES_Writing_ELA[#Data],YES_Writing_FLA[#Data]),MATCH($A32,_xlfn.VSTACK(YES_Writing_ELA[Student Number],YES_Writing_FLA[Student Number]),0),MATCH(VLOOKUP(H$7,'Writing Logic'!$J$7:$K$11,2,FALSE)&amp;" - Per "&amp;VLOOKUP($C$4,'Writing Logic'!$G$8:$H$14,2,FALSE),YES_Writing_ELA[#Headers],0)))),"")</f>
        <v/>
      </c>
      <c r="I32" s="136"/>
      <c r="J32"/>
      <c r="K32"/>
      <c r="L32"/>
    </row>
    <row r="33" spans="1:12" s="99" customFormat="1" ht="14.25" customHeight="1" x14ac:dyDescent="0.25">
      <c r="A33" s="137"/>
      <c r="B33" s="137" t="str">
        <f>IFERROR(INDEX(_xlfn.VSTACK(YES_Writing_ELA[#Data], YES_Writing_FLA[#Data]),MATCH($A33,_xlfn.VSTACK(YES_Writing_ELA[Student Number], YES_Writing_FLA[Student Number]),0),MATCH(B$7,YES_Writing_ELA[#Headers],0)),"")</f>
        <v/>
      </c>
      <c r="C33" s="137" t="str">
        <f>IFERROR(INDEX(_xlfn.VSTACK(YES_Writing_ELA[#Data], YES_Writing_FLA[#Data]),MATCH($A33,_xlfn.VSTACK(YES_Writing_ELA[Student Number], YES_Writing_FLA[Student Number]),0),MATCH(C$7,YES_Writing_ELA[#Headers],0)),"")</f>
        <v/>
      </c>
      <c r="D33" s="138" t="str">
        <f>IFERROR(IF(IF(INDEX(_xlfn.VSTACK(YES_Writing_ELA[#Data],YES_Writing_FLA[#Data]),MATCH($A33,_xlfn.VSTACK(YES_Writing_ELA[Student Number],YES_Writing_FLA[Student Number]),0),MATCH(VLOOKUP(D$7,'Writing Logic'!$J$7:$K$11,2,FALSE)&amp;" - Per "&amp;VLOOKUP($C$4,'Writing Logic'!$G$8:$H$14,2,FALSE),YES_Writing_ELA[#Headers],0))=0,"",INDEX(_xlfn.VSTACK(YES_Writing_ELA[#Data],YES_Writing_FLA[#Data]),MATCH($A33,_xlfn.VSTACK(YES_Writing_ELA[Student Number],YES_Writing_FLA[Student Number]),0),MATCH(VLOOKUP(D$7,'Writing Logic'!$J$7:$K$11,2,FALSE)&amp;" - Per "&amp;VLOOKUP($C$4,'Writing Logic'!$G$8:$H$14,2,FALSE),YES_Writing_ELA[#Headers],0)))="INS",'Writing Logic'!$B$7,IF(INDEX(_xlfn.VSTACK(YES_Writing_ELA[#Data],YES_Writing_FLA[#Data]),MATCH($A33,_xlfn.VSTACK(YES_Writing_ELA[Student Number],YES_Writing_FLA[Student Number]),0),MATCH(VLOOKUP(D$7,'Writing Logic'!$J$7:$K$11,2,FALSE)&amp;" - Per "&amp;VLOOKUP($C$4,'Writing Logic'!$G$8:$H$14,2,FALSE),YES_Writing_ELA[#Headers],0))=0,"",INDEX(_xlfn.VSTACK(YES_Writing_ELA[#Data],YES_Writing_FLA[#Data]),MATCH($A33,_xlfn.VSTACK(YES_Writing_ELA[Student Number],YES_Writing_FLA[Student Number]),0),MATCH(VLOOKUP(D$7,'Writing Logic'!$J$7:$K$11,2,FALSE)&amp;" - Per "&amp;VLOOKUP($C$4,'Writing Logic'!$G$8:$H$14,2,FALSE),YES_Writing_ELA[#Headers],0)))),"")</f>
        <v/>
      </c>
      <c r="E33" s="138" t="str">
        <f>IFERROR(IF(IF(INDEX(_xlfn.VSTACK(YES_Writing_ELA[#Data],YES_Writing_FLA[#Data]),MATCH($A33,_xlfn.VSTACK(YES_Writing_ELA[Student Number],YES_Writing_FLA[Student Number]),0),MATCH(VLOOKUP(E$7,'Writing Logic'!$J$7:$K$11,2,FALSE)&amp;" - Per "&amp;VLOOKUP($C$4,'Writing Logic'!$G$8:$H$14,2,FALSE),YES_Writing_ELA[#Headers],0))=0,"",INDEX(_xlfn.VSTACK(YES_Writing_ELA[#Data],YES_Writing_FLA[#Data]),MATCH($A33,_xlfn.VSTACK(YES_Writing_ELA[Student Number],YES_Writing_FLA[Student Number]),0),MATCH(VLOOKUP(E$7,'Writing Logic'!$J$7:$K$11,2,FALSE)&amp;" - Per "&amp;VLOOKUP($C$4,'Writing Logic'!$G$8:$H$14,2,FALSE),YES_Writing_ELA[#Headers],0)))="INS",'Writing Logic'!$B$7,IF(INDEX(_xlfn.VSTACK(YES_Writing_ELA[#Data],YES_Writing_FLA[#Data]),MATCH($A33,_xlfn.VSTACK(YES_Writing_ELA[Student Number],YES_Writing_FLA[Student Number]),0),MATCH(VLOOKUP(E$7,'Writing Logic'!$J$7:$K$11,2,FALSE)&amp;" - Per "&amp;VLOOKUP($C$4,'Writing Logic'!$G$8:$H$14,2,FALSE),YES_Writing_ELA[#Headers],0))=0,"",INDEX(_xlfn.VSTACK(YES_Writing_ELA[#Data],YES_Writing_FLA[#Data]),MATCH($A33,_xlfn.VSTACK(YES_Writing_ELA[Student Number],YES_Writing_FLA[Student Number]),0),MATCH(VLOOKUP(E$7,'Writing Logic'!$J$7:$K$11,2,FALSE)&amp;" - Per "&amp;VLOOKUP($C$4,'Writing Logic'!$G$8:$H$14,2,FALSE),YES_Writing_ELA[#Headers],0)))),"")</f>
        <v/>
      </c>
      <c r="F33" s="138" t="str">
        <f>IFERROR(IF(IF(INDEX(_xlfn.VSTACK(YES_Writing_ELA[#Data],YES_Writing_FLA[#Data]),MATCH($A33,_xlfn.VSTACK(YES_Writing_ELA[Student Number],YES_Writing_FLA[Student Number]),0),MATCH(VLOOKUP(F$7,'Writing Logic'!$J$7:$K$11,2,FALSE)&amp;" - Per "&amp;VLOOKUP($C$4,'Writing Logic'!$G$8:$H$14,2,FALSE),YES_Writing_ELA[#Headers],0))=0,"",INDEX(_xlfn.VSTACK(YES_Writing_ELA[#Data],YES_Writing_FLA[#Data]),MATCH($A33,_xlfn.VSTACK(YES_Writing_ELA[Student Number],YES_Writing_FLA[Student Number]),0),MATCH(VLOOKUP(F$7,'Writing Logic'!$J$7:$K$11,2,FALSE)&amp;" - Per "&amp;VLOOKUP($C$4,'Writing Logic'!$G$8:$H$14,2,FALSE),YES_Writing_ELA[#Headers],0)))="INS",'Writing Logic'!$B$7,IF(INDEX(_xlfn.VSTACK(YES_Writing_ELA[#Data],YES_Writing_FLA[#Data]),MATCH($A33,_xlfn.VSTACK(YES_Writing_ELA[Student Number],YES_Writing_FLA[Student Number]),0),MATCH(VLOOKUP(F$7,'Writing Logic'!$J$7:$K$11,2,FALSE)&amp;" - Per "&amp;VLOOKUP($C$4,'Writing Logic'!$G$8:$H$14,2,FALSE),YES_Writing_ELA[#Headers],0))=0,"",INDEX(_xlfn.VSTACK(YES_Writing_ELA[#Data],YES_Writing_FLA[#Data]),MATCH($A33,_xlfn.VSTACK(YES_Writing_ELA[Student Number],YES_Writing_FLA[Student Number]),0),MATCH(VLOOKUP(F$7,'Writing Logic'!$J$7:$K$11,2,FALSE)&amp;" - Per "&amp;VLOOKUP($C$4,'Writing Logic'!$G$8:$H$14,2,FALSE),YES_Writing_ELA[#Headers],0)))),"")</f>
        <v/>
      </c>
      <c r="G33" s="138" t="str">
        <f>IFERROR(IF(IF(INDEX(_xlfn.VSTACK(YES_Writing_ELA[#Data],YES_Writing_FLA[#Data]),MATCH($A33,_xlfn.VSTACK(YES_Writing_ELA[Student Number],YES_Writing_FLA[Student Number]),0),MATCH(VLOOKUP(G$7,'Writing Logic'!$J$7:$K$11,2,FALSE)&amp;" - Per "&amp;VLOOKUP($C$4,'Writing Logic'!$G$8:$H$14,2,FALSE),YES_Writing_ELA[#Headers],0))=0,"",INDEX(_xlfn.VSTACK(YES_Writing_ELA[#Data],YES_Writing_FLA[#Data]),MATCH($A33,_xlfn.VSTACK(YES_Writing_ELA[Student Number],YES_Writing_FLA[Student Number]),0),MATCH(VLOOKUP(G$7,'Writing Logic'!$J$7:$K$11,2,FALSE)&amp;" - Per "&amp;VLOOKUP($C$4,'Writing Logic'!$G$8:$H$14,2,FALSE),YES_Writing_ELA[#Headers],0)))="INS",'Writing Logic'!$B$7,IF(INDEX(_xlfn.VSTACK(YES_Writing_ELA[#Data],YES_Writing_FLA[#Data]),MATCH($A33,_xlfn.VSTACK(YES_Writing_ELA[Student Number],YES_Writing_FLA[Student Number]),0),MATCH(VLOOKUP(G$7,'Writing Logic'!$J$7:$K$11,2,FALSE)&amp;" - Per "&amp;VLOOKUP($C$4,'Writing Logic'!$G$8:$H$14,2,FALSE),YES_Writing_ELA[#Headers],0))=0,"",INDEX(_xlfn.VSTACK(YES_Writing_ELA[#Data],YES_Writing_FLA[#Data]),MATCH($A33,_xlfn.VSTACK(YES_Writing_ELA[Student Number],YES_Writing_FLA[Student Number]),0),MATCH(VLOOKUP(G$7,'Writing Logic'!$J$7:$K$11,2,FALSE)&amp;" - Per "&amp;VLOOKUP($C$4,'Writing Logic'!$G$8:$H$14,2,FALSE),YES_Writing_ELA[#Headers],0)))),"")</f>
        <v/>
      </c>
      <c r="H33" s="138" t="str">
        <f>IFERROR(IF(IF(INDEX(_xlfn.VSTACK(YES_Writing_ELA[#Data],YES_Writing_FLA[#Data]),MATCH($A33,_xlfn.VSTACK(YES_Writing_ELA[Student Number],YES_Writing_FLA[Student Number]),0),MATCH(VLOOKUP(H$7,'Writing Logic'!$J$7:$K$11,2,FALSE)&amp;" - Per "&amp;VLOOKUP($C$4,'Writing Logic'!$G$8:$H$14,2,FALSE),YES_Writing_ELA[#Headers],0))=0,"",INDEX(_xlfn.VSTACK(YES_Writing_ELA[#Data],YES_Writing_FLA[#Data]),MATCH($A33,_xlfn.VSTACK(YES_Writing_ELA[Student Number],YES_Writing_FLA[Student Number]),0),MATCH(VLOOKUP(H$7,'Writing Logic'!$J$7:$K$11,2,FALSE)&amp;" - Per "&amp;VLOOKUP($C$4,'Writing Logic'!$G$8:$H$14,2,FALSE),YES_Writing_ELA[#Headers],0)))="INS",'Writing Logic'!$B$7,IF(INDEX(_xlfn.VSTACK(YES_Writing_ELA[#Data],YES_Writing_FLA[#Data]),MATCH($A33,_xlfn.VSTACK(YES_Writing_ELA[Student Number],YES_Writing_FLA[Student Number]),0),MATCH(VLOOKUP(H$7,'Writing Logic'!$J$7:$K$11,2,FALSE)&amp;" - Per "&amp;VLOOKUP($C$4,'Writing Logic'!$G$8:$H$14,2,FALSE),YES_Writing_ELA[#Headers],0))=0,"",INDEX(_xlfn.VSTACK(YES_Writing_ELA[#Data],YES_Writing_FLA[#Data]),MATCH($A33,_xlfn.VSTACK(YES_Writing_ELA[Student Number],YES_Writing_FLA[Student Number]),0),MATCH(VLOOKUP(H$7,'Writing Logic'!$J$7:$K$11,2,FALSE)&amp;" - Per "&amp;VLOOKUP($C$4,'Writing Logic'!$G$8:$H$14,2,FALSE),YES_Writing_ELA[#Headers],0)))),"")</f>
        <v/>
      </c>
      <c r="I33" s="136"/>
      <c r="J33"/>
      <c r="K33"/>
      <c r="L33"/>
    </row>
    <row r="34" spans="1:12" s="99" customFormat="1" ht="14.25" customHeight="1" x14ac:dyDescent="0.25">
      <c r="A34" s="137"/>
      <c r="B34" s="137" t="str">
        <f>IFERROR(INDEX(_xlfn.VSTACK(YES_Writing_ELA[#Data], YES_Writing_FLA[#Data]),MATCH($A34,_xlfn.VSTACK(YES_Writing_ELA[Student Number], YES_Writing_FLA[Student Number]),0),MATCH(B$7,YES_Writing_ELA[#Headers],0)),"")</f>
        <v/>
      </c>
      <c r="C34" s="137" t="str">
        <f>IFERROR(INDEX(_xlfn.VSTACK(YES_Writing_ELA[#Data], YES_Writing_FLA[#Data]),MATCH($A34,_xlfn.VSTACK(YES_Writing_ELA[Student Number], YES_Writing_FLA[Student Number]),0),MATCH(C$7,YES_Writing_ELA[#Headers],0)),"")</f>
        <v/>
      </c>
      <c r="D34" s="138" t="str">
        <f>IFERROR(IF(IF(INDEX(_xlfn.VSTACK(YES_Writing_ELA[#Data],YES_Writing_FLA[#Data]),MATCH($A34,_xlfn.VSTACK(YES_Writing_ELA[Student Number],YES_Writing_FLA[Student Number]),0),MATCH(VLOOKUP(D$7,'Writing Logic'!$J$7:$K$11,2,FALSE)&amp;" - Per "&amp;VLOOKUP($C$4,'Writing Logic'!$G$8:$H$14,2,FALSE),YES_Writing_ELA[#Headers],0))=0,"",INDEX(_xlfn.VSTACK(YES_Writing_ELA[#Data],YES_Writing_FLA[#Data]),MATCH($A34,_xlfn.VSTACK(YES_Writing_ELA[Student Number],YES_Writing_FLA[Student Number]),0),MATCH(VLOOKUP(D$7,'Writing Logic'!$J$7:$K$11,2,FALSE)&amp;" - Per "&amp;VLOOKUP($C$4,'Writing Logic'!$G$8:$H$14,2,FALSE),YES_Writing_ELA[#Headers],0)))="INS",'Writing Logic'!$B$7,IF(INDEX(_xlfn.VSTACK(YES_Writing_ELA[#Data],YES_Writing_FLA[#Data]),MATCH($A34,_xlfn.VSTACK(YES_Writing_ELA[Student Number],YES_Writing_FLA[Student Number]),0),MATCH(VLOOKUP(D$7,'Writing Logic'!$J$7:$K$11,2,FALSE)&amp;" - Per "&amp;VLOOKUP($C$4,'Writing Logic'!$G$8:$H$14,2,FALSE),YES_Writing_ELA[#Headers],0))=0,"",INDEX(_xlfn.VSTACK(YES_Writing_ELA[#Data],YES_Writing_FLA[#Data]),MATCH($A34,_xlfn.VSTACK(YES_Writing_ELA[Student Number],YES_Writing_FLA[Student Number]),0),MATCH(VLOOKUP(D$7,'Writing Logic'!$J$7:$K$11,2,FALSE)&amp;" - Per "&amp;VLOOKUP($C$4,'Writing Logic'!$G$8:$H$14,2,FALSE),YES_Writing_ELA[#Headers],0)))),"")</f>
        <v/>
      </c>
      <c r="E34" s="138" t="str">
        <f>IFERROR(IF(IF(INDEX(_xlfn.VSTACK(YES_Writing_ELA[#Data],YES_Writing_FLA[#Data]),MATCH($A34,_xlfn.VSTACK(YES_Writing_ELA[Student Number],YES_Writing_FLA[Student Number]),0),MATCH(VLOOKUP(E$7,'Writing Logic'!$J$7:$K$11,2,FALSE)&amp;" - Per "&amp;VLOOKUP($C$4,'Writing Logic'!$G$8:$H$14,2,FALSE),YES_Writing_ELA[#Headers],0))=0,"",INDEX(_xlfn.VSTACK(YES_Writing_ELA[#Data],YES_Writing_FLA[#Data]),MATCH($A34,_xlfn.VSTACK(YES_Writing_ELA[Student Number],YES_Writing_FLA[Student Number]),0),MATCH(VLOOKUP(E$7,'Writing Logic'!$J$7:$K$11,2,FALSE)&amp;" - Per "&amp;VLOOKUP($C$4,'Writing Logic'!$G$8:$H$14,2,FALSE),YES_Writing_ELA[#Headers],0)))="INS",'Writing Logic'!$B$7,IF(INDEX(_xlfn.VSTACK(YES_Writing_ELA[#Data],YES_Writing_FLA[#Data]),MATCH($A34,_xlfn.VSTACK(YES_Writing_ELA[Student Number],YES_Writing_FLA[Student Number]),0),MATCH(VLOOKUP(E$7,'Writing Logic'!$J$7:$K$11,2,FALSE)&amp;" - Per "&amp;VLOOKUP($C$4,'Writing Logic'!$G$8:$H$14,2,FALSE),YES_Writing_ELA[#Headers],0))=0,"",INDEX(_xlfn.VSTACK(YES_Writing_ELA[#Data],YES_Writing_FLA[#Data]),MATCH($A34,_xlfn.VSTACK(YES_Writing_ELA[Student Number],YES_Writing_FLA[Student Number]),0),MATCH(VLOOKUP(E$7,'Writing Logic'!$J$7:$K$11,2,FALSE)&amp;" - Per "&amp;VLOOKUP($C$4,'Writing Logic'!$G$8:$H$14,2,FALSE),YES_Writing_ELA[#Headers],0)))),"")</f>
        <v/>
      </c>
      <c r="F34" s="138" t="str">
        <f>IFERROR(IF(IF(INDEX(_xlfn.VSTACK(YES_Writing_ELA[#Data],YES_Writing_FLA[#Data]),MATCH($A34,_xlfn.VSTACK(YES_Writing_ELA[Student Number],YES_Writing_FLA[Student Number]),0),MATCH(VLOOKUP(F$7,'Writing Logic'!$J$7:$K$11,2,FALSE)&amp;" - Per "&amp;VLOOKUP($C$4,'Writing Logic'!$G$8:$H$14,2,FALSE),YES_Writing_ELA[#Headers],0))=0,"",INDEX(_xlfn.VSTACK(YES_Writing_ELA[#Data],YES_Writing_FLA[#Data]),MATCH($A34,_xlfn.VSTACK(YES_Writing_ELA[Student Number],YES_Writing_FLA[Student Number]),0),MATCH(VLOOKUP(F$7,'Writing Logic'!$J$7:$K$11,2,FALSE)&amp;" - Per "&amp;VLOOKUP($C$4,'Writing Logic'!$G$8:$H$14,2,FALSE),YES_Writing_ELA[#Headers],0)))="INS",'Writing Logic'!$B$7,IF(INDEX(_xlfn.VSTACK(YES_Writing_ELA[#Data],YES_Writing_FLA[#Data]),MATCH($A34,_xlfn.VSTACK(YES_Writing_ELA[Student Number],YES_Writing_FLA[Student Number]),0),MATCH(VLOOKUP(F$7,'Writing Logic'!$J$7:$K$11,2,FALSE)&amp;" - Per "&amp;VLOOKUP($C$4,'Writing Logic'!$G$8:$H$14,2,FALSE),YES_Writing_ELA[#Headers],0))=0,"",INDEX(_xlfn.VSTACK(YES_Writing_ELA[#Data],YES_Writing_FLA[#Data]),MATCH($A34,_xlfn.VSTACK(YES_Writing_ELA[Student Number],YES_Writing_FLA[Student Number]),0),MATCH(VLOOKUP(F$7,'Writing Logic'!$J$7:$K$11,2,FALSE)&amp;" - Per "&amp;VLOOKUP($C$4,'Writing Logic'!$G$8:$H$14,2,FALSE),YES_Writing_ELA[#Headers],0)))),"")</f>
        <v/>
      </c>
      <c r="G34" s="138" t="str">
        <f>IFERROR(IF(IF(INDEX(_xlfn.VSTACK(YES_Writing_ELA[#Data],YES_Writing_FLA[#Data]),MATCH($A34,_xlfn.VSTACK(YES_Writing_ELA[Student Number],YES_Writing_FLA[Student Number]),0),MATCH(VLOOKUP(G$7,'Writing Logic'!$J$7:$K$11,2,FALSE)&amp;" - Per "&amp;VLOOKUP($C$4,'Writing Logic'!$G$8:$H$14,2,FALSE),YES_Writing_ELA[#Headers],0))=0,"",INDEX(_xlfn.VSTACK(YES_Writing_ELA[#Data],YES_Writing_FLA[#Data]),MATCH($A34,_xlfn.VSTACK(YES_Writing_ELA[Student Number],YES_Writing_FLA[Student Number]),0),MATCH(VLOOKUP(G$7,'Writing Logic'!$J$7:$K$11,2,FALSE)&amp;" - Per "&amp;VLOOKUP($C$4,'Writing Logic'!$G$8:$H$14,2,FALSE),YES_Writing_ELA[#Headers],0)))="INS",'Writing Logic'!$B$7,IF(INDEX(_xlfn.VSTACK(YES_Writing_ELA[#Data],YES_Writing_FLA[#Data]),MATCH($A34,_xlfn.VSTACK(YES_Writing_ELA[Student Number],YES_Writing_FLA[Student Number]),0),MATCH(VLOOKUP(G$7,'Writing Logic'!$J$7:$K$11,2,FALSE)&amp;" - Per "&amp;VLOOKUP($C$4,'Writing Logic'!$G$8:$H$14,2,FALSE),YES_Writing_ELA[#Headers],0))=0,"",INDEX(_xlfn.VSTACK(YES_Writing_ELA[#Data],YES_Writing_FLA[#Data]),MATCH($A34,_xlfn.VSTACK(YES_Writing_ELA[Student Number],YES_Writing_FLA[Student Number]),0),MATCH(VLOOKUP(G$7,'Writing Logic'!$J$7:$K$11,2,FALSE)&amp;" - Per "&amp;VLOOKUP($C$4,'Writing Logic'!$G$8:$H$14,2,FALSE),YES_Writing_ELA[#Headers],0)))),"")</f>
        <v/>
      </c>
      <c r="H34" s="138" t="str">
        <f>IFERROR(IF(IF(INDEX(_xlfn.VSTACK(YES_Writing_ELA[#Data],YES_Writing_FLA[#Data]),MATCH($A34,_xlfn.VSTACK(YES_Writing_ELA[Student Number],YES_Writing_FLA[Student Number]),0),MATCH(VLOOKUP(H$7,'Writing Logic'!$J$7:$K$11,2,FALSE)&amp;" - Per "&amp;VLOOKUP($C$4,'Writing Logic'!$G$8:$H$14,2,FALSE),YES_Writing_ELA[#Headers],0))=0,"",INDEX(_xlfn.VSTACK(YES_Writing_ELA[#Data],YES_Writing_FLA[#Data]),MATCH($A34,_xlfn.VSTACK(YES_Writing_ELA[Student Number],YES_Writing_FLA[Student Number]),0),MATCH(VLOOKUP(H$7,'Writing Logic'!$J$7:$K$11,2,FALSE)&amp;" - Per "&amp;VLOOKUP($C$4,'Writing Logic'!$G$8:$H$14,2,FALSE),YES_Writing_ELA[#Headers],0)))="INS",'Writing Logic'!$B$7,IF(INDEX(_xlfn.VSTACK(YES_Writing_ELA[#Data],YES_Writing_FLA[#Data]),MATCH($A34,_xlfn.VSTACK(YES_Writing_ELA[Student Number],YES_Writing_FLA[Student Number]),0),MATCH(VLOOKUP(H$7,'Writing Logic'!$J$7:$K$11,2,FALSE)&amp;" - Per "&amp;VLOOKUP($C$4,'Writing Logic'!$G$8:$H$14,2,FALSE),YES_Writing_ELA[#Headers],0))=0,"",INDEX(_xlfn.VSTACK(YES_Writing_ELA[#Data],YES_Writing_FLA[#Data]),MATCH($A34,_xlfn.VSTACK(YES_Writing_ELA[Student Number],YES_Writing_FLA[Student Number]),0),MATCH(VLOOKUP(H$7,'Writing Logic'!$J$7:$K$11,2,FALSE)&amp;" - Per "&amp;VLOOKUP($C$4,'Writing Logic'!$G$8:$H$14,2,FALSE),YES_Writing_ELA[#Headers],0)))),"")</f>
        <v/>
      </c>
      <c r="I34" s="136"/>
      <c r="J34"/>
      <c r="K34"/>
      <c r="L34"/>
    </row>
    <row r="35" spans="1:12" s="99" customFormat="1" ht="14.25" customHeight="1" x14ac:dyDescent="0.25">
      <c r="A35" s="137"/>
      <c r="B35" s="137" t="str">
        <f>IFERROR(INDEX(_xlfn.VSTACK(YES_Writing_ELA[#Data], YES_Writing_FLA[#Data]),MATCH($A35,_xlfn.VSTACK(YES_Writing_ELA[Student Number], YES_Writing_FLA[Student Number]),0),MATCH(B$7,YES_Writing_ELA[#Headers],0)),"")</f>
        <v/>
      </c>
      <c r="C35" s="137" t="str">
        <f>IFERROR(INDEX(_xlfn.VSTACK(YES_Writing_ELA[#Data], YES_Writing_FLA[#Data]),MATCH($A35,_xlfn.VSTACK(YES_Writing_ELA[Student Number], YES_Writing_FLA[Student Number]),0),MATCH(C$7,YES_Writing_ELA[#Headers],0)),"")</f>
        <v/>
      </c>
      <c r="D35" s="138" t="str">
        <f>IFERROR(IF(IF(INDEX(_xlfn.VSTACK(YES_Writing_ELA[#Data],YES_Writing_FLA[#Data]),MATCH($A35,_xlfn.VSTACK(YES_Writing_ELA[Student Number],YES_Writing_FLA[Student Number]),0),MATCH(VLOOKUP(D$7,'Writing Logic'!$J$7:$K$11,2,FALSE)&amp;" - Per "&amp;VLOOKUP($C$4,'Writing Logic'!$G$8:$H$14,2,FALSE),YES_Writing_ELA[#Headers],0))=0,"",INDEX(_xlfn.VSTACK(YES_Writing_ELA[#Data],YES_Writing_FLA[#Data]),MATCH($A35,_xlfn.VSTACK(YES_Writing_ELA[Student Number],YES_Writing_FLA[Student Number]),0),MATCH(VLOOKUP(D$7,'Writing Logic'!$J$7:$K$11,2,FALSE)&amp;" - Per "&amp;VLOOKUP($C$4,'Writing Logic'!$G$8:$H$14,2,FALSE),YES_Writing_ELA[#Headers],0)))="INS",'Writing Logic'!$B$7,IF(INDEX(_xlfn.VSTACK(YES_Writing_ELA[#Data],YES_Writing_FLA[#Data]),MATCH($A35,_xlfn.VSTACK(YES_Writing_ELA[Student Number],YES_Writing_FLA[Student Number]),0),MATCH(VLOOKUP(D$7,'Writing Logic'!$J$7:$K$11,2,FALSE)&amp;" - Per "&amp;VLOOKUP($C$4,'Writing Logic'!$G$8:$H$14,2,FALSE),YES_Writing_ELA[#Headers],0))=0,"",INDEX(_xlfn.VSTACK(YES_Writing_ELA[#Data],YES_Writing_FLA[#Data]),MATCH($A35,_xlfn.VSTACK(YES_Writing_ELA[Student Number],YES_Writing_FLA[Student Number]),0),MATCH(VLOOKUP(D$7,'Writing Logic'!$J$7:$K$11,2,FALSE)&amp;" - Per "&amp;VLOOKUP($C$4,'Writing Logic'!$G$8:$H$14,2,FALSE),YES_Writing_ELA[#Headers],0)))),"")</f>
        <v/>
      </c>
      <c r="E35" s="138" t="str">
        <f>IFERROR(IF(IF(INDEX(_xlfn.VSTACK(YES_Writing_ELA[#Data],YES_Writing_FLA[#Data]),MATCH($A35,_xlfn.VSTACK(YES_Writing_ELA[Student Number],YES_Writing_FLA[Student Number]),0),MATCH(VLOOKUP(E$7,'Writing Logic'!$J$7:$K$11,2,FALSE)&amp;" - Per "&amp;VLOOKUP($C$4,'Writing Logic'!$G$8:$H$14,2,FALSE),YES_Writing_ELA[#Headers],0))=0,"",INDEX(_xlfn.VSTACK(YES_Writing_ELA[#Data],YES_Writing_FLA[#Data]),MATCH($A35,_xlfn.VSTACK(YES_Writing_ELA[Student Number],YES_Writing_FLA[Student Number]),0),MATCH(VLOOKUP(E$7,'Writing Logic'!$J$7:$K$11,2,FALSE)&amp;" - Per "&amp;VLOOKUP($C$4,'Writing Logic'!$G$8:$H$14,2,FALSE),YES_Writing_ELA[#Headers],0)))="INS",'Writing Logic'!$B$7,IF(INDEX(_xlfn.VSTACK(YES_Writing_ELA[#Data],YES_Writing_FLA[#Data]),MATCH($A35,_xlfn.VSTACK(YES_Writing_ELA[Student Number],YES_Writing_FLA[Student Number]),0),MATCH(VLOOKUP(E$7,'Writing Logic'!$J$7:$K$11,2,FALSE)&amp;" - Per "&amp;VLOOKUP($C$4,'Writing Logic'!$G$8:$H$14,2,FALSE),YES_Writing_ELA[#Headers],0))=0,"",INDEX(_xlfn.VSTACK(YES_Writing_ELA[#Data],YES_Writing_FLA[#Data]),MATCH($A35,_xlfn.VSTACK(YES_Writing_ELA[Student Number],YES_Writing_FLA[Student Number]),0),MATCH(VLOOKUP(E$7,'Writing Logic'!$J$7:$K$11,2,FALSE)&amp;" - Per "&amp;VLOOKUP($C$4,'Writing Logic'!$G$8:$H$14,2,FALSE),YES_Writing_ELA[#Headers],0)))),"")</f>
        <v/>
      </c>
      <c r="F35" s="138" t="str">
        <f>IFERROR(IF(IF(INDEX(_xlfn.VSTACK(YES_Writing_ELA[#Data],YES_Writing_FLA[#Data]),MATCH($A35,_xlfn.VSTACK(YES_Writing_ELA[Student Number],YES_Writing_FLA[Student Number]),0),MATCH(VLOOKUP(F$7,'Writing Logic'!$J$7:$K$11,2,FALSE)&amp;" - Per "&amp;VLOOKUP($C$4,'Writing Logic'!$G$8:$H$14,2,FALSE),YES_Writing_ELA[#Headers],0))=0,"",INDEX(_xlfn.VSTACK(YES_Writing_ELA[#Data],YES_Writing_FLA[#Data]),MATCH($A35,_xlfn.VSTACK(YES_Writing_ELA[Student Number],YES_Writing_FLA[Student Number]),0),MATCH(VLOOKUP(F$7,'Writing Logic'!$J$7:$K$11,2,FALSE)&amp;" - Per "&amp;VLOOKUP($C$4,'Writing Logic'!$G$8:$H$14,2,FALSE),YES_Writing_ELA[#Headers],0)))="INS",'Writing Logic'!$B$7,IF(INDEX(_xlfn.VSTACK(YES_Writing_ELA[#Data],YES_Writing_FLA[#Data]),MATCH($A35,_xlfn.VSTACK(YES_Writing_ELA[Student Number],YES_Writing_FLA[Student Number]),0),MATCH(VLOOKUP(F$7,'Writing Logic'!$J$7:$K$11,2,FALSE)&amp;" - Per "&amp;VLOOKUP($C$4,'Writing Logic'!$G$8:$H$14,2,FALSE),YES_Writing_ELA[#Headers],0))=0,"",INDEX(_xlfn.VSTACK(YES_Writing_ELA[#Data],YES_Writing_FLA[#Data]),MATCH($A35,_xlfn.VSTACK(YES_Writing_ELA[Student Number],YES_Writing_FLA[Student Number]),0),MATCH(VLOOKUP(F$7,'Writing Logic'!$J$7:$K$11,2,FALSE)&amp;" - Per "&amp;VLOOKUP($C$4,'Writing Logic'!$G$8:$H$14,2,FALSE),YES_Writing_ELA[#Headers],0)))),"")</f>
        <v/>
      </c>
      <c r="G35" s="138" t="str">
        <f>IFERROR(IF(IF(INDEX(_xlfn.VSTACK(YES_Writing_ELA[#Data],YES_Writing_FLA[#Data]),MATCH($A35,_xlfn.VSTACK(YES_Writing_ELA[Student Number],YES_Writing_FLA[Student Number]),0),MATCH(VLOOKUP(G$7,'Writing Logic'!$J$7:$K$11,2,FALSE)&amp;" - Per "&amp;VLOOKUP($C$4,'Writing Logic'!$G$8:$H$14,2,FALSE),YES_Writing_ELA[#Headers],0))=0,"",INDEX(_xlfn.VSTACK(YES_Writing_ELA[#Data],YES_Writing_FLA[#Data]),MATCH($A35,_xlfn.VSTACK(YES_Writing_ELA[Student Number],YES_Writing_FLA[Student Number]),0),MATCH(VLOOKUP(G$7,'Writing Logic'!$J$7:$K$11,2,FALSE)&amp;" - Per "&amp;VLOOKUP($C$4,'Writing Logic'!$G$8:$H$14,2,FALSE),YES_Writing_ELA[#Headers],0)))="INS",'Writing Logic'!$B$7,IF(INDEX(_xlfn.VSTACK(YES_Writing_ELA[#Data],YES_Writing_FLA[#Data]),MATCH($A35,_xlfn.VSTACK(YES_Writing_ELA[Student Number],YES_Writing_FLA[Student Number]),0),MATCH(VLOOKUP(G$7,'Writing Logic'!$J$7:$K$11,2,FALSE)&amp;" - Per "&amp;VLOOKUP($C$4,'Writing Logic'!$G$8:$H$14,2,FALSE),YES_Writing_ELA[#Headers],0))=0,"",INDEX(_xlfn.VSTACK(YES_Writing_ELA[#Data],YES_Writing_FLA[#Data]),MATCH($A35,_xlfn.VSTACK(YES_Writing_ELA[Student Number],YES_Writing_FLA[Student Number]),0),MATCH(VLOOKUP(G$7,'Writing Logic'!$J$7:$K$11,2,FALSE)&amp;" - Per "&amp;VLOOKUP($C$4,'Writing Logic'!$G$8:$H$14,2,FALSE),YES_Writing_ELA[#Headers],0)))),"")</f>
        <v/>
      </c>
      <c r="H35" s="138" t="str">
        <f>IFERROR(IF(IF(INDEX(_xlfn.VSTACK(YES_Writing_ELA[#Data],YES_Writing_FLA[#Data]),MATCH($A35,_xlfn.VSTACK(YES_Writing_ELA[Student Number],YES_Writing_FLA[Student Number]),0),MATCH(VLOOKUP(H$7,'Writing Logic'!$J$7:$K$11,2,FALSE)&amp;" - Per "&amp;VLOOKUP($C$4,'Writing Logic'!$G$8:$H$14,2,FALSE),YES_Writing_ELA[#Headers],0))=0,"",INDEX(_xlfn.VSTACK(YES_Writing_ELA[#Data],YES_Writing_FLA[#Data]),MATCH($A35,_xlfn.VSTACK(YES_Writing_ELA[Student Number],YES_Writing_FLA[Student Number]),0),MATCH(VLOOKUP(H$7,'Writing Logic'!$J$7:$K$11,2,FALSE)&amp;" - Per "&amp;VLOOKUP($C$4,'Writing Logic'!$G$8:$H$14,2,FALSE),YES_Writing_ELA[#Headers],0)))="INS",'Writing Logic'!$B$7,IF(INDEX(_xlfn.VSTACK(YES_Writing_ELA[#Data],YES_Writing_FLA[#Data]),MATCH($A35,_xlfn.VSTACK(YES_Writing_ELA[Student Number],YES_Writing_FLA[Student Number]),0),MATCH(VLOOKUP(H$7,'Writing Logic'!$J$7:$K$11,2,FALSE)&amp;" - Per "&amp;VLOOKUP($C$4,'Writing Logic'!$G$8:$H$14,2,FALSE),YES_Writing_ELA[#Headers],0))=0,"",INDEX(_xlfn.VSTACK(YES_Writing_ELA[#Data],YES_Writing_FLA[#Data]),MATCH($A35,_xlfn.VSTACK(YES_Writing_ELA[Student Number],YES_Writing_FLA[Student Number]),0),MATCH(VLOOKUP(H$7,'Writing Logic'!$J$7:$K$11,2,FALSE)&amp;" - Per "&amp;VLOOKUP($C$4,'Writing Logic'!$G$8:$H$14,2,FALSE),YES_Writing_ELA[#Headers],0)))),"")</f>
        <v/>
      </c>
      <c r="I35" s="136"/>
      <c r="J35"/>
      <c r="K35"/>
      <c r="L35"/>
    </row>
    <row r="36" spans="1:12" s="99" customFormat="1" ht="14.25" customHeight="1" x14ac:dyDescent="0.25">
      <c r="A36" s="137"/>
      <c r="B36" s="137" t="str">
        <f>IFERROR(INDEX(_xlfn.VSTACK(YES_Writing_ELA[#Data], YES_Writing_FLA[#Data]),MATCH($A36,_xlfn.VSTACK(YES_Writing_ELA[Student Number], YES_Writing_FLA[Student Number]),0),MATCH(B$7,YES_Writing_ELA[#Headers],0)),"")</f>
        <v/>
      </c>
      <c r="C36" s="137" t="str">
        <f>IFERROR(INDEX(_xlfn.VSTACK(YES_Writing_ELA[#Data], YES_Writing_FLA[#Data]),MATCH($A36,_xlfn.VSTACK(YES_Writing_ELA[Student Number], YES_Writing_FLA[Student Number]),0),MATCH(C$7,YES_Writing_ELA[#Headers],0)),"")</f>
        <v/>
      </c>
      <c r="D36" s="138" t="str">
        <f>IFERROR(IF(IF(INDEX(_xlfn.VSTACK(YES_Writing_ELA[#Data],YES_Writing_FLA[#Data]),MATCH($A36,_xlfn.VSTACK(YES_Writing_ELA[Student Number],YES_Writing_FLA[Student Number]),0),MATCH(VLOOKUP(D$7,'Writing Logic'!$J$7:$K$11,2,FALSE)&amp;" - Per "&amp;VLOOKUP($C$4,'Writing Logic'!$G$8:$H$14,2,FALSE),YES_Writing_ELA[#Headers],0))=0,"",INDEX(_xlfn.VSTACK(YES_Writing_ELA[#Data],YES_Writing_FLA[#Data]),MATCH($A36,_xlfn.VSTACK(YES_Writing_ELA[Student Number],YES_Writing_FLA[Student Number]),0),MATCH(VLOOKUP(D$7,'Writing Logic'!$J$7:$K$11,2,FALSE)&amp;" - Per "&amp;VLOOKUP($C$4,'Writing Logic'!$G$8:$H$14,2,FALSE),YES_Writing_ELA[#Headers],0)))="INS",'Writing Logic'!$B$7,IF(INDEX(_xlfn.VSTACK(YES_Writing_ELA[#Data],YES_Writing_FLA[#Data]),MATCH($A36,_xlfn.VSTACK(YES_Writing_ELA[Student Number],YES_Writing_FLA[Student Number]),0),MATCH(VLOOKUP(D$7,'Writing Logic'!$J$7:$K$11,2,FALSE)&amp;" - Per "&amp;VLOOKUP($C$4,'Writing Logic'!$G$8:$H$14,2,FALSE),YES_Writing_ELA[#Headers],0))=0,"",INDEX(_xlfn.VSTACK(YES_Writing_ELA[#Data],YES_Writing_FLA[#Data]),MATCH($A36,_xlfn.VSTACK(YES_Writing_ELA[Student Number],YES_Writing_FLA[Student Number]),0),MATCH(VLOOKUP(D$7,'Writing Logic'!$J$7:$K$11,2,FALSE)&amp;" - Per "&amp;VLOOKUP($C$4,'Writing Logic'!$G$8:$H$14,2,FALSE),YES_Writing_ELA[#Headers],0)))),"")</f>
        <v/>
      </c>
      <c r="E36" s="138" t="str">
        <f>IFERROR(IF(IF(INDEX(_xlfn.VSTACK(YES_Writing_ELA[#Data],YES_Writing_FLA[#Data]),MATCH($A36,_xlfn.VSTACK(YES_Writing_ELA[Student Number],YES_Writing_FLA[Student Number]),0),MATCH(VLOOKUP(E$7,'Writing Logic'!$J$7:$K$11,2,FALSE)&amp;" - Per "&amp;VLOOKUP($C$4,'Writing Logic'!$G$8:$H$14,2,FALSE),YES_Writing_ELA[#Headers],0))=0,"",INDEX(_xlfn.VSTACK(YES_Writing_ELA[#Data],YES_Writing_FLA[#Data]),MATCH($A36,_xlfn.VSTACK(YES_Writing_ELA[Student Number],YES_Writing_FLA[Student Number]),0),MATCH(VLOOKUP(E$7,'Writing Logic'!$J$7:$K$11,2,FALSE)&amp;" - Per "&amp;VLOOKUP($C$4,'Writing Logic'!$G$8:$H$14,2,FALSE),YES_Writing_ELA[#Headers],0)))="INS",'Writing Logic'!$B$7,IF(INDEX(_xlfn.VSTACK(YES_Writing_ELA[#Data],YES_Writing_FLA[#Data]),MATCH($A36,_xlfn.VSTACK(YES_Writing_ELA[Student Number],YES_Writing_FLA[Student Number]),0),MATCH(VLOOKUP(E$7,'Writing Logic'!$J$7:$K$11,2,FALSE)&amp;" - Per "&amp;VLOOKUP($C$4,'Writing Logic'!$G$8:$H$14,2,FALSE),YES_Writing_ELA[#Headers],0))=0,"",INDEX(_xlfn.VSTACK(YES_Writing_ELA[#Data],YES_Writing_FLA[#Data]),MATCH($A36,_xlfn.VSTACK(YES_Writing_ELA[Student Number],YES_Writing_FLA[Student Number]),0),MATCH(VLOOKUP(E$7,'Writing Logic'!$J$7:$K$11,2,FALSE)&amp;" - Per "&amp;VLOOKUP($C$4,'Writing Logic'!$G$8:$H$14,2,FALSE),YES_Writing_ELA[#Headers],0)))),"")</f>
        <v/>
      </c>
      <c r="F36" s="138" t="str">
        <f>IFERROR(IF(IF(INDEX(_xlfn.VSTACK(YES_Writing_ELA[#Data],YES_Writing_FLA[#Data]),MATCH($A36,_xlfn.VSTACK(YES_Writing_ELA[Student Number],YES_Writing_FLA[Student Number]),0),MATCH(VLOOKUP(F$7,'Writing Logic'!$J$7:$K$11,2,FALSE)&amp;" - Per "&amp;VLOOKUP($C$4,'Writing Logic'!$G$8:$H$14,2,FALSE),YES_Writing_ELA[#Headers],0))=0,"",INDEX(_xlfn.VSTACK(YES_Writing_ELA[#Data],YES_Writing_FLA[#Data]),MATCH($A36,_xlfn.VSTACK(YES_Writing_ELA[Student Number],YES_Writing_FLA[Student Number]),0),MATCH(VLOOKUP(F$7,'Writing Logic'!$J$7:$K$11,2,FALSE)&amp;" - Per "&amp;VLOOKUP($C$4,'Writing Logic'!$G$8:$H$14,2,FALSE),YES_Writing_ELA[#Headers],0)))="INS",'Writing Logic'!$B$7,IF(INDEX(_xlfn.VSTACK(YES_Writing_ELA[#Data],YES_Writing_FLA[#Data]),MATCH($A36,_xlfn.VSTACK(YES_Writing_ELA[Student Number],YES_Writing_FLA[Student Number]),0),MATCH(VLOOKUP(F$7,'Writing Logic'!$J$7:$K$11,2,FALSE)&amp;" - Per "&amp;VLOOKUP($C$4,'Writing Logic'!$G$8:$H$14,2,FALSE),YES_Writing_ELA[#Headers],0))=0,"",INDEX(_xlfn.VSTACK(YES_Writing_ELA[#Data],YES_Writing_FLA[#Data]),MATCH($A36,_xlfn.VSTACK(YES_Writing_ELA[Student Number],YES_Writing_FLA[Student Number]),0),MATCH(VLOOKUP(F$7,'Writing Logic'!$J$7:$K$11,2,FALSE)&amp;" - Per "&amp;VLOOKUP($C$4,'Writing Logic'!$G$8:$H$14,2,FALSE),YES_Writing_ELA[#Headers],0)))),"")</f>
        <v/>
      </c>
      <c r="G36" s="138" t="str">
        <f>IFERROR(IF(IF(INDEX(_xlfn.VSTACK(YES_Writing_ELA[#Data],YES_Writing_FLA[#Data]),MATCH($A36,_xlfn.VSTACK(YES_Writing_ELA[Student Number],YES_Writing_FLA[Student Number]),0),MATCH(VLOOKUP(G$7,'Writing Logic'!$J$7:$K$11,2,FALSE)&amp;" - Per "&amp;VLOOKUP($C$4,'Writing Logic'!$G$8:$H$14,2,FALSE),YES_Writing_ELA[#Headers],0))=0,"",INDEX(_xlfn.VSTACK(YES_Writing_ELA[#Data],YES_Writing_FLA[#Data]),MATCH($A36,_xlfn.VSTACK(YES_Writing_ELA[Student Number],YES_Writing_FLA[Student Number]),0),MATCH(VLOOKUP(G$7,'Writing Logic'!$J$7:$K$11,2,FALSE)&amp;" - Per "&amp;VLOOKUP($C$4,'Writing Logic'!$G$8:$H$14,2,FALSE),YES_Writing_ELA[#Headers],0)))="INS",'Writing Logic'!$B$7,IF(INDEX(_xlfn.VSTACK(YES_Writing_ELA[#Data],YES_Writing_FLA[#Data]),MATCH($A36,_xlfn.VSTACK(YES_Writing_ELA[Student Number],YES_Writing_FLA[Student Number]),0),MATCH(VLOOKUP(G$7,'Writing Logic'!$J$7:$K$11,2,FALSE)&amp;" - Per "&amp;VLOOKUP($C$4,'Writing Logic'!$G$8:$H$14,2,FALSE),YES_Writing_ELA[#Headers],0))=0,"",INDEX(_xlfn.VSTACK(YES_Writing_ELA[#Data],YES_Writing_FLA[#Data]),MATCH($A36,_xlfn.VSTACK(YES_Writing_ELA[Student Number],YES_Writing_FLA[Student Number]),0),MATCH(VLOOKUP(G$7,'Writing Logic'!$J$7:$K$11,2,FALSE)&amp;" - Per "&amp;VLOOKUP($C$4,'Writing Logic'!$G$8:$H$14,2,FALSE),YES_Writing_ELA[#Headers],0)))),"")</f>
        <v/>
      </c>
      <c r="H36" s="138" t="str">
        <f>IFERROR(IF(IF(INDEX(_xlfn.VSTACK(YES_Writing_ELA[#Data],YES_Writing_FLA[#Data]),MATCH($A36,_xlfn.VSTACK(YES_Writing_ELA[Student Number],YES_Writing_FLA[Student Number]),0),MATCH(VLOOKUP(H$7,'Writing Logic'!$J$7:$K$11,2,FALSE)&amp;" - Per "&amp;VLOOKUP($C$4,'Writing Logic'!$G$8:$H$14,2,FALSE),YES_Writing_ELA[#Headers],0))=0,"",INDEX(_xlfn.VSTACK(YES_Writing_ELA[#Data],YES_Writing_FLA[#Data]),MATCH($A36,_xlfn.VSTACK(YES_Writing_ELA[Student Number],YES_Writing_FLA[Student Number]),0),MATCH(VLOOKUP(H$7,'Writing Logic'!$J$7:$K$11,2,FALSE)&amp;" - Per "&amp;VLOOKUP($C$4,'Writing Logic'!$G$8:$H$14,2,FALSE),YES_Writing_ELA[#Headers],0)))="INS",'Writing Logic'!$B$7,IF(INDEX(_xlfn.VSTACK(YES_Writing_ELA[#Data],YES_Writing_FLA[#Data]),MATCH($A36,_xlfn.VSTACK(YES_Writing_ELA[Student Number],YES_Writing_FLA[Student Number]),0),MATCH(VLOOKUP(H$7,'Writing Logic'!$J$7:$K$11,2,FALSE)&amp;" - Per "&amp;VLOOKUP($C$4,'Writing Logic'!$G$8:$H$14,2,FALSE),YES_Writing_ELA[#Headers],0))=0,"",INDEX(_xlfn.VSTACK(YES_Writing_ELA[#Data],YES_Writing_FLA[#Data]),MATCH($A36,_xlfn.VSTACK(YES_Writing_ELA[Student Number],YES_Writing_FLA[Student Number]),0),MATCH(VLOOKUP(H$7,'Writing Logic'!$J$7:$K$11,2,FALSE)&amp;" - Per "&amp;VLOOKUP($C$4,'Writing Logic'!$G$8:$H$14,2,FALSE),YES_Writing_ELA[#Headers],0)))),"")</f>
        <v/>
      </c>
      <c r="I36" s="136"/>
      <c r="J36"/>
      <c r="K36"/>
      <c r="L36"/>
    </row>
    <row r="37" spans="1:12" s="99" customFormat="1" ht="14.25" customHeight="1" x14ac:dyDescent="0.25">
      <c r="A37" s="137"/>
      <c r="B37" s="137" t="str">
        <f>IFERROR(INDEX(_xlfn.VSTACK(YES_Writing_ELA[#Data], YES_Writing_FLA[#Data]),MATCH($A37,_xlfn.VSTACK(YES_Writing_ELA[Student Number], YES_Writing_FLA[Student Number]),0),MATCH(B$7,YES_Writing_ELA[#Headers],0)),"")</f>
        <v/>
      </c>
      <c r="C37" s="137" t="str">
        <f>IFERROR(INDEX(_xlfn.VSTACK(YES_Writing_ELA[#Data], YES_Writing_FLA[#Data]),MATCH($A37,_xlfn.VSTACK(YES_Writing_ELA[Student Number], YES_Writing_FLA[Student Number]),0),MATCH(C$7,YES_Writing_ELA[#Headers],0)),"")</f>
        <v/>
      </c>
      <c r="D37" s="138" t="str">
        <f>IFERROR(IF(IF(INDEX(_xlfn.VSTACK(YES_Writing_ELA[#Data],YES_Writing_FLA[#Data]),MATCH($A37,_xlfn.VSTACK(YES_Writing_ELA[Student Number],YES_Writing_FLA[Student Number]),0),MATCH(VLOOKUP(D$7,'Writing Logic'!$J$7:$K$11,2,FALSE)&amp;" - Per "&amp;VLOOKUP($C$4,'Writing Logic'!$G$8:$H$14,2,FALSE),YES_Writing_ELA[#Headers],0))=0,"",INDEX(_xlfn.VSTACK(YES_Writing_ELA[#Data],YES_Writing_FLA[#Data]),MATCH($A37,_xlfn.VSTACK(YES_Writing_ELA[Student Number],YES_Writing_FLA[Student Number]),0),MATCH(VLOOKUP(D$7,'Writing Logic'!$J$7:$K$11,2,FALSE)&amp;" - Per "&amp;VLOOKUP($C$4,'Writing Logic'!$G$8:$H$14,2,FALSE),YES_Writing_ELA[#Headers],0)))="INS",'Writing Logic'!$B$7,IF(INDEX(_xlfn.VSTACK(YES_Writing_ELA[#Data],YES_Writing_FLA[#Data]),MATCH($A37,_xlfn.VSTACK(YES_Writing_ELA[Student Number],YES_Writing_FLA[Student Number]),0),MATCH(VLOOKUP(D$7,'Writing Logic'!$J$7:$K$11,2,FALSE)&amp;" - Per "&amp;VLOOKUP($C$4,'Writing Logic'!$G$8:$H$14,2,FALSE),YES_Writing_ELA[#Headers],0))=0,"",INDEX(_xlfn.VSTACK(YES_Writing_ELA[#Data],YES_Writing_FLA[#Data]),MATCH($A37,_xlfn.VSTACK(YES_Writing_ELA[Student Number],YES_Writing_FLA[Student Number]),0),MATCH(VLOOKUP(D$7,'Writing Logic'!$J$7:$K$11,2,FALSE)&amp;" - Per "&amp;VLOOKUP($C$4,'Writing Logic'!$G$8:$H$14,2,FALSE),YES_Writing_ELA[#Headers],0)))),"")</f>
        <v/>
      </c>
      <c r="E37" s="138" t="str">
        <f>IFERROR(IF(IF(INDEX(_xlfn.VSTACK(YES_Writing_ELA[#Data],YES_Writing_FLA[#Data]),MATCH($A37,_xlfn.VSTACK(YES_Writing_ELA[Student Number],YES_Writing_FLA[Student Number]),0),MATCH(VLOOKUP(E$7,'Writing Logic'!$J$7:$K$11,2,FALSE)&amp;" - Per "&amp;VLOOKUP($C$4,'Writing Logic'!$G$8:$H$14,2,FALSE),YES_Writing_ELA[#Headers],0))=0,"",INDEX(_xlfn.VSTACK(YES_Writing_ELA[#Data],YES_Writing_FLA[#Data]),MATCH($A37,_xlfn.VSTACK(YES_Writing_ELA[Student Number],YES_Writing_FLA[Student Number]),0),MATCH(VLOOKUP(E$7,'Writing Logic'!$J$7:$K$11,2,FALSE)&amp;" - Per "&amp;VLOOKUP($C$4,'Writing Logic'!$G$8:$H$14,2,FALSE),YES_Writing_ELA[#Headers],0)))="INS",'Writing Logic'!$B$7,IF(INDEX(_xlfn.VSTACK(YES_Writing_ELA[#Data],YES_Writing_FLA[#Data]),MATCH($A37,_xlfn.VSTACK(YES_Writing_ELA[Student Number],YES_Writing_FLA[Student Number]),0),MATCH(VLOOKUP(E$7,'Writing Logic'!$J$7:$K$11,2,FALSE)&amp;" - Per "&amp;VLOOKUP($C$4,'Writing Logic'!$G$8:$H$14,2,FALSE),YES_Writing_ELA[#Headers],0))=0,"",INDEX(_xlfn.VSTACK(YES_Writing_ELA[#Data],YES_Writing_FLA[#Data]),MATCH($A37,_xlfn.VSTACK(YES_Writing_ELA[Student Number],YES_Writing_FLA[Student Number]),0),MATCH(VLOOKUP(E$7,'Writing Logic'!$J$7:$K$11,2,FALSE)&amp;" - Per "&amp;VLOOKUP($C$4,'Writing Logic'!$G$8:$H$14,2,FALSE),YES_Writing_ELA[#Headers],0)))),"")</f>
        <v/>
      </c>
      <c r="F37" s="138" t="str">
        <f>IFERROR(IF(IF(INDEX(_xlfn.VSTACK(YES_Writing_ELA[#Data],YES_Writing_FLA[#Data]),MATCH($A37,_xlfn.VSTACK(YES_Writing_ELA[Student Number],YES_Writing_FLA[Student Number]),0),MATCH(VLOOKUP(F$7,'Writing Logic'!$J$7:$K$11,2,FALSE)&amp;" - Per "&amp;VLOOKUP($C$4,'Writing Logic'!$G$8:$H$14,2,FALSE),YES_Writing_ELA[#Headers],0))=0,"",INDEX(_xlfn.VSTACK(YES_Writing_ELA[#Data],YES_Writing_FLA[#Data]),MATCH($A37,_xlfn.VSTACK(YES_Writing_ELA[Student Number],YES_Writing_FLA[Student Number]),0),MATCH(VLOOKUP(F$7,'Writing Logic'!$J$7:$K$11,2,FALSE)&amp;" - Per "&amp;VLOOKUP($C$4,'Writing Logic'!$G$8:$H$14,2,FALSE),YES_Writing_ELA[#Headers],0)))="INS",'Writing Logic'!$B$7,IF(INDEX(_xlfn.VSTACK(YES_Writing_ELA[#Data],YES_Writing_FLA[#Data]),MATCH($A37,_xlfn.VSTACK(YES_Writing_ELA[Student Number],YES_Writing_FLA[Student Number]),0),MATCH(VLOOKUP(F$7,'Writing Logic'!$J$7:$K$11,2,FALSE)&amp;" - Per "&amp;VLOOKUP($C$4,'Writing Logic'!$G$8:$H$14,2,FALSE),YES_Writing_ELA[#Headers],0))=0,"",INDEX(_xlfn.VSTACK(YES_Writing_ELA[#Data],YES_Writing_FLA[#Data]),MATCH($A37,_xlfn.VSTACK(YES_Writing_ELA[Student Number],YES_Writing_FLA[Student Number]),0),MATCH(VLOOKUP(F$7,'Writing Logic'!$J$7:$K$11,2,FALSE)&amp;" - Per "&amp;VLOOKUP($C$4,'Writing Logic'!$G$8:$H$14,2,FALSE),YES_Writing_ELA[#Headers],0)))),"")</f>
        <v/>
      </c>
      <c r="G37" s="138" t="str">
        <f>IFERROR(IF(IF(INDEX(_xlfn.VSTACK(YES_Writing_ELA[#Data],YES_Writing_FLA[#Data]),MATCH($A37,_xlfn.VSTACK(YES_Writing_ELA[Student Number],YES_Writing_FLA[Student Number]),0),MATCH(VLOOKUP(G$7,'Writing Logic'!$J$7:$K$11,2,FALSE)&amp;" - Per "&amp;VLOOKUP($C$4,'Writing Logic'!$G$8:$H$14,2,FALSE),YES_Writing_ELA[#Headers],0))=0,"",INDEX(_xlfn.VSTACK(YES_Writing_ELA[#Data],YES_Writing_FLA[#Data]),MATCH($A37,_xlfn.VSTACK(YES_Writing_ELA[Student Number],YES_Writing_FLA[Student Number]),0),MATCH(VLOOKUP(G$7,'Writing Logic'!$J$7:$K$11,2,FALSE)&amp;" - Per "&amp;VLOOKUP($C$4,'Writing Logic'!$G$8:$H$14,2,FALSE),YES_Writing_ELA[#Headers],0)))="INS",'Writing Logic'!$B$7,IF(INDEX(_xlfn.VSTACK(YES_Writing_ELA[#Data],YES_Writing_FLA[#Data]),MATCH($A37,_xlfn.VSTACK(YES_Writing_ELA[Student Number],YES_Writing_FLA[Student Number]),0),MATCH(VLOOKUP(G$7,'Writing Logic'!$J$7:$K$11,2,FALSE)&amp;" - Per "&amp;VLOOKUP($C$4,'Writing Logic'!$G$8:$H$14,2,FALSE),YES_Writing_ELA[#Headers],0))=0,"",INDEX(_xlfn.VSTACK(YES_Writing_ELA[#Data],YES_Writing_FLA[#Data]),MATCH($A37,_xlfn.VSTACK(YES_Writing_ELA[Student Number],YES_Writing_FLA[Student Number]),0),MATCH(VLOOKUP(G$7,'Writing Logic'!$J$7:$K$11,2,FALSE)&amp;" - Per "&amp;VLOOKUP($C$4,'Writing Logic'!$G$8:$H$14,2,FALSE),YES_Writing_ELA[#Headers],0)))),"")</f>
        <v/>
      </c>
      <c r="H37" s="138" t="str">
        <f>IFERROR(IF(IF(INDEX(_xlfn.VSTACK(YES_Writing_ELA[#Data],YES_Writing_FLA[#Data]),MATCH($A37,_xlfn.VSTACK(YES_Writing_ELA[Student Number],YES_Writing_FLA[Student Number]),0),MATCH(VLOOKUP(H$7,'Writing Logic'!$J$7:$K$11,2,FALSE)&amp;" - Per "&amp;VLOOKUP($C$4,'Writing Logic'!$G$8:$H$14,2,FALSE),YES_Writing_ELA[#Headers],0))=0,"",INDEX(_xlfn.VSTACK(YES_Writing_ELA[#Data],YES_Writing_FLA[#Data]),MATCH($A37,_xlfn.VSTACK(YES_Writing_ELA[Student Number],YES_Writing_FLA[Student Number]),0),MATCH(VLOOKUP(H$7,'Writing Logic'!$J$7:$K$11,2,FALSE)&amp;" - Per "&amp;VLOOKUP($C$4,'Writing Logic'!$G$8:$H$14,2,FALSE),YES_Writing_ELA[#Headers],0)))="INS",'Writing Logic'!$B$7,IF(INDEX(_xlfn.VSTACK(YES_Writing_ELA[#Data],YES_Writing_FLA[#Data]),MATCH($A37,_xlfn.VSTACK(YES_Writing_ELA[Student Number],YES_Writing_FLA[Student Number]),0),MATCH(VLOOKUP(H$7,'Writing Logic'!$J$7:$K$11,2,FALSE)&amp;" - Per "&amp;VLOOKUP($C$4,'Writing Logic'!$G$8:$H$14,2,FALSE),YES_Writing_ELA[#Headers],0))=0,"",INDEX(_xlfn.VSTACK(YES_Writing_ELA[#Data],YES_Writing_FLA[#Data]),MATCH($A37,_xlfn.VSTACK(YES_Writing_ELA[Student Number],YES_Writing_FLA[Student Number]),0),MATCH(VLOOKUP(H$7,'Writing Logic'!$J$7:$K$11,2,FALSE)&amp;" - Per "&amp;VLOOKUP($C$4,'Writing Logic'!$G$8:$H$14,2,FALSE),YES_Writing_ELA[#Headers],0)))),"")</f>
        <v/>
      </c>
      <c r="I37" s="136"/>
      <c r="J37"/>
      <c r="K37"/>
      <c r="L37"/>
    </row>
    <row r="38" spans="1:12" ht="14.25" customHeight="1" x14ac:dyDescent="0.25">
      <c r="A38" s="137"/>
      <c r="B38" s="137" t="str">
        <f>IFERROR(INDEX(_xlfn.VSTACK(YES_Writing_ELA[#Data], YES_Writing_FLA[#Data]),MATCH($A38,_xlfn.VSTACK(YES_Writing_ELA[Student Number], YES_Writing_FLA[Student Number]),0),MATCH(B$7,YES_Writing_ELA[#Headers],0)),"")</f>
        <v/>
      </c>
      <c r="C38" s="137" t="str">
        <f>IFERROR(INDEX(_xlfn.VSTACK(YES_Writing_ELA[#Data], YES_Writing_FLA[#Data]),MATCH($A38,_xlfn.VSTACK(YES_Writing_ELA[Student Number], YES_Writing_FLA[Student Number]),0),MATCH(C$7,YES_Writing_ELA[#Headers],0)),"")</f>
        <v/>
      </c>
      <c r="D38" s="138" t="str">
        <f>IFERROR(IF(IF(INDEX(_xlfn.VSTACK(YES_Writing_ELA[#Data],YES_Writing_FLA[#Data]),MATCH($A38,_xlfn.VSTACK(YES_Writing_ELA[Student Number],YES_Writing_FLA[Student Number]),0),MATCH(VLOOKUP(D$7,'Writing Logic'!$J$7:$K$11,2,FALSE)&amp;" - Per "&amp;VLOOKUP($C$4,'Writing Logic'!$G$8:$H$14,2,FALSE),YES_Writing_ELA[#Headers],0))=0,"",INDEX(_xlfn.VSTACK(YES_Writing_ELA[#Data],YES_Writing_FLA[#Data]),MATCH($A38,_xlfn.VSTACK(YES_Writing_ELA[Student Number],YES_Writing_FLA[Student Number]),0),MATCH(VLOOKUP(D$7,'Writing Logic'!$J$7:$K$11,2,FALSE)&amp;" - Per "&amp;VLOOKUP($C$4,'Writing Logic'!$G$8:$H$14,2,FALSE),YES_Writing_ELA[#Headers],0)))="INS",'Writing Logic'!$B$7,IF(INDEX(_xlfn.VSTACK(YES_Writing_ELA[#Data],YES_Writing_FLA[#Data]),MATCH($A38,_xlfn.VSTACK(YES_Writing_ELA[Student Number],YES_Writing_FLA[Student Number]),0),MATCH(VLOOKUP(D$7,'Writing Logic'!$J$7:$K$11,2,FALSE)&amp;" - Per "&amp;VLOOKUP($C$4,'Writing Logic'!$G$8:$H$14,2,FALSE),YES_Writing_ELA[#Headers],0))=0,"",INDEX(_xlfn.VSTACK(YES_Writing_ELA[#Data],YES_Writing_FLA[#Data]),MATCH($A38,_xlfn.VSTACK(YES_Writing_ELA[Student Number],YES_Writing_FLA[Student Number]),0),MATCH(VLOOKUP(D$7,'Writing Logic'!$J$7:$K$11,2,FALSE)&amp;" - Per "&amp;VLOOKUP($C$4,'Writing Logic'!$G$8:$H$14,2,FALSE),YES_Writing_ELA[#Headers],0)))),"")</f>
        <v/>
      </c>
      <c r="E38" s="138" t="str">
        <f>IFERROR(IF(IF(INDEX(_xlfn.VSTACK(YES_Writing_ELA[#Data],YES_Writing_FLA[#Data]),MATCH($A38,_xlfn.VSTACK(YES_Writing_ELA[Student Number],YES_Writing_FLA[Student Number]),0),MATCH(VLOOKUP(E$7,'Writing Logic'!$J$7:$K$11,2,FALSE)&amp;" - Per "&amp;VLOOKUP($C$4,'Writing Logic'!$G$8:$H$14,2,FALSE),YES_Writing_ELA[#Headers],0))=0,"",INDEX(_xlfn.VSTACK(YES_Writing_ELA[#Data],YES_Writing_FLA[#Data]),MATCH($A38,_xlfn.VSTACK(YES_Writing_ELA[Student Number],YES_Writing_FLA[Student Number]),0),MATCH(VLOOKUP(E$7,'Writing Logic'!$J$7:$K$11,2,FALSE)&amp;" - Per "&amp;VLOOKUP($C$4,'Writing Logic'!$G$8:$H$14,2,FALSE),YES_Writing_ELA[#Headers],0)))="INS",'Writing Logic'!$B$7,IF(INDEX(_xlfn.VSTACK(YES_Writing_ELA[#Data],YES_Writing_FLA[#Data]),MATCH($A38,_xlfn.VSTACK(YES_Writing_ELA[Student Number],YES_Writing_FLA[Student Number]),0),MATCH(VLOOKUP(E$7,'Writing Logic'!$J$7:$K$11,2,FALSE)&amp;" - Per "&amp;VLOOKUP($C$4,'Writing Logic'!$G$8:$H$14,2,FALSE),YES_Writing_ELA[#Headers],0))=0,"",INDEX(_xlfn.VSTACK(YES_Writing_ELA[#Data],YES_Writing_FLA[#Data]),MATCH($A38,_xlfn.VSTACK(YES_Writing_ELA[Student Number],YES_Writing_FLA[Student Number]),0),MATCH(VLOOKUP(E$7,'Writing Logic'!$J$7:$K$11,2,FALSE)&amp;" - Per "&amp;VLOOKUP($C$4,'Writing Logic'!$G$8:$H$14,2,FALSE),YES_Writing_ELA[#Headers],0)))),"")</f>
        <v/>
      </c>
      <c r="F38" s="138" t="str">
        <f>IFERROR(IF(IF(INDEX(_xlfn.VSTACK(YES_Writing_ELA[#Data],YES_Writing_FLA[#Data]),MATCH($A38,_xlfn.VSTACK(YES_Writing_ELA[Student Number],YES_Writing_FLA[Student Number]),0),MATCH(VLOOKUP(F$7,'Writing Logic'!$J$7:$K$11,2,FALSE)&amp;" - Per "&amp;VLOOKUP($C$4,'Writing Logic'!$G$8:$H$14,2,FALSE),YES_Writing_ELA[#Headers],0))=0,"",INDEX(_xlfn.VSTACK(YES_Writing_ELA[#Data],YES_Writing_FLA[#Data]),MATCH($A38,_xlfn.VSTACK(YES_Writing_ELA[Student Number],YES_Writing_FLA[Student Number]),0),MATCH(VLOOKUP(F$7,'Writing Logic'!$J$7:$K$11,2,FALSE)&amp;" - Per "&amp;VLOOKUP($C$4,'Writing Logic'!$G$8:$H$14,2,FALSE),YES_Writing_ELA[#Headers],0)))="INS",'Writing Logic'!$B$7,IF(INDEX(_xlfn.VSTACK(YES_Writing_ELA[#Data],YES_Writing_FLA[#Data]),MATCH($A38,_xlfn.VSTACK(YES_Writing_ELA[Student Number],YES_Writing_FLA[Student Number]),0),MATCH(VLOOKUP(F$7,'Writing Logic'!$J$7:$K$11,2,FALSE)&amp;" - Per "&amp;VLOOKUP($C$4,'Writing Logic'!$G$8:$H$14,2,FALSE),YES_Writing_ELA[#Headers],0))=0,"",INDEX(_xlfn.VSTACK(YES_Writing_ELA[#Data],YES_Writing_FLA[#Data]),MATCH($A38,_xlfn.VSTACK(YES_Writing_ELA[Student Number],YES_Writing_FLA[Student Number]),0),MATCH(VLOOKUP(F$7,'Writing Logic'!$J$7:$K$11,2,FALSE)&amp;" - Per "&amp;VLOOKUP($C$4,'Writing Logic'!$G$8:$H$14,2,FALSE),YES_Writing_ELA[#Headers],0)))),"")</f>
        <v/>
      </c>
      <c r="G38" s="138" t="str">
        <f>IFERROR(IF(IF(INDEX(_xlfn.VSTACK(YES_Writing_ELA[#Data],YES_Writing_FLA[#Data]),MATCH($A38,_xlfn.VSTACK(YES_Writing_ELA[Student Number],YES_Writing_FLA[Student Number]),0),MATCH(VLOOKUP(G$7,'Writing Logic'!$J$7:$K$11,2,FALSE)&amp;" - Per "&amp;VLOOKUP($C$4,'Writing Logic'!$G$8:$H$14,2,FALSE),YES_Writing_ELA[#Headers],0))=0,"",INDEX(_xlfn.VSTACK(YES_Writing_ELA[#Data],YES_Writing_FLA[#Data]),MATCH($A38,_xlfn.VSTACK(YES_Writing_ELA[Student Number],YES_Writing_FLA[Student Number]),0),MATCH(VLOOKUP(G$7,'Writing Logic'!$J$7:$K$11,2,FALSE)&amp;" - Per "&amp;VLOOKUP($C$4,'Writing Logic'!$G$8:$H$14,2,FALSE),YES_Writing_ELA[#Headers],0)))="INS",'Writing Logic'!$B$7,IF(INDEX(_xlfn.VSTACK(YES_Writing_ELA[#Data],YES_Writing_FLA[#Data]),MATCH($A38,_xlfn.VSTACK(YES_Writing_ELA[Student Number],YES_Writing_FLA[Student Number]),0),MATCH(VLOOKUP(G$7,'Writing Logic'!$J$7:$K$11,2,FALSE)&amp;" - Per "&amp;VLOOKUP($C$4,'Writing Logic'!$G$8:$H$14,2,FALSE),YES_Writing_ELA[#Headers],0))=0,"",INDEX(_xlfn.VSTACK(YES_Writing_ELA[#Data],YES_Writing_FLA[#Data]),MATCH($A38,_xlfn.VSTACK(YES_Writing_ELA[Student Number],YES_Writing_FLA[Student Number]),0),MATCH(VLOOKUP(G$7,'Writing Logic'!$J$7:$K$11,2,FALSE)&amp;" - Per "&amp;VLOOKUP($C$4,'Writing Logic'!$G$8:$H$14,2,FALSE),YES_Writing_ELA[#Headers],0)))),"")</f>
        <v/>
      </c>
      <c r="H38" s="138" t="str">
        <f>IFERROR(IF(IF(INDEX(_xlfn.VSTACK(YES_Writing_ELA[#Data],YES_Writing_FLA[#Data]),MATCH($A38,_xlfn.VSTACK(YES_Writing_ELA[Student Number],YES_Writing_FLA[Student Number]),0),MATCH(VLOOKUP(H$7,'Writing Logic'!$J$7:$K$11,2,FALSE)&amp;" - Per "&amp;VLOOKUP($C$4,'Writing Logic'!$G$8:$H$14,2,FALSE),YES_Writing_ELA[#Headers],0))=0,"",INDEX(_xlfn.VSTACK(YES_Writing_ELA[#Data],YES_Writing_FLA[#Data]),MATCH($A38,_xlfn.VSTACK(YES_Writing_ELA[Student Number],YES_Writing_FLA[Student Number]),0),MATCH(VLOOKUP(H$7,'Writing Logic'!$J$7:$K$11,2,FALSE)&amp;" - Per "&amp;VLOOKUP($C$4,'Writing Logic'!$G$8:$H$14,2,FALSE),YES_Writing_ELA[#Headers],0)))="INS",'Writing Logic'!$B$7,IF(INDEX(_xlfn.VSTACK(YES_Writing_ELA[#Data],YES_Writing_FLA[#Data]),MATCH($A38,_xlfn.VSTACK(YES_Writing_ELA[Student Number],YES_Writing_FLA[Student Number]),0),MATCH(VLOOKUP(H$7,'Writing Logic'!$J$7:$K$11,2,FALSE)&amp;" - Per "&amp;VLOOKUP($C$4,'Writing Logic'!$G$8:$H$14,2,FALSE),YES_Writing_ELA[#Headers],0))=0,"",INDEX(_xlfn.VSTACK(YES_Writing_ELA[#Data],YES_Writing_FLA[#Data]),MATCH($A38,_xlfn.VSTACK(YES_Writing_ELA[Student Number],YES_Writing_FLA[Student Number]),0),MATCH(VLOOKUP(H$7,'Writing Logic'!$J$7:$K$11,2,FALSE)&amp;" - Per "&amp;VLOOKUP($C$4,'Writing Logic'!$G$8:$H$14,2,FALSE),YES_Writing_ELA[#Headers],0)))),"")</f>
        <v/>
      </c>
    </row>
    <row r="39" spans="1:12" ht="14.25" customHeight="1" x14ac:dyDescent="0.25">
      <c r="A39" s="137"/>
      <c r="B39" s="137" t="str">
        <f>IFERROR(INDEX(_xlfn.VSTACK(YES_Writing_ELA[#Data], YES_Writing_FLA[#Data]),MATCH($A39,_xlfn.VSTACK(YES_Writing_ELA[Student Number], YES_Writing_FLA[Student Number]),0),MATCH(B$7,YES_Writing_ELA[#Headers],0)),"")</f>
        <v/>
      </c>
      <c r="C39" s="137" t="str">
        <f>IFERROR(INDEX(_xlfn.VSTACK(YES_Writing_ELA[#Data], YES_Writing_FLA[#Data]),MATCH($A39,_xlfn.VSTACK(YES_Writing_ELA[Student Number], YES_Writing_FLA[Student Number]),0),MATCH(C$7,YES_Writing_ELA[#Headers],0)),"")</f>
        <v/>
      </c>
      <c r="D39" s="138" t="str">
        <f>IFERROR(IF(IF(INDEX(_xlfn.VSTACK(YES_Writing_ELA[#Data],YES_Writing_FLA[#Data]),MATCH($A39,_xlfn.VSTACK(YES_Writing_ELA[Student Number],YES_Writing_FLA[Student Number]),0),MATCH(VLOOKUP(D$7,'Writing Logic'!$J$7:$K$11,2,FALSE)&amp;" - Per "&amp;VLOOKUP($C$4,'Writing Logic'!$G$8:$H$14,2,FALSE),YES_Writing_ELA[#Headers],0))=0,"",INDEX(_xlfn.VSTACK(YES_Writing_ELA[#Data],YES_Writing_FLA[#Data]),MATCH($A39,_xlfn.VSTACK(YES_Writing_ELA[Student Number],YES_Writing_FLA[Student Number]),0),MATCH(VLOOKUP(D$7,'Writing Logic'!$J$7:$K$11,2,FALSE)&amp;" - Per "&amp;VLOOKUP($C$4,'Writing Logic'!$G$8:$H$14,2,FALSE),YES_Writing_ELA[#Headers],0)))="INS",'Writing Logic'!$B$7,IF(INDEX(_xlfn.VSTACK(YES_Writing_ELA[#Data],YES_Writing_FLA[#Data]),MATCH($A39,_xlfn.VSTACK(YES_Writing_ELA[Student Number],YES_Writing_FLA[Student Number]),0),MATCH(VLOOKUP(D$7,'Writing Logic'!$J$7:$K$11,2,FALSE)&amp;" - Per "&amp;VLOOKUP($C$4,'Writing Logic'!$G$8:$H$14,2,FALSE),YES_Writing_ELA[#Headers],0))=0,"",INDEX(_xlfn.VSTACK(YES_Writing_ELA[#Data],YES_Writing_FLA[#Data]),MATCH($A39,_xlfn.VSTACK(YES_Writing_ELA[Student Number],YES_Writing_FLA[Student Number]),0),MATCH(VLOOKUP(D$7,'Writing Logic'!$J$7:$K$11,2,FALSE)&amp;" - Per "&amp;VLOOKUP($C$4,'Writing Logic'!$G$8:$H$14,2,FALSE),YES_Writing_ELA[#Headers],0)))),"")</f>
        <v/>
      </c>
      <c r="E39" s="138" t="str">
        <f>IFERROR(IF(IF(INDEX(_xlfn.VSTACK(YES_Writing_ELA[#Data],YES_Writing_FLA[#Data]),MATCH($A39,_xlfn.VSTACK(YES_Writing_ELA[Student Number],YES_Writing_FLA[Student Number]),0),MATCH(VLOOKUP(E$7,'Writing Logic'!$J$7:$K$11,2,FALSE)&amp;" - Per "&amp;VLOOKUP($C$4,'Writing Logic'!$G$8:$H$14,2,FALSE),YES_Writing_ELA[#Headers],0))=0,"",INDEX(_xlfn.VSTACK(YES_Writing_ELA[#Data],YES_Writing_FLA[#Data]),MATCH($A39,_xlfn.VSTACK(YES_Writing_ELA[Student Number],YES_Writing_FLA[Student Number]),0),MATCH(VLOOKUP(E$7,'Writing Logic'!$J$7:$K$11,2,FALSE)&amp;" - Per "&amp;VLOOKUP($C$4,'Writing Logic'!$G$8:$H$14,2,FALSE),YES_Writing_ELA[#Headers],0)))="INS",'Writing Logic'!$B$7,IF(INDEX(_xlfn.VSTACK(YES_Writing_ELA[#Data],YES_Writing_FLA[#Data]),MATCH($A39,_xlfn.VSTACK(YES_Writing_ELA[Student Number],YES_Writing_FLA[Student Number]),0),MATCH(VLOOKUP(E$7,'Writing Logic'!$J$7:$K$11,2,FALSE)&amp;" - Per "&amp;VLOOKUP($C$4,'Writing Logic'!$G$8:$H$14,2,FALSE),YES_Writing_ELA[#Headers],0))=0,"",INDEX(_xlfn.VSTACK(YES_Writing_ELA[#Data],YES_Writing_FLA[#Data]),MATCH($A39,_xlfn.VSTACK(YES_Writing_ELA[Student Number],YES_Writing_FLA[Student Number]),0),MATCH(VLOOKUP(E$7,'Writing Logic'!$J$7:$K$11,2,FALSE)&amp;" - Per "&amp;VLOOKUP($C$4,'Writing Logic'!$G$8:$H$14,2,FALSE),YES_Writing_ELA[#Headers],0)))),"")</f>
        <v/>
      </c>
      <c r="F39" s="138" t="str">
        <f>IFERROR(IF(IF(INDEX(_xlfn.VSTACK(YES_Writing_ELA[#Data],YES_Writing_FLA[#Data]),MATCH($A39,_xlfn.VSTACK(YES_Writing_ELA[Student Number],YES_Writing_FLA[Student Number]),0),MATCH(VLOOKUP(F$7,'Writing Logic'!$J$7:$K$11,2,FALSE)&amp;" - Per "&amp;VLOOKUP($C$4,'Writing Logic'!$G$8:$H$14,2,FALSE),YES_Writing_ELA[#Headers],0))=0,"",INDEX(_xlfn.VSTACK(YES_Writing_ELA[#Data],YES_Writing_FLA[#Data]),MATCH($A39,_xlfn.VSTACK(YES_Writing_ELA[Student Number],YES_Writing_FLA[Student Number]),0),MATCH(VLOOKUP(F$7,'Writing Logic'!$J$7:$K$11,2,FALSE)&amp;" - Per "&amp;VLOOKUP($C$4,'Writing Logic'!$G$8:$H$14,2,FALSE),YES_Writing_ELA[#Headers],0)))="INS",'Writing Logic'!$B$7,IF(INDEX(_xlfn.VSTACK(YES_Writing_ELA[#Data],YES_Writing_FLA[#Data]),MATCH($A39,_xlfn.VSTACK(YES_Writing_ELA[Student Number],YES_Writing_FLA[Student Number]),0),MATCH(VLOOKUP(F$7,'Writing Logic'!$J$7:$K$11,2,FALSE)&amp;" - Per "&amp;VLOOKUP($C$4,'Writing Logic'!$G$8:$H$14,2,FALSE),YES_Writing_ELA[#Headers],0))=0,"",INDEX(_xlfn.VSTACK(YES_Writing_ELA[#Data],YES_Writing_FLA[#Data]),MATCH($A39,_xlfn.VSTACK(YES_Writing_ELA[Student Number],YES_Writing_FLA[Student Number]),0),MATCH(VLOOKUP(F$7,'Writing Logic'!$J$7:$K$11,2,FALSE)&amp;" - Per "&amp;VLOOKUP($C$4,'Writing Logic'!$G$8:$H$14,2,FALSE),YES_Writing_ELA[#Headers],0)))),"")</f>
        <v/>
      </c>
      <c r="G39" s="138" t="str">
        <f>IFERROR(IF(IF(INDEX(_xlfn.VSTACK(YES_Writing_ELA[#Data],YES_Writing_FLA[#Data]),MATCH($A39,_xlfn.VSTACK(YES_Writing_ELA[Student Number],YES_Writing_FLA[Student Number]),0),MATCH(VLOOKUP(G$7,'Writing Logic'!$J$7:$K$11,2,FALSE)&amp;" - Per "&amp;VLOOKUP($C$4,'Writing Logic'!$G$8:$H$14,2,FALSE),YES_Writing_ELA[#Headers],0))=0,"",INDEX(_xlfn.VSTACK(YES_Writing_ELA[#Data],YES_Writing_FLA[#Data]),MATCH($A39,_xlfn.VSTACK(YES_Writing_ELA[Student Number],YES_Writing_FLA[Student Number]),0),MATCH(VLOOKUP(G$7,'Writing Logic'!$J$7:$K$11,2,FALSE)&amp;" - Per "&amp;VLOOKUP($C$4,'Writing Logic'!$G$8:$H$14,2,FALSE),YES_Writing_ELA[#Headers],0)))="INS",'Writing Logic'!$B$7,IF(INDEX(_xlfn.VSTACK(YES_Writing_ELA[#Data],YES_Writing_FLA[#Data]),MATCH($A39,_xlfn.VSTACK(YES_Writing_ELA[Student Number],YES_Writing_FLA[Student Number]),0),MATCH(VLOOKUP(G$7,'Writing Logic'!$J$7:$K$11,2,FALSE)&amp;" - Per "&amp;VLOOKUP($C$4,'Writing Logic'!$G$8:$H$14,2,FALSE),YES_Writing_ELA[#Headers],0))=0,"",INDEX(_xlfn.VSTACK(YES_Writing_ELA[#Data],YES_Writing_FLA[#Data]),MATCH($A39,_xlfn.VSTACK(YES_Writing_ELA[Student Number],YES_Writing_FLA[Student Number]),0),MATCH(VLOOKUP(G$7,'Writing Logic'!$J$7:$K$11,2,FALSE)&amp;" - Per "&amp;VLOOKUP($C$4,'Writing Logic'!$G$8:$H$14,2,FALSE),YES_Writing_ELA[#Headers],0)))),"")</f>
        <v/>
      </c>
      <c r="H39" s="138" t="str">
        <f>IFERROR(IF(IF(INDEX(_xlfn.VSTACK(YES_Writing_ELA[#Data],YES_Writing_FLA[#Data]),MATCH($A39,_xlfn.VSTACK(YES_Writing_ELA[Student Number],YES_Writing_FLA[Student Number]),0),MATCH(VLOOKUP(H$7,'Writing Logic'!$J$7:$K$11,2,FALSE)&amp;" - Per "&amp;VLOOKUP($C$4,'Writing Logic'!$G$8:$H$14,2,FALSE),YES_Writing_ELA[#Headers],0))=0,"",INDEX(_xlfn.VSTACK(YES_Writing_ELA[#Data],YES_Writing_FLA[#Data]),MATCH($A39,_xlfn.VSTACK(YES_Writing_ELA[Student Number],YES_Writing_FLA[Student Number]),0),MATCH(VLOOKUP(H$7,'Writing Logic'!$J$7:$K$11,2,FALSE)&amp;" - Per "&amp;VLOOKUP($C$4,'Writing Logic'!$G$8:$H$14,2,FALSE),YES_Writing_ELA[#Headers],0)))="INS",'Writing Logic'!$B$7,IF(INDEX(_xlfn.VSTACK(YES_Writing_ELA[#Data],YES_Writing_FLA[#Data]),MATCH($A39,_xlfn.VSTACK(YES_Writing_ELA[Student Number],YES_Writing_FLA[Student Number]),0),MATCH(VLOOKUP(H$7,'Writing Logic'!$J$7:$K$11,2,FALSE)&amp;" - Per "&amp;VLOOKUP($C$4,'Writing Logic'!$G$8:$H$14,2,FALSE),YES_Writing_ELA[#Headers],0))=0,"",INDEX(_xlfn.VSTACK(YES_Writing_ELA[#Data],YES_Writing_FLA[#Data]),MATCH($A39,_xlfn.VSTACK(YES_Writing_ELA[Student Number],YES_Writing_FLA[Student Number]),0),MATCH(VLOOKUP(H$7,'Writing Logic'!$J$7:$K$11,2,FALSE)&amp;" - Per "&amp;VLOOKUP($C$4,'Writing Logic'!$G$8:$H$14,2,FALSE),YES_Writing_ELA[#Headers],0)))),"")</f>
        <v/>
      </c>
    </row>
    <row r="40" spans="1:12" ht="14.25" customHeight="1" x14ac:dyDescent="0.25">
      <c r="A40" s="137"/>
      <c r="B40" s="137" t="str">
        <f>IFERROR(INDEX(_xlfn.VSTACK(YES_Writing_ELA[#Data], YES_Writing_FLA[#Data]),MATCH($A40,_xlfn.VSTACK(YES_Writing_ELA[Student Number], YES_Writing_FLA[Student Number]),0),MATCH(B$7,YES_Writing_ELA[#Headers],0)),"")</f>
        <v/>
      </c>
      <c r="C40" s="137" t="str">
        <f>IFERROR(INDEX(_xlfn.VSTACK(YES_Writing_ELA[#Data], YES_Writing_FLA[#Data]),MATCH($A40,_xlfn.VSTACK(YES_Writing_ELA[Student Number], YES_Writing_FLA[Student Number]),0),MATCH(C$7,YES_Writing_ELA[#Headers],0)),"")</f>
        <v/>
      </c>
      <c r="D40" s="138" t="str">
        <f>IFERROR(IF(IF(INDEX(_xlfn.VSTACK(YES_Writing_ELA[#Data],YES_Writing_FLA[#Data]),MATCH($A40,_xlfn.VSTACK(YES_Writing_ELA[Student Number],YES_Writing_FLA[Student Number]),0),MATCH(VLOOKUP(D$7,'Writing Logic'!$J$7:$K$11,2,FALSE)&amp;" - Per "&amp;VLOOKUP($C$4,'Writing Logic'!$G$8:$H$14,2,FALSE),YES_Writing_ELA[#Headers],0))=0,"",INDEX(_xlfn.VSTACK(YES_Writing_ELA[#Data],YES_Writing_FLA[#Data]),MATCH($A40,_xlfn.VSTACK(YES_Writing_ELA[Student Number],YES_Writing_FLA[Student Number]),0),MATCH(VLOOKUP(D$7,'Writing Logic'!$J$7:$K$11,2,FALSE)&amp;" - Per "&amp;VLOOKUP($C$4,'Writing Logic'!$G$8:$H$14,2,FALSE),YES_Writing_ELA[#Headers],0)))="INS",'Writing Logic'!$B$7,IF(INDEX(_xlfn.VSTACK(YES_Writing_ELA[#Data],YES_Writing_FLA[#Data]),MATCH($A40,_xlfn.VSTACK(YES_Writing_ELA[Student Number],YES_Writing_FLA[Student Number]),0),MATCH(VLOOKUP(D$7,'Writing Logic'!$J$7:$K$11,2,FALSE)&amp;" - Per "&amp;VLOOKUP($C$4,'Writing Logic'!$G$8:$H$14,2,FALSE),YES_Writing_ELA[#Headers],0))=0,"",INDEX(_xlfn.VSTACK(YES_Writing_ELA[#Data],YES_Writing_FLA[#Data]),MATCH($A40,_xlfn.VSTACK(YES_Writing_ELA[Student Number],YES_Writing_FLA[Student Number]),0),MATCH(VLOOKUP(D$7,'Writing Logic'!$J$7:$K$11,2,FALSE)&amp;" - Per "&amp;VLOOKUP($C$4,'Writing Logic'!$G$8:$H$14,2,FALSE),YES_Writing_ELA[#Headers],0)))),"")</f>
        <v/>
      </c>
      <c r="E40" s="138" t="str">
        <f>IFERROR(IF(IF(INDEX(_xlfn.VSTACK(YES_Writing_ELA[#Data],YES_Writing_FLA[#Data]),MATCH($A40,_xlfn.VSTACK(YES_Writing_ELA[Student Number],YES_Writing_FLA[Student Number]),0),MATCH(VLOOKUP(E$7,'Writing Logic'!$J$7:$K$11,2,FALSE)&amp;" - Per "&amp;VLOOKUP($C$4,'Writing Logic'!$G$8:$H$14,2,FALSE),YES_Writing_ELA[#Headers],0))=0,"",INDEX(_xlfn.VSTACK(YES_Writing_ELA[#Data],YES_Writing_FLA[#Data]),MATCH($A40,_xlfn.VSTACK(YES_Writing_ELA[Student Number],YES_Writing_FLA[Student Number]),0),MATCH(VLOOKUP(E$7,'Writing Logic'!$J$7:$K$11,2,FALSE)&amp;" - Per "&amp;VLOOKUP($C$4,'Writing Logic'!$G$8:$H$14,2,FALSE),YES_Writing_ELA[#Headers],0)))="INS",'Writing Logic'!$B$7,IF(INDEX(_xlfn.VSTACK(YES_Writing_ELA[#Data],YES_Writing_FLA[#Data]),MATCH($A40,_xlfn.VSTACK(YES_Writing_ELA[Student Number],YES_Writing_FLA[Student Number]),0),MATCH(VLOOKUP(E$7,'Writing Logic'!$J$7:$K$11,2,FALSE)&amp;" - Per "&amp;VLOOKUP($C$4,'Writing Logic'!$G$8:$H$14,2,FALSE),YES_Writing_ELA[#Headers],0))=0,"",INDEX(_xlfn.VSTACK(YES_Writing_ELA[#Data],YES_Writing_FLA[#Data]),MATCH($A40,_xlfn.VSTACK(YES_Writing_ELA[Student Number],YES_Writing_FLA[Student Number]),0),MATCH(VLOOKUP(E$7,'Writing Logic'!$J$7:$K$11,2,FALSE)&amp;" - Per "&amp;VLOOKUP($C$4,'Writing Logic'!$G$8:$H$14,2,FALSE),YES_Writing_ELA[#Headers],0)))),"")</f>
        <v/>
      </c>
      <c r="F40" s="138" t="str">
        <f>IFERROR(IF(IF(INDEX(_xlfn.VSTACK(YES_Writing_ELA[#Data],YES_Writing_FLA[#Data]),MATCH($A40,_xlfn.VSTACK(YES_Writing_ELA[Student Number],YES_Writing_FLA[Student Number]),0),MATCH(VLOOKUP(F$7,'Writing Logic'!$J$7:$K$11,2,FALSE)&amp;" - Per "&amp;VLOOKUP($C$4,'Writing Logic'!$G$8:$H$14,2,FALSE),YES_Writing_ELA[#Headers],0))=0,"",INDEX(_xlfn.VSTACK(YES_Writing_ELA[#Data],YES_Writing_FLA[#Data]),MATCH($A40,_xlfn.VSTACK(YES_Writing_ELA[Student Number],YES_Writing_FLA[Student Number]),0),MATCH(VLOOKUP(F$7,'Writing Logic'!$J$7:$K$11,2,FALSE)&amp;" - Per "&amp;VLOOKUP($C$4,'Writing Logic'!$G$8:$H$14,2,FALSE),YES_Writing_ELA[#Headers],0)))="INS",'Writing Logic'!$B$7,IF(INDEX(_xlfn.VSTACK(YES_Writing_ELA[#Data],YES_Writing_FLA[#Data]),MATCH($A40,_xlfn.VSTACK(YES_Writing_ELA[Student Number],YES_Writing_FLA[Student Number]),0),MATCH(VLOOKUP(F$7,'Writing Logic'!$J$7:$K$11,2,FALSE)&amp;" - Per "&amp;VLOOKUP($C$4,'Writing Logic'!$G$8:$H$14,2,FALSE),YES_Writing_ELA[#Headers],0))=0,"",INDEX(_xlfn.VSTACK(YES_Writing_ELA[#Data],YES_Writing_FLA[#Data]),MATCH($A40,_xlfn.VSTACK(YES_Writing_ELA[Student Number],YES_Writing_FLA[Student Number]),0),MATCH(VLOOKUP(F$7,'Writing Logic'!$J$7:$K$11,2,FALSE)&amp;" - Per "&amp;VLOOKUP($C$4,'Writing Logic'!$G$8:$H$14,2,FALSE),YES_Writing_ELA[#Headers],0)))),"")</f>
        <v/>
      </c>
      <c r="G40" s="138" t="str">
        <f>IFERROR(IF(IF(INDEX(_xlfn.VSTACK(YES_Writing_ELA[#Data],YES_Writing_FLA[#Data]),MATCH($A40,_xlfn.VSTACK(YES_Writing_ELA[Student Number],YES_Writing_FLA[Student Number]),0),MATCH(VLOOKUP(G$7,'Writing Logic'!$J$7:$K$11,2,FALSE)&amp;" - Per "&amp;VLOOKUP($C$4,'Writing Logic'!$G$8:$H$14,2,FALSE),YES_Writing_ELA[#Headers],0))=0,"",INDEX(_xlfn.VSTACK(YES_Writing_ELA[#Data],YES_Writing_FLA[#Data]),MATCH($A40,_xlfn.VSTACK(YES_Writing_ELA[Student Number],YES_Writing_FLA[Student Number]),0),MATCH(VLOOKUP(G$7,'Writing Logic'!$J$7:$K$11,2,FALSE)&amp;" - Per "&amp;VLOOKUP($C$4,'Writing Logic'!$G$8:$H$14,2,FALSE),YES_Writing_ELA[#Headers],0)))="INS",'Writing Logic'!$B$7,IF(INDEX(_xlfn.VSTACK(YES_Writing_ELA[#Data],YES_Writing_FLA[#Data]),MATCH($A40,_xlfn.VSTACK(YES_Writing_ELA[Student Number],YES_Writing_FLA[Student Number]),0),MATCH(VLOOKUP(G$7,'Writing Logic'!$J$7:$K$11,2,FALSE)&amp;" - Per "&amp;VLOOKUP($C$4,'Writing Logic'!$G$8:$H$14,2,FALSE),YES_Writing_ELA[#Headers],0))=0,"",INDEX(_xlfn.VSTACK(YES_Writing_ELA[#Data],YES_Writing_FLA[#Data]),MATCH($A40,_xlfn.VSTACK(YES_Writing_ELA[Student Number],YES_Writing_FLA[Student Number]),0),MATCH(VLOOKUP(G$7,'Writing Logic'!$J$7:$K$11,2,FALSE)&amp;" - Per "&amp;VLOOKUP($C$4,'Writing Logic'!$G$8:$H$14,2,FALSE),YES_Writing_ELA[#Headers],0)))),"")</f>
        <v/>
      </c>
      <c r="H40" s="138" t="str">
        <f>IFERROR(IF(IF(INDEX(_xlfn.VSTACK(YES_Writing_ELA[#Data],YES_Writing_FLA[#Data]),MATCH($A40,_xlfn.VSTACK(YES_Writing_ELA[Student Number],YES_Writing_FLA[Student Number]),0),MATCH(VLOOKUP(H$7,'Writing Logic'!$J$7:$K$11,2,FALSE)&amp;" - Per "&amp;VLOOKUP($C$4,'Writing Logic'!$G$8:$H$14,2,FALSE),YES_Writing_ELA[#Headers],0))=0,"",INDEX(_xlfn.VSTACK(YES_Writing_ELA[#Data],YES_Writing_FLA[#Data]),MATCH($A40,_xlfn.VSTACK(YES_Writing_ELA[Student Number],YES_Writing_FLA[Student Number]),0),MATCH(VLOOKUP(H$7,'Writing Logic'!$J$7:$K$11,2,FALSE)&amp;" - Per "&amp;VLOOKUP($C$4,'Writing Logic'!$G$8:$H$14,2,FALSE),YES_Writing_ELA[#Headers],0)))="INS",'Writing Logic'!$B$7,IF(INDEX(_xlfn.VSTACK(YES_Writing_ELA[#Data],YES_Writing_FLA[#Data]),MATCH($A40,_xlfn.VSTACK(YES_Writing_ELA[Student Number],YES_Writing_FLA[Student Number]),0),MATCH(VLOOKUP(H$7,'Writing Logic'!$J$7:$K$11,2,FALSE)&amp;" - Per "&amp;VLOOKUP($C$4,'Writing Logic'!$G$8:$H$14,2,FALSE),YES_Writing_ELA[#Headers],0))=0,"",INDEX(_xlfn.VSTACK(YES_Writing_ELA[#Data],YES_Writing_FLA[#Data]),MATCH($A40,_xlfn.VSTACK(YES_Writing_ELA[Student Number],YES_Writing_FLA[Student Number]),0),MATCH(VLOOKUP(H$7,'Writing Logic'!$J$7:$K$11,2,FALSE)&amp;" - Per "&amp;VLOOKUP($C$4,'Writing Logic'!$G$8:$H$14,2,FALSE),YES_Writing_ELA[#Headers],0)))),"")</f>
        <v/>
      </c>
    </row>
    <row r="41" spans="1:12" ht="14.25" customHeight="1" x14ac:dyDescent="0.25">
      <c r="A41" s="137"/>
      <c r="B41" s="137" t="str">
        <f>IFERROR(INDEX(_xlfn.VSTACK(YES_Writing_ELA[#Data], YES_Writing_FLA[#Data]),MATCH($A41,_xlfn.VSTACK(YES_Writing_ELA[Student Number], YES_Writing_FLA[Student Number]),0),MATCH(B$7,YES_Writing_ELA[#Headers],0)),"")</f>
        <v/>
      </c>
      <c r="C41" s="137" t="str">
        <f>IFERROR(INDEX(_xlfn.VSTACK(YES_Writing_ELA[#Data], YES_Writing_FLA[#Data]),MATCH($A41,_xlfn.VSTACK(YES_Writing_ELA[Student Number], YES_Writing_FLA[Student Number]),0),MATCH(C$7,YES_Writing_ELA[#Headers],0)),"")</f>
        <v/>
      </c>
      <c r="D41" s="138" t="str">
        <f>IFERROR(IF(IF(INDEX(_xlfn.VSTACK(YES_Writing_ELA[#Data],YES_Writing_FLA[#Data]),MATCH($A41,_xlfn.VSTACK(YES_Writing_ELA[Student Number],YES_Writing_FLA[Student Number]),0),MATCH(VLOOKUP(D$7,'Writing Logic'!$J$7:$K$11,2,FALSE)&amp;" - Per "&amp;VLOOKUP($C$4,'Writing Logic'!$G$8:$H$14,2,FALSE),YES_Writing_ELA[#Headers],0))=0,"",INDEX(_xlfn.VSTACK(YES_Writing_ELA[#Data],YES_Writing_FLA[#Data]),MATCH($A41,_xlfn.VSTACK(YES_Writing_ELA[Student Number],YES_Writing_FLA[Student Number]),0),MATCH(VLOOKUP(D$7,'Writing Logic'!$J$7:$K$11,2,FALSE)&amp;" - Per "&amp;VLOOKUP($C$4,'Writing Logic'!$G$8:$H$14,2,FALSE),YES_Writing_ELA[#Headers],0)))="INS",'Writing Logic'!$B$7,IF(INDEX(_xlfn.VSTACK(YES_Writing_ELA[#Data],YES_Writing_FLA[#Data]),MATCH($A41,_xlfn.VSTACK(YES_Writing_ELA[Student Number],YES_Writing_FLA[Student Number]),0),MATCH(VLOOKUP(D$7,'Writing Logic'!$J$7:$K$11,2,FALSE)&amp;" - Per "&amp;VLOOKUP($C$4,'Writing Logic'!$G$8:$H$14,2,FALSE),YES_Writing_ELA[#Headers],0))=0,"",INDEX(_xlfn.VSTACK(YES_Writing_ELA[#Data],YES_Writing_FLA[#Data]),MATCH($A41,_xlfn.VSTACK(YES_Writing_ELA[Student Number],YES_Writing_FLA[Student Number]),0),MATCH(VLOOKUP(D$7,'Writing Logic'!$J$7:$K$11,2,FALSE)&amp;" - Per "&amp;VLOOKUP($C$4,'Writing Logic'!$G$8:$H$14,2,FALSE),YES_Writing_ELA[#Headers],0)))),"")</f>
        <v/>
      </c>
      <c r="E41" s="138" t="str">
        <f>IFERROR(IF(IF(INDEX(_xlfn.VSTACK(YES_Writing_ELA[#Data],YES_Writing_FLA[#Data]),MATCH($A41,_xlfn.VSTACK(YES_Writing_ELA[Student Number],YES_Writing_FLA[Student Number]),0),MATCH(VLOOKUP(E$7,'Writing Logic'!$J$7:$K$11,2,FALSE)&amp;" - Per "&amp;VLOOKUP($C$4,'Writing Logic'!$G$8:$H$14,2,FALSE),YES_Writing_ELA[#Headers],0))=0,"",INDEX(_xlfn.VSTACK(YES_Writing_ELA[#Data],YES_Writing_FLA[#Data]),MATCH($A41,_xlfn.VSTACK(YES_Writing_ELA[Student Number],YES_Writing_FLA[Student Number]),0),MATCH(VLOOKUP(E$7,'Writing Logic'!$J$7:$K$11,2,FALSE)&amp;" - Per "&amp;VLOOKUP($C$4,'Writing Logic'!$G$8:$H$14,2,FALSE),YES_Writing_ELA[#Headers],0)))="INS",'Writing Logic'!$B$7,IF(INDEX(_xlfn.VSTACK(YES_Writing_ELA[#Data],YES_Writing_FLA[#Data]),MATCH($A41,_xlfn.VSTACK(YES_Writing_ELA[Student Number],YES_Writing_FLA[Student Number]),0),MATCH(VLOOKUP(E$7,'Writing Logic'!$J$7:$K$11,2,FALSE)&amp;" - Per "&amp;VLOOKUP($C$4,'Writing Logic'!$G$8:$H$14,2,FALSE),YES_Writing_ELA[#Headers],0))=0,"",INDEX(_xlfn.VSTACK(YES_Writing_ELA[#Data],YES_Writing_FLA[#Data]),MATCH($A41,_xlfn.VSTACK(YES_Writing_ELA[Student Number],YES_Writing_FLA[Student Number]),0),MATCH(VLOOKUP(E$7,'Writing Logic'!$J$7:$K$11,2,FALSE)&amp;" - Per "&amp;VLOOKUP($C$4,'Writing Logic'!$G$8:$H$14,2,FALSE),YES_Writing_ELA[#Headers],0)))),"")</f>
        <v/>
      </c>
      <c r="F41" s="138" t="str">
        <f>IFERROR(IF(IF(INDEX(_xlfn.VSTACK(YES_Writing_ELA[#Data],YES_Writing_FLA[#Data]),MATCH($A41,_xlfn.VSTACK(YES_Writing_ELA[Student Number],YES_Writing_FLA[Student Number]),0),MATCH(VLOOKUP(F$7,'Writing Logic'!$J$7:$K$11,2,FALSE)&amp;" - Per "&amp;VLOOKUP($C$4,'Writing Logic'!$G$8:$H$14,2,FALSE),YES_Writing_ELA[#Headers],0))=0,"",INDEX(_xlfn.VSTACK(YES_Writing_ELA[#Data],YES_Writing_FLA[#Data]),MATCH($A41,_xlfn.VSTACK(YES_Writing_ELA[Student Number],YES_Writing_FLA[Student Number]),0),MATCH(VLOOKUP(F$7,'Writing Logic'!$J$7:$K$11,2,FALSE)&amp;" - Per "&amp;VLOOKUP($C$4,'Writing Logic'!$G$8:$H$14,2,FALSE),YES_Writing_ELA[#Headers],0)))="INS",'Writing Logic'!$B$7,IF(INDEX(_xlfn.VSTACK(YES_Writing_ELA[#Data],YES_Writing_FLA[#Data]),MATCH($A41,_xlfn.VSTACK(YES_Writing_ELA[Student Number],YES_Writing_FLA[Student Number]),0),MATCH(VLOOKUP(F$7,'Writing Logic'!$J$7:$K$11,2,FALSE)&amp;" - Per "&amp;VLOOKUP($C$4,'Writing Logic'!$G$8:$H$14,2,FALSE),YES_Writing_ELA[#Headers],0))=0,"",INDEX(_xlfn.VSTACK(YES_Writing_ELA[#Data],YES_Writing_FLA[#Data]),MATCH($A41,_xlfn.VSTACK(YES_Writing_ELA[Student Number],YES_Writing_FLA[Student Number]),0),MATCH(VLOOKUP(F$7,'Writing Logic'!$J$7:$K$11,2,FALSE)&amp;" - Per "&amp;VLOOKUP($C$4,'Writing Logic'!$G$8:$H$14,2,FALSE),YES_Writing_ELA[#Headers],0)))),"")</f>
        <v/>
      </c>
      <c r="G41" s="138" t="str">
        <f>IFERROR(IF(IF(INDEX(_xlfn.VSTACK(YES_Writing_ELA[#Data],YES_Writing_FLA[#Data]),MATCH($A41,_xlfn.VSTACK(YES_Writing_ELA[Student Number],YES_Writing_FLA[Student Number]),0),MATCH(VLOOKUP(G$7,'Writing Logic'!$J$7:$K$11,2,FALSE)&amp;" - Per "&amp;VLOOKUP($C$4,'Writing Logic'!$G$8:$H$14,2,FALSE),YES_Writing_ELA[#Headers],0))=0,"",INDEX(_xlfn.VSTACK(YES_Writing_ELA[#Data],YES_Writing_FLA[#Data]),MATCH($A41,_xlfn.VSTACK(YES_Writing_ELA[Student Number],YES_Writing_FLA[Student Number]),0),MATCH(VLOOKUP(G$7,'Writing Logic'!$J$7:$K$11,2,FALSE)&amp;" - Per "&amp;VLOOKUP($C$4,'Writing Logic'!$G$8:$H$14,2,FALSE),YES_Writing_ELA[#Headers],0)))="INS",'Writing Logic'!$B$7,IF(INDEX(_xlfn.VSTACK(YES_Writing_ELA[#Data],YES_Writing_FLA[#Data]),MATCH($A41,_xlfn.VSTACK(YES_Writing_ELA[Student Number],YES_Writing_FLA[Student Number]),0),MATCH(VLOOKUP(G$7,'Writing Logic'!$J$7:$K$11,2,FALSE)&amp;" - Per "&amp;VLOOKUP($C$4,'Writing Logic'!$G$8:$H$14,2,FALSE),YES_Writing_ELA[#Headers],0))=0,"",INDEX(_xlfn.VSTACK(YES_Writing_ELA[#Data],YES_Writing_FLA[#Data]),MATCH($A41,_xlfn.VSTACK(YES_Writing_ELA[Student Number],YES_Writing_FLA[Student Number]),0),MATCH(VLOOKUP(G$7,'Writing Logic'!$J$7:$K$11,2,FALSE)&amp;" - Per "&amp;VLOOKUP($C$4,'Writing Logic'!$G$8:$H$14,2,FALSE),YES_Writing_ELA[#Headers],0)))),"")</f>
        <v/>
      </c>
      <c r="H41" s="138" t="str">
        <f>IFERROR(IF(IF(INDEX(_xlfn.VSTACK(YES_Writing_ELA[#Data],YES_Writing_FLA[#Data]),MATCH($A41,_xlfn.VSTACK(YES_Writing_ELA[Student Number],YES_Writing_FLA[Student Number]),0),MATCH(VLOOKUP(H$7,'Writing Logic'!$J$7:$K$11,2,FALSE)&amp;" - Per "&amp;VLOOKUP($C$4,'Writing Logic'!$G$8:$H$14,2,FALSE),YES_Writing_ELA[#Headers],0))=0,"",INDEX(_xlfn.VSTACK(YES_Writing_ELA[#Data],YES_Writing_FLA[#Data]),MATCH($A41,_xlfn.VSTACK(YES_Writing_ELA[Student Number],YES_Writing_FLA[Student Number]),0),MATCH(VLOOKUP(H$7,'Writing Logic'!$J$7:$K$11,2,FALSE)&amp;" - Per "&amp;VLOOKUP($C$4,'Writing Logic'!$G$8:$H$14,2,FALSE),YES_Writing_ELA[#Headers],0)))="INS",'Writing Logic'!$B$7,IF(INDEX(_xlfn.VSTACK(YES_Writing_ELA[#Data],YES_Writing_FLA[#Data]),MATCH($A41,_xlfn.VSTACK(YES_Writing_ELA[Student Number],YES_Writing_FLA[Student Number]),0),MATCH(VLOOKUP(H$7,'Writing Logic'!$J$7:$K$11,2,FALSE)&amp;" - Per "&amp;VLOOKUP($C$4,'Writing Logic'!$G$8:$H$14,2,FALSE),YES_Writing_ELA[#Headers],0))=0,"",INDEX(_xlfn.VSTACK(YES_Writing_ELA[#Data],YES_Writing_FLA[#Data]),MATCH($A41,_xlfn.VSTACK(YES_Writing_ELA[Student Number],YES_Writing_FLA[Student Number]),0),MATCH(VLOOKUP(H$7,'Writing Logic'!$J$7:$K$11,2,FALSE)&amp;" - Per "&amp;VLOOKUP($C$4,'Writing Logic'!$G$8:$H$14,2,FALSE),YES_Writing_ELA[#Headers],0)))),"")</f>
        <v/>
      </c>
    </row>
    <row r="42" spans="1:12" ht="14.25" customHeight="1" x14ac:dyDescent="0.25">
      <c r="A42" s="137"/>
      <c r="B42" s="137" t="str">
        <f>IFERROR(INDEX(_xlfn.VSTACK(YES_Writing_ELA[#Data], YES_Writing_FLA[#Data]),MATCH($A42,_xlfn.VSTACK(YES_Writing_ELA[Student Number], YES_Writing_FLA[Student Number]),0),MATCH(B$7,YES_Writing_ELA[#Headers],0)),"")</f>
        <v/>
      </c>
      <c r="C42" s="137" t="str">
        <f>IFERROR(INDEX(_xlfn.VSTACK(YES_Writing_ELA[#Data], YES_Writing_FLA[#Data]),MATCH($A42,_xlfn.VSTACK(YES_Writing_ELA[Student Number], YES_Writing_FLA[Student Number]),0),MATCH(C$7,YES_Writing_ELA[#Headers],0)),"")</f>
        <v/>
      </c>
      <c r="D42" s="138" t="str">
        <f>IFERROR(IF(IF(INDEX(_xlfn.VSTACK(YES_Writing_ELA[#Data],YES_Writing_FLA[#Data]),MATCH($A42,_xlfn.VSTACK(YES_Writing_ELA[Student Number],YES_Writing_FLA[Student Number]),0),MATCH(VLOOKUP(D$7,'Writing Logic'!$J$7:$K$11,2,FALSE)&amp;" - Per "&amp;VLOOKUP($C$4,'Writing Logic'!$G$8:$H$14,2,FALSE),YES_Writing_ELA[#Headers],0))=0,"",INDEX(_xlfn.VSTACK(YES_Writing_ELA[#Data],YES_Writing_FLA[#Data]),MATCH($A42,_xlfn.VSTACK(YES_Writing_ELA[Student Number],YES_Writing_FLA[Student Number]),0),MATCH(VLOOKUP(D$7,'Writing Logic'!$J$7:$K$11,2,FALSE)&amp;" - Per "&amp;VLOOKUP($C$4,'Writing Logic'!$G$8:$H$14,2,FALSE),YES_Writing_ELA[#Headers],0)))="INS",'Writing Logic'!$B$7,IF(INDEX(_xlfn.VSTACK(YES_Writing_ELA[#Data],YES_Writing_FLA[#Data]),MATCH($A42,_xlfn.VSTACK(YES_Writing_ELA[Student Number],YES_Writing_FLA[Student Number]),0),MATCH(VLOOKUP(D$7,'Writing Logic'!$J$7:$K$11,2,FALSE)&amp;" - Per "&amp;VLOOKUP($C$4,'Writing Logic'!$G$8:$H$14,2,FALSE),YES_Writing_ELA[#Headers],0))=0,"",INDEX(_xlfn.VSTACK(YES_Writing_ELA[#Data],YES_Writing_FLA[#Data]),MATCH($A42,_xlfn.VSTACK(YES_Writing_ELA[Student Number],YES_Writing_FLA[Student Number]),0),MATCH(VLOOKUP(D$7,'Writing Logic'!$J$7:$K$11,2,FALSE)&amp;" - Per "&amp;VLOOKUP($C$4,'Writing Logic'!$G$8:$H$14,2,FALSE),YES_Writing_ELA[#Headers],0)))),"")</f>
        <v/>
      </c>
      <c r="E42" s="138" t="str">
        <f>IFERROR(IF(IF(INDEX(_xlfn.VSTACK(YES_Writing_ELA[#Data],YES_Writing_FLA[#Data]),MATCH($A42,_xlfn.VSTACK(YES_Writing_ELA[Student Number],YES_Writing_FLA[Student Number]),0),MATCH(VLOOKUP(E$7,'Writing Logic'!$J$7:$K$11,2,FALSE)&amp;" - Per "&amp;VLOOKUP($C$4,'Writing Logic'!$G$8:$H$14,2,FALSE),YES_Writing_ELA[#Headers],0))=0,"",INDEX(_xlfn.VSTACK(YES_Writing_ELA[#Data],YES_Writing_FLA[#Data]),MATCH($A42,_xlfn.VSTACK(YES_Writing_ELA[Student Number],YES_Writing_FLA[Student Number]),0),MATCH(VLOOKUP(E$7,'Writing Logic'!$J$7:$K$11,2,FALSE)&amp;" - Per "&amp;VLOOKUP($C$4,'Writing Logic'!$G$8:$H$14,2,FALSE),YES_Writing_ELA[#Headers],0)))="INS",'Writing Logic'!$B$7,IF(INDEX(_xlfn.VSTACK(YES_Writing_ELA[#Data],YES_Writing_FLA[#Data]),MATCH($A42,_xlfn.VSTACK(YES_Writing_ELA[Student Number],YES_Writing_FLA[Student Number]),0),MATCH(VLOOKUP(E$7,'Writing Logic'!$J$7:$K$11,2,FALSE)&amp;" - Per "&amp;VLOOKUP($C$4,'Writing Logic'!$G$8:$H$14,2,FALSE),YES_Writing_ELA[#Headers],0))=0,"",INDEX(_xlfn.VSTACK(YES_Writing_ELA[#Data],YES_Writing_FLA[#Data]),MATCH($A42,_xlfn.VSTACK(YES_Writing_ELA[Student Number],YES_Writing_FLA[Student Number]),0),MATCH(VLOOKUP(E$7,'Writing Logic'!$J$7:$K$11,2,FALSE)&amp;" - Per "&amp;VLOOKUP($C$4,'Writing Logic'!$G$8:$H$14,2,FALSE),YES_Writing_ELA[#Headers],0)))),"")</f>
        <v/>
      </c>
      <c r="F42" s="138" t="str">
        <f>IFERROR(IF(IF(INDEX(_xlfn.VSTACK(YES_Writing_ELA[#Data],YES_Writing_FLA[#Data]),MATCH($A42,_xlfn.VSTACK(YES_Writing_ELA[Student Number],YES_Writing_FLA[Student Number]),0),MATCH(VLOOKUP(F$7,'Writing Logic'!$J$7:$K$11,2,FALSE)&amp;" - Per "&amp;VLOOKUP($C$4,'Writing Logic'!$G$8:$H$14,2,FALSE),YES_Writing_ELA[#Headers],0))=0,"",INDEX(_xlfn.VSTACK(YES_Writing_ELA[#Data],YES_Writing_FLA[#Data]),MATCH($A42,_xlfn.VSTACK(YES_Writing_ELA[Student Number],YES_Writing_FLA[Student Number]),0),MATCH(VLOOKUP(F$7,'Writing Logic'!$J$7:$K$11,2,FALSE)&amp;" - Per "&amp;VLOOKUP($C$4,'Writing Logic'!$G$8:$H$14,2,FALSE),YES_Writing_ELA[#Headers],0)))="INS",'Writing Logic'!$B$7,IF(INDEX(_xlfn.VSTACK(YES_Writing_ELA[#Data],YES_Writing_FLA[#Data]),MATCH($A42,_xlfn.VSTACK(YES_Writing_ELA[Student Number],YES_Writing_FLA[Student Number]),0),MATCH(VLOOKUP(F$7,'Writing Logic'!$J$7:$K$11,2,FALSE)&amp;" - Per "&amp;VLOOKUP($C$4,'Writing Logic'!$G$8:$H$14,2,FALSE),YES_Writing_ELA[#Headers],0))=0,"",INDEX(_xlfn.VSTACK(YES_Writing_ELA[#Data],YES_Writing_FLA[#Data]),MATCH($A42,_xlfn.VSTACK(YES_Writing_ELA[Student Number],YES_Writing_FLA[Student Number]),0),MATCH(VLOOKUP(F$7,'Writing Logic'!$J$7:$K$11,2,FALSE)&amp;" - Per "&amp;VLOOKUP($C$4,'Writing Logic'!$G$8:$H$14,2,FALSE),YES_Writing_ELA[#Headers],0)))),"")</f>
        <v/>
      </c>
      <c r="G42" s="138" t="str">
        <f>IFERROR(IF(IF(INDEX(_xlfn.VSTACK(YES_Writing_ELA[#Data],YES_Writing_FLA[#Data]),MATCH($A42,_xlfn.VSTACK(YES_Writing_ELA[Student Number],YES_Writing_FLA[Student Number]),0),MATCH(VLOOKUP(G$7,'Writing Logic'!$J$7:$K$11,2,FALSE)&amp;" - Per "&amp;VLOOKUP($C$4,'Writing Logic'!$G$8:$H$14,2,FALSE),YES_Writing_ELA[#Headers],0))=0,"",INDEX(_xlfn.VSTACK(YES_Writing_ELA[#Data],YES_Writing_FLA[#Data]),MATCH($A42,_xlfn.VSTACK(YES_Writing_ELA[Student Number],YES_Writing_FLA[Student Number]),0),MATCH(VLOOKUP(G$7,'Writing Logic'!$J$7:$K$11,2,FALSE)&amp;" - Per "&amp;VLOOKUP($C$4,'Writing Logic'!$G$8:$H$14,2,FALSE),YES_Writing_ELA[#Headers],0)))="INS",'Writing Logic'!$B$7,IF(INDEX(_xlfn.VSTACK(YES_Writing_ELA[#Data],YES_Writing_FLA[#Data]),MATCH($A42,_xlfn.VSTACK(YES_Writing_ELA[Student Number],YES_Writing_FLA[Student Number]),0),MATCH(VLOOKUP(G$7,'Writing Logic'!$J$7:$K$11,2,FALSE)&amp;" - Per "&amp;VLOOKUP($C$4,'Writing Logic'!$G$8:$H$14,2,FALSE),YES_Writing_ELA[#Headers],0))=0,"",INDEX(_xlfn.VSTACK(YES_Writing_ELA[#Data],YES_Writing_FLA[#Data]),MATCH($A42,_xlfn.VSTACK(YES_Writing_ELA[Student Number],YES_Writing_FLA[Student Number]),0),MATCH(VLOOKUP(G$7,'Writing Logic'!$J$7:$K$11,2,FALSE)&amp;" - Per "&amp;VLOOKUP($C$4,'Writing Logic'!$G$8:$H$14,2,FALSE),YES_Writing_ELA[#Headers],0)))),"")</f>
        <v/>
      </c>
      <c r="H42" s="138" t="str">
        <f>IFERROR(IF(IF(INDEX(_xlfn.VSTACK(YES_Writing_ELA[#Data],YES_Writing_FLA[#Data]),MATCH($A42,_xlfn.VSTACK(YES_Writing_ELA[Student Number],YES_Writing_FLA[Student Number]),0),MATCH(VLOOKUP(H$7,'Writing Logic'!$J$7:$K$11,2,FALSE)&amp;" - Per "&amp;VLOOKUP($C$4,'Writing Logic'!$G$8:$H$14,2,FALSE),YES_Writing_ELA[#Headers],0))=0,"",INDEX(_xlfn.VSTACK(YES_Writing_ELA[#Data],YES_Writing_FLA[#Data]),MATCH($A42,_xlfn.VSTACK(YES_Writing_ELA[Student Number],YES_Writing_FLA[Student Number]),0),MATCH(VLOOKUP(H$7,'Writing Logic'!$J$7:$K$11,2,FALSE)&amp;" - Per "&amp;VLOOKUP($C$4,'Writing Logic'!$G$8:$H$14,2,FALSE),YES_Writing_ELA[#Headers],0)))="INS",'Writing Logic'!$B$7,IF(INDEX(_xlfn.VSTACK(YES_Writing_ELA[#Data],YES_Writing_FLA[#Data]),MATCH($A42,_xlfn.VSTACK(YES_Writing_ELA[Student Number],YES_Writing_FLA[Student Number]),0),MATCH(VLOOKUP(H$7,'Writing Logic'!$J$7:$K$11,2,FALSE)&amp;" - Per "&amp;VLOOKUP($C$4,'Writing Logic'!$G$8:$H$14,2,FALSE),YES_Writing_ELA[#Headers],0))=0,"",INDEX(_xlfn.VSTACK(YES_Writing_ELA[#Data],YES_Writing_FLA[#Data]),MATCH($A42,_xlfn.VSTACK(YES_Writing_ELA[Student Number],YES_Writing_FLA[Student Number]),0),MATCH(VLOOKUP(H$7,'Writing Logic'!$J$7:$K$11,2,FALSE)&amp;" - Per "&amp;VLOOKUP($C$4,'Writing Logic'!$G$8:$H$14,2,FALSE),YES_Writing_ELA[#Headers],0)))),"")</f>
        <v/>
      </c>
    </row>
    <row r="43" spans="1:12" ht="14.25" customHeight="1" x14ac:dyDescent="0.25">
      <c r="A43" s="137"/>
      <c r="B43" s="137" t="str">
        <f>IFERROR(INDEX(_xlfn.VSTACK(YES_Writing_ELA[#Data], YES_Writing_FLA[#Data]),MATCH($A43,_xlfn.VSTACK(YES_Writing_ELA[Student Number], YES_Writing_FLA[Student Number]),0),MATCH(B$7,YES_Writing_ELA[#Headers],0)),"")</f>
        <v/>
      </c>
      <c r="C43" s="137" t="str">
        <f>IFERROR(INDEX(_xlfn.VSTACK(YES_Writing_ELA[#Data], YES_Writing_FLA[#Data]),MATCH($A43,_xlfn.VSTACK(YES_Writing_ELA[Student Number], YES_Writing_FLA[Student Number]),0),MATCH(C$7,YES_Writing_ELA[#Headers],0)),"")</f>
        <v/>
      </c>
      <c r="D43" s="138" t="str">
        <f>IFERROR(IF(IF(INDEX(_xlfn.VSTACK(YES_Writing_ELA[#Data],YES_Writing_FLA[#Data]),MATCH($A43,_xlfn.VSTACK(YES_Writing_ELA[Student Number],YES_Writing_FLA[Student Number]),0),MATCH(VLOOKUP(D$7,'Writing Logic'!$J$7:$K$11,2,FALSE)&amp;" - Per "&amp;VLOOKUP($C$4,'Writing Logic'!$G$8:$H$14,2,FALSE),YES_Writing_ELA[#Headers],0))=0,"",INDEX(_xlfn.VSTACK(YES_Writing_ELA[#Data],YES_Writing_FLA[#Data]),MATCH($A43,_xlfn.VSTACK(YES_Writing_ELA[Student Number],YES_Writing_FLA[Student Number]),0),MATCH(VLOOKUP(D$7,'Writing Logic'!$J$7:$K$11,2,FALSE)&amp;" - Per "&amp;VLOOKUP($C$4,'Writing Logic'!$G$8:$H$14,2,FALSE),YES_Writing_ELA[#Headers],0)))="INS",'Writing Logic'!$B$7,IF(INDEX(_xlfn.VSTACK(YES_Writing_ELA[#Data],YES_Writing_FLA[#Data]),MATCH($A43,_xlfn.VSTACK(YES_Writing_ELA[Student Number],YES_Writing_FLA[Student Number]),0),MATCH(VLOOKUP(D$7,'Writing Logic'!$J$7:$K$11,2,FALSE)&amp;" - Per "&amp;VLOOKUP($C$4,'Writing Logic'!$G$8:$H$14,2,FALSE),YES_Writing_ELA[#Headers],0))=0,"",INDEX(_xlfn.VSTACK(YES_Writing_ELA[#Data],YES_Writing_FLA[#Data]),MATCH($A43,_xlfn.VSTACK(YES_Writing_ELA[Student Number],YES_Writing_FLA[Student Number]),0),MATCH(VLOOKUP(D$7,'Writing Logic'!$J$7:$K$11,2,FALSE)&amp;" - Per "&amp;VLOOKUP($C$4,'Writing Logic'!$G$8:$H$14,2,FALSE),YES_Writing_ELA[#Headers],0)))),"")</f>
        <v/>
      </c>
      <c r="E43" s="138" t="str">
        <f>IFERROR(IF(IF(INDEX(_xlfn.VSTACK(YES_Writing_ELA[#Data],YES_Writing_FLA[#Data]),MATCH($A43,_xlfn.VSTACK(YES_Writing_ELA[Student Number],YES_Writing_FLA[Student Number]),0),MATCH(VLOOKUP(E$7,'Writing Logic'!$J$7:$K$11,2,FALSE)&amp;" - Per "&amp;VLOOKUP($C$4,'Writing Logic'!$G$8:$H$14,2,FALSE),YES_Writing_ELA[#Headers],0))=0,"",INDEX(_xlfn.VSTACK(YES_Writing_ELA[#Data],YES_Writing_FLA[#Data]),MATCH($A43,_xlfn.VSTACK(YES_Writing_ELA[Student Number],YES_Writing_FLA[Student Number]),0),MATCH(VLOOKUP(E$7,'Writing Logic'!$J$7:$K$11,2,FALSE)&amp;" - Per "&amp;VLOOKUP($C$4,'Writing Logic'!$G$8:$H$14,2,FALSE),YES_Writing_ELA[#Headers],0)))="INS",'Writing Logic'!$B$7,IF(INDEX(_xlfn.VSTACK(YES_Writing_ELA[#Data],YES_Writing_FLA[#Data]),MATCH($A43,_xlfn.VSTACK(YES_Writing_ELA[Student Number],YES_Writing_FLA[Student Number]),0),MATCH(VLOOKUP(E$7,'Writing Logic'!$J$7:$K$11,2,FALSE)&amp;" - Per "&amp;VLOOKUP($C$4,'Writing Logic'!$G$8:$H$14,2,FALSE),YES_Writing_ELA[#Headers],0))=0,"",INDEX(_xlfn.VSTACK(YES_Writing_ELA[#Data],YES_Writing_FLA[#Data]),MATCH($A43,_xlfn.VSTACK(YES_Writing_ELA[Student Number],YES_Writing_FLA[Student Number]),0),MATCH(VLOOKUP(E$7,'Writing Logic'!$J$7:$K$11,2,FALSE)&amp;" - Per "&amp;VLOOKUP($C$4,'Writing Logic'!$G$8:$H$14,2,FALSE),YES_Writing_ELA[#Headers],0)))),"")</f>
        <v/>
      </c>
      <c r="F43" s="138" t="str">
        <f>IFERROR(IF(IF(INDEX(_xlfn.VSTACK(YES_Writing_ELA[#Data],YES_Writing_FLA[#Data]),MATCH($A43,_xlfn.VSTACK(YES_Writing_ELA[Student Number],YES_Writing_FLA[Student Number]),0),MATCH(VLOOKUP(F$7,'Writing Logic'!$J$7:$K$11,2,FALSE)&amp;" - Per "&amp;VLOOKUP($C$4,'Writing Logic'!$G$8:$H$14,2,FALSE),YES_Writing_ELA[#Headers],0))=0,"",INDEX(_xlfn.VSTACK(YES_Writing_ELA[#Data],YES_Writing_FLA[#Data]),MATCH($A43,_xlfn.VSTACK(YES_Writing_ELA[Student Number],YES_Writing_FLA[Student Number]),0),MATCH(VLOOKUP(F$7,'Writing Logic'!$J$7:$K$11,2,FALSE)&amp;" - Per "&amp;VLOOKUP($C$4,'Writing Logic'!$G$8:$H$14,2,FALSE),YES_Writing_ELA[#Headers],0)))="INS",'Writing Logic'!$B$7,IF(INDEX(_xlfn.VSTACK(YES_Writing_ELA[#Data],YES_Writing_FLA[#Data]),MATCH($A43,_xlfn.VSTACK(YES_Writing_ELA[Student Number],YES_Writing_FLA[Student Number]),0),MATCH(VLOOKUP(F$7,'Writing Logic'!$J$7:$K$11,2,FALSE)&amp;" - Per "&amp;VLOOKUP($C$4,'Writing Logic'!$G$8:$H$14,2,FALSE),YES_Writing_ELA[#Headers],0))=0,"",INDEX(_xlfn.VSTACK(YES_Writing_ELA[#Data],YES_Writing_FLA[#Data]),MATCH($A43,_xlfn.VSTACK(YES_Writing_ELA[Student Number],YES_Writing_FLA[Student Number]),0),MATCH(VLOOKUP(F$7,'Writing Logic'!$J$7:$K$11,2,FALSE)&amp;" - Per "&amp;VLOOKUP($C$4,'Writing Logic'!$G$8:$H$14,2,FALSE),YES_Writing_ELA[#Headers],0)))),"")</f>
        <v/>
      </c>
      <c r="G43" s="138" t="str">
        <f>IFERROR(IF(IF(INDEX(_xlfn.VSTACK(YES_Writing_ELA[#Data],YES_Writing_FLA[#Data]),MATCH($A43,_xlfn.VSTACK(YES_Writing_ELA[Student Number],YES_Writing_FLA[Student Number]),0),MATCH(VLOOKUP(G$7,'Writing Logic'!$J$7:$K$11,2,FALSE)&amp;" - Per "&amp;VLOOKUP($C$4,'Writing Logic'!$G$8:$H$14,2,FALSE),YES_Writing_ELA[#Headers],0))=0,"",INDEX(_xlfn.VSTACK(YES_Writing_ELA[#Data],YES_Writing_FLA[#Data]),MATCH($A43,_xlfn.VSTACK(YES_Writing_ELA[Student Number],YES_Writing_FLA[Student Number]),0),MATCH(VLOOKUP(G$7,'Writing Logic'!$J$7:$K$11,2,FALSE)&amp;" - Per "&amp;VLOOKUP($C$4,'Writing Logic'!$G$8:$H$14,2,FALSE),YES_Writing_ELA[#Headers],0)))="INS",'Writing Logic'!$B$7,IF(INDEX(_xlfn.VSTACK(YES_Writing_ELA[#Data],YES_Writing_FLA[#Data]),MATCH($A43,_xlfn.VSTACK(YES_Writing_ELA[Student Number],YES_Writing_FLA[Student Number]),0),MATCH(VLOOKUP(G$7,'Writing Logic'!$J$7:$K$11,2,FALSE)&amp;" - Per "&amp;VLOOKUP($C$4,'Writing Logic'!$G$8:$H$14,2,FALSE),YES_Writing_ELA[#Headers],0))=0,"",INDEX(_xlfn.VSTACK(YES_Writing_ELA[#Data],YES_Writing_FLA[#Data]),MATCH($A43,_xlfn.VSTACK(YES_Writing_ELA[Student Number],YES_Writing_FLA[Student Number]),0),MATCH(VLOOKUP(G$7,'Writing Logic'!$J$7:$K$11,2,FALSE)&amp;" - Per "&amp;VLOOKUP($C$4,'Writing Logic'!$G$8:$H$14,2,FALSE),YES_Writing_ELA[#Headers],0)))),"")</f>
        <v/>
      </c>
      <c r="H43" s="138" t="str">
        <f>IFERROR(IF(IF(INDEX(_xlfn.VSTACK(YES_Writing_ELA[#Data],YES_Writing_FLA[#Data]),MATCH($A43,_xlfn.VSTACK(YES_Writing_ELA[Student Number],YES_Writing_FLA[Student Number]),0),MATCH(VLOOKUP(H$7,'Writing Logic'!$J$7:$K$11,2,FALSE)&amp;" - Per "&amp;VLOOKUP($C$4,'Writing Logic'!$G$8:$H$14,2,FALSE),YES_Writing_ELA[#Headers],0))=0,"",INDEX(_xlfn.VSTACK(YES_Writing_ELA[#Data],YES_Writing_FLA[#Data]),MATCH($A43,_xlfn.VSTACK(YES_Writing_ELA[Student Number],YES_Writing_FLA[Student Number]),0),MATCH(VLOOKUP(H$7,'Writing Logic'!$J$7:$K$11,2,FALSE)&amp;" - Per "&amp;VLOOKUP($C$4,'Writing Logic'!$G$8:$H$14,2,FALSE),YES_Writing_ELA[#Headers],0)))="INS",'Writing Logic'!$B$7,IF(INDEX(_xlfn.VSTACK(YES_Writing_ELA[#Data],YES_Writing_FLA[#Data]),MATCH($A43,_xlfn.VSTACK(YES_Writing_ELA[Student Number],YES_Writing_FLA[Student Number]),0),MATCH(VLOOKUP(H$7,'Writing Logic'!$J$7:$K$11,2,FALSE)&amp;" - Per "&amp;VLOOKUP($C$4,'Writing Logic'!$G$8:$H$14,2,FALSE),YES_Writing_ELA[#Headers],0))=0,"",INDEX(_xlfn.VSTACK(YES_Writing_ELA[#Data],YES_Writing_FLA[#Data]),MATCH($A43,_xlfn.VSTACK(YES_Writing_ELA[Student Number],YES_Writing_FLA[Student Number]),0),MATCH(VLOOKUP(H$7,'Writing Logic'!$J$7:$K$11,2,FALSE)&amp;" - Per "&amp;VLOOKUP($C$4,'Writing Logic'!$G$8:$H$14,2,FALSE),YES_Writing_ELA[#Headers],0)))),"")</f>
        <v/>
      </c>
    </row>
    <row r="44" spans="1:12" ht="14.25" customHeight="1" x14ac:dyDescent="0.25">
      <c r="A44" s="137"/>
      <c r="B44" s="137" t="str">
        <f>IFERROR(INDEX(_xlfn.VSTACK(YES_Writing_ELA[#Data], YES_Writing_FLA[#Data]),MATCH($A44,_xlfn.VSTACK(YES_Writing_ELA[Student Number], YES_Writing_FLA[Student Number]),0),MATCH(B$7,YES_Writing_ELA[#Headers],0)),"")</f>
        <v/>
      </c>
      <c r="C44" s="137" t="str">
        <f>IFERROR(INDEX(_xlfn.VSTACK(YES_Writing_ELA[#Data], YES_Writing_FLA[#Data]),MATCH($A44,_xlfn.VSTACK(YES_Writing_ELA[Student Number], YES_Writing_FLA[Student Number]),0),MATCH(C$7,YES_Writing_ELA[#Headers],0)),"")</f>
        <v/>
      </c>
      <c r="D44" s="138" t="str">
        <f>IFERROR(IF(IF(INDEX(_xlfn.VSTACK(YES_Writing_ELA[#Data],YES_Writing_FLA[#Data]),MATCH($A44,_xlfn.VSTACK(YES_Writing_ELA[Student Number],YES_Writing_FLA[Student Number]),0),MATCH(VLOOKUP(D$7,'Writing Logic'!$J$7:$K$11,2,FALSE)&amp;" - Per "&amp;VLOOKUP($C$4,'Writing Logic'!$G$8:$H$14,2,FALSE),YES_Writing_ELA[#Headers],0))=0,"",INDEX(_xlfn.VSTACK(YES_Writing_ELA[#Data],YES_Writing_FLA[#Data]),MATCH($A44,_xlfn.VSTACK(YES_Writing_ELA[Student Number],YES_Writing_FLA[Student Number]),0),MATCH(VLOOKUP(D$7,'Writing Logic'!$J$7:$K$11,2,FALSE)&amp;" - Per "&amp;VLOOKUP($C$4,'Writing Logic'!$G$8:$H$14,2,FALSE),YES_Writing_ELA[#Headers],0)))="INS",'Writing Logic'!$B$7,IF(INDEX(_xlfn.VSTACK(YES_Writing_ELA[#Data],YES_Writing_FLA[#Data]),MATCH($A44,_xlfn.VSTACK(YES_Writing_ELA[Student Number],YES_Writing_FLA[Student Number]),0),MATCH(VLOOKUP(D$7,'Writing Logic'!$J$7:$K$11,2,FALSE)&amp;" - Per "&amp;VLOOKUP($C$4,'Writing Logic'!$G$8:$H$14,2,FALSE),YES_Writing_ELA[#Headers],0))=0,"",INDEX(_xlfn.VSTACK(YES_Writing_ELA[#Data],YES_Writing_FLA[#Data]),MATCH($A44,_xlfn.VSTACK(YES_Writing_ELA[Student Number],YES_Writing_FLA[Student Number]),0),MATCH(VLOOKUP(D$7,'Writing Logic'!$J$7:$K$11,2,FALSE)&amp;" - Per "&amp;VLOOKUP($C$4,'Writing Logic'!$G$8:$H$14,2,FALSE),YES_Writing_ELA[#Headers],0)))),"")</f>
        <v/>
      </c>
      <c r="E44" s="138" t="str">
        <f>IFERROR(IF(IF(INDEX(_xlfn.VSTACK(YES_Writing_ELA[#Data],YES_Writing_FLA[#Data]),MATCH($A44,_xlfn.VSTACK(YES_Writing_ELA[Student Number],YES_Writing_FLA[Student Number]),0),MATCH(VLOOKUP(E$7,'Writing Logic'!$J$7:$K$11,2,FALSE)&amp;" - Per "&amp;VLOOKUP($C$4,'Writing Logic'!$G$8:$H$14,2,FALSE),YES_Writing_ELA[#Headers],0))=0,"",INDEX(_xlfn.VSTACK(YES_Writing_ELA[#Data],YES_Writing_FLA[#Data]),MATCH($A44,_xlfn.VSTACK(YES_Writing_ELA[Student Number],YES_Writing_FLA[Student Number]),0),MATCH(VLOOKUP(E$7,'Writing Logic'!$J$7:$K$11,2,FALSE)&amp;" - Per "&amp;VLOOKUP($C$4,'Writing Logic'!$G$8:$H$14,2,FALSE),YES_Writing_ELA[#Headers],0)))="INS",'Writing Logic'!$B$7,IF(INDEX(_xlfn.VSTACK(YES_Writing_ELA[#Data],YES_Writing_FLA[#Data]),MATCH($A44,_xlfn.VSTACK(YES_Writing_ELA[Student Number],YES_Writing_FLA[Student Number]),0),MATCH(VLOOKUP(E$7,'Writing Logic'!$J$7:$K$11,2,FALSE)&amp;" - Per "&amp;VLOOKUP($C$4,'Writing Logic'!$G$8:$H$14,2,FALSE),YES_Writing_ELA[#Headers],0))=0,"",INDEX(_xlfn.VSTACK(YES_Writing_ELA[#Data],YES_Writing_FLA[#Data]),MATCH($A44,_xlfn.VSTACK(YES_Writing_ELA[Student Number],YES_Writing_FLA[Student Number]),0),MATCH(VLOOKUP(E$7,'Writing Logic'!$J$7:$K$11,2,FALSE)&amp;" - Per "&amp;VLOOKUP($C$4,'Writing Logic'!$G$8:$H$14,2,FALSE),YES_Writing_ELA[#Headers],0)))),"")</f>
        <v/>
      </c>
      <c r="F44" s="138" t="str">
        <f>IFERROR(IF(IF(INDEX(_xlfn.VSTACK(YES_Writing_ELA[#Data],YES_Writing_FLA[#Data]),MATCH($A44,_xlfn.VSTACK(YES_Writing_ELA[Student Number],YES_Writing_FLA[Student Number]),0),MATCH(VLOOKUP(F$7,'Writing Logic'!$J$7:$K$11,2,FALSE)&amp;" - Per "&amp;VLOOKUP($C$4,'Writing Logic'!$G$8:$H$14,2,FALSE),YES_Writing_ELA[#Headers],0))=0,"",INDEX(_xlfn.VSTACK(YES_Writing_ELA[#Data],YES_Writing_FLA[#Data]),MATCH($A44,_xlfn.VSTACK(YES_Writing_ELA[Student Number],YES_Writing_FLA[Student Number]),0),MATCH(VLOOKUP(F$7,'Writing Logic'!$J$7:$K$11,2,FALSE)&amp;" - Per "&amp;VLOOKUP($C$4,'Writing Logic'!$G$8:$H$14,2,FALSE),YES_Writing_ELA[#Headers],0)))="INS",'Writing Logic'!$B$7,IF(INDEX(_xlfn.VSTACK(YES_Writing_ELA[#Data],YES_Writing_FLA[#Data]),MATCH($A44,_xlfn.VSTACK(YES_Writing_ELA[Student Number],YES_Writing_FLA[Student Number]),0),MATCH(VLOOKUP(F$7,'Writing Logic'!$J$7:$K$11,2,FALSE)&amp;" - Per "&amp;VLOOKUP($C$4,'Writing Logic'!$G$8:$H$14,2,FALSE),YES_Writing_ELA[#Headers],0))=0,"",INDEX(_xlfn.VSTACK(YES_Writing_ELA[#Data],YES_Writing_FLA[#Data]),MATCH($A44,_xlfn.VSTACK(YES_Writing_ELA[Student Number],YES_Writing_FLA[Student Number]),0),MATCH(VLOOKUP(F$7,'Writing Logic'!$J$7:$K$11,2,FALSE)&amp;" - Per "&amp;VLOOKUP($C$4,'Writing Logic'!$G$8:$H$14,2,FALSE),YES_Writing_ELA[#Headers],0)))),"")</f>
        <v/>
      </c>
      <c r="G44" s="138" t="str">
        <f>IFERROR(IF(IF(INDEX(_xlfn.VSTACK(YES_Writing_ELA[#Data],YES_Writing_FLA[#Data]),MATCH($A44,_xlfn.VSTACK(YES_Writing_ELA[Student Number],YES_Writing_FLA[Student Number]),0),MATCH(VLOOKUP(G$7,'Writing Logic'!$J$7:$K$11,2,FALSE)&amp;" - Per "&amp;VLOOKUP($C$4,'Writing Logic'!$G$8:$H$14,2,FALSE),YES_Writing_ELA[#Headers],0))=0,"",INDEX(_xlfn.VSTACK(YES_Writing_ELA[#Data],YES_Writing_FLA[#Data]),MATCH($A44,_xlfn.VSTACK(YES_Writing_ELA[Student Number],YES_Writing_FLA[Student Number]),0),MATCH(VLOOKUP(G$7,'Writing Logic'!$J$7:$K$11,2,FALSE)&amp;" - Per "&amp;VLOOKUP($C$4,'Writing Logic'!$G$8:$H$14,2,FALSE),YES_Writing_ELA[#Headers],0)))="INS",'Writing Logic'!$B$7,IF(INDEX(_xlfn.VSTACK(YES_Writing_ELA[#Data],YES_Writing_FLA[#Data]),MATCH($A44,_xlfn.VSTACK(YES_Writing_ELA[Student Number],YES_Writing_FLA[Student Number]),0),MATCH(VLOOKUP(G$7,'Writing Logic'!$J$7:$K$11,2,FALSE)&amp;" - Per "&amp;VLOOKUP($C$4,'Writing Logic'!$G$8:$H$14,2,FALSE),YES_Writing_ELA[#Headers],0))=0,"",INDEX(_xlfn.VSTACK(YES_Writing_ELA[#Data],YES_Writing_FLA[#Data]),MATCH($A44,_xlfn.VSTACK(YES_Writing_ELA[Student Number],YES_Writing_FLA[Student Number]),0),MATCH(VLOOKUP(G$7,'Writing Logic'!$J$7:$K$11,2,FALSE)&amp;" - Per "&amp;VLOOKUP($C$4,'Writing Logic'!$G$8:$H$14,2,FALSE),YES_Writing_ELA[#Headers],0)))),"")</f>
        <v/>
      </c>
      <c r="H44" s="138" t="str">
        <f>IFERROR(IF(IF(INDEX(_xlfn.VSTACK(YES_Writing_ELA[#Data],YES_Writing_FLA[#Data]),MATCH($A44,_xlfn.VSTACK(YES_Writing_ELA[Student Number],YES_Writing_FLA[Student Number]),0),MATCH(VLOOKUP(H$7,'Writing Logic'!$J$7:$K$11,2,FALSE)&amp;" - Per "&amp;VLOOKUP($C$4,'Writing Logic'!$G$8:$H$14,2,FALSE),YES_Writing_ELA[#Headers],0))=0,"",INDEX(_xlfn.VSTACK(YES_Writing_ELA[#Data],YES_Writing_FLA[#Data]),MATCH($A44,_xlfn.VSTACK(YES_Writing_ELA[Student Number],YES_Writing_FLA[Student Number]),0),MATCH(VLOOKUP(H$7,'Writing Logic'!$J$7:$K$11,2,FALSE)&amp;" - Per "&amp;VLOOKUP($C$4,'Writing Logic'!$G$8:$H$14,2,FALSE),YES_Writing_ELA[#Headers],0)))="INS",'Writing Logic'!$B$7,IF(INDEX(_xlfn.VSTACK(YES_Writing_ELA[#Data],YES_Writing_FLA[#Data]),MATCH($A44,_xlfn.VSTACK(YES_Writing_ELA[Student Number],YES_Writing_FLA[Student Number]),0),MATCH(VLOOKUP(H$7,'Writing Logic'!$J$7:$K$11,2,FALSE)&amp;" - Per "&amp;VLOOKUP($C$4,'Writing Logic'!$G$8:$H$14,2,FALSE),YES_Writing_ELA[#Headers],0))=0,"",INDEX(_xlfn.VSTACK(YES_Writing_ELA[#Data],YES_Writing_FLA[#Data]),MATCH($A44,_xlfn.VSTACK(YES_Writing_ELA[Student Number],YES_Writing_FLA[Student Number]),0),MATCH(VLOOKUP(H$7,'Writing Logic'!$J$7:$K$11,2,FALSE)&amp;" - Per "&amp;VLOOKUP($C$4,'Writing Logic'!$G$8:$H$14,2,FALSE),YES_Writing_ELA[#Headers],0)))),"")</f>
        <v/>
      </c>
    </row>
    <row r="45" spans="1:12" ht="14.25" customHeight="1" x14ac:dyDescent="0.25">
      <c r="A45" s="137"/>
      <c r="B45" s="137" t="str">
        <f>IFERROR(INDEX(_xlfn.VSTACK(YES_Writing_ELA[#Data], YES_Writing_FLA[#Data]),MATCH($A45,_xlfn.VSTACK(YES_Writing_ELA[Student Number], YES_Writing_FLA[Student Number]),0),MATCH(B$7,YES_Writing_ELA[#Headers],0)),"")</f>
        <v/>
      </c>
      <c r="C45" s="137" t="str">
        <f>IFERROR(INDEX(_xlfn.VSTACK(YES_Writing_ELA[#Data], YES_Writing_FLA[#Data]),MATCH($A45,_xlfn.VSTACK(YES_Writing_ELA[Student Number], YES_Writing_FLA[Student Number]),0),MATCH(C$7,YES_Writing_ELA[#Headers],0)),"")</f>
        <v/>
      </c>
      <c r="D45" s="138" t="str">
        <f>IFERROR(IF(IF(INDEX(_xlfn.VSTACK(YES_Writing_ELA[#Data],YES_Writing_FLA[#Data]),MATCH($A45,_xlfn.VSTACK(YES_Writing_ELA[Student Number],YES_Writing_FLA[Student Number]),0),MATCH(VLOOKUP(D$7,'Writing Logic'!$J$7:$K$11,2,FALSE)&amp;" - Per "&amp;VLOOKUP($C$4,'Writing Logic'!$G$8:$H$14,2,FALSE),YES_Writing_ELA[#Headers],0))=0,"",INDEX(_xlfn.VSTACK(YES_Writing_ELA[#Data],YES_Writing_FLA[#Data]),MATCH($A45,_xlfn.VSTACK(YES_Writing_ELA[Student Number],YES_Writing_FLA[Student Number]),0),MATCH(VLOOKUP(D$7,'Writing Logic'!$J$7:$K$11,2,FALSE)&amp;" - Per "&amp;VLOOKUP($C$4,'Writing Logic'!$G$8:$H$14,2,FALSE),YES_Writing_ELA[#Headers],0)))="INS",'Writing Logic'!$B$7,IF(INDEX(_xlfn.VSTACK(YES_Writing_ELA[#Data],YES_Writing_FLA[#Data]),MATCH($A45,_xlfn.VSTACK(YES_Writing_ELA[Student Number],YES_Writing_FLA[Student Number]),0),MATCH(VLOOKUP(D$7,'Writing Logic'!$J$7:$K$11,2,FALSE)&amp;" - Per "&amp;VLOOKUP($C$4,'Writing Logic'!$G$8:$H$14,2,FALSE),YES_Writing_ELA[#Headers],0))=0,"",INDEX(_xlfn.VSTACK(YES_Writing_ELA[#Data],YES_Writing_FLA[#Data]),MATCH($A45,_xlfn.VSTACK(YES_Writing_ELA[Student Number],YES_Writing_FLA[Student Number]),0),MATCH(VLOOKUP(D$7,'Writing Logic'!$J$7:$K$11,2,FALSE)&amp;" - Per "&amp;VLOOKUP($C$4,'Writing Logic'!$G$8:$H$14,2,FALSE),YES_Writing_ELA[#Headers],0)))),"")</f>
        <v/>
      </c>
      <c r="E45" s="138" t="str">
        <f>IFERROR(IF(IF(INDEX(_xlfn.VSTACK(YES_Writing_ELA[#Data],YES_Writing_FLA[#Data]),MATCH($A45,_xlfn.VSTACK(YES_Writing_ELA[Student Number],YES_Writing_FLA[Student Number]),0),MATCH(VLOOKUP(E$7,'Writing Logic'!$J$7:$K$11,2,FALSE)&amp;" - Per "&amp;VLOOKUP($C$4,'Writing Logic'!$G$8:$H$14,2,FALSE),YES_Writing_ELA[#Headers],0))=0,"",INDEX(_xlfn.VSTACK(YES_Writing_ELA[#Data],YES_Writing_FLA[#Data]),MATCH($A45,_xlfn.VSTACK(YES_Writing_ELA[Student Number],YES_Writing_FLA[Student Number]),0),MATCH(VLOOKUP(E$7,'Writing Logic'!$J$7:$K$11,2,FALSE)&amp;" - Per "&amp;VLOOKUP($C$4,'Writing Logic'!$G$8:$H$14,2,FALSE),YES_Writing_ELA[#Headers],0)))="INS",'Writing Logic'!$B$7,IF(INDEX(_xlfn.VSTACK(YES_Writing_ELA[#Data],YES_Writing_FLA[#Data]),MATCH($A45,_xlfn.VSTACK(YES_Writing_ELA[Student Number],YES_Writing_FLA[Student Number]),0),MATCH(VLOOKUP(E$7,'Writing Logic'!$J$7:$K$11,2,FALSE)&amp;" - Per "&amp;VLOOKUP($C$4,'Writing Logic'!$G$8:$H$14,2,FALSE),YES_Writing_ELA[#Headers],0))=0,"",INDEX(_xlfn.VSTACK(YES_Writing_ELA[#Data],YES_Writing_FLA[#Data]),MATCH($A45,_xlfn.VSTACK(YES_Writing_ELA[Student Number],YES_Writing_FLA[Student Number]),0),MATCH(VLOOKUP(E$7,'Writing Logic'!$J$7:$K$11,2,FALSE)&amp;" - Per "&amp;VLOOKUP($C$4,'Writing Logic'!$G$8:$H$14,2,FALSE),YES_Writing_ELA[#Headers],0)))),"")</f>
        <v/>
      </c>
      <c r="F45" s="138" t="str">
        <f>IFERROR(IF(IF(INDEX(_xlfn.VSTACK(YES_Writing_ELA[#Data],YES_Writing_FLA[#Data]),MATCH($A45,_xlfn.VSTACK(YES_Writing_ELA[Student Number],YES_Writing_FLA[Student Number]),0),MATCH(VLOOKUP(F$7,'Writing Logic'!$J$7:$K$11,2,FALSE)&amp;" - Per "&amp;VLOOKUP($C$4,'Writing Logic'!$G$8:$H$14,2,FALSE),YES_Writing_ELA[#Headers],0))=0,"",INDEX(_xlfn.VSTACK(YES_Writing_ELA[#Data],YES_Writing_FLA[#Data]),MATCH($A45,_xlfn.VSTACK(YES_Writing_ELA[Student Number],YES_Writing_FLA[Student Number]),0),MATCH(VLOOKUP(F$7,'Writing Logic'!$J$7:$K$11,2,FALSE)&amp;" - Per "&amp;VLOOKUP($C$4,'Writing Logic'!$G$8:$H$14,2,FALSE),YES_Writing_ELA[#Headers],0)))="INS",'Writing Logic'!$B$7,IF(INDEX(_xlfn.VSTACK(YES_Writing_ELA[#Data],YES_Writing_FLA[#Data]),MATCH($A45,_xlfn.VSTACK(YES_Writing_ELA[Student Number],YES_Writing_FLA[Student Number]),0),MATCH(VLOOKUP(F$7,'Writing Logic'!$J$7:$K$11,2,FALSE)&amp;" - Per "&amp;VLOOKUP($C$4,'Writing Logic'!$G$8:$H$14,2,FALSE),YES_Writing_ELA[#Headers],0))=0,"",INDEX(_xlfn.VSTACK(YES_Writing_ELA[#Data],YES_Writing_FLA[#Data]),MATCH($A45,_xlfn.VSTACK(YES_Writing_ELA[Student Number],YES_Writing_FLA[Student Number]),0),MATCH(VLOOKUP(F$7,'Writing Logic'!$J$7:$K$11,2,FALSE)&amp;" - Per "&amp;VLOOKUP($C$4,'Writing Logic'!$G$8:$H$14,2,FALSE),YES_Writing_ELA[#Headers],0)))),"")</f>
        <v/>
      </c>
      <c r="G45" s="138" t="str">
        <f>IFERROR(IF(IF(INDEX(_xlfn.VSTACK(YES_Writing_ELA[#Data],YES_Writing_FLA[#Data]),MATCH($A45,_xlfn.VSTACK(YES_Writing_ELA[Student Number],YES_Writing_FLA[Student Number]),0),MATCH(VLOOKUP(G$7,'Writing Logic'!$J$7:$K$11,2,FALSE)&amp;" - Per "&amp;VLOOKUP($C$4,'Writing Logic'!$G$8:$H$14,2,FALSE),YES_Writing_ELA[#Headers],0))=0,"",INDEX(_xlfn.VSTACK(YES_Writing_ELA[#Data],YES_Writing_FLA[#Data]),MATCH($A45,_xlfn.VSTACK(YES_Writing_ELA[Student Number],YES_Writing_FLA[Student Number]),0),MATCH(VLOOKUP(G$7,'Writing Logic'!$J$7:$K$11,2,FALSE)&amp;" - Per "&amp;VLOOKUP($C$4,'Writing Logic'!$G$8:$H$14,2,FALSE),YES_Writing_ELA[#Headers],0)))="INS",'Writing Logic'!$B$7,IF(INDEX(_xlfn.VSTACK(YES_Writing_ELA[#Data],YES_Writing_FLA[#Data]),MATCH($A45,_xlfn.VSTACK(YES_Writing_ELA[Student Number],YES_Writing_FLA[Student Number]),0),MATCH(VLOOKUP(G$7,'Writing Logic'!$J$7:$K$11,2,FALSE)&amp;" - Per "&amp;VLOOKUP($C$4,'Writing Logic'!$G$8:$H$14,2,FALSE),YES_Writing_ELA[#Headers],0))=0,"",INDEX(_xlfn.VSTACK(YES_Writing_ELA[#Data],YES_Writing_FLA[#Data]),MATCH($A45,_xlfn.VSTACK(YES_Writing_ELA[Student Number],YES_Writing_FLA[Student Number]),0),MATCH(VLOOKUP(G$7,'Writing Logic'!$J$7:$K$11,2,FALSE)&amp;" - Per "&amp;VLOOKUP($C$4,'Writing Logic'!$G$8:$H$14,2,FALSE),YES_Writing_ELA[#Headers],0)))),"")</f>
        <v/>
      </c>
      <c r="H45" s="138" t="str">
        <f>IFERROR(IF(IF(INDEX(_xlfn.VSTACK(YES_Writing_ELA[#Data],YES_Writing_FLA[#Data]),MATCH($A45,_xlfn.VSTACK(YES_Writing_ELA[Student Number],YES_Writing_FLA[Student Number]),0),MATCH(VLOOKUP(H$7,'Writing Logic'!$J$7:$K$11,2,FALSE)&amp;" - Per "&amp;VLOOKUP($C$4,'Writing Logic'!$G$8:$H$14,2,FALSE),YES_Writing_ELA[#Headers],0))=0,"",INDEX(_xlfn.VSTACK(YES_Writing_ELA[#Data],YES_Writing_FLA[#Data]),MATCH($A45,_xlfn.VSTACK(YES_Writing_ELA[Student Number],YES_Writing_FLA[Student Number]),0),MATCH(VLOOKUP(H$7,'Writing Logic'!$J$7:$K$11,2,FALSE)&amp;" - Per "&amp;VLOOKUP($C$4,'Writing Logic'!$G$8:$H$14,2,FALSE),YES_Writing_ELA[#Headers],0)))="INS",'Writing Logic'!$B$7,IF(INDEX(_xlfn.VSTACK(YES_Writing_ELA[#Data],YES_Writing_FLA[#Data]),MATCH($A45,_xlfn.VSTACK(YES_Writing_ELA[Student Number],YES_Writing_FLA[Student Number]),0),MATCH(VLOOKUP(H$7,'Writing Logic'!$J$7:$K$11,2,FALSE)&amp;" - Per "&amp;VLOOKUP($C$4,'Writing Logic'!$G$8:$H$14,2,FALSE),YES_Writing_ELA[#Headers],0))=0,"",INDEX(_xlfn.VSTACK(YES_Writing_ELA[#Data],YES_Writing_FLA[#Data]),MATCH($A45,_xlfn.VSTACK(YES_Writing_ELA[Student Number],YES_Writing_FLA[Student Number]),0),MATCH(VLOOKUP(H$7,'Writing Logic'!$J$7:$K$11,2,FALSE)&amp;" - Per "&amp;VLOOKUP($C$4,'Writing Logic'!$G$8:$H$14,2,FALSE),YES_Writing_ELA[#Headers],0)))),"")</f>
        <v/>
      </c>
    </row>
    <row r="46" spans="1:12" ht="14.25" customHeight="1" x14ac:dyDescent="0.25">
      <c r="A46" s="137"/>
      <c r="B46" s="137" t="str">
        <f>IFERROR(INDEX(_xlfn.VSTACK(YES_Writing_ELA[#Data], YES_Writing_FLA[#Data]),MATCH($A46,_xlfn.VSTACK(YES_Writing_ELA[Student Number], YES_Writing_FLA[Student Number]),0),MATCH(B$7,YES_Writing_ELA[#Headers],0)),"")</f>
        <v/>
      </c>
      <c r="C46" s="137" t="str">
        <f>IFERROR(INDEX(_xlfn.VSTACK(YES_Writing_ELA[#Data], YES_Writing_FLA[#Data]),MATCH($A46,_xlfn.VSTACK(YES_Writing_ELA[Student Number], YES_Writing_FLA[Student Number]),0),MATCH(C$7,YES_Writing_ELA[#Headers],0)),"")</f>
        <v/>
      </c>
      <c r="D46" s="138" t="str">
        <f>IFERROR(IF(IF(INDEX(_xlfn.VSTACK(YES_Writing_ELA[#Data],YES_Writing_FLA[#Data]),MATCH($A46,_xlfn.VSTACK(YES_Writing_ELA[Student Number],YES_Writing_FLA[Student Number]),0),MATCH(VLOOKUP(D$7,'Writing Logic'!$J$7:$K$11,2,FALSE)&amp;" - Per "&amp;VLOOKUP($C$4,'Writing Logic'!$G$8:$H$14,2,FALSE),YES_Writing_ELA[#Headers],0))=0,"",INDEX(_xlfn.VSTACK(YES_Writing_ELA[#Data],YES_Writing_FLA[#Data]),MATCH($A46,_xlfn.VSTACK(YES_Writing_ELA[Student Number],YES_Writing_FLA[Student Number]),0),MATCH(VLOOKUP(D$7,'Writing Logic'!$J$7:$K$11,2,FALSE)&amp;" - Per "&amp;VLOOKUP($C$4,'Writing Logic'!$G$8:$H$14,2,FALSE),YES_Writing_ELA[#Headers],0)))="INS",'Writing Logic'!$B$7,IF(INDEX(_xlfn.VSTACK(YES_Writing_ELA[#Data],YES_Writing_FLA[#Data]),MATCH($A46,_xlfn.VSTACK(YES_Writing_ELA[Student Number],YES_Writing_FLA[Student Number]),0),MATCH(VLOOKUP(D$7,'Writing Logic'!$J$7:$K$11,2,FALSE)&amp;" - Per "&amp;VLOOKUP($C$4,'Writing Logic'!$G$8:$H$14,2,FALSE),YES_Writing_ELA[#Headers],0))=0,"",INDEX(_xlfn.VSTACK(YES_Writing_ELA[#Data],YES_Writing_FLA[#Data]),MATCH($A46,_xlfn.VSTACK(YES_Writing_ELA[Student Number],YES_Writing_FLA[Student Number]),0),MATCH(VLOOKUP(D$7,'Writing Logic'!$J$7:$K$11,2,FALSE)&amp;" - Per "&amp;VLOOKUP($C$4,'Writing Logic'!$G$8:$H$14,2,FALSE),YES_Writing_ELA[#Headers],0)))),"")</f>
        <v/>
      </c>
      <c r="E46" s="138" t="str">
        <f>IFERROR(IF(IF(INDEX(_xlfn.VSTACK(YES_Writing_ELA[#Data],YES_Writing_FLA[#Data]),MATCH($A46,_xlfn.VSTACK(YES_Writing_ELA[Student Number],YES_Writing_FLA[Student Number]),0),MATCH(VLOOKUP(E$7,'Writing Logic'!$J$7:$K$11,2,FALSE)&amp;" - Per "&amp;VLOOKUP($C$4,'Writing Logic'!$G$8:$H$14,2,FALSE),YES_Writing_ELA[#Headers],0))=0,"",INDEX(_xlfn.VSTACK(YES_Writing_ELA[#Data],YES_Writing_FLA[#Data]),MATCH($A46,_xlfn.VSTACK(YES_Writing_ELA[Student Number],YES_Writing_FLA[Student Number]),0),MATCH(VLOOKUP(E$7,'Writing Logic'!$J$7:$K$11,2,FALSE)&amp;" - Per "&amp;VLOOKUP($C$4,'Writing Logic'!$G$8:$H$14,2,FALSE),YES_Writing_ELA[#Headers],0)))="INS",'Writing Logic'!$B$7,IF(INDEX(_xlfn.VSTACK(YES_Writing_ELA[#Data],YES_Writing_FLA[#Data]),MATCH($A46,_xlfn.VSTACK(YES_Writing_ELA[Student Number],YES_Writing_FLA[Student Number]),0),MATCH(VLOOKUP(E$7,'Writing Logic'!$J$7:$K$11,2,FALSE)&amp;" - Per "&amp;VLOOKUP($C$4,'Writing Logic'!$G$8:$H$14,2,FALSE),YES_Writing_ELA[#Headers],0))=0,"",INDEX(_xlfn.VSTACK(YES_Writing_ELA[#Data],YES_Writing_FLA[#Data]),MATCH($A46,_xlfn.VSTACK(YES_Writing_ELA[Student Number],YES_Writing_FLA[Student Number]),0),MATCH(VLOOKUP(E$7,'Writing Logic'!$J$7:$K$11,2,FALSE)&amp;" - Per "&amp;VLOOKUP($C$4,'Writing Logic'!$G$8:$H$14,2,FALSE),YES_Writing_ELA[#Headers],0)))),"")</f>
        <v/>
      </c>
      <c r="F46" s="138" t="str">
        <f>IFERROR(IF(IF(INDEX(_xlfn.VSTACK(YES_Writing_ELA[#Data],YES_Writing_FLA[#Data]),MATCH($A46,_xlfn.VSTACK(YES_Writing_ELA[Student Number],YES_Writing_FLA[Student Number]),0),MATCH(VLOOKUP(F$7,'Writing Logic'!$J$7:$K$11,2,FALSE)&amp;" - Per "&amp;VLOOKUP($C$4,'Writing Logic'!$G$8:$H$14,2,FALSE),YES_Writing_ELA[#Headers],0))=0,"",INDEX(_xlfn.VSTACK(YES_Writing_ELA[#Data],YES_Writing_FLA[#Data]),MATCH($A46,_xlfn.VSTACK(YES_Writing_ELA[Student Number],YES_Writing_FLA[Student Number]),0),MATCH(VLOOKUP(F$7,'Writing Logic'!$J$7:$K$11,2,FALSE)&amp;" - Per "&amp;VLOOKUP($C$4,'Writing Logic'!$G$8:$H$14,2,FALSE),YES_Writing_ELA[#Headers],0)))="INS",'Writing Logic'!$B$7,IF(INDEX(_xlfn.VSTACK(YES_Writing_ELA[#Data],YES_Writing_FLA[#Data]),MATCH($A46,_xlfn.VSTACK(YES_Writing_ELA[Student Number],YES_Writing_FLA[Student Number]),0),MATCH(VLOOKUP(F$7,'Writing Logic'!$J$7:$K$11,2,FALSE)&amp;" - Per "&amp;VLOOKUP($C$4,'Writing Logic'!$G$8:$H$14,2,FALSE),YES_Writing_ELA[#Headers],0))=0,"",INDEX(_xlfn.VSTACK(YES_Writing_ELA[#Data],YES_Writing_FLA[#Data]),MATCH($A46,_xlfn.VSTACK(YES_Writing_ELA[Student Number],YES_Writing_FLA[Student Number]),0),MATCH(VLOOKUP(F$7,'Writing Logic'!$J$7:$K$11,2,FALSE)&amp;" - Per "&amp;VLOOKUP($C$4,'Writing Logic'!$G$8:$H$14,2,FALSE),YES_Writing_ELA[#Headers],0)))),"")</f>
        <v/>
      </c>
      <c r="G46" s="138" t="str">
        <f>IFERROR(IF(IF(INDEX(_xlfn.VSTACK(YES_Writing_ELA[#Data],YES_Writing_FLA[#Data]),MATCH($A46,_xlfn.VSTACK(YES_Writing_ELA[Student Number],YES_Writing_FLA[Student Number]),0),MATCH(VLOOKUP(G$7,'Writing Logic'!$J$7:$K$11,2,FALSE)&amp;" - Per "&amp;VLOOKUP($C$4,'Writing Logic'!$G$8:$H$14,2,FALSE),YES_Writing_ELA[#Headers],0))=0,"",INDEX(_xlfn.VSTACK(YES_Writing_ELA[#Data],YES_Writing_FLA[#Data]),MATCH($A46,_xlfn.VSTACK(YES_Writing_ELA[Student Number],YES_Writing_FLA[Student Number]),0),MATCH(VLOOKUP(G$7,'Writing Logic'!$J$7:$K$11,2,FALSE)&amp;" - Per "&amp;VLOOKUP($C$4,'Writing Logic'!$G$8:$H$14,2,FALSE),YES_Writing_ELA[#Headers],0)))="INS",'Writing Logic'!$B$7,IF(INDEX(_xlfn.VSTACK(YES_Writing_ELA[#Data],YES_Writing_FLA[#Data]),MATCH($A46,_xlfn.VSTACK(YES_Writing_ELA[Student Number],YES_Writing_FLA[Student Number]),0),MATCH(VLOOKUP(G$7,'Writing Logic'!$J$7:$K$11,2,FALSE)&amp;" - Per "&amp;VLOOKUP($C$4,'Writing Logic'!$G$8:$H$14,2,FALSE),YES_Writing_ELA[#Headers],0))=0,"",INDEX(_xlfn.VSTACK(YES_Writing_ELA[#Data],YES_Writing_FLA[#Data]),MATCH($A46,_xlfn.VSTACK(YES_Writing_ELA[Student Number],YES_Writing_FLA[Student Number]),0),MATCH(VLOOKUP(G$7,'Writing Logic'!$J$7:$K$11,2,FALSE)&amp;" - Per "&amp;VLOOKUP($C$4,'Writing Logic'!$G$8:$H$14,2,FALSE),YES_Writing_ELA[#Headers],0)))),"")</f>
        <v/>
      </c>
      <c r="H46" s="138" t="str">
        <f>IFERROR(IF(IF(INDEX(_xlfn.VSTACK(YES_Writing_ELA[#Data],YES_Writing_FLA[#Data]),MATCH($A46,_xlfn.VSTACK(YES_Writing_ELA[Student Number],YES_Writing_FLA[Student Number]),0),MATCH(VLOOKUP(H$7,'Writing Logic'!$J$7:$K$11,2,FALSE)&amp;" - Per "&amp;VLOOKUP($C$4,'Writing Logic'!$G$8:$H$14,2,FALSE),YES_Writing_ELA[#Headers],0))=0,"",INDEX(_xlfn.VSTACK(YES_Writing_ELA[#Data],YES_Writing_FLA[#Data]),MATCH($A46,_xlfn.VSTACK(YES_Writing_ELA[Student Number],YES_Writing_FLA[Student Number]),0),MATCH(VLOOKUP(H$7,'Writing Logic'!$J$7:$K$11,2,FALSE)&amp;" - Per "&amp;VLOOKUP($C$4,'Writing Logic'!$G$8:$H$14,2,FALSE),YES_Writing_ELA[#Headers],0)))="INS",'Writing Logic'!$B$7,IF(INDEX(_xlfn.VSTACK(YES_Writing_ELA[#Data],YES_Writing_FLA[#Data]),MATCH($A46,_xlfn.VSTACK(YES_Writing_ELA[Student Number],YES_Writing_FLA[Student Number]),0),MATCH(VLOOKUP(H$7,'Writing Logic'!$J$7:$K$11,2,FALSE)&amp;" - Per "&amp;VLOOKUP($C$4,'Writing Logic'!$G$8:$H$14,2,FALSE),YES_Writing_ELA[#Headers],0))=0,"",INDEX(_xlfn.VSTACK(YES_Writing_ELA[#Data],YES_Writing_FLA[#Data]),MATCH($A46,_xlfn.VSTACK(YES_Writing_ELA[Student Number],YES_Writing_FLA[Student Number]),0),MATCH(VLOOKUP(H$7,'Writing Logic'!$J$7:$K$11,2,FALSE)&amp;" - Per "&amp;VLOOKUP($C$4,'Writing Logic'!$G$8:$H$14,2,FALSE),YES_Writing_ELA[#Headers],0)))),"")</f>
        <v/>
      </c>
    </row>
    <row r="47" spans="1:12" ht="14.25" customHeight="1" x14ac:dyDescent="0.25">
      <c r="A47" s="137"/>
      <c r="B47" s="137" t="str">
        <f>IFERROR(INDEX(_xlfn.VSTACK(YES_Writing_ELA[#Data], YES_Writing_FLA[#Data]),MATCH($A47,_xlfn.VSTACK(YES_Writing_ELA[Student Number], YES_Writing_FLA[Student Number]),0),MATCH(B$7,YES_Writing_ELA[#Headers],0)),"")</f>
        <v/>
      </c>
      <c r="C47" s="137" t="str">
        <f>IFERROR(INDEX(_xlfn.VSTACK(YES_Writing_ELA[#Data], YES_Writing_FLA[#Data]),MATCH($A47,_xlfn.VSTACK(YES_Writing_ELA[Student Number], YES_Writing_FLA[Student Number]),0),MATCH(C$7,YES_Writing_ELA[#Headers],0)),"")</f>
        <v/>
      </c>
      <c r="D47" s="138" t="str">
        <f>IFERROR(IF(IF(INDEX(_xlfn.VSTACK(YES_Writing_ELA[#Data],YES_Writing_FLA[#Data]),MATCH($A47,_xlfn.VSTACK(YES_Writing_ELA[Student Number],YES_Writing_FLA[Student Number]),0),MATCH(VLOOKUP(D$7,'Writing Logic'!$J$7:$K$11,2,FALSE)&amp;" - Per "&amp;VLOOKUP($C$4,'Writing Logic'!$G$8:$H$14,2,FALSE),YES_Writing_ELA[#Headers],0))=0,"",INDEX(_xlfn.VSTACK(YES_Writing_ELA[#Data],YES_Writing_FLA[#Data]),MATCH($A47,_xlfn.VSTACK(YES_Writing_ELA[Student Number],YES_Writing_FLA[Student Number]),0),MATCH(VLOOKUP(D$7,'Writing Logic'!$J$7:$K$11,2,FALSE)&amp;" - Per "&amp;VLOOKUP($C$4,'Writing Logic'!$G$8:$H$14,2,FALSE),YES_Writing_ELA[#Headers],0)))="INS",'Writing Logic'!$B$7,IF(INDEX(_xlfn.VSTACK(YES_Writing_ELA[#Data],YES_Writing_FLA[#Data]),MATCH($A47,_xlfn.VSTACK(YES_Writing_ELA[Student Number],YES_Writing_FLA[Student Number]),0),MATCH(VLOOKUP(D$7,'Writing Logic'!$J$7:$K$11,2,FALSE)&amp;" - Per "&amp;VLOOKUP($C$4,'Writing Logic'!$G$8:$H$14,2,FALSE),YES_Writing_ELA[#Headers],0))=0,"",INDEX(_xlfn.VSTACK(YES_Writing_ELA[#Data],YES_Writing_FLA[#Data]),MATCH($A47,_xlfn.VSTACK(YES_Writing_ELA[Student Number],YES_Writing_FLA[Student Number]),0),MATCH(VLOOKUP(D$7,'Writing Logic'!$J$7:$K$11,2,FALSE)&amp;" - Per "&amp;VLOOKUP($C$4,'Writing Logic'!$G$8:$H$14,2,FALSE),YES_Writing_ELA[#Headers],0)))),"")</f>
        <v/>
      </c>
      <c r="E47" s="138" t="str">
        <f>IFERROR(IF(IF(INDEX(_xlfn.VSTACK(YES_Writing_ELA[#Data],YES_Writing_FLA[#Data]),MATCH($A47,_xlfn.VSTACK(YES_Writing_ELA[Student Number],YES_Writing_FLA[Student Number]),0),MATCH(VLOOKUP(E$7,'Writing Logic'!$J$7:$K$11,2,FALSE)&amp;" - Per "&amp;VLOOKUP($C$4,'Writing Logic'!$G$8:$H$14,2,FALSE),YES_Writing_ELA[#Headers],0))=0,"",INDEX(_xlfn.VSTACK(YES_Writing_ELA[#Data],YES_Writing_FLA[#Data]),MATCH($A47,_xlfn.VSTACK(YES_Writing_ELA[Student Number],YES_Writing_FLA[Student Number]),0),MATCH(VLOOKUP(E$7,'Writing Logic'!$J$7:$K$11,2,FALSE)&amp;" - Per "&amp;VLOOKUP($C$4,'Writing Logic'!$G$8:$H$14,2,FALSE),YES_Writing_ELA[#Headers],0)))="INS",'Writing Logic'!$B$7,IF(INDEX(_xlfn.VSTACK(YES_Writing_ELA[#Data],YES_Writing_FLA[#Data]),MATCH($A47,_xlfn.VSTACK(YES_Writing_ELA[Student Number],YES_Writing_FLA[Student Number]),0),MATCH(VLOOKUP(E$7,'Writing Logic'!$J$7:$K$11,2,FALSE)&amp;" - Per "&amp;VLOOKUP($C$4,'Writing Logic'!$G$8:$H$14,2,FALSE),YES_Writing_ELA[#Headers],0))=0,"",INDEX(_xlfn.VSTACK(YES_Writing_ELA[#Data],YES_Writing_FLA[#Data]),MATCH($A47,_xlfn.VSTACK(YES_Writing_ELA[Student Number],YES_Writing_FLA[Student Number]),0),MATCH(VLOOKUP(E$7,'Writing Logic'!$J$7:$K$11,2,FALSE)&amp;" - Per "&amp;VLOOKUP($C$4,'Writing Logic'!$G$8:$H$14,2,FALSE),YES_Writing_ELA[#Headers],0)))),"")</f>
        <v/>
      </c>
      <c r="F47" s="138" t="str">
        <f>IFERROR(IF(IF(INDEX(_xlfn.VSTACK(YES_Writing_ELA[#Data],YES_Writing_FLA[#Data]),MATCH($A47,_xlfn.VSTACK(YES_Writing_ELA[Student Number],YES_Writing_FLA[Student Number]),0),MATCH(VLOOKUP(F$7,'Writing Logic'!$J$7:$K$11,2,FALSE)&amp;" - Per "&amp;VLOOKUP($C$4,'Writing Logic'!$G$8:$H$14,2,FALSE),YES_Writing_ELA[#Headers],0))=0,"",INDEX(_xlfn.VSTACK(YES_Writing_ELA[#Data],YES_Writing_FLA[#Data]),MATCH($A47,_xlfn.VSTACK(YES_Writing_ELA[Student Number],YES_Writing_FLA[Student Number]),0),MATCH(VLOOKUP(F$7,'Writing Logic'!$J$7:$K$11,2,FALSE)&amp;" - Per "&amp;VLOOKUP($C$4,'Writing Logic'!$G$8:$H$14,2,FALSE),YES_Writing_ELA[#Headers],0)))="INS",'Writing Logic'!$B$7,IF(INDEX(_xlfn.VSTACK(YES_Writing_ELA[#Data],YES_Writing_FLA[#Data]),MATCH($A47,_xlfn.VSTACK(YES_Writing_ELA[Student Number],YES_Writing_FLA[Student Number]),0),MATCH(VLOOKUP(F$7,'Writing Logic'!$J$7:$K$11,2,FALSE)&amp;" - Per "&amp;VLOOKUP($C$4,'Writing Logic'!$G$8:$H$14,2,FALSE),YES_Writing_ELA[#Headers],0))=0,"",INDEX(_xlfn.VSTACK(YES_Writing_ELA[#Data],YES_Writing_FLA[#Data]),MATCH($A47,_xlfn.VSTACK(YES_Writing_ELA[Student Number],YES_Writing_FLA[Student Number]),0),MATCH(VLOOKUP(F$7,'Writing Logic'!$J$7:$K$11,2,FALSE)&amp;" - Per "&amp;VLOOKUP($C$4,'Writing Logic'!$G$8:$H$14,2,FALSE),YES_Writing_ELA[#Headers],0)))),"")</f>
        <v/>
      </c>
      <c r="G47" s="138" t="str">
        <f>IFERROR(IF(IF(INDEX(_xlfn.VSTACK(YES_Writing_ELA[#Data],YES_Writing_FLA[#Data]),MATCH($A47,_xlfn.VSTACK(YES_Writing_ELA[Student Number],YES_Writing_FLA[Student Number]),0),MATCH(VLOOKUP(G$7,'Writing Logic'!$J$7:$K$11,2,FALSE)&amp;" - Per "&amp;VLOOKUP($C$4,'Writing Logic'!$G$8:$H$14,2,FALSE),YES_Writing_ELA[#Headers],0))=0,"",INDEX(_xlfn.VSTACK(YES_Writing_ELA[#Data],YES_Writing_FLA[#Data]),MATCH($A47,_xlfn.VSTACK(YES_Writing_ELA[Student Number],YES_Writing_FLA[Student Number]),0),MATCH(VLOOKUP(G$7,'Writing Logic'!$J$7:$K$11,2,FALSE)&amp;" - Per "&amp;VLOOKUP($C$4,'Writing Logic'!$G$8:$H$14,2,FALSE),YES_Writing_ELA[#Headers],0)))="INS",'Writing Logic'!$B$7,IF(INDEX(_xlfn.VSTACK(YES_Writing_ELA[#Data],YES_Writing_FLA[#Data]),MATCH($A47,_xlfn.VSTACK(YES_Writing_ELA[Student Number],YES_Writing_FLA[Student Number]),0),MATCH(VLOOKUP(G$7,'Writing Logic'!$J$7:$K$11,2,FALSE)&amp;" - Per "&amp;VLOOKUP($C$4,'Writing Logic'!$G$8:$H$14,2,FALSE),YES_Writing_ELA[#Headers],0))=0,"",INDEX(_xlfn.VSTACK(YES_Writing_ELA[#Data],YES_Writing_FLA[#Data]),MATCH($A47,_xlfn.VSTACK(YES_Writing_ELA[Student Number],YES_Writing_FLA[Student Number]),0),MATCH(VLOOKUP(G$7,'Writing Logic'!$J$7:$K$11,2,FALSE)&amp;" - Per "&amp;VLOOKUP($C$4,'Writing Logic'!$G$8:$H$14,2,FALSE),YES_Writing_ELA[#Headers],0)))),"")</f>
        <v/>
      </c>
      <c r="H47" s="138" t="str">
        <f>IFERROR(IF(IF(INDEX(_xlfn.VSTACK(YES_Writing_ELA[#Data],YES_Writing_FLA[#Data]),MATCH($A47,_xlfn.VSTACK(YES_Writing_ELA[Student Number],YES_Writing_FLA[Student Number]),0),MATCH(VLOOKUP(H$7,'Writing Logic'!$J$7:$K$11,2,FALSE)&amp;" - Per "&amp;VLOOKUP($C$4,'Writing Logic'!$G$8:$H$14,2,FALSE),YES_Writing_ELA[#Headers],0))=0,"",INDEX(_xlfn.VSTACK(YES_Writing_ELA[#Data],YES_Writing_FLA[#Data]),MATCH($A47,_xlfn.VSTACK(YES_Writing_ELA[Student Number],YES_Writing_FLA[Student Number]),0),MATCH(VLOOKUP(H$7,'Writing Logic'!$J$7:$K$11,2,FALSE)&amp;" - Per "&amp;VLOOKUP($C$4,'Writing Logic'!$G$8:$H$14,2,FALSE),YES_Writing_ELA[#Headers],0)))="INS",'Writing Logic'!$B$7,IF(INDEX(_xlfn.VSTACK(YES_Writing_ELA[#Data],YES_Writing_FLA[#Data]),MATCH($A47,_xlfn.VSTACK(YES_Writing_ELA[Student Number],YES_Writing_FLA[Student Number]),0),MATCH(VLOOKUP(H$7,'Writing Logic'!$J$7:$K$11,2,FALSE)&amp;" - Per "&amp;VLOOKUP($C$4,'Writing Logic'!$G$8:$H$14,2,FALSE),YES_Writing_ELA[#Headers],0))=0,"",INDEX(_xlfn.VSTACK(YES_Writing_ELA[#Data],YES_Writing_FLA[#Data]),MATCH($A47,_xlfn.VSTACK(YES_Writing_ELA[Student Number],YES_Writing_FLA[Student Number]),0),MATCH(VLOOKUP(H$7,'Writing Logic'!$J$7:$K$11,2,FALSE)&amp;" - Per "&amp;VLOOKUP($C$4,'Writing Logic'!$G$8:$H$14,2,FALSE),YES_Writing_ELA[#Headers],0)))),"")</f>
        <v/>
      </c>
    </row>
    <row r="48" spans="1:12" ht="14.25" customHeight="1" x14ac:dyDescent="0.25">
      <c r="A48" s="137"/>
      <c r="B48" s="137" t="str">
        <f>IFERROR(INDEX(_xlfn.VSTACK(YES_Writing_ELA[#Data], YES_Writing_FLA[#Data]),MATCH($A48,_xlfn.VSTACK(YES_Writing_ELA[Student Number], YES_Writing_FLA[Student Number]),0),MATCH(B$7,YES_Writing_ELA[#Headers],0)),"")</f>
        <v/>
      </c>
      <c r="C48" s="137" t="str">
        <f>IFERROR(INDEX(_xlfn.VSTACK(YES_Writing_ELA[#Data], YES_Writing_FLA[#Data]),MATCH($A48,_xlfn.VSTACK(YES_Writing_ELA[Student Number], YES_Writing_FLA[Student Number]),0),MATCH(C$7,YES_Writing_ELA[#Headers],0)),"")</f>
        <v/>
      </c>
      <c r="D48" s="138" t="str">
        <f>IFERROR(IF(IF(INDEX(_xlfn.VSTACK(YES_Writing_ELA[#Data],YES_Writing_FLA[#Data]),MATCH($A48,_xlfn.VSTACK(YES_Writing_ELA[Student Number],YES_Writing_FLA[Student Number]),0),MATCH(VLOOKUP(D$7,'Writing Logic'!$J$7:$K$11,2,FALSE)&amp;" - Per "&amp;VLOOKUP($C$4,'Writing Logic'!$G$8:$H$14,2,FALSE),YES_Writing_ELA[#Headers],0))=0,"",INDEX(_xlfn.VSTACK(YES_Writing_ELA[#Data],YES_Writing_FLA[#Data]),MATCH($A48,_xlfn.VSTACK(YES_Writing_ELA[Student Number],YES_Writing_FLA[Student Number]),0),MATCH(VLOOKUP(D$7,'Writing Logic'!$J$7:$K$11,2,FALSE)&amp;" - Per "&amp;VLOOKUP($C$4,'Writing Logic'!$G$8:$H$14,2,FALSE),YES_Writing_ELA[#Headers],0)))="INS",'Writing Logic'!$B$7,IF(INDEX(_xlfn.VSTACK(YES_Writing_ELA[#Data],YES_Writing_FLA[#Data]),MATCH($A48,_xlfn.VSTACK(YES_Writing_ELA[Student Number],YES_Writing_FLA[Student Number]),0),MATCH(VLOOKUP(D$7,'Writing Logic'!$J$7:$K$11,2,FALSE)&amp;" - Per "&amp;VLOOKUP($C$4,'Writing Logic'!$G$8:$H$14,2,FALSE),YES_Writing_ELA[#Headers],0))=0,"",INDEX(_xlfn.VSTACK(YES_Writing_ELA[#Data],YES_Writing_FLA[#Data]),MATCH($A48,_xlfn.VSTACK(YES_Writing_ELA[Student Number],YES_Writing_FLA[Student Number]),0),MATCH(VLOOKUP(D$7,'Writing Logic'!$J$7:$K$11,2,FALSE)&amp;" - Per "&amp;VLOOKUP($C$4,'Writing Logic'!$G$8:$H$14,2,FALSE),YES_Writing_ELA[#Headers],0)))),"")</f>
        <v/>
      </c>
      <c r="E48" s="138" t="str">
        <f>IFERROR(IF(IF(INDEX(_xlfn.VSTACK(YES_Writing_ELA[#Data],YES_Writing_FLA[#Data]),MATCH($A48,_xlfn.VSTACK(YES_Writing_ELA[Student Number],YES_Writing_FLA[Student Number]),0),MATCH(VLOOKUP(E$7,'Writing Logic'!$J$7:$K$11,2,FALSE)&amp;" - Per "&amp;VLOOKUP($C$4,'Writing Logic'!$G$8:$H$14,2,FALSE),YES_Writing_ELA[#Headers],0))=0,"",INDEX(_xlfn.VSTACK(YES_Writing_ELA[#Data],YES_Writing_FLA[#Data]),MATCH($A48,_xlfn.VSTACK(YES_Writing_ELA[Student Number],YES_Writing_FLA[Student Number]),0),MATCH(VLOOKUP(E$7,'Writing Logic'!$J$7:$K$11,2,FALSE)&amp;" - Per "&amp;VLOOKUP($C$4,'Writing Logic'!$G$8:$H$14,2,FALSE),YES_Writing_ELA[#Headers],0)))="INS",'Writing Logic'!$B$7,IF(INDEX(_xlfn.VSTACK(YES_Writing_ELA[#Data],YES_Writing_FLA[#Data]),MATCH($A48,_xlfn.VSTACK(YES_Writing_ELA[Student Number],YES_Writing_FLA[Student Number]),0),MATCH(VLOOKUP(E$7,'Writing Logic'!$J$7:$K$11,2,FALSE)&amp;" - Per "&amp;VLOOKUP($C$4,'Writing Logic'!$G$8:$H$14,2,FALSE),YES_Writing_ELA[#Headers],0))=0,"",INDEX(_xlfn.VSTACK(YES_Writing_ELA[#Data],YES_Writing_FLA[#Data]),MATCH($A48,_xlfn.VSTACK(YES_Writing_ELA[Student Number],YES_Writing_FLA[Student Number]),0),MATCH(VLOOKUP(E$7,'Writing Logic'!$J$7:$K$11,2,FALSE)&amp;" - Per "&amp;VLOOKUP($C$4,'Writing Logic'!$G$8:$H$14,2,FALSE),YES_Writing_ELA[#Headers],0)))),"")</f>
        <v/>
      </c>
      <c r="F48" s="138" t="str">
        <f>IFERROR(IF(IF(INDEX(_xlfn.VSTACK(YES_Writing_ELA[#Data],YES_Writing_FLA[#Data]),MATCH($A48,_xlfn.VSTACK(YES_Writing_ELA[Student Number],YES_Writing_FLA[Student Number]),0),MATCH(VLOOKUP(F$7,'Writing Logic'!$J$7:$K$11,2,FALSE)&amp;" - Per "&amp;VLOOKUP($C$4,'Writing Logic'!$G$8:$H$14,2,FALSE),YES_Writing_ELA[#Headers],0))=0,"",INDEX(_xlfn.VSTACK(YES_Writing_ELA[#Data],YES_Writing_FLA[#Data]),MATCH($A48,_xlfn.VSTACK(YES_Writing_ELA[Student Number],YES_Writing_FLA[Student Number]),0),MATCH(VLOOKUP(F$7,'Writing Logic'!$J$7:$K$11,2,FALSE)&amp;" - Per "&amp;VLOOKUP($C$4,'Writing Logic'!$G$8:$H$14,2,FALSE),YES_Writing_ELA[#Headers],0)))="INS",'Writing Logic'!$B$7,IF(INDEX(_xlfn.VSTACK(YES_Writing_ELA[#Data],YES_Writing_FLA[#Data]),MATCH($A48,_xlfn.VSTACK(YES_Writing_ELA[Student Number],YES_Writing_FLA[Student Number]),0),MATCH(VLOOKUP(F$7,'Writing Logic'!$J$7:$K$11,2,FALSE)&amp;" - Per "&amp;VLOOKUP($C$4,'Writing Logic'!$G$8:$H$14,2,FALSE),YES_Writing_ELA[#Headers],0))=0,"",INDEX(_xlfn.VSTACK(YES_Writing_ELA[#Data],YES_Writing_FLA[#Data]),MATCH($A48,_xlfn.VSTACK(YES_Writing_ELA[Student Number],YES_Writing_FLA[Student Number]),0),MATCH(VLOOKUP(F$7,'Writing Logic'!$J$7:$K$11,2,FALSE)&amp;" - Per "&amp;VLOOKUP($C$4,'Writing Logic'!$G$8:$H$14,2,FALSE),YES_Writing_ELA[#Headers],0)))),"")</f>
        <v/>
      </c>
      <c r="G48" s="138" t="str">
        <f>IFERROR(IF(IF(INDEX(_xlfn.VSTACK(YES_Writing_ELA[#Data],YES_Writing_FLA[#Data]),MATCH($A48,_xlfn.VSTACK(YES_Writing_ELA[Student Number],YES_Writing_FLA[Student Number]),0),MATCH(VLOOKUP(G$7,'Writing Logic'!$J$7:$K$11,2,FALSE)&amp;" - Per "&amp;VLOOKUP($C$4,'Writing Logic'!$G$8:$H$14,2,FALSE),YES_Writing_ELA[#Headers],0))=0,"",INDEX(_xlfn.VSTACK(YES_Writing_ELA[#Data],YES_Writing_FLA[#Data]),MATCH($A48,_xlfn.VSTACK(YES_Writing_ELA[Student Number],YES_Writing_FLA[Student Number]),0),MATCH(VLOOKUP(G$7,'Writing Logic'!$J$7:$K$11,2,FALSE)&amp;" - Per "&amp;VLOOKUP($C$4,'Writing Logic'!$G$8:$H$14,2,FALSE),YES_Writing_ELA[#Headers],0)))="INS",'Writing Logic'!$B$7,IF(INDEX(_xlfn.VSTACK(YES_Writing_ELA[#Data],YES_Writing_FLA[#Data]),MATCH($A48,_xlfn.VSTACK(YES_Writing_ELA[Student Number],YES_Writing_FLA[Student Number]),0),MATCH(VLOOKUP(G$7,'Writing Logic'!$J$7:$K$11,2,FALSE)&amp;" - Per "&amp;VLOOKUP($C$4,'Writing Logic'!$G$8:$H$14,2,FALSE),YES_Writing_ELA[#Headers],0))=0,"",INDEX(_xlfn.VSTACK(YES_Writing_ELA[#Data],YES_Writing_FLA[#Data]),MATCH($A48,_xlfn.VSTACK(YES_Writing_ELA[Student Number],YES_Writing_FLA[Student Number]),0),MATCH(VLOOKUP(G$7,'Writing Logic'!$J$7:$K$11,2,FALSE)&amp;" - Per "&amp;VLOOKUP($C$4,'Writing Logic'!$G$8:$H$14,2,FALSE),YES_Writing_ELA[#Headers],0)))),"")</f>
        <v/>
      </c>
      <c r="H48" s="138" t="str">
        <f>IFERROR(IF(IF(INDEX(_xlfn.VSTACK(YES_Writing_ELA[#Data],YES_Writing_FLA[#Data]),MATCH($A48,_xlfn.VSTACK(YES_Writing_ELA[Student Number],YES_Writing_FLA[Student Number]),0),MATCH(VLOOKUP(H$7,'Writing Logic'!$J$7:$K$11,2,FALSE)&amp;" - Per "&amp;VLOOKUP($C$4,'Writing Logic'!$G$8:$H$14,2,FALSE),YES_Writing_ELA[#Headers],0))=0,"",INDEX(_xlfn.VSTACK(YES_Writing_ELA[#Data],YES_Writing_FLA[#Data]),MATCH($A48,_xlfn.VSTACK(YES_Writing_ELA[Student Number],YES_Writing_FLA[Student Number]),0),MATCH(VLOOKUP(H$7,'Writing Logic'!$J$7:$K$11,2,FALSE)&amp;" - Per "&amp;VLOOKUP($C$4,'Writing Logic'!$G$8:$H$14,2,FALSE),YES_Writing_ELA[#Headers],0)))="INS",'Writing Logic'!$B$7,IF(INDEX(_xlfn.VSTACK(YES_Writing_ELA[#Data],YES_Writing_FLA[#Data]),MATCH($A48,_xlfn.VSTACK(YES_Writing_ELA[Student Number],YES_Writing_FLA[Student Number]),0),MATCH(VLOOKUP(H$7,'Writing Logic'!$J$7:$K$11,2,FALSE)&amp;" - Per "&amp;VLOOKUP($C$4,'Writing Logic'!$G$8:$H$14,2,FALSE),YES_Writing_ELA[#Headers],0))=0,"",INDEX(_xlfn.VSTACK(YES_Writing_ELA[#Data],YES_Writing_FLA[#Data]),MATCH($A48,_xlfn.VSTACK(YES_Writing_ELA[Student Number],YES_Writing_FLA[Student Number]),0),MATCH(VLOOKUP(H$7,'Writing Logic'!$J$7:$K$11,2,FALSE)&amp;" - Per "&amp;VLOOKUP($C$4,'Writing Logic'!$G$8:$H$14,2,FALSE),YES_Writing_ELA[#Headers],0)))),"")</f>
        <v/>
      </c>
    </row>
    <row r="49" spans="1:8" ht="14.25" customHeight="1" x14ac:dyDescent="0.25">
      <c r="A49" s="137"/>
      <c r="B49" s="137" t="str">
        <f>IFERROR(INDEX(_xlfn.VSTACK(YES_Writing_ELA[#Data], YES_Writing_FLA[#Data]),MATCH($A49,_xlfn.VSTACK(YES_Writing_ELA[Student Number], YES_Writing_FLA[Student Number]),0),MATCH(B$7,YES_Writing_ELA[#Headers],0)),"")</f>
        <v/>
      </c>
      <c r="C49" s="137" t="str">
        <f>IFERROR(INDEX(_xlfn.VSTACK(YES_Writing_ELA[#Data], YES_Writing_FLA[#Data]),MATCH($A49,_xlfn.VSTACK(YES_Writing_ELA[Student Number], YES_Writing_FLA[Student Number]),0),MATCH(C$7,YES_Writing_ELA[#Headers],0)),"")</f>
        <v/>
      </c>
      <c r="D49" s="138" t="str">
        <f>IFERROR(IF(IF(INDEX(_xlfn.VSTACK(YES_Writing_ELA[#Data],YES_Writing_FLA[#Data]),MATCH($A49,_xlfn.VSTACK(YES_Writing_ELA[Student Number],YES_Writing_FLA[Student Number]),0),MATCH(VLOOKUP(D$7,'Writing Logic'!$J$7:$K$11,2,FALSE)&amp;" - Per "&amp;VLOOKUP($C$4,'Writing Logic'!$G$8:$H$14,2,FALSE),YES_Writing_ELA[#Headers],0))=0,"",INDEX(_xlfn.VSTACK(YES_Writing_ELA[#Data],YES_Writing_FLA[#Data]),MATCH($A49,_xlfn.VSTACK(YES_Writing_ELA[Student Number],YES_Writing_FLA[Student Number]),0),MATCH(VLOOKUP(D$7,'Writing Logic'!$J$7:$K$11,2,FALSE)&amp;" - Per "&amp;VLOOKUP($C$4,'Writing Logic'!$G$8:$H$14,2,FALSE),YES_Writing_ELA[#Headers],0)))="INS",'Writing Logic'!$B$7,IF(INDEX(_xlfn.VSTACK(YES_Writing_ELA[#Data],YES_Writing_FLA[#Data]),MATCH($A49,_xlfn.VSTACK(YES_Writing_ELA[Student Number],YES_Writing_FLA[Student Number]),0),MATCH(VLOOKUP(D$7,'Writing Logic'!$J$7:$K$11,2,FALSE)&amp;" - Per "&amp;VLOOKUP($C$4,'Writing Logic'!$G$8:$H$14,2,FALSE),YES_Writing_ELA[#Headers],0))=0,"",INDEX(_xlfn.VSTACK(YES_Writing_ELA[#Data],YES_Writing_FLA[#Data]),MATCH($A49,_xlfn.VSTACK(YES_Writing_ELA[Student Number],YES_Writing_FLA[Student Number]),0),MATCH(VLOOKUP(D$7,'Writing Logic'!$J$7:$K$11,2,FALSE)&amp;" - Per "&amp;VLOOKUP($C$4,'Writing Logic'!$G$8:$H$14,2,FALSE),YES_Writing_ELA[#Headers],0)))),"")</f>
        <v/>
      </c>
      <c r="E49" s="138" t="str">
        <f>IFERROR(IF(IF(INDEX(_xlfn.VSTACK(YES_Writing_ELA[#Data],YES_Writing_FLA[#Data]),MATCH($A49,_xlfn.VSTACK(YES_Writing_ELA[Student Number],YES_Writing_FLA[Student Number]),0),MATCH(VLOOKUP(E$7,'Writing Logic'!$J$7:$K$11,2,FALSE)&amp;" - Per "&amp;VLOOKUP($C$4,'Writing Logic'!$G$8:$H$14,2,FALSE),YES_Writing_ELA[#Headers],0))=0,"",INDEX(_xlfn.VSTACK(YES_Writing_ELA[#Data],YES_Writing_FLA[#Data]),MATCH($A49,_xlfn.VSTACK(YES_Writing_ELA[Student Number],YES_Writing_FLA[Student Number]),0),MATCH(VLOOKUP(E$7,'Writing Logic'!$J$7:$K$11,2,FALSE)&amp;" - Per "&amp;VLOOKUP($C$4,'Writing Logic'!$G$8:$H$14,2,FALSE),YES_Writing_ELA[#Headers],0)))="INS",'Writing Logic'!$B$7,IF(INDEX(_xlfn.VSTACK(YES_Writing_ELA[#Data],YES_Writing_FLA[#Data]),MATCH($A49,_xlfn.VSTACK(YES_Writing_ELA[Student Number],YES_Writing_FLA[Student Number]),0),MATCH(VLOOKUP(E$7,'Writing Logic'!$J$7:$K$11,2,FALSE)&amp;" - Per "&amp;VLOOKUP($C$4,'Writing Logic'!$G$8:$H$14,2,FALSE),YES_Writing_ELA[#Headers],0))=0,"",INDEX(_xlfn.VSTACK(YES_Writing_ELA[#Data],YES_Writing_FLA[#Data]),MATCH($A49,_xlfn.VSTACK(YES_Writing_ELA[Student Number],YES_Writing_FLA[Student Number]),0),MATCH(VLOOKUP(E$7,'Writing Logic'!$J$7:$K$11,2,FALSE)&amp;" - Per "&amp;VLOOKUP($C$4,'Writing Logic'!$G$8:$H$14,2,FALSE),YES_Writing_ELA[#Headers],0)))),"")</f>
        <v/>
      </c>
      <c r="F49" s="138" t="str">
        <f>IFERROR(IF(IF(INDEX(_xlfn.VSTACK(YES_Writing_ELA[#Data],YES_Writing_FLA[#Data]),MATCH($A49,_xlfn.VSTACK(YES_Writing_ELA[Student Number],YES_Writing_FLA[Student Number]),0),MATCH(VLOOKUP(F$7,'Writing Logic'!$J$7:$K$11,2,FALSE)&amp;" - Per "&amp;VLOOKUP($C$4,'Writing Logic'!$G$8:$H$14,2,FALSE),YES_Writing_ELA[#Headers],0))=0,"",INDEX(_xlfn.VSTACK(YES_Writing_ELA[#Data],YES_Writing_FLA[#Data]),MATCH($A49,_xlfn.VSTACK(YES_Writing_ELA[Student Number],YES_Writing_FLA[Student Number]),0),MATCH(VLOOKUP(F$7,'Writing Logic'!$J$7:$K$11,2,FALSE)&amp;" - Per "&amp;VLOOKUP($C$4,'Writing Logic'!$G$8:$H$14,2,FALSE),YES_Writing_ELA[#Headers],0)))="INS",'Writing Logic'!$B$7,IF(INDEX(_xlfn.VSTACK(YES_Writing_ELA[#Data],YES_Writing_FLA[#Data]),MATCH($A49,_xlfn.VSTACK(YES_Writing_ELA[Student Number],YES_Writing_FLA[Student Number]),0),MATCH(VLOOKUP(F$7,'Writing Logic'!$J$7:$K$11,2,FALSE)&amp;" - Per "&amp;VLOOKUP($C$4,'Writing Logic'!$G$8:$H$14,2,FALSE),YES_Writing_ELA[#Headers],0))=0,"",INDEX(_xlfn.VSTACK(YES_Writing_ELA[#Data],YES_Writing_FLA[#Data]),MATCH($A49,_xlfn.VSTACK(YES_Writing_ELA[Student Number],YES_Writing_FLA[Student Number]),0),MATCH(VLOOKUP(F$7,'Writing Logic'!$J$7:$K$11,2,FALSE)&amp;" - Per "&amp;VLOOKUP($C$4,'Writing Logic'!$G$8:$H$14,2,FALSE),YES_Writing_ELA[#Headers],0)))),"")</f>
        <v/>
      </c>
      <c r="G49" s="138" t="str">
        <f>IFERROR(IF(IF(INDEX(_xlfn.VSTACK(YES_Writing_ELA[#Data],YES_Writing_FLA[#Data]),MATCH($A49,_xlfn.VSTACK(YES_Writing_ELA[Student Number],YES_Writing_FLA[Student Number]),0),MATCH(VLOOKUP(G$7,'Writing Logic'!$J$7:$K$11,2,FALSE)&amp;" - Per "&amp;VLOOKUP($C$4,'Writing Logic'!$G$8:$H$14,2,FALSE),YES_Writing_ELA[#Headers],0))=0,"",INDEX(_xlfn.VSTACK(YES_Writing_ELA[#Data],YES_Writing_FLA[#Data]),MATCH($A49,_xlfn.VSTACK(YES_Writing_ELA[Student Number],YES_Writing_FLA[Student Number]),0),MATCH(VLOOKUP(G$7,'Writing Logic'!$J$7:$K$11,2,FALSE)&amp;" - Per "&amp;VLOOKUP($C$4,'Writing Logic'!$G$8:$H$14,2,FALSE),YES_Writing_ELA[#Headers],0)))="INS",'Writing Logic'!$B$7,IF(INDEX(_xlfn.VSTACK(YES_Writing_ELA[#Data],YES_Writing_FLA[#Data]),MATCH($A49,_xlfn.VSTACK(YES_Writing_ELA[Student Number],YES_Writing_FLA[Student Number]),0),MATCH(VLOOKUP(G$7,'Writing Logic'!$J$7:$K$11,2,FALSE)&amp;" - Per "&amp;VLOOKUP($C$4,'Writing Logic'!$G$8:$H$14,2,FALSE),YES_Writing_ELA[#Headers],0))=0,"",INDEX(_xlfn.VSTACK(YES_Writing_ELA[#Data],YES_Writing_FLA[#Data]),MATCH($A49,_xlfn.VSTACK(YES_Writing_ELA[Student Number],YES_Writing_FLA[Student Number]),0),MATCH(VLOOKUP(G$7,'Writing Logic'!$J$7:$K$11,2,FALSE)&amp;" - Per "&amp;VLOOKUP($C$4,'Writing Logic'!$G$8:$H$14,2,FALSE),YES_Writing_ELA[#Headers],0)))),"")</f>
        <v/>
      </c>
      <c r="H49" s="138" t="str">
        <f>IFERROR(IF(IF(INDEX(_xlfn.VSTACK(YES_Writing_ELA[#Data],YES_Writing_FLA[#Data]),MATCH($A49,_xlfn.VSTACK(YES_Writing_ELA[Student Number],YES_Writing_FLA[Student Number]),0),MATCH(VLOOKUP(H$7,'Writing Logic'!$J$7:$K$11,2,FALSE)&amp;" - Per "&amp;VLOOKUP($C$4,'Writing Logic'!$G$8:$H$14,2,FALSE),YES_Writing_ELA[#Headers],0))=0,"",INDEX(_xlfn.VSTACK(YES_Writing_ELA[#Data],YES_Writing_FLA[#Data]),MATCH($A49,_xlfn.VSTACK(YES_Writing_ELA[Student Number],YES_Writing_FLA[Student Number]),0),MATCH(VLOOKUP(H$7,'Writing Logic'!$J$7:$K$11,2,FALSE)&amp;" - Per "&amp;VLOOKUP($C$4,'Writing Logic'!$G$8:$H$14,2,FALSE),YES_Writing_ELA[#Headers],0)))="INS",'Writing Logic'!$B$7,IF(INDEX(_xlfn.VSTACK(YES_Writing_ELA[#Data],YES_Writing_FLA[#Data]),MATCH($A49,_xlfn.VSTACK(YES_Writing_ELA[Student Number],YES_Writing_FLA[Student Number]),0),MATCH(VLOOKUP(H$7,'Writing Logic'!$J$7:$K$11,2,FALSE)&amp;" - Per "&amp;VLOOKUP($C$4,'Writing Logic'!$G$8:$H$14,2,FALSE),YES_Writing_ELA[#Headers],0))=0,"",INDEX(_xlfn.VSTACK(YES_Writing_ELA[#Data],YES_Writing_FLA[#Data]),MATCH($A49,_xlfn.VSTACK(YES_Writing_ELA[Student Number],YES_Writing_FLA[Student Number]),0),MATCH(VLOOKUP(H$7,'Writing Logic'!$J$7:$K$11,2,FALSE)&amp;" - Per "&amp;VLOOKUP($C$4,'Writing Logic'!$G$8:$H$14,2,FALSE),YES_Writing_ELA[#Headers],0)))),"")</f>
        <v/>
      </c>
    </row>
    <row r="50" spans="1:8" ht="14.25" customHeight="1" x14ac:dyDescent="0.25">
      <c r="A50" s="137"/>
      <c r="B50" s="137" t="str">
        <f>IFERROR(INDEX(_xlfn.VSTACK(YES_Writing_ELA[#Data], YES_Writing_FLA[#Data]),MATCH($A50,_xlfn.VSTACK(YES_Writing_ELA[Student Number], YES_Writing_FLA[Student Number]),0),MATCH(B$7,YES_Writing_ELA[#Headers],0)),"")</f>
        <v/>
      </c>
      <c r="C50" s="137" t="str">
        <f>IFERROR(INDEX(_xlfn.VSTACK(YES_Writing_ELA[#Data], YES_Writing_FLA[#Data]),MATCH($A50,_xlfn.VSTACK(YES_Writing_ELA[Student Number], YES_Writing_FLA[Student Number]),0),MATCH(C$7,YES_Writing_ELA[#Headers],0)),"")</f>
        <v/>
      </c>
      <c r="D50" s="138" t="str">
        <f>IFERROR(IF(IF(INDEX(_xlfn.VSTACK(YES_Writing_ELA[#Data],YES_Writing_FLA[#Data]),MATCH($A50,_xlfn.VSTACK(YES_Writing_ELA[Student Number],YES_Writing_FLA[Student Number]),0),MATCH(VLOOKUP(D$7,'Writing Logic'!$J$7:$K$11,2,FALSE)&amp;" - Per "&amp;VLOOKUP($C$4,'Writing Logic'!$G$8:$H$14,2,FALSE),YES_Writing_ELA[#Headers],0))=0,"",INDEX(_xlfn.VSTACK(YES_Writing_ELA[#Data],YES_Writing_FLA[#Data]),MATCH($A50,_xlfn.VSTACK(YES_Writing_ELA[Student Number],YES_Writing_FLA[Student Number]),0),MATCH(VLOOKUP(D$7,'Writing Logic'!$J$7:$K$11,2,FALSE)&amp;" - Per "&amp;VLOOKUP($C$4,'Writing Logic'!$G$8:$H$14,2,FALSE),YES_Writing_ELA[#Headers],0)))="INS",'Writing Logic'!$B$7,IF(INDEX(_xlfn.VSTACK(YES_Writing_ELA[#Data],YES_Writing_FLA[#Data]),MATCH($A50,_xlfn.VSTACK(YES_Writing_ELA[Student Number],YES_Writing_FLA[Student Number]),0),MATCH(VLOOKUP(D$7,'Writing Logic'!$J$7:$K$11,2,FALSE)&amp;" - Per "&amp;VLOOKUP($C$4,'Writing Logic'!$G$8:$H$14,2,FALSE),YES_Writing_ELA[#Headers],0))=0,"",INDEX(_xlfn.VSTACK(YES_Writing_ELA[#Data],YES_Writing_FLA[#Data]),MATCH($A50,_xlfn.VSTACK(YES_Writing_ELA[Student Number],YES_Writing_FLA[Student Number]),0),MATCH(VLOOKUP(D$7,'Writing Logic'!$J$7:$K$11,2,FALSE)&amp;" - Per "&amp;VLOOKUP($C$4,'Writing Logic'!$G$8:$H$14,2,FALSE),YES_Writing_ELA[#Headers],0)))),"")</f>
        <v/>
      </c>
      <c r="E50" s="138" t="str">
        <f>IFERROR(IF(IF(INDEX(_xlfn.VSTACK(YES_Writing_ELA[#Data],YES_Writing_FLA[#Data]),MATCH($A50,_xlfn.VSTACK(YES_Writing_ELA[Student Number],YES_Writing_FLA[Student Number]),0),MATCH(VLOOKUP(E$7,'Writing Logic'!$J$7:$K$11,2,FALSE)&amp;" - Per "&amp;VLOOKUP($C$4,'Writing Logic'!$G$8:$H$14,2,FALSE),YES_Writing_ELA[#Headers],0))=0,"",INDEX(_xlfn.VSTACK(YES_Writing_ELA[#Data],YES_Writing_FLA[#Data]),MATCH($A50,_xlfn.VSTACK(YES_Writing_ELA[Student Number],YES_Writing_FLA[Student Number]),0),MATCH(VLOOKUP(E$7,'Writing Logic'!$J$7:$K$11,2,FALSE)&amp;" - Per "&amp;VLOOKUP($C$4,'Writing Logic'!$G$8:$H$14,2,FALSE),YES_Writing_ELA[#Headers],0)))="INS",'Writing Logic'!$B$7,IF(INDEX(_xlfn.VSTACK(YES_Writing_ELA[#Data],YES_Writing_FLA[#Data]),MATCH($A50,_xlfn.VSTACK(YES_Writing_ELA[Student Number],YES_Writing_FLA[Student Number]),0),MATCH(VLOOKUP(E$7,'Writing Logic'!$J$7:$K$11,2,FALSE)&amp;" - Per "&amp;VLOOKUP($C$4,'Writing Logic'!$G$8:$H$14,2,FALSE),YES_Writing_ELA[#Headers],0))=0,"",INDEX(_xlfn.VSTACK(YES_Writing_ELA[#Data],YES_Writing_FLA[#Data]),MATCH($A50,_xlfn.VSTACK(YES_Writing_ELA[Student Number],YES_Writing_FLA[Student Number]),0),MATCH(VLOOKUP(E$7,'Writing Logic'!$J$7:$K$11,2,FALSE)&amp;" - Per "&amp;VLOOKUP($C$4,'Writing Logic'!$G$8:$H$14,2,FALSE),YES_Writing_ELA[#Headers],0)))),"")</f>
        <v/>
      </c>
      <c r="F50" s="138" t="str">
        <f>IFERROR(IF(IF(INDEX(_xlfn.VSTACK(YES_Writing_ELA[#Data],YES_Writing_FLA[#Data]),MATCH($A50,_xlfn.VSTACK(YES_Writing_ELA[Student Number],YES_Writing_FLA[Student Number]),0),MATCH(VLOOKUP(F$7,'Writing Logic'!$J$7:$K$11,2,FALSE)&amp;" - Per "&amp;VLOOKUP($C$4,'Writing Logic'!$G$8:$H$14,2,FALSE),YES_Writing_ELA[#Headers],0))=0,"",INDEX(_xlfn.VSTACK(YES_Writing_ELA[#Data],YES_Writing_FLA[#Data]),MATCH($A50,_xlfn.VSTACK(YES_Writing_ELA[Student Number],YES_Writing_FLA[Student Number]),0),MATCH(VLOOKUP(F$7,'Writing Logic'!$J$7:$K$11,2,FALSE)&amp;" - Per "&amp;VLOOKUP($C$4,'Writing Logic'!$G$8:$H$14,2,FALSE),YES_Writing_ELA[#Headers],0)))="INS",'Writing Logic'!$B$7,IF(INDEX(_xlfn.VSTACK(YES_Writing_ELA[#Data],YES_Writing_FLA[#Data]),MATCH($A50,_xlfn.VSTACK(YES_Writing_ELA[Student Number],YES_Writing_FLA[Student Number]),0),MATCH(VLOOKUP(F$7,'Writing Logic'!$J$7:$K$11,2,FALSE)&amp;" - Per "&amp;VLOOKUP($C$4,'Writing Logic'!$G$8:$H$14,2,FALSE),YES_Writing_ELA[#Headers],0))=0,"",INDEX(_xlfn.VSTACK(YES_Writing_ELA[#Data],YES_Writing_FLA[#Data]),MATCH($A50,_xlfn.VSTACK(YES_Writing_ELA[Student Number],YES_Writing_FLA[Student Number]),0),MATCH(VLOOKUP(F$7,'Writing Logic'!$J$7:$K$11,2,FALSE)&amp;" - Per "&amp;VLOOKUP($C$4,'Writing Logic'!$G$8:$H$14,2,FALSE),YES_Writing_ELA[#Headers],0)))),"")</f>
        <v/>
      </c>
      <c r="G50" s="138" t="str">
        <f>IFERROR(IF(IF(INDEX(_xlfn.VSTACK(YES_Writing_ELA[#Data],YES_Writing_FLA[#Data]),MATCH($A50,_xlfn.VSTACK(YES_Writing_ELA[Student Number],YES_Writing_FLA[Student Number]),0),MATCH(VLOOKUP(G$7,'Writing Logic'!$J$7:$K$11,2,FALSE)&amp;" - Per "&amp;VLOOKUP($C$4,'Writing Logic'!$G$8:$H$14,2,FALSE),YES_Writing_ELA[#Headers],0))=0,"",INDEX(_xlfn.VSTACK(YES_Writing_ELA[#Data],YES_Writing_FLA[#Data]),MATCH($A50,_xlfn.VSTACK(YES_Writing_ELA[Student Number],YES_Writing_FLA[Student Number]),0),MATCH(VLOOKUP(G$7,'Writing Logic'!$J$7:$K$11,2,FALSE)&amp;" - Per "&amp;VLOOKUP($C$4,'Writing Logic'!$G$8:$H$14,2,FALSE),YES_Writing_ELA[#Headers],0)))="INS",'Writing Logic'!$B$7,IF(INDEX(_xlfn.VSTACK(YES_Writing_ELA[#Data],YES_Writing_FLA[#Data]),MATCH($A50,_xlfn.VSTACK(YES_Writing_ELA[Student Number],YES_Writing_FLA[Student Number]),0),MATCH(VLOOKUP(G$7,'Writing Logic'!$J$7:$K$11,2,FALSE)&amp;" - Per "&amp;VLOOKUP($C$4,'Writing Logic'!$G$8:$H$14,2,FALSE),YES_Writing_ELA[#Headers],0))=0,"",INDEX(_xlfn.VSTACK(YES_Writing_ELA[#Data],YES_Writing_FLA[#Data]),MATCH($A50,_xlfn.VSTACK(YES_Writing_ELA[Student Number],YES_Writing_FLA[Student Number]),0),MATCH(VLOOKUP(G$7,'Writing Logic'!$J$7:$K$11,2,FALSE)&amp;" - Per "&amp;VLOOKUP($C$4,'Writing Logic'!$G$8:$H$14,2,FALSE),YES_Writing_ELA[#Headers],0)))),"")</f>
        <v/>
      </c>
      <c r="H50" s="138" t="str">
        <f>IFERROR(IF(IF(INDEX(_xlfn.VSTACK(YES_Writing_ELA[#Data],YES_Writing_FLA[#Data]),MATCH($A50,_xlfn.VSTACK(YES_Writing_ELA[Student Number],YES_Writing_FLA[Student Number]),0),MATCH(VLOOKUP(H$7,'Writing Logic'!$J$7:$K$11,2,FALSE)&amp;" - Per "&amp;VLOOKUP($C$4,'Writing Logic'!$G$8:$H$14,2,FALSE),YES_Writing_ELA[#Headers],0))=0,"",INDEX(_xlfn.VSTACK(YES_Writing_ELA[#Data],YES_Writing_FLA[#Data]),MATCH($A50,_xlfn.VSTACK(YES_Writing_ELA[Student Number],YES_Writing_FLA[Student Number]),0),MATCH(VLOOKUP(H$7,'Writing Logic'!$J$7:$K$11,2,FALSE)&amp;" - Per "&amp;VLOOKUP($C$4,'Writing Logic'!$G$8:$H$14,2,FALSE),YES_Writing_ELA[#Headers],0)))="INS",'Writing Logic'!$B$7,IF(INDEX(_xlfn.VSTACK(YES_Writing_ELA[#Data],YES_Writing_FLA[#Data]),MATCH($A50,_xlfn.VSTACK(YES_Writing_ELA[Student Number],YES_Writing_FLA[Student Number]),0),MATCH(VLOOKUP(H$7,'Writing Logic'!$J$7:$K$11,2,FALSE)&amp;" - Per "&amp;VLOOKUP($C$4,'Writing Logic'!$G$8:$H$14,2,FALSE),YES_Writing_ELA[#Headers],0))=0,"",INDEX(_xlfn.VSTACK(YES_Writing_ELA[#Data],YES_Writing_FLA[#Data]),MATCH($A50,_xlfn.VSTACK(YES_Writing_ELA[Student Number],YES_Writing_FLA[Student Number]),0),MATCH(VLOOKUP(H$7,'Writing Logic'!$J$7:$K$11,2,FALSE)&amp;" - Per "&amp;VLOOKUP($C$4,'Writing Logic'!$G$8:$H$14,2,FALSE),YES_Writing_ELA[#Headers],0)))),"")</f>
        <v/>
      </c>
    </row>
    <row r="51" spans="1:8" ht="14.25" customHeight="1" x14ac:dyDescent="0.25">
      <c r="A51" s="137"/>
      <c r="B51" s="137" t="str">
        <f>IFERROR(INDEX(_xlfn.VSTACK(YES_Writing_ELA[#Data], YES_Writing_FLA[#Data]),MATCH($A51,_xlfn.VSTACK(YES_Writing_ELA[Student Number], YES_Writing_FLA[Student Number]),0),MATCH(B$7,YES_Writing_ELA[#Headers],0)),"")</f>
        <v/>
      </c>
      <c r="C51" s="137" t="str">
        <f>IFERROR(INDEX(_xlfn.VSTACK(YES_Writing_ELA[#Data], YES_Writing_FLA[#Data]),MATCH($A51,_xlfn.VSTACK(YES_Writing_ELA[Student Number], YES_Writing_FLA[Student Number]),0),MATCH(C$7,YES_Writing_ELA[#Headers],0)),"")</f>
        <v/>
      </c>
      <c r="D51" s="138" t="str">
        <f>IFERROR(IF(IF(INDEX(_xlfn.VSTACK(YES_Writing_ELA[#Data],YES_Writing_FLA[#Data]),MATCH($A51,_xlfn.VSTACK(YES_Writing_ELA[Student Number],YES_Writing_FLA[Student Number]),0),MATCH(VLOOKUP(D$7,'Writing Logic'!$J$7:$K$11,2,FALSE)&amp;" - Per "&amp;VLOOKUP($C$4,'Writing Logic'!$G$8:$H$14,2,FALSE),YES_Writing_ELA[#Headers],0))=0,"",INDEX(_xlfn.VSTACK(YES_Writing_ELA[#Data],YES_Writing_FLA[#Data]),MATCH($A51,_xlfn.VSTACK(YES_Writing_ELA[Student Number],YES_Writing_FLA[Student Number]),0),MATCH(VLOOKUP(D$7,'Writing Logic'!$J$7:$K$11,2,FALSE)&amp;" - Per "&amp;VLOOKUP($C$4,'Writing Logic'!$G$8:$H$14,2,FALSE),YES_Writing_ELA[#Headers],0)))="INS",'Writing Logic'!$B$7,IF(INDEX(_xlfn.VSTACK(YES_Writing_ELA[#Data],YES_Writing_FLA[#Data]),MATCH($A51,_xlfn.VSTACK(YES_Writing_ELA[Student Number],YES_Writing_FLA[Student Number]),0),MATCH(VLOOKUP(D$7,'Writing Logic'!$J$7:$K$11,2,FALSE)&amp;" - Per "&amp;VLOOKUP($C$4,'Writing Logic'!$G$8:$H$14,2,FALSE),YES_Writing_ELA[#Headers],0))=0,"",INDEX(_xlfn.VSTACK(YES_Writing_ELA[#Data],YES_Writing_FLA[#Data]),MATCH($A51,_xlfn.VSTACK(YES_Writing_ELA[Student Number],YES_Writing_FLA[Student Number]),0),MATCH(VLOOKUP(D$7,'Writing Logic'!$J$7:$K$11,2,FALSE)&amp;" - Per "&amp;VLOOKUP($C$4,'Writing Logic'!$G$8:$H$14,2,FALSE),YES_Writing_ELA[#Headers],0)))),"")</f>
        <v/>
      </c>
      <c r="E51" s="138" t="str">
        <f>IFERROR(IF(IF(INDEX(_xlfn.VSTACK(YES_Writing_ELA[#Data],YES_Writing_FLA[#Data]),MATCH($A51,_xlfn.VSTACK(YES_Writing_ELA[Student Number],YES_Writing_FLA[Student Number]),0),MATCH(VLOOKUP(E$7,'Writing Logic'!$J$7:$K$11,2,FALSE)&amp;" - Per "&amp;VLOOKUP($C$4,'Writing Logic'!$G$8:$H$14,2,FALSE),YES_Writing_ELA[#Headers],0))=0,"",INDEX(_xlfn.VSTACK(YES_Writing_ELA[#Data],YES_Writing_FLA[#Data]),MATCH($A51,_xlfn.VSTACK(YES_Writing_ELA[Student Number],YES_Writing_FLA[Student Number]),0),MATCH(VLOOKUP(E$7,'Writing Logic'!$J$7:$K$11,2,FALSE)&amp;" - Per "&amp;VLOOKUP($C$4,'Writing Logic'!$G$8:$H$14,2,FALSE),YES_Writing_ELA[#Headers],0)))="INS",'Writing Logic'!$B$7,IF(INDEX(_xlfn.VSTACK(YES_Writing_ELA[#Data],YES_Writing_FLA[#Data]),MATCH($A51,_xlfn.VSTACK(YES_Writing_ELA[Student Number],YES_Writing_FLA[Student Number]),0),MATCH(VLOOKUP(E$7,'Writing Logic'!$J$7:$K$11,2,FALSE)&amp;" - Per "&amp;VLOOKUP($C$4,'Writing Logic'!$G$8:$H$14,2,FALSE),YES_Writing_ELA[#Headers],0))=0,"",INDEX(_xlfn.VSTACK(YES_Writing_ELA[#Data],YES_Writing_FLA[#Data]),MATCH($A51,_xlfn.VSTACK(YES_Writing_ELA[Student Number],YES_Writing_FLA[Student Number]),0),MATCH(VLOOKUP(E$7,'Writing Logic'!$J$7:$K$11,2,FALSE)&amp;" - Per "&amp;VLOOKUP($C$4,'Writing Logic'!$G$8:$H$14,2,FALSE),YES_Writing_ELA[#Headers],0)))),"")</f>
        <v/>
      </c>
      <c r="F51" s="138" t="str">
        <f>IFERROR(IF(IF(INDEX(_xlfn.VSTACK(YES_Writing_ELA[#Data],YES_Writing_FLA[#Data]),MATCH($A51,_xlfn.VSTACK(YES_Writing_ELA[Student Number],YES_Writing_FLA[Student Number]),0),MATCH(VLOOKUP(F$7,'Writing Logic'!$J$7:$K$11,2,FALSE)&amp;" - Per "&amp;VLOOKUP($C$4,'Writing Logic'!$G$8:$H$14,2,FALSE),YES_Writing_ELA[#Headers],0))=0,"",INDEX(_xlfn.VSTACK(YES_Writing_ELA[#Data],YES_Writing_FLA[#Data]),MATCH($A51,_xlfn.VSTACK(YES_Writing_ELA[Student Number],YES_Writing_FLA[Student Number]),0),MATCH(VLOOKUP(F$7,'Writing Logic'!$J$7:$K$11,2,FALSE)&amp;" - Per "&amp;VLOOKUP($C$4,'Writing Logic'!$G$8:$H$14,2,FALSE),YES_Writing_ELA[#Headers],0)))="INS",'Writing Logic'!$B$7,IF(INDEX(_xlfn.VSTACK(YES_Writing_ELA[#Data],YES_Writing_FLA[#Data]),MATCH($A51,_xlfn.VSTACK(YES_Writing_ELA[Student Number],YES_Writing_FLA[Student Number]),0),MATCH(VLOOKUP(F$7,'Writing Logic'!$J$7:$K$11,2,FALSE)&amp;" - Per "&amp;VLOOKUP($C$4,'Writing Logic'!$G$8:$H$14,2,FALSE),YES_Writing_ELA[#Headers],0))=0,"",INDEX(_xlfn.VSTACK(YES_Writing_ELA[#Data],YES_Writing_FLA[#Data]),MATCH($A51,_xlfn.VSTACK(YES_Writing_ELA[Student Number],YES_Writing_FLA[Student Number]),0),MATCH(VLOOKUP(F$7,'Writing Logic'!$J$7:$K$11,2,FALSE)&amp;" - Per "&amp;VLOOKUP($C$4,'Writing Logic'!$G$8:$H$14,2,FALSE),YES_Writing_ELA[#Headers],0)))),"")</f>
        <v/>
      </c>
      <c r="G51" s="138" t="str">
        <f>IFERROR(IF(IF(INDEX(_xlfn.VSTACK(YES_Writing_ELA[#Data],YES_Writing_FLA[#Data]),MATCH($A51,_xlfn.VSTACK(YES_Writing_ELA[Student Number],YES_Writing_FLA[Student Number]),0),MATCH(VLOOKUP(G$7,'Writing Logic'!$J$7:$K$11,2,FALSE)&amp;" - Per "&amp;VLOOKUP($C$4,'Writing Logic'!$G$8:$H$14,2,FALSE),YES_Writing_ELA[#Headers],0))=0,"",INDEX(_xlfn.VSTACK(YES_Writing_ELA[#Data],YES_Writing_FLA[#Data]),MATCH($A51,_xlfn.VSTACK(YES_Writing_ELA[Student Number],YES_Writing_FLA[Student Number]),0),MATCH(VLOOKUP(G$7,'Writing Logic'!$J$7:$K$11,2,FALSE)&amp;" - Per "&amp;VLOOKUP($C$4,'Writing Logic'!$G$8:$H$14,2,FALSE),YES_Writing_ELA[#Headers],0)))="INS",'Writing Logic'!$B$7,IF(INDEX(_xlfn.VSTACK(YES_Writing_ELA[#Data],YES_Writing_FLA[#Data]),MATCH($A51,_xlfn.VSTACK(YES_Writing_ELA[Student Number],YES_Writing_FLA[Student Number]),0),MATCH(VLOOKUP(G$7,'Writing Logic'!$J$7:$K$11,2,FALSE)&amp;" - Per "&amp;VLOOKUP($C$4,'Writing Logic'!$G$8:$H$14,2,FALSE),YES_Writing_ELA[#Headers],0))=0,"",INDEX(_xlfn.VSTACK(YES_Writing_ELA[#Data],YES_Writing_FLA[#Data]),MATCH($A51,_xlfn.VSTACK(YES_Writing_ELA[Student Number],YES_Writing_FLA[Student Number]),0),MATCH(VLOOKUP(G$7,'Writing Logic'!$J$7:$K$11,2,FALSE)&amp;" - Per "&amp;VLOOKUP($C$4,'Writing Logic'!$G$8:$H$14,2,FALSE),YES_Writing_ELA[#Headers],0)))),"")</f>
        <v/>
      </c>
      <c r="H51" s="138" t="str">
        <f>IFERROR(IF(IF(INDEX(_xlfn.VSTACK(YES_Writing_ELA[#Data],YES_Writing_FLA[#Data]),MATCH($A51,_xlfn.VSTACK(YES_Writing_ELA[Student Number],YES_Writing_FLA[Student Number]),0),MATCH(VLOOKUP(H$7,'Writing Logic'!$J$7:$K$11,2,FALSE)&amp;" - Per "&amp;VLOOKUP($C$4,'Writing Logic'!$G$8:$H$14,2,FALSE),YES_Writing_ELA[#Headers],0))=0,"",INDEX(_xlfn.VSTACK(YES_Writing_ELA[#Data],YES_Writing_FLA[#Data]),MATCH($A51,_xlfn.VSTACK(YES_Writing_ELA[Student Number],YES_Writing_FLA[Student Number]),0),MATCH(VLOOKUP(H$7,'Writing Logic'!$J$7:$K$11,2,FALSE)&amp;" - Per "&amp;VLOOKUP($C$4,'Writing Logic'!$G$8:$H$14,2,FALSE),YES_Writing_ELA[#Headers],0)))="INS",'Writing Logic'!$B$7,IF(INDEX(_xlfn.VSTACK(YES_Writing_ELA[#Data],YES_Writing_FLA[#Data]),MATCH($A51,_xlfn.VSTACK(YES_Writing_ELA[Student Number],YES_Writing_FLA[Student Number]),0),MATCH(VLOOKUP(H$7,'Writing Logic'!$J$7:$K$11,2,FALSE)&amp;" - Per "&amp;VLOOKUP($C$4,'Writing Logic'!$G$8:$H$14,2,FALSE),YES_Writing_ELA[#Headers],0))=0,"",INDEX(_xlfn.VSTACK(YES_Writing_ELA[#Data],YES_Writing_FLA[#Data]),MATCH($A51,_xlfn.VSTACK(YES_Writing_ELA[Student Number],YES_Writing_FLA[Student Number]),0),MATCH(VLOOKUP(H$7,'Writing Logic'!$J$7:$K$11,2,FALSE)&amp;" - Per "&amp;VLOOKUP($C$4,'Writing Logic'!$G$8:$H$14,2,FALSE),YES_Writing_ELA[#Headers],0)))),"")</f>
        <v/>
      </c>
    </row>
    <row r="52" spans="1:8" ht="14.25" customHeight="1" x14ac:dyDescent="0.25">
      <c r="A52" s="137"/>
      <c r="B52" s="137" t="str">
        <f>IFERROR(INDEX(_xlfn.VSTACK(YES_Writing_ELA[#Data], YES_Writing_FLA[#Data]),MATCH($A52,_xlfn.VSTACK(YES_Writing_ELA[Student Number], YES_Writing_FLA[Student Number]),0),MATCH(B$7,YES_Writing_ELA[#Headers],0)),"")</f>
        <v/>
      </c>
      <c r="C52" s="137" t="str">
        <f>IFERROR(INDEX(_xlfn.VSTACK(YES_Writing_ELA[#Data], YES_Writing_FLA[#Data]),MATCH($A52,_xlfn.VSTACK(YES_Writing_ELA[Student Number], YES_Writing_FLA[Student Number]),0),MATCH(C$7,YES_Writing_ELA[#Headers],0)),"")</f>
        <v/>
      </c>
      <c r="D52" s="138" t="str">
        <f>IFERROR(IF(IF(INDEX(_xlfn.VSTACK(YES_Writing_ELA[#Data],YES_Writing_FLA[#Data]),MATCH($A52,_xlfn.VSTACK(YES_Writing_ELA[Student Number],YES_Writing_FLA[Student Number]),0),MATCH(VLOOKUP(D$7,'Writing Logic'!$J$7:$K$11,2,FALSE)&amp;" - Per "&amp;VLOOKUP($C$4,'Writing Logic'!$G$8:$H$14,2,FALSE),YES_Writing_ELA[#Headers],0))=0,"",INDEX(_xlfn.VSTACK(YES_Writing_ELA[#Data],YES_Writing_FLA[#Data]),MATCH($A52,_xlfn.VSTACK(YES_Writing_ELA[Student Number],YES_Writing_FLA[Student Number]),0),MATCH(VLOOKUP(D$7,'Writing Logic'!$J$7:$K$11,2,FALSE)&amp;" - Per "&amp;VLOOKUP($C$4,'Writing Logic'!$G$8:$H$14,2,FALSE),YES_Writing_ELA[#Headers],0)))="INS",'Writing Logic'!$B$7,IF(INDEX(_xlfn.VSTACK(YES_Writing_ELA[#Data],YES_Writing_FLA[#Data]),MATCH($A52,_xlfn.VSTACK(YES_Writing_ELA[Student Number],YES_Writing_FLA[Student Number]),0),MATCH(VLOOKUP(D$7,'Writing Logic'!$J$7:$K$11,2,FALSE)&amp;" - Per "&amp;VLOOKUP($C$4,'Writing Logic'!$G$8:$H$14,2,FALSE),YES_Writing_ELA[#Headers],0))=0,"",INDEX(_xlfn.VSTACK(YES_Writing_ELA[#Data],YES_Writing_FLA[#Data]),MATCH($A52,_xlfn.VSTACK(YES_Writing_ELA[Student Number],YES_Writing_FLA[Student Number]),0),MATCH(VLOOKUP(D$7,'Writing Logic'!$J$7:$K$11,2,FALSE)&amp;" - Per "&amp;VLOOKUP($C$4,'Writing Logic'!$G$8:$H$14,2,FALSE),YES_Writing_ELA[#Headers],0)))),"")</f>
        <v/>
      </c>
      <c r="E52" s="138" t="str">
        <f>IFERROR(IF(IF(INDEX(_xlfn.VSTACK(YES_Writing_ELA[#Data],YES_Writing_FLA[#Data]),MATCH($A52,_xlfn.VSTACK(YES_Writing_ELA[Student Number],YES_Writing_FLA[Student Number]),0),MATCH(VLOOKUP(E$7,'Writing Logic'!$J$7:$K$11,2,FALSE)&amp;" - Per "&amp;VLOOKUP($C$4,'Writing Logic'!$G$8:$H$14,2,FALSE),YES_Writing_ELA[#Headers],0))=0,"",INDEX(_xlfn.VSTACK(YES_Writing_ELA[#Data],YES_Writing_FLA[#Data]),MATCH($A52,_xlfn.VSTACK(YES_Writing_ELA[Student Number],YES_Writing_FLA[Student Number]),0),MATCH(VLOOKUP(E$7,'Writing Logic'!$J$7:$K$11,2,FALSE)&amp;" - Per "&amp;VLOOKUP($C$4,'Writing Logic'!$G$8:$H$14,2,FALSE),YES_Writing_ELA[#Headers],0)))="INS",'Writing Logic'!$B$7,IF(INDEX(_xlfn.VSTACK(YES_Writing_ELA[#Data],YES_Writing_FLA[#Data]),MATCH($A52,_xlfn.VSTACK(YES_Writing_ELA[Student Number],YES_Writing_FLA[Student Number]),0),MATCH(VLOOKUP(E$7,'Writing Logic'!$J$7:$K$11,2,FALSE)&amp;" - Per "&amp;VLOOKUP($C$4,'Writing Logic'!$G$8:$H$14,2,FALSE),YES_Writing_ELA[#Headers],0))=0,"",INDEX(_xlfn.VSTACK(YES_Writing_ELA[#Data],YES_Writing_FLA[#Data]),MATCH($A52,_xlfn.VSTACK(YES_Writing_ELA[Student Number],YES_Writing_FLA[Student Number]),0),MATCH(VLOOKUP(E$7,'Writing Logic'!$J$7:$K$11,2,FALSE)&amp;" - Per "&amp;VLOOKUP($C$4,'Writing Logic'!$G$8:$H$14,2,FALSE),YES_Writing_ELA[#Headers],0)))),"")</f>
        <v/>
      </c>
      <c r="F52" s="138" t="str">
        <f>IFERROR(IF(IF(INDEX(_xlfn.VSTACK(YES_Writing_ELA[#Data],YES_Writing_FLA[#Data]),MATCH($A52,_xlfn.VSTACK(YES_Writing_ELA[Student Number],YES_Writing_FLA[Student Number]),0),MATCH(VLOOKUP(F$7,'Writing Logic'!$J$7:$K$11,2,FALSE)&amp;" - Per "&amp;VLOOKUP($C$4,'Writing Logic'!$G$8:$H$14,2,FALSE),YES_Writing_ELA[#Headers],0))=0,"",INDEX(_xlfn.VSTACK(YES_Writing_ELA[#Data],YES_Writing_FLA[#Data]),MATCH($A52,_xlfn.VSTACK(YES_Writing_ELA[Student Number],YES_Writing_FLA[Student Number]),0),MATCH(VLOOKUP(F$7,'Writing Logic'!$J$7:$K$11,2,FALSE)&amp;" - Per "&amp;VLOOKUP($C$4,'Writing Logic'!$G$8:$H$14,2,FALSE),YES_Writing_ELA[#Headers],0)))="INS",'Writing Logic'!$B$7,IF(INDEX(_xlfn.VSTACK(YES_Writing_ELA[#Data],YES_Writing_FLA[#Data]),MATCH($A52,_xlfn.VSTACK(YES_Writing_ELA[Student Number],YES_Writing_FLA[Student Number]),0),MATCH(VLOOKUP(F$7,'Writing Logic'!$J$7:$K$11,2,FALSE)&amp;" - Per "&amp;VLOOKUP($C$4,'Writing Logic'!$G$8:$H$14,2,FALSE),YES_Writing_ELA[#Headers],0))=0,"",INDEX(_xlfn.VSTACK(YES_Writing_ELA[#Data],YES_Writing_FLA[#Data]),MATCH($A52,_xlfn.VSTACK(YES_Writing_ELA[Student Number],YES_Writing_FLA[Student Number]),0),MATCH(VLOOKUP(F$7,'Writing Logic'!$J$7:$K$11,2,FALSE)&amp;" - Per "&amp;VLOOKUP($C$4,'Writing Logic'!$G$8:$H$14,2,FALSE),YES_Writing_ELA[#Headers],0)))),"")</f>
        <v/>
      </c>
      <c r="G52" s="138" t="str">
        <f>IFERROR(IF(IF(INDEX(_xlfn.VSTACK(YES_Writing_ELA[#Data],YES_Writing_FLA[#Data]),MATCH($A52,_xlfn.VSTACK(YES_Writing_ELA[Student Number],YES_Writing_FLA[Student Number]),0),MATCH(VLOOKUP(G$7,'Writing Logic'!$J$7:$K$11,2,FALSE)&amp;" - Per "&amp;VLOOKUP($C$4,'Writing Logic'!$G$8:$H$14,2,FALSE),YES_Writing_ELA[#Headers],0))=0,"",INDEX(_xlfn.VSTACK(YES_Writing_ELA[#Data],YES_Writing_FLA[#Data]),MATCH($A52,_xlfn.VSTACK(YES_Writing_ELA[Student Number],YES_Writing_FLA[Student Number]),0),MATCH(VLOOKUP(G$7,'Writing Logic'!$J$7:$K$11,2,FALSE)&amp;" - Per "&amp;VLOOKUP($C$4,'Writing Logic'!$G$8:$H$14,2,FALSE),YES_Writing_ELA[#Headers],0)))="INS",'Writing Logic'!$B$7,IF(INDEX(_xlfn.VSTACK(YES_Writing_ELA[#Data],YES_Writing_FLA[#Data]),MATCH($A52,_xlfn.VSTACK(YES_Writing_ELA[Student Number],YES_Writing_FLA[Student Number]),0),MATCH(VLOOKUP(G$7,'Writing Logic'!$J$7:$K$11,2,FALSE)&amp;" - Per "&amp;VLOOKUP($C$4,'Writing Logic'!$G$8:$H$14,2,FALSE),YES_Writing_ELA[#Headers],0))=0,"",INDEX(_xlfn.VSTACK(YES_Writing_ELA[#Data],YES_Writing_FLA[#Data]),MATCH($A52,_xlfn.VSTACK(YES_Writing_ELA[Student Number],YES_Writing_FLA[Student Number]),0),MATCH(VLOOKUP(G$7,'Writing Logic'!$J$7:$K$11,2,FALSE)&amp;" - Per "&amp;VLOOKUP($C$4,'Writing Logic'!$G$8:$H$14,2,FALSE),YES_Writing_ELA[#Headers],0)))),"")</f>
        <v/>
      </c>
      <c r="H52" s="138" t="str">
        <f>IFERROR(IF(IF(INDEX(_xlfn.VSTACK(YES_Writing_ELA[#Data],YES_Writing_FLA[#Data]),MATCH($A52,_xlfn.VSTACK(YES_Writing_ELA[Student Number],YES_Writing_FLA[Student Number]),0),MATCH(VLOOKUP(H$7,'Writing Logic'!$J$7:$K$11,2,FALSE)&amp;" - Per "&amp;VLOOKUP($C$4,'Writing Logic'!$G$8:$H$14,2,FALSE),YES_Writing_ELA[#Headers],0))=0,"",INDEX(_xlfn.VSTACK(YES_Writing_ELA[#Data],YES_Writing_FLA[#Data]),MATCH($A52,_xlfn.VSTACK(YES_Writing_ELA[Student Number],YES_Writing_FLA[Student Number]),0),MATCH(VLOOKUP(H$7,'Writing Logic'!$J$7:$K$11,2,FALSE)&amp;" - Per "&amp;VLOOKUP($C$4,'Writing Logic'!$G$8:$H$14,2,FALSE),YES_Writing_ELA[#Headers],0)))="INS",'Writing Logic'!$B$7,IF(INDEX(_xlfn.VSTACK(YES_Writing_ELA[#Data],YES_Writing_FLA[#Data]),MATCH($A52,_xlfn.VSTACK(YES_Writing_ELA[Student Number],YES_Writing_FLA[Student Number]),0),MATCH(VLOOKUP(H$7,'Writing Logic'!$J$7:$K$11,2,FALSE)&amp;" - Per "&amp;VLOOKUP($C$4,'Writing Logic'!$G$8:$H$14,2,FALSE),YES_Writing_ELA[#Headers],0))=0,"",INDEX(_xlfn.VSTACK(YES_Writing_ELA[#Data],YES_Writing_FLA[#Data]),MATCH($A52,_xlfn.VSTACK(YES_Writing_ELA[Student Number],YES_Writing_FLA[Student Number]),0),MATCH(VLOOKUP(H$7,'Writing Logic'!$J$7:$K$11,2,FALSE)&amp;" - Per "&amp;VLOOKUP($C$4,'Writing Logic'!$G$8:$H$14,2,FALSE),YES_Writing_ELA[#Headers],0)))),"")</f>
        <v/>
      </c>
    </row>
    <row r="53" spans="1:8" ht="14.25" customHeight="1" x14ac:dyDescent="0.25">
      <c r="A53" s="137"/>
      <c r="B53" s="137" t="str">
        <f>IFERROR(INDEX(_xlfn.VSTACK(YES_Writing_ELA[#Data], YES_Writing_FLA[#Data]),MATCH($A53,_xlfn.VSTACK(YES_Writing_ELA[Student Number], YES_Writing_FLA[Student Number]),0),MATCH(B$7,YES_Writing_ELA[#Headers],0)),"")</f>
        <v/>
      </c>
      <c r="C53" s="137" t="str">
        <f>IFERROR(INDEX(_xlfn.VSTACK(YES_Writing_ELA[#Data], YES_Writing_FLA[#Data]),MATCH($A53,_xlfn.VSTACK(YES_Writing_ELA[Student Number], YES_Writing_FLA[Student Number]),0),MATCH(C$7,YES_Writing_ELA[#Headers],0)),"")</f>
        <v/>
      </c>
      <c r="D53" s="138" t="str">
        <f>IFERROR(IF(IF(INDEX(_xlfn.VSTACK(YES_Writing_ELA[#Data],YES_Writing_FLA[#Data]),MATCH($A53,_xlfn.VSTACK(YES_Writing_ELA[Student Number],YES_Writing_FLA[Student Number]),0),MATCH(VLOOKUP(D$7,'Writing Logic'!$J$7:$K$11,2,FALSE)&amp;" - Per "&amp;VLOOKUP($C$4,'Writing Logic'!$G$8:$H$14,2,FALSE),YES_Writing_ELA[#Headers],0))=0,"",INDEX(_xlfn.VSTACK(YES_Writing_ELA[#Data],YES_Writing_FLA[#Data]),MATCH($A53,_xlfn.VSTACK(YES_Writing_ELA[Student Number],YES_Writing_FLA[Student Number]),0),MATCH(VLOOKUP(D$7,'Writing Logic'!$J$7:$K$11,2,FALSE)&amp;" - Per "&amp;VLOOKUP($C$4,'Writing Logic'!$G$8:$H$14,2,FALSE),YES_Writing_ELA[#Headers],0)))="INS",'Writing Logic'!$B$7,IF(INDEX(_xlfn.VSTACK(YES_Writing_ELA[#Data],YES_Writing_FLA[#Data]),MATCH($A53,_xlfn.VSTACK(YES_Writing_ELA[Student Number],YES_Writing_FLA[Student Number]),0),MATCH(VLOOKUP(D$7,'Writing Logic'!$J$7:$K$11,2,FALSE)&amp;" - Per "&amp;VLOOKUP($C$4,'Writing Logic'!$G$8:$H$14,2,FALSE),YES_Writing_ELA[#Headers],0))=0,"",INDEX(_xlfn.VSTACK(YES_Writing_ELA[#Data],YES_Writing_FLA[#Data]),MATCH($A53,_xlfn.VSTACK(YES_Writing_ELA[Student Number],YES_Writing_FLA[Student Number]),0),MATCH(VLOOKUP(D$7,'Writing Logic'!$J$7:$K$11,2,FALSE)&amp;" - Per "&amp;VLOOKUP($C$4,'Writing Logic'!$G$8:$H$14,2,FALSE),YES_Writing_ELA[#Headers],0)))),"")</f>
        <v/>
      </c>
      <c r="E53" s="138" t="str">
        <f>IFERROR(IF(IF(INDEX(_xlfn.VSTACK(YES_Writing_ELA[#Data],YES_Writing_FLA[#Data]),MATCH($A53,_xlfn.VSTACK(YES_Writing_ELA[Student Number],YES_Writing_FLA[Student Number]),0),MATCH(VLOOKUP(E$7,'Writing Logic'!$J$7:$K$11,2,FALSE)&amp;" - Per "&amp;VLOOKUP($C$4,'Writing Logic'!$G$8:$H$14,2,FALSE),YES_Writing_ELA[#Headers],0))=0,"",INDEX(_xlfn.VSTACK(YES_Writing_ELA[#Data],YES_Writing_FLA[#Data]),MATCH($A53,_xlfn.VSTACK(YES_Writing_ELA[Student Number],YES_Writing_FLA[Student Number]),0),MATCH(VLOOKUP(E$7,'Writing Logic'!$J$7:$K$11,2,FALSE)&amp;" - Per "&amp;VLOOKUP($C$4,'Writing Logic'!$G$8:$H$14,2,FALSE),YES_Writing_ELA[#Headers],0)))="INS",'Writing Logic'!$B$7,IF(INDEX(_xlfn.VSTACK(YES_Writing_ELA[#Data],YES_Writing_FLA[#Data]),MATCH($A53,_xlfn.VSTACK(YES_Writing_ELA[Student Number],YES_Writing_FLA[Student Number]),0),MATCH(VLOOKUP(E$7,'Writing Logic'!$J$7:$K$11,2,FALSE)&amp;" - Per "&amp;VLOOKUP($C$4,'Writing Logic'!$G$8:$H$14,2,FALSE),YES_Writing_ELA[#Headers],0))=0,"",INDEX(_xlfn.VSTACK(YES_Writing_ELA[#Data],YES_Writing_FLA[#Data]),MATCH($A53,_xlfn.VSTACK(YES_Writing_ELA[Student Number],YES_Writing_FLA[Student Number]),0),MATCH(VLOOKUP(E$7,'Writing Logic'!$J$7:$K$11,2,FALSE)&amp;" - Per "&amp;VLOOKUP($C$4,'Writing Logic'!$G$8:$H$14,2,FALSE),YES_Writing_ELA[#Headers],0)))),"")</f>
        <v/>
      </c>
      <c r="F53" s="138" t="str">
        <f>IFERROR(IF(IF(INDEX(_xlfn.VSTACK(YES_Writing_ELA[#Data],YES_Writing_FLA[#Data]),MATCH($A53,_xlfn.VSTACK(YES_Writing_ELA[Student Number],YES_Writing_FLA[Student Number]),0),MATCH(VLOOKUP(F$7,'Writing Logic'!$J$7:$K$11,2,FALSE)&amp;" - Per "&amp;VLOOKUP($C$4,'Writing Logic'!$G$8:$H$14,2,FALSE),YES_Writing_ELA[#Headers],0))=0,"",INDEX(_xlfn.VSTACK(YES_Writing_ELA[#Data],YES_Writing_FLA[#Data]),MATCH($A53,_xlfn.VSTACK(YES_Writing_ELA[Student Number],YES_Writing_FLA[Student Number]),0),MATCH(VLOOKUP(F$7,'Writing Logic'!$J$7:$K$11,2,FALSE)&amp;" - Per "&amp;VLOOKUP($C$4,'Writing Logic'!$G$8:$H$14,2,FALSE),YES_Writing_ELA[#Headers],0)))="INS",'Writing Logic'!$B$7,IF(INDEX(_xlfn.VSTACK(YES_Writing_ELA[#Data],YES_Writing_FLA[#Data]),MATCH($A53,_xlfn.VSTACK(YES_Writing_ELA[Student Number],YES_Writing_FLA[Student Number]),0),MATCH(VLOOKUP(F$7,'Writing Logic'!$J$7:$K$11,2,FALSE)&amp;" - Per "&amp;VLOOKUP($C$4,'Writing Logic'!$G$8:$H$14,2,FALSE),YES_Writing_ELA[#Headers],0))=0,"",INDEX(_xlfn.VSTACK(YES_Writing_ELA[#Data],YES_Writing_FLA[#Data]),MATCH($A53,_xlfn.VSTACK(YES_Writing_ELA[Student Number],YES_Writing_FLA[Student Number]),0),MATCH(VLOOKUP(F$7,'Writing Logic'!$J$7:$K$11,2,FALSE)&amp;" - Per "&amp;VLOOKUP($C$4,'Writing Logic'!$G$8:$H$14,2,FALSE),YES_Writing_ELA[#Headers],0)))),"")</f>
        <v/>
      </c>
      <c r="G53" s="138" t="str">
        <f>IFERROR(IF(IF(INDEX(_xlfn.VSTACK(YES_Writing_ELA[#Data],YES_Writing_FLA[#Data]),MATCH($A53,_xlfn.VSTACK(YES_Writing_ELA[Student Number],YES_Writing_FLA[Student Number]),0),MATCH(VLOOKUP(G$7,'Writing Logic'!$J$7:$K$11,2,FALSE)&amp;" - Per "&amp;VLOOKUP($C$4,'Writing Logic'!$G$8:$H$14,2,FALSE),YES_Writing_ELA[#Headers],0))=0,"",INDEX(_xlfn.VSTACK(YES_Writing_ELA[#Data],YES_Writing_FLA[#Data]),MATCH($A53,_xlfn.VSTACK(YES_Writing_ELA[Student Number],YES_Writing_FLA[Student Number]),0),MATCH(VLOOKUP(G$7,'Writing Logic'!$J$7:$K$11,2,FALSE)&amp;" - Per "&amp;VLOOKUP($C$4,'Writing Logic'!$G$8:$H$14,2,FALSE),YES_Writing_ELA[#Headers],0)))="INS",'Writing Logic'!$B$7,IF(INDEX(_xlfn.VSTACK(YES_Writing_ELA[#Data],YES_Writing_FLA[#Data]),MATCH($A53,_xlfn.VSTACK(YES_Writing_ELA[Student Number],YES_Writing_FLA[Student Number]),0),MATCH(VLOOKUP(G$7,'Writing Logic'!$J$7:$K$11,2,FALSE)&amp;" - Per "&amp;VLOOKUP($C$4,'Writing Logic'!$G$8:$H$14,2,FALSE),YES_Writing_ELA[#Headers],0))=0,"",INDEX(_xlfn.VSTACK(YES_Writing_ELA[#Data],YES_Writing_FLA[#Data]),MATCH($A53,_xlfn.VSTACK(YES_Writing_ELA[Student Number],YES_Writing_FLA[Student Number]),0),MATCH(VLOOKUP(G$7,'Writing Logic'!$J$7:$K$11,2,FALSE)&amp;" - Per "&amp;VLOOKUP($C$4,'Writing Logic'!$G$8:$H$14,2,FALSE),YES_Writing_ELA[#Headers],0)))),"")</f>
        <v/>
      </c>
      <c r="H53" s="138" t="str">
        <f>IFERROR(IF(IF(INDEX(_xlfn.VSTACK(YES_Writing_ELA[#Data],YES_Writing_FLA[#Data]),MATCH($A53,_xlfn.VSTACK(YES_Writing_ELA[Student Number],YES_Writing_FLA[Student Number]),0),MATCH(VLOOKUP(H$7,'Writing Logic'!$J$7:$K$11,2,FALSE)&amp;" - Per "&amp;VLOOKUP($C$4,'Writing Logic'!$G$8:$H$14,2,FALSE),YES_Writing_ELA[#Headers],0))=0,"",INDEX(_xlfn.VSTACK(YES_Writing_ELA[#Data],YES_Writing_FLA[#Data]),MATCH($A53,_xlfn.VSTACK(YES_Writing_ELA[Student Number],YES_Writing_FLA[Student Number]),0),MATCH(VLOOKUP(H$7,'Writing Logic'!$J$7:$K$11,2,FALSE)&amp;" - Per "&amp;VLOOKUP($C$4,'Writing Logic'!$G$8:$H$14,2,FALSE),YES_Writing_ELA[#Headers],0)))="INS",'Writing Logic'!$B$7,IF(INDEX(_xlfn.VSTACK(YES_Writing_ELA[#Data],YES_Writing_FLA[#Data]),MATCH($A53,_xlfn.VSTACK(YES_Writing_ELA[Student Number],YES_Writing_FLA[Student Number]),0),MATCH(VLOOKUP(H$7,'Writing Logic'!$J$7:$K$11,2,FALSE)&amp;" - Per "&amp;VLOOKUP($C$4,'Writing Logic'!$G$8:$H$14,2,FALSE),YES_Writing_ELA[#Headers],0))=0,"",INDEX(_xlfn.VSTACK(YES_Writing_ELA[#Data],YES_Writing_FLA[#Data]),MATCH($A53,_xlfn.VSTACK(YES_Writing_ELA[Student Number],YES_Writing_FLA[Student Number]),0),MATCH(VLOOKUP(H$7,'Writing Logic'!$J$7:$K$11,2,FALSE)&amp;" - Per "&amp;VLOOKUP($C$4,'Writing Logic'!$G$8:$H$14,2,FALSE),YES_Writing_ELA[#Headers],0)))),"")</f>
        <v/>
      </c>
    </row>
    <row r="54" spans="1:8" ht="14.25" customHeight="1" x14ac:dyDescent="0.25">
      <c r="A54" s="137"/>
      <c r="B54" s="137" t="str">
        <f>IFERROR(INDEX(_xlfn.VSTACK(YES_Writing_ELA[#Data], YES_Writing_FLA[#Data]),MATCH($A54,_xlfn.VSTACK(YES_Writing_ELA[Student Number], YES_Writing_FLA[Student Number]),0),MATCH(B$7,YES_Writing_ELA[#Headers],0)),"")</f>
        <v/>
      </c>
      <c r="C54" s="137" t="str">
        <f>IFERROR(INDEX(_xlfn.VSTACK(YES_Writing_ELA[#Data], YES_Writing_FLA[#Data]),MATCH($A54,_xlfn.VSTACK(YES_Writing_ELA[Student Number], YES_Writing_FLA[Student Number]),0),MATCH(C$7,YES_Writing_ELA[#Headers],0)),"")</f>
        <v/>
      </c>
      <c r="D54" s="138" t="str">
        <f>IFERROR(IF(IF(INDEX(_xlfn.VSTACK(YES_Writing_ELA[#Data],YES_Writing_FLA[#Data]),MATCH($A54,_xlfn.VSTACK(YES_Writing_ELA[Student Number],YES_Writing_FLA[Student Number]),0),MATCH(VLOOKUP(D$7,'Writing Logic'!$J$7:$K$11,2,FALSE)&amp;" - Per "&amp;VLOOKUP($C$4,'Writing Logic'!$G$8:$H$14,2,FALSE),YES_Writing_ELA[#Headers],0))=0,"",INDEX(_xlfn.VSTACK(YES_Writing_ELA[#Data],YES_Writing_FLA[#Data]),MATCH($A54,_xlfn.VSTACK(YES_Writing_ELA[Student Number],YES_Writing_FLA[Student Number]),0),MATCH(VLOOKUP(D$7,'Writing Logic'!$J$7:$K$11,2,FALSE)&amp;" - Per "&amp;VLOOKUP($C$4,'Writing Logic'!$G$8:$H$14,2,FALSE),YES_Writing_ELA[#Headers],0)))="INS",'Writing Logic'!$B$7,IF(INDEX(_xlfn.VSTACK(YES_Writing_ELA[#Data],YES_Writing_FLA[#Data]),MATCH($A54,_xlfn.VSTACK(YES_Writing_ELA[Student Number],YES_Writing_FLA[Student Number]),0),MATCH(VLOOKUP(D$7,'Writing Logic'!$J$7:$K$11,2,FALSE)&amp;" - Per "&amp;VLOOKUP($C$4,'Writing Logic'!$G$8:$H$14,2,FALSE),YES_Writing_ELA[#Headers],0))=0,"",INDEX(_xlfn.VSTACK(YES_Writing_ELA[#Data],YES_Writing_FLA[#Data]),MATCH($A54,_xlfn.VSTACK(YES_Writing_ELA[Student Number],YES_Writing_FLA[Student Number]),0),MATCH(VLOOKUP(D$7,'Writing Logic'!$J$7:$K$11,2,FALSE)&amp;" - Per "&amp;VLOOKUP($C$4,'Writing Logic'!$G$8:$H$14,2,FALSE),YES_Writing_ELA[#Headers],0)))),"")</f>
        <v/>
      </c>
      <c r="E54" s="138" t="str">
        <f>IFERROR(IF(IF(INDEX(_xlfn.VSTACK(YES_Writing_ELA[#Data],YES_Writing_FLA[#Data]),MATCH($A54,_xlfn.VSTACK(YES_Writing_ELA[Student Number],YES_Writing_FLA[Student Number]),0),MATCH(VLOOKUP(E$7,'Writing Logic'!$J$7:$K$11,2,FALSE)&amp;" - Per "&amp;VLOOKUP($C$4,'Writing Logic'!$G$8:$H$14,2,FALSE),YES_Writing_ELA[#Headers],0))=0,"",INDEX(_xlfn.VSTACK(YES_Writing_ELA[#Data],YES_Writing_FLA[#Data]),MATCH($A54,_xlfn.VSTACK(YES_Writing_ELA[Student Number],YES_Writing_FLA[Student Number]),0),MATCH(VLOOKUP(E$7,'Writing Logic'!$J$7:$K$11,2,FALSE)&amp;" - Per "&amp;VLOOKUP($C$4,'Writing Logic'!$G$8:$H$14,2,FALSE),YES_Writing_ELA[#Headers],0)))="INS",'Writing Logic'!$B$7,IF(INDEX(_xlfn.VSTACK(YES_Writing_ELA[#Data],YES_Writing_FLA[#Data]),MATCH($A54,_xlfn.VSTACK(YES_Writing_ELA[Student Number],YES_Writing_FLA[Student Number]),0),MATCH(VLOOKUP(E$7,'Writing Logic'!$J$7:$K$11,2,FALSE)&amp;" - Per "&amp;VLOOKUP($C$4,'Writing Logic'!$G$8:$H$14,2,FALSE),YES_Writing_ELA[#Headers],0))=0,"",INDEX(_xlfn.VSTACK(YES_Writing_ELA[#Data],YES_Writing_FLA[#Data]),MATCH($A54,_xlfn.VSTACK(YES_Writing_ELA[Student Number],YES_Writing_FLA[Student Number]),0),MATCH(VLOOKUP(E$7,'Writing Logic'!$J$7:$K$11,2,FALSE)&amp;" - Per "&amp;VLOOKUP($C$4,'Writing Logic'!$G$8:$H$14,2,FALSE),YES_Writing_ELA[#Headers],0)))),"")</f>
        <v/>
      </c>
      <c r="F54" s="138" t="str">
        <f>IFERROR(IF(IF(INDEX(_xlfn.VSTACK(YES_Writing_ELA[#Data],YES_Writing_FLA[#Data]),MATCH($A54,_xlfn.VSTACK(YES_Writing_ELA[Student Number],YES_Writing_FLA[Student Number]),0),MATCH(VLOOKUP(F$7,'Writing Logic'!$J$7:$K$11,2,FALSE)&amp;" - Per "&amp;VLOOKUP($C$4,'Writing Logic'!$G$8:$H$14,2,FALSE),YES_Writing_ELA[#Headers],0))=0,"",INDEX(_xlfn.VSTACK(YES_Writing_ELA[#Data],YES_Writing_FLA[#Data]),MATCH($A54,_xlfn.VSTACK(YES_Writing_ELA[Student Number],YES_Writing_FLA[Student Number]),0),MATCH(VLOOKUP(F$7,'Writing Logic'!$J$7:$K$11,2,FALSE)&amp;" - Per "&amp;VLOOKUP($C$4,'Writing Logic'!$G$8:$H$14,2,FALSE),YES_Writing_ELA[#Headers],0)))="INS",'Writing Logic'!$B$7,IF(INDEX(_xlfn.VSTACK(YES_Writing_ELA[#Data],YES_Writing_FLA[#Data]),MATCH($A54,_xlfn.VSTACK(YES_Writing_ELA[Student Number],YES_Writing_FLA[Student Number]),0),MATCH(VLOOKUP(F$7,'Writing Logic'!$J$7:$K$11,2,FALSE)&amp;" - Per "&amp;VLOOKUP($C$4,'Writing Logic'!$G$8:$H$14,2,FALSE),YES_Writing_ELA[#Headers],0))=0,"",INDEX(_xlfn.VSTACK(YES_Writing_ELA[#Data],YES_Writing_FLA[#Data]),MATCH($A54,_xlfn.VSTACK(YES_Writing_ELA[Student Number],YES_Writing_FLA[Student Number]),0),MATCH(VLOOKUP(F$7,'Writing Logic'!$J$7:$K$11,2,FALSE)&amp;" - Per "&amp;VLOOKUP($C$4,'Writing Logic'!$G$8:$H$14,2,FALSE),YES_Writing_ELA[#Headers],0)))),"")</f>
        <v/>
      </c>
      <c r="G54" s="138" t="str">
        <f>IFERROR(IF(IF(INDEX(_xlfn.VSTACK(YES_Writing_ELA[#Data],YES_Writing_FLA[#Data]),MATCH($A54,_xlfn.VSTACK(YES_Writing_ELA[Student Number],YES_Writing_FLA[Student Number]),0),MATCH(VLOOKUP(G$7,'Writing Logic'!$J$7:$K$11,2,FALSE)&amp;" - Per "&amp;VLOOKUP($C$4,'Writing Logic'!$G$8:$H$14,2,FALSE),YES_Writing_ELA[#Headers],0))=0,"",INDEX(_xlfn.VSTACK(YES_Writing_ELA[#Data],YES_Writing_FLA[#Data]),MATCH($A54,_xlfn.VSTACK(YES_Writing_ELA[Student Number],YES_Writing_FLA[Student Number]),0),MATCH(VLOOKUP(G$7,'Writing Logic'!$J$7:$K$11,2,FALSE)&amp;" - Per "&amp;VLOOKUP($C$4,'Writing Logic'!$G$8:$H$14,2,FALSE),YES_Writing_ELA[#Headers],0)))="INS",'Writing Logic'!$B$7,IF(INDEX(_xlfn.VSTACK(YES_Writing_ELA[#Data],YES_Writing_FLA[#Data]),MATCH($A54,_xlfn.VSTACK(YES_Writing_ELA[Student Number],YES_Writing_FLA[Student Number]),0),MATCH(VLOOKUP(G$7,'Writing Logic'!$J$7:$K$11,2,FALSE)&amp;" - Per "&amp;VLOOKUP($C$4,'Writing Logic'!$G$8:$H$14,2,FALSE),YES_Writing_ELA[#Headers],0))=0,"",INDEX(_xlfn.VSTACK(YES_Writing_ELA[#Data],YES_Writing_FLA[#Data]),MATCH($A54,_xlfn.VSTACK(YES_Writing_ELA[Student Number],YES_Writing_FLA[Student Number]),0),MATCH(VLOOKUP(G$7,'Writing Logic'!$J$7:$K$11,2,FALSE)&amp;" - Per "&amp;VLOOKUP($C$4,'Writing Logic'!$G$8:$H$14,2,FALSE),YES_Writing_ELA[#Headers],0)))),"")</f>
        <v/>
      </c>
      <c r="H54" s="138" t="str">
        <f>IFERROR(IF(IF(INDEX(_xlfn.VSTACK(YES_Writing_ELA[#Data],YES_Writing_FLA[#Data]),MATCH($A54,_xlfn.VSTACK(YES_Writing_ELA[Student Number],YES_Writing_FLA[Student Number]),0),MATCH(VLOOKUP(H$7,'Writing Logic'!$J$7:$K$11,2,FALSE)&amp;" - Per "&amp;VLOOKUP($C$4,'Writing Logic'!$G$8:$H$14,2,FALSE),YES_Writing_ELA[#Headers],0))=0,"",INDEX(_xlfn.VSTACK(YES_Writing_ELA[#Data],YES_Writing_FLA[#Data]),MATCH($A54,_xlfn.VSTACK(YES_Writing_ELA[Student Number],YES_Writing_FLA[Student Number]),0),MATCH(VLOOKUP(H$7,'Writing Logic'!$J$7:$K$11,2,FALSE)&amp;" - Per "&amp;VLOOKUP($C$4,'Writing Logic'!$G$8:$H$14,2,FALSE),YES_Writing_ELA[#Headers],0)))="INS",'Writing Logic'!$B$7,IF(INDEX(_xlfn.VSTACK(YES_Writing_ELA[#Data],YES_Writing_FLA[#Data]),MATCH($A54,_xlfn.VSTACK(YES_Writing_ELA[Student Number],YES_Writing_FLA[Student Number]),0),MATCH(VLOOKUP(H$7,'Writing Logic'!$J$7:$K$11,2,FALSE)&amp;" - Per "&amp;VLOOKUP($C$4,'Writing Logic'!$G$8:$H$14,2,FALSE),YES_Writing_ELA[#Headers],0))=0,"",INDEX(_xlfn.VSTACK(YES_Writing_ELA[#Data],YES_Writing_FLA[#Data]),MATCH($A54,_xlfn.VSTACK(YES_Writing_ELA[Student Number],YES_Writing_FLA[Student Number]),0),MATCH(VLOOKUP(H$7,'Writing Logic'!$J$7:$K$11,2,FALSE)&amp;" - Per "&amp;VLOOKUP($C$4,'Writing Logic'!$G$8:$H$14,2,FALSE),YES_Writing_ELA[#Headers],0)))),"")</f>
        <v/>
      </c>
    </row>
    <row r="55" spans="1:8" ht="14.25" customHeight="1" x14ac:dyDescent="0.25">
      <c r="A55" s="137"/>
      <c r="B55" s="137" t="str">
        <f>IFERROR(INDEX(_xlfn.VSTACK(YES_Writing_ELA[#Data], YES_Writing_FLA[#Data]),MATCH($A55,_xlfn.VSTACK(YES_Writing_ELA[Student Number], YES_Writing_FLA[Student Number]),0),MATCH(B$7,YES_Writing_ELA[#Headers],0)),"")</f>
        <v/>
      </c>
      <c r="C55" s="137" t="str">
        <f>IFERROR(INDEX(_xlfn.VSTACK(YES_Writing_ELA[#Data], YES_Writing_FLA[#Data]),MATCH($A55,_xlfn.VSTACK(YES_Writing_ELA[Student Number], YES_Writing_FLA[Student Number]),0),MATCH(C$7,YES_Writing_ELA[#Headers],0)),"")</f>
        <v/>
      </c>
      <c r="D55" s="138" t="str">
        <f>IFERROR(IF(IF(INDEX(_xlfn.VSTACK(YES_Writing_ELA[#Data],YES_Writing_FLA[#Data]),MATCH($A55,_xlfn.VSTACK(YES_Writing_ELA[Student Number],YES_Writing_FLA[Student Number]),0),MATCH(VLOOKUP(D$7,'Writing Logic'!$J$7:$K$11,2,FALSE)&amp;" - Per "&amp;VLOOKUP($C$4,'Writing Logic'!$G$8:$H$14,2,FALSE),YES_Writing_ELA[#Headers],0))=0,"",INDEX(_xlfn.VSTACK(YES_Writing_ELA[#Data],YES_Writing_FLA[#Data]),MATCH($A55,_xlfn.VSTACK(YES_Writing_ELA[Student Number],YES_Writing_FLA[Student Number]),0),MATCH(VLOOKUP(D$7,'Writing Logic'!$J$7:$K$11,2,FALSE)&amp;" - Per "&amp;VLOOKUP($C$4,'Writing Logic'!$G$8:$H$14,2,FALSE),YES_Writing_ELA[#Headers],0)))="INS",'Writing Logic'!$B$7,IF(INDEX(_xlfn.VSTACK(YES_Writing_ELA[#Data],YES_Writing_FLA[#Data]),MATCH($A55,_xlfn.VSTACK(YES_Writing_ELA[Student Number],YES_Writing_FLA[Student Number]),0),MATCH(VLOOKUP(D$7,'Writing Logic'!$J$7:$K$11,2,FALSE)&amp;" - Per "&amp;VLOOKUP($C$4,'Writing Logic'!$G$8:$H$14,2,FALSE),YES_Writing_ELA[#Headers],0))=0,"",INDEX(_xlfn.VSTACK(YES_Writing_ELA[#Data],YES_Writing_FLA[#Data]),MATCH($A55,_xlfn.VSTACK(YES_Writing_ELA[Student Number],YES_Writing_FLA[Student Number]),0),MATCH(VLOOKUP(D$7,'Writing Logic'!$J$7:$K$11,2,FALSE)&amp;" - Per "&amp;VLOOKUP($C$4,'Writing Logic'!$G$8:$H$14,2,FALSE),YES_Writing_ELA[#Headers],0)))),"")</f>
        <v/>
      </c>
      <c r="E55" s="138" t="str">
        <f>IFERROR(IF(IF(INDEX(_xlfn.VSTACK(YES_Writing_ELA[#Data],YES_Writing_FLA[#Data]),MATCH($A55,_xlfn.VSTACK(YES_Writing_ELA[Student Number],YES_Writing_FLA[Student Number]),0),MATCH(VLOOKUP(E$7,'Writing Logic'!$J$7:$K$11,2,FALSE)&amp;" - Per "&amp;VLOOKUP($C$4,'Writing Logic'!$G$8:$H$14,2,FALSE),YES_Writing_ELA[#Headers],0))=0,"",INDEX(_xlfn.VSTACK(YES_Writing_ELA[#Data],YES_Writing_FLA[#Data]),MATCH($A55,_xlfn.VSTACK(YES_Writing_ELA[Student Number],YES_Writing_FLA[Student Number]),0),MATCH(VLOOKUP(E$7,'Writing Logic'!$J$7:$K$11,2,FALSE)&amp;" - Per "&amp;VLOOKUP($C$4,'Writing Logic'!$G$8:$H$14,2,FALSE),YES_Writing_ELA[#Headers],0)))="INS",'Writing Logic'!$B$7,IF(INDEX(_xlfn.VSTACK(YES_Writing_ELA[#Data],YES_Writing_FLA[#Data]),MATCH($A55,_xlfn.VSTACK(YES_Writing_ELA[Student Number],YES_Writing_FLA[Student Number]),0),MATCH(VLOOKUP(E$7,'Writing Logic'!$J$7:$K$11,2,FALSE)&amp;" - Per "&amp;VLOOKUP($C$4,'Writing Logic'!$G$8:$H$14,2,FALSE),YES_Writing_ELA[#Headers],0))=0,"",INDEX(_xlfn.VSTACK(YES_Writing_ELA[#Data],YES_Writing_FLA[#Data]),MATCH($A55,_xlfn.VSTACK(YES_Writing_ELA[Student Number],YES_Writing_FLA[Student Number]),0),MATCH(VLOOKUP(E$7,'Writing Logic'!$J$7:$K$11,2,FALSE)&amp;" - Per "&amp;VLOOKUP($C$4,'Writing Logic'!$G$8:$H$14,2,FALSE),YES_Writing_ELA[#Headers],0)))),"")</f>
        <v/>
      </c>
      <c r="F55" s="138" t="str">
        <f>IFERROR(IF(IF(INDEX(_xlfn.VSTACK(YES_Writing_ELA[#Data],YES_Writing_FLA[#Data]),MATCH($A55,_xlfn.VSTACK(YES_Writing_ELA[Student Number],YES_Writing_FLA[Student Number]),0),MATCH(VLOOKUP(F$7,'Writing Logic'!$J$7:$K$11,2,FALSE)&amp;" - Per "&amp;VLOOKUP($C$4,'Writing Logic'!$G$8:$H$14,2,FALSE),YES_Writing_ELA[#Headers],0))=0,"",INDEX(_xlfn.VSTACK(YES_Writing_ELA[#Data],YES_Writing_FLA[#Data]),MATCH($A55,_xlfn.VSTACK(YES_Writing_ELA[Student Number],YES_Writing_FLA[Student Number]),0),MATCH(VLOOKUP(F$7,'Writing Logic'!$J$7:$K$11,2,FALSE)&amp;" - Per "&amp;VLOOKUP($C$4,'Writing Logic'!$G$8:$H$14,2,FALSE),YES_Writing_ELA[#Headers],0)))="INS",'Writing Logic'!$B$7,IF(INDEX(_xlfn.VSTACK(YES_Writing_ELA[#Data],YES_Writing_FLA[#Data]),MATCH($A55,_xlfn.VSTACK(YES_Writing_ELA[Student Number],YES_Writing_FLA[Student Number]),0),MATCH(VLOOKUP(F$7,'Writing Logic'!$J$7:$K$11,2,FALSE)&amp;" - Per "&amp;VLOOKUP($C$4,'Writing Logic'!$G$8:$H$14,2,FALSE),YES_Writing_ELA[#Headers],0))=0,"",INDEX(_xlfn.VSTACK(YES_Writing_ELA[#Data],YES_Writing_FLA[#Data]),MATCH($A55,_xlfn.VSTACK(YES_Writing_ELA[Student Number],YES_Writing_FLA[Student Number]),0),MATCH(VLOOKUP(F$7,'Writing Logic'!$J$7:$K$11,2,FALSE)&amp;" - Per "&amp;VLOOKUP($C$4,'Writing Logic'!$G$8:$H$14,2,FALSE),YES_Writing_ELA[#Headers],0)))),"")</f>
        <v/>
      </c>
      <c r="G55" s="138" t="str">
        <f>IFERROR(IF(IF(INDEX(_xlfn.VSTACK(YES_Writing_ELA[#Data],YES_Writing_FLA[#Data]),MATCH($A55,_xlfn.VSTACK(YES_Writing_ELA[Student Number],YES_Writing_FLA[Student Number]),0),MATCH(VLOOKUP(G$7,'Writing Logic'!$J$7:$K$11,2,FALSE)&amp;" - Per "&amp;VLOOKUP($C$4,'Writing Logic'!$G$8:$H$14,2,FALSE),YES_Writing_ELA[#Headers],0))=0,"",INDEX(_xlfn.VSTACK(YES_Writing_ELA[#Data],YES_Writing_FLA[#Data]),MATCH($A55,_xlfn.VSTACK(YES_Writing_ELA[Student Number],YES_Writing_FLA[Student Number]),0),MATCH(VLOOKUP(G$7,'Writing Logic'!$J$7:$K$11,2,FALSE)&amp;" - Per "&amp;VLOOKUP($C$4,'Writing Logic'!$G$8:$H$14,2,FALSE),YES_Writing_ELA[#Headers],0)))="INS",'Writing Logic'!$B$7,IF(INDEX(_xlfn.VSTACK(YES_Writing_ELA[#Data],YES_Writing_FLA[#Data]),MATCH($A55,_xlfn.VSTACK(YES_Writing_ELA[Student Number],YES_Writing_FLA[Student Number]),0),MATCH(VLOOKUP(G$7,'Writing Logic'!$J$7:$K$11,2,FALSE)&amp;" - Per "&amp;VLOOKUP($C$4,'Writing Logic'!$G$8:$H$14,2,FALSE),YES_Writing_ELA[#Headers],0))=0,"",INDEX(_xlfn.VSTACK(YES_Writing_ELA[#Data],YES_Writing_FLA[#Data]),MATCH($A55,_xlfn.VSTACK(YES_Writing_ELA[Student Number],YES_Writing_FLA[Student Number]),0),MATCH(VLOOKUP(G$7,'Writing Logic'!$J$7:$K$11,2,FALSE)&amp;" - Per "&amp;VLOOKUP($C$4,'Writing Logic'!$G$8:$H$14,2,FALSE),YES_Writing_ELA[#Headers],0)))),"")</f>
        <v/>
      </c>
      <c r="H55" s="138" t="str">
        <f>IFERROR(IF(IF(INDEX(_xlfn.VSTACK(YES_Writing_ELA[#Data],YES_Writing_FLA[#Data]),MATCH($A55,_xlfn.VSTACK(YES_Writing_ELA[Student Number],YES_Writing_FLA[Student Number]),0),MATCH(VLOOKUP(H$7,'Writing Logic'!$J$7:$K$11,2,FALSE)&amp;" - Per "&amp;VLOOKUP($C$4,'Writing Logic'!$G$8:$H$14,2,FALSE),YES_Writing_ELA[#Headers],0))=0,"",INDEX(_xlfn.VSTACK(YES_Writing_ELA[#Data],YES_Writing_FLA[#Data]),MATCH($A55,_xlfn.VSTACK(YES_Writing_ELA[Student Number],YES_Writing_FLA[Student Number]),0),MATCH(VLOOKUP(H$7,'Writing Logic'!$J$7:$K$11,2,FALSE)&amp;" - Per "&amp;VLOOKUP($C$4,'Writing Logic'!$G$8:$H$14,2,FALSE),YES_Writing_ELA[#Headers],0)))="INS",'Writing Logic'!$B$7,IF(INDEX(_xlfn.VSTACK(YES_Writing_ELA[#Data],YES_Writing_FLA[#Data]),MATCH($A55,_xlfn.VSTACK(YES_Writing_ELA[Student Number],YES_Writing_FLA[Student Number]),0),MATCH(VLOOKUP(H$7,'Writing Logic'!$J$7:$K$11,2,FALSE)&amp;" - Per "&amp;VLOOKUP($C$4,'Writing Logic'!$G$8:$H$14,2,FALSE),YES_Writing_ELA[#Headers],0))=0,"",INDEX(_xlfn.VSTACK(YES_Writing_ELA[#Data],YES_Writing_FLA[#Data]),MATCH($A55,_xlfn.VSTACK(YES_Writing_ELA[Student Number],YES_Writing_FLA[Student Number]),0),MATCH(VLOOKUP(H$7,'Writing Logic'!$J$7:$K$11,2,FALSE)&amp;" - Per "&amp;VLOOKUP($C$4,'Writing Logic'!$G$8:$H$14,2,FALSE),YES_Writing_ELA[#Headers],0)))),"")</f>
        <v/>
      </c>
    </row>
    <row r="56" spans="1:8" ht="14.25" customHeight="1" x14ac:dyDescent="0.25">
      <c r="A56" s="137"/>
      <c r="B56" s="137" t="str">
        <f>IFERROR(INDEX(_xlfn.VSTACK(YES_Writing_ELA[#Data], YES_Writing_FLA[#Data]),MATCH($A56,_xlfn.VSTACK(YES_Writing_ELA[Student Number], YES_Writing_FLA[Student Number]),0),MATCH(B$7,YES_Writing_ELA[#Headers],0)),"")</f>
        <v/>
      </c>
      <c r="C56" s="137" t="str">
        <f>IFERROR(INDEX(_xlfn.VSTACK(YES_Writing_ELA[#Data], YES_Writing_FLA[#Data]),MATCH($A56,_xlfn.VSTACK(YES_Writing_ELA[Student Number], YES_Writing_FLA[Student Number]),0),MATCH(C$7,YES_Writing_ELA[#Headers],0)),"")</f>
        <v/>
      </c>
      <c r="D56" s="138" t="str">
        <f>IFERROR(IF(IF(INDEX(_xlfn.VSTACK(YES_Writing_ELA[#Data],YES_Writing_FLA[#Data]),MATCH($A56,_xlfn.VSTACK(YES_Writing_ELA[Student Number],YES_Writing_FLA[Student Number]),0),MATCH(VLOOKUP(D$7,'Writing Logic'!$J$7:$K$11,2,FALSE)&amp;" - Per "&amp;VLOOKUP($C$4,'Writing Logic'!$G$8:$H$14,2,FALSE),YES_Writing_ELA[#Headers],0))=0,"",INDEX(_xlfn.VSTACK(YES_Writing_ELA[#Data],YES_Writing_FLA[#Data]),MATCH($A56,_xlfn.VSTACK(YES_Writing_ELA[Student Number],YES_Writing_FLA[Student Number]),0),MATCH(VLOOKUP(D$7,'Writing Logic'!$J$7:$K$11,2,FALSE)&amp;" - Per "&amp;VLOOKUP($C$4,'Writing Logic'!$G$8:$H$14,2,FALSE),YES_Writing_ELA[#Headers],0)))="INS",'Writing Logic'!$B$7,IF(INDEX(_xlfn.VSTACK(YES_Writing_ELA[#Data],YES_Writing_FLA[#Data]),MATCH($A56,_xlfn.VSTACK(YES_Writing_ELA[Student Number],YES_Writing_FLA[Student Number]),0),MATCH(VLOOKUP(D$7,'Writing Logic'!$J$7:$K$11,2,FALSE)&amp;" - Per "&amp;VLOOKUP($C$4,'Writing Logic'!$G$8:$H$14,2,FALSE),YES_Writing_ELA[#Headers],0))=0,"",INDEX(_xlfn.VSTACK(YES_Writing_ELA[#Data],YES_Writing_FLA[#Data]),MATCH($A56,_xlfn.VSTACK(YES_Writing_ELA[Student Number],YES_Writing_FLA[Student Number]),0),MATCH(VLOOKUP(D$7,'Writing Logic'!$J$7:$K$11,2,FALSE)&amp;" - Per "&amp;VLOOKUP($C$4,'Writing Logic'!$G$8:$H$14,2,FALSE),YES_Writing_ELA[#Headers],0)))),"")</f>
        <v/>
      </c>
      <c r="E56" s="138" t="str">
        <f>IFERROR(IF(IF(INDEX(_xlfn.VSTACK(YES_Writing_ELA[#Data],YES_Writing_FLA[#Data]),MATCH($A56,_xlfn.VSTACK(YES_Writing_ELA[Student Number],YES_Writing_FLA[Student Number]),0),MATCH(VLOOKUP(E$7,'Writing Logic'!$J$7:$K$11,2,FALSE)&amp;" - Per "&amp;VLOOKUP($C$4,'Writing Logic'!$G$8:$H$14,2,FALSE),YES_Writing_ELA[#Headers],0))=0,"",INDEX(_xlfn.VSTACK(YES_Writing_ELA[#Data],YES_Writing_FLA[#Data]),MATCH($A56,_xlfn.VSTACK(YES_Writing_ELA[Student Number],YES_Writing_FLA[Student Number]),0),MATCH(VLOOKUP(E$7,'Writing Logic'!$J$7:$K$11,2,FALSE)&amp;" - Per "&amp;VLOOKUP($C$4,'Writing Logic'!$G$8:$H$14,2,FALSE),YES_Writing_ELA[#Headers],0)))="INS",'Writing Logic'!$B$7,IF(INDEX(_xlfn.VSTACK(YES_Writing_ELA[#Data],YES_Writing_FLA[#Data]),MATCH($A56,_xlfn.VSTACK(YES_Writing_ELA[Student Number],YES_Writing_FLA[Student Number]),0),MATCH(VLOOKUP(E$7,'Writing Logic'!$J$7:$K$11,2,FALSE)&amp;" - Per "&amp;VLOOKUP($C$4,'Writing Logic'!$G$8:$H$14,2,FALSE),YES_Writing_ELA[#Headers],0))=0,"",INDEX(_xlfn.VSTACK(YES_Writing_ELA[#Data],YES_Writing_FLA[#Data]),MATCH($A56,_xlfn.VSTACK(YES_Writing_ELA[Student Number],YES_Writing_FLA[Student Number]),0),MATCH(VLOOKUP(E$7,'Writing Logic'!$J$7:$K$11,2,FALSE)&amp;" - Per "&amp;VLOOKUP($C$4,'Writing Logic'!$G$8:$H$14,2,FALSE),YES_Writing_ELA[#Headers],0)))),"")</f>
        <v/>
      </c>
      <c r="F56" s="138" t="str">
        <f>IFERROR(IF(IF(INDEX(_xlfn.VSTACK(YES_Writing_ELA[#Data],YES_Writing_FLA[#Data]),MATCH($A56,_xlfn.VSTACK(YES_Writing_ELA[Student Number],YES_Writing_FLA[Student Number]),0),MATCH(VLOOKUP(F$7,'Writing Logic'!$J$7:$K$11,2,FALSE)&amp;" - Per "&amp;VLOOKUP($C$4,'Writing Logic'!$G$8:$H$14,2,FALSE),YES_Writing_ELA[#Headers],0))=0,"",INDEX(_xlfn.VSTACK(YES_Writing_ELA[#Data],YES_Writing_FLA[#Data]),MATCH($A56,_xlfn.VSTACK(YES_Writing_ELA[Student Number],YES_Writing_FLA[Student Number]),0),MATCH(VLOOKUP(F$7,'Writing Logic'!$J$7:$K$11,2,FALSE)&amp;" - Per "&amp;VLOOKUP($C$4,'Writing Logic'!$G$8:$H$14,2,FALSE),YES_Writing_ELA[#Headers],0)))="INS",'Writing Logic'!$B$7,IF(INDEX(_xlfn.VSTACK(YES_Writing_ELA[#Data],YES_Writing_FLA[#Data]),MATCH($A56,_xlfn.VSTACK(YES_Writing_ELA[Student Number],YES_Writing_FLA[Student Number]),0),MATCH(VLOOKUP(F$7,'Writing Logic'!$J$7:$K$11,2,FALSE)&amp;" - Per "&amp;VLOOKUP($C$4,'Writing Logic'!$G$8:$H$14,2,FALSE),YES_Writing_ELA[#Headers],0))=0,"",INDEX(_xlfn.VSTACK(YES_Writing_ELA[#Data],YES_Writing_FLA[#Data]),MATCH($A56,_xlfn.VSTACK(YES_Writing_ELA[Student Number],YES_Writing_FLA[Student Number]),0),MATCH(VLOOKUP(F$7,'Writing Logic'!$J$7:$K$11,2,FALSE)&amp;" - Per "&amp;VLOOKUP($C$4,'Writing Logic'!$G$8:$H$14,2,FALSE),YES_Writing_ELA[#Headers],0)))),"")</f>
        <v/>
      </c>
      <c r="G56" s="138" t="str">
        <f>IFERROR(IF(IF(INDEX(_xlfn.VSTACK(YES_Writing_ELA[#Data],YES_Writing_FLA[#Data]),MATCH($A56,_xlfn.VSTACK(YES_Writing_ELA[Student Number],YES_Writing_FLA[Student Number]),0),MATCH(VLOOKUP(G$7,'Writing Logic'!$J$7:$K$11,2,FALSE)&amp;" - Per "&amp;VLOOKUP($C$4,'Writing Logic'!$G$8:$H$14,2,FALSE),YES_Writing_ELA[#Headers],0))=0,"",INDEX(_xlfn.VSTACK(YES_Writing_ELA[#Data],YES_Writing_FLA[#Data]),MATCH($A56,_xlfn.VSTACK(YES_Writing_ELA[Student Number],YES_Writing_FLA[Student Number]),0),MATCH(VLOOKUP(G$7,'Writing Logic'!$J$7:$K$11,2,FALSE)&amp;" - Per "&amp;VLOOKUP($C$4,'Writing Logic'!$G$8:$H$14,2,FALSE),YES_Writing_ELA[#Headers],0)))="INS",'Writing Logic'!$B$7,IF(INDEX(_xlfn.VSTACK(YES_Writing_ELA[#Data],YES_Writing_FLA[#Data]),MATCH($A56,_xlfn.VSTACK(YES_Writing_ELA[Student Number],YES_Writing_FLA[Student Number]),0),MATCH(VLOOKUP(G$7,'Writing Logic'!$J$7:$K$11,2,FALSE)&amp;" - Per "&amp;VLOOKUP($C$4,'Writing Logic'!$G$8:$H$14,2,FALSE),YES_Writing_ELA[#Headers],0))=0,"",INDEX(_xlfn.VSTACK(YES_Writing_ELA[#Data],YES_Writing_FLA[#Data]),MATCH($A56,_xlfn.VSTACK(YES_Writing_ELA[Student Number],YES_Writing_FLA[Student Number]),0),MATCH(VLOOKUP(G$7,'Writing Logic'!$J$7:$K$11,2,FALSE)&amp;" - Per "&amp;VLOOKUP($C$4,'Writing Logic'!$G$8:$H$14,2,FALSE),YES_Writing_ELA[#Headers],0)))),"")</f>
        <v/>
      </c>
      <c r="H56" s="138" t="str">
        <f>IFERROR(IF(IF(INDEX(_xlfn.VSTACK(YES_Writing_ELA[#Data],YES_Writing_FLA[#Data]),MATCH($A56,_xlfn.VSTACK(YES_Writing_ELA[Student Number],YES_Writing_FLA[Student Number]),0),MATCH(VLOOKUP(H$7,'Writing Logic'!$J$7:$K$11,2,FALSE)&amp;" - Per "&amp;VLOOKUP($C$4,'Writing Logic'!$G$8:$H$14,2,FALSE),YES_Writing_ELA[#Headers],0))=0,"",INDEX(_xlfn.VSTACK(YES_Writing_ELA[#Data],YES_Writing_FLA[#Data]),MATCH($A56,_xlfn.VSTACK(YES_Writing_ELA[Student Number],YES_Writing_FLA[Student Number]),0),MATCH(VLOOKUP(H$7,'Writing Logic'!$J$7:$K$11,2,FALSE)&amp;" - Per "&amp;VLOOKUP($C$4,'Writing Logic'!$G$8:$H$14,2,FALSE),YES_Writing_ELA[#Headers],0)))="INS",'Writing Logic'!$B$7,IF(INDEX(_xlfn.VSTACK(YES_Writing_ELA[#Data],YES_Writing_FLA[#Data]),MATCH($A56,_xlfn.VSTACK(YES_Writing_ELA[Student Number],YES_Writing_FLA[Student Number]),0),MATCH(VLOOKUP(H$7,'Writing Logic'!$J$7:$K$11,2,FALSE)&amp;" - Per "&amp;VLOOKUP($C$4,'Writing Logic'!$G$8:$H$14,2,FALSE),YES_Writing_ELA[#Headers],0))=0,"",INDEX(_xlfn.VSTACK(YES_Writing_ELA[#Data],YES_Writing_FLA[#Data]),MATCH($A56,_xlfn.VSTACK(YES_Writing_ELA[Student Number],YES_Writing_FLA[Student Number]),0),MATCH(VLOOKUP(H$7,'Writing Logic'!$J$7:$K$11,2,FALSE)&amp;" - Per "&amp;VLOOKUP($C$4,'Writing Logic'!$G$8:$H$14,2,FALSE),YES_Writing_ELA[#Headers],0)))),"")</f>
        <v/>
      </c>
    </row>
    <row r="57" spans="1:8" ht="14.25" customHeight="1" x14ac:dyDescent="0.25">
      <c r="A57" s="137"/>
      <c r="B57" s="137" t="str">
        <f>IFERROR(INDEX(_xlfn.VSTACK(YES_Writing_ELA[#Data], YES_Writing_FLA[#Data]),MATCH($A57,_xlfn.VSTACK(YES_Writing_ELA[Student Number], YES_Writing_FLA[Student Number]),0),MATCH(B$7,YES_Writing_ELA[#Headers],0)),"")</f>
        <v/>
      </c>
      <c r="C57" s="137" t="str">
        <f>IFERROR(INDEX(_xlfn.VSTACK(YES_Writing_ELA[#Data], YES_Writing_FLA[#Data]),MATCH($A57,_xlfn.VSTACK(YES_Writing_ELA[Student Number], YES_Writing_FLA[Student Number]),0),MATCH(C$7,YES_Writing_ELA[#Headers],0)),"")</f>
        <v/>
      </c>
      <c r="D57" s="138" t="str">
        <f>IFERROR(IF(IF(INDEX(_xlfn.VSTACK(YES_Writing_ELA[#Data],YES_Writing_FLA[#Data]),MATCH($A57,_xlfn.VSTACK(YES_Writing_ELA[Student Number],YES_Writing_FLA[Student Number]),0),MATCH(VLOOKUP(D$7,'Writing Logic'!$J$7:$K$11,2,FALSE)&amp;" - Per "&amp;VLOOKUP($C$4,'Writing Logic'!$G$8:$H$14,2,FALSE),YES_Writing_ELA[#Headers],0))=0,"",INDEX(_xlfn.VSTACK(YES_Writing_ELA[#Data],YES_Writing_FLA[#Data]),MATCH($A57,_xlfn.VSTACK(YES_Writing_ELA[Student Number],YES_Writing_FLA[Student Number]),0),MATCH(VLOOKUP(D$7,'Writing Logic'!$J$7:$K$11,2,FALSE)&amp;" - Per "&amp;VLOOKUP($C$4,'Writing Logic'!$G$8:$H$14,2,FALSE),YES_Writing_ELA[#Headers],0)))="INS",'Writing Logic'!$B$7,IF(INDEX(_xlfn.VSTACK(YES_Writing_ELA[#Data],YES_Writing_FLA[#Data]),MATCH($A57,_xlfn.VSTACK(YES_Writing_ELA[Student Number],YES_Writing_FLA[Student Number]),0),MATCH(VLOOKUP(D$7,'Writing Logic'!$J$7:$K$11,2,FALSE)&amp;" - Per "&amp;VLOOKUP($C$4,'Writing Logic'!$G$8:$H$14,2,FALSE),YES_Writing_ELA[#Headers],0))=0,"",INDEX(_xlfn.VSTACK(YES_Writing_ELA[#Data],YES_Writing_FLA[#Data]),MATCH($A57,_xlfn.VSTACK(YES_Writing_ELA[Student Number],YES_Writing_FLA[Student Number]),0),MATCH(VLOOKUP(D$7,'Writing Logic'!$J$7:$K$11,2,FALSE)&amp;" - Per "&amp;VLOOKUP($C$4,'Writing Logic'!$G$8:$H$14,2,FALSE),YES_Writing_ELA[#Headers],0)))),"")</f>
        <v/>
      </c>
      <c r="E57" s="138" t="str">
        <f>IFERROR(IF(IF(INDEX(_xlfn.VSTACK(YES_Writing_ELA[#Data],YES_Writing_FLA[#Data]),MATCH($A57,_xlfn.VSTACK(YES_Writing_ELA[Student Number],YES_Writing_FLA[Student Number]),0),MATCH(VLOOKUP(E$7,'Writing Logic'!$J$7:$K$11,2,FALSE)&amp;" - Per "&amp;VLOOKUP($C$4,'Writing Logic'!$G$8:$H$14,2,FALSE),YES_Writing_ELA[#Headers],0))=0,"",INDEX(_xlfn.VSTACK(YES_Writing_ELA[#Data],YES_Writing_FLA[#Data]),MATCH($A57,_xlfn.VSTACK(YES_Writing_ELA[Student Number],YES_Writing_FLA[Student Number]),0),MATCH(VLOOKUP(E$7,'Writing Logic'!$J$7:$K$11,2,FALSE)&amp;" - Per "&amp;VLOOKUP($C$4,'Writing Logic'!$G$8:$H$14,2,FALSE),YES_Writing_ELA[#Headers],0)))="INS",'Writing Logic'!$B$7,IF(INDEX(_xlfn.VSTACK(YES_Writing_ELA[#Data],YES_Writing_FLA[#Data]),MATCH($A57,_xlfn.VSTACK(YES_Writing_ELA[Student Number],YES_Writing_FLA[Student Number]),0),MATCH(VLOOKUP(E$7,'Writing Logic'!$J$7:$K$11,2,FALSE)&amp;" - Per "&amp;VLOOKUP($C$4,'Writing Logic'!$G$8:$H$14,2,FALSE),YES_Writing_ELA[#Headers],0))=0,"",INDEX(_xlfn.VSTACK(YES_Writing_ELA[#Data],YES_Writing_FLA[#Data]),MATCH($A57,_xlfn.VSTACK(YES_Writing_ELA[Student Number],YES_Writing_FLA[Student Number]),0),MATCH(VLOOKUP(E$7,'Writing Logic'!$J$7:$K$11,2,FALSE)&amp;" - Per "&amp;VLOOKUP($C$4,'Writing Logic'!$G$8:$H$14,2,FALSE),YES_Writing_ELA[#Headers],0)))),"")</f>
        <v/>
      </c>
      <c r="F57" s="138" t="str">
        <f>IFERROR(IF(IF(INDEX(_xlfn.VSTACK(YES_Writing_ELA[#Data],YES_Writing_FLA[#Data]),MATCH($A57,_xlfn.VSTACK(YES_Writing_ELA[Student Number],YES_Writing_FLA[Student Number]),0),MATCH(VLOOKUP(F$7,'Writing Logic'!$J$7:$K$11,2,FALSE)&amp;" - Per "&amp;VLOOKUP($C$4,'Writing Logic'!$G$8:$H$14,2,FALSE),YES_Writing_ELA[#Headers],0))=0,"",INDEX(_xlfn.VSTACK(YES_Writing_ELA[#Data],YES_Writing_FLA[#Data]),MATCH($A57,_xlfn.VSTACK(YES_Writing_ELA[Student Number],YES_Writing_FLA[Student Number]),0),MATCH(VLOOKUP(F$7,'Writing Logic'!$J$7:$K$11,2,FALSE)&amp;" - Per "&amp;VLOOKUP($C$4,'Writing Logic'!$G$8:$H$14,2,FALSE),YES_Writing_ELA[#Headers],0)))="INS",'Writing Logic'!$B$7,IF(INDEX(_xlfn.VSTACK(YES_Writing_ELA[#Data],YES_Writing_FLA[#Data]),MATCH($A57,_xlfn.VSTACK(YES_Writing_ELA[Student Number],YES_Writing_FLA[Student Number]),0),MATCH(VLOOKUP(F$7,'Writing Logic'!$J$7:$K$11,2,FALSE)&amp;" - Per "&amp;VLOOKUP($C$4,'Writing Logic'!$G$8:$H$14,2,FALSE),YES_Writing_ELA[#Headers],0))=0,"",INDEX(_xlfn.VSTACK(YES_Writing_ELA[#Data],YES_Writing_FLA[#Data]),MATCH($A57,_xlfn.VSTACK(YES_Writing_ELA[Student Number],YES_Writing_FLA[Student Number]),0),MATCH(VLOOKUP(F$7,'Writing Logic'!$J$7:$K$11,2,FALSE)&amp;" - Per "&amp;VLOOKUP($C$4,'Writing Logic'!$G$8:$H$14,2,FALSE),YES_Writing_ELA[#Headers],0)))),"")</f>
        <v/>
      </c>
      <c r="G57" s="138" t="str">
        <f>IFERROR(IF(IF(INDEX(_xlfn.VSTACK(YES_Writing_ELA[#Data],YES_Writing_FLA[#Data]),MATCH($A57,_xlfn.VSTACK(YES_Writing_ELA[Student Number],YES_Writing_FLA[Student Number]),0),MATCH(VLOOKUP(G$7,'Writing Logic'!$J$7:$K$11,2,FALSE)&amp;" - Per "&amp;VLOOKUP($C$4,'Writing Logic'!$G$8:$H$14,2,FALSE),YES_Writing_ELA[#Headers],0))=0,"",INDEX(_xlfn.VSTACK(YES_Writing_ELA[#Data],YES_Writing_FLA[#Data]),MATCH($A57,_xlfn.VSTACK(YES_Writing_ELA[Student Number],YES_Writing_FLA[Student Number]),0),MATCH(VLOOKUP(G$7,'Writing Logic'!$J$7:$K$11,2,FALSE)&amp;" - Per "&amp;VLOOKUP($C$4,'Writing Logic'!$G$8:$H$14,2,FALSE),YES_Writing_ELA[#Headers],0)))="INS",'Writing Logic'!$B$7,IF(INDEX(_xlfn.VSTACK(YES_Writing_ELA[#Data],YES_Writing_FLA[#Data]),MATCH($A57,_xlfn.VSTACK(YES_Writing_ELA[Student Number],YES_Writing_FLA[Student Number]),0),MATCH(VLOOKUP(G$7,'Writing Logic'!$J$7:$K$11,2,FALSE)&amp;" - Per "&amp;VLOOKUP($C$4,'Writing Logic'!$G$8:$H$14,2,FALSE),YES_Writing_ELA[#Headers],0))=0,"",INDEX(_xlfn.VSTACK(YES_Writing_ELA[#Data],YES_Writing_FLA[#Data]),MATCH($A57,_xlfn.VSTACK(YES_Writing_ELA[Student Number],YES_Writing_FLA[Student Number]),0),MATCH(VLOOKUP(G$7,'Writing Logic'!$J$7:$K$11,2,FALSE)&amp;" - Per "&amp;VLOOKUP($C$4,'Writing Logic'!$G$8:$H$14,2,FALSE),YES_Writing_ELA[#Headers],0)))),"")</f>
        <v/>
      </c>
      <c r="H57" s="138" t="str">
        <f>IFERROR(IF(IF(INDEX(_xlfn.VSTACK(YES_Writing_ELA[#Data],YES_Writing_FLA[#Data]),MATCH($A57,_xlfn.VSTACK(YES_Writing_ELA[Student Number],YES_Writing_FLA[Student Number]),0),MATCH(VLOOKUP(H$7,'Writing Logic'!$J$7:$K$11,2,FALSE)&amp;" - Per "&amp;VLOOKUP($C$4,'Writing Logic'!$G$8:$H$14,2,FALSE),YES_Writing_ELA[#Headers],0))=0,"",INDEX(_xlfn.VSTACK(YES_Writing_ELA[#Data],YES_Writing_FLA[#Data]),MATCH($A57,_xlfn.VSTACK(YES_Writing_ELA[Student Number],YES_Writing_FLA[Student Number]),0),MATCH(VLOOKUP(H$7,'Writing Logic'!$J$7:$K$11,2,FALSE)&amp;" - Per "&amp;VLOOKUP($C$4,'Writing Logic'!$G$8:$H$14,2,FALSE),YES_Writing_ELA[#Headers],0)))="INS",'Writing Logic'!$B$7,IF(INDEX(_xlfn.VSTACK(YES_Writing_ELA[#Data],YES_Writing_FLA[#Data]),MATCH($A57,_xlfn.VSTACK(YES_Writing_ELA[Student Number],YES_Writing_FLA[Student Number]),0),MATCH(VLOOKUP(H$7,'Writing Logic'!$J$7:$K$11,2,FALSE)&amp;" - Per "&amp;VLOOKUP($C$4,'Writing Logic'!$G$8:$H$14,2,FALSE),YES_Writing_ELA[#Headers],0))=0,"",INDEX(_xlfn.VSTACK(YES_Writing_ELA[#Data],YES_Writing_FLA[#Data]),MATCH($A57,_xlfn.VSTACK(YES_Writing_ELA[Student Number],YES_Writing_FLA[Student Number]),0),MATCH(VLOOKUP(H$7,'Writing Logic'!$J$7:$K$11,2,FALSE)&amp;" - Per "&amp;VLOOKUP($C$4,'Writing Logic'!$G$8:$H$14,2,FALSE),YES_Writing_ELA[#Headers],0)))),"")</f>
        <v/>
      </c>
    </row>
    <row r="58" spans="1:8" ht="14.25" customHeight="1" x14ac:dyDescent="0.25">
      <c r="A58" s="137"/>
      <c r="B58" s="137" t="str">
        <f>IFERROR(INDEX(_xlfn.VSTACK(YES_Writing_ELA[#Data], YES_Writing_FLA[#Data]),MATCH($A58,_xlfn.VSTACK(YES_Writing_ELA[Student Number], YES_Writing_FLA[Student Number]),0),MATCH(B$7,YES_Writing_ELA[#Headers],0)),"")</f>
        <v/>
      </c>
      <c r="C58" s="137" t="str">
        <f>IFERROR(INDEX(_xlfn.VSTACK(YES_Writing_ELA[#Data], YES_Writing_FLA[#Data]),MATCH($A58,_xlfn.VSTACK(YES_Writing_ELA[Student Number], YES_Writing_FLA[Student Number]),0),MATCH(C$7,YES_Writing_ELA[#Headers],0)),"")</f>
        <v/>
      </c>
      <c r="D58" s="138" t="str">
        <f>IFERROR(IF(IF(INDEX(_xlfn.VSTACK(YES_Writing_ELA[#Data],YES_Writing_FLA[#Data]),MATCH($A58,_xlfn.VSTACK(YES_Writing_ELA[Student Number],YES_Writing_FLA[Student Number]),0),MATCH(VLOOKUP(D$7,'Writing Logic'!$J$7:$K$11,2,FALSE)&amp;" - Per "&amp;VLOOKUP($C$4,'Writing Logic'!$G$8:$H$14,2,FALSE),YES_Writing_ELA[#Headers],0))=0,"",INDEX(_xlfn.VSTACK(YES_Writing_ELA[#Data],YES_Writing_FLA[#Data]),MATCH($A58,_xlfn.VSTACK(YES_Writing_ELA[Student Number],YES_Writing_FLA[Student Number]),0),MATCH(VLOOKUP(D$7,'Writing Logic'!$J$7:$K$11,2,FALSE)&amp;" - Per "&amp;VLOOKUP($C$4,'Writing Logic'!$G$8:$H$14,2,FALSE),YES_Writing_ELA[#Headers],0)))="INS",'Writing Logic'!$B$7,IF(INDEX(_xlfn.VSTACK(YES_Writing_ELA[#Data],YES_Writing_FLA[#Data]),MATCH($A58,_xlfn.VSTACK(YES_Writing_ELA[Student Number],YES_Writing_FLA[Student Number]),0),MATCH(VLOOKUP(D$7,'Writing Logic'!$J$7:$K$11,2,FALSE)&amp;" - Per "&amp;VLOOKUP($C$4,'Writing Logic'!$G$8:$H$14,2,FALSE),YES_Writing_ELA[#Headers],0))=0,"",INDEX(_xlfn.VSTACK(YES_Writing_ELA[#Data],YES_Writing_FLA[#Data]),MATCH($A58,_xlfn.VSTACK(YES_Writing_ELA[Student Number],YES_Writing_FLA[Student Number]),0),MATCH(VLOOKUP(D$7,'Writing Logic'!$J$7:$K$11,2,FALSE)&amp;" - Per "&amp;VLOOKUP($C$4,'Writing Logic'!$G$8:$H$14,2,FALSE),YES_Writing_ELA[#Headers],0)))),"")</f>
        <v/>
      </c>
      <c r="E58" s="138" t="str">
        <f>IFERROR(IF(IF(INDEX(_xlfn.VSTACK(YES_Writing_ELA[#Data],YES_Writing_FLA[#Data]),MATCH($A58,_xlfn.VSTACK(YES_Writing_ELA[Student Number],YES_Writing_FLA[Student Number]),0),MATCH(VLOOKUP(E$7,'Writing Logic'!$J$7:$K$11,2,FALSE)&amp;" - Per "&amp;VLOOKUP($C$4,'Writing Logic'!$G$8:$H$14,2,FALSE),YES_Writing_ELA[#Headers],0))=0,"",INDEX(_xlfn.VSTACK(YES_Writing_ELA[#Data],YES_Writing_FLA[#Data]),MATCH($A58,_xlfn.VSTACK(YES_Writing_ELA[Student Number],YES_Writing_FLA[Student Number]),0),MATCH(VLOOKUP(E$7,'Writing Logic'!$J$7:$K$11,2,FALSE)&amp;" - Per "&amp;VLOOKUP($C$4,'Writing Logic'!$G$8:$H$14,2,FALSE),YES_Writing_ELA[#Headers],0)))="INS",'Writing Logic'!$B$7,IF(INDEX(_xlfn.VSTACK(YES_Writing_ELA[#Data],YES_Writing_FLA[#Data]),MATCH($A58,_xlfn.VSTACK(YES_Writing_ELA[Student Number],YES_Writing_FLA[Student Number]),0),MATCH(VLOOKUP(E$7,'Writing Logic'!$J$7:$K$11,2,FALSE)&amp;" - Per "&amp;VLOOKUP($C$4,'Writing Logic'!$G$8:$H$14,2,FALSE),YES_Writing_ELA[#Headers],0))=0,"",INDEX(_xlfn.VSTACK(YES_Writing_ELA[#Data],YES_Writing_FLA[#Data]),MATCH($A58,_xlfn.VSTACK(YES_Writing_ELA[Student Number],YES_Writing_FLA[Student Number]),0),MATCH(VLOOKUP(E$7,'Writing Logic'!$J$7:$K$11,2,FALSE)&amp;" - Per "&amp;VLOOKUP($C$4,'Writing Logic'!$G$8:$H$14,2,FALSE),YES_Writing_ELA[#Headers],0)))),"")</f>
        <v/>
      </c>
      <c r="F58" s="138" t="str">
        <f>IFERROR(IF(IF(INDEX(_xlfn.VSTACK(YES_Writing_ELA[#Data],YES_Writing_FLA[#Data]),MATCH($A58,_xlfn.VSTACK(YES_Writing_ELA[Student Number],YES_Writing_FLA[Student Number]),0),MATCH(VLOOKUP(F$7,'Writing Logic'!$J$7:$K$11,2,FALSE)&amp;" - Per "&amp;VLOOKUP($C$4,'Writing Logic'!$G$8:$H$14,2,FALSE),YES_Writing_ELA[#Headers],0))=0,"",INDEX(_xlfn.VSTACK(YES_Writing_ELA[#Data],YES_Writing_FLA[#Data]),MATCH($A58,_xlfn.VSTACK(YES_Writing_ELA[Student Number],YES_Writing_FLA[Student Number]),0),MATCH(VLOOKUP(F$7,'Writing Logic'!$J$7:$K$11,2,FALSE)&amp;" - Per "&amp;VLOOKUP($C$4,'Writing Logic'!$G$8:$H$14,2,FALSE),YES_Writing_ELA[#Headers],0)))="INS",'Writing Logic'!$B$7,IF(INDEX(_xlfn.VSTACK(YES_Writing_ELA[#Data],YES_Writing_FLA[#Data]),MATCH($A58,_xlfn.VSTACK(YES_Writing_ELA[Student Number],YES_Writing_FLA[Student Number]),0),MATCH(VLOOKUP(F$7,'Writing Logic'!$J$7:$K$11,2,FALSE)&amp;" - Per "&amp;VLOOKUP($C$4,'Writing Logic'!$G$8:$H$14,2,FALSE),YES_Writing_ELA[#Headers],0))=0,"",INDEX(_xlfn.VSTACK(YES_Writing_ELA[#Data],YES_Writing_FLA[#Data]),MATCH($A58,_xlfn.VSTACK(YES_Writing_ELA[Student Number],YES_Writing_FLA[Student Number]),0),MATCH(VLOOKUP(F$7,'Writing Logic'!$J$7:$K$11,2,FALSE)&amp;" - Per "&amp;VLOOKUP($C$4,'Writing Logic'!$G$8:$H$14,2,FALSE),YES_Writing_ELA[#Headers],0)))),"")</f>
        <v/>
      </c>
      <c r="G58" s="138" t="str">
        <f>IFERROR(IF(IF(INDEX(_xlfn.VSTACK(YES_Writing_ELA[#Data],YES_Writing_FLA[#Data]),MATCH($A58,_xlfn.VSTACK(YES_Writing_ELA[Student Number],YES_Writing_FLA[Student Number]),0),MATCH(VLOOKUP(G$7,'Writing Logic'!$J$7:$K$11,2,FALSE)&amp;" - Per "&amp;VLOOKUP($C$4,'Writing Logic'!$G$8:$H$14,2,FALSE),YES_Writing_ELA[#Headers],0))=0,"",INDEX(_xlfn.VSTACK(YES_Writing_ELA[#Data],YES_Writing_FLA[#Data]),MATCH($A58,_xlfn.VSTACK(YES_Writing_ELA[Student Number],YES_Writing_FLA[Student Number]),0),MATCH(VLOOKUP(G$7,'Writing Logic'!$J$7:$K$11,2,FALSE)&amp;" - Per "&amp;VLOOKUP($C$4,'Writing Logic'!$G$8:$H$14,2,FALSE),YES_Writing_ELA[#Headers],0)))="INS",'Writing Logic'!$B$7,IF(INDEX(_xlfn.VSTACK(YES_Writing_ELA[#Data],YES_Writing_FLA[#Data]),MATCH($A58,_xlfn.VSTACK(YES_Writing_ELA[Student Number],YES_Writing_FLA[Student Number]),0),MATCH(VLOOKUP(G$7,'Writing Logic'!$J$7:$K$11,2,FALSE)&amp;" - Per "&amp;VLOOKUP($C$4,'Writing Logic'!$G$8:$H$14,2,FALSE),YES_Writing_ELA[#Headers],0))=0,"",INDEX(_xlfn.VSTACK(YES_Writing_ELA[#Data],YES_Writing_FLA[#Data]),MATCH($A58,_xlfn.VSTACK(YES_Writing_ELA[Student Number],YES_Writing_FLA[Student Number]),0),MATCH(VLOOKUP(G$7,'Writing Logic'!$J$7:$K$11,2,FALSE)&amp;" - Per "&amp;VLOOKUP($C$4,'Writing Logic'!$G$8:$H$14,2,FALSE),YES_Writing_ELA[#Headers],0)))),"")</f>
        <v/>
      </c>
      <c r="H58" s="138" t="str">
        <f>IFERROR(IF(IF(INDEX(_xlfn.VSTACK(YES_Writing_ELA[#Data],YES_Writing_FLA[#Data]),MATCH($A58,_xlfn.VSTACK(YES_Writing_ELA[Student Number],YES_Writing_FLA[Student Number]),0),MATCH(VLOOKUP(H$7,'Writing Logic'!$J$7:$K$11,2,FALSE)&amp;" - Per "&amp;VLOOKUP($C$4,'Writing Logic'!$G$8:$H$14,2,FALSE),YES_Writing_ELA[#Headers],0))=0,"",INDEX(_xlfn.VSTACK(YES_Writing_ELA[#Data],YES_Writing_FLA[#Data]),MATCH($A58,_xlfn.VSTACK(YES_Writing_ELA[Student Number],YES_Writing_FLA[Student Number]),0),MATCH(VLOOKUP(H$7,'Writing Logic'!$J$7:$K$11,2,FALSE)&amp;" - Per "&amp;VLOOKUP($C$4,'Writing Logic'!$G$8:$H$14,2,FALSE),YES_Writing_ELA[#Headers],0)))="INS",'Writing Logic'!$B$7,IF(INDEX(_xlfn.VSTACK(YES_Writing_ELA[#Data],YES_Writing_FLA[#Data]),MATCH($A58,_xlfn.VSTACK(YES_Writing_ELA[Student Number],YES_Writing_FLA[Student Number]),0),MATCH(VLOOKUP(H$7,'Writing Logic'!$J$7:$K$11,2,FALSE)&amp;" - Per "&amp;VLOOKUP($C$4,'Writing Logic'!$G$8:$H$14,2,FALSE),YES_Writing_ELA[#Headers],0))=0,"",INDEX(_xlfn.VSTACK(YES_Writing_ELA[#Data],YES_Writing_FLA[#Data]),MATCH($A58,_xlfn.VSTACK(YES_Writing_ELA[Student Number],YES_Writing_FLA[Student Number]),0),MATCH(VLOOKUP(H$7,'Writing Logic'!$J$7:$K$11,2,FALSE)&amp;" - Per "&amp;VLOOKUP($C$4,'Writing Logic'!$G$8:$H$14,2,FALSE),YES_Writing_ELA[#Headers],0)))),"")</f>
        <v/>
      </c>
    </row>
    <row r="59" spans="1:8" ht="14.25" customHeight="1" x14ac:dyDescent="0.25">
      <c r="A59" s="137"/>
      <c r="B59" s="137" t="str">
        <f>IFERROR(INDEX(_xlfn.VSTACK(YES_Writing_ELA[#Data], YES_Writing_FLA[#Data]),MATCH($A59,_xlfn.VSTACK(YES_Writing_ELA[Student Number], YES_Writing_FLA[Student Number]),0),MATCH(B$7,YES_Writing_ELA[#Headers],0)),"")</f>
        <v/>
      </c>
      <c r="C59" s="137" t="str">
        <f>IFERROR(INDEX(_xlfn.VSTACK(YES_Writing_ELA[#Data], YES_Writing_FLA[#Data]),MATCH($A59,_xlfn.VSTACK(YES_Writing_ELA[Student Number], YES_Writing_FLA[Student Number]),0),MATCH(C$7,YES_Writing_ELA[#Headers],0)),"")</f>
        <v/>
      </c>
      <c r="D59" s="138" t="str">
        <f>IFERROR(IF(IF(INDEX(_xlfn.VSTACK(YES_Writing_ELA[#Data],YES_Writing_FLA[#Data]),MATCH($A59,_xlfn.VSTACK(YES_Writing_ELA[Student Number],YES_Writing_FLA[Student Number]),0),MATCH(VLOOKUP(D$7,'Writing Logic'!$J$7:$K$11,2,FALSE)&amp;" - Per "&amp;VLOOKUP($C$4,'Writing Logic'!$G$8:$H$14,2,FALSE),YES_Writing_ELA[#Headers],0))=0,"",INDEX(_xlfn.VSTACK(YES_Writing_ELA[#Data],YES_Writing_FLA[#Data]),MATCH($A59,_xlfn.VSTACK(YES_Writing_ELA[Student Number],YES_Writing_FLA[Student Number]),0),MATCH(VLOOKUP(D$7,'Writing Logic'!$J$7:$K$11,2,FALSE)&amp;" - Per "&amp;VLOOKUP($C$4,'Writing Logic'!$G$8:$H$14,2,FALSE),YES_Writing_ELA[#Headers],0)))="INS",'Writing Logic'!$B$7,IF(INDEX(_xlfn.VSTACK(YES_Writing_ELA[#Data],YES_Writing_FLA[#Data]),MATCH($A59,_xlfn.VSTACK(YES_Writing_ELA[Student Number],YES_Writing_FLA[Student Number]),0),MATCH(VLOOKUP(D$7,'Writing Logic'!$J$7:$K$11,2,FALSE)&amp;" - Per "&amp;VLOOKUP($C$4,'Writing Logic'!$G$8:$H$14,2,FALSE),YES_Writing_ELA[#Headers],0))=0,"",INDEX(_xlfn.VSTACK(YES_Writing_ELA[#Data],YES_Writing_FLA[#Data]),MATCH($A59,_xlfn.VSTACK(YES_Writing_ELA[Student Number],YES_Writing_FLA[Student Number]),0),MATCH(VLOOKUP(D$7,'Writing Logic'!$J$7:$K$11,2,FALSE)&amp;" - Per "&amp;VLOOKUP($C$4,'Writing Logic'!$G$8:$H$14,2,FALSE),YES_Writing_ELA[#Headers],0)))),"")</f>
        <v/>
      </c>
      <c r="E59" s="138" t="str">
        <f>IFERROR(IF(IF(INDEX(_xlfn.VSTACK(YES_Writing_ELA[#Data],YES_Writing_FLA[#Data]),MATCH($A59,_xlfn.VSTACK(YES_Writing_ELA[Student Number],YES_Writing_FLA[Student Number]),0),MATCH(VLOOKUP(E$7,'Writing Logic'!$J$7:$K$11,2,FALSE)&amp;" - Per "&amp;VLOOKUP($C$4,'Writing Logic'!$G$8:$H$14,2,FALSE),YES_Writing_ELA[#Headers],0))=0,"",INDEX(_xlfn.VSTACK(YES_Writing_ELA[#Data],YES_Writing_FLA[#Data]),MATCH($A59,_xlfn.VSTACK(YES_Writing_ELA[Student Number],YES_Writing_FLA[Student Number]),0),MATCH(VLOOKUP(E$7,'Writing Logic'!$J$7:$K$11,2,FALSE)&amp;" - Per "&amp;VLOOKUP($C$4,'Writing Logic'!$G$8:$H$14,2,FALSE),YES_Writing_ELA[#Headers],0)))="INS",'Writing Logic'!$B$7,IF(INDEX(_xlfn.VSTACK(YES_Writing_ELA[#Data],YES_Writing_FLA[#Data]),MATCH($A59,_xlfn.VSTACK(YES_Writing_ELA[Student Number],YES_Writing_FLA[Student Number]),0),MATCH(VLOOKUP(E$7,'Writing Logic'!$J$7:$K$11,2,FALSE)&amp;" - Per "&amp;VLOOKUP($C$4,'Writing Logic'!$G$8:$H$14,2,FALSE),YES_Writing_ELA[#Headers],0))=0,"",INDEX(_xlfn.VSTACK(YES_Writing_ELA[#Data],YES_Writing_FLA[#Data]),MATCH($A59,_xlfn.VSTACK(YES_Writing_ELA[Student Number],YES_Writing_FLA[Student Number]),0),MATCH(VLOOKUP(E$7,'Writing Logic'!$J$7:$K$11,2,FALSE)&amp;" - Per "&amp;VLOOKUP($C$4,'Writing Logic'!$G$8:$H$14,2,FALSE),YES_Writing_ELA[#Headers],0)))),"")</f>
        <v/>
      </c>
      <c r="F59" s="138" t="str">
        <f>IFERROR(IF(IF(INDEX(_xlfn.VSTACK(YES_Writing_ELA[#Data],YES_Writing_FLA[#Data]),MATCH($A59,_xlfn.VSTACK(YES_Writing_ELA[Student Number],YES_Writing_FLA[Student Number]),0),MATCH(VLOOKUP(F$7,'Writing Logic'!$J$7:$K$11,2,FALSE)&amp;" - Per "&amp;VLOOKUP($C$4,'Writing Logic'!$G$8:$H$14,2,FALSE),YES_Writing_ELA[#Headers],0))=0,"",INDEX(_xlfn.VSTACK(YES_Writing_ELA[#Data],YES_Writing_FLA[#Data]),MATCH($A59,_xlfn.VSTACK(YES_Writing_ELA[Student Number],YES_Writing_FLA[Student Number]),0),MATCH(VLOOKUP(F$7,'Writing Logic'!$J$7:$K$11,2,FALSE)&amp;" - Per "&amp;VLOOKUP($C$4,'Writing Logic'!$G$8:$H$14,2,FALSE),YES_Writing_ELA[#Headers],0)))="INS",'Writing Logic'!$B$7,IF(INDEX(_xlfn.VSTACK(YES_Writing_ELA[#Data],YES_Writing_FLA[#Data]),MATCH($A59,_xlfn.VSTACK(YES_Writing_ELA[Student Number],YES_Writing_FLA[Student Number]),0),MATCH(VLOOKUP(F$7,'Writing Logic'!$J$7:$K$11,2,FALSE)&amp;" - Per "&amp;VLOOKUP($C$4,'Writing Logic'!$G$8:$H$14,2,FALSE),YES_Writing_ELA[#Headers],0))=0,"",INDEX(_xlfn.VSTACK(YES_Writing_ELA[#Data],YES_Writing_FLA[#Data]),MATCH($A59,_xlfn.VSTACK(YES_Writing_ELA[Student Number],YES_Writing_FLA[Student Number]),0),MATCH(VLOOKUP(F$7,'Writing Logic'!$J$7:$K$11,2,FALSE)&amp;" - Per "&amp;VLOOKUP($C$4,'Writing Logic'!$G$8:$H$14,2,FALSE),YES_Writing_ELA[#Headers],0)))),"")</f>
        <v/>
      </c>
      <c r="G59" s="138" t="str">
        <f>IFERROR(IF(IF(INDEX(_xlfn.VSTACK(YES_Writing_ELA[#Data],YES_Writing_FLA[#Data]),MATCH($A59,_xlfn.VSTACK(YES_Writing_ELA[Student Number],YES_Writing_FLA[Student Number]),0),MATCH(VLOOKUP(G$7,'Writing Logic'!$J$7:$K$11,2,FALSE)&amp;" - Per "&amp;VLOOKUP($C$4,'Writing Logic'!$G$8:$H$14,2,FALSE),YES_Writing_ELA[#Headers],0))=0,"",INDEX(_xlfn.VSTACK(YES_Writing_ELA[#Data],YES_Writing_FLA[#Data]),MATCH($A59,_xlfn.VSTACK(YES_Writing_ELA[Student Number],YES_Writing_FLA[Student Number]),0),MATCH(VLOOKUP(G$7,'Writing Logic'!$J$7:$K$11,2,FALSE)&amp;" - Per "&amp;VLOOKUP($C$4,'Writing Logic'!$G$8:$H$14,2,FALSE),YES_Writing_ELA[#Headers],0)))="INS",'Writing Logic'!$B$7,IF(INDEX(_xlfn.VSTACK(YES_Writing_ELA[#Data],YES_Writing_FLA[#Data]),MATCH($A59,_xlfn.VSTACK(YES_Writing_ELA[Student Number],YES_Writing_FLA[Student Number]),0),MATCH(VLOOKUP(G$7,'Writing Logic'!$J$7:$K$11,2,FALSE)&amp;" - Per "&amp;VLOOKUP($C$4,'Writing Logic'!$G$8:$H$14,2,FALSE),YES_Writing_ELA[#Headers],0))=0,"",INDEX(_xlfn.VSTACK(YES_Writing_ELA[#Data],YES_Writing_FLA[#Data]),MATCH($A59,_xlfn.VSTACK(YES_Writing_ELA[Student Number],YES_Writing_FLA[Student Number]),0),MATCH(VLOOKUP(G$7,'Writing Logic'!$J$7:$K$11,2,FALSE)&amp;" - Per "&amp;VLOOKUP($C$4,'Writing Logic'!$G$8:$H$14,2,FALSE),YES_Writing_ELA[#Headers],0)))),"")</f>
        <v/>
      </c>
      <c r="H59" s="138" t="str">
        <f>IFERROR(IF(IF(INDEX(_xlfn.VSTACK(YES_Writing_ELA[#Data],YES_Writing_FLA[#Data]),MATCH($A59,_xlfn.VSTACK(YES_Writing_ELA[Student Number],YES_Writing_FLA[Student Number]),0),MATCH(VLOOKUP(H$7,'Writing Logic'!$J$7:$K$11,2,FALSE)&amp;" - Per "&amp;VLOOKUP($C$4,'Writing Logic'!$G$8:$H$14,2,FALSE),YES_Writing_ELA[#Headers],0))=0,"",INDEX(_xlfn.VSTACK(YES_Writing_ELA[#Data],YES_Writing_FLA[#Data]),MATCH($A59,_xlfn.VSTACK(YES_Writing_ELA[Student Number],YES_Writing_FLA[Student Number]),0),MATCH(VLOOKUP(H$7,'Writing Logic'!$J$7:$K$11,2,FALSE)&amp;" - Per "&amp;VLOOKUP($C$4,'Writing Logic'!$G$8:$H$14,2,FALSE),YES_Writing_ELA[#Headers],0)))="INS",'Writing Logic'!$B$7,IF(INDEX(_xlfn.VSTACK(YES_Writing_ELA[#Data],YES_Writing_FLA[#Data]),MATCH($A59,_xlfn.VSTACK(YES_Writing_ELA[Student Number],YES_Writing_FLA[Student Number]),0),MATCH(VLOOKUP(H$7,'Writing Logic'!$J$7:$K$11,2,FALSE)&amp;" - Per "&amp;VLOOKUP($C$4,'Writing Logic'!$G$8:$H$14,2,FALSE),YES_Writing_ELA[#Headers],0))=0,"",INDEX(_xlfn.VSTACK(YES_Writing_ELA[#Data],YES_Writing_FLA[#Data]),MATCH($A59,_xlfn.VSTACK(YES_Writing_ELA[Student Number],YES_Writing_FLA[Student Number]),0),MATCH(VLOOKUP(H$7,'Writing Logic'!$J$7:$K$11,2,FALSE)&amp;" - Per "&amp;VLOOKUP($C$4,'Writing Logic'!$G$8:$H$14,2,FALSE),YES_Writing_ELA[#Headers],0)))),"")</f>
        <v/>
      </c>
    </row>
    <row r="60" spans="1:8" ht="14.25" customHeight="1" x14ac:dyDescent="0.25">
      <c r="A60" s="137"/>
      <c r="B60" s="137" t="str">
        <f>IFERROR(INDEX(_xlfn.VSTACK(YES_Writing_ELA[#Data], YES_Writing_FLA[#Data]),MATCH($A60,_xlfn.VSTACK(YES_Writing_ELA[Student Number], YES_Writing_FLA[Student Number]),0),MATCH(B$7,YES_Writing_ELA[#Headers],0)),"")</f>
        <v/>
      </c>
      <c r="C60" s="137" t="str">
        <f>IFERROR(INDEX(_xlfn.VSTACK(YES_Writing_ELA[#Data], YES_Writing_FLA[#Data]),MATCH($A60,_xlfn.VSTACK(YES_Writing_ELA[Student Number], YES_Writing_FLA[Student Number]),0),MATCH(C$7,YES_Writing_ELA[#Headers],0)),"")</f>
        <v/>
      </c>
      <c r="D60" s="138" t="str">
        <f>IFERROR(IF(IF(INDEX(_xlfn.VSTACK(YES_Writing_ELA[#Data],YES_Writing_FLA[#Data]),MATCH($A60,_xlfn.VSTACK(YES_Writing_ELA[Student Number],YES_Writing_FLA[Student Number]),0),MATCH(VLOOKUP(D$7,'Writing Logic'!$J$7:$K$11,2,FALSE)&amp;" - Per "&amp;VLOOKUP($C$4,'Writing Logic'!$G$8:$H$14,2,FALSE),YES_Writing_ELA[#Headers],0))=0,"",INDEX(_xlfn.VSTACK(YES_Writing_ELA[#Data],YES_Writing_FLA[#Data]),MATCH($A60,_xlfn.VSTACK(YES_Writing_ELA[Student Number],YES_Writing_FLA[Student Number]),0),MATCH(VLOOKUP(D$7,'Writing Logic'!$J$7:$K$11,2,FALSE)&amp;" - Per "&amp;VLOOKUP($C$4,'Writing Logic'!$G$8:$H$14,2,FALSE),YES_Writing_ELA[#Headers],0)))="INS",'Writing Logic'!$B$7,IF(INDEX(_xlfn.VSTACK(YES_Writing_ELA[#Data],YES_Writing_FLA[#Data]),MATCH($A60,_xlfn.VSTACK(YES_Writing_ELA[Student Number],YES_Writing_FLA[Student Number]),0),MATCH(VLOOKUP(D$7,'Writing Logic'!$J$7:$K$11,2,FALSE)&amp;" - Per "&amp;VLOOKUP($C$4,'Writing Logic'!$G$8:$H$14,2,FALSE),YES_Writing_ELA[#Headers],0))=0,"",INDEX(_xlfn.VSTACK(YES_Writing_ELA[#Data],YES_Writing_FLA[#Data]),MATCH($A60,_xlfn.VSTACK(YES_Writing_ELA[Student Number],YES_Writing_FLA[Student Number]),0),MATCH(VLOOKUP(D$7,'Writing Logic'!$J$7:$K$11,2,FALSE)&amp;" - Per "&amp;VLOOKUP($C$4,'Writing Logic'!$G$8:$H$14,2,FALSE),YES_Writing_ELA[#Headers],0)))),"")</f>
        <v/>
      </c>
      <c r="E60" s="138" t="str">
        <f>IFERROR(IF(IF(INDEX(_xlfn.VSTACK(YES_Writing_ELA[#Data],YES_Writing_FLA[#Data]),MATCH($A60,_xlfn.VSTACK(YES_Writing_ELA[Student Number],YES_Writing_FLA[Student Number]),0),MATCH(VLOOKUP(E$7,'Writing Logic'!$J$7:$K$11,2,FALSE)&amp;" - Per "&amp;VLOOKUP($C$4,'Writing Logic'!$G$8:$H$14,2,FALSE),YES_Writing_ELA[#Headers],0))=0,"",INDEX(_xlfn.VSTACK(YES_Writing_ELA[#Data],YES_Writing_FLA[#Data]),MATCH($A60,_xlfn.VSTACK(YES_Writing_ELA[Student Number],YES_Writing_FLA[Student Number]),0),MATCH(VLOOKUP(E$7,'Writing Logic'!$J$7:$K$11,2,FALSE)&amp;" - Per "&amp;VLOOKUP($C$4,'Writing Logic'!$G$8:$H$14,2,FALSE),YES_Writing_ELA[#Headers],0)))="INS",'Writing Logic'!$B$7,IF(INDEX(_xlfn.VSTACK(YES_Writing_ELA[#Data],YES_Writing_FLA[#Data]),MATCH($A60,_xlfn.VSTACK(YES_Writing_ELA[Student Number],YES_Writing_FLA[Student Number]),0),MATCH(VLOOKUP(E$7,'Writing Logic'!$J$7:$K$11,2,FALSE)&amp;" - Per "&amp;VLOOKUP($C$4,'Writing Logic'!$G$8:$H$14,2,FALSE),YES_Writing_ELA[#Headers],0))=0,"",INDEX(_xlfn.VSTACK(YES_Writing_ELA[#Data],YES_Writing_FLA[#Data]),MATCH($A60,_xlfn.VSTACK(YES_Writing_ELA[Student Number],YES_Writing_FLA[Student Number]),0),MATCH(VLOOKUP(E$7,'Writing Logic'!$J$7:$K$11,2,FALSE)&amp;" - Per "&amp;VLOOKUP($C$4,'Writing Logic'!$G$8:$H$14,2,FALSE),YES_Writing_ELA[#Headers],0)))),"")</f>
        <v/>
      </c>
      <c r="F60" s="138" t="str">
        <f>IFERROR(IF(IF(INDEX(_xlfn.VSTACK(YES_Writing_ELA[#Data],YES_Writing_FLA[#Data]),MATCH($A60,_xlfn.VSTACK(YES_Writing_ELA[Student Number],YES_Writing_FLA[Student Number]),0),MATCH(VLOOKUP(F$7,'Writing Logic'!$J$7:$K$11,2,FALSE)&amp;" - Per "&amp;VLOOKUP($C$4,'Writing Logic'!$G$8:$H$14,2,FALSE),YES_Writing_ELA[#Headers],0))=0,"",INDEX(_xlfn.VSTACK(YES_Writing_ELA[#Data],YES_Writing_FLA[#Data]),MATCH($A60,_xlfn.VSTACK(YES_Writing_ELA[Student Number],YES_Writing_FLA[Student Number]),0),MATCH(VLOOKUP(F$7,'Writing Logic'!$J$7:$K$11,2,FALSE)&amp;" - Per "&amp;VLOOKUP($C$4,'Writing Logic'!$G$8:$H$14,2,FALSE),YES_Writing_ELA[#Headers],0)))="INS",'Writing Logic'!$B$7,IF(INDEX(_xlfn.VSTACK(YES_Writing_ELA[#Data],YES_Writing_FLA[#Data]),MATCH($A60,_xlfn.VSTACK(YES_Writing_ELA[Student Number],YES_Writing_FLA[Student Number]),0),MATCH(VLOOKUP(F$7,'Writing Logic'!$J$7:$K$11,2,FALSE)&amp;" - Per "&amp;VLOOKUP($C$4,'Writing Logic'!$G$8:$H$14,2,FALSE),YES_Writing_ELA[#Headers],0))=0,"",INDEX(_xlfn.VSTACK(YES_Writing_ELA[#Data],YES_Writing_FLA[#Data]),MATCH($A60,_xlfn.VSTACK(YES_Writing_ELA[Student Number],YES_Writing_FLA[Student Number]),0),MATCH(VLOOKUP(F$7,'Writing Logic'!$J$7:$K$11,2,FALSE)&amp;" - Per "&amp;VLOOKUP($C$4,'Writing Logic'!$G$8:$H$14,2,FALSE),YES_Writing_ELA[#Headers],0)))),"")</f>
        <v/>
      </c>
      <c r="G60" s="138" t="str">
        <f>IFERROR(IF(IF(INDEX(_xlfn.VSTACK(YES_Writing_ELA[#Data],YES_Writing_FLA[#Data]),MATCH($A60,_xlfn.VSTACK(YES_Writing_ELA[Student Number],YES_Writing_FLA[Student Number]),0),MATCH(VLOOKUP(G$7,'Writing Logic'!$J$7:$K$11,2,FALSE)&amp;" - Per "&amp;VLOOKUP($C$4,'Writing Logic'!$G$8:$H$14,2,FALSE),YES_Writing_ELA[#Headers],0))=0,"",INDEX(_xlfn.VSTACK(YES_Writing_ELA[#Data],YES_Writing_FLA[#Data]),MATCH($A60,_xlfn.VSTACK(YES_Writing_ELA[Student Number],YES_Writing_FLA[Student Number]),0),MATCH(VLOOKUP(G$7,'Writing Logic'!$J$7:$K$11,2,FALSE)&amp;" - Per "&amp;VLOOKUP($C$4,'Writing Logic'!$G$8:$H$14,2,FALSE),YES_Writing_ELA[#Headers],0)))="INS",'Writing Logic'!$B$7,IF(INDEX(_xlfn.VSTACK(YES_Writing_ELA[#Data],YES_Writing_FLA[#Data]),MATCH($A60,_xlfn.VSTACK(YES_Writing_ELA[Student Number],YES_Writing_FLA[Student Number]),0),MATCH(VLOOKUP(G$7,'Writing Logic'!$J$7:$K$11,2,FALSE)&amp;" - Per "&amp;VLOOKUP($C$4,'Writing Logic'!$G$8:$H$14,2,FALSE),YES_Writing_ELA[#Headers],0))=0,"",INDEX(_xlfn.VSTACK(YES_Writing_ELA[#Data],YES_Writing_FLA[#Data]),MATCH($A60,_xlfn.VSTACK(YES_Writing_ELA[Student Number],YES_Writing_FLA[Student Number]),0),MATCH(VLOOKUP(G$7,'Writing Logic'!$J$7:$K$11,2,FALSE)&amp;" - Per "&amp;VLOOKUP($C$4,'Writing Logic'!$G$8:$H$14,2,FALSE),YES_Writing_ELA[#Headers],0)))),"")</f>
        <v/>
      </c>
      <c r="H60" s="138" t="str">
        <f>IFERROR(IF(IF(INDEX(_xlfn.VSTACK(YES_Writing_ELA[#Data],YES_Writing_FLA[#Data]),MATCH($A60,_xlfn.VSTACK(YES_Writing_ELA[Student Number],YES_Writing_FLA[Student Number]),0),MATCH(VLOOKUP(H$7,'Writing Logic'!$J$7:$K$11,2,FALSE)&amp;" - Per "&amp;VLOOKUP($C$4,'Writing Logic'!$G$8:$H$14,2,FALSE),YES_Writing_ELA[#Headers],0))=0,"",INDEX(_xlfn.VSTACK(YES_Writing_ELA[#Data],YES_Writing_FLA[#Data]),MATCH($A60,_xlfn.VSTACK(YES_Writing_ELA[Student Number],YES_Writing_FLA[Student Number]),0),MATCH(VLOOKUP(H$7,'Writing Logic'!$J$7:$K$11,2,FALSE)&amp;" - Per "&amp;VLOOKUP($C$4,'Writing Logic'!$G$8:$H$14,2,FALSE),YES_Writing_ELA[#Headers],0)))="INS",'Writing Logic'!$B$7,IF(INDEX(_xlfn.VSTACK(YES_Writing_ELA[#Data],YES_Writing_FLA[#Data]),MATCH($A60,_xlfn.VSTACK(YES_Writing_ELA[Student Number],YES_Writing_FLA[Student Number]),0),MATCH(VLOOKUP(H$7,'Writing Logic'!$J$7:$K$11,2,FALSE)&amp;" - Per "&amp;VLOOKUP($C$4,'Writing Logic'!$G$8:$H$14,2,FALSE),YES_Writing_ELA[#Headers],0))=0,"",INDEX(_xlfn.VSTACK(YES_Writing_ELA[#Data],YES_Writing_FLA[#Data]),MATCH($A60,_xlfn.VSTACK(YES_Writing_ELA[Student Number],YES_Writing_FLA[Student Number]),0),MATCH(VLOOKUP(H$7,'Writing Logic'!$J$7:$K$11,2,FALSE)&amp;" - Per "&amp;VLOOKUP($C$4,'Writing Logic'!$G$8:$H$14,2,FALSE),YES_Writing_ELA[#Headers],0)))),"")</f>
        <v/>
      </c>
    </row>
    <row r="61" spans="1:8" ht="14.25" customHeight="1" x14ac:dyDescent="0.25">
      <c r="A61" s="137"/>
      <c r="B61" s="137" t="str">
        <f>IFERROR(INDEX(_xlfn.VSTACK(YES_Writing_ELA[#Data], YES_Writing_FLA[#Data]),MATCH($A61,_xlfn.VSTACK(YES_Writing_ELA[Student Number], YES_Writing_FLA[Student Number]),0),MATCH(B$7,YES_Writing_ELA[#Headers],0)),"")</f>
        <v/>
      </c>
      <c r="C61" s="137" t="str">
        <f>IFERROR(INDEX(_xlfn.VSTACK(YES_Writing_ELA[#Data], YES_Writing_FLA[#Data]),MATCH($A61,_xlfn.VSTACK(YES_Writing_ELA[Student Number], YES_Writing_FLA[Student Number]),0),MATCH(C$7,YES_Writing_ELA[#Headers],0)),"")</f>
        <v/>
      </c>
      <c r="D61" s="138" t="str">
        <f>IFERROR(IF(IF(INDEX(_xlfn.VSTACK(YES_Writing_ELA[#Data],YES_Writing_FLA[#Data]),MATCH($A61,_xlfn.VSTACK(YES_Writing_ELA[Student Number],YES_Writing_FLA[Student Number]),0),MATCH(VLOOKUP(D$7,'Writing Logic'!$J$7:$K$11,2,FALSE)&amp;" - Per "&amp;VLOOKUP($C$4,'Writing Logic'!$G$8:$H$14,2,FALSE),YES_Writing_ELA[#Headers],0))=0,"",INDEX(_xlfn.VSTACK(YES_Writing_ELA[#Data],YES_Writing_FLA[#Data]),MATCH($A61,_xlfn.VSTACK(YES_Writing_ELA[Student Number],YES_Writing_FLA[Student Number]),0),MATCH(VLOOKUP(D$7,'Writing Logic'!$J$7:$K$11,2,FALSE)&amp;" - Per "&amp;VLOOKUP($C$4,'Writing Logic'!$G$8:$H$14,2,FALSE),YES_Writing_ELA[#Headers],0)))="INS",'Writing Logic'!$B$7,IF(INDEX(_xlfn.VSTACK(YES_Writing_ELA[#Data],YES_Writing_FLA[#Data]),MATCH($A61,_xlfn.VSTACK(YES_Writing_ELA[Student Number],YES_Writing_FLA[Student Number]),0),MATCH(VLOOKUP(D$7,'Writing Logic'!$J$7:$K$11,2,FALSE)&amp;" - Per "&amp;VLOOKUP($C$4,'Writing Logic'!$G$8:$H$14,2,FALSE),YES_Writing_ELA[#Headers],0))=0,"",INDEX(_xlfn.VSTACK(YES_Writing_ELA[#Data],YES_Writing_FLA[#Data]),MATCH($A61,_xlfn.VSTACK(YES_Writing_ELA[Student Number],YES_Writing_FLA[Student Number]),0),MATCH(VLOOKUP(D$7,'Writing Logic'!$J$7:$K$11,2,FALSE)&amp;" - Per "&amp;VLOOKUP($C$4,'Writing Logic'!$G$8:$H$14,2,FALSE),YES_Writing_ELA[#Headers],0)))),"")</f>
        <v/>
      </c>
      <c r="E61" s="138" t="str">
        <f>IFERROR(IF(IF(INDEX(_xlfn.VSTACK(YES_Writing_ELA[#Data],YES_Writing_FLA[#Data]),MATCH($A61,_xlfn.VSTACK(YES_Writing_ELA[Student Number],YES_Writing_FLA[Student Number]),0),MATCH(VLOOKUP(E$7,'Writing Logic'!$J$7:$K$11,2,FALSE)&amp;" - Per "&amp;VLOOKUP($C$4,'Writing Logic'!$G$8:$H$14,2,FALSE),YES_Writing_ELA[#Headers],0))=0,"",INDEX(_xlfn.VSTACK(YES_Writing_ELA[#Data],YES_Writing_FLA[#Data]),MATCH($A61,_xlfn.VSTACK(YES_Writing_ELA[Student Number],YES_Writing_FLA[Student Number]),0),MATCH(VLOOKUP(E$7,'Writing Logic'!$J$7:$K$11,2,FALSE)&amp;" - Per "&amp;VLOOKUP($C$4,'Writing Logic'!$G$8:$H$14,2,FALSE),YES_Writing_ELA[#Headers],0)))="INS",'Writing Logic'!$B$7,IF(INDEX(_xlfn.VSTACK(YES_Writing_ELA[#Data],YES_Writing_FLA[#Data]),MATCH($A61,_xlfn.VSTACK(YES_Writing_ELA[Student Number],YES_Writing_FLA[Student Number]),0),MATCH(VLOOKUP(E$7,'Writing Logic'!$J$7:$K$11,2,FALSE)&amp;" - Per "&amp;VLOOKUP($C$4,'Writing Logic'!$G$8:$H$14,2,FALSE),YES_Writing_ELA[#Headers],0))=0,"",INDEX(_xlfn.VSTACK(YES_Writing_ELA[#Data],YES_Writing_FLA[#Data]),MATCH($A61,_xlfn.VSTACK(YES_Writing_ELA[Student Number],YES_Writing_FLA[Student Number]),0),MATCH(VLOOKUP(E$7,'Writing Logic'!$J$7:$K$11,2,FALSE)&amp;" - Per "&amp;VLOOKUP($C$4,'Writing Logic'!$G$8:$H$14,2,FALSE),YES_Writing_ELA[#Headers],0)))),"")</f>
        <v/>
      </c>
      <c r="F61" s="138" t="str">
        <f>IFERROR(IF(IF(INDEX(_xlfn.VSTACK(YES_Writing_ELA[#Data],YES_Writing_FLA[#Data]),MATCH($A61,_xlfn.VSTACK(YES_Writing_ELA[Student Number],YES_Writing_FLA[Student Number]),0),MATCH(VLOOKUP(F$7,'Writing Logic'!$J$7:$K$11,2,FALSE)&amp;" - Per "&amp;VLOOKUP($C$4,'Writing Logic'!$G$8:$H$14,2,FALSE),YES_Writing_ELA[#Headers],0))=0,"",INDEX(_xlfn.VSTACK(YES_Writing_ELA[#Data],YES_Writing_FLA[#Data]),MATCH($A61,_xlfn.VSTACK(YES_Writing_ELA[Student Number],YES_Writing_FLA[Student Number]),0),MATCH(VLOOKUP(F$7,'Writing Logic'!$J$7:$K$11,2,FALSE)&amp;" - Per "&amp;VLOOKUP($C$4,'Writing Logic'!$G$8:$H$14,2,FALSE),YES_Writing_ELA[#Headers],0)))="INS",'Writing Logic'!$B$7,IF(INDEX(_xlfn.VSTACK(YES_Writing_ELA[#Data],YES_Writing_FLA[#Data]),MATCH($A61,_xlfn.VSTACK(YES_Writing_ELA[Student Number],YES_Writing_FLA[Student Number]),0),MATCH(VLOOKUP(F$7,'Writing Logic'!$J$7:$K$11,2,FALSE)&amp;" - Per "&amp;VLOOKUP($C$4,'Writing Logic'!$G$8:$H$14,2,FALSE),YES_Writing_ELA[#Headers],0))=0,"",INDEX(_xlfn.VSTACK(YES_Writing_ELA[#Data],YES_Writing_FLA[#Data]),MATCH($A61,_xlfn.VSTACK(YES_Writing_ELA[Student Number],YES_Writing_FLA[Student Number]),0),MATCH(VLOOKUP(F$7,'Writing Logic'!$J$7:$K$11,2,FALSE)&amp;" - Per "&amp;VLOOKUP($C$4,'Writing Logic'!$G$8:$H$14,2,FALSE),YES_Writing_ELA[#Headers],0)))),"")</f>
        <v/>
      </c>
      <c r="G61" s="138" t="str">
        <f>IFERROR(IF(IF(INDEX(_xlfn.VSTACK(YES_Writing_ELA[#Data],YES_Writing_FLA[#Data]),MATCH($A61,_xlfn.VSTACK(YES_Writing_ELA[Student Number],YES_Writing_FLA[Student Number]),0),MATCH(VLOOKUP(G$7,'Writing Logic'!$J$7:$K$11,2,FALSE)&amp;" - Per "&amp;VLOOKUP($C$4,'Writing Logic'!$G$8:$H$14,2,FALSE),YES_Writing_ELA[#Headers],0))=0,"",INDEX(_xlfn.VSTACK(YES_Writing_ELA[#Data],YES_Writing_FLA[#Data]),MATCH($A61,_xlfn.VSTACK(YES_Writing_ELA[Student Number],YES_Writing_FLA[Student Number]),0),MATCH(VLOOKUP(G$7,'Writing Logic'!$J$7:$K$11,2,FALSE)&amp;" - Per "&amp;VLOOKUP($C$4,'Writing Logic'!$G$8:$H$14,2,FALSE),YES_Writing_ELA[#Headers],0)))="INS",'Writing Logic'!$B$7,IF(INDEX(_xlfn.VSTACK(YES_Writing_ELA[#Data],YES_Writing_FLA[#Data]),MATCH($A61,_xlfn.VSTACK(YES_Writing_ELA[Student Number],YES_Writing_FLA[Student Number]),0),MATCH(VLOOKUP(G$7,'Writing Logic'!$J$7:$K$11,2,FALSE)&amp;" - Per "&amp;VLOOKUP($C$4,'Writing Logic'!$G$8:$H$14,2,FALSE),YES_Writing_ELA[#Headers],0))=0,"",INDEX(_xlfn.VSTACK(YES_Writing_ELA[#Data],YES_Writing_FLA[#Data]),MATCH($A61,_xlfn.VSTACK(YES_Writing_ELA[Student Number],YES_Writing_FLA[Student Number]),0),MATCH(VLOOKUP(G$7,'Writing Logic'!$J$7:$K$11,2,FALSE)&amp;" - Per "&amp;VLOOKUP($C$4,'Writing Logic'!$G$8:$H$14,2,FALSE),YES_Writing_ELA[#Headers],0)))),"")</f>
        <v/>
      </c>
      <c r="H61" s="138" t="str">
        <f>IFERROR(IF(IF(INDEX(_xlfn.VSTACK(YES_Writing_ELA[#Data],YES_Writing_FLA[#Data]),MATCH($A61,_xlfn.VSTACK(YES_Writing_ELA[Student Number],YES_Writing_FLA[Student Number]),0),MATCH(VLOOKUP(H$7,'Writing Logic'!$J$7:$K$11,2,FALSE)&amp;" - Per "&amp;VLOOKUP($C$4,'Writing Logic'!$G$8:$H$14,2,FALSE),YES_Writing_ELA[#Headers],0))=0,"",INDEX(_xlfn.VSTACK(YES_Writing_ELA[#Data],YES_Writing_FLA[#Data]),MATCH($A61,_xlfn.VSTACK(YES_Writing_ELA[Student Number],YES_Writing_FLA[Student Number]),0),MATCH(VLOOKUP(H$7,'Writing Logic'!$J$7:$K$11,2,FALSE)&amp;" - Per "&amp;VLOOKUP($C$4,'Writing Logic'!$G$8:$H$14,2,FALSE),YES_Writing_ELA[#Headers],0)))="INS",'Writing Logic'!$B$7,IF(INDEX(_xlfn.VSTACK(YES_Writing_ELA[#Data],YES_Writing_FLA[#Data]),MATCH($A61,_xlfn.VSTACK(YES_Writing_ELA[Student Number],YES_Writing_FLA[Student Number]),0),MATCH(VLOOKUP(H$7,'Writing Logic'!$J$7:$K$11,2,FALSE)&amp;" - Per "&amp;VLOOKUP($C$4,'Writing Logic'!$G$8:$H$14,2,FALSE),YES_Writing_ELA[#Headers],0))=0,"",INDEX(_xlfn.VSTACK(YES_Writing_ELA[#Data],YES_Writing_FLA[#Data]),MATCH($A61,_xlfn.VSTACK(YES_Writing_ELA[Student Number],YES_Writing_FLA[Student Number]),0),MATCH(VLOOKUP(H$7,'Writing Logic'!$J$7:$K$11,2,FALSE)&amp;" - Per "&amp;VLOOKUP($C$4,'Writing Logic'!$G$8:$H$14,2,FALSE),YES_Writing_ELA[#Headers],0)))),"")</f>
        <v/>
      </c>
    </row>
    <row r="62" spans="1:8" ht="14.25" customHeight="1" x14ac:dyDescent="0.25">
      <c r="A62" s="137"/>
      <c r="B62" s="137" t="str">
        <f>IFERROR(INDEX(_xlfn.VSTACK(YES_Writing_ELA[#Data], YES_Writing_FLA[#Data]),MATCH($A62,_xlfn.VSTACK(YES_Writing_ELA[Student Number], YES_Writing_FLA[Student Number]),0),MATCH(B$7,YES_Writing_ELA[#Headers],0)),"")</f>
        <v/>
      </c>
      <c r="C62" s="137" t="str">
        <f>IFERROR(INDEX(_xlfn.VSTACK(YES_Writing_ELA[#Data], YES_Writing_FLA[#Data]),MATCH($A62,_xlfn.VSTACK(YES_Writing_ELA[Student Number], YES_Writing_FLA[Student Number]),0),MATCH(C$7,YES_Writing_ELA[#Headers],0)),"")</f>
        <v/>
      </c>
      <c r="D62" s="138" t="str">
        <f>IFERROR(IF(IF(INDEX(_xlfn.VSTACK(YES_Writing_ELA[#Data],YES_Writing_FLA[#Data]),MATCH($A62,_xlfn.VSTACK(YES_Writing_ELA[Student Number],YES_Writing_FLA[Student Number]),0),MATCH(VLOOKUP(D$7,'Writing Logic'!$J$7:$K$11,2,FALSE)&amp;" - Per "&amp;VLOOKUP($C$4,'Writing Logic'!$G$8:$H$14,2,FALSE),YES_Writing_ELA[#Headers],0))=0,"",INDEX(_xlfn.VSTACK(YES_Writing_ELA[#Data],YES_Writing_FLA[#Data]),MATCH($A62,_xlfn.VSTACK(YES_Writing_ELA[Student Number],YES_Writing_FLA[Student Number]),0),MATCH(VLOOKUP(D$7,'Writing Logic'!$J$7:$K$11,2,FALSE)&amp;" - Per "&amp;VLOOKUP($C$4,'Writing Logic'!$G$8:$H$14,2,FALSE),YES_Writing_ELA[#Headers],0)))="INS",'Writing Logic'!$B$7,IF(INDEX(_xlfn.VSTACK(YES_Writing_ELA[#Data],YES_Writing_FLA[#Data]),MATCH($A62,_xlfn.VSTACK(YES_Writing_ELA[Student Number],YES_Writing_FLA[Student Number]),0),MATCH(VLOOKUP(D$7,'Writing Logic'!$J$7:$K$11,2,FALSE)&amp;" - Per "&amp;VLOOKUP($C$4,'Writing Logic'!$G$8:$H$14,2,FALSE),YES_Writing_ELA[#Headers],0))=0,"",INDEX(_xlfn.VSTACK(YES_Writing_ELA[#Data],YES_Writing_FLA[#Data]),MATCH($A62,_xlfn.VSTACK(YES_Writing_ELA[Student Number],YES_Writing_FLA[Student Number]),0),MATCH(VLOOKUP(D$7,'Writing Logic'!$J$7:$K$11,2,FALSE)&amp;" - Per "&amp;VLOOKUP($C$4,'Writing Logic'!$G$8:$H$14,2,FALSE),YES_Writing_ELA[#Headers],0)))),"")</f>
        <v/>
      </c>
      <c r="E62" s="138" t="str">
        <f>IFERROR(IF(IF(INDEX(_xlfn.VSTACK(YES_Writing_ELA[#Data],YES_Writing_FLA[#Data]),MATCH($A62,_xlfn.VSTACK(YES_Writing_ELA[Student Number],YES_Writing_FLA[Student Number]),0),MATCH(VLOOKUP(E$7,'Writing Logic'!$J$7:$K$11,2,FALSE)&amp;" - Per "&amp;VLOOKUP($C$4,'Writing Logic'!$G$8:$H$14,2,FALSE),YES_Writing_ELA[#Headers],0))=0,"",INDEX(_xlfn.VSTACK(YES_Writing_ELA[#Data],YES_Writing_FLA[#Data]),MATCH($A62,_xlfn.VSTACK(YES_Writing_ELA[Student Number],YES_Writing_FLA[Student Number]),0),MATCH(VLOOKUP(E$7,'Writing Logic'!$J$7:$K$11,2,FALSE)&amp;" - Per "&amp;VLOOKUP($C$4,'Writing Logic'!$G$8:$H$14,2,FALSE),YES_Writing_ELA[#Headers],0)))="INS",'Writing Logic'!$B$7,IF(INDEX(_xlfn.VSTACK(YES_Writing_ELA[#Data],YES_Writing_FLA[#Data]),MATCH($A62,_xlfn.VSTACK(YES_Writing_ELA[Student Number],YES_Writing_FLA[Student Number]),0),MATCH(VLOOKUP(E$7,'Writing Logic'!$J$7:$K$11,2,FALSE)&amp;" - Per "&amp;VLOOKUP($C$4,'Writing Logic'!$G$8:$H$14,2,FALSE),YES_Writing_ELA[#Headers],0))=0,"",INDEX(_xlfn.VSTACK(YES_Writing_ELA[#Data],YES_Writing_FLA[#Data]),MATCH($A62,_xlfn.VSTACK(YES_Writing_ELA[Student Number],YES_Writing_FLA[Student Number]),0),MATCH(VLOOKUP(E$7,'Writing Logic'!$J$7:$K$11,2,FALSE)&amp;" - Per "&amp;VLOOKUP($C$4,'Writing Logic'!$G$8:$H$14,2,FALSE),YES_Writing_ELA[#Headers],0)))),"")</f>
        <v/>
      </c>
      <c r="F62" s="138" t="str">
        <f>IFERROR(IF(IF(INDEX(_xlfn.VSTACK(YES_Writing_ELA[#Data],YES_Writing_FLA[#Data]),MATCH($A62,_xlfn.VSTACK(YES_Writing_ELA[Student Number],YES_Writing_FLA[Student Number]),0),MATCH(VLOOKUP(F$7,'Writing Logic'!$J$7:$K$11,2,FALSE)&amp;" - Per "&amp;VLOOKUP($C$4,'Writing Logic'!$G$8:$H$14,2,FALSE),YES_Writing_ELA[#Headers],0))=0,"",INDEX(_xlfn.VSTACK(YES_Writing_ELA[#Data],YES_Writing_FLA[#Data]),MATCH($A62,_xlfn.VSTACK(YES_Writing_ELA[Student Number],YES_Writing_FLA[Student Number]),0),MATCH(VLOOKUP(F$7,'Writing Logic'!$J$7:$K$11,2,FALSE)&amp;" - Per "&amp;VLOOKUP($C$4,'Writing Logic'!$G$8:$H$14,2,FALSE),YES_Writing_ELA[#Headers],0)))="INS",'Writing Logic'!$B$7,IF(INDEX(_xlfn.VSTACK(YES_Writing_ELA[#Data],YES_Writing_FLA[#Data]),MATCH($A62,_xlfn.VSTACK(YES_Writing_ELA[Student Number],YES_Writing_FLA[Student Number]),0),MATCH(VLOOKUP(F$7,'Writing Logic'!$J$7:$K$11,2,FALSE)&amp;" - Per "&amp;VLOOKUP($C$4,'Writing Logic'!$G$8:$H$14,2,FALSE),YES_Writing_ELA[#Headers],0))=0,"",INDEX(_xlfn.VSTACK(YES_Writing_ELA[#Data],YES_Writing_FLA[#Data]),MATCH($A62,_xlfn.VSTACK(YES_Writing_ELA[Student Number],YES_Writing_FLA[Student Number]),0),MATCH(VLOOKUP(F$7,'Writing Logic'!$J$7:$K$11,2,FALSE)&amp;" - Per "&amp;VLOOKUP($C$4,'Writing Logic'!$G$8:$H$14,2,FALSE),YES_Writing_ELA[#Headers],0)))),"")</f>
        <v/>
      </c>
      <c r="G62" s="138" t="str">
        <f>IFERROR(IF(IF(INDEX(_xlfn.VSTACK(YES_Writing_ELA[#Data],YES_Writing_FLA[#Data]),MATCH($A62,_xlfn.VSTACK(YES_Writing_ELA[Student Number],YES_Writing_FLA[Student Number]),0),MATCH(VLOOKUP(G$7,'Writing Logic'!$J$7:$K$11,2,FALSE)&amp;" - Per "&amp;VLOOKUP($C$4,'Writing Logic'!$G$8:$H$14,2,FALSE),YES_Writing_ELA[#Headers],0))=0,"",INDEX(_xlfn.VSTACK(YES_Writing_ELA[#Data],YES_Writing_FLA[#Data]),MATCH($A62,_xlfn.VSTACK(YES_Writing_ELA[Student Number],YES_Writing_FLA[Student Number]),0),MATCH(VLOOKUP(G$7,'Writing Logic'!$J$7:$K$11,2,FALSE)&amp;" - Per "&amp;VLOOKUP($C$4,'Writing Logic'!$G$8:$H$14,2,FALSE),YES_Writing_ELA[#Headers],0)))="INS",'Writing Logic'!$B$7,IF(INDEX(_xlfn.VSTACK(YES_Writing_ELA[#Data],YES_Writing_FLA[#Data]),MATCH($A62,_xlfn.VSTACK(YES_Writing_ELA[Student Number],YES_Writing_FLA[Student Number]),0),MATCH(VLOOKUP(G$7,'Writing Logic'!$J$7:$K$11,2,FALSE)&amp;" - Per "&amp;VLOOKUP($C$4,'Writing Logic'!$G$8:$H$14,2,FALSE),YES_Writing_ELA[#Headers],0))=0,"",INDEX(_xlfn.VSTACK(YES_Writing_ELA[#Data],YES_Writing_FLA[#Data]),MATCH($A62,_xlfn.VSTACK(YES_Writing_ELA[Student Number],YES_Writing_FLA[Student Number]),0),MATCH(VLOOKUP(G$7,'Writing Logic'!$J$7:$K$11,2,FALSE)&amp;" - Per "&amp;VLOOKUP($C$4,'Writing Logic'!$G$8:$H$14,2,FALSE),YES_Writing_ELA[#Headers],0)))),"")</f>
        <v/>
      </c>
      <c r="H62" s="138" t="str">
        <f>IFERROR(IF(IF(INDEX(_xlfn.VSTACK(YES_Writing_ELA[#Data],YES_Writing_FLA[#Data]),MATCH($A62,_xlfn.VSTACK(YES_Writing_ELA[Student Number],YES_Writing_FLA[Student Number]),0),MATCH(VLOOKUP(H$7,'Writing Logic'!$J$7:$K$11,2,FALSE)&amp;" - Per "&amp;VLOOKUP($C$4,'Writing Logic'!$G$8:$H$14,2,FALSE),YES_Writing_ELA[#Headers],0))=0,"",INDEX(_xlfn.VSTACK(YES_Writing_ELA[#Data],YES_Writing_FLA[#Data]),MATCH($A62,_xlfn.VSTACK(YES_Writing_ELA[Student Number],YES_Writing_FLA[Student Number]),0),MATCH(VLOOKUP(H$7,'Writing Logic'!$J$7:$K$11,2,FALSE)&amp;" - Per "&amp;VLOOKUP($C$4,'Writing Logic'!$G$8:$H$14,2,FALSE),YES_Writing_ELA[#Headers],0)))="INS",'Writing Logic'!$B$7,IF(INDEX(_xlfn.VSTACK(YES_Writing_ELA[#Data],YES_Writing_FLA[#Data]),MATCH($A62,_xlfn.VSTACK(YES_Writing_ELA[Student Number],YES_Writing_FLA[Student Number]),0),MATCH(VLOOKUP(H$7,'Writing Logic'!$J$7:$K$11,2,FALSE)&amp;" - Per "&amp;VLOOKUP($C$4,'Writing Logic'!$G$8:$H$14,2,FALSE),YES_Writing_ELA[#Headers],0))=0,"",INDEX(_xlfn.VSTACK(YES_Writing_ELA[#Data],YES_Writing_FLA[#Data]),MATCH($A62,_xlfn.VSTACK(YES_Writing_ELA[Student Number],YES_Writing_FLA[Student Number]),0),MATCH(VLOOKUP(H$7,'Writing Logic'!$J$7:$K$11,2,FALSE)&amp;" - Per "&amp;VLOOKUP($C$4,'Writing Logic'!$G$8:$H$14,2,FALSE),YES_Writing_ELA[#Headers],0)))),"")</f>
        <v/>
      </c>
    </row>
    <row r="63" spans="1:8" ht="14.25" customHeight="1" x14ac:dyDescent="0.25">
      <c r="A63" s="137"/>
      <c r="B63" s="137" t="str">
        <f>IFERROR(INDEX(_xlfn.VSTACK(YES_Writing_ELA[#Data], YES_Writing_FLA[#Data]),MATCH($A63,_xlfn.VSTACK(YES_Writing_ELA[Student Number], YES_Writing_FLA[Student Number]),0),MATCH(B$7,YES_Writing_ELA[#Headers],0)),"")</f>
        <v/>
      </c>
      <c r="C63" s="137" t="str">
        <f>IFERROR(INDEX(_xlfn.VSTACK(YES_Writing_ELA[#Data], YES_Writing_FLA[#Data]),MATCH($A63,_xlfn.VSTACK(YES_Writing_ELA[Student Number], YES_Writing_FLA[Student Number]),0),MATCH(C$7,YES_Writing_ELA[#Headers],0)),"")</f>
        <v/>
      </c>
      <c r="D63" s="138" t="str">
        <f>IFERROR(IF(IF(INDEX(_xlfn.VSTACK(YES_Writing_ELA[#Data],YES_Writing_FLA[#Data]),MATCH($A63,_xlfn.VSTACK(YES_Writing_ELA[Student Number],YES_Writing_FLA[Student Number]),0),MATCH(VLOOKUP(D$7,'Writing Logic'!$J$7:$K$11,2,FALSE)&amp;" - Per "&amp;VLOOKUP($C$4,'Writing Logic'!$G$8:$H$14,2,FALSE),YES_Writing_ELA[#Headers],0))=0,"",INDEX(_xlfn.VSTACK(YES_Writing_ELA[#Data],YES_Writing_FLA[#Data]),MATCH($A63,_xlfn.VSTACK(YES_Writing_ELA[Student Number],YES_Writing_FLA[Student Number]),0),MATCH(VLOOKUP(D$7,'Writing Logic'!$J$7:$K$11,2,FALSE)&amp;" - Per "&amp;VLOOKUP($C$4,'Writing Logic'!$G$8:$H$14,2,FALSE),YES_Writing_ELA[#Headers],0)))="INS",'Writing Logic'!$B$7,IF(INDEX(_xlfn.VSTACK(YES_Writing_ELA[#Data],YES_Writing_FLA[#Data]),MATCH($A63,_xlfn.VSTACK(YES_Writing_ELA[Student Number],YES_Writing_FLA[Student Number]),0),MATCH(VLOOKUP(D$7,'Writing Logic'!$J$7:$K$11,2,FALSE)&amp;" - Per "&amp;VLOOKUP($C$4,'Writing Logic'!$G$8:$H$14,2,FALSE),YES_Writing_ELA[#Headers],0))=0,"",INDEX(_xlfn.VSTACK(YES_Writing_ELA[#Data],YES_Writing_FLA[#Data]),MATCH($A63,_xlfn.VSTACK(YES_Writing_ELA[Student Number],YES_Writing_FLA[Student Number]),0),MATCH(VLOOKUP(D$7,'Writing Logic'!$J$7:$K$11,2,FALSE)&amp;" - Per "&amp;VLOOKUP($C$4,'Writing Logic'!$G$8:$H$14,2,FALSE),YES_Writing_ELA[#Headers],0)))),"")</f>
        <v/>
      </c>
      <c r="E63" s="138" t="str">
        <f>IFERROR(IF(IF(INDEX(_xlfn.VSTACK(YES_Writing_ELA[#Data],YES_Writing_FLA[#Data]),MATCH($A63,_xlfn.VSTACK(YES_Writing_ELA[Student Number],YES_Writing_FLA[Student Number]),0),MATCH(VLOOKUP(E$7,'Writing Logic'!$J$7:$K$11,2,FALSE)&amp;" - Per "&amp;VLOOKUP($C$4,'Writing Logic'!$G$8:$H$14,2,FALSE),YES_Writing_ELA[#Headers],0))=0,"",INDEX(_xlfn.VSTACK(YES_Writing_ELA[#Data],YES_Writing_FLA[#Data]),MATCH($A63,_xlfn.VSTACK(YES_Writing_ELA[Student Number],YES_Writing_FLA[Student Number]),0),MATCH(VLOOKUP(E$7,'Writing Logic'!$J$7:$K$11,2,FALSE)&amp;" - Per "&amp;VLOOKUP($C$4,'Writing Logic'!$G$8:$H$14,2,FALSE),YES_Writing_ELA[#Headers],0)))="INS",'Writing Logic'!$B$7,IF(INDEX(_xlfn.VSTACK(YES_Writing_ELA[#Data],YES_Writing_FLA[#Data]),MATCH($A63,_xlfn.VSTACK(YES_Writing_ELA[Student Number],YES_Writing_FLA[Student Number]),0),MATCH(VLOOKUP(E$7,'Writing Logic'!$J$7:$K$11,2,FALSE)&amp;" - Per "&amp;VLOOKUP($C$4,'Writing Logic'!$G$8:$H$14,2,FALSE),YES_Writing_ELA[#Headers],0))=0,"",INDEX(_xlfn.VSTACK(YES_Writing_ELA[#Data],YES_Writing_FLA[#Data]),MATCH($A63,_xlfn.VSTACK(YES_Writing_ELA[Student Number],YES_Writing_FLA[Student Number]),0),MATCH(VLOOKUP(E$7,'Writing Logic'!$J$7:$K$11,2,FALSE)&amp;" - Per "&amp;VLOOKUP($C$4,'Writing Logic'!$G$8:$H$14,2,FALSE),YES_Writing_ELA[#Headers],0)))),"")</f>
        <v/>
      </c>
      <c r="F63" s="138" t="str">
        <f>IFERROR(IF(IF(INDEX(_xlfn.VSTACK(YES_Writing_ELA[#Data],YES_Writing_FLA[#Data]),MATCH($A63,_xlfn.VSTACK(YES_Writing_ELA[Student Number],YES_Writing_FLA[Student Number]),0),MATCH(VLOOKUP(F$7,'Writing Logic'!$J$7:$K$11,2,FALSE)&amp;" - Per "&amp;VLOOKUP($C$4,'Writing Logic'!$G$8:$H$14,2,FALSE),YES_Writing_ELA[#Headers],0))=0,"",INDEX(_xlfn.VSTACK(YES_Writing_ELA[#Data],YES_Writing_FLA[#Data]),MATCH($A63,_xlfn.VSTACK(YES_Writing_ELA[Student Number],YES_Writing_FLA[Student Number]),0),MATCH(VLOOKUP(F$7,'Writing Logic'!$J$7:$K$11,2,FALSE)&amp;" - Per "&amp;VLOOKUP($C$4,'Writing Logic'!$G$8:$H$14,2,FALSE),YES_Writing_ELA[#Headers],0)))="INS",'Writing Logic'!$B$7,IF(INDEX(_xlfn.VSTACK(YES_Writing_ELA[#Data],YES_Writing_FLA[#Data]),MATCH($A63,_xlfn.VSTACK(YES_Writing_ELA[Student Number],YES_Writing_FLA[Student Number]),0),MATCH(VLOOKUP(F$7,'Writing Logic'!$J$7:$K$11,2,FALSE)&amp;" - Per "&amp;VLOOKUP($C$4,'Writing Logic'!$G$8:$H$14,2,FALSE),YES_Writing_ELA[#Headers],0))=0,"",INDEX(_xlfn.VSTACK(YES_Writing_ELA[#Data],YES_Writing_FLA[#Data]),MATCH($A63,_xlfn.VSTACK(YES_Writing_ELA[Student Number],YES_Writing_FLA[Student Number]),0),MATCH(VLOOKUP(F$7,'Writing Logic'!$J$7:$K$11,2,FALSE)&amp;" - Per "&amp;VLOOKUP($C$4,'Writing Logic'!$G$8:$H$14,2,FALSE),YES_Writing_ELA[#Headers],0)))),"")</f>
        <v/>
      </c>
      <c r="G63" s="138" t="str">
        <f>IFERROR(IF(IF(INDEX(_xlfn.VSTACK(YES_Writing_ELA[#Data],YES_Writing_FLA[#Data]),MATCH($A63,_xlfn.VSTACK(YES_Writing_ELA[Student Number],YES_Writing_FLA[Student Number]),0),MATCH(VLOOKUP(G$7,'Writing Logic'!$J$7:$K$11,2,FALSE)&amp;" - Per "&amp;VLOOKUP($C$4,'Writing Logic'!$G$8:$H$14,2,FALSE),YES_Writing_ELA[#Headers],0))=0,"",INDEX(_xlfn.VSTACK(YES_Writing_ELA[#Data],YES_Writing_FLA[#Data]),MATCH($A63,_xlfn.VSTACK(YES_Writing_ELA[Student Number],YES_Writing_FLA[Student Number]),0),MATCH(VLOOKUP(G$7,'Writing Logic'!$J$7:$K$11,2,FALSE)&amp;" - Per "&amp;VLOOKUP($C$4,'Writing Logic'!$G$8:$H$14,2,FALSE),YES_Writing_ELA[#Headers],0)))="INS",'Writing Logic'!$B$7,IF(INDEX(_xlfn.VSTACK(YES_Writing_ELA[#Data],YES_Writing_FLA[#Data]),MATCH($A63,_xlfn.VSTACK(YES_Writing_ELA[Student Number],YES_Writing_FLA[Student Number]),0),MATCH(VLOOKUP(G$7,'Writing Logic'!$J$7:$K$11,2,FALSE)&amp;" - Per "&amp;VLOOKUP($C$4,'Writing Logic'!$G$8:$H$14,2,FALSE),YES_Writing_ELA[#Headers],0))=0,"",INDEX(_xlfn.VSTACK(YES_Writing_ELA[#Data],YES_Writing_FLA[#Data]),MATCH($A63,_xlfn.VSTACK(YES_Writing_ELA[Student Number],YES_Writing_FLA[Student Number]),0),MATCH(VLOOKUP(G$7,'Writing Logic'!$J$7:$K$11,2,FALSE)&amp;" - Per "&amp;VLOOKUP($C$4,'Writing Logic'!$G$8:$H$14,2,FALSE),YES_Writing_ELA[#Headers],0)))),"")</f>
        <v/>
      </c>
      <c r="H63" s="138" t="str">
        <f>IFERROR(IF(IF(INDEX(_xlfn.VSTACK(YES_Writing_ELA[#Data],YES_Writing_FLA[#Data]),MATCH($A63,_xlfn.VSTACK(YES_Writing_ELA[Student Number],YES_Writing_FLA[Student Number]),0),MATCH(VLOOKUP(H$7,'Writing Logic'!$J$7:$K$11,2,FALSE)&amp;" - Per "&amp;VLOOKUP($C$4,'Writing Logic'!$G$8:$H$14,2,FALSE),YES_Writing_ELA[#Headers],0))=0,"",INDEX(_xlfn.VSTACK(YES_Writing_ELA[#Data],YES_Writing_FLA[#Data]),MATCH($A63,_xlfn.VSTACK(YES_Writing_ELA[Student Number],YES_Writing_FLA[Student Number]),0),MATCH(VLOOKUP(H$7,'Writing Logic'!$J$7:$K$11,2,FALSE)&amp;" - Per "&amp;VLOOKUP($C$4,'Writing Logic'!$G$8:$H$14,2,FALSE),YES_Writing_ELA[#Headers],0)))="INS",'Writing Logic'!$B$7,IF(INDEX(_xlfn.VSTACK(YES_Writing_ELA[#Data],YES_Writing_FLA[#Data]),MATCH($A63,_xlfn.VSTACK(YES_Writing_ELA[Student Number],YES_Writing_FLA[Student Number]),0),MATCH(VLOOKUP(H$7,'Writing Logic'!$J$7:$K$11,2,FALSE)&amp;" - Per "&amp;VLOOKUP($C$4,'Writing Logic'!$G$8:$H$14,2,FALSE),YES_Writing_ELA[#Headers],0))=0,"",INDEX(_xlfn.VSTACK(YES_Writing_ELA[#Data],YES_Writing_FLA[#Data]),MATCH($A63,_xlfn.VSTACK(YES_Writing_ELA[Student Number],YES_Writing_FLA[Student Number]),0),MATCH(VLOOKUP(H$7,'Writing Logic'!$J$7:$K$11,2,FALSE)&amp;" - Per "&amp;VLOOKUP($C$4,'Writing Logic'!$G$8:$H$14,2,FALSE),YES_Writing_ELA[#Headers],0)))),"")</f>
        <v/>
      </c>
    </row>
    <row r="64" spans="1:8" ht="14.25" customHeight="1" x14ac:dyDescent="0.25">
      <c r="A64" s="137"/>
      <c r="B64" s="137" t="str">
        <f>IFERROR(INDEX(_xlfn.VSTACK(YES_Writing_ELA[#Data], YES_Writing_FLA[#Data]),MATCH($A64,_xlfn.VSTACK(YES_Writing_ELA[Student Number], YES_Writing_FLA[Student Number]),0),MATCH(B$7,YES_Writing_ELA[#Headers],0)),"")</f>
        <v/>
      </c>
      <c r="C64" s="137" t="str">
        <f>IFERROR(INDEX(_xlfn.VSTACK(YES_Writing_ELA[#Data], YES_Writing_FLA[#Data]),MATCH($A64,_xlfn.VSTACK(YES_Writing_ELA[Student Number], YES_Writing_FLA[Student Number]),0),MATCH(C$7,YES_Writing_ELA[#Headers],0)),"")</f>
        <v/>
      </c>
      <c r="D64" s="138" t="str">
        <f>IFERROR(IF(IF(INDEX(_xlfn.VSTACK(YES_Writing_ELA[#Data],YES_Writing_FLA[#Data]),MATCH($A64,_xlfn.VSTACK(YES_Writing_ELA[Student Number],YES_Writing_FLA[Student Number]),0),MATCH(VLOOKUP(D$7,'Writing Logic'!$J$7:$K$11,2,FALSE)&amp;" - Per "&amp;VLOOKUP($C$4,'Writing Logic'!$G$8:$H$14,2,FALSE),YES_Writing_ELA[#Headers],0))=0,"",INDEX(_xlfn.VSTACK(YES_Writing_ELA[#Data],YES_Writing_FLA[#Data]),MATCH($A64,_xlfn.VSTACK(YES_Writing_ELA[Student Number],YES_Writing_FLA[Student Number]),0),MATCH(VLOOKUP(D$7,'Writing Logic'!$J$7:$K$11,2,FALSE)&amp;" - Per "&amp;VLOOKUP($C$4,'Writing Logic'!$G$8:$H$14,2,FALSE),YES_Writing_ELA[#Headers],0)))="INS",'Writing Logic'!$B$7,IF(INDEX(_xlfn.VSTACK(YES_Writing_ELA[#Data],YES_Writing_FLA[#Data]),MATCH($A64,_xlfn.VSTACK(YES_Writing_ELA[Student Number],YES_Writing_FLA[Student Number]),0),MATCH(VLOOKUP(D$7,'Writing Logic'!$J$7:$K$11,2,FALSE)&amp;" - Per "&amp;VLOOKUP($C$4,'Writing Logic'!$G$8:$H$14,2,FALSE),YES_Writing_ELA[#Headers],0))=0,"",INDEX(_xlfn.VSTACK(YES_Writing_ELA[#Data],YES_Writing_FLA[#Data]),MATCH($A64,_xlfn.VSTACK(YES_Writing_ELA[Student Number],YES_Writing_FLA[Student Number]),0),MATCH(VLOOKUP(D$7,'Writing Logic'!$J$7:$K$11,2,FALSE)&amp;" - Per "&amp;VLOOKUP($C$4,'Writing Logic'!$G$8:$H$14,2,FALSE),YES_Writing_ELA[#Headers],0)))),"")</f>
        <v/>
      </c>
      <c r="E64" s="138" t="str">
        <f>IFERROR(IF(IF(INDEX(_xlfn.VSTACK(YES_Writing_ELA[#Data],YES_Writing_FLA[#Data]),MATCH($A64,_xlfn.VSTACK(YES_Writing_ELA[Student Number],YES_Writing_FLA[Student Number]),0),MATCH(VLOOKUP(E$7,'Writing Logic'!$J$7:$K$11,2,FALSE)&amp;" - Per "&amp;VLOOKUP($C$4,'Writing Logic'!$G$8:$H$14,2,FALSE),YES_Writing_ELA[#Headers],0))=0,"",INDEX(_xlfn.VSTACK(YES_Writing_ELA[#Data],YES_Writing_FLA[#Data]),MATCH($A64,_xlfn.VSTACK(YES_Writing_ELA[Student Number],YES_Writing_FLA[Student Number]),0),MATCH(VLOOKUP(E$7,'Writing Logic'!$J$7:$K$11,2,FALSE)&amp;" - Per "&amp;VLOOKUP($C$4,'Writing Logic'!$G$8:$H$14,2,FALSE),YES_Writing_ELA[#Headers],0)))="INS",'Writing Logic'!$B$7,IF(INDEX(_xlfn.VSTACK(YES_Writing_ELA[#Data],YES_Writing_FLA[#Data]),MATCH($A64,_xlfn.VSTACK(YES_Writing_ELA[Student Number],YES_Writing_FLA[Student Number]),0),MATCH(VLOOKUP(E$7,'Writing Logic'!$J$7:$K$11,2,FALSE)&amp;" - Per "&amp;VLOOKUP($C$4,'Writing Logic'!$G$8:$H$14,2,FALSE),YES_Writing_ELA[#Headers],0))=0,"",INDEX(_xlfn.VSTACK(YES_Writing_ELA[#Data],YES_Writing_FLA[#Data]),MATCH($A64,_xlfn.VSTACK(YES_Writing_ELA[Student Number],YES_Writing_FLA[Student Number]),0),MATCH(VLOOKUP(E$7,'Writing Logic'!$J$7:$K$11,2,FALSE)&amp;" - Per "&amp;VLOOKUP($C$4,'Writing Logic'!$G$8:$H$14,2,FALSE),YES_Writing_ELA[#Headers],0)))),"")</f>
        <v/>
      </c>
      <c r="F64" s="138" t="str">
        <f>IFERROR(IF(IF(INDEX(_xlfn.VSTACK(YES_Writing_ELA[#Data],YES_Writing_FLA[#Data]),MATCH($A64,_xlfn.VSTACK(YES_Writing_ELA[Student Number],YES_Writing_FLA[Student Number]),0),MATCH(VLOOKUP(F$7,'Writing Logic'!$J$7:$K$11,2,FALSE)&amp;" - Per "&amp;VLOOKUP($C$4,'Writing Logic'!$G$8:$H$14,2,FALSE),YES_Writing_ELA[#Headers],0))=0,"",INDEX(_xlfn.VSTACK(YES_Writing_ELA[#Data],YES_Writing_FLA[#Data]),MATCH($A64,_xlfn.VSTACK(YES_Writing_ELA[Student Number],YES_Writing_FLA[Student Number]),0),MATCH(VLOOKUP(F$7,'Writing Logic'!$J$7:$K$11,2,FALSE)&amp;" - Per "&amp;VLOOKUP($C$4,'Writing Logic'!$G$8:$H$14,2,FALSE),YES_Writing_ELA[#Headers],0)))="INS",'Writing Logic'!$B$7,IF(INDEX(_xlfn.VSTACK(YES_Writing_ELA[#Data],YES_Writing_FLA[#Data]),MATCH($A64,_xlfn.VSTACK(YES_Writing_ELA[Student Number],YES_Writing_FLA[Student Number]),0),MATCH(VLOOKUP(F$7,'Writing Logic'!$J$7:$K$11,2,FALSE)&amp;" - Per "&amp;VLOOKUP($C$4,'Writing Logic'!$G$8:$H$14,2,FALSE),YES_Writing_ELA[#Headers],0))=0,"",INDEX(_xlfn.VSTACK(YES_Writing_ELA[#Data],YES_Writing_FLA[#Data]),MATCH($A64,_xlfn.VSTACK(YES_Writing_ELA[Student Number],YES_Writing_FLA[Student Number]),0),MATCH(VLOOKUP(F$7,'Writing Logic'!$J$7:$K$11,2,FALSE)&amp;" - Per "&amp;VLOOKUP($C$4,'Writing Logic'!$G$8:$H$14,2,FALSE),YES_Writing_ELA[#Headers],0)))),"")</f>
        <v/>
      </c>
      <c r="G64" s="138" t="str">
        <f>IFERROR(IF(IF(INDEX(_xlfn.VSTACK(YES_Writing_ELA[#Data],YES_Writing_FLA[#Data]),MATCH($A64,_xlfn.VSTACK(YES_Writing_ELA[Student Number],YES_Writing_FLA[Student Number]),0),MATCH(VLOOKUP(G$7,'Writing Logic'!$J$7:$K$11,2,FALSE)&amp;" - Per "&amp;VLOOKUP($C$4,'Writing Logic'!$G$8:$H$14,2,FALSE),YES_Writing_ELA[#Headers],0))=0,"",INDEX(_xlfn.VSTACK(YES_Writing_ELA[#Data],YES_Writing_FLA[#Data]),MATCH($A64,_xlfn.VSTACK(YES_Writing_ELA[Student Number],YES_Writing_FLA[Student Number]),0),MATCH(VLOOKUP(G$7,'Writing Logic'!$J$7:$K$11,2,FALSE)&amp;" - Per "&amp;VLOOKUP($C$4,'Writing Logic'!$G$8:$H$14,2,FALSE),YES_Writing_ELA[#Headers],0)))="INS",'Writing Logic'!$B$7,IF(INDEX(_xlfn.VSTACK(YES_Writing_ELA[#Data],YES_Writing_FLA[#Data]),MATCH($A64,_xlfn.VSTACK(YES_Writing_ELA[Student Number],YES_Writing_FLA[Student Number]),0),MATCH(VLOOKUP(G$7,'Writing Logic'!$J$7:$K$11,2,FALSE)&amp;" - Per "&amp;VLOOKUP($C$4,'Writing Logic'!$G$8:$H$14,2,FALSE),YES_Writing_ELA[#Headers],0))=0,"",INDEX(_xlfn.VSTACK(YES_Writing_ELA[#Data],YES_Writing_FLA[#Data]),MATCH($A64,_xlfn.VSTACK(YES_Writing_ELA[Student Number],YES_Writing_FLA[Student Number]),0),MATCH(VLOOKUP(G$7,'Writing Logic'!$J$7:$K$11,2,FALSE)&amp;" - Per "&amp;VLOOKUP($C$4,'Writing Logic'!$G$8:$H$14,2,FALSE),YES_Writing_ELA[#Headers],0)))),"")</f>
        <v/>
      </c>
      <c r="H64" s="138" t="str">
        <f>IFERROR(IF(IF(INDEX(_xlfn.VSTACK(YES_Writing_ELA[#Data],YES_Writing_FLA[#Data]),MATCH($A64,_xlfn.VSTACK(YES_Writing_ELA[Student Number],YES_Writing_FLA[Student Number]),0),MATCH(VLOOKUP(H$7,'Writing Logic'!$J$7:$K$11,2,FALSE)&amp;" - Per "&amp;VLOOKUP($C$4,'Writing Logic'!$G$8:$H$14,2,FALSE),YES_Writing_ELA[#Headers],0))=0,"",INDEX(_xlfn.VSTACK(YES_Writing_ELA[#Data],YES_Writing_FLA[#Data]),MATCH($A64,_xlfn.VSTACK(YES_Writing_ELA[Student Number],YES_Writing_FLA[Student Number]),0),MATCH(VLOOKUP(H$7,'Writing Logic'!$J$7:$K$11,2,FALSE)&amp;" - Per "&amp;VLOOKUP($C$4,'Writing Logic'!$G$8:$H$14,2,FALSE),YES_Writing_ELA[#Headers],0)))="INS",'Writing Logic'!$B$7,IF(INDEX(_xlfn.VSTACK(YES_Writing_ELA[#Data],YES_Writing_FLA[#Data]),MATCH($A64,_xlfn.VSTACK(YES_Writing_ELA[Student Number],YES_Writing_FLA[Student Number]),0),MATCH(VLOOKUP(H$7,'Writing Logic'!$J$7:$K$11,2,FALSE)&amp;" - Per "&amp;VLOOKUP($C$4,'Writing Logic'!$G$8:$H$14,2,FALSE),YES_Writing_ELA[#Headers],0))=0,"",INDEX(_xlfn.VSTACK(YES_Writing_ELA[#Data],YES_Writing_FLA[#Data]),MATCH($A64,_xlfn.VSTACK(YES_Writing_ELA[Student Number],YES_Writing_FLA[Student Number]),0),MATCH(VLOOKUP(H$7,'Writing Logic'!$J$7:$K$11,2,FALSE)&amp;" - Per "&amp;VLOOKUP($C$4,'Writing Logic'!$G$8:$H$14,2,FALSE),YES_Writing_ELA[#Headers],0)))),"")</f>
        <v/>
      </c>
    </row>
    <row r="65" spans="1:12" ht="14.25" customHeight="1" x14ac:dyDescent="0.25">
      <c r="A65" s="137"/>
      <c r="B65" s="137" t="str">
        <f>IFERROR(INDEX(_xlfn.VSTACK(YES_Writing_ELA[#Data], YES_Writing_FLA[#Data]),MATCH($A65,_xlfn.VSTACK(YES_Writing_ELA[Student Number], YES_Writing_FLA[Student Number]),0),MATCH(B$7,YES_Writing_ELA[#Headers],0)),"")</f>
        <v/>
      </c>
      <c r="C65" s="137" t="str">
        <f>IFERROR(INDEX(_xlfn.VSTACK(YES_Writing_ELA[#Data], YES_Writing_FLA[#Data]),MATCH($A65,_xlfn.VSTACK(YES_Writing_ELA[Student Number], YES_Writing_FLA[Student Number]),0),MATCH(C$7,YES_Writing_ELA[#Headers],0)),"")</f>
        <v/>
      </c>
      <c r="D65" s="138" t="str">
        <f>IFERROR(IF(IF(INDEX(_xlfn.VSTACK(YES_Writing_ELA[#Data],YES_Writing_FLA[#Data]),MATCH($A65,_xlfn.VSTACK(YES_Writing_ELA[Student Number],YES_Writing_FLA[Student Number]),0),MATCH(VLOOKUP(D$7,'Writing Logic'!$J$7:$K$11,2,FALSE)&amp;" - Per "&amp;VLOOKUP($C$4,'Writing Logic'!$G$8:$H$14,2,FALSE),YES_Writing_ELA[#Headers],0))=0,"",INDEX(_xlfn.VSTACK(YES_Writing_ELA[#Data],YES_Writing_FLA[#Data]),MATCH($A65,_xlfn.VSTACK(YES_Writing_ELA[Student Number],YES_Writing_FLA[Student Number]),0),MATCH(VLOOKUP(D$7,'Writing Logic'!$J$7:$K$11,2,FALSE)&amp;" - Per "&amp;VLOOKUP($C$4,'Writing Logic'!$G$8:$H$14,2,FALSE),YES_Writing_ELA[#Headers],0)))="INS",'Writing Logic'!$B$7,IF(INDEX(_xlfn.VSTACK(YES_Writing_ELA[#Data],YES_Writing_FLA[#Data]),MATCH($A65,_xlfn.VSTACK(YES_Writing_ELA[Student Number],YES_Writing_FLA[Student Number]),0),MATCH(VLOOKUP(D$7,'Writing Logic'!$J$7:$K$11,2,FALSE)&amp;" - Per "&amp;VLOOKUP($C$4,'Writing Logic'!$G$8:$H$14,2,FALSE),YES_Writing_ELA[#Headers],0))=0,"",INDEX(_xlfn.VSTACK(YES_Writing_ELA[#Data],YES_Writing_FLA[#Data]),MATCH($A65,_xlfn.VSTACK(YES_Writing_ELA[Student Number],YES_Writing_FLA[Student Number]),0),MATCH(VLOOKUP(D$7,'Writing Logic'!$J$7:$K$11,2,FALSE)&amp;" - Per "&amp;VLOOKUP($C$4,'Writing Logic'!$G$8:$H$14,2,FALSE),YES_Writing_ELA[#Headers],0)))),"")</f>
        <v/>
      </c>
      <c r="E65" s="138" t="str">
        <f>IFERROR(IF(IF(INDEX(_xlfn.VSTACK(YES_Writing_ELA[#Data],YES_Writing_FLA[#Data]),MATCH($A65,_xlfn.VSTACK(YES_Writing_ELA[Student Number],YES_Writing_FLA[Student Number]),0),MATCH(VLOOKUP(E$7,'Writing Logic'!$J$7:$K$11,2,FALSE)&amp;" - Per "&amp;VLOOKUP($C$4,'Writing Logic'!$G$8:$H$14,2,FALSE),YES_Writing_ELA[#Headers],0))=0,"",INDEX(_xlfn.VSTACK(YES_Writing_ELA[#Data],YES_Writing_FLA[#Data]),MATCH($A65,_xlfn.VSTACK(YES_Writing_ELA[Student Number],YES_Writing_FLA[Student Number]),0),MATCH(VLOOKUP(E$7,'Writing Logic'!$J$7:$K$11,2,FALSE)&amp;" - Per "&amp;VLOOKUP($C$4,'Writing Logic'!$G$8:$H$14,2,FALSE),YES_Writing_ELA[#Headers],0)))="INS",'Writing Logic'!$B$7,IF(INDEX(_xlfn.VSTACK(YES_Writing_ELA[#Data],YES_Writing_FLA[#Data]),MATCH($A65,_xlfn.VSTACK(YES_Writing_ELA[Student Number],YES_Writing_FLA[Student Number]),0),MATCH(VLOOKUP(E$7,'Writing Logic'!$J$7:$K$11,2,FALSE)&amp;" - Per "&amp;VLOOKUP($C$4,'Writing Logic'!$G$8:$H$14,2,FALSE),YES_Writing_ELA[#Headers],0))=0,"",INDEX(_xlfn.VSTACK(YES_Writing_ELA[#Data],YES_Writing_FLA[#Data]),MATCH($A65,_xlfn.VSTACK(YES_Writing_ELA[Student Number],YES_Writing_FLA[Student Number]),0),MATCH(VLOOKUP(E$7,'Writing Logic'!$J$7:$K$11,2,FALSE)&amp;" - Per "&amp;VLOOKUP($C$4,'Writing Logic'!$G$8:$H$14,2,FALSE),YES_Writing_ELA[#Headers],0)))),"")</f>
        <v/>
      </c>
      <c r="F65" s="138" t="str">
        <f>IFERROR(IF(IF(INDEX(_xlfn.VSTACK(YES_Writing_ELA[#Data],YES_Writing_FLA[#Data]),MATCH($A65,_xlfn.VSTACK(YES_Writing_ELA[Student Number],YES_Writing_FLA[Student Number]),0),MATCH(VLOOKUP(F$7,'Writing Logic'!$J$7:$K$11,2,FALSE)&amp;" - Per "&amp;VLOOKUP($C$4,'Writing Logic'!$G$8:$H$14,2,FALSE),YES_Writing_ELA[#Headers],0))=0,"",INDEX(_xlfn.VSTACK(YES_Writing_ELA[#Data],YES_Writing_FLA[#Data]),MATCH($A65,_xlfn.VSTACK(YES_Writing_ELA[Student Number],YES_Writing_FLA[Student Number]),0),MATCH(VLOOKUP(F$7,'Writing Logic'!$J$7:$K$11,2,FALSE)&amp;" - Per "&amp;VLOOKUP($C$4,'Writing Logic'!$G$8:$H$14,2,FALSE),YES_Writing_ELA[#Headers],0)))="INS",'Writing Logic'!$B$7,IF(INDEX(_xlfn.VSTACK(YES_Writing_ELA[#Data],YES_Writing_FLA[#Data]),MATCH($A65,_xlfn.VSTACK(YES_Writing_ELA[Student Number],YES_Writing_FLA[Student Number]),0),MATCH(VLOOKUP(F$7,'Writing Logic'!$J$7:$K$11,2,FALSE)&amp;" - Per "&amp;VLOOKUP($C$4,'Writing Logic'!$G$8:$H$14,2,FALSE),YES_Writing_ELA[#Headers],0))=0,"",INDEX(_xlfn.VSTACK(YES_Writing_ELA[#Data],YES_Writing_FLA[#Data]),MATCH($A65,_xlfn.VSTACK(YES_Writing_ELA[Student Number],YES_Writing_FLA[Student Number]),0),MATCH(VLOOKUP(F$7,'Writing Logic'!$J$7:$K$11,2,FALSE)&amp;" - Per "&amp;VLOOKUP($C$4,'Writing Logic'!$G$8:$H$14,2,FALSE),YES_Writing_ELA[#Headers],0)))),"")</f>
        <v/>
      </c>
      <c r="G65" s="138" t="str">
        <f>IFERROR(IF(IF(INDEX(_xlfn.VSTACK(YES_Writing_ELA[#Data],YES_Writing_FLA[#Data]),MATCH($A65,_xlfn.VSTACK(YES_Writing_ELA[Student Number],YES_Writing_FLA[Student Number]),0),MATCH(VLOOKUP(G$7,'Writing Logic'!$J$7:$K$11,2,FALSE)&amp;" - Per "&amp;VLOOKUP($C$4,'Writing Logic'!$G$8:$H$14,2,FALSE),YES_Writing_ELA[#Headers],0))=0,"",INDEX(_xlfn.VSTACK(YES_Writing_ELA[#Data],YES_Writing_FLA[#Data]),MATCH($A65,_xlfn.VSTACK(YES_Writing_ELA[Student Number],YES_Writing_FLA[Student Number]),0),MATCH(VLOOKUP(G$7,'Writing Logic'!$J$7:$K$11,2,FALSE)&amp;" - Per "&amp;VLOOKUP($C$4,'Writing Logic'!$G$8:$H$14,2,FALSE),YES_Writing_ELA[#Headers],0)))="INS",'Writing Logic'!$B$7,IF(INDEX(_xlfn.VSTACK(YES_Writing_ELA[#Data],YES_Writing_FLA[#Data]),MATCH($A65,_xlfn.VSTACK(YES_Writing_ELA[Student Number],YES_Writing_FLA[Student Number]),0),MATCH(VLOOKUP(G$7,'Writing Logic'!$J$7:$K$11,2,FALSE)&amp;" - Per "&amp;VLOOKUP($C$4,'Writing Logic'!$G$8:$H$14,2,FALSE),YES_Writing_ELA[#Headers],0))=0,"",INDEX(_xlfn.VSTACK(YES_Writing_ELA[#Data],YES_Writing_FLA[#Data]),MATCH($A65,_xlfn.VSTACK(YES_Writing_ELA[Student Number],YES_Writing_FLA[Student Number]),0),MATCH(VLOOKUP(G$7,'Writing Logic'!$J$7:$K$11,2,FALSE)&amp;" - Per "&amp;VLOOKUP($C$4,'Writing Logic'!$G$8:$H$14,2,FALSE),YES_Writing_ELA[#Headers],0)))),"")</f>
        <v/>
      </c>
      <c r="H65" s="138" t="str">
        <f>IFERROR(IF(IF(INDEX(_xlfn.VSTACK(YES_Writing_ELA[#Data],YES_Writing_FLA[#Data]),MATCH($A65,_xlfn.VSTACK(YES_Writing_ELA[Student Number],YES_Writing_FLA[Student Number]),0),MATCH(VLOOKUP(H$7,'Writing Logic'!$J$7:$K$11,2,FALSE)&amp;" - Per "&amp;VLOOKUP($C$4,'Writing Logic'!$G$8:$H$14,2,FALSE),YES_Writing_ELA[#Headers],0))=0,"",INDEX(_xlfn.VSTACK(YES_Writing_ELA[#Data],YES_Writing_FLA[#Data]),MATCH($A65,_xlfn.VSTACK(YES_Writing_ELA[Student Number],YES_Writing_FLA[Student Number]),0),MATCH(VLOOKUP(H$7,'Writing Logic'!$J$7:$K$11,2,FALSE)&amp;" - Per "&amp;VLOOKUP($C$4,'Writing Logic'!$G$8:$H$14,2,FALSE),YES_Writing_ELA[#Headers],0)))="INS",'Writing Logic'!$B$7,IF(INDEX(_xlfn.VSTACK(YES_Writing_ELA[#Data],YES_Writing_FLA[#Data]),MATCH($A65,_xlfn.VSTACK(YES_Writing_ELA[Student Number],YES_Writing_FLA[Student Number]),0),MATCH(VLOOKUP(H$7,'Writing Logic'!$J$7:$K$11,2,FALSE)&amp;" - Per "&amp;VLOOKUP($C$4,'Writing Logic'!$G$8:$H$14,2,FALSE),YES_Writing_ELA[#Headers],0))=0,"",INDEX(_xlfn.VSTACK(YES_Writing_ELA[#Data],YES_Writing_FLA[#Data]),MATCH($A65,_xlfn.VSTACK(YES_Writing_ELA[Student Number],YES_Writing_FLA[Student Number]),0),MATCH(VLOOKUP(H$7,'Writing Logic'!$J$7:$K$11,2,FALSE)&amp;" - Per "&amp;VLOOKUP($C$4,'Writing Logic'!$G$8:$H$14,2,FALSE),YES_Writing_ELA[#Headers],0)))),"")</f>
        <v/>
      </c>
    </row>
    <row r="66" spans="1:12" ht="14.25" customHeight="1" x14ac:dyDescent="0.25">
      <c r="A66" s="137"/>
      <c r="B66" s="137" t="str">
        <f>IFERROR(INDEX(_xlfn.VSTACK(YES_Writing_ELA[#Data], YES_Writing_FLA[#Data]),MATCH($A66,_xlfn.VSTACK(YES_Writing_ELA[Student Number], YES_Writing_FLA[Student Number]),0),MATCH(B$7,YES_Writing_ELA[#Headers],0)),"")</f>
        <v/>
      </c>
      <c r="C66" s="137" t="str">
        <f>IFERROR(INDEX(_xlfn.VSTACK(YES_Writing_ELA[#Data], YES_Writing_FLA[#Data]),MATCH($A66,_xlfn.VSTACK(YES_Writing_ELA[Student Number], YES_Writing_FLA[Student Number]),0),MATCH(C$7,YES_Writing_ELA[#Headers],0)),"")</f>
        <v/>
      </c>
      <c r="D66" s="138" t="str">
        <f>IFERROR(IF(IF(INDEX(_xlfn.VSTACK(YES_Writing_ELA[#Data],YES_Writing_FLA[#Data]),MATCH($A66,_xlfn.VSTACK(YES_Writing_ELA[Student Number],YES_Writing_FLA[Student Number]),0),MATCH(VLOOKUP(D$7,'Writing Logic'!$J$7:$K$11,2,FALSE)&amp;" - Per "&amp;VLOOKUP($C$4,'Writing Logic'!$G$8:$H$14,2,FALSE),YES_Writing_ELA[#Headers],0))=0,"",INDEX(_xlfn.VSTACK(YES_Writing_ELA[#Data],YES_Writing_FLA[#Data]),MATCH($A66,_xlfn.VSTACK(YES_Writing_ELA[Student Number],YES_Writing_FLA[Student Number]),0),MATCH(VLOOKUP(D$7,'Writing Logic'!$J$7:$K$11,2,FALSE)&amp;" - Per "&amp;VLOOKUP($C$4,'Writing Logic'!$G$8:$H$14,2,FALSE),YES_Writing_ELA[#Headers],0)))="INS",'Writing Logic'!$B$7,IF(INDEX(_xlfn.VSTACK(YES_Writing_ELA[#Data],YES_Writing_FLA[#Data]),MATCH($A66,_xlfn.VSTACK(YES_Writing_ELA[Student Number],YES_Writing_FLA[Student Number]),0),MATCH(VLOOKUP(D$7,'Writing Logic'!$J$7:$K$11,2,FALSE)&amp;" - Per "&amp;VLOOKUP($C$4,'Writing Logic'!$G$8:$H$14,2,FALSE),YES_Writing_ELA[#Headers],0))=0,"",INDEX(_xlfn.VSTACK(YES_Writing_ELA[#Data],YES_Writing_FLA[#Data]),MATCH($A66,_xlfn.VSTACK(YES_Writing_ELA[Student Number],YES_Writing_FLA[Student Number]),0),MATCH(VLOOKUP(D$7,'Writing Logic'!$J$7:$K$11,2,FALSE)&amp;" - Per "&amp;VLOOKUP($C$4,'Writing Logic'!$G$8:$H$14,2,FALSE),YES_Writing_ELA[#Headers],0)))),"")</f>
        <v/>
      </c>
      <c r="E66" s="138" t="str">
        <f>IFERROR(IF(IF(INDEX(_xlfn.VSTACK(YES_Writing_ELA[#Data],YES_Writing_FLA[#Data]),MATCH($A66,_xlfn.VSTACK(YES_Writing_ELA[Student Number],YES_Writing_FLA[Student Number]),0),MATCH(VLOOKUP(E$7,'Writing Logic'!$J$7:$K$11,2,FALSE)&amp;" - Per "&amp;VLOOKUP($C$4,'Writing Logic'!$G$8:$H$14,2,FALSE),YES_Writing_ELA[#Headers],0))=0,"",INDEX(_xlfn.VSTACK(YES_Writing_ELA[#Data],YES_Writing_FLA[#Data]),MATCH($A66,_xlfn.VSTACK(YES_Writing_ELA[Student Number],YES_Writing_FLA[Student Number]),0),MATCH(VLOOKUP(E$7,'Writing Logic'!$J$7:$K$11,2,FALSE)&amp;" - Per "&amp;VLOOKUP($C$4,'Writing Logic'!$G$8:$H$14,2,FALSE),YES_Writing_ELA[#Headers],0)))="INS",'Writing Logic'!$B$7,IF(INDEX(_xlfn.VSTACK(YES_Writing_ELA[#Data],YES_Writing_FLA[#Data]),MATCH($A66,_xlfn.VSTACK(YES_Writing_ELA[Student Number],YES_Writing_FLA[Student Number]),0),MATCH(VLOOKUP(E$7,'Writing Logic'!$J$7:$K$11,2,FALSE)&amp;" - Per "&amp;VLOOKUP($C$4,'Writing Logic'!$G$8:$H$14,2,FALSE),YES_Writing_ELA[#Headers],0))=0,"",INDEX(_xlfn.VSTACK(YES_Writing_ELA[#Data],YES_Writing_FLA[#Data]),MATCH($A66,_xlfn.VSTACK(YES_Writing_ELA[Student Number],YES_Writing_FLA[Student Number]),0),MATCH(VLOOKUP(E$7,'Writing Logic'!$J$7:$K$11,2,FALSE)&amp;" - Per "&amp;VLOOKUP($C$4,'Writing Logic'!$G$8:$H$14,2,FALSE),YES_Writing_ELA[#Headers],0)))),"")</f>
        <v/>
      </c>
      <c r="F66" s="138" t="str">
        <f>IFERROR(IF(IF(INDEX(_xlfn.VSTACK(YES_Writing_ELA[#Data],YES_Writing_FLA[#Data]),MATCH($A66,_xlfn.VSTACK(YES_Writing_ELA[Student Number],YES_Writing_FLA[Student Number]),0),MATCH(VLOOKUP(F$7,'Writing Logic'!$J$7:$K$11,2,FALSE)&amp;" - Per "&amp;VLOOKUP($C$4,'Writing Logic'!$G$8:$H$14,2,FALSE),YES_Writing_ELA[#Headers],0))=0,"",INDEX(_xlfn.VSTACK(YES_Writing_ELA[#Data],YES_Writing_FLA[#Data]),MATCH($A66,_xlfn.VSTACK(YES_Writing_ELA[Student Number],YES_Writing_FLA[Student Number]),0),MATCH(VLOOKUP(F$7,'Writing Logic'!$J$7:$K$11,2,FALSE)&amp;" - Per "&amp;VLOOKUP($C$4,'Writing Logic'!$G$8:$H$14,2,FALSE),YES_Writing_ELA[#Headers],0)))="INS",'Writing Logic'!$B$7,IF(INDEX(_xlfn.VSTACK(YES_Writing_ELA[#Data],YES_Writing_FLA[#Data]),MATCH($A66,_xlfn.VSTACK(YES_Writing_ELA[Student Number],YES_Writing_FLA[Student Number]),0),MATCH(VLOOKUP(F$7,'Writing Logic'!$J$7:$K$11,2,FALSE)&amp;" - Per "&amp;VLOOKUP($C$4,'Writing Logic'!$G$8:$H$14,2,FALSE),YES_Writing_ELA[#Headers],0))=0,"",INDEX(_xlfn.VSTACK(YES_Writing_ELA[#Data],YES_Writing_FLA[#Data]),MATCH($A66,_xlfn.VSTACK(YES_Writing_ELA[Student Number],YES_Writing_FLA[Student Number]),0),MATCH(VLOOKUP(F$7,'Writing Logic'!$J$7:$K$11,2,FALSE)&amp;" - Per "&amp;VLOOKUP($C$4,'Writing Logic'!$G$8:$H$14,2,FALSE),YES_Writing_ELA[#Headers],0)))),"")</f>
        <v/>
      </c>
      <c r="G66" s="138" t="str">
        <f>IFERROR(IF(IF(INDEX(_xlfn.VSTACK(YES_Writing_ELA[#Data],YES_Writing_FLA[#Data]),MATCH($A66,_xlfn.VSTACK(YES_Writing_ELA[Student Number],YES_Writing_FLA[Student Number]),0),MATCH(VLOOKUP(G$7,'Writing Logic'!$J$7:$K$11,2,FALSE)&amp;" - Per "&amp;VLOOKUP($C$4,'Writing Logic'!$G$8:$H$14,2,FALSE),YES_Writing_ELA[#Headers],0))=0,"",INDEX(_xlfn.VSTACK(YES_Writing_ELA[#Data],YES_Writing_FLA[#Data]),MATCH($A66,_xlfn.VSTACK(YES_Writing_ELA[Student Number],YES_Writing_FLA[Student Number]),0),MATCH(VLOOKUP(G$7,'Writing Logic'!$J$7:$K$11,2,FALSE)&amp;" - Per "&amp;VLOOKUP($C$4,'Writing Logic'!$G$8:$H$14,2,FALSE),YES_Writing_ELA[#Headers],0)))="INS",'Writing Logic'!$B$7,IF(INDEX(_xlfn.VSTACK(YES_Writing_ELA[#Data],YES_Writing_FLA[#Data]),MATCH($A66,_xlfn.VSTACK(YES_Writing_ELA[Student Number],YES_Writing_FLA[Student Number]),0),MATCH(VLOOKUP(G$7,'Writing Logic'!$J$7:$K$11,2,FALSE)&amp;" - Per "&amp;VLOOKUP($C$4,'Writing Logic'!$G$8:$H$14,2,FALSE),YES_Writing_ELA[#Headers],0))=0,"",INDEX(_xlfn.VSTACK(YES_Writing_ELA[#Data],YES_Writing_FLA[#Data]),MATCH($A66,_xlfn.VSTACK(YES_Writing_ELA[Student Number],YES_Writing_FLA[Student Number]),0),MATCH(VLOOKUP(G$7,'Writing Logic'!$J$7:$K$11,2,FALSE)&amp;" - Per "&amp;VLOOKUP($C$4,'Writing Logic'!$G$8:$H$14,2,FALSE),YES_Writing_ELA[#Headers],0)))),"")</f>
        <v/>
      </c>
      <c r="H66" s="138" t="str">
        <f>IFERROR(IF(IF(INDEX(_xlfn.VSTACK(YES_Writing_ELA[#Data],YES_Writing_FLA[#Data]),MATCH($A66,_xlfn.VSTACK(YES_Writing_ELA[Student Number],YES_Writing_FLA[Student Number]),0),MATCH(VLOOKUP(H$7,'Writing Logic'!$J$7:$K$11,2,FALSE)&amp;" - Per "&amp;VLOOKUP($C$4,'Writing Logic'!$G$8:$H$14,2,FALSE),YES_Writing_ELA[#Headers],0))=0,"",INDEX(_xlfn.VSTACK(YES_Writing_ELA[#Data],YES_Writing_FLA[#Data]),MATCH($A66,_xlfn.VSTACK(YES_Writing_ELA[Student Number],YES_Writing_FLA[Student Number]),0),MATCH(VLOOKUP(H$7,'Writing Logic'!$J$7:$K$11,2,FALSE)&amp;" - Per "&amp;VLOOKUP($C$4,'Writing Logic'!$G$8:$H$14,2,FALSE),YES_Writing_ELA[#Headers],0)))="INS",'Writing Logic'!$B$7,IF(INDEX(_xlfn.VSTACK(YES_Writing_ELA[#Data],YES_Writing_FLA[#Data]),MATCH($A66,_xlfn.VSTACK(YES_Writing_ELA[Student Number],YES_Writing_FLA[Student Number]),0),MATCH(VLOOKUP(H$7,'Writing Logic'!$J$7:$K$11,2,FALSE)&amp;" - Per "&amp;VLOOKUP($C$4,'Writing Logic'!$G$8:$H$14,2,FALSE),YES_Writing_ELA[#Headers],0))=0,"",INDEX(_xlfn.VSTACK(YES_Writing_ELA[#Data],YES_Writing_FLA[#Data]),MATCH($A66,_xlfn.VSTACK(YES_Writing_ELA[Student Number],YES_Writing_FLA[Student Number]),0),MATCH(VLOOKUP(H$7,'Writing Logic'!$J$7:$K$11,2,FALSE)&amp;" - Per "&amp;VLOOKUP($C$4,'Writing Logic'!$G$8:$H$14,2,FALSE),YES_Writing_ELA[#Headers],0)))),"")</f>
        <v/>
      </c>
    </row>
    <row r="67" spans="1:12" ht="14.25" customHeight="1" x14ac:dyDescent="0.25">
      <c r="A67" s="137"/>
      <c r="B67" s="137" t="str">
        <f>IFERROR(INDEX(_xlfn.VSTACK(YES_Writing_ELA[#Data], YES_Writing_FLA[#Data]),MATCH($A67,_xlfn.VSTACK(YES_Writing_ELA[Student Number], YES_Writing_FLA[Student Number]),0),MATCH(B$7,YES_Writing_ELA[#Headers],0)),"")</f>
        <v/>
      </c>
      <c r="C67" s="137" t="str">
        <f>IFERROR(INDEX(_xlfn.VSTACK(YES_Writing_ELA[#Data], YES_Writing_FLA[#Data]),MATCH($A67,_xlfn.VSTACK(YES_Writing_ELA[Student Number], YES_Writing_FLA[Student Number]),0),MATCH(C$7,YES_Writing_ELA[#Headers],0)),"")</f>
        <v/>
      </c>
      <c r="D67" s="138" t="str">
        <f>IFERROR(IF(IF(INDEX(_xlfn.VSTACK(YES_Writing_ELA[#Data],YES_Writing_FLA[#Data]),MATCH($A67,_xlfn.VSTACK(YES_Writing_ELA[Student Number],YES_Writing_FLA[Student Number]),0),MATCH(VLOOKUP(D$7,'Writing Logic'!$J$7:$K$11,2,FALSE)&amp;" - Per "&amp;VLOOKUP($C$4,'Writing Logic'!$G$8:$H$14,2,FALSE),YES_Writing_ELA[#Headers],0))=0,"",INDEX(_xlfn.VSTACK(YES_Writing_ELA[#Data],YES_Writing_FLA[#Data]),MATCH($A67,_xlfn.VSTACK(YES_Writing_ELA[Student Number],YES_Writing_FLA[Student Number]),0),MATCH(VLOOKUP(D$7,'Writing Logic'!$J$7:$K$11,2,FALSE)&amp;" - Per "&amp;VLOOKUP($C$4,'Writing Logic'!$G$8:$H$14,2,FALSE),YES_Writing_ELA[#Headers],0)))="INS",'Writing Logic'!$B$7,IF(INDEX(_xlfn.VSTACK(YES_Writing_ELA[#Data],YES_Writing_FLA[#Data]),MATCH($A67,_xlfn.VSTACK(YES_Writing_ELA[Student Number],YES_Writing_FLA[Student Number]),0),MATCH(VLOOKUP(D$7,'Writing Logic'!$J$7:$K$11,2,FALSE)&amp;" - Per "&amp;VLOOKUP($C$4,'Writing Logic'!$G$8:$H$14,2,FALSE),YES_Writing_ELA[#Headers],0))=0,"",INDEX(_xlfn.VSTACK(YES_Writing_ELA[#Data],YES_Writing_FLA[#Data]),MATCH($A67,_xlfn.VSTACK(YES_Writing_ELA[Student Number],YES_Writing_FLA[Student Number]),0),MATCH(VLOOKUP(D$7,'Writing Logic'!$J$7:$K$11,2,FALSE)&amp;" - Per "&amp;VLOOKUP($C$4,'Writing Logic'!$G$8:$H$14,2,FALSE),YES_Writing_ELA[#Headers],0)))),"")</f>
        <v/>
      </c>
      <c r="E67" s="138" t="str">
        <f>IFERROR(IF(IF(INDEX(_xlfn.VSTACK(YES_Writing_ELA[#Data],YES_Writing_FLA[#Data]),MATCH($A67,_xlfn.VSTACK(YES_Writing_ELA[Student Number],YES_Writing_FLA[Student Number]),0),MATCH(VLOOKUP(E$7,'Writing Logic'!$J$7:$K$11,2,FALSE)&amp;" - Per "&amp;VLOOKUP($C$4,'Writing Logic'!$G$8:$H$14,2,FALSE),YES_Writing_ELA[#Headers],0))=0,"",INDEX(_xlfn.VSTACK(YES_Writing_ELA[#Data],YES_Writing_FLA[#Data]),MATCH($A67,_xlfn.VSTACK(YES_Writing_ELA[Student Number],YES_Writing_FLA[Student Number]),0),MATCH(VLOOKUP(E$7,'Writing Logic'!$J$7:$K$11,2,FALSE)&amp;" - Per "&amp;VLOOKUP($C$4,'Writing Logic'!$G$8:$H$14,2,FALSE),YES_Writing_ELA[#Headers],0)))="INS",'Writing Logic'!$B$7,IF(INDEX(_xlfn.VSTACK(YES_Writing_ELA[#Data],YES_Writing_FLA[#Data]),MATCH($A67,_xlfn.VSTACK(YES_Writing_ELA[Student Number],YES_Writing_FLA[Student Number]),0),MATCH(VLOOKUP(E$7,'Writing Logic'!$J$7:$K$11,2,FALSE)&amp;" - Per "&amp;VLOOKUP($C$4,'Writing Logic'!$G$8:$H$14,2,FALSE),YES_Writing_ELA[#Headers],0))=0,"",INDEX(_xlfn.VSTACK(YES_Writing_ELA[#Data],YES_Writing_FLA[#Data]),MATCH($A67,_xlfn.VSTACK(YES_Writing_ELA[Student Number],YES_Writing_FLA[Student Number]),0),MATCH(VLOOKUP(E$7,'Writing Logic'!$J$7:$K$11,2,FALSE)&amp;" - Per "&amp;VLOOKUP($C$4,'Writing Logic'!$G$8:$H$14,2,FALSE),YES_Writing_ELA[#Headers],0)))),"")</f>
        <v/>
      </c>
      <c r="F67" s="138" t="str">
        <f>IFERROR(IF(IF(INDEX(_xlfn.VSTACK(YES_Writing_ELA[#Data],YES_Writing_FLA[#Data]),MATCH($A67,_xlfn.VSTACK(YES_Writing_ELA[Student Number],YES_Writing_FLA[Student Number]),0),MATCH(VLOOKUP(F$7,'Writing Logic'!$J$7:$K$11,2,FALSE)&amp;" - Per "&amp;VLOOKUP($C$4,'Writing Logic'!$G$8:$H$14,2,FALSE),YES_Writing_ELA[#Headers],0))=0,"",INDEX(_xlfn.VSTACK(YES_Writing_ELA[#Data],YES_Writing_FLA[#Data]),MATCH($A67,_xlfn.VSTACK(YES_Writing_ELA[Student Number],YES_Writing_FLA[Student Number]),0),MATCH(VLOOKUP(F$7,'Writing Logic'!$J$7:$K$11,2,FALSE)&amp;" - Per "&amp;VLOOKUP($C$4,'Writing Logic'!$G$8:$H$14,2,FALSE),YES_Writing_ELA[#Headers],0)))="INS",'Writing Logic'!$B$7,IF(INDEX(_xlfn.VSTACK(YES_Writing_ELA[#Data],YES_Writing_FLA[#Data]),MATCH($A67,_xlfn.VSTACK(YES_Writing_ELA[Student Number],YES_Writing_FLA[Student Number]),0),MATCH(VLOOKUP(F$7,'Writing Logic'!$J$7:$K$11,2,FALSE)&amp;" - Per "&amp;VLOOKUP($C$4,'Writing Logic'!$G$8:$H$14,2,FALSE),YES_Writing_ELA[#Headers],0))=0,"",INDEX(_xlfn.VSTACK(YES_Writing_ELA[#Data],YES_Writing_FLA[#Data]),MATCH($A67,_xlfn.VSTACK(YES_Writing_ELA[Student Number],YES_Writing_FLA[Student Number]),0),MATCH(VLOOKUP(F$7,'Writing Logic'!$J$7:$K$11,2,FALSE)&amp;" - Per "&amp;VLOOKUP($C$4,'Writing Logic'!$G$8:$H$14,2,FALSE),YES_Writing_ELA[#Headers],0)))),"")</f>
        <v/>
      </c>
      <c r="G67" s="138" t="str">
        <f>IFERROR(IF(IF(INDEX(_xlfn.VSTACK(YES_Writing_ELA[#Data],YES_Writing_FLA[#Data]),MATCH($A67,_xlfn.VSTACK(YES_Writing_ELA[Student Number],YES_Writing_FLA[Student Number]),0),MATCH(VLOOKUP(G$7,'Writing Logic'!$J$7:$K$11,2,FALSE)&amp;" - Per "&amp;VLOOKUP($C$4,'Writing Logic'!$G$8:$H$14,2,FALSE),YES_Writing_ELA[#Headers],0))=0,"",INDEX(_xlfn.VSTACK(YES_Writing_ELA[#Data],YES_Writing_FLA[#Data]),MATCH($A67,_xlfn.VSTACK(YES_Writing_ELA[Student Number],YES_Writing_FLA[Student Number]),0),MATCH(VLOOKUP(G$7,'Writing Logic'!$J$7:$K$11,2,FALSE)&amp;" - Per "&amp;VLOOKUP($C$4,'Writing Logic'!$G$8:$H$14,2,FALSE),YES_Writing_ELA[#Headers],0)))="INS",'Writing Logic'!$B$7,IF(INDEX(_xlfn.VSTACK(YES_Writing_ELA[#Data],YES_Writing_FLA[#Data]),MATCH($A67,_xlfn.VSTACK(YES_Writing_ELA[Student Number],YES_Writing_FLA[Student Number]),0),MATCH(VLOOKUP(G$7,'Writing Logic'!$J$7:$K$11,2,FALSE)&amp;" - Per "&amp;VLOOKUP($C$4,'Writing Logic'!$G$8:$H$14,2,FALSE),YES_Writing_ELA[#Headers],0))=0,"",INDEX(_xlfn.VSTACK(YES_Writing_ELA[#Data],YES_Writing_FLA[#Data]),MATCH($A67,_xlfn.VSTACK(YES_Writing_ELA[Student Number],YES_Writing_FLA[Student Number]),0),MATCH(VLOOKUP(G$7,'Writing Logic'!$J$7:$K$11,2,FALSE)&amp;" - Per "&amp;VLOOKUP($C$4,'Writing Logic'!$G$8:$H$14,2,FALSE),YES_Writing_ELA[#Headers],0)))),"")</f>
        <v/>
      </c>
      <c r="H67" s="138" t="str">
        <f>IFERROR(IF(IF(INDEX(_xlfn.VSTACK(YES_Writing_ELA[#Data],YES_Writing_FLA[#Data]),MATCH($A67,_xlfn.VSTACK(YES_Writing_ELA[Student Number],YES_Writing_FLA[Student Number]),0),MATCH(VLOOKUP(H$7,'Writing Logic'!$J$7:$K$11,2,FALSE)&amp;" - Per "&amp;VLOOKUP($C$4,'Writing Logic'!$G$8:$H$14,2,FALSE),YES_Writing_ELA[#Headers],0))=0,"",INDEX(_xlfn.VSTACK(YES_Writing_ELA[#Data],YES_Writing_FLA[#Data]),MATCH($A67,_xlfn.VSTACK(YES_Writing_ELA[Student Number],YES_Writing_FLA[Student Number]),0),MATCH(VLOOKUP(H$7,'Writing Logic'!$J$7:$K$11,2,FALSE)&amp;" - Per "&amp;VLOOKUP($C$4,'Writing Logic'!$G$8:$H$14,2,FALSE),YES_Writing_ELA[#Headers],0)))="INS",'Writing Logic'!$B$7,IF(INDEX(_xlfn.VSTACK(YES_Writing_ELA[#Data],YES_Writing_FLA[#Data]),MATCH($A67,_xlfn.VSTACK(YES_Writing_ELA[Student Number],YES_Writing_FLA[Student Number]),0),MATCH(VLOOKUP(H$7,'Writing Logic'!$J$7:$K$11,2,FALSE)&amp;" - Per "&amp;VLOOKUP($C$4,'Writing Logic'!$G$8:$H$14,2,FALSE),YES_Writing_ELA[#Headers],0))=0,"",INDEX(_xlfn.VSTACK(YES_Writing_ELA[#Data],YES_Writing_FLA[#Data]),MATCH($A67,_xlfn.VSTACK(YES_Writing_ELA[Student Number],YES_Writing_FLA[Student Number]),0),MATCH(VLOOKUP(H$7,'Writing Logic'!$J$7:$K$11,2,FALSE)&amp;" - Per "&amp;VLOOKUP($C$4,'Writing Logic'!$G$8:$H$14,2,FALSE),YES_Writing_ELA[#Headers],0)))),"")</f>
        <v/>
      </c>
    </row>
    <row r="68" spans="1:12" ht="14.25" customHeight="1" x14ac:dyDescent="0.25">
      <c r="A68" s="137"/>
      <c r="B68" s="137" t="str">
        <f>IFERROR(INDEX(_xlfn.VSTACK(YES_Writing_ELA[#Data], YES_Writing_FLA[#Data]),MATCH($A68,_xlfn.VSTACK(YES_Writing_ELA[Student Number], YES_Writing_FLA[Student Number]),0),MATCH(B$7,YES_Writing_ELA[#Headers],0)),"")</f>
        <v/>
      </c>
      <c r="C68" s="137" t="str">
        <f>IFERROR(INDEX(_xlfn.VSTACK(YES_Writing_ELA[#Data], YES_Writing_FLA[#Data]),MATCH($A68,_xlfn.VSTACK(YES_Writing_ELA[Student Number], YES_Writing_FLA[Student Number]),0),MATCH(C$7,YES_Writing_ELA[#Headers],0)),"")</f>
        <v/>
      </c>
      <c r="D68" s="138" t="str">
        <f>IFERROR(IF(IF(INDEX(_xlfn.VSTACK(YES_Writing_ELA[#Data],YES_Writing_FLA[#Data]),MATCH($A68,_xlfn.VSTACK(YES_Writing_ELA[Student Number],YES_Writing_FLA[Student Number]),0),MATCH(VLOOKUP(D$7,'Writing Logic'!$J$7:$K$11,2,FALSE)&amp;" - Per "&amp;VLOOKUP($C$4,'Writing Logic'!$G$8:$H$14,2,FALSE),YES_Writing_ELA[#Headers],0))=0,"",INDEX(_xlfn.VSTACK(YES_Writing_ELA[#Data],YES_Writing_FLA[#Data]),MATCH($A68,_xlfn.VSTACK(YES_Writing_ELA[Student Number],YES_Writing_FLA[Student Number]),0),MATCH(VLOOKUP(D$7,'Writing Logic'!$J$7:$K$11,2,FALSE)&amp;" - Per "&amp;VLOOKUP($C$4,'Writing Logic'!$G$8:$H$14,2,FALSE),YES_Writing_ELA[#Headers],0)))="INS",'Writing Logic'!$B$7,IF(INDEX(_xlfn.VSTACK(YES_Writing_ELA[#Data],YES_Writing_FLA[#Data]),MATCH($A68,_xlfn.VSTACK(YES_Writing_ELA[Student Number],YES_Writing_FLA[Student Number]),0),MATCH(VLOOKUP(D$7,'Writing Logic'!$J$7:$K$11,2,FALSE)&amp;" - Per "&amp;VLOOKUP($C$4,'Writing Logic'!$G$8:$H$14,2,FALSE),YES_Writing_ELA[#Headers],0))=0,"",INDEX(_xlfn.VSTACK(YES_Writing_ELA[#Data],YES_Writing_FLA[#Data]),MATCH($A68,_xlfn.VSTACK(YES_Writing_ELA[Student Number],YES_Writing_FLA[Student Number]),0),MATCH(VLOOKUP(D$7,'Writing Logic'!$J$7:$K$11,2,FALSE)&amp;" - Per "&amp;VLOOKUP($C$4,'Writing Logic'!$G$8:$H$14,2,FALSE),YES_Writing_ELA[#Headers],0)))),"")</f>
        <v/>
      </c>
      <c r="E68" s="138" t="str">
        <f>IFERROR(IF(IF(INDEX(_xlfn.VSTACK(YES_Writing_ELA[#Data],YES_Writing_FLA[#Data]),MATCH($A68,_xlfn.VSTACK(YES_Writing_ELA[Student Number],YES_Writing_FLA[Student Number]),0),MATCH(VLOOKUP(E$7,'Writing Logic'!$J$7:$K$11,2,FALSE)&amp;" - Per "&amp;VLOOKUP($C$4,'Writing Logic'!$G$8:$H$14,2,FALSE),YES_Writing_ELA[#Headers],0))=0,"",INDEX(_xlfn.VSTACK(YES_Writing_ELA[#Data],YES_Writing_FLA[#Data]),MATCH($A68,_xlfn.VSTACK(YES_Writing_ELA[Student Number],YES_Writing_FLA[Student Number]),0),MATCH(VLOOKUP(E$7,'Writing Logic'!$J$7:$K$11,2,FALSE)&amp;" - Per "&amp;VLOOKUP($C$4,'Writing Logic'!$G$8:$H$14,2,FALSE),YES_Writing_ELA[#Headers],0)))="INS",'Writing Logic'!$B$7,IF(INDEX(_xlfn.VSTACK(YES_Writing_ELA[#Data],YES_Writing_FLA[#Data]),MATCH($A68,_xlfn.VSTACK(YES_Writing_ELA[Student Number],YES_Writing_FLA[Student Number]),0),MATCH(VLOOKUP(E$7,'Writing Logic'!$J$7:$K$11,2,FALSE)&amp;" - Per "&amp;VLOOKUP($C$4,'Writing Logic'!$G$8:$H$14,2,FALSE),YES_Writing_ELA[#Headers],0))=0,"",INDEX(_xlfn.VSTACK(YES_Writing_ELA[#Data],YES_Writing_FLA[#Data]),MATCH($A68,_xlfn.VSTACK(YES_Writing_ELA[Student Number],YES_Writing_FLA[Student Number]),0),MATCH(VLOOKUP(E$7,'Writing Logic'!$J$7:$K$11,2,FALSE)&amp;" - Per "&amp;VLOOKUP($C$4,'Writing Logic'!$G$8:$H$14,2,FALSE),YES_Writing_ELA[#Headers],0)))),"")</f>
        <v/>
      </c>
      <c r="F68" s="138" t="str">
        <f>IFERROR(IF(IF(INDEX(_xlfn.VSTACK(YES_Writing_ELA[#Data],YES_Writing_FLA[#Data]),MATCH($A68,_xlfn.VSTACK(YES_Writing_ELA[Student Number],YES_Writing_FLA[Student Number]),0),MATCH(VLOOKUP(F$7,'Writing Logic'!$J$7:$K$11,2,FALSE)&amp;" - Per "&amp;VLOOKUP($C$4,'Writing Logic'!$G$8:$H$14,2,FALSE),YES_Writing_ELA[#Headers],0))=0,"",INDEX(_xlfn.VSTACK(YES_Writing_ELA[#Data],YES_Writing_FLA[#Data]),MATCH($A68,_xlfn.VSTACK(YES_Writing_ELA[Student Number],YES_Writing_FLA[Student Number]),0),MATCH(VLOOKUP(F$7,'Writing Logic'!$J$7:$K$11,2,FALSE)&amp;" - Per "&amp;VLOOKUP($C$4,'Writing Logic'!$G$8:$H$14,2,FALSE),YES_Writing_ELA[#Headers],0)))="INS",'Writing Logic'!$B$7,IF(INDEX(_xlfn.VSTACK(YES_Writing_ELA[#Data],YES_Writing_FLA[#Data]),MATCH($A68,_xlfn.VSTACK(YES_Writing_ELA[Student Number],YES_Writing_FLA[Student Number]),0),MATCH(VLOOKUP(F$7,'Writing Logic'!$J$7:$K$11,2,FALSE)&amp;" - Per "&amp;VLOOKUP($C$4,'Writing Logic'!$G$8:$H$14,2,FALSE),YES_Writing_ELA[#Headers],0))=0,"",INDEX(_xlfn.VSTACK(YES_Writing_ELA[#Data],YES_Writing_FLA[#Data]),MATCH($A68,_xlfn.VSTACK(YES_Writing_ELA[Student Number],YES_Writing_FLA[Student Number]),0),MATCH(VLOOKUP(F$7,'Writing Logic'!$J$7:$K$11,2,FALSE)&amp;" - Per "&amp;VLOOKUP($C$4,'Writing Logic'!$G$8:$H$14,2,FALSE),YES_Writing_ELA[#Headers],0)))),"")</f>
        <v/>
      </c>
      <c r="G68" s="138" t="str">
        <f>IFERROR(IF(IF(INDEX(_xlfn.VSTACK(YES_Writing_ELA[#Data],YES_Writing_FLA[#Data]),MATCH($A68,_xlfn.VSTACK(YES_Writing_ELA[Student Number],YES_Writing_FLA[Student Number]),0),MATCH(VLOOKUP(G$7,'Writing Logic'!$J$7:$K$11,2,FALSE)&amp;" - Per "&amp;VLOOKUP($C$4,'Writing Logic'!$G$8:$H$14,2,FALSE),YES_Writing_ELA[#Headers],0))=0,"",INDEX(_xlfn.VSTACK(YES_Writing_ELA[#Data],YES_Writing_FLA[#Data]),MATCH($A68,_xlfn.VSTACK(YES_Writing_ELA[Student Number],YES_Writing_FLA[Student Number]),0),MATCH(VLOOKUP(G$7,'Writing Logic'!$J$7:$K$11,2,FALSE)&amp;" - Per "&amp;VLOOKUP($C$4,'Writing Logic'!$G$8:$H$14,2,FALSE),YES_Writing_ELA[#Headers],0)))="INS",'Writing Logic'!$B$7,IF(INDEX(_xlfn.VSTACK(YES_Writing_ELA[#Data],YES_Writing_FLA[#Data]),MATCH($A68,_xlfn.VSTACK(YES_Writing_ELA[Student Number],YES_Writing_FLA[Student Number]),0),MATCH(VLOOKUP(G$7,'Writing Logic'!$J$7:$K$11,2,FALSE)&amp;" - Per "&amp;VLOOKUP($C$4,'Writing Logic'!$G$8:$H$14,2,FALSE),YES_Writing_ELA[#Headers],0))=0,"",INDEX(_xlfn.VSTACK(YES_Writing_ELA[#Data],YES_Writing_FLA[#Data]),MATCH($A68,_xlfn.VSTACK(YES_Writing_ELA[Student Number],YES_Writing_FLA[Student Number]),0),MATCH(VLOOKUP(G$7,'Writing Logic'!$J$7:$K$11,2,FALSE)&amp;" - Per "&amp;VLOOKUP($C$4,'Writing Logic'!$G$8:$H$14,2,FALSE),YES_Writing_ELA[#Headers],0)))),"")</f>
        <v/>
      </c>
      <c r="H68" s="138" t="str">
        <f>IFERROR(IF(IF(INDEX(_xlfn.VSTACK(YES_Writing_ELA[#Data],YES_Writing_FLA[#Data]),MATCH($A68,_xlfn.VSTACK(YES_Writing_ELA[Student Number],YES_Writing_FLA[Student Number]),0),MATCH(VLOOKUP(H$7,'Writing Logic'!$J$7:$K$11,2,FALSE)&amp;" - Per "&amp;VLOOKUP($C$4,'Writing Logic'!$G$8:$H$14,2,FALSE),YES_Writing_ELA[#Headers],0))=0,"",INDEX(_xlfn.VSTACK(YES_Writing_ELA[#Data],YES_Writing_FLA[#Data]),MATCH($A68,_xlfn.VSTACK(YES_Writing_ELA[Student Number],YES_Writing_FLA[Student Number]),0),MATCH(VLOOKUP(H$7,'Writing Logic'!$J$7:$K$11,2,FALSE)&amp;" - Per "&amp;VLOOKUP($C$4,'Writing Logic'!$G$8:$H$14,2,FALSE),YES_Writing_ELA[#Headers],0)))="INS",'Writing Logic'!$B$7,IF(INDEX(_xlfn.VSTACK(YES_Writing_ELA[#Data],YES_Writing_FLA[#Data]),MATCH($A68,_xlfn.VSTACK(YES_Writing_ELA[Student Number],YES_Writing_FLA[Student Number]),0),MATCH(VLOOKUP(H$7,'Writing Logic'!$J$7:$K$11,2,FALSE)&amp;" - Per "&amp;VLOOKUP($C$4,'Writing Logic'!$G$8:$H$14,2,FALSE),YES_Writing_ELA[#Headers],0))=0,"",INDEX(_xlfn.VSTACK(YES_Writing_ELA[#Data],YES_Writing_FLA[#Data]),MATCH($A68,_xlfn.VSTACK(YES_Writing_ELA[Student Number],YES_Writing_FLA[Student Number]),0),MATCH(VLOOKUP(H$7,'Writing Logic'!$J$7:$K$11,2,FALSE)&amp;" - Per "&amp;VLOOKUP($C$4,'Writing Logic'!$G$8:$H$14,2,FALSE),YES_Writing_ELA[#Headers],0)))),"")</f>
        <v/>
      </c>
    </row>
    <row r="69" spans="1:12" ht="14.25" customHeight="1" x14ac:dyDescent="0.25">
      <c r="A69" s="137"/>
      <c r="B69" s="137" t="str">
        <f>IFERROR(INDEX(_xlfn.VSTACK(YES_Writing_ELA[#Data], YES_Writing_FLA[#Data]),MATCH($A69,_xlfn.VSTACK(YES_Writing_ELA[Student Number], YES_Writing_FLA[Student Number]),0),MATCH(B$7,YES_Writing_ELA[#Headers],0)),"")</f>
        <v/>
      </c>
      <c r="C69" s="137" t="str">
        <f>IFERROR(INDEX(_xlfn.VSTACK(YES_Writing_ELA[#Data], YES_Writing_FLA[#Data]),MATCH($A69,_xlfn.VSTACK(YES_Writing_ELA[Student Number], YES_Writing_FLA[Student Number]),0),MATCH(C$7,YES_Writing_ELA[#Headers],0)),"")</f>
        <v/>
      </c>
      <c r="D69" s="138" t="str">
        <f>IFERROR(IF(IF(INDEX(_xlfn.VSTACK(YES_Writing_ELA[#Data],YES_Writing_FLA[#Data]),MATCH($A69,_xlfn.VSTACK(YES_Writing_ELA[Student Number],YES_Writing_FLA[Student Number]),0),MATCH(VLOOKUP(D$7,'Writing Logic'!$J$7:$K$11,2,FALSE)&amp;" - Per "&amp;VLOOKUP($C$4,'Writing Logic'!$G$8:$H$14,2,FALSE),YES_Writing_ELA[#Headers],0))=0,"",INDEX(_xlfn.VSTACK(YES_Writing_ELA[#Data],YES_Writing_FLA[#Data]),MATCH($A69,_xlfn.VSTACK(YES_Writing_ELA[Student Number],YES_Writing_FLA[Student Number]),0),MATCH(VLOOKUP(D$7,'Writing Logic'!$J$7:$K$11,2,FALSE)&amp;" - Per "&amp;VLOOKUP($C$4,'Writing Logic'!$G$8:$H$14,2,FALSE),YES_Writing_ELA[#Headers],0)))="INS",'Writing Logic'!$B$7,IF(INDEX(_xlfn.VSTACK(YES_Writing_ELA[#Data],YES_Writing_FLA[#Data]),MATCH($A69,_xlfn.VSTACK(YES_Writing_ELA[Student Number],YES_Writing_FLA[Student Number]),0),MATCH(VLOOKUP(D$7,'Writing Logic'!$J$7:$K$11,2,FALSE)&amp;" - Per "&amp;VLOOKUP($C$4,'Writing Logic'!$G$8:$H$14,2,FALSE),YES_Writing_ELA[#Headers],0))=0,"",INDEX(_xlfn.VSTACK(YES_Writing_ELA[#Data],YES_Writing_FLA[#Data]),MATCH($A69,_xlfn.VSTACK(YES_Writing_ELA[Student Number],YES_Writing_FLA[Student Number]),0),MATCH(VLOOKUP(D$7,'Writing Logic'!$J$7:$K$11,2,FALSE)&amp;" - Per "&amp;VLOOKUP($C$4,'Writing Logic'!$G$8:$H$14,2,FALSE),YES_Writing_ELA[#Headers],0)))),"")</f>
        <v/>
      </c>
      <c r="E69" s="138" t="str">
        <f>IFERROR(IF(IF(INDEX(_xlfn.VSTACK(YES_Writing_ELA[#Data],YES_Writing_FLA[#Data]),MATCH($A69,_xlfn.VSTACK(YES_Writing_ELA[Student Number],YES_Writing_FLA[Student Number]),0),MATCH(VLOOKUP(E$7,'Writing Logic'!$J$7:$K$11,2,FALSE)&amp;" - Per "&amp;VLOOKUP($C$4,'Writing Logic'!$G$8:$H$14,2,FALSE),YES_Writing_ELA[#Headers],0))=0,"",INDEX(_xlfn.VSTACK(YES_Writing_ELA[#Data],YES_Writing_FLA[#Data]),MATCH($A69,_xlfn.VSTACK(YES_Writing_ELA[Student Number],YES_Writing_FLA[Student Number]),0),MATCH(VLOOKUP(E$7,'Writing Logic'!$J$7:$K$11,2,FALSE)&amp;" - Per "&amp;VLOOKUP($C$4,'Writing Logic'!$G$8:$H$14,2,FALSE),YES_Writing_ELA[#Headers],0)))="INS",'Writing Logic'!$B$7,IF(INDEX(_xlfn.VSTACK(YES_Writing_ELA[#Data],YES_Writing_FLA[#Data]),MATCH($A69,_xlfn.VSTACK(YES_Writing_ELA[Student Number],YES_Writing_FLA[Student Number]),0),MATCH(VLOOKUP(E$7,'Writing Logic'!$J$7:$K$11,2,FALSE)&amp;" - Per "&amp;VLOOKUP($C$4,'Writing Logic'!$G$8:$H$14,2,FALSE),YES_Writing_ELA[#Headers],0))=0,"",INDEX(_xlfn.VSTACK(YES_Writing_ELA[#Data],YES_Writing_FLA[#Data]),MATCH($A69,_xlfn.VSTACK(YES_Writing_ELA[Student Number],YES_Writing_FLA[Student Number]),0),MATCH(VLOOKUP(E$7,'Writing Logic'!$J$7:$K$11,2,FALSE)&amp;" - Per "&amp;VLOOKUP($C$4,'Writing Logic'!$G$8:$H$14,2,FALSE),YES_Writing_ELA[#Headers],0)))),"")</f>
        <v/>
      </c>
      <c r="F69" s="138" t="str">
        <f>IFERROR(IF(IF(INDEX(_xlfn.VSTACK(YES_Writing_ELA[#Data],YES_Writing_FLA[#Data]),MATCH($A69,_xlfn.VSTACK(YES_Writing_ELA[Student Number],YES_Writing_FLA[Student Number]),0),MATCH(VLOOKUP(F$7,'Writing Logic'!$J$7:$K$11,2,FALSE)&amp;" - Per "&amp;VLOOKUP($C$4,'Writing Logic'!$G$8:$H$14,2,FALSE),YES_Writing_ELA[#Headers],0))=0,"",INDEX(_xlfn.VSTACK(YES_Writing_ELA[#Data],YES_Writing_FLA[#Data]),MATCH($A69,_xlfn.VSTACK(YES_Writing_ELA[Student Number],YES_Writing_FLA[Student Number]),0),MATCH(VLOOKUP(F$7,'Writing Logic'!$J$7:$K$11,2,FALSE)&amp;" - Per "&amp;VLOOKUP($C$4,'Writing Logic'!$G$8:$H$14,2,FALSE),YES_Writing_ELA[#Headers],0)))="INS",'Writing Logic'!$B$7,IF(INDEX(_xlfn.VSTACK(YES_Writing_ELA[#Data],YES_Writing_FLA[#Data]),MATCH($A69,_xlfn.VSTACK(YES_Writing_ELA[Student Number],YES_Writing_FLA[Student Number]),0),MATCH(VLOOKUP(F$7,'Writing Logic'!$J$7:$K$11,2,FALSE)&amp;" - Per "&amp;VLOOKUP($C$4,'Writing Logic'!$G$8:$H$14,2,FALSE),YES_Writing_ELA[#Headers],0))=0,"",INDEX(_xlfn.VSTACK(YES_Writing_ELA[#Data],YES_Writing_FLA[#Data]),MATCH($A69,_xlfn.VSTACK(YES_Writing_ELA[Student Number],YES_Writing_FLA[Student Number]),0),MATCH(VLOOKUP(F$7,'Writing Logic'!$J$7:$K$11,2,FALSE)&amp;" - Per "&amp;VLOOKUP($C$4,'Writing Logic'!$G$8:$H$14,2,FALSE),YES_Writing_ELA[#Headers],0)))),"")</f>
        <v/>
      </c>
      <c r="G69" s="138" t="str">
        <f>IFERROR(IF(IF(INDEX(_xlfn.VSTACK(YES_Writing_ELA[#Data],YES_Writing_FLA[#Data]),MATCH($A69,_xlfn.VSTACK(YES_Writing_ELA[Student Number],YES_Writing_FLA[Student Number]),0),MATCH(VLOOKUP(G$7,'Writing Logic'!$J$7:$K$11,2,FALSE)&amp;" - Per "&amp;VLOOKUP($C$4,'Writing Logic'!$G$8:$H$14,2,FALSE),YES_Writing_ELA[#Headers],0))=0,"",INDEX(_xlfn.VSTACK(YES_Writing_ELA[#Data],YES_Writing_FLA[#Data]),MATCH($A69,_xlfn.VSTACK(YES_Writing_ELA[Student Number],YES_Writing_FLA[Student Number]),0),MATCH(VLOOKUP(G$7,'Writing Logic'!$J$7:$K$11,2,FALSE)&amp;" - Per "&amp;VLOOKUP($C$4,'Writing Logic'!$G$8:$H$14,2,FALSE),YES_Writing_ELA[#Headers],0)))="INS",'Writing Logic'!$B$7,IF(INDEX(_xlfn.VSTACK(YES_Writing_ELA[#Data],YES_Writing_FLA[#Data]),MATCH($A69,_xlfn.VSTACK(YES_Writing_ELA[Student Number],YES_Writing_FLA[Student Number]),0),MATCH(VLOOKUP(G$7,'Writing Logic'!$J$7:$K$11,2,FALSE)&amp;" - Per "&amp;VLOOKUP($C$4,'Writing Logic'!$G$8:$H$14,2,FALSE),YES_Writing_ELA[#Headers],0))=0,"",INDEX(_xlfn.VSTACK(YES_Writing_ELA[#Data],YES_Writing_FLA[#Data]),MATCH($A69,_xlfn.VSTACK(YES_Writing_ELA[Student Number],YES_Writing_FLA[Student Number]),0),MATCH(VLOOKUP(G$7,'Writing Logic'!$J$7:$K$11,2,FALSE)&amp;" - Per "&amp;VLOOKUP($C$4,'Writing Logic'!$G$8:$H$14,2,FALSE),YES_Writing_ELA[#Headers],0)))),"")</f>
        <v/>
      </c>
      <c r="H69" s="138" t="str">
        <f>IFERROR(IF(IF(INDEX(_xlfn.VSTACK(YES_Writing_ELA[#Data],YES_Writing_FLA[#Data]),MATCH($A69,_xlfn.VSTACK(YES_Writing_ELA[Student Number],YES_Writing_FLA[Student Number]),0),MATCH(VLOOKUP(H$7,'Writing Logic'!$J$7:$K$11,2,FALSE)&amp;" - Per "&amp;VLOOKUP($C$4,'Writing Logic'!$G$8:$H$14,2,FALSE),YES_Writing_ELA[#Headers],0))=0,"",INDEX(_xlfn.VSTACK(YES_Writing_ELA[#Data],YES_Writing_FLA[#Data]),MATCH($A69,_xlfn.VSTACK(YES_Writing_ELA[Student Number],YES_Writing_FLA[Student Number]),0),MATCH(VLOOKUP(H$7,'Writing Logic'!$J$7:$K$11,2,FALSE)&amp;" - Per "&amp;VLOOKUP($C$4,'Writing Logic'!$G$8:$H$14,2,FALSE),YES_Writing_ELA[#Headers],0)))="INS",'Writing Logic'!$B$7,IF(INDEX(_xlfn.VSTACK(YES_Writing_ELA[#Data],YES_Writing_FLA[#Data]),MATCH($A69,_xlfn.VSTACK(YES_Writing_ELA[Student Number],YES_Writing_FLA[Student Number]),0),MATCH(VLOOKUP(H$7,'Writing Logic'!$J$7:$K$11,2,FALSE)&amp;" - Per "&amp;VLOOKUP($C$4,'Writing Logic'!$G$8:$H$14,2,FALSE),YES_Writing_ELA[#Headers],0))=0,"",INDEX(_xlfn.VSTACK(YES_Writing_ELA[#Data],YES_Writing_FLA[#Data]),MATCH($A69,_xlfn.VSTACK(YES_Writing_ELA[Student Number],YES_Writing_FLA[Student Number]),0),MATCH(VLOOKUP(H$7,'Writing Logic'!$J$7:$K$11,2,FALSE)&amp;" - Per "&amp;VLOOKUP($C$4,'Writing Logic'!$G$8:$H$14,2,FALSE),YES_Writing_ELA[#Headers],0)))),"")</f>
        <v/>
      </c>
    </row>
    <row r="70" spans="1:12" ht="14.25" customHeight="1" x14ac:dyDescent="0.25">
      <c r="A70" s="137"/>
      <c r="B70" s="137" t="str">
        <f>IFERROR(INDEX(_xlfn.VSTACK(YES_Writing_ELA[#Data], YES_Writing_FLA[#Data]),MATCH($A70,_xlfn.VSTACK(YES_Writing_ELA[Student Number], YES_Writing_FLA[Student Number]),0),MATCH(B$7,YES_Writing_ELA[#Headers],0)),"")</f>
        <v/>
      </c>
      <c r="C70" s="137" t="str">
        <f>IFERROR(INDEX(_xlfn.VSTACK(YES_Writing_ELA[#Data], YES_Writing_FLA[#Data]),MATCH($A70,_xlfn.VSTACK(YES_Writing_ELA[Student Number], YES_Writing_FLA[Student Number]),0),MATCH(C$7,YES_Writing_ELA[#Headers],0)),"")</f>
        <v/>
      </c>
      <c r="D70" s="138" t="str">
        <f>IFERROR(IF(IF(INDEX(_xlfn.VSTACK(YES_Writing_ELA[#Data],YES_Writing_FLA[#Data]),MATCH($A70,_xlfn.VSTACK(YES_Writing_ELA[Student Number],YES_Writing_FLA[Student Number]),0),MATCH(VLOOKUP(D$7,'Writing Logic'!$J$7:$K$11,2,FALSE)&amp;" - Per "&amp;VLOOKUP($C$4,'Writing Logic'!$G$8:$H$14,2,FALSE),YES_Writing_ELA[#Headers],0))=0,"",INDEX(_xlfn.VSTACK(YES_Writing_ELA[#Data],YES_Writing_FLA[#Data]),MATCH($A70,_xlfn.VSTACK(YES_Writing_ELA[Student Number],YES_Writing_FLA[Student Number]),0),MATCH(VLOOKUP(D$7,'Writing Logic'!$J$7:$K$11,2,FALSE)&amp;" - Per "&amp;VLOOKUP($C$4,'Writing Logic'!$G$8:$H$14,2,FALSE),YES_Writing_ELA[#Headers],0)))="INS",'Writing Logic'!$B$7,IF(INDEX(_xlfn.VSTACK(YES_Writing_ELA[#Data],YES_Writing_FLA[#Data]),MATCH($A70,_xlfn.VSTACK(YES_Writing_ELA[Student Number],YES_Writing_FLA[Student Number]),0),MATCH(VLOOKUP(D$7,'Writing Logic'!$J$7:$K$11,2,FALSE)&amp;" - Per "&amp;VLOOKUP($C$4,'Writing Logic'!$G$8:$H$14,2,FALSE),YES_Writing_ELA[#Headers],0))=0,"",INDEX(_xlfn.VSTACK(YES_Writing_ELA[#Data],YES_Writing_FLA[#Data]),MATCH($A70,_xlfn.VSTACK(YES_Writing_ELA[Student Number],YES_Writing_FLA[Student Number]),0),MATCH(VLOOKUP(D$7,'Writing Logic'!$J$7:$K$11,2,FALSE)&amp;" - Per "&amp;VLOOKUP($C$4,'Writing Logic'!$G$8:$H$14,2,FALSE),YES_Writing_ELA[#Headers],0)))),"")</f>
        <v/>
      </c>
      <c r="E70" s="138" t="str">
        <f>IFERROR(IF(IF(INDEX(_xlfn.VSTACK(YES_Writing_ELA[#Data],YES_Writing_FLA[#Data]),MATCH($A70,_xlfn.VSTACK(YES_Writing_ELA[Student Number],YES_Writing_FLA[Student Number]),0),MATCH(VLOOKUP(E$7,'Writing Logic'!$J$7:$K$11,2,FALSE)&amp;" - Per "&amp;VLOOKUP($C$4,'Writing Logic'!$G$8:$H$14,2,FALSE),YES_Writing_ELA[#Headers],0))=0,"",INDEX(_xlfn.VSTACK(YES_Writing_ELA[#Data],YES_Writing_FLA[#Data]),MATCH($A70,_xlfn.VSTACK(YES_Writing_ELA[Student Number],YES_Writing_FLA[Student Number]),0),MATCH(VLOOKUP(E$7,'Writing Logic'!$J$7:$K$11,2,FALSE)&amp;" - Per "&amp;VLOOKUP($C$4,'Writing Logic'!$G$8:$H$14,2,FALSE),YES_Writing_ELA[#Headers],0)))="INS",'Writing Logic'!$B$7,IF(INDEX(_xlfn.VSTACK(YES_Writing_ELA[#Data],YES_Writing_FLA[#Data]),MATCH($A70,_xlfn.VSTACK(YES_Writing_ELA[Student Number],YES_Writing_FLA[Student Number]),0),MATCH(VLOOKUP(E$7,'Writing Logic'!$J$7:$K$11,2,FALSE)&amp;" - Per "&amp;VLOOKUP($C$4,'Writing Logic'!$G$8:$H$14,2,FALSE),YES_Writing_ELA[#Headers],0))=0,"",INDEX(_xlfn.VSTACK(YES_Writing_ELA[#Data],YES_Writing_FLA[#Data]),MATCH($A70,_xlfn.VSTACK(YES_Writing_ELA[Student Number],YES_Writing_FLA[Student Number]),0),MATCH(VLOOKUP(E$7,'Writing Logic'!$J$7:$K$11,2,FALSE)&amp;" - Per "&amp;VLOOKUP($C$4,'Writing Logic'!$G$8:$H$14,2,FALSE),YES_Writing_ELA[#Headers],0)))),"")</f>
        <v/>
      </c>
      <c r="F70" s="138" t="str">
        <f>IFERROR(IF(IF(INDEX(_xlfn.VSTACK(YES_Writing_ELA[#Data],YES_Writing_FLA[#Data]),MATCH($A70,_xlfn.VSTACK(YES_Writing_ELA[Student Number],YES_Writing_FLA[Student Number]),0),MATCH(VLOOKUP(F$7,'Writing Logic'!$J$7:$K$11,2,FALSE)&amp;" - Per "&amp;VLOOKUP($C$4,'Writing Logic'!$G$8:$H$14,2,FALSE),YES_Writing_ELA[#Headers],0))=0,"",INDEX(_xlfn.VSTACK(YES_Writing_ELA[#Data],YES_Writing_FLA[#Data]),MATCH($A70,_xlfn.VSTACK(YES_Writing_ELA[Student Number],YES_Writing_FLA[Student Number]),0),MATCH(VLOOKUP(F$7,'Writing Logic'!$J$7:$K$11,2,FALSE)&amp;" - Per "&amp;VLOOKUP($C$4,'Writing Logic'!$G$8:$H$14,2,FALSE),YES_Writing_ELA[#Headers],0)))="INS",'Writing Logic'!$B$7,IF(INDEX(_xlfn.VSTACK(YES_Writing_ELA[#Data],YES_Writing_FLA[#Data]),MATCH($A70,_xlfn.VSTACK(YES_Writing_ELA[Student Number],YES_Writing_FLA[Student Number]),0),MATCH(VLOOKUP(F$7,'Writing Logic'!$J$7:$K$11,2,FALSE)&amp;" - Per "&amp;VLOOKUP($C$4,'Writing Logic'!$G$8:$H$14,2,FALSE),YES_Writing_ELA[#Headers],0))=0,"",INDEX(_xlfn.VSTACK(YES_Writing_ELA[#Data],YES_Writing_FLA[#Data]),MATCH($A70,_xlfn.VSTACK(YES_Writing_ELA[Student Number],YES_Writing_FLA[Student Number]),0),MATCH(VLOOKUP(F$7,'Writing Logic'!$J$7:$K$11,2,FALSE)&amp;" - Per "&amp;VLOOKUP($C$4,'Writing Logic'!$G$8:$H$14,2,FALSE),YES_Writing_ELA[#Headers],0)))),"")</f>
        <v/>
      </c>
      <c r="G70" s="138" t="str">
        <f>IFERROR(IF(IF(INDEX(_xlfn.VSTACK(YES_Writing_ELA[#Data],YES_Writing_FLA[#Data]),MATCH($A70,_xlfn.VSTACK(YES_Writing_ELA[Student Number],YES_Writing_FLA[Student Number]),0),MATCH(VLOOKUP(G$7,'Writing Logic'!$J$7:$K$11,2,FALSE)&amp;" - Per "&amp;VLOOKUP($C$4,'Writing Logic'!$G$8:$H$14,2,FALSE),YES_Writing_ELA[#Headers],0))=0,"",INDEX(_xlfn.VSTACK(YES_Writing_ELA[#Data],YES_Writing_FLA[#Data]),MATCH($A70,_xlfn.VSTACK(YES_Writing_ELA[Student Number],YES_Writing_FLA[Student Number]),0),MATCH(VLOOKUP(G$7,'Writing Logic'!$J$7:$K$11,2,FALSE)&amp;" - Per "&amp;VLOOKUP($C$4,'Writing Logic'!$G$8:$H$14,2,FALSE),YES_Writing_ELA[#Headers],0)))="INS",'Writing Logic'!$B$7,IF(INDEX(_xlfn.VSTACK(YES_Writing_ELA[#Data],YES_Writing_FLA[#Data]),MATCH($A70,_xlfn.VSTACK(YES_Writing_ELA[Student Number],YES_Writing_FLA[Student Number]),0),MATCH(VLOOKUP(G$7,'Writing Logic'!$J$7:$K$11,2,FALSE)&amp;" - Per "&amp;VLOOKUP($C$4,'Writing Logic'!$G$8:$H$14,2,FALSE),YES_Writing_ELA[#Headers],0))=0,"",INDEX(_xlfn.VSTACK(YES_Writing_ELA[#Data],YES_Writing_FLA[#Data]),MATCH($A70,_xlfn.VSTACK(YES_Writing_ELA[Student Number],YES_Writing_FLA[Student Number]),0),MATCH(VLOOKUP(G$7,'Writing Logic'!$J$7:$K$11,2,FALSE)&amp;" - Per "&amp;VLOOKUP($C$4,'Writing Logic'!$G$8:$H$14,2,FALSE),YES_Writing_ELA[#Headers],0)))),"")</f>
        <v/>
      </c>
      <c r="H70" s="138" t="str">
        <f>IFERROR(IF(IF(INDEX(_xlfn.VSTACK(YES_Writing_ELA[#Data],YES_Writing_FLA[#Data]),MATCH($A70,_xlfn.VSTACK(YES_Writing_ELA[Student Number],YES_Writing_FLA[Student Number]),0),MATCH(VLOOKUP(H$7,'Writing Logic'!$J$7:$K$11,2,FALSE)&amp;" - Per "&amp;VLOOKUP($C$4,'Writing Logic'!$G$8:$H$14,2,FALSE),YES_Writing_ELA[#Headers],0))=0,"",INDEX(_xlfn.VSTACK(YES_Writing_ELA[#Data],YES_Writing_FLA[#Data]),MATCH($A70,_xlfn.VSTACK(YES_Writing_ELA[Student Number],YES_Writing_FLA[Student Number]),0),MATCH(VLOOKUP(H$7,'Writing Logic'!$J$7:$K$11,2,FALSE)&amp;" - Per "&amp;VLOOKUP($C$4,'Writing Logic'!$G$8:$H$14,2,FALSE),YES_Writing_ELA[#Headers],0)))="INS",'Writing Logic'!$B$7,IF(INDEX(_xlfn.VSTACK(YES_Writing_ELA[#Data],YES_Writing_FLA[#Data]),MATCH($A70,_xlfn.VSTACK(YES_Writing_ELA[Student Number],YES_Writing_FLA[Student Number]),0),MATCH(VLOOKUP(H$7,'Writing Logic'!$J$7:$K$11,2,FALSE)&amp;" - Per "&amp;VLOOKUP($C$4,'Writing Logic'!$G$8:$H$14,2,FALSE),YES_Writing_ELA[#Headers],0))=0,"",INDEX(_xlfn.VSTACK(YES_Writing_ELA[#Data],YES_Writing_FLA[#Data]),MATCH($A70,_xlfn.VSTACK(YES_Writing_ELA[Student Number],YES_Writing_FLA[Student Number]),0),MATCH(VLOOKUP(H$7,'Writing Logic'!$J$7:$K$11,2,FALSE)&amp;" - Per "&amp;VLOOKUP($C$4,'Writing Logic'!$G$8:$H$14,2,FALSE),YES_Writing_ELA[#Headers],0)))),"")</f>
        <v/>
      </c>
    </row>
    <row r="71" spans="1:12" ht="14.25" customHeight="1" x14ac:dyDescent="0.25">
      <c r="A71" s="137"/>
      <c r="B71" s="137" t="str">
        <f>IFERROR(INDEX(_xlfn.VSTACK(YES_Writing_ELA[#Data], YES_Writing_FLA[#Data]),MATCH($A71,_xlfn.VSTACK(YES_Writing_ELA[Student Number], YES_Writing_FLA[Student Number]),0),MATCH(B$7,YES_Writing_ELA[#Headers],0)),"")</f>
        <v/>
      </c>
      <c r="C71" s="137" t="str">
        <f>IFERROR(INDEX(_xlfn.VSTACK(YES_Writing_ELA[#Data], YES_Writing_FLA[#Data]),MATCH($A71,_xlfn.VSTACK(YES_Writing_ELA[Student Number], YES_Writing_FLA[Student Number]),0),MATCH(C$7,YES_Writing_ELA[#Headers],0)),"")</f>
        <v/>
      </c>
      <c r="D71" s="138" t="str">
        <f>IFERROR(IF(IF(INDEX(_xlfn.VSTACK(YES_Writing_ELA[#Data],YES_Writing_FLA[#Data]),MATCH($A71,_xlfn.VSTACK(YES_Writing_ELA[Student Number],YES_Writing_FLA[Student Number]),0),MATCH(VLOOKUP(D$7,'Writing Logic'!$J$7:$K$11,2,FALSE)&amp;" - Per "&amp;VLOOKUP($C$4,'Writing Logic'!$G$8:$H$14,2,FALSE),YES_Writing_ELA[#Headers],0))=0,"",INDEX(_xlfn.VSTACK(YES_Writing_ELA[#Data],YES_Writing_FLA[#Data]),MATCH($A71,_xlfn.VSTACK(YES_Writing_ELA[Student Number],YES_Writing_FLA[Student Number]),0),MATCH(VLOOKUP(D$7,'Writing Logic'!$J$7:$K$11,2,FALSE)&amp;" - Per "&amp;VLOOKUP($C$4,'Writing Logic'!$G$8:$H$14,2,FALSE),YES_Writing_ELA[#Headers],0)))="INS",'Writing Logic'!$B$7,IF(INDEX(_xlfn.VSTACK(YES_Writing_ELA[#Data],YES_Writing_FLA[#Data]),MATCH($A71,_xlfn.VSTACK(YES_Writing_ELA[Student Number],YES_Writing_FLA[Student Number]),0),MATCH(VLOOKUP(D$7,'Writing Logic'!$J$7:$K$11,2,FALSE)&amp;" - Per "&amp;VLOOKUP($C$4,'Writing Logic'!$G$8:$H$14,2,FALSE),YES_Writing_ELA[#Headers],0))=0,"",INDEX(_xlfn.VSTACK(YES_Writing_ELA[#Data],YES_Writing_FLA[#Data]),MATCH($A71,_xlfn.VSTACK(YES_Writing_ELA[Student Number],YES_Writing_FLA[Student Number]),0),MATCH(VLOOKUP(D$7,'Writing Logic'!$J$7:$K$11,2,FALSE)&amp;" - Per "&amp;VLOOKUP($C$4,'Writing Logic'!$G$8:$H$14,2,FALSE),YES_Writing_ELA[#Headers],0)))),"")</f>
        <v/>
      </c>
      <c r="E71" s="138" t="str">
        <f>IFERROR(IF(IF(INDEX(_xlfn.VSTACK(YES_Writing_ELA[#Data],YES_Writing_FLA[#Data]),MATCH($A71,_xlfn.VSTACK(YES_Writing_ELA[Student Number],YES_Writing_FLA[Student Number]),0),MATCH(VLOOKUP(E$7,'Writing Logic'!$J$7:$K$11,2,FALSE)&amp;" - Per "&amp;VLOOKUP($C$4,'Writing Logic'!$G$8:$H$14,2,FALSE),YES_Writing_ELA[#Headers],0))=0,"",INDEX(_xlfn.VSTACK(YES_Writing_ELA[#Data],YES_Writing_FLA[#Data]),MATCH($A71,_xlfn.VSTACK(YES_Writing_ELA[Student Number],YES_Writing_FLA[Student Number]),0),MATCH(VLOOKUP(E$7,'Writing Logic'!$J$7:$K$11,2,FALSE)&amp;" - Per "&amp;VLOOKUP($C$4,'Writing Logic'!$G$8:$H$14,2,FALSE),YES_Writing_ELA[#Headers],0)))="INS",'Writing Logic'!$B$7,IF(INDEX(_xlfn.VSTACK(YES_Writing_ELA[#Data],YES_Writing_FLA[#Data]),MATCH($A71,_xlfn.VSTACK(YES_Writing_ELA[Student Number],YES_Writing_FLA[Student Number]),0),MATCH(VLOOKUP(E$7,'Writing Logic'!$J$7:$K$11,2,FALSE)&amp;" - Per "&amp;VLOOKUP($C$4,'Writing Logic'!$G$8:$H$14,2,FALSE),YES_Writing_ELA[#Headers],0))=0,"",INDEX(_xlfn.VSTACK(YES_Writing_ELA[#Data],YES_Writing_FLA[#Data]),MATCH($A71,_xlfn.VSTACK(YES_Writing_ELA[Student Number],YES_Writing_FLA[Student Number]),0),MATCH(VLOOKUP(E$7,'Writing Logic'!$J$7:$K$11,2,FALSE)&amp;" - Per "&amp;VLOOKUP($C$4,'Writing Logic'!$G$8:$H$14,2,FALSE),YES_Writing_ELA[#Headers],0)))),"")</f>
        <v/>
      </c>
      <c r="F71" s="138" t="str">
        <f>IFERROR(IF(IF(INDEX(_xlfn.VSTACK(YES_Writing_ELA[#Data],YES_Writing_FLA[#Data]),MATCH($A71,_xlfn.VSTACK(YES_Writing_ELA[Student Number],YES_Writing_FLA[Student Number]),0),MATCH(VLOOKUP(F$7,'Writing Logic'!$J$7:$K$11,2,FALSE)&amp;" - Per "&amp;VLOOKUP($C$4,'Writing Logic'!$G$8:$H$14,2,FALSE),YES_Writing_ELA[#Headers],0))=0,"",INDEX(_xlfn.VSTACK(YES_Writing_ELA[#Data],YES_Writing_FLA[#Data]),MATCH($A71,_xlfn.VSTACK(YES_Writing_ELA[Student Number],YES_Writing_FLA[Student Number]),0),MATCH(VLOOKUP(F$7,'Writing Logic'!$J$7:$K$11,2,FALSE)&amp;" - Per "&amp;VLOOKUP($C$4,'Writing Logic'!$G$8:$H$14,2,FALSE),YES_Writing_ELA[#Headers],0)))="INS",'Writing Logic'!$B$7,IF(INDEX(_xlfn.VSTACK(YES_Writing_ELA[#Data],YES_Writing_FLA[#Data]),MATCH($A71,_xlfn.VSTACK(YES_Writing_ELA[Student Number],YES_Writing_FLA[Student Number]),0),MATCH(VLOOKUP(F$7,'Writing Logic'!$J$7:$K$11,2,FALSE)&amp;" - Per "&amp;VLOOKUP($C$4,'Writing Logic'!$G$8:$H$14,2,FALSE),YES_Writing_ELA[#Headers],0))=0,"",INDEX(_xlfn.VSTACK(YES_Writing_ELA[#Data],YES_Writing_FLA[#Data]),MATCH($A71,_xlfn.VSTACK(YES_Writing_ELA[Student Number],YES_Writing_FLA[Student Number]),0),MATCH(VLOOKUP(F$7,'Writing Logic'!$J$7:$K$11,2,FALSE)&amp;" - Per "&amp;VLOOKUP($C$4,'Writing Logic'!$G$8:$H$14,2,FALSE),YES_Writing_ELA[#Headers],0)))),"")</f>
        <v/>
      </c>
      <c r="G71" s="138" t="str">
        <f>IFERROR(IF(IF(INDEX(_xlfn.VSTACK(YES_Writing_ELA[#Data],YES_Writing_FLA[#Data]),MATCH($A71,_xlfn.VSTACK(YES_Writing_ELA[Student Number],YES_Writing_FLA[Student Number]),0),MATCH(VLOOKUP(G$7,'Writing Logic'!$J$7:$K$11,2,FALSE)&amp;" - Per "&amp;VLOOKUP($C$4,'Writing Logic'!$G$8:$H$14,2,FALSE),YES_Writing_ELA[#Headers],0))=0,"",INDEX(_xlfn.VSTACK(YES_Writing_ELA[#Data],YES_Writing_FLA[#Data]),MATCH($A71,_xlfn.VSTACK(YES_Writing_ELA[Student Number],YES_Writing_FLA[Student Number]),0),MATCH(VLOOKUP(G$7,'Writing Logic'!$J$7:$K$11,2,FALSE)&amp;" - Per "&amp;VLOOKUP($C$4,'Writing Logic'!$G$8:$H$14,2,FALSE),YES_Writing_ELA[#Headers],0)))="INS",'Writing Logic'!$B$7,IF(INDEX(_xlfn.VSTACK(YES_Writing_ELA[#Data],YES_Writing_FLA[#Data]),MATCH($A71,_xlfn.VSTACK(YES_Writing_ELA[Student Number],YES_Writing_FLA[Student Number]),0),MATCH(VLOOKUP(G$7,'Writing Logic'!$J$7:$K$11,2,FALSE)&amp;" - Per "&amp;VLOOKUP($C$4,'Writing Logic'!$G$8:$H$14,2,FALSE),YES_Writing_ELA[#Headers],0))=0,"",INDEX(_xlfn.VSTACK(YES_Writing_ELA[#Data],YES_Writing_FLA[#Data]),MATCH($A71,_xlfn.VSTACK(YES_Writing_ELA[Student Number],YES_Writing_FLA[Student Number]),0),MATCH(VLOOKUP(G$7,'Writing Logic'!$J$7:$K$11,2,FALSE)&amp;" - Per "&amp;VLOOKUP($C$4,'Writing Logic'!$G$8:$H$14,2,FALSE),YES_Writing_ELA[#Headers],0)))),"")</f>
        <v/>
      </c>
      <c r="H71" s="138" t="str">
        <f>IFERROR(IF(IF(INDEX(_xlfn.VSTACK(YES_Writing_ELA[#Data],YES_Writing_FLA[#Data]),MATCH($A71,_xlfn.VSTACK(YES_Writing_ELA[Student Number],YES_Writing_FLA[Student Number]),0),MATCH(VLOOKUP(H$7,'Writing Logic'!$J$7:$K$11,2,FALSE)&amp;" - Per "&amp;VLOOKUP($C$4,'Writing Logic'!$G$8:$H$14,2,FALSE),YES_Writing_ELA[#Headers],0))=0,"",INDEX(_xlfn.VSTACK(YES_Writing_ELA[#Data],YES_Writing_FLA[#Data]),MATCH($A71,_xlfn.VSTACK(YES_Writing_ELA[Student Number],YES_Writing_FLA[Student Number]),0),MATCH(VLOOKUP(H$7,'Writing Logic'!$J$7:$K$11,2,FALSE)&amp;" - Per "&amp;VLOOKUP($C$4,'Writing Logic'!$G$8:$H$14,2,FALSE),YES_Writing_ELA[#Headers],0)))="INS",'Writing Logic'!$B$7,IF(INDEX(_xlfn.VSTACK(YES_Writing_ELA[#Data],YES_Writing_FLA[#Data]),MATCH($A71,_xlfn.VSTACK(YES_Writing_ELA[Student Number],YES_Writing_FLA[Student Number]),0),MATCH(VLOOKUP(H$7,'Writing Logic'!$J$7:$K$11,2,FALSE)&amp;" - Per "&amp;VLOOKUP($C$4,'Writing Logic'!$G$8:$H$14,2,FALSE),YES_Writing_ELA[#Headers],0))=0,"",INDEX(_xlfn.VSTACK(YES_Writing_ELA[#Data],YES_Writing_FLA[#Data]),MATCH($A71,_xlfn.VSTACK(YES_Writing_ELA[Student Number],YES_Writing_FLA[Student Number]),0),MATCH(VLOOKUP(H$7,'Writing Logic'!$J$7:$K$11,2,FALSE)&amp;" - Per "&amp;VLOOKUP($C$4,'Writing Logic'!$G$8:$H$14,2,FALSE),YES_Writing_ELA[#Headers],0)))),"")</f>
        <v/>
      </c>
    </row>
    <row r="72" spans="1:12" ht="14.25" customHeight="1" x14ac:dyDescent="0.25">
      <c r="A72" s="137"/>
      <c r="B72" s="137" t="str">
        <f>IFERROR(INDEX(_xlfn.VSTACK(YES_Writing_ELA[#Data], YES_Writing_FLA[#Data]),MATCH($A72,_xlfn.VSTACK(YES_Writing_ELA[Student Number], YES_Writing_FLA[Student Number]),0),MATCH(B$7,YES_Writing_ELA[#Headers],0)),"")</f>
        <v/>
      </c>
      <c r="C72" s="137" t="str">
        <f>IFERROR(INDEX(_xlfn.VSTACK(YES_Writing_ELA[#Data], YES_Writing_FLA[#Data]),MATCH($A72,_xlfn.VSTACK(YES_Writing_ELA[Student Number], YES_Writing_FLA[Student Number]),0),MATCH(C$7,YES_Writing_ELA[#Headers],0)),"")</f>
        <v/>
      </c>
      <c r="D72" s="138" t="str">
        <f>IFERROR(IF(IF(INDEX(_xlfn.VSTACK(YES_Writing_ELA[#Data],YES_Writing_FLA[#Data]),MATCH($A72,_xlfn.VSTACK(YES_Writing_ELA[Student Number],YES_Writing_FLA[Student Number]),0),MATCH(VLOOKUP(D$7,'Writing Logic'!$J$7:$K$11,2,FALSE)&amp;" - Per "&amp;VLOOKUP($C$4,'Writing Logic'!$G$8:$H$14,2,FALSE),YES_Writing_ELA[#Headers],0))=0,"",INDEX(_xlfn.VSTACK(YES_Writing_ELA[#Data],YES_Writing_FLA[#Data]),MATCH($A72,_xlfn.VSTACK(YES_Writing_ELA[Student Number],YES_Writing_FLA[Student Number]),0),MATCH(VLOOKUP(D$7,'Writing Logic'!$J$7:$K$11,2,FALSE)&amp;" - Per "&amp;VLOOKUP($C$4,'Writing Logic'!$G$8:$H$14,2,FALSE),YES_Writing_ELA[#Headers],0)))="INS",'Writing Logic'!$B$7,IF(INDEX(_xlfn.VSTACK(YES_Writing_ELA[#Data],YES_Writing_FLA[#Data]),MATCH($A72,_xlfn.VSTACK(YES_Writing_ELA[Student Number],YES_Writing_FLA[Student Number]),0),MATCH(VLOOKUP(D$7,'Writing Logic'!$J$7:$K$11,2,FALSE)&amp;" - Per "&amp;VLOOKUP($C$4,'Writing Logic'!$G$8:$H$14,2,FALSE),YES_Writing_ELA[#Headers],0))=0,"",INDEX(_xlfn.VSTACK(YES_Writing_ELA[#Data],YES_Writing_FLA[#Data]),MATCH($A72,_xlfn.VSTACK(YES_Writing_ELA[Student Number],YES_Writing_FLA[Student Number]),0),MATCH(VLOOKUP(D$7,'Writing Logic'!$J$7:$K$11,2,FALSE)&amp;" - Per "&amp;VLOOKUP($C$4,'Writing Logic'!$G$8:$H$14,2,FALSE),YES_Writing_ELA[#Headers],0)))),"")</f>
        <v/>
      </c>
      <c r="E72" s="138" t="str">
        <f>IFERROR(IF(IF(INDEX(_xlfn.VSTACK(YES_Writing_ELA[#Data],YES_Writing_FLA[#Data]),MATCH($A72,_xlfn.VSTACK(YES_Writing_ELA[Student Number],YES_Writing_FLA[Student Number]),0),MATCH(VLOOKUP(E$7,'Writing Logic'!$J$7:$K$11,2,FALSE)&amp;" - Per "&amp;VLOOKUP($C$4,'Writing Logic'!$G$8:$H$14,2,FALSE),YES_Writing_ELA[#Headers],0))=0,"",INDEX(_xlfn.VSTACK(YES_Writing_ELA[#Data],YES_Writing_FLA[#Data]),MATCH($A72,_xlfn.VSTACK(YES_Writing_ELA[Student Number],YES_Writing_FLA[Student Number]),0),MATCH(VLOOKUP(E$7,'Writing Logic'!$J$7:$K$11,2,FALSE)&amp;" - Per "&amp;VLOOKUP($C$4,'Writing Logic'!$G$8:$H$14,2,FALSE),YES_Writing_ELA[#Headers],0)))="INS",'Writing Logic'!$B$7,IF(INDEX(_xlfn.VSTACK(YES_Writing_ELA[#Data],YES_Writing_FLA[#Data]),MATCH($A72,_xlfn.VSTACK(YES_Writing_ELA[Student Number],YES_Writing_FLA[Student Number]),0),MATCH(VLOOKUP(E$7,'Writing Logic'!$J$7:$K$11,2,FALSE)&amp;" - Per "&amp;VLOOKUP($C$4,'Writing Logic'!$G$8:$H$14,2,FALSE),YES_Writing_ELA[#Headers],0))=0,"",INDEX(_xlfn.VSTACK(YES_Writing_ELA[#Data],YES_Writing_FLA[#Data]),MATCH($A72,_xlfn.VSTACK(YES_Writing_ELA[Student Number],YES_Writing_FLA[Student Number]),0),MATCH(VLOOKUP(E$7,'Writing Logic'!$J$7:$K$11,2,FALSE)&amp;" - Per "&amp;VLOOKUP($C$4,'Writing Logic'!$G$8:$H$14,2,FALSE),YES_Writing_ELA[#Headers],0)))),"")</f>
        <v/>
      </c>
      <c r="F72" s="138" t="str">
        <f>IFERROR(IF(IF(INDEX(_xlfn.VSTACK(YES_Writing_ELA[#Data],YES_Writing_FLA[#Data]),MATCH($A72,_xlfn.VSTACK(YES_Writing_ELA[Student Number],YES_Writing_FLA[Student Number]),0),MATCH(VLOOKUP(F$7,'Writing Logic'!$J$7:$K$11,2,FALSE)&amp;" - Per "&amp;VLOOKUP($C$4,'Writing Logic'!$G$8:$H$14,2,FALSE),YES_Writing_ELA[#Headers],0))=0,"",INDEX(_xlfn.VSTACK(YES_Writing_ELA[#Data],YES_Writing_FLA[#Data]),MATCH($A72,_xlfn.VSTACK(YES_Writing_ELA[Student Number],YES_Writing_FLA[Student Number]),0),MATCH(VLOOKUP(F$7,'Writing Logic'!$J$7:$K$11,2,FALSE)&amp;" - Per "&amp;VLOOKUP($C$4,'Writing Logic'!$G$8:$H$14,2,FALSE),YES_Writing_ELA[#Headers],0)))="INS",'Writing Logic'!$B$7,IF(INDEX(_xlfn.VSTACK(YES_Writing_ELA[#Data],YES_Writing_FLA[#Data]),MATCH($A72,_xlfn.VSTACK(YES_Writing_ELA[Student Number],YES_Writing_FLA[Student Number]),0),MATCH(VLOOKUP(F$7,'Writing Logic'!$J$7:$K$11,2,FALSE)&amp;" - Per "&amp;VLOOKUP($C$4,'Writing Logic'!$G$8:$H$14,2,FALSE),YES_Writing_ELA[#Headers],0))=0,"",INDEX(_xlfn.VSTACK(YES_Writing_ELA[#Data],YES_Writing_FLA[#Data]),MATCH($A72,_xlfn.VSTACK(YES_Writing_ELA[Student Number],YES_Writing_FLA[Student Number]),0),MATCH(VLOOKUP(F$7,'Writing Logic'!$J$7:$K$11,2,FALSE)&amp;" - Per "&amp;VLOOKUP($C$4,'Writing Logic'!$G$8:$H$14,2,FALSE),YES_Writing_ELA[#Headers],0)))),"")</f>
        <v/>
      </c>
      <c r="G72" s="138" t="str">
        <f>IFERROR(IF(IF(INDEX(_xlfn.VSTACK(YES_Writing_ELA[#Data],YES_Writing_FLA[#Data]),MATCH($A72,_xlfn.VSTACK(YES_Writing_ELA[Student Number],YES_Writing_FLA[Student Number]),0),MATCH(VLOOKUP(G$7,'Writing Logic'!$J$7:$K$11,2,FALSE)&amp;" - Per "&amp;VLOOKUP($C$4,'Writing Logic'!$G$8:$H$14,2,FALSE),YES_Writing_ELA[#Headers],0))=0,"",INDEX(_xlfn.VSTACK(YES_Writing_ELA[#Data],YES_Writing_FLA[#Data]),MATCH($A72,_xlfn.VSTACK(YES_Writing_ELA[Student Number],YES_Writing_FLA[Student Number]),0),MATCH(VLOOKUP(G$7,'Writing Logic'!$J$7:$K$11,2,FALSE)&amp;" - Per "&amp;VLOOKUP($C$4,'Writing Logic'!$G$8:$H$14,2,FALSE),YES_Writing_ELA[#Headers],0)))="INS",'Writing Logic'!$B$7,IF(INDEX(_xlfn.VSTACK(YES_Writing_ELA[#Data],YES_Writing_FLA[#Data]),MATCH($A72,_xlfn.VSTACK(YES_Writing_ELA[Student Number],YES_Writing_FLA[Student Number]),0),MATCH(VLOOKUP(G$7,'Writing Logic'!$J$7:$K$11,2,FALSE)&amp;" - Per "&amp;VLOOKUP($C$4,'Writing Logic'!$G$8:$H$14,2,FALSE),YES_Writing_ELA[#Headers],0))=0,"",INDEX(_xlfn.VSTACK(YES_Writing_ELA[#Data],YES_Writing_FLA[#Data]),MATCH($A72,_xlfn.VSTACK(YES_Writing_ELA[Student Number],YES_Writing_FLA[Student Number]),0),MATCH(VLOOKUP(G$7,'Writing Logic'!$J$7:$K$11,2,FALSE)&amp;" - Per "&amp;VLOOKUP($C$4,'Writing Logic'!$G$8:$H$14,2,FALSE),YES_Writing_ELA[#Headers],0)))),"")</f>
        <v/>
      </c>
      <c r="H72" s="138" t="str">
        <f>IFERROR(IF(IF(INDEX(_xlfn.VSTACK(YES_Writing_ELA[#Data],YES_Writing_FLA[#Data]),MATCH($A72,_xlfn.VSTACK(YES_Writing_ELA[Student Number],YES_Writing_FLA[Student Number]),0),MATCH(VLOOKUP(H$7,'Writing Logic'!$J$7:$K$11,2,FALSE)&amp;" - Per "&amp;VLOOKUP($C$4,'Writing Logic'!$G$8:$H$14,2,FALSE),YES_Writing_ELA[#Headers],0))=0,"",INDEX(_xlfn.VSTACK(YES_Writing_ELA[#Data],YES_Writing_FLA[#Data]),MATCH($A72,_xlfn.VSTACK(YES_Writing_ELA[Student Number],YES_Writing_FLA[Student Number]),0),MATCH(VLOOKUP(H$7,'Writing Logic'!$J$7:$K$11,2,FALSE)&amp;" - Per "&amp;VLOOKUP($C$4,'Writing Logic'!$G$8:$H$14,2,FALSE),YES_Writing_ELA[#Headers],0)))="INS",'Writing Logic'!$B$7,IF(INDEX(_xlfn.VSTACK(YES_Writing_ELA[#Data],YES_Writing_FLA[#Data]),MATCH($A72,_xlfn.VSTACK(YES_Writing_ELA[Student Number],YES_Writing_FLA[Student Number]),0),MATCH(VLOOKUP(H$7,'Writing Logic'!$J$7:$K$11,2,FALSE)&amp;" - Per "&amp;VLOOKUP($C$4,'Writing Logic'!$G$8:$H$14,2,FALSE),YES_Writing_ELA[#Headers],0))=0,"",INDEX(_xlfn.VSTACK(YES_Writing_ELA[#Data],YES_Writing_FLA[#Data]),MATCH($A72,_xlfn.VSTACK(YES_Writing_ELA[Student Number],YES_Writing_FLA[Student Number]),0),MATCH(VLOOKUP(H$7,'Writing Logic'!$J$7:$K$11,2,FALSE)&amp;" - Per "&amp;VLOOKUP($C$4,'Writing Logic'!$G$8:$H$14,2,FALSE),YES_Writing_ELA[#Headers],0)))),"")</f>
        <v/>
      </c>
    </row>
    <row r="73" spans="1:12" ht="14.25" customHeight="1" x14ac:dyDescent="0.25">
      <c r="A73" s="137"/>
      <c r="B73" s="137" t="str">
        <f>IFERROR(INDEX(_xlfn.VSTACK(YES_Writing_ELA[#Data], YES_Writing_FLA[#Data]),MATCH($A73,_xlfn.VSTACK(YES_Writing_ELA[Student Number], YES_Writing_FLA[Student Number]),0),MATCH(B$7,YES_Writing_ELA[#Headers],0)),"")</f>
        <v/>
      </c>
      <c r="C73" s="137" t="str">
        <f>IFERROR(INDEX(_xlfn.VSTACK(YES_Writing_ELA[#Data], YES_Writing_FLA[#Data]),MATCH($A73,_xlfn.VSTACK(YES_Writing_ELA[Student Number], YES_Writing_FLA[Student Number]),0),MATCH(C$7,YES_Writing_ELA[#Headers],0)),"")</f>
        <v/>
      </c>
      <c r="D73" s="138" t="str">
        <f>IFERROR(IF(IF(INDEX(_xlfn.VSTACK(YES_Writing_ELA[#Data],YES_Writing_FLA[#Data]),MATCH($A73,_xlfn.VSTACK(YES_Writing_ELA[Student Number],YES_Writing_FLA[Student Number]),0),MATCH(VLOOKUP(D$7,'Writing Logic'!$J$7:$K$11,2,FALSE)&amp;" - Per "&amp;VLOOKUP($C$4,'Writing Logic'!$G$8:$H$14,2,FALSE),YES_Writing_ELA[#Headers],0))=0,"",INDEX(_xlfn.VSTACK(YES_Writing_ELA[#Data],YES_Writing_FLA[#Data]),MATCH($A73,_xlfn.VSTACK(YES_Writing_ELA[Student Number],YES_Writing_FLA[Student Number]),0),MATCH(VLOOKUP(D$7,'Writing Logic'!$J$7:$K$11,2,FALSE)&amp;" - Per "&amp;VLOOKUP($C$4,'Writing Logic'!$G$8:$H$14,2,FALSE),YES_Writing_ELA[#Headers],0)))="INS",'Writing Logic'!$B$7,IF(INDEX(_xlfn.VSTACK(YES_Writing_ELA[#Data],YES_Writing_FLA[#Data]),MATCH($A73,_xlfn.VSTACK(YES_Writing_ELA[Student Number],YES_Writing_FLA[Student Number]),0),MATCH(VLOOKUP(D$7,'Writing Logic'!$J$7:$K$11,2,FALSE)&amp;" - Per "&amp;VLOOKUP($C$4,'Writing Logic'!$G$8:$H$14,2,FALSE),YES_Writing_ELA[#Headers],0))=0,"",INDEX(_xlfn.VSTACK(YES_Writing_ELA[#Data],YES_Writing_FLA[#Data]),MATCH($A73,_xlfn.VSTACK(YES_Writing_ELA[Student Number],YES_Writing_FLA[Student Number]),0),MATCH(VLOOKUP(D$7,'Writing Logic'!$J$7:$K$11,2,FALSE)&amp;" - Per "&amp;VLOOKUP($C$4,'Writing Logic'!$G$8:$H$14,2,FALSE),YES_Writing_ELA[#Headers],0)))),"")</f>
        <v/>
      </c>
      <c r="E73" s="138" t="str">
        <f>IFERROR(IF(IF(INDEX(_xlfn.VSTACK(YES_Writing_ELA[#Data],YES_Writing_FLA[#Data]),MATCH($A73,_xlfn.VSTACK(YES_Writing_ELA[Student Number],YES_Writing_FLA[Student Number]),0),MATCH(VLOOKUP(E$7,'Writing Logic'!$J$7:$K$11,2,FALSE)&amp;" - Per "&amp;VLOOKUP($C$4,'Writing Logic'!$G$8:$H$14,2,FALSE),YES_Writing_ELA[#Headers],0))=0,"",INDEX(_xlfn.VSTACK(YES_Writing_ELA[#Data],YES_Writing_FLA[#Data]),MATCH($A73,_xlfn.VSTACK(YES_Writing_ELA[Student Number],YES_Writing_FLA[Student Number]),0),MATCH(VLOOKUP(E$7,'Writing Logic'!$J$7:$K$11,2,FALSE)&amp;" - Per "&amp;VLOOKUP($C$4,'Writing Logic'!$G$8:$H$14,2,FALSE),YES_Writing_ELA[#Headers],0)))="INS",'Writing Logic'!$B$7,IF(INDEX(_xlfn.VSTACK(YES_Writing_ELA[#Data],YES_Writing_FLA[#Data]),MATCH($A73,_xlfn.VSTACK(YES_Writing_ELA[Student Number],YES_Writing_FLA[Student Number]),0),MATCH(VLOOKUP(E$7,'Writing Logic'!$J$7:$K$11,2,FALSE)&amp;" - Per "&amp;VLOOKUP($C$4,'Writing Logic'!$G$8:$H$14,2,FALSE),YES_Writing_ELA[#Headers],0))=0,"",INDEX(_xlfn.VSTACK(YES_Writing_ELA[#Data],YES_Writing_FLA[#Data]),MATCH($A73,_xlfn.VSTACK(YES_Writing_ELA[Student Number],YES_Writing_FLA[Student Number]),0),MATCH(VLOOKUP(E$7,'Writing Logic'!$J$7:$K$11,2,FALSE)&amp;" - Per "&amp;VLOOKUP($C$4,'Writing Logic'!$G$8:$H$14,2,FALSE),YES_Writing_ELA[#Headers],0)))),"")</f>
        <v/>
      </c>
      <c r="F73" s="138" t="str">
        <f>IFERROR(IF(IF(INDEX(_xlfn.VSTACK(YES_Writing_ELA[#Data],YES_Writing_FLA[#Data]),MATCH($A73,_xlfn.VSTACK(YES_Writing_ELA[Student Number],YES_Writing_FLA[Student Number]),0),MATCH(VLOOKUP(F$7,'Writing Logic'!$J$7:$K$11,2,FALSE)&amp;" - Per "&amp;VLOOKUP($C$4,'Writing Logic'!$G$8:$H$14,2,FALSE),YES_Writing_ELA[#Headers],0))=0,"",INDEX(_xlfn.VSTACK(YES_Writing_ELA[#Data],YES_Writing_FLA[#Data]),MATCH($A73,_xlfn.VSTACK(YES_Writing_ELA[Student Number],YES_Writing_FLA[Student Number]),0),MATCH(VLOOKUP(F$7,'Writing Logic'!$J$7:$K$11,2,FALSE)&amp;" - Per "&amp;VLOOKUP($C$4,'Writing Logic'!$G$8:$H$14,2,FALSE),YES_Writing_ELA[#Headers],0)))="INS",'Writing Logic'!$B$7,IF(INDEX(_xlfn.VSTACK(YES_Writing_ELA[#Data],YES_Writing_FLA[#Data]),MATCH($A73,_xlfn.VSTACK(YES_Writing_ELA[Student Number],YES_Writing_FLA[Student Number]),0),MATCH(VLOOKUP(F$7,'Writing Logic'!$J$7:$K$11,2,FALSE)&amp;" - Per "&amp;VLOOKUP($C$4,'Writing Logic'!$G$8:$H$14,2,FALSE),YES_Writing_ELA[#Headers],0))=0,"",INDEX(_xlfn.VSTACK(YES_Writing_ELA[#Data],YES_Writing_FLA[#Data]),MATCH($A73,_xlfn.VSTACK(YES_Writing_ELA[Student Number],YES_Writing_FLA[Student Number]),0),MATCH(VLOOKUP(F$7,'Writing Logic'!$J$7:$K$11,2,FALSE)&amp;" - Per "&amp;VLOOKUP($C$4,'Writing Logic'!$G$8:$H$14,2,FALSE),YES_Writing_ELA[#Headers],0)))),"")</f>
        <v/>
      </c>
      <c r="G73" s="138" t="str">
        <f>IFERROR(IF(IF(INDEX(_xlfn.VSTACK(YES_Writing_ELA[#Data],YES_Writing_FLA[#Data]),MATCH($A73,_xlfn.VSTACK(YES_Writing_ELA[Student Number],YES_Writing_FLA[Student Number]),0),MATCH(VLOOKUP(G$7,'Writing Logic'!$J$7:$K$11,2,FALSE)&amp;" - Per "&amp;VLOOKUP($C$4,'Writing Logic'!$G$8:$H$14,2,FALSE),YES_Writing_ELA[#Headers],0))=0,"",INDEX(_xlfn.VSTACK(YES_Writing_ELA[#Data],YES_Writing_FLA[#Data]),MATCH($A73,_xlfn.VSTACK(YES_Writing_ELA[Student Number],YES_Writing_FLA[Student Number]),0),MATCH(VLOOKUP(G$7,'Writing Logic'!$J$7:$K$11,2,FALSE)&amp;" - Per "&amp;VLOOKUP($C$4,'Writing Logic'!$G$8:$H$14,2,FALSE),YES_Writing_ELA[#Headers],0)))="INS",'Writing Logic'!$B$7,IF(INDEX(_xlfn.VSTACK(YES_Writing_ELA[#Data],YES_Writing_FLA[#Data]),MATCH($A73,_xlfn.VSTACK(YES_Writing_ELA[Student Number],YES_Writing_FLA[Student Number]),0),MATCH(VLOOKUP(G$7,'Writing Logic'!$J$7:$K$11,2,FALSE)&amp;" - Per "&amp;VLOOKUP($C$4,'Writing Logic'!$G$8:$H$14,2,FALSE),YES_Writing_ELA[#Headers],0))=0,"",INDEX(_xlfn.VSTACK(YES_Writing_ELA[#Data],YES_Writing_FLA[#Data]),MATCH($A73,_xlfn.VSTACK(YES_Writing_ELA[Student Number],YES_Writing_FLA[Student Number]),0),MATCH(VLOOKUP(G$7,'Writing Logic'!$J$7:$K$11,2,FALSE)&amp;" - Per "&amp;VLOOKUP($C$4,'Writing Logic'!$G$8:$H$14,2,FALSE),YES_Writing_ELA[#Headers],0)))),"")</f>
        <v/>
      </c>
      <c r="H73" s="138" t="str">
        <f>IFERROR(IF(IF(INDEX(_xlfn.VSTACK(YES_Writing_ELA[#Data],YES_Writing_FLA[#Data]),MATCH($A73,_xlfn.VSTACK(YES_Writing_ELA[Student Number],YES_Writing_FLA[Student Number]),0),MATCH(VLOOKUP(H$7,'Writing Logic'!$J$7:$K$11,2,FALSE)&amp;" - Per "&amp;VLOOKUP($C$4,'Writing Logic'!$G$8:$H$14,2,FALSE),YES_Writing_ELA[#Headers],0))=0,"",INDEX(_xlfn.VSTACK(YES_Writing_ELA[#Data],YES_Writing_FLA[#Data]),MATCH($A73,_xlfn.VSTACK(YES_Writing_ELA[Student Number],YES_Writing_FLA[Student Number]),0),MATCH(VLOOKUP(H$7,'Writing Logic'!$J$7:$K$11,2,FALSE)&amp;" - Per "&amp;VLOOKUP($C$4,'Writing Logic'!$G$8:$H$14,2,FALSE),YES_Writing_ELA[#Headers],0)))="INS",'Writing Logic'!$B$7,IF(INDEX(_xlfn.VSTACK(YES_Writing_ELA[#Data],YES_Writing_FLA[#Data]),MATCH($A73,_xlfn.VSTACK(YES_Writing_ELA[Student Number],YES_Writing_FLA[Student Number]),0),MATCH(VLOOKUP(H$7,'Writing Logic'!$J$7:$K$11,2,FALSE)&amp;" - Per "&amp;VLOOKUP($C$4,'Writing Logic'!$G$8:$H$14,2,FALSE),YES_Writing_ELA[#Headers],0))=0,"",INDEX(_xlfn.VSTACK(YES_Writing_ELA[#Data],YES_Writing_FLA[#Data]),MATCH($A73,_xlfn.VSTACK(YES_Writing_ELA[Student Number],YES_Writing_FLA[Student Number]),0),MATCH(VLOOKUP(H$7,'Writing Logic'!$J$7:$K$11,2,FALSE)&amp;" - Per "&amp;VLOOKUP($C$4,'Writing Logic'!$G$8:$H$14,2,FALSE),YES_Writing_ELA[#Headers],0)))),"")</f>
        <v/>
      </c>
    </row>
    <row r="74" spans="1:12" s="99" customFormat="1" ht="14.25" customHeight="1" x14ac:dyDescent="0.25">
      <c r="A74" s="137"/>
      <c r="B74" s="137" t="str">
        <f>IFERROR(INDEX(_xlfn.VSTACK(YES_Writing_ELA[#Data], YES_Writing_FLA[#Data]),MATCH($A74,_xlfn.VSTACK(YES_Writing_ELA[Student Number], YES_Writing_FLA[Student Number]),0),MATCH(B$7,YES_Writing_ELA[#Headers],0)),"")</f>
        <v/>
      </c>
      <c r="C74" s="137" t="str">
        <f>IFERROR(INDEX(_xlfn.VSTACK(YES_Writing_ELA[#Data], YES_Writing_FLA[#Data]),MATCH($A74,_xlfn.VSTACK(YES_Writing_ELA[Student Number], YES_Writing_FLA[Student Number]),0),MATCH(C$7,YES_Writing_ELA[#Headers],0)),"")</f>
        <v/>
      </c>
      <c r="D74" s="138" t="str">
        <f>IFERROR(IF(IF(INDEX(_xlfn.VSTACK(YES_Writing_ELA[#Data],YES_Writing_FLA[#Data]),MATCH($A74,_xlfn.VSTACK(YES_Writing_ELA[Student Number],YES_Writing_FLA[Student Number]),0),MATCH(VLOOKUP(D$7,'Writing Logic'!$J$7:$K$11,2,FALSE)&amp;" - Per "&amp;VLOOKUP($C$4,'Writing Logic'!$G$8:$H$14,2,FALSE),YES_Writing_ELA[#Headers],0))=0,"",INDEX(_xlfn.VSTACK(YES_Writing_ELA[#Data],YES_Writing_FLA[#Data]),MATCH($A74,_xlfn.VSTACK(YES_Writing_ELA[Student Number],YES_Writing_FLA[Student Number]),0),MATCH(VLOOKUP(D$7,'Writing Logic'!$J$7:$K$11,2,FALSE)&amp;" - Per "&amp;VLOOKUP($C$4,'Writing Logic'!$G$8:$H$14,2,FALSE),YES_Writing_ELA[#Headers],0)))="INS",'Writing Logic'!$B$7,IF(INDEX(_xlfn.VSTACK(YES_Writing_ELA[#Data],YES_Writing_FLA[#Data]),MATCH($A74,_xlfn.VSTACK(YES_Writing_ELA[Student Number],YES_Writing_FLA[Student Number]),0),MATCH(VLOOKUP(D$7,'Writing Logic'!$J$7:$K$11,2,FALSE)&amp;" - Per "&amp;VLOOKUP($C$4,'Writing Logic'!$G$8:$H$14,2,FALSE),YES_Writing_ELA[#Headers],0))=0,"",INDEX(_xlfn.VSTACK(YES_Writing_ELA[#Data],YES_Writing_FLA[#Data]),MATCH($A74,_xlfn.VSTACK(YES_Writing_ELA[Student Number],YES_Writing_FLA[Student Number]),0),MATCH(VLOOKUP(D$7,'Writing Logic'!$J$7:$K$11,2,FALSE)&amp;" - Per "&amp;VLOOKUP($C$4,'Writing Logic'!$G$8:$H$14,2,FALSE),YES_Writing_ELA[#Headers],0)))),"")</f>
        <v/>
      </c>
      <c r="E74" s="138" t="str">
        <f>IFERROR(IF(IF(INDEX(_xlfn.VSTACK(YES_Writing_ELA[#Data],YES_Writing_FLA[#Data]),MATCH($A74,_xlfn.VSTACK(YES_Writing_ELA[Student Number],YES_Writing_FLA[Student Number]),0),MATCH(VLOOKUP(E$7,'Writing Logic'!$J$7:$K$11,2,FALSE)&amp;" - Per "&amp;VLOOKUP($C$4,'Writing Logic'!$G$8:$H$14,2,FALSE),YES_Writing_ELA[#Headers],0))=0,"",INDEX(_xlfn.VSTACK(YES_Writing_ELA[#Data],YES_Writing_FLA[#Data]),MATCH($A74,_xlfn.VSTACK(YES_Writing_ELA[Student Number],YES_Writing_FLA[Student Number]),0),MATCH(VLOOKUP(E$7,'Writing Logic'!$J$7:$K$11,2,FALSE)&amp;" - Per "&amp;VLOOKUP($C$4,'Writing Logic'!$G$8:$H$14,2,FALSE),YES_Writing_ELA[#Headers],0)))="INS",'Writing Logic'!$B$7,IF(INDEX(_xlfn.VSTACK(YES_Writing_ELA[#Data],YES_Writing_FLA[#Data]),MATCH($A74,_xlfn.VSTACK(YES_Writing_ELA[Student Number],YES_Writing_FLA[Student Number]),0),MATCH(VLOOKUP(E$7,'Writing Logic'!$J$7:$K$11,2,FALSE)&amp;" - Per "&amp;VLOOKUP($C$4,'Writing Logic'!$G$8:$H$14,2,FALSE),YES_Writing_ELA[#Headers],0))=0,"",INDEX(_xlfn.VSTACK(YES_Writing_ELA[#Data],YES_Writing_FLA[#Data]),MATCH($A74,_xlfn.VSTACK(YES_Writing_ELA[Student Number],YES_Writing_FLA[Student Number]),0),MATCH(VLOOKUP(E$7,'Writing Logic'!$J$7:$K$11,2,FALSE)&amp;" - Per "&amp;VLOOKUP($C$4,'Writing Logic'!$G$8:$H$14,2,FALSE),YES_Writing_ELA[#Headers],0)))),"")</f>
        <v/>
      </c>
      <c r="F74" s="138" t="str">
        <f>IFERROR(IF(IF(INDEX(_xlfn.VSTACK(YES_Writing_ELA[#Data],YES_Writing_FLA[#Data]),MATCH($A74,_xlfn.VSTACK(YES_Writing_ELA[Student Number],YES_Writing_FLA[Student Number]),0),MATCH(VLOOKUP(F$7,'Writing Logic'!$J$7:$K$11,2,FALSE)&amp;" - Per "&amp;VLOOKUP($C$4,'Writing Logic'!$G$8:$H$14,2,FALSE),YES_Writing_ELA[#Headers],0))=0,"",INDEX(_xlfn.VSTACK(YES_Writing_ELA[#Data],YES_Writing_FLA[#Data]),MATCH($A74,_xlfn.VSTACK(YES_Writing_ELA[Student Number],YES_Writing_FLA[Student Number]),0),MATCH(VLOOKUP(F$7,'Writing Logic'!$J$7:$K$11,2,FALSE)&amp;" - Per "&amp;VLOOKUP($C$4,'Writing Logic'!$G$8:$H$14,2,FALSE),YES_Writing_ELA[#Headers],0)))="INS",'Writing Logic'!$B$7,IF(INDEX(_xlfn.VSTACK(YES_Writing_ELA[#Data],YES_Writing_FLA[#Data]),MATCH($A74,_xlfn.VSTACK(YES_Writing_ELA[Student Number],YES_Writing_FLA[Student Number]),0),MATCH(VLOOKUP(F$7,'Writing Logic'!$J$7:$K$11,2,FALSE)&amp;" - Per "&amp;VLOOKUP($C$4,'Writing Logic'!$G$8:$H$14,2,FALSE),YES_Writing_ELA[#Headers],0))=0,"",INDEX(_xlfn.VSTACK(YES_Writing_ELA[#Data],YES_Writing_FLA[#Data]),MATCH($A74,_xlfn.VSTACK(YES_Writing_ELA[Student Number],YES_Writing_FLA[Student Number]),0),MATCH(VLOOKUP(F$7,'Writing Logic'!$J$7:$K$11,2,FALSE)&amp;" - Per "&amp;VLOOKUP($C$4,'Writing Logic'!$G$8:$H$14,2,FALSE),YES_Writing_ELA[#Headers],0)))),"")</f>
        <v/>
      </c>
      <c r="G74" s="138" t="str">
        <f>IFERROR(IF(IF(INDEX(_xlfn.VSTACK(YES_Writing_ELA[#Data],YES_Writing_FLA[#Data]),MATCH($A74,_xlfn.VSTACK(YES_Writing_ELA[Student Number],YES_Writing_FLA[Student Number]),0),MATCH(VLOOKUP(G$7,'Writing Logic'!$J$7:$K$11,2,FALSE)&amp;" - Per "&amp;VLOOKUP($C$4,'Writing Logic'!$G$8:$H$14,2,FALSE),YES_Writing_ELA[#Headers],0))=0,"",INDEX(_xlfn.VSTACK(YES_Writing_ELA[#Data],YES_Writing_FLA[#Data]),MATCH($A74,_xlfn.VSTACK(YES_Writing_ELA[Student Number],YES_Writing_FLA[Student Number]),0),MATCH(VLOOKUP(G$7,'Writing Logic'!$J$7:$K$11,2,FALSE)&amp;" - Per "&amp;VLOOKUP($C$4,'Writing Logic'!$G$8:$H$14,2,FALSE),YES_Writing_ELA[#Headers],0)))="INS",'Writing Logic'!$B$7,IF(INDEX(_xlfn.VSTACK(YES_Writing_ELA[#Data],YES_Writing_FLA[#Data]),MATCH($A74,_xlfn.VSTACK(YES_Writing_ELA[Student Number],YES_Writing_FLA[Student Number]),0),MATCH(VLOOKUP(G$7,'Writing Logic'!$J$7:$K$11,2,FALSE)&amp;" - Per "&amp;VLOOKUP($C$4,'Writing Logic'!$G$8:$H$14,2,FALSE),YES_Writing_ELA[#Headers],0))=0,"",INDEX(_xlfn.VSTACK(YES_Writing_ELA[#Data],YES_Writing_FLA[#Data]),MATCH($A74,_xlfn.VSTACK(YES_Writing_ELA[Student Number],YES_Writing_FLA[Student Number]),0),MATCH(VLOOKUP(G$7,'Writing Logic'!$J$7:$K$11,2,FALSE)&amp;" - Per "&amp;VLOOKUP($C$4,'Writing Logic'!$G$8:$H$14,2,FALSE),YES_Writing_ELA[#Headers],0)))),"")</f>
        <v/>
      </c>
      <c r="H74" s="138" t="str">
        <f>IFERROR(IF(IF(INDEX(_xlfn.VSTACK(YES_Writing_ELA[#Data],YES_Writing_FLA[#Data]),MATCH($A74,_xlfn.VSTACK(YES_Writing_ELA[Student Number],YES_Writing_FLA[Student Number]),0),MATCH(VLOOKUP(H$7,'Writing Logic'!$J$7:$K$11,2,FALSE)&amp;" - Per "&amp;VLOOKUP($C$4,'Writing Logic'!$G$8:$H$14,2,FALSE),YES_Writing_ELA[#Headers],0))=0,"",INDEX(_xlfn.VSTACK(YES_Writing_ELA[#Data],YES_Writing_FLA[#Data]),MATCH($A74,_xlfn.VSTACK(YES_Writing_ELA[Student Number],YES_Writing_FLA[Student Number]),0),MATCH(VLOOKUP(H$7,'Writing Logic'!$J$7:$K$11,2,FALSE)&amp;" - Per "&amp;VLOOKUP($C$4,'Writing Logic'!$G$8:$H$14,2,FALSE),YES_Writing_ELA[#Headers],0)))="INS",'Writing Logic'!$B$7,IF(INDEX(_xlfn.VSTACK(YES_Writing_ELA[#Data],YES_Writing_FLA[#Data]),MATCH($A74,_xlfn.VSTACK(YES_Writing_ELA[Student Number],YES_Writing_FLA[Student Number]),0),MATCH(VLOOKUP(H$7,'Writing Logic'!$J$7:$K$11,2,FALSE)&amp;" - Per "&amp;VLOOKUP($C$4,'Writing Logic'!$G$8:$H$14,2,FALSE),YES_Writing_ELA[#Headers],0))=0,"",INDEX(_xlfn.VSTACK(YES_Writing_ELA[#Data],YES_Writing_FLA[#Data]),MATCH($A74,_xlfn.VSTACK(YES_Writing_ELA[Student Number],YES_Writing_FLA[Student Number]),0),MATCH(VLOOKUP(H$7,'Writing Logic'!$J$7:$K$11,2,FALSE)&amp;" - Per "&amp;VLOOKUP($C$4,'Writing Logic'!$G$8:$H$14,2,FALSE),YES_Writing_ELA[#Headers],0)))),"")</f>
        <v/>
      </c>
      <c r="I74" s="136"/>
      <c r="J74"/>
      <c r="K74"/>
      <c r="L74"/>
    </row>
    <row r="75" spans="1:12" s="99" customFormat="1" ht="14.25" customHeight="1" x14ac:dyDescent="0.25">
      <c r="A75" s="137"/>
      <c r="B75" s="137" t="str">
        <f>IFERROR(INDEX(_xlfn.VSTACK(YES_Writing_ELA[#Data], YES_Writing_FLA[#Data]),MATCH($A75,_xlfn.VSTACK(YES_Writing_ELA[Student Number], YES_Writing_FLA[Student Number]),0),MATCH(B$7,YES_Writing_ELA[#Headers],0)),"")</f>
        <v/>
      </c>
      <c r="C75" s="137" t="str">
        <f>IFERROR(INDEX(_xlfn.VSTACK(YES_Writing_ELA[#Data], YES_Writing_FLA[#Data]),MATCH($A75,_xlfn.VSTACK(YES_Writing_ELA[Student Number], YES_Writing_FLA[Student Number]),0),MATCH(C$7,YES_Writing_ELA[#Headers],0)),"")</f>
        <v/>
      </c>
      <c r="D75" s="138" t="str">
        <f>IFERROR(IF(IF(INDEX(_xlfn.VSTACK(YES_Writing_ELA[#Data],YES_Writing_FLA[#Data]),MATCH($A75,_xlfn.VSTACK(YES_Writing_ELA[Student Number],YES_Writing_FLA[Student Number]),0),MATCH(VLOOKUP(D$7,'Writing Logic'!$J$7:$K$11,2,FALSE)&amp;" - Per "&amp;VLOOKUP($C$4,'Writing Logic'!$G$8:$H$14,2,FALSE),YES_Writing_ELA[#Headers],0))=0,"",INDEX(_xlfn.VSTACK(YES_Writing_ELA[#Data],YES_Writing_FLA[#Data]),MATCH($A75,_xlfn.VSTACK(YES_Writing_ELA[Student Number],YES_Writing_FLA[Student Number]),0),MATCH(VLOOKUP(D$7,'Writing Logic'!$J$7:$K$11,2,FALSE)&amp;" - Per "&amp;VLOOKUP($C$4,'Writing Logic'!$G$8:$H$14,2,FALSE),YES_Writing_ELA[#Headers],0)))="INS",'Writing Logic'!$B$7,IF(INDEX(_xlfn.VSTACK(YES_Writing_ELA[#Data],YES_Writing_FLA[#Data]),MATCH($A75,_xlfn.VSTACK(YES_Writing_ELA[Student Number],YES_Writing_FLA[Student Number]),0),MATCH(VLOOKUP(D$7,'Writing Logic'!$J$7:$K$11,2,FALSE)&amp;" - Per "&amp;VLOOKUP($C$4,'Writing Logic'!$G$8:$H$14,2,FALSE),YES_Writing_ELA[#Headers],0))=0,"",INDEX(_xlfn.VSTACK(YES_Writing_ELA[#Data],YES_Writing_FLA[#Data]),MATCH($A75,_xlfn.VSTACK(YES_Writing_ELA[Student Number],YES_Writing_FLA[Student Number]),0),MATCH(VLOOKUP(D$7,'Writing Logic'!$J$7:$K$11,2,FALSE)&amp;" - Per "&amp;VLOOKUP($C$4,'Writing Logic'!$G$8:$H$14,2,FALSE),YES_Writing_ELA[#Headers],0)))),"")</f>
        <v/>
      </c>
      <c r="E75" s="138" t="str">
        <f>IFERROR(IF(IF(INDEX(_xlfn.VSTACK(YES_Writing_ELA[#Data],YES_Writing_FLA[#Data]),MATCH($A75,_xlfn.VSTACK(YES_Writing_ELA[Student Number],YES_Writing_FLA[Student Number]),0),MATCH(VLOOKUP(E$7,'Writing Logic'!$J$7:$K$11,2,FALSE)&amp;" - Per "&amp;VLOOKUP($C$4,'Writing Logic'!$G$8:$H$14,2,FALSE),YES_Writing_ELA[#Headers],0))=0,"",INDEX(_xlfn.VSTACK(YES_Writing_ELA[#Data],YES_Writing_FLA[#Data]),MATCH($A75,_xlfn.VSTACK(YES_Writing_ELA[Student Number],YES_Writing_FLA[Student Number]),0),MATCH(VLOOKUP(E$7,'Writing Logic'!$J$7:$K$11,2,FALSE)&amp;" - Per "&amp;VLOOKUP($C$4,'Writing Logic'!$G$8:$H$14,2,FALSE),YES_Writing_ELA[#Headers],0)))="INS",'Writing Logic'!$B$7,IF(INDEX(_xlfn.VSTACK(YES_Writing_ELA[#Data],YES_Writing_FLA[#Data]),MATCH($A75,_xlfn.VSTACK(YES_Writing_ELA[Student Number],YES_Writing_FLA[Student Number]),0),MATCH(VLOOKUP(E$7,'Writing Logic'!$J$7:$K$11,2,FALSE)&amp;" - Per "&amp;VLOOKUP($C$4,'Writing Logic'!$G$8:$H$14,2,FALSE),YES_Writing_ELA[#Headers],0))=0,"",INDEX(_xlfn.VSTACK(YES_Writing_ELA[#Data],YES_Writing_FLA[#Data]),MATCH($A75,_xlfn.VSTACK(YES_Writing_ELA[Student Number],YES_Writing_FLA[Student Number]),0),MATCH(VLOOKUP(E$7,'Writing Logic'!$J$7:$K$11,2,FALSE)&amp;" - Per "&amp;VLOOKUP($C$4,'Writing Logic'!$G$8:$H$14,2,FALSE),YES_Writing_ELA[#Headers],0)))),"")</f>
        <v/>
      </c>
      <c r="F75" s="138" t="str">
        <f>IFERROR(IF(IF(INDEX(_xlfn.VSTACK(YES_Writing_ELA[#Data],YES_Writing_FLA[#Data]),MATCH($A75,_xlfn.VSTACK(YES_Writing_ELA[Student Number],YES_Writing_FLA[Student Number]),0),MATCH(VLOOKUP(F$7,'Writing Logic'!$J$7:$K$11,2,FALSE)&amp;" - Per "&amp;VLOOKUP($C$4,'Writing Logic'!$G$8:$H$14,2,FALSE),YES_Writing_ELA[#Headers],0))=0,"",INDEX(_xlfn.VSTACK(YES_Writing_ELA[#Data],YES_Writing_FLA[#Data]),MATCH($A75,_xlfn.VSTACK(YES_Writing_ELA[Student Number],YES_Writing_FLA[Student Number]),0),MATCH(VLOOKUP(F$7,'Writing Logic'!$J$7:$K$11,2,FALSE)&amp;" - Per "&amp;VLOOKUP($C$4,'Writing Logic'!$G$8:$H$14,2,FALSE),YES_Writing_ELA[#Headers],0)))="INS",'Writing Logic'!$B$7,IF(INDEX(_xlfn.VSTACK(YES_Writing_ELA[#Data],YES_Writing_FLA[#Data]),MATCH($A75,_xlfn.VSTACK(YES_Writing_ELA[Student Number],YES_Writing_FLA[Student Number]),0),MATCH(VLOOKUP(F$7,'Writing Logic'!$J$7:$K$11,2,FALSE)&amp;" - Per "&amp;VLOOKUP($C$4,'Writing Logic'!$G$8:$H$14,2,FALSE),YES_Writing_ELA[#Headers],0))=0,"",INDEX(_xlfn.VSTACK(YES_Writing_ELA[#Data],YES_Writing_FLA[#Data]),MATCH($A75,_xlfn.VSTACK(YES_Writing_ELA[Student Number],YES_Writing_FLA[Student Number]),0),MATCH(VLOOKUP(F$7,'Writing Logic'!$J$7:$K$11,2,FALSE)&amp;" - Per "&amp;VLOOKUP($C$4,'Writing Logic'!$G$8:$H$14,2,FALSE),YES_Writing_ELA[#Headers],0)))),"")</f>
        <v/>
      </c>
      <c r="G75" s="138" t="str">
        <f>IFERROR(IF(IF(INDEX(_xlfn.VSTACK(YES_Writing_ELA[#Data],YES_Writing_FLA[#Data]),MATCH($A75,_xlfn.VSTACK(YES_Writing_ELA[Student Number],YES_Writing_FLA[Student Number]),0),MATCH(VLOOKUP(G$7,'Writing Logic'!$J$7:$K$11,2,FALSE)&amp;" - Per "&amp;VLOOKUP($C$4,'Writing Logic'!$G$8:$H$14,2,FALSE),YES_Writing_ELA[#Headers],0))=0,"",INDEX(_xlfn.VSTACK(YES_Writing_ELA[#Data],YES_Writing_FLA[#Data]),MATCH($A75,_xlfn.VSTACK(YES_Writing_ELA[Student Number],YES_Writing_FLA[Student Number]),0),MATCH(VLOOKUP(G$7,'Writing Logic'!$J$7:$K$11,2,FALSE)&amp;" - Per "&amp;VLOOKUP($C$4,'Writing Logic'!$G$8:$H$14,2,FALSE),YES_Writing_ELA[#Headers],0)))="INS",'Writing Logic'!$B$7,IF(INDEX(_xlfn.VSTACK(YES_Writing_ELA[#Data],YES_Writing_FLA[#Data]),MATCH($A75,_xlfn.VSTACK(YES_Writing_ELA[Student Number],YES_Writing_FLA[Student Number]),0),MATCH(VLOOKUP(G$7,'Writing Logic'!$J$7:$K$11,2,FALSE)&amp;" - Per "&amp;VLOOKUP($C$4,'Writing Logic'!$G$8:$H$14,2,FALSE),YES_Writing_ELA[#Headers],0))=0,"",INDEX(_xlfn.VSTACK(YES_Writing_ELA[#Data],YES_Writing_FLA[#Data]),MATCH($A75,_xlfn.VSTACK(YES_Writing_ELA[Student Number],YES_Writing_FLA[Student Number]),0),MATCH(VLOOKUP(G$7,'Writing Logic'!$J$7:$K$11,2,FALSE)&amp;" - Per "&amp;VLOOKUP($C$4,'Writing Logic'!$G$8:$H$14,2,FALSE),YES_Writing_ELA[#Headers],0)))),"")</f>
        <v/>
      </c>
      <c r="H75" s="138" t="str">
        <f>IFERROR(IF(IF(INDEX(_xlfn.VSTACK(YES_Writing_ELA[#Data],YES_Writing_FLA[#Data]),MATCH($A75,_xlfn.VSTACK(YES_Writing_ELA[Student Number],YES_Writing_FLA[Student Number]),0),MATCH(VLOOKUP(H$7,'Writing Logic'!$J$7:$K$11,2,FALSE)&amp;" - Per "&amp;VLOOKUP($C$4,'Writing Logic'!$G$8:$H$14,2,FALSE),YES_Writing_ELA[#Headers],0))=0,"",INDEX(_xlfn.VSTACK(YES_Writing_ELA[#Data],YES_Writing_FLA[#Data]),MATCH($A75,_xlfn.VSTACK(YES_Writing_ELA[Student Number],YES_Writing_FLA[Student Number]),0),MATCH(VLOOKUP(H$7,'Writing Logic'!$J$7:$K$11,2,FALSE)&amp;" - Per "&amp;VLOOKUP($C$4,'Writing Logic'!$G$8:$H$14,2,FALSE),YES_Writing_ELA[#Headers],0)))="INS",'Writing Logic'!$B$7,IF(INDEX(_xlfn.VSTACK(YES_Writing_ELA[#Data],YES_Writing_FLA[#Data]),MATCH($A75,_xlfn.VSTACK(YES_Writing_ELA[Student Number],YES_Writing_FLA[Student Number]),0),MATCH(VLOOKUP(H$7,'Writing Logic'!$J$7:$K$11,2,FALSE)&amp;" - Per "&amp;VLOOKUP($C$4,'Writing Logic'!$G$8:$H$14,2,FALSE),YES_Writing_ELA[#Headers],0))=0,"",INDEX(_xlfn.VSTACK(YES_Writing_ELA[#Data],YES_Writing_FLA[#Data]),MATCH($A75,_xlfn.VSTACK(YES_Writing_ELA[Student Number],YES_Writing_FLA[Student Number]),0),MATCH(VLOOKUP(H$7,'Writing Logic'!$J$7:$K$11,2,FALSE)&amp;" - Per "&amp;VLOOKUP($C$4,'Writing Logic'!$G$8:$H$14,2,FALSE),YES_Writing_ELA[#Headers],0)))),"")</f>
        <v/>
      </c>
      <c r="I75" s="136"/>
      <c r="J75" s="136"/>
      <c r="K75" s="136"/>
      <c r="L75" s="136"/>
    </row>
    <row r="76" spans="1:12" s="99" customFormat="1" ht="14.25" customHeight="1" x14ac:dyDescent="0.25">
      <c r="A76" s="137"/>
      <c r="B76" s="137" t="str">
        <f>IFERROR(INDEX(_xlfn.VSTACK(YES_Writing_ELA[#Data], YES_Writing_FLA[#Data]),MATCH($A76,_xlfn.VSTACK(YES_Writing_ELA[Student Number], YES_Writing_FLA[Student Number]),0),MATCH(B$7,YES_Writing_ELA[#Headers],0)),"")</f>
        <v/>
      </c>
      <c r="C76" s="137" t="str">
        <f>IFERROR(INDEX(_xlfn.VSTACK(YES_Writing_ELA[#Data], YES_Writing_FLA[#Data]),MATCH($A76,_xlfn.VSTACK(YES_Writing_ELA[Student Number], YES_Writing_FLA[Student Number]),0),MATCH(C$7,YES_Writing_ELA[#Headers],0)),"")</f>
        <v/>
      </c>
      <c r="D76" s="138" t="str">
        <f>IFERROR(IF(IF(INDEX(_xlfn.VSTACK(YES_Writing_ELA[#Data],YES_Writing_FLA[#Data]),MATCH($A76,_xlfn.VSTACK(YES_Writing_ELA[Student Number],YES_Writing_FLA[Student Number]),0),MATCH(VLOOKUP(D$7,'Writing Logic'!$J$7:$K$11,2,FALSE)&amp;" - Per "&amp;VLOOKUP($C$4,'Writing Logic'!$G$8:$H$14,2,FALSE),YES_Writing_ELA[#Headers],0))=0,"",INDEX(_xlfn.VSTACK(YES_Writing_ELA[#Data],YES_Writing_FLA[#Data]),MATCH($A76,_xlfn.VSTACK(YES_Writing_ELA[Student Number],YES_Writing_FLA[Student Number]),0),MATCH(VLOOKUP(D$7,'Writing Logic'!$J$7:$K$11,2,FALSE)&amp;" - Per "&amp;VLOOKUP($C$4,'Writing Logic'!$G$8:$H$14,2,FALSE),YES_Writing_ELA[#Headers],0)))="INS",'Writing Logic'!$B$7,IF(INDEX(_xlfn.VSTACK(YES_Writing_ELA[#Data],YES_Writing_FLA[#Data]),MATCH($A76,_xlfn.VSTACK(YES_Writing_ELA[Student Number],YES_Writing_FLA[Student Number]),0),MATCH(VLOOKUP(D$7,'Writing Logic'!$J$7:$K$11,2,FALSE)&amp;" - Per "&amp;VLOOKUP($C$4,'Writing Logic'!$G$8:$H$14,2,FALSE),YES_Writing_ELA[#Headers],0))=0,"",INDEX(_xlfn.VSTACK(YES_Writing_ELA[#Data],YES_Writing_FLA[#Data]),MATCH($A76,_xlfn.VSTACK(YES_Writing_ELA[Student Number],YES_Writing_FLA[Student Number]),0),MATCH(VLOOKUP(D$7,'Writing Logic'!$J$7:$K$11,2,FALSE)&amp;" - Per "&amp;VLOOKUP($C$4,'Writing Logic'!$G$8:$H$14,2,FALSE),YES_Writing_ELA[#Headers],0)))),"")</f>
        <v/>
      </c>
      <c r="E76" s="138" t="str">
        <f>IFERROR(IF(IF(INDEX(_xlfn.VSTACK(YES_Writing_ELA[#Data],YES_Writing_FLA[#Data]),MATCH($A76,_xlfn.VSTACK(YES_Writing_ELA[Student Number],YES_Writing_FLA[Student Number]),0),MATCH(VLOOKUP(E$7,'Writing Logic'!$J$7:$K$11,2,FALSE)&amp;" - Per "&amp;VLOOKUP($C$4,'Writing Logic'!$G$8:$H$14,2,FALSE),YES_Writing_ELA[#Headers],0))=0,"",INDEX(_xlfn.VSTACK(YES_Writing_ELA[#Data],YES_Writing_FLA[#Data]),MATCH($A76,_xlfn.VSTACK(YES_Writing_ELA[Student Number],YES_Writing_FLA[Student Number]),0),MATCH(VLOOKUP(E$7,'Writing Logic'!$J$7:$K$11,2,FALSE)&amp;" - Per "&amp;VLOOKUP($C$4,'Writing Logic'!$G$8:$H$14,2,FALSE),YES_Writing_ELA[#Headers],0)))="INS",'Writing Logic'!$B$7,IF(INDEX(_xlfn.VSTACK(YES_Writing_ELA[#Data],YES_Writing_FLA[#Data]),MATCH($A76,_xlfn.VSTACK(YES_Writing_ELA[Student Number],YES_Writing_FLA[Student Number]),0),MATCH(VLOOKUP(E$7,'Writing Logic'!$J$7:$K$11,2,FALSE)&amp;" - Per "&amp;VLOOKUP($C$4,'Writing Logic'!$G$8:$H$14,2,FALSE),YES_Writing_ELA[#Headers],0))=0,"",INDEX(_xlfn.VSTACK(YES_Writing_ELA[#Data],YES_Writing_FLA[#Data]),MATCH($A76,_xlfn.VSTACK(YES_Writing_ELA[Student Number],YES_Writing_FLA[Student Number]),0),MATCH(VLOOKUP(E$7,'Writing Logic'!$J$7:$K$11,2,FALSE)&amp;" - Per "&amp;VLOOKUP($C$4,'Writing Logic'!$G$8:$H$14,2,FALSE),YES_Writing_ELA[#Headers],0)))),"")</f>
        <v/>
      </c>
      <c r="F76" s="138" t="str">
        <f>IFERROR(IF(IF(INDEX(_xlfn.VSTACK(YES_Writing_ELA[#Data],YES_Writing_FLA[#Data]),MATCH($A76,_xlfn.VSTACK(YES_Writing_ELA[Student Number],YES_Writing_FLA[Student Number]),0),MATCH(VLOOKUP(F$7,'Writing Logic'!$J$7:$K$11,2,FALSE)&amp;" - Per "&amp;VLOOKUP($C$4,'Writing Logic'!$G$8:$H$14,2,FALSE),YES_Writing_ELA[#Headers],0))=0,"",INDEX(_xlfn.VSTACK(YES_Writing_ELA[#Data],YES_Writing_FLA[#Data]),MATCH($A76,_xlfn.VSTACK(YES_Writing_ELA[Student Number],YES_Writing_FLA[Student Number]),0),MATCH(VLOOKUP(F$7,'Writing Logic'!$J$7:$K$11,2,FALSE)&amp;" - Per "&amp;VLOOKUP($C$4,'Writing Logic'!$G$8:$H$14,2,FALSE),YES_Writing_ELA[#Headers],0)))="INS",'Writing Logic'!$B$7,IF(INDEX(_xlfn.VSTACK(YES_Writing_ELA[#Data],YES_Writing_FLA[#Data]),MATCH($A76,_xlfn.VSTACK(YES_Writing_ELA[Student Number],YES_Writing_FLA[Student Number]),0),MATCH(VLOOKUP(F$7,'Writing Logic'!$J$7:$K$11,2,FALSE)&amp;" - Per "&amp;VLOOKUP($C$4,'Writing Logic'!$G$8:$H$14,2,FALSE),YES_Writing_ELA[#Headers],0))=0,"",INDEX(_xlfn.VSTACK(YES_Writing_ELA[#Data],YES_Writing_FLA[#Data]),MATCH($A76,_xlfn.VSTACK(YES_Writing_ELA[Student Number],YES_Writing_FLA[Student Number]),0),MATCH(VLOOKUP(F$7,'Writing Logic'!$J$7:$K$11,2,FALSE)&amp;" - Per "&amp;VLOOKUP($C$4,'Writing Logic'!$G$8:$H$14,2,FALSE),YES_Writing_ELA[#Headers],0)))),"")</f>
        <v/>
      </c>
      <c r="G76" s="138" t="str">
        <f>IFERROR(IF(IF(INDEX(_xlfn.VSTACK(YES_Writing_ELA[#Data],YES_Writing_FLA[#Data]),MATCH($A76,_xlfn.VSTACK(YES_Writing_ELA[Student Number],YES_Writing_FLA[Student Number]),0),MATCH(VLOOKUP(G$7,'Writing Logic'!$J$7:$K$11,2,FALSE)&amp;" - Per "&amp;VLOOKUP($C$4,'Writing Logic'!$G$8:$H$14,2,FALSE),YES_Writing_ELA[#Headers],0))=0,"",INDEX(_xlfn.VSTACK(YES_Writing_ELA[#Data],YES_Writing_FLA[#Data]),MATCH($A76,_xlfn.VSTACK(YES_Writing_ELA[Student Number],YES_Writing_FLA[Student Number]),0),MATCH(VLOOKUP(G$7,'Writing Logic'!$J$7:$K$11,2,FALSE)&amp;" - Per "&amp;VLOOKUP($C$4,'Writing Logic'!$G$8:$H$14,2,FALSE),YES_Writing_ELA[#Headers],0)))="INS",'Writing Logic'!$B$7,IF(INDEX(_xlfn.VSTACK(YES_Writing_ELA[#Data],YES_Writing_FLA[#Data]),MATCH($A76,_xlfn.VSTACK(YES_Writing_ELA[Student Number],YES_Writing_FLA[Student Number]),0),MATCH(VLOOKUP(G$7,'Writing Logic'!$J$7:$K$11,2,FALSE)&amp;" - Per "&amp;VLOOKUP($C$4,'Writing Logic'!$G$8:$H$14,2,FALSE),YES_Writing_ELA[#Headers],0))=0,"",INDEX(_xlfn.VSTACK(YES_Writing_ELA[#Data],YES_Writing_FLA[#Data]),MATCH($A76,_xlfn.VSTACK(YES_Writing_ELA[Student Number],YES_Writing_FLA[Student Number]),0),MATCH(VLOOKUP(G$7,'Writing Logic'!$J$7:$K$11,2,FALSE)&amp;" - Per "&amp;VLOOKUP($C$4,'Writing Logic'!$G$8:$H$14,2,FALSE),YES_Writing_ELA[#Headers],0)))),"")</f>
        <v/>
      </c>
      <c r="H76" s="138" t="str">
        <f>IFERROR(IF(IF(INDEX(_xlfn.VSTACK(YES_Writing_ELA[#Data],YES_Writing_FLA[#Data]),MATCH($A76,_xlfn.VSTACK(YES_Writing_ELA[Student Number],YES_Writing_FLA[Student Number]),0),MATCH(VLOOKUP(H$7,'Writing Logic'!$J$7:$K$11,2,FALSE)&amp;" - Per "&amp;VLOOKUP($C$4,'Writing Logic'!$G$8:$H$14,2,FALSE),YES_Writing_ELA[#Headers],0))=0,"",INDEX(_xlfn.VSTACK(YES_Writing_ELA[#Data],YES_Writing_FLA[#Data]),MATCH($A76,_xlfn.VSTACK(YES_Writing_ELA[Student Number],YES_Writing_FLA[Student Number]),0),MATCH(VLOOKUP(H$7,'Writing Logic'!$J$7:$K$11,2,FALSE)&amp;" - Per "&amp;VLOOKUP($C$4,'Writing Logic'!$G$8:$H$14,2,FALSE),YES_Writing_ELA[#Headers],0)))="INS",'Writing Logic'!$B$7,IF(INDEX(_xlfn.VSTACK(YES_Writing_ELA[#Data],YES_Writing_FLA[#Data]),MATCH($A76,_xlfn.VSTACK(YES_Writing_ELA[Student Number],YES_Writing_FLA[Student Number]),0),MATCH(VLOOKUP(H$7,'Writing Logic'!$J$7:$K$11,2,FALSE)&amp;" - Per "&amp;VLOOKUP($C$4,'Writing Logic'!$G$8:$H$14,2,FALSE),YES_Writing_ELA[#Headers],0))=0,"",INDEX(_xlfn.VSTACK(YES_Writing_ELA[#Data],YES_Writing_FLA[#Data]),MATCH($A76,_xlfn.VSTACK(YES_Writing_ELA[Student Number],YES_Writing_FLA[Student Number]),0),MATCH(VLOOKUP(H$7,'Writing Logic'!$J$7:$K$11,2,FALSE)&amp;" - Per "&amp;VLOOKUP($C$4,'Writing Logic'!$G$8:$H$14,2,FALSE),YES_Writing_ELA[#Headers],0)))),"")</f>
        <v/>
      </c>
      <c r="I76" s="136"/>
      <c r="J76" s="136"/>
      <c r="K76" s="136"/>
      <c r="L76" s="136"/>
    </row>
    <row r="77" spans="1:12" s="99" customFormat="1" ht="14.25" customHeight="1" x14ac:dyDescent="0.25">
      <c r="A77" s="137"/>
      <c r="B77" s="137" t="str">
        <f>IFERROR(INDEX(_xlfn.VSTACK(YES_Writing_ELA[#Data], YES_Writing_FLA[#Data]),MATCH($A77,_xlfn.VSTACK(YES_Writing_ELA[Student Number], YES_Writing_FLA[Student Number]),0),MATCH(B$7,YES_Writing_ELA[#Headers],0)),"")</f>
        <v/>
      </c>
      <c r="C77" s="137" t="str">
        <f>IFERROR(INDEX(_xlfn.VSTACK(YES_Writing_ELA[#Data], YES_Writing_FLA[#Data]),MATCH($A77,_xlfn.VSTACK(YES_Writing_ELA[Student Number], YES_Writing_FLA[Student Number]),0),MATCH(C$7,YES_Writing_ELA[#Headers],0)),"")</f>
        <v/>
      </c>
      <c r="D77" s="138" t="str">
        <f>IFERROR(IF(IF(INDEX(_xlfn.VSTACK(YES_Writing_ELA[#Data],YES_Writing_FLA[#Data]),MATCH($A77,_xlfn.VSTACK(YES_Writing_ELA[Student Number],YES_Writing_FLA[Student Number]),0),MATCH(VLOOKUP(D$7,'Writing Logic'!$J$7:$K$11,2,FALSE)&amp;" - Per "&amp;VLOOKUP($C$4,'Writing Logic'!$G$8:$H$14,2,FALSE),YES_Writing_ELA[#Headers],0))=0,"",INDEX(_xlfn.VSTACK(YES_Writing_ELA[#Data],YES_Writing_FLA[#Data]),MATCH($A77,_xlfn.VSTACK(YES_Writing_ELA[Student Number],YES_Writing_FLA[Student Number]),0),MATCH(VLOOKUP(D$7,'Writing Logic'!$J$7:$K$11,2,FALSE)&amp;" - Per "&amp;VLOOKUP($C$4,'Writing Logic'!$G$8:$H$14,2,FALSE),YES_Writing_ELA[#Headers],0)))="INS",'Writing Logic'!$B$7,IF(INDEX(_xlfn.VSTACK(YES_Writing_ELA[#Data],YES_Writing_FLA[#Data]),MATCH($A77,_xlfn.VSTACK(YES_Writing_ELA[Student Number],YES_Writing_FLA[Student Number]),0),MATCH(VLOOKUP(D$7,'Writing Logic'!$J$7:$K$11,2,FALSE)&amp;" - Per "&amp;VLOOKUP($C$4,'Writing Logic'!$G$8:$H$14,2,FALSE),YES_Writing_ELA[#Headers],0))=0,"",INDEX(_xlfn.VSTACK(YES_Writing_ELA[#Data],YES_Writing_FLA[#Data]),MATCH($A77,_xlfn.VSTACK(YES_Writing_ELA[Student Number],YES_Writing_FLA[Student Number]),0),MATCH(VLOOKUP(D$7,'Writing Logic'!$J$7:$K$11,2,FALSE)&amp;" - Per "&amp;VLOOKUP($C$4,'Writing Logic'!$G$8:$H$14,2,FALSE),YES_Writing_ELA[#Headers],0)))),"")</f>
        <v/>
      </c>
      <c r="E77" s="138" t="str">
        <f>IFERROR(IF(IF(INDEX(_xlfn.VSTACK(YES_Writing_ELA[#Data],YES_Writing_FLA[#Data]),MATCH($A77,_xlfn.VSTACK(YES_Writing_ELA[Student Number],YES_Writing_FLA[Student Number]),0),MATCH(VLOOKUP(E$7,'Writing Logic'!$J$7:$K$11,2,FALSE)&amp;" - Per "&amp;VLOOKUP($C$4,'Writing Logic'!$G$8:$H$14,2,FALSE),YES_Writing_ELA[#Headers],0))=0,"",INDEX(_xlfn.VSTACK(YES_Writing_ELA[#Data],YES_Writing_FLA[#Data]),MATCH($A77,_xlfn.VSTACK(YES_Writing_ELA[Student Number],YES_Writing_FLA[Student Number]),0),MATCH(VLOOKUP(E$7,'Writing Logic'!$J$7:$K$11,2,FALSE)&amp;" - Per "&amp;VLOOKUP($C$4,'Writing Logic'!$G$8:$H$14,2,FALSE),YES_Writing_ELA[#Headers],0)))="INS",'Writing Logic'!$B$7,IF(INDEX(_xlfn.VSTACK(YES_Writing_ELA[#Data],YES_Writing_FLA[#Data]),MATCH($A77,_xlfn.VSTACK(YES_Writing_ELA[Student Number],YES_Writing_FLA[Student Number]),0),MATCH(VLOOKUP(E$7,'Writing Logic'!$J$7:$K$11,2,FALSE)&amp;" - Per "&amp;VLOOKUP($C$4,'Writing Logic'!$G$8:$H$14,2,FALSE),YES_Writing_ELA[#Headers],0))=0,"",INDEX(_xlfn.VSTACK(YES_Writing_ELA[#Data],YES_Writing_FLA[#Data]),MATCH($A77,_xlfn.VSTACK(YES_Writing_ELA[Student Number],YES_Writing_FLA[Student Number]),0),MATCH(VLOOKUP(E$7,'Writing Logic'!$J$7:$K$11,2,FALSE)&amp;" - Per "&amp;VLOOKUP($C$4,'Writing Logic'!$G$8:$H$14,2,FALSE),YES_Writing_ELA[#Headers],0)))),"")</f>
        <v/>
      </c>
      <c r="F77" s="138" t="str">
        <f>IFERROR(IF(IF(INDEX(_xlfn.VSTACK(YES_Writing_ELA[#Data],YES_Writing_FLA[#Data]),MATCH($A77,_xlfn.VSTACK(YES_Writing_ELA[Student Number],YES_Writing_FLA[Student Number]),0),MATCH(VLOOKUP(F$7,'Writing Logic'!$J$7:$K$11,2,FALSE)&amp;" - Per "&amp;VLOOKUP($C$4,'Writing Logic'!$G$8:$H$14,2,FALSE),YES_Writing_ELA[#Headers],0))=0,"",INDEX(_xlfn.VSTACK(YES_Writing_ELA[#Data],YES_Writing_FLA[#Data]),MATCH($A77,_xlfn.VSTACK(YES_Writing_ELA[Student Number],YES_Writing_FLA[Student Number]),0),MATCH(VLOOKUP(F$7,'Writing Logic'!$J$7:$K$11,2,FALSE)&amp;" - Per "&amp;VLOOKUP($C$4,'Writing Logic'!$G$8:$H$14,2,FALSE),YES_Writing_ELA[#Headers],0)))="INS",'Writing Logic'!$B$7,IF(INDEX(_xlfn.VSTACK(YES_Writing_ELA[#Data],YES_Writing_FLA[#Data]),MATCH($A77,_xlfn.VSTACK(YES_Writing_ELA[Student Number],YES_Writing_FLA[Student Number]),0),MATCH(VLOOKUP(F$7,'Writing Logic'!$J$7:$K$11,2,FALSE)&amp;" - Per "&amp;VLOOKUP($C$4,'Writing Logic'!$G$8:$H$14,2,FALSE),YES_Writing_ELA[#Headers],0))=0,"",INDEX(_xlfn.VSTACK(YES_Writing_ELA[#Data],YES_Writing_FLA[#Data]),MATCH($A77,_xlfn.VSTACK(YES_Writing_ELA[Student Number],YES_Writing_FLA[Student Number]),0),MATCH(VLOOKUP(F$7,'Writing Logic'!$J$7:$K$11,2,FALSE)&amp;" - Per "&amp;VLOOKUP($C$4,'Writing Logic'!$G$8:$H$14,2,FALSE),YES_Writing_ELA[#Headers],0)))),"")</f>
        <v/>
      </c>
      <c r="G77" s="138" t="str">
        <f>IFERROR(IF(IF(INDEX(_xlfn.VSTACK(YES_Writing_ELA[#Data],YES_Writing_FLA[#Data]),MATCH($A77,_xlfn.VSTACK(YES_Writing_ELA[Student Number],YES_Writing_FLA[Student Number]),0),MATCH(VLOOKUP(G$7,'Writing Logic'!$J$7:$K$11,2,FALSE)&amp;" - Per "&amp;VLOOKUP($C$4,'Writing Logic'!$G$8:$H$14,2,FALSE),YES_Writing_ELA[#Headers],0))=0,"",INDEX(_xlfn.VSTACK(YES_Writing_ELA[#Data],YES_Writing_FLA[#Data]),MATCH($A77,_xlfn.VSTACK(YES_Writing_ELA[Student Number],YES_Writing_FLA[Student Number]),0),MATCH(VLOOKUP(G$7,'Writing Logic'!$J$7:$K$11,2,FALSE)&amp;" - Per "&amp;VLOOKUP($C$4,'Writing Logic'!$G$8:$H$14,2,FALSE),YES_Writing_ELA[#Headers],0)))="INS",'Writing Logic'!$B$7,IF(INDEX(_xlfn.VSTACK(YES_Writing_ELA[#Data],YES_Writing_FLA[#Data]),MATCH($A77,_xlfn.VSTACK(YES_Writing_ELA[Student Number],YES_Writing_FLA[Student Number]),0),MATCH(VLOOKUP(G$7,'Writing Logic'!$J$7:$K$11,2,FALSE)&amp;" - Per "&amp;VLOOKUP($C$4,'Writing Logic'!$G$8:$H$14,2,FALSE),YES_Writing_ELA[#Headers],0))=0,"",INDEX(_xlfn.VSTACK(YES_Writing_ELA[#Data],YES_Writing_FLA[#Data]),MATCH($A77,_xlfn.VSTACK(YES_Writing_ELA[Student Number],YES_Writing_FLA[Student Number]),0),MATCH(VLOOKUP(G$7,'Writing Logic'!$J$7:$K$11,2,FALSE)&amp;" - Per "&amp;VLOOKUP($C$4,'Writing Logic'!$G$8:$H$14,2,FALSE),YES_Writing_ELA[#Headers],0)))),"")</f>
        <v/>
      </c>
      <c r="H77" s="138" t="str">
        <f>IFERROR(IF(IF(INDEX(_xlfn.VSTACK(YES_Writing_ELA[#Data],YES_Writing_FLA[#Data]),MATCH($A77,_xlfn.VSTACK(YES_Writing_ELA[Student Number],YES_Writing_FLA[Student Number]),0),MATCH(VLOOKUP(H$7,'Writing Logic'!$J$7:$K$11,2,FALSE)&amp;" - Per "&amp;VLOOKUP($C$4,'Writing Logic'!$G$8:$H$14,2,FALSE),YES_Writing_ELA[#Headers],0))=0,"",INDEX(_xlfn.VSTACK(YES_Writing_ELA[#Data],YES_Writing_FLA[#Data]),MATCH($A77,_xlfn.VSTACK(YES_Writing_ELA[Student Number],YES_Writing_FLA[Student Number]),0),MATCH(VLOOKUP(H$7,'Writing Logic'!$J$7:$K$11,2,FALSE)&amp;" - Per "&amp;VLOOKUP($C$4,'Writing Logic'!$G$8:$H$14,2,FALSE),YES_Writing_ELA[#Headers],0)))="INS",'Writing Logic'!$B$7,IF(INDEX(_xlfn.VSTACK(YES_Writing_ELA[#Data],YES_Writing_FLA[#Data]),MATCH($A77,_xlfn.VSTACK(YES_Writing_ELA[Student Number],YES_Writing_FLA[Student Number]),0),MATCH(VLOOKUP(H$7,'Writing Logic'!$J$7:$K$11,2,FALSE)&amp;" - Per "&amp;VLOOKUP($C$4,'Writing Logic'!$G$8:$H$14,2,FALSE),YES_Writing_ELA[#Headers],0))=0,"",INDEX(_xlfn.VSTACK(YES_Writing_ELA[#Data],YES_Writing_FLA[#Data]),MATCH($A77,_xlfn.VSTACK(YES_Writing_ELA[Student Number],YES_Writing_FLA[Student Number]),0),MATCH(VLOOKUP(H$7,'Writing Logic'!$J$7:$K$11,2,FALSE)&amp;" - Per "&amp;VLOOKUP($C$4,'Writing Logic'!$G$8:$H$14,2,FALSE),YES_Writing_ELA[#Headers],0)))),"")</f>
        <v/>
      </c>
      <c r="I77" s="136"/>
      <c r="J77" s="136"/>
      <c r="K77" s="136"/>
      <c r="L77" s="136"/>
    </row>
    <row r="78" spans="1:12" s="99" customFormat="1" ht="14.25" customHeight="1" x14ac:dyDescent="0.25">
      <c r="A78" s="137"/>
      <c r="B78" s="137" t="str">
        <f>IFERROR(INDEX(_xlfn.VSTACK(YES_Writing_ELA[#Data], YES_Writing_FLA[#Data]),MATCH($A78,_xlfn.VSTACK(YES_Writing_ELA[Student Number], YES_Writing_FLA[Student Number]),0),MATCH(B$7,YES_Writing_ELA[#Headers],0)),"")</f>
        <v/>
      </c>
      <c r="C78" s="137" t="str">
        <f>IFERROR(INDEX(_xlfn.VSTACK(YES_Writing_ELA[#Data], YES_Writing_FLA[#Data]),MATCH($A78,_xlfn.VSTACK(YES_Writing_ELA[Student Number], YES_Writing_FLA[Student Number]),0),MATCH(C$7,YES_Writing_ELA[#Headers],0)),"")</f>
        <v/>
      </c>
      <c r="D78" s="138" t="str">
        <f>IFERROR(IF(IF(INDEX(_xlfn.VSTACK(YES_Writing_ELA[#Data],YES_Writing_FLA[#Data]),MATCH($A78,_xlfn.VSTACK(YES_Writing_ELA[Student Number],YES_Writing_FLA[Student Number]),0),MATCH(VLOOKUP(D$7,'Writing Logic'!$J$7:$K$11,2,FALSE)&amp;" - Per "&amp;VLOOKUP($C$4,'Writing Logic'!$G$8:$H$14,2,FALSE),YES_Writing_ELA[#Headers],0))=0,"",INDEX(_xlfn.VSTACK(YES_Writing_ELA[#Data],YES_Writing_FLA[#Data]),MATCH($A78,_xlfn.VSTACK(YES_Writing_ELA[Student Number],YES_Writing_FLA[Student Number]),0),MATCH(VLOOKUP(D$7,'Writing Logic'!$J$7:$K$11,2,FALSE)&amp;" - Per "&amp;VLOOKUP($C$4,'Writing Logic'!$G$8:$H$14,2,FALSE),YES_Writing_ELA[#Headers],0)))="INS",'Writing Logic'!$B$7,IF(INDEX(_xlfn.VSTACK(YES_Writing_ELA[#Data],YES_Writing_FLA[#Data]),MATCH($A78,_xlfn.VSTACK(YES_Writing_ELA[Student Number],YES_Writing_FLA[Student Number]),0),MATCH(VLOOKUP(D$7,'Writing Logic'!$J$7:$K$11,2,FALSE)&amp;" - Per "&amp;VLOOKUP($C$4,'Writing Logic'!$G$8:$H$14,2,FALSE),YES_Writing_ELA[#Headers],0))=0,"",INDEX(_xlfn.VSTACK(YES_Writing_ELA[#Data],YES_Writing_FLA[#Data]),MATCH($A78,_xlfn.VSTACK(YES_Writing_ELA[Student Number],YES_Writing_FLA[Student Number]),0),MATCH(VLOOKUP(D$7,'Writing Logic'!$J$7:$K$11,2,FALSE)&amp;" - Per "&amp;VLOOKUP($C$4,'Writing Logic'!$G$8:$H$14,2,FALSE),YES_Writing_ELA[#Headers],0)))),"")</f>
        <v/>
      </c>
      <c r="E78" s="138" t="str">
        <f>IFERROR(IF(IF(INDEX(_xlfn.VSTACK(YES_Writing_ELA[#Data],YES_Writing_FLA[#Data]),MATCH($A78,_xlfn.VSTACK(YES_Writing_ELA[Student Number],YES_Writing_FLA[Student Number]),0),MATCH(VLOOKUP(E$7,'Writing Logic'!$J$7:$K$11,2,FALSE)&amp;" - Per "&amp;VLOOKUP($C$4,'Writing Logic'!$G$8:$H$14,2,FALSE),YES_Writing_ELA[#Headers],0))=0,"",INDEX(_xlfn.VSTACK(YES_Writing_ELA[#Data],YES_Writing_FLA[#Data]),MATCH($A78,_xlfn.VSTACK(YES_Writing_ELA[Student Number],YES_Writing_FLA[Student Number]),0),MATCH(VLOOKUP(E$7,'Writing Logic'!$J$7:$K$11,2,FALSE)&amp;" - Per "&amp;VLOOKUP($C$4,'Writing Logic'!$G$8:$H$14,2,FALSE),YES_Writing_ELA[#Headers],0)))="INS",'Writing Logic'!$B$7,IF(INDEX(_xlfn.VSTACK(YES_Writing_ELA[#Data],YES_Writing_FLA[#Data]),MATCH($A78,_xlfn.VSTACK(YES_Writing_ELA[Student Number],YES_Writing_FLA[Student Number]),0),MATCH(VLOOKUP(E$7,'Writing Logic'!$J$7:$K$11,2,FALSE)&amp;" - Per "&amp;VLOOKUP($C$4,'Writing Logic'!$G$8:$H$14,2,FALSE),YES_Writing_ELA[#Headers],0))=0,"",INDEX(_xlfn.VSTACK(YES_Writing_ELA[#Data],YES_Writing_FLA[#Data]),MATCH($A78,_xlfn.VSTACK(YES_Writing_ELA[Student Number],YES_Writing_FLA[Student Number]),0),MATCH(VLOOKUP(E$7,'Writing Logic'!$J$7:$K$11,2,FALSE)&amp;" - Per "&amp;VLOOKUP($C$4,'Writing Logic'!$G$8:$H$14,2,FALSE),YES_Writing_ELA[#Headers],0)))),"")</f>
        <v/>
      </c>
      <c r="F78" s="138" t="str">
        <f>IFERROR(IF(IF(INDEX(_xlfn.VSTACK(YES_Writing_ELA[#Data],YES_Writing_FLA[#Data]),MATCH($A78,_xlfn.VSTACK(YES_Writing_ELA[Student Number],YES_Writing_FLA[Student Number]),0),MATCH(VLOOKUP(F$7,'Writing Logic'!$J$7:$K$11,2,FALSE)&amp;" - Per "&amp;VLOOKUP($C$4,'Writing Logic'!$G$8:$H$14,2,FALSE),YES_Writing_ELA[#Headers],0))=0,"",INDEX(_xlfn.VSTACK(YES_Writing_ELA[#Data],YES_Writing_FLA[#Data]),MATCH($A78,_xlfn.VSTACK(YES_Writing_ELA[Student Number],YES_Writing_FLA[Student Number]),0),MATCH(VLOOKUP(F$7,'Writing Logic'!$J$7:$K$11,2,FALSE)&amp;" - Per "&amp;VLOOKUP($C$4,'Writing Logic'!$G$8:$H$14,2,FALSE),YES_Writing_ELA[#Headers],0)))="INS",'Writing Logic'!$B$7,IF(INDEX(_xlfn.VSTACK(YES_Writing_ELA[#Data],YES_Writing_FLA[#Data]),MATCH($A78,_xlfn.VSTACK(YES_Writing_ELA[Student Number],YES_Writing_FLA[Student Number]),0),MATCH(VLOOKUP(F$7,'Writing Logic'!$J$7:$K$11,2,FALSE)&amp;" - Per "&amp;VLOOKUP($C$4,'Writing Logic'!$G$8:$H$14,2,FALSE),YES_Writing_ELA[#Headers],0))=0,"",INDEX(_xlfn.VSTACK(YES_Writing_ELA[#Data],YES_Writing_FLA[#Data]),MATCH($A78,_xlfn.VSTACK(YES_Writing_ELA[Student Number],YES_Writing_FLA[Student Number]),0),MATCH(VLOOKUP(F$7,'Writing Logic'!$J$7:$K$11,2,FALSE)&amp;" - Per "&amp;VLOOKUP($C$4,'Writing Logic'!$G$8:$H$14,2,FALSE),YES_Writing_ELA[#Headers],0)))),"")</f>
        <v/>
      </c>
      <c r="G78" s="138" t="str">
        <f>IFERROR(IF(IF(INDEX(_xlfn.VSTACK(YES_Writing_ELA[#Data],YES_Writing_FLA[#Data]),MATCH($A78,_xlfn.VSTACK(YES_Writing_ELA[Student Number],YES_Writing_FLA[Student Number]),0),MATCH(VLOOKUP(G$7,'Writing Logic'!$J$7:$K$11,2,FALSE)&amp;" - Per "&amp;VLOOKUP($C$4,'Writing Logic'!$G$8:$H$14,2,FALSE),YES_Writing_ELA[#Headers],0))=0,"",INDEX(_xlfn.VSTACK(YES_Writing_ELA[#Data],YES_Writing_FLA[#Data]),MATCH($A78,_xlfn.VSTACK(YES_Writing_ELA[Student Number],YES_Writing_FLA[Student Number]),0),MATCH(VLOOKUP(G$7,'Writing Logic'!$J$7:$K$11,2,FALSE)&amp;" - Per "&amp;VLOOKUP($C$4,'Writing Logic'!$G$8:$H$14,2,FALSE),YES_Writing_ELA[#Headers],0)))="INS",'Writing Logic'!$B$7,IF(INDEX(_xlfn.VSTACK(YES_Writing_ELA[#Data],YES_Writing_FLA[#Data]),MATCH($A78,_xlfn.VSTACK(YES_Writing_ELA[Student Number],YES_Writing_FLA[Student Number]),0),MATCH(VLOOKUP(G$7,'Writing Logic'!$J$7:$K$11,2,FALSE)&amp;" - Per "&amp;VLOOKUP($C$4,'Writing Logic'!$G$8:$H$14,2,FALSE),YES_Writing_ELA[#Headers],0))=0,"",INDEX(_xlfn.VSTACK(YES_Writing_ELA[#Data],YES_Writing_FLA[#Data]),MATCH($A78,_xlfn.VSTACK(YES_Writing_ELA[Student Number],YES_Writing_FLA[Student Number]),0),MATCH(VLOOKUP(G$7,'Writing Logic'!$J$7:$K$11,2,FALSE)&amp;" - Per "&amp;VLOOKUP($C$4,'Writing Logic'!$G$8:$H$14,2,FALSE),YES_Writing_ELA[#Headers],0)))),"")</f>
        <v/>
      </c>
      <c r="H78" s="138" t="str">
        <f>IFERROR(IF(IF(INDEX(_xlfn.VSTACK(YES_Writing_ELA[#Data],YES_Writing_FLA[#Data]),MATCH($A78,_xlfn.VSTACK(YES_Writing_ELA[Student Number],YES_Writing_FLA[Student Number]),0),MATCH(VLOOKUP(H$7,'Writing Logic'!$J$7:$K$11,2,FALSE)&amp;" - Per "&amp;VLOOKUP($C$4,'Writing Logic'!$G$8:$H$14,2,FALSE),YES_Writing_ELA[#Headers],0))=0,"",INDEX(_xlfn.VSTACK(YES_Writing_ELA[#Data],YES_Writing_FLA[#Data]),MATCH($A78,_xlfn.VSTACK(YES_Writing_ELA[Student Number],YES_Writing_FLA[Student Number]),0),MATCH(VLOOKUP(H$7,'Writing Logic'!$J$7:$K$11,2,FALSE)&amp;" - Per "&amp;VLOOKUP($C$4,'Writing Logic'!$G$8:$H$14,2,FALSE),YES_Writing_ELA[#Headers],0)))="INS",'Writing Logic'!$B$7,IF(INDEX(_xlfn.VSTACK(YES_Writing_ELA[#Data],YES_Writing_FLA[#Data]),MATCH($A78,_xlfn.VSTACK(YES_Writing_ELA[Student Number],YES_Writing_FLA[Student Number]),0),MATCH(VLOOKUP(H$7,'Writing Logic'!$J$7:$K$11,2,FALSE)&amp;" - Per "&amp;VLOOKUP($C$4,'Writing Logic'!$G$8:$H$14,2,FALSE),YES_Writing_ELA[#Headers],0))=0,"",INDEX(_xlfn.VSTACK(YES_Writing_ELA[#Data],YES_Writing_FLA[#Data]),MATCH($A78,_xlfn.VSTACK(YES_Writing_ELA[Student Number],YES_Writing_FLA[Student Number]),0),MATCH(VLOOKUP(H$7,'Writing Logic'!$J$7:$K$11,2,FALSE)&amp;" - Per "&amp;VLOOKUP($C$4,'Writing Logic'!$G$8:$H$14,2,FALSE),YES_Writing_ELA[#Headers],0)))),"")</f>
        <v/>
      </c>
      <c r="I78" s="136"/>
      <c r="J78" s="136"/>
      <c r="K78" s="136"/>
      <c r="L78" s="136"/>
    </row>
    <row r="79" spans="1:12" s="99" customFormat="1" ht="14.25" customHeight="1" x14ac:dyDescent="0.25">
      <c r="A79" s="137"/>
      <c r="B79" s="137" t="str">
        <f>IFERROR(INDEX(_xlfn.VSTACK(YES_Writing_ELA[#Data], YES_Writing_FLA[#Data]),MATCH($A79,_xlfn.VSTACK(YES_Writing_ELA[Student Number], YES_Writing_FLA[Student Number]),0),MATCH(B$7,YES_Writing_ELA[#Headers],0)),"")</f>
        <v/>
      </c>
      <c r="C79" s="137" t="str">
        <f>IFERROR(INDEX(_xlfn.VSTACK(YES_Writing_ELA[#Data], YES_Writing_FLA[#Data]),MATCH($A79,_xlfn.VSTACK(YES_Writing_ELA[Student Number], YES_Writing_FLA[Student Number]),0),MATCH(C$7,YES_Writing_ELA[#Headers],0)),"")</f>
        <v/>
      </c>
      <c r="D79" s="138" t="str">
        <f>IFERROR(IF(IF(INDEX(_xlfn.VSTACK(YES_Writing_ELA[#Data],YES_Writing_FLA[#Data]),MATCH($A79,_xlfn.VSTACK(YES_Writing_ELA[Student Number],YES_Writing_FLA[Student Number]),0),MATCH(VLOOKUP(D$7,'Writing Logic'!$J$7:$K$11,2,FALSE)&amp;" - Per "&amp;VLOOKUP($C$4,'Writing Logic'!$G$8:$H$14,2,FALSE),YES_Writing_ELA[#Headers],0))=0,"",INDEX(_xlfn.VSTACK(YES_Writing_ELA[#Data],YES_Writing_FLA[#Data]),MATCH($A79,_xlfn.VSTACK(YES_Writing_ELA[Student Number],YES_Writing_FLA[Student Number]),0),MATCH(VLOOKUP(D$7,'Writing Logic'!$J$7:$K$11,2,FALSE)&amp;" - Per "&amp;VLOOKUP($C$4,'Writing Logic'!$G$8:$H$14,2,FALSE),YES_Writing_ELA[#Headers],0)))="INS",'Writing Logic'!$B$7,IF(INDEX(_xlfn.VSTACK(YES_Writing_ELA[#Data],YES_Writing_FLA[#Data]),MATCH($A79,_xlfn.VSTACK(YES_Writing_ELA[Student Number],YES_Writing_FLA[Student Number]),0),MATCH(VLOOKUP(D$7,'Writing Logic'!$J$7:$K$11,2,FALSE)&amp;" - Per "&amp;VLOOKUP($C$4,'Writing Logic'!$G$8:$H$14,2,FALSE),YES_Writing_ELA[#Headers],0))=0,"",INDEX(_xlfn.VSTACK(YES_Writing_ELA[#Data],YES_Writing_FLA[#Data]),MATCH($A79,_xlfn.VSTACK(YES_Writing_ELA[Student Number],YES_Writing_FLA[Student Number]),0),MATCH(VLOOKUP(D$7,'Writing Logic'!$J$7:$K$11,2,FALSE)&amp;" - Per "&amp;VLOOKUP($C$4,'Writing Logic'!$G$8:$H$14,2,FALSE),YES_Writing_ELA[#Headers],0)))),"")</f>
        <v/>
      </c>
      <c r="E79" s="138" t="str">
        <f>IFERROR(IF(IF(INDEX(_xlfn.VSTACK(YES_Writing_ELA[#Data],YES_Writing_FLA[#Data]),MATCH($A79,_xlfn.VSTACK(YES_Writing_ELA[Student Number],YES_Writing_FLA[Student Number]),0),MATCH(VLOOKUP(E$7,'Writing Logic'!$J$7:$K$11,2,FALSE)&amp;" - Per "&amp;VLOOKUP($C$4,'Writing Logic'!$G$8:$H$14,2,FALSE),YES_Writing_ELA[#Headers],0))=0,"",INDEX(_xlfn.VSTACK(YES_Writing_ELA[#Data],YES_Writing_FLA[#Data]),MATCH($A79,_xlfn.VSTACK(YES_Writing_ELA[Student Number],YES_Writing_FLA[Student Number]),0),MATCH(VLOOKUP(E$7,'Writing Logic'!$J$7:$K$11,2,FALSE)&amp;" - Per "&amp;VLOOKUP($C$4,'Writing Logic'!$G$8:$H$14,2,FALSE),YES_Writing_ELA[#Headers],0)))="INS",'Writing Logic'!$B$7,IF(INDEX(_xlfn.VSTACK(YES_Writing_ELA[#Data],YES_Writing_FLA[#Data]),MATCH($A79,_xlfn.VSTACK(YES_Writing_ELA[Student Number],YES_Writing_FLA[Student Number]),0),MATCH(VLOOKUP(E$7,'Writing Logic'!$J$7:$K$11,2,FALSE)&amp;" - Per "&amp;VLOOKUP($C$4,'Writing Logic'!$G$8:$H$14,2,FALSE),YES_Writing_ELA[#Headers],0))=0,"",INDEX(_xlfn.VSTACK(YES_Writing_ELA[#Data],YES_Writing_FLA[#Data]),MATCH($A79,_xlfn.VSTACK(YES_Writing_ELA[Student Number],YES_Writing_FLA[Student Number]),0),MATCH(VLOOKUP(E$7,'Writing Logic'!$J$7:$K$11,2,FALSE)&amp;" - Per "&amp;VLOOKUP($C$4,'Writing Logic'!$G$8:$H$14,2,FALSE),YES_Writing_ELA[#Headers],0)))),"")</f>
        <v/>
      </c>
      <c r="F79" s="138" t="str">
        <f>IFERROR(IF(IF(INDEX(_xlfn.VSTACK(YES_Writing_ELA[#Data],YES_Writing_FLA[#Data]),MATCH($A79,_xlfn.VSTACK(YES_Writing_ELA[Student Number],YES_Writing_FLA[Student Number]),0),MATCH(VLOOKUP(F$7,'Writing Logic'!$J$7:$K$11,2,FALSE)&amp;" - Per "&amp;VLOOKUP($C$4,'Writing Logic'!$G$8:$H$14,2,FALSE),YES_Writing_ELA[#Headers],0))=0,"",INDEX(_xlfn.VSTACK(YES_Writing_ELA[#Data],YES_Writing_FLA[#Data]),MATCH($A79,_xlfn.VSTACK(YES_Writing_ELA[Student Number],YES_Writing_FLA[Student Number]),0),MATCH(VLOOKUP(F$7,'Writing Logic'!$J$7:$K$11,2,FALSE)&amp;" - Per "&amp;VLOOKUP($C$4,'Writing Logic'!$G$8:$H$14,2,FALSE),YES_Writing_ELA[#Headers],0)))="INS",'Writing Logic'!$B$7,IF(INDEX(_xlfn.VSTACK(YES_Writing_ELA[#Data],YES_Writing_FLA[#Data]),MATCH($A79,_xlfn.VSTACK(YES_Writing_ELA[Student Number],YES_Writing_FLA[Student Number]),0),MATCH(VLOOKUP(F$7,'Writing Logic'!$J$7:$K$11,2,FALSE)&amp;" - Per "&amp;VLOOKUP($C$4,'Writing Logic'!$G$8:$H$14,2,FALSE),YES_Writing_ELA[#Headers],0))=0,"",INDEX(_xlfn.VSTACK(YES_Writing_ELA[#Data],YES_Writing_FLA[#Data]),MATCH($A79,_xlfn.VSTACK(YES_Writing_ELA[Student Number],YES_Writing_FLA[Student Number]),0),MATCH(VLOOKUP(F$7,'Writing Logic'!$J$7:$K$11,2,FALSE)&amp;" - Per "&amp;VLOOKUP($C$4,'Writing Logic'!$G$8:$H$14,2,FALSE),YES_Writing_ELA[#Headers],0)))),"")</f>
        <v/>
      </c>
      <c r="G79" s="138" t="str">
        <f>IFERROR(IF(IF(INDEX(_xlfn.VSTACK(YES_Writing_ELA[#Data],YES_Writing_FLA[#Data]),MATCH($A79,_xlfn.VSTACK(YES_Writing_ELA[Student Number],YES_Writing_FLA[Student Number]),0),MATCH(VLOOKUP(G$7,'Writing Logic'!$J$7:$K$11,2,FALSE)&amp;" - Per "&amp;VLOOKUP($C$4,'Writing Logic'!$G$8:$H$14,2,FALSE),YES_Writing_ELA[#Headers],0))=0,"",INDEX(_xlfn.VSTACK(YES_Writing_ELA[#Data],YES_Writing_FLA[#Data]),MATCH($A79,_xlfn.VSTACK(YES_Writing_ELA[Student Number],YES_Writing_FLA[Student Number]),0),MATCH(VLOOKUP(G$7,'Writing Logic'!$J$7:$K$11,2,FALSE)&amp;" - Per "&amp;VLOOKUP($C$4,'Writing Logic'!$G$8:$H$14,2,FALSE),YES_Writing_ELA[#Headers],0)))="INS",'Writing Logic'!$B$7,IF(INDEX(_xlfn.VSTACK(YES_Writing_ELA[#Data],YES_Writing_FLA[#Data]),MATCH($A79,_xlfn.VSTACK(YES_Writing_ELA[Student Number],YES_Writing_FLA[Student Number]),0),MATCH(VLOOKUP(G$7,'Writing Logic'!$J$7:$K$11,2,FALSE)&amp;" - Per "&amp;VLOOKUP($C$4,'Writing Logic'!$G$8:$H$14,2,FALSE),YES_Writing_ELA[#Headers],0))=0,"",INDEX(_xlfn.VSTACK(YES_Writing_ELA[#Data],YES_Writing_FLA[#Data]),MATCH($A79,_xlfn.VSTACK(YES_Writing_ELA[Student Number],YES_Writing_FLA[Student Number]),0),MATCH(VLOOKUP(G$7,'Writing Logic'!$J$7:$K$11,2,FALSE)&amp;" - Per "&amp;VLOOKUP($C$4,'Writing Logic'!$G$8:$H$14,2,FALSE),YES_Writing_ELA[#Headers],0)))),"")</f>
        <v/>
      </c>
      <c r="H79" s="138" t="str">
        <f>IFERROR(IF(IF(INDEX(_xlfn.VSTACK(YES_Writing_ELA[#Data],YES_Writing_FLA[#Data]),MATCH($A79,_xlfn.VSTACK(YES_Writing_ELA[Student Number],YES_Writing_FLA[Student Number]),0),MATCH(VLOOKUP(H$7,'Writing Logic'!$J$7:$K$11,2,FALSE)&amp;" - Per "&amp;VLOOKUP($C$4,'Writing Logic'!$G$8:$H$14,2,FALSE),YES_Writing_ELA[#Headers],0))=0,"",INDEX(_xlfn.VSTACK(YES_Writing_ELA[#Data],YES_Writing_FLA[#Data]),MATCH($A79,_xlfn.VSTACK(YES_Writing_ELA[Student Number],YES_Writing_FLA[Student Number]),0),MATCH(VLOOKUP(H$7,'Writing Logic'!$J$7:$K$11,2,FALSE)&amp;" - Per "&amp;VLOOKUP($C$4,'Writing Logic'!$G$8:$H$14,2,FALSE),YES_Writing_ELA[#Headers],0)))="INS",'Writing Logic'!$B$7,IF(INDEX(_xlfn.VSTACK(YES_Writing_ELA[#Data],YES_Writing_FLA[#Data]),MATCH($A79,_xlfn.VSTACK(YES_Writing_ELA[Student Number],YES_Writing_FLA[Student Number]),0),MATCH(VLOOKUP(H$7,'Writing Logic'!$J$7:$K$11,2,FALSE)&amp;" - Per "&amp;VLOOKUP($C$4,'Writing Logic'!$G$8:$H$14,2,FALSE),YES_Writing_ELA[#Headers],0))=0,"",INDEX(_xlfn.VSTACK(YES_Writing_ELA[#Data],YES_Writing_FLA[#Data]),MATCH($A79,_xlfn.VSTACK(YES_Writing_ELA[Student Number],YES_Writing_FLA[Student Number]),0),MATCH(VLOOKUP(H$7,'Writing Logic'!$J$7:$K$11,2,FALSE)&amp;" - Per "&amp;VLOOKUP($C$4,'Writing Logic'!$G$8:$H$14,2,FALSE),YES_Writing_ELA[#Headers],0)))),"")</f>
        <v/>
      </c>
      <c r="I79" s="136"/>
      <c r="J79" s="136"/>
      <c r="K79" s="136"/>
      <c r="L79" s="136"/>
    </row>
    <row r="80" spans="1:12" ht="14.25" customHeight="1" x14ac:dyDescent="0.25">
      <c r="A80" s="137"/>
      <c r="B80" s="137" t="str">
        <f>IFERROR(INDEX(_xlfn.VSTACK(YES_Writing_ELA[#Data], YES_Writing_FLA[#Data]),MATCH($A80,_xlfn.VSTACK(YES_Writing_ELA[Student Number], YES_Writing_FLA[Student Number]),0),MATCH(B$7,YES_Writing_ELA[#Headers],0)),"")</f>
        <v/>
      </c>
      <c r="C80" s="137" t="str">
        <f>IFERROR(INDEX(_xlfn.VSTACK(YES_Writing_ELA[#Data], YES_Writing_FLA[#Data]),MATCH($A80,_xlfn.VSTACK(YES_Writing_ELA[Student Number], YES_Writing_FLA[Student Number]),0),MATCH(C$7,YES_Writing_ELA[#Headers],0)),"")</f>
        <v/>
      </c>
      <c r="D80" s="138" t="str">
        <f>IFERROR(IF(IF(INDEX(_xlfn.VSTACK(YES_Writing_ELA[#Data],YES_Writing_FLA[#Data]),MATCH($A80,_xlfn.VSTACK(YES_Writing_ELA[Student Number],YES_Writing_FLA[Student Number]),0),MATCH(VLOOKUP(D$7,'Writing Logic'!$J$7:$K$11,2,FALSE)&amp;" - Per "&amp;VLOOKUP($C$4,'Writing Logic'!$G$8:$H$14,2,FALSE),YES_Writing_ELA[#Headers],0))=0,"",INDEX(_xlfn.VSTACK(YES_Writing_ELA[#Data],YES_Writing_FLA[#Data]),MATCH($A80,_xlfn.VSTACK(YES_Writing_ELA[Student Number],YES_Writing_FLA[Student Number]),0),MATCH(VLOOKUP(D$7,'Writing Logic'!$J$7:$K$11,2,FALSE)&amp;" - Per "&amp;VLOOKUP($C$4,'Writing Logic'!$G$8:$H$14,2,FALSE),YES_Writing_ELA[#Headers],0)))="INS",'Writing Logic'!$B$7,IF(INDEX(_xlfn.VSTACK(YES_Writing_ELA[#Data],YES_Writing_FLA[#Data]),MATCH($A80,_xlfn.VSTACK(YES_Writing_ELA[Student Number],YES_Writing_FLA[Student Number]),0),MATCH(VLOOKUP(D$7,'Writing Logic'!$J$7:$K$11,2,FALSE)&amp;" - Per "&amp;VLOOKUP($C$4,'Writing Logic'!$G$8:$H$14,2,FALSE),YES_Writing_ELA[#Headers],0))=0,"",INDEX(_xlfn.VSTACK(YES_Writing_ELA[#Data],YES_Writing_FLA[#Data]),MATCH($A80,_xlfn.VSTACK(YES_Writing_ELA[Student Number],YES_Writing_FLA[Student Number]),0),MATCH(VLOOKUP(D$7,'Writing Logic'!$J$7:$K$11,2,FALSE)&amp;" - Per "&amp;VLOOKUP($C$4,'Writing Logic'!$G$8:$H$14,2,FALSE),YES_Writing_ELA[#Headers],0)))),"")</f>
        <v/>
      </c>
      <c r="E80" s="138" t="str">
        <f>IFERROR(IF(IF(INDEX(_xlfn.VSTACK(YES_Writing_ELA[#Data],YES_Writing_FLA[#Data]),MATCH($A80,_xlfn.VSTACK(YES_Writing_ELA[Student Number],YES_Writing_FLA[Student Number]),0),MATCH(VLOOKUP(E$7,'Writing Logic'!$J$7:$K$11,2,FALSE)&amp;" - Per "&amp;VLOOKUP($C$4,'Writing Logic'!$G$8:$H$14,2,FALSE),YES_Writing_ELA[#Headers],0))=0,"",INDEX(_xlfn.VSTACK(YES_Writing_ELA[#Data],YES_Writing_FLA[#Data]),MATCH($A80,_xlfn.VSTACK(YES_Writing_ELA[Student Number],YES_Writing_FLA[Student Number]),0),MATCH(VLOOKUP(E$7,'Writing Logic'!$J$7:$K$11,2,FALSE)&amp;" - Per "&amp;VLOOKUP($C$4,'Writing Logic'!$G$8:$H$14,2,FALSE),YES_Writing_ELA[#Headers],0)))="INS",'Writing Logic'!$B$7,IF(INDEX(_xlfn.VSTACK(YES_Writing_ELA[#Data],YES_Writing_FLA[#Data]),MATCH($A80,_xlfn.VSTACK(YES_Writing_ELA[Student Number],YES_Writing_FLA[Student Number]),0),MATCH(VLOOKUP(E$7,'Writing Logic'!$J$7:$K$11,2,FALSE)&amp;" - Per "&amp;VLOOKUP($C$4,'Writing Logic'!$G$8:$H$14,2,FALSE),YES_Writing_ELA[#Headers],0))=0,"",INDEX(_xlfn.VSTACK(YES_Writing_ELA[#Data],YES_Writing_FLA[#Data]),MATCH($A80,_xlfn.VSTACK(YES_Writing_ELA[Student Number],YES_Writing_FLA[Student Number]),0),MATCH(VLOOKUP(E$7,'Writing Logic'!$J$7:$K$11,2,FALSE)&amp;" - Per "&amp;VLOOKUP($C$4,'Writing Logic'!$G$8:$H$14,2,FALSE),YES_Writing_ELA[#Headers],0)))),"")</f>
        <v/>
      </c>
      <c r="F80" s="138" t="str">
        <f>IFERROR(IF(IF(INDEX(_xlfn.VSTACK(YES_Writing_ELA[#Data],YES_Writing_FLA[#Data]),MATCH($A80,_xlfn.VSTACK(YES_Writing_ELA[Student Number],YES_Writing_FLA[Student Number]),0),MATCH(VLOOKUP(F$7,'Writing Logic'!$J$7:$K$11,2,FALSE)&amp;" - Per "&amp;VLOOKUP($C$4,'Writing Logic'!$G$8:$H$14,2,FALSE),YES_Writing_ELA[#Headers],0))=0,"",INDEX(_xlfn.VSTACK(YES_Writing_ELA[#Data],YES_Writing_FLA[#Data]),MATCH($A80,_xlfn.VSTACK(YES_Writing_ELA[Student Number],YES_Writing_FLA[Student Number]),0),MATCH(VLOOKUP(F$7,'Writing Logic'!$J$7:$K$11,2,FALSE)&amp;" - Per "&amp;VLOOKUP($C$4,'Writing Logic'!$G$8:$H$14,2,FALSE),YES_Writing_ELA[#Headers],0)))="INS",'Writing Logic'!$B$7,IF(INDEX(_xlfn.VSTACK(YES_Writing_ELA[#Data],YES_Writing_FLA[#Data]),MATCH($A80,_xlfn.VSTACK(YES_Writing_ELA[Student Number],YES_Writing_FLA[Student Number]),0),MATCH(VLOOKUP(F$7,'Writing Logic'!$J$7:$K$11,2,FALSE)&amp;" - Per "&amp;VLOOKUP($C$4,'Writing Logic'!$G$8:$H$14,2,FALSE),YES_Writing_ELA[#Headers],0))=0,"",INDEX(_xlfn.VSTACK(YES_Writing_ELA[#Data],YES_Writing_FLA[#Data]),MATCH($A80,_xlfn.VSTACK(YES_Writing_ELA[Student Number],YES_Writing_FLA[Student Number]),0),MATCH(VLOOKUP(F$7,'Writing Logic'!$J$7:$K$11,2,FALSE)&amp;" - Per "&amp;VLOOKUP($C$4,'Writing Logic'!$G$8:$H$14,2,FALSE),YES_Writing_ELA[#Headers],0)))),"")</f>
        <v/>
      </c>
      <c r="G80" s="138" t="str">
        <f>IFERROR(IF(IF(INDEX(_xlfn.VSTACK(YES_Writing_ELA[#Data],YES_Writing_FLA[#Data]),MATCH($A80,_xlfn.VSTACK(YES_Writing_ELA[Student Number],YES_Writing_FLA[Student Number]),0),MATCH(VLOOKUP(G$7,'Writing Logic'!$J$7:$K$11,2,FALSE)&amp;" - Per "&amp;VLOOKUP($C$4,'Writing Logic'!$G$8:$H$14,2,FALSE),YES_Writing_ELA[#Headers],0))=0,"",INDEX(_xlfn.VSTACK(YES_Writing_ELA[#Data],YES_Writing_FLA[#Data]),MATCH($A80,_xlfn.VSTACK(YES_Writing_ELA[Student Number],YES_Writing_FLA[Student Number]),0),MATCH(VLOOKUP(G$7,'Writing Logic'!$J$7:$K$11,2,FALSE)&amp;" - Per "&amp;VLOOKUP($C$4,'Writing Logic'!$G$8:$H$14,2,FALSE),YES_Writing_ELA[#Headers],0)))="INS",'Writing Logic'!$B$7,IF(INDEX(_xlfn.VSTACK(YES_Writing_ELA[#Data],YES_Writing_FLA[#Data]),MATCH($A80,_xlfn.VSTACK(YES_Writing_ELA[Student Number],YES_Writing_FLA[Student Number]),0),MATCH(VLOOKUP(G$7,'Writing Logic'!$J$7:$K$11,2,FALSE)&amp;" - Per "&amp;VLOOKUP($C$4,'Writing Logic'!$G$8:$H$14,2,FALSE),YES_Writing_ELA[#Headers],0))=0,"",INDEX(_xlfn.VSTACK(YES_Writing_ELA[#Data],YES_Writing_FLA[#Data]),MATCH($A80,_xlfn.VSTACK(YES_Writing_ELA[Student Number],YES_Writing_FLA[Student Number]),0),MATCH(VLOOKUP(G$7,'Writing Logic'!$J$7:$K$11,2,FALSE)&amp;" - Per "&amp;VLOOKUP($C$4,'Writing Logic'!$G$8:$H$14,2,FALSE),YES_Writing_ELA[#Headers],0)))),"")</f>
        <v/>
      </c>
      <c r="H80" s="138" t="str">
        <f>IFERROR(IF(IF(INDEX(_xlfn.VSTACK(YES_Writing_ELA[#Data],YES_Writing_FLA[#Data]),MATCH($A80,_xlfn.VSTACK(YES_Writing_ELA[Student Number],YES_Writing_FLA[Student Number]),0),MATCH(VLOOKUP(H$7,'Writing Logic'!$J$7:$K$11,2,FALSE)&amp;" - Per "&amp;VLOOKUP($C$4,'Writing Logic'!$G$8:$H$14,2,FALSE),YES_Writing_ELA[#Headers],0))=0,"",INDEX(_xlfn.VSTACK(YES_Writing_ELA[#Data],YES_Writing_FLA[#Data]),MATCH($A80,_xlfn.VSTACK(YES_Writing_ELA[Student Number],YES_Writing_FLA[Student Number]),0),MATCH(VLOOKUP(H$7,'Writing Logic'!$J$7:$K$11,2,FALSE)&amp;" - Per "&amp;VLOOKUP($C$4,'Writing Logic'!$G$8:$H$14,2,FALSE),YES_Writing_ELA[#Headers],0)))="INS",'Writing Logic'!$B$7,IF(INDEX(_xlfn.VSTACK(YES_Writing_ELA[#Data],YES_Writing_FLA[#Data]),MATCH($A80,_xlfn.VSTACK(YES_Writing_ELA[Student Number],YES_Writing_FLA[Student Number]),0),MATCH(VLOOKUP(H$7,'Writing Logic'!$J$7:$K$11,2,FALSE)&amp;" - Per "&amp;VLOOKUP($C$4,'Writing Logic'!$G$8:$H$14,2,FALSE),YES_Writing_ELA[#Headers],0))=0,"",INDEX(_xlfn.VSTACK(YES_Writing_ELA[#Data],YES_Writing_FLA[#Data]),MATCH($A80,_xlfn.VSTACK(YES_Writing_ELA[Student Number],YES_Writing_FLA[Student Number]),0),MATCH(VLOOKUP(H$7,'Writing Logic'!$J$7:$K$11,2,FALSE)&amp;" - Per "&amp;VLOOKUP($C$4,'Writing Logic'!$G$8:$H$14,2,FALSE),YES_Writing_ELA[#Headers],0)))),"")</f>
        <v/>
      </c>
      <c r="J80" s="136"/>
      <c r="K80" s="136"/>
      <c r="L80" s="136"/>
    </row>
    <row r="81" spans="1:8" ht="14.25" customHeight="1" x14ac:dyDescent="0.25">
      <c r="A81" s="137"/>
      <c r="B81" s="137" t="str">
        <f>IFERROR(INDEX(_xlfn.VSTACK(YES_Writing_ELA[#Data], YES_Writing_FLA[#Data]),MATCH($A81,_xlfn.VSTACK(YES_Writing_ELA[Student Number], YES_Writing_FLA[Student Number]),0),MATCH(B$7,YES_Writing_ELA[#Headers],0)),"")</f>
        <v/>
      </c>
      <c r="C81" s="137" t="str">
        <f>IFERROR(INDEX(_xlfn.VSTACK(YES_Writing_ELA[#Data], YES_Writing_FLA[#Data]),MATCH($A81,_xlfn.VSTACK(YES_Writing_ELA[Student Number], YES_Writing_FLA[Student Number]),0),MATCH(C$7,YES_Writing_ELA[#Headers],0)),"")</f>
        <v/>
      </c>
      <c r="D81" s="138" t="str">
        <f>IFERROR(IF(IF(INDEX(_xlfn.VSTACK(YES_Writing_ELA[#Data],YES_Writing_FLA[#Data]),MATCH($A81,_xlfn.VSTACK(YES_Writing_ELA[Student Number],YES_Writing_FLA[Student Number]),0),MATCH(VLOOKUP(D$7,'Writing Logic'!$J$7:$K$11,2,FALSE)&amp;" - Per "&amp;VLOOKUP($C$4,'Writing Logic'!$G$8:$H$14,2,FALSE),YES_Writing_ELA[#Headers],0))=0,"",INDEX(_xlfn.VSTACK(YES_Writing_ELA[#Data],YES_Writing_FLA[#Data]),MATCH($A81,_xlfn.VSTACK(YES_Writing_ELA[Student Number],YES_Writing_FLA[Student Number]),0),MATCH(VLOOKUP(D$7,'Writing Logic'!$J$7:$K$11,2,FALSE)&amp;" - Per "&amp;VLOOKUP($C$4,'Writing Logic'!$G$8:$H$14,2,FALSE),YES_Writing_ELA[#Headers],0)))="INS",'Writing Logic'!$B$7,IF(INDEX(_xlfn.VSTACK(YES_Writing_ELA[#Data],YES_Writing_FLA[#Data]),MATCH($A81,_xlfn.VSTACK(YES_Writing_ELA[Student Number],YES_Writing_FLA[Student Number]),0),MATCH(VLOOKUP(D$7,'Writing Logic'!$J$7:$K$11,2,FALSE)&amp;" - Per "&amp;VLOOKUP($C$4,'Writing Logic'!$G$8:$H$14,2,FALSE),YES_Writing_ELA[#Headers],0))=0,"",INDEX(_xlfn.VSTACK(YES_Writing_ELA[#Data],YES_Writing_FLA[#Data]),MATCH($A81,_xlfn.VSTACK(YES_Writing_ELA[Student Number],YES_Writing_FLA[Student Number]),0),MATCH(VLOOKUP(D$7,'Writing Logic'!$J$7:$K$11,2,FALSE)&amp;" - Per "&amp;VLOOKUP($C$4,'Writing Logic'!$G$8:$H$14,2,FALSE),YES_Writing_ELA[#Headers],0)))),"")</f>
        <v/>
      </c>
      <c r="E81" s="138" t="str">
        <f>IFERROR(IF(IF(INDEX(_xlfn.VSTACK(YES_Writing_ELA[#Data],YES_Writing_FLA[#Data]),MATCH($A81,_xlfn.VSTACK(YES_Writing_ELA[Student Number],YES_Writing_FLA[Student Number]),0),MATCH(VLOOKUP(E$7,'Writing Logic'!$J$7:$K$11,2,FALSE)&amp;" - Per "&amp;VLOOKUP($C$4,'Writing Logic'!$G$8:$H$14,2,FALSE),YES_Writing_ELA[#Headers],0))=0,"",INDEX(_xlfn.VSTACK(YES_Writing_ELA[#Data],YES_Writing_FLA[#Data]),MATCH($A81,_xlfn.VSTACK(YES_Writing_ELA[Student Number],YES_Writing_FLA[Student Number]),0),MATCH(VLOOKUP(E$7,'Writing Logic'!$J$7:$K$11,2,FALSE)&amp;" - Per "&amp;VLOOKUP($C$4,'Writing Logic'!$G$8:$H$14,2,FALSE),YES_Writing_ELA[#Headers],0)))="INS",'Writing Logic'!$B$7,IF(INDEX(_xlfn.VSTACK(YES_Writing_ELA[#Data],YES_Writing_FLA[#Data]),MATCH($A81,_xlfn.VSTACK(YES_Writing_ELA[Student Number],YES_Writing_FLA[Student Number]),0),MATCH(VLOOKUP(E$7,'Writing Logic'!$J$7:$K$11,2,FALSE)&amp;" - Per "&amp;VLOOKUP($C$4,'Writing Logic'!$G$8:$H$14,2,FALSE),YES_Writing_ELA[#Headers],0))=0,"",INDEX(_xlfn.VSTACK(YES_Writing_ELA[#Data],YES_Writing_FLA[#Data]),MATCH($A81,_xlfn.VSTACK(YES_Writing_ELA[Student Number],YES_Writing_FLA[Student Number]),0),MATCH(VLOOKUP(E$7,'Writing Logic'!$J$7:$K$11,2,FALSE)&amp;" - Per "&amp;VLOOKUP($C$4,'Writing Logic'!$G$8:$H$14,2,FALSE),YES_Writing_ELA[#Headers],0)))),"")</f>
        <v/>
      </c>
      <c r="F81" s="138" t="str">
        <f>IFERROR(IF(IF(INDEX(_xlfn.VSTACK(YES_Writing_ELA[#Data],YES_Writing_FLA[#Data]),MATCH($A81,_xlfn.VSTACK(YES_Writing_ELA[Student Number],YES_Writing_FLA[Student Number]),0),MATCH(VLOOKUP(F$7,'Writing Logic'!$J$7:$K$11,2,FALSE)&amp;" - Per "&amp;VLOOKUP($C$4,'Writing Logic'!$G$8:$H$14,2,FALSE),YES_Writing_ELA[#Headers],0))=0,"",INDEX(_xlfn.VSTACK(YES_Writing_ELA[#Data],YES_Writing_FLA[#Data]),MATCH($A81,_xlfn.VSTACK(YES_Writing_ELA[Student Number],YES_Writing_FLA[Student Number]),0),MATCH(VLOOKUP(F$7,'Writing Logic'!$J$7:$K$11,2,FALSE)&amp;" - Per "&amp;VLOOKUP($C$4,'Writing Logic'!$G$8:$H$14,2,FALSE),YES_Writing_ELA[#Headers],0)))="INS",'Writing Logic'!$B$7,IF(INDEX(_xlfn.VSTACK(YES_Writing_ELA[#Data],YES_Writing_FLA[#Data]),MATCH($A81,_xlfn.VSTACK(YES_Writing_ELA[Student Number],YES_Writing_FLA[Student Number]),0),MATCH(VLOOKUP(F$7,'Writing Logic'!$J$7:$K$11,2,FALSE)&amp;" - Per "&amp;VLOOKUP($C$4,'Writing Logic'!$G$8:$H$14,2,FALSE),YES_Writing_ELA[#Headers],0))=0,"",INDEX(_xlfn.VSTACK(YES_Writing_ELA[#Data],YES_Writing_FLA[#Data]),MATCH($A81,_xlfn.VSTACK(YES_Writing_ELA[Student Number],YES_Writing_FLA[Student Number]),0),MATCH(VLOOKUP(F$7,'Writing Logic'!$J$7:$K$11,2,FALSE)&amp;" - Per "&amp;VLOOKUP($C$4,'Writing Logic'!$G$8:$H$14,2,FALSE),YES_Writing_ELA[#Headers],0)))),"")</f>
        <v/>
      </c>
      <c r="G81" s="138" t="str">
        <f>IFERROR(IF(IF(INDEX(_xlfn.VSTACK(YES_Writing_ELA[#Data],YES_Writing_FLA[#Data]),MATCH($A81,_xlfn.VSTACK(YES_Writing_ELA[Student Number],YES_Writing_FLA[Student Number]),0),MATCH(VLOOKUP(G$7,'Writing Logic'!$J$7:$K$11,2,FALSE)&amp;" - Per "&amp;VLOOKUP($C$4,'Writing Logic'!$G$8:$H$14,2,FALSE),YES_Writing_ELA[#Headers],0))=0,"",INDEX(_xlfn.VSTACK(YES_Writing_ELA[#Data],YES_Writing_FLA[#Data]),MATCH($A81,_xlfn.VSTACK(YES_Writing_ELA[Student Number],YES_Writing_FLA[Student Number]),0),MATCH(VLOOKUP(G$7,'Writing Logic'!$J$7:$K$11,2,FALSE)&amp;" - Per "&amp;VLOOKUP($C$4,'Writing Logic'!$G$8:$H$14,2,FALSE),YES_Writing_ELA[#Headers],0)))="INS",'Writing Logic'!$B$7,IF(INDEX(_xlfn.VSTACK(YES_Writing_ELA[#Data],YES_Writing_FLA[#Data]),MATCH($A81,_xlfn.VSTACK(YES_Writing_ELA[Student Number],YES_Writing_FLA[Student Number]),0),MATCH(VLOOKUP(G$7,'Writing Logic'!$J$7:$K$11,2,FALSE)&amp;" - Per "&amp;VLOOKUP($C$4,'Writing Logic'!$G$8:$H$14,2,FALSE),YES_Writing_ELA[#Headers],0))=0,"",INDEX(_xlfn.VSTACK(YES_Writing_ELA[#Data],YES_Writing_FLA[#Data]),MATCH($A81,_xlfn.VSTACK(YES_Writing_ELA[Student Number],YES_Writing_FLA[Student Number]),0),MATCH(VLOOKUP(G$7,'Writing Logic'!$J$7:$K$11,2,FALSE)&amp;" - Per "&amp;VLOOKUP($C$4,'Writing Logic'!$G$8:$H$14,2,FALSE),YES_Writing_ELA[#Headers],0)))),"")</f>
        <v/>
      </c>
      <c r="H81" s="138" t="str">
        <f>IFERROR(IF(IF(INDEX(_xlfn.VSTACK(YES_Writing_ELA[#Data],YES_Writing_FLA[#Data]),MATCH($A81,_xlfn.VSTACK(YES_Writing_ELA[Student Number],YES_Writing_FLA[Student Number]),0),MATCH(VLOOKUP(H$7,'Writing Logic'!$J$7:$K$11,2,FALSE)&amp;" - Per "&amp;VLOOKUP($C$4,'Writing Logic'!$G$8:$H$14,2,FALSE),YES_Writing_ELA[#Headers],0))=0,"",INDEX(_xlfn.VSTACK(YES_Writing_ELA[#Data],YES_Writing_FLA[#Data]),MATCH($A81,_xlfn.VSTACK(YES_Writing_ELA[Student Number],YES_Writing_FLA[Student Number]),0),MATCH(VLOOKUP(H$7,'Writing Logic'!$J$7:$K$11,2,FALSE)&amp;" - Per "&amp;VLOOKUP($C$4,'Writing Logic'!$G$8:$H$14,2,FALSE),YES_Writing_ELA[#Headers],0)))="INS",'Writing Logic'!$B$7,IF(INDEX(_xlfn.VSTACK(YES_Writing_ELA[#Data],YES_Writing_FLA[#Data]),MATCH($A81,_xlfn.VSTACK(YES_Writing_ELA[Student Number],YES_Writing_FLA[Student Number]),0),MATCH(VLOOKUP(H$7,'Writing Logic'!$J$7:$K$11,2,FALSE)&amp;" - Per "&amp;VLOOKUP($C$4,'Writing Logic'!$G$8:$H$14,2,FALSE),YES_Writing_ELA[#Headers],0))=0,"",INDEX(_xlfn.VSTACK(YES_Writing_ELA[#Data],YES_Writing_FLA[#Data]),MATCH($A81,_xlfn.VSTACK(YES_Writing_ELA[Student Number],YES_Writing_FLA[Student Number]),0),MATCH(VLOOKUP(H$7,'Writing Logic'!$J$7:$K$11,2,FALSE)&amp;" - Per "&amp;VLOOKUP($C$4,'Writing Logic'!$G$8:$H$14,2,FALSE),YES_Writing_ELA[#Headers],0)))),"")</f>
        <v/>
      </c>
    </row>
    <row r="82" spans="1:8" ht="14.25" customHeight="1" x14ac:dyDescent="0.25">
      <c r="A82" s="137"/>
      <c r="B82" s="137" t="str">
        <f>IFERROR(INDEX(_xlfn.VSTACK(YES_Writing_ELA[#Data], YES_Writing_FLA[#Data]),MATCH($A82,_xlfn.VSTACK(YES_Writing_ELA[Student Number], YES_Writing_FLA[Student Number]),0),MATCH(B$7,YES_Writing_ELA[#Headers],0)),"")</f>
        <v/>
      </c>
      <c r="C82" s="137" t="str">
        <f>IFERROR(INDEX(_xlfn.VSTACK(YES_Writing_ELA[#Data], YES_Writing_FLA[#Data]),MATCH($A82,_xlfn.VSTACK(YES_Writing_ELA[Student Number], YES_Writing_FLA[Student Number]),0),MATCH(C$7,YES_Writing_ELA[#Headers],0)),"")</f>
        <v/>
      </c>
      <c r="D82" s="138" t="str">
        <f>IFERROR(IF(IF(INDEX(_xlfn.VSTACK(YES_Writing_ELA[#Data],YES_Writing_FLA[#Data]),MATCH($A82,_xlfn.VSTACK(YES_Writing_ELA[Student Number],YES_Writing_FLA[Student Number]),0),MATCH(VLOOKUP(D$7,'Writing Logic'!$J$7:$K$11,2,FALSE)&amp;" - Per "&amp;VLOOKUP($C$4,'Writing Logic'!$G$8:$H$14,2,FALSE),YES_Writing_ELA[#Headers],0))=0,"",INDEX(_xlfn.VSTACK(YES_Writing_ELA[#Data],YES_Writing_FLA[#Data]),MATCH($A82,_xlfn.VSTACK(YES_Writing_ELA[Student Number],YES_Writing_FLA[Student Number]),0),MATCH(VLOOKUP(D$7,'Writing Logic'!$J$7:$K$11,2,FALSE)&amp;" - Per "&amp;VLOOKUP($C$4,'Writing Logic'!$G$8:$H$14,2,FALSE),YES_Writing_ELA[#Headers],0)))="INS",'Writing Logic'!$B$7,IF(INDEX(_xlfn.VSTACK(YES_Writing_ELA[#Data],YES_Writing_FLA[#Data]),MATCH($A82,_xlfn.VSTACK(YES_Writing_ELA[Student Number],YES_Writing_FLA[Student Number]),0),MATCH(VLOOKUP(D$7,'Writing Logic'!$J$7:$K$11,2,FALSE)&amp;" - Per "&amp;VLOOKUP($C$4,'Writing Logic'!$G$8:$H$14,2,FALSE),YES_Writing_ELA[#Headers],0))=0,"",INDEX(_xlfn.VSTACK(YES_Writing_ELA[#Data],YES_Writing_FLA[#Data]),MATCH($A82,_xlfn.VSTACK(YES_Writing_ELA[Student Number],YES_Writing_FLA[Student Number]),0),MATCH(VLOOKUP(D$7,'Writing Logic'!$J$7:$K$11,2,FALSE)&amp;" - Per "&amp;VLOOKUP($C$4,'Writing Logic'!$G$8:$H$14,2,FALSE),YES_Writing_ELA[#Headers],0)))),"")</f>
        <v/>
      </c>
      <c r="E82" s="138" t="str">
        <f>IFERROR(IF(IF(INDEX(_xlfn.VSTACK(YES_Writing_ELA[#Data],YES_Writing_FLA[#Data]),MATCH($A82,_xlfn.VSTACK(YES_Writing_ELA[Student Number],YES_Writing_FLA[Student Number]),0),MATCH(VLOOKUP(E$7,'Writing Logic'!$J$7:$K$11,2,FALSE)&amp;" - Per "&amp;VLOOKUP($C$4,'Writing Logic'!$G$8:$H$14,2,FALSE),YES_Writing_ELA[#Headers],0))=0,"",INDEX(_xlfn.VSTACK(YES_Writing_ELA[#Data],YES_Writing_FLA[#Data]),MATCH($A82,_xlfn.VSTACK(YES_Writing_ELA[Student Number],YES_Writing_FLA[Student Number]),0),MATCH(VLOOKUP(E$7,'Writing Logic'!$J$7:$K$11,2,FALSE)&amp;" - Per "&amp;VLOOKUP($C$4,'Writing Logic'!$G$8:$H$14,2,FALSE),YES_Writing_ELA[#Headers],0)))="INS",'Writing Logic'!$B$7,IF(INDEX(_xlfn.VSTACK(YES_Writing_ELA[#Data],YES_Writing_FLA[#Data]),MATCH($A82,_xlfn.VSTACK(YES_Writing_ELA[Student Number],YES_Writing_FLA[Student Number]),0),MATCH(VLOOKUP(E$7,'Writing Logic'!$J$7:$K$11,2,FALSE)&amp;" - Per "&amp;VLOOKUP($C$4,'Writing Logic'!$G$8:$H$14,2,FALSE),YES_Writing_ELA[#Headers],0))=0,"",INDEX(_xlfn.VSTACK(YES_Writing_ELA[#Data],YES_Writing_FLA[#Data]),MATCH($A82,_xlfn.VSTACK(YES_Writing_ELA[Student Number],YES_Writing_FLA[Student Number]),0),MATCH(VLOOKUP(E$7,'Writing Logic'!$J$7:$K$11,2,FALSE)&amp;" - Per "&amp;VLOOKUP($C$4,'Writing Logic'!$G$8:$H$14,2,FALSE),YES_Writing_ELA[#Headers],0)))),"")</f>
        <v/>
      </c>
      <c r="F82" s="138" t="str">
        <f>IFERROR(IF(IF(INDEX(_xlfn.VSTACK(YES_Writing_ELA[#Data],YES_Writing_FLA[#Data]),MATCH($A82,_xlfn.VSTACK(YES_Writing_ELA[Student Number],YES_Writing_FLA[Student Number]),0),MATCH(VLOOKUP(F$7,'Writing Logic'!$J$7:$K$11,2,FALSE)&amp;" - Per "&amp;VLOOKUP($C$4,'Writing Logic'!$G$8:$H$14,2,FALSE),YES_Writing_ELA[#Headers],0))=0,"",INDEX(_xlfn.VSTACK(YES_Writing_ELA[#Data],YES_Writing_FLA[#Data]),MATCH($A82,_xlfn.VSTACK(YES_Writing_ELA[Student Number],YES_Writing_FLA[Student Number]),0),MATCH(VLOOKUP(F$7,'Writing Logic'!$J$7:$K$11,2,FALSE)&amp;" - Per "&amp;VLOOKUP($C$4,'Writing Logic'!$G$8:$H$14,2,FALSE),YES_Writing_ELA[#Headers],0)))="INS",'Writing Logic'!$B$7,IF(INDEX(_xlfn.VSTACK(YES_Writing_ELA[#Data],YES_Writing_FLA[#Data]),MATCH($A82,_xlfn.VSTACK(YES_Writing_ELA[Student Number],YES_Writing_FLA[Student Number]),0),MATCH(VLOOKUP(F$7,'Writing Logic'!$J$7:$K$11,2,FALSE)&amp;" - Per "&amp;VLOOKUP($C$4,'Writing Logic'!$G$8:$H$14,2,FALSE),YES_Writing_ELA[#Headers],0))=0,"",INDEX(_xlfn.VSTACK(YES_Writing_ELA[#Data],YES_Writing_FLA[#Data]),MATCH($A82,_xlfn.VSTACK(YES_Writing_ELA[Student Number],YES_Writing_FLA[Student Number]),0),MATCH(VLOOKUP(F$7,'Writing Logic'!$J$7:$K$11,2,FALSE)&amp;" - Per "&amp;VLOOKUP($C$4,'Writing Logic'!$G$8:$H$14,2,FALSE),YES_Writing_ELA[#Headers],0)))),"")</f>
        <v/>
      </c>
      <c r="G82" s="138" t="str">
        <f>IFERROR(IF(IF(INDEX(_xlfn.VSTACK(YES_Writing_ELA[#Data],YES_Writing_FLA[#Data]),MATCH($A82,_xlfn.VSTACK(YES_Writing_ELA[Student Number],YES_Writing_FLA[Student Number]),0),MATCH(VLOOKUP(G$7,'Writing Logic'!$J$7:$K$11,2,FALSE)&amp;" - Per "&amp;VLOOKUP($C$4,'Writing Logic'!$G$8:$H$14,2,FALSE),YES_Writing_ELA[#Headers],0))=0,"",INDEX(_xlfn.VSTACK(YES_Writing_ELA[#Data],YES_Writing_FLA[#Data]),MATCH($A82,_xlfn.VSTACK(YES_Writing_ELA[Student Number],YES_Writing_FLA[Student Number]),0),MATCH(VLOOKUP(G$7,'Writing Logic'!$J$7:$K$11,2,FALSE)&amp;" - Per "&amp;VLOOKUP($C$4,'Writing Logic'!$G$8:$H$14,2,FALSE),YES_Writing_ELA[#Headers],0)))="INS",'Writing Logic'!$B$7,IF(INDEX(_xlfn.VSTACK(YES_Writing_ELA[#Data],YES_Writing_FLA[#Data]),MATCH($A82,_xlfn.VSTACK(YES_Writing_ELA[Student Number],YES_Writing_FLA[Student Number]),0),MATCH(VLOOKUP(G$7,'Writing Logic'!$J$7:$K$11,2,FALSE)&amp;" - Per "&amp;VLOOKUP($C$4,'Writing Logic'!$G$8:$H$14,2,FALSE),YES_Writing_ELA[#Headers],0))=0,"",INDEX(_xlfn.VSTACK(YES_Writing_ELA[#Data],YES_Writing_FLA[#Data]),MATCH($A82,_xlfn.VSTACK(YES_Writing_ELA[Student Number],YES_Writing_FLA[Student Number]),0),MATCH(VLOOKUP(G$7,'Writing Logic'!$J$7:$K$11,2,FALSE)&amp;" - Per "&amp;VLOOKUP($C$4,'Writing Logic'!$G$8:$H$14,2,FALSE),YES_Writing_ELA[#Headers],0)))),"")</f>
        <v/>
      </c>
      <c r="H82" s="138" t="str">
        <f>IFERROR(IF(IF(INDEX(_xlfn.VSTACK(YES_Writing_ELA[#Data],YES_Writing_FLA[#Data]),MATCH($A82,_xlfn.VSTACK(YES_Writing_ELA[Student Number],YES_Writing_FLA[Student Number]),0),MATCH(VLOOKUP(H$7,'Writing Logic'!$J$7:$K$11,2,FALSE)&amp;" - Per "&amp;VLOOKUP($C$4,'Writing Logic'!$G$8:$H$14,2,FALSE),YES_Writing_ELA[#Headers],0))=0,"",INDEX(_xlfn.VSTACK(YES_Writing_ELA[#Data],YES_Writing_FLA[#Data]),MATCH($A82,_xlfn.VSTACK(YES_Writing_ELA[Student Number],YES_Writing_FLA[Student Number]),0),MATCH(VLOOKUP(H$7,'Writing Logic'!$J$7:$K$11,2,FALSE)&amp;" - Per "&amp;VLOOKUP($C$4,'Writing Logic'!$G$8:$H$14,2,FALSE),YES_Writing_ELA[#Headers],0)))="INS",'Writing Logic'!$B$7,IF(INDEX(_xlfn.VSTACK(YES_Writing_ELA[#Data],YES_Writing_FLA[#Data]),MATCH($A82,_xlfn.VSTACK(YES_Writing_ELA[Student Number],YES_Writing_FLA[Student Number]),0),MATCH(VLOOKUP(H$7,'Writing Logic'!$J$7:$K$11,2,FALSE)&amp;" - Per "&amp;VLOOKUP($C$4,'Writing Logic'!$G$8:$H$14,2,FALSE),YES_Writing_ELA[#Headers],0))=0,"",INDEX(_xlfn.VSTACK(YES_Writing_ELA[#Data],YES_Writing_FLA[#Data]),MATCH($A82,_xlfn.VSTACK(YES_Writing_ELA[Student Number],YES_Writing_FLA[Student Number]),0),MATCH(VLOOKUP(H$7,'Writing Logic'!$J$7:$K$11,2,FALSE)&amp;" - Per "&amp;VLOOKUP($C$4,'Writing Logic'!$G$8:$H$14,2,FALSE),YES_Writing_ELA[#Headers],0)))),"")</f>
        <v/>
      </c>
    </row>
    <row r="83" spans="1:8" ht="14.25" customHeight="1" x14ac:dyDescent="0.25">
      <c r="A83" s="137"/>
      <c r="B83" s="137" t="str">
        <f>IFERROR(INDEX(_xlfn.VSTACK(YES_Writing_ELA[#Data], YES_Writing_FLA[#Data]),MATCH($A83,_xlfn.VSTACK(YES_Writing_ELA[Student Number], YES_Writing_FLA[Student Number]),0),MATCH(B$7,YES_Writing_ELA[#Headers],0)),"")</f>
        <v/>
      </c>
      <c r="C83" s="137" t="str">
        <f>IFERROR(INDEX(_xlfn.VSTACK(YES_Writing_ELA[#Data], YES_Writing_FLA[#Data]),MATCH($A83,_xlfn.VSTACK(YES_Writing_ELA[Student Number], YES_Writing_FLA[Student Number]),0),MATCH(C$7,YES_Writing_ELA[#Headers],0)),"")</f>
        <v/>
      </c>
      <c r="D83" s="138" t="str">
        <f>IFERROR(IF(IF(INDEX(_xlfn.VSTACK(YES_Writing_ELA[#Data],YES_Writing_FLA[#Data]),MATCH($A83,_xlfn.VSTACK(YES_Writing_ELA[Student Number],YES_Writing_FLA[Student Number]),0),MATCH(VLOOKUP(D$7,'Writing Logic'!$J$7:$K$11,2,FALSE)&amp;" - Per "&amp;VLOOKUP($C$4,'Writing Logic'!$G$8:$H$14,2,FALSE),YES_Writing_ELA[#Headers],0))=0,"",INDEX(_xlfn.VSTACK(YES_Writing_ELA[#Data],YES_Writing_FLA[#Data]),MATCH($A83,_xlfn.VSTACK(YES_Writing_ELA[Student Number],YES_Writing_FLA[Student Number]),0),MATCH(VLOOKUP(D$7,'Writing Logic'!$J$7:$K$11,2,FALSE)&amp;" - Per "&amp;VLOOKUP($C$4,'Writing Logic'!$G$8:$H$14,2,FALSE),YES_Writing_ELA[#Headers],0)))="INS",'Writing Logic'!$B$7,IF(INDEX(_xlfn.VSTACK(YES_Writing_ELA[#Data],YES_Writing_FLA[#Data]),MATCH($A83,_xlfn.VSTACK(YES_Writing_ELA[Student Number],YES_Writing_FLA[Student Number]),0),MATCH(VLOOKUP(D$7,'Writing Logic'!$J$7:$K$11,2,FALSE)&amp;" - Per "&amp;VLOOKUP($C$4,'Writing Logic'!$G$8:$H$14,2,FALSE),YES_Writing_ELA[#Headers],0))=0,"",INDEX(_xlfn.VSTACK(YES_Writing_ELA[#Data],YES_Writing_FLA[#Data]),MATCH($A83,_xlfn.VSTACK(YES_Writing_ELA[Student Number],YES_Writing_FLA[Student Number]),0),MATCH(VLOOKUP(D$7,'Writing Logic'!$J$7:$K$11,2,FALSE)&amp;" - Per "&amp;VLOOKUP($C$4,'Writing Logic'!$G$8:$H$14,2,FALSE),YES_Writing_ELA[#Headers],0)))),"")</f>
        <v/>
      </c>
      <c r="E83" s="138" t="str">
        <f>IFERROR(IF(IF(INDEX(_xlfn.VSTACK(YES_Writing_ELA[#Data],YES_Writing_FLA[#Data]),MATCH($A83,_xlfn.VSTACK(YES_Writing_ELA[Student Number],YES_Writing_FLA[Student Number]),0),MATCH(VLOOKUP(E$7,'Writing Logic'!$J$7:$K$11,2,FALSE)&amp;" - Per "&amp;VLOOKUP($C$4,'Writing Logic'!$G$8:$H$14,2,FALSE),YES_Writing_ELA[#Headers],0))=0,"",INDEX(_xlfn.VSTACK(YES_Writing_ELA[#Data],YES_Writing_FLA[#Data]),MATCH($A83,_xlfn.VSTACK(YES_Writing_ELA[Student Number],YES_Writing_FLA[Student Number]),0),MATCH(VLOOKUP(E$7,'Writing Logic'!$J$7:$K$11,2,FALSE)&amp;" - Per "&amp;VLOOKUP($C$4,'Writing Logic'!$G$8:$H$14,2,FALSE),YES_Writing_ELA[#Headers],0)))="INS",'Writing Logic'!$B$7,IF(INDEX(_xlfn.VSTACK(YES_Writing_ELA[#Data],YES_Writing_FLA[#Data]),MATCH($A83,_xlfn.VSTACK(YES_Writing_ELA[Student Number],YES_Writing_FLA[Student Number]),0),MATCH(VLOOKUP(E$7,'Writing Logic'!$J$7:$K$11,2,FALSE)&amp;" - Per "&amp;VLOOKUP($C$4,'Writing Logic'!$G$8:$H$14,2,FALSE),YES_Writing_ELA[#Headers],0))=0,"",INDEX(_xlfn.VSTACK(YES_Writing_ELA[#Data],YES_Writing_FLA[#Data]),MATCH($A83,_xlfn.VSTACK(YES_Writing_ELA[Student Number],YES_Writing_FLA[Student Number]),0),MATCH(VLOOKUP(E$7,'Writing Logic'!$J$7:$K$11,2,FALSE)&amp;" - Per "&amp;VLOOKUP($C$4,'Writing Logic'!$G$8:$H$14,2,FALSE),YES_Writing_ELA[#Headers],0)))),"")</f>
        <v/>
      </c>
      <c r="F83" s="138" t="str">
        <f>IFERROR(IF(IF(INDEX(_xlfn.VSTACK(YES_Writing_ELA[#Data],YES_Writing_FLA[#Data]),MATCH($A83,_xlfn.VSTACK(YES_Writing_ELA[Student Number],YES_Writing_FLA[Student Number]),0),MATCH(VLOOKUP(F$7,'Writing Logic'!$J$7:$K$11,2,FALSE)&amp;" - Per "&amp;VLOOKUP($C$4,'Writing Logic'!$G$8:$H$14,2,FALSE),YES_Writing_ELA[#Headers],0))=0,"",INDEX(_xlfn.VSTACK(YES_Writing_ELA[#Data],YES_Writing_FLA[#Data]),MATCH($A83,_xlfn.VSTACK(YES_Writing_ELA[Student Number],YES_Writing_FLA[Student Number]),0),MATCH(VLOOKUP(F$7,'Writing Logic'!$J$7:$K$11,2,FALSE)&amp;" - Per "&amp;VLOOKUP($C$4,'Writing Logic'!$G$8:$H$14,2,FALSE),YES_Writing_ELA[#Headers],0)))="INS",'Writing Logic'!$B$7,IF(INDEX(_xlfn.VSTACK(YES_Writing_ELA[#Data],YES_Writing_FLA[#Data]),MATCH($A83,_xlfn.VSTACK(YES_Writing_ELA[Student Number],YES_Writing_FLA[Student Number]),0),MATCH(VLOOKUP(F$7,'Writing Logic'!$J$7:$K$11,2,FALSE)&amp;" - Per "&amp;VLOOKUP($C$4,'Writing Logic'!$G$8:$H$14,2,FALSE),YES_Writing_ELA[#Headers],0))=0,"",INDEX(_xlfn.VSTACK(YES_Writing_ELA[#Data],YES_Writing_FLA[#Data]),MATCH($A83,_xlfn.VSTACK(YES_Writing_ELA[Student Number],YES_Writing_FLA[Student Number]),0),MATCH(VLOOKUP(F$7,'Writing Logic'!$J$7:$K$11,2,FALSE)&amp;" - Per "&amp;VLOOKUP($C$4,'Writing Logic'!$G$8:$H$14,2,FALSE),YES_Writing_ELA[#Headers],0)))),"")</f>
        <v/>
      </c>
      <c r="G83" s="138" t="str">
        <f>IFERROR(IF(IF(INDEX(_xlfn.VSTACK(YES_Writing_ELA[#Data],YES_Writing_FLA[#Data]),MATCH($A83,_xlfn.VSTACK(YES_Writing_ELA[Student Number],YES_Writing_FLA[Student Number]),0),MATCH(VLOOKUP(G$7,'Writing Logic'!$J$7:$K$11,2,FALSE)&amp;" - Per "&amp;VLOOKUP($C$4,'Writing Logic'!$G$8:$H$14,2,FALSE),YES_Writing_ELA[#Headers],0))=0,"",INDEX(_xlfn.VSTACK(YES_Writing_ELA[#Data],YES_Writing_FLA[#Data]),MATCH($A83,_xlfn.VSTACK(YES_Writing_ELA[Student Number],YES_Writing_FLA[Student Number]),0),MATCH(VLOOKUP(G$7,'Writing Logic'!$J$7:$K$11,2,FALSE)&amp;" - Per "&amp;VLOOKUP($C$4,'Writing Logic'!$G$8:$H$14,2,FALSE),YES_Writing_ELA[#Headers],0)))="INS",'Writing Logic'!$B$7,IF(INDEX(_xlfn.VSTACK(YES_Writing_ELA[#Data],YES_Writing_FLA[#Data]),MATCH($A83,_xlfn.VSTACK(YES_Writing_ELA[Student Number],YES_Writing_FLA[Student Number]),0),MATCH(VLOOKUP(G$7,'Writing Logic'!$J$7:$K$11,2,FALSE)&amp;" - Per "&amp;VLOOKUP($C$4,'Writing Logic'!$G$8:$H$14,2,FALSE),YES_Writing_ELA[#Headers],0))=0,"",INDEX(_xlfn.VSTACK(YES_Writing_ELA[#Data],YES_Writing_FLA[#Data]),MATCH($A83,_xlfn.VSTACK(YES_Writing_ELA[Student Number],YES_Writing_FLA[Student Number]),0),MATCH(VLOOKUP(G$7,'Writing Logic'!$J$7:$K$11,2,FALSE)&amp;" - Per "&amp;VLOOKUP($C$4,'Writing Logic'!$G$8:$H$14,2,FALSE),YES_Writing_ELA[#Headers],0)))),"")</f>
        <v/>
      </c>
      <c r="H83" s="138" t="str">
        <f>IFERROR(IF(IF(INDEX(_xlfn.VSTACK(YES_Writing_ELA[#Data],YES_Writing_FLA[#Data]),MATCH($A83,_xlfn.VSTACK(YES_Writing_ELA[Student Number],YES_Writing_FLA[Student Number]),0),MATCH(VLOOKUP(H$7,'Writing Logic'!$J$7:$K$11,2,FALSE)&amp;" - Per "&amp;VLOOKUP($C$4,'Writing Logic'!$G$8:$H$14,2,FALSE),YES_Writing_ELA[#Headers],0))=0,"",INDEX(_xlfn.VSTACK(YES_Writing_ELA[#Data],YES_Writing_FLA[#Data]),MATCH($A83,_xlfn.VSTACK(YES_Writing_ELA[Student Number],YES_Writing_FLA[Student Number]),0),MATCH(VLOOKUP(H$7,'Writing Logic'!$J$7:$K$11,2,FALSE)&amp;" - Per "&amp;VLOOKUP($C$4,'Writing Logic'!$G$8:$H$14,2,FALSE),YES_Writing_ELA[#Headers],0)))="INS",'Writing Logic'!$B$7,IF(INDEX(_xlfn.VSTACK(YES_Writing_ELA[#Data],YES_Writing_FLA[#Data]),MATCH($A83,_xlfn.VSTACK(YES_Writing_ELA[Student Number],YES_Writing_FLA[Student Number]),0),MATCH(VLOOKUP(H$7,'Writing Logic'!$J$7:$K$11,2,FALSE)&amp;" - Per "&amp;VLOOKUP($C$4,'Writing Logic'!$G$8:$H$14,2,FALSE),YES_Writing_ELA[#Headers],0))=0,"",INDEX(_xlfn.VSTACK(YES_Writing_ELA[#Data],YES_Writing_FLA[#Data]),MATCH($A83,_xlfn.VSTACK(YES_Writing_ELA[Student Number],YES_Writing_FLA[Student Number]),0),MATCH(VLOOKUP(H$7,'Writing Logic'!$J$7:$K$11,2,FALSE)&amp;" - Per "&amp;VLOOKUP($C$4,'Writing Logic'!$G$8:$H$14,2,FALSE),YES_Writing_ELA[#Headers],0)))),"")</f>
        <v/>
      </c>
    </row>
    <row r="84" spans="1:8" ht="14.25" customHeight="1" x14ac:dyDescent="0.25">
      <c r="A84" s="137"/>
      <c r="B84" s="137" t="str">
        <f>IFERROR(INDEX(_xlfn.VSTACK(YES_Writing_ELA[#Data], YES_Writing_FLA[#Data]),MATCH($A84,_xlfn.VSTACK(YES_Writing_ELA[Student Number], YES_Writing_FLA[Student Number]),0),MATCH(B$7,YES_Writing_ELA[#Headers],0)),"")</f>
        <v/>
      </c>
      <c r="C84" s="137" t="str">
        <f>IFERROR(INDEX(_xlfn.VSTACK(YES_Writing_ELA[#Data], YES_Writing_FLA[#Data]),MATCH($A84,_xlfn.VSTACK(YES_Writing_ELA[Student Number], YES_Writing_FLA[Student Number]),0),MATCH(C$7,YES_Writing_ELA[#Headers],0)),"")</f>
        <v/>
      </c>
      <c r="D84" s="138" t="str">
        <f>IFERROR(IF(IF(INDEX(_xlfn.VSTACK(YES_Writing_ELA[#Data],YES_Writing_FLA[#Data]),MATCH($A84,_xlfn.VSTACK(YES_Writing_ELA[Student Number],YES_Writing_FLA[Student Number]),0),MATCH(VLOOKUP(D$7,'Writing Logic'!$J$7:$K$11,2,FALSE)&amp;" - Per "&amp;VLOOKUP($C$4,'Writing Logic'!$G$8:$H$14,2,FALSE),YES_Writing_ELA[#Headers],0))=0,"",INDEX(_xlfn.VSTACK(YES_Writing_ELA[#Data],YES_Writing_FLA[#Data]),MATCH($A84,_xlfn.VSTACK(YES_Writing_ELA[Student Number],YES_Writing_FLA[Student Number]),0),MATCH(VLOOKUP(D$7,'Writing Logic'!$J$7:$K$11,2,FALSE)&amp;" - Per "&amp;VLOOKUP($C$4,'Writing Logic'!$G$8:$H$14,2,FALSE),YES_Writing_ELA[#Headers],0)))="INS",'Writing Logic'!$B$7,IF(INDEX(_xlfn.VSTACK(YES_Writing_ELA[#Data],YES_Writing_FLA[#Data]),MATCH($A84,_xlfn.VSTACK(YES_Writing_ELA[Student Number],YES_Writing_FLA[Student Number]),0),MATCH(VLOOKUP(D$7,'Writing Logic'!$J$7:$K$11,2,FALSE)&amp;" - Per "&amp;VLOOKUP($C$4,'Writing Logic'!$G$8:$H$14,2,FALSE),YES_Writing_ELA[#Headers],0))=0,"",INDEX(_xlfn.VSTACK(YES_Writing_ELA[#Data],YES_Writing_FLA[#Data]),MATCH($A84,_xlfn.VSTACK(YES_Writing_ELA[Student Number],YES_Writing_FLA[Student Number]),0),MATCH(VLOOKUP(D$7,'Writing Logic'!$J$7:$K$11,2,FALSE)&amp;" - Per "&amp;VLOOKUP($C$4,'Writing Logic'!$G$8:$H$14,2,FALSE),YES_Writing_ELA[#Headers],0)))),"")</f>
        <v/>
      </c>
      <c r="E84" s="138" t="str">
        <f>IFERROR(IF(IF(INDEX(_xlfn.VSTACK(YES_Writing_ELA[#Data],YES_Writing_FLA[#Data]),MATCH($A84,_xlfn.VSTACK(YES_Writing_ELA[Student Number],YES_Writing_FLA[Student Number]),0),MATCH(VLOOKUP(E$7,'Writing Logic'!$J$7:$K$11,2,FALSE)&amp;" - Per "&amp;VLOOKUP($C$4,'Writing Logic'!$G$8:$H$14,2,FALSE),YES_Writing_ELA[#Headers],0))=0,"",INDEX(_xlfn.VSTACK(YES_Writing_ELA[#Data],YES_Writing_FLA[#Data]),MATCH($A84,_xlfn.VSTACK(YES_Writing_ELA[Student Number],YES_Writing_FLA[Student Number]),0),MATCH(VLOOKUP(E$7,'Writing Logic'!$J$7:$K$11,2,FALSE)&amp;" - Per "&amp;VLOOKUP($C$4,'Writing Logic'!$G$8:$H$14,2,FALSE),YES_Writing_ELA[#Headers],0)))="INS",'Writing Logic'!$B$7,IF(INDEX(_xlfn.VSTACK(YES_Writing_ELA[#Data],YES_Writing_FLA[#Data]),MATCH($A84,_xlfn.VSTACK(YES_Writing_ELA[Student Number],YES_Writing_FLA[Student Number]),0),MATCH(VLOOKUP(E$7,'Writing Logic'!$J$7:$K$11,2,FALSE)&amp;" - Per "&amp;VLOOKUP($C$4,'Writing Logic'!$G$8:$H$14,2,FALSE),YES_Writing_ELA[#Headers],0))=0,"",INDEX(_xlfn.VSTACK(YES_Writing_ELA[#Data],YES_Writing_FLA[#Data]),MATCH($A84,_xlfn.VSTACK(YES_Writing_ELA[Student Number],YES_Writing_FLA[Student Number]),0),MATCH(VLOOKUP(E$7,'Writing Logic'!$J$7:$K$11,2,FALSE)&amp;" - Per "&amp;VLOOKUP($C$4,'Writing Logic'!$G$8:$H$14,2,FALSE),YES_Writing_ELA[#Headers],0)))),"")</f>
        <v/>
      </c>
      <c r="F84" s="138" t="str">
        <f>IFERROR(IF(IF(INDEX(_xlfn.VSTACK(YES_Writing_ELA[#Data],YES_Writing_FLA[#Data]),MATCH($A84,_xlfn.VSTACK(YES_Writing_ELA[Student Number],YES_Writing_FLA[Student Number]),0),MATCH(VLOOKUP(F$7,'Writing Logic'!$J$7:$K$11,2,FALSE)&amp;" - Per "&amp;VLOOKUP($C$4,'Writing Logic'!$G$8:$H$14,2,FALSE),YES_Writing_ELA[#Headers],0))=0,"",INDEX(_xlfn.VSTACK(YES_Writing_ELA[#Data],YES_Writing_FLA[#Data]),MATCH($A84,_xlfn.VSTACK(YES_Writing_ELA[Student Number],YES_Writing_FLA[Student Number]),0),MATCH(VLOOKUP(F$7,'Writing Logic'!$J$7:$K$11,2,FALSE)&amp;" - Per "&amp;VLOOKUP($C$4,'Writing Logic'!$G$8:$H$14,2,FALSE),YES_Writing_ELA[#Headers],0)))="INS",'Writing Logic'!$B$7,IF(INDEX(_xlfn.VSTACK(YES_Writing_ELA[#Data],YES_Writing_FLA[#Data]),MATCH($A84,_xlfn.VSTACK(YES_Writing_ELA[Student Number],YES_Writing_FLA[Student Number]),0),MATCH(VLOOKUP(F$7,'Writing Logic'!$J$7:$K$11,2,FALSE)&amp;" - Per "&amp;VLOOKUP($C$4,'Writing Logic'!$G$8:$H$14,2,FALSE),YES_Writing_ELA[#Headers],0))=0,"",INDEX(_xlfn.VSTACK(YES_Writing_ELA[#Data],YES_Writing_FLA[#Data]),MATCH($A84,_xlfn.VSTACK(YES_Writing_ELA[Student Number],YES_Writing_FLA[Student Number]),0),MATCH(VLOOKUP(F$7,'Writing Logic'!$J$7:$K$11,2,FALSE)&amp;" - Per "&amp;VLOOKUP($C$4,'Writing Logic'!$G$8:$H$14,2,FALSE),YES_Writing_ELA[#Headers],0)))),"")</f>
        <v/>
      </c>
      <c r="G84" s="138" t="str">
        <f>IFERROR(IF(IF(INDEX(_xlfn.VSTACK(YES_Writing_ELA[#Data],YES_Writing_FLA[#Data]),MATCH($A84,_xlfn.VSTACK(YES_Writing_ELA[Student Number],YES_Writing_FLA[Student Number]),0),MATCH(VLOOKUP(G$7,'Writing Logic'!$J$7:$K$11,2,FALSE)&amp;" - Per "&amp;VLOOKUP($C$4,'Writing Logic'!$G$8:$H$14,2,FALSE),YES_Writing_ELA[#Headers],0))=0,"",INDEX(_xlfn.VSTACK(YES_Writing_ELA[#Data],YES_Writing_FLA[#Data]),MATCH($A84,_xlfn.VSTACK(YES_Writing_ELA[Student Number],YES_Writing_FLA[Student Number]),0),MATCH(VLOOKUP(G$7,'Writing Logic'!$J$7:$K$11,2,FALSE)&amp;" - Per "&amp;VLOOKUP($C$4,'Writing Logic'!$G$8:$H$14,2,FALSE),YES_Writing_ELA[#Headers],0)))="INS",'Writing Logic'!$B$7,IF(INDEX(_xlfn.VSTACK(YES_Writing_ELA[#Data],YES_Writing_FLA[#Data]),MATCH($A84,_xlfn.VSTACK(YES_Writing_ELA[Student Number],YES_Writing_FLA[Student Number]),0),MATCH(VLOOKUP(G$7,'Writing Logic'!$J$7:$K$11,2,FALSE)&amp;" - Per "&amp;VLOOKUP($C$4,'Writing Logic'!$G$8:$H$14,2,FALSE),YES_Writing_ELA[#Headers],0))=0,"",INDEX(_xlfn.VSTACK(YES_Writing_ELA[#Data],YES_Writing_FLA[#Data]),MATCH($A84,_xlfn.VSTACK(YES_Writing_ELA[Student Number],YES_Writing_FLA[Student Number]),0),MATCH(VLOOKUP(G$7,'Writing Logic'!$J$7:$K$11,2,FALSE)&amp;" - Per "&amp;VLOOKUP($C$4,'Writing Logic'!$G$8:$H$14,2,FALSE),YES_Writing_ELA[#Headers],0)))),"")</f>
        <v/>
      </c>
      <c r="H84" s="138" t="str">
        <f>IFERROR(IF(IF(INDEX(_xlfn.VSTACK(YES_Writing_ELA[#Data],YES_Writing_FLA[#Data]),MATCH($A84,_xlfn.VSTACK(YES_Writing_ELA[Student Number],YES_Writing_FLA[Student Number]),0),MATCH(VLOOKUP(H$7,'Writing Logic'!$J$7:$K$11,2,FALSE)&amp;" - Per "&amp;VLOOKUP($C$4,'Writing Logic'!$G$8:$H$14,2,FALSE),YES_Writing_ELA[#Headers],0))=0,"",INDEX(_xlfn.VSTACK(YES_Writing_ELA[#Data],YES_Writing_FLA[#Data]),MATCH($A84,_xlfn.VSTACK(YES_Writing_ELA[Student Number],YES_Writing_FLA[Student Number]),0),MATCH(VLOOKUP(H$7,'Writing Logic'!$J$7:$K$11,2,FALSE)&amp;" - Per "&amp;VLOOKUP($C$4,'Writing Logic'!$G$8:$H$14,2,FALSE),YES_Writing_ELA[#Headers],0)))="INS",'Writing Logic'!$B$7,IF(INDEX(_xlfn.VSTACK(YES_Writing_ELA[#Data],YES_Writing_FLA[#Data]),MATCH($A84,_xlfn.VSTACK(YES_Writing_ELA[Student Number],YES_Writing_FLA[Student Number]),0),MATCH(VLOOKUP(H$7,'Writing Logic'!$J$7:$K$11,2,FALSE)&amp;" - Per "&amp;VLOOKUP($C$4,'Writing Logic'!$G$8:$H$14,2,FALSE),YES_Writing_ELA[#Headers],0))=0,"",INDEX(_xlfn.VSTACK(YES_Writing_ELA[#Data],YES_Writing_FLA[#Data]),MATCH($A84,_xlfn.VSTACK(YES_Writing_ELA[Student Number],YES_Writing_FLA[Student Number]),0),MATCH(VLOOKUP(H$7,'Writing Logic'!$J$7:$K$11,2,FALSE)&amp;" - Per "&amp;VLOOKUP($C$4,'Writing Logic'!$G$8:$H$14,2,FALSE),YES_Writing_ELA[#Headers],0)))),"")</f>
        <v/>
      </c>
    </row>
    <row r="85" spans="1:8" ht="14.25" customHeight="1" x14ac:dyDescent="0.25">
      <c r="A85" s="137"/>
      <c r="B85" s="137" t="str">
        <f>IFERROR(INDEX(_xlfn.VSTACK(YES_Writing_ELA[#Data], YES_Writing_FLA[#Data]),MATCH($A85,_xlfn.VSTACK(YES_Writing_ELA[Student Number], YES_Writing_FLA[Student Number]),0),MATCH(B$7,YES_Writing_ELA[#Headers],0)),"")</f>
        <v/>
      </c>
      <c r="C85" s="137" t="str">
        <f>IFERROR(INDEX(_xlfn.VSTACK(YES_Writing_ELA[#Data], YES_Writing_FLA[#Data]),MATCH($A85,_xlfn.VSTACK(YES_Writing_ELA[Student Number], YES_Writing_FLA[Student Number]),0),MATCH(C$7,YES_Writing_ELA[#Headers],0)),"")</f>
        <v/>
      </c>
      <c r="D85" s="138" t="str">
        <f>IFERROR(IF(IF(INDEX(_xlfn.VSTACK(YES_Writing_ELA[#Data],YES_Writing_FLA[#Data]),MATCH($A85,_xlfn.VSTACK(YES_Writing_ELA[Student Number],YES_Writing_FLA[Student Number]),0),MATCH(VLOOKUP(D$7,'Writing Logic'!$J$7:$K$11,2,FALSE)&amp;" - Per "&amp;VLOOKUP($C$4,'Writing Logic'!$G$8:$H$14,2,FALSE),YES_Writing_ELA[#Headers],0))=0,"",INDEX(_xlfn.VSTACK(YES_Writing_ELA[#Data],YES_Writing_FLA[#Data]),MATCH($A85,_xlfn.VSTACK(YES_Writing_ELA[Student Number],YES_Writing_FLA[Student Number]),0),MATCH(VLOOKUP(D$7,'Writing Logic'!$J$7:$K$11,2,FALSE)&amp;" - Per "&amp;VLOOKUP($C$4,'Writing Logic'!$G$8:$H$14,2,FALSE),YES_Writing_ELA[#Headers],0)))="INS",'Writing Logic'!$B$7,IF(INDEX(_xlfn.VSTACK(YES_Writing_ELA[#Data],YES_Writing_FLA[#Data]),MATCH($A85,_xlfn.VSTACK(YES_Writing_ELA[Student Number],YES_Writing_FLA[Student Number]),0),MATCH(VLOOKUP(D$7,'Writing Logic'!$J$7:$K$11,2,FALSE)&amp;" - Per "&amp;VLOOKUP($C$4,'Writing Logic'!$G$8:$H$14,2,FALSE),YES_Writing_ELA[#Headers],0))=0,"",INDEX(_xlfn.VSTACK(YES_Writing_ELA[#Data],YES_Writing_FLA[#Data]),MATCH($A85,_xlfn.VSTACK(YES_Writing_ELA[Student Number],YES_Writing_FLA[Student Number]),0),MATCH(VLOOKUP(D$7,'Writing Logic'!$J$7:$K$11,2,FALSE)&amp;" - Per "&amp;VLOOKUP($C$4,'Writing Logic'!$G$8:$H$14,2,FALSE),YES_Writing_ELA[#Headers],0)))),"")</f>
        <v/>
      </c>
      <c r="E85" s="138" t="str">
        <f>IFERROR(IF(IF(INDEX(_xlfn.VSTACK(YES_Writing_ELA[#Data],YES_Writing_FLA[#Data]),MATCH($A85,_xlfn.VSTACK(YES_Writing_ELA[Student Number],YES_Writing_FLA[Student Number]),0),MATCH(VLOOKUP(E$7,'Writing Logic'!$J$7:$K$11,2,FALSE)&amp;" - Per "&amp;VLOOKUP($C$4,'Writing Logic'!$G$8:$H$14,2,FALSE),YES_Writing_ELA[#Headers],0))=0,"",INDEX(_xlfn.VSTACK(YES_Writing_ELA[#Data],YES_Writing_FLA[#Data]),MATCH($A85,_xlfn.VSTACK(YES_Writing_ELA[Student Number],YES_Writing_FLA[Student Number]),0),MATCH(VLOOKUP(E$7,'Writing Logic'!$J$7:$K$11,2,FALSE)&amp;" - Per "&amp;VLOOKUP($C$4,'Writing Logic'!$G$8:$H$14,2,FALSE),YES_Writing_ELA[#Headers],0)))="INS",'Writing Logic'!$B$7,IF(INDEX(_xlfn.VSTACK(YES_Writing_ELA[#Data],YES_Writing_FLA[#Data]),MATCH($A85,_xlfn.VSTACK(YES_Writing_ELA[Student Number],YES_Writing_FLA[Student Number]),0),MATCH(VLOOKUP(E$7,'Writing Logic'!$J$7:$K$11,2,FALSE)&amp;" - Per "&amp;VLOOKUP($C$4,'Writing Logic'!$G$8:$H$14,2,FALSE),YES_Writing_ELA[#Headers],0))=0,"",INDEX(_xlfn.VSTACK(YES_Writing_ELA[#Data],YES_Writing_FLA[#Data]),MATCH($A85,_xlfn.VSTACK(YES_Writing_ELA[Student Number],YES_Writing_FLA[Student Number]),0),MATCH(VLOOKUP(E$7,'Writing Logic'!$J$7:$K$11,2,FALSE)&amp;" - Per "&amp;VLOOKUP($C$4,'Writing Logic'!$G$8:$H$14,2,FALSE),YES_Writing_ELA[#Headers],0)))),"")</f>
        <v/>
      </c>
      <c r="F85" s="138" t="str">
        <f>IFERROR(IF(IF(INDEX(_xlfn.VSTACK(YES_Writing_ELA[#Data],YES_Writing_FLA[#Data]),MATCH($A85,_xlfn.VSTACK(YES_Writing_ELA[Student Number],YES_Writing_FLA[Student Number]),0),MATCH(VLOOKUP(F$7,'Writing Logic'!$J$7:$K$11,2,FALSE)&amp;" - Per "&amp;VLOOKUP($C$4,'Writing Logic'!$G$8:$H$14,2,FALSE),YES_Writing_ELA[#Headers],0))=0,"",INDEX(_xlfn.VSTACK(YES_Writing_ELA[#Data],YES_Writing_FLA[#Data]),MATCH($A85,_xlfn.VSTACK(YES_Writing_ELA[Student Number],YES_Writing_FLA[Student Number]),0),MATCH(VLOOKUP(F$7,'Writing Logic'!$J$7:$K$11,2,FALSE)&amp;" - Per "&amp;VLOOKUP($C$4,'Writing Logic'!$G$8:$H$14,2,FALSE),YES_Writing_ELA[#Headers],0)))="INS",'Writing Logic'!$B$7,IF(INDEX(_xlfn.VSTACK(YES_Writing_ELA[#Data],YES_Writing_FLA[#Data]),MATCH($A85,_xlfn.VSTACK(YES_Writing_ELA[Student Number],YES_Writing_FLA[Student Number]),0),MATCH(VLOOKUP(F$7,'Writing Logic'!$J$7:$K$11,2,FALSE)&amp;" - Per "&amp;VLOOKUP($C$4,'Writing Logic'!$G$8:$H$14,2,FALSE),YES_Writing_ELA[#Headers],0))=0,"",INDEX(_xlfn.VSTACK(YES_Writing_ELA[#Data],YES_Writing_FLA[#Data]),MATCH($A85,_xlfn.VSTACK(YES_Writing_ELA[Student Number],YES_Writing_FLA[Student Number]),0),MATCH(VLOOKUP(F$7,'Writing Logic'!$J$7:$K$11,2,FALSE)&amp;" - Per "&amp;VLOOKUP($C$4,'Writing Logic'!$G$8:$H$14,2,FALSE),YES_Writing_ELA[#Headers],0)))),"")</f>
        <v/>
      </c>
      <c r="G85" s="138" t="str">
        <f>IFERROR(IF(IF(INDEX(_xlfn.VSTACK(YES_Writing_ELA[#Data],YES_Writing_FLA[#Data]),MATCH($A85,_xlfn.VSTACK(YES_Writing_ELA[Student Number],YES_Writing_FLA[Student Number]),0),MATCH(VLOOKUP(G$7,'Writing Logic'!$J$7:$K$11,2,FALSE)&amp;" - Per "&amp;VLOOKUP($C$4,'Writing Logic'!$G$8:$H$14,2,FALSE),YES_Writing_ELA[#Headers],0))=0,"",INDEX(_xlfn.VSTACK(YES_Writing_ELA[#Data],YES_Writing_FLA[#Data]),MATCH($A85,_xlfn.VSTACK(YES_Writing_ELA[Student Number],YES_Writing_FLA[Student Number]),0),MATCH(VLOOKUP(G$7,'Writing Logic'!$J$7:$K$11,2,FALSE)&amp;" - Per "&amp;VLOOKUP($C$4,'Writing Logic'!$G$8:$H$14,2,FALSE),YES_Writing_ELA[#Headers],0)))="INS",'Writing Logic'!$B$7,IF(INDEX(_xlfn.VSTACK(YES_Writing_ELA[#Data],YES_Writing_FLA[#Data]),MATCH($A85,_xlfn.VSTACK(YES_Writing_ELA[Student Number],YES_Writing_FLA[Student Number]),0),MATCH(VLOOKUP(G$7,'Writing Logic'!$J$7:$K$11,2,FALSE)&amp;" - Per "&amp;VLOOKUP($C$4,'Writing Logic'!$G$8:$H$14,2,FALSE),YES_Writing_ELA[#Headers],0))=0,"",INDEX(_xlfn.VSTACK(YES_Writing_ELA[#Data],YES_Writing_FLA[#Data]),MATCH($A85,_xlfn.VSTACK(YES_Writing_ELA[Student Number],YES_Writing_FLA[Student Number]),0),MATCH(VLOOKUP(G$7,'Writing Logic'!$J$7:$K$11,2,FALSE)&amp;" - Per "&amp;VLOOKUP($C$4,'Writing Logic'!$G$8:$H$14,2,FALSE),YES_Writing_ELA[#Headers],0)))),"")</f>
        <v/>
      </c>
      <c r="H85" s="138" t="str">
        <f>IFERROR(IF(IF(INDEX(_xlfn.VSTACK(YES_Writing_ELA[#Data],YES_Writing_FLA[#Data]),MATCH($A85,_xlfn.VSTACK(YES_Writing_ELA[Student Number],YES_Writing_FLA[Student Number]),0),MATCH(VLOOKUP(H$7,'Writing Logic'!$J$7:$K$11,2,FALSE)&amp;" - Per "&amp;VLOOKUP($C$4,'Writing Logic'!$G$8:$H$14,2,FALSE),YES_Writing_ELA[#Headers],0))=0,"",INDEX(_xlfn.VSTACK(YES_Writing_ELA[#Data],YES_Writing_FLA[#Data]),MATCH($A85,_xlfn.VSTACK(YES_Writing_ELA[Student Number],YES_Writing_FLA[Student Number]),0),MATCH(VLOOKUP(H$7,'Writing Logic'!$J$7:$K$11,2,FALSE)&amp;" - Per "&amp;VLOOKUP($C$4,'Writing Logic'!$G$8:$H$14,2,FALSE),YES_Writing_ELA[#Headers],0)))="INS",'Writing Logic'!$B$7,IF(INDEX(_xlfn.VSTACK(YES_Writing_ELA[#Data],YES_Writing_FLA[#Data]),MATCH($A85,_xlfn.VSTACK(YES_Writing_ELA[Student Number],YES_Writing_FLA[Student Number]),0),MATCH(VLOOKUP(H$7,'Writing Logic'!$J$7:$K$11,2,FALSE)&amp;" - Per "&amp;VLOOKUP($C$4,'Writing Logic'!$G$8:$H$14,2,FALSE),YES_Writing_ELA[#Headers],0))=0,"",INDEX(_xlfn.VSTACK(YES_Writing_ELA[#Data],YES_Writing_FLA[#Data]),MATCH($A85,_xlfn.VSTACK(YES_Writing_ELA[Student Number],YES_Writing_FLA[Student Number]),0),MATCH(VLOOKUP(H$7,'Writing Logic'!$J$7:$K$11,2,FALSE)&amp;" - Per "&amp;VLOOKUP($C$4,'Writing Logic'!$G$8:$H$14,2,FALSE),YES_Writing_ELA[#Headers],0)))),"")</f>
        <v/>
      </c>
    </row>
    <row r="86" spans="1:8" ht="14.25" customHeight="1" x14ac:dyDescent="0.25">
      <c r="A86" s="137"/>
      <c r="B86" s="137" t="str">
        <f>IFERROR(INDEX(_xlfn.VSTACK(YES_Writing_ELA[#Data], YES_Writing_FLA[#Data]),MATCH($A86,_xlfn.VSTACK(YES_Writing_ELA[Student Number], YES_Writing_FLA[Student Number]),0),MATCH(B$7,YES_Writing_ELA[#Headers],0)),"")</f>
        <v/>
      </c>
      <c r="C86" s="137" t="str">
        <f>IFERROR(INDEX(_xlfn.VSTACK(YES_Writing_ELA[#Data], YES_Writing_FLA[#Data]),MATCH($A86,_xlfn.VSTACK(YES_Writing_ELA[Student Number], YES_Writing_FLA[Student Number]),0),MATCH(C$7,YES_Writing_ELA[#Headers],0)),"")</f>
        <v/>
      </c>
      <c r="D86" s="138" t="str">
        <f>IFERROR(IF(IF(INDEX(_xlfn.VSTACK(YES_Writing_ELA[#Data],YES_Writing_FLA[#Data]),MATCH($A86,_xlfn.VSTACK(YES_Writing_ELA[Student Number],YES_Writing_FLA[Student Number]),0),MATCH(VLOOKUP(D$7,'Writing Logic'!$J$7:$K$11,2,FALSE)&amp;" - Per "&amp;VLOOKUP($C$4,'Writing Logic'!$G$8:$H$14,2,FALSE),YES_Writing_ELA[#Headers],0))=0,"",INDEX(_xlfn.VSTACK(YES_Writing_ELA[#Data],YES_Writing_FLA[#Data]),MATCH($A86,_xlfn.VSTACK(YES_Writing_ELA[Student Number],YES_Writing_FLA[Student Number]),0),MATCH(VLOOKUP(D$7,'Writing Logic'!$J$7:$K$11,2,FALSE)&amp;" - Per "&amp;VLOOKUP($C$4,'Writing Logic'!$G$8:$H$14,2,FALSE),YES_Writing_ELA[#Headers],0)))="INS",'Writing Logic'!$B$7,IF(INDEX(_xlfn.VSTACK(YES_Writing_ELA[#Data],YES_Writing_FLA[#Data]),MATCH($A86,_xlfn.VSTACK(YES_Writing_ELA[Student Number],YES_Writing_FLA[Student Number]),0),MATCH(VLOOKUP(D$7,'Writing Logic'!$J$7:$K$11,2,FALSE)&amp;" - Per "&amp;VLOOKUP($C$4,'Writing Logic'!$G$8:$H$14,2,FALSE),YES_Writing_ELA[#Headers],0))=0,"",INDEX(_xlfn.VSTACK(YES_Writing_ELA[#Data],YES_Writing_FLA[#Data]),MATCH($A86,_xlfn.VSTACK(YES_Writing_ELA[Student Number],YES_Writing_FLA[Student Number]),0),MATCH(VLOOKUP(D$7,'Writing Logic'!$J$7:$K$11,2,FALSE)&amp;" - Per "&amp;VLOOKUP($C$4,'Writing Logic'!$G$8:$H$14,2,FALSE),YES_Writing_ELA[#Headers],0)))),"")</f>
        <v/>
      </c>
      <c r="E86" s="138" t="str">
        <f>IFERROR(IF(IF(INDEX(_xlfn.VSTACK(YES_Writing_ELA[#Data],YES_Writing_FLA[#Data]),MATCH($A86,_xlfn.VSTACK(YES_Writing_ELA[Student Number],YES_Writing_FLA[Student Number]),0),MATCH(VLOOKUP(E$7,'Writing Logic'!$J$7:$K$11,2,FALSE)&amp;" - Per "&amp;VLOOKUP($C$4,'Writing Logic'!$G$8:$H$14,2,FALSE),YES_Writing_ELA[#Headers],0))=0,"",INDEX(_xlfn.VSTACK(YES_Writing_ELA[#Data],YES_Writing_FLA[#Data]),MATCH($A86,_xlfn.VSTACK(YES_Writing_ELA[Student Number],YES_Writing_FLA[Student Number]),0),MATCH(VLOOKUP(E$7,'Writing Logic'!$J$7:$K$11,2,FALSE)&amp;" - Per "&amp;VLOOKUP($C$4,'Writing Logic'!$G$8:$H$14,2,FALSE),YES_Writing_ELA[#Headers],0)))="INS",'Writing Logic'!$B$7,IF(INDEX(_xlfn.VSTACK(YES_Writing_ELA[#Data],YES_Writing_FLA[#Data]),MATCH($A86,_xlfn.VSTACK(YES_Writing_ELA[Student Number],YES_Writing_FLA[Student Number]),0),MATCH(VLOOKUP(E$7,'Writing Logic'!$J$7:$K$11,2,FALSE)&amp;" - Per "&amp;VLOOKUP($C$4,'Writing Logic'!$G$8:$H$14,2,FALSE),YES_Writing_ELA[#Headers],0))=0,"",INDEX(_xlfn.VSTACK(YES_Writing_ELA[#Data],YES_Writing_FLA[#Data]),MATCH($A86,_xlfn.VSTACK(YES_Writing_ELA[Student Number],YES_Writing_FLA[Student Number]),0),MATCH(VLOOKUP(E$7,'Writing Logic'!$J$7:$K$11,2,FALSE)&amp;" - Per "&amp;VLOOKUP($C$4,'Writing Logic'!$G$8:$H$14,2,FALSE),YES_Writing_ELA[#Headers],0)))),"")</f>
        <v/>
      </c>
      <c r="F86" s="138" t="str">
        <f>IFERROR(IF(IF(INDEX(_xlfn.VSTACK(YES_Writing_ELA[#Data],YES_Writing_FLA[#Data]),MATCH($A86,_xlfn.VSTACK(YES_Writing_ELA[Student Number],YES_Writing_FLA[Student Number]),0),MATCH(VLOOKUP(F$7,'Writing Logic'!$J$7:$K$11,2,FALSE)&amp;" - Per "&amp;VLOOKUP($C$4,'Writing Logic'!$G$8:$H$14,2,FALSE),YES_Writing_ELA[#Headers],0))=0,"",INDEX(_xlfn.VSTACK(YES_Writing_ELA[#Data],YES_Writing_FLA[#Data]),MATCH($A86,_xlfn.VSTACK(YES_Writing_ELA[Student Number],YES_Writing_FLA[Student Number]),0),MATCH(VLOOKUP(F$7,'Writing Logic'!$J$7:$K$11,2,FALSE)&amp;" - Per "&amp;VLOOKUP($C$4,'Writing Logic'!$G$8:$H$14,2,FALSE),YES_Writing_ELA[#Headers],0)))="INS",'Writing Logic'!$B$7,IF(INDEX(_xlfn.VSTACK(YES_Writing_ELA[#Data],YES_Writing_FLA[#Data]),MATCH($A86,_xlfn.VSTACK(YES_Writing_ELA[Student Number],YES_Writing_FLA[Student Number]),0),MATCH(VLOOKUP(F$7,'Writing Logic'!$J$7:$K$11,2,FALSE)&amp;" - Per "&amp;VLOOKUP($C$4,'Writing Logic'!$G$8:$H$14,2,FALSE),YES_Writing_ELA[#Headers],0))=0,"",INDEX(_xlfn.VSTACK(YES_Writing_ELA[#Data],YES_Writing_FLA[#Data]),MATCH($A86,_xlfn.VSTACK(YES_Writing_ELA[Student Number],YES_Writing_FLA[Student Number]),0),MATCH(VLOOKUP(F$7,'Writing Logic'!$J$7:$K$11,2,FALSE)&amp;" - Per "&amp;VLOOKUP($C$4,'Writing Logic'!$G$8:$H$14,2,FALSE),YES_Writing_ELA[#Headers],0)))),"")</f>
        <v/>
      </c>
      <c r="G86" s="138" t="str">
        <f>IFERROR(IF(IF(INDEX(_xlfn.VSTACK(YES_Writing_ELA[#Data],YES_Writing_FLA[#Data]),MATCH($A86,_xlfn.VSTACK(YES_Writing_ELA[Student Number],YES_Writing_FLA[Student Number]),0),MATCH(VLOOKUP(G$7,'Writing Logic'!$J$7:$K$11,2,FALSE)&amp;" - Per "&amp;VLOOKUP($C$4,'Writing Logic'!$G$8:$H$14,2,FALSE),YES_Writing_ELA[#Headers],0))=0,"",INDEX(_xlfn.VSTACK(YES_Writing_ELA[#Data],YES_Writing_FLA[#Data]),MATCH($A86,_xlfn.VSTACK(YES_Writing_ELA[Student Number],YES_Writing_FLA[Student Number]),0),MATCH(VLOOKUP(G$7,'Writing Logic'!$J$7:$K$11,2,FALSE)&amp;" - Per "&amp;VLOOKUP($C$4,'Writing Logic'!$G$8:$H$14,2,FALSE),YES_Writing_ELA[#Headers],0)))="INS",'Writing Logic'!$B$7,IF(INDEX(_xlfn.VSTACK(YES_Writing_ELA[#Data],YES_Writing_FLA[#Data]),MATCH($A86,_xlfn.VSTACK(YES_Writing_ELA[Student Number],YES_Writing_FLA[Student Number]),0),MATCH(VLOOKUP(G$7,'Writing Logic'!$J$7:$K$11,2,FALSE)&amp;" - Per "&amp;VLOOKUP($C$4,'Writing Logic'!$G$8:$H$14,2,FALSE),YES_Writing_ELA[#Headers],0))=0,"",INDEX(_xlfn.VSTACK(YES_Writing_ELA[#Data],YES_Writing_FLA[#Data]),MATCH($A86,_xlfn.VSTACK(YES_Writing_ELA[Student Number],YES_Writing_FLA[Student Number]),0),MATCH(VLOOKUP(G$7,'Writing Logic'!$J$7:$K$11,2,FALSE)&amp;" - Per "&amp;VLOOKUP($C$4,'Writing Logic'!$G$8:$H$14,2,FALSE),YES_Writing_ELA[#Headers],0)))),"")</f>
        <v/>
      </c>
      <c r="H86" s="138" t="str">
        <f>IFERROR(IF(IF(INDEX(_xlfn.VSTACK(YES_Writing_ELA[#Data],YES_Writing_FLA[#Data]),MATCH($A86,_xlfn.VSTACK(YES_Writing_ELA[Student Number],YES_Writing_FLA[Student Number]),0),MATCH(VLOOKUP(H$7,'Writing Logic'!$J$7:$K$11,2,FALSE)&amp;" - Per "&amp;VLOOKUP($C$4,'Writing Logic'!$G$8:$H$14,2,FALSE),YES_Writing_ELA[#Headers],0))=0,"",INDEX(_xlfn.VSTACK(YES_Writing_ELA[#Data],YES_Writing_FLA[#Data]),MATCH($A86,_xlfn.VSTACK(YES_Writing_ELA[Student Number],YES_Writing_FLA[Student Number]),0),MATCH(VLOOKUP(H$7,'Writing Logic'!$J$7:$K$11,2,FALSE)&amp;" - Per "&amp;VLOOKUP($C$4,'Writing Logic'!$G$8:$H$14,2,FALSE),YES_Writing_ELA[#Headers],0)))="INS",'Writing Logic'!$B$7,IF(INDEX(_xlfn.VSTACK(YES_Writing_ELA[#Data],YES_Writing_FLA[#Data]),MATCH($A86,_xlfn.VSTACK(YES_Writing_ELA[Student Number],YES_Writing_FLA[Student Number]),0),MATCH(VLOOKUP(H$7,'Writing Logic'!$J$7:$K$11,2,FALSE)&amp;" - Per "&amp;VLOOKUP($C$4,'Writing Logic'!$G$8:$H$14,2,FALSE),YES_Writing_ELA[#Headers],0))=0,"",INDEX(_xlfn.VSTACK(YES_Writing_ELA[#Data],YES_Writing_FLA[#Data]),MATCH($A86,_xlfn.VSTACK(YES_Writing_ELA[Student Number],YES_Writing_FLA[Student Number]),0),MATCH(VLOOKUP(H$7,'Writing Logic'!$J$7:$K$11,2,FALSE)&amp;" - Per "&amp;VLOOKUP($C$4,'Writing Logic'!$G$8:$H$14,2,FALSE),YES_Writing_ELA[#Headers],0)))),"")</f>
        <v/>
      </c>
    </row>
    <row r="87" spans="1:8" ht="14.25" customHeight="1" x14ac:dyDescent="0.25">
      <c r="A87" s="137"/>
      <c r="B87" s="137" t="str">
        <f>IFERROR(INDEX(_xlfn.VSTACK(YES_Writing_ELA[#Data], YES_Writing_FLA[#Data]),MATCH($A87,_xlfn.VSTACK(YES_Writing_ELA[Student Number], YES_Writing_FLA[Student Number]),0),MATCH(B$7,YES_Writing_ELA[#Headers],0)),"")</f>
        <v/>
      </c>
      <c r="C87" s="137" t="str">
        <f>IFERROR(INDEX(_xlfn.VSTACK(YES_Writing_ELA[#Data], YES_Writing_FLA[#Data]),MATCH($A87,_xlfn.VSTACK(YES_Writing_ELA[Student Number], YES_Writing_FLA[Student Number]),0),MATCH(C$7,YES_Writing_ELA[#Headers],0)),"")</f>
        <v/>
      </c>
      <c r="D87" s="138" t="str">
        <f>IFERROR(IF(IF(INDEX(_xlfn.VSTACK(YES_Writing_ELA[#Data],YES_Writing_FLA[#Data]),MATCH($A87,_xlfn.VSTACK(YES_Writing_ELA[Student Number],YES_Writing_FLA[Student Number]),0),MATCH(VLOOKUP(D$7,'Writing Logic'!$J$7:$K$11,2,FALSE)&amp;" - Per "&amp;VLOOKUP($C$4,'Writing Logic'!$G$8:$H$14,2,FALSE),YES_Writing_ELA[#Headers],0))=0,"",INDEX(_xlfn.VSTACK(YES_Writing_ELA[#Data],YES_Writing_FLA[#Data]),MATCH($A87,_xlfn.VSTACK(YES_Writing_ELA[Student Number],YES_Writing_FLA[Student Number]),0),MATCH(VLOOKUP(D$7,'Writing Logic'!$J$7:$K$11,2,FALSE)&amp;" - Per "&amp;VLOOKUP($C$4,'Writing Logic'!$G$8:$H$14,2,FALSE),YES_Writing_ELA[#Headers],0)))="INS",'Writing Logic'!$B$7,IF(INDEX(_xlfn.VSTACK(YES_Writing_ELA[#Data],YES_Writing_FLA[#Data]),MATCH($A87,_xlfn.VSTACK(YES_Writing_ELA[Student Number],YES_Writing_FLA[Student Number]),0),MATCH(VLOOKUP(D$7,'Writing Logic'!$J$7:$K$11,2,FALSE)&amp;" - Per "&amp;VLOOKUP($C$4,'Writing Logic'!$G$8:$H$14,2,FALSE),YES_Writing_ELA[#Headers],0))=0,"",INDEX(_xlfn.VSTACK(YES_Writing_ELA[#Data],YES_Writing_FLA[#Data]),MATCH($A87,_xlfn.VSTACK(YES_Writing_ELA[Student Number],YES_Writing_FLA[Student Number]),0),MATCH(VLOOKUP(D$7,'Writing Logic'!$J$7:$K$11,2,FALSE)&amp;" - Per "&amp;VLOOKUP($C$4,'Writing Logic'!$G$8:$H$14,2,FALSE),YES_Writing_ELA[#Headers],0)))),"")</f>
        <v/>
      </c>
      <c r="E87" s="138" t="str">
        <f>IFERROR(IF(IF(INDEX(_xlfn.VSTACK(YES_Writing_ELA[#Data],YES_Writing_FLA[#Data]),MATCH($A87,_xlfn.VSTACK(YES_Writing_ELA[Student Number],YES_Writing_FLA[Student Number]),0),MATCH(VLOOKUP(E$7,'Writing Logic'!$J$7:$K$11,2,FALSE)&amp;" - Per "&amp;VLOOKUP($C$4,'Writing Logic'!$G$8:$H$14,2,FALSE),YES_Writing_ELA[#Headers],0))=0,"",INDEX(_xlfn.VSTACK(YES_Writing_ELA[#Data],YES_Writing_FLA[#Data]),MATCH($A87,_xlfn.VSTACK(YES_Writing_ELA[Student Number],YES_Writing_FLA[Student Number]),0),MATCH(VLOOKUP(E$7,'Writing Logic'!$J$7:$K$11,2,FALSE)&amp;" - Per "&amp;VLOOKUP($C$4,'Writing Logic'!$G$8:$H$14,2,FALSE),YES_Writing_ELA[#Headers],0)))="INS",'Writing Logic'!$B$7,IF(INDEX(_xlfn.VSTACK(YES_Writing_ELA[#Data],YES_Writing_FLA[#Data]),MATCH($A87,_xlfn.VSTACK(YES_Writing_ELA[Student Number],YES_Writing_FLA[Student Number]),0),MATCH(VLOOKUP(E$7,'Writing Logic'!$J$7:$K$11,2,FALSE)&amp;" - Per "&amp;VLOOKUP($C$4,'Writing Logic'!$G$8:$H$14,2,FALSE),YES_Writing_ELA[#Headers],0))=0,"",INDEX(_xlfn.VSTACK(YES_Writing_ELA[#Data],YES_Writing_FLA[#Data]),MATCH($A87,_xlfn.VSTACK(YES_Writing_ELA[Student Number],YES_Writing_FLA[Student Number]),0),MATCH(VLOOKUP(E$7,'Writing Logic'!$J$7:$K$11,2,FALSE)&amp;" - Per "&amp;VLOOKUP($C$4,'Writing Logic'!$G$8:$H$14,2,FALSE),YES_Writing_ELA[#Headers],0)))),"")</f>
        <v/>
      </c>
      <c r="F87" s="138" t="str">
        <f>IFERROR(IF(IF(INDEX(_xlfn.VSTACK(YES_Writing_ELA[#Data],YES_Writing_FLA[#Data]),MATCH($A87,_xlfn.VSTACK(YES_Writing_ELA[Student Number],YES_Writing_FLA[Student Number]),0),MATCH(VLOOKUP(F$7,'Writing Logic'!$J$7:$K$11,2,FALSE)&amp;" - Per "&amp;VLOOKUP($C$4,'Writing Logic'!$G$8:$H$14,2,FALSE),YES_Writing_ELA[#Headers],0))=0,"",INDEX(_xlfn.VSTACK(YES_Writing_ELA[#Data],YES_Writing_FLA[#Data]),MATCH($A87,_xlfn.VSTACK(YES_Writing_ELA[Student Number],YES_Writing_FLA[Student Number]),0),MATCH(VLOOKUP(F$7,'Writing Logic'!$J$7:$K$11,2,FALSE)&amp;" - Per "&amp;VLOOKUP($C$4,'Writing Logic'!$G$8:$H$14,2,FALSE),YES_Writing_ELA[#Headers],0)))="INS",'Writing Logic'!$B$7,IF(INDEX(_xlfn.VSTACK(YES_Writing_ELA[#Data],YES_Writing_FLA[#Data]),MATCH($A87,_xlfn.VSTACK(YES_Writing_ELA[Student Number],YES_Writing_FLA[Student Number]),0),MATCH(VLOOKUP(F$7,'Writing Logic'!$J$7:$K$11,2,FALSE)&amp;" - Per "&amp;VLOOKUP($C$4,'Writing Logic'!$G$8:$H$14,2,FALSE),YES_Writing_ELA[#Headers],0))=0,"",INDEX(_xlfn.VSTACK(YES_Writing_ELA[#Data],YES_Writing_FLA[#Data]),MATCH($A87,_xlfn.VSTACK(YES_Writing_ELA[Student Number],YES_Writing_FLA[Student Number]),0),MATCH(VLOOKUP(F$7,'Writing Logic'!$J$7:$K$11,2,FALSE)&amp;" - Per "&amp;VLOOKUP($C$4,'Writing Logic'!$G$8:$H$14,2,FALSE),YES_Writing_ELA[#Headers],0)))),"")</f>
        <v/>
      </c>
      <c r="G87" s="138" t="str">
        <f>IFERROR(IF(IF(INDEX(_xlfn.VSTACK(YES_Writing_ELA[#Data],YES_Writing_FLA[#Data]),MATCH($A87,_xlfn.VSTACK(YES_Writing_ELA[Student Number],YES_Writing_FLA[Student Number]),0),MATCH(VLOOKUP(G$7,'Writing Logic'!$J$7:$K$11,2,FALSE)&amp;" - Per "&amp;VLOOKUP($C$4,'Writing Logic'!$G$8:$H$14,2,FALSE),YES_Writing_ELA[#Headers],0))=0,"",INDEX(_xlfn.VSTACK(YES_Writing_ELA[#Data],YES_Writing_FLA[#Data]),MATCH($A87,_xlfn.VSTACK(YES_Writing_ELA[Student Number],YES_Writing_FLA[Student Number]),0),MATCH(VLOOKUP(G$7,'Writing Logic'!$J$7:$K$11,2,FALSE)&amp;" - Per "&amp;VLOOKUP($C$4,'Writing Logic'!$G$8:$H$14,2,FALSE),YES_Writing_ELA[#Headers],0)))="INS",'Writing Logic'!$B$7,IF(INDEX(_xlfn.VSTACK(YES_Writing_ELA[#Data],YES_Writing_FLA[#Data]),MATCH($A87,_xlfn.VSTACK(YES_Writing_ELA[Student Number],YES_Writing_FLA[Student Number]),0),MATCH(VLOOKUP(G$7,'Writing Logic'!$J$7:$K$11,2,FALSE)&amp;" - Per "&amp;VLOOKUP($C$4,'Writing Logic'!$G$8:$H$14,2,FALSE),YES_Writing_ELA[#Headers],0))=0,"",INDEX(_xlfn.VSTACK(YES_Writing_ELA[#Data],YES_Writing_FLA[#Data]),MATCH($A87,_xlfn.VSTACK(YES_Writing_ELA[Student Number],YES_Writing_FLA[Student Number]),0),MATCH(VLOOKUP(G$7,'Writing Logic'!$J$7:$K$11,2,FALSE)&amp;" - Per "&amp;VLOOKUP($C$4,'Writing Logic'!$G$8:$H$14,2,FALSE),YES_Writing_ELA[#Headers],0)))),"")</f>
        <v/>
      </c>
      <c r="H87" s="138" t="str">
        <f>IFERROR(IF(IF(INDEX(_xlfn.VSTACK(YES_Writing_ELA[#Data],YES_Writing_FLA[#Data]),MATCH($A87,_xlfn.VSTACK(YES_Writing_ELA[Student Number],YES_Writing_FLA[Student Number]),0),MATCH(VLOOKUP(H$7,'Writing Logic'!$J$7:$K$11,2,FALSE)&amp;" - Per "&amp;VLOOKUP($C$4,'Writing Logic'!$G$8:$H$14,2,FALSE),YES_Writing_ELA[#Headers],0))=0,"",INDEX(_xlfn.VSTACK(YES_Writing_ELA[#Data],YES_Writing_FLA[#Data]),MATCH($A87,_xlfn.VSTACK(YES_Writing_ELA[Student Number],YES_Writing_FLA[Student Number]),0),MATCH(VLOOKUP(H$7,'Writing Logic'!$J$7:$K$11,2,FALSE)&amp;" - Per "&amp;VLOOKUP($C$4,'Writing Logic'!$G$8:$H$14,2,FALSE),YES_Writing_ELA[#Headers],0)))="INS",'Writing Logic'!$B$7,IF(INDEX(_xlfn.VSTACK(YES_Writing_ELA[#Data],YES_Writing_FLA[#Data]),MATCH($A87,_xlfn.VSTACK(YES_Writing_ELA[Student Number],YES_Writing_FLA[Student Number]),0),MATCH(VLOOKUP(H$7,'Writing Logic'!$J$7:$K$11,2,FALSE)&amp;" - Per "&amp;VLOOKUP($C$4,'Writing Logic'!$G$8:$H$14,2,FALSE),YES_Writing_ELA[#Headers],0))=0,"",INDEX(_xlfn.VSTACK(YES_Writing_ELA[#Data],YES_Writing_FLA[#Data]),MATCH($A87,_xlfn.VSTACK(YES_Writing_ELA[Student Number],YES_Writing_FLA[Student Number]),0),MATCH(VLOOKUP(H$7,'Writing Logic'!$J$7:$K$11,2,FALSE)&amp;" - Per "&amp;VLOOKUP($C$4,'Writing Logic'!$G$8:$H$14,2,FALSE),YES_Writing_ELA[#Headers],0)))),"")</f>
        <v/>
      </c>
    </row>
    <row r="88" spans="1:8" ht="14.25" customHeight="1" x14ac:dyDescent="0.25">
      <c r="A88" s="137"/>
      <c r="B88" s="137" t="str">
        <f>IFERROR(INDEX(_xlfn.VSTACK(YES_Writing_ELA[#Data], YES_Writing_FLA[#Data]),MATCH($A88,_xlfn.VSTACK(YES_Writing_ELA[Student Number], YES_Writing_FLA[Student Number]),0),MATCH(B$7,YES_Writing_ELA[#Headers],0)),"")</f>
        <v/>
      </c>
      <c r="C88" s="137" t="str">
        <f>IFERROR(INDEX(_xlfn.VSTACK(YES_Writing_ELA[#Data], YES_Writing_FLA[#Data]),MATCH($A88,_xlfn.VSTACK(YES_Writing_ELA[Student Number], YES_Writing_FLA[Student Number]),0),MATCH(C$7,YES_Writing_ELA[#Headers],0)),"")</f>
        <v/>
      </c>
      <c r="D88" s="138" t="str">
        <f>IFERROR(IF(IF(INDEX(_xlfn.VSTACK(YES_Writing_ELA[#Data],YES_Writing_FLA[#Data]),MATCH($A88,_xlfn.VSTACK(YES_Writing_ELA[Student Number],YES_Writing_FLA[Student Number]),0),MATCH(VLOOKUP(D$7,'Writing Logic'!$J$7:$K$11,2,FALSE)&amp;" - Per "&amp;VLOOKUP($C$4,'Writing Logic'!$G$8:$H$14,2,FALSE),YES_Writing_ELA[#Headers],0))=0,"",INDEX(_xlfn.VSTACK(YES_Writing_ELA[#Data],YES_Writing_FLA[#Data]),MATCH($A88,_xlfn.VSTACK(YES_Writing_ELA[Student Number],YES_Writing_FLA[Student Number]),0),MATCH(VLOOKUP(D$7,'Writing Logic'!$J$7:$K$11,2,FALSE)&amp;" - Per "&amp;VLOOKUP($C$4,'Writing Logic'!$G$8:$H$14,2,FALSE),YES_Writing_ELA[#Headers],0)))="INS",'Writing Logic'!$B$7,IF(INDEX(_xlfn.VSTACK(YES_Writing_ELA[#Data],YES_Writing_FLA[#Data]),MATCH($A88,_xlfn.VSTACK(YES_Writing_ELA[Student Number],YES_Writing_FLA[Student Number]),0),MATCH(VLOOKUP(D$7,'Writing Logic'!$J$7:$K$11,2,FALSE)&amp;" - Per "&amp;VLOOKUP($C$4,'Writing Logic'!$G$8:$H$14,2,FALSE),YES_Writing_ELA[#Headers],0))=0,"",INDEX(_xlfn.VSTACK(YES_Writing_ELA[#Data],YES_Writing_FLA[#Data]),MATCH($A88,_xlfn.VSTACK(YES_Writing_ELA[Student Number],YES_Writing_FLA[Student Number]),0),MATCH(VLOOKUP(D$7,'Writing Logic'!$J$7:$K$11,2,FALSE)&amp;" - Per "&amp;VLOOKUP($C$4,'Writing Logic'!$G$8:$H$14,2,FALSE),YES_Writing_ELA[#Headers],0)))),"")</f>
        <v/>
      </c>
      <c r="E88" s="138" t="str">
        <f>IFERROR(IF(IF(INDEX(_xlfn.VSTACK(YES_Writing_ELA[#Data],YES_Writing_FLA[#Data]),MATCH($A88,_xlfn.VSTACK(YES_Writing_ELA[Student Number],YES_Writing_FLA[Student Number]),0),MATCH(VLOOKUP(E$7,'Writing Logic'!$J$7:$K$11,2,FALSE)&amp;" - Per "&amp;VLOOKUP($C$4,'Writing Logic'!$G$8:$H$14,2,FALSE),YES_Writing_ELA[#Headers],0))=0,"",INDEX(_xlfn.VSTACK(YES_Writing_ELA[#Data],YES_Writing_FLA[#Data]),MATCH($A88,_xlfn.VSTACK(YES_Writing_ELA[Student Number],YES_Writing_FLA[Student Number]),0),MATCH(VLOOKUP(E$7,'Writing Logic'!$J$7:$K$11,2,FALSE)&amp;" - Per "&amp;VLOOKUP($C$4,'Writing Logic'!$G$8:$H$14,2,FALSE),YES_Writing_ELA[#Headers],0)))="INS",'Writing Logic'!$B$7,IF(INDEX(_xlfn.VSTACK(YES_Writing_ELA[#Data],YES_Writing_FLA[#Data]),MATCH($A88,_xlfn.VSTACK(YES_Writing_ELA[Student Number],YES_Writing_FLA[Student Number]),0),MATCH(VLOOKUP(E$7,'Writing Logic'!$J$7:$K$11,2,FALSE)&amp;" - Per "&amp;VLOOKUP($C$4,'Writing Logic'!$G$8:$H$14,2,FALSE),YES_Writing_ELA[#Headers],0))=0,"",INDEX(_xlfn.VSTACK(YES_Writing_ELA[#Data],YES_Writing_FLA[#Data]),MATCH($A88,_xlfn.VSTACK(YES_Writing_ELA[Student Number],YES_Writing_FLA[Student Number]),0),MATCH(VLOOKUP(E$7,'Writing Logic'!$J$7:$K$11,2,FALSE)&amp;" - Per "&amp;VLOOKUP($C$4,'Writing Logic'!$G$8:$H$14,2,FALSE),YES_Writing_ELA[#Headers],0)))),"")</f>
        <v/>
      </c>
      <c r="F88" s="138" t="str">
        <f>IFERROR(IF(IF(INDEX(_xlfn.VSTACK(YES_Writing_ELA[#Data],YES_Writing_FLA[#Data]),MATCH($A88,_xlfn.VSTACK(YES_Writing_ELA[Student Number],YES_Writing_FLA[Student Number]),0),MATCH(VLOOKUP(F$7,'Writing Logic'!$J$7:$K$11,2,FALSE)&amp;" - Per "&amp;VLOOKUP($C$4,'Writing Logic'!$G$8:$H$14,2,FALSE),YES_Writing_ELA[#Headers],0))=0,"",INDEX(_xlfn.VSTACK(YES_Writing_ELA[#Data],YES_Writing_FLA[#Data]),MATCH($A88,_xlfn.VSTACK(YES_Writing_ELA[Student Number],YES_Writing_FLA[Student Number]),0),MATCH(VLOOKUP(F$7,'Writing Logic'!$J$7:$K$11,2,FALSE)&amp;" - Per "&amp;VLOOKUP($C$4,'Writing Logic'!$G$8:$H$14,2,FALSE),YES_Writing_ELA[#Headers],0)))="INS",'Writing Logic'!$B$7,IF(INDEX(_xlfn.VSTACK(YES_Writing_ELA[#Data],YES_Writing_FLA[#Data]),MATCH($A88,_xlfn.VSTACK(YES_Writing_ELA[Student Number],YES_Writing_FLA[Student Number]),0),MATCH(VLOOKUP(F$7,'Writing Logic'!$J$7:$K$11,2,FALSE)&amp;" - Per "&amp;VLOOKUP($C$4,'Writing Logic'!$G$8:$H$14,2,FALSE),YES_Writing_ELA[#Headers],0))=0,"",INDEX(_xlfn.VSTACK(YES_Writing_ELA[#Data],YES_Writing_FLA[#Data]),MATCH($A88,_xlfn.VSTACK(YES_Writing_ELA[Student Number],YES_Writing_FLA[Student Number]),0),MATCH(VLOOKUP(F$7,'Writing Logic'!$J$7:$K$11,2,FALSE)&amp;" - Per "&amp;VLOOKUP($C$4,'Writing Logic'!$G$8:$H$14,2,FALSE),YES_Writing_ELA[#Headers],0)))),"")</f>
        <v/>
      </c>
      <c r="G88" s="138" t="str">
        <f>IFERROR(IF(IF(INDEX(_xlfn.VSTACK(YES_Writing_ELA[#Data],YES_Writing_FLA[#Data]),MATCH($A88,_xlfn.VSTACK(YES_Writing_ELA[Student Number],YES_Writing_FLA[Student Number]),0),MATCH(VLOOKUP(G$7,'Writing Logic'!$J$7:$K$11,2,FALSE)&amp;" - Per "&amp;VLOOKUP($C$4,'Writing Logic'!$G$8:$H$14,2,FALSE),YES_Writing_ELA[#Headers],0))=0,"",INDEX(_xlfn.VSTACK(YES_Writing_ELA[#Data],YES_Writing_FLA[#Data]),MATCH($A88,_xlfn.VSTACK(YES_Writing_ELA[Student Number],YES_Writing_FLA[Student Number]),0),MATCH(VLOOKUP(G$7,'Writing Logic'!$J$7:$K$11,2,FALSE)&amp;" - Per "&amp;VLOOKUP($C$4,'Writing Logic'!$G$8:$H$14,2,FALSE),YES_Writing_ELA[#Headers],0)))="INS",'Writing Logic'!$B$7,IF(INDEX(_xlfn.VSTACK(YES_Writing_ELA[#Data],YES_Writing_FLA[#Data]),MATCH($A88,_xlfn.VSTACK(YES_Writing_ELA[Student Number],YES_Writing_FLA[Student Number]),0),MATCH(VLOOKUP(G$7,'Writing Logic'!$J$7:$K$11,2,FALSE)&amp;" - Per "&amp;VLOOKUP($C$4,'Writing Logic'!$G$8:$H$14,2,FALSE),YES_Writing_ELA[#Headers],0))=0,"",INDEX(_xlfn.VSTACK(YES_Writing_ELA[#Data],YES_Writing_FLA[#Data]),MATCH($A88,_xlfn.VSTACK(YES_Writing_ELA[Student Number],YES_Writing_FLA[Student Number]),0),MATCH(VLOOKUP(G$7,'Writing Logic'!$J$7:$K$11,2,FALSE)&amp;" - Per "&amp;VLOOKUP($C$4,'Writing Logic'!$G$8:$H$14,2,FALSE),YES_Writing_ELA[#Headers],0)))),"")</f>
        <v/>
      </c>
      <c r="H88" s="138" t="str">
        <f>IFERROR(IF(IF(INDEX(_xlfn.VSTACK(YES_Writing_ELA[#Data],YES_Writing_FLA[#Data]),MATCH($A88,_xlfn.VSTACK(YES_Writing_ELA[Student Number],YES_Writing_FLA[Student Number]),0),MATCH(VLOOKUP(H$7,'Writing Logic'!$J$7:$K$11,2,FALSE)&amp;" - Per "&amp;VLOOKUP($C$4,'Writing Logic'!$G$8:$H$14,2,FALSE),YES_Writing_ELA[#Headers],0))=0,"",INDEX(_xlfn.VSTACK(YES_Writing_ELA[#Data],YES_Writing_FLA[#Data]),MATCH($A88,_xlfn.VSTACK(YES_Writing_ELA[Student Number],YES_Writing_FLA[Student Number]),0),MATCH(VLOOKUP(H$7,'Writing Logic'!$J$7:$K$11,2,FALSE)&amp;" - Per "&amp;VLOOKUP($C$4,'Writing Logic'!$G$8:$H$14,2,FALSE),YES_Writing_ELA[#Headers],0)))="INS",'Writing Logic'!$B$7,IF(INDEX(_xlfn.VSTACK(YES_Writing_ELA[#Data],YES_Writing_FLA[#Data]),MATCH($A88,_xlfn.VSTACK(YES_Writing_ELA[Student Number],YES_Writing_FLA[Student Number]),0),MATCH(VLOOKUP(H$7,'Writing Logic'!$J$7:$K$11,2,FALSE)&amp;" - Per "&amp;VLOOKUP($C$4,'Writing Logic'!$G$8:$H$14,2,FALSE),YES_Writing_ELA[#Headers],0))=0,"",INDEX(_xlfn.VSTACK(YES_Writing_ELA[#Data],YES_Writing_FLA[#Data]),MATCH($A88,_xlfn.VSTACK(YES_Writing_ELA[Student Number],YES_Writing_FLA[Student Number]),0),MATCH(VLOOKUP(H$7,'Writing Logic'!$J$7:$K$11,2,FALSE)&amp;" - Per "&amp;VLOOKUP($C$4,'Writing Logic'!$G$8:$H$14,2,FALSE),YES_Writing_ELA[#Headers],0)))),"")</f>
        <v/>
      </c>
    </row>
    <row r="89" spans="1:8" ht="14.25" customHeight="1" x14ac:dyDescent="0.25">
      <c r="A89" s="137"/>
      <c r="B89" s="137" t="str">
        <f>IFERROR(INDEX(_xlfn.VSTACK(YES_Writing_ELA[#Data], YES_Writing_FLA[#Data]),MATCH($A89,_xlfn.VSTACK(YES_Writing_ELA[Student Number], YES_Writing_FLA[Student Number]),0),MATCH(B$7,YES_Writing_ELA[#Headers],0)),"")</f>
        <v/>
      </c>
      <c r="C89" s="137" t="str">
        <f>IFERROR(INDEX(_xlfn.VSTACK(YES_Writing_ELA[#Data], YES_Writing_FLA[#Data]),MATCH($A89,_xlfn.VSTACK(YES_Writing_ELA[Student Number], YES_Writing_FLA[Student Number]),0),MATCH(C$7,YES_Writing_ELA[#Headers],0)),"")</f>
        <v/>
      </c>
      <c r="D89" s="138" t="str">
        <f>IFERROR(IF(IF(INDEX(_xlfn.VSTACK(YES_Writing_ELA[#Data],YES_Writing_FLA[#Data]),MATCH($A89,_xlfn.VSTACK(YES_Writing_ELA[Student Number],YES_Writing_FLA[Student Number]),0),MATCH(VLOOKUP(D$7,'Writing Logic'!$J$7:$K$11,2,FALSE)&amp;" - Per "&amp;VLOOKUP($C$4,'Writing Logic'!$G$8:$H$14,2,FALSE),YES_Writing_ELA[#Headers],0))=0,"",INDEX(_xlfn.VSTACK(YES_Writing_ELA[#Data],YES_Writing_FLA[#Data]),MATCH($A89,_xlfn.VSTACK(YES_Writing_ELA[Student Number],YES_Writing_FLA[Student Number]),0),MATCH(VLOOKUP(D$7,'Writing Logic'!$J$7:$K$11,2,FALSE)&amp;" - Per "&amp;VLOOKUP($C$4,'Writing Logic'!$G$8:$H$14,2,FALSE),YES_Writing_ELA[#Headers],0)))="INS",'Writing Logic'!$B$7,IF(INDEX(_xlfn.VSTACK(YES_Writing_ELA[#Data],YES_Writing_FLA[#Data]),MATCH($A89,_xlfn.VSTACK(YES_Writing_ELA[Student Number],YES_Writing_FLA[Student Number]),0),MATCH(VLOOKUP(D$7,'Writing Logic'!$J$7:$K$11,2,FALSE)&amp;" - Per "&amp;VLOOKUP($C$4,'Writing Logic'!$G$8:$H$14,2,FALSE),YES_Writing_ELA[#Headers],0))=0,"",INDEX(_xlfn.VSTACK(YES_Writing_ELA[#Data],YES_Writing_FLA[#Data]),MATCH($A89,_xlfn.VSTACK(YES_Writing_ELA[Student Number],YES_Writing_FLA[Student Number]),0),MATCH(VLOOKUP(D$7,'Writing Logic'!$J$7:$K$11,2,FALSE)&amp;" - Per "&amp;VLOOKUP($C$4,'Writing Logic'!$G$8:$H$14,2,FALSE),YES_Writing_ELA[#Headers],0)))),"")</f>
        <v/>
      </c>
      <c r="E89" s="138" t="str">
        <f>IFERROR(IF(IF(INDEX(_xlfn.VSTACK(YES_Writing_ELA[#Data],YES_Writing_FLA[#Data]),MATCH($A89,_xlfn.VSTACK(YES_Writing_ELA[Student Number],YES_Writing_FLA[Student Number]),0),MATCH(VLOOKUP(E$7,'Writing Logic'!$J$7:$K$11,2,FALSE)&amp;" - Per "&amp;VLOOKUP($C$4,'Writing Logic'!$G$8:$H$14,2,FALSE),YES_Writing_ELA[#Headers],0))=0,"",INDEX(_xlfn.VSTACK(YES_Writing_ELA[#Data],YES_Writing_FLA[#Data]),MATCH($A89,_xlfn.VSTACK(YES_Writing_ELA[Student Number],YES_Writing_FLA[Student Number]),0),MATCH(VLOOKUP(E$7,'Writing Logic'!$J$7:$K$11,2,FALSE)&amp;" - Per "&amp;VLOOKUP($C$4,'Writing Logic'!$G$8:$H$14,2,FALSE),YES_Writing_ELA[#Headers],0)))="INS",'Writing Logic'!$B$7,IF(INDEX(_xlfn.VSTACK(YES_Writing_ELA[#Data],YES_Writing_FLA[#Data]),MATCH($A89,_xlfn.VSTACK(YES_Writing_ELA[Student Number],YES_Writing_FLA[Student Number]),0),MATCH(VLOOKUP(E$7,'Writing Logic'!$J$7:$K$11,2,FALSE)&amp;" - Per "&amp;VLOOKUP($C$4,'Writing Logic'!$G$8:$H$14,2,FALSE),YES_Writing_ELA[#Headers],0))=0,"",INDEX(_xlfn.VSTACK(YES_Writing_ELA[#Data],YES_Writing_FLA[#Data]),MATCH($A89,_xlfn.VSTACK(YES_Writing_ELA[Student Number],YES_Writing_FLA[Student Number]),0),MATCH(VLOOKUP(E$7,'Writing Logic'!$J$7:$K$11,2,FALSE)&amp;" - Per "&amp;VLOOKUP($C$4,'Writing Logic'!$G$8:$H$14,2,FALSE),YES_Writing_ELA[#Headers],0)))),"")</f>
        <v/>
      </c>
      <c r="F89" s="138" t="str">
        <f>IFERROR(IF(IF(INDEX(_xlfn.VSTACK(YES_Writing_ELA[#Data],YES_Writing_FLA[#Data]),MATCH($A89,_xlfn.VSTACK(YES_Writing_ELA[Student Number],YES_Writing_FLA[Student Number]),0),MATCH(VLOOKUP(F$7,'Writing Logic'!$J$7:$K$11,2,FALSE)&amp;" - Per "&amp;VLOOKUP($C$4,'Writing Logic'!$G$8:$H$14,2,FALSE),YES_Writing_ELA[#Headers],0))=0,"",INDEX(_xlfn.VSTACK(YES_Writing_ELA[#Data],YES_Writing_FLA[#Data]),MATCH($A89,_xlfn.VSTACK(YES_Writing_ELA[Student Number],YES_Writing_FLA[Student Number]),0),MATCH(VLOOKUP(F$7,'Writing Logic'!$J$7:$K$11,2,FALSE)&amp;" - Per "&amp;VLOOKUP($C$4,'Writing Logic'!$G$8:$H$14,2,FALSE),YES_Writing_ELA[#Headers],0)))="INS",'Writing Logic'!$B$7,IF(INDEX(_xlfn.VSTACK(YES_Writing_ELA[#Data],YES_Writing_FLA[#Data]),MATCH($A89,_xlfn.VSTACK(YES_Writing_ELA[Student Number],YES_Writing_FLA[Student Number]),0),MATCH(VLOOKUP(F$7,'Writing Logic'!$J$7:$K$11,2,FALSE)&amp;" - Per "&amp;VLOOKUP($C$4,'Writing Logic'!$G$8:$H$14,2,FALSE),YES_Writing_ELA[#Headers],0))=0,"",INDEX(_xlfn.VSTACK(YES_Writing_ELA[#Data],YES_Writing_FLA[#Data]),MATCH($A89,_xlfn.VSTACK(YES_Writing_ELA[Student Number],YES_Writing_FLA[Student Number]),0),MATCH(VLOOKUP(F$7,'Writing Logic'!$J$7:$K$11,2,FALSE)&amp;" - Per "&amp;VLOOKUP($C$4,'Writing Logic'!$G$8:$H$14,2,FALSE),YES_Writing_ELA[#Headers],0)))),"")</f>
        <v/>
      </c>
      <c r="G89" s="138" t="str">
        <f>IFERROR(IF(IF(INDEX(_xlfn.VSTACK(YES_Writing_ELA[#Data],YES_Writing_FLA[#Data]),MATCH($A89,_xlfn.VSTACK(YES_Writing_ELA[Student Number],YES_Writing_FLA[Student Number]),0),MATCH(VLOOKUP(G$7,'Writing Logic'!$J$7:$K$11,2,FALSE)&amp;" - Per "&amp;VLOOKUP($C$4,'Writing Logic'!$G$8:$H$14,2,FALSE),YES_Writing_ELA[#Headers],0))=0,"",INDEX(_xlfn.VSTACK(YES_Writing_ELA[#Data],YES_Writing_FLA[#Data]),MATCH($A89,_xlfn.VSTACK(YES_Writing_ELA[Student Number],YES_Writing_FLA[Student Number]),0),MATCH(VLOOKUP(G$7,'Writing Logic'!$J$7:$K$11,2,FALSE)&amp;" - Per "&amp;VLOOKUP($C$4,'Writing Logic'!$G$8:$H$14,2,FALSE),YES_Writing_ELA[#Headers],0)))="INS",'Writing Logic'!$B$7,IF(INDEX(_xlfn.VSTACK(YES_Writing_ELA[#Data],YES_Writing_FLA[#Data]),MATCH($A89,_xlfn.VSTACK(YES_Writing_ELA[Student Number],YES_Writing_FLA[Student Number]),0),MATCH(VLOOKUP(G$7,'Writing Logic'!$J$7:$K$11,2,FALSE)&amp;" - Per "&amp;VLOOKUP($C$4,'Writing Logic'!$G$8:$H$14,2,FALSE),YES_Writing_ELA[#Headers],0))=0,"",INDEX(_xlfn.VSTACK(YES_Writing_ELA[#Data],YES_Writing_FLA[#Data]),MATCH($A89,_xlfn.VSTACK(YES_Writing_ELA[Student Number],YES_Writing_FLA[Student Number]),0),MATCH(VLOOKUP(G$7,'Writing Logic'!$J$7:$K$11,2,FALSE)&amp;" - Per "&amp;VLOOKUP($C$4,'Writing Logic'!$G$8:$H$14,2,FALSE),YES_Writing_ELA[#Headers],0)))),"")</f>
        <v/>
      </c>
      <c r="H89" s="138" t="str">
        <f>IFERROR(IF(IF(INDEX(_xlfn.VSTACK(YES_Writing_ELA[#Data],YES_Writing_FLA[#Data]),MATCH($A89,_xlfn.VSTACK(YES_Writing_ELA[Student Number],YES_Writing_FLA[Student Number]),0),MATCH(VLOOKUP(H$7,'Writing Logic'!$J$7:$K$11,2,FALSE)&amp;" - Per "&amp;VLOOKUP($C$4,'Writing Logic'!$G$8:$H$14,2,FALSE),YES_Writing_ELA[#Headers],0))=0,"",INDEX(_xlfn.VSTACK(YES_Writing_ELA[#Data],YES_Writing_FLA[#Data]),MATCH($A89,_xlfn.VSTACK(YES_Writing_ELA[Student Number],YES_Writing_FLA[Student Number]),0),MATCH(VLOOKUP(H$7,'Writing Logic'!$J$7:$K$11,2,FALSE)&amp;" - Per "&amp;VLOOKUP($C$4,'Writing Logic'!$G$8:$H$14,2,FALSE),YES_Writing_ELA[#Headers],0)))="INS",'Writing Logic'!$B$7,IF(INDEX(_xlfn.VSTACK(YES_Writing_ELA[#Data],YES_Writing_FLA[#Data]),MATCH($A89,_xlfn.VSTACK(YES_Writing_ELA[Student Number],YES_Writing_FLA[Student Number]),0),MATCH(VLOOKUP(H$7,'Writing Logic'!$J$7:$K$11,2,FALSE)&amp;" - Per "&amp;VLOOKUP($C$4,'Writing Logic'!$G$8:$H$14,2,FALSE),YES_Writing_ELA[#Headers],0))=0,"",INDEX(_xlfn.VSTACK(YES_Writing_ELA[#Data],YES_Writing_FLA[#Data]),MATCH($A89,_xlfn.VSTACK(YES_Writing_ELA[Student Number],YES_Writing_FLA[Student Number]),0),MATCH(VLOOKUP(H$7,'Writing Logic'!$J$7:$K$11,2,FALSE)&amp;" - Per "&amp;VLOOKUP($C$4,'Writing Logic'!$G$8:$H$14,2,FALSE),YES_Writing_ELA[#Headers],0)))),"")</f>
        <v/>
      </c>
    </row>
    <row r="90" spans="1:8" ht="14.25" customHeight="1" x14ac:dyDescent="0.25">
      <c r="A90" s="137"/>
      <c r="B90" s="137" t="str">
        <f>IFERROR(INDEX(_xlfn.VSTACK(YES_Writing_ELA[#Data], YES_Writing_FLA[#Data]),MATCH($A90,_xlfn.VSTACK(YES_Writing_ELA[Student Number], YES_Writing_FLA[Student Number]),0),MATCH(B$7,YES_Writing_ELA[#Headers],0)),"")</f>
        <v/>
      </c>
      <c r="C90" s="137" t="str">
        <f>IFERROR(INDEX(_xlfn.VSTACK(YES_Writing_ELA[#Data], YES_Writing_FLA[#Data]),MATCH($A90,_xlfn.VSTACK(YES_Writing_ELA[Student Number], YES_Writing_FLA[Student Number]),0),MATCH(C$7,YES_Writing_ELA[#Headers],0)),"")</f>
        <v/>
      </c>
      <c r="D90" s="138" t="str">
        <f>IFERROR(IF(IF(INDEX(_xlfn.VSTACK(YES_Writing_ELA[#Data],YES_Writing_FLA[#Data]),MATCH($A90,_xlfn.VSTACK(YES_Writing_ELA[Student Number],YES_Writing_FLA[Student Number]),0),MATCH(VLOOKUP(D$7,'Writing Logic'!$J$7:$K$11,2,FALSE)&amp;" - Per "&amp;VLOOKUP($C$4,'Writing Logic'!$G$8:$H$14,2,FALSE),YES_Writing_ELA[#Headers],0))=0,"",INDEX(_xlfn.VSTACK(YES_Writing_ELA[#Data],YES_Writing_FLA[#Data]),MATCH($A90,_xlfn.VSTACK(YES_Writing_ELA[Student Number],YES_Writing_FLA[Student Number]),0),MATCH(VLOOKUP(D$7,'Writing Logic'!$J$7:$K$11,2,FALSE)&amp;" - Per "&amp;VLOOKUP($C$4,'Writing Logic'!$G$8:$H$14,2,FALSE),YES_Writing_ELA[#Headers],0)))="INS",'Writing Logic'!$B$7,IF(INDEX(_xlfn.VSTACK(YES_Writing_ELA[#Data],YES_Writing_FLA[#Data]),MATCH($A90,_xlfn.VSTACK(YES_Writing_ELA[Student Number],YES_Writing_FLA[Student Number]),0),MATCH(VLOOKUP(D$7,'Writing Logic'!$J$7:$K$11,2,FALSE)&amp;" - Per "&amp;VLOOKUP($C$4,'Writing Logic'!$G$8:$H$14,2,FALSE),YES_Writing_ELA[#Headers],0))=0,"",INDEX(_xlfn.VSTACK(YES_Writing_ELA[#Data],YES_Writing_FLA[#Data]),MATCH($A90,_xlfn.VSTACK(YES_Writing_ELA[Student Number],YES_Writing_FLA[Student Number]),0),MATCH(VLOOKUP(D$7,'Writing Logic'!$J$7:$K$11,2,FALSE)&amp;" - Per "&amp;VLOOKUP($C$4,'Writing Logic'!$G$8:$H$14,2,FALSE),YES_Writing_ELA[#Headers],0)))),"")</f>
        <v/>
      </c>
      <c r="E90" s="138" t="str">
        <f>IFERROR(IF(IF(INDEX(_xlfn.VSTACK(YES_Writing_ELA[#Data],YES_Writing_FLA[#Data]),MATCH($A90,_xlfn.VSTACK(YES_Writing_ELA[Student Number],YES_Writing_FLA[Student Number]),0),MATCH(VLOOKUP(E$7,'Writing Logic'!$J$7:$K$11,2,FALSE)&amp;" - Per "&amp;VLOOKUP($C$4,'Writing Logic'!$G$8:$H$14,2,FALSE),YES_Writing_ELA[#Headers],0))=0,"",INDEX(_xlfn.VSTACK(YES_Writing_ELA[#Data],YES_Writing_FLA[#Data]),MATCH($A90,_xlfn.VSTACK(YES_Writing_ELA[Student Number],YES_Writing_FLA[Student Number]),0),MATCH(VLOOKUP(E$7,'Writing Logic'!$J$7:$K$11,2,FALSE)&amp;" - Per "&amp;VLOOKUP($C$4,'Writing Logic'!$G$8:$H$14,2,FALSE),YES_Writing_ELA[#Headers],0)))="INS",'Writing Logic'!$B$7,IF(INDEX(_xlfn.VSTACK(YES_Writing_ELA[#Data],YES_Writing_FLA[#Data]),MATCH($A90,_xlfn.VSTACK(YES_Writing_ELA[Student Number],YES_Writing_FLA[Student Number]),0),MATCH(VLOOKUP(E$7,'Writing Logic'!$J$7:$K$11,2,FALSE)&amp;" - Per "&amp;VLOOKUP($C$4,'Writing Logic'!$G$8:$H$14,2,FALSE),YES_Writing_ELA[#Headers],0))=0,"",INDEX(_xlfn.VSTACK(YES_Writing_ELA[#Data],YES_Writing_FLA[#Data]),MATCH($A90,_xlfn.VSTACK(YES_Writing_ELA[Student Number],YES_Writing_FLA[Student Number]),0),MATCH(VLOOKUP(E$7,'Writing Logic'!$J$7:$K$11,2,FALSE)&amp;" - Per "&amp;VLOOKUP($C$4,'Writing Logic'!$G$8:$H$14,2,FALSE),YES_Writing_ELA[#Headers],0)))),"")</f>
        <v/>
      </c>
      <c r="F90" s="138" t="str">
        <f>IFERROR(IF(IF(INDEX(_xlfn.VSTACK(YES_Writing_ELA[#Data],YES_Writing_FLA[#Data]),MATCH($A90,_xlfn.VSTACK(YES_Writing_ELA[Student Number],YES_Writing_FLA[Student Number]),0),MATCH(VLOOKUP(F$7,'Writing Logic'!$J$7:$K$11,2,FALSE)&amp;" - Per "&amp;VLOOKUP($C$4,'Writing Logic'!$G$8:$H$14,2,FALSE),YES_Writing_ELA[#Headers],0))=0,"",INDEX(_xlfn.VSTACK(YES_Writing_ELA[#Data],YES_Writing_FLA[#Data]),MATCH($A90,_xlfn.VSTACK(YES_Writing_ELA[Student Number],YES_Writing_FLA[Student Number]),0),MATCH(VLOOKUP(F$7,'Writing Logic'!$J$7:$K$11,2,FALSE)&amp;" - Per "&amp;VLOOKUP($C$4,'Writing Logic'!$G$8:$H$14,2,FALSE),YES_Writing_ELA[#Headers],0)))="INS",'Writing Logic'!$B$7,IF(INDEX(_xlfn.VSTACK(YES_Writing_ELA[#Data],YES_Writing_FLA[#Data]),MATCH($A90,_xlfn.VSTACK(YES_Writing_ELA[Student Number],YES_Writing_FLA[Student Number]),0),MATCH(VLOOKUP(F$7,'Writing Logic'!$J$7:$K$11,2,FALSE)&amp;" - Per "&amp;VLOOKUP($C$4,'Writing Logic'!$G$8:$H$14,2,FALSE),YES_Writing_ELA[#Headers],0))=0,"",INDEX(_xlfn.VSTACK(YES_Writing_ELA[#Data],YES_Writing_FLA[#Data]),MATCH($A90,_xlfn.VSTACK(YES_Writing_ELA[Student Number],YES_Writing_FLA[Student Number]),0),MATCH(VLOOKUP(F$7,'Writing Logic'!$J$7:$K$11,2,FALSE)&amp;" - Per "&amp;VLOOKUP($C$4,'Writing Logic'!$G$8:$H$14,2,FALSE),YES_Writing_ELA[#Headers],0)))),"")</f>
        <v/>
      </c>
      <c r="G90" s="138" t="str">
        <f>IFERROR(IF(IF(INDEX(_xlfn.VSTACK(YES_Writing_ELA[#Data],YES_Writing_FLA[#Data]),MATCH($A90,_xlfn.VSTACK(YES_Writing_ELA[Student Number],YES_Writing_FLA[Student Number]),0),MATCH(VLOOKUP(G$7,'Writing Logic'!$J$7:$K$11,2,FALSE)&amp;" - Per "&amp;VLOOKUP($C$4,'Writing Logic'!$G$8:$H$14,2,FALSE),YES_Writing_ELA[#Headers],0))=0,"",INDEX(_xlfn.VSTACK(YES_Writing_ELA[#Data],YES_Writing_FLA[#Data]),MATCH($A90,_xlfn.VSTACK(YES_Writing_ELA[Student Number],YES_Writing_FLA[Student Number]),0),MATCH(VLOOKUP(G$7,'Writing Logic'!$J$7:$K$11,2,FALSE)&amp;" - Per "&amp;VLOOKUP($C$4,'Writing Logic'!$G$8:$H$14,2,FALSE),YES_Writing_ELA[#Headers],0)))="INS",'Writing Logic'!$B$7,IF(INDEX(_xlfn.VSTACK(YES_Writing_ELA[#Data],YES_Writing_FLA[#Data]),MATCH($A90,_xlfn.VSTACK(YES_Writing_ELA[Student Number],YES_Writing_FLA[Student Number]),0),MATCH(VLOOKUP(G$7,'Writing Logic'!$J$7:$K$11,2,FALSE)&amp;" - Per "&amp;VLOOKUP($C$4,'Writing Logic'!$G$8:$H$14,2,FALSE),YES_Writing_ELA[#Headers],0))=0,"",INDEX(_xlfn.VSTACK(YES_Writing_ELA[#Data],YES_Writing_FLA[#Data]),MATCH($A90,_xlfn.VSTACK(YES_Writing_ELA[Student Number],YES_Writing_FLA[Student Number]),0),MATCH(VLOOKUP(G$7,'Writing Logic'!$J$7:$K$11,2,FALSE)&amp;" - Per "&amp;VLOOKUP($C$4,'Writing Logic'!$G$8:$H$14,2,FALSE),YES_Writing_ELA[#Headers],0)))),"")</f>
        <v/>
      </c>
      <c r="H90" s="138" t="str">
        <f>IFERROR(IF(IF(INDEX(_xlfn.VSTACK(YES_Writing_ELA[#Data],YES_Writing_FLA[#Data]),MATCH($A90,_xlfn.VSTACK(YES_Writing_ELA[Student Number],YES_Writing_FLA[Student Number]),0),MATCH(VLOOKUP(H$7,'Writing Logic'!$J$7:$K$11,2,FALSE)&amp;" - Per "&amp;VLOOKUP($C$4,'Writing Logic'!$G$8:$H$14,2,FALSE),YES_Writing_ELA[#Headers],0))=0,"",INDEX(_xlfn.VSTACK(YES_Writing_ELA[#Data],YES_Writing_FLA[#Data]),MATCH($A90,_xlfn.VSTACK(YES_Writing_ELA[Student Number],YES_Writing_FLA[Student Number]),0),MATCH(VLOOKUP(H$7,'Writing Logic'!$J$7:$K$11,2,FALSE)&amp;" - Per "&amp;VLOOKUP($C$4,'Writing Logic'!$G$8:$H$14,2,FALSE),YES_Writing_ELA[#Headers],0)))="INS",'Writing Logic'!$B$7,IF(INDEX(_xlfn.VSTACK(YES_Writing_ELA[#Data],YES_Writing_FLA[#Data]),MATCH($A90,_xlfn.VSTACK(YES_Writing_ELA[Student Number],YES_Writing_FLA[Student Number]),0),MATCH(VLOOKUP(H$7,'Writing Logic'!$J$7:$K$11,2,FALSE)&amp;" - Per "&amp;VLOOKUP($C$4,'Writing Logic'!$G$8:$H$14,2,FALSE),YES_Writing_ELA[#Headers],0))=0,"",INDEX(_xlfn.VSTACK(YES_Writing_ELA[#Data],YES_Writing_FLA[#Data]),MATCH($A90,_xlfn.VSTACK(YES_Writing_ELA[Student Number],YES_Writing_FLA[Student Number]),0),MATCH(VLOOKUP(H$7,'Writing Logic'!$J$7:$K$11,2,FALSE)&amp;" - Per "&amp;VLOOKUP($C$4,'Writing Logic'!$G$8:$H$14,2,FALSE),YES_Writing_ELA[#Headers],0)))),"")</f>
        <v/>
      </c>
    </row>
    <row r="91" spans="1:8" ht="14.25" customHeight="1" x14ac:dyDescent="0.25">
      <c r="A91" s="137"/>
      <c r="B91" s="137" t="str">
        <f>IFERROR(INDEX(_xlfn.VSTACK(YES_Writing_ELA[#Data], YES_Writing_FLA[#Data]),MATCH($A91,_xlfn.VSTACK(YES_Writing_ELA[Student Number], YES_Writing_FLA[Student Number]),0),MATCH(B$7,YES_Writing_ELA[#Headers],0)),"")</f>
        <v/>
      </c>
      <c r="C91" s="137" t="str">
        <f>IFERROR(INDEX(_xlfn.VSTACK(YES_Writing_ELA[#Data], YES_Writing_FLA[#Data]),MATCH($A91,_xlfn.VSTACK(YES_Writing_ELA[Student Number], YES_Writing_FLA[Student Number]),0),MATCH(C$7,YES_Writing_ELA[#Headers],0)),"")</f>
        <v/>
      </c>
      <c r="D91" s="138" t="str">
        <f>IFERROR(IF(IF(INDEX(_xlfn.VSTACK(YES_Writing_ELA[#Data],YES_Writing_FLA[#Data]),MATCH($A91,_xlfn.VSTACK(YES_Writing_ELA[Student Number],YES_Writing_FLA[Student Number]),0),MATCH(VLOOKUP(D$7,'Writing Logic'!$J$7:$K$11,2,FALSE)&amp;" - Per "&amp;VLOOKUP($C$4,'Writing Logic'!$G$8:$H$14,2,FALSE),YES_Writing_ELA[#Headers],0))=0,"",INDEX(_xlfn.VSTACK(YES_Writing_ELA[#Data],YES_Writing_FLA[#Data]),MATCH($A91,_xlfn.VSTACK(YES_Writing_ELA[Student Number],YES_Writing_FLA[Student Number]),0),MATCH(VLOOKUP(D$7,'Writing Logic'!$J$7:$K$11,2,FALSE)&amp;" - Per "&amp;VLOOKUP($C$4,'Writing Logic'!$G$8:$H$14,2,FALSE),YES_Writing_ELA[#Headers],0)))="INS",'Writing Logic'!$B$7,IF(INDEX(_xlfn.VSTACK(YES_Writing_ELA[#Data],YES_Writing_FLA[#Data]),MATCH($A91,_xlfn.VSTACK(YES_Writing_ELA[Student Number],YES_Writing_FLA[Student Number]),0),MATCH(VLOOKUP(D$7,'Writing Logic'!$J$7:$K$11,2,FALSE)&amp;" - Per "&amp;VLOOKUP($C$4,'Writing Logic'!$G$8:$H$14,2,FALSE),YES_Writing_ELA[#Headers],0))=0,"",INDEX(_xlfn.VSTACK(YES_Writing_ELA[#Data],YES_Writing_FLA[#Data]),MATCH($A91,_xlfn.VSTACK(YES_Writing_ELA[Student Number],YES_Writing_FLA[Student Number]),0),MATCH(VLOOKUP(D$7,'Writing Logic'!$J$7:$K$11,2,FALSE)&amp;" - Per "&amp;VLOOKUP($C$4,'Writing Logic'!$G$8:$H$14,2,FALSE),YES_Writing_ELA[#Headers],0)))),"")</f>
        <v/>
      </c>
      <c r="E91" s="138" t="str">
        <f>IFERROR(IF(IF(INDEX(_xlfn.VSTACK(YES_Writing_ELA[#Data],YES_Writing_FLA[#Data]),MATCH($A91,_xlfn.VSTACK(YES_Writing_ELA[Student Number],YES_Writing_FLA[Student Number]),0),MATCH(VLOOKUP(E$7,'Writing Logic'!$J$7:$K$11,2,FALSE)&amp;" - Per "&amp;VLOOKUP($C$4,'Writing Logic'!$G$8:$H$14,2,FALSE),YES_Writing_ELA[#Headers],0))=0,"",INDEX(_xlfn.VSTACK(YES_Writing_ELA[#Data],YES_Writing_FLA[#Data]),MATCH($A91,_xlfn.VSTACK(YES_Writing_ELA[Student Number],YES_Writing_FLA[Student Number]),0),MATCH(VLOOKUP(E$7,'Writing Logic'!$J$7:$K$11,2,FALSE)&amp;" - Per "&amp;VLOOKUP($C$4,'Writing Logic'!$G$8:$H$14,2,FALSE),YES_Writing_ELA[#Headers],0)))="INS",'Writing Logic'!$B$7,IF(INDEX(_xlfn.VSTACK(YES_Writing_ELA[#Data],YES_Writing_FLA[#Data]),MATCH($A91,_xlfn.VSTACK(YES_Writing_ELA[Student Number],YES_Writing_FLA[Student Number]),0),MATCH(VLOOKUP(E$7,'Writing Logic'!$J$7:$K$11,2,FALSE)&amp;" - Per "&amp;VLOOKUP($C$4,'Writing Logic'!$G$8:$H$14,2,FALSE),YES_Writing_ELA[#Headers],0))=0,"",INDEX(_xlfn.VSTACK(YES_Writing_ELA[#Data],YES_Writing_FLA[#Data]),MATCH($A91,_xlfn.VSTACK(YES_Writing_ELA[Student Number],YES_Writing_FLA[Student Number]),0),MATCH(VLOOKUP(E$7,'Writing Logic'!$J$7:$K$11,2,FALSE)&amp;" - Per "&amp;VLOOKUP($C$4,'Writing Logic'!$G$8:$H$14,2,FALSE),YES_Writing_ELA[#Headers],0)))),"")</f>
        <v/>
      </c>
      <c r="F91" s="138" t="str">
        <f>IFERROR(IF(IF(INDEX(_xlfn.VSTACK(YES_Writing_ELA[#Data],YES_Writing_FLA[#Data]),MATCH($A91,_xlfn.VSTACK(YES_Writing_ELA[Student Number],YES_Writing_FLA[Student Number]),0),MATCH(VLOOKUP(F$7,'Writing Logic'!$J$7:$K$11,2,FALSE)&amp;" - Per "&amp;VLOOKUP($C$4,'Writing Logic'!$G$8:$H$14,2,FALSE),YES_Writing_ELA[#Headers],0))=0,"",INDEX(_xlfn.VSTACK(YES_Writing_ELA[#Data],YES_Writing_FLA[#Data]),MATCH($A91,_xlfn.VSTACK(YES_Writing_ELA[Student Number],YES_Writing_FLA[Student Number]),0),MATCH(VLOOKUP(F$7,'Writing Logic'!$J$7:$K$11,2,FALSE)&amp;" - Per "&amp;VLOOKUP($C$4,'Writing Logic'!$G$8:$H$14,2,FALSE),YES_Writing_ELA[#Headers],0)))="INS",'Writing Logic'!$B$7,IF(INDEX(_xlfn.VSTACK(YES_Writing_ELA[#Data],YES_Writing_FLA[#Data]),MATCH($A91,_xlfn.VSTACK(YES_Writing_ELA[Student Number],YES_Writing_FLA[Student Number]),0),MATCH(VLOOKUP(F$7,'Writing Logic'!$J$7:$K$11,2,FALSE)&amp;" - Per "&amp;VLOOKUP($C$4,'Writing Logic'!$G$8:$H$14,2,FALSE),YES_Writing_ELA[#Headers],0))=0,"",INDEX(_xlfn.VSTACK(YES_Writing_ELA[#Data],YES_Writing_FLA[#Data]),MATCH($A91,_xlfn.VSTACK(YES_Writing_ELA[Student Number],YES_Writing_FLA[Student Number]),0),MATCH(VLOOKUP(F$7,'Writing Logic'!$J$7:$K$11,2,FALSE)&amp;" - Per "&amp;VLOOKUP($C$4,'Writing Logic'!$G$8:$H$14,2,FALSE),YES_Writing_ELA[#Headers],0)))),"")</f>
        <v/>
      </c>
      <c r="G91" s="138" t="str">
        <f>IFERROR(IF(IF(INDEX(_xlfn.VSTACK(YES_Writing_ELA[#Data],YES_Writing_FLA[#Data]),MATCH($A91,_xlfn.VSTACK(YES_Writing_ELA[Student Number],YES_Writing_FLA[Student Number]),0),MATCH(VLOOKUP(G$7,'Writing Logic'!$J$7:$K$11,2,FALSE)&amp;" - Per "&amp;VLOOKUP($C$4,'Writing Logic'!$G$8:$H$14,2,FALSE),YES_Writing_ELA[#Headers],0))=0,"",INDEX(_xlfn.VSTACK(YES_Writing_ELA[#Data],YES_Writing_FLA[#Data]),MATCH($A91,_xlfn.VSTACK(YES_Writing_ELA[Student Number],YES_Writing_FLA[Student Number]),0),MATCH(VLOOKUP(G$7,'Writing Logic'!$J$7:$K$11,2,FALSE)&amp;" - Per "&amp;VLOOKUP($C$4,'Writing Logic'!$G$8:$H$14,2,FALSE),YES_Writing_ELA[#Headers],0)))="INS",'Writing Logic'!$B$7,IF(INDEX(_xlfn.VSTACK(YES_Writing_ELA[#Data],YES_Writing_FLA[#Data]),MATCH($A91,_xlfn.VSTACK(YES_Writing_ELA[Student Number],YES_Writing_FLA[Student Number]),0),MATCH(VLOOKUP(G$7,'Writing Logic'!$J$7:$K$11,2,FALSE)&amp;" - Per "&amp;VLOOKUP($C$4,'Writing Logic'!$G$8:$H$14,2,FALSE),YES_Writing_ELA[#Headers],0))=0,"",INDEX(_xlfn.VSTACK(YES_Writing_ELA[#Data],YES_Writing_FLA[#Data]),MATCH($A91,_xlfn.VSTACK(YES_Writing_ELA[Student Number],YES_Writing_FLA[Student Number]),0),MATCH(VLOOKUP(G$7,'Writing Logic'!$J$7:$K$11,2,FALSE)&amp;" - Per "&amp;VLOOKUP($C$4,'Writing Logic'!$G$8:$H$14,2,FALSE),YES_Writing_ELA[#Headers],0)))),"")</f>
        <v/>
      </c>
      <c r="H91" s="138" t="str">
        <f>IFERROR(IF(IF(INDEX(_xlfn.VSTACK(YES_Writing_ELA[#Data],YES_Writing_FLA[#Data]),MATCH($A91,_xlfn.VSTACK(YES_Writing_ELA[Student Number],YES_Writing_FLA[Student Number]),0),MATCH(VLOOKUP(H$7,'Writing Logic'!$J$7:$K$11,2,FALSE)&amp;" - Per "&amp;VLOOKUP($C$4,'Writing Logic'!$G$8:$H$14,2,FALSE),YES_Writing_ELA[#Headers],0))=0,"",INDEX(_xlfn.VSTACK(YES_Writing_ELA[#Data],YES_Writing_FLA[#Data]),MATCH($A91,_xlfn.VSTACK(YES_Writing_ELA[Student Number],YES_Writing_FLA[Student Number]),0),MATCH(VLOOKUP(H$7,'Writing Logic'!$J$7:$K$11,2,FALSE)&amp;" - Per "&amp;VLOOKUP($C$4,'Writing Logic'!$G$8:$H$14,2,FALSE),YES_Writing_ELA[#Headers],0)))="INS",'Writing Logic'!$B$7,IF(INDEX(_xlfn.VSTACK(YES_Writing_ELA[#Data],YES_Writing_FLA[#Data]),MATCH($A91,_xlfn.VSTACK(YES_Writing_ELA[Student Number],YES_Writing_FLA[Student Number]),0),MATCH(VLOOKUP(H$7,'Writing Logic'!$J$7:$K$11,2,FALSE)&amp;" - Per "&amp;VLOOKUP($C$4,'Writing Logic'!$G$8:$H$14,2,FALSE),YES_Writing_ELA[#Headers],0))=0,"",INDEX(_xlfn.VSTACK(YES_Writing_ELA[#Data],YES_Writing_FLA[#Data]),MATCH($A91,_xlfn.VSTACK(YES_Writing_ELA[Student Number],YES_Writing_FLA[Student Number]),0),MATCH(VLOOKUP(H$7,'Writing Logic'!$J$7:$K$11,2,FALSE)&amp;" - Per "&amp;VLOOKUP($C$4,'Writing Logic'!$G$8:$H$14,2,FALSE),YES_Writing_ELA[#Headers],0)))),"")</f>
        <v/>
      </c>
    </row>
    <row r="92" spans="1:8" ht="14.25" customHeight="1" x14ac:dyDescent="0.25">
      <c r="A92" s="137"/>
      <c r="B92" s="137" t="str">
        <f>IFERROR(INDEX(_xlfn.VSTACK(YES_Writing_ELA[#Data], YES_Writing_FLA[#Data]),MATCH($A92,_xlfn.VSTACK(YES_Writing_ELA[Student Number], YES_Writing_FLA[Student Number]),0),MATCH(B$7,YES_Writing_ELA[#Headers],0)),"")</f>
        <v/>
      </c>
      <c r="C92" s="137" t="str">
        <f>IFERROR(INDEX(_xlfn.VSTACK(YES_Writing_ELA[#Data], YES_Writing_FLA[#Data]),MATCH($A92,_xlfn.VSTACK(YES_Writing_ELA[Student Number], YES_Writing_FLA[Student Number]),0),MATCH(C$7,YES_Writing_ELA[#Headers],0)),"")</f>
        <v/>
      </c>
      <c r="D92" s="138" t="str">
        <f>IFERROR(IF(IF(INDEX(_xlfn.VSTACK(YES_Writing_ELA[#Data],YES_Writing_FLA[#Data]),MATCH($A92,_xlfn.VSTACK(YES_Writing_ELA[Student Number],YES_Writing_FLA[Student Number]),0),MATCH(VLOOKUP(D$7,'Writing Logic'!$J$7:$K$11,2,FALSE)&amp;" - Per "&amp;VLOOKUP($C$4,'Writing Logic'!$G$8:$H$14,2,FALSE),YES_Writing_ELA[#Headers],0))=0,"",INDEX(_xlfn.VSTACK(YES_Writing_ELA[#Data],YES_Writing_FLA[#Data]),MATCH($A92,_xlfn.VSTACK(YES_Writing_ELA[Student Number],YES_Writing_FLA[Student Number]),0),MATCH(VLOOKUP(D$7,'Writing Logic'!$J$7:$K$11,2,FALSE)&amp;" - Per "&amp;VLOOKUP($C$4,'Writing Logic'!$G$8:$H$14,2,FALSE),YES_Writing_ELA[#Headers],0)))="INS",'Writing Logic'!$B$7,IF(INDEX(_xlfn.VSTACK(YES_Writing_ELA[#Data],YES_Writing_FLA[#Data]),MATCH($A92,_xlfn.VSTACK(YES_Writing_ELA[Student Number],YES_Writing_FLA[Student Number]),0),MATCH(VLOOKUP(D$7,'Writing Logic'!$J$7:$K$11,2,FALSE)&amp;" - Per "&amp;VLOOKUP($C$4,'Writing Logic'!$G$8:$H$14,2,FALSE),YES_Writing_ELA[#Headers],0))=0,"",INDEX(_xlfn.VSTACK(YES_Writing_ELA[#Data],YES_Writing_FLA[#Data]),MATCH($A92,_xlfn.VSTACK(YES_Writing_ELA[Student Number],YES_Writing_FLA[Student Number]),0),MATCH(VLOOKUP(D$7,'Writing Logic'!$J$7:$K$11,2,FALSE)&amp;" - Per "&amp;VLOOKUP($C$4,'Writing Logic'!$G$8:$H$14,2,FALSE),YES_Writing_ELA[#Headers],0)))),"")</f>
        <v/>
      </c>
      <c r="E92" s="138" t="str">
        <f>IFERROR(IF(IF(INDEX(_xlfn.VSTACK(YES_Writing_ELA[#Data],YES_Writing_FLA[#Data]),MATCH($A92,_xlfn.VSTACK(YES_Writing_ELA[Student Number],YES_Writing_FLA[Student Number]),0),MATCH(VLOOKUP(E$7,'Writing Logic'!$J$7:$K$11,2,FALSE)&amp;" - Per "&amp;VLOOKUP($C$4,'Writing Logic'!$G$8:$H$14,2,FALSE),YES_Writing_ELA[#Headers],0))=0,"",INDEX(_xlfn.VSTACK(YES_Writing_ELA[#Data],YES_Writing_FLA[#Data]),MATCH($A92,_xlfn.VSTACK(YES_Writing_ELA[Student Number],YES_Writing_FLA[Student Number]),0),MATCH(VLOOKUP(E$7,'Writing Logic'!$J$7:$K$11,2,FALSE)&amp;" - Per "&amp;VLOOKUP($C$4,'Writing Logic'!$G$8:$H$14,2,FALSE),YES_Writing_ELA[#Headers],0)))="INS",'Writing Logic'!$B$7,IF(INDEX(_xlfn.VSTACK(YES_Writing_ELA[#Data],YES_Writing_FLA[#Data]),MATCH($A92,_xlfn.VSTACK(YES_Writing_ELA[Student Number],YES_Writing_FLA[Student Number]),0),MATCH(VLOOKUP(E$7,'Writing Logic'!$J$7:$K$11,2,FALSE)&amp;" - Per "&amp;VLOOKUP($C$4,'Writing Logic'!$G$8:$H$14,2,FALSE),YES_Writing_ELA[#Headers],0))=0,"",INDEX(_xlfn.VSTACK(YES_Writing_ELA[#Data],YES_Writing_FLA[#Data]),MATCH($A92,_xlfn.VSTACK(YES_Writing_ELA[Student Number],YES_Writing_FLA[Student Number]),0),MATCH(VLOOKUP(E$7,'Writing Logic'!$J$7:$K$11,2,FALSE)&amp;" - Per "&amp;VLOOKUP($C$4,'Writing Logic'!$G$8:$H$14,2,FALSE),YES_Writing_ELA[#Headers],0)))),"")</f>
        <v/>
      </c>
      <c r="F92" s="138" t="str">
        <f>IFERROR(IF(IF(INDEX(_xlfn.VSTACK(YES_Writing_ELA[#Data],YES_Writing_FLA[#Data]),MATCH($A92,_xlfn.VSTACK(YES_Writing_ELA[Student Number],YES_Writing_FLA[Student Number]),0),MATCH(VLOOKUP(F$7,'Writing Logic'!$J$7:$K$11,2,FALSE)&amp;" - Per "&amp;VLOOKUP($C$4,'Writing Logic'!$G$8:$H$14,2,FALSE),YES_Writing_ELA[#Headers],0))=0,"",INDEX(_xlfn.VSTACK(YES_Writing_ELA[#Data],YES_Writing_FLA[#Data]),MATCH($A92,_xlfn.VSTACK(YES_Writing_ELA[Student Number],YES_Writing_FLA[Student Number]),0),MATCH(VLOOKUP(F$7,'Writing Logic'!$J$7:$K$11,2,FALSE)&amp;" - Per "&amp;VLOOKUP($C$4,'Writing Logic'!$G$8:$H$14,2,FALSE),YES_Writing_ELA[#Headers],0)))="INS",'Writing Logic'!$B$7,IF(INDEX(_xlfn.VSTACK(YES_Writing_ELA[#Data],YES_Writing_FLA[#Data]),MATCH($A92,_xlfn.VSTACK(YES_Writing_ELA[Student Number],YES_Writing_FLA[Student Number]),0),MATCH(VLOOKUP(F$7,'Writing Logic'!$J$7:$K$11,2,FALSE)&amp;" - Per "&amp;VLOOKUP($C$4,'Writing Logic'!$G$8:$H$14,2,FALSE),YES_Writing_ELA[#Headers],0))=0,"",INDEX(_xlfn.VSTACK(YES_Writing_ELA[#Data],YES_Writing_FLA[#Data]),MATCH($A92,_xlfn.VSTACK(YES_Writing_ELA[Student Number],YES_Writing_FLA[Student Number]),0),MATCH(VLOOKUP(F$7,'Writing Logic'!$J$7:$K$11,2,FALSE)&amp;" - Per "&amp;VLOOKUP($C$4,'Writing Logic'!$G$8:$H$14,2,FALSE),YES_Writing_ELA[#Headers],0)))),"")</f>
        <v/>
      </c>
      <c r="G92" s="138" t="str">
        <f>IFERROR(IF(IF(INDEX(_xlfn.VSTACK(YES_Writing_ELA[#Data],YES_Writing_FLA[#Data]),MATCH($A92,_xlfn.VSTACK(YES_Writing_ELA[Student Number],YES_Writing_FLA[Student Number]),0),MATCH(VLOOKUP(G$7,'Writing Logic'!$J$7:$K$11,2,FALSE)&amp;" - Per "&amp;VLOOKUP($C$4,'Writing Logic'!$G$8:$H$14,2,FALSE),YES_Writing_ELA[#Headers],0))=0,"",INDEX(_xlfn.VSTACK(YES_Writing_ELA[#Data],YES_Writing_FLA[#Data]),MATCH($A92,_xlfn.VSTACK(YES_Writing_ELA[Student Number],YES_Writing_FLA[Student Number]),0),MATCH(VLOOKUP(G$7,'Writing Logic'!$J$7:$K$11,2,FALSE)&amp;" - Per "&amp;VLOOKUP($C$4,'Writing Logic'!$G$8:$H$14,2,FALSE),YES_Writing_ELA[#Headers],0)))="INS",'Writing Logic'!$B$7,IF(INDEX(_xlfn.VSTACK(YES_Writing_ELA[#Data],YES_Writing_FLA[#Data]),MATCH($A92,_xlfn.VSTACK(YES_Writing_ELA[Student Number],YES_Writing_FLA[Student Number]),0),MATCH(VLOOKUP(G$7,'Writing Logic'!$J$7:$K$11,2,FALSE)&amp;" - Per "&amp;VLOOKUP($C$4,'Writing Logic'!$G$8:$H$14,2,FALSE),YES_Writing_ELA[#Headers],0))=0,"",INDEX(_xlfn.VSTACK(YES_Writing_ELA[#Data],YES_Writing_FLA[#Data]),MATCH($A92,_xlfn.VSTACK(YES_Writing_ELA[Student Number],YES_Writing_FLA[Student Number]),0),MATCH(VLOOKUP(G$7,'Writing Logic'!$J$7:$K$11,2,FALSE)&amp;" - Per "&amp;VLOOKUP($C$4,'Writing Logic'!$G$8:$H$14,2,FALSE),YES_Writing_ELA[#Headers],0)))),"")</f>
        <v/>
      </c>
      <c r="H92" s="138" t="str">
        <f>IFERROR(IF(IF(INDEX(_xlfn.VSTACK(YES_Writing_ELA[#Data],YES_Writing_FLA[#Data]),MATCH($A92,_xlfn.VSTACK(YES_Writing_ELA[Student Number],YES_Writing_FLA[Student Number]),0),MATCH(VLOOKUP(H$7,'Writing Logic'!$J$7:$K$11,2,FALSE)&amp;" - Per "&amp;VLOOKUP($C$4,'Writing Logic'!$G$8:$H$14,2,FALSE),YES_Writing_ELA[#Headers],0))=0,"",INDEX(_xlfn.VSTACK(YES_Writing_ELA[#Data],YES_Writing_FLA[#Data]),MATCH($A92,_xlfn.VSTACK(YES_Writing_ELA[Student Number],YES_Writing_FLA[Student Number]),0),MATCH(VLOOKUP(H$7,'Writing Logic'!$J$7:$K$11,2,FALSE)&amp;" - Per "&amp;VLOOKUP($C$4,'Writing Logic'!$G$8:$H$14,2,FALSE),YES_Writing_ELA[#Headers],0)))="INS",'Writing Logic'!$B$7,IF(INDEX(_xlfn.VSTACK(YES_Writing_ELA[#Data],YES_Writing_FLA[#Data]),MATCH($A92,_xlfn.VSTACK(YES_Writing_ELA[Student Number],YES_Writing_FLA[Student Number]),0),MATCH(VLOOKUP(H$7,'Writing Logic'!$J$7:$K$11,2,FALSE)&amp;" - Per "&amp;VLOOKUP($C$4,'Writing Logic'!$G$8:$H$14,2,FALSE),YES_Writing_ELA[#Headers],0))=0,"",INDEX(_xlfn.VSTACK(YES_Writing_ELA[#Data],YES_Writing_FLA[#Data]),MATCH($A92,_xlfn.VSTACK(YES_Writing_ELA[Student Number],YES_Writing_FLA[Student Number]),0),MATCH(VLOOKUP(H$7,'Writing Logic'!$J$7:$K$11,2,FALSE)&amp;" - Per "&amp;VLOOKUP($C$4,'Writing Logic'!$G$8:$H$14,2,FALSE),YES_Writing_ELA[#Headers],0)))),"")</f>
        <v/>
      </c>
    </row>
    <row r="93" spans="1:8" ht="14.25" customHeight="1" x14ac:dyDescent="0.25">
      <c r="A93" s="137"/>
      <c r="B93" s="137" t="str">
        <f>IFERROR(INDEX(_xlfn.VSTACK(YES_Writing_ELA[#Data], YES_Writing_FLA[#Data]),MATCH($A93,_xlfn.VSTACK(YES_Writing_ELA[Student Number], YES_Writing_FLA[Student Number]),0),MATCH(B$7,YES_Writing_ELA[#Headers],0)),"")</f>
        <v/>
      </c>
      <c r="C93" s="137" t="str">
        <f>IFERROR(INDEX(_xlfn.VSTACK(YES_Writing_ELA[#Data], YES_Writing_FLA[#Data]),MATCH($A93,_xlfn.VSTACK(YES_Writing_ELA[Student Number], YES_Writing_FLA[Student Number]),0),MATCH(C$7,YES_Writing_ELA[#Headers],0)),"")</f>
        <v/>
      </c>
      <c r="D93" s="138" t="str">
        <f>IFERROR(IF(IF(INDEX(_xlfn.VSTACK(YES_Writing_ELA[#Data],YES_Writing_FLA[#Data]),MATCH($A93,_xlfn.VSTACK(YES_Writing_ELA[Student Number],YES_Writing_FLA[Student Number]),0),MATCH(VLOOKUP(D$7,'Writing Logic'!$J$7:$K$11,2,FALSE)&amp;" - Per "&amp;VLOOKUP($C$4,'Writing Logic'!$G$8:$H$14,2,FALSE),YES_Writing_ELA[#Headers],0))=0,"",INDEX(_xlfn.VSTACK(YES_Writing_ELA[#Data],YES_Writing_FLA[#Data]),MATCH($A93,_xlfn.VSTACK(YES_Writing_ELA[Student Number],YES_Writing_FLA[Student Number]),0),MATCH(VLOOKUP(D$7,'Writing Logic'!$J$7:$K$11,2,FALSE)&amp;" - Per "&amp;VLOOKUP($C$4,'Writing Logic'!$G$8:$H$14,2,FALSE),YES_Writing_ELA[#Headers],0)))="INS",'Writing Logic'!$B$7,IF(INDEX(_xlfn.VSTACK(YES_Writing_ELA[#Data],YES_Writing_FLA[#Data]),MATCH($A93,_xlfn.VSTACK(YES_Writing_ELA[Student Number],YES_Writing_FLA[Student Number]),0),MATCH(VLOOKUP(D$7,'Writing Logic'!$J$7:$K$11,2,FALSE)&amp;" - Per "&amp;VLOOKUP($C$4,'Writing Logic'!$G$8:$H$14,2,FALSE),YES_Writing_ELA[#Headers],0))=0,"",INDEX(_xlfn.VSTACK(YES_Writing_ELA[#Data],YES_Writing_FLA[#Data]),MATCH($A93,_xlfn.VSTACK(YES_Writing_ELA[Student Number],YES_Writing_FLA[Student Number]),0),MATCH(VLOOKUP(D$7,'Writing Logic'!$J$7:$K$11,2,FALSE)&amp;" - Per "&amp;VLOOKUP($C$4,'Writing Logic'!$G$8:$H$14,2,FALSE),YES_Writing_ELA[#Headers],0)))),"")</f>
        <v/>
      </c>
      <c r="E93" s="138" t="str">
        <f>IFERROR(IF(IF(INDEX(_xlfn.VSTACK(YES_Writing_ELA[#Data],YES_Writing_FLA[#Data]),MATCH($A93,_xlfn.VSTACK(YES_Writing_ELA[Student Number],YES_Writing_FLA[Student Number]),0),MATCH(VLOOKUP(E$7,'Writing Logic'!$J$7:$K$11,2,FALSE)&amp;" - Per "&amp;VLOOKUP($C$4,'Writing Logic'!$G$8:$H$14,2,FALSE),YES_Writing_ELA[#Headers],0))=0,"",INDEX(_xlfn.VSTACK(YES_Writing_ELA[#Data],YES_Writing_FLA[#Data]),MATCH($A93,_xlfn.VSTACK(YES_Writing_ELA[Student Number],YES_Writing_FLA[Student Number]),0),MATCH(VLOOKUP(E$7,'Writing Logic'!$J$7:$K$11,2,FALSE)&amp;" - Per "&amp;VLOOKUP($C$4,'Writing Logic'!$G$8:$H$14,2,FALSE),YES_Writing_ELA[#Headers],0)))="INS",'Writing Logic'!$B$7,IF(INDEX(_xlfn.VSTACK(YES_Writing_ELA[#Data],YES_Writing_FLA[#Data]),MATCH($A93,_xlfn.VSTACK(YES_Writing_ELA[Student Number],YES_Writing_FLA[Student Number]),0),MATCH(VLOOKUP(E$7,'Writing Logic'!$J$7:$K$11,2,FALSE)&amp;" - Per "&amp;VLOOKUP($C$4,'Writing Logic'!$G$8:$H$14,2,FALSE),YES_Writing_ELA[#Headers],0))=0,"",INDEX(_xlfn.VSTACK(YES_Writing_ELA[#Data],YES_Writing_FLA[#Data]),MATCH($A93,_xlfn.VSTACK(YES_Writing_ELA[Student Number],YES_Writing_FLA[Student Number]),0),MATCH(VLOOKUP(E$7,'Writing Logic'!$J$7:$K$11,2,FALSE)&amp;" - Per "&amp;VLOOKUP($C$4,'Writing Logic'!$G$8:$H$14,2,FALSE),YES_Writing_ELA[#Headers],0)))),"")</f>
        <v/>
      </c>
      <c r="F93" s="138" t="str">
        <f>IFERROR(IF(IF(INDEX(_xlfn.VSTACK(YES_Writing_ELA[#Data],YES_Writing_FLA[#Data]),MATCH($A93,_xlfn.VSTACK(YES_Writing_ELA[Student Number],YES_Writing_FLA[Student Number]),0),MATCH(VLOOKUP(F$7,'Writing Logic'!$J$7:$K$11,2,FALSE)&amp;" - Per "&amp;VLOOKUP($C$4,'Writing Logic'!$G$8:$H$14,2,FALSE),YES_Writing_ELA[#Headers],0))=0,"",INDEX(_xlfn.VSTACK(YES_Writing_ELA[#Data],YES_Writing_FLA[#Data]),MATCH($A93,_xlfn.VSTACK(YES_Writing_ELA[Student Number],YES_Writing_FLA[Student Number]),0),MATCH(VLOOKUP(F$7,'Writing Logic'!$J$7:$K$11,2,FALSE)&amp;" - Per "&amp;VLOOKUP($C$4,'Writing Logic'!$G$8:$H$14,2,FALSE),YES_Writing_ELA[#Headers],0)))="INS",'Writing Logic'!$B$7,IF(INDEX(_xlfn.VSTACK(YES_Writing_ELA[#Data],YES_Writing_FLA[#Data]),MATCH($A93,_xlfn.VSTACK(YES_Writing_ELA[Student Number],YES_Writing_FLA[Student Number]),0),MATCH(VLOOKUP(F$7,'Writing Logic'!$J$7:$K$11,2,FALSE)&amp;" - Per "&amp;VLOOKUP($C$4,'Writing Logic'!$G$8:$H$14,2,FALSE),YES_Writing_ELA[#Headers],0))=0,"",INDEX(_xlfn.VSTACK(YES_Writing_ELA[#Data],YES_Writing_FLA[#Data]),MATCH($A93,_xlfn.VSTACK(YES_Writing_ELA[Student Number],YES_Writing_FLA[Student Number]),0),MATCH(VLOOKUP(F$7,'Writing Logic'!$J$7:$K$11,2,FALSE)&amp;" - Per "&amp;VLOOKUP($C$4,'Writing Logic'!$G$8:$H$14,2,FALSE),YES_Writing_ELA[#Headers],0)))),"")</f>
        <v/>
      </c>
      <c r="G93" s="138" t="str">
        <f>IFERROR(IF(IF(INDEX(_xlfn.VSTACK(YES_Writing_ELA[#Data],YES_Writing_FLA[#Data]),MATCH($A93,_xlfn.VSTACK(YES_Writing_ELA[Student Number],YES_Writing_FLA[Student Number]),0),MATCH(VLOOKUP(G$7,'Writing Logic'!$J$7:$K$11,2,FALSE)&amp;" - Per "&amp;VLOOKUP($C$4,'Writing Logic'!$G$8:$H$14,2,FALSE),YES_Writing_ELA[#Headers],0))=0,"",INDEX(_xlfn.VSTACK(YES_Writing_ELA[#Data],YES_Writing_FLA[#Data]),MATCH($A93,_xlfn.VSTACK(YES_Writing_ELA[Student Number],YES_Writing_FLA[Student Number]),0),MATCH(VLOOKUP(G$7,'Writing Logic'!$J$7:$K$11,2,FALSE)&amp;" - Per "&amp;VLOOKUP($C$4,'Writing Logic'!$G$8:$H$14,2,FALSE),YES_Writing_ELA[#Headers],0)))="INS",'Writing Logic'!$B$7,IF(INDEX(_xlfn.VSTACK(YES_Writing_ELA[#Data],YES_Writing_FLA[#Data]),MATCH($A93,_xlfn.VSTACK(YES_Writing_ELA[Student Number],YES_Writing_FLA[Student Number]),0),MATCH(VLOOKUP(G$7,'Writing Logic'!$J$7:$K$11,2,FALSE)&amp;" - Per "&amp;VLOOKUP($C$4,'Writing Logic'!$G$8:$H$14,2,FALSE),YES_Writing_ELA[#Headers],0))=0,"",INDEX(_xlfn.VSTACK(YES_Writing_ELA[#Data],YES_Writing_FLA[#Data]),MATCH($A93,_xlfn.VSTACK(YES_Writing_ELA[Student Number],YES_Writing_FLA[Student Number]),0),MATCH(VLOOKUP(G$7,'Writing Logic'!$J$7:$K$11,2,FALSE)&amp;" - Per "&amp;VLOOKUP($C$4,'Writing Logic'!$G$8:$H$14,2,FALSE),YES_Writing_ELA[#Headers],0)))),"")</f>
        <v/>
      </c>
      <c r="H93" s="138" t="str">
        <f>IFERROR(IF(IF(INDEX(_xlfn.VSTACK(YES_Writing_ELA[#Data],YES_Writing_FLA[#Data]),MATCH($A93,_xlfn.VSTACK(YES_Writing_ELA[Student Number],YES_Writing_FLA[Student Number]),0),MATCH(VLOOKUP(H$7,'Writing Logic'!$J$7:$K$11,2,FALSE)&amp;" - Per "&amp;VLOOKUP($C$4,'Writing Logic'!$G$8:$H$14,2,FALSE),YES_Writing_ELA[#Headers],0))=0,"",INDEX(_xlfn.VSTACK(YES_Writing_ELA[#Data],YES_Writing_FLA[#Data]),MATCH($A93,_xlfn.VSTACK(YES_Writing_ELA[Student Number],YES_Writing_FLA[Student Number]),0),MATCH(VLOOKUP(H$7,'Writing Logic'!$J$7:$K$11,2,FALSE)&amp;" - Per "&amp;VLOOKUP($C$4,'Writing Logic'!$G$8:$H$14,2,FALSE),YES_Writing_ELA[#Headers],0)))="INS",'Writing Logic'!$B$7,IF(INDEX(_xlfn.VSTACK(YES_Writing_ELA[#Data],YES_Writing_FLA[#Data]),MATCH($A93,_xlfn.VSTACK(YES_Writing_ELA[Student Number],YES_Writing_FLA[Student Number]),0),MATCH(VLOOKUP(H$7,'Writing Logic'!$J$7:$K$11,2,FALSE)&amp;" - Per "&amp;VLOOKUP($C$4,'Writing Logic'!$G$8:$H$14,2,FALSE),YES_Writing_ELA[#Headers],0))=0,"",INDEX(_xlfn.VSTACK(YES_Writing_ELA[#Data],YES_Writing_FLA[#Data]),MATCH($A93,_xlfn.VSTACK(YES_Writing_ELA[Student Number],YES_Writing_FLA[Student Number]),0),MATCH(VLOOKUP(H$7,'Writing Logic'!$J$7:$K$11,2,FALSE)&amp;" - Per "&amp;VLOOKUP($C$4,'Writing Logic'!$G$8:$H$14,2,FALSE),YES_Writing_ELA[#Headers],0)))),"")</f>
        <v/>
      </c>
    </row>
    <row r="94" spans="1:8" ht="14.25" customHeight="1" x14ac:dyDescent="0.25">
      <c r="A94" s="137"/>
      <c r="B94" s="137" t="str">
        <f>IFERROR(INDEX(_xlfn.VSTACK(YES_Writing_ELA[#Data], YES_Writing_FLA[#Data]),MATCH($A94,_xlfn.VSTACK(YES_Writing_ELA[Student Number], YES_Writing_FLA[Student Number]),0),MATCH(B$7,YES_Writing_ELA[#Headers],0)),"")</f>
        <v/>
      </c>
      <c r="C94" s="137" t="str">
        <f>IFERROR(INDEX(_xlfn.VSTACK(YES_Writing_ELA[#Data], YES_Writing_FLA[#Data]),MATCH($A94,_xlfn.VSTACK(YES_Writing_ELA[Student Number], YES_Writing_FLA[Student Number]),0),MATCH(C$7,YES_Writing_ELA[#Headers],0)),"")</f>
        <v/>
      </c>
      <c r="D94" s="138" t="str">
        <f>IFERROR(IF(IF(INDEX(_xlfn.VSTACK(YES_Writing_ELA[#Data],YES_Writing_FLA[#Data]),MATCH($A94,_xlfn.VSTACK(YES_Writing_ELA[Student Number],YES_Writing_FLA[Student Number]),0),MATCH(VLOOKUP(D$7,'Writing Logic'!$J$7:$K$11,2,FALSE)&amp;" - Per "&amp;VLOOKUP($C$4,'Writing Logic'!$G$8:$H$14,2,FALSE),YES_Writing_ELA[#Headers],0))=0,"",INDEX(_xlfn.VSTACK(YES_Writing_ELA[#Data],YES_Writing_FLA[#Data]),MATCH($A94,_xlfn.VSTACK(YES_Writing_ELA[Student Number],YES_Writing_FLA[Student Number]),0),MATCH(VLOOKUP(D$7,'Writing Logic'!$J$7:$K$11,2,FALSE)&amp;" - Per "&amp;VLOOKUP($C$4,'Writing Logic'!$G$8:$H$14,2,FALSE),YES_Writing_ELA[#Headers],0)))="INS",'Writing Logic'!$B$7,IF(INDEX(_xlfn.VSTACK(YES_Writing_ELA[#Data],YES_Writing_FLA[#Data]),MATCH($A94,_xlfn.VSTACK(YES_Writing_ELA[Student Number],YES_Writing_FLA[Student Number]),0),MATCH(VLOOKUP(D$7,'Writing Logic'!$J$7:$K$11,2,FALSE)&amp;" - Per "&amp;VLOOKUP($C$4,'Writing Logic'!$G$8:$H$14,2,FALSE),YES_Writing_ELA[#Headers],0))=0,"",INDEX(_xlfn.VSTACK(YES_Writing_ELA[#Data],YES_Writing_FLA[#Data]),MATCH($A94,_xlfn.VSTACK(YES_Writing_ELA[Student Number],YES_Writing_FLA[Student Number]),0),MATCH(VLOOKUP(D$7,'Writing Logic'!$J$7:$K$11,2,FALSE)&amp;" - Per "&amp;VLOOKUP($C$4,'Writing Logic'!$G$8:$H$14,2,FALSE),YES_Writing_ELA[#Headers],0)))),"")</f>
        <v/>
      </c>
      <c r="E94" s="138" t="str">
        <f>IFERROR(IF(IF(INDEX(_xlfn.VSTACK(YES_Writing_ELA[#Data],YES_Writing_FLA[#Data]),MATCH($A94,_xlfn.VSTACK(YES_Writing_ELA[Student Number],YES_Writing_FLA[Student Number]),0),MATCH(VLOOKUP(E$7,'Writing Logic'!$J$7:$K$11,2,FALSE)&amp;" - Per "&amp;VLOOKUP($C$4,'Writing Logic'!$G$8:$H$14,2,FALSE),YES_Writing_ELA[#Headers],0))=0,"",INDEX(_xlfn.VSTACK(YES_Writing_ELA[#Data],YES_Writing_FLA[#Data]),MATCH($A94,_xlfn.VSTACK(YES_Writing_ELA[Student Number],YES_Writing_FLA[Student Number]),0),MATCH(VLOOKUP(E$7,'Writing Logic'!$J$7:$K$11,2,FALSE)&amp;" - Per "&amp;VLOOKUP($C$4,'Writing Logic'!$G$8:$H$14,2,FALSE),YES_Writing_ELA[#Headers],0)))="INS",'Writing Logic'!$B$7,IF(INDEX(_xlfn.VSTACK(YES_Writing_ELA[#Data],YES_Writing_FLA[#Data]),MATCH($A94,_xlfn.VSTACK(YES_Writing_ELA[Student Number],YES_Writing_FLA[Student Number]),0),MATCH(VLOOKUP(E$7,'Writing Logic'!$J$7:$K$11,2,FALSE)&amp;" - Per "&amp;VLOOKUP($C$4,'Writing Logic'!$G$8:$H$14,2,FALSE),YES_Writing_ELA[#Headers],0))=0,"",INDEX(_xlfn.VSTACK(YES_Writing_ELA[#Data],YES_Writing_FLA[#Data]),MATCH($A94,_xlfn.VSTACK(YES_Writing_ELA[Student Number],YES_Writing_FLA[Student Number]),0),MATCH(VLOOKUP(E$7,'Writing Logic'!$J$7:$K$11,2,FALSE)&amp;" - Per "&amp;VLOOKUP($C$4,'Writing Logic'!$G$8:$H$14,2,FALSE),YES_Writing_ELA[#Headers],0)))),"")</f>
        <v/>
      </c>
      <c r="F94" s="138" t="str">
        <f>IFERROR(IF(IF(INDEX(_xlfn.VSTACK(YES_Writing_ELA[#Data],YES_Writing_FLA[#Data]),MATCH($A94,_xlfn.VSTACK(YES_Writing_ELA[Student Number],YES_Writing_FLA[Student Number]),0),MATCH(VLOOKUP(F$7,'Writing Logic'!$J$7:$K$11,2,FALSE)&amp;" - Per "&amp;VLOOKUP($C$4,'Writing Logic'!$G$8:$H$14,2,FALSE),YES_Writing_ELA[#Headers],0))=0,"",INDEX(_xlfn.VSTACK(YES_Writing_ELA[#Data],YES_Writing_FLA[#Data]),MATCH($A94,_xlfn.VSTACK(YES_Writing_ELA[Student Number],YES_Writing_FLA[Student Number]),0),MATCH(VLOOKUP(F$7,'Writing Logic'!$J$7:$K$11,2,FALSE)&amp;" - Per "&amp;VLOOKUP($C$4,'Writing Logic'!$G$8:$H$14,2,FALSE),YES_Writing_ELA[#Headers],0)))="INS",'Writing Logic'!$B$7,IF(INDEX(_xlfn.VSTACK(YES_Writing_ELA[#Data],YES_Writing_FLA[#Data]),MATCH($A94,_xlfn.VSTACK(YES_Writing_ELA[Student Number],YES_Writing_FLA[Student Number]),0),MATCH(VLOOKUP(F$7,'Writing Logic'!$J$7:$K$11,2,FALSE)&amp;" - Per "&amp;VLOOKUP($C$4,'Writing Logic'!$G$8:$H$14,2,FALSE),YES_Writing_ELA[#Headers],0))=0,"",INDEX(_xlfn.VSTACK(YES_Writing_ELA[#Data],YES_Writing_FLA[#Data]),MATCH($A94,_xlfn.VSTACK(YES_Writing_ELA[Student Number],YES_Writing_FLA[Student Number]),0),MATCH(VLOOKUP(F$7,'Writing Logic'!$J$7:$K$11,2,FALSE)&amp;" - Per "&amp;VLOOKUP($C$4,'Writing Logic'!$G$8:$H$14,2,FALSE),YES_Writing_ELA[#Headers],0)))),"")</f>
        <v/>
      </c>
      <c r="G94" s="138" t="str">
        <f>IFERROR(IF(IF(INDEX(_xlfn.VSTACK(YES_Writing_ELA[#Data],YES_Writing_FLA[#Data]),MATCH($A94,_xlfn.VSTACK(YES_Writing_ELA[Student Number],YES_Writing_FLA[Student Number]),0),MATCH(VLOOKUP(G$7,'Writing Logic'!$J$7:$K$11,2,FALSE)&amp;" - Per "&amp;VLOOKUP($C$4,'Writing Logic'!$G$8:$H$14,2,FALSE),YES_Writing_ELA[#Headers],0))=0,"",INDEX(_xlfn.VSTACK(YES_Writing_ELA[#Data],YES_Writing_FLA[#Data]),MATCH($A94,_xlfn.VSTACK(YES_Writing_ELA[Student Number],YES_Writing_FLA[Student Number]),0),MATCH(VLOOKUP(G$7,'Writing Logic'!$J$7:$K$11,2,FALSE)&amp;" - Per "&amp;VLOOKUP($C$4,'Writing Logic'!$G$8:$H$14,2,FALSE),YES_Writing_ELA[#Headers],0)))="INS",'Writing Logic'!$B$7,IF(INDEX(_xlfn.VSTACK(YES_Writing_ELA[#Data],YES_Writing_FLA[#Data]),MATCH($A94,_xlfn.VSTACK(YES_Writing_ELA[Student Number],YES_Writing_FLA[Student Number]),0),MATCH(VLOOKUP(G$7,'Writing Logic'!$J$7:$K$11,2,FALSE)&amp;" - Per "&amp;VLOOKUP($C$4,'Writing Logic'!$G$8:$H$14,2,FALSE),YES_Writing_ELA[#Headers],0))=0,"",INDEX(_xlfn.VSTACK(YES_Writing_ELA[#Data],YES_Writing_FLA[#Data]),MATCH($A94,_xlfn.VSTACK(YES_Writing_ELA[Student Number],YES_Writing_FLA[Student Number]),0),MATCH(VLOOKUP(G$7,'Writing Logic'!$J$7:$K$11,2,FALSE)&amp;" - Per "&amp;VLOOKUP($C$4,'Writing Logic'!$G$8:$H$14,2,FALSE),YES_Writing_ELA[#Headers],0)))),"")</f>
        <v/>
      </c>
      <c r="H94" s="138" t="str">
        <f>IFERROR(IF(IF(INDEX(_xlfn.VSTACK(YES_Writing_ELA[#Data],YES_Writing_FLA[#Data]),MATCH($A94,_xlfn.VSTACK(YES_Writing_ELA[Student Number],YES_Writing_FLA[Student Number]),0),MATCH(VLOOKUP(H$7,'Writing Logic'!$J$7:$K$11,2,FALSE)&amp;" - Per "&amp;VLOOKUP($C$4,'Writing Logic'!$G$8:$H$14,2,FALSE),YES_Writing_ELA[#Headers],0))=0,"",INDEX(_xlfn.VSTACK(YES_Writing_ELA[#Data],YES_Writing_FLA[#Data]),MATCH($A94,_xlfn.VSTACK(YES_Writing_ELA[Student Number],YES_Writing_FLA[Student Number]),0),MATCH(VLOOKUP(H$7,'Writing Logic'!$J$7:$K$11,2,FALSE)&amp;" - Per "&amp;VLOOKUP($C$4,'Writing Logic'!$G$8:$H$14,2,FALSE),YES_Writing_ELA[#Headers],0)))="INS",'Writing Logic'!$B$7,IF(INDEX(_xlfn.VSTACK(YES_Writing_ELA[#Data],YES_Writing_FLA[#Data]),MATCH($A94,_xlfn.VSTACK(YES_Writing_ELA[Student Number],YES_Writing_FLA[Student Number]),0),MATCH(VLOOKUP(H$7,'Writing Logic'!$J$7:$K$11,2,FALSE)&amp;" - Per "&amp;VLOOKUP($C$4,'Writing Logic'!$G$8:$H$14,2,FALSE),YES_Writing_ELA[#Headers],0))=0,"",INDEX(_xlfn.VSTACK(YES_Writing_ELA[#Data],YES_Writing_FLA[#Data]),MATCH($A94,_xlfn.VSTACK(YES_Writing_ELA[Student Number],YES_Writing_FLA[Student Number]),0),MATCH(VLOOKUP(H$7,'Writing Logic'!$J$7:$K$11,2,FALSE)&amp;" - Per "&amp;VLOOKUP($C$4,'Writing Logic'!$G$8:$H$14,2,FALSE),YES_Writing_ELA[#Headers],0)))),"")</f>
        <v/>
      </c>
    </row>
    <row r="95" spans="1:8" ht="14.25" customHeight="1" x14ac:dyDescent="0.25">
      <c r="A95" s="137"/>
      <c r="B95" s="137" t="str">
        <f>IFERROR(INDEX(_xlfn.VSTACK(YES_Writing_ELA[#Data], YES_Writing_FLA[#Data]),MATCH($A95,_xlfn.VSTACK(YES_Writing_ELA[Student Number], YES_Writing_FLA[Student Number]),0),MATCH(B$7,YES_Writing_ELA[#Headers],0)),"")</f>
        <v/>
      </c>
      <c r="C95" s="137" t="str">
        <f>IFERROR(INDEX(_xlfn.VSTACK(YES_Writing_ELA[#Data], YES_Writing_FLA[#Data]),MATCH($A95,_xlfn.VSTACK(YES_Writing_ELA[Student Number], YES_Writing_FLA[Student Number]),0),MATCH(C$7,YES_Writing_ELA[#Headers],0)),"")</f>
        <v/>
      </c>
      <c r="D95" s="138" t="str">
        <f>IFERROR(IF(IF(INDEX(_xlfn.VSTACK(YES_Writing_ELA[#Data],YES_Writing_FLA[#Data]),MATCH($A95,_xlfn.VSTACK(YES_Writing_ELA[Student Number],YES_Writing_FLA[Student Number]),0),MATCH(VLOOKUP(D$7,'Writing Logic'!$J$7:$K$11,2,FALSE)&amp;" - Per "&amp;VLOOKUP($C$4,'Writing Logic'!$G$8:$H$14,2,FALSE),YES_Writing_ELA[#Headers],0))=0,"",INDEX(_xlfn.VSTACK(YES_Writing_ELA[#Data],YES_Writing_FLA[#Data]),MATCH($A95,_xlfn.VSTACK(YES_Writing_ELA[Student Number],YES_Writing_FLA[Student Number]),0),MATCH(VLOOKUP(D$7,'Writing Logic'!$J$7:$K$11,2,FALSE)&amp;" - Per "&amp;VLOOKUP($C$4,'Writing Logic'!$G$8:$H$14,2,FALSE),YES_Writing_ELA[#Headers],0)))="INS",'Writing Logic'!$B$7,IF(INDEX(_xlfn.VSTACK(YES_Writing_ELA[#Data],YES_Writing_FLA[#Data]),MATCH($A95,_xlfn.VSTACK(YES_Writing_ELA[Student Number],YES_Writing_FLA[Student Number]),0),MATCH(VLOOKUP(D$7,'Writing Logic'!$J$7:$K$11,2,FALSE)&amp;" - Per "&amp;VLOOKUP($C$4,'Writing Logic'!$G$8:$H$14,2,FALSE),YES_Writing_ELA[#Headers],0))=0,"",INDEX(_xlfn.VSTACK(YES_Writing_ELA[#Data],YES_Writing_FLA[#Data]),MATCH($A95,_xlfn.VSTACK(YES_Writing_ELA[Student Number],YES_Writing_FLA[Student Number]),0),MATCH(VLOOKUP(D$7,'Writing Logic'!$J$7:$K$11,2,FALSE)&amp;" - Per "&amp;VLOOKUP($C$4,'Writing Logic'!$G$8:$H$14,2,FALSE),YES_Writing_ELA[#Headers],0)))),"")</f>
        <v/>
      </c>
      <c r="E95" s="138" t="str">
        <f>IFERROR(IF(IF(INDEX(_xlfn.VSTACK(YES_Writing_ELA[#Data],YES_Writing_FLA[#Data]),MATCH($A95,_xlfn.VSTACK(YES_Writing_ELA[Student Number],YES_Writing_FLA[Student Number]),0),MATCH(VLOOKUP(E$7,'Writing Logic'!$J$7:$K$11,2,FALSE)&amp;" - Per "&amp;VLOOKUP($C$4,'Writing Logic'!$G$8:$H$14,2,FALSE),YES_Writing_ELA[#Headers],0))=0,"",INDEX(_xlfn.VSTACK(YES_Writing_ELA[#Data],YES_Writing_FLA[#Data]),MATCH($A95,_xlfn.VSTACK(YES_Writing_ELA[Student Number],YES_Writing_FLA[Student Number]),0),MATCH(VLOOKUP(E$7,'Writing Logic'!$J$7:$K$11,2,FALSE)&amp;" - Per "&amp;VLOOKUP($C$4,'Writing Logic'!$G$8:$H$14,2,FALSE),YES_Writing_ELA[#Headers],0)))="INS",'Writing Logic'!$B$7,IF(INDEX(_xlfn.VSTACK(YES_Writing_ELA[#Data],YES_Writing_FLA[#Data]),MATCH($A95,_xlfn.VSTACK(YES_Writing_ELA[Student Number],YES_Writing_FLA[Student Number]),0),MATCH(VLOOKUP(E$7,'Writing Logic'!$J$7:$K$11,2,FALSE)&amp;" - Per "&amp;VLOOKUP($C$4,'Writing Logic'!$G$8:$H$14,2,FALSE),YES_Writing_ELA[#Headers],0))=0,"",INDEX(_xlfn.VSTACK(YES_Writing_ELA[#Data],YES_Writing_FLA[#Data]),MATCH($A95,_xlfn.VSTACK(YES_Writing_ELA[Student Number],YES_Writing_FLA[Student Number]),0),MATCH(VLOOKUP(E$7,'Writing Logic'!$J$7:$K$11,2,FALSE)&amp;" - Per "&amp;VLOOKUP($C$4,'Writing Logic'!$G$8:$H$14,2,FALSE),YES_Writing_ELA[#Headers],0)))),"")</f>
        <v/>
      </c>
      <c r="F95" s="138" t="str">
        <f>IFERROR(IF(IF(INDEX(_xlfn.VSTACK(YES_Writing_ELA[#Data],YES_Writing_FLA[#Data]),MATCH($A95,_xlfn.VSTACK(YES_Writing_ELA[Student Number],YES_Writing_FLA[Student Number]),0),MATCH(VLOOKUP(F$7,'Writing Logic'!$J$7:$K$11,2,FALSE)&amp;" - Per "&amp;VLOOKUP($C$4,'Writing Logic'!$G$8:$H$14,2,FALSE),YES_Writing_ELA[#Headers],0))=0,"",INDEX(_xlfn.VSTACK(YES_Writing_ELA[#Data],YES_Writing_FLA[#Data]),MATCH($A95,_xlfn.VSTACK(YES_Writing_ELA[Student Number],YES_Writing_FLA[Student Number]),0),MATCH(VLOOKUP(F$7,'Writing Logic'!$J$7:$K$11,2,FALSE)&amp;" - Per "&amp;VLOOKUP($C$4,'Writing Logic'!$G$8:$H$14,2,FALSE),YES_Writing_ELA[#Headers],0)))="INS",'Writing Logic'!$B$7,IF(INDEX(_xlfn.VSTACK(YES_Writing_ELA[#Data],YES_Writing_FLA[#Data]),MATCH($A95,_xlfn.VSTACK(YES_Writing_ELA[Student Number],YES_Writing_FLA[Student Number]),0),MATCH(VLOOKUP(F$7,'Writing Logic'!$J$7:$K$11,2,FALSE)&amp;" - Per "&amp;VLOOKUP($C$4,'Writing Logic'!$G$8:$H$14,2,FALSE),YES_Writing_ELA[#Headers],0))=0,"",INDEX(_xlfn.VSTACK(YES_Writing_ELA[#Data],YES_Writing_FLA[#Data]),MATCH($A95,_xlfn.VSTACK(YES_Writing_ELA[Student Number],YES_Writing_FLA[Student Number]),0),MATCH(VLOOKUP(F$7,'Writing Logic'!$J$7:$K$11,2,FALSE)&amp;" - Per "&amp;VLOOKUP($C$4,'Writing Logic'!$G$8:$H$14,2,FALSE),YES_Writing_ELA[#Headers],0)))),"")</f>
        <v/>
      </c>
      <c r="G95" s="138" t="str">
        <f>IFERROR(IF(IF(INDEX(_xlfn.VSTACK(YES_Writing_ELA[#Data],YES_Writing_FLA[#Data]),MATCH($A95,_xlfn.VSTACK(YES_Writing_ELA[Student Number],YES_Writing_FLA[Student Number]),0),MATCH(VLOOKUP(G$7,'Writing Logic'!$J$7:$K$11,2,FALSE)&amp;" - Per "&amp;VLOOKUP($C$4,'Writing Logic'!$G$8:$H$14,2,FALSE),YES_Writing_ELA[#Headers],0))=0,"",INDEX(_xlfn.VSTACK(YES_Writing_ELA[#Data],YES_Writing_FLA[#Data]),MATCH($A95,_xlfn.VSTACK(YES_Writing_ELA[Student Number],YES_Writing_FLA[Student Number]),0),MATCH(VLOOKUP(G$7,'Writing Logic'!$J$7:$K$11,2,FALSE)&amp;" - Per "&amp;VLOOKUP($C$4,'Writing Logic'!$G$8:$H$14,2,FALSE),YES_Writing_ELA[#Headers],0)))="INS",'Writing Logic'!$B$7,IF(INDEX(_xlfn.VSTACK(YES_Writing_ELA[#Data],YES_Writing_FLA[#Data]),MATCH($A95,_xlfn.VSTACK(YES_Writing_ELA[Student Number],YES_Writing_FLA[Student Number]),0),MATCH(VLOOKUP(G$7,'Writing Logic'!$J$7:$K$11,2,FALSE)&amp;" - Per "&amp;VLOOKUP($C$4,'Writing Logic'!$G$8:$H$14,2,FALSE),YES_Writing_ELA[#Headers],0))=0,"",INDEX(_xlfn.VSTACK(YES_Writing_ELA[#Data],YES_Writing_FLA[#Data]),MATCH($A95,_xlfn.VSTACK(YES_Writing_ELA[Student Number],YES_Writing_FLA[Student Number]),0),MATCH(VLOOKUP(G$7,'Writing Logic'!$J$7:$K$11,2,FALSE)&amp;" - Per "&amp;VLOOKUP($C$4,'Writing Logic'!$G$8:$H$14,2,FALSE),YES_Writing_ELA[#Headers],0)))),"")</f>
        <v/>
      </c>
      <c r="H95" s="138" t="str">
        <f>IFERROR(IF(IF(INDEX(_xlfn.VSTACK(YES_Writing_ELA[#Data],YES_Writing_FLA[#Data]),MATCH($A95,_xlfn.VSTACK(YES_Writing_ELA[Student Number],YES_Writing_FLA[Student Number]),0),MATCH(VLOOKUP(H$7,'Writing Logic'!$J$7:$K$11,2,FALSE)&amp;" - Per "&amp;VLOOKUP($C$4,'Writing Logic'!$G$8:$H$14,2,FALSE),YES_Writing_ELA[#Headers],0))=0,"",INDEX(_xlfn.VSTACK(YES_Writing_ELA[#Data],YES_Writing_FLA[#Data]),MATCH($A95,_xlfn.VSTACK(YES_Writing_ELA[Student Number],YES_Writing_FLA[Student Number]),0),MATCH(VLOOKUP(H$7,'Writing Logic'!$J$7:$K$11,2,FALSE)&amp;" - Per "&amp;VLOOKUP($C$4,'Writing Logic'!$G$8:$H$14,2,FALSE),YES_Writing_ELA[#Headers],0)))="INS",'Writing Logic'!$B$7,IF(INDEX(_xlfn.VSTACK(YES_Writing_ELA[#Data],YES_Writing_FLA[#Data]),MATCH($A95,_xlfn.VSTACK(YES_Writing_ELA[Student Number],YES_Writing_FLA[Student Number]),0),MATCH(VLOOKUP(H$7,'Writing Logic'!$J$7:$K$11,2,FALSE)&amp;" - Per "&amp;VLOOKUP($C$4,'Writing Logic'!$G$8:$H$14,2,FALSE),YES_Writing_ELA[#Headers],0))=0,"",INDEX(_xlfn.VSTACK(YES_Writing_ELA[#Data],YES_Writing_FLA[#Data]),MATCH($A95,_xlfn.VSTACK(YES_Writing_ELA[Student Number],YES_Writing_FLA[Student Number]),0),MATCH(VLOOKUP(H$7,'Writing Logic'!$J$7:$K$11,2,FALSE)&amp;" - Per "&amp;VLOOKUP($C$4,'Writing Logic'!$G$8:$H$14,2,FALSE),YES_Writing_ELA[#Headers],0)))),"")</f>
        <v/>
      </c>
    </row>
    <row r="96" spans="1:8" ht="14.25" customHeight="1" x14ac:dyDescent="0.25">
      <c r="A96" s="137"/>
      <c r="B96" s="137" t="str">
        <f>IFERROR(INDEX(_xlfn.VSTACK(YES_Writing_ELA[#Data], YES_Writing_FLA[#Data]),MATCH($A96,_xlfn.VSTACK(YES_Writing_ELA[Student Number], YES_Writing_FLA[Student Number]),0),MATCH(B$7,YES_Writing_ELA[#Headers],0)),"")</f>
        <v/>
      </c>
      <c r="C96" s="137" t="str">
        <f>IFERROR(INDEX(_xlfn.VSTACK(YES_Writing_ELA[#Data], YES_Writing_FLA[#Data]),MATCH($A96,_xlfn.VSTACK(YES_Writing_ELA[Student Number], YES_Writing_FLA[Student Number]),0),MATCH(C$7,YES_Writing_ELA[#Headers],0)),"")</f>
        <v/>
      </c>
      <c r="D96" s="138" t="str">
        <f>IFERROR(IF(IF(INDEX(_xlfn.VSTACK(YES_Writing_ELA[#Data],YES_Writing_FLA[#Data]),MATCH($A96,_xlfn.VSTACK(YES_Writing_ELA[Student Number],YES_Writing_FLA[Student Number]),0),MATCH(VLOOKUP(D$7,'Writing Logic'!$J$7:$K$11,2,FALSE)&amp;" - Per "&amp;VLOOKUP($C$4,'Writing Logic'!$G$8:$H$14,2,FALSE),YES_Writing_ELA[#Headers],0))=0,"",INDEX(_xlfn.VSTACK(YES_Writing_ELA[#Data],YES_Writing_FLA[#Data]),MATCH($A96,_xlfn.VSTACK(YES_Writing_ELA[Student Number],YES_Writing_FLA[Student Number]),0),MATCH(VLOOKUP(D$7,'Writing Logic'!$J$7:$K$11,2,FALSE)&amp;" - Per "&amp;VLOOKUP($C$4,'Writing Logic'!$G$8:$H$14,2,FALSE),YES_Writing_ELA[#Headers],0)))="INS",'Writing Logic'!$B$7,IF(INDEX(_xlfn.VSTACK(YES_Writing_ELA[#Data],YES_Writing_FLA[#Data]),MATCH($A96,_xlfn.VSTACK(YES_Writing_ELA[Student Number],YES_Writing_FLA[Student Number]),0),MATCH(VLOOKUP(D$7,'Writing Logic'!$J$7:$K$11,2,FALSE)&amp;" - Per "&amp;VLOOKUP($C$4,'Writing Logic'!$G$8:$H$14,2,FALSE),YES_Writing_ELA[#Headers],0))=0,"",INDEX(_xlfn.VSTACK(YES_Writing_ELA[#Data],YES_Writing_FLA[#Data]),MATCH($A96,_xlfn.VSTACK(YES_Writing_ELA[Student Number],YES_Writing_FLA[Student Number]),0),MATCH(VLOOKUP(D$7,'Writing Logic'!$J$7:$K$11,2,FALSE)&amp;" - Per "&amp;VLOOKUP($C$4,'Writing Logic'!$G$8:$H$14,2,FALSE),YES_Writing_ELA[#Headers],0)))),"")</f>
        <v/>
      </c>
      <c r="E96" s="138" t="str">
        <f>IFERROR(IF(IF(INDEX(_xlfn.VSTACK(YES_Writing_ELA[#Data],YES_Writing_FLA[#Data]),MATCH($A96,_xlfn.VSTACK(YES_Writing_ELA[Student Number],YES_Writing_FLA[Student Number]),0),MATCH(VLOOKUP(E$7,'Writing Logic'!$J$7:$K$11,2,FALSE)&amp;" - Per "&amp;VLOOKUP($C$4,'Writing Logic'!$G$8:$H$14,2,FALSE),YES_Writing_ELA[#Headers],0))=0,"",INDEX(_xlfn.VSTACK(YES_Writing_ELA[#Data],YES_Writing_FLA[#Data]),MATCH($A96,_xlfn.VSTACK(YES_Writing_ELA[Student Number],YES_Writing_FLA[Student Number]),0),MATCH(VLOOKUP(E$7,'Writing Logic'!$J$7:$K$11,2,FALSE)&amp;" - Per "&amp;VLOOKUP($C$4,'Writing Logic'!$G$8:$H$14,2,FALSE),YES_Writing_ELA[#Headers],0)))="INS",'Writing Logic'!$B$7,IF(INDEX(_xlfn.VSTACK(YES_Writing_ELA[#Data],YES_Writing_FLA[#Data]),MATCH($A96,_xlfn.VSTACK(YES_Writing_ELA[Student Number],YES_Writing_FLA[Student Number]),0),MATCH(VLOOKUP(E$7,'Writing Logic'!$J$7:$K$11,2,FALSE)&amp;" - Per "&amp;VLOOKUP($C$4,'Writing Logic'!$G$8:$H$14,2,FALSE),YES_Writing_ELA[#Headers],0))=0,"",INDEX(_xlfn.VSTACK(YES_Writing_ELA[#Data],YES_Writing_FLA[#Data]),MATCH($A96,_xlfn.VSTACK(YES_Writing_ELA[Student Number],YES_Writing_FLA[Student Number]),0),MATCH(VLOOKUP(E$7,'Writing Logic'!$J$7:$K$11,2,FALSE)&amp;" - Per "&amp;VLOOKUP($C$4,'Writing Logic'!$G$8:$H$14,2,FALSE),YES_Writing_ELA[#Headers],0)))),"")</f>
        <v/>
      </c>
      <c r="F96" s="138" t="str">
        <f>IFERROR(IF(IF(INDEX(_xlfn.VSTACK(YES_Writing_ELA[#Data],YES_Writing_FLA[#Data]),MATCH($A96,_xlfn.VSTACK(YES_Writing_ELA[Student Number],YES_Writing_FLA[Student Number]),0),MATCH(VLOOKUP(F$7,'Writing Logic'!$J$7:$K$11,2,FALSE)&amp;" - Per "&amp;VLOOKUP($C$4,'Writing Logic'!$G$8:$H$14,2,FALSE),YES_Writing_ELA[#Headers],0))=0,"",INDEX(_xlfn.VSTACK(YES_Writing_ELA[#Data],YES_Writing_FLA[#Data]),MATCH($A96,_xlfn.VSTACK(YES_Writing_ELA[Student Number],YES_Writing_FLA[Student Number]),0),MATCH(VLOOKUP(F$7,'Writing Logic'!$J$7:$K$11,2,FALSE)&amp;" - Per "&amp;VLOOKUP($C$4,'Writing Logic'!$G$8:$H$14,2,FALSE),YES_Writing_ELA[#Headers],0)))="INS",'Writing Logic'!$B$7,IF(INDEX(_xlfn.VSTACK(YES_Writing_ELA[#Data],YES_Writing_FLA[#Data]),MATCH($A96,_xlfn.VSTACK(YES_Writing_ELA[Student Number],YES_Writing_FLA[Student Number]),0),MATCH(VLOOKUP(F$7,'Writing Logic'!$J$7:$K$11,2,FALSE)&amp;" - Per "&amp;VLOOKUP($C$4,'Writing Logic'!$G$8:$H$14,2,FALSE),YES_Writing_ELA[#Headers],0))=0,"",INDEX(_xlfn.VSTACK(YES_Writing_ELA[#Data],YES_Writing_FLA[#Data]),MATCH($A96,_xlfn.VSTACK(YES_Writing_ELA[Student Number],YES_Writing_FLA[Student Number]),0),MATCH(VLOOKUP(F$7,'Writing Logic'!$J$7:$K$11,2,FALSE)&amp;" - Per "&amp;VLOOKUP($C$4,'Writing Logic'!$G$8:$H$14,2,FALSE),YES_Writing_ELA[#Headers],0)))),"")</f>
        <v/>
      </c>
      <c r="G96" s="138" t="str">
        <f>IFERROR(IF(IF(INDEX(_xlfn.VSTACK(YES_Writing_ELA[#Data],YES_Writing_FLA[#Data]),MATCH($A96,_xlfn.VSTACK(YES_Writing_ELA[Student Number],YES_Writing_FLA[Student Number]),0),MATCH(VLOOKUP(G$7,'Writing Logic'!$J$7:$K$11,2,FALSE)&amp;" - Per "&amp;VLOOKUP($C$4,'Writing Logic'!$G$8:$H$14,2,FALSE),YES_Writing_ELA[#Headers],0))=0,"",INDEX(_xlfn.VSTACK(YES_Writing_ELA[#Data],YES_Writing_FLA[#Data]),MATCH($A96,_xlfn.VSTACK(YES_Writing_ELA[Student Number],YES_Writing_FLA[Student Number]),0),MATCH(VLOOKUP(G$7,'Writing Logic'!$J$7:$K$11,2,FALSE)&amp;" - Per "&amp;VLOOKUP($C$4,'Writing Logic'!$G$8:$H$14,2,FALSE),YES_Writing_ELA[#Headers],0)))="INS",'Writing Logic'!$B$7,IF(INDEX(_xlfn.VSTACK(YES_Writing_ELA[#Data],YES_Writing_FLA[#Data]),MATCH($A96,_xlfn.VSTACK(YES_Writing_ELA[Student Number],YES_Writing_FLA[Student Number]),0),MATCH(VLOOKUP(G$7,'Writing Logic'!$J$7:$K$11,2,FALSE)&amp;" - Per "&amp;VLOOKUP($C$4,'Writing Logic'!$G$8:$H$14,2,FALSE),YES_Writing_ELA[#Headers],0))=0,"",INDEX(_xlfn.VSTACK(YES_Writing_ELA[#Data],YES_Writing_FLA[#Data]),MATCH($A96,_xlfn.VSTACK(YES_Writing_ELA[Student Number],YES_Writing_FLA[Student Number]),0),MATCH(VLOOKUP(G$7,'Writing Logic'!$J$7:$K$11,2,FALSE)&amp;" - Per "&amp;VLOOKUP($C$4,'Writing Logic'!$G$8:$H$14,2,FALSE),YES_Writing_ELA[#Headers],0)))),"")</f>
        <v/>
      </c>
      <c r="H96" s="138" t="str">
        <f>IFERROR(IF(IF(INDEX(_xlfn.VSTACK(YES_Writing_ELA[#Data],YES_Writing_FLA[#Data]),MATCH($A96,_xlfn.VSTACK(YES_Writing_ELA[Student Number],YES_Writing_FLA[Student Number]),0),MATCH(VLOOKUP(H$7,'Writing Logic'!$J$7:$K$11,2,FALSE)&amp;" - Per "&amp;VLOOKUP($C$4,'Writing Logic'!$G$8:$H$14,2,FALSE),YES_Writing_ELA[#Headers],0))=0,"",INDEX(_xlfn.VSTACK(YES_Writing_ELA[#Data],YES_Writing_FLA[#Data]),MATCH($A96,_xlfn.VSTACK(YES_Writing_ELA[Student Number],YES_Writing_FLA[Student Number]),0),MATCH(VLOOKUP(H$7,'Writing Logic'!$J$7:$K$11,2,FALSE)&amp;" - Per "&amp;VLOOKUP($C$4,'Writing Logic'!$G$8:$H$14,2,FALSE),YES_Writing_ELA[#Headers],0)))="INS",'Writing Logic'!$B$7,IF(INDEX(_xlfn.VSTACK(YES_Writing_ELA[#Data],YES_Writing_FLA[#Data]),MATCH($A96,_xlfn.VSTACK(YES_Writing_ELA[Student Number],YES_Writing_FLA[Student Number]),0),MATCH(VLOOKUP(H$7,'Writing Logic'!$J$7:$K$11,2,FALSE)&amp;" - Per "&amp;VLOOKUP($C$4,'Writing Logic'!$G$8:$H$14,2,FALSE),YES_Writing_ELA[#Headers],0))=0,"",INDEX(_xlfn.VSTACK(YES_Writing_ELA[#Data],YES_Writing_FLA[#Data]),MATCH($A96,_xlfn.VSTACK(YES_Writing_ELA[Student Number],YES_Writing_FLA[Student Number]),0),MATCH(VLOOKUP(H$7,'Writing Logic'!$J$7:$K$11,2,FALSE)&amp;" - Per "&amp;VLOOKUP($C$4,'Writing Logic'!$G$8:$H$14,2,FALSE),YES_Writing_ELA[#Headers],0)))),"")</f>
        <v/>
      </c>
    </row>
    <row r="97" spans="1:8" ht="14.25" customHeight="1" x14ac:dyDescent="0.25">
      <c r="A97" s="137"/>
      <c r="B97" s="137" t="str">
        <f>IFERROR(INDEX(_xlfn.VSTACK(YES_Writing_ELA[#Data], YES_Writing_FLA[#Data]),MATCH($A97,_xlfn.VSTACK(YES_Writing_ELA[Student Number], YES_Writing_FLA[Student Number]),0),MATCH(B$7,YES_Writing_ELA[#Headers],0)),"")</f>
        <v/>
      </c>
      <c r="C97" s="137" t="str">
        <f>IFERROR(INDEX(_xlfn.VSTACK(YES_Writing_ELA[#Data], YES_Writing_FLA[#Data]),MATCH($A97,_xlfn.VSTACK(YES_Writing_ELA[Student Number], YES_Writing_FLA[Student Number]),0),MATCH(C$7,YES_Writing_ELA[#Headers],0)),"")</f>
        <v/>
      </c>
      <c r="D97" s="138" t="str">
        <f>IFERROR(IF(IF(INDEX(_xlfn.VSTACK(YES_Writing_ELA[#Data],YES_Writing_FLA[#Data]),MATCH($A97,_xlfn.VSTACK(YES_Writing_ELA[Student Number],YES_Writing_FLA[Student Number]),0),MATCH(VLOOKUP(D$7,'Writing Logic'!$J$7:$K$11,2,FALSE)&amp;" - Per "&amp;VLOOKUP($C$4,'Writing Logic'!$G$8:$H$14,2,FALSE),YES_Writing_ELA[#Headers],0))=0,"",INDEX(_xlfn.VSTACK(YES_Writing_ELA[#Data],YES_Writing_FLA[#Data]),MATCH($A97,_xlfn.VSTACK(YES_Writing_ELA[Student Number],YES_Writing_FLA[Student Number]),0),MATCH(VLOOKUP(D$7,'Writing Logic'!$J$7:$K$11,2,FALSE)&amp;" - Per "&amp;VLOOKUP($C$4,'Writing Logic'!$G$8:$H$14,2,FALSE),YES_Writing_ELA[#Headers],0)))="INS",'Writing Logic'!$B$7,IF(INDEX(_xlfn.VSTACK(YES_Writing_ELA[#Data],YES_Writing_FLA[#Data]),MATCH($A97,_xlfn.VSTACK(YES_Writing_ELA[Student Number],YES_Writing_FLA[Student Number]),0),MATCH(VLOOKUP(D$7,'Writing Logic'!$J$7:$K$11,2,FALSE)&amp;" - Per "&amp;VLOOKUP($C$4,'Writing Logic'!$G$8:$H$14,2,FALSE),YES_Writing_ELA[#Headers],0))=0,"",INDEX(_xlfn.VSTACK(YES_Writing_ELA[#Data],YES_Writing_FLA[#Data]),MATCH($A97,_xlfn.VSTACK(YES_Writing_ELA[Student Number],YES_Writing_FLA[Student Number]),0),MATCH(VLOOKUP(D$7,'Writing Logic'!$J$7:$K$11,2,FALSE)&amp;" - Per "&amp;VLOOKUP($C$4,'Writing Logic'!$G$8:$H$14,2,FALSE),YES_Writing_ELA[#Headers],0)))),"")</f>
        <v/>
      </c>
      <c r="E97" s="138" t="str">
        <f>IFERROR(IF(IF(INDEX(_xlfn.VSTACK(YES_Writing_ELA[#Data],YES_Writing_FLA[#Data]),MATCH($A97,_xlfn.VSTACK(YES_Writing_ELA[Student Number],YES_Writing_FLA[Student Number]),0),MATCH(VLOOKUP(E$7,'Writing Logic'!$J$7:$K$11,2,FALSE)&amp;" - Per "&amp;VLOOKUP($C$4,'Writing Logic'!$G$8:$H$14,2,FALSE),YES_Writing_ELA[#Headers],0))=0,"",INDEX(_xlfn.VSTACK(YES_Writing_ELA[#Data],YES_Writing_FLA[#Data]),MATCH($A97,_xlfn.VSTACK(YES_Writing_ELA[Student Number],YES_Writing_FLA[Student Number]),0),MATCH(VLOOKUP(E$7,'Writing Logic'!$J$7:$K$11,2,FALSE)&amp;" - Per "&amp;VLOOKUP($C$4,'Writing Logic'!$G$8:$H$14,2,FALSE),YES_Writing_ELA[#Headers],0)))="INS",'Writing Logic'!$B$7,IF(INDEX(_xlfn.VSTACK(YES_Writing_ELA[#Data],YES_Writing_FLA[#Data]),MATCH($A97,_xlfn.VSTACK(YES_Writing_ELA[Student Number],YES_Writing_FLA[Student Number]),0),MATCH(VLOOKUP(E$7,'Writing Logic'!$J$7:$K$11,2,FALSE)&amp;" - Per "&amp;VLOOKUP($C$4,'Writing Logic'!$G$8:$H$14,2,FALSE),YES_Writing_ELA[#Headers],0))=0,"",INDEX(_xlfn.VSTACK(YES_Writing_ELA[#Data],YES_Writing_FLA[#Data]),MATCH($A97,_xlfn.VSTACK(YES_Writing_ELA[Student Number],YES_Writing_FLA[Student Number]),0),MATCH(VLOOKUP(E$7,'Writing Logic'!$J$7:$K$11,2,FALSE)&amp;" - Per "&amp;VLOOKUP($C$4,'Writing Logic'!$G$8:$H$14,2,FALSE),YES_Writing_ELA[#Headers],0)))),"")</f>
        <v/>
      </c>
      <c r="F97" s="138" t="str">
        <f>IFERROR(IF(IF(INDEX(_xlfn.VSTACK(YES_Writing_ELA[#Data],YES_Writing_FLA[#Data]),MATCH($A97,_xlfn.VSTACK(YES_Writing_ELA[Student Number],YES_Writing_FLA[Student Number]),0),MATCH(VLOOKUP(F$7,'Writing Logic'!$J$7:$K$11,2,FALSE)&amp;" - Per "&amp;VLOOKUP($C$4,'Writing Logic'!$G$8:$H$14,2,FALSE),YES_Writing_ELA[#Headers],0))=0,"",INDEX(_xlfn.VSTACK(YES_Writing_ELA[#Data],YES_Writing_FLA[#Data]),MATCH($A97,_xlfn.VSTACK(YES_Writing_ELA[Student Number],YES_Writing_FLA[Student Number]),0),MATCH(VLOOKUP(F$7,'Writing Logic'!$J$7:$K$11,2,FALSE)&amp;" - Per "&amp;VLOOKUP($C$4,'Writing Logic'!$G$8:$H$14,2,FALSE),YES_Writing_ELA[#Headers],0)))="INS",'Writing Logic'!$B$7,IF(INDEX(_xlfn.VSTACK(YES_Writing_ELA[#Data],YES_Writing_FLA[#Data]),MATCH($A97,_xlfn.VSTACK(YES_Writing_ELA[Student Number],YES_Writing_FLA[Student Number]),0),MATCH(VLOOKUP(F$7,'Writing Logic'!$J$7:$K$11,2,FALSE)&amp;" - Per "&amp;VLOOKUP($C$4,'Writing Logic'!$G$8:$H$14,2,FALSE),YES_Writing_ELA[#Headers],0))=0,"",INDEX(_xlfn.VSTACK(YES_Writing_ELA[#Data],YES_Writing_FLA[#Data]),MATCH($A97,_xlfn.VSTACK(YES_Writing_ELA[Student Number],YES_Writing_FLA[Student Number]),0),MATCH(VLOOKUP(F$7,'Writing Logic'!$J$7:$K$11,2,FALSE)&amp;" - Per "&amp;VLOOKUP($C$4,'Writing Logic'!$G$8:$H$14,2,FALSE),YES_Writing_ELA[#Headers],0)))),"")</f>
        <v/>
      </c>
      <c r="G97" s="138" t="str">
        <f>IFERROR(IF(IF(INDEX(_xlfn.VSTACK(YES_Writing_ELA[#Data],YES_Writing_FLA[#Data]),MATCH($A97,_xlfn.VSTACK(YES_Writing_ELA[Student Number],YES_Writing_FLA[Student Number]),0),MATCH(VLOOKUP(G$7,'Writing Logic'!$J$7:$K$11,2,FALSE)&amp;" - Per "&amp;VLOOKUP($C$4,'Writing Logic'!$G$8:$H$14,2,FALSE),YES_Writing_ELA[#Headers],0))=0,"",INDEX(_xlfn.VSTACK(YES_Writing_ELA[#Data],YES_Writing_FLA[#Data]),MATCH($A97,_xlfn.VSTACK(YES_Writing_ELA[Student Number],YES_Writing_FLA[Student Number]),0),MATCH(VLOOKUP(G$7,'Writing Logic'!$J$7:$K$11,2,FALSE)&amp;" - Per "&amp;VLOOKUP($C$4,'Writing Logic'!$G$8:$H$14,2,FALSE),YES_Writing_ELA[#Headers],0)))="INS",'Writing Logic'!$B$7,IF(INDEX(_xlfn.VSTACK(YES_Writing_ELA[#Data],YES_Writing_FLA[#Data]),MATCH($A97,_xlfn.VSTACK(YES_Writing_ELA[Student Number],YES_Writing_FLA[Student Number]),0),MATCH(VLOOKUP(G$7,'Writing Logic'!$J$7:$K$11,2,FALSE)&amp;" - Per "&amp;VLOOKUP($C$4,'Writing Logic'!$G$8:$H$14,2,FALSE),YES_Writing_ELA[#Headers],0))=0,"",INDEX(_xlfn.VSTACK(YES_Writing_ELA[#Data],YES_Writing_FLA[#Data]),MATCH($A97,_xlfn.VSTACK(YES_Writing_ELA[Student Number],YES_Writing_FLA[Student Number]),0),MATCH(VLOOKUP(G$7,'Writing Logic'!$J$7:$K$11,2,FALSE)&amp;" - Per "&amp;VLOOKUP($C$4,'Writing Logic'!$G$8:$H$14,2,FALSE),YES_Writing_ELA[#Headers],0)))),"")</f>
        <v/>
      </c>
      <c r="H97" s="138" t="str">
        <f>IFERROR(IF(IF(INDEX(_xlfn.VSTACK(YES_Writing_ELA[#Data],YES_Writing_FLA[#Data]),MATCH($A97,_xlfn.VSTACK(YES_Writing_ELA[Student Number],YES_Writing_FLA[Student Number]),0),MATCH(VLOOKUP(H$7,'Writing Logic'!$J$7:$K$11,2,FALSE)&amp;" - Per "&amp;VLOOKUP($C$4,'Writing Logic'!$G$8:$H$14,2,FALSE),YES_Writing_ELA[#Headers],0))=0,"",INDEX(_xlfn.VSTACK(YES_Writing_ELA[#Data],YES_Writing_FLA[#Data]),MATCH($A97,_xlfn.VSTACK(YES_Writing_ELA[Student Number],YES_Writing_FLA[Student Number]),0),MATCH(VLOOKUP(H$7,'Writing Logic'!$J$7:$K$11,2,FALSE)&amp;" - Per "&amp;VLOOKUP($C$4,'Writing Logic'!$G$8:$H$14,2,FALSE),YES_Writing_ELA[#Headers],0)))="INS",'Writing Logic'!$B$7,IF(INDEX(_xlfn.VSTACK(YES_Writing_ELA[#Data],YES_Writing_FLA[#Data]),MATCH($A97,_xlfn.VSTACK(YES_Writing_ELA[Student Number],YES_Writing_FLA[Student Number]),0),MATCH(VLOOKUP(H$7,'Writing Logic'!$J$7:$K$11,2,FALSE)&amp;" - Per "&amp;VLOOKUP($C$4,'Writing Logic'!$G$8:$H$14,2,FALSE),YES_Writing_ELA[#Headers],0))=0,"",INDEX(_xlfn.VSTACK(YES_Writing_ELA[#Data],YES_Writing_FLA[#Data]),MATCH($A97,_xlfn.VSTACK(YES_Writing_ELA[Student Number],YES_Writing_FLA[Student Number]),0),MATCH(VLOOKUP(H$7,'Writing Logic'!$J$7:$K$11,2,FALSE)&amp;" - Per "&amp;VLOOKUP($C$4,'Writing Logic'!$G$8:$H$14,2,FALSE),YES_Writing_ELA[#Headers],0)))),"")</f>
        <v/>
      </c>
    </row>
    <row r="98" spans="1:8" ht="14.25" customHeight="1" x14ac:dyDescent="0.25">
      <c r="A98" s="137"/>
      <c r="B98" s="137" t="str">
        <f>IFERROR(INDEX(_xlfn.VSTACK(YES_Writing_ELA[#Data], YES_Writing_FLA[#Data]),MATCH($A98,_xlfn.VSTACK(YES_Writing_ELA[Student Number], YES_Writing_FLA[Student Number]),0),MATCH(B$7,YES_Writing_ELA[#Headers],0)),"")</f>
        <v/>
      </c>
      <c r="C98" s="137" t="str">
        <f>IFERROR(INDEX(_xlfn.VSTACK(YES_Writing_ELA[#Data], YES_Writing_FLA[#Data]),MATCH($A98,_xlfn.VSTACK(YES_Writing_ELA[Student Number], YES_Writing_FLA[Student Number]),0),MATCH(C$7,YES_Writing_ELA[#Headers],0)),"")</f>
        <v/>
      </c>
      <c r="D98" s="138" t="str">
        <f>IFERROR(IF(IF(INDEX(_xlfn.VSTACK(YES_Writing_ELA[#Data],YES_Writing_FLA[#Data]),MATCH($A98,_xlfn.VSTACK(YES_Writing_ELA[Student Number],YES_Writing_FLA[Student Number]),0),MATCH(VLOOKUP(D$7,'Writing Logic'!$J$7:$K$11,2,FALSE)&amp;" - Per "&amp;VLOOKUP($C$4,'Writing Logic'!$G$8:$H$14,2,FALSE),YES_Writing_ELA[#Headers],0))=0,"",INDEX(_xlfn.VSTACK(YES_Writing_ELA[#Data],YES_Writing_FLA[#Data]),MATCH($A98,_xlfn.VSTACK(YES_Writing_ELA[Student Number],YES_Writing_FLA[Student Number]),0),MATCH(VLOOKUP(D$7,'Writing Logic'!$J$7:$K$11,2,FALSE)&amp;" - Per "&amp;VLOOKUP($C$4,'Writing Logic'!$G$8:$H$14,2,FALSE),YES_Writing_ELA[#Headers],0)))="INS",'Writing Logic'!$B$7,IF(INDEX(_xlfn.VSTACK(YES_Writing_ELA[#Data],YES_Writing_FLA[#Data]),MATCH($A98,_xlfn.VSTACK(YES_Writing_ELA[Student Number],YES_Writing_FLA[Student Number]),0),MATCH(VLOOKUP(D$7,'Writing Logic'!$J$7:$K$11,2,FALSE)&amp;" - Per "&amp;VLOOKUP($C$4,'Writing Logic'!$G$8:$H$14,2,FALSE),YES_Writing_ELA[#Headers],0))=0,"",INDEX(_xlfn.VSTACK(YES_Writing_ELA[#Data],YES_Writing_FLA[#Data]),MATCH($A98,_xlfn.VSTACK(YES_Writing_ELA[Student Number],YES_Writing_FLA[Student Number]),0),MATCH(VLOOKUP(D$7,'Writing Logic'!$J$7:$K$11,2,FALSE)&amp;" - Per "&amp;VLOOKUP($C$4,'Writing Logic'!$G$8:$H$14,2,FALSE),YES_Writing_ELA[#Headers],0)))),"")</f>
        <v/>
      </c>
      <c r="E98" s="138" t="str">
        <f>IFERROR(IF(IF(INDEX(_xlfn.VSTACK(YES_Writing_ELA[#Data],YES_Writing_FLA[#Data]),MATCH($A98,_xlfn.VSTACK(YES_Writing_ELA[Student Number],YES_Writing_FLA[Student Number]),0),MATCH(VLOOKUP(E$7,'Writing Logic'!$J$7:$K$11,2,FALSE)&amp;" - Per "&amp;VLOOKUP($C$4,'Writing Logic'!$G$8:$H$14,2,FALSE),YES_Writing_ELA[#Headers],0))=0,"",INDEX(_xlfn.VSTACK(YES_Writing_ELA[#Data],YES_Writing_FLA[#Data]),MATCH($A98,_xlfn.VSTACK(YES_Writing_ELA[Student Number],YES_Writing_FLA[Student Number]),0),MATCH(VLOOKUP(E$7,'Writing Logic'!$J$7:$K$11,2,FALSE)&amp;" - Per "&amp;VLOOKUP($C$4,'Writing Logic'!$G$8:$H$14,2,FALSE),YES_Writing_ELA[#Headers],0)))="INS",'Writing Logic'!$B$7,IF(INDEX(_xlfn.VSTACK(YES_Writing_ELA[#Data],YES_Writing_FLA[#Data]),MATCH($A98,_xlfn.VSTACK(YES_Writing_ELA[Student Number],YES_Writing_FLA[Student Number]),0),MATCH(VLOOKUP(E$7,'Writing Logic'!$J$7:$K$11,2,FALSE)&amp;" - Per "&amp;VLOOKUP($C$4,'Writing Logic'!$G$8:$H$14,2,FALSE),YES_Writing_ELA[#Headers],0))=0,"",INDEX(_xlfn.VSTACK(YES_Writing_ELA[#Data],YES_Writing_FLA[#Data]),MATCH($A98,_xlfn.VSTACK(YES_Writing_ELA[Student Number],YES_Writing_FLA[Student Number]),0),MATCH(VLOOKUP(E$7,'Writing Logic'!$J$7:$K$11,2,FALSE)&amp;" - Per "&amp;VLOOKUP($C$4,'Writing Logic'!$G$8:$H$14,2,FALSE),YES_Writing_ELA[#Headers],0)))),"")</f>
        <v/>
      </c>
      <c r="F98" s="138" t="str">
        <f>IFERROR(IF(IF(INDEX(_xlfn.VSTACK(YES_Writing_ELA[#Data],YES_Writing_FLA[#Data]),MATCH($A98,_xlfn.VSTACK(YES_Writing_ELA[Student Number],YES_Writing_FLA[Student Number]),0),MATCH(VLOOKUP(F$7,'Writing Logic'!$J$7:$K$11,2,FALSE)&amp;" - Per "&amp;VLOOKUP($C$4,'Writing Logic'!$G$8:$H$14,2,FALSE),YES_Writing_ELA[#Headers],0))=0,"",INDEX(_xlfn.VSTACK(YES_Writing_ELA[#Data],YES_Writing_FLA[#Data]),MATCH($A98,_xlfn.VSTACK(YES_Writing_ELA[Student Number],YES_Writing_FLA[Student Number]),0),MATCH(VLOOKUP(F$7,'Writing Logic'!$J$7:$K$11,2,FALSE)&amp;" - Per "&amp;VLOOKUP($C$4,'Writing Logic'!$G$8:$H$14,2,FALSE),YES_Writing_ELA[#Headers],0)))="INS",'Writing Logic'!$B$7,IF(INDEX(_xlfn.VSTACK(YES_Writing_ELA[#Data],YES_Writing_FLA[#Data]),MATCH($A98,_xlfn.VSTACK(YES_Writing_ELA[Student Number],YES_Writing_FLA[Student Number]),0),MATCH(VLOOKUP(F$7,'Writing Logic'!$J$7:$K$11,2,FALSE)&amp;" - Per "&amp;VLOOKUP($C$4,'Writing Logic'!$G$8:$H$14,2,FALSE),YES_Writing_ELA[#Headers],0))=0,"",INDEX(_xlfn.VSTACK(YES_Writing_ELA[#Data],YES_Writing_FLA[#Data]),MATCH($A98,_xlfn.VSTACK(YES_Writing_ELA[Student Number],YES_Writing_FLA[Student Number]),0),MATCH(VLOOKUP(F$7,'Writing Logic'!$J$7:$K$11,2,FALSE)&amp;" - Per "&amp;VLOOKUP($C$4,'Writing Logic'!$G$8:$H$14,2,FALSE),YES_Writing_ELA[#Headers],0)))),"")</f>
        <v/>
      </c>
      <c r="G98" s="138" t="str">
        <f>IFERROR(IF(IF(INDEX(_xlfn.VSTACK(YES_Writing_ELA[#Data],YES_Writing_FLA[#Data]),MATCH($A98,_xlfn.VSTACK(YES_Writing_ELA[Student Number],YES_Writing_FLA[Student Number]),0),MATCH(VLOOKUP(G$7,'Writing Logic'!$J$7:$K$11,2,FALSE)&amp;" - Per "&amp;VLOOKUP($C$4,'Writing Logic'!$G$8:$H$14,2,FALSE),YES_Writing_ELA[#Headers],0))=0,"",INDEX(_xlfn.VSTACK(YES_Writing_ELA[#Data],YES_Writing_FLA[#Data]),MATCH($A98,_xlfn.VSTACK(YES_Writing_ELA[Student Number],YES_Writing_FLA[Student Number]),0),MATCH(VLOOKUP(G$7,'Writing Logic'!$J$7:$K$11,2,FALSE)&amp;" - Per "&amp;VLOOKUP($C$4,'Writing Logic'!$G$8:$H$14,2,FALSE),YES_Writing_ELA[#Headers],0)))="INS",'Writing Logic'!$B$7,IF(INDEX(_xlfn.VSTACK(YES_Writing_ELA[#Data],YES_Writing_FLA[#Data]),MATCH($A98,_xlfn.VSTACK(YES_Writing_ELA[Student Number],YES_Writing_FLA[Student Number]),0),MATCH(VLOOKUP(G$7,'Writing Logic'!$J$7:$K$11,2,FALSE)&amp;" - Per "&amp;VLOOKUP($C$4,'Writing Logic'!$G$8:$H$14,2,FALSE),YES_Writing_ELA[#Headers],0))=0,"",INDEX(_xlfn.VSTACK(YES_Writing_ELA[#Data],YES_Writing_FLA[#Data]),MATCH($A98,_xlfn.VSTACK(YES_Writing_ELA[Student Number],YES_Writing_FLA[Student Number]),0),MATCH(VLOOKUP(G$7,'Writing Logic'!$J$7:$K$11,2,FALSE)&amp;" - Per "&amp;VLOOKUP($C$4,'Writing Logic'!$G$8:$H$14,2,FALSE),YES_Writing_ELA[#Headers],0)))),"")</f>
        <v/>
      </c>
      <c r="H98" s="138" t="str">
        <f>IFERROR(IF(IF(INDEX(_xlfn.VSTACK(YES_Writing_ELA[#Data],YES_Writing_FLA[#Data]),MATCH($A98,_xlfn.VSTACK(YES_Writing_ELA[Student Number],YES_Writing_FLA[Student Number]),0),MATCH(VLOOKUP(H$7,'Writing Logic'!$J$7:$K$11,2,FALSE)&amp;" - Per "&amp;VLOOKUP($C$4,'Writing Logic'!$G$8:$H$14,2,FALSE),YES_Writing_ELA[#Headers],0))=0,"",INDEX(_xlfn.VSTACK(YES_Writing_ELA[#Data],YES_Writing_FLA[#Data]),MATCH($A98,_xlfn.VSTACK(YES_Writing_ELA[Student Number],YES_Writing_FLA[Student Number]),0),MATCH(VLOOKUP(H$7,'Writing Logic'!$J$7:$K$11,2,FALSE)&amp;" - Per "&amp;VLOOKUP($C$4,'Writing Logic'!$G$8:$H$14,2,FALSE),YES_Writing_ELA[#Headers],0)))="INS",'Writing Logic'!$B$7,IF(INDEX(_xlfn.VSTACK(YES_Writing_ELA[#Data],YES_Writing_FLA[#Data]),MATCH($A98,_xlfn.VSTACK(YES_Writing_ELA[Student Number],YES_Writing_FLA[Student Number]),0),MATCH(VLOOKUP(H$7,'Writing Logic'!$J$7:$K$11,2,FALSE)&amp;" - Per "&amp;VLOOKUP($C$4,'Writing Logic'!$G$8:$H$14,2,FALSE),YES_Writing_ELA[#Headers],0))=0,"",INDEX(_xlfn.VSTACK(YES_Writing_ELA[#Data],YES_Writing_FLA[#Data]),MATCH($A98,_xlfn.VSTACK(YES_Writing_ELA[Student Number],YES_Writing_FLA[Student Number]),0),MATCH(VLOOKUP(H$7,'Writing Logic'!$J$7:$K$11,2,FALSE)&amp;" - Per "&amp;VLOOKUP($C$4,'Writing Logic'!$G$8:$H$14,2,FALSE),YES_Writing_ELA[#Headers],0)))),"")</f>
        <v/>
      </c>
    </row>
    <row r="99" spans="1:8" ht="14.25" customHeight="1" x14ac:dyDescent="0.25">
      <c r="A99" s="137"/>
      <c r="B99" s="137" t="str">
        <f>IFERROR(INDEX(_xlfn.VSTACK(YES_Writing_ELA[#Data], YES_Writing_FLA[#Data]),MATCH($A99,_xlfn.VSTACK(YES_Writing_ELA[Student Number], YES_Writing_FLA[Student Number]),0),MATCH(B$7,YES_Writing_ELA[#Headers],0)),"")</f>
        <v/>
      </c>
      <c r="C99" s="137" t="str">
        <f>IFERROR(INDEX(_xlfn.VSTACK(YES_Writing_ELA[#Data], YES_Writing_FLA[#Data]),MATCH($A99,_xlfn.VSTACK(YES_Writing_ELA[Student Number], YES_Writing_FLA[Student Number]),0),MATCH(C$7,YES_Writing_ELA[#Headers],0)),"")</f>
        <v/>
      </c>
      <c r="D99" s="138" t="str">
        <f>IFERROR(IF(IF(INDEX(_xlfn.VSTACK(YES_Writing_ELA[#Data],YES_Writing_FLA[#Data]),MATCH($A99,_xlfn.VSTACK(YES_Writing_ELA[Student Number],YES_Writing_FLA[Student Number]),0),MATCH(VLOOKUP(D$7,'Writing Logic'!$J$7:$K$11,2,FALSE)&amp;" - Per "&amp;VLOOKUP($C$4,'Writing Logic'!$G$8:$H$14,2,FALSE),YES_Writing_ELA[#Headers],0))=0,"",INDEX(_xlfn.VSTACK(YES_Writing_ELA[#Data],YES_Writing_FLA[#Data]),MATCH($A99,_xlfn.VSTACK(YES_Writing_ELA[Student Number],YES_Writing_FLA[Student Number]),0),MATCH(VLOOKUP(D$7,'Writing Logic'!$J$7:$K$11,2,FALSE)&amp;" - Per "&amp;VLOOKUP($C$4,'Writing Logic'!$G$8:$H$14,2,FALSE),YES_Writing_ELA[#Headers],0)))="INS",'Writing Logic'!$B$7,IF(INDEX(_xlfn.VSTACK(YES_Writing_ELA[#Data],YES_Writing_FLA[#Data]),MATCH($A99,_xlfn.VSTACK(YES_Writing_ELA[Student Number],YES_Writing_FLA[Student Number]),0),MATCH(VLOOKUP(D$7,'Writing Logic'!$J$7:$K$11,2,FALSE)&amp;" - Per "&amp;VLOOKUP($C$4,'Writing Logic'!$G$8:$H$14,2,FALSE),YES_Writing_ELA[#Headers],0))=0,"",INDEX(_xlfn.VSTACK(YES_Writing_ELA[#Data],YES_Writing_FLA[#Data]),MATCH($A99,_xlfn.VSTACK(YES_Writing_ELA[Student Number],YES_Writing_FLA[Student Number]),0),MATCH(VLOOKUP(D$7,'Writing Logic'!$J$7:$K$11,2,FALSE)&amp;" - Per "&amp;VLOOKUP($C$4,'Writing Logic'!$G$8:$H$14,2,FALSE),YES_Writing_ELA[#Headers],0)))),"")</f>
        <v/>
      </c>
      <c r="E99" s="138" t="str">
        <f>IFERROR(IF(IF(INDEX(_xlfn.VSTACK(YES_Writing_ELA[#Data],YES_Writing_FLA[#Data]),MATCH($A99,_xlfn.VSTACK(YES_Writing_ELA[Student Number],YES_Writing_FLA[Student Number]),0),MATCH(VLOOKUP(E$7,'Writing Logic'!$J$7:$K$11,2,FALSE)&amp;" - Per "&amp;VLOOKUP($C$4,'Writing Logic'!$G$8:$H$14,2,FALSE),YES_Writing_ELA[#Headers],0))=0,"",INDEX(_xlfn.VSTACK(YES_Writing_ELA[#Data],YES_Writing_FLA[#Data]),MATCH($A99,_xlfn.VSTACK(YES_Writing_ELA[Student Number],YES_Writing_FLA[Student Number]),0),MATCH(VLOOKUP(E$7,'Writing Logic'!$J$7:$K$11,2,FALSE)&amp;" - Per "&amp;VLOOKUP($C$4,'Writing Logic'!$G$8:$H$14,2,FALSE),YES_Writing_ELA[#Headers],0)))="INS",'Writing Logic'!$B$7,IF(INDEX(_xlfn.VSTACK(YES_Writing_ELA[#Data],YES_Writing_FLA[#Data]),MATCH($A99,_xlfn.VSTACK(YES_Writing_ELA[Student Number],YES_Writing_FLA[Student Number]),0),MATCH(VLOOKUP(E$7,'Writing Logic'!$J$7:$K$11,2,FALSE)&amp;" - Per "&amp;VLOOKUP($C$4,'Writing Logic'!$G$8:$H$14,2,FALSE),YES_Writing_ELA[#Headers],0))=0,"",INDEX(_xlfn.VSTACK(YES_Writing_ELA[#Data],YES_Writing_FLA[#Data]),MATCH($A99,_xlfn.VSTACK(YES_Writing_ELA[Student Number],YES_Writing_FLA[Student Number]),0),MATCH(VLOOKUP(E$7,'Writing Logic'!$J$7:$K$11,2,FALSE)&amp;" - Per "&amp;VLOOKUP($C$4,'Writing Logic'!$G$8:$H$14,2,FALSE),YES_Writing_ELA[#Headers],0)))),"")</f>
        <v/>
      </c>
      <c r="F99" s="138" t="str">
        <f>IFERROR(IF(IF(INDEX(_xlfn.VSTACK(YES_Writing_ELA[#Data],YES_Writing_FLA[#Data]),MATCH($A99,_xlfn.VSTACK(YES_Writing_ELA[Student Number],YES_Writing_FLA[Student Number]),0),MATCH(VLOOKUP(F$7,'Writing Logic'!$J$7:$K$11,2,FALSE)&amp;" - Per "&amp;VLOOKUP($C$4,'Writing Logic'!$G$8:$H$14,2,FALSE),YES_Writing_ELA[#Headers],0))=0,"",INDEX(_xlfn.VSTACK(YES_Writing_ELA[#Data],YES_Writing_FLA[#Data]),MATCH($A99,_xlfn.VSTACK(YES_Writing_ELA[Student Number],YES_Writing_FLA[Student Number]),0),MATCH(VLOOKUP(F$7,'Writing Logic'!$J$7:$K$11,2,FALSE)&amp;" - Per "&amp;VLOOKUP($C$4,'Writing Logic'!$G$8:$H$14,2,FALSE),YES_Writing_ELA[#Headers],0)))="INS",'Writing Logic'!$B$7,IF(INDEX(_xlfn.VSTACK(YES_Writing_ELA[#Data],YES_Writing_FLA[#Data]),MATCH($A99,_xlfn.VSTACK(YES_Writing_ELA[Student Number],YES_Writing_FLA[Student Number]),0),MATCH(VLOOKUP(F$7,'Writing Logic'!$J$7:$K$11,2,FALSE)&amp;" - Per "&amp;VLOOKUP($C$4,'Writing Logic'!$G$8:$H$14,2,FALSE),YES_Writing_ELA[#Headers],0))=0,"",INDEX(_xlfn.VSTACK(YES_Writing_ELA[#Data],YES_Writing_FLA[#Data]),MATCH($A99,_xlfn.VSTACK(YES_Writing_ELA[Student Number],YES_Writing_FLA[Student Number]),0),MATCH(VLOOKUP(F$7,'Writing Logic'!$J$7:$K$11,2,FALSE)&amp;" - Per "&amp;VLOOKUP($C$4,'Writing Logic'!$G$8:$H$14,2,FALSE),YES_Writing_ELA[#Headers],0)))),"")</f>
        <v/>
      </c>
      <c r="G99" s="138" t="str">
        <f>IFERROR(IF(IF(INDEX(_xlfn.VSTACK(YES_Writing_ELA[#Data],YES_Writing_FLA[#Data]),MATCH($A99,_xlfn.VSTACK(YES_Writing_ELA[Student Number],YES_Writing_FLA[Student Number]),0),MATCH(VLOOKUP(G$7,'Writing Logic'!$J$7:$K$11,2,FALSE)&amp;" - Per "&amp;VLOOKUP($C$4,'Writing Logic'!$G$8:$H$14,2,FALSE),YES_Writing_ELA[#Headers],0))=0,"",INDEX(_xlfn.VSTACK(YES_Writing_ELA[#Data],YES_Writing_FLA[#Data]),MATCH($A99,_xlfn.VSTACK(YES_Writing_ELA[Student Number],YES_Writing_FLA[Student Number]),0),MATCH(VLOOKUP(G$7,'Writing Logic'!$J$7:$K$11,2,FALSE)&amp;" - Per "&amp;VLOOKUP($C$4,'Writing Logic'!$G$8:$H$14,2,FALSE),YES_Writing_ELA[#Headers],0)))="INS",'Writing Logic'!$B$7,IF(INDEX(_xlfn.VSTACK(YES_Writing_ELA[#Data],YES_Writing_FLA[#Data]),MATCH($A99,_xlfn.VSTACK(YES_Writing_ELA[Student Number],YES_Writing_FLA[Student Number]),0),MATCH(VLOOKUP(G$7,'Writing Logic'!$J$7:$K$11,2,FALSE)&amp;" - Per "&amp;VLOOKUP($C$4,'Writing Logic'!$G$8:$H$14,2,FALSE),YES_Writing_ELA[#Headers],0))=0,"",INDEX(_xlfn.VSTACK(YES_Writing_ELA[#Data],YES_Writing_FLA[#Data]),MATCH($A99,_xlfn.VSTACK(YES_Writing_ELA[Student Number],YES_Writing_FLA[Student Number]),0),MATCH(VLOOKUP(G$7,'Writing Logic'!$J$7:$K$11,2,FALSE)&amp;" - Per "&amp;VLOOKUP($C$4,'Writing Logic'!$G$8:$H$14,2,FALSE),YES_Writing_ELA[#Headers],0)))),"")</f>
        <v/>
      </c>
      <c r="H99" s="138" t="str">
        <f>IFERROR(IF(IF(INDEX(_xlfn.VSTACK(YES_Writing_ELA[#Data],YES_Writing_FLA[#Data]),MATCH($A99,_xlfn.VSTACK(YES_Writing_ELA[Student Number],YES_Writing_FLA[Student Number]),0),MATCH(VLOOKUP(H$7,'Writing Logic'!$J$7:$K$11,2,FALSE)&amp;" - Per "&amp;VLOOKUP($C$4,'Writing Logic'!$G$8:$H$14,2,FALSE),YES_Writing_ELA[#Headers],0))=0,"",INDEX(_xlfn.VSTACK(YES_Writing_ELA[#Data],YES_Writing_FLA[#Data]),MATCH($A99,_xlfn.VSTACK(YES_Writing_ELA[Student Number],YES_Writing_FLA[Student Number]),0),MATCH(VLOOKUP(H$7,'Writing Logic'!$J$7:$K$11,2,FALSE)&amp;" - Per "&amp;VLOOKUP($C$4,'Writing Logic'!$G$8:$H$14,2,FALSE),YES_Writing_ELA[#Headers],0)))="INS",'Writing Logic'!$B$7,IF(INDEX(_xlfn.VSTACK(YES_Writing_ELA[#Data],YES_Writing_FLA[#Data]),MATCH($A99,_xlfn.VSTACK(YES_Writing_ELA[Student Number],YES_Writing_FLA[Student Number]),0),MATCH(VLOOKUP(H$7,'Writing Logic'!$J$7:$K$11,2,FALSE)&amp;" - Per "&amp;VLOOKUP($C$4,'Writing Logic'!$G$8:$H$14,2,FALSE),YES_Writing_ELA[#Headers],0))=0,"",INDEX(_xlfn.VSTACK(YES_Writing_ELA[#Data],YES_Writing_FLA[#Data]),MATCH($A99,_xlfn.VSTACK(YES_Writing_ELA[Student Number],YES_Writing_FLA[Student Number]),0),MATCH(VLOOKUP(H$7,'Writing Logic'!$J$7:$K$11,2,FALSE)&amp;" - Per "&amp;VLOOKUP($C$4,'Writing Logic'!$G$8:$H$14,2,FALSE),YES_Writing_ELA[#Headers],0)))),"")</f>
        <v/>
      </c>
    </row>
    <row r="100" spans="1:8" ht="14.25" customHeight="1" x14ac:dyDescent="0.25">
      <c r="A100" s="137"/>
      <c r="B100" s="137" t="str">
        <f>IFERROR(INDEX(_xlfn.VSTACK(YES_Writing_ELA[#Data], YES_Writing_FLA[#Data]),MATCH($A100,_xlfn.VSTACK(YES_Writing_ELA[Student Number], YES_Writing_FLA[Student Number]),0),MATCH(B$7,YES_Writing_ELA[#Headers],0)),"")</f>
        <v/>
      </c>
      <c r="C100" s="137" t="str">
        <f>IFERROR(INDEX(_xlfn.VSTACK(YES_Writing_ELA[#Data], YES_Writing_FLA[#Data]),MATCH($A100,_xlfn.VSTACK(YES_Writing_ELA[Student Number], YES_Writing_FLA[Student Number]),0),MATCH(C$7,YES_Writing_ELA[#Headers],0)),"")</f>
        <v/>
      </c>
      <c r="D100" s="138" t="str">
        <f>IFERROR(IF(IF(INDEX(_xlfn.VSTACK(YES_Writing_ELA[#Data],YES_Writing_FLA[#Data]),MATCH($A100,_xlfn.VSTACK(YES_Writing_ELA[Student Number],YES_Writing_FLA[Student Number]),0),MATCH(VLOOKUP(D$7,'Writing Logic'!$J$7:$K$11,2,FALSE)&amp;" - Per "&amp;VLOOKUP($C$4,'Writing Logic'!$G$8:$H$14,2,FALSE),YES_Writing_ELA[#Headers],0))=0,"",INDEX(_xlfn.VSTACK(YES_Writing_ELA[#Data],YES_Writing_FLA[#Data]),MATCH($A100,_xlfn.VSTACK(YES_Writing_ELA[Student Number],YES_Writing_FLA[Student Number]),0),MATCH(VLOOKUP(D$7,'Writing Logic'!$J$7:$K$11,2,FALSE)&amp;" - Per "&amp;VLOOKUP($C$4,'Writing Logic'!$G$8:$H$14,2,FALSE),YES_Writing_ELA[#Headers],0)))="INS",'Writing Logic'!$B$7,IF(INDEX(_xlfn.VSTACK(YES_Writing_ELA[#Data],YES_Writing_FLA[#Data]),MATCH($A100,_xlfn.VSTACK(YES_Writing_ELA[Student Number],YES_Writing_FLA[Student Number]),0),MATCH(VLOOKUP(D$7,'Writing Logic'!$J$7:$K$11,2,FALSE)&amp;" - Per "&amp;VLOOKUP($C$4,'Writing Logic'!$G$8:$H$14,2,FALSE),YES_Writing_ELA[#Headers],0))=0,"",INDEX(_xlfn.VSTACK(YES_Writing_ELA[#Data],YES_Writing_FLA[#Data]),MATCH($A100,_xlfn.VSTACK(YES_Writing_ELA[Student Number],YES_Writing_FLA[Student Number]),0),MATCH(VLOOKUP(D$7,'Writing Logic'!$J$7:$K$11,2,FALSE)&amp;" - Per "&amp;VLOOKUP($C$4,'Writing Logic'!$G$8:$H$14,2,FALSE),YES_Writing_ELA[#Headers],0)))),"")</f>
        <v/>
      </c>
      <c r="E100" s="138" t="str">
        <f>IFERROR(IF(IF(INDEX(_xlfn.VSTACK(YES_Writing_ELA[#Data],YES_Writing_FLA[#Data]),MATCH($A100,_xlfn.VSTACK(YES_Writing_ELA[Student Number],YES_Writing_FLA[Student Number]),0),MATCH(VLOOKUP(E$7,'Writing Logic'!$J$7:$K$11,2,FALSE)&amp;" - Per "&amp;VLOOKUP($C$4,'Writing Logic'!$G$8:$H$14,2,FALSE),YES_Writing_ELA[#Headers],0))=0,"",INDEX(_xlfn.VSTACK(YES_Writing_ELA[#Data],YES_Writing_FLA[#Data]),MATCH($A100,_xlfn.VSTACK(YES_Writing_ELA[Student Number],YES_Writing_FLA[Student Number]),0),MATCH(VLOOKUP(E$7,'Writing Logic'!$J$7:$K$11,2,FALSE)&amp;" - Per "&amp;VLOOKUP($C$4,'Writing Logic'!$G$8:$H$14,2,FALSE),YES_Writing_ELA[#Headers],0)))="INS",'Writing Logic'!$B$7,IF(INDEX(_xlfn.VSTACK(YES_Writing_ELA[#Data],YES_Writing_FLA[#Data]),MATCH($A100,_xlfn.VSTACK(YES_Writing_ELA[Student Number],YES_Writing_FLA[Student Number]),0),MATCH(VLOOKUP(E$7,'Writing Logic'!$J$7:$K$11,2,FALSE)&amp;" - Per "&amp;VLOOKUP($C$4,'Writing Logic'!$G$8:$H$14,2,FALSE),YES_Writing_ELA[#Headers],0))=0,"",INDEX(_xlfn.VSTACK(YES_Writing_ELA[#Data],YES_Writing_FLA[#Data]),MATCH($A100,_xlfn.VSTACK(YES_Writing_ELA[Student Number],YES_Writing_FLA[Student Number]),0),MATCH(VLOOKUP(E$7,'Writing Logic'!$J$7:$K$11,2,FALSE)&amp;" - Per "&amp;VLOOKUP($C$4,'Writing Logic'!$G$8:$H$14,2,FALSE),YES_Writing_ELA[#Headers],0)))),"")</f>
        <v/>
      </c>
      <c r="F100" s="138" t="str">
        <f>IFERROR(IF(IF(INDEX(_xlfn.VSTACK(YES_Writing_ELA[#Data],YES_Writing_FLA[#Data]),MATCH($A100,_xlfn.VSTACK(YES_Writing_ELA[Student Number],YES_Writing_FLA[Student Number]),0),MATCH(VLOOKUP(F$7,'Writing Logic'!$J$7:$K$11,2,FALSE)&amp;" - Per "&amp;VLOOKUP($C$4,'Writing Logic'!$G$8:$H$14,2,FALSE),YES_Writing_ELA[#Headers],0))=0,"",INDEX(_xlfn.VSTACK(YES_Writing_ELA[#Data],YES_Writing_FLA[#Data]),MATCH($A100,_xlfn.VSTACK(YES_Writing_ELA[Student Number],YES_Writing_FLA[Student Number]),0),MATCH(VLOOKUP(F$7,'Writing Logic'!$J$7:$K$11,2,FALSE)&amp;" - Per "&amp;VLOOKUP($C$4,'Writing Logic'!$G$8:$H$14,2,FALSE),YES_Writing_ELA[#Headers],0)))="INS",'Writing Logic'!$B$7,IF(INDEX(_xlfn.VSTACK(YES_Writing_ELA[#Data],YES_Writing_FLA[#Data]),MATCH($A100,_xlfn.VSTACK(YES_Writing_ELA[Student Number],YES_Writing_FLA[Student Number]),0),MATCH(VLOOKUP(F$7,'Writing Logic'!$J$7:$K$11,2,FALSE)&amp;" - Per "&amp;VLOOKUP($C$4,'Writing Logic'!$G$8:$H$14,2,FALSE),YES_Writing_ELA[#Headers],0))=0,"",INDEX(_xlfn.VSTACK(YES_Writing_ELA[#Data],YES_Writing_FLA[#Data]),MATCH($A100,_xlfn.VSTACK(YES_Writing_ELA[Student Number],YES_Writing_FLA[Student Number]),0),MATCH(VLOOKUP(F$7,'Writing Logic'!$J$7:$K$11,2,FALSE)&amp;" - Per "&amp;VLOOKUP($C$4,'Writing Logic'!$G$8:$H$14,2,FALSE),YES_Writing_ELA[#Headers],0)))),"")</f>
        <v/>
      </c>
      <c r="G100" s="138" t="str">
        <f>IFERROR(IF(IF(INDEX(_xlfn.VSTACK(YES_Writing_ELA[#Data],YES_Writing_FLA[#Data]),MATCH($A100,_xlfn.VSTACK(YES_Writing_ELA[Student Number],YES_Writing_FLA[Student Number]),0),MATCH(VLOOKUP(G$7,'Writing Logic'!$J$7:$K$11,2,FALSE)&amp;" - Per "&amp;VLOOKUP($C$4,'Writing Logic'!$G$8:$H$14,2,FALSE),YES_Writing_ELA[#Headers],0))=0,"",INDEX(_xlfn.VSTACK(YES_Writing_ELA[#Data],YES_Writing_FLA[#Data]),MATCH($A100,_xlfn.VSTACK(YES_Writing_ELA[Student Number],YES_Writing_FLA[Student Number]),0),MATCH(VLOOKUP(G$7,'Writing Logic'!$J$7:$K$11,2,FALSE)&amp;" - Per "&amp;VLOOKUP($C$4,'Writing Logic'!$G$8:$H$14,2,FALSE),YES_Writing_ELA[#Headers],0)))="INS",'Writing Logic'!$B$7,IF(INDEX(_xlfn.VSTACK(YES_Writing_ELA[#Data],YES_Writing_FLA[#Data]),MATCH($A100,_xlfn.VSTACK(YES_Writing_ELA[Student Number],YES_Writing_FLA[Student Number]),0),MATCH(VLOOKUP(G$7,'Writing Logic'!$J$7:$K$11,2,FALSE)&amp;" - Per "&amp;VLOOKUP($C$4,'Writing Logic'!$G$8:$H$14,2,FALSE),YES_Writing_ELA[#Headers],0))=0,"",INDEX(_xlfn.VSTACK(YES_Writing_ELA[#Data],YES_Writing_FLA[#Data]),MATCH($A100,_xlfn.VSTACK(YES_Writing_ELA[Student Number],YES_Writing_FLA[Student Number]),0),MATCH(VLOOKUP(G$7,'Writing Logic'!$J$7:$K$11,2,FALSE)&amp;" - Per "&amp;VLOOKUP($C$4,'Writing Logic'!$G$8:$H$14,2,FALSE),YES_Writing_ELA[#Headers],0)))),"")</f>
        <v/>
      </c>
      <c r="H100" s="138" t="str">
        <f>IFERROR(IF(IF(INDEX(_xlfn.VSTACK(YES_Writing_ELA[#Data],YES_Writing_FLA[#Data]),MATCH($A100,_xlfn.VSTACK(YES_Writing_ELA[Student Number],YES_Writing_FLA[Student Number]),0),MATCH(VLOOKUP(H$7,'Writing Logic'!$J$7:$K$11,2,FALSE)&amp;" - Per "&amp;VLOOKUP($C$4,'Writing Logic'!$G$8:$H$14,2,FALSE),YES_Writing_ELA[#Headers],0))=0,"",INDEX(_xlfn.VSTACK(YES_Writing_ELA[#Data],YES_Writing_FLA[#Data]),MATCH($A100,_xlfn.VSTACK(YES_Writing_ELA[Student Number],YES_Writing_FLA[Student Number]),0),MATCH(VLOOKUP(H$7,'Writing Logic'!$J$7:$K$11,2,FALSE)&amp;" - Per "&amp;VLOOKUP($C$4,'Writing Logic'!$G$8:$H$14,2,FALSE),YES_Writing_ELA[#Headers],0)))="INS",'Writing Logic'!$B$7,IF(INDEX(_xlfn.VSTACK(YES_Writing_ELA[#Data],YES_Writing_FLA[#Data]),MATCH($A100,_xlfn.VSTACK(YES_Writing_ELA[Student Number],YES_Writing_FLA[Student Number]),0),MATCH(VLOOKUP(H$7,'Writing Logic'!$J$7:$K$11,2,FALSE)&amp;" - Per "&amp;VLOOKUP($C$4,'Writing Logic'!$G$8:$H$14,2,FALSE),YES_Writing_ELA[#Headers],0))=0,"",INDEX(_xlfn.VSTACK(YES_Writing_ELA[#Data],YES_Writing_FLA[#Data]),MATCH($A100,_xlfn.VSTACK(YES_Writing_ELA[Student Number],YES_Writing_FLA[Student Number]),0),MATCH(VLOOKUP(H$7,'Writing Logic'!$J$7:$K$11,2,FALSE)&amp;" - Per "&amp;VLOOKUP($C$4,'Writing Logic'!$G$8:$H$14,2,FALSE),YES_Writing_ELA[#Headers],0)))),"")</f>
        <v/>
      </c>
    </row>
    <row r="101" spans="1:8" ht="14.25" customHeight="1" x14ac:dyDescent="0.25">
      <c r="A101" s="137"/>
      <c r="B101" s="137" t="str">
        <f>IFERROR(INDEX(_xlfn.VSTACK(YES_Writing_ELA[#Data], YES_Writing_FLA[#Data]),MATCH($A101,_xlfn.VSTACK(YES_Writing_ELA[Student Number], YES_Writing_FLA[Student Number]),0),MATCH(B$7,YES_Writing_ELA[#Headers],0)),"")</f>
        <v/>
      </c>
      <c r="C101" s="137" t="str">
        <f>IFERROR(INDEX(_xlfn.VSTACK(YES_Writing_ELA[#Data], YES_Writing_FLA[#Data]),MATCH($A101,_xlfn.VSTACK(YES_Writing_ELA[Student Number], YES_Writing_FLA[Student Number]),0),MATCH(C$7,YES_Writing_ELA[#Headers],0)),"")</f>
        <v/>
      </c>
      <c r="D101" s="138" t="str">
        <f>IFERROR(IF(IF(INDEX(_xlfn.VSTACK(YES_Writing_ELA[#Data],YES_Writing_FLA[#Data]),MATCH($A101,_xlfn.VSTACK(YES_Writing_ELA[Student Number],YES_Writing_FLA[Student Number]),0),MATCH(VLOOKUP(D$7,'Writing Logic'!$J$7:$K$11,2,FALSE)&amp;" - Per "&amp;VLOOKUP($C$4,'Writing Logic'!$G$8:$H$14,2,FALSE),YES_Writing_ELA[#Headers],0))=0,"",INDEX(_xlfn.VSTACK(YES_Writing_ELA[#Data],YES_Writing_FLA[#Data]),MATCH($A101,_xlfn.VSTACK(YES_Writing_ELA[Student Number],YES_Writing_FLA[Student Number]),0),MATCH(VLOOKUP(D$7,'Writing Logic'!$J$7:$K$11,2,FALSE)&amp;" - Per "&amp;VLOOKUP($C$4,'Writing Logic'!$G$8:$H$14,2,FALSE),YES_Writing_ELA[#Headers],0)))="INS",'Writing Logic'!$B$7,IF(INDEX(_xlfn.VSTACK(YES_Writing_ELA[#Data],YES_Writing_FLA[#Data]),MATCH($A101,_xlfn.VSTACK(YES_Writing_ELA[Student Number],YES_Writing_FLA[Student Number]),0),MATCH(VLOOKUP(D$7,'Writing Logic'!$J$7:$K$11,2,FALSE)&amp;" - Per "&amp;VLOOKUP($C$4,'Writing Logic'!$G$8:$H$14,2,FALSE),YES_Writing_ELA[#Headers],0))=0,"",INDEX(_xlfn.VSTACK(YES_Writing_ELA[#Data],YES_Writing_FLA[#Data]),MATCH($A101,_xlfn.VSTACK(YES_Writing_ELA[Student Number],YES_Writing_FLA[Student Number]),0),MATCH(VLOOKUP(D$7,'Writing Logic'!$J$7:$K$11,2,FALSE)&amp;" - Per "&amp;VLOOKUP($C$4,'Writing Logic'!$G$8:$H$14,2,FALSE),YES_Writing_ELA[#Headers],0)))),"")</f>
        <v/>
      </c>
      <c r="E101" s="138" t="str">
        <f>IFERROR(IF(IF(INDEX(_xlfn.VSTACK(YES_Writing_ELA[#Data],YES_Writing_FLA[#Data]),MATCH($A101,_xlfn.VSTACK(YES_Writing_ELA[Student Number],YES_Writing_FLA[Student Number]),0),MATCH(VLOOKUP(E$7,'Writing Logic'!$J$7:$K$11,2,FALSE)&amp;" - Per "&amp;VLOOKUP($C$4,'Writing Logic'!$G$8:$H$14,2,FALSE),YES_Writing_ELA[#Headers],0))=0,"",INDEX(_xlfn.VSTACK(YES_Writing_ELA[#Data],YES_Writing_FLA[#Data]),MATCH($A101,_xlfn.VSTACK(YES_Writing_ELA[Student Number],YES_Writing_FLA[Student Number]),0),MATCH(VLOOKUP(E$7,'Writing Logic'!$J$7:$K$11,2,FALSE)&amp;" - Per "&amp;VLOOKUP($C$4,'Writing Logic'!$G$8:$H$14,2,FALSE),YES_Writing_ELA[#Headers],0)))="INS",'Writing Logic'!$B$7,IF(INDEX(_xlfn.VSTACK(YES_Writing_ELA[#Data],YES_Writing_FLA[#Data]),MATCH($A101,_xlfn.VSTACK(YES_Writing_ELA[Student Number],YES_Writing_FLA[Student Number]),0),MATCH(VLOOKUP(E$7,'Writing Logic'!$J$7:$K$11,2,FALSE)&amp;" - Per "&amp;VLOOKUP($C$4,'Writing Logic'!$G$8:$H$14,2,FALSE),YES_Writing_ELA[#Headers],0))=0,"",INDEX(_xlfn.VSTACK(YES_Writing_ELA[#Data],YES_Writing_FLA[#Data]),MATCH($A101,_xlfn.VSTACK(YES_Writing_ELA[Student Number],YES_Writing_FLA[Student Number]),0),MATCH(VLOOKUP(E$7,'Writing Logic'!$J$7:$K$11,2,FALSE)&amp;" - Per "&amp;VLOOKUP($C$4,'Writing Logic'!$G$8:$H$14,2,FALSE),YES_Writing_ELA[#Headers],0)))),"")</f>
        <v/>
      </c>
      <c r="F101" s="138" t="str">
        <f>IFERROR(IF(IF(INDEX(_xlfn.VSTACK(YES_Writing_ELA[#Data],YES_Writing_FLA[#Data]),MATCH($A101,_xlfn.VSTACK(YES_Writing_ELA[Student Number],YES_Writing_FLA[Student Number]),0),MATCH(VLOOKUP(F$7,'Writing Logic'!$J$7:$K$11,2,FALSE)&amp;" - Per "&amp;VLOOKUP($C$4,'Writing Logic'!$G$8:$H$14,2,FALSE),YES_Writing_ELA[#Headers],0))=0,"",INDEX(_xlfn.VSTACK(YES_Writing_ELA[#Data],YES_Writing_FLA[#Data]),MATCH($A101,_xlfn.VSTACK(YES_Writing_ELA[Student Number],YES_Writing_FLA[Student Number]),0),MATCH(VLOOKUP(F$7,'Writing Logic'!$J$7:$K$11,2,FALSE)&amp;" - Per "&amp;VLOOKUP($C$4,'Writing Logic'!$G$8:$H$14,2,FALSE),YES_Writing_ELA[#Headers],0)))="INS",'Writing Logic'!$B$7,IF(INDEX(_xlfn.VSTACK(YES_Writing_ELA[#Data],YES_Writing_FLA[#Data]),MATCH($A101,_xlfn.VSTACK(YES_Writing_ELA[Student Number],YES_Writing_FLA[Student Number]),0),MATCH(VLOOKUP(F$7,'Writing Logic'!$J$7:$K$11,2,FALSE)&amp;" - Per "&amp;VLOOKUP($C$4,'Writing Logic'!$G$8:$H$14,2,FALSE),YES_Writing_ELA[#Headers],0))=0,"",INDEX(_xlfn.VSTACK(YES_Writing_ELA[#Data],YES_Writing_FLA[#Data]),MATCH($A101,_xlfn.VSTACK(YES_Writing_ELA[Student Number],YES_Writing_FLA[Student Number]),0),MATCH(VLOOKUP(F$7,'Writing Logic'!$J$7:$K$11,2,FALSE)&amp;" - Per "&amp;VLOOKUP($C$4,'Writing Logic'!$G$8:$H$14,2,FALSE),YES_Writing_ELA[#Headers],0)))),"")</f>
        <v/>
      </c>
      <c r="G101" s="138" t="str">
        <f>IFERROR(IF(IF(INDEX(_xlfn.VSTACK(YES_Writing_ELA[#Data],YES_Writing_FLA[#Data]),MATCH($A101,_xlfn.VSTACK(YES_Writing_ELA[Student Number],YES_Writing_FLA[Student Number]),0),MATCH(VLOOKUP(G$7,'Writing Logic'!$J$7:$K$11,2,FALSE)&amp;" - Per "&amp;VLOOKUP($C$4,'Writing Logic'!$G$8:$H$14,2,FALSE),YES_Writing_ELA[#Headers],0))=0,"",INDEX(_xlfn.VSTACK(YES_Writing_ELA[#Data],YES_Writing_FLA[#Data]),MATCH($A101,_xlfn.VSTACK(YES_Writing_ELA[Student Number],YES_Writing_FLA[Student Number]),0),MATCH(VLOOKUP(G$7,'Writing Logic'!$J$7:$K$11,2,FALSE)&amp;" - Per "&amp;VLOOKUP($C$4,'Writing Logic'!$G$8:$H$14,2,FALSE),YES_Writing_ELA[#Headers],0)))="INS",'Writing Logic'!$B$7,IF(INDEX(_xlfn.VSTACK(YES_Writing_ELA[#Data],YES_Writing_FLA[#Data]),MATCH($A101,_xlfn.VSTACK(YES_Writing_ELA[Student Number],YES_Writing_FLA[Student Number]),0),MATCH(VLOOKUP(G$7,'Writing Logic'!$J$7:$K$11,2,FALSE)&amp;" - Per "&amp;VLOOKUP($C$4,'Writing Logic'!$G$8:$H$14,2,FALSE),YES_Writing_ELA[#Headers],0))=0,"",INDEX(_xlfn.VSTACK(YES_Writing_ELA[#Data],YES_Writing_FLA[#Data]),MATCH($A101,_xlfn.VSTACK(YES_Writing_ELA[Student Number],YES_Writing_FLA[Student Number]),0),MATCH(VLOOKUP(G$7,'Writing Logic'!$J$7:$K$11,2,FALSE)&amp;" - Per "&amp;VLOOKUP($C$4,'Writing Logic'!$G$8:$H$14,2,FALSE),YES_Writing_ELA[#Headers],0)))),"")</f>
        <v/>
      </c>
      <c r="H101" s="138" t="str">
        <f>IFERROR(IF(IF(INDEX(_xlfn.VSTACK(YES_Writing_ELA[#Data],YES_Writing_FLA[#Data]),MATCH($A101,_xlfn.VSTACK(YES_Writing_ELA[Student Number],YES_Writing_FLA[Student Number]),0),MATCH(VLOOKUP(H$7,'Writing Logic'!$J$7:$K$11,2,FALSE)&amp;" - Per "&amp;VLOOKUP($C$4,'Writing Logic'!$G$8:$H$14,2,FALSE),YES_Writing_ELA[#Headers],0))=0,"",INDEX(_xlfn.VSTACK(YES_Writing_ELA[#Data],YES_Writing_FLA[#Data]),MATCH($A101,_xlfn.VSTACK(YES_Writing_ELA[Student Number],YES_Writing_FLA[Student Number]),0),MATCH(VLOOKUP(H$7,'Writing Logic'!$J$7:$K$11,2,FALSE)&amp;" - Per "&amp;VLOOKUP($C$4,'Writing Logic'!$G$8:$H$14,2,FALSE),YES_Writing_ELA[#Headers],0)))="INS",'Writing Logic'!$B$7,IF(INDEX(_xlfn.VSTACK(YES_Writing_ELA[#Data],YES_Writing_FLA[#Data]),MATCH($A101,_xlfn.VSTACK(YES_Writing_ELA[Student Number],YES_Writing_FLA[Student Number]),0),MATCH(VLOOKUP(H$7,'Writing Logic'!$J$7:$K$11,2,FALSE)&amp;" - Per "&amp;VLOOKUP($C$4,'Writing Logic'!$G$8:$H$14,2,FALSE),YES_Writing_ELA[#Headers],0))=0,"",INDEX(_xlfn.VSTACK(YES_Writing_ELA[#Data],YES_Writing_FLA[#Data]),MATCH($A101,_xlfn.VSTACK(YES_Writing_ELA[Student Number],YES_Writing_FLA[Student Number]),0),MATCH(VLOOKUP(H$7,'Writing Logic'!$J$7:$K$11,2,FALSE)&amp;" - Per "&amp;VLOOKUP($C$4,'Writing Logic'!$G$8:$H$14,2,FALSE),YES_Writing_ELA[#Headers],0)))),"")</f>
        <v/>
      </c>
    </row>
    <row r="102" spans="1:8" ht="14.25" customHeight="1" x14ac:dyDescent="0.25">
      <c r="A102" s="137"/>
      <c r="B102" s="137" t="str">
        <f>IFERROR(INDEX(_xlfn.VSTACK(YES_Writing_ELA[#Data], YES_Writing_FLA[#Data]),MATCH($A102,_xlfn.VSTACK(YES_Writing_ELA[Student Number], YES_Writing_FLA[Student Number]),0),MATCH(B$7,YES_Writing_ELA[#Headers],0)),"")</f>
        <v/>
      </c>
      <c r="C102" s="137" t="str">
        <f>IFERROR(INDEX(_xlfn.VSTACK(YES_Writing_ELA[#Data], YES_Writing_FLA[#Data]),MATCH($A102,_xlfn.VSTACK(YES_Writing_ELA[Student Number], YES_Writing_FLA[Student Number]),0),MATCH(C$7,YES_Writing_ELA[#Headers],0)),"")</f>
        <v/>
      </c>
      <c r="D102" s="138" t="str">
        <f>IFERROR(IF(IF(INDEX(_xlfn.VSTACK(YES_Writing_ELA[#Data],YES_Writing_FLA[#Data]),MATCH($A102,_xlfn.VSTACK(YES_Writing_ELA[Student Number],YES_Writing_FLA[Student Number]),0),MATCH(VLOOKUP(D$7,'Writing Logic'!$J$7:$K$11,2,FALSE)&amp;" - Per "&amp;VLOOKUP($C$4,'Writing Logic'!$G$8:$H$14,2,FALSE),YES_Writing_ELA[#Headers],0))=0,"",INDEX(_xlfn.VSTACK(YES_Writing_ELA[#Data],YES_Writing_FLA[#Data]),MATCH($A102,_xlfn.VSTACK(YES_Writing_ELA[Student Number],YES_Writing_FLA[Student Number]),0),MATCH(VLOOKUP(D$7,'Writing Logic'!$J$7:$K$11,2,FALSE)&amp;" - Per "&amp;VLOOKUP($C$4,'Writing Logic'!$G$8:$H$14,2,FALSE),YES_Writing_ELA[#Headers],0)))="INS",'Writing Logic'!$B$7,IF(INDEX(_xlfn.VSTACK(YES_Writing_ELA[#Data],YES_Writing_FLA[#Data]),MATCH($A102,_xlfn.VSTACK(YES_Writing_ELA[Student Number],YES_Writing_FLA[Student Number]),0),MATCH(VLOOKUP(D$7,'Writing Logic'!$J$7:$K$11,2,FALSE)&amp;" - Per "&amp;VLOOKUP($C$4,'Writing Logic'!$G$8:$H$14,2,FALSE),YES_Writing_ELA[#Headers],0))=0,"",INDEX(_xlfn.VSTACK(YES_Writing_ELA[#Data],YES_Writing_FLA[#Data]),MATCH($A102,_xlfn.VSTACK(YES_Writing_ELA[Student Number],YES_Writing_FLA[Student Number]),0),MATCH(VLOOKUP(D$7,'Writing Logic'!$J$7:$K$11,2,FALSE)&amp;" - Per "&amp;VLOOKUP($C$4,'Writing Logic'!$G$8:$H$14,2,FALSE),YES_Writing_ELA[#Headers],0)))),"")</f>
        <v/>
      </c>
      <c r="E102" s="138" t="str">
        <f>IFERROR(IF(IF(INDEX(_xlfn.VSTACK(YES_Writing_ELA[#Data],YES_Writing_FLA[#Data]),MATCH($A102,_xlfn.VSTACK(YES_Writing_ELA[Student Number],YES_Writing_FLA[Student Number]),0),MATCH(VLOOKUP(E$7,'Writing Logic'!$J$7:$K$11,2,FALSE)&amp;" - Per "&amp;VLOOKUP($C$4,'Writing Logic'!$G$8:$H$14,2,FALSE),YES_Writing_ELA[#Headers],0))=0,"",INDEX(_xlfn.VSTACK(YES_Writing_ELA[#Data],YES_Writing_FLA[#Data]),MATCH($A102,_xlfn.VSTACK(YES_Writing_ELA[Student Number],YES_Writing_FLA[Student Number]),0),MATCH(VLOOKUP(E$7,'Writing Logic'!$J$7:$K$11,2,FALSE)&amp;" - Per "&amp;VLOOKUP($C$4,'Writing Logic'!$G$8:$H$14,2,FALSE),YES_Writing_ELA[#Headers],0)))="INS",'Writing Logic'!$B$7,IF(INDEX(_xlfn.VSTACK(YES_Writing_ELA[#Data],YES_Writing_FLA[#Data]),MATCH($A102,_xlfn.VSTACK(YES_Writing_ELA[Student Number],YES_Writing_FLA[Student Number]),0),MATCH(VLOOKUP(E$7,'Writing Logic'!$J$7:$K$11,2,FALSE)&amp;" - Per "&amp;VLOOKUP($C$4,'Writing Logic'!$G$8:$H$14,2,FALSE),YES_Writing_ELA[#Headers],0))=0,"",INDEX(_xlfn.VSTACK(YES_Writing_ELA[#Data],YES_Writing_FLA[#Data]),MATCH($A102,_xlfn.VSTACK(YES_Writing_ELA[Student Number],YES_Writing_FLA[Student Number]),0),MATCH(VLOOKUP(E$7,'Writing Logic'!$J$7:$K$11,2,FALSE)&amp;" - Per "&amp;VLOOKUP($C$4,'Writing Logic'!$G$8:$H$14,2,FALSE),YES_Writing_ELA[#Headers],0)))),"")</f>
        <v/>
      </c>
      <c r="F102" s="138" t="str">
        <f>IFERROR(IF(IF(INDEX(_xlfn.VSTACK(YES_Writing_ELA[#Data],YES_Writing_FLA[#Data]),MATCH($A102,_xlfn.VSTACK(YES_Writing_ELA[Student Number],YES_Writing_FLA[Student Number]),0),MATCH(VLOOKUP(F$7,'Writing Logic'!$J$7:$K$11,2,FALSE)&amp;" - Per "&amp;VLOOKUP($C$4,'Writing Logic'!$G$8:$H$14,2,FALSE),YES_Writing_ELA[#Headers],0))=0,"",INDEX(_xlfn.VSTACK(YES_Writing_ELA[#Data],YES_Writing_FLA[#Data]),MATCH($A102,_xlfn.VSTACK(YES_Writing_ELA[Student Number],YES_Writing_FLA[Student Number]),0),MATCH(VLOOKUP(F$7,'Writing Logic'!$J$7:$K$11,2,FALSE)&amp;" - Per "&amp;VLOOKUP($C$4,'Writing Logic'!$G$8:$H$14,2,FALSE),YES_Writing_ELA[#Headers],0)))="INS",'Writing Logic'!$B$7,IF(INDEX(_xlfn.VSTACK(YES_Writing_ELA[#Data],YES_Writing_FLA[#Data]),MATCH($A102,_xlfn.VSTACK(YES_Writing_ELA[Student Number],YES_Writing_FLA[Student Number]),0),MATCH(VLOOKUP(F$7,'Writing Logic'!$J$7:$K$11,2,FALSE)&amp;" - Per "&amp;VLOOKUP($C$4,'Writing Logic'!$G$8:$H$14,2,FALSE),YES_Writing_ELA[#Headers],0))=0,"",INDEX(_xlfn.VSTACK(YES_Writing_ELA[#Data],YES_Writing_FLA[#Data]),MATCH($A102,_xlfn.VSTACK(YES_Writing_ELA[Student Number],YES_Writing_FLA[Student Number]),0),MATCH(VLOOKUP(F$7,'Writing Logic'!$J$7:$K$11,2,FALSE)&amp;" - Per "&amp;VLOOKUP($C$4,'Writing Logic'!$G$8:$H$14,2,FALSE),YES_Writing_ELA[#Headers],0)))),"")</f>
        <v/>
      </c>
      <c r="G102" s="138" t="str">
        <f>IFERROR(IF(IF(INDEX(_xlfn.VSTACK(YES_Writing_ELA[#Data],YES_Writing_FLA[#Data]),MATCH($A102,_xlfn.VSTACK(YES_Writing_ELA[Student Number],YES_Writing_FLA[Student Number]),0),MATCH(VLOOKUP(G$7,'Writing Logic'!$J$7:$K$11,2,FALSE)&amp;" - Per "&amp;VLOOKUP($C$4,'Writing Logic'!$G$8:$H$14,2,FALSE),YES_Writing_ELA[#Headers],0))=0,"",INDEX(_xlfn.VSTACK(YES_Writing_ELA[#Data],YES_Writing_FLA[#Data]),MATCH($A102,_xlfn.VSTACK(YES_Writing_ELA[Student Number],YES_Writing_FLA[Student Number]),0),MATCH(VLOOKUP(G$7,'Writing Logic'!$J$7:$K$11,2,FALSE)&amp;" - Per "&amp;VLOOKUP($C$4,'Writing Logic'!$G$8:$H$14,2,FALSE),YES_Writing_ELA[#Headers],0)))="INS",'Writing Logic'!$B$7,IF(INDEX(_xlfn.VSTACK(YES_Writing_ELA[#Data],YES_Writing_FLA[#Data]),MATCH($A102,_xlfn.VSTACK(YES_Writing_ELA[Student Number],YES_Writing_FLA[Student Number]),0),MATCH(VLOOKUP(G$7,'Writing Logic'!$J$7:$K$11,2,FALSE)&amp;" - Per "&amp;VLOOKUP($C$4,'Writing Logic'!$G$8:$H$14,2,FALSE),YES_Writing_ELA[#Headers],0))=0,"",INDEX(_xlfn.VSTACK(YES_Writing_ELA[#Data],YES_Writing_FLA[#Data]),MATCH($A102,_xlfn.VSTACK(YES_Writing_ELA[Student Number],YES_Writing_FLA[Student Number]),0),MATCH(VLOOKUP(G$7,'Writing Logic'!$J$7:$K$11,2,FALSE)&amp;" - Per "&amp;VLOOKUP($C$4,'Writing Logic'!$G$8:$H$14,2,FALSE),YES_Writing_ELA[#Headers],0)))),"")</f>
        <v/>
      </c>
      <c r="H102" s="138" t="str">
        <f>IFERROR(IF(IF(INDEX(_xlfn.VSTACK(YES_Writing_ELA[#Data],YES_Writing_FLA[#Data]),MATCH($A102,_xlfn.VSTACK(YES_Writing_ELA[Student Number],YES_Writing_FLA[Student Number]),0),MATCH(VLOOKUP(H$7,'Writing Logic'!$J$7:$K$11,2,FALSE)&amp;" - Per "&amp;VLOOKUP($C$4,'Writing Logic'!$G$8:$H$14,2,FALSE),YES_Writing_ELA[#Headers],0))=0,"",INDEX(_xlfn.VSTACK(YES_Writing_ELA[#Data],YES_Writing_FLA[#Data]),MATCH($A102,_xlfn.VSTACK(YES_Writing_ELA[Student Number],YES_Writing_FLA[Student Number]),0),MATCH(VLOOKUP(H$7,'Writing Logic'!$J$7:$K$11,2,FALSE)&amp;" - Per "&amp;VLOOKUP($C$4,'Writing Logic'!$G$8:$H$14,2,FALSE),YES_Writing_ELA[#Headers],0)))="INS",'Writing Logic'!$B$7,IF(INDEX(_xlfn.VSTACK(YES_Writing_ELA[#Data],YES_Writing_FLA[#Data]),MATCH($A102,_xlfn.VSTACK(YES_Writing_ELA[Student Number],YES_Writing_FLA[Student Number]),0),MATCH(VLOOKUP(H$7,'Writing Logic'!$J$7:$K$11,2,FALSE)&amp;" - Per "&amp;VLOOKUP($C$4,'Writing Logic'!$G$8:$H$14,2,FALSE),YES_Writing_ELA[#Headers],0))=0,"",INDEX(_xlfn.VSTACK(YES_Writing_ELA[#Data],YES_Writing_FLA[#Data]),MATCH($A102,_xlfn.VSTACK(YES_Writing_ELA[Student Number],YES_Writing_FLA[Student Number]),0),MATCH(VLOOKUP(H$7,'Writing Logic'!$J$7:$K$11,2,FALSE)&amp;" - Per "&amp;VLOOKUP($C$4,'Writing Logic'!$G$8:$H$14,2,FALSE),YES_Writing_ELA[#Headers],0)))),"")</f>
        <v/>
      </c>
    </row>
    <row r="103" spans="1:8" ht="14.25" customHeight="1" x14ac:dyDescent="0.25">
      <c r="A103" s="137"/>
      <c r="B103" s="137" t="str">
        <f>IFERROR(INDEX(_xlfn.VSTACK(YES_Writing_ELA[#Data], YES_Writing_FLA[#Data]),MATCH($A103,_xlfn.VSTACK(YES_Writing_ELA[Student Number], YES_Writing_FLA[Student Number]),0),MATCH(B$7,YES_Writing_ELA[#Headers],0)),"")</f>
        <v/>
      </c>
      <c r="C103" s="137" t="str">
        <f>IFERROR(INDEX(_xlfn.VSTACK(YES_Writing_ELA[#Data], YES_Writing_FLA[#Data]),MATCH($A103,_xlfn.VSTACK(YES_Writing_ELA[Student Number], YES_Writing_FLA[Student Number]),0),MATCH(C$7,YES_Writing_ELA[#Headers],0)),"")</f>
        <v/>
      </c>
      <c r="D103" s="138" t="str">
        <f>IFERROR(IF(IF(INDEX(_xlfn.VSTACK(YES_Writing_ELA[#Data],YES_Writing_FLA[#Data]),MATCH($A103,_xlfn.VSTACK(YES_Writing_ELA[Student Number],YES_Writing_FLA[Student Number]),0),MATCH(VLOOKUP(D$7,'Writing Logic'!$J$7:$K$11,2,FALSE)&amp;" - Per "&amp;VLOOKUP($C$4,'Writing Logic'!$G$8:$H$14,2,FALSE),YES_Writing_ELA[#Headers],0))=0,"",INDEX(_xlfn.VSTACK(YES_Writing_ELA[#Data],YES_Writing_FLA[#Data]),MATCH($A103,_xlfn.VSTACK(YES_Writing_ELA[Student Number],YES_Writing_FLA[Student Number]),0),MATCH(VLOOKUP(D$7,'Writing Logic'!$J$7:$K$11,2,FALSE)&amp;" - Per "&amp;VLOOKUP($C$4,'Writing Logic'!$G$8:$H$14,2,FALSE),YES_Writing_ELA[#Headers],0)))="INS",'Writing Logic'!$B$7,IF(INDEX(_xlfn.VSTACK(YES_Writing_ELA[#Data],YES_Writing_FLA[#Data]),MATCH($A103,_xlfn.VSTACK(YES_Writing_ELA[Student Number],YES_Writing_FLA[Student Number]),0),MATCH(VLOOKUP(D$7,'Writing Logic'!$J$7:$K$11,2,FALSE)&amp;" - Per "&amp;VLOOKUP($C$4,'Writing Logic'!$G$8:$H$14,2,FALSE),YES_Writing_ELA[#Headers],0))=0,"",INDEX(_xlfn.VSTACK(YES_Writing_ELA[#Data],YES_Writing_FLA[#Data]),MATCH($A103,_xlfn.VSTACK(YES_Writing_ELA[Student Number],YES_Writing_FLA[Student Number]),0),MATCH(VLOOKUP(D$7,'Writing Logic'!$J$7:$K$11,2,FALSE)&amp;" - Per "&amp;VLOOKUP($C$4,'Writing Logic'!$G$8:$H$14,2,FALSE),YES_Writing_ELA[#Headers],0)))),"")</f>
        <v/>
      </c>
      <c r="E103" s="138" t="str">
        <f>IFERROR(IF(IF(INDEX(_xlfn.VSTACK(YES_Writing_ELA[#Data],YES_Writing_FLA[#Data]),MATCH($A103,_xlfn.VSTACK(YES_Writing_ELA[Student Number],YES_Writing_FLA[Student Number]),0),MATCH(VLOOKUP(E$7,'Writing Logic'!$J$7:$K$11,2,FALSE)&amp;" - Per "&amp;VLOOKUP($C$4,'Writing Logic'!$G$8:$H$14,2,FALSE),YES_Writing_ELA[#Headers],0))=0,"",INDEX(_xlfn.VSTACK(YES_Writing_ELA[#Data],YES_Writing_FLA[#Data]),MATCH($A103,_xlfn.VSTACK(YES_Writing_ELA[Student Number],YES_Writing_FLA[Student Number]),0),MATCH(VLOOKUP(E$7,'Writing Logic'!$J$7:$K$11,2,FALSE)&amp;" - Per "&amp;VLOOKUP($C$4,'Writing Logic'!$G$8:$H$14,2,FALSE),YES_Writing_ELA[#Headers],0)))="INS",'Writing Logic'!$B$7,IF(INDEX(_xlfn.VSTACK(YES_Writing_ELA[#Data],YES_Writing_FLA[#Data]),MATCH($A103,_xlfn.VSTACK(YES_Writing_ELA[Student Number],YES_Writing_FLA[Student Number]),0),MATCH(VLOOKUP(E$7,'Writing Logic'!$J$7:$K$11,2,FALSE)&amp;" - Per "&amp;VLOOKUP($C$4,'Writing Logic'!$G$8:$H$14,2,FALSE),YES_Writing_ELA[#Headers],0))=0,"",INDEX(_xlfn.VSTACK(YES_Writing_ELA[#Data],YES_Writing_FLA[#Data]),MATCH($A103,_xlfn.VSTACK(YES_Writing_ELA[Student Number],YES_Writing_FLA[Student Number]),0),MATCH(VLOOKUP(E$7,'Writing Logic'!$J$7:$K$11,2,FALSE)&amp;" - Per "&amp;VLOOKUP($C$4,'Writing Logic'!$G$8:$H$14,2,FALSE),YES_Writing_ELA[#Headers],0)))),"")</f>
        <v/>
      </c>
      <c r="F103" s="138" t="str">
        <f>IFERROR(IF(IF(INDEX(_xlfn.VSTACK(YES_Writing_ELA[#Data],YES_Writing_FLA[#Data]),MATCH($A103,_xlfn.VSTACK(YES_Writing_ELA[Student Number],YES_Writing_FLA[Student Number]),0),MATCH(VLOOKUP(F$7,'Writing Logic'!$J$7:$K$11,2,FALSE)&amp;" - Per "&amp;VLOOKUP($C$4,'Writing Logic'!$G$8:$H$14,2,FALSE),YES_Writing_ELA[#Headers],0))=0,"",INDEX(_xlfn.VSTACK(YES_Writing_ELA[#Data],YES_Writing_FLA[#Data]),MATCH($A103,_xlfn.VSTACK(YES_Writing_ELA[Student Number],YES_Writing_FLA[Student Number]),0),MATCH(VLOOKUP(F$7,'Writing Logic'!$J$7:$K$11,2,FALSE)&amp;" - Per "&amp;VLOOKUP($C$4,'Writing Logic'!$G$8:$H$14,2,FALSE),YES_Writing_ELA[#Headers],0)))="INS",'Writing Logic'!$B$7,IF(INDEX(_xlfn.VSTACK(YES_Writing_ELA[#Data],YES_Writing_FLA[#Data]),MATCH($A103,_xlfn.VSTACK(YES_Writing_ELA[Student Number],YES_Writing_FLA[Student Number]),0),MATCH(VLOOKUP(F$7,'Writing Logic'!$J$7:$K$11,2,FALSE)&amp;" - Per "&amp;VLOOKUP($C$4,'Writing Logic'!$G$8:$H$14,2,FALSE),YES_Writing_ELA[#Headers],0))=0,"",INDEX(_xlfn.VSTACK(YES_Writing_ELA[#Data],YES_Writing_FLA[#Data]),MATCH($A103,_xlfn.VSTACK(YES_Writing_ELA[Student Number],YES_Writing_FLA[Student Number]),0),MATCH(VLOOKUP(F$7,'Writing Logic'!$J$7:$K$11,2,FALSE)&amp;" - Per "&amp;VLOOKUP($C$4,'Writing Logic'!$G$8:$H$14,2,FALSE),YES_Writing_ELA[#Headers],0)))),"")</f>
        <v/>
      </c>
      <c r="G103" s="138" t="str">
        <f>IFERROR(IF(IF(INDEX(_xlfn.VSTACK(YES_Writing_ELA[#Data],YES_Writing_FLA[#Data]),MATCH($A103,_xlfn.VSTACK(YES_Writing_ELA[Student Number],YES_Writing_FLA[Student Number]),0),MATCH(VLOOKUP(G$7,'Writing Logic'!$J$7:$K$11,2,FALSE)&amp;" - Per "&amp;VLOOKUP($C$4,'Writing Logic'!$G$8:$H$14,2,FALSE),YES_Writing_ELA[#Headers],0))=0,"",INDEX(_xlfn.VSTACK(YES_Writing_ELA[#Data],YES_Writing_FLA[#Data]),MATCH($A103,_xlfn.VSTACK(YES_Writing_ELA[Student Number],YES_Writing_FLA[Student Number]),0),MATCH(VLOOKUP(G$7,'Writing Logic'!$J$7:$K$11,2,FALSE)&amp;" - Per "&amp;VLOOKUP($C$4,'Writing Logic'!$G$8:$H$14,2,FALSE),YES_Writing_ELA[#Headers],0)))="INS",'Writing Logic'!$B$7,IF(INDEX(_xlfn.VSTACK(YES_Writing_ELA[#Data],YES_Writing_FLA[#Data]),MATCH($A103,_xlfn.VSTACK(YES_Writing_ELA[Student Number],YES_Writing_FLA[Student Number]),0),MATCH(VLOOKUP(G$7,'Writing Logic'!$J$7:$K$11,2,FALSE)&amp;" - Per "&amp;VLOOKUP($C$4,'Writing Logic'!$G$8:$H$14,2,FALSE),YES_Writing_ELA[#Headers],0))=0,"",INDEX(_xlfn.VSTACK(YES_Writing_ELA[#Data],YES_Writing_FLA[#Data]),MATCH($A103,_xlfn.VSTACK(YES_Writing_ELA[Student Number],YES_Writing_FLA[Student Number]),0),MATCH(VLOOKUP(G$7,'Writing Logic'!$J$7:$K$11,2,FALSE)&amp;" - Per "&amp;VLOOKUP($C$4,'Writing Logic'!$G$8:$H$14,2,FALSE),YES_Writing_ELA[#Headers],0)))),"")</f>
        <v/>
      </c>
      <c r="H103" s="138" t="str">
        <f>IFERROR(IF(IF(INDEX(_xlfn.VSTACK(YES_Writing_ELA[#Data],YES_Writing_FLA[#Data]),MATCH($A103,_xlfn.VSTACK(YES_Writing_ELA[Student Number],YES_Writing_FLA[Student Number]),0),MATCH(VLOOKUP(H$7,'Writing Logic'!$J$7:$K$11,2,FALSE)&amp;" - Per "&amp;VLOOKUP($C$4,'Writing Logic'!$G$8:$H$14,2,FALSE),YES_Writing_ELA[#Headers],0))=0,"",INDEX(_xlfn.VSTACK(YES_Writing_ELA[#Data],YES_Writing_FLA[#Data]),MATCH($A103,_xlfn.VSTACK(YES_Writing_ELA[Student Number],YES_Writing_FLA[Student Number]),0),MATCH(VLOOKUP(H$7,'Writing Logic'!$J$7:$K$11,2,FALSE)&amp;" - Per "&amp;VLOOKUP($C$4,'Writing Logic'!$G$8:$H$14,2,FALSE),YES_Writing_ELA[#Headers],0)))="INS",'Writing Logic'!$B$7,IF(INDEX(_xlfn.VSTACK(YES_Writing_ELA[#Data],YES_Writing_FLA[#Data]),MATCH($A103,_xlfn.VSTACK(YES_Writing_ELA[Student Number],YES_Writing_FLA[Student Number]),0),MATCH(VLOOKUP(H$7,'Writing Logic'!$J$7:$K$11,2,FALSE)&amp;" - Per "&amp;VLOOKUP($C$4,'Writing Logic'!$G$8:$H$14,2,FALSE),YES_Writing_ELA[#Headers],0))=0,"",INDEX(_xlfn.VSTACK(YES_Writing_ELA[#Data],YES_Writing_FLA[#Data]),MATCH($A103,_xlfn.VSTACK(YES_Writing_ELA[Student Number],YES_Writing_FLA[Student Number]),0),MATCH(VLOOKUP(H$7,'Writing Logic'!$J$7:$K$11,2,FALSE)&amp;" - Per "&amp;VLOOKUP($C$4,'Writing Logic'!$G$8:$H$14,2,FALSE),YES_Writing_ELA[#Headers],0)))),"")</f>
        <v/>
      </c>
    </row>
    <row r="104" spans="1:8" ht="14.25" customHeight="1" x14ac:dyDescent="0.25">
      <c r="A104" s="137"/>
      <c r="B104" s="137" t="str">
        <f>IFERROR(INDEX(_xlfn.VSTACK(YES_Writing_ELA[#Data], YES_Writing_FLA[#Data]),MATCH($A104,_xlfn.VSTACK(YES_Writing_ELA[Student Number], YES_Writing_FLA[Student Number]),0),MATCH(B$7,YES_Writing_ELA[#Headers],0)),"")</f>
        <v/>
      </c>
      <c r="C104" s="137" t="str">
        <f>IFERROR(INDEX(_xlfn.VSTACK(YES_Writing_ELA[#Data], YES_Writing_FLA[#Data]),MATCH($A104,_xlfn.VSTACK(YES_Writing_ELA[Student Number], YES_Writing_FLA[Student Number]),0),MATCH(C$7,YES_Writing_ELA[#Headers],0)),"")</f>
        <v/>
      </c>
      <c r="D104" s="138" t="str">
        <f>IFERROR(IF(IF(INDEX(_xlfn.VSTACK(YES_Writing_ELA[#Data],YES_Writing_FLA[#Data]),MATCH($A104,_xlfn.VSTACK(YES_Writing_ELA[Student Number],YES_Writing_FLA[Student Number]),0),MATCH(VLOOKUP(D$7,'Writing Logic'!$J$7:$K$11,2,FALSE)&amp;" - Per "&amp;VLOOKUP($C$4,'Writing Logic'!$G$8:$H$14,2,FALSE),YES_Writing_ELA[#Headers],0))=0,"",INDEX(_xlfn.VSTACK(YES_Writing_ELA[#Data],YES_Writing_FLA[#Data]),MATCH($A104,_xlfn.VSTACK(YES_Writing_ELA[Student Number],YES_Writing_FLA[Student Number]),0),MATCH(VLOOKUP(D$7,'Writing Logic'!$J$7:$K$11,2,FALSE)&amp;" - Per "&amp;VLOOKUP($C$4,'Writing Logic'!$G$8:$H$14,2,FALSE),YES_Writing_ELA[#Headers],0)))="INS",'Writing Logic'!$B$7,IF(INDEX(_xlfn.VSTACK(YES_Writing_ELA[#Data],YES_Writing_FLA[#Data]),MATCH($A104,_xlfn.VSTACK(YES_Writing_ELA[Student Number],YES_Writing_FLA[Student Number]),0),MATCH(VLOOKUP(D$7,'Writing Logic'!$J$7:$K$11,2,FALSE)&amp;" - Per "&amp;VLOOKUP($C$4,'Writing Logic'!$G$8:$H$14,2,FALSE),YES_Writing_ELA[#Headers],0))=0,"",INDEX(_xlfn.VSTACK(YES_Writing_ELA[#Data],YES_Writing_FLA[#Data]),MATCH($A104,_xlfn.VSTACK(YES_Writing_ELA[Student Number],YES_Writing_FLA[Student Number]),0),MATCH(VLOOKUP(D$7,'Writing Logic'!$J$7:$K$11,2,FALSE)&amp;" - Per "&amp;VLOOKUP($C$4,'Writing Logic'!$G$8:$H$14,2,FALSE),YES_Writing_ELA[#Headers],0)))),"")</f>
        <v/>
      </c>
      <c r="E104" s="138" t="str">
        <f>IFERROR(IF(IF(INDEX(_xlfn.VSTACK(YES_Writing_ELA[#Data],YES_Writing_FLA[#Data]),MATCH($A104,_xlfn.VSTACK(YES_Writing_ELA[Student Number],YES_Writing_FLA[Student Number]),0),MATCH(VLOOKUP(E$7,'Writing Logic'!$J$7:$K$11,2,FALSE)&amp;" - Per "&amp;VLOOKUP($C$4,'Writing Logic'!$G$8:$H$14,2,FALSE),YES_Writing_ELA[#Headers],0))=0,"",INDEX(_xlfn.VSTACK(YES_Writing_ELA[#Data],YES_Writing_FLA[#Data]),MATCH($A104,_xlfn.VSTACK(YES_Writing_ELA[Student Number],YES_Writing_FLA[Student Number]),0),MATCH(VLOOKUP(E$7,'Writing Logic'!$J$7:$K$11,2,FALSE)&amp;" - Per "&amp;VLOOKUP($C$4,'Writing Logic'!$G$8:$H$14,2,FALSE),YES_Writing_ELA[#Headers],0)))="INS",'Writing Logic'!$B$7,IF(INDEX(_xlfn.VSTACK(YES_Writing_ELA[#Data],YES_Writing_FLA[#Data]),MATCH($A104,_xlfn.VSTACK(YES_Writing_ELA[Student Number],YES_Writing_FLA[Student Number]),0),MATCH(VLOOKUP(E$7,'Writing Logic'!$J$7:$K$11,2,FALSE)&amp;" - Per "&amp;VLOOKUP($C$4,'Writing Logic'!$G$8:$H$14,2,FALSE),YES_Writing_ELA[#Headers],0))=0,"",INDEX(_xlfn.VSTACK(YES_Writing_ELA[#Data],YES_Writing_FLA[#Data]),MATCH($A104,_xlfn.VSTACK(YES_Writing_ELA[Student Number],YES_Writing_FLA[Student Number]),0),MATCH(VLOOKUP(E$7,'Writing Logic'!$J$7:$K$11,2,FALSE)&amp;" - Per "&amp;VLOOKUP($C$4,'Writing Logic'!$G$8:$H$14,2,FALSE),YES_Writing_ELA[#Headers],0)))),"")</f>
        <v/>
      </c>
      <c r="F104" s="138" t="str">
        <f>IFERROR(IF(IF(INDEX(_xlfn.VSTACK(YES_Writing_ELA[#Data],YES_Writing_FLA[#Data]),MATCH($A104,_xlfn.VSTACK(YES_Writing_ELA[Student Number],YES_Writing_FLA[Student Number]),0),MATCH(VLOOKUP(F$7,'Writing Logic'!$J$7:$K$11,2,FALSE)&amp;" - Per "&amp;VLOOKUP($C$4,'Writing Logic'!$G$8:$H$14,2,FALSE),YES_Writing_ELA[#Headers],0))=0,"",INDEX(_xlfn.VSTACK(YES_Writing_ELA[#Data],YES_Writing_FLA[#Data]),MATCH($A104,_xlfn.VSTACK(YES_Writing_ELA[Student Number],YES_Writing_FLA[Student Number]),0),MATCH(VLOOKUP(F$7,'Writing Logic'!$J$7:$K$11,2,FALSE)&amp;" - Per "&amp;VLOOKUP($C$4,'Writing Logic'!$G$8:$H$14,2,FALSE),YES_Writing_ELA[#Headers],0)))="INS",'Writing Logic'!$B$7,IF(INDEX(_xlfn.VSTACK(YES_Writing_ELA[#Data],YES_Writing_FLA[#Data]),MATCH($A104,_xlfn.VSTACK(YES_Writing_ELA[Student Number],YES_Writing_FLA[Student Number]),0),MATCH(VLOOKUP(F$7,'Writing Logic'!$J$7:$K$11,2,FALSE)&amp;" - Per "&amp;VLOOKUP($C$4,'Writing Logic'!$G$8:$H$14,2,FALSE),YES_Writing_ELA[#Headers],0))=0,"",INDEX(_xlfn.VSTACK(YES_Writing_ELA[#Data],YES_Writing_FLA[#Data]),MATCH($A104,_xlfn.VSTACK(YES_Writing_ELA[Student Number],YES_Writing_FLA[Student Number]),0),MATCH(VLOOKUP(F$7,'Writing Logic'!$J$7:$K$11,2,FALSE)&amp;" - Per "&amp;VLOOKUP($C$4,'Writing Logic'!$G$8:$H$14,2,FALSE),YES_Writing_ELA[#Headers],0)))),"")</f>
        <v/>
      </c>
      <c r="G104" s="138" t="str">
        <f>IFERROR(IF(IF(INDEX(_xlfn.VSTACK(YES_Writing_ELA[#Data],YES_Writing_FLA[#Data]),MATCH($A104,_xlfn.VSTACK(YES_Writing_ELA[Student Number],YES_Writing_FLA[Student Number]),0),MATCH(VLOOKUP(G$7,'Writing Logic'!$J$7:$K$11,2,FALSE)&amp;" - Per "&amp;VLOOKUP($C$4,'Writing Logic'!$G$8:$H$14,2,FALSE),YES_Writing_ELA[#Headers],0))=0,"",INDEX(_xlfn.VSTACK(YES_Writing_ELA[#Data],YES_Writing_FLA[#Data]),MATCH($A104,_xlfn.VSTACK(YES_Writing_ELA[Student Number],YES_Writing_FLA[Student Number]),0),MATCH(VLOOKUP(G$7,'Writing Logic'!$J$7:$K$11,2,FALSE)&amp;" - Per "&amp;VLOOKUP($C$4,'Writing Logic'!$G$8:$H$14,2,FALSE),YES_Writing_ELA[#Headers],0)))="INS",'Writing Logic'!$B$7,IF(INDEX(_xlfn.VSTACK(YES_Writing_ELA[#Data],YES_Writing_FLA[#Data]),MATCH($A104,_xlfn.VSTACK(YES_Writing_ELA[Student Number],YES_Writing_FLA[Student Number]),0),MATCH(VLOOKUP(G$7,'Writing Logic'!$J$7:$K$11,2,FALSE)&amp;" - Per "&amp;VLOOKUP($C$4,'Writing Logic'!$G$8:$H$14,2,FALSE),YES_Writing_ELA[#Headers],0))=0,"",INDEX(_xlfn.VSTACK(YES_Writing_ELA[#Data],YES_Writing_FLA[#Data]),MATCH($A104,_xlfn.VSTACK(YES_Writing_ELA[Student Number],YES_Writing_FLA[Student Number]),0),MATCH(VLOOKUP(G$7,'Writing Logic'!$J$7:$K$11,2,FALSE)&amp;" - Per "&amp;VLOOKUP($C$4,'Writing Logic'!$G$8:$H$14,2,FALSE),YES_Writing_ELA[#Headers],0)))),"")</f>
        <v/>
      </c>
      <c r="H104" s="138" t="str">
        <f>IFERROR(IF(IF(INDEX(_xlfn.VSTACK(YES_Writing_ELA[#Data],YES_Writing_FLA[#Data]),MATCH($A104,_xlfn.VSTACK(YES_Writing_ELA[Student Number],YES_Writing_FLA[Student Number]),0),MATCH(VLOOKUP(H$7,'Writing Logic'!$J$7:$K$11,2,FALSE)&amp;" - Per "&amp;VLOOKUP($C$4,'Writing Logic'!$G$8:$H$14,2,FALSE),YES_Writing_ELA[#Headers],0))=0,"",INDEX(_xlfn.VSTACK(YES_Writing_ELA[#Data],YES_Writing_FLA[#Data]),MATCH($A104,_xlfn.VSTACK(YES_Writing_ELA[Student Number],YES_Writing_FLA[Student Number]),0),MATCH(VLOOKUP(H$7,'Writing Logic'!$J$7:$K$11,2,FALSE)&amp;" - Per "&amp;VLOOKUP($C$4,'Writing Logic'!$G$8:$H$14,2,FALSE),YES_Writing_ELA[#Headers],0)))="INS",'Writing Logic'!$B$7,IF(INDEX(_xlfn.VSTACK(YES_Writing_ELA[#Data],YES_Writing_FLA[#Data]),MATCH($A104,_xlfn.VSTACK(YES_Writing_ELA[Student Number],YES_Writing_FLA[Student Number]),0),MATCH(VLOOKUP(H$7,'Writing Logic'!$J$7:$K$11,2,FALSE)&amp;" - Per "&amp;VLOOKUP($C$4,'Writing Logic'!$G$8:$H$14,2,FALSE),YES_Writing_ELA[#Headers],0))=0,"",INDEX(_xlfn.VSTACK(YES_Writing_ELA[#Data],YES_Writing_FLA[#Data]),MATCH($A104,_xlfn.VSTACK(YES_Writing_ELA[Student Number],YES_Writing_FLA[Student Number]),0),MATCH(VLOOKUP(H$7,'Writing Logic'!$J$7:$K$11,2,FALSE)&amp;" - Per "&amp;VLOOKUP($C$4,'Writing Logic'!$G$8:$H$14,2,FALSE),YES_Writing_ELA[#Headers],0)))),"")</f>
        <v/>
      </c>
    </row>
    <row r="105" spans="1:8" ht="14.25" customHeight="1" x14ac:dyDescent="0.25">
      <c r="A105" s="137"/>
      <c r="B105" s="137" t="str">
        <f>IFERROR(INDEX(_xlfn.VSTACK(YES_Writing_ELA[#Data], YES_Writing_FLA[#Data]),MATCH($A105,_xlfn.VSTACK(YES_Writing_ELA[Student Number], YES_Writing_FLA[Student Number]),0),MATCH(B$7,YES_Writing_ELA[#Headers],0)),"")</f>
        <v/>
      </c>
      <c r="C105" s="137" t="str">
        <f>IFERROR(INDEX(_xlfn.VSTACK(YES_Writing_ELA[#Data], YES_Writing_FLA[#Data]),MATCH($A105,_xlfn.VSTACK(YES_Writing_ELA[Student Number], YES_Writing_FLA[Student Number]),0),MATCH(C$7,YES_Writing_ELA[#Headers],0)),"")</f>
        <v/>
      </c>
      <c r="D105" s="138" t="str">
        <f>IFERROR(IF(IF(INDEX(_xlfn.VSTACK(YES_Writing_ELA[#Data],YES_Writing_FLA[#Data]),MATCH($A105,_xlfn.VSTACK(YES_Writing_ELA[Student Number],YES_Writing_FLA[Student Number]),0),MATCH(VLOOKUP(D$7,'Writing Logic'!$J$7:$K$11,2,FALSE)&amp;" - Per "&amp;VLOOKUP($C$4,'Writing Logic'!$G$8:$H$14,2,FALSE),YES_Writing_ELA[#Headers],0))=0,"",INDEX(_xlfn.VSTACK(YES_Writing_ELA[#Data],YES_Writing_FLA[#Data]),MATCH($A105,_xlfn.VSTACK(YES_Writing_ELA[Student Number],YES_Writing_FLA[Student Number]),0),MATCH(VLOOKUP(D$7,'Writing Logic'!$J$7:$K$11,2,FALSE)&amp;" - Per "&amp;VLOOKUP($C$4,'Writing Logic'!$G$8:$H$14,2,FALSE),YES_Writing_ELA[#Headers],0)))="INS",'Writing Logic'!$B$7,IF(INDEX(_xlfn.VSTACK(YES_Writing_ELA[#Data],YES_Writing_FLA[#Data]),MATCH($A105,_xlfn.VSTACK(YES_Writing_ELA[Student Number],YES_Writing_FLA[Student Number]),0),MATCH(VLOOKUP(D$7,'Writing Logic'!$J$7:$K$11,2,FALSE)&amp;" - Per "&amp;VLOOKUP($C$4,'Writing Logic'!$G$8:$H$14,2,FALSE),YES_Writing_ELA[#Headers],0))=0,"",INDEX(_xlfn.VSTACK(YES_Writing_ELA[#Data],YES_Writing_FLA[#Data]),MATCH($A105,_xlfn.VSTACK(YES_Writing_ELA[Student Number],YES_Writing_FLA[Student Number]),0),MATCH(VLOOKUP(D$7,'Writing Logic'!$J$7:$K$11,2,FALSE)&amp;" - Per "&amp;VLOOKUP($C$4,'Writing Logic'!$G$8:$H$14,2,FALSE),YES_Writing_ELA[#Headers],0)))),"")</f>
        <v/>
      </c>
      <c r="E105" s="138" t="str">
        <f>IFERROR(IF(IF(INDEX(_xlfn.VSTACK(YES_Writing_ELA[#Data],YES_Writing_FLA[#Data]),MATCH($A105,_xlfn.VSTACK(YES_Writing_ELA[Student Number],YES_Writing_FLA[Student Number]),0),MATCH(VLOOKUP(E$7,'Writing Logic'!$J$7:$K$11,2,FALSE)&amp;" - Per "&amp;VLOOKUP($C$4,'Writing Logic'!$G$8:$H$14,2,FALSE),YES_Writing_ELA[#Headers],0))=0,"",INDEX(_xlfn.VSTACK(YES_Writing_ELA[#Data],YES_Writing_FLA[#Data]),MATCH($A105,_xlfn.VSTACK(YES_Writing_ELA[Student Number],YES_Writing_FLA[Student Number]),0),MATCH(VLOOKUP(E$7,'Writing Logic'!$J$7:$K$11,2,FALSE)&amp;" - Per "&amp;VLOOKUP($C$4,'Writing Logic'!$G$8:$H$14,2,FALSE),YES_Writing_ELA[#Headers],0)))="INS",'Writing Logic'!$B$7,IF(INDEX(_xlfn.VSTACK(YES_Writing_ELA[#Data],YES_Writing_FLA[#Data]),MATCH($A105,_xlfn.VSTACK(YES_Writing_ELA[Student Number],YES_Writing_FLA[Student Number]),0),MATCH(VLOOKUP(E$7,'Writing Logic'!$J$7:$K$11,2,FALSE)&amp;" - Per "&amp;VLOOKUP($C$4,'Writing Logic'!$G$8:$H$14,2,FALSE),YES_Writing_ELA[#Headers],0))=0,"",INDEX(_xlfn.VSTACK(YES_Writing_ELA[#Data],YES_Writing_FLA[#Data]),MATCH($A105,_xlfn.VSTACK(YES_Writing_ELA[Student Number],YES_Writing_FLA[Student Number]),0),MATCH(VLOOKUP(E$7,'Writing Logic'!$J$7:$K$11,2,FALSE)&amp;" - Per "&amp;VLOOKUP($C$4,'Writing Logic'!$G$8:$H$14,2,FALSE),YES_Writing_ELA[#Headers],0)))),"")</f>
        <v/>
      </c>
      <c r="F105" s="138" t="str">
        <f>IFERROR(IF(IF(INDEX(_xlfn.VSTACK(YES_Writing_ELA[#Data],YES_Writing_FLA[#Data]),MATCH($A105,_xlfn.VSTACK(YES_Writing_ELA[Student Number],YES_Writing_FLA[Student Number]),0),MATCH(VLOOKUP(F$7,'Writing Logic'!$J$7:$K$11,2,FALSE)&amp;" - Per "&amp;VLOOKUP($C$4,'Writing Logic'!$G$8:$H$14,2,FALSE),YES_Writing_ELA[#Headers],0))=0,"",INDEX(_xlfn.VSTACK(YES_Writing_ELA[#Data],YES_Writing_FLA[#Data]),MATCH($A105,_xlfn.VSTACK(YES_Writing_ELA[Student Number],YES_Writing_FLA[Student Number]),0),MATCH(VLOOKUP(F$7,'Writing Logic'!$J$7:$K$11,2,FALSE)&amp;" - Per "&amp;VLOOKUP($C$4,'Writing Logic'!$G$8:$H$14,2,FALSE),YES_Writing_ELA[#Headers],0)))="INS",'Writing Logic'!$B$7,IF(INDEX(_xlfn.VSTACK(YES_Writing_ELA[#Data],YES_Writing_FLA[#Data]),MATCH($A105,_xlfn.VSTACK(YES_Writing_ELA[Student Number],YES_Writing_FLA[Student Number]),0),MATCH(VLOOKUP(F$7,'Writing Logic'!$J$7:$K$11,2,FALSE)&amp;" - Per "&amp;VLOOKUP($C$4,'Writing Logic'!$G$8:$H$14,2,FALSE),YES_Writing_ELA[#Headers],0))=0,"",INDEX(_xlfn.VSTACK(YES_Writing_ELA[#Data],YES_Writing_FLA[#Data]),MATCH($A105,_xlfn.VSTACK(YES_Writing_ELA[Student Number],YES_Writing_FLA[Student Number]),0),MATCH(VLOOKUP(F$7,'Writing Logic'!$J$7:$K$11,2,FALSE)&amp;" - Per "&amp;VLOOKUP($C$4,'Writing Logic'!$G$8:$H$14,2,FALSE),YES_Writing_ELA[#Headers],0)))),"")</f>
        <v/>
      </c>
      <c r="G105" s="138" t="str">
        <f>IFERROR(IF(IF(INDEX(_xlfn.VSTACK(YES_Writing_ELA[#Data],YES_Writing_FLA[#Data]),MATCH($A105,_xlfn.VSTACK(YES_Writing_ELA[Student Number],YES_Writing_FLA[Student Number]),0),MATCH(VLOOKUP(G$7,'Writing Logic'!$J$7:$K$11,2,FALSE)&amp;" - Per "&amp;VLOOKUP($C$4,'Writing Logic'!$G$8:$H$14,2,FALSE),YES_Writing_ELA[#Headers],0))=0,"",INDEX(_xlfn.VSTACK(YES_Writing_ELA[#Data],YES_Writing_FLA[#Data]),MATCH($A105,_xlfn.VSTACK(YES_Writing_ELA[Student Number],YES_Writing_FLA[Student Number]),0),MATCH(VLOOKUP(G$7,'Writing Logic'!$J$7:$K$11,2,FALSE)&amp;" - Per "&amp;VLOOKUP($C$4,'Writing Logic'!$G$8:$H$14,2,FALSE),YES_Writing_ELA[#Headers],0)))="INS",'Writing Logic'!$B$7,IF(INDEX(_xlfn.VSTACK(YES_Writing_ELA[#Data],YES_Writing_FLA[#Data]),MATCH($A105,_xlfn.VSTACK(YES_Writing_ELA[Student Number],YES_Writing_FLA[Student Number]),0),MATCH(VLOOKUP(G$7,'Writing Logic'!$J$7:$K$11,2,FALSE)&amp;" - Per "&amp;VLOOKUP($C$4,'Writing Logic'!$G$8:$H$14,2,FALSE),YES_Writing_ELA[#Headers],0))=0,"",INDEX(_xlfn.VSTACK(YES_Writing_ELA[#Data],YES_Writing_FLA[#Data]),MATCH($A105,_xlfn.VSTACK(YES_Writing_ELA[Student Number],YES_Writing_FLA[Student Number]),0),MATCH(VLOOKUP(G$7,'Writing Logic'!$J$7:$K$11,2,FALSE)&amp;" - Per "&amp;VLOOKUP($C$4,'Writing Logic'!$G$8:$H$14,2,FALSE),YES_Writing_ELA[#Headers],0)))),"")</f>
        <v/>
      </c>
      <c r="H105" s="138" t="str">
        <f>IFERROR(IF(IF(INDEX(_xlfn.VSTACK(YES_Writing_ELA[#Data],YES_Writing_FLA[#Data]),MATCH($A105,_xlfn.VSTACK(YES_Writing_ELA[Student Number],YES_Writing_FLA[Student Number]),0),MATCH(VLOOKUP(H$7,'Writing Logic'!$J$7:$K$11,2,FALSE)&amp;" - Per "&amp;VLOOKUP($C$4,'Writing Logic'!$G$8:$H$14,2,FALSE),YES_Writing_ELA[#Headers],0))=0,"",INDEX(_xlfn.VSTACK(YES_Writing_ELA[#Data],YES_Writing_FLA[#Data]),MATCH($A105,_xlfn.VSTACK(YES_Writing_ELA[Student Number],YES_Writing_FLA[Student Number]),0),MATCH(VLOOKUP(H$7,'Writing Logic'!$J$7:$K$11,2,FALSE)&amp;" - Per "&amp;VLOOKUP($C$4,'Writing Logic'!$G$8:$H$14,2,FALSE),YES_Writing_ELA[#Headers],0)))="INS",'Writing Logic'!$B$7,IF(INDEX(_xlfn.VSTACK(YES_Writing_ELA[#Data],YES_Writing_FLA[#Data]),MATCH($A105,_xlfn.VSTACK(YES_Writing_ELA[Student Number],YES_Writing_FLA[Student Number]),0),MATCH(VLOOKUP(H$7,'Writing Logic'!$J$7:$K$11,2,FALSE)&amp;" - Per "&amp;VLOOKUP($C$4,'Writing Logic'!$G$8:$H$14,2,FALSE),YES_Writing_ELA[#Headers],0))=0,"",INDEX(_xlfn.VSTACK(YES_Writing_ELA[#Data],YES_Writing_FLA[#Data]),MATCH($A105,_xlfn.VSTACK(YES_Writing_ELA[Student Number],YES_Writing_FLA[Student Number]),0),MATCH(VLOOKUP(H$7,'Writing Logic'!$J$7:$K$11,2,FALSE)&amp;" - Per "&amp;VLOOKUP($C$4,'Writing Logic'!$G$8:$H$14,2,FALSE),YES_Writing_ELA[#Headers],0)))),"")</f>
        <v/>
      </c>
    </row>
    <row r="106" spans="1:8" ht="14.25" customHeight="1" x14ac:dyDescent="0.25">
      <c r="A106" s="137"/>
      <c r="B106" s="137" t="str">
        <f>IFERROR(INDEX(_xlfn.VSTACK(YES_Writing_ELA[#Data], YES_Writing_FLA[#Data]),MATCH($A106,_xlfn.VSTACK(YES_Writing_ELA[Student Number], YES_Writing_FLA[Student Number]),0),MATCH(B$7,YES_Writing_ELA[#Headers],0)),"")</f>
        <v/>
      </c>
      <c r="C106" s="137" t="str">
        <f>IFERROR(INDEX(_xlfn.VSTACK(YES_Writing_ELA[#Data], YES_Writing_FLA[#Data]),MATCH($A106,_xlfn.VSTACK(YES_Writing_ELA[Student Number], YES_Writing_FLA[Student Number]),0),MATCH(C$7,YES_Writing_ELA[#Headers],0)),"")</f>
        <v/>
      </c>
      <c r="D106" s="138" t="str">
        <f>IFERROR(IF(IF(INDEX(_xlfn.VSTACK(YES_Writing_ELA[#Data],YES_Writing_FLA[#Data]),MATCH($A106,_xlfn.VSTACK(YES_Writing_ELA[Student Number],YES_Writing_FLA[Student Number]),0),MATCH(VLOOKUP(D$7,'Writing Logic'!$J$7:$K$11,2,FALSE)&amp;" - Per "&amp;VLOOKUP($C$4,'Writing Logic'!$G$8:$H$14,2,FALSE),YES_Writing_ELA[#Headers],0))=0,"",INDEX(_xlfn.VSTACK(YES_Writing_ELA[#Data],YES_Writing_FLA[#Data]),MATCH($A106,_xlfn.VSTACK(YES_Writing_ELA[Student Number],YES_Writing_FLA[Student Number]),0),MATCH(VLOOKUP(D$7,'Writing Logic'!$J$7:$K$11,2,FALSE)&amp;" - Per "&amp;VLOOKUP($C$4,'Writing Logic'!$G$8:$H$14,2,FALSE),YES_Writing_ELA[#Headers],0)))="INS",'Writing Logic'!$B$7,IF(INDEX(_xlfn.VSTACK(YES_Writing_ELA[#Data],YES_Writing_FLA[#Data]),MATCH($A106,_xlfn.VSTACK(YES_Writing_ELA[Student Number],YES_Writing_FLA[Student Number]),0),MATCH(VLOOKUP(D$7,'Writing Logic'!$J$7:$K$11,2,FALSE)&amp;" - Per "&amp;VLOOKUP($C$4,'Writing Logic'!$G$8:$H$14,2,FALSE),YES_Writing_ELA[#Headers],0))=0,"",INDEX(_xlfn.VSTACK(YES_Writing_ELA[#Data],YES_Writing_FLA[#Data]),MATCH($A106,_xlfn.VSTACK(YES_Writing_ELA[Student Number],YES_Writing_FLA[Student Number]),0),MATCH(VLOOKUP(D$7,'Writing Logic'!$J$7:$K$11,2,FALSE)&amp;" - Per "&amp;VLOOKUP($C$4,'Writing Logic'!$G$8:$H$14,2,FALSE),YES_Writing_ELA[#Headers],0)))),"")</f>
        <v/>
      </c>
      <c r="E106" s="138" t="str">
        <f>IFERROR(IF(IF(INDEX(_xlfn.VSTACK(YES_Writing_ELA[#Data],YES_Writing_FLA[#Data]),MATCH($A106,_xlfn.VSTACK(YES_Writing_ELA[Student Number],YES_Writing_FLA[Student Number]),0),MATCH(VLOOKUP(E$7,'Writing Logic'!$J$7:$K$11,2,FALSE)&amp;" - Per "&amp;VLOOKUP($C$4,'Writing Logic'!$G$8:$H$14,2,FALSE),YES_Writing_ELA[#Headers],0))=0,"",INDEX(_xlfn.VSTACK(YES_Writing_ELA[#Data],YES_Writing_FLA[#Data]),MATCH($A106,_xlfn.VSTACK(YES_Writing_ELA[Student Number],YES_Writing_FLA[Student Number]),0),MATCH(VLOOKUP(E$7,'Writing Logic'!$J$7:$K$11,2,FALSE)&amp;" - Per "&amp;VLOOKUP($C$4,'Writing Logic'!$G$8:$H$14,2,FALSE),YES_Writing_ELA[#Headers],0)))="INS",'Writing Logic'!$B$7,IF(INDEX(_xlfn.VSTACK(YES_Writing_ELA[#Data],YES_Writing_FLA[#Data]),MATCH($A106,_xlfn.VSTACK(YES_Writing_ELA[Student Number],YES_Writing_FLA[Student Number]),0),MATCH(VLOOKUP(E$7,'Writing Logic'!$J$7:$K$11,2,FALSE)&amp;" - Per "&amp;VLOOKUP($C$4,'Writing Logic'!$G$8:$H$14,2,FALSE),YES_Writing_ELA[#Headers],0))=0,"",INDEX(_xlfn.VSTACK(YES_Writing_ELA[#Data],YES_Writing_FLA[#Data]),MATCH($A106,_xlfn.VSTACK(YES_Writing_ELA[Student Number],YES_Writing_FLA[Student Number]),0),MATCH(VLOOKUP(E$7,'Writing Logic'!$J$7:$K$11,2,FALSE)&amp;" - Per "&amp;VLOOKUP($C$4,'Writing Logic'!$G$8:$H$14,2,FALSE),YES_Writing_ELA[#Headers],0)))),"")</f>
        <v/>
      </c>
      <c r="F106" s="138" t="str">
        <f>IFERROR(IF(IF(INDEX(_xlfn.VSTACK(YES_Writing_ELA[#Data],YES_Writing_FLA[#Data]),MATCH($A106,_xlfn.VSTACK(YES_Writing_ELA[Student Number],YES_Writing_FLA[Student Number]),0),MATCH(VLOOKUP(F$7,'Writing Logic'!$J$7:$K$11,2,FALSE)&amp;" - Per "&amp;VLOOKUP($C$4,'Writing Logic'!$G$8:$H$14,2,FALSE),YES_Writing_ELA[#Headers],0))=0,"",INDEX(_xlfn.VSTACK(YES_Writing_ELA[#Data],YES_Writing_FLA[#Data]),MATCH($A106,_xlfn.VSTACK(YES_Writing_ELA[Student Number],YES_Writing_FLA[Student Number]),0),MATCH(VLOOKUP(F$7,'Writing Logic'!$J$7:$K$11,2,FALSE)&amp;" - Per "&amp;VLOOKUP($C$4,'Writing Logic'!$G$8:$H$14,2,FALSE),YES_Writing_ELA[#Headers],0)))="INS",'Writing Logic'!$B$7,IF(INDEX(_xlfn.VSTACK(YES_Writing_ELA[#Data],YES_Writing_FLA[#Data]),MATCH($A106,_xlfn.VSTACK(YES_Writing_ELA[Student Number],YES_Writing_FLA[Student Number]),0),MATCH(VLOOKUP(F$7,'Writing Logic'!$J$7:$K$11,2,FALSE)&amp;" - Per "&amp;VLOOKUP($C$4,'Writing Logic'!$G$8:$H$14,2,FALSE),YES_Writing_ELA[#Headers],0))=0,"",INDEX(_xlfn.VSTACK(YES_Writing_ELA[#Data],YES_Writing_FLA[#Data]),MATCH($A106,_xlfn.VSTACK(YES_Writing_ELA[Student Number],YES_Writing_FLA[Student Number]),0),MATCH(VLOOKUP(F$7,'Writing Logic'!$J$7:$K$11,2,FALSE)&amp;" - Per "&amp;VLOOKUP($C$4,'Writing Logic'!$G$8:$H$14,2,FALSE),YES_Writing_ELA[#Headers],0)))),"")</f>
        <v/>
      </c>
      <c r="G106" s="138" t="str">
        <f>IFERROR(IF(IF(INDEX(_xlfn.VSTACK(YES_Writing_ELA[#Data],YES_Writing_FLA[#Data]),MATCH($A106,_xlfn.VSTACK(YES_Writing_ELA[Student Number],YES_Writing_FLA[Student Number]),0),MATCH(VLOOKUP(G$7,'Writing Logic'!$J$7:$K$11,2,FALSE)&amp;" - Per "&amp;VLOOKUP($C$4,'Writing Logic'!$G$8:$H$14,2,FALSE),YES_Writing_ELA[#Headers],0))=0,"",INDEX(_xlfn.VSTACK(YES_Writing_ELA[#Data],YES_Writing_FLA[#Data]),MATCH($A106,_xlfn.VSTACK(YES_Writing_ELA[Student Number],YES_Writing_FLA[Student Number]),0),MATCH(VLOOKUP(G$7,'Writing Logic'!$J$7:$K$11,2,FALSE)&amp;" - Per "&amp;VLOOKUP($C$4,'Writing Logic'!$G$8:$H$14,2,FALSE),YES_Writing_ELA[#Headers],0)))="INS",'Writing Logic'!$B$7,IF(INDEX(_xlfn.VSTACK(YES_Writing_ELA[#Data],YES_Writing_FLA[#Data]),MATCH($A106,_xlfn.VSTACK(YES_Writing_ELA[Student Number],YES_Writing_FLA[Student Number]),0),MATCH(VLOOKUP(G$7,'Writing Logic'!$J$7:$K$11,2,FALSE)&amp;" - Per "&amp;VLOOKUP($C$4,'Writing Logic'!$G$8:$H$14,2,FALSE),YES_Writing_ELA[#Headers],0))=0,"",INDEX(_xlfn.VSTACK(YES_Writing_ELA[#Data],YES_Writing_FLA[#Data]),MATCH($A106,_xlfn.VSTACK(YES_Writing_ELA[Student Number],YES_Writing_FLA[Student Number]),0),MATCH(VLOOKUP(G$7,'Writing Logic'!$J$7:$K$11,2,FALSE)&amp;" - Per "&amp;VLOOKUP($C$4,'Writing Logic'!$G$8:$H$14,2,FALSE),YES_Writing_ELA[#Headers],0)))),"")</f>
        <v/>
      </c>
      <c r="H106" s="138" t="str">
        <f>IFERROR(IF(IF(INDEX(_xlfn.VSTACK(YES_Writing_ELA[#Data],YES_Writing_FLA[#Data]),MATCH($A106,_xlfn.VSTACK(YES_Writing_ELA[Student Number],YES_Writing_FLA[Student Number]),0),MATCH(VLOOKUP(H$7,'Writing Logic'!$J$7:$K$11,2,FALSE)&amp;" - Per "&amp;VLOOKUP($C$4,'Writing Logic'!$G$8:$H$14,2,FALSE),YES_Writing_ELA[#Headers],0))=0,"",INDEX(_xlfn.VSTACK(YES_Writing_ELA[#Data],YES_Writing_FLA[#Data]),MATCH($A106,_xlfn.VSTACK(YES_Writing_ELA[Student Number],YES_Writing_FLA[Student Number]),0),MATCH(VLOOKUP(H$7,'Writing Logic'!$J$7:$K$11,2,FALSE)&amp;" - Per "&amp;VLOOKUP($C$4,'Writing Logic'!$G$8:$H$14,2,FALSE),YES_Writing_ELA[#Headers],0)))="INS",'Writing Logic'!$B$7,IF(INDEX(_xlfn.VSTACK(YES_Writing_ELA[#Data],YES_Writing_FLA[#Data]),MATCH($A106,_xlfn.VSTACK(YES_Writing_ELA[Student Number],YES_Writing_FLA[Student Number]),0),MATCH(VLOOKUP(H$7,'Writing Logic'!$J$7:$K$11,2,FALSE)&amp;" - Per "&amp;VLOOKUP($C$4,'Writing Logic'!$G$8:$H$14,2,FALSE),YES_Writing_ELA[#Headers],0))=0,"",INDEX(_xlfn.VSTACK(YES_Writing_ELA[#Data],YES_Writing_FLA[#Data]),MATCH($A106,_xlfn.VSTACK(YES_Writing_ELA[Student Number],YES_Writing_FLA[Student Number]),0),MATCH(VLOOKUP(H$7,'Writing Logic'!$J$7:$K$11,2,FALSE)&amp;" - Per "&amp;VLOOKUP($C$4,'Writing Logic'!$G$8:$H$14,2,FALSE),YES_Writing_ELA[#Headers],0)))),"")</f>
        <v/>
      </c>
    </row>
    <row r="107" spans="1:8" ht="14.25" customHeight="1" x14ac:dyDescent="0.25">
      <c r="A107" s="137"/>
      <c r="B107" s="137" t="str">
        <f>IFERROR(INDEX(_xlfn.VSTACK(YES_Writing_ELA[#Data], YES_Writing_FLA[#Data]),MATCH($A107,_xlfn.VSTACK(YES_Writing_ELA[Student Number], YES_Writing_FLA[Student Number]),0),MATCH(B$7,YES_Writing_ELA[#Headers],0)),"")</f>
        <v/>
      </c>
      <c r="C107" s="137" t="str">
        <f>IFERROR(INDEX(_xlfn.VSTACK(YES_Writing_ELA[#Data], YES_Writing_FLA[#Data]),MATCH($A107,_xlfn.VSTACK(YES_Writing_ELA[Student Number], YES_Writing_FLA[Student Number]),0),MATCH(C$7,YES_Writing_ELA[#Headers],0)),"")</f>
        <v/>
      </c>
      <c r="D107" s="138" t="str">
        <f>IFERROR(IF(IF(INDEX(_xlfn.VSTACK(YES_Writing_ELA[#Data],YES_Writing_FLA[#Data]),MATCH($A107,_xlfn.VSTACK(YES_Writing_ELA[Student Number],YES_Writing_FLA[Student Number]),0),MATCH(VLOOKUP(D$7,'Writing Logic'!$J$7:$K$11,2,FALSE)&amp;" - Per "&amp;VLOOKUP($C$4,'Writing Logic'!$G$8:$H$14,2,FALSE),YES_Writing_ELA[#Headers],0))=0,"",INDEX(_xlfn.VSTACK(YES_Writing_ELA[#Data],YES_Writing_FLA[#Data]),MATCH($A107,_xlfn.VSTACK(YES_Writing_ELA[Student Number],YES_Writing_FLA[Student Number]),0),MATCH(VLOOKUP(D$7,'Writing Logic'!$J$7:$K$11,2,FALSE)&amp;" - Per "&amp;VLOOKUP($C$4,'Writing Logic'!$G$8:$H$14,2,FALSE),YES_Writing_ELA[#Headers],0)))="INS",'Writing Logic'!$B$7,IF(INDEX(_xlfn.VSTACK(YES_Writing_ELA[#Data],YES_Writing_FLA[#Data]),MATCH($A107,_xlfn.VSTACK(YES_Writing_ELA[Student Number],YES_Writing_FLA[Student Number]),0),MATCH(VLOOKUP(D$7,'Writing Logic'!$J$7:$K$11,2,FALSE)&amp;" - Per "&amp;VLOOKUP($C$4,'Writing Logic'!$G$8:$H$14,2,FALSE),YES_Writing_ELA[#Headers],0))=0,"",INDEX(_xlfn.VSTACK(YES_Writing_ELA[#Data],YES_Writing_FLA[#Data]),MATCH($A107,_xlfn.VSTACK(YES_Writing_ELA[Student Number],YES_Writing_FLA[Student Number]),0),MATCH(VLOOKUP(D$7,'Writing Logic'!$J$7:$K$11,2,FALSE)&amp;" - Per "&amp;VLOOKUP($C$4,'Writing Logic'!$G$8:$H$14,2,FALSE),YES_Writing_ELA[#Headers],0)))),"")</f>
        <v/>
      </c>
      <c r="E107" s="138" t="str">
        <f>IFERROR(IF(IF(INDEX(_xlfn.VSTACK(YES_Writing_ELA[#Data],YES_Writing_FLA[#Data]),MATCH($A107,_xlfn.VSTACK(YES_Writing_ELA[Student Number],YES_Writing_FLA[Student Number]),0),MATCH(VLOOKUP(E$7,'Writing Logic'!$J$7:$K$11,2,FALSE)&amp;" - Per "&amp;VLOOKUP($C$4,'Writing Logic'!$G$8:$H$14,2,FALSE),YES_Writing_ELA[#Headers],0))=0,"",INDEX(_xlfn.VSTACK(YES_Writing_ELA[#Data],YES_Writing_FLA[#Data]),MATCH($A107,_xlfn.VSTACK(YES_Writing_ELA[Student Number],YES_Writing_FLA[Student Number]),0),MATCH(VLOOKUP(E$7,'Writing Logic'!$J$7:$K$11,2,FALSE)&amp;" - Per "&amp;VLOOKUP($C$4,'Writing Logic'!$G$8:$H$14,2,FALSE),YES_Writing_ELA[#Headers],0)))="INS",'Writing Logic'!$B$7,IF(INDEX(_xlfn.VSTACK(YES_Writing_ELA[#Data],YES_Writing_FLA[#Data]),MATCH($A107,_xlfn.VSTACK(YES_Writing_ELA[Student Number],YES_Writing_FLA[Student Number]),0),MATCH(VLOOKUP(E$7,'Writing Logic'!$J$7:$K$11,2,FALSE)&amp;" - Per "&amp;VLOOKUP($C$4,'Writing Logic'!$G$8:$H$14,2,FALSE),YES_Writing_ELA[#Headers],0))=0,"",INDEX(_xlfn.VSTACK(YES_Writing_ELA[#Data],YES_Writing_FLA[#Data]),MATCH($A107,_xlfn.VSTACK(YES_Writing_ELA[Student Number],YES_Writing_FLA[Student Number]),0),MATCH(VLOOKUP(E$7,'Writing Logic'!$J$7:$K$11,2,FALSE)&amp;" - Per "&amp;VLOOKUP($C$4,'Writing Logic'!$G$8:$H$14,2,FALSE),YES_Writing_ELA[#Headers],0)))),"")</f>
        <v/>
      </c>
      <c r="F107" s="138" t="str">
        <f>IFERROR(IF(IF(INDEX(_xlfn.VSTACK(YES_Writing_ELA[#Data],YES_Writing_FLA[#Data]),MATCH($A107,_xlfn.VSTACK(YES_Writing_ELA[Student Number],YES_Writing_FLA[Student Number]),0),MATCH(VLOOKUP(F$7,'Writing Logic'!$J$7:$K$11,2,FALSE)&amp;" - Per "&amp;VLOOKUP($C$4,'Writing Logic'!$G$8:$H$14,2,FALSE),YES_Writing_ELA[#Headers],0))=0,"",INDEX(_xlfn.VSTACK(YES_Writing_ELA[#Data],YES_Writing_FLA[#Data]),MATCH($A107,_xlfn.VSTACK(YES_Writing_ELA[Student Number],YES_Writing_FLA[Student Number]),0),MATCH(VLOOKUP(F$7,'Writing Logic'!$J$7:$K$11,2,FALSE)&amp;" - Per "&amp;VLOOKUP($C$4,'Writing Logic'!$G$8:$H$14,2,FALSE),YES_Writing_ELA[#Headers],0)))="INS",'Writing Logic'!$B$7,IF(INDEX(_xlfn.VSTACK(YES_Writing_ELA[#Data],YES_Writing_FLA[#Data]),MATCH($A107,_xlfn.VSTACK(YES_Writing_ELA[Student Number],YES_Writing_FLA[Student Number]),0),MATCH(VLOOKUP(F$7,'Writing Logic'!$J$7:$K$11,2,FALSE)&amp;" - Per "&amp;VLOOKUP($C$4,'Writing Logic'!$G$8:$H$14,2,FALSE),YES_Writing_ELA[#Headers],0))=0,"",INDEX(_xlfn.VSTACK(YES_Writing_ELA[#Data],YES_Writing_FLA[#Data]),MATCH($A107,_xlfn.VSTACK(YES_Writing_ELA[Student Number],YES_Writing_FLA[Student Number]),0),MATCH(VLOOKUP(F$7,'Writing Logic'!$J$7:$K$11,2,FALSE)&amp;" - Per "&amp;VLOOKUP($C$4,'Writing Logic'!$G$8:$H$14,2,FALSE),YES_Writing_ELA[#Headers],0)))),"")</f>
        <v/>
      </c>
      <c r="G107" s="138" t="str">
        <f>IFERROR(IF(IF(INDEX(_xlfn.VSTACK(YES_Writing_ELA[#Data],YES_Writing_FLA[#Data]),MATCH($A107,_xlfn.VSTACK(YES_Writing_ELA[Student Number],YES_Writing_FLA[Student Number]),0),MATCH(VLOOKUP(G$7,'Writing Logic'!$J$7:$K$11,2,FALSE)&amp;" - Per "&amp;VLOOKUP($C$4,'Writing Logic'!$G$8:$H$14,2,FALSE),YES_Writing_ELA[#Headers],0))=0,"",INDEX(_xlfn.VSTACK(YES_Writing_ELA[#Data],YES_Writing_FLA[#Data]),MATCH($A107,_xlfn.VSTACK(YES_Writing_ELA[Student Number],YES_Writing_FLA[Student Number]),0),MATCH(VLOOKUP(G$7,'Writing Logic'!$J$7:$K$11,2,FALSE)&amp;" - Per "&amp;VLOOKUP($C$4,'Writing Logic'!$G$8:$H$14,2,FALSE),YES_Writing_ELA[#Headers],0)))="INS",'Writing Logic'!$B$7,IF(INDEX(_xlfn.VSTACK(YES_Writing_ELA[#Data],YES_Writing_FLA[#Data]),MATCH($A107,_xlfn.VSTACK(YES_Writing_ELA[Student Number],YES_Writing_FLA[Student Number]),0),MATCH(VLOOKUP(G$7,'Writing Logic'!$J$7:$K$11,2,FALSE)&amp;" - Per "&amp;VLOOKUP($C$4,'Writing Logic'!$G$8:$H$14,2,FALSE),YES_Writing_ELA[#Headers],0))=0,"",INDEX(_xlfn.VSTACK(YES_Writing_ELA[#Data],YES_Writing_FLA[#Data]),MATCH($A107,_xlfn.VSTACK(YES_Writing_ELA[Student Number],YES_Writing_FLA[Student Number]),0),MATCH(VLOOKUP(G$7,'Writing Logic'!$J$7:$K$11,2,FALSE)&amp;" - Per "&amp;VLOOKUP($C$4,'Writing Logic'!$G$8:$H$14,2,FALSE),YES_Writing_ELA[#Headers],0)))),"")</f>
        <v/>
      </c>
      <c r="H107" s="138" t="str">
        <f>IFERROR(IF(IF(INDEX(_xlfn.VSTACK(YES_Writing_ELA[#Data],YES_Writing_FLA[#Data]),MATCH($A107,_xlfn.VSTACK(YES_Writing_ELA[Student Number],YES_Writing_FLA[Student Number]),0),MATCH(VLOOKUP(H$7,'Writing Logic'!$J$7:$K$11,2,FALSE)&amp;" - Per "&amp;VLOOKUP($C$4,'Writing Logic'!$G$8:$H$14,2,FALSE),YES_Writing_ELA[#Headers],0))=0,"",INDEX(_xlfn.VSTACK(YES_Writing_ELA[#Data],YES_Writing_FLA[#Data]),MATCH($A107,_xlfn.VSTACK(YES_Writing_ELA[Student Number],YES_Writing_FLA[Student Number]),0),MATCH(VLOOKUP(H$7,'Writing Logic'!$J$7:$K$11,2,FALSE)&amp;" - Per "&amp;VLOOKUP($C$4,'Writing Logic'!$G$8:$H$14,2,FALSE),YES_Writing_ELA[#Headers],0)))="INS",'Writing Logic'!$B$7,IF(INDEX(_xlfn.VSTACK(YES_Writing_ELA[#Data],YES_Writing_FLA[#Data]),MATCH($A107,_xlfn.VSTACK(YES_Writing_ELA[Student Number],YES_Writing_FLA[Student Number]),0),MATCH(VLOOKUP(H$7,'Writing Logic'!$J$7:$K$11,2,FALSE)&amp;" - Per "&amp;VLOOKUP($C$4,'Writing Logic'!$G$8:$H$14,2,FALSE),YES_Writing_ELA[#Headers],0))=0,"",INDEX(_xlfn.VSTACK(YES_Writing_ELA[#Data],YES_Writing_FLA[#Data]),MATCH($A107,_xlfn.VSTACK(YES_Writing_ELA[Student Number],YES_Writing_FLA[Student Number]),0),MATCH(VLOOKUP(H$7,'Writing Logic'!$J$7:$K$11,2,FALSE)&amp;" - Per "&amp;VLOOKUP($C$4,'Writing Logic'!$G$8:$H$14,2,FALSE),YES_Writing_ELA[#Headers],0)))),"")</f>
        <v/>
      </c>
    </row>
    <row r="108" spans="1:8" ht="14.25" customHeight="1" x14ac:dyDescent="0.25">
      <c r="A108" s="137"/>
      <c r="B108" s="137" t="str">
        <f>IFERROR(INDEX(_xlfn.VSTACK(YES_Writing_ELA[#Data], YES_Writing_FLA[#Data]),MATCH($A108,_xlfn.VSTACK(YES_Writing_ELA[Student Number], YES_Writing_FLA[Student Number]),0),MATCH(B$7,YES_Writing_ELA[#Headers],0)),"")</f>
        <v/>
      </c>
      <c r="C108" s="137" t="str">
        <f>IFERROR(INDEX(_xlfn.VSTACK(YES_Writing_ELA[#Data], YES_Writing_FLA[#Data]),MATCH($A108,_xlfn.VSTACK(YES_Writing_ELA[Student Number], YES_Writing_FLA[Student Number]),0),MATCH(C$7,YES_Writing_ELA[#Headers],0)),"")</f>
        <v/>
      </c>
      <c r="D108" s="138" t="str">
        <f>IFERROR(IF(IF(INDEX(_xlfn.VSTACK(YES_Writing_ELA[#Data],YES_Writing_FLA[#Data]),MATCH($A108,_xlfn.VSTACK(YES_Writing_ELA[Student Number],YES_Writing_FLA[Student Number]),0),MATCH(VLOOKUP(D$7,'Writing Logic'!$J$7:$K$11,2,FALSE)&amp;" - Per "&amp;VLOOKUP($C$4,'Writing Logic'!$G$8:$H$14,2,FALSE),YES_Writing_ELA[#Headers],0))=0,"",INDEX(_xlfn.VSTACK(YES_Writing_ELA[#Data],YES_Writing_FLA[#Data]),MATCH($A108,_xlfn.VSTACK(YES_Writing_ELA[Student Number],YES_Writing_FLA[Student Number]),0),MATCH(VLOOKUP(D$7,'Writing Logic'!$J$7:$K$11,2,FALSE)&amp;" - Per "&amp;VLOOKUP($C$4,'Writing Logic'!$G$8:$H$14,2,FALSE),YES_Writing_ELA[#Headers],0)))="INS",'Writing Logic'!$B$7,IF(INDEX(_xlfn.VSTACK(YES_Writing_ELA[#Data],YES_Writing_FLA[#Data]),MATCH($A108,_xlfn.VSTACK(YES_Writing_ELA[Student Number],YES_Writing_FLA[Student Number]),0),MATCH(VLOOKUP(D$7,'Writing Logic'!$J$7:$K$11,2,FALSE)&amp;" - Per "&amp;VLOOKUP($C$4,'Writing Logic'!$G$8:$H$14,2,FALSE),YES_Writing_ELA[#Headers],0))=0,"",INDEX(_xlfn.VSTACK(YES_Writing_ELA[#Data],YES_Writing_FLA[#Data]),MATCH($A108,_xlfn.VSTACK(YES_Writing_ELA[Student Number],YES_Writing_FLA[Student Number]),0),MATCH(VLOOKUP(D$7,'Writing Logic'!$J$7:$K$11,2,FALSE)&amp;" - Per "&amp;VLOOKUP($C$4,'Writing Logic'!$G$8:$H$14,2,FALSE),YES_Writing_ELA[#Headers],0)))),"")</f>
        <v/>
      </c>
      <c r="E108" s="138" t="str">
        <f>IFERROR(IF(IF(INDEX(_xlfn.VSTACK(YES_Writing_ELA[#Data],YES_Writing_FLA[#Data]),MATCH($A108,_xlfn.VSTACK(YES_Writing_ELA[Student Number],YES_Writing_FLA[Student Number]),0),MATCH(VLOOKUP(E$7,'Writing Logic'!$J$7:$K$11,2,FALSE)&amp;" - Per "&amp;VLOOKUP($C$4,'Writing Logic'!$G$8:$H$14,2,FALSE),YES_Writing_ELA[#Headers],0))=0,"",INDEX(_xlfn.VSTACK(YES_Writing_ELA[#Data],YES_Writing_FLA[#Data]),MATCH($A108,_xlfn.VSTACK(YES_Writing_ELA[Student Number],YES_Writing_FLA[Student Number]),0),MATCH(VLOOKUP(E$7,'Writing Logic'!$J$7:$K$11,2,FALSE)&amp;" - Per "&amp;VLOOKUP($C$4,'Writing Logic'!$G$8:$H$14,2,FALSE),YES_Writing_ELA[#Headers],0)))="INS",'Writing Logic'!$B$7,IF(INDEX(_xlfn.VSTACK(YES_Writing_ELA[#Data],YES_Writing_FLA[#Data]),MATCH($A108,_xlfn.VSTACK(YES_Writing_ELA[Student Number],YES_Writing_FLA[Student Number]),0),MATCH(VLOOKUP(E$7,'Writing Logic'!$J$7:$K$11,2,FALSE)&amp;" - Per "&amp;VLOOKUP($C$4,'Writing Logic'!$G$8:$H$14,2,FALSE),YES_Writing_ELA[#Headers],0))=0,"",INDEX(_xlfn.VSTACK(YES_Writing_ELA[#Data],YES_Writing_FLA[#Data]),MATCH($A108,_xlfn.VSTACK(YES_Writing_ELA[Student Number],YES_Writing_FLA[Student Number]),0),MATCH(VLOOKUP(E$7,'Writing Logic'!$J$7:$K$11,2,FALSE)&amp;" - Per "&amp;VLOOKUP($C$4,'Writing Logic'!$G$8:$H$14,2,FALSE),YES_Writing_ELA[#Headers],0)))),"")</f>
        <v/>
      </c>
      <c r="F108" s="138" t="str">
        <f>IFERROR(IF(IF(INDEX(_xlfn.VSTACK(YES_Writing_ELA[#Data],YES_Writing_FLA[#Data]),MATCH($A108,_xlfn.VSTACK(YES_Writing_ELA[Student Number],YES_Writing_FLA[Student Number]),0),MATCH(VLOOKUP(F$7,'Writing Logic'!$J$7:$K$11,2,FALSE)&amp;" - Per "&amp;VLOOKUP($C$4,'Writing Logic'!$G$8:$H$14,2,FALSE),YES_Writing_ELA[#Headers],0))=0,"",INDEX(_xlfn.VSTACK(YES_Writing_ELA[#Data],YES_Writing_FLA[#Data]),MATCH($A108,_xlfn.VSTACK(YES_Writing_ELA[Student Number],YES_Writing_FLA[Student Number]),0),MATCH(VLOOKUP(F$7,'Writing Logic'!$J$7:$K$11,2,FALSE)&amp;" - Per "&amp;VLOOKUP($C$4,'Writing Logic'!$G$8:$H$14,2,FALSE),YES_Writing_ELA[#Headers],0)))="INS",'Writing Logic'!$B$7,IF(INDEX(_xlfn.VSTACK(YES_Writing_ELA[#Data],YES_Writing_FLA[#Data]),MATCH($A108,_xlfn.VSTACK(YES_Writing_ELA[Student Number],YES_Writing_FLA[Student Number]),0),MATCH(VLOOKUP(F$7,'Writing Logic'!$J$7:$K$11,2,FALSE)&amp;" - Per "&amp;VLOOKUP($C$4,'Writing Logic'!$G$8:$H$14,2,FALSE),YES_Writing_ELA[#Headers],0))=0,"",INDEX(_xlfn.VSTACK(YES_Writing_ELA[#Data],YES_Writing_FLA[#Data]),MATCH($A108,_xlfn.VSTACK(YES_Writing_ELA[Student Number],YES_Writing_FLA[Student Number]),0),MATCH(VLOOKUP(F$7,'Writing Logic'!$J$7:$K$11,2,FALSE)&amp;" - Per "&amp;VLOOKUP($C$4,'Writing Logic'!$G$8:$H$14,2,FALSE),YES_Writing_ELA[#Headers],0)))),"")</f>
        <v/>
      </c>
      <c r="G108" s="138" t="str">
        <f>IFERROR(IF(IF(INDEX(_xlfn.VSTACK(YES_Writing_ELA[#Data],YES_Writing_FLA[#Data]),MATCH($A108,_xlfn.VSTACK(YES_Writing_ELA[Student Number],YES_Writing_FLA[Student Number]),0),MATCH(VLOOKUP(G$7,'Writing Logic'!$J$7:$K$11,2,FALSE)&amp;" - Per "&amp;VLOOKUP($C$4,'Writing Logic'!$G$8:$H$14,2,FALSE),YES_Writing_ELA[#Headers],0))=0,"",INDEX(_xlfn.VSTACK(YES_Writing_ELA[#Data],YES_Writing_FLA[#Data]),MATCH($A108,_xlfn.VSTACK(YES_Writing_ELA[Student Number],YES_Writing_FLA[Student Number]),0),MATCH(VLOOKUP(G$7,'Writing Logic'!$J$7:$K$11,2,FALSE)&amp;" - Per "&amp;VLOOKUP($C$4,'Writing Logic'!$G$8:$H$14,2,FALSE),YES_Writing_ELA[#Headers],0)))="INS",'Writing Logic'!$B$7,IF(INDEX(_xlfn.VSTACK(YES_Writing_ELA[#Data],YES_Writing_FLA[#Data]),MATCH($A108,_xlfn.VSTACK(YES_Writing_ELA[Student Number],YES_Writing_FLA[Student Number]),0),MATCH(VLOOKUP(G$7,'Writing Logic'!$J$7:$K$11,2,FALSE)&amp;" - Per "&amp;VLOOKUP($C$4,'Writing Logic'!$G$8:$H$14,2,FALSE),YES_Writing_ELA[#Headers],0))=0,"",INDEX(_xlfn.VSTACK(YES_Writing_ELA[#Data],YES_Writing_FLA[#Data]),MATCH($A108,_xlfn.VSTACK(YES_Writing_ELA[Student Number],YES_Writing_FLA[Student Number]),0),MATCH(VLOOKUP(G$7,'Writing Logic'!$J$7:$K$11,2,FALSE)&amp;" - Per "&amp;VLOOKUP($C$4,'Writing Logic'!$G$8:$H$14,2,FALSE),YES_Writing_ELA[#Headers],0)))),"")</f>
        <v/>
      </c>
      <c r="H108" s="138" t="str">
        <f>IFERROR(IF(IF(INDEX(_xlfn.VSTACK(YES_Writing_ELA[#Data],YES_Writing_FLA[#Data]),MATCH($A108,_xlfn.VSTACK(YES_Writing_ELA[Student Number],YES_Writing_FLA[Student Number]),0),MATCH(VLOOKUP(H$7,'Writing Logic'!$J$7:$K$11,2,FALSE)&amp;" - Per "&amp;VLOOKUP($C$4,'Writing Logic'!$G$8:$H$14,2,FALSE),YES_Writing_ELA[#Headers],0))=0,"",INDEX(_xlfn.VSTACK(YES_Writing_ELA[#Data],YES_Writing_FLA[#Data]),MATCH($A108,_xlfn.VSTACK(YES_Writing_ELA[Student Number],YES_Writing_FLA[Student Number]),0),MATCH(VLOOKUP(H$7,'Writing Logic'!$J$7:$K$11,2,FALSE)&amp;" - Per "&amp;VLOOKUP($C$4,'Writing Logic'!$G$8:$H$14,2,FALSE),YES_Writing_ELA[#Headers],0)))="INS",'Writing Logic'!$B$7,IF(INDEX(_xlfn.VSTACK(YES_Writing_ELA[#Data],YES_Writing_FLA[#Data]),MATCH($A108,_xlfn.VSTACK(YES_Writing_ELA[Student Number],YES_Writing_FLA[Student Number]),0),MATCH(VLOOKUP(H$7,'Writing Logic'!$J$7:$K$11,2,FALSE)&amp;" - Per "&amp;VLOOKUP($C$4,'Writing Logic'!$G$8:$H$14,2,FALSE),YES_Writing_ELA[#Headers],0))=0,"",INDEX(_xlfn.VSTACK(YES_Writing_ELA[#Data],YES_Writing_FLA[#Data]),MATCH($A108,_xlfn.VSTACK(YES_Writing_ELA[Student Number],YES_Writing_FLA[Student Number]),0),MATCH(VLOOKUP(H$7,'Writing Logic'!$J$7:$K$11,2,FALSE)&amp;" - Per "&amp;VLOOKUP($C$4,'Writing Logic'!$G$8:$H$14,2,FALSE),YES_Writing_ELA[#Headers],0)))),"")</f>
        <v/>
      </c>
    </row>
    <row r="109" spans="1:8" ht="14.25" customHeight="1" x14ac:dyDescent="0.25">
      <c r="A109" s="137"/>
      <c r="B109" s="137" t="str">
        <f>IFERROR(INDEX(_xlfn.VSTACK(YES_Writing_ELA[#Data], YES_Writing_FLA[#Data]),MATCH($A109,_xlfn.VSTACK(YES_Writing_ELA[Student Number], YES_Writing_FLA[Student Number]),0),MATCH(B$7,YES_Writing_ELA[#Headers],0)),"")</f>
        <v/>
      </c>
      <c r="C109" s="137" t="str">
        <f>IFERROR(INDEX(_xlfn.VSTACK(YES_Writing_ELA[#Data], YES_Writing_FLA[#Data]),MATCH($A109,_xlfn.VSTACK(YES_Writing_ELA[Student Number], YES_Writing_FLA[Student Number]),0),MATCH(C$7,YES_Writing_ELA[#Headers],0)),"")</f>
        <v/>
      </c>
      <c r="D109" s="138" t="str">
        <f>IFERROR(IF(IF(INDEX(_xlfn.VSTACK(YES_Writing_ELA[#Data],YES_Writing_FLA[#Data]),MATCH($A109,_xlfn.VSTACK(YES_Writing_ELA[Student Number],YES_Writing_FLA[Student Number]),0),MATCH(VLOOKUP(D$7,'Writing Logic'!$J$7:$K$11,2,FALSE)&amp;" - Per "&amp;VLOOKUP($C$4,'Writing Logic'!$G$8:$H$14,2,FALSE),YES_Writing_ELA[#Headers],0))=0,"",INDEX(_xlfn.VSTACK(YES_Writing_ELA[#Data],YES_Writing_FLA[#Data]),MATCH($A109,_xlfn.VSTACK(YES_Writing_ELA[Student Number],YES_Writing_FLA[Student Number]),0),MATCH(VLOOKUP(D$7,'Writing Logic'!$J$7:$K$11,2,FALSE)&amp;" - Per "&amp;VLOOKUP($C$4,'Writing Logic'!$G$8:$H$14,2,FALSE),YES_Writing_ELA[#Headers],0)))="INS",'Writing Logic'!$B$7,IF(INDEX(_xlfn.VSTACK(YES_Writing_ELA[#Data],YES_Writing_FLA[#Data]),MATCH($A109,_xlfn.VSTACK(YES_Writing_ELA[Student Number],YES_Writing_FLA[Student Number]),0),MATCH(VLOOKUP(D$7,'Writing Logic'!$J$7:$K$11,2,FALSE)&amp;" - Per "&amp;VLOOKUP($C$4,'Writing Logic'!$G$8:$H$14,2,FALSE),YES_Writing_ELA[#Headers],0))=0,"",INDEX(_xlfn.VSTACK(YES_Writing_ELA[#Data],YES_Writing_FLA[#Data]),MATCH($A109,_xlfn.VSTACK(YES_Writing_ELA[Student Number],YES_Writing_FLA[Student Number]),0),MATCH(VLOOKUP(D$7,'Writing Logic'!$J$7:$K$11,2,FALSE)&amp;" - Per "&amp;VLOOKUP($C$4,'Writing Logic'!$G$8:$H$14,2,FALSE),YES_Writing_ELA[#Headers],0)))),"")</f>
        <v/>
      </c>
      <c r="E109" s="138" t="str">
        <f>IFERROR(IF(IF(INDEX(_xlfn.VSTACK(YES_Writing_ELA[#Data],YES_Writing_FLA[#Data]),MATCH($A109,_xlfn.VSTACK(YES_Writing_ELA[Student Number],YES_Writing_FLA[Student Number]),0),MATCH(VLOOKUP(E$7,'Writing Logic'!$J$7:$K$11,2,FALSE)&amp;" - Per "&amp;VLOOKUP($C$4,'Writing Logic'!$G$8:$H$14,2,FALSE),YES_Writing_ELA[#Headers],0))=0,"",INDEX(_xlfn.VSTACK(YES_Writing_ELA[#Data],YES_Writing_FLA[#Data]),MATCH($A109,_xlfn.VSTACK(YES_Writing_ELA[Student Number],YES_Writing_FLA[Student Number]),0),MATCH(VLOOKUP(E$7,'Writing Logic'!$J$7:$K$11,2,FALSE)&amp;" - Per "&amp;VLOOKUP($C$4,'Writing Logic'!$G$8:$H$14,2,FALSE),YES_Writing_ELA[#Headers],0)))="INS",'Writing Logic'!$B$7,IF(INDEX(_xlfn.VSTACK(YES_Writing_ELA[#Data],YES_Writing_FLA[#Data]),MATCH($A109,_xlfn.VSTACK(YES_Writing_ELA[Student Number],YES_Writing_FLA[Student Number]),0),MATCH(VLOOKUP(E$7,'Writing Logic'!$J$7:$K$11,2,FALSE)&amp;" - Per "&amp;VLOOKUP($C$4,'Writing Logic'!$G$8:$H$14,2,FALSE),YES_Writing_ELA[#Headers],0))=0,"",INDEX(_xlfn.VSTACK(YES_Writing_ELA[#Data],YES_Writing_FLA[#Data]),MATCH($A109,_xlfn.VSTACK(YES_Writing_ELA[Student Number],YES_Writing_FLA[Student Number]),0),MATCH(VLOOKUP(E$7,'Writing Logic'!$J$7:$K$11,2,FALSE)&amp;" - Per "&amp;VLOOKUP($C$4,'Writing Logic'!$G$8:$H$14,2,FALSE),YES_Writing_ELA[#Headers],0)))),"")</f>
        <v/>
      </c>
      <c r="F109" s="138" t="str">
        <f>IFERROR(IF(IF(INDEX(_xlfn.VSTACK(YES_Writing_ELA[#Data],YES_Writing_FLA[#Data]),MATCH($A109,_xlfn.VSTACK(YES_Writing_ELA[Student Number],YES_Writing_FLA[Student Number]),0),MATCH(VLOOKUP(F$7,'Writing Logic'!$J$7:$K$11,2,FALSE)&amp;" - Per "&amp;VLOOKUP($C$4,'Writing Logic'!$G$8:$H$14,2,FALSE),YES_Writing_ELA[#Headers],0))=0,"",INDEX(_xlfn.VSTACK(YES_Writing_ELA[#Data],YES_Writing_FLA[#Data]),MATCH($A109,_xlfn.VSTACK(YES_Writing_ELA[Student Number],YES_Writing_FLA[Student Number]),0),MATCH(VLOOKUP(F$7,'Writing Logic'!$J$7:$K$11,2,FALSE)&amp;" - Per "&amp;VLOOKUP($C$4,'Writing Logic'!$G$8:$H$14,2,FALSE),YES_Writing_ELA[#Headers],0)))="INS",'Writing Logic'!$B$7,IF(INDEX(_xlfn.VSTACK(YES_Writing_ELA[#Data],YES_Writing_FLA[#Data]),MATCH($A109,_xlfn.VSTACK(YES_Writing_ELA[Student Number],YES_Writing_FLA[Student Number]),0),MATCH(VLOOKUP(F$7,'Writing Logic'!$J$7:$K$11,2,FALSE)&amp;" - Per "&amp;VLOOKUP($C$4,'Writing Logic'!$G$8:$H$14,2,FALSE),YES_Writing_ELA[#Headers],0))=0,"",INDEX(_xlfn.VSTACK(YES_Writing_ELA[#Data],YES_Writing_FLA[#Data]),MATCH($A109,_xlfn.VSTACK(YES_Writing_ELA[Student Number],YES_Writing_FLA[Student Number]),0),MATCH(VLOOKUP(F$7,'Writing Logic'!$J$7:$K$11,2,FALSE)&amp;" - Per "&amp;VLOOKUP($C$4,'Writing Logic'!$G$8:$H$14,2,FALSE),YES_Writing_ELA[#Headers],0)))),"")</f>
        <v/>
      </c>
      <c r="G109" s="138" t="str">
        <f>IFERROR(IF(IF(INDEX(_xlfn.VSTACK(YES_Writing_ELA[#Data],YES_Writing_FLA[#Data]),MATCH($A109,_xlfn.VSTACK(YES_Writing_ELA[Student Number],YES_Writing_FLA[Student Number]),0),MATCH(VLOOKUP(G$7,'Writing Logic'!$J$7:$K$11,2,FALSE)&amp;" - Per "&amp;VLOOKUP($C$4,'Writing Logic'!$G$8:$H$14,2,FALSE),YES_Writing_ELA[#Headers],0))=0,"",INDEX(_xlfn.VSTACK(YES_Writing_ELA[#Data],YES_Writing_FLA[#Data]),MATCH($A109,_xlfn.VSTACK(YES_Writing_ELA[Student Number],YES_Writing_FLA[Student Number]),0),MATCH(VLOOKUP(G$7,'Writing Logic'!$J$7:$K$11,2,FALSE)&amp;" - Per "&amp;VLOOKUP($C$4,'Writing Logic'!$G$8:$H$14,2,FALSE),YES_Writing_ELA[#Headers],0)))="INS",'Writing Logic'!$B$7,IF(INDEX(_xlfn.VSTACK(YES_Writing_ELA[#Data],YES_Writing_FLA[#Data]),MATCH($A109,_xlfn.VSTACK(YES_Writing_ELA[Student Number],YES_Writing_FLA[Student Number]),0),MATCH(VLOOKUP(G$7,'Writing Logic'!$J$7:$K$11,2,FALSE)&amp;" - Per "&amp;VLOOKUP($C$4,'Writing Logic'!$G$8:$H$14,2,FALSE),YES_Writing_ELA[#Headers],0))=0,"",INDEX(_xlfn.VSTACK(YES_Writing_ELA[#Data],YES_Writing_FLA[#Data]),MATCH($A109,_xlfn.VSTACK(YES_Writing_ELA[Student Number],YES_Writing_FLA[Student Number]),0),MATCH(VLOOKUP(G$7,'Writing Logic'!$J$7:$K$11,2,FALSE)&amp;" - Per "&amp;VLOOKUP($C$4,'Writing Logic'!$G$8:$H$14,2,FALSE),YES_Writing_ELA[#Headers],0)))),"")</f>
        <v/>
      </c>
      <c r="H109" s="138" t="str">
        <f>IFERROR(IF(IF(INDEX(_xlfn.VSTACK(YES_Writing_ELA[#Data],YES_Writing_FLA[#Data]),MATCH($A109,_xlfn.VSTACK(YES_Writing_ELA[Student Number],YES_Writing_FLA[Student Number]),0),MATCH(VLOOKUP(H$7,'Writing Logic'!$J$7:$K$11,2,FALSE)&amp;" - Per "&amp;VLOOKUP($C$4,'Writing Logic'!$G$8:$H$14,2,FALSE),YES_Writing_ELA[#Headers],0))=0,"",INDEX(_xlfn.VSTACK(YES_Writing_ELA[#Data],YES_Writing_FLA[#Data]),MATCH($A109,_xlfn.VSTACK(YES_Writing_ELA[Student Number],YES_Writing_FLA[Student Number]),0),MATCH(VLOOKUP(H$7,'Writing Logic'!$J$7:$K$11,2,FALSE)&amp;" - Per "&amp;VLOOKUP($C$4,'Writing Logic'!$G$8:$H$14,2,FALSE),YES_Writing_ELA[#Headers],0)))="INS",'Writing Logic'!$B$7,IF(INDEX(_xlfn.VSTACK(YES_Writing_ELA[#Data],YES_Writing_FLA[#Data]),MATCH($A109,_xlfn.VSTACK(YES_Writing_ELA[Student Number],YES_Writing_FLA[Student Number]),0),MATCH(VLOOKUP(H$7,'Writing Logic'!$J$7:$K$11,2,FALSE)&amp;" - Per "&amp;VLOOKUP($C$4,'Writing Logic'!$G$8:$H$14,2,FALSE),YES_Writing_ELA[#Headers],0))=0,"",INDEX(_xlfn.VSTACK(YES_Writing_ELA[#Data],YES_Writing_FLA[#Data]),MATCH($A109,_xlfn.VSTACK(YES_Writing_ELA[Student Number],YES_Writing_FLA[Student Number]),0),MATCH(VLOOKUP(H$7,'Writing Logic'!$J$7:$K$11,2,FALSE)&amp;" - Per "&amp;VLOOKUP($C$4,'Writing Logic'!$G$8:$H$14,2,FALSE),YES_Writing_ELA[#Headers],0)))),"")</f>
        <v/>
      </c>
    </row>
    <row r="110" spans="1:8" ht="14.25" customHeight="1" x14ac:dyDescent="0.25">
      <c r="A110" s="137"/>
      <c r="B110" s="137" t="str">
        <f>IFERROR(INDEX(_xlfn.VSTACK(YES_Writing_ELA[#Data], YES_Writing_FLA[#Data]),MATCH($A110,_xlfn.VSTACK(YES_Writing_ELA[Student Number], YES_Writing_FLA[Student Number]),0),MATCH(B$7,YES_Writing_ELA[#Headers],0)),"")</f>
        <v/>
      </c>
      <c r="C110" s="137" t="str">
        <f>IFERROR(INDEX(_xlfn.VSTACK(YES_Writing_ELA[#Data], YES_Writing_FLA[#Data]),MATCH($A110,_xlfn.VSTACK(YES_Writing_ELA[Student Number], YES_Writing_FLA[Student Number]),0),MATCH(C$7,YES_Writing_ELA[#Headers],0)),"")</f>
        <v/>
      </c>
      <c r="D110" s="138" t="str">
        <f>IFERROR(IF(IF(INDEX(_xlfn.VSTACK(YES_Writing_ELA[#Data],YES_Writing_FLA[#Data]),MATCH($A110,_xlfn.VSTACK(YES_Writing_ELA[Student Number],YES_Writing_FLA[Student Number]),0),MATCH(VLOOKUP(D$7,'Writing Logic'!$J$7:$K$11,2,FALSE)&amp;" - Per "&amp;VLOOKUP($C$4,'Writing Logic'!$G$8:$H$14,2,FALSE),YES_Writing_ELA[#Headers],0))=0,"",INDEX(_xlfn.VSTACK(YES_Writing_ELA[#Data],YES_Writing_FLA[#Data]),MATCH($A110,_xlfn.VSTACK(YES_Writing_ELA[Student Number],YES_Writing_FLA[Student Number]),0),MATCH(VLOOKUP(D$7,'Writing Logic'!$J$7:$K$11,2,FALSE)&amp;" - Per "&amp;VLOOKUP($C$4,'Writing Logic'!$G$8:$H$14,2,FALSE),YES_Writing_ELA[#Headers],0)))="INS",'Writing Logic'!$B$7,IF(INDEX(_xlfn.VSTACK(YES_Writing_ELA[#Data],YES_Writing_FLA[#Data]),MATCH($A110,_xlfn.VSTACK(YES_Writing_ELA[Student Number],YES_Writing_FLA[Student Number]),0),MATCH(VLOOKUP(D$7,'Writing Logic'!$J$7:$K$11,2,FALSE)&amp;" - Per "&amp;VLOOKUP($C$4,'Writing Logic'!$G$8:$H$14,2,FALSE),YES_Writing_ELA[#Headers],0))=0,"",INDEX(_xlfn.VSTACK(YES_Writing_ELA[#Data],YES_Writing_FLA[#Data]),MATCH($A110,_xlfn.VSTACK(YES_Writing_ELA[Student Number],YES_Writing_FLA[Student Number]),0),MATCH(VLOOKUP(D$7,'Writing Logic'!$J$7:$K$11,2,FALSE)&amp;" - Per "&amp;VLOOKUP($C$4,'Writing Logic'!$G$8:$H$14,2,FALSE),YES_Writing_ELA[#Headers],0)))),"")</f>
        <v/>
      </c>
      <c r="E110" s="138" t="str">
        <f>IFERROR(IF(IF(INDEX(_xlfn.VSTACK(YES_Writing_ELA[#Data],YES_Writing_FLA[#Data]),MATCH($A110,_xlfn.VSTACK(YES_Writing_ELA[Student Number],YES_Writing_FLA[Student Number]),0),MATCH(VLOOKUP(E$7,'Writing Logic'!$J$7:$K$11,2,FALSE)&amp;" - Per "&amp;VLOOKUP($C$4,'Writing Logic'!$G$8:$H$14,2,FALSE),YES_Writing_ELA[#Headers],0))=0,"",INDEX(_xlfn.VSTACK(YES_Writing_ELA[#Data],YES_Writing_FLA[#Data]),MATCH($A110,_xlfn.VSTACK(YES_Writing_ELA[Student Number],YES_Writing_FLA[Student Number]),0),MATCH(VLOOKUP(E$7,'Writing Logic'!$J$7:$K$11,2,FALSE)&amp;" - Per "&amp;VLOOKUP($C$4,'Writing Logic'!$G$8:$H$14,2,FALSE),YES_Writing_ELA[#Headers],0)))="INS",'Writing Logic'!$B$7,IF(INDEX(_xlfn.VSTACK(YES_Writing_ELA[#Data],YES_Writing_FLA[#Data]),MATCH($A110,_xlfn.VSTACK(YES_Writing_ELA[Student Number],YES_Writing_FLA[Student Number]),0),MATCH(VLOOKUP(E$7,'Writing Logic'!$J$7:$K$11,2,FALSE)&amp;" - Per "&amp;VLOOKUP($C$4,'Writing Logic'!$G$8:$H$14,2,FALSE),YES_Writing_ELA[#Headers],0))=0,"",INDEX(_xlfn.VSTACK(YES_Writing_ELA[#Data],YES_Writing_FLA[#Data]),MATCH($A110,_xlfn.VSTACK(YES_Writing_ELA[Student Number],YES_Writing_FLA[Student Number]),0),MATCH(VLOOKUP(E$7,'Writing Logic'!$J$7:$K$11,2,FALSE)&amp;" - Per "&amp;VLOOKUP($C$4,'Writing Logic'!$G$8:$H$14,2,FALSE),YES_Writing_ELA[#Headers],0)))),"")</f>
        <v/>
      </c>
      <c r="F110" s="138" t="str">
        <f>IFERROR(IF(IF(INDEX(_xlfn.VSTACK(YES_Writing_ELA[#Data],YES_Writing_FLA[#Data]),MATCH($A110,_xlfn.VSTACK(YES_Writing_ELA[Student Number],YES_Writing_FLA[Student Number]),0),MATCH(VLOOKUP(F$7,'Writing Logic'!$J$7:$K$11,2,FALSE)&amp;" - Per "&amp;VLOOKUP($C$4,'Writing Logic'!$G$8:$H$14,2,FALSE),YES_Writing_ELA[#Headers],0))=0,"",INDEX(_xlfn.VSTACK(YES_Writing_ELA[#Data],YES_Writing_FLA[#Data]),MATCH($A110,_xlfn.VSTACK(YES_Writing_ELA[Student Number],YES_Writing_FLA[Student Number]),0),MATCH(VLOOKUP(F$7,'Writing Logic'!$J$7:$K$11,2,FALSE)&amp;" - Per "&amp;VLOOKUP($C$4,'Writing Logic'!$G$8:$H$14,2,FALSE),YES_Writing_ELA[#Headers],0)))="INS",'Writing Logic'!$B$7,IF(INDEX(_xlfn.VSTACK(YES_Writing_ELA[#Data],YES_Writing_FLA[#Data]),MATCH($A110,_xlfn.VSTACK(YES_Writing_ELA[Student Number],YES_Writing_FLA[Student Number]),0),MATCH(VLOOKUP(F$7,'Writing Logic'!$J$7:$K$11,2,FALSE)&amp;" - Per "&amp;VLOOKUP($C$4,'Writing Logic'!$G$8:$H$14,2,FALSE),YES_Writing_ELA[#Headers],0))=0,"",INDEX(_xlfn.VSTACK(YES_Writing_ELA[#Data],YES_Writing_FLA[#Data]),MATCH($A110,_xlfn.VSTACK(YES_Writing_ELA[Student Number],YES_Writing_FLA[Student Number]),0),MATCH(VLOOKUP(F$7,'Writing Logic'!$J$7:$K$11,2,FALSE)&amp;" - Per "&amp;VLOOKUP($C$4,'Writing Logic'!$G$8:$H$14,2,FALSE),YES_Writing_ELA[#Headers],0)))),"")</f>
        <v/>
      </c>
      <c r="G110" s="138" t="str">
        <f>IFERROR(IF(IF(INDEX(_xlfn.VSTACK(YES_Writing_ELA[#Data],YES_Writing_FLA[#Data]),MATCH($A110,_xlfn.VSTACK(YES_Writing_ELA[Student Number],YES_Writing_FLA[Student Number]),0),MATCH(VLOOKUP(G$7,'Writing Logic'!$J$7:$K$11,2,FALSE)&amp;" - Per "&amp;VLOOKUP($C$4,'Writing Logic'!$G$8:$H$14,2,FALSE),YES_Writing_ELA[#Headers],0))=0,"",INDEX(_xlfn.VSTACK(YES_Writing_ELA[#Data],YES_Writing_FLA[#Data]),MATCH($A110,_xlfn.VSTACK(YES_Writing_ELA[Student Number],YES_Writing_FLA[Student Number]),0),MATCH(VLOOKUP(G$7,'Writing Logic'!$J$7:$K$11,2,FALSE)&amp;" - Per "&amp;VLOOKUP($C$4,'Writing Logic'!$G$8:$H$14,2,FALSE),YES_Writing_ELA[#Headers],0)))="INS",'Writing Logic'!$B$7,IF(INDEX(_xlfn.VSTACK(YES_Writing_ELA[#Data],YES_Writing_FLA[#Data]),MATCH($A110,_xlfn.VSTACK(YES_Writing_ELA[Student Number],YES_Writing_FLA[Student Number]),0),MATCH(VLOOKUP(G$7,'Writing Logic'!$J$7:$K$11,2,FALSE)&amp;" - Per "&amp;VLOOKUP($C$4,'Writing Logic'!$G$8:$H$14,2,FALSE),YES_Writing_ELA[#Headers],0))=0,"",INDEX(_xlfn.VSTACK(YES_Writing_ELA[#Data],YES_Writing_FLA[#Data]),MATCH($A110,_xlfn.VSTACK(YES_Writing_ELA[Student Number],YES_Writing_FLA[Student Number]),0),MATCH(VLOOKUP(G$7,'Writing Logic'!$J$7:$K$11,2,FALSE)&amp;" - Per "&amp;VLOOKUP($C$4,'Writing Logic'!$G$8:$H$14,2,FALSE),YES_Writing_ELA[#Headers],0)))),"")</f>
        <v/>
      </c>
      <c r="H110" s="138" t="str">
        <f>IFERROR(IF(IF(INDEX(_xlfn.VSTACK(YES_Writing_ELA[#Data],YES_Writing_FLA[#Data]),MATCH($A110,_xlfn.VSTACK(YES_Writing_ELA[Student Number],YES_Writing_FLA[Student Number]),0),MATCH(VLOOKUP(H$7,'Writing Logic'!$J$7:$K$11,2,FALSE)&amp;" - Per "&amp;VLOOKUP($C$4,'Writing Logic'!$G$8:$H$14,2,FALSE),YES_Writing_ELA[#Headers],0))=0,"",INDEX(_xlfn.VSTACK(YES_Writing_ELA[#Data],YES_Writing_FLA[#Data]),MATCH($A110,_xlfn.VSTACK(YES_Writing_ELA[Student Number],YES_Writing_FLA[Student Number]),0),MATCH(VLOOKUP(H$7,'Writing Logic'!$J$7:$K$11,2,FALSE)&amp;" - Per "&amp;VLOOKUP($C$4,'Writing Logic'!$G$8:$H$14,2,FALSE),YES_Writing_ELA[#Headers],0)))="INS",'Writing Logic'!$B$7,IF(INDEX(_xlfn.VSTACK(YES_Writing_ELA[#Data],YES_Writing_FLA[#Data]),MATCH($A110,_xlfn.VSTACK(YES_Writing_ELA[Student Number],YES_Writing_FLA[Student Number]),0),MATCH(VLOOKUP(H$7,'Writing Logic'!$J$7:$K$11,2,FALSE)&amp;" - Per "&amp;VLOOKUP($C$4,'Writing Logic'!$G$8:$H$14,2,FALSE),YES_Writing_ELA[#Headers],0))=0,"",INDEX(_xlfn.VSTACK(YES_Writing_ELA[#Data],YES_Writing_FLA[#Data]),MATCH($A110,_xlfn.VSTACK(YES_Writing_ELA[Student Number],YES_Writing_FLA[Student Number]),0),MATCH(VLOOKUP(H$7,'Writing Logic'!$J$7:$K$11,2,FALSE)&amp;" - Per "&amp;VLOOKUP($C$4,'Writing Logic'!$G$8:$H$14,2,FALSE),YES_Writing_ELA[#Headers],0)))),"")</f>
        <v/>
      </c>
    </row>
    <row r="111" spans="1:8" ht="14.25" customHeight="1" x14ac:dyDescent="0.25">
      <c r="A111" s="137"/>
      <c r="B111" s="137" t="str">
        <f>IFERROR(INDEX(_xlfn.VSTACK(YES_Writing_ELA[#Data], YES_Writing_FLA[#Data]),MATCH($A111,_xlfn.VSTACK(YES_Writing_ELA[Student Number], YES_Writing_FLA[Student Number]),0),MATCH(B$7,YES_Writing_ELA[#Headers],0)),"")</f>
        <v/>
      </c>
      <c r="C111" s="137" t="str">
        <f>IFERROR(INDEX(_xlfn.VSTACK(YES_Writing_ELA[#Data], YES_Writing_FLA[#Data]),MATCH($A111,_xlfn.VSTACK(YES_Writing_ELA[Student Number], YES_Writing_FLA[Student Number]),0),MATCH(C$7,YES_Writing_ELA[#Headers],0)),"")</f>
        <v/>
      </c>
      <c r="D111" s="138" t="str">
        <f>IFERROR(IF(IF(INDEX(_xlfn.VSTACK(YES_Writing_ELA[#Data],YES_Writing_FLA[#Data]),MATCH($A111,_xlfn.VSTACK(YES_Writing_ELA[Student Number],YES_Writing_FLA[Student Number]),0),MATCH(VLOOKUP(D$7,'Writing Logic'!$J$7:$K$11,2,FALSE)&amp;" - Per "&amp;VLOOKUP($C$4,'Writing Logic'!$G$8:$H$14,2,FALSE),YES_Writing_ELA[#Headers],0))=0,"",INDEX(_xlfn.VSTACK(YES_Writing_ELA[#Data],YES_Writing_FLA[#Data]),MATCH($A111,_xlfn.VSTACK(YES_Writing_ELA[Student Number],YES_Writing_FLA[Student Number]),0),MATCH(VLOOKUP(D$7,'Writing Logic'!$J$7:$K$11,2,FALSE)&amp;" - Per "&amp;VLOOKUP($C$4,'Writing Logic'!$G$8:$H$14,2,FALSE),YES_Writing_ELA[#Headers],0)))="INS",'Writing Logic'!$B$7,IF(INDEX(_xlfn.VSTACK(YES_Writing_ELA[#Data],YES_Writing_FLA[#Data]),MATCH($A111,_xlfn.VSTACK(YES_Writing_ELA[Student Number],YES_Writing_FLA[Student Number]),0),MATCH(VLOOKUP(D$7,'Writing Logic'!$J$7:$K$11,2,FALSE)&amp;" - Per "&amp;VLOOKUP($C$4,'Writing Logic'!$G$8:$H$14,2,FALSE),YES_Writing_ELA[#Headers],0))=0,"",INDEX(_xlfn.VSTACK(YES_Writing_ELA[#Data],YES_Writing_FLA[#Data]),MATCH($A111,_xlfn.VSTACK(YES_Writing_ELA[Student Number],YES_Writing_FLA[Student Number]),0),MATCH(VLOOKUP(D$7,'Writing Logic'!$J$7:$K$11,2,FALSE)&amp;" - Per "&amp;VLOOKUP($C$4,'Writing Logic'!$G$8:$H$14,2,FALSE),YES_Writing_ELA[#Headers],0)))),"")</f>
        <v/>
      </c>
      <c r="E111" s="138" t="str">
        <f>IFERROR(IF(IF(INDEX(_xlfn.VSTACK(YES_Writing_ELA[#Data],YES_Writing_FLA[#Data]),MATCH($A111,_xlfn.VSTACK(YES_Writing_ELA[Student Number],YES_Writing_FLA[Student Number]),0),MATCH(VLOOKUP(E$7,'Writing Logic'!$J$7:$K$11,2,FALSE)&amp;" - Per "&amp;VLOOKUP($C$4,'Writing Logic'!$G$8:$H$14,2,FALSE),YES_Writing_ELA[#Headers],0))=0,"",INDEX(_xlfn.VSTACK(YES_Writing_ELA[#Data],YES_Writing_FLA[#Data]),MATCH($A111,_xlfn.VSTACK(YES_Writing_ELA[Student Number],YES_Writing_FLA[Student Number]),0),MATCH(VLOOKUP(E$7,'Writing Logic'!$J$7:$K$11,2,FALSE)&amp;" - Per "&amp;VLOOKUP($C$4,'Writing Logic'!$G$8:$H$14,2,FALSE),YES_Writing_ELA[#Headers],0)))="INS",'Writing Logic'!$B$7,IF(INDEX(_xlfn.VSTACK(YES_Writing_ELA[#Data],YES_Writing_FLA[#Data]),MATCH($A111,_xlfn.VSTACK(YES_Writing_ELA[Student Number],YES_Writing_FLA[Student Number]),0),MATCH(VLOOKUP(E$7,'Writing Logic'!$J$7:$K$11,2,FALSE)&amp;" - Per "&amp;VLOOKUP($C$4,'Writing Logic'!$G$8:$H$14,2,FALSE),YES_Writing_ELA[#Headers],0))=0,"",INDEX(_xlfn.VSTACK(YES_Writing_ELA[#Data],YES_Writing_FLA[#Data]),MATCH($A111,_xlfn.VSTACK(YES_Writing_ELA[Student Number],YES_Writing_FLA[Student Number]),0),MATCH(VLOOKUP(E$7,'Writing Logic'!$J$7:$K$11,2,FALSE)&amp;" - Per "&amp;VLOOKUP($C$4,'Writing Logic'!$G$8:$H$14,2,FALSE),YES_Writing_ELA[#Headers],0)))),"")</f>
        <v/>
      </c>
      <c r="F111" s="138" t="str">
        <f>IFERROR(IF(IF(INDEX(_xlfn.VSTACK(YES_Writing_ELA[#Data],YES_Writing_FLA[#Data]),MATCH($A111,_xlfn.VSTACK(YES_Writing_ELA[Student Number],YES_Writing_FLA[Student Number]),0),MATCH(VLOOKUP(F$7,'Writing Logic'!$J$7:$K$11,2,FALSE)&amp;" - Per "&amp;VLOOKUP($C$4,'Writing Logic'!$G$8:$H$14,2,FALSE),YES_Writing_ELA[#Headers],0))=0,"",INDEX(_xlfn.VSTACK(YES_Writing_ELA[#Data],YES_Writing_FLA[#Data]),MATCH($A111,_xlfn.VSTACK(YES_Writing_ELA[Student Number],YES_Writing_FLA[Student Number]),0),MATCH(VLOOKUP(F$7,'Writing Logic'!$J$7:$K$11,2,FALSE)&amp;" - Per "&amp;VLOOKUP($C$4,'Writing Logic'!$G$8:$H$14,2,FALSE),YES_Writing_ELA[#Headers],0)))="INS",'Writing Logic'!$B$7,IF(INDEX(_xlfn.VSTACK(YES_Writing_ELA[#Data],YES_Writing_FLA[#Data]),MATCH($A111,_xlfn.VSTACK(YES_Writing_ELA[Student Number],YES_Writing_FLA[Student Number]),0),MATCH(VLOOKUP(F$7,'Writing Logic'!$J$7:$K$11,2,FALSE)&amp;" - Per "&amp;VLOOKUP($C$4,'Writing Logic'!$G$8:$H$14,2,FALSE),YES_Writing_ELA[#Headers],0))=0,"",INDEX(_xlfn.VSTACK(YES_Writing_ELA[#Data],YES_Writing_FLA[#Data]),MATCH($A111,_xlfn.VSTACK(YES_Writing_ELA[Student Number],YES_Writing_FLA[Student Number]),0),MATCH(VLOOKUP(F$7,'Writing Logic'!$J$7:$K$11,2,FALSE)&amp;" - Per "&amp;VLOOKUP($C$4,'Writing Logic'!$G$8:$H$14,2,FALSE),YES_Writing_ELA[#Headers],0)))),"")</f>
        <v/>
      </c>
      <c r="G111" s="138" t="str">
        <f>IFERROR(IF(IF(INDEX(_xlfn.VSTACK(YES_Writing_ELA[#Data],YES_Writing_FLA[#Data]),MATCH($A111,_xlfn.VSTACK(YES_Writing_ELA[Student Number],YES_Writing_FLA[Student Number]),0),MATCH(VLOOKUP(G$7,'Writing Logic'!$J$7:$K$11,2,FALSE)&amp;" - Per "&amp;VLOOKUP($C$4,'Writing Logic'!$G$8:$H$14,2,FALSE),YES_Writing_ELA[#Headers],0))=0,"",INDEX(_xlfn.VSTACK(YES_Writing_ELA[#Data],YES_Writing_FLA[#Data]),MATCH($A111,_xlfn.VSTACK(YES_Writing_ELA[Student Number],YES_Writing_FLA[Student Number]),0),MATCH(VLOOKUP(G$7,'Writing Logic'!$J$7:$K$11,2,FALSE)&amp;" - Per "&amp;VLOOKUP($C$4,'Writing Logic'!$G$8:$H$14,2,FALSE),YES_Writing_ELA[#Headers],0)))="INS",'Writing Logic'!$B$7,IF(INDEX(_xlfn.VSTACK(YES_Writing_ELA[#Data],YES_Writing_FLA[#Data]),MATCH($A111,_xlfn.VSTACK(YES_Writing_ELA[Student Number],YES_Writing_FLA[Student Number]),0),MATCH(VLOOKUP(G$7,'Writing Logic'!$J$7:$K$11,2,FALSE)&amp;" - Per "&amp;VLOOKUP($C$4,'Writing Logic'!$G$8:$H$14,2,FALSE),YES_Writing_ELA[#Headers],0))=0,"",INDEX(_xlfn.VSTACK(YES_Writing_ELA[#Data],YES_Writing_FLA[#Data]),MATCH($A111,_xlfn.VSTACK(YES_Writing_ELA[Student Number],YES_Writing_FLA[Student Number]),0),MATCH(VLOOKUP(G$7,'Writing Logic'!$J$7:$K$11,2,FALSE)&amp;" - Per "&amp;VLOOKUP($C$4,'Writing Logic'!$G$8:$H$14,2,FALSE),YES_Writing_ELA[#Headers],0)))),"")</f>
        <v/>
      </c>
      <c r="H111" s="138" t="str">
        <f>IFERROR(IF(IF(INDEX(_xlfn.VSTACK(YES_Writing_ELA[#Data],YES_Writing_FLA[#Data]),MATCH($A111,_xlfn.VSTACK(YES_Writing_ELA[Student Number],YES_Writing_FLA[Student Number]),0),MATCH(VLOOKUP(H$7,'Writing Logic'!$J$7:$K$11,2,FALSE)&amp;" - Per "&amp;VLOOKUP($C$4,'Writing Logic'!$G$8:$H$14,2,FALSE),YES_Writing_ELA[#Headers],0))=0,"",INDEX(_xlfn.VSTACK(YES_Writing_ELA[#Data],YES_Writing_FLA[#Data]),MATCH($A111,_xlfn.VSTACK(YES_Writing_ELA[Student Number],YES_Writing_FLA[Student Number]),0),MATCH(VLOOKUP(H$7,'Writing Logic'!$J$7:$K$11,2,FALSE)&amp;" - Per "&amp;VLOOKUP($C$4,'Writing Logic'!$G$8:$H$14,2,FALSE),YES_Writing_ELA[#Headers],0)))="INS",'Writing Logic'!$B$7,IF(INDEX(_xlfn.VSTACK(YES_Writing_ELA[#Data],YES_Writing_FLA[#Data]),MATCH($A111,_xlfn.VSTACK(YES_Writing_ELA[Student Number],YES_Writing_FLA[Student Number]),0),MATCH(VLOOKUP(H$7,'Writing Logic'!$J$7:$K$11,2,FALSE)&amp;" - Per "&amp;VLOOKUP($C$4,'Writing Logic'!$G$8:$H$14,2,FALSE),YES_Writing_ELA[#Headers],0))=0,"",INDEX(_xlfn.VSTACK(YES_Writing_ELA[#Data],YES_Writing_FLA[#Data]),MATCH($A111,_xlfn.VSTACK(YES_Writing_ELA[Student Number],YES_Writing_FLA[Student Number]),0),MATCH(VLOOKUP(H$7,'Writing Logic'!$J$7:$K$11,2,FALSE)&amp;" - Per "&amp;VLOOKUP($C$4,'Writing Logic'!$G$8:$H$14,2,FALSE),YES_Writing_ELA[#Headers],0)))),"")</f>
        <v/>
      </c>
    </row>
    <row r="112" spans="1:8" ht="14.25" customHeight="1" x14ac:dyDescent="0.25">
      <c r="A112" s="137"/>
      <c r="B112" s="137" t="str">
        <f>IFERROR(INDEX(_xlfn.VSTACK(YES_Writing_ELA[#Data], YES_Writing_FLA[#Data]),MATCH($A112,_xlfn.VSTACK(YES_Writing_ELA[Student Number], YES_Writing_FLA[Student Number]),0),MATCH(B$7,YES_Writing_ELA[#Headers],0)),"")</f>
        <v/>
      </c>
      <c r="C112" s="137" t="str">
        <f>IFERROR(INDEX(_xlfn.VSTACK(YES_Writing_ELA[#Data], YES_Writing_FLA[#Data]),MATCH($A112,_xlfn.VSTACK(YES_Writing_ELA[Student Number], YES_Writing_FLA[Student Number]),0),MATCH(C$7,YES_Writing_ELA[#Headers],0)),"")</f>
        <v/>
      </c>
      <c r="D112" s="138" t="str">
        <f>IFERROR(IF(IF(INDEX(_xlfn.VSTACK(YES_Writing_ELA[#Data],YES_Writing_FLA[#Data]),MATCH($A112,_xlfn.VSTACK(YES_Writing_ELA[Student Number],YES_Writing_FLA[Student Number]),0),MATCH(VLOOKUP(D$7,'Writing Logic'!$J$7:$K$11,2,FALSE)&amp;" - Per "&amp;VLOOKUP($C$4,'Writing Logic'!$G$8:$H$14,2,FALSE),YES_Writing_ELA[#Headers],0))=0,"",INDEX(_xlfn.VSTACK(YES_Writing_ELA[#Data],YES_Writing_FLA[#Data]),MATCH($A112,_xlfn.VSTACK(YES_Writing_ELA[Student Number],YES_Writing_FLA[Student Number]),0),MATCH(VLOOKUP(D$7,'Writing Logic'!$J$7:$K$11,2,FALSE)&amp;" - Per "&amp;VLOOKUP($C$4,'Writing Logic'!$G$8:$H$14,2,FALSE),YES_Writing_ELA[#Headers],0)))="INS",'Writing Logic'!$B$7,IF(INDEX(_xlfn.VSTACK(YES_Writing_ELA[#Data],YES_Writing_FLA[#Data]),MATCH($A112,_xlfn.VSTACK(YES_Writing_ELA[Student Number],YES_Writing_FLA[Student Number]),0),MATCH(VLOOKUP(D$7,'Writing Logic'!$J$7:$K$11,2,FALSE)&amp;" - Per "&amp;VLOOKUP($C$4,'Writing Logic'!$G$8:$H$14,2,FALSE),YES_Writing_ELA[#Headers],0))=0,"",INDEX(_xlfn.VSTACK(YES_Writing_ELA[#Data],YES_Writing_FLA[#Data]),MATCH($A112,_xlfn.VSTACK(YES_Writing_ELA[Student Number],YES_Writing_FLA[Student Number]),0),MATCH(VLOOKUP(D$7,'Writing Logic'!$J$7:$K$11,2,FALSE)&amp;" - Per "&amp;VLOOKUP($C$4,'Writing Logic'!$G$8:$H$14,2,FALSE),YES_Writing_ELA[#Headers],0)))),"")</f>
        <v/>
      </c>
      <c r="E112" s="138" t="str">
        <f>IFERROR(IF(IF(INDEX(_xlfn.VSTACK(YES_Writing_ELA[#Data],YES_Writing_FLA[#Data]),MATCH($A112,_xlfn.VSTACK(YES_Writing_ELA[Student Number],YES_Writing_FLA[Student Number]),0),MATCH(VLOOKUP(E$7,'Writing Logic'!$J$7:$K$11,2,FALSE)&amp;" - Per "&amp;VLOOKUP($C$4,'Writing Logic'!$G$8:$H$14,2,FALSE),YES_Writing_ELA[#Headers],0))=0,"",INDEX(_xlfn.VSTACK(YES_Writing_ELA[#Data],YES_Writing_FLA[#Data]),MATCH($A112,_xlfn.VSTACK(YES_Writing_ELA[Student Number],YES_Writing_FLA[Student Number]),0),MATCH(VLOOKUP(E$7,'Writing Logic'!$J$7:$K$11,2,FALSE)&amp;" - Per "&amp;VLOOKUP($C$4,'Writing Logic'!$G$8:$H$14,2,FALSE),YES_Writing_ELA[#Headers],0)))="INS",'Writing Logic'!$B$7,IF(INDEX(_xlfn.VSTACK(YES_Writing_ELA[#Data],YES_Writing_FLA[#Data]),MATCH($A112,_xlfn.VSTACK(YES_Writing_ELA[Student Number],YES_Writing_FLA[Student Number]),0),MATCH(VLOOKUP(E$7,'Writing Logic'!$J$7:$K$11,2,FALSE)&amp;" - Per "&amp;VLOOKUP($C$4,'Writing Logic'!$G$8:$H$14,2,FALSE),YES_Writing_ELA[#Headers],0))=0,"",INDEX(_xlfn.VSTACK(YES_Writing_ELA[#Data],YES_Writing_FLA[#Data]),MATCH($A112,_xlfn.VSTACK(YES_Writing_ELA[Student Number],YES_Writing_FLA[Student Number]),0),MATCH(VLOOKUP(E$7,'Writing Logic'!$J$7:$K$11,2,FALSE)&amp;" - Per "&amp;VLOOKUP($C$4,'Writing Logic'!$G$8:$H$14,2,FALSE),YES_Writing_ELA[#Headers],0)))),"")</f>
        <v/>
      </c>
      <c r="F112" s="138" t="str">
        <f>IFERROR(IF(IF(INDEX(_xlfn.VSTACK(YES_Writing_ELA[#Data],YES_Writing_FLA[#Data]),MATCH($A112,_xlfn.VSTACK(YES_Writing_ELA[Student Number],YES_Writing_FLA[Student Number]),0),MATCH(VLOOKUP(F$7,'Writing Logic'!$J$7:$K$11,2,FALSE)&amp;" - Per "&amp;VLOOKUP($C$4,'Writing Logic'!$G$8:$H$14,2,FALSE),YES_Writing_ELA[#Headers],0))=0,"",INDEX(_xlfn.VSTACK(YES_Writing_ELA[#Data],YES_Writing_FLA[#Data]),MATCH($A112,_xlfn.VSTACK(YES_Writing_ELA[Student Number],YES_Writing_FLA[Student Number]),0),MATCH(VLOOKUP(F$7,'Writing Logic'!$J$7:$K$11,2,FALSE)&amp;" - Per "&amp;VLOOKUP($C$4,'Writing Logic'!$G$8:$H$14,2,FALSE),YES_Writing_ELA[#Headers],0)))="INS",'Writing Logic'!$B$7,IF(INDEX(_xlfn.VSTACK(YES_Writing_ELA[#Data],YES_Writing_FLA[#Data]),MATCH($A112,_xlfn.VSTACK(YES_Writing_ELA[Student Number],YES_Writing_FLA[Student Number]),0),MATCH(VLOOKUP(F$7,'Writing Logic'!$J$7:$K$11,2,FALSE)&amp;" - Per "&amp;VLOOKUP($C$4,'Writing Logic'!$G$8:$H$14,2,FALSE),YES_Writing_ELA[#Headers],0))=0,"",INDEX(_xlfn.VSTACK(YES_Writing_ELA[#Data],YES_Writing_FLA[#Data]),MATCH($A112,_xlfn.VSTACK(YES_Writing_ELA[Student Number],YES_Writing_FLA[Student Number]),0),MATCH(VLOOKUP(F$7,'Writing Logic'!$J$7:$K$11,2,FALSE)&amp;" - Per "&amp;VLOOKUP($C$4,'Writing Logic'!$G$8:$H$14,2,FALSE),YES_Writing_ELA[#Headers],0)))),"")</f>
        <v/>
      </c>
      <c r="G112" s="138" t="str">
        <f>IFERROR(IF(IF(INDEX(_xlfn.VSTACK(YES_Writing_ELA[#Data],YES_Writing_FLA[#Data]),MATCH($A112,_xlfn.VSTACK(YES_Writing_ELA[Student Number],YES_Writing_FLA[Student Number]),0),MATCH(VLOOKUP(G$7,'Writing Logic'!$J$7:$K$11,2,FALSE)&amp;" - Per "&amp;VLOOKUP($C$4,'Writing Logic'!$G$8:$H$14,2,FALSE),YES_Writing_ELA[#Headers],0))=0,"",INDEX(_xlfn.VSTACK(YES_Writing_ELA[#Data],YES_Writing_FLA[#Data]),MATCH($A112,_xlfn.VSTACK(YES_Writing_ELA[Student Number],YES_Writing_FLA[Student Number]),0),MATCH(VLOOKUP(G$7,'Writing Logic'!$J$7:$K$11,2,FALSE)&amp;" - Per "&amp;VLOOKUP($C$4,'Writing Logic'!$G$8:$H$14,2,FALSE),YES_Writing_ELA[#Headers],0)))="INS",'Writing Logic'!$B$7,IF(INDEX(_xlfn.VSTACK(YES_Writing_ELA[#Data],YES_Writing_FLA[#Data]),MATCH($A112,_xlfn.VSTACK(YES_Writing_ELA[Student Number],YES_Writing_FLA[Student Number]),0),MATCH(VLOOKUP(G$7,'Writing Logic'!$J$7:$K$11,2,FALSE)&amp;" - Per "&amp;VLOOKUP($C$4,'Writing Logic'!$G$8:$H$14,2,FALSE),YES_Writing_ELA[#Headers],0))=0,"",INDEX(_xlfn.VSTACK(YES_Writing_ELA[#Data],YES_Writing_FLA[#Data]),MATCH($A112,_xlfn.VSTACK(YES_Writing_ELA[Student Number],YES_Writing_FLA[Student Number]),0),MATCH(VLOOKUP(G$7,'Writing Logic'!$J$7:$K$11,2,FALSE)&amp;" - Per "&amp;VLOOKUP($C$4,'Writing Logic'!$G$8:$H$14,2,FALSE),YES_Writing_ELA[#Headers],0)))),"")</f>
        <v/>
      </c>
      <c r="H112" s="138" t="str">
        <f>IFERROR(IF(IF(INDEX(_xlfn.VSTACK(YES_Writing_ELA[#Data],YES_Writing_FLA[#Data]),MATCH($A112,_xlfn.VSTACK(YES_Writing_ELA[Student Number],YES_Writing_FLA[Student Number]),0),MATCH(VLOOKUP(H$7,'Writing Logic'!$J$7:$K$11,2,FALSE)&amp;" - Per "&amp;VLOOKUP($C$4,'Writing Logic'!$G$8:$H$14,2,FALSE),YES_Writing_ELA[#Headers],0))=0,"",INDEX(_xlfn.VSTACK(YES_Writing_ELA[#Data],YES_Writing_FLA[#Data]),MATCH($A112,_xlfn.VSTACK(YES_Writing_ELA[Student Number],YES_Writing_FLA[Student Number]),0),MATCH(VLOOKUP(H$7,'Writing Logic'!$J$7:$K$11,2,FALSE)&amp;" - Per "&amp;VLOOKUP($C$4,'Writing Logic'!$G$8:$H$14,2,FALSE),YES_Writing_ELA[#Headers],0)))="INS",'Writing Logic'!$B$7,IF(INDEX(_xlfn.VSTACK(YES_Writing_ELA[#Data],YES_Writing_FLA[#Data]),MATCH($A112,_xlfn.VSTACK(YES_Writing_ELA[Student Number],YES_Writing_FLA[Student Number]),0),MATCH(VLOOKUP(H$7,'Writing Logic'!$J$7:$K$11,2,FALSE)&amp;" - Per "&amp;VLOOKUP($C$4,'Writing Logic'!$G$8:$H$14,2,FALSE),YES_Writing_ELA[#Headers],0))=0,"",INDEX(_xlfn.VSTACK(YES_Writing_ELA[#Data],YES_Writing_FLA[#Data]),MATCH($A112,_xlfn.VSTACK(YES_Writing_ELA[Student Number],YES_Writing_FLA[Student Number]),0),MATCH(VLOOKUP(H$7,'Writing Logic'!$J$7:$K$11,2,FALSE)&amp;" - Per "&amp;VLOOKUP($C$4,'Writing Logic'!$G$8:$H$14,2,FALSE),YES_Writing_ELA[#Headers],0)))),"")</f>
        <v/>
      </c>
    </row>
    <row r="113" spans="1:8" ht="14.25" customHeight="1" x14ac:dyDescent="0.25">
      <c r="A113" s="137"/>
      <c r="B113" s="137" t="str">
        <f>IFERROR(INDEX(_xlfn.VSTACK(YES_Writing_ELA[#Data], YES_Writing_FLA[#Data]),MATCH($A113,_xlfn.VSTACK(YES_Writing_ELA[Student Number], YES_Writing_FLA[Student Number]),0),MATCH(B$7,YES_Writing_ELA[#Headers],0)),"")</f>
        <v/>
      </c>
      <c r="C113" s="137" t="str">
        <f>IFERROR(INDEX(_xlfn.VSTACK(YES_Writing_ELA[#Data], YES_Writing_FLA[#Data]),MATCH($A113,_xlfn.VSTACK(YES_Writing_ELA[Student Number], YES_Writing_FLA[Student Number]),0),MATCH(C$7,YES_Writing_ELA[#Headers],0)),"")</f>
        <v/>
      </c>
      <c r="D113" s="138" t="str">
        <f>IFERROR(IF(IF(INDEX(_xlfn.VSTACK(YES_Writing_ELA[#Data],YES_Writing_FLA[#Data]),MATCH($A113,_xlfn.VSTACK(YES_Writing_ELA[Student Number],YES_Writing_FLA[Student Number]),0),MATCH(VLOOKUP(D$7,'Writing Logic'!$J$7:$K$11,2,FALSE)&amp;" - Per "&amp;VLOOKUP($C$4,'Writing Logic'!$G$8:$H$14,2,FALSE),YES_Writing_ELA[#Headers],0))=0,"",INDEX(_xlfn.VSTACK(YES_Writing_ELA[#Data],YES_Writing_FLA[#Data]),MATCH($A113,_xlfn.VSTACK(YES_Writing_ELA[Student Number],YES_Writing_FLA[Student Number]),0),MATCH(VLOOKUP(D$7,'Writing Logic'!$J$7:$K$11,2,FALSE)&amp;" - Per "&amp;VLOOKUP($C$4,'Writing Logic'!$G$8:$H$14,2,FALSE),YES_Writing_ELA[#Headers],0)))="INS",'Writing Logic'!$B$7,IF(INDEX(_xlfn.VSTACK(YES_Writing_ELA[#Data],YES_Writing_FLA[#Data]),MATCH($A113,_xlfn.VSTACK(YES_Writing_ELA[Student Number],YES_Writing_FLA[Student Number]),0),MATCH(VLOOKUP(D$7,'Writing Logic'!$J$7:$K$11,2,FALSE)&amp;" - Per "&amp;VLOOKUP($C$4,'Writing Logic'!$G$8:$H$14,2,FALSE),YES_Writing_ELA[#Headers],0))=0,"",INDEX(_xlfn.VSTACK(YES_Writing_ELA[#Data],YES_Writing_FLA[#Data]),MATCH($A113,_xlfn.VSTACK(YES_Writing_ELA[Student Number],YES_Writing_FLA[Student Number]),0),MATCH(VLOOKUP(D$7,'Writing Logic'!$J$7:$K$11,2,FALSE)&amp;" - Per "&amp;VLOOKUP($C$4,'Writing Logic'!$G$8:$H$14,2,FALSE),YES_Writing_ELA[#Headers],0)))),"")</f>
        <v/>
      </c>
      <c r="E113" s="138" t="str">
        <f>IFERROR(IF(IF(INDEX(_xlfn.VSTACK(YES_Writing_ELA[#Data],YES_Writing_FLA[#Data]),MATCH($A113,_xlfn.VSTACK(YES_Writing_ELA[Student Number],YES_Writing_FLA[Student Number]),0),MATCH(VLOOKUP(E$7,'Writing Logic'!$J$7:$K$11,2,FALSE)&amp;" - Per "&amp;VLOOKUP($C$4,'Writing Logic'!$G$8:$H$14,2,FALSE),YES_Writing_ELA[#Headers],0))=0,"",INDEX(_xlfn.VSTACK(YES_Writing_ELA[#Data],YES_Writing_FLA[#Data]),MATCH($A113,_xlfn.VSTACK(YES_Writing_ELA[Student Number],YES_Writing_FLA[Student Number]),0),MATCH(VLOOKUP(E$7,'Writing Logic'!$J$7:$K$11,2,FALSE)&amp;" - Per "&amp;VLOOKUP($C$4,'Writing Logic'!$G$8:$H$14,2,FALSE),YES_Writing_ELA[#Headers],0)))="INS",'Writing Logic'!$B$7,IF(INDEX(_xlfn.VSTACK(YES_Writing_ELA[#Data],YES_Writing_FLA[#Data]),MATCH($A113,_xlfn.VSTACK(YES_Writing_ELA[Student Number],YES_Writing_FLA[Student Number]),0),MATCH(VLOOKUP(E$7,'Writing Logic'!$J$7:$K$11,2,FALSE)&amp;" - Per "&amp;VLOOKUP($C$4,'Writing Logic'!$G$8:$H$14,2,FALSE),YES_Writing_ELA[#Headers],0))=0,"",INDEX(_xlfn.VSTACK(YES_Writing_ELA[#Data],YES_Writing_FLA[#Data]),MATCH($A113,_xlfn.VSTACK(YES_Writing_ELA[Student Number],YES_Writing_FLA[Student Number]),0),MATCH(VLOOKUP(E$7,'Writing Logic'!$J$7:$K$11,2,FALSE)&amp;" - Per "&amp;VLOOKUP($C$4,'Writing Logic'!$G$8:$H$14,2,FALSE),YES_Writing_ELA[#Headers],0)))),"")</f>
        <v/>
      </c>
      <c r="F113" s="138" t="str">
        <f>IFERROR(IF(IF(INDEX(_xlfn.VSTACK(YES_Writing_ELA[#Data],YES_Writing_FLA[#Data]),MATCH($A113,_xlfn.VSTACK(YES_Writing_ELA[Student Number],YES_Writing_FLA[Student Number]),0),MATCH(VLOOKUP(F$7,'Writing Logic'!$J$7:$K$11,2,FALSE)&amp;" - Per "&amp;VLOOKUP($C$4,'Writing Logic'!$G$8:$H$14,2,FALSE),YES_Writing_ELA[#Headers],0))=0,"",INDEX(_xlfn.VSTACK(YES_Writing_ELA[#Data],YES_Writing_FLA[#Data]),MATCH($A113,_xlfn.VSTACK(YES_Writing_ELA[Student Number],YES_Writing_FLA[Student Number]),0),MATCH(VLOOKUP(F$7,'Writing Logic'!$J$7:$K$11,2,FALSE)&amp;" - Per "&amp;VLOOKUP($C$4,'Writing Logic'!$G$8:$H$14,2,FALSE),YES_Writing_ELA[#Headers],0)))="INS",'Writing Logic'!$B$7,IF(INDEX(_xlfn.VSTACK(YES_Writing_ELA[#Data],YES_Writing_FLA[#Data]),MATCH($A113,_xlfn.VSTACK(YES_Writing_ELA[Student Number],YES_Writing_FLA[Student Number]),0),MATCH(VLOOKUP(F$7,'Writing Logic'!$J$7:$K$11,2,FALSE)&amp;" - Per "&amp;VLOOKUP($C$4,'Writing Logic'!$G$8:$H$14,2,FALSE),YES_Writing_ELA[#Headers],0))=0,"",INDEX(_xlfn.VSTACK(YES_Writing_ELA[#Data],YES_Writing_FLA[#Data]),MATCH($A113,_xlfn.VSTACK(YES_Writing_ELA[Student Number],YES_Writing_FLA[Student Number]),0),MATCH(VLOOKUP(F$7,'Writing Logic'!$J$7:$K$11,2,FALSE)&amp;" - Per "&amp;VLOOKUP($C$4,'Writing Logic'!$G$8:$H$14,2,FALSE),YES_Writing_ELA[#Headers],0)))),"")</f>
        <v/>
      </c>
      <c r="G113" s="138" t="str">
        <f>IFERROR(IF(IF(INDEX(_xlfn.VSTACK(YES_Writing_ELA[#Data],YES_Writing_FLA[#Data]),MATCH($A113,_xlfn.VSTACK(YES_Writing_ELA[Student Number],YES_Writing_FLA[Student Number]),0),MATCH(VLOOKUP(G$7,'Writing Logic'!$J$7:$K$11,2,FALSE)&amp;" - Per "&amp;VLOOKUP($C$4,'Writing Logic'!$G$8:$H$14,2,FALSE),YES_Writing_ELA[#Headers],0))=0,"",INDEX(_xlfn.VSTACK(YES_Writing_ELA[#Data],YES_Writing_FLA[#Data]),MATCH($A113,_xlfn.VSTACK(YES_Writing_ELA[Student Number],YES_Writing_FLA[Student Number]),0),MATCH(VLOOKUP(G$7,'Writing Logic'!$J$7:$K$11,2,FALSE)&amp;" - Per "&amp;VLOOKUP($C$4,'Writing Logic'!$G$8:$H$14,2,FALSE),YES_Writing_ELA[#Headers],0)))="INS",'Writing Logic'!$B$7,IF(INDEX(_xlfn.VSTACK(YES_Writing_ELA[#Data],YES_Writing_FLA[#Data]),MATCH($A113,_xlfn.VSTACK(YES_Writing_ELA[Student Number],YES_Writing_FLA[Student Number]),0),MATCH(VLOOKUP(G$7,'Writing Logic'!$J$7:$K$11,2,FALSE)&amp;" - Per "&amp;VLOOKUP($C$4,'Writing Logic'!$G$8:$H$14,2,FALSE),YES_Writing_ELA[#Headers],0))=0,"",INDEX(_xlfn.VSTACK(YES_Writing_ELA[#Data],YES_Writing_FLA[#Data]),MATCH($A113,_xlfn.VSTACK(YES_Writing_ELA[Student Number],YES_Writing_FLA[Student Number]),0),MATCH(VLOOKUP(G$7,'Writing Logic'!$J$7:$K$11,2,FALSE)&amp;" - Per "&amp;VLOOKUP($C$4,'Writing Logic'!$G$8:$H$14,2,FALSE),YES_Writing_ELA[#Headers],0)))),"")</f>
        <v/>
      </c>
      <c r="H113" s="138" t="str">
        <f>IFERROR(IF(IF(INDEX(_xlfn.VSTACK(YES_Writing_ELA[#Data],YES_Writing_FLA[#Data]),MATCH($A113,_xlfn.VSTACK(YES_Writing_ELA[Student Number],YES_Writing_FLA[Student Number]),0),MATCH(VLOOKUP(H$7,'Writing Logic'!$J$7:$K$11,2,FALSE)&amp;" - Per "&amp;VLOOKUP($C$4,'Writing Logic'!$G$8:$H$14,2,FALSE),YES_Writing_ELA[#Headers],0))=0,"",INDEX(_xlfn.VSTACK(YES_Writing_ELA[#Data],YES_Writing_FLA[#Data]),MATCH($A113,_xlfn.VSTACK(YES_Writing_ELA[Student Number],YES_Writing_FLA[Student Number]),0),MATCH(VLOOKUP(H$7,'Writing Logic'!$J$7:$K$11,2,FALSE)&amp;" - Per "&amp;VLOOKUP($C$4,'Writing Logic'!$G$8:$H$14,2,FALSE),YES_Writing_ELA[#Headers],0)))="INS",'Writing Logic'!$B$7,IF(INDEX(_xlfn.VSTACK(YES_Writing_ELA[#Data],YES_Writing_FLA[#Data]),MATCH($A113,_xlfn.VSTACK(YES_Writing_ELA[Student Number],YES_Writing_FLA[Student Number]),0),MATCH(VLOOKUP(H$7,'Writing Logic'!$J$7:$K$11,2,FALSE)&amp;" - Per "&amp;VLOOKUP($C$4,'Writing Logic'!$G$8:$H$14,2,FALSE),YES_Writing_ELA[#Headers],0))=0,"",INDEX(_xlfn.VSTACK(YES_Writing_ELA[#Data],YES_Writing_FLA[#Data]),MATCH($A113,_xlfn.VSTACK(YES_Writing_ELA[Student Number],YES_Writing_FLA[Student Number]),0),MATCH(VLOOKUP(H$7,'Writing Logic'!$J$7:$K$11,2,FALSE)&amp;" - Per "&amp;VLOOKUP($C$4,'Writing Logic'!$G$8:$H$14,2,FALSE),YES_Writing_ELA[#Headers],0)))),"")</f>
        <v/>
      </c>
    </row>
    <row r="114" spans="1:8" ht="14.25" customHeight="1" x14ac:dyDescent="0.25">
      <c r="A114" s="137"/>
      <c r="B114" s="137" t="str">
        <f>IFERROR(INDEX(_xlfn.VSTACK(YES_Writing_ELA[#Data], YES_Writing_FLA[#Data]),MATCH($A114,_xlfn.VSTACK(YES_Writing_ELA[Student Number], YES_Writing_FLA[Student Number]),0),MATCH(B$7,YES_Writing_ELA[#Headers],0)),"")</f>
        <v/>
      </c>
      <c r="C114" s="137" t="str">
        <f>IFERROR(INDEX(_xlfn.VSTACK(YES_Writing_ELA[#Data], YES_Writing_FLA[#Data]),MATCH($A114,_xlfn.VSTACK(YES_Writing_ELA[Student Number], YES_Writing_FLA[Student Number]),0),MATCH(C$7,YES_Writing_ELA[#Headers],0)),"")</f>
        <v/>
      </c>
      <c r="D114" s="138" t="str">
        <f>IFERROR(IF(IF(INDEX(_xlfn.VSTACK(YES_Writing_ELA[#Data],YES_Writing_FLA[#Data]),MATCH($A114,_xlfn.VSTACK(YES_Writing_ELA[Student Number],YES_Writing_FLA[Student Number]),0),MATCH(VLOOKUP(D$7,'Writing Logic'!$J$7:$K$11,2,FALSE)&amp;" - Per "&amp;VLOOKUP($C$4,'Writing Logic'!$G$8:$H$14,2,FALSE),YES_Writing_ELA[#Headers],0))=0,"",INDEX(_xlfn.VSTACK(YES_Writing_ELA[#Data],YES_Writing_FLA[#Data]),MATCH($A114,_xlfn.VSTACK(YES_Writing_ELA[Student Number],YES_Writing_FLA[Student Number]),0),MATCH(VLOOKUP(D$7,'Writing Logic'!$J$7:$K$11,2,FALSE)&amp;" - Per "&amp;VLOOKUP($C$4,'Writing Logic'!$G$8:$H$14,2,FALSE),YES_Writing_ELA[#Headers],0)))="INS",'Writing Logic'!$B$7,IF(INDEX(_xlfn.VSTACK(YES_Writing_ELA[#Data],YES_Writing_FLA[#Data]),MATCH($A114,_xlfn.VSTACK(YES_Writing_ELA[Student Number],YES_Writing_FLA[Student Number]),0),MATCH(VLOOKUP(D$7,'Writing Logic'!$J$7:$K$11,2,FALSE)&amp;" - Per "&amp;VLOOKUP($C$4,'Writing Logic'!$G$8:$H$14,2,FALSE),YES_Writing_ELA[#Headers],0))=0,"",INDEX(_xlfn.VSTACK(YES_Writing_ELA[#Data],YES_Writing_FLA[#Data]),MATCH($A114,_xlfn.VSTACK(YES_Writing_ELA[Student Number],YES_Writing_FLA[Student Number]),0),MATCH(VLOOKUP(D$7,'Writing Logic'!$J$7:$K$11,2,FALSE)&amp;" - Per "&amp;VLOOKUP($C$4,'Writing Logic'!$G$8:$H$14,2,FALSE),YES_Writing_ELA[#Headers],0)))),"")</f>
        <v/>
      </c>
      <c r="E114" s="138" t="str">
        <f>IFERROR(IF(IF(INDEX(_xlfn.VSTACK(YES_Writing_ELA[#Data],YES_Writing_FLA[#Data]),MATCH($A114,_xlfn.VSTACK(YES_Writing_ELA[Student Number],YES_Writing_FLA[Student Number]),0),MATCH(VLOOKUP(E$7,'Writing Logic'!$J$7:$K$11,2,FALSE)&amp;" - Per "&amp;VLOOKUP($C$4,'Writing Logic'!$G$8:$H$14,2,FALSE),YES_Writing_ELA[#Headers],0))=0,"",INDEX(_xlfn.VSTACK(YES_Writing_ELA[#Data],YES_Writing_FLA[#Data]),MATCH($A114,_xlfn.VSTACK(YES_Writing_ELA[Student Number],YES_Writing_FLA[Student Number]),0),MATCH(VLOOKUP(E$7,'Writing Logic'!$J$7:$K$11,2,FALSE)&amp;" - Per "&amp;VLOOKUP($C$4,'Writing Logic'!$G$8:$H$14,2,FALSE),YES_Writing_ELA[#Headers],0)))="INS",'Writing Logic'!$B$7,IF(INDEX(_xlfn.VSTACK(YES_Writing_ELA[#Data],YES_Writing_FLA[#Data]),MATCH($A114,_xlfn.VSTACK(YES_Writing_ELA[Student Number],YES_Writing_FLA[Student Number]),0),MATCH(VLOOKUP(E$7,'Writing Logic'!$J$7:$K$11,2,FALSE)&amp;" - Per "&amp;VLOOKUP($C$4,'Writing Logic'!$G$8:$H$14,2,FALSE),YES_Writing_ELA[#Headers],0))=0,"",INDEX(_xlfn.VSTACK(YES_Writing_ELA[#Data],YES_Writing_FLA[#Data]),MATCH($A114,_xlfn.VSTACK(YES_Writing_ELA[Student Number],YES_Writing_FLA[Student Number]),0),MATCH(VLOOKUP(E$7,'Writing Logic'!$J$7:$K$11,2,FALSE)&amp;" - Per "&amp;VLOOKUP($C$4,'Writing Logic'!$G$8:$H$14,2,FALSE),YES_Writing_ELA[#Headers],0)))),"")</f>
        <v/>
      </c>
      <c r="F114" s="138" t="str">
        <f>IFERROR(IF(IF(INDEX(_xlfn.VSTACK(YES_Writing_ELA[#Data],YES_Writing_FLA[#Data]),MATCH($A114,_xlfn.VSTACK(YES_Writing_ELA[Student Number],YES_Writing_FLA[Student Number]),0),MATCH(VLOOKUP(F$7,'Writing Logic'!$J$7:$K$11,2,FALSE)&amp;" - Per "&amp;VLOOKUP($C$4,'Writing Logic'!$G$8:$H$14,2,FALSE),YES_Writing_ELA[#Headers],0))=0,"",INDEX(_xlfn.VSTACK(YES_Writing_ELA[#Data],YES_Writing_FLA[#Data]),MATCH($A114,_xlfn.VSTACK(YES_Writing_ELA[Student Number],YES_Writing_FLA[Student Number]),0),MATCH(VLOOKUP(F$7,'Writing Logic'!$J$7:$K$11,2,FALSE)&amp;" - Per "&amp;VLOOKUP($C$4,'Writing Logic'!$G$8:$H$14,2,FALSE),YES_Writing_ELA[#Headers],0)))="INS",'Writing Logic'!$B$7,IF(INDEX(_xlfn.VSTACK(YES_Writing_ELA[#Data],YES_Writing_FLA[#Data]),MATCH($A114,_xlfn.VSTACK(YES_Writing_ELA[Student Number],YES_Writing_FLA[Student Number]),0),MATCH(VLOOKUP(F$7,'Writing Logic'!$J$7:$K$11,2,FALSE)&amp;" - Per "&amp;VLOOKUP($C$4,'Writing Logic'!$G$8:$H$14,2,FALSE),YES_Writing_ELA[#Headers],0))=0,"",INDEX(_xlfn.VSTACK(YES_Writing_ELA[#Data],YES_Writing_FLA[#Data]),MATCH($A114,_xlfn.VSTACK(YES_Writing_ELA[Student Number],YES_Writing_FLA[Student Number]),0),MATCH(VLOOKUP(F$7,'Writing Logic'!$J$7:$K$11,2,FALSE)&amp;" - Per "&amp;VLOOKUP($C$4,'Writing Logic'!$G$8:$H$14,2,FALSE),YES_Writing_ELA[#Headers],0)))),"")</f>
        <v/>
      </c>
      <c r="G114" s="138" t="str">
        <f>IFERROR(IF(IF(INDEX(_xlfn.VSTACK(YES_Writing_ELA[#Data],YES_Writing_FLA[#Data]),MATCH($A114,_xlfn.VSTACK(YES_Writing_ELA[Student Number],YES_Writing_FLA[Student Number]),0),MATCH(VLOOKUP(G$7,'Writing Logic'!$J$7:$K$11,2,FALSE)&amp;" - Per "&amp;VLOOKUP($C$4,'Writing Logic'!$G$8:$H$14,2,FALSE),YES_Writing_ELA[#Headers],0))=0,"",INDEX(_xlfn.VSTACK(YES_Writing_ELA[#Data],YES_Writing_FLA[#Data]),MATCH($A114,_xlfn.VSTACK(YES_Writing_ELA[Student Number],YES_Writing_FLA[Student Number]),0),MATCH(VLOOKUP(G$7,'Writing Logic'!$J$7:$K$11,2,FALSE)&amp;" - Per "&amp;VLOOKUP($C$4,'Writing Logic'!$G$8:$H$14,2,FALSE),YES_Writing_ELA[#Headers],0)))="INS",'Writing Logic'!$B$7,IF(INDEX(_xlfn.VSTACK(YES_Writing_ELA[#Data],YES_Writing_FLA[#Data]),MATCH($A114,_xlfn.VSTACK(YES_Writing_ELA[Student Number],YES_Writing_FLA[Student Number]),0),MATCH(VLOOKUP(G$7,'Writing Logic'!$J$7:$K$11,2,FALSE)&amp;" - Per "&amp;VLOOKUP($C$4,'Writing Logic'!$G$8:$H$14,2,FALSE),YES_Writing_ELA[#Headers],0))=0,"",INDEX(_xlfn.VSTACK(YES_Writing_ELA[#Data],YES_Writing_FLA[#Data]),MATCH($A114,_xlfn.VSTACK(YES_Writing_ELA[Student Number],YES_Writing_FLA[Student Number]),0),MATCH(VLOOKUP(G$7,'Writing Logic'!$J$7:$K$11,2,FALSE)&amp;" - Per "&amp;VLOOKUP($C$4,'Writing Logic'!$G$8:$H$14,2,FALSE),YES_Writing_ELA[#Headers],0)))),"")</f>
        <v/>
      </c>
      <c r="H114" s="138" t="str">
        <f>IFERROR(IF(IF(INDEX(_xlfn.VSTACK(YES_Writing_ELA[#Data],YES_Writing_FLA[#Data]),MATCH($A114,_xlfn.VSTACK(YES_Writing_ELA[Student Number],YES_Writing_FLA[Student Number]),0),MATCH(VLOOKUP(H$7,'Writing Logic'!$J$7:$K$11,2,FALSE)&amp;" - Per "&amp;VLOOKUP($C$4,'Writing Logic'!$G$8:$H$14,2,FALSE),YES_Writing_ELA[#Headers],0))=0,"",INDEX(_xlfn.VSTACK(YES_Writing_ELA[#Data],YES_Writing_FLA[#Data]),MATCH($A114,_xlfn.VSTACK(YES_Writing_ELA[Student Number],YES_Writing_FLA[Student Number]),0),MATCH(VLOOKUP(H$7,'Writing Logic'!$J$7:$K$11,2,FALSE)&amp;" - Per "&amp;VLOOKUP($C$4,'Writing Logic'!$G$8:$H$14,2,FALSE),YES_Writing_ELA[#Headers],0)))="INS",'Writing Logic'!$B$7,IF(INDEX(_xlfn.VSTACK(YES_Writing_ELA[#Data],YES_Writing_FLA[#Data]),MATCH($A114,_xlfn.VSTACK(YES_Writing_ELA[Student Number],YES_Writing_FLA[Student Number]),0),MATCH(VLOOKUP(H$7,'Writing Logic'!$J$7:$K$11,2,FALSE)&amp;" - Per "&amp;VLOOKUP($C$4,'Writing Logic'!$G$8:$H$14,2,FALSE),YES_Writing_ELA[#Headers],0))=0,"",INDEX(_xlfn.VSTACK(YES_Writing_ELA[#Data],YES_Writing_FLA[#Data]),MATCH($A114,_xlfn.VSTACK(YES_Writing_ELA[Student Number],YES_Writing_FLA[Student Number]),0),MATCH(VLOOKUP(H$7,'Writing Logic'!$J$7:$K$11,2,FALSE)&amp;" - Per "&amp;VLOOKUP($C$4,'Writing Logic'!$G$8:$H$14,2,FALSE),YES_Writing_ELA[#Headers],0)))),"")</f>
        <v/>
      </c>
    </row>
    <row r="115" spans="1:8" ht="14.25" customHeight="1" x14ac:dyDescent="0.25">
      <c r="A115" s="137"/>
      <c r="B115" s="137" t="str">
        <f>IFERROR(INDEX(_xlfn.VSTACK(YES_Writing_ELA[#Data], YES_Writing_FLA[#Data]),MATCH($A115,_xlfn.VSTACK(YES_Writing_ELA[Student Number], YES_Writing_FLA[Student Number]),0),MATCH(B$7,YES_Writing_ELA[#Headers],0)),"")</f>
        <v/>
      </c>
      <c r="C115" s="137" t="str">
        <f>IFERROR(INDEX(_xlfn.VSTACK(YES_Writing_ELA[#Data], YES_Writing_FLA[#Data]),MATCH($A115,_xlfn.VSTACK(YES_Writing_ELA[Student Number], YES_Writing_FLA[Student Number]),0),MATCH(C$7,YES_Writing_ELA[#Headers],0)),"")</f>
        <v/>
      </c>
      <c r="D115" s="138" t="str">
        <f>IFERROR(IF(IF(INDEX(_xlfn.VSTACK(YES_Writing_ELA[#Data],YES_Writing_FLA[#Data]),MATCH($A115,_xlfn.VSTACK(YES_Writing_ELA[Student Number],YES_Writing_FLA[Student Number]),0),MATCH(VLOOKUP(D$7,'Writing Logic'!$J$7:$K$11,2,FALSE)&amp;" - Per "&amp;VLOOKUP($C$4,'Writing Logic'!$G$8:$H$14,2,FALSE),YES_Writing_ELA[#Headers],0))=0,"",INDEX(_xlfn.VSTACK(YES_Writing_ELA[#Data],YES_Writing_FLA[#Data]),MATCH($A115,_xlfn.VSTACK(YES_Writing_ELA[Student Number],YES_Writing_FLA[Student Number]),0),MATCH(VLOOKUP(D$7,'Writing Logic'!$J$7:$K$11,2,FALSE)&amp;" - Per "&amp;VLOOKUP($C$4,'Writing Logic'!$G$8:$H$14,2,FALSE),YES_Writing_ELA[#Headers],0)))="INS",'Writing Logic'!$B$7,IF(INDEX(_xlfn.VSTACK(YES_Writing_ELA[#Data],YES_Writing_FLA[#Data]),MATCH($A115,_xlfn.VSTACK(YES_Writing_ELA[Student Number],YES_Writing_FLA[Student Number]),0),MATCH(VLOOKUP(D$7,'Writing Logic'!$J$7:$K$11,2,FALSE)&amp;" - Per "&amp;VLOOKUP($C$4,'Writing Logic'!$G$8:$H$14,2,FALSE),YES_Writing_ELA[#Headers],0))=0,"",INDEX(_xlfn.VSTACK(YES_Writing_ELA[#Data],YES_Writing_FLA[#Data]),MATCH($A115,_xlfn.VSTACK(YES_Writing_ELA[Student Number],YES_Writing_FLA[Student Number]),0),MATCH(VLOOKUP(D$7,'Writing Logic'!$J$7:$K$11,2,FALSE)&amp;" - Per "&amp;VLOOKUP($C$4,'Writing Logic'!$G$8:$H$14,2,FALSE),YES_Writing_ELA[#Headers],0)))),"")</f>
        <v/>
      </c>
      <c r="E115" s="138" t="str">
        <f>IFERROR(IF(IF(INDEX(_xlfn.VSTACK(YES_Writing_ELA[#Data],YES_Writing_FLA[#Data]),MATCH($A115,_xlfn.VSTACK(YES_Writing_ELA[Student Number],YES_Writing_FLA[Student Number]),0),MATCH(VLOOKUP(E$7,'Writing Logic'!$J$7:$K$11,2,FALSE)&amp;" - Per "&amp;VLOOKUP($C$4,'Writing Logic'!$G$8:$H$14,2,FALSE),YES_Writing_ELA[#Headers],0))=0,"",INDEX(_xlfn.VSTACK(YES_Writing_ELA[#Data],YES_Writing_FLA[#Data]),MATCH($A115,_xlfn.VSTACK(YES_Writing_ELA[Student Number],YES_Writing_FLA[Student Number]),0),MATCH(VLOOKUP(E$7,'Writing Logic'!$J$7:$K$11,2,FALSE)&amp;" - Per "&amp;VLOOKUP($C$4,'Writing Logic'!$G$8:$H$14,2,FALSE),YES_Writing_ELA[#Headers],0)))="INS",'Writing Logic'!$B$7,IF(INDEX(_xlfn.VSTACK(YES_Writing_ELA[#Data],YES_Writing_FLA[#Data]),MATCH($A115,_xlfn.VSTACK(YES_Writing_ELA[Student Number],YES_Writing_FLA[Student Number]),0),MATCH(VLOOKUP(E$7,'Writing Logic'!$J$7:$K$11,2,FALSE)&amp;" - Per "&amp;VLOOKUP($C$4,'Writing Logic'!$G$8:$H$14,2,FALSE),YES_Writing_ELA[#Headers],0))=0,"",INDEX(_xlfn.VSTACK(YES_Writing_ELA[#Data],YES_Writing_FLA[#Data]),MATCH($A115,_xlfn.VSTACK(YES_Writing_ELA[Student Number],YES_Writing_FLA[Student Number]),0),MATCH(VLOOKUP(E$7,'Writing Logic'!$J$7:$K$11,2,FALSE)&amp;" - Per "&amp;VLOOKUP($C$4,'Writing Logic'!$G$8:$H$14,2,FALSE),YES_Writing_ELA[#Headers],0)))),"")</f>
        <v/>
      </c>
      <c r="F115" s="138" t="str">
        <f>IFERROR(IF(IF(INDEX(_xlfn.VSTACK(YES_Writing_ELA[#Data],YES_Writing_FLA[#Data]),MATCH($A115,_xlfn.VSTACK(YES_Writing_ELA[Student Number],YES_Writing_FLA[Student Number]),0),MATCH(VLOOKUP(F$7,'Writing Logic'!$J$7:$K$11,2,FALSE)&amp;" - Per "&amp;VLOOKUP($C$4,'Writing Logic'!$G$8:$H$14,2,FALSE),YES_Writing_ELA[#Headers],0))=0,"",INDEX(_xlfn.VSTACK(YES_Writing_ELA[#Data],YES_Writing_FLA[#Data]),MATCH($A115,_xlfn.VSTACK(YES_Writing_ELA[Student Number],YES_Writing_FLA[Student Number]),0),MATCH(VLOOKUP(F$7,'Writing Logic'!$J$7:$K$11,2,FALSE)&amp;" - Per "&amp;VLOOKUP($C$4,'Writing Logic'!$G$8:$H$14,2,FALSE),YES_Writing_ELA[#Headers],0)))="INS",'Writing Logic'!$B$7,IF(INDEX(_xlfn.VSTACK(YES_Writing_ELA[#Data],YES_Writing_FLA[#Data]),MATCH($A115,_xlfn.VSTACK(YES_Writing_ELA[Student Number],YES_Writing_FLA[Student Number]),0),MATCH(VLOOKUP(F$7,'Writing Logic'!$J$7:$K$11,2,FALSE)&amp;" - Per "&amp;VLOOKUP($C$4,'Writing Logic'!$G$8:$H$14,2,FALSE),YES_Writing_ELA[#Headers],0))=0,"",INDEX(_xlfn.VSTACK(YES_Writing_ELA[#Data],YES_Writing_FLA[#Data]),MATCH($A115,_xlfn.VSTACK(YES_Writing_ELA[Student Number],YES_Writing_FLA[Student Number]),0),MATCH(VLOOKUP(F$7,'Writing Logic'!$J$7:$K$11,2,FALSE)&amp;" - Per "&amp;VLOOKUP($C$4,'Writing Logic'!$G$8:$H$14,2,FALSE),YES_Writing_ELA[#Headers],0)))),"")</f>
        <v/>
      </c>
      <c r="G115" s="138" t="str">
        <f>IFERROR(IF(IF(INDEX(_xlfn.VSTACK(YES_Writing_ELA[#Data],YES_Writing_FLA[#Data]),MATCH($A115,_xlfn.VSTACK(YES_Writing_ELA[Student Number],YES_Writing_FLA[Student Number]),0),MATCH(VLOOKUP(G$7,'Writing Logic'!$J$7:$K$11,2,FALSE)&amp;" - Per "&amp;VLOOKUP($C$4,'Writing Logic'!$G$8:$H$14,2,FALSE),YES_Writing_ELA[#Headers],0))=0,"",INDEX(_xlfn.VSTACK(YES_Writing_ELA[#Data],YES_Writing_FLA[#Data]),MATCH($A115,_xlfn.VSTACK(YES_Writing_ELA[Student Number],YES_Writing_FLA[Student Number]),0),MATCH(VLOOKUP(G$7,'Writing Logic'!$J$7:$K$11,2,FALSE)&amp;" - Per "&amp;VLOOKUP($C$4,'Writing Logic'!$G$8:$H$14,2,FALSE),YES_Writing_ELA[#Headers],0)))="INS",'Writing Logic'!$B$7,IF(INDEX(_xlfn.VSTACK(YES_Writing_ELA[#Data],YES_Writing_FLA[#Data]),MATCH($A115,_xlfn.VSTACK(YES_Writing_ELA[Student Number],YES_Writing_FLA[Student Number]),0),MATCH(VLOOKUP(G$7,'Writing Logic'!$J$7:$K$11,2,FALSE)&amp;" - Per "&amp;VLOOKUP($C$4,'Writing Logic'!$G$8:$H$14,2,FALSE),YES_Writing_ELA[#Headers],0))=0,"",INDEX(_xlfn.VSTACK(YES_Writing_ELA[#Data],YES_Writing_FLA[#Data]),MATCH($A115,_xlfn.VSTACK(YES_Writing_ELA[Student Number],YES_Writing_FLA[Student Number]),0),MATCH(VLOOKUP(G$7,'Writing Logic'!$J$7:$K$11,2,FALSE)&amp;" - Per "&amp;VLOOKUP($C$4,'Writing Logic'!$G$8:$H$14,2,FALSE),YES_Writing_ELA[#Headers],0)))),"")</f>
        <v/>
      </c>
      <c r="H115" s="138" t="str">
        <f>IFERROR(IF(IF(INDEX(_xlfn.VSTACK(YES_Writing_ELA[#Data],YES_Writing_FLA[#Data]),MATCH($A115,_xlfn.VSTACK(YES_Writing_ELA[Student Number],YES_Writing_FLA[Student Number]),0),MATCH(VLOOKUP(H$7,'Writing Logic'!$J$7:$K$11,2,FALSE)&amp;" - Per "&amp;VLOOKUP($C$4,'Writing Logic'!$G$8:$H$14,2,FALSE),YES_Writing_ELA[#Headers],0))=0,"",INDEX(_xlfn.VSTACK(YES_Writing_ELA[#Data],YES_Writing_FLA[#Data]),MATCH($A115,_xlfn.VSTACK(YES_Writing_ELA[Student Number],YES_Writing_FLA[Student Number]),0),MATCH(VLOOKUP(H$7,'Writing Logic'!$J$7:$K$11,2,FALSE)&amp;" - Per "&amp;VLOOKUP($C$4,'Writing Logic'!$G$8:$H$14,2,FALSE),YES_Writing_ELA[#Headers],0)))="INS",'Writing Logic'!$B$7,IF(INDEX(_xlfn.VSTACK(YES_Writing_ELA[#Data],YES_Writing_FLA[#Data]),MATCH($A115,_xlfn.VSTACK(YES_Writing_ELA[Student Number],YES_Writing_FLA[Student Number]),0),MATCH(VLOOKUP(H$7,'Writing Logic'!$J$7:$K$11,2,FALSE)&amp;" - Per "&amp;VLOOKUP($C$4,'Writing Logic'!$G$8:$H$14,2,FALSE),YES_Writing_ELA[#Headers],0))=0,"",INDEX(_xlfn.VSTACK(YES_Writing_ELA[#Data],YES_Writing_FLA[#Data]),MATCH($A115,_xlfn.VSTACK(YES_Writing_ELA[Student Number],YES_Writing_FLA[Student Number]),0),MATCH(VLOOKUP(H$7,'Writing Logic'!$J$7:$K$11,2,FALSE)&amp;" - Per "&amp;VLOOKUP($C$4,'Writing Logic'!$G$8:$H$14,2,FALSE),YES_Writing_ELA[#Headers],0)))),"")</f>
        <v/>
      </c>
    </row>
    <row r="116" spans="1:8" ht="14.25" customHeight="1" x14ac:dyDescent="0.25">
      <c r="A116" s="137"/>
      <c r="B116" s="137" t="str">
        <f>IFERROR(INDEX(_xlfn.VSTACK(YES_Writing_ELA[#Data], YES_Writing_FLA[#Data]),MATCH($A116,_xlfn.VSTACK(YES_Writing_ELA[Student Number], YES_Writing_FLA[Student Number]),0),MATCH(B$7,YES_Writing_ELA[#Headers],0)),"")</f>
        <v/>
      </c>
      <c r="C116" s="137" t="str">
        <f>IFERROR(INDEX(_xlfn.VSTACK(YES_Writing_ELA[#Data], YES_Writing_FLA[#Data]),MATCH($A116,_xlfn.VSTACK(YES_Writing_ELA[Student Number], YES_Writing_FLA[Student Number]),0),MATCH(C$7,YES_Writing_ELA[#Headers],0)),"")</f>
        <v/>
      </c>
      <c r="D116" s="138" t="str">
        <f>IFERROR(IF(IF(INDEX(_xlfn.VSTACK(YES_Writing_ELA[#Data],YES_Writing_FLA[#Data]),MATCH($A116,_xlfn.VSTACK(YES_Writing_ELA[Student Number],YES_Writing_FLA[Student Number]),0),MATCH(VLOOKUP(D$7,'Writing Logic'!$J$7:$K$11,2,FALSE)&amp;" - Per "&amp;VLOOKUP($C$4,'Writing Logic'!$G$8:$H$14,2,FALSE),YES_Writing_ELA[#Headers],0))=0,"",INDEX(_xlfn.VSTACK(YES_Writing_ELA[#Data],YES_Writing_FLA[#Data]),MATCH($A116,_xlfn.VSTACK(YES_Writing_ELA[Student Number],YES_Writing_FLA[Student Number]),0),MATCH(VLOOKUP(D$7,'Writing Logic'!$J$7:$K$11,2,FALSE)&amp;" - Per "&amp;VLOOKUP($C$4,'Writing Logic'!$G$8:$H$14,2,FALSE),YES_Writing_ELA[#Headers],0)))="INS",'Writing Logic'!$B$7,IF(INDEX(_xlfn.VSTACK(YES_Writing_ELA[#Data],YES_Writing_FLA[#Data]),MATCH($A116,_xlfn.VSTACK(YES_Writing_ELA[Student Number],YES_Writing_FLA[Student Number]),0),MATCH(VLOOKUP(D$7,'Writing Logic'!$J$7:$K$11,2,FALSE)&amp;" - Per "&amp;VLOOKUP($C$4,'Writing Logic'!$G$8:$H$14,2,FALSE),YES_Writing_ELA[#Headers],0))=0,"",INDEX(_xlfn.VSTACK(YES_Writing_ELA[#Data],YES_Writing_FLA[#Data]),MATCH($A116,_xlfn.VSTACK(YES_Writing_ELA[Student Number],YES_Writing_FLA[Student Number]),0),MATCH(VLOOKUP(D$7,'Writing Logic'!$J$7:$K$11,2,FALSE)&amp;" - Per "&amp;VLOOKUP($C$4,'Writing Logic'!$G$8:$H$14,2,FALSE),YES_Writing_ELA[#Headers],0)))),"")</f>
        <v/>
      </c>
      <c r="E116" s="138" t="str">
        <f>IFERROR(IF(IF(INDEX(_xlfn.VSTACK(YES_Writing_ELA[#Data],YES_Writing_FLA[#Data]),MATCH($A116,_xlfn.VSTACK(YES_Writing_ELA[Student Number],YES_Writing_FLA[Student Number]),0),MATCH(VLOOKUP(E$7,'Writing Logic'!$J$7:$K$11,2,FALSE)&amp;" - Per "&amp;VLOOKUP($C$4,'Writing Logic'!$G$8:$H$14,2,FALSE),YES_Writing_ELA[#Headers],0))=0,"",INDEX(_xlfn.VSTACK(YES_Writing_ELA[#Data],YES_Writing_FLA[#Data]),MATCH($A116,_xlfn.VSTACK(YES_Writing_ELA[Student Number],YES_Writing_FLA[Student Number]),0),MATCH(VLOOKUP(E$7,'Writing Logic'!$J$7:$K$11,2,FALSE)&amp;" - Per "&amp;VLOOKUP($C$4,'Writing Logic'!$G$8:$H$14,2,FALSE),YES_Writing_ELA[#Headers],0)))="INS",'Writing Logic'!$B$7,IF(INDEX(_xlfn.VSTACK(YES_Writing_ELA[#Data],YES_Writing_FLA[#Data]),MATCH($A116,_xlfn.VSTACK(YES_Writing_ELA[Student Number],YES_Writing_FLA[Student Number]),0),MATCH(VLOOKUP(E$7,'Writing Logic'!$J$7:$K$11,2,FALSE)&amp;" - Per "&amp;VLOOKUP($C$4,'Writing Logic'!$G$8:$H$14,2,FALSE),YES_Writing_ELA[#Headers],0))=0,"",INDEX(_xlfn.VSTACK(YES_Writing_ELA[#Data],YES_Writing_FLA[#Data]),MATCH($A116,_xlfn.VSTACK(YES_Writing_ELA[Student Number],YES_Writing_FLA[Student Number]),0),MATCH(VLOOKUP(E$7,'Writing Logic'!$J$7:$K$11,2,FALSE)&amp;" - Per "&amp;VLOOKUP($C$4,'Writing Logic'!$G$8:$H$14,2,FALSE),YES_Writing_ELA[#Headers],0)))),"")</f>
        <v/>
      </c>
      <c r="F116" s="138" t="str">
        <f>IFERROR(IF(IF(INDEX(_xlfn.VSTACK(YES_Writing_ELA[#Data],YES_Writing_FLA[#Data]),MATCH($A116,_xlfn.VSTACK(YES_Writing_ELA[Student Number],YES_Writing_FLA[Student Number]),0),MATCH(VLOOKUP(F$7,'Writing Logic'!$J$7:$K$11,2,FALSE)&amp;" - Per "&amp;VLOOKUP($C$4,'Writing Logic'!$G$8:$H$14,2,FALSE),YES_Writing_ELA[#Headers],0))=0,"",INDEX(_xlfn.VSTACK(YES_Writing_ELA[#Data],YES_Writing_FLA[#Data]),MATCH($A116,_xlfn.VSTACK(YES_Writing_ELA[Student Number],YES_Writing_FLA[Student Number]),0),MATCH(VLOOKUP(F$7,'Writing Logic'!$J$7:$K$11,2,FALSE)&amp;" - Per "&amp;VLOOKUP($C$4,'Writing Logic'!$G$8:$H$14,2,FALSE),YES_Writing_ELA[#Headers],0)))="INS",'Writing Logic'!$B$7,IF(INDEX(_xlfn.VSTACK(YES_Writing_ELA[#Data],YES_Writing_FLA[#Data]),MATCH($A116,_xlfn.VSTACK(YES_Writing_ELA[Student Number],YES_Writing_FLA[Student Number]),0),MATCH(VLOOKUP(F$7,'Writing Logic'!$J$7:$K$11,2,FALSE)&amp;" - Per "&amp;VLOOKUP($C$4,'Writing Logic'!$G$8:$H$14,2,FALSE),YES_Writing_ELA[#Headers],0))=0,"",INDEX(_xlfn.VSTACK(YES_Writing_ELA[#Data],YES_Writing_FLA[#Data]),MATCH($A116,_xlfn.VSTACK(YES_Writing_ELA[Student Number],YES_Writing_FLA[Student Number]),0),MATCH(VLOOKUP(F$7,'Writing Logic'!$J$7:$K$11,2,FALSE)&amp;" - Per "&amp;VLOOKUP($C$4,'Writing Logic'!$G$8:$H$14,2,FALSE),YES_Writing_ELA[#Headers],0)))),"")</f>
        <v/>
      </c>
      <c r="G116" s="138" t="str">
        <f>IFERROR(IF(IF(INDEX(_xlfn.VSTACK(YES_Writing_ELA[#Data],YES_Writing_FLA[#Data]),MATCH($A116,_xlfn.VSTACK(YES_Writing_ELA[Student Number],YES_Writing_FLA[Student Number]),0),MATCH(VLOOKUP(G$7,'Writing Logic'!$J$7:$K$11,2,FALSE)&amp;" - Per "&amp;VLOOKUP($C$4,'Writing Logic'!$G$8:$H$14,2,FALSE),YES_Writing_ELA[#Headers],0))=0,"",INDEX(_xlfn.VSTACK(YES_Writing_ELA[#Data],YES_Writing_FLA[#Data]),MATCH($A116,_xlfn.VSTACK(YES_Writing_ELA[Student Number],YES_Writing_FLA[Student Number]),0),MATCH(VLOOKUP(G$7,'Writing Logic'!$J$7:$K$11,2,FALSE)&amp;" - Per "&amp;VLOOKUP($C$4,'Writing Logic'!$G$8:$H$14,2,FALSE),YES_Writing_ELA[#Headers],0)))="INS",'Writing Logic'!$B$7,IF(INDEX(_xlfn.VSTACK(YES_Writing_ELA[#Data],YES_Writing_FLA[#Data]),MATCH($A116,_xlfn.VSTACK(YES_Writing_ELA[Student Number],YES_Writing_FLA[Student Number]),0),MATCH(VLOOKUP(G$7,'Writing Logic'!$J$7:$K$11,2,FALSE)&amp;" - Per "&amp;VLOOKUP($C$4,'Writing Logic'!$G$8:$H$14,2,FALSE),YES_Writing_ELA[#Headers],0))=0,"",INDEX(_xlfn.VSTACK(YES_Writing_ELA[#Data],YES_Writing_FLA[#Data]),MATCH($A116,_xlfn.VSTACK(YES_Writing_ELA[Student Number],YES_Writing_FLA[Student Number]),0),MATCH(VLOOKUP(G$7,'Writing Logic'!$J$7:$K$11,2,FALSE)&amp;" - Per "&amp;VLOOKUP($C$4,'Writing Logic'!$G$8:$H$14,2,FALSE),YES_Writing_ELA[#Headers],0)))),"")</f>
        <v/>
      </c>
      <c r="H116" s="138" t="str">
        <f>IFERROR(IF(IF(INDEX(_xlfn.VSTACK(YES_Writing_ELA[#Data],YES_Writing_FLA[#Data]),MATCH($A116,_xlfn.VSTACK(YES_Writing_ELA[Student Number],YES_Writing_FLA[Student Number]),0),MATCH(VLOOKUP(H$7,'Writing Logic'!$J$7:$K$11,2,FALSE)&amp;" - Per "&amp;VLOOKUP($C$4,'Writing Logic'!$G$8:$H$14,2,FALSE),YES_Writing_ELA[#Headers],0))=0,"",INDEX(_xlfn.VSTACK(YES_Writing_ELA[#Data],YES_Writing_FLA[#Data]),MATCH($A116,_xlfn.VSTACK(YES_Writing_ELA[Student Number],YES_Writing_FLA[Student Number]),0),MATCH(VLOOKUP(H$7,'Writing Logic'!$J$7:$K$11,2,FALSE)&amp;" - Per "&amp;VLOOKUP($C$4,'Writing Logic'!$G$8:$H$14,2,FALSE),YES_Writing_ELA[#Headers],0)))="INS",'Writing Logic'!$B$7,IF(INDEX(_xlfn.VSTACK(YES_Writing_ELA[#Data],YES_Writing_FLA[#Data]),MATCH($A116,_xlfn.VSTACK(YES_Writing_ELA[Student Number],YES_Writing_FLA[Student Number]),0),MATCH(VLOOKUP(H$7,'Writing Logic'!$J$7:$K$11,2,FALSE)&amp;" - Per "&amp;VLOOKUP($C$4,'Writing Logic'!$G$8:$H$14,2,FALSE),YES_Writing_ELA[#Headers],0))=0,"",INDEX(_xlfn.VSTACK(YES_Writing_ELA[#Data],YES_Writing_FLA[#Data]),MATCH($A116,_xlfn.VSTACK(YES_Writing_ELA[Student Number],YES_Writing_FLA[Student Number]),0),MATCH(VLOOKUP(H$7,'Writing Logic'!$J$7:$K$11,2,FALSE)&amp;" - Per "&amp;VLOOKUP($C$4,'Writing Logic'!$G$8:$H$14,2,FALSE),YES_Writing_ELA[#Headers],0)))),"")</f>
        <v/>
      </c>
    </row>
    <row r="117" spans="1:8" ht="14.25" customHeight="1" x14ac:dyDescent="0.25">
      <c r="A117" s="137"/>
      <c r="B117" s="137" t="str">
        <f>IFERROR(INDEX(_xlfn.VSTACK(YES_Writing_ELA[#Data], YES_Writing_FLA[#Data]),MATCH($A117,_xlfn.VSTACK(YES_Writing_ELA[Student Number], YES_Writing_FLA[Student Number]),0),MATCH(B$7,YES_Writing_ELA[#Headers],0)),"")</f>
        <v/>
      </c>
      <c r="C117" s="137" t="str">
        <f>IFERROR(INDEX(_xlfn.VSTACK(YES_Writing_ELA[#Data], YES_Writing_FLA[#Data]),MATCH($A117,_xlfn.VSTACK(YES_Writing_ELA[Student Number], YES_Writing_FLA[Student Number]),0),MATCH(C$7,YES_Writing_ELA[#Headers],0)),"")</f>
        <v/>
      </c>
      <c r="D117" s="138" t="str">
        <f>IFERROR(IF(IF(INDEX(_xlfn.VSTACK(YES_Writing_ELA[#Data],YES_Writing_FLA[#Data]),MATCH($A117,_xlfn.VSTACK(YES_Writing_ELA[Student Number],YES_Writing_FLA[Student Number]),0),MATCH(VLOOKUP(D$7,'Writing Logic'!$J$7:$K$11,2,FALSE)&amp;" - Per "&amp;VLOOKUP($C$4,'Writing Logic'!$G$8:$H$14,2,FALSE),YES_Writing_ELA[#Headers],0))=0,"",INDEX(_xlfn.VSTACK(YES_Writing_ELA[#Data],YES_Writing_FLA[#Data]),MATCH($A117,_xlfn.VSTACK(YES_Writing_ELA[Student Number],YES_Writing_FLA[Student Number]),0),MATCH(VLOOKUP(D$7,'Writing Logic'!$J$7:$K$11,2,FALSE)&amp;" - Per "&amp;VLOOKUP($C$4,'Writing Logic'!$G$8:$H$14,2,FALSE),YES_Writing_ELA[#Headers],0)))="INS",'Writing Logic'!$B$7,IF(INDEX(_xlfn.VSTACK(YES_Writing_ELA[#Data],YES_Writing_FLA[#Data]),MATCH($A117,_xlfn.VSTACK(YES_Writing_ELA[Student Number],YES_Writing_FLA[Student Number]),0),MATCH(VLOOKUP(D$7,'Writing Logic'!$J$7:$K$11,2,FALSE)&amp;" - Per "&amp;VLOOKUP($C$4,'Writing Logic'!$G$8:$H$14,2,FALSE),YES_Writing_ELA[#Headers],0))=0,"",INDEX(_xlfn.VSTACK(YES_Writing_ELA[#Data],YES_Writing_FLA[#Data]),MATCH($A117,_xlfn.VSTACK(YES_Writing_ELA[Student Number],YES_Writing_FLA[Student Number]),0),MATCH(VLOOKUP(D$7,'Writing Logic'!$J$7:$K$11,2,FALSE)&amp;" - Per "&amp;VLOOKUP($C$4,'Writing Logic'!$G$8:$H$14,2,FALSE),YES_Writing_ELA[#Headers],0)))),"")</f>
        <v/>
      </c>
      <c r="E117" s="138" t="str">
        <f>IFERROR(IF(IF(INDEX(_xlfn.VSTACK(YES_Writing_ELA[#Data],YES_Writing_FLA[#Data]),MATCH($A117,_xlfn.VSTACK(YES_Writing_ELA[Student Number],YES_Writing_FLA[Student Number]),0),MATCH(VLOOKUP(E$7,'Writing Logic'!$J$7:$K$11,2,FALSE)&amp;" - Per "&amp;VLOOKUP($C$4,'Writing Logic'!$G$8:$H$14,2,FALSE),YES_Writing_ELA[#Headers],0))=0,"",INDEX(_xlfn.VSTACK(YES_Writing_ELA[#Data],YES_Writing_FLA[#Data]),MATCH($A117,_xlfn.VSTACK(YES_Writing_ELA[Student Number],YES_Writing_FLA[Student Number]),0),MATCH(VLOOKUP(E$7,'Writing Logic'!$J$7:$K$11,2,FALSE)&amp;" - Per "&amp;VLOOKUP($C$4,'Writing Logic'!$G$8:$H$14,2,FALSE),YES_Writing_ELA[#Headers],0)))="INS",'Writing Logic'!$B$7,IF(INDEX(_xlfn.VSTACK(YES_Writing_ELA[#Data],YES_Writing_FLA[#Data]),MATCH($A117,_xlfn.VSTACK(YES_Writing_ELA[Student Number],YES_Writing_FLA[Student Number]),0),MATCH(VLOOKUP(E$7,'Writing Logic'!$J$7:$K$11,2,FALSE)&amp;" - Per "&amp;VLOOKUP($C$4,'Writing Logic'!$G$8:$H$14,2,FALSE),YES_Writing_ELA[#Headers],0))=0,"",INDEX(_xlfn.VSTACK(YES_Writing_ELA[#Data],YES_Writing_FLA[#Data]),MATCH($A117,_xlfn.VSTACK(YES_Writing_ELA[Student Number],YES_Writing_FLA[Student Number]),0),MATCH(VLOOKUP(E$7,'Writing Logic'!$J$7:$K$11,2,FALSE)&amp;" - Per "&amp;VLOOKUP($C$4,'Writing Logic'!$G$8:$H$14,2,FALSE),YES_Writing_ELA[#Headers],0)))),"")</f>
        <v/>
      </c>
      <c r="F117" s="138" t="str">
        <f>IFERROR(IF(IF(INDEX(_xlfn.VSTACK(YES_Writing_ELA[#Data],YES_Writing_FLA[#Data]),MATCH($A117,_xlfn.VSTACK(YES_Writing_ELA[Student Number],YES_Writing_FLA[Student Number]),0),MATCH(VLOOKUP(F$7,'Writing Logic'!$J$7:$K$11,2,FALSE)&amp;" - Per "&amp;VLOOKUP($C$4,'Writing Logic'!$G$8:$H$14,2,FALSE),YES_Writing_ELA[#Headers],0))=0,"",INDEX(_xlfn.VSTACK(YES_Writing_ELA[#Data],YES_Writing_FLA[#Data]),MATCH($A117,_xlfn.VSTACK(YES_Writing_ELA[Student Number],YES_Writing_FLA[Student Number]),0),MATCH(VLOOKUP(F$7,'Writing Logic'!$J$7:$K$11,2,FALSE)&amp;" - Per "&amp;VLOOKUP($C$4,'Writing Logic'!$G$8:$H$14,2,FALSE),YES_Writing_ELA[#Headers],0)))="INS",'Writing Logic'!$B$7,IF(INDEX(_xlfn.VSTACK(YES_Writing_ELA[#Data],YES_Writing_FLA[#Data]),MATCH($A117,_xlfn.VSTACK(YES_Writing_ELA[Student Number],YES_Writing_FLA[Student Number]),0),MATCH(VLOOKUP(F$7,'Writing Logic'!$J$7:$K$11,2,FALSE)&amp;" - Per "&amp;VLOOKUP($C$4,'Writing Logic'!$G$8:$H$14,2,FALSE),YES_Writing_ELA[#Headers],0))=0,"",INDEX(_xlfn.VSTACK(YES_Writing_ELA[#Data],YES_Writing_FLA[#Data]),MATCH($A117,_xlfn.VSTACK(YES_Writing_ELA[Student Number],YES_Writing_FLA[Student Number]),0),MATCH(VLOOKUP(F$7,'Writing Logic'!$J$7:$K$11,2,FALSE)&amp;" - Per "&amp;VLOOKUP($C$4,'Writing Logic'!$G$8:$H$14,2,FALSE),YES_Writing_ELA[#Headers],0)))),"")</f>
        <v/>
      </c>
      <c r="G117" s="138" t="str">
        <f>IFERROR(IF(IF(INDEX(_xlfn.VSTACK(YES_Writing_ELA[#Data],YES_Writing_FLA[#Data]),MATCH($A117,_xlfn.VSTACK(YES_Writing_ELA[Student Number],YES_Writing_FLA[Student Number]),0),MATCH(VLOOKUP(G$7,'Writing Logic'!$J$7:$K$11,2,FALSE)&amp;" - Per "&amp;VLOOKUP($C$4,'Writing Logic'!$G$8:$H$14,2,FALSE),YES_Writing_ELA[#Headers],0))=0,"",INDEX(_xlfn.VSTACK(YES_Writing_ELA[#Data],YES_Writing_FLA[#Data]),MATCH($A117,_xlfn.VSTACK(YES_Writing_ELA[Student Number],YES_Writing_FLA[Student Number]),0),MATCH(VLOOKUP(G$7,'Writing Logic'!$J$7:$K$11,2,FALSE)&amp;" - Per "&amp;VLOOKUP($C$4,'Writing Logic'!$G$8:$H$14,2,FALSE),YES_Writing_ELA[#Headers],0)))="INS",'Writing Logic'!$B$7,IF(INDEX(_xlfn.VSTACK(YES_Writing_ELA[#Data],YES_Writing_FLA[#Data]),MATCH($A117,_xlfn.VSTACK(YES_Writing_ELA[Student Number],YES_Writing_FLA[Student Number]),0),MATCH(VLOOKUP(G$7,'Writing Logic'!$J$7:$K$11,2,FALSE)&amp;" - Per "&amp;VLOOKUP($C$4,'Writing Logic'!$G$8:$H$14,2,FALSE),YES_Writing_ELA[#Headers],0))=0,"",INDEX(_xlfn.VSTACK(YES_Writing_ELA[#Data],YES_Writing_FLA[#Data]),MATCH($A117,_xlfn.VSTACK(YES_Writing_ELA[Student Number],YES_Writing_FLA[Student Number]),0),MATCH(VLOOKUP(G$7,'Writing Logic'!$J$7:$K$11,2,FALSE)&amp;" - Per "&amp;VLOOKUP($C$4,'Writing Logic'!$G$8:$H$14,2,FALSE),YES_Writing_ELA[#Headers],0)))),"")</f>
        <v/>
      </c>
      <c r="H117" s="138" t="str">
        <f>IFERROR(IF(IF(INDEX(_xlfn.VSTACK(YES_Writing_ELA[#Data],YES_Writing_FLA[#Data]),MATCH($A117,_xlfn.VSTACK(YES_Writing_ELA[Student Number],YES_Writing_FLA[Student Number]),0),MATCH(VLOOKUP(H$7,'Writing Logic'!$J$7:$K$11,2,FALSE)&amp;" - Per "&amp;VLOOKUP($C$4,'Writing Logic'!$G$8:$H$14,2,FALSE),YES_Writing_ELA[#Headers],0))=0,"",INDEX(_xlfn.VSTACK(YES_Writing_ELA[#Data],YES_Writing_FLA[#Data]),MATCH($A117,_xlfn.VSTACK(YES_Writing_ELA[Student Number],YES_Writing_FLA[Student Number]),0),MATCH(VLOOKUP(H$7,'Writing Logic'!$J$7:$K$11,2,FALSE)&amp;" - Per "&amp;VLOOKUP($C$4,'Writing Logic'!$G$8:$H$14,2,FALSE),YES_Writing_ELA[#Headers],0)))="INS",'Writing Logic'!$B$7,IF(INDEX(_xlfn.VSTACK(YES_Writing_ELA[#Data],YES_Writing_FLA[#Data]),MATCH($A117,_xlfn.VSTACK(YES_Writing_ELA[Student Number],YES_Writing_FLA[Student Number]),0),MATCH(VLOOKUP(H$7,'Writing Logic'!$J$7:$K$11,2,FALSE)&amp;" - Per "&amp;VLOOKUP($C$4,'Writing Logic'!$G$8:$H$14,2,FALSE),YES_Writing_ELA[#Headers],0))=0,"",INDEX(_xlfn.VSTACK(YES_Writing_ELA[#Data],YES_Writing_FLA[#Data]),MATCH($A117,_xlfn.VSTACK(YES_Writing_ELA[Student Number],YES_Writing_FLA[Student Number]),0),MATCH(VLOOKUP(H$7,'Writing Logic'!$J$7:$K$11,2,FALSE)&amp;" - Per "&amp;VLOOKUP($C$4,'Writing Logic'!$G$8:$H$14,2,FALSE),YES_Writing_ELA[#Headers],0)))),"")</f>
        <v/>
      </c>
    </row>
    <row r="118" spans="1:8" ht="14.25" customHeight="1" x14ac:dyDescent="0.25">
      <c r="A118" s="137"/>
      <c r="B118" s="137" t="str">
        <f>IFERROR(INDEX(_xlfn.VSTACK(YES_Writing_ELA[#Data], YES_Writing_FLA[#Data]),MATCH($A118,_xlfn.VSTACK(YES_Writing_ELA[Student Number], YES_Writing_FLA[Student Number]),0),MATCH(B$7,YES_Writing_ELA[#Headers],0)),"")</f>
        <v/>
      </c>
      <c r="C118" s="137" t="str">
        <f>IFERROR(INDEX(_xlfn.VSTACK(YES_Writing_ELA[#Data], YES_Writing_FLA[#Data]),MATCH($A118,_xlfn.VSTACK(YES_Writing_ELA[Student Number], YES_Writing_FLA[Student Number]),0),MATCH(C$7,YES_Writing_ELA[#Headers],0)),"")</f>
        <v/>
      </c>
      <c r="D118" s="138" t="str">
        <f>IFERROR(IF(IF(INDEX(_xlfn.VSTACK(YES_Writing_ELA[#Data],YES_Writing_FLA[#Data]),MATCH($A118,_xlfn.VSTACK(YES_Writing_ELA[Student Number],YES_Writing_FLA[Student Number]),0),MATCH(VLOOKUP(D$7,'Writing Logic'!$J$7:$K$11,2,FALSE)&amp;" - Per "&amp;VLOOKUP($C$4,'Writing Logic'!$G$8:$H$14,2,FALSE),YES_Writing_ELA[#Headers],0))=0,"",INDEX(_xlfn.VSTACK(YES_Writing_ELA[#Data],YES_Writing_FLA[#Data]),MATCH($A118,_xlfn.VSTACK(YES_Writing_ELA[Student Number],YES_Writing_FLA[Student Number]),0),MATCH(VLOOKUP(D$7,'Writing Logic'!$J$7:$K$11,2,FALSE)&amp;" - Per "&amp;VLOOKUP($C$4,'Writing Logic'!$G$8:$H$14,2,FALSE),YES_Writing_ELA[#Headers],0)))="INS",'Writing Logic'!$B$7,IF(INDEX(_xlfn.VSTACK(YES_Writing_ELA[#Data],YES_Writing_FLA[#Data]),MATCH($A118,_xlfn.VSTACK(YES_Writing_ELA[Student Number],YES_Writing_FLA[Student Number]),0),MATCH(VLOOKUP(D$7,'Writing Logic'!$J$7:$K$11,2,FALSE)&amp;" - Per "&amp;VLOOKUP($C$4,'Writing Logic'!$G$8:$H$14,2,FALSE),YES_Writing_ELA[#Headers],0))=0,"",INDEX(_xlfn.VSTACK(YES_Writing_ELA[#Data],YES_Writing_FLA[#Data]),MATCH($A118,_xlfn.VSTACK(YES_Writing_ELA[Student Number],YES_Writing_FLA[Student Number]),0),MATCH(VLOOKUP(D$7,'Writing Logic'!$J$7:$K$11,2,FALSE)&amp;" - Per "&amp;VLOOKUP($C$4,'Writing Logic'!$G$8:$H$14,2,FALSE),YES_Writing_ELA[#Headers],0)))),"")</f>
        <v/>
      </c>
      <c r="E118" s="138" t="str">
        <f>IFERROR(IF(IF(INDEX(_xlfn.VSTACK(YES_Writing_ELA[#Data],YES_Writing_FLA[#Data]),MATCH($A118,_xlfn.VSTACK(YES_Writing_ELA[Student Number],YES_Writing_FLA[Student Number]),0),MATCH(VLOOKUP(E$7,'Writing Logic'!$J$7:$K$11,2,FALSE)&amp;" - Per "&amp;VLOOKUP($C$4,'Writing Logic'!$G$8:$H$14,2,FALSE),YES_Writing_ELA[#Headers],0))=0,"",INDEX(_xlfn.VSTACK(YES_Writing_ELA[#Data],YES_Writing_FLA[#Data]),MATCH($A118,_xlfn.VSTACK(YES_Writing_ELA[Student Number],YES_Writing_FLA[Student Number]),0),MATCH(VLOOKUP(E$7,'Writing Logic'!$J$7:$K$11,2,FALSE)&amp;" - Per "&amp;VLOOKUP($C$4,'Writing Logic'!$G$8:$H$14,2,FALSE),YES_Writing_ELA[#Headers],0)))="INS",'Writing Logic'!$B$7,IF(INDEX(_xlfn.VSTACK(YES_Writing_ELA[#Data],YES_Writing_FLA[#Data]),MATCH($A118,_xlfn.VSTACK(YES_Writing_ELA[Student Number],YES_Writing_FLA[Student Number]),0),MATCH(VLOOKUP(E$7,'Writing Logic'!$J$7:$K$11,2,FALSE)&amp;" - Per "&amp;VLOOKUP($C$4,'Writing Logic'!$G$8:$H$14,2,FALSE),YES_Writing_ELA[#Headers],0))=0,"",INDEX(_xlfn.VSTACK(YES_Writing_ELA[#Data],YES_Writing_FLA[#Data]),MATCH($A118,_xlfn.VSTACK(YES_Writing_ELA[Student Number],YES_Writing_FLA[Student Number]),0),MATCH(VLOOKUP(E$7,'Writing Logic'!$J$7:$K$11,2,FALSE)&amp;" - Per "&amp;VLOOKUP($C$4,'Writing Logic'!$G$8:$H$14,2,FALSE),YES_Writing_ELA[#Headers],0)))),"")</f>
        <v/>
      </c>
      <c r="F118" s="138" t="str">
        <f>IFERROR(IF(IF(INDEX(_xlfn.VSTACK(YES_Writing_ELA[#Data],YES_Writing_FLA[#Data]),MATCH($A118,_xlfn.VSTACK(YES_Writing_ELA[Student Number],YES_Writing_FLA[Student Number]),0),MATCH(VLOOKUP(F$7,'Writing Logic'!$J$7:$K$11,2,FALSE)&amp;" - Per "&amp;VLOOKUP($C$4,'Writing Logic'!$G$8:$H$14,2,FALSE),YES_Writing_ELA[#Headers],0))=0,"",INDEX(_xlfn.VSTACK(YES_Writing_ELA[#Data],YES_Writing_FLA[#Data]),MATCH($A118,_xlfn.VSTACK(YES_Writing_ELA[Student Number],YES_Writing_FLA[Student Number]),0),MATCH(VLOOKUP(F$7,'Writing Logic'!$J$7:$K$11,2,FALSE)&amp;" - Per "&amp;VLOOKUP($C$4,'Writing Logic'!$G$8:$H$14,2,FALSE),YES_Writing_ELA[#Headers],0)))="INS",'Writing Logic'!$B$7,IF(INDEX(_xlfn.VSTACK(YES_Writing_ELA[#Data],YES_Writing_FLA[#Data]),MATCH($A118,_xlfn.VSTACK(YES_Writing_ELA[Student Number],YES_Writing_FLA[Student Number]),0),MATCH(VLOOKUP(F$7,'Writing Logic'!$J$7:$K$11,2,FALSE)&amp;" - Per "&amp;VLOOKUP($C$4,'Writing Logic'!$G$8:$H$14,2,FALSE),YES_Writing_ELA[#Headers],0))=0,"",INDEX(_xlfn.VSTACK(YES_Writing_ELA[#Data],YES_Writing_FLA[#Data]),MATCH($A118,_xlfn.VSTACK(YES_Writing_ELA[Student Number],YES_Writing_FLA[Student Number]),0),MATCH(VLOOKUP(F$7,'Writing Logic'!$J$7:$K$11,2,FALSE)&amp;" - Per "&amp;VLOOKUP($C$4,'Writing Logic'!$G$8:$H$14,2,FALSE),YES_Writing_ELA[#Headers],0)))),"")</f>
        <v/>
      </c>
      <c r="G118" s="138" t="str">
        <f>IFERROR(IF(IF(INDEX(_xlfn.VSTACK(YES_Writing_ELA[#Data],YES_Writing_FLA[#Data]),MATCH($A118,_xlfn.VSTACK(YES_Writing_ELA[Student Number],YES_Writing_FLA[Student Number]),0),MATCH(VLOOKUP(G$7,'Writing Logic'!$J$7:$K$11,2,FALSE)&amp;" - Per "&amp;VLOOKUP($C$4,'Writing Logic'!$G$8:$H$14,2,FALSE),YES_Writing_ELA[#Headers],0))=0,"",INDEX(_xlfn.VSTACK(YES_Writing_ELA[#Data],YES_Writing_FLA[#Data]),MATCH($A118,_xlfn.VSTACK(YES_Writing_ELA[Student Number],YES_Writing_FLA[Student Number]),0),MATCH(VLOOKUP(G$7,'Writing Logic'!$J$7:$K$11,2,FALSE)&amp;" - Per "&amp;VLOOKUP($C$4,'Writing Logic'!$G$8:$H$14,2,FALSE),YES_Writing_ELA[#Headers],0)))="INS",'Writing Logic'!$B$7,IF(INDEX(_xlfn.VSTACK(YES_Writing_ELA[#Data],YES_Writing_FLA[#Data]),MATCH($A118,_xlfn.VSTACK(YES_Writing_ELA[Student Number],YES_Writing_FLA[Student Number]),0),MATCH(VLOOKUP(G$7,'Writing Logic'!$J$7:$K$11,2,FALSE)&amp;" - Per "&amp;VLOOKUP($C$4,'Writing Logic'!$G$8:$H$14,2,FALSE),YES_Writing_ELA[#Headers],0))=0,"",INDEX(_xlfn.VSTACK(YES_Writing_ELA[#Data],YES_Writing_FLA[#Data]),MATCH($A118,_xlfn.VSTACK(YES_Writing_ELA[Student Number],YES_Writing_FLA[Student Number]),0),MATCH(VLOOKUP(G$7,'Writing Logic'!$J$7:$K$11,2,FALSE)&amp;" - Per "&amp;VLOOKUP($C$4,'Writing Logic'!$G$8:$H$14,2,FALSE),YES_Writing_ELA[#Headers],0)))),"")</f>
        <v/>
      </c>
      <c r="H118" s="138" t="str">
        <f>IFERROR(IF(IF(INDEX(_xlfn.VSTACK(YES_Writing_ELA[#Data],YES_Writing_FLA[#Data]),MATCH($A118,_xlfn.VSTACK(YES_Writing_ELA[Student Number],YES_Writing_FLA[Student Number]),0),MATCH(VLOOKUP(H$7,'Writing Logic'!$J$7:$K$11,2,FALSE)&amp;" - Per "&amp;VLOOKUP($C$4,'Writing Logic'!$G$8:$H$14,2,FALSE),YES_Writing_ELA[#Headers],0))=0,"",INDEX(_xlfn.VSTACK(YES_Writing_ELA[#Data],YES_Writing_FLA[#Data]),MATCH($A118,_xlfn.VSTACK(YES_Writing_ELA[Student Number],YES_Writing_FLA[Student Number]),0),MATCH(VLOOKUP(H$7,'Writing Logic'!$J$7:$K$11,2,FALSE)&amp;" - Per "&amp;VLOOKUP($C$4,'Writing Logic'!$G$8:$H$14,2,FALSE),YES_Writing_ELA[#Headers],0)))="INS",'Writing Logic'!$B$7,IF(INDEX(_xlfn.VSTACK(YES_Writing_ELA[#Data],YES_Writing_FLA[#Data]),MATCH($A118,_xlfn.VSTACK(YES_Writing_ELA[Student Number],YES_Writing_FLA[Student Number]),0),MATCH(VLOOKUP(H$7,'Writing Logic'!$J$7:$K$11,2,FALSE)&amp;" - Per "&amp;VLOOKUP($C$4,'Writing Logic'!$G$8:$H$14,2,FALSE),YES_Writing_ELA[#Headers],0))=0,"",INDEX(_xlfn.VSTACK(YES_Writing_ELA[#Data],YES_Writing_FLA[#Data]),MATCH($A118,_xlfn.VSTACK(YES_Writing_ELA[Student Number],YES_Writing_FLA[Student Number]),0),MATCH(VLOOKUP(H$7,'Writing Logic'!$J$7:$K$11,2,FALSE)&amp;" - Per "&amp;VLOOKUP($C$4,'Writing Logic'!$G$8:$H$14,2,FALSE),YES_Writing_ELA[#Headers],0)))),"")</f>
        <v/>
      </c>
    </row>
    <row r="119" spans="1:8" ht="14.25" customHeight="1" x14ac:dyDescent="0.25">
      <c r="A119" s="137"/>
      <c r="B119" s="137" t="str">
        <f>IFERROR(INDEX(_xlfn.VSTACK(YES_Writing_ELA[#Data], YES_Writing_FLA[#Data]),MATCH($A119,_xlfn.VSTACK(YES_Writing_ELA[Student Number], YES_Writing_FLA[Student Number]),0),MATCH(B$7,YES_Writing_ELA[#Headers],0)),"")</f>
        <v/>
      </c>
      <c r="C119" s="137" t="str">
        <f>IFERROR(INDEX(_xlfn.VSTACK(YES_Writing_ELA[#Data], YES_Writing_FLA[#Data]),MATCH($A119,_xlfn.VSTACK(YES_Writing_ELA[Student Number], YES_Writing_FLA[Student Number]),0),MATCH(C$7,YES_Writing_ELA[#Headers],0)),"")</f>
        <v/>
      </c>
      <c r="D119" s="138" t="str">
        <f>IFERROR(IF(IF(INDEX(_xlfn.VSTACK(YES_Writing_ELA[#Data],YES_Writing_FLA[#Data]),MATCH($A119,_xlfn.VSTACK(YES_Writing_ELA[Student Number],YES_Writing_FLA[Student Number]),0),MATCH(VLOOKUP(D$7,'Writing Logic'!$J$7:$K$11,2,FALSE)&amp;" - Per "&amp;VLOOKUP($C$4,'Writing Logic'!$G$8:$H$14,2,FALSE),YES_Writing_ELA[#Headers],0))=0,"",INDEX(_xlfn.VSTACK(YES_Writing_ELA[#Data],YES_Writing_FLA[#Data]),MATCH($A119,_xlfn.VSTACK(YES_Writing_ELA[Student Number],YES_Writing_FLA[Student Number]),0),MATCH(VLOOKUP(D$7,'Writing Logic'!$J$7:$K$11,2,FALSE)&amp;" - Per "&amp;VLOOKUP($C$4,'Writing Logic'!$G$8:$H$14,2,FALSE),YES_Writing_ELA[#Headers],0)))="INS",'Writing Logic'!$B$7,IF(INDEX(_xlfn.VSTACK(YES_Writing_ELA[#Data],YES_Writing_FLA[#Data]),MATCH($A119,_xlfn.VSTACK(YES_Writing_ELA[Student Number],YES_Writing_FLA[Student Number]),0),MATCH(VLOOKUP(D$7,'Writing Logic'!$J$7:$K$11,2,FALSE)&amp;" - Per "&amp;VLOOKUP($C$4,'Writing Logic'!$G$8:$H$14,2,FALSE),YES_Writing_ELA[#Headers],0))=0,"",INDEX(_xlfn.VSTACK(YES_Writing_ELA[#Data],YES_Writing_FLA[#Data]),MATCH($A119,_xlfn.VSTACK(YES_Writing_ELA[Student Number],YES_Writing_FLA[Student Number]),0),MATCH(VLOOKUP(D$7,'Writing Logic'!$J$7:$K$11,2,FALSE)&amp;" - Per "&amp;VLOOKUP($C$4,'Writing Logic'!$G$8:$H$14,2,FALSE),YES_Writing_ELA[#Headers],0)))),"")</f>
        <v/>
      </c>
      <c r="E119" s="138" t="str">
        <f>IFERROR(IF(IF(INDEX(_xlfn.VSTACK(YES_Writing_ELA[#Data],YES_Writing_FLA[#Data]),MATCH($A119,_xlfn.VSTACK(YES_Writing_ELA[Student Number],YES_Writing_FLA[Student Number]),0),MATCH(VLOOKUP(E$7,'Writing Logic'!$J$7:$K$11,2,FALSE)&amp;" - Per "&amp;VLOOKUP($C$4,'Writing Logic'!$G$8:$H$14,2,FALSE),YES_Writing_ELA[#Headers],0))=0,"",INDEX(_xlfn.VSTACK(YES_Writing_ELA[#Data],YES_Writing_FLA[#Data]),MATCH($A119,_xlfn.VSTACK(YES_Writing_ELA[Student Number],YES_Writing_FLA[Student Number]),0),MATCH(VLOOKUP(E$7,'Writing Logic'!$J$7:$K$11,2,FALSE)&amp;" - Per "&amp;VLOOKUP($C$4,'Writing Logic'!$G$8:$H$14,2,FALSE),YES_Writing_ELA[#Headers],0)))="INS",'Writing Logic'!$B$7,IF(INDEX(_xlfn.VSTACK(YES_Writing_ELA[#Data],YES_Writing_FLA[#Data]),MATCH($A119,_xlfn.VSTACK(YES_Writing_ELA[Student Number],YES_Writing_FLA[Student Number]),0),MATCH(VLOOKUP(E$7,'Writing Logic'!$J$7:$K$11,2,FALSE)&amp;" - Per "&amp;VLOOKUP($C$4,'Writing Logic'!$G$8:$H$14,2,FALSE),YES_Writing_ELA[#Headers],0))=0,"",INDEX(_xlfn.VSTACK(YES_Writing_ELA[#Data],YES_Writing_FLA[#Data]),MATCH($A119,_xlfn.VSTACK(YES_Writing_ELA[Student Number],YES_Writing_FLA[Student Number]),0),MATCH(VLOOKUP(E$7,'Writing Logic'!$J$7:$K$11,2,FALSE)&amp;" - Per "&amp;VLOOKUP($C$4,'Writing Logic'!$G$8:$H$14,2,FALSE),YES_Writing_ELA[#Headers],0)))),"")</f>
        <v/>
      </c>
      <c r="F119" s="138" t="str">
        <f>IFERROR(IF(IF(INDEX(_xlfn.VSTACK(YES_Writing_ELA[#Data],YES_Writing_FLA[#Data]),MATCH($A119,_xlfn.VSTACK(YES_Writing_ELA[Student Number],YES_Writing_FLA[Student Number]),0),MATCH(VLOOKUP(F$7,'Writing Logic'!$J$7:$K$11,2,FALSE)&amp;" - Per "&amp;VLOOKUP($C$4,'Writing Logic'!$G$8:$H$14,2,FALSE),YES_Writing_ELA[#Headers],0))=0,"",INDEX(_xlfn.VSTACK(YES_Writing_ELA[#Data],YES_Writing_FLA[#Data]),MATCH($A119,_xlfn.VSTACK(YES_Writing_ELA[Student Number],YES_Writing_FLA[Student Number]),0),MATCH(VLOOKUP(F$7,'Writing Logic'!$J$7:$K$11,2,FALSE)&amp;" - Per "&amp;VLOOKUP($C$4,'Writing Logic'!$G$8:$H$14,2,FALSE),YES_Writing_ELA[#Headers],0)))="INS",'Writing Logic'!$B$7,IF(INDEX(_xlfn.VSTACK(YES_Writing_ELA[#Data],YES_Writing_FLA[#Data]),MATCH($A119,_xlfn.VSTACK(YES_Writing_ELA[Student Number],YES_Writing_FLA[Student Number]),0),MATCH(VLOOKUP(F$7,'Writing Logic'!$J$7:$K$11,2,FALSE)&amp;" - Per "&amp;VLOOKUP($C$4,'Writing Logic'!$G$8:$H$14,2,FALSE),YES_Writing_ELA[#Headers],0))=0,"",INDEX(_xlfn.VSTACK(YES_Writing_ELA[#Data],YES_Writing_FLA[#Data]),MATCH($A119,_xlfn.VSTACK(YES_Writing_ELA[Student Number],YES_Writing_FLA[Student Number]),0),MATCH(VLOOKUP(F$7,'Writing Logic'!$J$7:$K$11,2,FALSE)&amp;" - Per "&amp;VLOOKUP($C$4,'Writing Logic'!$G$8:$H$14,2,FALSE),YES_Writing_ELA[#Headers],0)))),"")</f>
        <v/>
      </c>
      <c r="G119" s="138" t="str">
        <f>IFERROR(IF(IF(INDEX(_xlfn.VSTACK(YES_Writing_ELA[#Data],YES_Writing_FLA[#Data]),MATCH($A119,_xlfn.VSTACK(YES_Writing_ELA[Student Number],YES_Writing_FLA[Student Number]),0),MATCH(VLOOKUP(G$7,'Writing Logic'!$J$7:$K$11,2,FALSE)&amp;" - Per "&amp;VLOOKUP($C$4,'Writing Logic'!$G$8:$H$14,2,FALSE),YES_Writing_ELA[#Headers],0))=0,"",INDEX(_xlfn.VSTACK(YES_Writing_ELA[#Data],YES_Writing_FLA[#Data]),MATCH($A119,_xlfn.VSTACK(YES_Writing_ELA[Student Number],YES_Writing_FLA[Student Number]),0),MATCH(VLOOKUP(G$7,'Writing Logic'!$J$7:$K$11,2,FALSE)&amp;" - Per "&amp;VLOOKUP($C$4,'Writing Logic'!$G$8:$H$14,2,FALSE),YES_Writing_ELA[#Headers],0)))="INS",'Writing Logic'!$B$7,IF(INDEX(_xlfn.VSTACK(YES_Writing_ELA[#Data],YES_Writing_FLA[#Data]),MATCH($A119,_xlfn.VSTACK(YES_Writing_ELA[Student Number],YES_Writing_FLA[Student Number]),0),MATCH(VLOOKUP(G$7,'Writing Logic'!$J$7:$K$11,2,FALSE)&amp;" - Per "&amp;VLOOKUP($C$4,'Writing Logic'!$G$8:$H$14,2,FALSE),YES_Writing_ELA[#Headers],0))=0,"",INDEX(_xlfn.VSTACK(YES_Writing_ELA[#Data],YES_Writing_FLA[#Data]),MATCH($A119,_xlfn.VSTACK(YES_Writing_ELA[Student Number],YES_Writing_FLA[Student Number]),0),MATCH(VLOOKUP(G$7,'Writing Logic'!$J$7:$K$11,2,FALSE)&amp;" - Per "&amp;VLOOKUP($C$4,'Writing Logic'!$G$8:$H$14,2,FALSE),YES_Writing_ELA[#Headers],0)))),"")</f>
        <v/>
      </c>
      <c r="H119" s="138" t="str">
        <f>IFERROR(IF(IF(INDEX(_xlfn.VSTACK(YES_Writing_ELA[#Data],YES_Writing_FLA[#Data]),MATCH($A119,_xlfn.VSTACK(YES_Writing_ELA[Student Number],YES_Writing_FLA[Student Number]),0),MATCH(VLOOKUP(H$7,'Writing Logic'!$J$7:$K$11,2,FALSE)&amp;" - Per "&amp;VLOOKUP($C$4,'Writing Logic'!$G$8:$H$14,2,FALSE),YES_Writing_ELA[#Headers],0))=0,"",INDEX(_xlfn.VSTACK(YES_Writing_ELA[#Data],YES_Writing_FLA[#Data]),MATCH($A119,_xlfn.VSTACK(YES_Writing_ELA[Student Number],YES_Writing_FLA[Student Number]),0),MATCH(VLOOKUP(H$7,'Writing Logic'!$J$7:$K$11,2,FALSE)&amp;" - Per "&amp;VLOOKUP($C$4,'Writing Logic'!$G$8:$H$14,2,FALSE),YES_Writing_ELA[#Headers],0)))="INS",'Writing Logic'!$B$7,IF(INDEX(_xlfn.VSTACK(YES_Writing_ELA[#Data],YES_Writing_FLA[#Data]),MATCH($A119,_xlfn.VSTACK(YES_Writing_ELA[Student Number],YES_Writing_FLA[Student Number]),0),MATCH(VLOOKUP(H$7,'Writing Logic'!$J$7:$K$11,2,FALSE)&amp;" - Per "&amp;VLOOKUP($C$4,'Writing Logic'!$G$8:$H$14,2,FALSE),YES_Writing_ELA[#Headers],0))=0,"",INDEX(_xlfn.VSTACK(YES_Writing_ELA[#Data],YES_Writing_FLA[#Data]),MATCH($A119,_xlfn.VSTACK(YES_Writing_ELA[Student Number],YES_Writing_FLA[Student Number]),0),MATCH(VLOOKUP(H$7,'Writing Logic'!$J$7:$K$11,2,FALSE)&amp;" - Per "&amp;VLOOKUP($C$4,'Writing Logic'!$G$8:$H$14,2,FALSE),YES_Writing_ELA[#Headers],0)))),"")</f>
        <v/>
      </c>
    </row>
    <row r="120" spans="1:8" ht="14.25" customHeight="1" x14ac:dyDescent="0.25">
      <c r="A120" s="137"/>
      <c r="B120" s="137" t="str">
        <f>IFERROR(INDEX(_xlfn.VSTACK(YES_Writing_ELA[#Data], YES_Writing_FLA[#Data]),MATCH($A120,_xlfn.VSTACK(YES_Writing_ELA[Student Number], YES_Writing_FLA[Student Number]),0),MATCH(B$7,YES_Writing_ELA[#Headers],0)),"")</f>
        <v/>
      </c>
      <c r="C120" s="137" t="str">
        <f>IFERROR(INDEX(_xlfn.VSTACK(YES_Writing_ELA[#Data], YES_Writing_FLA[#Data]),MATCH($A120,_xlfn.VSTACK(YES_Writing_ELA[Student Number], YES_Writing_FLA[Student Number]),0),MATCH(C$7,YES_Writing_ELA[#Headers],0)),"")</f>
        <v/>
      </c>
      <c r="D120" s="138" t="str">
        <f>IFERROR(IF(IF(INDEX(_xlfn.VSTACK(YES_Writing_ELA[#Data],YES_Writing_FLA[#Data]),MATCH($A120,_xlfn.VSTACK(YES_Writing_ELA[Student Number],YES_Writing_FLA[Student Number]),0),MATCH(VLOOKUP(D$7,'Writing Logic'!$J$7:$K$11,2,FALSE)&amp;" - Per "&amp;VLOOKUP($C$4,'Writing Logic'!$G$8:$H$14,2,FALSE),YES_Writing_ELA[#Headers],0))=0,"",INDEX(_xlfn.VSTACK(YES_Writing_ELA[#Data],YES_Writing_FLA[#Data]),MATCH($A120,_xlfn.VSTACK(YES_Writing_ELA[Student Number],YES_Writing_FLA[Student Number]),0),MATCH(VLOOKUP(D$7,'Writing Logic'!$J$7:$K$11,2,FALSE)&amp;" - Per "&amp;VLOOKUP($C$4,'Writing Logic'!$G$8:$H$14,2,FALSE),YES_Writing_ELA[#Headers],0)))="INS",'Writing Logic'!$B$7,IF(INDEX(_xlfn.VSTACK(YES_Writing_ELA[#Data],YES_Writing_FLA[#Data]),MATCH($A120,_xlfn.VSTACK(YES_Writing_ELA[Student Number],YES_Writing_FLA[Student Number]),0),MATCH(VLOOKUP(D$7,'Writing Logic'!$J$7:$K$11,2,FALSE)&amp;" - Per "&amp;VLOOKUP($C$4,'Writing Logic'!$G$8:$H$14,2,FALSE),YES_Writing_ELA[#Headers],0))=0,"",INDEX(_xlfn.VSTACK(YES_Writing_ELA[#Data],YES_Writing_FLA[#Data]),MATCH($A120,_xlfn.VSTACK(YES_Writing_ELA[Student Number],YES_Writing_FLA[Student Number]),0),MATCH(VLOOKUP(D$7,'Writing Logic'!$J$7:$K$11,2,FALSE)&amp;" - Per "&amp;VLOOKUP($C$4,'Writing Logic'!$G$8:$H$14,2,FALSE),YES_Writing_ELA[#Headers],0)))),"")</f>
        <v/>
      </c>
      <c r="E120" s="138" t="str">
        <f>IFERROR(IF(IF(INDEX(_xlfn.VSTACK(YES_Writing_ELA[#Data],YES_Writing_FLA[#Data]),MATCH($A120,_xlfn.VSTACK(YES_Writing_ELA[Student Number],YES_Writing_FLA[Student Number]),0),MATCH(VLOOKUP(E$7,'Writing Logic'!$J$7:$K$11,2,FALSE)&amp;" - Per "&amp;VLOOKUP($C$4,'Writing Logic'!$G$8:$H$14,2,FALSE),YES_Writing_ELA[#Headers],0))=0,"",INDEX(_xlfn.VSTACK(YES_Writing_ELA[#Data],YES_Writing_FLA[#Data]),MATCH($A120,_xlfn.VSTACK(YES_Writing_ELA[Student Number],YES_Writing_FLA[Student Number]),0),MATCH(VLOOKUP(E$7,'Writing Logic'!$J$7:$K$11,2,FALSE)&amp;" - Per "&amp;VLOOKUP($C$4,'Writing Logic'!$G$8:$H$14,2,FALSE),YES_Writing_ELA[#Headers],0)))="INS",'Writing Logic'!$B$7,IF(INDEX(_xlfn.VSTACK(YES_Writing_ELA[#Data],YES_Writing_FLA[#Data]),MATCH($A120,_xlfn.VSTACK(YES_Writing_ELA[Student Number],YES_Writing_FLA[Student Number]),0),MATCH(VLOOKUP(E$7,'Writing Logic'!$J$7:$K$11,2,FALSE)&amp;" - Per "&amp;VLOOKUP($C$4,'Writing Logic'!$G$8:$H$14,2,FALSE),YES_Writing_ELA[#Headers],0))=0,"",INDEX(_xlfn.VSTACK(YES_Writing_ELA[#Data],YES_Writing_FLA[#Data]),MATCH($A120,_xlfn.VSTACK(YES_Writing_ELA[Student Number],YES_Writing_FLA[Student Number]),0),MATCH(VLOOKUP(E$7,'Writing Logic'!$J$7:$K$11,2,FALSE)&amp;" - Per "&amp;VLOOKUP($C$4,'Writing Logic'!$G$8:$H$14,2,FALSE),YES_Writing_ELA[#Headers],0)))),"")</f>
        <v/>
      </c>
      <c r="F120" s="138" t="str">
        <f>IFERROR(IF(IF(INDEX(_xlfn.VSTACK(YES_Writing_ELA[#Data],YES_Writing_FLA[#Data]),MATCH($A120,_xlfn.VSTACK(YES_Writing_ELA[Student Number],YES_Writing_FLA[Student Number]),0),MATCH(VLOOKUP(F$7,'Writing Logic'!$J$7:$K$11,2,FALSE)&amp;" - Per "&amp;VLOOKUP($C$4,'Writing Logic'!$G$8:$H$14,2,FALSE),YES_Writing_ELA[#Headers],0))=0,"",INDEX(_xlfn.VSTACK(YES_Writing_ELA[#Data],YES_Writing_FLA[#Data]),MATCH($A120,_xlfn.VSTACK(YES_Writing_ELA[Student Number],YES_Writing_FLA[Student Number]),0),MATCH(VLOOKUP(F$7,'Writing Logic'!$J$7:$K$11,2,FALSE)&amp;" - Per "&amp;VLOOKUP($C$4,'Writing Logic'!$G$8:$H$14,2,FALSE),YES_Writing_ELA[#Headers],0)))="INS",'Writing Logic'!$B$7,IF(INDEX(_xlfn.VSTACK(YES_Writing_ELA[#Data],YES_Writing_FLA[#Data]),MATCH($A120,_xlfn.VSTACK(YES_Writing_ELA[Student Number],YES_Writing_FLA[Student Number]),0),MATCH(VLOOKUP(F$7,'Writing Logic'!$J$7:$K$11,2,FALSE)&amp;" - Per "&amp;VLOOKUP($C$4,'Writing Logic'!$G$8:$H$14,2,FALSE),YES_Writing_ELA[#Headers],0))=0,"",INDEX(_xlfn.VSTACK(YES_Writing_ELA[#Data],YES_Writing_FLA[#Data]),MATCH($A120,_xlfn.VSTACK(YES_Writing_ELA[Student Number],YES_Writing_FLA[Student Number]),0),MATCH(VLOOKUP(F$7,'Writing Logic'!$J$7:$K$11,2,FALSE)&amp;" - Per "&amp;VLOOKUP($C$4,'Writing Logic'!$G$8:$H$14,2,FALSE),YES_Writing_ELA[#Headers],0)))),"")</f>
        <v/>
      </c>
      <c r="G120" s="138" t="str">
        <f>IFERROR(IF(IF(INDEX(_xlfn.VSTACK(YES_Writing_ELA[#Data],YES_Writing_FLA[#Data]),MATCH($A120,_xlfn.VSTACK(YES_Writing_ELA[Student Number],YES_Writing_FLA[Student Number]),0),MATCH(VLOOKUP(G$7,'Writing Logic'!$J$7:$K$11,2,FALSE)&amp;" - Per "&amp;VLOOKUP($C$4,'Writing Logic'!$G$8:$H$14,2,FALSE),YES_Writing_ELA[#Headers],0))=0,"",INDEX(_xlfn.VSTACK(YES_Writing_ELA[#Data],YES_Writing_FLA[#Data]),MATCH($A120,_xlfn.VSTACK(YES_Writing_ELA[Student Number],YES_Writing_FLA[Student Number]),0),MATCH(VLOOKUP(G$7,'Writing Logic'!$J$7:$K$11,2,FALSE)&amp;" - Per "&amp;VLOOKUP($C$4,'Writing Logic'!$G$8:$H$14,2,FALSE),YES_Writing_ELA[#Headers],0)))="INS",'Writing Logic'!$B$7,IF(INDEX(_xlfn.VSTACK(YES_Writing_ELA[#Data],YES_Writing_FLA[#Data]),MATCH($A120,_xlfn.VSTACK(YES_Writing_ELA[Student Number],YES_Writing_FLA[Student Number]),0),MATCH(VLOOKUP(G$7,'Writing Logic'!$J$7:$K$11,2,FALSE)&amp;" - Per "&amp;VLOOKUP($C$4,'Writing Logic'!$G$8:$H$14,2,FALSE),YES_Writing_ELA[#Headers],0))=0,"",INDEX(_xlfn.VSTACK(YES_Writing_ELA[#Data],YES_Writing_FLA[#Data]),MATCH($A120,_xlfn.VSTACK(YES_Writing_ELA[Student Number],YES_Writing_FLA[Student Number]),0),MATCH(VLOOKUP(G$7,'Writing Logic'!$J$7:$K$11,2,FALSE)&amp;" - Per "&amp;VLOOKUP($C$4,'Writing Logic'!$G$8:$H$14,2,FALSE),YES_Writing_ELA[#Headers],0)))),"")</f>
        <v/>
      </c>
      <c r="H120" s="138" t="str">
        <f>IFERROR(IF(IF(INDEX(_xlfn.VSTACK(YES_Writing_ELA[#Data],YES_Writing_FLA[#Data]),MATCH($A120,_xlfn.VSTACK(YES_Writing_ELA[Student Number],YES_Writing_FLA[Student Number]),0),MATCH(VLOOKUP(H$7,'Writing Logic'!$J$7:$K$11,2,FALSE)&amp;" - Per "&amp;VLOOKUP($C$4,'Writing Logic'!$G$8:$H$14,2,FALSE),YES_Writing_ELA[#Headers],0))=0,"",INDEX(_xlfn.VSTACK(YES_Writing_ELA[#Data],YES_Writing_FLA[#Data]),MATCH($A120,_xlfn.VSTACK(YES_Writing_ELA[Student Number],YES_Writing_FLA[Student Number]),0),MATCH(VLOOKUP(H$7,'Writing Logic'!$J$7:$K$11,2,FALSE)&amp;" - Per "&amp;VLOOKUP($C$4,'Writing Logic'!$G$8:$H$14,2,FALSE),YES_Writing_ELA[#Headers],0)))="INS",'Writing Logic'!$B$7,IF(INDEX(_xlfn.VSTACK(YES_Writing_ELA[#Data],YES_Writing_FLA[#Data]),MATCH($A120,_xlfn.VSTACK(YES_Writing_ELA[Student Number],YES_Writing_FLA[Student Number]),0),MATCH(VLOOKUP(H$7,'Writing Logic'!$J$7:$K$11,2,FALSE)&amp;" - Per "&amp;VLOOKUP($C$4,'Writing Logic'!$G$8:$H$14,2,FALSE),YES_Writing_ELA[#Headers],0))=0,"",INDEX(_xlfn.VSTACK(YES_Writing_ELA[#Data],YES_Writing_FLA[#Data]),MATCH($A120,_xlfn.VSTACK(YES_Writing_ELA[Student Number],YES_Writing_FLA[Student Number]),0),MATCH(VLOOKUP(H$7,'Writing Logic'!$J$7:$K$11,2,FALSE)&amp;" - Per "&amp;VLOOKUP($C$4,'Writing Logic'!$G$8:$H$14,2,FALSE),YES_Writing_ELA[#Headers],0)))),"")</f>
        <v/>
      </c>
    </row>
    <row r="121" spans="1:8" ht="14.25" customHeight="1" x14ac:dyDescent="0.25">
      <c r="A121" s="137"/>
      <c r="B121" s="137" t="str">
        <f>IFERROR(INDEX(_xlfn.VSTACK(YES_Writing_ELA[#Data], YES_Writing_FLA[#Data]),MATCH($A121,_xlfn.VSTACK(YES_Writing_ELA[Student Number], YES_Writing_FLA[Student Number]),0),MATCH(B$7,YES_Writing_ELA[#Headers],0)),"")</f>
        <v/>
      </c>
      <c r="C121" s="137" t="str">
        <f>IFERROR(INDEX(_xlfn.VSTACK(YES_Writing_ELA[#Data], YES_Writing_FLA[#Data]),MATCH($A121,_xlfn.VSTACK(YES_Writing_ELA[Student Number], YES_Writing_FLA[Student Number]),0),MATCH(C$7,YES_Writing_ELA[#Headers],0)),"")</f>
        <v/>
      </c>
      <c r="D121" s="138" t="str">
        <f>IFERROR(IF(IF(INDEX(_xlfn.VSTACK(YES_Writing_ELA[#Data],YES_Writing_FLA[#Data]),MATCH($A121,_xlfn.VSTACK(YES_Writing_ELA[Student Number],YES_Writing_FLA[Student Number]),0),MATCH(VLOOKUP(D$7,'Writing Logic'!$J$7:$K$11,2,FALSE)&amp;" - Per "&amp;VLOOKUP($C$4,'Writing Logic'!$G$8:$H$14,2,FALSE),YES_Writing_ELA[#Headers],0))=0,"",INDEX(_xlfn.VSTACK(YES_Writing_ELA[#Data],YES_Writing_FLA[#Data]),MATCH($A121,_xlfn.VSTACK(YES_Writing_ELA[Student Number],YES_Writing_FLA[Student Number]),0),MATCH(VLOOKUP(D$7,'Writing Logic'!$J$7:$K$11,2,FALSE)&amp;" - Per "&amp;VLOOKUP($C$4,'Writing Logic'!$G$8:$H$14,2,FALSE),YES_Writing_ELA[#Headers],0)))="INS",'Writing Logic'!$B$7,IF(INDEX(_xlfn.VSTACK(YES_Writing_ELA[#Data],YES_Writing_FLA[#Data]),MATCH($A121,_xlfn.VSTACK(YES_Writing_ELA[Student Number],YES_Writing_FLA[Student Number]),0),MATCH(VLOOKUP(D$7,'Writing Logic'!$J$7:$K$11,2,FALSE)&amp;" - Per "&amp;VLOOKUP($C$4,'Writing Logic'!$G$8:$H$14,2,FALSE),YES_Writing_ELA[#Headers],0))=0,"",INDEX(_xlfn.VSTACK(YES_Writing_ELA[#Data],YES_Writing_FLA[#Data]),MATCH($A121,_xlfn.VSTACK(YES_Writing_ELA[Student Number],YES_Writing_FLA[Student Number]),0),MATCH(VLOOKUP(D$7,'Writing Logic'!$J$7:$K$11,2,FALSE)&amp;" - Per "&amp;VLOOKUP($C$4,'Writing Logic'!$G$8:$H$14,2,FALSE),YES_Writing_ELA[#Headers],0)))),"")</f>
        <v/>
      </c>
      <c r="E121" s="138" t="str">
        <f>IFERROR(IF(IF(INDEX(_xlfn.VSTACK(YES_Writing_ELA[#Data],YES_Writing_FLA[#Data]),MATCH($A121,_xlfn.VSTACK(YES_Writing_ELA[Student Number],YES_Writing_FLA[Student Number]),0),MATCH(VLOOKUP(E$7,'Writing Logic'!$J$7:$K$11,2,FALSE)&amp;" - Per "&amp;VLOOKUP($C$4,'Writing Logic'!$G$8:$H$14,2,FALSE),YES_Writing_ELA[#Headers],0))=0,"",INDEX(_xlfn.VSTACK(YES_Writing_ELA[#Data],YES_Writing_FLA[#Data]),MATCH($A121,_xlfn.VSTACK(YES_Writing_ELA[Student Number],YES_Writing_FLA[Student Number]),0),MATCH(VLOOKUP(E$7,'Writing Logic'!$J$7:$K$11,2,FALSE)&amp;" - Per "&amp;VLOOKUP($C$4,'Writing Logic'!$G$8:$H$14,2,FALSE),YES_Writing_ELA[#Headers],0)))="INS",'Writing Logic'!$B$7,IF(INDEX(_xlfn.VSTACK(YES_Writing_ELA[#Data],YES_Writing_FLA[#Data]),MATCH($A121,_xlfn.VSTACK(YES_Writing_ELA[Student Number],YES_Writing_FLA[Student Number]),0),MATCH(VLOOKUP(E$7,'Writing Logic'!$J$7:$K$11,2,FALSE)&amp;" - Per "&amp;VLOOKUP($C$4,'Writing Logic'!$G$8:$H$14,2,FALSE),YES_Writing_ELA[#Headers],0))=0,"",INDEX(_xlfn.VSTACK(YES_Writing_ELA[#Data],YES_Writing_FLA[#Data]),MATCH($A121,_xlfn.VSTACK(YES_Writing_ELA[Student Number],YES_Writing_FLA[Student Number]),0),MATCH(VLOOKUP(E$7,'Writing Logic'!$J$7:$K$11,2,FALSE)&amp;" - Per "&amp;VLOOKUP($C$4,'Writing Logic'!$G$8:$H$14,2,FALSE),YES_Writing_ELA[#Headers],0)))),"")</f>
        <v/>
      </c>
      <c r="F121" s="138" t="str">
        <f>IFERROR(IF(IF(INDEX(_xlfn.VSTACK(YES_Writing_ELA[#Data],YES_Writing_FLA[#Data]),MATCH($A121,_xlfn.VSTACK(YES_Writing_ELA[Student Number],YES_Writing_FLA[Student Number]),0),MATCH(VLOOKUP(F$7,'Writing Logic'!$J$7:$K$11,2,FALSE)&amp;" - Per "&amp;VLOOKUP($C$4,'Writing Logic'!$G$8:$H$14,2,FALSE),YES_Writing_ELA[#Headers],0))=0,"",INDEX(_xlfn.VSTACK(YES_Writing_ELA[#Data],YES_Writing_FLA[#Data]),MATCH($A121,_xlfn.VSTACK(YES_Writing_ELA[Student Number],YES_Writing_FLA[Student Number]),0),MATCH(VLOOKUP(F$7,'Writing Logic'!$J$7:$K$11,2,FALSE)&amp;" - Per "&amp;VLOOKUP($C$4,'Writing Logic'!$G$8:$H$14,2,FALSE),YES_Writing_ELA[#Headers],0)))="INS",'Writing Logic'!$B$7,IF(INDEX(_xlfn.VSTACK(YES_Writing_ELA[#Data],YES_Writing_FLA[#Data]),MATCH($A121,_xlfn.VSTACK(YES_Writing_ELA[Student Number],YES_Writing_FLA[Student Number]),0),MATCH(VLOOKUP(F$7,'Writing Logic'!$J$7:$K$11,2,FALSE)&amp;" - Per "&amp;VLOOKUP($C$4,'Writing Logic'!$G$8:$H$14,2,FALSE),YES_Writing_ELA[#Headers],0))=0,"",INDEX(_xlfn.VSTACK(YES_Writing_ELA[#Data],YES_Writing_FLA[#Data]),MATCH($A121,_xlfn.VSTACK(YES_Writing_ELA[Student Number],YES_Writing_FLA[Student Number]),0),MATCH(VLOOKUP(F$7,'Writing Logic'!$J$7:$K$11,2,FALSE)&amp;" - Per "&amp;VLOOKUP($C$4,'Writing Logic'!$G$8:$H$14,2,FALSE),YES_Writing_ELA[#Headers],0)))),"")</f>
        <v/>
      </c>
      <c r="G121" s="138" t="str">
        <f>IFERROR(IF(IF(INDEX(_xlfn.VSTACK(YES_Writing_ELA[#Data],YES_Writing_FLA[#Data]),MATCH($A121,_xlfn.VSTACK(YES_Writing_ELA[Student Number],YES_Writing_FLA[Student Number]),0),MATCH(VLOOKUP(G$7,'Writing Logic'!$J$7:$K$11,2,FALSE)&amp;" - Per "&amp;VLOOKUP($C$4,'Writing Logic'!$G$8:$H$14,2,FALSE),YES_Writing_ELA[#Headers],0))=0,"",INDEX(_xlfn.VSTACK(YES_Writing_ELA[#Data],YES_Writing_FLA[#Data]),MATCH($A121,_xlfn.VSTACK(YES_Writing_ELA[Student Number],YES_Writing_FLA[Student Number]),0),MATCH(VLOOKUP(G$7,'Writing Logic'!$J$7:$K$11,2,FALSE)&amp;" - Per "&amp;VLOOKUP($C$4,'Writing Logic'!$G$8:$H$14,2,FALSE),YES_Writing_ELA[#Headers],0)))="INS",'Writing Logic'!$B$7,IF(INDEX(_xlfn.VSTACK(YES_Writing_ELA[#Data],YES_Writing_FLA[#Data]),MATCH($A121,_xlfn.VSTACK(YES_Writing_ELA[Student Number],YES_Writing_FLA[Student Number]),0),MATCH(VLOOKUP(G$7,'Writing Logic'!$J$7:$K$11,2,FALSE)&amp;" - Per "&amp;VLOOKUP($C$4,'Writing Logic'!$G$8:$H$14,2,FALSE),YES_Writing_ELA[#Headers],0))=0,"",INDEX(_xlfn.VSTACK(YES_Writing_ELA[#Data],YES_Writing_FLA[#Data]),MATCH($A121,_xlfn.VSTACK(YES_Writing_ELA[Student Number],YES_Writing_FLA[Student Number]),0),MATCH(VLOOKUP(G$7,'Writing Logic'!$J$7:$K$11,2,FALSE)&amp;" - Per "&amp;VLOOKUP($C$4,'Writing Logic'!$G$8:$H$14,2,FALSE),YES_Writing_ELA[#Headers],0)))),"")</f>
        <v/>
      </c>
      <c r="H121" s="138" t="str">
        <f>IFERROR(IF(IF(INDEX(_xlfn.VSTACK(YES_Writing_ELA[#Data],YES_Writing_FLA[#Data]),MATCH($A121,_xlfn.VSTACK(YES_Writing_ELA[Student Number],YES_Writing_FLA[Student Number]),0),MATCH(VLOOKUP(H$7,'Writing Logic'!$J$7:$K$11,2,FALSE)&amp;" - Per "&amp;VLOOKUP($C$4,'Writing Logic'!$G$8:$H$14,2,FALSE),YES_Writing_ELA[#Headers],0))=0,"",INDEX(_xlfn.VSTACK(YES_Writing_ELA[#Data],YES_Writing_FLA[#Data]),MATCH($A121,_xlfn.VSTACK(YES_Writing_ELA[Student Number],YES_Writing_FLA[Student Number]),0),MATCH(VLOOKUP(H$7,'Writing Logic'!$J$7:$K$11,2,FALSE)&amp;" - Per "&amp;VLOOKUP($C$4,'Writing Logic'!$G$8:$H$14,2,FALSE),YES_Writing_ELA[#Headers],0)))="INS",'Writing Logic'!$B$7,IF(INDEX(_xlfn.VSTACK(YES_Writing_ELA[#Data],YES_Writing_FLA[#Data]),MATCH($A121,_xlfn.VSTACK(YES_Writing_ELA[Student Number],YES_Writing_FLA[Student Number]),0),MATCH(VLOOKUP(H$7,'Writing Logic'!$J$7:$K$11,2,FALSE)&amp;" - Per "&amp;VLOOKUP($C$4,'Writing Logic'!$G$8:$H$14,2,FALSE),YES_Writing_ELA[#Headers],0))=0,"",INDEX(_xlfn.VSTACK(YES_Writing_ELA[#Data],YES_Writing_FLA[#Data]),MATCH($A121,_xlfn.VSTACK(YES_Writing_ELA[Student Number],YES_Writing_FLA[Student Number]),0),MATCH(VLOOKUP(H$7,'Writing Logic'!$J$7:$K$11,2,FALSE)&amp;" - Per "&amp;VLOOKUP($C$4,'Writing Logic'!$G$8:$H$14,2,FALSE),YES_Writing_ELA[#Headers],0)))),"")</f>
        <v/>
      </c>
    </row>
    <row r="122" spans="1:8" ht="14.25" customHeight="1" x14ac:dyDescent="0.25">
      <c r="A122" s="137"/>
      <c r="B122" s="137" t="str">
        <f>IFERROR(INDEX(_xlfn.VSTACK(YES_Writing_ELA[#Data], YES_Writing_FLA[#Data]),MATCH($A122,_xlfn.VSTACK(YES_Writing_ELA[Student Number], YES_Writing_FLA[Student Number]),0),MATCH(B$7,YES_Writing_ELA[#Headers],0)),"")</f>
        <v/>
      </c>
      <c r="C122" s="137" t="str">
        <f>IFERROR(INDEX(_xlfn.VSTACK(YES_Writing_ELA[#Data], YES_Writing_FLA[#Data]),MATCH($A122,_xlfn.VSTACK(YES_Writing_ELA[Student Number], YES_Writing_FLA[Student Number]),0),MATCH(C$7,YES_Writing_ELA[#Headers],0)),"")</f>
        <v/>
      </c>
      <c r="D122" s="138" t="str">
        <f>IFERROR(IF(IF(INDEX(_xlfn.VSTACK(YES_Writing_ELA[#Data],YES_Writing_FLA[#Data]),MATCH($A122,_xlfn.VSTACK(YES_Writing_ELA[Student Number],YES_Writing_FLA[Student Number]),0),MATCH(VLOOKUP(D$7,'Writing Logic'!$J$7:$K$11,2,FALSE)&amp;" - Per "&amp;VLOOKUP($C$4,'Writing Logic'!$G$8:$H$14,2,FALSE),YES_Writing_ELA[#Headers],0))=0,"",INDEX(_xlfn.VSTACK(YES_Writing_ELA[#Data],YES_Writing_FLA[#Data]),MATCH($A122,_xlfn.VSTACK(YES_Writing_ELA[Student Number],YES_Writing_FLA[Student Number]),0),MATCH(VLOOKUP(D$7,'Writing Logic'!$J$7:$K$11,2,FALSE)&amp;" - Per "&amp;VLOOKUP($C$4,'Writing Logic'!$G$8:$H$14,2,FALSE),YES_Writing_ELA[#Headers],0)))="INS",'Writing Logic'!$B$7,IF(INDEX(_xlfn.VSTACK(YES_Writing_ELA[#Data],YES_Writing_FLA[#Data]),MATCH($A122,_xlfn.VSTACK(YES_Writing_ELA[Student Number],YES_Writing_FLA[Student Number]),0),MATCH(VLOOKUP(D$7,'Writing Logic'!$J$7:$K$11,2,FALSE)&amp;" - Per "&amp;VLOOKUP($C$4,'Writing Logic'!$G$8:$H$14,2,FALSE),YES_Writing_ELA[#Headers],0))=0,"",INDEX(_xlfn.VSTACK(YES_Writing_ELA[#Data],YES_Writing_FLA[#Data]),MATCH($A122,_xlfn.VSTACK(YES_Writing_ELA[Student Number],YES_Writing_FLA[Student Number]),0),MATCH(VLOOKUP(D$7,'Writing Logic'!$J$7:$K$11,2,FALSE)&amp;" - Per "&amp;VLOOKUP($C$4,'Writing Logic'!$G$8:$H$14,2,FALSE),YES_Writing_ELA[#Headers],0)))),"")</f>
        <v/>
      </c>
      <c r="E122" s="138" t="str">
        <f>IFERROR(IF(IF(INDEX(_xlfn.VSTACK(YES_Writing_ELA[#Data],YES_Writing_FLA[#Data]),MATCH($A122,_xlfn.VSTACK(YES_Writing_ELA[Student Number],YES_Writing_FLA[Student Number]),0),MATCH(VLOOKUP(E$7,'Writing Logic'!$J$7:$K$11,2,FALSE)&amp;" - Per "&amp;VLOOKUP($C$4,'Writing Logic'!$G$8:$H$14,2,FALSE),YES_Writing_ELA[#Headers],0))=0,"",INDEX(_xlfn.VSTACK(YES_Writing_ELA[#Data],YES_Writing_FLA[#Data]),MATCH($A122,_xlfn.VSTACK(YES_Writing_ELA[Student Number],YES_Writing_FLA[Student Number]),0),MATCH(VLOOKUP(E$7,'Writing Logic'!$J$7:$K$11,2,FALSE)&amp;" - Per "&amp;VLOOKUP($C$4,'Writing Logic'!$G$8:$H$14,2,FALSE),YES_Writing_ELA[#Headers],0)))="INS",'Writing Logic'!$B$7,IF(INDEX(_xlfn.VSTACK(YES_Writing_ELA[#Data],YES_Writing_FLA[#Data]),MATCH($A122,_xlfn.VSTACK(YES_Writing_ELA[Student Number],YES_Writing_FLA[Student Number]),0),MATCH(VLOOKUP(E$7,'Writing Logic'!$J$7:$K$11,2,FALSE)&amp;" - Per "&amp;VLOOKUP($C$4,'Writing Logic'!$G$8:$H$14,2,FALSE),YES_Writing_ELA[#Headers],0))=0,"",INDEX(_xlfn.VSTACK(YES_Writing_ELA[#Data],YES_Writing_FLA[#Data]),MATCH($A122,_xlfn.VSTACK(YES_Writing_ELA[Student Number],YES_Writing_FLA[Student Number]),0),MATCH(VLOOKUP(E$7,'Writing Logic'!$J$7:$K$11,2,FALSE)&amp;" - Per "&amp;VLOOKUP($C$4,'Writing Logic'!$G$8:$H$14,2,FALSE),YES_Writing_ELA[#Headers],0)))),"")</f>
        <v/>
      </c>
      <c r="F122" s="138" t="str">
        <f>IFERROR(IF(IF(INDEX(_xlfn.VSTACK(YES_Writing_ELA[#Data],YES_Writing_FLA[#Data]),MATCH($A122,_xlfn.VSTACK(YES_Writing_ELA[Student Number],YES_Writing_FLA[Student Number]),0),MATCH(VLOOKUP(F$7,'Writing Logic'!$J$7:$K$11,2,FALSE)&amp;" - Per "&amp;VLOOKUP($C$4,'Writing Logic'!$G$8:$H$14,2,FALSE),YES_Writing_ELA[#Headers],0))=0,"",INDEX(_xlfn.VSTACK(YES_Writing_ELA[#Data],YES_Writing_FLA[#Data]),MATCH($A122,_xlfn.VSTACK(YES_Writing_ELA[Student Number],YES_Writing_FLA[Student Number]),0),MATCH(VLOOKUP(F$7,'Writing Logic'!$J$7:$K$11,2,FALSE)&amp;" - Per "&amp;VLOOKUP($C$4,'Writing Logic'!$G$8:$H$14,2,FALSE),YES_Writing_ELA[#Headers],0)))="INS",'Writing Logic'!$B$7,IF(INDEX(_xlfn.VSTACK(YES_Writing_ELA[#Data],YES_Writing_FLA[#Data]),MATCH($A122,_xlfn.VSTACK(YES_Writing_ELA[Student Number],YES_Writing_FLA[Student Number]),0),MATCH(VLOOKUP(F$7,'Writing Logic'!$J$7:$K$11,2,FALSE)&amp;" - Per "&amp;VLOOKUP($C$4,'Writing Logic'!$G$8:$H$14,2,FALSE),YES_Writing_ELA[#Headers],0))=0,"",INDEX(_xlfn.VSTACK(YES_Writing_ELA[#Data],YES_Writing_FLA[#Data]),MATCH($A122,_xlfn.VSTACK(YES_Writing_ELA[Student Number],YES_Writing_FLA[Student Number]),0),MATCH(VLOOKUP(F$7,'Writing Logic'!$J$7:$K$11,2,FALSE)&amp;" - Per "&amp;VLOOKUP($C$4,'Writing Logic'!$G$8:$H$14,2,FALSE),YES_Writing_ELA[#Headers],0)))),"")</f>
        <v/>
      </c>
      <c r="G122" s="138" t="str">
        <f>IFERROR(IF(IF(INDEX(_xlfn.VSTACK(YES_Writing_ELA[#Data],YES_Writing_FLA[#Data]),MATCH($A122,_xlfn.VSTACK(YES_Writing_ELA[Student Number],YES_Writing_FLA[Student Number]),0),MATCH(VLOOKUP(G$7,'Writing Logic'!$J$7:$K$11,2,FALSE)&amp;" - Per "&amp;VLOOKUP($C$4,'Writing Logic'!$G$8:$H$14,2,FALSE),YES_Writing_ELA[#Headers],0))=0,"",INDEX(_xlfn.VSTACK(YES_Writing_ELA[#Data],YES_Writing_FLA[#Data]),MATCH($A122,_xlfn.VSTACK(YES_Writing_ELA[Student Number],YES_Writing_FLA[Student Number]),0),MATCH(VLOOKUP(G$7,'Writing Logic'!$J$7:$K$11,2,FALSE)&amp;" - Per "&amp;VLOOKUP($C$4,'Writing Logic'!$G$8:$H$14,2,FALSE),YES_Writing_ELA[#Headers],0)))="INS",'Writing Logic'!$B$7,IF(INDEX(_xlfn.VSTACK(YES_Writing_ELA[#Data],YES_Writing_FLA[#Data]),MATCH($A122,_xlfn.VSTACK(YES_Writing_ELA[Student Number],YES_Writing_FLA[Student Number]),0),MATCH(VLOOKUP(G$7,'Writing Logic'!$J$7:$K$11,2,FALSE)&amp;" - Per "&amp;VLOOKUP($C$4,'Writing Logic'!$G$8:$H$14,2,FALSE),YES_Writing_ELA[#Headers],0))=0,"",INDEX(_xlfn.VSTACK(YES_Writing_ELA[#Data],YES_Writing_FLA[#Data]),MATCH($A122,_xlfn.VSTACK(YES_Writing_ELA[Student Number],YES_Writing_FLA[Student Number]),0),MATCH(VLOOKUP(G$7,'Writing Logic'!$J$7:$K$11,2,FALSE)&amp;" - Per "&amp;VLOOKUP($C$4,'Writing Logic'!$G$8:$H$14,2,FALSE),YES_Writing_ELA[#Headers],0)))),"")</f>
        <v/>
      </c>
      <c r="H122" s="138" t="str">
        <f>IFERROR(IF(IF(INDEX(_xlfn.VSTACK(YES_Writing_ELA[#Data],YES_Writing_FLA[#Data]),MATCH($A122,_xlfn.VSTACK(YES_Writing_ELA[Student Number],YES_Writing_FLA[Student Number]),0),MATCH(VLOOKUP(H$7,'Writing Logic'!$J$7:$K$11,2,FALSE)&amp;" - Per "&amp;VLOOKUP($C$4,'Writing Logic'!$G$8:$H$14,2,FALSE),YES_Writing_ELA[#Headers],0))=0,"",INDEX(_xlfn.VSTACK(YES_Writing_ELA[#Data],YES_Writing_FLA[#Data]),MATCH($A122,_xlfn.VSTACK(YES_Writing_ELA[Student Number],YES_Writing_FLA[Student Number]),0),MATCH(VLOOKUP(H$7,'Writing Logic'!$J$7:$K$11,2,FALSE)&amp;" - Per "&amp;VLOOKUP($C$4,'Writing Logic'!$G$8:$H$14,2,FALSE),YES_Writing_ELA[#Headers],0)))="INS",'Writing Logic'!$B$7,IF(INDEX(_xlfn.VSTACK(YES_Writing_ELA[#Data],YES_Writing_FLA[#Data]),MATCH($A122,_xlfn.VSTACK(YES_Writing_ELA[Student Number],YES_Writing_FLA[Student Number]),0),MATCH(VLOOKUP(H$7,'Writing Logic'!$J$7:$K$11,2,FALSE)&amp;" - Per "&amp;VLOOKUP($C$4,'Writing Logic'!$G$8:$H$14,2,FALSE),YES_Writing_ELA[#Headers],0))=0,"",INDEX(_xlfn.VSTACK(YES_Writing_ELA[#Data],YES_Writing_FLA[#Data]),MATCH($A122,_xlfn.VSTACK(YES_Writing_ELA[Student Number],YES_Writing_FLA[Student Number]),0),MATCH(VLOOKUP(H$7,'Writing Logic'!$J$7:$K$11,2,FALSE)&amp;" - Per "&amp;VLOOKUP($C$4,'Writing Logic'!$G$8:$H$14,2,FALSE),YES_Writing_ELA[#Headers],0)))),"")</f>
        <v/>
      </c>
    </row>
    <row r="123" spans="1:8" ht="14.25" customHeight="1" x14ac:dyDescent="0.25">
      <c r="A123" s="137"/>
      <c r="B123" s="137" t="str">
        <f>IFERROR(INDEX(_xlfn.VSTACK(YES_Writing_ELA[#Data], YES_Writing_FLA[#Data]),MATCH($A123,_xlfn.VSTACK(YES_Writing_ELA[Student Number], YES_Writing_FLA[Student Number]),0),MATCH(B$7,YES_Writing_ELA[#Headers],0)),"")</f>
        <v/>
      </c>
      <c r="C123" s="137" t="str">
        <f>IFERROR(INDEX(_xlfn.VSTACK(YES_Writing_ELA[#Data], YES_Writing_FLA[#Data]),MATCH($A123,_xlfn.VSTACK(YES_Writing_ELA[Student Number], YES_Writing_FLA[Student Number]),0),MATCH(C$7,YES_Writing_ELA[#Headers],0)),"")</f>
        <v/>
      </c>
      <c r="D123" s="138" t="str">
        <f>IFERROR(IF(IF(INDEX(_xlfn.VSTACK(YES_Writing_ELA[#Data],YES_Writing_FLA[#Data]),MATCH($A123,_xlfn.VSTACK(YES_Writing_ELA[Student Number],YES_Writing_FLA[Student Number]),0),MATCH(VLOOKUP(D$7,'Writing Logic'!$J$7:$K$11,2,FALSE)&amp;" - Per "&amp;VLOOKUP($C$4,'Writing Logic'!$G$8:$H$14,2,FALSE),YES_Writing_ELA[#Headers],0))=0,"",INDEX(_xlfn.VSTACK(YES_Writing_ELA[#Data],YES_Writing_FLA[#Data]),MATCH($A123,_xlfn.VSTACK(YES_Writing_ELA[Student Number],YES_Writing_FLA[Student Number]),0),MATCH(VLOOKUP(D$7,'Writing Logic'!$J$7:$K$11,2,FALSE)&amp;" - Per "&amp;VLOOKUP($C$4,'Writing Logic'!$G$8:$H$14,2,FALSE),YES_Writing_ELA[#Headers],0)))="INS",'Writing Logic'!$B$7,IF(INDEX(_xlfn.VSTACK(YES_Writing_ELA[#Data],YES_Writing_FLA[#Data]),MATCH($A123,_xlfn.VSTACK(YES_Writing_ELA[Student Number],YES_Writing_FLA[Student Number]),0),MATCH(VLOOKUP(D$7,'Writing Logic'!$J$7:$K$11,2,FALSE)&amp;" - Per "&amp;VLOOKUP($C$4,'Writing Logic'!$G$8:$H$14,2,FALSE),YES_Writing_ELA[#Headers],0))=0,"",INDEX(_xlfn.VSTACK(YES_Writing_ELA[#Data],YES_Writing_FLA[#Data]),MATCH($A123,_xlfn.VSTACK(YES_Writing_ELA[Student Number],YES_Writing_FLA[Student Number]),0),MATCH(VLOOKUP(D$7,'Writing Logic'!$J$7:$K$11,2,FALSE)&amp;" - Per "&amp;VLOOKUP($C$4,'Writing Logic'!$G$8:$H$14,2,FALSE),YES_Writing_ELA[#Headers],0)))),"")</f>
        <v/>
      </c>
      <c r="E123" s="138" t="str">
        <f>IFERROR(IF(IF(INDEX(_xlfn.VSTACK(YES_Writing_ELA[#Data],YES_Writing_FLA[#Data]),MATCH($A123,_xlfn.VSTACK(YES_Writing_ELA[Student Number],YES_Writing_FLA[Student Number]),0),MATCH(VLOOKUP(E$7,'Writing Logic'!$J$7:$K$11,2,FALSE)&amp;" - Per "&amp;VLOOKUP($C$4,'Writing Logic'!$G$8:$H$14,2,FALSE),YES_Writing_ELA[#Headers],0))=0,"",INDEX(_xlfn.VSTACK(YES_Writing_ELA[#Data],YES_Writing_FLA[#Data]),MATCH($A123,_xlfn.VSTACK(YES_Writing_ELA[Student Number],YES_Writing_FLA[Student Number]),0),MATCH(VLOOKUP(E$7,'Writing Logic'!$J$7:$K$11,2,FALSE)&amp;" - Per "&amp;VLOOKUP($C$4,'Writing Logic'!$G$8:$H$14,2,FALSE),YES_Writing_ELA[#Headers],0)))="INS",'Writing Logic'!$B$7,IF(INDEX(_xlfn.VSTACK(YES_Writing_ELA[#Data],YES_Writing_FLA[#Data]),MATCH($A123,_xlfn.VSTACK(YES_Writing_ELA[Student Number],YES_Writing_FLA[Student Number]),0),MATCH(VLOOKUP(E$7,'Writing Logic'!$J$7:$K$11,2,FALSE)&amp;" - Per "&amp;VLOOKUP($C$4,'Writing Logic'!$G$8:$H$14,2,FALSE),YES_Writing_ELA[#Headers],0))=0,"",INDEX(_xlfn.VSTACK(YES_Writing_ELA[#Data],YES_Writing_FLA[#Data]),MATCH($A123,_xlfn.VSTACK(YES_Writing_ELA[Student Number],YES_Writing_FLA[Student Number]),0),MATCH(VLOOKUP(E$7,'Writing Logic'!$J$7:$K$11,2,FALSE)&amp;" - Per "&amp;VLOOKUP($C$4,'Writing Logic'!$G$8:$H$14,2,FALSE),YES_Writing_ELA[#Headers],0)))),"")</f>
        <v/>
      </c>
      <c r="F123" s="138" t="str">
        <f>IFERROR(IF(IF(INDEX(_xlfn.VSTACK(YES_Writing_ELA[#Data],YES_Writing_FLA[#Data]),MATCH($A123,_xlfn.VSTACK(YES_Writing_ELA[Student Number],YES_Writing_FLA[Student Number]),0),MATCH(VLOOKUP(F$7,'Writing Logic'!$J$7:$K$11,2,FALSE)&amp;" - Per "&amp;VLOOKUP($C$4,'Writing Logic'!$G$8:$H$14,2,FALSE),YES_Writing_ELA[#Headers],0))=0,"",INDEX(_xlfn.VSTACK(YES_Writing_ELA[#Data],YES_Writing_FLA[#Data]),MATCH($A123,_xlfn.VSTACK(YES_Writing_ELA[Student Number],YES_Writing_FLA[Student Number]),0),MATCH(VLOOKUP(F$7,'Writing Logic'!$J$7:$K$11,2,FALSE)&amp;" - Per "&amp;VLOOKUP($C$4,'Writing Logic'!$G$8:$H$14,2,FALSE),YES_Writing_ELA[#Headers],0)))="INS",'Writing Logic'!$B$7,IF(INDEX(_xlfn.VSTACK(YES_Writing_ELA[#Data],YES_Writing_FLA[#Data]),MATCH($A123,_xlfn.VSTACK(YES_Writing_ELA[Student Number],YES_Writing_FLA[Student Number]),0),MATCH(VLOOKUP(F$7,'Writing Logic'!$J$7:$K$11,2,FALSE)&amp;" - Per "&amp;VLOOKUP($C$4,'Writing Logic'!$G$8:$H$14,2,FALSE),YES_Writing_ELA[#Headers],0))=0,"",INDEX(_xlfn.VSTACK(YES_Writing_ELA[#Data],YES_Writing_FLA[#Data]),MATCH($A123,_xlfn.VSTACK(YES_Writing_ELA[Student Number],YES_Writing_FLA[Student Number]),0),MATCH(VLOOKUP(F$7,'Writing Logic'!$J$7:$K$11,2,FALSE)&amp;" - Per "&amp;VLOOKUP($C$4,'Writing Logic'!$G$8:$H$14,2,FALSE),YES_Writing_ELA[#Headers],0)))),"")</f>
        <v/>
      </c>
      <c r="G123" s="138" t="str">
        <f>IFERROR(IF(IF(INDEX(_xlfn.VSTACK(YES_Writing_ELA[#Data],YES_Writing_FLA[#Data]),MATCH($A123,_xlfn.VSTACK(YES_Writing_ELA[Student Number],YES_Writing_FLA[Student Number]),0),MATCH(VLOOKUP(G$7,'Writing Logic'!$J$7:$K$11,2,FALSE)&amp;" - Per "&amp;VLOOKUP($C$4,'Writing Logic'!$G$8:$H$14,2,FALSE),YES_Writing_ELA[#Headers],0))=0,"",INDEX(_xlfn.VSTACK(YES_Writing_ELA[#Data],YES_Writing_FLA[#Data]),MATCH($A123,_xlfn.VSTACK(YES_Writing_ELA[Student Number],YES_Writing_FLA[Student Number]),0),MATCH(VLOOKUP(G$7,'Writing Logic'!$J$7:$K$11,2,FALSE)&amp;" - Per "&amp;VLOOKUP($C$4,'Writing Logic'!$G$8:$H$14,2,FALSE),YES_Writing_ELA[#Headers],0)))="INS",'Writing Logic'!$B$7,IF(INDEX(_xlfn.VSTACK(YES_Writing_ELA[#Data],YES_Writing_FLA[#Data]),MATCH($A123,_xlfn.VSTACK(YES_Writing_ELA[Student Number],YES_Writing_FLA[Student Number]),0),MATCH(VLOOKUP(G$7,'Writing Logic'!$J$7:$K$11,2,FALSE)&amp;" - Per "&amp;VLOOKUP($C$4,'Writing Logic'!$G$8:$H$14,2,FALSE),YES_Writing_ELA[#Headers],0))=0,"",INDEX(_xlfn.VSTACK(YES_Writing_ELA[#Data],YES_Writing_FLA[#Data]),MATCH($A123,_xlfn.VSTACK(YES_Writing_ELA[Student Number],YES_Writing_FLA[Student Number]),0),MATCH(VLOOKUP(G$7,'Writing Logic'!$J$7:$K$11,2,FALSE)&amp;" - Per "&amp;VLOOKUP($C$4,'Writing Logic'!$G$8:$H$14,2,FALSE),YES_Writing_ELA[#Headers],0)))),"")</f>
        <v/>
      </c>
      <c r="H123" s="138" t="str">
        <f>IFERROR(IF(IF(INDEX(_xlfn.VSTACK(YES_Writing_ELA[#Data],YES_Writing_FLA[#Data]),MATCH($A123,_xlfn.VSTACK(YES_Writing_ELA[Student Number],YES_Writing_FLA[Student Number]),0),MATCH(VLOOKUP(H$7,'Writing Logic'!$J$7:$K$11,2,FALSE)&amp;" - Per "&amp;VLOOKUP($C$4,'Writing Logic'!$G$8:$H$14,2,FALSE),YES_Writing_ELA[#Headers],0))=0,"",INDEX(_xlfn.VSTACK(YES_Writing_ELA[#Data],YES_Writing_FLA[#Data]),MATCH($A123,_xlfn.VSTACK(YES_Writing_ELA[Student Number],YES_Writing_FLA[Student Number]),0),MATCH(VLOOKUP(H$7,'Writing Logic'!$J$7:$K$11,2,FALSE)&amp;" - Per "&amp;VLOOKUP($C$4,'Writing Logic'!$G$8:$H$14,2,FALSE),YES_Writing_ELA[#Headers],0)))="INS",'Writing Logic'!$B$7,IF(INDEX(_xlfn.VSTACK(YES_Writing_ELA[#Data],YES_Writing_FLA[#Data]),MATCH($A123,_xlfn.VSTACK(YES_Writing_ELA[Student Number],YES_Writing_FLA[Student Number]),0),MATCH(VLOOKUP(H$7,'Writing Logic'!$J$7:$K$11,2,FALSE)&amp;" - Per "&amp;VLOOKUP($C$4,'Writing Logic'!$G$8:$H$14,2,FALSE),YES_Writing_ELA[#Headers],0))=0,"",INDEX(_xlfn.VSTACK(YES_Writing_ELA[#Data],YES_Writing_FLA[#Data]),MATCH($A123,_xlfn.VSTACK(YES_Writing_ELA[Student Number],YES_Writing_FLA[Student Number]),0),MATCH(VLOOKUP(H$7,'Writing Logic'!$J$7:$K$11,2,FALSE)&amp;" - Per "&amp;VLOOKUP($C$4,'Writing Logic'!$G$8:$H$14,2,FALSE),YES_Writing_ELA[#Headers],0)))),"")</f>
        <v/>
      </c>
    </row>
    <row r="124" spans="1:8" ht="14.25" customHeight="1" x14ac:dyDescent="0.25">
      <c r="A124" s="137"/>
      <c r="B124" s="137" t="str">
        <f>IFERROR(INDEX(_xlfn.VSTACK(YES_Writing_ELA[#Data], YES_Writing_FLA[#Data]),MATCH($A124,_xlfn.VSTACK(YES_Writing_ELA[Student Number], YES_Writing_FLA[Student Number]),0),MATCH(B$7,YES_Writing_ELA[#Headers],0)),"")</f>
        <v/>
      </c>
      <c r="C124" s="137" t="str">
        <f>IFERROR(INDEX(_xlfn.VSTACK(YES_Writing_ELA[#Data], YES_Writing_FLA[#Data]),MATCH($A124,_xlfn.VSTACK(YES_Writing_ELA[Student Number], YES_Writing_FLA[Student Number]),0),MATCH(C$7,YES_Writing_ELA[#Headers],0)),"")</f>
        <v/>
      </c>
      <c r="D124" s="138" t="str">
        <f>IFERROR(IF(IF(INDEX(_xlfn.VSTACK(YES_Writing_ELA[#Data],YES_Writing_FLA[#Data]),MATCH($A124,_xlfn.VSTACK(YES_Writing_ELA[Student Number],YES_Writing_FLA[Student Number]),0),MATCH(VLOOKUP(D$7,'Writing Logic'!$J$7:$K$11,2,FALSE)&amp;" - Per "&amp;VLOOKUP($C$4,'Writing Logic'!$G$8:$H$14,2,FALSE),YES_Writing_ELA[#Headers],0))=0,"",INDEX(_xlfn.VSTACK(YES_Writing_ELA[#Data],YES_Writing_FLA[#Data]),MATCH($A124,_xlfn.VSTACK(YES_Writing_ELA[Student Number],YES_Writing_FLA[Student Number]),0),MATCH(VLOOKUP(D$7,'Writing Logic'!$J$7:$K$11,2,FALSE)&amp;" - Per "&amp;VLOOKUP($C$4,'Writing Logic'!$G$8:$H$14,2,FALSE),YES_Writing_ELA[#Headers],0)))="INS",'Writing Logic'!$B$7,IF(INDEX(_xlfn.VSTACK(YES_Writing_ELA[#Data],YES_Writing_FLA[#Data]),MATCH($A124,_xlfn.VSTACK(YES_Writing_ELA[Student Number],YES_Writing_FLA[Student Number]),0),MATCH(VLOOKUP(D$7,'Writing Logic'!$J$7:$K$11,2,FALSE)&amp;" - Per "&amp;VLOOKUP($C$4,'Writing Logic'!$G$8:$H$14,2,FALSE),YES_Writing_ELA[#Headers],0))=0,"",INDEX(_xlfn.VSTACK(YES_Writing_ELA[#Data],YES_Writing_FLA[#Data]),MATCH($A124,_xlfn.VSTACK(YES_Writing_ELA[Student Number],YES_Writing_FLA[Student Number]),0),MATCH(VLOOKUP(D$7,'Writing Logic'!$J$7:$K$11,2,FALSE)&amp;" - Per "&amp;VLOOKUP($C$4,'Writing Logic'!$G$8:$H$14,2,FALSE),YES_Writing_ELA[#Headers],0)))),"")</f>
        <v/>
      </c>
      <c r="E124" s="138" t="str">
        <f>IFERROR(IF(IF(INDEX(_xlfn.VSTACK(YES_Writing_ELA[#Data],YES_Writing_FLA[#Data]),MATCH($A124,_xlfn.VSTACK(YES_Writing_ELA[Student Number],YES_Writing_FLA[Student Number]),0),MATCH(VLOOKUP(E$7,'Writing Logic'!$J$7:$K$11,2,FALSE)&amp;" - Per "&amp;VLOOKUP($C$4,'Writing Logic'!$G$8:$H$14,2,FALSE),YES_Writing_ELA[#Headers],0))=0,"",INDEX(_xlfn.VSTACK(YES_Writing_ELA[#Data],YES_Writing_FLA[#Data]),MATCH($A124,_xlfn.VSTACK(YES_Writing_ELA[Student Number],YES_Writing_FLA[Student Number]),0),MATCH(VLOOKUP(E$7,'Writing Logic'!$J$7:$K$11,2,FALSE)&amp;" - Per "&amp;VLOOKUP($C$4,'Writing Logic'!$G$8:$H$14,2,FALSE),YES_Writing_ELA[#Headers],0)))="INS",'Writing Logic'!$B$7,IF(INDEX(_xlfn.VSTACK(YES_Writing_ELA[#Data],YES_Writing_FLA[#Data]),MATCH($A124,_xlfn.VSTACK(YES_Writing_ELA[Student Number],YES_Writing_FLA[Student Number]),0),MATCH(VLOOKUP(E$7,'Writing Logic'!$J$7:$K$11,2,FALSE)&amp;" - Per "&amp;VLOOKUP($C$4,'Writing Logic'!$G$8:$H$14,2,FALSE),YES_Writing_ELA[#Headers],0))=0,"",INDEX(_xlfn.VSTACK(YES_Writing_ELA[#Data],YES_Writing_FLA[#Data]),MATCH($A124,_xlfn.VSTACK(YES_Writing_ELA[Student Number],YES_Writing_FLA[Student Number]),0),MATCH(VLOOKUP(E$7,'Writing Logic'!$J$7:$K$11,2,FALSE)&amp;" - Per "&amp;VLOOKUP($C$4,'Writing Logic'!$G$8:$H$14,2,FALSE),YES_Writing_ELA[#Headers],0)))),"")</f>
        <v/>
      </c>
      <c r="F124" s="138" t="str">
        <f>IFERROR(IF(IF(INDEX(_xlfn.VSTACK(YES_Writing_ELA[#Data],YES_Writing_FLA[#Data]),MATCH($A124,_xlfn.VSTACK(YES_Writing_ELA[Student Number],YES_Writing_FLA[Student Number]),0),MATCH(VLOOKUP(F$7,'Writing Logic'!$J$7:$K$11,2,FALSE)&amp;" - Per "&amp;VLOOKUP($C$4,'Writing Logic'!$G$8:$H$14,2,FALSE),YES_Writing_ELA[#Headers],0))=0,"",INDEX(_xlfn.VSTACK(YES_Writing_ELA[#Data],YES_Writing_FLA[#Data]),MATCH($A124,_xlfn.VSTACK(YES_Writing_ELA[Student Number],YES_Writing_FLA[Student Number]),0),MATCH(VLOOKUP(F$7,'Writing Logic'!$J$7:$K$11,2,FALSE)&amp;" - Per "&amp;VLOOKUP($C$4,'Writing Logic'!$G$8:$H$14,2,FALSE),YES_Writing_ELA[#Headers],0)))="INS",'Writing Logic'!$B$7,IF(INDEX(_xlfn.VSTACK(YES_Writing_ELA[#Data],YES_Writing_FLA[#Data]),MATCH($A124,_xlfn.VSTACK(YES_Writing_ELA[Student Number],YES_Writing_FLA[Student Number]),0),MATCH(VLOOKUP(F$7,'Writing Logic'!$J$7:$K$11,2,FALSE)&amp;" - Per "&amp;VLOOKUP($C$4,'Writing Logic'!$G$8:$H$14,2,FALSE),YES_Writing_ELA[#Headers],0))=0,"",INDEX(_xlfn.VSTACK(YES_Writing_ELA[#Data],YES_Writing_FLA[#Data]),MATCH($A124,_xlfn.VSTACK(YES_Writing_ELA[Student Number],YES_Writing_FLA[Student Number]),0),MATCH(VLOOKUP(F$7,'Writing Logic'!$J$7:$K$11,2,FALSE)&amp;" - Per "&amp;VLOOKUP($C$4,'Writing Logic'!$G$8:$H$14,2,FALSE),YES_Writing_ELA[#Headers],0)))),"")</f>
        <v/>
      </c>
      <c r="G124" s="138" t="str">
        <f>IFERROR(IF(IF(INDEX(_xlfn.VSTACK(YES_Writing_ELA[#Data],YES_Writing_FLA[#Data]),MATCH($A124,_xlfn.VSTACK(YES_Writing_ELA[Student Number],YES_Writing_FLA[Student Number]),0),MATCH(VLOOKUP(G$7,'Writing Logic'!$J$7:$K$11,2,FALSE)&amp;" - Per "&amp;VLOOKUP($C$4,'Writing Logic'!$G$8:$H$14,2,FALSE),YES_Writing_ELA[#Headers],0))=0,"",INDEX(_xlfn.VSTACK(YES_Writing_ELA[#Data],YES_Writing_FLA[#Data]),MATCH($A124,_xlfn.VSTACK(YES_Writing_ELA[Student Number],YES_Writing_FLA[Student Number]),0),MATCH(VLOOKUP(G$7,'Writing Logic'!$J$7:$K$11,2,FALSE)&amp;" - Per "&amp;VLOOKUP($C$4,'Writing Logic'!$G$8:$H$14,2,FALSE),YES_Writing_ELA[#Headers],0)))="INS",'Writing Logic'!$B$7,IF(INDEX(_xlfn.VSTACK(YES_Writing_ELA[#Data],YES_Writing_FLA[#Data]),MATCH($A124,_xlfn.VSTACK(YES_Writing_ELA[Student Number],YES_Writing_FLA[Student Number]),0),MATCH(VLOOKUP(G$7,'Writing Logic'!$J$7:$K$11,2,FALSE)&amp;" - Per "&amp;VLOOKUP($C$4,'Writing Logic'!$G$8:$H$14,2,FALSE),YES_Writing_ELA[#Headers],0))=0,"",INDEX(_xlfn.VSTACK(YES_Writing_ELA[#Data],YES_Writing_FLA[#Data]),MATCH($A124,_xlfn.VSTACK(YES_Writing_ELA[Student Number],YES_Writing_FLA[Student Number]),0),MATCH(VLOOKUP(G$7,'Writing Logic'!$J$7:$K$11,2,FALSE)&amp;" - Per "&amp;VLOOKUP($C$4,'Writing Logic'!$G$8:$H$14,2,FALSE),YES_Writing_ELA[#Headers],0)))),"")</f>
        <v/>
      </c>
      <c r="H124" s="138" t="str">
        <f>IFERROR(IF(IF(INDEX(_xlfn.VSTACK(YES_Writing_ELA[#Data],YES_Writing_FLA[#Data]),MATCH($A124,_xlfn.VSTACK(YES_Writing_ELA[Student Number],YES_Writing_FLA[Student Number]),0),MATCH(VLOOKUP(H$7,'Writing Logic'!$J$7:$K$11,2,FALSE)&amp;" - Per "&amp;VLOOKUP($C$4,'Writing Logic'!$G$8:$H$14,2,FALSE),YES_Writing_ELA[#Headers],0))=0,"",INDEX(_xlfn.VSTACK(YES_Writing_ELA[#Data],YES_Writing_FLA[#Data]),MATCH($A124,_xlfn.VSTACK(YES_Writing_ELA[Student Number],YES_Writing_FLA[Student Number]),0),MATCH(VLOOKUP(H$7,'Writing Logic'!$J$7:$K$11,2,FALSE)&amp;" - Per "&amp;VLOOKUP($C$4,'Writing Logic'!$G$8:$H$14,2,FALSE),YES_Writing_ELA[#Headers],0)))="INS",'Writing Logic'!$B$7,IF(INDEX(_xlfn.VSTACK(YES_Writing_ELA[#Data],YES_Writing_FLA[#Data]),MATCH($A124,_xlfn.VSTACK(YES_Writing_ELA[Student Number],YES_Writing_FLA[Student Number]),0),MATCH(VLOOKUP(H$7,'Writing Logic'!$J$7:$K$11,2,FALSE)&amp;" - Per "&amp;VLOOKUP($C$4,'Writing Logic'!$G$8:$H$14,2,FALSE),YES_Writing_ELA[#Headers],0))=0,"",INDEX(_xlfn.VSTACK(YES_Writing_ELA[#Data],YES_Writing_FLA[#Data]),MATCH($A124,_xlfn.VSTACK(YES_Writing_ELA[Student Number],YES_Writing_FLA[Student Number]),0),MATCH(VLOOKUP(H$7,'Writing Logic'!$J$7:$K$11,2,FALSE)&amp;" - Per "&amp;VLOOKUP($C$4,'Writing Logic'!$G$8:$H$14,2,FALSE),YES_Writing_ELA[#Headers],0)))),"")</f>
        <v/>
      </c>
    </row>
    <row r="125" spans="1:8" ht="14.25" customHeight="1" x14ac:dyDescent="0.25">
      <c r="A125" s="137"/>
      <c r="B125" s="137" t="str">
        <f>IFERROR(INDEX(_xlfn.VSTACK(YES_Writing_ELA[#Data], YES_Writing_FLA[#Data]),MATCH($A125,_xlfn.VSTACK(YES_Writing_ELA[Student Number], YES_Writing_FLA[Student Number]),0),MATCH(B$7,YES_Writing_ELA[#Headers],0)),"")</f>
        <v/>
      </c>
      <c r="C125" s="137" t="str">
        <f>IFERROR(INDEX(_xlfn.VSTACK(YES_Writing_ELA[#Data], YES_Writing_FLA[#Data]),MATCH($A125,_xlfn.VSTACK(YES_Writing_ELA[Student Number], YES_Writing_FLA[Student Number]),0),MATCH(C$7,YES_Writing_ELA[#Headers],0)),"")</f>
        <v/>
      </c>
      <c r="D125" s="138" t="str">
        <f>IFERROR(IF(IF(INDEX(_xlfn.VSTACK(YES_Writing_ELA[#Data],YES_Writing_FLA[#Data]),MATCH($A125,_xlfn.VSTACK(YES_Writing_ELA[Student Number],YES_Writing_FLA[Student Number]),0),MATCH(VLOOKUP(D$7,'Writing Logic'!$J$7:$K$11,2,FALSE)&amp;" - Per "&amp;VLOOKUP($C$4,'Writing Logic'!$G$8:$H$14,2,FALSE),YES_Writing_ELA[#Headers],0))=0,"",INDEX(_xlfn.VSTACK(YES_Writing_ELA[#Data],YES_Writing_FLA[#Data]),MATCH($A125,_xlfn.VSTACK(YES_Writing_ELA[Student Number],YES_Writing_FLA[Student Number]),0),MATCH(VLOOKUP(D$7,'Writing Logic'!$J$7:$K$11,2,FALSE)&amp;" - Per "&amp;VLOOKUP($C$4,'Writing Logic'!$G$8:$H$14,2,FALSE),YES_Writing_ELA[#Headers],0)))="INS",'Writing Logic'!$B$7,IF(INDEX(_xlfn.VSTACK(YES_Writing_ELA[#Data],YES_Writing_FLA[#Data]),MATCH($A125,_xlfn.VSTACK(YES_Writing_ELA[Student Number],YES_Writing_FLA[Student Number]),0),MATCH(VLOOKUP(D$7,'Writing Logic'!$J$7:$K$11,2,FALSE)&amp;" - Per "&amp;VLOOKUP($C$4,'Writing Logic'!$G$8:$H$14,2,FALSE),YES_Writing_ELA[#Headers],0))=0,"",INDEX(_xlfn.VSTACK(YES_Writing_ELA[#Data],YES_Writing_FLA[#Data]),MATCH($A125,_xlfn.VSTACK(YES_Writing_ELA[Student Number],YES_Writing_FLA[Student Number]),0),MATCH(VLOOKUP(D$7,'Writing Logic'!$J$7:$K$11,2,FALSE)&amp;" - Per "&amp;VLOOKUP($C$4,'Writing Logic'!$G$8:$H$14,2,FALSE),YES_Writing_ELA[#Headers],0)))),"")</f>
        <v/>
      </c>
      <c r="E125" s="138" t="str">
        <f>IFERROR(IF(IF(INDEX(_xlfn.VSTACK(YES_Writing_ELA[#Data],YES_Writing_FLA[#Data]),MATCH($A125,_xlfn.VSTACK(YES_Writing_ELA[Student Number],YES_Writing_FLA[Student Number]),0),MATCH(VLOOKUP(E$7,'Writing Logic'!$J$7:$K$11,2,FALSE)&amp;" - Per "&amp;VLOOKUP($C$4,'Writing Logic'!$G$8:$H$14,2,FALSE),YES_Writing_ELA[#Headers],0))=0,"",INDEX(_xlfn.VSTACK(YES_Writing_ELA[#Data],YES_Writing_FLA[#Data]),MATCH($A125,_xlfn.VSTACK(YES_Writing_ELA[Student Number],YES_Writing_FLA[Student Number]),0),MATCH(VLOOKUP(E$7,'Writing Logic'!$J$7:$K$11,2,FALSE)&amp;" - Per "&amp;VLOOKUP($C$4,'Writing Logic'!$G$8:$H$14,2,FALSE),YES_Writing_ELA[#Headers],0)))="INS",'Writing Logic'!$B$7,IF(INDEX(_xlfn.VSTACK(YES_Writing_ELA[#Data],YES_Writing_FLA[#Data]),MATCH($A125,_xlfn.VSTACK(YES_Writing_ELA[Student Number],YES_Writing_FLA[Student Number]),0),MATCH(VLOOKUP(E$7,'Writing Logic'!$J$7:$K$11,2,FALSE)&amp;" - Per "&amp;VLOOKUP($C$4,'Writing Logic'!$G$8:$H$14,2,FALSE),YES_Writing_ELA[#Headers],0))=0,"",INDEX(_xlfn.VSTACK(YES_Writing_ELA[#Data],YES_Writing_FLA[#Data]),MATCH($A125,_xlfn.VSTACK(YES_Writing_ELA[Student Number],YES_Writing_FLA[Student Number]),0),MATCH(VLOOKUP(E$7,'Writing Logic'!$J$7:$K$11,2,FALSE)&amp;" - Per "&amp;VLOOKUP($C$4,'Writing Logic'!$G$8:$H$14,2,FALSE),YES_Writing_ELA[#Headers],0)))),"")</f>
        <v/>
      </c>
      <c r="F125" s="138" t="str">
        <f>IFERROR(IF(IF(INDEX(_xlfn.VSTACK(YES_Writing_ELA[#Data],YES_Writing_FLA[#Data]),MATCH($A125,_xlfn.VSTACK(YES_Writing_ELA[Student Number],YES_Writing_FLA[Student Number]),0),MATCH(VLOOKUP(F$7,'Writing Logic'!$J$7:$K$11,2,FALSE)&amp;" - Per "&amp;VLOOKUP($C$4,'Writing Logic'!$G$8:$H$14,2,FALSE),YES_Writing_ELA[#Headers],0))=0,"",INDEX(_xlfn.VSTACK(YES_Writing_ELA[#Data],YES_Writing_FLA[#Data]),MATCH($A125,_xlfn.VSTACK(YES_Writing_ELA[Student Number],YES_Writing_FLA[Student Number]),0),MATCH(VLOOKUP(F$7,'Writing Logic'!$J$7:$K$11,2,FALSE)&amp;" - Per "&amp;VLOOKUP($C$4,'Writing Logic'!$G$8:$H$14,2,FALSE),YES_Writing_ELA[#Headers],0)))="INS",'Writing Logic'!$B$7,IF(INDEX(_xlfn.VSTACK(YES_Writing_ELA[#Data],YES_Writing_FLA[#Data]),MATCH($A125,_xlfn.VSTACK(YES_Writing_ELA[Student Number],YES_Writing_FLA[Student Number]),0),MATCH(VLOOKUP(F$7,'Writing Logic'!$J$7:$K$11,2,FALSE)&amp;" - Per "&amp;VLOOKUP($C$4,'Writing Logic'!$G$8:$H$14,2,FALSE),YES_Writing_ELA[#Headers],0))=0,"",INDEX(_xlfn.VSTACK(YES_Writing_ELA[#Data],YES_Writing_FLA[#Data]),MATCH($A125,_xlfn.VSTACK(YES_Writing_ELA[Student Number],YES_Writing_FLA[Student Number]),0),MATCH(VLOOKUP(F$7,'Writing Logic'!$J$7:$K$11,2,FALSE)&amp;" - Per "&amp;VLOOKUP($C$4,'Writing Logic'!$G$8:$H$14,2,FALSE),YES_Writing_ELA[#Headers],0)))),"")</f>
        <v/>
      </c>
      <c r="G125" s="138" t="str">
        <f>IFERROR(IF(IF(INDEX(_xlfn.VSTACK(YES_Writing_ELA[#Data],YES_Writing_FLA[#Data]),MATCH($A125,_xlfn.VSTACK(YES_Writing_ELA[Student Number],YES_Writing_FLA[Student Number]),0),MATCH(VLOOKUP(G$7,'Writing Logic'!$J$7:$K$11,2,FALSE)&amp;" - Per "&amp;VLOOKUP($C$4,'Writing Logic'!$G$8:$H$14,2,FALSE),YES_Writing_ELA[#Headers],0))=0,"",INDEX(_xlfn.VSTACK(YES_Writing_ELA[#Data],YES_Writing_FLA[#Data]),MATCH($A125,_xlfn.VSTACK(YES_Writing_ELA[Student Number],YES_Writing_FLA[Student Number]),0),MATCH(VLOOKUP(G$7,'Writing Logic'!$J$7:$K$11,2,FALSE)&amp;" - Per "&amp;VLOOKUP($C$4,'Writing Logic'!$G$8:$H$14,2,FALSE),YES_Writing_ELA[#Headers],0)))="INS",'Writing Logic'!$B$7,IF(INDEX(_xlfn.VSTACK(YES_Writing_ELA[#Data],YES_Writing_FLA[#Data]),MATCH($A125,_xlfn.VSTACK(YES_Writing_ELA[Student Number],YES_Writing_FLA[Student Number]),0),MATCH(VLOOKUP(G$7,'Writing Logic'!$J$7:$K$11,2,FALSE)&amp;" - Per "&amp;VLOOKUP($C$4,'Writing Logic'!$G$8:$H$14,2,FALSE),YES_Writing_ELA[#Headers],0))=0,"",INDEX(_xlfn.VSTACK(YES_Writing_ELA[#Data],YES_Writing_FLA[#Data]),MATCH($A125,_xlfn.VSTACK(YES_Writing_ELA[Student Number],YES_Writing_FLA[Student Number]),0),MATCH(VLOOKUP(G$7,'Writing Logic'!$J$7:$K$11,2,FALSE)&amp;" - Per "&amp;VLOOKUP($C$4,'Writing Logic'!$G$8:$H$14,2,FALSE),YES_Writing_ELA[#Headers],0)))),"")</f>
        <v/>
      </c>
      <c r="H125" s="138" t="str">
        <f>IFERROR(IF(IF(INDEX(_xlfn.VSTACK(YES_Writing_ELA[#Data],YES_Writing_FLA[#Data]),MATCH($A125,_xlfn.VSTACK(YES_Writing_ELA[Student Number],YES_Writing_FLA[Student Number]),0),MATCH(VLOOKUP(H$7,'Writing Logic'!$J$7:$K$11,2,FALSE)&amp;" - Per "&amp;VLOOKUP($C$4,'Writing Logic'!$G$8:$H$14,2,FALSE),YES_Writing_ELA[#Headers],0))=0,"",INDEX(_xlfn.VSTACK(YES_Writing_ELA[#Data],YES_Writing_FLA[#Data]),MATCH($A125,_xlfn.VSTACK(YES_Writing_ELA[Student Number],YES_Writing_FLA[Student Number]),0),MATCH(VLOOKUP(H$7,'Writing Logic'!$J$7:$K$11,2,FALSE)&amp;" - Per "&amp;VLOOKUP($C$4,'Writing Logic'!$G$8:$H$14,2,FALSE),YES_Writing_ELA[#Headers],0)))="INS",'Writing Logic'!$B$7,IF(INDEX(_xlfn.VSTACK(YES_Writing_ELA[#Data],YES_Writing_FLA[#Data]),MATCH($A125,_xlfn.VSTACK(YES_Writing_ELA[Student Number],YES_Writing_FLA[Student Number]),0),MATCH(VLOOKUP(H$7,'Writing Logic'!$J$7:$K$11,2,FALSE)&amp;" - Per "&amp;VLOOKUP($C$4,'Writing Logic'!$G$8:$H$14,2,FALSE),YES_Writing_ELA[#Headers],0))=0,"",INDEX(_xlfn.VSTACK(YES_Writing_ELA[#Data],YES_Writing_FLA[#Data]),MATCH($A125,_xlfn.VSTACK(YES_Writing_ELA[Student Number],YES_Writing_FLA[Student Number]),0),MATCH(VLOOKUP(H$7,'Writing Logic'!$J$7:$K$11,2,FALSE)&amp;" - Per "&amp;VLOOKUP($C$4,'Writing Logic'!$G$8:$H$14,2,FALSE),YES_Writing_ELA[#Headers],0)))),"")</f>
        <v/>
      </c>
    </row>
    <row r="126" spans="1:8" ht="14.25" customHeight="1" x14ac:dyDescent="0.25">
      <c r="A126" s="137"/>
      <c r="B126" s="137" t="str">
        <f>IFERROR(INDEX(_xlfn.VSTACK(YES_Writing_ELA[#Data], YES_Writing_FLA[#Data]),MATCH($A126,_xlfn.VSTACK(YES_Writing_ELA[Student Number], YES_Writing_FLA[Student Number]),0),MATCH(B$7,YES_Writing_ELA[#Headers],0)),"")</f>
        <v/>
      </c>
      <c r="C126" s="137" t="str">
        <f>IFERROR(INDEX(_xlfn.VSTACK(YES_Writing_ELA[#Data], YES_Writing_FLA[#Data]),MATCH($A126,_xlfn.VSTACK(YES_Writing_ELA[Student Number], YES_Writing_FLA[Student Number]),0),MATCH(C$7,YES_Writing_ELA[#Headers],0)),"")</f>
        <v/>
      </c>
      <c r="D126" s="138" t="str">
        <f>IFERROR(IF(IF(INDEX(_xlfn.VSTACK(YES_Writing_ELA[#Data],YES_Writing_FLA[#Data]),MATCH($A126,_xlfn.VSTACK(YES_Writing_ELA[Student Number],YES_Writing_FLA[Student Number]),0),MATCH(VLOOKUP(D$7,'Writing Logic'!$J$7:$K$11,2,FALSE)&amp;" - Per "&amp;VLOOKUP($C$4,'Writing Logic'!$G$8:$H$14,2,FALSE),YES_Writing_ELA[#Headers],0))=0,"",INDEX(_xlfn.VSTACK(YES_Writing_ELA[#Data],YES_Writing_FLA[#Data]),MATCH($A126,_xlfn.VSTACK(YES_Writing_ELA[Student Number],YES_Writing_FLA[Student Number]),0),MATCH(VLOOKUP(D$7,'Writing Logic'!$J$7:$K$11,2,FALSE)&amp;" - Per "&amp;VLOOKUP($C$4,'Writing Logic'!$G$8:$H$14,2,FALSE),YES_Writing_ELA[#Headers],0)))="INS",'Writing Logic'!$B$7,IF(INDEX(_xlfn.VSTACK(YES_Writing_ELA[#Data],YES_Writing_FLA[#Data]),MATCH($A126,_xlfn.VSTACK(YES_Writing_ELA[Student Number],YES_Writing_FLA[Student Number]),0),MATCH(VLOOKUP(D$7,'Writing Logic'!$J$7:$K$11,2,FALSE)&amp;" - Per "&amp;VLOOKUP($C$4,'Writing Logic'!$G$8:$H$14,2,FALSE),YES_Writing_ELA[#Headers],0))=0,"",INDEX(_xlfn.VSTACK(YES_Writing_ELA[#Data],YES_Writing_FLA[#Data]),MATCH($A126,_xlfn.VSTACK(YES_Writing_ELA[Student Number],YES_Writing_FLA[Student Number]),0),MATCH(VLOOKUP(D$7,'Writing Logic'!$J$7:$K$11,2,FALSE)&amp;" - Per "&amp;VLOOKUP($C$4,'Writing Logic'!$G$8:$H$14,2,FALSE),YES_Writing_ELA[#Headers],0)))),"")</f>
        <v/>
      </c>
      <c r="E126" s="138" t="str">
        <f>IFERROR(IF(IF(INDEX(_xlfn.VSTACK(YES_Writing_ELA[#Data],YES_Writing_FLA[#Data]),MATCH($A126,_xlfn.VSTACK(YES_Writing_ELA[Student Number],YES_Writing_FLA[Student Number]),0),MATCH(VLOOKUP(E$7,'Writing Logic'!$J$7:$K$11,2,FALSE)&amp;" - Per "&amp;VLOOKUP($C$4,'Writing Logic'!$G$8:$H$14,2,FALSE),YES_Writing_ELA[#Headers],0))=0,"",INDEX(_xlfn.VSTACK(YES_Writing_ELA[#Data],YES_Writing_FLA[#Data]),MATCH($A126,_xlfn.VSTACK(YES_Writing_ELA[Student Number],YES_Writing_FLA[Student Number]),0),MATCH(VLOOKUP(E$7,'Writing Logic'!$J$7:$K$11,2,FALSE)&amp;" - Per "&amp;VLOOKUP($C$4,'Writing Logic'!$G$8:$H$14,2,FALSE),YES_Writing_ELA[#Headers],0)))="INS",'Writing Logic'!$B$7,IF(INDEX(_xlfn.VSTACK(YES_Writing_ELA[#Data],YES_Writing_FLA[#Data]),MATCH($A126,_xlfn.VSTACK(YES_Writing_ELA[Student Number],YES_Writing_FLA[Student Number]),0),MATCH(VLOOKUP(E$7,'Writing Logic'!$J$7:$K$11,2,FALSE)&amp;" - Per "&amp;VLOOKUP($C$4,'Writing Logic'!$G$8:$H$14,2,FALSE),YES_Writing_ELA[#Headers],0))=0,"",INDEX(_xlfn.VSTACK(YES_Writing_ELA[#Data],YES_Writing_FLA[#Data]),MATCH($A126,_xlfn.VSTACK(YES_Writing_ELA[Student Number],YES_Writing_FLA[Student Number]),0),MATCH(VLOOKUP(E$7,'Writing Logic'!$J$7:$K$11,2,FALSE)&amp;" - Per "&amp;VLOOKUP($C$4,'Writing Logic'!$G$8:$H$14,2,FALSE),YES_Writing_ELA[#Headers],0)))),"")</f>
        <v/>
      </c>
      <c r="F126" s="138" t="str">
        <f>IFERROR(IF(IF(INDEX(_xlfn.VSTACK(YES_Writing_ELA[#Data],YES_Writing_FLA[#Data]),MATCH($A126,_xlfn.VSTACK(YES_Writing_ELA[Student Number],YES_Writing_FLA[Student Number]),0),MATCH(VLOOKUP(F$7,'Writing Logic'!$J$7:$K$11,2,FALSE)&amp;" - Per "&amp;VLOOKUP($C$4,'Writing Logic'!$G$8:$H$14,2,FALSE),YES_Writing_ELA[#Headers],0))=0,"",INDEX(_xlfn.VSTACK(YES_Writing_ELA[#Data],YES_Writing_FLA[#Data]),MATCH($A126,_xlfn.VSTACK(YES_Writing_ELA[Student Number],YES_Writing_FLA[Student Number]),0),MATCH(VLOOKUP(F$7,'Writing Logic'!$J$7:$K$11,2,FALSE)&amp;" - Per "&amp;VLOOKUP($C$4,'Writing Logic'!$G$8:$H$14,2,FALSE),YES_Writing_ELA[#Headers],0)))="INS",'Writing Logic'!$B$7,IF(INDEX(_xlfn.VSTACK(YES_Writing_ELA[#Data],YES_Writing_FLA[#Data]),MATCH($A126,_xlfn.VSTACK(YES_Writing_ELA[Student Number],YES_Writing_FLA[Student Number]),0),MATCH(VLOOKUP(F$7,'Writing Logic'!$J$7:$K$11,2,FALSE)&amp;" - Per "&amp;VLOOKUP($C$4,'Writing Logic'!$G$8:$H$14,2,FALSE),YES_Writing_ELA[#Headers],0))=0,"",INDEX(_xlfn.VSTACK(YES_Writing_ELA[#Data],YES_Writing_FLA[#Data]),MATCH($A126,_xlfn.VSTACK(YES_Writing_ELA[Student Number],YES_Writing_FLA[Student Number]),0),MATCH(VLOOKUP(F$7,'Writing Logic'!$J$7:$K$11,2,FALSE)&amp;" - Per "&amp;VLOOKUP($C$4,'Writing Logic'!$G$8:$H$14,2,FALSE),YES_Writing_ELA[#Headers],0)))),"")</f>
        <v/>
      </c>
      <c r="G126" s="138" t="str">
        <f>IFERROR(IF(IF(INDEX(_xlfn.VSTACK(YES_Writing_ELA[#Data],YES_Writing_FLA[#Data]),MATCH($A126,_xlfn.VSTACK(YES_Writing_ELA[Student Number],YES_Writing_FLA[Student Number]),0),MATCH(VLOOKUP(G$7,'Writing Logic'!$J$7:$K$11,2,FALSE)&amp;" - Per "&amp;VLOOKUP($C$4,'Writing Logic'!$G$8:$H$14,2,FALSE),YES_Writing_ELA[#Headers],0))=0,"",INDEX(_xlfn.VSTACK(YES_Writing_ELA[#Data],YES_Writing_FLA[#Data]),MATCH($A126,_xlfn.VSTACK(YES_Writing_ELA[Student Number],YES_Writing_FLA[Student Number]),0),MATCH(VLOOKUP(G$7,'Writing Logic'!$J$7:$K$11,2,FALSE)&amp;" - Per "&amp;VLOOKUP($C$4,'Writing Logic'!$G$8:$H$14,2,FALSE),YES_Writing_ELA[#Headers],0)))="INS",'Writing Logic'!$B$7,IF(INDEX(_xlfn.VSTACK(YES_Writing_ELA[#Data],YES_Writing_FLA[#Data]),MATCH($A126,_xlfn.VSTACK(YES_Writing_ELA[Student Number],YES_Writing_FLA[Student Number]),0),MATCH(VLOOKUP(G$7,'Writing Logic'!$J$7:$K$11,2,FALSE)&amp;" - Per "&amp;VLOOKUP($C$4,'Writing Logic'!$G$8:$H$14,2,FALSE),YES_Writing_ELA[#Headers],0))=0,"",INDEX(_xlfn.VSTACK(YES_Writing_ELA[#Data],YES_Writing_FLA[#Data]),MATCH($A126,_xlfn.VSTACK(YES_Writing_ELA[Student Number],YES_Writing_FLA[Student Number]),0),MATCH(VLOOKUP(G$7,'Writing Logic'!$J$7:$K$11,2,FALSE)&amp;" - Per "&amp;VLOOKUP($C$4,'Writing Logic'!$G$8:$H$14,2,FALSE),YES_Writing_ELA[#Headers],0)))),"")</f>
        <v/>
      </c>
      <c r="H126" s="138" t="str">
        <f>IFERROR(IF(IF(INDEX(_xlfn.VSTACK(YES_Writing_ELA[#Data],YES_Writing_FLA[#Data]),MATCH($A126,_xlfn.VSTACK(YES_Writing_ELA[Student Number],YES_Writing_FLA[Student Number]),0),MATCH(VLOOKUP(H$7,'Writing Logic'!$J$7:$K$11,2,FALSE)&amp;" - Per "&amp;VLOOKUP($C$4,'Writing Logic'!$G$8:$H$14,2,FALSE),YES_Writing_ELA[#Headers],0))=0,"",INDEX(_xlfn.VSTACK(YES_Writing_ELA[#Data],YES_Writing_FLA[#Data]),MATCH($A126,_xlfn.VSTACK(YES_Writing_ELA[Student Number],YES_Writing_FLA[Student Number]),0),MATCH(VLOOKUP(H$7,'Writing Logic'!$J$7:$K$11,2,FALSE)&amp;" - Per "&amp;VLOOKUP($C$4,'Writing Logic'!$G$8:$H$14,2,FALSE),YES_Writing_ELA[#Headers],0)))="INS",'Writing Logic'!$B$7,IF(INDEX(_xlfn.VSTACK(YES_Writing_ELA[#Data],YES_Writing_FLA[#Data]),MATCH($A126,_xlfn.VSTACK(YES_Writing_ELA[Student Number],YES_Writing_FLA[Student Number]),0),MATCH(VLOOKUP(H$7,'Writing Logic'!$J$7:$K$11,2,FALSE)&amp;" - Per "&amp;VLOOKUP($C$4,'Writing Logic'!$G$8:$H$14,2,FALSE),YES_Writing_ELA[#Headers],0))=0,"",INDEX(_xlfn.VSTACK(YES_Writing_ELA[#Data],YES_Writing_FLA[#Data]),MATCH($A126,_xlfn.VSTACK(YES_Writing_ELA[Student Number],YES_Writing_FLA[Student Number]),0),MATCH(VLOOKUP(H$7,'Writing Logic'!$J$7:$K$11,2,FALSE)&amp;" - Per "&amp;VLOOKUP($C$4,'Writing Logic'!$G$8:$H$14,2,FALSE),YES_Writing_ELA[#Headers],0)))),"")</f>
        <v/>
      </c>
    </row>
    <row r="127" spans="1:8" ht="14.25" customHeight="1" x14ac:dyDescent="0.25">
      <c r="A127" s="137"/>
      <c r="B127" s="137" t="str">
        <f>IFERROR(INDEX(_xlfn.VSTACK(YES_Writing_ELA[#Data], YES_Writing_FLA[#Data]),MATCH($A127,_xlfn.VSTACK(YES_Writing_ELA[Student Number], YES_Writing_FLA[Student Number]),0),MATCH(B$7,YES_Writing_ELA[#Headers],0)),"")</f>
        <v/>
      </c>
      <c r="C127" s="137" t="str">
        <f>IFERROR(INDEX(_xlfn.VSTACK(YES_Writing_ELA[#Data], YES_Writing_FLA[#Data]),MATCH($A127,_xlfn.VSTACK(YES_Writing_ELA[Student Number], YES_Writing_FLA[Student Number]),0),MATCH(C$7,YES_Writing_ELA[#Headers],0)),"")</f>
        <v/>
      </c>
      <c r="D127" s="138" t="str">
        <f>IFERROR(IF(IF(INDEX(_xlfn.VSTACK(YES_Writing_ELA[#Data],YES_Writing_FLA[#Data]),MATCH($A127,_xlfn.VSTACK(YES_Writing_ELA[Student Number],YES_Writing_FLA[Student Number]),0),MATCH(VLOOKUP(D$7,'Writing Logic'!$J$7:$K$11,2,FALSE)&amp;" - Per "&amp;VLOOKUP($C$4,'Writing Logic'!$G$8:$H$14,2,FALSE),YES_Writing_ELA[#Headers],0))=0,"",INDEX(_xlfn.VSTACK(YES_Writing_ELA[#Data],YES_Writing_FLA[#Data]),MATCH($A127,_xlfn.VSTACK(YES_Writing_ELA[Student Number],YES_Writing_FLA[Student Number]),0),MATCH(VLOOKUP(D$7,'Writing Logic'!$J$7:$K$11,2,FALSE)&amp;" - Per "&amp;VLOOKUP($C$4,'Writing Logic'!$G$8:$H$14,2,FALSE),YES_Writing_ELA[#Headers],0)))="INS",'Writing Logic'!$B$7,IF(INDEX(_xlfn.VSTACK(YES_Writing_ELA[#Data],YES_Writing_FLA[#Data]),MATCH($A127,_xlfn.VSTACK(YES_Writing_ELA[Student Number],YES_Writing_FLA[Student Number]),0),MATCH(VLOOKUP(D$7,'Writing Logic'!$J$7:$K$11,2,FALSE)&amp;" - Per "&amp;VLOOKUP($C$4,'Writing Logic'!$G$8:$H$14,2,FALSE),YES_Writing_ELA[#Headers],0))=0,"",INDEX(_xlfn.VSTACK(YES_Writing_ELA[#Data],YES_Writing_FLA[#Data]),MATCH($A127,_xlfn.VSTACK(YES_Writing_ELA[Student Number],YES_Writing_FLA[Student Number]),0),MATCH(VLOOKUP(D$7,'Writing Logic'!$J$7:$K$11,2,FALSE)&amp;" - Per "&amp;VLOOKUP($C$4,'Writing Logic'!$G$8:$H$14,2,FALSE),YES_Writing_ELA[#Headers],0)))),"")</f>
        <v/>
      </c>
      <c r="E127" s="138" t="str">
        <f>IFERROR(IF(IF(INDEX(_xlfn.VSTACK(YES_Writing_ELA[#Data],YES_Writing_FLA[#Data]),MATCH($A127,_xlfn.VSTACK(YES_Writing_ELA[Student Number],YES_Writing_FLA[Student Number]),0),MATCH(VLOOKUP(E$7,'Writing Logic'!$J$7:$K$11,2,FALSE)&amp;" - Per "&amp;VLOOKUP($C$4,'Writing Logic'!$G$8:$H$14,2,FALSE),YES_Writing_ELA[#Headers],0))=0,"",INDEX(_xlfn.VSTACK(YES_Writing_ELA[#Data],YES_Writing_FLA[#Data]),MATCH($A127,_xlfn.VSTACK(YES_Writing_ELA[Student Number],YES_Writing_FLA[Student Number]),0),MATCH(VLOOKUP(E$7,'Writing Logic'!$J$7:$K$11,2,FALSE)&amp;" - Per "&amp;VLOOKUP($C$4,'Writing Logic'!$G$8:$H$14,2,FALSE),YES_Writing_ELA[#Headers],0)))="INS",'Writing Logic'!$B$7,IF(INDEX(_xlfn.VSTACK(YES_Writing_ELA[#Data],YES_Writing_FLA[#Data]),MATCH($A127,_xlfn.VSTACK(YES_Writing_ELA[Student Number],YES_Writing_FLA[Student Number]),0),MATCH(VLOOKUP(E$7,'Writing Logic'!$J$7:$K$11,2,FALSE)&amp;" - Per "&amp;VLOOKUP($C$4,'Writing Logic'!$G$8:$H$14,2,FALSE),YES_Writing_ELA[#Headers],0))=0,"",INDEX(_xlfn.VSTACK(YES_Writing_ELA[#Data],YES_Writing_FLA[#Data]),MATCH($A127,_xlfn.VSTACK(YES_Writing_ELA[Student Number],YES_Writing_FLA[Student Number]),0),MATCH(VLOOKUP(E$7,'Writing Logic'!$J$7:$K$11,2,FALSE)&amp;" - Per "&amp;VLOOKUP($C$4,'Writing Logic'!$G$8:$H$14,2,FALSE),YES_Writing_ELA[#Headers],0)))),"")</f>
        <v/>
      </c>
      <c r="F127" s="138" t="str">
        <f>IFERROR(IF(IF(INDEX(_xlfn.VSTACK(YES_Writing_ELA[#Data],YES_Writing_FLA[#Data]),MATCH($A127,_xlfn.VSTACK(YES_Writing_ELA[Student Number],YES_Writing_FLA[Student Number]),0),MATCH(VLOOKUP(F$7,'Writing Logic'!$J$7:$K$11,2,FALSE)&amp;" - Per "&amp;VLOOKUP($C$4,'Writing Logic'!$G$8:$H$14,2,FALSE),YES_Writing_ELA[#Headers],0))=0,"",INDEX(_xlfn.VSTACK(YES_Writing_ELA[#Data],YES_Writing_FLA[#Data]),MATCH($A127,_xlfn.VSTACK(YES_Writing_ELA[Student Number],YES_Writing_FLA[Student Number]),0),MATCH(VLOOKUP(F$7,'Writing Logic'!$J$7:$K$11,2,FALSE)&amp;" - Per "&amp;VLOOKUP($C$4,'Writing Logic'!$G$8:$H$14,2,FALSE),YES_Writing_ELA[#Headers],0)))="INS",'Writing Logic'!$B$7,IF(INDEX(_xlfn.VSTACK(YES_Writing_ELA[#Data],YES_Writing_FLA[#Data]),MATCH($A127,_xlfn.VSTACK(YES_Writing_ELA[Student Number],YES_Writing_FLA[Student Number]),0),MATCH(VLOOKUP(F$7,'Writing Logic'!$J$7:$K$11,2,FALSE)&amp;" - Per "&amp;VLOOKUP($C$4,'Writing Logic'!$G$8:$H$14,2,FALSE),YES_Writing_ELA[#Headers],0))=0,"",INDEX(_xlfn.VSTACK(YES_Writing_ELA[#Data],YES_Writing_FLA[#Data]),MATCH($A127,_xlfn.VSTACK(YES_Writing_ELA[Student Number],YES_Writing_FLA[Student Number]),0),MATCH(VLOOKUP(F$7,'Writing Logic'!$J$7:$K$11,2,FALSE)&amp;" - Per "&amp;VLOOKUP($C$4,'Writing Logic'!$G$8:$H$14,2,FALSE),YES_Writing_ELA[#Headers],0)))),"")</f>
        <v/>
      </c>
      <c r="G127" s="138" t="str">
        <f>IFERROR(IF(IF(INDEX(_xlfn.VSTACK(YES_Writing_ELA[#Data],YES_Writing_FLA[#Data]),MATCH($A127,_xlfn.VSTACK(YES_Writing_ELA[Student Number],YES_Writing_FLA[Student Number]),0),MATCH(VLOOKUP(G$7,'Writing Logic'!$J$7:$K$11,2,FALSE)&amp;" - Per "&amp;VLOOKUP($C$4,'Writing Logic'!$G$8:$H$14,2,FALSE),YES_Writing_ELA[#Headers],0))=0,"",INDEX(_xlfn.VSTACK(YES_Writing_ELA[#Data],YES_Writing_FLA[#Data]),MATCH($A127,_xlfn.VSTACK(YES_Writing_ELA[Student Number],YES_Writing_FLA[Student Number]),0),MATCH(VLOOKUP(G$7,'Writing Logic'!$J$7:$K$11,2,FALSE)&amp;" - Per "&amp;VLOOKUP($C$4,'Writing Logic'!$G$8:$H$14,2,FALSE),YES_Writing_ELA[#Headers],0)))="INS",'Writing Logic'!$B$7,IF(INDEX(_xlfn.VSTACK(YES_Writing_ELA[#Data],YES_Writing_FLA[#Data]),MATCH($A127,_xlfn.VSTACK(YES_Writing_ELA[Student Number],YES_Writing_FLA[Student Number]),0),MATCH(VLOOKUP(G$7,'Writing Logic'!$J$7:$K$11,2,FALSE)&amp;" - Per "&amp;VLOOKUP($C$4,'Writing Logic'!$G$8:$H$14,2,FALSE),YES_Writing_ELA[#Headers],0))=0,"",INDEX(_xlfn.VSTACK(YES_Writing_ELA[#Data],YES_Writing_FLA[#Data]),MATCH($A127,_xlfn.VSTACK(YES_Writing_ELA[Student Number],YES_Writing_FLA[Student Number]),0),MATCH(VLOOKUP(G$7,'Writing Logic'!$J$7:$K$11,2,FALSE)&amp;" - Per "&amp;VLOOKUP($C$4,'Writing Logic'!$G$8:$H$14,2,FALSE),YES_Writing_ELA[#Headers],0)))),"")</f>
        <v/>
      </c>
      <c r="H127" s="138" t="str">
        <f>IFERROR(IF(IF(INDEX(_xlfn.VSTACK(YES_Writing_ELA[#Data],YES_Writing_FLA[#Data]),MATCH($A127,_xlfn.VSTACK(YES_Writing_ELA[Student Number],YES_Writing_FLA[Student Number]),0),MATCH(VLOOKUP(H$7,'Writing Logic'!$J$7:$K$11,2,FALSE)&amp;" - Per "&amp;VLOOKUP($C$4,'Writing Logic'!$G$8:$H$14,2,FALSE),YES_Writing_ELA[#Headers],0))=0,"",INDEX(_xlfn.VSTACK(YES_Writing_ELA[#Data],YES_Writing_FLA[#Data]),MATCH($A127,_xlfn.VSTACK(YES_Writing_ELA[Student Number],YES_Writing_FLA[Student Number]),0),MATCH(VLOOKUP(H$7,'Writing Logic'!$J$7:$K$11,2,FALSE)&amp;" - Per "&amp;VLOOKUP($C$4,'Writing Logic'!$G$8:$H$14,2,FALSE),YES_Writing_ELA[#Headers],0)))="INS",'Writing Logic'!$B$7,IF(INDEX(_xlfn.VSTACK(YES_Writing_ELA[#Data],YES_Writing_FLA[#Data]),MATCH($A127,_xlfn.VSTACK(YES_Writing_ELA[Student Number],YES_Writing_FLA[Student Number]),0),MATCH(VLOOKUP(H$7,'Writing Logic'!$J$7:$K$11,2,FALSE)&amp;" - Per "&amp;VLOOKUP($C$4,'Writing Logic'!$G$8:$H$14,2,FALSE),YES_Writing_ELA[#Headers],0))=0,"",INDEX(_xlfn.VSTACK(YES_Writing_ELA[#Data],YES_Writing_FLA[#Data]),MATCH($A127,_xlfn.VSTACK(YES_Writing_ELA[Student Number],YES_Writing_FLA[Student Number]),0),MATCH(VLOOKUP(H$7,'Writing Logic'!$J$7:$K$11,2,FALSE)&amp;" - Per "&amp;VLOOKUP($C$4,'Writing Logic'!$G$8:$H$14,2,FALSE),YES_Writing_ELA[#Headers],0)))),"")</f>
        <v/>
      </c>
    </row>
    <row r="128" spans="1:8" ht="14.25" customHeight="1" x14ac:dyDescent="0.25">
      <c r="A128" s="137"/>
      <c r="B128" s="137" t="str">
        <f>IFERROR(INDEX(_xlfn.VSTACK(YES_Writing_ELA[#Data], YES_Writing_FLA[#Data]),MATCH($A128,_xlfn.VSTACK(YES_Writing_ELA[Student Number], YES_Writing_FLA[Student Number]),0),MATCH(B$7,YES_Writing_ELA[#Headers],0)),"")</f>
        <v/>
      </c>
      <c r="C128" s="137" t="str">
        <f>IFERROR(INDEX(_xlfn.VSTACK(YES_Writing_ELA[#Data], YES_Writing_FLA[#Data]),MATCH($A128,_xlfn.VSTACK(YES_Writing_ELA[Student Number], YES_Writing_FLA[Student Number]),0),MATCH(C$7,YES_Writing_ELA[#Headers],0)),"")</f>
        <v/>
      </c>
      <c r="D128" s="138" t="str">
        <f>IFERROR(IF(IF(INDEX(_xlfn.VSTACK(YES_Writing_ELA[#Data],YES_Writing_FLA[#Data]),MATCH($A128,_xlfn.VSTACK(YES_Writing_ELA[Student Number],YES_Writing_FLA[Student Number]),0),MATCH(VLOOKUP(D$7,'Writing Logic'!$J$7:$K$11,2,FALSE)&amp;" - Per "&amp;VLOOKUP($C$4,'Writing Logic'!$G$8:$H$14,2,FALSE),YES_Writing_ELA[#Headers],0))=0,"",INDEX(_xlfn.VSTACK(YES_Writing_ELA[#Data],YES_Writing_FLA[#Data]),MATCH($A128,_xlfn.VSTACK(YES_Writing_ELA[Student Number],YES_Writing_FLA[Student Number]),0),MATCH(VLOOKUP(D$7,'Writing Logic'!$J$7:$K$11,2,FALSE)&amp;" - Per "&amp;VLOOKUP($C$4,'Writing Logic'!$G$8:$H$14,2,FALSE),YES_Writing_ELA[#Headers],0)))="INS",'Writing Logic'!$B$7,IF(INDEX(_xlfn.VSTACK(YES_Writing_ELA[#Data],YES_Writing_FLA[#Data]),MATCH($A128,_xlfn.VSTACK(YES_Writing_ELA[Student Number],YES_Writing_FLA[Student Number]),0),MATCH(VLOOKUP(D$7,'Writing Logic'!$J$7:$K$11,2,FALSE)&amp;" - Per "&amp;VLOOKUP($C$4,'Writing Logic'!$G$8:$H$14,2,FALSE),YES_Writing_ELA[#Headers],0))=0,"",INDEX(_xlfn.VSTACK(YES_Writing_ELA[#Data],YES_Writing_FLA[#Data]),MATCH($A128,_xlfn.VSTACK(YES_Writing_ELA[Student Number],YES_Writing_FLA[Student Number]),0),MATCH(VLOOKUP(D$7,'Writing Logic'!$J$7:$K$11,2,FALSE)&amp;" - Per "&amp;VLOOKUP($C$4,'Writing Logic'!$G$8:$H$14,2,FALSE),YES_Writing_ELA[#Headers],0)))),"")</f>
        <v/>
      </c>
      <c r="E128" s="138" t="str">
        <f>IFERROR(IF(IF(INDEX(_xlfn.VSTACK(YES_Writing_ELA[#Data],YES_Writing_FLA[#Data]),MATCH($A128,_xlfn.VSTACK(YES_Writing_ELA[Student Number],YES_Writing_FLA[Student Number]),0),MATCH(VLOOKUP(E$7,'Writing Logic'!$J$7:$K$11,2,FALSE)&amp;" - Per "&amp;VLOOKUP($C$4,'Writing Logic'!$G$8:$H$14,2,FALSE),YES_Writing_ELA[#Headers],0))=0,"",INDEX(_xlfn.VSTACK(YES_Writing_ELA[#Data],YES_Writing_FLA[#Data]),MATCH($A128,_xlfn.VSTACK(YES_Writing_ELA[Student Number],YES_Writing_FLA[Student Number]),0),MATCH(VLOOKUP(E$7,'Writing Logic'!$J$7:$K$11,2,FALSE)&amp;" - Per "&amp;VLOOKUP($C$4,'Writing Logic'!$G$8:$H$14,2,FALSE),YES_Writing_ELA[#Headers],0)))="INS",'Writing Logic'!$B$7,IF(INDEX(_xlfn.VSTACK(YES_Writing_ELA[#Data],YES_Writing_FLA[#Data]),MATCH($A128,_xlfn.VSTACK(YES_Writing_ELA[Student Number],YES_Writing_FLA[Student Number]),0),MATCH(VLOOKUP(E$7,'Writing Logic'!$J$7:$K$11,2,FALSE)&amp;" - Per "&amp;VLOOKUP($C$4,'Writing Logic'!$G$8:$H$14,2,FALSE),YES_Writing_ELA[#Headers],0))=0,"",INDEX(_xlfn.VSTACK(YES_Writing_ELA[#Data],YES_Writing_FLA[#Data]),MATCH($A128,_xlfn.VSTACK(YES_Writing_ELA[Student Number],YES_Writing_FLA[Student Number]),0),MATCH(VLOOKUP(E$7,'Writing Logic'!$J$7:$K$11,2,FALSE)&amp;" - Per "&amp;VLOOKUP($C$4,'Writing Logic'!$G$8:$H$14,2,FALSE),YES_Writing_ELA[#Headers],0)))),"")</f>
        <v/>
      </c>
      <c r="F128" s="138" t="str">
        <f>IFERROR(IF(IF(INDEX(_xlfn.VSTACK(YES_Writing_ELA[#Data],YES_Writing_FLA[#Data]),MATCH($A128,_xlfn.VSTACK(YES_Writing_ELA[Student Number],YES_Writing_FLA[Student Number]),0),MATCH(VLOOKUP(F$7,'Writing Logic'!$J$7:$K$11,2,FALSE)&amp;" - Per "&amp;VLOOKUP($C$4,'Writing Logic'!$G$8:$H$14,2,FALSE),YES_Writing_ELA[#Headers],0))=0,"",INDEX(_xlfn.VSTACK(YES_Writing_ELA[#Data],YES_Writing_FLA[#Data]),MATCH($A128,_xlfn.VSTACK(YES_Writing_ELA[Student Number],YES_Writing_FLA[Student Number]),0),MATCH(VLOOKUP(F$7,'Writing Logic'!$J$7:$K$11,2,FALSE)&amp;" - Per "&amp;VLOOKUP($C$4,'Writing Logic'!$G$8:$H$14,2,FALSE),YES_Writing_ELA[#Headers],0)))="INS",'Writing Logic'!$B$7,IF(INDEX(_xlfn.VSTACK(YES_Writing_ELA[#Data],YES_Writing_FLA[#Data]),MATCH($A128,_xlfn.VSTACK(YES_Writing_ELA[Student Number],YES_Writing_FLA[Student Number]),0),MATCH(VLOOKUP(F$7,'Writing Logic'!$J$7:$K$11,2,FALSE)&amp;" - Per "&amp;VLOOKUP($C$4,'Writing Logic'!$G$8:$H$14,2,FALSE),YES_Writing_ELA[#Headers],0))=0,"",INDEX(_xlfn.VSTACK(YES_Writing_ELA[#Data],YES_Writing_FLA[#Data]),MATCH($A128,_xlfn.VSTACK(YES_Writing_ELA[Student Number],YES_Writing_FLA[Student Number]),0),MATCH(VLOOKUP(F$7,'Writing Logic'!$J$7:$K$11,2,FALSE)&amp;" - Per "&amp;VLOOKUP($C$4,'Writing Logic'!$G$8:$H$14,2,FALSE),YES_Writing_ELA[#Headers],0)))),"")</f>
        <v/>
      </c>
      <c r="G128" s="138" t="str">
        <f>IFERROR(IF(IF(INDEX(_xlfn.VSTACK(YES_Writing_ELA[#Data],YES_Writing_FLA[#Data]),MATCH($A128,_xlfn.VSTACK(YES_Writing_ELA[Student Number],YES_Writing_FLA[Student Number]),0),MATCH(VLOOKUP(G$7,'Writing Logic'!$J$7:$K$11,2,FALSE)&amp;" - Per "&amp;VLOOKUP($C$4,'Writing Logic'!$G$8:$H$14,2,FALSE),YES_Writing_ELA[#Headers],0))=0,"",INDEX(_xlfn.VSTACK(YES_Writing_ELA[#Data],YES_Writing_FLA[#Data]),MATCH($A128,_xlfn.VSTACK(YES_Writing_ELA[Student Number],YES_Writing_FLA[Student Number]),0),MATCH(VLOOKUP(G$7,'Writing Logic'!$J$7:$K$11,2,FALSE)&amp;" - Per "&amp;VLOOKUP($C$4,'Writing Logic'!$G$8:$H$14,2,FALSE),YES_Writing_ELA[#Headers],0)))="INS",'Writing Logic'!$B$7,IF(INDEX(_xlfn.VSTACK(YES_Writing_ELA[#Data],YES_Writing_FLA[#Data]),MATCH($A128,_xlfn.VSTACK(YES_Writing_ELA[Student Number],YES_Writing_FLA[Student Number]),0),MATCH(VLOOKUP(G$7,'Writing Logic'!$J$7:$K$11,2,FALSE)&amp;" - Per "&amp;VLOOKUP($C$4,'Writing Logic'!$G$8:$H$14,2,FALSE),YES_Writing_ELA[#Headers],0))=0,"",INDEX(_xlfn.VSTACK(YES_Writing_ELA[#Data],YES_Writing_FLA[#Data]),MATCH($A128,_xlfn.VSTACK(YES_Writing_ELA[Student Number],YES_Writing_FLA[Student Number]),0),MATCH(VLOOKUP(G$7,'Writing Logic'!$J$7:$K$11,2,FALSE)&amp;" - Per "&amp;VLOOKUP($C$4,'Writing Logic'!$G$8:$H$14,2,FALSE),YES_Writing_ELA[#Headers],0)))),"")</f>
        <v/>
      </c>
      <c r="H128" s="138" t="str">
        <f>IFERROR(IF(IF(INDEX(_xlfn.VSTACK(YES_Writing_ELA[#Data],YES_Writing_FLA[#Data]),MATCH($A128,_xlfn.VSTACK(YES_Writing_ELA[Student Number],YES_Writing_FLA[Student Number]),0),MATCH(VLOOKUP(H$7,'Writing Logic'!$J$7:$K$11,2,FALSE)&amp;" - Per "&amp;VLOOKUP($C$4,'Writing Logic'!$G$8:$H$14,2,FALSE),YES_Writing_ELA[#Headers],0))=0,"",INDEX(_xlfn.VSTACK(YES_Writing_ELA[#Data],YES_Writing_FLA[#Data]),MATCH($A128,_xlfn.VSTACK(YES_Writing_ELA[Student Number],YES_Writing_FLA[Student Number]),0),MATCH(VLOOKUP(H$7,'Writing Logic'!$J$7:$K$11,2,FALSE)&amp;" - Per "&amp;VLOOKUP($C$4,'Writing Logic'!$G$8:$H$14,2,FALSE),YES_Writing_ELA[#Headers],0)))="INS",'Writing Logic'!$B$7,IF(INDEX(_xlfn.VSTACK(YES_Writing_ELA[#Data],YES_Writing_FLA[#Data]),MATCH($A128,_xlfn.VSTACK(YES_Writing_ELA[Student Number],YES_Writing_FLA[Student Number]),0),MATCH(VLOOKUP(H$7,'Writing Logic'!$J$7:$K$11,2,FALSE)&amp;" - Per "&amp;VLOOKUP($C$4,'Writing Logic'!$G$8:$H$14,2,FALSE),YES_Writing_ELA[#Headers],0))=0,"",INDEX(_xlfn.VSTACK(YES_Writing_ELA[#Data],YES_Writing_FLA[#Data]),MATCH($A128,_xlfn.VSTACK(YES_Writing_ELA[Student Number],YES_Writing_FLA[Student Number]),0),MATCH(VLOOKUP(H$7,'Writing Logic'!$J$7:$K$11,2,FALSE)&amp;" - Per "&amp;VLOOKUP($C$4,'Writing Logic'!$G$8:$H$14,2,FALSE),YES_Writing_ELA[#Headers],0)))),"")</f>
        <v/>
      </c>
    </row>
    <row r="129" spans="1:8" ht="14.25" customHeight="1" x14ac:dyDescent="0.25">
      <c r="A129" s="137"/>
      <c r="B129" s="137" t="str">
        <f>IFERROR(INDEX(_xlfn.VSTACK(YES_Writing_ELA[#Data], YES_Writing_FLA[#Data]),MATCH($A129,_xlfn.VSTACK(YES_Writing_ELA[Student Number], YES_Writing_FLA[Student Number]),0),MATCH(B$7,YES_Writing_ELA[#Headers],0)),"")</f>
        <v/>
      </c>
      <c r="C129" s="137" t="str">
        <f>IFERROR(INDEX(_xlfn.VSTACK(YES_Writing_ELA[#Data], YES_Writing_FLA[#Data]),MATCH($A129,_xlfn.VSTACK(YES_Writing_ELA[Student Number], YES_Writing_FLA[Student Number]),0),MATCH(C$7,YES_Writing_ELA[#Headers],0)),"")</f>
        <v/>
      </c>
      <c r="D129" s="138" t="str">
        <f>IFERROR(IF(IF(INDEX(_xlfn.VSTACK(YES_Writing_ELA[#Data],YES_Writing_FLA[#Data]),MATCH($A129,_xlfn.VSTACK(YES_Writing_ELA[Student Number],YES_Writing_FLA[Student Number]),0),MATCH(VLOOKUP(D$7,'Writing Logic'!$J$7:$K$11,2,FALSE)&amp;" - Per "&amp;VLOOKUP($C$4,'Writing Logic'!$G$8:$H$14,2,FALSE),YES_Writing_ELA[#Headers],0))=0,"",INDEX(_xlfn.VSTACK(YES_Writing_ELA[#Data],YES_Writing_FLA[#Data]),MATCH($A129,_xlfn.VSTACK(YES_Writing_ELA[Student Number],YES_Writing_FLA[Student Number]),0),MATCH(VLOOKUP(D$7,'Writing Logic'!$J$7:$K$11,2,FALSE)&amp;" - Per "&amp;VLOOKUP($C$4,'Writing Logic'!$G$8:$H$14,2,FALSE),YES_Writing_ELA[#Headers],0)))="INS",'Writing Logic'!$B$7,IF(INDEX(_xlfn.VSTACK(YES_Writing_ELA[#Data],YES_Writing_FLA[#Data]),MATCH($A129,_xlfn.VSTACK(YES_Writing_ELA[Student Number],YES_Writing_FLA[Student Number]),0),MATCH(VLOOKUP(D$7,'Writing Logic'!$J$7:$K$11,2,FALSE)&amp;" - Per "&amp;VLOOKUP($C$4,'Writing Logic'!$G$8:$H$14,2,FALSE),YES_Writing_ELA[#Headers],0))=0,"",INDEX(_xlfn.VSTACK(YES_Writing_ELA[#Data],YES_Writing_FLA[#Data]),MATCH($A129,_xlfn.VSTACK(YES_Writing_ELA[Student Number],YES_Writing_FLA[Student Number]),0),MATCH(VLOOKUP(D$7,'Writing Logic'!$J$7:$K$11,2,FALSE)&amp;" - Per "&amp;VLOOKUP($C$4,'Writing Logic'!$G$8:$H$14,2,FALSE),YES_Writing_ELA[#Headers],0)))),"")</f>
        <v/>
      </c>
      <c r="E129" s="138" t="str">
        <f>IFERROR(IF(IF(INDEX(_xlfn.VSTACK(YES_Writing_ELA[#Data],YES_Writing_FLA[#Data]),MATCH($A129,_xlfn.VSTACK(YES_Writing_ELA[Student Number],YES_Writing_FLA[Student Number]),0),MATCH(VLOOKUP(E$7,'Writing Logic'!$J$7:$K$11,2,FALSE)&amp;" - Per "&amp;VLOOKUP($C$4,'Writing Logic'!$G$8:$H$14,2,FALSE),YES_Writing_ELA[#Headers],0))=0,"",INDEX(_xlfn.VSTACK(YES_Writing_ELA[#Data],YES_Writing_FLA[#Data]),MATCH($A129,_xlfn.VSTACK(YES_Writing_ELA[Student Number],YES_Writing_FLA[Student Number]),0),MATCH(VLOOKUP(E$7,'Writing Logic'!$J$7:$K$11,2,FALSE)&amp;" - Per "&amp;VLOOKUP($C$4,'Writing Logic'!$G$8:$H$14,2,FALSE),YES_Writing_ELA[#Headers],0)))="INS",'Writing Logic'!$B$7,IF(INDEX(_xlfn.VSTACK(YES_Writing_ELA[#Data],YES_Writing_FLA[#Data]),MATCH($A129,_xlfn.VSTACK(YES_Writing_ELA[Student Number],YES_Writing_FLA[Student Number]),0),MATCH(VLOOKUP(E$7,'Writing Logic'!$J$7:$K$11,2,FALSE)&amp;" - Per "&amp;VLOOKUP($C$4,'Writing Logic'!$G$8:$H$14,2,FALSE),YES_Writing_ELA[#Headers],0))=0,"",INDEX(_xlfn.VSTACK(YES_Writing_ELA[#Data],YES_Writing_FLA[#Data]),MATCH($A129,_xlfn.VSTACK(YES_Writing_ELA[Student Number],YES_Writing_FLA[Student Number]),0),MATCH(VLOOKUP(E$7,'Writing Logic'!$J$7:$K$11,2,FALSE)&amp;" - Per "&amp;VLOOKUP($C$4,'Writing Logic'!$G$8:$H$14,2,FALSE),YES_Writing_ELA[#Headers],0)))),"")</f>
        <v/>
      </c>
      <c r="F129" s="138" t="str">
        <f>IFERROR(IF(IF(INDEX(_xlfn.VSTACK(YES_Writing_ELA[#Data],YES_Writing_FLA[#Data]),MATCH($A129,_xlfn.VSTACK(YES_Writing_ELA[Student Number],YES_Writing_FLA[Student Number]),0),MATCH(VLOOKUP(F$7,'Writing Logic'!$J$7:$K$11,2,FALSE)&amp;" - Per "&amp;VLOOKUP($C$4,'Writing Logic'!$G$8:$H$14,2,FALSE),YES_Writing_ELA[#Headers],0))=0,"",INDEX(_xlfn.VSTACK(YES_Writing_ELA[#Data],YES_Writing_FLA[#Data]),MATCH($A129,_xlfn.VSTACK(YES_Writing_ELA[Student Number],YES_Writing_FLA[Student Number]),0),MATCH(VLOOKUP(F$7,'Writing Logic'!$J$7:$K$11,2,FALSE)&amp;" - Per "&amp;VLOOKUP($C$4,'Writing Logic'!$G$8:$H$14,2,FALSE),YES_Writing_ELA[#Headers],0)))="INS",'Writing Logic'!$B$7,IF(INDEX(_xlfn.VSTACK(YES_Writing_ELA[#Data],YES_Writing_FLA[#Data]),MATCH($A129,_xlfn.VSTACK(YES_Writing_ELA[Student Number],YES_Writing_FLA[Student Number]),0),MATCH(VLOOKUP(F$7,'Writing Logic'!$J$7:$K$11,2,FALSE)&amp;" - Per "&amp;VLOOKUP($C$4,'Writing Logic'!$G$8:$H$14,2,FALSE),YES_Writing_ELA[#Headers],0))=0,"",INDEX(_xlfn.VSTACK(YES_Writing_ELA[#Data],YES_Writing_FLA[#Data]),MATCH($A129,_xlfn.VSTACK(YES_Writing_ELA[Student Number],YES_Writing_FLA[Student Number]),0),MATCH(VLOOKUP(F$7,'Writing Logic'!$J$7:$K$11,2,FALSE)&amp;" - Per "&amp;VLOOKUP($C$4,'Writing Logic'!$G$8:$H$14,2,FALSE),YES_Writing_ELA[#Headers],0)))),"")</f>
        <v/>
      </c>
      <c r="G129" s="138" t="str">
        <f>IFERROR(IF(IF(INDEX(_xlfn.VSTACK(YES_Writing_ELA[#Data],YES_Writing_FLA[#Data]),MATCH($A129,_xlfn.VSTACK(YES_Writing_ELA[Student Number],YES_Writing_FLA[Student Number]),0),MATCH(VLOOKUP(G$7,'Writing Logic'!$J$7:$K$11,2,FALSE)&amp;" - Per "&amp;VLOOKUP($C$4,'Writing Logic'!$G$8:$H$14,2,FALSE),YES_Writing_ELA[#Headers],0))=0,"",INDEX(_xlfn.VSTACK(YES_Writing_ELA[#Data],YES_Writing_FLA[#Data]),MATCH($A129,_xlfn.VSTACK(YES_Writing_ELA[Student Number],YES_Writing_FLA[Student Number]),0),MATCH(VLOOKUP(G$7,'Writing Logic'!$J$7:$K$11,2,FALSE)&amp;" - Per "&amp;VLOOKUP($C$4,'Writing Logic'!$G$8:$H$14,2,FALSE),YES_Writing_ELA[#Headers],0)))="INS",'Writing Logic'!$B$7,IF(INDEX(_xlfn.VSTACK(YES_Writing_ELA[#Data],YES_Writing_FLA[#Data]),MATCH($A129,_xlfn.VSTACK(YES_Writing_ELA[Student Number],YES_Writing_FLA[Student Number]),0),MATCH(VLOOKUP(G$7,'Writing Logic'!$J$7:$K$11,2,FALSE)&amp;" - Per "&amp;VLOOKUP($C$4,'Writing Logic'!$G$8:$H$14,2,FALSE),YES_Writing_ELA[#Headers],0))=0,"",INDEX(_xlfn.VSTACK(YES_Writing_ELA[#Data],YES_Writing_FLA[#Data]),MATCH($A129,_xlfn.VSTACK(YES_Writing_ELA[Student Number],YES_Writing_FLA[Student Number]),0),MATCH(VLOOKUP(G$7,'Writing Logic'!$J$7:$K$11,2,FALSE)&amp;" - Per "&amp;VLOOKUP($C$4,'Writing Logic'!$G$8:$H$14,2,FALSE),YES_Writing_ELA[#Headers],0)))),"")</f>
        <v/>
      </c>
      <c r="H129" s="138" t="str">
        <f>IFERROR(IF(IF(INDEX(_xlfn.VSTACK(YES_Writing_ELA[#Data],YES_Writing_FLA[#Data]),MATCH($A129,_xlfn.VSTACK(YES_Writing_ELA[Student Number],YES_Writing_FLA[Student Number]),0),MATCH(VLOOKUP(H$7,'Writing Logic'!$J$7:$K$11,2,FALSE)&amp;" - Per "&amp;VLOOKUP($C$4,'Writing Logic'!$G$8:$H$14,2,FALSE),YES_Writing_ELA[#Headers],0))=0,"",INDEX(_xlfn.VSTACK(YES_Writing_ELA[#Data],YES_Writing_FLA[#Data]),MATCH($A129,_xlfn.VSTACK(YES_Writing_ELA[Student Number],YES_Writing_FLA[Student Number]),0),MATCH(VLOOKUP(H$7,'Writing Logic'!$J$7:$K$11,2,FALSE)&amp;" - Per "&amp;VLOOKUP($C$4,'Writing Logic'!$G$8:$H$14,2,FALSE),YES_Writing_ELA[#Headers],0)))="INS",'Writing Logic'!$B$7,IF(INDEX(_xlfn.VSTACK(YES_Writing_ELA[#Data],YES_Writing_FLA[#Data]),MATCH($A129,_xlfn.VSTACK(YES_Writing_ELA[Student Number],YES_Writing_FLA[Student Number]),0),MATCH(VLOOKUP(H$7,'Writing Logic'!$J$7:$K$11,2,FALSE)&amp;" - Per "&amp;VLOOKUP($C$4,'Writing Logic'!$G$8:$H$14,2,FALSE),YES_Writing_ELA[#Headers],0))=0,"",INDEX(_xlfn.VSTACK(YES_Writing_ELA[#Data],YES_Writing_FLA[#Data]),MATCH($A129,_xlfn.VSTACK(YES_Writing_ELA[Student Number],YES_Writing_FLA[Student Number]),0),MATCH(VLOOKUP(H$7,'Writing Logic'!$J$7:$K$11,2,FALSE)&amp;" - Per "&amp;VLOOKUP($C$4,'Writing Logic'!$G$8:$H$14,2,FALSE),YES_Writing_ELA[#Headers],0)))),"")</f>
        <v/>
      </c>
    </row>
    <row r="130" spans="1:8" ht="14.25" customHeight="1" x14ac:dyDescent="0.25">
      <c r="A130" s="137"/>
      <c r="B130" s="137" t="str">
        <f>IFERROR(INDEX(_xlfn.VSTACK(YES_Writing_ELA[#Data], YES_Writing_FLA[#Data]),MATCH($A130,_xlfn.VSTACK(YES_Writing_ELA[Student Number], YES_Writing_FLA[Student Number]),0),MATCH(B$7,YES_Writing_ELA[#Headers],0)),"")</f>
        <v/>
      </c>
      <c r="C130" s="137" t="str">
        <f>IFERROR(INDEX(_xlfn.VSTACK(YES_Writing_ELA[#Data], YES_Writing_FLA[#Data]),MATCH($A130,_xlfn.VSTACK(YES_Writing_ELA[Student Number], YES_Writing_FLA[Student Number]),0),MATCH(C$7,YES_Writing_ELA[#Headers],0)),"")</f>
        <v/>
      </c>
      <c r="D130" s="138" t="str">
        <f>IFERROR(IF(IF(INDEX(_xlfn.VSTACK(YES_Writing_ELA[#Data],YES_Writing_FLA[#Data]),MATCH($A130,_xlfn.VSTACK(YES_Writing_ELA[Student Number],YES_Writing_FLA[Student Number]),0),MATCH(VLOOKUP(D$7,'Writing Logic'!$J$7:$K$11,2,FALSE)&amp;" - Per "&amp;VLOOKUP($C$4,'Writing Logic'!$G$8:$H$14,2,FALSE),YES_Writing_ELA[#Headers],0))=0,"",INDEX(_xlfn.VSTACK(YES_Writing_ELA[#Data],YES_Writing_FLA[#Data]),MATCH($A130,_xlfn.VSTACK(YES_Writing_ELA[Student Number],YES_Writing_FLA[Student Number]),0),MATCH(VLOOKUP(D$7,'Writing Logic'!$J$7:$K$11,2,FALSE)&amp;" - Per "&amp;VLOOKUP($C$4,'Writing Logic'!$G$8:$H$14,2,FALSE),YES_Writing_ELA[#Headers],0)))="INS",'Writing Logic'!$B$7,IF(INDEX(_xlfn.VSTACK(YES_Writing_ELA[#Data],YES_Writing_FLA[#Data]),MATCH($A130,_xlfn.VSTACK(YES_Writing_ELA[Student Number],YES_Writing_FLA[Student Number]),0),MATCH(VLOOKUP(D$7,'Writing Logic'!$J$7:$K$11,2,FALSE)&amp;" - Per "&amp;VLOOKUP($C$4,'Writing Logic'!$G$8:$H$14,2,FALSE),YES_Writing_ELA[#Headers],0))=0,"",INDEX(_xlfn.VSTACK(YES_Writing_ELA[#Data],YES_Writing_FLA[#Data]),MATCH($A130,_xlfn.VSTACK(YES_Writing_ELA[Student Number],YES_Writing_FLA[Student Number]),0),MATCH(VLOOKUP(D$7,'Writing Logic'!$J$7:$K$11,2,FALSE)&amp;" - Per "&amp;VLOOKUP($C$4,'Writing Logic'!$G$8:$H$14,2,FALSE),YES_Writing_ELA[#Headers],0)))),"")</f>
        <v/>
      </c>
      <c r="E130" s="138" t="str">
        <f>IFERROR(IF(IF(INDEX(_xlfn.VSTACK(YES_Writing_ELA[#Data],YES_Writing_FLA[#Data]),MATCH($A130,_xlfn.VSTACK(YES_Writing_ELA[Student Number],YES_Writing_FLA[Student Number]),0),MATCH(VLOOKUP(E$7,'Writing Logic'!$J$7:$K$11,2,FALSE)&amp;" - Per "&amp;VLOOKUP($C$4,'Writing Logic'!$G$8:$H$14,2,FALSE),YES_Writing_ELA[#Headers],0))=0,"",INDEX(_xlfn.VSTACK(YES_Writing_ELA[#Data],YES_Writing_FLA[#Data]),MATCH($A130,_xlfn.VSTACK(YES_Writing_ELA[Student Number],YES_Writing_FLA[Student Number]),0),MATCH(VLOOKUP(E$7,'Writing Logic'!$J$7:$K$11,2,FALSE)&amp;" - Per "&amp;VLOOKUP($C$4,'Writing Logic'!$G$8:$H$14,2,FALSE),YES_Writing_ELA[#Headers],0)))="INS",'Writing Logic'!$B$7,IF(INDEX(_xlfn.VSTACK(YES_Writing_ELA[#Data],YES_Writing_FLA[#Data]),MATCH($A130,_xlfn.VSTACK(YES_Writing_ELA[Student Number],YES_Writing_FLA[Student Number]),0),MATCH(VLOOKUP(E$7,'Writing Logic'!$J$7:$K$11,2,FALSE)&amp;" - Per "&amp;VLOOKUP($C$4,'Writing Logic'!$G$8:$H$14,2,FALSE),YES_Writing_ELA[#Headers],0))=0,"",INDEX(_xlfn.VSTACK(YES_Writing_ELA[#Data],YES_Writing_FLA[#Data]),MATCH($A130,_xlfn.VSTACK(YES_Writing_ELA[Student Number],YES_Writing_FLA[Student Number]),0),MATCH(VLOOKUP(E$7,'Writing Logic'!$J$7:$K$11,2,FALSE)&amp;" - Per "&amp;VLOOKUP($C$4,'Writing Logic'!$G$8:$H$14,2,FALSE),YES_Writing_ELA[#Headers],0)))),"")</f>
        <v/>
      </c>
      <c r="F130" s="138" t="str">
        <f>IFERROR(IF(IF(INDEX(_xlfn.VSTACK(YES_Writing_ELA[#Data],YES_Writing_FLA[#Data]),MATCH($A130,_xlfn.VSTACK(YES_Writing_ELA[Student Number],YES_Writing_FLA[Student Number]),0),MATCH(VLOOKUP(F$7,'Writing Logic'!$J$7:$K$11,2,FALSE)&amp;" - Per "&amp;VLOOKUP($C$4,'Writing Logic'!$G$8:$H$14,2,FALSE),YES_Writing_ELA[#Headers],0))=0,"",INDEX(_xlfn.VSTACK(YES_Writing_ELA[#Data],YES_Writing_FLA[#Data]),MATCH($A130,_xlfn.VSTACK(YES_Writing_ELA[Student Number],YES_Writing_FLA[Student Number]),0),MATCH(VLOOKUP(F$7,'Writing Logic'!$J$7:$K$11,2,FALSE)&amp;" - Per "&amp;VLOOKUP($C$4,'Writing Logic'!$G$8:$H$14,2,FALSE),YES_Writing_ELA[#Headers],0)))="INS",'Writing Logic'!$B$7,IF(INDEX(_xlfn.VSTACK(YES_Writing_ELA[#Data],YES_Writing_FLA[#Data]),MATCH($A130,_xlfn.VSTACK(YES_Writing_ELA[Student Number],YES_Writing_FLA[Student Number]),0),MATCH(VLOOKUP(F$7,'Writing Logic'!$J$7:$K$11,2,FALSE)&amp;" - Per "&amp;VLOOKUP($C$4,'Writing Logic'!$G$8:$H$14,2,FALSE),YES_Writing_ELA[#Headers],0))=0,"",INDEX(_xlfn.VSTACK(YES_Writing_ELA[#Data],YES_Writing_FLA[#Data]),MATCH($A130,_xlfn.VSTACK(YES_Writing_ELA[Student Number],YES_Writing_FLA[Student Number]),0),MATCH(VLOOKUP(F$7,'Writing Logic'!$J$7:$K$11,2,FALSE)&amp;" - Per "&amp;VLOOKUP($C$4,'Writing Logic'!$G$8:$H$14,2,FALSE),YES_Writing_ELA[#Headers],0)))),"")</f>
        <v/>
      </c>
      <c r="G130" s="138" t="str">
        <f>IFERROR(IF(IF(INDEX(_xlfn.VSTACK(YES_Writing_ELA[#Data],YES_Writing_FLA[#Data]),MATCH($A130,_xlfn.VSTACK(YES_Writing_ELA[Student Number],YES_Writing_FLA[Student Number]),0),MATCH(VLOOKUP(G$7,'Writing Logic'!$J$7:$K$11,2,FALSE)&amp;" - Per "&amp;VLOOKUP($C$4,'Writing Logic'!$G$8:$H$14,2,FALSE),YES_Writing_ELA[#Headers],0))=0,"",INDEX(_xlfn.VSTACK(YES_Writing_ELA[#Data],YES_Writing_FLA[#Data]),MATCH($A130,_xlfn.VSTACK(YES_Writing_ELA[Student Number],YES_Writing_FLA[Student Number]),0),MATCH(VLOOKUP(G$7,'Writing Logic'!$J$7:$K$11,2,FALSE)&amp;" - Per "&amp;VLOOKUP($C$4,'Writing Logic'!$G$8:$H$14,2,FALSE),YES_Writing_ELA[#Headers],0)))="INS",'Writing Logic'!$B$7,IF(INDEX(_xlfn.VSTACK(YES_Writing_ELA[#Data],YES_Writing_FLA[#Data]),MATCH($A130,_xlfn.VSTACK(YES_Writing_ELA[Student Number],YES_Writing_FLA[Student Number]),0),MATCH(VLOOKUP(G$7,'Writing Logic'!$J$7:$K$11,2,FALSE)&amp;" - Per "&amp;VLOOKUP($C$4,'Writing Logic'!$G$8:$H$14,2,FALSE),YES_Writing_ELA[#Headers],0))=0,"",INDEX(_xlfn.VSTACK(YES_Writing_ELA[#Data],YES_Writing_FLA[#Data]),MATCH($A130,_xlfn.VSTACK(YES_Writing_ELA[Student Number],YES_Writing_FLA[Student Number]),0),MATCH(VLOOKUP(G$7,'Writing Logic'!$J$7:$K$11,2,FALSE)&amp;" - Per "&amp;VLOOKUP($C$4,'Writing Logic'!$G$8:$H$14,2,FALSE),YES_Writing_ELA[#Headers],0)))),"")</f>
        <v/>
      </c>
      <c r="H130" s="138" t="str">
        <f>IFERROR(IF(IF(INDEX(_xlfn.VSTACK(YES_Writing_ELA[#Data],YES_Writing_FLA[#Data]),MATCH($A130,_xlfn.VSTACK(YES_Writing_ELA[Student Number],YES_Writing_FLA[Student Number]),0),MATCH(VLOOKUP(H$7,'Writing Logic'!$J$7:$K$11,2,FALSE)&amp;" - Per "&amp;VLOOKUP($C$4,'Writing Logic'!$G$8:$H$14,2,FALSE),YES_Writing_ELA[#Headers],0))=0,"",INDEX(_xlfn.VSTACK(YES_Writing_ELA[#Data],YES_Writing_FLA[#Data]),MATCH($A130,_xlfn.VSTACK(YES_Writing_ELA[Student Number],YES_Writing_FLA[Student Number]),0),MATCH(VLOOKUP(H$7,'Writing Logic'!$J$7:$K$11,2,FALSE)&amp;" - Per "&amp;VLOOKUP($C$4,'Writing Logic'!$G$8:$H$14,2,FALSE),YES_Writing_ELA[#Headers],0)))="INS",'Writing Logic'!$B$7,IF(INDEX(_xlfn.VSTACK(YES_Writing_ELA[#Data],YES_Writing_FLA[#Data]),MATCH($A130,_xlfn.VSTACK(YES_Writing_ELA[Student Number],YES_Writing_FLA[Student Number]),0),MATCH(VLOOKUP(H$7,'Writing Logic'!$J$7:$K$11,2,FALSE)&amp;" - Per "&amp;VLOOKUP($C$4,'Writing Logic'!$G$8:$H$14,2,FALSE),YES_Writing_ELA[#Headers],0))=0,"",INDEX(_xlfn.VSTACK(YES_Writing_ELA[#Data],YES_Writing_FLA[#Data]),MATCH($A130,_xlfn.VSTACK(YES_Writing_ELA[Student Number],YES_Writing_FLA[Student Number]),0),MATCH(VLOOKUP(H$7,'Writing Logic'!$J$7:$K$11,2,FALSE)&amp;" - Per "&amp;VLOOKUP($C$4,'Writing Logic'!$G$8:$H$14,2,FALSE),YES_Writing_ELA[#Headers],0)))),"")</f>
        <v/>
      </c>
    </row>
    <row r="131" spans="1:8" ht="14.25" customHeight="1" x14ac:dyDescent="0.25">
      <c r="A131" s="137"/>
      <c r="B131" s="137" t="str">
        <f>IFERROR(INDEX(_xlfn.VSTACK(YES_Writing_ELA[#Data], YES_Writing_FLA[#Data]),MATCH($A131,_xlfn.VSTACK(YES_Writing_ELA[Student Number], YES_Writing_FLA[Student Number]),0),MATCH(B$7,YES_Writing_ELA[#Headers],0)),"")</f>
        <v/>
      </c>
      <c r="C131" s="137" t="str">
        <f>IFERROR(INDEX(_xlfn.VSTACK(YES_Writing_ELA[#Data], YES_Writing_FLA[#Data]),MATCH($A131,_xlfn.VSTACK(YES_Writing_ELA[Student Number], YES_Writing_FLA[Student Number]),0),MATCH(C$7,YES_Writing_ELA[#Headers],0)),"")</f>
        <v/>
      </c>
      <c r="D131" s="138" t="str">
        <f>IFERROR(IF(IF(INDEX(_xlfn.VSTACK(YES_Writing_ELA[#Data],YES_Writing_FLA[#Data]),MATCH($A131,_xlfn.VSTACK(YES_Writing_ELA[Student Number],YES_Writing_FLA[Student Number]),0),MATCH(VLOOKUP(D$7,'Writing Logic'!$J$7:$K$11,2,FALSE)&amp;" - Per "&amp;VLOOKUP($C$4,'Writing Logic'!$G$8:$H$14,2,FALSE),YES_Writing_ELA[#Headers],0))=0,"",INDEX(_xlfn.VSTACK(YES_Writing_ELA[#Data],YES_Writing_FLA[#Data]),MATCH($A131,_xlfn.VSTACK(YES_Writing_ELA[Student Number],YES_Writing_FLA[Student Number]),0),MATCH(VLOOKUP(D$7,'Writing Logic'!$J$7:$K$11,2,FALSE)&amp;" - Per "&amp;VLOOKUP($C$4,'Writing Logic'!$G$8:$H$14,2,FALSE),YES_Writing_ELA[#Headers],0)))="INS",'Writing Logic'!$B$7,IF(INDEX(_xlfn.VSTACK(YES_Writing_ELA[#Data],YES_Writing_FLA[#Data]),MATCH($A131,_xlfn.VSTACK(YES_Writing_ELA[Student Number],YES_Writing_FLA[Student Number]),0),MATCH(VLOOKUP(D$7,'Writing Logic'!$J$7:$K$11,2,FALSE)&amp;" - Per "&amp;VLOOKUP($C$4,'Writing Logic'!$G$8:$H$14,2,FALSE),YES_Writing_ELA[#Headers],0))=0,"",INDEX(_xlfn.VSTACK(YES_Writing_ELA[#Data],YES_Writing_FLA[#Data]),MATCH($A131,_xlfn.VSTACK(YES_Writing_ELA[Student Number],YES_Writing_FLA[Student Number]),0),MATCH(VLOOKUP(D$7,'Writing Logic'!$J$7:$K$11,2,FALSE)&amp;" - Per "&amp;VLOOKUP($C$4,'Writing Logic'!$G$8:$H$14,2,FALSE),YES_Writing_ELA[#Headers],0)))),"")</f>
        <v/>
      </c>
      <c r="E131" s="138" t="str">
        <f>IFERROR(IF(IF(INDEX(_xlfn.VSTACK(YES_Writing_ELA[#Data],YES_Writing_FLA[#Data]),MATCH($A131,_xlfn.VSTACK(YES_Writing_ELA[Student Number],YES_Writing_FLA[Student Number]),0),MATCH(VLOOKUP(E$7,'Writing Logic'!$J$7:$K$11,2,FALSE)&amp;" - Per "&amp;VLOOKUP($C$4,'Writing Logic'!$G$8:$H$14,2,FALSE),YES_Writing_ELA[#Headers],0))=0,"",INDEX(_xlfn.VSTACK(YES_Writing_ELA[#Data],YES_Writing_FLA[#Data]),MATCH($A131,_xlfn.VSTACK(YES_Writing_ELA[Student Number],YES_Writing_FLA[Student Number]),0),MATCH(VLOOKUP(E$7,'Writing Logic'!$J$7:$K$11,2,FALSE)&amp;" - Per "&amp;VLOOKUP($C$4,'Writing Logic'!$G$8:$H$14,2,FALSE),YES_Writing_ELA[#Headers],0)))="INS",'Writing Logic'!$B$7,IF(INDEX(_xlfn.VSTACK(YES_Writing_ELA[#Data],YES_Writing_FLA[#Data]),MATCH($A131,_xlfn.VSTACK(YES_Writing_ELA[Student Number],YES_Writing_FLA[Student Number]),0),MATCH(VLOOKUP(E$7,'Writing Logic'!$J$7:$K$11,2,FALSE)&amp;" - Per "&amp;VLOOKUP($C$4,'Writing Logic'!$G$8:$H$14,2,FALSE),YES_Writing_ELA[#Headers],0))=0,"",INDEX(_xlfn.VSTACK(YES_Writing_ELA[#Data],YES_Writing_FLA[#Data]),MATCH($A131,_xlfn.VSTACK(YES_Writing_ELA[Student Number],YES_Writing_FLA[Student Number]),0),MATCH(VLOOKUP(E$7,'Writing Logic'!$J$7:$K$11,2,FALSE)&amp;" - Per "&amp;VLOOKUP($C$4,'Writing Logic'!$G$8:$H$14,2,FALSE),YES_Writing_ELA[#Headers],0)))),"")</f>
        <v/>
      </c>
      <c r="F131" s="138" t="str">
        <f>IFERROR(IF(IF(INDEX(_xlfn.VSTACK(YES_Writing_ELA[#Data],YES_Writing_FLA[#Data]),MATCH($A131,_xlfn.VSTACK(YES_Writing_ELA[Student Number],YES_Writing_FLA[Student Number]),0),MATCH(VLOOKUP(F$7,'Writing Logic'!$J$7:$K$11,2,FALSE)&amp;" - Per "&amp;VLOOKUP($C$4,'Writing Logic'!$G$8:$H$14,2,FALSE),YES_Writing_ELA[#Headers],0))=0,"",INDEX(_xlfn.VSTACK(YES_Writing_ELA[#Data],YES_Writing_FLA[#Data]),MATCH($A131,_xlfn.VSTACK(YES_Writing_ELA[Student Number],YES_Writing_FLA[Student Number]),0),MATCH(VLOOKUP(F$7,'Writing Logic'!$J$7:$K$11,2,FALSE)&amp;" - Per "&amp;VLOOKUP($C$4,'Writing Logic'!$G$8:$H$14,2,FALSE),YES_Writing_ELA[#Headers],0)))="INS",'Writing Logic'!$B$7,IF(INDEX(_xlfn.VSTACK(YES_Writing_ELA[#Data],YES_Writing_FLA[#Data]),MATCH($A131,_xlfn.VSTACK(YES_Writing_ELA[Student Number],YES_Writing_FLA[Student Number]),0),MATCH(VLOOKUP(F$7,'Writing Logic'!$J$7:$K$11,2,FALSE)&amp;" - Per "&amp;VLOOKUP($C$4,'Writing Logic'!$G$8:$H$14,2,FALSE),YES_Writing_ELA[#Headers],0))=0,"",INDEX(_xlfn.VSTACK(YES_Writing_ELA[#Data],YES_Writing_FLA[#Data]),MATCH($A131,_xlfn.VSTACK(YES_Writing_ELA[Student Number],YES_Writing_FLA[Student Number]),0),MATCH(VLOOKUP(F$7,'Writing Logic'!$J$7:$K$11,2,FALSE)&amp;" - Per "&amp;VLOOKUP($C$4,'Writing Logic'!$G$8:$H$14,2,FALSE),YES_Writing_ELA[#Headers],0)))),"")</f>
        <v/>
      </c>
      <c r="G131" s="138" t="str">
        <f>IFERROR(IF(IF(INDEX(_xlfn.VSTACK(YES_Writing_ELA[#Data],YES_Writing_FLA[#Data]),MATCH($A131,_xlfn.VSTACK(YES_Writing_ELA[Student Number],YES_Writing_FLA[Student Number]),0),MATCH(VLOOKUP(G$7,'Writing Logic'!$J$7:$K$11,2,FALSE)&amp;" - Per "&amp;VLOOKUP($C$4,'Writing Logic'!$G$8:$H$14,2,FALSE),YES_Writing_ELA[#Headers],0))=0,"",INDEX(_xlfn.VSTACK(YES_Writing_ELA[#Data],YES_Writing_FLA[#Data]),MATCH($A131,_xlfn.VSTACK(YES_Writing_ELA[Student Number],YES_Writing_FLA[Student Number]),0),MATCH(VLOOKUP(G$7,'Writing Logic'!$J$7:$K$11,2,FALSE)&amp;" - Per "&amp;VLOOKUP($C$4,'Writing Logic'!$G$8:$H$14,2,FALSE),YES_Writing_ELA[#Headers],0)))="INS",'Writing Logic'!$B$7,IF(INDEX(_xlfn.VSTACK(YES_Writing_ELA[#Data],YES_Writing_FLA[#Data]),MATCH($A131,_xlfn.VSTACK(YES_Writing_ELA[Student Number],YES_Writing_FLA[Student Number]),0),MATCH(VLOOKUP(G$7,'Writing Logic'!$J$7:$K$11,2,FALSE)&amp;" - Per "&amp;VLOOKUP($C$4,'Writing Logic'!$G$8:$H$14,2,FALSE),YES_Writing_ELA[#Headers],0))=0,"",INDEX(_xlfn.VSTACK(YES_Writing_ELA[#Data],YES_Writing_FLA[#Data]),MATCH($A131,_xlfn.VSTACK(YES_Writing_ELA[Student Number],YES_Writing_FLA[Student Number]),0),MATCH(VLOOKUP(G$7,'Writing Logic'!$J$7:$K$11,2,FALSE)&amp;" - Per "&amp;VLOOKUP($C$4,'Writing Logic'!$G$8:$H$14,2,FALSE),YES_Writing_ELA[#Headers],0)))),"")</f>
        <v/>
      </c>
      <c r="H131" s="138" t="str">
        <f>IFERROR(IF(IF(INDEX(_xlfn.VSTACK(YES_Writing_ELA[#Data],YES_Writing_FLA[#Data]),MATCH($A131,_xlfn.VSTACK(YES_Writing_ELA[Student Number],YES_Writing_FLA[Student Number]),0),MATCH(VLOOKUP(H$7,'Writing Logic'!$J$7:$K$11,2,FALSE)&amp;" - Per "&amp;VLOOKUP($C$4,'Writing Logic'!$G$8:$H$14,2,FALSE),YES_Writing_ELA[#Headers],0))=0,"",INDEX(_xlfn.VSTACK(YES_Writing_ELA[#Data],YES_Writing_FLA[#Data]),MATCH($A131,_xlfn.VSTACK(YES_Writing_ELA[Student Number],YES_Writing_FLA[Student Number]),0),MATCH(VLOOKUP(H$7,'Writing Logic'!$J$7:$K$11,2,FALSE)&amp;" - Per "&amp;VLOOKUP($C$4,'Writing Logic'!$G$8:$H$14,2,FALSE),YES_Writing_ELA[#Headers],0)))="INS",'Writing Logic'!$B$7,IF(INDEX(_xlfn.VSTACK(YES_Writing_ELA[#Data],YES_Writing_FLA[#Data]),MATCH($A131,_xlfn.VSTACK(YES_Writing_ELA[Student Number],YES_Writing_FLA[Student Number]),0),MATCH(VLOOKUP(H$7,'Writing Logic'!$J$7:$K$11,2,FALSE)&amp;" - Per "&amp;VLOOKUP($C$4,'Writing Logic'!$G$8:$H$14,2,FALSE),YES_Writing_ELA[#Headers],0))=0,"",INDEX(_xlfn.VSTACK(YES_Writing_ELA[#Data],YES_Writing_FLA[#Data]),MATCH($A131,_xlfn.VSTACK(YES_Writing_ELA[Student Number],YES_Writing_FLA[Student Number]),0),MATCH(VLOOKUP(H$7,'Writing Logic'!$J$7:$K$11,2,FALSE)&amp;" - Per "&amp;VLOOKUP($C$4,'Writing Logic'!$G$8:$H$14,2,FALSE),YES_Writing_ELA[#Headers],0)))),"")</f>
        <v/>
      </c>
    </row>
    <row r="132" spans="1:8" ht="14.25" customHeight="1" x14ac:dyDescent="0.25">
      <c r="A132" s="137"/>
      <c r="B132" s="137" t="str">
        <f>IFERROR(INDEX(_xlfn.VSTACK(YES_Writing_ELA[#Data], YES_Writing_FLA[#Data]),MATCH($A132,_xlfn.VSTACK(YES_Writing_ELA[Student Number], YES_Writing_FLA[Student Number]),0),MATCH(B$7,YES_Writing_ELA[#Headers],0)),"")</f>
        <v/>
      </c>
      <c r="C132" s="137" t="str">
        <f>IFERROR(INDEX(_xlfn.VSTACK(YES_Writing_ELA[#Data], YES_Writing_FLA[#Data]),MATCH($A132,_xlfn.VSTACK(YES_Writing_ELA[Student Number], YES_Writing_FLA[Student Number]),0),MATCH(C$7,YES_Writing_ELA[#Headers],0)),"")</f>
        <v/>
      </c>
      <c r="D132" s="138" t="str">
        <f>IFERROR(IF(IF(INDEX(_xlfn.VSTACK(YES_Writing_ELA[#Data],YES_Writing_FLA[#Data]),MATCH($A132,_xlfn.VSTACK(YES_Writing_ELA[Student Number],YES_Writing_FLA[Student Number]),0),MATCH(VLOOKUP(D$7,'Writing Logic'!$J$7:$K$11,2,FALSE)&amp;" - Per "&amp;VLOOKUP($C$4,'Writing Logic'!$G$8:$H$14,2,FALSE),YES_Writing_ELA[#Headers],0))=0,"",INDEX(_xlfn.VSTACK(YES_Writing_ELA[#Data],YES_Writing_FLA[#Data]),MATCH($A132,_xlfn.VSTACK(YES_Writing_ELA[Student Number],YES_Writing_FLA[Student Number]),0),MATCH(VLOOKUP(D$7,'Writing Logic'!$J$7:$K$11,2,FALSE)&amp;" - Per "&amp;VLOOKUP($C$4,'Writing Logic'!$G$8:$H$14,2,FALSE),YES_Writing_ELA[#Headers],0)))="INS",'Writing Logic'!$B$7,IF(INDEX(_xlfn.VSTACK(YES_Writing_ELA[#Data],YES_Writing_FLA[#Data]),MATCH($A132,_xlfn.VSTACK(YES_Writing_ELA[Student Number],YES_Writing_FLA[Student Number]),0),MATCH(VLOOKUP(D$7,'Writing Logic'!$J$7:$K$11,2,FALSE)&amp;" - Per "&amp;VLOOKUP($C$4,'Writing Logic'!$G$8:$H$14,2,FALSE),YES_Writing_ELA[#Headers],0))=0,"",INDEX(_xlfn.VSTACK(YES_Writing_ELA[#Data],YES_Writing_FLA[#Data]),MATCH($A132,_xlfn.VSTACK(YES_Writing_ELA[Student Number],YES_Writing_FLA[Student Number]),0),MATCH(VLOOKUP(D$7,'Writing Logic'!$J$7:$K$11,2,FALSE)&amp;" - Per "&amp;VLOOKUP($C$4,'Writing Logic'!$G$8:$H$14,2,FALSE),YES_Writing_ELA[#Headers],0)))),"")</f>
        <v/>
      </c>
      <c r="E132" s="138" t="str">
        <f>IFERROR(IF(IF(INDEX(_xlfn.VSTACK(YES_Writing_ELA[#Data],YES_Writing_FLA[#Data]),MATCH($A132,_xlfn.VSTACK(YES_Writing_ELA[Student Number],YES_Writing_FLA[Student Number]),0),MATCH(VLOOKUP(E$7,'Writing Logic'!$J$7:$K$11,2,FALSE)&amp;" - Per "&amp;VLOOKUP($C$4,'Writing Logic'!$G$8:$H$14,2,FALSE),YES_Writing_ELA[#Headers],0))=0,"",INDEX(_xlfn.VSTACK(YES_Writing_ELA[#Data],YES_Writing_FLA[#Data]),MATCH($A132,_xlfn.VSTACK(YES_Writing_ELA[Student Number],YES_Writing_FLA[Student Number]),0),MATCH(VLOOKUP(E$7,'Writing Logic'!$J$7:$K$11,2,FALSE)&amp;" - Per "&amp;VLOOKUP($C$4,'Writing Logic'!$G$8:$H$14,2,FALSE),YES_Writing_ELA[#Headers],0)))="INS",'Writing Logic'!$B$7,IF(INDEX(_xlfn.VSTACK(YES_Writing_ELA[#Data],YES_Writing_FLA[#Data]),MATCH($A132,_xlfn.VSTACK(YES_Writing_ELA[Student Number],YES_Writing_FLA[Student Number]),0),MATCH(VLOOKUP(E$7,'Writing Logic'!$J$7:$K$11,2,FALSE)&amp;" - Per "&amp;VLOOKUP($C$4,'Writing Logic'!$G$8:$H$14,2,FALSE),YES_Writing_ELA[#Headers],0))=0,"",INDEX(_xlfn.VSTACK(YES_Writing_ELA[#Data],YES_Writing_FLA[#Data]),MATCH($A132,_xlfn.VSTACK(YES_Writing_ELA[Student Number],YES_Writing_FLA[Student Number]),0),MATCH(VLOOKUP(E$7,'Writing Logic'!$J$7:$K$11,2,FALSE)&amp;" - Per "&amp;VLOOKUP($C$4,'Writing Logic'!$G$8:$H$14,2,FALSE),YES_Writing_ELA[#Headers],0)))),"")</f>
        <v/>
      </c>
      <c r="F132" s="138" t="str">
        <f>IFERROR(IF(IF(INDEX(_xlfn.VSTACK(YES_Writing_ELA[#Data],YES_Writing_FLA[#Data]),MATCH($A132,_xlfn.VSTACK(YES_Writing_ELA[Student Number],YES_Writing_FLA[Student Number]),0),MATCH(VLOOKUP(F$7,'Writing Logic'!$J$7:$K$11,2,FALSE)&amp;" - Per "&amp;VLOOKUP($C$4,'Writing Logic'!$G$8:$H$14,2,FALSE),YES_Writing_ELA[#Headers],0))=0,"",INDEX(_xlfn.VSTACK(YES_Writing_ELA[#Data],YES_Writing_FLA[#Data]),MATCH($A132,_xlfn.VSTACK(YES_Writing_ELA[Student Number],YES_Writing_FLA[Student Number]),0),MATCH(VLOOKUP(F$7,'Writing Logic'!$J$7:$K$11,2,FALSE)&amp;" - Per "&amp;VLOOKUP($C$4,'Writing Logic'!$G$8:$H$14,2,FALSE),YES_Writing_ELA[#Headers],0)))="INS",'Writing Logic'!$B$7,IF(INDEX(_xlfn.VSTACK(YES_Writing_ELA[#Data],YES_Writing_FLA[#Data]),MATCH($A132,_xlfn.VSTACK(YES_Writing_ELA[Student Number],YES_Writing_FLA[Student Number]),0),MATCH(VLOOKUP(F$7,'Writing Logic'!$J$7:$K$11,2,FALSE)&amp;" - Per "&amp;VLOOKUP($C$4,'Writing Logic'!$G$8:$H$14,2,FALSE),YES_Writing_ELA[#Headers],0))=0,"",INDEX(_xlfn.VSTACK(YES_Writing_ELA[#Data],YES_Writing_FLA[#Data]),MATCH($A132,_xlfn.VSTACK(YES_Writing_ELA[Student Number],YES_Writing_FLA[Student Number]),0),MATCH(VLOOKUP(F$7,'Writing Logic'!$J$7:$K$11,2,FALSE)&amp;" - Per "&amp;VLOOKUP($C$4,'Writing Logic'!$G$8:$H$14,2,FALSE),YES_Writing_ELA[#Headers],0)))),"")</f>
        <v/>
      </c>
      <c r="G132" s="138" t="str">
        <f>IFERROR(IF(IF(INDEX(_xlfn.VSTACK(YES_Writing_ELA[#Data],YES_Writing_FLA[#Data]),MATCH($A132,_xlfn.VSTACK(YES_Writing_ELA[Student Number],YES_Writing_FLA[Student Number]),0),MATCH(VLOOKUP(G$7,'Writing Logic'!$J$7:$K$11,2,FALSE)&amp;" - Per "&amp;VLOOKUP($C$4,'Writing Logic'!$G$8:$H$14,2,FALSE),YES_Writing_ELA[#Headers],0))=0,"",INDEX(_xlfn.VSTACK(YES_Writing_ELA[#Data],YES_Writing_FLA[#Data]),MATCH($A132,_xlfn.VSTACK(YES_Writing_ELA[Student Number],YES_Writing_FLA[Student Number]),0),MATCH(VLOOKUP(G$7,'Writing Logic'!$J$7:$K$11,2,FALSE)&amp;" - Per "&amp;VLOOKUP($C$4,'Writing Logic'!$G$8:$H$14,2,FALSE),YES_Writing_ELA[#Headers],0)))="INS",'Writing Logic'!$B$7,IF(INDEX(_xlfn.VSTACK(YES_Writing_ELA[#Data],YES_Writing_FLA[#Data]),MATCH($A132,_xlfn.VSTACK(YES_Writing_ELA[Student Number],YES_Writing_FLA[Student Number]),0),MATCH(VLOOKUP(G$7,'Writing Logic'!$J$7:$K$11,2,FALSE)&amp;" - Per "&amp;VLOOKUP($C$4,'Writing Logic'!$G$8:$H$14,2,FALSE),YES_Writing_ELA[#Headers],0))=0,"",INDEX(_xlfn.VSTACK(YES_Writing_ELA[#Data],YES_Writing_FLA[#Data]),MATCH($A132,_xlfn.VSTACK(YES_Writing_ELA[Student Number],YES_Writing_FLA[Student Number]),0),MATCH(VLOOKUP(G$7,'Writing Logic'!$J$7:$K$11,2,FALSE)&amp;" - Per "&amp;VLOOKUP($C$4,'Writing Logic'!$G$8:$H$14,2,FALSE),YES_Writing_ELA[#Headers],0)))),"")</f>
        <v/>
      </c>
      <c r="H132" s="138" t="str">
        <f>IFERROR(IF(IF(INDEX(_xlfn.VSTACK(YES_Writing_ELA[#Data],YES_Writing_FLA[#Data]),MATCH($A132,_xlfn.VSTACK(YES_Writing_ELA[Student Number],YES_Writing_FLA[Student Number]),0),MATCH(VLOOKUP(H$7,'Writing Logic'!$J$7:$K$11,2,FALSE)&amp;" - Per "&amp;VLOOKUP($C$4,'Writing Logic'!$G$8:$H$14,2,FALSE),YES_Writing_ELA[#Headers],0))=0,"",INDEX(_xlfn.VSTACK(YES_Writing_ELA[#Data],YES_Writing_FLA[#Data]),MATCH($A132,_xlfn.VSTACK(YES_Writing_ELA[Student Number],YES_Writing_FLA[Student Number]),0),MATCH(VLOOKUP(H$7,'Writing Logic'!$J$7:$K$11,2,FALSE)&amp;" - Per "&amp;VLOOKUP($C$4,'Writing Logic'!$G$8:$H$14,2,FALSE),YES_Writing_ELA[#Headers],0)))="INS",'Writing Logic'!$B$7,IF(INDEX(_xlfn.VSTACK(YES_Writing_ELA[#Data],YES_Writing_FLA[#Data]),MATCH($A132,_xlfn.VSTACK(YES_Writing_ELA[Student Number],YES_Writing_FLA[Student Number]),0),MATCH(VLOOKUP(H$7,'Writing Logic'!$J$7:$K$11,2,FALSE)&amp;" - Per "&amp;VLOOKUP($C$4,'Writing Logic'!$G$8:$H$14,2,FALSE),YES_Writing_ELA[#Headers],0))=0,"",INDEX(_xlfn.VSTACK(YES_Writing_ELA[#Data],YES_Writing_FLA[#Data]),MATCH($A132,_xlfn.VSTACK(YES_Writing_ELA[Student Number],YES_Writing_FLA[Student Number]),0),MATCH(VLOOKUP(H$7,'Writing Logic'!$J$7:$K$11,2,FALSE)&amp;" - Per "&amp;VLOOKUP($C$4,'Writing Logic'!$G$8:$H$14,2,FALSE),YES_Writing_ELA[#Headers],0)))),"")</f>
        <v/>
      </c>
    </row>
    <row r="133" spans="1:8" ht="14.25" customHeight="1" x14ac:dyDescent="0.25">
      <c r="A133" s="137"/>
      <c r="B133" s="137" t="str">
        <f>IFERROR(INDEX(_xlfn.VSTACK(YES_Writing_ELA[#Data], YES_Writing_FLA[#Data]),MATCH($A133,_xlfn.VSTACK(YES_Writing_ELA[Student Number], YES_Writing_FLA[Student Number]),0),MATCH(B$7,YES_Writing_ELA[#Headers],0)),"")</f>
        <v/>
      </c>
      <c r="C133" s="137" t="str">
        <f>IFERROR(INDEX(_xlfn.VSTACK(YES_Writing_ELA[#Data], YES_Writing_FLA[#Data]),MATCH($A133,_xlfn.VSTACK(YES_Writing_ELA[Student Number], YES_Writing_FLA[Student Number]),0),MATCH(C$7,YES_Writing_ELA[#Headers],0)),"")</f>
        <v/>
      </c>
      <c r="D133" s="138" t="str">
        <f>IFERROR(IF(IF(INDEX(_xlfn.VSTACK(YES_Writing_ELA[#Data],YES_Writing_FLA[#Data]),MATCH($A133,_xlfn.VSTACK(YES_Writing_ELA[Student Number],YES_Writing_FLA[Student Number]),0),MATCH(VLOOKUP(D$7,'Writing Logic'!$J$7:$K$11,2,FALSE)&amp;" - Per "&amp;VLOOKUP($C$4,'Writing Logic'!$G$8:$H$14,2,FALSE),YES_Writing_ELA[#Headers],0))=0,"",INDEX(_xlfn.VSTACK(YES_Writing_ELA[#Data],YES_Writing_FLA[#Data]),MATCH($A133,_xlfn.VSTACK(YES_Writing_ELA[Student Number],YES_Writing_FLA[Student Number]),0),MATCH(VLOOKUP(D$7,'Writing Logic'!$J$7:$K$11,2,FALSE)&amp;" - Per "&amp;VLOOKUP($C$4,'Writing Logic'!$G$8:$H$14,2,FALSE),YES_Writing_ELA[#Headers],0)))="INS",'Writing Logic'!$B$7,IF(INDEX(_xlfn.VSTACK(YES_Writing_ELA[#Data],YES_Writing_FLA[#Data]),MATCH($A133,_xlfn.VSTACK(YES_Writing_ELA[Student Number],YES_Writing_FLA[Student Number]),0),MATCH(VLOOKUP(D$7,'Writing Logic'!$J$7:$K$11,2,FALSE)&amp;" - Per "&amp;VLOOKUP($C$4,'Writing Logic'!$G$8:$H$14,2,FALSE),YES_Writing_ELA[#Headers],0))=0,"",INDEX(_xlfn.VSTACK(YES_Writing_ELA[#Data],YES_Writing_FLA[#Data]),MATCH($A133,_xlfn.VSTACK(YES_Writing_ELA[Student Number],YES_Writing_FLA[Student Number]),0),MATCH(VLOOKUP(D$7,'Writing Logic'!$J$7:$K$11,2,FALSE)&amp;" - Per "&amp;VLOOKUP($C$4,'Writing Logic'!$G$8:$H$14,2,FALSE),YES_Writing_ELA[#Headers],0)))),"")</f>
        <v/>
      </c>
      <c r="E133" s="138" t="str">
        <f>IFERROR(IF(IF(INDEX(_xlfn.VSTACK(YES_Writing_ELA[#Data],YES_Writing_FLA[#Data]),MATCH($A133,_xlfn.VSTACK(YES_Writing_ELA[Student Number],YES_Writing_FLA[Student Number]),0),MATCH(VLOOKUP(E$7,'Writing Logic'!$J$7:$K$11,2,FALSE)&amp;" - Per "&amp;VLOOKUP($C$4,'Writing Logic'!$G$8:$H$14,2,FALSE),YES_Writing_ELA[#Headers],0))=0,"",INDEX(_xlfn.VSTACK(YES_Writing_ELA[#Data],YES_Writing_FLA[#Data]),MATCH($A133,_xlfn.VSTACK(YES_Writing_ELA[Student Number],YES_Writing_FLA[Student Number]),0),MATCH(VLOOKUP(E$7,'Writing Logic'!$J$7:$K$11,2,FALSE)&amp;" - Per "&amp;VLOOKUP($C$4,'Writing Logic'!$G$8:$H$14,2,FALSE),YES_Writing_ELA[#Headers],0)))="INS",'Writing Logic'!$B$7,IF(INDEX(_xlfn.VSTACK(YES_Writing_ELA[#Data],YES_Writing_FLA[#Data]),MATCH($A133,_xlfn.VSTACK(YES_Writing_ELA[Student Number],YES_Writing_FLA[Student Number]),0),MATCH(VLOOKUP(E$7,'Writing Logic'!$J$7:$K$11,2,FALSE)&amp;" - Per "&amp;VLOOKUP($C$4,'Writing Logic'!$G$8:$H$14,2,FALSE),YES_Writing_ELA[#Headers],0))=0,"",INDEX(_xlfn.VSTACK(YES_Writing_ELA[#Data],YES_Writing_FLA[#Data]),MATCH($A133,_xlfn.VSTACK(YES_Writing_ELA[Student Number],YES_Writing_FLA[Student Number]),0),MATCH(VLOOKUP(E$7,'Writing Logic'!$J$7:$K$11,2,FALSE)&amp;" - Per "&amp;VLOOKUP($C$4,'Writing Logic'!$G$8:$H$14,2,FALSE),YES_Writing_ELA[#Headers],0)))),"")</f>
        <v/>
      </c>
      <c r="F133" s="138" t="str">
        <f>IFERROR(IF(IF(INDEX(_xlfn.VSTACK(YES_Writing_ELA[#Data],YES_Writing_FLA[#Data]),MATCH($A133,_xlfn.VSTACK(YES_Writing_ELA[Student Number],YES_Writing_FLA[Student Number]),0),MATCH(VLOOKUP(F$7,'Writing Logic'!$J$7:$K$11,2,FALSE)&amp;" - Per "&amp;VLOOKUP($C$4,'Writing Logic'!$G$8:$H$14,2,FALSE),YES_Writing_ELA[#Headers],0))=0,"",INDEX(_xlfn.VSTACK(YES_Writing_ELA[#Data],YES_Writing_FLA[#Data]),MATCH($A133,_xlfn.VSTACK(YES_Writing_ELA[Student Number],YES_Writing_FLA[Student Number]),0),MATCH(VLOOKUP(F$7,'Writing Logic'!$J$7:$K$11,2,FALSE)&amp;" - Per "&amp;VLOOKUP($C$4,'Writing Logic'!$G$8:$H$14,2,FALSE),YES_Writing_ELA[#Headers],0)))="INS",'Writing Logic'!$B$7,IF(INDEX(_xlfn.VSTACK(YES_Writing_ELA[#Data],YES_Writing_FLA[#Data]),MATCH($A133,_xlfn.VSTACK(YES_Writing_ELA[Student Number],YES_Writing_FLA[Student Number]),0),MATCH(VLOOKUP(F$7,'Writing Logic'!$J$7:$K$11,2,FALSE)&amp;" - Per "&amp;VLOOKUP($C$4,'Writing Logic'!$G$8:$H$14,2,FALSE),YES_Writing_ELA[#Headers],0))=0,"",INDEX(_xlfn.VSTACK(YES_Writing_ELA[#Data],YES_Writing_FLA[#Data]),MATCH($A133,_xlfn.VSTACK(YES_Writing_ELA[Student Number],YES_Writing_FLA[Student Number]),0),MATCH(VLOOKUP(F$7,'Writing Logic'!$J$7:$K$11,2,FALSE)&amp;" - Per "&amp;VLOOKUP($C$4,'Writing Logic'!$G$8:$H$14,2,FALSE),YES_Writing_ELA[#Headers],0)))),"")</f>
        <v/>
      </c>
      <c r="G133" s="138" t="str">
        <f>IFERROR(IF(IF(INDEX(_xlfn.VSTACK(YES_Writing_ELA[#Data],YES_Writing_FLA[#Data]),MATCH($A133,_xlfn.VSTACK(YES_Writing_ELA[Student Number],YES_Writing_FLA[Student Number]),0),MATCH(VLOOKUP(G$7,'Writing Logic'!$J$7:$K$11,2,FALSE)&amp;" - Per "&amp;VLOOKUP($C$4,'Writing Logic'!$G$8:$H$14,2,FALSE),YES_Writing_ELA[#Headers],0))=0,"",INDEX(_xlfn.VSTACK(YES_Writing_ELA[#Data],YES_Writing_FLA[#Data]),MATCH($A133,_xlfn.VSTACK(YES_Writing_ELA[Student Number],YES_Writing_FLA[Student Number]),0),MATCH(VLOOKUP(G$7,'Writing Logic'!$J$7:$K$11,2,FALSE)&amp;" - Per "&amp;VLOOKUP($C$4,'Writing Logic'!$G$8:$H$14,2,FALSE),YES_Writing_ELA[#Headers],0)))="INS",'Writing Logic'!$B$7,IF(INDEX(_xlfn.VSTACK(YES_Writing_ELA[#Data],YES_Writing_FLA[#Data]),MATCH($A133,_xlfn.VSTACK(YES_Writing_ELA[Student Number],YES_Writing_FLA[Student Number]),0),MATCH(VLOOKUP(G$7,'Writing Logic'!$J$7:$K$11,2,FALSE)&amp;" - Per "&amp;VLOOKUP($C$4,'Writing Logic'!$G$8:$H$14,2,FALSE),YES_Writing_ELA[#Headers],0))=0,"",INDEX(_xlfn.VSTACK(YES_Writing_ELA[#Data],YES_Writing_FLA[#Data]),MATCH($A133,_xlfn.VSTACK(YES_Writing_ELA[Student Number],YES_Writing_FLA[Student Number]),0),MATCH(VLOOKUP(G$7,'Writing Logic'!$J$7:$K$11,2,FALSE)&amp;" - Per "&amp;VLOOKUP($C$4,'Writing Logic'!$G$8:$H$14,2,FALSE),YES_Writing_ELA[#Headers],0)))),"")</f>
        <v/>
      </c>
      <c r="H133" s="138" t="str">
        <f>IFERROR(IF(IF(INDEX(_xlfn.VSTACK(YES_Writing_ELA[#Data],YES_Writing_FLA[#Data]),MATCH($A133,_xlfn.VSTACK(YES_Writing_ELA[Student Number],YES_Writing_FLA[Student Number]),0),MATCH(VLOOKUP(H$7,'Writing Logic'!$J$7:$K$11,2,FALSE)&amp;" - Per "&amp;VLOOKUP($C$4,'Writing Logic'!$G$8:$H$14,2,FALSE),YES_Writing_ELA[#Headers],0))=0,"",INDEX(_xlfn.VSTACK(YES_Writing_ELA[#Data],YES_Writing_FLA[#Data]),MATCH($A133,_xlfn.VSTACK(YES_Writing_ELA[Student Number],YES_Writing_FLA[Student Number]),0),MATCH(VLOOKUP(H$7,'Writing Logic'!$J$7:$K$11,2,FALSE)&amp;" - Per "&amp;VLOOKUP($C$4,'Writing Logic'!$G$8:$H$14,2,FALSE),YES_Writing_ELA[#Headers],0)))="INS",'Writing Logic'!$B$7,IF(INDEX(_xlfn.VSTACK(YES_Writing_ELA[#Data],YES_Writing_FLA[#Data]),MATCH($A133,_xlfn.VSTACK(YES_Writing_ELA[Student Number],YES_Writing_FLA[Student Number]),0),MATCH(VLOOKUP(H$7,'Writing Logic'!$J$7:$K$11,2,FALSE)&amp;" - Per "&amp;VLOOKUP($C$4,'Writing Logic'!$G$8:$H$14,2,FALSE),YES_Writing_ELA[#Headers],0))=0,"",INDEX(_xlfn.VSTACK(YES_Writing_ELA[#Data],YES_Writing_FLA[#Data]),MATCH($A133,_xlfn.VSTACK(YES_Writing_ELA[Student Number],YES_Writing_FLA[Student Number]),0),MATCH(VLOOKUP(H$7,'Writing Logic'!$J$7:$K$11,2,FALSE)&amp;" - Per "&amp;VLOOKUP($C$4,'Writing Logic'!$G$8:$H$14,2,FALSE),YES_Writing_ELA[#Headers],0)))),"")</f>
        <v/>
      </c>
    </row>
    <row r="134" spans="1:8" ht="14.25" customHeight="1" x14ac:dyDescent="0.25">
      <c r="A134" s="137"/>
      <c r="B134" s="137" t="str">
        <f>IFERROR(INDEX(_xlfn.VSTACK(YES_Writing_ELA[#Data], YES_Writing_FLA[#Data]),MATCH($A134,_xlfn.VSTACK(YES_Writing_ELA[Student Number], YES_Writing_FLA[Student Number]),0),MATCH(B$7,YES_Writing_ELA[#Headers],0)),"")</f>
        <v/>
      </c>
      <c r="C134" s="137" t="str">
        <f>IFERROR(INDEX(_xlfn.VSTACK(YES_Writing_ELA[#Data], YES_Writing_FLA[#Data]),MATCH($A134,_xlfn.VSTACK(YES_Writing_ELA[Student Number], YES_Writing_FLA[Student Number]),0),MATCH(C$7,YES_Writing_ELA[#Headers],0)),"")</f>
        <v/>
      </c>
      <c r="D134" s="138" t="str">
        <f>IFERROR(IF(IF(INDEX(_xlfn.VSTACK(YES_Writing_ELA[#Data],YES_Writing_FLA[#Data]),MATCH($A134,_xlfn.VSTACK(YES_Writing_ELA[Student Number],YES_Writing_FLA[Student Number]),0),MATCH(VLOOKUP(D$7,'Writing Logic'!$J$7:$K$11,2,FALSE)&amp;" - Per "&amp;VLOOKUP($C$4,'Writing Logic'!$G$8:$H$14,2,FALSE),YES_Writing_ELA[#Headers],0))=0,"",INDEX(_xlfn.VSTACK(YES_Writing_ELA[#Data],YES_Writing_FLA[#Data]),MATCH($A134,_xlfn.VSTACK(YES_Writing_ELA[Student Number],YES_Writing_FLA[Student Number]),0),MATCH(VLOOKUP(D$7,'Writing Logic'!$J$7:$K$11,2,FALSE)&amp;" - Per "&amp;VLOOKUP($C$4,'Writing Logic'!$G$8:$H$14,2,FALSE),YES_Writing_ELA[#Headers],0)))="INS",'Writing Logic'!$B$7,IF(INDEX(_xlfn.VSTACK(YES_Writing_ELA[#Data],YES_Writing_FLA[#Data]),MATCH($A134,_xlfn.VSTACK(YES_Writing_ELA[Student Number],YES_Writing_FLA[Student Number]),0),MATCH(VLOOKUP(D$7,'Writing Logic'!$J$7:$K$11,2,FALSE)&amp;" - Per "&amp;VLOOKUP($C$4,'Writing Logic'!$G$8:$H$14,2,FALSE),YES_Writing_ELA[#Headers],0))=0,"",INDEX(_xlfn.VSTACK(YES_Writing_ELA[#Data],YES_Writing_FLA[#Data]),MATCH($A134,_xlfn.VSTACK(YES_Writing_ELA[Student Number],YES_Writing_FLA[Student Number]),0),MATCH(VLOOKUP(D$7,'Writing Logic'!$J$7:$K$11,2,FALSE)&amp;" - Per "&amp;VLOOKUP($C$4,'Writing Logic'!$G$8:$H$14,2,FALSE),YES_Writing_ELA[#Headers],0)))),"")</f>
        <v/>
      </c>
      <c r="E134" s="138" t="str">
        <f>IFERROR(IF(IF(INDEX(_xlfn.VSTACK(YES_Writing_ELA[#Data],YES_Writing_FLA[#Data]),MATCH($A134,_xlfn.VSTACK(YES_Writing_ELA[Student Number],YES_Writing_FLA[Student Number]),0),MATCH(VLOOKUP(E$7,'Writing Logic'!$J$7:$K$11,2,FALSE)&amp;" - Per "&amp;VLOOKUP($C$4,'Writing Logic'!$G$8:$H$14,2,FALSE),YES_Writing_ELA[#Headers],0))=0,"",INDEX(_xlfn.VSTACK(YES_Writing_ELA[#Data],YES_Writing_FLA[#Data]),MATCH($A134,_xlfn.VSTACK(YES_Writing_ELA[Student Number],YES_Writing_FLA[Student Number]),0),MATCH(VLOOKUP(E$7,'Writing Logic'!$J$7:$K$11,2,FALSE)&amp;" - Per "&amp;VLOOKUP($C$4,'Writing Logic'!$G$8:$H$14,2,FALSE),YES_Writing_ELA[#Headers],0)))="INS",'Writing Logic'!$B$7,IF(INDEX(_xlfn.VSTACK(YES_Writing_ELA[#Data],YES_Writing_FLA[#Data]),MATCH($A134,_xlfn.VSTACK(YES_Writing_ELA[Student Number],YES_Writing_FLA[Student Number]),0),MATCH(VLOOKUP(E$7,'Writing Logic'!$J$7:$K$11,2,FALSE)&amp;" - Per "&amp;VLOOKUP($C$4,'Writing Logic'!$G$8:$H$14,2,FALSE),YES_Writing_ELA[#Headers],0))=0,"",INDEX(_xlfn.VSTACK(YES_Writing_ELA[#Data],YES_Writing_FLA[#Data]),MATCH($A134,_xlfn.VSTACK(YES_Writing_ELA[Student Number],YES_Writing_FLA[Student Number]),0),MATCH(VLOOKUP(E$7,'Writing Logic'!$J$7:$K$11,2,FALSE)&amp;" - Per "&amp;VLOOKUP($C$4,'Writing Logic'!$G$8:$H$14,2,FALSE),YES_Writing_ELA[#Headers],0)))),"")</f>
        <v/>
      </c>
      <c r="F134" s="138" t="str">
        <f>IFERROR(IF(IF(INDEX(_xlfn.VSTACK(YES_Writing_ELA[#Data],YES_Writing_FLA[#Data]),MATCH($A134,_xlfn.VSTACK(YES_Writing_ELA[Student Number],YES_Writing_FLA[Student Number]),0),MATCH(VLOOKUP(F$7,'Writing Logic'!$J$7:$K$11,2,FALSE)&amp;" - Per "&amp;VLOOKUP($C$4,'Writing Logic'!$G$8:$H$14,2,FALSE),YES_Writing_ELA[#Headers],0))=0,"",INDEX(_xlfn.VSTACK(YES_Writing_ELA[#Data],YES_Writing_FLA[#Data]),MATCH($A134,_xlfn.VSTACK(YES_Writing_ELA[Student Number],YES_Writing_FLA[Student Number]),0),MATCH(VLOOKUP(F$7,'Writing Logic'!$J$7:$K$11,2,FALSE)&amp;" - Per "&amp;VLOOKUP($C$4,'Writing Logic'!$G$8:$H$14,2,FALSE),YES_Writing_ELA[#Headers],0)))="INS",'Writing Logic'!$B$7,IF(INDEX(_xlfn.VSTACK(YES_Writing_ELA[#Data],YES_Writing_FLA[#Data]),MATCH($A134,_xlfn.VSTACK(YES_Writing_ELA[Student Number],YES_Writing_FLA[Student Number]),0),MATCH(VLOOKUP(F$7,'Writing Logic'!$J$7:$K$11,2,FALSE)&amp;" - Per "&amp;VLOOKUP($C$4,'Writing Logic'!$G$8:$H$14,2,FALSE),YES_Writing_ELA[#Headers],0))=0,"",INDEX(_xlfn.VSTACK(YES_Writing_ELA[#Data],YES_Writing_FLA[#Data]),MATCH($A134,_xlfn.VSTACK(YES_Writing_ELA[Student Number],YES_Writing_FLA[Student Number]),0),MATCH(VLOOKUP(F$7,'Writing Logic'!$J$7:$K$11,2,FALSE)&amp;" - Per "&amp;VLOOKUP($C$4,'Writing Logic'!$G$8:$H$14,2,FALSE),YES_Writing_ELA[#Headers],0)))),"")</f>
        <v/>
      </c>
      <c r="G134" s="138" t="str">
        <f>IFERROR(IF(IF(INDEX(_xlfn.VSTACK(YES_Writing_ELA[#Data],YES_Writing_FLA[#Data]),MATCH($A134,_xlfn.VSTACK(YES_Writing_ELA[Student Number],YES_Writing_FLA[Student Number]),0),MATCH(VLOOKUP(G$7,'Writing Logic'!$J$7:$K$11,2,FALSE)&amp;" - Per "&amp;VLOOKUP($C$4,'Writing Logic'!$G$8:$H$14,2,FALSE),YES_Writing_ELA[#Headers],0))=0,"",INDEX(_xlfn.VSTACK(YES_Writing_ELA[#Data],YES_Writing_FLA[#Data]),MATCH($A134,_xlfn.VSTACK(YES_Writing_ELA[Student Number],YES_Writing_FLA[Student Number]),0),MATCH(VLOOKUP(G$7,'Writing Logic'!$J$7:$K$11,2,FALSE)&amp;" - Per "&amp;VLOOKUP($C$4,'Writing Logic'!$G$8:$H$14,2,FALSE),YES_Writing_ELA[#Headers],0)))="INS",'Writing Logic'!$B$7,IF(INDEX(_xlfn.VSTACK(YES_Writing_ELA[#Data],YES_Writing_FLA[#Data]),MATCH($A134,_xlfn.VSTACK(YES_Writing_ELA[Student Number],YES_Writing_FLA[Student Number]),0),MATCH(VLOOKUP(G$7,'Writing Logic'!$J$7:$K$11,2,FALSE)&amp;" - Per "&amp;VLOOKUP($C$4,'Writing Logic'!$G$8:$H$14,2,FALSE),YES_Writing_ELA[#Headers],0))=0,"",INDEX(_xlfn.VSTACK(YES_Writing_ELA[#Data],YES_Writing_FLA[#Data]),MATCH($A134,_xlfn.VSTACK(YES_Writing_ELA[Student Number],YES_Writing_FLA[Student Number]),0),MATCH(VLOOKUP(G$7,'Writing Logic'!$J$7:$K$11,2,FALSE)&amp;" - Per "&amp;VLOOKUP($C$4,'Writing Logic'!$G$8:$H$14,2,FALSE),YES_Writing_ELA[#Headers],0)))),"")</f>
        <v/>
      </c>
      <c r="H134" s="138" t="str">
        <f>IFERROR(IF(IF(INDEX(_xlfn.VSTACK(YES_Writing_ELA[#Data],YES_Writing_FLA[#Data]),MATCH($A134,_xlfn.VSTACK(YES_Writing_ELA[Student Number],YES_Writing_FLA[Student Number]),0),MATCH(VLOOKUP(H$7,'Writing Logic'!$J$7:$K$11,2,FALSE)&amp;" - Per "&amp;VLOOKUP($C$4,'Writing Logic'!$G$8:$H$14,2,FALSE),YES_Writing_ELA[#Headers],0))=0,"",INDEX(_xlfn.VSTACK(YES_Writing_ELA[#Data],YES_Writing_FLA[#Data]),MATCH($A134,_xlfn.VSTACK(YES_Writing_ELA[Student Number],YES_Writing_FLA[Student Number]),0),MATCH(VLOOKUP(H$7,'Writing Logic'!$J$7:$K$11,2,FALSE)&amp;" - Per "&amp;VLOOKUP($C$4,'Writing Logic'!$G$8:$H$14,2,FALSE),YES_Writing_ELA[#Headers],0)))="INS",'Writing Logic'!$B$7,IF(INDEX(_xlfn.VSTACK(YES_Writing_ELA[#Data],YES_Writing_FLA[#Data]),MATCH($A134,_xlfn.VSTACK(YES_Writing_ELA[Student Number],YES_Writing_FLA[Student Number]),0),MATCH(VLOOKUP(H$7,'Writing Logic'!$J$7:$K$11,2,FALSE)&amp;" - Per "&amp;VLOOKUP($C$4,'Writing Logic'!$G$8:$H$14,2,FALSE),YES_Writing_ELA[#Headers],0))=0,"",INDEX(_xlfn.VSTACK(YES_Writing_ELA[#Data],YES_Writing_FLA[#Data]),MATCH($A134,_xlfn.VSTACK(YES_Writing_ELA[Student Number],YES_Writing_FLA[Student Number]),0),MATCH(VLOOKUP(H$7,'Writing Logic'!$J$7:$K$11,2,FALSE)&amp;" - Per "&amp;VLOOKUP($C$4,'Writing Logic'!$G$8:$H$14,2,FALSE),YES_Writing_ELA[#Headers],0)))),"")</f>
        <v/>
      </c>
    </row>
    <row r="135" spans="1:8" ht="14.25" customHeight="1" x14ac:dyDescent="0.25">
      <c r="A135" s="137"/>
      <c r="B135" s="137" t="str">
        <f>IFERROR(INDEX(_xlfn.VSTACK(YES_Writing_ELA[#Data], YES_Writing_FLA[#Data]),MATCH($A135,_xlfn.VSTACK(YES_Writing_ELA[Student Number], YES_Writing_FLA[Student Number]),0),MATCH(B$7,YES_Writing_ELA[#Headers],0)),"")</f>
        <v/>
      </c>
      <c r="C135" s="137" t="str">
        <f>IFERROR(INDEX(_xlfn.VSTACK(YES_Writing_ELA[#Data], YES_Writing_FLA[#Data]),MATCH($A135,_xlfn.VSTACK(YES_Writing_ELA[Student Number], YES_Writing_FLA[Student Number]),0),MATCH(C$7,YES_Writing_ELA[#Headers],0)),"")</f>
        <v/>
      </c>
      <c r="D135" s="138" t="str">
        <f>IFERROR(IF(IF(INDEX(_xlfn.VSTACK(YES_Writing_ELA[#Data],YES_Writing_FLA[#Data]),MATCH($A135,_xlfn.VSTACK(YES_Writing_ELA[Student Number],YES_Writing_FLA[Student Number]),0),MATCH(VLOOKUP(D$7,'Writing Logic'!$J$7:$K$11,2,FALSE)&amp;" - Per "&amp;VLOOKUP($C$4,'Writing Logic'!$G$8:$H$14,2,FALSE),YES_Writing_ELA[#Headers],0))=0,"",INDEX(_xlfn.VSTACK(YES_Writing_ELA[#Data],YES_Writing_FLA[#Data]),MATCH($A135,_xlfn.VSTACK(YES_Writing_ELA[Student Number],YES_Writing_FLA[Student Number]),0),MATCH(VLOOKUP(D$7,'Writing Logic'!$J$7:$K$11,2,FALSE)&amp;" - Per "&amp;VLOOKUP($C$4,'Writing Logic'!$G$8:$H$14,2,FALSE),YES_Writing_ELA[#Headers],0)))="INS",'Writing Logic'!$B$7,IF(INDEX(_xlfn.VSTACK(YES_Writing_ELA[#Data],YES_Writing_FLA[#Data]),MATCH($A135,_xlfn.VSTACK(YES_Writing_ELA[Student Number],YES_Writing_FLA[Student Number]),0),MATCH(VLOOKUP(D$7,'Writing Logic'!$J$7:$K$11,2,FALSE)&amp;" - Per "&amp;VLOOKUP($C$4,'Writing Logic'!$G$8:$H$14,2,FALSE),YES_Writing_ELA[#Headers],0))=0,"",INDEX(_xlfn.VSTACK(YES_Writing_ELA[#Data],YES_Writing_FLA[#Data]),MATCH($A135,_xlfn.VSTACK(YES_Writing_ELA[Student Number],YES_Writing_FLA[Student Number]),0),MATCH(VLOOKUP(D$7,'Writing Logic'!$J$7:$K$11,2,FALSE)&amp;" - Per "&amp;VLOOKUP($C$4,'Writing Logic'!$G$8:$H$14,2,FALSE),YES_Writing_ELA[#Headers],0)))),"")</f>
        <v/>
      </c>
      <c r="E135" s="138" t="str">
        <f>IFERROR(IF(IF(INDEX(_xlfn.VSTACK(YES_Writing_ELA[#Data],YES_Writing_FLA[#Data]),MATCH($A135,_xlfn.VSTACK(YES_Writing_ELA[Student Number],YES_Writing_FLA[Student Number]),0),MATCH(VLOOKUP(E$7,'Writing Logic'!$J$7:$K$11,2,FALSE)&amp;" - Per "&amp;VLOOKUP($C$4,'Writing Logic'!$G$8:$H$14,2,FALSE),YES_Writing_ELA[#Headers],0))=0,"",INDEX(_xlfn.VSTACK(YES_Writing_ELA[#Data],YES_Writing_FLA[#Data]),MATCH($A135,_xlfn.VSTACK(YES_Writing_ELA[Student Number],YES_Writing_FLA[Student Number]),0),MATCH(VLOOKUP(E$7,'Writing Logic'!$J$7:$K$11,2,FALSE)&amp;" - Per "&amp;VLOOKUP($C$4,'Writing Logic'!$G$8:$H$14,2,FALSE),YES_Writing_ELA[#Headers],0)))="INS",'Writing Logic'!$B$7,IF(INDEX(_xlfn.VSTACK(YES_Writing_ELA[#Data],YES_Writing_FLA[#Data]),MATCH($A135,_xlfn.VSTACK(YES_Writing_ELA[Student Number],YES_Writing_FLA[Student Number]),0),MATCH(VLOOKUP(E$7,'Writing Logic'!$J$7:$K$11,2,FALSE)&amp;" - Per "&amp;VLOOKUP($C$4,'Writing Logic'!$G$8:$H$14,2,FALSE),YES_Writing_ELA[#Headers],0))=0,"",INDEX(_xlfn.VSTACK(YES_Writing_ELA[#Data],YES_Writing_FLA[#Data]),MATCH($A135,_xlfn.VSTACK(YES_Writing_ELA[Student Number],YES_Writing_FLA[Student Number]),0),MATCH(VLOOKUP(E$7,'Writing Logic'!$J$7:$K$11,2,FALSE)&amp;" - Per "&amp;VLOOKUP($C$4,'Writing Logic'!$G$8:$H$14,2,FALSE),YES_Writing_ELA[#Headers],0)))),"")</f>
        <v/>
      </c>
      <c r="F135" s="138" t="str">
        <f>IFERROR(IF(IF(INDEX(_xlfn.VSTACK(YES_Writing_ELA[#Data],YES_Writing_FLA[#Data]),MATCH($A135,_xlfn.VSTACK(YES_Writing_ELA[Student Number],YES_Writing_FLA[Student Number]),0),MATCH(VLOOKUP(F$7,'Writing Logic'!$J$7:$K$11,2,FALSE)&amp;" - Per "&amp;VLOOKUP($C$4,'Writing Logic'!$G$8:$H$14,2,FALSE),YES_Writing_ELA[#Headers],0))=0,"",INDEX(_xlfn.VSTACK(YES_Writing_ELA[#Data],YES_Writing_FLA[#Data]),MATCH($A135,_xlfn.VSTACK(YES_Writing_ELA[Student Number],YES_Writing_FLA[Student Number]),0),MATCH(VLOOKUP(F$7,'Writing Logic'!$J$7:$K$11,2,FALSE)&amp;" - Per "&amp;VLOOKUP($C$4,'Writing Logic'!$G$8:$H$14,2,FALSE),YES_Writing_ELA[#Headers],0)))="INS",'Writing Logic'!$B$7,IF(INDEX(_xlfn.VSTACK(YES_Writing_ELA[#Data],YES_Writing_FLA[#Data]),MATCH($A135,_xlfn.VSTACK(YES_Writing_ELA[Student Number],YES_Writing_FLA[Student Number]),0),MATCH(VLOOKUP(F$7,'Writing Logic'!$J$7:$K$11,2,FALSE)&amp;" - Per "&amp;VLOOKUP($C$4,'Writing Logic'!$G$8:$H$14,2,FALSE),YES_Writing_ELA[#Headers],0))=0,"",INDEX(_xlfn.VSTACK(YES_Writing_ELA[#Data],YES_Writing_FLA[#Data]),MATCH($A135,_xlfn.VSTACK(YES_Writing_ELA[Student Number],YES_Writing_FLA[Student Number]),0),MATCH(VLOOKUP(F$7,'Writing Logic'!$J$7:$K$11,2,FALSE)&amp;" - Per "&amp;VLOOKUP($C$4,'Writing Logic'!$G$8:$H$14,2,FALSE),YES_Writing_ELA[#Headers],0)))),"")</f>
        <v/>
      </c>
      <c r="G135" s="138" t="str">
        <f>IFERROR(IF(IF(INDEX(_xlfn.VSTACK(YES_Writing_ELA[#Data],YES_Writing_FLA[#Data]),MATCH($A135,_xlfn.VSTACK(YES_Writing_ELA[Student Number],YES_Writing_FLA[Student Number]),0),MATCH(VLOOKUP(G$7,'Writing Logic'!$J$7:$K$11,2,FALSE)&amp;" - Per "&amp;VLOOKUP($C$4,'Writing Logic'!$G$8:$H$14,2,FALSE),YES_Writing_ELA[#Headers],0))=0,"",INDEX(_xlfn.VSTACK(YES_Writing_ELA[#Data],YES_Writing_FLA[#Data]),MATCH($A135,_xlfn.VSTACK(YES_Writing_ELA[Student Number],YES_Writing_FLA[Student Number]),0),MATCH(VLOOKUP(G$7,'Writing Logic'!$J$7:$K$11,2,FALSE)&amp;" - Per "&amp;VLOOKUP($C$4,'Writing Logic'!$G$8:$H$14,2,FALSE),YES_Writing_ELA[#Headers],0)))="INS",'Writing Logic'!$B$7,IF(INDEX(_xlfn.VSTACK(YES_Writing_ELA[#Data],YES_Writing_FLA[#Data]),MATCH($A135,_xlfn.VSTACK(YES_Writing_ELA[Student Number],YES_Writing_FLA[Student Number]),0),MATCH(VLOOKUP(G$7,'Writing Logic'!$J$7:$K$11,2,FALSE)&amp;" - Per "&amp;VLOOKUP($C$4,'Writing Logic'!$G$8:$H$14,2,FALSE),YES_Writing_ELA[#Headers],0))=0,"",INDEX(_xlfn.VSTACK(YES_Writing_ELA[#Data],YES_Writing_FLA[#Data]),MATCH($A135,_xlfn.VSTACK(YES_Writing_ELA[Student Number],YES_Writing_FLA[Student Number]),0),MATCH(VLOOKUP(G$7,'Writing Logic'!$J$7:$K$11,2,FALSE)&amp;" - Per "&amp;VLOOKUP($C$4,'Writing Logic'!$G$8:$H$14,2,FALSE),YES_Writing_ELA[#Headers],0)))),"")</f>
        <v/>
      </c>
      <c r="H135" s="138" t="str">
        <f>IFERROR(IF(IF(INDEX(_xlfn.VSTACK(YES_Writing_ELA[#Data],YES_Writing_FLA[#Data]),MATCH($A135,_xlfn.VSTACK(YES_Writing_ELA[Student Number],YES_Writing_FLA[Student Number]),0),MATCH(VLOOKUP(H$7,'Writing Logic'!$J$7:$K$11,2,FALSE)&amp;" - Per "&amp;VLOOKUP($C$4,'Writing Logic'!$G$8:$H$14,2,FALSE),YES_Writing_ELA[#Headers],0))=0,"",INDEX(_xlfn.VSTACK(YES_Writing_ELA[#Data],YES_Writing_FLA[#Data]),MATCH($A135,_xlfn.VSTACK(YES_Writing_ELA[Student Number],YES_Writing_FLA[Student Number]),0),MATCH(VLOOKUP(H$7,'Writing Logic'!$J$7:$K$11,2,FALSE)&amp;" - Per "&amp;VLOOKUP($C$4,'Writing Logic'!$G$8:$H$14,2,FALSE),YES_Writing_ELA[#Headers],0)))="INS",'Writing Logic'!$B$7,IF(INDEX(_xlfn.VSTACK(YES_Writing_ELA[#Data],YES_Writing_FLA[#Data]),MATCH($A135,_xlfn.VSTACK(YES_Writing_ELA[Student Number],YES_Writing_FLA[Student Number]),0),MATCH(VLOOKUP(H$7,'Writing Logic'!$J$7:$K$11,2,FALSE)&amp;" - Per "&amp;VLOOKUP($C$4,'Writing Logic'!$G$8:$H$14,2,FALSE),YES_Writing_ELA[#Headers],0))=0,"",INDEX(_xlfn.VSTACK(YES_Writing_ELA[#Data],YES_Writing_FLA[#Data]),MATCH($A135,_xlfn.VSTACK(YES_Writing_ELA[Student Number],YES_Writing_FLA[Student Number]),0),MATCH(VLOOKUP(H$7,'Writing Logic'!$J$7:$K$11,2,FALSE)&amp;" - Per "&amp;VLOOKUP($C$4,'Writing Logic'!$G$8:$H$14,2,FALSE),YES_Writing_ELA[#Headers],0)))),"")</f>
        <v/>
      </c>
    </row>
    <row r="136" spans="1:8" ht="14.25" customHeight="1" x14ac:dyDescent="0.25">
      <c r="A136" s="137"/>
      <c r="B136" s="137" t="str">
        <f>IFERROR(INDEX(_xlfn.VSTACK(YES_Writing_ELA[#Data], YES_Writing_FLA[#Data]),MATCH($A136,_xlfn.VSTACK(YES_Writing_ELA[Student Number], YES_Writing_FLA[Student Number]),0),MATCH(B$7,YES_Writing_ELA[#Headers],0)),"")</f>
        <v/>
      </c>
      <c r="C136" s="137" t="str">
        <f>IFERROR(INDEX(_xlfn.VSTACK(YES_Writing_ELA[#Data], YES_Writing_FLA[#Data]),MATCH($A136,_xlfn.VSTACK(YES_Writing_ELA[Student Number], YES_Writing_FLA[Student Number]),0),MATCH(C$7,YES_Writing_ELA[#Headers],0)),"")</f>
        <v/>
      </c>
      <c r="D136" s="138" t="str">
        <f>IFERROR(IF(IF(INDEX(_xlfn.VSTACK(YES_Writing_ELA[#Data],YES_Writing_FLA[#Data]),MATCH($A136,_xlfn.VSTACK(YES_Writing_ELA[Student Number],YES_Writing_FLA[Student Number]),0),MATCH(VLOOKUP(D$7,'Writing Logic'!$J$7:$K$11,2,FALSE)&amp;" - Per "&amp;VLOOKUP($C$4,'Writing Logic'!$G$8:$H$14,2,FALSE),YES_Writing_ELA[#Headers],0))=0,"",INDEX(_xlfn.VSTACK(YES_Writing_ELA[#Data],YES_Writing_FLA[#Data]),MATCH($A136,_xlfn.VSTACK(YES_Writing_ELA[Student Number],YES_Writing_FLA[Student Number]),0),MATCH(VLOOKUP(D$7,'Writing Logic'!$J$7:$K$11,2,FALSE)&amp;" - Per "&amp;VLOOKUP($C$4,'Writing Logic'!$G$8:$H$14,2,FALSE),YES_Writing_ELA[#Headers],0)))="INS",'Writing Logic'!$B$7,IF(INDEX(_xlfn.VSTACK(YES_Writing_ELA[#Data],YES_Writing_FLA[#Data]),MATCH($A136,_xlfn.VSTACK(YES_Writing_ELA[Student Number],YES_Writing_FLA[Student Number]),0),MATCH(VLOOKUP(D$7,'Writing Logic'!$J$7:$K$11,2,FALSE)&amp;" - Per "&amp;VLOOKUP($C$4,'Writing Logic'!$G$8:$H$14,2,FALSE),YES_Writing_ELA[#Headers],0))=0,"",INDEX(_xlfn.VSTACK(YES_Writing_ELA[#Data],YES_Writing_FLA[#Data]),MATCH($A136,_xlfn.VSTACK(YES_Writing_ELA[Student Number],YES_Writing_FLA[Student Number]),0),MATCH(VLOOKUP(D$7,'Writing Logic'!$J$7:$K$11,2,FALSE)&amp;" - Per "&amp;VLOOKUP($C$4,'Writing Logic'!$G$8:$H$14,2,FALSE),YES_Writing_ELA[#Headers],0)))),"")</f>
        <v/>
      </c>
      <c r="E136" s="138" t="str">
        <f>IFERROR(IF(IF(INDEX(_xlfn.VSTACK(YES_Writing_ELA[#Data],YES_Writing_FLA[#Data]),MATCH($A136,_xlfn.VSTACK(YES_Writing_ELA[Student Number],YES_Writing_FLA[Student Number]),0),MATCH(VLOOKUP(E$7,'Writing Logic'!$J$7:$K$11,2,FALSE)&amp;" - Per "&amp;VLOOKUP($C$4,'Writing Logic'!$G$8:$H$14,2,FALSE),YES_Writing_ELA[#Headers],0))=0,"",INDEX(_xlfn.VSTACK(YES_Writing_ELA[#Data],YES_Writing_FLA[#Data]),MATCH($A136,_xlfn.VSTACK(YES_Writing_ELA[Student Number],YES_Writing_FLA[Student Number]),0),MATCH(VLOOKUP(E$7,'Writing Logic'!$J$7:$K$11,2,FALSE)&amp;" - Per "&amp;VLOOKUP($C$4,'Writing Logic'!$G$8:$H$14,2,FALSE),YES_Writing_ELA[#Headers],0)))="INS",'Writing Logic'!$B$7,IF(INDEX(_xlfn.VSTACK(YES_Writing_ELA[#Data],YES_Writing_FLA[#Data]),MATCH($A136,_xlfn.VSTACK(YES_Writing_ELA[Student Number],YES_Writing_FLA[Student Number]),0),MATCH(VLOOKUP(E$7,'Writing Logic'!$J$7:$K$11,2,FALSE)&amp;" - Per "&amp;VLOOKUP($C$4,'Writing Logic'!$G$8:$H$14,2,FALSE),YES_Writing_ELA[#Headers],0))=0,"",INDEX(_xlfn.VSTACK(YES_Writing_ELA[#Data],YES_Writing_FLA[#Data]),MATCH($A136,_xlfn.VSTACK(YES_Writing_ELA[Student Number],YES_Writing_FLA[Student Number]),0),MATCH(VLOOKUP(E$7,'Writing Logic'!$J$7:$K$11,2,FALSE)&amp;" - Per "&amp;VLOOKUP($C$4,'Writing Logic'!$G$8:$H$14,2,FALSE),YES_Writing_ELA[#Headers],0)))),"")</f>
        <v/>
      </c>
      <c r="F136" s="138" t="str">
        <f>IFERROR(IF(IF(INDEX(_xlfn.VSTACK(YES_Writing_ELA[#Data],YES_Writing_FLA[#Data]),MATCH($A136,_xlfn.VSTACK(YES_Writing_ELA[Student Number],YES_Writing_FLA[Student Number]),0),MATCH(VLOOKUP(F$7,'Writing Logic'!$J$7:$K$11,2,FALSE)&amp;" - Per "&amp;VLOOKUP($C$4,'Writing Logic'!$G$8:$H$14,2,FALSE),YES_Writing_ELA[#Headers],0))=0,"",INDEX(_xlfn.VSTACK(YES_Writing_ELA[#Data],YES_Writing_FLA[#Data]),MATCH($A136,_xlfn.VSTACK(YES_Writing_ELA[Student Number],YES_Writing_FLA[Student Number]),0),MATCH(VLOOKUP(F$7,'Writing Logic'!$J$7:$K$11,2,FALSE)&amp;" - Per "&amp;VLOOKUP($C$4,'Writing Logic'!$G$8:$H$14,2,FALSE),YES_Writing_ELA[#Headers],0)))="INS",'Writing Logic'!$B$7,IF(INDEX(_xlfn.VSTACK(YES_Writing_ELA[#Data],YES_Writing_FLA[#Data]),MATCH($A136,_xlfn.VSTACK(YES_Writing_ELA[Student Number],YES_Writing_FLA[Student Number]),0),MATCH(VLOOKUP(F$7,'Writing Logic'!$J$7:$K$11,2,FALSE)&amp;" - Per "&amp;VLOOKUP($C$4,'Writing Logic'!$G$8:$H$14,2,FALSE),YES_Writing_ELA[#Headers],0))=0,"",INDEX(_xlfn.VSTACK(YES_Writing_ELA[#Data],YES_Writing_FLA[#Data]),MATCH($A136,_xlfn.VSTACK(YES_Writing_ELA[Student Number],YES_Writing_FLA[Student Number]),0),MATCH(VLOOKUP(F$7,'Writing Logic'!$J$7:$K$11,2,FALSE)&amp;" - Per "&amp;VLOOKUP($C$4,'Writing Logic'!$G$8:$H$14,2,FALSE),YES_Writing_ELA[#Headers],0)))),"")</f>
        <v/>
      </c>
      <c r="G136" s="138" t="str">
        <f>IFERROR(IF(IF(INDEX(_xlfn.VSTACK(YES_Writing_ELA[#Data],YES_Writing_FLA[#Data]),MATCH($A136,_xlfn.VSTACK(YES_Writing_ELA[Student Number],YES_Writing_FLA[Student Number]),0),MATCH(VLOOKUP(G$7,'Writing Logic'!$J$7:$K$11,2,FALSE)&amp;" - Per "&amp;VLOOKUP($C$4,'Writing Logic'!$G$8:$H$14,2,FALSE),YES_Writing_ELA[#Headers],0))=0,"",INDEX(_xlfn.VSTACK(YES_Writing_ELA[#Data],YES_Writing_FLA[#Data]),MATCH($A136,_xlfn.VSTACK(YES_Writing_ELA[Student Number],YES_Writing_FLA[Student Number]),0),MATCH(VLOOKUP(G$7,'Writing Logic'!$J$7:$K$11,2,FALSE)&amp;" - Per "&amp;VLOOKUP($C$4,'Writing Logic'!$G$8:$H$14,2,FALSE),YES_Writing_ELA[#Headers],0)))="INS",'Writing Logic'!$B$7,IF(INDEX(_xlfn.VSTACK(YES_Writing_ELA[#Data],YES_Writing_FLA[#Data]),MATCH($A136,_xlfn.VSTACK(YES_Writing_ELA[Student Number],YES_Writing_FLA[Student Number]),0),MATCH(VLOOKUP(G$7,'Writing Logic'!$J$7:$K$11,2,FALSE)&amp;" - Per "&amp;VLOOKUP($C$4,'Writing Logic'!$G$8:$H$14,2,FALSE),YES_Writing_ELA[#Headers],0))=0,"",INDEX(_xlfn.VSTACK(YES_Writing_ELA[#Data],YES_Writing_FLA[#Data]),MATCH($A136,_xlfn.VSTACK(YES_Writing_ELA[Student Number],YES_Writing_FLA[Student Number]),0),MATCH(VLOOKUP(G$7,'Writing Logic'!$J$7:$K$11,2,FALSE)&amp;" - Per "&amp;VLOOKUP($C$4,'Writing Logic'!$G$8:$H$14,2,FALSE),YES_Writing_ELA[#Headers],0)))),"")</f>
        <v/>
      </c>
      <c r="H136" s="138" t="str">
        <f>IFERROR(IF(IF(INDEX(_xlfn.VSTACK(YES_Writing_ELA[#Data],YES_Writing_FLA[#Data]),MATCH($A136,_xlfn.VSTACK(YES_Writing_ELA[Student Number],YES_Writing_FLA[Student Number]),0),MATCH(VLOOKUP(H$7,'Writing Logic'!$J$7:$K$11,2,FALSE)&amp;" - Per "&amp;VLOOKUP($C$4,'Writing Logic'!$G$8:$H$14,2,FALSE),YES_Writing_ELA[#Headers],0))=0,"",INDEX(_xlfn.VSTACK(YES_Writing_ELA[#Data],YES_Writing_FLA[#Data]),MATCH($A136,_xlfn.VSTACK(YES_Writing_ELA[Student Number],YES_Writing_FLA[Student Number]),0),MATCH(VLOOKUP(H$7,'Writing Logic'!$J$7:$K$11,2,FALSE)&amp;" - Per "&amp;VLOOKUP($C$4,'Writing Logic'!$G$8:$H$14,2,FALSE),YES_Writing_ELA[#Headers],0)))="INS",'Writing Logic'!$B$7,IF(INDEX(_xlfn.VSTACK(YES_Writing_ELA[#Data],YES_Writing_FLA[#Data]),MATCH($A136,_xlfn.VSTACK(YES_Writing_ELA[Student Number],YES_Writing_FLA[Student Number]),0),MATCH(VLOOKUP(H$7,'Writing Logic'!$J$7:$K$11,2,FALSE)&amp;" - Per "&amp;VLOOKUP($C$4,'Writing Logic'!$G$8:$H$14,2,FALSE),YES_Writing_ELA[#Headers],0))=0,"",INDEX(_xlfn.VSTACK(YES_Writing_ELA[#Data],YES_Writing_FLA[#Data]),MATCH($A136,_xlfn.VSTACK(YES_Writing_ELA[Student Number],YES_Writing_FLA[Student Number]),0),MATCH(VLOOKUP(H$7,'Writing Logic'!$J$7:$K$11,2,FALSE)&amp;" - Per "&amp;VLOOKUP($C$4,'Writing Logic'!$G$8:$H$14,2,FALSE),YES_Writing_ELA[#Headers],0)))),"")</f>
        <v/>
      </c>
    </row>
    <row r="137" spans="1:8" ht="14.25" customHeight="1" x14ac:dyDescent="0.25">
      <c r="A137" s="137"/>
      <c r="B137" s="137" t="str">
        <f>IFERROR(INDEX(_xlfn.VSTACK(YES_Writing_ELA[#Data], YES_Writing_FLA[#Data]),MATCH($A137,_xlfn.VSTACK(YES_Writing_ELA[Student Number], YES_Writing_FLA[Student Number]),0),MATCH(B$7,YES_Writing_ELA[#Headers],0)),"")</f>
        <v/>
      </c>
      <c r="C137" s="137" t="str">
        <f>IFERROR(INDEX(_xlfn.VSTACK(YES_Writing_ELA[#Data], YES_Writing_FLA[#Data]),MATCH($A137,_xlfn.VSTACK(YES_Writing_ELA[Student Number], YES_Writing_FLA[Student Number]),0),MATCH(C$7,YES_Writing_ELA[#Headers],0)),"")</f>
        <v/>
      </c>
      <c r="D137" s="138" t="str">
        <f>IFERROR(IF(IF(INDEX(_xlfn.VSTACK(YES_Writing_ELA[#Data],YES_Writing_FLA[#Data]),MATCH($A137,_xlfn.VSTACK(YES_Writing_ELA[Student Number],YES_Writing_FLA[Student Number]),0),MATCH(VLOOKUP(D$7,'Writing Logic'!$J$7:$K$11,2,FALSE)&amp;" - Per "&amp;VLOOKUP($C$4,'Writing Logic'!$G$8:$H$14,2,FALSE),YES_Writing_ELA[#Headers],0))=0,"",INDEX(_xlfn.VSTACK(YES_Writing_ELA[#Data],YES_Writing_FLA[#Data]),MATCH($A137,_xlfn.VSTACK(YES_Writing_ELA[Student Number],YES_Writing_FLA[Student Number]),0),MATCH(VLOOKUP(D$7,'Writing Logic'!$J$7:$K$11,2,FALSE)&amp;" - Per "&amp;VLOOKUP($C$4,'Writing Logic'!$G$8:$H$14,2,FALSE),YES_Writing_ELA[#Headers],0)))="INS",'Writing Logic'!$B$7,IF(INDEX(_xlfn.VSTACK(YES_Writing_ELA[#Data],YES_Writing_FLA[#Data]),MATCH($A137,_xlfn.VSTACK(YES_Writing_ELA[Student Number],YES_Writing_FLA[Student Number]),0),MATCH(VLOOKUP(D$7,'Writing Logic'!$J$7:$K$11,2,FALSE)&amp;" - Per "&amp;VLOOKUP($C$4,'Writing Logic'!$G$8:$H$14,2,FALSE),YES_Writing_ELA[#Headers],0))=0,"",INDEX(_xlfn.VSTACK(YES_Writing_ELA[#Data],YES_Writing_FLA[#Data]),MATCH($A137,_xlfn.VSTACK(YES_Writing_ELA[Student Number],YES_Writing_FLA[Student Number]),0),MATCH(VLOOKUP(D$7,'Writing Logic'!$J$7:$K$11,2,FALSE)&amp;" - Per "&amp;VLOOKUP($C$4,'Writing Logic'!$G$8:$H$14,2,FALSE),YES_Writing_ELA[#Headers],0)))),"")</f>
        <v/>
      </c>
      <c r="E137" s="138" t="str">
        <f>IFERROR(IF(IF(INDEX(_xlfn.VSTACK(YES_Writing_ELA[#Data],YES_Writing_FLA[#Data]),MATCH($A137,_xlfn.VSTACK(YES_Writing_ELA[Student Number],YES_Writing_FLA[Student Number]),0),MATCH(VLOOKUP(E$7,'Writing Logic'!$J$7:$K$11,2,FALSE)&amp;" - Per "&amp;VLOOKUP($C$4,'Writing Logic'!$G$8:$H$14,2,FALSE),YES_Writing_ELA[#Headers],0))=0,"",INDEX(_xlfn.VSTACK(YES_Writing_ELA[#Data],YES_Writing_FLA[#Data]),MATCH($A137,_xlfn.VSTACK(YES_Writing_ELA[Student Number],YES_Writing_FLA[Student Number]),0),MATCH(VLOOKUP(E$7,'Writing Logic'!$J$7:$K$11,2,FALSE)&amp;" - Per "&amp;VLOOKUP($C$4,'Writing Logic'!$G$8:$H$14,2,FALSE),YES_Writing_ELA[#Headers],0)))="INS",'Writing Logic'!$B$7,IF(INDEX(_xlfn.VSTACK(YES_Writing_ELA[#Data],YES_Writing_FLA[#Data]),MATCH($A137,_xlfn.VSTACK(YES_Writing_ELA[Student Number],YES_Writing_FLA[Student Number]),0),MATCH(VLOOKUP(E$7,'Writing Logic'!$J$7:$K$11,2,FALSE)&amp;" - Per "&amp;VLOOKUP($C$4,'Writing Logic'!$G$8:$H$14,2,FALSE),YES_Writing_ELA[#Headers],0))=0,"",INDEX(_xlfn.VSTACK(YES_Writing_ELA[#Data],YES_Writing_FLA[#Data]),MATCH($A137,_xlfn.VSTACK(YES_Writing_ELA[Student Number],YES_Writing_FLA[Student Number]),0),MATCH(VLOOKUP(E$7,'Writing Logic'!$J$7:$K$11,2,FALSE)&amp;" - Per "&amp;VLOOKUP($C$4,'Writing Logic'!$G$8:$H$14,2,FALSE),YES_Writing_ELA[#Headers],0)))),"")</f>
        <v/>
      </c>
      <c r="F137" s="138" t="str">
        <f>IFERROR(IF(IF(INDEX(_xlfn.VSTACK(YES_Writing_ELA[#Data],YES_Writing_FLA[#Data]),MATCH($A137,_xlfn.VSTACK(YES_Writing_ELA[Student Number],YES_Writing_FLA[Student Number]),0),MATCH(VLOOKUP(F$7,'Writing Logic'!$J$7:$K$11,2,FALSE)&amp;" - Per "&amp;VLOOKUP($C$4,'Writing Logic'!$G$8:$H$14,2,FALSE),YES_Writing_ELA[#Headers],0))=0,"",INDEX(_xlfn.VSTACK(YES_Writing_ELA[#Data],YES_Writing_FLA[#Data]),MATCH($A137,_xlfn.VSTACK(YES_Writing_ELA[Student Number],YES_Writing_FLA[Student Number]),0),MATCH(VLOOKUP(F$7,'Writing Logic'!$J$7:$K$11,2,FALSE)&amp;" - Per "&amp;VLOOKUP($C$4,'Writing Logic'!$G$8:$H$14,2,FALSE),YES_Writing_ELA[#Headers],0)))="INS",'Writing Logic'!$B$7,IF(INDEX(_xlfn.VSTACK(YES_Writing_ELA[#Data],YES_Writing_FLA[#Data]),MATCH($A137,_xlfn.VSTACK(YES_Writing_ELA[Student Number],YES_Writing_FLA[Student Number]),0),MATCH(VLOOKUP(F$7,'Writing Logic'!$J$7:$K$11,2,FALSE)&amp;" - Per "&amp;VLOOKUP($C$4,'Writing Logic'!$G$8:$H$14,2,FALSE),YES_Writing_ELA[#Headers],0))=0,"",INDEX(_xlfn.VSTACK(YES_Writing_ELA[#Data],YES_Writing_FLA[#Data]),MATCH($A137,_xlfn.VSTACK(YES_Writing_ELA[Student Number],YES_Writing_FLA[Student Number]),0),MATCH(VLOOKUP(F$7,'Writing Logic'!$J$7:$K$11,2,FALSE)&amp;" - Per "&amp;VLOOKUP($C$4,'Writing Logic'!$G$8:$H$14,2,FALSE),YES_Writing_ELA[#Headers],0)))),"")</f>
        <v/>
      </c>
      <c r="G137" s="138" t="str">
        <f>IFERROR(IF(IF(INDEX(_xlfn.VSTACK(YES_Writing_ELA[#Data],YES_Writing_FLA[#Data]),MATCH($A137,_xlfn.VSTACK(YES_Writing_ELA[Student Number],YES_Writing_FLA[Student Number]),0),MATCH(VLOOKUP(G$7,'Writing Logic'!$J$7:$K$11,2,FALSE)&amp;" - Per "&amp;VLOOKUP($C$4,'Writing Logic'!$G$8:$H$14,2,FALSE),YES_Writing_ELA[#Headers],0))=0,"",INDEX(_xlfn.VSTACK(YES_Writing_ELA[#Data],YES_Writing_FLA[#Data]),MATCH($A137,_xlfn.VSTACK(YES_Writing_ELA[Student Number],YES_Writing_FLA[Student Number]),0),MATCH(VLOOKUP(G$7,'Writing Logic'!$J$7:$K$11,2,FALSE)&amp;" - Per "&amp;VLOOKUP($C$4,'Writing Logic'!$G$8:$H$14,2,FALSE),YES_Writing_ELA[#Headers],0)))="INS",'Writing Logic'!$B$7,IF(INDEX(_xlfn.VSTACK(YES_Writing_ELA[#Data],YES_Writing_FLA[#Data]),MATCH($A137,_xlfn.VSTACK(YES_Writing_ELA[Student Number],YES_Writing_FLA[Student Number]),0),MATCH(VLOOKUP(G$7,'Writing Logic'!$J$7:$K$11,2,FALSE)&amp;" - Per "&amp;VLOOKUP($C$4,'Writing Logic'!$G$8:$H$14,2,FALSE),YES_Writing_ELA[#Headers],0))=0,"",INDEX(_xlfn.VSTACK(YES_Writing_ELA[#Data],YES_Writing_FLA[#Data]),MATCH($A137,_xlfn.VSTACK(YES_Writing_ELA[Student Number],YES_Writing_FLA[Student Number]),0),MATCH(VLOOKUP(G$7,'Writing Logic'!$J$7:$K$11,2,FALSE)&amp;" - Per "&amp;VLOOKUP($C$4,'Writing Logic'!$G$8:$H$14,2,FALSE),YES_Writing_ELA[#Headers],0)))),"")</f>
        <v/>
      </c>
      <c r="H137" s="138" t="str">
        <f>IFERROR(IF(IF(INDEX(_xlfn.VSTACK(YES_Writing_ELA[#Data],YES_Writing_FLA[#Data]),MATCH($A137,_xlfn.VSTACK(YES_Writing_ELA[Student Number],YES_Writing_FLA[Student Number]),0),MATCH(VLOOKUP(H$7,'Writing Logic'!$J$7:$K$11,2,FALSE)&amp;" - Per "&amp;VLOOKUP($C$4,'Writing Logic'!$G$8:$H$14,2,FALSE),YES_Writing_ELA[#Headers],0))=0,"",INDEX(_xlfn.VSTACK(YES_Writing_ELA[#Data],YES_Writing_FLA[#Data]),MATCH($A137,_xlfn.VSTACK(YES_Writing_ELA[Student Number],YES_Writing_FLA[Student Number]),0),MATCH(VLOOKUP(H$7,'Writing Logic'!$J$7:$K$11,2,FALSE)&amp;" - Per "&amp;VLOOKUP($C$4,'Writing Logic'!$G$8:$H$14,2,FALSE),YES_Writing_ELA[#Headers],0)))="INS",'Writing Logic'!$B$7,IF(INDEX(_xlfn.VSTACK(YES_Writing_ELA[#Data],YES_Writing_FLA[#Data]),MATCH($A137,_xlfn.VSTACK(YES_Writing_ELA[Student Number],YES_Writing_FLA[Student Number]),0),MATCH(VLOOKUP(H$7,'Writing Logic'!$J$7:$K$11,2,FALSE)&amp;" - Per "&amp;VLOOKUP($C$4,'Writing Logic'!$G$8:$H$14,2,FALSE),YES_Writing_ELA[#Headers],0))=0,"",INDEX(_xlfn.VSTACK(YES_Writing_ELA[#Data],YES_Writing_FLA[#Data]),MATCH($A137,_xlfn.VSTACK(YES_Writing_ELA[Student Number],YES_Writing_FLA[Student Number]),0),MATCH(VLOOKUP(H$7,'Writing Logic'!$J$7:$K$11,2,FALSE)&amp;" - Per "&amp;VLOOKUP($C$4,'Writing Logic'!$G$8:$H$14,2,FALSE),YES_Writing_ELA[#Headers],0)))),"")</f>
        <v/>
      </c>
    </row>
    <row r="138" spans="1:8" ht="14.25" customHeight="1" x14ac:dyDescent="0.25">
      <c r="A138" s="137"/>
      <c r="B138" s="137" t="str">
        <f>IFERROR(INDEX(_xlfn.VSTACK(YES_Writing_ELA[#Data], YES_Writing_FLA[#Data]),MATCH($A138,_xlfn.VSTACK(YES_Writing_ELA[Student Number], YES_Writing_FLA[Student Number]),0),MATCH(B$7,YES_Writing_ELA[#Headers],0)),"")</f>
        <v/>
      </c>
      <c r="C138" s="137" t="str">
        <f>IFERROR(INDEX(_xlfn.VSTACK(YES_Writing_ELA[#Data], YES_Writing_FLA[#Data]),MATCH($A138,_xlfn.VSTACK(YES_Writing_ELA[Student Number], YES_Writing_FLA[Student Number]),0),MATCH(C$7,YES_Writing_ELA[#Headers],0)),"")</f>
        <v/>
      </c>
      <c r="D138" s="138" t="str">
        <f>IFERROR(IF(IF(INDEX(_xlfn.VSTACK(YES_Writing_ELA[#Data],YES_Writing_FLA[#Data]),MATCH($A138,_xlfn.VSTACK(YES_Writing_ELA[Student Number],YES_Writing_FLA[Student Number]),0),MATCH(VLOOKUP(D$7,'Writing Logic'!$J$7:$K$11,2,FALSE)&amp;" - Per "&amp;VLOOKUP($C$4,'Writing Logic'!$G$8:$H$14,2,FALSE),YES_Writing_ELA[#Headers],0))=0,"",INDEX(_xlfn.VSTACK(YES_Writing_ELA[#Data],YES_Writing_FLA[#Data]),MATCH($A138,_xlfn.VSTACK(YES_Writing_ELA[Student Number],YES_Writing_FLA[Student Number]),0),MATCH(VLOOKUP(D$7,'Writing Logic'!$J$7:$K$11,2,FALSE)&amp;" - Per "&amp;VLOOKUP($C$4,'Writing Logic'!$G$8:$H$14,2,FALSE),YES_Writing_ELA[#Headers],0)))="INS",'Writing Logic'!$B$7,IF(INDEX(_xlfn.VSTACK(YES_Writing_ELA[#Data],YES_Writing_FLA[#Data]),MATCH($A138,_xlfn.VSTACK(YES_Writing_ELA[Student Number],YES_Writing_FLA[Student Number]),0),MATCH(VLOOKUP(D$7,'Writing Logic'!$J$7:$K$11,2,FALSE)&amp;" - Per "&amp;VLOOKUP($C$4,'Writing Logic'!$G$8:$H$14,2,FALSE),YES_Writing_ELA[#Headers],0))=0,"",INDEX(_xlfn.VSTACK(YES_Writing_ELA[#Data],YES_Writing_FLA[#Data]),MATCH($A138,_xlfn.VSTACK(YES_Writing_ELA[Student Number],YES_Writing_FLA[Student Number]),0),MATCH(VLOOKUP(D$7,'Writing Logic'!$J$7:$K$11,2,FALSE)&amp;" - Per "&amp;VLOOKUP($C$4,'Writing Logic'!$G$8:$H$14,2,FALSE),YES_Writing_ELA[#Headers],0)))),"")</f>
        <v/>
      </c>
      <c r="E138" s="138" t="str">
        <f>IFERROR(IF(IF(INDEX(_xlfn.VSTACK(YES_Writing_ELA[#Data],YES_Writing_FLA[#Data]),MATCH($A138,_xlfn.VSTACK(YES_Writing_ELA[Student Number],YES_Writing_FLA[Student Number]),0),MATCH(VLOOKUP(E$7,'Writing Logic'!$J$7:$K$11,2,FALSE)&amp;" - Per "&amp;VLOOKUP($C$4,'Writing Logic'!$G$8:$H$14,2,FALSE),YES_Writing_ELA[#Headers],0))=0,"",INDEX(_xlfn.VSTACK(YES_Writing_ELA[#Data],YES_Writing_FLA[#Data]),MATCH($A138,_xlfn.VSTACK(YES_Writing_ELA[Student Number],YES_Writing_FLA[Student Number]),0),MATCH(VLOOKUP(E$7,'Writing Logic'!$J$7:$K$11,2,FALSE)&amp;" - Per "&amp;VLOOKUP($C$4,'Writing Logic'!$G$8:$H$14,2,FALSE),YES_Writing_ELA[#Headers],0)))="INS",'Writing Logic'!$B$7,IF(INDEX(_xlfn.VSTACK(YES_Writing_ELA[#Data],YES_Writing_FLA[#Data]),MATCH($A138,_xlfn.VSTACK(YES_Writing_ELA[Student Number],YES_Writing_FLA[Student Number]),0),MATCH(VLOOKUP(E$7,'Writing Logic'!$J$7:$K$11,2,FALSE)&amp;" - Per "&amp;VLOOKUP($C$4,'Writing Logic'!$G$8:$H$14,2,FALSE),YES_Writing_ELA[#Headers],0))=0,"",INDEX(_xlfn.VSTACK(YES_Writing_ELA[#Data],YES_Writing_FLA[#Data]),MATCH($A138,_xlfn.VSTACK(YES_Writing_ELA[Student Number],YES_Writing_FLA[Student Number]),0),MATCH(VLOOKUP(E$7,'Writing Logic'!$J$7:$K$11,2,FALSE)&amp;" - Per "&amp;VLOOKUP($C$4,'Writing Logic'!$G$8:$H$14,2,FALSE),YES_Writing_ELA[#Headers],0)))),"")</f>
        <v/>
      </c>
      <c r="F138" s="138" t="str">
        <f>IFERROR(IF(IF(INDEX(_xlfn.VSTACK(YES_Writing_ELA[#Data],YES_Writing_FLA[#Data]),MATCH($A138,_xlfn.VSTACK(YES_Writing_ELA[Student Number],YES_Writing_FLA[Student Number]),0),MATCH(VLOOKUP(F$7,'Writing Logic'!$J$7:$K$11,2,FALSE)&amp;" - Per "&amp;VLOOKUP($C$4,'Writing Logic'!$G$8:$H$14,2,FALSE),YES_Writing_ELA[#Headers],0))=0,"",INDEX(_xlfn.VSTACK(YES_Writing_ELA[#Data],YES_Writing_FLA[#Data]),MATCH($A138,_xlfn.VSTACK(YES_Writing_ELA[Student Number],YES_Writing_FLA[Student Number]),0),MATCH(VLOOKUP(F$7,'Writing Logic'!$J$7:$K$11,2,FALSE)&amp;" - Per "&amp;VLOOKUP($C$4,'Writing Logic'!$G$8:$H$14,2,FALSE),YES_Writing_ELA[#Headers],0)))="INS",'Writing Logic'!$B$7,IF(INDEX(_xlfn.VSTACK(YES_Writing_ELA[#Data],YES_Writing_FLA[#Data]),MATCH($A138,_xlfn.VSTACK(YES_Writing_ELA[Student Number],YES_Writing_FLA[Student Number]),0),MATCH(VLOOKUP(F$7,'Writing Logic'!$J$7:$K$11,2,FALSE)&amp;" - Per "&amp;VLOOKUP($C$4,'Writing Logic'!$G$8:$H$14,2,FALSE),YES_Writing_ELA[#Headers],0))=0,"",INDEX(_xlfn.VSTACK(YES_Writing_ELA[#Data],YES_Writing_FLA[#Data]),MATCH($A138,_xlfn.VSTACK(YES_Writing_ELA[Student Number],YES_Writing_FLA[Student Number]),0),MATCH(VLOOKUP(F$7,'Writing Logic'!$J$7:$K$11,2,FALSE)&amp;" - Per "&amp;VLOOKUP($C$4,'Writing Logic'!$G$8:$H$14,2,FALSE),YES_Writing_ELA[#Headers],0)))),"")</f>
        <v/>
      </c>
      <c r="G138" s="138" t="str">
        <f>IFERROR(IF(IF(INDEX(_xlfn.VSTACK(YES_Writing_ELA[#Data],YES_Writing_FLA[#Data]),MATCH($A138,_xlfn.VSTACK(YES_Writing_ELA[Student Number],YES_Writing_FLA[Student Number]),0),MATCH(VLOOKUP(G$7,'Writing Logic'!$J$7:$K$11,2,FALSE)&amp;" - Per "&amp;VLOOKUP($C$4,'Writing Logic'!$G$8:$H$14,2,FALSE),YES_Writing_ELA[#Headers],0))=0,"",INDEX(_xlfn.VSTACK(YES_Writing_ELA[#Data],YES_Writing_FLA[#Data]),MATCH($A138,_xlfn.VSTACK(YES_Writing_ELA[Student Number],YES_Writing_FLA[Student Number]),0),MATCH(VLOOKUP(G$7,'Writing Logic'!$J$7:$K$11,2,FALSE)&amp;" - Per "&amp;VLOOKUP($C$4,'Writing Logic'!$G$8:$H$14,2,FALSE),YES_Writing_ELA[#Headers],0)))="INS",'Writing Logic'!$B$7,IF(INDEX(_xlfn.VSTACK(YES_Writing_ELA[#Data],YES_Writing_FLA[#Data]),MATCH($A138,_xlfn.VSTACK(YES_Writing_ELA[Student Number],YES_Writing_FLA[Student Number]),0),MATCH(VLOOKUP(G$7,'Writing Logic'!$J$7:$K$11,2,FALSE)&amp;" - Per "&amp;VLOOKUP($C$4,'Writing Logic'!$G$8:$H$14,2,FALSE),YES_Writing_ELA[#Headers],0))=0,"",INDEX(_xlfn.VSTACK(YES_Writing_ELA[#Data],YES_Writing_FLA[#Data]),MATCH($A138,_xlfn.VSTACK(YES_Writing_ELA[Student Number],YES_Writing_FLA[Student Number]),0),MATCH(VLOOKUP(G$7,'Writing Logic'!$J$7:$K$11,2,FALSE)&amp;" - Per "&amp;VLOOKUP($C$4,'Writing Logic'!$G$8:$H$14,2,FALSE),YES_Writing_ELA[#Headers],0)))),"")</f>
        <v/>
      </c>
      <c r="H138" s="138" t="str">
        <f>IFERROR(IF(IF(INDEX(_xlfn.VSTACK(YES_Writing_ELA[#Data],YES_Writing_FLA[#Data]),MATCH($A138,_xlfn.VSTACK(YES_Writing_ELA[Student Number],YES_Writing_FLA[Student Number]),0),MATCH(VLOOKUP(H$7,'Writing Logic'!$J$7:$K$11,2,FALSE)&amp;" - Per "&amp;VLOOKUP($C$4,'Writing Logic'!$G$8:$H$14,2,FALSE),YES_Writing_ELA[#Headers],0))=0,"",INDEX(_xlfn.VSTACK(YES_Writing_ELA[#Data],YES_Writing_FLA[#Data]),MATCH($A138,_xlfn.VSTACK(YES_Writing_ELA[Student Number],YES_Writing_FLA[Student Number]),0),MATCH(VLOOKUP(H$7,'Writing Logic'!$J$7:$K$11,2,FALSE)&amp;" - Per "&amp;VLOOKUP($C$4,'Writing Logic'!$G$8:$H$14,2,FALSE),YES_Writing_ELA[#Headers],0)))="INS",'Writing Logic'!$B$7,IF(INDEX(_xlfn.VSTACK(YES_Writing_ELA[#Data],YES_Writing_FLA[#Data]),MATCH($A138,_xlfn.VSTACK(YES_Writing_ELA[Student Number],YES_Writing_FLA[Student Number]),0),MATCH(VLOOKUP(H$7,'Writing Logic'!$J$7:$K$11,2,FALSE)&amp;" - Per "&amp;VLOOKUP($C$4,'Writing Logic'!$G$8:$H$14,2,FALSE),YES_Writing_ELA[#Headers],0))=0,"",INDEX(_xlfn.VSTACK(YES_Writing_ELA[#Data],YES_Writing_FLA[#Data]),MATCH($A138,_xlfn.VSTACK(YES_Writing_ELA[Student Number],YES_Writing_FLA[Student Number]),0),MATCH(VLOOKUP(H$7,'Writing Logic'!$J$7:$K$11,2,FALSE)&amp;" - Per "&amp;VLOOKUP($C$4,'Writing Logic'!$G$8:$H$14,2,FALSE),YES_Writing_ELA[#Headers],0)))),"")</f>
        <v/>
      </c>
    </row>
    <row r="139" spans="1:8" ht="14.25" customHeight="1" x14ac:dyDescent="0.25">
      <c r="A139" s="137"/>
      <c r="B139" s="137" t="str">
        <f>IFERROR(INDEX(_xlfn.VSTACK(YES_Writing_ELA[#Data], YES_Writing_FLA[#Data]),MATCH($A139,_xlfn.VSTACK(YES_Writing_ELA[Student Number], YES_Writing_FLA[Student Number]),0),MATCH(B$7,YES_Writing_ELA[#Headers],0)),"")</f>
        <v/>
      </c>
      <c r="C139" s="137" t="str">
        <f>IFERROR(INDEX(_xlfn.VSTACK(YES_Writing_ELA[#Data], YES_Writing_FLA[#Data]),MATCH($A139,_xlfn.VSTACK(YES_Writing_ELA[Student Number], YES_Writing_FLA[Student Number]),0),MATCH(C$7,YES_Writing_ELA[#Headers],0)),"")</f>
        <v/>
      </c>
      <c r="D139" s="138" t="str">
        <f>IFERROR(IF(IF(INDEX(_xlfn.VSTACK(YES_Writing_ELA[#Data],YES_Writing_FLA[#Data]),MATCH($A139,_xlfn.VSTACK(YES_Writing_ELA[Student Number],YES_Writing_FLA[Student Number]),0),MATCH(VLOOKUP(D$7,'Writing Logic'!$J$7:$K$11,2,FALSE)&amp;" - Per "&amp;VLOOKUP($C$4,'Writing Logic'!$G$8:$H$14,2,FALSE),YES_Writing_ELA[#Headers],0))=0,"",INDEX(_xlfn.VSTACK(YES_Writing_ELA[#Data],YES_Writing_FLA[#Data]),MATCH($A139,_xlfn.VSTACK(YES_Writing_ELA[Student Number],YES_Writing_FLA[Student Number]),0),MATCH(VLOOKUP(D$7,'Writing Logic'!$J$7:$K$11,2,FALSE)&amp;" - Per "&amp;VLOOKUP($C$4,'Writing Logic'!$G$8:$H$14,2,FALSE),YES_Writing_ELA[#Headers],0)))="INS",'Writing Logic'!$B$7,IF(INDEX(_xlfn.VSTACK(YES_Writing_ELA[#Data],YES_Writing_FLA[#Data]),MATCH($A139,_xlfn.VSTACK(YES_Writing_ELA[Student Number],YES_Writing_FLA[Student Number]),0),MATCH(VLOOKUP(D$7,'Writing Logic'!$J$7:$K$11,2,FALSE)&amp;" - Per "&amp;VLOOKUP($C$4,'Writing Logic'!$G$8:$H$14,2,FALSE),YES_Writing_ELA[#Headers],0))=0,"",INDEX(_xlfn.VSTACK(YES_Writing_ELA[#Data],YES_Writing_FLA[#Data]),MATCH($A139,_xlfn.VSTACK(YES_Writing_ELA[Student Number],YES_Writing_FLA[Student Number]),0),MATCH(VLOOKUP(D$7,'Writing Logic'!$J$7:$K$11,2,FALSE)&amp;" - Per "&amp;VLOOKUP($C$4,'Writing Logic'!$G$8:$H$14,2,FALSE),YES_Writing_ELA[#Headers],0)))),"")</f>
        <v/>
      </c>
      <c r="E139" s="138" t="str">
        <f>IFERROR(IF(IF(INDEX(_xlfn.VSTACK(YES_Writing_ELA[#Data],YES_Writing_FLA[#Data]),MATCH($A139,_xlfn.VSTACK(YES_Writing_ELA[Student Number],YES_Writing_FLA[Student Number]),0),MATCH(VLOOKUP(E$7,'Writing Logic'!$J$7:$K$11,2,FALSE)&amp;" - Per "&amp;VLOOKUP($C$4,'Writing Logic'!$G$8:$H$14,2,FALSE),YES_Writing_ELA[#Headers],0))=0,"",INDEX(_xlfn.VSTACK(YES_Writing_ELA[#Data],YES_Writing_FLA[#Data]),MATCH($A139,_xlfn.VSTACK(YES_Writing_ELA[Student Number],YES_Writing_FLA[Student Number]),0),MATCH(VLOOKUP(E$7,'Writing Logic'!$J$7:$K$11,2,FALSE)&amp;" - Per "&amp;VLOOKUP($C$4,'Writing Logic'!$G$8:$H$14,2,FALSE),YES_Writing_ELA[#Headers],0)))="INS",'Writing Logic'!$B$7,IF(INDEX(_xlfn.VSTACK(YES_Writing_ELA[#Data],YES_Writing_FLA[#Data]),MATCH($A139,_xlfn.VSTACK(YES_Writing_ELA[Student Number],YES_Writing_FLA[Student Number]),0),MATCH(VLOOKUP(E$7,'Writing Logic'!$J$7:$K$11,2,FALSE)&amp;" - Per "&amp;VLOOKUP($C$4,'Writing Logic'!$G$8:$H$14,2,FALSE),YES_Writing_ELA[#Headers],0))=0,"",INDEX(_xlfn.VSTACK(YES_Writing_ELA[#Data],YES_Writing_FLA[#Data]),MATCH($A139,_xlfn.VSTACK(YES_Writing_ELA[Student Number],YES_Writing_FLA[Student Number]),0),MATCH(VLOOKUP(E$7,'Writing Logic'!$J$7:$K$11,2,FALSE)&amp;" - Per "&amp;VLOOKUP($C$4,'Writing Logic'!$G$8:$H$14,2,FALSE),YES_Writing_ELA[#Headers],0)))),"")</f>
        <v/>
      </c>
      <c r="F139" s="138" t="str">
        <f>IFERROR(IF(IF(INDEX(_xlfn.VSTACK(YES_Writing_ELA[#Data],YES_Writing_FLA[#Data]),MATCH($A139,_xlfn.VSTACK(YES_Writing_ELA[Student Number],YES_Writing_FLA[Student Number]),0),MATCH(VLOOKUP(F$7,'Writing Logic'!$J$7:$K$11,2,FALSE)&amp;" - Per "&amp;VLOOKUP($C$4,'Writing Logic'!$G$8:$H$14,2,FALSE),YES_Writing_ELA[#Headers],0))=0,"",INDEX(_xlfn.VSTACK(YES_Writing_ELA[#Data],YES_Writing_FLA[#Data]),MATCH($A139,_xlfn.VSTACK(YES_Writing_ELA[Student Number],YES_Writing_FLA[Student Number]),0),MATCH(VLOOKUP(F$7,'Writing Logic'!$J$7:$K$11,2,FALSE)&amp;" - Per "&amp;VLOOKUP($C$4,'Writing Logic'!$G$8:$H$14,2,FALSE),YES_Writing_ELA[#Headers],0)))="INS",'Writing Logic'!$B$7,IF(INDEX(_xlfn.VSTACK(YES_Writing_ELA[#Data],YES_Writing_FLA[#Data]),MATCH($A139,_xlfn.VSTACK(YES_Writing_ELA[Student Number],YES_Writing_FLA[Student Number]),0),MATCH(VLOOKUP(F$7,'Writing Logic'!$J$7:$K$11,2,FALSE)&amp;" - Per "&amp;VLOOKUP($C$4,'Writing Logic'!$G$8:$H$14,2,FALSE),YES_Writing_ELA[#Headers],0))=0,"",INDEX(_xlfn.VSTACK(YES_Writing_ELA[#Data],YES_Writing_FLA[#Data]),MATCH($A139,_xlfn.VSTACK(YES_Writing_ELA[Student Number],YES_Writing_FLA[Student Number]),0),MATCH(VLOOKUP(F$7,'Writing Logic'!$J$7:$K$11,2,FALSE)&amp;" - Per "&amp;VLOOKUP($C$4,'Writing Logic'!$G$8:$H$14,2,FALSE),YES_Writing_ELA[#Headers],0)))),"")</f>
        <v/>
      </c>
      <c r="G139" s="138" t="str">
        <f>IFERROR(IF(IF(INDEX(_xlfn.VSTACK(YES_Writing_ELA[#Data],YES_Writing_FLA[#Data]),MATCH($A139,_xlfn.VSTACK(YES_Writing_ELA[Student Number],YES_Writing_FLA[Student Number]),0),MATCH(VLOOKUP(G$7,'Writing Logic'!$J$7:$K$11,2,FALSE)&amp;" - Per "&amp;VLOOKUP($C$4,'Writing Logic'!$G$8:$H$14,2,FALSE),YES_Writing_ELA[#Headers],0))=0,"",INDEX(_xlfn.VSTACK(YES_Writing_ELA[#Data],YES_Writing_FLA[#Data]),MATCH($A139,_xlfn.VSTACK(YES_Writing_ELA[Student Number],YES_Writing_FLA[Student Number]),0),MATCH(VLOOKUP(G$7,'Writing Logic'!$J$7:$K$11,2,FALSE)&amp;" - Per "&amp;VLOOKUP($C$4,'Writing Logic'!$G$8:$H$14,2,FALSE),YES_Writing_ELA[#Headers],0)))="INS",'Writing Logic'!$B$7,IF(INDEX(_xlfn.VSTACK(YES_Writing_ELA[#Data],YES_Writing_FLA[#Data]),MATCH($A139,_xlfn.VSTACK(YES_Writing_ELA[Student Number],YES_Writing_FLA[Student Number]),0),MATCH(VLOOKUP(G$7,'Writing Logic'!$J$7:$K$11,2,FALSE)&amp;" - Per "&amp;VLOOKUP($C$4,'Writing Logic'!$G$8:$H$14,2,FALSE),YES_Writing_ELA[#Headers],0))=0,"",INDEX(_xlfn.VSTACK(YES_Writing_ELA[#Data],YES_Writing_FLA[#Data]),MATCH($A139,_xlfn.VSTACK(YES_Writing_ELA[Student Number],YES_Writing_FLA[Student Number]),0),MATCH(VLOOKUP(G$7,'Writing Logic'!$J$7:$K$11,2,FALSE)&amp;" - Per "&amp;VLOOKUP($C$4,'Writing Logic'!$G$8:$H$14,2,FALSE),YES_Writing_ELA[#Headers],0)))),"")</f>
        <v/>
      </c>
      <c r="H139" s="138" t="str">
        <f>IFERROR(IF(IF(INDEX(_xlfn.VSTACK(YES_Writing_ELA[#Data],YES_Writing_FLA[#Data]),MATCH($A139,_xlfn.VSTACK(YES_Writing_ELA[Student Number],YES_Writing_FLA[Student Number]),0),MATCH(VLOOKUP(H$7,'Writing Logic'!$J$7:$K$11,2,FALSE)&amp;" - Per "&amp;VLOOKUP($C$4,'Writing Logic'!$G$8:$H$14,2,FALSE),YES_Writing_ELA[#Headers],0))=0,"",INDEX(_xlfn.VSTACK(YES_Writing_ELA[#Data],YES_Writing_FLA[#Data]),MATCH($A139,_xlfn.VSTACK(YES_Writing_ELA[Student Number],YES_Writing_FLA[Student Number]),0),MATCH(VLOOKUP(H$7,'Writing Logic'!$J$7:$K$11,2,FALSE)&amp;" - Per "&amp;VLOOKUP($C$4,'Writing Logic'!$G$8:$H$14,2,FALSE),YES_Writing_ELA[#Headers],0)))="INS",'Writing Logic'!$B$7,IF(INDEX(_xlfn.VSTACK(YES_Writing_ELA[#Data],YES_Writing_FLA[#Data]),MATCH($A139,_xlfn.VSTACK(YES_Writing_ELA[Student Number],YES_Writing_FLA[Student Number]),0),MATCH(VLOOKUP(H$7,'Writing Logic'!$J$7:$K$11,2,FALSE)&amp;" - Per "&amp;VLOOKUP($C$4,'Writing Logic'!$G$8:$H$14,2,FALSE),YES_Writing_ELA[#Headers],0))=0,"",INDEX(_xlfn.VSTACK(YES_Writing_ELA[#Data],YES_Writing_FLA[#Data]),MATCH($A139,_xlfn.VSTACK(YES_Writing_ELA[Student Number],YES_Writing_FLA[Student Number]),0),MATCH(VLOOKUP(H$7,'Writing Logic'!$J$7:$K$11,2,FALSE)&amp;" - Per "&amp;VLOOKUP($C$4,'Writing Logic'!$G$8:$H$14,2,FALSE),YES_Writing_ELA[#Headers],0)))),"")</f>
        <v/>
      </c>
    </row>
    <row r="140" spans="1:8" ht="14.25" customHeight="1" x14ac:dyDescent="0.25">
      <c r="A140" s="137"/>
      <c r="B140" s="137" t="str">
        <f>IFERROR(INDEX(_xlfn.VSTACK(YES_Writing_ELA[#Data], YES_Writing_FLA[#Data]),MATCH($A140,_xlfn.VSTACK(YES_Writing_ELA[Student Number], YES_Writing_FLA[Student Number]),0),MATCH(B$7,YES_Writing_ELA[#Headers],0)),"")</f>
        <v/>
      </c>
      <c r="C140" s="137" t="str">
        <f>IFERROR(INDEX(_xlfn.VSTACK(YES_Writing_ELA[#Data], YES_Writing_FLA[#Data]),MATCH($A140,_xlfn.VSTACK(YES_Writing_ELA[Student Number], YES_Writing_FLA[Student Number]),0),MATCH(C$7,YES_Writing_ELA[#Headers],0)),"")</f>
        <v/>
      </c>
      <c r="D140" s="138" t="str">
        <f>IFERROR(IF(IF(INDEX(_xlfn.VSTACK(YES_Writing_ELA[#Data],YES_Writing_FLA[#Data]),MATCH($A140,_xlfn.VSTACK(YES_Writing_ELA[Student Number],YES_Writing_FLA[Student Number]),0),MATCH(VLOOKUP(D$7,'Writing Logic'!$J$7:$K$11,2,FALSE)&amp;" - Per "&amp;VLOOKUP($C$4,'Writing Logic'!$G$8:$H$14,2,FALSE),YES_Writing_ELA[#Headers],0))=0,"",INDEX(_xlfn.VSTACK(YES_Writing_ELA[#Data],YES_Writing_FLA[#Data]),MATCH($A140,_xlfn.VSTACK(YES_Writing_ELA[Student Number],YES_Writing_FLA[Student Number]),0),MATCH(VLOOKUP(D$7,'Writing Logic'!$J$7:$K$11,2,FALSE)&amp;" - Per "&amp;VLOOKUP($C$4,'Writing Logic'!$G$8:$H$14,2,FALSE),YES_Writing_ELA[#Headers],0)))="INS",'Writing Logic'!$B$7,IF(INDEX(_xlfn.VSTACK(YES_Writing_ELA[#Data],YES_Writing_FLA[#Data]),MATCH($A140,_xlfn.VSTACK(YES_Writing_ELA[Student Number],YES_Writing_FLA[Student Number]),0),MATCH(VLOOKUP(D$7,'Writing Logic'!$J$7:$K$11,2,FALSE)&amp;" - Per "&amp;VLOOKUP($C$4,'Writing Logic'!$G$8:$H$14,2,FALSE),YES_Writing_ELA[#Headers],0))=0,"",INDEX(_xlfn.VSTACK(YES_Writing_ELA[#Data],YES_Writing_FLA[#Data]),MATCH($A140,_xlfn.VSTACK(YES_Writing_ELA[Student Number],YES_Writing_FLA[Student Number]),0),MATCH(VLOOKUP(D$7,'Writing Logic'!$J$7:$K$11,2,FALSE)&amp;" - Per "&amp;VLOOKUP($C$4,'Writing Logic'!$G$8:$H$14,2,FALSE),YES_Writing_ELA[#Headers],0)))),"")</f>
        <v/>
      </c>
      <c r="E140" s="138" t="str">
        <f>IFERROR(IF(IF(INDEX(_xlfn.VSTACK(YES_Writing_ELA[#Data],YES_Writing_FLA[#Data]),MATCH($A140,_xlfn.VSTACK(YES_Writing_ELA[Student Number],YES_Writing_FLA[Student Number]),0),MATCH(VLOOKUP(E$7,'Writing Logic'!$J$7:$K$11,2,FALSE)&amp;" - Per "&amp;VLOOKUP($C$4,'Writing Logic'!$G$8:$H$14,2,FALSE),YES_Writing_ELA[#Headers],0))=0,"",INDEX(_xlfn.VSTACK(YES_Writing_ELA[#Data],YES_Writing_FLA[#Data]),MATCH($A140,_xlfn.VSTACK(YES_Writing_ELA[Student Number],YES_Writing_FLA[Student Number]),0),MATCH(VLOOKUP(E$7,'Writing Logic'!$J$7:$K$11,2,FALSE)&amp;" - Per "&amp;VLOOKUP($C$4,'Writing Logic'!$G$8:$H$14,2,FALSE),YES_Writing_ELA[#Headers],0)))="INS",'Writing Logic'!$B$7,IF(INDEX(_xlfn.VSTACK(YES_Writing_ELA[#Data],YES_Writing_FLA[#Data]),MATCH($A140,_xlfn.VSTACK(YES_Writing_ELA[Student Number],YES_Writing_FLA[Student Number]),0),MATCH(VLOOKUP(E$7,'Writing Logic'!$J$7:$K$11,2,FALSE)&amp;" - Per "&amp;VLOOKUP($C$4,'Writing Logic'!$G$8:$H$14,2,FALSE),YES_Writing_ELA[#Headers],0))=0,"",INDEX(_xlfn.VSTACK(YES_Writing_ELA[#Data],YES_Writing_FLA[#Data]),MATCH($A140,_xlfn.VSTACK(YES_Writing_ELA[Student Number],YES_Writing_FLA[Student Number]),0),MATCH(VLOOKUP(E$7,'Writing Logic'!$J$7:$K$11,2,FALSE)&amp;" - Per "&amp;VLOOKUP($C$4,'Writing Logic'!$G$8:$H$14,2,FALSE),YES_Writing_ELA[#Headers],0)))),"")</f>
        <v/>
      </c>
      <c r="F140" s="138" t="str">
        <f>IFERROR(IF(IF(INDEX(_xlfn.VSTACK(YES_Writing_ELA[#Data],YES_Writing_FLA[#Data]),MATCH($A140,_xlfn.VSTACK(YES_Writing_ELA[Student Number],YES_Writing_FLA[Student Number]),0),MATCH(VLOOKUP(F$7,'Writing Logic'!$J$7:$K$11,2,FALSE)&amp;" - Per "&amp;VLOOKUP($C$4,'Writing Logic'!$G$8:$H$14,2,FALSE),YES_Writing_ELA[#Headers],0))=0,"",INDEX(_xlfn.VSTACK(YES_Writing_ELA[#Data],YES_Writing_FLA[#Data]),MATCH($A140,_xlfn.VSTACK(YES_Writing_ELA[Student Number],YES_Writing_FLA[Student Number]),0),MATCH(VLOOKUP(F$7,'Writing Logic'!$J$7:$K$11,2,FALSE)&amp;" - Per "&amp;VLOOKUP($C$4,'Writing Logic'!$G$8:$H$14,2,FALSE),YES_Writing_ELA[#Headers],0)))="INS",'Writing Logic'!$B$7,IF(INDEX(_xlfn.VSTACK(YES_Writing_ELA[#Data],YES_Writing_FLA[#Data]),MATCH($A140,_xlfn.VSTACK(YES_Writing_ELA[Student Number],YES_Writing_FLA[Student Number]),0),MATCH(VLOOKUP(F$7,'Writing Logic'!$J$7:$K$11,2,FALSE)&amp;" - Per "&amp;VLOOKUP($C$4,'Writing Logic'!$G$8:$H$14,2,FALSE),YES_Writing_ELA[#Headers],0))=0,"",INDEX(_xlfn.VSTACK(YES_Writing_ELA[#Data],YES_Writing_FLA[#Data]),MATCH($A140,_xlfn.VSTACK(YES_Writing_ELA[Student Number],YES_Writing_FLA[Student Number]),0),MATCH(VLOOKUP(F$7,'Writing Logic'!$J$7:$K$11,2,FALSE)&amp;" - Per "&amp;VLOOKUP($C$4,'Writing Logic'!$G$8:$H$14,2,FALSE),YES_Writing_ELA[#Headers],0)))),"")</f>
        <v/>
      </c>
      <c r="G140" s="138" t="str">
        <f>IFERROR(IF(IF(INDEX(_xlfn.VSTACK(YES_Writing_ELA[#Data],YES_Writing_FLA[#Data]),MATCH($A140,_xlfn.VSTACK(YES_Writing_ELA[Student Number],YES_Writing_FLA[Student Number]),0),MATCH(VLOOKUP(G$7,'Writing Logic'!$J$7:$K$11,2,FALSE)&amp;" - Per "&amp;VLOOKUP($C$4,'Writing Logic'!$G$8:$H$14,2,FALSE),YES_Writing_ELA[#Headers],0))=0,"",INDEX(_xlfn.VSTACK(YES_Writing_ELA[#Data],YES_Writing_FLA[#Data]),MATCH($A140,_xlfn.VSTACK(YES_Writing_ELA[Student Number],YES_Writing_FLA[Student Number]),0),MATCH(VLOOKUP(G$7,'Writing Logic'!$J$7:$K$11,2,FALSE)&amp;" - Per "&amp;VLOOKUP($C$4,'Writing Logic'!$G$8:$H$14,2,FALSE),YES_Writing_ELA[#Headers],0)))="INS",'Writing Logic'!$B$7,IF(INDEX(_xlfn.VSTACK(YES_Writing_ELA[#Data],YES_Writing_FLA[#Data]),MATCH($A140,_xlfn.VSTACK(YES_Writing_ELA[Student Number],YES_Writing_FLA[Student Number]),0),MATCH(VLOOKUP(G$7,'Writing Logic'!$J$7:$K$11,2,FALSE)&amp;" - Per "&amp;VLOOKUP($C$4,'Writing Logic'!$G$8:$H$14,2,FALSE),YES_Writing_ELA[#Headers],0))=0,"",INDEX(_xlfn.VSTACK(YES_Writing_ELA[#Data],YES_Writing_FLA[#Data]),MATCH($A140,_xlfn.VSTACK(YES_Writing_ELA[Student Number],YES_Writing_FLA[Student Number]),0),MATCH(VLOOKUP(G$7,'Writing Logic'!$J$7:$K$11,2,FALSE)&amp;" - Per "&amp;VLOOKUP($C$4,'Writing Logic'!$G$8:$H$14,2,FALSE),YES_Writing_ELA[#Headers],0)))),"")</f>
        <v/>
      </c>
      <c r="H140" s="138" t="str">
        <f>IFERROR(IF(IF(INDEX(_xlfn.VSTACK(YES_Writing_ELA[#Data],YES_Writing_FLA[#Data]),MATCH($A140,_xlfn.VSTACK(YES_Writing_ELA[Student Number],YES_Writing_FLA[Student Number]),0),MATCH(VLOOKUP(H$7,'Writing Logic'!$J$7:$K$11,2,FALSE)&amp;" - Per "&amp;VLOOKUP($C$4,'Writing Logic'!$G$8:$H$14,2,FALSE),YES_Writing_ELA[#Headers],0))=0,"",INDEX(_xlfn.VSTACK(YES_Writing_ELA[#Data],YES_Writing_FLA[#Data]),MATCH($A140,_xlfn.VSTACK(YES_Writing_ELA[Student Number],YES_Writing_FLA[Student Number]),0),MATCH(VLOOKUP(H$7,'Writing Logic'!$J$7:$K$11,2,FALSE)&amp;" - Per "&amp;VLOOKUP($C$4,'Writing Logic'!$G$8:$H$14,2,FALSE),YES_Writing_ELA[#Headers],0)))="INS",'Writing Logic'!$B$7,IF(INDEX(_xlfn.VSTACK(YES_Writing_ELA[#Data],YES_Writing_FLA[#Data]),MATCH($A140,_xlfn.VSTACK(YES_Writing_ELA[Student Number],YES_Writing_FLA[Student Number]),0),MATCH(VLOOKUP(H$7,'Writing Logic'!$J$7:$K$11,2,FALSE)&amp;" - Per "&amp;VLOOKUP($C$4,'Writing Logic'!$G$8:$H$14,2,FALSE),YES_Writing_ELA[#Headers],0))=0,"",INDEX(_xlfn.VSTACK(YES_Writing_ELA[#Data],YES_Writing_FLA[#Data]),MATCH($A140,_xlfn.VSTACK(YES_Writing_ELA[Student Number],YES_Writing_FLA[Student Number]),0),MATCH(VLOOKUP(H$7,'Writing Logic'!$J$7:$K$11,2,FALSE)&amp;" - Per "&amp;VLOOKUP($C$4,'Writing Logic'!$G$8:$H$14,2,FALSE),YES_Writing_ELA[#Headers],0)))),"")</f>
        <v/>
      </c>
    </row>
    <row r="141" spans="1:8" ht="14.25" customHeight="1" x14ac:dyDescent="0.25">
      <c r="A141" s="137"/>
      <c r="B141" s="137" t="str">
        <f>IFERROR(INDEX(_xlfn.VSTACK(YES_Writing_ELA[#Data], YES_Writing_FLA[#Data]),MATCH($A141,_xlfn.VSTACK(YES_Writing_ELA[Student Number], YES_Writing_FLA[Student Number]),0),MATCH(B$7,YES_Writing_ELA[#Headers],0)),"")</f>
        <v/>
      </c>
      <c r="C141" s="137" t="str">
        <f>IFERROR(INDEX(_xlfn.VSTACK(YES_Writing_ELA[#Data], YES_Writing_FLA[#Data]),MATCH($A141,_xlfn.VSTACK(YES_Writing_ELA[Student Number], YES_Writing_FLA[Student Number]),0),MATCH(C$7,YES_Writing_ELA[#Headers],0)),"")</f>
        <v/>
      </c>
      <c r="D141" s="138" t="str">
        <f>IFERROR(IF(IF(INDEX(_xlfn.VSTACK(YES_Writing_ELA[#Data],YES_Writing_FLA[#Data]),MATCH($A141,_xlfn.VSTACK(YES_Writing_ELA[Student Number],YES_Writing_FLA[Student Number]),0),MATCH(VLOOKUP(D$7,'Writing Logic'!$J$7:$K$11,2,FALSE)&amp;" - Per "&amp;VLOOKUP($C$4,'Writing Logic'!$G$8:$H$14,2,FALSE),YES_Writing_ELA[#Headers],0))=0,"",INDEX(_xlfn.VSTACK(YES_Writing_ELA[#Data],YES_Writing_FLA[#Data]),MATCH($A141,_xlfn.VSTACK(YES_Writing_ELA[Student Number],YES_Writing_FLA[Student Number]),0),MATCH(VLOOKUP(D$7,'Writing Logic'!$J$7:$K$11,2,FALSE)&amp;" - Per "&amp;VLOOKUP($C$4,'Writing Logic'!$G$8:$H$14,2,FALSE),YES_Writing_ELA[#Headers],0)))="INS",'Writing Logic'!$B$7,IF(INDEX(_xlfn.VSTACK(YES_Writing_ELA[#Data],YES_Writing_FLA[#Data]),MATCH($A141,_xlfn.VSTACK(YES_Writing_ELA[Student Number],YES_Writing_FLA[Student Number]),0),MATCH(VLOOKUP(D$7,'Writing Logic'!$J$7:$K$11,2,FALSE)&amp;" - Per "&amp;VLOOKUP($C$4,'Writing Logic'!$G$8:$H$14,2,FALSE),YES_Writing_ELA[#Headers],0))=0,"",INDEX(_xlfn.VSTACK(YES_Writing_ELA[#Data],YES_Writing_FLA[#Data]),MATCH($A141,_xlfn.VSTACK(YES_Writing_ELA[Student Number],YES_Writing_FLA[Student Number]),0),MATCH(VLOOKUP(D$7,'Writing Logic'!$J$7:$K$11,2,FALSE)&amp;" - Per "&amp;VLOOKUP($C$4,'Writing Logic'!$G$8:$H$14,2,FALSE),YES_Writing_ELA[#Headers],0)))),"")</f>
        <v/>
      </c>
      <c r="E141" s="138" t="str">
        <f>IFERROR(IF(IF(INDEX(_xlfn.VSTACK(YES_Writing_ELA[#Data],YES_Writing_FLA[#Data]),MATCH($A141,_xlfn.VSTACK(YES_Writing_ELA[Student Number],YES_Writing_FLA[Student Number]),0),MATCH(VLOOKUP(E$7,'Writing Logic'!$J$7:$K$11,2,FALSE)&amp;" - Per "&amp;VLOOKUP($C$4,'Writing Logic'!$G$8:$H$14,2,FALSE),YES_Writing_ELA[#Headers],0))=0,"",INDEX(_xlfn.VSTACK(YES_Writing_ELA[#Data],YES_Writing_FLA[#Data]),MATCH($A141,_xlfn.VSTACK(YES_Writing_ELA[Student Number],YES_Writing_FLA[Student Number]),0),MATCH(VLOOKUP(E$7,'Writing Logic'!$J$7:$K$11,2,FALSE)&amp;" - Per "&amp;VLOOKUP($C$4,'Writing Logic'!$G$8:$H$14,2,FALSE),YES_Writing_ELA[#Headers],0)))="INS",'Writing Logic'!$B$7,IF(INDEX(_xlfn.VSTACK(YES_Writing_ELA[#Data],YES_Writing_FLA[#Data]),MATCH($A141,_xlfn.VSTACK(YES_Writing_ELA[Student Number],YES_Writing_FLA[Student Number]),0),MATCH(VLOOKUP(E$7,'Writing Logic'!$J$7:$K$11,2,FALSE)&amp;" - Per "&amp;VLOOKUP($C$4,'Writing Logic'!$G$8:$H$14,2,FALSE),YES_Writing_ELA[#Headers],0))=0,"",INDEX(_xlfn.VSTACK(YES_Writing_ELA[#Data],YES_Writing_FLA[#Data]),MATCH($A141,_xlfn.VSTACK(YES_Writing_ELA[Student Number],YES_Writing_FLA[Student Number]),0),MATCH(VLOOKUP(E$7,'Writing Logic'!$J$7:$K$11,2,FALSE)&amp;" - Per "&amp;VLOOKUP($C$4,'Writing Logic'!$G$8:$H$14,2,FALSE),YES_Writing_ELA[#Headers],0)))),"")</f>
        <v/>
      </c>
      <c r="F141" s="138" t="str">
        <f>IFERROR(IF(IF(INDEX(_xlfn.VSTACK(YES_Writing_ELA[#Data],YES_Writing_FLA[#Data]),MATCH($A141,_xlfn.VSTACK(YES_Writing_ELA[Student Number],YES_Writing_FLA[Student Number]),0),MATCH(VLOOKUP(F$7,'Writing Logic'!$J$7:$K$11,2,FALSE)&amp;" - Per "&amp;VLOOKUP($C$4,'Writing Logic'!$G$8:$H$14,2,FALSE),YES_Writing_ELA[#Headers],0))=0,"",INDEX(_xlfn.VSTACK(YES_Writing_ELA[#Data],YES_Writing_FLA[#Data]),MATCH($A141,_xlfn.VSTACK(YES_Writing_ELA[Student Number],YES_Writing_FLA[Student Number]),0),MATCH(VLOOKUP(F$7,'Writing Logic'!$J$7:$K$11,2,FALSE)&amp;" - Per "&amp;VLOOKUP($C$4,'Writing Logic'!$G$8:$H$14,2,FALSE),YES_Writing_ELA[#Headers],0)))="INS",'Writing Logic'!$B$7,IF(INDEX(_xlfn.VSTACK(YES_Writing_ELA[#Data],YES_Writing_FLA[#Data]),MATCH($A141,_xlfn.VSTACK(YES_Writing_ELA[Student Number],YES_Writing_FLA[Student Number]),0),MATCH(VLOOKUP(F$7,'Writing Logic'!$J$7:$K$11,2,FALSE)&amp;" - Per "&amp;VLOOKUP($C$4,'Writing Logic'!$G$8:$H$14,2,FALSE),YES_Writing_ELA[#Headers],0))=0,"",INDEX(_xlfn.VSTACK(YES_Writing_ELA[#Data],YES_Writing_FLA[#Data]),MATCH($A141,_xlfn.VSTACK(YES_Writing_ELA[Student Number],YES_Writing_FLA[Student Number]),0),MATCH(VLOOKUP(F$7,'Writing Logic'!$J$7:$K$11,2,FALSE)&amp;" - Per "&amp;VLOOKUP($C$4,'Writing Logic'!$G$8:$H$14,2,FALSE),YES_Writing_ELA[#Headers],0)))),"")</f>
        <v/>
      </c>
      <c r="G141" s="138" t="str">
        <f>IFERROR(IF(IF(INDEX(_xlfn.VSTACK(YES_Writing_ELA[#Data],YES_Writing_FLA[#Data]),MATCH($A141,_xlfn.VSTACK(YES_Writing_ELA[Student Number],YES_Writing_FLA[Student Number]),0),MATCH(VLOOKUP(G$7,'Writing Logic'!$J$7:$K$11,2,FALSE)&amp;" - Per "&amp;VLOOKUP($C$4,'Writing Logic'!$G$8:$H$14,2,FALSE),YES_Writing_ELA[#Headers],0))=0,"",INDEX(_xlfn.VSTACK(YES_Writing_ELA[#Data],YES_Writing_FLA[#Data]),MATCH($A141,_xlfn.VSTACK(YES_Writing_ELA[Student Number],YES_Writing_FLA[Student Number]),0),MATCH(VLOOKUP(G$7,'Writing Logic'!$J$7:$K$11,2,FALSE)&amp;" - Per "&amp;VLOOKUP($C$4,'Writing Logic'!$G$8:$H$14,2,FALSE),YES_Writing_ELA[#Headers],0)))="INS",'Writing Logic'!$B$7,IF(INDEX(_xlfn.VSTACK(YES_Writing_ELA[#Data],YES_Writing_FLA[#Data]),MATCH($A141,_xlfn.VSTACK(YES_Writing_ELA[Student Number],YES_Writing_FLA[Student Number]),0),MATCH(VLOOKUP(G$7,'Writing Logic'!$J$7:$K$11,2,FALSE)&amp;" - Per "&amp;VLOOKUP($C$4,'Writing Logic'!$G$8:$H$14,2,FALSE),YES_Writing_ELA[#Headers],0))=0,"",INDEX(_xlfn.VSTACK(YES_Writing_ELA[#Data],YES_Writing_FLA[#Data]),MATCH($A141,_xlfn.VSTACK(YES_Writing_ELA[Student Number],YES_Writing_FLA[Student Number]),0),MATCH(VLOOKUP(G$7,'Writing Logic'!$J$7:$K$11,2,FALSE)&amp;" - Per "&amp;VLOOKUP($C$4,'Writing Logic'!$G$8:$H$14,2,FALSE),YES_Writing_ELA[#Headers],0)))),"")</f>
        <v/>
      </c>
      <c r="H141" s="138" t="str">
        <f>IFERROR(IF(IF(INDEX(_xlfn.VSTACK(YES_Writing_ELA[#Data],YES_Writing_FLA[#Data]),MATCH($A141,_xlfn.VSTACK(YES_Writing_ELA[Student Number],YES_Writing_FLA[Student Number]),0),MATCH(VLOOKUP(H$7,'Writing Logic'!$J$7:$K$11,2,FALSE)&amp;" - Per "&amp;VLOOKUP($C$4,'Writing Logic'!$G$8:$H$14,2,FALSE),YES_Writing_ELA[#Headers],0))=0,"",INDEX(_xlfn.VSTACK(YES_Writing_ELA[#Data],YES_Writing_FLA[#Data]),MATCH($A141,_xlfn.VSTACK(YES_Writing_ELA[Student Number],YES_Writing_FLA[Student Number]),0),MATCH(VLOOKUP(H$7,'Writing Logic'!$J$7:$K$11,2,FALSE)&amp;" - Per "&amp;VLOOKUP($C$4,'Writing Logic'!$G$8:$H$14,2,FALSE),YES_Writing_ELA[#Headers],0)))="INS",'Writing Logic'!$B$7,IF(INDEX(_xlfn.VSTACK(YES_Writing_ELA[#Data],YES_Writing_FLA[#Data]),MATCH($A141,_xlfn.VSTACK(YES_Writing_ELA[Student Number],YES_Writing_FLA[Student Number]),0),MATCH(VLOOKUP(H$7,'Writing Logic'!$J$7:$K$11,2,FALSE)&amp;" - Per "&amp;VLOOKUP($C$4,'Writing Logic'!$G$8:$H$14,2,FALSE),YES_Writing_ELA[#Headers],0))=0,"",INDEX(_xlfn.VSTACK(YES_Writing_ELA[#Data],YES_Writing_FLA[#Data]),MATCH($A141,_xlfn.VSTACK(YES_Writing_ELA[Student Number],YES_Writing_FLA[Student Number]),0),MATCH(VLOOKUP(H$7,'Writing Logic'!$J$7:$K$11,2,FALSE)&amp;" - Per "&amp;VLOOKUP($C$4,'Writing Logic'!$G$8:$H$14,2,FALSE),YES_Writing_ELA[#Headers],0)))),"")</f>
        <v/>
      </c>
    </row>
    <row r="142" spans="1:8" ht="14.25" customHeight="1" x14ac:dyDescent="0.25">
      <c r="A142" s="137"/>
      <c r="B142" s="137" t="str">
        <f>IFERROR(INDEX(_xlfn.VSTACK(YES_Writing_ELA[#Data], YES_Writing_FLA[#Data]),MATCH($A142,_xlfn.VSTACK(YES_Writing_ELA[Student Number], YES_Writing_FLA[Student Number]),0),MATCH(B$7,YES_Writing_ELA[#Headers],0)),"")</f>
        <v/>
      </c>
      <c r="C142" s="137" t="str">
        <f>IFERROR(INDEX(_xlfn.VSTACK(YES_Writing_ELA[#Data], YES_Writing_FLA[#Data]),MATCH($A142,_xlfn.VSTACK(YES_Writing_ELA[Student Number], YES_Writing_FLA[Student Number]),0),MATCH(C$7,YES_Writing_ELA[#Headers],0)),"")</f>
        <v/>
      </c>
      <c r="D142" s="138" t="str">
        <f>IFERROR(IF(IF(INDEX(_xlfn.VSTACK(YES_Writing_ELA[#Data],YES_Writing_FLA[#Data]),MATCH($A142,_xlfn.VSTACK(YES_Writing_ELA[Student Number],YES_Writing_FLA[Student Number]),0),MATCH(VLOOKUP(D$7,'Writing Logic'!$J$7:$K$11,2,FALSE)&amp;" - Per "&amp;VLOOKUP($C$4,'Writing Logic'!$G$8:$H$14,2,FALSE),YES_Writing_ELA[#Headers],0))=0,"",INDEX(_xlfn.VSTACK(YES_Writing_ELA[#Data],YES_Writing_FLA[#Data]),MATCH($A142,_xlfn.VSTACK(YES_Writing_ELA[Student Number],YES_Writing_FLA[Student Number]),0),MATCH(VLOOKUP(D$7,'Writing Logic'!$J$7:$K$11,2,FALSE)&amp;" - Per "&amp;VLOOKUP($C$4,'Writing Logic'!$G$8:$H$14,2,FALSE),YES_Writing_ELA[#Headers],0)))="INS",'Writing Logic'!$B$7,IF(INDEX(_xlfn.VSTACK(YES_Writing_ELA[#Data],YES_Writing_FLA[#Data]),MATCH($A142,_xlfn.VSTACK(YES_Writing_ELA[Student Number],YES_Writing_FLA[Student Number]),0),MATCH(VLOOKUP(D$7,'Writing Logic'!$J$7:$K$11,2,FALSE)&amp;" - Per "&amp;VLOOKUP($C$4,'Writing Logic'!$G$8:$H$14,2,FALSE),YES_Writing_ELA[#Headers],0))=0,"",INDEX(_xlfn.VSTACK(YES_Writing_ELA[#Data],YES_Writing_FLA[#Data]),MATCH($A142,_xlfn.VSTACK(YES_Writing_ELA[Student Number],YES_Writing_FLA[Student Number]),0),MATCH(VLOOKUP(D$7,'Writing Logic'!$J$7:$K$11,2,FALSE)&amp;" - Per "&amp;VLOOKUP($C$4,'Writing Logic'!$G$8:$H$14,2,FALSE),YES_Writing_ELA[#Headers],0)))),"")</f>
        <v/>
      </c>
      <c r="E142" s="138" t="str">
        <f>IFERROR(IF(IF(INDEX(_xlfn.VSTACK(YES_Writing_ELA[#Data],YES_Writing_FLA[#Data]),MATCH($A142,_xlfn.VSTACK(YES_Writing_ELA[Student Number],YES_Writing_FLA[Student Number]),0),MATCH(VLOOKUP(E$7,'Writing Logic'!$J$7:$K$11,2,FALSE)&amp;" - Per "&amp;VLOOKUP($C$4,'Writing Logic'!$G$8:$H$14,2,FALSE),YES_Writing_ELA[#Headers],0))=0,"",INDEX(_xlfn.VSTACK(YES_Writing_ELA[#Data],YES_Writing_FLA[#Data]),MATCH($A142,_xlfn.VSTACK(YES_Writing_ELA[Student Number],YES_Writing_FLA[Student Number]),0),MATCH(VLOOKUP(E$7,'Writing Logic'!$J$7:$K$11,2,FALSE)&amp;" - Per "&amp;VLOOKUP($C$4,'Writing Logic'!$G$8:$H$14,2,FALSE),YES_Writing_ELA[#Headers],0)))="INS",'Writing Logic'!$B$7,IF(INDEX(_xlfn.VSTACK(YES_Writing_ELA[#Data],YES_Writing_FLA[#Data]),MATCH($A142,_xlfn.VSTACK(YES_Writing_ELA[Student Number],YES_Writing_FLA[Student Number]),0),MATCH(VLOOKUP(E$7,'Writing Logic'!$J$7:$K$11,2,FALSE)&amp;" - Per "&amp;VLOOKUP($C$4,'Writing Logic'!$G$8:$H$14,2,FALSE),YES_Writing_ELA[#Headers],0))=0,"",INDEX(_xlfn.VSTACK(YES_Writing_ELA[#Data],YES_Writing_FLA[#Data]),MATCH($A142,_xlfn.VSTACK(YES_Writing_ELA[Student Number],YES_Writing_FLA[Student Number]),0),MATCH(VLOOKUP(E$7,'Writing Logic'!$J$7:$K$11,2,FALSE)&amp;" - Per "&amp;VLOOKUP($C$4,'Writing Logic'!$G$8:$H$14,2,FALSE),YES_Writing_ELA[#Headers],0)))),"")</f>
        <v/>
      </c>
      <c r="F142" s="138" t="str">
        <f>IFERROR(IF(IF(INDEX(_xlfn.VSTACK(YES_Writing_ELA[#Data],YES_Writing_FLA[#Data]),MATCH($A142,_xlfn.VSTACK(YES_Writing_ELA[Student Number],YES_Writing_FLA[Student Number]),0),MATCH(VLOOKUP(F$7,'Writing Logic'!$J$7:$K$11,2,FALSE)&amp;" - Per "&amp;VLOOKUP($C$4,'Writing Logic'!$G$8:$H$14,2,FALSE),YES_Writing_ELA[#Headers],0))=0,"",INDEX(_xlfn.VSTACK(YES_Writing_ELA[#Data],YES_Writing_FLA[#Data]),MATCH($A142,_xlfn.VSTACK(YES_Writing_ELA[Student Number],YES_Writing_FLA[Student Number]),0),MATCH(VLOOKUP(F$7,'Writing Logic'!$J$7:$K$11,2,FALSE)&amp;" - Per "&amp;VLOOKUP($C$4,'Writing Logic'!$G$8:$H$14,2,FALSE),YES_Writing_ELA[#Headers],0)))="INS",'Writing Logic'!$B$7,IF(INDEX(_xlfn.VSTACK(YES_Writing_ELA[#Data],YES_Writing_FLA[#Data]),MATCH($A142,_xlfn.VSTACK(YES_Writing_ELA[Student Number],YES_Writing_FLA[Student Number]),0),MATCH(VLOOKUP(F$7,'Writing Logic'!$J$7:$K$11,2,FALSE)&amp;" - Per "&amp;VLOOKUP($C$4,'Writing Logic'!$G$8:$H$14,2,FALSE),YES_Writing_ELA[#Headers],0))=0,"",INDEX(_xlfn.VSTACK(YES_Writing_ELA[#Data],YES_Writing_FLA[#Data]),MATCH($A142,_xlfn.VSTACK(YES_Writing_ELA[Student Number],YES_Writing_FLA[Student Number]),0),MATCH(VLOOKUP(F$7,'Writing Logic'!$J$7:$K$11,2,FALSE)&amp;" - Per "&amp;VLOOKUP($C$4,'Writing Logic'!$G$8:$H$14,2,FALSE),YES_Writing_ELA[#Headers],0)))),"")</f>
        <v/>
      </c>
      <c r="G142" s="138" t="str">
        <f>IFERROR(IF(IF(INDEX(_xlfn.VSTACK(YES_Writing_ELA[#Data],YES_Writing_FLA[#Data]),MATCH($A142,_xlfn.VSTACK(YES_Writing_ELA[Student Number],YES_Writing_FLA[Student Number]),0),MATCH(VLOOKUP(G$7,'Writing Logic'!$J$7:$K$11,2,FALSE)&amp;" - Per "&amp;VLOOKUP($C$4,'Writing Logic'!$G$8:$H$14,2,FALSE),YES_Writing_ELA[#Headers],0))=0,"",INDEX(_xlfn.VSTACK(YES_Writing_ELA[#Data],YES_Writing_FLA[#Data]),MATCH($A142,_xlfn.VSTACK(YES_Writing_ELA[Student Number],YES_Writing_FLA[Student Number]),0),MATCH(VLOOKUP(G$7,'Writing Logic'!$J$7:$K$11,2,FALSE)&amp;" - Per "&amp;VLOOKUP($C$4,'Writing Logic'!$G$8:$H$14,2,FALSE),YES_Writing_ELA[#Headers],0)))="INS",'Writing Logic'!$B$7,IF(INDEX(_xlfn.VSTACK(YES_Writing_ELA[#Data],YES_Writing_FLA[#Data]),MATCH($A142,_xlfn.VSTACK(YES_Writing_ELA[Student Number],YES_Writing_FLA[Student Number]),0),MATCH(VLOOKUP(G$7,'Writing Logic'!$J$7:$K$11,2,FALSE)&amp;" - Per "&amp;VLOOKUP($C$4,'Writing Logic'!$G$8:$H$14,2,FALSE),YES_Writing_ELA[#Headers],0))=0,"",INDEX(_xlfn.VSTACK(YES_Writing_ELA[#Data],YES_Writing_FLA[#Data]),MATCH($A142,_xlfn.VSTACK(YES_Writing_ELA[Student Number],YES_Writing_FLA[Student Number]),0),MATCH(VLOOKUP(G$7,'Writing Logic'!$J$7:$K$11,2,FALSE)&amp;" - Per "&amp;VLOOKUP($C$4,'Writing Logic'!$G$8:$H$14,2,FALSE),YES_Writing_ELA[#Headers],0)))),"")</f>
        <v/>
      </c>
      <c r="H142" s="138" t="str">
        <f>IFERROR(IF(IF(INDEX(_xlfn.VSTACK(YES_Writing_ELA[#Data],YES_Writing_FLA[#Data]),MATCH($A142,_xlfn.VSTACK(YES_Writing_ELA[Student Number],YES_Writing_FLA[Student Number]),0),MATCH(VLOOKUP(H$7,'Writing Logic'!$J$7:$K$11,2,FALSE)&amp;" - Per "&amp;VLOOKUP($C$4,'Writing Logic'!$G$8:$H$14,2,FALSE),YES_Writing_ELA[#Headers],0))=0,"",INDEX(_xlfn.VSTACK(YES_Writing_ELA[#Data],YES_Writing_FLA[#Data]),MATCH($A142,_xlfn.VSTACK(YES_Writing_ELA[Student Number],YES_Writing_FLA[Student Number]),0),MATCH(VLOOKUP(H$7,'Writing Logic'!$J$7:$K$11,2,FALSE)&amp;" - Per "&amp;VLOOKUP($C$4,'Writing Logic'!$G$8:$H$14,2,FALSE),YES_Writing_ELA[#Headers],0)))="INS",'Writing Logic'!$B$7,IF(INDEX(_xlfn.VSTACK(YES_Writing_ELA[#Data],YES_Writing_FLA[#Data]),MATCH($A142,_xlfn.VSTACK(YES_Writing_ELA[Student Number],YES_Writing_FLA[Student Number]),0),MATCH(VLOOKUP(H$7,'Writing Logic'!$J$7:$K$11,2,FALSE)&amp;" - Per "&amp;VLOOKUP($C$4,'Writing Logic'!$G$8:$H$14,2,FALSE),YES_Writing_ELA[#Headers],0))=0,"",INDEX(_xlfn.VSTACK(YES_Writing_ELA[#Data],YES_Writing_FLA[#Data]),MATCH($A142,_xlfn.VSTACK(YES_Writing_ELA[Student Number],YES_Writing_FLA[Student Number]),0),MATCH(VLOOKUP(H$7,'Writing Logic'!$J$7:$K$11,2,FALSE)&amp;" - Per "&amp;VLOOKUP($C$4,'Writing Logic'!$G$8:$H$14,2,FALSE),YES_Writing_ELA[#Headers],0)))),"")</f>
        <v/>
      </c>
    </row>
    <row r="143" spans="1:8" ht="14.25" customHeight="1" x14ac:dyDescent="0.25">
      <c r="A143" s="137"/>
      <c r="B143" s="137" t="str">
        <f>IFERROR(INDEX(_xlfn.VSTACK(YES_Writing_ELA[#Data], YES_Writing_FLA[#Data]),MATCH($A143,_xlfn.VSTACK(YES_Writing_ELA[Student Number], YES_Writing_FLA[Student Number]),0),MATCH(B$7,YES_Writing_ELA[#Headers],0)),"")</f>
        <v/>
      </c>
      <c r="C143" s="137" t="str">
        <f>IFERROR(INDEX(_xlfn.VSTACK(YES_Writing_ELA[#Data], YES_Writing_FLA[#Data]),MATCH($A143,_xlfn.VSTACK(YES_Writing_ELA[Student Number], YES_Writing_FLA[Student Number]),0),MATCH(C$7,YES_Writing_ELA[#Headers],0)),"")</f>
        <v/>
      </c>
      <c r="D143" s="138" t="str">
        <f>IFERROR(IF(IF(INDEX(_xlfn.VSTACK(YES_Writing_ELA[#Data],YES_Writing_FLA[#Data]),MATCH($A143,_xlfn.VSTACK(YES_Writing_ELA[Student Number],YES_Writing_FLA[Student Number]),0),MATCH(VLOOKUP(D$7,'Writing Logic'!$J$7:$K$11,2,FALSE)&amp;" - Per "&amp;VLOOKUP($C$4,'Writing Logic'!$G$8:$H$14,2,FALSE),YES_Writing_ELA[#Headers],0))=0,"",INDEX(_xlfn.VSTACK(YES_Writing_ELA[#Data],YES_Writing_FLA[#Data]),MATCH($A143,_xlfn.VSTACK(YES_Writing_ELA[Student Number],YES_Writing_FLA[Student Number]),0),MATCH(VLOOKUP(D$7,'Writing Logic'!$J$7:$K$11,2,FALSE)&amp;" - Per "&amp;VLOOKUP($C$4,'Writing Logic'!$G$8:$H$14,2,FALSE),YES_Writing_ELA[#Headers],0)))="INS",'Writing Logic'!$B$7,IF(INDEX(_xlfn.VSTACK(YES_Writing_ELA[#Data],YES_Writing_FLA[#Data]),MATCH($A143,_xlfn.VSTACK(YES_Writing_ELA[Student Number],YES_Writing_FLA[Student Number]),0),MATCH(VLOOKUP(D$7,'Writing Logic'!$J$7:$K$11,2,FALSE)&amp;" - Per "&amp;VLOOKUP($C$4,'Writing Logic'!$G$8:$H$14,2,FALSE),YES_Writing_ELA[#Headers],0))=0,"",INDEX(_xlfn.VSTACK(YES_Writing_ELA[#Data],YES_Writing_FLA[#Data]),MATCH($A143,_xlfn.VSTACK(YES_Writing_ELA[Student Number],YES_Writing_FLA[Student Number]),0),MATCH(VLOOKUP(D$7,'Writing Logic'!$J$7:$K$11,2,FALSE)&amp;" - Per "&amp;VLOOKUP($C$4,'Writing Logic'!$G$8:$H$14,2,FALSE),YES_Writing_ELA[#Headers],0)))),"")</f>
        <v/>
      </c>
      <c r="E143" s="138" t="str">
        <f>IFERROR(IF(IF(INDEX(_xlfn.VSTACK(YES_Writing_ELA[#Data],YES_Writing_FLA[#Data]),MATCH($A143,_xlfn.VSTACK(YES_Writing_ELA[Student Number],YES_Writing_FLA[Student Number]),0),MATCH(VLOOKUP(E$7,'Writing Logic'!$J$7:$K$11,2,FALSE)&amp;" - Per "&amp;VLOOKUP($C$4,'Writing Logic'!$G$8:$H$14,2,FALSE),YES_Writing_ELA[#Headers],0))=0,"",INDEX(_xlfn.VSTACK(YES_Writing_ELA[#Data],YES_Writing_FLA[#Data]),MATCH($A143,_xlfn.VSTACK(YES_Writing_ELA[Student Number],YES_Writing_FLA[Student Number]),0),MATCH(VLOOKUP(E$7,'Writing Logic'!$J$7:$K$11,2,FALSE)&amp;" - Per "&amp;VLOOKUP($C$4,'Writing Logic'!$G$8:$H$14,2,FALSE),YES_Writing_ELA[#Headers],0)))="INS",'Writing Logic'!$B$7,IF(INDEX(_xlfn.VSTACK(YES_Writing_ELA[#Data],YES_Writing_FLA[#Data]),MATCH($A143,_xlfn.VSTACK(YES_Writing_ELA[Student Number],YES_Writing_FLA[Student Number]),0),MATCH(VLOOKUP(E$7,'Writing Logic'!$J$7:$K$11,2,FALSE)&amp;" - Per "&amp;VLOOKUP($C$4,'Writing Logic'!$G$8:$H$14,2,FALSE),YES_Writing_ELA[#Headers],0))=0,"",INDEX(_xlfn.VSTACK(YES_Writing_ELA[#Data],YES_Writing_FLA[#Data]),MATCH($A143,_xlfn.VSTACK(YES_Writing_ELA[Student Number],YES_Writing_FLA[Student Number]),0),MATCH(VLOOKUP(E$7,'Writing Logic'!$J$7:$K$11,2,FALSE)&amp;" - Per "&amp;VLOOKUP($C$4,'Writing Logic'!$G$8:$H$14,2,FALSE),YES_Writing_ELA[#Headers],0)))),"")</f>
        <v/>
      </c>
      <c r="F143" s="138" t="str">
        <f>IFERROR(IF(IF(INDEX(_xlfn.VSTACK(YES_Writing_ELA[#Data],YES_Writing_FLA[#Data]),MATCH($A143,_xlfn.VSTACK(YES_Writing_ELA[Student Number],YES_Writing_FLA[Student Number]),0),MATCH(VLOOKUP(F$7,'Writing Logic'!$J$7:$K$11,2,FALSE)&amp;" - Per "&amp;VLOOKUP($C$4,'Writing Logic'!$G$8:$H$14,2,FALSE),YES_Writing_ELA[#Headers],0))=0,"",INDEX(_xlfn.VSTACK(YES_Writing_ELA[#Data],YES_Writing_FLA[#Data]),MATCH($A143,_xlfn.VSTACK(YES_Writing_ELA[Student Number],YES_Writing_FLA[Student Number]),0),MATCH(VLOOKUP(F$7,'Writing Logic'!$J$7:$K$11,2,FALSE)&amp;" - Per "&amp;VLOOKUP($C$4,'Writing Logic'!$G$8:$H$14,2,FALSE),YES_Writing_ELA[#Headers],0)))="INS",'Writing Logic'!$B$7,IF(INDEX(_xlfn.VSTACK(YES_Writing_ELA[#Data],YES_Writing_FLA[#Data]),MATCH($A143,_xlfn.VSTACK(YES_Writing_ELA[Student Number],YES_Writing_FLA[Student Number]),0),MATCH(VLOOKUP(F$7,'Writing Logic'!$J$7:$K$11,2,FALSE)&amp;" - Per "&amp;VLOOKUP($C$4,'Writing Logic'!$G$8:$H$14,2,FALSE),YES_Writing_ELA[#Headers],0))=0,"",INDEX(_xlfn.VSTACK(YES_Writing_ELA[#Data],YES_Writing_FLA[#Data]),MATCH($A143,_xlfn.VSTACK(YES_Writing_ELA[Student Number],YES_Writing_FLA[Student Number]),0),MATCH(VLOOKUP(F$7,'Writing Logic'!$J$7:$K$11,2,FALSE)&amp;" - Per "&amp;VLOOKUP($C$4,'Writing Logic'!$G$8:$H$14,2,FALSE),YES_Writing_ELA[#Headers],0)))),"")</f>
        <v/>
      </c>
      <c r="G143" s="138" t="str">
        <f>IFERROR(IF(IF(INDEX(_xlfn.VSTACK(YES_Writing_ELA[#Data],YES_Writing_FLA[#Data]),MATCH($A143,_xlfn.VSTACK(YES_Writing_ELA[Student Number],YES_Writing_FLA[Student Number]),0),MATCH(VLOOKUP(G$7,'Writing Logic'!$J$7:$K$11,2,FALSE)&amp;" - Per "&amp;VLOOKUP($C$4,'Writing Logic'!$G$8:$H$14,2,FALSE),YES_Writing_ELA[#Headers],0))=0,"",INDEX(_xlfn.VSTACK(YES_Writing_ELA[#Data],YES_Writing_FLA[#Data]),MATCH($A143,_xlfn.VSTACK(YES_Writing_ELA[Student Number],YES_Writing_FLA[Student Number]),0),MATCH(VLOOKUP(G$7,'Writing Logic'!$J$7:$K$11,2,FALSE)&amp;" - Per "&amp;VLOOKUP($C$4,'Writing Logic'!$G$8:$H$14,2,FALSE),YES_Writing_ELA[#Headers],0)))="INS",'Writing Logic'!$B$7,IF(INDEX(_xlfn.VSTACK(YES_Writing_ELA[#Data],YES_Writing_FLA[#Data]),MATCH($A143,_xlfn.VSTACK(YES_Writing_ELA[Student Number],YES_Writing_FLA[Student Number]),0),MATCH(VLOOKUP(G$7,'Writing Logic'!$J$7:$K$11,2,FALSE)&amp;" - Per "&amp;VLOOKUP($C$4,'Writing Logic'!$G$8:$H$14,2,FALSE),YES_Writing_ELA[#Headers],0))=0,"",INDEX(_xlfn.VSTACK(YES_Writing_ELA[#Data],YES_Writing_FLA[#Data]),MATCH($A143,_xlfn.VSTACK(YES_Writing_ELA[Student Number],YES_Writing_FLA[Student Number]),0),MATCH(VLOOKUP(G$7,'Writing Logic'!$J$7:$K$11,2,FALSE)&amp;" - Per "&amp;VLOOKUP($C$4,'Writing Logic'!$G$8:$H$14,2,FALSE),YES_Writing_ELA[#Headers],0)))),"")</f>
        <v/>
      </c>
      <c r="H143" s="138" t="str">
        <f>IFERROR(IF(IF(INDEX(_xlfn.VSTACK(YES_Writing_ELA[#Data],YES_Writing_FLA[#Data]),MATCH($A143,_xlfn.VSTACK(YES_Writing_ELA[Student Number],YES_Writing_FLA[Student Number]),0),MATCH(VLOOKUP(H$7,'Writing Logic'!$J$7:$K$11,2,FALSE)&amp;" - Per "&amp;VLOOKUP($C$4,'Writing Logic'!$G$8:$H$14,2,FALSE),YES_Writing_ELA[#Headers],0))=0,"",INDEX(_xlfn.VSTACK(YES_Writing_ELA[#Data],YES_Writing_FLA[#Data]),MATCH($A143,_xlfn.VSTACK(YES_Writing_ELA[Student Number],YES_Writing_FLA[Student Number]),0),MATCH(VLOOKUP(H$7,'Writing Logic'!$J$7:$K$11,2,FALSE)&amp;" - Per "&amp;VLOOKUP($C$4,'Writing Logic'!$G$8:$H$14,2,FALSE),YES_Writing_ELA[#Headers],0)))="INS",'Writing Logic'!$B$7,IF(INDEX(_xlfn.VSTACK(YES_Writing_ELA[#Data],YES_Writing_FLA[#Data]),MATCH($A143,_xlfn.VSTACK(YES_Writing_ELA[Student Number],YES_Writing_FLA[Student Number]),0),MATCH(VLOOKUP(H$7,'Writing Logic'!$J$7:$K$11,2,FALSE)&amp;" - Per "&amp;VLOOKUP($C$4,'Writing Logic'!$G$8:$H$14,2,FALSE),YES_Writing_ELA[#Headers],0))=0,"",INDEX(_xlfn.VSTACK(YES_Writing_ELA[#Data],YES_Writing_FLA[#Data]),MATCH($A143,_xlfn.VSTACK(YES_Writing_ELA[Student Number],YES_Writing_FLA[Student Number]),0),MATCH(VLOOKUP(H$7,'Writing Logic'!$J$7:$K$11,2,FALSE)&amp;" - Per "&amp;VLOOKUP($C$4,'Writing Logic'!$G$8:$H$14,2,FALSE),YES_Writing_ELA[#Headers],0)))),"")</f>
        <v/>
      </c>
    </row>
    <row r="144" spans="1:8" ht="14.25" customHeight="1" x14ac:dyDescent="0.25">
      <c r="A144" s="137"/>
      <c r="B144" s="137" t="str">
        <f>IFERROR(INDEX(_xlfn.VSTACK(YES_Writing_ELA[#Data], YES_Writing_FLA[#Data]),MATCH($A144,_xlfn.VSTACK(YES_Writing_ELA[Student Number], YES_Writing_FLA[Student Number]),0),MATCH(B$7,YES_Writing_ELA[#Headers],0)),"")</f>
        <v/>
      </c>
      <c r="C144" s="137" t="str">
        <f>IFERROR(INDEX(_xlfn.VSTACK(YES_Writing_ELA[#Data], YES_Writing_FLA[#Data]),MATCH($A144,_xlfn.VSTACK(YES_Writing_ELA[Student Number], YES_Writing_FLA[Student Number]),0),MATCH(C$7,YES_Writing_ELA[#Headers],0)),"")</f>
        <v/>
      </c>
      <c r="D144" s="138" t="str">
        <f>IFERROR(IF(IF(INDEX(_xlfn.VSTACK(YES_Writing_ELA[#Data],YES_Writing_FLA[#Data]),MATCH($A144,_xlfn.VSTACK(YES_Writing_ELA[Student Number],YES_Writing_FLA[Student Number]),0),MATCH(VLOOKUP(D$7,'Writing Logic'!$J$7:$K$11,2,FALSE)&amp;" - Per "&amp;VLOOKUP($C$4,'Writing Logic'!$G$8:$H$14,2,FALSE),YES_Writing_ELA[#Headers],0))=0,"",INDEX(_xlfn.VSTACK(YES_Writing_ELA[#Data],YES_Writing_FLA[#Data]),MATCH($A144,_xlfn.VSTACK(YES_Writing_ELA[Student Number],YES_Writing_FLA[Student Number]),0),MATCH(VLOOKUP(D$7,'Writing Logic'!$J$7:$K$11,2,FALSE)&amp;" - Per "&amp;VLOOKUP($C$4,'Writing Logic'!$G$8:$H$14,2,FALSE),YES_Writing_ELA[#Headers],0)))="INS",'Writing Logic'!$B$7,IF(INDEX(_xlfn.VSTACK(YES_Writing_ELA[#Data],YES_Writing_FLA[#Data]),MATCH($A144,_xlfn.VSTACK(YES_Writing_ELA[Student Number],YES_Writing_FLA[Student Number]),0),MATCH(VLOOKUP(D$7,'Writing Logic'!$J$7:$K$11,2,FALSE)&amp;" - Per "&amp;VLOOKUP($C$4,'Writing Logic'!$G$8:$H$14,2,FALSE),YES_Writing_ELA[#Headers],0))=0,"",INDEX(_xlfn.VSTACK(YES_Writing_ELA[#Data],YES_Writing_FLA[#Data]),MATCH($A144,_xlfn.VSTACK(YES_Writing_ELA[Student Number],YES_Writing_FLA[Student Number]),0),MATCH(VLOOKUP(D$7,'Writing Logic'!$J$7:$K$11,2,FALSE)&amp;" - Per "&amp;VLOOKUP($C$4,'Writing Logic'!$G$8:$H$14,2,FALSE),YES_Writing_ELA[#Headers],0)))),"")</f>
        <v/>
      </c>
      <c r="E144" s="138" t="str">
        <f>IFERROR(IF(IF(INDEX(_xlfn.VSTACK(YES_Writing_ELA[#Data],YES_Writing_FLA[#Data]),MATCH($A144,_xlfn.VSTACK(YES_Writing_ELA[Student Number],YES_Writing_FLA[Student Number]),0),MATCH(VLOOKUP(E$7,'Writing Logic'!$J$7:$K$11,2,FALSE)&amp;" - Per "&amp;VLOOKUP($C$4,'Writing Logic'!$G$8:$H$14,2,FALSE),YES_Writing_ELA[#Headers],0))=0,"",INDEX(_xlfn.VSTACK(YES_Writing_ELA[#Data],YES_Writing_FLA[#Data]),MATCH($A144,_xlfn.VSTACK(YES_Writing_ELA[Student Number],YES_Writing_FLA[Student Number]),0),MATCH(VLOOKUP(E$7,'Writing Logic'!$J$7:$K$11,2,FALSE)&amp;" - Per "&amp;VLOOKUP($C$4,'Writing Logic'!$G$8:$H$14,2,FALSE),YES_Writing_ELA[#Headers],0)))="INS",'Writing Logic'!$B$7,IF(INDEX(_xlfn.VSTACK(YES_Writing_ELA[#Data],YES_Writing_FLA[#Data]),MATCH($A144,_xlfn.VSTACK(YES_Writing_ELA[Student Number],YES_Writing_FLA[Student Number]),0),MATCH(VLOOKUP(E$7,'Writing Logic'!$J$7:$K$11,2,FALSE)&amp;" - Per "&amp;VLOOKUP($C$4,'Writing Logic'!$G$8:$H$14,2,FALSE),YES_Writing_ELA[#Headers],0))=0,"",INDEX(_xlfn.VSTACK(YES_Writing_ELA[#Data],YES_Writing_FLA[#Data]),MATCH($A144,_xlfn.VSTACK(YES_Writing_ELA[Student Number],YES_Writing_FLA[Student Number]),0),MATCH(VLOOKUP(E$7,'Writing Logic'!$J$7:$K$11,2,FALSE)&amp;" - Per "&amp;VLOOKUP($C$4,'Writing Logic'!$G$8:$H$14,2,FALSE),YES_Writing_ELA[#Headers],0)))),"")</f>
        <v/>
      </c>
      <c r="F144" s="138" t="str">
        <f>IFERROR(IF(IF(INDEX(_xlfn.VSTACK(YES_Writing_ELA[#Data],YES_Writing_FLA[#Data]),MATCH($A144,_xlfn.VSTACK(YES_Writing_ELA[Student Number],YES_Writing_FLA[Student Number]),0),MATCH(VLOOKUP(F$7,'Writing Logic'!$J$7:$K$11,2,FALSE)&amp;" - Per "&amp;VLOOKUP($C$4,'Writing Logic'!$G$8:$H$14,2,FALSE),YES_Writing_ELA[#Headers],0))=0,"",INDEX(_xlfn.VSTACK(YES_Writing_ELA[#Data],YES_Writing_FLA[#Data]),MATCH($A144,_xlfn.VSTACK(YES_Writing_ELA[Student Number],YES_Writing_FLA[Student Number]),0),MATCH(VLOOKUP(F$7,'Writing Logic'!$J$7:$K$11,2,FALSE)&amp;" - Per "&amp;VLOOKUP($C$4,'Writing Logic'!$G$8:$H$14,2,FALSE),YES_Writing_ELA[#Headers],0)))="INS",'Writing Logic'!$B$7,IF(INDEX(_xlfn.VSTACK(YES_Writing_ELA[#Data],YES_Writing_FLA[#Data]),MATCH($A144,_xlfn.VSTACK(YES_Writing_ELA[Student Number],YES_Writing_FLA[Student Number]),0),MATCH(VLOOKUP(F$7,'Writing Logic'!$J$7:$K$11,2,FALSE)&amp;" - Per "&amp;VLOOKUP($C$4,'Writing Logic'!$G$8:$H$14,2,FALSE),YES_Writing_ELA[#Headers],0))=0,"",INDEX(_xlfn.VSTACK(YES_Writing_ELA[#Data],YES_Writing_FLA[#Data]),MATCH($A144,_xlfn.VSTACK(YES_Writing_ELA[Student Number],YES_Writing_FLA[Student Number]),0),MATCH(VLOOKUP(F$7,'Writing Logic'!$J$7:$K$11,2,FALSE)&amp;" - Per "&amp;VLOOKUP($C$4,'Writing Logic'!$G$8:$H$14,2,FALSE),YES_Writing_ELA[#Headers],0)))),"")</f>
        <v/>
      </c>
      <c r="G144" s="138" t="str">
        <f>IFERROR(IF(IF(INDEX(_xlfn.VSTACK(YES_Writing_ELA[#Data],YES_Writing_FLA[#Data]),MATCH($A144,_xlfn.VSTACK(YES_Writing_ELA[Student Number],YES_Writing_FLA[Student Number]),0),MATCH(VLOOKUP(G$7,'Writing Logic'!$J$7:$K$11,2,FALSE)&amp;" - Per "&amp;VLOOKUP($C$4,'Writing Logic'!$G$8:$H$14,2,FALSE),YES_Writing_ELA[#Headers],0))=0,"",INDEX(_xlfn.VSTACK(YES_Writing_ELA[#Data],YES_Writing_FLA[#Data]),MATCH($A144,_xlfn.VSTACK(YES_Writing_ELA[Student Number],YES_Writing_FLA[Student Number]),0),MATCH(VLOOKUP(G$7,'Writing Logic'!$J$7:$K$11,2,FALSE)&amp;" - Per "&amp;VLOOKUP($C$4,'Writing Logic'!$G$8:$H$14,2,FALSE),YES_Writing_ELA[#Headers],0)))="INS",'Writing Logic'!$B$7,IF(INDEX(_xlfn.VSTACK(YES_Writing_ELA[#Data],YES_Writing_FLA[#Data]),MATCH($A144,_xlfn.VSTACK(YES_Writing_ELA[Student Number],YES_Writing_FLA[Student Number]),0),MATCH(VLOOKUP(G$7,'Writing Logic'!$J$7:$K$11,2,FALSE)&amp;" - Per "&amp;VLOOKUP($C$4,'Writing Logic'!$G$8:$H$14,2,FALSE),YES_Writing_ELA[#Headers],0))=0,"",INDEX(_xlfn.VSTACK(YES_Writing_ELA[#Data],YES_Writing_FLA[#Data]),MATCH($A144,_xlfn.VSTACK(YES_Writing_ELA[Student Number],YES_Writing_FLA[Student Number]),0),MATCH(VLOOKUP(G$7,'Writing Logic'!$J$7:$K$11,2,FALSE)&amp;" - Per "&amp;VLOOKUP($C$4,'Writing Logic'!$G$8:$H$14,2,FALSE),YES_Writing_ELA[#Headers],0)))),"")</f>
        <v/>
      </c>
      <c r="H144" s="138" t="str">
        <f>IFERROR(IF(IF(INDEX(_xlfn.VSTACK(YES_Writing_ELA[#Data],YES_Writing_FLA[#Data]),MATCH($A144,_xlfn.VSTACK(YES_Writing_ELA[Student Number],YES_Writing_FLA[Student Number]),0),MATCH(VLOOKUP(H$7,'Writing Logic'!$J$7:$K$11,2,FALSE)&amp;" - Per "&amp;VLOOKUP($C$4,'Writing Logic'!$G$8:$H$14,2,FALSE),YES_Writing_ELA[#Headers],0))=0,"",INDEX(_xlfn.VSTACK(YES_Writing_ELA[#Data],YES_Writing_FLA[#Data]),MATCH($A144,_xlfn.VSTACK(YES_Writing_ELA[Student Number],YES_Writing_FLA[Student Number]),0),MATCH(VLOOKUP(H$7,'Writing Logic'!$J$7:$K$11,2,FALSE)&amp;" - Per "&amp;VLOOKUP($C$4,'Writing Logic'!$G$8:$H$14,2,FALSE),YES_Writing_ELA[#Headers],0)))="INS",'Writing Logic'!$B$7,IF(INDEX(_xlfn.VSTACK(YES_Writing_ELA[#Data],YES_Writing_FLA[#Data]),MATCH($A144,_xlfn.VSTACK(YES_Writing_ELA[Student Number],YES_Writing_FLA[Student Number]),0),MATCH(VLOOKUP(H$7,'Writing Logic'!$J$7:$K$11,2,FALSE)&amp;" - Per "&amp;VLOOKUP($C$4,'Writing Logic'!$G$8:$H$14,2,FALSE),YES_Writing_ELA[#Headers],0))=0,"",INDEX(_xlfn.VSTACK(YES_Writing_ELA[#Data],YES_Writing_FLA[#Data]),MATCH($A144,_xlfn.VSTACK(YES_Writing_ELA[Student Number],YES_Writing_FLA[Student Number]),0),MATCH(VLOOKUP(H$7,'Writing Logic'!$J$7:$K$11,2,FALSE)&amp;" - Per "&amp;VLOOKUP($C$4,'Writing Logic'!$G$8:$H$14,2,FALSE),YES_Writing_ELA[#Headers],0)))),"")</f>
        <v/>
      </c>
    </row>
    <row r="145" spans="1:8" ht="14.25" customHeight="1" x14ac:dyDescent="0.25">
      <c r="A145" s="137"/>
      <c r="B145" s="137" t="str">
        <f>IFERROR(INDEX(_xlfn.VSTACK(YES_Writing_ELA[#Data], YES_Writing_FLA[#Data]),MATCH($A145,_xlfn.VSTACK(YES_Writing_ELA[Student Number], YES_Writing_FLA[Student Number]),0),MATCH(B$7,YES_Writing_ELA[#Headers],0)),"")</f>
        <v/>
      </c>
      <c r="C145" s="137" t="str">
        <f>IFERROR(INDEX(_xlfn.VSTACK(YES_Writing_ELA[#Data], YES_Writing_FLA[#Data]),MATCH($A145,_xlfn.VSTACK(YES_Writing_ELA[Student Number], YES_Writing_FLA[Student Number]),0),MATCH(C$7,YES_Writing_ELA[#Headers],0)),"")</f>
        <v/>
      </c>
      <c r="D145" s="138" t="str">
        <f>IFERROR(IF(IF(INDEX(_xlfn.VSTACK(YES_Writing_ELA[#Data],YES_Writing_FLA[#Data]),MATCH($A145,_xlfn.VSTACK(YES_Writing_ELA[Student Number],YES_Writing_FLA[Student Number]),0),MATCH(VLOOKUP(D$7,'Writing Logic'!$J$7:$K$11,2,FALSE)&amp;" - Per "&amp;VLOOKUP($C$4,'Writing Logic'!$G$8:$H$14,2,FALSE),YES_Writing_ELA[#Headers],0))=0,"",INDEX(_xlfn.VSTACK(YES_Writing_ELA[#Data],YES_Writing_FLA[#Data]),MATCH($A145,_xlfn.VSTACK(YES_Writing_ELA[Student Number],YES_Writing_FLA[Student Number]),0),MATCH(VLOOKUP(D$7,'Writing Logic'!$J$7:$K$11,2,FALSE)&amp;" - Per "&amp;VLOOKUP($C$4,'Writing Logic'!$G$8:$H$14,2,FALSE),YES_Writing_ELA[#Headers],0)))="INS",'Writing Logic'!$B$7,IF(INDEX(_xlfn.VSTACK(YES_Writing_ELA[#Data],YES_Writing_FLA[#Data]),MATCH($A145,_xlfn.VSTACK(YES_Writing_ELA[Student Number],YES_Writing_FLA[Student Number]),0),MATCH(VLOOKUP(D$7,'Writing Logic'!$J$7:$K$11,2,FALSE)&amp;" - Per "&amp;VLOOKUP($C$4,'Writing Logic'!$G$8:$H$14,2,FALSE),YES_Writing_ELA[#Headers],0))=0,"",INDEX(_xlfn.VSTACK(YES_Writing_ELA[#Data],YES_Writing_FLA[#Data]),MATCH($A145,_xlfn.VSTACK(YES_Writing_ELA[Student Number],YES_Writing_FLA[Student Number]),0),MATCH(VLOOKUP(D$7,'Writing Logic'!$J$7:$K$11,2,FALSE)&amp;" - Per "&amp;VLOOKUP($C$4,'Writing Logic'!$G$8:$H$14,2,FALSE),YES_Writing_ELA[#Headers],0)))),"")</f>
        <v/>
      </c>
      <c r="E145" s="138" t="str">
        <f>IFERROR(IF(IF(INDEX(_xlfn.VSTACK(YES_Writing_ELA[#Data],YES_Writing_FLA[#Data]),MATCH($A145,_xlfn.VSTACK(YES_Writing_ELA[Student Number],YES_Writing_FLA[Student Number]),0),MATCH(VLOOKUP(E$7,'Writing Logic'!$J$7:$K$11,2,FALSE)&amp;" - Per "&amp;VLOOKUP($C$4,'Writing Logic'!$G$8:$H$14,2,FALSE),YES_Writing_ELA[#Headers],0))=0,"",INDEX(_xlfn.VSTACK(YES_Writing_ELA[#Data],YES_Writing_FLA[#Data]),MATCH($A145,_xlfn.VSTACK(YES_Writing_ELA[Student Number],YES_Writing_FLA[Student Number]),0),MATCH(VLOOKUP(E$7,'Writing Logic'!$J$7:$K$11,2,FALSE)&amp;" - Per "&amp;VLOOKUP($C$4,'Writing Logic'!$G$8:$H$14,2,FALSE),YES_Writing_ELA[#Headers],0)))="INS",'Writing Logic'!$B$7,IF(INDEX(_xlfn.VSTACK(YES_Writing_ELA[#Data],YES_Writing_FLA[#Data]),MATCH($A145,_xlfn.VSTACK(YES_Writing_ELA[Student Number],YES_Writing_FLA[Student Number]),0),MATCH(VLOOKUP(E$7,'Writing Logic'!$J$7:$K$11,2,FALSE)&amp;" - Per "&amp;VLOOKUP($C$4,'Writing Logic'!$G$8:$H$14,2,FALSE),YES_Writing_ELA[#Headers],0))=0,"",INDEX(_xlfn.VSTACK(YES_Writing_ELA[#Data],YES_Writing_FLA[#Data]),MATCH($A145,_xlfn.VSTACK(YES_Writing_ELA[Student Number],YES_Writing_FLA[Student Number]),0),MATCH(VLOOKUP(E$7,'Writing Logic'!$J$7:$K$11,2,FALSE)&amp;" - Per "&amp;VLOOKUP($C$4,'Writing Logic'!$G$8:$H$14,2,FALSE),YES_Writing_ELA[#Headers],0)))),"")</f>
        <v/>
      </c>
      <c r="F145" s="138" t="str">
        <f>IFERROR(IF(IF(INDEX(_xlfn.VSTACK(YES_Writing_ELA[#Data],YES_Writing_FLA[#Data]),MATCH($A145,_xlfn.VSTACK(YES_Writing_ELA[Student Number],YES_Writing_FLA[Student Number]),0),MATCH(VLOOKUP(F$7,'Writing Logic'!$J$7:$K$11,2,FALSE)&amp;" - Per "&amp;VLOOKUP($C$4,'Writing Logic'!$G$8:$H$14,2,FALSE),YES_Writing_ELA[#Headers],0))=0,"",INDEX(_xlfn.VSTACK(YES_Writing_ELA[#Data],YES_Writing_FLA[#Data]),MATCH($A145,_xlfn.VSTACK(YES_Writing_ELA[Student Number],YES_Writing_FLA[Student Number]),0),MATCH(VLOOKUP(F$7,'Writing Logic'!$J$7:$K$11,2,FALSE)&amp;" - Per "&amp;VLOOKUP($C$4,'Writing Logic'!$G$8:$H$14,2,FALSE),YES_Writing_ELA[#Headers],0)))="INS",'Writing Logic'!$B$7,IF(INDEX(_xlfn.VSTACK(YES_Writing_ELA[#Data],YES_Writing_FLA[#Data]),MATCH($A145,_xlfn.VSTACK(YES_Writing_ELA[Student Number],YES_Writing_FLA[Student Number]),0),MATCH(VLOOKUP(F$7,'Writing Logic'!$J$7:$K$11,2,FALSE)&amp;" - Per "&amp;VLOOKUP($C$4,'Writing Logic'!$G$8:$H$14,2,FALSE),YES_Writing_ELA[#Headers],0))=0,"",INDEX(_xlfn.VSTACK(YES_Writing_ELA[#Data],YES_Writing_FLA[#Data]),MATCH($A145,_xlfn.VSTACK(YES_Writing_ELA[Student Number],YES_Writing_FLA[Student Number]),0),MATCH(VLOOKUP(F$7,'Writing Logic'!$J$7:$K$11,2,FALSE)&amp;" - Per "&amp;VLOOKUP($C$4,'Writing Logic'!$G$8:$H$14,2,FALSE),YES_Writing_ELA[#Headers],0)))),"")</f>
        <v/>
      </c>
      <c r="G145" s="138" t="str">
        <f>IFERROR(IF(IF(INDEX(_xlfn.VSTACK(YES_Writing_ELA[#Data],YES_Writing_FLA[#Data]),MATCH($A145,_xlfn.VSTACK(YES_Writing_ELA[Student Number],YES_Writing_FLA[Student Number]),0),MATCH(VLOOKUP(G$7,'Writing Logic'!$J$7:$K$11,2,FALSE)&amp;" - Per "&amp;VLOOKUP($C$4,'Writing Logic'!$G$8:$H$14,2,FALSE),YES_Writing_ELA[#Headers],0))=0,"",INDEX(_xlfn.VSTACK(YES_Writing_ELA[#Data],YES_Writing_FLA[#Data]),MATCH($A145,_xlfn.VSTACK(YES_Writing_ELA[Student Number],YES_Writing_FLA[Student Number]),0),MATCH(VLOOKUP(G$7,'Writing Logic'!$J$7:$K$11,2,FALSE)&amp;" - Per "&amp;VLOOKUP($C$4,'Writing Logic'!$G$8:$H$14,2,FALSE),YES_Writing_ELA[#Headers],0)))="INS",'Writing Logic'!$B$7,IF(INDEX(_xlfn.VSTACK(YES_Writing_ELA[#Data],YES_Writing_FLA[#Data]),MATCH($A145,_xlfn.VSTACK(YES_Writing_ELA[Student Number],YES_Writing_FLA[Student Number]),0),MATCH(VLOOKUP(G$7,'Writing Logic'!$J$7:$K$11,2,FALSE)&amp;" - Per "&amp;VLOOKUP($C$4,'Writing Logic'!$G$8:$H$14,2,FALSE),YES_Writing_ELA[#Headers],0))=0,"",INDEX(_xlfn.VSTACK(YES_Writing_ELA[#Data],YES_Writing_FLA[#Data]),MATCH($A145,_xlfn.VSTACK(YES_Writing_ELA[Student Number],YES_Writing_FLA[Student Number]),0),MATCH(VLOOKUP(G$7,'Writing Logic'!$J$7:$K$11,2,FALSE)&amp;" - Per "&amp;VLOOKUP($C$4,'Writing Logic'!$G$8:$H$14,2,FALSE),YES_Writing_ELA[#Headers],0)))),"")</f>
        <v/>
      </c>
      <c r="H145" s="138" t="str">
        <f>IFERROR(IF(IF(INDEX(_xlfn.VSTACK(YES_Writing_ELA[#Data],YES_Writing_FLA[#Data]),MATCH($A145,_xlfn.VSTACK(YES_Writing_ELA[Student Number],YES_Writing_FLA[Student Number]),0),MATCH(VLOOKUP(H$7,'Writing Logic'!$J$7:$K$11,2,FALSE)&amp;" - Per "&amp;VLOOKUP($C$4,'Writing Logic'!$G$8:$H$14,2,FALSE),YES_Writing_ELA[#Headers],0))=0,"",INDEX(_xlfn.VSTACK(YES_Writing_ELA[#Data],YES_Writing_FLA[#Data]),MATCH($A145,_xlfn.VSTACK(YES_Writing_ELA[Student Number],YES_Writing_FLA[Student Number]),0),MATCH(VLOOKUP(H$7,'Writing Logic'!$J$7:$K$11,2,FALSE)&amp;" - Per "&amp;VLOOKUP($C$4,'Writing Logic'!$G$8:$H$14,2,FALSE),YES_Writing_ELA[#Headers],0)))="INS",'Writing Logic'!$B$7,IF(INDEX(_xlfn.VSTACK(YES_Writing_ELA[#Data],YES_Writing_FLA[#Data]),MATCH($A145,_xlfn.VSTACK(YES_Writing_ELA[Student Number],YES_Writing_FLA[Student Number]),0),MATCH(VLOOKUP(H$7,'Writing Logic'!$J$7:$K$11,2,FALSE)&amp;" - Per "&amp;VLOOKUP($C$4,'Writing Logic'!$G$8:$H$14,2,FALSE),YES_Writing_ELA[#Headers],0))=0,"",INDEX(_xlfn.VSTACK(YES_Writing_ELA[#Data],YES_Writing_FLA[#Data]),MATCH($A145,_xlfn.VSTACK(YES_Writing_ELA[Student Number],YES_Writing_FLA[Student Number]),0),MATCH(VLOOKUP(H$7,'Writing Logic'!$J$7:$K$11,2,FALSE)&amp;" - Per "&amp;VLOOKUP($C$4,'Writing Logic'!$G$8:$H$14,2,FALSE),YES_Writing_ELA[#Headers],0)))),"")</f>
        <v/>
      </c>
    </row>
    <row r="146" spans="1:8" ht="14.25" customHeight="1" x14ac:dyDescent="0.25">
      <c r="A146" s="137"/>
      <c r="B146" s="137" t="str">
        <f>IFERROR(INDEX(_xlfn.VSTACK(YES_Writing_ELA[#Data], YES_Writing_FLA[#Data]),MATCH($A146,_xlfn.VSTACK(YES_Writing_ELA[Student Number], YES_Writing_FLA[Student Number]),0),MATCH(B$7,YES_Writing_ELA[#Headers],0)),"")</f>
        <v/>
      </c>
      <c r="C146" s="137" t="str">
        <f>IFERROR(INDEX(_xlfn.VSTACK(YES_Writing_ELA[#Data], YES_Writing_FLA[#Data]),MATCH($A146,_xlfn.VSTACK(YES_Writing_ELA[Student Number], YES_Writing_FLA[Student Number]),0),MATCH(C$7,YES_Writing_ELA[#Headers],0)),"")</f>
        <v/>
      </c>
      <c r="D146" s="138" t="str">
        <f>IFERROR(IF(IF(INDEX(_xlfn.VSTACK(YES_Writing_ELA[#Data],YES_Writing_FLA[#Data]),MATCH($A146,_xlfn.VSTACK(YES_Writing_ELA[Student Number],YES_Writing_FLA[Student Number]),0),MATCH(VLOOKUP(D$7,'Writing Logic'!$J$7:$K$11,2,FALSE)&amp;" - Per "&amp;VLOOKUP($C$4,'Writing Logic'!$G$8:$H$14,2,FALSE),YES_Writing_ELA[#Headers],0))=0,"",INDEX(_xlfn.VSTACK(YES_Writing_ELA[#Data],YES_Writing_FLA[#Data]),MATCH($A146,_xlfn.VSTACK(YES_Writing_ELA[Student Number],YES_Writing_FLA[Student Number]),0),MATCH(VLOOKUP(D$7,'Writing Logic'!$J$7:$K$11,2,FALSE)&amp;" - Per "&amp;VLOOKUP($C$4,'Writing Logic'!$G$8:$H$14,2,FALSE),YES_Writing_ELA[#Headers],0)))="INS",'Writing Logic'!$B$7,IF(INDEX(_xlfn.VSTACK(YES_Writing_ELA[#Data],YES_Writing_FLA[#Data]),MATCH($A146,_xlfn.VSTACK(YES_Writing_ELA[Student Number],YES_Writing_FLA[Student Number]),0),MATCH(VLOOKUP(D$7,'Writing Logic'!$J$7:$K$11,2,FALSE)&amp;" - Per "&amp;VLOOKUP($C$4,'Writing Logic'!$G$8:$H$14,2,FALSE),YES_Writing_ELA[#Headers],0))=0,"",INDEX(_xlfn.VSTACK(YES_Writing_ELA[#Data],YES_Writing_FLA[#Data]),MATCH($A146,_xlfn.VSTACK(YES_Writing_ELA[Student Number],YES_Writing_FLA[Student Number]),0),MATCH(VLOOKUP(D$7,'Writing Logic'!$J$7:$K$11,2,FALSE)&amp;" - Per "&amp;VLOOKUP($C$4,'Writing Logic'!$G$8:$H$14,2,FALSE),YES_Writing_ELA[#Headers],0)))),"")</f>
        <v/>
      </c>
      <c r="E146" s="138" t="str">
        <f>IFERROR(IF(IF(INDEX(_xlfn.VSTACK(YES_Writing_ELA[#Data],YES_Writing_FLA[#Data]),MATCH($A146,_xlfn.VSTACK(YES_Writing_ELA[Student Number],YES_Writing_FLA[Student Number]),0),MATCH(VLOOKUP(E$7,'Writing Logic'!$J$7:$K$11,2,FALSE)&amp;" - Per "&amp;VLOOKUP($C$4,'Writing Logic'!$G$8:$H$14,2,FALSE),YES_Writing_ELA[#Headers],0))=0,"",INDEX(_xlfn.VSTACK(YES_Writing_ELA[#Data],YES_Writing_FLA[#Data]),MATCH($A146,_xlfn.VSTACK(YES_Writing_ELA[Student Number],YES_Writing_FLA[Student Number]),0),MATCH(VLOOKUP(E$7,'Writing Logic'!$J$7:$K$11,2,FALSE)&amp;" - Per "&amp;VLOOKUP($C$4,'Writing Logic'!$G$8:$H$14,2,FALSE),YES_Writing_ELA[#Headers],0)))="INS",'Writing Logic'!$B$7,IF(INDEX(_xlfn.VSTACK(YES_Writing_ELA[#Data],YES_Writing_FLA[#Data]),MATCH($A146,_xlfn.VSTACK(YES_Writing_ELA[Student Number],YES_Writing_FLA[Student Number]),0),MATCH(VLOOKUP(E$7,'Writing Logic'!$J$7:$K$11,2,FALSE)&amp;" - Per "&amp;VLOOKUP($C$4,'Writing Logic'!$G$8:$H$14,2,FALSE),YES_Writing_ELA[#Headers],0))=0,"",INDEX(_xlfn.VSTACK(YES_Writing_ELA[#Data],YES_Writing_FLA[#Data]),MATCH($A146,_xlfn.VSTACK(YES_Writing_ELA[Student Number],YES_Writing_FLA[Student Number]),0),MATCH(VLOOKUP(E$7,'Writing Logic'!$J$7:$K$11,2,FALSE)&amp;" - Per "&amp;VLOOKUP($C$4,'Writing Logic'!$G$8:$H$14,2,FALSE),YES_Writing_ELA[#Headers],0)))),"")</f>
        <v/>
      </c>
      <c r="F146" s="138" t="str">
        <f>IFERROR(IF(IF(INDEX(_xlfn.VSTACK(YES_Writing_ELA[#Data],YES_Writing_FLA[#Data]),MATCH($A146,_xlfn.VSTACK(YES_Writing_ELA[Student Number],YES_Writing_FLA[Student Number]),0),MATCH(VLOOKUP(F$7,'Writing Logic'!$J$7:$K$11,2,FALSE)&amp;" - Per "&amp;VLOOKUP($C$4,'Writing Logic'!$G$8:$H$14,2,FALSE),YES_Writing_ELA[#Headers],0))=0,"",INDEX(_xlfn.VSTACK(YES_Writing_ELA[#Data],YES_Writing_FLA[#Data]),MATCH($A146,_xlfn.VSTACK(YES_Writing_ELA[Student Number],YES_Writing_FLA[Student Number]),0),MATCH(VLOOKUP(F$7,'Writing Logic'!$J$7:$K$11,2,FALSE)&amp;" - Per "&amp;VLOOKUP($C$4,'Writing Logic'!$G$8:$H$14,2,FALSE),YES_Writing_ELA[#Headers],0)))="INS",'Writing Logic'!$B$7,IF(INDEX(_xlfn.VSTACK(YES_Writing_ELA[#Data],YES_Writing_FLA[#Data]),MATCH($A146,_xlfn.VSTACK(YES_Writing_ELA[Student Number],YES_Writing_FLA[Student Number]),0),MATCH(VLOOKUP(F$7,'Writing Logic'!$J$7:$K$11,2,FALSE)&amp;" - Per "&amp;VLOOKUP($C$4,'Writing Logic'!$G$8:$H$14,2,FALSE),YES_Writing_ELA[#Headers],0))=0,"",INDEX(_xlfn.VSTACK(YES_Writing_ELA[#Data],YES_Writing_FLA[#Data]),MATCH($A146,_xlfn.VSTACK(YES_Writing_ELA[Student Number],YES_Writing_FLA[Student Number]),0),MATCH(VLOOKUP(F$7,'Writing Logic'!$J$7:$K$11,2,FALSE)&amp;" - Per "&amp;VLOOKUP($C$4,'Writing Logic'!$G$8:$H$14,2,FALSE),YES_Writing_ELA[#Headers],0)))),"")</f>
        <v/>
      </c>
      <c r="G146" s="138" t="str">
        <f>IFERROR(IF(IF(INDEX(_xlfn.VSTACK(YES_Writing_ELA[#Data],YES_Writing_FLA[#Data]),MATCH($A146,_xlfn.VSTACK(YES_Writing_ELA[Student Number],YES_Writing_FLA[Student Number]),0),MATCH(VLOOKUP(G$7,'Writing Logic'!$J$7:$K$11,2,FALSE)&amp;" - Per "&amp;VLOOKUP($C$4,'Writing Logic'!$G$8:$H$14,2,FALSE),YES_Writing_ELA[#Headers],0))=0,"",INDEX(_xlfn.VSTACK(YES_Writing_ELA[#Data],YES_Writing_FLA[#Data]),MATCH($A146,_xlfn.VSTACK(YES_Writing_ELA[Student Number],YES_Writing_FLA[Student Number]),0),MATCH(VLOOKUP(G$7,'Writing Logic'!$J$7:$K$11,2,FALSE)&amp;" - Per "&amp;VLOOKUP($C$4,'Writing Logic'!$G$8:$H$14,2,FALSE),YES_Writing_ELA[#Headers],0)))="INS",'Writing Logic'!$B$7,IF(INDEX(_xlfn.VSTACK(YES_Writing_ELA[#Data],YES_Writing_FLA[#Data]),MATCH($A146,_xlfn.VSTACK(YES_Writing_ELA[Student Number],YES_Writing_FLA[Student Number]),0),MATCH(VLOOKUP(G$7,'Writing Logic'!$J$7:$K$11,2,FALSE)&amp;" - Per "&amp;VLOOKUP($C$4,'Writing Logic'!$G$8:$H$14,2,FALSE),YES_Writing_ELA[#Headers],0))=0,"",INDEX(_xlfn.VSTACK(YES_Writing_ELA[#Data],YES_Writing_FLA[#Data]),MATCH($A146,_xlfn.VSTACK(YES_Writing_ELA[Student Number],YES_Writing_FLA[Student Number]),0),MATCH(VLOOKUP(G$7,'Writing Logic'!$J$7:$K$11,2,FALSE)&amp;" - Per "&amp;VLOOKUP($C$4,'Writing Logic'!$G$8:$H$14,2,FALSE),YES_Writing_ELA[#Headers],0)))),"")</f>
        <v/>
      </c>
      <c r="H146" s="138" t="str">
        <f>IFERROR(IF(IF(INDEX(_xlfn.VSTACK(YES_Writing_ELA[#Data],YES_Writing_FLA[#Data]),MATCH($A146,_xlfn.VSTACK(YES_Writing_ELA[Student Number],YES_Writing_FLA[Student Number]),0),MATCH(VLOOKUP(H$7,'Writing Logic'!$J$7:$K$11,2,FALSE)&amp;" - Per "&amp;VLOOKUP($C$4,'Writing Logic'!$G$8:$H$14,2,FALSE),YES_Writing_ELA[#Headers],0))=0,"",INDEX(_xlfn.VSTACK(YES_Writing_ELA[#Data],YES_Writing_FLA[#Data]),MATCH($A146,_xlfn.VSTACK(YES_Writing_ELA[Student Number],YES_Writing_FLA[Student Number]),0),MATCH(VLOOKUP(H$7,'Writing Logic'!$J$7:$K$11,2,FALSE)&amp;" - Per "&amp;VLOOKUP($C$4,'Writing Logic'!$G$8:$H$14,2,FALSE),YES_Writing_ELA[#Headers],0)))="INS",'Writing Logic'!$B$7,IF(INDEX(_xlfn.VSTACK(YES_Writing_ELA[#Data],YES_Writing_FLA[#Data]),MATCH($A146,_xlfn.VSTACK(YES_Writing_ELA[Student Number],YES_Writing_FLA[Student Number]),0),MATCH(VLOOKUP(H$7,'Writing Logic'!$J$7:$K$11,2,FALSE)&amp;" - Per "&amp;VLOOKUP($C$4,'Writing Logic'!$G$8:$H$14,2,FALSE),YES_Writing_ELA[#Headers],0))=0,"",INDEX(_xlfn.VSTACK(YES_Writing_ELA[#Data],YES_Writing_FLA[#Data]),MATCH($A146,_xlfn.VSTACK(YES_Writing_ELA[Student Number],YES_Writing_FLA[Student Number]),0),MATCH(VLOOKUP(H$7,'Writing Logic'!$J$7:$K$11,2,FALSE)&amp;" - Per "&amp;VLOOKUP($C$4,'Writing Logic'!$G$8:$H$14,2,FALSE),YES_Writing_ELA[#Headers],0)))),"")</f>
        <v/>
      </c>
    </row>
    <row r="147" spans="1:8" ht="14.25" customHeight="1" x14ac:dyDescent="0.25">
      <c r="A147" s="137"/>
      <c r="B147" s="137" t="str">
        <f>IFERROR(INDEX(_xlfn.VSTACK(YES_Writing_ELA[#Data], YES_Writing_FLA[#Data]),MATCH($A147,_xlfn.VSTACK(YES_Writing_ELA[Student Number], YES_Writing_FLA[Student Number]),0),MATCH(B$7,YES_Writing_ELA[#Headers],0)),"")</f>
        <v/>
      </c>
      <c r="C147" s="137" t="str">
        <f>IFERROR(INDEX(_xlfn.VSTACK(YES_Writing_ELA[#Data], YES_Writing_FLA[#Data]),MATCH($A147,_xlfn.VSTACK(YES_Writing_ELA[Student Number], YES_Writing_FLA[Student Number]),0),MATCH(C$7,YES_Writing_ELA[#Headers],0)),"")</f>
        <v/>
      </c>
      <c r="D147" s="138" t="str">
        <f>IFERROR(IF(IF(INDEX(_xlfn.VSTACK(YES_Writing_ELA[#Data],YES_Writing_FLA[#Data]),MATCH($A147,_xlfn.VSTACK(YES_Writing_ELA[Student Number],YES_Writing_FLA[Student Number]),0),MATCH(VLOOKUP(D$7,'Writing Logic'!$J$7:$K$11,2,FALSE)&amp;" - Per "&amp;VLOOKUP($C$4,'Writing Logic'!$G$8:$H$14,2,FALSE),YES_Writing_ELA[#Headers],0))=0,"",INDEX(_xlfn.VSTACK(YES_Writing_ELA[#Data],YES_Writing_FLA[#Data]),MATCH($A147,_xlfn.VSTACK(YES_Writing_ELA[Student Number],YES_Writing_FLA[Student Number]),0),MATCH(VLOOKUP(D$7,'Writing Logic'!$J$7:$K$11,2,FALSE)&amp;" - Per "&amp;VLOOKUP($C$4,'Writing Logic'!$G$8:$H$14,2,FALSE),YES_Writing_ELA[#Headers],0)))="INS",'Writing Logic'!$B$7,IF(INDEX(_xlfn.VSTACK(YES_Writing_ELA[#Data],YES_Writing_FLA[#Data]),MATCH($A147,_xlfn.VSTACK(YES_Writing_ELA[Student Number],YES_Writing_FLA[Student Number]),0),MATCH(VLOOKUP(D$7,'Writing Logic'!$J$7:$K$11,2,FALSE)&amp;" - Per "&amp;VLOOKUP($C$4,'Writing Logic'!$G$8:$H$14,2,FALSE),YES_Writing_ELA[#Headers],0))=0,"",INDEX(_xlfn.VSTACK(YES_Writing_ELA[#Data],YES_Writing_FLA[#Data]),MATCH($A147,_xlfn.VSTACK(YES_Writing_ELA[Student Number],YES_Writing_FLA[Student Number]),0),MATCH(VLOOKUP(D$7,'Writing Logic'!$J$7:$K$11,2,FALSE)&amp;" - Per "&amp;VLOOKUP($C$4,'Writing Logic'!$G$8:$H$14,2,FALSE),YES_Writing_ELA[#Headers],0)))),"")</f>
        <v/>
      </c>
      <c r="E147" s="138" t="str">
        <f>IFERROR(IF(IF(INDEX(_xlfn.VSTACK(YES_Writing_ELA[#Data],YES_Writing_FLA[#Data]),MATCH($A147,_xlfn.VSTACK(YES_Writing_ELA[Student Number],YES_Writing_FLA[Student Number]),0),MATCH(VLOOKUP(E$7,'Writing Logic'!$J$7:$K$11,2,FALSE)&amp;" - Per "&amp;VLOOKUP($C$4,'Writing Logic'!$G$8:$H$14,2,FALSE),YES_Writing_ELA[#Headers],0))=0,"",INDEX(_xlfn.VSTACK(YES_Writing_ELA[#Data],YES_Writing_FLA[#Data]),MATCH($A147,_xlfn.VSTACK(YES_Writing_ELA[Student Number],YES_Writing_FLA[Student Number]),0),MATCH(VLOOKUP(E$7,'Writing Logic'!$J$7:$K$11,2,FALSE)&amp;" - Per "&amp;VLOOKUP($C$4,'Writing Logic'!$G$8:$H$14,2,FALSE),YES_Writing_ELA[#Headers],0)))="INS",'Writing Logic'!$B$7,IF(INDEX(_xlfn.VSTACK(YES_Writing_ELA[#Data],YES_Writing_FLA[#Data]),MATCH($A147,_xlfn.VSTACK(YES_Writing_ELA[Student Number],YES_Writing_FLA[Student Number]),0),MATCH(VLOOKUP(E$7,'Writing Logic'!$J$7:$K$11,2,FALSE)&amp;" - Per "&amp;VLOOKUP($C$4,'Writing Logic'!$G$8:$H$14,2,FALSE),YES_Writing_ELA[#Headers],0))=0,"",INDEX(_xlfn.VSTACK(YES_Writing_ELA[#Data],YES_Writing_FLA[#Data]),MATCH($A147,_xlfn.VSTACK(YES_Writing_ELA[Student Number],YES_Writing_FLA[Student Number]),0),MATCH(VLOOKUP(E$7,'Writing Logic'!$J$7:$K$11,2,FALSE)&amp;" - Per "&amp;VLOOKUP($C$4,'Writing Logic'!$G$8:$H$14,2,FALSE),YES_Writing_ELA[#Headers],0)))),"")</f>
        <v/>
      </c>
      <c r="F147" s="138" t="str">
        <f>IFERROR(IF(IF(INDEX(_xlfn.VSTACK(YES_Writing_ELA[#Data],YES_Writing_FLA[#Data]),MATCH($A147,_xlfn.VSTACK(YES_Writing_ELA[Student Number],YES_Writing_FLA[Student Number]),0),MATCH(VLOOKUP(F$7,'Writing Logic'!$J$7:$K$11,2,FALSE)&amp;" - Per "&amp;VLOOKUP($C$4,'Writing Logic'!$G$8:$H$14,2,FALSE),YES_Writing_ELA[#Headers],0))=0,"",INDEX(_xlfn.VSTACK(YES_Writing_ELA[#Data],YES_Writing_FLA[#Data]),MATCH($A147,_xlfn.VSTACK(YES_Writing_ELA[Student Number],YES_Writing_FLA[Student Number]),0),MATCH(VLOOKUP(F$7,'Writing Logic'!$J$7:$K$11,2,FALSE)&amp;" - Per "&amp;VLOOKUP($C$4,'Writing Logic'!$G$8:$H$14,2,FALSE),YES_Writing_ELA[#Headers],0)))="INS",'Writing Logic'!$B$7,IF(INDEX(_xlfn.VSTACK(YES_Writing_ELA[#Data],YES_Writing_FLA[#Data]),MATCH($A147,_xlfn.VSTACK(YES_Writing_ELA[Student Number],YES_Writing_FLA[Student Number]),0),MATCH(VLOOKUP(F$7,'Writing Logic'!$J$7:$K$11,2,FALSE)&amp;" - Per "&amp;VLOOKUP($C$4,'Writing Logic'!$G$8:$H$14,2,FALSE),YES_Writing_ELA[#Headers],0))=0,"",INDEX(_xlfn.VSTACK(YES_Writing_ELA[#Data],YES_Writing_FLA[#Data]),MATCH($A147,_xlfn.VSTACK(YES_Writing_ELA[Student Number],YES_Writing_FLA[Student Number]),0),MATCH(VLOOKUP(F$7,'Writing Logic'!$J$7:$K$11,2,FALSE)&amp;" - Per "&amp;VLOOKUP($C$4,'Writing Logic'!$G$8:$H$14,2,FALSE),YES_Writing_ELA[#Headers],0)))),"")</f>
        <v/>
      </c>
      <c r="G147" s="138" t="str">
        <f>IFERROR(IF(IF(INDEX(_xlfn.VSTACK(YES_Writing_ELA[#Data],YES_Writing_FLA[#Data]),MATCH($A147,_xlfn.VSTACK(YES_Writing_ELA[Student Number],YES_Writing_FLA[Student Number]),0),MATCH(VLOOKUP(G$7,'Writing Logic'!$J$7:$K$11,2,FALSE)&amp;" - Per "&amp;VLOOKUP($C$4,'Writing Logic'!$G$8:$H$14,2,FALSE),YES_Writing_ELA[#Headers],0))=0,"",INDEX(_xlfn.VSTACK(YES_Writing_ELA[#Data],YES_Writing_FLA[#Data]),MATCH($A147,_xlfn.VSTACK(YES_Writing_ELA[Student Number],YES_Writing_FLA[Student Number]),0),MATCH(VLOOKUP(G$7,'Writing Logic'!$J$7:$K$11,2,FALSE)&amp;" - Per "&amp;VLOOKUP($C$4,'Writing Logic'!$G$8:$H$14,2,FALSE),YES_Writing_ELA[#Headers],0)))="INS",'Writing Logic'!$B$7,IF(INDEX(_xlfn.VSTACK(YES_Writing_ELA[#Data],YES_Writing_FLA[#Data]),MATCH($A147,_xlfn.VSTACK(YES_Writing_ELA[Student Number],YES_Writing_FLA[Student Number]),0),MATCH(VLOOKUP(G$7,'Writing Logic'!$J$7:$K$11,2,FALSE)&amp;" - Per "&amp;VLOOKUP($C$4,'Writing Logic'!$G$8:$H$14,2,FALSE),YES_Writing_ELA[#Headers],0))=0,"",INDEX(_xlfn.VSTACK(YES_Writing_ELA[#Data],YES_Writing_FLA[#Data]),MATCH($A147,_xlfn.VSTACK(YES_Writing_ELA[Student Number],YES_Writing_FLA[Student Number]),0),MATCH(VLOOKUP(G$7,'Writing Logic'!$J$7:$K$11,2,FALSE)&amp;" - Per "&amp;VLOOKUP($C$4,'Writing Logic'!$G$8:$H$14,2,FALSE),YES_Writing_ELA[#Headers],0)))),"")</f>
        <v/>
      </c>
      <c r="H147" s="138" t="str">
        <f>IFERROR(IF(IF(INDEX(_xlfn.VSTACK(YES_Writing_ELA[#Data],YES_Writing_FLA[#Data]),MATCH($A147,_xlfn.VSTACK(YES_Writing_ELA[Student Number],YES_Writing_FLA[Student Number]),0),MATCH(VLOOKUP(H$7,'Writing Logic'!$J$7:$K$11,2,FALSE)&amp;" - Per "&amp;VLOOKUP($C$4,'Writing Logic'!$G$8:$H$14,2,FALSE),YES_Writing_ELA[#Headers],0))=0,"",INDEX(_xlfn.VSTACK(YES_Writing_ELA[#Data],YES_Writing_FLA[#Data]),MATCH($A147,_xlfn.VSTACK(YES_Writing_ELA[Student Number],YES_Writing_FLA[Student Number]),0),MATCH(VLOOKUP(H$7,'Writing Logic'!$J$7:$K$11,2,FALSE)&amp;" - Per "&amp;VLOOKUP($C$4,'Writing Logic'!$G$8:$H$14,2,FALSE),YES_Writing_ELA[#Headers],0)))="INS",'Writing Logic'!$B$7,IF(INDEX(_xlfn.VSTACK(YES_Writing_ELA[#Data],YES_Writing_FLA[#Data]),MATCH($A147,_xlfn.VSTACK(YES_Writing_ELA[Student Number],YES_Writing_FLA[Student Number]),0),MATCH(VLOOKUP(H$7,'Writing Logic'!$J$7:$K$11,2,FALSE)&amp;" - Per "&amp;VLOOKUP($C$4,'Writing Logic'!$G$8:$H$14,2,FALSE),YES_Writing_ELA[#Headers],0))=0,"",INDEX(_xlfn.VSTACK(YES_Writing_ELA[#Data],YES_Writing_FLA[#Data]),MATCH($A147,_xlfn.VSTACK(YES_Writing_ELA[Student Number],YES_Writing_FLA[Student Number]),0),MATCH(VLOOKUP(H$7,'Writing Logic'!$J$7:$K$11,2,FALSE)&amp;" - Per "&amp;VLOOKUP($C$4,'Writing Logic'!$G$8:$H$14,2,FALSE),YES_Writing_ELA[#Headers],0)))),"")</f>
        <v/>
      </c>
    </row>
    <row r="148" spans="1:8" ht="14.25" customHeight="1" x14ac:dyDescent="0.25">
      <c r="A148" s="137"/>
      <c r="B148" s="137" t="str">
        <f>IFERROR(INDEX(_xlfn.VSTACK(YES_Writing_ELA[#Data], YES_Writing_FLA[#Data]),MATCH($A148,_xlfn.VSTACK(YES_Writing_ELA[Student Number], YES_Writing_FLA[Student Number]),0),MATCH(B$7,YES_Writing_ELA[#Headers],0)),"")</f>
        <v/>
      </c>
      <c r="C148" s="137" t="str">
        <f>IFERROR(INDEX(_xlfn.VSTACK(YES_Writing_ELA[#Data], YES_Writing_FLA[#Data]),MATCH($A148,_xlfn.VSTACK(YES_Writing_ELA[Student Number], YES_Writing_FLA[Student Number]),0),MATCH(C$7,YES_Writing_ELA[#Headers],0)),"")</f>
        <v/>
      </c>
      <c r="D148" s="138" t="str">
        <f>IFERROR(IF(IF(INDEX(_xlfn.VSTACK(YES_Writing_ELA[#Data],YES_Writing_FLA[#Data]),MATCH($A148,_xlfn.VSTACK(YES_Writing_ELA[Student Number],YES_Writing_FLA[Student Number]),0),MATCH(VLOOKUP(D$7,'Writing Logic'!$J$7:$K$11,2,FALSE)&amp;" - Per "&amp;VLOOKUP($C$4,'Writing Logic'!$G$8:$H$14,2,FALSE),YES_Writing_ELA[#Headers],0))=0,"",INDEX(_xlfn.VSTACK(YES_Writing_ELA[#Data],YES_Writing_FLA[#Data]),MATCH($A148,_xlfn.VSTACK(YES_Writing_ELA[Student Number],YES_Writing_FLA[Student Number]),0),MATCH(VLOOKUP(D$7,'Writing Logic'!$J$7:$K$11,2,FALSE)&amp;" - Per "&amp;VLOOKUP($C$4,'Writing Logic'!$G$8:$H$14,2,FALSE),YES_Writing_ELA[#Headers],0)))="INS",'Writing Logic'!$B$7,IF(INDEX(_xlfn.VSTACK(YES_Writing_ELA[#Data],YES_Writing_FLA[#Data]),MATCH($A148,_xlfn.VSTACK(YES_Writing_ELA[Student Number],YES_Writing_FLA[Student Number]),0),MATCH(VLOOKUP(D$7,'Writing Logic'!$J$7:$K$11,2,FALSE)&amp;" - Per "&amp;VLOOKUP($C$4,'Writing Logic'!$G$8:$H$14,2,FALSE),YES_Writing_ELA[#Headers],0))=0,"",INDEX(_xlfn.VSTACK(YES_Writing_ELA[#Data],YES_Writing_FLA[#Data]),MATCH($A148,_xlfn.VSTACK(YES_Writing_ELA[Student Number],YES_Writing_FLA[Student Number]),0),MATCH(VLOOKUP(D$7,'Writing Logic'!$J$7:$K$11,2,FALSE)&amp;" - Per "&amp;VLOOKUP($C$4,'Writing Logic'!$G$8:$H$14,2,FALSE),YES_Writing_ELA[#Headers],0)))),"")</f>
        <v/>
      </c>
      <c r="E148" s="138" t="str">
        <f>IFERROR(IF(IF(INDEX(_xlfn.VSTACK(YES_Writing_ELA[#Data],YES_Writing_FLA[#Data]),MATCH($A148,_xlfn.VSTACK(YES_Writing_ELA[Student Number],YES_Writing_FLA[Student Number]),0),MATCH(VLOOKUP(E$7,'Writing Logic'!$J$7:$K$11,2,FALSE)&amp;" - Per "&amp;VLOOKUP($C$4,'Writing Logic'!$G$8:$H$14,2,FALSE),YES_Writing_ELA[#Headers],0))=0,"",INDEX(_xlfn.VSTACK(YES_Writing_ELA[#Data],YES_Writing_FLA[#Data]),MATCH($A148,_xlfn.VSTACK(YES_Writing_ELA[Student Number],YES_Writing_FLA[Student Number]),0),MATCH(VLOOKUP(E$7,'Writing Logic'!$J$7:$K$11,2,FALSE)&amp;" - Per "&amp;VLOOKUP($C$4,'Writing Logic'!$G$8:$H$14,2,FALSE),YES_Writing_ELA[#Headers],0)))="INS",'Writing Logic'!$B$7,IF(INDEX(_xlfn.VSTACK(YES_Writing_ELA[#Data],YES_Writing_FLA[#Data]),MATCH($A148,_xlfn.VSTACK(YES_Writing_ELA[Student Number],YES_Writing_FLA[Student Number]),0),MATCH(VLOOKUP(E$7,'Writing Logic'!$J$7:$K$11,2,FALSE)&amp;" - Per "&amp;VLOOKUP($C$4,'Writing Logic'!$G$8:$H$14,2,FALSE),YES_Writing_ELA[#Headers],0))=0,"",INDEX(_xlfn.VSTACK(YES_Writing_ELA[#Data],YES_Writing_FLA[#Data]),MATCH($A148,_xlfn.VSTACK(YES_Writing_ELA[Student Number],YES_Writing_FLA[Student Number]),0),MATCH(VLOOKUP(E$7,'Writing Logic'!$J$7:$K$11,2,FALSE)&amp;" - Per "&amp;VLOOKUP($C$4,'Writing Logic'!$G$8:$H$14,2,FALSE),YES_Writing_ELA[#Headers],0)))),"")</f>
        <v/>
      </c>
      <c r="F148" s="138" t="str">
        <f>IFERROR(IF(IF(INDEX(_xlfn.VSTACK(YES_Writing_ELA[#Data],YES_Writing_FLA[#Data]),MATCH($A148,_xlfn.VSTACK(YES_Writing_ELA[Student Number],YES_Writing_FLA[Student Number]),0),MATCH(VLOOKUP(F$7,'Writing Logic'!$J$7:$K$11,2,FALSE)&amp;" - Per "&amp;VLOOKUP($C$4,'Writing Logic'!$G$8:$H$14,2,FALSE),YES_Writing_ELA[#Headers],0))=0,"",INDEX(_xlfn.VSTACK(YES_Writing_ELA[#Data],YES_Writing_FLA[#Data]),MATCH($A148,_xlfn.VSTACK(YES_Writing_ELA[Student Number],YES_Writing_FLA[Student Number]),0),MATCH(VLOOKUP(F$7,'Writing Logic'!$J$7:$K$11,2,FALSE)&amp;" - Per "&amp;VLOOKUP($C$4,'Writing Logic'!$G$8:$H$14,2,FALSE),YES_Writing_ELA[#Headers],0)))="INS",'Writing Logic'!$B$7,IF(INDEX(_xlfn.VSTACK(YES_Writing_ELA[#Data],YES_Writing_FLA[#Data]),MATCH($A148,_xlfn.VSTACK(YES_Writing_ELA[Student Number],YES_Writing_FLA[Student Number]),0),MATCH(VLOOKUP(F$7,'Writing Logic'!$J$7:$K$11,2,FALSE)&amp;" - Per "&amp;VLOOKUP($C$4,'Writing Logic'!$G$8:$H$14,2,FALSE),YES_Writing_ELA[#Headers],0))=0,"",INDEX(_xlfn.VSTACK(YES_Writing_ELA[#Data],YES_Writing_FLA[#Data]),MATCH($A148,_xlfn.VSTACK(YES_Writing_ELA[Student Number],YES_Writing_FLA[Student Number]),0),MATCH(VLOOKUP(F$7,'Writing Logic'!$J$7:$K$11,2,FALSE)&amp;" - Per "&amp;VLOOKUP($C$4,'Writing Logic'!$G$8:$H$14,2,FALSE),YES_Writing_ELA[#Headers],0)))),"")</f>
        <v/>
      </c>
      <c r="G148" s="138" t="str">
        <f>IFERROR(IF(IF(INDEX(_xlfn.VSTACK(YES_Writing_ELA[#Data],YES_Writing_FLA[#Data]),MATCH($A148,_xlfn.VSTACK(YES_Writing_ELA[Student Number],YES_Writing_FLA[Student Number]),0),MATCH(VLOOKUP(G$7,'Writing Logic'!$J$7:$K$11,2,FALSE)&amp;" - Per "&amp;VLOOKUP($C$4,'Writing Logic'!$G$8:$H$14,2,FALSE),YES_Writing_ELA[#Headers],0))=0,"",INDEX(_xlfn.VSTACK(YES_Writing_ELA[#Data],YES_Writing_FLA[#Data]),MATCH($A148,_xlfn.VSTACK(YES_Writing_ELA[Student Number],YES_Writing_FLA[Student Number]),0),MATCH(VLOOKUP(G$7,'Writing Logic'!$J$7:$K$11,2,FALSE)&amp;" - Per "&amp;VLOOKUP($C$4,'Writing Logic'!$G$8:$H$14,2,FALSE),YES_Writing_ELA[#Headers],0)))="INS",'Writing Logic'!$B$7,IF(INDEX(_xlfn.VSTACK(YES_Writing_ELA[#Data],YES_Writing_FLA[#Data]),MATCH($A148,_xlfn.VSTACK(YES_Writing_ELA[Student Number],YES_Writing_FLA[Student Number]),0),MATCH(VLOOKUP(G$7,'Writing Logic'!$J$7:$K$11,2,FALSE)&amp;" - Per "&amp;VLOOKUP($C$4,'Writing Logic'!$G$8:$H$14,2,FALSE),YES_Writing_ELA[#Headers],0))=0,"",INDEX(_xlfn.VSTACK(YES_Writing_ELA[#Data],YES_Writing_FLA[#Data]),MATCH($A148,_xlfn.VSTACK(YES_Writing_ELA[Student Number],YES_Writing_FLA[Student Number]),0),MATCH(VLOOKUP(G$7,'Writing Logic'!$J$7:$K$11,2,FALSE)&amp;" - Per "&amp;VLOOKUP($C$4,'Writing Logic'!$G$8:$H$14,2,FALSE),YES_Writing_ELA[#Headers],0)))),"")</f>
        <v/>
      </c>
      <c r="H148" s="138" t="str">
        <f>IFERROR(IF(IF(INDEX(_xlfn.VSTACK(YES_Writing_ELA[#Data],YES_Writing_FLA[#Data]),MATCH($A148,_xlfn.VSTACK(YES_Writing_ELA[Student Number],YES_Writing_FLA[Student Number]),0),MATCH(VLOOKUP(H$7,'Writing Logic'!$J$7:$K$11,2,FALSE)&amp;" - Per "&amp;VLOOKUP($C$4,'Writing Logic'!$G$8:$H$14,2,FALSE),YES_Writing_ELA[#Headers],0))=0,"",INDEX(_xlfn.VSTACK(YES_Writing_ELA[#Data],YES_Writing_FLA[#Data]),MATCH($A148,_xlfn.VSTACK(YES_Writing_ELA[Student Number],YES_Writing_FLA[Student Number]),0),MATCH(VLOOKUP(H$7,'Writing Logic'!$J$7:$K$11,2,FALSE)&amp;" - Per "&amp;VLOOKUP($C$4,'Writing Logic'!$G$8:$H$14,2,FALSE),YES_Writing_ELA[#Headers],0)))="INS",'Writing Logic'!$B$7,IF(INDEX(_xlfn.VSTACK(YES_Writing_ELA[#Data],YES_Writing_FLA[#Data]),MATCH($A148,_xlfn.VSTACK(YES_Writing_ELA[Student Number],YES_Writing_FLA[Student Number]),0),MATCH(VLOOKUP(H$7,'Writing Logic'!$J$7:$K$11,2,FALSE)&amp;" - Per "&amp;VLOOKUP($C$4,'Writing Logic'!$G$8:$H$14,2,FALSE),YES_Writing_ELA[#Headers],0))=0,"",INDEX(_xlfn.VSTACK(YES_Writing_ELA[#Data],YES_Writing_FLA[#Data]),MATCH($A148,_xlfn.VSTACK(YES_Writing_ELA[Student Number],YES_Writing_FLA[Student Number]),0),MATCH(VLOOKUP(H$7,'Writing Logic'!$J$7:$K$11,2,FALSE)&amp;" - Per "&amp;VLOOKUP($C$4,'Writing Logic'!$G$8:$H$14,2,FALSE),YES_Writing_ELA[#Headers],0)))),"")</f>
        <v/>
      </c>
    </row>
    <row r="149" spans="1:8" ht="14.25" customHeight="1" x14ac:dyDescent="0.25">
      <c r="A149" s="137"/>
      <c r="B149" s="137" t="str">
        <f>IFERROR(INDEX(_xlfn.VSTACK(YES_Writing_ELA[#Data], YES_Writing_FLA[#Data]),MATCH($A149,_xlfn.VSTACK(YES_Writing_ELA[Student Number], YES_Writing_FLA[Student Number]),0),MATCH(B$7,YES_Writing_ELA[#Headers],0)),"")</f>
        <v/>
      </c>
      <c r="C149" s="137" t="str">
        <f>IFERROR(INDEX(_xlfn.VSTACK(YES_Writing_ELA[#Data], YES_Writing_FLA[#Data]),MATCH($A149,_xlfn.VSTACK(YES_Writing_ELA[Student Number], YES_Writing_FLA[Student Number]),0),MATCH(C$7,YES_Writing_ELA[#Headers],0)),"")</f>
        <v/>
      </c>
      <c r="D149" s="138" t="str">
        <f>IFERROR(IF(IF(INDEX(_xlfn.VSTACK(YES_Writing_ELA[#Data],YES_Writing_FLA[#Data]),MATCH($A149,_xlfn.VSTACK(YES_Writing_ELA[Student Number],YES_Writing_FLA[Student Number]),0),MATCH(VLOOKUP(D$7,'Writing Logic'!$J$7:$K$11,2,FALSE)&amp;" - Per "&amp;VLOOKUP($C$4,'Writing Logic'!$G$8:$H$14,2,FALSE),YES_Writing_ELA[#Headers],0))=0,"",INDEX(_xlfn.VSTACK(YES_Writing_ELA[#Data],YES_Writing_FLA[#Data]),MATCH($A149,_xlfn.VSTACK(YES_Writing_ELA[Student Number],YES_Writing_FLA[Student Number]),0),MATCH(VLOOKUP(D$7,'Writing Logic'!$J$7:$K$11,2,FALSE)&amp;" - Per "&amp;VLOOKUP($C$4,'Writing Logic'!$G$8:$H$14,2,FALSE),YES_Writing_ELA[#Headers],0)))="INS",'Writing Logic'!$B$7,IF(INDEX(_xlfn.VSTACK(YES_Writing_ELA[#Data],YES_Writing_FLA[#Data]),MATCH($A149,_xlfn.VSTACK(YES_Writing_ELA[Student Number],YES_Writing_FLA[Student Number]),0),MATCH(VLOOKUP(D$7,'Writing Logic'!$J$7:$K$11,2,FALSE)&amp;" - Per "&amp;VLOOKUP($C$4,'Writing Logic'!$G$8:$H$14,2,FALSE),YES_Writing_ELA[#Headers],0))=0,"",INDEX(_xlfn.VSTACK(YES_Writing_ELA[#Data],YES_Writing_FLA[#Data]),MATCH($A149,_xlfn.VSTACK(YES_Writing_ELA[Student Number],YES_Writing_FLA[Student Number]),0),MATCH(VLOOKUP(D$7,'Writing Logic'!$J$7:$K$11,2,FALSE)&amp;" - Per "&amp;VLOOKUP($C$4,'Writing Logic'!$G$8:$H$14,2,FALSE),YES_Writing_ELA[#Headers],0)))),"")</f>
        <v/>
      </c>
      <c r="E149" s="138" t="str">
        <f>IFERROR(IF(IF(INDEX(_xlfn.VSTACK(YES_Writing_ELA[#Data],YES_Writing_FLA[#Data]),MATCH($A149,_xlfn.VSTACK(YES_Writing_ELA[Student Number],YES_Writing_FLA[Student Number]),0),MATCH(VLOOKUP(E$7,'Writing Logic'!$J$7:$K$11,2,FALSE)&amp;" - Per "&amp;VLOOKUP($C$4,'Writing Logic'!$G$8:$H$14,2,FALSE),YES_Writing_ELA[#Headers],0))=0,"",INDEX(_xlfn.VSTACK(YES_Writing_ELA[#Data],YES_Writing_FLA[#Data]),MATCH($A149,_xlfn.VSTACK(YES_Writing_ELA[Student Number],YES_Writing_FLA[Student Number]),0),MATCH(VLOOKUP(E$7,'Writing Logic'!$J$7:$K$11,2,FALSE)&amp;" - Per "&amp;VLOOKUP($C$4,'Writing Logic'!$G$8:$H$14,2,FALSE),YES_Writing_ELA[#Headers],0)))="INS",'Writing Logic'!$B$7,IF(INDEX(_xlfn.VSTACK(YES_Writing_ELA[#Data],YES_Writing_FLA[#Data]),MATCH($A149,_xlfn.VSTACK(YES_Writing_ELA[Student Number],YES_Writing_FLA[Student Number]),0),MATCH(VLOOKUP(E$7,'Writing Logic'!$J$7:$K$11,2,FALSE)&amp;" - Per "&amp;VLOOKUP($C$4,'Writing Logic'!$G$8:$H$14,2,FALSE),YES_Writing_ELA[#Headers],0))=0,"",INDEX(_xlfn.VSTACK(YES_Writing_ELA[#Data],YES_Writing_FLA[#Data]),MATCH($A149,_xlfn.VSTACK(YES_Writing_ELA[Student Number],YES_Writing_FLA[Student Number]),0),MATCH(VLOOKUP(E$7,'Writing Logic'!$J$7:$K$11,2,FALSE)&amp;" - Per "&amp;VLOOKUP($C$4,'Writing Logic'!$G$8:$H$14,2,FALSE),YES_Writing_ELA[#Headers],0)))),"")</f>
        <v/>
      </c>
      <c r="F149" s="138" t="str">
        <f>IFERROR(IF(IF(INDEX(_xlfn.VSTACK(YES_Writing_ELA[#Data],YES_Writing_FLA[#Data]),MATCH($A149,_xlfn.VSTACK(YES_Writing_ELA[Student Number],YES_Writing_FLA[Student Number]),0),MATCH(VLOOKUP(F$7,'Writing Logic'!$J$7:$K$11,2,FALSE)&amp;" - Per "&amp;VLOOKUP($C$4,'Writing Logic'!$G$8:$H$14,2,FALSE),YES_Writing_ELA[#Headers],0))=0,"",INDEX(_xlfn.VSTACK(YES_Writing_ELA[#Data],YES_Writing_FLA[#Data]),MATCH($A149,_xlfn.VSTACK(YES_Writing_ELA[Student Number],YES_Writing_FLA[Student Number]),0),MATCH(VLOOKUP(F$7,'Writing Logic'!$J$7:$K$11,2,FALSE)&amp;" - Per "&amp;VLOOKUP($C$4,'Writing Logic'!$G$8:$H$14,2,FALSE),YES_Writing_ELA[#Headers],0)))="INS",'Writing Logic'!$B$7,IF(INDEX(_xlfn.VSTACK(YES_Writing_ELA[#Data],YES_Writing_FLA[#Data]),MATCH($A149,_xlfn.VSTACK(YES_Writing_ELA[Student Number],YES_Writing_FLA[Student Number]),0),MATCH(VLOOKUP(F$7,'Writing Logic'!$J$7:$K$11,2,FALSE)&amp;" - Per "&amp;VLOOKUP($C$4,'Writing Logic'!$G$8:$H$14,2,FALSE),YES_Writing_ELA[#Headers],0))=0,"",INDEX(_xlfn.VSTACK(YES_Writing_ELA[#Data],YES_Writing_FLA[#Data]),MATCH($A149,_xlfn.VSTACK(YES_Writing_ELA[Student Number],YES_Writing_FLA[Student Number]),0),MATCH(VLOOKUP(F$7,'Writing Logic'!$J$7:$K$11,2,FALSE)&amp;" - Per "&amp;VLOOKUP($C$4,'Writing Logic'!$G$8:$H$14,2,FALSE),YES_Writing_ELA[#Headers],0)))),"")</f>
        <v/>
      </c>
      <c r="G149" s="138" t="str">
        <f>IFERROR(IF(IF(INDEX(_xlfn.VSTACK(YES_Writing_ELA[#Data],YES_Writing_FLA[#Data]),MATCH($A149,_xlfn.VSTACK(YES_Writing_ELA[Student Number],YES_Writing_FLA[Student Number]),0),MATCH(VLOOKUP(G$7,'Writing Logic'!$J$7:$K$11,2,FALSE)&amp;" - Per "&amp;VLOOKUP($C$4,'Writing Logic'!$G$8:$H$14,2,FALSE),YES_Writing_ELA[#Headers],0))=0,"",INDEX(_xlfn.VSTACK(YES_Writing_ELA[#Data],YES_Writing_FLA[#Data]),MATCH($A149,_xlfn.VSTACK(YES_Writing_ELA[Student Number],YES_Writing_FLA[Student Number]),0),MATCH(VLOOKUP(G$7,'Writing Logic'!$J$7:$K$11,2,FALSE)&amp;" - Per "&amp;VLOOKUP($C$4,'Writing Logic'!$G$8:$H$14,2,FALSE),YES_Writing_ELA[#Headers],0)))="INS",'Writing Logic'!$B$7,IF(INDEX(_xlfn.VSTACK(YES_Writing_ELA[#Data],YES_Writing_FLA[#Data]),MATCH($A149,_xlfn.VSTACK(YES_Writing_ELA[Student Number],YES_Writing_FLA[Student Number]),0),MATCH(VLOOKUP(G$7,'Writing Logic'!$J$7:$K$11,2,FALSE)&amp;" - Per "&amp;VLOOKUP($C$4,'Writing Logic'!$G$8:$H$14,2,FALSE),YES_Writing_ELA[#Headers],0))=0,"",INDEX(_xlfn.VSTACK(YES_Writing_ELA[#Data],YES_Writing_FLA[#Data]),MATCH($A149,_xlfn.VSTACK(YES_Writing_ELA[Student Number],YES_Writing_FLA[Student Number]),0),MATCH(VLOOKUP(G$7,'Writing Logic'!$J$7:$K$11,2,FALSE)&amp;" - Per "&amp;VLOOKUP($C$4,'Writing Logic'!$G$8:$H$14,2,FALSE),YES_Writing_ELA[#Headers],0)))),"")</f>
        <v/>
      </c>
      <c r="H149" s="138" t="str">
        <f>IFERROR(IF(IF(INDEX(_xlfn.VSTACK(YES_Writing_ELA[#Data],YES_Writing_FLA[#Data]),MATCH($A149,_xlfn.VSTACK(YES_Writing_ELA[Student Number],YES_Writing_FLA[Student Number]),0),MATCH(VLOOKUP(H$7,'Writing Logic'!$J$7:$K$11,2,FALSE)&amp;" - Per "&amp;VLOOKUP($C$4,'Writing Logic'!$G$8:$H$14,2,FALSE),YES_Writing_ELA[#Headers],0))=0,"",INDEX(_xlfn.VSTACK(YES_Writing_ELA[#Data],YES_Writing_FLA[#Data]),MATCH($A149,_xlfn.VSTACK(YES_Writing_ELA[Student Number],YES_Writing_FLA[Student Number]),0),MATCH(VLOOKUP(H$7,'Writing Logic'!$J$7:$K$11,2,FALSE)&amp;" - Per "&amp;VLOOKUP($C$4,'Writing Logic'!$G$8:$H$14,2,FALSE),YES_Writing_ELA[#Headers],0)))="INS",'Writing Logic'!$B$7,IF(INDEX(_xlfn.VSTACK(YES_Writing_ELA[#Data],YES_Writing_FLA[#Data]),MATCH($A149,_xlfn.VSTACK(YES_Writing_ELA[Student Number],YES_Writing_FLA[Student Number]),0),MATCH(VLOOKUP(H$7,'Writing Logic'!$J$7:$K$11,2,FALSE)&amp;" - Per "&amp;VLOOKUP($C$4,'Writing Logic'!$G$8:$H$14,2,FALSE),YES_Writing_ELA[#Headers],0))=0,"",INDEX(_xlfn.VSTACK(YES_Writing_ELA[#Data],YES_Writing_FLA[#Data]),MATCH($A149,_xlfn.VSTACK(YES_Writing_ELA[Student Number],YES_Writing_FLA[Student Number]),0),MATCH(VLOOKUP(H$7,'Writing Logic'!$J$7:$K$11,2,FALSE)&amp;" - Per "&amp;VLOOKUP($C$4,'Writing Logic'!$G$8:$H$14,2,FALSE),YES_Writing_ELA[#Headers],0)))),"")</f>
        <v/>
      </c>
    </row>
    <row r="150" spans="1:8" ht="14.25" customHeight="1" x14ac:dyDescent="0.25">
      <c r="A150" s="137"/>
      <c r="B150" s="137" t="str">
        <f>IFERROR(INDEX(_xlfn.VSTACK(YES_Writing_ELA[#Data], YES_Writing_FLA[#Data]),MATCH($A150,_xlfn.VSTACK(YES_Writing_ELA[Student Number], YES_Writing_FLA[Student Number]),0),MATCH(B$7,YES_Writing_ELA[#Headers],0)),"")</f>
        <v/>
      </c>
      <c r="C150" s="137" t="str">
        <f>IFERROR(INDEX(_xlfn.VSTACK(YES_Writing_ELA[#Data], YES_Writing_FLA[#Data]),MATCH($A150,_xlfn.VSTACK(YES_Writing_ELA[Student Number], YES_Writing_FLA[Student Number]),0),MATCH(C$7,YES_Writing_ELA[#Headers],0)),"")</f>
        <v/>
      </c>
      <c r="D150" s="138" t="str">
        <f>IFERROR(IF(IF(INDEX(_xlfn.VSTACK(YES_Writing_ELA[#Data],YES_Writing_FLA[#Data]),MATCH($A150,_xlfn.VSTACK(YES_Writing_ELA[Student Number],YES_Writing_FLA[Student Number]),0),MATCH(VLOOKUP(D$7,'Writing Logic'!$J$7:$K$11,2,FALSE)&amp;" - Per "&amp;VLOOKUP($C$4,'Writing Logic'!$G$8:$H$14,2,FALSE),YES_Writing_ELA[#Headers],0))=0,"",INDEX(_xlfn.VSTACK(YES_Writing_ELA[#Data],YES_Writing_FLA[#Data]),MATCH($A150,_xlfn.VSTACK(YES_Writing_ELA[Student Number],YES_Writing_FLA[Student Number]),0),MATCH(VLOOKUP(D$7,'Writing Logic'!$J$7:$K$11,2,FALSE)&amp;" - Per "&amp;VLOOKUP($C$4,'Writing Logic'!$G$8:$H$14,2,FALSE),YES_Writing_ELA[#Headers],0)))="INS",'Writing Logic'!$B$7,IF(INDEX(_xlfn.VSTACK(YES_Writing_ELA[#Data],YES_Writing_FLA[#Data]),MATCH($A150,_xlfn.VSTACK(YES_Writing_ELA[Student Number],YES_Writing_FLA[Student Number]),0),MATCH(VLOOKUP(D$7,'Writing Logic'!$J$7:$K$11,2,FALSE)&amp;" - Per "&amp;VLOOKUP($C$4,'Writing Logic'!$G$8:$H$14,2,FALSE),YES_Writing_ELA[#Headers],0))=0,"",INDEX(_xlfn.VSTACK(YES_Writing_ELA[#Data],YES_Writing_FLA[#Data]),MATCH($A150,_xlfn.VSTACK(YES_Writing_ELA[Student Number],YES_Writing_FLA[Student Number]),0),MATCH(VLOOKUP(D$7,'Writing Logic'!$J$7:$K$11,2,FALSE)&amp;" - Per "&amp;VLOOKUP($C$4,'Writing Logic'!$G$8:$H$14,2,FALSE),YES_Writing_ELA[#Headers],0)))),"")</f>
        <v/>
      </c>
      <c r="E150" s="138" t="str">
        <f>IFERROR(IF(IF(INDEX(_xlfn.VSTACK(YES_Writing_ELA[#Data],YES_Writing_FLA[#Data]),MATCH($A150,_xlfn.VSTACK(YES_Writing_ELA[Student Number],YES_Writing_FLA[Student Number]),0),MATCH(VLOOKUP(E$7,'Writing Logic'!$J$7:$K$11,2,FALSE)&amp;" - Per "&amp;VLOOKUP($C$4,'Writing Logic'!$G$8:$H$14,2,FALSE),YES_Writing_ELA[#Headers],0))=0,"",INDEX(_xlfn.VSTACK(YES_Writing_ELA[#Data],YES_Writing_FLA[#Data]),MATCH($A150,_xlfn.VSTACK(YES_Writing_ELA[Student Number],YES_Writing_FLA[Student Number]),0),MATCH(VLOOKUP(E$7,'Writing Logic'!$J$7:$K$11,2,FALSE)&amp;" - Per "&amp;VLOOKUP($C$4,'Writing Logic'!$G$8:$H$14,2,FALSE),YES_Writing_ELA[#Headers],0)))="INS",'Writing Logic'!$B$7,IF(INDEX(_xlfn.VSTACK(YES_Writing_ELA[#Data],YES_Writing_FLA[#Data]),MATCH($A150,_xlfn.VSTACK(YES_Writing_ELA[Student Number],YES_Writing_FLA[Student Number]),0),MATCH(VLOOKUP(E$7,'Writing Logic'!$J$7:$K$11,2,FALSE)&amp;" - Per "&amp;VLOOKUP($C$4,'Writing Logic'!$G$8:$H$14,2,FALSE),YES_Writing_ELA[#Headers],0))=0,"",INDEX(_xlfn.VSTACK(YES_Writing_ELA[#Data],YES_Writing_FLA[#Data]),MATCH($A150,_xlfn.VSTACK(YES_Writing_ELA[Student Number],YES_Writing_FLA[Student Number]),0),MATCH(VLOOKUP(E$7,'Writing Logic'!$J$7:$K$11,2,FALSE)&amp;" - Per "&amp;VLOOKUP($C$4,'Writing Logic'!$G$8:$H$14,2,FALSE),YES_Writing_ELA[#Headers],0)))),"")</f>
        <v/>
      </c>
      <c r="F150" s="138" t="str">
        <f>IFERROR(IF(IF(INDEX(_xlfn.VSTACK(YES_Writing_ELA[#Data],YES_Writing_FLA[#Data]),MATCH($A150,_xlfn.VSTACK(YES_Writing_ELA[Student Number],YES_Writing_FLA[Student Number]),0),MATCH(VLOOKUP(F$7,'Writing Logic'!$J$7:$K$11,2,FALSE)&amp;" - Per "&amp;VLOOKUP($C$4,'Writing Logic'!$G$8:$H$14,2,FALSE),YES_Writing_ELA[#Headers],0))=0,"",INDEX(_xlfn.VSTACK(YES_Writing_ELA[#Data],YES_Writing_FLA[#Data]),MATCH($A150,_xlfn.VSTACK(YES_Writing_ELA[Student Number],YES_Writing_FLA[Student Number]),0),MATCH(VLOOKUP(F$7,'Writing Logic'!$J$7:$K$11,2,FALSE)&amp;" - Per "&amp;VLOOKUP($C$4,'Writing Logic'!$G$8:$H$14,2,FALSE),YES_Writing_ELA[#Headers],0)))="INS",'Writing Logic'!$B$7,IF(INDEX(_xlfn.VSTACK(YES_Writing_ELA[#Data],YES_Writing_FLA[#Data]),MATCH($A150,_xlfn.VSTACK(YES_Writing_ELA[Student Number],YES_Writing_FLA[Student Number]),0),MATCH(VLOOKUP(F$7,'Writing Logic'!$J$7:$K$11,2,FALSE)&amp;" - Per "&amp;VLOOKUP($C$4,'Writing Logic'!$G$8:$H$14,2,FALSE),YES_Writing_ELA[#Headers],0))=0,"",INDEX(_xlfn.VSTACK(YES_Writing_ELA[#Data],YES_Writing_FLA[#Data]),MATCH($A150,_xlfn.VSTACK(YES_Writing_ELA[Student Number],YES_Writing_FLA[Student Number]),0),MATCH(VLOOKUP(F$7,'Writing Logic'!$J$7:$K$11,2,FALSE)&amp;" - Per "&amp;VLOOKUP($C$4,'Writing Logic'!$G$8:$H$14,2,FALSE),YES_Writing_ELA[#Headers],0)))),"")</f>
        <v/>
      </c>
      <c r="G150" s="138" t="str">
        <f>IFERROR(IF(IF(INDEX(_xlfn.VSTACK(YES_Writing_ELA[#Data],YES_Writing_FLA[#Data]),MATCH($A150,_xlfn.VSTACK(YES_Writing_ELA[Student Number],YES_Writing_FLA[Student Number]),0),MATCH(VLOOKUP(G$7,'Writing Logic'!$J$7:$K$11,2,FALSE)&amp;" - Per "&amp;VLOOKUP($C$4,'Writing Logic'!$G$8:$H$14,2,FALSE),YES_Writing_ELA[#Headers],0))=0,"",INDEX(_xlfn.VSTACK(YES_Writing_ELA[#Data],YES_Writing_FLA[#Data]),MATCH($A150,_xlfn.VSTACK(YES_Writing_ELA[Student Number],YES_Writing_FLA[Student Number]),0),MATCH(VLOOKUP(G$7,'Writing Logic'!$J$7:$K$11,2,FALSE)&amp;" - Per "&amp;VLOOKUP($C$4,'Writing Logic'!$G$8:$H$14,2,FALSE),YES_Writing_ELA[#Headers],0)))="INS",'Writing Logic'!$B$7,IF(INDEX(_xlfn.VSTACK(YES_Writing_ELA[#Data],YES_Writing_FLA[#Data]),MATCH($A150,_xlfn.VSTACK(YES_Writing_ELA[Student Number],YES_Writing_FLA[Student Number]),0),MATCH(VLOOKUP(G$7,'Writing Logic'!$J$7:$K$11,2,FALSE)&amp;" - Per "&amp;VLOOKUP($C$4,'Writing Logic'!$G$8:$H$14,2,FALSE),YES_Writing_ELA[#Headers],0))=0,"",INDEX(_xlfn.VSTACK(YES_Writing_ELA[#Data],YES_Writing_FLA[#Data]),MATCH($A150,_xlfn.VSTACK(YES_Writing_ELA[Student Number],YES_Writing_FLA[Student Number]),0),MATCH(VLOOKUP(G$7,'Writing Logic'!$J$7:$K$11,2,FALSE)&amp;" - Per "&amp;VLOOKUP($C$4,'Writing Logic'!$G$8:$H$14,2,FALSE),YES_Writing_ELA[#Headers],0)))),"")</f>
        <v/>
      </c>
      <c r="H150" s="138" t="str">
        <f>IFERROR(IF(IF(INDEX(_xlfn.VSTACK(YES_Writing_ELA[#Data],YES_Writing_FLA[#Data]),MATCH($A150,_xlfn.VSTACK(YES_Writing_ELA[Student Number],YES_Writing_FLA[Student Number]),0),MATCH(VLOOKUP(H$7,'Writing Logic'!$J$7:$K$11,2,FALSE)&amp;" - Per "&amp;VLOOKUP($C$4,'Writing Logic'!$G$8:$H$14,2,FALSE),YES_Writing_ELA[#Headers],0))=0,"",INDEX(_xlfn.VSTACK(YES_Writing_ELA[#Data],YES_Writing_FLA[#Data]),MATCH($A150,_xlfn.VSTACK(YES_Writing_ELA[Student Number],YES_Writing_FLA[Student Number]),0),MATCH(VLOOKUP(H$7,'Writing Logic'!$J$7:$K$11,2,FALSE)&amp;" - Per "&amp;VLOOKUP($C$4,'Writing Logic'!$G$8:$H$14,2,FALSE),YES_Writing_ELA[#Headers],0)))="INS",'Writing Logic'!$B$7,IF(INDEX(_xlfn.VSTACK(YES_Writing_ELA[#Data],YES_Writing_FLA[#Data]),MATCH($A150,_xlfn.VSTACK(YES_Writing_ELA[Student Number],YES_Writing_FLA[Student Number]),0),MATCH(VLOOKUP(H$7,'Writing Logic'!$J$7:$K$11,2,FALSE)&amp;" - Per "&amp;VLOOKUP($C$4,'Writing Logic'!$G$8:$H$14,2,FALSE),YES_Writing_ELA[#Headers],0))=0,"",INDEX(_xlfn.VSTACK(YES_Writing_ELA[#Data],YES_Writing_FLA[#Data]),MATCH($A150,_xlfn.VSTACK(YES_Writing_ELA[Student Number],YES_Writing_FLA[Student Number]),0),MATCH(VLOOKUP(H$7,'Writing Logic'!$J$7:$K$11,2,FALSE)&amp;" - Per "&amp;VLOOKUP($C$4,'Writing Logic'!$G$8:$H$14,2,FALSE),YES_Writing_ELA[#Headers],0)))),"")</f>
        <v/>
      </c>
    </row>
    <row r="151" spans="1:8" ht="14.25" customHeight="1" x14ac:dyDescent="0.25">
      <c r="A151" s="137"/>
      <c r="B151" s="137" t="str">
        <f>IFERROR(INDEX(_xlfn.VSTACK(YES_Writing_ELA[#Data], YES_Writing_FLA[#Data]),MATCH($A151,_xlfn.VSTACK(YES_Writing_ELA[Student Number], YES_Writing_FLA[Student Number]),0),MATCH(B$7,YES_Writing_ELA[#Headers],0)),"")</f>
        <v/>
      </c>
      <c r="C151" s="137" t="str">
        <f>IFERROR(INDEX(_xlfn.VSTACK(YES_Writing_ELA[#Data], YES_Writing_FLA[#Data]),MATCH($A151,_xlfn.VSTACK(YES_Writing_ELA[Student Number], YES_Writing_FLA[Student Number]),0),MATCH(C$7,YES_Writing_ELA[#Headers],0)),"")</f>
        <v/>
      </c>
      <c r="D151" s="138" t="str">
        <f>IFERROR(IF(IF(INDEX(_xlfn.VSTACK(YES_Writing_ELA[#Data],YES_Writing_FLA[#Data]),MATCH($A151,_xlfn.VSTACK(YES_Writing_ELA[Student Number],YES_Writing_FLA[Student Number]),0),MATCH(VLOOKUP(D$7,'Writing Logic'!$J$7:$K$11,2,FALSE)&amp;" - Per "&amp;VLOOKUP($C$4,'Writing Logic'!$G$8:$H$14,2,FALSE),YES_Writing_ELA[#Headers],0))=0,"",INDEX(_xlfn.VSTACK(YES_Writing_ELA[#Data],YES_Writing_FLA[#Data]),MATCH($A151,_xlfn.VSTACK(YES_Writing_ELA[Student Number],YES_Writing_FLA[Student Number]),0),MATCH(VLOOKUP(D$7,'Writing Logic'!$J$7:$K$11,2,FALSE)&amp;" - Per "&amp;VLOOKUP($C$4,'Writing Logic'!$G$8:$H$14,2,FALSE),YES_Writing_ELA[#Headers],0)))="INS",'Writing Logic'!$B$7,IF(INDEX(_xlfn.VSTACK(YES_Writing_ELA[#Data],YES_Writing_FLA[#Data]),MATCH($A151,_xlfn.VSTACK(YES_Writing_ELA[Student Number],YES_Writing_FLA[Student Number]),0),MATCH(VLOOKUP(D$7,'Writing Logic'!$J$7:$K$11,2,FALSE)&amp;" - Per "&amp;VLOOKUP($C$4,'Writing Logic'!$G$8:$H$14,2,FALSE),YES_Writing_ELA[#Headers],0))=0,"",INDEX(_xlfn.VSTACK(YES_Writing_ELA[#Data],YES_Writing_FLA[#Data]),MATCH($A151,_xlfn.VSTACK(YES_Writing_ELA[Student Number],YES_Writing_FLA[Student Number]),0),MATCH(VLOOKUP(D$7,'Writing Logic'!$J$7:$K$11,2,FALSE)&amp;" - Per "&amp;VLOOKUP($C$4,'Writing Logic'!$G$8:$H$14,2,FALSE),YES_Writing_ELA[#Headers],0)))),"")</f>
        <v/>
      </c>
      <c r="E151" s="138" t="str">
        <f>IFERROR(IF(IF(INDEX(_xlfn.VSTACK(YES_Writing_ELA[#Data],YES_Writing_FLA[#Data]),MATCH($A151,_xlfn.VSTACK(YES_Writing_ELA[Student Number],YES_Writing_FLA[Student Number]),0),MATCH(VLOOKUP(E$7,'Writing Logic'!$J$7:$K$11,2,FALSE)&amp;" - Per "&amp;VLOOKUP($C$4,'Writing Logic'!$G$8:$H$14,2,FALSE),YES_Writing_ELA[#Headers],0))=0,"",INDEX(_xlfn.VSTACK(YES_Writing_ELA[#Data],YES_Writing_FLA[#Data]),MATCH($A151,_xlfn.VSTACK(YES_Writing_ELA[Student Number],YES_Writing_FLA[Student Number]),0),MATCH(VLOOKUP(E$7,'Writing Logic'!$J$7:$K$11,2,FALSE)&amp;" - Per "&amp;VLOOKUP($C$4,'Writing Logic'!$G$8:$H$14,2,FALSE),YES_Writing_ELA[#Headers],0)))="INS",'Writing Logic'!$B$7,IF(INDEX(_xlfn.VSTACK(YES_Writing_ELA[#Data],YES_Writing_FLA[#Data]),MATCH($A151,_xlfn.VSTACK(YES_Writing_ELA[Student Number],YES_Writing_FLA[Student Number]),0),MATCH(VLOOKUP(E$7,'Writing Logic'!$J$7:$K$11,2,FALSE)&amp;" - Per "&amp;VLOOKUP($C$4,'Writing Logic'!$G$8:$H$14,2,FALSE),YES_Writing_ELA[#Headers],0))=0,"",INDEX(_xlfn.VSTACK(YES_Writing_ELA[#Data],YES_Writing_FLA[#Data]),MATCH($A151,_xlfn.VSTACK(YES_Writing_ELA[Student Number],YES_Writing_FLA[Student Number]),0),MATCH(VLOOKUP(E$7,'Writing Logic'!$J$7:$K$11,2,FALSE)&amp;" - Per "&amp;VLOOKUP($C$4,'Writing Logic'!$G$8:$H$14,2,FALSE),YES_Writing_ELA[#Headers],0)))),"")</f>
        <v/>
      </c>
      <c r="F151" s="138" t="str">
        <f>IFERROR(IF(IF(INDEX(_xlfn.VSTACK(YES_Writing_ELA[#Data],YES_Writing_FLA[#Data]),MATCH($A151,_xlfn.VSTACK(YES_Writing_ELA[Student Number],YES_Writing_FLA[Student Number]),0),MATCH(VLOOKUP(F$7,'Writing Logic'!$J$7:$K$11,2,FALSE)&amp;" - Per "&amp;VLOOKUP($C$4,'Writing Logic'!$G$8:$H$14,2,FALSE),YES_Writing_ELA[#Headers],0))=0,"",INDEX(_xlfn.VSTACK(YES_Writing_ELA[#Data],YES_Writing_FLA[#Data]),MATCH($A151,_xlfn.VSTACK(YES_Writing_ELA[Student Number],YES_Writing_FLA[Student Number]),0),MATCH(VLOOKUP(F$7,'Writing Logic'!$J$7:$K$11,2,FALSE)&amp;" - Per "&amp;VLOOKUP($C$4,'Writing Logic'!$G$8:$H$14,2,FALSE),YES_Writing_ELA[#Headers],0)))="INS",'Writing Logic'!$B$7,IF(INDEX(_xlfn.VSTACK(YES_Writing_ELA[#Data],YES_Writing_FLA[#Data]),MATCH($A151,_xlfn.VSTACK(YES_Writing_ELA[Student Number],YES_Writing_FLA[Student Number]),0),MATCH(VLOOKUP(F$7,'Writing Logic'!$J$7:$K$11,2,FALSE)&amp;" - Per "&amp;VLOOKUP($C$4,'Writing Logic'!$G$8:$H$14,2,FALSE),YES_Writing_ELA[#Headers],0))=0,"",INDEX(_xlfn.VSTACK(YES_Writing_ELA[#Data],YES_Writing_FLA[#Data]),MATCH($A151,_xlfn.VSTACK(YES_Writing_ELA[Student Number],YES_Writing_FLA[Student Number]),0),MATCH(VLOOKUP(F$7,'Writing Logic'!$J$7:$K$11,2,FALSE)&amp;" - Per "&amp;VLOOKUP($C$4,'Writing Logic'!$G$8:$H$14,2,FALSE),YES_Writing_ELA[#Headers],0)))),"")</f>
        <v/>
      </c>
      <c r="G151" s="138" t="str">
        <f>IFERROR(IF(IF(INDEX(_xlfn.VSTACK(YES_Writing_ELA[#Data],YES_Writing_FLA[#Data]),MATCH($A151,_xlfn.VSTACK(YES_Writing_ELA[Student Number],YES_Writing_FLA[Student Number]),0),MATCH(VLOOKUP(G$7,'Writing Logic'!$J$7:$K$11,2,FALSE)&amp;" - Per "&amp;VLOOKUP($C$4,'Writing Logic'!$G$8:$H$14,2,FALSE),YES_Writing_ELA[#Headers],0))=0,"",INDEX(_xlfn.VSTACK(YES_Writing_ELA[#Data],YES_Writing_FLA[#Data]),MATCH($A151,_xlfn.VSTACK(YES_Writing_ELA[Student Number],YES_Writing_FLA[Student Number]),0),MATCH(VLOOKUP(G$7,'Writing Logic'!$J$7:$K$11,2,FALSE)&amp;" - Per "&amp;VLOOKUP($C$4,'Writing Logic'!$G$8:$H$14,2,FALSE),YES_Writing_ELA[#Headers],0)))="INS",'Writing Logic'!$B$7,IF(INDEX(_xlfn.VSTACK(YES_Writing_ELA[#Data],YES_Writing_FLA[#Data]),MATCH($A151,_xlfn.VSTACK(YES_Writing_ELA[Student Number],YES_Writing_FLA[Student Number]),0),MATCH(VLOOKUP(G$7,'Writing Logic'!$J$7:$K$11,2,FALSE)&amp;" - Per "&amp;VLOOKUP($C$4,'Writing Logic'!$G$8:$H$14,2,FALSE),YES_Writing_ELA[#Headers],0))=0,"",INDEX(_xlfn.VSTACK(YES_Writing_ELA[#Data],YES_Writing_FLA[#Data]),MATCH($A151,_xlfn.VSTACK(YES_Writing_ELA[Student Number],YES_Writing_FLA[Student Number]),0),MATCH(VLOOKUP(G$7,'Writing Logic'!$J$7:$K$11,2,FALSE)&amp;" - Per "&amp;VLOOKUP($C$4,'Writing Logic'!$G$8:$H$14,2,FALSE),YES_Writing_ELA[#Headers],0)))),"")</f>
        <v/>
      </c>
      <c r="H151" s="138" t="str">
        <f>IFERROR(IF(IF(INDEX(_xlfn.VSTACK(YES_Writing_ELA[#Data],YES_Writing_FLA[#Data]),MATCH($A151,_xlfn.VSTACK(YES_Writing_ELA[Student Number],YES_Writing_FLA[Student Number]),0),MATCH(VLOOKUP(H$7,'Writing Logic'!$J$7:$K$11,2,FALSE)&amp;" - Per "&amp;VLOOKUP($C$4,'Writing Logic'!$G$8:$H$14,2,FALSE),YES_Writing_ELA[#Headers],0))=0,"",INDEX(_xlfn.VSTACK(YES_Writing_ELA[#Data],YES_Writing_FLA[#Data]),MATCH($A151,_xlfn.VSTACK(YES_Writing_ELA[Student Number],YES_Writing_FLA[Student Number]),0),MATCH(VLOOKUP(H$7,'Writing Logic'!$J$7:$K$11,2,FALSE)&amp;" - Per "&amp;VLOOKUP($C$4,'Writing Logic'!$G$8:$H$14,2,FALSE),YES_Writing_ELA[#Headers],0)))="INS",'Writing Logic'!$B$7,IF(INDEX(_xlfn.VSTACK(YES_Writing_ELA[#Data],YES_Writing_FLA[#Data]),MATCH($A151,_xlfn.VSTACK(YES_Writing_ELA[Student Number],YES_Writing_FLA[Student Number]),0),MATCH(VLOOKUP(H$7,'Writing Logic'!$J$7:$K$11,2,FALSE)&amp;" - Per "&amp;VLOOKUP($C$4,'Writing Logic'!$G$8:$H$14,2,FALSE),YES_Writing_ELA[#Headers],0))=0,"",INDEX(_xlfn.VSTACK(YES_Writing_ELA[#Data],YES_Writing_FLA[#Data]),MATCH($A151,_xlfn.VSTACK(YES_Writing_ELA[Student Number],YES_Writing_FLA[Student Number]),0),MATCH(VLOOKUP(H$7,'Writing Logic'!$J$7:$K$11,2,FALSE)&amp;" - Per "&amp;VLOOKUP($C$4,'Writing Logic'!$G$8:$H$14,2,FALSE),YES_Writing_ELA[#Headers],0)))),"")</f>
        <v/>
      </c>
    </row>
    <row r="152" spans="1:8" ht="14.25" customHeight="1" x14ac:dyDescent="0.25">
      <c r="A152" s="137"/>
      <c r="B152" s="137" t="str">
        <f>IFERROR(INDEX(_xlfn.VSTACK(YES_Writing_ELA[#Data], YES_Writing_FLA[#Data]),MATCH($A152,_xlfn.VSTACK(YES_Writing_ELA[Student Number], YES_Writing_FLA[Student Number]),0),MATCH(B$7,YES_Writing_ELA[#Headers],0)),"")</f>
        <v/>
      </c>
      <c r="C152" s="137" t="str">
        <f>IFERROR(INDEX(_xlfn.VSTACK(YES_Writing_ELA[#Data], YES_Writing_FLA[#Data]),MATCH($A152,_xlfn.VSTACK(YES_Writing_ELA[Student Number], YES_Writing_FLA[Student Number]),0),MATCH(C$7,YES_Writing_ELA[#Headers],0)),"")</f>
        <v/>
      </c>
      <c r="D152" s="138" t="str">
        <f>IFERROR(IF(IF(INDEX(_xlfn.VSTACK(YES_Writing_ELA[#Data],YES_Writing_FLA[#Data]),MATCH($A152,_xlfn.VSTACK(YES_Writing_ELA[Student Number],YES_Writing_FLA[Student Number]),0),MATCH(VLOOKUP(D$7,'Writing Logic'!$J$7:$K$11,2,FALSE)&amp;" - Per "&amp;VLOOKUP($C$4,'Writing Logic'!$G$8:$H$14,2,FALSE),YES_Writing_ELA[#Headers],0))=0,"",INDEX(_xlfn.VSTACK(YES_Writing_ELA[#Data],YES_Writing_FLA[#Data]),MATCH($A152,_xlfn.VSTACK(YES_Writing_ELA[Student Number],YES_Writing_FLA[Student Number]),0),MATCH(VLOOKUP(D$7,'Writing Logic'!$J$7:$K$11,2,FALSE)&amp;" - Per "&amp;VLOOKUP($C$4,'Writing Logic'!$G$8:$H$14,2,FALSE),YES_Writing_ELA[#Headers],0)))="INS",'Writing Logic'!$B$7,IF(INDEX(_xlfn.VSTACK(YES_Writing_ELA[#Data],YES_Writing_FLA[#Data]),MATCH($A152,_xlfn.VSTACK(YES_Writing_ELA[Student Number],YES_Writing_FLA[Student Number]),0),MATCH(VLOOKUP(D$7,'Writing Logic'!$J$7:$K$11,2,FALSE)&amp;" - Per "&amp;VLOOKUP($C$4,'Writing Logic'!$G$8:$H$14,2,FALSE),YES_Writing_ELA[#Headers],0))=0,"",INDEX(_xlfn.VSTACK(YES_Writing_ELA[#Data],YES_Writing_FLA[#Data]),MATCH($A152,_xlfn.VSTACK(YES_Writing_ELA[Student Number],YES_Writing_FLA[Student Number]),0),MATCH(VLOOKUP(D$7,'Writing Logic'!$J$7:$K$11,2,FALSE)&amp;" - Per "&amp;VLOOKUP($C$4,'Writing Logic'!$G$8:$H$14,2,FALSE),YES_Writing_ELA[#Headers],0)))),"")</f>
        <v/>
      </c>
      <c r="E152" s="138" t="str">
        <f>IFERROR(IF(IF(INDEX(_xlfn.VSTACK(YES_Writing_ELA[#Data],YES_Writing_FLA[#Data]),MATCH($A152,_xlfn.VSTACK(YES_Writing_ELA[Student Number],YES_Writing_FLA[Student Number]),0),MATCH(VLOOKUP(E$7,'Writing Logic'!$J$7:$K$11,2,FALSE)&amp;" - Per "&amp;VLOOKUP($C$4,'Writing Logic'!$G$8:$H$14,2,FALSE),YES_Writing_ELA[#Headers],0))=0,"",INDEX(_xlfn.VSTACK(YES_Writing_ELA[#Data],YES_Writing_FLA[#Data]),MATCH($A152,_xlfn.VSTACK(YES_Writing_ELA[Student Number],YES_Writing_FLA[Student Number]),0),MATCH(VLOOKUP(E$7,'Writing Logic'!$J$7:$K$11,2,FALSE)&amp;" - Per "&amp;VLOOKUP($C$4,'Writing Logic'!$G$8:$H$14,2,FALSE),YES_Writing_ELA[#Headers],0)))="INS",'Writing Logic'!$B$7,IF(INDEX(_xlfn.VSTACK(YES_Writing_ELA[#Data],YES_Writing_FLA[#Data]),MATCH($A152,_xlfn.VSTACK(YES_Writing_ELA[Student Number],YES_Writing_FLA[Student Number]),0),MATCH(VLOOKUP(E$7,'Writing Logic'!$J$7:$K$11,2,FALSE)&amp;" - Per "&amp;VLOOKUP($C$4,'Writing Logic'!$G$8:$H$14,2,FALSE),YES_Writing_ELA[#Headers],0))=0,"",INDEX(_xlfn.VSTACK(YES_Writing_ELA[#Data],YES_Writing_FLA[#Data]),MATCH($A152,_xlfn.VSTACK(YES_Writing_ELA[Student Number],YES_Writing_FLA[Student Number]),0),MATCH(VLOOKUP(E$7,'Writing Logic'!$J$7:$K$11,2,FALSE)&amp;" - Per "&amp;VLOOKUP($C$4,'Writing Logic'!$G$8:$H$14,2,FALSE),YES_Writing_ELA[#Headers],0)))),"")</f>
        <v/>
      </c>
      <c r="F152" s="138" t="str">
        <f>IFERROR(IF(IF(INDEX(_xlfn.VSTACK(YES_Writing_ELA[#Data],YES_Writing_FLA[#Data]),MATCH($A152,_xlfn.VSTACK(YES_Writing_ELA[Student Number],YES_Writing_FLA[Student Number]),0),MATCH(VLOOKUP(F$7,'Writing Logic'!$J$7:$K$11,2,FALSE)&amp;" - Per "&amp;VLOOKUP($C$4,'Writing Logic'!$G$8:$H$14,2,FALSE),YES_Writing_ELA[#Headers],0))=0,"",INDEX(_xlfn.VSTACK(YES_Writing_ELA[#Data],YES_Writing_FLA[#Data]),MATCH($A152,_xlfn.VSTACK(YES_Writing_ELA[Student Number],YES_Writing_FLA[Student Number]),0),MATCH(VLOOKUP(F$7,'Writing Logic'!$J$7:$K$11,2,FALSE)&amp;" - Per "&amp;VLOOKUP($C$4,'Writing Logic'!$G$8:$H$14,2,FALSE),YES_Writing_ELA[#Headers],0)))="INS",'Writing Logic'!$B$7,IF(INDEX(_xlfn.VSTACK(YES_Writing_ELA[#Data],YES_Writing_FLA[#Data]),MATCH($A152,_xlfn.VSTACK(YES_Writing_ELA[Student Number],YES_Writing_FLA[Student Number]),0),MATCH(VLOOKUP(F$7,'Writing Logic'!$J$7:$K$11,2,FALSE)&amp;" - Per "&amp;VLOOKUP($C$4,'Writing Logic'!$G$8:$H$14,2,FALSE),YES_Writing_ELA[#Headers],0))=0,"",INDEX(_xlfn.VSTACK(YES_Writing_ELA[#Data],YES_Writing_FLA[#Data]),MATCH($A152,_xlfn.VSTACK(YES_Writing_ELA[Student Number],YES_Writing_FLA[Student Number]),0),MATCH(VLOOKUP(F$7,'Writing Logic'!$J$7:$K$11,2,FALSE)&amp;" - Per "&amp;VLOOKUP($C$4,'Writing Logic'!$G$8:$H$14,2,FALSE),YES_Writing_ELA[#Headers],0)))),"")</f>
        <v/>
      </c>
      <c r="G152" s="138" t="str">
        <f>IFERROR(IF(IF(INDEX(_xlfn.VSTACK(YES_Writing_ELA[#Data],YES_Writing_FLA[#Data]),MATCH($A152,_xlfn.VSTACK(YES_Writing_ELA[Student Number],YES_Writing_FLA[Student Number]),0),MATCH(VLOOKUP(G$7,'Writing Logic'!$J$7:$K$11,2,FALSE)&amp;" - Per "&amp;VLOOKUP($C$4,'Writing Logic'!$G$8:$H$14,2,FALSE),YES_Writing_ELA[#Headers],0))=0,"",INDEX(_xlfn.VSTACK(YES_Writing_ELA[#Data],YES_Writing_FLA[#Data]),MATCH($A152,_xlfn.VSTACK(YES_Writing_ELA[Student Number],YES_Writing_FLA[Student Number]),0),MATCH(VLOOKUP(G$7,'Writing Logic'!$J$7:$K$11,2,FALSE)&amp;" - Per "&amp;VLOOKUP($C$4,'Writing Logic'!$G$8:$H$14,2,FALSE),YES_Writing_ELA[#Headers],0)))="INS",'Writing Logic'!$B$7,IF(INDEX(_xlfn.VSTACK(YES_Writing_ELA[#Data],YES_Writing_FLA[#Data]),MATCH($A152,_xlfn.VSTACK(YES_Writing_ELA[Student Number],YES_Writing_FLA[Student Number]),0),MATCH(VLOOKUP(G$7,'Writing Logic'!$J$7:$K$11,2,FALSE)&amp;" - Per "&amp;VLOOKUP($C$4,'Writing Logic'!$G$8:$H$14,2,FALSE),YES_Writing_ELA[#Headers],0))=0,"",INDEX(_xlfn.VSTACK(YES_Writing_ELA[#Data],YES_Writing_FLA[#Data]),MATCH($A152,_xlfn.VSTACK(YES_Writing_ELA[Student Number],YES_Writing_FLA[Student Number]),0),MATCH(VLOOKUP(G$7,'Writing Logic'!$J$7:$K$11,2,FALSE)&amp;" - Per "&amp;VLOOKUP($C$4,'Writing Logic'!$G$8:$H$14,2,FALSE),YES_Writing_ELA[#Headers],0)))),"")</f>
        <v/>
      </c>
      <c r="H152" s="138" t="str">
        <f>IFERROR(IF(IF(INDEX(_xlfn.VSTACK(YES_Writing_ELA[#Data],YES_Writing_FLA[#Data]),MATCH($A152,_xlfn.VSTACK(YES_Writing_ELA[Student Number],YES_Writing_FLA[Student Number]),0),MATCH(VLOOKUP(H$7,'Writing Logic'!$J$7:$K$11,2,FALSE)&amp;" - Per "&amp;VLOOKUP($C$4,'Writing Logic'!$G$8:$H$14,2,FALSE),YES_Writing_ELA[#Headers],0))=0,"",INDEX(_xlfn.VSTACK(YES_Writing_ELA[#Data],YES_Writing_FLA[#Data]),MATCH($A152,_xlfn.VSTACK(YES_Writing_ELA[Student Number],YES_Writing_FLA[Student Number]),0),MATCH(VLOOKUP(H$7,'Writing Logic'!$J$7:$K$11,2,FALSE)&amp;" - Per "&amp;VLOOKUP($C$4,'Writing Logic'!$G$8:$H$14,2,FALSE),YES_Writing_ELA[#Headers],0)))="INS",'Writing Logic'!$B$7,IF(INDEX(_xlfn.VSTACK(YES_Writing_ELA[#Data],YES_Writing_FLA[#Data]),MATCH($A152,_xlfn.VSTACK(YES_Writing_ELA[Student Number],YES_Writing_FLA[Student Number]),0),MATCH(VLOOKUP(H$7,'Writing Logic'!$J$7:$K$11,2,FALSE)&amp;" - Per "&amp;VLOOKUP($C$4,'Writing Logic'!$G$8:$H$14,2,FALSE),YES_Writing_ELA[#Headers],0))=0,"",INDEX(_xlfn.VSTACK(YES_Writing_ELA[#Data],YES_Writing_FLA[#Data]),MATCH($A152,_xlfn.VSTACK(YES_Writing_ELA[Student Number],YES_Writing_FLA[Student Number]),0),MATCH(VLOOKUP(H$7,'Writing Logic'!$J$7:$K$11,2,FALSE)&amp;" - Per "&amp;VLOOKUP($C$4,'Writing Logic'!$G$8:$H$14,2,FALSE),YES_Writing_ELA[#Headers],0)))),"")</f>
        <v/>
      </c>
    </row>
    <row r="153" spans="1:8" ht="14.25" customHeight="1" x14ac:dyDescent="0.25">
      <c r="A153" s="137"/>
      <c r="B153" s="137" t="str">
        <f>IFERROR(INDEX(_xlfn.VSTACK(YES_Writing_ELA[#Data], YES_Writing_FLA[#Data]),MATCH($A153,_xlfn.VSTACK(YES_Writing_ELA[Student Number], YES_Writing_FLA[Student Number]),0),MATCH(B$7,YES_Writing_ELA[#Headers],0)),"")</f>
        <v/>
      </c>
      <c r="C153" s="137" t="str">
        <f>IFERROR(INDEX(_xlfn.VSTACK(YES_Writing_ELA[#Data], YES_Writing_FLA[#Data]),MATCH($A153,_xlfn.VSTACK(YES_Writing_ELA[Student Number], YES_Writing_FLA[Student Number]),0),MATCH(C$7,YES_Writing_ELA[#Headers],0)),"")</f>
        <v/>
      </c>
      <c r="D153" s="138" t="str">
        <f>IFERROR(IF(IF(INDEX(_xlfn.VSTACK(YES_Writing_ELA[#Data],YES_Writing_FLA[#Data]),MATCH($A153,_xlfn.VSTACK(YES_Writing_ELA[Student Number],YES_Writing_FLA[Student Number]),0),MATCH(VLOOKUP(D$7,'Writing Logic'!$J$7:$K$11,2,FALSE)&amp;" - Per "&amp;VLOOKUP($C$4,'Writing Logic'!$G$8:$H$14,2,FALSE),YES_Writing_ELA[#Headers],0))=0,"",INDEX(_xlfn.VSTACK(YES_Writing_ELA[#Data],YES_Writing_FLA[#Data]),MATCH($A153,_xlfn.VSTACK(YES_Writing_ELA[Student Number],YES_Writing_FLA[Student Number]),0),MATCH(VLOOKUP(D$7,'Writing Logic'!$J$7:$K$11,2,FALSE)&amp;" - Per "&amp;VLOOKUP($C$4,'Writing Logic'!$G$8:$H$14,2,FALSE),YES_Writing_ELA[#Headers],0)))="INS",'Writing Logic'!$B$7,IF(INDEX(_xlfn.VSTACK(YES_Writing_ELA[#Data],YES_Writing_FLA[#Data]),MATCH($A153,_xlfn.VSTACK(YES_Writing_ELA[Student Number],YES_Writing_FLA[Student Number]),0),MATCH(VLOOKUP(D$7,'Writing Logic'!$J$7:$K$11,2,FALSE)&amp;" - Per "&amp;VLOOKUP($C$4,'Writing Logic'!$G$8:$H$14,2,FALSE),YES_Writing_ELA[#Headers],0))=0,"",INDEX(_xlfn.VSTACK(YES_Writing_ELA[#Data],YES_Writing_FLA[#Data]),MATCH($A153,_xlfn.VSTACK(YES_Writing_ELA[Student Number],YES_Writing_FLA[Student Number]),0),MATCH(VLOOKUP(D$7,'Writing Logic'!$J$7:$K$11,2,FALSE)&amp;" - Per "&amp;VLOOKUP($C$4,'Writing Logic'!$G$8:$H$14,2,FALSE),YES_Writing_ELA[#Headers],0)))),"")</f>
        <v/>
      </c>
      <c r="E153" s="138" t="str">
        <f>IFERROR(IF(IF(INDEX(_xlfn.VSTACK(YES_Writing_ELA[#Data],YES_Writing_FLA[#Data]),MATCH($A153,_xlfn.VSTACK(YES_Writing_ELA[Student Number],YES_Writing_FLA[Student Number]),0),MATCH(VLOOKUP(E$7,'Writing Logic'!$J$7:$K$11,2,FALSE)&amp;" - Per "&amp;VLOOKUP($C$4,'Writing Logic'!$G$8:$H$14,2,FALSE),YES_Writing_ELA[#Headers],0))=0,"",INDEX(_xlfn.VSTACK(YES_Writing_ELA[#Data],YES_Writing_FLA[#Data]),MATCH($A153,_xlfn.VSTACK(YES_Writing_ELA[Student Number],YES_Writing_FLA[Student Number]),0),MATCH(VLOOKUP(E$7,'Writing Logic'!$J$7:$K$11,2,FALSE)&amp;" - Per "&amp;VLOOKUP($C$4,'Writing Logic'!$G$8:$H$14,2,FALSE),YES_Writing_ELA[#Headers],0)))="INS",'Writing Logic'!$B$7,IF(INDEX(_xlfn.VSTACK(YES_Writing_ELA[#Data],YES_Writing_FLA[#Data]),MATCH($A153,_xlfn.VSTACK(YES_Writing_ELA[Student Number],YES_Writing_FLA[Student Number]),0),MATCH(VLOOKUP(E$7,'Writing Logic'!$J$7:$K$11,2,FALSE)&amp;" - Per "&amp;VLOOKUP($C$4,'Writing Logic'!$G$8:$H$14,2,FALSE),YES_Writing_ELA[#Headers],0))=0,"",INDEX(_xlfn.VSTACK(YES_Writing_ELA[#Data],YES_Writing_FLA[#Data]),MATCH($A153,_xlfn.VSTACK(YES_Writing_ELA[Student Number],YES_Writing_FLA[Student Number]),0),MATCH(VLOOKUP(E$7,'Writing Logic'!$J$7:$K$11,2,FALSE)&amp;" - Per "&amp;VLOOKUP($C$4,'Writing Logic'!$G$8:$H$14,2,FALSE),YES_Writing_ELA[#Headers],0)))),"")</f>
        <v/>
      </c>
      <c r="F153" s="138" t="str">
        <f>IFERROR(IF(IF(INDEX(_xlfn.VSTACK(YES_Writing_ELA[#Data],YES_Writing_FLA[#Data]),MATCH($A153,_xlfn.VSTACK(YES_Writing_ELA[Student Number],YES_Writing_FLA[Student Number]),0),MATCH(VLOOKUP(F$7,'Writing Logic'!$J$7:$K$11,2,FALSE)&amp;" - Per "&amp;VLOOKUP($C$4,'Writing Logic'!$G$8:$H$14,2,FALSE),YES_Writing_ELA[#Headers],0))=0,"",INDEX(_xlfn.VSTACK(YES_Writing_ELA[#Data],YES_Writing_FLA[#Data]),MATCH($A153,_xlfn.VSTACK(YES_Writing_ELA[Student Number],YES_Writing_FLA[Student Number]),0),MATCH(VLOOKUP(F$7,'Writing Logic'!$J$7:$K$11,2,FALSE)&amp;" - Per "&amp;VLOOKUP($C$4,'Writing Logic'!$G$8:$H$14,2,FALSE),YES_Writing_ELA[#Headers],0)))="INS",'Writing Logic'!$B$7,IF(INDEX(_xlfn.VSTACK(YES_Writing_ELA[#Data],YES_Writing_FLA[#Data]),MATCH($A153,_xlfn.VSTACK(YES_Writing_ELA[Student Number],YES_Writing_FLA[Student Number]),0),MATCH(VLOOKUP(F$7,'Writing Logic'!$J$7:$K$11,2,FALSE)&amp;" - Per "&amp;VLOOKUP($C$4,'Writing Logic'!$G$8:$H$14,2,FALSE),YES_Writing_ELA[#Headers],0))=0,"",INDEX(_xlfn.VSTACK(YES_Writing_ELA[#Data],YES_Writing_FLA[#Data]),MATCH($A153,_xlfn.VSTACK(YES_Writing_ELA[Student Number],YES_Writing_FLA[Student Number]),0),MATCH(VLOOKUP(F$7,'Writing Logic'!$J$7:$K$11,2,FALSE)&amp;" - Per "&amp;VLOOKUP($C$4,'Writing Logic'!$G$8:$H$14,2,FALSE),YES_Writing_ELA[#Headers],0)))),"")</f>
        <v/>
      </c>
      <c r="G153" s="138" t="str">
        <f>IFERROR(IF(IF(INDEX(_xlfn.VSTACK(YES_Writing_ELA[#Data],YES_Writing_FLA[#Data]),MATCH($A153,_xlfn.VSTACK(YES_Writing_ELA[Student Number],YES_Writing_FLA[Student Number]),0),MATCH(VLOOKUP(G$7,'Writing Logic'!$J$7:$K$11,2,FALSE)&amp;" - Per "&amp;VLOOKUP($C$4,'Writing Logic'!$G$8:$H$14,2,FALSE),YES_Writing_ELA[#Headers],0))=0,"",INDEX(_xlfn.VSTACK(YES_Writing_ELA[#Data],YES_Writing_FLA[#Data]),MATCH($A153,_xlfn.VSTACK(YES_Writing_ELA[Student Number],YES_Writing_FLA[Student Number]),0),MATCH(VLOOKUP(G$7,'Writing Logic'!$J$7:$K$11,2,FALSE)&amp;" - Per "&amp;VLOOKUP($C$4,'Writing Logic'!$G$8:$H$14,2,FALSE),YES_Writing_ELA[#Headers],0)))="INS",'Writing Logic'!$B$7,IF(INDEX(_xlfn.VSTACK(YES_Writing_ELA[#Data],YES_Writing_FLA[#Data]),MATCH($A153,_xlfn.VSTACK(YES_Writing_ELA[Student Number],YES_Writing_FLA[Student Number]),0),MATCH(VLOOKUP(G$7,'Writing Logic'!$J$7:$K$11,2,FALSE)&amp;" - Per "&amp;VLOOKUP($C$4,'Writing Logic'!$G$8:$H$14,2,FALSE),YES_Writing_ELA[#Headers],0))=0,"",INDEX(_xlfn.VSTACK(YES_Writing_ELA[#Data],YES_Writing_FLA[#Data]),MATCH($A153,_xlfn.VSTACK(YES_Writing_ELA[Student Number],YES_Writing_FLA[Student Number]),0),MATCH(VLOOKUP(G$7,'Writing Logic'!$J$7:$K$11,2,FALSE)&amp;" - Per "&amp;VLOOKUP($C$4,'Writing Logic'!$G$8:$H$14,2,FALSE),YES_Writing_ELA[#Headers],0)))),"")</f>
        <v/>
      </c>
      <c r="H153" s="138" t="str">
        <f>IFERROR(IF(IF(INDEX(_xlfn.VSTACK(YES_Writing_ELA[#Data],YES_Writing_FLA[#Data]),MATCH($A153,_xlfn.VSTACK(YES_Writing_ELA[Student Number],YES_Writing_FLA[Student Number]),0),MATCH(VLOOKUP(H$7,'Writing Logic'!$J$7:$K$11,2,FALSE)&amp;" - Per "&amp;VLOOKUP($C$4,'Writing Logic'!$G$8:$H$14,2,FALSE),YES_Writing_ELA[#Headers],0))=0,"",INDEX(_xlfn.VSTACK(YES_Writing_ELA[#Data],YES_Writing_FLA[#Data]),MATCH($A153,_xlfn.VSTACK(YES_Writing_ELA[Student Number],YES_Writing_FLA[Student Number]),0),MATCH(VLOOKUP(H$7,'Writing Logic'!$J$7:$K$11,2,FALSE)&amp;" - Per "&amp;VLOOKUP($C$4,'Writing Logic'!$G$8:$H$14,2,FALSE),YES_Writing_ELA[#Headers],0)))="INS",'Writing Logic'!$B$7,IF(INDEX(_xlfn.VSTACK(YES_Writing_ELA[#Data],YES_Writing_FLA[#Data]),MATCH($A153,_xlfn.VSTACK(YES_Writing_ELA[Student Number],YES_Writing_FLA[Student Number]),0),MATCH(VLOOKUP(H$7,'Writing Logic'!$J$7:$K$11,2,FALSE)&amp;" - Per "&amp;VLOOKUP($C$4,'Writing Logic'!$G$8:$H$14,2,FALSE),YES_Writing_ELA[#Headers],0))=0,"",INDEX(_xlfn.VSTACK(YES_Writing_ELA[#Data],YES_Writing_FLA[#Data]),MATCH($A153,_xlfn.VSTACK(YES_Writing_ELA[Student Number],YES_Writing_FLA[Student Number]),0),MATCH(VLOOKUP(H$7,'Writing Logic'!$J$7:$K$11,2,FALSE)&amp;" - Per "&amp;VLOOKUP($C$4,'Writing Logic'!$G$8:$H$14,2,FALSE),YES_Writing_ELA[#Headers],0)))),"")</f>
        <v/>
      </c>
    </row>
    <row r="154" spans="1:8" ht="14.25" customHeight="1" x14ac:dyDescent="0.25">
      <c r="A154" s="137"/>
      <c r="B154" s="137" t="str">
        <f>IFERROR(INDEX(_xlfn.VSTACK(YES_Writing_ELA[#Data], YES_Writing_FLA[#Data]),MATCH($A154,_xlfn.VSTACK(YES_Writing_ELA[Student Number], YES_Writing_FLA[Student Number]),0),MATCH(B$7,YES_Writing_ELA[#Headers],0)),"")</f>
        <v/>
      </c>
      <c r="C154" s="137" t="str">
        <f>IFERROR(INDEX(_xlfn.VSTACK(YES_Writing_ELA[#Data], YES_Writing_FLA[#Data]),MATCH($A154,_xlfn.VSTACK(YES_Writing_ELA[Student Number], YES_Writing_FLA[Student Number]),0),MATCH(C$7,YES_Writing_ELA[#Headers],0)),"")</f>
        <v/>
      </c>
      <c r="D154" s="138" t="str">
        <f>IFERROR(IF(IF(INDEX(_xlfn.VSTACK(YES_Writing_ELA[#Data],YES_Writing_FLA[#Data]),MATCH($A154,_xlfn.VSTACK(YES_Writing_ELA[Student Number],YES_Writing_FLA[Student Number]),0),MATCH(VLOOKUP(D$7,'Writing Logic'!$J$7:$K$11,2,FALSE)&amp;" - Per "&amp;VLOOKUP($C$4,'Writing Logic'!$G$8:$H$14,2,FALSE),YES_Writing_ELA[#Headers],0))=0,"",INDEX(_xlfn.VSTACK(YES_Writing_ELA[#Data],YES_Writing_FLA[#Data]),MATCH($A154,_xlfn.VSTACK(YES_Writing_ELA[Student Number],YES_Writing_FLA[Student Number]),0),MATCH(VLOOKUP(D$7,'Writing Logic'!$J$7:$K$11,2,FALSE)&amp;" - Per "&amp;VLOOKUP($C$4,'Writing Logic'!$G$8:$H$14,2,FALSE),YES_Writing_ELA[#Headers],0)))="INS",'Writing Logic'!$B$7,IF(INDEX(_xlfn.VSTACK(YES_Writing_ELA[#Data],YES_Writing_FLA[#Data]),MATCH($A154,_xlfn.VSTACK(YES_Writing_ELA[Student Number],YES_Writing_FLA[Student Number]),0),MATCH(VLOOKUP(D$7,'Writing Logic'!$J$7:$K$11,2,FALSE)&amp;" - Per "&amp;VLOOKUP($C$4,'Writing Logic'!$G$8:$H$14,2,FALSE),YES_Writing_ELA[#Headers],0))=0,"",INDEX(_xlfn.VSTACK(YES_Writing_ELA[#Data],YES_Writing_FLA[#Data]),MATCH($A154,_xlfn.VSTACK(YES_Writing_ELA[Student Number],YES_Writing_FLA[Student Number]),0),MATCH(VLOOKUP(D$7,'Writing Logic'!$J$7:$K$11,2,FALSE)&amp;" - Per "&amp;VLOOKUP($C$4,'Writing Logic'!$G$8:$H$14,2,FALSE),YES_Writing_ELA[#Headers],0)))),"")</f>
        <v/>
      </c>
      <c r="E154" s="138" t="str">
        <f>IFERROR(IF(IF(INDEX(_xlfn.VSTACK(YES_Writing_ELA[#Data],YES_Writing_FLA[#Data]),MATCH($A154,_xlfn.VSTACK(YES_Writing_ELA[Student Number],YES_Writing_FLA[Student Number]),0),MATCH(VLOOKUP(E$7,'Writing Logic'!$J$7:$K$11,2,FALSE)&amp;" - Per "&amp;VLOOKUP($C$4,'Writing Logic'!$G$8:$H$14,2,FALSE),YES_Writing_ELA[#Headers],0))=0,"",INDEX(_xlfn.VSTACK(YES_Writing_ELA[#Data],YES_Writing_FLA[#Data]),MATCH($A154,_xlfn.VSTACK(YES_Writing_ELA[Student Number],YES_Writing_FLA[Student Number]),0),MATCH(VLOOKUP(E$7,'Writing Logic'!$J$7:$K$11,2,FALSE)&amp;" - Per "&amp;VLOOKUP($C$4,'Writing Logic'!$G$8:$H$14,2,FALSE),YES_Writing_ELA[#Headers],0)))="INS",'Writing Logic'!$B$7,IF(INDEX(_xlfn.VSTACK(YES_Writing_ELA[#Data],YES_Writing_FLA[#Data]),MATCH($A154,_xlfn.VSTACK(YES_Writing_ELA[Student Number],YES_Writing_FLA[Student Number]),0),MATCH(VLOOKUP(E$7,'Writing Logic'!$J$7:$K$11,2,FALSE)&amp;" - Per "&amp;VLOOKUP($C$4,'Writing Logic'!$G$8:$H$14,2,FALSE),YES_Writing_ELA[#Headers],0))=0,"",INDEX(_xlfn.VSTACK(YES_Writing_ELA[#Data],YES_Writing_FLA[#Data]),MATCH($A154,_xlfn.VSTACK(YES_Writing_ELA[Student Number],YES_Writing_FLA[Student Number]),0),MATCH(VLOOKUP(E$7,'Writing Logic'!$J$7:$K$11,2,FALSE)&amp;" - Per "&amp;VLOOKUP($C$4,'Writing Logic'!$G$8:$H$14,2,FALSE),YES_Writing_ELA[#Headers],0)))),"")</f>
        <v/>
      </c>
      <c r="F154" s="138" t="str">
        <f>IFERROR(IF(IF(INDEX(_xlfn.VSTACK(YES_Writing_ELA[#Data],YES_Writing_FLA[#Data]),MATCH($A154,_xlfn.VSTACK(YES_Writing_ELA[Student Number],YES_Writing_FLA[Student Number]),0),MATCH(VLOOKUP(F$7,'Writing Logic'!$J$7:$K$11,2,FALSE)&amp;" - Per "&amp;VLOOKUP($C$4,'Writing Logic'!$G$8:$H$14,2,FALSE),YES_Writing_ELA[#Headers],0))=0,"",INDEX(_xlfn.VSTACK(YES_Writing_ELA[#Data],YES_Writing_FLA[#Data]),MATCH($A154,_xlfn.VSTACK(YES_Writing_ELA[Student Number],YES_Writing_FLA[Student Number]),0),MATCH(VLOOKUP(F$7,'Writing Logic'!$J$7:$K$11,2,FALSE)&amp;" - Per "&amp;VLOOKUP($C$4,'Writing Logic'!$G$8:$H$14,2,FALSE),YES_Writing_ELA[#Headers],0)))="INS",'Writing Logic'!$B$7,IF(INDEX(_xlfn.VSTACK(YES_Writing_ELA[#Data],YES_Writing_FLA[#Data]),MATCH($A154,_xlfn.VSTACK(YES_Writing_ELA[Student Number],YES_Writing_FLA[Student Number]),0),MATCH(VLOOKUP(F$7,'Writing Logic'!$J$7:$K$11,2,FALSE)&amp;" - Per "&amp;VLOOKUP($C$4,'Writing Logic'!$G$8:$H$14,2,FALSE),YES_Writing_ELA[#Headers],0))=0,"",INDEX(_xlfn.VSTACK(YES_Writing_ELA[#Data],YES_Writing_FLA[#Data]),MATCH($A154,_xlfn.VSTACK(YES_Writing_ELA[Student Number],YES_Writing_FLA[Student Number]),0),MATCH(VLOOKUP(F$7,'Writing Logic'!$J$7:$K$11,2,FALSE)&amp;" - Per "&amp;VLOOKUP($C$4,'Writing Logic'!$G$8:$H$14,2,FALSE),YES_Writing_ELA[#Headers],0)))),"")</f>
        <v/>
      </c>
      <c r="G154" s="138" t="str">
        <f>IFERROR(IF(IF(INDEX(_xlfn.VSTACK(YES_Writing_ELA[#Data],YES_Writing_FLA[#Data]),MATCH($A154,_xlfn.VSTACK(YES_Writing_ELA[Student Number],YES_Writing_FLA[Student Number]),0),MATCH(VLOOKUP(G$7,'Writing Logic'!$J$7:$K$11,2,FALSE)&amp;" - Per "&amp;VLOOKUP($C$4,'Writing Logic'!$G$8:$H$14,2,FALSE),YES_Writing_ELA[#Headers],0))=0,"",INDEX(_xlfn.VSTACK(YES_Writing_ELA[#Data],YES_Writing_FLA[#Data]),MATCH($A154,_xlfn.VSTACK(YES_Writing_ELA[Student Number],YES_Writing_FLA[Student Number]),0),MATCH(VLOOKUP(G$7,'Writing Logic'!$J$7:$K$11,2,FALSE)&amp;" - Per "&amp;VLOOKUP($C$4,'Writing Logic'!$G$8:$H$14,2,FALSE),YES_Writing_ELA[#Headers],0)))="INS",'Writing Logic'!$B$7,IF(INDEX(_xlfn.VSTACK(YES_Writing_ELA[#Data],YES_Writing_FLA[#Data]),MATCH($A154,_xlfn.VSTACK(YES_Writing_ELA[Student Number],YES_Writing_FLA[Student Number]),0),MATCH(VLOOKUP(G$7,'Writing Logic'!$J$7:$K$11,2,FALSE)&amp;" - Per "&amp;VLOOKUP($C$4,'Writing Logic'!$G$8:$H$14,2,FALSE),YES_Writing_ELA[#Headers],0))=0,"",INDEX(_xlfn.VSTACK(YES_Writing_ELA[#Data],YES_Writing_FLA[#Data]),MATCH($A154,_xlfn.VSTACK(YES_Writing_ELA[Student Number],YES_Writing_FLA[Student Number]),0),MATCH(VLOOKUP(G$7,'Writing Logic'!$J$7:$K$11,2,FALSE)&amp;" - Per "&amp;VLOOKUP($C$4,'Writing Logic'!$G$8:$H$14,2,FALSE),YES_Writing_ELA[#Headers],0)))),"")</f>
        <v/>
      </c>
      <c r="H154" s="138" t="str">
        <f>IFERROR(IF(IF(INDEX(_xlfn.VSTACK(YES_Writing_ELA[#Data],YES_Writing_FLA[#Data]),MATCH($A154,_xlfn.VSTACK(YES_Writing_ELA[Student Number],YES_Writing_FLA[Student Number]),0),MATCH(VLOOKUP(H$7,'Writing Logic'!$J$7:$K$11,2,FALSE)&amp;" - Per "&amp;VLOOKUP($C$4,'Writing Logic'!$G$8:$H$14,2,FALSE),YES_Writing_ELA[#Headers],0))=0,"",INDEX(_xlfn.VSTACK(YES_Writing_ELA[#Data],YES_Writing_FLA[#Data]),MATCH($A154,_xlfn.VSTACK(YES_Writing_ELA[Student Number],YES_Writing_FLA[Student Number]),0),MATCH(VLOOKUP(H$7,'Writing Logic'!$J$7:$K$11,2,FALSE)&amp;" - Per "&amp;VLOOKUP($C$4,'Writing Logic'!$G$8:$H$14,2,FALSE),YES_Writing_ELA[#Headers],0)))="INS",'Writing Logic'!$B$7,IF(INDEX(_xlfn.VSTACK(YES_Writing_ELA[#Data],YES_Writing_FLA[#Data]),MATCH($A154,_xlfn.VSTACK(YES_Writing_ELA[Student Number],YES_Writing_FLA[Student Number]),0),MATCH(VLOOKUP(H$7,'Writing Logic'!$J$7:$K$11,2,FALSE)&amp;" - Per "&amp;VLOOKUP($C$4,'Writing Logic'!$G$8:$H$14,2,FALSE),YES_Writing_ELA[#Headers],0))=0,"",INDEX(_xlfn.VSTACK(YES_Writing_ELA[#Data],YES_Writing_FLA[#Data]),MATCH($A154,_xlfn.VSTACK(YES_Writing_ELA[Student Number],YES_Writing_FLA[Student Number]),0),MATCH(VLOOKUP(H$7,'Writing Logic'!$J$7:$K$11,2,FALSE)&amp;" - Per "&amp;VLOOKUP($C$4,'Writing Logic'!$G$8:$H$14,2,FALSE),YES_Writing_ELA[#Headers],0)))),"")</f>
        <v/>
      </c>
    </row>
    <row r="155" spans="1:8" ht="14.25" customHeight="1" x14ac:dyDescent="0.25">
      <c r="A155" s="137"/>
      <c r="B155" s="137" t="str">
        <f>IFERROR(INDEX(_xlfn.VSTACK(YES_Writing_ELA[#Data], YES_Writing_FLA[#Data]),MATCH($A155,_xlfn.VSTACK(YES_Writing_ELA[Student Number], YES_Writing_FLA[Student Number]),0),MATCH(B$7,YES_Writing_ELA[#Headers],0)),"")</f>
        <v/>
      </c>
      <c r="C155" s="137" t="str">
        <f>IFERROR(INDEX(_xlfn.VSTACK(YES_Writing_ELA[#Data], YES_Writing_FLA[#Data]),MATCH($A155,_xlfn.VSTACK(YES_Writing_ELA[Student Number], YES_Writing_FLA[Student Number]),0),MATCH(C$7,YES_Writing_ELA[#Headers],0)),"")</f>
        <v/>
      </c>
      <c r="D155" s="138" t="str">
        <f>IFERROR(IF(IF(INDEX(_xlfn.VSTACK(YES_Writing_ELA[#Data],YES_Writing_FLA[#Data]),MATCH($A155,_xlfn.VSTACK(YES_Writing_ELA[Student Number],YES_Writing_FLA[Student Number]),0),MATCH(VLOOKUP(D$7,'Writing Logic'!$J$7:$K$11,2,FALSE)&amp;" - Per "&amp;VLOOKUP($C$4,'Writing Logic'!$G$8:$H$14,2,FALSE),YES_Writing_ELA[#Headers],0))=0,"",INDEX(_xlfn.VSTACK(YES_Writing_ELA[#Data],YES_Writing_FLA[#Data]),MATCH($A155,_xlfn.VSTACK(YES_Writing_ELA[Student Number],YES_Writing_FLA[Student Number]),0),MATCH(VLOOKUP(D$7,'Writing Logic'!$J$7:$K$11,2,FALSE)&amp;" - Per "&amp;VLOOKUP($C$4,'Writing Logic'!$G$8:$H$14,2,FALSE),YES_Writing_ELA[#Headers],0)))="INS",'Writing Logic'!$B$7,IF(INDEX(_xlfn.VSTACK(YES_Writing_ELA[#Data],YES_Writing_FLA[#Data]),MATCH($A155,_xlfn.VSTACK(YES_Writing_ELA[Student Number],YES_Writing_FLA[Student Number]),0),MATCH(VLOOKUP(D$7,'Writing Logic'!$J$7:$K$11,2,FALSE)&amp;" - Per "&amp;VLOOKUP($C$4,'Writing Logic'!$G$8:$H$14,2,FALSE),YES_Writing_ELA[#Headers],0))=0,"",INDEX(_xlfn.VSTACK(YES_Writing_ELA[#Data],YES_Writing_FLA[#Data]),MATCH($A155,_xlfn.VSTACK(YES_Writing_ELA[Student Number],YES_Writing_FLA[Student Number]),0),MATCH(VLOOKUP(D$7,'Writing Logic'!$J$7:$K$11,2,FALSE)&amp;" - Per "&amp;VLOOKUP($C$4,'Writing Logic'!$G$8:$H$14,2,FALSE),YES_Writing_ELA[#Headers],0)))),"")</f>
        <v/>
      </c>
      <c r="E155" s="138" t="str">
        <f>IFERROR(IF(IF(INDEX(_xlfn.VSTACK(YES_Writing_ELA[#Data],YES_Writing_FLA[#Data]),MATCH($A155,_xlfn.VSTACK(YES_Writing_ELA[Student Number],YES_Writing_FLA[Student Number]),0),MATCH(VLOOKUP(E$7,'Writing Logic'!$J$7:$K$11,2,FALSE)&amp;" - Per "&amp;VLOOKUP($C$4,'Writing Logic'!$G$8:$H$14,2,FALSE),YES_Writing_ELA[#Headers],0))=0,"",INDEX(_xlfn.VSTACK(YES_Writing_ELA[#Data],YES_Writing_FLA[#Data]),MATCH($A155,_xlfn.VSTACK(YES_Writing_ELA[Student Number],YES_Writing_FLA[Student Number]),0),MATCH(VLOOKUP(E$7,'Writing Logic'!$J$7:$K$11,2,FALSE)&amp;" - Per "&amp;VLOOKUP($C$4,'Writing Logic'!$G$8:$H$14,2,FALSE),YES_Writing_ELA[#Headers],0)))="INS",'Writing Logic'!$B$7,IF(INDEX(_xlfn.VSTACK(YES_Writing_ELA[#Data],YES_Writing_FLA[#Data]),MATCH($A155,_xlfn.VSTACK(YES_Writing_ELA[Student Number],YES_Writing_FLA[Student Number]),0),MATCH(VLOOKUP(E$7,'Writing Logic'!$J$7:$K$11,2,FALSE)&amp;" - Per "&amp;VLOOKUP($C$4,'Writing Logic'!$G$8:$H$14,2,FALSE),YES_Writing_ELA[#Headers],0))=0,"",INDEX(_xlfn.VSTACK(YES_Writing_ELA[#Data],YES_Writing_FLA[#Data]),MATCH($A155,_xlfn.VSTACK(YES_Writing_ELA[Student Number],YES_Writing_FLA[Student Number]),0),MATCH(VLOOKUP(E$7,'Writing Logic'!$J$7:$K$11,2,FALSE)&amp;" - Per "&amp;VLOOKUP($C$4,'Writing Logic'!$G$8:$H$14,2,FALSE),YES_Writing_ELA[#Headers],0)))),"")</f>
        <v/>
      </c>
      <c r="F155" s="138" t="str">
        <f>IFERROR(IF(IF(INDEX(_xlfn.VSTACK(YES_Writing_ELA[#Data],YES_Writing_FLA[#Data]),MATCH($A155,_xlfn.VSTACK(YES_Writing_ELA[Student Number],YES_Writing_FLA[Student Number]),0),MATCH(VLOOKUP(F$7,'Writing Logic'!$J$7:$K$11,2,FALSE)&amp;" - Per "&amp;VLOOKUP($C$4,'Writing Logic'!$G$8:$H$14,2,FALSE),YES_Writing_ELA[#Headers],0))=0,"",INDEX(_xlfn.VSTACK(YES_Writing_ELA[#Data],YES_Writing_FLA[#Data]),MATCH($A155,_xlfn.VSTACK(YES_Writing_ELA[Student Number],YES_Writing_FLA[Student Number]),0),MATCH(VLOOKUP(F$7,'Writing Logic'!$J$7:$K$11,2,FALSE)&amp;" - Per "&amp;VLOOKUP($C$4,'Writing Logic'!$G$8:$H$14,2,FALSE),YES_Writing_ELA[#Headers],0)))="INS",'Writing Logic'!$B$7,IF(INDEX(_xlfn.VSTACK(YES_Writing_ELA[#Data],YES_Writing_FLA[#Data]),MATCH($A155,_xlfn.VSTACK(YES_Writing_ELA[Student Number],YES_Writing_FLA[Student Number]),0),MATCH(VLOOKUP(F$7,'Writing Logic'!$J$7:$K$11,2,FALSE)&amp;" - Per "&amp;VLOOKUP($C$4,'Writing Logic'!$G$8:$H$14,2,FALSE),YES_Writing_ELA[#Headers],0))=0,"",INDEX(_xlfn.VSTACK(YES_Writing_ELA[#Data],YES_Writing_FLA[#Data]),MATCH($A155,_xlfn.VSTACK(YES_Writing_ELA[Student Number],YES_Writing_FLA[Student Number]),0),MATCH(VLOOKUP(F$7,'Writing Logic'!$J$7:$K$11,2,FALSE)&amp;" - Per "&amp;VLOOKUP($C$4,'Writing Logic'!$G$8:$H$14,2,FALSE),YES_Writing_ELA[#Headers],0)))),"")</f>
        <v/>
      </c>
      <c r="G155" s="138" t="str">
        <f>IFERROR(IF(IF(INDEX(_xlfn.VSTACK(YES_Writing_ELA[#Data],YES_Writing_FLA[#Data]),MATCH($A155,_xlfn.VSTACK(YES_Writing_ELA[Student Number],YES_Writing_FLA[Student Number]),0),MATCH(VLOOKUP(G$7,'Writing Logic'!$J$7:$K$11,2,FALSE)&amp;" - Per "&amp;VLOOKUP($C$4,'Writing Logic'!$G$8:$H$14,2,FALSE),YES_Writing_ELA[#Headers],0))=0,"",INDEX(_xlfn.VSTACK(YES_Writing_ELA[#Data],YES_Writing_FLA[#Data]),MATCH($A155,_xlfn.VSTACK(YES_Writing_ELA[Student Number],YES_Writing_FLA[Student Number]),0),MATCH(VLOOKUP(G$7,'Writing Logic'!$J$7:$K$11,2,FALSE)&amp;" - Per "&amp;VLOOKUP($C$4,'Writing Logic'!$G$8:$H$14,2,FALSE),YES_Writing_ELA[#Headers],0)))="INS",'Writing Logic'!$B$7,IF(INDEX(_xlfn.VSTACK(YES_Writing_ELA[#Data],YES_Writing_FLA[#Data]),MATCH($A155,_xlfn.VSTACK(YES_Writing_ELA[Student Number],YES_Writing_FLA[Student Number]),0),MATCH(VLOOKUP(G$7,'Writing Logic'!$J$7:$K$11,2,FALSE)&amp;" - Per "&amp;VLOOKUP($C$4,'Writing Logic'!$G$8:$H$14,2,FALSE),YES_Writing_ELA[#Headers],0))=0,"",INDEX(_xlfn.VSTACK(YES_Writing_ELA[#Data],YES_Writing_FLA[#Data]),MATCH($A155,_xlfn.VSTACK(YES_Writing_ELA[Student Number],YES_Writing_FLA[Student Number]),0),MATCH(VLOOKUP(G$7,'Writing Logic'!$J$7:$K$11,2,FALSE)&amp;" - Per "&amp;VLOOKUP($C$4,'Writing Logic'!$G$8:$H$14,2,FALSE),YES_Writing_ELA[#Headers],0)))),"")</f>
        <v/>
      </c>
      <c r="H155" s="138" t="str">
        <f>IFERROR(IF(IF(INDEX(_xlfn.VSTACK(YES_Writing_ELA[#Data],YES_Writing_FLA[#Data]),MATCH($A155,_xlfn.VSTACK(YES_Writing_ELA[Student Number],YES_Writing_FLA[Student Number]),0),MATCH(VLOOKUP(H$7,'Writing Logic'!$J$7:$K$11,2,FALSE)&amp;" - Per "&amp;VLOOKUP($C$4,'Writing Logic'!$G$8:$H$14,2,FALSE),YES_Writing_ELA[#Headers],0))=0,"",INDEX(_xlfn.VSTACK(YES_Writing_ELA[#Data],YES_Writing_FLA[#Data]),MATCH($A155,_xlfn.VSTACK(YES_Writing_ELA[Student Number],YES_Writing_FLA[Student Number]),0),MATCH(VLOOKUP(H$7,'Writing Logic'!$J$7:$K$11,2,FALSE)&amp;" - Per "&amp;VLOOKUP($C$4,'Writing Logic'!$G$8:$H$14,2,FALSE),YES_Writing_ELA[#Headers],0)))="INS",'Writing Logic'!$B$7,IF(INDEX(_xlfn.VSTACK(YES_Writing_ELA[#Data],YES_Writing_FLA[#Data]),MATCH($A155,_xlfn.VSTACK(YES_Writing_ELA[Student Number],YES_Writing_FLA[Student Number]),0),MATCH(VLOOKUP(H$7,'Writing Logic'!$J$7:$K$11,2,FALSE)&amp;" - Per "&amp;VLOOKUP($C$4,'Writing Logic'!$G$8:$H$14,2,FALSE),YES_Writing_ELA[#Headers],0))=0,"",INDEX(_xlfn.VSTACK(YES_Writing_ELA[#Data],YES_Writing_FLA[#Data]),MATCH($A155,_xlfn.VSTACK(YES_Writing_ELA[Student Number],YES_Writing_FLA[Student Number]),0),MATCH(VLOOKUP(H$7,'Writing Logic'!$J$7:$K$11,2,FALSE)&amp;" - Per "&amp;VLOOKUP($C$4,'Writing Logic'!$G$8:$H$14,2,FALSE),YES_Writing_ELA[#Headers],0)))),"")</f>
        <v/>
      </c>
    </row>
    <row r="156" spans="1:8" ht="14.25" customHeight="1" x14ac:dyDescent="0.25">
      <c r="A156" s="137"/>
      <c r="B156" s="137" t="str">
        <f>IFERROR(INDEX(_xlfn.VSTACK(YES_Writing_ELA[#Data], YES_Writing_FLA[#Data]),MATCH($A156,_xlfn.VSTACK(YES_Writing_ELA[Student Number], YES_Writing_FLA[Student Number]),0),MATCH(B$7,YES_Writing_ELA[#Headers],0)),"")</f>
        <v/>
      </c>
      <c r="C156" s="137" t="str">
        <f>IFERROR(INDEX(_xlfn.VSTACK(YES_Writing_ELA[#Data], YES_Writing_FLA[#Data]),MATCH($A156,_xlfn.VSTACK(YES_Writing_ELA[Student Number], YES_Writing_FLA[Student Number]),0),MATCH(C$7,YES_Writing_ELA[#Headers],0)),"")</f>
        <v/>
      </c>
      <c r="D156" s="138" t="str">
        <f>IFERROR(IF(IF(INDEX(_xlfn.VSTACK(YES_Writing_ELA[#Data],YES_Writing_FLA[#Data]),MATCH($A156,_xlfn.VSTACK(YES_Writing_ELA[Student Number],YES_Writing_FLA[Student Number]),0),MATCH(VLOOKUP(D$7,'Writing Logic'!$J$7:$K$11,2,FALSE)&amp;" - Per "&amp;VLOOKUP($C$4,'Writing Logic'!$G$8:$H$14,2,FALSE),YES_Writing_ELA[#Headers],0))=0,"",INDEX(_xlfn.VSTACK(YES_Writing_ELA[#Data],YES_Writing_FLA[#Data]),MATCH($A156,_xlfn.VSTACK(YES_Writing_ELA[Student Number],YES_Writing_FLA[Student Number]),0),MATCH(VLOOKUP(D$7,'Writing Logic'!$J$7:$K$11,2,FALSE)&amp;" - Per "&amp;VLOOKUP($C$4,'Writing Logic'!$G$8:$H$14,2,FALSE),YES_Writing_ELA[#Headers],0)))="INS",'Writing Logic'!$B$7,IF(INDEX(_xlfn.VSTACK(YES_Writing_ELA[#Data],YES_Writing_FLA[#Data]),MATCH($A156,_xlfn.VSTACK(YES_Writing_ELA[Student Number],YES_Writing_FLA[Student Number]),0),MATCH(VLOOKUP(D$7,'Writing Logic'!$J$7:$K$11,2,FALSE)&amp;" - Per "&amp;VLOOKUP($C$4,'Writing Logic'!$G$8:$H$14,2,FALSE),YES_Writing_ELA[#Headers],0))=0,"",INDEX(_xlfn.VSTACK(YES_Writing_ELA[#Data],YES_Writing_FLA[#Data]),MATCH($A156,_xlfn.VSTACK(YES_Writing_ELA[Student Number],YES_Writing_FLA[Student Number]),0),MATCH(VLOOKUP(D$7,'Writing Logic'!$J$7:$K$11,2,FALSE)&amp;" - Per "&amp;VLOOKUP($C$4,'Writing Logic'!$G$8:$H$14,2,FALSE),YES_Writing_ELA[#Headers],0)))),"")</f>
        <v/>
      </c>
      <c r="E156" s="138" t="str">
        <f>IFERROR(IF(IF(INDEX(_xlfn.VSTACK(YES_Writing_ELA[#Data],YES_Writing_FLA[#Data]),MATCH($A156,_xlfn.VSTACK(YES_Writing_ELA[Student Number],YES_Writing_FLA[Student Number]),0),MATCH(VLOOKUP(E$7,'Writing Logic'!$J$7:$K$11,2,FALSE)&amp;" - Per "&amp;VLOOKUP($C$4,'Writing Logic'!$G$8:$H$14,2,FALSE),YES_Writing_ELA[#Headers],0))=0,"",INDEX(_xlfn.VSTACK(YES_Writing_ELA[#Data],YES_Writing_FLA[#Data]),MATCH($A156,_xlfn.VSTACK(YES_Writing_ELA[Student Number],YES_Writing_FLA[Student Number]),0),MATCH(VLOOKUP(E$7,'Writing Logic'!$J$7:$K$11,2,FALSE)&amp;" - Per "&amp;VLOOKUP($C$4,'Writing Logic'!$G$8:$H$14,2,FALSE),YES_Writing_ELA[#Headers],0)))="INS",'Writing Logic'!$B$7,IF(INDEX(_xlfn.VSTACK(YES_Writing_ELA[#Data],YES_Writing_FLA[#Data]),MATCH($A156,_xlfn.VSTACK(YES_Writing_ELA[Student Number],YES_Writing_FLA[Student Number]),0),MATCH(VLOOKUP(E$7,'Writing Logic'!$J$7:$K$11,2,FALSE)&amp;" - Per "&amp;VLOOKUP($C$4,'Writing Logic'!$G$8:$H$14,2,FALSE),YES_Writing_ELA[#Headers],0))=0,"",INDEX(_xlfn.VSTACK(YES_Writing_ELA[#Data],YES_Writing_FLA[#Data]),MATCH($A156,_xlfn.VSTACK(YES_Writing_ELA[Student Number],YES_Writing_FLA[Student Number]),0),MATCH(VLOOKUP(E$7,'Writing Logic'!$J$7:$K$11,2,FALSE)&amp;" - Per "&amp;VLOOKUP($C$4,'Writing Logic'!$G$8:$H$14,2,FALSE),YES_Writing_ELA[#Headers],0)))),"")</f>
        <v/>
      </c>
      <c r="F156" s="138" t="str">
        <f>IFERROR(IF(IF(INDEX(_xlfn.VSTACK(YES_Writing_ELA[#Data],YES_Writing_FLA[#Data]),MATCH($A156,_xlfn.VSTACK(YES_Writing_ELA[Student Number],YES_Writing_FLA[Student Number]),0),MATCH(VLOOKUP(F$7,'Writing Logic'!$J$7:$K$11,2,FALSE)&amp;" - Per "&amp;VLOOKUP($C$4,'Writing Logic'!$G$8:$H$14,2,FALSE),YES_Writing_ELA[#Headers],0))=0,"",INDEX(_xlfn.VSTACK(YES_Writing_ELA[#Data],YES_Writing_FLA[#Data]),MATCH($A156,_xlfn.VSTACK(YES_Writing_ELA[Student Number],YES_Writing_FLA[Student Number]),0),MATCH(VLOOKUP(F$7,'Writing Logic'!$J$7:$K$11,2,FALSE)&amp;" - Per "&amp;VLOOKUP($C$4,'Writing Logic'!$G$8:$H$14,2,FALSE),YES_Writing_ELA[#Headers],0)))="INS",'Writing Logic'!$B$7,IF(INDEX(_xlfn.VSTACK(YES_Writing_ELA[#Data],YES_Writing_FLA[#Data]),MATCH($A156,_xlfn.VSTACK(YES_Writing_ELA[Student Number],YES_Writing_FLA[Student Number]),0),MATCH(VLOOKUP(F$7,'Writing Logic'!$J$7:$K$11,2,FALSE)&amp;" - Per "&amp;VLOOKUP($C$4,'Writing Logic'!$G$8:$H$14,2,FALSE),YES_Writing_ELA[#Headers],0))=0,"",INDEX(_xlfn.VSTACK(YES_Writing_ELA[#Data],YES_Writing_FLA[#Data]),MATCH($A156,_xlfn.VSTACK(YES_Writing_ELA[Student Number],YES_Writing_FLA[Student Number]),0),MATCH(VLOOKUP(F$7,'Writing Logic'!$J$7:$K$11,2,FALSE)&amp;" - Per "&amp;VLOOKUP($C$4,'Writing Logic'!$G$8:$H$14,2,FALSE),YES_Writing_ELA[#Headers],0)))),"")</f>
        <v/>
      </c>
      <c r="G156" s="138" t="str">
        <f>IFERROR(IF(IF(INDEX(_xlfn.VSTACK(YES_Writing_ELA[#Data],YES_Writing_FLA[#Data]),MATCH($A156,_xlfn.VSTACK(YES_Writing_ELA[Student Number],YES_Writing_FLA[Student Number]),0),MATCH(VLOOKUP(G$7,'Writing Logic'!$J$7:$K$11,2,FALSE)&amp;" - Per "&amp;VLOOKUP($C$4,'Writing Logic'!$G$8:$H$14,2,FALSE),YES_Writing_ELA[#Headers],0))=0,"",INDEX(_xlfn.VSTACK(YES_Writing_ELA[#Data],YES_Writing_FLA[#Data]),MATCH($A156,_xlfn.VSTACK(YES_Writing_ELA[Student Number],YES_Writing_FLA[Student Number]),0),MATCH(VLOOKUP(G$7,'Writing Logic'!$J$7:$K$11,2,FALSE)&amp;" - Per "&amp;VLOOKUP($C$4,'Writing Logic'!$G$8:$H$14,2,FALSE),YES_Writing_ELA[#Headers],0)))="INS",'Writing Logic'!$B$7,IF(INDEX(_xlfn.VSTACK(YES_Writing_ELA[#Data],YES_Writing_FLA[#Data]),MATCH($A156,_xlfn.VSTACK(YES_Writing_ELA[Student Number],YES_Writing_FLA[Student Number]),0),MATCH(VLOOKUP(G$7,'Writing Logic'!$J$7:$K$11,2,FALSE)&amp;" - Per "&amp;VLOOKUP($C$4,'Writing Logic'!$G$8:$H$14,2,FALSE),YES_Writing_ELA[#Headers],0))=0,"",INDEX(_xlfn.VSTACK(YES_Writing_ELA[#Data],YES_Writing_FLA[#Data]),MATCH($A156,_xlfn.VSTACK(YES_Writing_ELA[Student Number],YES_Writing_FLA[Student Number]),0),MATCH(VLOOKUP(G$7,'Writing Logic'!$J$7:$K$11,2,FALSE)&amp;" - Per "&amp;VLOOKUP($C$4,'Writing Logic'!$G$8:$H$14,2,FALSE),YES_Writing_ELA[#Headers],0)))),"")</f>
        <v/>
      </c>
      <c r="H156" s="138" t="str">
        <f>IFERROR(IF(IF(INDEX(_xlfn.VSTACK(YES_Writing_ELA[#Data],YES_Writing_FLA[#Data]),MATCH($A156,_xlfn.VSTACK(YES_Writing_ELA[Student Number],YES_Writing_FLA[Student Number]),0),MATCH(VLOOKUP(H$7,'Writing Logic'!$J$7:$K$11,2,FALSE)&amp;" - Per "&amp;VLOOKUP($C$4,'Writing Logic'!$G$8:$H$14,2,FALSE),YES_Writing_ELA[#Headers],0))=0,"",INDEX(_xlfn.VSTACK(YES_Writing_ELA[#Data],YES_Writing_FLA[#Data]),MATCH($A156,_xlfn.VSTACK(YES_Writing_ELA[Student Number],YES_Writing_FLA[Student Number]),0),MATCH(VLOOKUP(H$7,'Writing Logic'!$J$7:$K$11,2,FALSE)&amp;" - Per "&amp;VLOOKUP($C$4,'Writing Logic'!$G$8:$H$14,2,FALSE),YES_Writing_ELA[#Headers],0)))="INS",'Writing Logic'!$B$7,IF(INDEX(_xlfn.VSTACK(YES_Writing_ELA[#Data],YES_Writing_FLA[#Data]),MATCH($A156,_xlfn.VSTACK(YES_Writing_ELA[Student Number],YES_Writing_FLA[Student Number]),0),MATCH(VLOOKUP(H$7,'Writing Logic'!$J$7:$K$11,2,FALSE)&amp;" - Per "&amp;VLOOKUP($C$4,'Writing Logic'!$G$8:$H$14,2,FALSE),YES_Writing_ELA[#Headers],0))=0,"",INDEX(_xlfn.VSTACK(YES_Writing_ELA[#Data],YES_Writing_FLA[#Data]),MATCH($A156,_xlfn.VSTACK(YES_Writing_ELA[Student Number],YES_Writing_FLA[Student Number]),0),MATCH(VLOOKUP(H$7,'Writing Logic'!$J$7:$K$11,2,FALSE)&amp;" - Per "&amp;VLOOKUP($C$4,'Writing Logic'!$G$8:$H$14,2,FALSE),YES_Writing_ELA[#Headers],0)))),"")</f>
        <v/>
      </c>
    </row>
    <row r="157" spans="1:8" ht="14.25" customHeight="1" x14ac:dyDescent="0.25">
      <c r="A157" s="137"/>
      <c r="B157" s="137" t="str">
        <f>IFERROR(INDEX(_xlfn.VSTACK(YES_Writing_ELA[#Data], YES_Writing_FLA[#Data]),MATCH($A157,_xlfn.VSTACK(YES_Writing_ELA[Student Number], YES_Writing_FLA[Student Number]),0),MATCH(B$7,YES_Writing_ELA[#Headers],0)),"")</f>
        <v/>
      </c>
      <c r="C157" s="137" t="str">
        <f>IFERROR(INDEX(_xlfn.VSTACK(YES_Writing_ELA[#Data], YES_Writing_FLA[#Data]),MATCH($A157,_xlfn.VSTACK(YES_Writing_ELA[Student Number], YES_Writing_FLA[Student Number]),0),MATCH(C$7,YES_Writing_ELA[#Headers],0)),"")</f>
        <v/>
      </c>
      <c r="D157" s="138" t="str">
        <f>IFERROR(IF(IF(INDEX(_xlfn.VSTACK(YES_Writing_ELA[#Data],YES_Writing_FLA[#Data]),MATCH($A157,_xlfn.VSTACK(YES_Writing_ELA[Student Number],YES_Writing_FLA[Student Number]),0),MATCH(VLOOKUP(D$7,'Writing Logic'!$J$7:$K$11,2,FALSE)&amp;" - Per "&amp;VLOOKUP($C$4,'Writing Logic'!$G$8:$H$14,2,FALSE),YES_Writing_ELA[#Headers],0))=0,"",INDEX(_xlfn.VSTACK(YES_Writing_ELA[#Data],YES_Writing_FLA[#Data]),MATCH($A157,_xlfn.VSTACK(YES_Writing_ELA[Student Number],YES_Writing_FLA[Student Number]),0),MATCH(VLOOKUP(D$7,'Writing Logic'!$J$7:$K$11,2,FALSE)&amp;" - Per "&amp;VLOOKUP($C$4,'Writing Logic'!$G$8:$H$14,2,FALSE),YES_Writing_ELA[#Headers],0)))="INS",'Writing Logic'!$B$7,IF(INDEX(_xlfn.VSTACK(YES_Writing_ELA[#Data],YES_Writing_FLA[#Data]),MATCH($A157,_xlfn.VSTACK(YES_Writing_ELA[Student Number],YES_Writing_FLA[Student Number]),0),MATCH(VLOOKUP(D$7,'Writing Logic'!$J$7:$K$11,2,FALSE)&amp;" - Per "&amp;VLOOKUP($C$4,'Writing Logic'!$G$8:$H$14,2,FALSE),YES_Writing_ELA[#Headers],0))=0,"",INDEX(_xlfn.VSTACK(YES_Writing_ELA[#Data],YES_Writing_FLA[#Data]),MATCH($A157,_xlfn.VSTACK(YES_Writing_ELA[Student Number],YES_Writing_FLA[Student Number]),0),MATCH(VLOOKUP(D$7,'Writing Logic'!$J$7:$K$11,2,FALSE)&amp;" - Per "&amp;VLOOKUP($C$4,'Writing Logic'!$G$8:$H$14,2,FALSE),YES_Writing_ELA[#Headers],0)))),"")</f>
        <v/>
      </c>
      <c r="E157" s="138" t="str">
        <f>IFERROR(IF(IF(INDEX(_xlfn.VSTACK(YES_Writing_ELA[#Data],YES_Writing_FLA[#Data]),MATCH($A157,_xlfn.VSTACK(YES_Writing_ELA[Student Number],YES_Writing_FLA[Student Number]),0),MATCH(VLOOKUP(E$7,'Writing Logic'!$J$7:$K$11,2,FALSE)&amp;" - Per "&amp;VLOOKUP($C$4,'Writing Logic'!$G$8:$H$14,2,FALSE),YES_Writing_ELA[#Headers],0))=0,"",INDEX(_xlfn.VSTACK(YES_Writing_ELA[#Data],YES_Writing_FLA[#Data]),MATCH($A157,_xlfn.VSTACK(YES_Writing_ELA[Student Number],YES_Writing_FLA[Student Number]),0),MATCH(VLOOKUP(E$7,'Writing Logic'!$J$7:$K$11,2,FALSE)&amp;" - Per "&amp;VLOOKUP($C$4,'Writing Logic'!$G$8:$H$14,2,FALSE),YES_Writing_ELA[#Headers],0)))="INS",'Writing Logic'!$B$7,IF(INDEX(_xlfn.VSTACK(YES_Writing_ELA[#Data],YES_Writing_FLA[#Data]),MATCH($A157,_xlfn.VSTACK(YES_Writing_ELA[Student Number],YES_Writing_FLA[Student Number]),0),MATCH(VLOOKUP(E$7,'Writing Logic'!$J$7:$K$11,2,FALSE)&amp;" - Per "&amp;VLOOKUP($C$4,'Writing Logic'!$G$8:$H$14,2,FALSE),YES_Writing_ELA[#Headers],0))=0,"",INDEX(_xlfn.VSTACK(YES_Writing_ELA[#Data],YES_Writing_FLA[#Data]),MATCH($A157,_xlfn.VSTACK(YES_Writing_ELA[Student Number],YES_Writing_FLA[Student Number]),0),MATCH(VLOOKUP(E$7,'Writing Logic'!$J$7:$K$11,2,FALSE)&amp;" - Per "&amp;VLOOKUP($C$4,'Writing Logic'!$G$8:$H$14,2,FALSE),YES_Writing_ELA[#Headers],0)))),"")</f>
        <v/>
      </c>
      <c r="F157" s="138" t="str">
        <f>IFERROR(IF(IF(INDEX(_xlfn.VSTACK(YES_Writing_ELA[#Data],YES_Writing_FLA[#Data]),MATCH($A157,_xlfn.VSTACK(YES_Writing_ELA[Student Number],YES_Writing_FLA[Student Number]),0),MATCH(VLOOKUP(F$7,'Writing Logic'!$J$7:$K$11,2,FALSE)&amp;" - Per "&amp;VLOOKUP($C$4,'Writing Logic'!$G$8:$H$14,2,FALSE),YES_Writing_ELA[#Headers],0))=0,"",INDEX(_xlfn.VSTACK(YES_Writing_ELA[#Data],YES_Writing_FLA[#Data]),MATCH($A157,_xlfn.VSTACK(YES_Writing_ELA[Student Number],YES_Writing_FLA[Student Number]),0),MATCH(VLOOKUP(F$7,'Writing Logic'!$J$7:$K$11,2,FALSE)&amp;" - Per "&amp;VLOOKUP($C$4,'Writing Logic'!$G$8:$H$14,2,FALSE),YES_Writing_ELA[#Headers],0)))="INS",'Writing Logic'!$B$7,IF(INDEX(_xlfn.VSTACK(YES_Writing_ELA[#Data],YES_Writing_FLA[#Data]),MATCH($A157,_xlfn.VSTACK(YES_Writing_ELA[Student Number],YES_Writing_FLA[Student Number]),0),MATCH(VLOOKUP(F$7,'Writing Logic'!$J$7:$K$11,2,FALSE)&amp;" - Per "&amp;VLOOKUP($C$4,'Writing Logic'!$G$8:$H$14,2,FALSE),YES_Writing_ELA[#Headers],0))=0,"",INDEX(_xlfn.VSTACK(YES_Writing_ELA[#Data],YES_Writing_FLA[#Data]),MATCH($A157,_xlfn.VSTACK(YES_Writing_ELA[Student Number],YES_Writing_FLA[Student Number]),0),MATCH(VLOOKUP(F$7,'Writing Logic'!$J$7:$K$11,2,FALSE)&amp;" - Per "&amp;VLOOKUP($C$4,'Writing Logic'!$G$8:$H$14,2,FALSE),YES_Writing_ELA[#Headers],0)))),"")</f>
        <v/>
      </c>
      <c r="G157" s="138" t="str">
        <f>IFERROR(IF(IF(INDEX(_xlfn.VSTACK(YES_Writing_ELA[#Data],YES_Writing_FLA[#Data]),MATCH($A157,_xlfn.VSTACK(YES_Writing_ELA[Student Number],YES_Writing_FLA[Student Number]),0),MATCH(VLOOKUP(G$7,'Writing Logic'!$J$7:$K$11,2,FALSE)&amp;" - Per "&amp;VLOOKUP($C$4,'Writing Logic'!$G$8:$H$14,2,FALSE),YES_Writing_ELA[#Headers],0))=0,"",INDEX(_xlfn.VSTACK(YES_Writing_ELA[#Data],YES_Writing_FLA[#Data]),MATCH($A157,_xlfn.VSTACK(YES_Writing_ELA[Student Number],YES_Writing_FLA[Student Number]),0),MATCH(VLOOKUP(G$7,'Writing Logic'!$J$7:$K$11,2,FALSE)&amp;" - Per "&amp;VLOOKUP($C$4,'Writing Logic'!$G$8:$H$14,2,FALSE),YES_Writing_ELA[#Headers],0)))="INS",'Writing Logic'!$B$7,IF(INDEX(_xlfn.VSTACK(YES_Writing_ELA[#Data],YES_Writing_FLA[#Data]),MATCH($A157,_xlfn.VSTACK(YES_Writing_ELA[Student Number],YES_Writing_FLA[Student Number]),0),MATCH(VLOOKUP(G$7,'Writing Logic'!$J$7:$K$11,2,FALSE)&amp;" - Per "&amp;VLOOKUP($C$4,'Writing Logic'!$G$8:$H$14,2,FALSE),YES_Writing_ELA[#Headers],0))=0,"",INDEX(_xlfn.VSTACK(YES_Writing_ELA[#Data],YES_Writing_FLA[#Data]),MATCH($A157,_xlfn.VSTACK(YES_Writing_ELA[Student Number],YES_Writing_FLA[Student Number]),0),MATCH(VLOOKUP(G$7,'Writing Logic'!$J$7:$K$11,2,FALSE)&amp;" - Per "&amp;VLOOKUP($C$4,'Writing Logic'!$G$8:$H$14,2,FALSE),YES_Writing_ELA[#Headers],0)))),"")</f>
        <v/>
      </c>
      <c r="H157" s="138" t="str">
        <f>IFERROR(IF(IF(INDEX(_xlfn.VSTACK(YES_Writing_ELA[#Data],YES_Writing_FLA[#Data]),MATCH($A157,_xlfn.VSTACK(YES_Writing_ELA[Student Number],YES_Writing_FLA[Student Number]),0),MATCH(VLOOKUP(H$7,'Writing Logic'!$J$7:$K$11,2,FALSE)&amp;" - Per "&amp;VLOOKUP($C$4,'Writing Logic'!$G$8:$H$14,2,FALSE),YES_Writing_ELA[#Headers],0))=0,"",INDEX(_xlfn.VSTACK(YES_Writing_ELA[#Data],YES_Writing_FLA[#Data]),MATCH($A157,_xlfn.VSTACK(YES_Writing_ELA[Student Number],YES_Writing_FLA[Student Number]),0),MATCH(VLOOKUP(H$7,'Writing Logic'!$J$7:$K$11,2,FALSE)&amp;" - Per "&amp;VLOOKUP($C$4,'Writing Logic'!$G$8:$H$14,2,FALSE),YES_Writing_ELA[#Headers],0)))="INS",'Writing Logic'!$B$7,IF(INDEX(_xlfn.VSTACK(YES_Writing_ELA[#Data],YES_Writing_FLA[#Data]),MATCH($A157,_xlfn.VSTACK(YES_Writing_ELA[Student Number],YES_Writing_FLA[Student Number]),0),MATCH(VLOOKUP(H$7,'Writing Logic'!$J$7:$K$11,2,FALSE)&amp;" - Per "&amp;VLOOKUP($C$4,'Writing Logic'!$G$8:$H$14,2,FALSE),YES_Writing_ELA[#Headers],0))=0,"",INDEX(_xlfn.VSTACK(YES_Writing_ELA[#Data],YES_Writing_FLA[#Data]),MATCH($A157,_xlfn.VSTACK(YES_Writing_ELA[Student Number],YES_Writing_FLA[Student Number]),0),MATCH(VLOOKUP(H$7,'Writing Logic'!$J$7:$K$11,2,FALSE)&amp;" - Per "&amp;VLOOKUP($C$4,'Writing Logic'!$G$8:$H$14,2,FALSE),YES_Writing_ELA[#Headers],0)))),"")</f>
        <v/>
      </c>
    </row>
    <row r="158" spans="1:8" ht="14.25" customHeight="1" x14ac:dyDescent="0.25">
      <c r="A158" s="137"/>
      <c r="B158" s="137" t="str">
        <f>IFERROR(INDEX(_xlfn.VSTACK(YES_Writing_ELA[#Data], YES_Writing_FLA[#Data]),MATCH($A158,_xlfn.VSTACK(YES_Writing_ELA[Student Number], YES_Writing_FLA[Student Number]),0),MATCH(B$7,YES_Writing_ELA[#Headers],0)),"")</f>
        <v/>
      </c>
      <c r="C158" s="137" t="str">
        <f>IFERROR(INDEX(_xlfn.VSTACK(YES_Writing_ELA[#Data], YES_Writing_FLA[#Data]),MATCH($A158,_xlfn.VSTACK(YES_Writing_ELA[Student Number], YES_Writing_FLA[Student Number]),0),MATCH(C$7,YES_Writing_ELA[#Headers],0)),"")</f>
        <v/>
      </c>
      <c r="D158" s="138" t="str">
        <f>IFERROR(IF(IF(INDEX(_xlfn.VSTACK(YES_Writing_ELA[#Data],YES_Writing_FLA[#Data]),MATCH($A158,_xlfn.VSTACK(YES_Writing_ELA[Student Number],YES_Writing_FLA[Student Number]),0),MATCH(VLOOKUP(D$7,'Writing Logic'!$J$7:$K$11,2,FALSE)&amp;" - Per "&amp;VLOOKUP($C$4,'Writing Logic'!$G$8:$H$14,2,FALSE),YES_Writing_ELA[#Headers],0))=0,"",INDEX(_xlfn.VSTACK(YES_Writing_ELA[#Data],YES_Writing_FLA[#Data]),MATCH($A158,_xlfn.VSTACK(YES_Writing_ELA[Student Number],YES_Writing_FLA[Student Number]),0),MATCH(VLOOKUP(D$7,'Writing Logic'!$J$7:$K$11,2,FALSE)&amp;" - Per "&amp;VLOOKUP($C$4,'Writing Logic'!$G$8:$H$14,2,FALSE),YES_Writing_ELA[#Headers],0)))="INS",'Writing Logic'!$B$7,IF(INDEX(_xlfn.VSTACK(YES_Writing_ELA[#Data],YES_Writing_FLA[#Data]),MATCH($A158,_xlfn.VSTACK(YES_Writing_ELA[Student Number],YES_Writing_FLA[Student Number]),0),MATCH(VLOOKUP(D$7,'Writing Logic'!$J$7:$K$11,2,FALSE)&amp;" - Per "&amp;VLOOKUP($C$4,'Writing Logic'!$G$8:$H$14,2,FALSE),YES_Writing_ELA[#Headers],0))=0,"",INDEX(_xlfn.VSTACK(YES_Writing_ELA[#Data],YES_Writing_FLA[#Data]),MATCH($A158,_xlfn.VSTACK(YES_Writing_ELA[Student Number],YES_Writing_FLA[Student Number]),0),MATCH(VLOOKUP(D$7,'Writing Logic'!$J$7:$K$11,2,FALSE)&amp;" - Per "&amp;VLOOKUP($C$4,'Writing Logic'!$G$8:$H$14,2,FALSE),YES_Writing_ELA[#Headers],0)))),"")</f>
        <v/>
      </c>
      <c r="E158" s="138" t="str">
        <f>IFERROR(IF(IF(INDEX(_xlfn.VSTACK(YES_Writing_ELA[#Data],YES_Writing_FLA[#Data]),MATCH($A158,_xlfn.VSTACK(YES_Writing_ELA[Student Number],YES_Writing_FLA[Student Number]),0),MATCH(VLOOKUP(E$7,'Writing Logic'!$J$7:$K$11,2,FALSE)&amp;" - Per "&amp;VLOOKUP($C$4,'Writing Logic'!$G$8:$H$14,2,FALSE),YES_Writing_ELA[#Headers],0))=0,"",INDEX(_xlfn.VSTACK(YES_Writing_ELA[#Data],YES_Writing_FLA[#Data]),MATCH($A158,_xlfn.VSTACK(YES_Writing_ELA[Student Number],YES_Writing_FLA[Student Number]),0),MATCH(VLOOKUP(E$7,'Writing Logic'!$J$7:$K$11,2,FALSE)&amp;" - Per "&amp;VLOOKUP($C$4,'Writing Logic'!$G$8:$H$14,2,FALSE),YES_Writing_ELA[#Headers],0)))="INS",'Writing Logic'!$B$7,IF(INDEX(_xlfn.VSTACK(YES_Writing_ELA[#Data],YES_Writing_FLA[#Data]),MATCH($A158,_xlfn.VSTACK(YES_Writing_ELA[Student Number],YES_Writing_FLA[Student Number]),0),MATCH(VLOOKUP(E$7,'Writing Logic'!$J$7:$K$11,2,FALSE)&amp;" - Per "&amp;VLOOKUP($C$4,'Writing Logic'!$G$8:$H$14,2,FALSE),YES_Writing_ELA[#Headers],0))=0,"",INDEX(_xlfn.VSTACK(YES_Writing_ELA[#Data],YES_Writing_FLA[#Data]),MATCH($A158,_xlfn.VSTACK(YES_Writing_ELA[Student Number],YES_Writing_FLA[Student Number]),0),MATCH(VLOOKUP(E$7,'Writing Logic'!$J$7:$K$11,2,FALSE)&amp;" - Per "&amp;VLOOKUP($C$4,'Writing Logic'!$G$8:$H$14,2,FALSE),YES_Writing_ELA[#Headers],0)))),"")</f>
        <v/>
      </c>
      <c r="F158" s="138" t="str">
        <f>IFERROR(IF(IF(INDEX(_xlfn.VSTACK(YES_Writing_ELA[#Data],YES_Writing_FLA[#Data]),MATCH($A158,_xlfn.VSTACK(YES_Writing_ELA[Student Number],YES_Writing_FLA[Student Number]),0),MATCH(VLOOKUP(F$7,'Writing Logic'!$J$7:$K$11,2,FALSE)&amp;" - Per "&amp;VLOOKUP($C$4,'Writing Logic'!$G$8:$H$14,2,FALSE),YES_Writing_ELA[#Headers],0))=0,"",INDEX(_xlfn.VSTACK(YES_Writing_ELA[#Data],YES_Writing_FLA[#Data]),MATCH($A158,_xlfn.VSTACK(YES_Writing_ELA[Student Number],YES_Writing_FLA[Student Number]),0),MATCH(VLOOKUP(F$7,'Writing Logic'!$J$7:$K$11,2,FALSE)&amp;" - Per "&amp;VLOOKUP($C$4,'Writing Logic'!$G$8:$H$14,2,FALSE),YES_Writing_ELA[#Headers],0)))="INS",'Writing Logic'!$B$7,IF(INDEX(_xlfn.VSTACK(YES_Writing_ELA[#Data],YES_Writing_FLA[#Data]),MATCH($A158,_xlfn.VSTACK(YES_Writing_ELA[Student Number],YES_Writing_FLA[Student Number]),0),MATCH(VLOOKUP(F$7,'Writing Logic'!$J$7:$K$11,2,FALSE)&amp;" - Per "&amp;VLOOKUP($C$4,'Writing Logic'!$G$8:$H$14,2,FALSE),YES_Writing_ELA[#Headers],0))=0,"",INDEX(_xlfn.VSTACK(YES_Writing_ELA[#Data],YES_Writing_FLA[#Data]),MATCH($A158,_xlfn.VSTACK(YES_Writing_ELA[Student Number],YES_Writing_FLA[Student Number]),0),MATCH(VLOOKUP(F$7,'Writing Logic'!$J$7:$K$11,2,FALSE)&amp;" - Per "&amp;VLOOKUP($C$4,'Writing Logic'!$G$8:$H$14,2,FALSE),YES_Writing_ELA[#Headers],0)))),"")</f>
        <v/>
      </c>
      <c r="G158" s="138" t="str">
        <f>IFERROR(IF(IF(INDEX(_xlfn.VSTACK(YES_Writing_ELA[#Data],YES_Writing_FLA[#Data]),MATCH($A158,_xlfn.VSTACK(YES_Writing_ELA[Student Number],YES_Writing_FLA[Student Number]),0),MATCH(VLOOKUP(G$7,'Writing Logic'!$J$7:$K$11,2,FALSE)&amp;" - Per "&amp;VLOOKUP($C$4,'Writing Logic'!$G$8:$H$14,2,FALSE),YES_Writing_ELA[#Headers],0))=0,"",INDEX(_xlfn.VSTACK(YES_Writing_ELA[#Data],YES_Writing_FLA[#Data]),MATCH($A158,_xlfn.VSTACK(YES_Writing_ELA[Student Number],YES_Writing_FLA[Student Number]),0),MATCH(VLOOKUP(G$7,'Writing Logic'!$J$7:$K$11,2,FALSE)&amp;" - Per "&amp;VLOOKUP($C$4,'Writing Logic'!$G$8:$H$14,2,FALSE),YES_Writing_ELA[#Headers],0)))="INS",'Writing Logic'!$B$7,IF(INDEX(_xlfn.VSTACK(YES_Writing_ELA[#Data],YES_Writing_FLA[#Data]),MATCH($A158,_xlfn.VSTACK(YES_Writing_ELA[Student Number],YES_Writing_FLA[Student Number]),0),MATCH(VLOOKUP(G$7,'Writing Logic'!$J$7:$K$11,2,FALSE)&amp;" - Per "&amp;VLOOKUP($C$4,'Writing Logic'!$G$8:$H$14,2,FALSE),YES_Writing_ELA[#Headers],0))=0,"",INDEX(_xlfn.VSTACK(YES_Writing_ELA[#Data],YES_Writing_FLA[#Data]),MATCH($A158,_xlfn.VSTACK(YES_Writing_ELA[Student Number],YES_Writing_FLA[Student Number]),0),MATCH(VLOOKUP(G$7,'Writing Logic'!$J$7:$K$11,2,FALSE)&amp;" - Per "&amp;VLOOKUP($C$4,'Writing Logic'!$G$8:$H$14,2,FALSE),YES_Writing_ELA[#Headers],0)))),"")</f>
        <v/>
      </c>
      <c r="H158" s="138" t="str">
        <f>IFERROR(IF(IF(INDEX(_xlfn.VSTACK(YES_Writing_ELA[#Data],YES_Writing_FLA[#Data]),MATCH($A158,_xlfn.VSTACK(YES_Writing_ELA[Student Number],YES_Writing_FLA[Student Number]),0),MATCH(VLOOKUP(H$7,'Writing Logic'!$J$7:$K$11,2,FALSE)&amp;" - Per "&amp;VLOOKUP($C$4,'Writing Logic'!$G$8:$H$14,2,FALSE),YES_Writing_ELA[#Headers],0))=0,"",INDEX(_xlfn.VSTACK(YES_Writing_ELA[#Data],YES_Writing_FLA[#Data]),MATCH($A158,_xlfn.VSTACK(YES_Writing_ELA[Student Number],YES_Writing_FLA[Student Number]),0),MATCH(VLOOKUP(H$7,'Writing Logic'!$J$7:$K$11,2,FALSE)&amp;" - Per "&amp;VLOOKUP($C$4,'Writing Logic'!$G$8:$H$14,2,FALSE),YES_Writing_ELA[#Headers],0)))="INS",'Writing Logic'!$B$7,IF(INDEX(_xlfn.VSTACK(YES_Writing_ELA[#Data],YES_Writing_FLA[#Data]),MATCH($A158,_xlfn.VSTACK(YES_Writing_ELA[Student Number],YES_Writing_FLA[Student Number]),0),MATCH(VLOOKUP(H$7,'Writing Logic'!$J$7:$K$11,2,FALSE)&amp;" - Per "&amp;VLOOKUP($C$4,'Writing Logic'!$G$8:$H$14,2,FALSE),YES_Writing_ELA[#Headers],0))=0,"",INDEX(_xlfn.VSTACK(YES_Writing_ELA[#Data],YES_Writing_FLA[#Data]),MATCH($A158,_xlfn.VSTACK(YES_Writing_ELA[Student Number],YES_Writing_FLA[Student Number]),0),MATCH(VLOOKUP(H$7,'Writing Logic'!$J$7:$K$11,2,FALSE)&amp;" - Per "&amp;VLOOKUP($C$4,'Writing Logic'!$G$8:$H$14,2,FALSE),YES_Writing_ELA[#Headers],0)))),"")</f>
        <v/>
      </c>
    </row>
    <row r="159" spans="1:8" ht="14.25" customHeight="1" x14ac:dyDescent="0.25">
      <c r="A159" s="137"/>
      <c r="B159" s="137" t="str">
        <f>IFERROR(INDEX(_xlfn.VSTACK(YES_Writing_ELA[#Data], YES_Writing_FLA[#Data]),MATCH($A159,_xlfn.VSTACK(YES_Writing_ELA[Student Number], YES_Writing_FLA[Student Number]),0),MATCH(B$7,YES_Writing_ELA[#Headers],0)),"")</f>
        <v/>
      </c>
      <c r="C159" s="137" t="str">
        <f>IFERROR(INDEX(_xlfn.VSTACK(YES_Writing_ELA[#Data], YES_Writing_FLA[#Data]),MATCH($A159,_xlfn.VSTACK(YES_Writing_ELA[Student Number], YES_Writing_FLA[Student Number]),0),MATCH(C$7,YES_Writing_ELA[#Headers],0)),"")</f>
        <v/>
      </c>
      <c r="D159" s="138" t="str">
        <f>IFERROR(IF(IF(INDEX(_xlfn.VSTACK(YES_Writing_ELA[#Data],YES_Writing_FLA[#Data]),MATCH($A159,_xlfn.VSTACK(YES_Writing_ELA[Student Number],YES_Writing_FLA[Student Number]),0),MATCH(VLOOKUP(D$7,'Writing Logic'!$J$7:$K$11,2,FALSE)&amp;" - Per "&amp;VLOOKUP($C$4,'Writing Logic'!$G$8:$H$14,2,FALSE),YES_Writing_ELA[#Headers],0))=0,"",INDEX(_xlfn.VSTACK(YES_Writing_ELA[#Data],YES_Writing_FLA[#Data]),MATCH($A159,_xlfn.VSTACK(YES_Writing_ELA[Student Number],YES_Writing_FLA[Student Number]),0),MATCH(VLOOKUP(D$7,'Writing Logic'!$J$7:$K$11,2,FALSE)&amp;" - Per "&amp;VLOOKUP($C$4,'Writing Logic'!$G$8:$H$14,2,FALSE),YES_Writing_ELA[#Headers],0)))="INS",'Writing Logic'!$B$7,IF(INDEX(_xlfn.VSTACK(YES_Writing_ELA[#Data],YES_Writing_FLA[#Data]),MATCH($A159,_xlfn.VSTACK(YES_Writing_ELA[Student Number],YES_Writing_FLA[Student Number]),0),MATCH(VLOOKUP(D$7,'Writing Logic'!$J$7:$K$11,2,FALSE)&amp;" - Per "&amp;VLOOKUP($C$4,'Writing Logic'!$G$8:$H$14,2,FALSE),YES_Writing_ELA[#Headers],0))=0,"",INDEX(_xlfn.VSTACK(YES_Writing_ELA[#Data],YES_Writing_FLA[#Data]),MATCH($A159,_xlfn.VSTACK(YES_Writing_ELA[Student Number],YES_Writing_FLA[Student Number]),0),MATCH(VLOOKUP(D$7,'Writing Logic'!$J$7:$K$11,2,FALSE)&amp;" - Per "&amp;VLOOKUP($C$4,'Writing Logic'!$G$8:$H$14,2,FALSE),YES_Writing_ELA[#Headers],0)))),"")</f>
        <v/>
      </c>
      <c r="E159" s="138" t="str">
        <f>IFERROR(IF(IF(INDEX(_xlfn.VSTACK(YES_Writing_ELA[#Data],YES_Writing_FLA[#Data]),MATCH($A159,_xlfn.VSTACK(YES_Writing_ELA[Student Number],YES_Writing_FLA[Student Number]),0),MATCH(VLOOKUP(E$7,'Writing Logic'!$J$7:$K$11,2,FALSE)&amp;" - Per "&amp;VLOOKUP($C$4,'Writing Logic'!$G$8:$H$14,2,FALSE),YES_Writing_ELA[#Headers],0))=0,"",INDEX(_xlfn.VSTACK(YES_Writing_ELA[#Data],YES_Writing_FLA[#Data]),MATCH($A159,_xlfn.VSTACK(YES_Writing_ELA[Student Number],YES_Writing_FLA[Student Number]),0),MATCH(VLOOKUP(E$7,'Writing Logic'!$J$7:$K$11,2,FALSE)&amp;" - Per "&amp;VLOOKUP($C$4,'Writing Logic'!$G$8:$H$14,2,FALSE),YES_Writing_ELA[#Headers],0)))="INS",'Writing Logic'!$B$7,IF(INDEX(_xlfn.VSTACK(YES_Writing_ELA[#Data],YES_Writing_FLA[#Data]),MATCH($A159,_xlfn.VSTACK(YES_Writing_ELA[Student Number],YES_Writing_FLA[Student Number]),0),MATCH(VLOOKUP(E$7,'Writing Logic'!$J$7:$K$11,2,FALSE)&amp;" - Per "&amp;VLOOKUP($C$4,'Writing Logic'!$G$8:$H$14,2,FALSE),YES_Writing_ELA[#Headers],0))=0,"",INDEX(_xlfn.VSTACK(YES_Writing_ELA[#Data],YES_Writing_FLA[#Data]),MATCH($A159,_xlfn.VSTACK(YES_Writing_ELA[Student Number],YES_Writing_FLA[Student Number]),0),MATCH(VLOOKUP(E$7,'Writing Logic'!$J$7:$K$11,2,FALSE)&amp;" - Per "&amp;VLOOKUP($C$4,'Writing Logic'!$G$8:$H$14,2,FALSE),YES_Writing_ELA[#Headers],0)))),"")</f>
        <v/>
      </c>
      <c r="F159" s="138" t="str">
        <f>IFERROR(IF(IF(INDEX(_xlfn.VSTACK(YES_Writing_ELA[#Data],YES_Writing_FLA[#Data]),MATCH($A159,_xlfn.VSTACK(YES_Writing_ELA[Student Number],YES_Writing_FLA[Student Number]),0),MATCH(VLOOKUP(F$7,'Writing Logic'!$J$7:$K$11,2,FALSE)&amp;" - Per "&amp;VLOOKUP($C$4,'Writing Logic'!$G$8:$H$14,2,FALSE),YES_Writing_ELA[#Headers],0))=0,"",INDEX(_xlfn.VSTACK(YES_Writing_ELA[#Data],YES_Writing_FLA[#Data]),MATCH($A159,_xlfn.VSTACK(YES_Writing_ELA[Student Number],YES_Writing_FLA[Student Number]),0),MATCH(VLOOKUP(F$7,'Writing Logic'!$J$7:$K$11,2,FALSE)&amp;" - Per "&amp;VLOOKUP($C$4,'Writing Logic'!$G$8:$H$14,2,FALSE),YES_Writing_ELA[#Headers],0)))="INS",'Writing Logic'!$B$7,IF(INDEX(_xlfn.VSTACK(YES_Writing_ELA[#Data],YES_Writing_FLA[#Data]),MATCH($A159,_xlfn.VSTACK(YES_Writing_ELA[Student Number],YES_Writing_FLA[Student Number]),0),MATCH(VLOOKUP(F$7,'Writing Logic'!$J$7:$K$11,2,FALSE)&amp;" - Per "&amp;VLOOKUP($C$4,'Writing Logic'!$G$8:$H$14,2,FALSE),YES_Writing_ELA[#Headers],0))=0,"",INDEX(_xlfn.VSTACK(YES_Writing_ELA[#Data],YES_Writing_FLA[#Data]),MATCH($A159,_xlfn.VSTACK(YES_Writing_ELA[Student Number],YES_Writing_FLA[Student Number]),0),MATCH(VLOOKUP(F$7,'Writing Logic'!$J$7:$K$11,2,FALSE)&amp;" - Per "&amp;VLOOKUP($C$4,'Writing Logic'!$G$8:$H$14,2,FALSE),YES_Writing_ELA[#Headers],0)))),"")</f>
        <v/>
      </c>
      <c r="G159" s="138" t="str">
        <f>IFERROR(IF(IF(INDEX(_xlfn.VSTACK(YES_Writing_ELA[#Data],YES_Writing_FLA[#Data]),MATCH($A159,_xlfn.VSTACK(YES_Writing_ELA[Student Number],YES_Writing_FLA[Student Number]),0),MATCH(VLOOKUP(G$7,'Writing Logic'!$J$7:$K$11,2,FALSE)&amp;" - Per "&amp;VLOOKUP($C$4,'Writing Logic'!$G$8:$H$14,2,FALSE),YES_Writing_ELA[#Headers],0))=0,"",INDEX(_xlfn.VSTACK(YES_Writing_ELA[#Data],YES_Writing_FLA[#Data]),MATCH($A159,_xlfn.VSTACK(YES_Writing_ELA[Student Number],YES_Writing_FLA[Student Number]),0),MATCH(VLOOKUP(G$7,'Writing Logic'!$J$7:$K$11,2,FALSE)&amp;" - Per "&amp;VLOOKUP($C$4,'Writing Logic'!$G$8:$H$14,2,FALSE),YES_Writing_ELA[#Headers],0)))="INS",'Writing Logic'!$B$7,IF(INDEX(_xlfn.VSTACK(YES_Writing_ELA[#Data],YES_Writing_FLA[#Data]),MATCH($A159,_xlfn.VSTACK(YES_Writing_ELA[Student Number],YES_Writing_FLA[Student Number]),0),MATCH(VLOOKUP(G$7,'Writing Logic'!$J$7:$K$11,2,FALSE)&amp;" - Per "&amp;VLOOKUP($C$4,'Writing Logic'!$G$8:$H$14,2,FALSE),YES_Writing_ELA[#Headers],0))=0,"",INDEX(_xlfn.VSTACK(YES_Writing_ELA[#Data],YES_Writing_FLA[#Data]),MATCH($A159,_xlfn.VSTACK(YES_Writing_ELA[Student Number],YES_Writing_FLA[Student Number]),0),MATCH(VLOOKUP(G$7,'Writing Logic'!$J$7:$K$11,2,FALSE)&amp;" - Per "&amp;VLOOKUP($C$4,'Writing Logic'!$G$8:$H$14,2,FALSE),YES_Writing_ELA[#Headers],0)))),"")</f>
        <v/>
      </c>
      <c r="H159" s="138" t="str">
        <f>IFERROR(IF(IF(INDEX(_xlfn.VSTACK(YES_Writing_ELA[#Data],YES_Writing_FLA[#Data]),MATCH($A159,_xlfn.VSTACK(YES_Writing_ELA[Student Number],YES_Writing_FLA[Student Number]),0),MATCH(VLOOKUP(H$7,'Writing Logic'!$J$7:$K$11,2,FALSE)&amp;" - Per "&amp;VLOOKUP($C$4,'Writing Logic'!$G$8:$H$14,2,FALSE),YES_Writing_ELA[#Headers],0))=0,"",INDEX(_xlfn.VSTACK(YES_Writing_ELA[#Data],YES_Writing_FLA[#Data]),MATCH($A159,_xlfn.VSTACK(YES_Writing_ELA[Student Number],YES_Writing_FLA[Student Number]),0),MATCH(VLOOKUP(H$7,'Writing Logic'!$J$7:$K$11,2,FALSE)&amp;" - Per "&amp;VLOOKUP($C$4,'Writing Logic'!$G$8:$H$14,2,FALSE),YES_Writing_ELA[#Headers],0)))="INS",'Writing Logic'!$B$7,IF(INDEX(_xlfn.VSTACK(YES_Writing_ELA[#Data],YES_Writing_FLA[#Data]),MATCH($A159,_xlfn.VSTACK(YES_Writing_ELA[Student Number],YES_Writing_FLA[Student Number]),0),MATCH(VLOOKUP(H$7,'Writing Logic'!$J$7:$K$11,2,FALSE)&amp;" - Per "&amp;VLOOKUP($C$4,'Writing Logic'!$G$8:$H$14,2,FALSE),YES_Writing_ELA[#Headers],0))=0,"",INDEX(_xlfn.VSTACK(YES_Writing_ELA[#Data],YES_Writing_FLA[#Data]),MATCH($A159,_xlfn.VSTACK(YES_Writing_ELA[Student Number],YES_Writing_FLA[Student Number]),0),MATCH(VLOOKUP(H$7,'Writing Logic'!$J$7:$K$11,2,FALSE)&amp;" - Per "&amp;VLOOKUP($C$4,'Writing Logic'!$G$8:$H$14,2,FALSE),YES_Writing_ELA[#Headers],0)))),"")</f>
        <v/>
      </c>
    </row>
    <row r="160" spans="1:8" ht="14.25" customHeight="1" x14ac:dyDescent="0.25">
      <c r="A160" s="137"/>
      <c r="B160" s="137" t="str">
        <f>IFERROR(INDEX(_xlfn.VSTACK(YES_Writing_ELA[#Data], YES_Writing_FLA[#Data]),MATCH($A160,_xlfn.VSTACK(YES_Writing_ELA[Student Number], YES_Writing_FLA[Student Number]),0),MATCH(B$7,YES_Writing_ELA[#Headers],0)),"")</f>
        <v/>
      </c>
      <c r="C160" s="137" t="str">
        <f>IFERROR(INDEX(_xlfn.VSTACK(YES_Writing_ELA[#Data], YES_Writing_FLA[#Data]),MATCH($A160,_xlfn.VSTACK(YES_Writing_ELA[Student Number], YES_Writing_FLA[Student Number]),0),MATCH(C$7,YES_Writing_ELA[#Headers],0)),"")</f>
        <v/>
      </c>
      <c r="D160" s="138" t="str">
        <f>IFERROR(IF(IF(INDEX(_xlfn.VSTACK(YES_Writing_ELA[#Data],YES_Writing_FLA[#Data]),MATCH($A160,_xlfn.VSTACK(YES_Writing_ELA[Student Number],YES_Writing_FLA[Student Number]),0),MATCH(VLOOKUP(D$7,'Writing Logic'!$J$7:$K$11,2,FALSE)&amp;" - Per "&amp;VLOOKUP($C$4,'Writing Logic'!$G$8:$H$14,2,FALSE),YES_Writing_ELA[#Headers],0))=0,"",INDEX(_xlfn.VSTACK(YES_Writing_ELA[#Data],YES_Writing_FLA[#Data]),MATCH($A160,_xlfn.VSTACK(YES_Writing_ELA[Student Number],YES_Writing_FLA[Student Number]),0),MATCH(VLOOKUP(D$7,'Writing Logic'!$J$7:$K$11,2,FALSE)&amp;" - Per "&amp;VLOOKUP($C$4,'Writing Logic'!$G$8:$H$14,2,FALSE),YES_Writing_ELA[#Headers],0)))="INS",'Writing Logic'!$B$7,IF(INDEX(_xlfn.VSTACK(YES_Writing_ELA[#Data],YES_Writing_FLA[#Data]),MATCH($A160,_xlfn.VSTACK(YES_Writing_ELA[Student Number],YES_Writing_FLA[Student Number]),0),MATCH(VLOOKUP(D$7,'Writing Logic'!$J$7:$K$11,2,FALSE)&amp;" - Per "&amp;VLOOKUP($C$4,'Writing Logic'!$G$8:$H$14,2,FALSE),YES_Writing_ELA[#Headers],0))=0,"",INDEX(_xlfn.VSTACK(YES_Writing_ELA[#Data],YES_Writing_FLA[#Data]),MATCH($A160,_xlfn.VSTACK(YES_Writing_ELA[Student Number],YES_Writing_FLA[Student Number]),0),MATCH(VLOOKUP(D$7,'Writing Logic'!$J$7:$K$11,2,FALSE)&amp;" - Per "&amp;VLOOKUP($C$4,'Writing Logic'!$G$8:$H$14,2,FALSE),YES_Writing_ELA[#Headers],0)))),"")</f>
        <v/>
      </c>
      <c r="E160" s="138" t="str">
        <f>IFERROR(IF(IF(INDEX(_xlfn.VSTACK(YES_Writing_ELA[#Data],YES_Writing_FLA[#Data]),MATCH($A160,_xlfn.VSTACK(YES_Writing_ELA[Student Number],YES_Writing_FLA[Student Number]),0),MATCH(VLOOKUP(E$7,'Writing Logic'!$J$7:$K$11,2,FALSE)&amp;" - Per "&amp;VLOOKUP($C$4,'Writing Logic'!$G$8:$H$14,2,FALSE),YES_Writing_ELA[#Headers],0))=0,"",INDEX(_xlfn.VSTACK(YES_Writing_ELA[#Data],YES_Writing_FLA[#Data]),MATCH($A160,_xlfn.VSTACK(YES_Writing_ELA[Student Number],YES_Writing_FLA[Student Number]),0),MATCH(VLOOKUP(E$7,'Writing Logic'!$J$7:$K$11,2,FALSE)&amp;" - Per "&amp;VLOOKUP($C$4,'Writing Logic'!$G$8:$H$14,2,FALSE),YES_Writing_ELA[#Headers],0)))="INS",'Writing Logic'!$B$7,IF(INDEX(_xlfn.VSTACK(YES_Writing_ELA[#Data],YES_Writing_FLA[#Data]),MATCH($A160,_xlfn.VSTACK(YES_Writing_ELA[Student Number],YES_Writing_FLA[Student Number]),0),MATCH(VLOOKUP(E$7,'Writing Logic'!$J$7:$K$11,2,FALSE)&amp;" - Per "&amp;VLOOKUP($C$4,'Writing Logic'!$G$8:$H$14,2,FALSE),YES_Writing_ELA[#Headers],0))=0,"",INDEX(_xlfn.VSTACK(YES_Writing_ELA[#Data],YES_Writing_FLA[#Data]),MATCH($A160,_xlfn.VSTACK(YES_Writing_ELA[Student Number],YES_Writing_FLA[Student Number]),0),MATCH(VLOOKUP(E$7,'Writing Logic'!$J$7:$K$11,2,FALSE)&amp;" - Per "&amp;VLOOKUP($C$4,'Writing Logic'!$G$8:$H$14,2,FALSE),YES_Writing_ELA[#Headers],0)))),"")</f>
        <v/>
      </c>
      <c r="F160" s="138" t="str">
        <f>IFERROR(IF(IF(INDEX(_xlfn.VSTACK(YES_Writing_ELA[#Data],YES_Writing_FLA[#Data]),MATCH($A160,_xlfn.VSTACK(YES_Writing_ELA[Student Number],YES_Writing_FLA[Student Number]),0),MATCH(VLOOKUP(F$7,'Writing Logic'!$J$7:$K$11,2,FALSE)&amp;" - Per "&amp;VLOOKUP($C$4,'Writing Logic'!$G$8:$H$14,2,FALSE),YES_Writing_ELA[#Headers],0))=0,"",INDEX(_xlfn.VSTACK(YES_Writing_ELA[#Data],YES_Writing_FLA[#Data]),MATCH($A160,_xlfn.VSTACK(YES_Writing_ELA[Student Number],YES_Writing_FLA[Student Number]),0),MATCH(VLOOKUP(F$7,'Writing Logic'!$J$7:$K$11,2,FALSE)&amp;" - Per "&amp;VLOOKUP($C$4,'Writing Logic'!$G$8:$H$14,2,FALSE),YES_Writing_ELA[#Headers],0)))="INS",'Writing Logic'!$B$7,IF(INDEX(_xlfn.VSTACK(YES_Writing_ELA[#Data],YES_Writing_FLA[#Data]),MATCH($A160,_xlfn.VSTACK(YES_Writing_ELA[Student Number],YES_Writing_FLA[Student Number]),0),MATCH(VLOOKUP(F$7,'Writing Logic'!$J$7:$K$11,2,FALSE)&amp;" - Per "&amp;VLOOKUP($C$4,'Writing Logic'!$G$8:$H$14,2,FALSE),YES_Writing_ELA[#Headers],0))=0,"",INDEX(_xlfn.VSTACK(YES_Writing_ELA[#Data],YES_Writing_FLA[#Data]),MATCH($A160,_xlfn.VSTACK(YES_Writing_ELA[Student Number],YES_Writing_FLA[Student Number]),0),MATCH(VLOOKUP(F$7,'Writing Logic'!$J$7:$K$11,2,FALSE)&amp;" - Per "&amp;VLOOKUP($C$4,'Writing Logic'!$G$8:$H$14,2,FALSE),YES_Writing_ELA[#Headers],0)))),"")</f>
        <v/>
      </c>
      <c r="G160" s="138" t="str">
        <f>IFERROR(IF(IF(INDEX(_xlfn.VSTACK(YES_Writing_ELA[#Data],YES_Writing_FLA[#Data]),MATCH($A160,_xlfn.VSTACK(YES_Writing_ELA[Student Number],YES_Writing_FLA[Student Number]),0),MATCH(VLOOKUP(G$7,'Writing Logic'!$J$7:$K$11,2,FALSE)&amp;" - Per "&amp;VLOOKUP($C$4,'Writing Logic'!$G$8:$H$14,2,FALSE),YES_Writing_ELA[#Headers],0))=0,"",INDEX(_xlfn.VSTACK(YES_Writing_ELA[#Data],YES_Writing_FLA[#Data]),MATCH($A160,_xlfn.VSTACK(YES_Writing_ELA[Student Number],YES_Writing_FLA[Student Number]),0),MATCH(VLOOKUP(G$7,'Writing Logic'!$J$7:$K$11,2,FALSE)&amp;" - Per "&amp;VLOOKUP($C$4,'Writing Logic'!$G$8:$H$14,2,FALSE),YES_Writing_ELA[#Headers],0)))="INS",'Writing Logic'!$B$7,IF(INDEX(_xlfn.VSTACK(YES_Writing_ELA[#Data],YES_Writing_FLA[#Data]),MATCH($A160,_xlfn.VSTACK(YES_Writing_ELA[Student Number],YES_Writing_FLA[Student Number]),0),MATCH(VLOOKUP(G$7,'Writing Logic'!$J$7:$K$11,2,FALSE)&amp;" - Per "&amp;VLOOKUP($C$4,'Writing Logic'!$G$8:$H$14,2,FALSE),YES_Writing_ELA[#Headers],0))=0,"",INDEX(_xlfn.VSTACK(YES_Writing_ELA[#Data],YES_Writing_FLA[#Data]),MATCH($A160,_xlfn.VSTACK(YES_Writing_ELA[Student Number],YES_Writing_FLA[Student Number]),0),MATCH(VLOOKUP(G$7,'Writing Logic'!$J$7:$K$11,2,FALSE)&amp;" - Per "&amp;VLOOKUP($C$4,'Writing Logic'!$G$8:$H$14,2,FALSE),YES_Writing_ELA[#Headers],0)))),"")</f>
        <v/>
      </c>
      <c r="H160" s="138" t="str">
        <f>IFERROR(IF(IF(INDEX(_xlfn.VSTACK(YES_Writing_ELA[#Data],YES_Writing_FLA[#Data]),MATCH($A160,_xlfn.VSTACK(YES_Writing_ELA[Student Number],YES_Writing_FLA[Student Number]),0),MATCH(VLOOKUP(H$7,'Writing Logic'!$J$7:$K$11,2,FALSE)&amp;" - Per "&amp;VLOOKUP($C$4,'Writing Logic'!$G$8:$H$14,2,FALSE),YES_Writing_ELA[#Headers],0))=0,"",INDEX(_xlfn.VSTACK(YES_Writing_ELA[#Data],YES_Writing_FLA[#Data]),MATCH($A160,_xlfn.VSTACK(YES_Writing_ELA[Student Number],YES_Writing_FLA[Student Number]),0),MATCH(VLOOKUP(H$7,'Writing Logic'!$J$7:$K$11,2,FALSE)&amp;" - Per "&amp;VLOOKUP($C$4,'Writing Logic'!$G$8:$H$14,2,FALSE),YES_Writing_ELA[#Headers],0)))="INS",'Writing Logic'!$B$7,IF(INDEX(_xlfn.VSTACK(YES_Writing_ELA[#Data],YES_Writing_FLA[#Data]),MATCH($A160,_xlfn.VSTACK(YES_Writing_ELA[Student Number],YES_Writing_FLA[Student Number]),0),MATCH(VLOOKUP(H$7,'Writing Logic'!$J$7:$K$11,2,FALSE)&amp;" - Per "&amp;VLOOKUP($C$4,'Writing Logic'!$G$8:$H$14,2,FALSE),YES_Writing_ELA[#Headers],0))=0,"",INDEX(_xlfn.VSTACK(YES_Writing_ELA[#Data],YES_Writing_FLA[#Data]),MATCH($A160,_xlfn.VSTACK(YES_Writing_ELA[Student Number],YES_Writing_FLA[Student Number]),0),MATCH(VLOOKUP(H$7,'Writing Logic'!$J$7:$K$11,2,FALSE)&amp;" - Per "&amp;VLOOKUP($C$4,'Writing Logic'!$G$8:$H$14,2,FALSE),YES_Writing_ELA[#Headers],0)))),"")</f>
        <v/>
      </c>
    </row>
    <row r="161" spans="1:8" ht="14.25" customHeight="1" x14ac:dyDescent="0.25">
      <c r="A161" s="137"/>
      <c r="B161" s="137" t="str">
        <f>IFERROR(INDEX(_xlfn.VSTACK(YES_Writing_ELA[#Data], YES_Writing_FLA[#Data]),MATCH($A161,_xlfn.VSTACK(YES_Writing_ELA[Student Number], YES_Writing_FLA[Student Number]),0),MATCH(B$7,YES_Writing_ELA[#Headers],0)),"")</f>
        <v/>
      </c>
      <c r="C161" s="137" t="str">
        <f>IFERROR(INDEX(_xlfn.VSTACK(YES_Writing_ELA[#Data], YES_Writing_FLA[#Data]),MATCH($A161,_xlfn.VSTACK(YES_Writing_ELA[Student Number], YES_Writing_FLA[Student Number]),0),MATCH(C$7,YES_Writing_ELA[#Headers],0)),"")</f>
        <v/>
      </c>
      <c r="D161" s="138" t="str">
        <f>IFERROR(IF(IF(INDEX(_xlfn.VSTACK(YES_Writing_ELA[#Data],YES_Writing_FLA[#Data]),MATCH($A161,_xlfn.VSTACK(YES_Writing_ELA[Student Number],YES_Writing_FLA[Student Number]),0),MATCH(VLOOKUP(D$7,'Writing Logic'!$J$7:$K$11,2,FALSE)&amp;" - Per "&amp;VLOOKUP($C$4,'Writing Logic'!$G$8:$H$14,2,FALSE),YES_Writing_ELA[#Headers],0))=0,"",INDEX(_xlfn.VSTACK(YES_Writing_ELA[#Data],YES_Writing_FLA[#Data]),MATCH($A161,_xlfn.VSTACK(YES_Writing_ELA[Student Number],YES_Writing_FLA[Student Number]),0),MATCH(VLOOKUP(D$7,'Writing Logic'!$J$7:$K$11,2,FALSE)&amp;" - Per "&amp;VLOOKUP($C$4,'Writing Logic'!$G$8:$H$14,2,FALSE),YES_Writing_ELA[#Headers],0)))="INS",'Writing Logic'!$B$7,IF(INDEX(_xlfn.VSTACK(YES_Writing_ELA[#Data],YES_Writing_FLA[#Data]),MATCH($A161,_xlfn.VSTACK(YES_Writing_ELA[Student Number],YES_Writing_FLA[Student Number]),0),MATCH(VLOOKUP(D$7,'Writing Logic'!$J$7:$K$11,2,FALSE)&amp;" - Per "&amp;VLOOKUP($C$4,'Writing Logic'!$G$8:$H$14,2,FALSE),YES_Writing_ELA[#Headers],0))=0,"",INDEX(_xlfn.VSTACK(YES_Writing_ELA[#Data],YES_Writing_FLA[#Data]),MATCH($A161,_xlfn.VSTACK(YES_Writing_ELA[Student Number],YES_Writing_FLA[Student Number]),0),MATCH(VLOOKUP(D$7,'Writing Logic'!$J$7:$K$11,2,FALSE)&amp;" - Per "&amp;VLOOKUP($C$4,'Writing Logic'!$G$8:$H$14,2,FALSE),YES_Writing_ELA[#Headers],0)))),"")</f>
        <v/>
      </c>
      <c r="E161" s="138" t="str">
        <f>IFERROR(IF(IF(INDEX(_xlfn.VSTACK(YES_Writing_ELA[#Data],YES_Writing_FLA[#Data]),MATCH($A161,_xlfn.VSTACK(YES_Writing_ELA[Student Number],YES_Writing_FLA[Student Number]),0),MATCH(VLOOKUP(E$7,'Writing Logic'!$J$7:$K$11,2,FALSE)&amp;" - Per "&amp;VLOOKUP($C$4,'Writing Logic'!$G$8:$H$14,2,FALSE),YES_Writing_ELA[#Headers],0))=0,"",INDEX(_xlfn.VSTACK(YES_Writing_ELA[#Data],YES_Writing_FLA[#Data]),MATCH($A161,_xlfn.VSTACK(YES_Writing_ELA[Student Number],YES_Writing_FLA[Student Number]),0),MATCH(VLOOKUP(E$7,'Writing Logic'!$J$7:$K$11,2,FALSE)&amp;" - Per "&amp;VLOOKUP($C$4,'Writing Logic'!$G$8:$H$14,2,FALSE),YES_Writing_ELA[#Headers],0)))="INS",'Writing Logic'!$B$7,IF(INDEX(_xlfn.VSTACK(YES_Writing_ELA[#Data],YES_Writing_FLA[#Data]),MATCH($A161,_xlfn.VSTACK(YES_Writing_ELA[Student Number],YES_Writing_FLA[Student Number]),0),MATCH(VLOOKUP(E$7,'Writing Logic'!$J$7:$K$11,2,FALSE)&amp;" - Per "&amp;VLOOKUP($C$4,'Writing Logic'!$G$8:$H$14,2,FALSE),YES_Writing_ELA[#Headers],0))=0,"",INDEX(_xlfn.VSTACK(YES_Writing_ELA[#Data],YES_Writing_FLA[#Data]),MATCH($A161,_xlfn.VSTACK(YES_Writing_ELA[Student Number],YES_Writing_FLA[Student Number]),0),MATCH(VLOOKUP(E$7,'Writing Logic'!$J$7:$K$11,2,FALSE)&amp;" - Per "&amp;VLOOKUP($C$4,'Writing Logic'!$G$8:$H$14,2,FALSE),YES_Writing_ELA[#Headers],0)))),"")</f>
        <v/>
      </c>
      <c r="F161" s="138" t="str">
        <f>IFERROR(IF(IF(INDEX(_xlfn.VSTACK(YES_Writing_ELA[#Data],YES_Writing_FLA[#Data]),MATCH($A161,_xlfn.VSTACK(YES_Writing_ELA[Student Number],YES_Writing_FLA[Student Number]),0),MATCH(VLOOKUP(F$7,'Writing Logic'!$J$7:$K$11,2,FALSE)&amp;" - Per "&amp;VLOOKUP($C$4,'Writing Logic'!$G$8:$H$14,2,FALSE),YES_Writing_ELA[#Headers],0))=0,"",INDEX(_xlfn.VSTACK(YES_Writing_ELA[#Data],YES_Writing_FLA[#Data]),MATCH($A161,_xlfn.VSTACK(YES_Writing_ELA[Student Number],YES_Writing_FLA[Student Number]),0),MATCH(VLOOKUP(F$7,'Writing Logic'!$J$7:$K$11,2,FALSE)&amp;" - Per "&amp;VLOOKUP($C$4,'Writing Logic'!$G$8:$H$14,2,FALSE),YES_Writing_ELA[#Headers],0)))="INS",'Writing Logic'!$B$7,IF(INDEX(_xlfn.VSTACK(YES_Writing_ELA[#Data],YES_Writing_FLA[#Data]),MATCH($A161,_xlfn.VSTACK(YES_Writing_ELA[Student Number],YES_Writing_FLA[Student Number]),0),MATCH(VLOOKUP(F$7,'Writing Logic'!$J$7:$K$11,2,FALSE)&amp;" - Per "&amp;VLOOKUP($C$4,'Writing Logic'!$G$8:$H$14,2,FALSE),YES_Writing_ELA[#Headers],0))=0,"",INDEX(_xlfn.VSTACK(YES_Writing_ELA[#Data],YES_Writing_FLA[#Data]),MATCH($A161,_xlfn.VSTACK(YES_Writing_ELA[Student Number],YES_Writing_FLA[Student Number]),0),MATCH(VLOOKUP(F$7,'Writing Logic'!$J$7:$K$11,2,FALSE)&amp;" - Per "&amp;VLOOKUP($C$4,'Writing Logic'!$G$8:$H$14,2,FALSE),YES_Writing_ELA[#Headers],0)))),"")</f>
        <v/>
      </c>
      <c r="G161" s="138" t="str">
        <f>IFERROR(IF(IF(INDEX(_xlfn.VSTACK(YES_Writing_ELA[#Data],YES_Writing_FLA[#Data]),MATCH($A161,_xlfn.VSTACK(YES_Writing_ELA[Student Number],YES_Writing_FLA[Student Number]),0),MATCH(VLOOKUP(G$7,'Writing Logic'!$J$7:$K$11,2,FALSE)&amp;" - Per "&amp;VLOOKUP($C$4,'Writing Logic'!$G$8:$H$14,2,FALSE),YES_Writing_ELA[#Headers],0))=0,"",INDEX(_xlfn.VSTACK(YES_Writing_ELA[#Data],YES_Writing_FLA[#Data]),MATCH($A161,_xlfn.VSTACK(YES_Writing_ELA[Student Number],YES_Writing_FLA[Student Number]),0),MATCH(VLOOKUP(G$7,'Writing Logic'!$J$7:$K$11,2,FALSE)&amp;" - Per "&amp;VLOOKUP($C$4,'Writing Logic'!$G$8:$H$14,2,FALSE),YES_Writing_ELA[#Headers],0)))="INS",'Writing Logic'!$B$7,IF(INDEX(_xlfn.VSTACK(YES_Writing_ELA[#Data],YES_Writing_FLA[#Data]),MATCH($A161,_xlfn.VSTACK(YES_Writing_ELA[Student Number],YES_Writing_FLA[Student Number]),0),MATCH(VLOOKUP(G$7,'Writing Logic'!$J$7:$K$11,2,FALSE)&amp;" - Per "&amp;VLOOKUP($C$4,'Writing Logic'!$G$8:$H$14,2,FALSE),YES_Writing_ELA[#Headers],0))=0,"",INDEX(_xlfn.VSTACK(YES_Writing_ELA[#Data],YES_Writing_FLA[#Data]),MATCH($A161,_xlfn.VSTACK(YES_Writing_ELA[Student Number],YES_Writing_FLA[Student Number]),0),MATCH(VLOOKUP(G$7,'Writing Logic'!$J$7:$K$11,2,FALSE)&amp;" - Per "&amp;VLOOKUP($C$4,'Writing Logic'!$G$8:$H$14,2,FALSE),YES_Writing_ELA[#Headers],0)))),"")</f>
        <v/>
      </c>
      <c r="H161" s="138" t="str">
        <f>IFERROR(IF(IF(INDEX(_xlfn.VSTACK(YES_Writing_ELA[#Data],YES_Writing_FLA[#Data]),MATCH($A161,_xlfn.VSTACK(YES_Writing_ELA[Student Number],YES_Writing_FLA[Student Number]),0),MATCH(VLOOKUP(H$7,'Writing Logic'!$J$7:$K$11,2,FALSE)&amp;" - Per "&amp;VLOOKUP($C$4,'Writing Logic'!$G$8:$H$14,2,FALSE),YES_Writing_ELA[#Headers],0))=0,"",INDEX(_xlfn.VSTACK(YES_Writing_ELA[#Data],YES_Writing_FLA[#Data]),MATCH($A161,_xlfn.VSTACK(YES_Writing_ELA[Student Number],YES_Writing_FLA[Student Number]),0),MATCH(VLOOKUP(H$7,'Writing Logic'!$J$7:$K$11,2,FALSE)&amp;" - Per "&amp;VLOOKUP($C$4,'Writing Logic'!$G$8:$H$14,2,FALSE),YES_Writing_ELA[#Headers],0)))="INS",'Writing Logic'!$B$7,IF(INDEX(_xlfn.VSTACK(YES_Writing_ELA[#Data],YES_Writing_FLA[#Data]),MATCH($A161,_xlfn.VSTACK(YES_Writing_ELA[Student Number],YES_Writing_FLA[Student Number]),0),MATCH(VLOOKUP(H$7,'Writing Logic'!$J$7:$K$11,2,FALSE)&amp;" - Per "&amp;VLOOKUP($C$4,'Writing Logic'!$G$8:$H$14,2,FALSE),YES_Writing_ELA[#Headers],0))=0,"",INDEX(_xlfn.VSTACK(YES_Writing_ELA[#Data],YES_Writing_FLA[#Data]),MATCH($A161,_xlfn.VSTACK(YES_Writing_ELA[Student Number],YES_Writing_FLA[Student Number]),0),MATCH(VLOOKUP(H$7,'Writing Logic'!$J$7:$K$11,2,FALSE)&amp;" - Per "&amp;VLOOKUP($C$4,'Writing Logic'!$G$8:$H$14,2,FALSE),YES_Writing_ELA[#Headers],0)))),"")</f>
        <v/>
      </c>
    </row>
    <row r="162" spans="1:8" ht="14.25" customHeight="1" x14ac:dyDescent="0.25">
      <c r="A162" s="137"/>
      <c r="B162" s="137" t="str">
        <f>IFERROR(INDEX(_xlfn.VSTACK(YES_Writing_ELA[#Data], YES_Writing_FLA[#Data]),MATCH($A162,_xlfn.VSTACK(YES_Writing_ELA[Student Number], YES_Writing_FLA[Student Number]),0),MATCH(B$7,YES_Writing_ELA[#Headers],0)),"")</f>
        <v/>
      </c>
      <c r="C162" s="137" t="str">
        <f>IFERROR(INDEX(_xlfn.VSTACK(YES_Writing_ELA[#Data], YES_Writing_FLA[#Data]),MATCH($A162,_xlfn.VSTACK(YES_Writing_ELA[Student Number], YES_Writing_FLA[Student Number]),0),MATCH(C$7,YES_Writing_ELA[#Headers],0)),"")</f>
        <v/>
      </c>
      <c r="D162" s="138" t="str">
        <f>IFERROR(IF(IF(INDEX(_xlfn.VSTACK(YES_Writing_ELA[#Data],YES_Writing_FLA[#Data]),MATCH($A162,_xlfn.VSTACK(YES_Writing_ELA[Student Number],YES_Writing_FLA[Student Number]),0),MATCH(VLOOKUP(D$7,'Writing Logic'!$J$7:$K$11,2,FALSE)&amp;" - Per "&amp;VLOOKUP($C$4,'Writing Logic'!$G$8:$H$14,2,FALSE),YES_Writing_ELA[#Headers],0))=0,"",INDEX(_xlfn.VSTACK(YES_Writing_ELA[#Data],YES_Writing_FLA[#Data]),MATCH($A162,_xlfn.VSTACK(YES_Writing_ELA[Student Number],YES_Writing_FLA[Student Number]),0),MATCH(VLOOKUP(D$7,'Writing Logic'!$J$7:$K$11,2,FALSE)&amp;" - Per "&amp;VLOOKUP($C$4,'Writing Logic'!$G$8:$H$14,2,FALSE),YES_Writing_ELA[#Headers],0)))="INS",'Writing Logic'!$B$7,IF(INDEX(_xlfn.VSTACK(YES_Writing_ELA[#Data],YES_Writing_FLA[#Data]),MATCH($A162,_xlfn.VSTACK(YES_Writing_ELA[Student Number],YES_Writing_FLA[Student Number]),0),MATCH(VLOOKUP(D$7,'Writing Logic'!$J$7:$K$11,2,FALSE)&amp;" - Per "&amp;VLOOKUP($C$4,'Writing Logic'!$G$8:$H$14,2,FALSE),YES_Writing_ELA[#Headers],0))=0,"",INDEX(_xlfn.VSTACK(YES_Writing_ELA[#Data],YES_Writing_FLA[#Data]),MATCH($A162,_xlfn.VSTACK(YES_Writing_ELA[Student Number],YES_Writing_FLA[Student Number]),0),MATCH(VLOOKUP(D$7,'Writing Logic'!$J$7:$K$11,2,FALSE)&amp;" - Per "&amp;VLOOKUP($C$4,'Writing Logic'!$G$8:$H$14,2,FALSE),YES_Writing_ELA[#Headers],0)))),"")</f>
        <v/>
      </c>
      <c r="E162" s="138" t="str">
        <f>IFERROR(IF(IF(INDEX(_xlfn.VSTACK(YES_Writing_ELA[#Data],YES_Writing_FLA[#Data]),MATCH($A162,_xlfn.VSTACK(YES_Writing_ELA[Student Number],YES_Writing_FLA[Student Number]),0),MATCH(VLOOKUP(E$7,'Writing Logic'!$J$7:$K$11,2,FALSE)&amp;" - Per "&amp;VLOOKUP($C$4,'Writing Logic'!$G$8:$H$14,2,FALSE),YES_Writing_ELA[#Headers],0))=0,"",INDEX(_xlfn.VSTACK(YES_Writing_ELA[#Data],YES_Writing_FLA[#Data]),MATCH($A162,_xlfn.VSTACK(YES_Writing_ELA[Student Number],YES_Writing_FLA[Student Number]),0),MATCH(VLOOKUP(E$7,'Writing Logic'!$J$7:$K$11,2,FALSE)&amp;" - Per "&amp;VLOOKUP($C$4,'Writing Logic'!$G$8:$H$14,2,FALSE),YES_Writing_ELA[#Headers],0)))="INS",'Writing Logic'!$B$7,IF(INDEX(_xlfn.VSTACK(YES_Writing_ELA[#Data],YES_Writing_FLA[#Data]),MATCH($A162,_xlfn.VSTACK(YES_Writing_ELA[Student Number],YES_Writing_FLA[Student Number]),0),MATCH(VLOOKUP(E$7,'Writing Logic'!$J$7:$K$11,2,FALSE)&amp;" - Per "&amp;VLOOKUP($C$4,'Writing Logic'!$G$8:$H$14,2,FALSE),YES_Writing_ELA[#Headers],0))=0,"",INDEX(_xlfn.VSTACK(YES_Writing_ELA[#Data],YES_Writing_FLA[#Data]),MATCH($A162,_xlfn.VSTACK(YES_Writing_ELA[Student Number],YES_Writing_FLA[Student Number]),0),MATCH(VLOOKUP(E$7,'Writing Logic'!$J$7:$K$11,2,FALSE)&amp;" - Per "&amp;VLOOKUP($C$4,'Writing Logic'!$G$8:$H$14,2,FALSE),YES_Writing_ELA[#Headers],0)))),"")</f>
        <v/>
      </c>
      <c r="F162" s="138" t="str">
        <f>IFERROR(IF(IF(INDEX(_xlfn.VSTACK(YES_Writing_ELA[#Data],YES_Writing_FLA[#Data]),MATCH($A162,_xlfn.VSTACK(YES_Writing_ELA[Student Number],YES_Writing_FLA[Student Number]),0),MATCH(VLOOKUP(F$7,'Writing Logic'!$J$7:$K$11,2,FALSE)&amp;" - Per "&amp;VLOOKUP($C$4,'Writing Logic'!$G$8:$H$14,2,FALSE),YES_Writing_ELA[#Headers],0))=0,"",INDEX(_xlfn.VSTACK(YES_Writing_ELA[#Data],YES_Writing_FLA[#Data]),MATCH($A162,_xlfn.VSTACK(YES_Writing_ELA[Student Number],YES_Writing_FLA[Student Number]),0),MATCH(VLOOKUP(F$7,'Writing Logic'!$J$7:$K$11,2,FALSE)&amp;" - Per "&amp;VLOOKUP($C$4,'Writing Logic'!$G$8:$H$14,2,FALSE),YES_Writing_ELA[#Headers],0)))="INS",'Writing Logic'!$B$7,IF(INDEX(_xlfn.VSTACK(YES_Writing_ELA[#Data],YES_Writing_FLA[#Data]),MATCH($A162,_xlfn.VSTACK(YES_Writing_ELA[Student Number],YES_Writing_FLA[Student Number]),0),MATCH(VLOOKUP(F$7,'Writing Logic'!$J$7:$K$11,2,FALSE)&amp;" - Per "&amp;VLOOKUP($C$4,'Writing Logic'!$G$8:$H$14,2,FALSE),YES_Writing_ELA[#Headers],0))=0,"",INDEX(_xlfn.VSTACK(YES_Writing_ELA[#Data],YES_Writing_FLA[#Data]),MATCH($A162,_xlfn.VSTACK(YES_Writing_ELA[Student Number],YES_Writing_FLA[Student Number]),0),MATCH(VLOOKUP(F$7,'Writing Logic'!$J$7:$K$11,2,FALSE)&amp;" - Per "&amp;VLOOKUP($C$4,'Writing Logic'!$G$8:$H$14,2,FALSE),YES_Writing_ELA[#Headers],0)))),"")</f>
        <v/>
      </c>
      <c r="G162" s="138" t="str">
        <f>IFERROR(IF(IF(INDEX(_xlfn.VSTACK(YES_Writing_ELA[#Data],YES_Writing_FLA[#Data]),MATCH($A162,_xlfn.VSTACK(YES_Writing_ELA[Student Number],YES_Writing_FLA[Student Number]),0),MATCH(VLOOKUP(G$7,'Writing Logic'!$J$7:$K$11,2,FALSE)&amp;" - Per "&amp;VLOOKUP($C$4,'Writing Logic'!$G$8:$H$14,2,FALSE),YES_Writing_ELA[#Headers],0))=0,"",INDEX(_xlfn.VSTACK(YES_Writing_ELA[#Data],YES_Writing_FLA[#Data]),MATCH($A162,_xlfn.VSTACK(YES_Writing_ELA[Student Number],YES_Writing_FLA[Student Number]),0),MATCH(VLOOKUP(G$7,'Writing Logic'!$J$7:$K$11,2,FALSE)&amp;" - Per "&amp;VLOOKUP($C$4,'Writing Logic'!$G$8:$H$14,2,FALSE),YES_Writing_ELA[#Headers],0)))="INS",'Writing Logic'!$B$7,IF(INDEX(_xlfn.VSTACK(YES_Writing_ELA[#Data],YES_Writing_FLA[#Data]),MATCH($A162,_xlfn.VSTACK(YES_Writing_ELA[Student Number],YES_Writing_FLA[Student Number]),0),MATCH(VLOOKUP(G$7,'Writing Logic'!$J$7:$K$11,2,FALSE)&amp;" - Per "&amp;VLOOKUP($C$4,'Writing Logic'!$G$8:$H$14,2,FALSE),YES_Writing_ELA[#Headers],0))=0,"",INDEX(_xlfn.VSTACK(YES_Writing_ELA[#Data],YES_Writing_FLA[#Data]),MATCH($A162,_xlfn.VSTACK(YES_Writing_ELA[Student Number],YES_Writing_FLA[Student Number]),0),MATCH(VLOOKUP(G$7,'Writing Logic'!$J$7:$K$11,2,FALSE)&amp;" - Per "&amp;VLOOKUP($C$4,'Writing Logic'!$G$8:$H$14,2,FALSE),YES_Writing_ELA[#Headers],0)))),"")</f>
        <v/>
      </c>
      <c r="H162" s="138" t="str">
        <f>IFERROR(IF(IF(INDEX(_xlfn.VSTACK(YES_Writing_ELA[#Data],YES_Writing_FLA[#Data]),MATCH($A162,_xlfn.VSTACK(YES_Writing_ELA[Student Number],YES_Writing_FLA[Student Number]),0),MATCH(VLOOKUP(H$7,'Writing Logic'!$J$7:$K$11,2,FALSE)&amp;" - Per "&amp;VLOOKUP($C$4,'Writing Logic'!$G$8:$H$14,2,FALSE),YES_Writing_ELA[#Headers],0))=0,"",INDEX(_xlfn.VSTACK(YES_Writing_ELA[#Data],YES_Writing_FLA[#Data]),MATCH($A162,_xlfn.VSTACK(YES_Writing_ELA[Student Number],YES_Writing_FLA[Student Number]),0),MATCH(VLOOKUP(H$7,'Writing Logic'!$J$7:$K$11,2,FALSE)&amp;" - Per "&amp;VLOOKUP($C$4,'Writing Logic'!$G$8:$H$14,2,FALSE),YES_Writing_ELA[#Headers],0)))="INS",'Writing Logic'!$B$7,IF(INDEX(_xlfn.VSTACK(YES_Writing_ELA[#Data],YES_Writing_FLA[#Data]),MATCH($A162,_xlfn.VSTACK(YES_Writing_ELA[Student Number],YES_Writing_FLA[Student Number]),0),MATCH(VLOOKUP(H$7,'Writing Logic'!$J$7:$K$11,2,FALSE)&amp;" - Per "&amp;VLOOKUP($C$4,'Writing Logic'!$G$8:$H$14,2,FALSE),YES_Writing_ELA[#Headers],0))=0,"",INDEX(_xlfn.VSTACK(YES_Writing_ELA[#Data],YES_Writing_FLA[#Data]),MATCH($A162,_xlfn.VSTACK(YES_Writing_ELA[Student Number],YES_Writing_FLA[Student Number]),0),MATCH(VLOOKUP(H$7,'Writing Logic'!$J$7:$K$11,2,FALSE)&amp;" - Per "&amp;VLOOKUP($C$4,'Writing Logic'!$G$8:$H$14,2,FALSE),YES_Writing_ELA[#Headers],0)))),"")</f>
        <v/>
      </c>
    </row>
    <row r="163" spans="1:8" ht="14.25" customHeight="1" x14ac:dyDescent="0.25">
      <c r="A163" s="137"/>
      <c r="B163" s="137" t="str">
        <f>IFERROR(INDEX(_xlfn.VSTACK(YES_Writing_ELA[#Data], YES_Writing_FLA[#Data]),MATCH($A163,_xlfn.VSTACK(YES_Writing_ELA[Student Number], YES_Writing_FLA[Student Number]),0),MATCH(B$7,YES_Writing_ELA[#Headers],0)),"")</f>
        <v/>
      </c>
      <c r="C163" s="137" t="str">
        <f>IFERROR(INDEX(_xlfn.VSTACK(YES_Writing_ELA[#Data], YES_Writing_FLA[#Data]),MATCH($A163,_xlfn.VSTACK(YES_Writing_ELA[Student Number], YES_Writing_FLA[Student Number]),0),MATCH(C$7,YES_Writing_ELA[#Headers],0)),"")</f>
        <v/>
      </c>
      <c r="D163" s="138" t="str">
        <f>IFERROR(IF(IF(INDEX(_xlfn.VSTACK(YES_Writing_ELA[#Data],YES_Writing_FLA[#Data]),MATCH($A163,_xlfn.VSTACK(YES_Writing_ELA[Student Number],YES_Writing_FLA[Student Number]),0),MATCH(VLOOKUP(D$7,'Writing Logic'!$J$7:$K$11,2,FALSE)&amp;" - Per "&amp;VLOOKUP($C$4,'Writing Logic'!$G$8:$H$14,2,FALSE),YES_Writing_ELA[#Headers],0))=0,"",INDEX(_xlfn.VSTACK(YES_Writing_ELA[#Data],YES_Writing_FLA[#Data]),MATCH($A163,_xlfn.VSTACK(YES_Writing_ELA[Student Number],YES_Writing_FLA[Student Number]),0),MATCH(VLOOKUP(D$7,'Writing Logic'!$J$7:$K$11,2,FALSE)&amp;" - Per "&amp;VLOOKUP($C$4,'Writing Logic'!$G$8:$H$14,2,FALSE),YES_Writing_ELA[#Headers],0)))="INS",'Writing Logic'!$B$7,IF(INDEX(_xlfn.VSTACK(YES_Writing_ELA[#Data],YES_Writing_FLA[#Data]),MATCH($A163,_xlfn.VSTACK(YES_Writing_ELA[Student Number],YES_Writing_FLA[Student Number]),0),MATCH(VLOOKUP(D$7,'Writing Logic'!$J$7:$K$11,2,FALSE)&amp;" - Per "&amp;VLOOKUP($C$4,'Writing Logic'!$G$8:$H$14,2,FALSE),YES_Writing_ELA[#Headers],0))=0,"",INDEX(_xlfn.VSTACK(YES_Writing_ELA[#Data],YES_Writing_FLA[#Data]),MATCH($A163,_xlfn.VSTACK(YES_Writing_ELA[Student Number],YES_Writing_FLA[Student Number]),0),MATCH(VLOOKUP(D$7,'Writing Logic'!$J$7:$K$11,2,FALSE)&amp;" - Per "&amp;VLOOKUP($C$4,'Writing Logic'!$G$8:$H$14,2,FALSE),YES_Writing_ELA[#Headers],0)))),"")</f>
        <v/>
      </c>
      <c r="E163" s="138" t="str">
        <f>IFERROR(IF(IF(INDEX(_xlfn.VSTACK(YES_Writing_ELA[#Data],YES_Writing_FLA[#Data]),MATCH($A163,_xlfn.VSTACK(YES_Writing_ELA[Student Number],YES_Writing_FLA[Student Number]),0),MATCH(VLOOKUP(E$7,'Writing Logic'!$J$7:$K$11,2,FALSE)&amp;" - Per "&amp;VLOOKUP($C$4,'Writing Logic'!$G$8:$H$14,2,FALSE),YES_Writing_ELA[#Headers],0))=0,"",INDEX(_xlfn.VSTACK(YES_Writing_ELA[#Data],YES_Writing_FLA[#Data]),MATCH($A163,_xlfn.VSTACK(YES_Writing_ELA[Student Number],YES_Writing_FLA[Student Number]),0),MATCH(VLOOKUP(E$7,'Writing Logic'!$J$7:$K$11,2,FALSE)&amp;" - Per "&amp;VLOOKUP($C$4,'Writing Logic'!$G$8:$H$14,2,FALSE),YES_Writing_ELA[#Headers],0)))="INS",'Writing Logic'!$B$7,IF(INDEX(_xlfn.VSTACK(YES_Writing_ELA[#Data],YES_Writing_FLA[#Data]),MATCH($A163,_xlfn.VSTACK(YES_Writing_ELA[Student Number],YES_Writing_FLA[Student Number]),0),MATCH(VLOOKUP(E$7,'Writing Logic'!$J$7:$K$11,2,FALSE)&amp;" - Per "&amp;VLOOKUP($C$4,'Writing Logic'!$G$8:$H$14,2,FALSE),YES_Writing_ELA[#Headers],0))=0,"",INDEX(_xlfn.VSTACK(YES_Writing_ELA[#Data],YES_Writing_FLA[#Data]),MATCH($A163,_xlfn.VSTACK(YES_Writing_ELA[Student Number],YES_Writing_FLA[Student Number]),0),MATCH(VLOOKUP(E$7,'Writing Logic'!$J$7:$K$11,2,FALSE)&amp;" - Per "&amp;VLOOKUP($C$4,'Writing Logic'!$G$8:$H$14,2,FALSE),YES_Writing_ELA[#Headers],0)))),"")</f>
        <v/>
      </c>
      <c r="F163" s="138" t="str">
        <f>IFERROR(IF(IF(INDEX(_xlfn.VSTACK(YES_Writing_ELA[#Data],YES_Writing_FLA[#Data]),MATCH($A163,_xlfn.VSTACK(YES_Writing_ELA[Student Number],YES_Writing_FLA[Student Number]),0),MATCH(VLOOKUP(F$7,'Writing Logic'!$J$7:$K$11,2,FALSE)&amp;" - Per "&amp;VLOOKUP($C$4,'Writing Logic'!$G$8:$H$14,2,FALSE),YES_Writing_ELA[#Headers],0))=0,"",INDEX(_xlfn.VSTACK(YES_Writing_ELA[#Data],YES_Writing_FLA[#Data]),MATCH($A163,_xlfn.VSTACK(YES_Writing_ELA[Student Number],YES_Writing_FLA[Student Number]),0),MATCH(VLOOKUP(F$7,'Writing Logic'!$J$7:$K$11,2,FALSE)&amp;" - Per "&amp;VLOOKUP($C$4,'Writing Logic'!$G$8:$H$14,2,FALSE),YES_Writing_ELA[#Headers],0)))="INS",'Writing Logic'!$B$7,IF(INDEX(_xlfn.VSTACK(YES_Writing_ELA[#Data],YES_Writing_FLA[#Data]),MATCH($A163,_xlfn.VSTACK(YES_Writing_ELA[Student Number],YES_Writing_FLA[Student Number]),0),MATCH(VLOOKUP(F$7,'Writing Logic'!$J$7:$K$11,2,FALSE)&amp;" - Per "&amp;VLOOKUP($C$4,'Writing Logic'!$G$8:$H$14,2,FALSE),YES_Writing_ELA[#Headers],0))=0,"",INDEX(_xlfn.VSTACK(YES_Writing_ELA[#Data],YES_Writing_FLA[#Data]),MATCH($A163,_xlfn.VSTACK(YES_Writing_ELA[Student Number],YES_Writing_FLA[Student Number]),0),MATCH(VLOOKUP(F$7,'Writing Logic'!$J$7:$K$11,2,FALSE)&amp;" - Per "&amp;VLOOKUP($C$4,'Writing Logic'!$G$8:$H$14,2,FALSE),YES_Writing_ELA[#Headers],0)))),"")</f>
        <v/>
      </c>
      <c r="G163" s="138" t="str">
        <f>IFERROR(IF(IF(INDEX(_xlfn.VSTACK(YES_Writing_ELA[#Data],YES_Writing_FLA[#Data]),MATCH($A163,_xlfn.VSTACK(YES_Writing_ELA[Student Number],YES_Writing_FLA[Student Number]),0),MATCH(VLOOKUP(G$7,'Writing Logic'!$J$7:$K$11,2,FALSE)&amp;" - Per "&amp;VLOOKUP($C$4,'Writing Logic'!$G$8:$H$14,2,FALSE),YES_Writing_ELA[#Headers],0))=0,"",INDEX(_xlfn.VSTACK(YES_Writing_ELA[#Data],YES_Writing_FLA[#Data]),MATCH($A163,_xlfn.VSTACK(YES_Writing_ELA[Student Number],YES_Writing_FLA[Student Number]),0),MATCH(VLOOKUP(G$7,'Writing Logic'!$J$7:$K$11,2,FALSE)&amp;" - Per "&amp;VLOOKUP($C$4,'Writing Logic'!$G$8:$H$14,2,FALSE),YES_Writing_ELA[#Headers],0)))="INS",'Writing Logic'!$B$7,IF(INDEX(_xlfn.VSTACK(YES_Writing_ELA[#Data],YES_Writing_FLA[#Data]),MATCH($A163,_xlfn.VSTACK(YES_Writing_ELA[Student Number],YES_Writing_FLA[Student Number]),0),MATCH(VLOOKUP(G$7,'Writing Logic'!$J$7:$K$11,2,FALSE)&amp;" - Per "&amp;VLOOKUP($C$4,'Writing Logic'!$G$8:$H$14,2,FALSE),YES_Writing_ELA[#Headers],0))=0,"",INDEX(_xlfn.VSTACK(YES_Writing_ELA[#Data],YES_Writing_FLA[#Data]),MATCH($A163,_xlfn.VSTACK(YES_Writing_ELA[Student Number],YES_Writing_FLA[Student Number]),0),MATCH(VLOOKUP(G$7,'Writing Logic'!$J$7:$K$11,2,FALSE)&amp;" - Per "&amp;VLOOKUP($C$4,'Writing Logic'!$G$8:$H$14,2,FALSE),YES_Writing_ELA[#Headers],0)))),"")</f>
        <v/>
      </c>
      <c r="H163" s="138" t="str">
        <f>IFERROR(IF(IF(INDEX(_xlfn.VSTACK(YES_Writing_ELA[#Data],YES_Writing_FLA[#Data]),MATCH($A163,_xlfn.VSTACK(YES_Writing_ELA[Student Number],YES_Writing_FLA[Student Number]),0),MATCH(VLOOKUP(H$7,'Writing Logic'!$J$7:$K$11,2,FALSE)&amp;" - Per "&amp;VLOOKUP($C$4,'Writing Logic'!$G$8:$H$14,2,FALSE),YES_Writing_ELA[#Headers],0))=0,"",INDEX(_xlfn.VSTACK(YES_Writing_ELA[#Data],YES_Writing_FLA[#Data]),MATCH($A163,_xlfn.VSTACK(YES_Writing_ELA[Student Number],YES_Writing_FLA[Student Number]),0),MATCH(VLOOKUP(H$7,'Writing Logic'!$J$7:$K$11,2,FALSE)&amp;" - Per "&amp;VLOOKUP($C$4,'Writing Logic'!$G$8:$H$14,2,FALSE),YES_Writing_ELA[#Headers],0)))="INS",'Writing Logic'!$B$7,IF(INDEX(_xlfn.VSTACK(YES_Writing_ELA[#Data],YES_Writing_FLA[#Data]),MATCH($A163,_xlfn.VSTACK(YES_Writing_ELA[Student Number],YES_Writing_FLA[Student Number]),0),MATCH(VLOOKUP(H$7,'Writing Logic'!$J$7:$K$11,2,FALSE)&amp;" - Per "&amp;VLOOKUP($C$4,'Writing Logic'!$G$8:$H$14,2,FALSE),YES_Writing_ELA[#Headers],0))=0,"",INDEX(_xlfn.VSTACK(YES_Writing_ELA[#Data],YES_Writing_FLA[#Data]),MATCH($A163,_xlfn.VSTACK(YES_Writing_ELA[Student Number],YES_Writing_FLA[Student Number]),0),MATCH(VLOOKUP(H$7,'Writing Logic'!$J$7:$K$11,2,FALSE)&amp;" - Per "&amp;VLOOKUP($C$4,'Writing Logic'!$G$8:$H$14,2,FALSE),YES_Writing_ELA[#Headers],0)))),"")</f>
        <v/>
      </c>
    </row>
    <row r="164" spans="1:8" ht="14.25" customHeight="1" x14ac:dyDescent="0.25">
      <c r="A164" s="137"/>
      <c r="B164" s="137" t="str">
        <f>IFERROR(INDEX(_xlfn.VSTACK(YES_Writing_ELA[#Data], YES_Writing_FLA[#Data]),MATCH($A164,_xlfn.VSTACK(YES_Writing_ELA[Student Number], YES_Writing_FLA[Student Number]),0),MATCH(B$7,YES_Writing_ELA[#Headers],0)),"")</f>
        <v/>
      </c>
      <c r="C164" s="137" t="str">
        <f>IFERROR(INDEX(_xlfn.VSTACK(YES_Writing_ELA[#Data], YES_Writing_FLA[#Data]),MATCH($A164,_xlfn.VSTACK(YES_Writing_ELA[Student Number], YES_Writing_FLA[Student Number]),0),MATCH(C$7,YES_Writing_ELA[#Headers],0)),"")</f>
        <v/>
      </c>
      <c r="D164" s="138" t="str">
        <f>IFERROR(IF(IF(INDEX(_xlfn.VSTACK(YES_Writing_ELA[#Data],YES_Writing_FLA[#Data]),MATCH($A164,_xlfn.VSTACK(YES_Writing_ELA[Student Number],YES_Writing_FLA[Student Number]),0),MATCH(VLOOKUP(D$7,'Writing Logic'!$J$7:$K$11,2,FALSE)&amp;" - Per "&amp;VLOOKUP($C$4,'Writing Logic'!$G$8:$H$14,2,FALSE),YES_Writing_ELA[#Headers],0))=0,"",INDEX(_xlfn.VSTACK(YES_Writing_ELA[#Data],YES_Writing_FLA[#Data]),MATCH($A164,_xlfn.VSTACK(YES_Writing_ELA[Student Number],YES_Writing_FLA[Student Number]),0),MATCH(VLOOKUP(D$7,'Writing Logic'!$J$7:$K$11,2,FALSE)&amp;" - Per "&amp;VLOOKUP($C$4,'Writing Logic'!$G$8:$H$14,2,FALSE),YES_Writing_ELA[#Headers],0)))="INS",'Writing Logic'!$B$7,IF(INDEX(_xlfn.VSTACK(YES_Writing_ELA[#Data],YES_Writing_FLA[#Data]),MATCH($A164,_xlfn.VSTACK(YES_Writing_ELA[Student Number],YES_Writing_FLA[Student Number]),0),MATCH(VLOOKUP(D$7,'Writing Logic'!$J$7:$K$11,2,FALSE)&amp;" - Per "&amp;VLOOKUP($C$4,'Writing Logic'!$G$8:$H$14,2,FALSE),YES_Writing_ELA[#Headers],0))=0,"",INDEX(_xlfn.VSTACK(YES_Writing_ELA[#Data],YES_Writing_FLA[#Data]),MATCH($A164,_xlfn.VSTACK(YES_Writing_ELA[Student Number],YES_Writing_FLA[Student Number]),0),MATCH(VLOOKUP(D$7,'Writing Logic'!$J$7:$K$11,2,FALSE)&amp;" - Per "&amp;VLOOKUP($C$4,'Writing Logic'!$G$8:$H$14,2,FALSE),YES_Writing_ELA[#Headers],0)))),"")</f>
        <v/>
      </c>
      <c r="E164" s="138" t="str">
        <f>IFERROR(IF(IF(INDEX(_xlfn.VSTACK(YES_Writing_ELA[#Data],YES_Writing_FLA[#Data]),MATCH($A164,_xlfn.VSTACK(YES_Writing_ELA[Student Number],YES_Writing_FLA[Student Number]),0),MATCH(VLOOKUP(E$7,'Writing Logic'!$J$7:$K$11,2,FALSE)&amp;" - Per "&amp;VLOOKUP($C$4,'Writing Logic'!$G$8:$H$14,2,FALSE),YES_Writing_ELA[#Headers],0))=0,"",INDEX(_xlfn.VSTACK(YES_Writing_ELA[#Data],YES_Writing_FLA[#Data]),MATCH($A164,_xlfn.VSTACK(YES_Writing_ELA[Student Number],YES_Writing_FLA[Student Number]),0),MATCH(VLOOKUP(E$7,'Writing Logic'!$J$7:$K$11,2,FALSE)&amp;" - Per "&amp;VLOOKUP($C$4,'Writing Logic'!$G$8:$H$14,2,FALSE),YES_Writing_ELA[#Headers],0)))="INS",'Writing Logic'!$B$7,IF(INDEX(_xlfn.VSTACK(YES_Writing_ELA[#Data],YES_Writing_FLA[#Data]),MATCH($A164,_xlfn.VSTACK(YES_Writing_ELA[Student Number],YES_Writing_FLA[Student Number]),0),MATCH(VLOOKUP(E$7,'Writing Logic'!$J$7:$K$11,2,FALSE)&amp;" - Per "&amp;VLOOKUP($C$4,'Writing Logic'!$G$8:$H$14,2,FALSE),YES_Writing_ELA[#Headers],0))=0,"",INDEX(_xlfn.VSTACK(YES_Writing_ELA[#Data],YES_Writing_FLA[#Data]),MATCH($A164,_xlfn.VSTACK(YES_Writing_ELA[Student Number],YES_Writing_FLA[Student Number]),0),MATCH(VLOOKUP(E$7,'Writing Logic'!$J$7:$K$11,2,FALSE)&amp;" - Per "&amp;VLOOKUP($C$4,'Writing Logic'!$G$8:$H$14,2,FALSE),YES_Writing_ELA[#Headers],0)))),"")</f>
        <v/>
      </c>
      <c r="F164" s="138" t="str">
        <f>IFERROR(IF(IF(INDEX(_xlfn.VSTACK(YES_Writing_ELA[#Data],YES_Writing_FLA[#Data]),MATCH($A164,_xlfn.VSTACK(YES_Writing_ELA[Student Number],YES_Writing_FLA[Student Number]),0),MATCH(VLOOKUP(F$7,'Writing Logic'!$J$7:$K$11,2,FALSE)&amp;" - Per "&amp;VLOOKUP($C$4,'Writing Logic'!$G$8:$H$14,2,FALSE),YES_Writing_ELA[#Headers],0))=0,"",INDEX(_xlfn.VSTACK(YES_Writing_ELA[#Data],YES_Writing_FLA[#Data]),MATCH($A164,_xlfn.VSTACK(YES_Writing_ELA[Student Number],YES_Writing_FLA[Student Number]),0),MATCH(VLOOKUP(F$7,'Writing Logic'!$J$7:$K$11,2,FALSE)&amp;" - Per "&amp;VLOOKUP($C$4,'Writing Logic'!$G$8:$H$14,2,FALSE),YES_Writing_ELA[#Headers],0)))="INS",'Writing Logic'!$B$7,IF(INDEX(_xlfn.VSTACK(YES_Writing_ELA[#Data],YES_Writing_FLA[#Data]),MATCH($A164,_xlfn.VSTACK(YES_Writing_ELA[Student Number],YES_Writing_FLA[Student Number]),0),MATCH(VLOOKUP(F$7,'Writing Logic'!$J$7:$K$11,2,FALSE)&amp;" - Per "&amp;VLOOKUP($C$4,'Writing Logic'!$G$8:$H$14,2,FALSE),YES_Writing_ELA[#Headers],0))=0,"",INDEX(_xlfn.VSTACK(YES_Writing_ELA[#Data],YES_Writing_FLA[#Data]),MATCH($A164,_xlfn.VSTACK(YES_Writing_ELA[Student Number],YES_Writing_FLA[Student Number]),0),MATCH(VLOOKUP(F$7,'Writing Logic'!$J$7:$K$11,2,FALSE)&amp;" - Per "&amp;VLOOKUP($C$4,'Writing Logic'!$G$8:$H$14,2,FALSE),YES_Writing_ELA[#Headers],0)))),"")</f>
        <v/>
      </c>
      <c r="G164" s="138" t="str">
        <f>IFERROR(IF(IF(INDEX(_xlfn.VSTACK(YES_Writing_ELA[#Data],YES_Writing_FLA[#Data]),MATCH($A164,_xlfn.VSTACK(YES_Writing_ELA[Student Number],YES_Writing_FLA[Student Number]),0),MATCH(VLOOKUP(G$7,'Writing Logic'!$J$7:$K$11,2,FALSE)&amp;" - Per "&amp;VLOOKUP($C$4,'Writing Logic'!$G$8:$H$14,2,FALSE),YES_Writing_ELA[#Headers],0))=0,"",INDEX(_xlfn.VSTACK(YES_Writing_ELA[#Data],YES_Writing_FLA[#Data]),MATCH($A164,_xlfn.VSTACK(YES_Writing_ELA[Student Number],YES_Writing_FLA[Student Number]),0),MATCH(VLOOKUP(G$7,'Writing Logic'!$J$7:$K$11,2,FALSE)&amp;" - Per "&amp;VLOOKUP($C$4,'Writing Logic'!$G$8:$H$14,2,FALSE),YES_Writing_ELA[#Headers],0)))="INS",'Writing Logic'!$B$7,IF(INDEX(_xlfn.VSTACK(YES_Writing_ELA[#Data],YES_Writing_FLA[#Data]),MATCH($A164,_xlfn.VSTACK(YES_Writing_ELA[Student Number],YES_Writing_FLA[Student Number]),0),MATCH(VLOOKUP(G$7,'Writing Logic'!$J$7:$K$11,2,FALSE)&amp;" - Per "&amp;VLOOKUP($C$4,'Writing Logic'!$G$8:$H$14,2,FALSE),YES_Writing_ELA[#Headers],0))=0,"",INDEX(_xlfn.VSTACK(YES_Writing_ELA[#Data],YES_Writing_FLA[#Data]),MATCH($A164,_xlfn.VSTACK(YES_Writing_ELA[Student Number],YES_Writing_FLA[Student Number]),0),MATCH(VLOOKUP(G$7,'Writing Logic'!$J$7:$K$11,2,FALSE)&amp;" - Per "&amp;VLOOKUP($C$4,'Writing Logic'!$G$8:$H$14,2,FALSE),YES_Writing_ELA[#Headers],0)))),"")</f>
        <v/>
      </c>
      <c r="H164" s="138" t="str">
        <f>IFERROR(IF(IF(INDEX(_xlfn.VSTACK(YES_Writing_ELA[#Data],YES_Writing_FLA[#Data]),MATCH($A164,_xlfn.VSTACK(YES_Writing_ELA[Student Number],YES_Writing_FLA[Student Number]),0),MATCH(VLOOKUP(H$7,'Writing Logic'!$J$7:$K$11,2,FALSE)&amp;" - Per "&amp;VLOOKUP($C$4,'Writing Logic'!$G$8:$H$14,2,FALSE),YES_Writing_ELA[#Headers],0))=0,"",INDEX(_xlfn.VSTACK(YES_Writing_ELA[#Data],YES_Writing_FLA[#Data]),MATCH($A164,_xlfn.VSTACK(YES_Writing_ELA[Student Number],YES_Writing_FLA[Student Number]),0),MATCH(VLOOKUP(H$7,'Writing Logic'!$J$7:$K$11,2,FALSE)&amp;" - Per "&amp;VLOOKUP($C$4,'Writing Logic'!$G$8:$H$14,2,FALSE),YES_Writing_ELA[#Headers],0)))="INS",'Writing Logic'!$B$7,IF(INDEX(_xlfn.VSTACK(YES_Writing_ELA[#Data],YES_Writing_FLA[#Data]),MATCH($A164,_xlfn.VSTACK(YES_Writing_ELA[Student Number],YES_Writing_FLA[Student Number]),0),MATCH(VLOOKUP(H$7,'Writing Logic'!$J$7:$K$11,2,FALSE)&amp;" - Per "&amp;VLOOKUP($C$4,'Writing Logic'!$G$8:$H$14,2,FALSE),YES_Writing_ELA[#Headers],0))=0,"",INDEX(_xlfn.VSTACK(YES_Writing_ELA[#Data],YES_Writing_FLA[#Data]),MATCH($A164,_xlfn.VSTACK(YES_Writing_ELA[Student Number],YES_Writing_FLA[Student Number]),0),MATCH(VLOOKUP(H$7,'Writing Logic'!$J$7:$K$11,2,FALSE)&amp;" - Per "&amp;VLOOKUP($C$4,'Writing Logic'!$G$8:$H$14,2,FALSE),YES_Writing_ELA[#Headers],0)))),"")</f>
        <v/>
      </c>
    </row>
    <row r="165" spans="1:8" ht="14.25" customHeight="1" x14ac:dyDescent="0.25">
      <c r="A165" s="137"/>
      <c r="B165" s="137" t="str">
        <f>IFERROR(INDEX(_xlfn.VSTACK(YES_Writing_ELA[#Data], YES_Writing_FLA[#Data]),MATCH($A165,_xlfn.VSTACK(YES_Writing_ELA[Student Number], YES_Writing_FLA[Student Number]),0),MATCH(B$7,YES_Writing_ELA[#Headers],0)),"")</f>
        <v/>
      </c>
      <c r="C165" s="137" t="str">
        <f>IFERROR(INDEX(_xlfn.VSTACK(YES_Writing_ELA[#Data], YES_Writing_FLA[#Data]),MATCH($A165,_xlfn.VSTACK(YES_Writing_ELA[Student Number], YES_Writing_FLA[Student Number]),0),MATCH(C$7,YES_Writing_ELA[#Headers],0)),"")</f>
        <v/>
      </c>
      <c r="D165" s="138" t="str">
        <f>IFERROR(IF(IF(INDEX(_xlfn.VSTACK(YES_Writing_ELA[#Data],YES_Writing_FLA[#Data]),MATCH($A165,_xlfn.VSTACK(YES_Writing_ELA[Student Number],YES_Writing_FLA[Student Number]),0),MATCH(VLOOKUP(D$7,'Writing Logic'!$J$7:$K$11,2,FALSE)&amp;" - Per "&amp;VLOOKUP($C$4,'Writing Logic'!$G$8:$H$14,2,FALSE),YES_Writing_ELA[#Headers],0))=0,"",INDEX(_xlfn.VSTACK(YES_Writing_ELA[#Data],YES_Writing_FLA[#Data]),MATCH($A165,_xlfn.VSTACK(YES_Writing_ELA[Student Number],YES_Writing_FLA[Student Number]),0),MATCH(VLOOKUP(D$7,'Writing Logic'!$J$7:$K$11,2,FALSE)&amp;" - Per "&amp;VLOOKUP($C$4,'Writing Logic'!$G$8:$H$14,2,FALSE),YES_Writing_ELA[#Headers],0)))="INS",'Writing Logic'!$B$7,IF(INDEX(_xlfn.VSTACK(YES_Writing_ELA[#Data],YES_Writing_FLA[#Data]),MATCH($A165,_xlfn.VSTACK(YES_Writing_ELA[Student Number],YES_Writing_FLA[Student Number]),0),MATCH(VLOOKUP(D$7,'Writing Logic'!$J$7:$K$11,2,FALSE)&amp;" - Per "&amp;VLOOKUP($C$4,'Writing Logic'!$G$8:$H$14,2,FALSE),YES_Writing_ELA[#Headers],0))=0,"",INDEX(_xlfn.VSTACK(YES_Writing_ELA[#Data],YES_Writing_FLA[#Data]),MATCH($A165,_xlfn.VSTACK(YES_Writing_ELA[Student Number],YES_Writing_FLA[Student Number]),0),MATCH(VLOOKUP(D$7,'Writing Logic'!$J$7:$K$11,2,FALSE)&amp;" - Per "&amp;VLOOKUP($C$4,'Writing Logic'!$G$8:$H$14,2,FALSE),YES_Writing_ELA[#Headers],0)))),"")</f>
        <v/>
      </c>
      <c r="E165" s="138" t="str">
        <f>IFERROR(IF(IF(INDEX(_xlfn.VSTACK(YES_Writing_ELA[#Data],YES_Writing_FLA[#Data]),MATCH($A165,_xlfn.VSTACK(YES_Writing_ELA[Student Number],YES_Writing_FLA[Student Number]),0),MATCH(VLOOKUP(E$7,'Writing Logic'!$J$7:$K$11,2,FALSE)&amp;" - Per "&amp;VLOOKUP($C$4,'Writing Logic'!$G$8:$H$14,2,FALSE),YES_Writing_ELA[#Headers],0))=0,"",INDEX(_xlfn.VSTACK(YES_Writing_ELA[#Data],YES_Writing_FLA[#Data]),MATCH($A165,_xlfn.VSTACK(YES_Writing_ELA[Student Number],YES_Writing_FLA[Student Number]),0),MATCH(VLOOKUP(E$7,'Writing Logic'!$J$7:$K$11,2,FALSE)&amp;" - Per "&amp;VLOOKUP($C$4,'Writing Logic'!$G$8:$H$14,2,FALSE),YES_Writing_ELA[#Headers],0)))="INS",'Writing Logic'!$B$7,IF(INDEX(_xlfn.VSTACK(YES_Writing_ELA[#Data],YES_Writing_FLA[#Data]),MATCH($A165,_xlfn.VSTACK(YES_Writing_ELA[Student Number],YES_Writing_FLA[Student Number]),0),MATCH(VLOOKUP(E$7,'Writing Logic'!$J$7:$K$11,2,FALSE)&amp;" - Per "&amp;VLOOKUP($C$4,'Writing Logic'!$G$8:$H$14,2,FALSE),YES_Writing_ELA[#Headers],0))=0,"",INDEX(_xlfn.VSTACK(YES_Writing_ELA[#Data],YES_Writing_FLA[#Data]),MATCH($A165,_xlfn.VSTACK(YES_Writing_ELA[Student Number],YES_Writing_FLA[Student Number]),0),MATCH(VLOOKUP(E$7,'Writing Logic'!$J$7:$K$11,2,FALSE)&amp;" - Per "&amp;VLOOKUP($C$4,'Writing Logic'!$G$8:$H$14,2,FALSE),YES_Writing_ELA[#Headers],0)))),"")</f>
        <v/>
      </c>
      <c r="F165" s="138" t="str">
        <f>IFERROR(IF(IF(INDEX(_xlfn.VSTACK(YES_Writing_ELA[#Data],YES_Writing_FLA[#Data]),MATCH($A165,_xlfn.VSTACK(YES_Writing_ELA[Student Number],YES_Writing_FLA[Student Number]),0),MATCH(VLOOKUP(F$7,'Writing Logic'!$J$7:$K$11,2,FALSE)&amp;" - Per "&amp;VLOOKUP($C$4,'Writing Logic'!$G$8:$H$14,2,FALSE),YES_Writing_ELA[#Headers],0))=0,"",INDEX(_xlfn.VSTACK(YES_Writing_ELA[#Data],YES_Writing_FLA[#Data]),MATCH($A165,_xlfn.VSTACK(YES_Writing_ELA[Student Number],YES_Writing_FLA[Student Number]),0),MATCH(VLOOKUP(F$7,'Writing Logic'!$J$7:$K$11,2,FALSE)&amp;" - Per "&amp;VLOOKUP($C$4,'Writing Logic'!$G$8:$H$14,2,FALSE),YES_Writing_ELA[#Headers],0)))="INS",'Writing Logic'!$B$7,IF(INDEX(_xlfn.VSTACK(YES_Writing_ELA[#Data],YES_Writing_FLA[#Data]),MATCH($A165,_xlfn.VSTACK(YES_Writing_ELA[Student Number],YES_Writing_FLA[Student Number]),0),MATCH(VLOOKUP(F$7,'Writing Logic'!$J$7:$K$11,2,FALSE)&amp;" - Per "&amp;VLOOKUP($C$4,'Writing Logic'!$G$8:$H$14,2,FALSE),YES_Writing_ELA[#Headers],0))=0,"",INDEX(_xlfn.VSTACK(YES_Writing_ELA[#Data],YES_Writing_FLA[#Data]),MATCH($A165,_xlfn.VSTACK(YES_Writing_ELA[Student Number],YES_Writing_FLA[Student Number]),0),MATCH(VLOOKUP(F$7,'Writing Logic'!$J$7:$K$11,2,FALSE)&amp;" - Per "&amp;VLOOKUP($C$4,'Writing Logic'!$G$8:$H$14,2,FALSE),YES_Writing_ELA[#Headers],0)))),"")</f>
        <v/>
      </c>
      <c r="G165" s="138" t="str">
        <f>IFERROR(IF(IF(INDEX(_xlfn.VSTACK(YES_Writing_ELA[#Data],YES_Writing_FLA[#Data]),MATCH($A165,_xlfn.VSTACK(YES_Writing_ELA[Student Number],YES_Writing_FLA[Student Number]),0),MATCH(VLOOKUP(G$7,'Writing Logic'!$J$7:$K$11,2,FALSE)&amp;" - Per "&amp;VLOOKUP($C$4,'Writing Logic'!$G$8:$H$14,2,FALSE),YES_Writing_ELA[#Headers],0))=0,"",INDEX(_xlfn.VSTACK(YES_Writing_ELA[#Data],YES_Writing_FLA[#Data]),MATCH($A165,_xlfn.VSTACK(YES_Writing_ELA[Student Number],YES_Writing_FLA[Student Number]),0),MATCH(VLOOKUP(G$7,'Writing Logic'!$J$7:$K$11,2,FALSE)&amp;" - Per "&amp;VLOOKUP($C$4,'Writing Logic'!$G$8:$H$14,2,FALSE),YES_Writing_ELA[#Headers],0)))="INS",'Writing Logic'!$B$7,IF(INDEX(_xlfn.VSTACK(YES_Writing_ELA[#Data],YES_Writing_FLA[#Data]),MATCH($A165,_xlfn.VSTACK(YES_Writing_ELA[Student Number],YES_Writing_FLA[Student Number]),0),MATCH(VLOOKUP(G$7,'Writing Logic'!$J$7:$K$11,2,FALSE)&amp;" - Per "&amp;VLOOKUP($C$4,'Writing Logic'!$G$8:$H$14,2,FALSE),YES_Writing_ELA[#Headers],0))=0,"",INDEX(_xlfn.VSTACK(YES_Writing_ELA[#Data],YES_Writing_FLA[#Data]),MATCH($A165,_xlfn.VSTACK(YES_Writing_ELA[Student Number],YES_Writing_FLA[Student Number]),0),MATCH(VLOOKUP(G$7,'Writing Logic'!$J$7:$K$11,2,FALSE)&amp;" - Per "&amp;VLOOKUP($C$4,'Writing Logic'!$G$8:$H$14,2,FALSE),YES_Writing_ELA[#Headers],0)))),"")</f>
        <v/>
      </c>
      <c r="H165" s="138" t="str">
        <f>IFERROR(IF(IF(INDEX(_xlfn.VSTACK(YES_Writing_ELA[#Data],YES_Writing_FLA[#Data]),MATCH($A165,_xlfn.VSTACK(YES_Writing_ELA[Student Number],YES_Writing_FLA[Student Number]),0),MATCH(VLOOKUP(H$7,'Writing Logic'!$J$7:$K$11,2,FALSE)&amp;" - Per "&amp;VLOOKUP($C$4,'Writing Logic'!$G$8:$H$14,2,FALSE),YES_Writing_ELA[#Headers],0))=0,"",INDEX(_xlfn.VSTACK(YES_Writing_ELA[#Data],YES_Writing_FLA[#Data]),MATCH($A165,_xlfn.VSTACK(YES_Writing_ELA[Student Number],YES_Writing_FLA[Student Number]),0),MATCH(VLOOKUP(H$7,'Writing Logic'!$J$7:$K$11,2,FALSE)&amp;" - Per "&amp;VLOOKUP($C$4,'Writing Logic'!$G$8:$H$14,2,FALSE),YES_Writing_ELA[#Headers],0)))="INS",'Writing Logic'!$B$7,IF(INDEX(_xlfn.VSTACK(YES_Writing_ELA[#Data],YES_Writing_FLA[#Data]),MATCH($A165,_xlfn.VSTACK(YES_Writing_ELA[Student Number],YES_Writing_FLA[Student Number]),0),MATCH(VLOOKUP(H$7,'Writing Logic'!$J$7:$K$11,2,FALSE)&amp;" - Per "&amp;VLOOKUP($C$4,'Writing Logic'!$G$8:$H$14,2,FALSE),YES_Writing_ELA[#Headers],0))=0,"",INDEX(_xlfn.VSTACK(YES_Writing_ELA[#Data],YES_Writing_FLA[#Data]),MATCH($A165,_xlfn.VSTACK(YES_Writing_ELA[Student Number],YES_Writing_FLA[Student Number]),0),MATCH(VLOOKUP(H$7,'Writing Logic'!$J$7:$K$11,2,FALSE)&amp;" - Per "&amp;VLOOKUP($C$4,'Writing Logic'!$G$8:$H$14,2,FALSE),YES_Writing_ELA[#Headers],0)))),"")</f>
        <v/>
      </c>
    </row>
    <row r="166" spans="1:8" ht="14.25" customHeight="1" x14ac:dyDescent="0.25">
      <c r="A166" s="137"/>
      <c r="B166" s="137" t="str">
        <f>IFERROR(INDEX(_xlfn.VSTACK(YES_Writing_ELA[#Data], YES_Writing_FLA[#Data]),MATCH($A166,_xlfn.VSTACK(YES_Writing_ELA[Student Number], YES_Writing_FLA[Student Number]),0),MATCH(B$7,YES_Writing_ELA[#Headers],0)),"")</f>
        <v/>
      </c>
      <c r="C166" s="137" t="str">
        <f>IFERROR(INDEX(_xlfn.VSTACK(YES_Writing_ELA[#Data], YES_Writing_FLA[#Data]),MATCH($A166,_xlfn.VSTACK(YES_Writing_ELA[Student Number], YES_Writing_FLA[Student Number]),0),MATCH(C$7,YES_Writing_ELA[#Headers],0)),"")</f>
        <v/>
      </c>
      <c r="D166" s="138" t="str">
        <f>IFERROR(IF(IF(INDEX(_xlfn.VSTACK(YES_Writing_ELA[#Data],YES_Writing_FLA[#Data]),MATCH($A166,_xlfn.VSTACK(YES_Writing_ELA[Student Number],YES_Writing_FLA[Student Number]),0),MATCH(VLOOKUP(D$7,'Writing Logic'!$J$7:$K$11,2,FALSE)&amp;" - Per "&amp;VLOOKUP($C$4,'Writing Logic'!$G$8:$H$14,2,FALSE),YES_Writing_ELA[#Headers],0))=0,"",INDEX(_xlfn.VSTACK(YES_Writing_ELA[#Data],YES_Writing_FLA[#Data]),MATCH($A166,_xlfn.VSTACK(YES_Writing_ELA[Student Number],YES_Writing_FLA[Student Number]),0),MATCH(VLOOKUP(D$7,'Writing Logic'!$J$7:$K$11,2,FALSE)&amp;" - Per "&amp;VLOOKUP($C$4,'Writing Logic'!$G$8:$H$14,2,FALSE),YES_Writing_ELA[#Headers],0)))="INS",'Writing Logic'!$B$7,IF(INDEX(_xlfn.VSTACK(YES_Writing_ELA[#Data],YES_Writing_FLA[#Data]),MATCH($A166,_xlfn.VSTACK(YES_Writing_ELA[Student Number],YES_Writing_FLA[Student Number]),0),MATCH(VLOOKUP(D$7,'Writing Logic'!$J$7:$K$11,2,FALSE)&amp;" - Per "&amp;VLOOKUP($C$4,'Writing Logic'!$G$8:$H$14,2,FALSE),YES_Writing_ELA[#Headers],0))=0,"",INDEX(_xlfn.VSTACK(YES_Writing_ELA[#Data],YES_Writing_FLA[#Data]),MATCH($A166,_xlfn.VSTACK(YES_Writing_ELA[Student Number],YES_Writing_FLA[Student Number]),0),MATCH(VLOOKUP(D$7,'Writing Logic'!$J$7:$K$11,2,FALSE)&amp;" - Per "&amp;VLOOKUP($C$4,'Writing Logic'!$G$8:$H$14,2,FALSE),YES_Writing_ELA[#Headers],0)))),"")</f>
        <v/>
      </c>
      <c r="E166" s="138" t="str">
        <f>IFERROR(IF(IF(INDEX(_xlfn.VSTACK(YES_Writing_ELA[#Data],YES_Writing_FLA[#Data]),MATCH($A166,_xlfn.VSTACK(YES_Writing_ELA[Student Number],YES_Writing_FLA[Student Number]),0),MATCH(VLOOKUP(E$7,'Writing Logic'!$J$7:$K$11,2,FALSE)&amp;" - Per "&amp;VLOOKUP($C$4,'Writing Logic'!$G$8:$H$14,2,FALSE),YES_Writing_ELA[#Headers],0))=0,"",INDEX(_xlfn.VSTACK(YES_Writing_ELA[#Data],YES_Writing_FLA[#Data]),MATCH($A166,_xlfn.VSTACK(YES_Writing_ELA[Student Number],YES_Writing_FLA[Student Number]),0),MATCH(VLOOKUP(E$7,'Writing Logic'!$J$7:$K$11,2,FALSE)&amp;" - Per "&amp;VLOOKUP($C$4,'Writing Logic'!$G$8:$H$14,2,FALSE),YES_Writing_ELA[#Headers],0)))="INS",'Writing Logic'!$B$7,IF(INDEX(_xlfn.VSTACK(YES_Writing_ELA[#Data],YES_Writing_FLA[#Data]),MATCH($A166,_xlfn.VSTACK(YES_Writing_ELA[Student Number],YES_Writing_FLA[Student Number]),0),MATCH(VLOOKUP(E$7,'Writing Logic'!$J$7:$K$11,2,FALSE)&amp;" - Per "&amp;VLOOKUP($C$4,'Writing Logic'!$G$8:$H$14,2,FALSE),YES_Writing_ELA[#Headers],0))=0,"",INDEX(_xlfn.VSTACK(YES_Writing_ELA[#Data],YES_Writing_FLA[#Data]),MATCH($A166,_xlfn.VSTACK(YES_Writing_ELA[Student Number],YES_Writing_FLA[Student Number]),0),MATCH(VLOOKUP(E$7,'Writing Logic'!$J$7:$K$11,2,FALSE)&amp;" - Per "&amp;VLOOKUP($C$4,'Writing Logic'!$G$8:$H$14,2,FALSE),YES_Writing_ELA[#Headers],0)))),"")</f>
        <v/>
      </c>
      <c r="F166" s="138" t="str">
        <f>IFERROR(IF(IF(INDEX(_xlfn.VSTACK(YES_Writing_ELA[#Data],YES_Writing_FLA[#Data]),MATCH($A166,_xlfn.VSTACK(YES_Writing_ELA[Student Number],YES_Writing_FLA[Student Number]),0),MATCH(VLOOKUP(F$7,'Writing Logic'!$J$7:$K$11,2,FALSE)&amp;" - Per "&amp;VLOOKUP($C$4,'Writing Logic'!$G$8:$H$14,2,FALSE),YES_Writing_ELA[#Headers],0))=0,"",INDEX(_xlfn.VSTACK(YES_Writing_ELA[#Data],YES_Writing_FLA[#Data]),MATCH($A166,_xlfn.VSTACK(YES_Writing_ELA[Student Number],YES_Writing_FLA[Student Number]),0),MATCH(VLOOKUP(F$7,'Writing Logic'!$J$7:$K$11,2,FALSE)&amp;" - Per "&amp;VLOOKUP($C$4,'Writing Logic'!$G$8:$H$14,2,FALSE),YES_Writing_ELA[#Headers],0)))="INS",'Writing Logic'!$B$7,IF(INDEX(_xlfn.VSTACK(YES_Writing_ELA[#Data],YES_Writing_FLA[#Data]),MATCH($A166,_xlfn.VSTACK(YES_Writing_ELA[Student Number],YES_Writing_FLA[Student Number]),0),MATCH(VLOOKUP(F$7,'Writing Logic'!$J$7:$K$11,2,FALSE)&amp;" - Per "&amp;VLOOKUP($C$4,'Writing Logic'!$G$8:$H$14,2,FALSE),YES_Writing_ELA[#Headers],0))=0,"",INDEX(_xlfn.VSTACK(YES_Writing_ELA[#Data],YES_Writing_FLA[#Data]),MATCH($A166,_xlfn.VSTACK(YES_Writing_ELA[Student Number],YES_Writing_FLA[Student Number]),0),MATCH(VLOOKUP(F$7,'Writing Logic'!$J$7:$K$11,2,FALSE)&amp;" - Per "&amp;VLOOKUP($C$4,'Writing Logic'!$G$8:$H$14,2,FALSE),YES_Writing_ELA[#Headers],0)))),"")</f>
        <v/>
      </c>
      <c r="G166" s="138" t="str">
        <f>IFERROR(IF(IF(INDEX(_xlfn.VSTACK(YES_Writing_ELA[#Data],YES_Writing_FLA[#Data]),MATCH($A166,_xlfn.VSTACK(YES_Writing_ELA[Student Number],YES_Writing_FLA[Student Number]),0),MATCH(VLOOKUP(G$7,'Writing Logic'!$J$7:$K$11,2,FALSE)&amp;" - Per "&amp;VLOOKUP($C$4,'Writing Logic'!$G$8:$H$14,2,FALSE),YES_Writing_ELA[#Headers],0))=0,"",INDEX(_xlfn.VSTACK(YES_Writing_ELA[#Data],YES_Writing_FLA[#Data]),MATCH($A166,_xlfn.VSTACK(YES_Writing_ELA[Student Number],YES_Writing_FLA[Student Number]),0),MATCH(VLOOKUP(G$7,'Writing Logic'!$J$7:$K$11,2,FALSE)&amp;" - Per "&amp;VLOOKUP($C$4,'Writing Logic'!$G$8:$H$14,2,FALSE),YES_Writing_ELA[#Headers],0)))="INS",'Writing Logic'!$B$7,IF(INDEX(_xlfn.VSTACK(YES_Writing_ELA[#Data],YES_Writing_FLA[#Data]),MATCH($A166,_xlfn.VSTACK(YES_Writing_ELA[Student Number],YES_Writing_FLA[Student Number]),0),MATCH(VLOOKUP(G$7,'Writing Logic'!$J$7:$K$11,2,FALSE)&amp;" - Per "&amp;VLOOKUP($C$4,'Writing Logic'!$G$8:$H$14,2,FALSE),YES_Writing_ELA[#Headers],0))=0,"",INDEX(_xlfn.VSTACK(YES_Writing_ELA[#Data],YES_Writing_FLA[#Data]),MATCH($A166,_xlfn.VSTACK(YES_Writing_ELA[Student Number],YES_Writing_FLA[Student Number]),0),MATCH(VLOOKUP(G$7,'Writing Logic'!$J$7:$K$11,2,FALSE)&amp;" - Per "&amp;VLOOKUP($C$4,'Writing Logic'!$G$8:$H$14,2,FALSE),YES_Writing_ELA[#Headers],0)))),"")</f>
        <v/>
      </c>
      <c r="H166" s="138" t="str">
        <f>IFERROR(IF(IF(INDEX(_xlfn.VSTACK(YES_Writing_ELA[#Data],YES_Writing_FLA[#Data]),MATCH($A166,_xlfn.VSTACK(YES_Writing_ELA[Student Number],YES_Writing_FLA[Student Number]),0),MATCH(VLOOKUP(H$7,'Writing Logic'!$J$7:$K$11,2,FALSE)&amp;" - Per "&amp;VLOOKUP($C$4,'Writing Logic'!$G$8:$H$14,2,FALSE),YES_Writing_ELA[#Headers],0))=0,"",INDEX(_xlfn.VSTACK(YES_Writing_ELA[#Data],YES_Writing_FLA[#Data]),MATCH($A166,_xlfn.VSTACK(YES_Writing_ELA[Student Number],YES_Writing_FLA[Student Number]),0),MATCH(VLOOKUP(H$7,'Writing Logic'!$J$7:$K$11,2,FALSE)&amp;" - Per "&amp;VLOOKUP($C$4,'Writing Logic'!$G$8:$H$14,2,FALSE),YES_Writing_ELA[#Headers],0)))="INS",'Writing Logic'!$B$7,IF(INDEX(_xlfn.VSTACK(YES_Writing_ELA[#Data],YES_Writing_FLA[#Data]),MATCH($A166,_xlfn.VSTACK(YES_Writing_ELA[Student Number],YES_Writing_FLA[Student Number]),0),MATCH(VLOOKUP(H$7,'Writing Logic'!$J$7:$K$11,2,FALSE)&amp;" - Per "&amp;VLOOKUP($C$4,'Writing Logic'!$G$8:$H$14,2,FALSE),YES_Writing_ELA[#Headers],0))=0,"",INDEX(_xlfn.VSTACK(YES_Writing_ELA[#Data],YES_Writing_FLA[#Data]),MATCH($A166,_xlfn.VSTACK(YES_Writing_ELA[Student Number],YES_Writing_FLA[Student Number]),0),MATCH(VLOOKUP(H$7,'Writing Logic'!$J$7:$K$11,2,FALSE)&amp;" - Per "&amp;VLOOKUP($C$4,'Writing Logic'!$G$8:$H$14,2,FALSE),YES_Writing_ELA[#Headers],0)))),"")</f>
        <v/>
      </c>
    </row>
    <row r="167" spans="1:8" ht="14.25" customHeight="1" x14ac:dyDescent="0.25">
      <c r="A167" s="137"/>
      <c r="B167" s="137" t="str">
        <f>IFERROR(INDEX(_xlfn.VSTACK(YES_Writing_ELA[#Data], YES_Writing_FLA[#Data]),MATCH($A167,_xlfn.VSTACK(YES_Writing_ELA[Student Number], YES_Writing_FLA[Student Number]),0),MATCH(B$7,YES_Writing_ELA[#Headers],0)),"")</f>
        <v/>
      </c>
      <c r="C167" s="137" t="str">
        <f>IFERROR(INDEX(_xlfn.VSTACK(YES_Writing_ELA[#Data], YES_Writing_FLA[#Data]),MATCH($A167,_xlfn.VSTACK(YES_Writing_ELA[Student Number], YES_Writing_FLA[Student Number]),0),MATCH(C$7,YES_Writing_ELA[#Headers],0)),"")</f>
        <v/>
      </c>
      <c r="D167" s="138" t="str">
        <f>IFERROR(IF(IF(INDEX(_xlfn.VSTACK(YES_Writing_ELA[#Data],YES_Writing_FLA[#Data]),MATCH($A167,_xlfn.VSTACK(YES_Writing_ELA[Student Number],YES_Writing_FLA[Student Number]),0),MATCH(VLOOKUP(D$7,'Writing Logic'!$J$7:$K$11,2,FALSE)&amp;" - Per "&amp;VLOOKUP($C$4,'Writing Logic'!$G$8:$H$14,2,FALSE),YES_Writing_ELA[#Headers],0))=0,"",INDEX(_xlfn.VSTACK(YES_Writing_ELA[#Data],YES_Writing_FLA[#Data]),MATCH($A167,_xlfn.VSTACK(YES_Writing_ELA[Student Number],YES_Writing_FLA[Student Number]),0),MATCH(VLOOKUP(D$7,'Writing Logic'!$J$7:$K$11,2,FALSE)&amp;" - Per "&amp;VLOOKUP($C$4,'Writing Logic'!$G$8:$H$14,2,FALSE),YES_Writing_ELA[#Headers],0)))="INS",'Writing Logic'!$B$7,IF(INDEX(_xlfn.VSTACK(YES_Writing_ELA[#Data],YES_Writing_FLA[#Data]),MATCH($A167,_xlfn.VSTACK(YES_Writing_ELA[Student Number],YES_Writing_FLA[Student Number]),0),MATCH(VLOOKUP(D$7,'Writing Logic'!$J$7:$K$11,2,FALSE)&amp;" - Per "&amp;VLOOKUP($C$4,'Writing Logic'!$G$8:$H$14,2,FALSE),YES_Writing_ELA[#Headers],0))=0,"",INDEX(_xlfn.VSTACK(YES_Writing_ELA[#Data],YES_Writing_FLA[#Data]),MATCH($A167,_xlfn.VSTACK(YES_Writing_ELA[Student Number],YES_Writing_FLA[Student Number]),0),MATCH(VLOOKUP(D$7,'Writing Logic'!$J$7:$K$11,2,FALSE)&amp;" - Per "&amp;VLOOKUP($C$4,'Writing Logic'!$G$8:$H$14,2,FALSE),YES_Writing_ELA[#Headers],0)))),"")</f>
        <v/>
      </c>
      <c r="E167" s="138" t="str">
        <f>IFERROR(IF(IF(INDEX(_xlfn.VSTACK(YES_Writing_ELA[#Data],YES_Writing_FLA[#Data]),MATCH($A167,_xlfn.VSTACK(YES_Writing_ELA[Student Number],YES_Writing_FLA[Student Number]),0),MATCH(VLOOKUP(E$7,'Writing Logic'!$J$7:$K$11,2,FALSE)&amp;" - Per "&amp;VLOOKUP($C$4,'Writing Logic'!$G$8:$H$14,2,FALSE),YES_Writing_ELA[#Headers],0))=0,"",INDEX(_xlfn.VSTACK(YES_Writing_ELA[#Data],YES_Writing_FLA[#Data]),MATCH($A167,_xlfn.VSTACK(YES_Writing_ELA[Student Number],YES_Writing_FLA[Student Number]),0),MATCH(VLOOKUP(E$7,'Writing Logic'!$J$7:$K$11,2,FALSE)&amp;" - Per "&amp;VLOOKUP($C$4,'Writing Logic'!$G$8:$H$14,2,FALSE),YES_Writing_ELA[#Headers],0)))="INS",'Writing Logic'!$B$7,IF(INDEX(_xlfn.VSTACK(YES_Writing_ELA[#Data],YES_Writing_FLA[#Data]),MATCH($A167,_xlfn.VSTACK(YES_Writing_ELA[Student Number],YES_Writing_FLA[Student Number]),0),MATCH(VLOOKUP(E$7,'Writing Logic'!$J$7:$K$11,2,FALSE)&amp;" - Per "&amp;VLOOKUP($C$4,'Writing Logic'!$G$8:$H$14,2,FALSE),YES_Writing_ELA[#Headers],0))=0,"",INDEX(_xlfn.VSTACK(YES_Writing_ELA[#Data],YES_Writing_FLA[#Data]),MATCH($A167,_xlfn.VSTACK(YES_Writing_ELA[Student Number],YES_Writing_FLA[Student Number]),0),MATCH(VLOOKUP(E$7,'Writing Logic'!$J$7:$K$11,2,FALSE)&amp;" - Per "&amp;VLOOKUP($C$4,'Writing Logic'!$G$8:$H$14,2,FALSE),YES_Writing_ELA[#Headers],0)))),"")</f>
        <v/>
      </c>
      <c r="F167" s="138" t="str">
        <f>IFERROR(IF(IF(INDEX(_xlfn.VSTACK(YES_Writing_ELA[#Data],YES_Writing_FLA[#Data]),MATCH($A167,_xlfn.VSTACK(YES_Writing_ELA[Student Number],YES_Writing_FLA[Student Number]),0),MATCH(VLOOKUP(F$7,'Writing Logic'!$J$7:$K$11,2,FALSE)&amp;" - Per "&amp;VLOOKUP($C$4,'Writing Logic'!$G$8:$H$14,2,FALSE),YES_Writing_ELA[#Headers],0))=0,"",INDEX(_xlfn.VSTACK(YES_Writing_ELA[#Data],YES_Writing_FLA[#Data]),MATCH($A167,_xlfn.VSTACK(YES_Writing_ELA[Student Number],YES_Writing_FLA[Student Number]),0),MATCH(VLOOKUP(F$7,'Writing Logic'!$J$7:$K$11,2,FALSE)&amp;" - Per "&amp;VLOOKUP($C$4,'Writing Logic'!$G$8:$H$14,2,FALSE),YES_Writing_ELA[#Headers],0)))="INS",'Writing Logic'!$B$7,IF(INDEX(_xlfn.VSTACK(YES_Writing_ELA[#Data],YES_Writing_FLA[#Data]),MATCH($A167,_xlfn.VSTACK(YES_Writing_ELA[Student Number],YES_Writing_FLA[Student Number]),0),MATCH(VLOOKUP(F$7,'Writing Logic'!$J$7:$K$11,2,FALSE)&amp;" - Per "&amp;VLOOKUP($C$4,'Writing Logic'!$G$8:$H$14,2,FALSE),YES_Writing_ELA[#Headers],0))=0,"",INDEX(_xlfn.VSTACK(YES_Writing_ELA[#Data],YES_Writing_FLA[#Data]),MATCH($A167,_xlfn.VSTACK(YES_Writing_ELA[Student Number],YES_Writing_FLA[Student Number]),0),MATCH(VLOOKUP(F$7,'Writing Logic'!$J$7:$K$11,2,FALSE)&amp;" - Per "&amp;VLOOKUP($C$4,'Writing Logic'!$G$8:$H$14,2,FALSE),YES_Writing_ELA[#Headers],0)))),"")</f>
        <v/>
      </c>
      <c r="G167" s="138" t="str">
        <f>IFERROR(IF(IF(INDEX(_xlfn.VSTACK(YES_Writing_ELA[#Data],YES_Writing_FLA[#Data]),MATCH($A167,_xlfn.VSTACK(YES_Writing_ELA[Student Number],YES_Writing_FLA[Student Number]),0),MATCH(VLOOKUP(G$7,'Writing Logic'!$J$7:$K$11,2,FALSE)&amp;" - Per "&amp;VLOOKUP($C$4,'Writing Logic'!$G$8:$H$14,2,FALSE),YES_Writing_ELA[#Headers],0))=0,"",INDEX(_xlfn.VSTACK(YES_Writing_ELA[#Data],YES_Writing_FLA[#Data]),MATCH($A167,_xlfn.VSTACK(YES_Writing_ELA[Student Number],YES_Writing_FLA[Student Number]),0),MATCH(VLOOKUP(G$7,'Writing Logic'!$J$7:$K$11,2,FALSE)&amp;" - Per "&amp;VLOOKUP($C$4,'Writing Logic'!$G$8:$H$14,2,FALSE),YES_Writing_ELA[#Headers],0)))="INS",'Writing Logic'!$B$7,IF(INDEX(_xlfn.VSTACK(YES_Writing_ELA[#Data],YES_Writing_FLA[#Data]),MATCH($A167,_xlfn.VSTACK(YES_Writing_ELA[Student Number],YES_Writing_FLA[Student Number]),0),MATCH(VLOOKUP(G$7,'Writing Logic'!$J$7:$K$11,2,FALSE)&amp;" - Per "&amp;VLOOKUP($C$4,'Writing Logic'!$G$8:$H$14,2,FALSE),YES_Writing_ELA[#Headers],0))=0,"",INDEX(_xlfn.VSTACK(YES_Writing_ELA[#Data],YES_Writing_FLA[#Data]),MATCH($A167,_xlfn.VSTACK(YES_Writing_ELA[Student Number],YES_Writing_FLA[Student Number]),0),MATCH(VLOOKUP(G$7,'Writing Logic'!$J$7:$K$11,2,FALSE)&amp;" - Per "&amp;VLOOKUP($C$4,'Writing Logic'!$G$8:$H$14,2,FALSE),YES_Writing_ELA[#Headers],0)))),"")</f>
        <v/>
      </c>
      <c r="H167" s="138" t="str">
        <f>IFERROR(IF(IF(INDEX(_xlfn.VSTACK(YES_Writing_ELA[#Data],YES_Writing_FLA[#Data]),MATCH($A167,_xlfn.VSTACK(YES_Writing_ELA[Student Number],YES_Writing_FLA[Student Number]),0),MATCH(VLOOKUP(H$7,'Writing Logic'!$J$7:$K$11,2,FALSE)&amp;" - Per "&amp;VLOOKUP($C$4,'Writing Logic'!$G$8:$H$14,2,FALSE),YES_Writing_ELA[#Headers],0))=0,"",INDEX(_xlfn.VSTACK(YES_Writing_ELA[#Data],YES_Writing_FLA[#Data]),MATCH($A167,_xlfn.VSTACK(YES_Writing_ELA[Student Number],YES_Writing_FLA[Student Number]),0),MATCH(VLOOKUP(H$7,'Writing Logic'!$J$7:$K$11,2,FALSE)&amp;" - Per "&amp;VLOOKUP($C$4,'Writing Logic'!$G$8:$H$14,2,FALSE),YES_Writing_ELA[#Headers],0)))="INS",'Writing Logic'!$B$7,IF(INDEX(_xlfn.VSTACK(YES_Writing_ELA[#Data],YES_Writing_FLA[#Data]),MATCH($A167,_xlfn.VSTACK(YES_Writing_ELA[Student Number],YES_Writing_FLA[Student Number]),0),MATCH(VLOOKUP(H$7,'Writing Logic'!$J$7:$K$11,2,FALSE)&amp;" - Per "&amp;VLOOKUP($C$4,'Writing Logic'!$G$8:$H$14,2,FALSE),YES_Writing_ELA[#Headers],0))=0,"",INDEX(_xlfn.VSTACK(YES_Writing_ELA[#Data],YES_Writing_FLA[#Data]),MATCH($A167,_xlfn.VSTACK(YES_Writing_ELA[Student Number],YES_Writing_FLA[Student Number]),0),MATCH(VLOOKUP(H$7,'Writing Logic'!$J$7:$K$11,2,FALSE)&amp;" - Per "&amp;VLOOKUP($C$4,'Writing Logic'!$G$8:$H$14,2,FALSE),YES_Writing_ELA[#Headers],0)))),"")</f>
        <v/>
      </c>
    </row>
    <row r="168" spans="1:8" ht="14.25" customHeight="1" x14ac:dyDescent="0.25">
      <c r="A168" s="137"/>
      <c r="B168" s="137" t="str">
        <f>IFERROR(INDEX(_xlfn.VSTACK(YES_Writing_ELA[#Data], YES_Writing_FLA[#Data]),MATCH($A168,_xlfn.VSTACK(YES_Writing_ELA[Student Number], YES_Writing_FLA[Student Number]),0),MATCH(B$7,YES_Writing_ELA[#Headers],0)),"")</f>
        <v/>
      </c>
      <c r="C168" s="137" t="str">
        <f>IFERROR(INDEX(_xlfn.VSTACK(YES_Writing_ELA[#Data], YES_Writing_FLA[#Data]),MATCH($A168,_xlfn.VSTACK(YES_Writing_ELA[Student Number], YES_Writing_FLA[Student Number]),0),MATCH(C$7,YES_Writing_ELA[#Headers],0)),"")</f>
        <v/>
      </c>
      <c r="D168" s="138" t="str">
        <f>IFERROR(IF(IF(INDEX(_xlfn.VSTACK(YES_Writing_ELA[#Data],YES_Writing_FLA[#Data]),MATCH($A168,_xlfn.VSTACK(YES_Writing_ELA[Student Number],YES_Writing_FLA[Student Number]),0),MATCH(VLOOKUP(D$7,'Writing Logic'!$J$7:$K$11,2,FALSE)&amp;" - Per "&amp;VLOOKUP($C$4,'Writing Logic'!$G$8:$H$14,2,FALSE),YES_Writing_ELA[#Headers],0))=0,"",INDEX(_xlfn.VSTACK(YES_Writing_ELA[#Data],YES_Writing_FLA[#Data]),MATCH($A168,_xlfn.VSTACK(YES_Writing_ELA[Student Number],YES_Writing_FLA[Student Number]),0),MATCH(VLOOKUP(D$7,'Writing Logic'!$J$7:$K$11,2,FALSE)&amp;" - Per "&amp;VLOOKUP($C$4,'Writing Logic'!$G$8:$H$14,2,FALSE),YES_Writing_ELA[#Headers],0)))="INS",'Writing Logic'!$B$7,IF(INDEX(_xlfn.VSTACK(YES_Writing_ELA[#Data],YES_Writing_FLA[#Data]),MATCH($A168,_xlfn.VSTACK(YES_Writing_ELA[Student Number],YES_Writing_FLA[Student Number]),0),MATCH(VLOOKUP(D$7,'Writing Logic'!$J$7:$K$11,2,FALSE)&amp;" - Per "&amp;VLOOKUP($C$4,'Writing Logic'!$G$8:$H$14,2,FALSE),YES_Writing_ELA[#Headers],0))=0,"",INDEX(_xlfn.VSTACK(YES_Writing_ELA[#Data],YES_Writing_FLA[#Data]),MATCH($A168,_xlfn.VSTACK(YES_Writing_ELA[Student Number],YES_Writing_FLA[Student Number]),0),MATCH(VLOOKUP(D$7,'Writing Logic'!$J$7:$K$11,2,FALSE)&amp;" - Per "&amp;VLOOKUP($C$4,'Writing Logic'!$G$8:$H$14,2,FALSE),YES_Writing_ELA[#Headers],0)))),"")</f>
        <v/>
      </c>
      <c r="E168" s="138" t="str">
        <f>IFERROR(IF(IF(INDEX(_xlfn.VSTACK(YES_Writing_ELA[#Data],YES_Writing_FLA[#Data]),MATCH($A168,_xlfn.VSTACK(YES_Writing_ELA[Student Number],YES_Writing_FLA[Student Number]),0),MATCH(VLOOKUP(E$7,'Writing Logic'!$J$7:$K$11,2,FALSE)&amp;" - Per "&amp;VLOOKUP($C$4,'Writing Logic'!$G$8:$H$14,2,FALSE),YES_Writing_ELA[#Headers],0))=0,"",INDEX(_xlfn.VSTACK(YES_Writing_ELA[#Data],YES_Writing_FLA[#Data]),MATCH($A168,_xlfn.VSTACK(YES_Writing_ELA[Student Number],YES_Writing_FLA[Student Number]),0),MATCH(VLOOKUP(E$7,'Writing Logic'!$J$7:$K$11,2,FALSE)&amp;" - Per "&amp;VLOOKUP($C$4,'Writing Logic'!$G$8:$H$14,2,FALSE),YES_Writing_ELA[#Headers],0)))="INS",'Writing Logic'!$B$7,IF(INDEX(_xlfn.VSTACK(YES_Writing_ELA[#Data],YES_Writing_FLA[#Data]),MATCH($A168,_xlfn.VSTACK(YES_Writing_ELA[Student Number],YES_Writing_FLA[Student Number]),0),MATCH(VLOOKUP(E$7,'Writing Logic'!$J$7:$K$11,2,FALSE)&amp;" - Per "&amp;VLOOKUP($C$4,'Writing Logic'!$G$8:$H$14,2,FALSE),YES_Writing_ELA[#Headers],0))=0,"",INDEX(_xlfn.VSTACK(YES_Writing_ELA[#Data],YES_Writing_FLA[#Data]),MATCH($A168,_xlfn.VSTACK(YES_Writing_ELA[Student Number],YES_Writing_FLA[Student Number]),0),MATCH(VLOOKUP(E$7,'Writing Logic'!$J$7:$K$11,2,FALSE)&amp;" - Per "&amp;VLOOKUP($C$4,'Writing Logic'!$G$8:$H$14,2,FALSE),YES_Writing_ELA[#Headers],0)))),"")</f>
        <v/>
      </c>
      <c r="F168" s="138" t="str">
        <f>IFERROR(IF(IF(INDEX(_xlfn.VSTACK(YES_Writing_ELA[#Data],YES_Writing_FLA[#Data]),MATCH($A168,_xlfn.VSTACK(YES_Writing_ELA[Student Number],YES_Writing_FLA[Student Number]),0),MATCH(VLOOKUP(F$7,'Writing Logic'!$J$7:$K$11,2,FALSE)&amp;" - Per "&amp;VLOOKUP($C$4,'Writing Logic'!$G$8:$H$14,2,FALSE),YES_Writing_ELA[#Headers],0))=0,"",INDEX(_xlfn.VSTACK(YES_Writing_ELA[#Data],YES_Writing_FLA[#Data]),MATCH($A168,_xlfn.VSTACK(YES_Writing_ELA[Student Number],YES_Writing_FLA[Student Number]),0),MATCH(VLOOKUP(F$7,'Writing Logic'!$J$7:$K$11,2,FALSE)&amp;" - Per "&amp;VLOOKUP($C$4,'Writing Logic'!$G$8:$H$14,2,FALSE),YES_Writing_ELA[#Headers],0)))="INS",'Writing Logic'!$B$7,IF(INDEX(_xlfn.VSTACK(YES_Writing_ELA[#Data],YES_Writing_FLA[#Data]),MATCH($A168,_xlfn.VSTACK(YES_Writing_ELA[Student Number],YES_Writing_FLA[Student Number]),0),MATCH(VLOOKUP(F$7,'Writing Logic'!$J$7:$K$11,2,FALSE)&amp;" - Per "&amp;VLOOKUP($C$4,'Writing Logic'!$G$8:$H$14,2,FALSE),YES_Writing_ELA[#Headers],0))=0,"",INDEX(_xlfn.VSTACK(YES_Writing_ELA[#Data],YES_Writing_FLA[#Data]),MATCH($A168,_xlfn.VSTACK(YES_Writing_ELA[Student Number],YES_Writing_FLA[Student Number]),0),MATCH(VLOOKUP(F$7,'Writing Logic'!$J$7:$K$11,2,FALSE)&amp;" - Per "&amp;VLOOKUP($C$4,'Writing Logic'!$G$8:$H$14,2,FALSE),YES_Writing_ELA[#Headers],0)))),"")</f>
        <v/>
      </c>
      <c r="G168" s="138" t="str">
        <f>IFERROR(IF(IF(INDEX(_xlfn.VSTACK(YES_Writing_ELA[#Data],YES_Writing_FLA[#Data]),MATCH($A168,_xlfn.VSTACK(YES_Writing_ELA[Student Number],YES_Writing_FLA[Student Number]),0),MATCH(VLOOKUP(G$7,'Writing Logic'!$J$7:$K$11,2,FALSE)&amp;" - Per "&amp;VLOOKUP($C$4,'Writing Logic'!$G$8:$H$14,2,FALSE),YES_Writing_ELA[#Headers],0))=0,"",INDEX(_xlfn.VSTACK(YES_Writing_ELA[#Data],YES_Writing_FLA[#Data]),MATCH($A168,_xlfn.VSTACK(YES_Writing_ELA[Student Number],YES_Writing_FLA[Student Number]),0),MATCH(VLOOKUP(G$7,'Writing Logic'!$J$7:$K$11,2,FALSE)&amp;" - Per "&amp;VLOOKUP($C$4,'Writing Logic'!$G$8:$H$14,2,FALSE),YES_Writing_ELA[#Headers],0)))="INS",'Writing Logic'!$B$7,IF(INDEX(_xlfn.VSTACK(YES_Writing_ELA[#Data],YES_Writing_FLA[#Data]),MATCH($A168,_xlfn.VSTACK(YES_Writing_ELA[Student Number],YES_Writing_FLA[Student Number]),0),MATCH(VLOOKUP(G$7,'Writing Logic'!$J$7:$K$11,2,FALSE)&amp;" - Per "&amp;VLOOKUP($C$4,'Writing Logic'!$G$8:$H$14,2,FALSE),YES_Writing_ELA[#Headers],0))=0,"",INDEX(_xlfn.VSTACK(YES_Writing_ELA[#Data],YES_Writing_FLA[#Data]),MATCH($A168,_xlfn.VSTACK(YES_Writing_ELA[Student Number],YES_Writing_FLA[Student Number]),0),MATCH(VLOOKUP(G$7,'Writing Logic'!$J$7:$K$11,2,FALSE)&amp;" - Per "&amp;VLOOKUP($C$4,'Writing Logic'!$G$8:$H$14,2,FALSE),YES_Writing_ELA[#Headers],0)))),"")</f>
        <v/>
      </c>
      <c r="H168" s="138" t="str">
        <f>IFERROR(IF(IF(INDEX(_xlfn.VSTACK(YES_Writing_ELA[#Data],YES_Writing_FLA[#Data]),MATCH($A168,_xlfn.VSTACK(YES_Writing_ELA[Student Number],YES_Writing_FLA[Student Number]),0),MATCH(VLOOKUP(H$7,'Writing Logic'!$J$7:$K$11,2,FALSE)&amp;" - Per "&amp;VLOOKUP($C$4,'Writing Logic'!$G$8:$H$14,2,FALSE),YES_Writing_ELA[#Headers],0))=0,"",INDEX(_xlfn.VSTACK(YES_Writing_ELA[#Data],YES_Writing_FLA[#Data]),MATCH($A168,_xlfn.VSTACK(YES_Writing_ELA[Student Number],YES_Writing_FLA[Student Number]),0),MATCH(VLOOKUP(H$7,'Writing Logic'!$J$7:$K$11,2,FALSE)&amp;" - Per "&amp;VLOOKUP($C$4,'Writing Logic'!$G$8:$H$14,2,FALSE),YES_Writing_ELA[#Headers],0)))="INS",'Writing Logic'!$B$7,IF(INDEX(_xlfn.VSTACK(YES_Writing_ELA[#Data],YES_Writing_FLA[#Data]),MATCH($A168,_xlfn.VSTACK(YES_Writing_ELA[Student Number],YES_Writing_FLA[Student Number]),0),MATCH(VLOOKUP(H$7,'Writing Logic'!$J$7:$K$11,2,FALSE)&amp;" - Per "&amp;VLOOKUP($C$4,'Writing Logic'!$G$8:$H$14,2,FALSE),YES_Writing_ELA[#Headers],0))=0,"",INDEX(_xlfn.VSTACK(YES_Writing_ELA[#Data],YES_Writing_FLA[#Data]),MATCH($A168,_xlfn.VSTACK(YES_Writing_ELA[Student Number],YES_Writing_FLA[Student Number]),0),MATCH(VLOOKUP(H$7,'Writing Logic'!$J$7:$K$11,2,FALSE)&amp;" - Per "&amp;VLOOKUP($C$4,'Writing Logic'!$G$8:$H$14,2,FALSE),YES_Writing_ELA[#Headers],0)))),"")</f>
        <v/>
      </c>
    </row>
    <row r="169" spans="1:8" ht="14.25" customHeight="1" x14ac:dyDescent="0.25">
      <c r="A169" s="137"/>
      <c r="B169" s="137" t="str">
        <f>IFERROR(INDEX(_xlfn.VSTACK(YES_Writing_ELA[#Data], YES_Writing_FLA[#Data]),MATCH($A169,_xlfn.VSTACK(YES_Writing_ELA[Student Number], YES_Writing_FLA[Student Number]),0),MATCH(B$7,YES_Writing_ELA[#Headers],0)),"")</f>
        <v/>
      </c>
      <c r="C169" s="137" t="str">
        <f>IFERROR(INDEX(_xlfn.VSTACK(YES_Writing_ELA[#Data], YES_Writing_FLA[#Data]),MATCH($A169,_xlfn.VSTACK(YES_Writing_ELA[Student Number], YES_Writing_FLA[Student Number]),0),MATCH(C$7,YES_Writing_ELA[#Headers],0)),"")</f>
        <v/>
      </c>
      <c r="D169" s="138" t="str">
        <f>IFERROR(IF(IF(INDEX(_xlfn.VSTACK(YES_Writing_ELA[#Data],YES_Writing_FLA[#Data]),MATCH($A169,_xlfn.VSTACK(YES_Writing_ELA[Student Number],YES_Writing_FLA[Student Number]),0),MATCH(VLOOKUP(D$7,'Writing Logic'!$J$7:$K$11,2,FALSE)&amp;" - Per "&amp;VLOOKUP($C$4,'Writing Logic'!$G$8:$H$14,2,FALSE),YES_Writing_ELA[#Headers],0))=0,"",INDEX(_xlfn.VSTACK(YES_Writing_ELA[#Data],YES_Writing_FLA[#Data]),MATCH($A169,_xlfn.VSTACK(YES_Writing_ELA[Student Number],YES_Writing_FLA[Student Number]),0),MATCH(VLOOKUP(D$7,'Writing Logic'!$J$7:$K$11,2,FALSE)&amp;" - Per "&amp;VLOOKUP($C$4,'Writing Logic'!$G$8:$H$14,2,FALSE),YES_Writing_ELA[#Headers],0)))="INS",'Writing Logic'!$B$7,IF(INDEX(_xlfn.VSTACK(YES_Writing_ELA[#Data],YES_Writing_FLA[#Data]),MATCH($A169,_xlfn.VSTACK(YES_Writing_ELA[Student Number],YES_Writing_FLA[Student Number]),0),MATCH(VLOOKUP(D$7,'Writing Logic'!$J$7:$K$11,2,FALSE)&amp;" - Per "&amp;VLOOKUP($C$4,'Writing Logic'!$G$8:$H$14,2,FALSE),YES_Writing_ELA[#Headers],0))=0,"",INDEX(_xlfn.VSTACK(YES_Writing_ELA[#Data],YES_Writing_FLA[#Data]),MATCH($A169,_xlfn.VSTACK(YES_Writing_ELA[Student Number],YES_Writing_FLA[Student Number]),0),MATCH(VLOOKUP(D$7,'Writing Logic'!$J$7:$K$11,2,FALSE)&amp;" - Per "&amp;VLOOKUP($C$4,'Writing Logic'!$G$8:$H$14,2,FALSE),YES_Writing_ELA[#Headers],0)))),"")</f>
        <v/>
      </c>
      <c r="E169" s="138" t="str">
        <f>IFERROR(IF(IF(INDEX(_xlfn.VSTACK(YES_Writing_ELA[#Data],YES_Writing_FLA[#Data]),MATCH($A169,_xlfn.VSTACK(YES_Writing_ELA[Student Number],YES_Writing_FLA[Student Number]),0),MATCH(VLOOKUP(E$7,'Writing Logic'!$J$7:$K$11,2,FALSE)&amp;" - Per "&amp;VLOOKUP($C$4,'Writing Logic'!$G$8:$H$14,2,FALSE),YES_Writing_ELA[#Headers],0))=0,"",INDEX(_xlfn.VSTACK(YES_Writing_ELA[#Data],YES_Writing_FLA[#Data]),MATCH($A169,_xlfn.VSTACK(YES_Writing_ELA[Student Number],YES_Writing_FLA[Student Number]),0),MATCH(VLOOKUP(E$7,'Writing Logic'!$J$7:$K$11,2,FALSE)&amp;" - Per "&amp;VLOOKUP($C$4,'Writing Logic'!$G$8:$H$14,2,FALSE),YES_Writing_ELA[#Headers],0)))="INS",'Writing Logic'!$B$7,IF(INDEX(_xlfn.VSTACK(YES_Writing_ELA[#Data],YES_Writing_FLA[#Data]),MATCH($A169,_xlfn.VSTACK(YES_Writing_ELA[Student Number],YES_Writing_FLA[Student Number]),0),MATCH(VLOOKUP(E$7,'Writing Logic'!$J$7:$K$11,2,FALSE)&amp;" - Per "&amp;VLOOKUP($C$4,'Writing Logic'!$G$8:$H$14,2,FALSE),YES_Writing_ELA[#Headers],0))=0,"",INDEX(_xlfn.VSTACK(YES_Writing_ELA[#Data],YES_Writing_FLA[#Data]),MATCH($A169,_xlfn.VSTACK(YES_Writing_ELA[Student Number],YES_Writing_FLA[Student Number]),0),MATCH(VLOOKUP(E$7,'Writing Logic'!$J$7:$K$11,2,FALSE)&amp;" - Per "&amp;VLOOKUP($C$4,'Writing Logic'!$G$8:$H$14,2,FALSE),YES_Writing_ELA[#Headers],0)))),"")</f>
        <v/>
      </c>
      <c r="F169" s="138" t="str">
        <f>IFERROR(IF(IF(INDEX(_xlfn.VSTACK(YES_Writing_ELA[#Data],YES_Writing_FLA[#Data]),MATCH($A169,_xlfn.VSTACK(YES_Writing_ELA[Student Number],YES_Writing_FLA[Student Number]),0),MATCH(VLOOKUP(F$7,'Writing Logic'!$J$7:$K$11,2,FALSE)&amp;" - Per "&amp;VLOOKUP($C$4,'Writing Logic'!$G$8:$H$14,2,FALSE),YES_Writing_ELA[#Headers],0))=0,"",INDEX(_xlfn.VSTACK(YES_Writing_ELA[#Data],YES_Writing_FLA[#Data]),MATCH($A169,_xlfn.VSTACK(YES_Writing_ELA[Student Number],YES_Writing_FLA[Student Number]),0),MATCH(VLOOKUP(F$7,'Writing Logic'!$J$7:$K$11,2,FALSE)&amp;" - Per "&amp;VLOOKUP($C$4,'Writing Logic'!$G$8:$H$14,2,FALSE),YES_Writing_ELA[#Headers],0)))="INS",'Writing Logic'!$B$7,IF(INDEX(_xlfn.VSTACK(YES_Writing_ELA[#Data],YES_Writing_FLA[#Data]),MATCH($A169,_xlfn.VSTACK(YES_Writing_ELA[Student Number],YES_Writing_FLA[Student Number]),0),MATCH(VLOOKUP(F$7,'Writing Logic'!$J$7:$K$11,2,FALSE)&amp;" - Per "&amp;VLOOKUP($C$4,'Writing Logic'!$G$8:$H$14,2,FALSE),YES_Writing_ELA[#Headers],0))=0,"",INDEX(_xlfn.VSTACK(YES_Writing_ELA[#Data],YES_Writing_FLA[#Data]),MATCH($A169,_xlfn.VSTACK(YES_Writing_ELA[Student Number],YES_Writing_FLA[Student Number]),0),MATCH(VLOOKUP(F$7,'Writing Logic'!$J$7:$K$11,2,FALSE)&amp;" - Per "&amp;VLOOKUP($C$4,'Writing Logic'!$G$8:$H$14,2,FALSE),YES_Writing_ELA[#Headers],0)))),"")</f>
        <v/>
      </c>
      <c r="G169" s="138" t="str">
        <f>IFERROR(IF(IF(INDEX(_xlfn.VSTACK(YES_Writing_ELA[#Data],YES_Writing_FLA[#Data]),MATCH($A169,_xlfn.VSTACK(YES_Writing_ELA[Student Number],YES_Writing_FLA[Student Number]),0),MATCH(VLOOKUP(G$7,'Writing Logic'!$J$7:$K$11,2,FALSE)&amp;" - Per "&amp;VLOOKUP($C$4,'Writing Logic'!$G$8:$H$14,2,FALSE),YES_Writing_ELA[#Headers],0))=0,"",INDEX(_xlfn.VSTACK(YES_Writing_ELA[#Data],YES_Writing_FLA[#Data]),MATCH($A169,_xlfn.VSTACK(YES_Writing_ELA[Student Number],YES_Writing_FLA[Student Number]),0),MATCH(VLOOKUP(G$7,'Writing Logic'!$J$7:$K$11,2,FALSE)&amp;" - Per "&amp;VLOOKUP($C$4,'Writing Logic'!$G$8:$H$14,2,FALSE),YES_Writing_ELA[#Headers],0)))="INS",'Writing Logic'!$B$7,IF(INDEX(_xlfn.VSTACK(YES_Writing_ELA[#Data],YES_Writing_FLA[#Data]),MATCH($A169,_xlfn.VSTACK(YES_Writing_ELA[Student Number],YES_Writing_FLA[Student Number]),0),MATCH(VLOOKUP(G$7,'Writing Logic'!$J$7:$K$11,2,FALSE)&amp;" - Per "&amp;VLOOKUP($C$4,'Writing Logic'!$G$8:$H$14,2,FALSE),YES_Writing_ELA[#Headers],0))=0,"",INDEX(_xlfn.VSTACK(YES_Writing_ELA[#Data],YES_Writing_FLA[#Data]),MATCH($A169,_xlfn.VSTACK(YES_Writing_ELA[Student Number],YES_Writing_FLA[Student Number]),0),MATCH(VLOOKUP(G$7,'Writing Logic'!$J$7:$K$11,2,FALSE)&amp;" - Per "&amp;VLOOKUP($C$4,'Writing Logic'!$G$8:$H$14,2,FALSE),YES_Writing_ELA[#Headers],0)))),"")</f>
        <v/>
      </c>
      <c r="H169" s="138" t="str">
        <f>IFERROR(IF(IF(INDEX(_xlfn.VSTACK(YES_Writing_ELA[#Data],YES_Writing_FLA[#Data]),MATCH($A169,_xlfn.VSTACK(YES_Writing_ELA[Student Number],YES_Writing_FLA[Student Number]),0),MATCH(VLOOKUP(H$7,'Writing Logic'!$J$7:$K$11,2,FALSE)&amp;" - Per "&amp;VLOOKUP($C$4,'Writing Logic'!$G$8:$H$14,2,FALSE),YES_Writing_ELA[#Headers],0))=0,"",INDEX(_xlfn.VSTACK(YES_Writing_ELA[#Data],YES_Writing_FLA[#Data]),MATCH($A169,_xlfn.VSTACK(YES_Writing_ELA[Student Number],YES_Writing_FLA[Student Number]),0),MATCH(VLOOKUP(H$7,'Writing Logic'!$J$7:$K$11,2,FALSE)&amp;" - Per "&amp;VLOOKUP($C$4,'Writing Logic'!$G$8:$H$14,2,FALSE),YES_Writing_ELA[#Headers],0)))="INS",'Writing Logic'!$B$7,IF(INDEX(_xlfn.VSTACK(YES_Writing_ELA[#Data],YES_Writing_FLA[#Data]),MATCH($A169,_xlfn.VSTACK(YES_Writing_ELA[Student Number],YES_Writing_FLA[Student Number]),0),MATCH(VLOOKUP(H$7,'Writing Logic'!$J$7:$K$11,2,FALSE)&amp;" - Per "&amp;VLOOKUP($C$4,'Writing Logic'!$G$8:$H$14,2,FALSE),YES_Writing_ELA[#Headers],0))=0,"",INDEX(_xlfn.VSTACK(YES_Writing_ELA[#Data],YES_Writing_FLA[#Data]),MATCH($A169,_xlfn.VSTACK(YES_Writing_ELA[Student Number],YES_Writing_FLA[Student Number]),0),MATCH(VLOOKUP(H$7,'Writing Logic'!$J$7:$K$11,2,FALSE)&amp;" - Per "&amp;VLOOKUP($C$4,'Writing Logic'!$G$8:$H$14,2,FALSE),YES_Writing_ELA[#Headers],0)))),"")</f>
        <v/>
      </c>
    </row>
    <row r="170" spans="1:8" ht="14.25" customHeight="1" x14ac:dyDescent="0.25">
      <c r="A170" s="137"/>
      <c r="B170" s="137" t="str">
        <f>IFERROR(INDEX(_xlfn.VSTACK(YES_Writing_ELA[#Data], YES_Writing_FLA[#Data]),MATCH($A170,_xlfn.VSTACK(YES_Writing_ELA[Student Number], YES_Writing_FLA[Student Number]),0),MATCH(B$7,YES_Writing_ELA[#Headers],0)),"")</f>
        <v/>
      </c>
      <c r="C170" s="137" t="str">
        <f>IFERROR(INDEX(_xlfn.VSTACK(YES_Writing_ELA[#Data], YES_Writing_FLA[#Data]),MATCH($A170,_xlfn.VSTACK(YES_Writing_ELA[Student Number], YES_Writing_FLA[Student Number]),0),MATCH(C$7,YES_Writing_ELA[#Headers],0)),"")</f>
        <v/>
      </c>
      <c r="D170" s="138" t="str">
        <f>IFERROR(IF(IF(INDEX(_xlfn.VSTACK(YES_Writing_ELA[#Data],YES_Writing_FLA[#Data]),MATCH($A170,_xlfn.VSTACK(YES_Writing_ELA[Student Number],YES_Writing_FLA[Student Number]),0),MATCH(VLOOKUP(D$7,'Writing Logic'!$J$7:$K$11,2,FALSE)&amp;" - Per "&amp;VLOOKUP($C$4,'Writing Logic'!$G$8:$H$14,2,FALSE),YES_Writing_ELA[#Headers],0))=0,"",INDEX(_xlfn.VSTACK(YES_Writing_ELA[#Data],YES_Writing_FLA[#Data]),MATCH($A170,_xlfn.VSTACK(YES_Writing_ELA[Student Number],YES_Writing_FLA[Student Number]),0),MATCH(VLOOKUP(D$7,'Writing Logic'!$J$7:$K$11,2,FALSE)&amp;" - Per "&amp;VLOOKUP($C$4,'Writing Logic'!$G$8:$H$14,2,FALSE),YES_Writing_ELA[#Headers],0)))="INS",'Writing Logic'!$B$7,IF(INDEX(_xlfn.VSTACK(YES_Writing_ELA[#Data],YES_Writing_FLA[#Data]),MATCH($A170,_xlfn.VSTACK(YES_Writing_ELA[Student Number],YES_Writing_FLA[Student Number]),0),MATCH(VLOOKUP(D$7,'Writing Logic'!$J$7:$K$11,2,FALSE)&amp;" - Per "&amp;VLOOKUP($C$4,'Writing Logic'!$G$8:$H$14,2,FALSE),YES_Writing_ELA[#Headers],0))=0,"",INDEX(_xlfn.VSTACK(YES_Writing_ELA[#Data],YES_Writing_FLA[#Data]),MATCH($A170,_xlfn.VSTACK(YES_Writing_ELA[Student Number],YES_Writing_FLA[Student Number]),0),MATCH(VLOOKUP(D$7,'Writing Logic'!$J$7:$K$11,2,FALSE)&amp;" - Per "&amp;VLOOKUP($C$4,'Writing Logic'!$G$8:$H$14,2,FALSE),YES_Writing_ELA[#Headers],0)))),"")</f>
        <v/>
      </c>
      <c r="E170" s="138" t="str">
        <f>IFERROR(IF(IF(INDEX(_xlfn.VSTACK(YES_Writing_ELA[#Data],YES_Writing_FLA[#Data]),MATCH($A170,_xlfn.VSTACK(YES_Writing_ELA[Student Number],YES_Writing_FLA[Student Number]),0),MATCH(VLOOKUP(E$7,'Writing Logic'!$J$7:$K$11,2,FALSE)&amp;" - Per "&amp;VLOOKUP($C$4,'Writing Logic'!$G$8:$H$14,2,FALSE),YES_Writing_ELA[#Headers],0))=0,"",INDEX(_xlfn.VSTACK(YES_Writing_ELA[#Data],YES_Writing_FLA[#Data]),MATCH($A170,_xlfn.VSTACK(YES_Writing_ELA[Student Number],YES_Writing_FLA[Student Number]),0),MATCH(VLOOKUP(E$7,'Writing Logic'!$J$7:$K$11,2,FALSE)&amp;" - Per "&amp;VLOOKUP($C$4,'Writing Logic'!$G$8:$H$14,2,FALSE),YES_Writing_ELA[#Headers],0)))="INS",'Writing Logic'!$B$7,IF(INDEX(_xlfn.VSTACK(YES_Writing_ELA[#Data],YES_Writing_FLA[#Data]),MATCH($A170,_xlfn.VSTACK(YES_Writing_ELA[Student Number],YES_Writing_FLA[Student Number]),0),MATCH(VLOOKUP(E$7,'Writing Logic'!$J$7:$K$11,2,FALSE)&amp;" - Per "&amp;VLOOKUP($C$4,'Writing Logic'!$G$8:$H$14,2,FALSE),YES_Writing_ELA[#Headers],0))=0,"",INDEX(_xlfn.VSTACK(YES_Writing_ELA[#Data],YES_Writing_FLA[#Data]),MATCH($A170,_xlfn.VSTACK(YES_Writing_ELA[Student Number],YES_Writing_FLA[Student Number]),0),MATCH(VLOOKUP(E$7,'Writing Logic'!$J$7:$K$11,2,FALSE)&amp;" - Per "&amp;VLOOKUP($C$4,'Writing Logic'!$G$8:$H$14,2,FALSE),YES_Writing_ELA[#Headers],0)))),"")</f>
        <v/>
      </c>
      <c r="F170" s="138" t="str">
        <f>IFERROR(IF(IF(INDEX(_xlfn.VSTACK(YES_Writing_ELA[#Data],YES_Writing_FLA[#Data]),MATCH($A170,_xlfn.VSTACK(YES_Writing_ELA[Student Number],YES_Writing_FLA[Student Number]),0),MATCH(VLOOKUP(F$7,'Writing Logic'!$J$7:$K$11,2,FALSE)&amp;" - Per "&amp;VLOOKUP($C$4,'Writing Logic'!$G$8:$H$14,2,FALSE),YES_Writing_ELA[#Headers],0))=0,"",INDEX(_xlfn.VSTACK(YES_Writing_ELA[#Data],YES_Writing_FLA[#Data]),MATCH($A170,_xlfn.VSTACK(YES_Writing_ELA[Student Number],YES_Writing_FLA[Student Number]),0),MATCH(VLOOKUP(F$7,'Writing Logic'!$J$7:$K$11,2,FALSE)&amp;" - Per "&amp;VLOOKUP($C$4,'Writing Logic'!$G$8:$H$14,2,FALSE),YES_Writing_ELA[#Headers],0)))="INS",'Writing Logic'!$B$7,IF(INDEX(_xlfn.VSTACK(YES_Writing_ELA[#Data],YES_Writing_FLA[#Data]),MATCH($A170,_xlfn.VSTACK(YES_Writing_ELA[Student Number],YES_Writing_FLA[Student Number]),0),MATCH(VLOOKUP(F$7,'Writing Logic'!$J$7:$K$11,2,FALSE)&amp;" - Per "&amp;VLOOKUP($C$4,'Writing Logic'!$G$8:$H$14,2,FALSE),YES_Writing_ELA[#Headers],0))=0,"",INDEX(_xlfn.VSTACK(YES_Writing_ELA[#Data],YES_Writing_FLA[#Data]),MATCH($A170,_xlfn.VSTACK(YES_Writing_ELA[Student Number],YES_Writing_FLA[Student Number]),0),MATCH(VLOOKUP(F$7,'Writing Logic'!$J$7:$K$11,2,FALSE)&amp;" - Per "&amp;VLOOKUP($C$4,'Writing Logic'!$G$8:$H$14,2,FALSE),YES_Writing_ELA[#Headers],0)))),"")</f>
        <v/>
      </c>
      <c r="G170" s="138" t="str">
        <f>IFERROR(IF(IF(INDEX(_xlfn.VSTACK(YES_Writing_ELA[#Data],YES_Writing_FLA[#Data]),MATCH($A170,_xlfn.VSTACK(YES_Writing_ELA[Student Number],YES_Writing_FLA[Student Number]),0),MATCH(VLOOKUP(G$7,'Writing Logic'!$J$7:$K$11,2,FALSE)&amp;" - Per "&amp;VLOOKUP($C$4,'Writing Logic'!$G$8:$H$14,2,FALSE),YES_Writing_ELA[#Headers],0))=0,"",INDEX(_xlfn.VSTACK(YES_Writing_ELA[#Data],YES_Writing_FLA[#Data]),MATCH($A170,_xlfn.VSTACK(YES_Writing_ELA[Student Number],YES_Writing_FLA[Student Number]),0),MATCH(VLOOKUP(G$7,'Writing Logic'!$J$7:$K$11,2,FALSE)&amp;" - Per "&amp;VLOOKUP($C$4,'Writing Logic'!$G$8:$H$14,2,FALSE),YES_Writing_ELA[#Headers],0)))="INS",'Writing Logic'!$B$7,IF(INDEX(_xlfn.VSTACK(YES_Writing_ELA[#Data],YES_Writing_FLA[#Data]),MATCH($A170,_xlfn.VSTACK(YES_Writing_ELA[Student Number],YES_Writing_FLA[Student Number]),0),MATCH(VLOOKUP(G$7,'Writing Logic'!$J$7:$K$11,2,FALSE)&amp;" - Per "&amp;VLOOKUP($C$4,'Writing Logic'!$G$8:$H$14,2,FALSE),YES_Writing_ELA[#Headers],0))=0,"",INDEX(_xlfn.VSTACK(YES_Writing_ELA[#Data],YES_Writing_FLA[#Data]),MATCH($A170,_xlfn.VSTACK(YES_Writing_ELA[Student Number],YES_Writing_FLA[Student Number]),0),MATCH(VLOOKUP(G$7,'Writing Logic'!$J$7:$K$11,2,FALSE)&amp;" - Per "&amp;VLOOKUP($C$4,'Writing Logic'!$G$8:$H$14,2,FALSE),YES_Writing_ELA[#Headers],0)))),"")</f>
        <v/>
      </c>
      <c r="H170" s="138" t="str">
        <f>IFERROR(IF(IF(INDEX(_xlfn.VSTACK(YES_Writing_ELA[#Data],YES_Writing_FLA[#Data]),MATCH($A170,_xlfn.VSTACK(YES_Writing_ELA[Student Number],YES_Writing_FLA[Student Number]),0),MATCH(VLOOKUP(H$7,'Writing Logic'!$J$7:$K$11,2,FALSE)&amp;" - Per "&amp;VLOOKUP($C$4,'Writing Logic'!$G$8:$H$14,2,FALSE),YES_Writing_ELA[#Headers],0))=0,"",INDEX(_xlfn.VSTACK(YES_Writing_ELA[#Data],YES_Writing_FLA[#Data]),MATCH($A170,_xlfn.VSTACK(YES_Writing_ELA[Student Number],YES_Writing_FLA[Student Number]),0),MATCH(VLOOKUP(H$7,'Writing Logic'!$J$7:$K$11,2,FALSE)&amp;" - Per "&amp;VLOOKUP($C$4,'Writing Logic'!$G$8:$H$14,2,FALSE),YES_Writing_ELA[#Headers],0)))="INS",'Writing Logic'!$B$7,IF(INDEX(_xlfn.VSTACK(YES_Writing_ELA[#Data],YES_Writing_FLA[#Data]),MATCH($A170,_xlfn.VSTACK(YES_Writing_ELA[Student Number],YES_Writing_FLA[Student Number]),0),MATCH(VLOOKUP(H$7,'Writing Logic'!$J$7:$K$11,2,FALSE)&amp;" - Per "&amp;VLOOKUP($C$4,'Writing Logic'!$G$8:$H$14,2,FALSE),YES_Writing_ELA[#Headers],0))=0,"",INDEX(_xlfn.VSTACK(YES_Writing_ELA[#Data],YES_Writing_FLA[#Data]),MATCH($A170,_xlfn.VSTACK(YES_Writing_ELA[Student Number],YES_Writing_FLA[Student Number]),0),MATCH(VLOOKUP(H$7,'Writing Logic'!$J$7:$K$11,2,FALSE)&amp;" - Per "&amp;VLOOKUP($C$4,'Writing Logic'!$G$8:$H$14,2,FALSE),YES_Writing_ELA[#Headers],0)))),"")</f>
        <v/>
      </c>
    </row>
    <row r="171" spans="1:8" ht="14.25" customHeight="1" x14ac:dyDescent="0.25">
      <c r="A171" s="137"/>
      <c r="B171" s="137" t="str">
        <f>IFERROR(INDEX(_xlfn.VSTACK(YES_Writing_ELA[#Data], YES_Writing_FLA[#Data]),MATCH($A171,_xlfn.VSTACK(YES_Writing_ELA[Student Number], YES_Writing_FLA[Student Number]),0),MATCH(B$7,YES_Writing_ELA[#Headers],0)),"")</f>
        <v/>
      </c>
      <c r="C171" s="137" t="str">
        <f>IFERROR(INDEX(_xlfn.VSTACK(YES_Writing_ELA[#Data], YES_Writing_FLA[#Data]),MATCH($A171,_xlfn.VSTACK(YES_Writing_ELA[Student Number], YES_Writing_FLA[Student Number]),0),MATCH(C$7,YES_Writing_ELA[#Headers],0)),"")</f>
        <v/>
      </c>
      <c r="D171" s="138" t="str">
        <f>IFERROR(IF(IF(INDEX(_xlfn.VSTACK(YES_Writing_ELA[#Data],YES_Writing_FLA[#Data]),MATCH($A171,_xlfn.VSTACK(YES_Writing_ELA[Student Number],YES_Writing_FLA[Student Number]),0),MATCH(VLOOKUP(D$7,'Writing Logic'!$J$7:$K$11,2,FALSE)&amp;" - Per "&amp;VLOOKUP($C$4,'Writing Logic'!$G$8:$H$14,2,FALSE),YES_Writing_ELA[#Headers],0))=0,"",INDEX(_xlfn.VSTACK(YES_Writing_ELA[#Data],YES_Writing_FLA[#Data]),MATCH($A171,_xlfn.VSTACK(YES_Writing_ELA[Student Number],YES_Writing_FLA[Student Number]),0),MATCH(VLOOKUP(D$7,'Writing Logic'!$J$7:$K$11,2,FALSE)&amp;" - Per "&amp;VLOOKUP($C$4,'Writing Logic'!$G$8:$H$14,2,FALSE),YES_Writing_ELA[#Headers],0)))="INS",'Writing Logic'!$B$7,IF(INDEX(_xlfn.VSTACK(YES_Writing_ELA[#Data],YES_Writing_FLA[#Data]),MATCH($A171,_xlfn.VSTACK(YES_Writing_ELA[Student Number],YES_Writing_FLA[Student Number]),0),MATCH(VLOOKUP(D$7,'Writing Logic'!$J$7:$K$11,2,FALSE)&amp;" - Per "&amp;VLOOKUP($C$4,'Writing Logic'!$G$8:$H$14,2,FALSE),YES_Writing_ELA[#Headers],0))=0,"",INDEX(_xlfn.VSTACK(YES_Writing_ELA[#Data],YES_Writing_FLA[#Data]),MATCH($A171,_xlfn.VSTACK(YES_Writing_ELA[Student Number],YES_Writing_FLA[Student Number]),0),MATCH(VLOOKUP(D$7,'Writing Logic'!$J$7:$K$11,2,FALSE)&amp;" - Per "&amp;VLOOKUP($C$4,'Writing Logic'!$G$8:$H$14,2,FALSE),YES_Writing_ELA[#Headers],0)))),"")</f>
        <v/>
      </c>
      <c r="E171" s="138" t="str">
        <f>IFERROR(IF(IF(INDEX(_xlfn.VSTACK(YES_Writing_ELA[#Data],YES_Writing_FLA[#Data]),MATCH($A171,_xlfn.VSTACK(YES_Writing_ELA[Student Number],YES_Writing_FLA[Student Number]),0),MATCH(VLOOKUP(E$7,'Writing Logic'!$J$7:$K$11,2,FALSE)&amp;" - Per "&amp;VLOOKUP($C$4,'Writing Logic'!$G$8:$H$14,2,FALSE),YES_Writing_ELA[#Headers],0))=0,"",INDEX(_xlfn.VSTACK(YES_Writing_ELA[#Data],YES_Writing_FLA[#Data]),MATCH($A171,_xlfn.VSTACK(YES_Writing_ELA[Student Number],YES_Writing_FLA[Student Number]),0),MATCH(VLOOKUP(E$7,'Writing Logic'!$J$7:$K$11,2,FALSE)&amp;" - Per "&amp;VLOOKUP($C$4,'Writing Logic'!$G$8:$H$14,2,FALSE),YES_Writing_ELA[#Headers],0)))="INS",'Writing Logic'!$B$7,IF(INDEX(_xlfn.VSTACK(YES_Writing_ELA[#Data],YES_Writing_FLA[#Data]),MATCH($A171,_xlfn.VSTACK(YES_Writing_ELA[Student Number],YES_Writing_FLA[Student Number]),0),MATCH(VLOOKUP(E$7,'Writing Logic'!$J$7:$K$11,2,FALSE)&amp;" - Per "&amp;VLOOKUP($C$4,'Writing Logic'!$G$8:$H$14,2,FALSE),YES_Writing_ELA[#Headers],0))=0,"",INDEX(_xlfn.VSTACK(YES_Writing_ELA[#Data],YES_Writing_FLA[#Data]),MATCH($A171,_xlfn.VSTACK(YES_Writing_ELA[Student Number],YES_Writing_FLA[Student Number]),0),MATCH(VLOOKUP(E$7,'Writing Logic'!$J$7:$K$11,2,FALSE)&amp;" - Per "&amp;VLOOKUP($C$4,'Writing Logic'!$G$8:$H$14,2,FALSE),YES_Writing_ELA[#Headers],0)))),"")</f>
        <v/>
      </c>
      <c r="F171" s="138" t="str">
        <f>IFERROR(IF(IF(INDEX(_xlfn.VSTACK(YES_Writing_ELA[#Data],YES_Writing_FLA[#Data]),MATCH($A171,_xlfn.VSTACK(YES_Writing_ELA[Student Number],YES_Writing_FLA[Student Number]),0),MATCH(VLOOKUP(F$7,'Writing Logic'!$J$7:$K$11,2,FALSE)&amp;" - Per "&amp;VLOOKUP($C$4,'Writing Logic'!$G$8:$H$14,2,FALSE),YES_Writing_ELA[#Headers],0))=0,"",INDEX(_xlfn.VSTACK(YES_Writing_ELA[#Data],YES_Writing_FLA[#Data]),MATCH($A171,_xlfn.VSTACK(YES_Writing_ELA[Student Number],YES_Writing_FLA[Student Number]),0),MATCH(VLOOKUP(F$7,'Writing Logic'!$J$7:$K$11,2,FALSE)&amp;" - Per "&amp;VLOOKUP($C$4,'Writing Logic'!$G$8:$H$14,2,FALSE),YES_Writing_ELA[#Headers],0)))="INS",'Writing Logic'!$B$7,IF(INDEX(_xlfn.VSTACK(YES_Writing_ELA[#Data],YES_Writing_FLA[#Data]),MATCH($A171,_xlfn.VSTACK(YES_Writing_ELA[Student Number],YES_Writing_FLA[Student Number]),0),MATCH(VLOOKUP(F$7,'Writing Logic'!$J$7:$K$11,2,FALSE)&amp;" - Per "&amp;VLOOKUP($C$4,'Writing Logic'!$G$8:$H$14,2,FALSE),YES_Writing_ELA[#Headers],0))=0,"",INDEX(_xlfn.VSTACK(YES_Writing_ELA[#Data],YES_Writing_FLA[#Data]),MATCH($A171,_xlfn.VSTACK(YES_Writing_ELA[Student Number],YES_Writing_FLA[Student Number]),0),MATCH(VLOOKUP(F$7,'Writing Logic'!$J$7:$K$11,2,FALSE)&amp;" - Per "&amp;VLOOKUP($C$4,'Writing Logic'!$G$8:$H$14,2,FALSE),YES_Writing_ELA[#Headers],0)))),"")</f>
        <v/>
      </c>
      <c r="G171" s="138" t="str">
        <f>IFERROR(IF(IF(INDEX(_xlfn.VSTACK(YES_Writing_ELA[#Data],YES_Writing_FLA[#Data]),MATCH($A171,_xlfn.VSTACK(YES_Writing_ELA[Student Number],YES_Writing_FLA[Student Number]),0),MATCH(VLOOKUP(G$7,'Writing Logic'!$J$7:$K$11,2,FALSE)&amp;" - Per "&amp;VLOOKUP($C$4,'Writing Logic'!$G$8:$H$14,2,FALSE),YES_Writing_ELA[#Headers],0))=0,"",INDEX(_xlfn.VSTACK(YES_Writing_ELA[#Data],YES_Writing_FLA[#Data]),MATCH($A171,_xlfn.VSTACK(YES_Writing_ELA[Student Number],YES_Writing_FLA[Student Number]),0),MATCH(VLOOKUP(G$7,'Writing Logic'!$J$7:$K$11,2,FALSE)&amp;" - Per "&amp;VLOOKUP($C$4,'Writing Logic'!$G$8:$H$14,2,FALSE),YES_Writing_ELA[#Headers],0)))="INS",'Writing Logic'!$B$7,IF(INDEX(_xlfn.VSTACK(YES_Writing_ELA[#Data],YES_Writing_FLA[#Data]),MATCH($A171,_xlfn.VSTACK(YES_Writing_ELA[Student Number],YES_Writing_FLA[Student Number]),0),MATCH(VLOOKUP(G$7,'Writing Logic'!$J$7:$K$11,2,FALSE)&amp;" - Per "&amp;VLOOKUP($C$4,'Writing Logic'!$G$8:$H$14,2,FALSE),YES_Writing_ELA[#Headers],0))=0,"",INDEX(_xlfn.VSTACK(YES_Writing_ELA[#Data],YES_Writing_FLA[#Data]),MATCH($A171,_xlfn.VSTACK(YES_Writing_ELA[Student Number],YES_Writing_FLA[Student Number]),0),MATCH(VLOOKUP(G$7,'Writing Logic'!$J$7:$K$11,2,FALSE)&amp;" - Per "&amp;VLOOKUP($C$4,'Writing Logic'!$G$8:$H$14,2,FALSE),YES_Writing_ELA[#Headers],0)))),"")</f>
        <v/>
      </c>
      <c r="H171" s="138" t="str">
        <f>IFERROR(IF(IF(INDEX(_xlfn.VSTACK(YES_Writing_ELA[#Data],YES_Writing_FLA[#Data]),MATCH($A171,_xlfn.VSTACK(YES_Writing_ELA[Student Number],YES_Writing_FLA[Student Number]),0),MATCH(VLOOKUP(H$7,'Writing Logic'!$J$7:$K$11,2,FALSE)&amp;" - Per "&amp;VLOOKUP($C$4,'Writing Logic'!$G$8:$H$14,2,FALSE),YES_Writing_ELA[#Headers],0))=0,"",INDEX(_xlfn.VSTACK(YES_Writing_ELA[#Data],YES_Writing_FLA[#Data]),MATCH($A171,_xlfn.VSTACK(YES_Writing_ELA[Student Number],YES_Writing_FLA[Student Number]),0),MATCH(VLOOKUP(H$7,'Writing Logic'!$J$7:$K$11,2,FALSE)&amp;" - Per "&amp;VLOOKUP($C$4,'Writing Logic'!$G$8:$H$14,2,FALSE),YES_Writing_ELA[#Headers],0)))="INS",'Writing Logic'!$B$7,IF(INDEX(_xlfn.VSTACK(YES_Writing_ELA[#Data],YES_Writing_FLA[#Data]),MATCH($A171,_xlfn.VSTACK(YES_Writing_ELA[Student Number],YES_Writing_FLA[Student Number]),0),MATCH(VLOOKUP(H$7,'Writing Logic'!$J$7:$K$11,2,FALSE)&amp;" - Per "&amp;VLOOKUP($C$4,'Writing Logic'!$G$8:$H$14,2,FALSE),YES_Writing_ELA[#Headers],0))=0,"",INDEX(_xlfn.VSTACK(YES_Writing_ELA[#Data],YES_Writing_FLA[#Data]),MATCH($A171,_xlfn.VSTACK(YES_Writing_ELA[Student Number],YES_Writing_FLA[Student Number]),0),MATCH(VLOOKUP(H$7,'Writing Logic'!$J$7:$K$11,2,FALSE)&amp;" - Per "&amp;VLOOKUP($C$4,'Writing Logic'!$G$8:$H$14,2,FALSE),YES_Writing_ELA[#Headers],0)))),"")</f>
        <v/>
      </c>
    </row>
    <row r="172" spans="1:8" ht="14.25" customHeight="1" x14ac:dyDescent="0.25">
      <c r="A172" s="137"/>
      <c r="B172" s="137" t="str">
        <f>IFERROR(INDEX(_xlfn.VSTACK(YES_Writing_ELA[#Data], YES_Writing_FLA[#Data]),MATCH($A172,_xlfn.VSTACK(YES_Writing_ELA[Student Number], YES_Writing_FLA[Student Number]),0),MATCH(B$7,YES_Writing_ELA[#Headers],0)),"")</f>
        <v/>
      </c>
      <c r="C172" s="137" t="str">
        <f>IFERROR(INDEX(_xlfn.VSTACK(YES_Writing_ELA[#Data], YES_Writing_FLA[#Data]),MATCH($A172,_xlfn.VSTACK(YES_Writing_ELA[Student Number], YES_Writing_FLA[Student Number]),0),MATCH(C$7,YES_Writing_ELA[#Headers],0)),"")</f>
        <v/>
      </c>
      <c r="D172" s="138" t="str">
        <f>IFERROR(IF(IF(INDEX(_xlfn.VSTACK(YES_Writing_ELA[#Data],YES_Writing_FLA[#Data]),MATCH($A172,_xlfn.VSTACK(YES_Writing_ELA[Student Number],YES_Writing_FLA[Student Number]),0),MATCH(VLOOKUP(D$7,'Writing Logic'!$J$7:$K$11,2,FALSE)&amp;" - Per "&amp;VLOOKUP($C$4,'Writing Logic'!$G$8:$H$14,2,FALSE),YES_Writing_ELA[#Headers],0))=0,"",INDEX(_xlfn.VSTACK(YES_Writing_ELA[#Data],YES_Writing_FLA[#Data]),MATCH($A172,_xlfn.VSTACK(YES_Writing_ELA[Student Number],YES_Writing_FLA[Student Number]),0),MATCH(VLOOKUP(D$7,'Writing Logic'!$J$7:$K$11,2,FALSE)&amp;" - Per "&amp;VLOOKUP($C$4,'Writing Logic'!$G$8:$H$14,2,FALSE),YES_Writing_ELA[#Headers],0)))="INS",'Writing Logic'!$B$7,IF(INDEX(_xlfn.VSTACK(YES_Writing_ELA[#Data],YES_Writing_FLA[#Data]),MATCH($A172,_xlfn.VSTACK(YES_Writing_ELA[Student Number],YES_Writing_FLA[Student Number]),0),MATCH(VLOOKUP(D$7,'Writing Logic'!$J$7:$K$11,2,FALSE)&amp;" - Per "&amp;VLOOKUP($C$4,'Writing Logic'!$G$8:$H$14,2,FALSE),YES_Writing_ELA[#Headers],0))=0,"",INDEX(_xlfn.VSTACK(YES_Writing_ELA[#Data],YES_Writing_FLA[#Data]),MATCH($A172,_xlfn.VSTACK(YES_Writing_ELA[Student Number],YES_Writing_FLA[Student Number]),0),MATCH(VLOOKUP(D$7,'Writing Logic'!$J$7:$K$11,2,FALSE)&amp;" - Per "&amp;VLOOKUP($C$4,'Writing Logic'!$G$8:$H$14,2,FALSE),YES_Writing_ELA[#Headers],0)))),"")</f>
        <v/>
      </c>
      <c r="E172" s="138" t="str">
        <f>IFERROR(IF(IF(INDEX(_xlfn.VSTACK(YES_Writing_ELA[#Data],YES_Writing_FLA[#Data]),MATCH($A172,_xlfn.VSTACK(YES_Writing_ELA[Student Number],YES_Writing_FLA[Student Number]),0),MATCH(VLOOKUP(E$7,'Writing Logic'!$J$7:$K$11,2,FALSE)&amp;" - Per "&amp;VLOOKUP($C$4,'Writing Logic'!$G$8:$H$14,2,FALSE),YES_Writing_ELA[#Headers],0))=0,"",INDEX(_xlfn.VSTACK(YES_Writing_ELA[#Data],YES_Writing_FLA[#Data]),MATCH($A172,_xlfn.VSTACK(YES_Writing_ELA[Student Number],YES_Writing_FLA[Student Number]),0),MATCH(VLOOKUP(E$7,'Writing Logic'!$J$7:$K$11,2,FALSE)&amp;" - Per "&amp;VLOOKUP($C$4,'Writing Logic'!$G$8:$H$14,2,FALSE),YES_Writing_ELA[#Headers],0)))="INS",'Writing Logic'!$B$7,IF(INDEX(_xlfn.VSTACK(YES_Writing_ELA[#Data],YES_Writing_FLA[#Data]),MATCH($A172,_xlfn.VSTACK(YES_Writing_ELA[Student Number],YES_Writing_FLA[Student Number]),0),MATCH(VLOOKUP(E$7,'Writing Logic'!$J$7:$K$11,2,FALSE)&amp;" - Per "&amp;VLOOKUP($C$4,'Writing Logic'!$G$8:$H$14,2,FALSE),YES_Writing_ELA[#Headers],0))=0,"",INDEX(_xlfn.VSTACK(YES_Writing_ELA[#Data],YES_Writing_FLA[#Data]),MATCH($A172,_xlfn.VSTACK(YES_Writing_ELA[Student Number],YES_Writing_FLA[Student Number]),0),MATCH(VLOOKUP(E$7,'Writing Logic'!$J$7:$K$11,2,FALSE)&amp;" - Per "&amp;VLOOKUP($C$4,'Writing Logic'!$G$8:$H$14,2,FALSE),YES_Writing_ELA[#Headers],0)))),"")</f>
        <v/>
      </c>
      <c r="F172" s="138" t="str">
        <f>IFERROR(IF(IF(INDEX(_xlfn.VSTACK(YES_Writing_ELA[#Data],YES_Writing_FLA[#Data]),MATCH($A172,_xlfn.VSTACK(YES_Writing_ELA[Student Number],YES_Writing_FLA[Student Number]),0),MATCH(VLOOKUP(F$7,'Writing Logic'!$J$7:$K$11,2,FALSE)&amp;" - Per "&amp;VLOOKUP($C$4,'Writing Logic'!$G$8:$H$14,2,FALSE),YES_Writing_ELA[#Headers],0))=0,"",INDEX(_xlfn.VSTACK(YES_Writing_ELA[#Data],YES_Writing_FLA[#Data]),MATCH($A172,_xlfn.VSTACK(YES_Writing_ELA[Student Number],YES_Writing_FLA[Student Number]),0),MATCH(VLOOKUP(F$7,'Writing Logic'!$J$7:$K$11,2,FALSE)&amp;" - Per "&amp;VLOOKUP($C$4,'Writing Logic'!$G$8:$H$14,2,FALSE),YES_Writing_ELA[#Headers],0)))="INS",'Writing Logic'!$B$7,IF(INDEX(_xlfn.VSTACK(YES_Writing_ELA[#Data],YES_Writing_FLA[#Data]),MATCH($A172,_xlfn.VSTACK(YES_Writing_ELA[Student Number],YES_Writing_FLA[Student Number]),0),MATCH(VLOOKUP(F$7,'Writing Logic'!$J$7:$K$11,2,FALSE)&amp;" - Per "&amp;VLOOKUP($C$4,'Writing Logic'!$G$8:$H$14,2,FALSE),YES_Writing_ELA[#Headers],0))=0,"",INDEX(_xlfn.VSTACK(YES_Writing_ELA[#Data],YES_Writing_FLA[#Data]),MATCH($A172,_xlfn.VSTACK(YES_Writing_ELA[Student Number],YES_Writing_FLA[Student Number]),0),MATCH(VLOOKUP(F$7,'Writing Logic'!$J$7:$K$11,2,FALSE)&amp;" - Per "&amp;VLOOKUP($C$4,'Writing Logic'!$G$8:$H$14,2,FALSE),YES_Writing_ELA[#Headers],0)))),"")</f>
        <v/>
      </c>
      <c r="G172" s="138" t="str">
        <f>IFERROR(IF(IF(INDEX(_xlfn.VSTACK(YES_Writing_ELA[#Data],YES_Writing_FLA[#Data]),MATCH($A172,_xlfn.VSTACK(YES_Writing_ELA[Student Number],YES_Writing_FLA[Student Number]),0),MATCH(VLOOKUP(G$7,'Writing Logic'!$J$7:$K$11,2,FALSE)&amp;" - Per "&amp;VLOOKUP($C$4,'Writing Logic'!$G$8:$H$14,2,FALSE),YES_Writing_ELA[#Headers],0))=0,"",INDEX(_xlfn.VSTACK(YES_Writing_ELA[#Data],YES_Writing_FLA[#Data]),MATCH($A172,_xlfn.VSTACK(YES_Writing_ELA[Student Number],YES_Writing_FLA[Student Number]),0),MATCH(VLOOKUP(G$7,'Writing Logic'!$J$7:$K$11,2,FALSE)&amp;" - Per "&amp;VLOOKUP($C$4,'Writing Logic'!$G$8:$H$14,2,FALSE),YES_Writing_ELA[#Headers],0)))="INS",'Writing Logic'!$B$7,IF(INDEX(_xlfn.VSTACK(YES_Writing_ELA[#Data],YES_Writing_FLA[#Data]),MATCH($A172,_xlfn.VSTACK(YES_Writing_ELA[Student Number],YES_Writing_FLA[Student Number]),0),MATCH(VLOOKUP(G$7,'Writing Logic'!$J$7:$K$11,2,FALSE)&amp;" - Per "&amp;VLOOKUP($C$4,'Writing Logic'!$G$8:$H$14,2,FALSE),YES_Writing_ELA[#Headers],0))=0,"",INDEX(_xlfn.VSTACK(YES_Writing_ELA[#Data],YES_Writing_FLA[#Data]),MATCH($A172,_xlfn.VSTACK(YES_Writing_ELA[Student Number],YES_Writing_FLA[Student Number]),0),MATCH(VLOOKUP(G$7,'Writing Logic'!$J$7:$K$11,2,FALSE)&amp;" - Per "&amp;VLOOKUP($C$4,'Writing Logic'!$G$8:$H$14,2,FALSE),YES_Writing_ELA[#Headers],0)))),"")</f>
        <v/>
      </c>
      <c r="H172" s="138" t="str">
        <f>IFERROR(IF(IF(INDEX(_xlfn.VSTACK(YES_Writing_ELA[#Data],YES_Writing_FLA[#Data]),MATCH($A172,_xlfn.VSTACK(YES_Writing_ELA[Student Number],YES_Writing_FLA[Student Number]),0),MATCH(VLOOKUP(H$7,'Writing Logic'!$J$7:$K$11,2,FALSE)&amp;" - Per "&amp;VLOOKUP($C$4,'Writing Logic'!$G$8:$H$14,2,FALSE),YES_Writing_ELA[#Headers],0))=0,"",INDEX(_xlfn.VSTACK(YES_Writing_ELA[#Data],YES_Writing_FLA[#Data]),MATCH($A172,_xlfn.VSTACK(YES_Writing_ELA[Student Number],YES_Writing_FLA[Student Number]),0),MATCH(VLOOKUP(H$7,'Writing Logic'!$J$7:$K$11,2,FALSE)&amp;" - Per "&amp;VLOOKUP($C$4,'Writing Logic'!$G$8:$H$14,2,FALSE),YES_Writing_ELA[#Headers],0)))="INS",'Writing Logic'!$B$7,IF(INDEX(_xlfn.VSTACK(YES_Writing_ELA[#Data],YES_Writing_FLA[#Data]),MATCH($A172,_xlfn.VSTACK(YES_Writing_ELA[Student Number],YES_Writing_FLA[Student Number]),0),MATCH(VLOOKUP(H$7,'Writing Logic'!$J$7:$K$11,2,FALSE)&amp;" - Per "&amp;VLOOKUP($C$4,'Writing Logic'!$G$8:$H$14,2,FALSE),YES_Writing_ELA[#Headers],0))=0,"",INDEX(_xlfn.VSTACK(YES_Writing_ELA[#Data],YES_Writing_FLA[#Data]),MATCH($A172,_xlfn.VSTACK(YES_Writing_ELA[Student Number],YES_Writing_FLA[Student Number]),0),MATCH(VLOOKUP(H$7,'Writing Logic'!$J$7:$K$11,2,FALSE)&amp;" - Per "&amp;VLOOKUP($C$4,'Writing Logic'!$G$8:$H$14,2,FALSE),YES_Writing_ELA[#Headers],0)))),"")</f>
        <v/>
      </c>
    </row>
    <row r="173" spans="1:8" ht="14.25" customHeight="1" x14ac:dyDescent="0.25">
      <c r="A173" s="137"/>
      <c r="B173" s="137" t="str">
        <f>IFERROR(INDEX(_xlfn.VSTACK(YES_Writing_ELA[#Data], YES_Writing_FLA[#Data]),MATCH($A173,_xlfn.VSTACK(YES_Writing_ELA[Student Number], YES_Writing_FLA[Student Number]),0),MATCH(B$7,YES_Writing_ELA[#Headers],0)),"")</f>
        <v/>
      </c>
      <c r="C173" s="137" t="str">
        <f>IFERROR(INDEX(_xlfn.VSTACK(YES_Writing_ELA[#Data], YES_Writing_FLA[#Data]),MATCH($A173,_xlfn.VSTACK(YES_Writing_ELA[Student Number], YES_Writing_FLA[Student Number]),0),MATCH(C$7,YES_Writing_ELA[#Headers],0)),"")</f>
        <v/>
      </c>
      <c r="D173" s="138" t="str">
        <f>IFERROR(IF(IF(INDEX(_xlfn.VSTACK(YES_Writing_ELA[#Data],YES_Writing_FLA[#Data]),MATCH($A173,_xlfn.VSTACK(YES_Writing_ELA[Student Number],YES_Writing_FLA[Student Number]),0),MATCH(VLOOKUP(D$7,'Writing Logic'!$J$7:$K$11,2,FALSE)&amp;" - Per "&amp;VLOOKUP($C$4,'Writing Logic'!$G$8:$H$14,2,FALSE),YES_Writing_ELA[#Headers],0))=0,"",INDEX(_xlfn.VSTACK(YES_Writing_ELA[#Data],YES_Writing_FLA[#Data]),MATCH($A173,_xlfn.VSTACK(YES_Writing_ELA[Student Number],YES_Writing_FLA[Student Number]),0),MATCH(VLOOKUP(D$7,'Writing Logic'!$J$7:$K$11,2,FALSE)&amp;" - Per "&amp;VLOOKUP($C$4,'Writing Logic'!$G$8:$H$14,2,FALSE),YES_Writing_ELA[#Headers],0)))="INS",'Writing Logic'!$B$7,IF(INDEX(_xlfn.VSTACK(YES_Writing_ELA[#Data],YES_Writing_FLA[#Data]),MATCH($A173,_xlfn.VSTACK(YES_Writing_ELA[Student Number],YES_Writing_FLA[Student Number]),0),MATCH(VLOOKUP(D$7,'Writing Logic'!$J$7:$K$11,2,FALSE)&amp;" - Per "&amp;VLOOKUP($C$4,'Writing Logic'!$G$8:$H$14,2,FALSE),YES_Writing_ELA[#Headers],0))=0,"",INDEX(_xlfn.VSTACK(YES_Writing_ELA[#Data],YES_Writing_FLA[#Data]),MATCH($A173,_xlfn.VSTACK(YES_Writing_ELA[Student Number],YES_Writing_FLA[Student Number]),0),MATCH(VLOOKUP(D$7,'Writing Logic'!$J$7:$K$11,2,FALSE)&amp;" - Per "&amp;VLOOKUP($C$4,'Writing Logic'!$G$8:$H$14,2,FALSE),YES_Writing_ELA[#Headers],0)))),"")</f>
        <v/>
      </c>
      <c r="E173" s="138" t="str">
        <f>IFERROR(IF(IF(INDEX(_xlfn.VSTACK(YES_Writing_ELA[#Data],YES_Writing_FLA[#Data]),MATCH($A173,_xlfn.VSTACK(YES_Writing_ELA[Student Number],YES_Writing_FLA[Student Number]),0),MATCH(VLOOKUP(E$7,'Writing Logic'!$J$7:$K$11,2,FALSE)&amp;" - Per "&amp;VLOOKUP($C$4,'Writing Logic'!$G$8:$H$14,2,FALSE),YES_Writing_ELA[#Headers],0))=0,"",INDEX(_xlfn.VSTACK(YES_Writing_ELA[#Data],YES_Writing_FLA[#Data]),MATCH($A173,_xlfn.VSTACK(YES_Writing_ELA[Student Number],YES_Writing_FLA[Student Number]),0),MATCH(VLOOKUP(E$7,'Writing Logic'!$J$7:$K$11,2,FALSE)&amp;" - Per "&amp;VLOOKUP($C$4,'Writing Logic'!$G$8:$H$14,2,FALSE),YES_Writing_ELA[#Headers],0)))="INS",'Writing Logic'!$B$7,IF(INDEX(_xlfn.VSTACK(YES_Writing_ELA[#Data],YES_Writing_FLA[#Data]),MATCH($A173,_xlfn.VSTACK(YES_Writing_ELA[Student Number],YES_Writing_FLA[Student Number]),0),MATCH(VLOOKUP(E$7,'Writing Logic'!$J$7:$K$11,2,FALSE)&amp;" - Per "&amp;VLOOKUP($C$4,'Writing Logic'!$G$8:$H$14,2,FALSE),YES_Writing_ELA[#Headers],0))=0,"",INDEX(_xlfn.VSTACK(YES_Writing_ELA[#Data],YES_Writing_FLA[#Data]),MATCH($A173,_xlfn.VSTACK(YES_Writing_ELA[Student Number],YES_Writing_FLA[Student Number]),0),MATCH(VLOOKUP(E$7,'Writing Logic'!$J$7:$K$11,2,FALSE)&amp;" - Per "&amp;VLOOKUP($C$4,'Writing Logic'!$G$8:$H$14,2,FALSE),YES_Writing_ELA[#Headers],0)))),"")</f>
        <v/>
      </c>
      <c r="F173" s="138" t="str">
        <f>IFERROR(IF(IF(INDEX(_xlfn.VSTACK(YES_Writing_ELA[#Data],YES_Writing_FLA[#Data]),MATCH($A173,_xlfn.VSTACK(YES_Writing_ELA[Student Number],YES_Writing_FLA[Student Number]),0),MATCH(VLOOKUP(F$7,'Writing Logic'!$J$7:$K$11,2,FALSE)&amp;" - Per "&amp;VLOOKUP($C$4,'Writing Logic'!$G$8:$H$14,2,FALSE),YES_Writing_ELA[#Headers],0))=0,"",INDEX(_xlfn.VSTACK(YES_Writing_ELA[#Data],YES_Writing_FLA[#Data]),MATCH($A173,_xlfn.VSTACK(YES_Writing_ELA[Student Number],YES_Writing_FLA[Student Number]),0),MATCH(VLOOKUP(F$7,'Writing Logic'!$J$7:$K$11,2,FALSE)&amp;" - Per "&amp;VLOOKUP($C$4,'Writing Logic'!$G$8:$H$14,2,FALSE),YES_Writing_ELA[#Headers],0)))="INS",'Writing Logic'!$B$7,IF(INDEX(_xlfn.VSTACK(YES_Writing_ELA[#Data],YES_Writing_FLA[#Data]),MATCH($A173,_xlfn.VSTACK(YES_Writing_ELA[Student Number],YES_Writing_FLA[Student Number]),0),MATCH(VLOOKUP(F$7,'Writing Logic'!$J$7:$K$11,2,FALSE)&amp;" - Per "&amp;VLOOKUP($C$4,'Writing Logic'!$G$8:$H$14,2,FALSE),YES_Writing_ELA[#Headers],0))=0,"",INDEX(_xlfn.VSTACK(YES_Writing_ELA[#Data],YES_Writing_FLA[#Data]),MATCH($A173,_xlfn.VSTACK(YES_Writing_ELA[Student Number],YES_Writing_FLA[Student Number]),0),MATCH(VLOOKUP(F$7,'Writing Logic'!$J$7:$K$11,2,FALSE)&amp;" - Per "&amp;VLOOKUP($C$4,'Writing Logic'!$G$8:$H$14,2,FALSE),YES_Writing_ELA[#Headers],0)))),"")</f>
        <v/>
      </c>
      <c r="G173" s="138" t="str">
        <f>IFERROR(IF(IF(INDEX(_xlfn.VSTACK(YES_Writing_ELA[#Data],YES_Writing_FLA[#Data]),MATCH($A173,_xlfn.VSTACK(YES_Writing_ELA[Student Number],YES_Writing_FLA[Student Number]),0),MATCH(VLOOKUP(G$7,'Writing Logic'!$J$7:$K$11,2,FALSE)&amp;" - Per "&amp;VLOOKUP($C$4,'Writing Logic'!$G$8:$H$14,2,FALSE),YES_Writing_ELA[#Headers],0))=0,"",INDEX(_xlfn.VSTACK(YES_Writing_ELA[#Data],YES_Writing_FLA[#Data]),MATCH($A173,_xlfn.VSTACK(YES_Writing_ELA[Student Number],YES_Writing_FLA[Student Number]),0),MATCH(VLOOKUP(G$7,'Writing Logic'!$J$7:$K$11,2,FALSE)&amp;" - Per "&amp;VLOOKUP($C$4,'Writing Logic'!$G$8:$H$14,2,FALSE),YES_Writing_ELA[#Headers],0)))="INS",'Writing Logic'!$B$7,IF(INDEX(_xlfn.VSTACK(YES_Writing_ELA[#Data],YES_Writing_FLA[#Data]),MATCH($A173,_xlfn.VSTACK(YES_Writing_ELA[Student Number],YES_Writing_FLA[Student Number]),0),MATCH(VLOOKUP(G$7,'Writing Logic'!$J$7:$K$11,2,FALSE)&amp;" - Per "&amp;VLOOKUP($C$4,'Writing Logic'!$G$8:$H$14,2,FALSE),YES_Writing_ELA[#Headers],0))=0,"",INDEX(_xlfn.VSTACK(YES_Writing_ELA[#Data],YES_Writing_FLA[#Data]),MATCH($A173,_xlfn.VSTACK(YES_Writing_ELA[Student Number],YES_Writing_FLA[Student Number]),0),MATCH(VLOOKUP(G$7,'Writing Logic'!$J$7:$K$11,2,FALSE)&amp;" - Per "&amp;VLOOKUP($C$4,'Writing Logic'!$G$8:$H$14,2,FALSE),YES_Writing_ELA[#Headers],0)))),"")</f>
        <v/>
      </c>
      <c r="H173" s="138" t="str">
        <f>IFERROR(IF(IF(INDEX(_xlfn.VSTACK(YES_Writing_ELA[#Data],YES_Writing_FLA[#Data]),MATCH($A173,_xlfn.VSTACK(YES_Writing_ELA[Student Number],YES_Writing_FLA[Student Number]),0),MATCH(VLOOKUP(H$7,'Writing Logic'!$J$7:$K$11,2,FALSE)&amp;" - Per "&amp;VLOOKUP($C$4,'Writing Logic'!$G$8:$H$14,2,FALSE),YES_Writing_ELA[#Headers],0))=0,"",INDEX(_xlfn.VSTACK(YES_Writing_ELA[#Data],YES_Writing_FLA[#Data]),MATCH($A173,_xlfn.VSTACK(YES_Writing_ELA[Student Number],YES_Writing_FLA[Student Number]),0),MATCH(VLOOKUP(H$7,'Writing Logic'!$J$7:$K$11,2,FALSE)&amp;" - Per "&amp;VLOOKUP($C$4,'Writing Logic'!$G$8:$H$14,2,FALSE),YES_Writing_ELA[#Headers],0)))="INS",'Writing Logic'!$B$7,IF(INDEX(_xlfn.VSTACK(YES_Writing_ELA[#Data],YES_Writing_FLA[#Data]),MATCH($A173,_xlfn.VSTACK(YES_Writing_ELA[Student Number],YES_Writing_FLA[Student Number]),0),MATCH(VLOOKUP(H$7,'Writing Logic'!$J$7:$K$11,2,FALSE)&amp;" - Per "&amp;VLOOKUP($C$4,'Writing Logic'!$G$8:$H$14,2,FALSE),YES_Writing_ELA[#Headers],0))=0,"",INDEX(_xlfn.VSTACK(YES_Writing_ELA[#Data],YES_Writing_FLA[#Data]),MATCH($A173,_xlfn.VSTACK(YES_Writing_ELA[Student Number],YES_Writing_FLA[Student Number]),0),MATCH(VLOOKUP(H$7,'Writing Logic'!$J$7:$K$11,2,FALSE)&amp;" - Per "&amp;VLOOKUP($C$4,'Writing Logic'!$G$8:$H$14,2,FALSE),YES_Writing_ELA[#Headers],0)))),"")</f>
        <v/>
      </c>
    </row>
    <row r="174" spans="1:8" ht="14.25" customHeight="1" x14ac:dyDescent="0.25">
      <c r="A174" s="137"/>
      <c r="B174" s="137" t="str">
        <f>IFERROR(INDEX(_xlfn.VSTACK(YES_Writing_ELA[#Data], YES_Writing_FLA[#Data]),MATCH($A174,_xlfn.VSTACK(YES_Writing_ELA[Student Number], YES_Writing_FLA[Student Number]),0),MATCH(B$7,YES_Writing_ELA[#Headers],0)),"")</f>
        <v/>
      </c>
      <c r="C174" s="137" t="str">
        <f>IFERROR(INDEX(_xlfn.VSTACK(YES_Writing_ELA[#Data], YES_Writing_FLA[#Data]),MATCH($A174,_xlfn.VSTACK(YES_Writing_ELA[Student Number], YES_Writing_FLA[Student Number]),0),MATCH(C$7,YES_Writing_ELA[#Headers],0)),"")</f>
        <v/>
      </c>
      <c r="D174" s="138" t="str">
        <f>IFERROR(IF(IF(INDEX(_xlfn.VSTACK(YES_Writing_ELA[#Data],YES_Writing_FLA[#Data]),MATCH($A174,_xlfn.VSTACK(YES_Writing_ELA[Student Number],YES_Writing_FLA[Student Number]),0),MATCH(VLOOKUP(D$7,'Writing Logic'!$J$7:$K$11,2,FALSE)&amp;" - Per "&amp;VLOOKUP($C$4,'Writing Logic'!$G$8:$H$14,2,FALSE),YES_Writing_ELA[#Headers],0))=0,"",INDEX(_xlfn.VSTACK(YES_Writing_ELA[#Data],YES_Writing_FLA[#Data]),MATCH($A174,_xlfn.VSTACK(YES_Writing_ELA[Student Number],YES_Writing_FLA[Student Number]),0),MATCH(VLOOKUP(D$7,'Writing Logic'!$J$7:$K$11,2,FALSE)&amp;" - Per "&amp;VLOOKUP($C$4,'Writing Logic'!$G$8:$H$14,2,FALSE),YES_Writing_ELA[#Headers],0)))="INS",'Writing Logic'!$B$7,IF(INDEX(_xlfn.VSTACK(YES_Writing_ELA[#Data],YES_Writing_FLA[#Data]),MATCH($A174,_xlfn.VSTACK(YES_Writing_ELA[Student Number],YES_Writing_FLA[Student Number]),0),MATCH(VLOOKUP(D$7,'Writing Logic'!$J$7:$K$11,2,FALSE)&amp;" - Per "&amp;VLOOKUP($C$4,'Writing Logic'!$G$8:$H$14,2,FALSE),YES_Writing_ELA[#Headers],0))=0,"",INDEX(_xlfn.VSTACK(YES_Writing_ELA[#Data],YES_Writing_FLA[#Data]),MATCH($A174,_xlfn.VSTACK(YES_Writing_ELA[Student Number],YES_Writing_FLA[Student Number]),0),MATCH(VLOOKUP(D$7,'Writing Logic'!$J$7:$K$11,2,FALSE)&amp;" - Per "&amp;VLOOKUP($C$4,'Writing Logic'!$G$8:$H$14,2,FALSE),YES_Writing_ELA[#Headers],0)))),"")</f>
        <v/>
      </c>
      <c r="E174" s="138" t="str">
        <f>IFERROR(IF(IF(INDEX(_xlfn.VSTACK(YES_Writing_ELA[#Data],YES_Writing_FLA[#Data]),MATCH($A174,_xlfn.VSTACK(YES_Writing_ELA[Student Number],YES_Writing_FLA[Student Number]),0),MATCH(VLOOKUP(E$7,'Writing Logic'!$J$7:$K$11,2,FALSE)&amp;" - Per "&amp;VLOOKUP($C$4,'Writing Logic'!$G$8:$H$14,2,FALSE),YES_Writing_ELA[#Headers],0))=0,"",INDEX(_xlfn.VSTACK(YES_Writing_ELA[#Data],YES_Writing_FLA[#Data]),MATCH($A174,_xlfn.VSTACK(YES_Writing_ELA[Student Number],YES_Writing_FLA[Student Number]),0),MATCH(VLOOKUP(E$7,'Writing Logic'!$J$7:$K$11,2,FALSE)&amp;" - Per "&amp;VLOOKUP($C$4,'Writing Logic'!$G$8:$H$14,2,FALSE),YES_Writing_ELA[#Headers],0)))="INS",'Writing Logic'!$B$7,IF(INDEX(_xlfn.VSTACK(YES_Writing_ELA[#Data],YES_Writing_FLA[#Data]),MATCH($A174,_xlfn.VSTACK(YES_Writing_ELA[Student Number],YES_Writing_FLA[Student Number]),0),MATCH(VLOOKUP(E$7,'Writing Logic'!$J$7:$K$11,2,FALSE)&amp;" - Per "&amp;VLOOKUP($C$4,'Writing Logic'!$G$8:$H$14,2,FALSE),YES_Writing_ELA[#Headers],0))=0,"",INDEX(_xlfn.VSTACK(YES_Writing_ELA[#Data],YES_Writing_FLA[#Data]),MATCH($A174,_xlfn.VSTACK(YES_Writing_ELA[Student Number],YES_Writing_FLA[Student Number]),0),MATCH(VLOOKUP(E$7,'Writing Logic'!$J$7:$K$11,2,FALSE)&amp;" - Per "&amp;VLOOKUP($C$4,'Writing Logic'!$G$8:$H$14,2,FALSE),YES_Writing_ELA[#Headers],0)))),"")</f>
        <v/>
      </c>
      <c r="F174" s="138" t="str">
        <f>IFERROR(IF(IF(INDEX(_xlfn.VSTACK(YES_Writing_ELA[#Data],YES_Writing_FLA[#Data]),MATCH($A174,_xlfn.VSTACK(YES_Writing_ELA[Student Number],YES_Writing_FLA[Student Number]),0),MATCH(VLOOKUP(F$7,'Writing Logic'!$J$7:$K$11,2,FALSE)&amp;" - Per "&amp;VLOOKUP($C$4,'Writing Logic'!$G$8:$H$14,2,FALSE),YES_Writing_ELA[#Headers],0))=0,"",INDEX(_xlfn.VSTACK(YES_Writing_ELA[#Data],YES_Writing_FLA[#Data]),MATCH($A174,_xlfn.VSTACK(YES_Writing_ELA[Student Number],YES_Writing_FLA[Student Number]),0),MATCH(VLOOKUP(F$7,'Writing Logic'!$J$7:$K$11,2,FALSE)&amp;" - Per "&amp;VLOOKUP($C$4,'Writing Logic'!$G$8:$H$14,2,FALSE),YES_Writing_ELA[#Headers],0)))="INS",'Writing Logic'!$B$7,IF(INDEX(_xlfn.VSTACK(YES_Writing_ELA[#Data],YES_Writing_FLA[#Data]),MATCH($A174,_xlfn.VSTACK(YES_Writing_ELA[Student Number],YES_Writing_FLA[Student Number]),0),MATCH(VLOOKUP(F$7,'Writing Logic'!$J$7:$K$11,2,FALSE)&amp;" - Per "&amp;VLOOKUP($C$4,'Writing Logic'!$G$8:$H$14,2,FALSE),YES_Writing_ELA[#Headers],0))=0,"",INDEX(_xlfn.VSTACK(YES_Writing_ELA[#Data],YES_Writing_FLA[#Data]),MATCH($A174,_xlfn.VSTACK(YES_Writing_ELA[Student Number],YES_Writing_FLA[Student Number]),0),MATCH(VLOOKUP(F$7,'Writing Logic'!$J$7:$K$11,2,FALSE)&amp;" - Per "&amp;VLOOKUP($C$4,'Writing Logic'!$G$8:$H$14,2,FALSE),YES_Writing_ELA[#Headers],0)))),"")</f>
        <v/>
      </c>
      <c r="G174" s="138" t="str">
        <f>IFERROR(IF(IF(INDEX(_xlfn.VSTACK(YES_Writing_ELA[#Data],YES_Writing_FLA[#Data]),MATCH($A174,_xlfn.VSTACK(YES_Writing_ELA[Student Number],YES_Writing_FLA[Student Number]),0),MATCH(VLOOKUP(G$7,'Writing Logic'!$J$7:$K$11,2,FALSE)&amp;" - Per "&amp;VLOOKUP($C$4,'Writing Logic'!$G$8:$H$14,2,FALSE),YES_Writing_ELA[#Headers],0))=0,"",INDEX(_xlfn.VSTACK(YES_Writing_ELA[#Data],YES_Writing_FLA[#Data]),MATCH($A174,_xlfn.VSTACK(YES_Writing_ELA[Student Number],YES_Writing_FLA[Student Number]),0),MATCH(VLOOKUP(G$7,'Writing Logic'!$J$7:$K$11,2,FALSE)&amp;" - Per "&amp;VLOOKUP($C$4,'Writing Logic'!$G$8:$H$14,2,FALSE),YES_Writing_ELA[#Headers],0)))="INS",'Writing Logic'!$B$7,IF(INDEX(_xlfn.VSTACK(YES_Writing_ELA[#Data],YES_Writing_FLA[#Data]),MATCH($A174,_xlfn.VSTACK(YES_Writing_ELA[Student Number],YES_Writing_FLA[Student Number]),0),MATCH(VLOOKUP(G$7,'Writing Logic'!$J$7:$K$11,2,FALSE)&amp;" - Per "&amp;VLOOKUP($C$4,'Writing Logic'!$G$8:$H$14,2,FALSE),YES_Writing_ELA[#Headers],0))=0,"",INDEX(_xlfn.VSTACK(YES_Writing_ELA[#Data],YES_Writing_FLA[#Data]),MATCH($A174,_xlfn.VSTACK(YES_Writing_ELA[Student Number],YES_Writing_FLA[Student Number]),0),MATCH(VLOOKUP(G$7,'Writing Logic'!$J$7:$K$11,2,FALSE)&amp;" - Per "&amp;VLOOKUP($C$4,'Writing Logic'!$G$8:$H$14,2,FALSE),YES_Writing_ELA[#Headers],0)))),"")</f>
        <v/>
      </c>
      <c r="H174" s="138" t="str">
        <f>IFERROR(IF(IF(INDEX(_xlfn.VSTACK(YES_Writing_ELA[#Data],YES_Writing_FLA[#Data]),MATCH($A174,_xlfn.VSTACK(YES_Writing_ELA[Student Number],YES_Writing_FLA[Student Number]),0),MATCH(VLOOKUP(H$7,'Writing Logic'!$J$7:$K$11,2,FALSE)&amp;" - Per "&amp;VLOOKUP($C$4,'Writing Logic'!$G$8:$H$14,2,FALSE),YES_Writing_ELA[#Headers],0))=0,"",INDEX(_xlfn.VSTACK(YES_Writing_ELA[#Data],YES_Writing_FLA[#Data]),MATCH($A174,_xlfn.VSTACK(YES_Writing_ELA[Student Number],YES_Writing_FLA[Student Number]),0),MATCH(VLOOKUP(H$7,'Writing Logic'!$J$7:$K$11,2,FALSE)&amp;" - Per "&amp;VLOOKUP($C$4,'Writing Logic'!$G$8:$H$14,2,FALSE),YES_Writing_ELA[#Headers],0)))="INS",'Writing Logic'!$B$7,IF(INDEX(_xlfn.VSTACK(YES_Writing_ELA[#Data],YES_Writing_FLA[#Data]),MATCH($A174,_xlfn.VSTACK(YES_Writing_ELA[Student Number],YES_Writing_FLA[Student Number]),0),MATCH(VLOOKUP(H$7,'Writing Logic'!$J$7:$K$11,2,FALSE)&amp;" - Per "&amp;VLOOKUP($C$4,'Writing Logic'!$G$8:$H$14,2,FALSE),YES_Writing_ELA[#Headers],0))=0,"",INDEX(_xlfn.VSTACK(YES_Writing_ELA[#Data],YES_Writing_FLA[#Data]),MATCH($A174,_xlfn.VSTACK(YES_Writing_ELA[Student Number],YES_Writing_FLA[Student Number]),0),MATCH(VLOOKUP(H$7,'Writing Logic'!$J$7:$K$11,2,FALSE)&amp;" - Per "&amp;VLOOKUP($C$4,'Writing Logic'!$G$8:$H$14,2,FALSE),YES_Writing_ELA[#Headers],0)))),"")</f>
        <v/>
      </c>
    </row>
    <row r="175" spans="1:8" ht="14.25" customHeight="1" x14ac:dyDescent="0.25">
      <c r="A175" s="137"/>
      <c r="B175" s="137" t="str">
        <f>IFERROR(INDEX(_xlfn.VSTACK(YES_Writing_ELA[#Data], YES_Writing_FLA[#Data]),MATCH($A175,_xlfn.VSTACK(YES_Writing_ELA[Student Number], YES_Writing_FLA[Student Number]),0),MATCH(B$7,YES_Writing_ELA[#Headers],0)),"")</f>
        <v/>
      </c>
      <c r="C175" s="137" t="str">
        <f>IFERROR(INDEX(_xlfn.VSTACK(YES_Writing_ELA[#Data], YES_Writing_FLA[#Data]),MATCH($A175,_xlfn.VSTACK(YES_Writing_ELA[Student Number], YES_Writing_FLA[Student Number]),0),MATCH(C$7,YES_Writing_ELA[#Headers],0)),"")</f>
        <v/>
      </c>
      <c r="D175" s="138" t="str">
        <f>IFERROR(IF(IF(INDEX(_xlfn.VSTACK(YES_Writing_ELA[#Data],YES_Writing_FLA[#Data]),MATCH($A175,_xlfn.VSTACK(YES_Writing_ELA[Student Number],YES_Writing_FLA[Student Number]),0),MATCH(VLOOKUP(D$7,'Writing Logic'!$J$7:$K$11,2,FALSE)&amp;" - Per "&amp;VLOOKUP($C$4,'Writing Logic'!$G$8:$H$14,2,FALSE),YES_Writing_ELA[#Headers],0))=0,"",INDEX(_xlfn.VSTACK(YES_Writing_ELA[#Data],YES_Writing_FLA[#Data]),MATCH($A175,_xlfn.VSTACK(YES_Writing_ELA[Student Number],YES_Writing_FLA[Student Number]),0),MATCH(VLOOKUP(D$7,'Writing Logic'!$J$7:$K$11,2,FALSE)&amp;" - Per "&amp;VLOOKUP($C$4,'Writing Logic'!$G$8:$H$14,2,FALSE),YES_Writing_ELA[#Headers],0)))="INS",'Writing Logic'!$B$7,IF(INDEX(_xlfn.VSTACK(YES_Writing_ELA[#Data],YES_Writing_FLA[#Data]),MATCH($A175,_xlfn.VSTACK(YES_Writing_ELA[Student Number],YES_Writing_FLA[Student Number]),0),MATCH(VLOOKUP(D$7,'Writing Logic'!$J$7:$K$11,2,FALSE)&amp;" - Per "&amp;VLOOKUP($C$4,'Writing Logic'!$G$8:$H$14,2,FALSE),YES_Writing_ELA[#Headers],0))=0,"",INDEX(_xlfn.VSTACK(YES_Writing_ELA[#Data],YES_Writing_FLA[#Data]),MATCH($A175,_xlfn.VSTACK(YES_Writing_ELA[Student Number],YES_Writing_FLA[Student Number]),0),MATCH(VLOOKUP(D$7,'Writing Logic'!$J$7:$K$11,2,FALSE)&amp;" - Per "&amp;VLOOKUP($C$4,'Writing Logic'!$G$8:$H$14,2,FALSE),YES_Writing_ELA[#Headers],0)))),"")</f>
        <v/>
      </c>
      <c r="E175" s="138" t="str">
        <f>IFERROR(IF(IF(INDEX(_xlfn.VSTACK(YES_Writing_ELA[#Data],YES_Writing_FLA[#Data]),MATCH($A175,_xlfn.VSTACK(YES_Writing_ELA[Student Number],YES_Writing_FLA[Student Number]),0),MATCH(VLOOKUP(E$7,'Writing Logic'!$J$7:$K$11,2,FALSE)&amp;" - Per "&amp;VLOOKUP($C$4,'Writing Logic'!$G$8:$H$14,2,FALSE),YES_Writing_ELA[#Headers],0))=0,"",INDEX(_xlfn.VSTACK(YES_Writing_ELA[#Data],YES_Writing_FLA[#Data]),MATCH($A175,_xlfn.VSTACK(YES_Writing_ELA[Student Number],YES_Writing_FLA[Student Number]),0),MATCH(VLOOKUP(E$7,'Writing Logic'!$J$7:$K$11,2,FALSE)&amp;" - Per "&amp;VLOOKUP($C$4,'Writing Logic'!$G$8:$H$14,2,FALSE),YES_Writing_ELA[#Headers],0)))="INS",'Writing Logic'!$B$7,IF(INDEX(_xlfn.VSTACK(YES_Writing_ELA[#Data],YES_Writing_FLA[#Data]),MATCH($A175,_xlfn.VSTACK(YES_Writing_ELA[Student Number],YES_Writing_FLA[Student Number]),0),MATCH(VLOOKUP(E$7,'Writing Logic'!$J$7:$K$11,2,FALSE)&amp;" - Per "&amp;VLOOKUP($C$4,'Writing Logic'!$G$8:$H$14,2,FALSE),YES_Writing_ELA[#Headers],0))=0,"",INDEX(_xlfn.VSTACK(YES_Writing_ELA[#Data],YES_Writing_FLA[#Data]),MATCH($A175,_xlfn.VSTACK(YES_Writing_ELA[Student Number],YES_Writing_FLA[Student Number]),0),MATCH(VLOOKUP(E$7,'Writing Logic'!$J$7:$K$11,2,FALSE)&amp;" - Per "&amp;VLOOKUP($C$4,'Writing Logic'!$G$8:$H$14,2,FALSE),YES_Writing_ELA[#Headers],0)))),"")</f>
        <v/>
      </c>
      <c r="F175" s="138" t="str">
        <f>IFERROR(IF(IF(INDEX(_xlfn.VSTACK(YES_Writing_ELA[#Data],YES_Writing_FLA[#Data]),MATCH($A175,_xlfn.VSTACK(YES_Writing_ELA[Student Number],YES_Writing_FLA[Student Number]),0),MATCH(VLOOKUP(F$7,'Writing Logic'!$J$7:$K$11,2,FALSE)&amp;" - Per "&amp;VLOOKUP($C$4,'Writing Logic'!$G$8:$H$14,2,FALSE),YES_Writing_ELA[#Headers],0))=0,"",INDEX(_xlfn.VSTACK(YES_Writing_ELA[#Data],YES_Writing_FLA[#Data]),MATCH($A175,_xlfn.VSTACK(YES_Writing_ELA[Student Number],YES_Writing_FLA[Student Number]),0),MATCH(VLOOKUP(F$7,'Writing Logic'!$J$7:$K$11,2,FALSE)&amp;" - Per "&amp;VLOOKUP($C$4,'Writing Logic'!$G$8:$H$14,2,FALSE),YES_Writing_ELA[#Headers],0)))="INS",'Writing Logic'!$B$7,IF(INDEX(_xlfn.VSTACK(YES_Writing_ELA[#Data],YES_Writing_FLA[#Data]),MATCH($A175,_xlfn.VSTACK(YES_Writing_ELA[Student Number],YES_Writing_FLA[Student Number]),0),MATCH(VLOOKUP(F$7,'Writing Logic'!$J$7:$K$11,2,FALSE)&amp;" - Per "&amp;VLOOKUP($C$4,'Writing Logic'!$G$8:$H$14,2,FALSE),YES_Writing_ELA[#Headers],0))=0,"",INDEX(_xlfn.VSTACK(YES_Writing_ELA[#Data],YES_Writing_FLA[#Data]),MATCH($A175,_xlfn.VSTACK(YES_Writing_ELA[Student Number],YES_Writing_FLA[Student Number]),0),MATCH(VLOOKUP(F$7,'Writing Logic'!$J$7:$K$11,2,FALSE)&amp;" - Per "&amp;VLOOKUP($C$4,'Writing Logic'!$G$8:$H$14,2,FALSE),YES_Writing_ELA[#Headers],0)))),"")</f>
        <v/>
      </c>
      <c r="G175" s="138" t="str">
        <f>IFERROR(IF(IF(INDEX(_xlfn.VSTACK(YES_Writing_ELA[#Data],YES_Writing_FLA[#Data]),MATCH($A175,_xlfn.VSTACK(YES_Writing_ELA[Student Number],YES_Writing_FLA[Student Number]),0),MATCH(VLOOKUP(G$7,'Writing Logic'!$J$7:$K$11,2,FALSE)&amp;" - Per "&amp;VLOOKUP($C$4,'Writing Logic'!$G$8:$H$14,2,FALSE),YES_Writing_ELA[#Headers],0))=0,"",INDEX(_xlfn.VSTACK(YES_Writing_ELA[#Data],YES_Writing_FLA[#Data]),MATCH($A175,_xlfn.VSTACK(YES_Writing_ELA[Student Number],YES_Writing_FLA[Student Number]),0),MATCH(VLOOKUP(G$7,'Writing Logic'!$J$7:$K$11,2,FALSE)&amp;" - Per "&amp;VLOOKUP($C$4,'Writing Logic'!$G$8:$H$14,2,FALSE),YES_Writing_ELA[#Headers],0)))="INS",'Writing Logic'!$B$7,IF(INDEX(_xlfn.VSTACK(YES_Writing_ELA[#Data],YES_Writing_FLA[#Data]),MATCH($A175,_xlfn.VSTACK(YES_Writing_ELA[Student Number],YES_Writing_FLA[Student Number]),0),MATCH(VLOOKUP(G$7,'Writing Logic'!$J$7:$K$11,2,FALSE)&amp;" - Per "&amp;VLOOKUP($C$4,'Writing Logic'!$G$8:$H$14,2,FALSE),YES_Writing_ELA[#Headers],0))=0,"",INDEX(_xlfn.VSTACK(YES_Writing_ELA[#Data],YES_Writing_FLA[#Data]),MATCH($A175,_xlfn.VSTACK(YES_Writing_ELA[Student Number],YES_Writing_FLA[Student Number]),0),MATCH(VLOOKUP(G$7,'Writing Logic'!$J$7:$K$11,2,FALSE)&amp;" - Per "&amp;VLOOKUP($C$4,'Writing Logic'!$G$8:$H$14,2,FALSE),YES_Writing_ELA[#Headers],0)))),"")</f>
        <v/>
      </c>
      <c r="H175" s="138" t="str">
        <f>IFERROR(IF(IF(INDEX(_xlfn.VSTACK(YES_Writing_ELA[#Data],YES_Writing_FLA[#Data]),MATCH($A175,_xlfn.VSTACK(YES_Writing_ELA[Student Number],YES_Writing_FLA[Student Number]),0),MATCH(VLOOKUP(H$7,'Writing Logic'!$J$7:$K$11,2,FALSE)&amp;" - Per "&amp;VLOOKUP($C$4,'Writing Logic'!$G$8:$H$14,2,FALSE),YES_Writing_ELA[#Headers],0))=0,"",INDEX(_xlfn.VSTACK(YES_Writing_ELA[#Data],YES_Writing_FLA[#Data]),MATCH($A175,_xlfn.VSTACK(YES_Writing_ELA[Student Number],YES_Writing_FLA[Student Number]),0),MATCH(VLOOKUP(H$7,'Writing Logic'!$J$7:$K$11,2,FALSE)&amp;" - Per "&amp;VLOOKUP($C$4,'Writing Logic'!$G$8:$H$14,2,FALSE),YES_Writing_ELA[#Headers],0)))="INS",'Writing Logic'!$B$7,IF(INDEX(_xlfn.VSTACK(YES_Writing_ELA[#Data],YES_Writing_FLA[#Data]),MATCH($A175,_xlfn.VSTACK(YES_Writing_ELA[Student Number],YES_Writing_FLA[Student Number]),0),MATCH(VLOOKUP(H$7,'Writing Logic'!$J$7:$K$11,2,FALSE)&amp;" - Per "&amp;VLOOKUP($C$4,'Writing Logic'!$G$8:$H$14,2,FALSE),YES_Writing_ELA[#Headers],0))=0,"",INDEX(_xlfn.VSTACK(YES_Writing_ELA[#Data],YES_Writing_FLA[#Data]),MATCH($A175,_xlfn.VSTACK(YES_Writing_ELA[Student Number],YES_Writing_FLA[Student Number]),0),MATCH(VLOOKUP(H$7,'Writing Logic'!$J$7:$K$11,2,FALSE)&amp;" - Per "&amp;VLOOKUP($C$4,'Writing Logic'!$G$8:$H$14,2,FALSE),YES_Writing_ELA[#Headers],0)))),"")</f>
        <v/>
      </c>
    </row>
    <row r="176" spans="1:8" ht="14.25" customHeight="1" x14ac:dyDescent="0.25">
      <c r="A176" s="137"/>
      <c r="B176" s="137" t="str">
        <f>IFERROR(INDEX(_xlfn.VSTACK(YES_Writing_ELA[#Data], YES_Writing_FLA[#Data]),MATCH($A176,_xlfn.VSTACK(YES_Writing_ELA[Student Number], YES_Writing_FLA[Student Number]),0),MATCH(B$7,YES_Writing_ELA[#Headers],0)),"")</f>
        <v/>
      </c>
      <c r="C176" s="137" t="str">
        <f>IFERROR(INDEX(_xlfn.VSTACK(YES_Writing_ELA[#Data], YES_Writing_FLA[#Data]),MATCH($A176,_xlfn.VSTACK(YES_Writing_ELA[Student Number], YES_Writing_FLA[Student Number]),0),MATCH(C$7,YES_Writing_ELA[#Headers],0)),"")</f>
        <v/>
      </c>
      <c r="D176" s="138" t="str">
        <f>IFERROR(IF(IF(INDEX(_xlfn.VSTACK(YES_Writing_ELA[#Data],YES_Writing_FLA[#Data]),MATCH($A176,_xlfn.VSTACK(YES_Writing_ELA[Student Number],YES_Writing_FLA[Student Number]),0),MATCH(VLOOKUP(D$7,'Writing Logic'!$J$7:$K$11,2,FALSE)&amp;" - Per "&amp;VLOOKUP($C$4,'Writing Logic'!$G$8:$H$14,2,FALSE),YES_Writing_ELA[#Headers],0))=0,"",INDEX(_xlfn.VSTACK(YES_Writing_ELA[#Data],YES_Writing_FLA[#Data]),MATCH($A176,_xlfn.VSTACK(YES_Writing_ELA[Student Number],YES_Writing_FLA[Student Number]),0),MATCH(VLOOKUP(D$7,'Writing Logic'!$J$7:$K$11,2,FALSE)&amp;" - Per "&amp;VLOOKUP($C$4,'Writing Logic'!$G$8:$H$14,2,FALSE),YES_Writing_ELA[#Headers],0)))="INS",'Writing Logic'!$B$7,IF(INDEX(_xlfn.VSTACK(YES_Writing_ELA[#Data],YES_Writing_FLA[#Data]),MATCH($A176,_xlfn.VSTACK(YES_Writing_ELA[Student Number],YES_Writing_FLA[Student Number]),0),MATCH(VLOOKUP(D$7,'Writing Logic'!$J$7:$K$11,2,FALSE)&amp;" - Per "&amp;VLOOKUP($C$4,'Writing Logic'!$G$8:$H$14,2,FALSE),YES_Writing_ELA[#Headers],0))=0,"",INDEX(_xlfn.VSTACK(YES_Writing_ELA[#Data],YES_Writing_FLA[#Data]),MATCH($A176,_xlfn.VSTACK(YES_Writing_ELA[Student Number],YES_Writing_FLA[Student Number]),0),MATCH(VLOOKUP(D$7,'Writing Logic'!$J$7:$K$11,2,FALSE)&amp;" - Per "&amp;VLOOKUP($C$4,'Writing Logic'!$G$8:$H$14,2,FALSE),YES_Writing_ELA[#Headers],0)))),"")</f>
        <v/>
      </c>
      <c r="E176" s="138" t="str">
        <f>IFERROR(IF(IF(INDEX(_xlfn.VSTACK(YES_Writing_ELA[#Data],YES_Writing_FLA[#Data]),MATCH($A176,_xlfn.VSTACK(YES_Writing_ELA[Student Number],YES_Writing_FLA[Student Number]),0),MATCH(VLOOKUP(E$7,'Writing Logic'!$J$7:$K$11,2,FALSE)&amp;" - Per "&amp;VLOOKUP($C$4,'Writing Logic'!$G$8:$H$14,2,FALSE),YES_Writing_ELA[#Headers],0))=0,"",INDEX(_xlfn.VSTACK(YES_Writing_ELA[#Data],YES_Writing_FLA[#Data]),MATCH($A176,_xlfn.VSTACK(YES_Writing_ELA[Student Number],YES_Writing_FLA[Student Number]),0),MATCH(VLOOKUP(E$7,'Writing Logic'!$J$7:$K$11,2,FALSE)&amp;" - Per "&amp;VLOOKUP($C$4,'Writing Logic'!$G$8:$H$14,2,FALSE),YES_Writing_ELA[#Headers],0)))="INS",'Writing Logic'!$B$7,IF(INDEX(_xlfn.VSTACK(YES_Writing_ELA[#Data],YES_Writing_FLA[#Data]),MATCH($A176,_xlfn.VSTACK(YES_Writing_ELA[Student Number],YES_Writing_FLA[Student Number]),0),MATCH(VLOOKUP(E$7,'Writing Logic'!$J$7:$K$11,2,FALSE)&amp;" - Per "&amp;VLOOKUP($C$4,'Writing Logic'!$G$8:$H$14,2,FALSE),YES_Writing_ELA[#Headers],0))=0,"",INDEX(_xlfn.VSTACK(YES_Writing_ELA[#Data],YES_Writing_FLA[#Data]),MATCH($A176,_xlfn.VSTACK(YES_Writing_ELA[Student Number],YES_Writing_FLA[Student Number]),0),MATCH(VLOOKUP(E$7,'Writing Logic'!$J$7:$K$11,2,FALSE)&amp;" - Per "&amp;VLOOKUP($C$4,'Writing Logic'!$G$8:$H$14,2,FALSE),YES_Writing_ELA[#Headers],0)))),"")</f>
        <v/>
      </c>
      <c r="F176" s="138" t="str">
        <f>IFERROR(IF(IF(INDEX(_xlfn.VSTACK(YES_Writing_ELA[#Data],YES_Writing_FLA[#Data]),MATCH($A176,_xlfn.VSTACK(YES_Writing_ELA[Student Number],YES_Writing_FLA[Student Number]),0),MATCH(VLOOKUP(F$7,'Writing Logic'!$J$7:$K$11,2,FALSE)&amp;" - Per "&amp;VLOOKUP($C$4,'Writing Logic'!$G$8:$H$14,2,FALSE),YES_Writing_ELA[#Headers],0))=0,"",INDEX(_xlfn.VSTACK(YES_Writing_ELA[#Data],YES_Writing_FLA[#Data]),MATCH($A176,_xlfn.VSTACK(YES_Writing_ELA[Student Number],YES_Writing_FLA[Student Number]),0),MATCH(VLOOKUP(F$7,'Writing Logic'!$J$7:$K$11,2,FALSE)&amp;" - Per "&amp;VLOOKUP($C$4,'Writing Logic'!$G$8:$H$14,2,FALSE),YES_Writing_ELA[#Headers],0)))="INS",'Writing Logic'!$B$7,IF(INDEX(_xlfn.VSTACK(YES_Writing_ELA[#Data],YES_Writing_FLA[#Data]),MATCH($A176,_xlfn.VSTACK(YES_Writing_ELA[Student Number],YES_Writing_FLA[Student Number]),0),MATCH(VLOOKUP(F$7,'Writing Logic'!$J$7:$K$11,2,FALSE)&amp;" - Per "&amp;VLOOKUP($C$4,'Writing Logic'!$G$8:$H$14,2,FALSE),YES_Writing_ELA[#Headers],0))=0,"",INDEX(_xlfn.VSTACK(YES_Writing_ELA[#Data],YES_Writing_FLA[#Data]),MATCH($A176,_xlfn.VSTACK(YES_Writing_ELA[Student Number],YES_Writing_FLA[Student Number]),0),MATCH(VLOOKUP(F$7,'Writing Logic'!$J$7:$K$11,2,FALSE)&amp;" - Per "&amp;VLOOKUP($C$4,'Writing Logic'!$G$8:$H$14,2,FALSE),YES_Writing_ELA[#Headers],0)))),"")</f>
        <v/>
      </c>
      <c r="G176" s="138" t="str">
        <f>IFERROR(IF(IF(INDEX(_xlfn.VSTACK(YES_Writing_ELA[#Data],YES_Writing_FLA[#Data]),MATCH($A176,_xlfn.VSTACK(YES_Writing_ELA[Student Number],YES_Writing_FLA[Student Number]),0),MATCH(VLOOKUP(G$7,'Writing Logic'!$J$7:$K$11,2,FALSE)&amp;" - Per "&amp;VLOOKUP($C$4,'Writing Logic'!$G$8:$H$14,2,FALSE),YES_Writing_ELA[#Headers],0))=0,"",INDEX(_xlfn.VSTACK(YES_Writing_ELA[#Data],YES_Writing_FLA[#Data]),MATCH($A176,_xlfn.VSTACK(YES_Writing_ELA[Student Number],YES_Writing_FLA[Student Number]),0),MATCH(VLOOKUP(G$7,'Writing Logic'!$J$7:$K$11,2,FALSE)&amp;" - Per "&amp;VLOOKUP($C$4,'Writing Logic'!$G$8:$H$14,2,FALSE),YES_Writing_ELA[#Headers],0)))="INS",'Writing Logic'!$B$7,IF(INDEX(_xlfn.VSTACK(YES_Writing_ELA[#Data],YES_Writing_FLA[#Data]),MATCH($A176,_xlfn.VSTACK(YES_Writing_ELA[Student Number],YES_Writing_FLA[Student Number]),0),MATCH(VLOOKUP(G$7,'Writing Logic'!$J$7:$K$11,2,FALSE)&amp;" - Per "&amp;VLOOKUP($C$4,'Writing Logic'!$G$8:$H$14,2,FALSE),YES_Writing_ELA[#Headers],0))=0,"",INDEX(_xlfn.VSTACK(YES_Writing_ELA[#Data],YES_Writing_FLA[#Data]),MATCH($A176,_xlfn.VSTACK(YES_Writing_ELA[Student Number],YES_Writing_FLA[Student Number]),0),MATCH(VLOOKUP(G$7,'Writing Logic'!$J$7:$K$11,2,FALSE)&amp;" - Per "&amp;VLOOKUP($C$4,'Writing Logic'!$G$8:$H$14,2,FALSE),YES_Writing_ELA[#Headers],0)))),"")</f>
        <v/>
      </c>
      <c r="H176" s="138" t="str">
        <f>IFERROR(IF(IF(INDEX(_xlfn.VSTACK(YES_Writing_ELA[#Data],YES_Writing_FLA[#Data]),MATCH($A176,_xlfn.VSTACK(YES_Writing_ELA[Student Number],YES_Writing_FLA[Student Number]),0),MATCH(VLOOKUP(H$7,'Writing Logic'!$J$7:$K$11,2,FALSE)&amp;" - Per "&amp;VLOOKUP($C$4,'Writing Logic'!$G$8:$H$14,2,FALSE),YES_Writing_ELA[#Headers],0))=0,"",INDEX(_xlfn.VSTACK(YES_Writing_ELA[#Data],YES_Writing_FLA[#Data]),MATCH($A176,_xlfn.VSTACK(YES_Writing_ELA[Student Number],YES_Writing_FLA[Student Number]),0),MATCH(VLOOKUP(H$7,'Writing Logic'!$J$7:$K$11,2,FALSE)&amp;" - Per "&amp;VLOOKUP($C$4,'Writing Logic'!$G$8:$H$14,2,FALSE),YES_Writing_ELA[#Headers],0)))="INS",'Writing Logic'!$B$7,IF(INDEX(_xlfn.VSTACK(YES_Writing_ELA[#Data],YES_Writing_FLA[#Data]),MATCH($A176,_xlfn.VSTACK(YES_Writing_ELA[Student Number],YES_Writing_FLA[Student Number]),0),MATCH(VLOOKUP(H$7,'Writing Logic'!$J$7:$K$11,2,FALSE)&amp;" - Per "&amp;VLOOKUP($C$4,'Writing Logic'!$G$8:$H$14,2,FALSE),YES_Writing_ELA[#Headers],0))=0,"",INDEX(_xlfn.VSTACK(YES_Writing_ELA[#Data],YES_Writing_FLA[#Data]),MATCH($A176,_xlfn.VSTACK(YES_Writing_ELA[Student Number],YES_Writing_FLA[Student Number]),0),MATCH(VLOOKUP(H$7,'Writing Logic'!$J$7:$K$11,2,FALSE)&amp;" - Per "&amp;VLOOKUP($C$4,'Writing Logic'!$G$8:$H$14,2,FALSE),YES_Writing_ELA[#Headers],0)))),"")</f>
        <v/>
      </c>
    </row>
    <row r="177" spans="1:8" ht="14.25" customHeight="1" x14ac:dyDescent="0.25">
      <c r="A177" s="137"/>
      <c r="B177" s="137" t="str">
        <f>IFERROR(INDEX(_xlfn.VSTACK(YES_Writing_ELA[#Data], YES_Writing_FLA[#Data]),MATCH($A177,_xlfn.VSTACK(YES_Writing_ELA[Student Number], YES_Writing_FLA[Student Number]),0),MATCH(B$7,YES_Writing_ELA[#Headers],0)),"")</f>
        <v/>
      </c>
      <c r="C177" s="137" t="str">
        <f>IFERROR(INDEX(_xlfn.VSTACK(YES_Writing_ELA[#Data], YES_Writing_FLA[#Data]),MATCH($A177,_xlfn.VSTACK(YES_Writing_ELA[Student Number], YES_Writing_FLA[Student Number]),0),MATCH(C$7,YES_Writing_ELA[#Headers],0)),"")</f>
        <v/>
      </c>
      <c r="D177" s="138" t="str">
        <f>IFERROR(IF(IF(INDEX(_xlfn.VSTACK(YES_Writing_ELA[#Data],YES_Writing_FLA[#Data]),MATCH($A177,_xlfn.VSTACK(YES_Writing_ELA[Student Number],YES_Writing_FLA[Student Number]),0),MATCH(VLOOKUP(D$7,'Writing Logic'!$J$7:$K$11,2,FALSE)&amp;" - Per "&amp;VLOOKUP($C$4,'Writing Logic'!$G$8:$H$14,2,FALSE),YES_Writing_ELA[#Headers],0))=0,"",INDEX(_xlfn.VSTACK(YES_Writing_ELA[#Data],YES_Writing_FLA[#Data]),MATCH($A177,_xlfn.VSTACK(YES_Writing_ELA[Student Number],YES_Writing_FLA[Student Number]),0),MATCH(VLOOKUP(D$7,'Writing Logic'!$J$7:$K$11,2,FALSE)&amp;" - Per "&amp;VLOOKUP($C$4,'Writing Logic'!$G$8:$H$14,2,FALSE),YES_Writing_ELA[#Headers],0)))="INS",'Writing Logic'!$B$7,IF(INDEX(_xlfn.VSTACK(YES_Writing_ELA[#Data],YES_Writing_FLA[#Data]),MATCH($A177,_xlfn.VSTACK(YES_Writing_ELA[Student Number],YES_Writing_FLA[Student Number]),0),MATCH(VLOOKUP(D$7,'Writing Logic'!$J$7:$K$11,2,FALSE)&amp;" - Per "&amp;VLOOKUP($C$4,'Writing Logic'!$G$8:$H$14,2,FALSE),YES_Writing_ELA[#Headers],0))=0,"",INDEX(_xlfn.VSTACK(YES_Writing_ELA[#Data],YES_Writing_FLA[#Data]),MATCH($A177,_xlfn.VSTACK(YES_Writing_ELA[Student Number],YES_Writing_FLA[Student Number]),0),MATCH(VLOOKUP(D$7,'Writing Logic'!$J$7:$K$11,2,FALSE)&amp;" - Per "&amp;VLOOKUP($C$4,'Writing Logic'!$G$8:$H$14,2,FALSE),YES_Writing_ELA[#Headers],0)))),"")</f>
        <v/>
      </c>
      <c r="E177" s="138" t="str">
        <f>IFERROR(IF(IF(INDEX(_xlfn.VSTACK(YES_Writing_ELA[#Data],YES_Writing_FLA[#Data]),MATCH($A177,_xlfn.VSTACK(YES_Writing_ELA[Student Number],YES_Writing_FLA[Student Number]),0),MATCH(VLOOKUP(E$7,'Writing Logic'!$J$7:$K$11,2,FALSE)&amp;" - Per "&amp;VLOOKUP($C$4,'Writing Logic'!$G$8:$H$14,2,FALSE),YES_Writing_ELA[#Headers],0))=0,"",INDEX(_xlfn.VSTACK(YES_Writing_ELA[#Data],YES_Writing_FLA[#Data]),MATCH($A177,_xlfn.VSTACK(YES_Writing_ELA[Student Number],YES_Writing_FLA[Student Number]),0),MATCH(VLOOKUP(E$7,'Writing Logic'!$J$7:$K$11,2,FALSE)&amp;" - Per "&amp;VLOOKUP($C$4,'Writing Logic'!$G$8:$H$14,2,FALSE),YES_Writing_ELA[#Headers],0)))="INS",'Writing Logic'!$B$7,IF(INDEX(_xlfn.VSTACK(YES_Writing_ELA[#Data],YES_Writing_FLA[#Data]),MATCH($A177,_xlfn.VSTACK(YES_Writing_ELA[Student Number],YES_Writing_FLA[Student Number]),0),MATCH(VLOOKUP(E$7,'Writing Logic'!$J$7:$K$11,2,FALSE)&amp;" - Per "&amp;VLOOKUP($C$4,'Writing Logic'!$G$8:$H$14,2,FALSE),YES_Writing_ELA[#Headers],0))=0,"",INDEX(_xlfn.VSTACK(YES_Writing_ELA[#Data],YES_Writing_FLA[#Data]),MATCH($A177,_xlfn.VSTACK(YES_Writing_ELA[Student Number],YES_Writing_FLA[Student Number]),0),MATCH(VLOOKUP(E$7,'Writing Logic'!$J$7:$K$11,2,FALSE)&amp;" - Per "&amp;VLOOKUP($C$4,'Writing Logic'!$G$8:$H$14,2,FALSE),YES_Writing_ELA[#Headers],0)))),"")</f>
        <v/>
      </c>
      <c r="F177" s="138" t="str">
        <f>IFERROR(IF(IF(INDEX(_xlfn.VSTACK(YES_Writing_ELA[#Data],YES_Writing_FLA[#Data]),MATCH($A177,_xlfn.VSTACK(YES_Writing_ELA[Student Number],YES_Writing_FLA[Student Number]),0),MATCH(VLOOKUP(F$7,'Writing Logic'!$J$7:$K$11,2,FALSE)&amp;" - Per "&amp;VLOOKUP($C$4,'Writing Logic'!$G$8:$H$14,2,FALSE),YES_Writing_ELA[#Headers],0))=0,"",INDEX(_xlfn.VSTACK(YES_Writing_ELA[#Data],YES_Writing_FLA[#Data]),MATCH($A177,_xlfn.VSTACK(YES_Writing_ELA[Student Number],YES_Writing_FLA[Student Number]),0),MATCH(VLOOKUP(F$7,'Writing Logic'!$J$7:$K$11,2,FALSE)&amp;" - Per "&amp;VLOOKUP($C$4,'Writing Logic'!$G$8:$H$14,2,FALSE),YES_Writing_ELA[#Headers],0)))="INS",'Writing Logic'!$B$7,IF(INDEX(_xlfn.VSTACK(YES_Writing_ELA[#Data],YES_Writing_FLA[#Data]),MATCH($A177,_xlfn.VSTACK(YES_Writing_ELA[Student Number],YES_Writing_FLA[Student Number]),0),MATCH(VLOOKUP(F$7,'Writing Logic'!$J$7:$K$11,2,FALSE)&amp;" - Per "&amp;VLOOKUP($C$4,'Writing Logic'!$G$8:$H$14,2,FALSE),YES_Writing_ELA[#Headers],0))=0,"",INDEX(_xlfn.VSTACK(YES_Writing_ELA[#Data],YES_Writing_FLA[#Data]),MATCH($A177,_xlfn.VSTACK(YES_Writing_ELA[Student Number],YES_Writing_FLA[Student Number]),0),MATCH(VLOOKUP(F$7,'Writing Logic'!$J$7:$K$11,2,FALSE)&amp;" - Per "&amp;VLOOKUP($C$4,'Writing Logic'!$G$8:$H$14,2,FALSE),YES_Writing_ELA[#Headers],0)))),"")</f>
        <v/>
      </c>
      <c r="G177" s="138" t="str">
        <f>IFERROR(IF(IF(INDEX(_xlfn.VSTACK(YES_Writing_ELA[#Data],YES_Writing_FLA[#Data]),MATCH($A177,_xlfn.VSTACK(YES_Writing_ELA[Student Number],YES_Writing_FLA[Student Number]),0),MATCH(VLOOKUP(G$7,'Writing Logic'!$J$7:$K$11,2,FALSE)&amp;" - Per "&amp;VLOOKUP($C$4,'Writing Logic'!$G$8:$H$14,2,FALSE),YES_Writing_ELA[#Headers],0))=0,"",INDEX(_xlfn.VSTACK(YES_Writing_ELA[#Data],YES_Writing_FLA[#Data]),MATCH($A177,_xlfn.VSTACK(YES_Writing_ELA[Student Number],YES_Writing_FLA[Student Number]),0),MATCH(VLOOKUP(G$7,'Writing Logic'!$J$7:$K$11,2,FALSE)&amp;" - Per "&amp;VLOOKUP($C$4,'Writing Logic'!$G$8:$H$14,2,FALSE),YES_Writing_ELA[#Headers],0)))="INS",'Writing Logic'!$B$7,IF(INDEX(_xlfn.VSTACK(YES_Writing_ELA[#Data],YES_Writing_FLA[#Data]),MATCH($A177,_xlfn.VSTACK(YES_Writing_ELA[Student Number],YES_Writing_FLA[Student Number]),0),MATCH(VLOOKUP(G$7,'Writing Logic'!$J$7:$K$11,2,FALSE)&amp;" - Per "&amp;VLOOKUP($C$4,'Writing Logic'!$G$8:$H$14,2,FALSE),YES_Writing_ELA[#Headers],0))=0,"",INDEX(_xlfn.VSTACK(YES_Writing_ELA[#Data],YES_Writing_FLA[#Data]),MATCH($A177,_xlfn.VSTACK(YES_Writing_ELA[Student Number],YES_Writing_FLA[Student Number]),0),MATCH(VLOOKUP(G$7,'Writing Logic'!$J$7:$K$11,2,FALSE)&amp;" - Per "&amp;VLOOKUP($C$4,'Writing Logic'!$G$8:$H$14,2,FALSE),YES_Writing_ELA[#Headers],0)))),"")</f>
        <v/>
      </c>
      <c r="H177" s="138" t="str">
        <f>IFERROR(IF(IF(INDEX(_xlfn.VSTACK(YES_Writing_ELA[#Data],YES_Writing_FLA[#Data]),MATCH($A177,_xlfn.VSTACK(YES_Writing_ELA[Student Number],YES_Writing_FLA[Student Number]),0),MATCH(VLOOKUP(H$7,'Writing Logic'!$J$7:$K$11,2,FALSE)&amp;" - Per "&amp;VLOOKUP($C$4,'Writing Logic'!$G$8:$H$14,2,FALSE),YES_Writing_ELA[#Headers],0))=0,"",INDEX(_xlfn.VSTACK(YES_Writing_ELA[#Data],YES_Writing_FLA[#Data]),MATCH($A177,_xlfn.VSTACK(YES_Writing_ELA[Student Number],YES_Writing_FLA[Student Number]),0),MATCH(VLOOKUP(H$7,'Writing Logic'!$J$7:$K$11,2,FALSE)&amp;" - Per "&amp;VLOOKUP($C$4,'Writing Logic'!$G$8:$H$14,2,FALSE),YES_Writing_ELA[#Headers],0)))="INS",'Writing Logic'!$B$7,IF(INDEX(_xlfn.VSTACK(YES_Writing_ELA[#Data],YES_Writing_FLA[#Data]),MATCH($A177,_xlfn.VSTACK(YES_Writing_ELA[Student Number],YES_Writing_FLA[Student Number]),0),MATCH(VLOOKUP(H$7,'Writing Logic'!$J$7:$K$11,2,FALSE)&amp;" - Per "&amp;VLOOKUP($C$4,'Writing Logic'!$G$8:$H$14,2,FALSE),YES_Writing_ELA[#Headers],0))=0,"",INDEX(_xlfn.VSTACK(YES_Writing_ELA[#Data],YES_Writing_FLA[#Data]),MATCH($A177,_xlfn.VSTACK(YES_Writing_ELA[Student Number],YES_Writing_FLA[Student Number]),0),MATCH(VLOOKUP(H$7,'Writing Logic'!$J$7:$K$11,2,FALSE)&amp;" - Per "&amp;VLOOKUP($C$4,'Writing Logic'!$G$8:$H$14,2,FALSE),YES_Writing_ELA[#Headers],0)))),"")</f>
        <v/>
      </c>
    </row>
    <row r="178" spans="1:8" ht="14.25" customHeight="1" x14ac:dyDescent="0.25">
      <c r="A178" s="137"/>
      <c r="B178" s="137" t="str">
        <f>IFERROR(INDEX(_xlfn.VSTACK(YES_Writing_ELA[#Data], YES_Writing_FLA[#Data]),MATCH($A178,_xlfn.VSTACK(YES_Writing_ELA[Student Number], YES_Writing_FLA[Student Number]),0),MATCH(B$7,YES_Writing_ELA[#Headers],0)),"")</f>
        <v/>
      </c>
      <c r="C178" s="137" t="str">
        <f>IFERROR(INDEX(_xlfn.VSTACK(YES_Writing_ELA[#Data], YES_Writing_FLA[#Data]),MATCH($A178,_xlfn.VSTACK(YES_Writing_ELA[Student Number], YES_Writing_FLA[Student Number]),0),MATCH(C$7,YES_Writing_ELA[#Headers],0)),"")</f>
        <v/>
      </c>
      <c r="D178" s="138" t="str">
        <f>IFERROR(IF(IF(INDEX(_xlfn.VSTACK(YES_Writing_ELA[#Data],YES_Writing_FLA[#Data]),MATCH($A178,_xlfn.VSTACK(YES_Writing_ELA[Student Number],YES_Writing_FLA[Student Number]),0),MATCH(VLOOKUP(D$7,'Writing Logic'!$J$7:$K$11,2,FALSE)&amp;" - Per "&amp;VLOOKUP($C$4,'Writing Logic'!$G$8:$H$14,2,FALSE),YES_Writing_ELA[#Headers],0))=0,"",INDEX(_xlfn.VSTACK(YES_Writing_ELA[#Data],YES_Writing_FLA[#Data]),MATCH($A178,_xlfn.VSTACK(YES_Writing_ELA[Student Number],YES_Writing_FLA[Student Number]),0),MATCH(VLOOKUP(D$7,'Writing Logic'!$J$7:$K$11,2,FALSE)&amp;" - Per "&amp;VLOOKUP($C$4,'Writing Logic'!$G$8:$H$14,2,FALSE),YES_Writing_ELA[#Headers],0)))="INS",'Writing Logic'!$B$7,IF(INDEX(_xlfn.VSTACK(YES_Writing_ELA[#Data],YES_Writing_FLA[#Data]),MATCH($A178,_xlfn.VSTACK(YES_Writing_ELA[Student Number],YES_Writing_FLA[Student Number]),0),MATCH(VLOOKUP(D$7,'Writing Logic'!$J$7:$K$11,2,FALSE)&amp;" - Per "&amp;VLOOKUP($C$4,'Writing Logic'!$G$8:$H$14,2,FALSE),YES_Writing_ELA[#Headers],0))=0,"",INDEX(_xlfn.VSTACK(YES_Writing_ELA[#Data],YES_Writing_FLA[#Data]),MATCH($A178,_xlfn.VSTACK(YES_Writing_ELA[Student Number],YES_Writing_FLA[Student Number]),0),MATCH(VLOOKUP(D$7,'Writing Logic'!$J$7:$K$11,2,FALSE)&amp;" - Per "&amp;VLOOKUP($C$4,'Writing Logic'!$G$8:$H$14,2,FALSE),YES_Writing_ELA[#Headers],0)))),"")</f>
        <v/>
      </c>
      <c r="E178" s="138" t="str">
        <f>IFERROR(IF(IF(INDEX(_xlfn.VSTACK(YES_Writing_ELA[#Data],YES_Writing_FLA[#Data]),MATCH($A178,_xlfn.VSTACK(YES_Writing_ELA[Student Number],YES_Writing_FLA[Student Number]),0),MATCH(VLOOKUP(E$7,'Writing Logic'!$J$7:$K$11,2,FALSE)&amp;" - Per "&amp;VLOOKUP($C$4,'Writing Logic'!$G$8:$H$14,2,FALSE),YES_Writing_ELA[#Headers],0))=0,"",INDEX(_xlfn.VSTACK(YES_Writing_ELA[#Data],YES_Writing_FLA[#Data]),MATCH($A178,_xlfn.VSTACK(YES_Writing_ELA[Student Number],YES_Writing_FLA[Student Number]),0),MATCH(VLOOKUP(E$7,'Writing Logic'!$J$7:$K$11,2,FALSE)&amp;" - Per "&amp;VLOOKUP($C$4,'Writing Logic'!$G$8:$H$14,2,FALSE),YES_Writing_ELA[#Headers],0)))="INS",'Writing Logic'!$B$7,IF(INDEX(_xlfn.VSTACK(YES_Writing_ELA[#Data],YES_Writing_FLA[#Data]),MATCH($A178,_xlfn.VSTACK(YES_Writing_ELA[Student Number],YES_Writing_FLA[Student Number]),0),MATCH(VLOOKUP(E$7,'Writing Logic'!$J$7:$K$11,2,FALSE)&amp;" - Per "&amp;VLOOKUP($C$4,'Writing Logic'!$G$8:$H$14,2,FALSE),YES_Writing_ELA[#Headers],0))=0,"",INDEX(_xlfn.VSTACK(YES_Writing_ELA[#Data],YES_Writing_FLA[#Data]),MATCH($A178,_xlfn.VSTACK(YES_Writing_ELA[Student Number],YES_Writing_FLA[Student Number]),0),MATCH(VLOOKUP(E$7,'Writing Logic'!$J$7:$K$11,2,FALSE)&amp;" - Per "&amp;VLOOKUP($C$4,'Writing Logic'!$G$8:$H$14,2,FALSE),YES_Writing_ELA[#Headers],0)))),"")</f>
        <v/>
      </c>
      <c r="F178" s="138" t="str">
        <f>IFERROR(IF(IF(INDEX(_xlfn.VSTACK(YES_Writing_ELA[#Data],YES_Writing_FLA[#Data]),MATCH($A178,_xlfn.VSTACK(YES_Writing_ELA[Student Number],YES_Writing_FLA[Student Number]),0),MATCH(VLOOKUP(F$7,'Writing Logic'!$J$7:$K$11,2,FALSE)&amp;" - Per "&amp;VLOOKUP($C$4,'Writing Logic'!$G$8:$H$14,2,FALSE),YES_Writing_ELA[#Headers],0))=0,"",INDEX(_xlfn.VSTACK(YES_Writing_ELA[#Data],YES_Writing_FLA[#Data]),MATCH($A178,_xlfn.VSTACK(YES_Writing_ELA[Student Number],YES_Writing_FLA[Student Number]),0),MATCH(VLOOKUP(F$7,'Writing Logic'!$J$7:$K$11,2,FALSE)&amp;" - Per "&amp;VLOOKUP($C$4,'Writing Logic'!$G$8:$H$14,2,FALSE),YES_Writing_ELA[#Headers],0)))="INS",'Writing Logic'!$B$7,IF(INDEX(_xlfn.VSTACK(YES_Writing_ELA[#Data],YES_Writing_FLA[#Data]),MATCH($A178,_xlfn.VSTACK(YES_Writing_ELA[Student Number],YES_Writing_FLA[Student Number]),0),MATCH(VLOOKUP(F$7,'Writing Logic'!$J$7:$K$11,2,FALSE)&amp;" - Per "&amp;VLOOKUP($C$4,'Writing Logic'!$G$8:$H$14,2,FALSE),YES_Writing_ELA[#Headers],0))=0,"",INDEX(_xlfn.VSTACK(YES_Writing_ELA[#Data],YES_Writing_FLA[#Data]),MATCH($A178,_xlfn.VSTACK(YES_Writing_ELA[Student Number],YES_Writing_FLA[Student Number]),0),MATCH(VLOOKUP(F$7,'Writing Logic'!$J$7:$K$11,2,FALSE)&amp;" - Per "&amp;VLOOKUP($C$4,'Writing Logic'!$G$8:$H$14,2,FALSE),YES_Writing_ELA[#Headers],0)))),"")</f>
        <v/>
      </c>
      <c r="G178" s="138" t="str">
        <f>IFERROR(IF(IF(INDEX(_xlfn.VSTACK(YES_Writing_ELA[#Data],YES_Writing_FLA[#Data]),MATCH($A178,_xlfn.VSTACK(YES_Writing_ELA[Student Number],YES_Writing_FLA[Student Number]),0),MATCH(VLOOKUP(G$7,'Writing Logic'!$J$7:$K$11,2,FALSE)&amp;" - Per "&amp;VLOOKUP($C$4,'Writing Logic'!$G$8:$H$14,2,FALSE),YES_Writing_ELA[#Headers],0))=0,"",INDEX(_xlfn.VSTACK(YES_Writing_ELA[#Data],YES_Writing_FLA[#Data]),MATCH($A178,_xlfn.VSTACK(YES_Writing_ELA[Student Number],YES_Writing_FLA[Student Number]),0),MATCH(VLOOKUP(G$7,'Writing Logic'!$J$7:$K$11,2,FALSE)&amp;" - Per "&amp;VLOOKUP($C$4,'Writing Logic'!$G$8:$H$14,2,FALSE),YES_Writing_ELA[#Headers],0)))="INS",'Writing Logic'!$B$7,IF(INDEX(_xlfn.VSTACK(YES_Writing_ELA[#Data],YES_Writing_FLA[#Data]),MATCH($A178,_xlfn.VSTACK(YES_Writing_ELA[Student Number],YES_Writing_FLA[Student Number]),0),MATCH(VLOOKUP(G$7,'Writing Logic'!$J$7:$K$11,2,FALSE)&amp;" - Per "&amp;VLOOKUP($C$4,'Writing Logic'!$G$8:$H$14,2,FALSE),YES_Writing_ELA[#Headers],0))=0,"",INDEX(_xlfn.VSTACK(YES_Writing_ELA[#Data],YES_Writing_FLA[#Data]),MATCH($A178,_xlfn.VSTACK(YES_Writing_ELA[Student Number],YES_Writing_FLA[Student Number]),0),MATCH(VLOOKUP(G$7,'Writing Logic'!$J$7:$K$11,2,FALSE)&amp;" - Per "&amp;VLOOKUP($C$4,'Writing Logic'!$G$8:$H$14,2,FALSE),YES_Writing_ELA[#Headers],0)))),"")</f>
        <v/>
      </c>
      <c r="H178" s="138" t="str">
        <f>IFERROR(IF(IF(INDEX(_xlfn.VSTACK(YES_Writing_ELA[#Data],YES_Writing_FLA[#Data]),MATCH($A178,_xlfn.VSTACK(YES_Writing_ELA[Student Number],YES_Writing_FLA[Student Number]),0),MATCH(VLOOKUP(H$7,'Writing Logic'!$J$7:$K$11,2,FALSE)&amp;" - Per "&amp;VLOOKUP($C$4,'Writing Logic'!$G$8:$H$14,2,FALSE),YES_Writing_ELA[#Headers],0))=0,"",INDEX(_xlfn.VSTACK(YES_Writing_ELA[#Data],YES_Writing_FLA[#Data]),MATCH($A178,_xlfn.VSTACK(YES_Writing_ELA[Student Number],YES_Writing_FLA[Student Number]),0),MATCH(VLOOKUP(H$7,'Writing Logic'!$J$7:$K$11,2,FALSE)&amp;" - Per "&amp;VLOOKUP($C$4,'Writing Logic'!$G$8:$H$14,2,FALSE),YES_Writing_ELA[#Headers],0)))="INS",'Writing Logic'!$B$7,IF(INDEX(_xlfn.VSTACK(YES_Writing_ELA[#Data],YES_Writing_FLA[#Data]),MATCH($A178,_xlfn.VSTACK(YES_Writing_ELA[Student Number],YES_Writing_FLA[Student Number]),0),MATCH(VLOOKUP(H$7,'Writing Logic'!$J$7:$K$11,2,FALSE)&amp;" - Per "&amp;VLOOKUP($C$4,'Writing Logic'!$G$8:$H$14,2,FALSE),YES_Writing_ELA[#Headers],0))=0,"",INDEX(_xlfn.VSTACK(YES_Writing_ELA[#Data],YES_Writing_FLA[#Data]),MATCH($A178,_xlfn.VSTACK(YES_Writing_ELA[Student Number],YES_Writing_FLA[Student Number]),0),MATCH(VLOOKUP(H$7,'Writing Logic'!$J$7:$K$11,2,FALSE)&amp;" - Per "&amp;VLOOKUP($C$4,'Writing Logic'!$G$8:$H$14,2,FALSE),YES_Writing_ELA[#Headers],0)))),"")</f>
        <v/>
      </c>
    </row>
    <row r="179" spans="1:8" ht="14.25" customHeight="1" x14ac:dyDescent="0.25">
      <c r="A179" s="137"/>
      <c r="B179" s="137" t="str">
        <f>IFERROR(INDEX(_xlfn.VSTACK(YES_Writing_ELA[#Data], YES_Writing_FLA[#Data]),MATCH($A179,_xlfn.VSTACK(YES_Writing_ELA[Student Number], YES_Writing_FLA[Student Number]),0),MATCH(B$7,YES_Writing_ELA[#Headers],0)),"")</f>
        <v/>
      </c>
      <c r="C179" s="137" t="str">
        <f>IFERROR(INDEX(_xlfn.VSTACK(YES_Writing_ELA[#Data], YES_Writing_FLA[#Data]),MATCH($A179,_xlfn.VSTACK(YES_Writing_ELA[Student Number], YES_Writing_FLA[Student Number]),0),MATCH(C$7,YES_Writing_ELA[#Headers],0)),"")</f>
        <v/>
      </c>
      <c r="D179" s="138" t="str">
        <f>IFERROR(IF(IF(INDEX(_xlfn.VSTACK(YES_Writing_ELA[#Data],YES_Writing_FLA[#Data]),MATCH($A179,_xlfn.VSTACK(YES_Writing_ELA[Student Number],YES_Writing_FLA[Student Number]),0),MATCH(VLOOKUP(D$7,'Writing Logic'!$J$7:$K$11,2,FALSE)&amp;" - Per "&amp;VLOOKUP($C$4,'Writing Logic'!$G$8:$H$14,2,FALSE),YES_Writing_ELA[#Headers],0))=0,"",INDEX(_xlfn.VSTACK(YES_Writing_ELA[#Data],YES_Writing_FLA[#Data]),MATCH($A179,_xlfn.VSTACK(YES_Writing_ELA[Student Number],YES_Writing_FLA[Student Number]),0),MATCH(VLOOKUP(D$7,'Writing Logic'!$J$7:$K$11,2,FALSE)&amp;" - Per "&amp;VLOOKUP($C$4,'Writing Logic'!$G$8:$H$14,2,FALSE),YES_Writing_ELA[#Headers],0)))="INS",'Writing Logic'!$B$7,IF(INDEX(_xlfn.VSTACK(YES_Writing_ELA[#Data],YES_Writing_FLA[#Data]),MATCH($A179,_xlfn.VSTACK(YES_Writing_ELA[Student Number],YES_Writing_FLA[Student Number]),0),MATCH(VLOOKUP(D$7,'Writing Logic'!$J$7:$K$11,2,FALSE)&amp;" - Per "&amp;VLOOKUP($C$4,'Writing Logic'!$G$8:$H$14,2,FALSE),YES_Writing_ELA[#Headers],0))=0,"",INDEX(_xlfn.VSTACK(YES_Writing_ELA[#Data],YES_Writing_FLA[#Data]),MATCH($A179,_xlfn.VSTACK(YES_Writing_ELA[Student Number],YES_Writing_FLA[Student Number]),0),MATCH(VLOOKUP(D$7,'Writing Logic'!$J$7:$K$11,2,FALSE)&amp;" - Per "&amp;VLOOKUP($C$4,'Writing Logic'!$G$8:$H$14,2,FALSE),YES_Writing_ELA[#Headers],0)))),"")</f>
        <v/>
      </c>
      <c r="E179" s="138" t="str">
        <f>IFERROR(IF(IF(INDEX(_xlfn.VSTACK(YES_Writing_ELA[#Data],YES_Writing_FLA[#Data]),MATCH($A179,_xlfn.VSTACK(YES_Writing_ELA[Student Number],YES_Writing_FLA[Student Number]),0),MATCH(VLOOKUP(E$7,'Writing Logic'!$J$7:$K$11,2,FALSE)&amp;" - Per "&amp;VLOOKUP($C$4,'Writing Logic'!$G$8:$H$14,2,FALSE),YES_Writing_ELA[#Headers],0))=0,"",INDEX(_xlfn.VSTACK(YES_Writing_ELA[#Data],YES_Writing_FLA[#Data]),MATCH($A179,_xlfn.VSTACK(YES_Writing_ELA[Student Number],YES_Writing_FLA[Student Number]),0),MATCH(VLOOKUP(E$7,'Writing Logic'!$J$7:$K$11,2,FALSE)&amp;" - Per "&amp;VLOOKUP($C$4,'Writing Logic'!$G$8:$H$14,2,FALSE),YES_Writing_ELA[#Headers],0)))="INS",'Writing Logic'!$B$7,IF(INDEX(_xlfn.VSTACK(YES_Writing_ELA[#Data],YES_Writing_FLA[#Data]),MATCH($A179,_xlfn.VSTACK(YES_Writing_ELA[Student Number],YES_Writing_FLA[Student Number]),0),MATCH(VLOOKUP(E$7,'Writing Logic'!$J$7:$K$11,2,FALSE)&amp;" - Per "&amp;VLOOKUP($C$4,'Writing Logic'!$G$8:$H$14,2,FALSE),YES_Writing_ELA[#Headers],0))=0,"",INDEX(_xlfn.VSTACK(YES_Writing_ELA[#Data],YES_Writing_FLA[#Data]),MATCH($A179,_xlfn.VSTACK(YES_Writing_ELA[Student Number],YES_Writing_FLA[Student Number]),0),MATCH(VLOOKUP(E$7,'Writing Logic'!$J$7:$K$11,2,FALSE)&amp;" - Per "&amp;VLOOKUP($C$4,'Writing Logic'!$G$8:$H$14,2,FALSE),YES_Writing_ELA[#Headers],0)))),"")</f>
        <v/>
      </c>
      <c r="F179" s="138" t="str">
        <f>IFERROR(IF(IF(INDEX(_xlfn.VSTACK(YES_Writing_ELA[#Data],YES_Writing_FLA[#Data]),MATCH($A179,_xlfn.VSTACK(YES_Writing_ELA[Student Number],YES_Writing_FLA[Student Number]),0),MATCH(VLOOKUP(F$7,'Writing Logic'!$J$7:$K$11,2,FALSE)&amp;" - Per "&amp;VLOOKUP($C$4,'Writing Logic'!$G$8:$H$14,2,FALSE),YES_Writing_ELA[#Headers],0))=0,"",INDEX(_xlfn.VSTACK(YES_Writing_ELA[#Data],YES_Writing_FLA[#Data]),MATCH($A179,_xlfn.VSTACK(YES_Writing_ELA[Student Number],YES_Writing_FLA[Student Number]),0),MATCH(VLOOKUP(F$7,'Writing Logic'!$J$7:$K$11,2,FALSE)&amp;" - Per "&amp;VLOOKUP($C$4,'Writing Logic'!$G$8:$H$14,2,FALSE),YES_Writing_ELA[#Headers],0)))="INS",'Writing Logic'!$B$7,IF(INDEX(_xlfn.VSTACK(YES_Writing_ELA[#Data],YES_Writing_FLA[#Data]),MATCH($A179,_xlfn.VSTACK(YES_Writing_ELA[Student Number],YES_Writing_FLA[Student Number]),0),MATCH(VLOOKUP(F$7,'Writing Logic'!$J$7:$K$11,2,FALSE)&amp;" - Per "&amp;VLOOKUP($C$4,'Writing Logic'!$G$8:$H$14,2,FALSE),YES_Writing_ELA[#Headers],0))=0,"",INDEX(_xlfn.VSTACK(YES_Writing_ELA[#Data],YES_Writing_FLA[#Data]),MATCH($A179,_xlfn.VSTACK(YES_Writing_ELA[Student Number],YES_Writing_FLA[Student Number]),0),MATCH(VLOOKUP(F$7,'Writing Logic'!$J$7:$K$11,2,FALSE)&amp;" - Per "&amp;VLOOKUP($C$4,'Writing Logic'!$G$8:$H$14,2,FALSE),YES_Writing_ELA[#Headers],0)))),"")</f>
        <v/>
      </c>
      <c r="G179" s="138" t="str">
        <f>IFERROR(IF(IF(INDEX(_xlfn.VSTACK(YES_Writing_ELA[#Data],YES_Writing_FLA[#Data]),MATCH($A179,_xlfn.VSTACK(YES_Writing_ELA[Student Number],YES_Writing_FLA[Student Number]),0),MATCH(VLOOKUP(G$7,'Writing Logic'!$J$7:$K$11,2,FALSE)&amp;" - Per "&amp;VLOOKUP($C$4,'Writing Logic'!$G$8:$H$14,2,FALSE),YES_Writing_ELA[#Headers],0))=0,"",INDEX(_xlfn.VSTACK(YES_Writing_ELA[#Data],YES_Writing_FLA[#Data]),MATCH($A179,_xlfn.VSTACK(YES_Writing_ELA[Student Number],YES_Writing_FLA[Student Number]),0),MATCH(VLOOKUP(G$7,'Writing Logic'!$J$7:$K$11,2,FALSE)&amp;" - Per "&amp;VLOOKUP($C$4,'Writing Logic'!$G$8:$H$14,2,FALSE),YES_Writing_ELA[#Headers],0)))="INS",'Writing Logic'!$B$7,IF(INDEX(_xlfn.VSTACK(YES_Writing_ELA[#Data],YES_Writing_FLA[#Data]),MATCH($A179,_xlfn.VSTACK(YES_Writing_ELA[Student Number],YES_Writing_FLA[Student Number]),0),MATCH(VLOOKUP(G$7,'Writing Logic'!$J$7:$K$11,2,FALSE)&amp;" - Per "&amp;VLOOKUP($C$4,'Writing Logic'!$G$8:$H$14,2,FALSE),YES_Writing_ELA[#Headers],0))=0,"",INDEX(_xlfn.VSTACK(YES_Writing_ELA[#Data],YES_Writing_FLA[#Data]),MATCH($A179,_xlfn.VSTACK(YES_Writing_ELA[Student Number],YES_Writing_FLA[Student Number]),0),MATCH(VLOOKUP(G$7,'Writing Logic'!$J$7:$K$11,2,FALSE)&amp;" - Per "&amp;VLOOKUP($C$4,'Writing Logic'!$G$8:$H$14,2,FALSE),YES_Writing_ELA[#Headers],0)))),"")</f>
        <v/>
      </c>
      <c r="H179" s="138" t="str">
        <f>IFERROR(IF(IF(INDEX(_xlfn.VSTACK(YES_Writing_ELA[#Data],YES_Writing_FLA[#Data]),MATCH($A179,_xlfn.VSTACK(YES_Writing_ELA[Student Number],YES_Writing_FLA[Student Number]),0),MATCH(VLOOKUP(H$7,'Writing Logic'!$J$7:$K$11,2,FALSE)&amp;" - Per "&amp;VLOOKUP($C$4,'Writing Logic'!$G$8:$H$14,2,FALSE),YES_Writing_ELA[#Headers],0))=0,"",INDEX(_xlfn.VSTACK(YES_Writing_ELA[#Data],YES_Writing_FLA[#Data]),MATCH($A179,_xlfn.VSTACK(YES_Writing_ELA[Student Number],YES_Writing_FLA[Student Number]),0),MATCH(VLOOKUP(H$7,'Writing Logic'!$J$7:$K$11,2,FALSE)&amp;" - Per "&amp;VLOOKUP($C$4,'Writing Logic'!$G$8:$H$14,2,FALSE),YES_Writing_ELA[#Headers],0)))="INS",'Writing Logic'!$B$7,IF(INDEX(_xlfn.VSTACK(YES_Writing_ELA[#Data],YES_Writing_FLA[#Data]),MATCH($A179,_xlfn.VSTACK(YES_Writing_ELA[Student Number],YES_Writing_FLA[Student Number]),0),MATCH(VLOOKUP(H$7,'Writing Logic'!$J$7:$K$11,2,FALSE)&amp;" - Per "&amp;VLOOKUP($C$4,'Writing Logic'!$G$8:$H$14,2,FALSE),YES_Writing_ELA[#Headers],0))=0,"",INDEX(_xlfn.VSTACK(YES_Writing_ELA[#Data],YES_Writing_FLA[#Data]),MATCH($A179,_xlfn.VSTACK(YES_Writing_ELA[Student Number],YES_Writing_FLA[Student Number]),0),MATCH(VLOOKUP(H$7,'Writing Logic'!$J$7:$K$11,2,FALSE)&amp;" - Per "&amp;VLOOKUP($C$4,'Writing Logic'!$G$8:$H$14,2,FALSE),YES_Writing_ELA[#Headers],0)))),"")</f>
        <v/>
      </c>
    </row>
    <row r="180" spans="1:8" ht="14.25" customHeight="1" x14ac:dyDescent="0.25">
      <c r="A180" s="137"/>
      <c r="B180" s="137" t="str">
        <f>IFERROR(INDEX(_xlfn.VSTACK(YES_Writing_ELA[#Data], YES_Writing_FLA[#Data]),MATCH($A180,_xlfn.VSTACK(YES_Writing_ELA[Student Number], YES_Writing_FLA[Student Number]),0),MATCH(B$7,YES_Writing_ELA[#Headers],0)),"")</f>
        <v/>
      </c>
      <c r="C180" s="137" t="str">
        <f>IFERROR(INDEX(_xlfn.VSTACK(YES_Writing_ELA[#Data], YES_Writing_FLA[#Data]),MATCH($A180,_xlfn.VSTACK(YES_Writing_ELA[Student Number], YES_Writing_FLA[Student Number]),0),MATCH(C$7,YES_Writing_ELA[#Headers],0)),"")</f>
        <v/>
      </c>
      <c r="D180" s="138" t="str">
        <f>IFERROR(IF(IF(INDEX(_xlfn.VSTACK(YES_Writing_ELA[#Data],YES_Writing_FLA[#Data]),MATCH($A180,_xlfn.VSTACK(YES_Writing_ELA[Student Number],YES_Writing_FLA[Student Number]),0),MATCH(VLOOKUP(D$7,'Writing Logic'!$J$7:$K$11,2,FALSE)&amp;" - Per "&amp;VLOOKUP($C$4,'Writing Logic'!$G$8:$H$14,2,FALSE),YES_Writing_ELA[#Headers],0))=0,"",INDEX(_xlfn.VSTACK(YES_Writing_ELA[#Data],YES_Writing_FLA[#Data]),MATCH($A180,_xlfn.VSTACK(YES_Writing_ELA[Student Number],YES_Writing_FLA[Student Number]),0),MATCH(VLOOKUP(D$7,'Writing Logic'!$J$7:$K$11,2,FALSE)&amp;" - Per "&amp;VLOOKUP($C$4,'Writing Logic'!$G$8:$H$14,2,FALSE),YES_Writing_ELA[#Headers],0)))="INS",'Writing Logic'!$B$7,IF(INDEX(_xlfn.VSTACK(YES_Writing_ELA[#Data],YES_Writing_FLA[#Data]),MATCH($A180,_xlfn.VSTACK(YES_Writing_ELA[Student Number],YES_Writing_FLA[Student Number]),0),MATCH(VLOOKUP(D$7,'Writing Logic'!$J$7:$K$11,2,FALSE)&amp;" - Per "&amp;VLOOKUP($C$4,'Writing Logic'!$G$8:$H$14,2,FALSE),YES_Writing_ELA[#Headers],0))=0,"",INDEX(_xlfn.VSTACK(YES_Writing_ELA[#Data],YES_Writing_FLA[#Data]),MATCH($A180,_xlfn.VSTACK(YES_Writing_ELA[Student Number],YES_Writing_FLA[Student Number]),0),MATCH(VLOOKUP(D$7,'Writing Logic'!$J$7:$K$11,2,FALSE)&amp;" - Per "&amp;VLOOKUP($C$4,'Writing Logic'!$G$8:$H$14,2,FALSE),YES_Writing_ELA[#Headers],0)))),"")</f>
        <v/>
      </c>
      <c r="E180" s="138" t="str">
        <f>IFERROR(IF(IF(INDEX(_xlfn.VSTACK(YES_Writing_ELA[#Data],YES_Writing_FLA[#Data]),MATCH($A180,_xlfn.VSTACK(YES_Writing_ELA[Student Number],YES_Writing_FLA[Student Number]),0),MATCH(VLOOKUP(E$7,'Writing Logic'!$J$7:$K$11,2,FALSE)&amp;" - Per "&amp;VLOOKUP($C$4,'Writing Logic'!$G$8:$H$14,2,FALSE),YES_Writing_ELA[#Headers],0))=0,"",INDEX(_xlfn.VSTACK(YES_Writing_ELA[#Data],YES_Writing_FLA[#Data]),MATCH($A180,_xlfn.VSTACK(YES_Writing_ELA[Student Number],YES_Writing_FLA[Student Number]),0),MATCH(VLOOKUP(E$7,'Writing Logic'!$J$7:$K$11,2,FALSE)&amp;" - Per "&amp;VLOOKUP($C$4,'Writing Logic'!$G$8:$H$14,2,FALSE),YES_Writing_ELA[#Headers],0)))="INS",'Writing Logic'!$B$7,IF(INDEX(_xlfn.VSTACK(YES_Writing_ELA[#Data],YES_Writing_FLA[#Data]),MATCH($A180,_xlfn.VSTACK(YES_Writing_ELA[Student Number],YES_Writing_FLA[Student Number]),0),MATCH(VLOOKUP(E$7,'Writing Logic'!$J$7:$K$11,2,FALSE)&amp;" - Per "&amp;VLOOKUP($C$4,'Writing Logic'!$G$8:$H$14,2,FALSE),YES_Writing_ELA[#Headers],0))=0,"",INDEX(_xlfn.VSTACK(YES_Writing_ELA[#Data],YES_Writing_FLA[#Data]),MATCH($A180,_xlfn.VSTACK(YES_Writing_ELA[Student Number],YES_Writing_FLA[Student Number]),0),MATCH(VLOOKUP(E$7,'Writing Logic'!$J$7:$K$11,2,FALSE)&amp;" - Per "&amp;VLOOKUP($C$4,'Writing Logic'!$G$8:$H$14,2,FALSE),YES_Writing_ELA[#Headers],0)))),"")</f>
        <v/>
      </c>
      <c r="F180" s="138" t="str">
        <f>IFERROR(IF(IF(INDEX(_xlfn.VSTACK(YES_Writing_ELA[#Data],YES_Writing_FLA[#Data]),MATCH($A180,_xlfn.VSTACK(YES_Writing_ELA[Student Number],YES_Writing_FLA[Student Number]),0),MATCH(VLOOKUP(F$7,'Writing Logic'!$J$7:$K$11,2,FALSE)&amp;" - Per "&amp;VLOOKUP($C$4,'Writing Logic'!$G$8:$H$14,2,FALSE),YES_Writing_ELA[#Headers],0))=0,"",INDEX(_xlfn.VSTACK(YES_Writing_ELA[#Data],YES_Writing_FLA[#Data]),MATCH($A180,_xlfn.VSTACK(YES_Writing_ELA[Student Number],YES_Writing_FLA[Student Number]),0),MATCH(VLOOKUP(F$7,'Writing Logic'!$J$7:$K$11,2,FALSE)&amp;" - Per "&amp;VLOOKUP($C$4,'Writing Logic'!$G$8:$H$14,2,FALSE),YES_Writing_ELA[#Headers],0)))="INS",'Writing Logic'!$B$7,IF(INDEX(_xlfn.VSTACK(YES_Writing_ELA[#Data],YES_Writing_FLA[#Data]),MATCH($A180,_xlfn.VSTACK(YES_Writing_ELA[Student Number],YES_Writing_FLA[Student Number]),0),MATCH(VLOOKUP(F$7,'Writing Logic'!$J$7:$K$11,2,FALSE)&amp;" - Per "&amp;VLOOKUP($C$4,'Writing Logic'!$G$8:$H$14,2,FALSE),YES_Writing_ELA[#Headers],0))=0,"",INDEX(_xlfn.VSTACK(YES_Writing_ELA[#Data],YES_Writing_FLA[#Data]),MATCH($A180,_xlfn.VSTACK(YES_Writing_ELA[Student Number],YES_Writing_FLA[Student Number]),0),MATCH(VLOOKUP(F$7,'Writing Logic'!$J$7:$K$11,2,FALSE)&amp;" - Per "&amp;VLOOKUP($C$4,'Writing Logic'!$G$8:$H$14,2,FALSE),YES_Writing_ELA[#Headers],0)))),"")</f>
        <v/>
      </c>
      <c r="G180" s="138" t="str">
        <f>IFERROR(IF(IF(INDEX(_xlfn.VSTACK(YES_Writing_ELA[#Data],YES_Writing_FLA[#Data]),MATCH($A180,_xlfn.VSTACK(YES_Writing_ELA[Student Number],YES_Writing_FLA[Student Number]),0),MATCH(VLOOKUP(G$7,'Writing Logic'!$J$7:$K$11,2,FALSE)&amp;" - Per "&amp;VLOOKUP($C$4,'Writing Logic'!$G$8:$H$14,2,FALSE),YES_Writing_ELA[#Headers],0))=0,"",INDEX(_xlfn.VSTACK(YES_Writing_ELA[#Data],YES_Writing_FLA[#Data]),MATCH($A180,_xlfn.VSTACK(YES_Writing_ELA[Student Number],YES_Writing_FLA[Student Number]),0),MATCH(VLOOKUP(G$7,'Writing Logic'!$J$7:$K$11,2,FALSE)&amp;" - Per "&amp;VLOOKUP($C$4,'Writing Logic'!$G$8:$H$14,2,FALSE),YES_Writing_ELA[#Headers],0)))="INS",'Writing Logic'!$B$7,IF(INDEX(_xlfn.VSTACK(YES_Writing_ELA[#Data],YES_Writing_FLA[#Data]),MATCH($A180,_xlfn.VSTACK(YES_Writing_ELA[Student Number],YES_Writing_FLA[Student Number]),0),MATCH(VLOOKUP(G$7,'Writing Logic'!$J$7:$K$11,2,FALSE)&amp;" - Per "&amp;VLOOKUP($C$4,'Writing Logic'!$G$8:$H$14,2,FALSE),YES_Writing_ELA[#Headers],0))=0,"",INDEX(_xlfn.VSTACK(YES_Writing_ELA[#Data],YES_Writing_FLA[#Data]),MATCH($A180,_xlfn.VSTACK(YES_Writing_ELA[Student Number],YES_Writing_FLA[Student Number]),0),MATCH(VLOOKUP(G$7,'Writing Logic'!$J$7:$K$11,2,FALSE)&amp;" - Per "&amp;VLOOKUP($C$4,'Writing Logic'!$G$8:$H$14,2,FALSE),YES_Writing_ELA[#Headers],0)))),"")</f>
        <v/>
      </c>
      <c r="H180" s="138" t="str">
        <f>IFERROR(IF(IF(INDEX(_xlfn.VSTACK(YES_Writing_ELA[#Data],YES_Writing_FLA[#Data]),MATCH($A180,_xlfn.VSTACK(YES_Writing_ELA[Student Number],YES_Writing_FLA[Student Number]),0),MATCH(VLOOKUP(H$7,'Writing Logic'!$J$7:$K$11,2,FALSE)&amp;" - Per "&amp;VLOOKUP($C$4,'Writing Logic'!$G$8:$H$14,2,FALSE),YES_Writing_ELA[#Headers],0))=0,"",INDEX(_xlfn.VSTACK(YES_Writing_ELA[#Data],YES_Writing_FLA[#Data]),MATCH($A180,_xlfn.VSTACK(YES_Writing_ELA[Student Number],YES_Writing_FLA[Student Number]),0),MATCH(VLOOKUP(H$7,'Writing Logic'!$J$7:$K$11,2,FALSE)&amp;" - Per "&amp;VLOOKUP($C$4,'Writing Logic'!$G$8:$H$14,2,FALSE),YES_Writing_ELA[#Headers],0)))="INS",'Writing Logic'!$B$7,IF(INDEX(_xlfn.VSTACK(YES_Writing_ELA[#Data],YES_Writing_FLA[#Data]),MATCH($A180,_xlfn.VSTACK(YES_Writing_ELA[Student Number],YES_Writing_FLA[Student Number]),0),MATCH(VLOOKUP(H$7,'Writing Logic'!$J$7:$K$11,2,FALSE)&amp;" - Per "&amp;VLOOKUP($C$4,'Writing Logic'!$G$8:$H$14,2,FALSE),YES_Writing_ELA[#Headers],0))=0,"",INDEX(_xlfn.VSTACK(YES_Writing_ELA[#Data],YES_Writing_FLA[#Data]),MATCH($A180,_xlfn.VSTACK(YES_Writing_ELA[Student Number],YES_Writing_FLA[Student Number]),0),MATCH(VLOOKUP(H$7,'Writing Logic'!$J$7:$K$11,2,FALSE)&amp;" - Per "&amp;VLOOKUP($C$4,'Writing Logic'!$G$8:$H$14,2,FALSE),YES_Writing_ELA[#Headers],0)))),"")</f>
        <v/>
      </c>
    </row>
    <row r="181" spans="1:8" ht="14.25" customHeight="1" x14ac:dyDescent="0.25">
      <c r="A181" s="137"/>
      <c r="B181" s="137" t="str">
        <f>IFERROR(INDEX(_xlfn.VSTACK(YES_Writing_ELA[#Data], YES_Writing_FLA[#Data]),MATCH($A181,_xlfn.VSTACK(YES_Writing_ELA[Student Number], YES_Writing_FLA[Student Number]),0),MATCH(B$7,YES_Writing_ELA[#Headers],0)),"")</f>
        <v/>
      </c>
      <c r="C181" s="137" t="str">
        <f>IFERROR(INDEX(_xlfn.VSTACK(YES_Writing_ELA[#Data], YES_Writing_FLA[#Data]),MATCH($A181,_xlfn.VSTACK(YES_Writing_ELA[Student Number], YES_Writing_FLA[Student Number]),0),MATCH(C$7,YES_Writing_ELA[#Headers],0)),"")</f>
        <v/>
      </c>
      <c r="D181" s="138" t="str">
        <f>IFERROR(IF(IF(INDEX(_xlfn.VSTACK(YES_Writing_ELA[#Data],YES_Writing_FLA[#Data]),MATCH($A181,_xlfn.VSTACK(YES_Writing_ELA[Student Number],YES_Writing_FLA[Student Number]),0),MATCH(VLOOKUP(D$7,'Writing Logic'!$J$7:$K$11,2,FALSE)&amp;" - Per "&amp;VLOOKUP($C$4,'Writing Logic'!$G$8:$H$14,2,FALSE),YES_Writing_ELA[#Headers],0))=0,"",INDEX(_xlfn.VSTACK(YES_Writing_ELA[#Data],YES_Writing_FLA[#Data]),MATCH($A181,_xlfn.VSTACK(YES_Writing_ELA[Student Number],YES_Writing_FLA[Student Number]),0),MATCH(VLOOKUP(D$7,'Writing Logic'!$J$7:$K$11,2,FALSE)&amp;" - Per "&amp;VLOOKUP($C$4,'Writing Logic'!$G$8:$H$14,2,FALSE),YES_Writing_ELA[#Headers],0)))="INS",'Writing Logic'!$B$7,IF(INDEX(_xlfn.VSTACK(YES_Writing_ELA[#Data],YES_Writing_FLA[#Data]),MATCH($A181,_xlfn.VSTACK(YES_Writing_ELA[Student Number],YES_Writing_FLA[Student Number]),0),MATCH(VLOOKUP(D$7,'Writing Logic'!$J$7:$K$11,2,FALSE)&amp;" - Per "&amp;VLOOKUP($C$4,'Writing Logic'!$G$8:$H$14,2,FALSE),YES_Writing_ELA[#Headers],0))=0,"",INDEX(_xlfn.VSTACK(YES_Writing_ELA[#Data],YES_Writing_FLA[#Data]),MATCH($A181,_xlfn.VSTACK(YES_Writing_ELA[Student Number],YES_Writing_FLA[Student Number]),0),MATCH(VLOOKUP(D$7,'Writing Logic'!$J$7:$K$11,2,FALSE)&amp;" - Per "&amp;VLOOKUP($C$4,'Writing Logic'!$G$8:$H$14,2,FALSE),YES_Writing_ELA[#Headers],0)))),"")</f>
        <v/>
      </c>
      <c r="E181" s="138" t="str">
        <f>IFERROR(IF(IF(INDEX(_xlfn.VSTACK(YES_Writing_ELA[#Data],YES_Writing_FLA[#Data]),MATCH($A181,_xlfn.VSTACK(YES_Writing_ELA[Student Number],YES_Writing_FLA[Student Number]),0),MATCH(VLOOKUP(E$7,'Writing Logic'!$J$7:$K$11,2,FALSE)&amp;" - Per "&amp;VLOOKUP($C$4,'Writing Logic'!$G$8:$H$14,2,FALSE),YES_Writing_ELA[#Headers],0))=0,"",INDEX(_xlfn.VSTACK(YES_Writing_ELA[#Data],YES_Writing_FLA[#Data]),MATCH($A181,_xlfn.VSTACK(YES_Writing_ELA[Student Number],YES_Writing_FLA[Student Number]),0),MATCH(VLOOKUP(E$7,'Writing Logic'!$J$7:$K$11,2,FALSE)&amp;" - Per "&amp;VLOOKUP($C$4,'Writing Logic'!$G$8:$H$14,2,FALSE),YES_Writing_ELA[#Headers],0)))="INS",'Writing Logic'!$B$7,IF(INDEX(_xlfn.VSTACK(YES_Writing_ELA[#Data],YES_Writing_FLA[#Data]),MATCH($A181,_xlfn.VSTACK(YES_Writing_ELA[Student Number],YES_Writing_FLA[Student Number]),0),MATCH(VLOOKUP(E$7,'Writing Logic'!$J$7:$K$11,2,FALSE)&amp;" - Per "&amp;VLOOKUP($C$4,'Writing Logic'!$G$8:$H$14,2,FALSE),YES_Writing_ELA[#Headers],0))=0,"",INDEX(_xlfn.VSTACK(YES_Writing_ELA[#Data],YES_Writing_FLA[#Data]),MATCH($A181,_xlfn.VSTACK(YES_Writing_ELA[Student Number],YES_Writing_FLA[Student Number]),0),MATCH(VLOOKUP(E$7,'Writing Logic'!$J$7:$K$11,2,FALSE)&amp;" - Per "&amp;VLOOKUP($C$4,'Writing Logic'!$G$8:$H$14,2,FALSE),YES_Writing_ELA[#Headers],0)))),"")</f>
        <v/>
      </c>
      <c r="F181" s="138" t="str">
        <f>IFERROR(IF(IF(INDEX(_xlfn.VSTACK(YES_Writing_ELA[#Data],YES_Writing_FLA[#Data]),MATCH($A181,_xlfn.VSTACK(YES_Writing_ELA[Student Number],YES_Writing_FLA[Student Number]),0),MATCH(VLOOKUP(F$7,'Writing Logic'!$J$7:$K$11,2,FALSE)&amp;" - Per "&amp;VLOOKUP($C$4,'Writing Logic'!$G$8:$H$14,2,FALSE),YES_Writing_ELA[#Headers],0))=0,"",INDEX(_xlfn.VSTACK(YES_Writing_ELA[#Data],YES_Writing_FLA[#Data]),MATCH($A181,_xlfn.VSTACK(YES_Writing_ELA[Student Number],YES_Writing_FLA[Student Number]),0),MATCH(VLOOKUP(F$7,'Writing Logic'!$J$7:$K$11,2,FALSE)&amp;" - Per "&amp;VLOOKUP($C$4,'Writing Logic'!$G$8:$H$14,2,FALSE),YES_Writing_ELA[#Headers],0)))="INS",'Writing Logic'!$B$7,IF(INDEX(_xlfn.VSTACK(YES_Writing_ELA[#Data],YES_Writing_FLA[#Data]),MATCH($A181,_xlfn.VSTACK(YES_Writing_ELA[Student Number],YES_Writing_FLA[Student Number]),0),MATCH(VLOOKUP(F$7,'Writing Logic'!$J$7:$K$11,2,FALSE)&amp;" - Per "&amp;VLOOKUP($C$4,'Writing Logic'!$G$8:$H$14,2,FALSE),YES_Writing_ELA[#Headers],0))=0,"",INDEX(_xlfn.VSTACK(YES_Writing_ELA[#Data],YES_Writing_FLA[#Data]),MATCH($A181,_xlfn.VSTACK(YES_Writing_ELA[Student Number],YES_Writing_FLA[Student Number]),0),MATCH(VLOOKUP(F$7,'Writing Logic'!$J$7:$K$11,2,FALSE)&amp;" - Per "&amp;VLOOKUP($C$4,'Writing Logic'!$G$8:$H$14,2,FALSE),YES_Writing_ELA[#Headers],0)))),"")</f>
        <v/>
      </c>
      <c r="G181" s="138" t="str">
        <f>IFERROR(IF(IF(INDEX(_xlfn.VSTACK(YES_Writing_ELA[#Data],YES_Writing_FLA[#Data]),MATCH($A181,_xlfn.VSTACK(YES_Writing_ELA[Student Number],YES_Writing_FLA[Student Number]),0),MATCH(VLOOKUP(G$7,'Writing Logic'!$J$7:$K$11,2,FALSE)&amp;" - Per "&amp;VLOOKUP($C$4,'Writing Logic'!$G$8:$H$14,2,FALSE),YES_Writing_ELA[#Headers],0))=0,"",INDEX(_xlfn.VSTACK(YES_Writing_ELA[#Data],YES_Writing_FLA[#Data]),MATCH($A181,_xlfn.VSTACK(YES_Writing_ELA[Student Number],YES_Writing_FLA[Student Number]),0),MATCH(VLOOKUP(G$7,'Writing Logic'!$J$7:$K$11,2,FALSE)&amp;" - Per "&amp;VLOOKUP($C$4,'Writing Logic'!$G$8:$H$14,2,FALSE),YES_Writing_ELA[#Headers],0)))="INS",'Writing Logic'!$B$7,IF(INDEX(_xlfn.VSTACK(YES_Writing_ELA[#Data],YES_Writing_FLA[#Data]),MATCH($A181,_xlfn.VSTACK(YES_Writing_ELA[Student Number],YES_Writing_FLA[Student Number]),0),MATCH(VLOOKUP(G$7,'Writing Logic'!$J$7:$K$11,2,FALSE)&amp;" - Per "&amp;VLOOKUP($C$4,'Writing Logic'!$G$8:$H$14,2,FALSE),YES_Writing_ELA[#Headers],0))=0,"",INDEX(_xlfn.VSTACK(YES_Writing_ELA[#Data],YES_Writing_FLA[#Data]),MATCH($A181,_xlfn.VSTACK(YES_Writing_ELA[Student Number],YES_Writing_FLA[Student Number]),0),MATCH(VLOOKUP(G$7,'Writing Logic'!$J$7:$K$11,2,FALSE)&amp;" - Per "&amp;VLOOKUP($C$4,'Writing Logic'!$G$8:$H$14,2,FALSE),YES_Writing_ELA[#Headers],0)))),"")</f>
        <v/>
      </c>
      <c r="H181" s="138" t="str">
        <f>IFERROR(IF(IF(INDEX(_xlfn.VSTACK(YES_Writing_ELA[#Data],YES_Writing_FLA[#Data]),MATCH($A181,_xlfn.VSTACK(YES_Writing_ELA[Student Number],YES_Writing_FLA[Student Number]),0),MATCH(VLOOKUP(H$7,'Writing Logic'!$J$7:$K$11,2,FALSE)&amp;" - Per "&amp;VLOOKUP($C$4,'Writing Logic'!$G$8:$H$14,2,FALSE),YES_Writing_ELA[#Headers],0))=0,"",INDEX(_xlfn.VSTACK(YES_Writing_ELA[#Data],YES_Writing_FLA[#Data]),MATCH($A181,_xlfn.VSTACK(YES_Writing_ELA[Student Number],YES_Writing_FLA[Student Number]),0),MATCH(VLOOKUP(H$7,'Writing Logic'!$J$7:$K$11,2,FALSE)&amp;" - Per "&amp;VLOOKUP($C$4,'Writing Logic'!$G$8:$H$14,2,FALSE),YES_Writing_ELA[#Headers],0)))="INS",'Writing Logic'!$B$7,IF(INDEX(_xlfn.VSTACK(YES_Writing_ELA[#Data],YES_Writing_FLA[#Data]),MATCH($A181,_xlfn.VSTACK(YES_Writing_ELA[Student Number],YES_Writing_FLA[Student Number]),0),MATCH(VLOOKUP(H$7,'Writing Logic'!$J$7:$K$11,2,FALSE)&amp;" - Per "&amp;VLOOKUP($C$4,'Writing Logic'!$G$8:$H$14,2,FALSE),YES_Writing_ELA[#Headers],0))=0,"",INDEX(_xlfn.VSTACK(YES_Writing_ELA[#Data],YES_Writing_FLA[#Data]),MATCH($A181,_xlfn.VSTACK(YES_Writing_ELA[Student Number],YES_Writing_FLA[Student Number]),0),MATCH(VLOOKUP(H$7,'Writing Logic'!$J$7:$K$11,2,FALSE)&amp;" - Per "&amp;VLOOKUP($C$4,'Writing Logic'!$G$8:$H$14,2,FALSE),YES_Writing_ELA[#Headers],0)))),"")</f>
        <v/>
      </c>
    </row>
    <row r="182" spans="1:8" ht="14.25" customHeight="1" x14ac:dyDescent="0.25">
      <c r="A182" s="137"/>
      <c r="B182" s="137" t="str">
        <f>IFERROR(INDEX(_xlfn.VSTACK(YES_Writing_ELA[#Data], YES_Writing_FLA[#Data]),MATCH($A182,_xlfn.VSTACK(YES_Writing_ELA[Student Number], YES_Writing_FLA[Student Number]),0),MATCH(B$7,YES_Writing_ELA[#Headers],0)),"")</f>
        <v/>
      </c>
      <c r="C182" s="137" t="str">
        <f>IFERROR(INDEX(_xlfn.VSTACK(YES_Writing_ELA[#Data], YES_Writing_FLA[#Data]),MATCH($A182,_xlfn.VSTACK(YES_Writing_ELA[Student Number], YES_Writing_FLA[Student Number]),0),MATCH(C$7,YES_Writing_ELA[#Headers],0)),"")</f>
        <v/>
      </c>
      <c r="D182" s="138" t="str">
        <f>IFERROR(IF(IF(INDEX(_xlfn.VSTACK(YES_Writing_ELA[#Data],YES_Writing_FLA[#Data]),MATCH($A182,_xlfn.VSTACK(YES_Writing_ELA[Student Number],YES_Writing_FLA[Student Number]),0),MATCH(VLOOKUP(D$7,'Writing Logic'!$J$7:$K$11,2,FALSE)&amp;" - Per "&amp;VLOOKUP($C$4,'Writing Logic'!$G$8:$H$14,2,FALSE),YES_Writing_ELA[#Headers],0))=0,"",INDEX(_xlfn.VSTACK(YES_Writing_ELA[#Data],YES_Writing_FLA[#Data]),MATCH($A182,_xlfn.VSTACK(YES_Writing_ELA[Student Number],YES_Writing_FLA[Student Number]),0),MATCH(VLOOKUP(D$7,'Writing Logic'!$J$7:$K$11,2,FALSE)&amp;" - Per "&amp;VLOOKUP($C$4,'Writing Logic'!$G$8:$H$14,2,FALSE),YES_Writing_ELA[#Headers],0)))="INS",'Writing Logic'!$B$7,IF(INDEX(_xlfn.VSTACK(YES_Writing_ELA[#Data],YES_Writing_FLA[#Data]),MATCH($A182,_xlfn.VSTACK(YES_Writing_ELA[Student Number],YES_Writing_FLA[Student Number]),0),MATCH(VLOOKUP(D$7,'Writing Logic'!$J$7:$K$11,2,FALSE)&amp;" - Per "&amp;VLOOKUP($C$4,'Writing Logic'!$G$8:$H$14,2,FALSE),YES_Writing_ELA[#Headers],0))=0,"",INDEX(_xlfn.VSTACK(YES_Writing_ELA[#Data],YES_Writing_FLA[#Data]),MATCH($A182,_xlfn.VSTACK(YES_Writing_ELA[Student Number],YES_Writing_FLA[Student Number]),0),MATCH(VLOOKUP(D$7,'Writing Logic'!$J$7:$K$11,2,FALSE)&amp;" - Per "&amp;VLOOKUP($C$4,'Writing Logic'!$G$8:$H$14,2,FALSE),YES_Writing_ELA[#Headers],0)))),"")</f>
        <v/>
      </c>
      <c r="E182" s="138" t="str">
        <f>IFERROR(IF(IF(INDEX(_xlfn.VSTACK(YES_Writing_ELA[#Data],YES_Writing_FLA[#Data]),MATCH($A182,_xlfn.VSTACK(YES_Writing_ELA[Student Number],YES_Writing_FLA[Student Number]),0),MATCH(VLOOKUP(E$7,'Writing Logic'!$J$7:$K$11,2,FALSE)&amp;" - Per "&amp;VLOOKUP($C$4,'Writing Logic'!$G$8:$H$14,2,FALSE),YES_Writing_ELA[#Headers],0))=0,"",INDEX(_xlfn.VSTACK(YES_Writing_ELA[#Data],YES_Writing_FLA[#Data]),MATCH($A182,_xlfn.VSTACK(YES_Writing_ELA[Student Number],YES_Writing_FLA[Student Number]),0),MATCH(VLOOKUP(E$7,'Writing Logic'!$J$7:$K$11,2,FALSE)&amp;" - Per "&amp;VLOOKUP($C$4,'Writing Logic'!$G$8:$H$14,2,FALSE),YES_Writing_ELA[#Headers],0)))="INS",'Writing Logic'!$B$7,IF(INDEX(_xlfn.VSTACK(YES_Writing_ELA[#Data],YES_Writing_FLA[#Data]),MATCH($A182,_xlfn.VSTACK(YES_Writing_ELA[Student Number],YES_Writing_FLA[Student Number]),0),MATCH(VLOOKUP(E$7,'Writing Logic'!$J$7:$K$11,2,FALSE)&amp;" - Per "&amp;VLOOKUP($C$4,'Writing Logic'!$G$8:$H$14,2,FALSE),YES_Writing_ELA[#Headers],0))=0,"",INDEX(_xlfn.VSTACK(YES_Writing_ELA[#Data],YES_Writing_FLA[#Data]),MATCH($A182,_xlfn.VSTACK(YES_Writing_ELA[Student Number],YES_Writing_FLA[Student Number]),0),MATCH(VLOOKUP(E$7,'Writing Logic'!$J$7:$K$11,2,FALSE)&amp;" - Per "&amp;VLOOKUP($C$4,'Writing Logic'!$G$8:$H$14,2,FALSE),YES_Writing_ELA[#Headers],0)))),"")</f>
        <v/>
      </c>
      <c r="F182" s="138" t="str">
        <f>IFERROR(IF(IF(INDEX(_xlfn.VSTACK(YES_Writing_ELA[#Data],YES_Writing_FLA[#Data]),MATCH($A182,_xlfn.VSTACK(YES_Writing_ELA[Student Number],YES_Writing_FLA[Student Number]),0),MATCH(VLOOKUP(F$7,'Writing Logic'!$J$7:$K$11,2,FALSE)&amp;" - Per "&amp;VLOOKUP($C$4,'Writing Logic'!$G$8:$H$14,2,FALSE),YES_Writing_ELA[#Headers],0))=0,"",INDEX(_xlfn.VSTACK(YES_Writing_ELA[#Data],YES_Writing_FLA[#Data]),MATCH($A182,_xlfn.VSTACK(YES_Writing_ELA[Student Number],YES_Writing_FLA[Student Number]),0),MATCH(VLOOKUP(F$7,'Writing Logic'!$J$7:$K$11,2,FALSE)&amp;" - Per "&amp;VLOOKUP($C$4,'Writing Logic'!$G$8:$H$14,2,FALSE),YES_Writing_ELA[#Headers],0)))="INS",'Writing Logic'!$B$7,IF(INDEX(_xlfn.VSTACK(YES_Writing_ELA[#Data],YES_Writing_FLA[#Data]),MATCH($A182,_xlfn.VSTACK(YES_Writing_ELA[Student Number],YES_Writing_FLA[Student Number]),0),MATCH(VLOOKUP(F$7,'Writing Logic'!$J$7:$K$11,2,FALSE)&amp;" - Per "&amp;VLOOKUP($C$4,'Writing Logic'!$G$8:$H$14,2,FALSE),YES_Writing_ELA[#Headers],0))=0,"",INDEX(_xlfn.VSTACK(YES_Writing_ELA[#Data],YES_Writing_FLA[#Data]),MATCH($A182,_xlfn.VSTACK(YES_Writing_ELA[Student Number],YES_Writing_FLA[Student Number]),0),MATCH(VLOOKUP(F$7,'Writing Logic'!$J$7:$K$11,2,FALSE)&amp;" - Per "&amp;VLOOKUP($C$4,'Writing Logic'!$G$8:$H$14,2,FALSE),YES_Writing_ELA[#Headers],0)))),"")</f>
        <v/>
      </c>
      <c r="G182" s="138" t="str">
        <f>IFERROR(IF(IF(INDEX(_xlfn.VSTACK(YES_Writing_ELA[#Data],YES_Writing_FLA[#Data]),MATCH($A182,_xlfn.VSTACK(YES_Writing_ELA[Student Number],YES_Writing_FLA[Student Number]),0),MATCH(VLOOKUP(G$7,'Writing Logic'!$J$7:$K$11,2,FALSE)&amp;" - Per "&amp;VLOOKUP($C$4,'Writing Logic'!$G$8:$H$14,2,FALSE),YES_Writing_ELA[#Headers],0))=0,"",INDEX(_xlfn.VSTACK(YES_Writing_ELA[#Data],YES_Writing_FLA[#Data]),MATCH($A182,_xlfn.VSTACK(YES_Writing_ELA[Student Number],YES_Writing_FLA[Student Number]),0),MATCH(VLOOKUP(G$7,'Writing Logic'!$J$7:$K$11,2,FALSE)&amp;" - Per "&amp;VLOOKUP($C$4,'Writing Logic'!$G$8:$H$14,2,FALSE),YES_Writing_ELA[#Headers],0)))="INS",'Writing Logic'!$B$7,IF(INDEX(_xlfn.VSTACK(YES_Writing_ELA[#Data],YES_Writing_FLA[#Data]),MATCH($A182,_xlfn.VSTACK(YES_Writing_ELA[Student Number],YES_Writing_FLA[Student Number]),0),MATCH(VLOOKUP(G$7,'Writing Logic'!$J$7:$K$11,2,FALSE)&amp;" - Per "&amp;VLOOKUP($C$4,'Writing Logic'!$G$8:$H$14,2,FALSE),YES_Writing_ELA[#Headers],0))=0,"",INDEX(_xlfn.VSTACK(YES_Writing_ELA[#Data],YES_Writing_FLA[#Data]),MATCH($A182,_xlfn.VSTACK(YES_Writing_ELA[Student Number],YES_Writing_FLA[Student Number]),0),MATCH(VLOOKUP(G$7,'Writing Logic'!$J$7:$K$11,2,FALSE)&amp;" - Per "&amp;VLOOKUP($C$4,'Writing Logic'!$G$8:$H$14,2,FALSE),YES_Writing_ELA[#Headers],0)))),"")</f>
        <v/>
      </c>
      <c r="H182" s="138" t="str">
        <f>IFERROR(IF(IF(INDEX(_xlfn.VSTACK(YES_Writing_ELA[#Data],YES_Writing_FLA[#Data]),MATCH($A182,_xlfn.VSTACK(YES_Writing_ELA[Student Number],YES_Writing_FLA[Student Number]),0),MATCH(VLOOKUP(H$7,'Writing Logic'!$J$7:$K$11,2,FALSE)&amp;" - Per "&amp;VLOOKUP($C$4,'Writing Logic'!$G$8:$H$14,2,FALSE),YES_Writing_ELA[#Headers],0))=0,"",INDEX(_xlfn.VSTACK(YES_Writing_ELA[#Data],YES_Writing_FLA[#Data]),MATCH($A182,_xlfn.VSTACK(YES_Writing_ELA[Student Number],YES_Writing_FLA[Student Number]),0),MATCH(VLOOKUP(H$7,'Writing Logic'!$J$7:$K$11,2,FALSE)&amp;" - Per "&amp;VLOOKUP($C$4,'Writing Logic'!$G$8:$H$14,2,FALSE),YES_Writing_ELA[#Headers],0)))="INS",'Writing Logic'!$B$7,IF(INDEX(_xlfn.VSTACK(YES_Writing_ELA[#Data],YES_Writing_FLA[#Data]),MATCH($A182,_xlfn.VSTACK(YES_Writing_ELA[Student Number],YES_Writing_FLA[Student Number]),0),MATCH(VLOOKUP(H$7,'Writing Logic'!$J$7:$K$11,2,FALSE)&amp;" - Per "&amp;VLOOKUP($C$4,'Writing Logic'!$G$8:$H$14,2,FALSE),YES_Writing_ELA[#Headers],0))=0,"",INDEX(_xlfn.VSTACK(YES_Writing_ELA[#Data],YES_Writing_FLA[#Data]),MATCH($A182,_xlfn.VSTACK(YES_Writing_ELA[Student Number],YES_Writing_FLA[Student Number]),0),MATCH(VLOOKUP(H$7,'Writing Logic'!$J$7:$K$11,2,FALSE)&amp;" - Per "&amp;VLOOKUP($C$4,'Writing Logic'!$G$8:$H$14,2,FALSE),YES_Writing_ELA[#Headers],0)))),"")</f>
        <v/>
      </c>
    </row>
    <row r="183" spans="1:8" ht="14.25" customHeight="1" x14ac:dyDescent="0.25">
      <c r="A183" s="137"/>
      <c r="B183" s="137" t="str">
        <f>IFERROR(INDEX(_xlfn.VSTACK(YES_Writing_ELA[#Data], YES_Writing_FLA[#Data]),MATCH($A183,_xlfn.VSTACK(YES_Writing_ELA[Student Number], YES_Writing_FLA[Student Number]),0),MATCH(B$7,YES_Writing_ELA[#Headers],0)),"")</f>
        <v/>
      </c>
      <c r="C183" s="137" t="str">
        <f>IFERROR(INDEX(_xlfn.VSTACK(YES_Writing_ELA[#Data], YES_Writing_FLA[#Data]),MATCH($A183,_xlfn.VSTACK(YES_Writing_ELA[Student Number], YES_Writing_FLA[Student Number]),0),MATCH(C$7,YES_Writing_ELA[#Headers],0)),"")</f>
        <v/>
      </c>
      <c r="D183" s="138" t="str">
        <f>IFERROR(IF(IF(INDEX(_xlfn.VSTACK(YES_Writing_ELA[#Data],YES_Writing_FLA[#Data]),MATCH($A183,_xlfn.VSTACK(YES_Writing_ELA[Student Number],YES_Writing_FLA[Student Number]),0),MATCH(VLOOKUP(D$7,'Writing Logic'!$J$7:$K$11,2,FALSE)&amp;" - Per "&amp;VLOOKUP($C$4,'Writing Logic'!$G$8:$H$14,2,FALSE),YES_Writing_ELA[#Headers],0))=0,"",INDEX(_xlfn.VSTACK(YES_Writing_ELA[#Data],YES_Writing_FLA[#Data]),MATCH($A183,_xlfn.VSTACK(YES_Writing_ELA[Student Number],YES_Writing_FLA[Student Number]),0),MATCH(VLOOKUP(D$7,'Writing Logic'!$J$7:$K$11,2,FALSE)&amp;" - Per "&amp;VLOOKUP($C$4,'Writing Logic'!$G$8:$H$14,2,FALSE),YES_Writing_ELA[#Headers],0)))="INS",'Writing Logic'!$B$7,IF(INDEX(_xlfn.VSTACK(YES_Writing_ELA[#Data],YES_Writing_FLA[#Data]),MATCH($A183,_xlfn.VSTACK(YES_Writing_ELA[Student Number],YES_Writing_FLA[Student Number]),0),MATCH(VLOOKUP(D$7,'Writing Logic'!$J$7:$K$11,2,FALSE)&amp;" - Per "&amp;VLOOKUP($C$4,'Writing Logic'!$G$8:$H$14,2,FALSE),YES_Writing_ELA[#Headers],0))=0,"",INDEX(_xlfn.VSTACK(YES_Writing_ELA[#Data],YES_Writing_FLA[#Data]),MATCH($A183,_xlfn.VSTACK(YES_Writing_ELA[Student Number],YES_Writing_FLA[Student Number]),0),MATCH(VLOOKUP(D$7,'Writing Logic'!$J$7:$K$11,2,FALSE)&amp;" - Per "&amp;VLOOKUP($C$4,'Writing Logic'!$G$8:$H$14,2,FALSE),YES_Writing_ELA[#Headers],0)))),"")</f>
        <v/>
      </c>
      <c r="E183" s="138" t="str">
        <f>IFERROR(IF(IF(INDEX(_xlfn.VSTACK(YES_Writing_ELA[#Data],YES_Writing_FLA[#Data]),MATCH($A183,_xlfn.VSTACK(YES_Writing_ELA[Student Number],YES_Writing_FLA[Student Number]),0),MATCH(VLOOKUP(E$7,'Writing Logic'!$J$7:$K$11,2,FALSE)&amp;" - Per "&amp;VLOOKUP($C$4,'Writing Logic'!$G$8:$H$14,2,FALSE),YES_Writing_ELA[#Headers],0))=0,"",INDEX(_xlfn.VSTACK(YES_Writing_ELA[#Data],YES_Writing_FLA[#Data]),MATCH($A183,_xlfn.VSTACK(YES_Writing_ELA[Student Number],YES_Writing_FLA[Student Number]),0),MATCH(VLOOKUP(E$7,'Writing Logic'!$J$7:$K$11,2,FALSE)&amp;" - Per "&amp;VLOOKUP($C$4,'Writing Logic'!$G$8:$H$14,2,FALSE),YES_Writing_ELA[#Headers],0)))="INS",'Writing Logic'!$B$7,IF(INDEX(_xlfn.VSTACK(YES_Writing_ELA[#Data],YES_Writing_FLA[#Data]),MATCH($A183,_xlfn.VSTACK(YES_Writing_ELA[Student Number],YES_Writing_FLA[Student Number]),0),MATCH(VLOOKUP(E$7,'Writing Logic'!$J$7:$K$11,2,FALSE)&amp;" - Per "&amp;VLOOKUP($C$4,'Writing Logic'!$G$8:$H$14,2,FALSE),YES_Writing_ELA[#Headers],0))=0,"",INDEX(_xlfn.VSTACK(YES_Writing_ELA[#Data],YES_Writing_FLA[#Data]),MATCH($A183,_xlfn.VSTACK(YES_Writing_ELA[Student Number],YES_Writing_FLA[Student Number]),0),MATCH(VLOOKUP(E$7,'Writing Logic'!$J$7:$K$11,2,FALSE)&amp;" - Per "&amp;VLOOKUP($C$4,'Writing Logic'!$G$8:$H$14,2,FALSE),YES_Writing_ELA[#Headers],0)))),"")</f>
        <v/>
      </c>
      <c r="F183" s="138" t="str">
        <f>IFERROR(IF(IF(INDEX(_xlfn.VSTACK(YES_Writing_ELA[#Data],YES_Writing_FLA[#Data]),MATCH($A183,_xlfn.VSTACK(YES_Writing_ELA[Student Number],YES_Writing_FLA[Student Number]),0),MATCH(VLOOKUP(F$7,'Writing Logic'!$J$7:$K$11,2,FALSE)&amp;" - Per "&amp;VLOOKUP($C$4,'Writing Logic'!$G$8:$H$14,2,FALSE),YES_Writing_ELA[#Headers],0))=0,"",INDEX(_xlfn.VSTACK(YES_Writing_ELA[#Data],YES_Writing_FLA[#Data]),MATCH($A183,_xlfn.VSTACK(YES_Writing_ELA[Student Number],YES_Writing_FLA[Student Number]),0),MATCH(VLOOKUP(F$7,'Writing Logic'!$J$7:$K$11,2,FALSE)&amp;" - Per "&amp;VLOOKUP($C$4,'Writing Logic'!$G$8:$H$14,2,FALSE),YES_Writing_ELA[#Headers],0)))="INS",'Writing Logic'!$B$7,IF(INDEX(_xlfn.VSTACK(YES_Writing_ELA[#Data],YES_Writing_FLA[#Data]),MATCH($A183,_xlfn.VSTACK(YES_Writing_ELA[Student Number],YES_Writing_FLA[Student Number]),0),MATCH(VLOOKUP(F$7,'Writing Logic'!$J$7:$K$11,2,FALSE)&amp;" - Per "&amp;VLOOKUP($C$4,'Writing Logic'!$G$8:$H$14,2,FALSE),YES_Writing_ELA[#Headers],0))=0,"",INDEX(_xlfn.VSTACK(YES_Writing_ELA[#Data],YES_Writing_FLA[#Data]),MATCH($A183,_xlfn.VSTACK(YES_Writing_ELA[Student Number],YES_Writing_FLA[Student Number]),0),MATCH(VLOOKUP(F$7,'Writing Logic'!$J$7:$K$11,2,FALSE)&amp;" - Per "&amp;VLOOKUP($C$4,'Writing Logic'!$G$8:$H$14,2,FALSE),YES_Writing_ELA[#Headers],0)))),"")</f>
        <v/>
      </c>
      <c r="G183" s="138" t="str">
        <f>IFERROR(IF(IF(INDEX(_xlfn.VSTACK(YES_Writing_ELA[#Data],YES_Writing_FLA[#Data]),MATCH($A183,_xlfn.VSTACK(YES_Writing_ELA[Student Number],YES_Writing_FLA[Student Number]),0),MATCH(VLOOKUP(G$7,'Writing Logic'!$J$7:$K$11,2,FALSE)&amp;" - Per "&amp;VLOOKUP($C$4,'Writing Logic'!$G$8:$H$14,2,FALSE),YES_Writing_ELA[#Headers],0))=0,"",INDEX(_xlfn.VSTACK(YES_Writing_ELA[#Data],YES_Writing_FLA[#Data]),MATCH($A183,_xlfn.VSTACK(YES_Writing_ELA[Student Number],YES_Writing_FLA[Student Number]),0),MATCH(VLOOKUP(G$7,'Writing Logic'!$J$7:$K$11,2,FALSE)&amp;" - Per "&amp;VLOOKUP($C$4,'Writing Logic'!$G$8:$H$14,2,FALSE),YES_Writing_ELA[#Headers],0)))="INS",'Writing Logic'!$B$7,IF(INDEX(_xlfn.VSTACK(YES_Writing_ELA[#Data],YES_Writing_FLA[#Data]),MATCH($A183,_xlfn.VSTACK(YES_Writing_ELA[Student Number],YES_Writing_FLA[Student Number]),0),MATCH(VLOOKUP(G$7,'Writing Logic'!$J$7:$K$11,2,FALSE)&amp;" - Per "&amp;VLOOKUP($C$4,'Writing Logic'!$G$8:$H$14,2,FALSE),YES_Writing_ELA[#Headers],0))=0,"",INDEX(_xlfn.VSTACK(YES_Writing_ELA[#Data],YES_Writing_FLA[#Data]),MATCH($A183,_xlfn.VSTACK(YES_Writing_ELA[Student Number],YES_Writing_FLA[Student Number]),0),MATCH(VLOOKUP(G$7,'Writing Logic'!$J$7:$K$11,2,FALSE)&amp;" - Per "&amp;VLOOKUP($C$4,'Writing Logic'!$G$8:$H$14,2,FALSE),YES_Writing_ELA[#Headers],0)))),"")</f>
        <v/>
      </c>
      <c r="H183" s="138" t="str">
        <f>IFERROR(IF(IF(INDEX(_xlfn.VSTACK(YES_Writing_ELA[#Data],YES_Writing_FLA[#Data]),MATCH($A183,_xlfn.VSTACK(YES_Writing_ELA[Student Number],YES_Writing_FLA[Student Number]),0),MATCH(VLOOKUP(H$7,'Writing Logic'!$J$7:$K$11,2,FALSE)&amp;" - Per "&amp;VLOOKUP($C$4,'Writing Logic'!$G$8:$H$14,2,FALSE),YES_Writing_ELA[#Headers],0))=0,"",INDEX(_xlfn.VSTACK(YES_Writing_ELA[#Data],YES_Writing_FLA[#Data]),MATCH($A183,_xlfn.VSTACK(YES_Writing_ELA[Student Number],YES_Writing_FLA[Student Number]),0),MATCH(VLOOKUP(H$7,'Writing Logic'!$J$7:$K$11,2,FALSE)&amp;" - Per "&amp;VLOOKUP($C$4,'Writing Logic'!$G$8:$H$14,2,FALSE),YES_Writing_ELA[#Headers],0)))="INS",'Writing Logic'!$B$7,IF(INDEX(_xlfn.VSTACK(YES_Writing_ELA[#Data],YES_Writing_FLA[#Data]),MATCH($A183,_xlfn.VSTACK(YES_Writing_ELA[Student Number],YES_Writing_FLA[Student Number]),0),MATCH(VLOOKUP(H$7,'Writing Logic'!$J$7:$K$11,2,FALSE)&amp;" - Per "&amp;VLOOKUP($C$4,'Writing Logic'!$G$8:$H$14,2,FALSE),YES_Writing_ELA[#Headers],0))=0,"",INDEX(_xlfn.VSTACK(YES_Writing_ELA[#Data],YES_Writing_FLA[#Data]),MATCH($A183,_xlfn.VSTACK(YES_Writing_ELA[Student Number],YES_Writing_FLA[Student Number]),0),MATCH(VLOOKUP(H$7,'Writing Logic'!$J$7:$K$11,2,FALSE)&amp;" - Per "&amp;VLOOKUP($C$4,'Writing Logic'!$G$8:$H$14,2,FALSE),YES_Writing_ELA[#Headers],0)))),"")</f>
        <v/>
      </c>
    </row>
    <row r="184" spans="1:8" ht="14.25" customHeight="1" x14ac:dyDescent="0.25">
      <c r="A184" s="137"/>
      <c r="B184" s="137" t="str">
        <f>IFERROR(INDEX(_xlfn.VSTACK(YES_Writing_ELA[#Data], YES_Writing_FLA[#Data]),MATCH($A184,_xlfn.VSTACK(YES_Writing_ELA[Student Number], YES_Writing_FLA[Student Number]),0),MATCH(B$7,YES_Writing_ELA[#Headers],0)),"")</f>
        <v/>
      </c>
      <c r="C184" s="137" t="str">
        <f>IFERROR(INDEX(_xlfn.VSTACK(YES_Writing_ELA[#Data], YES_Writing_FLA[#Data]),MATCH($A184,_xlfn.VSTACK(YES_Writing_ELA[Student Number], YES_Writing_FLA[Student Number]),0),MATCH(C$7,YES_Writing_ELA[#Headers],0)),"")</f>
        <v/>
      </c>
      <c r="D184" s="138" t="str">
        <f>IFERROR(IF(IF(INDEX(_xlfn.VSTACK(YES_Writing_ELA[#Data],YES_Writing_FLA[#Data]),MATCH($A184,_xlfn.VSTACK(YES_Writing_ELA[Student Number],YES_Writing_FLA[Student Number]),0),MATCH(VLOOKUP(D$7,'Writing Logic'!$J$7:$K$11,2,FALSE)&amp;" - Per "&amp;VLOOKUP($C$4,'Writing Logic'!$G$8:$H$14,2,FALSE),YES_Writing_ELA[#Headers],0))=0,"",INDEX(_xlfn.VSTACK(YES_Writing_ELA[#Data],YES_Writing_FLA[#Data]),MATCH($A184,_xlfn.VSTACK(YES_Writing_ELA[Student Number],YES_Writing_FLA[Student Number]),0),MATCH(VLOOKUP(D$7,'Writing Logic'!$J$7:$K$11,2,FALSE)&amp;" - Per "&amp;VLOOKUP($C$4,'Writing Logic'!$G$8:$H$14,2,FALSE),YES_Writing_ELA[#Headers],0)))="INS",'Writing Logic'!$B$7,IF(INDEX(_xlfn.VSTACK(YES_Writing_ELA[#Data],YES_Writing_FLA[#Data]),MATCH($A184,_xlfn.VSTACK(YES_Writing_ELA[Student Number],YES_Writing_FLA[Student Number]),0),MATCH(VLOOKUP(D$7,'Writing Logic'!$J$7:$K$11,2,FALSE)&amp;" - Per "&amp;VLOOKUP($C$4,'Writing Logic'!$G$8:$H$14,2,FALSE),YES_Writing_ELA[#Headers],0))=0,"",INDEX(_xlfn.VSTACK(YES_Writing_ELA[#Data],YES_Writing_FLA[#Data]),MATCH($A184,_xlfn.VSTACK(YES_Writing_ELA[Student Number],YES_Writing_FLA[Student Number]),0),MATCH(VLOOKUP(D$7,'Writing Logic'!$J$7:$K$11,2,FALSE)&amp;" - Per "&amp;VLOOKUP($C$4,'Writing Logic'!$G$8:$H$14,2,FALSE),YES_Writing_ELA[#Headers],0)))),"")</f>
        <v/>
      </c>
      <c r="E184" s="138" t="str">
        <f>IFERROR(IF(IF(INDEX(_xlfn.VSTACK(YES_Writing_ELA[#Data],YES_Writing_FLA[#Data]),MATCH($A184,_xlfn.VSTACK(YES_Writing_ELA[Student Number],YES_Writing_FLA[Student Number]),0),MATCH(VLOOKUP(E$7,'Writing Logic'!$J$7:$K$11,2,FALSE)&amp;" - Per "&amp;VLOOKUP($C$4,'Writing Logic'!$G$8:$H$14,2,FALSE),YES_Writing_ELA[#Headers],0))=0,"",INDEX(_xlfn.VSTACK(YES_Writing_ELA[#Data],YES_Writing_FLA[#Data]),MATCH($A184,_xlfn.VSTACK(YES_Writing_ELA[Student Number],YES_Writing_FLA[Student Number]),0),MATCH(VLOOKUP(E$7,'Writing Logic'!$J$7:$K$11,2,FALSE)&amp;" - Per "&amp;VLOOKUP($C$4,'Writing Logic'!$G$8:$H$14,2,FALSE),YES_Writing_ELA[#Headers],0)))="INS",'Writing Logic'!$B$7,IF(INDEX(_xlfn.VSTACK(YES_Writing_ELA[#Data],YES_Writing_FLA[#Data]),MATCH($A184,_xlfn.VSTACK(YES_Writing_ELA[Student Number],YES_Writing_FLA[Student Number]),0),MATCH(VLOOKUP(E$7,'Writing Logic'!$J$7:$K$11,2,FALSE)&amp;" - Per "&amp;VLOOKUP($C$4,'Writing Logic'!$G$8:$H$14,2,FALSE),YES_Writing_ELA[#Headers],0))=0,"",INDEX(_xlfn.VSTACK(YES_Writing_ELA[#Data],YES_Writing_FLA[#Data]),MATCH($A184,_xlfn.VSTACK(YES_Writing_ELA[Student Number],YES_Writing_FLA[Student Number]),0),MATCH(VLOOKUP(E$7,'Writing Logic'!$J$7:$K$11,2,FALSE)&amp;" - Per "&amp;VLOOKUP($C$4,'Writing Logic'!$G$8:$H$14,2,FALSE),YES_Writing_ELA[#Headers],0)))),"")</f>
        <v/>
      </c>
      <c r="F184" s="138" t="str">
        <f>IFERROR(IF(IF(INDEX(_xlfn.VSTACK(YES_Writing_ELA[#Data],YES_Writing_FLA[#Data]),MATCH($A184,_xlfn.VSTACK(YES_Writing_ELA[Student Number],YES_Writing_FLA[Student Number]),0),MATCH(VLOOKUP(F$7,'Writing Logic'!$J$7:$K$11,2,FALSE)&amp;" - Per "&amp;VLOOKUP($C$4,'Writing Logic'!$G$8:$H$14,2,FALSE),YES_Writing_ELA[#Headers],0))=0,"",INDEX(_xlfn.VSTACK(YES_Writing_ELA[#Data],YES_Writing_FLA[#Data]),MATCH($A184,_xlfn.VSTACK(YES_Writing_ELA[Student Number],YES_Writing_FLA[Student Number]),0),MATCH(VLOOKUP(F$7,'Writing Logic'!$J$7:$K$11,2,FALSE)&amp;" - Per "&amp;VLOOKUP($C$4,'Writing Logic'!$G$8:$H$14,2,FALSE),YES_Writing_ELA[#Headers],0)))="INS",'Writing Logic'!$B$7,IF(INDEX(_xlfn.VSTACK(YES_Writing_ELA[#Data],YES_Writing_FLA[#Data]),MATCH($A184,_xlfn.VSTACK(YES_Writing_ELA[Student Number],YES_Writing_FLA[Student Number]),0),MATCH(VLOOKUP(F$7,'Writing Logic'!$J$7:$K$11,2,FALSE)&amp;" - Per "&amp;VLOOKUP($C$4,'Writing Logic'!$G$8:$H$14,2,FALSE),YES_Writing_ELA[#Headers],0))=0,"",INDEX(_xlfn.VSTACK(YES_Writing_ELA[#Data],YES_Writing_FLA[#Data]),MATCH($A184,_xlfn.VSTACK(YES_Writing_ELA[Student Number],YES_Writing_FLA[Student Number]),0),MATCH(VLOOKUP(F$7,'Writing Logic'!$J$7:$K$11,2,FALSE)&amp;" - Per "&amp;VLOOKUP($C$4,'Writing Logic'!$G$8:$H$14,2,FALSE),YES_Writing_ELA[#Headers],0)))),"")</f>
        <v/>
      </c>
      <c r="G184" s="138" t="str">
        <f>IFERROR(IF(IF(INDEX(_xlfn.VSTACK(YES_Writing_ELA[#Data],YES_Writing_FLA[#Data]),MATCH($A184,_xlfn.VSTACK(YES_Writing_ELA[Student Number],YES_Writing_FLA[Student Number]),0),MATCH(VLOOKUP(G$7,'Writing Logic'!$J$7:$K$11,2,FALSE)&amp;" - Per "&amp;VLOOKUP($C$4,'Writing Logic'!$G$8:$H$14,2,FALSE),YES_Writing_ELA[#Headers],0))=0,"",INDEX(_xlfn.VSTACK(YES_Writing_ELA[#Data],YES_Writing_FLA[#Data]),MATCH($A184,_xlfn.VSTACK(YES_Writing_ELA[Student Number],YES_Writing_FLA[Student Number]),0),MATCH(VLOOKUP(G$7,'Writing Logic'!$J$7:$K$11,2,FALSE)&amp;" - Per "&amp;VLOOKUP($C$4,'Writing Logic'!$G$8:$H$14,2,FALSE),YES_Writing_ELA[#Headers],0)))="INS",'Writing Logic'!$B$7,IF(INDEX(_xlfn.VSTACK(YES_Writing_ELA[#Data],YES_Writing_FLA[#Data]),MATCH($A184,_xlfn.VSTACK(YES_Writing_ELA[Student Number],YES_Writing_FLA[Student Number]),0),MATCH(VLOOKUP(G$7,'Writing Logic'!$J$7:$K$11,2,FALSE)&amp;" - Per "&amp;VLOOKUP($C$4,'Writing Logic'!$G$8:$H$14,2,FALSE),YES_Writing_ELA[#Headers],0))=0,"",INDEX(_xlfn.VSTACK(YES_Writing_ELA[#Data],YES_Writing_FLA[#Data]),MATCH($A184,_xlfn.VSTACK(YES_Writing_ELA[Student Number],YES_Writing_FLA[Student Number]),0),MATCH(VLOOKUP(G$7,'Writing Logic'!$J$7:$K$11,2,FALSE)&amp;" - Per "&amp;VLOOKUP($C$4,'Writing Logic'!$G$8:$H$14,2,FALSE),YES_Writing_ELA[#Headers],0)))),"")</f>
        <v/>
      </c>
      <c r="H184" s="138" t="str">
        <f>IFERROR(IF(IF(INDEX(_xlfn.VSTACK(YES_Writing_ELA[#Data],YES_Writing_FLA[#Data]),MATCH($A184,_xlfn.VSTACK(YES_Writing_ELA[Student Number],YES_Writing_FLA[Student Number]),0),MATCH(VLOOKUP(H$7,'Writing Logic'!$J$7:$K$11,2,FALSE)&amp;" - Per "&amp;VLOOKUP($C$4,'Writing Logic'!$G$8:$H$14,2,FALSE),YES_Writing_ELA[#Headers],0))=0,"",INDEX(_xlfn.VSTACK(YES_Writing_ELA[#Data],YES_Writing_FLA[#Data]),MATCH($A184,_xlfn.VSTACK(YES_Writing_ELA[Student Number],YES_Writing_FLA[Student Number]),0),MATCH(VLOOKUP(H$7,'Writing Logic'!$J$7:$K$11,2,FALSE)&amp;" - Per "&amp;VLOOKUP($C$4,'Writing Logic'!$G$8:$H$14,2,FALSE),YES_Writing_ELA[#Headers],0)))="INS",'Writing Logic'!$B$7,IF(INDEX(_xlfn.VSTACK(YES_Writing_ELA[#Data],YES_Writing_FLA[#Data]),MATCH($A184,_xlfn.VSTACK(YES_Writing_ELA[Student Number],YES_Writing_FLA[Student Number]),0),MATCH(VLOOKUP(H$7,'Writing Logic'!$J$7:$K$11,2,FALSE)&amp;" - Per "&amp;VLOOKUP($C$4,'Writing Logic'!$G$8:$H$14,2,FALSE),YES_Writing_ELA[#Headers],0))=0,"",INDEX(_xlfn.VSTACK(YES_Writing_ELA[#Data],YES_Writing_FLA[#Data]),MATCH($A184,_xlfn.VSTACK(YES_Writing_ELA[Student Number],YES_Writing_FLA[Student Number]),0),MATCH(VLOOKUP(H$7,'Writing Logic'!$J$7:$K$11,2,FALSE)&amp;" - Per "&amp;VLOOKUP($C$4,'Writing Logic'!$G$8:$H$14,2,FALSE),YES_Writing_ELA[#Headers],0)))),"")</f>
        <v/>
      </c>
    </row>
    <row r="185" spans="1:8" ht="14.25" customHeight="1" x14ac:dyDescent="0.25">
      <c r="A185" s="137"/>
      <c r="B185" s="137" t="str">
        <f>IFERROR(INDEX(_xlfn.VSTACK(YES_Writing_ELA[#Data], YES_Writing_FLA[#Data]),MATCH($A185,_xlfn.VSTACK(YES_Writing_ELA[Student Number], YES_Writing_FLA[Student Number]),0),MATCH(B$7,YES_Writing_ELA[#Headers],0)),"")</f>
        <v/>
      </c>
      <c r="C185" s="137" t="str">
        <f>IFERROR(INDEX(_xlfn.VSTACK(YES_Writing_ELA[#Data], YES_Writing_FLA[#Data]),MATCH($A185,_xlfn.VSTACK(YES_Writing_ELA[Student Number], YES_Writing_FLA[Student Number]),0),MATCH(C$7,YES_Writing_ELA[#Headers],0)),"")</f>
        <v/>
      </c>
      <c r="D185" s="138" t="str">
        <f>IFERROR(IF(IF(INDEX(_xlfn.VSTACK(YES_Writing_ELA[#Data],YES_Writing_FLA[#Data]),MATCH($A185,_xlfn.VSTACK(YES_Writing_ELA[Student Number],YES_Writing_FLA[Student Number]),0),MATCH(VLOOKUP(D$7,'Writing Logic'!$J$7:$K$11,2,FALSE)&amp;" - Per "&amp;VLOOKUP($C$4,'Writing Logic'!$G$8:$H$14,2,FALSE),YES_Writing_ELA[#Headers],0))=0,"",INDEX(_xlfn.VSTACK(YES_Writing_ELA[#Data],YES_Writing_FLA[#Data]),MATCH($A185,_xlfn.VSTACK(YES_Writing_ELA[Student Number],YES_Writing_FLA[Student Number]),0),MATCH(VLOOKUP(D$7,'Writing Logic'!$J$7:$K$11,2,FALSE)&amp;" - Per "&amp;VLOOKUP($C$4,'Writing Logic'!$G$8:$H$14,2,FALSE),YES_Writing_ELA[#Headers],0)))="INS",'Writing Logic'!$B$7,IF(INDEX(_xlfn.VSTACK(YES_Writing_ELA[#Data],YES_Writing_FLA[#Data]),MATCH($A185,_xlfn.VSTACK(YES_Writing_ELA[Student Number],YES_Writing_FLA[Student Number]),0),MATCH(VLOOKUP(D$7,'Writing Logic'!$J$7:$K$11,2,FALSE)&amp;" - Per "&amp;VLOOKUP($C$4,'Writing Logic'!$G$8:$H$14,2,FALSE),YES_Writing_ELA[#Headers],0))=0,"",INDEX(_xlfn.VSTACK(YES_Writing_ELA[#Data],YES_Writing_FLA[#Data]),MATCH($A185,_xlfn.VSTACK(YES_Writing_ELA[Student Number],YES_Writing_FLA[Student Number]),0),MATCH(VLOOKUP(D$7,'Writing Logic'!$J$7:$K$11,2,FALSE)&amp;" - Per "&amp;VLOOKUP($C$4,'Writing Logic'!$G$8:$H$14,2,FALSE),YES_Writing_ELA[#Headers],0)))),"")</f>
        <v/>
      </c>
      <c r="E185" s="138" t="str">
        <f>IFERROR(IF(IF(INDEX(_xlfn.VSTACK(YES_Writing_ELA[#Data],YES_Writing_FLA[#Data]),MATCH($A185,_xlfn.VSTACK(YES_Writing_ELA[Student Number],YES_Writing_FLA[Student Number]),0),MATCH(VLOOKUP(E$7,'Writing Logic'!$J$7:$K$11,2,FALSE)&amp;" - Per "&amp;VLOOKUP($C$4,'Writing Logic'!$G$8:$H$14,2,FALSE),YES_Writing_ELA[#Headers],0))=0,"",INDEX(_xlfn.VSTACK(YES_Writing_ELA[#Data],YES_Writing_FLA[#Data]),MATCH($A185,_xlfn.VSTACK(YES_Writing_ELA[Student Number],YES_Writing_FLA[Student Number]),0),MATCH(VLOOKUP(E$7,'Writing Logic'!$J$7:$K$11,2,FALSE)&amp;" - Per "&amp;VLOOKUP($C$4,'Writing Logic'!$G$8:$H$14,2,FALSE),YES_Writing_ELA[#Headers],0)))="INS",'Writing Logic'!$B$7,IF(INDEX(_xlfn.VSTACK(YES_Writing_ELA[#Data],YES_Writing_FLA[#Data]),MATCH($A185,_xlfn.VSTACK(YES_Writing_ELA[Student Number],YES_Writing_FLA[Student Number]),0),MATCH(VLOOKUP(E$7,'Writing Logic'!$J$7:$K$11,2,FALSE)&amp;" - Per "&amp;VLOOKUP($C$4,'Writing Logic'!$G$8:$H$14,2,FALSE),YES_Writing_ELA[#Headers],0))=0,"",INDEX(_xlfn.VSTACK(YES_Writing_ELA[#Data],YES_Writing_FLA[#Data]),MATCH($A185,_xlfn.VSTACK(YES_Writing_ELA[Student Number],YES_Writing_FLA[Student Number]),0),MATCH(VLOOKUP(E$7,'Writing Logic'!$J$7:$K$11,2,FALSE)&amp;" - Per "&amp;VLOOKUP($C$4,'Writing Logic'!$G$8:$H$14,2,FALSE),YES_Writing_ELA[#Headers],0)))),"")</f>
        <v/>
      </c>
      <c r="F185" s="138" t="str">
        <f>IFERROR(IF(IF(INDEX(_xlfn.VSTACK(YES_Writing_ELA[#Data],YES_Writing_FLA[#Data]),MATCH($A185,_xlfn.VSTACK(YES_Writing_ELA[Student Number],YES_Writing_FLA[Student Number]),0),MATCH(VLOOKUP(F$7,'Writing Logic'!$J$7:$K$11,2,FALSE)&amp;" - Per "&amp;VLOOKUP($C$4,'Writing Logic'!$G$8:$H$14,2,FALSE),YES_Writing_ELA[#Headers],0))=0,"",INDEX(_xlfn.VSTACK(YES_Writing_ELA[#Data],YES_Writing_FLA[#Data]),MATCH($A185,_xlfn.VSTACK(YES_Writing_ELA[Student Number],YES_Writing_FLA[Student Number]),0),MATCH(VLOOKUP(F$7,'Writing Logic'!$J$7:$K$11,2,FALSE)&amp;" - Per "&amp;VLOOKUP($C$4,'Writing Logic'!$G$8:$H$14,2,FALSE),YES_Writing_ELA[#Headers],0)))="INS",'Writing Logic'!$B$7,IF(INDEX(_xlfn.VSTACK(YES_Writing_ELA[#Data],YES_Writing_FLA[#Data]),MATCH($A185,_xlfn.VSTACK(YES_Writing_ELA[Student Number],YES_Writing_FLA[Student Number]),0),MATCH(VLOOKUP(F$7,'Writing Logic'!$J$7:$K$11,2,FALSE)&amp;" - Per "&amp;VLOOKUP($C$4,'Writing Logic'!$G$8:$H$14,2,FALSE),YES_Writing_ELA[#Headers],0))=0,"",INDEX(_xlfn.VSTACK(YES_Writing_ELA[#Data],YES_Writing_FLA[#Data]),MATCH($A185,_xlfn.VSTACK(YES_Writing_ELA[Student Number],YES_Writing_FLA[Student Number]),0),MATCH(VLOOKUP(F$7,'Writing Logic'!$J$7:$K$11,2,FALSE)&amp;" - Per "&amp;VLOOKUP($C$4,'Writing Logic'!$G$8:$H$14,2,FALSE),YES_Writing_ELA[#Headers],0)))),"")</f>
        <v/>
      </c>
      <c r="G185" s="138" t="str">
        <f>IFERROR(IF(IF(INDEX(_xlfn.VSTACK(YES_Writing_ELA[#Data],YES_Writing_FLA[#Data]),MATCH($A185,_xlfn.VSTACK(YES_Writing_ELA[Student Number],YES_Writing_FLA[Student Number]),0),MATCH(VLOOKUP(G$7,'Writing Logic'!$J$7:$K$11,2,FALSE)&amp;" - Per "&amp;VLOOKUP($C$4,'Writing Logic'!$G$8:$H$14,2,FALSE),YES_Writing_ELA[#Headers],0))=0,"",INDEX(_xlfn.VSTACK(YES_Writing_ELA[#Data],YES_Writing_FLA[#Data]),MATCH($A185,_xlfn.VSTACK(YES_Writing_ELA[Student Number],YES_Writing_FLA[Student Number]),0),MATCH(VLOOKUP(G$7,'Writing Logic'!$J$7:$K$11,2,FALSE)&amp;" - Per "&amp;VLOOKUP($C$4,'Writing Logic'!$G$8:$H$14,2,FALSE),YES_Writing_ELA[#Headers],0)))="INS",'Writing Logic'!$B$7,IF(INDEX(_xlfn.VSTACK(YES_Writing_ELA[#Data],YES_Writing_FLA[#Data]),MATCH($A185,_xlfn.VSTACK(YES_Writing_ELA[Student Number],YES_Writing_FLA[Student Number]),0),MATCH(VLOOKUP(G$7,'Writing Logic'!$J$7:$K$11,2,FALSE)&amp;" - Per "&amp;VLOOKUP($C$4,'Writing Logic'!$G$8:$H$14,2,FALSE),YES_Writing_ELA[#Headers],0))=0,"",INDEX(_xlfn.VSTACK(YES_Writing_ELA[#Data],YES_Writing_FLA[#Data]),MATCH($A185,_xlfn.VSTACK(YES_Writing_ELA[Student Number],YES_Writing_FLA[Student Number]),0),MATCH(VLOOKUP(G$7,'Writing Logic'!$J$7:$K$11,2,FALSE)&amp;" - Per "&amp;VLOOKUP($C$4,'Writing Logic'!$G$8:$H$14,2,FALSE),YES_Writing_ELA[#Headers],0)))),"")</f>
        <v/>
      </c>
      <c r="H185" s="138" t="str">
        <f>IFERROR(IF(IF(INDEX(_xlfn.VSTACK(YES_Writing_ELA[#Data],YES_Writing_FLA[#Data]),MATCH($A185,_xlfn.VSTACK(YES_Writing_ELA[Student Number],YES_Writing_FLA[Student Number]),0),MATCH(VLOOKUP(H$7,'Writing Logic'!$J$7:$K$11,2,FALSE)&amp;" - Per "&amp;VLOOKUP($C$4,'Writing Logic'!$G$8:$H$14,2,FALSE),YES_Writing_ELA[#Headers],0))=0,"",INDEX(_xlfn.VSTACK(YES_Writing_ELA[#Data],YES_Writing_FLA[#Data]),MATCH($A185,_xlfn.VSTACK(YES_Writing_ELA[Student Number],YES_Writing_FLA[Student Number]),0),MATCH(VLOOKUP(H$7,'Writing Logic'!$J$7:$K$11,2,FALSE)&amp;" - Per "&amp;VLOOKUP($C$4,'Writing Logic'!$G$8:$H$14,2,FALSE),YES_Writing_ELA[#Headers],0)))="INS",'Writing Logic'!$B$7,IF(INDEX(_xlfn.VSTACK(YES_Writing_ELA[#Data],YES_Writing_FLA[#Data]),MATCH($A185,_xlfn.VSTACK(YES_Writing_ELA[Student Number],YES_Writing_FLA[Student Number]),0),MATCH(VLOOKUP(H$7,'Writing Logic'!$J$7:$K$11,2,FALSE)&amp;" - Per "&amp;VLOOKUP($C$4,'Writing Logic'!$G$8:$H$14,2,FALSE),YES_Writing_ELA[#Headers],0))=0,"",INDEX(_xlfn.VSTACK(YES_Writing_ELA[#Data],YES_Writing_FLA[#Data]),MATCH($A185,_xlfn.VSTACK(YES_Writing_ELA[Student Number],YES_Writing_FLA[Student Number]),0),MATCH(VLOOKUP(H$7,'Writing Logic'!$J$7:$K$11,2,FALSE)&amp;" - Per "&amp;VLOOKUP($C$4,'Writing Logic'!$G$8:$H$14,2,FALSE),YES_Writing_ELA[#Headers],0)))),"")</f>
        <v/>
      </c>
    </row>
    <row r="186" spans="1:8" ht="14.25" customHeight="1" x14ac:dyDescent="0.25">
      <c r="A186" s="137"/>
      <c r="B186" s="137" t="str">
        <f>IFERROR(INDEX(_xlfn.VSTACK(YES_Writing_ELA[#Data], YES_Writing_FLA[#Data]),MATCH($A186,_xlfn.VSTACK(YES_Writing_ELA[Student Number], YES_Writing_FLA[Student Number]),0),MATCH(B$7,YES_Writing_ELA[#Headers],0)),"")</f>
        <v/>
      </c>
      <c r="C186" s="137" t="str">
        <f>IFERROR(INDEX(_xlfn.VSTACK(YES_Writing_ELA[#Data], YES_Writing_FLA[#Data]),MATCH($A186,_xlfn.VSTACK(YES_Writing_ELA[Student Number], YES_Writing_FLA[Student Number]),0),MATCH(C$7,YES_Writing_ELA[#Headers],0)),"")</f>
        <v/>
      </c>
      <c r="D186" s="138" t="str">
        <f>IFERROR(IF(IF(INDEX(_xlfn.VSTACK(YES_Writing_ELA[#Data],YES_Writing_FLA[#Data]),MATCH($A186,_xlfn.VSTACK(YES_Writing_ELA[Student Number],YES_Writing_FLA[Student Number]),0),MATCH(VLOOKUP(D$7,'Writing Logic'!$J$7:$K$11,2,FALSE)&amp;" - Per "&amp;VLOOKUP($C$4,'Writing Logic'!$G$8:$H$14,2,FALSE),YES_Writing_ELA[#Headers],0))=0,"",INDEX(_xlfn.VSTACK(YES_Writing_ELA[#Data],YES_Writing_FLA[#Data]),MATCH($A186,_xlfn.VSTACK(YES_Writing_ELA[Student Number],YES_Writing_FLA[Student Number]),0),MATCH(VLOOKUP(D$7,'Writing Logic'!$J$7:$K$11,2,FALSE)&amp;" - Per "&amp;VLOOKUP($C$4,'Writing Logic'!$G$8:$H$14,2,FALSE),YES_Writing_ELA[#Headers],0)))="INS",'Writing Logic'!$B$7,IF(INDEX(_xlfn.VSTACK(YES_Writing_ELA[#Data],YES_Writing_FLA[#Data]),MATCH($A186,_xlfn.VSTACK(YES_Writing_ELA[Student Number],YES_Writing_FLA[Student Number]),0),MATCH(VLOOKUP(D$7,'Writing Logic'!$J$7:$K$11,2,FALSE)&amp;" - Per "&amp;VLOOKUP($C$4,'Writing Logic'!$G$8:$H$14,2,FALSE),YES_Writing_ELA[#Headers],0))=0,"",INDEX(_xlfn.VSTACK(YES_Writing_ELA[#Data],YES_Writing_FLA[#Data]),MATCH($A186,_xlfn.VSTACK(YES_Writing_ELA[Student Number],YES_Writing_FLA[Student Number]),0),MATCH(VLOOKUP(D$7,'Writing Logic'!$J$7:$K$11,2,FALSE)&amp;" - Per "&amp;VLOOKUP($C$4,'Writing Logic'!$G$8:$H$14,2,FALSE),YES_Writing_ELA[#Headers],0)))),"")</f>
        <v/>
      </c>
      <c r="E186" s="138" t="str">
        <f>IFERROR(IF(IF(INDEX(_xlfn.VSTACK(YES_Writing_ELA[#Data],YES_Writing_FLA[#Data]),MATCH($A186,_xlfn.VSTACK(YES_Writing_ELA[Student Number],YES_Writing_FLA[Student Number]),0),MATCH(VLOOKUP(E$7,'Writing Logic'!$J$7:$K$11,2,FALSE)&amp;" - Per "&amp;VLOOKUP($C$4,'Writing Logic'!$G$8:$H$14,2,FALSE),YES_Writing_ELA[#Headers],0))=0,"",INDEX(_xlfn.VSTACK(YES_Writing_ELA[#Data],YES_Writing_FLA[#Data]),MATCH($A186,_xlfn.VSTACK(YES_Writing_ELA[Student Number],YES_Writing_FLA[Student Number]),0),MATCH(VLOOKUP(E$7,'Writing Logic'!$J$7:$K$11,2,FALSE)&amp;" - Per "&amp;VLOOKUP($C$4,'Writing Logic'!$G$8:$H$14,2,FALSE),YES_Writing_ELA[#Headers],0)))="INS",'Writing Logic'!$B$7,IF(INDEX(_xlfn.VSTACK(YES_Writing_ELA[#Data],YES_Writing_FLA[#Data]),MATCH($A186,_xlfn.VSTACK(YES_Writing_ELA[Student Number],YES_Writing_FLA[Student Number]),0),MATCH(VLOOKUP(E$7,'Writing Logic'!$J$7:$K$11,2,FALSE)&amp;" - Per "&amp;VLOOKUP($C$4,'Writing Logic'!$G$8:$H$14,2,FALSE),YES_Writing_ELA[#Headers],0))=0,"",INDEX(_xlfn.VSTACK(YES_Writing_ELA[#Data],YES_Writing_FLA[#Data]),MATCH($A186,_xlfn.VSTACK(YES_Writing_ELA[Student Number],YES_Writing_FLA[Student Number]),0),MATCH(VLOOKUP(E$7,'Writing Logic'!$J$7:$K$11,2,FALSE)&amp;" - Per "&amp;VLOOKUP($C$4,'Writing Logic'!$G$8:$H$14,2,FALSE),YES_Writing_ELA[#Headers],0)))),"")</f>
        <v/>
      </c>
      <c r="F186" s="138" t="str">
        <f>IFERROR(IF(IF(INDEX(_xlfn.VSTACK(YES_Writing_ELA[#Data],YES_Writing_FLA[#Data]),MATCH($A186,_xlfn.VSTACK(YES_Writing_ELA[Student Number],YES_Writing_FLA[Student Number]),0),MATCH(VLOOKUP(F$7,'Writing Logic'!$J$7:$K$11,2,FALSE)&amp;" - Per "&amp;VLOOKUP($C$4,'Writing Logic'!$G$8:$H$14,2,FALSE),YES_Writing_ELA[#Headers],0))=0,"",INDEX(_xlfn.VSTACK(YES_Writing_ELA[#Data],YES_Writing_FLA[#Data]),MATCH($A186,_xlfn.VSTACK(YES_Writing_ELA[Student Number],YES_Writing_FLA[Student Number]),0),MATCH(VLOOKUP(F$7,'Writing Logic'!$J$7:$K$11,2,FALSE)&amp;" - Per "&amp;VLOOKUP($C$4,'Writing Logic'!$G$8:$H$14,2,FALSE),YES_Writing_ELA[#Headers],0)))="INS",'Writing Logic'!$B$7,IF(INDEX(_xlfn.VSTACK(YES_Writing_ELA[#Data],YES_Writing_FLA[#Data]),MATCH($A186,_xlfn.VSTACK(YES_Writing_ELA[Student Number],YES_Writing_FLA[Student Number]),0),MATCH(VLOOKUP(F$7,'Writing Logic'!$J$7:$K$11,2,FALSE)&amp;" - Per "&amp;VLOOKUP($C$4,'Writing Logic'!$G$8:$H$14,2,FALSE),YES_Writing_ELA[#Headers],0))=0,"",INDEX(_xlfn.VSTACK(YES_Writing_ELA[#Data],YES_Writing_FLA[#Data]),MATCH($A186,_xlfn.VSTACK(YES_Writing_ELA[Student Number],YES_Writing_FLA[Student Number]),0),MATCH(VLOOKUP(F$7,'Writing Logic'!$J$7:$K$11,2,FALSE)&amp;" - Per "&amp;VLOOKUP($C$4,'Writing Logic'!$G$8:$H$14,2,FALSE),YES_Writing_ELA[#Headers],0)))),"")</f>
        <v/>
      </c>
      <c r="G186" s="138" t="str">
        <f>IFERROR(IF(IF(INDEX(_xlfn.VSTACK(YES_Writing_ELA[#Data],YES_Writing_FLA[#Data]),MATCH($A186,_xlfn.VSTACK(YES_Writing_ELA[Student Number],YES_Writing_FLA[Student Number]),0),MATCH(VLOOKUP(G$7,'Writing Logic'!$J$7:$K$11,2,FALSE)&amp;" - Per "&amp;VLOOKUP($C$4,'Writing Logic'!$G$8:$H$14,2,FALSE),YES_Writing_ELA[#Headers],0))=0,"",INDEX(_xlfn.VSTACK(YES_Writing_ELA[#Data],YES_Writing_FLA[#Data]),MATCH($A186,_xlfn.VSTACK(YES_Writing_ELA[Student Number],YES_Writing_FLA[Student Number]),0),MATCH(VLOOKUP(G$7,'Writing Logic'!$J$7:$K$11,2,FALSE)&amp;" - Per "&amp;VLOOKUP($C$4,'Writing Logic'!$G$8:$H$14,2,FALSE),YES_Writing_ELA[#Headers],0)))="INS",'Writing Logic'!$B$7,IF(INDEX(_xlfn.VSTACK(YES_Writing_ELA[#Data],YES_Writing_FLA[#Data]),MATCH($A186,_xlfn.VSTACK(YES_Writing_ELA[Student Number],YES_Writing_FLA[Student Number]),0),MATCH(VLOOKUP(G$7,'Writing Logic'!$J$7:$K$11,2,FALSE)&amp;" - Per "&amp;VLOOKUP($C$4,'Writing Logic'!$G$8:$H$14,2,FALSE),YES_Writing_ELA[#Headers],0))=0,"",INDEX(_xlfn.VSTACK(YES_Writing_ELA[#Data],YES_Writing_FLA[#Data]),MATCH($A186,_xlfn.VSTACK(YES_Writing_ELA[Student Number],YES_Writing_FLA[Student Number]),0),MATCH(VLOOKUP(G$7,'Writing Logic'!$J$7:$K$11,2,FALSE)&amp;" - Per "&amp;VLOOKUP($C$4,'Writing Logic'!$G$8:$H$14,2,FALSE),YES_Writing_ELA[#Headers],0)))),"")</f>
        <v/>
      </c>
      <c r="H186" s="138" t="str">
        <f>IFERROR(IF(IF(INDEX(_xlfn.VSTACK(YES_Writing_ELA[#Data],YES_Writing_FLA[#Data]),MATCH($A186,_xlfn.VSTACK(YES_Writing_ELA[Student Number],YES_Writing_FLA[Student Number]),0),MATCH(VLOOKUP(H$7,'Writing Logic'!$J$7:$K$11,2,FALSE)&amp;" - Per "&amp;VLOOKUP($C$4,'Writing Logic'!$G$8:$H$14,2,FALSE),YES_Writing_ELA[#Headers],0))=0,"",INDEX(_xlfn.VSTACK(YES_Writing_ELA[#Data],YES_Writing_FLA[#Data]),MATCH($A186,_xlfn.VSTACK(YES_Writing_ELA[Student Number],YES_Writing_FLA[Student Number]),0),MATCH(VLOOKUP(H$7,'Writing Logic'!$J$7:$K$11,2,FALSE)&amp;" - Per "&amp;VLOOKUP($C$4,'Writing Logic'!$G$8:$H$14,2,FALSE),YES_Writing_ELA[#Headers],0)))="INS",'Writing Logic'!$B$7,IF(INDEX(_xlfn.VSTACK(YES_Writing_ELA[#Data],YES_Writing_FLA[#Data]),MATCH($A186,_xlfn.VSTACK(YES_Writing_ELA[Student Number],YES_Writing_FLA[Student Number]),0),MATCH(VLOOKUP(H$7,'Writing Logic'!$J$7:$K$11,2,FALSE)&amp;" - Per "&amp;VLOOKUP($C$4,'Writing Logic'!$G$8:$H$14,2,FALSE),YES_Writing_ELA[#Headers],0))=0,"",INDEX(_xlfn.VSTACK(YES_Writing_ELA[#Data],YES_Writing_FLA[#Data]),MATCH($A186,_xlfn.VSTACK(YES_Writing_ELA[Student Number],YES_Writing_FLA[Student Number]),0),MATCH(VLOOKUP(H$7,'Writing Logic'!$J$7:$K$11,2,FALSE)&amp;" - Per "&amp;VLOOKUP($C$4,'Writing Logic'!$G$8:$H$14,2,FALSE),YES_Writing_ELA[#Headers],0)))),"")</f>
        <v/>
      </c>
    </row>
    <row r="187" spans="1:8" ht="14.25" customHeight="1" x14ac:dyDescent="0.25">
      <c r="A187" s="137"/>
      <c r="B187" s="137" t="str">
        <f>IFERROR(INDEX(_xlfn.VSTACK(YES_Writing_ELA[#Data], YES_Writing_FLA[#Data]),MATCH($A187,_xlfn.VSTACK(YES_Writing_ELA[Student Number], YES_Writing_FLA[Student Number]),0),MATCH(B$7,YES_Writing_ELA[#Headers],0)),"")</f>
        <v/>
      </c>
      <c r="C187" s="137" t="str">
        <f>IFERROR(INDEX(_xlfn.VSTACK(YES_Writing_ELA[#Data], YES_Writing_FLA[#Data]),MATCH($A187,_xlfn.VSTACK(YES_Writing_ELA[Student Number], YES_Writing_FLA[Student Number]),0),MATCH(C$7,YES_Writing_ELA[#Headers],0)),"")</f>
        <v/>
      </c>
      <c r="D187" s="138" t="str">
        <f>IFERROR(IF(IF(INDEX(_xlfn.VSTACK(YES_Writing_ELA[#Data],YES_Writing_FLA[#Data]),MATCH($A187,_xlfn.VSTACK(YES_Writing_ELA[Student Number],YES_Writing_FLA[Student Number]),0),MATCH(VLOOKUP(D$7,'Writing Logic'!$J$7:$K$11,2,FALSE)&amp;" - Per "&amp;VLOOKUP($C$4,'Writing Logic'!$G$8:$H$14,2,FALSE),YES_Writing_ELA[#Headers],0))=0,"",INDEX(_xlfn.VSTACK(YES_Writing_ELA[#Data],YES_Writing_FLA[#Data]),MATCH($A187,_xlfn.VSTACK(YES_Writing_ELA[Student Number],YES_Writing_FLA[Student Number]),0),MATCH(VLOOKUP(D$7,'Writing Logic'!$J$7:$K$11,2,FALSE)&amp;" - Per "&amp;VLOOKUP($C$4,'Writing Logic'!$G$8:$H$14,2,FALSE),YES_Writing_ELA[#Headers],0)))="INS",'Writing Logic'!$B$7,IF(INDEX(_xlfn.VSTACK(YES_Writing_ELA[#Data],YES_Writing_FLA[#Data]),MATCH($A187,_xlfn.VSTACK(YES_Writing_ELA[Student Number],YES_Writing_FLA[Student Number]),0),MATCH(VLOOKUP(D$7,'Writing Logic'!$J$7:$K$11,2,FALSE)&amp;" - Per "&amp;VLOOKUP($C$4,'Writing Logic'!$G$8:$H$14,2,FALSE),YES_Writing_ELA[#Headers],0))=0,"",INDEX(_xlfn.VSTACK(YES_Writing_ELA[#Data],YES_Writing_FLA[#Data]),MATCH($A187,_xlfn.VSTACK(YES_Writing_ELA[Student Number],YES_Writing_FLA[Student Number]),0),MATCH(VLOOKUP(D$7,'Writing Logic'!$J$7:$K$11,2,FALSE)&amp;" - Per "&amp;VLOOKUP($C$4,'Writing Logic'!$G$8:$H$14,2,FALSE),YES_Writing_ELA[#Headers],0)))),"")</f>
        <v/>
      </c>
      <c r="E187" s="138" t="str">
        <f>IFERROR(IF(IF(INDEX(_xlfn.VSTACK(YES_Writing_ELA[#Data],YES_Writing_FLA[#Data]),MATCH($A187,_xlfn.VSTACK(YES_Writing_ELA[Student Number],YES_Writing_FLA[Student Number]),0),MATCH(VLOOKUP(E$7,'Writing Logic'!$J$7:$K$11,2,FALSE)&amp;" - Per "&amp;VLOOKUP($C$4,'Writing Logic'!$G$8:$H$14,2,FALSE),YES_Writing_ELA[#Headers],0))=0,"",INDEX(_xlfn.VSTACK(YES_Writing_ELA[#Data],YES_Writing_FLA[#Data]),MATCH($A187,_xlfn.VSTACK(YES_Writing_ELA[Student Number],YES_Writing_FLA[Student Number]),0),MATCH(VLOOKUP(E$7,'Writing Logic'!$J$7:$K$11,2,FALSE)&amp;" - Per "&amp;VLOOKUP($C$4,'Writing Logic'!$G$8:$H$14,2,FALSE),YES_Writing_ELA[#Headers],0)))="INS",'Writing Logic'!$B$7,IF(INDEX(_xlfn.VSTACK(YES_Writing_ELA[#Data],YES_Writing_FLA[#Data]),MATCH($A187,_xlfn.VSTACK(YES_Writing_ELA[Student Number],YES_Writing_FLA[Student Number]),0),MATCH(VLOOKUP(E$7,'Writing Logic'!$J$7:$K$11,2,FALSE)&amp;" - Per "&amp;VLOOKUP($C$4,'Writing Logic'!$G$8:$H$14,2,FALSE),YES_Writing_ELA[#Headers],0))=0,"",INDEX(_xlfn.VSTACK(YES_Writing_ELA[#Data],YES_Writing_FLA[#Data]),MATCH($A187,_xlfn.VSTACK(YES_Writing_ELA[Student Number],YES_Writing_FLA[Student Number]),0),MATCH(VLOOKUP(E$7,'Writing Logic'!$J$7:$K$11,2,FALSE)&amp;" - Per "&amp;VLOOKUP($C$4,'Writing Logic'!$G$8:$H$14,2,FALSE),YES_Writing_ELA[#Headers],0)))),"")</f>
        <v/>
      </c>
      <c r="F187" s="138" t="str">
        <f>IFERROR(IF(IF(INDEX(_xlfn.VSTACK(YES_Writing_ELA[#Data],YES_Writing_FLA[#Data]),MATCH($A187,_xlfn.VSTACK(YES_Writing_ELA[Student Number],YES_Writing_FLA[Student Number]),0),MATCH(VLOOKUP(F$7,'Writing Logic'!$J$7:$K$11,2,FALSE)&amp;" - Per "&amp;VLOOKUP($C$4,'Writing Logic'!$G$8:$H$14,2,FALSE),YES_Writing_ELA[#Headers],0))=0,"",INDEX(_xlfn.VSTACK(YES_Writing_ELA[#Data],YES_Writing_FLA[#Data]),MATCH($A187,_xlfn.VSTACK(YES_Writing_ELA[Student Number],YES_Writing_FLA[Student Number]),0),MATCH(VLOOKUP(F$7,'Writing Logic'!$J$7:$K$11,2,FALSE)&amp;" - Per "&amp;VLOOKUP($C$4,'Writing Logic'!$G$8:$H$14,2,FALSE),YES_Writing_ELA[#Headers],0)))="INS",'Writing Logic'!$B$7,IF(INDEX(_xlfn.VSTACK(YES_Writing_ELA[#Data],YES_Writing_FLA[#Data]),MATCH($A187,_xlfn.VSTACK(YES_Writing_ELA[Student Number],YES_Writing_FLA[Student Number]),0),MATCH(VLOOKUP(F$7,'Writing Logic'!$J$7:$K$11,2,FALSE)&amp;" - Per "&amp;VLOOKUP($C$4,'Writing Logic'!$G$8:$H$14,2,FALSE),YES_Writing_ELA[#Headers],0))=0,"",INDEX(_xlfn.VSTACK(YES_Writing_ELA[#Data],YES_Writing_FLA[#Data]),MATCH($A187,_xlfn.VSTACK(YES_Writing_ELA[Student Number],YES_Writing_FLA[Student Number]),0),MATCH(VLOOKUP(F$7,'Writing Logic'!$J$7:$K$11,2,FALSE)&amp;" - Per "&amp;VLOOKUP($C$4,'Writing Logic'!$G$8:$H$14,2,FALSE),YES_Writing_ELA[#Headers],0)))),"")</f>
        <v/>
      </c>
      <c r="G187" s="138" t="str">
        <f>IFERROR(IF(IF(INDEX(_xlfn.VSTACK(YES_Writing_ELA[#Data],YES_Writing_FLA[#Data]),MATCH($A187,_xlfn.VSTACK(YES_Writing_ELA[Student Number],YES_Writing_FLA[Student Number]),0),MATCH(VLOOKUP(G$7,'Writing Logic'!$J$7:$K$11,2,FALSE)&amp;" - Per "&amp;VLOOKUP($C$4,'Writing Logic'!$G$8:$H$14,2,FALSE),YES_Writing_ELA[#Headers],0))=0,"",INDEX(_xlfn.VSTACK(YES_Writing_ELA[#Data],YES_Writing_FLA[#Data]),MATCH($A187,_xlfn.VSTACK(YES_Writing_ELA[Student Number],YES_Writing_FLA[Student Number]),0),MATCH(VLOOKUP(G$7,'Writing Logic'!$J$7:$K$11,2,FALSE)&amp;" - Per "&amp;VLOOKUP($C$4,'Writing Logic'!$G$8:$H$14,2,FALSE),YES_Writing_ELA[#Headers],0)))="INS",'Writing Logic'!$B$7,IF(INDEX(_xlfn.VSTACK(YES_Writing_ELA[#Data],YES_Writing_FLA[#Data]),MATCH($A187,_xlfn.VSTACK(YES_Writing_ELA[Student Number],YES_Writing_FLA[Student Number]),0),MATCH(VLOOKUP(G$7,'Writing Logic'!$J$7:$K$11,2,FALSE)&amp;" - Per "&amp;VLOOKUP($C$4,'Writing Logic'!$G$8:$H$14,2,FALSE),YES_Writing_ELA[#Headers],0))=0,"",INDEX(_xlfn.VSTACK(YES_Writing_ELA[#Data],YES_Writing_FLA[#Data]),MATCH($A187,_xlfn.VSTACK(YES_Writing_ELA[Student Number],YES_Writing_FLA[Student Number]),0),MATCH(VLOOKUP(G$7,'Writing Logic'!$J$7:$K$11,2,FALSE)&amp;" - Per "&amp;VLOOKUP($C$4,'Writing Logic'!$G$8:$H$14,2,FALSE),YES_Writing_ELA[#Headers],0)))),"")</f>
        <v/>
      </c>
      <c r="H187" s="138" t="str">
        <f>IFERROR(IF(IF(INDEX(_xlfn.VSTACK(YES_Writing_ELA[#Data],YES_Writing_FLA[#Data]),MATCH($A187,_xlfn.VSTACK(YES_Writing_ELA[Student Number],YES_Writing_FLA[Student Number]),0),MATCH(VLOOKUP(H$7,'Writing Logic'!$J$7:$K$11,2,FALSE)&amp;" - Per "&amp;VLOOKUP($C$4,'Writing Logic'!$G$8:$H$14,2,FALSE),YES_Writing_ELA[#Headers],0))=0,"",INDEX(_xlfn.VSTACK(YES_Writing_ELA[#Data],YES_Writing_FLA[#Data]),MATCH($A187,_xlfn.VSTACK(YES_Writing_ELA[Student Number],YES_Writing_FLA[Student Number]),0),MATCH(VLOOKUP(H$7,'Writing Logic'!$J$7:$K$11,2,FALSE)&amp;" - Per "&amp;VLOOKUP($C$4,'Writing Logic'!$G$8:$H$14,2,FALSE),YES_Writing_ELA[#Headers],0)))="INS",'Writing Logic'!$B$7,IF(INDEX(_xlfn.VSTACK(YES_Writing_ELA[#Data],YES_Writing_FLA[#Data]),MATCH($A187,_xlfn.VSTACK(YES_Writing_ELA[Student Number],YES_Writing_FLA[Student Number]),0),MATCH(VLOOKUP(H$7,'Writing Logic'!$J$7:$K$11,2,FALSE)&amp;" - Per "&amp;VLOOKUP($C$4,'Writing Logic'!$G$8:$H$14,2,FALSE),YES_Writing_ELA[#Headers],0))=0,"",INDEX(_xlfn.VSTACK(YES_Writing_ELA[#Data],YES_Writing_FLA[#Data]),MATCH($A187,_xlfn.VSTACK(YES_Writing_ELA[Student Number],YES_Writing_FLA[Student Number]),0),MATCH(VLOOKUP(H$7,'Writing Logic'!$J$7:$K$11,2,FALSE)&amp;" - Per "&amp;VLOOKUP($C$4,'Writing Logic'!$G$8:$H$14,2,FALSE),YES_Writing_ELA[#Headers],0)))),"")</f>
        <v/>
      </c>
    </row>
    <row r="188" spans="1:8" ht="14.25" customHeight="1" x14ac:dyDescent="0.25">
      <c r="A188" s="137"/>
      <c r="B188" s="137" t="str">
        <f>IFERROR(INDEX(_xlfn.VSTACK(YES_Writing_ELA[#Data], YES_Writing_FLA[#Data]),MATCH($A188,_xlfn.VSTACK(YES_Writing_ELA[Student Number], YES_Writing_FLA[Student Number]),0),MATCH(B$7,YES_Writing_ELA[#Headers],0)),"")</f>
        <v/>
      </c>
      <c r="C188" s="137" t="str">
        <f>IFERROR(INDEX(_xlfn.VSTACK(YES_Writing_ELA[#Data], YES_Writing_FLA[#Data]),MATCH($A188,_xlfn.VSTACK(YES_Writing_ELA[Student Number], YES_Writing_FLA[Student Number]),0),MATCH(C$7,YES_Writing_ELA[#Headers],0)),"")</f>
        <v/>
      </c>
      <c r="D188" s="138" t="str">
        <f>IFERROR(IF(IF(INDEX(_xlfn.VSTACK(YES_Writing_ELA[#Data],YES_Writing_FLA[#Data]),MATCH($A188,_xlfn.VSTACK(YES_Writing_ELA[Student Number],YES_Writing_FLA[Student Number]),0),MATCH(VLOOKUP(D$7,'Writing Logic'!$J$7:$K$11,2,FALSE)&amp;" - Per "&amp;VLOOKUP($C$4,'Writing Logic'!$G$8:$H$14,2,FALSE),YES_Writing_ELA[#Headers],0))=0,"",INDEX(_xlfn.VSTACK(YES_Writing_ELA[#Data],YES_Writing_FLA[#Data]),MATCH($A188,_xlfn.VSTACK(YES_Writing_ELA[Student Number],YES_Writing_FLA[Student Number]),0),MATCH(VLOOKUP(D$7,'Writing Logic'!$J$7:$K$11,2,FALSE)&amp;" - Per "&amp;VLOOKUP($C$4,'Writing Logic'!$G$8:$H$14,2,FALSE),YES_Writing_ELA[#Headers],0)))="INS",'Writing Logic'!$B$7,IF(INDEX(_xlfn.VSTACK(YES_Writing_ELA[#Data],YES_Writing_FLA[#Data]),MATCH($A188,_xlfn.VSTACK(YES_Writing_ELA[Student Number],YES_Writing_FLA[Student Number]),0),MATCH(VLOOKUP(D$7,'Writing Logic'!$J$7:$K$11,2,FALSE)&amp;" - Per "&amp;VLOOKUP($C$4,'Writing Logic'!$G$8:$H$14,2,FALSE),YES_Writing_ELA[#Headers],0))=0,"",INDEX(_xlfn.VSTACK(YES_Writing_ELA[#Data],YES_Writing_FLA[#Data]),MATCH($A188,_xlfn.VSTACK(YES_Writing_ELA[Student Number],YES_Writing_FLA[Student Number]),0),MATCH(VLOOKUP(D$7,'Writing Logic'!$J$7:$K$11,2,FALSE)&amp;" - Per "&amp;VLOOKUP($C$4,'Writing Logic'!$G$8:$H$14,2,FALSE),YES_Writing_ELA[#Headers],0)))),"")</f>
        <v/>
      </c>
      <c r="E188" s="138" t="str">
        <f>IFERROR(IF(IF(INDEX(_xlfn.VSTACK(YES_Writing_ELA[#Data],YES_Writing_FLA[#Data]),MATCH($A188,_xlfn.VSTACK(YES_Writing_ELA[Student Number],YES_Writing_FLA[Student Number]),0),MATCH(VLOOKUP(E$7,'Writing Logic'!$J$7:$K$11,2,FALSE)&amp;" - Per "&amp;VLOOKUP($C$4,'Writing Logic'!$G$8:$H$14,2,FALSE),YES_Writing_ELA[#Headers],0))=0,"",INDEX(_xlfn.VSTACK(YES_Writing_ELA[#Data],YES_Writing_FLA[#Data]),MATCH($A188,_xlfn.VSTACK(YES_Writing_ELA[Student Number],YES_Writing_FLA[Student Number]),0),MATCH(VLOOKUP(E$7,'Writing Logic'!$J$7:$K$11,2,FALSE)&amp;" - Per "&amp;VLOOKUP($C$4,'Writing Logic'!$G$8:$H$14,2,FALSE),YES_Writing_ELA[#Headers],0)))="INS",'Writing Logic'!$B$7,IF(INDEX(_xlfn.VSTACK(YES_Writing_ELA[#Data],YES_Writing_FLA[#Data]),MATCH($A188,_xlfn.VSTACK(YES_Writing_ELA[Student Number],YES_Writing_FLA[Student Number]),0),MATCH(VLOOKUP(E$7,'Writing Logic'!$J$7:$K$11,2,FALSE)&amp;" - Per "&amp;VLOOKUP($C$4,'Writing Logic'!$G$8:$H$14,2,FALSE),YES_Writing_ELA[#Headers],0))=0,"",INDEX(_xlfn.VSTACK(YES_Writing_ELA[#Data],YES_Writing_FLA[#Data]),MATCH($A188,_xlfn.VSTACK(YES_Writing_ELA[Student Number],YES_Writing_FLA[Student Number]),0),MATCH(VLOOKUP(E$7,'Writing Logic'!$J$7:$K$11,2,FALSE)&amp;" - Per "&amp;VLOOKUP($C$4,'Writing Logic'!$G$8:$H$14,2,FALSE),YES_Writing_ELA[#Headers],0)))),"")</f>
        <v/>
      </c>
      <c r="F188" s="138" t="str">
        <f>IFERROR(IF(IF(INDEX(_xlfn.VSTACK(YES_Writing_ELA[#Data],YES_Writing_FLA[#Data]),MATCH($A188,_xlfn.VSTACK(YES_Writing_ELA[Student Number],YES_Writing_FLA[Student Number]),0),MATCH(VLOOKUP(F$7,'Writing Logic'!$J$7:$K$11,2,FALSE)&amp;" - Per "&amp;VLOOKUP($C$4,'Writing Logic'!$G$8:$H$14,2,FALSE),YES_Writing_ELA[#Headers],0))=0,"",INDEX(_xlfn.VSTACK(YES_Writing_ELA[#Data],YES_Writing_FLA[#Data]),MATCH($A188,_xlfn.VSTACK(YES_Writing_ELA[Student Number],YES_Writing_FLA[Student Number]),0),MATCH(VLOOKUP(F$7,'Writing Logic'!$J$7:$K$11,2,FALSE)&amp;" - Per "&amp;VLOOKUP($C$4,'Writing Logic'!$G$8:$H$14,2,FALSE),YES_Writing_ELA[#Headers],0)))="INS",'Writing Logic'!$B$7,IF(INDEX(_xlfn.VSTACK(YES_Writing_ELA[#Data],YES_Writing_FLA[#Data]),MATCH($A188,_xlfn.VSTACK(YES_Writing_ELA[Student Number],YES_Writing_FLA[Student Number]),0),MATCH(VLOOKUP(F$7,'Writing Logic'!$J$7:$K$11,2,FALSE)&amp;" - Per "&amp;VLOOKUP($C$4,'Writing Logic'!$G$8:$H$14,2,FALSE),YES_Writing_ELA[#Headers],0))=0,"",INDEX(_xlfn.VSTACK(YES_Writing_ELA[#Data],YES_Writing_FLA[#Data]),MATCH($A188,_xlfn.VSTACK(YES_Writing_ELA[Student Number],YES_Writing_FLA[Student Number]),0),MATCH(VLOOKUP(F$7,'Writing Logic'!$J$7:$K$11,2,FALSE)&amp;" - Per "&amp;VLOOKUP($C$4,'Writing Logic'!$G$8:$H$14,2,FALSE),YES_Writing_ELA[#Headers],0)))),"")</f>
        <v/>
      </c>
      <c r="G188" s="138" t="str">
        <f>IFERROR(IF(IF(INDEX(_xlfn.VSTACK(YES_Writing_ELA[#Data],YES_Writing_FLA[#Data]),MATCH($A188,_xlfn.VSTACK(YES_Writing_ELA[Student Number],YES_Writing_FLA[Student Number]),0),MATCH(VLOOKUP(G$7,'Writing Logic'!$J$7:$K$11,2,FALSE)&amp;" - Per "&amp;VLOOKUP($C$4,'Writing Logic'!$G$8:$H$14,2,FALSE),YES_Writing_ELA[#Headers],0))=0,"",INDEX(_xlfn.VSTACK(YES_Writing_ELA[#Data],YES_Writing_FLA[#Data]),MATCH($A188,_xlfn.VSTACK(YES_Writing_ELA[Student Number],YES_Writing_FLA[Student Number]),0),MATCH(VLOOKUP(G$7,'Writing Logic'!$J$7:$K$11,2,FALSE)&amp;" - Per "&amp;VLOOKUP($C$4,'Writing Logic'!$G$8:$H$14,2,FALSE),YES_Writing_ELA[#Headers],0)))="INS",'Writing Logic'!$B$7,IF(INDEX(_xlfn.VSTACK(YES_Writing_ELA[#Data],YES_Writing_FLA[#Data]),MATCH($A188,_xlfn.VSTACK(YES_Writing_ELA[Student Number],YES_Writing_FLA[Student Number]),0),MATCH(VLOOKUP(G$7,'Writing Logic'!$J$7:$K$11,2,FALSE)&amp;" - Per "&amp;VLOOKUP($C$4,'Writing Logic'!$G$8:$H$14,2,FALSE),YES_Writing_ELA[#Headers],0))=0,"",INDEX(_xlfn.VSTACK(YES_Writing_ELA[#Data],YES_Writing_FLA[#Data]),MATCH($A188,_xlfn.VSTACK(YES_Writing_ELA[Student Number],YES_Writing_FLA[Student Number]),0),MATCH(VLOOKUP(G$7,'Writing Logic'!$J$7:$K$11,2,FALSE)&amp;" - Per "&amp;VLOOKUP($C$4,'Writing Logic'!$G$8:$H$14,2,FALSE),YES_Writing_ELA[#Headers],0)))),"")</f>
        <v/>
      </c>
      <c r="H188" s="138" t="str">
        <f>IFERROR(IF(IF(INDEX(_xlfn.VSTACK(YES_Writing_ELA[#Data],YES_Writing_FLA[#Data]),MATCH($A188,_xlfn.VSTACK(YES_Writing_ELA[Student Number],YES_Writing_FLA[Student Number]),0),MATCH(VLOOKUP(H$7,'Writing Logic'!$J$7:$K$11,2,FALSE)&amp;" - Per "&amp;VLOOKUP($C$4,'Writing Logic'!$G$8:$H$14,2,FALSE),YES_Writing_ELA[#Headers],0))=0,"",INDEX(_xlfn.VSTACK(YES_Writing_ELA[#Data],YES_Writing_FLA[#Data]),MATCH($A188,_xlfn.VSTACK(YES_Writing_ELA[Student Number],YES_Writing_FLA[Student Number]),0),MATCH(VLOOKUP(H$7,'Writing Logic'!$J$7:$K$11,2,FALSE)&amp;" - Per "&amp;VLOOKUP($C$4,'Writing Logic'!$G$8:$H$14,2,FALSE),YES_Writing_ELA[#Headers],0)))="INS",'Writing Logic'!$B$7,IF(INDEX(_xlfn.VSTACK(YES_Writing_ELA[#Data],YES_Writing_FLA[#Data]),MATCH($A188,_xlfn.VSTACK(YES_Writing_ELA[Student Number],YES_Writing_FLA[Student Number]),0),MATCH(VLOOKUP(H$7,'Writing Logic'!$J$7:$K$11,2,FALSE)&amp;" - Per "&amp;VLOOKUP($C$4,'Writing Logic'!$G$8:$H$14,2,FALSE),YES_Writing_ELA[#Headers],0))=0,"",INDEX(_xlfn.VSTACK(YES_Writing_ELA[#Data],YES_Writing_FLA[#Data]),MATCH($A188,_xlfn.VSTACK(YES_Writing_ELA[Student Number],YES_Writing_FLA[Student Number]),0),MATCH(VLOOKUP(H$7,'Writing Logic'!$J$7:$K$11,2,FALSE)&amp;" - Per "&amp;VLOOKUP($C$4,'Writing Logic'!$G$8:$H$14,2,FALSE),YES_Writing_ELA[#Headers],0)))),"")</f>
        <v/>
      </c>
    </row>
    <row r="189" spans="1:8" ht="14.25" customHeight="1" x14ac:dyDescent="0.25">
      <c r="A189" s="137"/>
      <c r="B189" s="137" t="str">
        <f>IFERROR(INDEX(_xlfn.VSTACK(YES_Writing_ELA[#Data], YES_Writing_FLA[#Data]),MATCH($A189,_xlfn.VSTACK(YES_Writing_ELA[Student Number], YES_Writing_FLA[Student Number]),0),MATCH(B$7,YES_Writing_ELA[#Headers],0)),"")</f>
        <v/>
      </c>
      <c r="C189" s="137" t="str">
        <f>IFERROR(INDEX(_xlfn.VSTACK(YES_Writing_ELA[#Data], YES_Writing_FLA[#Data]),MATCH($A189,_xlfn.VSTACK(YES_Writing_ELA[Student Number], YES_Writing_FLA[Student Number]),0),MATCH(C$7,YES_Writing_ELA[#Headers],0)),"")</f>
        <v/>
      </c>
      <c r="D189" s="138" t="str">
        <f>IFERROR(IF(IF(INDEX(_xlfn.VSTACK(YES_Writing_ELA[#Data],YES_Writing_FLA[#Data]),MATCH($A189,_xlfn.VSTACK(YES_Writing_ELA[Student Number],YES_Writing_FLA[Student Number]),0),MATCH(VLOOKUP(D$7,'Writing Logic'!$J$7:$K$11,2,FALSE)&amp;" - Per "&amp;VLOOKUP($C$4,'Writing Logic'!$G$8:$H$14,2,FALSE),YES_Writing_ELA[#Headers],0))=0,"",INDEX(_xlfn.VSTACK(YES_Writing_ELA[#Data],YES_Writing_FLA[#Data]),MATCH($A189,_xlfn.VSTACK(YES_Writing_ELA[Student Number],YES_Writing_FLA[Student Number]),0),MATCH(VLOOKUP(D$7,'Writing Logic'!$J$7:$K$11,2,FALSE)&amp;" - Per "&amp;VLOOKUP($C$4,'Writing Logic'!$G$8:$H$14,2,FALSE),YES_Writing_ELA[#Headers],0)))="INS",'Writing Logic'!$B$7,IF(INDEX(_xlfn.VSTACK(YES_Writing_ELA[#Data],YES_Writing_FLA[#Data]),MATCH($A189,_xlfn.VSTACK(YES_Writing_ELA[Student Number],YES_Writing_FLA[Student Number]),0),MATCH(VLOOKUP(D$7,'Writing Logic'!$J$7:$K$11,2,FALSE)&amp;" - Per "&amp;VLOOKUP($C$4,'Writing Logic'!$G$8:$H$14,2,FALSE),YES_Writing_ELA[#Headers],0))=0,"",INDEX(_xlfn.VSTACK(YES_Writing_ELA[#Data],YES_Writing_FLA[#Data]),MATCH($A189,_xlfn.VSTACK(YES_Writing_ELA[Student Number],YES_Writing_FLA[Student Number]),0),MATCH(VLOOKUP(D$7,'Writing Logic'!$J$7:$K$11,2,FALSE)&amp;" - Per "&amp;VLOOKUP($C$4,'Writing Logic'!$G$8:$H$14,2,FALSE),YES_Writing_ELA[#Headers],0)))),"")</f>
        <v/>
      </c>
      <c r="E189" s="138" t="str">
        <f>IFERROR(IF(IF(INDEX(_xlfn.VSTACK(YES_Writing_ELA[#Data],YES_Writing_FLA[#Data]),MATCH($A189,_xlfn.VSTACK(YES_Writing_ELA[Student Number],YES_Writing_FLA[Student Number]),0),MATCH(VLOOKUP(E$7,'Writing Logic'!$J$7:$K$11,2,FALSE)&amp;" - Per "&amp;VLOOKUP($C$4,'Writing Logic'!$G$8:$H$14,2,FALSE),YES_Writing_ELA[#Headers],0))=0,"",INDEX(_xlfn.VSTACK(YES_Writing_ELA[#Data],YES_Writing_FLA[#Data]),MATCH($A189,_xlfn.VSTACK(YES_Writing_ELA[Student Number],YES_Writing_FLA[Student Number]),0),MATCH(VLOOKUP(E$7,'Writing Logic'!$J$7:$K$11,2,FALSE)&amp;" - Per "&amp;VLOOKUP($C$4,'Writing Logic'!$G$8:$H$14,2,FALSE),YES_Writing_ELA[#Headers],0)))="INS",'Writing Logic'!$B$7,IF(INDEX(_xlfn.VSTACK(YES_Writing_ELA[#Data],YES_Writing_FLA[#Data]),MATCH($A189,_xlfn.VSTACK(YES_Writing_ELA[Student Number],YES_Writing_FLA[Student Number]),0),MATCH(VLOOKUP(E$7,'Writing Logic'!$J$7:$K$11,2,FALSE)&amp;" - Per "&amp;VLOOKUP($C$4,'Writing Logic'!$G$8:$H$14,2,FALSE),YES_Writing_ELA[#Headers],0))=0,"",INDEX(_xlfn.VSTACK(YES_Writing_ELA[#Data],YES_Writing_FLA[#Data]),MATCH($A189,_xlfn.VSTACK(YES_Writing_ELA[Student Number],YES_Writing_FLA[Student Number]),0),MATCH(VLOOKUP(E$7,'Writing Logic'!$J$7:$K$11,2,FALSE)&amp;" - Per "&amp;VLOOKUP($C$4,'Writing Logic'!$G$8:$H$14,2,FALSE),YES_Writing_ELA[#Headers],0)))),"")</f>
        <v/>
      </c>
      <c r="F189" s="138" t="str">
        <f>IFERROR(IF(IF(INDEX(_xlfn.VSTACK(YES_Writing_ELA[#Data],YES_Writing_FLA[#Data]),MATCH($A189,_xlfn.VSTACK(YES_Writing_ELA[Student Number],YES_Writing_FLA[Student Number]),0),MATCH(VLOOKUP(F$7,'Writing Logic'!$J$7:$K$11,2,FALSE)&amp;" - Per "&amp;VLOOKUP($C$4,'Writing Logic'!$G$8:$H$14,2,FALSE),YES_Writing_ELA[#Headers],0))=0,"",INDEX(_xlfn.VSTACK(YES_Writing_ELA[#Data],YES_Writing_FLA[#Data]),MATCH($A189,_xlfn.VSTACK(YES_Writing_ELA[Student Number],YES_Writing_FLA[Student Number]),0),MATCH(VLOOKUP(F$7,'Writing Logic'!$J$7:$K$11,2,FALSE)&amp;" - Per "&amp;VLOOKUP($C$4,'Writing Logic'!$G$8:$H$14,2,FALSE),YES_Writing_ELA[#Headers],0)))="INS",'Writing Logic'!$B$7,IF(INDEX(_xlfn.VSTACK(YES_Writing_ELA[#Data],YES_Writing_FLA[#Data]),MATCH($A189,_xlfn.VSTACK(YES_Writing_ELA[Student Number],YES_Writing_FLA[Student Number]),0),MATCH(VLOOKUP(F$7,'Writing Logic'!$J$7:$K$11,2,FALSE)&amp;" - Per "&amp;VLOOKUP($C$4,'Writing Logic'!$G$8:$H$14,2,FALSE),YES_Writing_ELA[#Headers],0))=0,"",INDEX(_xlfn.VSTACK(YES_Writing_ELA[#Data],YES_Writing_FLA[#Data]),MATCH($A189,_xlfn.VSTACK(YES_Writing_ELA[Student Number],YES_Writing_FLA[Student Number]),0),MATCH(VLOOKUP(F$7,'Writing Logic'!$J$7:$K$11,2,FALSE)&amp;" - Per "&amp;VLOOKUP($C$4,'Writing Logic'!$G$8:$H$14,2,FALSE),YES_Writing_ELA[#Headers],0)))),"")</f>
        <v/>
      </c>
      <c r="G189" s="138" t="str">
        <f>IFERROR(IF(IF(INDEX(_xlfn.VSTACK(YES_Writing_ELA[#Data],YES_Writing_FLA[#Data]),MATCH($A189,_xlfn.VSTACK(YES_Writing_ELA[Student Number],YES_Writing_FLA[Student Number]),0),MATCH(VLOOKUP(G$7,'Writing Logic'!$J$7:$K$11,2,FALSE)&amp;" - Per "&amp;VLOOKUP($C$4,'Writing Logic'!$G$8:$H$14,2,FALSE),YES_Writing_ELA[#Headers],0))=0,"",INDEX(_xlfn.VSTACK(YES_Writing_ELA[#Data],YES_Writing_FLA[#Data]),MATCH($A189,_xlfn.VSTACK(YES_Writing_ELA[Student Number],YES_Writing_FLA[Student Number]),0),MATCH(VLOOKUP(G$7,'Writing Logic'!$J$7:$K$11,2,FALSE)&amp;" - Per "&amp;VLOOKUP($C$4,'Writing Logic'!$G$8:$H$14,2,FALSE),YES_Writing_ELA[#Headers],0)))="INS",'Writing Logic'!$B$7,IF(INDEX(_xlfn.VSTACK(YES_Writing_ELA[#Data],YES_Writing_FLA[#Data]),MATCH($A189,_xlfn.VSTACK(YES_Writing_ELA[Student Number],YES_Writing_FLA[Student Number]),0),MATCH(VLOOKUP(G$7,'Writing Logic'!$J$7:$K$11,2,FALSE)&amp;" - Per "&amp;VLOOKUP($C$4,'Writing Logic'!$G$8:$H$14,2,FALSE),YES_Writing_ELA[#Headers],0))=0,"",INDEX(_xlfn.VSTACK(YES_Writing_ELA[#Data],YES_Writing_FLA[#Data]),MATCH($A189,_xlfn.VSTACK(YES_Writing_ELA[Student Number],YES_Writing_FLA[Student Number]),0),MATCH(VLOOKUP(G$7,'Writing Logic'!$J$7:$K$11,2,FALSE)&amp;" - Per "&amp;VLOOKUP($C$4,'Writing Logic'!$G$8:$H$14,2,FALSE),YES_Writing_ELA[#Headers],0)))),"")</f>
        <v/>
      </c>
      <c r="H189" s="138" t="str">
        <f>IFERROR(IF(IF(INDEX(_xlfn.VSTACK(YES_Writing_ELA[#Data],YES_Writing_FLA[#Data]),MATCH($A189,_xlfn.VSTACK(YES_Writing_ELA[Student Number],YES_Writing_FLA[Student Number]),0),MATCH(VLOOKUP(H$7,'Writing Logic'!$J$7:$K$11,2,FALSE)&amp;" - Per "&amp;VLOOKUP($C$4,'Writing Logic'!$G$8:$H$14,2,FALSE),YES_Writing_ELA[#Headers],0))=0,"",INDEX(_xlfn.VSTACK(YES_Writing_ELA[#Data],YES_Writing_FLA[#Data]),MATCH($A189,_xlfn.VSTACK(YES_Writing_ELA[Student Number],YES_Writing_FLA[Student Number]),0),MATCH(VLOOKUP(H$7,'Writing Logic'!$J$7:$K$11,2,FALSE)&amp;" - Per "&amp;VLOOKUP($C$4,'Writing Logic'!$G$8:$H$14,2,FALSE),YES_Writing_ELA[#Headers],0)))="INS",'Writing Logic'!$B$7,IF(INDEX(_xlfn.VSTACK(YES_Writing_ELA[#Data],YES_Writing_FLA[#Data]),MATCH($A189,_xlfn.VSTACK(YES_Writing_ELA[Student Number],YES_Writing_FLA[Student Number]),0),MATCH(VLOOKUP(H$7,'Writing Logic'!$J$7:$K$11,2,FALSE)&amp;" - Per "&amp;VLOOKUP($C$4,'Writing Logic'!$G$8:$H$14,2,FALSE),YES_Writing_ELA[#Headers],0))=0,"",INDEX(_xlfn.VSTACK(YES_Writing_ELA[#Data],YES_Writing_FLA[#Data]),MATCH($A189,_xlfn.VSTACK(YES_Writing_ELA[Student Number],YES_Writing_FLA[Student Number]),0),MATCH(VLOOKUP(H$7,'Writing Logic'!$J$7:$K$11,2,FALSE)&amp;" - Per "&amp;VLOOKUP($C$4,'Writing Logic'!$G$8:$H$14,2,FALSE),YES_Writing_ELA[#Headers],0)))),"")</f>
        <v/>
      </c>
    </row>
    <row r="190" spans="1:8" ht="14.25" customHeight="1" x14ac:dyDescent="0.25">
      <c r="A190" s="137"/>
      <c r="B190" s="137" t="str">
        <f>IFERROR(INDEX(_xlfn.VSTACK(YES_Writing_ELA[#Data], YES_Writing_FLA[#Data]),MATCH($A190,_xlfn.VSTACK(YES_Writing_ELA[Student Number], YES_Writing_FLA[Student Number]),0),MATCH(B$7,YES_Writing_ELA[#Headers],0)),"")</f>
        <v/>
      </c>
      <c r="C190" s="137" t="str">
        <f>IFERROR(INDEX(_xlfn.VSTACK(YES_Writing_ELA[#Data], YES_Writing_FLA[#Data]),MATCH($A190,_xlfn.VSTACK(YES_Writing_ELA[Student Number], YES_Writing_FLA[Student Number]),0),MATCH(C$7,YES_Writing_ELA[#Headers],0)),"")</f>
        <v/>
      </c>
      <c r="D190" s="138" t="str">
        <f>IFERROR(IF(IF(INDEX(_xlfn.VSTACK(YES_Writing_ELA[#Data],YES_Writing_FLA[#Data]),MATCH($A190,_xlfn.VSTACK(YES_Writing_ELA[Student Number],YES_Writing_FLA[Student Number]),0),MATCH(VLOOKUP(D$7,'Writing Logic'!$J$7:$K$11,2,FALSE)&amp;" - Per "&amp;VLOOKUP($C$4,'Writing Logic'!$G$8:$H$14,2,FALSE),YES_Writing_ELA[#Headers],0))=0,"",INDEX(_xlfn.VSTACK(YES_Writing_ELA[#Data],YES_Writing_FLA[#Data]),MATCH($A190,_xlfn.VSTACK(YES_Writing_ELA[Student Number],YES_Writing_FLA[Student Number]),0),MATCH(VLOOKUP(D$7,'Writing Logic'!$J$7:$K$11,2,FALSE)&amp;" - Per "&amp;VLOOKUP($C$4,'Writing Logic'!$G$8:$H$14,2,FALSE),YES_Writing_ELA[#Headers],0)))="INS",'Writing Logic'!$B$7,IF(INDEX(_xlfn.VSTACK(YES_Writing_ELA[#Data],YES_Writing_FLA[#Data]),MATCH($A190,_xlfn.VSTACK(YES_Writing_ELA[Student Number],YES_Writing_FLA[Student Number]),0),MATCH(VLOOKUP(D$7,'Writing Logic'!$J$7:$K$11,2,FALSE)&amp;" - Per "&amp;VLOOKUP($C$4,'Writing Logic'!$G$8:$H$14,2,FALSE),YES_Writing_ELA[#Headers],0))=0,"",INDEX(_xlfn.VSTACK(YES_Writing_ELA[#Data],YES_Writing_FLA[#Data]),MATCH($A190,_xlfn.VSTACK(YES_Writing_ELA[Student Number],YES_Writing_FLA[Student Number]),0),MATCH(VLOOKUP(D$7,'Writing Logic'!$J$7:$K$11,2,FALSE)&amp;" - Per "&amp;VLOOKUP($C$4,'Writing Logic'!$G$8:$H$14,2,FALSE),YES_Writing_ELA[#Headers],0)))),"")</f>
        <v/>
      </c>
      <c r="E190" s="138" t="str">
        <f>IFERROR(IF(IF(INDEX(_xlfn.VSTACK(YES_Writing_ELA[#Data],YES_Writing_FLA[#Data]),MATCH($A190,_xlfn.VSTACK(YES_Writing_ELA[Student Number],YES_Writing_FLA[Student Number]),0),MATCH(VLOOKUP(E$7,'Writing Logic'!$J$7:$K$11,2,FALSE)&amp;" - Per "&amp;VLOOKUP($C$4,'Writing Logic'!$G$8:$H$14,2,FALSE),YES_Writing_ELA[#Headers],0))=0,"",INDEX(_xlfn.VSTACK(YES_Writing_ELA[#Data],YES_Writing_FLA[#Data]),MATCH($A190,_xlfn.VSTACK(YES_Writing_ELA[Student Number],YES_Writing_FLA[Student Number]),0),MATCH(VLOOKUP(E$7,'Writing Logic'!$J$7:$K$11,2,FALSE)&amp;" - Per "&amp;VLOOKUP($C$4,'Writing Logic'!$G$8:$H$14,2,FALSE),YES_Writing_ELA[#Headers],0)))="INS",'Writing Logic'!$B$7,IF(INDEX(_xlfn.VSTACK(YES_Writing_ELA[#Data],YES_Writing_FLA[#Data]),MATCH($A190,_xlfn.VSTACK(YES_Writing_ELA[Student Number],YES_Writing_FLA[Student Number]),0),MATCH(VLOOKUP(E$7,'Writing Logic'!$J$7:$K$11,2,FALSE)&amp;" - Per "&amp;VLOOKUP($C$4,'Writing Logic'!$G$8:$H$14,2,FALSE),YES_Writing_ELA[#Headers],0))=0,"",INDEX(_xlfn.VSTACK(YES_Writing_ELA[#Data],YES_Writing_FLA[#Data]),MATCH($A190,_xlfn.VSTACK(YES_Writing_ELA[Student Number],YES_Writing_FLA[Student Number]),0),MATCH(VLOOKUP(E$7,'Writing Logic'!$J$7:$K$11,2,FALSE)&amp;" - Per "&amp;VLOOKUP($C$4,'Writing Logic'!$G$8:$H$14,2,FALSE),YES_Writing_ELA[#Headers],0)))),"")</f>
        <v/>
      </c>
      <c r="F190" s="138" t="str">
        <f>IFERROR(IF(IF(INDEX(_xlfn.VSTACK(YES_Writing_ELA[#Data],YES_Writing_FLA[#Data]),MATCH($A190,_xlfn.VSTACK(YES_Writing_ELA[Student Number],YES_Writing_FLA[Student Number]),0),MATCH(VLOOKUP(F$7,'Writing Logic'!$J$7:$K$11,2,FALSE)&amp;" - Per "&amp;VLOOKUP($C$4,'Writing Logic'!$G$8:$H$14,2,FALSE),YES_Writing_ELA[#Headers],0))=0,"",INDEX(_xlfn.VSTACK(YES_Writing_ELA[#Data],YES_Writing_FLA[#Data]),MATCH($A190,_xlfn.VSTACK(YES_Writing_ELA[Student Number],YES_Writing_FLA[Student Number]),0),MATCH(VLOOKUP(F$7,'Writing Logic'!$J$7:$K$11,2,FALSE)&amp;" - Per "&amp;VLOOKUP($C$4,'Writing Logic'!$G$8:$H$14,2,FALSE),YES_Writing_ELA[#Headers],0)))="INS",'Writing Logic'!$B$7,IF(INDEX(_xlfn.VSTACK(YES_Writing_ELA[#Data],YES_Writing_FLA[#Data]),MATCH($A190,_xlfn.VSTACK(YES_Writing_ELA[Student Number],YES_Writing_FLA[Student Number]),0),MATCH(VLOOKUP(F$7,'Writing Logic'!$J$7:$K$11,2,FALSE)&amp;" - Per "&amp;VLOOKUP($C$4,'Writing Logic'!$G$8:$H$14,2,FALSE),YES_Writing_ELA[#Headers],0))=0,"",INDEX(_xlfn.VSTACK(YES_Writing_ELA[#Data],YES_Writing_FLA[#Data]),MATCH($A190,_xlfn.VSTACK(YES_Writing_ELA[Student Number],YES_Writing_FLA[Student Number]),0),MATCH(VLOOKUP(F$7,'Writing Logic'!$J$7:$K$11,2,FALSE)&amp;" - Per "&amp;VLOOKUP($C$4,'Writing Logic'!$G$8:$H$14,2,FALSE),YES_Writing_ELA[#Headers],0)))),"")</f>
        <v/>
      </c>
      <c r="G190" s="138" t="str">
        <f>IFERROR(IF(IF(INDEX(_xlfn.VSTACK(YES_Writing_ELA[#Data],YES_Writing_FLA[#Data]),MATCH($A190,_xlfn.VSTACK(YES_Writing_ELA[Student Number],YES_Writing_FLA[Student Number]),0),MATCH(VLOOKUP(G$7,'Writing Logic'!$J$7:$K$11,2,FALSE)&amp;" - Per "&amp;VLOOKUP($C$4,'Writing Logic'!$G$8:$H$14,2,FALSE),YES_Writing_ELA[#Headers],0))=0,"",INDEX(_xlfn.VSTACK(YES_Writing_ELA[#Data],YES_Writing_FLA[#Data]),MATCH($A190,_xlfn.VSTACK(YES_Writing_ELA[Student Number],YES_Writing_FLA[Student Number]),0),MATCH(VLOOKUP(G$7,'Writing Logic'!$J$7:$K$11,2,FALSE)&amp;" - Per "&amp;VLOOKUP($C$4,'Writing Logic'!$G$8:$H$14,2,FALSE),YES_Writing_ELA[#Headers],0)))="INS",'Writing Logic'!$B$7,IF(INDEX(_xlfn.VSTACK(YES_Writing_ELA[#Data],YES_Writing_FLA[#Data]),MATCH($A190,_xlfn.VSTACK(YES_Writing_ELA[Student Number],YES_Writing_FLA[Student Number]),0),MATCH(VLOOKUP(G$7,'Writing Logic'!$J$7:$K$11,2,FALSE)&amp;" - Per "&amp;VLOOKUP($C$4,'Writing Logic'!$G$8:$H$14,2,FALSE),YES_Writing_ELA[#Headers],0))=0,"",INDEX(_xlfn.VSTACK(YES_Writing_ELA[#Data],YES_Writing_FLA[#Data]),MATCH($A190,_xlfn.VSTACK(YES_Writing_ELA[Student Number],YES_Writing_FLA[Student Number]),0),MATCH(VLOOKUP(G$7,'Writing Logic'!$J$7:$K$11,2,FALSE)&amp;" - Per "&amp;VLOOKUP($C$4,'Writing Logic'!$G$8:$H$14,2,FALSE),YES_Writing_ELA[#Headers],0)))),"")</f>
        <v/>
      </c>
      <c r="H190" s="138" t="str">
        <f>IFERROR(IF(IF(INDEX(_xlfn.VSTACK(YES_Writing_ELA[#Data],YES_Writing_FLA[#Data]),MATCH($A190,_xlfn.VSTACK(YES_Writing_ELA[Student Number],YES_Writing_FLA[Student Number]),0),MATCH(VLOOKUP(H$7,'Writing Logic'!$J$7:$K$11,2,FALSE)&amp;" - Per "&amp;VLOOKUP($C$4,'Writing Logic'!$G$8:$H$14,2,FALSE),YES_Writing_ELA[#Headers],0))=0,"",INDEX(_xlfn.VSTACK(YES_Writing_ELA[#Data],YES_Writing_FLA[#Data]),MATCH($A190,_xlfn.VSTACK(YES_Writing_ELA[Student Number],YES_Writing_FLA[Student Number]),0),MATCH(VLOOKUP(H$7,'Writing Logic'!$J$7:$K$11,2,FALSE)&amp;" - Per "&amp;VLOOKUP($C$4,'Writing Logic'!$G$8:$H$14,2,FALSE),YES_Writing_ELA[#Headers],0)))="INS",'Writing Logic'!$B$7,IF(INDEX(_xlfn.VSTACK(YES_Writing_ELA[#Data],YES_Writing_FLA[#Data]),MATCH($A190,_xlfn.VSTACK(YES_Writing_ELA[Student Number],YES_Writing_FLA[Student Number]),0),MATCH(VLOOKUP(H$7,'Writing Logic'!$J$7:$K$11,2,FALSE)&amp;" - Per "&amp;VLOOKUP($C$4,'Writing Logic'!$G$8:$H$14,2,FALSE),YES_Writing_ELA[#Headers],0))=0,"",INDEX(_xlfn.VSTACK(YES_Writing_ELA[#Data],YES_Writing_FLA[#Data]),MATCH($A190,_xlfn.VSTACK(YES_Writing_ELA[Student Number],YES_Writing_FLA[Student Number]),0),MATCH(VLOOKUP(H$7,'Writing Logic'!$J$7:$K$11,2,FALSE)&amp;" - Per "&amp;VLOOKUP($C$4,'Writing Logic'!$G$8:$H$14,2,FALSE),YES_Writing_ELA[#Headers],0)))),"")</f>
        <v/>
      </c>
    </row>
    <row r="191" spans="1:8" ht="14.25" customHeight="1" x14ac:dyDescent="0.25">
      <c r="A191" s="137"/>
      <c r="B191" s="137" t="str">
        <f>IFERROR(INDEX(_xlfn.VSTACK(YES_Writing_ELA[#Data], YES_Writing_FLA[#Data]),MATCH($A191,_xlfn.VSTACK(YES_Writing_ELA[Student Number], YES_Writing_FLA[Student Number]),0),MATCH(B$7,YES_Writing_ELA[#Headers],0)),"")</f>
        <v/>
      </c>
      <c r="C191" s="137" t="str">
        <f>IFERROR(INDEX(_xlfn.VSTACK(YES_Writing_ELA[#Data], YES_Writing_FLA[#Data]),MATCH($A191,_xlfn.VSTACK(YES_Writing_ELA[Student Number], YES_Writing_FLA[Student Number]),0),MATCH(C$7,YES_Writing_ELA[#Headers],0)),"")</f>
        <v/>
      </c>
      <c r="D191" s="138" t="str">
        <f>IFERROR(IF(IF(INDEX(_xlfn.VSTACK(YES_Writing_ELA[#Data],YES_Writing_FLA[#Data]),MATCH($A191,_xlfn.VSTACK(YES_Writing_ELA[Student Number],YES_Writing_FLA[Student Number]),0),MATCH(VLOOKUP(D$7,'Writing Logic'!$J$7:$K$11,2,FALSE)&amp;" - Per "&amp;VLOOKUP($C$4,'Writing Logic'!$G$8:$H$14,2,FALSE),YES_Writing_ELA[#Headers],0))=0,"",INDEX(_xlfn.VSTACK(YES_Writing_ELA[#Data],YES_Writing_FLA[#Data]),MATCH($A191,_xlfn.VSTACK(YES_Writing_ELA[Student Number],YES_Writing_FLA[Student Number]),0),MATCH(VLOOKUP(D$7,'Writing Logic'!$J$7:$K$11,2,FALSE)&amp;" - Per "&amp;VLOOKUP($C$4,'Writing Logic'!$G$8:$H$14,2,FALSE),YES_Writing_ELA[#Headers],0)))="INS",'Writing Logic'!$B$7,IF(INDEX(_xlfn.VSTACK(YES_Writing_ELA[#Data],YES_Writing_FLA[#Data]),MATCH($A191,_xlfn.VSTACK(YES_Writing_ELA[Student Number],YES_Writing_FLA[Student Number]),0),MATCH(VLOOKUP(D$7,'Writing Logic'!$J$7:$K$11,2,FALSE)&amp;" - Per "&amp;VLOOKUP($C$4,'Writing Logic'!$G$8:$H$14,2,FALSE),YES_Writing_ELA[#Headers],0))=0,"",INDEX(_xlfn.VSTACK(YES_Writing_ELA[#Data],YES_Writing_FLA[#Data]),MATCH($A191,_xlfn.VSTACK(YES_Writing_ELA[Student Number],YES_Writing_FLA[Student Number]),0),MATCH(VLOOKUP(D$7,'Writing Logic'!$J$7:$K$11,2,FALSE)&amp;" - Per "&amp;VLOOKUP($C$4,'Writing Logic'!$G$8:$H$14,2,FALSE),YES_Writing_ELA[#Headers],0)))),"")</f>
        <v/>
      </c>
      <c r="E191" s="138" t="str">
        <f>IFERROR(IF(IF(INDEX(_xlfn.VSTACK(YES_Writing_ELA[#Data],YES_Writing_FLA[#Data]),MATCH($A191,_xlfn.VSTACK(YES_Writing_ELA[Student Number],YES_Writing_FLA[Student Number]),0),MATCH(VLOOKUP(E$7,'Writing Logic'!$J$7:$K$11,2,FALSE)&amp;" - Per "&amp;VLOOKUP($C$4,'Writing Logic'!$G$8:$H$14,2,FALSE),YES_Writing_ELA[#Headers],0))=0,"",INDEX(_xlfn.VSTACK(YES_Writing_ELA[#Data],YES_Writing_FLA[#Data]),MATCH($A191,_xlfn.VSTACK(YES_Writing_ELA[Student Number],YES_Writing_FLA[Student Number]),0),MATCH(VLOOKUP(E$7,'Writing Logic'!$J$7:$K$11,2,FALSE)&amp;" - Per "&amp;VLOOKUP($C$4,'Writing Logic'!$G$8:$H$14,2,FALSE),YES_Writing_ELA[#Headers],0)))="INS",'Writing Logic'!$B$7,IF(INDEX(_xlfn.VSTACK(YES_Writing_ELA[#Data],YES_Writing_FLA[#Data]),MATCH($A191,_xlfn.VSTACK(YES_Writing_ELA[Student Number],YES_Writing_FLA[Student Number]),0),MATCH(VLOOKUP(E$7,'Writing Logic'!$J$7:$K$11,2,FALSE)&amp;" - Per "&amp;VLOOKUP($C$4,'Writing Logic'!$G$8:$H$14,2,FALSE),YES_Writing_ELA[#Headers],0))=0,"",INDEX(_xlfn.VSTACK(YES_Writing_ELA[#Data],YES_Writing_FLA[#Data]),MATCH($A191,_xlfn.VSTACK(YES_Writing_ELA[Student Number],YES_Writing_FLA[Student Number]),0),MATCH(VLOOKUP(E$7,'Writing Logic'!$J$7:$K$11,2,FALSE)&amp;" - Per "&amp;VLOOKUP($C$4,'Writing Logic'!$G$8:$H$14,2,FALSE),YES_Writing_ELA[#Headers],0)))),"")</f>
        <v/>
      </c>
      <c r="F191" s="138" t="str">
        <f>IFERROR(IF(IF(INDEX(_xlfn.VSTACK(YES_Writing_ELA[#Data],YES_Writing_FLA[#Data]),MATCH($A191,_xlfn.VSTACK(YES_Writing_ELA[Student Number],YES_Writing_FLA[Student Number]),0),MATCH(VLOOKUP(F$7,'Writing Logic'!$J$7:$K$11,2,FALSE)&amp;" - Per "&amp;VLOOKUP($C$4,'Writing Logic'!$G$8:$H$14,2,FALSE),YES_Writing_ELA[#Headers],0))=0,"",INDEX(_xlfn.VSTACK(YES_Writing_ELA[#Data],YES_Writing_FLA[#Data]),MATCH($A191,_xlfn.VSTACK(YES_Writing_ELA[Student Number],YES_Writing_FLA[Student Number]),0),MATCH(VLOOKUP(F$7,'Writing Logic'!$J$7:$K$11,2,FALSE)&amp;" - Per "&amp;VLOOKUP($C$4,'Writing Logic'!$G$8:$H$14,2,FALSE),YES_Writing_ELA[#Headers],0)))="INS",'Writing Logic'!$B$7,IF(INDEX(_xlfn.VSTACK(YES_Writing_ELA[#Data],YES_Writing_FLA[#Data]),MATCH($A191,_xlfn.VSTACK(YES_Writing_ELA[Student Number],YES_Writing_FLA[Student Number]),0),MATCH(VLOOKUP(F$7,'Writing Logic'!$J$7:$K$11,2,FALSE)&amp;" - Per "&amp;VLOOKUP($C$4,'Writing Logic'!$G$8:$H$14,2,FALSE),YES_Writing_ELA[#Headers],0))=0,"",INDEX(_xlfn.VSTACK(YES_Writing_ELA[#Data],YES_Writing_FLA[#Data]),MATCH($A191,_xlfn.VSTACK(YES_Writing_ELA[Student Number],YES_Writing_FLA[Student Number]),0),MATCH(VLOOKUP(F$7,'Writing Logic'!$J$7:$K$11,2,FALSE)&amp;" - Per "&amp;VLOOKUP($C$4,'Writing Logic'!$G$8:$H$14,2,FALSE),YES_Writing_ELA[#Headers],0)))),"")</f>
        <v/>
      </c>
      <c r="G191" s="138" t="str">
        <f>IFERROR(IF(IF(INDEX(_xlfn.VSTACK(YES_Writing_ELA[#Data],YES_Writing_FLA[#Data]),MATCH($A191,_xlfn.VSTACK(YES_Writing_ELA[Student Number],YES_Writing_FLA[Student Number]),0),MATCH(VLOOKUP(G$7,'Writing Logic'!$J$7:$K$11,2,FALSE)&amp;" - Per "&amp;VLOOKUP($C$4,'Writing Logic'!$G$8:$H$14,2,FALSE),YES_Writing_ELA[#Headers],0))=0,"",INDEX(_xlfn.VSTACK(YES_Writing_ELA[#Data],YES_Writing_FLA[#Data]),MATCH($A191,_xlfn.VSTACK(YES_Writing_ELA[Student Number],YES_Writing_FLA[Student Number]),0),MATCH(VLOOKUP(G$7,'Writing Logic'!$J$7:$K$11,2,FALSE)&amp;" - Per "&amp;VLOOKUP($C$4,'Writing Logic'!$G$8:$H$14,2,FALSE),YES_Writing_ELA[#Headers],0)))="INS",'Writing Logic'!$B$7,IF(INDEX(_xlfn.VSTACK(YES_Writing_ELA[#Data],YES_Writing_FLA[#Data]),MATCH($A191,_xlfn.VSTACK(YES_Writing_ELA[Student Number],YES_Writing_FLA[Student Number]),0),MATCH(VLOOKUP(G$7,'Writing Logic'!$J$7:$K$11,2,FALSE)&amp;" - Per "&amp;VLOOKUP($C$4,'Writing Logic'!$G$8:$H$14,2,FALSE),YES_Writing_ELA[#Headers],0))=0,"",INDEX(_xlfn.VSTACK(YES_Writing_ELA[#Data],YES_Writing_FLA[#Data]),MATCH($A191,_xlfn.VSTACK(YES_Writing_ELA[Student Number],YES_Writing_FLA[Student Number]),0),MATCH(VLOOKUP(G$7,'Writing Logic'!$J$7:$K$11,2,FALSE)&amp;" - Per "&amp;VLOOKUP($C$4,'Writing Logic'!$G$8:$H$14,2,FALSE),YES_Writing_ELA[#Headers],0)))),"")</f>
        <v/>
      </c>
      <c r="H191" s="138" t="str">
        <f>IFERROR(IF(IF(INDEX(_xlfn.VSTACK(YES_Writing_ELA[#Data],YES_Writing_FLA[#Data]),MATCH($A191,_xlfn.VSTACK(YES_Writing_ELA[Student Number],YES_Writing_FLA[Student Number]),0),MATCH(VLOOKUP(H$7,'Writing Logic'!$J$7:$K$11,2,FALSE)&amp;" - Per "&amp;VLOOKUP($C$4,'Writing Logic'!$G$8:$H$14,2,FALSE),YES_Writing_ELA[#Headers],0))=0,"",INDEX(_xlfn.VSTACK(YES_Writing_ELA[#Data],YES_Writing_FLA[#Data]),MATCH($A191,_xlfn.VSTACK(YES_Writing_ELA[Student Number],YES_Writing_FLA[Student Number]),0),MATCH(VLOOKUP(H$7,'Writing Logic'!$J$7:$K$11,2,FALSE)&amp;" - Per "&amp;VLOOKUP($C$4,'Writing Logic'!$G$8:$H$14,2,FALSE),YES_Writing_ELA[#Headers],0)))="INS",'Writing Logic'!$B$7,IF(INDEX(_xlfn.VSTACK(YES_Writing_ELA[#Data],YES_Writing_FLA[#Data]),MATCH($A191,_xlfn.VSTACK(YES_Writing_ELA[Student Number],YES_Writing_FLA[Student Number]),0),MATCH(VLOOKUP(H$7,'Writing Logic'!$J$7:$K$11,2,FALSE)&amp;" - Per "&amp;VLOOKUP($C$4,'Writing Logic'!$G$8:$H$14,2,FALSE),YES_Writing_ELA[#Headers],0))=0,"",INDEX(_xlfn.VSTACK(YES_Writing_ELA[#Data],YES_Writing_FLA[#Data]),MATCH($A191,_xlfn.VSTACK(YES_Writing_ELA[Student Number],YES_Writing_FLA[Student Number]),0),MATCH(VLOOKUP(H$7,'Writing Logic'!$J$7:$K$11,2,FALSE)&amp;" - Per "&amp;VLOOKUP($C$4,'Writing Logic'!$G$8:$H$14,2,FALSE),YES_Writing_ELA[#Headers],0)))),"")</f>
        <v/>
      </c>
    </row>
    <row r="192" spans="1:8" ht="14.25" customHeight="1" x14ac:dyDescent="0.25">
      <c r="A192" s="137"/>
      <c r="B192" s="137" t="str">
        <f>IFERROR(INDEX(_xlfn.VSTACK(YES_Writing_ELA[#Data], YES_Writing_FLA[#Data]),MATCH($A192,_xlfn.VSTACK(YES_Writing_ELA[Student Number], YES_Writing_FLA[Student Number]),0),MATCH(B$7,YES_Writing_ELA[#Headers],0)),"")</f>
        <v/>
      </c>
      <c r="C192" s="137" t="str">
        <f>IFERROR(INDEX(_xlfn.VSTACK(YES_Writing_ELA[#Data], YES_Writing_FLA[#Data]),MATCH($A192,_xlfn.VSTACK(YES_Writing_ELA[Student Number], YES_Writing_FLA[Student Number]),0),MATCH(C$7,YES_Writing_ELA[#Headers],0)),"")</f>
        <v/>
      </c>
      <c r="D192" s="138" t="str">
        <f>IFERROR(IF(IF(INDEX(_xlfn.VSTACK(YES_Writing_ELA[#Data],YES_Writing_FLA[#Data]),MATCH($A192,_xlfn.VSTACK(YES_Writing_ELA[Student Number],YES_Writing_FLA[Student Number]),0),MATCH(VLOOKUP(D$7,'Writing Logic'!$J$7:$K$11,2,FALSE)&amp;" - Per "&amp;VLOOKUP($C$4,'Writing Logic'!$G$8:$H$14,2,FALSE),YES_Writing_ELA[#Headers],0))=0,"",INDEX(_xlfn.VSTACK(YES_Writing_ELA[#Data],YES_Writing_FLA[#Data]),MATCH($A192,_xlfn.VSTACK(YES_Writing_ELA[Student Number],YES_Writing_FLA[Student Number]),0),MATCH(VLOOKUP(D$7,'Writing Logic'!$J$7:$K$11,2,FALSE)&amp;" - Per "&amp;VLOOKUP($C$4,'Writing Logic'!$G$8:$H$14,2,FALSE),YES_Writing_ELA[#Headers],0)))="INS",'Writing Logic'!$B$7,IF(INDEX(_xlfn.VSTACK(YES_Writing_ELA[#Data],YES_Writing_FLA[#Data]),MATCH($A192,_xlfn.VSTACK(YES_Writing_ELA[Student Number],YES_Writing_FLA[Student Number]),0),MATCH(VLOOKUP(D$7,'Writing Logic'!$J$7:$K$11,2,FALSE)&amp;" - Per "&amp;VLOOKUP($C$4,'Writing Logic'!$G$8:$H$14,2,FALSE),YES_Writing_ELA[#Headers],0))=0,"",INDEX(_xlfn.VSTACK(YES_Writing_ELA[#Data],YES_Writing_FLA[#Data]),MATCH($A192,_xlfn.VSTACK(YES_Writing_ELA[Student Number],YES_Writing_FLA[Student Number]),0),MATCH(VLOOKUP(D$7,'Writing Logic'!$J$7:$K$11,2,FALSE)&amp;" - Per "&amp;VLOOKUP($C$4,'Writing Logic'!$G$8:$H$14,2,FALSE),YES_Writing_ELA[#Headers],0)))),"")</f>
        <v/>
      </c>
      <c r="E192" s="138" t="str">
        <f>IFERROR(IF(IF(INDEX(_xlfn.VSTACK(YES_Writing_ELA[#Data],YES_Writing_FLA[#Data]),MATCH($A192,_xlfn.VSTACK(YES_Writing_ELA[Student Number],YES_Writing_FLA[Student Number]),0),MATCH(VLOOKUP(E$7,'Writing Logic'!$J$7:$K$11,2,FALSE)&amp;" - Per "&amp;VLOOKUP($C$4,'Writing Logic'!$G$8:$H$14,2,FALSE),YES_Writing_ELA[#Headers],0))=0,"",INDEX(_xlfn.VSTACK(YES_Writing_ELA[#Data],YES_Writing_FLA[#Data]),MATCH($A192,_xlfn.VSTACK(YES_Writing_ELA[Student Number],YES_Writing_FLA[Student Number]),0),MATCH(VLOOKUP(E$7,'Writing Logic'!$J$7:$K$11,2,FALSE)&amp;" - Per "&amp;VLOOKUP($C$4,'Writing Logic'!$G$8:$H$14,2,FALSE),YES_Writing_ELA[#Headers],0)))="INS",'Writing Logic'!$B$7,IF(INDEX(_xlfn.VSTACK(YES_Writing_ELA[#Data],YES_Writing_FLA[#Data]),MATCH($A192,_xlfn.VSTACK(YES_Writing_ELA[Student Number],YES_Writing_FLA[Student Number]),0),MATCH(VLOOKUP(E$7,'Writing Logic'!$J$7:$K$11,2,FALSE)&amp;" - Per "&amp;VLOOKUP($C$4,'Writing Logic'!$G$8:$H$14,2,FALSE),YES_Writing_ELA[#Headers],0))=0,"",INDEX(_xlfn.VSTACK(YES_Writing_ELA[#Data],YES_Writing_FLA[#Data]),MATCH($A192,_xlfn.VSTACK(YES_Writing_ELA[Student Number],YES_Writing_FLA[Student Number]),0),MATCH(VLOOKUP(E$7,'Writing Logic'!$J$7:$K$11,2,FALSE)&amp;" - Per "&amp;VLOOKUP($C$4,'Writing Logic'!$G$8:$H$14,2,FALSE),YES_Writing_ELA[#Headers],0)))),"")</f>
        <v/>
      </c>
      <c r="F192" s="138" t="str">
        <f>IFERROR(IF(IF(INDEX(_xlfn.VSTACK(YES_Writing_ELA[#Data],YES_Writing_FLA[#Data]),MATCH($A192,_xlfn.VSTACK(YES_Writing_ELA[Student Number],YES_Writing_FLA[Student Number]),0),MATCH(VLOOKUP(F$7,'Writing Logic'!$J$7:$K$11,2,FALSE)&amp;" - Per "&amp;VLOOKUP($C$4,'Writing Logic'!$G$8:$H$14,2,FALSE),YES_Writing_ELA[#Headers],0))=0,"",INDEX(_xlfn.VSTACK(YES_Writing_ELA[#Data],YES_Writing_FLA[#Data]),MATCH($A192,_xlfn.VSTACK(YES_Writing_ELA[Student Number],YES_Writing_FLA[Student Number]),0),MATCH(VLOOKUP(F$7,'Writing Logic'!$J$7:$K$11,2,FALSE)&amp;" - Per "&amp;VLOOKUP($C$4,'Writing Logic'!$G$8:$H$14,2,FALSE),YES_Writing_ELA[#Headers],0)))="INS",'Writing Logic'!$B$7,IF(INDEX(_xlfn.VSTACK(YES_Writing_ELA[#Data],YES_Writing_FLA[#Data]),MATCH($A192,_xlfn.VSTACK(YES_Writing_ELA[Student Number],YES_Writing_FLA[Student Number]),0),MATCH(VLOOKUP(F$7,'Writing Logic'!$J$7:$K$11,2,FALSE)&amp;" - Per "&amp;VLOOKUP($C$4,'Writing Logic'!$G$8:$H$14,2,FALSE),YES_Writing_ELA[#Headers],0))=0,"",INDEX(_xlfn.VSTACK(YES_Writing_ELA[#Data],YES_Writing_FLA[#Data]),MATCH($A192,_xlfn.VSTACK(YES_Writing_ELA[Student Number],YES_Writing_FLA[Student Number]),0),MATCH(VLOOKUP(F$7,'Writing Logic'!$J$7:$K$11,2,FALSE)&amp;" - Per "&amp;VLOOKUP($C$4,'Writing Logic'!$G$8:$H$14,2,FALSE),YES_Writing_ELA[#Headers],0)))),"")</f>
        <v/>
      </c>
      <c r="G192" s="138" t="str">
        <f>IFERROR(IF(IF(INDEX(_xlfn.VSTACK(YES_Writing_ELA[#Data],YES_Writing_FLA[#Data]),MATCH($A192,_xlfn.VSTACK(YES_Writing_ELA[Student Number],YES_Writing_FLA[Student Number]),0),MATCH(VLOOKUP(G$7,'Writing Logic'!$J$7:$K$11,2,FALSE)&amp;" - Per "&amp;VLOOKUP($C$4,'Writing Logic'!$G$8:$H$14,2,FALSE),YES_Writing_ELA[#Headers],0))=0,"",INDEX(_xlfn.VSTACK(YES_Writing_ELA[#Data],YES_Writing_FLA[#Data]),MATCH($A192,_xlfn.VSTACK(YES_Writing_ELA[Student Number],YES_Writing_FLA[Student Number]),0),MATCH(VLOOKUP(G$7,'Writing Logic'!$J$7:$K$11,2,FALSE)&amp;" - Per "&amp;VLOOKUP($C$4,'Writing Logic'!$G$8:$H$14,2,FALSE),YES_Writing_ELA[#Headers],0)))="INS",'Writing Logic'!$B$7,IF(INDEX(_xlfn.VSTACK(YES_Writing_ELA[#Data],YES_Writing_FLA[#Data]),MATCH($A192,_xlfn.VSTACK(YES_Writing_ELA[Student Number],YES_Writing_FLA[Student Number]),0),MATCH(VLOOKUP(G$7,'Writing Logic'!$J$7:$K$11,2,FALSE)&amp;" - Per "&amp;VLOOKUP($C$4,'Writing Logic'!$G$8:$H$14,2,FALSE),YES_Writing_ELA[#Headers],0))=0,"",INDEX(_xlfn.VSTACK(YES_Writing_ELA[#Data],YES_Writing_FLA[#Data]),MATCH($A192,_xlfn.VSTACK(YES_Writing_ELA[Student Number],YES_Writing_FLA[Student Number]),0),MATCH(VLOOKUP(G$7,'Writing Logic'!$J$7:$K$11,2,FALSE)&amp;" - Per "&amp;VLOOKUP($C$4,'Writing Logic'!$G$8:$H$14,2,FALSE),YES_Writing_ELA[#Headers],0)))),"")</f>
        <v/>
      </c>
      <c r="H192" s="138" t="str">
        <f>IFERROR(IF(IF(INDEX(_xlfn.VSTACK(YES_Writing_ELA[#Data],YES_Writing_FLA[#Data]),MATCH($A192,_xlfn.VSTACK(YES_Writing_ELA[Student Number],YES_Writing_FLA[Student Number]),0),MATCH(VLOOKUP(H$7,'Writing Logic'!$J$7:$K$11,2,FALSE)&amp;" - Per "&amp;VLOOKUP($C$4,'Writing Logic'!$G$8:$H$14,2,FALSE),YES_Writing_ELA[#Headers],0))=0,"",INDEX(_xlfn.VSTACK(YES_Writing_ELA[#Data],YES_Writing_FLA[#Data]),MATCH($A192,_xlfn.VSTACK(YES_Writing_ELA[Student Number],YES_Writing_FLA[Student Number]),0),MATCH(VLOOKUP(H$7,'Writing Logic'!$J$7:$K$11,2,FALSE)&amp;" - Per "&amp;VLOOKUP($C$4,'Writing Logic'!$G$8:$H$14,2,FALSE),YES_Writing_ELA[#Headers],0)))="INS",'Writing Logic'!$B$7,IF(INDEX(_xlfn.VSTACK(YES_Writing_ELA[#Data],YES_Writing_FLA[#Data]),MATCH($A192,_xlfn.VSTACK(YES_Writing_ELA[Student Number],YES_Writing_FLA[Student Number]),0),MATCH(VLOOKUP(H$7,'Writing Logic'!$J$7:$K$11,2,FALSE)&amp;" - Per "&amp;VLOOKUP($C$4,'Writing Logic'!$G$8:$H$14,2,FALSE),YES_Writing_ELA[#Headers],0))=0,"",INDEX(_xlfn.VSTACK(YES_Writing_ELA[#Data],YES_Writing_FLA[#Data]),MATCH($A192,_xlfn.VSTACK(YES_Writing_ELA[Student Number],YES_Writing_FLA[Student Number]),0),MATCH(VLOOKUP(H$7,'Writing Logic'!$J$7:$K$11,2,FALSE)&amp;" - Per "&amp;VLOOKUP($C$4,'Writing Logic'!$G$8:$H$14,2,FALSE),YES_Writing_ELA[#Headers],0)))),"")</f>
        <v/>
      </c>
    </row>
    <row r="193" spans="1:8" ht="14.25" customHeight="1" x14ac:dyDescent="0.25">
      <c r="A193" s="137"/>
      <c r="B193" s="137" t="str">
        <f>IFERROR(INDEX(_xlfn.VSTACK(YES_Writing_ELA[#Data], YES_Writing_FLA[#Data]),MATCH($A193,_xlfn.VSTACK(YES_Writing_ELA[Student Number], YES_Writing_FLA[Student Number]),0),MATCH(B$7,YES_Writing_ELA[#Headers],0)),"")</f>
        <v/>
      </c>
      <c r="C193" s="137" t="str">
        <f>IFERROR(INDEX(_xlfn.VSTACK(YES_Writing_ELA[#Data], YES_Writing_FLA[#Data]),MATCH($A193,_xlfn.VSTACK(YES_Writing_ELA[Student Number], YES_Writing_FLA[Student Number]),0),MATCH(C$7,YES_Writing_ELA[#Headers],0)),"")</f>
        <v/>
      </c>
      <c r="D193" s="138" t="str">
        <f>IFERROR(IF(IF(INDEX(_xlfn.VSTACK(YES_Writing_ELA[#Data],YES_Writing_FLA[#Data]),MATCH($A193,_xlfn.VSTACK(YES_Writing_ELA[Student Number],YES_Writing_FLA[Student Number]),0),MATCH(VLOOKUP(D$7,'Writing Logic'!$J$7:$K$11,2,FALSE)&amp;" - Per "&amp;VLOOKUP($C$4,'Writing Logic'!$G$8:$H$14,2,FALSE),YES_Writing_ELA[#Headers],0))=0,"",INDEX(_xlfn.VSTACK(YES_Writing_ELA[#Data],YES_Writing_FLA[#Data]),MATCH($A193,_xlfn.VSTACK(YES_Writing_ELA[Student Number],YES_Writing_FLA[Student Number]),0),MATCH(VLOOKUP(D$7,'Writing Logic'!$J$7:$K$11,2,FALSE)&amp;" - Per "&amp;VLOOKUP($C$4,'Writing Logic'!$G$8:$H$14,2,FALSE),YES_Writing_ELA[#Headers],0)))="INS",'Writing Logic'!$B$7,IF(INDEX(_xlfn.VSTACK(YES_Writing_ELA[#Data],YES_Writing_FLA[#Data]),MATCH($A193,_xlfn.VSTACK(YES_Writing_ELA[Student Number],YES_Writing_FLA[Student Number]),0),MATCH(VLOOKUP(D$7,'Writing Logic'!$J$7:$K$11,2,FALSE)&amp;" - Per "&amp;VLOOKUP($C$4,'Writing Logic'!$G$8:$H$14,2,FALSE),YES_Writing_ELA[#Headers],0))=0,"",INDEX(_xlfn.VSTACK(YES_Writing_ELA[#Data],YES_Writing_FLA[#Data]),MATCH($A193,_xlfn.VSTACK(YES_Writing_ELA[Student Number],YES_Writing_FLA[Student Number]),0),MATCH(VLOOKUP(D$7,'Writing Logic'!$J$7:$K$11,2,FALSE)&amp;" - Per "&amp;VLOOKUP($C$4,'Writing Logic'!$G$8:$H$14,2,FALSE),YES_Writing_ELA[#Headers],0)))),"")</f>
        <v/>
      </c>
      <c r="E193" s="138" t="str">
        <f>IFERROR(IF(IF(INDEX(_xlfn.VSTACK(YES_Writing_ELA[#Data],YES_Writing_FLA[#Data]),MATCH($A193,_xlfn.VSTACK(YES_Writing_ELA[Student Number],YES_Writing_FLA[Student Number]),0),MATCH(VLOOKUP(E$7,'Writing Logic'!$J$7:$K$11,2,FALSE)&amp;" - Per "&amp;VLOOKUP($C$4,'Writing Logic'!$G$8:$H$14,2,FALSE),YES_Writing_ELA[#Headers],0))=0,"",INDEX(_xlfn.VSTACK(YES_Writing_ELA[#Data],YES_Writing_FLA[#Data]),MATCH($A193,_xlfn.VSTACK(YES_Writing_ELA[Student Number],YES_Writing_FLA[Student Number]),0),MATCH(VLOOKUP(E$7,'Writing Logic'!$J$7:$K$11,2,FALSE)&amp;" - Per "&amp;VLOOKUP($C$4,'Writing Logic'!$G$8:$H$14,2,FALSE),YES_Writing_ELA[#Headers],0)))="INS",'Writing Logic'!$B$7,IF(INDEX(_xlfn.VSTACK(YES_Writing_ELA[#Data],YES_Writing_FLA[#Data]),MATCH($A193,_xlfn.VSTACK(YES_Writing_ELA[Student Number],YES_Writing_FLA[Student Number]),0),MATCH(VLOOKUP(E$7,'Writing Logic'!$J$7:$K$11,2,FALSE)&amp;" - Per "&amp;VLOOKUP($C$4,'Writing Logic'!$G$8:$H$14,2,FALSE),YES_Writing_ELA[#Headers],0))=0,"",INDEX(_xlfn.VSTACK(YES_Writing_ELA[#Data],YES_Writing_FLA[#Data]),MATCH($A193,_xlfn.VSTACK(YES_Writing_ELA[Student Number],YES_Writing_FLA[Student Number]),0),MATCH(VLOOKUP(E$7,'Writing Logic'!$J$7:$K$11,2,FALSE)&amp;" - Per "&amp;VLOOKUP($C$4,'Writing Logic'!$G$8:$H$14,2,FALSE),YES_Writing_ELA[#Headers],0)))),"")</f>
        <v/>
      </c>
      <c r="F193" s="138" t="str">
        <f>IFERROR(IF(IF(INDEX(_xlfn.VSTACK(YES_Writing_ELA[#Data],YES_Writing_FLA[#Data]),MATCH($A193,_xlfn.VSTACK(YES_Writing_ELA[Student Number],YES_Writing_FLA[Student Number]),0),MATCH(VLOOKUP(F$7,'Writing Logic'!$J$7:$K$11,2,FALSE)&amp;" - Per "&amp;VLOOKUP($C$4,'Writing Logic'!$G$8:$H$14,2,FALSE),YES_Writing_ELA[#Headers],0))=0,"",INDEX(_xlfn.VSTACK(YES_Writing_ELA[#Data],YES_Writing_FLA[#Data]),MATCH($A193,_xlfn.VSTACK(YES_Writing_ELA[Student Number],YES_Writing_FLA[Student Number]),0),MATCH(VLOOKUP(F$7,'Writing Logic'!$J$7:$K$11,2,FALSE)&amp;" - Per "&amp;VLOOKUP($C$4,'Writing Logic'!$G$8:$H$14,2,FALSE),YES_Writing_ELA[#Headers],0)))="INS",'Writing Logic'!$B$7,IF(INDEX(_xlfn.VSTACK(YES_Writing_ELA[#Data],YES_Writing_FLA[#Data]),MATCH($A193,_xlfn.VSTACK(YES_Writing_ELA[Student Number],YES_Writing_FLA[Student Number]),0),MATCH(VLOOKUP(F$7,'Writing Logic'!$J$7:$K$11,2,FALSE)&amp;" - Per "&amp;VLOOKUP($C$4,'Writing Logic'!$G$8:$H$14,2,FALSE),YES_Writing_ELA[#Headers],0))=0,"",INDEX(_xlfn.VSTACK(YES_Writing_ELA[#Data],YES_Writing_FLA[#Data]),MATCH($A193,_xlfn.VSTACK(YES_Writing_ELA[Student Number],YES_Writing_FLA[Student Number]),0),MATCH(VLOOKUP(F$7,'Writing Logic'!$J$7:$K$11,2,FALSE)&amp;" - Per "&amp;VLOOKUP($C$4,'Writing Logic'!$G$8:$H$14,2,FALSE),YES_Writing_ELA[#Headers],0)))),"")</f>
        <v/>
      </c>
      <c r="G193" s="138" t="str">
        <f>IFERROR(IF(IF(INDEX(_xlfn.VSTACK(YES_Writing_ELA[#Data],YES_Writing_FLA[#Data]),MATCH($A193,_xlfn.VSTACK(YES_Writing_ELA[Student Number],YES_Writing_FLA[Student Number]),0),MATCH(VLOOKUP(G$7,'Writing Logic'!$J$7:$K$11,2,FALSE)&amp;" - Per "&amp;VLOOKUP($C$4,'Writing Logic'!$G$8:$H$14,2,FALSE),YES_Writing_ELA[#Headers],0))=0,"",INDEX(_xlfn.VSTACK(YES_Writing_ELA[#Data],YES_Writing_FLA[#Data]),MATCH($A193,_xlfn.VSTACK(YES_Writing_ELA[Student Number],YES_Writing_FLA[Student Number]),0),MATCH(VLOOKUP(G$7,'Writing Logic'!$J$7:$K$11,2,FALSE)&amp;" - Per "&amp;VLOOKUP($C$4,'Writing Logic'!$G$8:$H$14,2,FALSE),YES_Writing_ELA[#Headers],0)))="INS",'Writing Logic'!$B$7,IF(INDEX(_xlfn.VSTACK(YES_Writing_ELA[#Data],YES_Writing_FLA[#Data]),MATCH($A193,_xlfn.VSTACK(YES_Writing_ELA[Student Number],YES_Writing_FLA[Student Number]),0),MATCH(VLOOKUP(G$7,'Writing Logic'!$J$7:$K$11,2,FALSE)&amp;" - Per "&amp;VLOOKUP($C$4,'Writing Logic'!$G$8:$H$14,2,FALSE),YES_Writing_ELA[#Headers],0))=0,"",INDEX(_xlfn.VSTACK(YES_Writing_ELA[#Data],YES_Writing_FLA[#Data]),MATCH($A193,_xlfn.VSTACK(YES_Writing_ELA[Student Number],YES_Writing_FLA[Student Number]),0),MATCH(VLOOKUP(G$7,'Writing Logic'!$J$7:$K$11,2,FALSE)&amp;" - Per "&amp;VLOOKUP($C$4,'Writing Logic'!$G$8:$H$14,2,FALSE),YES_Writing_ELA[#Headers],0)))),"")</f>
        <v/>
      </c>
      <c r="H193" s="138" t="str">
        <f>IFERROR(IF(IF(INDEX(_xlfn.VSTACK(YES_Writing_ELA[#Data],YES_Writing_FLA[#Data]),MATCH($A193,_xlfn.VSTACK(YES_Writing_ELA[Student Number],YES_Writing_FLA[Student Number]),0),MATCH(VLOOKUP(H$7,'Writing Logic'!$J$7:$K$11,2,FALSE)&amp;" - Per "&amp;VLOOKUP($C$4,'Writing Logic'!$G$8:$H$14,2,FALSE),YES_Writing_ELA[#Headers],0))=0,"",INDEX(_xlfn.VSTACK(YES_Writing_ELA[#Data],YES_Writing_FLA[#Data]),MATCH($A193,_xlfn.VSTACK(YES_Writing_ELA[Student Number],YES_Writing_FLA[Student Number]),0),MATCH(VLOOKUP(H$7,'Writing Logic'!$J$7:$K$11,2,FALSE)&amp;" - Per "&amp;VLOOKUP($C$4,'Writing Logic'!$G$8:$H$14,2,FALSE),YES_Writing_ELA[#Headers],0)))="INS",'Writing Logic'!$B$7,IF(INDEX(_xlfn.VSTACK(YES_Writing_ELA[#Data],YES_Writing_FLA[#Data]),MATCH($A193,_xlfn.VSTACK(YES_Writing_ELA[Student Number],YES_Writing_FLA[Student Number]),0),MATCH(VLOOKUP(H$7,'Writing Logic'!$J$7:$K$11,2,FALSE)&amp;" - Per "&amp;VLOOKUP($C$4,'Writing Logic'!$G$8:$H$14,2,FALSE),YES_Writing_ELA[#Headers],0))=0,"",INDEX(_xlfn.VSTACK(YES_Writing_ELA[#Data],YES_Writing_FLA[#Data]),MATCH($A193,_xlfn.VSTACK(YES_Writing_ELA[Student Number],YES_Writing_FLA[Student Number]),0),MATCH(VLOOKUP(H$7,'Writing Logic'!$J$7:$K$11,2,FALSE)&amp;" - Per "&amp;VLOOKUP($C$4,'Writing Logic'!$G$8:$H$14,2,FALSE),YES_Writing_ELA[#Headers],0)))),"")</f>
        <v/>
      </c>
    </row>
    <row r="194" spans="1:8" ht="14.25" customHeight="1" x14ac:dyDescent="0.25">
      <c r="A194" s="137"/>
      <c r="B194" s="137" t="str">
        <f>IFERROR(INDEX(_xlfn.VSTACK(YES_Writing_ELA[#Data], YES_Writing_FLA[#Data]),MATCH($A194,_xlfn.VSTACK(YES_Writing_ELA[Student Number], YES_Writing_FLA[Student Number]),0),MATCH(B$7,YES_Writing_ELA[#Headers],0)),"")</f>
        <v/>
      </c>
      <c r="C194" s="137" t="str">
        <f>IFERROR(INDEX(_xlfn.VSTACK(YES_Writing_ELA[#Data], YES_Writing_FLA[#Data]),MATCH($A194,_xlfn.VSTACK(YES_Writing_ELA[Student Number], YES_Writing_FLA[Student Number]),0),MATCH(C$7,YES_Writing_ELA[#Headers],0)),"")</f>
        <v/>
      </c>
      <c r="D194" s="138" t="str">
        <f>IFERROR(IF(IF(INDEX(_xlfn.VSTACK(YES_Writing_ELA[#Data],YES_Writing_FLA[#Data]),MATCH($A194,_xlfn.VSTACK(YES_Writing_ELA[Student Number],YES_Writing_FLA[Student Number]),0),MATCH(VLOOKUP(D$7,'Writing Logic'!$J$7:$K$11,2,FALSE)&amp;" - Per "&amp;VLOOKUP($C$4,'Writing Logic'!$G$8:$H$14,2,FALSE),YES_Writing_ELA[#Headers],0))=0,"",INDEX(_xlfn.VSTACK(YES_Writing_ELA[#Data],YES_Writing_FLA[#Data]),MATCH($A194,_xlfn.VSTACK(YES_Writing_ELA[Student Number],YES_Writing_FLA[Student Number]),0),MATCH(VLOOKUP(D$7,'Writing Logic'!$J$7:$K$11,2,FALSE)&amp;" - Per "&amp;VLOOKUP($C$4,'Writing Logic'!$G$8:$H$14,2,FALSE),YES_Writing_ELA[#Headers],0)))="INS",'Writing Logic'!$B$7,IF(INDEX(_xlfn.VSTACK(YES_Writing_ELA[#Data],YES_Writing_FLA[#Data]),MATCH($A194,_xlfn.VSTACK(YES_Writing_ELA[Student Number],YES_Writing_FLA[Student Number]),0),MATCH(VLOOKUP(D$7,'Writing Logic'!$J$7:$K$11,2,FALSE)&amp;" - Per "&amp;VLOOKUP($C$4,'Writing Logic'!$G$8:$H$14,2,FALSE),YES_Writing_ELA[#Headers],0))=0,"",INDEX(_xlfn.VSTACK(YES_Writing_ELA[#Data],YES_Writing_FLA[#Data]),MATCH($A194,_xlfn.VSTACK(YES_Writing_ELA[Student Number],YES_Writing_FLA[Student Number]),0),MATCH(VLOOKUP(D$7,'Writing Logic'!$J$7:$K$11,2,FALSE)&amp;" - Per "&amp;VLOOKUP($C$4,'Writing Logic'!$G$8:$H$14,2,FALSE),YES_Writing_ELA[#Headers],0)))),"")</f>
        <v/>
      </c>
      <c r="E194" s="138" t="str">
        <f>IFERROR(IF(IF(INDEX(_xlfn.VSTACK(YES_Writing_ELA[#Data],YES_Writing_FLA[#Data]),MATCH($A194,_xlfn.VSTACK(YES_Writing_ELA[Student Number],YES_Writing_FLA[Student Number]),0),MATCH(VLOOKUP(E$7,'Writing Logic'!$J$7:$K$11,2,FALSE)&amp;" - Per "&amp;VLOOKUP($C$4,'Writing Logic'!$G$8:$H$14,2,FALSE),YES_Writing_ELA[#Headers],0))=0,"",INDEX(_xlfn.VSTACK(YES_Writing_ELA[#Data],YES_Writing_FLA[#Data]),MATCH($A194,_xlfn.VSTACK(YES_Writing_ELA[Student Number],YES_Writing_FLA[Student Number]),0),MATCH(VLOOKUP(E$7,'Writing Logic'!$J$7:$K$11,2,FALSE)&amp;" - Per "&amp;VLOOKUP($C$4,'Writing Logic'!$G$8:$H$14,2,FALSE),YES_Writing_ELA[#Headers],0)))="INS",'Writing Logic'!$B$7,IF(INDEX(_xlfn.VSTACK(YES_Writing_ELA[#Data],YES_Writing_FLA[#Data]),MATCH($A194,_xlfn.VSTACK(YES_Writing_ELA[Student Number],YES_Writing_FLA[Student Number]),0),MATCH(VLOOKUP(E$7,'Writing Logic'!$J$7:$K$11,2,FALSE)&amp;" - Per "&amp;VLOOKUP($C$4,'Writing Logic'!$G$8:$H$14,2,FALSE),YES_Writing_ELA[#Headers],0))=0,"",INDEX(_xlfn.VSTACK(YES_Writing_ELA[#Data],YES_Writing_FLA[#Data]),MATCH($A194,_xlfn.VSTACK(YES_Writing_ELA[Student Number],YES_Writing_FLA[Student Number]),0),MATCH(VLOOKUP(E$7,'Writing Logic'!$J$7:$K$11,2,FALSE)&amp;" - Per "&amp;VLOOKUP($C$4,'Writing Logic'!$G$8:$H$14,2,FALSE),YES_Writing_ELA[#Headers],0)))),"")</f>
        <v/>
      </c>
      <c r="F194" s="138" t="str">
        <f>IFERROR(IF(IF(INDEX(_xlfn.VSTACK(YES_Writing_ELA[#Data],YES_Writing_FLA[#Data]),MATCH($A194,_xlfn.VSTACK(YES_Writing_ELA[Student Number],YES_Writing_FLA[Student Number]),0),MATCH(VLOOKUP(F$7,'Writing Logic'!$J$7:$K$11,2,FALSE)&amp;" - Per "&amp;VLOOKUP($C$4,'Writing Logic'!$G$8:$H$14,2,FALSE),YES_Writing_ELA[#Headers],0))=0,"",INDEX(_xlfn.VSTACK(YES_Writing_ELA[#Data],YES_Writing_FLA[#Data]),MATCH($A194,_xlfn.VSTACK(YES_Writing_ELA[Student Number],YES_Writing_FLA[Student Number]),0),MATCH(VLOOKUP(F$7,'Writing Logic'!$J$7:$K$11,2,FALSE)&amp;" - Per "&amp;VLOOKUP($C$4,'Writing Logic'!$G$8:$H$14,2,FALSE),YES_Writing_ELA[#Headers],0)))="INS",'Writing Logic'!$B$7,IF(INDEX(_xlfn.VSTACK(YES_Writing_ELA[#Data],YES_Writing_FLA[#Data]),MATCH($A194,_xlfn.VSTACK(YES_Writing_ELA[Student Number],YES_Writing_FLA[Student Number]),0),MATCH(VLOOKUP(F$7,'Writing Logic'!$J$7:$K$11,2,FALSE)&amp;" - Per "&amp;VLOOKUP($C$4,'Writing Logic'!$G$8:$H$14,2,FALSE),YES_Writing_ELA[#Headers],0))=0,"",INDEX(_xlfn.VSTACK(YES_Writing_ELA[#Data],YES_Writing_FLA[#Data]),MATCH($A194,_xlfn.VSTACK(YES_Writing_ELA[Student Number],YES_Writing_FLA[Student Number]),0),MATCH(VLOOKUP(F$7,'Writing Logic'!$J$7:$K$11,2,FALSE)&amp;" - Per "&amp;VLOOKUP($C$4,'Writing Logic'!$G$8:$H$14,2,FALSE),YES_Writing_ELA[#Headers],0)))),"")</f>
        <v/>
      </c>
      <c r="G194" s="138" t="str">
        <f>IFERROR(IF(IF(INDEX(_xlfn.VSTACK(YES_Writing_ELA[#Data],YES_Writing_FLA[#Data]),MATCH($A194,_xlfn.VSTACK(YES_Writing_ELA[Student Number],YES_Writing_FLA[Student Number]),0),MATCH(VLOOKUP(G$7,'Writing Logic'!$J$7:$K$11,2,FALSE)&amp;" - Per "&amp;VLOOKUP($C$4,'Writing Logic'!$G$8:$H$14,2,FALSE),YES_Writing_ELA[#Headers],0))=0,"",INDEX(_xlfn.VSTACK(YES_Writing_ELA[#Data],YES_Writing_FLA[#Data]),MATCH($A194,_xlfn.VSTACK(YES_Writing_ELA[Student Number],YES_Writing_FLA[Student Number]),0),MATCH(VLOOKUP(G$7,'Writing Logic'!$J$7:$K$11,2,FALSE)&amp;" - Per "&amp;VLOOKUP($C$4,'Writing Logic'!$G$8:$H$14,2,FALSE),YES_Writing_ELA[#Headers],0)))="INS",'Writing Logic'!$B$7,IF(INDEX(_xlfn.VSTACK(YES_Writing_ELA[#Data],YES_Writing_FLA[#Data]),MATCH($A194,_xlfn.VSTACK(YES_Writing_ELA[Student Number],YES_Writing_FLA[Student Number]),0),MATCH(VLOOKUP(G$7,'Writing Logic'!$J$7:$K$11,2,FALSE)&amp;" - Per "&amp;VLOOKUP($C$4,'Writing Logic'!$G$8:$H$14,2,FALSE),YES_Writing_ELA[#Headers],0))=0,"",INDEX(_xlfn.VSTACK(YES_Writing_ELA[#Data],YES_Writing_FLA[#Data]),MATCH($A194,_xlfn.VSTACK(YES_Writing_ELA[Student Number],YES_Writing_FLA[Student Number]),0),MATCH(VLOOKUP(G$7,'Writing Logic'!$J$7:$K$11,2,FALSE)&amp;" - Per "&amp;VLOOKUP($C$4,'Writing Logic'!$G$8:$H$14,2,FALSE),YES_Writing_ELA[#Headers],0)))),"")</f>
        <v/>
      </c>
      <c r="H194" s="138" t="str">
        <f>IFERROR(IF(IF(INDEX(_xlfn.VSTACK(YES_Writing_ELA[#Data],YES_Writing_FLA[#Data]),MATCH($A194,_xlfn.VSTACK(YES_Writing_ELA[Student Number],YES_Writing_FLA[Student Number]),0),MATCH(VLOOKUP(H$7,'Writing Logic'!$J$7:$K$11,2,FALSE)&amp;" - Per "&amp;VLOOKUP($C$4,'Writing Logic'!$G$8:$H$14,2,FALSE),YES_Writing_ELA[#Headers],0))=0,"",INDEX(_xlfn.VSTACK(YES_Writing_ELA[#Data],YES_Writing_FLA[#Data]),MATCH($A194,_xlfn.VSTACK(YES_Writing_ELA[Student Number],YES_Writing_FLA[Student Number]),0),MATCH(VLOOKUP(H$7,'Writing Logic'!$J$7:$K$11,2,FALSE)&amp;" - Per "&amp;VLOOKUP($C$4,'Writing Logic'!$G$8:$H$14,2,FALSE),YES_Writing_ELA[#Headers],0)))="INS",'Writing Logic'!$B$7,IF(INDEX(_xlfn.VSTACK(YES_Writing_ELA[#Data],YES_Writing_FLA[#Data]),MATCH($A194,_xlfn.VSTACK(YES_Writing_ELA[Student Number],YES_Writing_FLA[Student Number]),0),MATCH(VLOOKUP(H$7,'Writing Logic'!$J$7:$K$11,2,FALSE)&amp;" - Per "&amp;VLOOKUP($C$4,'Writing Logic'!$G$8:$H$14,2,FALSE),YES_Writing_ELA[#Headers],0))=0,"",INDEX(_xlfn.VSTACK(YES_Writing_ELA[#Data],YES_Writing_FLA[#Data]),MATCH($A194,_xlfn.VSTACK(YES_Writing_ELA[Student Number],YES_Writing_FLA[Student Number]),0),MATCH(VLOOKUP(H$7,'Writing Logic'!$J$7:$K$11,2,FALSE)&amp;" - Per "&amp;VLOOKUP($C$4,'Writing Logic'!$G$8:$H$14,2,FALSE),YES_Writing_ELA[#Headers],0)))),"")</f>
        <v/>
      </c>
    </row>
    <row r="195" spans="1:8" ht="14.25" customHeight="1" x14ac:dyDescent="0.25">
      <c r="A195" s="137"/>
      <c r="B195" s="137" t="str">
        <f>IFERROR(INDEX(_xlfn.VSTACK(YES_Writing_ELA[#Data], YES_Writing_FLA[#Data]),MATCH($A195,_xlfn.VSTACK(YES_Writing_ELA[Student Number], YES_Writing_FLA[Student Number]),0),MATCH(B$7,YES_Writing_ELA[#Headers],0)),"")</f>
        <v/>
      </c>
      <c r="C195" s="137" t="str">
        <f>IFERROR(INDEX(_xlfn.VSTACK(YES_Writing_ELA[#Data], YES_Writing_FLA[#Data]),MATCH($A195,_xlfn.VSTACK(YES_Writing_ELA[Student Number], YES_Writing_FLA[Student Number]),0),MATCH(C$7,YES_Writing_ELA[#Headers],0)),"")</f>
        <v/>
      </c>
      <c r="D195" s="138" t="str">
        <f>IFERROR(IF(IF(INDEX(_xlfn.VSTACK(YES_Writing_ELA[#Data],YES_Writing_FLA[#Data]),MATCH($A195,_xlfn.VSTACK(YES_Writing_ELA[Student Number],YES_Writing_FLA[Student Number]),0),MATCH(VLOOKUP(D$7,'Writing Logic'!$J$7:$K$11,2,FALSE)&amp;" - Per "&amp;VLOOKUP($C$4,'Writing Logic'!$G$8:$H$14,2,FALSE),YES_Writing_ELA[#Headers],0))=0,"",INDEX(_xlfn.VSTACK(YES_Writing_ELA[#Data],YES_Writing_FLA[#Data]),MATCH($A195,_xlfn.VSTACK(YES_Writing_ELA[Student Number],YES_Writing_FLA[Student Number]),0),MATCH(VLOOKUP(D$7,'Writing Logic'!$J$7:$K$11,2,FALSE)&amp;" - Per "&amp;VLOOKUP($C$4,'Writing Logic'!$G$8:$H$14,2,FALSE),YES_Writing_ELA[#Headers],0)))="INS",'Writing Logic'!$B$7,IF(INDEX(_xlfn.VSTACK(YES_Writing_ELA[#Data],YES_Writing_FLA[#Data]),MATCH($A195,_xlfn.VSTACK(YES_Writing_ELA[Student Number],YES_Writing_FLA[Student Number]),0),MATCH(VLOOKUP(D$7,'Writing Logic'!$J$7:$K$11,2,FALSE)&amp;" - Per "&amp;VLOOKUP($C$4,'Writing Logic'!$G$8:$H$14,2,FALSE),YES_Writing_ELA[#Headers],0))=0,"",INDEX(_xlfn.VSTACK(YES_Writing_ELA[#Data],YES_Writing_FLA[#Data]),MATCH($A195,_xlfn.VSTACK(YES_Writing_ELA[Student Number],YES_Writing_FLA[Student Number]),0),MATCH(VLOOKUP(D$7,'Writing Logic'!$J$7:$K$11,2,FALSE)&amp;" - Per "&amp;VLOOKUP($C$4,'Writing Logic'!$G$8:$H$14,2,FALSE),YES_Writing_ELA[#Headers],0)))),"")</f>
        <v/>
      </c>
      <c r="E195" s="138" t="str">
        <f>IFERROR(IF(IF(INDEX(_xlfn.VSTACK(YES_Writing_ELA[#Data],YES_Writing_FLA[#Data]),MATCH($A195,_xlfn.VSTACK(YES_Writing_ELA[Student Number],YES_Writing_FLA[Student Number]),0),MATCH(VLOOKUP(E$7,'Writing Logic'!$J$7:$K$11,2,FALSE)&amp;" - Per "&amp;VLOOKUP($C$4,'Writing Logic'!$G$8:$H$14,2,FALSE),YES_Writing_ELA[#Headers],0))=0,"",INDEX(_xlfn.VSTACK(YES_Writing_ELA[#Data],YES_Writing_FLA[#Data]),MATCH($A195,_xlfn.VSTACK(YES_Writing_ELA[Student Number],YES_Writing_FLA[Student Number]),0),MATCH(VLOOKUP(E$7,'Writing Logic'!$J$7:$K$11,2,FALSE)&amp;" - Per "&amp;VLOOKUP($C$4,'Writing Logic'!$G$8:$H$14,2,FALSE),YES_Writing_ELA[#Headers],0)))="INS",'Writing Logic'!$B$7,IF(INDEX(_xlfn.VSTACK(YES_Writing_ELA[#Data],YES_Writing_FLA[#Data]),MATCH($A195,_xlfn.VSTACK(YES_Writing_ELA[Student Number],YES_Writing_FLA[Student Number]),0),MATCH(VLOOKUP(E$7,'Writing Logic'!$J$7:$K$11,2,FALSE)&amp;" - Per "&amp;VLOOKUP($C$4,'Writing Logic'!$G$8:$H$14,2,FALSE),YES_Writing_ELA[#Headers],0))=0,"",INDEX(_xlfn.VSTACK(YES_Writing_ELA[#Data],YES_Writing_FLA[#Data]),MATCH($A195,_xlfn.VSTACK(YES_Writing_ELA[Student Number],YES_Writing_FLA[Student Number]),0),MATCH(VLOOKUP(E$7,'Writing Logic'!$J$7:$K$11,2,FALSE)&amp;" - Per "&amp;VLOOKUP($C$4,'Writing Logic'!$G$8:$H$14,2,FALSE),YES_Writing_ELA[#Headers],0)))),"")</f>
        <v/>
      </c>
      <c r="F195" s="138" t="str">
        <f>IFERROR(IF(IF(INDEX(_xlfn.VSTACK(YES_Writing_ELA[#Data],YES_Writing_FLA[#Data]),MATCH($A195,_xlfn.VSTACK(YES_Writing_ELA[Student Number],YES_Writing_FLA[Student Number]),0),MATCH(VLOOKUP(F$7,'Writing Logic'!$J$7:$K$11,2,FALSE)&amp;" - Per "&amp;VLOOKUP($C$4,'Writing Logic'!$G$8:$H$14,2,FALSE),YES_Writing_ELA[#Headers],0))=0,"",INDEX(_xlfn.VSTACK(YES_Writing_ELA[#Data],YES_Writing_FLA[#Data]),MATCH($A195,_xlfn.VSTACK(YES_Writing_ELA[Student Number],YES_Writing_FLA[Student Number]),0),MATCH(VLOOKUP(F$7,'Writing Logic'!$J$7:$K$11,2,FALSE)&amp;" - Per "&amp;VLOOKUP($C$4,'Writing Logic'!$G$8:$H$14,2,FALSE),YES_Writing_ELA[#Headers],0)))="INS",'Writing Logic'!$B$7,IF(INDEX(_xlfn.VSTACK(YES_Writing_ELA[#Data],YES_Writing_FLA[#Data]),MATCH($A195,_xlfn.VSTACK(YES_Writing_ELA[Student Number],YES_Writing_FLA[Student Number]),0),MATCH(VLOOKUP(F$7,'Writing Logic'!$J$7:$K$11,2,FALSE)&amp;" - Per "&amp;VLOOKUP($C$4,'Writing Logic'!$G$8:$H$14,2,FALSE),YES_Writing_ELA[#Headers],0))=0,"",INDEX(_xlfn.VSTACK(YES_Writing_ELA[#Data],YES_Writing_FLA[#Data]),MATCH($A195,_xlfn.VSTACK(YES_Writing_ELA[Student Number],YES_Writing_FLA[Student Number]),0),MATCH(VLOOKUP(F$7,'Writing Logic'!$J$7:$K$11,2,FALSE)&amp;" - Per "&amp;VLOOKUP($C$4,'Writing Logic'!$G$8:$H$14,2,FALSE),YES_Writing_ELA[#Headers],0)))),"")</f>
        <v/>
      </c>
      <c r="G195" s="138" t="str">
        <f>IFERROR(IF(IF(INDEX(_xlfn.VSTACK(YES_Writing_ELA[#Data],YES_Writing_FLA[#Data]),MATCH($A195,_xlfn.VSTACK(YES_Writing_ELA[Student Number],YES_Writing_FLA[Student Number]),0),MATCH(VLOOKUP(G$7,'Writing Logic'!$J$7:$K$11,2,FALSE)&amp;" - Per "&amp;VLOOKUP($C$4,'Writing Logic'!$G$8:$H$14,2,FALSE),YES_Writing_ELA[#Headers],0))=0,"",INDEX(_xlfn.VSTACK(YES_Writing_ELA[#Data],YES_Writing_FLA[#Data]),MATCH($A195,_xlfn.VSTACK(YES_Writing_ELA[Student Number],YES_Writing_FLA[Student Number]),0),MATCH(VLOOKUP(G$7,'Writing Logic'!$J$7:$K$11,2,FALSE)&amp;" - Per "&amp;VLOOKUP($C$4,'Writing Logic'!$G$8:$H$14,2,FALSE),YES_Writing_ELA[#Headers],0)))="INS",'Writing Logic'!$B$7,IF(INDEX(_xlfn.VSTACK(YES_Writing_ELA[#Data],YES_Writing_FLA[#Data]),MATCH($A195,_xlfn.VSTACK(YES_Writing_ELA[Student Number],YES_Writing_FLA[Student Number]),0),MATCH(VLOOKUP(G$7,'Writing Logic'!$J$7:$K$11,2,FALSE)&amp;" - Per "&amp;VLOOKUP($C$4,'Writing Logic'!$G$8:$H$14,2,FALSE),YES_Writing_ELA[#Headers],0))=0,"",INDEX(_xlfn.VSTACK(YES_Writing_ELA[#Data],YES_Writing_FLA[#Data]),MATCH($A195,_xlfn.VSTACK(YES_Writing_ELA[Student Number],YES_Writing_FLA[Student Number]),0),MATCH(VLOOKUP(G$7,'Writing Logic'!$J$7:$K$11,2,FALSE)&amp;" - Per "&amp;VLOOKUP($C$4,'Writing Logic'!$G$8:$H$14,2,FALSE),YES_Writing_ELA[#Headers],0)))),"")</f>
        <v/>
      </c>
      <c r="H195" s="138" t="str">
        <f>IFERROR(IF(IF(INDEX(_xlfn.VSTACK(YES_Writing_ELA[#Data],YES_Writing_FLA[#Data]),MATCH($A195,_xlfn.VSTACK(YES_Writing_ELA[Student Number],YES_Writing_FLA[Student Number]),0),MATCH(VLOOKUP(H$7,'Writing Logic'!$J$7:$K$11,2,FALSE)&amp;" - Per "&amp;VLOOKUP($C$4,'Writing Logic'!$G$8:$H$14,2,FALSE),YES_Writing_ELA[#Headers],0))=0,"",INDEX(_xlfn.VSTACK(YES_Writing_ELA[#Data],YES_Writing_FLA[#Data]),MATCH($A195,_xlfn.VSTACK(YES_Writing_ELA[Student Number],YES_Writing_FLA[Student Number]),0),MATCH(VLOOKUP(H$7,'Writing Logic'!$J$7:$K$11,2,FALSE)&amp;" - Per "&amp;VLOOKUP($C$4,'Writing Logic'!$G$8:$H$14,2,FALSE),YES_Writing_ELA[#Headers],0)))="INS",'Writing Logic'!$B$7,IF(INDEX(_xlfn.VSTACK(YES_Writing_ELA[#Data],YES_Writing_FLA[#Data]),MATCH($A195,_xlfn.VSTACK(YES_Writing_ELA[Student Number],YES_Writing_FLA[Student Number]),0),MATCH(VLOOKUP(H$7,'Writing Logic'!$J$7:$K$11,2,FALSE)&amp;" - Per "&amp;VLOOKUP($C$4,'Writing Logic'!$G$8:$H$14,2,FALSE),YES_Writing_ELA[#Headers],0))=0,"",INDEX(_xlfn.VSTACK(YES_Writing_ELA[#Data],YES_Writing_FLA[#Data]),MATCH($A195,_xlfn.VSTACK(YES_Writing_ELA[Student Number],YES_Writing_FLA[Student Number]),0),MATCH(VLOOKUP(H$7,'Writing Logic'!$J$7:$K$11,2,FALSE)&amp;" - Per "&amp;VLOOKUP($C$4,'Writing Logic'!$G$8:$H$14,2,FALSE),YES_Writing_ELA[#Headers],0)))),"")</f>
        <v/>
      </c>
    </row>
    <row r="196" spans="1:8" ht="14.25" customHeight="1" x14ac:dyDescent="0.25">
      <c r="A196" s="137"/>
      <c r="B196" s="137" t="str">
        <f>IFERROR(INDEX(_xlfn.VSTACK(YES_Writing_ELA[#Data], YES_Writing_FLA[#Data]),MATCH($A196,_xlfn.VSTACK(YES_Writing_ELA[Student Number], YES_Writing_FLA[Student Number]),0),MATCH(B$7,YES_Writing_ELA[#Headers],0)),"")</f>
        <v/>
      </c>
      <c r="C196" s="137" t="str">
        <f>IFERROR(INDEX(_xlfn.VSTACK(YES_Writing_ELA[#Data], YES_Writing_FLA[#Data]),MATCH($A196,_xlfn.VSTACK(YES_Writing_ELA[Student Number], YES_Writing_FLA[Student Number]),0),MATCH(C$7,YES_Writing_ELA[#Headers],0)),"")</f>
        <v/>
      </c>
      <c r="D196" s="138" t="str">
        <f>IFERROR(IF(IF(INDEX(_xlfn.VSTACK(YES_Writing_ELA[#Data],YES_Writing_FLA[#Data]),MATCH($A196,_xlfn.VSTACK(YES_Writing_ELA[Student Number],YES_Writing_FLA[Student Number]),0),MATCH(VLOOKUP(D$7,'Writing Logic'!$J$7:$K$11,2,FALSE)&amp;" - Per "&amp;VLOOKUP($C$4,'Writing Logic'!$G$8:$H$14,2,FALSE),YES_Writing_ELA[#Headers],0))=0,"",INDEX(_xlfn.VSTACK(YES_Writing_ELA[#Data],YES_Writing_FLA[#Data]),MATCH($A196,_xlfn.VSTACK(YES_Writing_ELA[Student Number],YES_Writing_FLA[Student Number]),0),MATCH(VLOOKUP(D$7,'Writing Logic'!$J$7:$K$11,2,FALSE)&amp;" - Per "&amp;VLOOKUP($C$4,'Writing Logic'!$G$8:$H$14,2,FALSE),YES_Writing_ELA[#Headers],0)))="INS",'Writing Logic'!$B$7,IF(INDEX(_xlfn.VSTACK(YES_Writing_ELA[#Data],YES_Writing_FLA[#Data]),MATCH($A196,_xlfn.VSTACK(YES_Writing_ELA[Student Number],YES_Writing_FLA[Student Number]),0),MATCH(VLOOKUP(D$7,'Writing Logic'!$J$7:$K$11,2,FALSE)&amp;" - Per "&amp;VLOOKUP($C$4,'Writing Logic'!$G$8:$H$14,2,FALSE),YES_Writing_ELA[#Headers],0))=0,"",INDEX(_xlfn.VSTACK(YES_Writing_ELA[#Data],YES_Writing_FLA[#Data]),MATCH($A196,_xlfn.VSTACK(YES_Writing_ELA[Student Number],YES_Writing_FLA[Student Number]),0),MATCH(VLOOKUP(D$7,'Writing Logic'!$J$7:$K$11,2,FALSE)&amp;" - Per "&amp;VLOOKUP($C$4,'Writing Logic'!$G$8:$H$14,2,FALSE),YES_Writing_ELA[#Headers],0)))),"")</f>
        <v/>
      </c>
      <c r="E196" s="138" t="str">
        <f>IFERROR(IF(IF(INDEX(_xlfn.VSTACK(YES_Writing_ELA[#Data],YES_Writing_FLA[#Data]),MATCH($A196,_xlfn.VSTACK(YES_Writing_ELA[Student Number],YES_Writing_FLA[Student Number]),0),MATCH(VLOOKUP(E$7,'Writing Logic'!$J$7:$K$11,2,FALSE)&amp;" - Per "&amp;VLOOKUP($C$4,'Writing Logic'!$G$8:$H$14,2,FALSE),YES_Writing_ELA[#Headers],0))=0,"",INDEX(_xlfn.VSTACK(YES_Writing_ELA[#Data],YES_Writing_FLA[#Data]),MATCH($A196,_xlfn.VSTACK(YES_Writing_ELA[Student Number],YES_Writing_FLA[Student Number]),0),MATCH(VLOOKUP(E$7,'Writing Logic'!$J$7:$K$11,2,FALSE)&amp;" - Per "&amp;VLOOKUP($C$4,'Writing Logic'!$G$8:$H$14,2,FALSE),YES_Writing_ELA[#Headers],0)))="INS",'Writing Logic'!$B$7,IF(INDEX(_xlfn.VSTACK(YES_Writing_ELA[#Data],YES_Writing_FLA[#Data]),MATCH($A196,_xlfn.VSTACK(YES_Writing_ELA[Student Number],YES_Writing_FLA[Student Number]),0),MATCH(VLOOKUP(E$7,'Writing Logic'!$J$7:$K$11,2,FALSE)&amp;" - Per "&amp;VLOOKUP($C$4,'Writing Logic'!$G$8:$H$14,2,FALSE),YES_Writing_ELA[#Headers],0))=0,"",INDEX(_xlfn.VSTACK(YES_Writing_ELA[#Data],YES_Writing_FLA[#Data]),MATCH($A196,_xlfn.VSTACK(YES_Writing_ELA[Student Number],YES_Writing_FLA[Student Number]),0),MATCH(VLOOKUP(E$7,'Writing Logic'!$J$7:$K$11,2,FALSE)&amp;" - Per "&amp;VLOOKUP($C$4,'Writing Logic'!$G$8:$H$14,2,FALSE),YES_Writing_ELA[#Headers],0)))),"")</f>
        <v/>
      </c>
      <c r="F196" s="138" t="str">
        <f>IFERROR(IF(IF(INDEX(_xlfn.VSTACK(YES_Writing_ELA[#Data],YES_Writing_FLA[#Data]),MATCH($A196,_xlfn.VSTACK(YES_Writing_ELA[Student Number],YES_Writing_FLA[Student Number]),0),MATCH(VLOOKUP(F$7,'Writing Logic'!$J$7:$K$11,2,FALSE)&amp;" - Per "&amp;VLOOKUP($C$4,'Writing Logic'!$G$8:$H$14,2,FALSE),YES_Writing_ELA[#Headers],0))=0,"",INDEX(_xlfn.VSTACK(YES_Writing_ELA[#Data],YES_Writing_FLA[#Data]),MATCH($A196,_xlfn.VSTACK(YES_Writing_ELA[Student Number],YES_Writing_FLA[Student Number]),0),MATCH(VLOOKUP(F$7,'Writing Logic'!$J$7:$K$11,2,FALSE)&amp;" - Per "&amp;VLOOKUP($C$4,'Writing Logic'!$G$8:$H$14,2,FALSE),YES_Writing_ELA[#Headers],0)))="INS",'Writing Logic'!$B$7,IF(INDEX(_xlfn.VSTACK(YES_Writing_ELA[#Data],YES_Writing_FLA[#Data]),MATCH($A196,_xlfn.VSTACK(YES_Writing_ELA[Student Number],YES_Writing_FLA[Student Number]),0),MATCH(VLOOKUP(F$7,'Writing Logic'!$J$7:$K$11,2,FALSE)&amp;" - Per "&amp;VLOOKUP($C$4,'Writing Logic'!$G$8:$H$14,2,FALSE),YES_Writing_ELA[#Headers],0))=0,"",INDEX(_xlfn.VSTACK(YES_Writing_ELA[#Data],YES_Writing_FLA[#Data]),MATCH($A196,_xlfn.VSTACK(YES_Writing_ELA[Student Number],YES_Writing_FLA[Student Number]),0),MATCH(VLOOKUP(F$7,'Writing Logic'!$J$7:$K$11,2,FALSE)&amp;" - Per "&amp;VLOOKUP($C$4,'Writing Logic'!$G$8:$H$14,2,FALSE),YES_Writing_ELA[#Headers],0)))),"")</f>
        <v/>
      </c>
      <c r="G196" s="138" t="str">
        <f>IFERROR(IF(IF(INDEX(_xlfn.VSTACK(YES_Writing_ELA[#Data],YES_Writing_FLA[#Data]),MATCH($A196,_xlfn.VSTACK(YES_Writing_ELA[Student Number],YES_Writing_FLA[Student Number]),0),MATCH(VLOOKUP(G$7,'Writing Logic'!$J$7:$K$11,2,FALSE)&amp;" - Per "&amp;VLOOKUP($C$4,'Writing Logic'!$G$8:$H$14,2,FALSE),YES_Writing_ELA[#Headers],0))=0,"",INDEX(_xlfn.VSTACK(YES_Writing_ELA[#Data],YES_Writing_FLA[#Data]),MATCH($A196,_xlfn.VSTACK(YES_Writing_ELA[Student Number],YES_Writing_FLA[Student Number]),0),MATCH(VLOOKUP(G$7,'Writing Logic'!$J$7:$K$11,2,FALSE)&amp;" - Per "&amp;VLOOKUP($C$4,'Writing Logic'!$G$8:$H$14,2,FALSE),YES_Writing_ELA[#Headers],0)))="INS",'Writing Logic'!$B$7,IF(INDEX(_xlfn.VSTACK(YES_Writing_ELA[#Data],YES_Writing_FLA[#Data]),MATCH($A196,_xlfn.VSTACK(YES_Writing_ELA[Student Number],YES_Writing_FLA[Student Number]),0),MATCH(VLOOKUP(G$7,'Writing Logic'!$J$7:$K$11,2,FALSE)&amp;" - Per "&amp;VLOOKUP($C$4,'Writing Logic'!$G$8:$H$14,2,FALSE),YES_Writing_ELA[#Headers],0))=0,"",INDEX(_xlfn.VSTACK(YES_Writing_ELA[#Data],YES_Writing_FLA[#Data]),MATCH($A196,_xlfn.VSTACK(YES_Writing_ELA[Student Number],YES_Writing_FLA[Student Number]),0),MATCH(VLOOKUP(G$7,'Writing Logic'!$J$7:$K$11,2,FALSE)&amp;" - Per "&amp;VLOOKUP($C$4,'Writing Logic'!$G$8:$H$14,2,FALSE),YES_Writing_ELA[#Headers],0)))),"")</f>
        <v/>
      </c>
      <c r="H196" s="138" t="str">
        <f>IFERROR(IF(IF(INDEX(_xlfn.VSTACK(YES_Writing_ELA[#Data],YES_Writing_FLA[#Data]),MATCH($A196,_xlfn.VSTACK(YES_Writing_ELA[Student Number],YES_Writing_FLA[Student Number]),0),MATCH(VLOOKUP(H$7,'Writing Logic'!$J$7:$K$11,2,FALSE)&amp;" - Per "&amp;VLOOKUP($C$4,'Writing Logic'!$G$8:$H$14,2,FALSE),YES_Writing_ELA[#Headers],0))=0,"",INDEX(_xlfn.VSTACK(YES_Writing_ELA[#Data],YES_Writing_FLA[#Data]),MATCH($A196,_xlfn.VSTACK(YES_Writing_ELA[Student Number],YES_Writing_FLA[Student Number]),0),MATCH(VLOOKUP(H$7,'Writing Logic'!$J$7:$K$11,2,FALSE)&amp;" - Per "&amp;VLOOKUP($C$4,'Writing Logic'!$G$8:$H$14,2,FALSE),YES_Writing_ELA[#Headers],0)))="INS",'Writing Logic'!$B$7,IF(INDEX(_xlfn.VSTACK(YES_Writing_ELA[#Data],YES_Writing_FLA[#Data]),MATCH($A196,_xlfn.VSTACK(YES_Writing_ELA[Student Number],YES_Writing_FLA[Student Number]),0),MATCH(VLOOKUP(H$7,'Writing Logic'!$J$7:$K$11,2,FALSE)&amp;" - Per "&amp;VLOOKUP($C$4,'Writing Logic'!$G$8:$H$14,2,FALSE),YES_Writing_ELA[#Headers],0))=0,"",INDEX(_xlfn.VSTACK(YES_Writing_ELA[#Data],YES_Writing_FLA[#Data]),MATCH($A196,_xlfn.VSTACK(YES_Writing_ELA[Student Number],YES_Writing_FLA[Student Number]),0),MATCH(VLOOKUP(H$7,'Writing Logic'!$J$7:$K$11,2,FALSE)&amp;" - Per "&amp;VLOOKUP($C$4,'Writing Logic'!$G$8:$H$14,2,FALSE),YES_Writing_ELA[#Headers],0)))),"")</f>
        <v/>
      </c>
    </row>
    <row r="197" spans="1:8" ht="14.25" customHeight="1" x14ac:dyDescent="0.25">
      <c r="A197" s="137"/>
      <c r="B197" s="137" t="str">
        <f>IFERROR(INDEX(_xlfn.VSTACK(YES_Writing_ELA[#Data], YES_Writing_FLA[#Data]),MATCH($A197,_xlfn.VSTACK(YES_Writing_ELA[Student Number], YES_Writing_FLA[Student Number]),0),MATCH(B$7,YES_Writing_ELA[#Headers],0)),"")</f>
        <v/>
      </c>
      <c r="C197" s="137" t="str">
        <f>IFERROR(INDEX(_xlfn.VSTACK(YES_Writing_ELA[#Data], YES_Writing_FLA[#Data]),MATCH($A197,_xlfn.VSTACK(YES_Writing_ELA[Student Number], YES_Writing_FLA[Student Number]),0),MATCH(C$7,YES_Writing_ELA[#Headers],0)),"")</f>
        <v/>
      </c>
      <c r="D197" s="138" t="str">
        <f>IFERROR(IF(IF(INDEX(_xlfn.VSTACK(YES_Writing_ELA[#Data],YES_Writing_FLA[#Data]),MATCH($A197,_xlfn.VSTACK(YES_Writing_ELA[Student Number],YES_Writing_FLA[Student Number]),0),MATCH(VLOOKUP(D$7,'Writing Logic'!$J$7:$K$11,2,FALSE)&amp;" - Per "&amp;VLOOKUP($C$4,'Writing Logic'!$G$8:$H$14,2,FALSE),YES_Writing_ELA[#Headers],0))=0,"",INDEX(_xlfn.VSTACK(YES_Writing_ELA[#Data],YES_Writing_FLA[#Data]),MATCH($A197,_xlfn.VSTACK(YES_Writing_ELA[Student Number],YES_Writing_FLA[Student Number]),0),MATCH(VLOOKUP(D$7,'Writing Logic'!$J$7:$K$11,2,FALSE)&amp;" - Per "&amp;VLOOKUP($C$4,'Writing Logic'!$G$8:$H$14,2,FALSE),YES_Writing_ELA[#Headers],0)))="INS",'Writing Logic'!$B$7,IF(INDEX(_xlfn.VSTACK(YES_Writing_ELA[#Data],YES_Writing_FLA[#Data]),MATCH($A197,_xlfn.VSTACK(YES_Writing_ELA[Student Number],YES_Writing_FLA[Student Number]),0),MATCH(VLOOKUP(D$7,'Writing Logic'!$J$7:$K$11,2,FALSE)&amp;" - Per "&amp;VLOOKUP($C$4,'Writing Logic'!$G$8:$H$14,2,FALSE),YES_Writing_ELA[#Headers],0))=0,"",INDEX(_xlfn.VSTACK(YES_Writing_ELA[#Data],YES_Writing_FLA[#Data]),MATCH($A197,_xlfn.VSTACK(YES_Writing_ELA[Student Number],YES_Writing_FLA[Student Number]),0),MATCH(VLOOKUP(D$7,'Writing Logic'!$J$7:$K$11,2,FALSE)&amp;" - Per "&amp;VLOOKUP($C$4,'Writing Logic'!$G$8:$H$14,2,FALSE),YES_Writing_ELA[#Headers],0)))),"")</f>
        <v/>
      </c>
      <c r="E197" s="138" t="str">
        <f>IFERROR(IF(IF(INDEX(_xlfn.VSTACK(YES_Writing_ELA[#Data],YES_Writing_FLA[#Data]),MATCH($A197,_xlfn.VSTACK(YES_Writing_ELA[Student Number],YES_Writing_FLA[Student Number]),0),MATCH(VLOOKUP(E$7,'Writing Logic'!$J$7:$K$11,2,FALSE)&amp;" - Per "&amp;VLOOKUP($C$4,'Writing Logic'!$G$8:$H$14,2,FALSE),YES_Writing_ELA[#Headers],0))=0,"",INDEX(_xlfn.VSTACK(YES_Writing_ELA[#Data],YES_Writing_FLA[#Data]),MATCH($A197,_xlfn.VSTACK(YES_Writing_ELA[Student Number],YES_Writing_FLA[Student Number]),0),MATCH(VLOOKUP(E$7,'Writing Logic'!$J$7:$K$11,2,FALSE)&amp;" - Per "&amp;VLOOKUP($C$4,'Writing Logic'!$G$8:$H$14,2,FALSE),YES_Writing_ELA[#Headers],0)))="INS",'Writing Logic'!$B$7,IF(INDEX(_xlfn.VSTACK(YES_Writing_ELA[#Data],YES_Writing_FLA[#Data]),MATCH($A197,_xlfn.VSTACK(YES_Writing_ELA[Student Number],YES_Writing_FLA[Student Number]),0),MATCH(VLOOKUP(E$7,'Writing Logic'!$J$7:$K$11,2,FALSE)&amp;" - Per "&amp;VLOOKUP($C$4,'Writing Logic'!$G$8:$H$14,2,FALSE),YES_Writing_ELA[#Headers],0))=0,"",INDEX(_xlfn.VSTACK(YES_Writing_ELA[#Data],YES_Writing_FLA[#Data]),MATCH($A197,_xlfn.VSTACK(YES_Writing_ELA[Student Number],YES_Writing_FLA[Student Number]),0),MATCH(VLOOKUP(E$7,'Writing Logic'!$J$7:$K$11,2,FALSE)&amp;" - Per "&amp;VLOOKUP($C$4,'Writing Logic'!$G$8:$H$14,2,FALSE),YES_Writing_ELA[#Headers],0)))),"")</f>
        <v/>
      </c>
      <c r="F197" s="138" t="str">
        <f>IFERROR(IF(IF(INDEX(_xlfn.VSTACK(YES_Writing_ELA[#Data],YES_Writing_FLA[#Data]),MATCH($A197,_xlfn.VSTACK(YES_Writing_ELA[Student Number],YES_Writing_FLA[Student Number]),0),MATCH(VLOOKUP(F$7,'Writing Logic'!$J$7:$K$11,2,FALSE)&amp;" - Per "&amp;VLOOKUP($C$4,'Writing Logic'!$G$8:$H$14,2,FALSE),YES_Writing_ELA[#Headers],0))=0,"",INDEX(_xlfn.VSTACK(YES_Writing_ELA[#Data],YES_Writing_FLA[#Data]),MATCH($A197,_xlfn.VSTACK(YES_Writing_ELA[Student Number],YES_Writing_FLA[Student Number]),0),MATCH(VLOOKUP(F$7,'Writing Logic'!$J$7:$K$11,2,FALSE)&amp;" - Per "&amp;VLOOKUP($C$4,'Writing Logic'!$G$8:$H$14,2,FALSE),YES_Writing_ELA[#Headers],0)))="INS",'Writing Logic'!$B$7,IF(INDEX(_xlfn.VSTACK(YES_Writing_ELA[#Data],YES_Writing_FLA[#Data]),MATCH($A197,_xlfn.VSTACK(YES_Writing_ELA[Student Number],YES_Writing_FLA[Student Number]),0),MATCH(VLOOKUP(F$7,'Writing Logic'!$J$7:$K$11,2,FALSE)&amp;" - Per "&amp;VLOOKUP($C$4,'Writing Logic'!$G$8:$H$14,2,FALSE),YES_Writing_ELA[#Headers],0))=0,"",INDEX(_xlfn.VSTACK(YES_Writing_ELA[#Data],YES_Writing_FLA[#Data]),MATCH($A197,_xlfn.VSTACK(YES_Writing_ELA[Student Number],YES_Writing_FLA[Student Number]),0),MATCH(VLOOKUP(F$7,'Writing Logic'!$J$7:$K$11,2,FALSE)&amp;" - Per "&amp;VLOOKUP($C$4,'Writing Logic'!$G$8:$H$14,2,FALSE),YES_Writing_ELA[#Headers],0)))),"")</f>
        <v/>
      </c>
      <c r="G197" s="138" t="str">
        <f>IFERROR(IF(IF(INDEX(_xlfn.VSTACK(YES_Writing_ELA[#Data],YES_Writing_FLA[#Data]),MATCH($A197,_xlfn.VSTACK(YES_Writing_ELA[Student Number],YES_Writing_FLA[Student Number]),0),MATCH(VLOOKUP(G$7,'Writing Logic'!$J$7:$K$11,2,FALSE)&amp;" - Per "&amp;VLOOKUP($C$4,'Writing Logic'!$G$8:$H$14,2,FALSE),YES_Writing_ELA[#Headers],0))=0,"",INDEX(_xlfn.VSTACK(YES_Writing_ELA[#Data],YES_Writing_FLA[#Data]),MATCH($A197,_xlfn.VSTACK(YES_Writing_ELA[Student Number],YES_Writing_FLA[Student Number]),0),MATCH(VLOOKUP(G$7,'Writing Logic'!$J$7:$K$11,2,FALSE)&amp;" - Per "&amp;VLOOKUP($C$4,'Writing Logic'!$G$8:$H$14,2,FALSE),YES_Writing_ELA[#Headers],0)))="INS",'Writing Logic'!$B$7,IF(INDEX(_xlfn.VSTACK(YES_Writing_ELA[#Data],YES_Writing_FLA[#Data]),MATCH($A197,_xlfn.VSTACK(YES_Writing_ELA[Student Number],YES_Writing_FLA[Student Number]),0),MATCH(VLOOKUP(G$7,'Writing Logic'!$J$7:$K$11,2,FALSE)&amp;" - Per "&amp;VLOOKUP($C$4,'Writing Logic'!$G$8:$H$14,2,FALSE),YES_Writing_ELA[#Headers],0))=0,"",INDEX(_xlfn.VSTACK(YES_Writing_ELA[#Data],YES_Writing_FLA[#Data]),MATCH($A197,_xlfn.VSTACK(YES_Writing_ELA[Student Number],YES_Writing_FLA[Student Number]),0),MATCH(VLOOKUP(G$7,'Writing Logic'!$J$7:$K$11,2,FALSE)&amp;" - Per "&amp;VLOOKUP($C$4,'Writing Logic'!$G$8:$H$14,2,FALSE),YES_Writing_ELA[#Headers],0)))),"")</f>
        <v/>
      </c>
      <c r="H197" s="138" t="str">
        <f>IFERROR(IF(IF(INDEX(_xlfn.VSTACK(YES_Writing_ELA[#Data],YES_Writing_FLA[#Data]),MATCH($A197,_xlfn.VSTACK(YES_Writing_ELA[Student Number],YES_Writing_FLA[Student Number]),0),MATCH(VLOOKUP(H$7,'Writing Logic'!$J$7:$K$11,2,FALSE)&amp;" - Per "&amp;VLOOKUP($C$4,'Writing Logic'!$G$8:$H$14,2,FALSE),YES_Writing_ELA[#Headers],0))=0,"",INDEX(_xlfn.VSTACK(YES_Writing_ELA[#Data],YES_Writing_FLA[#Data]),MATCH($A197,_xlfn.VSTACK(YES_Writing_ELA[Student Number],YES_Writing_FLA[Student Number]),0),MATCH(VLOOKUP(H$7,'Writing Logic'!$J$7:$K$11,2,FALSE)&amp;" - Per "&amp;VLOOKUP($C$4,'Writing Logic'!$G$8:$H$14,2,FALSE),YES_Writing_ELA[#Headers],0)))="INS",'Writing Logic'!$B$7,IF(INDEX(_xlfn.VSTACK(YES_Writing_ELA[#Data],YES_Writing_FLA[#Data]),MATCH($A197,_xlfn.VSTACK(YES_Writing_ELA[Student Number],YES_Writing_FLA[Student Number]),0),MATCH(VLOOKUP(H$7,'Writing Logic'!$J$7:$K$11,2,FALSE)&amp;" - Per "&amp;VLOOKUP($C$4,'Writing Logic'!$G$8:$H$14,2,FALSE),YES_Writing_ELA[#Headers],0))=0,"",INDEX(_xlfn.VSTACK(YES_Writing_ELA[#Data],YES_Writing_FLA[#Data]),MATCH($A197,_xlfn.VSTACK(YES_Writing_ELA[Student Number],YES_Writing_FLA[Student Number]),0),MATCH(VLOOKUP(H$7,'Writing Logic'!$J$7:$K$11,2,FALSE)&amp;" - Per "&amp;VLOOKUP($C$4,'Writing Logic'!$G$8:$H$14,2,FALSE),YES_Writing_ELA[#Headers],0)))),"")</f>
        <v/>
      </c>
    </row>
    <row r="198" spans="1:8" ht="14.25" customHeight="1" x14ac:dyDescent="0.25">
      <c r="A198" s="137"/>
      <c r="B198" s="137" t="str">
        <f>IFERROR(INDEX(_xlfn.VSTACK(YES_Writing_ELA[#Data], YES_Writing_FLA[#Data]),MATCH($A198,_xlfn.VSTACK(YES_Writing_ELA[Student Number], YES_Writing_FLA[Student Number]),0),MATCH(B$7,YES_Writing_ELA[#Headers],0)),"")</f>
        <v/>
      </c>
      <c r="C198" s="137" t="str">
        <f>IFERROR(INDEX(_xlfn.VSTACK(YES_Writing_ELA[#Data], YES_Writing_FLA[#Data]),MATCH($A198,_xlfn.VSTACK(YES_Writing_ELA[Student Number], YES_Writing_FLA[Student Number]),0),MATCH(C$7,YES_Writing_ELA[#Headers],0)),"")</f>
        <v/>
      </c>
      <c r="D198" s="138" t="str">
        <f>IFERROR(IF(IF(INDEX(_xlfn.VSTACK(YES_Writing_ELA[#Data],YES_Writing_FLA[#Data]),MATCH($A198,_xlfn.VSTACK(YES_Writing_ELA[Student Number],YES_Writing_FLA[Student Number]),0),MATCH(VLOOKUP(D$7,'Writing Logic'!$J$7:$K$11,2,FALSE)&amp;" - Per "&amp;VLOOKUP($C$4,'Writing Logic'!$G$8:$H$14,2,FALSE),YES_Writing_ELA[#Headers],0))=0,"",INDEX(_xlfn.VSTACK(YES_Writing_ELA[#Data],YES_Writing_FLA[#Data]),MATCH($A198,_xlfn.VSTACK(YES_Writing_ELA[Student Number],YES_Writing_FLA[Student Number]),0),MATCH(VLOOKUP(D$7,'Writing Logic'!$J$7:$K$11,2,FALSE)&amp;" - Per "&amp;VLOOKUP($C$4,'Writing Logic'!$G$8:$H$14,2,FALSE),YES_Writing_ELA[#Headers],0)))="INS",'Writing Logic'!$B$7,IF(INDEX(_xlfn.VSTACK(YES_Writing_ELA[#Data],YES_Writing_FLA[#Data]),MATCH($A198,_xlfn.VSTACK(YES_Writing_ELA[Student Number],YES_Writing_FLA[Student Number]),0),MATCH(VLOOKUP(D$7,'Writing Logic'!$J$7:$K$11,2,FALSE)&amp;" - Per "&amp;VLOOKUP($C$4,'Writing Logic'!$G$8:$H$14,2,FALSE),YES_Writing_ELA[#Headers],0))=0,"",INDEX(_xlfn.VSTACK(YES_Writing_ELA[#Data],YES_Writing_FLA[#Data]),MATCH($A198,_xlfn.VSTACK(YES_Writing_ELA[Student Number],YES_Writing_FLA[Student Number]),0),MATCH(VLOOKUP(D$7,'Writing Logic'!$J$7:$K$11,2,FALSE)&amp;" - Per "&amp;VLOOKUP($C$4,'Writing Logic'!$G$8:$H$14,2,FALSE),YES_Writing_ELA[#Headers],0)))),"")</f>
        <v/>
      </c>
      <c r="E198" s="138" t="str">
        <f>IFERROR(IF(IF(INDEX(_xlfn.VSTACK(YES_Writing_ELA[#Data],YES_Writing_FLA[#Data]),MATCH($A198,_xlfn.VSTACK(YES_Writing_ELA[Student Number],YES_Writing_FLA[Student Number]),0),MATCH(VLOOKUP(E$7,'Writing Logic'!$J$7:$K$11,2,FALSE)&amp;" - Per "&amp;VLOOKUP($C$4,'Writing Logic'!$G$8:$H$14,2,FALSE),YES_Writing_ELA[#Headers],0))=0,"",INDEX(_xlfn.VSTACK(YES_Writing_ELA[#Data],YES_Writing_FLA[#Data]),MATCH($A198,_xlfn.VSTACK(YES_Writing_ELA[Student Number],YES_Writing_FLA[Student Number]),0),MATCH(VLOOKUP(E$7,'Writing Logic'!$J$7:$K$11,2,FALSE)&amp;" - Per "&amp;VLOOKUP($C$4,'Writing Logic'!$G$8:$H$14,2,FALSE),YES_Writing_ELA[#Headers],0)))="INS",'Writing Logic'!$B$7,IF(INDEX(_xlfn.VSTACK(YES_Writing_ELA[#Data],YES_Writing_FLA[#Data]),MATCH($A198,_xlfn.VSTACK(YES_Writing_ELA[Student Number],YES_Writing_FLA[Student Number]),0),MATCH(VLOOKUP(E$7,'Writing Logic'!$J$7:$K$11,2,FALSE)&amp;" - Per "&amp;VLOOKUP($C$4,'Writing Logic'!$G$8:$H$14,2,FALSE),YES_Writing_ELA[#Headers],0))=0,"",INDEX(_xlfn.VSTACK(YES_Writing_ELA[#Data],YES_Writing_FLA[#Data]),MATCH($A198,_xlfn.VSTACK(YES_Writing_ELA[Student Number],YES_Writing_FLA[Student Number]),0),MATCH(VLOOKUP(E$7,'Writing Logic'!$J$7:$K$11,2,FALSE)&amp;" - Per "&amp;VLOOKUP($C$4,'Writing Logic'!$G$8:$H$14,2,FALSE),YES_Writing_ELA[#Headers],0)))),"")</f>
        <v/>
      </c>
      <c r="F198" s="138" t="str">
        <f>IFERROR(IF(IF(INDEX(_xlfn.VSTACK(YES_Writing_ELA[#Data],YES_Writing_FLA[#Data]),MATCH($A198,_xlfn.VSTACK(YES_Writing_ELA[Student Number],YES_Writing_FLA[Student Number]),0),MATCH(VLOOKUP(F$7,'Writing Logic'!$J$7:$K$11,2,FALSE)&amp;" - Per "&amp;VLOOKUP($C$4,'Writing Logic'!$G$8:$H$14,2,FALSE),YES_Writing_ELA[#Headers],0))=0,"",INDEX(_xlfn.VSTACK(YES_Writing_ELA[#Data],YES_Writing_FLA[#Data]),MATCH($A198,_xlfn.VSTACK(YES_Writing_ELA[Student Number],YES_Writing_FLA[Student Number]),0),MATCH(VLOOKUP(F$7,'Writing Logic'!$J$7:$K$11,2,FALSE)&amp;" - Per "&amp;VLOOKUP($C$4,'Writing Logic'!$G$8:$H$14,2,FALSE),YES_Writing_ELA[#Headers],0)))="INS",'Writing Logic'!$B$7,IF(INDEX(_xlfn.VSTACK(YES_Writing_ELA[#Data],YES_Writing_FLA[#Data]),MATCH($A198,_xlfn.VSTACK(YES_Writing_ELA[Student Number],YES_Writing_FLA[Student Number]),0),MATCH(VLOOKUP(F$7,'Writing Logic'!$J$7:$K$11,2,FALSE)&amp;" - Per "&amp;VLOOKUP($C$4,'Writing Logic'!$G$8:$H$14,2,FALSE),YES_Writing_ELA[#Headers],0))=0,"",INDEX(_xlfn.VSTACK(YES_Writing_ELA[#Data],YES_Writing_FLA[#Data]),MATCH($A198,_xlfn.VSTACK(YES_Writing_ELA[Student Number],YES_Writing_FLA[Student Number]),0),MATCH(VLOOKUP(F$7,'Writing Logic'!$J$7:$K$11,2,FALSE)&amp;" - Per "&amp;VLOOKUP($C$4,'Writing Logic'!$G$8:$H$14,2,FALSE),YES_Writing_ELA[#Headers],0)))),"")</f>
        <v/>
      </c>
      <c r="G198" s="138" t="str">
        <f>IFERROR(IF(IF(INDEX(_xlfn.VSTACK(YES_Writing_ELA[#Data],YES_Writing_FLA[#Data]),MATCH($A198,_xlfn.VSTACK(YES_Writing_ELA[Student Number],YES_Writing_FLA[Student Number]),0),MATCH(VLOOKUP(G$7,'Writing Logic'!$J$7:$K$11,2,FALSE)&amp;" - Per "&amp;VLOOKUP($C$4,'Writing Logic'!$G$8:$H$14,2,FALSE),YES_Writing_ELA[#Headers],0))=0,"",INDEX(_xlfn.VSTACK(YES_Writing_ELA[#Data],YES_Writing_FLA[#Data]),MATCH($A198,_xlfn.VSTACK(YES_Writing_ELA[Student Number],YES_Writing_FLA[Student Number]),0),MATCH(VLOOKUP(G$7,'Writing Logic'!$J$7:$K$11,2,FALSE)&amp;" - Per "&amp;VLOOKUP($C$4,'Writing Logic'!$G$8:$H$14,2,FALSE),YES_Writing_ELA[#Headers],0)))="INS",'Writing Logic'!$B$7,IF(INDEX(_xlfn.VSTACK(YES_Writing_ELA[#Data],YES_Writing_FLA[#Data]),MATCH($A198,_xlfn.VSTACK(YES_Writing_ELA[Student Number],YES_Writing_FLA[Student Number]),0),MATCH(VLOOKUP(G$7,'Writing Logic'!$J$7:$K$11,2,FALSE)&amp;" - Per "&amp;VLOOKUP($C$4,'Writing Logic'!$G$8:$H$14,2,FALSE),YES_Writing_ELA[#Headers],0))=0,"",INDEX(_xlfn.VSTACK(YES_Writing_ELA[#Data],YES_Writing_FLA[#Data]),MATCH($A198,_xlfn.VSTACK(YES_Writing_ELA[Student Number],YES_Writing_FLA[Student Number]),0),MATCH(VLOOKUP(G$7,'Writing Logic'!$J$7:$K$11,2,FALSE)&amp;" - Per "&amp;VLOOKUP($C$4,'Writing Logic'!$G$8:$H$14,2,FALSE),YES_Writing_ELA[#Headers],0)))),"")</f>
        <v/>
      </c>
      <c r="H198" s="138" t="str">
        <f>IFERROR(IF(IF(INDEX(_xlfn.VSTACK(YES_Writing_ELA[#Data],YES_Writing_FLA[#Data]),MATCH($A198,_xlfn.VSTACK(YES_Writing_ELA[Student Number],YES_Writing_FLA[Student Number]),0),MATCH(VLOOKUP(H$7,'Writing Logic'!$J$7:$K$11,2,FALSE)&amp;" - Per "&amp;VLOOKUP($C$4,'Writing Logic'!$G$8:$H$14,2,FALSE),YES_Writing_ELA[#Headers],0))=0,"",INDEX(_xlfn.VSTACK(YES_Writing_ELA[#Data],YES_Writing_FLA[#Data]),MATCH($A198,_xlfn.VSTACK(YES_Writing_ELA[Student Number],YES_Writing_FLA[Student Number]),0),MATCH(VLOOKUP(H$7,'Writing Logic'!$J$7:$K$11,2,FALSE)&amp;" - Per "&amp;VLOOKUP($C$4,'Writing Logic'!$G$8:$H$14,2,FALSE),YES_Writing_ELA[#Headers],0)))="INS",'Writing Logic'!$B$7,IF(INDEX(_xlfn.VSTACK(YES_Writing_ELA[#Data],YES_Writing_FLA[#Data]),MATCH($A198,_xlfn.VSTACK(YES_Writing_ELA[Student Number],YES_Writing_FLA[Student Number]),0),MATCH(VLOOKUP(H$7,'Writing Logic'!$J$7:$K$11,2,FALSE)&amp;" - Per "&amp;VLOOKUP($C$4,'Writing Logic'!$G$8:$H$14,2,FALSE),YES_Writing_ELA[#Headers],0))=0,"",INDEX(_xlfn.VSTACK(YES_Writing_ELA[#Data],YES_Writing_FLA[#Data]),MATCH($A198,_xlfn.VSTACK(YES_Writing_ELA[Student Number],YES_Writing_FLA[Student Number]),0),MATCH(VLOOKUP(H$7,'Writing Logic'!$J$7:$K$11,2,FALSE)&amp;" - Per "&amp;VLOOKUP($C$4,'Writing Logic'!$G$8:$H$14,2,FALSE),YES_Writing_ELA[#Headers],0)))),"")</f>
        <v/>
      </c>
    </row>
    <row r="199" spans="1:8" ht="14.25" customHeight="1" x14ac:dyDescent="0.25">
      <c r="A199" s="137"/>
      <c r="B199" s="137" t="str">
        <f>IFERROR(INDEX(_xlfn.VSTACK(YES_Writing_ELA[#Data], YES_Writing_FLA[#Data]),MATCH($A199,_xlfn.VSTACK(YES_Writing_ELA[Student Number], YES_Writing_FLA[Student Number]),0),MATCH(B$7,YES_Writing_ELA[#Headers],0)),"")</f>
        <v/>
      </c>
      <c r="C199" s="137" t="str">
        <f>IFERROR(INDEX(_xlfn.VSTACK(YES_Writing_ELA[#Data], YES_Writing_FLA[#Data]),MATCH($A199,_xlfn.VSTACK(YES_Writing_ELA[Student Number], YES_Writing_FLA[Student Number]),0),MATCH(C$7,YES_Writing_ELA[#Headers],0)),"")</f>
        <v/>
      </c>
      <c r="D199" s="138" t="str">
        <f>IFERROR(IF(IF(INDEX(_xlfn.VSTACK(YES_Writing_ELA[#Data],YES_Writing_FLA[#Data]),MATCH($A199,_xlfn.VSTACK(YES_Writing_ELA[Student Number],YES_Writing_FLA[Student Number]),0),MATCH(VLOOKUP(D$7,'Writing Logic'!$J$7:$K$11,2,FALSE)&amp;" - Per "&amp;VLOOKUP($C$4,'Writing Logic'!$G$8:$H$14,2,FALSE),YES_Writing_ELA[#Headers],0))=0,"",INDEX(_xlfn.VSTACK(YES_Writing_ELA[#Data],YES_Writing_FLA[#Data]),MATCH($A199,_xlfn.VSTACK(YES_Writing_ELA[Student Number],YES_Writing_FLA[Student Number]),0),MATCH(VLOOKUP(D$7,'Writing Logic'!$J$7:$K$11,2,FALSE)&amp;" - Per "&amp;VLOOKUP($C$4,'Writing Logic'!$G$8:$H$14,2,FALSE),YES_Writing_ELA[#Headers],0)))="INS",'Writing Logic'!$B$7,IF(INDEX(_xlfn.VSTACK(YES_Writing_ELA[#Data],YES_Writing_FLA[#Data]),MATCH($A199,_xlfn.VSTACK(YES_Writing_ELA[Student Number],YES_Writing_FLA[Student Number]),0),MATCH(VLOOKUP(D$7,'Writing Logic'!$J$7:$K$11,2,FALSE)&amp;" - Per "&amp;VLOOKUP($C$4,'Writing Logic'!$G$8:$H$14,2,FALSE),YES_Writing_ELA[#Headers],0))=0,"",INDEX(_xlfn.VSTACK(YES_Writing_ELA[#Data],YES_Writing_FLA[#Data]),MATCH($A199,_xlfn.VSTACK(YES_Writing_ELA[Student Number],YES_Writing_FLA[Student Number]),0),MATCH(VLOOKUP(D$7,'Writing Logic'!$J$7:$K$11,2,FALSE)&amp;" - Per "&amp;VLOOKUP($C$4,'Writing Logic'!$G$8:$H$14,2,FALSE),YES_Writing_ELA[#Headers],0)))),"")</f>
        <v/>
      </c>
      <c r="E199" s="138" t="str">
        <f>IFERROR(IF(IF(INDEX(_xlfn.VSTACK(YES_Writing_ELA[#Data],YES_Writing_FLA[#Data]),MATCH($A199,_xlfn.VSTACK(YES_Writing_ELA[Student Number],YES_Writing_FLA[Student Number]),0),MATCH(VLOOKUP(E$7,'Writing Logic'!$J$7:$K$11,2,FALSE)&amp;" - Per "&amp;VLOOKUP($C$4,'Writing Logic'!$G$8:$H$14,2,FALSE),YES_Writing_ELA[#Headers],0))=0,"",INDEX(_xlfn.VSTACK(YES_Writing_ELA[#Data],YES_Writing_FLA[#Data]),MATCH($A199,_xlfn.VSTACK(YES_Writing_ELA[Student Number],YES_Writing_FLA[Student Number]),0),MATCH(VLOOKUP(E$7,'Writing Logic'!$J$7:$K$11,2,FALSE)&amp;" - Per "&amp;VLOOKUP($C$4,'Writing Logic'!$G$8:$H$14,2,FALSE),YES_Writing_ELA[#Headers],0)))="INS",'Writing Logic'!$B$7,IF(INDEX(_xlfn.VSTACK(YES_Writing_ELA[#Data],YES_Writing_FLA[#Data]),MATCH($A199,_xlfn.VSTACK(YES_Writing_ELA[Student Number],YES_Writing_FLA[Student Number]),0),MATCH(VLOOKUP(E$7,'Writing Logic'!$J$7:$K$11,2,FALSE)&amp;" - Per "&amp;VLOOKUP($C$4,'Writing Logic'!$G$8:$H$14,2,FALSE),YES_Writing_ELA[#Headers],0))=0,"",INDEX(_xlfn.VSTACK(YES_Writing_ELA[#Data],YES_Writing_FLA[#Data]),MATCH($A199,_xlfn.VSTACK(YES_Writing_ELA[Student Number],YES_Writing_FLA[Student Number]),0),MATCH(VLOOKUP(E$7,'Writing Logic'!$J$7:$K$11,2,FALSE)&amp;" - Per "&amp;VLOOKUP($C$4,'Writing Logic'!$G$8:$H$14,2,FALSE),YES_Writing_ELA[#Headers],0)))),"")</f>
        <v/>
      </c>
      <c r="F199" s="138" t="str">
        <f>IFERROR(IF(IF(INDEX(_xlfn.VSTACK(YES_Writing_ELA[#Data],YES_Writing_FLA[#Data]),MATCH($A199,_xlfn.VSTACK(YES_Writing_ELA[Student Number],YES_Writing_FLA[Student Number]),0),MATCH(VLOOKUP(F$7,'Writing Logic'!$J$7:$K$11,2,FALSE)&amp;" - Per "&amp;VLOOKUP($C$4,'Writing Logic'!$G$8:$H$14,2,FALSE),YES_Writing_ELA[#Headers],0))=0,"",INDEX(_xlfn.VSTACK(YES_Writing_ELA[#Data],YES_Writing_FLA[#Data]),MATCH($A199,_xlfn.VSTACK(YES_Writing_ELA[Student Number],YES_Writing_FLA[Student Number]),0),MATCH(VLOOKUP(F$7,'Writing Logic'!$J$7:$K$11,2,FALSE)&amp;" - Per "&amp;VLOOKUP($C$4,'Writing Logic'!$G$8:$H$14,2,FALSE),YES_Writing_ELA[#Headers],0)))="INS",'Writing Logic'!$B$7,IF(INDEX(_xlfn.VSTACK(YES_Writing_ELA[#Data],YES_Writing_FLA[#Data]),MATCH($A199,_xlfn.VSTACK(YES_Writing_ELA[Student Number],YES_Writing_FLA[Student Number]),0),MATCH(VLOOKUP(F$7,'Writing Logic'!$J$7:$K$11,2,FALSE)&amp;" - Per "&amp;VLOOKUP($C$4,'Writing Logic'!$G$8:$H$14,2,FALSE),YES_Writing_ELA[#Headers],0))=0,"",INDEX(_xlfn.VSTACK(YES_Writing_ELA[#Data],YES_Writing_FLA[#Data]),MATCH($A199,_xlfn.VSTACK(YES_Writing_ELA[Student Number],YES_Writing_FLA[Student Number]),0),MATCH(VLOOKUP(F$7,'Writing Logic'!$J$7:$K$11,2,FALSE)&amp;" - Per "&amp;VLOOKUP($C$4,'Writing Logic'!$G$8:$H$14,2,FALSE),YES_Writing_ELA[#Headers],0)))),"")</f>
        <v/>
      </c>
      <c r="G199" s="138" t="str">
        <f>IFERROR(IF(IF(INDEX(_xlfn.VSTACK(YES_Writing_ELA[#Data],YES_Writing_FLA[#Data]),MATCH($A199,_xlfn.VSTACK(YES_Writing_ELA[Student Number],YES_Writing_FLA[Student Number]),0),MATCH(VLOOKUP(G$7,'Writing Logic'!$J$7:$K$11,2,FALSE)&amp;" - Per "&amp;VLOOKUP($C$4,'Writing Logic'!$G$8:$H$14,2,FALSE),YES_Writing_ELA[#Headers],0))=0,"",INDEX(_xlfn.VSTACK(YES_Writing_ELA[#Data],YES_Writing_FLA[#Data]),MATCH($A199,_xlfn.VSTACK(YES_Writing_ELA[Student Number],YES_Writing_FLA[Student Number]),0),MATCH(VLOOKUP(G$7,'Writing Logic'!$J$7:$K$11,2,FALSE)&amp;" - Per "&amp;VLOOKUP($C$4,'Writing Logic'!$G$8:$H$14,2,FALSE),YES_Writing_ELA[#Headers],0)))="INS",'Writing Logic'!$B$7,IF(INDEX(_xlfn.VSTACK(YES_Writing_ELA[#Data],YES_Writing_FLA[#Data]),MATCH($A199,_xlfn.VSTACK(YES_Writing_ELA[Student Number],YES_Writing_FLA[Student Number]),0),MATCH(VLOOKUP(G$7,'Writing Logic'!$J$7:$K$11,2,FALSE)&amp;" - Per "&amp;VLOOKUP($C$4,'Writing Logic'!$G$8:$H$14,2,FALSE),YES_Writing_ELA[#Headers],0))=0,"",INDEX(_xlfn.VSTACK(YES_Writing_ELA[#Data],YES_Writing_FLA[#Data]),MATCH($A199,_xlfn.VSTACK(YES_Writing_ELA[Student Number],YES_Writing_FLA[Student Number]),0),MATCH(VLOOKUP(G$7,'Writing Logic'!$J$7:$K$11,2,FALSE)&amp;" - Per "&amp;VLOOKUP($C$4,'Writing Logic'!$G$8:$H$14,2,FALSE),YES_Writing_ELA[#Headers],0)))),"")</f>
        <v/>
      </c>
      <c r="H199" s="138" t="str">
        <f>IFERROR(IF(IF(INDEX(_xlfn.VSTACK(YES_Writing_ELA[#Data],YES_Writing_FLA[#Data]),MATCH($A199,_xlfn.VSTACK(YES_Writing_ELA[Student Number],YES_Writing_FLA[Student Number]),0),MATCH(VLOOKUP(H$7,'Writing Logic'!$J$7:$K$11,2,FALSE)&amp;" - Per "&amp;VLOOKUP($C$4,'Writing Logic'!$G$8:$H$14,2,FALSE),YES_Writing_ELA[#Headers],0))=0,"",INDEX(_xlfn.VSTACK(YES_Writing_ELA[#Data],YES_Writing_FLA[#Data]),MATCH($A199,_xlfn.VSTACK(YES_Writing_ELA[Student Number],YES_Writing_FLA[Student Number]),0),MATCH(VLOOKUP(H$7,'Writing Logic'!$J$7:$K$11,2,FALSE)&amp;" - Per "&amp;VLOOKUP($C$4,'Writing Logic'!$G$8:$H$14,2,FALSE),YES_Writing_ELA[#Headers],0)))="INS",'Writing Logic'!$B$7,IF(INDEX(_xlfn.VSTACK(YES_Writing_ELA[#Data],YES_Writing_FLA[#Data]),MATCH($A199,_xlfn.VSTACK(YES_Writing_ELA[Student Number],YES_Writing_FLA[Student Number]),0),MATCH(VLOOKUP(H$7,'Writing Logic'!$J$7:$K$11,2,FALSE)&amp;" - Per "&amp;VLOOKUP($C$4,'Writing Logic'!$G$8:$H$14,2,FALSE),YES_Writing_ELA[#Headers],0))=0,"",INDEX(_xlfn.VSTACK(YES_Writing_ELA[#Data],YES_Writing_FLA[#Data]),MATCH($A199,_xlfn.VSTACK(YES_Writing_ELA[Student Number],YES_Writing_FLA[Student Number]),0),MATCH(VLOOKUP(H$7,'Writing Logic'!$J$7:$K$11,2,FALSE)&amp;" - Per "&amp;VLOOKUP($C$4,'Writing Logic'!$G$8:$H$14,2,FALSE),YES_Writing_ELA[#Headers],0)))),"")</f>
        <v/>
      </c>
    </row>
    <row r="200" spans="1:8" ht="14.25" customHeight="1" x14ac:dyDescent="0.25">
      <c r="A200" s="137"/>
      <c r="B200" s="137" t="str">
        <f>IFERROR(INDEX(_xlfn.VSTACK(YES_Writing_ELA[#Data], YES_Writing_FLA[#Data]),MATCH($A200,_xlfn.VSTACK(YES_Writing_ELA[Student Number], YES_Writing_FLA[Student Number]),0),MATCH(B$7,YES_Writing_ELA[#Headers],0)),"")</f>
        <v/>
      </c>
      <c r="C200" s="137" t="str">
        <f>IFERROR(INDEX(_xlfn.VSTACK(YES_Writing_ELA[#Data], YES_Writing_FLA[#Data]),MATCH($A200,_xlfn.VSTACK(YES_Writing_ELA[Student Number], YES_Writing_FLA[Student Number]),0),MATCH(C$7,YES_Writing_ELA[#Headers],0)),"")</f>
        <v/>
      </c>
      <c r="D200" s="138" t="str">
        <f>IFERROR(IF(IF(INDEX(_xlfn.VSTACK(YES_Writing_ELA[#Data],YES_Writing_FLA[#Data]),MATCH($A200,_xlfn.VSTACK(YES_Writing_ELA[Student Number],YES_Writing_FLA[Student Number]),0),MATCH(VLOOKUP(D$7,'Writing Logic'!$J$7:$K$11,2,FALSE)&amp;" - Per "&amp;VLOOKUP($C$4,'Writing Logic'!$G$8:$H$14,2,FALSE),YES_Writing_ELA[#Headers],0))=0,"",INDEX(_xlfn.VSTACK(YES_Writing_ELA[#Data],YES_Writing_FLA[#Data]),MATCH($A200,_xlfn.VSTACK(YES_Writing_ELA[Student Number],YES_Writing_FLA[Student Number]),0),MATCH(VLOOKUP(D$7,'Writing Logic'!$J$7:$K$11,2,FALSE)&amp;" - Per "&amp;VLOOKUP($C$4,'Writing Logic'!$G$8:$H$14,2,FALSE),YES_Writing_ELA[#Headers],0)))="INS",'Writing Logic'!$B$7,IF(INDEX(_xlfn.VSTACK(YES_Writing_ELA[#Data],YES_Writing_FLA[#Data]),MATCH($A200,_xlfn.VSTACK(YES_Writing_ELA[Student Number],YES_Writing_FLA[Student Number]),0),MATCH(VLOOKUP(D$7,'Writing Logic'!$J$7:$K$11,2,FALSE)&amp;" - Per "&amp;VLOOKUP($C$4,'Writing Logic'!$G$8:$H$14,2,FALSE),YES_Writing_ELA[#Headers],0))=0,"",INDEX(_xlfn.VSTACK(YES_Writing_ELA[#Data],YES_Writing_FLA[#Data]),MATCH($A200,_xlfn.VSTACK(YES_Writing_ELA[Student Number],YES_Writing_FLA[Student Number]),0),MATCH(VLOOKUP(D$7,'Writing Logic'!$J$7:$K$11,2,FALSE)&amp;" - Per "&amp;VLOOKUP($C$4,'Writing Logic'!$G$8:$H$14,2,FALSE),YES_Writing_ELA[#Headers],0)))),"")</f>
        <v/>
      </c>
      <c r="E200" s="138" t="str">
        <f>IFERROR(IF(IF(INDEX(_xlfn.VSTACK(YES_Writing_ELA[#Data],YES_Writing_FLA[#Data]),MATCH($A200,_xlfn.VSTACK(YES_Writing_ELA[Student Number],YES_Writing_FLA[Student Number]),0),MATCH(VLOOKUP(E$7,'Writing Logic'!$J$7:$K$11,2,FALSE)&amp;" - Per "&amp;VLOOKUP($C$4,'Writing Logic'!$G$8:$H$14,2,FALSE),YES_Writing_ELA[#Headers],0))=0,"",INDEX(_xlfn.VSTACK(YES_Writing_ELA[#Data],YES_Writing_FLA[#Data]),MATCH($A200,_xlfn.VSTACK(YES_Writing_ELA[Student Number],YES_Writing_FLA[Student Number]),0),MATCH(VLOOKUP(E$7,'Writing Logic'!$J$7:$K$11,2,FALSE)&amp;" - Per "&amp;VLOOKUP($C$4,'Writing Logic'!$G$8:$H$14,2,FALSE),YES_Writing_ELA[#Headers],0)))="INS",'Writing Logic'!$B$7,IF(INDEX(_xlfn.VSTACK(YES_Writing_ELA[#Data],YES_Writing_FLA[#Data]),MATCH($A200,_xlfn.VSTACK(YES_Writing_ELA[Student Number],YES_Writing_FLA[Student Number]),0),MATCH(VLOOKUP(E$7,'Writing Logic'!$J$7:$K$11,2,FALSE)&amp;" - Per "&amp;VLOOKUP($C$4,'Writing Logic'!$G$8:$H$14,2,FALSE),YES_Writing_ELA[#Headers],0))=0,"",INDEX(_xlfn.VSTACK(YES_Writing_ELA[#Data],YES_Writing_FLA[#Data]),MATCH($A200,_xlfn.VSTACK(YES_Writing_ELA[Student Number],YES_Writing_FLA[Student Number]),0),MATCH(VLOOKUP(E$7,'Writing Logic'!$J$7:$K$11,2,FALSE)&amp;" - Per "&amp;VLOOKUP($C$4,'Writing Logic'!$G$8:$H$14,2,FALSE),YES_Writing_ELA[#Headers],0)))),"")</f>
        <v/>
      </c>
      <c r="F200" s="138" t="str">
        <f>IFERROR(IF(IF(INDEX(_xlfn.VSTACK(YES_Writing_ELA[#Data],YES_Writing_FLA[#Data]),MATCH($A200,_xlfn.VSTACK(YES_Writing_ELA[Student Number],YES_Writing_FLA[Student Number]),0),MATCH(VLOOKUP(F$7,'Writing Logic'!$J$7:$K$11,2,FALSE)&amp;" - Per "&amp;VLOOKUP($C$4,'Writing Logic'!$G$8:$H$14,2,FALSE),YES_Writing_ELA[#Headers],0))=0,"",INDEX(_xlfn.VSTACK(YES_Writing_ELA[#Data],YES_Writing_FLA[#Data]),MATCH($A200,_xlfn.VSTACK(YES_Writing_ELA[Student Number],YES_Writing_FLA[Student Number]),0),MATCH(VLOOKUP(F$7,'Writing Logic'!$J$7:$K$11,2,FALSE)&amp;" - Per "&amp;VLOOKUP($C$4,'Writing Logic'!$G$8:$H$14,2,FALSE),YES_Writing_ELA[#Headers],0)))="INS",'Writing Logic'!$B$7,IF(INDEX(_xlfn.VSTACK(YES_Writing_ELA[#Data],YES_Writing_FLA[#Data]),MATCH($A200,_xlfn.VSTACK(YES_Writing_ELA[Student Number],YES_Writing_FLA[Student Number]),0),MATCH(VLOOKUP(F$7,'Writing Logic'!$J$7:$K$11,2,FALSE)&amp;" - Per "&amp;VLOOKUP($C$4,'Writing Logic'!$G$8:$H$14,2,FALSE),YES_Writing_ELA[#Headers],0))=0,"",INDEX(_xlfn.VSTACK(YES_Writing_ELA[#Data],YES_Writing_FLA[#Data]),MATCH($A200,_xlfn.VSTACK(YES_Writing_ELA[Student Number],YES_Writing_FLA[Student Number]),0),MATCH(VLOOKUP(F$7,'Writing Logic'!$J$7:$K$11,2,FALSE)&amp;" - Per "&amp;VLOOKUP($C$4,'Writing Logic'!$G$8:$H$14,2,FALSE),YES_Writing_ELA[#Headers],0)))),"")</f>
        <v/>
      </c>
      <c r="G200" s="138" t="str">
        <f>IFERROR(IF(IF(INDEX(_xlfn.VSTACK(YES_Writing_ELA[#Data],YES_Writing_FLA[#Data]),MATCH($A200,_xlfn.VSTACK(YES_Writing_ELA[Student Number],YES_Writing_FLA[Student Number]),0),MATCH(VLOOKUP(G$7,'Writing Logic'!$J$7:$K$11,2,FALSE)&amp;" - Per "&amp;VLOOKUP($C$4,'Writing Logic'!$G$8:$H$14,2,FALSE),YES_Writing_ELA[#Headers],0))=0,"",INDEX(_xlfn.VSTACK(YES_Writing_ELA[#Data],YES_Writing_FLA[#Data]),MATCH($A200,_xlfn.VSTACK(YES_Writing_ELA[Student Number],YES_Writing_FLA[Student Number]),0),MATCH(VLOOKUP(G$7,'Writing Logic'!$J$7:$K$11,2,FALSE)&amp;" - Per "&amp;VLOOKUP($C$4,'Writing Logic'!$G$8:$H$14,2,FALSE),YES_Writing_ELA[#Headers],0)))="INS",'Writing Logic'!$B$7,IF(INDEX(_xlfn.VSTACK(YES_Writing_ELA[#Data],YES_Writing_FLA[#Data]),MATCH($A200,_xlfn.VSTACK(YES_Writing_ELA[Student Number],YES_Writing_FLA[Student Number]),0),MATCH(VLOOKUP(G$7,'Writing Logic'!$J$7:$K$11,2,FALSE)&amp;" - Per "&amp;VLOOKUP($C$4,'Writing Logic'!$G$8:$H$14,2,FALSE),YES_Writing_ELA[#Headers],0))=0,"",INDEX(_xlfn.VSTACK(YES_Writing_ELA[#Data],YES_Writing_FLA[#Data]),MATCH($A200,_xlfn.VSTACK(YES_Writing_ELA[Student Number],YES_Writing_FLA[Student Number]),0),MATCH(VLOOKUP(G$7,'Writing Logic'!$J$7:$K$11,2,FALSE)&amp;" - Per "&amp;VLOOKUP($C$4,'Writing Logic'!$G$8:$H$14,2,FALSE),YES_Writing_ELA[#Headers],0)))),"")</f>
        <v/>
      </c>
      <c r="H200" s="138" t="str">
        <f>IFERROR(IF(IF(INDEX(_xlfn.VSTACK(YES_Writing_ELA[#Data],YES_Writing_FLA[#Data]),MATCH($A200,_xlfn.VSTACK(YES_Writing_ELA[Student Number],YES_Writing_FLA[Student Number]),0),MATCH(VLOOKUP(H$7,'Writing Logic'!$J$7:$K$11,2,FALSE)&amp;" - Per "&amp;VLOOKUP($C$4,'Writing Logic'!$G$8:$H$14,2,FALSE),YES_Writing_ELA[#Headers],0))=0,"",INDEX(_xlfn.VSTACK(YES_Writing_ELA[#Data],YES_Writing_FLA[#Data]),MATCH($A200,_xlfn.VSTACK(YES_Writing_ELA[Student Number],YES_Writing_FLA[Student Number]),0),MATCH(VLOOKUP(H$7,'Writing Logic'!$J$7:$K$11,2,FALSE)&amp;" - Per "&amp;VLOOKUP($C$4,'Writing Logic'!$G$8:$H$14,2,FALSE),YES_Writing_ELA[#Headers],0)))="INS",'Writing Logic'!$B$7,IF(INDEX(_xlfn.VSTACK(YES_Writing_ELA[#Data],YES_Writing_FLA[#Data]),MATCH($A200,_xlfn.VSTACK(YES_Writing_ELA[Student Number],YES_Writing_FLA[Student Number]),0),MATCH(VLOOKUP(H$7,'Writing Logic'!$J$7:$K$11,2,FALSE)&amp;" - Per "&amp;VLOOKUP($C$4,'Writing Logic'!$G$8:$H$14,2,FALSE),YES_Writing_ELA[#Headers],0))=0,"",INDEX(_xlfn.VSTACK(YES_Writing_ELA[#Data],YES_Writing_FLA[#Data]),MATCH($A200,_xlfn.VSTACK(YES_Writing_ELA[Student Number],YES_Writing_FLA[Student Number]),0),MATCH(VLOOKUP(H$7,'Writing Logic'!$J$7:$K$11,2,FALSE)&amp;" - Per "&amp;VLOOKUP($C$4,'Writing Logic'!$G$8:$H$14,2,FALSE),YES_Writing_ELA[#Headers],0)))),"")</f>
        <v/>
      </c>
    </row>
    <row r="201" spans="1:8" ht="14.25" customHeight="1" x14ac:dyDescent="0.25">
      <c r="A201" s="137"/>
      <c r="B201" s="137" t="str">
        <f>IFERROR(INDEX(_xlfn.VSTACK(YES_Writing_ELA[#Data], YES_Writing_FLA[#Data]),MATCH($A201,_xlfn.VSTACK(YES_Writing_ELA[Student Number], YES_Writing_FLA[Student Number]),0),MATCH(B$7,YES_Writing_ELA[#Headers],0)),"")</f>
        <v/>
      </c>
      <c r="C201" s="137" t="str">
        <f>IFERROR(INDEX(_xlfn.VSTACK(YES_Writing_ELA[#Data], YES_Writing_FLA[#Data]),MATCH($A201,_xlfn.VSTACK(YES_Writing_ELA[Student Number], YES_Writing_FLA[Student Number]),0),MATCH(C$7,YES_Writing_ELA[#Headers],0)),"")</f>
        <v/>
      </c>
      <c r="D201" s="138" t="str">
        <f>IFERROR(IF(IF(INDEX(_xlfn.VSTACK(YES_Writing_ELA[#Data],YES_Writing_FLA[#Data]),MATCH($A201,_xlfn.VSTACK(YES_Writing_ELA[Student Number],YES_Writing_FLA[Student Number]),0),MATCH(VLOOKUP(D$7,'Writing Logic'!$J$7:$K$11,2,FALSE)&amp;" - Per "&amp;VLOOKUP($C$4,'Writing Logic'!$G$8:$H$14,2,FALSE),YES_Writing_ELA[#Headers],0))=0,"",INDEX(_xlfn.VSTACK(YES_Writing_ELA[#Data],YES_Writing_FLA[#Data]),MATCH($A201,_xlfn.VSTACK(YES_Writing_ELA[Student Number],YES_Writing_FLA[Student Number]),0),MATCH(VLOOKUP(D$7,'Writing Logic'!$J$7:$K$11,2,FALSE)&amp;" - Per "&amp;VLOOKUP($C$4,'Writing Logic'!$G$8:$H$14,2,FALSE),YES_Writing_ELA[#Headers],0)))="INS",'Writing Logic'!$B$7,IF(INDEX(_xlfn.VSTACK(YES_Writing_ELA[#Data],YES_Writing_FLA[#Data]),MATCH($A201,_xlfn.VSTACK(YES_Writing_ELA[Student Number],YES_Writing_FLA[Student Number]),0),MATCH(VLOOKUP(D$7,'Writing Logic'!$J$7:$K$11,2,FALSE)&amp;" - Per "&amp;VLOOKUP($C$4,'Writing Logic'!$G$8:$H$14,2,FALSE),YES_Writing_ELA[#Headers],0))=0,"",INDEX(_xlfn.VSTACK(YES_Writing_ELA[#Data],YES_Writing_FLA[#Data]),MATCH($A201,_xlfn.VSTACK(YES_Writing_ELA[Student Number],YES_Writing_FLA[Student Number]),0),MATCH(VLOOKUP(D$7,'Writing Logic'!$J$7:$K$11,2,FALSE)&amp;" - Per "&amp;VLOOKUP($C$4,'Writing Logic'!$G$8:$H$14,2,FALSE),YES_Writing_ELA[#Headers],0)))),"")</f>
        <v/>
      </c>
      <c r="E201" s="138" t="str">
        <f>IFERROR(IF(IF(INDEX(_xlfn.VSTACK(YES_Writing_ELA[#Data],YES_Writing_FLA[#Data]),MATCH($A201,_xlfn.VSTACK(YES_Writing_ELA[Student Number],YES_Writing_FLA[Student Number]),0),MATCH(VLOOKUP(E$7,'Writing Logic'!$J$7:$K$11,2,FALSE)&amp;" - Per "&amp;VLOOKUP($C$4,'Writing Logic'!$G$8:$H$14,2,FALSE),YES_Writing_ELA[#Headers],0))=0,"",INDEX(_xlfn.VSTACK(YES_Writing_ELA[#Data],YES_Writing_FLA[#Data]),MATCH($A201,_xlfn.VSTACK(YES_Writing_ELA[Student Number],YES_Writing_FLA[Student Number]),0),MATCH(VLOOKUP(E$7,'Writing Logic'!$J$7:$K$11,2,FALSE)&amp;" - Per "&amp;VLOOKUP($C$4,'Writing Logic'!$G$8:$H$14,2,FALSE),YES_Writing_ELA[#Headers],0)))="INS",'Writing Logic'!$B$7,IF(INDEX(_xlfn.VSTACK(YES_Writing_ELA[#Data],YES_Writing_FLA[#Data]),MATCH($A201,_xlfn.VSTACK(YES_Writing_ELA[Student Number],YES_Writing_FLA[Student Number]),0),MATCH(VLOOKUP(E$7,'Writing Logic'!$J$7:$K$11,2,FALSE)&amp;" - Per "&amp;VLOOKUP($C$4,'Writing Logic'!$G$8:$H$14,2,FALSE),YES_Writing_ELA[#Headers],0))=0,"",INDEX(_xlfn.VSTACK(YES_Writing_ELA[#Data],YES_Writing_FLA[#Data]),MATCH($A201,_xlfn.VSTACK(YES_Writing_ELA[Student Number],YES_Writing_FLA[Student Number]),0),MATCH(VLOOKUP(E$7,'Writing Logic'!$J$7:$K$11,2,FALSE)&amp;" - Per "&amp;VLOOKUP($C$4,'Writing Logic'!$G$8:$H$14,2,FALSE),YES_Writing_ELA[#Headers],0)))),"")</f>
        <v/>
      </c>
      <c r="F201" s="138" t="str">
        <f>IFERROR(IF(IF(INDEX(_xlfn.VSTACK(YES_Writing_ELA[#Data],YES_Writing_FLA[#Data]),MATCH($A201,_xlfn.VSTACK(YES_Writing_ELA[Student Number],YES_Writing_FLA[Student Number]),0),MATCH(VLOOKUP(F$7,'Writing Logic'!$J$7:$K$11,2,FALSE)&amp;" - Per "&amp;VLOOKUP($C$4,'Writing Logic'!$G$8:$H$14,2,FALSE),YES_Writing_ELA[#Headers],0))=0,"",INDEX(_xlfn.VSTACK(YES_Writing_ELA[#Data],YES_Writing_FLA[#Data]),MATCH($A201,_xlfn.VSTACK(YES_Writing_ELA[Student Number],YES_Writing_FLA[Student Number]),0),MATCH(VLOOKUP(F$7,'Writing Logic'!$J$7:$K$11,2,FALSE)&amp;" - Per "&amp;VLOOKUP($C$4,'Writing Logic'!$G$8:$H$14,2,FALSE),YES_Writing_ELA[#Headers],0)))="INS",'Writing Logic'!$B$7,IF(INDEX(_xlfn.VSTACK(YES_Writing_ELA[#Data],YES_Writing_FLA[#Data]),MATCH($A201,_xlfn.VSTACK(YES_Writing_ELA[Student Number],YES_Writing_FLA[Student Number]),0),MATCH(VLOOKUP(F$7,'Writing Logic'!$J$7:$K$11,2,FALSE)&amp;" - Per "&amp;VLOOKUP($C$4,'Writing Logic'!$G$8:$H$14,2,FALSE),YES_Writing_ELA[#Headers],0))=0,"",INDEX(_xlfn.VSTACK(YES_Writing_ELA[#Data],YES_Writing_FLA[#Data]),MATCH($A201,_xlfn.VSTACK(YES_Writing_ELA[Student Number],YES_Writing_FLA[Student Number]),0),MATCH(VLOOKUP(F$7,'Writing Logic'!$J$7:$K$11,2,FALSE)&amp;" - Per "&amp;VLOOKUP($C$4,'Writing Logic'!$G$8:$H$14,2,FALSE),YES_Writing_ELA[#Headers],0)))),"")</f>
        <v/>
      </c>
      <c r="G201" s="138" t="str">
        <f>IFERROR(IF(IF(INDEX(_xlfn.VSTACK(YES_Writing_ELA[#Data],YES_Writing_FLA[#Data]),MATCH($A201,_xlfn.VSTACK(YES_Writing_ELA[Student Number],YES_Writing_FLA[Student Number]),0),MATCH(VLOOKUP(G$7,'Writing Logic'!$J$7:$K$11,2,FALSE)&amp;" - Per "&amp;VLOOKUP($C$4,'Writing Logic'!$G$8:$H$14,2,FALSE),YES_Writing_ELA[#Headers],0))=0,"",INDEX(_xlfn.VSTACK(YES_Writing_ELA[#Data],YES_Writing_FLA[#Data]),MATCH($A201,_xlfn.VSTACK(YES_Writing_ELA[Student Number],YES_Writing_FLA[Student Number]),0),MATCH(VLOOKUP(G$7,'Writing Logic'!$J$7:$K$11,2,FALSE)&amp;" - Per "&amp;VLOOKUP($C$4,'Writing Logic'!$G$8:$H$14,2,FALSE),YES_Writing_ELA[#Headers],0)))="INS",'Writing Logic'!$B$7,IF(INDEX(_xlfn.VSTACK(YES_Writing_ELA[#Data],YES_Writing_FLA[#Data]),MATCH($A201,_xlfn.VSTACK(YES_Writing_ELA[Student Number],YES_Writing_FLA[Student Number]),0),MATCH(VLOOKUP(G$7,'Writing Logic'!$J$7:$K$11,2,FALSE)&amp;" - Per "&amp;VLOOKUP($C$4,'Writing Logic'!$G$8:$H$14,2,FALSE),YES_Writing_ELA[#Headers],0))=0,"",INDEX(_xlfn.VSTACK(YES_Writing_ELA[#Data],YES_Writing_FLA[#Data]),MATCH($A201,_xlfn.VSTACK(YES_Writing_ELA[Student Number],YES_Writing_FLA[Student Number]),0),MATCH(VLOOKUP(G$7,'Writing Logic'!$J$7:$K$11,2,FALSE)&amp;" - Per "&amp;VLOOKUP($C$4,'Writing Logic'!$G$8:$H$14,2,FALSE),YES_Writing_ELA[#Headers],0)))),"")</f>
        <v/>
      </c>
      <c r="H201" s="138" t="str">
        <f>IFERROR(IF(IF(INDEX(_xlfn.VSTACK(YES_Writing_ELA[#Data],YES_Writing_FLA[#Data]),MATCH($A201,_xlfn.VSTACK(YES_Writing_ELA[Student Number],YES_Writing_FLA[Student Number]),0),MATCH(VLOOKUP(H$7,'Writing Logic'!$J$7:$K$11,2,FALSE)&amp;" - Per "&amp;VLOOKUP($C$4,'Writing Logic'!$G$8:$H$14,2,FALSE),YES_Writing_ELA[#Headers],0))=0,"",INDEX(_xlfn.VSTACK(YES_Writing_ELA[#Data],YES_Writing_FLA[#Data]),MATCH($A201,_xlfn.VSTACK(YES_Writing_ELA[Student Number],YES_Writing_FLA[Student Number]),0),MATCH(VLOOKUP(H$7,'Writing Logic'!$J$7:$K$11,2,FALSE)&amp;" - Per "&amp;VLOOKUP($C$4,'Writing Logic'!$G$8:$H$14,2,FALSE),YES_Writing_ELA[#Headers],0)))="INS",'Writing Logic'!$B$7,IF(INDEX(_xlfn.VSTACK(YES_Writing_ELA[#Data],YES_Writing_FLA[#Data]),MATCH($A201,_xlfn.VSTACK(YES_Writing_ELA[Student Number],YES_Writing_FLA[Student Number]),0),MATCH(VLOOKUP(H$7,'Writing Logic'!$J$7:$K$11,2,FALSE)&amp;" - Per "&amp;VLOOKUP($C$4,'Writing Logic'!$G$8:$H$14,2,FALSE),YES_Writing_ELA[#Headers],0))=0,"",INDEX(_xlfn.VSTACK(YES_Writing_ELA[#Data],YES_Writing_FLA[#Data]),MATCH($A201,_xlfn.VSTACK(YES_Writing_ELA[Student Number],YES_Writing_FLA[Student Number]),0),MATCH(VLOOKUP(H$7,'Writing Logic'!$J$7:$K$11,2,FALSE)&amp;" - Per "&amp;VLOOKUP($C$4,'Writing Logic'!$G$8:$H$14,2,FALSE),YES_Writing_ELA[#Headers],0)))),"")</f>
        <v/>
      </c>
    </row>
    <row r="202" spans="1:8" ht="14.25" customHeight="1" x14ac:dyDescent="0.25">
      <c r="A202" s="137"/>
      <c r="B202" s="137" t="str">
        <f>IFERROR(INDEX(_xlfn.VSTACK(YES_Writing_ELA[#Data], YES_Writing_FLA[#Data]),MATCH($A202,_xlfn.VSTACK(YES_Writing_ELA[Student Number], YES_Writing_FLA[Student Number]),0),MATCH(B$7,YES_Writing_ELA[#Headers],0)),"")</f>
        <v/>
      </c>
      <c r="C202" s="137" t="str">
        <f>IFERROR(INDEX(_xlfn.VSTACK(YES_Writing_ELA[#Data], YES_Writing_FLA[#Data]),MATCH($A202,_xlfn.VSTACK(YES_Writing_ELA[Student Number], YES_Writing_FLA[Student Number]),0),MATCH(C$7,YES_Writing_ELA[#Headers],0)),"")</f>
        <v/>
      </c>
      <c r="D202" s="138" t="str">
        <f>IFERROR(IF(IF(INDEX(_xlfn.VSTACK(YES_Writing_ELA[#Data],YES_Writing_FLA[#Data]),MATCH($A202,_xlfn.VSTACK(YES_Writing_ELA[Student Number],YES_Writing_FLA[Student Number]),0),MATCH(VLOOKUP(D$7,'Writing Logic'!$J$7:$K$11,2,FALSE)&amp;" - Per "&amp;VLOOKUP($C$4,'Writing Logic'!$G$8:$H$14,2,FALSE),YES_Writing_ELA[#Headers],0))=0,"",INDEX(_xlfn.VSTACK(YES_Writing_ELA[#Data],YES_Writing_FLA[#Data]),MATCH($A202,_xlfn.VSTACK(YES_Writing_ELA[Student Number],YES_Writing_FLA[Student Number]),0),MATCH(VLOOKUP(D$7,'Writing Logic'!$J$7:$K$11,2,FALSE)&amp;" - Per "&amp;VLOOKUP($C$4,'Writing Logic'!$G$8:$H$14,2,FALSE),YES_Writing_ELA[#Headers],0)))="INS",'Writing Logic'!$B$7,IF(INDEX(_xlfn.VSTACK(YES_Writing_ELA[#Data],YES_Writing_FLA[#Data]),MATCH($A202,_xlfn.VSTACK(YES_Writing_ELA[Student Number],YES_Writing_FLA[Student Number]),0),MATCH(VLOOKUP(D$7,'Writing Logic'!$J$7:$K$11,2,FALSE)&amp;" - Per "&amp;VLOOKUP($C$4,'Writing Logic'!$G$8:$H$14,2,FALSE),YES_Writing_ELA[#Headers],0))=0,"",INDEX(_xlfn.VSTACK(YES_Writing_ELA[#Data],YES_Writing_FLA[#Data]),MATCH($A202,_xlfn.VSTACK(YES_Writing_ELA[Student Number],YES_Writing_FLA[Student Number]),0),MATCH(VLOOKUP(D$7,'Writing Logic'!$J$7:$K$11,2,FALSE)&amp;" - Per "&amp;VLOOKUP($C$4,'Writing Logic'!$G$8:$H$14,2,FALSE),YES_Writing_ELA[#Headers],0)))),"")</f>
        <v/>
      </c>
      <c r="E202" s="138" t="str">
        <f>IFERROR(IF(IF(INDEX(_xlfn.VSTACK(YES_Writing_ELA[#Data],YES_Writing_FLA[#Data]),MATCH($A202,_xlfn.VSTACK(YES_Writing_ELA[Student Number],YES_Writing_FLA[Student Number]),0),MATCH(VLOOKUP(E$7,'Writing Logic'!$J$7:$K$11,2,FALSE)&amp;" - Per "&amp;VLOOKUP($C$4,'Writing Logic'!$G$8:$H$14,2,FALSE),YES_Writing_ELA[#Headers],0))=0,"",INDEX(_xlfn.VSTACK(YES_Writing_ELA[#Data],YES_Writing_FLA[#Data]),MATCH($A202,_xlfn.VSTACK(YES_Writing_ELA[Student Number],YES_Writing_FLA[Student Number]),0),MATCH(VLOOKUP(E$7,'Writing Logic'!$J$7:$K$11,2,FALSE)&amp;" - Per "&amp;VLOOKUP($C$4,'Writing Logic'!$G$8:$H$14,2,FALSE),YES_Writing_ELA[#Headers],0)))="INS",'Writing Logic'!$B$7,IF(INDEX(_xlfn.VSTACK(YES_Writing_ELA[#Data],YES_Writing_FLA[#Data]),MATCH($A202,_xlfn.VSTACK(YES_Writing_ELA[Student Number],YES_Writing_FLA[Student Number]),0),MATCH(VLOOKUP(E$7,'Writing Logic'!$J$7:$K$11,2,FALSE)&amp;" - Per "&amp;VLOOKUP($C$4,'Writing Logic'!$G$8:$H$14,2,FALSE),YES_Writing_ELA[#Headers],0))=0,"",INDEX(_xlfn.VSTACK(YES_Writing_ELA[#Data],YES_Writing_FLA[#Data]),MATCH($A202,_xlfn.VSTACK(YES_Writing_ELA[Student Number],YES_Writing_FLA[Student Number]),0),MATCH(VLOOKUP(E$7,'Writing Logic'!$J$7:$K$11,2,FALSE)&amp;" - Per "&amp;VLOOKUP($C$4,'Writing Logic'!$G$8:$H$14,2,FALSE),YES_Writing_ELA[#Headers],0)))),"")</f>
        <v/>
      </c>
      <c r="F202" s="138" t="str">
        <f>IFERROR(IF(IF(INDEX(_xlfn.VSTACK(YES_Writing_ELA[#Data],YES_Writing_FLA[#Data]),MATCH($A202,_xlfn.VSTACK(YES_Writing_ELA[Student Number],YES_Writing_FLA[Student Number]),0),MATCH(VLOOKUP(F$7,'Writing Logic'!$J$7:$K$11,2,FALSE)&amp;" - Per "&amp;VLOOKUP($C$4,'Writing Logic'!$G$8:$H$14,2,FALSE),YES_Writing_ELA[#Headers],0))=0,"",INDEX(_xlfn.VSTACK(YES_Writing_ELA[#Data],YES_Writing_FLA[#Data]),MATCH($A202,_xlfn.VSTACK(YES_Writing_ELA[Student Number],YES_Writing_FLA[Student Number]),0),MATCH(VLOOKUP(F$7,'Writing Logic'!$J$7:$K$11,2,FALSE)&amp;" - Per "&amp;VLOOKUP($C$4,'Writing Logic'!$G$8:$H$14,2,FALSE),YES_Writing_ELA[#Headers],0)))="INS",'Writing Logic'!$B$7,IF(INDEX(_xlfn.VSTACK(YES_Writing_ELA[#Data],YES_Writing_FLA[#Data]),MATCH($A202,_xlfn.VSTACK(YES_Writing_ELA[Student Number],YES_Writing_FLA[Student Number]),0),MATCH(VLOOKUP(F$7,'Writing Logic'!$J$7:$K$11,2,FALSE)&amp;" - Per "&amp;VLOOKUP($C$4,'Writing Logic'!$G$8:$H$14,2,FALSE),YES_Writing_ELA[#Headers],0))=0,"",INDEX(_xlfn.VSTACK(YES_Writing_ELA[#Data],YES_Writing_FLA[#Data]),MATCH($A202,_xlfn.VSTACK(YES_Writing_ELA[Student Number],YES_Writing_FLA[Student Number]),0),MATCH(VLOOKUP(F$7,'Writing Logic'!$J$7:$K$11,2,FALSE)&amp;" - Per "&amp;VLOOKUP($C$4,'Writing Logic'!$G$8:$H$14,2,FALSE),YES_Writing_ELA[#Headers],0)))),"")</f>
        <v/>
      </c>
      <c r="G202" s="138" t="str">
        <f>IFERROR(IF(IF(INDEX(_xlfn.VSTACK(YES_Writing_ELA[#Data],YES_Writing_FLA[#Data]),MATCH($A202,_xlfn.VSTACK(YES_Writing_ELA[Student Number],YES_Writing_FLA[Student Number]),0),MATCH(VLOOKUP(G$7,'Writing Logic'!$J$7:$K$11,2,FALSE)&amp;" - Per "&amp;VLOOKUP($C$4,'Writing Logic'!$G$8:$H$14,2,FALSE),YES_Writing_ELA[#Headers],0))=0,"",INDEX(_xlfn.VSTACK(YES_Writing_ELA[#Data],YES_Writing_FLA[#Data]),MATCH($A202,_xlfn.VSTACK(YES_Writing_ELA[Student Number],YES_Writing_FLA[Student Number]),0),MATCH(VLOOKUP(G$7,'Writing Logic'!$J$7:$K$11,2,FALSE)&amp;" - Per "&amp;VLOOKUP($C$4,'Writing Logic'!$G$8:$H$14,2,FALSE),YES_Writing_ELA[#Headers],0)))="INS",'Writing Logic'!$B$7,IF(INDEX(_xlfn.VSTACK(YES_Writing_ELA[#Data],YES_Writing_FLA[#Data]),MATCH($A202,_xlfn.VSTACK(YES_Writing_ELA[Student Number],YES_Writing_FLA[Student Number]),0),MATCH(VLOOKUP(G$7,'Writing Logic'!$J$7:$K$11,2,FALSE)&amp;" - Per "&amp;VLOOKUP($C$4,'Writing Logic'!$G$8:$H$14,2,FALSE),YES_Writing_ELA[#Headers],0))=0,"",INDEX(_xlfn.VSTACK(YES_Writing_ELA[#Data],YES_Writing_FLA[#Data]),MATCH($A202,_xlfn.VSTACK(YES_Writing_ELA[Student Number],YES_Writing_FLA[Student Number]),0),MATCH(VLOOKUP(G$7,'Writing Logic'!$J$7:$K$11,2,FALSE)&amp;" - Per "&amp;VLOOKUP($C$4,'Writing Logic'!$G$8:$H$14,2,FALSE),YES_Writing_ELA[#Headers],0)))),"")</f>
        <v/>
      </c>
      <c r="H202" s="138" t="str">
        <f>IFERROR(IF(IF(INDEX(_xlfn.VSTACK(YES_Writing_ELA[#Data],YES_Writing_FLA[#Data]),MATCH($A202,_xlfn.VSTACK(YES_Writing_ELA[Student Number],YES_Writing_FLA[Student Number]),0),MATCH(VLOOKUP(H$7,'Writing Logic'!$J$7:$K$11,2,FALSE)&amp;" - Per "&amp;VLOOKUP($C$4,'Writing Logic'!$G$8:$H$14,2,FALSE),YES_Writing_ELA[#Headers],0))=0,"",INDEX(_xlfn.VSTACK(YES_Writing_ELA[#Data],YES_Writing_FLA[#Data]),MATCH($A202,_xlfn.VSTACK(YES_Writing_ELA[Student Number],YES_Writing_FLA[Student Number]),0),MATCH(VLOOKUP(H$7,'Writing Logic'!$J$7:$K$11,2,FALSE)&amp;" - Per "&amp;VLOOKUP($C$4,'Writing Logic'!$G$8:$H$14,2,FALSE),YES_Writing_ELA[#Headers],0)))="INS",'Writing Logic'!$B$7,IF(INDEX(_xlfn.VSTACK(YES_Writing_ELA[#Data],YES_Writing_FLA[#Data]),MATCH($A202,_xlfn.VSTACK(YES_Writing_ELA[Student Number],YES_Writing_FLA[Student Number]),0),MATCH(VLOOKUP(H$7,'Writing Logic'!$J$7:$K$11,2,FALSE)&amp;" - Per "&amp;VLOOKUP($C$4,'Writing Logic'!$G$8:$H$14,2,FALSE),YES_Writing_ELA[#Headers],0))=0,"",INDEX(_xlfn.VSTACK(YES_Writing_ELA[#Data],YES_Writing_FLA[#Data]),MATCH($A202,_xlfn.VSTACK(YES_Writing_ELA[Student Number],YES_Writing_FLA[Student Number]),0),MATCH(VLOOKUP(H$7,'Writing Logic'!$J$7:$K$11,2,FALSE)&amp;" - Per "&amp;VLOOKUP($C$4,'Writing Logic'!$G$8:$H$14,2,FALSE),YES_Writing_ELA[#Headers],0)))),"")</f>
        <v/>
      </c>
    </row>
    <row r="203" spans="1:8" ht="14.25" customHeight="1" x14ac:dyDescent="0.25">
      <c r="A203" s="137"/>
      <c r="B203" s="137" t="str">
        <f>IFERROR(INDEX(_xlfn.VSTACK(YES_Writing_ELA[#Data], YES_Writing_FLA[#Data]),MATCH($A203,_xlfn.VSTACK(YES_Writing_ELA[Student Number], YES_Writing_FLA[Student Number]),0),MATCH(B$7,YES_Writing_ELA[#Headers],0)),"")</f>
        <v/>
      </c>
      <c r="C203" s="137" t="str">
        <f>IFERROR(INDEX(_xlfn.VSTACK(YES_Writing_ELA[#Data], YES_Writing_FLA[#Data]),MATCH($A203,_xlfn.VSTACK(YES_Writing_ELA[Student Number], YES_Writing_FLA[Student Number]),0),MATCH(C$7,YES_Writing_ELA[#Headers],0)),"")</f>
        <v/>
      </c>
      <c r="D203" s="138" t="str">
        <f>IFERROR(IF(IF(INDEX(_xlfn.VSTACK(YES_Writing_ELA[#Data],YES_Writing_FLA[#Data]),MATCH($A203,_xlfn.VSTACK(YES_Writing_ELA[Student Number],YES_Writing_FLA[Student Number]),0),MATCH(VLOOKUP(D$7,'Writing Logic'!$J$7:$K$11,2,FALSE)&amp;" - Per "&amp;VLOOKUP($C$4,'Writing Logic'!$G$8:$H$14,2,FALSE),YES_Writing_ELA[#Headers],0))=0,"",INDEX(_xlfn.VSTACK(YES_Writing_ELA[#Data],YES_Writing_FLA[#Data]),MATCH($A203,_xlfn.VSTACK(YES_Writing_ELA[Student Number],YES_Writing_FLA[Student Number]),0),MATCH(VLOOKUP(D$7,'Writing Logic'!$J$7:$K$11,2,FALSE)&amp;" - Per "&amp;VLOOKUP($C$4,'Writing Logic'!$G$8:$H$14,2,FALSE),YES_Writing_ELA[#Headers],0)))="INS",'Writing Logic'!$B$7,IF(INDEX(_xlfn.VSTACK(YES_Writing_ELA[#Data],YES_Writing_FLA[#Data]),MATCH($A203,_xlfn.VSTACK(YES_Writing_ELA[Student Number],YES_Writing_FLA[Student Number]),0),MATCH(VLOOKUP(D$7,'Writing Logic'!$J$7:$K$11,2,FALSE)&amp;" - Per "&amp;VLOOKUP($C$4,'Writing Logic'!$G$8:$H$14,2,FALSE),YES_Writing_ELA[#Headers],0))=0,"",INDEX(_xlfn.VSTACK(YES_Writing_ELA[#Data],YES_Writing_FLA[#Data]),MATCH($A203,_xlfn.VSTACK(YES_Writing_ELA[Student Number],YES_Writing_FLA[Student Number]),0),MATCH(VLOOKUP(D$7,'Writing Logic'!$J$7:$K$11,2,FALSE)&amp;" - Per "&amp;VLOOKUP($C$4,'Writing Logic'!$G$8:$H$14,2,FALSE),YES_Writing_ELA[#Headers],0)))),"")</f>
        <v/>
      </c>
      <c r="E203" s="138" t="str">
        <f>IFERROR(IF(IF(INDEX(_xlfn.VSTACK(YES_Writing_ELA[#Data],YES_Writing_FLA[#Data]),MATCH($A203,_xlfn.VSTACK(YES_Writing_ELA[Student Number],YES_Writing_FLA[Student Number]),0),MATCH(VLOOKUP(E$7,'Writing Logic'!$J$7:$K$11,2,FALSE)&amp;" - Per "&amp;VLOOKUP($C$4,'Writing Logic'!$G$8:$H$14,2,FALSE),YES_Writing_ELA[#Headers],0))=0,"",INDEX(_xlfn.VSTACK(YES_Writing_ELA[#Data],YES_Writing_FLA[#Data]),MATCH($A203,_xlfn.VSTACK(YES_Writing_ELA[Student Number],YES_Writing_FLA[Student Number]),0),MATCH(VLOOKUP(E$7,'Writing Logic'!$J$7:$K$11,2,FALSE)&amp;" - Per "&amp;VLOOKUP($C$4,'Writing Logic'!$G$8:$H$14,2,FALSE),YES_Writing_ELA[#Headers],0)))="INS",'Writing Logic'!$B$7,IF(INDEX(_xlfn.VSTACK(YES_Writing_ELA[#Data],YES_Writing_FLA[#Data]),MATCH($A203,_xlfn.VSTACK(YES_Writing_ELA[Student Number],YES_Writing_FLA[Student Number]),0),MATCH(VLOOKUP(E$7,'Writing Logic'!$J$7:$K$11,2,FALSE)&amp;" - Per "&amp;VLOOKUP($C$4,'Writing Logic'!$G$8:$H$14,2,FALSE),YES_Writing_ELA[#Headers],0))=0,"",INDEX(_xlfn.VSTACK(YES_Writing_ELA[#Data],YES_Writing_FLA[#Data]),MATCH($A203,_xlfn.VSTACK(YES_Writing_ELA[Student Number],YES_Writing_FLA[Student Number]),0),MATCH(VLOOKUP(E$7,'Writing Logic'!$J$7:$K$11,2,FALSE)&amp;" - Per "&amp;VLOOKUP($C$4,'Writing Logic'!$G$8:$H$14,2,FALSE),YES_Writing_ELA[#Headers],0)))),"")</f>
        <v/>
      </c>
      <c r="F203" s="138" t="str">
        <f>IFERROR(IF(IF(INDEX(_xlfn.VSTACK(YES_Writing_ELA[#Data],YES_Writing_FLA[#Data]),MATCH($A203,_xlfn.VSTACK(YES_Writing_ELA[Student Number],YES_Writing_FLA[Student Number]),0),MATCH(VLOOKUP(F$7,'Writing Logic'!$J$7:$K$11,2,FALSE)&amp;" - Per "&amp;VLOOKUP($C$4,'Writing Logic'!$G$8:$H$14,2,FALSE),YES_Writing_ELA[#Headers],0))=0,"",INDEX(_xlfn.VSTACK(YES_Writing_ELA[#Data],YES_Writing_FLA[#Data]),MATCH($A203,_xlfn.VSTACK(YES_Writing_ELA[Student Number],YES_Writing_FLA[Student Number]),0),MATCH(VLOOKUP(F$7,'Writing Logic'!$J$7:$K$11,2,FALSE)&amp;" - Per "&amp;VLOOKUP($C$4,'Writing Logic'!$G$8:$H$14,2,FALSE),YES_Writing_ELA[#Headers],0)))="INS",'Writing Logic'!$B$7,IF(INDEX(_xlfn.VSTACK(YES_Writing_ELA[#Data],YES_Writing_FLA[#Data]),MATCH($A203,_xlfn.VSTACK(YES_Writing_ELA[Student Number],YES_Writing_FLA[Student Number]),0),MATCH(VLOOKUP(F$7,'Writing Logic'!$J$7:$K$11,2,FALSE)&amp;" - Per "&amp;VLOOKUP($C$4,'Writing Logic'!$G$8:$H$14,2,FALSE),YES_Writing_ELA[#Headers],0))=0,"",INDEX(_xlfn.VSTACK(YES_Writing_ELA[#Data],YES_Writing_FLA[#Data]),MATCH($A203,_xlfn.VSTACK(YES_Writing_ELA[Student Number],YES_Writing_FLA[Student Number]),0),MATCH(VLOOKUP(F$7,'Writing Logic'!$J$7:$K$11,2,FALSE)&amp;" - Per "&amp;VLOOKUP($C$4,'Writing Logic'!$G$8:$H$14,2,FALSE),YES_Writing_ELA[#Headers],0)))),"")</f>
        <v/>
      </c>
      <c r="G203" s="138" t="str">
        <f>IFERROR(IF(IF(INDEX(_xlfn.VSTACK(YES_Writing_ELA[#Data],YES_Writing_FLA[#Data]),MATCH($A203,_xlfn.VSTACK(YES_Writing_ELA[Student Number],YES_Writing_FLA[Student Number]),0),MATCH(VLOOKUP(G$7,'Writing Logic'!$J$7:$K$11,2,FALSE)&amp;" - Per "&amp;VLOOKUP($C$4,'Writing Logic'!$G$8:$H$14,2,FALSE),YES_Writing_ELA[#Headers],0))=0,"",INDEX(_xlfn.VSTACK(YES_Writing_ELA[#Data],YES_Writing_FLA[#Data]),MATCH($A203,_xlfn.VSTACK(YES_Writing_ELA[Student Number],YES_Writing_FLA[Student Number]),0),MATCH(VLOOKUP(G$7,'Writing Logic'!$J$7:$K$11,2,FALSE)&amp;" - Per "&amp;VLOOKUP($C$4,'Writing Logic'!$G$8:$H$14,2,FALSE),YES_Writing_ELA[#Headers],0)))="INS",'Writing Logic'!$B$7,IF(INDEX(_xlfn.VSTACK(YES_Writing_ELA[#Data],YES_Writing_FLA[#Data]),MATCH($A203,_xlfn.VSTACK(YES_Writing_ELA[Student Number],YES_Writing_FLA[Student Number]),0),MATCH(VLOOKUP(G$7,'Writing Logic'!$J$7:$K$11,2,FALSE)&amp;" - Per "&amp;VLOOKUP($C$4,'Writing Logic'!$G$8:$H$14,2,FALSE),YES_Writing_ELA[#Headers],0))=0,"",INDEX(_xlfn.VSTACK(YES_Writing_ELA[#Data],YES_Writing_FLA[#Data]),MATCH($A203,_xlfn.VSTACK(YES_Writing_ELA[Student Number],YES_Writing_FLA[Student Number]),0),MATCH(VLOOKUP(G$7,'Writing Logic'!$J$7:$K$11,2,FALSE)&amp;" - Per "&amp;VLOOKUP($C$4,'Writing Logic'!$G$8:$H$14,2,FALSE),YES_Writing_ELA[#Headers],0)))),"")</f>
        <v/>
      </c>
      <c r="H203" s="138" t="str">
        <f>IFERROR(IF(IF(INDEX(_xlfn.VSTACK(YES_Writing_ELA[#Data],YES_Writing_FLA[#Data]),MATCH($A203,_xlfn.VSTACK(YES_Writing_ELA[Student Number],YES_Writing_FLA[Student Number]),0),MATCH(VLOOKUP(H$7,'Writing Logic'!$J$7:$K$11,2,FALSE)&amp;" - Per "&amp;VLOOKUP($C$4,'Writing Logic'!$G$8:$H$14,2,FALSE),YES_Writing_ELA[#Headers],0))=0,"",INDEX(_xlfn.VSTACK(YES_Writing_ELA[#Data],YES_Writing_FLA[#Data]),MATCH($A203,_xlfn.VSTACK(YES_Writing_ELA[Student Number],YES_Writing_FLA[Student Number]),0),MATCH(VLOOKUP(H$7,'Writing Logic'!$J$7:$K$11,2,FALSE)&amp;" - Per "&amp;VLOOKUP($C$4,'Writing Logic'!$G$8:$H$14,2,FALSE),YES_Writing_ELA[#Headers],0)))="INS",'Writing Logic'!$B$7,IF(INDEX(_xlfn.VSTACK(YES_Writing_ELA[#Data],YES_Writing_FLA[#Data]),MATCH($A203,_xlfn.VSTACK(YES_Writing_ELA[Student Number],YES_Writing_FLA[Student Number]),0),MATCH(VLOOKUP(H$7,'Writing Logic'!$J$7:$K$11,2,FALSE)&amp;" - Per "&amp;VLOOKUP($C$4,'Writing Logic'!$G$8:$H$14,2,FALSE),YES_Writing_ELA[#Headers],0))=0,"",INDEX(_xlfn.VSTACK(YES_Writing_ELA[#Data],YES_Writing_FLA[#Data]),MATCH($A203,_xlfn.VSTACK(YES_Writing_ELA[Student Number],YES_Writing_FLA[Student Number]),0),MATCH(VLOOKUP(H$7,'Writing Logic'!$J$7:$K$11,2,FALSE)&amp;" - Per "&amp;VLOOKUP($C$4,'Writing Logic'!$G$8:$H$14,2,FALSE),YES_Writing_ELA[#Headers],0)))),"")</f>
        <v/>
      </c>
    </row>
    <row r="204" spans="1:8" ht="14.25" customHeight="1" x14ac:dyDescent="0.25">
      <c r="A204" s="137"/>
      <c r="B204" s="137" t="str">
        <f>IFERROR(INDEX(_xlfn.VSTACK(YES_Writing_ELA[#Data], YES_Writing_FLA[#Data]),MATCH($A204,_xlfn.VSTACK(YES_Writing_ELA[Student Number], YES_Writing_FLA[Student Number]),0),MATCH(B$7,YES_Writing_ELA[#Headers],0)),"")</f>
        <v/>
      </c>
      <c r="C204" s="137" t="str">
        <f>IFERROR(INDEX(_xlfn.VSTACK(YES_Writing_ELA[#Data], YES_Writing_FLA[#Data]),MATCH($A204,_xlfn.VSTACK(YES_Writing_ELA[Student Number], YES_Writing_FLA[Student Number]),0),MATCH(C$7,YES_Writing_ELA[#Headers],0)),"")</f>
        <v/>
      </c>
      <c r="D204" s="138" t="str">
        <f>IFERROR(IF(IF(INDEX(_xlfn.VSTACK(YES_Writing_ELA[#Data],YES_Writing_FLA[#Data]),MATCH($A204,_xlfn.VSTACK(YES_Writing_ELA[Student Number],YES_Writing_FLA[Student Number]),0),MATCH(VLOOKUP(D$7,'Writing Logic'!$J$7:$K$11,2,FALSE)&amp;" - Per "&amp;VLOOKUP($C$4,'Writing Logic'!$G$8:$H$14,2,FALSE),YES_Writing_ELA[#Headers],0))=0,"",INDEX(_xlfn.VSTACK(YES_Writing_ELA[#Data],YES_Writing_FLA[#Data]),MATCH($A204,_xlfn.VSTACK(YES_Writing_ELA[Student Number],YES_Writing_FLA[Student Number]),0),MATCH(VLOOKUP(D$7,'Writing Logic'!$J$7:$K$11,2,FALSE)&amp;" - Per "&amp;VLOOKUP($C$4,'Writing Logic'!$G$8:$H$14,2,FALSE),YES_Writing_ELA[#Headers],0)))="INS",'Writing Logic'!$B$7,IF(INDEX(_xlfn.VSTACK(YES_Writing_ELA[#Data],YES_Writing_FLA[#Data]),MATCH($A204,_xlfn.VSTACK(YES_Writing_ELA[Student Number],YES_Writing_FLA[Student Number]),0),MATCH(VLOOKUP(D$7,'Writing Logic'!$J$7:$K$11,2,FALSE)&amp;" - Per "&amp;VLOOKUP($C$4,'Writing Logic'!$G$8:$H$14,2,FALSE),YES_Writing_ELA[#Headers],0))=0,"",INDEX(_xlfn.VSTACK(YES_Writing_ELA[#Data],YES_Writing_FLA[#Data]),MATCH($A204,_xlfn.VSTACK(YES_Writing_ELA[Student Number],YES_Writing_FLA[Student Number]),0),MATCH(VLOOKUP(D$7,'Writing Logic'!$J$7:$K$11,2,FALSE)&amp;" - Per "&amp;VLOOKUP($C$4,'Writing Logic'!$G$8:$H$14,2,FALSE),YES_Writing_ELA[#Headers],0)))),"")</f>
        <v/>
      </c>
      <c r="E204" s="138" t="str">
        <f>IFERROR(IF(IF(INDEX(_xlfn.VSTACK(YES_Writing_ELA[#Data],YES_Writing_FLA[#Data]),MATCH($A204,_xlfn.VSTACK(YES_Writing_ELA[Student Number],YES_Writing_FLA[Student Number]),0),MATCH(VLOOKUP(E$7,'Writing Logic'!$J$7:$K$11,2,FALSE)&amp;" - Per "&amp;VLOOKUP($C$4,'Writing Logic'!$G$8:$H$14,2,FALSE),YES_Writing_ELA[#Headers],0))=0,"",INDEX(_xlfn.VSTACK(YES_Writing_ELA[#Data],YES_Writing_FLA[#Data]),MATCH($A204,_xlfn.VSTACK(YES_Writing_ELA[Student Number],YES_Writing_FLA[Student Number]),0),MATCH(VLOOKUP(E$7,'Writing Logic'!$J$7:$K$11,2,FALSE)&amp;" - Per "&amp;VLOOKUP($C$4,'Writing Logic'!$G$8:$H$14,2,FALSE),YES_Writing_ELA[#Headers],0)))="INS",'Writing Logic'!$B$7,IF(INDEX(_xlfn.VSTACK(YES_Writing_ELA[#Data],YES_Writing_FLA[#Data]),MATCH($A204,_xlfn.VSTACK(YES_Writing_ELA[Student Number],YES_Writing_FLA[Student Number]),0),MATCH(VLOOKUP(E$7,'Writing Logic'!$J$7:$K$11,2,FALSE)&amp;" - Per "&amp;VLOOKUP($C$4,'Writing Logic'!$G$8:$H$14,2,FALSE),YES_Writing_ELA[#Headers],0))=0,"",INDEX(_xlfn.VSTACK(YES_Writing_ELA[#Data],YES_Writing_FLA[#Data]),MATCH($A204,_xlfn.VSTACK(YES_Writing_ELA[Student Number],YES_Writing_FLA[Student Number]),0),MATCH(VLOOKUP(E$7,'Writing Logic'!$J$7:$K$11,2,FALSE)&amp;" - Per "&amp;VLOOKUP($C$4,'Writing Logic'!$G$8:$H$14,2,FALSE),YES_Writing_ELA[#Headers],0)))),"")</f>
        <v/>
      </c>
      <c r="F204" s="138" t="str">
        <f>IFERROR(IF(IF(INDEX(_xlfn.VSTACK(YES_Writing_ELA[#Data],YES_Writing_FLA[#Data]),MATCH($A204,_xlfn.VSTACK(YES_Writing_ELA[Student Number],YES_Writing_FLA[Student Number]),0),MATCH(VLOOKUP(F$7,'Writing Logic'!$J$7:$K$11,2,FALSE)&amp;" - Per "&amp;VLOOKUP($C$4,'Writing Logic'!$G$8:$H$14,2,FALSE),YES_Writing_ELA[#Headers],0))=0,"",INDEX(_xlfn.VSTACK(YES_Writing_ELA[#Data],YES_Writing_FLA[#Data]),MATCH($A204,_xlfn.VSTACK(YES_Writing_ELA[Student Number],YES_Writing_FLA[Student Number]),0),MATCH(VLOOKUP(F$7,'Writing Logic'!$J$7:$K$11,2,FALSE)&amp;" - Per "&amp;VLOOKUP($C$4,'Writing Logic'!$G$8:$H$14,2,FALSE),YES_Writing_ELA[#Headers],0)))="INS",'Writing Logic'!$B$7,IF(INDEX(_xlfn.VSTACK(YES_Writing_ELA[#Data],YES_Writing_FLA[#Data]),MATCH($A204,_xlfn.VSTACK(YES_Writing_ELA[Student Number],YES_Writing_FLA[Student Number]),0),MATCH(VLOOKUP(F$7,'Writing Logic'!$J$7:$K$11,2,FALSE)&amp;" - Per "&amp;VLOOKUP($C$4,'Writing Logic'!$G$8:$H$14,2,FALSE),YES_Writing_ELA[#Headers],0))=0,"",INDEX(_xlfn.VSTACK(YES_Writing_ELA[#Data],YES_Writing_FLA[#Data]),MATCH($A204,_xlfn.VSTACK(YES_Writing_ELA[Student Number],YES_Writing_FLA[Student Number]),0),MATCH(VLOOKUP(F$7,'Writing Logic'!$J$7:$K$11,2,FALSE)&amp;" - Per "&amp;VLOOKUP($C$4,'Writing Logic'!$G$8:$H$14,2,FALSE),YES_Writing_ELA[#Headers],0)))),"")</f>
        <v/>
      </c>
      <c r="G204" s="138" t="str">
        <f>IFERROR(IF(IF(INDEX(_xlfn.VSTACK(YES_Writing_ELA[#Data],YES_Writing_FLA[#Data]),MATCH($A204,_xlfn.VSTACK(YES_Writing_ELA[Student Number],YES_Writing_FLA[Student Number]),0),MATCH(VLOOKUP(G$7,'Writing Logic'!$J$7:$K$11,2,FALSE)&amp;" - Per "&amp;VLOOKUP($C$4,'Writing Logic'!$G$8:$H$14,2,FALSE),YES_Writing_ELA[#Headers],0))=0,"",INDEX(_xlfn.VSTACK(YES_Writing_ELA[#Data],YES_Writing_FLA[#Data]),MATCH($A204,_xlfn.VSTACK(YES_Writing_ELA[Student Number],YES_Writing_FLA[Student Number]),0),MATCH(VLOOKUP(G$7,'Writing Logic'!$J$7:$K$11,2,FALSE)&amp;" - Per "&amp;VLOOKUP($C$4,'Writing Logic'!$G$8:$H$14,2,FALSE),YES_Writing_ELA[#Headers],0)))="INS",'Writing Logic'!$B$7,IF(INDEX(_xlfn.VSTACK(YES_Writing_ELA[#Data],YES_Writing_FLA[#Data]),MATCH($A204,_xlfn.VSTACK(YES_Writing_ELA[Student Number],YES_Writing_FLA[Student Number]),0),MATCH(VLOOKUP(G$7,'Writing Logic'!$J$7:$K$11,2,FALSE)&amp;" - Per "&amp;VLOOKUP($C$4,'Writing Logic'!$G$8:$H$14,2,FALSE),YES_Writing_ELA[#Headers],0))=0,"",INDEX(_xlfn.VSTACK(YES_Writing_ELA[#Data],YES_Writing_FLA[#Data]),MATCH($A204,_xlfn.VSTACK(YES_Writing_ELA[Student Number],YES_Writing_FLA[Student Number]),0),MATCH(VLOOKUP(G$7,'Writing Logic'!$J$7:$K$11,2,FALSE)&amp;" - Per "&amp;VLOOKUP($C$4,'Writing Logic'!$G$8:$H$14,2,FALSE),YES_Writing_ELA[#Headers],0)))),"")</f>
        <v/>
      </c>
      <c r="H204" s="138" t="str">
        <f>IFERROR(IF(IF(INDEX(_xlfn.VSTACK(YES_Writing_ELA[#Data],YES_Writing_FLA[#Data]),MATCH($A204,_xlfn.VSTACK(YES_Writing_ELA[Student Number],YES_Writing_FLA[Student Number]),0),MATCH(VLOOKUP(H$7,'Writing Logic'!$J$7:$K$11,2,FALSE)&amp;" - Per "&amp;VLOOKUP($C$4,'Writing Logic'!$G$8:$H$14,2,FALSE),YES_Writing_ELA[#Headers],0))=0,"",INDEX(_xlfn.VSTACK(YES_Writing_ELA[#Data],YES_Writing_FLA[#Data]),MATCH($A204,_xlfn.VSTACK(YES_Writing_ELA[Student Number],YES_Writing_FLA[Student Number]),0),MATCH(VLOOKUP(H$7,'Writing Logic'!$J$7:$K$11,2,FALSE)&amp;" - Per "&amp;VLOOKUP($C$4,'Writing Logic'!$G$8:$H$14,2,FALSE),YES_Writing_ELA[#Headers],0)))="INS",'Writing Logic'!$B$7,IF(INDEX(_xlfn.VSTACK(YES_Writing_ELA[#Data],YES_Writing_FLA[#Data]),MATCH($A204,_xlfn.VSTACK(YES_Writing_ELA[Student Number],YES_Writing_FLA[Student Number]),0),MATCH(VLOOKUP(H$7,'Writing Logic'!$J$7:$K$11,2,FALSE)&amp;" - Per "&amp;VLOOKUP($C$4,'Writing Logic'!$G$8:$H$14,2,FALSE),YES_Writing_ELA[#Headers],0))=0,"",INDEX(_xlfn.VSTACK(YES_Writing_ELA[#Data],YES_Writing_FLA[#Data]),MATCH($A204,_xlfn.VSTACK(YES_Writing_ELA[Student Number],YES_Writing_FLA[Student Number]),0),MATCH(VLOOKUP(H$7,'Writing Logic'!$J$7:$K$11,2,FALSE)&amp;" - Per "&amp;VLOOKUP($C$4,'Writing Logic'!$G$8:$H$14,2,FALSE),YES_Writing_ELA[#Headers],0)))),"")</f>
        <v/>
      </c>
    </row>
    <row r="205" spans="1:8" ht="14.25" customHeight="1" x14ac:dyDescent="0.25">
      <c r="A205" s="137"/>
      <c r="B205" s="137" t="str">
        <f>IFERROR(INDEX(_xlfn.VSTACK(YES_Writing_ELA[#Data], YES_Writing_FLA[#Data]),MATCH($A205,_xlfn.VSTACK(YES_Writing_ELA[Student Number], YES_Writing_FLA[Student Number]),0),MATCH(B$7,YES_Writing_ELA[#Headers],0)),"")</f>
        <v/>
      </c>
      <c r="C205" s="137" t="str">
        <f>IFERROR(INDEX(_xlfn.VSTACK(YES_Writing_ELA[#Data], YES_Writing_FLA[#Data]),MATCH($A205,_xlfn.VSTACK(YES_Writing_ELA[Student Number], YES_Writing_FLA[Student Number]),0),MATCH(C$7,YES_Writing_ELA[#Headers],0)),"")</f>
        <v/>
      </c>
      <c r="D205" s="138" t="str">
        <f>IFERROR(IF(IF(INDEX(_xlfn.VSTACK(YES_Writing_ELA[#Data],YES_Writing_FLA[#Data]),MATCH($A205,_xlfn.VSTACK(YES_Writing_ELA[Student Number],YES_Writing_FLA[Student Number]),0),MATCH(VLOOKUP(D$7,'Writing Logic'!$J$7:$K$11,2,FALSE)&amp;" - Per "&amp;VLOOKUP($C$4,'Writing Logic'!$G$8:$H$14,2,FALSE),YES_Writing_ELA[#Headers],0))=0,"",INDEX(_xlfn.VSTACK(YES_Writing_ELA[#Data],YES_Writing_FLA[#Data]),MATCH($A205,_xlfn.VSTACK(YES_Writing_ELA[Student Number],YES_Writing_FLA[Student Number]),0),MATCH(VLOOKUP(D$7,'Writing Logic'!$J$7:$K$11,2,FALSE)&amp;" - Per "&amp;VLOOKUP($C$4,'Writing Logic'!$G$8:$H$14,2,FALSE),YES_Writing_ELA[#Headers],0)))="INS",'Writing Logic'!$B$7,IF(INDEX(_xlfn.VSTACK(YES_Writing_ELA[#Data],YES_Writing_FLA[#Data]),MATCH($A205,_xlfn.VSTACK(YES_Writing_ELA[Student Number],YES_Writing_FLA[Student Number]),0),MATCH(VLOOKUP(D$7,'Writing Logic'!$J$7:$K$11,2,FALSE)&amp;" - Per "&amp;VLOOKUP($C$4,'Writing Logic'!$G$8:$H$14,2,FALSE),YES_Writing_ELA[#Headers],0))=0,"",INDEX(_xlfn.VSTACK(YES_Writing_ELA[#Data],YES_Writing_FLA[#Data]),MATCH($A205,_xlfn.VSTACK(YES_Writing_ELA[Student Number],YES_Writing_FLA[Student Number]),0),MATCH(VLOOKUP(D$7,'Writing Logic'!$J$7:$K$11,2,FALSE)&amp;" - Per "&amp;VLOOKUP($C$4,'Writing Logic'!$G$8:$H$14,2,FALSE),YES_Writing_ELA[#Headers],0)))),"")</f>
        <v/>
      </c>
      <c r="E205" s="138" t="str">
        <f>IFERROR(IF(IF(INDEX(_xlfn.VSTACK(YES_Writing_ELA[#Data],YES_Writing_FLA[#Data]),MATCH($A205,_xlfn.VSTACK(YES_Writing_ELA[Student Number],YES_Writing_FLA[Student Number]),0),MATCH(VLOOKUP(E$7,'Writing Logic'!$J$7:$K$11,2,FALSE)&amp;" - Per "&amp;VLOOKUP($C$4,'Writing Logic'!$G$8:$H$14,2,FALSE),YES_Writing_ELA[#Headers],0))=0,"",INDEX(_xlfn.VSTACK(YES_Writing_ELA[#Data],YES_Writing_FLA[#Data]),MATCH($A205,_xlfn.VSTACK(YES_Writing_ELA[Student Number],YES_Writing_FLA[Student Number]),0),MATCH(VLOOKUP(E$7,'Writing Logic'!$J$7:$K$11,2,FALSE)&amp;" - Per "&amp;VLOOKUP($C$4,'Writing Logic'!$G$8:$H$14,2,FALSE),YES_Writing_ELA[#Headers],0)))="INS",'Writing Logic'!$B$7,IF(INDEX(_xlfn.VSTACK(YES_Writing_ELA[#Data],YES_Writing_FLA[#Data]),MATCH($A205,_xlfn.VSTACK(YES_Writing_ELA[Student Number],YES_Writing_FLA[Student Number]),0),MATCH(VLOOKUP(E$7,'Writing Logic'!$J$7:$K$11,2,FALSE)&amp;" - Per "&amp;VLOOKUP($C$4,'Writing Logic'!$G$8:$H$14,2,FALSE),YES_Writing_ELA[#Headers],0))=0,"",INDEX(_xlfn.VSTACK(YES_Writing_ELA[#Data],YES_Writing_FLA[#Data]),MATCH($A205,_xlfn.VSTACK(YES_Writing_ELA[Student Number],YES_Writing_FLA[Student Number]),0),MATCH(VLOOKUP(E$7,'Writing Logic'!$J$7:$K$11,2,FALSE)&amp;" - Per "&amp;VLOOKUP($C$4,'Writing Logic'!$G$8:$H$14,2,FALSE),YES_Writing_ELA[#Headers],0)))),"")</f>
        <v/>
      </c>
      <c r="F205" s="138" t="str">
        <f>IFERROR(IF(IF(INDEX(_xlfn.VSTACK(YES_Writing_ELA[#Data],YES_Writing_FLA[#Data]),MATCH($A205,_xlfn.VSTACK(YES_Writing_ELA[Student Number],YES_Writing_FLA[Student Number]),0),MATCH(VLOOKUP(F$7,'Writing Logic'!$J$7:$K$11,2,FALSE)&amp;" - Per "&amp;VLOOKUP($C$4,'Writing Logic'!$G$8:$H$14,2,FALSE),YES_Writing_ELA[#Headers],0))=0,"",INDEX(_xlfn.VSTACK(YES_Writing_ELA[#Data],YES_Writing_FLA[#Data]),MATCH($A205,_xlfn.VSTACK(YES_Writing_ELA[Student Number],YES_Writing_FLA[Student Number]),0),MATCH(VLOOKUP(F$7,'Writing Logic'!$J$7:$K$11,2,FALSE)&amp;" - Per "&amp;VLOOKUP($C$4,'Writing Logic'!$G$8:$H$14,2,FALSE),YES_Writing_ELA[#Headers],0)))="INS",'Writing Logic'!$B$7,IF(INDEX(_xlfn.VSTACK(YES_Writing_ELA[#Data],YES_Writing_FLA[#Data]),MATCH($A205,_xlfn.VSTACK(YES_Writing_ELA[Student Number],YES_Writing_FLA[Student Number]),0),MATCH(VLOOKUP(F$7,'Writing Logic'!$J$7:$K$11,2,FALSE)&amp;" - Per "&amp;VLOOKUP($C$4,'Writing Logic'!$G$8:$H$14,2,FALSE),YES_Writing_ELA[#Headers],0))=0,"",INDEX(_xlfn.VSTACK(YES_Writing_ELA[#Data],YES_Writing_FLA[#Data]),MATCH($A205,_xlfn.VSTACK(YES_Writing_ELA[Student Number],YES_Writing_FLA[Student Number]),0),MATCH(VLOOKUP(F$7,'Writing Logic'!$J$7:$K$11,2,FALSE)&amp;" - Per "&amp;VLOOKUP($C$4,'Writing Logic'!$G$8:$H$14,2,FALSE),YES_Writing_ELA[#Headers],0)))),"")</f>
        <v/>
      </c>
      <c r="G205" s="138" t="str">
        <f>IFERROR(IF(IF(INDEX(_xlfn.VSTACK(YES_Writing_ELA[#Data],YES_Writing_FLA[#Data]),MATCH($A205,_xlfn.VSTACK(YES_Writing_ELA[Student Number],YES_Writing_FLA[Student Number]),0),MATCH(VLOOKUP(G$7,'Writing Logic'!$J$7:$K$11,2,FALSE)&amp;" - Per "&amp;VLOOKUP($C$4,'Writing Logic'!$G$8:$H$14,2,FALSE),YES_Writing_ELA[#Headers],0))=0,"",INDEX(_xlfn.VSTACK(YES_Writing_ELA[#Data],YES_Writing_FLA[#Data]),MATCH($A205,_xlfn.VSTACK(YES_Writing_ELA[Student Number],YES_Writing_FLA[Student Number]),0),MATCH(VLOOKUP(G$7,'Writing Logic'!$J$7:$K$11,2,FALSE)&amp;" - Per "&amp;VLOOKUP($C$4,'Writing Logic'!$G$8:$H$14,2,FALSE),YES_Writing_ELA[#Headers],0)))="INS",'Writing Logic'!$B$7,IF(INDEX(_xlfn.VSTACK(YES_Writing_ELA[#Data],YES_Writing_FLA[#Data]),MATCH($A205,_xlfn.VSTACK(YES_Writing_ELA[Student Number],YES_Writing_FLA[Student Number]),0),MATCH(VLOOKUP(G$7,'Writing Logic'!$J$7:$K$11,2,FALSE)&amp;" - Per "&amp;VLOOKUP($C$4,'Writing Logic'!$G$8:$H$14,2,FALSE),YES_Writing_ELA[#Headers],0))=0,"",INDEX(_xlfn.VSTACK(YES_Writing_ELA[#Data],YES_Writing_FLA[#Data]),MATCH($A205,_xlfn.VSTACK(YES_Writing_ELA[Student Number],YES_Writing_FLA[Student Number]),0),MATCH(VLOOKUP(G$7,'Writing Logic'!$J$7:$K$11,2,FALSE)&amp;" - Per "&amp;VLOOKUP($C$4,'Writing Logic'!$G$8:$H$14,2,FALSE),YES_Writing_ELA[#Headers],0)))),"")</f>
        <v/>
      </c>
      <c r="H205" s="138" t="str">
        <f>IFERROR(IF(IF(INDEX(_xlfn.VSTACK(YES_Writing_ELA[#Data],YES_Writing_FLA[#Data]),MATCH($A205,_xlfn.VSTACK(YES_Writing_ELA[Student Number],YES_Writing_FLA[Student Number]),0),MATCH(VLOOKUP(H$7,'Writing Logic'!$J$7:$K$11,2,FALSE)&amp;" - Per "&amp;VLOOKUP($C$4,'Writing Logic'!$G$8:$H$14,2,FALSE),YES_Writing_ELA[#Headers],0))=0,"",INDEX(_xlfn.VSTACK(YES_Writing_ELA[#Data],YES_Writing_FLA[#Data]),MATCH($A205,_xlfn.VSTACK(YES_Writing_ELA[Student Number],YES_Writing_FLA[Student Number]),0),MATCH(VLOOKUP(H$7,'Writing Logic'!$J$7:$K$11,2,FALSE)&amp;" - Per "&amp;VLOOKUP($C$4,'Writing Logic'!$G$8:$H$14,2,FALSE),YES_Writing_ELA[#Headers],0)))="INS",'Writing Logic'!$B$7,IF(INDEX(_xlfn.VSTACK(YES_Writing_ELA[#Data],YES_Writing_FLA[#Data]),MATCH($A205,_xlfn.VSTACK(YES_Writing_ELA[Student Number],YES_Writing_FLA[Student Number]),0),MATCH(VLOOKUP(H$7,'Writing Logic'!$J$7:$K$11,2,FALSE)&amp;" - Per "&amp;VLOOKUP($C$4,'Writing Logic'!$G$8:$H$14,2,FALSE),YES_Writing_ELA[#Headers],0))=0,"",INDEX(_xlfn.VSTACK(YES_Writing_ELA[#Data],YES_Writing_FLA[#Data]),MATCH($A205,_xlfn.VSTACK(YES_Writing_ELA[Student Number],YES_Writing_FLA[Student Number]),0),MATCH(VLOOKUP(H$7,'Writing Logic'!$J$7:$K$11,2,FALSE)&amp;" - Per "&amp;VLOOKUP($C$4,'Writing Logic'!$G$8:$H$14,2,FALSE),YES_Writing_ELA[#Headers],0)))),"")</f>
        <v/>
      </c>
    </row>
    <row r="206" spans="1:8" ht="14.25" customHeight="1" x14ac:dyDescent="0.25">
      <c r="A206" s="137"/>
      <c r="B206" s="137" t="str">
        <f>IFERROR(INDEX(_xlfn.VSTACK(YES_Writing_ELA[#Data], YES_Writing_FLA[#Data]),MATCH($A206,_xlfn.VSTACK(YES_Writing_ELA[Student Number], YES_Writing_FLA[Student Number]),0),MATCH(B$7,YES_Writing_ELA[#Headers],0)),"")</f>
        <v/>
      </c>
      <c r="C206" s="137" t="str">
        <f>IFERROR(INDEX(_xlfn.VSTACK(YES_Writing_ELA[#Data], YES_Writing_FLA[#Data]),MATCH($A206,_xlfn.VSTACK(YES_Writing_ELA[Student Number], YES_Writing_FLA[Student Number]),0),MATCH(C$7,YES_Writing_ELA[#Headers],0)),"")</f>
        <v/>
      </c>
      <c r="D206" s="138" t="str">
        <f>IFERROR(IF(IF(INDEX(_xlfn.VSTACK(YES_Writing_ELA[#Data],YES_Writing_FLA[#Data]),MATCH($A206,_xlfn.VSTACK(YES_Writing_ELA[Student Number],YES_Writing_FLA[Student Number]),0),MATCH(VLOOKUP(D$7,'Writing Logic'!$J$7:$K$11,2,FALSE)&amp;" - Per "&amp;VLOOKUP($C$4,'Writing Logic'!$G$8:$H$14,2,FALSE),YES_Writing_ELA[#Headers],0))=0,"",INDEX(_xlfn.VSTACK(YES_Writing_ELA[#Data],YES_Writing_FLA[#Data]),MATCH($A206,_xlfn.VSTACK(YES_Writing_ELA[Student Number],YES_Writing_FLA[Student Number]),0),MATCH(VLOOKUP(D$7,'Writing Logic'!$J$7:$K$11,2,FALSE)&amp;" - Per "&amp;VLOOKUP($C$4,'Writing Logic'!$G$8:$H$14,2,FALSE),YES_Writing_ELA[#Headers],0)))="INS",'Writing Logic'!$B$7,IF(INDEX(_xlfn.VSTACK(YES_Writing_ELA[#Data],YES_Writing_FLA[#Data]),MATCH($A206,_xlfn.VSTACK(YES_Writing_ELA[Student Number],YES_Writing_FLA[Student Number]),0),MATCH(VLOOKUP(D$7,'Writing Logic'!$J$7:$K$11,2,FALSE)&amp;" - Per "&amp;VLOOKUP($C$4,'Writing Logic'!$G$8:$H$14,2,FALSE),YES_Writing_ELA[#Headers],0))=0,"",INDEX(_xlfn.VSTACK(YES_Writing_ELA[#Data],YES_Writing_FLA[#Data]),MATCH($A206,_xlfn.VSTACK(YES_Writing_ELA[Student Number],YES_Writing_FLA[Student Number]),0),MATCH(VLOOKUP(D$7,'Writing Logic'!$J$7:$K$11,2,FALSE)&amp;" - Per "&amp;VLOOKUP($C$4,'Writing Logic'!$G$8:$H$14,2,FALSE),YES_Writing_ELA[#Headers],0)))),"")</f>
        <v/>
      </c>
      <c r="E206" s="138" t="str">
        <f>IFERROR(IF(IF(INDEX(_xlfn.VSTACK(YES_Writing_ELA[#Data],YES_Writing_FLA[#Data]),MATCH($A206,_xlfn.VSTACK(YES_Writing_ELA[Student Number],YES_Writing_FLA[Student Number]),0),MATCH(VLOOKUP(E$7,'Writing Logic'!$J$7:$K$11,2,FALSE)&amp;" - Per "&amp;VLOOKUP($C$4,'Writing Logic'!$G$8:$H$14,2,FALSE),YES_Writing_ELA[#Headers],0))=0,"",INDEX(_xlfn.VSTACK(YES_Writing_ELA[#Data],YES_Writing_FLA[#Data]),MATCH($A206,_xlfn.VSTACK(YES_Writing_ELA[Student Number],YES_Writing_FLA[Student Number]),0),MATCH(VLOOKUP(E$7,'Writing Logic'!$J$7:$K$11,2,FALSE)&amp;" - Per "&amp;VLOOKUP($C$4,'Writing Logic'!$G$8:$H$14,2,FALSE),YES_Writing_ELA[#Headers],0)))="INS",'Writing Logic'!$B$7,IF(INDEX(_xlfn.VSTACK(YES_Writing_ELA[#Data],YES_Writing_FLA[#Data]),MATCH($A206,_xlfn.VSTACK(YES_Writing_ELA[Student Number],YES_Writing_FLA[Student Number]),0),MATCH(VLOOKUP(E$7,'Writing Logic'!$J$7:$K$11,2,FALSE)&amp;" - Per "&amp;VLOOKUP($C$4,'Writing Logic'!$G$8:$H$14,2,FALSE),YES_Writing_ELA[#Headers],0))=0,"",INDEX(_xlfn.VSTACK(YES_Writing_ELA[#Data],YES_Writing_FLA[#Data]),MATCH($A206,_xlfn.VSTACK(YES_Writing_ELA[Student Number],YES_Writing_FLA[Student Number]),0),MATCH(VLOOKUP(E$7,'Writing Logic'!$J$7:$K$11,2,FALSE)&amp;" - Per "&amp;VLOOKUP($C$4,'Writing Logic'!$G$8:$H$14,2,FALSE),YES_Writing_ELA[#Headers],0)))),"")</f>
        <v/>
      </c>
      <c r="F206" s="138" t="str">
        <f>IFERROR(IF(IF(INDEX(_xlfn.VSTACK(YES_Writing_ELA[#Data],YES_Writing_FLA[#Data]),MATCH($A206,_xlfn.VSTACK(YES_Writing_ELA[Student Number],YES_Writing_FLA[Student Number]),0),MATCH(VLOOKUP(F$7,'Writing Logic'!$J$7:$K$11,2,FALSE)&amp;" - Per "&amp;VLOOKUP($C$4,'Writing Logic'!$G$8:$H$14,2,FALSE),YES_Writing_ELA[#Headers],0))=0,"",INDEX(_xlfn.VSTACK(YES_Writing_ELA[#Data],YES_Writing_FLA[#Data]),MATCH($A206,_xlfn.VSTACK(YES_Writing_ELA[Student Number],YES_Writing_FLA[Student Number]),0),MATCH(VLOOKUP(F$7,'Writing Logic'!$J$7:$K$11,2,FALSE)&amp;" - Per "&amp;VLOOKUP($C$4,'Writing Logic'!$G$8:$H$14,2,FALSE),YES_Writing_ELA[#Headers],0)))="INS",'Writing Logic'!$B$7,IF(INDEX(_xlfn.VSTACK(YES_Writing_ELA[#Data],YES_Writing_FLA[#Data]),MATCH($A206,_xlfn.VSTACK(YES_Writing_ELA[Student Number],YES_Writing_FLA[Student Number]),0),MATCH(VLOOKUP(F$7,'Writing Logic'!$J$7:$K$11,2,FALSE)&amp;" - Per "&amp;VLOOKUP($C$4,'Writing Logic'!$G$8:$H$14,2,FALSE),YES_Writing_ELA[#Headers],0))=0,"",INDEX(_xlfn.VSTACK(YES_Writing_ELA[#Data],YES_Writing_FLA[#Data]),MATCH($A206,_xlfn.VSTACK(YES_Writing_ELA[Student Number],YES_Writing_FLA[Student Number]),0),MATCH(VLOOKUP(F$7,'Writing Logic'!$J$7:$K$11,2,FALSE)&amp;" - Per "&amp;VLOOKUP($C$4,'Writing Logic'!$G$8:$H$14,2,FALSE),YES_Writing_ELA[#Headers],0)))),"")</f>
        <v/>
      </c>
      <c r="G206" s="138" t="str">
        <f>IFERROR(IF(IF(INDEX(_xlfn.VSTACK(YES_Writing_ELA[#Data],YES_Writing_FLA[#Data]),MATCH($A206,_xlfn.VSTACK(YES_Writing_ELA[Student Number],YES_Writing_FLA[Student Number]),0),MATCH(VLOOKUP(G$7,'Writing Logic'!$J$7:$K$11,2,FALSE)&amp;" - Per "&amp;VLOOKUP($C$4,'Writing Logic'!$G$8:$H$14,2,FALSE),YES_Writing_ELA[#Headers],0))=0,"",INDEX(_xlfn.VSTACK(YES_Writing_ELA[#Data],YES_Writing_FLA[#Data]),MATCH($A206,_xlfn.VSTACK(YES_Writing_ELA[Student Number],YES_Writing_FLA[Student Number]),0),MATCH(VLOOKUP(G$7,'Writing Logic'!$J$7:$K$11,2,FALSE)&amp;" - Per "&amp;VLOOKUP($C$4,'Writing Logic'!$G$8:$H$14,2,FALSE),YES_Writing_ELA[#Headers],0)))="INS",'Writing Logic'!$B$7,IF(INDEX(_xlfn.VSTACK(YES_Writing_ELA[#Data],YES_Writing_FLA[#Data]),MATCH($A206,_xlfn.VSTACK(YES_Writing_ELA[Student Number],YES_Writing_FLA[Student Number]),0),MATCH(VLOOKUP(G$7,'Writing Logic'!$J$7:$K$11,2,FALSE)&amp;" - Per "&amp;VLOOKUP($C$4,'Writing Logic'!$G$8:$H$14,2,FALSE),YES_Writing_ELA[#Headers],0))=0,"",INDEX(_xlfn.VSTACK(YES_Writing_ELA[#Data],YES_Writing_FLA[#Data]),MATCH($A206,_xlfn.VSTACK(YES_Writing_ELA[Student Number],YES_Writing_FLA[Student Number]),0),MATCH(VLOOKUP(G$7,'Writing Logic'!$J$7:$K$11,2,FALSE)&amp;" - Per "&amp;VLOOKUP($C$4,'Writing Logic'!$G$8:$H$14,2,FALSE),YES_Writing_ELA[#Headers],0)))),"")</f>
        <v/>
      </c>
      <c r="H206" s="138" t="str">
        <f>IFERROR(IF(IF(INDEX(_xlfn.VSTACK(YES_Writing_ELA[#Data],YES_Writing_FLA[#Data]),MATCH($A206,_xlfn.VSTACK(YES_Writing_ELA[Student Number],YES_Writing_FLA[Student Number]),0),MATCH(VLOOKUP(H$7,'Writing Logic'!$J$7:$K$11,2,FALSE)&amp;" - Per "&amp;VLOOKUP($C$4,'Writing Logic'!$G$8:$H$14,2,FALSE),YES_Writing_ELA[#Headers],0))=0,"",INDEX(_xlfn.VSTACK(YES_Writing_ELA[#Data],YES_Writing_FLA[#Data]),MATCH($A206,_xlfn.VSTACK(YES_Writing_ELA[Student Number],YES_Writing_FLA[Student Number]),0),MATCH(VLOOKUP(H$7,'Writing Logic'!$J$7:$K$11,2,FALSE)&amp;" - Per "&amp;VLOOKUP($C$4,'Writing Logic'!$G$8:$H$14,2,FALSE),YES_Writing_ELA[#Headers],0)))="INS",'Writing Logic'!$B$7,IF(INDEX(_xlfn.VSTACK(YES_Writing_ELA[#Data],YES_Writing_FLA[#Data]),MATCH($A206,_xlfn.VSTACK(YES_Writing_ELA[Student Number],YES_Writing_FLA[Student Number]),0),MATCH(VLOOKUP(H$7,'Writing Logic'!$J$7:$K$11,2,FALSE)&amp;" - Per "&amp;VLOOKUP($C$4,'Writing Logic'!$G$8:$H$14,2,FALSE),YES_Writing_ELA[#Headers],0))=0,"",INDEX(_xlfn.VSTACK(YES_Writing_ELA[#Data],YES_Writing_FLA[#Data]),MATCH($A206,_xlfn.VSTACK(YES_Writing_ELA[Student Number],YES_Writing_FLA[Student Number]),0),MATCH(VLOOKUP(H$7,'Writing Logic'!$J$7:$K$11,2,FALSE)&amp;" - Per "&amp;VLOOKUP($C$4,'Writing Logic'!$G$8:$H$14,2,FALSE),YES_Writing_ELA[#Headers],0)))),"")</f>
        <v/>
      </c>
    </row>
    <row r="207" spans="1:8" ht="14.25" customHeight="1" x14ac:dyDescent="0.25">
      <c r="A207" s="137"/>
      <c r="B207" s="137" t="str">
        <f>IFERROR(INDEX(_xlfn.VSTACK(YES_Writing_ELA[#Data], YES_Writing_FLA[#Data]),MATCH($A207,_xlfn.VSTACK(YES_Writing_ELA[Student Number], YES_Writing_FLA[Student Number]),0),MATCH(B$7,YES_Writing_ELA[#Headers],0)),"")</f>
        <v/>
      </c>
      <c r="C207" s="137" t="str">
        <f>IFERROR(INDEX(_xlfn.VSTACK(YES_Writing_ELA[#Data], YES_Writing_FLA[#Data]),MATCH($A207,_xlfn.VSTACK(YES_Writing_ELA[Student Number], YES_Writing_FLA[Student Number]),0),MATCH(C$7,YES_Writing_ELA[#Headers],0)),"")</f>
        <v/>
      </c>
      <c r="D207" s="138" t="str">
        <f>IFERROR(IF(IF(INDEX(_xlfn.VSTACK(YES_Writing_ELA[#Data],YES_Writing_FLA[#Data]),MATCH($A207,_xlfn.VSTACK(YES_Writing_ELA[Student Number],YES_Writing_FLA[Student Number]),0),MATCH(VLOOKUP(D$7,'Writing Logic'!$J$7:$K$11,2,FALSE)&amp;" - Per "&amp;VLOOKUP($C$4,'Writing Logic'!$G$8:$H$14,2,FALSE),YES_Writing_ELA[#Headers],0))=0,"",INDEX(_xlfn.VSTACK(YES_Writing_ELA[#Data],YES_Writing_FLA[#Data]),MATCH($A207,_xlfn.VSTACK(YES_Writing_ELA[Student Number],YES_Writing_FLA[Student Number]),0),MATCH(VLOOKUP(D$7,'Writing Logic'!$J$7:$K$11,2,FALSE)&amp;" - Per "&amp;VLOOKUP($C$4,'Writing Logic'!$G$8:$H$14,2,FALSE),YES_Writing_ELA[#Headers],0)))="INS",'Writing Logic'!$B$7,IF(INDEX(_xlfn.VSTACK(YES_Writing_ELA[#Data],YES_Writing_FLA[#Data]),MATCH($A207,_xlfn.VSTACK(YES_Writing_ELA[Student Number],YES_Writing_FLA[Student Number]),0),MATCH(VLOOKUP(D$7,'Writing Logic'!$J$7:$K$11,2,FALSE)&amp;" - Per "&amp;VLOOKUP($C$4,'Writing Logic'!$G$8:$H$14,2,FALSE),YES_Writing_ELA[#Headers],0))=0,"",INDEX(_xlfn.VSTACK(YES_Writing_ELA[#Data],YES_Writing_FLA[#Data]),MATCH($A207,_xlfn.VSTACK(YES_Writing_ELA[Student Number],YES_Writing_FLA[Student Number]),0),MATCH(VLOOKUP(D$7,'Writing Logic'!$J$7:$K$11,2,FALSE)&amp;" - Per "&amp;VLOOKUP($C$4,'Writing Logic'!$G$8:$H$14,2,FALSE),YES_Writing_ELA[#Headers],0)))),"")</f>
        <v/>
      </c>
      <c r="E207" s="138" t="str">
        <f>IFERROR(IF(IF(INDEX(_xlfn.VSTACK(YES_Writing_ELA[#Data],YES_Writing_FLA[#Data]),MATCH($A207,_xlfn.VSTACK(YES_Writing_ELA[Student Number],YES_Writing_FLA[Student Number]),0),MATCH(VLOOKUP(E$7,'Writing Logic'!$J$7:$K$11,2,FALSE)&amp;" - Per "&amp;VLOOKUP($C$4,'Writing Logic'!$G$8:$H$14,2,FALSE),YES_Writing_ELA[#Headers],0))=0,"",INDEX(_xlfn.VSTACK(YES_Writing_ELA[#Data],YES_Writing_FLA[#Data]),MATCH($A207,_xlfn.VSTACK(YES_Writing_ELA[Student Number],YES_Writing_FLA[Student Number]),0),MATCH(VLOOKUP(E$7,'Writing Logic'!$J$7:$K$11,2,FALSE)&amp;" - Per "&amp;VLOOKUP($C$4,'Writing Logic'!$G$8:$H$14,2,FALSE),YES_Writing_ELA[#Headers],0)))="INS",'Writing Logic'!$B$7,IF(INDEX(_xlfn.VSTACK(YES_Writing_ELA[#Data],YES_Writing_FLA[#Data]),MATCH($A207,_xlfn.VSTACK(YES_Writing_ELA[Student Number],YES_Writing_FLA[Student Number]),0),MATCH(VLOOKUP(E$7,'Writing Logic'!$J$7:$K$11,2,FALSE)&amp;" - Per "&amp;VLOOKUP($C$4,'Writing Logic'!$G$8:$H$14,2,FALSE),YES_Writing_ELA[#Headers],0))=0,"",INDEX(_xlfn.VSTACK(YES_Writing_ELA[#Data],YES_Writing_FLA[#Data]),MATCH($A207,_xlfn.VSTACK(YES_Writing_ELA[Student Number],YES_Writing_FLA[Student Number]),0),MATCH(VLOOKUP(E$7,'Writing Logic'!$J$7:$K$11,2,FALSE)&amp;" - Per "&amp;VLOOKUP($C$4,'Writing Logic'!$G$8:$H$14,2,FALSE),YES_Writing_ELA[#Headers],0)))),"")</f>
        <v/>
      </c>
      <c r="F207" s="138" t="str">
        <f>IFERROR(IF(IF(INDEX(_xlfn.VSTACK(YES_Writing_ELA[#Data],YES_Writing_FLA[#Data]),MATCH($A207,_xlfn.VSTACK(YES_Writing_ELA[Student Number],YES_Writing_FLA[Student Number]),0),MATCH(VLOOKUP(F$7,'Writing Logic'!$J$7:$K$11,2,FALSE)&amp;" - Per "&amp;VLOOKUP($C$4,'Writing Logic'!$G$8:$H$14,2,FALSE),YES_Writing_ELA[#Headers],0))=0,"",INDEX(_xlfn.VSTACK(YES_Writing_ELA[#Data],YES_Writing_FLA[#Data]),MATCH($A207,_xlfn.VSTACK(YES_Writing_ELA[Student Number],YES_Writing_FLA[Student Number]),0),MATCH(VLOOKUP(F$7,'Writing Logic'!$J$7:$K$11,2,FALSE)&amp;" - Per "&amp;VLOOKUP($C$4,'Writing Logic'!$G$8:$H$14,2,FALSE),YES_Writing_ELA[#Headers],0)))="INS",'Writing Logic'!$B$7,IF(INDEX(_xlfn.VSTACK(YES_Writing_ELA[#Data],YES_Writing_FLA[#Data]),MATCH($A207,_xlfn.VSTACK(YES_Writing_ELA[Student Number],YES_Writing_FLA[Student Number]),0),MATCH(VLOOKUP(F$7,'Writing Logic'!$J$7:$K$11,2,FALSE)&amp;" - Per "&amp;VLOOKUP($C$4,'Writing Logic'!$G$8:$H$14,2,FALSE),YES_Writing_ELA[#Headers],0))=0,"",INDEX(_xlfn.VSTACK(YES_Writing_ELA[#Data],YES_Writing_FLA[#Data]),MATCH($A207,_xlfn.VSTACK(YES_Writing_ELA[Student Number],YES_Writing_FLA[Student Number]),0),MATCH(VLOOKUP(F$7,'Writing Logic'!$J$7:$K$11,2,FALSE)&amp;" - Per "&amp;VLOOKUP($C$4,'Writing Logic'!$G$8:$H$14,2,FALSE),YES_Writing_ELA[#Headers],0)))),"")</f>
        <v/>
      </c>
      <c r="G207" s="138" t="str">
        <f>IFERROR(IF(IF(INDEX(_xlfn.VSTACK(YES_Writing_ELA[#Data],YES_Writing_FLA[#Data]),MATCH($A207,_xlfn.VSTACK(YES_Writing_ELA[Student Number],YES_Writing_FLA[Student Number]),0),MATCH(VLOOKUP(G$7,'Writing Logic'!$J$7:$K$11,2,FALSE)&amp;" - Per "&amp;VLOOKUP($C$4,'Writing Logic'!$G$8:$H$14,2,FALSE),YES_Writing_ELA[#Headers],0))=0,"",INDEX(_xlfn.VSTACK(YES_Writing_ELA[#Data],YES_Writing_FLA[#Data]),MATCH($A207,_xlfn.VSTACK(YES_Writing_ELA[Student Number],YES_Writing_FLA[Student Number]),0),MATCH(VLOOKUP(G$7,'Writing Logic'!$J$7:$K$11,2,FALSE)&amp;" - Per "&amp;VLOOKUP($C$4,'Writing Logic'!$G$8:$H$14,2,FALSE),YES_Writing_ELA[#Headers],0)))="INS",'Writing Logic'!$B$7,IF(INDEX(_xlfn.VSTACK(YES_Writing_ELA[#Data],YES_Writing_FLA[#Data]),MATCH($A207,_xlfn.VSTACK(YES_Writing_ELA[Student Number],YES_Writing_FLA[Student Number]),0),MATCH(VLOOKUP(G$7,'Writing Logic'!$J$7:$K$11,2,FALSE)&amp;" - Per "&amp;VLOOKUP($C$4,'Writing Logic'!$G$8:$H$14,2,FALSE),YES_Writing_ELA[#Headers],0))=0,"",INDEX(_xlfn.VSTACK(YES_Writing_ELA[#Data],YES_Writing_FLA[#Data]),MATCH($A207,_xlfn.VSTACK(YES_Writing_ELA[Student Number],YES_Writing_FLA[Student Number]),0),MATCH(VLOOKUP(G$7,'Writing Logic'!$J$7:$K$11,2,FALSE)&amp;" - Per "&amp;VLOOKUP($C$4,'Writing Logic'!$G$8:$H$14,2,FALSE),YES_Writing_ELA[#Headers],0)))),"")</f>
        <v/>
      </c>
      <c r="H207" s="138" t="str">
        <f>IFERROR(IF(IF(INDEX(_xlfn.VSTACK(YES_Writing_ELA[#Data],YES_Writing_FLA[#Data]),MATCH($A207,_xlfn.VSTACK(YES_Writing_ELA[Student Number],YES_Writing_FLA[Student Number]),0),MATCH(VLOOKUP(H$7,'Writing Logic'!$J$7:$K$11,2,FALSE)&amp;" - Per "&amp;VLOOKUP($C$4,'Writing Logic'!$G$8:$H$14,2,FALSE),YES_Writing_ELA[#Headers],0))=0,"",INDEX(_xlfn.VSTACK(YES_Writing_ELA[#Data],YES_Writing_FLA[#Data]),MATCH($A207,_xlfn.VSTACK(YES_Writing_ELA[Student Number],YES_Writing_FLA[Student Number]),0),MATCH(VLOOKUP(H$7,'Writing Logic'!$J$7:$K$11,2,FALSE)&amp;" - Per "&amp;VLOOKUP($C$4,'Writing Logic'!$G$8:$H$14,2,FALSE),YES_Writing_ELA[#Headers],0)))="INS",'Writing Logic'!$B$7,IF(INDEX(_xlfn.VSTACK(YES_Writing_ELA[#Data],YES_Writing_FLA[#Data]),MATCH($A207,_xlfn.VSTACK(YES_Writing_ELA[Student Number],YES_Writing_FLA[Student Number]),0),MATCH(VLOOKUP(H$7,'Writing Logic'!$J$7:$K$11,2,FALSE)&amp;" - Per "&amp;VLOOKUP($C$4,'Writing Logic'!$G$8:$H$14,2,FALSE),YES_Writing_ELA[#Headers],0))=0,"",INDEX(_xlfn.VSTACK(YES_Writing_ELA[#Data],YES_Writing_FLA[#Data]),MATCH($A207,_xlfn.VSTACK(YES_Writing_ELA[Student Number],YES_Writing_FLA[Student Number]),0),MATCH(VLOOKUP(H$7,'Writing Logic'!$J$7:$K$11,2,FALSE)&amp;" - Per "&amp;VLOOKUP($C$4,'Writing Logic'!$G$8:$H$14,2,FALSE),YES_Writing_ELA[#Headers],0)))),"")</f>
        <v/>
      </c>
    </row>
    <row r="208" spans="1:8" ht="14.25" customHeight="1" x14ac:dyDescent="0.25">
      <c r="A208" s="137"/>
      <c r="B208" s="137" t="str">
        <f>IFERROR(INDEX(_xlfn.VSTACK(YES_Writing_ELA[#Data], YES_Writing_FLA[#Data]),MATCH($A208,_xlfn.VSTACK(YES_Writing_ELA[Student Number], YES_Writing_FLA[Student Number]),0),MATCH(B$7,YES_Writing_ELA[#Headers],0)),"")</f>
        <v/>
      </c>
      <c r="C208" s="137" t="str">
        <f>IFERROR(INDEX(_xlfn.VSTACK(YES_Writing_ELA[#Data], YES_Writing_FLA[#Data]),MATCH($A208,_xlfn.VSTACK(YES_Writing_ELA[Student Number], YES_Writing_FLA[Student Number]),0),MATCH(C$7,YES_Writing_ELA[#Headers],0)),"")</f>
        <v/>
      </c>
      <c r="D208" s="138" t="str">
        <f>IFERROR(IF(IF(INDEX(_xlfn.VSTACK(YES_Writing_ELA[#Data],YES_Writing_FLA[#Data]),MATCH($A208,_xlfn.VSTACK(YES_Writing_ELA[Student Number],YES_Writing_FLA[Student Number]),0),MATCH(VLOOKUP(D$7,'Writing Logic'!$J$7:$K$11,2,FALSE)&amp;" - Per "&amp;VLOOKUP($C$4,'Writing Logic'!$G$8:$H$14,2,FALSE),YES_Writing_ELA[#Headers],0))=0,"",INDEX(_xlfn.VSTACK(YES_Writing_ELA[#Data],YES_Writing_FLA[#Data]),MATCH($A208,_xlfn.VSTACK(YES_Writing_ELA[Student Number],YES_Writing_FLA[Student Number]),0),MATCH(VLOOKUP(D$7,'Writing Logic'!$J$7:$K$11,2,FALSE)&amp;" - Per "&amp;VLOOKUP($C$4,'Writing Logic'!$G$8:$H$14,2,FALSE),YES_Writing_ELA[#Headers],0)))="INS",'Writing Logic'!$B$7,IF(INDEX(_xlfn.VSTACK(YES_Writing_ELA[#Data],YES_Writing_FLA[#Data]),MATCH($A208,_xlfn.VSTACK(YES_Writing_ELA[Student Number],YES_Writing_FLA[Student Number]),0),MATCH(VLOOKUP(D$7,'Writing Logic'!$J$7:$K$11,2,FALSE)&amp;" - Per "&amp;VLOOKUP($C$4,'Writing Logic'!$G$8:$H$14,2,FALSE),YES_Writing_ELA[#Headers],0))=0,"",INDEX(_xlfn.VSTACK(YES_Writing_ELA[#Data],YES_Writing_FLA[#Data]),MATCH($A208,_xlfn.VSTACK(YES_Writing_ELA[Student Number],YES_Writing_FLA[Student Number]),0),MATCH(VLOOKUP(D$7,'Writing Logic'!$J$7:$K$11,2,FALSE)&amp;" - Per "&amp;VLOOKUP($C$4,'Writing Logic'!$G$8:$H$14,2,FALSE),YES_Writing_ELA[#Headers],0)))),"")</f>
        <v/>
      </c>
      <c r="E208" s="138" t="str">
        <f>IFERROR(IF(IF(INDEX(_xlfn.VSTACK(YES_Writing_ELA[#Data],YES_Writing_FLA[#Data]),MATCH($A208,_xlfn.VSTACK(YES_Writing_ELA[Student Number],YES_Writing_FLA[Student Number]),0),MATCH(VLOOKUP(E$7,'Writing Logic'!$J$7:$K$11,2,FALSE)&amp;" - Per "&amp;VLOOKUP($C$4,'Writing Logic'!$G$8:$H$14,2,FALSE),YES_Writing_ELA[#Headers],0))=0,"",INDEX(_xlfn.VSTACK(YES_Writing_ELA[#Data],YES_Writing_FLA[#Data]),MATCH($A208,_xlfn.VSTACK(YES_Writing_ELA[Student Number],YES_Writing_FLA[Student Number]),0),MATCH(VLOOKUP(E$7,'Writing Logic'!$J$7:$K$11,2,FALSE)&amp;" - Per "&amp;VLOOKUP($C$4,'Writing Logic'!$G$8:$H$14,2,FALSE),YES_Writing_ELA[#Headers],0)))="INS",'Writing Logic'!$B$7,IF(INDEX(_xlfn.VSTACK(YES_Writing_ELA[#Data],YES_Writing_FLA[#Data]),MATCH($A208,_xlfn.VSTACK(YES_Writing_ELA[Student Number],YES_Writing_FLA[Student Number]),0),MATCH(VLOOKUP(E$7,'Writing Logic'!$J$7:$K$11,2,FALSE)&amp;" - Per "&amp;VLOOKUP($C$4,'Writing Logic'!$G$8:$H$14,2,FALSE),YES_Writing_ELA[#Headers],0))=0,"",INDEX(_xlfn.VSTACK(YES_Writing_ELA[#Data],YES_Writing_FLA[#Data]),MATCH($A208,_xlfn.VSTACK(YES_Writing_ELA[Student Number],YES_Writing_FLA[Student Number]),0),MATCH(VLOOKUP(E$7,'Writing Logic'!$J$7:$K$11,2,FALSE)&amp;" - Per "&amp;VLOOKUP($C$4,'Writing Logic'!$G$8:$H$14,2,FALSE),YES_Writing_ELA[#Headers],0)))),"")</f>
        <v/>
      </c>
      <c r="F208" s="138" t="str">
        <f>IFERROR(IF(IF(INDEX(_xlfn.VSTACK(YES_Writing_ELA[#Data],YES_Writing_FLA[#Data]),MATCH($A208,_xlfn.VSTACK(YES_Writing_ELA[Student Number],YES_Writing_FLA[Student Number]),0),MATCH(VLOOKUP(F$7,'Writing Logic'!$J$7:$K$11,2,FALSE)&amp;" - Per "&amp;VLOOKUP($C$4,'Writing Logic'!$G$8:$H$14,2,FALSE),YES_Writing_ELA[#Headers],0))=0,"",INDEX(_xlfn.VSTACK(YES_Writing_ELA[#Data],YES_Writing_FLA[#Data]),MATCH($A208,_xlfn.VSTACK(YES_Writing_ELA[Student Number],YES_Writing_FLA[Student Number]),0),MATCH(VLOOKUP(F$7,'Writing Logic'!$J$7:$K$11,2,FALSE)&amp;" - Per "&amp;VLOOKUP($C$4,'Writing Logic'!$G$8:$H$14,2,FALSE),YES_Writing_ELA[#Headers],0)))="INS",'Writing Logic'!$B$7,IF(INDEX(_xlfn.VSTACK(YES_Writing_ELA[#Data],YES_Writing_FLA[#Data]),MATCH($A208,_xlfn.VSTACK(YES_Writing_ELA[Student Number],YES_Writing_FLA[Student Number]),0),MATCH(VLOOKUP(F$7,'Writing Logic'!$J$7:$K$11,2,FALSE)&amp;" - Per "&amp;VLOOKUP($C$4,'Writing Logic'!$G$8:$H$14,2,FALSE),YES_Writing_ELA[#Headers],0))=0,"",INDEX(_xlfn.VSTACK(YES_Writing_ELA[#Data],YES_Writing_FLA[#Data]),MATCH($A208,_xlfn.VSTACK(YES_Writing_ELA[Student Number],YES_Writing_FLA[Student Number]),0),MATCH(VLOOKUP(F$7,'Writing Logic'!$J$7:$K$11,2,FALSE)&amp;" - Per "&amp;VLOOKUP($C$4,'Writing Logic'!$G$8:$H$14,2,FALSE),YES_Writing_ELA[#Headers],0)))),"")</f>
        <v/>
      </c>
      <c r="G208" s="138" t="str">
        <f>IFERROR(IF(IF(INDEX(_xlfn.VSTACK(YES_Writing_ELA[#Data],YES_Writing_FLA[#Data]),MATCH($A208,_xlfn.VSTACK(YES_Writing_ELA[Student Number],YES_Writing_FLA[Student Number]),0),MATCH(VLOOKUP(G$7,'Writing Logic'!$J$7:$K$11,2,FALSE)&amp;" - Per "&amp;VLOOKUP($C$4,'Writing Logic'!$G$8:$H$14,2,FALSE),YES_Writing_ELA[#Headers],0))=0,"",INDEX(_xlfn.VSTACK(YES_Writing_ELA[#Data],YES_Writing_FLA[#Data]),MATCH($A208,_xlfn.VSTACK(YES_Writing_ELA[Student Number],YES_Writing_FLA[Student Number]),0),MATCH(VLOOKUP(G$7,'Writing Logic'!$J$7:$K$11,2,FALSE)&amp;" - Per "&amp;VLOOKUP($C$4,'Writing Logic'!$G$8:$H$14,2,FALSE),YES_Writing_ELA[#Headers],0)))="INS",'Writing Logic'!$B$7,IF(INDEX(_xlfn.VSTACK(YES_Writing_ELA[#Data],YES_Writing_FLA[#Data]),MATCH($A208,_xlfn.VSTACK(YES_Writing_ELA[Student Number],YES_Writing_FLA[Student Number]),0),MATCH(VLOOKUP(G$7,'Writing Logic'!$J$7:$K$11,2,FALSE)&amp;" - Per "&amp;VLOOKUP($C$4,'Writing Logic'!$G$8:$H$14,2,FALSE),YES_Writing_ELA[#Headers],0))=0,"",INDEX(_xlfn.VSTACK(YES_Writing_ELA[#Data],YES_Writing_FLA[#Data]),MATCH($A208,_xlfn.VSTACK(YES_Writing_ELA[Student Number],YES_Writing_FLA[Student Number]),0),MATCH(VLOOKUP(G$7,'Writing Logic'!$J$7:$K$11,2,FALSE)&amp;" - Per "&amp;VLOOKUP($C$4,'Writing Logic'!$G$8:$H$14,2,FALSE),YES_Writing_ELA[#Headers],0)))),"")</f>
        <v/>
      </c>
      <c r="H208" s="138" t="str">
        <f>IFERROR(IF(IF(INDEX(_xlfn.VSTACK(YES_Writing_ELA[#Data],YES_Writing_FLA[#Data]),MATCH($A208,_xlfn.VSTACK(YES_Writing_ELA[Student Number],YES_Writing_FLA[Student Number]),0),MATCH(VLOOKUP(H$7,'Writing Logic'!$J$7:$K$11,2,FALSE)&amp;" - Per "&amp;VLOOKUP($C$4,'Writing Logic'!$G$8:$H$14,2,FALSE),YES_Writing_ELA[#Headers],0))=0,"",INDEX(_xlfn.VSTACK(YES_Writing_ELA[#Data],YES_Writing_FLA[#Data]),MATCH($A208,_xlfn.VSTACK(YES_Writing_ELA[Student Number],YES_Writing_FLA[Student Number]),0),MATCH(VLOOKUP(H$7,'Writing Logic'!$J$7:$K$11,2,FALSE)&amp;" - Per "&amp;VLOOKUP($C$4,'Writing Logic'!$G$8:$H$14,2,FALSE),YES_Writing_ELA[#Headers],0)))="INS",'Writing Logic'!$B$7,IF(INDEX(_xlfn.VSTACK(YES_Writing_ELA[#Data],YES_Writing_FLA[#Data]),MATCH($A208,_xlfn.VSTACK(YES_Writing_ELA[Student Number],YES_Writing_FLA[Student Number]),0),MATCH(VLOOKUP(H$7,'Writing Logic'!$J$7:$K$11,2,FALSE)&amp;" - Per "&amp;VLOOKUP($C$4,'Writing Logic'!$G$8:$H$14,2,FALSE),YES_Writing_ELA[#Headers],0))=0,"",INDEX(_xlfn.VSTACK(YES_Writing_ELA[#Data],YES_Writing_FLA[#Data]),MATCH($A208,_xlfn.VSTACK(YES_Writing_ELA[Student Number],YES_Writing_FLA[Student Number]),0),MATCH(VLOOKUP(H$7,'Writing Logic'!$J$7:$K$11,2,FALSE)&amp;" - Per "&amp;VLOOKUP($C$4,'Writing Logic'!$G$8:$H$14,2,FALSE),YES_Writing_ELA[#Headers],0)))),"")</f>
        <v/>
      </c>
    </row>
    <row r="209" spans="1:8" x14ac:dyDescent="0.25">
      <c r="A209" s="137"/>
      <c r="B209" s="137" t="str">
        <f>IFERROR(INDEX(_xlfn.VSTACK(YES_Writing_ELA[#Data], YES_Writing_FLA[#Data]),MATCH($A209,_xlfn.VSTACK(YES_Writing_ELA[Student Number], YES_Writing_FLA[Student Number]),0),MATCH(B$7,YES_Writing_ELA[#Headers],0)),"")</f>
        <v/>
      </c>
      <c r="C209" s="137" t="str">
        <f>IFERROR(INDEX(_xlfn.VSTACK(YES_Writing_ELA[#Data], YES_Writing_FLA[#Data]),MATCH($A209,_xlfn.VSTACK(YES_Writing_ELA[Student Number], YES_Writing_FLA[Student Number]),0),MATCH(C$7,YES_Writing_ELA[#Headers],0)),"")</f>
        <v/>
      </c>
      <c r="D209" s="138" t="str">
        <f>IFERROR(IF(IF(INDEX(_xlfn.VSTACK(YES_Writing_ELA[#Data],YES_Writing_FLA[#Data]),MATCH($A209,_xlfn.VSTACK(YES_Writing_ELA[Student Number],YES_Writing_FLA[Student Number]),0),MATCH(VLOOKUP(D$7,'Writing Logic'!$J$7:$K$11,2,FALSE)&amp;" - Per "&amp;VLOOKUP($C$4,'Writing Logic'!$G$8:$H$14,2,FALSE),YES_Writing_ELA[#Headers],0))=0,"",INDEX(_xlfn.VSTACK(YES_Writing_ELA[#Data],YES_Writing_FLA[#Data]),MATCH($A209,_xlfn.VSTACK(YES_Writing_ELA[Student Number],YES_Writing_FLA[Student Number]),0),MATCH(VLOOKUP(D$7,'Writing Logic'!$J$7:$K$11,2,FALSE)&amp;" - Per "&amp;VLOOKUP($C$4,'Writing Logic'!$G$8:$H$14,2,FALSE),YES_Writing_ELA[#Headers],0)))="INS",'Writing Logic'!$B$7,IF(INDEX(_xlfn.VSTACK(YES_Writing_ELA[#Data],YES_Writing_FLA[#Data]),MATCH($A209,_xlfn.VSTACK(YES_Writing_ELA[Student Number],YES_Writing_FLA[Student Number]),0),MATCH(VLOOKUP(D$7,'Writing Logic'!$J$7:$K$11,2,FALSE)&amp;" - Per "&amp;VLOOKUP($C$4,'Writing Logic'!$G$8:$H$14,2,FALSE),YES_Writing_ELA[#Headers],0))=0,"",INDEX(_xlfn.VSTACK(YES_Writing_ELA[#Data],YES_Writing_FLA[#Data]),MATCH($A209,_xlfn.VSTACK(YES_Writing_ELA[Student Number],YES_Writing_FLA[Student Number]),0),MATCH(VLOOKUP(D$7,'Writing Logic'!$J$7:$K$11,2,FALSE)&amp;" - Per "&amp;VLOOKUP($C$4,'Writing Logic'!$G$8:$H$14,2,FALSE),YES_Writing_ELA[#Headers],0)))),"")</f>
        <v/>
      </c>
      <c r="E209" s="138" t="str">
        <f>IFERROR(IF(IF(INDEX(_xlfn.VSTACK(YES_Writing_ELA[#Data],YES_Writing_FLA[#Data]),MATCH($A209,_xlfn.VSTACK(YES_Writing_ELA[Student Number],YES_Writing_FLA[Student Number]),0),MATCH(VLOOKUP(E$7,'Writing Logic'!$J$7:$K$11,2,FALSE)&amp;" - Per "&amp;VLOOKUP($C$4,'Writing Logic'!$G$8:$H$14,2,FALSE),YES_Writing_ELA[#Headers],0))=0,"",INDEX(_xlfn.VSTACK(YES_Writing_ELA[#Data],YES_Writing_FLA[#Data]),MATCH($A209,_xlfn.VSTACK(YES_Writing_ELA[Student Number],YES_Writing_FLA[Student Number]),0),MATCH(VLOOKUP(E$7,'Writing Logic'!$J$7:$K$11,2,FALSE)&amp;" - Per "&amp;VLOOKUP($C$4,'Writing Logic'!$G$8:$H$14,2,FALSE),YES_Writing_ELA[#Headers],0)))="INS",'Writing Logic'!$B$7,IF(INDEX(_xlfn.VSTACK(YES_Writing_ELA[#Data],YES_Writing_FLA[#Data]),MATCH($A209,_xlfn.VSTACK(YES_Writing_ELA[Student Number],YES_Writing_FLA[Student Number]),0),MATCH(VLOOKUP(E$7,'Writing Logic'!$J$7:$K$11,2,FALSE)&amp;" - Per "&amp;VLOOKUP($C$4,'Writing Logic'!$G$8:$H$14,2,FALSE),YES_Writing_ELA[#Headers],0))=0,"",INDEX(_xlfn.VSTACK(YES_Writing_ELA[#Data],YES_Writing_FLA[#Data]),MATCH($A209,_xlfn.VSTACK(YES_Writing_ELA[Student Number],YES_Writing_FLA[Student Number]),0),MATCH(VLOOKUP(E$7,'Writing Logic'!$J$7:$K$11,2,FALSE)&amp;" - Per "&amp;VLOOKUP($C$4,'Writing Logic'!$G$8:$H$14,2,FALSE),YES_Writing_ELA[#Headers],0)))),"")</f>
        <v/>
      </c>
      <c r="F209" s="138" t="str">
        <f>IFERROR(IF(IF(INDEX(_xlfn.VSTACK(YES_Writing_ELA[#Data],YES_Writing_FLA[#Data]),MATCH($A209,_xlfn.VSTACK(YES_Writing_ELA[Student Number],YES_Writing_FLA[Student Number]),0),MATCH(VLOOKUP(F$7,'Writing Logic'!$J$7:$K$11,2,FALSE)&amp;" - Per "&amp;VLOOKUP($C$4,'Writing Logic'!$G$8:$H$14,2,FALSE),YES_Writing_ELA[#Headers],0))=0,"",INDEX(_xlfn.VSTACK(YES_Writing_ELA[#Data],YES_Writing_FLA[#Data]),MATCH($A209,_xlfn.VSTACK(YES_Writing_ELA[Student Number],YES_Writing_FLA[Student Number]),0),MATCH(VLOOKUP(F$7,'Writing Logic'!$J$7:$K$11,2,FALSE)&amp;" - Per "&amp;VLOOKUP($C$4,'Writing Logic'!$G$8:$H$14,2,FALSE),YES_Writing_ELA[#Headers],0)))="INS",'Writing Logic'!$B$7,IF(INDEX(_xlfn.VSTACK(YES_Writing_ELA[#Data],YES_Writing_FLA[#Data]),MATCH($A209,_xlfn.VSTACK(YES_Writing_ELA[Student Number],YES_Writing_FLA[Student Number]),0),MATCH(VLOOKUP(F$7,'Writing Logic'!$J$7:$K$11,2,FALSE)&amp;" - Per "&amp;VLOOKUP($C$4,'Writing Logic'!$G$8:$H$14,2,FALSE),YES_Writing_ELA[#Headers],0))=0,"",INDEX(_xlfn.VSTACK(YES_Writing_ELA[#Data],YES_Writing_FLA[#Data]),MATCH($A209,_xlfn.VSTACK(YES_Writing_ELA[Student Number],YES_Writing_FLA[Student Number]),0),MATCH(VLOOKUP(F$7,'Writing Logic'!$J$7:$K$11,2,FALSE)&amp;" - Per "&amp;VLOOKUP($C$4,'Writing Logic'!$G$8:$H$14,2,FALSE),YES_Writing_ELA[#Headers],0)))),"")</f>
        <v/>
      </c>
      <c r="G209" s="138" t="str">
        <f>IFERROR(IF(IF(INDEX(_xlfn.VSTACK(YES_Writing_ELA[#Data],YES_Writing_FLA[#Data]),MATCH($A209,_xlfn.VSTACK(YES_Writing_ELA[Student Number],YES_Writing_FLA[Student Number]),0),MATCH(VLOOKUP(G$7,'Writing Logic'!$J$7:$K$11,2,FALSE)&amp;" - Per "&amp;VLOOKUP($C$4,'Writing Logic'!$G$8:$H$14,2,FALSE),YES_Writing_ELA[#Headers],0))=0,"",INDEX(_xlfn.VSTACK(YES_Writing_ELA[#Data],YES_Writing_FLA[#Data]),MATCH($A209,_xlfn.VSTACK(YES_Writing_ELA[Student Number],YES_Writing_FLA[Student Number]),0),MATCH(VLOOKUP(G$7,'Writing Logic'!$J$7:$K$11,2,FALSE)&amp;" - Per "&amp;VLOOKUP($C$4,'Writing Logic'!$G$8:$H$14,2,FALSE),YES_Writing_ELA[#Headers],0)))="INS",'Writing Logic'!$B$7,IF(INDEX(_xlfn.VSTACK(YES_Writing_ELA[#Data],YES_Writing_FLA[#Data]),MATCH($A209,_xlfn.VSTACK(YES_Writing_ELA[Student Number],YES_Writing_FLA[Student Number]),0),MATCH(VLOOKUP(G$7,'Writing Logic'!$J$7:$K$11,2,FALSE)&amp;" - Per "&amp;VLOOKUP($C$4,'Writing Logic'!$G$8:$H$14,2,FALSE),YES_Writing_ELA[#Headers],0))=0,"",INDEX(_xlfn.VSTACK(YES_Writing_ELA[#Data],YES_Writing_FLA[#Data]),MATCH($A209,_xlfn.VSTACK(YES_Writing_ELA[Student Number],YES_Writing_FLA[Student Number]),0),MATCH(VLOOKUP(G$7,'Writing Logic'!$J$7:$K$11,2,FALSE)&amp;" - Per "&amp;VLOOKUP($C$4,'Writing Logic'!$G$8:$H$14,2,FALSE),YES_Writing_ELA[#Headers],0)))),"")</f>
        <v/>
      </c>
      <c r="H209" s="138" t="str">
        <f>IFERROR(IF(IF(INDEX(_xlfn.VSTACK(YES_Writing_ELA[#Data],YES_Writing_FLA[#Data]),MATCH($A209,_xlfn.VSTACK(YES_Writing_ELA[Student Number],YES_Writing_FLA[Student Number]),0),MATCH(VLOOKUP(H$7,'Writing Logic'!$J$7:$K$11,2,FALSE)&amp;" - Per "&amp;VLOOKUP($C$4,'Writing Logic'!$G$8:$H$14,2,FALSE),YES_Writing_ELA[#Headers],0))=0,"",INDEX(_xlfn.VSTACK(YES_Writing_ELA[#Data],YES_Writing_FLA[#Data]),MATCH($A209,_xlfn.VSTACK(YES_Writing_ELA[Student Number],YES_Writing_FLA[Student Number]),0),MATCH(VLOOKUP(H$7,'Writing Logic'!$J$7:$K$11,2,FALSE)&amp;" - Per "&amp;VLOOKUP($C$4,'Writing Logic'!$G$8:$H$14,2,FALSE),YES_Writing_ELA[#Headers],0)))="INS",'Writing Logic'!$B$7,IF(INDEX(_xlfn.VSTACK(YES_Writing_ELA[#Data],YES_Writing_FLA[#Data]),MATCH($A209,_xlfn.VSTACK(YES_Writing_ELA[Student Number],YES_Writing_FLA[Student Number]),0),MATCH(VLOOKUP(H$7,'Writing Logic'!$J$7:$K$11,2,FALSE)&amp;" - Per "&amp;VLOOKUP($C$4,'Writing Logic'!$G$8:$H$14,2,FALSE),YES_Writing_ELA[#Headers],0))=0,"",INDEX(_xlfn.VSTACK(YES_Writing_ELA[#Data],YES_Writing_FLA[#Data]),MATCH($A209,_xlfn.VSTACK(YES_Writing_ELA[Student Number],YES_Writing_FLA[Student Number]),0),MATCH(VLOOKUP(H$7,'Writing Logic'!$J$7:$K$11,2,FALSE)&amp;" - Per "&amp;VLOOKUP($C$4,'Writing Logic'!$G$8:$H$14,2,FALSE),YES_Writing_ELA[#Headers],0)))),"")</f>
        <v/>
      </c>
    </row>
    <row r="210" spans="1:8" x14ac:dyDescent="0.25">
      <c r="A210" s="137"/>
      <c r="B210" s="137" t="str">
        <f>IFERROR(INDEX(_xlfn.VSTACK(YES_Writing_ELA[#Data], YES_Writing_FLA[#Data]),MATCH($A210,_xlfn.VSTACK(YES_Writing_ELA[Student Number], YES_Writing_FLA[Student Number]),0),MATCH(B$7,YES_Writing_ELA[#Headers],0)),"")</f>
        <v/>
      </c>
      <c r="C210" s="137" t="str">
        <f>IFERROR(INDEX(_xlfn.VSTACK(YES_Writing_ELA[#Data], YES_Writing_FLA[#Data]),MATCH($A210,_xlfn.VSTACK(YES_Writing_ELA[Student Number], YES_Writing_FLA[Student Number]),0),MATCH(C$7,YES_Writing_ELA[#Headers],0)),"")</f>
        <v/>
      </c>
      <c r="D210" s="138" t="str">
        <f>IFERROR(IF(IF(INDEX(_xlfn.VSTACK(YES_Writing_ELA[#Data],YES_Writing_FLA[#Data]),MATCH($A210,_xlfn.VSTACK(YES_Writing_ELA[Student Number],YES_Writing_FLA[Student Number]),0),MATCH(VLOOKUP(D$7,'Writing Logic'!$J$7:$K$11,2,FALSE)&amp;" - Per "&amp;VLOOKUP($C$4,'Writing Logic'!$G$8:$H$14,2,FALSE),YES_Writing_ELA[#Headers],0))=0,"",INDEX(_xlfn.VSTACK(YES_Writing_ELA[#Data],YES_Writing_FLA[#Data]),MATCH($A210,_xlfn.VSTACK(YES_Writing_ELA[Student Number],YES_Writing_FLA[Student Number]),0),MATCH(VLOOKUP(D$7,'Writing Logic'!$J$7:$K$11,2,FALSE)&amp;" - Per "&amp;VLOOKUP($C$4,'Writing Logic'!$G$8:$H$14,2,FALSE),YES_Writing_ELA[#Headers],0)))="INS",'Writing Logic'!$B$7,IF(INDEX(_xlfn.VSTACK(YES_Writing_ELA[#Data],YES_Writing_FLA[#Data]),MATCH($A210,_xlfn.VSTACK(YES_Writing_ELA[Student Number],YES_Writing_FLA[Student Number]),0),MATCH(VLOOKUP(D$7,'Writing Logic'!$J$7:$K$11,2,FALSE)&amp;" - Per "&amp;VLOOKUP($C$4,'Writing Logic'!$G$8:$H$14,2,FALSE),YES_Writing_ELA[#Headers],0))=0,"",INDEX(_xlfn.VSTACK(YES_Writing_ELA[#Data],YES_Writing_FLA[#Data]),MATCH($A210,_xlfn.VSTACK(YES_Writing_ELA[Student Number],YES_Writing_FLA[Student Number]),0),MATCH(VLOOKUP(D$7,'Writing Logic'!$J$7:$K$11,2,FALSE)&amp;" - Per "&amp;VLOOKUP($C$4,'Writing Logic'!$G$8:$H$14,2,FALSE),YES_Writing_ELA[#Headers],0)))),"")</f>
        <v/>
      </c>
      <c r="E210" s="138" t="str">
        <f>IFERROR(IF(IF(INDEX(_xlfn.VSTACK(YES_Writing_ELA[#Data],YES_Writing_FLA[#Data]),MATCH($A210,_xlfn.VSTACK(YES_Writing_ELA[Student Number],YES_Writing_FLA[Student Number]),0),MATCH(VLOOKUP(E$7,'Writing Logic'!$J$7:$K$11,2,FALSE)&amp;" - Per "&amp;VLOOKUP($C$4,'Writing Logic'!$G$8:$H$14,2,FALSE),YES_Writing_ELA[#Headers],0))=0,"",INDEX(_xlfn.VSTACK(YES_Writing_ELA[#Data],YES_Writing_FLA[#Data]),MATCH($A210,_xlfn.VSTACK(YES_Writing_ELA[Student Number],YES_Writing_FLA[Student Number]),0),MATCH(VLOOKUP(E$7,'Writing Logic'!$J$7:$K$11,2,FALSE)&amp;" - Per "&amp;VLOOKUP($C$4,'Writing Logic'!$G$8:$H$14,2,FALSE),YES_Writing_ELA[#Headers],0)))="INS",'Writing Logic'!$B$7,IF(INDEX(_xlfn.VSTACK(YES_Writing_ELA[#Data],YES_Writing_FLA[#Data]),MATCH($A210,_xlfn.VSTACK(YES_Writing_ELA[Student Number],YES_Writing_FLA[Student Number]),0),MATCH(VLOOKUP(E$7,'Writing Logic'!$J$7:$K$11,2,FALSE)&amp;" - Per "&amp;VLOOKUP($C$4,'Writing Logic'!$G$8:$H$14,2,FALSE),YES_Writing_ELA[#Headers],0))=0,"",INDEX(_xlfn.VSTACK(YES_Writing_ELA[#Data],YES_Writing_FLA[#Data]),MATCH($A210,_xlfn.VSTACK(YES_Writing_ELA[Student Number],YES_Writing_FLA[Student Number]),0),MATCH(VLOOKUP(E$7,'Writing Logic'!$J$7:$K$11,2,FALSE)&amp;" - Per "&amp;VLOOKUP($C$4,'Writing Logic'!$G$8:$H$14,2,FALSE),YES_Writing_ELA[#Headers],0)))),"")</f>
        <v/>
      </c>
      <c r="F210" s="138" t="str">
        <f>IFERROR(IF(IF(INDEX(_xlfn.VSTACK(YES_Writing_ELA[#Data],YES_Writing_FLA[#Data]),MATCH($A210,_xlfn.VSTACK(YES_Writing_ELA[Student Number],YES_Writing_FLA[Student Number]),0),MATCH(VLOOKUP(F$7,'Writing Logic'!$J$7:$K$11,2,FALSE)&amp;" - Per "&amp;VLOOKUP($C$4,'Writing Logic'!$G$8:$H$14,2,FALSE),YES_Writing_ELA[#Headers],0))=0,"",INDEX(_xlfn.VSTACK(YES_Writing_ELA[#Data],YES_Writing_FLA[#Data]),MATCH($A210,_xlfn.VSTACK(YES_Writing_ELA[Student Number],YES_Writing_FLA[Student Number]),0),MATCH(VLOOKUP(F$7,'Writing Logic'!$J$7:$K$11,2,FALSE)&amp;" - Per "&amp;VLOOKUP($C$4,'Writing Logic'!$G$8:$H$14,2,FALSE),YES_Writing_ELA[#Headers],0)))="INS",'Writing Logic'!$B$7,IF(INDEX(_xlfn.VSTACK(YES_Writing_ELA[#Data],YES_Writing_FLA[#Data]),MATCH($A210,_xlfn.VSTACK(YES_Writing_ELA[Student Number],YES_Writing_FLA[Student Number]),0),MATCH(VLOOKUP(F$7,'Writing Logic'!$J$7:$K$11,2,FALSE)&amp;" - Per "&amp;VLOOKUP($C$4,'Writing Logic'!$G$8:$H$14,2,FALSE),YES_Writing_ELA[#Headers],0))=0,"",INDEX(_xlfn.VSTACK(YES_Writing_ELA[#Data],YES_Writing_FLA[#Data]),MATCH($A210,_xlfn.VSTACK(YES_Writing_ELA[Student Number],YES_Writing_FLA[Student Number]),0),MATCH(VLOOKUP(F$7,'Writing Logic'!$J$7:$K$11,2,FALSE)&amp;" - Per "&amp;VLOOKUP($C$4,'Writing Logic'!$G$8:$H$14,2,FALSE),YES_Writing_ELA[#Headers],0)))),"")</f>
        <v/>
      </c>
      <c r="G210" s="138" t="str">
        <f>IFERROR(IF(IF(INDEX(_xlfn.VSTACK(YES_Writing_ELA[#Data],YES_Writing_FLA[#Data]),MATCH($A210,_xlfn.VSTACK(YES_Writing_ELA[Student Number],YES_Writing_FLA[Student Number]),0),MATCH(VLOOKUP(G$7,'Writing Logic'!$J$7:$K$11,2,FALSE)&amp;" - Per "&amp;VLOOKUP($C$4,'Writing Logic'!$G$8:$H$14,2,FALSE),YES_Writing_ELA[#Headers],0))=0,"",INDEX(_xlfn.VSTACK(YES_Writing_ELA[#Data],YES_Writing_FLA[#Data]),MATCH($A210,_xlfn.VSTACK(YES_Writing_ELA[Student Number],YES_Writing_FLA[Student Number]),0),MATCH(VLOOKUP(G$7,'Writing Logic'!$J$7:$K$11,2,FALSE)&amp;" - Per "&amp;VLOOKUP($C$4,'Writing Logic'!$G$8:$H$14,2,FALSE),YES_Writing_ELA[#Headers],0)))="INS",'Writing Logic'!$B$7,IF(INDEX(_xlfn.VSTACK(YES_Writing_ELA[#Data],YES_Writing_FLA[#Data]),MATCH($A210,_xlfn.VSTACK(YES_Writing_ELA[Student Number],YES_Writing_FLA[Student Number]),0),MATCH(VLOOKUP(G$7,'Writing Logic'!$J$7:$K$11,2,FALSE)&amp;" - Per "&amp;VLOOKUP($C$4,'Writing Logic'!$G$8:$H$14,2,FALSE),YES_Writing_ELA[#Headers],0))=0,"",INDEX(_xlfn.VSTACK(YES_Writing_ELA[#Data],YES_Writing_FLA[#Data]),MATCH($A210,_xlfn.VSTACK(YES_Writing_ELA[Student Number],YES_Writing_FLA[Student Number]),0),MATCH(VLOOKUP(G$7,'Writing Logic'!$J$7:$K$11,2,FALSE)&amp;" - Per "&amp;VLOOKUP($C$4,'Writing Logic'!$G$8:$H$14,2,FALSE),YES_Writing_ELA[#Headers],0)))),"")</f>
        <v/>
      </c>
      <c r="H210" s="138" t="str">
        <f>IFERROR(IF(IF(INDEX(_xlfn.VSTACK(YES_Writing_ELA[#Data],YES_Writing_FLA[#Data]),MATCH($A210,_xlfn.VSTACK(YES_Writing_ELA[Student Number],YES_Writing_FLA[Student Number]),0),MATCH(VLOOKUP(H$7,'Writing Logic'!$J$7:$K$11,2,FALSE)&amp;" - Per "&amp;VLOOKUP($C$4,'Writing Logic'!$G$8:$H$14,2,FALSE),YES_Writing_ELA[#Headers],0))=0,"",INDEX(_xlfn.VSTACK(YES_Writing_ELA[#Data],YES_Writing_FLA[#Data]),MATCH($A210,_xlfn.VSTACK(YES_Writing_ELA[Student Number],YES_Writing_FLA[Student Number]),0),MATCH(VLOOKUP(H$7,'Writing Logic'!$J$7:$K$11,2,FALSE)&amp;" - Per "&amp;VLOOKUP($C$4,'Writing Logic'!$G$8:$H$14,2,FALSE),YES_Writing_ELA[#Headers],0)))="INS",'Writing Logic'!$B$7,IF(INDEX(_xlfn.VSTACK(YES_Writing_ELA[#Data],YES_Writing_FLA[#Data]),MATCH($A210,_xlfn.VSTACK(YES_Writing_ELA[Student Number],YES_Writing_FLA[Student Number]),0),MATCH(VLOOKUP(H$7,'Writing Logic'!$J$7:$K$11,2,FALSE)&amp;" - Per "&amp;VLOOKUP($C$4,'Writing Logic'!$G$8:$H$14,2,FALSE),YES_Writing_ELA[#Headers],0))=0,"",INDEX(_xlfn.VSTACK(YES_Writing_ELA[#Data],YES_Writing_FLA[#Data]),MATCH($A210,_xlfn.VSTACK(YES_Writing_ELA[Student Number],YES_Writing_FLA[Student Number]),0),MATCH(VLOOKUP(H$7,'Writing Logic'!$J$7:$K$11,2,FALSE)&amp;" - Per "&amp;VLOOKUP($C$4,'Writing Logic'!$G$8:$H$14,2,FALSE),YES_Writing_ELA[#Headers],0)))),"")</f>
        <v/>
      </c>
    </row>
    <row r="211" spans="1:8" x14ac:dyDescent="0.25">
      <c r="A211" s="137"/>
      <c r="B211" s="137" t="str">
        <f>IFERROR(INDEX(_xlfn.VSTACK(YES_Writing_ELA[#Data], YES_Writing_FLA[#Data]),MATCH($A211,_xlfn.VSTACK(YES_Writing_ELA[Student Number], YES_Writing_FLA[Student Number]),0),MATCH(B$7,YES_Writing_ELA[#Headers],0)),"")</f>
        <v/>
      </c>
      <c r="C211" s="137" t="str">
        <f>IFERROR(INDEX(_xlfn.VSTACK(YES_Writing_ELA[#Data], YES_Writing_FLA[#Data]),MATCH($A211,_xlfn.VSTACK(YES_Writing_ELA[Student Number], YES_Writing_FLA[Student Number]),0),MATCH(C$7,YES_Writing_ELA[#Headers],0)),"")</f>
        <v/>
      </c>
      <c r="D211" s="138" t="str">
        <f>IFERROR(IF(IF(INDEX(_xlfn.VSTACK(YES_Writing_ELA[#Data],YES_Writing_FLA[#Data]),MATCH($A211,_xlfn.VSTACK(YES_Writing_ELA[Student Number],YES_Writing_FLA[Student Number]),0),MATCH(VLOOKUP(D$7,'Writing Logic'!$J$7:$K$11,2,FALSE)&amp;" - Per "&amp;VLOOKUP($C$4,'Writing Logic'!$G$8:$H$14,2,FALSE),YES_Writing_ELA[#Headers],0))=0,"",INDEX(_xlfn.VSTACK(YES_Writing_ELA[#Data],YES_Writing_FLA[#Data]),MATCH($A211,_xlfn.VSTACK(YES_Writing_ELA[Student Number],YES_Writing_FLA[Student Number]),0),MATCH(VLOOKUP(D$7,'Writing Logic'!$J$7:$K$11,2,FALSE)&amp;" - Per "&amp;VLOOKUP($C$4,'Writing Logic'!$G$8:$H$14,2,FALSE),YES_Writing_ELA[#Headers],0)))="INS",'Writing Logic'!$B$7,IF(INDEX(_xlfn.VSTACK(YES_Writing_ELA[#Data],YES_Writing_FLA[#Data]),MATCH($A211,_xlfn.VSTACK(YES_Writing_ELA[Student Number],YES_Writing_FLA[Student Number]),0),MATCH(VLOOKUP(D$7,'Writing Logic'!$J$7:$K$11,2,FALSE)&amp;" - Per "&amp;VLOOKUP($C$4,'Writing Logic'!$G$8:$H$14,2,FALSE),YES_Writing_ELA[#Headers],0))=0,"",INDEX(_xlfn.VSTACK(YES_Writing_ELA[#Data],YES_Writing_FLA[#Data]),MATCH($A211,_xlfn.VSTACK(YES_Writing_ELA[Student Number],YES_Writing_FLA[Student Number]),0),MATCH(VLOOKUP(D$7,'Writing Logic'!$J$7:$K$11,2,FALSE)&amp;" - Per "&amp;VLOOKUP($C$4,'Writing Logic'!$G$8:$H$14,2,FALSE),YES_Writing_ELA[#Headers],0)))),"")</f>
        <v/>
      </c>
      <c r="E211" s="138" t="str">
        <f>IFERROR(IF(IF(INDEX(_xlfn.VSTACK(YES_Writing_ELA[#Data],YES_Writing_FLA[#Data]),MATCH($A211,_xlfn.VSTACK(YES_Writing_ELA[Student Number],YES_Writing_FLA[Student Number]),0),MATCH(VLOOKUP(E$7,'Writing Logic'!$J$7:$K$11,2,FALSE)&amp;" - Per "&amp;VLOOKUP($C$4,'Writing Logic'!$G$8:$H$14,2,FALSE),YES_Writing_ELA[#Headers],0))=0,"",INDEX(_xlfn.VSTACK(YES_Writing_ELA[#Data],YES_Writing_FLA[#Data]),MATCH($A211,_xlfn.VSTACK(YES_Writing_ELA[Student Number],YES_Writing_FLA[Student Number]),0),MATCH(VLOOKUP(E$7,'Writing Logic'!$J$7:$K$11,2,FALSE)&amp;" - Per "&amp;VLOOKUP($C$4,'Writing Logic'!$G$8:$H$14,2,FALSE),YES_Writing_ELA[#Headers],0)))="INS",'Writing Logic'!$B$7,IF(INDEX(_xlfn.VSTACK(YES_Writing_ELA[#Data],YES_Writing_FLA[#Data]),MATCH($A211,_xlfn.VSTACK(YES_Writing_ELA[Student Number],YES_Writing_FLA[Student Number]),0),MATCH(VLOOKUP(E$7,'Writing Logic'!$J$7:$K$11,2,FALSE)&amp;" - Per "&amp;VLOOKUP($C$4,'Writing Logic'!$G$8:$H$14,2,FALSE),YES_Writing_ELA[#Headers],0))=0,"",INDEX(_xlfn.VSTACK(YES_Writing_ELA[#Data],YES_Writing_FLA[#Data]),MATCH($A211,_xlfn.VSTACK(YES_Writing_ELA[Student Number],YES_Writing_FLA[Student Number]),0),MATCH(VLOOKUP(E$7,'Writing Logic'!$J$7:$K$11,2,FALSE)&amp;" - Per "&amp;VLOOKUP($C$4,'Writing Logic'!$G$8:$H$14,2,FALSE),YES_Writing_ELA[#Headers],0)))),"")</f>
        <v/>
      </c>
      <c r="F211" s="138" t="str">
        <f>IFERROR(IF(IF(INDEX(_xlfn.VSTACK(YES_Writing_ELA[#Data],YES_Writing_FLA[#Data]),MATCH($A211,_xlfn.VSTACK(YES_Writing_ELA[Student Number],YES_Writing_FLA[Student Number]),0),MATCH(VLOOKUP(F$7,'Writing Logic'!$J$7:$K$11,2,FALSE)&amp;" - Per "&amp;VLOOKUP($C$4,'Writing Logic'!$G$8:$H$14,2,FALSE),YES_Writing_ELA[#Headers],0))=0,"",INDEX(_xlfn.VSTACK(YES_Writing_ELA[#Data],YES_Writing_FLA[#Data]),MATCH($A211,_xlfn.VSTACK(YES_Writing_ELA[Student Number],YES_Writing_FLA[Student Number]),0),MATCH(VLOOKUP(F$7,'Writing Logic'!$J$7:$K$11,2,FALSE)&amp;" - Per "&amp;VLOOKUP($C$4,'Writing Logic'!$G$8:$H$14,2,FALSE),YES_Writing_ELA[#Headers],0)))="INS",'Writing Logic'!$B$7,IF(INDEX(_xlfn.VSTACK(YES_Writing_ELA[#Data],YES_Writing_FLA[#Data]),MATCH($A211,_xlfn.VSTACK(YES_Writing_ELA[Student Number],YES_Writing_FLA[Student Number]),0),MATCH(VLOOKUP(F$7,'Writing Logic'!$J$7:$K$11,2,FALSE)&amp;" - Per "&amp;VLOOKUP($C$4,'Writing Logic'!$G$8:$H$14,2,FALSE),YES_Writing_ELA[#Headers],0))=0,"",INDEX(_xlfn.VSTACK(YES_Writing_ELA[#Data],YES_Writing_FLA[#Data]),MATCH($A211,_xlfn.VSTACK(YES_Writing_ELA[Student Number],YES_Writing_FLA[Student Number]),0),MATCH(VLOOKUP(F$7,'Writing Logic'!$J$7:$K$11,2,FALSE)&amp;" - Per "&amp;VLOOKUP($C$4,'Writing Logic'!$G$8:$H$14,2,FALSE),YES_Writing_ELA[#Headers],0)))),"")</f>
        <v/>
      </c>
      <c r="G211" s="138" t="str">
        <f>IFERROR(IF(IF(INDEX(_xlfn.VSTACK(YES_Writing_ELA[#Data],YES_Writing_FLA[#Data]),MATCH($A211,_xlfn.VSTACK(YES_Writing_ELA[Student Number],YES_Writing_FLA[Student Number]),0),MATCH(VLOOKUP(G$7,'Writing Logic'!$J$7:$K$11,2,FALSE)&amp;" - Per "&amp;VLOOKUP($C$4,'Writing Logic'!$G$8:$H$14,2,FALSE),YES_Writing_ELA[#Headers],0))=0,"",INDEX(_xlfn.VSTACK(YES_Writing_ELA[#Data],YES_Writing_FLA[#Data]),MATCH($A211,_xlfn.VSTACK(YES_Writing_ELA[Student Number],YES_Writing_FLA[Student Number]),0),MATCH(VLOOKUP(G$7,'Writing Logic'!$J$7:$K$11,2,FALSE)&amp;" - Per "&amp;VLOOKUP($C$4,'Writing Logic'!$G$8:$H$14,2,FALSE),YES_Writing_ELA[#Headers],0)))="INS",'Writing Logic'!$B$7,IF(INDEX(_xlfn.VSTACK(YES_Writing_ELA[#Data],YES_Writing_FLA[#Data]),MATCH($A211,_xlfn.VSTACK(YES_Writing_ELA[Student Number],YES_Writing_FLA[Student Number]),0),MATCH(VLOOKUP(G$7,'Writing Logic'!$J$7:$K$11,2,FALSE)&amp;" - Per "&amp;VLOOKUP($C$4,'Writing Logic'!$G$8:$H$14,2,FALSE),YES_Writing_ELA[#Headers],0))=0,"",INDEX(_xlfn.VSTACK(YES_Writing_ELA[#Data],YES_Writing_FLA[#Data]),MATCH($A211,_xlfn.VSTACK(YES_Writing_ELA[Student Number],YES_Writing_FLA[Student Number]),0),MATCH(VLOOKUP(G$7,'Writing Logic'!$J$7:$K$11,2,FALSE)&amp;" - Per "&amp;VLOOKUP($C$4,'Writing Logic'!$G$8:$H$14,2,FALSE),YES_Writing_ELA[#Headers],0)))),"")</f>
        <v/>
      </c>
      <c r="H211" s="138" t="str">
        <f>IFERROR(IF(IF(INDEX(_xlfn.VSTACK(YES_Writing_ELA[#Data],YES_Writing_FLA[#Data]),MATCH($A211,_xlfn.VSTACK(YES_Writing_ELA[Student Number],YES_Writing_FLA[Student Number]),0),MATCH(VLOOKUP(H$7,'Writing Logic'!$J$7:$K$11,2,FALSE)&amp;" - Per "&amp;VLOOKUP($C$4,'Writing Logic'!$G$8:$H$14,2,FALSE),YES_Writing_ELA[#Headers],0))=0,"",INDEX(_xlfn.VSTACK(YES_Writing_ELA[#Data],YES_Writing_FLA[#Data]),MATCH($A211,_xlfn.VSTACK(YES_Writing_ELA[Student Number],YES_Writing_FLA[Student Number]),0),MATCH(VLOOKUP(H$7,'Writing Logic'!$J$7:$K$11,2,FALSE)&amp;" - Per "&amp;VLOOKUP($C$4,'Writing Logic'!$G$8:$H$14,2,FALSE),YES_Writing_ELA[#Headers],0)))="INS",'Writing Logic'!$B$7,IF(INDEX(_xlfn.VSTACK(YES_Writing_ELA[#Data],YES_Writing_FLA[#Data]),MATCH($A211,_xlfn.VSTACK(YES_Writing_ELA[Student Number],YES_Writing_FLA[Student Number]),0),MATCH(VLOOKUP(H$7,'Writing Logic'!$J$7:$K$11,2,FALSE)&amp;" - Per "&amp;VLOOKUP($C$4,'Writing Logic'!$G$8:$H$14,2,FALSE),YES_Writing_ELA[#Headers],0))=0,"",INDEX(_xlfn.VSTACK(YES_Writing_ELA[#Data],YES_Writing_FLA[#Data]),MATCH($A211,_xlfn.VSTACK(YES_Writing_ELA[Student Number],YES_Writing_FLA[Student Number]),0),MATCH(VLOOKUP(H$7,'Writing Logic'!$J$7:$K$11,2,FALSE)&amp;" - Per "&amp;VLOOKUP($C$4,'Writing Logic'!$G$8:$H$14,2,FALSE),YES_Writing_ELA[#Headers],0)))),"")</f>
        <v/>
      </c>
    </row>
    <row r="212" spans="1:8" x14ac:dyDescent="0.25">
      <c r="A212" s="137"/>
      <c r="B212" s="137" t="str">
        <f>IFERROR(INDEX(_xlfn.VSTACK(YES_Writing_ELA[#Data], YES_Writing_FLA[#Data]),MATCH($A212,_xlfn.VSTACK(YES_Writing_ELA[Student Number], YES_Writing_FLA[Student Number]),0),MATCH(B$7,YES_Writing_ELA[#Headers],0)),"")</f>
        <v/>
      </c>
      <c r="C212" s="137" t="str">
        <f>IFERROR(INDEX(_xlfn.VSTACK(YES_Writing_ELA[#Data], YES_Writing_FLA[#Data]),MATCH($A212,_xlfn.VSTACK(YES_Writing_ELA[Student Number], YES_Writing_FLA[Student Number]),0),MATCH(C$7,YES_Writing_ELA[#Headers],0)),"")</f>
        <v/>
      </c>
      <c r="D212" s="138" t="str">
        <f>IFERROR(IF(IF(INDEX(_xlfn.VSTACK(YES_Writing_ELA[#Data],YES_Writing_FLA[#Data]),MATCH($A212,_xlfn.VSTACK(YES_Writing_ELA[Student Number],YES_Writing_FLA[Student Number]),0),MATCH(VLOOKUP(D$7,'Writing Logic'!$J$7:$K$11,2,FALSE)&amp;" - Per "&amp;VLOOKUP($C$4,'Writing Logic'!$G$8:$H$14,2,FALSE),YES_Writing_ELA[#Headers],0))=0,"",INDEX(_xlfn.VSTACK(YES_Writing_ELA[#Data],YES_Writing_FLA[#Data]),MATCH($A212,_xlfn.VSTACK(YES_Writing_ELA[Student Number],YES_Writing_FLA[Student Number]),0),MATCH(VLOOKUP(D$7,'Writing Logic'!$J$7:$K$11,2,FALSE)&amp;" - Per "&amp;VLOOKUP($C$4,'Writing Logic'!$G$8:$H$14,2,FALSE),YES_Writing_ELA[#Headers],0)))="INS",'Writing Logic'!$B$7,IF(INDEX(_xlfn.VSTACK(YES_Writing_ELA[#Data],YES_Writing_FLA[#Data]),MATCH($A212,_xlfn.VSTACK(YES_Writing_ELA[Student Number],YES_Writing_FLA[Student Number]),0),MATCH(VLOOKUP(D$7,'Writing Logic'!$J$7:$K$11,2,FALSE)&amp;" - Per "&amp;VLOOKUP($C$4,'Writing Logic'!$G$8:$H$14,2,FALSE),YES_Writing_ELA[#Headers],0))=0,"",INDEX(_xlfn.VSTACK(YES_Writing_ELA[#Data],YES_Writing_FLA[#Data]),MATCH($A212,_xlfn.VSTACK(YES_Writing_ELA[Student Number],YES_Writing_FLA[Student Number]),0),MATCH(VLOOKUP(D$7,'Writing Logic'!$J$7:$K$11,2,FALSE)&amp;" - Per "&amp;VLOOKUP($C$4,'Writing Logic'!$G$8:$H$14,2,FALSE),YES_Writing_ELA[#Headers],0)))),"")</f>
        <v/>
      </c>
      <c r="E212" s="138" t="str">
        <f>IFERROR(IF(IF(INDEX(_xlfn.VSTACK(YES_Writing_ELA[#Data],YES_Writing_FLA[#Data]),MATCH($A212,_xlfn.VSTACK(YES_Writing_ELA[Student Number],YES_Writing_FLA[Student Number]),0),MATCH(VLOOKUP(E$7,'Writing Logic'!$J$7:$K$11,2,FALSE)&amp;" - Per "&amp;VLOOKUP($C$4,'Writing Logic'!$G$8:$H$14,2,FALSE),YES_Writing_ELA[#Headers],0))=0,"",INDEX(_xlfn.VSTACK(YES_Writing_ELA[#Data],YES_Writing_FLA[#Data]),MATCH($A212,_xlfn.VSTACK(YES_Writing_ELA[Student Number],YES_Writing_FLA[Student Number]),0),MATCH(VLOOKUP(E$7,'Writing Logic'!$J$7:$K$11,2,FALSE)&amp;" - Per "&amp;VLOOKUP($C$4,'Writing Logic'!$G$8:$H$14,2,FALSE),YES_Writing_ELA[#Headers],0)))="INS",'Writing Logic'!$B$7,IF(INDEX(_xlfn.VSTACK(YES_Writing_ELA[#Data],YES_Writing_FLA[#Data]),MATCH($A212,_xlfn.VSTACK(YES_Writing_ELA[Student Number],YES_Writing_FLA[Student Number]),0),MATCH(VLOOKUP(E$7,'Writing Logic'!$J$7:$K$11,2,FALSE)&amp;" - Per "&amp;VLOOKUP($C$4,'Writing Logic'!$G$8:$H$14,2,FALSE),YES_Writing_ELA[#Headers],0))=0,"",INDEX(_xlfn.VSTACK(YES_Writing_ELA[#Data],YES_Writing_FLA[#Data]),MATCH($A212,_xlfn.VSTACK(YES_Writing_ELA[Student Number],YES_Writing_FLA[Student Number]),0),MATCH(VLOOKUP(E$7,'Writing Logic'!$J$7:$K$11,2,FALSE)&amp;" - Per "&amp;VLOOKUP($C$4,'Writing Logic'!$G$8:$H$14,2,FALSE),YES_Writing_ELA[#Headers],0)))),"")</f>
        <v/>
      </c>
      <c r="F212" s="138" t="str">
        <f>IFERROR(IF(IF(INDEX(_xlfn.VSTACK(YES_Writing_ELA[#Data],YES_Writing_FLA[#Data]),MATCH($A212,_xlfn.VSTACK(YES_Writing_ELA[Student Number],YES_Writing_FLA[Student Number]),0),MATCH(VLOOKUP(F$7,'Writing Logic'!$J$7:$K$11,2,FALSE)&amp;" - Per "&amp;VLOOKUP($C$4,'Writing Logic'!$G$8:$H$14,2,FALSE),YES_Writing_ELA[#Headers],0))=0,"",INDEX(_xlfn.VSTACK(YES_Writing_ELA[#Data],YES_Writing_FLA[#Data]),MATCH($A212,_xlfn.VSTACK(YES_Writing_ELA[Student Number],YES_Writing_FLA[Student Number]),0),MATCH(VLOOKUP(F$7,'Writing Logic'!$J$7:$K$11,2,FALSE)&amp;" - Per "&amp;VLOOKUP($C$4,'Writing Logic'!$G$8:$H$14,2,FALSE),YES_Writing_ELA[#Headers],0)))="INS",'Writing Logic'!$B$7,IF(INDEX(_xlfn.VSTACK(YES_Writing_ELA[#Data],YES_Writing_FLA[#Data]),MATCH($A212,_xlfn.VSTACK(YES_Writing_ELA[Student Number],YES_Writing_FLA[Student Number]),0),MATCH(VLOOKUP(F$7,'Writing Logic'!$J$7:$K$11,2,FALSE)&amp;" - Per "&amp;VLOOKUP($C$4,'Writing Logic'!$G$8:$H$14,2,FALSE),YES_Writing_ELA[#Headers],0))=0,"",INDEX(_xlfn.VSTACK(YES_Writing_ELA[#Data],YES_Writing_FLA[#Data]),MATCH($A212,_xlfn.VSTACK(YES_Writing_ELA[Student Number],YES_Writing_FLA[Student Number]),0),MATCH(VLOOKUP(F$7,'Writing Logic'!$J$7:$K$11,2,FALSE)&amp;" - Per "&amp;VLOOKUP($C$4,'Writing Logic'!$G$8:$H$14,2,FALSE),YES_Writing_ELA[#Headers],0)))),"")</f>
        <v/>
      </c>
      <c r="G212" s="138" t="str">
        <f>IFERROR(IF(IF(INDEX(_xlfn.VSTACK(YES_Writing_ELA[#Data],YES_Writing_FLA[#Data]),MATCH($A212,_xlfn.VSTACK(YES_Writing_ELA[Student Number],YES_Writing_FLA[Student Number]),0),MATCH(VLOOKUP(G$7,'Writing Logic'!$J$7:$K$11,2,FALSE)&amp;" - Per "&amp;VLOOKUP($C$4,'Writing Logic'!$G$8:$H$14,2,FALSE),YES_Writing_ELA[#Headers],0))=0,"",INDEX(_xlfn.VSTACK(YES_Writing_ELA[#Data],YES_Writing_FLA[#Data]),MATCH($A212,_xlfn.VSTACK(YES_Writing_ELA[Student Number],YES_Writing_FLA[Student Number]),0),MATCH(VLOOKUP(G$7,'Writing Logic'!$J$7:$K$11,2,FALSE)&amp;" - Per "&amp;VLOOKUP($C$4,'Writing Logic'!$G$8:$H$14,2,FALSE),YES_Writing_ELA[#Headers],0)))="INS",'Writing Logic'!$B$7,IF(INDEX(_xlfn.VSTACK(YES_Writing_ELA[#Data],YES_Writing_FLA[#Data]),MATCH($A212,_xlfn.VSTACK(YES_Writing_ELA[Student Number],YES_Writing_FLA[Student Number]),0),MATCH(VLOOKUP(G$7,'Writing Logic'!$J$7:$K$11,2,FALSE)&amp;" - Per "&amp;VLOOKUP($C$4,'Writing Logic'!$G$8:$H$14,2,FALSE),YES_Writing_ELA[#Headers],0))=0,"",INDEX(_xlfn.VSTACK(YES_Writing_ELA[#Data],YES_Writing_FLA[#Data]),MATCH($A212,_xlfn.VSTACK(YES_Writing_ELA[Student Number],YES_Writing_FLA[Student Number]),0),MATCH(VLOOKUP(G$7,'Writing Logic'!$J$7:$K$11,2,FALSE)&amp;" - Per "&amp;VLOOKUP($C$4,'Writing Logic'!$G$8:$H$14,2,FALSE),YES_Writing_ELA[#Headers],0)))),"")</f>
        <v/>
      </c>
      <c r="H212" s="138" t="str">
        <f>IFERROR(IF(IF(INDEX(_xlfn.VSTACK(YES_Writing_ELA[#Data],YES_Writing_FLA[#Data]),MATCH($A212,_xlfn.VSTACK(YES_Writing_ELA[Student Number],YES_Writing_FLA[Student Number]),0),MATCH(VLOOKUP(H$7,'Writing Logic'!$J$7:$K$11,2,FALSE)&amp;" - Per "&amp;VLOOKUP($C$4,'Writing Logic'!$G$8:$H$14,2,FALSE),YES_Writing_ELA[#Headers],0))=0,"",INDEX(_xlfn.VSTACK(YES_Writing_ELA[#Data],YES_Writing_FLA[#Data]),MATCH($A212,_xlfn.VSTACK(YES_Writing_ELA[Student Number],YES_Writing_FLA[Student Number]),0),MATCH(VLOOKUP(H$7,'Writing Logic'!$J$7:$K$11,2,FALSE)&amp;" - Per "&amp;VLOOKUP($C$4,'Writing Logic'!$G$8:$H$14,2,FALSE),YES_Writing_ELA[#Headers],0)))="INS",'Writing Logic'!$B$7,IF(INDEX(_xlfn.VSTACK(YES_Writing_ELA[#Data],YES_Writing_FLA[#Data]),MATCH($A212,_xlfn.VSTACK(YES_Writing_ELA[Student Number],YES_Writing_FLA[Student Number]),0),MATCH(VLOOKUP(H$7,'Writing Logic'!$J$7:$K$11,2,FALSE)&amp;" - Per "&amp;VLOOKUP($C$4,'Writing Logic'!$G$8:$H$14,2,FALSE),YES_Writing_ELA[#Headers],0))=0,"",INDEX(_xlfn.VSTACK(YES_Writing_ELA[#Data],YES_Writing_FLA[#Data]),MATCH($A212,_xlfn.VSTACK(YES_Writing_ELA[Student Number],YES_Writing_FLA[Student Number]),0),MATCH(VLOOKUP(H$7,'Writing Logic'!$J$7:$K$11,2,FALSE)&amp;" - Per "&amp;VLOOKUP($C$4,'Writing Logic'!$G$8:$H$14,2,FALSE),YES_Writing_ELA[#Headers],0)))),"")</f>
        <v/>
      </c>
    </row>
    <row r="213" spans="1:8" x14ac:dyDescent="0.25">
      <c r="A213" s="137"/>
      <c r="B213" s="137" t="str">
        <f>IFERROR(INDEX(_xlfn.VSTACK(YES_Writing_ELA[#Data], YES_Writing_FLA[#Data]),MATCH($A213,_xlfn.VSTACK(YES_Writing_ELA[Student Number], YES_Writing_FLA[Student Number]),0),MATCH(B$7,YES_Writing_ELA[#Headers],0)),"")</f>
        <v/>
      </c>
      <c r="C213" s="137" t="str">
        <f>IFERROR(INDEX(_xlfn.VSTACK(YES_Writing_ELA[#Data], YES_Writing_FLA[#Data]),MATCH($A213,_xlfn.VSTACK(YES_Writing_ELA[Student Number], YES_Writing_FLA[Student Number]),0),MATCH(C$7,YES_Writing_ELA[#Headers],0)),"")</f>
        <v/>
      </c>
      <c r="D213" s="138" t="str">
        <f>IFERROR(IF(IF(INDEX(_xlfn.VSTACK(YES_Writing_ELA[#Data],YES_Writing_FLA[#Data]),MATCH($A213,_xlfn.VSTACK(YES_Writing_ELA[Student Number],YES_Writing_FLA[Student Number]),0),MATCH(VLOOKUP(D$7,'Writing Logic'!$J$7:$K$11,2,FALSE)&amp;" - Per "&amp;VLOOKUP($C$4,'Writing Logic'!$G$8:$H$14,2,FALSE),YES_Writing_ELA[#Headers],0))=0,"",INDEX(_xlfn.VSTACK(YES_Writing_ELA[#Data],YES_Writing_FLA[#Data]),MATCH($A213,_xlfn.VSTACK(YES_Writing_ELA[Student Number],YES_Writing_FLA[Student Number]),0),MATCH(VLOOKUP(D$7,'Writing Logic'!$J$7:$K$11,2,FALSE)&amp;" - Per "&amp;VLOOKUP($C$4,'Writing Logic'!$G$8:$H$14,2,FALSE),YES_Writing_ELA[#Headers],0)))="INS",'Writing Logic'!$B$7,IF(INDEX(_xlfn.VSTACK(YES_Writing_ELA[#Data],YES_Writing_FLA[#Data]),MATCH($A213,_xlfn.VSTACK(YES_Writing_ELA[Student Number],YES_Writing_FLA[Student Number]),0),MATCH(VLOOKUP(D$7,'Writing Logic'!$J$7:$K$11,2,FALSE)&amp;" - Per "&amp;VLOOKUP($C$4,'Writing Logic'!$G$8:$H$14,2,FALSE),YES_Writing_ELA[#Headers],0))=0,"",INDEX(_xlfn.VSTACK(YES_Writing_ELA[#Data],YES_Writing_FLA[#Data]),MATCH($A213,_xlfn.VSTACK(YES_Writing_ELA[Student Number],YES_Writing_FLA[Student Number]),0),MATCH(VLOOKUP(D$7,'Writing Logic'!$J$7:$K$11,2,FALSE)&amp;" - Per "&amp;VLOOKUP($C$4,'Writing Logic'!$G$8:$H$14,2,FALSE),YES_Writing_ELA[#Headers],0)))),"")</f>
        <v/>
      </c>
      <c r="E213" s="138" t="str">
        <f>IFERROR(IF(IF(INDEX(_xlfn.VSTACK(YES_Writing_ELA[#Data],YES_Writing_FLA[#Data]),MATCH($A213,_xlfn.VSTACK(YES_Writing_ELA[Student Number],YES_Writing_FLA[Student Number]),0),MATCH(VLOOKUP(E$7,'Writing Logic'!$J$7:$K$11,2,FALSE)&amp;" - Per "&amp;VLOOKUP($C$4,'Writing Logic'!$G$8:$H$14,2,FALSE),YES_Writing_ELA[#Headers],0))=0,"",INDEX(_xlfn.VSTACK(YES_Writing_ELA[#Data],YES_Writing_FLA[#Data]),MATCH($A213,_xlfn.VSTACK(YES_Writing_ELA[Student Number],YES_Writing_FLA[Student Number]),0),MATCH(VLOOKUP(E$7,'Writing Logic'!$J$7:$K$11,2,FALSE)&amp;" - Per "&amp;VLOOKUP($C$4,'Writing Logic'!$G$8:$H$14,2,FALSE),YES_Writing_ELA[#Headers],0)))="INS",'Writing Logic'!$B$7,IF(INDEX(_xlfn.VSTACK(YES_Writing_ELA[#Data],YES_Writing_FLA[#Data]),MATCH($A213,_xlfn.VSTACK(YES_Writing_ELA[Student Number],YES_Writing_FLA[Student Number]),0),MATCH(VLOOKUP(E$7,'Writing Logic'!$J$7:$K$11,2,FALSE)&amp;" - Per "&amp;VLOOKUP($C$4,'Writing Logic'!$G$8:$H$14,2,FALSE),YES_Writing_ELA[#Headers],0))=0,"",INDEX(_xlfn.VSTACK(YES_Writing_ELA[#Data],YES_Writing_FLA[#Data]),MATCH($A213,_xlfn.VSTACK(YES_Writing_ELA[Student Number],YES_Writing_FLA[Student Number]),0),MATCH(VLOOKUP(E$7,'Writing Logic'!$J$7:$K$11,2,FALSE)&amp;" - Per "&amp;VLOOKUP($C$4,'Writing Logic'!$G$8:$H$14,2,FALSE),YES_Writing_ELA[#Headers],0)))),"")</f>
        <v/>
      </c>
      <c r="F213" s="138" t="str">
        <f>IFERROR(IF(IF(INDEX(_xlfn.VSTACK(YES_Writing_ELA[#Data],YES_Writing_FLA[#Data]),MATCH($A213,_xlfn.VSTACK(YES_Writing_ELA[Student Number],YES_Writing_FLA[Student Number]),0),MATCH(VLOOKUP(F$7,'Writing Logic'!$J$7:$K$11,2,FALSE)&amp;" - Per "&amp;VLOOKUP($C$4,'Writing Logic'!$G$8:$H$14,2,FALSE),YES_Writing_ELA[#Headers],0))=0,"",INDEX(_xlfn.VSTACK(YES_Writing_ELA[#Data],YES_Writing_FLA[#Data]),MATCH($A213,_xlfn.VSTACK(YES_Writing_ELA[Student Number],YES_Writing_FLA[Student Number]),0),MATCH(VLOOKUP(F$7,'Writing Logic'!$J$7:$K$11,2,FALSE)&amp;" - Per "&amp;VLOOKUP($C$4,'Writing Logic'!$G$8:$H$14,2,FALSE),YES_Writing_ELA[#Headers],0)))="INS",'Writing Logic'!$B$7,IF(INDEX(_xlfn.VSTACK(YES_Writing_ELA[#Data],YES_Writing_FLA[#Data]),MATCH($A213,_xlfn.VSTACK(YES_Writing_ELA[Student Number],YES_Writing_FLA[Student Number]),0),MATCH(VLOOKUP(F$7,'Writing Logic'!$J$7:$K$11,2,FALSE)&amp;" - Per "&amp;VLOOKUP($C$4,'Writing Logic'!$G$8:$H$14,2,FALSE),YES_Writing_ELA[#Headers],0))=0,"",INDEX(_xlfn.VSTACK(YES_Writing_ELA[#Data],YES_Writing_FLA[#Data]),MATCH($A213,_xlfn.VSTACK(YES_Writing_ELA[Student Number],YES_Writing_FLA[Student Number]),0),MATCH(VLOOKUP(F$7,'Writing Logic'!$J$7:$K$11,2,FALSE)&amp;" - Per "&amp;VLOOKUP($C$4,'Writing Logic'!$G$8:$H$14,2,FALSE),YES_Writing_ELA[#Headers],0)))),"")</f>
        <v/>
      </c>
      <c r="G213" s="138" t="str">
        <f>IFERROR(IF(IF(INDEX(_xlfn.VSTACK(YES_Writing_ELA[#Data],YES_Writing_FLA[#Data]),MATCH($A213,_xlfn.VSTACK(YES_Writing_ELA[Student Number],YES_Writing_FLA[Student Number]),0),MATCH(VLOOKUP(G$7,'Writing Logic'!$J$7:$K$11,2,FALSE)&amp;" - Per "&amp;VLOOKUP($C$4,'Writing Logic'!$G$8:$H$14,2,FALSE),YES_Writing_ELA[#Headers],0))=0,"",INDEX(_xlfn.VSTACK(YES_Writing_ELA[#Data],YES_Writing_FLA[#Data]),MATCH($A213,_xlfn.VSTACK(YES_Writing_ELA[Student Number],YES_Writing_FLA[Student Number]),0),MATCH(VLOOKUP(G$7,'Writing Logic'!$J$7:$K$11,2,FALSE)&amp;" - Per "&amp;VLOOKUP($C$4,'Writing Logic'!$G$8:$H$14,2,FALSE),YES_Writing_ELA[#Headers],0)))="INS",'Writing Logic'!$B$7,IF(INDEX(_xlfn.VSTACK(YES_Writing_ELA[#Data],YES_Writing_FLA[#Data]),MATCH($A213,_xlfn.VSTACK(YES_Writing_ELA[Student Number],YES_Writing_FLA[Student Number]),0),MATCH(VLOOKUP(G$7,'Writing Logic'!$J$7:$K$11,2,FALSE)&amp;" - Per "&amp;VLOOKUP($C$4,'Writing Logic'!$G$8:$H$14,2,FALSE),YES_Writing_ELA[#Headers],0))=0,"",INDEX(_xlfn.VSTACK(YES_Writing_ELA[#Data],YES_Writing_FLA[#Data]),MATCH($A213,_xlfn.VSTACK(YES_Writing_ELA[Student Number],YES_Writing_FLA[Student Number]),0),MATCH(VLOOKUP(G$7,'Writing Logic'!$J$7:$K$11,2,FALSE)&amp;" - Per "&amp;VLOOKUP($C$4,'Writing Logic'!$G$8:$H$14,2,FALSE),YES_Writing_ELA[#Headers],0)))),"")</f>
        <v/>
      </c>
      <c r="H213" s="138" t="str">
        <f>IFERROR(IF(IF(INDEX(_xlfn.VSTACK(YES_Writing_ELA[#Data],YES_Writing_FLA[#Data]),MATCH($A213,_xlfn.VSTACK(YES_Writing_ELA[Student Number],YES_Writing_FLA[Student Number]),0),MATCH(VLOOKUP(H$7,'Writing Logic'!$J$7:$K$11,2,FALSE)&amp;" - Per "&amp;VLOOKUP($C$4,'Writing Logic'!$G$8:$H$14,2,FALSE),YES_Writing_ELA[#Headers],0))=0,"",INDEX(_xlfn.VSTACK(YES_Writing_ELA[#Data],YES_Writing_FLA[#Data]),MATCH($A213,_xlfn.VSTACK(YES_Writing_ELA[Student Number],YES_Writing_FLA[Student Number]),0),MATCH(VLOOKUP(H$7,'Writing Logic'!$J$7:$K$11,2,FALSE)&amp;" - Per "&amp;VLOOKUP($C$4,'Writing Logic'!$G$8:$H$14,2,FALSE),YES_Writing_ELA[#Headers],0)))="INS",'Writing Logic'!$B$7,IF(INDEX(_xlfn.VSTACK(YES_Writing_ELA[#Data],YES_Writing_FLA[#Data]),MATCH($A213,_xlfn.VSTACK(YES_Writing_ELA[Student Number],YES_Writing_FLA[Student Number]),0),MATCH(VLOOKUP(H$7,'Writing Logic'!$J$7:$K$11,2,FALSE)&amp;" - Per "&amp;VLOOKUP($C$4,'Writing Logic'!$G$8:$H$14,2,FALSE),YES_Writing_ELA[#Headers],0))=0,"",INDEX(_xlfn.VSTACK(YES_Writing_ELA[#Data],YES_Writing_FLA[#Data]),MATCH($A213,_xlfn.VSTACK(YES_Writing_ELA[Student Number],YES_Writing_FLA[Student Number]),0),MATCH(VLOOKUP(H$7,'Writing Logic'!$J$7:$K$11,2,FALSE)&amp;" - Per "&amp;VLOOKUP($C$4,'Writing Logic'!$G$8:$H$14,2,FALSE),YES_Writing_ELA[#Headers],0)))),"")</f>
        <v/>
      </c>
    </row>
    <row r="214" spans="1:8" x14ac:dyDescent="0.25">
      <c r="A214" s="137"/>
      <c r="B214" s="137" t="str">
        <f>IFERROR(INDEX(_xlfn.VSTACK(YES_Writing_ELA[#Data], YES_Writing_FLA[#Data]),MATCH($A214,_xlfn.VSTACK(YES_Writing_ELA[Student Number], YES_Writing_FLA[Student Number]),0),MATCH(B$7,YES_Writing_ELA[#Headers],0)),"")</f>
        <v/>
      </c>
      <c r="C214" s="137" t="str">
        <f>IFERROR(INDEX(_xlfn.VSTACK(YES_Writing_ELA[#Data], YES_Writing_FLA[#Data]),MATCH($A214,_xlfn.VSTACK(YES_Writing_ELA[Student Number], YES_Writing_FLA[Student Number]),0),MATCH(C$7,YES_Writing_ELA[#Headers],0)),"")</f>
        <v/>
      </c>
      <c r="D214" s="138" t="str">
        <f>IFERROR(IF(IF(INDEX(_xlfn.VSTACK(YES_Writing_ELA[#Data],YES_Writing_FLA[#Data]),MATCH($A214,_xlfn.VSTACK(YES_Writing_ELA[Student Number],YES_Writing_FLA[Student Number]),0),MATCH(VLOOKUP(D$7,'Writing Logic'!$J$7:$K$11,2,FALSE)&amp;" - Per "&amp;VLOOKUP($C$4,'Writing Logic'!$G$8:$H$14,2,FALSE),YES_Writing_ELA[#Headers],0))=0,"",INDEX(_xlfn.VSTACK(YES_Writing_ELA[#Data],YES_Writing_FLA[#Data]),MATCH($A214,_xlfn.VSTACK(YES_Writing_ELA[Student Number],YES_Writing_FLA[Student Number]),0),MATCH(VLOOKUP(D$7,'Writing Logic'!$J$7:$K$11,2,FALSE)&amp;" - Per "&amp;VLOOKUP($C$4,'Writing Logic'!$G$8:$H$14,2,FALSE),YES_Writing_ELA[#Headers],0)))="INS",'Writing Logic'!$B$7,IF(INDEX(_xlfn.VSTACK(YES_Writing_ELA[#Data],YES_Writing_FLA[#Data]),MATCH($A214,_xlfn.VSTACK(YES_Writing_ELA[Student Number],YES_Writing_FLA[Student Number]),0),MATCH(VLOOKUP(D$7,'Writing Logic'!$J$7:$K$11,2,FALSE)&amp;" - Per "&amp;VLOOKUP($C$4,'Writing Logic'!$G$8:$H$14,2,FALSE),YES_Writing_ELA[#Headers],0))=0,"",INDEX(_xlfn.VSTACK(YES_Writing_ELA[#Data],YES_Writing_FLA[#Data]),MATCH($A214,_xlfn.VSTACK(YES_Writing_ELA[Student Number],YES_Writing_FLA[Student Number]),0),MATCH(VLOOKUP(D$7,'Writing Logic'!$J$7:$K$11,2,FALSE)&amp;" - Per "&amp;VLOOKUP($C$4,'Writing Logic'!$G$8:$H$14,2,FALSE),YES_Writing_ELA[#Headers],0)))),"")</f>
        <v/>
      </c>
      <c r="E214" s="138" t="str">
        <f>IFERROR(IF(IF(INDEX(_xlfn.VSTACK(YES_Writing_ELA[#Data],YES_Writing_FLA[#Data]),MATCH($A214,_xlfn.VSTACK(YES_Writing_ELA[Student Number],YES_Writing_FLA[Student Number]),0),MATCH(VLOOKUP(E$7,'Writing Logic'!$J$7:$K$11,2,FALSE)&amp;" - Per "&amp;VLOOKUP($C$4,'Writing Logic'!$G$8:$H$14,2,FALSE),YES_Writing_ELA[#Headers],0))=0,"",INDEX(_xlfn.VSTACK(YES_Writing_ELA[#Data],YES_Writing_FLA[#Data]),MATCH($A214,_xlfn.VSTACK(YES_Writing_ELA[Student Number],YES_Writing_FLA[Student Number]),0),MATCH(VLOOKUP(E$7,'Writing Logic'!$J$7:$K$11,2,FALSE)&amp;" - Per "&amp;VLOOKUP($C$4,'Writing Logic'!$G$8:$H$14,2,FALSE),YES_Writing_ELA[#Headers],0)))="INS",'Writing Logic'!$B$7,IF(INDEX(_xlfn.VSTACK(YES_Writing_ELA[#Data],YES_Writing_FLA[#Data]),MATCH($A214,_xlfn.VSTACK(YES_Writing_ELA[Student Number],YES_Writing_FLA[Student Number]),0),MATCH(VLOOKUP(E$7,'Writing Logic'!$J$7:$K$11,2,FALSE)&amp;" - Per "&amp;VLOOKUP($C$4,'Writing Logic'!$G$8:$H$14,2,FALSE),YES_Writing_ELA[#Headers],0))=0,"",INDEX(_xlfn.VSTACK(YES_Writing_ELA[#Data],YES_Writing_FLA[#Data]),MATCH($A214,_xlfn.VSTACK(YES_Writing_ELA[Student Number],YES_Writing_FLA[Student Number]),0),MATCH(VLOOKUP(E$7,'Writing Logic'!$J$7:$K$11,2,FALSE)&amp;" - Per "&amp;VLOOKUP($C$4,'Writing Logic'!$G$8:$H$14,2,FALSE),YES_Writing_ELA[#Headers],0)))),"")</f>
        <v/>
      </c>
      <c r="F214" s="138" t="str">
        <f>IFERROR(IF(IF(INDEX(_xlfn.VSTACK(YES_Writing_ELA[#Data],YES_Writing_FLA[#Data]),MATCH($A214,_xlfn.VSTACK(YES_Writing_ELA[Student Number],YES_Writing_FLA[Student Number]),0),MATCH(VLOOKUP(F$7,'Writing Logic'!$J$7:$K$11,2,FALSE)&amp;" - Per "&amp;VLOOKUP($C$4,'Writing Logic'!$G$8:$H$14,2,FALSE),YES_Writing_ELA[#Headers],0))=0,"",INDEX(_xlfn.VSTACK(YES_Writing_ELA[#Data],YES_Writing_FLA[#Data]),MATCH($A214,_xlfn.VSTACK(YES_Writing_ELA[Student Number],YES_Writing_FLA[Student Number]),0),MATCH(VLOOKUP(F$7,'Writing Logic'!$J$7:$K$11,2,FALSE)&amp;" - Per "&amp;VLOOKUP($C$4,'Writing Logic'!$G$8:$H$14,2,FALSE),YES_Writing_ELA[#Headers],0)))="INS",'Writing Logic'!$B$7,IF(INDEX(_xlfn.VSTACK(YES_Writing_ELA[#Data],YES_Writing_FLA[#Data]),MATCH($A214,_xlfn.VSTACK(YES_Writing_ELA[Student Number],YES_Writing_FLA[Student Number]),0),MATCH(VLOOKUP(F$7,'Writing Logic'!$J$7:$K$11,2,FALSE)&amp;" - Per "&amp;VLOOKUP($C$4,'Writing Logic'!$G$8:$H$14,2,FALSE),YES_Writing_ELA[#Headers],0))=0,"",INDEX(_xlfn.VSTACK(YES_Writing_ELA[#Data],YES_Writing_FLA[#Data]),MATCH($A214,_xlfn.VSTACK(YES_Writing_ELA[Student Number],YES_Writing_FLA[Student Number]),0),MATCH(VLOOKUP(F$7,'Writing Logic'!$J$7:$K$11,2,FALSE)&amp;" - Per "&amp;VLOOKUP($C$4,'Writing Logic'!$G$8:$H$14,2,FALSE),YES_Writing_ELA[#Headers],0)))),"")</f>
        <v/>
      </c>
      <c r="G214" s="138" t="str">
        <f>IFERROR(IF(IF(INDEX(_xlfn.VSTACK(YES_Writing_ELA[#Data],YES_Writing_FLA[#Data]),MATCH($A214,_xlfn.VSTACK(YES_Writing_ELA[Student Number],YES_Writing_FLA[Student Number]),0),MATCH(VLOOKUP(G$7,'Writing Logic'!$J$7:$K$11,2,FALSE)&amp;" - Per "&amp;VLOOKUP($C$4,'Writing Logic'!$G$8:$H$14,2,FALSE),YES_Writing_ELA[#Headers],0))=0,"",INDEX(_xlfn.VSTACK(YES_Writing_ELA[#Data],YES_Writing_FLA[#Data]),MATCH($A214,_xlfn.VSTACK(YES_Writing_ELA[Student Number],YES_Writing_FLA[Student Number]),0),MATCH(VLOOKUP(G$7,'Writing Logic'!$J$7:$K$11,2,FALSE)&amp;" - Per "&amp;VLOOKUP($C$4,'Writing Logic'!$G$8:$H$14,2,FALSE),YES_Writing_ELA[#Headers],0)))="INS",'Writing Logic'!$B$7,IF(INDEX(_xlfn.VSTACK(YES_Writing_ELA[#Data],YES_Writing_FLA[#Data]),MATCH($A214,_xlfn.VSTACK(YES_Writing_ELA[Student Number],YES_Writing_FLA[Student Number]),0),MATCH(VLOOKUP(G$7,'Writing Logic'!$J$7:$K$11,2,FALSE)&amp;" - Per "&amp;VLOOKUP($C$4,'Writing Logic'!$G$8:$H$14,2,FALSE),YES_Writing_ELA[#Headers],0))=0,"",INDEX(_xlfn.VSTACK(YES_Writing_ELA[#Data],YES_Writing_FLA[#Data]),MATCH($A214,_xlfn.VSTACK(YES_Writing_ELA[Student Number],YES_Writing_FLA[Student Number]),0),MATCH(VLOOKUP(G$7,'Writing Logic'!$J$7:$K$11,2,FALSE)&amp;" - Per "&amp;VLOOKUP($C$4,'Writing Logic'!$G$8:$H$14,2,FALSE),YES_Writing_ELA[#Headers],0)))),"")</f>
        <v/>
      </c>
      <c r="H214" s="138" t="str">
        <f>IFERROR(IF(IF(INDEX(_xlfn.VSTACK(YES_Writing_ELA[#Data],YES_Writing_FLA[#Data]),MATCH($A214,_xlfn.VSTACK(YES_Writing_ELA[Student Number],YES_Writing_FLA[Student Number]),0),MATCH(VLOOKUP(H$7,'Writing Logic'!$J$7:$K$11,2,FALSE)&amp;" - Per "&amp;VLOOKUP($C$4,'Writing Logic'!$G$8:$H$14,2,FALSE),YES_Writing_ELA[#Headers],0))=0,"",INDEX(_xlfn.VSTACK(YES_Writing_ELA[#Data],YES_Writing_FLA[#Data]),MATCH($A214,_xlfn.VSTACK(YES_Writing_ELA[Student Number],YES_Writing_FLA[Student Number]),0),MATCH(VLOOKUP(H$7,'Writing Logic'!$J$7:$K$11,2,FALSE)&amp;" - Per "&amp;VLOOKUP($C$4,'Writing Logic'!$G$8:$H$14,2,FALSE),YES_Writing_ELA[#Headers],0)))="INS",'Writing Logic'!$B$7,IF(INDEX(_xlfn.VSTACK(YES_Writing_ELA[#Data],YES_Writing_FLA[#Data]),MATCH($A214,_xlfn.VSTACK(YES_Writing_ELA[Student Number],YES_Writing_FLA[Student Number]),0),MATCH(VLOOKUP(H$7,'Writing Logic'!$J$7:$K$11,2,FALSE)&amp;" - Per "&amp;VLOOKUP($C$4,'Writing Logic'!$G$8:$H$14,2,FALSE),YES_Writing_ELA[#Headers],0))=0,"",INDEX(_xlfn.VSTACK(YES_Writing_ELA[#Data],YES_Writing_FLA[#Data]),MATCH($A214,_xlfn.VSTACK(YES_Writing_ELA[Student Number],YES_Writing_FLA[Student Number]),0),MATCH(VLOOKUP(H$7,'Writing Logic'!$J$7:$K$11,2,FALSE)&amp;" - Per "&amp;VLOOKUP($C$4,'Writing Logic'!$G$8:$H$14,2,FALSE),YES_Writing_ELA[#Headers],0)))),"")</f>
        <v/>
      </c>
    </row>
    <row r="215" spans="1:8" x14ac:dyDescent="0.25">
      <c r="A215" s="137"/>
      <c r="B215" s="137" t="str">
        <f>IFERROR(INDEX(_xlfn.VSTACK(YES_Writing_ELA[#Data], YES_Writing_FLA[#Data]),MATCH($A215,_xlfn.VSTACK(YES_Writing_ELA[Student Number], YES_Writing_FLA[Student Number]),0),MATCH(B$7,YES_Writing_ELA[#Headers],0)),"")</f>
        <v/>
      </c>
      <c r="C215" s="137" t="str">
        <f>IFERROR(INDEX(_xlfn.VSTACK(YES_Writing_ELA[#Data], YES_Writing_FLA[#Data]),MATCH($A215,_xlfn.VSTACK(YES_Writing_ELA[Student Number], YES_Writing_FLA[Student Number]),0),MATCH(C$7,YES_Writing_ELA[#Headers],0)),"")</f>
        <v/>
      </c>
      <c r="D215" s="138" t="str">
        <f>IFERROR(IF(IF(INDEX(_xlfn.VSTACK(YES_Writing_ELA[#Data],YES_Writing_FLA[#Data]),MATCH($A215,_xlfn.VSTACK(YES_Writing_ELA[Student Number],YES_Writing_FLA[Student Number]),0),MATCH(VLOOKUP(D$7,'Writing Logic'!$J$7:$K$11,2,FALSE)&amp;" - Per "&amp;VLOOKUP($C$4,'Writing Logic'!$G$8:$H$14,2,FALSE),YES_Writing_ELA[#Headers],0))=0,"",INDEX(_xlfn.VSTACK(YES_Writing_ELA[#Data],YES_Writing_FLA[#Data]),MATCH($A215,_xlfn.VSTACK(YES_Writing_ELA[Student Number],YES_Writing_FLA[Student Number]),0),MATCH(VLOOKUP(D$7,'Writing Logic'!$J$7:$K$11,2,FALSE)&amp;" - Per "&amp;VLOOKUP($C$4,'Writing Logic'!$G$8:$H$14,2,FALSE),YES_Writing_ELA[#Headers],0)))="INS",'Writing Logic'!$B$7,IF(INDEX(_xlfn.VSTACK(YES_Writing_ELA[#Data],YES_Writing_FLA[#Data]),MATCH($A215,_xlfn.VSTACK(YES_Writing_ELA[Student Number],YES_Writing_FLA[Student Number]),0),MATCH(VLOOKUP(D$7,'Writing Logic'!$J$7:$K$11,2,FALSE)&amp;" - Per "&amp;VLOOKUP($C$4,'Writing Logic'!$G$8:$H$14,2,FALSE),YES_Writing_ELA[#Headers],0))=0,"",INDEX(_xlfn.VSTACK(YES_Writing_ELA[#Data],YES_Writing_FLA[#Data]),MATCH($A215,_xlfn.VSTACK(YES_Writing_ELA[Student Number],YES_Writing_FLA[Student Number]),0),MATCH(VLOOKUP(D$7,'Writing Logic'!$J$7:$K$11,2,FALSE)&amp;" - Per "&amp;VLOOKUP($C$4,'Writing Logic'!$G$8:$H$14,2,FALSE),YES_Writing_ELA[#Headers],0)))),"")</f>
        <v/>
      </c>
      <c r="E215" s="138" t="str">
        <f>IFERROR(IF(IF(INDEX(_xlfn.VSTACK(YES_Writing_ELA[#Data],YES_Writing_FLA[#Data]),MATCH($A215,_xlfn.VSTACK(YES_Writing_ELA[Student Number],YES_Writing_FLA[Student Number]),0),MATCH(VLOOKUP(E$7,'Writing Logic'!$J$7:$K$11,2,FALSE)&amp;" - Per "&amp;VLOOKUP($C$4,'Writing Logic'!$G$8:$H$14,2,FALSE),YES_Writing_ELA[#Headers],0))=0,"",INDEX(_xlfn.VSTACK(YES_Writing_ELA[#Data],YES_Writing_FLA[#Data]),MATCH($A215,_xlfn.VSTACK(YES_Writing_ELA[Student Number],YES_Writing_FLA[Student Number]),0),MATCH(VLOOKUP(E$7,'Writing Logic'!$J$7:$K$11,2,FALSE)&amp;" - Per "&amp;VLOOKUP($C$4,'Writing Logic'!$G$8:$H$14,2,FALSE),YES_Writing_ELA[#Headers],0)))="INS",'Writing Logic'!$B$7,IF(INDEX(_xlfn.VSTACK(YES_Writing_ELA[#Data],YES_Writing_FLA[#Data]),MATCH($A215,_xlfn.VSTACK(YES_Writing_ELA[Student Number],YES_Writing_FLA[Student Number]),0),MATCH(VLOOKUP(E$7,'Writing Logic'!$J$7:$K$11,2,FALSE)&amp;" - Per "&amp;VLOOKUP($C$4,'Writing Logic'!$G$8:$H$14,2,FALSE),YES_Writing_ELA[#Headers],0))=0,"",INDEX(_xlfn.VSTACK(YES_Writing_ELA[#Data],YES_Writing_FLA[#Data]),MATCH($A215,_xlfn.VSTACK(YES_Writing_ELA[Student Number],YES_Writing_FLA[Student Number]),0),MATCH(VLOOKUP(E$7,'Writing Logic'!$J$7:$K$11,2,FALSE)&amp;" - Per "&amp;VLOOKUP($C$4,'Writing Logic'!$G$8:$H$14,2,FALSE),YES_Writing_ELA[#Headers],0)))),"")</f>
        <v/>
      </c>
      <c r="F215" s="138" t="str">
        <f>IFERROR(IF(IF(INDEX(_xlfn.VSTACK(YES_Writing_ELA[#Data],YES_Writing_FLA[#Data]),MATCH($A215,_xlfn.VSTACK(YES_Writing_ELA[Student Number],YES_Writing_FLA[Student Number]),0),MATCH(VLOOKUP(F$7,'Writing Logic'!$J$7:$K$11,2,FALSE)&amp;" - Per "&amp;VLOOKUP($C$4,'Writing Logic'!$G$8:$H$14,2,FALSE),YES_Writing_ELA[#Headers],0))=0,"",INDEX(_xlfn.VSTACK(YES_Writing_ELA[#Data],YES_Writing_FLA[#Data]),MATCH($A215,_xlfn.VSTACK(YES_Writing_ELA[Student Number],YES_Writing_FLA[Student Number]),0),MATCH(VLOOKUP(F$7,'Writing Logic'!$J$7:$K$11,2,FALSE)&amp;" - Per "&amp;VLOOKUP($C$4,'Writing Logic'!$G$8:$H$14,2,FALSE),YES_Writing_ELA[#Headers],0)))="INS",'Writing Logic'!$B$7,IF(INDEX(_xlfn.VSTACK(YES_Writing_ELA[#Data],YES_Writing_FLA[#Data]),MATCH($A215,_xlfn.VSTACK(YES_Writing_ELA[Student Number],YES_Writing_FLA[Student Number]),0),MATCH(VLOOKUP(F$7,'Writing Logic'!$J$7:$K$11,2,FALSE)&amp;" - Per "&amp;VLOOKUP($C$4,'Writing Logic'!$G$8:$H$14,2,FALSE),YES_Writing_ELA[#Headers],0))=0,"",INDEX(_xlfn.VSTACK(YES_Writing_ELA[#Data],YES_Writing_FLA[#Data]),MATCH($A215,_xlfn.VSTACK(YES_Writing_ELA[Student Number],YES_Writing_FLA[Student Number]),0),MATCH(VLOOKUP(F$7,'Writing Logic'!$J$7:$K$11,2,FALSE)&amp;" - Per "&amp;VLOOKUP($C$4,'Writing Logic'!$G$8:$H$14,2,FALSE),YES_Writing_ELA[#Headers],0)))),"")</f>
        <v/>
      </c>
      <c r="G215" s="138" t="str">
        <f>IFERROR(IF(IF(INDEX(_xlfn.VSTACK(YES_Writing_ELA[#Data],YES_Writing_FLA[#Data]),MATCH($A215,_xlfn.VSTACK(YES_Writing_ELA[Student Number],YES_Writing_FLA[Student Number]),0),MATCH(VLOOKUP(G$7,'Writing Logic'!$J$7:$K$11,2,FALSE)&amp;" - Per "&amp;VLOOKUP($C$4,'Writing Logic'!$G$8:$H$14,2,FALSE),YES_Writing_ELA[#Headers],0))=0,"",INDEX(_xlfn.VSTACK(YES_Writing_ELA[#Data],YES_Writing_FLA[#Data]),MATCH($A215,_xlfn.VSTACK(YES_Writing_ELA[Student Number],YES_Writing_FLA[Student Number]),0),MATCH(VLOOKUP(G$7,'Writing Logic'!$J$7:$K$11,2,FALSE)&amp;" - Per "&amp;VLOOKUP($C$4,'Writing Logic'!$G$8:$H$14,2,FALSE),YES_Writing_ELA[#Headers],0)))="INS",'Writing Logic'!$B$7,IF(INDEX(_xlfn.VSTACK(YES_Writing_ELA[#Data],YES_Writing_FLA[#Data]),MATCH($A215,_xlfn.VSTACK(YES_Writing_ELA[Student Number],YES_Writing_FLA[Student Number]),0),MATCH(VLOOKUP(G$7,'Writing Logic'!$J$7:$K$11,2,FALSE)&amp;" - Per "&amp;VLOOKUP($C$4,'Writing Logic'!$G$8:$H$14,2,FALSE),YES_Writing_ELA[#Headers],0))=0,"",INDEX(_xlfn.VSTACK(YES_Writing_ELA[#Data],YES_Writing_FLA[#Data]),MATCH($A215,_xlfn.VSTACK(YES_Writing_ELA[Student Number],YES_Writing_FLA[Student Number]),0),MATCH(VLOOKUP(G$7,'Writing Logic'!$J$7:$K$11,2,FALSE)&amp;" - Per "&amp;VLOOKUP($C$4,'Writing Logic'!$G$8:$H$14,2,FALSE),YES_Writing_ELA[#Headers],0)))),"")</f>
        <v/>
      </c>
      <c r="H215" s="138" t="str">
        <f>IFERROR(IF(IF(INDEX(_xlfn.VSTACK(YES_Writing_ELA[#Data],YES_Writing_FLA[#Data]),MATCH($A215,_xlfn.VSTACK(YES_Writing_ELA[Student Number],YES_Writing_FLA[Student Number]),0),MATCH(VLOOKUP(H$7,'Writing Logic'!$J$7:$K$11,2,FALSE)&amp;" - Per "&amp;VLOOKUP($C$4,'Writing Logic'!$G$8:$H$14,2,FALSE),YES_Writing_ELA[#Headers],0))=0,"",INDEX(_xlfn.VSTACK(YES_Writing_ELA[#Data],YES_Writing_FLA[#Data]),MATCH($A215,_xlfn.VSTACK(YES_Writing_ELA[Student Number],YES_Writing_FLA[Student Number]),0),MATCH(VLOOKUP(H$7,'Writing Logic'!$J$7:$K$11,2,FALSE)&amp;" - Per "&amp;VLOOKUP($C$4,'Writing Logic'!$G$8:$H$14,2,FALSE),YES_Writing_ELA[#Headers],0)))="INS",'Writing Logic'!$B$7,IF(INDEX(_xlfn.VSTACK(YES_Writing_ELA[#Data],YES_Writing_FLA[#Data]),MATCH($A215,_xlfn.VSTACK(YES_Writing_ELA[Student Number],YES_Writing_FLA[Student Number]),0),MATCH(VLOOKUP(H$7,'Writing Logic'!$J$7:$K$11,2,FALSE)&amp;" - Per "&amp;VLOOKUP($C$4,'Writing Logic'!$G$8:$H$14,2,FALSE),YES_Writing_ELA[#Headers],0))=0,"",INDEX(_xlfn.VSTACK(YES_Writing_ELA[#Data],YES_Writing_FLA[#Data]),MATCH($A215,_xlfn.VSTACK(YES_Writing_ELA[Student Number],YES_Writing_FLA[Student Number]),0),MATCH(VLOOKUP(H$7,'Writing Logic'!$J$7:$K$11,2,FALSE)&amp;" - Per "&amp;VLOOKUP($C$4,'Writing Logic'!$G$8:$H$14,2,FALSE),YES_Writing_ELA[#Headers],0)))),"")</f>
        <v/>
      </c>
    </row>
    <row r="216" spans="1:8" x14ac:dyDescent="0.25">
      <c r="A216" s="137"/>
      <c r="B216" s="137" t="str">
        <f>IFERROR(INDEX(_xlfn.VSTACK(YES_Writing_ELA[#Data], YES_Writing_FLA[#Data]),MATCH($A216,_xlfn.VSTACK(YES_Writing_ELA[Student Number], YES_Writing_FLA[Student Number]),0),MATCH(B$7,YES_Writing_ELA[#Headers],0)),"")</f>
        <v/>
      </c>
      <c r="C216" s="137" t="str">
        <f>IFERROR(INDEX(_xlfn.VSTACK(YES_Writing_ELA[#Data], YES_Writing_FLA[#Data]),MATCH($A216,_xlfn.VSTACK(YES_Writing_ELA[Student Number], YES_Writing_FLA[Student Number]),0),MATCH(C$7,YES_Writing_ELA[#Headers],0)),"")</f>
        <v/>
      </c>
      <c r="D216" s="138" t="str">
        <f>IFERROR(IF(IF(INDEX(_xlfn.VSTACK(YES_Writing_ELA[#Data],YES_Writing_FLA[#Data]),MATCH($A216,_xlfn.VSTACK(YES_Writing_ELA[Student Number],YES_Writing_FLA[Student Number]),0),MATCH(VLOOKUP(D$7,'Writing Logic'!$J$7:$K$11,2,FALSE)&amp;" - Per "&amp;VLOOKUP($C$4,'Writing Logic'!$G$8:$H$14,2,FALSE),YES_Writing_ELA[#Headers],0))=0,"",INDEX(_xlfn.VSTACK(YES_Writing_ELA[#Data],YES_Writing_FLA[#Data]),MATCH($A216,_xlfn.VSTACK(YES_Writing_ELA[Student Number],YES_Writing_FLA[Student Number]),0),MATCH(VLOOKUP(D$7,'Writing Logic'!$J$7:$K$11,2,FALSE)&amp;" - Per "&amp;VLOOKUP($C$4,'Writing Logic'!$G$8:$H$14,2,FALSE),YES_Writing_ELA[#Headers],0)))="INS",'Writing Logic'!$B$7,IF(INDEX(_xlfn.VSTACK(YES_Writing_ELA[#Data],YES_Writing_FLA[#Data]),MATCH($A216,_xlfn.VSTACK(YES_Writing_ELA[Student Number],YES_Writing_FLA[Student Number]),0),MATCH(VLOOKUP(D$7,'Writing Logic'!$J$7:$K$11,2,FALSE)&amp;" - Per "&amp;VLOOKUP($C$4,'Writing Logic'!$G$8:$H$14,2,FALSE),YES_Writing_ELA[#Headers],0))=0,"",INDEX(_xlfn.VSTACK(YES_Writing_ELA[#Data],YES_Writing_FLA[#Data]),MATCH($A216,_xlfn.VSTACK(YES_Writing_ELA[Student Number],YES_Writing_FLA[Student Number]),0),MATCH(VLOOKUP(D$7,'Writing Logic'!$J$7:$K$11,2,FALSE)&amp;" - Per "&amp;VLOOKUP($C$4,'Writing Logic'!$G$8:$H$14,2,FALSE),YES_Writing_ELA[#Headers],0)))),"")</f>
        <v/>
      </c>
      <c r="E216" s="138" t="str">
        <f>IFERROR(IF(IF(INDEX(_xlfn.VSTACK(YES_Writing_ELA[#Data],YES_Writing_FLA[#Data]),MATCH($A216,_xlfn.VSTACK(YES_Writing_ELA[Student Number],YES_Writing_FLA[Student Number]),0),MATCH(VLOOKUP(E$7,'Writing Logic'!$J$7:$K$11,2,FALSE)&amp;" - Per "&amp;VLOOKUP($C$4,'Writing Logic'!$G$8:$H$14,2,FALSE),YES_Writing_ELA[#Headers],0))=0,"",INDEX(_xlfn.VSTACK(YES_Writing_ELA[#Data],YES_Writing_FLA[#Data]),MATCH($A216,_xlfn.VSTACK(YES_Writing_ELA[Student Number],YES_Writing_FLA[Student Number]),0),MATCH(VLOOKUP(E$7,'Writing Logic'!$J$7:$K$11,2,FALSE)&amp;" - Per "&amp;VLOOKUP($C$4,'Writing Logic'!$G$8:$H$14,2,FALSE),YES_Writing_ELA[#Headers],0)))="INS",'Writing Logic'!$B$7,IF(INDEX(_xlfn.VSTACK(YES_Writing_ELA[#Data],YES_Writing_FLA[#Data]),MATCH($A216,_xlfn.VSTACK(YES_Writing_ELA[Student Number],YES_Writing_FLA[Student Number]),0),MATCH(VLOOKUP(E$7,'Writing Logic'!$J$7:$K$11,2,FALSE)&amp;" - Per "&amp;VLOOKUP($C$4,'Writing Logic'!$G$8:$H$14,2,FALSE),YES_Writing_ELA[#Headers],0))=0,"",INDEX(_xlfn.VSTACK(YES_Writing_ELA[#Data],YES_Writing_FLA[#Data]),MATCH($A216,_xlfn.VSTACK(YES_Writing_ELA[Student Number],YES_Writing_FLA[Student Number]),0),MATCH(VLOOKUP(E$7,'Writing Logic'!$J$7:$K$11,2,FALSE)&amp;" - Per "&amp;VLOOKUP($C$4,'Writing Logic'!$G$8:$H$14,2,FALSE),YES_Writing_ELA[#Headers],0)))),"")</f>
        <v/>
      </c>
      <c r="F216" s="138" t="str">
        <f>IFERROR(IF(IF(INDEX(_xlfn.VSTACK(YES_Writing_ELA[#Data],YES_Writing_FLA[#Data]),MATCH($A216,_xlfn.VSTACK(YES_Writing_ELA[Student Number],YES_Writing_FLA[Student Number]),0),MATCH(VLOOKUP(F$7,'Writing Logic'!$J$7:$K$11,2,FALSE)&amp;" - Per "&amp;VLOOKUP($C$4,'Writing Logic'!$G$8:$H$14,2,FALSE),YES_Writing_ELA[#Headers],0))=0,"",INDEX(_xlfn.VSTACK(YES_Writing_ELA[#Data],YES_Writing_FLA[#Data]),MATCH($A216,_xlfn.VSTACK(YES_Writing_ELA[Student Number],YES_Writing_FLA[Student Number]),0),MATCH(VLOOKUP(F$7,'Writing Logic'!$J$7:$K$11,2,FALSE)&amp;" - Per "&amp;VLOOKUP($C$4,'Writing Logic'!$G$8:$H$14,2,FALSE),YES_Writing_ELA[#Headers],0)))="INS",'Writing Logic'!$B$7,IF(INDEX(_xlfn.VSTACK(YES_Writing_ELA[#Data],YES_Writing_FLA[#Data]),MATCH($A216,_xlfn.VSTACK(YES_Writing_ELA[Student Number],YES_Writing_FLA[Student Number]),0),MATCH(VLOOKUP(F$7,'Writing Logic'!$J$7:$K$11,2,FALSE)&amp;" - Per "&amp;VLOOKUP($C$4,'Writing Logic'!$G$8:$H$14,2,FALSE),YES_Writing_ELA[#Headers],0))=0,"",INDEX(_xlfn.VSTACK(YES_Writing_ELA[#Data],YES_Writing_FLA[#Data]),MATCH($A216,_xlfn.VSTACK(YES_Writing_ELA[Student Number],YES_Writing_FLA[Student Number]),0),MATCH(VLOOKUP(F$7,'Writing Logic'!$J$7:$K$11,2,FALSE)&amp;" - Per "&amp;VLOOKUP($C$4,'Writing Logic'!$G$8:$H$14,2,FALSE),YES_Writing_ELA[#Headers],0)))),"")</f>
        <v/>
      </c>
      <c r="G216" s="138" t="str">
        <f>IFERROR(IF(IF(INDEX(_xlfn.VSTACK(YES_Writing_ELA[#Data],YES_Writing_FLA[#Data]),MATCH($A216,_xlfn.VSTACK(YES_Writing_ELA[Student Number],YES_Writing_FLA[Student Number]),0),MATCH(VLOOKUP(G$7,'Writing Logic'!$J$7:$K$11,2,FALSE)&amp;" - Per "&amp;VLOOKUP($C$4,'Writing Logic'!$G$8:$H$14,2,FALSE),YES_Writing_ELA[#Headers],0))=0,"",INDEX(_xlfn.VSTACK(YES_Writing_ELA[#Data],YES_Writing_FLA[#Data]),MATCH($A216,_xlfn.VSTACK(YES_Writing_ELA[Student Number],YES_Writing_FLA[Student Number]),0),MATCH(VLOOKUP(G$7,'Writing Logic'!$J$7:$K$11,2,FALSE)&amp;" - Per "&amp;VLOOKUP($C$4,'Writing Logic'!$G$8:$H$14,2,FALSE),YES_Writing_ELA[#Headers],0)))="INS",'Writing Logic'!$B$7,IF(INDEX(_xlfn.VSTACK(YES_Writing_ELA[#Data],YES_Writing_FLA[#Data]),MATCH($A216,_xlfn.VSTACK(YES_Writing_ELA[Student Number],YES_Writing_FLA[Student Number]),0),MATCH(VLOOKUP(G$7,'Writing Logic'!$J$7:$K$11,2,FALSE)&amp;" - Per "&amp;VLOOKUP($C$4,'Writing Logic'!$G$8:$H$14,2,FALSE),YES_Writing_ELA[#Headers],0))=0,"",INDEX(_xlfn.VSTACK(YES_Writing_ELA[#Data],YES_Writing_FLA[#Data]),MATCH($A216,_xlfn.VSTACK(YES_Writing_ELA[Student Number],YES_Writing_FLA[Student Number]),0),MATCH(VLOOKUP(G$7,'Writing Logic'!$J$7:$K$11,2,FALSE)&amp;" - Per "&amp;VLOOKUP($C$4,'Writing Logic'!$G$8:$H$14,2,FALSE),YES_Writing_ELA[#Headers],0)))),"")</f>
        <v/>
      </c>
      <c r="H216" s="138" t="str">
        <f>IFERROR(IF(IF(INDEX(_xlfn.VSTACK(YES_Writing_ELA[#Data],YES_Writing_FLA[#Data]),MATCH($A216,_xlfn.VSTACK(YES_Writing_ELA[Student Number],YES_Writing_FLA[Student Number]),0),MATCH(VLOOKUP(H$7,'Writing Logic'!$J$7:$K$11,2,FALSE)&amp;" - Per "&amp;VLOOKUP($C$4,'Writing Logic'!$G$8:$H$14,2,FALSE),YES_Writing_ELA[#Headers],0))=0,"",INDEX(_xlfn.VSTACK(YES_Writing_ELA[#Data],YES_Writing_FLA[#Data]),MATCH($A216,_xlfn.VSTACK(YES_Writing_ELA[Student Number],YES_Writing_FLA[Student Number]),0),MATCH(VLOOKUP(H$7,'Writing Logic'!$J$7:$K$11,2,FALSE)&amp;" - Per "&amp;VLOOKUP($C$4,'Writing Logic'!$G$8:$H$14,2,FALSE),YES_Writing_ELA[#Headers],0)))="INS",'Writing Logic'!$B$7,IF(INDEX(_xlfn.VSTACK(YES_Writing_ELA[#Data],YES_Writing_FLA[#Data]),MATCH($A216,_xlfn.VSTACK(YES_Writing_ELA[Student Number],YES_Writing_FLA[Student Number]),0),MATCH(VLOOKUP(H$7,'Writing Logic'!$J$7:$K$11,2,FALSE)&amp;" - Per "&amp;VLOOKUP($C$4,'Writing Logic'!$G$8:$H$14,2,FALSE),YES_Writing_ELA[#Headers],0))=0,"",INDEX(_xlfn.VSTACK(YES_Writing_ELA[#Data],YES_Writing_FLA[#Data]),MATCH($A216,_xlfn.VSTACK(YES_Writing_ELA[Student Number],YES_Writing_FLA[Student Number]),0),MATCH(VLOOKUP(H$7,'Writing Logic'!$J$7:$K$11,2,FALSE)&amp;" - Per "&amp;VLOOKUP($C$4,'Writing Logic'!$G$8:$H$14,2,FALSE),YES_Writing_ELA[#Headers],0)))),"")</f>
        <v/>
      </c>
    </row>
    <row r="217" spans="1:8" x14ac:dyDescent="0.25">
      <c r="A217" s="137"/>
      <c r="B217" s="137" t="str">
        <f>IFERROR(INDEX(_xlfn.VSTACK(YES_Writing_ELA[#Data], YES_Writing_FLA[#Data]),MATCH($A217,_xlfn.VSTACK(YES_Writing_ELA[Student Number], YES_Writing_FLA[Student Number]),0),MATCH(B$7,YES_Writing_ELA[#Headers],0)),"")</f>
        <v/>
      </c>
      <c r="C217" s="137" t="str">
        <f>IFERROR(INDEX(_xlfn.VSTACK(YES_Writing_ELA[#Data], YES_Writing_FLA[#Data]),MATCH($A217,_xlfn.VSTACK(YES_Writing_ELA[Student Number], YES_Writing_FLA[Student Number]),0),MATCH(C$7,YES_Writing_ELA[#Headers],0)),"")</f>
        <v/>
      </c>
      <c r="D217" s="138" t="str">
        <f>IFERROR(IF(IF(INDEX(_xlfn.VSTACK(YES_Writing_ELA[#Data],YES_Writing_FLA[#Data]),MATCH($A217,_xlfn.VSTACK(YES_Writing_ELA[Student Number],YES_Writing_FLA[Student Number]),0),MATCH(VLOOKUP(D$7,'Writing Logic'!$J$7:$K$11,2,FALSE)&amp;" - Per "&amp;VLOOKUP($C$4,'Writing Logic'!$G$8:$H$14,2,FALSE),YES_Writing_ELA[#Headers],0))=0,"",INDEX(_xlfn.VSTACK(YES_Writing_ELA[#Data],YES_Writing_FLA[#Data]),MATCH($A217,_xlfn.VSTACK(YES_Writing_ELA[Student Number],YES_Writing_FLA[Student Number]),0),MATCH(VLOOKUP(D$7,'Writing Logic'!$J$7:$K$11,2,FALSE)&amp;" - Per "&amp;VLOOKUP($C$4,'Writing Logic'!$G$8:$H$14,2,FALSE),YES_Writing_ELA[#Headers],0)))="INS",'Writing Logic'!$B$7,IF(INDEX(_xlfn.VSTACK(YES_Writing_ELA[#Data],YES_Writing_FLA[#Data]),MATCH($A217,_xlfn.VSTACK(YES_Writing_ELA[Student Number],YES_Writing_FLA[Student Number]),0),MATCH(VLOOKUP(D$7,'Writing Logic'!$J$7:$K$11,2,FALSE)&amp;" - Per "&amp;VLOOKUP($C$4,'Writing Logic'!$G$8:$H$14,2,FALSE),YES_Writing_ELA[#Headers],0))=0,"",INDEX(_xlfn.VSTACK(YES_Writing_ELA[#Data],YES_Writing_FLA[#Data]),MATCH($A217,_xlfn.VSTACK(YES_Writing_ELA[Student Number],YES_Writing_FLA[Student Number]),0),MATCH(VLOOKUP(D$7,'Writing Logic'!$J$7:$K$11,2,FALSE)&amp;" - Per "&amp;VLOOKUP($C$4,'Writing Logic'!$G$8:$H$14,2,FALSE),YES_Writing_ELA[#Headers],0)))),"")</f>
        <v/>
      </c>
      <c r="E217" s="138" t="str">
        <f>IFERROR(IF(IF(INDEX(_xlfn.VSTACK(YES_Writing_ELA[#Data],YES_Writing_FLA[#Data]),MATCH($A217,_xlfn.VSTACK(YES_Writing_ELA[Student Number],YES_Writing_FLA[Student Number]),0),MATCH(VLOOKUP(E$7,'Writing Logic'!$J$7:$K$11,2,FALSE)&amp;" - Per "&amp;VLOOKUP($C$4,'Writing Logic'!$G$8:$H$14,2,FALSE),YES_Writing_ELA[#Headers],0))=0,"",INDEX(_xlfn.VSTACK(YES_Writing_ELA[#Data],YES_Writing_FLA[#Data]),MATCH($A217,_xlfn.VSTACK(YES_Writing_ELA[Student Number],YES_Writing_FLA[Student Number]),0),MATCH(VLOOKUP(E$7,'Writing Logic'!$J$7:$K$11,2,FALSE)&amp;" - Per "&amp;VLOOKUP($C$4,'Writing Logic'!$G$8:$H$14,2,FALSE),YES_Writing_ELA[#Headers],0)))="INS",'Writing Logic'!$B$7,IF(INDEX(_xlfn.VSTACK(YES_Writing_ELA[#Data],YES_Writing_FLA[#Data]),MATCH($A217,_xlfn.VSTACK(YES_Writing_ELA[Student Number],YES_Writing_FLA[Student Number]),0),MATCH(VLOOKUP(E$7,'Writing Logic'!$J$7:$K$11,2,FALSE)&amp;" - Per "&amp;VLOOKUP($C$4,'Writing Logic'!$G$8:$H$14,2,FALSE),YES_Writing_ELA[#Headers],0))=0,"",INDEX(_xlfn.VSTACK(YES_Writing_ELA[#Data],YES_Writing_FLA[#Data]),MATCH($A217,_xlfn.VSTACK(YES_Writing_ELA[Student Number],YES_Writing_FLA[Student Number]),0),MATCH(VLOOKUP(E$7,'Writing Logic'!$J$7:$K$11,2,FALSE)&amp;" - Per "&amp;VLOOKUP($C$4,'Writing Logic'!$G$8:$H$14,2,FALSE),YES_Writing_ELA[#Headers],0)))),"")</f>
        <v/>
      </c>
      <c r="F217" s="138" t="str">
        <f>IFERROR(IF(IF(INDEX(_xlfn.VSTACK(YES_Writing_ELA[#Data],YES_Writing_FLA[#Data]),MATCH($A217,_xlfn.VSTACK(YES_Writing_ELA[Student Number],YES_Writing_FLA[Student Number]),0),MATCH(VLOOKUP(F$7,'Writing Logic'!$J$7:$K$11,2,FALSE)&amp;" - Per "&amp;VLOOKUP($C$4,'Writing Logic'!$G$8:$H$14,2,FALSE),YES_Writing_ELA[#Headers],0))=0,"",INDEX(_xlfn.VSTACK(YES_Writing_ELA[#Data],YES_Writing_FLA[#Data]),MATCH($A217,_xlfn.VSTACK(YES_Writing_ELA[Student Number],YES_Writing_FLA[Student Number]),0),MATCH(VLOOKUP(F$7,'Writing Logic'!$J$7:$K$11,2,FALSE)&amp;" - Per "&amp;VLOOKUP($C$4,'Writing Logic'!$G$8:$H$14,2,FALSE),YES_Writing_ELA[#Headers],0)))="INS",'Writing Logic'!$B$7,IF(INDEX(_xlfn.VSTACK(YES_Writing_ELA[#Data],YES_Writing_FLA[#Data]),MATCH($A217,_xlfn.VSTACK(YES_Writing_ELA[Student Number],YES_Writing_FLA[Student Number]),0),MATCH(VLOOKUP(F$7,'Writing Logic'!$J$7:$K$11,2,FALSE)&amp;" - Per "&amp;VLOOKUP($C$4,'Writing Logic'!$G$8:$H$14,2,FALSE),YES_Writing_ELA[#Headers],0))=0,"",INDEX(_xlfn.VSTACK(YES_Writing_ELA[#Data],YES_Writing_FLA[#Data]),MATCH($A217,_xlfn.VSTACK(YES_Writing_ELA[Student Number],YES_Writing_FLA[Student Number]),0),MATCH(VLOOKUP(F$7,'Writing Logic'!$J$7:$K$11,2,FALSE)&amp;" - Per "&amp;VLOOKUP($C$4,'Writing Logic'!$G$8:$H$14,2,FALSE),YES_Writing_ELA[#Headers],0)))),"")</f>
        <v/>
      </c>
      <c r="G217" s="138" t="str">
        <f>IFERROR(IF(IF(INDEX(_xlfn.VSTACK(YES_Writing_ELA[#Data],YES_Writing_FLA[#Data]),MATCH($A217,_xlfn.VSTACK(YES_Writing_ELA[Student Number],YES_Writing_FLA[Student Number]),0),MATCH(VLOOKUP(G$7,'Writing Logic'!$J$7:$K$11,2,FALSE)&amp;" - Per "&amp;VLOOKUP($C$4,'Writing Logic'!$G$8:$H$14,2,FALSE),YES_Writing_ELA[#Headers],0))=0,"",INDEX(_xlfn.VSTACK(YES_Writing_ELA[#Data],YES_Writing_FLA[#Data]),MATCH($A217,_xlfn.VSTACK(YES_Writing_ELA[Student Number],YES_Writing_FLA[Student Number]),0),MATCH(VLOOKUP(G$7,'Writing Logic'!$J$7:$K$11,2,FALSE)&amp;" - Per "&amp;VLOOKUP($C$4,'Writing Logic'!$G$8:$H$14,2,FALSE),YES_Writing_ELA[#Headers],0)))="INS",'Writing Logic'!$B$7,IF(INDEX(_xlfn.VSTACK(YES_Writing_ELA[#Data],YES_Writing_FLA[#Data]),MATCH($A217,_xlfn.VSTACK(YES_Writing_ELA[Student Number],YES_Writing_FLA[Student Number]),0),MATCH(VLOOKUP(G$7,'Writing Logic'!$J$7:$K$11,2,FALSE)&amp;" - Per "&amp;VLOOKUP($C$4,'Writing Logic'!$G$8:$H$14,2,FALSE),YES_Writing_ELA[#Headers],0))=0,"",INDEX(_xlfn.VSTACK(YES_Writing_ELA[#Data],YES_Writing_FLA[#Data]),MATCH($A217,_xlfn.VSTACK(YES_Writing_ELA[Student Number],YES_Writing_FLA[Student Number]),0),MATCH(VLOOKUP(G$7,'Writing Logic'!$J$7:$K$11,2,FALSE)&amp;" - Per "&amp;VLOOKUP($C$4,'Writing Logic'!$G$8:$H$14,2,FALSE),YES_Writing_ELA[#Headers],0)))),"")</f>
        <v/>
      </c>
      <c r="H217" s="138" t="str">
        <f>IFERROR(IF(IF(INDEX(_xlfn.VSTACK(YES_Writing_ELA[#Data],YES_Writing_FLA[#Data]),MATCH($A217,_xlfn.VSTACK(YES_Writing_ELA[Student Number],YES_Writing_FLA[Student Number]),0),MATCH(VLOOKUP(H$7,'Writing Logic'!$J$7:$K$11,2,FALSE)&amp;" - Per "&amp;VLOOKUP($C$4,'Writing Logic'!$G$8:$H$14,2,FALSE),YES_Writing_ELA[#Headers],0))=0,"",INDEX(_xlfn.VSTACK(YES_Writing_ELA[#Data],YES_Writing_FLA[#Data]),MATCH($A217,_xlfn.VSTACK(YES_Writing_ELA[Student Number],YES_Writing_FLA[Student Number]),0),MATCH(VLOOKUP(H$7,'Writing Logic'!$J$7:$K$11,2,FALSE)&amp;" - Per "&amp;VLOOKUP($C$4,'Writing Logic'!$G$8:$H$14,2,FALSE),YES_Writing_ELA[#Headers],0)))="INS",'Writing Logic'!$B$7,IF(INDEX(_xlfn.VSTACK(YES_Writing_ELA[#Data],YES_Writing_FLA[#Data]),MATCH($A217,_xlfn.VSTACK(YES_Writing_ELA[Student Number],YES_Writing_FLA[Student Number]),0),MATCH(VLOOKUP(H$7,'Writing Logic'!$J$7:$K$11,2,FALSE)&amp;" - Per "&amp;VLOOKUP($C$4,'Writing Logic'!$G$8:$H$14,2,FALSE),YES_Writing_ELA[#Headers],0))=0,"",INDEX(_xlfn.VSTACK(YES_Writing_ELA[#Data],YES_Writing_FLA[#Data]),MATCH($A217,_xlfn.VSTACK(YES_Writing_ELA[Student Number],YES_Writing_FLA[Student Number]),0),MATCH(VLOOKUP(H$7,'Writing Logic'!$J$7:$K$11,2,FALSE)&amp;" - Per "&amp;VLOOKUP($C$4,'Writing Logic'!$G$8:$H$14,2,FALSE),YES_Writing_ELA[#Headers],0)))),"")</f>
        <v/>
      </c>
    </row>
    <row r="218" spans="1:8" x14ac:dyDescent="0.25">
      <c r="A218" s="137"/>
      <c r="B218" s="137" t="str">
        <f>IFERROR(INDEX(_xlfn.VSTACK(YES_Writing_ELA[#Data], YES_Writing_FLA[#Data]),MATCH($A218,_xlfn.VSTACK(YES_Writing_ELA[Student Number], YES_Writing_FLA[Student Number]),0),MATCH(B$7,YES_Writing_ELA[#Headers],0)),"")</f>
        <v/>
      </c>
      <c r="C218" s="137" t="str">
        <f>IFERROR(INDEX(_xlfn.VSTACK(YES_Writing_ELA[#Data], YES_Writing_FLA[#Data]),MATCH($A218,_xlfn.VSTACK(YES_Writing_ELA[Student Number], YES_Writing_FLA[Student Number]),0),MATCH(C$7,YES_Writing_ELA[#Headers],0)),"")</f>
        <v/>
      </c>
      <c r="D218" s="138" t="str">
        <f>IFERROR(IF(IF(INDEX(_xlfn.VSTACK(YES_Writing_ELA[#Data],YES_Writing_FLA[#Data]),MATCH($A218,_xlfn.VSTACK(YES_Writing_ELA[Student Number],YES_Writing_FLA[Student Number]),0),MATCH(VLOOKUP(D$7,'Writing Logic'!$J$7:$K$11,2,FALSE)&amp;" - Per "&amp;VLOOKUP($C$4,'Writing Logic'!$G$8:$H$14,2,FALSE),YES_Writing_ELA[#Headers],0))=0,"",INDEX(_xlfn.VSTACK(YES_Writing_ELA[#Data],YES_Writing_FLA[#Data]),MATCH($A218,_xlfn.VSTACK(YES_Writing_ELA[Student Number],YES_Writing_FLA[Student Number]),0),MATCH(VLOOKUP(D$7,'Writing Logic'!$J$7:$K$11,2,FALSE)&amp;" - Per "&amp;VLOOKUP($C$4,'Writing Logic'!$G$8:$H$14,2,FALSE),YES_Writing_ELA[#Headers],0)))="INS",'Writing Logic'!$B$7,IF(INDEX(_xlfn.VSTACK(YES_Writing_ELA[#Data],YES_Writing_FLA[#Data]),MATCH($A218,_xlfn.VSTACK(YES_Writing_ELA[Student Number],YES_Writing_FLA[Student Number]),0),MATCH(VLOOKUP(D$7,'Writing Logic'!$J$7:$K$11,2,FALSE)&amp;" - Per "&amp;VLOOKUP($C$4,'Writing Logic'!$G$8:$H$14,2,FALSE),YES_Writing_ELA[#Headers],0))=0,"",INDEX(_xlfn.VSTACK(YES_Writing_ELA[#Data],YES_Writing_FLA[#Data]),MATCH($A218,_xlfn.VSTACK(YES_Writing_ELA[Student Number],YES_Writing_FLA[Student Number]),0),MATCH(VLOOKUP(D$7,'Writing Logic'!$J$7:$K$11,2,FALSE)&amp;" - Per "&amp;VLOOKUP($C$4,'Writing Logic'!$G$8:$H$14,2,FALSE),YES_Writing_ELA[#Headers],0)))),"")</f>
        <v/>
      </c>
      <c r="E218" s="138" t="str">
        <f>IFERROR(IF(IF(INDEX(_xlfn.VSTACK(YES_Writing_ELA[#Data],YES_Writing_FLA[#Data]),MATCH($A218,_xlfn.VSTACK(YES_Writing_ELA[Student Number],YES_Writing_FLA[Student Number]),0),MATCH(VLOOKUP(E$7,'Writing Logic'!$J$7:$K$11,2,FALSE)&amp;" - Per "&amp;VLOOKUP($C$4,'Writing Logic'!$G$8:$H$14,2,FALSE),YES_Writing_ELA[#Headers],0))=0,"",INDEX(_xlfn.VSTACK(YES_Writing_ELA[#Data],YES_Writing_FLA[#Data]),MATCH($A218,_xlfn.VSTACK(YES_Writing_ELA[Student Number],YES_Writing_FLA[Student Number]),0),MATCH(VLOOKUP(E$7,'Writing Logic'!$J$7:$K$11,2,FALSE)&amp;" - Per "&amp;VLOOKUP($C$4,'Writing Logic'!$G$8:$H$14,2,FALSE),YES_Writing_ELA[#Headers],0)))="INS",'Writing Logic'!$B$7,IF(INDEX(_xlfn.VSTACK(YES_Writing_ELA[#Data],YES_Writing_FLA[#Data]),MATCH($A218,_xlfn.VSTACK(YES_Writing_ELA[Student Number],YES_Writing_FLA[Student Number]),0),MATCH(VLOOKUP(E$7,'Writing Logic'!$J$7:$K$11,2,FALSE)&amp;" - Per "&amp;VLOOKUP($C$4,'Writing Logic'!$G$8:$H$14,2,FALSE),YES_Writing_ELA[#Headers],0))=0,"",INDEX(_xlfn.VSTACK(YES_Writing_ELA[#Data],YES_Writing_FLA[#Data]),MATCH($A218,_xlfn.VSTACK(YES_Writing_ELA[Student Number],YES_Writing_FLA[Student Number]),0),MATCH(VLOOKUP(E$7,'Writing Logic'!$J$7:$K$11,2,FALSE)&amp;" - Per "&amp;VLOOKUP($C$4,'Writing Logic'!$G$8:$H$14,2,FALSE),YES_Writing_ELA[#Headers],0)))),"")</f>
        <v/>
      </c>
      <c r="F218" s="138" t="str">
        <f>IFERROR(IF(IF(INDEX(_xlfn.VSTACK(YES_Writing_ELA[#Data],YES_Writing_FLA[#Data]),MATCH($A218,_xlfn.VSTACK(YES_Writing_ELA[Student Number],YES_Writing_FLA[Student Number]),0),MATCH(VLOOKUP(F$7,'Writing Logic'!$J$7:$K$11,2,FALSE)&amp;" - Per "&amp;VLOOKUP($C$4,'Writing Logic'!$G$8:$H$14,2,FALSE),YES_Writing_ELA[#Headers],0))=0,"",INDEX(_xlfn.VSTACK(YES_Writing_ELA[#Data],YES_Writing_FLA[#Data]),MATCH($A218,_xlfn.VSTACK(YES_Writing_ELA[Student Number],YES_Writing_FLA[Student Number]),0),MATCH(VLOOKUP(F$7,'Writing Logic'!$J$7:$K$11,2,FALSE)&amp;" - Per "&amp;VLOOKUP($C$4,'Writing Logic'!$G$8:$H$14,2,FALSE),YES_Writing_ELA[#Headers],0)))="INS",'Writing Logic'!$B$7,IF(INDEX(_xlfn.VSTACK(YES_Writing_ELA[#Data],YES_Writing_FLA[#Data]),MATCH($A218,_xlfn.VSTACK(YES_Writing_ELA[Student Number],YES_Writing_FLA[Student Number]),0),MATCH(VLOOKUP(F$7,'Writing Logic'!$J$7:$K$11,2,FALSE)&amp;" - Per "&amp;VLOOKUP($C$4,'Writing Logic'!$G$8:$H$14,2,FALSE),YES_Writing_ELA[#Headers],0))=0,"",INDEX(_xlfn.VSTACK(YES_Writing_ELA[#Data],YES_Writing_FLA[#Data]),MATCH($A218,_xlfn.VSTACK(YES_Writing_ELA[Student Number],YES_Writing_FLA[Student Number]),0),MATCH(VLOOKUP(F$7,'Writing Logic'!$J$7:$K$11,2,FALSE)&amp;" - Per "&amp;VLOOKUP($C$4,'Writing Logic'!$G$8:$H$14,2,FALSE),YES_Writing_ELA[#Headers],0)))),"")</f>
        <v/>
      </c>
      <c r="G218" s="138" t="str">
        <f>IFERROR(IF(IF(INDEX(_xlfn.VSTACK(YES_Writing_ELA[#Data],YES_Writing_FLA[#Data]),MATCH($A218,_xlfn.VSTACK(YES_Writing_ELA[Student Number],YES_Writing_FLA[Student Number]),0),MATCH(VLOOKUP(G$7,'Writing Logic'!$J$7:$K$11,2,FALSE)&amp;" - Per "&amp;VLOOKUP($C$4,'Writing Logic'!$G$8:$H$14,2,FALSE),YES_Writing_ELA[#Headers],0))=0,"",INDEX(_xlfn.VSTACK(YES_Writing_ELA[#Data],YES_Writing_FLA[#Data]),MATCH($A218,_xlfn.VSTACK(YES_Writing_ELA[Student Number],YES_Writing_FLA[Student Number]),0),MATCH(VLOOKUP(G$7,'Writing Logic'!$J$7:$K$11,2,FALSE)&amp;" - Per "&amp;VLOOKUP($C$4,'Writing Logic'!$G$8:$H$14,2,FALSE),YES_Writing_ELA[#Headers],0)))="INS",'Writing Logic'!$B$7,IF(INDEX(_xlfn.VSTACK(YES_Writing_ELA[#Data],YES_Writing_FLA[#Data]),MATCH($A218,_xlfn.VSTACK(YES_Writing_ELA[Student Number],YES_Writing_FLA[Student Number]),0),MATCH(VLOOKUP(G$7,'Writing Logic'!$J$7:$K$11,2,FALSE)&amp;" - Per "&amp;VLOOKUP($C$4,'Writing Logic'!$G$8:$H$14,2,FALSE),YES_Writing_ELA[#Headers],0))=0,"",INDEX(_xlfn.VSTACK(YES_Writing_ELA[#Data],YES_Writing_FLA[#Data]),MATCH($A218,_xlfn.VSTACK(YES_Writing_ELA[Student Number],YES_Writing_FLA[Student Number]),0),MATCH(VLOOKUP(G$7,'Writing Logic'!$J$7:$K$11,2,FALSE)&amp;" - Per "&amp;VLOOKUP($C$4,'Writing Logic'!$G$8:$H$14,2,FALSE),YES_Writing_ELA[#Headers],0)))),"")</f>
        <v/>
      </c>
      <c r="H218" s="138" t="str">
        <f>IFERROR(IF(IF(INDEX(_xlfn.VSTACK(YES_Writing_ELA[#Data],YES_Writing_FLA[#Data]),MATCH($A218,_xlfn.VSTACK(YES_Writing_ELA[Student Number],YES_Writing_FLA[Student Number]),0),MATCH(VLOOKUP(H$7,'Writing Logic'!$J$7:$K$11,2,FALSE)&amp;" - Per "&amp;VLOOKUP($C$4,'Writing Logic'!$G$8:$H$14,2,FALSE),YES_Writing_ELA[#Headers],0))=0,"",INDEX(_xlfn.VSTACK(YES_Writing_ELA[#Data],YES_Writing_FLA[#Data]),MATCH($A218,_xlfn.VSTACK(YES_Writing_ELA[Student Number],YES_Writing_FLA[Student Number]),0),MATCH(VLOOKUP(H$7,'Writing Logic'!$J$7:$K$11,2,FALSE)&amp;" - Per "&amp;VLOOKUP($C$4,'Writing Logic'!$G$8:$H$14,2,FALSE),YES_Writing_ELA[#Headers],0)))="INS",'Writing Logic'!$B$7,IF(INDEX(_xlfn.VSTACK(YES_Writing_ELA[#Data],YES_Writing_FLA[#Data]),MATCH($A218,_xlfn.VSTACK(YES_Writing_ELA[Student Number],YES_Writing_FLA[Student Number]),0),MATCH(VLOOKUP(H$7,'Writing Logic'!$J$7:$K$11,2,FALSE)&amp;" - Per "&amp;VLOOKUP($C$4,'Writing Logic'!$G$8:$H$14,2,FALSE),YES_Writing_ELA[#Headers],0))=0,"",INDEX(_xlfn.VSTACK(YES_Writing_ELA[#Data],YES_Writing_FLA[#Data]),MATCH($A218,_xlfn.VSTACK(YES_Writing_ELA[Student Number],YES_Writing_FLA[Student Number]),0),MATCH(VLOOKUP(H$7,'Writing Logic'!$J$7:$K$11,2,FALSE)&amp;" - Per "&amp;VLOOKUP($C$4,'Writing Logic'!$G$8:$H$14,2,FALSE),YES_Writing_ELA[#Headers],0)))),"")</f>
        <v/>
      </c>
    </row>
    <row r="219" spans="1:8" x14ac:dyDescent="0.25">
      <c r="A219" s="137"/>
      <c r="B219" s="137" t="str">
        <f>IFERROR(INDEX(_xlfn.VSTACK(YES_Writing_ELA[#Data], YES_Writing_FLA[#Data]),MATCH($A219,_xlfn.VSTACK(YES_Writing_ELA[Student Number], YES_Writing_FLA[Student Number]),0),MATCH(B$7,YES_Writing_ELA[#Headers],0)),"")</f>
        <v/>
      </c>
      <c r="C219" s="137" t="str">
        <f>IFERROR(INDEX(_xlfn.VSTACK(YES_Writing_ELA[#Data], YES_Writing_FLA[#Data]),MATCH($A219,_xlfn.VSTACK(YES_Writing_ELA[Student Number], YES_Writing_FLA[Student Number]),0),MATCH(C$7,YES_Writing_ELA[#Headers],0)),"")</f>
        <v/>
      </c>
      <c r="D219" s="138" t="str">
        <f>IFERROR(IF(IF(INDEX(_xlfn.VSTACK(YES_Writing_ELA[#Data],YES_Writing_FLA[#Data]),MATCH($A219,_xlfn.VSTACK(YES_Writing_ELA[Student Number],YES_Writing_FLA[Student Number]),0),MATCH(VLOOKUP(D$7,'Writing Logic'!$J$7:$K$11,2,FALSE)&amp;" - Per "&amp;VLOOKUP($C$4,'Writing Logic'!$G$8:$H$14,2,FALSE),YES_Writing_ELA[#Headers],0))=0,"",INDEX(_xlfn.VSTACK(YES_Writing_ELA[#Data],YES_Writing_FLA[#Data]),MATCH($A219,_xlfn.VSTACK(YES_Writing_ELA[Student Number],YES_Writing_FLA[Student Number]),0),MATCH(VLOOKUP(D$7,'Writing Logic'!$J$7:$K$11,2,FALSE)&amp;" - Per "&amp;VLOOKUP($C$4,'Writing Logic'!$G$8:$H$14,2,FALSE),YES_Writing_ELA[#Headers],0)))="INS",'Writing Logic'!$B$7,IF(INDEX(_xlfn.VSTACK(YES_Writing_ELA[#Data],YES_Writing_FLA[#Data]),MATCH($A219,_xlfn.VSTACK(YES_Writing_ELA[Student Number],YES_Writing_FLA[Student Number]),0),MATCH(VLOOKUP(D$7,'Writing Logic'!$J$7:$K$11,2,FALSE)&amp;" - Per "&amp;VLOOKUP($C$4,'Writing Logic'!$G$8:$H$14,2,FALSE),YES_Writing_ELA[#Headers],0))=0,"",INDEX(_xlfn.VSTACK(YES_Writing_ELA[#Data],YES_Writing_FLA[#Data]),MATCH($A219,_xlfn.VSTACK(YES_Writing_ELA[Student Number],YES_Writing_FLA[Student Number]),0),MATCH(VLOOKUP(D$7,'Writing Logic'!$J$7:$K$11,2,FALSE)&amp;" - Per "&amp;VLOOKUP($C$4,'Writing Logic'!$G$8:$H$14,2,FALSE),YES_Writing_ELA[#Headers],0)))),"")</f>
        <v/>
      </c>
      <c r="E219" s="138" t="str">
        <f>IFERROR(IF(IF(INDEX(_xlfn.VSTACK(YES_Writing_ELA[#Data],YES_Writing_FLA[#Data]),MATCH($A219,_xlfn.VSTACK(YES_Writing_ELA[Student Number],YES_Writing_FLA[Student Number]),0),MATCH(VLOOKUP(E$7,'Writing Logic'!$J$7:$K$11,2,FALSE)&amp;" - Per "&amp;VLOOKUP($C$4,'Writing Logic'!$G$8:$H$14,2,FALSE),YES_Writing_ELA[#Headers],0))=0,"",INDEX(_xlfn.VSTACK(YES_Writing_ELA[#Data],YES_Writing_FLA[#Data]),MATCH($A219,_xlfn.VSTACK(YES_Writing_ELA[Student Number],YES_Writing_FLA[Student Number]),0),MATCH(VLOOKUP(E$7,'Writing Logic'!$J$7:$K$11,2,FALSE)&amp;" - Per "&amp;VLOOKUP($C$4,'Writing Logic'!$G$8:$H$14,2,FALSE),YES_Writing_ELA[#Headers],0)))="INS",'Writing Logic'!$B$7,IF(INDEX(_xlfn.VSTACK(YES_Writing_ELA[#Data],YES_Writing_FLA[#Data]),MATCH($A219,_xlfn.VSTACK(YES_Writing_ELA[Student Number],YES_Writing_FLA[Student Number]),0),MATCH(VLOOKUP(E$7,'Writing Logic'!$J$7:$K$11,2,FALSE)&amp;" - Per "&amp;VLOOKUP($C$4,'Writing Logic'!$G$8:$H$14,2,FALSE),YES_Writing_ELA[#Headers],0))=0,"",INDEX(_xlfn.VSTACK(YES_Writing_ELA[#Data],YES_Writing_FLA[#Data]),MATCH($A219,_xlfn.VSTACK(YES_Writing_ELA[Student Number],YES_Writing_FLA[Student Number]),0),MATCH(VLOOKUP(E$7,'Writing Logic'!$J$7:$K$11,2,FALSE)&amp;" - Per "&amp;VLOOKUP($C$4,'Writing Logic'!$G$8:$H$14,2,FALSE),YES_Writing_ELA[#Headers],0)))),"")</f>
        <v/>
      </c>
      <c r="F219" s="138" t="str">
        <f>IFERROR(IF(IF(INDEX(_xlfn.VSTACK(YES_Writing_ELA[#Data],YES_Writing_FLA[#Data]),MATCH($A219,_xlfn.VSTACK(YES_Writing_ELA[Student Number],YES_Writing_FLA[Student Number]),0),MATCH(VLOOKUP(F$7,'Writing Logic'!$J$7:$K$11,2,FALSE)&amp;" - Per "&amp;VLOOKUP($C$4,'Writing Logic'!$G$8:$H$14,2,FALSE),YES_Writing_ELA[#Headers],0))=0,"",INDEX(_xlfn.VSTACK(YES_Writing_ELA[#Data],YES_Writing_FLA[#Data]),MATCH($A219,_xlfn.VSTACK(YES_Writing_ELA[Student Number],YES_Writing_FLA[Student Number]),0),MATCH(VLOOKUP(F$7,'Writing Logic'!$J$7:$K$11,2,FALSE)&amp;" - Per "&amp;VLOOKUP($C$4,'Writing Logic'!$G$8:$H$14,2,FALSE),YES_Writing_ELA[#Headers],0)))="INS",'Writing Logic'!$B$7,IF(INDEX(_xlfn.VSTACK(YES_Writing_ELA[#Data],YES_Writing_FLA[#Data]),MATCH($A219,_xlfn.VSTACK(YES_Writing_ELA[Student Number],YES_Writing_FLA[Student Number]),0),MATCH(VLOOKUP(F$7,'Writing Logic'!$J$7:$K$11,2,FALSE)&amp;" - Per "&amp;VLOOKUP($C$4,'Writing Logic'!$G$8:$H$14,2,FALSE),YES_Writing_ELA[#Headers],0))=0,"",INDEX(_xlfn.VSTACK(YES_Writing_ELA[#Data],YES_Writing_FLA[#Data]),MATCH($A219,_xlfn.VSTACK(YES_Writing_ELA[Student Number],YES_Writing_FLA[Student Number]),0),MATCH(VLOOKUP(F$7,'Writing Logic'!$J$7:$K$11,2,FALSE)&amp;" - Per "&amp;VLOOKUP($C$4,'Writing Logic'!$G$8:$H$14,2,FALSE),YES_Writing_ELA[#Headers],0)))),"")</f>
        <v/>
      </c>
      <c r="G219" s="138" t="str">
        <f>IFERROR(IF(IF(INDEX(_xlfn.VSTACK(YES_Writing_ELA[#Data],YES_Writing_FLA[#Data]),MATCH($A219,_xlfn.VSTACK(YES_Writing_ELA[Student Number],YES_Writing_FLA[Student Number]),0),MATCH(VLOOKUP(G$7,'Writing Logic'!$J$7:$K$11,2,FALSE)&amp;" - Per "&amp;VLOOKUP($C$4,'Writing Logic'!$G$8:$H$14,2,FALSE),YES_Writing_ELA[#Headers],0))=0,"",INDEX(_xlfn.VSTACK(YES_Writing_ELA[#Data],YES_Writing_FLA[#Data]),MATCH($A219,_xlfn.VSTACK(YES_Writing_ELA[Student Number],YES_Writing_FLA[Student Number]),0),MATCH(VLOOKUP(G$7,'Writing Logic'!$J$7:$K$11,2,FALSE)&amp;" - Per "&amp;VLOOKUP($C$4,'Writing Logic'!$G$8:$H$14,2,FALSE),YES_Writing_ELA[#Headers],0)))="INS",'Writing Logic'!$B$7,IF(INDEX(_xlfn.VSTACK(YES_Writing_ELA[#Data],YES_Writing_FLA[#Data]),MATCH($A219,_xlfn.VSTACK(YES_Writing_ELA[Student Number],YES_Writing_FLA[Student Number]),0),MATCH(VLOOKUP(G$7,'Writing Logic'!$J$7:$K$11,2,FALSE)&amp;" - Per "&amp;VLOOKUP($C$4,'Writing Logic'!$G$8:$H$14,2,FALSE),YES_Writing_ELA[#Headers],0))=0,"",INDEX(_xlfn.VSTACK(YES_Writing_ELA[#Data],YES_Writing_FLA[#Data]),MATCH($A219,_xlfn.VSTACK(YES_Writing_ELA[Student Number],YES_Writing_FLA[Student Number]),0),MATCH(VLOOKUP(G$7,'Writing Logic'!$J$7:$K$11,2,FALSE)&amp;" - Per "&amp;VLOOKUP($C$4,'Writing Logic'!$G$8:$H$14,2,FALSE),YES_Writing_ELA[#Headers],0)))),"")</f>
        <v/>
      </c>
      <c r="H219" s="138" t="str">
        <f>IFERROR(IF(IF(INDEX(_xlfn.VSTACK(YES_Writing_ELA[#Data],YES_Writing_FLA[#Data]),MATCH($A219,_xlfn.VSTACK(YES_Writing_ELA[Student Number],YES_Writing_FLA[Student Number]),0),MATCH(VLOOKUP(H$7,'Writing Logic'!$J$7:$K$11,2,FALSE)&amp;" - Per "&amp;VLOOKUP($C$4,'Writing Logic'!$G$8:$H$14,2,FALSE),YES_Writing_ELA[#Headers],0))=0,"",INDEX(_xlfn.VSTACK(YES_Writing_ELA[#Data],YES_Writing_FLA[#Data]),MATCH($A219,_xlfn.VSTACK(YES_Writing_ELA[Student Number],YES_Writing_FLA[Student Number]),0),MATCH(VLOOKUP(H$7,'Writing Logic'!$J$7:$K$11,2,FALSE)&amp;" - Per "&amp;VLOOKUP($C$4,'Writing Logic'!$G$8:$H$14,2,FALSE),YES_Writing_ELA[#Headers],0)))="INS",'Writing Logic'!$B$7,IF(INDEX(_xlfn.VSTACK(YES_Writing_ELA[#Data],YES_Writing_FLA[#Data]),MATCH($A219,_xlfn.VSTACK(YES_Writing_ELA[Student Number],YES_Writing_FLA[Student Number]),0),MATCH(VLOOKUP(H$7,'Writing Logic'!$J$7:$K$11,2,FALSE)&amp;" - Per "&amp;VLOOKUP($C$4,'Writing Logic'!$G$8:$H$14,2,FALSE),YES_Writing_ELA[#Headers],0))=0,"",INDEX(_xlfn.VSTACK(YES_Writing_ELA[#Data],YES_Writing_FLA[#Data]),MATCH($A219,_xlfn.VSTACK(YES_Writing_ELA[Student Number],YES_Writing_FLA[Student Number]),0),MATCH(VLOOKUP(H$7,'Writing Logic'!$J$7:$K$11,2,FALSE)&amp;" - Per "&amp;VLOOKUP($C$4,'Writing Logic'!$G$8:$H$14,2,FALSE),YES_Writing_ELA[#Headers],0)))),"")</f>
        <v/>
      </c>
    </row>
    <row r="220" spans="1:8" x14ac:dyDescent="0.25">
      <c r="A220" s="137"/>
      <c r="B220" s="137" t="str">
        <f>IFERROR(INDEX(_xlfn.VSTACK(YES_Writing_ELA[#Data], YES_Writing_FLA[#Data]),MATCH($A220,_xlfn.VSTACK(YES_Writing_ELA[Student Number], YES_Writing_FLA[Student Number]),0),MATCH(B$7,YES_Writing_ELA[#Headers],0)),"")</f>
        <v/>
      </c>
      <c r="C220" s="137" t="str">
        <f>IFERROR(INDEX(_xlfn.VSTACK(YES_Writing_ELA[#Data], YES_Writing_FLA[#Data]),MATCH($A220,_xlfn.VSTACK(YES_Writing_ELA[Student Number], YES_Writing_FLA[Student Number]),0),MATCH(C$7,YES_Writing_ELA[#Headers],0)),"")</f>
        <v/>
      </c>
      <c r="D220" s="138" t="str">
        <f>IFERROR(IF(IF(INDEX(_xlfn.VSTACK(YES_Writing_ELA[#Data],YES_Writing_FLA[#Data]),MATCH($A220,_xlfn.VSTACK(YES_Writing_ELA[Student Number],YES_Writing_FLA[Student Number]),0),MATCH(VLOOKUP(D$7,'Writing Logic'!$J$7:$K$11,2,FALSE)&amp;" - Per "&amp;VLOOKUP($C$4,'Writing Logic'!$G$8:$H$14,2,FALSE),YES_Writing_ELA[#Headers],0))=0,"",INDEX(_xlfn.VSTACK(YES_Writing_ELA[#Data],YES_Writing_FLA[#Data]),MATCH($A220,_xlfn.VSTACK(YES_Writing_ELA[Student Number],YES_Writing_FLA[Student Number]),0),MATCH(VLOOKUP(D$7,'Writing Logic'!$J$7:$K$11,2,FALSE)&amp;" - Per "&amp;VLOOKUP($C$4,'Writing Logic'!$G$8:$H$14,2,FALSE),YES_Writing_ELA[#Headers],0)))="INS",'Writing Logic'!$B$7,IF(INDEX(_xlfn.VSTACK(YES_Writing_ELA[#Data],YES_Writing_FLA[#Data]),MATCH($A220,_xlfn.VSTACK(YES_Writing_ELA[Student Number],YES_Writing_FLA[Student Number]),0),MATCH(VLOOKUP(D$7,'Writing Logic'!$J$7:$K$11,2,FALSE)&amp;" - Per "&amp;VLOOKUP($C$4,'Writing Logic'!$G$8:$H$14,2,FALSE),YES_Writing_ELA[#Headers],0))=0,"",INDEX(_xlfn.VSTACK(YES_Writing_ELA[#Data],YES_Writing_FLA[#Data]),MATCH($A220,_xlfn.VSTACK(YES_Writing_ELA[Student Number],YES_Writing_FLA[Student Number]),0),MATCH(VLOOKUP(D$7,'Writing Logic'!$J$7:$K$11,2,FALSE)&amp;" - Per "&amp;VLOOKUP($C$4,'Writing Logic'!$G$8:$H$14,2,FALSE),YES_Writing_ELA[#Headers],0)))),"")</f>
        <v/>
      </c>
      <c r="E220" s="138" t="str">
        <f>IFERROR(IF(IF(INDEX(_xlfn.VSTACK(YES_Writing_ELA[#Data],YES_Writing_FLA[#Data]),MATCH($A220,_xlfn.VSTACK(YES_Writing_ELA[Student Number],YES_Writing_FLA[Student Number]),0),MATCH(VLOOKUP(E$7,'Writing Logic'!$J$7:$K$11,2,FALSE)&amp;" - Per "&amp;VLOOKUP($C$4,'Writing Logic'!$G$8:$H$14,2,FALSE),YES_Writing_ELA[#Headers],0))=0,"",INDEX(_xlfn.VSTACK(YES_Writing_ELA[#Data],YES_Writing_FLA[#Data]),MATCH($A220,_xlfn.VSTACK(YES_Writing_ELA[Student Number],YES_Writing_FLA[Student Number]),0),MATCH(VLOOKUP(E$7,'Writing Logic'!$J$7:$K$11,2,FALSE)&amp;" - Per "&amp;VLOOKUP($C$4,'Writing Logic'!$G$8:$H$14,2,FALSE),YES_Writing_ELA[#Headers],0)))="INS",'Writing Logic'!$B$7,IF(INDEX(_xlfn.VSTACK(YES_Writing_ELA[#Data],YES_Writing_FLA[#Data]),MATCH($A220,_xlfn.VSTACK(YES_Writing_ELA[Student Number],YES_Writing_FLA[Student Number]),0),MATCH(VLOOKUP(E$7,'Writing Logic'!$J$7:$K$11,2,FALSE)&amp;" - Per "&amp;VLOOKUP($C$4,'Writing Logic'!$G$8:$H$14,2,FALSE),YES_Writing_ELA[#Headers],0))=0,"",INDEX(_xlfn.VSTACK(YES_Writing_ELA[#Data],YES_Writing_FLA[#Data]),MATCH($A220,_xlfn.VSTACK(YES_Writing_ELA[Student Number],YES_Writing_FLA[Student Number]),0),MATCH(VLOOKUP(E$7,'Writing Logic'!$J$7:$K$11,2,FALSE)&amp;" - Per "&amp;VLOOKUP($C$4,'Writing Logic'!$G$8:$H$14,2,FALSE),YES_Writing_ELA[#Headers],0)))),"")</f>
        <v/>
      </c>
      <c r="F220" s="138" t="str">
        <f>IFERROR(IF(IF(INDEX(_xlfn.VSTACK(YES_Writing_ELA[#Data],YES_Writing_FLA[#Data]),MATCH($A220,_xlfn.VSTACK(YES_Writing_ELA[Student Number],YES_Writing_FLA[Student Number]),0),MATCH(VLOOKUP(F$7,'Writing Logic'!$J$7:$K$11,2,FALSE)&amp;" - Per "&amp;VLOOKUP($C$4,'Writing Logic'!$G$8:$H$14,2,FALSE),YES_Writing_ELA[#Headers],0))=0,"",INDEX(_xlfn.VSTACK(YES_Writing_ELA[#Data],YES_Writing_FLA[#Data]),MATCH($A220,_xlfn.VSTACK(YES_Writing_ELA[Student Number],YES_Writing_FLA[Student Number]),0),MATCH(VLOOKUP(F$7,'Writing Logic'!$J$7:$K$11,2,FALSE)&amp;" - Per "&amp;VLOOKUP($C$4,'Writing Logic'!$G$8:$H$14,2,FALSE),YES_Writing_ELA[#Headers],0)))="INS",'Writing Logic'!$B$7,IF(INDEX(_xlfn.VSTACK(YES_Writing_ELA[#Data],YES_Writing_FLA[#Data]),MATCH($A220,_xlfn.VSTACK(YES_Writing_ELA[Student Number],YES_Writing_FLA[Student Number]),0),MATCH(VLOOKUP(F$7,'Writing Logic'!$J$7:$K$11,2,FALSE)&amp;" - Per "&amp;VLOOKUP($C$4,'Writing Logic'!$G$8:$H$14,2,FALSE),YES_Writing_ELA[#Headers],0))=0,"",INDEX(_xlfn.VSTACK(YES_Writing_ELA[#Data],YES_Writing_FLA[#Data]),MATCH($A220,_xlfn.VSTACK(YES_Writing_ELA[Student Number],YES_Writing_FLA[Student Number]),0),MATCH(VLOOKUP(F$7,'Writing Logic'!$J$7:$K$11,2,FALSE)&amp;" - Per "&amp;VLOOKUP($C$4,'Writing Logic'!$G$8:$H$14,2,FALSE),YES_Writing_ELA[#Headers],0)))),"")</f>
        <v/>
      </c>
      <c r="G220" s="138" t="str">
        <f>IFERROR(IF(IF(INDEX(_xlfn.VSTACK(YES_Writing_ELA[#Data],YES_Writing_FLA[#Data]),MATCH($A220,_xlfn.VSTACK(YES_Writing_ELA[Student Number],YES_Writing_FLA[Student Number]),0),MATCH(VLOOKUP(G$7,'Writing Logic'!$J$7:$K$11,2,FALSE)&amp;" - Per "&amp;VLOOKUP($C$4,'Writing Logic'!$G$8:$H$14,2,FALSE),YES_Writing_ELA[#Headers],0))=0,"",INDEX(_xlfn.VSTACK(YES_Writing_ELA[#Data],YES_Writing_FLA[#Data]),MATCH($A220,_xlfn.VSTACK(YES_Writing_ELA[Student Number],YES_Writing_FLA[Student Number]),0),MATCH(VLOOKUP(G$7,'Writing Logic'!$J$7:$K$11,2,FALSE)&amp;" - Per "&amp;VLOOKUP($C$4,'Writing Logic'!$G$8:$H$14,2,FALSE),YES_Writing_ELA[#Headers],0)))="INS",'Writing Logic'!$B$7,IF(INDEX(_xlfn.VSTACK(YES_Writing_ELA[#Data],YES_Writing_FLA[#Data]),MATCH($A220,_xlfn.VSTACK(YES_Writing_ELA[Student Number],YES_Writing_FLA[Student Number]),0),MATCH(VLOOKUP(G$7,'Writing Logic'!$J$7:$K$11,2,FALSE)&amp;" - Per "&amp;VLOOKUP($C$4,'Writing Logic'!$G$8:$H$14,2,FALSE),YES_Writing_ELA[#Headers],0))=0,"",INDEX(_xlfn.VSTACK(YES_Writing_ELA[#Data],YES_Writing_FLA[#Data]),MATCH($A220,_xlfn.VSTACK(YES_Writing_ELA[Student Number],YES_Writing_FLA[Student Number]),0),MATCH(VLOOKUP(G$7,'Writing Logic'!$J$7:$K$11,2,FALSE)&amp;" - Per "&amp;VLOOKUP($C$4,'Writing Logic'!$G$8:$H$14,2,FALSE),YES_Writing_ELA[#Headers],0)))),"")</f>
        <v/>
      </c>
      <c r="H220" s="138" t="str">
        <f>IFERROR(IF(IF(INDEX(_xlfn.VSTACK(YES_Writing_ELA[#Data],YES_Writing_FLA[#Data]),MATCH($A220,_xlfn.VSTACK(YES_Writing_ELA[Student Number],YES_Writing_FLA[Student Number]),0),MATCH(VLOOKUP(H$7,'Writing Logic'!$J$7:$K$11,2,FALSE)&amp;" - Per "&amp;VLOOKUP($C$4,'Writing Logic'!$G$8:$H$14,2,FALSE),YES_Writing_ELA[#Headers],0))=0,"",INDEX(_xlfn.VSTACK(YES_Writing_ELA[#Data],YES_Writing_FLA[#Data]),MATCH($A220,_xlfn.VSTACK(YES_Writing_ELA[Student Number],YES_Writing_FLA[Student Number]),0),MATCH(VLOOKUP(H$7,'Writing Logic'!$J$7:$K$11,2,FALSE)&amp;" - Per "&amp;VLOOKUP($C$4,'Writing Logic'!$G$8:$H$14,2,FALSE),YES_Writing_ELA[#Headers],0)))="INS",'Writing Logic'!$B$7,IF(INDEX(_xlfn.VSTACK(YES_Writing_ELA[#Data],YES_Writing_FLA[#Data]),MATCH($A220,_xlfn.VSTACK(YES_Writing_ELA[Student Number],YES_Writing_FLA[Student Number]),0),MATCH(VLOOKUP(H$7,'Writing Logic'!$J$7:$K$11,2,FALSE)&amp;" - Per "&amp;VLOOKUP($C$4,'Writing Logic'!$G$8:$H$14,2,FALSE),YES_Writing_ELA[#Headers],0))=0,"",INDEX(_xlfn.VSTACK(YES_Writing_ELA[#Data],YES_Writing_FLA[#Data]),MATCH($A220,_xlfn.VSTACK(YES_Writing_ELA[Student Number],YES_Writing_FLA[Student Number]),0),MATCH(VLOOKUP(H$7,'Writing Logic'!$J$7:$K$11,2,FALSE)&amp;" - Per "&amp;VLOOKUP($C$4,'Writing Logic'!$G$8:$H$14,2,FALSE),YES_Writing_ELA[#Headers],0)))),"")</f>
        <v/>
      </c>
    </row>
    <row r="221" spans="1:8" x14ac:dyDescent="0.25">
      <c r="A221" s="137"/>
      <c r="B221" s="137" t="str">
        <f>IFERROR(INDEX(_xlfn.VSTACK(YES_Writing_ELA[#Data], YES_Writing_FLA[#Data]),MATCH($A221,_xlfn.VSTACK(YES_Writing_ELA[Student Number], YES_Writing_FLA[Student Number]),0),MATCH(B$7,YES_Writing_ELA[#Headers],0)),"")</f>
        <v/>
      </c>
      <c r="C221" s="137" t="str">
        <f>IFERROR(INDEX(_xlfn.VSTACK(YES_Writing_ELA[#Data], YES_Writing_FLA[#Data]),MATCH($A221,_xlfn.VSTACK(YES_Writing_ELA[Student Number], YES_Writing_FLA[Student Number]),0),MATCH(C$7,YES_Writing_ELA[#Headers],0)),"")</f>
        <v/>
      </c>
      <c r="D221" s="138" t="str">
        <f>IFERROR(IF(IF(INDEX(_xlfn.VSTACK(YES_Writing_ELA[#Data],YES_Writing_FLA[#Data]),MATCH($A221,_xlfn.VSTACK(YES_Writing_ELA[Student Number],YES_Writing_FLA[Student Number]),0),MATCH(VLOOKUP(D$7,'Writing Logic'!$J$7:$K$11,2,FALSE)&amp;" - Per "&amp;VLOOKUP($C$4,'Writing Logic'!$G$8:$H$14,2,FALSE),YES_Writing_ELA[#Headers],0))=0,"",INDEX(_xlfn.VSTACK(YES_Writing_ELA[#Data],YES_Writing_FLA[#Data]),MATCH($A221,_xlfn.VSTACK(YES_Writing_ELA[Student Number],YES_Writing_FLA[Student Number]),0),MATCH(VLOOKUP(D$7,'Writing Logic'!$J$7:$K$11,2,FALSE)&amp;" - Per "&amp;VLOOKUP($C$4,'Writing Logic'!$G$8:$H$14,2,FALSE),YES_Writing_ELA[#Headers],0)))="INS",'Writing Logic'!$B$7,IF(INDEX(_xlfn.VSTACK(YES_Writing_ELA[#Data],YES_Writing_FLA[#Data]),MATCH($A221,_xlfn.VSTACK(YES_Writing_ELA[Student Number],YES_Writing_FLA[Student Number]),0),MATCH(VLOOKUP(D$7,'Writing Logic'!$J$7:$K$11,2,FALSE)&amp;" - Per "&amp;VLOOKUP($C$4,'Writing Logic'!$G$8:$H$14,2,FALSE),YES_Writing_ELA[#Headers],0))=0,"",INDEX(_xlfn.VSTACK(YES_Writing_ELA[#Data],YES_Writing_FLA[#Data]),MATCH($A221,_xlfn.VSTACK(YES_Writing_ELA[Student Number],YES_Writing_FLA[Student Number]),0),MATCH(VLOOKUP(D$7,'Writing Logic'!$J$7:$K$11,2,FALSE)&amp;" - Per "&amp;VLOOKUP($C$4,'Writing Logic'!$G$8:$H$14,2,FALSE),YES_Writing_ELA[#Headers],0)))),"")</f>
        <v/>
      </c>
      <c r="E221" s="138" t="str">
        <f>IFERROR(IF(IF(INDEX(_xlfn.VSTACK(YES_Writing_ELA[#Data],YES_Writing_FLA[#Data]),MATCH($A221,_xlfn.VSTACK(YES_Writing_ELA[Student Number],YES_Writing_FLA[Student Number]),0),MATCH(VLOOKUP(E$7,'Writing Logic'!$J$7:$K$11,2,FALSE)&amp;" - Per "&amp;VLOOKUP($C$4,'Writing Logic'!$G$8:$H$14,2,FALSE),YES_Writing_ELA[#Headers],0))=0,"",INDEX(_xlfn.VSTACK(YES_Writing_ELA[#Data],YES_Writing_FLA[#Data]),MATCH($A221,_xlfn.VSTACK(YES_Writing_ELA[Student Number],YES_Writing_FLA[Student Number]),0),MATCH(VLOOKUP(E$7,'Writing Logic'!$J$7:$K$11,2,FALSE)&amp;" - Per "&amp;VLOOKUP($C$4,'Writing Logic'!$G$8:$H$14,2,FALSE),YES_Writing_ELA[#Headers],0)))="INS",'Writing Logic'!$B$7,IF(INDEX(_xlfn.VSTACK(YES_Writing_ELA[#Data],YES_Writing_FLA[#Data]),MATCH($A221,_xlfn.VSTACK(YES_Writing_ELA[Student Number],YES_Writing_FLA[Student Number]),0),MATCH(VLOOKUP(E$7,'Writing Logic'!$J$7:$K$11,2,FALSE)&amp;" - Per "&amp;VLOOKUP($C$4,'Writing Logic'!$G$8:$H$14,2,FALSE),YES_Writing_ELA[#Headers],0))=0,"",INDEX(_xlfn.VSTACK(YES_Writing_ELA[#Data],YES_Writing_FLA[#Data]),MATCH($A221,_xlfn.VSTACK(YES_Writing_ELA[Student Number],YES_Writing_FLA[Student Number]),0),MATCH(VLOOKUP(E$7,'Writing Logic'!$J$7:$K$11,2,FALSE)&amp;" - Per "&amp;VLOOKUP($C$4,'Writing Logic'!$G$8:$H$14,2,FALSE),YES_Writing_ELA[#Headers],0)))),"")</f>
        <v/>
      </c>
      <c r="F221" s="138" t="str">
        <f>IFERROR(IF(IF(INDEX(_xlfn.VSTACK(YES_Writing_ELA[#Data],YES_Writing_FLA[#Data]),MATCH($A221,_xlfn.VSTACK(YES_Writing_ELA[Student Number],YES_Writing_FLA[Student Number]),0),MATCH(VLOOKUP(F$7,'Writing Logic'!$J$7:$K$11,2,FALSE)&amp;" - Per "&amp;VLOOKUP($C$4,'Writing Logic'!$G$8:$H$14,2,FALSE),YES_Writing_ELA[#Headers],0))=0,"",INDEX(_xlfn.VSTACK(YES_Writing_ELA[#Data],YES_Writing_FLA[#Data]),MATCH($A221,_xlfn.VSTACK(YES_Writing_ELA[Student Number],YES_Writing_FLA[Student Number]),0),MATCH(VLOOKUP(F$7,'Writing Logic'!$J$7:$K$11,2,FALSE)&amp;" - Per "&amp;VLOOKUP($C$4,'Writing Logic'!$G$8:$H$14,2,FALSE),YES_Writing_ELA[#Headers],0)))="INS",'Writing Logic'!$B$7,IF(INDEX(_xlfn.VSTACK(YES_Writing_ELA[#Data],YES_Writing_FLA[#Data]),MATCH($A221,_xlfn.VSTACK(YES_Writing_ELA[Student Number],YES_Writing_FLA[Student Number]),0),MATCH(VLOOKUP(F$7,'Writing Logic'!$J$7:$K$11,2,FALSE)&amp;" - Per "&amp;VLOOKUP($C$4,'Writing Logic'!$G$8:$H$14,2,FALSE),YES_Writing_ELA[#Headers],0))=0,"",INDEX(_xlfn.VSTACK(YES_Writing_ELA[#Data],YES_Writing_FLA[#Data]),MATCH($A221,_xlfn.VSTACK(YES_Writing_ELA[Student Number],YES_Writing_FLA[Student Number]),0),MATCH(VLOOKUP(F$7,'Writing Logic'!$J$7:$K$11,2,FALSE)&amp;" - Per "&amp;VLOOKUP($C$4,'Writing Logic'!$G$8:$H$14,2,FALSE),YES_Writing_ELA[#Headers],0)))),"")</f>
        <v/>
      </c>
      <c r="G221" s="138" t="str">
        <f>IFERROR(IF(IF(INDEX(_xlfn.VSTACK(YES_Writing_ELA[#Data],YES_Writing_FLA[#Data]),MATCH($A221,_xlfn.VSTACK(YES_Writing_ELA[Student Number],YES_Writing_FLA[Student Number]),0),MATCH(VLOOKUP(G$7,'Writing Logic'!$J$7:$K$11,2,FALSE)&amp;" - Per "&amp;VLOOKUP($C$4,'Writing Logic'!$G$8:$H$14,2,FALSE),YES_Writing_ELA[#Headers],0))=0,"",INDEX(_xlfn.VSTACK(YES_Writing_ELA[#Data],YES_Writing_FLA[#Data]),MATCH($A221,_xlfn.VSTACK(YES_Writing_ELA[Student Number],YES_Writing_FLA[Student Number]),0),MATCH(VLOOKUP(G$7,'Writing Logic'!$J$7:$K$11,2,FALSE)&amp;" - Per "&amp;VLOOKUP($C$4,'Writing Logic'!$G$8:$H$14,2,FALSE),YES_Writing_ELA[#Headers],0)))="INS",'Writing Logic'!$B$7,IF(INDEX(_xlfn.VSTACK(YES_Writing_ELA[#Data],YES_Writing_FLA[#Data]),MATCH($A221,_xlfn.VSTACK(YES_Writing_ELA[Student Number],YES_Writing_FLA[Student Number]),0),MATCH(VLOOKUP(G$7,'Writing Logic'!$J$7:$K$11,2,FALSE)&amp;" - Per "&amp;VLOOKUP($C$4,'Writing Logic'!$G$8:$H$14,2,FALSE),YES_Writing_ELA[#Headers],0))=0,"",INDEX(_xlfn.VSTACK(YES_Writing_ELA[#Data],YES_Writing_FLA[#Data]),MATCH($A221,_xlfn.VSTACK(YES_Writing_ELA[Student Number],YES_Writing_FLA[Student Number]),0),MATCH(VLOOKUP(G$7,'Writing Logic'!$J$7:$K$11,2,FALSE)&amp;" - Per "&amp;VLOOKUP($C$4,'Writing Logic'!$G$8:$H$14,2,FALSE),YES_Writing_ELA[#Headers],0)))),"")</f>
        <v/>
      </c>
      <c r="H221" s="138" t="str">
        <f>IFERROR(IF(IF(INDEX(_xlfn.VSTACK(YES_Writing_ELA[#Data],YES_Writing_FLA[#Data]),MATCH($A221,_xlfn.VSTACK(YES_Writing_ELA[Student Number],YES_Writing_FLA[Student Number]),0),MATCH(VLOOKUP(H$7,'Writing Logic'!$J$7:$K$11,2,FALSE)&amp;" - Per "&amp;VLOOKUP($C$4,'Writing Logic'!$G$8:$H$14,2,FALSE),YES_Writing_ELA[#Headers],0))=0,"",INDEX(_xlfn.VSTACK(YES_Writing_ELA[#Data],YES_Writing_FLA[#Data]),MATCH($A221,_xlfn.VSTACK(YES_Writing_ELA[Student Number],YES_Writing_FLA[Student Number]),0),MATCH(VLOOKUP(H$7,'Writing Logic'!$J$7:$K$11,2,FALSE)&amp;" - Per "&amp;VLOOKUP($C$4,'Writing Logic'!$G$8:$H$14,2,FALSE),YES_Writing_ELA[#Headers],0)))="INS",'Writing Logic'!$B$7,IF(INDEX(_xlfn.VSTACK(YES_Writing_ELA[#Data],YES_Writing_FLA[#Data]),MATCH($A221,_xlfn.VSTACK(YES_Writing_ELA[Student Number],YES_Writing_FLA[Student Number]),0),MATCH(VLOOKUP(H$7,'Writing Logic'!$J$7:$K$11,2,FALSE)&amp;" - Per "&amp;VLOOKUP($C$4,'Writing Logic'!$G$8:$H$14,2,FALSE),YES_Writing_ELA[#Headers],0))=0,"",INDEX(_xlfn.VSTACK(YES_Writing_ELA[#Data],YES_Writing_FLA[#Data]),MATCH($A221,_xlfn.VSTACK(YES_Writing_ELA[Student Number],YES_Writing_FLA[Student Number]),0),MATCH(VLOOKUP(H$7,'Writing Logic'!$J$7:$K$11,2,FALSE)&amp;" - Per "&amp;VLOOKUP($C$4,'Writing Logic'!$G$8:$H$14,2,FALSE),YES_Writing_ELA[#Headers],0)))),"")</f>
        <v/>
      </c>
    </row>
    <row r="222" spans="1:8" x14ac:dyDescent="0.25">
      <c r="A222" s="137"/>
      <c r="B222" s="137" t="str">
        <f>IFERROR(INDEX(_xlfn.VSTACK(YES_Writing_ELA[#Data], YES_Writing_FLA[#Data]),MATCH($A222,_xlfn.VSTACK(YES_Writing_ELA[Student Number], YES_Writing_FLA[Student Number]),0),MATCH(B$7,YES_Writing_ELA[#Headers],0)),"")</f>
        <v/>
      </c>
      <c r="C222" s="137" t="str">
        <f>IFERROR(INDEX(_xlfn.VSTACK(YES_Writing_ELA[#Data], YES_Writing_FLA[#Data]),MATCH($A222,_xlfn.VSTACK(YES_Writing_ELA[Student Number], YES_Writing_FLA[Student Number]),0),MATCH(C$7,YES_Writing_ELA[#Headers],0)),"")</f>
        <v/>
      </c>
      <c r="D222" s="138" t="str">
        <f>IFERROR(IF(IF(INDEX(_xlfn.VSTACK(YES_Writing_ELA[#Data],YES_Writing_FLA[#Data]),MATCH($A222,_xlfn.VSTACK(YES_Writing_ELA[Student Number],YES_Writing_FLA[Student Number]),0),MATCH(VLOOKUP(D$7,'Writing Logic'!$J$7:$K$11,2,FALSE)&amp;" - Per "&amp;VLOOKUP($C$4,'Writing Logic'!$G$8:$H$14,2,FALSE),YES_Writing_ELA[#Headers],0))=0,"",INDEX(_xlfn.VSTACK(YES_Writing_ELA[#Data],YES_Writing_FLA[#Data]),MATCH($A222,_xlfn.VSTACK(YES_Writing_ELA[Student Number],YES_Writing_FLA[Student Number]),0),MATCH(VLOOKUP(D$7,'Writing Logic'!$J$7:$K$11,2,FALSE)&amp;" - Per "&amp;VLOOKUP($C$4,'Writing Logic'!$G$8:$H$14,2,FALSE),YES_Writing_ELA[#Headers],0)))="INS",'Writing Logic'!$B$7,IF(INDEX(_xlfn.VSTACK(YES_Writing_ELA[#Data],YES_Writing_FLA[#Data]),MATCH($A222,_xlfn.VSTACK(YES_Writing_ELA[Student Number],YES_Writing_FLA[Student Number]),0),MATCH(VLOOKUP(D$7,'Writing Logic'!$J$7:$K$11,2,FALSE)&amp;" - Per "&amp;VLOOKUP($C$4,'Writing Logic'!$G$8:$H$14,2,FALSE),YES_Writing_ELA[#Headers],0))=0,"",INDEX(_xlfn.VSTACK(YES_Writing_ELA[#Data],YES_Writing_FLA[#Data]),MATCH($A222,_xlfn.VSTACK(YES_Writing_ELA[Student Number],YES_Writing_FLA[Student Number]),0),MATCH(VLOOKUP(D$7,'Writing Logic'!$J$7:$K$11,2,FALSE)&amp;" - Per "&amp;VLOOKUP($C$4,'Writing Logic'!$G$8:$H$14,2,FALSE),YES_Writing_ELA[#Headers],0)))),"")</f>
        <v/>
      </c>
      <c r="E222" s="138" t="str">
        <f>IFERROR(IF(IF(INDEX(_xlfn.VSTACK(YES_Writing_ELA[#Data],YES_Writing_FLA[#Data]),MATCH($A222,_xlfn.VSTACK(YES_Writing_ELA[Student Number],YES_Writing_FLA[Student Number]),0),MATCH(VLOOKUP(E$7,'Writing Logic'!$J$7:$K$11,2,FALSE)&amp;" - Per "&amp;VLOOKUP($C$4,'Writing Logic'!$G$8:$H$14,2,FALSE),YES_Writing_ELA[#Headers],0))=0,"",INDEX(_xlfn.VSTACK(YES_Writing_ELA[#Data],YES_Writing_FLA[#Data]),MATCH($A222,_xlfn.VSTACK(YES_Writing_ELA[Student Number],YES_Writing_FLA[Student Number]),0),MATCH(VLOOKUP(E$7,'Writing Logic'!$J$7:$K$11,2,FALSE)&amp;" - Per "&amp;VLOOKUP($C$4,'Writing Logic'!$G$8:$H$14,2,FALSE),YES_Writing_ELA[#Headers],0)))="INS",'Writing Logic'!$B$7,IF(INDEX(_xlfn.VSTACK(YES_Writing_ELA[#Data],YES_Writing_FLA[#Data]),MATCH($A222,_xlfn.VSTACK(YES_Writing_ELA[Student Number],YES_Writing_FLA[Student Number]),0),MATCH(VLOOKUP(E$7,'Writing Logic'!$J$7:$K$11,2,FALSE)&amp;" - Per "&amp;VLOOKUP($C$4,'Writing Logic'!$G$8:$H$14,2,FALSE),YES_Writing_ELA[#Headers],0))=0,"",INDEX(_xlfn.VSTACK(YES_Writing_ELA[#Data],YES_Writing_FLA[#Data]),MATCH($A222,_xlfn.VSTACK(YES_Writing_ELA[Student Number],YES_Writing_FLA[Student Number]),0),MATCH(VLOOKUP(E$7,'Writing Logic'!$J$7:$K$11,2,FALSE)&amp;" - Per "&amp;VLOOKUP($C$4,'Writing Logic'!$G$8:$H$14,2,FALSE),YES_Writing_ELA[#Headers],0)))),"")</f>
        <v/>
      </c>
      <c r="F222" s="138" t="str">
        <f>IFERROR(IF(IF(INDEX(_xlfn.VSTACK(YES_Writing_ELA[#Data],YES_Writing_FLA[#Data]),MATCH($A222,_xlfn.VSTACK(YES_Writing_ELA[Student Number],YES_Writing_FLA[Student Number]),0),MATCH(VLOOKUP(F$7,'Writing Logic'!$J$7:$K$11,2,FALSE)&amp;" - Per "&amp;VLOOKUP($C$4,'Writing Logic'!$G$8:$H$14,2,FALSE),YES_Writing_ELA[#Headers],0))=0,"",INDEX(_xlfn.VSTACK(YES_Writing_ELA[#Data],YES_Writing_FLA[#Data]),MATCH($A222,_xlfn.VSTACK(YES_Writing_ELA[Student Number],YES_Writing_FLA[Student Number]),0),MATCH(VLOOKUP(F$7,'Writing Logic'!$J$7:$K$11,2,FALSE)&amp;" - Per "&amp;VLOOKUP($C$4,'Writing Logic'!$G$8:$H$14,2,FALSE),YES_Writing_ELA[#Headers],0)))="INS",'Writing Logic'!$B$7,IF(INDEX(_xlfn.VSTACK(YES_Writing_ELA[#Data],YES_Writing_FLA[#Data]),MATCH($A222,_xlfn.VSTACK(YES_Writing_ELA[Student Number],YES_Writing_FLA[Student Number]),0),MATCH(VLOOKUP(F$7,'Writing Logic'!$J$7:$K$11,2,FALSE)&amp;" - Per "&amp;VLOOKUP($C$4,'Writing Logic'!$G$8:$H$14,2,FALSE),YES_Writing_ELA[#Headers],0))=0,"",INDEX(_xlfn.VSTACK(YES_Writing_ELA[#Data],YES_Writing_FLA[#Data]),MATCH($A222,_xlfn.VSTACK(YES_Writing_ELA[Student Number],YES_Writing_FLA[Student Number]),0),MATCH(VLOOKUP(F$7,'Writing Logic'!$J$7:$K$11,2,FALSE)&amp;" - Per "&amp;VLOOKUP($C$4,'Writing Logic'!$G$8:$H$14,2,FALSE),YES_Writing_ELA[#Headers],0)))),"")</f>
        <v/>
      </c>
      <c r="G222" s="138" t="str">
        <f>IFERROR(IF(IF(INDEX(_xlfn.VSTACK(YES_Writing_ELA[#Data],YES_Writing_FLA[#Data]),MATCH($A222,_xlfn.VSTACK(YES_Writing_ELA[Student Number],YES_Writing_FLA[Student Number]),0),MATCH(VLOOKUP(G$7,'Writing Logic'!$J$7:$K$11,2,FALSE)&amp;" - Per "&amp;VLOOKUP($C$4,'Writing Logic'!$G$8:$H$14,2,FALSE),YES_Writing_ELA[#Headers],0))=0,"",INDEX(_xlfn.VSTACK(YES_Writing_ELA[#Data],YES_Writing_FLA[#Data]),MATCH($A222,_xlfn.VSTACK(YES_Writing_ELA[Student Number],YES_Writing_FLA[Student Number]),0),MATCH(VLOOKUP(G$7,'Writing Logic'!$J$7:$K$11,2,FALSE)&amp;" - Per "&amp;VLOOKUP($C$4,'Writing Logic'!$G$8:$H$14,2,FALSE),YES_Writing_ELA[#Headers],0)))="INS",'Writing Logic'!$B$7,IF(INDEX(_xlfn.VSTACK(YES_Writing_ELA[#Data],YES_Writing_FLA[#Data]),MATCH($A222,_xlfn.VSTACK(YES_Writing_ELA[Student Number],YES_Writing_FLA[Student Number]),0),MATCH(VLOOKUP(G$7,'Writing Logic'!$J$7:$K$11,2,FALSE)&amp;" - Per "&amp;VLOOKUP($C$4,'Writing Logic'!$G$8:$H$14,2,FALSE),YES_Writing_ELA[#Headers],0))=0,"",INDEX(_xlfn.VSTACK(YES_Writing_ELA[#Data],YES_Writing_FLA[#Data]),MATCH($A222,_xlfn.VSTACK(YES_Writing_ELA[Student Number],YES_Writing_FLA[Student Number]),0),MATCH(VLOOKUP(G$7,'Writing Logic'!$J$7:$K$11,2,FALSE)&amp;" - Per "&amp;VLOOKUP($C$4,'Writing Logic'!$G$8:$H$14,2,FALSE),YES_Writing_ELA[#Headers],0)))),"")</f>
        <v/>
      </c>
      <c r="H222" s="138" t="str">
        <f>IFERROR(IF(IF(INDEX(_xlfn.VSTACK(YES_Writing_ELA[#Data],YES_Writing_FLA[#Data]),MATCH($A222,_xlfn.VSTACK(YES_Writing_ELA[Student Number],YES_Writing_FLA[Student Number]),0),MATCH(VLOOKUP(H$7,'Writing Logic'!$J$7:$K$11,2,FALSE)&amp;" - Per "&amp;VLOOKUP($C$4,'Writing Logic'!$G$8:$H$14,2,FALSE),YES_Writing_ELA[#Headers],0))=0,"",INDEX(_xlfn.VSTACK(YES_Writing_ELA[#Data],YES_Writing_FLA[#Data]),MATCH($A222,_xlfn.VSTACK(YES_Writing_ELA[Student Number],YES_Writing_FLA[Student Number]),0),MATCH(VLOOKUP(H$7,'Writing Logic'!$J$7:$K$11,2,FALSE)&amp;" - Per "&amp;VLOOKUP($C$4,'Writing Logic'!$G$8:$H$14,2,FALSE),YES_Writing_ELA[#Headers],0)))="INS",'Writing Logic'!$B$7,IF(INDEX(_xlfn.VSTACK(YES_Writing_ELA[#Data],YES_Writing_FLA[#Data]),MATCH($A222,_xlfn.VSTACK(YES_Writing_ELA[Student Number],YES_Writing_FLA[Student Number]),0),MATCH(VLOOKUP(H$7,'Writing Logic'!$J$7:$K$11,2,FALSE)&amp;" - Per "&amp;VLOOKUP($C$4,'Writing Logic'!$G$8:$H$14,2,FALSE),YES_Writing_ELA[#Headers],0))=0,"",INDEX(_xlfn.VSTACK(YES_Writing_ELA[#Data],YES_Writing_FLA[#Data]),MATCH($A222,_xlfn.VSTACK(YES_Writing_ELA[Student Number],YES_Writing_FLA[Student Number]),0),MATCH(VLOOKUP(H$7,'Writing Logic'!$J$7:$K$11,2,FALSE)&amp;" - Per "&amp;VLOOKUP($C$4,'Writing Logic'!$G$8:$H$14,2,FALSE),YES_Writing_ELA[#Headers],0)))),"")</f>
        <v/>
      </c>
    </row>
    <row r="223" spans="1:8" x14ac:dyDescent="0.25">
      <c r="A223" s="137"/>
      <c r="B223" s="137" t="str">
        <f>IFERROR(INDEX(_xlfn.VSTACK(YES_Writing_ELA[#Data], YES_Writing_FLA[#Data]),MATCH($A223,_xlfn.VSTACK(YES_Writing_ELA[Student Number], YES_Writing_FLA[Student Number]),0),MATCH(B$7,YES_Writing_ELA[#Headers],0)),"")</f>
        <v/>
      </c>
      <c r="C223" s="137" t="str">
        <f>IFERROR(INDEX(_xlfn.VSTACK(YES_Writing_ELA[#Data], YES_Writing_FLA[#Data]),MATCH($A223,_xlfn.VSTACK(YES_Writing_ELA[Student Number], YES_Writing_FLA[Student Number]),0),MATCH(C$7,YES_Writing_ELA[#Headers],0)),"")</f>
        <v/>
      </c>
      <c r="D223" s="138" t="str">
        <f>IFERROR(IF(IF(INDEX(_xlfn.VSTACK(YES_Writing_ELA[#Data],YES_Writing_FLA[#Data]),MATCH($A223,_xlfn.VSTACK(YES_Writing_ELA[Student Number],YES_Writing_FLA[Student Number]),0),MATCH(VLOOKUP(D$7,'Writing Logic'!$J$7:$K$11,2,FALSE)&amp;" - Per "&amp;VLOOKUP($C$4,'Writing Logic'!$G$8:$H$14,2,FALSE),YES_Writing_ELA[#Headers],0))=0,"",INDEX(_xlfn.VSTACK(YES_Writing_ELA[#Data],YES_Writing_FLA[#Data]),MATCH($A223,_xlfn.VSTACK(YES_Writing_ELA[Student Number],YES_Writing_FLA[Student Number]),0),MATCH(VLOOKUP(D$7,'Writing Logic'!$J$7:$K$11,2,FALSE)&amp;" - Per "&amp;VLOOKUP($C$4,'Writing Logic'!$G$8:$H$14,2,FALSE),YES_Writing_ELA[#Headers],0)))="INS",'Writing Logic'!$B$7,IF(INDEX(_xlfn.VSTACK(YES_Writing_ELA[#Data],YES_Writing_FLA[#Data]),MATCH($A223,_xlfn.VSTACK(YES_Writing_ELA[Student Number],YES_Writing_FLA[Student Number]),0),MATCH(VLOOKUP(D$7,'Writing Logic'!$J$7:$K$11,2,FALSE)&amp;" - Per "&amp;VLOOKUP($C$4,'Writing Logic'!$G$8:$H$14,2,FALSE),YES_Writing_ELA[#Headers],0))=0,"",INDEX(_xlfn.VSTACK(YES_Writing_ELA[#Data],YES_Writing_FLA[#Data]),MATCH($A223,_xlfn.VSTACK(YES_Writing_ELA[Student Number],YES_Writing_FLA[Student Number]),0),MATCH(VLOOKUP(D$7,'Writing Logic'!$J$7:$K$11,2,FALSE)&amp;" - Per "&amp;VLOOKUP($C$4,'Writing Logic'!$G$8:$H$14,2,FALSE),YES_Writing_ELA[#Headers],0)))),"")</f>
        <v/>
      </c>
      <c r="E223" s="138" t="str">
        <f>IFERROR(IF(IF(INDEX(_xlfn.VSTACK(YES_Writing_ELA[#Data],YES_Writing_FLA[#Data]),MATCH($A223,_xlfn.VSTACK(YES_Writing_ELA[Student Number],YES_Writing_FLA[Student Number]),0),MATCH(VLOOKUP(E$7,'Writing Logic'!$J$7:$K$11,2,FALSE)&amp;" - Per "&amp;VLOOKUP($C$4,'Writing Logic'!$G$8:$H$14,2,FALSE),YES_Writing_ELA[#Headers],0))=0,"",INDEX(_xlfn.VSTACK(YES_Writing_ELA[#Data],YES_Writing_FLA[#Data]),MATCH($A223,_xlfn.VSTACK(YES_Writing_ELA[Student Number],YES_Writing_FLA[Student Number]),0),MATCH(VLOOKUP(E$7,'Writing Logic'!$J$7:$K$11,2,FALSE)&amp;" - Per "&amp;VLOOKUP($C$4,'Writing Logic'!$G$8:$H$14,2,FALSE),YES_Writing_ELA[#Headers],0)))="INS",'Writing Logic'!$B$7,IF(INDEX(_xlfn.VSTACK(YES_Writing_ELA[#Data],YES_Writing_FLA[#Data]),MATCH($A223,_xlfn.VSTACK(YES_Writing_ELA[Student Number],YES_Writing_FLA[Student Number]),0),MATCH(VLOOKUP(E$7,'Writing Logic'!$J$7:$K$11,2,FALSE)&amp;" - Per "&amp;VLOOKUP($C$4,'Writing Logic'!$G$8:$H$14,2,FALSE),YES_Writing_ELA[#Headers],0))=0,"",INDEX(_xlfn.VSTACK(YES_Writing_ELA[#Data],YES_Writing_FLA[#Data]),MATCH($A223,_xlfn.VSTACK(YES_Writing_ELA[Student Number],YES_Writing_FLA[Student Number]),0),MATCH(VLOOKUP(E$7,'Writing Logic'!$J$7:$K$11,2,FALSE)&amp;" - Per "&amp;VLOOKUP($C$4,'Writing Logic'!$G$8:$H$14,2,FALSE),YES_Writing_ELA[#Headers],0)))),"")</f>
        <v/>
      </c>
      <c r="F223" s="138" t="str">
        <f>IFERROR(IF(IF(INDEX(_xlfn.VSTACK(YES_Writing_ELA[#Data],YES_Writing_FLA[#Data]),MATCH($A223,_xlfn.VSTACK(YES_Writing_ELA[Student Number],YES_Writing_FLA[Student Number]),0),MATCH(VLOOKUP(F$7,'Writing Logic'!$J$7:$K$11,2,FALSE)&amp;" - Per "&amp;VLOOKUP($C$4,'Writing Logic'!$G$8:$H$14,2,FALSE),YES_Writing_ELA[#Headers],0))=0,"",INDEX(_xlfn.VSTACK(YES_Writing_ELA[#Data],YES_Writing_FLA[#Data]),MATCH($A223,_xlfn.VSTACK(YES_Writing_ELA[Student Number],YES_Writing_FLA[Student Number]),0),MATCH(VLOOKUP(F$7,'Writing Logic'!$J$7:$K$11,2,FALSE)&amp;" - Per "&amp;VLOOKUP($C$4,'Writing Logic'!$G$8:$H$14,2,FALSE),YES_Writing_ELA[#Headers],0)))="INS",'Writing Logic'!$B$7,IF(INDEX(_xlfn.VSTACK(YES_Writing_ELA[#Data],YES_Writing_FLA[#Data]),MATCH($A223,_xlfn.VSTACK(YES_Writing_ELA[Student Number],YES_Writing_FLA[Student Number]),0),MATCH(VLOOKUP(F$7,'Writing Logic'!$J$7:$K$11,2,FALSE)&amp;" - Per "&amp;VLOOKUP($C$4,'Writing Logic'!$G$8:$H$14,2,FALSE),YES_Writing_ELA[#Headers],0))=0,"",INDEX(_xlfn.VSTACK(YES_Writing_ELA[#Data],YES_Writing_FLA[#Data]),MATCH($A223,_xlfn.VSTACK(YES_Writing_ELA[Student Number],YES_Writing_FLA[Student Number]),0),MATCH(VLOOKUP(F$7,'Writing Logic'!$J$7:$K$11,2,FALSE)&amp;" - Per "&amp;VLOOKUP($C$4,'Writing Logic'!$G$8:$H$14,2,FALSE),YES_Writing_ELA[#Headers],0)))),"")</f>
        <v/>
      </c>
      <c r="G223" s="138" t="str">
        <f>IFERROR(IF(IF(INDEX(_xlfn.VSTACK(YES_Writing_ELA[#Data],YES_Writing_FLA[#Data]),MATCH($A223,_xlfn.VSTACK(YES_Writing_ELA[Student Number],YES_Writing_FLA[Student Number]),0),MATCH(VLOOKUP(G$7,'Writing Logic'!$J$7:$K$11,2,FALSE)&amp;" - Per "&amp;VLOOKUP($C$4,'Writing Logic'!$G$8:$H$14,2,FALSE),YES_Writing_ELA[#Headers],0))=0,"",INDEX(_xlfn.VSTACK(YES_Writing_ELA[#Data],YES_Writing_FLA[#Data]),MATCH($A223,_xlfn.VSTACK(YES_Writing_ELA[Student Number],YES_Writing_FLA[Student Number]),0),MATCH(VLOOKUP(G$7,'Writing Logic'!$J$7:$K$11,2,FALSE)&amp;" - Per "&amp;VLOOKUP($C$4,'Writing Logic'!$G$8:$H$14,2,FALSE),YES_Writing_ELA[#Headers],0)))="INS",'Writing Logic'!$B$7,IF(INDEX(_xlfn.VSTACK(YES_Writing_ELA[#Data],YES_Writing_FLA[#Data]),MATCH($A223,_xlfn.VSTACK(YES_Writing_ELA[Student Number],YES_Writing_FLA[Student Number]),0),MATCH(VLOOKUP(G$7,'Writing Logic'!$J$7:$K$11,2,FALSE)&amp;" - Per "&amp;VLOOKUP($C$4,'Writing Logic'!$G$8:$H$14,2,FALSE),YES_Writing_ELA[#Headers],0))=0,"",INDEX(_xlfn.VSTACK(YES_Writing_ELA[#Data],YES_Writing_FLA[#Data]),MATCH($A223,_xlfn.VSTACK(YES_Writing_ELA[Student Number],YES_Writing_FLA[Student Number]),0),MATCH(VLOOKUP(G$7,'Writing Logic'!$J$7:$K$11,2,FALSE)&amp;" - Per "&amp;VLOOKUP($C$4,'Writing Logic'!$G$8:$H$14,2,FALSE),YES_Writing_ELA[#Headers],0)))),"")</f>
        <v/>
      </c>
      <c r="H223" s="138" t="str">
        <f>IFERROR(IF(IF(INDEX(_xlfn.VSTACK(YES_Writing_ELA[#Data],YES_Writing_FLA[#Data]),MATCH($A223,_xlfn.VSTACK(YES_Writing_ELA[Student Number],YES_Writing_FLA[Student Number]),0),MATCH(VLOOKUP(H$7,'Writing Logic'!$J$7:$K$11,2,FALSE)&amp;" - Per "&amp;VLOOKUP($C$4,'Writing Logic'!$G$8:$H$14,2,FALSE),YES_Writing_ELA[#Headers],0))=0,"",INDEX(_xlfn.VSTACK(YES_Writing_ELA[#Data],YES_Writing_FLA[#Data]),MATCH($A223,_xlfn.VSTACK(YES_Writing_ELA[Student Number],YES_Writing_FLA[Student Number]),0),MATCH(VLOOKUP(H$7,'Writing Logic'!$J$7:$K$11,2,FALSE)&amp;" - Per "&amp;VLOOKUP($C$4,'Writing Logic'!$G$8:$H$14,2,FALSE),YES_Writing_ELA[#Headers],0)))="INS",'Writing Logic'!$B$7,IF(INDEX(_xlfn.VSTACK(YES_Writing_ELA[#Data],YES_Writing_FLA[#Data]),MATCH($A223,_xlfn.VSTACK(YES_Writing_ELA[Student Number],YES_Writing_FLA[Student Number]),0),MATCH(VLOOKUP(H$7,'Writing Logic'!$J$7:$K$11,2,FALSE)&amp;" - Per "&amp;VLOOKUP($C$4,'Writing Logic'!$G$8:$H$14,2,FALSE),YES_Writing_ELA[#Headers],0))=0,"",INDEX(_xlfn.VSTACK(YES_Writing_ELA[#Data],YES_Writing_FLA[#Data]),MATCH($A223,_xlfn.VSTACK(YES_Writing_ELA[Student Number],YES_Writing_FLA[Student Number]),0),MATCH(VLOOKUP(H$7,'Writing Logic'!$J$7:$K$11,2,FALSE)&amp;" - Per "&amp;VLOOKUP($C$4,'Writing Logic'!$G$8:$H$14,2,FALSE),YES_Writing_ELA[#Headers],0)))),"")</f>
        <v/>
      </c>
    </row>
    <row r="224" spans="1:8" x14ac:dyDescent="0.25">
      <c r="A224" s="137"/>
      <c r="B224" s="137" t="str">
        <f>IFERROR(INDEX(_xlfn.VSTACK(YES_Writing_ELA[#Data], YES_Writing_FLA[#Data]),MATCH($A224,_xlfn.VSTACK(YES_Writing_ELA[Student Number], YES_Writing_FLA[Student Number]),0),MATCH(B$7,YES_Writing_ELA[#Headers],0)),"")</f>
        <v/>
      </c>
      <c r="C224" s="137" t="str">
        <f>IFERROR(INDEX(_xlfn.VSTACK(YES_Writing_ELA[#Data], YES_Writing_FLA[#Data]),MATCH($A224,_xlfn.VSTACK(YES_Writing_ELA[Student Number], YES_Writing_FLA[Student Number]),0),MATCH(C$7,YES_Writing_ELA[#Headers],0)),"")</f>
        <v/>
      </c>
      <c r="D224" s="138" t="str">
        <f>IFERROR(IF(IF(INDEX(_xlfn.VSTACK(YES_Writing_ELA[#Data],YES_Writing_FLA[#Data]),MATCH($A224,_xlfn.VSTACK(YES_Writing_ELA[Student Number],YES_Writing_FLA[Student Number]),0),MATCH(VLOOKUP(D$7,'Writing Logic'!$J$7:$K$11,2,FALSE)&amp;" - Per "&amp;VLOOKUP($C$4,'Writing Logic'!$G$8:$H$14,2,FALSE),YES_Writing_ELA[#Headers],0))=0,"",INDEX(_xlfn.VSTACK(YES_Writing_ELA[#Data],YES_Writing_FLA[#Data]),MATCH($A224,_xlfn.VSTACK(YES_Writing_ELA[Student Number],YES_Writing_FLA[Student Number]),0),MATCH(VLOOKUP(D$7,'Writing Logic'!$J$7:$K$11,2,FALSE)&amp;" - Per "&amp;VLOOKUP($C$4,'Writing Logic'!$G$8:$H$14,2,FALSE),YES_Writing_ELA[#Headers],0)))="INS",'Writing Logic'!$B$7,IF(INDEX(_xlfn.VSTACK(YES_Writing_ELA[#Data],YES_Writing_FLA[#Data]),MATCH($A224,_xlfn.VSTACK(YES_Writing_ELA[Student Number],YES_Writing_FLA[Student Number]),0),MATCH(VLOOKUP(D$7,'Writing Logic'!$J$7:$K$11,2,FALSE)&amp;" - Per "&amp;VLOOKUP($C$4,'Writing Logic'!$G$8:$H$14,2,FALSE),YES_Writing_ELA[#Headers],0))=0,"",INDEX(_xlfn.VSTACK(YES_Writing_ELA[#Data],YES_Writing_FLA[#Data]),MATCH($A224,_xlfn.VSTACK(YES_Writing_ELA[Student Number],YES_Writing_FLA[Student Number]),0),MATCH(VLOOKUP(D$7,'Writing Logic'!$J$7:$K$11,2,FALSE)&amp;" - Per "&amp;VLOOKUP($C$4,'Writing Logic'!$G$8:$H$14,2,FALSE),YES_Writing_ELA[#Headers],0)))),"")</f>
        <v/>
      </c>
      <c r="E224" s="138" t="str">
        <f>IFERROR(IF(IF(INDEX(_xlfn.VSTACK(YES_Writing_ELA[#Data],YES_Writing_FLA[#Data]),MATCH($A224,_xlfn.VSTACK(YES_Writing_ELA[Student Number],YES_Writing_FLA[Student Number]),0),MATCH(VLOOKUP(E$7,'Writing Logic'!$J$7:$K$11,2,FALSE)&amp;" - Per "&amp;VLOOKUP($C$4,'Writing Logic'!$G$8:$H$14,2,FALSE),YES_Writing_ELA[#Headers],0))=0,"",INDEX(_xlfn.VSTACK(YES_Writing_ELA[#Data],YES_Writing_FLA[#Data]),MATCH($A224,_xlfn.VSTACK(YES_Writing_ELA[Student Number],YES_Writing_FLA[Student Number]),0),MATCH(VLOOKUP(E$7,'Writing Logic'!$J$7:$K$11,2,FALSE)&amp;" - Per "&amp;VLOOKUP($C$4,'Writing Logic'!$G$8:$H$14,2,FALSE),YES_Writing_ELA[#Headers],0)))="INS",'Writing Logic'!$B$7,IF(INDEX(_xlfn.VSTACK(YES_Writing_ELA[#Data],YES_Writing_FLA[#Data]),MATCH($A224,_xlfn.VSTACK(YES_Writing_ELA[Student Number],YES_Writing_FLA[Student Number]),0),MATCH(VLOOKUP(E$7,'Writing Logic'!$J$7:$K$11,2,FALSE)&amp;" - Per "&amp;VLOOKUP($C$4,'Writing Logic'!$G$8:$H$14,2,FALSE),YES_Writing_ELA[#Headers],0))=0,"",INDEX(_xlfn.VSTACK(YES_Writing_ELA[#Data],YES_Writing_FLA[#Data]),MATCH($A224,_xlfn.VSTACK(YES_Writing_ELA[Student Number],YES_Writing_FLA[Student Number]),0),MATCH(VLOOKUP(E$7,'Writing Logic'!$J$7:$K$11,2,FALSE)&amp;" - Per "&amp;VLOOKUP($C$4,'Writing Logic'!$G$8:$H$14,2,FALSE),YES_Writing_ELA[#Headers],0)))),"")</f>
        <v/>
      </c>
      <c r="F224" s="138" t="str">
        <f>IFERROR(IF(IF(INDEX(_xlfn.VSTACK(YES_Writing_ELA[#Data],YES_Writing_FLA[#Data]),MATCH($A224,_xlfn.VSTACK(YES_Writing_ELA[Student Number],YES_Writing_FLA[Student Number]),0),MATCH(VLOOKUP(F$7,'Writing Logic'!$J$7:$K$11,2,FALSE)&amp;" - Per "&amp;VLOOKUP($C$4,'Writing Logic'!$G$8:$H$14,2,FALSE),YES_Writing_ELA[#Headers],0))=0,"",INDEX(_xlfn.VSTACK(YES_Writing_ELA[#Data],YES_Writing_FLA[#Data]),MATCH($A224,_xlfn.VSTACK(YES_Writing_ELA[Student Number],YES_Writing_FLA[Student Number]),0),MATCH(VLOOKUP(F$7,'Writing Logic'!$J$7:$K$11,2,FALSE)&amp;" - Per "&amp;VLOOKUP($C$4,'Writing Logic'!$G$8:$H$14,2,FALSE),YES_Writing_ELA[#Headers],0)))="INS",'Writing Logic'!$B$7,IF(INDEX(_xlfn.VSTACK(YES_Writing_ELA[#Data],YES_Writing_FLA[#Data]),MATCH($A224,_xlfn.VSTACK(YES_Writing_ELA[Student Number],YES_Writing_FLA[Student Number]),0),MATCH(VLOOKUP(F$7,'Writing Logic'!$J$7:$K$11,2,FALSE)&amp;" - Per "&amp;VLOOKUP($C$4,'Writing Logic'!$G$8:$H$14,2,FALSE),YES_Writing_ELA[#Headers],0))=0,"",INDEX(_xlfn.VSTACK(YES_Writing_ELA[#Data],YES_Writing_FLA[#Data]),MATCH($A224,_xlfn.VSTACK(YES_Writing_ELA[Student Number],YES_Writing_FLA[Student Number]),0),MATCH(VLOOKUP(F$7,'Writing Logic'!$J$7:$K$11,2,FALSE)&amp;" - Per "&amp;VLOOKUP($C$4,'Writing Logic'!$G$8:$H$14,2,FALSE),YES_Writing_ELA[#Headers],0)))),"")</f>
        <v/>
      </c>
      <c r="G224" s="138" t="str">
        <f>IFERROR(IF(IF(INDEX(_xlfn.VSTACK(YES_Writing_ELA[#Data],YES_Writing_FLA[#Data]),MATCH($A224,_xlfn.VSTACK(YES_Writing_ELA[Student Number],YES_Writing_FLA[Student Number]),0),MATCH(VLOOKUP(G$7,'Writing Logic'!$J$7:$K$11,2,FALSE)&amp;" - Per "&amp;VLOOKUP($C$4,'Writing Logic'!$G$8:$H$14,2,FALSE),YES_Writing_ELA[#Headers],0))=0,"",INDEX(_xlfn.VSTACK(YES_Writing_ELA[#Data],YES_Writing_FLA[#Data]),MATCH($A224,_xlfn.VSTACK(YES_Writing_ELA[Student Number],YES_Writing_FLA[Student Number]),0),MATCH(VLOOKUP(G$7,'Writing Logic'!$J$7:$K$11,2,FALSE)&amp;" - Per "&amp;VLOOKUP($C$4,'Writing Logic'!$G$8:$H$14,2,FALSE),YES_Writing_ELA[#Headers],0)))="INS",'Writing Logic'!$B$7,IF(INDEX(_xlfn.VSTACK(YES_Writing_ELA[#Data],YES_Writing_FLA[#Data]),MATCH($A224,_xlfn.VSTACK(YES_Writing_ELA[Student Number],YES_Writing_FLA[Student Number]),0),MATCH(VLOOKUP(G$7,'Writing Logic'!$J$7:$K$11,2,FALSE)&amp;" - Per "&amp;VLOOKUP($C$4,'Writing Logic'!$G$8:$H$14,2,FALSE),YES_Writing_ELA[#Headers],0))=0,"",INDEX(_xlfn.VSTACK(YES_Writing_ELA[#Data],YES_Writing_FLA[#Data]),MATCH($A224,_xlfn.VSTACK(YES_Writing_ELA[Student Number],YES_Writing_FLA[Student Number]),0),MATCH(VLOOKUP(G$7,'Writing Logic'!$J$7:$K$11,2,FALSE)&amp;" - Per "&amp;VLOOKUP($C$4,'Writing Logic'!$G$8:$H$14,2,FALSE),YES_Writing_ELA[#Headers],0)))),"")</f>
        <v/>
      </c>
      <c r="H224" s="138" t="str">
        <f>IFERROR(IF(IF(INDEX(_xlfn.VSTACK(YES_Writing_ELA[#Data],YES_Writing_FLA[#Data]),MATCH($A224,_xlfn.VSTACK(YES_Writing_ELA[Student Number],YES_Writing_FLA[Student Number]),0),MATCH(VLOOKUP(H$7,'Writing Logic'!$J$7:$K$11,2,FALSE)&amp;" - Per "&amp;VLOOKUP($C$4,'Writing Logic'!$G$8:$H$14,2,FALSE),YES_Writing_ELA[#Headers],0))=0,"",INDEX(_xlfn.VSTACK(YES_Writing_ELA[#Data],YES_Writing_FLA[#Data]),MATCH($A224,_xlfn.VSTACK(YES_Writing_ELA[Student Number],YES_Writing_FLA[Student Number]),0),MATCH(VLOOKUP(H$7,'Writing Logic'!$J$7:$K$11,2,FALSE)&amp;" - Per "&amp;VLOOKUP($C$4,'Writing Logic'!$G$8:$H$14,2,FALSE),YES_Writing_ELA[#Headers],0)))="INS",'Writing Logic'!$B$7,IF(INDEX(_xlfn.VSTACK(YES_Writing_ELA[#Data],YES_Writing_FLA[#Data]),MATCH($A224,_xlfn.VSTACK(YES_Writing_ELA[Student Number],YES_Writing_FLA[Student Number]),0),MATCH(VLOOKUP(H$7,'Writing Logic'!$J$7:$K$11,2,FALSE)&amp;" - Per "&amp;VLOOKUP($C$4,'Writing Logic'!$G$8:$H$14,2,FALSE),YES_Writing_ELA[#Headers],0))=0,"",INDEX(_xlfn.VSTACK(YES_Writing_ELA[#Data],YES_Writing_FLA[#Data]),MATCH($A224,_xlfn.VSTACK(YES_Writing_ELA[Student Number],YES_Writing_FLA[Student Number]),0),MATCH(VLOOKUP(H$7,'Writing Logic'!$J$7:$K$11,2,FALSE)&amp;" - Per "&amp;VLOOKUP($C$4,'Writing Logic'!$G$8:$H$14,2,FALSE),YES_Writing_ELA[#Headers],0)))),"")</f>
        <v/>
      </c>
    </row>
    <row r="225" spans="1:8" x14ac:dyDescent="0.25">
      <c r="A225" s="137"/>
      <c r="B225" s="137" t="str">
        <f>IFERROR(INDEX(_xlfn.VSTACK(YES_Writing_ELA[#Data], YES_Writing_FLA[#Data]),MATCH($A225,_xlfn.VSTACK(YES_Writing_ELA[Student Number], YES_Writing_FLA[Student Number]),0),MATCH(B$7,YES_Writing_ELA[#Headers],0)),"")</f>
        <v/>
      </c>
      <c r="C225" s="137" t="str">
        <f>IFERROR(INDEX(_xlfn.VSTACK(YES_Writing_ELA[#Data], YES_Writing_FLA[#Data]),MATCH($A225,_xlfn.VSTACK(YES_Writing_ELA[Student Number], YES_Writing_FLA[Student Number]),0),MATCH(C$7,YES_Writing_ELA[#Headers],0)),"")</f>
        <v/>
      </c>
      <c r="D225" s="138" t="str">
        <f>IFERROR(IF(IF(INDEX(_xlfn.VSTACK(YES_Writing_ELA[#Data],YES_Writing_FLA[#Data]),MATCH($A225,_xlfn.VSTACK(YES_Writing_ELA[Student Number],YES_Writing_FLA[Student Number]),0),MATCH(VLOOKUP(D$7,'Writing Logic'!$J$7:$K$11,2,FALSE)&amp;" - Per "&amp;VLOOKUP($C$4,'Writing Logic'!$G$8:$H$14,2,FALSE),YES_Writing_ELA[#Headers],0))=0,"",INDEX(_xlfn.VSTACK(YES_Writing_ELA[#Data],YES_Writing_FLA[#Data]),MATCH($A225,_xlfn.VSTACK(YES_Writing_ELA[Student Number],YES_Writing_FLA[Student Number]),0),MATCH(VLOOKUP(D$7,'Writing Logic'!$J$7:$K$11,2,FALSE)&amp;" - Per "&amp;VLOOKUP($C$4,'Writing Logic'!$G$8:$H$14,2,FALSE),YES_Writing_ELA[#Headers],0)))="INS",'Writing Logic'!$B$7,IF(INDEX(_xlfn.VSTACK(YES_Writing_ELA[#Data],YES_Writing_FLA[#Data]),MATCH($A225,_xlfn.VSTACK(YES_Writing_ELA[Student Number],YES_Writing_FLA[Student Number]),0),MATCH(VLOOKUP(D$7,'Writing Logic'!$J$7:$K$11,2,FALSE)&amp;" - Per "&amp;VLOOKUP($C$4,'Writing Logic'!$G$8:$H$14,2,FALSE),YES_Writing_ELA[#Headers],0))=0,"",INDEX(_xlfn.VSTACK(YES_Writing_ELA[#Data],YES_Writing_FLA[#Data]),MATCH($A225,_xlfn.VSTACK(YES_Writing_ELA[Student Number],YES_Writing_FLA[Student Number]),0),MATCH(VLOOKUP(D$7,'Writing Logic'!$J$7:$K$11,2,FALSE)&amp;" - Per "&amp;VLOOKUP($C$4,'Writing Logic'!$G$8:$H$14,2,FALSE),YES_Writing_ELA[#Headers],0)))),"")</f>
        <v/>
      </c>
      <c r="E225" s="138" t="str">
        <f>IFERROR(IF(IF(INDEX(_xlfn.VSTACK(YES_Writing_ELA[#Data],YES_Writing_FLA[#Data]),MATCH($A225,_xlfn.VSTACK(YES_Writing_ELA[Student Number],YES_Writing_FLA[Student Number]),0),MATCH(VLOOKUP(E$7,'Writing Logic'!$J$7:$K$11,2,FALSE)&amp;" - Per "&amp;VLOOKUP($C$4,'Writing Logic'!$G$8:$H$14,2,FALSE),YES_Writing_ELA[#Headers],0))=0,"",INDEX(_xlfn.VSTACK(YES_Writing_ELA[#Data],YES_Writing_FLA[#Data]),MATCH($A225,_xlfn.VSTACK(YES_Writing_ELA[Student Number],YES_Writing_FLA[Student Number]),0),MATCH(VLOOKUP(E$7,'Writing Logic'!$J$7:$K$11,2,FALSE)&amp;" - Per "&amp;VLOOKUP($C$4,'Writing Logic'!$G$8:$H$14,2,FALSE),YES_Writing_ELA[#Headers],0)))="INS",'Writing Logic'!$B$7,IF(INDEX(_xlfn.VSTACK(YES_Writing_ELA[#Data],YES_Writing_FLA[#Data]),MATCH($A225,_xlfn.VSTACK(YES_Writing_ELA[Student Number],YES_Writing_FLA[Student Number]),0),MATCH(VLOOKUP(E$7,'Writing Logic'!$J$7:$K$11,2,FALSE)&amp;" - Per "&amp;VLOOKUP($C$4,'Writing Logic'!$G$8:$H$14,2,FALSE),YES_Writing_ELA[#Headers],0))=0,"",INDEX(_xlfn.VSTACK(YES_Writing_ELA[#Data],YES_Writing_FLA[#Data]),MATCH($A225,_xlfn.VSTACK(YES_Writing_ELA[Student Number],YES_Writing_FLA[Student Number]),0),MATCH(VLOOKUP(E$7,'Writing Logic'!$J$7:$K$11,2,FALSE)&amp;" - Per "&amp;VLOOKUP($C$4,'Writing Logic'!$G$8:$H$14,2,FALSE),YES_Writing_ELA[#Headers],0)))),"")</f>
        <v/>
      </c>
      <c r="F225" s="138" t="str">
        <f>IFERROR(IF(IF(INDEX(_xlfn.VSTACK(YES_Writing_ELA[#Data],YES_Writing_FLA[#Data]),MATCH($A225,_xlfn.VSTACK(YES_Writing_ELA[Student Number],YES_Writing_FLA[Student Number]),0),MATCH(VLOOKUP(F$7,'Writing Logic'!$J$7:$K$11,2,FALSE)&amp;" - Per "&amp;VLOOKUP($C$4,'Writing Logic'!$G$8:$H$14,2,FALSE),YES_Writing_ELA[#Headers],0))=0,"",INDEX(_xlfn.VSTACK(YES_Writing_ELA[#Data],YES_Writing_FLA[#Data]),MATCH($A225,_xlfn.VSTACK(YES_Writing_ELA[Student Number],YES_Writing_FLA[Student Number]),0),MATCH(VLOOKUP(F$7,'Writing Logic'!$J$7:$K$11,2,FALSE)&amp;" - Per "&amp;VLOOKUP($C$4,'Writing Logic'!$G$8:$H$14,2,FALSE),YES_Writing_ELA[#Headers],0)))="INS",'Writing Logic'!$B$7,IF(INDEX(_xlfn.VSTACK(YES_Writing_ELA[#Data],YES_Writing_FLA[#Data]),MATCH($A225,_xlfn.VSTACK(YES_Writing_ELA[Student Number],YES_Writing_FLA[Student Number]),0),MATCH(VLOOKUP(F$7,'Writing Logic'!$J$7:$K$11,2,FALSE)&amp;" - Per "&amp;VLOOKUP($C$4,'Writing Logic'!$G$8:$H$14,2,FALSE),YES_Writing_ELA[#Headers],0))=0,"",INDEX(_xlfn.VSTACK(YES_Writing_ELA[#Data],YES_Writing_FLA[#Data]),MATCH($A225,_xlfn.VSTACK(YES_Writing_ELA[Student Number],YES_Writing_FLA[Student Number]),0),MATCH(VLOOKUP(F$7,'Writing Logic'!$J$7:$K$11,2,FALSE)&amp;" - Per "&amp;VLOOKUP($C$4,'Writing Logic'!$G$8:$H$14,2,FALSE),YES_Writing_ELA[#Headers],0)))),"")</f>
        <v/>
      </c>
      <c r="G225" s="138" t="str">
        <f>IFERROR(IF(IF(INDEX(_xlfn.VSTACK(YES_Writing_ELA[#Data],YES_Writing_FLA[#Data]),MATCH($A225,_xlfn.VSTACK(YES_Writing_ELA[Student Number],YES_Writing_FLA[Student Number]),0),MATCH(VLOOKUP(G$7,'Writing Logic'!$J$7:$K$11,2,FALSE)&amp;" - Per "&amp;VLOOKUP($C$4,'Writing Logic'!$G$8:$H$14,2,FALSE),YES_Writing_ELA[#Headers],0))=0,"",INDEX(_xlfn.VSTACK(YES_Writing_ELA[#Data],YES_Writing_FLA[#Data]),MATCH($A225,_xlfn.VSTACK(YES_Writing_ELA[Student Number],YES_Writing_FLA[Student Number]),0),MATCH(VLOOKUP(G$7,'Writing Logic'!$J$7:$K$11,2,FALSE)&amp;" - Per "&amp;VLOOKUP($C$4,'Writing Logic'!$G$8:$H$14,2,FALSE),YES_Writing_ELA[#Headers],0)))="INS",'Writing Logic'!$B$7,IF(INDEX(_xlfn.VSTACK(YES_Writing_ELA[#Data],YES_Writing_FLA[#Data]),MATCH($A225,_xlfn.VSTACK(YES_Writing_ELA[Student Number],YES_Writing_FLA[Student Number]),0),MATCH(VLOOKUP(G$7,'Writing Logic'!$J$7:$K$11,2,FALSE)&amp;" - Per "&amp;VLOOKUP($C$4,'Writing Logic'!$G$8:$H$14,2,FALSE),YES_Writing_ELA[#Headers],0))=0,"",INDEX(_xlfn.VSTACK(YES_Writing_ELA[#Data],YES_Writing_FLA[#Data]),MATCH($A225,_xlfn.VSTACK(YES_Writing_ELA[Student Number],YES_Writing_FLA[Student Number]),0),MATCH(VLOOKUP(G$7,'Writing Logic'!$J$7:$K$11,2,FALSE)&amp;" - Per "&amp;VLOOKUP($C$4,'Writing Logic'!$G$8:$H$14,2,FALSE),YES_Writing_ELA[#Headers],0)))),"")</f>
        <v/>
      </c>
      <c r="H225" s="138" t="str">
        <f>IFERROR(IF(IF(INDEX(_xlfn.VSTACK(YES_Writing_ELA[#Data],YES_Writing_FLA[#Data]),MATCH($A225,_xlfn.VSTACK(YES_Writing_ELA[Student Number],YES_Writing_FLA[Student Number]),0),MATCH(VLOOKUP(H$7,'Writing Logic'!$J$7:$K$11,2,FALSE)&amp;" - Per "&amp;VLOOKUP($C$4,'Writing Logic'!$G$8:$H$14,2,FALSE),YES_Writing_ELA[#Headers],0))=0,"",INDEX(_xlfn.VSTACK(YES_Writing_ELA[#Data],YES_Writing_FLA[#Data]),MATCH($A225,_xlfn.VSTACK(YES_Writing_ELA[Student Number],YES_Writing_FLA[Student Number]),0),MATCH(VLOOKUP(H$7,'Writing Logic'!$J$7:$K$11,2,FALSE)&amp;" - Per "&amp;VLOOKUP($C$4,'Writing Logic'!$G$8:$H$14,2,FALSE),YES_Writing_ELA[#Headers],0)))="INS",'Writing Logic'!$B$7,IF(INDEX(_xlfn.VSTACK(YES_Writing_ELA[#Data],YES_Writing_FLA[#Data]),MATCH($A225,_xlfn.VSTACK(YES_Writing_ELA[Student Number],YES_Writing_FLA[Student Number]),0),MATCH(VLOOKUP(H$7,'Writing Logic'!$J$7:$K$11,2,FALSE)&amp;" - Per "&amp;VLOOKUP($C$4,'Writing Logic'!$G$8:$H$14,2,FALSE),YES_Writing_ELA[#Headers],0))=0,"",INDEX(_xlfn.VSTACK(YES_Writing_ELA[#Data],YES_Writing_FLA[#Data]),MATCH($A225,_xlfn.VSTACK(YES_Writing_ELA[Student Number],YES_Writing_FLA[Student Number]),0),MATCH(VLOOKUP(H$7,'Writing Logic'!$J$7:$K$11,2,FALSE)&amp;" - Per "&amp;VLOOKUP($C$4,'Writing Logic'!$G$8:$H$14,2,FALSE),YES_Writing_ELA[#Headers],0)))),"")</f>
        <v/>
      </c>
    </row>
    <row r="226" spans="1:8" x14ac:dyDescent="0.25">
      <c r="A226" s="137"/>
      <c r="B226" s="137" t="str">
        <f>IFERROR(INDEX(_xlfn.VSTACK(YES_Writing_ELA[#Data], YES_Writing_FLA[#Data]),MATCH($A226,_xlfn.VSTACK(YES_Writing_ELA[Student Number], YES_Writing_FLA[Student Number]),0),MATCH(B$7,YES_Writing_ELA[#Headers],0)),"")</f>
        <v/>
      </c>
      <c r="C226" s="137" t="str">
        <f>IFERROR(INDEX(_xlfn.VSTACK(YES_Writing_ELA[#Data], YES_Writing_FLA[#Data]),MATCH($A226,_xlfn.VSTACK(YES_Writing_ELA[Student Number], YES_Writing_FLA[Student Number]),0),MATCH(C$7,YES_Writing_ELA[#Headers],0)),"")</f>
        <v/>
      </c>
      <c r="D226" s="138" t="str">
        <f>IFERROR(IF(IF(INDEX(_xlfn.VSTACK(YES_Writing_ELA[#Data],YES_Writing_FLA[#Data]),MATCH($A226,_xlfn.VSTACK(YES_Writing_ELA[Student Number],YES_Writing_FLA[Student Number]),0),MATCH(VLOOKUP(D$7,'Writing Logic'!$J$7:$K$11,2,FALSE)&amp;" - Per "&amp;VLOOKUP($C$4,'Writing Logic'!$G$8:$H$14,2,FALSE),YES_Writing_ELA[#Headers],0))=0,"",INDEX(_xlfn.VSTACK(YES_Writing_ELA[#Data],YES_Writing_FLA[#Data]),MATCH($A226,_xlfn.VSTACK(YES_Writing_ELA[Student Number],YES_Writing_FLA[Student Number]),0),MATCH(VLOOKUP(D$7,'Writing Logic'!$J$7:$K$11,2,FALSE)&amp;" - Per "&amp;VLOOKUP($C$4,'Writing Logic'!$G$8:$H$14,2,FALSE),YES_Writing_ELA[#Headers],0)))="INS",'Writing Logic'!$B$7,IF(INDEX(_xlfn.VSTACK(YES_Writing_ELA[#Data],YES_Writing_FLA[#Data]),MATCH($A226,_xlfn.VSTACK(YES_Writing_ELA[Student Number],YES_Writing_FLA[Student Number]),0),MATCH(VLOOKUP(D$7,'Writing Logic'!$J$7:$K$11,2,FALSE)&amp;" - Per "&amp;VLOOKUP($C$4,'Writing Logic'!$G$8:$H$14,2,FALSE),YES_Writing_ELA[#Headers],0))=0,"",INDEX(_xlfn.VSTACK(YES_Writing_ELA[#Data],YES_Writing_FLA[#Data]),MATCH($A226,_xlfn.VSTACK(YES_Writing_ELA[Student Number],YES_Writing_FLA[Student Number]),0),MATCH(VLOOKUP(D$7,'Writing Logic'!$J$7:$K$11,2,FALSE)&amp;" - Per "&amp;VLOOKUP($C$4,'Writing Logic'!$G$8:$H$14,2,FALSE),YES_Writing_ELA[#Headers],0)))),"")</f>
        <v/>
      </c>
      <c r="E226" s="138" t="str">
        <f>IFERROR(IF(IF(INDEX(_xlfn.VSTACK(YES_Writing_ELA[#Data],YES_Writing_FLA[#Data]),MATCH($A226,_xlfn.VSTACK(YES_Writing_ELA[Student Number],YES_Writing_FLA[Student Number]),0),MATCH(VLOOKUP(E$7,'Writing Logic'!$J$7:$K$11,2,FALSE)&amp;" - Per "&amp;VLOOKUP($C$4,'Writing Logic'!$G$8:$H$14,2,FALSE),YES_Writing_ELA[#Headers],0))=0,"",INDEX(_xlfn.VSTACK(YES_Writing_ELA[#Data],YES_Writing_FLA[#Data]),MATCH($A226,_xlfn.VSTACK(YES_Writing_ELA[Student Number],YES_Writing_FLA[Student Number]),0),MATCH(VLOOKUP(E$7,'Writing Logic'!$J$7:$K$11,2,FALSE)&amp;" - Per "&amp;VLOOKUP($C$4,'Writing Logic'!$G$8:$H$14,2,FALSE),YES_Writing_ELA[#Headers],0)))="INS",'Writing Logic'!$B$7,IF(INDEX(_xlfn.VSTACK(YES_Writing_ELA[#Data],YES_Writing_FLA[#Data]),MATCH($A226,_xlfn.VSTACK(YES_Writing_ELA[Student Number],YES_Writing_FLA[Student Number]),0),MATCH(VLOOKUP(E$7,'Writing Logic'!$J$7:$K$11,2,FALSE)&amp;" - Per "&amp;VLOOKUP($C$4,'Writing Logic'!$G$8:$H$14,2,FALSE),YES_Writing_ELA[#Headers],0))=0,"",INDEX(_xlfn.VSTACK(YES_Writing_ELA[#Data],YES_Writing_FLA[#Data]),MATCH($A226,_xlfn.VSTACK(YES_Writing_ELA[Student Number],YES_Writing_FLA[Student Number]),0),MATCH(VLOOKUP(E$7,'Writing Logic'!$J$7:$K$11,2,FALSE)&amp;" - Per "&amp;VLOOKUP($C$4,'Writing Logic'!$G$8:$H$14,2,FALSE),YES_Writing_ELA[#Headers],0)))),"")</f>
        <v/>
      </c>
      <c r="F226" s="138" t="str">
        <f>IFERROR(IF(IF(INDEX(_xlfn.VSTACK(YES_Writing_ELA[#Data],YES_Writing_FLA[#Data]),MATCH($A226,_xlfn.VSTACK(YES_Writing_ELA[Student Number],YES_Writing_FLA[Student Number]),0),MATCH(VLOOKUP(F$7,'Writing Logic'!$J$7:$K$11,2,FALSE)&amp;" - Per "&amp;VLOOKUP($C$4,'Writing Logic'!$G$8:$H$14,2,FALSE),YES_Writing_ELA[#Headers],0))=0,"",INDEX(_xlfn.VSTACK(YES_Writing_ELA[#Data],YES_Writing_FLA[#Data]),MATCH($A226,_xlfn.VSTACK(YES_Writing_ELA[Student Number],YES_Writing_FLA[Student Number]),0),MATCH(VLOOKUP(F$7,'Writing Logic'!$J$7:$K$11,2,FALSE)&amp;" - Per "&amp;VLOOKUP($C$4,'Writing Logic'!$G$8:$H$14,2,FALSE),YES_Writing_ELA[#Headers],0)))="INS",'Writing Logic'!$B$7,IF(INDEX(_xlfn.VSTACK(YES_Writing_ELA[#Data],YES_Writing_FLA[#Data]),MATCH($A226,_xlfn.VSTACK(YES_Writing_ELA[Student Number],YES_Writing_FLA[Student Number]),0),MATCH(VLOOKUP(F$7,'Writing Logic'!$J$7:$K$11,2,FALSE)&amp;" - Per "&amp;VLOOKUP($C$4,'Writing Logic'!$G$8:$H$14,2,FALSE),YES_Writing_ELA[#Headers],0))=0,"",INDEX(_xlfn.VSTACK(YES_Writing_ELA[#Data],YES_Writing_FLA[#Data]),MATCH($A226,_xlfn.VSTACK(YES_Writing_ELA[Student Number],YES_Writing_FLA[Student Number]),0),MATCH(VLOOKUP(F$7,'Writing Logic'!$J$7:$K$11,2,FALSE)&amp;" - Per "&amp;VLOOKUP($C$4,'Writing Logic'!$G$8:$H$14,2,FALSE),YES_Writing_ELA[#Headers],0)))),"")</f>
        <v/>
      </c>
      <c r="G226" s="138" t="str">
        <f>IFERROR(IF(IF(INDEX(_xlfn.VSTACK(YES_Writing_ELA[#Data],YES_Writing_FLA[#Data]),MATCH($A226,_xlfn.VSTACK(YES_Writing_ELA[Student Number],YES_Writing_FLA[Student Number]),0),MATCH(VLOOKUP(G$7,'Writing Logic'!$J$7:$K$11,2,FALSE)&amp;" - Per "&amp;VLOOKUP($C$4,'Writing Logic'!$G$8:$H$14,2,FALSE),YES_Writing_ELA[#Headers],0))=0,"",INDEX(_xlfn.VSTACK(YES_Writing_ELA[#Data],YES_Writing_FLA[#Data]),MATCH($A226,_xlfn.VSTACK(YES_Writing_ELA[Student Number],YES_Writing_FLA[Student Number]),0),MATCH(VLOOKUP(G$7,'Writing Logic'!$J$7:$K$11,2,FALSE)&amp;" - Per "&amp;VLOOKUP($C$4,'Writing Logic'!$G$8:$H$14,2,FALSE),YES_Writing_ELA[#Headers],0)))="INS",'Writing Logic'!$B$7,IF(INDEX(_xlfn.VSTACK(YES_Writing_ELA[#Data],YES_Writing_FLA[#Data]),MATCH($A226,_xlfn.VSTACK(YES_Writing_ELA[Student Number],YES_Writing_FLA[Student Number]),0),MATCH(VLOOKUP(G$7,'Writing Logic'!$J$7:$K$11,2,FALSE)&amp;" - Per "&amp;VLOOKUP($C$4,'Writing Logic'!$G$8:$H$14,2,FALSE),YES_Writing_ELA[#Headers],0))=0,"",INDEX(_xlfn.VSTACK(YES_Writing_ELA[#Data],YES_Writing_FLA[#Data]),MATCH($A226,_xlfn.VSTACK(YES_Writing_ELA[Student Number],YES_Writing_FLA[Student Number]),0),MATCH(VLOOKUP(G$7,'Writing Logic'!$J$7:$K$11,2,FALSE)&amp;" - Per "&amp;VLOOKUP($C$4,'Writing Logic'!$G$8:$H$14,2,FALSE),YES_Writing_ELA[#Headers],0)))),"")</f>
        <v/>
      </c>
      <c r="H226" s="138" t="str">
        <f>IFERROR(IF(IF(INDEX(_xlfn.VSTACK(YES_Writing_ELA[#Data],YES_Writing_FLA[#Data]),MATCH($A226,_xlfn.VSTACK(YES_Writing_ELA[Student Number],YES_Writing_FLA[Student Number]),0),MATCH(VLOOKUP(H$7,'Writing Logic'!$J$7:$K$11,2,FALSE)&amp;" - Per "&amp;VLOOKUP($C$4,'Writing Logic'!$G$8:$H$14,2,FALSE),YES_Writing_ELA[#Headers],0))=0,"",INDEX(_xlfn.VSTACK(YES_Writing_ELA[#Data],YES_Writing_FLA[#Data]),MATCH($A226,_xlfn.VSTACK(YES_Writing_ELA[Student Number],YES_Writing_FLA[Student Number]),0),MATCH(VLOOKUP(H$7,'Writing Logic'!$J$7:$K$11,2,FALSE)&amp;" - Per "&amp;VLOOKUP($C$4,'Writing Logic'!$G$8:$H$14,2,FALSE),YES_Writing_ELA[#Headers],0)))="INS",'Writing Logic'!$B$7,IF(INDEX(_xlfn.VSTACK(YES_Writing_ELA[#Data],YES_Writing_FLA[#Data]),MATCH($A226,_xlfn.VSTACK(YES_Writing_ELA[Student Number],YES_Writing_FLA[Student Number]),0),MATCH(VLOOKUP(H$7,'Writing Logic'!$J$7:$K$11,2,FALSE)&amp;" - Per "&amp;VLOOKUP($C$4,'Writing Logic'!$G$8:$H$14,2,FALSE),YES_Writing_ELA[#Headers],0))=0,"",INDEX(_xlfn.VSTACK(YES_Writing_ELA[#Data],YES_Writing_FLA[#Data]),MATCH($A226,_xlfn.VSTACK(YES_Writing_ELA[Student Number],YES_Writing_FLA[Student Number]),0),MATCH(VLOOKUP(H$7,'Writing Logic'!$J$7:$K$11,2,FALSE)&amp;" - Per "&amp;VLOOKUP($C$4,'Writing Logic'!$G$8:$H$14,2,FALSE),YES_Writing_ELA[#Headers],0)))),"")</f>
        <v/>
      </c>
    </row>
    <row r="227" spans="1:8" x14ac:dyDescent="0.25">
      <c r="A227" s="137"/>
      <c r="B227" s="137" t="str">
        <f>IFERROR(INDEX(_xlfn.VSTACK(YES_Writing_ELA[#Data], YES_Writing_FLA[#Data]),MATCH($A227,_xlfn.VSTACK(YES_Writing_ELA[Student Number], YES_Writing_FLA[Student Number]),0),MATCH(B$7,YES_Writing_ELA[#Headers],0)),"")</f>
        <v/>
      </c>
      <c r="C227" s="137" t="str">
        <f>IFERROR(INDEX(_xlfn.VSTACK(YES_Writing_ELA[#Data], YES_Writing_FLA[#Data]),MATCH($A227,_xlfn.VSTACK(YES_Writing_ELA[Student Number], YES_Writing_FLA[Student Number]),0),MATCH(C$7,YES_Writing_ELA[#Headers],0)),"")</f>
        <v/>
      </c>
      <c r="D227" s="138" t="str">
        <f>IFERROR(IF(IF(INDEX(_xlfn.VSTACK(YES_Writing_ELA[#Data],YES_Writing_FLA[#Data]),MATCH($A227,_xlfn.VSTACK(YES_Writing_ELA[Student Number],YES_Writing_FLA[Student Number]),0),MATCH(VLOOKUP(D$7,'Writing Logic'!$J$7:$K$11,2,FALSE)&amp;" - Per "&amp;VLOOKUP($C$4,'Writing Logic'!$G$8:$H$14,2,FALSE),YES_Writing_ELA[#Headers],0))=0,"",INDEX(_xlfn.VSTACK(YES_Writing_ELA[#Data],YES_Writing_FLA[#Data]),MATCH($A227,_xlfn.VSTACK(YES_Writing_ELA[Student Number],YES_Writing_FLA[Student Number]),0),MATCH(VLOOKUP(D$7,'Writing Logic'!$J$7:$K$11,2,FALSE)&amp;" - Per "&amp;VLOOKUP($C$4,'Writing Logic'!$G$8:$H$14,2,FALSE),YES_Writing_ELA[#Headers],0)))="INS",'Writing Logic'!$B$7,IF(INDEX(_xlfn.VSTACK(YES_Writing_ELA[#Data],YES_Writing_FLA[#Data]),MATCH($A227,_xlfn.VSTACK(YES_Writing_ELA[Student Number],YES_Writing_FLA[Student Number]),0),MATCH(VLOOKUP(D$7,'Writing Logic'!$J$7:$K$11,2,FALSE)&amp;" - Per "&amp;VLOOKUP($C$4,'Writing Logic'!$G$8:$H$14,2,FALSE),YES_Writing_ELA[#Headers],0))=0,"",INDEX(_xlfn.VSTACK(YES_Writing_ELA[#Data],YES_Writing_FLA[#Data]),MATCH($A227,_xlfn.VSTACK(YES_Writing_ELA[Student Number],YES_Writing_FLA[Student Number]),0),MATCH(VLOOKUP(D$7,'Writing Logic'!$J$7:$K$11,2,FALSE)&amp;" - Per "&amp;VLOOKUP($C$4,'Writing Logic'!$G$8:$H$14,2,FALSE),YES_Writing_ELA[#Headers],0)))),"")</f>
        <v/>
      </c>
      <c r="E227" s="138" t="str">
        <f>IFERROR(IF(IF(INDEX(_xlfn.VSTACK(YES_Writing_ELA[#Data],YES_Writing_FLA[#Data]),MATCH($A227,_xlfn.VSTACK(YES_Writing_ELA[Student Number],YES_Writing_FLA[Student Number]),0),MATCH(VLOOKUP(E$7,'Writing Logic'!$J$7:$K$11,2,FALSE)&amp;" - Per "&amp;VLOOKUP($C$4,'Writing Logic'!$G$8:$H$14,2,FALSE),YES_Writing_ELA[#Headers],0))=0,"",INDEX(_xlfn.VSTACK(YES_Writing_ELA[#Data],YES_Writing_FLA[#Data]),MATCH($A227,_xlfn.VSTACK(YES_Writing_ELA[Student Number],YES_Writing_FLA[Student Number]),0),MATCH(VLOOKUP(E$7,'Writing Logic'!$J$7:$K$11,2,FALSE)&amp;" - Per "&amp;VLOOKUP($C$4,'Writing Logic'!$G$8:$H$14,2,FALSE),YES_Writing_ELA[#Headers],0)))="INS",'Writing Logic'!$B$7,IF(INDEX(_xlfn.VSTACK(YES_Writing_ELA[#Data],YES_Writing_FLA[#Data]),MATCH($A227,_xlfn.VSTACK(YES_Writing_ELA[Student Number],YES_Writing_FLA[Student Number]),0),MATCH(VLOOKUP(E$7,'Writing Logic'!$J$7:$K$11,2,FALSE)&amp;" - Per "&amp;VLOOKUP($C$4,'Writing Logic'!$G$8:$H$14,2,FALSE),YES_Writing_ELA[#Headers],0))=0,"",INDEX(_xlfn.VSTACK(YES_Writing_ELA[#Data],YES_Writing_FLA[#Data]),MATCH($A227,_xlfn.VSTACK(YES_Writing_ELA[Student Number],YES_Writing_FLA[Student Number]),0),MATCH(VLOOKUP(E$7,'Writing Logic'!$J$7:$K$11,2,FALSE)&amp;" - Per "&amp;VLOOKUP($C$4,'Writing Logic'!$G$8:$H$14,2,FALSE),YES_Writing_ELA[#Headers],0)))),"")</f>
        <v/>
      </c>
      <c r="F227" s="138" t="str">
        <f>IFERROR(IF(IF(INDEX(_xlfn.VSTACK(YES_Writing_ELA[#Data],YES_Writing_FLA[#Data]),MATCH($A227,_xlfn.VSTACK(YES_Writing_ELA[Student Number],YES_Writing_FLA[Student Number]),0),MATCH(VLOOKUP(F$7,'Writing Logic'!$J$7:$K$11,2,FALSE)&amp;" - Per "&amp;VLOOKUP($C$4,'Writing Logic'!$G$8:$H$14,2,FALSE),YES_Writing_ELA[#Headers],0))=0,"",INDEX(_xlfn.VSTACK(YES_Writing_ELA[#Data],YES_Writing_FLA[#Data]),MATCH($A227,_xlfn.VSTACK(YES_Writing_ELA[Student Number],YES_Writing_FLA[Student Number]),0),MATCH(VLOOKUP(F$7,'Writing Logic'!$J$7:$K$11,2,FALSE)&amp;" - Per "&amp;VLOOKUP($C$4,'Writing Logic'!$G$8:$H$14,2,FALSE),YES_Writing_ELA[#Headers],0)))="INS",'Writing Logic'!$B$7,IF(INDEX(_xlfn.VSTACK(YES_Writing_ELA[#Data],YES_Writing_FLA[#Data]),MATCH($A227,_xlfn.VSTACK(YES_Writing_ELA[Student Number],YES_Writing_FLA[Student Number]),0),MATCH(VLOOKUP(F$7,'Writing Logic'!$J$7:$K$11,2,FALSE)&amp;" - Per "&amp;VLOOKUP($C$4,'Writing Logic'!$G$8:$H$14,2,FALSE),YES_Writing_ELA[#Headers],0))=0,"",INDEX(_xlfn.VSTACK(YES_Writing_ELA[#Data],YES_Writing_FLA[#Data]),MATCH($A227,_xlfn.VSTACK(YES_Writing_ELA[Student Number],YES_Writing_FLA[Student Number]),0),MATCH(VLOOKUP(F$7,'Writing Logic'!$J$7:$K$11,2,FALSE)&amp;" - Per "&amp;VLOOKUP($C$4,'Writing Logic'!$G$8:$H$14,2,FALSE),YES_Writing_ELA[#Headers],0)))),"")</f>
        <v/>
      </c>
      <c r="G227" s="138" t="str">
        <f>IFERROR(IF(IF(INDEX(_xlfn.VSTACK(YES_Writing_ELA[#Data],YES_Writing_FLA[#Data]),MATCH($A227,_xlfn.VSTACK(YES_Writing_ELA[Student Number],YES_Writing_FLA[Student Number]),0),MATCH(VLOOKUP(G$7,'Writing Logic'!$J$7:$K$11,2,FALSE)&amp;" - Per "&amp;VLOOKUP($C$4,'Writing Logic'!$G$8:$H$14,2,FALSE),YES_Writing_ELA[#Headers],0))=0,"",INDEX(_xlfn.VSTACK(YES_Writing_ELA[#Data],YES_Writing_FLA[#Data]),MATCH($A227,_xlfn.VSTACK(YES_Writing_ELA[Student Number],YES_Writing_FLA[Student Number]),0),MATCH(VLOOKUP(G$7,'Writing Logic'!$J$7:$K$11,2,FALSE)&amp;" - Per "&amp;VLOOKUP($C$4,'Writing Logic'!$G$8:$H$14,2,FALSE),YES_Writing_ELA[#Headers],0)))="INS",'Writing Logic'!$B$7,IF(INDEX(_xlfn.VSTACK(YES_Writing_ELA[#Data],YES_Writing_FLA[#Data]),MATCH($A227,_xlfn.VSTACK(YES_Writing_ELA[Student Number],YES_Writing_FLA[Student Number]),0),MATCH(VLOOKUP(G$7,'Writing Logic'!$J$7:$K$11,2,FALSE)&amp;" - Per "&amp;VLOOKUP($C$4,'Writing Logic'!$G$8:$H$14,2,FALSE),YES_Writing_ELA[#Headers],0))=0,"",INDEX(_xlfn.VSTACK(YES_Writing_ELA[#Data],YES_Writing_FLA[#Data]),MATCH($A227,_xlfn.VSTACK(YES_Writing_ELA[Student Number],YES_Writing_FLA[Student Number]),0),MATCH(VLOOKUP(G$7,'Writing Logic'!$J$7:$K$11,2,FALSE)&amp;" - Per "&amp;VLOOKUP($C$4,'Writing Logic'!$G$8:$H$14,2,FALSE),YES_Writing_ELA[#Headers],0)))),"")</f>
        <v/>
      </c>
      <c r="H227" s="138" t="str">
        <f>IFERROR(IF(IF(INDEX(_xlfn.VSTACK(YES_Writing_ELA[#Data],YES_Writing_FLA[#Data]),MATCH($A227,_xlfn.VSTACK(YES_Writing_ELA[Student Number],YES_Writing_FLA[Student Number]),0),MATCH(VLOOKUP(H$7,'Writing Logic'!$J$7:$K$11,2,FALSE)&amp;" - Per "&amp;VLOOKUP($C$4,'Writing Logic'!$G$8:$H$14,2,FALSE),YES_Writing_ELA[#Headers],0))=0,"",INDEX(_xlfn.VSTACK(YES_Writing_ELA[#Data],YES_Writing_FLA[#Data]),MATCH($A227,_xlfn.VSTACK(YES_Writing_ELA[Student Number],YES_Writing_FLA[Student Number]),0),MATCH(VLOOKUP(H$7,'Writing Logic'!$J$7:$K$11,2,FALSE)&amp;" - Per "&amp;VLOOKUP($C$4,'Writing Logic'!$G$8:$H$14,2,FALSE),YES_Writing_ELA[#Headers],0)))="INS",'Writing Logic'!$B$7,IF(INDEX(_xlfn.VSTACK(YES_Writing_ELA[#Data],YES_Writing_FLA[#Data]),MATCH($A227,_xlfn.VSTACK(YES_Writing_ELA[Student Number],YES_Writing_FLA[Student Number]),0),MATCH(VLOOKUP(H$7,'Writing Logic'!$J$7:$K$11,2,FALSE)&amp;" - Per "&amp;VLOOKUP($C$4,'Writing Logic'!$G$8:$H$14,2,FALSE),YES_Writing_ELA[#Headers],0))=0,"",INDEX(_xlfn.VSTACK(YES_Writing_ELA[#Data],YES_Writing_FLA[#Data]),MATCH($A227,_xlfn.VSTACK(YES_Writing_ELA[Student Number],YES_Writing_FLA[Student Number]),0),MATCH(VLOOKUP(H$7,'Writing Logic'!$J$7:$K$11,2,FALSE)&amp;" - Per "&amp;VLOOKUP($C$4,'Writing Logic'!$G$8:$H$14,2,FALSE),YES_Writing_ELA[#Headers],0)))),"")</f>
        <v/>
      </c>
    </row>
    <row r="228" spans="1:8" x14ac:dyDescent="0.25">
      <c r="A228" s="137"/>
      <c r="B228" s="137" t="str">
        <f>IFERROR(INDEX(_xlfn.VSTACK(YES_Writing_ELA[#Data], YES_Writing_FLA[#Data]),MATCH($A228,_xlfn.VSTACK(YES_Writing_ELA[Student Number], YES_Writing_FLA[Student Number]),0),MATCH(B$7,YES_Writing_ELA[#Headers],0)),"")</f>
        <v/>
      </c>
      <c r="C228" s="137" t="str">
        <f>IFERROR(INDEX(_xlfn.VSTACK(YES_Writing_ELA[#Data], YES_Writing_FLA[#Data]),MATCH($A228,_xlfn.VSTACK(YES_Writing_ELA[Student Number], YES_Writing_FLA[Student Number]),0),MATCH(C$7,YES_Writing_ELA[#Headers],0)),"")</f>
        <v/>
      </c>
      <c r="D228" s="138" t="str">
        <f>IFERROR(IF(IF(INDEX(_xlfn.VSTACK(YES_Writing_ELA[#Data],YES_Writing_FLA[#Data]),MATCH($A228,_xlfn.VSTACK(YES_Writing_ELA[Student Number],YES_Writing_FLA[Student Number]),0),MATCH(VLOOKUP(D$7,'Writing Logic'!$J$7:$K$11,2,FALSE)&amp;" - Per "&amp;VLOOKUP($C$4,'Writing Logic'!$G$8:$H$14,2,FALSE),YES_Writing_ELA[#Headers],0))=0,"",INDEX(_xlfn.VSTACK(YES_Writing_ELA[#Data],YES_Writing_FLA[#Data]),MATCH($A228,_xlfn.VSTACK(YES_Writing_ELA[Student Number],YES_Writing_FLA[Student Number]),0),MATCH(VLOOKUP(D$7,'Writing Logic'!$J$7:$K$11,2,FALSE)&amp;" - Per "&amp;VLOOKUP($C$4,'Writing Logic'!$G$8:$H$14,2,FALSE),YES_Writing_ELA[#Headers],0)))="INS",'Writing Logic'!$B$7,IF(INDEX(_xlfn.VSTACK(YES_Writing_ELA[#Data],YES_Writing_FLA[#Data]),MATCH($A228,_xlfn.VSTACK(YES_Writing_ELA[Student Number],YES_Writing_FLA[Student Number]),0),MATCH(VLOOKUP(D$7,'Writing Logic'!$J$7:$K$11,2,FALSE)&amp;" - Per "&amp;VLOOKUP($C$4,'Writing Logic'!$G$8:$H$14,2,FALSE),YES_Writing_ELA[#Headers],0))=0,"",INDEX(_xlfn.VSTACK(YES_Writing_ELA[#Data],YES_Writing_FLA[#Data]),MATCH($A228,_xlfn.VSTACK(YES_Writing_ELA[Student Number],YES_Writing_FLA[Student Number]),0),MATCH(VLOOKUP(D$7,'Writing Logic'!$J$7:$K$11,2,FALSE)&amp;" - Per "&amp;VLOOKUP($C$4,'Writing Logic'!$G$8:$H$14,2,FALSE),YES_Writing_ELA[#Headers],0)))),"")</f>
        <v/>
      </c>
      <c r="E228" s="138" t="str">
        <f>IFERROR(IF(IF(INDEX(_xlfn.VSTACK(YES_Writing_ELA[#Data],YES_Writing_FLA[#Data]),MATCH($A228,_xlfn.VSTACK(YES_Writing_ELA[Student Number],YES_Writing_FLA[Student Number]),0),MATCH(VLOOKUP(E$7,'Writing Logic'!$J$7:$K$11,2,FALSE)&amp;" - Per "&amp;VLOOKUP($C$4,'Writing Logic'!$G$8:$H$14,2,FALSE),YES_Writing_ELA[#Headers],0))=0,"",INDEX(_xlfn.VSTACK(YES_Writing_ELA[#Data],YES_Writing_FLA[#Data]),MATCH($A228,_xlfn.VSTACK(YES_Writing_ELA[Student Number],YES_Writing_FLA[Student Number]),0),MATCH(VLOOKUP(E$7,'Writing Logic'!$J$7:$K$11,2,FALSE)&amp;" - Per "&amp;VLOOKUP($C$4,'Writing Logic'!$G$8:$H$14,2,FALSE),YES_Writing_ELA[#Headers],0)))="INS",'Writing Logic'!$B$7,IF(INDEX(_xlfn.VSTACK(YES_Writing_ELA[#Data],YES_Writing_FLA[#Data]),MATCH($A228,_xlfn.VSTACK(YES_Writing_ELA[Student Number],YES_Writing_FLA[Student Number]),0),MATCH(VLOOKUP(E$7,'Writing Logic'!$J$7:$K$11,2,FALSE)&amp;" - Per "&amp;VLOOKUP($C$4,'Writing Logic'!$G$8:$H$14,2,FALSE),YES_Writing_ELA[#Headers],0))=0,"",INDEX(_xlfn.VSTACK(YES_Writing_ELA[#Data],YES_Writing_FLA[#Data]),MATCH($A228,_xlfn.VSTACK(YES_Writing_ELA[Student Number],YES_Writing_FLA[Student Number]),0),MATCH(VLOOKUP(E$7,'Writing Logic'!$J$7:$K$11,2,FALSE)&amp;" - Per "&amp;VLOOKUP($C$4,'Writing Logic'!$G$8:$H$14,2,FALSE),YES_Writing_ELA[#Headers],0)))),"")</f>
        <v/>
      </c>
      <c r="F228" s="138" t="str">
        <f>IFERROR(IF(IF(INDEX(_xlfn.VSTACK(YES_Writing_ELA[#Data],YES_Writing_FLA[#Data]),MATCH($A228,_xlfn.VSTACK(YES_Writing_ELA[Student Number],YES_Writing_FLA[Student Number]),0),MATCH(VLOOKUP(F$7,'Writing Logic'!$J$7:$K$11,2,FALSE)&amp;" - Per "&amp;VLOOKUP($C$4,'Writing Logic'!$G$8:$H$14,2,FALSE),YES_Writing_ELA[#Headers],0))=0,"",INDEX(_xlfn.VSTACK(YES_Writing_ELA[#Data],YES_Writing_FLA[#Data]),MATCH($A228,_xlfn.VSTACK(YES_Writing_ELA[Student Number],YES_Writing_FLA[Student Number]),0),MATCH(VLOOKUP(F$7,'Writing Logic'!$J$7:$K$11,2,FALSE)&amp;" - Per "&amp;VLOOKUP($C$4,'Writing Logic'!$G$8:$H$14,2,FALSE),YES_Writing_ELA[#Headers],0)))="INS",'Writing Logic'!$B$7,IF(INDEX(_xlfn.VSTACK(YES_Writing_ELA[#Data],YES_Writing_FLA[#Data]),MATCH($A228,_xlfn.VSTACK(YES_Writing_ELA[Student Number],YES_Writing_FLA[Student Number]),0),MATCH(VLOOKUP(F$7,'Writing Logic'!$J$7:$K$11,2,FALSE)&amp;" - Per "&amp;VLOOKUP($C$4,'Writing Logic'!$G$8:$H$14,2,FALSE),YES_Writing_ELA[#Headers],0))=0,"",INDEX(_xlfn.VSTACK(YES_Writing_ELA[#Data],YES_Writing_FLA[#Data]),MATCH($A228,_xlfn.VSTACK(YES_Writing_ELA[Student Number],YES_Writing_FLA[Student Number]),0),MATCH(VLOOKUP(F$7,'Writing Logic'!$J$7:$K$11,2,FALSE)&amp;" - Per "&amp;VLOOKUP($C$4,'Writing Logic'!$G$8:$H$14,2,FALSE),YES_Writing_ELA[#Headers],0)))),"")</f>
        <v/>
      </c>
      <c r="G228" s="138" t="str">
        <f>IFERROR(IF(IF(INDEX(_xlfn.VSTACK(YES_Writing_ELA[#Data],YES_Writing_FLA[#Data]),MATCH($A228,_xlfn.VSTACK(YES_Writing_ELA[Student Number],YES_Writing_FLA[Student Number]),0),MATCH(VLOOKUP(G$7,'Writing Logic'!$J$7:$K$11,2,FALSE)&amp;" - Per "&amp;VLOOKUP($C$4,'Writing Logic'!$G$8:$H$14,2,FALSE),YES_Writing_ELA[#Headers],0))=0,"",INDEX(_xlfn.VSTACK(YES_Writing_ELA[#Data],YES_Writing_FLA[#Data]),MATCH($A228,_xlfn.VSTACK(YES_Writing_ELA[Student Number],YES_Writing_FLA[Student Number]),0),MATCH(VLOOKUP(G$7,'Writing Logic'!$J$7:$K$11,2,FALSE)&amp;" - Per "&amp;VLOOKUP($C$4,'Writing Logic'!$G$8:$H$14,2,FALSE),YES_Writing_ELA[#Headers],0)))="INS",'Writing Logic'!$B$7,IF(INDEX(_xlfn.VSTACK(YES_Writing_ELA[#Data],YES_Writing_FLA[#Data]),MATCH($A228,_xlfn.VSTACK(YES_Writing_ELA[Student Number],YES_Writing_FLA[Student Number]),0),MATCH(VLOOKUP(G$7,'Writing Logic'!$J$7:$K$11,2,FALSE)&amp;" - Per "&amp;VLOOKUP($C$4,'Writing Logic'!$G$8:$H$14,2,FALSE),YES_Writing_ELA[#Headers],0))=0,"",INDEX(_xlfn.VSTACK(YES_Writing_ELA[#Data],YES_Writing_FLA[#Data]),MATCH($A228,_xlfn.VSTACK(YES_Writing_ELA[Student Number],YES_Writing_FLA[Student Number]),0),MATCH(VLOOKUP(G$7,'Writing Logic'!$J$7:$K$11,2,FALSE)&amp;" - Per "&amp;VLOOKUP($C$4,'Writing Logic'!$G$8:$H$14,2,FALSE),YES_Writing_ELA[#Headers],0)))),"")</f>
        <v/>
      </c>
      <c r="H228" s="138" t="str">
        <f>IFERROR(IF(IF(INDEX(_xlfn.VSTACK(YES_Writing_ELA[#Data],YES_Writing_FLA[#Data]),MATCH($A228,_xlfn.VSTACK(YES_Writing_ELA[Student Number],YES_Writing_FLA[Student Number]),0),MATCH(VLOOKUP(H$7,'Writing Logic'!$J$7:$K$11,2,FALSE)&amp;" - Per "&amp;VLOOKUP($C$4,'Writing Logic'!$G$8:$H$14,2,FALSE),YES_Writing_ELA[#Headers],0))=0,"",INDEX(_xlfn.VSTACK(YES_Writing_ELA[#Data],YES_Writing_FLA[#Data]),MATCH($A228,_xlfn.VSTACK(YES_Writing_ELA[Student Number],YES_Writing_FLA[Student Number]),0),MATCH(VLOOKUP(H$7,'Writing Logic'!$J$7:$K$11,2,FALSE)&amp;" - Per "&amp;VLOOKUP($C$4,'Writing Logic'!$G$8:$H$14,2,FALSE),YES_Writing_ELA[#Headers],0)))="INS",'Writing Logic'!$B$7,IF(INDEX(_xlfn.VSTACK(YES_Writing_ELA[#Data],YES_Writing_FLA[#Data]),MATCH($A228,_xlfn.VSTACK(YES_Writing_ELA[Student Number],YES_Writing_FLA[Student Number]),0),MATCH(VLOOKUP(H$7,'Writing Logic'!$J$7:$K$11,2,FALSE)&amp;" - Per "&amp;VLOOKUP($C$4,'Writing Logic'!$G$8:$H$14,2,FALSE),YES_Writing_ELA[#Headers],0))=0,"",INDEX(_xlfn.VSTACK(YES_Writing_ELA[#Data],YES_Writing_FLA[#Data]),MATCH($A228,_xlfn.VSTACK(YES_Writing_ELA[Student Number],YES_Writing_FLA[Student Number]),0),MATCH(VLOOKUP(H$7,'Writing Logic'!$J$7:$K$11,2,FALSE)&amp;" - Per "&amp;VLOOKUP($C$4,'Writing Logic'!$G$8:$H$14,2,FALSE),YES_Writing_ELA[#Headers],0)))),"")</f>
        <v/>
      </c>
    </row>
    <row r="229" spans="1:8" x14ac:dyDescent="0.25">
      <c r="A229" s="137"/>
      <c r="B229" s="137" t="str">
        <f>IFERROR(INDEX(_xlfn.VSTACK(YES_Writing_ELA[#Data], YES_Writing_FLA[#Data]),MATCH($A229,_xlfn.VSTACK(YES_Writing_ELA[Student Number], YES_Writing_FLA[Student Number]),0),MATCH(B$7,YES_Writing_ELA[#Headers],0)),"")</f>
        <v/>
      </c>
      <c r="C229" s="137" t="str">
        <f>IFERROR(INDEX(_xlfn.VSTACK(YES_Writing_ELA[#Data], YES_Writing_FLA[#Data]),MATCH($A229,_xlfn.VSTACK(YES_Writing_ELA[Student Number], YES_Writing_FLA[Student Number]),0),MATCH(C$7,YES_Writing_ELA[#Headers],0)),"")</f>
        <v/>
      </c>
      <c r="D229" s="138" t="str">
        <f>IFERROR(IF(IF(INDEX(_xlfn.VSTACK(YES_Writing_ELA[#Data],YES_Writing_FLA[#Data]),MATCH($A229,_xlfn.VSTACK(YES_Writing_ELA[Student Number],YES_Writing_FLA[Student Number]),0),MATCH(VLOOKUP(D$7,'Writing Logic'!$J$7:$K$11,2,FALSE)&amp;" - Per "&amp;VLOOKUP($C$4,'Writing Logic'!$G$8:$H$14,2,FALSE),YES_Writing_ELA[#Headers],0))=0,"",INDEX(_xlfn.VSTACK(YES_Writing_ELA[#Data],YES_Writing_FLA[#Data]),MATCH($A229,_xlfn.VSTACK(YES_Writing_ELA[Student Number],YES_Writing_FLA[Student Number]),0),MATCH(VLOOKUP(D$7,'Writing Logic'!$J$7:$K$11,2,FALSE)&amp;" - Per "&amp;VLOOKUP($C$4,'Writing Logic'!$G$8:$H$14,2,FALSE),YES_Writing_ELA[#Headers],0)))="INS",'Writing Logic'!$B$7,IF(INDEX(_xlfn.VSTACK(YES_Writing_ELA[#Data],YES_Writing_FLA[#Data]),MATCH($A229,_xlfn.VSTACK(YES_Writing_ELA[Student Number],YES_Writing_FLA[Student Number]),0),MATCH(VLOOKUP(D$7,'Writing Logic'!$J$7:$K$11,2,FALSE)&amp;" - Per "&amp;VLOOKUP($C$4,'Writing Logic'!$G$8:$H$14,2,FALSE),YES_Writing_ELA[#Headers],0))=0,"",INDEX(_xlfn.VSTACK(YES_Writing_ELA[#Data],YES_Writing_FLA[#Data]),MATCH($A229,_xlfn.VSTACK(YES_Writing_ELA[Student Number],YES_Writing_FLA[Student Number]),0),MATCH(VLOOKUP(D$7,'Writing Logic'!$J$7:$K$11,2,FALSE)&amp;" - Per "&amp;VLOOKUP($C$4,'Writing Logic'!$G$8:$H$14,2,FALSE),YES_Writing_ELA[#Headers],0)))),"")</f>
        <v/>
      </c>
      <c r="E229" s="138" t="str">
        <f>IFERROR(IF(IF(INDEX(_xlfn.VSTACK(YES_Writing_ELA[#Data],YES_Writing_FLA[#Data]),MATCH($A229,_xlfn.VSTACK(YES_Writing_ELA[Student Number],YES_Writing_FLA[Student Number]),0),MATCH(VLOOKUP(E$7,'Writing Logic'!$J$7:$K$11,2,FALSE)&amp;" - Per "&amp;VLOOKUP($C$4,'Writing Logic'!$G$8:$H$14,2,FALSE),YES_Writing_ELA[#Headers],0))=0,"",INDEX(_xlfn.VSTACK(YES_Writing_ELA[#Data],YES_Writing_FLA[#Data]),MATCH($A229,_xlfn.VSTACK(YES_Writing_ELA[Student Number],YES_Writing_FLA[Student Number]),0),MATCH(VLOOKUP(E$7,'Writing Logic'!$J$7:$K$11,2,FALSE)&amp;" - Per "&amp;VLOOKUP($C$4,'Writing Logic'!$G$8:$H$14,2,FALSE),YES_Writing_ELA[#Headers],0)))="INS",'Writing Logic'!$B$7,IF(INDEX(_xlfn.VSTACK(YES_Writing_ELA[#Data],YES_Writing_FLA[#Data]),MATCH($A229,_xlfn.VSTACK(YES_Writing_ELA[Student Number],YES_Writing_FLA[Student Number]),0),MATCH(VLOOKUP(E$7,'Writing Logic'!$J$7:$K$11,2,FALSE)&amp;" - Per "&amp;VLOOKUP($C$4,'Writing Logic'!$G$8:$H$14,2,FALSE),YES_Writing_ELA[#Headers],0))=0,"",INDEX(_xlfn.VSTACK(YES_Writing_ELA[#Data],YES_Writing_FLA[#Data]),MATCH($A229,_xlfn.VSTACK(YES_Writing_ELA[Student Number],YES_Writing_FLA[Student Number]),0),MATCH(VLOOKUP(E$7,'Writing Logic'!$J$7:$K$11,2,FALSE)&amp;" - Per "&amp;VLOOKUP($C$4,'Writing Logic'!$G$8:$H$14,2,FALSE),YES_Writing_ELA[#Headers],0)))),"")</f>
        <v/>
      </c>
      <c r="F229" s="138" t="str">
        <f>IFERROR(IF(IF(INDEX(_xlfn.VSTACK(YES_Writing_ELA[#Data],YES_Writing_FLA[#Data]),MATCH($A229,_xlfn.VSTACK(YES_Writing_ELA[Student Number],YES_Writing_FLA[Student Number]),0),MATCH(VLOOKUP(F$7,'Writing Logic'!$J$7:$K$11,2,FALSE)&amp;" - Per "&amp;VLOOKUP($C$4,'Writing Logic'!$G$8:$H$14,2,FALSE),YES_Writing_ELA[#Headers],0))=0,"",INDEX(_xlfn.VSTACK(YES_Writing_ELA[#Data],YES_Writing_FLA[#Data]),MATCH($A229,_xlfn.VSTACK(YES_Writing_ELA[Student Number],YES_Writing_FLA[Student Number]),0),MATCH(VLOOKUP(F$7,'Writing Logic'!$J$7:$K$11,2,FALSE)&amp;" - Per "&amp;VLOOKUP($C$4,'Writing Logic'!$G$8:$H$14,2,FALSE),YES_Writing_ELA[#Headers],0)))="INS",'Writing Logic'!$B$7,IF(INDEX(_xlfn.VSTACK(YES_Writing_ELA[#Data],YES_Writing_FLA[#Data]),MATCH($A229,_xlfn.VSTACK(YES_Writing_ELA[Student Number],YES_Writing_FLA[Student Number]),0),MATCH(VLOOKUP(F$7,'Writing Logic'!$J$7:$K$11,2,FALSE)&amp;" - Per "&amp;VLOOKUP($C$4,'Writing Logic'!$G$8:$H$14,2,FALSE),YES_Writing_ELA[#Headers],0))=0,"",INDEX(_xlfn.VSTACK(YES_Writing_ELA[#Data],YES_Writing_FLA[#Data]),MATCH($A229,_xlfn.VSTACK(YES_Writing_ELA[Student Number],YES_Writing_FLA[Student Number]),0),MATCH(VLOOKUP(F$7,'Writing Logic'!$J$7:$K$11,2,FALSE)&amp;" - Per "&amp;VLOOKUP($C$4,'Writing Logic'!$G$8:$H$14,2,FALSE),YES_Writing_ELA[#Headers],0)))),"")</f>
        <v/>
      </c>
      <c r="G229" s="138" t="str">
        <f>IFERROR(IF(IF(INDEX(_xlfn.VSTACK(YES_Writing_ELA[#Data],YES_Writing_FLA[#Data]),MATCH($A229,_xlfn.VSTACK(YES_Writing_ELA[Student Number],YES_Writing_FLA[Student Number]),0),MATCH(VLOOKUP(G$7,'Writing Logic'!$J$7:$K$11,2,FALSE)&amp;" - Per "&amp;VLOOKUP($C$4,'Writing Logic'!$G$8:$H$14,2,FALSE),YES_Writing_ELA[#Headers],0))=0,"",INDEX(_xlfn.VSTACK(YES_Writing_ELA[#Data],YES_Writing_FLA[#Data]),MATCH($A229,_xlfn.VSTACK(YES_Writing_ELA[Student Number],YES_Writing_FLA[Student Number]),0),MATCH(VLOOKUP(G$7,'Writing Logic'!$J$7:$K$11,2,FALSE)&amp;" - Per "&amp;VLOOKUP($C$4,'Writing Logic'!$G$8:$H$14,2,FALSE),YES_Writing_ELA[#Headers],0)))="INS",'Writing Logic'!$B$7,IF(INDEX(_xlfn.VSTACK(YES_Writing_ELA[#Data],YES_Writing_FLA[#Data]),MATCH($A229,_xlfn.VSTACK(YES_Writing_ELA[Student Number],YES_Writing_FLA[Student Number]),0),MATCH(VLOOKUP(G$7,'Writing Logic'!$J$7:$K$11,2,FALSE)&amp;" - Per "&amp;VLOOKUP($C$4,'Writing Logic'!$G$8:$H$14,2,FALSE),YES_Writing_ELA[#Headers],0))=0,"",INDEX(_xlfn.VSTACK(YES_Writing_ELA[#Data],YES_Writing_FLA[#Data]),MATCH($A229,_xlfn.VSTACK(YES_Writing_ELA[Student Number],YES_Writing_FLA[Student Number]),0),MATCH(VLOOKUP(G$7,'Writing Logic'!$J$7:$K$11,2,FALSE)&amp;" - Per "&amp;VLOOKUP($C$4,'Writing Logic'!$G$8:$H$14,2,FALSE),YES_Writing_ELA[#Headers],0)))),"")</f>
        <v/>
      </c>
      <c r="H229" s="138" t="str">
        <f>IFERROR(IF(IF(INDEX(_xlfn.VSTACK(YES_Writing_ELA[#Data],YES_Writing_FLA[#Data]),MATCH($A229,_xlfn.VSTACK(YES_Writing_ELA[Student Number],YES_Writing_FLA[Student Number]),0),MATCH(VLOOKUP(H$7,'Writing Logic'!$J$7:$K$11,2,FALSE)&amp;" - Per "&amp;VLOOKUP($C$4,'Writing Logic'!$G$8:$H$14,2,FALSE),YES_Writing_ELA[#Headers],0))=0,"",INDEX(_xlfn.VSTACK(YES_Writing_ELA[#Data],YES_Writing_FLA[#Data]),MATCH($A229,_xlfn.VSTACK(YES_Writing_ELA[Student Number],YES_Writing_FLA[Student Number]),0),MATCH(VLOOKUP(H$7,'Writing Logic'!$J$7:$K$11,2,FALSE)&amp;" - Per "&amp;VLOOKUP($C$4,'Writing Logic'!$G$8:$H$14,2,FALSE),YES_Writing_ELA[#Headers],0)))="INS",'Writing Logic'!$B$7,IF(INDEX(_xlfn.VSTACK(YES_Writing_ELA[#Data],YES_Writing_FLA[#Data]),MATCH($A229,_xlfn.VSTACK(YES_Writing_ELA[Student Number],YES_Writing_FLA[Student Number]),0),MATCH(VLOOKUP(H$7,'Writing Logic'!$J$7:$K$11,2,FALSE)&amp;" - Per "&amp;VLOOKUP($C$4,'Writing Logic'!$G$8:$H$14,2,FALSE),YES_Writing_ELA[#Headers],0))=0,"",INDEX(_xlfn.VSTACK(YES_Writing_ELA[#Data],YES_Writing_FLA[#Data]),MATCH($A229,_xlfn.VSTACK(YES_Writing_ELA[Student Number],YES_Writing_FLA[Student Number]),0),MATCH(VLOOKUP(H$7,'Writing Logic'!$J$7:$K$11,2,FALSE)&amp;" - Per "&amp;VLOOKUP($C$4,'Writing Logic'!$G$8:$H$14,2,FALSE),YES_Writing_ELA[#Headers],0)))),"")</f>
        <v/>
      </c>
    </row>
    <row r="230" spans="1:8" x14ac:dyDescent="0.25">
      <c r="A230" s="137"/>
      <c r="B230" s="137" t="str">
        <f>IFERROR(INDEX(_xlfn.VSTACK(YES_Writing_ELA[#Data], YES_Writing_FLA[#Data]),MATCH($A230,_xlfn.VSTACK(YES_Writing_ELA[Student Number], YES_Writing_FLA[Student Number]),0),MATCH(B$7,YES_Writing_ELA[#Headers],0)),"")</f>
        <v/>
      </c>
      <c r="C230" s="137" t="str">
        <f>IFERROR(INDEX(_xlfn.VSTACK(YES_Writing_ELA[#Data], YES_Writing_FLA[#Data]),MATCH($A230,_xlfn.VSTACK(YES_Writing_ELA[Student Number], YES_Writing_FLA[Student Number]),0),MATCH(C$7,YES_Writing_ELA[#Headers],0)),"")</f>
        <v/>
      </c>
      <c r="D230" s="138" t="str">
        <f>IFERROR(IF(IF(INDEX(_xlfn.VSTACK(YES_Writing_ELA[#Data],YES_Writing_FLA[#Data]),MATCH($A230,_xlfn.VSTACK(YES_Writing_ELA[Student Number],YES_Writing_FLA[Student Number]),0),MATCH(VLOOKUP(D$7,'Writing Logic'!$J$7:$K$11,2,FALSE)&amp;" - Per "&amp;VLOOKUP($C$4,'Writing Logic'!$G$8:$H$14,2,FALSE),YES_Writing_ELA[#Headers],0))=0,"",INDEX(_xlfn.VSTACK(YES_Writing_ELA[#Data],YES_Writing_FLA[#Data]),MATCH($A230,_xlfn.VSTACK(YES_Writing_ELA[Student Number],YES_Writing_FLA[Student Number]),0),MATCH(VLOOKUP(D$7,'Writing Logic'!$J$7:$K$11,2,FALSE)&amp;" - Per "&amp;VLOOKUP($C$4,'Writing Logic'!$G$8:$H$14,2,FALSE),YES_Writing_ELA[#Headers],0)))="INS",'Writing Logic'!$B$7,IF(INDEX(_xlfn.VSTACK(YES_Writing_ELA[#Data],YES_Writing_FLA[#Data]),MATCH($A230,_xlfn.VSTACK(YES_Writing_ELA[Student Number],YES_Writing_FLA[Student Number]),0),MATCH(VLOOKUP(D$7,'Writing Logic'!$J$7:$K$11,2,FALSE)&amp;" - Per "&amp;VLOOKUP($C$4,'Writing Logic'!$G$8:$H$14,2,FALSE),YES_Writing_ELA[#Headers],0))=0,"",INDEX(_xlfn.VSTACK(YES_Writing_ELA[#Data],YES_Writing_FLA[#Data]),MATCH($A230,_xlfn.VSTACK(YES_Writing_ELA[Student Number],YES_Writing_FLA[Student Number]),0),MATCH(VLOOKUP(D$7,'Writing Logic'!$J$7:$K$11,2,FALSE)&amp;" - Per "&amp;VLOOKUP($C$4,'Writing Logic'!$G$8:$H$14,2,FALSE),YES_Writing_ELA[#Headers],0)))),"")</f>
        <v/>
      </c>
      <c r="E230" s="138" t="str">
        <f>IFERROR(IF(IF(INDEX(_xlfn.VSTACK(YES_Writing_ELA[#Data],YES_Writing_FLA[#Data]),MATCH($A230,_xlfn.VSTACK(YES_Writing_ELA[Student Number],YES_Writing_FLA[Student Number]),0),MATCH(VLOOKUP(E$7,'Writing Logic'!$J$7:$K$11,2,FALSE)&amp;" - Per "&amp;VLOOKUP($C$4,'Writing Logic'!$G$8:$H$14,2,FALSE),YES_Writing_ELA[#Headers],0))=0,"",INDEX(_xlfn.VSTACK(YES_Writing_ELA[#Data],YES_Writing_FLA[#Data]),MATCH($A230,_xlfn.VSTACK(YES_Writing_ELA[Student Number],YES_Writing_FLA[Student Number]),0),MATCH(VLOOKUP(E$7,'Writing Logic'!$J$7:$K$11,2,FALSE)&amp;" - Per "&amp;VLOOKUP($C$4,'Writing Logic'!$G$8:$H$14,2,FALSE),YES_Writing_ELA[#Headers],0)))="INS",'Writing Logic'!$B$7,IF(INDEX(_xlfn.VSTACK(YES_Writing_ELA[#Data],YES_Writing_FLA[#Data]),MATCH($A230,_xlfn.VSTACK(YES_Writing_ELA[Student Number],YES_Writing_FLA[Student Number]),0),MATCH(VLOOKUP(E$7,'Writing Logic'!$J$7:$K$11,2,FALSE)&amp;" - Per "&amp;VLOOKUP($C$4,'Writing Logic'!$G$8:$H$14,2,FALSE),YES_Writing_ELA[#Headers],0))=0,"",INDEX(_xlfn.VSTACK(YES_Writing_ELA[#Data],YES_Writing_FLA[#Data]),MATCH($A230,_xlfn.VSTACK(YES_Writing_ELA[Student Number],YES_Writing_FLA[Student Number]),0),MATCH(VLOOKUP(E$7,'Writing Logic'!$J$7:$K$11,2,FALSE)&amp;" - Per "&amp;VLOOKUP($C$4,'Writing Logic'!$G$8:$H$14,2,FALSE),YES_Writing_ELA[#Headers],0)))),"")</f>
        <v/>
      </c>
      <c r="F230" s="138" t="str">
        <f>IFERROR(IF(IF(INDEX(_xlfn.VSTACK(YES_Writing_ELA[#Data],YES_Writing_FLA[#Data]),MATCH($A230,_xlfn.VSTACK(YES_Writing_ELA[Student Number],YES_Writing_FLA[Student Number]),0),MATCH(VLOOKUP(F$7,'Writing Logic'!$J$7:$K$11,2,FALSE)&amp;" - Per "&amp;VLOOKUP($C$4,'Writing Logic'!$G$8:$H$14,2,FALSE),YES_Writing_ELA[#Headers],0))=0,"",INDEX(_xlfn.VSTACK(YES_Writing_ELA[#Data],YES_Writing_FLA[#Data]),MATCH($A230,_xlfn.VSTACK(YES_Writing_ELA[Student Number],YES_Writing_FLA[Student Number]),0),MATCH(VLOOKUP(F$7,'Writing Logic'!$J$7:$K$11,2,FALSE)&amp;" - Per "&amp;VLOOKUP($C$4,'Writing Logic'!$G$8:$H$14,2,FALSE),YES_Writing_ELA[#Headers],0)))="INS",'Writing Logic'!$B$7,IF(INDEX(_xlfn.VSTACK(YES_Writing_ELA[#Data],YES_Writing_FLA[#Data]),MATCH($A230,_xlfn.VSTACK(YES_Writing_ELA[Student Number],YES_Writing_FLA[Student Number]),0),MATCH(VLOOKUP(F$7,'Writing Logic'!$J$7:$K$11,2,FALSE)&amp;" - Per "&amp;VLOOKUP($C$4,'Writing Logic'!$G$8:$H$14,2,FALSE),YES_Writing_ELA[#Headers],0))=0,"",INDEX(_xlfn.VSTACK(YES_Writing_ELA[#Data],YES_Writing_FLA[#Data]),MATCH($A230,_xlfn.VSTACK(YES_Writing_ELA[Student Number],YES_Writing_FLA[Student Number]),0),MATCH(VLOOKUP(F$7,'Writing Logic'!$J$7:$K$11,2,FALSE)&amp;" - Per "&amp;VLOOKUP($C$4,'Writing Logic'!$G$8:$H$14,2,FALSE),YES_Writing_ELA[#Headers],0)))),"")</f>
        <v/>
      </c>
      <c r="G230" s="138" t="str">
        <f>IFERROR(IF(IF(INDEX(_xlfn.VSTACK(YES_Writing_ELA[#Data],YES_Writing_FLA[#Data]),MATCH($A230,_xlfn.VSTACK(YES_Writing_ELA[Student Number],YES_Writing_FLA[Student Number]),0),MATCH(VLOOKUP(G$7,'Writing Logic'!$J$7:$K$11,2,FALSE)&amp;" - Per "&amp;VLOOKUP($C$4,'Writing Logic'!$G$8:$H$14,2,FALSE),YES_Writing_ELA[#Headers],0))=0,"",INDEX(_xlfn.VSTACK(YES_Writing_ELA[#Data],YES_Writing_FLA[#Data]),MATCH($A230,_xlfn.VSTACK(YES_Writing_ELA[Student Number],YES_Writing_FLA[Student Number]),0),MATCH(VLOOKUP(G$7,'Writing Logic'!$J$7:$K$11,2,FALSE)&amp;" - Per "&amp;VLOOKUP($C$4,'Writing Logic'!$G$8:$H$14,2,FALSE),YES_Writing_ELA[#Headers],0)))="INS",'Writing Logic'!$B$7,IF(INDEX(_xlfn.VSTACK(YES_Writing_ELA[#Data],YES_Writing_FLA[#Data]),MATCH($A230,_xlfn.VSTACK(YES_Writing_ELA[Student Number],YES_Writing_FLA[Student Number]),0),MATCH(VLOOKUP(G$7,'Writing Logic'!$J$7:$K$11,2,FALSE)&amp;" - Per "&amp;VLOOKUP($C$4,'Writing Logic'!$G$8:$H$14,2,FALSE),YES_Writing_ELA[#Headers],0))=0,"",INDEX(_xlfn.VSTACK(YES_Writing_ELA[#Data],YES_Writing_FLA[#Data]),MATCH($A230,_xlfn.VSTACK(YES_Writing_ELA[Student Number],YES_Writing_FLA[Student Number]),0),MATCH(VLOOKUP(G$7,'Writing Logic'!$J$7:$K$11,2,FALSE)&amp;" - Per "&amp;VLOOKUP($C$4,'Writing Logic'!$G$8:$H$14,2,FALSE),YES_Writing_ELA[#Headers],0)))),"")</f>
        <v/>
      </c>
      <c r="H230" s="138" t="str">
        <f>IFERROR(IF(IF(INDEX(_xlfn.VSTACK(YES_Writing_ELA[#Data],YES_Writing_FLA[#Data]),MATCH($A230,_xlfn.VSTACK(YES_Writing_ELA[Student Number],YES_Writing_FLA[Student Number]),0),MATCH(VLOOKUP(H$7,'Writing Logic'!$J$7:$K$11,2,FALSE)&amp;" - Per "&amp;VLOOKUP($C$4,'Writing Logic'!$G$8:$H$14,2,FALSE),YES_Writing_ELA[#Headers],0))=0,"",INDEX(_xlfn.VSTACK(YES_Writing_ELA[#Data],YES_Writing_FLA[#Data]),MATCH($A230,_xlfn.VSTACK(YES_Writing_ELA[Student Number],YES_Writing_FLA[Student Number]),0),MATCH(VLOOKUP(H$7,'Writing Logic'!$J$7:$K$11,2,FALSE)&amp;" - Per "&amp;VLOOKUP($C$4,'Writing Logic'!$G$8:$H$14,2,FALSE),YES_Writing_ELA[#Headers],0)))="INS",'Writing Logic'!$B$7,IF(INDEX(_xlfn.VSTACK(YES_Writing_ELA[#Data],YES_Writing_FLA[#Data]),MATCH($A230,_xlfn.VSTACK(YES_Writing_ELA[Student Number],YES_Writing_FLA[Student Number]),0),MATCH(VLOOKUP(H$7,'Writing Logic'!$J$7:$K$11,2,FALSE)&amp;" - Per "&amp;VLOOKUP($C$4,'Writing Logic'!$G$8:$H$14,2,FALSE),YES_Writing_ELA[#Headers],0))=0,"",INDEX(_xlfn.VSTACK(YES_Writing_ELA[#Data],YES_Writing_FLA[#Data]),MATCH($A230,_xlfn.VSTACK(YES_Writing_ELA[Student Number],YES_Writing_FLA[Student Number]),0),MATCH(VLOOKUP(H$7,'Writing Logic'!$J$7:$K$11,2,FALSE)&amp;" - Per "&amp;VLOOKUP($C$4,'Writing Logic'!$G$8:$H$14,2,FALSE),YES_Writing_ELA[#Headers],0)))),"")</f>
        <v/>
      </c>
    </row>
    <row r="231" spans="1:8" x14ac:dyDescent="0.25">
      <c r="A231" s="137"/>
      <c r="B231" s="137" t="str">
        <f>IFERROR(INDEX(_xlfn.VSTACK(YES_Writing_ELA[#Data], YES_Writing_FLA[#Data]),MATCH($A231,_xlfn.VSTACK(YES_Writing_ELA[Student Number], YES_Writing_FLA[Student Number]),0),MATCH(B$7,YES_Writing_ELA[#Headers],0)),"")</f>
        <v/>
      </c>
      <c r="C231" s="137" t="str">
        <f>IFERROR(INDEX(_xlfn.VSTACK(YES_Writing_ELA[#Data], YES_Writing_FLA[#Data]),MATCH($A231,_xlfn.VSTACK(YES_Writing_ELA[Student Number], YES_Writing_FLA[Student Number]),0),MATCH(C$7,YES_Writing_ELA[#Headers],0)),"")</f>
        <v/>
      </c>
      <c r="D231" s="138" t="str">
        <f>IFERROR(IF(IF(INDEX(_xlfn.VSTACK(YES_Writing_ELA[#Data],YES_Writing_FLA[#Data]),MATCH($A231,_xlfn.VSTACK(YES_Writing_ELA[Student Number],YES_Writing_FLA[Student Number]),0),MATCH(VLOOKUP(D$7,'Writing Logic'!$J$7:$K$11,2,FALSE)&amp;" - Per "&amp;VLOOKUP($C$4,'Writing Logic'!$G$8:$H$14,2,FALSE),YES_Writing_ELA[#Headers],0))=0,"",INDEX(_xlfn.VSTACK(YES_Writing_ELA[#Data],YES_Writing_FLA[#Data]),MATCH($A231,_xlfn.VSTACK(YES_Writing_ELA[Student Number],YES_Writing_FLA[Student Number]),0),MATCH(VLOOKUP(D$7,'Writing Logic'!$J$7:$K$11,2,FALSE)&amp;" - Per "&amp;VLOOKUP($C$4,'Writing Logic'!$G$8:$H$14,2,FALSE),YES_Writing_ELA[#Headers],0)))="INS",'Writing Logic'!$B$7,IF(INDEX(_xlfn.VSTACK(YES_Writing_ELA[#Data],YES_Writing_FLA[#Data]),MATCH($A231,_xlfn.VSTACK(YES_Writing_ELA[Student Number],YES_Writing_FLA[Student Number]),0),MATCH(VLOOKUP(D$7,'Writing Logic'!$J$7:$K$11,2,FALSE)&amp;" - Per "&amp;VLOOKUP($C$4,'Writing Logic'!$G$8:$H$14,2,FALSE),YES_Writing_ELA[#Headers],0))=0,"",INDEX(_xlfn.VSTACK(YES_Writing_ELA[#Data],YES_Writing_FLA[#Data]),MATCH($A231,_xlfn.VSTACK(YES_Writing_ELA[Student Number],YES_Writing_FLA[Student Number]),0),MATCH(VLOOKUP(D$7,'Writing Logic'!$J$7:$K$11,2,FALSE)&amp;" - Per "&amp;VLOOKUP($C$4,'Writing Logic'!$G$8:$H$14,2,FALSE),YES_Writing_ELA[#Headers],0)))),"")</f>
        <v/>
      </c>
      <c r="E231" s="138" t="str">
        <f>IFERROR(IF(IF(INDEX(_xlfn.VSTACK(YES_Writing_ELA[#Data],YES_Writing_FLA[#Data]),MATCH($A231,_xlfn.VSTACK(YES_Writing_ELA[Student Number],YES_Writing_FLA[Student Number]),0),MATCH(VLOOKUP(E$7,'Writing Logic'!$J$7:$K$11,2,FALSE)&amp;" - Per "&amp;VLOOKUP($C$4,'Writing Logic'!$G$8:$H$14,2,FALSE),YES_Writing_ELA[#Headers],0))=0,"",INDEX(_xlfn.VSTACK(YES_Writing_ELA[#Data],YES_Writing_FLA[#Data]),MATCH($A231,_xlfn.VSTACK(YES_Writing_ELA[Student Number],YES_Writing_FLA[Student Number]),0),MATCH(VLOOKUP(E$7,'Writing Logic'!$J$7:$K$11,2,FALSE)&amp;" - Per "&amp;VLOOKUP($C$4,'Writing Logic'!$G$8:$H$14,2,FALSE),YES_Writing_ELA[#Headers],0)))="INS",'Writing Logic'!$B$7,IF(INDEX(_xlfn.VSTACK(YES_Writing_ELA[#Data],YES_Writing_FLA[#Data]),MATCH($A231,_xlfn.VSTACK(YES_Writing_ELA[Student Number],YES_Writing_FLA[Student Number]),0),MATCH(VLOOKUP(E$7,'Writing Logic'!$J$7:$K$11,2,FALSE)&amp;" - Per "&amp;VLOOKUP($C$4,'Writing Logic'!$G$8:$H$14,2,FALSE),YES_Writing_ELA[#Headers],0))=0,"",INDEX(_xlfn.VSTACK(YES_Writing_ELA[#Data],YES_Writing_FLA[#Data]),MATCH($A231,_xlfn.VSTACK(YES_Writing_ELA[Student Number],YES_Writing_FLA[Student Number]),0),MATCH(VLOOKUP(E$7,'Writing Logic'!$J$7:$K$11,2,FALSE)&amp;" - Per "&amp;VLOOKUP($C$4,'Writing Logic'!$G$8:$H$14,2,FALSE),YES_Writing_ELA[#Headers],0)))),"")</f>
        <v/>
      </c>
      <c r="F231" s="138" t="str">
        <f>IFERROR(IF(IF(INDEX(_xlfn.VSTACK(YES_Writing_ELA[#Data],YES_Writing_FLA[#Data]),MATCH($A231,_xlfn.VSTACK(YES_Writing_ELA[Student Number],YES_Writing_FLA[Student Number]),0),MATCH(VLOOKUP(F$7,'Writing Logic'!$J$7:$K$11,2,FALSE)&amp;" - Per "&amp;VLOOKUP($C$4,'Writing Logic'!$G$8:$H$14,2,FALSE),YES_Writing_ELA[#Headers],0))=0,"",INDEX(_xlfn.VSTACK(YES_Writing_ELA[#Data],YES_Writing_FLA[#Data]),MATCH($A231,_xlfn.VSTACK(YES_Writing_ELA[Student Number],YES_Writing_FLA[Student Number]),0),MATCH(VLOOKUP(F$7,'Writing Logic'!$J$7:$K$11,2,FALSE)&amp;" - Per "&amp;VLOOKUP($C$4,'Writing Logic'!$G$8:$H$14,2,FALSE),YES_Writing_ELA[#Headers],0)))="INS",'Writing Logic'!$B$7,IF(INDEX(_xlfn.VSTACK(YES_Writing_ELA[#Data],YES_Writing_FLA[#Data]),MATCH($A231,_xlfn.VSTACK(YES_Writing_ELA[Student Number],YES_Writing_FLA[Student Number]),0),MATCH(VLOOKUP(F$7,'Writing Logic'!$J$7:$K$11,2,FALSE)&amp;" - Per "&amp;VLOOKUP($C$4,'Writing Logic'!$G$8:$H$14,2,FALSE),YES_Writing_ELA[#Headers],0))=0,"",INDEX(_xlfn.VSTACK(YES_Writing_ELA[#Data],YES_Writing_FLA[#Data]),MATCH($A231,_xlfn.VSTACK(YES_Writing_ELA[Student Number],YES_Writing_FLA[Student Number]),0),MATCH(VLOOKUP(F$7,'Writing Logic'!$J$7:$K$11,2,FALSE)&amp;" - Per "&amp;VLOOKUP($C$4,'Writing Logic'!$G$8:$H$14,2,FALSE),YES_Writing_ELA[#Headers],0)))),"")</f>
        <v/>
      </c>
      <c r="G231" s="138" t="str">
        <f>IFERROR(IF(IF(INDEX(_xlfn.VSTACK(YES_Writing_ELA[#Data],YES_Writing_FLA[#Data]),MATCH($A231,_xlfn.VSTACK(YES_Writing_ELA[Student Number],YES_Writing_FLA[Student Number]),0),MATCH(VLOOKUP(G$7,'Writing Logic'!$J$7:$K$11,2,FALSE)&amp;" - Per "&amp;VLOOKUP($C$4,'Writing Logic'!$G$8:$H$14,2,FALSE),YES_Writing_ELA[#Headers],0))=0,"",INDEX(_xlfn.VSTACK(YES_Writing_ELA[#Data],YES_Writing_FLA[#Data]),MATCH($A231,_xlfn.VSTACK(YES_Writing_ELA[Student Number],YES_Writing_FLA[Student Number]),0),MATCH(VLOOKUP(G$7,'Writing Logic'!$J$7:$K$11,2,FALSE)&amp;" - Per "&amp;VLOOKUP($C$4,'Writing Logic'!$G$8:$H$14,2,FALSE),YES_Writing_ELA[#Headers],0)))="INS",'Writing Logic'!$B$7,IF(INDEX(_xlfn.VSTACK(YES_Writing_ELA[#Data],YES_Writing_FLA[#Data]),MATCH($A231,_xlfn.VSTACK(YES_Writing_ELA[Student Number],YES_Writing_FLA[Student Number]),0),MATCH(VLOOKUP(G$7,'Writing Logic'!$J$7:$K$11,2,FALSE)&amp;" - Per "&amp;VLOOKUP($C$4,'Writing Logic'!$G$8:$H$14,2,FALSE),YES_Writing_ELA[#Headers],0))=0,"",INDEX(_xlfn.VSTACK(YES_Writing_ELA[#Data],YES_Writing_FLA[#Data]),MATCH($A231,_xlfn.VSTACK(YES_Writing_ELA[Student Number],YES_Writing_FLA[Student Number]),0),MATCH(VLOOKUP(G$7,'Writing Logic'!$J$7:$K$11,2,FALSE)&amp;" - Per "&amp;VLOOKUP($C$4,'Writing Logic'!$G$8:$H$14,2,FALSE),YES_Writing_ELA[#Headers],0)))),"")</f>
        <v/>
      </c>
      <c r="H231" s="138" t="str">
        <f>IFERROR(IF(IF(INDEX(_xlfn.VSTACK(YES_Writing_ELA[#Data],YES_Writing_FLA[#Data]),MATCH($A231,_xlfn.VSTACK(YES_Writing_ELA[Student Number],YES_Writing_FLA[Student Number]),0),MATCH(VLOOKUP(H$7,'Writing Logic'!$J$7:$K$11,2,FALSE)&amp;" - Per "&amp;VLOOKUP($C$4,'Writing Logic'!$G$8:$H$14,2,FALSE),YES_Writing_ELA[#Headers],0))=0,"",INDEX(_xlfn.VSTACK(YES_Writing_ELA[#Data],YES_Writing_FLA[#Data]),MATCH($A231,_xlfn.VSTACK(YES_Writing_ELA[Student Number],YES_Writing_FLA[Student Number]),0),MATCH(VLOOKUP(H$7,'Writing Logic'!$J$7:$K$11,2,FALSE)&amp;" - Per "&amp;VLOOKUP($C$4,'Writing Logic'!$G$8:$H$14,2,FALSE),YES_Writing_ELA[#Headers],0)))="INS",'Writing Logic'!$B$7,IF(INDEX(_xlfn.VSTACK(YES_Writing_ELA[#Data],YES_Writing_FLA[#Data]),MATCH($A231,_xlfn.VSTACK(YES_Writing_ELA[Student Number],YES_Writing_FLA[Student Number]),0),MATCH(VLOOKUP(H$7,'Writing Logic'!$J$7:$K$11,2,FALSE)&amp;" - Per "&amp;VLOOKUP($C$4,'Writing Logic'!$G$8:$H$14,2,FALSE),YES_Writing_ELA[#Headers],0))=0,"",INDEX(_xlfn.VSTACK(YES_Writing_ELA[#Data],YES_Writing_FLA[#Data]),MATCH($A231,_xlfn.VSTACK(YES_Writing_ELA[Student Number],YES_Writing_FLA[Student Number]),0),MATCH(VLOOKUP(H$7,'Writing Logic'!$J$7:$K$11,2,FALSE)&amp;" - Per "&amp;VLOOKUP($C$4,'Writing Logic'!$G$8:$H$14,2,FALSE),YES_Writing_ELA[#Headers],0)))),"")</f>
        <v/>
      </c>
    </row>
    <row r="232" spans="1:8" x14ac:dyDescent="0.25">
      <c r="A232" s="137"/>
      <c r="B232" s="137" t="str">
        <f>IFERROR(INDEX(_xlfn.VSTACK(YES_Writing_ELA[#Data], YES_Writing_FLA[#Data]),MATCH($A232,_xlfn.VSTACK(YES_Writing_ELA[Student Number], YES_Writing_FLA[Student Number]),0),MATCH(B$7,YES_Writing_ELA[#Headers],0)),"")</f>
        <v/>
      </c>
      <c r="C232" s="137" t="str">
        <f>IFERROR(INDEX(_xlfn.VSTACK(YES_Writing_ELA[#Data], YES_Writing_FLA[#Data]),MATCH($A232,_xlfn.VSTACK(YES_Writing_ELA[Student Number], YES_Writing_FLA[Student Number]),0),MATCH(C$7,YES_Writing_ELA[#Headers],0)),"")</f>
        <v/>
      </c>
      <c r="D232" s="138" t="str">
        <f>IFERROR(IF(IF(INDEX(_xlfn.VSTACK(YES_Writing_ELA[#Data],YES_Writing_FLA[#Data]),MATCH($A232,_xlfn.VSTACK(YES_Writing_ELA[Student Number],YES_Writing_FLA[Student Number]),0),MATCH(VLOOKUP(D$7,'Writing Logic'!$J$7:$K$11,2,FALSE)&amp;" - Per "&amp;VLOOKUP($C$4,'Writing Logic'!$G$8:$H$14,2,FALSE),YES_Writing_ELA[#Headers],0))=0,"",INDEX(_xlfn.VSTACK(YES_Writing_ELA[#Data],YES_Writing_FLA[#Data]),MATCH($A232,_xlfn.VSTACK(YES_Writing_ELA[Student Number],YES_Writing_FLA[Student Number]),0),MATCH(VLOOKUP(D$7,'Writing Logic'!$J$7:$K$11,2,FALSE)&amp;" - Per "&amp;VLOOKUP($C$4,'Writing Logic'!$G$8:$H$14,2,FALSE),YES_Writing_ELA[#Headers],0)))="INS",'Writing Logic'!$B$7,IF(INDEX(_xlfn.VSTACK(YES_Writing_ELA[#Data],YES_Writing_FLA[#Data]),MATCH($A232,_xlfn.VSTACK(YES_Writing_ELA[Student Number],YES_Writing_FLA[Student Number]),0),MATCH(VLOOKUP(D$7,'Writing Logic'!$J$7:$K$11,2,FALSE)&amp;" - Per "&amp;VLOOKUP($C$4,'Writing Logic'!$G$8:$H$14,2,FALSE),YES_Writing_ELA[#Headers],0))=0,"",INDEX(_xlfn.VSTACK(YES_Writing_ELA[#Data],YES_Writing_FLA[#Data]),MATCH($A232,_xlfn.VSTACK(YES_Writing_ELA[Student Number],YES_Writing_FLA[Student Number]),0),MATCH(VLOOKUP(D$7,'Writing Logic'!$J$7:$K$11,2,FALSE)&amp;" - Per "&amp;VLOOKUP($C$4,'Writing Logic'!$G$8:$H$14,2,FALSE),YES_Writing_ELA[#Headers],0)))),"")</f>
        <v/>
      </c>
      <c r="E232" s="138" t="str">
        <f>IFERROR(IF(IF(INDEX(_xlfn.VSTACK(YES_Writing_ELA[#Data],YES_Writing_FLA[#Data]),MATCH($A232,_xlfn.VSTACK(YES_Writing_ELA[Student Number],YES_Writing_FLA[Student Number]),0),MATCH(VLOOKUP(E$7,'Writing Logic'!$J$7:$K$11,2,FALSE)&amp;" - Per "&amp;VLOOKUP($C$4,'Writing Logic'!$G$8:$H$14,2,FALSE),YES_Writing_ELA[#Headers],0))=0,"",INDEX(_xlfn.VSTACK(YES_Writing_ELA[#Data],YES_Writing_FLA[#Data]),MATCH($A232,_xlfn.VSTACK(YES_Writing_ELA[Student Number],YES_Writing_FLA[Student Number]),0),MATCH(VLOOKUP(E$7,'Writing Logic'!$J$7:$K$11,2,FALSE)&amp;" - Per "&amp;VLOOKUP($C$4,'Writing Logic'!$G$8:$H$14,2,FALSE),YES_Writing_ELA[#Headers],0)))="INS",'Writing Logic'!$B$7,IF(INDEX(_xlfn.VSTACK(YES_Writing_ELA[#Data],YES_Writing_FLA[#Data]),MATCH($A232,_xlfn.VSTACK(YES_Writing_ELA[Student Number],YES_Writing_FLA[Student Number]),0),MATCH(VLOOKUP(E$7,'Writing Logic'!$J$7:$K$11,2,FALSE)&amp;" - Per "&amp;VLOOKUP($C$4,'Writing Logic'!$G$8:$H$14,2,FALSE),YES_Writing_ELA[#Headers],0))=0,"",INDEX(_xlfn.VSTACK(YES_Writing_ELA[#Data],YES_Writing_FLA[#Data]),MATCH($A232,_xlfn.VSTACK(YES_Writing_ELA[Student Number],YES_Writing_FLA[Student Number]),0),MATCH(VLOOKUP(E$7,'Writing Logic'!$J$7:$K$11,2,FALSE)&amp;" - Per "&amp;VLOOKUP($C$4,'Writing Logic'!$G$8:$H$14,2,FALSE),YES_Writing_ELA[#Headers],0)))),"")</f>
        <v/>
      </c>
      <c r="F232" s="138" t="str">
        <f>IFERROR(IF(IF(INDEX(_xlfn.VSTACK(YES_Writing_ELA[#Data],YES_Writing_FLA[#Data]),MATCH($A232,_xlfn.VSTACK(YES_Writing_ELA[Student Number],YES_Writing_FLA[Student Number]),0),MATCH(VLOOKUP(F$7,'Writing Logic'!$J$7:$K$11,2,FALSE)&amp;" - Per "&amp;VLOOKUP($C$4,'Writing Logic'!$G$8:$H$14,2,FALSE),YES_Writing_ELA[#Headers],0))=0,"",INDEX(_xlfn.VSTACK(YES_Writing_ELA[#Data],YES_Writing_FLA[#Data]),MATCH($A232,_xlfn.VSTACK(YES_Writing_ELA[Student Number],YES_Writing_FLA[Student Number]),0),MATCH(VLOOKUP(F$7,'Writing Logic'!$J$7:$K$11,2,FALSE)&amp;" - Per "&amp;VLOOKUP($C$4,'Writing Logic'!$G$8:$H$14,2,FALSE),YES_Writing_ELA[#Headers],0)))="INS",'Writing Logic'!$B$7,IF(INDEX(_xlfn.VSTACK(YES_Writing_ELA[#Data],YES_Writing_FLA[#Data]),MATCH($A232,_xlfn.VSTACK(YES_Writing_ELA[Student Number],YES_Writing_FLA[Student Number]),0),MATCH(VLOOKUP(F$7,'Writing Logic'!$J$7:$K$11,2,FALSE)&amp;" - Per "&amp;VLOOKUP($C$4,'Writing Logic'!$G$8:$H$14,2,FALSE),YES_Writing_ELA[#Headers],0))=0,"",INDEX(_xlfn.VSTACK(YES_Writing_ELA[#Data],YES_Writing_FLA[#Data]),MATCH($A232,_xlfn.VSTACK(YES_Writing_ELA[Student Number],YES_Writing_FLA[Student Number]),0),MATCH(VLOOKUP(F$7,'Writing Logic'!$J$7:$K$11,2,FALSE)&amp;" - Per "&amp;VLOOKUP($C$4,'Writing Logic'!$G$8:$H$14,2,FALSE),YES_Writing_ELA[#Headers],0)))),"")</f>
        <v/>
      </c>
      <c r="G232" s="138" t="str">
        <f>IFERROR(IF(IF(INDEX(_xlfn.VSTACK(YES_Writing_ELA[#Data],YES_Writing_FLA[#Data]),MATCH($A232,_xlfn.VSTACK(YES_Writing_ELA[Student Number],YES_Writing_FLA[Student Number]),0),MATCH(VLOOKUP(G$7,'Writing Logic'!$J$7:$K$11,2,FALSE)&amp;" - Per "&amp;VLOOKUP($C$4,'Writing Logic'!$G$8:$H$14,2,FALSE),YES_Writing_ELA[#Headers],0))=0,"",INDEX(_xlfn.VSTACK(YES_Writing_ELA[#Data],YES_Writing_FLA[#Data]),MATCH($A232,_xlfn.VSTACK(YES_Writing_ELA[Student Number],YES_Writing_FLA[Student Number]),0),MATCH(VLOOKUP(G$7,'Writing Logic'!$J$7:$K$11,2,FALSE)&amp;" - Per "&amp;VLOOKUP($C$4,'Writing Logic'!$G$8:$H$14,2,FALSE),YES_Writing_ELA[#Headers],0)))="INS",'Writing Logic'!$B$7,IF(INDEX(_xlfn.VSTACK(YES_Writing_ELA[#Data],YES_Writing_FLA[#Data]),MATCH($A232,_xlfn.VSTACK(YES_Writing_ELA[Student Number],YES_Writing_FLA[Student Number]),0),MATCH(VLOOKUP(G$7,'Writing Logic'!$J$7:$K$11,2,FALSE)&amp;" - Per "&amp;VLOOKUP($C$4,'Writing Logic'!$G$8:$H$14,2,FALSE),YES_Writing_ELA[#Headers],0))=0,"",INDEX(_xlfn.VSTACK(YES_Writing_ELA[#Data],YES_Writing_FLA[#Data]),MATCH($A232,_xlfn.VSTACK(YES_Writing_ELA[Student Number],YES_Writing_FLA[Student Number]),0),MATCH(VLOOKUP(G$7,'Writing Logic'!$J$7:$K$11,2,FALSE)&amp;" - Per "&amp;VLOOKUP($C$4,'Writing Logic'!$G$8:$H$14,2,FALSE),YES_Writing_ELA[#Headers],0)))),"")</f>
        <v/>
      </c>
      <c r="H232" s="138" t="str">
        <f>IFERROR(IF(IF(INDEX(_xlfn.VSTACK(YES_Writing_ELA[#Data],YES_Writing_FLA[#Data]),MATCH($A232,_xlfn.VSTACK(YES_Writing_ELA[Student Number],YES_Writing_FLA[Student Number]),0),MATCH(VLOOKUP(H$7,'Writing Logic'!$J$7:$K$11,2,FALSE)&amp;" - Per "&amp;VLOOKUP($C$4,'Writing Logic'!$G$8:$H$14,2,FALSE),YES_Writing_ELA[#Headers],0))=0,"",INDEX(_xlfn.VSTACK(YES_Writing_ELA[#Data],YES_Writing_FLA[#Data]),MATCH($A232,_xlfn.VSTACK(YES_Writing_ELA[Student Number],YES_Writing_FLA[Student Number]),0),MATCH(VLOOKUP(H$7,'Writing Logic'!$J$7:$K$11,2,FALSE)&amp;" - Per "&amp;VLOOKUP($C$4,'Writing Logic'!$G$8:$H$14,2,FALSE),YES_Writing_ELA[#Headers],0)))="INS",'Writing Logic'!$B$7,IF(INDEX(_xlfn.VSTACK(YES_Writing_ELA[#Data],YES_Writing_FLA[#Data]),MATCH($A232,_xlfn.VSTACK(YES_Writing_ELA[Student Number],YES_Writing_FLA[Student Number]),0),MATCH(VLOOKUP(H$7,'Writing Logic'!$J$7:$K$11,2,FALSE)&amp;" - Per "&amp;VLOOKUP($C$4,'Writing Logic'!$G$8:$H$14,2,FALSE),YES_Writing_ELA[#Headers],0))=0,"",INDEX(_xlfn.VSTACK(YES_Writing_ELA[#Data],YES_Writing_FLA[#Data]),MATCH($A232,_xlfn.VSTACK(YES_Writing_ELA[Student Number],YES_Writing_FLA[Student Number]),0),MATCH(VLOOKUP(H$7,'Writing Logic'!$J$7:$K$11,2,FALSE)&amp;" - Per "&amp;VLOOKUP($C$4,'Writing Logic'!$G$8:$H$14,2,FALSE),YES_Writing_ELA[#Headers],0)))),"")</f>
        <v/>
      </c>
    </row>
    <row r="233" spans="1:8" x14ac:dyDescent="0.25">
      <c r="A233" s="137"/>
      <c r="B233" s="137" t="str">
        <f>IFERROR(INDEX(_xlfn.VSTACK(YES_Writing_ELA[#Data], YES_Writing_FLA[#Data]),MATCH($A233,_xlfn.VSTACK(YES_Writing_ELA[Student Number], YES_Writing_FLA[Student Number]),0),MATCH(B$7,YES_Writing_ELA[#Headers],0)),"")</f>
        <v/>
      </c>
      <c r="C233" s="137" t="str">
        <f>IFERROR(INDEX(_xlfn.VSTACK(YES_Writing_ELA[#Data], YES_Writing_FLA[#Data]),MATCH($A233,_xlfn.VSTACK(YES_Writing_ELA[Student Number], YES_Writing_FLA[Student Number]),0),MATCH(C$7,YES_Writing_ELA[#Headers],0)),"")</f>
        <v/>
      </c>
      <c r="D233" s="138" t="str">
        <f>IFERROR(IF(IF(INDEX(_xlfn.VSTACK(YES_Writing_ELA[#Data],YES_Writing_FLA[#Data]),MATCH($A233,_xlfn.VSTACK(YES_Writing_ELA[Student Number],YES_Writing_FLA[Student Number]),0),MATCH(VLOOKUP(D$7,'Writing Logic'!$J$7:$K$11,2,FALSE)&amp;" - Per "&amp;VLOOKUP($C$4,'Writing Logic'!$G$8:$H$14,2,FALSE),YES_Writing_ELA[#Headers],0))=0,"",INDEX(_xlfn.VSTACK(YES_Writing_ELA[#Data],YES_Writing_FLA[#Data]),MATCH($A233,_xlfn.VSTACK(YES_Writing_ELA[Student Number],YES_Writing_FLA[Student Number]),0),MATCH(VLOOKUP(D$7,'Writing Logic'!$J$7:$K$11,2,FALSE)&amp;" - Per "&amp;VLOOKUP($C$4,'Writing Logic'!$G$8:$H$14,2,FALSE),YES_Writing_ELA[#Headers],0)))="INS",'Writing Logic'!$B$7,IF(INDEX(_xlfn.VSTACK(YES_Writing_ELA[#Data],YES_Writing_FLA[#Data]),MATCH($A233,_xlfn.VSTACK(YES_Writing_ELA[Student Number],YES_Writing_FLA[Student Number]),0),MATCH(VLOOKUP(D$7,'Writing Logic'!$J$7:$K$11,2,FALSE)&amp;" - Per "&amp;VLOOKUP($C$4,'Writing Logic'!$G$8:$H$14,2,FALSE),YES_Writing_ELA[#Headers],0))=0,"",INDEX(_xlfn.VSTACK(YES_Writing_ELA[#Data],YES_Writing_FLA[#Data]),MATCH($A233,_xlfn.VSTACK(YES_Writing_ELA[Student Number],YES_Writing_FLA[Student Number]),0),MATCH(VLOOKUP(D$7,'Writing Logic'!$J$7:$K$11,2,FALSE)&amp;" - Per "&amp;VLOOKUP($C$4,'Writing Logic'!$G$8:$H$14,2,FALSE),YES_Writing_ELA[#Headers],0)))),"")</f>
        <v/>
      </c>
      <c r="E233" s="138" t="str">
        <f>IFERROR(IF(IF(INDEX(_xlfn.VSTACK(YES_Writing_ELA[#Data],YES_Writing_FLA[#Data]),MATCH($A233,_xlfn.VSTACK(YES_Writing_ELA[Student Number],YES_Writing_FLA[Student Number]),0),MATCH(VLOOKUP(E$7,'Writing Logic'!$J$7:$K$11,2,FALSE)&amp;" - Per "&amp;VLOOKUP($C$4,'Writing Logic'!$G$8:$H$14,2,FALSE),YES_Writing_ELA[#Headers],0))=0,"",INDEX(_xlfn.VSTACK(YES_Writing_ELA[#Data],YES_Writing_FLA[#Data]),MATCH($A233,_xlfn.VSTACK(YES_Writing_ELA[Student Number],YES_Writing_FLA[Student Number]),0),MATCH(VLOOKUP(E$7,'Writing Logic'!$J$7:$K$11,2,FALSE)&amp;" - Per "&amp;VLOOKUP($C$4,'Writing Logic'!$G$8:$H$14,2,FALSE),YES_Writing_ELA[#Headers],0)))="INS",'Writing Logic'!$B$7,IF(INDEX(_xlfn.VSTACK(YES_Writing_ELA[#Data],YES_Writing_FLA[#Data]),MATCH($A233,_xlfn.VSTACK(YES_Writing_ELA[Student Number],YES_Writing_FLA[Student Number]),0),MATCH(VLOOKUP(E$7,'Writing Logic'!$J$7:$K$11,2,FALSE)&amp;" - Per "&amp;VLOOKUP($C$4,'Writing Logic'!$G$8:$H$14,2,FALSE),YES_Writing_ELA[#Headers],0))=0,"",INDEX(_xlfn.VSTACK(YES_Writing_ELA[#Data],YES_Writing_FLA[#Data]),MATCH($A233,_xlfn.VSTACK(YES_Writing_ELA[Student Number],YES_Writing_FLA[Student Number]),0),MATCH(VLOOKUP(E$7,'Writing Logic'!$J$7:$K$11,2,FALSE)&amp;" - Per "&amp;VLOOKUP($C$4,'Writing Logic'!$G$8:$H$14,2,FALSE),YES_Writing_ELA[#Headers],0)))),"")</f>
        <v/>
      </c>
      <c r="F233" s="138" t="str">
        <f>IFERROR(IF(IF(INDEX(_xlfn.VSTACK(YES_Writing_ELA[#Data],YES_Writing_FLA[#Data]),MATCH($A233,_xlfn.VSTACK(YES_Writing_ELA[Student Number],YES_Writing_FLA[Student Number]),0),MATCH(VLOOKUP(F$7,'Writing Logic'!$J$7:$K$11,2,FALSE)&amp;" - Per "&amp;VLOOKUP($C$4,'Writing Logic'!$G$8:$H$14,2,FALSE),YES_Writing_ELA[#Headers],0))=0,"",INDEX(_xlfn.VSTACK(YES_Writing_ELA[#Data],YES_Writing_FLA[#Data]),MATCH($A233,_xlfn.VSTACK(YES_Writing_ELA[Student Number],YES_Writing_FLA[Student Number]),0),MATCH(VLOOKUP(F$7,'Writing Logic'!$J$7:$K$11,2,FALSE)&amp;" - Per "&amp;VLOOKUP($C$4,'Writing Logic'!$G$8:$H$14,2,FALSE),YES_Writing_ELA[#Headers],0)))="INS",'Writing Logic'!$B$7,IF(INDEX(_xlfn.VSTACK(YES_Writing_ELA[#Data],YES_Writing_FLA[#Data]),MATCH($A233,_xlfn.VSTACK(YES_Writing_ELA[Student Number],YES_Writing_FLA[Student Number]),0),MATCH(VLOOKUP(F$7,'Writing Logic'!$J$7:$K$11,2,FALSE)&amp;" - Per "&amp;VLOOKUP($C$4,'Writing Logic'!$G$8:$H$14,2,FALSE),YES_Writing_ELA[#Headers],0))=0,"",INDEX(_xlfn.VSTACK(YES_Writing_ELA[#Data],YES_Writing_FLA[#Data]),MATCH($A233,_xlfn.VSTACK(YES_Writing_ELA[Student Number],YES_Writing_FLA[Student Number]),0),MATCH(VLOOKUP(F$7,'Writing Logic'!$J$7:$K$11,2,FALSE)&amp;" - Per "&amp;VLOOKUP($C$4,'Writing Logic'!$G$8:$H$14,2,FALSE),YES_Writing_ELA[#Headers],0)))),"")</f>
        <v/>
      </c>
      <c r="G233" s="138" t="str">
        <f>IFERROR(IF(IF(INDEX(_xlfn.VSTACK(YES_Writing_ELA[#Data],YES_Writing_FLA[#Data]),MATCH($A233,_xlfn.VSTACK(YES_Writing_ELA[Student Number],YES_Writing_FLA[Student Number]),0),MATCH(VLOOKUP(G$7,'Writing Logic'!$J$7:$K$11,2,FALSE)&amp;" - Per "&amp;VLOOKUP($C$4,'Writing Logic'!$G$8:$H$14,2,FALSE),YES_Writing_ELA[#Headers],0))=0,"",INDEX(_xlfn.VSTACK(YES_Writing_ELA[#Data],YES_Writing_FLA[#Data]),MATCH($A233,_xlfn.VSTACK(YES_Writing_ELA[Student Number],YES_Writing_FLA[Student Number]),0),MATCH(VLOOKUP(G$7,'Writing Logic'!$J$7:$K$11,2,FALSE)&amp;" - Per "&amp;VLOOKUP($C$4,'Writing Logic'!$G$8:$H$14,2,FALSE),YES_Writing_ELA[#Headers],0)))="INS",'Writing Logic'!$B$7,IF(INDEX(_xlfn.VSTACK(YES_Writing_ELA[#Data],YES_Writing_FLA[#Data]),MATCH($A233,_xlfn.VSTACK(YES_Writing_ELA[Student Number],YES_Writing_FLA[Student Number]),0),MATCH(VLOOKUP(G$7,'Writing Logic'!$J$7:$K$11,2,FALSE)&amp;" - Per "&amp;VLOOKUP($C$4,'Writing Logic'!$G$8:$H$14,2,FALSE),YES_Writing_ELA[#Headers],0))=0,"",INDEX(_xlfn.VSTACK(YES_Writing_ELA[#Data],YES_Writing_FLA[#Data]),MATCH($A233,_xlfn.VSTACK(YES_Writing_ELA[Student Number],YES_Writing_FLA[Student Number]),0),MATCH(VLOOKUP(G$7,'Writing Logic'!$J$7:$K$11,2,FALSE)&amp;" - Per "&amp;VLOOKUP($C$4,'Writing Logic'!$G$8:$H$14,2,FALSE),YES_Writing_ELA[#Headers],0)))),"")</f>
        <v/>
      </c>
      <c r="H233" s="138" t="str">
        <f>IFERROR(IF(IF(INDEX(_xlfn.VSTACK(YES_Writing_ELA[#Data],YES_Writing_FLA[#Data]),MATCH($A233,_xlfn.VSTACK(YES_Writing_ELA[Student Number],YES_Writing_FLA[Student Number]),0),MATCH(VLOOKUP(H$7,'Writing Logic'!$J$7:$K$11,2,FALSE)&amp;" - Per "&amp;VLOOKUP($C$4,'Writing Logic'!$G$8:$H$14,2,FALSE),YES_Writing_ELA[#Headers],0))=0,"",INDEX(_xlfn.VSTACK(YES_Writing_ELA[#Data],YES_Writing_FLA[#Data]),MATCH($A233,_xlfn.VSTACK(YES_Writing_ELA[Student Number],YES_Writing_FLA[Student Number]),0),MATCH(VLOOKUP(H$7,'Writing Logic'!$J$7:$K$11,2,FALSE)&amp;" - Per "&amp;VLOOKUP($C$4,'Writing Logic'!$G$8:$H$14,2,FALSE),YES_Writing_ELA[#Headers],0)))="INS",'Writing Logic'!$B$7,IF(INDEX(_xlfn.VSTACK(YES_Writing_ELA[#Data],YES_Writing_FLA[#Data]),MATCH($A233,_xlfn.VSTACK(YES_Writing_ELA[Student Number],YES_Writing_FLA[Student Number]),0),MATCH(VLOOKUP(H$7,'Writing Logic'!$J$7:$K$11,2,FALSE)&amp;" - Per "&amp;VLOOKUP($C$4,'Writing Logic'!$G$8:$H$14,2,FALSE),YES_Writing_ELA[#Headers],0))=0,"",INDEX(_xlfn.VSTACK(YES_Writing_ELA[#Data],YES_Writing_FLA[#Data]),MATCH($A233,_xlfn.VSTACK(YES_Writing_ELA[Student Number],YES_Writing_FLA[Student Number]),0),MATCH(VLOOKUP(H$7,'Writing Logic'!$J$7:$K$11,2,FALSE)&amp;" - Per "&amp;VLOOKUP($C$4,'Writing Logic'!$G$8:$H$14,2,FALSE),YES_Writing_ELA[#Headers],0)))),"")</f>
        <v/>
      </c>
    </row>
    <row r="234" spans="1:8" x14ac:dyDescent="0.25">
      <c r="A234" s="137"/>
      <c r="B234" s="137" t="str">
        <f>IFERROR(INDEX(_xlfn.VSTACK(YES_Writing_ELA[#Data], YES_Writing_FLA[#Data]),MATCH($A234,_xlfn.VSTACK(YES_Writing_ELA[Student Number], YES_Writing_FLA[Student Number]),0),MATCH(B$7,YES_Writing_ELA[#Headers],0)),"")</f>
        <v/>
      </c>
      <c r="C234" s="137" t="str">
        <f>IFERROR(INDEX(_xlfn.VSTACK(YES_Writing_ELA[#Data], YES_Writing_FLA[#Data]),MATCH($A234,_xlfn.VSTACK(YES_Writing_ELA[Student Number], YES_Writing_FLA[Student Number]),0),MATCH(C$7,YES_Writing_ELA[#Headers],0)),"")</f>
        <v/>
      </c>
      <c r="D234" s="138" t="str">
        <f>IFERROR(IF(IF(INDEX(_xlfn.VSTACK(YES_Writing_ELA[#Data],YES_Writing_FLA[#Data]),MATCH($A234,_xlfn.VSTACK(YES_Writing_ELA[Student Number],YES_Writing_FLA[Student Number]),0),MATCH(VLOOKUP(D$7,'Writing Logic'!$J$7:$K$11,2,FALSE)&amp;" - Per "&amp;VLOOKUP($C$4,'Writing Logic'!$G$8:$H$14,2,FALSE),YES_Writing_ELA[#Headers],0))=0,"",INDEX(_xlfn.VSTACK(YES_Writing_ELA[#Data],YES_Writing_FLA[#Data]),MATCH($A234,_xlfn.VSTACK(YES_Writing_ELA[Student Number],YES_Writing_FLA[Student Number]),0),MATCH(VLOOKUP(D$7,'Writing Logic'!$J$7:$K$11,2,FALSE)&amp;" - Per "&amp;VLOOKUP($C$4,'Writing Logic'!$G$8:$H$14,2,FALSE),YES_Writing_ELA[#Headers],0)))="INS",'Writing Logic'!$B$7,IF(INDEX(_xlfn.VSTACK(YES_Writing_ELA[#Data],YES_Writing_FLA[#Data]),MATCH($A234,_xlfn.VSTACK(YES_Writing_ELA[Student Number],YES_Writing_FLA[Student Number]),0),MATCH(VLOOKUP(D$7,'Writing Logic'!$J$7:$K$11,2,FALSE)&amp;" - Per "&amp;VLOOKUP($C$4,'Writing Logic'!$G$8:$H$14,2,FALSE),YES_Writing_ELA[#Headers],0))=0,"",INDEX(_xlfn.VSTACK(YES_Writing_ELA[#Data],YES_Writing_FLA[#Data]),MATCH($A234,_xlfn.VSTACK(YES_Writing_ELA[Student Number],YES_Writing_FLA[Student Number]),0),MATCH(VLOOKUP(D$7,'Writing Logic'!$J$7:$K$11,2,FALSE)&amp;" - Per "&amp;VLOOKUP($C$4,'Writing Logic'!$G$8:$H$14,2,FALSE),YES_Writing_ELA[#Headers],0)))),"")</f>
        <v/>
      </c>
      <c r="E234" s="138" t="str">
        <f>IFERROR(IF(IF(INDEX(_xlfn.VSTACK(YES_Writing_ELA[#Data],YES_Writing_FLA[#Data]),MATCH($A234,_xlfn.VSTACK(YES_Writing_ELA[Student Number],YES_Writing_FLA[Student Number]),0),MATCH(VLOOKUP(E$7,'Writing Logic'!$J$7:$K$11,2,FALSE)&amp;" - Per "&amp;VLOOKUP($C$4,'Writing Logic'!$G$8:$H$14,2,FALSE),YES_Writing_ELA[#Headers],0))=0,"",INDEX(_xlfn.VSTACK(YES_Writing_ELA[#Data],YES_Writing_FLA[#Data]),MATCH($A234,_xlfn.VSTACK(YES_Writing_ELA[Student Number],YES_Writing_FLA[Student Number]),0),MATCH(VLOOKUP(E$7,'Writing Logic'!$J$7:$K$11,2,FALSE)&amp;" - Per "&amp;VLOOKUP($C$4,'Writing Logic'!$G$8:$H$14,2,FALSE),YES_Writing_ELA[#Headers],0)))="INS",'Writing Logic'!$B$7,IF(INDEX(_xlfn.VSTACK(YES_Writing_ELA[#Data],YES_Writing_FLA[#Data]),MATCH($A234,_xlfn.VSTACK(YES_Writing_ELA[Student Number],YES_Writing_FLA[Student Number]),0),MATCH(VLOOKUP(E$7,'Writing Logic'!$J$7:$K$11,2,FALSE)&amp;" - Per "&amp;VLOOKUP($C$4,'Writing Logic'!$G$8:$H$14,2,FALSE),YES_Writing_ELA[#Headers],0))=0,"",INDEX(_xlfn.VSTACK(YES_Writing_ELA[#Data],YES_Writing_FLA[#Data]),MATCH($A234,_xlfn.VSTACK(YES_Writing_ELA[Student Number],YES_Writing_FLA[Student Number]),0),MATCH(VLOOKUP(E$7,'Writing Logic'!$J$7:$K$11,2,FALSE)&amp;" - Per "&amp;VLOOKUP($C$4,'Writing Logic'!$G$8:$H$14,2,FALSE),YES_Writing_ELA[#Headers],0)))),"")</f>
        <v/>
      </c>
      <c r="F234" s="138" t="str">
        <f>IFERROR(IF(IF(INDEX(_xlfn.VSTACK(YES_Writing_ELA[#Data],YES_Writing_FLA[#Data]),MATCH($A234,_xlfn.VSTACK(YES_Writing_ELA[Student Number],YES_Writing_FLA[Student Number]),0),MATCH(VLOOKUP(F$7,'Writing Logic'!$J$7:$K$11,2,FALSE)&amp;" - Per "&amp;VLOOKUP($C$4,'Writing Logic'!$G$8:$H$14,2,FALSE),YES_Writing_ELA[#Headers],0))=0,"",INDEX(_xlfn.VSTACK(YES_Writing_ELA[#Data],YES_Writing_FLA[#Data]),MATCH($A234,_xlfn.VSTACK(YES_Writing_ELA[Student Number],YES_Writing_FLA[Student Number]),0),MATCH(VLOOKUP(F$7,'Writing Logic'!$J$7:$K$11,2,FALSE)&amp;" - Per "&amp;VLOOKUP($C$4,'Writing Logic'!$G$8:$H$14,2,FALSE),YES_Writing_ELA[#Headers],0)))="INS",'Writing Logic'!$B$7,IF(INDEX(_xlfn.VSTACK(YES_Writing_ELA[#Data],YES_Writing_FLA[#Data]),MATCH($A234,_xlfn.VSTACK(YES_Writing_ELA[Student Number],YES_Writing_FLA[Student Number]),0),MATCH(VLOOKUP(F$7,'Writing Logic'!$J$7:$K$11,2,FALSE)&amp;" - Per "&amp;VLOOKUP($C$4,'Writing Logic'!$G$8:$H$14,2,FALSE),YES_Writing_ELA[#Headers],0))=0,"",INDEX(_xlfn.VSTACK(YES_Writing_ELA[#Data],YES_Writing_FLA[#Data]),MATCH($A234,_xlfn.VSTACK(YES_Writing_ELA[Student Number],YES_Writing_FLA[Student Number]),0),MATCH(VLOOKUP(F$7,'Writing Logic'!$J$7:$K$11,2,FALSE)&amp;" - Per "&amp;VLOOKUP($C$4,'Writing Logic'!$G$8:$H$14,2,FALSE),YES_Writing_ELA[#Headers],0)))),"")</f>
        <v/>
      </c>
      <c r="G234" s="138" t="str">
        <f>IFERROR(IF(IF(INDEX(_xlfn.VSTACK(YES_Writing_ELA[#Data],YES_Writing_FLA[#Data]),MATCH($A234,_xlfn.VSTACK(YES_Writing_ELA[Student Number],YES_Writing_FLA[Student Number]),0),MATCH(VLOOKUP(G$7,'Writing Logic'!$J$7:$K$11,2,FALSE)&amp;" - Per "&amp;VLOOKUP($C$4,'Writing Logic'!$G$8:$H$14,2,FALSE),YES_Writing_ELA[#Headers],0))=0,"",INDEX(_xlfn.VSTACK(YES_Writing_ELA[#Data],YES_Writing_FLA[#Data]),MATCH($A234,_xlfn.VSTACK(YES_Writing_ELA[Student Number],YES_Writing_FLA[Student Number]),0),MATCH(VLOOKUP(G$7,'Writing Logic'!$J$7:$K$11,2,FALSE)&amp;" - Per "&amp;VLOOKUP($C$4,'Writing Logic'!$G$8:$H$14,2,FALSE),YES_Writing_ELA[#Headers],0)))="INS",'Writing Logic'!$B$7,IF(INDEX(_xlfn.VSTACK(YES_Writing_ELA[#Data],YES_Writing_FLA[#Data]),MATCH($A234,_xlfn.VSTACK(YES_Writing_ELA[Student Number],YES_Writing_FLA[Student Number]),0),MATCH(VLOOKUP(G$7,'Writing Logic'!$J$7:$K$11,2,FALSE)&amp;" - Per "&amp;VLOOKUP($C$4,'Writing Logic'!$G$8:$H$14,2,FALSE),YES_Writing_ELA[#Headers],0))=0,"",INDEX(_xlfn.VSTACK(YES_Writing_ELA[#Data],YES_Writing_FLA[#Data]),MATCH($A234,_xlfn.VSTACK(YES_Writing_ELA[Student Number],YES_Writing_FLA[Student Number]),0),MATCH(VLOOKUP(G$7,'Writing Logic'!$J$7:$K$11,2,FALSE)&amp;" - Per "&amp;VLOOKUP($C$4,'Writing Logic'!$G$8:$H$14,2,FALSE),YES_Writing_ELA[#Headers],0)))),"")</f>
        <v/>
      </c>
      <c r="H234" s="138" t="str">
        <f>IFERROR(IF(IF(INDEX(_xlfn.VSTACK(YES_Writing_ELA[#Data],YES_Writing_FLA[#Data]),MATCH($A234,_xlfn.VSTACK(YES_Writing_ELA[Student Number],YES_Writing_FLA[Student Number]),0),MATCH(VLOOKUP(H$7,'Writing Logic'!$J$7:$K$11,2,FALSE)&amp;" - Per "&amp;VLOOKUP($C$4,'Writing Logic'!$G$8:$H$14,2,FALSE),YES_Writing_ELA[#Headers],0))=0,"",INDEX(_xlfn.VSTACK(YES_Writing_ELA[#Data],YES_Writing_FLA[#Data]),MATCH($A234,_xlfn.VSTACK(YES_Writing_ELA[Student Number],YES_Writing_FLA[Student Number]),0),MATCH(VLOOKUP(H$7,'Writing Logic'!$J$7:$K$11,2,FALSE)&amp;" - Per "&amp;VLOOKUP($C$4,'Writing Logic'!$G$8:$H$14,2,FALSE),YES_Writing_ELA[#Headers],0)))="INS",'Writing Logic'!$B$7,IF(INDEX(_xlfn.VSTACK(YES_Writing_ELA[#Data],YES_Writing_FLA[#Data]),MATCH($A234,_xlfn.VSTACK(YES_Writing_ELA[Student Number],YES_Writing_FLA[Student Number]),0),MATCH(VLOOKUP(H$7,'Writing Logic'!$J$7:$K$11,2,FALSE)&amp;" - Per "&amp;VLOOKUP($C$4,'Writing Logic'!$G$8:$H$14,2,FALSE),YES_Writing_ELA[#Headers],0))=0,"",INDEX(_xlfn.VSTACK(YES_Writing_ELA[#Data],YES_Writing_FLA[#Data]),MATCH($A234,_xlfn.VSTACK(YES_Writing_ELA[Student Number],YES_Writing_FLA[Student Number]),0),MATCH(VLOOKUP(H$7,'Writing Logic'!$J$7:$K$11,2,FALSE)&amp;" - Per "&amp;VLOOKUP($C$4,'Writing Logic'!$G$8:$H$14,2,FALSE),YES_Writing_ELA[#Headers],0)))),"")</f>
        <v/>
      </c>
    </row>
    <row r="235" spans="1:8" x14ac:dyDescent="0.25">
      <c r="A235" s="137"/>
      <c r="B235" s="137" t="str">
        <f>IFERROR(INDEX(_xlfn.VSTACK(YES_Writing_ELA[#Data], YES_Writing_FLA[#Data]),MATCH($A235,_xlfn.VSTACK(YES_Writing_ELA[Student Number], YES_Writing_FLA[Student Number]),0),MATCH(B$7,YES_Writing_ELA[#Headers],0)),"")</f>
        <v/>
      </c>
      <c r="C235" s="137" t="str">
        <f>IFERROR(INDEX(_xlfn.VSTACK(YES_Writing_ELA[#Data], YES_Writing_FLA[#Data]),MATCH($A235,_xlfn.VSTACK(YES_Writing_ELA[Student Number], YES_Writing_FLA[Student Number]),0),MATCH(C$7,YES_Writing_ELA[#Headers],0)),"")</f>
        <v/>
      </c>
      <c r="D235" s="138" t="str">
        <f>IFERROR(IF(IF(INDEX(_xlfn.VSTACK(YES_Writing_ELA[#Data],YES_Writing_FLA[#Data]),MATCH($A235,_xlfn.VSTACK(YES_Writing_ELA[Student Number],YES_Writing_FLA[Student Number]),0),MATCH(VLOOKUP(D$7,'Writing Logic'!$J$7:$K$11,2,FALSE)&amp;" - Per "&amp;VLOOKUP($C$4,'Writing Logic'!$G$8:$H$14,2,FALSE),YES_Writing_ELA[#Headers],0))=0,"",INDEX(_xlfn.VSTACK(YES_Writing_ELA[#Data],YES_Writing_FLA[#Data]),MATCH($A235,_xlfn.VSTACK(YES_Writing_ELA[Student Number],YES_Writing_FLA[Student Number]),0),MATCH(VLOOKUP(D$7,'Writing Logic'!$J$7:$K$11,2,FALSE)&amp;" - Per "&amp;VLOOKUP($C$4,'Writing Logic'!$G$8:$H$14,2,FALSE),YES_Writing_ELA[#Headers],0)))="INS",'Writing Logic'!$B$7,IF(INDEX(_xlfn.VSTACK(YES_Writing_ELA[#Data],YES_Writing_FLA[#Data]),MATCH($A235,_xlfn.VSTACK(YES_Writing_ELA[Student Number],YES_Writing_FLA[Student Number]),0),MATCH(VLOOKUP(D$7,'Writing Logic'!$J$7:$K$11,2,FALSE)&amp;" - Per "&amp;VLOOKUP($C$4,'Writing Logic'!$G$8:$H$14,2,FALSE),YES_Writing_ELA[#Headers],0))=0,"",INDEX(_xlfn.VSTACK(YES_Writing_ELA[#Data],YES_Writing_FLA[#Data]),MATCH($A235,_xlfn.VSTACK(YES_Writing_ELA[Student Number],YES_Writing_FLA[Student Number]),0),MATCH(VLOOKUP(D$7,'Writing Logic'!$J$7:$K$11,2,FALSE)&amp;" - Per "&amp;VLOOKUP($C$4,'Writing Logic'!$G$8:$H$14,2,FALSE),YES_Writing_ELA[#Headers],0)))),"")</f>
        <v/>
      </c>
      <c r="E235" s="138" t="str">
        <f>IFERROR(IF(IF(INDEX(_xlfn.VSTACK(YES_Writing_ELA[#Data],YES_Writing_FLA[#Data]),MATCH($A235,_xlfn.VSTACK(YES_Writing_ELA[Student Number],YES_Writing_FLA[Student Number]),0),MATCH(VLOOKUP(E$7,'Writing Logic'!$J$7:$K$11,2,FALSE)&amp;" - Per "&amp;VLOOKUP($C$4,'Writing Logic'!$G$8:$H$14,2,FALSE),YES_Writing_ELA[#Headers],0))=0,"",INDEX(_xlfn.VSTACK(YES_Writing_ELA[#Data],YES_Writing_FLA[#Data]),MATCH($A235,_xlfn.VSTACK(YES_Writing_ELA[Student Number],YES_Writing_FLA[Student Number]),0),MATCH(VLOOKUP(E$7,'Writing Logic'!$J$7:$K$11,2,FALSE)&amp;" - Per "&amp;VLOOKUP($C$4,'Writing Logic'!$G$8:$H$14,2,FALSE),YES_Writing_ELA[#Headers],0)))="INS",'Writing Logic'!$B$7,IF(INDEX(_xlfn.VSTACK(YES_Writing_ELA[#Data],YES_Writing_FLA[#Data]),MATCH($A235,_xlfn.VSTACK(YES_Writing_ELA[Student Number],YES_Writing_FLA[Student Number]),0),MATCH(VLOOKUP(E$7,'Writing Logic'!$J$7:$K$11,2,FALSE)&amp;" - Per "&amp;VLOOKUP($C$4,'Writing Logic'!$G$8:$H$14,2,FALSE),YES_Writing_ELA[#Headers],0))=0,"",INDEX(_xlfn.VSTACK(YES_Writing_ELA[#Data],YES_Writing_FLA[#Data]),MATCH($A235,_xlfn.VSTACK(YES_Writing_ELA[Student Number],YES_Writing_FLA[Student Number]),0),MATCH(VLOOKUP(E$7,'Writing Logic'!$J$7:$K$11,2,FALSE)&amp;" - Per "&amp;VLOOKUP($C$4,'Writing Logic'!$G$8:$H$14,2,FALSE),YES_Writing_ELA[#Headers],0)))),"")</f>
        <v/>
      </c>
      <c r="F235" s="138" t="str">
        <f>IFERROR(IF(IF(INDEX(_xlfn.VSTACK(YES_Writing_ELA[#Data],YES_Writing_FLA[#Data]),MATCH($A235,_xlfn.VSTACK(YES_Writing_ELA[Student Number],YES_Writing_FLA[Student Number]),0),MATCH(VLOOKUP(F$7,'Writing Logic'!$J$7:$K$11,2,FALSE)&amp;" - Per "&amp;VLOOKUP($C$4,'Writing Logic'!$G$8:$H$14,2,FALSE),YES_Writing_ELA[#Headers],0))=0,"",INDEX(_xlfn.VSTACK(YES_Writing_ELA[#Data],YES_Writing_FLA[#Data]),MATCH($A235,_xlfn.VSTACK(YES_Writing_ELA[Student Number],YES_Writing_FLA[Student Number]),0),MATCH(VLOOKUP(F$7,'Writing Logic'!$J$7:$K$11,2,FALSE)&amp;" - Per "&amp;VLOOKUP($C$4,'Writing Logic'!$G$8:$H$14,2,FALSE),YES_Writing_ELA[#Headers],0)))="INS",'Writing Logic'!$B$7,IF(INDEX(_xlfn.VSTACK(YES_Writing_ELA[#Data],YES_Writing_FLA[#Data]),MATCH($A235,_xlfn.VSTACK(YES_Writing_ELA[Student Number],YES_Writing_FLA[Student Number]),0),MATCH(VLOOKUP(F$7,'Writing Logic'!$J$7:$K$11,2,FALSE)&amp;" - Per "&amp;VLOOKUP($C$4,'Writing Logic'!$G$8:$H$14,2,FALSE),YES_Writing_ELA[#Headers],0))=0,"",INDEX(_xlfn.VSTACK(YES_Writing_ELA[#Data],YES_Writing_FLA[#Data]),MATCH($A235,_xlfn.VSTACK(YES_Writing_ELA[Student Number],YES_Writing_FLA[Student Number]),0),MATCH(VLOOKUP(F$7,'Writing Logic'!$J$7:$K$11,2,FALSE)&amp;" - Per "&amp;VLOOKUP($C$4,'Writing Logic'!$G$8:$H$14,2,FALSE),YES_Writing_ELA[#Headers],0)))),"")</f>
        <v/>
      </c>
      <c r="G235" s="138" t="str">
        <f>IFERROR(IF(IF(INDEX(_xlfn.VSTACK(YES_Writing_ELA[#Data],YES_Writing_FLA[#Data]),MATCH($A235,_xlfn.VSTACK(YES_Writing_ELA[Student Number],YES_Writing_FLA[Student Number]),0),MATCH(VLOOKUP(G$7,'Writing Logic'!$J$7:$K$11,2,FALSE)&amp;" - Per "&amp;VLOOKUP($C$4,'Writing Logic'!$G$8:$H$14,2,FALSE),YES_Writing_ELA[#Headers],0))=0,"",INDEX(_xlfn.VSTACK(YES_Writing_ELA[#Data],YES_Writing_FLA[#Data]),MATCH($A235,_xlfn.VSTACK(YES_Writing_ELA[Student Number],YES_Writing_FLA[Student Number]),0),MATCH(VLOOKUP(G$7,'Writing Logic'!$J$7:$K$11,2,FALSE)&amp;" - Per "&amp;VLOOKUP($C$4,'Writing Logic'!$G$8:$H$14,2,FALSE),YES_Writing_ELA[#Headers],0)))="INS",'Writing Logic'!$B$7,IF(INDEX(_xlfn.VSTACK(YES_Writing_ELA[#Data],YES_Writing_FLA[#Data]),MATCH($A235,_xlfn.VSTACK(YES_Writing_ELA[Student Number],YES_Writing_FLA[Student Number]),0),MATCH(VLOOKUP(G$7,'Writing Logic'!$J$7:$K$11,2,FALSE)&amp;" - Per "&amp;VLOOKUP($C$4,'Writing Logic'!$G$8:$H$14,2,FALSE),YES_Writing_ELA[#Headers],0))=0,"",INDEX(_xlfn.VSTACK(YES_Writing_ELA[#Data],YES_Writing_FLA[#Data]),MATCH($A235,_xlfn.VSTACK(YES_Writing_ELA[Student Number],YES_Writing_FLA[Student Number]),0),MATCH(VLOOKUP(G$7,'Writing Logic'!$J$7:$K$11,2,FALSE)&amp;" - Per "&amp;VLOOKUP($C$4,'Writing Logic'!$G$8:$H$14,2,FALSE),YES_Writing_ELA[#Headers],0)))),"")</f>
        <v/>
      </c>
      <c r="H235" s="138" t="str">
        <f>IFERROR(IF(IF(INDEX(_xlfn.VSTACK(YES_Writing_ELA[#Data],YES_Writing_FLA[#Data]),MATCH($A235,_xlfn.VSTACK(YES_Writing_ELA[Student Number],YES_Writing_FLA[Student Number]),0),MATCH(VLOOKUP(H$7,'Writing Logic'!$J$7:$K$11,2,FALSE)&amp;" - Per "&amp;VLOOKUP($C$4,'Writing Logic'!$G$8:$H$14,2,FALSE),YES_Writing_ELA[#Headers],0))=0,"",INDEX(_xlfn.VSTACK(YES_Writing_ELA[#Data],YES_Writing_FLA[#Data]),MATCH($A235,_xlfn.VSTACK(YES_Writing_ELA[Student Number],YES_Writing_FLA[Student Number]),0),MATCH(VLOOKUP(H$7,'Writing Logic'!$J$7:$K$11,2,FALSE)&amp;" - Per "&amp;VLOOKUP($C$4,'Writing Logic'!$G$8:$H$14,2,FALSE),YES_Writing_ELA[#Headers],0)))="INS",'Writing Logic'!$B$7,IF(INDEX(_xlfn.VSTACK(YES_Writing_ELA[#Data],YES_Writing_FLA[#Data]),MATCH($A235,_xlfn.VSTACK(YES_Writing_ELA[Student Number],YES_Writing_FLA[Student Number]),0),MATCH(VLOOKUP(H$7,'Writing Logic'!$J$7:$K$11,2,FALSE)&amp;" - Per "&amp;VLOOKUP($C$4,'Writing Logic'!$G$8:$H$14,2,FALSE),YES_Writing_ELA[#Headers],0))=0,"",INDEX(_xlfn.VSTACK(YES_Writing_ELA[#Data],YES_Writing_FLA[#Data]),MATCH($A235,_xlfn.VSTACK(YES_Writing_ELA[Student Number],YES_Writing_FLA[Student Number]),0),MATCH(VLOOKUP(H$7,'Writing Logic'!$J$7:$K$11,2,FALSE)&amp;" - Per "&amp;VLOOKUP($C$4,'Writing Logic'!$G$8:$H$14,2,FALSE),YES_Writing_ELA[#Headers],0)))),"")</f>
        <v/>
      </c>
    </row>
    <row r="236" spans="1:8" x14ac:dyDescent="0.25">
      <c r="A236" s="137"/>
      <c r="B236" s="137" t="str">
        <f>IFERROR(INDEX(_xlfn.VSTACK(YES_Writing_ELA[#Data], YES_Writing_FLA[#Data]),MATCH($A236,_xlfn.VSTACK(YES_Writing_ELA[Student Number], YES_Writing_FLA[Student Number]),0),MATCH(B$7,YES_Writing_ELA[#Headers],0)),"")</f>
        <v/>
      </c>
      <c r="C236" s="137" t="str">
        <f>IFERROR(INDEX(_xlfn.VSTACK(YES_Writing_ELA[#Data], YES_Writing_FLA[#Data]),MATCH($A236,_xlfn.VSTACK(YES_Writing_ELA[Student Number], YES_Writing_FLA[Student Number]),0),MATCH(C$7,YES_Writing_ELA[#Headers],0)),"")</f>
        <v/>
      </c>
      <c r="D236" s="138" t="str">
        <f>IFERROR(IF(IF(INDEX(_xlfn.VSTACK(YES_Writing_ELA[#Data],YES_Writing_FLA[#Data]),MATCH($A236,_xlfn.VSTACK(YES_Writing_ELA[Student Number],YES_Writing_FLA[Student Number]),0),MATCH(VLOOKUP(D$7,'Writing Logic'!$J$7:$K$11,2,FALSE)&amp;" - Per "&amp;VLOOKUP($C$4,'Writing Logic'!$G$8:$H$14,2,FALSE),YES_Writing_ELA[#Headers],0))=0,"",INDEX(_xlfn.VSTACK(YES_Writing_ELA[#Data],YES_Writing_FLA[#Data]),MATCH($A236,_xlfn.VSTACK(YES_Writing_ELA[Student Number],YES_Writing_FLA[Student Number]),0),MATCH(VLOOKUP(D$7,'Writing Logic'!$J$7:$K$11,2,FALSE)&amp;" - Per "&amp;VLOOKUP($C$4,'Writing Logic'!$G$8:$H$14,2,FALSE),YES_Writing_ELA[#Headers],0)))="INS",'Writing Logic'!$B$7,IF(INDEX(_xlfn.VSTACK(YES_Writing_ELA[#Data],YES_Writing_FLA[#Data]),MATCH($A236,_xlfn.VSTACK(YES_Writing_ELA[Student Number],YES_Writing_FLA[Student Number]),0),MATCH(VLOOKUP(D$7,'Writing Logic'!$J$7:$K$11,2,FALSE)&amp;" - Per "&amp;VLOOKUP($C$4,'Writing Logic'!$G$8:$H$14,2,FALSE),YES_Writing_ELA[#Headers],0))=0,"",INDEX(_xlfn.VSTACK(YES_Writing_ELA[#Data],YES_Writing_FLA[#Data]),MATCH($A236,_xlfn.VSTACK(YES_Writing_ELA[Student Number],YES_Writing_FLA[Student Number]),0),MATCH(VLOOKUP(D$7,'Writing Logic'!$J$7:$K$11,2,FALSE)&amp;" - Per "&amp;VLOOKUP($C$4,'Writing Logic'!$G$8:$H$14,2,FALSE),YES_Writing_ELA[#Headers],0)))),"")</f>
        <v/>
      </c>
      <c r="E236" s="138" t="str">
        <f>IFERROR(IF(IF(INDEX(_xlfn.VSTACK(YES_Writing_ELA[#Data],YES_Writing_FLA[#Data]),MATCH($A236,_xlfn.VSTACK(YES_Writing_ELA[Student Number],YES_Writing_FLA[Student Number]),0),MATCH(VLOOKUP(E$7,'Writing Logic'!$J$7:$K$11,2,FALSE)&amp;" - Per "&amp;VLOOKUP($C$4,'Writing Logic'!$G$8:$H$14,2,FALSE),YES_Writing_ELA[#Headers],0))=0,"",INDEX(_xlfn.VSTACK(YES_Writing_ELA[#Data],YES_Writing_FLA[#Data]),MATCH($A236,_xlfn.VSTACK(YES_Writing_ELA[Student Number],YES_Writing_FLA[Student Number]),0),MATCH(VLOOKUP(E$7,'Writing Logic'!$J$7:$K$11,2,FALSE)&amp;" - Per "&amp;VLOOKUP($C$4,'Writing Logic'!$G$8:$H$14,2,FALSE),YES_Writing_ELA[#Headers],0)))="INS",'Writing Logic'!$B$7,IF(INDEX(_xlfn.VSTACK(YES_Writing_ELA[#Data],YES_Writing_FLA[#Data]),MATCH($A236,_xlfn.VSTACK(YES_Writing_ELA[Student Number],YES_Writing_FLA[Student Number]),0),MATCH(VLOOKUP(E$7,'Writing Logic'!$J$7:$K$11,2,FALSE)&amp;" - Per "&amp;VLOOKUP($C$4,'Writing Logic'!$G$8:$H$14,2,FALSE),YES_Writing_ELA[#Headers],0))=0,"",INDEX(_xlfn.VSTACK(YES_Writing_ELA[#Data],YES_Writing_FLA[#Data]),MATCH($A236,_xlfn.VSTACK(YES_Writing_ELA[Student Number],YES_Writing_FLA[Student Number]),0),MATCH(VLOOKUP(E$7,'Writing Logic'!$J$7:$K$11,2,FALSE)&amp;" - Per "&amp;VLOOKUP($C$4,'Writing Logic'!$G$8:$H$14,2,FALSE),YES_Writing_ELA[#Headers],0)))),"")</f>
        <v/>
      </c>
      <c r="F236" s="138" t="str">
        <f>IFERROR(IF(IF(INDEX(_xlfn.VSTACK(YES_Writing_ELA[#Data],YES_Writing_FLA[#Data]),MATCH($A236,_xlfn.VSTACK(YES_Writing_ELA[Student Number],YES_Writing_FLA[Student Number]),0),MATCH(VLOOKUP(F$7,'Writing Logic'!$J$7:$K$11,2,FALSE)&amp;" - Per "&amp;VLOOKUP($C$4,'Writing Logic'!$G$8:$H$14,2,FALSE),YES_Writing_ELA[#Headers],0))=0,"",INDEX(_xlfn.VSTACK(YES_Writing_ELA[#Data],YES_Writing_FLA[#Data]),MATCH($A236,_xlfn.VSTACK(YES_Writing_ELA[Student Number],YES_Writing_FLA[Student Number]),0),MATCH(VLOOKUP(F$7,'Writing Logic'!$J$7:$K$11,2,FALSE)&amp;" - Per "&amp;VLOOKUP($C$4,'Writing Logic'!$G$8:$H$14,2,FALSE),YES_Writing_ELA[#Headers],0)))="INS",'Writing Logic'!$B$7,IF(INDEX(_xlfn.VSTACK(YES_Writing_ELA[#Data],YES_Writing_FLA[#Data]),MATCH($A236,_xlfn.VSTACK(YES_Writing_ELA[Student Number],YES_Writing_FLA[Student Number]),0),MATCH(VLOOKUP(F$7,'Writing Logic'!$J$7:$K$11,2,FALSE)&amp;" - Per "&amp;VLOOKUP($C$4,'Writing Logic'!$G$8:$H$14,2,FALSE),YES_Writing_ELA[#Headers],0))=0,"",INDEX(_xlfn.VSTACK(YES_Writing_ELA[#Data],YES_Writing_FLA[#Data]),MATCH($A236,_xlfn.VSTACK(YES_Writing_ELA[Student Number],YES_Writing_FLA[Student Number]),0),MATCH(VLOOKUP(F$7,'Writing Logic'!$J$7:$K$11,2,FALSE)&amp;" - Per "&amp;VLOOKUP($C$4,'Writing Logic'!$G$8:$H$14,2,FALSE),YES_Writing_ELA[#Headers],0)))),"")</f>
        <v/>
      </c>
      <c r="G236" s="138" t="str">
        <f>IFERROR(IF(IF(INDEX(_xlfn.VSTACK(YES_Writing_ELA[#Data],YES_Writing_FLA[#Data]),MATCH($A236,_xlfn.VSTACK(YES_Writing_ELA[Student Number],YES_Writing_FLA[Student Number]),0),MATCH(VLOOKUP(G$7,'Writing Logic'!$J$7:$K$11,2,FALSE)&amp;" - Per "&amp;VLOOKUP($C$4,'Writing Logic'!$G$8:$H$14,2,FALSE),YES_Writing_ELA[#Headers],0))=0,"",INDEX(_xlfn.VSTACK(YES_Writing_ELA[#Data],YES_Writing_FLA[#Data]),MATCH($A236,_xlfn.VSTACK(YES_Writing_ELA[Student Number],YES_Writing_FLA[Student Number]),0),MATCH(VLOOKUP(G$7,'Writing Logic'!$J$7:$K$11,2,FALSE)&amp;" - Per "&amp;VLOOKUP($C$4,'Writing Logic'!$G$8:$H$14,2,FALSE),YES_Writing_ELA[#Headers],0)))="INS",'Writing Logic'!$B$7,IF(INDEX(_xlfn.VSTACK(YES_Writing_ELA[#Data],YES_Writing_FLA[#Data]),MATCH($A236,_xlfn.VSTACK(YES_Writing_ELA[Student Number],YES_Writing_FLA[Student Number]),0),MATCH(VLOOKUP(G$7,'Writing Logic'!$J$7:$K$11,2,FALSE)&amp;" - Per "&amp;VLOOKUP($C$4,'Writing Logic'!$G$8:$H$14,2,FALSE),YES_Writing_ELA[#Headers],0))=0,"",INDEX(_xlfn.VSTACK(YES_Writing_ELA[#Data],YES_Writing_FLA[#Data]),MATCH($A236,_xlfn.VSTACK(YES_Writing_ELA[Student Number],YES_Writing_FLA[Student Number]),0),MATCH(VLOOKUP(G$7,'Writing Logic'!$J$7:$K$11,2,FALSE)&amp;" - Per "&amp;VLOOKUP($C$4,'Writing Logic'!$G$8:$H$14,2,FALSE),YES_Writing_ELA[#Headers],0)))),"")</f>
        <v/>
      </c>
      <c r="H236" s="138" t="str">
        <f>IFERROR(IF(IF(INDEX(_xlfn.VSTACK(YES_Writing_ELA[#Data],YES_Writing_FLA[#Data]),MATCH($A236,_xlfn.VSTACK(YES_Writing_ELA[Student Number],YES_Writing_FLA[Student Number]),0),MATCH(VLOOKUP(H$7,'Writing Logic'!$J$7:$K$11,2,FALSE)&amp;" - Per "&amp;VLOOKUP($C$4,'Writing Logic'!$G$8:$H$14,2,FALSE),YES_Writing_ELA[#Headers],0))=0,"",INDEX(_xlfn.VSTACK(YES_Writing_ELA[#Data],YES_Writing_FLA[#Data]),MATCH($A236,_xlfn.VSTACK(YES_Writing_ELA[Student Number],YES_Writing_FLA[Student Number]),0),MATCH(VLOOKUP(H$7,'Writing Logic'!$J$7:$K$11,2,FALSE)&amp;" - Per "&amp;VLOOKUP($C$4,'Writing Logic'!$G$8:$H$14,2,FALSE),YES_Writing_ELA[#Headers],0)))="INS",'Writing Logic'!$B$7,IF(INDEX(_xlfn.VSTACK(YES_Writing_ELA[#Data],YES_Writing_FLA[#Data]),MATCH($A236,_xlfn.VSTACK(YES_Writing_ELA[Student Number],YES_Writing_FLA[Student Number]),0),MATCH(VLOOKUP(H$7,'Writing Logic'!$J$7:$K$11,2,FALSE)&amp;" - Per "&amp;VLOOKUP($C$4,'Writing Logic'!$G$8:$H$14,2,FALSE),YES_Writing_ELA[#Headers],0))=0,"",INDEX(_xlfn.VSTACK(YES_Writing_ELA[#Data],YES_Writing_FLA[#Data]),MATCH($A236,_xlfn.VSTACK(YES_Writing_ELA[Student Number],YES_Writing_FLA[Student Number]),0),MATCH(VLOOKUP(H$7,'Writing Logic'!$J$7:$K$11,2,FALSE)&amp;" - Per "&amp;VLOOKUP($C$4,'Writing Logic'!$G$8:$H$14,2,FALSE),YES_Writing_ELA[#Headers],0)))),"")</f>
        <v/>
      </c>
    </row>
    <row r="237" spans="1:8" x14ac:dyDescent="0.25">
      <c r="A237" s="137"/>
      <c r="B237" s="137" t="str">
        <f>IFERROR(INDEX(_xlfn.VSTACK(YES_Writing_ELA[#Data], YES_Writing_FLA[#Data]),MATCH($A237,_xlfn.VSTACK(YES_Writing_ELA[Student Number], YES_Writing_FLA[Student Number]),0),MATCH(B$7,YES_Writing_ELA[#Headers],0)),"")</f>
        <v/>
      </c>
      <c r="C237" s="137" t="str">
        <f>IFERROR(INDEX(_xlfn.VSTACK(YES_Writing_ELA[#Data], YES_Writing_FLA[#Data]),MATCH($A237,_xlfn.VSTACK(YES_Writing_ELA[Student Number], YES_Writing_FLA[Student Number]),0),MATCH(C$7,YES_Writing_ELA[#Headers],0)),"")</f>
        <v/>
      </c>
      <c r="D237" s="138" t="str">
        <f>IFERROR(IF(IF(INDEX(_xlfn.VSTACK(YES_Writing_ELA[#Data],YES_Writing_FLA[#Data]),MATCH($A237,_xlfn.VSTACK(YES_Writing_ELA[Student Number],YES_Writing_FLA[Student Number]),0),MATCH(VLOOKUP(D$7,'Writing Logic'!$J$7:$K$11,2,FALSE)&amp;" - Per "&amp;VLOOKUP($C$4,'Writing Logic'!$G$8:$H$14,2,FALSE),YES_Writing_ELA[#Headers],0))=0,"",INDEX(_xlfn.VSTACK(YES_Writing_ELA[#Data],YES_Writing_FLA[#Data]),MATCH($A237,_xlfn.VSTACK(YES_Writing_ELA[Student Number],YES_Writing_FLA[Student Number]),0),MATCH(VLOOKUP(D$7,'Writing Logic'!$J$7:$K$11,2,FALSE)&amp;" - Per "&amp;VLOOKUP($C$4,'Writing Logic'!$G$8:$H$14,2,FALSE),YES_Writing_ELA[#Headers],0)))="INS",'Writing Logic'!$B$7,IF(INDEX(_xlfn.VSTACK(YES_Writing_ELA[#Data],YES_Writing_FLA[#Data]),MATCH($A237,_xlfn.VSTACK(YES_Writing_ELA[Student Number],YES_Writing_FLA[Student Number]),0),MATCH(VLOOKUP(D$7,'Writing Logic'!$J$7:$K$11,2,FALSE)&amp;" - Per "&amp;VLOOKUP($C$4,'Writing Logic'!$G$8:$H$14,2,FALSE),YES_Writing_ELA[#Headers],0))=0,"",INDEX(_xlfn.VSTACK(YES_Writing_ELA[#Data],YES_Writing_FLA[#Data]),MATCH($A237,_xlfn.VSTACK(YES_Writing_ELA[Student Number],YES_Writing_FLA[Student Number]),0),MATCH(VLOOKUP(D$7,'Writing Logic'!$J$7:$K$11,2,FALSE)&amp;" - Per "&amp;VLOOKUP($C$4,'Writing Logic'!$G$8:$H$14,2,FALSE),YES_Writing_ELA[#Headers],0)))),"")</f>
        <v/>
      </c>
      <c r="E237" s="138" t="str">
        <f>IFERROR(IF(IF(INDEX(_xlfn.VSTACK(YES_Writing_ELA[#Data],YES_Writing_FLA[#Data]),MATCH($A237,_xlfn.VSTACK(YES_Writing_ELA[Student Number],YES_Writing_FLA[Student Number]),0),MATCH(VLOOKUP(E$7,'Writing Logic'!$J$7:$K$11,2,FALSE)&amp;" - Per "&amp;VLOOKUP($C$4,'Writing Logic'!$G$8:$H$14,2,FALSE),YES_Writing_ELA[#Headers],0))=0,"",INDEX(_xlfn.VSTACK(YES_Writing_ELA[#Data],YES_Writing_FLA[#Data]),MATCH($A237,_xlfn.VSTACK(YES_Writing_ELA[Student Number],YES_Writing_FLA[Student Number]),0),MATCH(VLOOKUP(E$7,'Writing Logic'!$J$7:$K$11,2,FALSE)&amp;" - Per "&amp;VLOOKUP($C$4,'Writing Logic'!$G$8:$H$14,2,FALSE),YES_Writing_ELA[#Headers],0)))="INS",'Writing Logic'!$B$7,IF(INDEX(_xlfn.VSTACK(YES_Writing_ELA[#Data],YES_Writing_FLA[#Data]),MATCH($A237,_xlfn.VSTACK(YES_Writing_ELA[Student Number],YES_Writing_FLA[Student Number]),0),MATCH(VLOOKUP(E$7,'Writing Logic'!$J$7:$K$11,2,FALSE)&amp;" - Per "&amp;VLOOKUP($C$4,'Writing Logic'!$G$8:$H$14,2,FALSE),YES_Writing_ELA[#Headers],0))=0,"",INDEX(_xlfn.VSTACK(YES_Writing_ELA[#Data],YES_Writing_FLA[#Data]),MATCH($A237,_xlfn.VSTACK(YES_Writing_ELA[Student Number],YES_Writing_FLA[Student Number]),0),MATCH(VLOOKUP(E$7,'Writing Logic'!$J$7:$K$11,2,FALSE)&amp;" - Per "&amp;VLOOKUP($C$4,'Writing Logic'!$G$8:$H$14,2,FALSE),YES_Writing_ELA[#Headers],0)))),"")</f>
        <v/>
      </c>
      <c r="F237" s="138" t="str">
        <f>IFERROR(IF(IF(INDEX(_xlfn.VSTACK(YES_Writing_ELA[#Data],YES_Writing_FLA[#Data]),MATCH($A237,_xlfn.VSTACK(YES_Writing_ELA[Student Number],YES_Writing_FLA[Student Number]),0),MATCH(VLOOKUP(F$7,'Writing Logic'!$J$7:$K$11,2,FALSE)&amp;" - Per "&amp;VLOOKUP($C$4,'Writing Logic'!$G$8:$H$14,2,FALSE),YES_Writing_ELA[#Headers],0))=0,"",INDEX(_xlfn.VSTACK(YES_Writing_ELA[#Data],YES_Writing_FLA[#Data]),MATCH($A237,_xlfn.VSTACK(YES_Writing_ELA[Student Number],YES_Writing_FLA[Student Number]),0),MATCH(VLOOKUP(F$7,'Writing Logic'!$J$7:$K$11,2,FALSE)&amp;" - Per "&amp;VLOOKUP($C$4,'Writing Logic'!$G$8:$H$14,2,FALSE),YES_Writing_ELA[#Headers],0)))="INS",'Writing Logic'!$B$7,IF(INDEX(_xlfn.VSTACK(YES_Writing_ELA[#Data],YES_Writing_FLA[#Data]),MATCH($A237,_xlfn.VSTACK(YES_Writing_ELA[Student Number],YES_Writing_FLA[Student Number]),0),MATCH(VLOOKUP(F$7,'Writing Logic'!$J$7:$K$11,2,FALSE)&amp;" - Per "&amp;VLOOKUP($C$4,'Writing Logic'!$G$8:$H$14,2,FALSE),YES_Writing_ELA[#Headers],0))=0,"",INDEX(_xlfn.VSTACK(YES_Writing_ELA[#Data],YES_Writing_FLA[#Data]),MATCH($A237,_xlfn.VSTACK(YES_Writing_ELA[Student Number],YES_Writing_FLA[Student Number]),0),MATCH(VLOOKUP(F$7,'Writing Logic'!$J$7:$K$11,2,FALSE)&amp;" - Per "&amp;VLOOKUP($C$4,'Writing Logic'!$G$8:$H$14,2,FALSE),YES_Writing_ELA[#Headers],0)))),"")</f>
        <v/>
      </c>
      <c r="G237" s="138" t="str">
        <f>IFERROR(IF(IF(INDEX(_xlfn.VSTACK(YES_Writing_ELA[#Data],YES_Writing_FLA[#Data]),MATCH($A237,_xlfn.VSTACK(YES_Writing_ELA[Student Number],YES_Writing_FLA[Student Number]),0),MATCH(VLOOKUP(G$7,'Writing Logic'!$J$7:$K$11,2,FALSE)&amp;" - Per "&amp;VLOOKUP($C$4,'Writing Logic'!$G$8:$H$14,2,FALSE),YES_Writing_ELA[#Headers],0))=0,"",INDEX(_xlfn.VSTACK(YES_Writing_ELA[#Data],YES_Writing_FLA[#Data]),MATCH($A237,_xlfn.VSTACK(YES_Writing_ELA[Student Number],YES_Writing_FLA[Student Number]),0),MATCH(VLOOKUP(G$7,'Writing Logic'!$J$7:$K$11,2,FALSE)&amp;" - Per "&amp;VLOOKUP($C$4,'Writing Logic'!$G$8:$H$14,2,FALSE),YES_Writing_ELA[#Headers],0)))="INS",'Writing Logic'!$B$7,IF(INDEX(_xlfn.VSTACK(YES_Writing_ELA[#Data],YES_Writing_FLA[#Data]),MATCH($A237,_xlfn.VSTACK(YES_Writing_ELA[Student Number],YES_Writing_FLA[Student Number]),0),MATCH(VLOOKUP(G$7,'Writing Logic'!$J$7:$K$11,2,FALSE)&amp;" - Per "&amp;VLOOKUP($C$4,'Writing Logic'!$G$8:$H$14,2,FALSE),YES_Writing_ELA[#Headers],0))=0,"",INDEX(_xlfn.VSTACK(YES_Writing_ELA[#Data],YES_Writing_FLA[#Data]),MATCH($A237,_xlfn.VSTACK(YES_Writing_ELA[Student Number],YES_Writing_FLA[Student Number]),0),MATCH(VLOOKUP(G$7,'Writing Logic'!$J$7:$K$11,2,FALSE)&amp;" - Per "&amp;VLOOKUP($C$4,'Writing Logic'!$G$8:$H$14,2,FALSE),YES_Writing_ELA[#Headers],0)))),"")</f>
        <v/>
      </c>
      <c r="H237" s="138" t="str">
        <f>IFERROR(IF(IF(INDEX(_xlfn.VSTACK(YES_Writing_ELA[#Data],YES_Writing_FLA[#Data]),MATCH($A237,_xlfn.VSTACK(YES_Writing_ELA[Student Number],YES_Writing_FLA[Student Number]),0),MATCH(VLOOKUP(H$7,'Writing Logic'!$J$7:$K$11,2,FALSE)&amp;" - Per "&amp;VLOOKUP($C$4,'Writing Logic'!$G$8:$H$14,2,FALSE),YES_Writing_ELA[#Headers],0))=0,"",INDEX(_xlfn.VSTACK(YES_Writing_ELA[#Data],YES_Writing_FLA[#Data]),MATCH($A237,_xlfn.VSTACK(YES_Writing_ELA[Student Number],YES_Writing_FLA[Student Number]),0),MATCH(VLOOKUP(H$7,'Writing Logic'!$J$7:$K$11,2,FALSE)&amp;" - Per "&amp;VLOOKUP($C$4,'Writing Logic'!$G$8:$H$14,2,FALSE),YES_Writing_ELA[#Headers],0)))="INS",'Writing Logic'!$B$7,IF(INDEX(_xlfn.VSTACK(YES_Writing_ELA[#Data],YES_Writing_FLA[#Data]),MATCH($A237,_xlfn.VSTACK(YES_Writing_ELA[Student Number],YES_Writing_FLA[Student Number]),0),MATCH(VLOOKUP(H$7,'Writing Logic'!$J$7:$K$11,2,FALSE)&amp;" - Per "&amp;VLOOKUP($C$4,'Writing Logic'!$G$8:$H$14,2,FALSE),YES_Writing_ELA[#Headers],0))=0,"",INDEX(_xlfn.VSTACK(YES_Writing_ELA[#Data],YES_Writing_FLA[#Data]),MATCH($A237,_xlfn.VSTACK(YES_Writing_ELA[Student Number],YES_Writing_FLA[Student Number]),0),MATCH(VLOOKUP(H$7,'Writing Logic'!$J$7:$K$11,2,FALSE)&amp;" - Per "&amp;VLOOKUP($C$4,'Writing Logic'!$G$8:$H$14,2,FALSE),YES_Writing_ELA[#Headers],0)))),"")</f>
        <v/>
      </c>
    </row>
    <row r="238" spans="1:8" x14ac:dyDescent="0.25">
      <c r="A238" s="137"/>
      <c r="B238" s="137" t="str">
        <f>IFERROR(INDEX(_xlfn.VSTACK(YES_Writing_ELA[#Data], YES_Writing_FLA[#Data]),MATCH($A238,_xlfn.VSTACK(YES_Writing_ELA[Student Number], YES_Writing_FLA[Student Number]),0),MATCH(B$7,YES_Writing_ELA[#Headers],0)),"")</f>
        <v/>
      </c>
      <c r="C238" s="137" t="str">
        <f>IFERROR(INDEX(_xlfn.VSTACK(YES_Writing_ELA[#Data], YES_Writing_FLA[#Data]),MATCH($A238,_xlfn.VSTACK(YES_Writing_ELA[Student Number], YES_Writing_FLA[Student Number]),0),MATCH(C$7,YES_Writing_ELA[#Headers],0)),"")</f>
        <v/>
      </c>
      <c r="D238" s="138" t="str">
        <f>IFERROR(IF(IF(INDEX(_xlfn.VSTACK(YES_Writing_ELA[#Data],YES_Writing_FLA[#Data]),MATCH($A238,_xlfn.VSTACK(YES_Writing_ELA[Student Number],YES_Writing_FLA[Student Number]),0),MATCH(VLOOKUP(D$7,'Writing Logic'!$J$7:$K$11,2,FALSE)&amp;" - Per "&amp;VLOOKUP($C$4,'Writing Logic'!$G$8:$H$14,2,FALSE),YES_Writing_ELA[#Headers],0))=0,"",INDEX(_xlfn.VSTACK(YES_Writing_ELA[#Data],YES_Writing_FLA[#Data]),MATCH($A238,_xlfn.VSTACK(YES_Writing_ELA[Student Number],YES_Writing_FLA[Student Number]),0),MATCH(VLOOKUP(D$7,'Writing Logic'!$J$7:$K$11,2,FALSE)&amp;" - Per "&amp;VLOOKUP($C$4,'Writing Logic'!$G$8:$H$14,2,FALSE),YES_Writing_ELA[#Headers],0)))="INS",'Writing Logic'!$B$7,IF(INDEX(_xlfn.VSTACK(YES_Writing_ELA[#Data],YES_Writing_FLA[#Data]),MATCH($A238,_xlfn.VSTACK(YES_Writing_ELA[Student Number],YES_Writing_FLA[Student Number]),0),MATCH(VLOOKUP(D$7,'Writing Logic'!$J$7:$K$11,2,FALSE)&amp;" - Per "&amp;VLOOKUP($C$4,'Writing Logic'!$G$8:$H$14,2,FALSE),YES_Writing_ELA[#Headers],0))=0,"",INDEX(_xlfn.VSTACK(YES_Writing_ELA[#Data],YES_Writing_FLA[#Data]),MATCH($A238,_xlfn.VSTACK(YES_Writing_ELA[Student Number],YES_Writing_FLA[Student Number]),0),MATCH(VLOOKUP(D$7,'Writing Logic'!$J$7:$K$11,2,FALSE)&amp;" - Per "&amp;VLOOKUP($C$4,'Writing Logic'!$G$8:$H$14,2,FALSE),YES_Writing_ELA[#Headers],0)))),"")</f>
        <v/>
      </c>
      <c r="E238" s="138" t="str">
        <f>IFERROR(IF(IF(INDEX(_xlfn.VSTACK(YES_Writing_ELA[#Data],YES_Writing_FLA[#Data]),MATCH($A238,_xlfn.VSTACK(YES_Writing_ELA[Student Number],YES_Writing_FLA[Student Number]),0),MATCH(VLOOKUP(E$7,'Writing Logic'!$J$7:$K$11,2,FALSE)&amp;" - Per "&amp;VLOOKUP($C$4,'Writing Logic'!$G$8:$H$14,2,FALSE),YES_Writing_ELA[#Headers],0))=0,"",INDEX(_xlfn.VSTACK(YES_Writing_ELA[#Data],YES_Writing_FLA[#Data]),MATCH($A238,_xlfn.VSTACK(YES_Writing_ELA[Student Number],YES_Writing_FLA[Student Number]),0),MATCH(VLOOKUP(E$7,'Writing Logic'!$J$7:$K$11,2,FALSE)&amp;" - Per "&amp;VLOOKUP($C$4,'Writing Logic'!$G$8:$H$14,2,FALSE),YES_Writing_ELA[#Headers],0)))="INS",'Writing Logic'!$B$7,IF(INDEX(_xlfn.VSTACK(YES_Writing_ELA[#Data],YES_Writing_FLA[#Data]),MATCH($A238,_xlfn.VSTACK(YES_Writing_ELA[Student Number],YES_Writing_FLA[Student Number]),0),MATCH(VLOOKUP(E$7,'Writing Logic'!$J$7:$K$11,2,FALSE)&amp;" - Per "&amp;VLOOKUP($C$4,'Writing Logic'!$G$8:$H$14,2,FALSE),YES_Writing_ELA[#Headers],0))=0,"",INDEX(_xlfn.VSTACK(YES_Writing_ELA[#Data],YES_Writing_FLA[#Data]),MATCH($A238,_xlfn.VSTACK(YES_Writing_ELA[Student Number],YES_Writing_FLA[Student Number]),0),MATCH(VLOOKUP(E$7,'Writing Logic'!$J$7:$K$11,2,FALSE)&amp;" - Per "&amp;VLOOKUP($C$4,'Writing Logic'!$G$8:$H$14,2,FALSE),YES_Writing_ELA[#Headers],0)))),"")</f>
        <v/>
      </c>
      <c r="F238" s="138" t="str">
        <f>IFERROR(IF(IF(INDEX(_xlfn.VSTACK(YES_Writing_ELA[#Data],YES_Writing_FLA[#Data]),MATCH($A238,_xlfn.VSTACK(YES_Writing_ELA[Student Number],YES_Writing_FLA[Student Number]),0),MATCH(VLOOKUP(F$7,'Writing Logic'!$J$7:$K$11,2,FALSE)&amp;" - Per "&amp;VLOOKUP($C$4,'Writing Logic'!$G$8:$H$14,2,FALSE),YES_Writing_ELA[#Headers],0))=0,"",INDEX(_xlfn.VSTACK(YES_Writing_ELA[#Data],YES_Writing_FLA[#Data]),MATCH($A238,_xlfn.VSTACK(YES_Writing_ELA[Student Number],YES_Writing_FLA[Student Number]),0),MATCH(VLOOKUP(F$7,'Writing Logic'!$J$7:$K$11,2,FALSE)&amp;" - Per "&amp;VLOOKUP($C$4,'Writing Logic'!$G$8:$H$14,2,FALSE),YES_Writing_ELA[#Headers],0)))="INS",'Writing Logic'!$B$7,IF(INDEX(_xlfn.VSTACK(YES_Writing_ELA[#Data],YES_Writing_FLA[#Data]),MATCH($A238,_xlfn.VSTACK(YES_Writing_ELA[Student Number],YES_Writing_FLA[Student Number]),0),MATCH(VLOOKUP(F$7,'Writing Logic'!$J$7:$K$11,2,FALSE)&amp;" - Per "&amp;VLOOKUP($C$4,'Writing Logic'!$G$8:$H$14,2,FALSE),YES_Writing_ELA[#Headers],0))=0,"",INDEX(_xlfn.VSTACK(YES_Writing_ELA[#Data],YES_Writing_FLA[#Data]),MATCH($A238,_xlfn.VSTACK(YES_Writing_ELA[Student Number],YES_Writing_FLA[Student Number]),0),MATCH(VLOOKUP(F$7,'Writing Logic'!$J$7:$K$11,2,FALSE)&amp;" - Per "&amp;VLOOKUP($C$4,'Writing Logic'!$G$8:$H$14,2,FALSE),YES_Writing_ELA[#Headers],0)))),"")</f>
        <v/>
      </c>
      <c r="G238" s="138" t="str">
        <f>IFERROR(IF(IF(INDEX(_xlfn.VSTACK(YES_Writing_ELA[#Data],YES_Writing_FLA[#Data]),MATCH($A238,_xlfn.VSTACK(YES_Writing_ELA[Student Number],YES_Writing_FLA[Student Number]),0),MATCH(VLOOKUP(G$7,'Writing Logic'!$J$7:$K$11,2,FALSE)&amp;" - Per "&amp;VLOOKUP($C$4,'Writing Logic'!$G$8:$H$14,2,FALSE),YES_Writing_ELA[#Headers],0))=0,"",INDEX(_xlfn.VSTACK(YES_Writing_ELA[#Data],YES_Writing_FLA[#Data]),MATCH($A238,_xlfn.VSTACK(YES_Writing_ELA[Student Number],YES_Writing_FLA[Student Number]),0),MATCH(VLOOKUP(G$7,'Writing Logic'!$J$7:$K$11,2,FALSE)&amp;" - Per "&amp;VLOOKUP($C$4,'Writing Logic'!$G$8:$H$14,2,FALSE),YES_Writing_ELA[#Headers],0)))="INS",'Writing Logic'!$B$7,IF(INDEX(_xlfn.VSTACK(YES_Writing_ELA[#Data],YES_Writing_FLA[#Data]),MATCH($A238,_xlfn.VSTACK(YES_Writing_ELA[Student Number],YES_Writing_FLA[Student Number]),0),MATCH(VLOOKUP(G$7,'Writing Logic'!$J$7:$K$11,2,FALSE)&amp;" - Per "&amp;VLOOKUP($C$4,'Writing Logic'!$G$8:$H$14,2,FALSE),YES_Writing_ELA[#Headers],0))=0,"",INDEX(_xlfn.VSTACK(YES_Writing_ELA[#Data],YES_Writing_FLA[#Data]),MATCH($A238,_xlfn.VSTACK(YES_Writing_ELA[Student Number],YES_Writing_FLA[Student Number]),0),MATCH(VLOOKUP(G$7,'Writing Logic'!$J$7:$K$11,2,FALSE)&amp;" - Per "&amp;VLOOKUP($C$4,'Writing Logic'!$G$8:$H$14,2,FALSE),YES_Writing_ELA[#Headers],0)))),"")</f>
        <v/>
      </c>
      <c r="H238" s="138" t="str">
        <f>IFERROR(IF(IF(INDEX(_xlfn.VSTACK(YES_Writing_ELA[#Data],YES_Writing_FLA[#Data]),MATCH($A238,_xlfn.VSTACK(YES_Writing_ELA[Student Number],YES_Writing_FLA[Student Number]),0),MATCH(VLOOKUP(H$7,'Writing Logic'!$J$7:$K$11,2,FALSE)&amp;" - Per "&amp;VLOOKUP($C$4,'Writing Logic'!$G$8:$H$14,2,FALSE),YES_Writing_ELA[#Headers],0))=0,"",INDEX(_xlfn.VSTACK(YES_Writing_ELA[#Data],YES_Writing_FLA[#Data]),MATCH($A238,_xlfn.VSTACK(YES_Writing_ELA[Student Number],YES_Writing_FLA[Student Number]),0),MATCH(VLOOKUP(H$7,'Writing Logic'!$J$7:$K$11,2,FALSE)&amp;" - Per "&amp;VLOOKUP($C$4,'Writing Logic'!$G$8:$H$14,2,FALSE),YES_Writing_ELA[#Headers],0)))="INS",'Writing Logic'!$B$7,IF(INDEX(_xlfn.VSTACK(YES_Writing_ELA[#Data],YES_Writing_FLA[#Data]),MATCH($A238,_xlfn.VSTACK(YES_Writing_ELA[Student Number],YES_Writing_FLA[Student Number]),0),MATCH(VLOOKUP(H$7,'Writing Logic'!$J$7:$K$11,2,FALSE)&amp;" - Per "&amp;VLOOKUP($C$4,'Writing Logic'!$G$8:$H$14,2,FALSE),YES_Writing_ELA[#Headers],0))=0,"",INDEX(_xlfn.VSTACK(YES_Writing_ELA[#Data],YES_Writing_FLA[#Data]),MATCH($A238,_xlfn.VSTACK(YES_Writing_ELA[Student Number],YES_Writing_FLA[Student Number]),0),MATCH(VLOOKUP(H$7,'Writing Logic'!$J$7:$K$11,2,FALSE)&amp;" - Per "&amp;VLOOKUP($C$4,'Writing Logic'!$G$8:$H$14,2,FALSE),YES_Writing_ELA[#Headers],0)))),"")</f>
        <v/>
      </c>
    </row>
    <row r="239" spans="1:8" x14ac:dyDescent="0.25">
      <c r="A239" s="137"/>
      <c r="B239" s="137" t="str">
        <f>IFERROR(INDEX(_xlfn.VSTACK(YES_Writing_ELA[#Data], YES_Writing_FLA[#Data]),MATCH($A239,_xlfn.VSTACK(YES_Writing_ELA[Student Number], YES_Writing_FLA[Student Number]),0),MATCH(B$7,YES_Writing_ELA[#Headers],0)),"")</f>
        <v/>
      </c>
      <c r="C239" s="137" t="str">
        <f>IFERROR(INDEX(_xlfn.VSTACK(YES_Writing_ELA[#Data], YES_Writing_FLA[#Data]),MATCH($A239,_xlfn.VSTACK(YES_Writing_ELA[Student Number], YES_Writing_FLA[Student Number]),0),MATCH(C$7,YES_Writing_ELA[#Headers],0)),"")</f>
        <v/>
      </c>
      <c r="D239" s="138" t="str">
        <f>IFERROR(IF(IF(INDEX(_xlfn.VSTACK(YES_Writing_ELA[#Data],YES_Writing_FLA[#Data]),MATCH($A239,_xlfn.VSTACK(YES_Writing_ELA[Student Number],YES_Writing_FLA[Student Number]),0),MATCH(VLOOKUP(D$7,'Writing Logic'!$J$7:$K$11,2,FALSE)&amp;" - Per "&amp;VLOOKUP($C$4,'Writing Logic'!$G$8:$H$14,2,FALSE),YES_Writing_ELA[#Headers],0))=0,"",INDEX(_xlfn.VSTACK(YES_Writing_ELA[#Data],YES_Writing_FLA[#Data]),MATCH($A239,_xlfn.VSTACK(YES_Writing_ELA[Student Number],YES_Writing_FLA[Student Number]),0),MATCH(VLOOKUP(D$7,'Writing Logic'!$J$7:$K$11,2,FALSE)&amp;" - Per "&amp;VLOOKUP($C$4,'Writing Logic'!$G$8:$H$14,2,FALSE),YES_Writing_ELA[#Headers],0)))="INS",'Writing Logic'!$B$7,IF(INDEX(_xlfn.VSTACK(YES_Writing_ELA[#Data],YES_Writing_FLA[#Data]),MATCH($A239,_xlfn.VSTACK(YES_Writing_ELA[Student Number],YES_Writing_FLA[Student Number]),0),MATCH(VLOOKUP(D$7,'Writing Logic'!$J$7:$K$11,2,FALSE)&amp;" - Per "&amp;VLOOKUP($C$4,'Writing Logic'!$G$8:$H$14,2,FALSE),YES_Writing_ELA[#Headers],0))=0,"",INDEX(_xlfn.VSTACK(YES_Writing_ELA[#Data],YES_Writing_FLA[#Data]),MATCH($A239,_xlfn.VSTACK(YES_Writing_ELA[Student Number],YES_Writing_FLA[Student Number]),0),MATCH(VLOOKUP(D$7,'Writing Logic'!$J$7:$K$11,2,FALSE)&amp;" - Per "&amp;VLOOKUP($C$4,'Writing Logic'!$G$8:$H$14,2,FALSE),YES_Writing_ELA[#Headers],0)))),"")</f>
        <v/>
      </c>
      <c r="E239" s="138" t="str">
        <f>IFERROR(IF(IF(INDEX(_xlfn.VSTACK(YES_Writing_ELA[#Data],YES_Writing_FLA[#Data]),MATCH($A239,_xlfn.VSTACK(YES_Writing_ELA[Student Number],YES_Writing_FLA[Student Number]),0),MATCH(VLOOKUP(E$7,'Writing Logic'!$J$7:$K$11,2,FALSE)&amp;" - Per "&amp;VLOOKUP($C$4,'Writing Logic'!$G$8:$H$14,2,FALSE),YES_Writing_ELA[#Headers],0))=0,"",INDEX(_xlfn.VSTACK(YES_Writing_ELA[#Data],YES_Writing_FLA[#Data]),MATCH($A239,_xlfn.VSTACK(YES_Writing_ELA[Student Number],YES_Writing_FLA[Student Number]),0),MATCH(VLOOKUP(E$7,'Writing Logic'!$J$7:$K$11,2,FALSE)&amp;" - Per "&amp;VLOOKUP($C$4,'Writing Logic'!$G$8:$H$14,2,FALSE),YES_Writing_ELA[#Headers],0)))="INS",'Writing Logic'!$B$7,IF(INDEX(_xlfn.VSTACK(YES_Writing_ELA[#Data],YES_Writing_FLA[#Data]),MATCH($A239,_xlfn.VSTACK(YES_Writing_ELA[Student Number],YES_Writing_FLA[Student Number]),0),MATCH(VLOOKUP(E$7,'Writing Logic'!$J$7:$K$11,2,FALSE)&amp;" - Per "&amp;VLOOKUP($C$4,'Writing Logic'!$G$8:$H$14,2,FALSE),YES_Writing_ELA[#Headers],0))=0,"",INDEX(_xlfn.VSTACK(YES_Writing_ELA[#Data],YES_Writing_FLA[#Data]),MATCH($A239,_xlfn.VSTACK(YES_Writing_ELA[Student Number],YES_Writing_FLA[Student Number]),0),MATCH(VLOOKUP(E$7,'Writing Logic'!$J$7:$K$11,2,FALSE)&amp;" - Per "&amp;VLOOKUP($C$4,'Writing Logic'!$G$8:$H$14,2,FALSE),YES_Writing_ELA[#Headers],0)))),"")</f>
        <v/>
      </c>
      <c r="F239" s="138" t="str">
        <f>IFERROR(IF(IF(INDEX(_xlfn.VSTACK(YES_Writing_ELA[#Data],YES_Writing_FLA[#Data]),MATCH($A239,_xlfn.VSTACK(YES_Writing_ELA[Student Number],YES_Writing_FLA[Student Number]),0),MATCH(VLOOKUP(F$7,'Writing Logic'!$J$7:$K$11,2,FALSE)&amp;" - Per "&amp;VLOOKUP($C$4,'Writing Logic'!$G$8:$H$14,2,FALSE),YES_Writing_ELA[#Headers],0))=0,"",INDEX(_xlfn.VSTACK(YES_Writing_ELA[#Data],YES_Writing_FLA[#Data]),MATCH($A239,_xlfn.VSTACK(YES_Writing_ELA[Student Number],YES_Writing_FLA[Student Number]),0),MATCH(VLOOKUP(F$7,'Writing Logic'!$J$7:$K$11,2,FALSE)&amp;" - Per "&amp;VLOOKUP($C$4,'Writing Logic'!$G$8:$H$14,2,FALSE),YES_Writing_ELA[#Headers],0)))="INS",'Writing Logic'!$B$7,IF(INDEX(_xlfn.VSTACK(YES_Writing_ELA[#Data],YES_Writing_FLA[#Data]),MATCH($A239,_xlfn.VSTACK(YES_Writing_ELA[Student Number],YES_Writing_FLA[Student Number]),0),MATCH(VLOOKUP(F$7,'Writing Logic'!$J$7:$K$11,2,FALSE)&amp;" - Per "&amp;VLOOKUP($C$4,'Writing Logic'!$G$8:$H$14,2,FALSE),YES_Writing_ELA[#Headers],0))=0,"",INDEX(_xlfn.VSTACK(YES_Writing_ELA[#Data],YES_Writing_FLA[#Data]),MATCH($A239,_xlfn.VSTACK(YES_Writing_ELA[Student Number],YES_Writing_FLA[Student Number]),0),MATCH(VLOOKUP(F$7,'Writing Logic'!$J$7:$K$11,2,FALSE)&amp;" - Per "&amp;VLOOKUP($C$4,'Writing Logic'!$G$8:$H$14,2,FALSE),YES_Writing_ELA[#Headers],0)))),"")</f>
        <v/>
      </c>
      <c r="G239" s="138" t="str">
        <f>IFERROR(IF(IF(INDEX(_xlfn.VSTACK(YES_Writing_ELA[#Data],YES_Writing_FLA[#Data]),MATCH($A239,_xlfn.VSTACK(YES_Writing_ELA[Student Number],YES_Writing_FLA[Student Number]),0),MATCH(VLOOKUP(G$7,'Writing Logic'!$J$7:$K$11,2,FALSE)&amp;" - Per "&amp;VLOOKUP($C$4,'Writing Logic'!$G$8:$H$14,2,FALSE),YES_Writing_ELA[#Headers],0))=0,"",INDEX(_xlfn.VSTACK(YES_Writing_ELA[#Data],YES_Writing_FLA[#Data]),MATCH($A239,_xlfn.VSTACK(YES_Writing_ELA[Student Number],YES_Writing_FLA[Student Number]),0),MATCH(VLOOKUP(G$7,'Writing Logic'!$J$7:$K$11,2,FALSE)&amp;" - Per "&amp;VLOOKUP($C$4,'Writing Logic'!$G$8:$H$14,2,FALSE),YES_Writing_ELA[#Headers],0)))="INS",'Writing Logic'!$B$7,IF(INDEX(_xlfn.VSTACK(YES_Writing_ELA[#Data],YES_Writing_FLA[#Data]),MATCH($A239,_xlfn.VSTACK(YES_Writing_ELA[Student Number],YES_Writing_FLA[Student Number]),0),MATCH(VLOOKUP(G$7,'Writing Logic'!$J$7:$K$11,2,FALSE)&amp;" - Per "&amp;VLOOKUP($C$4,'Writing Logic'!$G$8:$H$14,2,FALSE),YES_Writing_ELA[#Headers],0))=0,"",INDEX(_xlfn.VSTACK(YES_Writing_ELA[#Data],YES_Writing_FLA[#Data]),MATCH($A239,_xlfn.VSTACK(YES_Writing_ELA[Student Number],YES_Writing_FLA[Student Number]),0),MATCH(VLOOKUP(G$7,'Writing Logic'!$J$7:$K$11,2,FALSE)&amp;" - Per "&amp;VLOOKUP($C$4,'Writing Logic'!$G$8:$H$14,2,FALSE),YES_Writing_ELA[#Headers],0)))),"")</f>
        <v/>
      </c>
      <c r="H239" s="138" t="str">
        <f>IFERROR(IF(IF(INDEX(_xlfn.VSTACK(YES_Writing_ELA[#Data],YES_Writing_FLA[#Data]),MATCH($A239,_xlfn.VSTACK(YES_Writing_ELA[Student Number],YES_Writing_FLA[Student Number]),0),MATCH(VLOOKUP(H$7,'Writing Logic'!$J$7:$K$11,2,FALSE)&amp;" - Per "&amp;VLOOKUP($C$4,'Writing Logic'!$G$8:$H$14,2,FALSE),YES_Writing_ELA[#Headers],0))=0,"",INDEX(_xlfn.VSTACK(YES_Writing_ELA[#Data],YES_Writing_FLA[#Data]),MATCH($A239,_xlfn.VSTACK(YES_Writing_ELA[Student Number],YES_Writing_FLA[Student Number]),0),MATCH(VLOOKUP(H$7,'Writing Logic'!$J$7:$K$11,2,FALSE)&amp;" - Per "&amp;VLOOKUP($C$4,'Writing Logic'!$G$8:$H$14,2,FALSE),YES_Writing_ELA[#Headers],0)))="INS",'Writing Logic'!$B$7,IF(INDEX(_xlfn.VSTACK(YES_Writing_ELA[#Data],YES_Writing_FLA[#Data]),MATCH($A239,_xlfn.VSTACK(YES_Writing_ELA[Student Number],YES_Writing_FLA[Student Number]),0),MATCH(VLOOKUP(H$7,'Writing Logic'!$J$7:$K$11,2,FALSE)&amp;" - Per "&amp;VLOOKUP($C$4,'Writing Logic'!$G$8:$H$14,2,FALSE),YES_Writing_ELA[#Headers],0))=0,"",INDEX(_xlfn.VSTACK(YES_Writing_ELA[#Data],YES_Writing_FLA[#Data]),MATCH($A239,_xlfn.VSTACK(YES_Writing_ELA[Student Number],YES_Writing_FLA[Student Number]),0),MATCH(VLOOKUP(H$7,'Writing Logic'!$J$7:$K$11,2,FALSE)&amp;" - Per "&amp;VLOOKUP($C$4,'Writing Logic'!$G$8:$H$14,2,FALSE),YES_Writing_ELA[#Headers],0)))),"")</f>
        <v/>
      </c>
    </row>
    <row r="240" spans="1:8" x14ac:dyDescent="0.25">
      <c r="A240" s="137"/>
      <c r="B240" s="137" t="str">
        <f>IFERROR(INDEX(_xlfn.VSTACK(YES_Writing_ELA[#Data], YES_Writing_FLA[#Data]),MATCH($A240,_xlfn.VSTACK(YES_Writing_ELA[Student Number], YES_Writing_FLA[Student Number]),0),MATCH(B$7,YES_Writing_ELA[#Headers],0)),"")</f>
        <v/>
      </c>
      <c r="C240" s="137" t="str">
        <f>IFERROR(INDEX(_xlfn.VSTACK(YES_Writing_ELA[#Data], YES_Writing_FLA[#Data]),MATCH($A240,_xlfn.VSTACK(YES_Writing_ELA[Student Number], YES_Writing_FLA[Student Number]),0),MATCH(C$7,YES_Writing_ELA[#Headers],0)),"")</f>
        <v/>
      </c>
      <c r="D240" s="138" t="str">
        <f>IFERROR(IF(IF(INDEX(_xlfn.VSTACK(YES_Writing_ELA[#Data],YES_Writing_FLA[#Data]),MATCH($A240,_xlfn.VSTACK(YES_Writing_ELA[Student Number],YES_Writing_FLA[Student Number]),0),MATCH(VLOOKUP(D$7,'Writing Logic'!$J$7:$K$11,2,FALSE)&amp;" - Per "&amp;VLOOKUP($C$4,'Writing Logic'!$G$8:$H$14,2,FALSE),YES_Writing_ELA[#Headers],0))=0,"",INDEX(_xlfn.VSTACK(YES_Writing_ELA[#Data],YES_Writing_FLA[#Data]),MATCH($A240,_xlfn.VSTACK(YES_Writing_ELA[Student Number],YES_Writing_FLA[Student Number]),0),MATCH(VLOOKUP(D$7,'Writing Logic'!$J$7:$K$11,2,FALSE)&amp;" - Per "&amp;VLOOKUP($C$4,'Writing Logic'!$G$8:$H$14,2,FALSE),YES_Writing_ELA[#Headers],0)))="INS",'Writing Logic'!$B$7,IF(INDEX(_xlfn.VSTACK(YES_Writing_ELA[#Data],YES_Writing_FLA[#Data]),MATCH($A240,_xlfn.VSTACK(YES_Writing_ELA[Student Number],YES_Writing_FLA[Student Number]),0),MATCH(VLOOKUP(D$7,'Writing Logic'!$J$7:$K$11,2,FALSE)&amp;" - Per "&amp;VLOOKUP($C$4,'Writing Logic'!$G$8:$H$14,2,FALSE),YES_Writing_ELA[#Headers],0))=0,"",INDEX(_xlfn.VSTACK(YES_Writing_ELA[#Data],YES_Writing_FLA[#Data]),MATCH($A240,_xlfn.VSTACK(YES_Writing_ELA[Student Number],YES_Writing_FLA[Student Number]),0),MATCH(VLOOKUP(D$7,'Writing Logic'!$J$7:$K$11,2,FALSE)&amp;" - Per "&amp;VLOOKUP($C$4,'Writing Logic'!$G$8:$H$14,2,FALSE),YES_Writing_ELA[#Headers],0)))),"")</f>
        <v/>
      </c>
      <c r="E240" s="138" t="str">
        <f>IFERROR(IF(IF(INDEX(_xlfn.VSTACK(YES_Writing_ELA[#Data],YES_Writing_FLA[#Data]),MATCH($A240,_xlfn.VSTACK(YES_Writing_ELA[Student Number],YES_Writing_FLA[Student Number]),0),MATCH(VLOOKUP(E$7,'Writing Logic'!$J$7:$K$11,2,FALSE)&amp;" - Per "&amp;VLOOKUP($C$4,'Writing Logic'!$G$8:$H$14,2,FALSE),YES_Writing_ELA[#Headers],0))=0,"",INDEX(_xlfn.VSTACK(YES_Writing_ELA[#Data],YES_Writing_FLA[#Data]),MATCH($A240,_xlfn.VSTACK(YES_Writing_ELA[Student Number],YES_Writing_FLA[Student Number]),0),MATCH(VLOOKUP(E$7,'Writing Logic'!$J$7:$K$11,2,FALSE)&amp;" - Per "&amp;VLOOKUP($C$4,'Writing Logic'!$G$8:$H$14,2,FALSE),YES_Writing_ELA[#Headers],0)))="INS",'Writing Logic'!$B$7,IF(INDEX(_xlfn.VSTACK(YES_Writing_ELA[#Data],YES_Writing_FLA[#Data]),MATCH($A240,_xlfn.VSTACK(YES_Writing_ELA[Student Number],YES_Writing_FLA[Student Number]),0),MATCH(VLOOKUP(E$7,'Writing Logic'!$J$7:$K$11,2,FALSE)&amp;" - Per "&amp;VLOOKUP($C$4,'Writing Logic'!$G$8:$H$14,2,FALSE),YES_Writing_ELA[#Headers],0))=0,"",INDEX(_xlfn.VSTACK(YES_Writing_ELA[#Data],YES_Writing_FLA[#Data]),MATCH($A240,_xlfn.VSTACK(YES_Writing_ELA[Student Number],YES_Writing_FLA[Student Number]),0),MATCH(VLOOKUP(E$7,'Writing Logic'!$J$7:$K$11,2,FALSE)&amp;" - Per "&amp;VLOOKUP($C$4,'Writing Logic'!$G$8:$H$14,2,FALSE),YES_Writing_ELA[#Headers],0)))),"")</f>
        <v/>
      </c>
      <c r="F240" s="138" t="str">
        <f>IFERROR(IF(IF(INDEX(_xlfn.VSTACK(YES_Writing_ELA[#Data],YES_Writing_FLA[#Data]),MATCH($A240,_xlfn.VSTACK(YES_Writing_ELA[Student Number],YES_Writing_FLA[Student Number]),0),MATCH(VLOOKUP(F$7,'Writing Logic'!$J$7:$K$11,2,FALSE)&amp;" - Per "&amp;VLOOKUP($C$4,'Writing Logic'!$G$8:$H$14,2,FALSE),YES_Writing_ELA[#Headers],0))=0,"",INDEX(_xlfn.VSTACK(YES_Writing_ELA[#Data],YES_Writing_FLA[#Data]),MATCH($A240,_xlfn.VSTACK(YES_Writing_ELA[Student Number],YES_Writing_FLA[Student Number]),0),MATCH(VLOOKUP(F$7,'Writing Logic'!$J$7:$K$11,2,FALSE)&amp;" - Per "&amp;VLOOKUP($C$4,'Writing Logic'!$G$8:$H$14,2,FALSE),YES_Writing_ELA[#Headers],0)))="INS",'Writing Logic'!$B$7,IF(INDEX(_xlfn.VSTACK(YES_Writing_ELA[#Data],YES_Writing_FLA[#Data]),MATCH($A240,_xlfn.VSTACK(YES_Writing_ELA[Student Number],YES_Writing_FLA[Student Number]),0),MATCH(VLOOKUP(F$7,'Writing Logic'!$J$7:$K$11,2,FALSE)&amp;" - Per "&amp;VLOOKUP($C$4,'Writing Logic'!$G$8:$H$14,2,FALSE),YES_Writing_ELA[#Headers],0))=0,"",INDEX(_xlfn.VSTACK(YES_Writing_ELA[#Data],YES_Writing_FLA[#Data]),MATCH($A240,_xlfn.VSTACK(YES_Writing_ELA[Student Number],YES_Writing_FLA[Student Number]),0),MATCH(VLOOKUP(F$7,'Writing Logic'!$J$7:$K$11,2,FALSE)&amp;" - Per "&amp;VLOOKUP($C$4,'Writing Logic'!$G$8:$H$14,2,FALSE),YES_Writing_ELA[#Headers],0)))),"")</f>
        <v/>
      </c>
      <c r="G240" s="138" t="str">
        <f>IFERROR(IF(IF(INDEX(_xlfn.VSTACK(YES_Writing_ELA[#Data],YES_Writing_FLA[#Data]),MATCH($A240,_xlfn.VSTACK(YES_Writing_ELA[Student Number],YES_Writing_FLA[Student Number]),0),MATCH(VLOOKUP(G$7,'Writing Logic'!$J$7:$K$11,2,FALSE)&amp;" - Per "&amp;VLOOKUP($C$4,'Writing Logic'!$G$8:$H$14,2,FALSE),YES_Writing_ELA[#Headers],0))=0,"",INDEX(_xlfn.VSTACK(YES_Writing_ELA[#Data],YES_Writing_FLA[#Data]),MATCH($A240,_xlfn.VSTACK(YES_Writing_ELA[Student Number],YES_Writing_FLA[Student Number]),0),MATCH(VLOOKUP(G$7,'Writing Logic'!$J$7:$K$11,2,FALSE)&amp;" - Per "&amp;VLOOKUP($C$4,'Writing Logic'!$G$8:$H$14,2,FALSE),YES_Writing_ELA[#Headers],0)))="INS",'Writing Logic'!$B$7,IF(INDEX(_xlfn.VSTACK(YES_Writing_ELA[#Data],YES_Writing_FLA[#Data]),MATCH($A240,_xlfn.VSTACK(YES_Writing_ELA[Student Number],YES_Writing_FLA[Student Number]),0),MATCH(VLOOKUP(G$7,'Writing Logic'!$J$7:$K$11,2,FALSE)&amp;" - Per "&amp;VLOOKUP($C$4,'Writing Logic'!$G$8:$H$14,2,FALSE),YES_Writing_ELA[#Headers],0))=0,"",INDEX(_xlfn.VSTACK(YES_Writing_ELA[#Data],YES_Writing_FLA[#Data]),MATCH($A240,_xlfn.VSTACK(YES_Writing_ELA[Student Number],YES_Writing_FLA[Student Number]),0),MATCH(VLOOKUP(G$7,'Writing Logic'!$J$7:$K$11,2,FALSE)&amp;" - Per "&amp;VLOOKUP($C$4,'Writing Logic'!$G$8:$H$14,2,FALSE),YES_Writing_ELA[#Headers],0)))),"")</f>
        <v/>
      </c>
      <c r="H240" s="138" t="str">
        <f>IFERROR(IF(IF(INDEX(_xlfn.VSTACK(YES_Writing_ELA[#Data],YES_Writing_FLA[#Data]),MATCH($A240,_xlfn.VSTACK(YES_Writing_ELA[Student Number],YES_Writing_FLA[Student Number]),0),MATCH(VLOOKUP(H$7,'Writing Logic'!$J$7:$K$11,2,FALSE)&amp;" - Per "&amp;VLOOKUP($C$4,'Writing Logic'!$G$8:$H$14,2,FALSE),YES_Writing_ELA[#Headers],0))=0,"",INDEX(_xlfn.VSTACK(YES_Writing_ELA[#Data],YES_Writing_FLA[#Data]),MATCH($A240,_xlfn.VSTACK(YES_Writing_ELA[Student Number],YES_Writing_FLA[Student Number]),0),MATCH(VLOOKUP(H$7,'Writing Logic'!$J$7:$K$11,2,FALSE)&amp;" - Per "&amp;VLOOKUP($C$4,'Writing Logic'!$G$8:$H$14,2,FALSE),YES_Writing_ELA[#Headers],0)))="INS",'Writing Logic'!$B$7,IF(INDEX(_xlfn.VSTACK(YES_Writing_ELA[#Data],YES_Writing_FLA[#Data]),MATCH($A240,_xlfn.VSTACK(YES_Writing_ELA[Student Number],YES_Writing_FLA[Student Number]),0),MATCH(VLOOKUP(H$7,'Writing Logic'!$J$7:$K$11,2,FALSE)&amp;" - Per "&amp;VLOOKUP($C$4,'Writing Logic'!$G$8:$H$14,2,FALSE),YES_Writing_ELA[#Headers],0))=0,"",INDEX(_xlfn.VSTACK(YES_Writing_ELA[#Data],YES_Writing_FLA[#Data]),MATCH($A240,_xlfn.VSTACK(YES_Writing_ELA[Student Number],YES_Writing_FLA[Student Number]),0),MATCH(VLOOKUP(H$7,'Writing Logic'!$J$7:$K$11,2,FALSE)&amp;" - Per "&amp;VLOOKUP($C$4,'Writing Logic'!$G$8:$H$14,2,FALSE),YES_Writing_ELA[#Headers],0)))),"")</f>
        <v/>
      </c>
    </row>
    <row r="241" spans="1:8" x14ac:dyDescent="0.25">
      <c r="A241" s="137"/>
      <c r="B241" s="137" t="str">
        <f>IFERROR(INDEX(_xlfn.VSTACK(YES_Writing_ELA[#Data], YES_Writing_FLA[#Data]),MATCH($A241,_xlfn.VSTACK(YES_Writing_ELA[Student Number], YES_Writing_FLA[Student Number]),0),MATCH(B$7,YES_Writing_ELA[#Headers],0)),"")</f>
        <v/>
      </c>
      <c r="C241" s="137" t="str">
        <f>IFERROR(INDEX(_xlfn.VSTACK(YES_Writing_ELA[#Data], YES_Writing_FLA[#Data]),MATCH($A241,_xlfn.VSTACK(YES_Writing_ELA[Student Number], YES_Writing_FLA[Student Number]),0),MATCH(C$7,YES_Writing_ELA[#Headers],0)),"")</f>
        <v/>
      </c>
      <c r="D241" s="138" t="str">
        <f>IFERROR(IF(IF(INDEX(_xlfn.VSTACK(YES_Writing_ELA[#Data],YES_Writing_FLA[#Data]),MATCH($A241,_xlfn.VSTACK(YES_Writing_ELA[Student Number],YES_Writing_FLA[Student Number]),0),MATCH(VLOOKUP(D$7,'Writing Logic'!$J$7:$K$11,2,FALSE)&amp;" - Per "&amp;VLOOKUP($C$4,'Writing Logic'!$G$8:$H$14,2,FALSE),YES_Writing_ELA[#Headers],0))=0,"",INDEX(_xlfn.VSTACK(YES_Writing_ELA[#Data],YES_Writing_FLA[#Data]),MATCH($A241,_xlfn.VSTACK(YES_Writing_ELA[Student Number],YES_Writing_FLA[Student Number]),0),MATCH(VLOOKUP(D$7,'Writing Logic'!$J$7:$K$11,2,FALSE)&amp;" - Per "&amp;VLOOKUP($C$4,'Writing Logic'!$G$8:$H$14,2,FALSE),YES_Writing_ELA[#Headers],0)))="INS",'Writing Logic'!$B$7,IF(INDEX(_xlfn.VSTACK(YES_Writing_ELA[#Data],YES_Writing_FLA[#Data]),MATCH($A241,_xlfn.VSTACK(YES_Writing_ELA[Student Number],YES_Writing_FLA[Student Number]),0),MATCH(VLOOKUP(D$7,'Writing Logic'!$J$7:$K$11,2,FALSE)&amp;" - Per "&amp;VLOOKUP($C$4,'Writing Logic'!$G$8:$H$14,2,FALSE),YES_Writing_ELA[#Headers],0))=0,"",INDEX(_xlfn.VSTACK(YES_Writing_ELA[#Data],YES_Writing_FLA[#Data]),MATCH($A241,_xlfn.VSTACK(YES_Writing_ELA[Student Number],YES_Writing_FLA[Student Number]),0),MATCH(VLOOKUP(D$7,'Writing Logic'!$J$7:$K$11,2,FALSE)&amp;" - Per "&amp;VLOOKUP($C$4,'Writing Logic'!$G$8:$H$14,2,FALSE),YES_Writing_ELA[#Headers],0)))),"")</f>
        <v/>
      </c>
      <c r="E241" s="138" t="str">
        <f>IFERROR(IF(IF(INDEX(_xlfn.VSTACK(YES_Writing_ELA[#Data],YES_Writing_FLA[#Data]),MATCH($A241,_xlfn.VSTACK(YES_Writing_ELA[Student Number],YES_Writing_FLA[Student Number]),0),MATCH(VLOOKUP(E$7,'Writing Logic'!$J$7:$K$11,2,FALSE)&amp;" - Per "&amp;VLOOKUP($C$4,'Writing Logic'!$G$8:$H$14,2,FALSE),YES_Writing_ELA[#Headers],0))=0,"",INDEX(_xlfn.VSTACK(YES_Writing_ELA[#Data],YES_Writing_FLA[#Data]),MATCH($A241,_xlfn.VSTACK(YES_Writing_ELA[Student Number],YES_Writing_FLA[Student Number]),0),MATCH(VLOOKUP(E$7,'Writing Logic'!$J$7:$K$11,2,FALSE)&amp;" - Per "&amp;VLOOKUP($C$4,'Writing Logic'!$G$8:$H$14,2,FALSE),YES_Writing_ELA[#Headers],0)))="INS",'Writing Logic'!$B$7,IF(INDEX(_xlfn.VSTACK(YES_Writing_ELA[#Data],YES_Writing_FLA[#Data]),MATCH($A241,_xlfn.VSTACK(YES_Writing_ELA[Student Number],YES_Writing_FLA[Student Number]),0),MATCH(VLOOKUP(E$7,'Writing Logic'!$J$7:$K$11,2,FALSE)&amp;" - Per "&amp;VLOOKUP($C$4,'Writing Logic'!$G$8:$H$14,2,FALSE),YES_Writing_ELA[#Headers],0))=0,"",INDEX(_xlfn.VSTACK(YES_Writing_ELA[#Data],YES_Writing_FLA[#Data]),MATCH($A241,_xlfn.VSTACK(YES_Writing_ELA[Student Number],YES_Writing_FLA[Student Number]),0),MATCH(VLOOKUP(E$7,'Writing Logic'!$J$7:$K$11,2,FALSE)&amp;" - Per "&amp;VLOOKUP($C$4,'Writing Logic'!$G$8:$H$14,2,FALSE),YES_Writing_ELA[#Headers],0)))),"")</f>
        <v/>
      </c>
      <c r="F241" s="138" t="str">
        <f>IFERROR(IF(IF(INDEX(_xlfn.VSTACK(YES_Writing_ELA[#Data],YES_Writing_FLA[#Data]),MATCH($A241,_xlfn.VSTACK(YES_Writing_ELA[Student Number],YES_Writing_FLA[Student Number]),0),MATCH(VLOOKUP(F$7,'Writing Logic'!$J$7:$K$11,2,FALSE)&amp;" - Per "&amp;VLOOKUP($C$4,'Writing Logic'!$G$8:$H$14,2,FALSE),YES_Writing_ELA[#Headers],0))=0,"",INDEX(_xlfn.VSTACK(YES_Writing_ELA[#Data],YES_Writing_FLA[#Data]),MATCH($A241,_xlfn.VSTACK(YES_Writing_ELA[Student Number],YES_Writing_FLA[Student Number]),0),MATCH(VLOOKUP(F$7,'Writing Logic'!$J$7:$K$11,2,FALSE)&amp;" - Per "&amp;VLOOKUP($C$4,'Writing Logic'!$G$8:$H$14,2,FALSE),YES_Writing_ELA[#Headers],0)))="INS",'Writing Logic'!$B$7,IF(INDEX(_xlfn.VSTACK(YES_Writing_ELA[#Data],YES_Writing_FLA[#Data]),MATCH($A241,_xlfn.VSTACK(YES_Writing_ELA[Student Number],YES_Writing_FLA[Student Number]),0),MATCH(VLOOKUP(F$7,'Writing Logic'!$J$7:$K$11,2,FALSE)&amp;" - Per "&amp;VLOOKUP($C$4,'Writing Logic'!$G$8:$H$14,2,FALSE),YES_Writing_ELA[#Headers],0))=0,"",INDEX(_xlfn.VSTACK(YES_Writing_ELA[#Data],YES_Writing_FLA[#Data]),MATCH($A241,_xlfn.VSTACK(YES_Writing_ELA[Student Number],YES_Writing_FLA[Student Number]),0),MATCH(VLOOKUP(F$7,'Writing Logic'!$J$7:$K$11,2,FALSE)&amp;" - Per "&amp;VLOOKUP($C$4,'Writing Logic'!$G$8:$H$14,2,FALSE),YES_Writing_ELA[#Headers],0)))),"")</f>
        <v/>
      </c>
      <c r="G241" s="138" t="str">
        <f>IFERROR(IF(IF(INDEX(_xlfn.VSTACK(YES_Writing_ELA[#Data],YES_Writing_FLA[#Data]),MATCH($A241,_xlfn.VSTACK(YES_Writing_ELA[Student Number],YES_Writing_FLA[Student Number]),0),MATCH(VLOOKUP(G$7,'Writing Logic'!$J$7:$K$11,2,FALSE)&amp;" - Per "&amp;VLOOKUP($C$4,'Writing Logic'!$G$8:$H$14,2,FALSE),YES_Writing_ELA[#Headers],0))=0,"",INDEX(_xlfn.VSTACK(YES_Writing_ELA[#Data],YES_Writing_FLA[#Data]),MATCH($A241,_xlfn.VSTACK(YES_Writing_ELA[Student Number],YES_Writing_FLA[Student Number]),0),MATCH(VLOOKUP(G$7,'Writing Logic'!$J$7:$K$11,2,FALSE)&amp;" - Per "&amp;VLOOKUP($C$4,'Writing Logic'!$G$8:$H$14,2,FALSE),YES_Writing_ELA[#Headers],0)))="INS",'Writing Logic'!$B$7,IF(INDEX(_xlfn.VSTACK(YES_Writing_ELA[#Data],YES_Writing_FLA[#Data]),MATCH($A241,_xlfn.VSTACK(YES_Writing_ELA[Student Number],YES_Writing_FLA[Student Number]),0),MATCH(VLOOKUP(G$7,'Writing Logic'!$J$7:$K$11,2,FALSE)&amp;" - Per "&amp;VLOOKUP($C$4,'Writing Logic'!$G$8:$H$14,2,FALSE),YES_Writing_ELA[#Headers],0))=0,"",INDEX(_xlfn.VSTACK(YES_Writing_ELA[#Data],YES_Writing_FLA[#Data]),MATCH($A241,_xlfn.VSTACK(YES_Writing_ELA[Student Number],YES_Writing_FLA[Student Number]),0),MATCH(VLOOKUP(G$7,'Writing Logic'!$J$7:$K$11,2,FALSE)&amp;" - Per "&amp;VLOOKUP($C$4,'Writing Logic'!$G$8:$H$14,2,FALSE),YES_Writing_ELA[#Headers],0)))),"")</f>
        <v/>
      </c>
      <c r="H241" s="138" t="str">
        <f>IFERROR(IF(IF(INDEX(_xlfn.VSTACK(YES_Writing_ELA[#Data],YES_Writing_FLA[#Data]),MATCH($A241,_xlfn.VSTACK(YES_Writing_ELA[Student Number],YES_Writing_FLA[Student Number]),0),MATCH(VLOOKUP(H$7,'Writing Logic'!$J$7:$K$11,2,FALSE)&amp;" - Per "&amp;VLOOKUP($C$4,'Writing Logic'!$G$8:$H$14,2,FALSE),YES_Writing_ELA[#Headers],0))=0,"",INDEX(_xlfn.VSTACK(YES_Writing_ELA[#Data],YES_Writing_FLA[#Data]),MATCH($A241,_xlfn.VSTACK(YES_Writing_ELA[Student Number],YES_Writing_FLA[Student Number]),0),MATCH(VLOOKUP(H$7,'Writing Logic'!$J$7:$K$11,2,FALSE)&amp;" - Per "&amp;VLOOKUP($C$4,'Writing Logic'!$G$8:$H$14,2,FALSE),YES_Writing_ELA[#Headers],0)))="INS",'Writing Logic'!$B$7,IF(INDEX(_xlfn.VSTACK(YES_Writing_ELA[#Data],YES_Writing_FLA[#Data]),MATCH($A241,_xlfn.VSTACK(YES_Writing_ELA[Student Number],YES_Writing_FLA[Student Number]),0),MATCH(VLOOKUP(H$7,'Writing Logic'!$J$7:$K$11,2,FALSE)&amp;" - Per "&amp;VLOOKUP($C$4,'Writing Logic'!$G$8:$H$14,2,FALSE),YES_Writing_ELA[#Headers],0))=0,"",INDEX(_xlfn.VSTACK(YES_Writing_ELA[#Data],YES_Writing_FLA[#Data]),MATCH($A241,_xlfn.VSTACK(YES_Writing_ELA[Student Number],YES_Writing_FLA[Student Number]),0),MATCH(VLOOKUP(H$7,'Writing Logic'!$J$7:$K$11,2,FALSE)&amp;" - Per "&amp;VLOOKUP($C$4,'Writing Logic'!$G$8:$H$14,2,FALSE),YES_Writing_ELA[#Headers],0)))),"")</f>
        <v/>
      </c>
    </row>
    <row r="242" spans="1:8" x14ac:dyDescent="0.25">
      <c r="A242" s="137"/>
      <c r="B242" s="137" t="str">
        <f>IFERROR(INDEX(_xlfn.VSTACK(YES_Writing_ELA[#Data], YES_Writing_FLA[#Data]),MATCH($A242,_xlfn.VSTACK(YES_Writing_ELA[Student Number], YES_Writing_FLA[Student Number]),0),MATCH(B$7,YES_Writing_ELA[#Headers],0)),"")</f>
        <v/>
      </c>
      <c r="C242" s="137" t="str">
        <f>IFERROR(INDEX(_xlfn.VSTACK(YES_Writing_ELA[#Data], YES_Writing_FLA[#Data]),MATCH($A242,_xlfn.VSTACK(YES_Writing_ELA[Student Number], YES_Writing_FLA[Student Number]),0),MATCH(C$7,YES_Writing_ELA[#Headers],0)),"")</f>
        <v/>
      </c>
      <c r="D242" s="138" t="str">
        <f>IFERROR(IF(IF(INDEX(_xlfn.VSTACK(YES_Writing_ELA[#Data],YES_Writing_FLA[#Data]),MATCH($A242,_xlfn.VSTACK(YES_Writing_ELA[Student Number],YES_Writing_FLA[Student Number]),0),MATCH(VLOOKUP(D$7,'Writing Logic'!$J$7:$K$11,2,FALSE)&amp;" - Per "&amp;VLOOKUP($C$4,'Writing Logic'!$G$8:$H$14,2,FALSE),YES_Writing_ELA[#Headers],0))=0,"",INDEX(_xlfn.VSTACK(YES_Writing_ELA[#Data],YES_Writing_FLA[#Data]),MATCH($A242,_xlfn.VSTACK(YES_Writing_ELA[Student Number],YES_Writing_FLA[Student Number]),0),MATCH(VLOOKUP(D$7,'Writing Logic'!$J$7:$K$11,2,FALSE)&amp;" - Per "&amp;VLOOKUP($C$4,'Writing Logic'!$G$8:$H$14,2,FALSE),YES_Writing_ELA[#Headers],0)))="INS",'Writing Logic'!$B$7,IF(INDEX(_xlfn.VSTACK(YES_Writing_ELA[#Data],YES_Writing_FLA[#Data]),MATCH($A242,_xlfn.VSTACK(YES_Writing_ELA[Student Number],YES_Writing_FLA[Student Number]),0),MATCH(VLOOKUP(D$7,'Writing Logic'!$J$7:$K$11,2,FALSE)&amp;" - Per "&amp;VLOOKUP($C$4,'Writing Logic'!$G$8:$H$14,2,FALSE),YES_Writing_ELA[#Headers],0))=0,"",INDEX(_xlfn.VSTACK(YES_Writing_ELA[#Data],YES_Writing_FLA[#Data]),MATCH($A242,_xlfn.VSTACK(YES_Writing_ELA[Student Number],YES_Writing_FLA[Student Number]),0),MATCH(VLOOKUP(D$7,'Writing Logic'!$J$7:$K$11,2,FALSE)&amp;" - Per "&amp;VLOOKUP($C$4,'Writing Logic'!$G$8:$H$14,2,FALSE),YES_Writing_ELA[#Headers],0)))),"")</f>
        <v/>
      </c>
      <c r="E242" s="138" t="str">
        <f>IFERROR(IF(IF(INDEX(_xlfn.VSTACK(YES_Writing_ELA[#Data],YES_Writing_FLA[#Data]),MATCH($A242,_xlfn.VSTACK(YES_Writing_ELA[Student Number],YES_Writing_FLA[Student Number]),0),MATCH(VLOOKUP(E$7,'Writing Logic'!$J$7:$K$11,2,FALSE)&amp;" - Per "&amp;VLOOKUP($C$4,'Writing Logic'!$G$8:$H$14,2,FALSE),YES_Writing_ELA[#Headers],0))=0,"",INDEX(_xlfn.VSTACK(YES_Writing_ELA[#Data],YES_Writing_FLA[#Data]),MATCH($A242,_xlfn.VSTACK(YES_Writing_ELA[Student Number],YES_Writing_FLA[Student Number]),0),MATCH(VLOOKUP(E$7,'Writing Logic'!$J$7:$K$11,2,FALSE)&amp;" - Per "&amp;VLOOKUP($C$4,'Writing Logic'!$G$8:$H$14,2,FALSE),YES_Writing_ELA[#Headers],0)))="INS",'Writing Logic'!$B$7,IF(INDEX(_xlfn.VSTACK(YES_Writing_ELA[#Data],YES_Writing_FLA[#Data]),MATCH($A242,_xlfn.VSTACK(YES_Writing_ELA[Student Number],YES_Writing_FLA[Student Number]),0),MATCH(VLOOKUP(E$7,'Writing Logic'!$J$7:$K$11,2,FALSE)&amp;" - Per "&amp;VLOOKUP($C$4,'Writing Logic'!$G$8:$H$14,2,FALSE),YES_Writing_ELA[#Headers],0))=0,"",INDEX(_xlfn.VSTACK(YES_Writing_ELA[#Data],YES_Writing_FLA[#Data]),MATCH($A242,_xlfn.VSTACK(YES_Writing_ELA[Student Number],YES_Writing_FLA[Student Number]),0),MATCH(VLOOKUP(E$7,'Writing Logic'!$J$7:$K$11,2,FALSE)&amp;" - Per "&amp;VLOOKUP($C$4,'Writing Logic'!$G$8:$H$14,2,FALSE),YES_Writing_ELA[#Headers],0)))),"")</f>
        <v/>
      </c>
      <c r="F242" s="138" t="str">
        <f>IFERROR(IF(IF(INDEX(_xlfn.VSTACK(YES_Writing_ELA[#Data],YES_Writing_FLA[#Data]),MATCH($A242,_xlfn.VSTACK(YES_Writing_ELA[Student Number],YES_Writing_FLA[Student Number]),0),MATCH(VLOOKUP(F$7,'Writing Logic'!$J$7:$K$11,2,FALSE)&amp;" - Per "&amp;VLOOKUP($C$4,'Writing Logic'!$G$8:$H$14,2,FALSE),YES_Writing_ELA[#Headers],0))=0,"",INDEX(_xlfn.VSTACK(YES_Writing_ELA[#Data],YES_Writing_FLA[#Data]),MATCH($A242,_xlfn.VSTACK(YES_Writing_ELA[Student Number],YES_Writing_FLA[Student Number]),0),MATCH(VLOOKUP(F$7,'Writing Logic'!$J$7:$K$11,2,FALSE)&amp;" - Per "&amp;VLOOKUP($C$4,'Writing Logic'!$G$8:$H$14,2,FALSE),YES_Writing_ELA[#Headers],0)))="INS",'Writing Logic'!$B$7,IF(INDEX(_xlfn.VSTACK(YES_Writing_ELA[#Data],YES_Writing_FLA[#Data]),MATCH($A242,_xlfn.VSTACK(YES_Writing_ELA[Student Number],YES_Writing_FLA[Student Number]),0),MATCH(VLOOKUP(F$7,'Writing Logic'!$J$7:$K$11,2,FALSE)&amp;" - Per "&amp;VLOOKUP($C$4,'Writing Logic'!$G$8:$H$14,2,FALSE),YES_Writing_ELA[#Headers],0))=0,"",INDEX(_xlfn.VSTACK(YES_Writing_ELA[#Data],YES_Writing_FLA[#Data]),MATCH($A242,_xlfn.VSTACK(YES_Writing_ELA[Student Number],YES_Writing_FLA[Student Number]),0),MATCH(VLOOKUP(F$7,'Writing Logic'!$J$7:$K$11,2,FALSE)&amp;" - Per "&amp;VLOOKUP($C$4,'Writing Logic'!$G$8:$H$14,2,FALSE),YES_Writing_ELA[#Headers],0)))),"")</f>
        <v/>
      </c>
      <c r="G242" s="138" t="str">
        <f>IFERROR(IF(IF(INDEX(_xlfn.VSTACK(YES_Writing_ELA[#Data],YES_Writing_FLA[#Data]),MATCH($A242,_xlfn.VSTACK(YES_Writing_ELA[Student Number],YES_Writing_FLA[Student Number]),0),MATCH(VLOOKUP(G$7,'Writing Logic'!$J$7:$K$11,2,FALSE)&amp;" - Per "&amp;VLOOKUP($C$4,'Writing Logic'!$G$8:$H$14,2,FALSE),YES_Writing_ELA[#Headers],0))=0,"",INDEX(_xlfn.VSTACK(YES_Writing_ELA[#Data],YES_Writing_FLA[#Data]),MATCH($A242,_xlfn.VSTACK(YES_Writing_ELA[Student Number],YES_Writing_FLA[Student Number]),0),MATCH(VLOOKUP(G$7,'Writing Logic'!$J$7:$K$11,2,FALSE)&amp;" - Per "&amp;VLOOKUP($C$4,'Writing Logic'!$G$8:$H$14,2,FALSE),YES_Writing_ELA[#Headers],0)))="INS",'Writing Logic'!$B$7,IF(INDEX(_xlfn.VSTACK(YES_Writing_ELA[#Data],YES_Writing_FLA[#Data]),MATCH($A242,_xlfn.VSTACK(YES_Writing_ELA[Student Number],YES_Writing_FLA[Student Number]),0),MATCH(VLOOKUP(G$7,'Writing Logic'!$J$7:$K$11,2,FALSE)&amp;" - Per "&amp;VLOOKUP($C$4,'Writing Logic'!$G$8:$H$14,2,FALSE),YES_Writing_ELA[#Headers],0))=0,"",INDEX(_xlfn.VSTACK(YES_Writing_ELA[#Data],YES_Writing_FLA[#Data]),MATCH($A242,_xlfn.VSTACK(YES_Writing_ELA[Student Number],YES_Writing_FLA[Student Number]),0),MATCH(VLOOKUP(G$7,'Writing Logic'!$J$7:$K$11,2,FALSE)&amp;" - Per "&amp;VLOOKUP($C$4,'Writing Logic'!$G$8:$H$14,2,FALSE),YES_Writing_ELA[#Headers],0)))),"")</f>
        <v/>
      </c>
      <c r="H242" s="138" t="str">
        <f>IFERROR(IF(IF(INDEX(_xlfn.VSTACK(YES_Writing_ELA[#Data],YES_Writing_FLA[#Data]),MATCH($A242,_xlfn.VSTACK(YES_Writing_ELA[Student Number],YES_Writing_FLA[Student Number]),0),MATCH(VLOOKUP(H$7,'Writing Logic'!$J$7:$K$11,2,FALSE)&amp;" - Per "&amp;VLOOKUP($C$4,'Writing Logic'!$G$8:$H$14,2,FALSE),YES_Writing_ELA[#Headers],0))=0,"",INDEX(_xlfn.VSTACK(YES_Writing_ELA[#Data],YES_Writing_FLA[#Data]),MATCH($A242,_xlfn.VSTACK(YES_Writing_ELA[Student Number],YES_Writing_FLA[Student Number]),0),MATCH(VLOOKUP(H$7,'Writing Logic'!$J$7:$K$11,2,FALSE)&amp;" - Per "&amp;VLOOKUP($C$4,'Writing Logic'!$G$8:$H$14,2,FALSE),YES_Writing_ELA[#Headers],0)))="INS",'Writing Logic'!$B$7,IF(INDEX(_xlfn.VSTACK(YES_Writing_ELA[#Data],YES_Writing_FLA[#Data]),MATCH($A242,_xlfn.VSTACK(YES_Writing_ELA[Student Number],YES_Writing_FLA[Student Number]),0),MATCH(VLOOKUP(H$7,'Writing Logic'!$J$7:$K$11,2,FALSE)&amp;" - Per "&amp;VLOOKUP($C$4,'Writing Logic'!$G$8:$H$14,2,FALSE),YES_Writing_ELA[#Headers],0))=0,"",INDEX(_xlfn.VSTACK(YES_Writing_ELA[#Data],YES_Writing_FLA[#Data]),MATCH($A242,_xlfn.VSTACK(YES_Writing_ELA[Student Number],YES_Writing_FLA[Student Number]),0),MATCH(VLOOKUP(H$7,'Writing Logic'!$J$7:$K$11,2,FALSE)&amp;" - Per "&amp;VLOOKUP($C$4,'Writing Logic'!$G$8:$H$14,2,FALSE),YES_Writing_ELA[#Headers],0)))),"")</f>
        <v/>
      </c>
    </row>
    <row r="243" spans="1:8" x14ac:dyDescent="0.25">
      <c r="A243" s="137"/>
      <c r="B243" s="137" t="str">
        <f>IFERROR(INDEX(_xlfn.VSTACK(YES_Writing_ELA[#Data], YES_Writing_FLA[#Data]),MATCH($A243,_xlfn.VSTACK(YES_Writing_ELA[Student Number], YES_Writing_FLA[Student Number]),0),MATCH(B$7,YES_Writing_ELA[#Headers],0)),"")</f>
        <v/>
      </c>
      <c r="C243" s="137" t="str">
        <f>IFERROR(INDEX(_xlfn.VSTACK(YES_Writing_ELA[#Data], YES_Writing_FLA[#Data]),MATCH($A243,_xlfn.VSTACK(YES_Writing_ELA[Student Number], YES_Writing_FLA[Student Number]),0),MATCH(C$7,YES_Writing_ELA[#Headers],0)),"")</f>
        <v/>
      </c>
      <c r="D243" s="138" t="str">
        <f>IFERROR(IF(IF(INDEX(_xlfn.VSTACK(YES_Writing_ELA[#Data],YES_Writing_FLA[#Data]),MATCH($A243,_xlfn.VSTACK(YES_Writing_ELA[Student Number],YES_Writing_FLA[Student Number]),0),MATCH(VLOOKUP(D$7,'Writing Logic'!$J$7:$K$11,2,FALSE)&amp;" - Per "&amp;VLOOKUP($C$4,'Writing Logic'!$G$8:$H$14,2,FALSE),YES_Writing_ELA[#Headers],0))=0,"",INDEX(_xlfn.VSTACK(YES_Writing_ELA[#Data],YES_Writing_FLA[#Data]),MATCH($A243,_xlfn.VSTACK(YES_Writing_ELA[Student Number],YES_Writing_FLA[Student Number]),0),MATCH(VLOOKUP(D$7,'Writing Logic'!$J$7:$K$11,2,FALSE)&amp;" - Per "&amp;VLOOKUP($C$4,'Writing Logic'!$G$8:$H$14,2,FALSE),YES_Writing_ELA[#Headers],0)))="INS",'Writing Logic'!$B$7,IF(INDEX(_xlfn.VSTACK(YES_Writing_ELA[#Data],YES_Writing_FLA[#Data]),MATCH($A243,_xlfn.VSTACK(YES_Writing_ELA[Student Number],YES_Writing_FLA[Student Number]),0),MATCH(VLOOKUP(D$7,'Writing Logic'!$J$7:$K$11,2,FALSE)&amp;" - Per "&amp;VLOOKUP($C$4,'Writing Logic'!$G$8:$H$14,2,FALSE),YES_Writing_ELA[#Headers],0))=0,"",INDEX(_xlfn.VSTACK(YES_Writing_ELA[#Data],YES_Writing_FLA[#Data]),MATCH($A243,_xlfn.VSTACK(YES_Writing_ELA[Student Number],YES_Writing_FLA[Student Number]),0),MATCH(VLOOKUP(D$7,'Writing Logic'!$J$7:$K$11,2,FALSE)&amp;" - Per "&amp;VLOOKUP($C$4,'Writing Logic'!$G$8:$H$14,2,FALSE),YES_Writing_ELA[#Headers],0)))),"")</f>
        <v/>
      </c>
      <c r="E243" s="138" t="str">
        <f>IFERROR(IF(IF(INDEX(_xlfn.VSTACK(YES_Writing_ELA[#Data],YES_Writing_FLA[#Data]),MATCH($A243,_xlfn.VSTACK(YES_Writing_ELA[Student Number],YES_Writing_FLA[Student Number]),0),MATCH(VLOOKUP(E$7,'Writing Logic'!$J$7:$K$11,2,FALSE)&amp;" - Per "&amp;VLOOKUP($C$4,'Writing Logic'!$G$8:$H$14,2,FALSE),YES_Writing_ELA[#Headers],0))=0,"",INDEX(_xlfn.VSTACK(YES_Writing_ELA[#Data],YES_Writing_FLA[#Data]),MATCH($A243,_xlfn.VSTACK(YES_Writing_ELA[Student Number],YES_Writing_FLA[Student Number]),0),MATCH(VLOOKUP(E$7,'Writing Logic'!$J$7:$K$11,2,FALSE)&amp;" - Per "&amp;VLOOKUP($C$4,'Writing Logic'!$G$8:$H$14,2,FALSE),YES_Writing_ELA[#Headers],0)))="INS",'Writing Logic'!$B$7,IF(INDEX(_xlfn.VSTACK(YES_Writing_ELA[#Data],YES_Writing_FLA[#Data]),MATCH($A243,_xlfn.VSTACK(YES_Writing_ELA[Student Number],YES_Writing_FLA[Student Number]),0),MATCH(VLOOKUP(E$7,'Writing Logic'!$J$7:$K$11,2,FALSE)&amp;" - Per "&amp;VLOOKUP($C$4,'Writing Logic'!$G$8:$H$14,2,FALSE),YES_Writing_ELA[#Headers],0))=0,"",INDEX(_xlfn.VSTACK(YES_Writing_ELA[#Data],YES_Writing_FLA[#Data]),MATCH($A243,_xlfn.VSTACK(YES_Writing_ELA[Student Number],YES_Writing_FLA[Student Number]),0),MATCH(VLOOKUP(E$7,'Writing Logic'!$J$7:$K$11,2,FALSE)&amp;" - Per "&amp;VLOOKUP($C$4,'Writing Logic'!$G$8:$H$14,2,FALSE),YES_Writing_ELA[#Headers],0)))),"")</f>
        <v/>
      </c>
      <c r="F243" s="138" t="str">
        <f>IFERROR(IF(IF(INDEX(_xlfn.VSTACK(YES_Writing_ELA[#Data],YES_Writing_FLA[#Data]),MATCH($A243,_xlfn.VSTACK(YES_Writing_ELA[Student Number],YES_Writing_FLA[Student Number]),0),MATCH(VLOOKUP(F$7,'Writing Logic'!$J$7:$K$11,2,FALSE)&amp;" - Per "&amp;VLOOKUP($C$4,'Writing Logic'!$G$8:$H$14,2,FALSE),YES_Writing_ELA[#Headers],0))=0,"",INDEX(_xlfn.VSTACK(YES_Writing_ELA[#Data],YES_Writing_FLA[#Data]),MATCH($A243,_xlfn.VSTACK(YES_Writing_ELA[Student Number],YES_Writing_FLA[Student Number]),0),MATCH(VLOOKUP(F$7,'Writing Logic'!$J$7:$K$11,2,FALSE)&amp;" - Per "&amp;VLOOKUP($C$4,'Writing Logic'!$G$8:$H$14,2,FALSE),YES_Writing_ELA[#Headers],0)))="INS",'Writing Logic'!$B$7,IF(INDEX(_xlfn.VSTACK(YES_Writing_ELA[#Data],YES_Writing_FLA[#Data]),MATCH($A243,_xlfn.VSTACK(YES_Writing_ELA[Student Number],YES_Writing_FLA[Student Number]),0),MATCH(VLOOKUP(F$7,'Writing Logic'!$J$7:$K$11,2,FALSE)&amp;" - Per "&amp;VLOOKUP($C$4,'Writing Logic'!$G$8:$H$14,2,FALSE),YES_Writing_ELA[#Headers],0))=0,"",INDEX(_xlfn.VSTACK(YES_Writing_ELA[#Data],YES_Writing_FLA[#Data]),MATCH($A243,_xlfn.VSTACK(YES_Writing_ELA[Student Number],YES_Writing_FLA[Student Number]),0),MATCH(VLOOKUP(F$7,'Writing Logic'!$J$7:$K$11,2,FALSE)&amp;" - Per "&amp;VLOOKUP($C$4,'Writing Logic'!$G$8:$H$14,2,FALSE),YES_Writing_ELA[#Headers],0)))),"")</f>
        <v/>
      </c>
      <c r="G243" s="138" t="str">
        <f>IFERROR(IF(IF(INDEX(_xlfn.VSTACK(YES_Writing_ELA[#Data],YES_Writing_FLA[#Data]),MATCH($A243,_xlfn.VSTACK(YES_Writing_ELA[Student Number],YES_Writing_FLA[Student Number]),0),MATCH(VLOOKUP(G$7,'Writing Logic'!$J$7:$K$11,2,FALSE)&amp;" - Per "&amp;VLOOKUP($C$4,'Writing Logic'!$G$8:$H$14,2,FALSE),YES_Writing_ELA[#Headers],0))=0,"",INDEX(_xlfn.VSTACK(YES_Writing_ELA[#Data],YES_Writing_FLA[#Data]),MATCH($A243,_xlfn.VSTACK(YES_Writing_ELA[Student Number],YES_Writing_FLA[Student Number]),0),MATCH(VLOOKUP(G$7,'Writing Logic'!$J$7:$K$11,2,FALSE)&amp;" - Per "&amp;VLOOKUP($C$4,'Writing Logic'!$G$8:$H$14,2,FALSE),YES_Writing_ELA[#Headers],0)))="INS",'Writing Logic'!$B$7,IF(INDEX(_xlfn.VSTACK(YES_Writing_ELA[#Data],YES_Writing_FLA[#Data]),MATCH($A243,_xlfn.VSTACK(YES_Writing_ELA[Student Number],YES_Writing_FLA[Student Number]),0),MATCH(VLOOKUP(G$7,'Writing Logic'!$J$7:$K$11,2,FALSE)&amp;" - Per "&amp;VLOOKUP($C$4,'Writing Logic'!$G$8:$H$14,2,FALSE),YES_Writing_ELA[#Headers],0))=0,"",INDEX(_xlfn.VSTACK(YES_Writing_ELA[#Data],YES_Writing_FLA[#Data]),MATCH($A243,_xlfn.VSTACK(YES_Writing_ELA[Student Number],YES_Writing_FLA[Student Number]),0),MATCH(VLOOKUP(G$7,'Writing Logic'!$J$7:$K$11,2,FALSE)&amp;" - Per "&amp;VLOOKUP($C$4,'Writing Logic'!$G$8:$H$14,2,FALSE),YES_Writing_ELA[#Headers],0)))),"")</f>
        <v/>
      </c>
      <c r="H243" s="138" t="str">
        <f>IFERROR(IF(IF(INDEX(_xlfn.VSTACK(YES_Writing_ELA[#Data],YES_Writing_FLA[#Data]),MATCH($A243,_xlfn.VSTACK(YES_Writing_ELA[Student Number],YES_Writing_FLA[Student Number]),0),MATCH(VLOOKUP(H$7,'Writing Logic'!$J$7:$K$11,2,FALSE)&amp;" - Per "&amp;VLOOKUP($C$4,'Writing Logic'!$G$8:$H$14,2,FALSE),YES_Writing_ELA[#Headers],0))=0,"",INDEX(_xlfn.VSTACK(YES_Writing_ELA[#Data],YES_Writing_FLA[#Data]),MATCH($A243,_xlfn.VSTACK(YES_Writing_ELA[Student Number],YES_Writing_FLA[Student Number]),0),MATCH(VLOOKUP(H$7,'Writing Logic'!$J$7:$K$11,2,FALSE)&amp;" - Per "&amp;VLOOKUP($C$4,'Writing Logic'!$G$8:$H$14,2,FALSE),YES_Writing_ELA[#Headers],0)))="INS",'Writing Logic'!$B$7,IF(INDEX(_xlfn.VSTACK(YES_Writing_ELA[#Data],YES_Writing_FLA[#Data]),MATCH($A243,_xlfn.VSTACK(YES_Writing_ELA[Student Number],YES_Writing_FLA[Student Number]),0),MATCH(VLOOKUP(H$7,'Writing Logic'!$J$7:$K$11,2,FALSE)&amp;" - Per "&amp;VLOOKUP($C$4,'Writing Logic'!$G$8:$H$14,2,FALSE),YES_Writing_ELA[#Headers],0))=0,"",INDEX(_xlfn.VSTACK(YES_Writing_ELA[#Data],YES_Writing_FLA[#Data]),MATCH($A243,_xlfn.VSTACK(YES_Writing_ELA[Student Number],YES_Writing_FLA[Student Number]),0),MATCH(VLOOKUP(H$7,'Writing Logic'!$J$7:$K$11,2,FALSE)&amp;" - Per "&amp;VLOOKUP($C$4,'Writing Logic'!$G$8:$H$14,2,FALSE),YES_Writing_ELA[#Headers],0)))),"")</f>
        <v/>
      </c>
    </row>
    <row r="244" spans="1:8" x14ac:dyDescent="0.25">
      <c r="A244" s="137"/>
      <c r="B244" s="137" t="str">
        <f>IFERROR(INDEX(_xlfn.VSTACK(YES_Writing_ELA[#Data], YES_Writing_FLA[#Data]),MATCH($A244,_xlfn.VSTACK(YES_Writing_ELA[Student Number], YES_Writing_FLA[Student Number]),0),MATCH(B$7,YES_Writing_ELA[#Headers],0)),"")</f>
        <v/>
      </c>
      <c r="C244" s="137" t="str">
        <f>IFERROR(INDEX(_xlfn.VSTACK(YES_Writing_ELA[#Data], YES_Writing_FLA[#Data]),MATCH($A244,_xlfn.VSTACK(YES_Writing_ELA[Student Number], YES_Writing_FLA[Student Number]),0),MATCH(C$7,YES_Writing_ELA[#Headers],0)),"")</f>
        <v/>
      </c>
      <c r="D244" s="138" t="str">
        <f>IFERROR(IF(IF(INDEX(_xlfn.VSTACK(YES_Writing_ELA[#Data],YES_Writing_FLA[#Data]),MATCH($A244,_xlfn.VSTACK(YES_Writing_ELA[Student Number],YES_Writing_FLA[Student Number]),0),MATCH(VLOOKUP(D$7,'Writing Logic'!$J$7:$K$11,2,FALSE)&amp;" - Per "&amp;VLOOKUP($C$4,'Writing Logic'!$G$8:$H$14,2,FALSE),YES_Writing_ELA[#Headers],0))=0,"",INDEX(_xlfn.VSTACK(YES_Writing_ELA[#Data],YES_Writing_FLA[#Data]),MATCH($A244,_xlfn.VSTACK(YES_Writing_ELA[Student Number],YES_Writing_FLA[Student Number]),0),MATCH(VLOOKUP(D$7,'Writing Logic'!$J$7:$K$11,2,FALSE)&amp;" - Per "&amp;VLOOKUP($C$4,'Writing Logic'!$G$8:$H$14,2,FALSE),YES_Writing_ELA[#Headers],0)))="INS",'Writing Logic'!$B$7,IF(INDEX(_xlfn.VSTACK(YES_Writing_ELA[#Data],YES_Writing_FLA[#Data]),MATCH($A244,_xlfn.VSTACK(YES_Writing_ELA[Student Number],YES_Writing_FLA[Student Number]),0),MATCH(VLOOKUP(D$7,'Writing Logic'!$J$7:$K$11,2,FALSE)&amp;" - Per "&amp;VLOOKUP($C$4,'Writing Logic'!$G$8:$H$14,2,FALSE),YES_Writing_ELA[#Headers],0))=0,"",INDEX(_xlfn.VSTACK(YES_Writing_ELA[#Data],YES_Writing_FLA[#Data]),MATCH($A244,_xlfn.VSTACK(YES_Writing_ELA[Student Number],YES_Writing_FLA[Student Number]),0),MATCH(VLOOKUP(D$7,'Writing Logic'!$J$7:$K$11,2,FALSE)&amp;" - Per "&amp;VLOOKUP($C$4,'Writing Logic'!$G$8:$H$14,2,FALSE),YES_Writing_ELA[#Headers],0)))),"")</f>
        <v/>
      </c>
      <c r="E244" s="138" t="str">
        <f>IFERROR(IF(IF(INDEX(_xlfn.VSTACK(YES_Writing_ELA[#Data],YES_Writing_FLA[#Data]),MATCH($A244,_xlfn.VSTACK(YES_Writing_ELA[Student Number],YES_Writing_FLA[Student Number]),0),MATCH(VLOOKUP(E$7,'Writing Logic'!$J$7:$K$11,2,FALSE)&amp;" - Per "&amp;VLOOKUP($C$4,'Writing Logic'!$G$8:$H$14,2,FALSE),YES_Writing_ELA[#Headers],0))=0,"",INDEX(_xlfn.VSTACK(YES_Writing_ELA[#Data],YES_Writing_FLA[#Data]),MATCH($A244,_xlfn.VSTACK(YES_Writing_ELA[Student Number],YES_Writing_FLA[Student Number]),0),MATCH(VLOOKUP(E$7,'Writing Logic'!$J$7:$K$11,2,FALSE)&amp;" - Per "&amp;VLOOKUP($C$4,'Writing Logic'!$G$8:$H$14,2,FALSE),YES_Writing_ELA[#Headers],0)))="INS",'Writing Logic'!$B$7,IF(INDEX(_xlfn.VSTACK(YES_Writing_ELA[#Data],YES_Writing_FLA[#Data]),MATCH($A244,_xlfn.VSTACK(YES_Writing_ELA[Student Number],YES_Writing_FLA[Student Number]),0),MATCH(VLOOKUP(E$7,'Writing Logic'!$J$7:$K$11,2,FALSE)&amp;" - Per "&amp;VLOOKUP($C$4,'Writing Logic'!$G$8:$H$14,2,FALSE),YES_Writing_ELA[#Headers],0))=0,"",INDEX(_xlfn.VSTACK(YES_Writing_ELA[#Data],YES_Writing_FLA[#Data]),MATCH($A244,_xlfn.VSTACK(YES_Writing_ELA[Student Number],YES_Writing_FLA[Student Number]),0),MATCH(VLOOKUP(E$7,'Writing Logic'!$J$7:$K$11,2,FALSE)&amp;" - Per "&amp;VLOOKUP($C$4,'Writing Logic'!$G$8:$H$14,2,FALSE),YES_Writing_ELA[#Headers],0)))),"")</f>
        <v/>
      </c>
      <c r="F244" s="138" t="str">
        <f>IFERROR(IF(IF(INDEX(_xlfn.VSTACK(YES_Writing_ELA[#Data],YES_Writing_FLA[#Data]),MATCH($A244,_xlfn.VSTACK(YES_Writing_ELA[Student Number],YES_Writing_FLA[Student Number]),0),MATCH(VLOOKUP(F$7,'Writing Logic'!$J$7:$K$11,2,FALSE)&amp;" - Per "&amp;VLOOKUP($C$4,'Writing Logic'!$G$8:$H$14,2,FALSE),YES_Writing_ELA[#Headers],0))=0,"",INDEX(_xlfn.VSTACK(YES_Writing_ELA[#Data],YES_Writing_FLA[#Data]),MATCH($A244,_xlfn.VSTACK(YES_Writing_ELA[Student Number],YES_Writing_FLA[Student Number]),0),MATCH(VLOOKUP(F$7,'Writing Logic'!$J$7:$K$11,2,FALSE)&amp;" - Per "&amp;VLOOKUP($C$4,'Writing Logic'!$G$8:$H$14,2,FALSE),YES_Writing_ELA[#Headers],0)))="INS",'Writing Logic'!$B$7,IF(INDEX(_xlfn.VSTACK(YES_Writing_ELA[#Data],YES_Writing_FLA[#Data]),MATCH($A244,_xlfn.VSTACK(YES_Writing_ELA[Student Number],YES_Writing_FLA[Student Number]),0),MATCH(VLOOKUP(F$7,'Writing Logic'!$J$7:$K$11,2,FALSE)&amp;" - Per "&amp;VLOOKUP($C$4,'Writing Logic'!$G$8:$H$14,2,FALSE),YES_Writing_ELA[#Headers],0))=0,"",INDEX(_xlfn.VSTACK(YES_Writing_ELA[#Data],YES_Writing_FLA[#Data]),MATCH($A244,_xlfn.VSTACK(YES_Writing_ELA[Student Number],YES_Writing_FLA[Student Number]),0),MATCH(VLOOKUP(F$7,'Writing Logic'!$J$7:$K$11,2,FALSE)&amp;" - Per "&amp;VLOOKUP($C$4,'Writing Logic'!$G$8:$H$14,2,FALSE),YES_Writing_ELA[#Headers],0)))),"")</f>
        <v/>
      </c>
      <c r="G244" s="138" t="str">
        <f>IFERROR(IF(IF(INDEX(_xlfn.VSTACK(YES_Writing_ELA[#Data],YES_Writing_FLA[#Data]),MATCH($A244,_xlfn.VSTACK(YES_Writing_ELA[Student Number],YES_Writing_FLA[Student Number]),0),MATCH(VLOOKUP(G$7,'Writing Logic'!$J$7:$K$11,2,FALSE)&amp;" - Per "&amp;VLOOKUP($C$4,'Writing Logic'!$G$8:$H$14,2,FALSE),YES_Writing_ELA[#Headers],0))=0,"",INDEX(_xlfn.VSTACK(YES_Writing_ELA[#Data],YES_Writing_FLA[#Data]),MATCH($A244,_xlfn.VSTACK(YES_Writing_ELA[Student Number],YES_Writing_FLA[Student Number]),0),MATCH(VLOOKUP(G$7,'Writing Logic'!$J$7:$K$11,2,FALSE)&amp;" - Per "&amp;VLOOKUP($C$4,'Writing Logic'!$G$8:$H$14,2,FALSE),YES_Writing_ELA[#Headers],0)))="INS",'Writing Logic'!$B$7,IF(INDEX(_xlfn.VSTACK(YES_Writing_ELA[#Data],YES_Writing_FLA[#Data]),MATCH($A244,_xlfn.VSTACK(YES_Writing_ELA[Student Number],YES_Writing_FLA[Student Number]),0),MATCH(VLOOKUP(G$7,'Writing Logic'!$J$7:$K$11,2,FALSE)&amp;" - Per "&amp;VLOOKUP($C$4,'Writing Logic'!$G$8:$H$14,2,FALSE),YES_Writing_ELA[#Headers],0))=0,"",INDEX(_xlfn.VSTACK(YES_Writing_ELA[#Data],YES_Writing_FLA[#Data]),MATCH($A244,_xlfn.VSTACK(YES_Writing_ELA[Student Number],YES_Writing_FLA[Student Number]),0),MATCH(VLOOKUP(G$7,'Writing Logic'!$J$7:$K$11,2,FALSE)&amp;" - Per "&amp;VLOOKUP($C$4,'Writing Logic'!$G$8:$H$14,2,FALSE),YES_Writing_ELA[#Headers],0)))),"")</f>
        <v/>
      </c>
      <c r="H244" s="138" t="str">
        <f>IFERROR(IF(IF(INDEX(_xlfn.VSTACK(YES_Writing_ELA[#Data],YES_Writing_FLA[#Data]),MATCH($A244,_xlfn.VSTACK(YES_Writing_ELA[Student Number],YES_Writing_FLA[Student Number]),0),MATCH(VLOOKUP(H$7,'Writing Logic'!$J$7:$K$11,2,FALSE)&amp;" - Per "&amp;VLOOKUP($C$4,'Writing Logic'!$G$8:$H$14,2,FALSE),YES_Writing_ELA[#Headers],0))=0,"",INDEX(_xlfn.VSTACK(YES_Writing_ELA[#Data],YES_Writing_FLA[#Data]),MATCH($A244,_xlfn.VSTACK(YES_Writing_ELA[Student Number],YES_Writing_FLA[Student Number]),0),MATCH(VLOOKUP(H$7,'Writing Logic'!$J$7:$K$11,2,FALSE)&amp;" - Per "&amp;VLOOKUP($C$4,'Writing Logic'!$G$8:$H$14,2,FALSE),YES_Writing_ELA[#Headers],0)))="INS",'Writing Logic'!$B$7,IF(INDEX(_xlfn.VSTACK(YES_Writing_ELA[#Data],YES_Writing_FLA[#Data]),MATCH($A244,_xlfn.VSTACK(YES_Writing_ELA[Student Number],YES_Writing_FLA[Student Number]),0),MATCH(VLOOKUP(H$7,'Writing Logic'!$J$7:$K$11,2,FALSE)&amp;" - Per "&amp;VLOOKUP($C$4,'Writing Logic'!$G$8:$H$14,2,FALSE),YES_Writing_ELA[#Headers],0))=0,"",INDEX(_xlfn.VSTACK(YES_Writing_ELA[#Data],YES_Writing_FLA[#Data]),MATCH($A244,_xlfn.VSTACK(YES_Writing_ELA[Student Number],YES_Writing_FLA[Student Number]),0),MATCH(VLOOKUP(H$7,'Writing Logic'!$J$7:$K$11,2,FALSE)&amp;" - Per "&amp;VLOOKUP($C$4,'Writing Logic'!$G$8:$H$14,2,FALSE),YES_Writing_ELA[#Headers],0)))),"")</f>
        <v/>
      </c>
    </row>
    <row r="245" spans="1:8" x14ac:dyDescent="0.25">
      <c r="A245" s="137"/>
      <c r="B245" s="137" t="str">
        <f>IFERROR(INDEX(_xlfn.VSTACK(YES_Writing_ELA[#Data], YES_Writing_FLA[#Data]),MATCH($A245,_xlfn.VSTACK(YES_Writing_ELA[Student Number], YES_Writing_FLA[Student Number]),0),MATCH(B$7,YES_Writing_ELA[#Headers],0)),"")</f>
        <v/>
      </c>
      <c r="C245" s="137" t="str">
        <f>IFERROR(INDEX(_xlfn.VSTACK(YES_Writing_ELA[#Data], YES_Writing_FLA[#Data]),MATCH($A245,_xlfn.VSTACK(YES_Writing_ELA[Student Number], YES_Writing_FLA[Student Number]),0),MATCH(C$7,YES_Writing_ELA[#Headers],0)),"")</f>
        <v/>
      </c>
      <c r="D245" s="138" t="str">
        <f>IFERROR(IF(IF(INDEX(_xlfn.VSTACK(YES_Writing_ELA[#Data],YES_Writing_FLA[#Data]),MATCH($A245,_xlfn.VSTACK(YES_Writing_ELA[Student Number],YES_Writing_FLA[Student Number]),0),MATCH(VLOOKUP(D$7,'Writing Logic'!$J$7:$K$11,2,FALSE)&amp;" - Per "&amp;VLOOKUP($C$4,'Writing Logic'!$G$8:$H$14,2,FALSE),YES_Writing_ELA[#Headers],0))=0,"",INDEX(_xlfn.VSTACK(YES_Writing_ELA[#Data],YES_Writing_FLA[#Data]),MATCH($A245,_xlfn.VSTACK(YES_Writing_ELA[Student Number],YES_Writing_FLA[Student Number]),0),MATCH(VLOOKUP(D$7,'Writing Logic'!$J$7:$K$11,2,FALSE)&amp;" - Per "&amp;VLOOKUP($C$4,'Writing Logic'!$G$8:$H$14,2,FALSE),YES_Writing_ELA[#Headers],0)))="INS",'Writing Logic'!$B$7,IF(INDEX(_xlfn.VSTACK(YES_Writing_ELA[#Data],YES_Writing_FLA[#Data]),MATCH($A245,_xlfn.VSTACK(YES_Writing_ELA[Student Number],YES_Writing_FLA[Student Number]),0),MATCH(VLOOKUP(D$7,'Writing Logic'!$J$7:$K$11,2,FALSE)&amp;" - Per "&amp;VLOOKUP($C$4,'Writing Logic'!$G$8:$H$14,2,FALSE),YES_Writing_ELA[#Headers],0))=0,"",INDEX(_xlfn.VSTACK(YES_Writing_ELA[#Data],YES_Writing_FLA[#Data]),MATCH($A245,_xlfn.VSTACK(YES_Writing_ELA[Student Number],YES_Writing_FLA[Student Number]),0),MATCH(VLOOKUP(D$7,'Writing Logic'!$J$7:$K$11,2,FALSE)&amp;" - Per "&amp;VLOOKUP($C$4,'Writing Logic'!$G$8:$H$14,2,FALSE),YES_Writing_ELA[#Headers],0)))),"")</f>
        <v/>
      </c>
      <c r="E245" s="138" t="str">
        <f>IFERROR(IF(IF(INDEX(_xlfn.VSTACK(YES_Writing_ELA[#Data],YES_Writing_FLA[#Data]),MATCH($A245,_xlfn.VSTACK(YES_Writing_ELA[Student Number],YES_Writing_FLA[Student Number]),0),MATCH(VLOOKUP(E$7,'Writing Logic'!$J$7:$K$11,2,FALSE)&amp;" - Per "&amp;VLOOKUP($C$4,'Writing Logic'!$G$8:$H$14,2,FALSE),YES_Writing_ELA[#Headers],0))=0,"",INDEX(_xlfn.VSTACK(YES_Writing_ELA[#Data],YES_Writing_FLA[#Data]),MATCH($A245,_xlfn.VSTACK(YES_Writing_ELA[Student Number],YES_Writing_FLA[Student Number]),0),MATCH(VLOOKUP(E$7,'Writing Logic'!$J$7:$K$11,2,FALSE)&amp;" - Per "&amp;VLOOKUP($C$4,'Writing Logic'!$G$8:$H$14,2,FALSE),YES_Writing_ELA[#Headers],0)))="INS",'Writing Logic'!$B$7,IF(INDEX(_xlfn.VSTACK(YES_Writing_ELA[#Data],YES_Writing_FLA[#Data]),MATCH($A245,_xlfn.VSTACK(YES_Writing_ELA[Student Number],YES_Writing_FLA[Student Number]),0),MATCH(VLOOKUP(E$7,'Writing Logic'!$J$7:$K$11,2,FALSE)&amp;" - Per "&amp;VLOOKUP($C$4,'Writing Logic'!$G$8:$H$14,2,FALSE),YES_Writing_ELA[#Headers],0))=0,"",INDEX(_xlfn.VSTACK(YES_Writing_ELA[#Data],YES_Writing_FLA[#Data]),MATCH($A245,_xlfn.VSTACK(YES_Writing_ELA[Student Number],YES_Writing_FLA[Student Number]),0),MATCH(VLOOKUP(E$7,'Writing Logic'!$J$7:$K$11,2,FALSE)&amp;" - Per "&amp;VLOOKUP($C$4,'Writing Logic'!$G$8:$H$14,2,FALSE),YES_Writing_ELA[#Headers],0)))),"")</f>
        <v/>
      </c>
      <c r="F245" s="138" t="str">
        <f>IFERROR(IF(IF(INDEX(_xlfn.VSTACK(YES_Writing_ELA[#Data],YES_Writing_FLA[#Data]),MATCH($A245,_xlfn.VSTACK(YES_Writing_ELA[Student Number],YES_Writing_FLA[Student Number]),0),MATCH(VLOOKUP(F$7,'Writing Logic'!$J$7:$K$11,2,FALSE)&amp;" - Per "&amp;VLOOKUP($C$4,'Writing Logic'!$G$8:$H$14,2,FALSE),YES_Writing_ELA[#Headers],0))=0,"",INDEX(_xlfn.VSTACK(YES_Writing_ELA[#Data],YES_Writing_FLA[#Data]),MATCH($A245,_xlfn.VSTACK(YES_Writing_ELA[Student Number],YES_Writing_FLA[Student Number]),0),MATCH(VLOOKUP(F$7,'Writing Logic'!$J$7:$K$11,2,FALSE)&amp;" - Per "&amp;VLOOKUP($C$4,'Writing Logic'!$G$8:$H$14,2,FALSE),YES_Writing_ELA[#Headers],0)))="INS",'Writing Logic'!$B$7,IF(INDEX(_xlfn.VSTACK(YES_Writing_ELA[#Data],YES_Writing_FLA[#Data]),MATCH($A245,_xlfn.VSTACK(YES_Writing_ELA[Student Number],YES_Writing_FLA[Student Number]),0),MATCH(VLOOKUP(F$7,'Writing Logic'!$J$7:$K$11,2,FALSE)&amp;" - Per "&amp;VLOOKUP($C$4,'Writing Logic'!$G$8:$H$14,2,FALSE),YES_Writing_ELA[#Headers],0))=0,"",INDEX(_xlfn.VSTACK(YES_Writing_ELA[#Data],YES_Writing_FLA[#Data]),MATCH($A245,_xlfn.VSTACK(YES_Writing_ELA[Student Number],YES_Writing_FLA[Student Number]),0),MATCH(VLOOKUP(F$7,'Writing Logic'!$J$7:$K$11,2,FALSE)&amp;" - Per "&amp;VLOOKUP($C$4,'Writing Logic'!$G$8:$H$14,2,FALSE),YES_Writing_ELA[#Headers],0)))),"")</f>
        <v/>
      </c>
      <c r="G245" s="138" t="str">
        <f>IFERROR(IF(IF(INDEX(_xlfn.VSTACK(YES_Writing_ELA[#Data],YES_Writing_FLA[#Data]),MATCH($A245,_xlfn.VSTACK(YES_Writing_ELA[Student Number],YES_Writing_FLA[Student Number]),0),MATCH(VLOOKUP(G$7,'Writing Logic'!$J$7:$K$11,2,FALSE)&amp;" - Per "&amp;VLOOKUP($C$4,'Writing Logic'!$G$8:$H$14,2,FALSE),YES_Writing_ELA[#Headers],0))=0,"",INDEX(_xlfn.VSTACK(YES_Writing_ELA[#Data],YES_Writing_FLA[#Data]),MATCH($A245,_xlfn.VSTACK(YES_Writing_ELA[Student Number],YES_Writing_FLA[Student Number]),0),MATCH(VLOOKUP(G$7,'Writing Logic'!$J$7:$K$11,2,FALSE)&amp;" - Per "&amp;VLOOKUP($C$4,'Writing Logic'!$G$8:$H$14,2,FALSE),YES_Writing_ELA[#Headers],0)))="INS",'Writing Logic'!$B$7,IF(INDEX(_xlfn.VSTACK(YES_Writing_ELA[#Data],YES_Writing_FLA[#Data]),MATCH($A245,_xlfn.VSTACK(YES_Writing_ELA[Student Number],YES_Writing_FLA[Student Number]),0),MATCH(VLOOKUP(G$7,'Writing Logic'!$J$7:$K$11,2,FALSE)&amp;" - Per "&amp;VLOOKUP($C$4,'Writing Logic'!$G$8:$H$14,2,FALSE),YES_Writing_ELA[#Headers],0))=0,"",INDEX(_xlfn.VSTACK(YES_Writing_ELA[#Data],YES_Writing_FLA[#Data]),MATCH($A245,_xlfn.VSTACK(YES_Writing_ELA[Student Number],YES_Writing_FLA[Student Number]),0),MATCH(VLOOKUP(G$7,'Writing Logic'!$J$7:$K$11,2,FALSE)&amp;" - Per "&amp;VLOOKUP($C$4,'Writing Logic'!$G$8:$H$14,2,FALSE),YES_Writing_ELA[#Headers],0)))),"")</f>
        <v/>
      </c>
      <c r="H245" s="138" t="str">
        <f>IFERROR(IF(IF(INDEX(_xlfn.VSTACK(YES_Writing_ELA[#Data],YES_Writing_FLA[#Data]),MATCH($A245,_xlfn.VSTACK(YES_Writing_ELA[Student Number],YES_Writing_FLA[Student Number]),0),MATCH(VLOOKUP(H$7,'Writing Logic'!$J$7:$K$11,2,FALSE)&amp;" - Per "&amp;VLOOKUP($C$4,'Writing Logic'!$G$8:$H$14,2,FALSE),YES_Writing_ELA[#Headers],0))=0,"",INDEX(_xlfn.VSTACK(YES_Writing_ELA[#Data],YES_Writing_FLA[#Data]),MATCH($A245,_xlfn.VSTACK(YES_Writing_ELA[Student Number],YES_Writing_FLA[Student Number]),0),MATCH(VLOOKUP(H$7,'Writing Logic'!$J$7:$K$11,2,FALSE)&amp;" - Per "&amp;VLOOKUP($C$4,'Writing Logic'!$G$8:$H$14,2,FALSE),YES_Writing_ELA[#Headers],0)))="INS",'Writing Logic'!$B$7,IF(INDEX(_xlfn.VSTACK(YES_Writing_ELA[#Data],YES_Writing_FLA[#Data]),MATCH($A245,_xlfn.VSTACK(YES_Writing_ELA[Student Number],YES_Writing_FLA[Student Number]),0),MATCH(VLOOKUP(H$7,'Writing Logic'!$J$7:$K$11,2,FALSE)&amp;" - Per "&amp;VLOOKUP($C$4,'Writing Logic'!$G$8:$H$14,2,FALSE),YES_Writing_ELA[#Headers],0))=0,"",INDEX(_xlfn.VSTACK(YES_Writing_ELA[#Data],YES_Writing_FLA[#Data]),MATCH($A245,_xlfn.VSTACK(YES_Writing_ELA[Student Number],YES_Writing_FLA[Student Number]),0),MATCH(VLOOKUP(H$7,'Writing Logic'!$J$7:$K$11,2,FALSE)&amp;" - Per "&amp;VLOOKUP($C$4,'Writing Logic'!$G$8:$H$14,2,FALSE),YES_Writing_ELA[#Headers],0)))),"")</f>
        <v/>
      </c>
    </row>
    <row r="246" spans="1:8" x14ac:dyDescent="0.25">
      <c r="A246" s="137"/>
      <c r="B246" s="137" t="str">
        <f>IFERROR(INDEX(_xlfn.VSTACK(YES_Writing_ELA[#Data], YES_Writing_FLA[#Data]),MATCH($A246,_xlfn.VSTACK(YES_Writing_ELA[Student Number], YES_Writing_FLA[Student Number]),0),MATCH(B$7,YES_Writing_ELA[#Headers],0)),"")</f>
        <v/>
      </c>
      <c r="C246" s="137" t="str">
        <f>IFERROR(INDEX(_xlfn.VSTACK(YES_Writing_ELA[#Data], YES_Writing_FLA[#Data]),MATCH($A246,_xlfn.VSTACK(YES_Writing_ELA[Student Number], YES_Writing_FLA[Student Number]),0),MATCH(C$7,YES_Writing_ELA[#Headers],0)),"")</f>
        <v/>
      </c>
      <c r="D246" s="138" t="str">
        <f>IFERROR(IF(IF(INDEX(_xlfn.VSTACK(YES_Writing_ELA[#Data],YES_Writing_FLA[#Data]),MATCH($A246,_xlfn.VSTACK(YES_Writing_ELA[Student Number],YES_Writing_FLA[Student Number]),0),MATCH(VLOOKUP(D$7,'Writing Logic'!$J$7:$K$11,2,FALSE)&amp;" - Per "&amp;VLOOKUP($C$4,'Writing Logic'!$G$8:$H$14,2,FALSE),YES_Writing_ELA[#Headers],0))=0,"",INDEX(_xlfn.VSTACK(YES_Writing_ELA[#Data],YES_Writing_FLA[#Data]),MATCH($A246,_xlfn.VSTACK(YES_Writing_ELA[Student Number],YES_Writing_FLA[Student Number]),0),MATCH(VLOOKUP(D$7,'Writing Logic'!$J$7:$K$11,2,FALSE)&amp;" - Per "&amp;VLOOKUP($C$4,'Writing Logic'!$G$8:$H$14,2,FALSE),YES_Writing_ELA[#Headers],0)))="INS",'Writing Logic'!$B$7,IF(INDEX(_xlfn.VSTACK(YES_Writing_ELA[#Data],YES_Writing_FLA[#Data]),MATCH($A246,_xlfn.VSTACK(YES_Writing_ELA[Student Number],YES_Writing_FLA[Student Number]),0),MATCH(VLOOKUP(D$7,'Writing Logic'!$J$7:$K$11,2,FALSE)&amp;" - Per "&amp;VLOOKUP($C$4,'Writing Logic'!$G$8:$H$14,2,FALSE),YES_Writing_ELA[#Headers],0))=0,"",INDEX(_xlfn.VSTACK(YES_Writing_ELA[#Data],YES_Writing_FLA[#Data]),MATCH($A246,_xlfn.VSTACK(YES_Writing_ELA[Student Number],YES_Writing_FLA[Student Number]),0),MATCH(VLOOKUP(D$7,'Writing Logic'!$J$7:$K$11,2,FALSE)&amp;" - Per "&amp;VLOOKUP($C$4,'Writing Logic'!$G$8:$H$14,2,FALSE),YES_Writing_ELA[#Headers],0)))),"")</f>
        <v/>
      </c>
      <c r="E246" s="138" t="str">
        <f>IFERROR(IF(IF(INDEX(_xlfn.VSTACK(YES_Writing_ELA[#Data],YES_Writing_FLA[#Data]),MATCH($A246,_xlfn.VSTACK(YES_Writing_ELA[Student Number],YES_Writing_FLA[Student Number]),0),MATCH(VLOOKUP(E$7,'Writing Logic'!$J$7:$K$11,2,FALSE)&amp;" - Per "&amp;VLOOKUP($C$4,'Writing Logic'!$G$8:$H$14,2,FALSE),YES_Writing_ELA[#Headers],0))=0,"",INDEX(_xlfn.VSTACK(YES_Writing_ELA[#Data],YES_Writing_FLA[#Data]),MATCH($A246,_xlfn.VSTACK(YES_Writing_ELA[Student Number],YES_Writing_FLA[Student Number]),0),MATCH(VLOOKUP(E$7,'Writing Logic'!$J$7:$K$11,2,FALSE)&amp;" - Per "&amp;VLOOKUP($C$4,'Writing Logic'!$G$8:$H$14,2,FALSE),YES_Writing_ELA[#Headers],0)))="INS",'Writing Logic'!$B$7,IF(INDEX(_xlfn.VSTACK(YES_Writing_ELA[#Data],YES_Writing_FLA[#Data]),MATCH($A246,_xlfn.VSTACK(YES_Writing_ELA[Student Number],YES_Writing_FLA[Student Number]),0),MATCH(VLOOKUP(E$7,'Writing Logic'!$J$7:$K$11,2,FALSE)&amp;" - Per "&amp;VLOOKUP($C$4,'Writing Logic'!$G$8:$H$14,2,FALSE),YES_Writing_ELA[#Headers],0))=0,"",INDEX(_xlfn.VSTACK(YES_Writing_ELA[#Data],YES_Writing_FLA[#Data]),MATCH($A246,_xlfn.VSTACK(YES_Writing_ELA[Student Number],YES_Writing_FLA[Student Number]),0),MATCH(VLOOKUP(E$7,'Writing Logic'!$J$7:$K$11,2,FALSE)&amp;" - Per "&amp;VLOOKUP($C$4,'Writing Logic'!$G$8:$H$14,2,FALSE),YES_Writing_ELA[#Headers],0)))),"")</f>
        <v/>
      </c>
      <c r="F246" s="138" t="str">
        <f>IFERROR(IF(IF(INDEX(_xlfn.VSTACK(YES_Writing_ELA[#Data],YES_Writing_FLA[#Data]),MATCH($A246,_xlfn.VSTACK(YES_Writing_ELA[Student Number],YES_Writing_FLA[Student Number]),0),MATCH(VLOOKUP(F$7,'Writing Logic'!$J$7:$K$11,2,FALSE)&amp;" - Per "&amp;VLOOKUP($C$4,'Writing Logic'!$G$8:$H$14,2,FALSE),YES_Writing_ELA[#Headers],0))=0,"",INDEX(_xlfn.VSTACK(YES_Writing_ELA[#Data],YES_Writing_FLA[#Data]),MATCH($A246,_xlfn.VSTACK(YES_Writing_ELA[Student Number],YES_Writing_FLA[Student Number]),0),MATCH(VLOOKUP(F$7,'Writing Logic'!$J$7:$K$11,2,FALSE)&amp;" - Per "&amp;VLOOKUP($C$4,'Writing Logic'!$G$8:$H$14,2,FALSE),YES_Writing_ELA[#Headers],0)))="INS",'Writing Logic'!$B$7,IF(INDEX(_xlfn.VSTACK(YES_Writing_ELA[#Data],YES_Writing_FLA[#Data]),MATCH($A246,_xlfn.VSTACK(YES_Writing_ELA[Student Number],YES_Writing_FLA[Student Number]),0),MATCH(VLOOKUP(F$7,'Writing Logic'!$J$7:$K$11,2,FALSE)&amp;" - Per "&amp;VLOOKUP($C$4,'Writing Logic'!$G$8:$H$14,2,FALSE),YES_Writing_ELA[#Headers],0))=0,"",INDEX(_xlfn.VSTACK(YES_Writing_ELA[#Data],YES_Writing_FLA[#Data]),MATCH($A246,_xlfn.VSTACK(YES_Writing_ELA[Student Number],YES_Writing_FLA[Student Number]),0),MATCH(VLOOKUP(F$7,'Writing Logic'!$J$7:$K$11,2,FALSE)&amp;" - Per "&amp;VLOOKUP($C$4,'Writing Logic'!$G$8:$H$14,2,FALSE),YES_Writing_ELA[#Headers],0)))),"")</f>
        <v/>
      </c>
      <c r="G246" s="138" t="str">
        <f>IFERROR(IF(IF(INDEX(_xlfn.VSTACK(YES_Writing_ELA[#Data],YES_Writing_FLA[#Data]),MATCH($A246,_xlfn.VSTACK(YES_Writing_ELA[Student Number],YES_Writing_FLA[Student Number]),0),MATCH(VLOOKUP(G$7,'Writing Logic'!$J$7:$K$11,2,FALSE)&amp;" - Per "&amp;VLOOKUP($C$4,'Writing Logic'!$G$8:$H$14,2,FALSE),YES_Writing_ELA[#Headers],0))=0,"",INDEX(_xlfn.VSTACK(YES_Writing_ELA[#Data],YES_Writing_FLA[#Data]),MATCH($A246,_xlfn.VSTACK(YES_Writing_ELA[Student Number],YES_Writing_FLA[Student Number]),0),MATCH(VLOOKUP(G$7,'Writing Logic'!$J$7:$K$11,2,FALSE)&amp;" - Per "&amp;VLOOKUP($C$4,'Writing Logic'!$G$8:$H$14,2,FALSE),YES_Writing_ELA[#Headers],0)))="INS",'Writing Logic'!$B$7,IF(INDEX(_xlfn.VSTACK(YES_Writing_ELA[#Data],YES_Writing_FLA[#Data]),MATCH($A246,_xlfn.VSTACK(YES_Writing_ELA[Student Number],YES_Writing_FLA[Student Number]),0),MATCH(VLOOKUP(G$7,'Writing Logic'!$J$7:$K$11,2,FALSE)&amp;" - Per "&amp;VLOOKUP($C$4,'Writing Logic'!$G$8:$H$14,2,FALSE),YES_Writing_ELA[#Headers],0))=0,"",INDEX(_xlfn.VSTACK(YES_Writing_ELA[#Data],YES_Writing_FLA[#Data]),MATCH($A246,_xlfn.VSTACK(YES_Writing_ELA[Student Number],YES_Writing_FLA[Student Number]),0),MATCH(VLOOKUP(G$7,'Writing Logic'!$J$7:$K$11,2,FALSE)&amp;" - Per "&amp;VLOOKUP($C$4,'Writing Logic'!$G$8:$H$14,2,FALSE),YES_Writing_ELA[#Headers],0)))),"")</f>
        <v/>
      </c>
      <c r="H246" s="138" t="str">
        <f>IFERROR(IF(IF(INDEX(_xlfn.VSTACK(YES_Writing_ELA[#Data],YES_Writing_FLA[#Data]),MATCH($A246,_xlfn.VSTACK(YES_Writing_ELA[Student Number],YES_Writing_FLA[Student Number]),0),MATCH(VLOOKUP(H$7,'Writing Logic'!$J$7:$K$11,2,FALSE)&amp;" - Per "&amp;VLOOKUP($C$4,'Writing Logic'!$G$8:$H$14,2,FALSE),YES_Writing_ELA[#Headers],0))=0,"",INDEX(_xlfn.VSTACK(YES_Writing_ELA[#Data],YES_Writing_FLA[#Data]),MATCH($A246,_xlfn.VSTACK(YES_Writing_ELA[Student Number],YES_Writing_FLA[Student Number]),0),MATCH(VLOOKUP(H$7,'Writing Logic'!$J$7:$K$11,2,FALSE)&amp;" - Per "&amp;VLOOKUP($C$4,'Writing Logic'!$G$8:$H$14,2,FALSE),YES_Writing_ELA[#Headers],0)))="INS",'Writing Logic'!$B$7,IF(INDEX(_xlfn.VSTACK(YES_Writing_ELA[#Data],YES_Writing_FLA[#Data]),MATCH($A246,_xlfn.VSTACK(YES_Writing_ELA[Student Number],YES_Writing_FLA[Student Number]),0),MATCH(VLOOKUP(H$7,'Writing Logic'!$J$7:$K$11,2,FALSE)&amp;" - Per "&amp;VLOOKUP($C$4,'Writing Logic'!$G$8:$H$14,2,FALSE),YES_Writing_ELA[#Headers],0))=0,"",INDEX(_xlfn.VSTACK(YES_Writing_ELA[#Data],YES_Writing_FLA[#Data]),MATCH($A246,_xlfn.VSTACK(YES_Writing_ELA[Student Number],YES_Writing_FLA[Student Number]),0),MATCH(VLOOKUP(H$7,'Writing Logic'!$J$7:$K$11,2,FALSE)&amp;" - Per "&amp;VLOOKUP($C$4,'Writing Logic'!$G$8:$H$14,2,FALSE),YES_Writing_ELA[#Headers],0)))),"")</f>
        <v/>
      </c>
    </row>
    <row r="247" spans="1:8" x14ac:dyDescent="0.25">
      <c r="A247" s="137"/>
      <c r="B247" s="137" t="str">
        <f>IFERROR(INDEX(_xlfn.VSTACK(YES_Writing_ELA[#Data], YES_Writing_FLA[#Data]),MATCH($A247,_xlfn.VSTACK(YES_Writing_ELA[Student Number], YES_Writing_FLA[Student Number]),0),MATCH(B$7,YES_Writing_ELA[#Headers],0)),"")</f>
        <v/>
      </c>
      <c r="C247" s="137" t="str">
        <f>IFERROR(INDEX(_xlfn.VSTACK(YES_Writing_ELA[#Data], YES_Writing_FLA[#Data]),MATCH($A247,_xlfn.VSTACK(YES_Writing_ELA[Student Number], YES_Writing_FLA[Student Number]),0),MATCH(C$7,YES_Writing_ELA[#Headers],0)),"")</f>
        <v/>
      </c>
      <c r="D247" s="138" t="str">
        <f>IFERROR(IF(IF(INDEX(_xlfn.VSTACK(YES_Writing_ELA[#Data],YES_Writing_FLA[#Data]),MATCH($A247,_xlfn.VSTACK(YES_Writing_ELA[Student Number],YES_Writing_FLA[Student Number]),0),MATCH(VLOOKUP(D$7,'Writing Logic'!$J$7:$K$11,2,FALSE)&amp;" - Per "&amp;VLOOKUP($C$4,'Writing Logic'!$G$8:$H$14,2,FALSE),YES_Writing_ELA[#Headers],0))=0,"",INDEX(_xlfn.VSTACK(YES_Writing_ELA[#Data],YES_Writing_FLA[#Data]),MATCH($A247,_xlfn.VSTACK(YES_Writing_ELA[Student Number],YES_Writing_FLA[Student Number]),0),MATCH(VLOOKUP(D$7,'Writing Logic'!$J$7:$K$11,2,FALSE)&amp;" - Per "&amp;VLOOKUP($C$4,'Writing Logic'!$G$8:$H$14,2,FALSE),YES_Writing_ELA[#Headers],0)))="INS",'Writing Logic'!$B$7,IF(INDEX(_xlfn.VSTACK(YES_Writing_ELA[#Data],YES_Writing_FLA[#Data]),MATCH($A247,_xlfn.VSTACK(YES_Writing_ELA[Student Number],YES_Writing_FLA[Student Number]),0),MATCH(VLOOKUP(D$7,'Writing Logic'!$J$7:$K$11,2,FALSE)&amp;" - Per "&amp;VLOOKUP($C$4,'Writing Logic'!$G$8:$H$14,2,FALSE),YES_Writing_ELA[#Headers],0))=0,"",INDEX(_xlfn.VSTACK(YES_Writing_ELA[#Data],YES_Writing_FLA[#Data]),MATCH($A247,_xlfn.VSTACK(YES_Writing_ELA[Student Number],YES_Writing_FLA[Student Number]),0),MATCH(VLOOKUP(D$7,'Writing Logic'!$J$7:$K$11,2,FALSE)&amp;" - Per "&amp;VLOOKUP($C$4,'Writing Logic'!$G$8:$H$14,2,FALSE),YES_Writing_ELA[#Headers],0)))),"")</f>
        <v/>
      </c>
      <c r="E247" s="138" t="str">
        <f>IFERROR(IF(IF(INDEX(_xlfn.VSTACK(YES_Writing_ELA[#Data],YES_Writing_FLA[#Data]),MATCH($A247,_xlfn.VSTACK(YES_Writing_ELA[Student Number],YES_Writing_FLA[Student Number]),0),MATCH(VLOOKUP(E$7,'Writing Logic'!$J$7:$K$11,2,FALSE)&amp;" - Per "&amp;VLOOKUP($C$4,'Writing Logic'!$G$8:$H$14,2,FALSE),YES_Writing_ELA[#Headers],0))=0,"",INDEX(_xlfn.VSTACK(YES_Writing_ELA[#Data],YES_Writing_FLA[#Data]),MATCH($A247,_xlfn.VSTACK(YES_Writing_ELA[Student Number],YES_Writing_FLA[Student Number]),0),MATCH(VLOOKUP(E$7,'Writing Logic'!$J$7:$K$11,2,FALSE)&amp;" - Per "&amp;VLOOKUP($C$4,'Writing Logic'!$G$8:$H$14,2,FALSE),YES_Writing_ELA[#Headers],0)))="INS",'Writing Logic'!$B$7,IF(INDEX(_xlfn.VSTACK(YES_Writing_ELA[#Data],YES_Writing_FLA[#Data]),MATCH($A247,_xlfn.VSTACK(YES_Writing_ELA[Student Number],YES_Writing_FLA[Student Number]),0),MATCH(VLOOKUP(E$7,'Writing Logic'!$J$7:$K$11,2,FALSE)&amp;" - Per "&amp;VLOOKUP($C$4,'Writing Logic'!$G$8:$H$14,2,FALSE),YES_Writing_ELA[#Headers],0))=0,"",INDEX(_xlfn.VSTACK(YES_Writing_ELA[#Data],YES_Writing_FLA[#Data]),MATCH($A247,_xlfn.VSTACK(YES_Writing_ELA[Student Number],YES_Writing_FLA[Student Number]),0),MATCH(VLOOKUP(E$7,'Writing Logic'!$J$7:$K$11,2,FALSE)&amp;" - Per "&amp;VLOOKUP($C$4,'Writing Logic'!$G$8:$H$14,2,FALSE),YES_Writing_ELA[#Headers],0)))),"")</f>
        <v/>
      </c>
      <c r="F247" s="138" t="str">
        <f>IFERROR(IF(IF(INDEX(_xlfn.VSTACK(YES_Writing_ELA[#Data],YES_Writing_FLA[#Data]),MATCH($A247,_xlfn.VSTACK(YES_Writing_ELA[Student Number],YES_Writing_FLA[Student Number]),0),MATCH(VLOOKUP(F$7,'Writing Logic'!$J$7:$K$11,2,FALSE)&amp;" - Per "&amp;VLOOKUP($C$4,'Writing Logic'!$G$8:$H$14,2,FALSE),YES_Writing_ELA[#Headers],0))=0,"",INDEX(_xlfn.VSTACK(YES_Writing_ELA[#Data],YES_Writing_FLA[#Data]),MATCH($A247,_xlfn.VSTACK(YES_Writing_ELA[Student Number],YES_Writing_FLA[Student Number]),0),MATCH(VLOOKUP(F$7,'Writing Logic'!$J$7:$K$11,2,FALSE)&amp;" - Per "&amp;VLOOKUP($C$4,'Writing Logic'!$G$8:$H$14,2,FALSE),YES_Writing_ELA[#Headers],0)))="INS",'Writing Logic'!$B$7,IF(INDEX(_xlfn.VSTACK(YES_Writing_ELA[#Data],YES_Writing_FLA[#Data]),MATCH($A247,_xlfn.VSTACK(YES_Writing_ELA[Student Number],YES_Writing_FLA[Student Number]),0),MATCH(VLOOKUP(F$7,'Writing Logic'!$J$7:$K$11,2,FALSE)&amp;" - Per "&amp;VLOOKUP($C$4,'Writing Logic'!$G$8:$H$14,2,FALSE),YES_Writing_ELA[#Headers],0))=0,"",INDEX(_xlfn.VSTACK(YES_Writing_ELA[#Data],YES_Writing_FLA[#Data]),MATCH($A247,_xlfn.VSTACK(YES_Writing_ELA[Student Number],YES_Writing_FLA[Student Number]),0),MATCH(VLOOKUP(F$7,'Writing Logic'!$J$7:$K$11,2,FALSE)&amp;" - Per "&amp;VLOOKUP($C$4,'Writing Logic'!$G$8:$H$14,2,FALSE),YES_Writing_ELA[#Headers],0)))),"")</f>
        <v/>
      </c>
      <c r="G247" s="138" t="str">
        <f>IFERROR(IF(IF(INDEX(_xlfn.VSTACK(YES_Writing_ELA[#Data],YES_Writing_FLA[#Data]),MATCH($A247,_xlfn.VSTACK(YES_Writing_ELA[Student Number],YES_Writing_FLA[Student Number]),0),MATCH(VLOOKUP(G$7,'Writing Logic'!$J$7:$K$11,2,FALSE)&amp;" - Per "&amp;VLOOKUP($C$4,'Writing Logic'!$G$8:$H$14,2,FALSE),YES_Writing_ELA[#Headers],0))=0,"",INDEX(_xlfn.VSTACK(YES_Writing_ELA[#Data],YES_Writing_FLA[#Data]),MATCH($A247,_xlfn.VSTACK(YES_Writing_ELA[Student Number],YES_Writing_FLA[Student Number]),0),MATCH(VLOOKUP(G$7,'Writing Logic'!$J$7:$K$11,2,FALSE)&amp;" - Per "&amp;VLOOKUP($C$4,'Writing Logic'!$G$8:$H$14,2,FALSE),YES_Writing_ELA[#Headers],0)))="INS",'Writing Logic'!$B$7,IF(INDEX(_xlfn.VSTACK(YES_Writing_ELA[#Data],YES_Writing_FLA[#Data]),MATCH($A247,_xlfn.VSTACK(YES_Writing_ELA[Student Number],YES_Writing_FLA[Student Number]),0),MATCH(VLOOKUP(G$7,'Writing Logic'!$J$7:$K$11,2,FALSE)&amp;" - Per "&amp;VLOOKUP($C$4,'Writing Logic'!$G$8:$H$14,2,FALSE),YES_Writing_ELA[#Headers],0))=0,"",INDEX(_xlfn.VSTACK(YES_Writing_ELA[#Data],YES_Writing_FLA[#Data]),MATCH($A247,_xlfn.VSTACK(YES_Writing_ELA[Student Number],YES_Writing_FLA[Student Number]),0),MATCH(VLOOKUP(G$7,'Writing Logic'!$J$7:$K$11,2,FALSE)&amp;" - Per "&amp;VLOOKUP($C$4,'Writing Logic'!$G$8:$H$14,2,FALSE),YES_Writing_ELA[#Headers],0)))),"")</f>
        <v/>
      </c>
      <c r="H247" s="138" t="str">
        <f>IFERROR(IF(IF(INDEX(_xlfn.VSTACK(YES_Writing_ELA[#Data],YES_Writing_FLA[#Data]),MATCH($A247,_xlfn.VSTACK(YES_Writing_ELA[Student Number],YES_Writing_FLA[Student Number]),0),MATCH(VLOOKUP(H$7,'Writing Logic'!$J$7:$K$11,2,FALSE)&amp;" - Per "&amp;VLOOKUP($C$4,'Writing Logic'!$G$8:$H$14,2,FALSE),YES_Writing_ELA[#Headers],0))=0,"",INDEX(_xlfn.VSTACK(YES_Writing_ELA[#Data],YES_Writing_FLA[#Data]),MATCH($A247,_xlfn.VSTACK(YES_Writing_ELA[Student Number],YES_Writing_FLA[Student Number]),0),MATCH(VLOOKUP(H$7,'Writing Logic'!$J$7:$K$11,2,FALSE)&amp;" - Per "&amp;VLOOKUP($C$4,'Writing Logic'!$G$8:$H$14,2,FALSE),YES_Writing_ELA[#Headers],0)))="INS",'Writing Logic'!$B$7,IF(INDEX(_xlfn.VSTACK(YES_Writing_ELA[#Data],YES_Writing_FLA[#Data]),MATCH($A247,_xlfn.VSTACK(YES_Writing_ELA[Student Number],YES_Writing_FLA[Student Number]),0),MATCH(VLOOKUP(H$7,'Writing Logic'!$J$7:$K$11,2,FALSE)&amp;" - Per "&amp;VLOOKUP($C$4,'Writing Logic'!$G$8:$H$14,2,FALSE),YES_Writing_ELA[#Headers],0))=0,"",INDEX(_xlfn.VSTACK(YES_Writing_ELA[#Data],YES_Writing_FLA[#Data]),MATCH($A247,_xlfn.VSTACK(YES_Writing_ELA[Student Number],YES_Writing_FLA[Student Number]),0),MATCH(VLOOKUP(H$7,'Writing Logic'!$J$7:$K$11,2,FALSE)&amp;" - Per "&amp;VLOOKUP($C$4,'Writing Logic'!$G$8:$H$14,2,FALSE),YES_Writing_ELA[#Headers],0)))),"")</f>
        <v/>
      </c>
    </row>
    <row r="248" spans="1:8" x14ac:dyDescent="0.25">
      <c r="A248" s="137"/>
      <c r="B248" s="137" t="str">
        <f>IFERROR(INDEX(_xlfn.VSTACK(YES_Writing_ELA[#Data], YES_Writing_FLA[#Data]),MATCH($A248,_xlfn.VSTACK(YES_Writing_ELA[Student Number], YES_Writing_FLA[Student Number]),0),MATCH(B$7,YES_Writing_ELA[#Headers],0)),"")</f>
        <v/>
      </c>
      <c r="C248" s="137" t="str">
        <f>IFERROR(INDEX(_xlfn.VSTACK(YES_Writing_ELA[#Data], YES_Writing_FLA[#Data]),MATCH($A248,_xlfn.VSTACK(YES_Writing_ELA[Student Number], YES_Writing_FLA[Student Number]),0),MATCH(C$7,YES_Writing_ELA[#Headers],0)),"")</f>
        <v/>
      </c>
      <c r="D248" s="138" t="str">
        <f>IFERROR(IF(IF(INDEX(_xlfn.VSTACK(YES_Writing_ELA[#Data],YES_Writing_FLA[#Data]),MATCH($A248,_xlfn.VSTACK(YES_Writing_ELA[Student Number],YES_Writing_FLA[Student Number]),0),MATCH(VLOOKUP(D$7,'Writing Logic'!$J$7:$K$11,2,FALSE)&amp;" - Per "&amp;VLOOKUP($C$4,'Writing Logic'!$G$8:$H$14,2,FALSE),YES_Writing_ELA[#Headers],0))=0,"",INDEX(_xlfn.VSTACK(YES_Writing_ELA[#Data],YES_Writing_FLA[#Data]),MATCH($A248,_xlfn.VSTACK(YES_Writing_ELA[Student Number],YES_Writing_FLA[Student Number]),0),MATCH(VLOOKUP(D$7,'Writing Logic'!$J$7:$K$11,2,FALSE)&amp;" - Per "&amp;VLOOKUP($C$4,'Writing Logic'!$G$8:$H$14,2,FALSE),YES_Writing_ELA[#Headers],0)))="INS",'Writing Logic'!$B$7,IF(INDEX(_xlfn.VSTACK(YES_Writing_ELA[#Data],YES_Writing_FLA[#Data]),MATCH($A248,_xlfn.VSTACK(YES_Writing_ELA[Student Number],YES_Writing_FLA[Student Number]),0),MATCH(VLOOKUP(D$7,'Writing Logic'!$J$7:$K$11,2,FALSE)&amp;" - Per "&amp;VLOOKUP($C$4,'Writing Logic'!$G$8:$H$14,2,FALSE),YES_Writing_ELA[#Headers],0))=0,"",INDEX(_xlfn.VSTACK(YES_Writing_ELA[#Data],YES_Writing_FLA[#Data]),MATCH($A248,_xlfn.VSTACK(YES_Writing_ELA[Student Number],YES_Writing_FLA[Student Number]),0),MATCH(VLOOKUP(D$7,'Writing Logic'!$J$7:$K$11,2,FALSE)&amp;" - Per "&amp;VLOOKUP($C$4,'Writing Logic'!$G$8:$H$14,2,FALSE),YES_Writing_ELA[#Headers],0)))),"")</f>
        <v/>
      </c>
      <c r="E248" s="138" t="str">
        <f>IFERROR(IF(IF(INDEX(_xlfn.VSTACK(YES_Writing_ELA[#Data],YES_Writing_FLA[#Data]),MATCH($A248,_xlfn.VSTACK(YES_Writing_ELA[Student Number],YES_Writing_FLA[Student Number]),0),MATCH(VLOOKUP(E$7,'Writing Logic'!$J$7:$K$11,2,FALSE)&amp;" - Per "&amp;VLOOKUP($C$4,'Writing Logic'!$G$8:$H$14,2,FALSE),YES_Writing_ELA[#Headers],0))=0,"",INDEX(_xlfn.VSTACK(YES_Writing_ELA[#Data],YES_Writing_FLA[#Data]),MATCH($A248,_xlfn.VSTACK(YES_Writing_ELA[Student Number],YES_Writing_FLA[Student Number]),0),MATCH(VLOOKUP(E$7,'Writing Logic'!$J$7:$K$11,2,FALSE)&amp;" - Per "&amp;VLOOKUP($C$4,'Writing Logic'!$G$8:$H$14,2,FALSE),YES_Writing_ELA[#Headers],0)))="INS",'Writing Logic'!$B$7,IF(INDEX(_xlfn.VSTACK(YES_Writing_ELA[#Data],YES_Writing_FLA[#Data]),MATCH($A248,_xlfn.VSTACK(YES_Writing_ELA[Student Number],YES_Writing_FLA[Student Number]),0),MATCH(VLOOKUP(E$7,'Writing Logic'!$J$7:$K$11,2,FALSE)&amp;" - Per "&amp;VLOOKUP($C$4,'Writing Logic'!$G$8:$H$14,2,FALSE),YES_Writing_ELA[#Headers],0))=0,"",INDEX(_xlfn.VSTACK(YES_Writing_ELA[#Data],YES_Writing_FLA[#Data]),MATCH($A248,_xlfn.VSTACK(YES_Writing_ELA[Student Number],YES_Writing_FLA[Student Number]),0),MATCH(VLOOKUP(E$7,'Writing Logic'!$J$7:$K$11,2,FALSE)&amp;" - Per "&amp;VLOOKUP($C$4,'Writing Logic'!$G$8:$H$14,2,FALSE),YES_Writing_ELA[#Headers],0)))),"")</f>
        <v/>
      </c>
      <c r="F248" s="138" t="str">
        <f>IFERROR(IF(IF(INDEX(_xlfn.VSTACK(YES_Writing_ELA[#Data],YES_Writing_FLA[#Data]),MATCH($A248,_xlfn.VSTACK(YES_Writing_ELA[Student Number],YES_Writing_FLA[Student Number]),0),MATCH(VLOOKUP(F$7,'Writing Logic'!$J$7:$K$11,2,FALSE)&amp;" - Per "&amp;VLOOKUP($C$4,'Writing Logic'!$G$8:$H$14,2,FALSE),YES_Writing_ELA[#Headers],0))=0,"",INDEX(_xlfn.VSTACK(YES_Writing_ELA[#Data],YES_Writing_FLA[#Data]),MATCH($A248,_xlfn.VSTACK(YES_Writing_ELA[Student Number],YES_Writing_FLA[Student Number]),0),MATCH(VLOOKUP(F$7,'Writing Logic'!$J$7:$K$11,2,FALSE)&amp;" - Per "&amp;VLOOKUP($C$4,'Writing Logic'!$G$8:$H$14,2,FALSE),YES_Writing_ELA[#Headers],0)))="INS",'Writing Logic'!$B$7,IF(INDEX(_xlfn.VSTACK(YES_Writing_ELA[#Data],YES_Writing_FLA[#Data]),MATCH($A248,_xlfn.VSTACK(YES_Writing_ELA[Student Number],YES_Writing_FLA[Student Number]),0),MATCH(VLOOKUP(F$7,'Writing Logic'!$J$7:$K$11,2,FALSE)&amp;" - Per "&amp;VLOOKUP($C$4,'Writing Logic'!$G$8:$H$14,2,FALSE),YES_Writing_ELA[#Headers],0))=0,"",INDEX(_xlfn.VSTACK(YES_Writing_ELA[#Data],YES_Writing_FLA[#Data]),MATCH($A248,_xlfn.VSTACK(YES_Writing_ELA[Student Number],YES_Writing_FLA[Student Number]),0),MATCH(VLOOKUP(F$7,'Writing Logic'!$J$7:$K$11,2,FALSE)&amp;" - Per "&amp;VLOOKUP($C$4,'Writing Logic'!$G$8:$H$14,2,FALSE),YES_Writing_ELA[#Headers],0)))),"")</f>
        <v/>
      </c>
      <c r="G248" s="138" t="str">
        <f>IFERROR(IF(IF(INDEX(_xlfn.VSTACK(YES_Writing_ELA[#Data],YES_Writing_FLA[#Data]),MATCH($A248,_xlfn.VSTACK(YES_Writing_ELA[Student Number],YES_Writing_FLA[Student Number]),0),MATCH(VLOOKUP(G$7,'Writing Logic'!$J$7:$K$11,2,FALSE)&amp;" - Per "&amp;VLOOKUP($C$4,'Writing Logic'!$G$8:$H$14,2,FALSE),YES_Writing_ELA[#Headers],0))=0,"",INDEX(_xlfn.VSTACK(YES_Writing_ELA[#Data],YES_Writing_FLA[#Data]),MATCH($A248,_xlfn.VSTACK(YES_Writing_ELA[Student Number],YES_Writing_FLA[Student Number]),0),MATCH(VLOOKUP(G$7,'Writing Logic'!$J$7:$K$11,2,FALSE)&amp;" - Per "&amp;VLOOKUP($C$4,'Writing Logic'!$G$8:$H$14,2,FALSE),YES_Writing_ELA[#Headers],0)))="INS",'Writing Logic'!$B$7,IF(INDEX(_xlfn.VSTACK(YES_Writing_ELA[#Data],YES_Writing_FLA[#Data]),MATCH($A248,_xlfn.VSTACK(YES_Writing_ELA[Student Number],YES_Writing_FLA[Student Number]),0),MATCH(VLOOKUP(G$7,'Writing Logic'!$J$7:$K$11,2,FALSE)&amp;" - Per "&amp;VLOOKUP($C$4,'Writing Logic'!$G$8:$H$14,2,FALSE),YES_Writing_ELA[#Headers],0))=0,"",INDEX(_xlfn.VSTACK(YES_Writing_ELA[#Data],YES_Writing_FLA[#Data]),MATCH($A248,_xlfn.VSTACK(YES_Writing_ELA[Student Number],YES_Writing_FLA[Student Number]),0),MATCH(VLOOKUP(G$7,'Writing Logic'!$J$7:$K$11,2,FALSE)&amp;" - Per "&amp;VLOOKUP($C$4,'Writing Logic'!$G$8:$H$14,2,FALSE),YES_Writing_ELA[#Headers],0)))),"")</f>
        <v/>
      </c>
      <c r="H248" s="138" t="str">
        <f>IFERROR(IF(IF(INDEX(_xlfn.VSTACK(YES_Writing_ELA[#Data],YES_Writing_FLA[#Data]),MATCH($A248,_xlfn.VSTACK(YES_Writing_ELA[Student Number],YES_Writing_FLA[Student Number]),0),MATCH(VLOOKUP(H$7,'Writing Logic'!$J$7:$K$11,2,FALSE)&amp;" - Per "&amp;VLOOKUP($C$4,'Writing Logic'!$G$8:$H$14,2,FALSE),YES_Writing_ELA[#Headers],0))=0,"",INDEX(_xlfn.VSTACK(YES_Writing_ELA[#Data],YES_Writing_FLA[#Data]),MATCH($A248,_xlfn.VSTACK(YES_Writing_ELA[Student Number],YES_Writing_FLA[Student Number]),0),MATCH(VLOOKUP(H$7,'Writing Logic'!$J$7:$K$11,2,FALSE)&amp;" - Per "&amp;VLOOKUP($C$4,'Writing Logic'!$G$8:$H$14,2,FALSE),YES_Writing_ELA[#Headers],0)))="INS",'Writing Logic'!$B$7,IF(INDEX(_xlfn.VSTACK(YES_Writing_ELA[#Data],YES_Writing_FLA[#Data]),MATCH($A248,_xlfn.VSTACK(YES_Writing_ELA[Student Number],YES_Writing_FLA[Student Number]),0),MATCH(VLOOKUP(H$7,'Writing Logic'!$J$7:$K$11,2,FALSE)&amp;" - Per "&amp;VLOOKUP($C$4,'Writing Logic'!$G$8:$H$14,2,FALSE),YES_Writing_ELA[#Headers],0))=0,"",INDEX(_xlfn.VSTACK(YES_Writing_ELA[#Data],YES_Writing_FLA[#Data]),MATCH($A248,_xlfn.VSTACK(YES_Writing_ELA[Student Number],YES_Writing_FLA[Student Number]),0),MATCH(VLOOKUP(H$7,'Writing Logic'!$J$7:$K$11,2,FALSE)&amp;" - Per "&amp;VLOOKUP($C$4,'Writing Logic'!$G$8:$H$14,2,FALSE),YES_Writing_ELA[#Headers],0)))),"")</f>
        <v/>
      </c>
    </row>
    <row r="249" spans="1:8" x14ac:dyDescent="0.25">
      <c r="A249" s="137"/>
      <c r="B249" s="137" t="str">
        <f>IFERROR(INDEX(_xlfn.VSTACK(YES_Writing_ELA[#Data], YES_Writing_FLA[#Data]),MATCH($A249,_xlfn.VSTACK(YES_Writing_ELA[Student Number], YES_Writing_FLA[Student Number]),0),MATCH(B$7,YES_Writing_ELA[#Headers],0)),"")</f>
        <v/>
      </c>
      <c r="C249" s="137" t="str">
        <f>IFERROR(INDEX(_xlfn.VSTACK(YES_Writing_ELA[#Data], YES_Writing_FLA[#Data]),MATCH($A249,_xlfn.VSTACK(YES_Writing_ELA[Student Number], YES_Writing_FLA[Student Number]),0),MATCH(C$7,YES_Writing_ELA[#Headers],0)),"")</f>
        <v/>
      </c>
      <c r="D249" s="138" t="str">
        <f>IFERROR(IF(IF(INDEX(_xlfn.VSTACK(YES_Writing_ELA[#Data],YES_Writing_FLA[#Data]),MATCH($A249,_xlfn.VSTACK(YES_Writing_ELA[Student Number],YES_Writing_FLA[Student Number]),0),MATCH(VLOOKUP(D$7,'Writing Logic'!$J$7:$K$11,2,FALSE)&amp;" - Per "&amp;VLOOKUP($C$4,'Writing Logic'!$G$8:$H$14,2,FALSE),YES_Writing_ELA[#Headers],0))=0,"",INDEX(_xlfn.VSTACK(YES_Writing_ELA[#Data],YES_Writing_FLA[#Data]),MATCH($A249,_xlfn.VSTACK(YES_Writing_ELA[Student Number],YES_Writing_FLA[Student Number]),0),MATCH(VLOOKUP(D$7,'Writing Logic'!$J$7:$K$11,2,FALSE)&amp;" - Per "&amp;VLOOKUP($C$4,'Writing Logic'!$G$8:$H$14,2,FALSE),YES_Writing_ELA[#Headers],0)))="INS",'Writing Logic'!$B$7,IF(INDEX(_xlfn.VSTACK(YES_Writing_ELA[#Data],YES_Writing_FLA[#Data]),MATCH($A249,_xlfn.VSTACK(YES_Writing_ELA[Student Number],YES_Writing_FLA[Student Number]),0),MATCH(VLOOKUP(D$7,'Writing Logic'!$J$7:$K$11,2,FALSE)&amp;" - Per "&amp;VLOOKUP($C$4,'Writing Logic'!$G$8:$H$14,2,FALSE),YES_Writing_ELA[#Headers],0))=0,"",INDEX(_xlfn.VSTACK(YES_Writing_ELA[#Data],YES_Writing_FLA[#Data]),MATCH($A249,_xlfn.VSTACK(YES_Writing_ELA[Student Number],YES_Writing_FLA[Student Number]),0),MATCH(VLOOKUP(D$7,'Writing Logic'!$J$7:$K$11,2,FALSE)&amp;" - Per "&amp;VLOOKUP($C$4,'Writing Logic'!$G$8:$H$14,2,FALSE),YES_Writing_ELA[#Headers],0)))),"")</f>
        <v/>
      </c>
      <c r="E249" s="138" t="str">
        <f>IFERROR(IF(IF(INDEX(_xlfn.VSTACK(YES_Writing_ELA[#Data],YES_Writing_FLA[#Data]),MATCH($A249,_xlfn.VSTACK(YES_Writing_ELA[Student Number],YES_Writing_FLA[Student Number]),0),MATCH(VLOOKUP(E$7,'Writing Logic'!$J$7:$K$11,2,FALSE)&amp;" - Per "&amp;VLOOKUP($C$4,'Writing Logic'!$G$8:$H$14,2,FALSE),YES_Writing_ELA[#Headers],0))=0,"",INDEX(_xlfn.VSTACK(YES_Writing_ELA[#Data],YES_Writing_FLA[#Data]),MATCH($A249,_xlfn.VSTACK(YES_Writing_ELA[Student Number],YES_Writing_FLA[Student Number]),0),MATCH(VLOOKUP(E$7,'Writing Logic'!$J$7:$K$11,2,FALSE)&amp;" - Per "&amp;VLOOKUP($C$4,'Writing Logic'!$G$8:$H$14,2,FALSE),YES_Writing_ELA[#Headers],0)))="INS",'Writing Logic'!$B$7,IF(INDEX(_xlfn.VSTACK(YES_Writing_ELA[#Data],YES_Writing_FLA[#Data]),MATCH($A249,_xlfn.VSTACK(YES_Writing_ELA[Student Number],YES_Writing_FLA[Student Number]),0),MATCH(VLOOKUP(E$7,'Writing Logic'!$J$7:$K$11,2,FALSE)&amp;" - Per "&amp;VLOOKUP($C$4,'Writing Logic'!$G$8:$H$14,2,FALSE),YES_Writing_ELA[#Headers],0))=0,"",INDEX(_xlfn.VSTACK(YES_Writing_ELA[#Data],YES_Writing_FLA[#Data]),MATCH($A249,_xlfn.VSTACK(YES_Writing_ELA[Student Number],YES_Writing_FLA[Student Number]),0),MATCH(VLOOKUP(E$7,'Writing Logic'!$J$7:$K$11,2,FALSE)&amp;" - Per "&amp;VLOOKUP($C$4,'Writing Logic'!$G$8:$H$14,2,FALSE),YES_Writing_ELA[#Headers],0)))),"")</f>
        <v/>
      </c>
      <c r="F249" s="138" t="str">
        <f>IFERROR(IF(IF(INDEX(_xlfn.VSTACK(YES_Writing_ELA[#Data],YES_Writing_FLA[#Data]),MATCH($A249,_xlfn.VSTACK(YES_Writing_ELA[Student Number],YES_Writing_FLA[Student Number]),0),MATCH(VLOOKUP(F$7,'Writing Logic'!$J$7:$K$11,2,FALSE)&amp;" - Per "&amp;VLOOKUP($C$4,'Writing Logic'!$G$8:$H$14,2,FALSE),YES_Writing_ELA[#Headers],0))=0,"",INDEX(_xlfn.VSTACK(YES_Writing_ELA[#Data],YES_Writing_FLA[#Data]),MATCH($A249,_xlfn.VSTACK(YES_Writing_ELA[Student Number],YES_Writing_FLA[Student Number]),0),MATCH(VLOOKUP(F$7,'Writing Logic'!$J$7:$K$11,2,FALSE)&amp;" - Per "&amp;VLOOKUP($C$4,'Writing Logic'!$G$8:$H$14,2,FALSE),YES_Writing_ELA[#Headers],0)))="INS",'Writing Logic'!$B$7,IF(INDEX(_xlfn.VSTACK(YES_Writing_ELA[#Data],YES_Writing_FLA[#Data]),MATCH($A249,_xlfn.VSTACK(YES_Writing_ELA[Student Number],YES_Writing_FLA[Student Number]),0),MATCH(VLOOKUP(F$7,'Writing Logic'!$J$7:$K$11,2,FALSE)&amp;" - Per "&amp;VLOOKUP($C$4,'Writing Logic'!$G$8:$H$14,2,FALSE),YES_Writing_ELA[#Headers],0))=0,"",INDEX(_xlfn.VSTACK(YES_Writing_ELA[#Data],YES_Writing_FLA[#Data]),MATCH($A249,_xlfn.VSTACK(YES_Writing_ELA[Student Number],YES_Writing_FLA[Student Number]),0),MATCH(VLOOKUP(F$7,'Writing Logic'!$J$7:$K$11,2,FALSE)&amp;" - Per "&amp;VLOOKUP($C$4,'Writing Logic'!$G$8:$H$14,2,FALSE),YES_Writing_ELA[#Headers],0)))),"")</f>
        <v/>
      </c>
      <c r="G249" s="138" t="str">
        <f>IFERROR(IF(IF(INDEX(_xlfn.VSTACK(YES_Writing_ELA[#Data],YES_Writing_FLA[#Data]),MATCH($A249,_xlfn.VSTACK(YES_Writing_ELA[Student Number],YES_Writing_FLA[Student Number]),0),MATCH(VLOOKUP(G$7,'Writing Logic'!$J$7:$K$11,2,FALSE)&amp;" - Per "&amp;VLOOKUP($C$4,'Writing Logic'!$G$8:$H$14,2,FALSE),YES_Writing_ELA[#Headers],0))=0,"",INDEX(_xlfn.VSTACK(YES_Writing_ELA[#Data],YES_Writing_FLA[#Data]),MATCH($A249,_xlfn.VSTACK(YES_Writing_ELA[Student Number],YES_Writing_FLA[Student Number]),0),MATCH(VLOOKUP(G$7,'Writing Logic'!$J$7:$K$11,2,FALSE)&amp;" - Per "&amp;VLOOKUP($C$4,'Writing Logic'!$G$8:$H$14,2,FALSE),YES_Writing_ELA[#Headers],0)))="INS",'Writing Logic'!$B$7,IF(INDEX(_xlfn.VSTACK(YES_Writing_ELA[#Data],YES_Writing_FLA[#Data]),MATCH($A249,_xlfn.VSTACK(YES_Writing_ELA[Student Number],YES_Writing_FLA[Student Number]),0),MATCH(VLOOKUP(G$7,'Writing Logic'!$J$7:$K$11,2,FALSE)&amp;" - Per "&amp;VLOOKUP($C$4,'Writing Logic'!$G$8:$H$14,2,FALSE),YES_Writing_ELA[#Headers],0))=0,"",INDEX(_xlfn.VSTACK(YES_Writing_ELA[#Data],YES_Writing_FLA[#Data]),MATCH($A249,_xlfn.VSTACK(YES_Writing_ELA[Student Number],YES_Writing_FLA[Student Number]),0),MATCH(VLOOKUP(G$7,'Writing Logic'!$J$7:$K$11,2,FALSE)&amp;" - Per "&amp;VLOOKUP($C$4,'Writing Logic'!$G$8:$H$14,2,FALSE),YES_Writing_ELA[#Headers],0)))),"")</f>
        <v/>
      </c>
      <c r="H249" s="138" t="str">
        <f>IFERROR(IF(IF(INDEX(_xlfn.VSTACK(YES_Writing_ELA[#Data],YES_Writing_FLA[#Data]),MATCH($A249,_xlfn.VSTACK(YES_Writing_ELA[Student Number],YES_Writing_FLA[Student Number]),0),MATCH(VLOOKUP(H$7,'Writing Logic'!$J$7:$K$11,2,FALSE)&amp;" - Per "&amp;VLOOKUP($C$4,'Writing Logic'!$G$8:$H$14,2,FALSE),YES_Writing_ELA[#Headers],0))=0,"",INDEX(_xlfn.VSTACK(YES_Writing_ELA[#Data],YES_Writing_FLA[#Data]),MATCH($A249,_xlfn.VSTACK(YES_Writing_ELA[Student Number],YES_Writing_FLA[Student Number]),0),MATCH(VLOOKUP(H$7,'Writing Logic'!$J$7:$K$11,2,FALSE)&amp;" - Per "&amp;VLOOKUP($C$4,'Writing Logic'!$G$8:$H$14,2,FALSE),YES_Writing_ELA[#Headers],0)))="INS",'Writing Logic'!$B$7,IF(INDEX(_xlfn.VSTACK(YES_Writing_ELA[#Data],YES_Writing_FLA[#Data]),MATCH($A249,_xlfn.VSTACK(YES_Writing_ELA[Student Number],YES_Writing_FLA[Student Number]),0),MATCH(VLOOKUP(H$7,'Writing Logic'!$J$7:$K$11,2,FALSE)&amp;" - Per "&amp;VLOOKUP($C$4,'Writing Logic'!$G$8:$H$14,2,FALSE),YES_Writing_ELA[#Headers],0))=0,"",INDEX(_xlfn.VSTACK(YES_Writing_ELA[#Data],YES_Writing_FLA[#Data]),MATCH($A249,_xlfn.VSTACK(YES_Writing_ELA[Student Number],YES_Writing_FLA[Student Number]),0),MATCH(VLOOKUP(H$7,'Writing Logic'!$J$7:$K$11,2,FALSE)&amp;" - Per "&amp;VLOOKUP($C$4,'Writing Logic'!$G$8:$H$14,2,FALSE),YES_Writing_ELA[#Headers],0)))),"")</f>
        <v/>
      </c>
    </row>
    <row r="250" spans="1:8" x14ac:dyDescent="0.25">
      <c r="A250" s="137"/>
      <c r="B250" s="137" t="str">
        <f>IFERROR(INDEX(_xlfn.VSTACK(YES_Writing_ELA[#Data], YES_Writing_FLA[#Data]),MATCH($A250,_xlfn.VSTACK(YES_Writing_ELA[Student Number], YES_Writing_FLA[Student Number]),0),MATCH(B$7,YES_Writing_ELA[#Headers],0)),"")</f>
        <v/>
      </c>
      <c r="C250" s="137" t="str">
        <f>IFERROR(INDEX(_xlfn.VSTACK(YES_Writing_ELA[#Data], YES_Writing_FLA[#Data]),MATCH($A250,_xlfn.VSTACK(YES_Writing_ELA[Student Number], YES_Writing_FLA[Student Number]),0),MATCH(C$7,YES_Writing_ELA[#Headers],0)),"")</f>
        <v/>
      </c>
      <c r="D250" s="138" t="str">
        <f>IFERROR(IF(IF(INDEX(_xlfn.VSTACK(YES_Writing_ELA[#Data],YES_Writing_FLA[#Data]),MATCH($A250,_xlfn.VSTACK(YES_Writing_ELA[Student Number],YES_Writing_FLA[Student Number]),0),MATCH(VLOOKUP(D$7,'Writing Logic'!$J$7:$K$11,2,FALSE)&amp;" - Per "&amp;VLOOKUP($C$4,'Writing Logic'!$G$8:$H$14,2,FALSE),YES_Writing_ELA[#Headers],0))=0,"",INDEX(_xlfn.VSTACK(YES_Writing_ELA[#Data],YES_Writing_FLA[#Data]),MATCH($A250,_xlfn.VSTACK(YES_Writing_ELA[Student Number],YES_Writing_FLA[Student Number]),0),MATCH(VLOOKUP(D$7,'Writing Logic'!$J$7:$K$11,2,FALSE)&amp;" - Per "&amp;VLOOKUP($C$4,'Writing Logic'!$G$8:$H$14,2,FALSE),YES_Writing_ELA[#Headers],0)))="INS",'Writing Logic'!$B$7,IF(INDEX(_xlfn.VSTACK(YES_Writing_ELA[#Data],YES_Writing_FLA[#Data]),MATCH($A250,_xlfn.VSTACK(YES_Writing_ELA[Student Number],YES_Writing_FLA[Student Number]),0),MATCH(VLOOKUP(D$7,'Writing Logic'!$J$7:$K$11,2,FALSE)&amp;" - Per "&amp;VLOOKUP($C$4,'Writing Logic'!$G$8:$H$14,2,FALSE),YES_Writing_ELA[#Headers],0))=0,"",INDEX(_xlfn.VSTACK(YES_Writing_ELA[#Data],YES_Writing_FLA[#Data]),MATCH($A250,_xlfn.VSTACK(YES_Writing_ELA[Student Number],YES_Writing_FLA[Student Number]),0),MATCH(VLOOKUP(D$7,'Writing Logic'!$J$7:$K$11,2,FALSE)&amp;" - Per "&amp;VLOOKUP($C$4,'Writing Logic'!$G$8:$H$14,2,FALSE),YES_Writing_ELA[#Headers],0)))),"")</f>
        <v/>
      </c>
      <c r="E250" s="138" t="str">
        <f>IFERROR(IF(IF(INDEX(_xlfn.VSTACK(YES_Writing_ELA[#Data],YES_Writing_FLA[#Data]),MATCH($A250,_xlfn.VSTACK(YES_Writing_ELA[Student Number],YES_Writing_FLA[Student Number]),0),MATCH(VLOOKUP(E$7,'Writing Logic'!$J$7:$K$11,2,FALSE)&amp;" - Per "&amp;VLOOKUP($C$4,'Writing Logic'!$G$8:$H$14,2,FALSE),YES_Writing_ELA[#Headers],0))=0,"",INDEX(_xlfn.VSTACK(YES_Writing_ELA[#Data],YES_Writing_FLA[#Data]),MATCH($A250,_xlfn.VSTACK(YES_Writing_ELA[Student Number],YES_Writing_FLA[Student Number]),0),MATCH(VLOOKUP(E$7,'Writing Logic'!$J$7:$K$11,2,FALSE)&amp;" - Per "&amp;VLOOKUP($C$4,'Writing Logic'!$G$8:$H$14,2,FALSE),YES_Writing_ELA[#Headers],0)))="INS",'Writing Logic'!$B$7,IF(INDEX(_xlfn.VSTACK(YES_Writing_ELA[#Data],YES_Writing_FLA[#Data]),MATCH($A250,_xlfn.VSTACK(YES_Writing_ELA[Student Number],YES_Writing_FLA[Student Number]),0),MATCH(VLOOKUP(E$7,'Writing Logic'!$J$7:$K$11,2,FALSE)&amp;" - Per "&amp;VLOOKUP($C$4,'Writing Logic'!$G$8:$H$14,2,FALSE),YES_Writing_ELA[#Headers],0))=0,"",INDEX(_xlfn.VSTACK(YES_Writing_ELA[#Data],YES_Writing_FLA[#Data]),MATCH($A250,_xlfn.VSTACK(YES_Writing_ELA[Student Number],YES_Writing_FLA[Student Number]),0),MATCH(VLOOKUP(E$7,'Writing Logic'!$J$7:$K$11,2,FALSE)&amp;" - Per "&amp;VLOOKUP($C$4,'Writing Logic'!$G$8:$H$14,2,FALSE),YES_Writing_ELA[#Headers],0)))),"")</f>
        <v/>
      </c>
      <c r="F250" s="138" t="str">
        <f>IFERROR(IF(IF(INDEX(_xlfn.VSTACK(YES_Writing_ELA[#Data],YES_Writing_FLA[#Data]),MATCH($A250,_xlfn.VSTACK(YES_Writing_ELA[Student Number],YES_Writing_FLA[Student Number]),0),MATCH(VLOOKUP(F$7,'Writing Logic'!$J$7:$K$11,2,FALSE)&amp;" - Per "&amp;VLOOKUP($C$4,'Writing Logic'!$G$8:$H$14,2,FALSE),YES_Writing_ELA[#Headers],0))=0,"",INDEX(_xlfn.VSTACK(YES_Writing_ELA[#Data],YES_Writing_FLA[#Data]),MATCH($A250,_xlfn.VSTACK(YES_Writing_ELA[Student Number],YES_Writing_FLA[Student Number]),0),MATCH(VLOOKUP(F$7,'Writing Logic'!$J$7:$K$11,2,FALSE)&amp;" - Per "&amp;VLOOKUP($C$4,'Writing Logic'!$G$8:$H$14,2,FALSE),YES_Writing_ELA[#Headers],0)))="INS",'Writing Logic'!$B$7,IF(INDEX(_xlfn.VSTACK(YES_Writing_ELA[#Data],YES_Writing_FLA[#Data]),MATCH($A250,_xlfn.VSTACK(YES_Writing_ELA[Student Number],YES_Writing_FLA[Student Number]),0),MATCH(VLOOKUP(F$7,'Writing Logic'!$J$7:$K$11,2,FALSE)&amp;" - Per "&amp;VLOOKUP($C$4,'Writing Logic'!$G$8:$H$14,2,FALSE),YES_Writing_ELA[#Headers],0))=0,"",INDEX(_xlfn.VSTACK(YES_Writing_ELA[#Data],YES_Writing_FLA[#Data]),MATCH($A250,_xlfn.VSTACK(YES_Writing_ELA[Student Number],YES_Writing_FLA[Student Number]),0),MATCH(VLOOKUP(F$7,'Writing Logic'!$J$7:$K$11,2,FALSE)&amp;" - Per "&amp;VLOOKUP($C$4,'Writing Logic'!$G$8:$H$14,2,FALSE),YES_Writing_ELA[#Headers],0)))),"")</f>
        <v/>
      </c>
      <c r="G250" s="138" t="str">
        <f>IFERROR(IF(IF(INDEX(_xlfn.VSTACK(YES_Writing_ELA[#Data],YES_Writing_FLA[#Data]),MATCH($A250,_xlfn.VSTACK(YES_Writing_ELA[Student Number],YES_Writing_FLA[Student Number]),0),MATCH(VLOOKUP(G$7,'Writing Logic'!$J$7:$K$11,2,FALSE)&amp;" - Per "&amp;VLOOKUP($C$4,'Writing Logic'!$G$8:$H$14,2,FALSE),YES_Writing_ELA[#Headers],0))=0,"",INDEX(_xlfn.VSTACK(YES_Writing_ELA[#Data],YES_Writing_FLA[#Data]),MATCH($A250,_xlfn.VSTACK(YES_Writing_ELA[Student Number],YES_Writing_FLA[Student Number]),0),MATCH(VLOOKUP(G$7,'Writing Logic'!$J$7:$K$11,2,FALSE)&amp;" - Per "&amp;VLOOKUP($C$4,'Writing Logic'!$G$8:$H$14,2,FALSE),YES_Writing_ELA[#Headers],0)))="INS",'Writing Logic'!$B$7,IF(INDEX(_xlfn.VSTACK(YES_Writing_ELA[#Data],YES_Writing_FLA[#Data]),MATCH($A250,_xlfn.VSTACK(YES_Writing_ELA[Student Number],YES_Writing_FLA[Student Number]),0),MATCH(VLOOKUP(G$7,'Writing Logic'!$J$7:$K$11,2,FALSE)&amp;" - Per "&amp;VLOOKUP($C$4,'Writing Logic'!$G$8:$H$14,2,FALSE),YES_Writing_ELA[#Headers],0))=0,"",INDEX(_xlfn.VSTACK(YES_Writing_ELA[#Data],YES_Writing_FLA[#Data]),MATCH($A250,_xlfn.VSTACK(YES_Writing_ELA[Student Number],YES_Writing_FLA[Student Number]),0),MATCH(VLOOKUP(G$7,'Writing Logic'!$J$7:$K$11,2,FALSE)&amp;" - Per "&amp;VLOOKUP($C$4,'Writing Logic'!$G$8:$H$14,2,FALSE),YES_Writing_ELA[#Headers],0)))),"")</f>
        <v/>
      </c>
      <c r="H250" s="138" t="str">
        <f>IFERROR(IF(IF(INDEX(_xlfn.VSTACK(YES_Writing_ELA[#Data],YES_Writing_FLA[#Data]),MATCH($A250,_xlfn.VSTACK(YES_Writing_ELA[Student Number],YES_Writing_FLA[Student Number]),0),MATCH(VLOOKUP(H$7,'Writing Logic'!$J$7:$K$11,2,FALSE)&amp;" - Per "&amp;VLOOKUP($C$4,'Writing Logic'!$G$8:$H$14,2,FALSE),YES_Writing_ELA[#Headers],0))=0,"",INDEX(_xlfn.VSTACK(YES_Writing_ELA[#Data],YES_Writing_FLA[#Data]),MATCH($A250,_xlfn.VSTACK(YES_Writing_ELA[Student Number],YES_Writing_FLA[Student Number]),0),MATCH(VLOOKUP(H$7,'Writing Logic'!$J$7:$K$11,2,FALSE)&amp;" - Per "&amp;VLOOKUP($C$4,'Writing Logic'!$G$8:$H$14,2,FALSE),YES_Writing_ELA[#Headers],0)))="INS",'Writing Logic'!$B$7,IF(INDEX(_xlfn.VSTACK(YES_Writing_ELA[#Data],YES_Writing_FLA[#Data]),MATCH($A250,_xlfn.VSTACK(YES_Writing_ELA[Student Number],YES_Writing_FLA[Student Number]),0),MATCH(VLOOKUP(H$7,'Writing Logic'!$J$7:$K$11,2,FALSE)&amp;" - Per "&amp;VLOOKUP($C$4,'Writing Logic'!$G$8:$H$14,2,FALSE),YES_Writing_ELA[#Headers],0))=0,"",INDEX(_xlfn.VSTACK(YES_Writing_ELA[#Data],YES_Writing_FLA[#Data]),MATCH($A250,_xlfn.VSTACK(YES_Writing_ELA[Student Number],YES_Writing_FLA[Student Number]),0),MATCH(VLOOKUP(H$7,'Writing Logic'!$J$7:$K$11,2,FALSE)&amp;" - Per "&amp;VLOOKUP($C$4,'Writing Logic'!$G$8:$H$14,2,FALSE),YES_Writing_ELA[#Headers],0)))),"")</f>
        <v/>
      </c>
    </row>
    <row r="251" spans="1:8" x14ac:dyDescent="0.25">
      <c r="A251" s="137"/>
      <c r="B251" s="137" t="str">
        <f>IFERROR(INDEX(_xlfn.VSTACK(YES_Writing_ELA[#Data], YES_Writing_FLA[#Data]),MATCH($A251,_xlfn.VSTACK(YES_Writing_ELA[Student Number], YES_Writing_FLA[Student Number]),0),MATCH(B$7,YES_Writing_ELA[#Headers],0)),"")</f>
        <v/>
      </c>
      <c r="C251" s="137" t="str">
        <f>IFERROR(INDEX(_xlfn.VSTACK(YES_Writing_ELA[#Data], YES_Writing_FLA[#Data]),MATCH($A251,_xlfn.VSTACK(YES_Writing_ELA[Student Number], YES_Writing_FLA[Student Number]),0),MATCH(C$7,YES_Writing_ELA[#Headers],0)),"")</f>
        <v/>
      </c>
      <c r="D251" s="138" t="str">
        <f>IFERROR(IF(IF(INDEX(_xlfn.VSTACK(YES_Writing_ELA[#Data],YES_Writing_FLA[#Data]),MATCH($A251,_xlfn.VSTACK(YES_Writing_ELA[Student Number],YES_Writing_FLA[Student Number]),0),MATCH(VLOOKUP(D$7,'Writing Logic'!$J$7:$K$11,2,FALSE)&amp;" - Per "&amp;VLOOKUP($C$4,'Writing Logic'!$G$8:$H$14,2,FALSE),YES_Writing_ELA[#Headers],0))=0,"",INDEX(_xlfn.VSTACK(YES_Writing_ELA[#Data],YES_Writing_FLA[#Data]),MATCH($A251,_xlfn.VSTACK(YES_Writing_ELA[Student Number],YES_Writing_FLA[Student Number]),0),MATCH(VLOOKUP(D$7,'Writing Logic'!$J$7:$K$11,2,FALSE)&amp;" - Per "&amp;VLOOKUP($C$4,'Writing Logic'!$G$8:$H$14,2,FALSE),YES_Writing_ELA[#Headers],0)))="INS",'Writing Logic'!$B$7,IF(INDEX(_xlfn.VSTACK(YES_Writing_ELA[#Data],YES_Writing_FLA[#Data]),MATCH($A251,_xlfn.VSTACK(YES_Writing_ELA[Student Number],YES_Writing_FLA[Student Number]),0),MATCH(VLOOKUP(D$7,'Writing Logic'!$J$7:$K$11,2,FALSE)&amp;" - Per "&amp;VLOOKUP($C$4,'Writing Logic'!$G$8:$H$14,2,FALSE),YES_Writing_ELA[#Headers],0))=0,"",INDEX(_xlfn.VSTACK(YES_Writing_ELA[#Data],YES_Writing_FLA[#Data]),MATCH($A251,_xlfn.VSTACK(YES_Writing_ELA[Student Number],YES_Writing_FLA[Student Number]),0),MATCH(VLOOKUP(D$7,'Writing Logic'!$J$7:$K$11,2,FALSE)&amp;" - Per "&amp;VLOOKUP($C$4,'Writing Logic'!$G$8:$H$14,2,FALSE),YES_Writing_ELA[#Headers],0)))),"")</f>
        <v/>
      </c>
      <c r="E251" s="138" t="str">
        <f>IFERROR(IF(IF(INDEX(_xlfn.VSTACK(YES_Writing_ELA[#Data],YES_Writing_FLA[#Data]),MATCH($A251,_xlfn.VSTACK(YES_Writing_ELA[Student Number],YES_Writing_FLA[Student Number]),0),MATCH(VLOOKUP(E$7,'Writing Logic'!$J$7:$K$11,2,FALSE)&amp;" - Per "&amp;VLOOKUP($C$4,'Writing Logic'!$G$8:$H$14,2,FALSE),YES_Writing_ELA[#Headers],0))=0,"",INDEX(_xlfn.VSTACK(YES_Writing_ELA[#Data],YES_Writing_FLA[#Data]),MATCH($A251,_xlfn.VSTACK(YES_Writing_ELA[Student Number],YES_Writing_FLA[Student Number]),0),MATCH(VLOOKUP(E$7,'Writing Logic'!$J$7:$K$11,2,FALSE)&amp;" - Per "&amp;VLOOKUP($C$4,'Writing Logic'!$G$8:$H$14,2,FALSE),YES_Writing_ELA[#Headers],0)))="INS",'Writing Logic'!$B$7,IF(INDEX(_xlfn.VSTACK(YES_Writing_ELA[#Data],YES_Writing_FLA[#Data]),MATCH($A251,_xlfn.VSTACK(YES_Writing_ELA[Student Number],YES_Writing_FLA[Student Number]),0),MATCH(VLOOKUP(E$7,'Writing Logic'!$J$7:$K$11,2,FALSE)&amp;" - Per "&amp;VLOOKUP($C$4,'Writing Logic'!$G$8:$H$14,2,FALSE),YES_Writing_ELA[#Headers],0))=0,"",INDEX(_xlfn.VSTACK(YES_Writing_ELA[#Data],YES_Writing_FLA[#Data]),MATCH($A251,_xlfn.VSTACK(YES_Writing_ELA[Student Number],YES_Writing_FLA[Student Number]),0),MATCH(VLOOKUP(E$7,'Writing Logic'!$J$7:$K$11,2,FALSE)&amp;" - Per "&amp;VLOOKUP($C$4,'Writing Logic'!$G$8:$H$14,2,FALSE),YES_Writing_ELA[#Headers],0)))),"")</f>
        <v/>
      </c>
      <c r="F251" s="138" t="str">
        <f>IFERROR(IF(IF(INDEX(_xlfn.VSTACK(YES_Writing_ELA[#Data],YES_Writing_FLA[#Data]),MATCH($A251,_xlfn.VSTACK(YES_Writing_ELA[Student Number],YES_Writing_FLA[Student Number]),0),MATCH(VLOOKUP(F$7,'Writing Logic'!$J$7:$K$11,2,FALSE)&amp;" - Per "&amp;VLOOKUP($C$4,'Writing Logic'!$G$8:$H$14,2,FALSE),YES_Writing_ELA[#Headers],0))=0,"",INDEX(_xlfn.VSTACK(YES_Writing_ELA[#Data],YES_Writing_FLA[#Data]),MATCH($A251,_xlfn.VSTACK(YES_Writing_ELA[Student Number],YES_Writing_FLA[Student Number]),0),MATCH(VLOOKUP(F$7,'Writing Logic'!$J$7:$K$11,2,FALSE)&amp;" - Per "&amp;VLOOKUP($C$4,'Writing Logic'!$G$8:$H$14,2,FALSE),YES_Writing_ELA[#Headers],0)))="INS",'Writing Logic'!$B$7,IF(INDEX(_xlfn.VSTACK(YES_Writing_ELA[#Data],YES_Writing_FLA[#Data]),MATCH($A251,_xlfn.VSTACK(YES_Writing_ELA[Student Number],YES_Writing_FLA[Student Number]),0),MATCH(VLOOKUP(F$7,'Writing Logic'!$J$7:$K$11,2,FALSE)&amp;" - Per "&amp;VLOOKUP($C$4,'Writing Logic'!$G$8:$H$14,2,FALSE),YES_Writing_ELA[#Headers],0))=0,"",INDEX(_xlfn.VSTACK(YES_Writing_ELA[#Data],YES_Writing_FLA[#Data]),MATCH($A251,_xlfn.VSTACK(YES_Writing_ELA[Student Number],YES_Writing_FLA[Student Number]),0),MATCH(VLOOKUP(F$7,'Writing Logic'!$J$7:$K$11,2,FALSE)&amp;" - Per "&amp;VLOOKUP($C$4,'Writing Logic'!$G$8:$H$14,2,FALSE),YES_Writing_ELA[#Headers],0)))),"")</f>
        <v/>
      </c>
      <c r="G251" s="138" t="str">
        <f>IFERROR(IF(IF(INDEX(_xlfn.VSTACK(YES_Writing_ELA[#Data],YES_Writing_FLA[#Data]),MATCH($A251,_xlfn.VSTACK(YES_Writing_ELA[Student Number],YES_Writing_FLA[Student Number]),0),MATCH(VLOOKUP(G$7,'Writing Logic'!$J$7:$K$11,2,FALSE)&amp;" - Per "&amp;VLOOKUP($C$4,'Writing Logic'!$G$8:$H$14,2,FALSE),YES_Writing_ELA[#Headers],0))=0,"",INDEX(_xlfn.VSTACK(YES_Writing_ELA[#Data],YES_Writing_FLA[#Data]),MATCH($A251,_xlfn.VSTACK(YES_Writing_ELA[Student Number],YES_Writing_FLA[Student Number]),0),MATCH(VLOOKUP(G$7,'Writing Logic'!$J$7:$K$11,2,FALSE)&amp;" - Per "&amp;VLOOKUP($C$4,'Writing Logic'!$G$8:$H$14,2,FALSE),YES_Writing_ELA[#Headers],0)))="INS",'Writing Logic'!$B$7,IF(INDEX(_xlfn.VSTACK(YES_Writing_ELA[#Data],YES_Writing_FLA[#Data]),MATCH($A251,_xlfn.VSTACK(YES_Writing_ELA[Student Number],YES_Writing_FLA[Student Number]),0),MATCH(VLOOKUP(G$7,'Writing Logic'!$J$7:$K$11,2,FALSE)&amp;" - Per "&amp;VLOOKUP($C$4,'Writing Logic'!$G$8:$H$14,2,FALSE),YES_Writing_ELA[#Headers],0))=0,"",INDEX(_xlfn.VSTACK(YES_Writing_ELA[#Data],YES_Writing_FLA[#Data]),MATCH($A251,_xlfn.VSTACK(YES_Writing_ELA[Student Number],YES_Writing_FLA[Student Number]),0),MATCH(VLOOKUP(G$7,'Writing Logic'!$J$7:$K$11,2,FALSE)&amp;" - Per "&amp;VLOOKUP($C$4,'Writing Logic'!$G$8:$H$14,2,FALSE),YES_Writing_ELA[#Headers],0)))),"")</f>
        <v/>
      </c>
      <c r="H251" s="138" t="str">
        <f>IFERROR(IF(IF(INDEX(_xlfn.VSTACK(YES_Writing_ELA[#Data],YES_Writing_FLA[#Data]),MATCH($A251,_xlfn.VSTACK(YES_Writing_ELA[Student Number],YES_Writing_FLA[Student Number]),0),MATCH(VLOOKUP(H$7,'Writing Logic'!$J$7:$K$11,2,FALSE)&amp;" - Per "&amp;VLOOKUP($C$4,'Writing Logic'!$G$8:$H$14,2,FALSE),YES_Writing_ELA[#Headers],0))=0,"",INDEX(_xlfn.VSTACK(YES_Writing_ELA[#Data],YES_Writing_FLA[#Data]),MATCH($A251,_xlfn.VSTACK(YES_Writing_ELA[Student Number],YES_Writing_FLA[Student Number]),0),MATCH(VLOOKUP(H$7,'Writing Logic'!$J$7:$K$11,2,FALSE)&amp;" - Per "&amp;VLOOKUP($C$4,'Writing Logic'!$G$8:$H$14,2,FALSE),YES_Writing_ELA[#Headers],0)))="INS",'Writing Logic'!$B$7,IF(INDEX(_xlfn.VSTACK(YES_Writing_ELA[#Data],YES_Writing_FLA[#Data]),MATCH($A251,_xlfn.VSTACK(YES_Writing_ELA[Student Number],YES_Writing_FLA[Student Number]),0),MATCH(VLOOKUP(H$7,'Writing Logic'!$J$7:$K$11,2,FALSE)&amp;" - Per "&amp;VLOOKUP($C$4,'Writing Logic'!$G$8:$H$14,2,FALSE),YES_Writing_ELA[#Headers],0))=0,"",INDEX(_xlfn.VSTACK(YES_Writing_ELA[#Data],YES_Writing_FLA[#Data]),MATCH($A251,_xlfn.VSTACK(YES_Writing_ELA[Student Number],YES_Writing_FLA[Student Number]),0),MATCH(VLOOKUP(H$7,'Writing Logic'!$J$7:$K$11,2,FALSE)&amp;" - Per "&amp;VLOOKUP($C$4,'Writing Logic'!$G$8:$H$14,2,FALSE),YES_Writing_ELA[#Headers],0)))),"")</f>
        <v/>
      </c>
    </row>
    <row r="252" spans="1:8" x14ac:dyDescent="0.25">
      <c r="A252" s="137"/>
      <c r="B252" s="137" t="str">
        <f>IFERROR(INDEX(_xlfn.VSTACK(YES_Writing_ELA[#Data], YES_Writing_FLA[#Data]),MATCH($A252,_xlfn.VSTACK(YES_Writing_ELA[Student Number], YES_Writing_FLA[Student Number]),0),MATCH(B$7,YES_Writing_ELA[#Headers],0)),"")</f>
        <v/>
      </c>
      <c r="C252" s="137" t="str">
        <f>IFERROR(INDEX(_xlfn.VSTACK(YES_Writing_ELA[#Data], YES_Writing_FLA[#Data]),MATCH($A252,_xlfn.VSTACK(YES_Writing_ELA[Student Number], YES_Writing_FLA[Student Number]),0),MATCH(C$7,YES_Writing_ELA[#Headers],0)),"")</f>
        <v/>
      </c>
      <c r="D252" s="138" t="str">
        <f>IFERROR(IF(IF(INDEX(_xlfn.VSTACK(YES_Writing_ELA[#Data],YES_Writing_FLA[#Data]),MATCH($A252,_xlfn.VSTACK(YES_Writing_ELA[Student Number],YES_Writing_FLA[Student Number]),0),MATCH(VLOOKUP(D$7,'Writing Logic'!$J$7:$K$11,2,FALSE)&amp;" - Per "&amp;VLOOKUP($C$4,'Writing Logic'!$G$8:$H$14,2,FALSE),YES_Writing_ELA[#Headers],0))=0,"",INDEX(_xlfn.VSTACK(YES_Writing_ELA[#Data],YES_Writing_FLA[#Data]),MATCH($A252,_xlfn.VSTACK(YES_Writing_ELA[Student Number],YES_Writing_FLA[Student Number]),0),MATCH(VLOOKUP(D$7,'Writing Logic'!$J$7:$K$11,2,FALSE)&amp;" - Per "&amp;VLOOKUP($C$4,'Writing Logic'!$G$8:$H$14,2,FALSE),YES_Writing_ELA[#Headers],0)))="INS",'Writing Logic'!$B$7,IF(INDEX(_xlfn.VSTACK(YES_Writing_ELA[#Data],YES_Writing_FLA[#Data]),MATCH($A252,_xlfn.VSTACK(YES_Writing_ELA[Student Number],YES_Writing_FLA[Student Number]),0),MATCH(VLOOKUP(D$7,'Writing Logic'!$J$7:$K$11,2,FALSE)&amp;" - Per "&amp;VLOOKUP($C$4,'Writing Logic'!$G$8:$H$14,2,FALSE),YES_Writing_ELA[#Headers],0))=0,"",INDEX(_xlfn.VSTACK(YES_Writing_ELA[#Data],YES_Writing_FLA[#Data]),MATCH($A252,_xlfn.VSTACK(YES_Writing_ELA[Student Number],YES_Writing_FLA[Student Number]),0),MATCH(VLOOKUP(D$7,'Writing Logic'!$J$7:$K$11,2,FALSE)&amp;" - Per "&amp;VLOOKUP($C$4,'Writing Logic'!$G$8:$H$14,2,FALSE),YES_Writing_ELA[#Headers],0)))),"")</f>
        <v/>
      </c>
      <c r="E252" s="138" t="str">
        <f>IFERROR(IF(IF(INDEX(_xlfn.VSTACK(YES_Writing_ELA[#Data],YES_Writing_FLA[#Data]),MATCH($A252,_xlfn.VSTACK(YES_Writing_ELA[Student Number],YES_Writing_FLA[Student Number]),0),MATCH(VLOOKUP(E$7,'Writing Logic'!$J$7:$K$11,2,FALSE)&amp;" - Per "&amp;VLOOKUP($C$4,'Writing Logic'!$G$8:$H$14,2,FALSE),YES_Writing_ELA[#Headers],0))=0,"",INDEX(_xlfn.VSTACK(YES_Writing_ELA[#Data],YES_Writing_FLA[#Data]),MATCH($A252,_xlfn.VSTACK(YES_Writing_ELA[Student Number],YES_Writing_FLA[Student Number]),0),MATCH(VLOOKUP(E$7,'Writing Logic'!$J$7:$K$11,2,FALSE)&amp;" - Per "&amp;VLOOKUP($C$4,'Writing Logic'!$G$8:$H$14,2,FALSE),YES_Writing_ELA[#Headers],0)))="INS",'Writing Logic'!$B$7,IF(INDEX(_xlfn.VSTACK(YES_Writing_ELA[#Data],YES_Writing_FLA[#Data]),MATCH($A252,_xlfn.VSTACK(YES_Writing_ELA[Student Number],YES_Writing_FLA[Student Number]),0),MATCH(VLOOKUP(E$7,'Writing Logic'!$J$7:$K$11,2,FALSE)&amp;" - Per "&amp;VLOOKUP($C$4,'Writing Logic'!$G$8:$H$14,2,FALSE),YES_Writing_ELA[#Headers],0))=0,"",INDEX(_xlfn.VSTACK(YES_Writing_ELA[#Data],YES_Writing_FLA[#Data]),MATCH($A252,_xlfn.VSTACK(YES_Writing_ELA[Student Number],YES_Writing_FLA[Student Number]),0),MATCH(VLOOKUP(E$7,'Writing Logic'!$J$7:$K$11,2,FALSE)&amp;" - Per "&amp;VLOOKUP($C$4,'Writing Logic'!$G$8:$H$14,2,FALSE),YES_Writing_ELA[#Headers],0)))),"")</f>
        <v/>
      </c>
      <c r="F252" s="138" t="str">
        <f>IFERROR(IF(IF(INDEX(_xlfn.VSTACK(YES_Writing_ELA[#Data],YES_Writing_FLA[#Data]),MATCH($A252,_xlfn.VSTACK(YES_Writing_ELA[Student Number],YES_Writing_FLA[Student Number]),0),MATCH(VLOOKUP(F$7,'Writing Logic'!$J$7:$K$11,2,FALSE)&amp;" - Per "&amp;VLOOKUP($C$4,'Writing Logic'!$G$8:$H$14,2,FALSE),YES_Writing_ELA[#Headers],0))=0,"",INDEX(_xlfn.VSTACK(YES_Writing_ELA[#Data],YES_Writing_FLA[#Data]),MATCH($A252,_xlfn.VSTACK(YES_Writing_ELA[Student Number],YES_Writing_FLA[Student Number]),0),MATCH(VLOOKUP(F$7,'Writing Logic'!$J$7:$K$11,2,FALSE)&amp;" - Per "&amp;VLOOKUP($C$4,'Writing Logic'!$G$8:$H$14,2,FALSE),YES_Writing_ELA[#Headers],0)))="INS",'Writing Logic'!$B$7,IF(INDEX(_xlfn.VSTACK(YES_Writing_ELA[#Data],YES_Writing_FLA[#Data]),MATCH($A252,_xlfn.VSTACK(YES_Writing_ELA[Student Number],YES_Writing_FLA[Student Number]),0),MATCH(VLOOKUP(F$7,'Writing Logic'!$J$7:$K$11,2,FALSE)&amp;" - Per "&amp;VLOOKUP($C$4,'Writing Logic'!$G$8:$H$14,2,FALSE),YES_Writing_ELA[#Headers],0))=0,"",INDEX(_xlfn.VSTACK(YES_Writing_ELA[#Data],YES_Writing_FLA[#Data]),MATCH($A252,_xlfn.VSTACK(YES_Writing_ELA[Student Number],YES_Writing_FLA[Student Number]),0),MATCH(VLOOKUP(F$7,'Writing Logic'!$J$7:$K$11,2,FALSE)&amp;" - Per "&amp;VLOOKUP($C$4,'Writing Logic'!$G$8:$H$14,2,FALSE),YES_Writing_ELA[#Headers],0)))),"")</f>
        <v/>
      </c>
      <c r="G252" s="138" t="str">
        <f>IFERROR(IF(IF(INDEX(_xlfn.VSTACK(YES_Writing_ELA[#Data],YES_Writing_FLA[#Data]),MATCH($A252,_xlfn.VSTACK(YES_Writing_ELA[Student Number],YES_Writing_FLA[Student Number]),0),MATCH(VLOOKUP(G$7,'Writing Logic'!$J$7:$K$11,2,FALSE)&amp;" - Per "&amp;VLOOKUP($C$4,'Writing Logic'!$G$8:$H$14,2,FALSE),YES_Writing_ELA[#Headers],0))=0,"",INDEX(_xlfn.VSTACK(YES_Writing_ELA[#Data],YES_Writing_FLA[#Data]),MATCH($A252,_xlfn.VSTACK(YES_Writing_ELA[Student Number],YES_Writing_FLA[Student Number]),0),MATCH(VLOOKUP(G$7,'Writing Logic'!$J$7:$K$11,2,FALSE)&amp;" - Per "&amp;VLOOKUP($C$4,'Writing Logic'!$G$8:$H$14,2,FALSE),YES_Writing_ELA[#Headers],0)))="INS",'Writing Logic'!$B$7,IF(INDEX(_xlfn.VSTACK(YES_Writing_ELA[#Data],YES_Writing_FLA[#Data]),MATCH($A252,_xlfn.VSTACK(YES_Writing_ELA[Student Number],YES_Writing_FLA[Student Number]),0),MATCH(VLOOKUP(G$7,'Writing Logic'!$J$7:$K$11,2,FALSE)&amp;" - Per "&amp;VLOOKUP($C$4,'Writing Logic'!$G$8:$H$14,2,FALSE),YES_Writing_ELA[#Headers],0))=0,"",INDEX(_xlfn.VSTACK(YES_Writing_ELA[#Data],YES_Writing_FLA[#Data]),MATCH($A252,_xlfn.VSTACK(YES_Writing_ELA[Student Number],YES_Writing_FLA[Student Number]),0),MATCH(VLOOKUP(G$7,'Writing Logic'!$J$7:$K$11,2,FALSE)&amp;" - Per "&amp;VLOOKUP($C$4,'Writing Logic'!$G$8:$H$14,2,FALSE),YES_Writing_ELA[#Headers],0)))),"")</f>
        <v/>
      </c>
      <c r="H252" s="138" t="str">
        <f>IFERROR(IF(IF(INDEX(_xlfn.VSTACK(YES_Writing_ELA[#Data],YES_Writing_FLA[#Data]),MATCH($A252,_xlfn.VSTACK(YES_Writing_ELA[Student Number],YES_Writing_FLA[Student Number]),0),MATCH(VLOOKUP(H$7,'Writing Logic'!$J$7:$K$11,2,FALSE)&amp;" - Per "&amp;VLOOKUP($C$4,'Writing Logic'!$G$8:$H$14,2,FALSE),YES_Writing_ELA[#Headers],0))=0,"",INDEX(_xlfn.VSTACK(YES_Writing_ELA[#Data],YES_Writing_FLA[#Data]),MATCH($A252,_xlfn.VSTACK(YES_Writing_ELA[Student Number],YES_Writing_FLA[Student Number]),0),MATCH(VLOOKUP(H$7,'Writing Logic'!$J$7:$K$11,2,FALSE)&amp;" - Per "&amp;VLOOKUP($C$4,'Writing Logic'!$G$8:$H$14,2,FALSE),YES_Writing_ELA[#Headers],0)))="INS",'Writing Logic'!$B$7,IF(INDEX(_xlfn.VSTACK(YES_Writing_ELA[#Data],YES_Writing_FLA[#Data]),MATCH($A252,_xlfn.VSTACK(YES_Writing_ELA[Student Number],YES_Writing_FLA[Student Number]),0),MATCH(VLOOKUP(H$7,'Writing Logic'!$J$7:$K$11,2,FALSE)&amp;" - Per "&amp;VLOOKUP($C$4,'Writing Logic'!$G$8:$H$14,2,FALSE),YES_Writing_ELA[#Headers],0))=0,"",INDEX(_xlfn.VSTACK(YES_Writing_ELA[#Data],YES_Writing_FLA[#Data]),MATCH($A252,_xlfn.VSTACK(YES_Writing_ELA[Student Number],YES_Writing_FLA[Student Number]),0),MATCH(VLOOKUP(H$7,'Writing Logic'!$J$7:$K$11,2,FALSE)&amp;" - Per "&amp;VLOOKUP($C$4,'Writing Logic'!$G$8:$H$14,2,FALSE),YES_Writing_ELA[#Headers],0)))),"")</f>
        <v/>
      </c>
    </row>
    <row r="253" spans="1:8" x14ac:dyDescent="0.25">
      <c r="A253" s="137"/>
      <c r="B253" s="137" t="str">
        <f>IFERROR(INDEX(_xlfn.VSTACK(YES_Writing_ELA[#Data], YES_Writing_FLA[#Data]),MATCH($A253,_xlfn.VSTACK(YES_Writing_ELA[Student Number], YES_Writing_FLA[Student Number]),0),MATCH(B$7,YES_Writing_ELA[#Headers],0)),"")</f>
        <v/>
      </c>
      <c r="C253" s="137" t="str">
        <f>IFERROR(INDEX(_xlfn.VSTACK(YES_Writing_ELA[#Data], YES_Writing_FLA[#Data]),MATCH($A253,_xlfn.VSTACK(YES_Writing_ELA[Student Number], YES_Writing_FLA[Student Number]),0),MATCH(C$7,YES_Writing_ELA[#Headers],0)),"")</f>
        <v/>
      </c>
      <c r="D253" s="138" t="str">
        <f>IFERROR(IF(IF(INDEX(_xlfn.VSTACK(YES_Writing_ELA[#Data],YES_Writing_FLA[#Data]),MATCH($A253,_xlfn.VSTACK(YES_Writing_ELA[Student Number],YES_Writing_FLA[Student Number]),0),MATCH(VLOOKUP(D$7,'Writing Logic'!$J$7:$K$11,2,FALSE)&amp;" - Per "&amp;VLOOKUP($C$4,'Writing Logic'!$G$8:$H$14,2,FALSE),YES_Writing_ELA[#Headers],0))=0,"",INDEX(_xlfn.VSTACK(YES_Writing_ELA[#Data],YES_Writing_FLA[#Data]),MATCH($A253,_xlfn.VSTACK(YES_Writing_ELA[Student Number],YES_Writing_FLA[Student Number]),0),MATCH(VLOOKUP(D$7,'Writing Logic'!$J$7:$K$11,2,FALSE)&amp;" - Per "&amp;VLOOKUP($C$4,'Writing Logic'!$G$8:$H$14,2,FALSE),YES_Writing_ELA[#Headers],0)))="INS",'Writing Logic'!$B$7,IF(INDEX(_xlfn.VSTACK(YES_Writing_ELA[#Data],YES_Writing_FLA[#Data]),MATCH($A253,_xlfn.VSTACK(YES_Writing_ELA[Student Number],YES_Writing_FLA[Student Number]),0),MATCH(VLOOKUP(D$7,'Writing Logic'!$J$7:$K$11,2,FALSE)&amp;" - Per "&amp;VLOOKUP($C$4,'Writing Logic'!$G$8:$H$14,2,FALSE),YES_Writing_ELA[#Headers],0))=0,"",INDEX(_xlfn.VSTACK(YES_Writing_ELA[#Data],YES_Writing_FLA[#Data]),MATCH($A253,_xlfn.VSTACK(YES_Writing_ELA[Student Number],YES_Writing_FLA[Student Number]),0),MATCH(VLOOKUP(D$7,'Writing Logic'!$J$7:$K$11,2,FALSE)&amp;" - Per "&amp;VLOOKUP($C$4,'Writing Logic'!$G$8:$H$14,2,FALSE),YES_Writing_ELA[#Headers],0)))),"")</f>
        <v/>
      </c>
      <c r="E253" s="138" t="str">
        <f>IFERROR(IF(IF(INDEX(_xlfn.VSTACK(YES_Writing_ELA[#Data],YES_Writing_FLA[#Data]),MATCH($A253,_xlfn.VSTACK(YES_Writing_ELA[Student Number],YES_Writing_FLA[Student Number]),0),MATCH(VLOOKUP(E$7,'Writing Logic'!$J$7:$K$11,2,FALSE)&amp;" - Per "&amp;VLOOKUP($C$4,'Writing Logic'!$G$8:$H$14,2,FALSE),YES_Writing_ELA[#Headers],0))=0,"",INDEX(_xlfn.VSTACK(YES_Writing_ELA[#Data],YES_Writing_FLA[#Data]),MATCH($A253,_xlfn.VSTACK(YES_Writing_ELA[Student Number],YES_Writing_FLA[Student Number]),0),MATCH(VLOOKUP(E$7,'Writing Logic'!$J$7:$K$11,2,FALSE)&amp;" - Per "&amp;VLOOKUP($C$4,'Writing Logic'!$G$8:$H$14,2,FALSE),YES_Writing_ELA[#Headers],0)))="INS",'Writing Logic'!$B$7,IF(INDEX(_xlfn.VSTACK(YES_Writing_ELA[#Data],YES_Writing_FLA[#Data]),MATCH($A253,_xlfn.VSTACK(YES_Writing_ELA[Student Number],YES_Writing_FLA[Student Number]),0),MATCH(VLOOKUP(E$7,'Writing Logic'!$J$7:$K$11,2,FALSE)&amp;" - Per "&amp;VLOOKUP($C$4,'Writing Logic'!$G$8:$H$14,2,FALSE),YES_Writing_ELA[#Headers],0))=0,"",INDEX(_xlfn.VSTACK(YES_Writing_ELA[#Data],YES_Writing_FLA[#Data]),MATCH($A253,_xlfn.VSTACK(YES_Writing_ELA[Student Number],YES_Writing_FLA[Student Number]),0),MATCH(VLOOKUP(E$7,'Writing Logic'!$J$7:$K$11,2,FALSE)&amp;" - Per "&amp;VLOOKUP($C$4,'Writing Logic'!$G$8:$H$14,2,FALSE),YES_Writing_ELA[#Headers],0)))),"")</f>
        <v/>
      </c>
      <c r="F253" s="138" t="str">
        <f>IFERROR(IF(IF(INDEX(_xlfn.VSTACK(YES_Writing_ELA[#Data],YES_Writing_FLA[#Data]),MATCH($A253,_xlfn.VSTACK(YES_Writing_ELA[Student Number],YES_Writing_FLA[Student Number]),0),MATCH(VLOOKUP(F$7,'Writing Logic'!$J$7:$K$11,2,FALSE)&amp;" - Per "&amp;VLOOKUP($C$4,'Writing Logic'!$G$8:$H$14,2,FALSE),YES_Writing_ELA[#Headers],0))=0,"",INDEX(_xlfn.VSTACK(YES_Writing_ELA[#Data],YES_Writing_FLA[#Data]),MATCH($A253,_xlfn.VSTACK(YES_Writing_ELA[Student Number],YES_Writing_FLA[Student Number]),0),MATCH(VLOOKUP(F$7,'Writing Logic'!$J$7:$K$11,2,FALSE)&amp;" - Per "&amp;VLOOKUP($C$4,'Writing Logic'!$G$8:$H$14,2,FALSE),YES_Writing_ELA[#Headers],0)))="INS",'Writing Logic'!$B$7,IF(INDEX(_xlfn.VSTACK(YES_Writing_ELA[#Data],YES_Writing_FLA[#Data]),MATCH($A253,_xlfn.VSTACK(YES_Writing_ELA[Student Number],YES_Writing_FLA[Student Number]),0),MATCH(VLOOKUP(F$7,'Writing Logic'!$J$7:$K$11,2,FALSE)&amp;" - Per "&amp;VLOOKUP($C$4,'Writing Logic'!$G$8:$H$14,2,FALSE),YES_Writing_ELA[#Headers],0))=0,"",INDEX(_xlfn.VSTACK(YES_Writing_ELA[#Data],YES_Writing_FLA[#Data]),MATCH($A253,_xlfn.VSTACK(YES_Writing_ELA[Student Number],YES_Writing_FLA[Student Number]),0),MATCH(VLOOKUP(F$7,'Writing Logic'!$J$7:$K$11,2,FALSE)&amp;" - Per "&amp;VLOOKUP($C$4,'Writing Logic'!$G$8:$H$14,2,FALSE),YES_Writing_ELA[#Headers],0)))),"")</f>
        <v/>
      </c>
      <c r="G253" s="138" t="str">
        <f>IFERROR(IF(IF(INDEX(_xlfn.VSTACK(YES_Writing_ELA[#Data],YES_Writing_FLA[#Data]),MATCH($A253,_xlfn.VSTACK(YES_Writing_ELA[Student Number],YES_Writing_FLA[Student Number]),0),MATCH(VLOOKUP(G$7,'Writing Logic'!$J$7:$K$11,2,FALSE)&amp;" - Per "&amp;VLOOKUP($C$4,'Writing Logic'!$G$8:$H$14,2,FALSE),YES_Writing_ELA[#Headers],0))=0,"",INDEX(_xlfn.VSTACK(YES_Writing_ELA[#Data],YES_Writing_FLA[#Data]),MATCH($A253,_xlfn.VSTACK(YES_Writing_ELA[Student Number],YES_Writing_FLA[Student Number]),0),MATCH(VLOOKUP(G$7,'Writing Logic'!$J$7:$K$11,2,FALSE)&amp;" - Per "&amp;VLOOKUP($C$4,'Writing Logic'!$G$8:$H$14,2,FALSE),YES_Writing_ELA[#Headers],0)))="INS",'Writing Logic'!$B$7,IF(INDEX(_xlfn.VSTACK(YES_Writing_ELA[#Data],YES_Writing_FLA[#Data]),MATCH($A253,_xlfn.VSTACK(YES_Writing_ELA[Student Number],YES_Writing_FLA[Student Number]),0),MATCH(VLOOKUP(G$7,'Writing Logic'!$J$7:$K$11,2,FALSE)&amp;" - Per "&amp;VLOOKUP($C$4,'Writing Logic'!$G$8:$H$14,2,FALSE),YES_Writing_ELA[#Headers],0))=0,"",INDEX(_xlfn.VSTACK(YES_Writing_ELA[#Data],YES_Writing_FLA[#Data]),MATCH($A253,_xlfn.VSTACK(YES_Writing_ELA[Student Number],YES_Writing_FLA[Student Number]),0),MATCH(VLOOKUP(G$7,'Writing Logic'!$J$7:$K$11,2,FALSE)&amp;" - Per "&amp;VLOOKUP($C$4,'Writing Logic'!$G$8:$H$14,2,FALSE),YES_Writing_ELA[#Headers],0)))),"")</f>
        <v/>
      </c>
      <c r="H253" s="138" t="str">
        <f>IFERROR(IF(IF(INDEX(_xlfn.VSTACK(YES_Writing_ELA[#Data],YES_Writing_FLA[#Data]),MATCH($A253,_xlfn.VSTACK(YES_Writing_ELA[Student Number],YES_Writing_FLA[Student Number]),0),MATCH(VLOOKUP(H$7,'Writing Logic'!$J$7:$K$11,2,FALSE)&amp;" - Per "&amp;VLOOKUP($C$4,'Writing Logic'!$G$8:$H$14,2,FALSE),YES_Writing_ELA[#Headers],0))=0,"",INDEX(_xlfn.VSTACK(YES_Writing_ELA[#Data],YES_Writing_FLA[#Data]),MATCH($A253,_xlfn.VSTACK(YES_Writing_ELA[Student Number],YES_Writing_FLA[Student Number]),0),MATCH(VLOOKUP(H$7,'Writing Logic'!$J$7:$K$11,2,FALSE)&amp;" - Per "&amp;VLOOKUP($C$4,'Writing Logic'!$G$8:$H$14,2,FALSE),YES_Writing_ELA[#Headers],0)))="INS",'Writing Logic'!$B$7,IF(INDEX(_xlfn.VSTACK(YES_Writing_ELA[#Data],YES_Writing_FLA[#Data]),MATCH($A253,_xlfn.VSTACK(YES_Writing_ELA[Student Number],YES_Writing_FLA[Student Number]),0),MATCH(VLOOKUP(H$7,'Writing Logic'!$J$7:$K$11,2,FALSE)&amp;" - Per "&amp;VLOOKUP($C$4,'Writing Logic'!$G$8:$H$14,2,FALSE),YES_Writing_ELA[#Headers],0))=0,"",INDEX(_xlfn.VSTACK(YES_Writing_ELA[#Data],YES_Writing_FLA[#Data]),MATCH($A253,_xlfn.VSTACK(YES_Writing_ELA[Student Number],YES_Writing_FLA[Student Number]),0),MATCH(VLOOKUP(H$7,'Writing Logic'!$J$7:$K$11,2,FALSE)&amp;" - Per "&amp;VLOOKUP($C$4,'Writing Logic'!$G$8:$H$14,2,FALSE),YES_Writing_ELA[#Headers],0)))),"")</f>
        <v/>
      </c>
    </row>
    <row r="254" spans="1:8" x14ac:dyDescent="0.25">
      <c r="A254" s="137"/>
      <c r="B254" s="137" t="str">
        <f>IFERROR(INDEX(_xlfn.VSTACK(YES_Writing_ELA[#Data], YES_Writing_FLA[#Data]),MATCH($A254,_xlfn.VSTACK(YES_Writing_ELA[Student Number], YES_Writing_FLA[Student Number]),0),MATCH(B$7,YES_Writing_ELA[#Headers],0)),"")</f>
        <v/>
      </c>
      <c r="C254" s="137" t="str">
        <f>IFERROR(INDEX(_xlfn.VSTACK(YES_Writing_ELA[#Data], YES_Writing_FLA[#Data]),MATCH($A254,_xlfn.VSTACK(YES_Writing_ELA[Student Number], YES_Writing_FLA[Student Number]),0),MATCH(C$7,YES_Writing_ELA[#Headers],0)),"")</f>
        <v/>
      </c>
      <c r="D254" s="138" t="str">
        <f>IFERROR(IF(IF(INDEX(_xlfn.VSTACK(YES_Writing_ELA[#Data],YES_Writing_FLA[#Data]),MATCH($A254,_xlfn.VSTACK(YES_Writing_ELA[Student Number],YES_Writing_FLA[Student Number]),0),MATCH(VLOOKUP(D$7,'Writing Logic'!$J$7:$K$11,2,FALSE)&amp;" - Per "&amp;VLOOKUP($C$4,'Writing Logic'!$G$8:$H$14,2,FALSE),YES_Writing_ELA[#Headers],0))=0,"",INDEX(_xlfn.VSTACK(YES_Writing_ELA[#Data],YES_Writing_FLA[#Data]),MATCH($A254,_xlfn.VSTACK(YES_Writing_ELA[Student Number],YES_Writing_FLA[Student Number]),0),MATCH(VLOOKUP(D$7,'Writing Logic'!$J$7:$K$11,2,FALSE)&amp;" - Per "&amp;VLOOKUP($C$4,'Writing Logic'!$G$8:$H$14,2,FALSE),YES_Writing_ELA[#Headers],0)))="INS",'Writing Logic'!$B$7,IF(INDEX(_xlfn.VSTACK(YES_Writing_ELA[#Data],YES_Writing_FLA[#Data]),MATCH($A254,_xlfn.VSTACK(YES_Writing_ELA[Student Number],YES_Writing_FLA[Student Number]),0),MATCH(VLOOKUP(D$7,'Writing Logic'!$J$7:$K$11,2,FALSE)&amp;" - Per "&amp;VLOOKUP($C$4,'Writing Logic'!$G$8:$H$14,2,FALSE),YES_Writing_ELA[#Headers],0))=0,"",INDEX(_xlfn.VSTACK(YES_Writing_ELA[#Data],YES_Writing_FLA[#Data]),MATCH($A254,_xlfn.VSTACK(YES_Writing_ELA[Student Number],YES_Writing_FLA[Student Number]),0),MATCH(VLOOKUP(D$7,'Writing Logic'!$J$7:$K$11,2,FALSE)&amp;" - Per "&amp;VLOOKUP($C$4,'Writing Logic'!$G$8:$H$14,2,FALSE),YES_Writing_ELA[#Headers],0)))),"")</f>
        <v/>
      </c>
      <c r="E254" s="138" t="str">
        <f>IFERROR(IF(IF(INDEX(_xlfn.VSTACK(YES_Writing_ELA[#Data],YES_Writing_FLA[#Data]),MATCH($A254,_xlfn.VSTACK(YES_Writing_ELA[Student Number],YES_Writing_FLA[Student Number]),0),MATCH(VLOOKUP(E$7,'Writing Logic'!$J$7:$K$11,2,FALSE)&amp;" - Per "&amp;VLOOKUP($C$4,'Writing Logic'!$G$8:$H$14,2,FALSE),YES_Writing_ELA[#Headers],0))=0,"",INDEX(_xlfn.VSTACK(YES_Writing_ELA[#Data],YES_Writing_FLA[#Data]),MATCH($A254,_xlfn.VSTACK(YES_Writing_ELA[Student Number],YES_Writing_FLA[Student Number]),0),MATCH(VLOOKUP(E$7,'Writing Logic'!$J$7:$K$11,2,FALSE)&amp;" - Per "&amp;VLOOKUP($C$4,'Writing Logic'!$G$8:$H$14,2,FALSE),YES_Writing_ELA[#Headers],0)))="INS",'Writing Logic'!$B$7,IF(INDEX(_xlfn.VSTACK(YES_Writing_ELA[#Data],YES_Writing_FLA[#Data]),MATCH($A254,_xlfn.VSTACK(YES_Writing_ELA[Student Number],YES_Writing_FLA[Student Number]),0),MATCH(VLOOKUP(E$7,'Writing Logic'!$J$7:$K$11,2,FALSE)&amp;" - Per "&amp;VLOOKUP($C$4,'Writing Logic'!$G$8:$H$14,2,FALSE),YES_Writing_ELA[#Headers],0))=0,"",INDEX(_xlfn.VSTACK(YES_Writing_ELA[#Data],YES_Writing_FLA[#Data]),MATCH($A254,_xlfn.VSTACK(YES_Writing_ELA[Student Number],YES_Writing_FLA[Student Number]),0),MATCH(VLOOKUP(E$7,'Writing Logic'!$J$7:$K$11,2,FALSE)&amp;" - Per "&amp;VLOOKUP($C$4,'Writing Logic'!$G$8:$H$14,2,FALSE),YES_Writing_ELA[#Headers],0)))),"")</f>
        <v/>
      </c>
      <c r="F254" s="138" t="str">
        <f>IFERROR(IF(IF(INDEX(_xlfn.VSTACK(YES_Writing_ELA[#Data],YES_Writing_FLA[#Data]),MATCH($A254,_xlfn.VSTACK(YES_Writing_ELA[Student Number],YES_Writing_FLA[Student Number]),0),MATCH(VLOOKUP(F$7,'Writing Logic'!$J$7:$K$11,2,FALSE)&amp;" - Per "&amp;VLOOKUP($C$4,'Writing Logic'!$G$8:$H$14,2,FALSE),YES_Writing_ELA[#Headers],0))=0,"",INDEX(_xlfn.VSTACK(YES_Writing_ELA[#Data],YES_Writing_FLA[#Data]),MATCH($A254,_xlfn.VSTACK(YES_Writing_ELA[Student Number],YES_Writing_FLA[Student Number]),0),MATCH(VLOOKUP(F$7,'Writing Logic'!$J$7:$K$11,2,FALSE)&amp;" - Per "&amp;VLOOKUP($C$4,'Writing Logic'!$G$8:$H$14,2,FALSE),YES_Writing_ELA[#Headers],0)))="INS",'Writing Logic'!$B$7,IF(INDEX(_xlfn.VSTACK(YES_Writing_ELA[#Data],YES_Writing_FLA[#Data]),MATCH($A254,_xlfn.VSTACK(YES_Writing_ELA[Student Number],YES_Writing_FLA[Student Number]),0),MATCH(VLOOKUP(F$7,'Writing Logic'!$J$7:$K$11,2,FALSE)&amp;" - Per "&amp;VLOOKUP($C$4,'Writing Logic'!$G$8:$H$14,2,FALSE),YES_Writing_ELA[#Headers],0))=0,"",INDEX(_xlfn.VSTACK(YES_Writing_ELA[#Data],YES_Writing_FLA[#Data]),MATCH($A254,_xlfn.VSTACK(YES_Writing_ELA[Student Number],YES_Writing_FLA[Student Number]),0),MATCH(VLOOKUP(F$7,'Writing Logic'!$J$7:$K$11,2,FALSE)&amp;" - Per "&amp;VLOOKUP($C$4,'Writing Logic'!$G$8:$H$14,2,FALSE),YES_Writing_ELA[#Headers],0)))),"")</f>
        <v/>
      </c>
      <c r="G254" s="138" t="str">
        <f>IFERROR(IF(IF(INDEX(_xlfn.VSTACK(YES_Writing_ELA[#Data],YES_Writing_FLA[#Data]),MATCH($A254,_xlfn.VSTACK(YES_Writing_ELA[Student Number],YES_Writing_FLA[Student Number]),0),MATCH(VLOOKUP(G$7,'Writing Logic'!$J$7:$K$11,2,FALSE)&amp;" - Per "&amp;VLOOKUP($C$4,'Writing Logic'!$G$8:$H$14,2,FALSE),YES_Writing_ELA[#Headers],0))=0,"",INDEX(_xlfn.VSTACK(YES_Writing_ELA[#Data],YES_Writing_FLA[#Data]),MATCH($A254,_xlfn.VSTACK(YES_Writing_ELA[Student Number],YES_Writing_FLA[Student Number]),0),MATCH(VLOOKUP(G$7,'Writing Logic'!$J$7:$K$11,2,FALSE)&amp;" - Per "&amp;VLOOKUP($C$4,'Writing Logic'!$G$8:$H$14,2,FALSE),YES_Writing_ELA[#Headers],0)))="INS",'Writing Logic'!$B$7,IF(INDEX(_xlfn.VSTACK(YES_Writing_ELA[#Data],YES_Writing_FLA[#Data]),MATCH($A254,_xlfn.VSTACK(YES_Writing_ELA[Student Number],YES_Writing_FLA[Student Number]),0),MATCH(VLOOKUP(G$7,'Writing Logic'!$J$7:$K$11,2,FALSE)&amp;" - Per "&amp;VLOOKUP($C$4,'Writing Logic'!$G$8:$H$14,2,FALSE),YES_Writing_ELA[#Headers],0))=0,"",INDEX(_xlfn.VSTACK(YES_Writing_ELA[#Data],YES_Writing_FLA[#Data]),MATCH($A254,_xlfn.VSTACK(YES_Writing_ELA[Student Number],YES_Writing_FLA[Student Number]),0),MATCH(VLOOKUP(G$7,'Writing Logic'!$J$7:$K$11,2,FALSE)&amp;" - Per "&amp;VLOOKUP($C$4,'Writing Logic'!$G$8:$H$14,2,FALSE),YES_Writing_ELA[#Headers],0)))),"")</f>
        <v/>
      </c>
      <c r="H254" s="138" t="str">
        <f>IFERROR(IF(IF(INDEX(_xlfn.VSTACK(YES_Writing_ELA[#Data],YES_Writing_FLA[#Data]),MATCH($A254,_xlfn.VSTACK(YES_Writing_ELA[Student Number],YES_Writing_FLA[Student Number]),0),MATCH(VLOOKUP(H$7,'Writing Logic'!$J$7:$K$11,2,FALSE)&amp;" - Per "&amp;VLOOKUP($C$4,'Writing Logic'!$G$8:$H$14,2,FALSE),YES_Writing_ELA[#Headers],0))=0,"",INDEX(_xlfn.VSTACK(YES_Writing_ELA[#Data],YES_Writing_FLA[#Data]),MATCH($A254,_xlfn.VSTACK(YES_Writing_ELA[Student Number],YES_Writing_FLA[Student Number]),0),MATCH(VLOOKUP(H$7,'Writing Logic'!$J$7:$K$11,2,FALSE)&amp;" - Per "&amp;VLOOKUP($C$4,'Writing Logic'!$G$8:$H$14,2,FALSE),YES_Writing_ELA[#Headers],0)))="INS",'Writing Logic'!$B$7,IF(INDEX(_xlfn.VSTACK(YES_Writing_ELA[#Data],YES_Writing_FLA[#Data]),MATCH($A254,_xlfn.VSTACK(YES_Writing_ELA[Student Number],YES_Writing_FLA[Student Number]),0),MATCH(VLOOKUP(H$7,'Writing Logic'!$J$7:$K$11,2,FALSE)&amp;" - Per "&amp;VLOOKUP($C$4,'Writing Logic'!$G$8:$H$14,2,FALSE),YES_Writing_ELA[#Headers],0))=0,"",INDEX(_xlfn.VSTACK(YES_Writing_ELA[#Data],YES_Writing_FLA[#Data]),MATCH($A254,_xlfn.VSTACK(YES_Writing_ELA[Student Number],YES_Writing_FLA[Student Number]),0),MATCH(VLOOKUP(H$7,'Writing Logic'!$J$7:$K$11,2,FALSE)&amp;" - Per "&amp;VLOOKUP($C$4,'Writing Logic'!$G$8:$H$14,2,FALSE),YES_Writing_ELA[#Headers],0)))),"")</f>
        <v/>
      </c>
    </row>
    <row r="255" spans="1:8" x14ac:dyDescent="0.25">
      <c r="A255" s="137"/>
      <c r="B255" s="137" t="str">
        <f>IFERROR(INDEX(_xlfn.VSTACK(YES_Writing_ELA[#Data], YES_Writing_FLA[#Data]),MATCH($A255,_xlfn.VSTACK(YES_Writing_ELA[Student Number], YES_Writing_FLA[Student Number]),0),MATCH(B$7,YES_Writing_ELA[#Headers],0)),"")</f>
        <v/>
      </c>
      <c r="C255" s="137" t="str">
        <f>IFERROR(INDEX(_xlfn.VSTACK(YES_Writing_ELA[#Data], YES_Writing_FLA[#Data]),MATCH($A255,_xlfn.VSTACK(YES_Writing_ELA[Student Number], YES_Writing_FLA[Student Number]),0),MATCH(C$7,YES_Writing_ELA[#Headers],0)),"")</f>
        <v/>
      </c>
      <c r="D255" s="138" t="str">
        <f>IFERROR(IF(IF(INDEX(_xlfn.VSTACK(YES_Writing_ELA[#Data],YES_Writing_FLA[#Data]),MATCH($A255,_xlfn.VSTACK(YES_Writing_ELA[Student Number],YES_Writing_FLA[Student Number]),0),MATCH(VLOOKUP(D$7,'Writing Logic'!$J$7:$K$11,2,FALSE)&amp;" - Per "&amp;VLOOKUP($C$4,'Writing Logic'!$G$8:$H$14,2,FALSE),YES_Writing_ELA[#Headers],0))=0,"",INDEX(_xlfn.VSTACK(YES_Writing_ELA[#Data],YES_Writing_FLA[#Data]),MATCH($A255,_xlfn.VSTACK(YES_Writing_ELA[Student Number],YES_Writing_FLA[Student Number]),0),MATCH(VLOOKUP(D$7,'Writing Logic'!$J$7:$K$11,2,FALSE)&amp;" - Per "&amp;VLOOKUP($C$4,'Writing Logic'!$G$8:$H$14,2,FALSE),YES_Writing_ELA[#Headers],0)))="INS",'Writing Logic'!$B$7,IF(INDEX(_xlfn.VSTACK(YES_Writing_ELA[#Data],YES_Writing_FLA[#Data]),MATCH($A255,_xlfn.VSTACK(YES_Writing_ELA[Student Number],YES_Writing_FLA[Student Number]),0),MATCH(VLOOKUP(D$7,'Writing Logic'!$J$7:$K$11,2,FALSE)&amp;" - Per "&amp;VLOOKUP($C$4,'Writing Logic'!$G$8:$H$14,2,FALSE),YES_Writing_ELA[#Headers],0))=0,"",INDEX(_xlfn.VSTACK(YES_Writing_ELA[#Data],YES_Writing_FLA[#Data]),MATCH($A255,_xlfn.VSTACK(YES_Writing_ELA[Student Number],YES_Writing_FLA[Student Number]),0),MATCH(VLOOKUP(D$7,'Writing Logic'!$J$7:$K$11,2,FALSE)&amp;" - Per "&amp;VLOOKUP($C$4,'Writing Logic'!$G$8:$H$14,2,FALSE),YES_Writing_ELA[#Headers],0)))),"")</f>
        <v/>
      </c>
      <c r="E255" s="138" t="str">
        <f>IFERROR(IF(IF(INDEX(_xlfn.VSTACK(YES_Writing_ELA[#Data],YES_Writing_FLA[#Data]),MATCH($A255,_xlfn.VSTACK(YES_Writing_ELA[Student Number],YES_Writing_FLA[Student Number]),0),MATCH(VLOOKUP(E$7,'Writing Logic'!$J$7:$K$11,2,FALSE)&amp;" - Per "&amp;VLOOKUP($C$4,'Writing Logic'!$G$8:$H$14,2,FALSE),YES_Writing_ELA[#Headers],0))=0,"",INDEX(_xlfn.VSTACK(YES_Writing_ELA[#Data],YES_Writing_FLA[#Data]),MATCH($A255,_xlfn.VSTACK(YES_Writing_ELA[Student Number],YES_Writing_FLA[Student Number]),0),MATCH(VLOOKUP(E$7,'Writing Logic'!$J$7:$K$11,2,FALSE)&amp;" - Per "&amp;VLOOKUP($C$4,'Writing Logic'!$G$8:$H$14,2,FALSE),YES_Writing_ELA[#Headers],0)))="INS",'Writing Logic'!$B$7,IF(INDEX(_xlfn.VSTACK(YES_Writing_ELA[#Data],YES_Writing_FLA[#Data]),MATCH($A255,_xlfn.VSTACK(YES_Writing_ELA[Student Number],YES_Writing_FLA[Student Number]),0),MATCH(VLOOKUP(E$7,'Writing Logic'!$J$7:$K$11,2,FALSE)&amp;" - Per "&amp;VLOOKUP($C$4,'Writing Logic'!$G$8:$H$14,2,FALSE),YES_Writing_ELA[#Headers],0))=0,"",INDEX(_xlfn.VSTACK(YES_Writing_ELA[#Data],YES_Writing_FLA[#Data]),MATCH($A255,_xlfn.VSTACK(YES_Writing_ELA[Student Number],YES_Writing_FLA[Student Number]),0),MATCH(VLOOKUP(E$7,'Writing Logic'!$J$7:$K$11,2,FALSE)&amp;" - Per "&amp;VLOOKUP($C$4,'Writing Logic'!$G$8:$H$14,2,FALSE),YES_Writing_ELA[#Headers],0)))),"")</f>
        <v/>
      </c>
      <c r="F255" s="138" t="str">
        <f>IFERROR(IF(IF(INDEX(_xlfn.VSTACK(YES_Writing_ELA[#Data],YES_Writing_FLA[#Data]),MATCH($A255,_xlfn.VSTACK(YES_Writing_ELA[Student Number],YES_Writing_FLA[Student Number]),0),MATCH(VLOOKUP(F$7,'Writing Logic'!$J$7:$K$11,2,FALSE)&amp;" - Per "&amp;VLOOKUP($C$4,'Writing Logic'!$G$8:$H$14,2,FALSE),YES_Writing_ELA[#Headers],0))=0,"",INDEX(_xlfn.VSTACK(YES_Writing_ELA[#Data],YES_Writing_FLA[#Data]),MATCH($A255,_xlfn.VSTACK(YES_Writing_ELA[Student Number],YES_Writing_FLA[Student Number]),0),MATCH(VLOOKUP(F$7,'Writing Logic'!$J$7:$K$11,2,FALSE)&amp;" - Per "&amp;VLOOKUP($C$4,'Writing Logic'!$G$8:$H$14,2,FALSE),YES_Writing_ELA[#Headers],0)))="INS",'Writing Logic'!$B$7,IF(INDEX(_xlfn.VSTACK(YES_Writing_ELA[#Data],YES_Writing_FLA[#Data]),MATCH($A255,_xlfn.VSTACK(YES_Writing_ELA[Student Number],YES_Writing_FLA[Student Number]),0),MATCH(VLOOKUP(F$7,'Writing Logic'!$J$7:$K$11,2,FALSE)&amp;" - Per "&amp;VLOOKUP($C$4,'Writing Logic'!$G$8:$H$14,2,FALSE),YES_Writing_ELA[#Headers],0))=0,"",INDEX(_xlfn.VSTACK(YES_Writing_ELA[#Data],YES_Writing_FLA[#Data]),MATCH($A255,_xlfn.VSTACK(YES_Writing_ELA[Student Number],YES_Writing_FLA[Student Number]),0),MATCH(VLOOKUP(F$7,'Writing Logic'!$J$7:$K$11,2,FALSE)&amp;" - Per "&amp;VLOOKUP($C$4,'Writing Logic'!$G$8:$H$14,2,FALSE),YES_Writing_ELA[#Headers],0)))),"")</f>
        <v/>
      </c>
      <c r="G255" s="138" t="str">
        <f>IFERROR(IF(IF(INDEX(_xlfn.VSTACK(YES_Writing_ELA[#Data],YES_Writing_FLA[#Data]),MATCH($A255,_xlfn.VSTACK(YES_Writing_ELA[Student Number],YES_Writing_FLA[Student Number]),0),MATCH(VLOOKUP(G$7,'Writing Logic'!$J$7:$K$11,2,FALSE)&amp;" - Per "&amp;VLOOKUP($C$4,'Writing Logic'!$G$8:$H$14,2,FALSE),YES_Writing_ELA[#Headers],0))=0,"",INDEX(_xlfn.VSTACK(YES_Writing_ELA[#Data],YES_Writing_FLA[#Data]),MATCH($A255,_xlfn.VSTACK(YES_Writing_ELA[Student Number],YES_Writing_FLA[Student Number]),0),MATCH(VLOOKUP(G$7,'Writing Logic'!$J$7:$K$11,2,FALSE)&amp;" - Per "&amp;VLOOKUP($C$4,'Writing Logic'!$G$8:$H$14,2,FALSE),YES_Writing_ELA[#Headers],0)))="INS",'Writing Logic'!$B$7,IF(INDEX(_xlfn.VSTACK(YES_Writing_ELA[#Data],YES_Writing_FLA[#Data]),MATCH($A255,_xlfn.VSTACK(YES_Writing_ELA[Student Number],YES_Writing_FLA[Student Number]),0),MATCH(VLOOKUP(G$7,'Writing Logic'!$J$7:$K$11,2,FALSE)&amp;" - Per "&amp;VLOOKUP($C$4,'Writing Logic'!$G$8:$H$14,2,FALSE),YES_Writing_ELA[#Headers],0))=0,"",INDEX(_xlfn.VSTACK(YES_Writing_ELA[#Data],YES_Writing_FLA[#Data]),MATCH($A255,_xlfn.VSTACK(YES_Writing_ELA[Student Number],YES_Writing_FLA[Student Number]),0),MATCH(VLOOKUP(G$7,'Writing Logic'!$J$7:$K$11,2,FALSE)&amp;" - Per "&amp;VLOOKUP($C$4,'Writing Logic'!$G$8:$H$14,2,FALSE),YES_Writing_ELA[#Headers],0)))),"")</f>
        <v/>
      </c>
      <c r="H255" s="138" t="str">
        <f>IFERROR(IF(IF(INDEX(_xlfn.VSTACK(YES_Writing_ELA[#Data],YES_Writing_FLA[#Data]),MATCH($A255,_xlfn.VSTACK(YES_Writing_ELA[Student Number],YES_Writing_FLA[Student Number]),0),MATCH(VLOOKUP(H$7,'Writing Logic'!$J$7:$K$11,2,FALSE)&amp;" - Per "&amp;VLOOKUP($C$4,'Writing Logic'!$G$8:$H$14,2,FALSE),YES_Writing_ELA[#Headers],0))=0,"",INDEX(_xlfn.VSTACK(YES_Writing_ELA[#Data],YES_Writing_FLA[#Data]),MATCH($A255,_xlfn.VSTACK(YES_Writing_ELA[Student Number],YES_Writing_FLA[Student Number]),0),MATCH(VLOOKUP(H$7,'Writing Logic'!$J$7:$K$11,2,FALSE)&amp;" - Per "&amp;VLOOKUP($C$4,'Writing Logic'!$G$8:$H$14,2,FALSE),YES_Writing_ELA[#Headers],0)))="INS",'Writing Logic'!$B$7,IF(INDEX(_xlfn.VSTACK(YES_Writing_ELA[#Data],YES_Writing_FLA[#Data]),MATCH($A255,_xlfn.VSTACK(YES_Writing_ELA[Student Number],YES_Writing_FLA[Student Number]),0),MATCH(VLOOKUP(H$7,'Writing Logic'!$J$7:$K$11,2,FALSE)&amp;" - Per "&amp;VLOOKUP($C$4,'Writing Logic'!$G$8:$H$14,2,FALSE),YES_Writing_ELA[#Headers],0))=0,"",INDEX(_xlfn.VSTACK(YES_Writing_ELA[#Data],YES_Writing_FLA[#Data]),MATCH($A255,_xlfn.VSTACK(YES_Writing_ELA[Student Number],YES_Writing_FLA[Student Number]),0),MATCH(VLOOKUP(H$7,'Writing Logic'!$J$7:$K$11,2,FALSE)&amp;" - Per "&amp;VLOOKUP($C$4,'Writing Logic'!$G$8:$H$14,2,FALSE),YES_Writing_ELA[#Headers],0)))),"")</f>
        <v/>
      </c>
    </row>
    <row r="256" spans="1:8" x14ac:dyDescent="0.25">
      <c r="A256" s="137"/>
      <c r="B256" s="137" t="str">
        <f>IFERROR(INDEX(_xlfn.VSTACK(YES_Writing_ELA[#Data], YES_Writing_FLA[#Data]),MATCH($A256,_xlfn.VSTACK(YES_Writing_ELA[Student Number], YES_Writing_FLA[Student Number]),0),MATCH(B$7,YES_Writing_ELA[#Headers],0)),"")</f>
        <v/>
      </c>
      <c r="C256" s="137" t="str">
        <f>IFERROR(INDEX(_xlfn.VSTACK(YES_Writing_ELA[#Data], YES_Writing_FLA[#Data]),MATCH($A256,_xlfn.VSTACK(YES_Writing_ELA[Student Number], YES_Writing_FLA[Student Number]),0),MATCH(C$7,YES_Writing_ELA[#Headers],0)),"")</f>
        <v/>
      </c>
      <c r="D256" s="138" t="str">
        <f>IFERROR(IF(IF(INDEX(_xlfn.VSTACK(YES_Writing_ELA[#Data],YES_Writing_FLA[#Data]),MATCH($A256,_xlfn.VSTACK(YES_Writing_ELA[Student Number],YES_Writing_FLA[Student Number]),0),MATCH(VLOOKUP(D$7,'Writing Logic'!$J$7:$K$11,2,FALSE)&amp;" - Per "&amp;VLOOKUP($C$4,'Writing Logic'!$G$8:$H$14,2,FALSE),YES_Writing_ELA[#Headers],0))=0,"",INDEX(_xlfn.VSTACK(YES_Writing_ELA[#Data],YES_Writing_FLA[#Data]),MATCH($A256,_xlfn.VSTACK(YES_Writing_ELA[Student Number],YES_Writing_FLA[Student Number]),0),MATCH(VLOOKUP(D$7,'Writing Logic'!$J$7:$K$11,2,FALSE)&amp;" - Per "&amp;VLOOKUP($C$4,'Writing Logic'!$G$8:$H$14,2,FALSE),YES_Writing_ELA[#Headers],0)))="INS",'Writing Logic'!$B$7,IF(INDEX(_xlfn.VSTACK(YES_Writing_ELA[#Data],YES_Writing_FLA[#Data]),MATCH($A256,_xlfn.VSTACK(YES_Writing_ELA[Student Number],YES_Writing_FLA[Student Number]),0),MATCH(VLOOKUP(D$7,'Writing Logic'!$J$7:$K$11,2,FALSE)&amp;" - Per "&amp;VLOOKUP($C$4,'Writing Logic'!$G$8:$H$14,2,FALSE),YES_Writing_ELA[#Headers],0))=0,"",INDEX(_xlfn.VSTACK(YES_Writing_ELA[#Data],YES_Writing_FLA[#Data]),MATCH($A256,_xlfn.VSTACK(YES_Writing_ELA[Student Number],YES_Writing_FLA[Student Number]),0),MATCH(VLOOKUP(D$7,'Writing Logic'!$J$7:$K$11,2,FALSE)&amp;" - Per "&amp;VLOOKUP($C$4,'Writing Logic'!$G$8:$H$14,2,FALSE),YES_Writing_ELA[#Headers],0)))),"")</f>
        <v/>
      </c>
      <c r="E256" s="138" t="str">
        <f>IFERROR(IF(IF(INDEX(_xlfn.VSTACK(YES_Writing_ELA[#Data],YES_Writing_FLA[#Data]),MATCH($A256,_xlfn.VSTACK(YES_Writing_ELA[Student Number],YES_Writing_FLA[Student Number]),0),MATCH(VLOOKUP(E$7,'Writing Logic'!$J$7:$K$11,2,FALSE)&amp;" - Per "&amp;VLOOKUP($C$4,'Writing Logic'!$G$8:$H$14,2,FALSE),YES_Writing_ELA[#Headers],0))=0,"",INDEX(_xlfn.VSTACK(YES_Writing_ELA[#Data],YES_Writing_FLA[#Data]),MATCH($A256,_xlfn.VSTACK(YES_Writing_ELA[Student Number],YES_Writing_FLA[Student Number]),0),MATCH(VLOOKUP(E$7,'Writing Logic'!$J$7:$K$11,2,FALSE)&amp;" - Per "&amp;VLOOKUP($C$4,'Writing Logic'!$G$8:$H$14,2,FALSE),YES_Writing_ELA[#Headers],0)))="INS",'Writing Logic'!$B$7,IF(INDEX(_xlfn.VSTACK(YES_Writing_ELA[#Data],YES_Writing_FLA[#Data]),MATCH($A256,_xlfn.VSTACK(YES_Writing_ELA[Student Number],YES_Writing_FLA[Student Number]),0),MATCH(VLOOKUP(E$7,'Writing Logic'!$J$7:$K$11,2,FALSE)&amp;" - Per "&amp;VLOOKUP($C$4,'Writing Logic'!$G$8:$H$14,2,FALSE),YES_Writing_ELA[#Headers],0))=0,"",INDEX(_xlfn.VSTACK(YES_Writing_ELA[#Data],YES_Writing_FLA[#Data]),MATCH($A256,_xlfn.VSTACK(YES_Writing_ELA[Student Number],YES_Writing_FLA[Student Number]),0),MATCH(VLOOKUP(E$7,'Writing Logic'!$J$7:$K$11,2,FALSE)&amp;" - Per "&amp;VLOOKUP($C$4,'Writing Logic'!$G$8:$H$14,2,FALSE),YES_Writing_ELA[#Headers],0)))),"")</f>
        <v/>
      </c>
      <c r="F256" s="138" t="str">
        <f>IFERROR(IF(IF(INDEX(_xlfn.VSTACK(YES_Writing_ELA[#Data],YES_Writing_FLA[#Data]),MATCH($A256,_xlfn.VSTACK(YES_Writing_ELA[Student Number],YES_Writing_FLA[Student Number]),0),MATCH(VLOOKUP(F$7,'Writing Logic'!$J$7:$K$11,2,FALSE)&amp;" - Per "&amp;VLOOKUP($C$4,'Writing Logic'!$G$8:$H$14,2,FALSE),YES_Writing_ELA[#Headers],0))=0,"",INDEX(_xlfn.VSTACK(YES_Writing_ELA[#Data],YES_Writing_FLA[#Data]),MATCH($A256,_xlfn.VSTACK(YES_Writing_ELA[Student Number],YES_Writing_FLA[Student Number]),0),MATCH(VLOOKUP(F$7,'Writing Logic'!$J$7:$K$11,2,FALSE)&amp;" - Per "&amp;VLOOKUP($C$4,'Writing Logic'!$G$8:$H$14,2,FALSE),YES_Writing_ELA[#Headers],0)))="INS",'Writing Logic'!$B$7,IF(INDEX(_xlfn.VSTACK(YES_Writing_ELA[#Data],YES_Writing_FLA[#Data]),MATCH($A256,_xlfn.VSTACK(YES_Writing_ELA[Student Number],YES_Writing_FLA[Student Number]),0),MATCH(VLOOKUP(F$7,'Writing Logic'!$J$7:$K$11,2,FALSE)&amp;" - Per "&amp;VLOOKUP($C$4,'Writing Logic'!$G$8:$H$14,2,FALSE),YES_Writing_ELA[#Headers],0))=0,"",INDEX(_xlfn.VSTACK(YES_Writing_ELA[#Data],YES_Writing_FLA[#Data]),MATCH($A256,_xlfn.VSTACK(YES_Writing_ELA[Student Number],YES_Writing_FLA[Student Number]),0),MATCH(VLOOKUP(F$7,'Writing Logic'!$J$7:$K$11,2,FALSE)&amp;" - Per "&amp;VLOOKUP($C$4,'Writing Logic'!$G$8:$H$14,2,FALSE),YES_Writing_ELA[#Headers],0)))),"")</f>
        <v/>
      </c>
      <c r="G256" s="138" t="str">
        <f>IFERROR(IF(IF(INDEX(_xlfn.VSTACK(YES_Writing_ELA[#Data],YES_Writing_FLA[#Data]),MATCH($A256,_xlfn.VSTACK(YES_Writing_ELA[Student Number],YES_Writing_FLA[Student Number]),0),MATCH(VLOOKUP(G$7,'Writing Logic'!$J$7:$K$11,2,FALSE)&amp;" - Per "&amp;VLOOKUP($C$4,'Writing Logic'!$G$8:$H$14,2,FALSE),YES_Writing_ELA[#Headers],0))=0,"",INDEX(_xlfn.VSTACK(YES_Writing_ELA[#Data],YES_Writing_FLA[#Data]),MATCH($A256,_xlfn.VSTACK(YES_Writing_ELA[Student Number],YES_Writing_FLA[Student Number]),0),MATCH(VLOOKUP(G$7,'Writing Logic'!$J$7:$K$11,2,FALSE)&amp;" - Per "&amp;VLOOKUP($C$4,'Writing Logic'!$G$8:$H$14,2,FALSE),YES_Writing_ELA[#Headers],0)))="INS",'Writing Logic'!$B$7,IF(INDEX(_xlfn.VSTACK(YES_Writing_ELA[#Data],YES_Writing_FLA[#Data]),MATCH($A256,_xlfn.VSTACK(YES_Writing_ELA[Student Number],YES_Writing_FLA[Student Number]),0),MATCH(VLOOKUP(G$7,'Writing Logic'!$J$7:$K$11,2,FALSE)&amp;" - Per "&amp;VLOOKUP($C$4,'Writing Logic'!$G$8:$H$14,2,FALSE),YES_Writing_ELA[#Headers],0))=0,"",INDEX(_xlfn.VSTACK(YES_Writing_ELA[#Data],YES_Writing_FLA[#Data]),MATCH($A256,_xlfn.VSTACK(YES_Writing_ELA[Student Number],YES_Writing_FLA[Student Number]),0),MATCH(VLOOKUP(G$7,'Writing Logic'!$J$7:$K$11,2,FALSE)&amp;" - Per "&amp;VLOOKUP($C$4,'Writing Logic'!$G$8:$H$14,2,FALSE),YES_Writing_ELA[#Headers],0)))),"")</f>
        <v/>
      </c>
      <c r="H256" s="138" t="str">
        <f>IFERROR(IF(IF(INDEX(_xlfn.VSTACK(YES_Writing_ELA[#Data],YES_Writing_FLA[#Data]),MATCH($A256,_xlfn.VSTACK(YES_Writing_ELA[Student Number],YES_Writing_FLA[Student Number]),0),MATCH(VLOOKUP(H$7,'Writing Logic'!$J$7:$K$11,2,FALSE)&amp;" - Per "&amp;VLOOKUP($C$4,'Writing Logic'!$G$8:$H$14,2,FALSE),YES_Writing_ELA[#Headers],0))=0,"",INDEX(_xlfn.VSTACK(YES_Writing_ELA[#Data],YES_Writing_FLA[#Data]),MATCH($A256,_xlfn.VSTACK(YES_Writing_ELA[Student Number],YES_Writing_FLA[Student Number]),0),MATCH(VLOOKUP(H$7,'Writing Logic'!$J$7:$K$11,2,FALSE)&amp;" - Per "&amp;VLOOKUP($C$4,'Writing Logic'!$G$8:$H$14,2,FALSE),YES_Writing_ELA[#Headers],0)))="INS",'Writing Logic'!$B$7,IF(INDEX(_xlfn.VSTACK(YES_Writing_ELA[#Data],YES_Writing_FLA[#Data]),MATCH($A256,_xlfn.VSTACK(YES_Writing_ELA[Student Number],YES_Writing_FLA[Student Number]),0),MATCH(VLOOKUP(H$7,'Writing Logic'!$J$7:$K$11,2,FALSE)&amp;" - Per "&amp;VLOOKUP($C$4,'Writing Logic'!$G$8:$H$14,2,FALSE),YES_Writing_ELA[#Headers],0))=0,"",INDEX(_xlfn.VSTACK(YES_Writing_ELA[#Data],YES_Writing_FLA[#Data]),MATCH($A256,_xlfn.VSTACK(YES_Writing_ELA[Student Number],YES_Writing_FLA[Student Number]),0),MATCH(VLOOKUP(H$7,'Writing Logic'!$J$7:$K$11,2,FALSE)&amp;" - Per "&amp;VLOOKUP($C$4,'Writing Logic'!$G$8:$H$14,2,FALSE),YES_Writing_ELA[#Headers],0)))),"")</f>
        <v/>
      </c>
    </row>
    <row r="257" spans="1:8" x14ac:dyDescent="0.25">
      <c r="A257" s="137"/>
      <c r="B257" s="137" t="str">
        <f>IFERROR(INDEX(_xlfn.VSTACK(YES_Writing_ELA[#Data], YES_Writing_FLA[#Data]),MATCH($A257,_xlfn.VSTACK(YES_Writing_ELA[Student Number], YES_Writing_FLA[Student Number]),0),MATCH(B$7,YES_Writing_ELA[#Headers],0)),"")</f>
        <v/>
      </c>
      <c r="C257" s="137" t="str">
        <f>IFERROR(INDEX(_xlfn.VSTACK(YES_Writing_ELA[#Data], YES_Writing_FLA[#Data]),MATCH($A257,_xlfn.VSTACK(YES_Writing_ELA[Student Number], YES_Writing_FLA[Student Number]),0),MATCH(C$7,YES_Writing_ELA[#Headers],0)),"")</f>
        <v/>
      </c>
      <c r="D257" s="138" t="str">
        <f>IFERROR(IF(IF(INDEX(_xlfn.VSTACK(YES_Writing_ELA[#Data],YES_Writing_FLA[#Data]),MATCH($A257,_xlfn.VSTACK(YES_Writing_ELA[Student Number],YES_Writing_FLA[Student Number]),0),MATCH(VLOOKUP(D$7,'Writing Logic'!$J$7:$K$11,2,FALSE)&amp;" - Per "&amp;VLOOKUP($C$4,'Writing Logic'!$G$8:$H$14,2,FALSE),YES_Writing_ELA[#Headers],0))=0,"",INDEX(_xlfn.VSTACK(YES_Writing_ELA[#Data],YES_Writing_FLA[#Data]),MATCH($A257,_xlfn.VSTACK(YES_Writing_ELA[Student Number],YES_Writing_FLA[Student Number]),0),MATCH(VLOOKUP(D$7,'Writing Logic'!$J$7:$K$11,2,FALSE)&amp;" - Per "&amp;VLOOKUP($C$4,'Writing Logic'!$G$8:$H$14,2,FALSE),YES_Writing_ELA[#Headers],0)))="INS",'Writing Logic'!$B$7,IF(INDEX(_xlfn.VSTACK(YES_Writing_ELA[#Data],YES_Writing_FLA[#Data]),MATCH($A257,_xlfn.VSTACK(YES_Writing_ELA[Student Number],YES_Writing_FLA[Student Number]),0),MATCH(VLOOKUP(D$7,'Writing Logic'!$J$7:$K$11,2,FALSE)&amp;" - Per "&amp;VLOOKUP($C$4,'Writing Logic'!$G$8:$H$14,2,FALSE),YES_Writing_ELA[#Headers],0))=0,"",INDEX(_xlfn.VSTACK(YES_Writing_ELA[#Data],YES_Writing_FLA[#Data]),MATCH($A257,_xlfn.VSTACK(YES_Writing_ELA[Student Number],YES_Writing_FLA[Student Number]),0),MATCH(VLOOKUP(D$7,'Writing Logic'!$J$7:$K$11,2,FALSE)&amp;" - Per "&amp;VLOOKUP($C$4,'Writing Logic'!$G$8:$H$14,2,FALSE),YES_Writing_ELA[#Headers],0)))),"")</f>
        <v/>
      </c>
      <c r="E257" s="138" t="str">
        <f>IFERROR(IF(IF(INDEX(_xlfn.VSTACK(YES_Writing_ELA[#Data],YES_Writing_FLA[#Data]),MATCH($A257,_xlfn.VSTACK(YES_Writing_ELA[Student Number],YES_Writing_FLA[Student Number]),0),MATCH(VLOOKUP(E$7,'Writing Logic'!$J$7:$K$11,2,FALSE)&amp;" - Per "&amp;VLOOKUP($C$4,'Writing Logic'!$G$8:$H$14,2,FALSE),YES_Writing_ELA[#Headers],0))=0,"",INDEX(_xlfn.VSTACK(YES_Writing_ELA[#Data],YES_Writing_FLA[#Data]),MATCH($A257,_xlfn.VSTACK(YES_Writing_ELA[Student Number],YES_Writing_FLA[Student Number]),0),MATCH(VLOOKUP(E$7,'Writing Logic'!$J$7:$K$11,2,FALSE)&amp;" - Per "&amp;VLOOKUP($C$4,'Writing Logic'!$G$8:$H$14,2,FALSE),YES_Writing_ELA[#Headers],0)))="INS",'Writing Logic'!$B$7,IF(INDEX(_xlfn.VSTACK(YES_Writing_ELA[#Data],YES_Writing_FLA[#Data]),MATCH($A257,_xlfn.VSTACK(YES_Writing_ELA[Student Number],YES_Writing_FLA[Student Number]),0),MATCH(VLOOKUP(E$7,'Writing Logic'!$J$7:$K$11,2,FALSE)&amp;" - Per "&amp;VLOOKUP($C$4,'Writing Logic'!$G$8:$H$14,2,FALSE),YES_Writing_ELA[#Headers],0))=0,"",INDEX(_xlfn.VSTACK(YES_Writing_ELA[#Data],YES_Writing_FLA[#Data]),MATCH($A257,_xlfn.VSTACK(YES_Writing_ELA[Student Number],YES_Writing_FLA[Student Number]),0),MATCH(VLOOKUP(E$7,'Writing Logic'!$J$7:$K$11,2,FALSE)&amp;" - Per "&amp;VLOOKUP($C$4,'Writing Logic'!$G$8:$H$14,2,FALSE),YES_Writing_ELA[#Headers],0)))),"")</f>
        <v/>
      </c>
      <c r="F257" s="138" t="str">
        <f>IFERROR(IF(IF(INDEX(_xlfn.VSTACK(YES_Writing_ELA[#Data],YES_Writing_FLA[#Data]),MATCH($A257,_xlfn.VSTACK(YES_Writing_ELA[Student Number],YES_Writing_FLA[Student Number]),0),MATCH(VLOOKUP(F$7,'Writing Logic'!$J$7:$K$11,2,FALSE)&amp;" - Per "&amp;VLOOKUP($C$4,'Writing Logic'!$G$8:$H$14,2,FALSE),YES_Writing_ELA[#Headers],0))=0,"",INDEX(_xlfn.VSTACK(YES_Writing_ELA[#Data],YES_Writing_FLA[#Data]),MATCH($A257,_xlfn.VSTACK(YES_Writing_ELA[Student Number],YES_Writing_FLA[Student Number]),0),MATCH(VLOOKUP(F$7,'Writing Logic'!$J$7:$K$11,2,FALSE)&amp;" - Per "&amp;VLOOKUP($C$4,'Writing Logic'!$G$8:$H$14,2,FALSE),YES_Writing_ELA[#Headers],0)))="INS",'Writing Logic'!$B$7,IF(INDEX(_xlfn.VSTACK(YES_Writing_ELA[#Data],YES_Writing_FLA[#Data]),MATCH($A257,_xlfn.VSTACK(YES_Writing_ELA[Student Number],YES_Writing_FLA[Student Number]),0),MATCH(VLOOKUP(F$7,'Writing Logic'!$J$7:$K$11,2,FALSE)&amp;" - Per "&amp;VLOOKUP($C$4,'Writing Logic'!$G$8:$H$14,2,FALSE),YES_Writing_ELA[#Headers],0))=0,"",INDEX(_xlfn.VSTACK(YES_Writing_ELA[#Data],YES_Writing_FLA[#Data]),MATCH($A257,_xlfn.VSTACK(YES_Writing_ELA[Student Number],YES_Writing_FLA[Student Number]),0),MATCH(VLOOKUP(F$7,'Writing Logic'!$J$7:$K$11,2,FALSE)&amp;" - Per "&amp;VLOOKUP($C$4,'Writing Logic'!$G$8:$H$14,2,FALSE),YES_Writing_ELA[#Headers],0)))),"")</f>
        <v/>
      </c>
      <c r="G257" s="138" t="str">
        <f>IFERROR(IF(IF(INDEX(_xlfn.VSTACK(YES_Writing_ELA[#Data],YES_Writing_FLA[#Data]),MATCH($A257,_xlfn.VSTACK(YES_Writing_ELA[Student Number],YES_Writing_FLA[Student Number]),0),MATCH(VLOOKUP(G$7,'Writing Logic'!$J$7:$K$11,2,FALSE)&amp;" - Per "&amp;VLOOKUP($C$4,'Writing Logic'!$G$8:$H$14,2,FALSE),YES_Writing_ELA[#Headers],0))=0,"",INDEX(_xlfn.VSTACK(YES_Writing_ELA[#Data],YES_Writing_FLA[#Data]),MATCH($A257,_xlfn.VSTACK(YES_Writing_ELA[Student Number],YES_Writing_FLA[Student Number]),0),MATCH(VLOOKUP(G$7,'Writing Logic'!$J$7:$K$11,2,FALSE)&amp;" - Per "&amp;VLOOKUP($C$4,'Writing Logic'!$G$8:$H$14,2,FALSE),YES_Writing_ELA[#Headers],0)))="INS",'Writing Logic'!$B$7,IF(INDEX(_xlfn.VSTACK(YES_Writing_ELA[#Data],YES_Writing_FLA[#Data]),MATCH($A257,_xlfn.VSTACK(YES_Writing_ELA[Student Number],YES_Writing_FLA[Student Number]),0),MATCH(VLOOKUP(G$7,'Writing Logic'!$J$7:$K$11,2,FALSE)&amp;" - Per "&amp;VLOOKUP($C$4,'Writing Logic'!$G$8:$H$14,2,FALSE),YES_Writing_ELA[#Headers],0))=0,"",INDEX(_xlfn.VSTACK(YES_Writing_ELA[#Data],YES_Writing_FLA[#Data]),MATCH($A257,_xlfn.VSTACK(YES_Writing_ELA[Student Number],YES_Writing_FLA[Student Number]),0),MATCH(VLOOKUP(G$7,'Writing Logic'!$J$7:$K$11,2,FALSE)&amp;" - Per "&amp;VLOOKUP($C$4,'Writing Logic'!$G$8:$H$14,2,FALSE),YES_Writing_ELA[#Headers],0)))),"")</f>
        <v/>
      </c>
      <c r="H257" s="138" t="str">
        <f>IFERROR(IF(IF(INDEX(_xlfn.VSTACK(YES_Writing_ELA[#Data],YES_Writing_FLA[#Data]),MATCH($A257,_xlfn.VSTACK(YES_Writing_ELA[Student Number],YES_Writing_FLA[Student Number]),0),MATCH(VLOOKUP(H$7,'Writing Logic'!$J$7:$K$11,2,FALSE)&amp;" - Per "&amp;VLOOKUP($C$4,'Writing Logic'!$G$8:$H$14,2,FALSE),YES_Writing_ELA[#Headers],0))=0,"",INDEX(_xlfn.VSTACK(YES_Writing_ELA[#Data],YES_Writing_FLA[#Data]),MATCH($A257,_xlfn.VSTACK(YES_Writing_ELA[Student Number],YES_Writing_FLA[Student Number]),0),MATCH(VLOOKUP(H$7,'Writing Logic'!$J$7:$K$11,2,FALSE)&amp;" - Per "&amp;VLOOKUP($C$4,'Writing Logic'!$G$8:$H$14,2,FALSE),YES_Writing_ELA[#Headers],0)))="INS",'Writing Logic'!$B$7,IF(INDEX(_xlfn.VSTACK(YES_Writing_ELA[#Data],YES_Writing_FLA[#Data]),MATCH($A257,_xlfn.VSTACK(YES_Writing_ELA[Student Number],YES_Writing_FLA[Student Number]),0),MATCH(VLOOKUP(H$7,'Writing Logic'!$J$7:$K$11,2,FALSE)&amp;" - Per "&amp;VLOOKUP($C$4,'Writing Logic'!$G$8:$H$14,2,FALSE),YES_Writing_ELA[#Headers],0))=0,"",INDEX(_xlfn.VSTACK(YES_Writing_ELA[#Data],YES_Writing_FLA[#Data]),MATCH($A257,_xlfn.VSTACK(YES_Writing_ELA[Student Number],YES_Writing_FLA[Student Number]),0),MATCH(VLOOKUP(H$7,'Writing Logic'!$J$7:$K$11,2,FALSE)&amp;" - Per "&amp;VLOOKUP($C$4,'Writing Logic'!$G$8:$H$14,2,FALSE),YES_Writing_ELA[#Headers],0)))),"")</f>
        <v/>
      </c>
    </row>
    <row r="258" spans="1:8" x14ac:dyDescent="0.25">
      <c r="A258" s="137"/>
      <c r="B258" s="137" t="str">
        <f>IFERROR(INDEX(_xlfn.VSTACK(YES_Writing_ELA[#Data], YES_Writing_FLA[#Data]),MATCH($A258,_xlfn.VSTACK(YES_Writing_ELA[Student Number], YES_Writing_FLA[Student Number]),0),MATCH(B$7,YES_Writing_ELA[#Headers],0)),"")</f>
        <v/>
      </c>
      <c r="C258" s="137" t="str">
        <f>IFERROR(INDEX(_xlfn.VSTACK(YES_Writing_ELA[#Data], YES_Writing_FLA[#Data]),MATCH($A258,_xlfn.VSTACK(YES_Writing_ELA[Student Number], YES_Writing_FLA[Student Number]),0),MATCH(C$7,YES_Writing_ELA[#Headers],0)),"")</f>
        <v/>
      </c>
      <c r="D258" s="138" t="str">
        <f>IFERROR(IF(IF(INDEX(_xlfn.VSTACK(YES_Writing_ELA[#Data],YES_Writing_FLA[#Data]),MATCH($A258,_xlfn.VSTACK(YES_Writing_ELA[Student Number],YES_Writing_FLA[Student Number]),0),MATCH(VLOOKUP(D$7,'Writing Logic'!$J$7:$K$11,2,FALSE)&amp;" - Per "&amp;VLOOKUP($C$4,'Writing Logic'!$G$8:$H$14,2,FALSE),YES_Writing_ELA[#Headers],0))=0,"",INDEX(_xlfn.VSTACK(YES_Writing_ELA[#Data],YES_Writing_FLA[#Data]),MATCH($A258,_xlfn.VSTACK(YES_Writing_ELA[Student Number],YES_Writing_FLA[Student Number]),0),MATCH(VLOOKUP(D$7,'Writing Logic'!$J$7:$K$11,2,FALSE)&amp;" - Per "&amp;VLOOKUP($C$4,'Writing Logic'!$G$8:$H$14,2,FALSE),YES_Writing_ELA[#Headers],0)))="INS",'Writing Logic'!$B$7,IF(INDEX(_xlfn.VSTACK(YES_Writing_ELA[#Data],YES_Writing_FLA[#Data]),MATCH($A258,_xlfn.VSTACK(YES_Writing_ELA[Student Number],YES_Writing_FLA[Student Number]),0),MATCH(VLOOKUP(D$7,'Writing Logic'!$J$7:$K$11,2,FALSE)&amp;" - Per "&amp;VLOOKUP($C$4,'Writing Logic'!$G$8:$H$14,2,FALSE),YES_Writing_ELA[#Headers],0))=0,"",INDEX(_xlfn.VSTACK(YES_Writing_ELA[#Data],YES_Writing_FLA[#Data]),MATCH($A258,_xlfn.VSTACK(YES_Writing_ELA[Student Number],YES_Writing_FLA[Student Number]),0),MATCH(VLOOKUP(D$7,'Writing Logic'!$J$7:$K$11,2,FALSE)&amp;" - Per "&amp;VLOOKUP($C$4,'Writing Logic'!$G$8:$H$14,2,FALSE),YES_Writing_ELA[#Headers],0)))),"")</f>
        <v/>
      </c>
      <c r="E258" s="138" t="str">
        <f>IFERROR(IF(IF(INDEX(_xlfn.VSTACK(YES_Writing_ELA[#Data],YES_Writing_FLA[#Data]),MATCH($A258,_xlfn.VSTACK(YES_Writing_ELA[Student Number],YES_Writing_FLA[Student Number]),0),MATCH(VLOOKUP(E$7,'Writing Logic'!$J$7:$K$11,2,FALSE)&amp;" - Per "&amp;VLOOKUP($C$4,'Writing Logic'!$G$8:$H$14,2,FALSE),YES_Writing_ELA[#Headers],0))=0,"",INDEX(_xlfn.VSTACK(YES_Writing_ELA[#Data],YES_Writing_FLA[#Data]),MATCH($A258,_xlfn.VSTACK(YES_Writing_ELA[Student Number],YES_Writing_FLA[Student Number]),0),MATCH(VLOOKUP(E$7,'Writing Logic'!$J$7:$K$11,2,FALSE)&amp;" - Per "&amp;VLOOKUP($C$4,'Writing Logic'!$G$8:$H$14,2,FALSE),YES_Writing_ELA[#Headers],0)))="INS",'Writing Logic'!$B$7,IF(INDEX(_xlfn.VSTACK(YES_Writing_ELA[#Data],YES_Writing_FLA[#Data]),MATCH($A258,_xlfn.VSTACK(YES_Writing_ELA[Student Number],YES_Writing_FLA[Student Number]),0),MATCH(VLOOKUP(E$7,'Writing Logic'!$J$7:$K$11,2,FALSE)&amp;" - Per "&amp;VLOOKUP($C$4,'Writing Logic'!$G$8:$H$14,2,FALSE),YES_Writing_ELA[#Headers],0))=0,"",INDEX(_xlfn.VSTACK(YES_Writing_ELA[#Data],YES_Writing_FLA[#Data]),MATCH($A258,_xlfn.VSTACK(YES_Writing_ELA[Student Number],YES_Writing_FLA[Student Number]),0),MATCH(VLOOKUP(E$7,'Writing Logic'!$J$7:$K$11,2,FALSE)&amp;" - Per "&amp;VLOOKUP($C$4,'Writing Logic'!$G$8:$H$14,2,FALSE),YES_Writing_ELA[#Headers],0)))),"")</f>
        <v/>
      </c>
      <c r="F258" s="138" t="str">
        <f>IFERROR(IF(IF(INDEX(_xlfn.VSTACK(YES_Writing_ELA[#Data],YES_Writing_FLA[#Data]),MATCH($A258,_xlfn.VSTACK(YES_Writing_ELA[Student Number],YES_Writing_FLA[Student Number]),0),MATCH(VLOOKUP(F$7,'Writing Logic'!$J$7:$K$11,2,FALSE)&amp;" - Per "&amp;VLOOKUP($C$4,'Writing Logic'!$G$8:$H$14,2,FALSE),YES_Writing_ELA[#Headers],0))=0,"",INDEX(_xlfn.VSTACK(YES_Writing_ELA[#Data],YES_Writing_FLA[#Data]),MATCH($A258,_xlfn.VSTACK(YES_Writing_ELA[Student Number],YES_Writing_FLA[Student Number]),0),MATCH(VLOOKUP(F$7,'Writing Logic'!$J$7:$K$11,2,FALSE)&amp;" - Per "&amp;VLOOKUP($C$4,'Writing Logic'!$G$8:$H$14,2,FALSE),YES_Writing_ELA[#Headers],0)))="INS",'Writing Logic'!$B$7,IF(INDEX(_xlfn.VSTACK(YES_Writing_ELA[#Data],YES_Writing_FLA[#Data]),MATCH($A258,_xlfn.VSTACK(YES_Writing_ELA[Student Number],YES_Writing_FLA[Student Number]),0),MATCH(VLOOKUP(F$7,'Writing Logic'!$J$7:$K$11,2,FALSE)&amp;" - Per "&amp;VLOOKUP($C$4,'Writing Logic'!$G$8:$H$14,2,FALSE),YES_Writing_ELA[#Headers],0))=0,"",INDEX(_xlfn.VSTACK(YES_Writing_ELA[#Data],YES_Writing_FLA[#Data]),MATCH($A258,_xlfn.VSTACK(YES_Writing_ELA[Student Number],YES_Writing_FLA[Student Number]),0),MATCH(VLOOKUP(F$7,'Writing Logic'!$J$7:$K$11,2,FALSE)&amp;" - Per "&amp;VLOOKUP($C$4,'Writing Logic'!$G$8:$H$14,2,FALSE),YES_Writing_ELA[#Headers],0)))),"")</f>
        <v/>
      </c>
      <c r="G258" s="138" t="str">
        <f>IFERROR(IF(IF(INDEX(_xlfn.VSTACK(YES_Writing_ELA[#Data],YES_Writing_FLA[#Data]),MATCH($A258,_xlfn.VSTACK(YES_Writing_ELA[Student Number],YES_Writing_FLA[Student Number]),0),MATCH(VLOOKUP(G$7,'Writing Logic'!$J$7:$K$11,2,FALSE)&amp;" - Per "&amp;VLOOKUP($C$4,'Writing Logic'!$G$8:$H$14,2,FALSE),YES_Writing_ELA[#Headers],0))=0,"",INDEX(_xlfn.VSTACK(YES_Writing_ELA[#Data],YES_Writing_FLA[#Data]),MATCH($A258,_xlfn.VSTACK(YES_Writing_ELA[Student Number],YES_Writing_FLA[Student Number]),0),MATCH(VLOOKUP(G$7,'Writing Logic'!$J$7:$K$11,2,FALSE)&amp;" - Per "&amp;VLOOKUP($C$4,'Writing Logic'!$G$8:$H$14,2,FALSE),YES_Writing_ELA[#Headers],0)))="INS",'Writing Logic'!$B$7,IF(INDEX(_xlfn.VSTACK(YES_Writing_ELA[#Data],YES_Writing_FLA[#Data]),MATCH($A258,_xlfn.VSTACK(YES_Writing_ELA[Student Number],YES_Writing_FLA[Student Number]),0),MATCH(VLOOKUP(G$7,'Writing Logic'!$J$7:$K$11,2,FALSE)&amp;" - Per "&amp;VLOOKUP($C$4,'Writing Logic'!$G$8:$H$14,2,FALSE),YES_Writing_ELA[#Headers],0))=0,"",INDEX(_xlfn.VSTACK(YES_Writing_ELA[#Data],YES_Writing_FLA[#Data]),MATCH($A258,_xlfn.VSTACK(YES_Writing_ELA[Student Number],YES_Writing_FLA[Student Number]),0),MATCH(VLOOKUP(G$7,'Writing Logic'!$J$7:$K$11,2,FALSE)&amp;" - Per "&amp;VLOOKUP($C$4,'Writing Logic'!$G$8:$H$14,2,FALSE),YES_Writing_ELA[#Headers],0)))),"")</f>
        <v/>
      </c>
      <c r="H258" s="138" t="str">
        <f>IFERROR(IF(IF(INDEX(_xlfn.VSTACK(YES_Writing_ELA[#Data],YES_Writing_FLA[#Data]),MATCH($A258,_xlfn.VSTACK(YES_Writing_ELA[Student Number],YES_Writing_FLA[Student Number]),0),MATCH(VLOOKUP(H$7,'Writing Logic'!$J$7:$K$11,2,FALSE)&amp;" - Per "&amp;VLOOKUP($C$4,'Writing Logic'!$G$8:$H$14,2,FALSE),YES_Writing_ELA[#Headers],0))=0,"",INDEX(_xlfn.VSTACK(YES_Writing_ELA[#Data],YES_Writing_FLA[#Data]),MATCH($A258,_xlfn.VSTACK(YES_Writing_ELA[Student Number],YES_Writing_FLA[Student Number]),0),MATCH(VLOOKUP(H$7,'Writing Logic'!$J$7:$K$11,2,FALSE)&amp;" - Per "&amp;VLOOKUP($C$4,'Writing Logic'!$G$8:$H$14,2,FALSE),YES_Writing_ELA[#Headers],0)))="INS",'Writing Logic'!$B$7,IF(INDEX(_xlfn.VSTACK(YES_Writing_ELA[#Data],YES_Writing_FLA[#Data]),MATCH($A258,_xlfn.VSTACK(YES_Writing_ELA[Student Number],YES_Writing_FLA[Student Number]),0),MATCH(VLOOKUP(H$7,'Writing Logic'!$J$7:$K$11,2,FALSE)&amp;" - Per "&amp;VLOOKUP($C$4,'Writing Logic'!$G$8:$H$14,2,FALSE),YES_Writing_ELA[#Headers],0))=0,"",INDEX(_xlfn.VSTACK(YES_Writing_ELA[#Data],YES_Writing_FLA[#Data]),MATCH($A258,_xlfn.VSTACK(YES_Writing_ELA[Student Number],YES_Writing_FLA[Student Number]),0),MATCH(VLOOKUP(H$7,'Writing Logic'!$J$7:$K$11,2,FALSE)&amp;" - Per "&amp;VLOOKUP($C$4,'Writing Logic'!$G$8:$H$14,2,FALSE),YES_Writing_ELA[#Headers],0)))),"")</f>
        <v/>
      </c>
    </row>
    <row r="259" spans="1:8" x14ac:dyDescent="0.25">
      <c r="A259" s="137"/>
      <c r="B259" s="137" t="str">
        <f>IFERROR(INDEX(_xlfn.VSTACK(YES_Writing_ELA[#Data], YES_Writing_FLA[#Data]),MATCH($A259,_xlfn.VSTACK(YES_Writing_ELA[Student Number], YES_Writing_FLA[Student Number]),0),MATCH(B$7,YES_Writing_ELA[#Headers],0)),"")</f>
        <v/>
      </c>
      <c r="C259" s="137" t="str">
        <f>IFERROR(INDEX(_xlfn.VSTACK(YES_Writing_ELA[#Data], YES_Writing_FLA[#Data]),MATCH($A259,_xlfn.VSTACK(YES_Writing_ELA[Student Number], YES_Writing_FLA[Student Number]),0),MATCH(C$7,YES_Writing_ELA[#Headers],0)),"")</f>
        <v/>
      </c>
      <c r="D259" s="138" t="str">
        <f>IFERROR(IF(IF(INDEX(_xlfn.VSTACK(YES_Writing_ELA[#Data],YES_Writing_FLA[#Data]),MATCH($A259,_xlfn.VSTACK(YES_Writing_ELA[Student Number],YES_Writing_FLA[Student Number]),0),MATCH(VLOOKUP(D$7,'Writing Logic'!$J$7:$K$11,2,FALSE)&amp;" - Per "&amp;VLOOKUP($C$4,'Writing Logic'!$G$8:$H$14,2,FALSE),YES_Writing_ELA[#Headers],0))=0,"",INDEX(_xlfn.VSTACK(YES_Writing_ELA[#Data],YES_Writing_FLA[#Data]),MATCH($A259,_xlfn.VSTACK(YES_Writing_ELA[Student Number],YES_Writing_FLA[Student Number]),0),MATCH(VLOOKUP(D$7,'Writing Logic'!$J$7:$K$11,2,FALSE)&amp;" - Per "&amp;VLOOKUP($C$4,'Writing Logic'!$G$8:$H$14,2,FALSE),YES_Writing_ELA[#Headers],0)))="INS",'Writing Logic'!$B$7,IF(INDEX(_xlfn.VSTACK(YES_Writing_ELA[#Data],YES_Writing_FLA[#Data]),MATCH($A259,_xlfn.VSTACK(YES_Writing_ELA[Student Number],YES_Writing_FLA[Student Number]),0),MATCH(VLOOKUP(D$7,'Writing Logic'!$J$7:$K$11,2,FALSE)&amp;" - Per "&amp;VLOOKUP($C$4,'Writing Logic'!$G$8:$H$14,2,FALSE),YES_Writing_ELA[#Headers],0))=0,"",INDEX(_xlfn.VSTACK(YES_Writing_ELA[#Data],YES_Writing_FLA[#Data]),MATCH($A259,_xlfn.VSTACK(YES_Writing_ELA[Student Number],YES_Writing_FLA[Student Number]),0),MATCH(VLOOKUP(D$7,'Writing Logic'!$J$7:$K$11,2,FALSE)&amp;" - Per "&amp;VLOOKUP($C$4,'Writing Logic'!$G$8:$H$14,2,FALSE),YES_Writing_ELA[#Headers],0)))),"")</f>
        <v/>
      </c>
      <c r="E259" s="138" t="str">
        <f>IFERROR(IF(IF(INDEX(_xlfn.VSTACK(YES_Writing_ELA[#Data],YES_Writing_FLA[#Data]),MATCH($A259,_xlfn.VSTACK(YES_Writing_ELA[Student Number],YES_Writing_FLA[Student Number]),0),MATCH(VLOOKUP(E$7,'Writing Logic'!$J$7:$K$11,2,FALSE)&amp;" - Per "&amp;VLOOKUP($C$4,'Writing Logic'!$G$8:$H$14,2,FALSE),YES_Writing_ELA[#Headers],0))=0,"",INDEX(_xlfn.VSTACK(YES_Writing_ELA[#Data],YES_Writing_FLA[#Data]),MATCH($A259,_xlfn.VSTACK(YES_Writing_ELA[Student Number],YES_Writing_FLA[Student Number]),0),MATCH(VLOOKUP(E$7,'Writing Logic'!$J$7:$K$11,2,FALSE)&amp;" - Per "&amp;VLOOKUP($C$4,'Writing Logic'!$G$8:$H$14,2,FALSE),YES_Writing_ELA[#Headers],0)))="INS",'Writing Logic'!$B$7,IF(INDEX(_xlfn.VSTACK(YES_Writing_ELA[#Data],YES_Writing_FLA[#Data]),MATCH($A259,_xlfn.VSTACK(YES_Writing_ELA[Student Number],YES_Writing_FLA[Student Number]),0),MATCH(VLOOKUP(E$7,'Writing Logic'!$J$7:$K$11,2,FALSE)&amp;" - Per "&amp;VLOOKUP($C$4,'Writing Logic'!$G$8:$H$14,2,FALSE),YES_Writing_ELA[#Headers],0))=0,"",INDEX(_xlfn.VSTACK(YES_Writing_ELA[#Data],YES_Writing_FLA[#Data]),MATCH($A259,_xlfn.VSTACK(YES_Writing_ELA[Student Number],YES_Writing_FLA[Student Number]),0),MATCH(VLOOKUP(E$7,'Writing Logic'!$J$7:$K$11,2,FALSE)&amp;" - Per "&amp;VLOOKUP($C$4,'Writing Logic'!$G$8:$H$14,2,FALSE),YES_Writing_ELA[#Headers],0)))),"")</f>
        <v/>
      </c>
      <c r="F259" s="138" t="str">
        <f>IFERROR(IF(IF(INDEX(_xlfn.VSTACK(YES_Writing_ELA[#Data],YES_Writing_FLA[#Data]),MATCH($A259,_xlfn.VSTACK(YES_Writing_ELA[Student Number],YES_Writing_FLA[Student Number]),0),MATCH(VLOOKUP(F$7,'Writing Logic'!$J$7:$K$11,2,FALSE)&amp;" - Per "&amp;VLOOKUP($C$4,'Writing Logic'!$G$8:$H$14,2,FALSE),YES_Writing_ELA[#Headers],0))=0,"",INDEX(_xlfn.VSTACK(YES_Writing_ELA[#Data],YES_Writing_FLA[#Data]),MATCH($A259,_xlfn.VSTACK(YES_Writing_ELA[Student Number],YES_Writing_FLA[Student Number]),0),MATCH(VLOOKUP(F$7,'Writing Logic'!$J$7:$K$11,2,FALSE)&amp;" - Per "&amp;VLOOKUP($C$4,'Writing Logic'!$G$8:$H$14,2,FALSE),YES_Writing_ELA[#Headers],0)))="INS",'Writing Logic'!$B$7,IF(INDEX(_xlfn.VSTACK(YES_Writing_ELA[#Data],YES_Writing_FLA[#Data]),MATCH($A259,_xlfn.VSTACK(YES_Writing_ELA[Student Number],YES_Writing_FLA[Student Number]),0),MATCH(VLOOKUP(F$7,'Writing Logic'!$J$7:$K$11,2,FALSE)&amp;" - Per "&amp;VLOOKUP($C$4,'Writing Logic'!$G$8:$H$14,2,FALSE),YES_Writing_ELA[#Headers],0))=0,"",INDEX(_xlfn.VSTACK(YES_Writing_ELA[#Data],YES_Writing_FLA[#Data]),MATCH($A259,_xlfn.VSTACK(YES_Writing_ELA[Student Number],YES_Writing_FLA[Student Number]),0),MATCH(VLOOKUP(F$7,'Writing Logic'!$J$7:$K$11,2,FALSE)&amp;" - Per "&amp;VLOOKUP($C$4,'Writing Logic'!$G$8:$H$14,2,FALSE),YES_Writing_ELA[#Headers],0)))),"")</f>
        <v/>
      </c>
      <c r="G259" s="138" t="str">
        <f>IFERROR(IF(IF(INDEX(_xlfn.VSTACK(YES_Writing_ELA[#Data],YES_Writing_FLA[#Data]),MATCH($A259,_xlfn.VSTACK(YES_Writing_ELA[Student Number],YES_Writing_FLA[Student Number]),0),MATCH(VLOOKUP(G$7,'Writing Logic'!$J$7:$K$11,2,FALSE)&amp;" - Per "&amp;VLOOKUP($C$4,'Writing Logic'!$G$8:$H$14,2,FALSE),YES_Writing_ELA[#Headers],0))=0,"",INDEX(_xlfn.VSTACK(YES_Writing_ELA[#Data],YES_Writing_FLA[#Data]),MATCH($A259,_xlfn.VSTACK(YES_Writing_ELA[Student Number],YES_Writing_FLA[Student Number]),0),MATCH(VLOOKUP(G$7,'Writing Logic'!$J$7:$K$11,2,FALSE)&amp;" - Per "&amp;VLOOKUP($C$4,'Writing Logic'!$G$8:$H$14,2,FALSE),YES_Writing_ELA[#Headers],0)))="INS",'Writing Logic'!$B$7,IF(INDEX(_xlfn.VSTACK(YES_Writing_ELA[#Data],YES_Writing_FLA[#Data]),MATCH($A259,_xlfn.VSTACK(YES_Writing_ELA[Student Number],YES_Writing_FLA[Student Number]),0),MATCH(VLOOKUP(G$7,'Writing Logic'!$J$7:$K$11,2,FALSE)&amp;" - Per "&amp;VLOOKUP($C$4,'Writing Logic'!$G$8:$H$14,2,FALSE),YES_Writing_ELA[#Headers],0))=0,"",INDEX(_xlfn.VSTACK(YES_Writing_ELA[#Data],YES_Writing_FLA[#Data]),MATCH($A259,_xlfn.VSTACK(YES_Writing_ELA[Student Number],YES_Writing_FLA[Student Number]),0),MATCH(VLOOKUP(G$7,'Writing Logic'!$J$7:$K$11,2,FALSE)&amp;" - Per "&amp;VLOOKUP($C$4,'Writing Logic'!$G$8:$H$14,2,FALSE),YES_Writing_ELA[#Headers],0)))),"")</f>
        <v/>
      </c>
      <c r="H259" s="138" t="str">
        <f>IFERROR(IF(IF(INDEX(_xlfn.VSTACK(YES_Writing_ELA[#Data],YES_Writing_FLA[#Data]),MATCH($A259,_xlfn.VSTACK(YES_Writing_ELA[Student Number],YES_Writing_FLA[Student Number]),0),MATCH(VLOOKUP(H$7,'Writing Logic'!$J$7:$K$11,2,FALSE)&amp;" - Per "&amp;VLOOKUP($C$4,'Writing Logic'!$G$8:$H$14,2,FALSE),YES_Writing_ELA[#Headers],0))=0,"",INDEX(_xlfn.VSTACK(YES_Writing_ELA[#Data],YES_Writing_FLA[#Data]),MATCH($A259,_xlfn.VSTACK(YES_Writing_ELA[Student Number],YES_Writing_FLA[Student Number]),0),MATCH(VLOOKUP(H$7,'Writing Logic'!$J$7:$K$11,2,FALSE)&amp;" - Per "&amp;VLOOKUP($C$4,'Writing Logic'!$G$8:$H$14,2,FALSE),YES_Writing_ELA[#Headers],0)))="INS",'Writing Logic'!$B$7,IF(INDEX(_xlfn.VSTACK(YES_Writing_ELA[#Data],YES_Writing_FLA[#Data]),MATCH($A259,_xlfn.VSTACK(YES_Writing_ELA[Student Number],YES_Writing_FLA[Student Number]),0),MATCH(VLOOKUP(H$7,'Writing Logic'!$J$7:$K$11,2,FALSE)&amp;" - Per "&amp;VLOOKUP($C$4,'Writing Logic'!$G$8:$H$14,2,FALSE),YES_Writing_ELA[#Headers],0))=0,"",INDEX(_xlfn.VSTACK(YES_Writing_ELA[#Data],YES_Writing_FLA[#Data]),MATCH($A259,_xlfn.VSTACK(YES_Writing_ELA[Student Number],YES_Writing_FLA[Student Number]),0),MATCH(VLOOKUP(H$7,'Writing Logic'!$J$7:$K$11,2,FALSE)&amp;" - Per "&amp;VLOOKUP($C$4,'Writing Logic'!$G$8:$H$14,2,FALSE),YES_Writing_ELA[#Headers],0)))),"")</f>
        <v/>
      </c>
    </row>
    <row r="260" spans="1:8" x14ac:dyDescent="0.25">
      <c r="A260" s="137"/>
      <c r="B260" s="137" t="str">
        <f>IFERROR(INDEX(_xlfn.VSTACK(YES_Writing_ELA[#Data], YES_Writing_FLA[#Data]),MATCH($A260,_xlfn.VSTACK(YES_Writing_ELA[Student Number], YES_Writing_FLA[Student Number]),0),MATCH(B$7,YES_Writing_ELA[#Headers],0)),"")</f>
        <v/>
      </c>
      <c r="C260" s="137" t="str">
        <f>IFERROR(INDEX(_xlfn.VSTACK(YES_Writing_ELA[#Data], YES_Writing_FLA[#Data]),MATCH($A260,_xlfn.VSTACK(YES_Writing_ELA[Student Number], YES_Writing_FLA[Student Number]),0),MATCH(C$7,YES_Writing_ELA[#Headers],0)),"")</f>
        <v/>
      </c>
      <c r="D260" s="138" t="str">
        <f>IFERROR(IF(IF(INDEX(_xlfn.VSTACK(YES_Writing_ELA[#Data],YES_Writing_FLA[#Data]),MATCH($A260,_xlfn.VSTACK(YES_Writing_ELA[Student Number],YES_Writing_FLA[Student Number]),0),MATCH(VLOOKUP(D$7,'Writing Logic'!$J$7:$K$11,2,FALSE)&amp;" - Per "&amp;VLOOKUP($C$4,'Writing Logic'!$G$8:$H$14,2,FALSE),YES_Writing_ELA[#Headers],0))=0,"",INDEX(_xlfn.VSTACK(YES_Writing_ELA[#Data],YES_Writing_FLA[#Data]),MATCH($A260,_xlfn.VSTACK(YES_Writing_ELA[Student Number],YES_Writing_FLA[Student Number]),0),MATCH(VLOOKUP(D$7,'Writing Logic'!$J$7:$K$11,2,FALSE)&amp;" - Per "&amp;VLOOKUP($C$4,'Writing Logic'!$G$8:$H$14,2,FALSE),YES_Writing_ELA[#Headers],0)))="INS",'Writing Logic'!$B$7,IF(INDEX(_xlfn.VSTACK(YES_Writing_ELA[#Data],YES_Writing_FLA[#Data]),MATCH($A260,_xlfn.VSTACK(YES_Writing_ELA[Student Number],YES_Writing_FLA[Student Number]),0),MATCH(VLOOKUP(D$7,'Writing Logic'!$J$7:$K$11,2,FALSE)&amp;" - Per "&amp;VLOOKUP($C$4,'Writing Logic'!$G$8:$H$14,2,FALSE),YES_Writing_ELA[#Headers],0))=0,"",INDEX(_xlfn.VSTACK(YES_Writing_ELA[#Data],YES_Writing_FLA[#Data]),MATCH($A260,_xlfn.VSTACK(YES_Writing_ELA[Student Number],YES_Writing_FLA[Student Number]),0),MATCH(VLOOKUP(D$7,'Writing Logic'!$J$7:$K$11,2,FALSE)&amp;" - Per "&amp;VLOOKUP($C$4,'Writing Logic'!$G$8:$H$14,2,FALSE),YES_Writing_ELA[#Headers],0)))),"")</f>
        <v/>
      </c>
      <c r="E260" s="138" t="str">
        <f>IFERROR(IF(IF(INDEX(_xlfn.VSTACK(YES_Writing_ELA[#Data],YES_Writing_FLA[#Data]),MATCH($A260,_xlfn.VSTACK(YES_Writing_ELA[Student Number],YES_Writing_FLA[Student Number]),0),MATCH(VLOOKUP(E$7,'Writing Logic'!$J$7:$K$11,2,FALSE)&amp;" - Per "&amp;VLOOKUP($C$4,'Writing Logic'!$G$8:$H$14,2,FALSE),YES_Writing_ELA[#Headers],0))=0,"",INDEX(_xlfn.VSTACK(YES_Writing_ELA[#Data],YES_Writing_FLA[#Data]),MATCH($A260,_xlfn.VSTACK(YES_Writing_ELA[Student Number],YES_Writing_FLA[Student Number]),0),MATCH(VLOOKUP(E$7,'Writing Logic'!$J$7:$K$11,2,FALSE)&amp;" - Per "&amp;VLOOKUP($C$4,'Writing Logic'!$G$8:$H$14,2,FALSE),YES_Writing_ELA[#Headers],0)))="INS",'Writing Logic'!$B$7,IF(INDEX(_xlfn.VSTACK(YES_Writing_ELA[#Data],YES_Writing_FLA[#Data]),MATCH($A260,_xlfn.VSTACK(YES_Writing_ELA[Student Number],YES_Writing_FLA[Student Number]),0),MATCH(VLOOKUP(E$7,'Writing Logic'!$J$7:$K$11,2,FALSE)&amp;" - Per "&amp;VLOOKUP($C$4,'Writing Logic'!$G$8:$H$14,2,FALSE),YES_Writing_ELA[#Headers],0))=0,"",INDEX(_xlfn.VSTACK(YES_Writing_ELA[#Data],YES_Writing_FLA[#Data]),MATCH($A260,_xlfn.VSTACK(YES_Writing_ELA[Student Number],YES_Writing_FLA[Student Number]),0),MATCH(VLOOKUP(E$7,'Writing Logic'!$J$7:$K$11,2,FALSE)&amp;" - Per "&amp;VLOOKUP($C$4,'Writing Logic'!$G$8:$H$14,2,FALSE),YES_Writing_ELA[#Headers],0)))),"")</f>
        <v/>
      </c>
      <c r="F260" s="138" t="str">
        <f>IFERROR(IF(IF(INDEX(_xlfn.VSTACK(YES_Writing_ELA[#Data],YES_Writing_FLA[#Data]),MATCH($A260,_xlfn.VSTACK(YES_Writing_ELA[Student Number],YES_Writing_FLA[Student Number]),0),MATCH(VLOOKUP(F$7,'Writing Logic'!$J$7:$K$11,2,FALSE)&amp;" - Per "&amp;VLOOKUP($C$4,'Writing Logic'!$G$8:$H$14,2,FALSE),YES_Writing_ELA[#Headers],0))=0,"",INDEX(_xlfn.VSTACK(YES_Writing_ELA[#Data],YES_Writing_FLA[#Data]),MATCH($A260,_xlfn.VSTACK(YES_Writing_ELA[Student Number],YES_Writing_FLA[Student Number]),0),MATCH(VLOOKUP(F$7,'Writing Logic'!$J$7:$K$11,2,FALSE)&amp;" - Per "&amp;VLOOKUP($C$4,'Writing Logic'!$G$8:$H$14,2,FALSE),YES_Writing_ELA[#Headers],0)))="INS",'Writing Logic'!$B$7,IF(INDEX(_xlfn.VSTACK(YES_Writing_ELA[#Data],YES_Writing_FLA[#Data]),MATCH($A260,_xlfn.VSTACK(YES_Writing_ELA[Student Number],YES_Writing_FLA[Student Number]),0),MATCH(VLOOKUP(F$7,'Writing Logic'!$J$7:$K$11,2,FALSE)&amp;" - Per "&amp;VLOOKUP($C$4,'Writing Logic'!$G$8:$H$14,2,FALSE),YES_Writing_ELA[#Headers],0))=0,"",INDEX(_xlfn.VSTACK(YES_Writing_ELA[#Data],YES_Writing_FLA[#Data]),MATCH($A260,_xlfn.VSTACK(YES_Writing_ELA[Student Number],YES_Writing_FLA[Student Number]),0),MATCH(VLOOKUP(F$7,'Writing Logic'!$J$7:$K$11,2,FALSE)&amp;" - Per "&amp;VLOOKUP($C$4,'Writing Logic'!$G$8:$H$14,2,FALSE),YES_Writing_ELA[#Headers],0)))),"")</f>
        <v/>
      </c>
      <c r="G260" s="138" t="str">
        <f>IFERROR(IF(IF(INDEX(_xlfn.VSTACK(YES_Writing_ELA[#Data],YES_Writing_FLA[#Data]),MATCH($A260,_xlfn.VSTACK(YES_Writing_ELA[Student Number],YES_Writing_FLA[Student Number]),0),MATCH(VLOOKUP(G$7,'Writing Logic'!$J$7:$K$11,2,FALSE)&amp;" - Per "&amp;VLOOKUP($C$4,'Writing Logic'!$G$8:$H$14,2,FALSE),YES_Writing_ELA[#Headers],0))=0,"",INDEX(_xlfn.VSTACK(YES_Writing_ELA[#Data],YES_Writing_FLA[#Data]),MATCH($A260,_xlfn.VSTACK(YES_Writing_ELA[Student Number],YES_Writing_FLA[Student Number]),0),MATCH(VLOOKUP(G$7,'Writing Logic'!$J$7:$K$11,2,FALSE)&amp;" - Per "&amp;VLOOKUP($C$4,'Writing Logic'!$G$8:$H$14,2,FALSE),YES_Writing_ELA[#Headers],0)))="INS",'Writing Logic'!$B$7,IF(INDEX(_xlfn.VSTACK(YES_Writing_ELA[#Data],YES_Writing_FLA[#Data]),MATCH($A260,_xlfn.VSTACK(YES_Writing_ELA[Student Number],YES_Writing_FLA[Student Number]),0),MATCH(VLOOKUP(G$7,'Writing Logic'!$J$7:$K$11,2,FALSE)&amp;" - Per "&amp;VLOOKUP($C$4,'Writing Logic'!$G$8:$H$14,2,FALSE),YES_Writing_ELA[#Headers],0))=0,"",INDEX(_xlfn.VSTACK(YES_Writing_ELA[#Data],YES_Writing_FLA[#Data]),MATCH($A260,_xlfn.VSTACK(YES_Writing_ELA[Student Number],YES_Writing_FLA[Student Number]),0),MATCH(VLOOKUP(G$7,'Writing Logic'!$J$7:$K$11,2,FALSE)&amp;" - Per "&amp;VLOOKUP($C$4,'Writing Logic'!$G$8:$H$14,2,FALSE),YES_Writing_ELA[#Headers],0)))),"")</f>
        <v/>
      </c>
      <c r="H260" s="138" t="str">
        <f>IFERROR(IF(IF(INDEX(_xlfn.VSTACK(YES_Writing_ELA[#Data],YES_Writing_FLA[#Data]),MATCH($A260,_xlfn.VSTACK(YES_Writing_ELA[Student Number],YES_Writing_FLA[Student Number]),0),MATCH(VLOOKUP(H$7,'Writing Logic'!$J$7:$K$11,2,FALSE)&amp;" - Per "&amp;VLOOKUP($C$4,'Writing Logic'!$G$8:$H$14,2,FALSE),YES_Writing_ELA[#Headers],0))=0,"",INDEX(_xlfn.VSTACK(YES_Writing_ELA[#Data],YES_Writing_FLA[#Data]),MATCH($A260,_xlfn.VSTACK(YES_Writing_ELA[Student Number],YES_Writing_FLA[Student Number]),0),MATCH(VLOOKUP(H$7,'Writing Logic'!$J$7:$K$11,2,FALSE)&amp;" - Per "&amp;VLOOKUP($C$4,'Writing Logic'!$G$8:$H$14,2,FALSE),YES_Writing_ELA[#Headers],0)))="INS",'Writing Logic'!$B$7,IF(INDEX(_xlfn.VSTACK(YES_Writing_ELA[#Data],YES_Writing_FLA[#Data]),MATCH($A260,_xlfn.VSTACK(YES_Writing_ELA[Student Number],YES_Writing_FLA[Student Number]),0),MATCH(VLOOKUP(H$7,'Writing Logic'!$J$7:$K$11,2,FALSE)&amp;" - Per "&amp;VLOOKUP($C$4,'Writing Logic'!$G$8:$H$14,2,FALSE),YES_Writing_ELA[#Headers],0))=0,"",INDEX(_xlfn.VSTACK(YES_Writing_ELA[#Data],YES_Writing_FLA[#Data]),MATCH($A260,_xlfn.VSTACK(YES_Writing_ELA[Student Number],YES_Writing_FLA[Student Number]),0),MATCH(VLOOKUP(H$7,'Writing Logic'!$J$7:$K$11,2,FALSE)&amp;" - Per "&amp;VLOOKUP($C$4,'Writing Logic'!$G$8:$H$14,2,FALSE),YES_Writing_ELA[#Headers],0)))),"")</f>
        <v/>
      </c>
    </row>
    <row r="261" spans="1:8" x14ac:dyDescent="0.25">
      <c r="A261" s="137"/>
      <c r="B261" s="137" t="str">
        <f>IFERROR(INDEX(_xlfn.VSTACK(YES_Writing_ELA[#Data], YES_Writing_FLA[#Data]),MATCH($A261,_xlfn.VSTACK(YES_Writing_ELA[Student Number], YES_Writing_FLA[Student Number]),0),MATCH(B$7,YES_Writing_ELA[#Headers],0)),"")</f>
        <v/>
      </c>
      <c r="C261" s="137" t="str">
        <f>IFERROR(INDEX(_xlfn.VSTACK(YES_Writing_ELA[#Data], YES_Writing_FLA[#Data]),MATCH($A261,_xlfn.VSTACK(YES_Writing_ELA[Student Number], YES_Writing_FLA[Student Number]),0),MATCH(C$7,YES_Writing_ELA[#Headers],0)),"")</f>
        <v/>
      </c>
      <c r="D261" s="138" t="str">
        <f>IFERROR(IF(IF(INDEX(_xlfn.VSTACK(YES_Writing_ELA[#Data],YES_Writing_FLA[#Data]),MATCH($A261,_xlfn.VSTACK(YES_Writing_ELA[Student Number],YES_Writing_FLA[Student Number]),0),MATCH(VLOOKUP(D$7,'Writing Logic'!$J$7:$K$11,2,FALSE)&amp;" - Per "&amp;VLOOKUP($C$4,'Writing Logic'!$G$8:$H$14,2,FALSE),YES_Writing_ELA[#Headers],0))=0,"",INDEX(_xlfn.VSTACK(YES_Writing_ELA[#Data],YES_Writing_FLA[#Data]),MATCH($A261,_xlfn.VSTACK(YES_Writing_ELA[Student Number],YES_Writing_FLA[Student Number]),0),MATCH(VLOOKUP(D$7,'Writing Logic'!$J$7:$K$11,2,FALSE)&amp;" - Per "&amp;VLOOKUP($C$4,'Writing Logic'!$G$8:$H$14,2,FALSE),YES_Writing_ELA[#Headers],0)))="INS",'Writing Logic'!$B$7,IF(INDEX(_xlfn.VSTACK(YES_Writing_ELA[#Data],YES_Writing_FLA[#Data]),MATCH($A261,_xlfn.VSTACK(YES_Writing_ELA[Student Number],YES_Writing_FLA[Student Number]),0),MATCH(VLOOKUP(D$7,'Writing Logic'!$J$7:$K$11,2,FALSE)&amp;" - Per "&amp;VLOOKUP($C$4,'Writing Logic'!$G$8:$H$14,2,FALSE),YES_Writing_ELA[#Headers],0))=0,"",INDEX(_xlfn.VSTACK(YES_Writing_ELA[#Data],YES_Writing_FLA[#Data]),MATCH($A261,_xlfn.VSTACK(YES_Writing_ELA[Student Number],YES_Writing_FLA[Student Number]),0),MATCH(VLOOKUP(D$7,'Writing Logic'!$J$7:$K$11,2,FALSE)&amp;" - Per "&amp;VLOOKUP($C$4,'Writing Logic'!$G$8:$H$14,2,FALSE),YES_Writing_ELA[#Headers],0)))),"")</f>
        <v/>
      </c>
      <c r="E261" s="138" t="str">
        <f>IFERROR(IF(IF(INDEX(_xlfn.VSTACK(YES_Writing_ELA[#Data],YES_Writing_FLA[#Data]),MATCH($A261,_xlfn.VSTACK(YES_Writing_ELA[Student Number],YES_Writing_FLA[Student Number]),0),MATCH(VLOOKUP(E$7,'Writing Logic'!$J$7:$K$11,2,FALSE)&amp;" - Per "&amp;VLOOKUP($C$4,'Writing Logic'!$G$8:$H$14,2,FALSE),YES_Writing_ELA[#Headers],0))=0,"",INDEX(_xlfn.VSTACK(YES_Writing_ELA[#Data],YES_Writing_FLA[#Data]),MATCH($A261,_xlfn.VSTACK(YES_Writing_ELA[Student Number],YES_Writing_FLA[Student Number]),0),MATCH(VLOOKUP(E$7,'Writing Logic'!$J$7:$K$11,2,FALSE)&amp;" - Per "&amp;VLOOKUP($C$4,'Writing Logic'!$G$8:$H$14,2,FALSE),YES_Writing_ELA[#Headers],0)))="INS",'Writing Logic'!$B$7,IF(INDEX(_xlfn.VSTACK(YES_Writing_ELA[#Data],YES_Writing_FLA[#Data]),MATCH($A261,_xlfn.VSTACK(YES_Writing_ELA[Student Number],YES_Writing_FLA[Student Number]),0),MATCH(VLOOKUP(E$7,'Writing Logic'!$J$7:$K$11,2,FALSE)&amp;" - Per "&amp;VLOOKUP($C$4,'Writing Logic'!$G$8:$H$14,2,FALSE),YES_Writing_ELA[#Headers],0))=0,"",INDEX(_xlfn.VSTACK(YES_Writing_ELA[#Data],YES_Writing_FLA[#Data]),MATCH($A261,_xlfn.VSTACK(YES_Writing_ELA[Student Number],YES_Writing_FLA[Student Number]),0),MATCH(VLOOKUP(E$7,'Writing Logic'!$J$7:$K$11,2,FALSE)&amp;" - Per "&amp;VLOOKUP($C$4,'Writing Logic'!$G$8:$H$14,2,FALSE),YES_Writing_ELA[#Headers],0)))),"")</f>
        <v/>
      </c>
      <c r="F261" s="138" t="str">
        <f>IFERROR(IF(IF(INDEX(_xlfn.VSTACK(YES_Writing_ELA[#Data],YES_Writing_FLA[#Data]),MATCH($A261,_xlfn.VSTACK(YES_Writing_ELA[Student Number],YES_Writing_FLA[Student Number]),0),MATCH(VLOOKUP(F$7,'Writing Logic'!$J$7:$K$11,2,FALSE)&amp;" - Per "&amp;VLOOKUP($C$4,'Writing Logic'!$G$8:$H$14,2,FALSE),YES_Writing_ELA[#Headers],0))=0,"",INDEX(_xlfn.VSTACK(YES_Writing_ELA[#Data],YES_Writing_FLA[#Data]),MATCH($A261,_xlfn.VSTACK(YES_Writing_ELA[Student Number],YES_Writing_FLA[Student Number]),0),MATCH(VLOOKUP(F$7,'Writing Logic'!$J$7:$K$11,2,FALSE)&amp;" - Per "&amp;VLOOKUP($C$4,'Writing Logic'!$G$8:$H$14,2,FALSE),YES_Writing_ELA[#Headers],0)))="INS",'Writing Logic'!$B$7,IF(INDEX(_xlfn.VSTACK(YES_Writing_ELA[#Data],YES_Writing_FLA[#Data]),MATCH($A261,_xlfn.VSTACK(YES_Writing_ELA[Student Number],YES_Writing_FLA[Student Number]),0),MATCH(VLOOKUP(F$7,'Writing Logic'!$J$7:$K$11,2,FALSE)&amp;" - Per "&amp;VLOOKUP($C$4,'Writing Logic'!$G$8:$H$14,2,FALSE),YES_Writing_ELA[#Headers],0))=0,"",INDEX(_xlfn.VSTACK(YES_Writing_ELA[#Data],YES_Writing_FLA[#Data]),MATCH($A261,_xlfn.VSTACK(YES_Writing_ELA[Student Number],YES_Writing_FLA[Student Number]),0),MATCH(VLOOKUP(F$7,'Writing Logic'!$J$7:$K$11,2,FALSE)&amp;" - Per "&amp;VLOOKUP($C$4,'Writing Logic'!$G$8:$H$14,2,FALSE),YES_Writing_ELA[#Headers],0)))),"")</f>
        <v/>
      </c>
      <c r="G261" s="138" t="str">
        <f>IFERROR(IF(IF(INDEX(_xlfn.VSTACK(YES_Writing_ELA[#Data],YES_Writing_FLA[#Data]),MATCH($A261,_xlfn.VSTACK(YES_Writing_ELA[Student Number],YES_Writing_FLA[Student Number]),0),MATCH(VLOOKUP(G$7,'Writing Logic'!$J$7:$K$11,2,FALSE)&amp;" - Per "&amp;VLOOKUP($C$4,'Writing Logic'!$G$8:$H$14,2,FALSE),YES_Writing_ELA[#Headers],0))=0,"",INDEX(_xlfn.VSTACK(YES_Writing_ELA[#Data],YES_Writing_FLA[#Data]),MATCH($A261,_xlfn.VSTACK(YES_Writing_ELA[Student Number],YES_Writing_FLA[Student Number]),0),MATCH(VLOOKUP(G$7,'Writing Logic'!$J$7:$K$11,2,FALSE)&amp;" - Per "&amp;VLOOKUP($C$4,'Writing Logic'!$G$8:$H$14,2,FALSE),YES_Writing_ELA[#Headers],0)))="INS",'Writing Logic'!$B$7,IF(INDEX(_xlfn.VSTACK(YES_Writing_ELA[#Data],YES_Writing_FLA[#Data]),MATCH($A261,_xlfn.VSTACK(YES_Writing_ELA[Student Number],YES_Writing_FLA[Student Number]),0),MATCH(VLOOKUP(G$7,'Writing Logic'!$J$7:$K$11,2,FALSE)&amp;" - Per "&amp;VLOOKUP($C$4,'Writing Logic'!$G$8:$H$14,2,FALSE),YES_Writing_ELA[#Headers],0))=0,"",INDEX(_xlfn.VSTACK(YES_Writing_ELA[#Data],YES_Writing_FLA[#Data]),MATCH($A261,_xlfn.VSTACK(YES_Writing_ELA[Student Number],YES_Writing_FLA[Student Number]),0),MATCH(VLOOKUP(G$7,'Writing Logic'!$J$7:$K$11,2,FALSE)&amp;" - Per "&amp;VLOOKUP($C$4,'Writing Logic'!$G$8:$H$14,2,FALSE),YES_Writing_ELA[#Headers],0)))),"")</f>
        <v/>
      </c>
      <c r="H261" s="138" t="str">
        <f>IFERROR(IF(IF(INDEX(_xlfn.VSTACK(YES_Writing_ELA[#Data],YES_Writing_FLA[#Data]),MATCH($A261,_xlfn.VSTACK(YES_Writing_ELA[Student Number],YES_Writing_FLA[Student Number]),0),MATCH(VLOOKUP(H$7,'Writing Logic'!$J$7:$K$11,2,FALSE)&amp;" - Per "&amp;VLOOKUP($C$4,'Writing Logic'!$G$8:$H$14,2,FALSE),YES_Writing_ELA[#Headers],0))=0,"",INDEX(_xlfn.VSTACK(YES_Writing_ELA[#Data],YES_Writing_FLA[#Data]),MATCH($A261,_xlfn.VSTACK(YES_Writing_ELA[Student Number],YES_Writing_FLA[Student Number]),0),MATCH(VLOOKUP(H$7,'Writing Logic'!$J$7:$K$11,2,FALSE)&amp;" - Per "&amp;VLOOKUP($C$4,'Writing Logic'!$G$8:$H$14,2,FALSE),YES_Writing_ELA[#Headers],0)))="INS",'Writing Logic'!$B$7,IF(INDEX(_xlfn.VSTACK(YES_Writing_ELA[#Data],YES_Writing_FLA[#Data]),MATCH($A261,_xlfn.VSTACK(YES_Writing_ELA[Student Number],YES_Writing_FLA[Student Number]),0),MATCH(VLOOKUP(H$7,'Writing Logic'!$J$7:$K$11,2,FALSE)&amp;" - Per "&amp;VLOOKUP($C$4,'Writing Logic'!$G$8:$H$14,2,FALSE),YES_Writing_ELA[#Headers],0))=0,"",INDEX(_xlfn.VSTACK(YES_Writing_ELA[#Data],YES_Writing_FLA[#Data]),MATCH($A261,_xlfn.VSTACK(YES_Writing_ELA[Student Number],YES_Writing_FLA[Student Number]),0),MATCH(VLOOKUP(H$7,'Writing Logic'!$J$7:$K$11,2,FALSE)&amp;" - Per "&amp;VLOOKUP($C$4,'Writing Logic'!$G$8:$H$14,2,FALSE),YES_Writing_ELA[#Headers],0)))),"")</f>
        <v/>
      </c>
    </row>
    <row r="262" spans="1:8" x14ac:dyDescent="0.25">
      <c r="A262" s="137"/>
      <c r="B262" s="137" t="str">
        <f>IFERROR(INDEX(_xlfn.VSTACK(YES_Writing_ELA[#Data], YES_Writing_FLA[#Data]),MATCH($A262,_xlfn.VSTACK(YES_Writing_ELA[Student Number], YES_Writing_FLA[Student Number]),0),MATCH(B$7,YES_Writing_ELA[#Headers],0)),"")</f>
        <v/>
      </c>
      <c r="C262" s="137" t="str">
        <f>IFERROR(INDEX(_xlfn.VSTACK(YES_Writing_ELA[#Data], YES_Writing_FLA[#Data]),MATCH($A262,_xlfn.VSTACK(YES_Writing_ELA[Student Number], YES_Writing_FLA[Student Number]),0),MATCH(C$7,YES_Writing_ELA[#Headers],0)),"")</f>
        <v/>
      </c>
      <c r="D262" s="138" t="str">
        <f>IFERROR(IF(IF(INDEX(_xlfn.VSTACK(YES_Writing_ELA[#Data],YES_Writing_FLA[#Data]),MATCH($A262,_xlfn.VSTACK(YES_Writing_ELA[Student Number],YES_Writing_FLA[Student Number]),0),MATCH(VLOOKUP(D$7,'Writing Logic'!$J$7:$K$11,2,FALSE)&amp;" - Per "&amp;VLOOKUP($C$4,'Writing Logic'!$G$8:$H$14,2,FALSE),YES_Writing_ELA[#Headers],0))=0,"",INDEX(_xlfn.VSTACK(YES_Writing_ELA[#Data],YES_Writing_FLA[#Data]),MATCH($A262,_xlfn.VSTACK(YES_Writing_ELA[Student Number],YES_Writing_FLA[Student Number]),0),MATCH(VLOOKUP(D$7,'Writing Logic'!$J$7:$K$11,2,FALSE)&amp;" - Per "&amp;VLOOKUP($C$4,'Writing Logic'!$G$8:$H$14,2,FALSE),YES_Writing_ELA[#Headers],0)))="INS",'Writing Logic'!$B$7,IF(INDEX(_xlfn.VSTACK(YES_Writing_ELA[#Data],YES_Writing_FLA[#Data]),MATCH($A262,_xlfn.VSTACK(YES_Writing_ELA[Student Number],YES_Writing_FLA[Student Number]),0),MATCH(VLOOKUP(D$7,'Writing Logic'!$J$7:$K$11,2,FALSE)&amp;" - Per "&amp;VLOOKUP($C$4,'Writing Logic'!$G$8:$H$14,2,FALSE),YES_Writing_ELA[#Headers],0))=0,"",INDEX(_xlfn.VSTACK(YES_Writing_ELA[#Data],YES_Writing_FLA[#Data]),MATCH($A262,_xlfn.VSTACK(YES_Writing_ELA[Student Number],YES_Writing_FLA[Student Number]),0),MATCH(VLOOKUP(D$7,'Writing Logic'!$J$7:$K$11,2,FALSE)&amp;" - Per "&amp;VLOOKUP($C$4,'Writing Logic'!$G$8:$H$14,2,FALSE),YES_Writing_ELA[#Headers],0)))),"")</f>
        <v/>
      </c>
      <c r="E262" s="138" t="str">
        <f>IFERROR(IF(IF(INDEX(_xlfn.VSTACK(YES_Writing_ELA[#Data],YES_Writing_FLA[#Data]),MATCH($A262,_xlfn.VSTACK(YES_Writing_ELA[Student Number],YES_Writing_FLA[Student Number]),0),MATCH(VLOOKUP(E$7,'Writing Logic'!$J$7:$K$11,2,FALSE)&amp;" - Per "&amp;VLOOKUP($C$4,'Writing Logic'!$G$8:$H$14,2,FALSE),YES_Writing_ELA[#Headers],0))=0,"",INDEX(_xlfn.VSTACK(YES_Writing_ELA[#Data],YES_Writing_FLA[#Data]),MATCH($A262,_xlfn.VSTACK(YES_Writing_ELA[Student Number],YES_Writing_FLA[Student Number]),0),MATCH(VLOOKUP(E$7,'Writing Logic'!$J$7:$K$11,2,FALSE)&amp;" - Per "&amp;VLOOKUP($C$4,'Writing Logic'!$G$8:$H$14,2,FALSE),YES_Writing_ELA[#Headers],0)))="INS",'Writing Logic'!$B$7,IF(INDEX(_xlfn.VSTACK(YES_Writing_ELA[#Data],YES_Writing_FLA[#Data]),MATCH($A262,_xlfn.VSTACK(YES_Writing_ELA[Student Number],YES_Writing_FLA[Student Number]),0),MATCH(VLOOKUP(E$7,'Writing Logic'!$J$7:$K$11,2,FALSE)&amp;" - Per "&amp;VLOOKUP($C$4,'Writing Logic'!$G$8:$H$14,2,FALSE),YES_Writing_ELA[#Headers],0))=0,"",INDEX(_xlfn.VSTACK(YES_Writing_ELA[#Data],YES_Writing_FLA[#Data]),MATCH($A262,_xlfn.VSTACK(YES_Writing_ELA[Student Number],YES_Writing_FLA[Student Number]),0),MATCH(VLOOKUP(E$7,'Writing Logic'!$J$7:$K$11,2,FALSE)&amp;" - Per "&amp;VLOOKUP($C$4,'Writing Logic'!$G$8:$H$14,2,FALSE),YES_Writing_ELA[#Headers],0)))),"")</f>
        <v/>
      </c>
      <c r="F262" s="138" t="str">
        <f>IFERROR(IF(IF(INDEX(_xlfn.VSTACK(YES_Writing_ELA[#Data],YES_Writing_FLA[#Data]),MATCH($A262,_xlfn.VSTACK(YES_Writing_ELA[Student Number],YES_Writing_FLA[Student Number]),0),MATCH(VLOOKUP(F$7,'Writing Logic'!$J$7:$K$11,2,FALSE)&amp;" - Per "&amp;VLOOKUP($C$4,'Writing Logic'!$G$8:$H$14,2,FALSE),YES_Writing_ELA[#Headers],0))=0,"",INDEX(_xlfn.VSTACK(YES_Writing_ELA[#Data],YES_Writing_FLA[#Data]),MATCH($A262,_xlfn.VSTACK(YES_Writing_ELA[Student Number],YES_Writing_FLA[Student Number]),0),MATCH(VLOOKUP(F$7,'Writing Logic'!$J$7:$K$11,2,FALSE)&amp;" - Per "&amp;VLOOKUP($C$4,'Writing Logic'!$G$8:$H$14,2,FALSE),YES_Writing_ELA[#Headers],0)))="INS",'Writing Logic'!$B$7,IF(INDEX(_xlfn.VSTACK(YES_Writing_ELA[#Data],YES_Writing_FLA[#Data]),MATCH($A262,_xlfn.VSTACK(YES_Writing_ELA[Student Number],YES_Writing_FLA[Student Number]),0),MATCH(VLOOKUP(F$7,'Writing Logic'!$J$7:$K$11,2,FALSE)&amp;" - Per "&amp;VLOOKUP($C$4,'Writing Logic'!$G$8:$H$14,2,FALSE),YES_Writing_ELA[#Headers],0))=0,"",INDEX(_xlfn.VSTACK(YES_Writing_ELA[#Data],YES_Writing_FLA[#Data]),MATCH($A262,_xlfn.VSTACK(YES_Writing_ELA[Student Number],YES_Writing_FLA[Student Number]),0),MATCH(VLOOKUP(F$7,'Writing Logic'!$J$7:$K$11,2,FALSE)&amp;" - Per "&amp;VLOOKUP($C$4,'Writing Logic'!$G$8:$H$14,2,FALSE),YES_Writing_ELA[#Headers],0)))),"")</f>
        <v/>
      </c>
      <c r="G262" s="138" t="str">
        <f>IFERROR(IF(IF(INDEX(_xlfn.VSTACK(YES_Writing_ELA[#Data],YES_Writing_FLA[#Data]),MATCH($A262,_xlfn.VSTACK(YES_Writing_ELA[Student Number],YES_Writing_FLA[Student Number]),0),MATCH(VLOOKUP(G$7,'Writing Logic'!$J$7:$K$11,2,FALSE)&amp;" - Per "&amp;VLOOKUP($C$4,'Writing Logic'!$G$8:$H$14,2,FALSE),YES_Writing_ELA[#Headers],0))=0,"",INDEX(_xlfn.VSTACK(YES_Writing_ELA[#Data],YES_Writing_FLA[#Data]),MATCH($A262,_xlfn.VSTACK(YES_Writing_ELA[Student Number],YES_Writing_FLA[Student Number]),0),MATCH(VLOOKUP(G$7,'Writing Logic'!$J$7:$K$11,2,FALSE)&amp;" - Per "&amp;VLOOKUP($C$4,'Writing Logic'!$G$8:$H$14,2,FALSE),YES_Writing_ELA[#Headers],0)))="INS",'Writing Logic'!$B$7,IF(INDEX(_xlfn.VSTACK(YES_Writing_ELA[#Data],YES_Writing_FLA[#Data]),MATCH($A262,_xlfn.VSTACK(YES_Writing_ELA[Student Number],YES_Writing_FLA[Student Number]),0),MATCH(VLOOKUP(G$7,'Writing Logic'!$J$7:$K$11,2,FALSE)&amp;" - Per "&amp;VLOOKUP($C$4,'Writing Logic'!$G$8:$H$14,2,FALSE),YES_Writing_ELA[#Headers],0))=0,"",INDEX(_xlfn.VSTACK(YES_Writing_ELA[#Data],YES_Writing_FLA[#Data]),MATCH($A262,_xlfn.VSTACK(YES_Writing_ELA[Student Number],YES_Writing_FLA[Student Number]),0),MATCH(VLOOKUP(G$7,'Writing Logic'!$J$7:$K$11,2,FALSE)&amp;" - Per "&amp;VLOOKUP($C$4,'Writing Logic'!$G$8:$H$14,2,FALSE),YES_Writing_ELA[#Headers],0)))),"")</f>
        <v/>
      </c>
      <c r="H262" s="138" t="str">
        <f>IFERROR(IF(IF(INDEX(_xlfn.VSTACK(YES_Writing_ELA[#Data],YES_Writing_FLA[#Data]),MATCH($A262,_xlfn.VSTACK(YES_Writing_ELA[Student Number],YES_Writing_FLA[Student Number]),0),MATCH(VLOOKUP(H$7,'Writing Logic'!$J$7:$K$11,2,FALSE)&amp;" - Per "&amp;VLOOKUP($C$4,'Writing Logic'!$G$8:$H$14,2,FALSE),YES_Writing_ELA[#Headers],0))=0,"",INDEX(_xlfn.VSTACK(YES_Writing_ELA[#Data],YES_Writing_FLA[#Data]),MATCH($A262,_xlfn.VSTACK(YES_Writing_ELA[Student Number],YES_Writing_FLA[Student Number]),0),MATCH(VLOOKUP(H$7,'Writing Logic'!$J$7:$K$11,2,FALSE)&amp;" - Per "&amp;VLOOKUP($C$4,'Writing Logic'!$G$8:$H$14,2,FALSE),YES_Writing_ELA[#Headers],0)))="INS",'Writing Logic'!$B$7,IF(INDEX(_xlfn.VSTACK(YES_Writing_ELA[#Data],YES_Writing_FLA[#Data]),MATCH($A262,_xlfn.VSTACK(YES_Writing_ELA[Student Number],YES_Writing_FLA[Student Number]),0),MATCH(VLOOKUP(H$7,'Writing Logic'!$J$7:$K$11,2,FALSE)&amp;" - Per "&amp;VLOOKUP($C$4,'Writing Logic'!$G$8:$H$14,2,FALSE),YES_Writing_ELA[#Headers],0))=0,"",INDEX(_xlfn.VSTACK(YES_Writing_ELA[#Data],YES_Writing_FLA[#Data]),MATCH($A262,_xlfn.VSTACK(YES_Writing_ELA[Student Number],YES_Writing_FLA[Student Number]),0),MATCH(VLOOKUP(H$7,'Writing Logic'!$J$7:$K$11,2,FALSE)&amp;" - Per "&amp;VLOOKUP($C$4,'Writing Logic'!$G$8:$H$14,2,FALSE),YES_Writing_ELA[#Headers],0)))),"")</f>
        <v/>
      </c>
    </row>
    <row r="263" spans="1:8" x14ac:dyDescent="0.25">
      <c r="A263" s="137"/>
      <c r="B263" s="137" t="str">
        <f>IFERROR(INDEX(_xlfn.VSTACK(YES_Writing_ELA[#Data], YES_Writing_FLA[#Data]),MATCH($A263,_xlfn.VSTACK(YES_Writing_ELA[Student Number], YES_Writing_FLA[Student Number]),0),MATCH(B$7,YES_Writing_ELA[#Headers],0)),"")</f>
        <v/>
      </c>
      <c r="C263" s="137" t="str">
        <f>IFERROR(INDEX(_xlfn.VSTACK(YES_Writing_ELA[#Data], YES_Writing_FLA[#Data]),MATCH($A263,_xlfn.VSTACK(YES_Writing_ELA[Student Number], YES_Writing_FLA[Student Number]),0),MATCH(C$7,YES_Writing_ELA[#Headers],0)),"")</f>
        <v/>
      </c>
      <c r="D263" s="138" t="str">
        <f>IFERROR(IF(IF(INDEX(_xlfn.VSTACK(YES_Writing_ELA[#Data],YES_Writing_FLA[#Data]),MATCH($A263,_xlfn.VSTACK(YES_Writing_ELA[Student Number],YES_Writing_FLA[Student Number]),0),MATCH(VLOOKUP(D$7,'Writing Logic'!$J$7:$K$11,2,FALSE)&amp;" - Per "&amp;VLOOKUP($C$4,'Writing Logic'!$G$8:$H$14,2,FALSE),YES_Writing_ELA[#Headers],0))=0,"",INDEX(_xlfn.VSTACK(YES_Writing_ELA[#Data],YES_Writing_FLA[#Data]),MATCH($A263,_xlfn.VSTACK(YES_Writing_ELA[Student Number],YES_Writing_FLA[Student Number]),0),MATCH(VLOOKUP(D$7,'Writing Logic'!$J$7:$K$11,2,FALSE)&amp;" - Per "&amp;VLOOKUP($C$4,'Writing Logic'!$G$8:$H$14,2,FALSE),YES_Writing_ELA[#Headers],0)))="INS",'Writing Logic'!$B$7,IF(INDEX(_xlfn.VSTACK(YES_Writing_ELA[#Data],YES_Writing_FLA[#Data]),MATCH($A263,_xlfn.VSTACK(YES_Writing_ELA[Student Number],YES_Writing_FLA[Student Number]),0),MATCH(VLOOKUP(D$7,'Writing Logic'!$J$7:$K$11,2,FALSE)&amp;" - Per "&amp;VLOOKUP($C$4,'Writing Logic'!$G$8:$H$14,2,FALSE),YES_Writing_ELA[#Headers],0))=0,"",INDEX(_xlfn.VSTACK(YES_Writing_ELA[#Data],YES_Writing_FLA[#Data]),MATCH($A263,_xlfn.VSTACK(YES_Writing_ELA[Student Number],YES_Writing_FLA[Student Number]),0),MATCH(VLOOKUP(D$7,'Writing Logic'!$J$7:$K$11,2,FALSE)&amp;" - Per "&amp;VLOOKUP($C$4,'Writing Logic'!$G$8:$H$14,2,FALSE),YES_Writing_ELA[#Headers],0)))),"")</f>
        <v/>
      </c>
      <c r="E263" s="138" t="str">
        <f>IFERROR(IF(IF(INDEX(_xlfn.VSTACK(YES_Writing_ELA[#Data],YES_Writing_FLA[#Data]),MATCH($A263,_xlfn.VSTACK(YES_Writing_ELA[Student Number],YES_Writing_FLA[Student Number]),0),MATCH(VLOOKUP(E$7,'Writing Logic'!$J$7:$K$11,2,FALSE)&amp;" - Per "&amp;VLOOKUP($C$4,'Writing Logic'!$G$8:$H$14,2,FALSE),YES_Writing_ELA[#Headers],0))=0,"",INDEX(_xlfn.VSTACK(YES_Writing_ELA[#Data],YES_Writing_FLA[#Data]),MATCH($A263,_xlfn.VSTACK(YES_Writing_ELA[Student Number],YES_Writing_FLA[Student Number]),0),MATCH(VLOOKUP(E$7,'Writing Logic'!$J$7:$K$11,2,FALSE)&amp;" - Per "&amp;VLOOKUP($C$4,'Writing Logic'!$G$8:$H$14,2,FALSE),YES_Writing_ELA[#Headers],0)))="INS",'Writing Logic'!$B$7,IF(INDEX(_xlfn.VSTACK(YES_Writing_ELA[#Data],YES_Writing_FLA[#Data]),MATCH($A263,_xlfn.VSTACK(YES_Writing_ELA[Student Number],YES_Writing_FLA[Student Number]),0),MATCH(VLOOKUP(E$7,'Writing Logic'!$J$7:$K$11,2,FALSE)&amp;" - Per "&amp;VLOOKUP($C$4,'Writing Logic'!$G$8:$H$14,2,FALSE),YES_Writing_ELA[#Headers],0))=0,"",INDEX(_xlfn.VSTACK(YES_Writing_ELA[#Data],YES_Writing_FLA[#Data]),MATCH($A263,_xlfn.VSTACK(YES_Writing_ELA[Student Number],YES_Writing_FLA[Student Number]),0),MATCH(VLOOKUP(E$7,'Writing Logic'!$J$7:$K$11,2,FALSE)&amp;" - Per "&amp;VLOOKUP($C$4,'Writing Logic'!$G$8:$H$14,2,FALSE),YES_Writing_ELA[#Headers],0)))),"")</f>
        <v/>
      </c>
      <c r="F263" s="138" t="str">
        <f>IFERROR(IF(IF(INDEX(_xlfn.VSTACK(YES_Writing_ELA[#Data],YES_Writing_FLA[#Data]),MATCH($A263,_xlfn.VSTACK(YES_Writing_ELA[Student Number],YES_Writing_FLA[Student Number]),0),MATCH(VLOOKUP(F$7,'Writing Logic'!$J$7:$K$11,2,FALSE)&amp;" - Per "&amp;VLOOKUP($C$4,'Writing Logic'!$G$8:$H$14,2,FALSE),YES_Writing_ELA[#Headers],0))=0,"",INDEX(_xlfn.VSTACK(YES_Writing_ELA[#Data],YES_Writing_FLA[#Data]),MATCH($A263,_xlfn.VSTACK(YES_Writing_ELA[Student Number],YES_Writing_FLA[Student Number]),0),MATCH(VLOOKUP(F$7,'Writing Logic'!$J$7:$K$11,2,FALSE)&amp;" - Per "&amp;VLOOKUP($C$4,'Writing Logic'!$G$8:$H$14,2,FALSE),YES_Writing_ELA[#Headers],0)))="INS",'Writing Logic'!$B$7,IF(INDEX(_xlfn.VSTACK(YES_Writing_ELA[#Data],YES_Writing_FLA[#Data]),MATCH($A263,_xlfn.VSTACK(YES_Writing_ELA[Student Number],YES_Writing_FLA[Student Number]),0),MATCH(VLOOKUP(F$7,'Writing Logic'!$J$7:$K$11,2,FALSE)&amp;" - Per "&amp;VLOOKUP($C$4,'Writing Logic'!$G$8:$H$14,2,FALSE),YES_Writing_ELA[#Headers],0))=0,"",INDEX(_xlfn.VSTACK(YES_Writing_ELA[#Data],YES_Writing_FLA[#Data]),MATCH($A263,_xlfn.VSTACK(YES_Writing_ELA[Student Number],YES_Writing_FLA[Student Number]),0),MATCH(VLOOKUP(F$7,'Writing Logic'!$J$7:$K$11,2,FALSE)&amp;" - Per "&amp;VLOOKUP($C$4,'Writing Logic'!$G$8:$H$14,2,FALSE),YES_Writing_ELA[#Headers],0)))),"")</f>
        <v/>
      </c>
      <c r="G263" s="138" t="str">
        <f>IFERROR(IF(IF(INDEX(_xlfn.VSTACK(YES_Writing_ELA[#Data],YES_Writing_FLA[#Data]),MATCH($A263,_xlfn.VSTACK(YES_Writing_ELA[Student Number],YES_Writing_FLA[Student Number]),0),MATCH(VLOOKUP(G$7,'Writing Logic'!$J$7:$K$11,2,FALSE)&amp;" - Per "&amp;VLOOKUP($C$4,'Writing Logic'!$G$8:$H$14,2,FALSE),YES_Writing_ELA[#Headers],0))=0,"",INDEX(_xlfn.VSTACK(YES_Writing_ELA[#Data],YES_Writing_FLA[#Data]),MATCH($A263,_xlfn.VSTACK(YES_Writing_ELA[Student Number],YES_Writing_FLA[Student Number]),0),MATCH(VLOOKUP(G$7,'Writing Logic'!$J$7:$K$11,2,FALSE)&amp;" - Per "&amp;VLOOKUP($C$4,'Writing Logic'!$G$8:$H$14,2,FALSE),YES_Writing_ELA[#Headers],0)))="INS",'Writing Logic'!$B$7,IF(INDEX(_xlfn.VSTACK(YES_Writing_ELA[#Data],YES_Writing_FLA[#Data]),MATCH($A263,_xlfn.VSTACK(YES_Writing_ELA[Student Number],YES_Writing_FLA[Student Number]),0),MATCH(VLOOKUP(G$7,'Writing Logic'!$J$7:$K$11,2,FALSE)&amp;" - Per "&amp;VLOOKUP($C$4,'Writing Logic'!$G$8:$H$14,2,FALSE),YES_Writing_ELA[#Headers],0))=0,"",INDEX(_xlfn.VSTACK(YES_Writing_ELA[#Data],YES_Writing_FLA[#Data]),MATCH($A263,_xlfn.VSTACK(YES_Writing_ELA[Student Number],YES_Writing_FLA[Student Number]),0),MATCH(VLOOKUP(G$7,'Writing Logic'!$J$7:$K$11,2,FALSE)&amp;" - Per "&amp;VLOOKUP($C$4,'Writing Logic'!$G$8:$H$14,2,FALSE),YES_Writing_ELA[#Headers],0)))),"")</f>
        <v/>
      </c>
      <c r="H263" s="138" t="str">
        <f>IFERROR(IF(IF(INDEX(_xlfn.VSTACK(YES_Writing_ELA[#Data],YES_Writing_FLA[#Data]),MATCH($A263,_xlfn.VSTACK(YES_Writing_ELA[Student Number],YES_Writing_FLA[Student Number]),0),MATCH(VLOOKUP(H$7,'Writing Logic'!$J$7:$K$11,2,FALSE)&amp;" - Per "&amp;VLOOKUP($C$4,'Writing Logic'!$G$8:$H$14,2,FALSE),YES_Writing_ELA[#Headers],0))=0,"",INDEX(_xlfn.VSTACK(YES_Writing_ELA[#Data],YES_Writing_FLA[#Data]),MATCH($A263,_xlfn.VSTACK(YES_Writing_ELA[Student Number],YES_Writing_FLA[Student Number]),0),MATCH(VLOOKUP(H$7,'Writing Logic'!$J$7:$K$11,2,FALSE)&amp;" - Per "&amp;VLOOKUP($C$4,'Writing Logic'!$G$8:$H$14,2,FALSE),YES_Writing_ELA[#Headers],0)))="INS",'Writing Logic'!$B$7,IF(INDEX(_xlfn.VSTACK(YES_Writing_ELA[#Data],YES_Writing_FLA[#Data]),MATCH($A263,_xlfn.VSTACK(YES_Writing_ELA[Student Number],YES_Writing_FLA[Student Number]),0),MATCH(VLOOKUP(H$7,'Writing Logic'!$J$7:$K$11,2,FALSE)&amp;" - Per "&amp;VLOOKUP($C$4,'Writing Logic'!$G$8:$H$14,2,FALSE),YES_Writing_ELA[#Headers],0))=0,"",INDEX(_xlfn.VSTACK(YES_Writing_ELA[#Data],YES_Writing_FLA[#Data]),MATCH($A263,_xlfn.VSTACK(YES_Writing_ELA[Student Number],YES_Writing_FLA[Student Number]),0),MATCH(VLOOKUP(H$7,'Writing Logic'!$J$7:$K$11,2,FALSE)&amp;" - Per "&amp;VLOOKUP($C$4,'Writing Logic'!$G$8:$H$14,2,FALSE),YES_Writing_ELA[#Headers],0)))),"")</f>
        <v/>
      </c>
    </row>
    <row r="264" spans="1:8" x14ac:dyDescent="0.25">
      <c r="A264" s="137"/>
      <c r="B264" s="137" t="str">
        <f>IFERROR(INDEX(_xlfn.VSTACK(YES_Writing_ELA[#Data], YES_Writing_FLA[#Data]),MATCH($A264,_xlfn.VSTACK(YES_Writing_ELA[Student Number], YES_Writing_FLA[Student Number]),0),MATCH(B$7,YES_Writing_ELA[#Headers],0)),"")</f>
        <v/>
      </c>
      <c r="C264" s="137" t="str">
        <f>IFERROR(INDEX(_xlfn.VSTACK(YES_Writing_ELA[#Data], YES_Writing_FLA[#Data]),MATCH($A264,_xlfn.VSTACK(YES_Writing_ELA[Student Number], YES_Writing_FLA[Student Number]),0),MATCH(C$7,YES_Writing_ELA[#Headers],0)),"")</f>
        <v/>
      </c>
      <c r="D264" s="138" t="str">
        <f>IFERROR(IF(IF(INDEX(_xlfn.VSTACK(YES_Writing_ELA[#Data],YES_Writing_FLA[#Data]),MATCH($A264,_xlfn.VSTACK(YES_Writing_ELA[Student Number],YES_Writing_FLA[Student Number]),0),MATCH(VLOOKUP(D$7,'Writing Logic'!$J$7:$K$11,2,FALSE)&amp;" - Per "&amp;VLOOKUP($C$4,'Writing Logic'!$G$8:$H$14,2,FALSE),YES_Writing_ELA[#Headers],0))=0,"",INDEX(_xlfn.VSTACK(YES_Writing_ELA[#Data],YES_Writing_FLA[#Data]),MATCH($A264,_xlfn.VSTACK(YES_Writing_ELA[Student Number],YES_Writing_FLA[Student Number]),0),MATCH(VLOOKUP(D$7,'Writing Logic'!$J$7:$K$11,2,FALSE)&amp;" - Per "&amp;VLOOKUP($C$4,'Writing Logic'!$G$8:$H$14,2,FALSE),YES_Writing_ELA[#Headers],0)))="INS",'Writing Logic'!$B$7,IF(INDEX(_xlfn.VSTACK(YES_Writing_ELA[#Data],YES_Writing_FLA[#Data]),MATCH($A264,_xlfn.VSTACK(YES_Writing_ELA[Student Number],YES_Writing_FLA[Student Number]),0),MATCH(VLOOKUP(D$7,'Writing Logic'!$J$7:$K$11,2,FALSE)&amp;" - Per "&amp;VLOOKUP($C$4,'Writing Logic'!$G$8:$H$14,2,FALSE),YES_Writing_ELA[#Headers],0))=0,"",INDEX(_xlfn.VSTACK(YES_Writing_ELA[#Data],YES_Writing_FLA[#Data]),MATCH($A264,_xlfn.VSTACK(YES_Writing_ELA[Student Number],YES_Writing_FLA[Student Number]),0),MATCH(VLOOKUP(D$7,'Writing Logic'!$J$7:$K$11,2,FALSE)&amp;" - Per "&amp;VLOOKUP($C$4,'Writing Logic'!$G$8:$H$14,2,FALSE),YES_Writing_ELA[#Headers],0)))),"")</f>
        <v/>
      </c>
      <c r="E264" s="138" t="str">
        <f>IFERROR(IF(IF(INDEX(_xlfn.VSTACK(YES_Writing_ELA[#Data],YES_Writing_FLA[#Data]),MATCH($A264,_xlfn.VSTACK(YES_Writing_ELA[Student Number],YES_Writing_FLA[Student Number]),0),MATCH(VLOOKUP(E$7,'Writing Logic'!$J$7:$K$11,2,FALSE)&amp;" - Per "&amp;VLOOKUP($C$4,'Writing Logic'!$G$8:$H$14,2,FALSE),YES_Writing_ELA[#Headers],0))=0,"",INDEX(_xlfn.VSTACK(YES_Writing_ELA[#Data],YES_Writing_FLA[#Data]),MATCH($A264,_xlfn.VSTACK(YES_Writing_ELA[Student Number],YES_Writing_FLA[Student Number]),0),MATCH(VLOOKUP(E$7,'Writing Logic'!$J$7:$K$11,2,FALSE)&amp;" - Per "&amp;VLOOKUP($C$4,'Writing Logic'!$G$8:$H$14,2,FALSE),YES_Writing_ELA[#Headers],0)))="INS",'Writing Logic'!$B$7,IF(INDEX(_xlfn.VSTACK(YES_Writing_ELA[#Data],YES_Writing_FLA[#Data]),MATCH($A264,_xlfn.VSTACK(YES_Writing_ELA[Student Number],YES_Writing_FLA[Student Number]),0),MATCH(VLOOKUP(E$7,'Writing Logic'!$J$7:$K$11,2,FALSE)&amp;" - Per "&amp;VLOOKUP($C$4,'Writing Logic'!$G$8:$H$14,2,FALSE),YES_Writing_ELA[#Headers],0))=0,"",INDEX(_xlfn.VSTACK(YES_Writing_ELA[#Data],YES_Writing_FLA[#Data]),MATCH($A264,_xlfn.VSTACK(YES_Writing_ELA[Student Number],YES_Writing_FLA[Student Number]),0),MATCH(VLOOKUP(E$7,'Writing Logic'!$J$7:$K$11,2,FALSE)&amp;" - Per "&amp;VLOOKUP($C$4,'Writing Logic'!$G$8:$H$14,2,FALSE),YES_Writing_ELA[#Headers],0)))),"")</f>
        <v/>
      </c>
      <c r="F264" s="138" t="str">
        <f>IFERROR(IF(IF(INDEX(_xlfn.VSTACK(YES_Writing_ELA[#Data],YES_Writing_FLA[#Data]),MATCH($A264,_xlfn.VSTACK(YES_Writing_ELA[Student Number],YES_Writing_FLA[Student Number]),0),MATCH(VLOOKUP(F$7,'Writing Logic'!$J$7:$K$11,2,FALSE)&amp;" - Per "&amp;VLOOKUP($C$4,'Writing Logic'!$G$8:$H$14,2,FALSE),YES_Writing_ELA[#Headers],0))=0,"",INDEX(_xlfn.VSTACK(YES_Writing_ELA[#Data],YES_Writing_FLA[#Data]),MATCH($A264,_xlfn.VSTACK(YES_Writing_ELA[Student Number],YES_Writing_FLA[Student Number]),0),MATCH(VLOOKUP(F$7,'Writing Logic'!$J$7:$K$11,2,FALSE)&amp;" - Per "&amp;VLOOKUP($C$4,'Writing Logic'!$G$8:$H$14,2,FALSE),YES_Writing_ELA[#Headers],0)))="INS",'Writing Logic'!$B$7,IF(INDEX(_xlfn.VSTACK(YES_Writing_ELA[#Data],YES_Writing_FLA[#Data]),MATCH($A264,_xlfn.VSTACK(YES_Writing_ELA[Student Number],YES_Writing_FLA[Student Number]),0),MATCH(VLOOKUP(F$7,'Writing Logic'!$J$7:$K$11,2,FALSE)&amp;" - Per "&amp;VLOOKUP($C$4,'Writing Logic'!$G$8:$H$14,2,FALSE),YES_Writing_ELA[#Headers],0))=0,"",INDEX(_xlfn.VSTACK(YES_Writing_ELA[#Data],YES_Writing_FLA[#Data]),MATCH($A264,_xlfn.VSTACK(YES_Writing_ELA[Student Number],YES_Writing_FLA[Student Number]),0),MATCH(VLOOKUP(F$7,'Writing Logic'!$J$7:$K$11,2,FALSE)&amp;" - Per "&amp;VLOOKUP($C$4,'Writing Logic'!$G$8:$H$14,2,FALSE),YES_Writing_ELA[#Headers],0)))),"")</f>
        <v/>
      </c>
      <c r="G264" s="138" t="str">
        <f>IFERROR(IF(IF(INDEX(_xlfn.VSTACK(YES_Writing_ELA[#Data],YES_Writing_FLA[#Data]),MATCH($A264,_xlfn.VSTACK(YES_Writing_ELA[Student Number],YES_Writing_FLA[Student Number]),0),MATCH(VLOOKUP(G$7,'Writing Logic'!$J$7:$K$11,2,FALSE)&amp;" - Per "&amp;VLOOKUP($C$4,'Writing Logic'!$G$8:$H$14,2,FALSE),YES_Writing_ELA[#Headers],0))=0,"",INDEX(_xlfn.VSTACK(YES_Writing_ELA[#Data],YES_Writing_FLA[#Data]),MATCH($A264,_xlfn.VSTACK(YES_Writing_ELA[Student Number],YES_Writing_FLA[Student Number]),0),MATCH(VLOOKUP(G$7,'Writing Logic'!$J$7:$K$11,2,FALSE)&amp;" - Per "&amp;VLOOKUP($C$4,'Writing Logic'!$G$8:$H$14,2,FALSE),YES_Writing_ELA[#Headers],0)))="INS",'Writing Logic'!$B$7,IF(INDEX(_xlfn.VSTACK(YES_Writing_ELA[#Data],YES_Writing_FLA[#Data]),MATCH($A264,_xlfn.VSTACK(YES_Writing_ELA[Student Number],YES_Writing_FLA[Student Number]),0),MATCH(VLOOKUP(G$7,'Writing Logic'!$J$7:$K$11,2,FALSE)&amp;" - Per "&amp;VLOOKUP($C$4,'Writing Logic'!$G$8:$H$14,2,FALSE),YES_Writing_ELA[#Headers],0))=0,"",INDEX(_xlfn.VSTACK(YES_Writing_ELA[#Data],YES_Writing_FLA[#Data]),MATCH($A264,_xlfn.VSTACK(YES_Writing_ELA[Student Number],YES_Writing_FLA[Student Number]),0),MATCH(VLOOKUP(G$7,'Writing Logic'!$J$7:$K$11,2,FALSE)&amp;" - Per "&amp;VLOOKUP($C$4,'Writing Logic'!$G$8:$H$14,2,FALSE),YES_Writing_ELA[#Headers],0)))),"")</f>
        <v/>
      </c>
      <c r="H264" s="138" t="str">
        <f>IFERROR(IF(IF(INDEX(_xlfn.VSTACK(YES_Writing_ELA[#Data],YES_Writing_FLA[#Data]),MATCH($A264,_xlfn.VSTACK(YES_Writing_ELA[Student Number],YES_Writing_FLA[Student Number]),0),MATCH(VLOOKUP(H$7,'Writing Logic'!$J$7:$K$11,2,FALSE)&amp;" - Per "&amp;VLOOKUP($C$4,'Writing Logic'!$G$8:$H$14,2,FALSE),YES_Writing_ELA[#Headers],0))=0,"",INDEX(_xlfn.VSTACK(YES_Writing_ELA[#Data],YES_Writing_FLA[#Data]),MATCH($A264,_xlfn.VSTACK(YES_Writing_ELA[Student Number],YES_Writing_FLA[Student Number]),0),MATCH(VLOOKUP(H$7,'Writing Logic'!$J$7:$K$11,2,FALSE)&amp;" - Per "&amp;VLOOKUP($C$4,'Writing Logic'!$G$8:$H$14,2,FALSE),YES_Writing_ELA[#Headers],0)))="INS",'Writing Logic'!$B$7,IF(INDEX(_xlfn.VSTACK(YES_Writing_ELA[#Data],YES_Writing_FLA[#Data]),MATCH($A264,_xlfn.VSTACK(YES_Writing_ELA[Student Number],YES_Writing_FLA[Student Number]),0),MATCH(VLOOKUP(H$7,'Writing Logic'!$J$7:$K$11,2,FALSE)&amp;" - Per "&amp;VLOOKUP($C$4,'Writing Logic'!$G$8:$H$14,2,FALSE),YES_Writing_ELA[#Headers],0))=0,"",INDEX(_xlfn.VSTACK(YES_Writing_ELA[#Data],YES_Writing_FLA[#Data]),MATCH($A264,_xlfn.VSTACK(YES_Writing_ELA[Student Number],YES_Writing_FLA[Student Number]),0),MATCH(VLOOKUP(H$7,'Writing Logic'!$J$7:$K$11,2,FALSE)&amp;" - Per "&amp;VLOOKUP($C$4,'Writing Logic'!$G$8:$H$14,2,FALSE),YES_Writing_ELA[#Headers],0)))),"")</f>
        <v/>
      </c>
    </row>
    <row r="265" spans="1:8" x14ac:dyDescent="0.25">
      <c r="A265" s="137"/>
      <c r="B265" s="137" t="str">
        <f>IFERROR(INDEX(_xlfn.VSTACK(YES_Writing_ELA[#Data], YES_Writing_FLA[#Data]),MATCH($A265,_xlfn.VSTACK(YES_Writing_ELA[Student Number], YES_Writing_FLA[Student Number]),0),MATCH(B$7,YES_Writing_ELA[#Headers],0)),"")</f>
        <v/>
      </c>
      <c r="C265" s="137" t="str">
        <f>IFERROR(INDEX(_xlfn.VSTACK(YES_Writing_ELA[#Data], YES_Writing_FLA[#Data]),MATCH($A265,_xlfn.VSTACK(YES_Writing_ELA[Student Number], YES_Writing_FLA[Student Number]),0),MATCH(C$7,YES_Writing_ELA[#Headers],0)),"")</f>
        <v/>
      </c>
      <c r="D265" s="138" t="str">
        <f>IFERROR(IF(IF(INDEX(_xlfn.VSTACK(YES_Writing_ELA[#Data],YES_Writing_FLA[#Data]),MATCH($A265,_xlfn.VSTACK(YES_Writing_ELA[Student Number],YES_Writing_FLA[Student Number]),0),MATCH(VLOOKUP(D$7,'Writing Logic'!$J$7:$K$11,2,FALSE)&amp;" - Per "&amp;VLOOKUP($C$4,'Writing Logic'!$G$8:$H$14,2,FALSE),YES_Writing_ELA[#Headers],0))=0,"",INDEX(_xlfn.VSTACK(YES_Writing_ELA[#Data],YES_Writing_FLA[#Data]),MATCH($A265,_xlfn.VSTACK(YES_Writing_ELA[Student Number],YES_Writing_FLA[Student Number]),0),MATCH(VLOOKUP(D$7,'Writing Logic'!$J$7:$K$11,2,FALSE)&amp;" - Per "&amp;VLOOKUP($C$4,'Writing Logic'!$G$8:$H$14,2,FALSE),YES_Writing_ELA[#Headers],0)))="INS",'Writing Logic'!$B$7,IF(INDEX(_xlfn.VSTACK(YES_Writing_ELA[#Data],YES_Writing_FLA[#Data]),MATCH($A265,_xlfn.VSTACK(YES_Writing_ELA[Student Number],YES_Writing_FLA[Student Number]),0),MATCH(VLOOKUP(D$7,'Writing Logic'!$J$7:$K$11,2,FALSE)&amp;" - Per "&amp;VLOOKUP($C$4,'Writing Logic'!$G$8:$H$14,2,FALSE),YES_Writing_ELA[#Headers],0))=0,"",INDEX(_xlfn.VSTACK(YES_Writing_ELA[#Data],YES_Writing_FLA[#Data]),MATCH($A265,_xlfn.VSTACK(YES_Writing_ELA[Student Number],YES_Writing_FLA[Student Number]),0),MATCH(VLOOKUP(D$7,'Writing Logic'!$J$7:$K$11,2,FALSE)&amp;" - Per "&amp;VLOOKUP($C$4,'Writing Logic'!$G$8:$H$14,2,FALSE),YES_Writing_ELA[#Headers],0)))),"")</f>
        <v/>
      </c>
      <c r="E265" s="138" t="str">
        <f>IFERROR(IF(IF(INDEX(_xlfn.VSTACK(YES_Writing_ELA[#Data],YES_Writing_FLA[#Data]),MATCH($A265,_xlfn.VSTACK(YES_Writing_ELA[Student Number],YES_Writing_FLA[Student Number]),0),MATCH(VLOOKUP(E$7,'Writing Logic'!$J$7:$K$11,2,FALSE)&amp;" - Per "&amp;VLOOKUP($C$4,'Writing Logic'!$G$8:$H$14,2,FALSE),YES_Writing_ELA[#Headers],0))=0,"",INDEX(_xlfn.VSTACK(YES_Writing_ELA[#Data],YES_Writing_FLA[#Data]),MATCH($A265,_xlfn.VSTACK(YES_Writing_ELA[Student Number],YES_Writing_FLA[Student Number]),0),MATCH(VLOOKUP(E$7,'Writing Logic'!$J$7:$K$11,2,FALSE)&amp;" - Per "&amp;VLOOKUP($C$4,'Writing Logic'!$G$8:$H$14,2,FALSE),YES_Writing_ELA[#Headers],0)))="INS",'Writing Logic'!$B$7,IF(INDEX(_xlfn.VSTACK(YES_Writing_ELA[#Data],YES_Writing_FLA[#Data]),MATCH($A265,_xlfn.VSTACK(YES_Writing_ELA[Student Number],YES_Writing_FLA[Student Number]),0),MATCH(VLOOKUP(E$7,'Writing Logic'!$J$7:$K$11,2,FALSE)&amp;" - Per "&amp;VLOOKUP($C$4,'Writing Logic'!$G$8:$H$14,2,FALSE),YES_Writing_ELA[#Headers],0))=0,"",INDEX(_xlfn.VSTACK(YES_Writing_ELA[#Data],YES_Writing_FLA[#Data]),MATCH($A265,_xlfn.VSTACK(YES_Writing_ELA[Student Number],YES_Writing_FLA[Student Number]),0),MATCH(VLOOKUP(E$7,'Writing Logic'!$J$7:$K$11,2,FALSE)&amp;" - Per "&amp;VLOOKUP($C$4,'Writing Logic'!$G$8:$H$14,2,FALSE),YES_Writing_ELA[#Headers],0)))),"")</f>
        <v/>
      </c>
      <c r="F265" s="138" t="str">
        <f>IFERROR(IF(IF(INDEX(_xlfn.VSTACK(YES_Writing_ELA[#Data],YES_Writing_FLA[#Data]),MATCH($A265,_xlfn.VSTACK(YES_Writing_ELA[Student Number],YES_Writing_FLA[Student Number]),0),MATCH(VLOOKUP(F$7,'Writing Logic'!$J$7:$K$11,2,FALSE)&amp;" - Per "&amp;VLOOKUP($C$4,'Writing Logic'!$G$8:$H$14,2,FALSE),YES_Writing_ELA[#Headers],0))=0,"",INDEX(_xlfn.VSTACK(YES_Writing_ELA[#Data],YES_Writing_FLA[#Data]),MATCH($A265,_xlfn.VSTACK(YES_Writing_ELA[Student Number],YES_Writing_FLA[Student Number]),0),MATCH(VLOOKUP(F$7,'Writing Logic'!$J$7:$K$11,2,FALSE)&amp;" - Per "&amp;VLOOKUP($C$4,'Writing Logic'!$G$8:$H$14,2,FALSE),YES_Writing_ELA[#Headers],0)))="INS",'Writing Logic'!$B$7,IF(INDEX(_xlfn.VSTACK(YES_Writing_ELA[#Data],YES_Writing_FLA[#Data]),MATCH($A265,_xlfn.VSTACK(YES_Writing_ELA[Student Number],YES_Writing_FLA[Student Number]),0),MATCH(VLOOKUP(F$7,'Writing Logic'!$J$7:$K$11,2,FALSE)&amp;" - Per "&amp;VLOOKUP($C$4,'Writing Logic'!$G$8:$H$14,2,FALSE),YES_Writing_ELA[#Headers],0))=0,"",INDEX(_xlfn.VSTACK(YES_Writing_ELA[#Data],YES_Writing_FLA[#Data]),MATCH($A265,_xlfn.VSTACK(YES_Writing_ELA[Student Number],YES_Writing_FLA[Student Number]),0),MATCH(VLOOKUP(F$7,'Writing Logic'!$J$7:$K$11,2,FALSE)&amp;" - Per "&amp;VLOOKUP($C$4,'Writing Logic'!$G$8:$H$14,2,FALSE),YES_Writing_ELA[#Headers],0)))),"")</f>
        <v/>
      </c>
      <c r="G265" s="138" t="str">
        <f>IFERROR(IF(IF(INDEX(_xlfn.VSTACK(YES_Writing_ELA[#Data],YES_Writing_FLA[#Data]),MATCH($A265,_xlfn.VSTACK(YES_Writing_ELA[Student Number],YES_Writing_FLA[Student Number]),0),MATCH(VLOOKUP(G$7,'Writing Logic'!$J$7:$K$11,2,FALSE)&amp;" - Per "&amp;VLOOKUP($C$4,'Writing Logic'!$G$8:$H$14,2,FALSE),YES_Writing_ELA[#Headers],0))=0,"",INDEX(_xlfn.VSTACK(YES_Writing_ELA[#Data],YES_Writing_FLA[#Data]),MATCH($A265,_xlfn.VSTACK(YES_Writing_ELA[Student Number],YES_Writing_FLA[Student Number]),0),MATCH(VLOOKUP(G$7,'Writing Logic'!$J$7:$K$11,2,FALSE)&amp;" - Per "&amp;VLOOKUP($C$4,'Writing Logic'!$G$8:$H$14,2,FALSE),YES_Writing_ELA[#Headers],0)))="INS",'Writing Logic'!$B$7,IF(INDEX(_xlfn.VSTACK(YES_Writing_ELA[#Data],YES_Writing_FLA[#Data]),MATCH($A265,_xlfn.VSTACK(YES_Writing_ELA[Student Number],YES_Writing_FLA[Student Number]),0),MATCH(VLOOKUP(G$7,'Writing Logic'!$J$7:$K$11,2,FALSE)&amp;" - Per "&amp;VLOOKUP($C$4,'Writing Logic'!$G$8:$H$14,2,FALSE),YES_Writing_ELA[#Headers],0))=0,"",INDEX(_xlfn.VSTACK(YES_Writing_ELA[#Data],YES_Writing_FLA[#Data]),MATCH($A265,_xlfn.VSTACK(YES_Writing_ELA[Student Number],YES_Writing_FLA[Student Number]),0),MATCH(VLOOKUP(G$7,'Writing Logic'!$J$7:$K$11,2,FALSE)&amp;" - Per "&amp;VLOOKUP($C$4,'Writing Logic'!$G$8:$H$14,2,FALSE),YES_Writing_ELA[#Headers],0)))),"")</f>
        <v/>
      </c>
      <c r="H265" s="138" t="str">
        <f>IFERROR(IF(IF(INDEX(_xlfn.VSTACK(YES_Writing_ELA[#Data],YES_Writing_FLA[#Data]),MATCH($A265,_xlfn.VSTACK(YES_Writing_ELA[Student Number],YES_Writing_FLA[Student Number]),0),MATCH(VLOOKUP(H$7,'Writing Logic'!$J$7:$K$11,2,FALSE)&amp;" - Per "&amp;VLOOKUP($C$4,'Writing Logic'!$G$8:$H$14,2,FALSE),YES_Writing_ELA[#Headers],0))=0,"",INDEX(_xlfn.VSTACK(YES_Writing_ELA[#Data],YES_Writing_FLA[#Data]),MATCH($A265,_xlfn.VSTACK(YES_Writing_ELA[Student Number],YES_Writing_FLA[Student Number]),0),MATCH(VLOOKUP(H$7,'Writing Logic'!$J$7:$K$11,2,FALSE)&amp;" - Per "&amp;VLOOKUP($C$4,'Writing Logic'!$G$8:$H$14,2,FALSE),YES_Writing_ELA[#Headers],0)))="INS",'Writing Logic'!$B$7,IF(INDEX(_xlfn.VSTACK(YES_Writing_ELA[#Data],YES_Writing_FLA[#Data]),MATCH($A265,_xlfn.VSTACK(YES_Writing_ELA[Student Number],YES_Writing_FLA[Student Number]),0),MATCH(VLOOKUP(H$7,'Writing Logic'!$J$7:$K$11,2,FALSE)&amp;" - Per "&amp;VLOOKUP($C$4,'Writing Logic'!$G$8:$H$14,2,FALSE),YES_Writing_ELA[#Headers],0))=0,"",INDEX(_xlfn.VSTACK(YES_Writing_ELA[#Data],YES_Writing_FLA[#Data]),MATCH($A265,_xlfn.VSTACK(YES_Writing_ELA[Student Number],YES_Writing_FLA[Student Number]),0),MATCH(VLOOKUP(H$7,'Writing Logic'!$J$7:$K$11,2,FALSE)&amp;" - Per "&amp;VLOOKUP($C$4,'Writing Logic'!$G$8:$H$14,2,FALSE),YES_Writing_ELA[#Headers],0)))),"")</f>
        <v/>
      </c>
    </row>
    <row r="266" spans="1:8" x14ac:dyDescent="0.25">
      <c r="A266" s="137"/>
      <c r="B266" s="137" t="str">
        <f>IFERROR(INDEX(_xlfn.VSTACK(YES_Writing_ELA[#Data], YES_Writing_FLA[#Data]),MATCH($A266,_xlfn.VSTACK(YES_Writing_ELA[Student Number], YES_Writing_FLA[Student Number]),0),MATCH(B$7,YES_Writing_ELA[#Headers],0)),"")</f>
        <v/>
      </c>
      <c r="C266" s="137" t="str">
        <f>IFERROR(INDEX(_xlfn.VSTACK(YES_Writing_ELA[#Data], YES_Writing_FLA[#Data]),MATCH($A266,_xlfn.VSTACK(YES_Writing_ELA[Student Number], YES_Writing_FLA[Student Number]),0),MATCH(C$7,YES_Writing_ELA[#Headers],0)),"")</f>
        <v/>
      </c>
      <c r="D266" s="138" t="str">
        <f>IFERROR(IF(IF(INDEX(_xlfn.VSTACK(YES_Writing_ELA[#Data],YES_Writing_FLA[#Data]),MATCH($A266,_xlfn.VSTACK(YES_Writing_ELA[Student Number],YES_Writing_FLA[Student Number]),0),MATCH(VLOOKUP(D$7,'Writing Logic'!$J$7:$K$11,2,FALSE)&amp;" - Per "&amp;VLOOKUP($C$4,'Writing Logic'!$G$8:$H$14,2,FALSE),YES_Writing_ELA[#Headers],0))=0,"",INDEX(_xlfn.VSTACK(YES_Writing_ELA[#Data],YES_Writing_FLA[#Data]),MATCH($A266,_xlfn.VSTACK(YES_Writing_ELA[Student Number],YES_Writing_FLA[Student Number]),0),MATCH(VLOOKUP(D$7,'Writing Logic'!$J$7:$K$11,2,FALSE)&amp;" - Per "&amp;VLOOKUP($C$4,'Writing Logic'!$G$8:$H$14,2,FALSE),YES_Writing_ELA[#Headers],0)))="INS",'Writing Logic'!$B$7,IF(INDEX(_xlfn.VSTACK(YES_Writing_ELA[#Data],YES_Writing_FLA[#Data]),MATCH($A266,_xlfn.VSTACK(YES_Writing_ELA[Student Number],YES_Writing_FLA[Student Number]),0),MATCH(VLOOKUP(D$7,'Writing Logic'!$J$7:$K$11,2,FALSE)&amp;" - Per "&amp;VLOOKUP($C$4,'Writing Logic'!$G$8:$H$14,2,FALSE),YES_Writing_ELA[#Headers],0))=0,"",INDEX(_xlfn.VSTACK(YES_Writing_ELA[#Data],YES_Writing_FLA[#Data]),MATCH($A266,_xlfn.VSTACK(YES_Writing_ELA[Student Number],YES_Writing_FLA[Student Number]),0),MATCH(VLOOKUP(D$7,'Writing Logic'!$J$7:$K$11,2,FALSE)&amp;" - Per "&amp;VLOOKUP($C$4,'Writing Logic'!$G$8:$H$14,2,FALSE),YES_Writing_ELA[#Headers],0)))),"")</f>
        <v/>
      </c>
      <c r="E266" s="138" t="str">
        <f>IFERROR(IF(IF(INDEX(_xlfn.VSTACK(YES_Writing_ELA[#Data],YES_Writing_FLA[#Data]),MATCH($A266,_xlfn.VSTACK(YES_Writing_ELA[Student Number],YES_Writing_FLA[Student Number]),0),MATCH(VLOOKUP(E$7,'Writing Logic'!$J$7:$K$11,2,FALSE)&amp;" - Per "&amp;VLOOKUP($C$4,'Writing Logic'!$G$8:$H$14,2,FALSE),YES_Writing_ELA[#Headers],0))=0,"",INDEX(_xlfn.VSTACK(YES_Writing_ELA[#Data],YES_Writing_FLA[#Data]),MATCH($A266,_xlfn.VSTACK(YES_Writing_ELA[Student Number],YES_Writing_FLA[Student Number]),0),MATCH(VLOOKUP(E$7,'Writing Logic'!$J$7:$K$11,2,FALSE)&amp;" - Per "&amp;VLOOKUP($C$4,'Writing Logic'!$G$8:$H$14,2,FALSE),YES_Writing_ELA[#Headers],0)))="INS",'Writing Logic'!$B$7,IF(INDEX(_xlfn.VSTACK(YES_Writing_ELA[#Data],YES_Writing_FLA[#Data]),MATCH($A266,_xlfn.VSTACK(YES_Writing_ELA[Student Number],YES_Writing_FLA[Student Number]),0),MATCH(VLOOKUP(E$7,'Writing Logic'!$J$7:$K$11,2,FALSE)&amp;" - Per "&amp;VLOOKUP($C$4,'Writing Logic'!$G$8:$H$14,2,FALSE),YES_Writing_ELA[#Headers],0))=0,"",INDEX(_xlfn.VSTACK(YES_Writing_ELA[#Data],YES_Writing_FLA[#Data]),MATCH($A266,_xlfn.VSTACK(YES_Writing_ELA[Student Number],YES_Writing_FLA[Student Number]),0),MATCH(VLOOKUP(E$7,'Writing Logic'!$J$7:$K$11,2,FALSE)&amp;" - Per "&amp;VLOOKUP($C$4,'Writing Logic'!$G$8:$H$14,2,FALSE),YES_Writing_ELA[#Headers],0)))),"")</f>
        <v/>
      </c>
      <c r="F266" s="138" t="str">
        <f>IFERROR(IF(IF(INDEX(_xlfn.VSTACK(YES_Writing_ELA[#Data],YES_Writing_FLA[#Data]),MATCH($A266,_xlfn.VSTACK(YES_Writing_ELA[Student Number],YES_Writing_FLA[Student Number]),0),MATCH(VLOOKUP(F$7,'Writing Logic'!$J$7:$K$11,2,FALSE)&amp;" - Per "&amp;VLOOKUP($C$4,'Writing Logic'!$G$8:$H$14,2,FALSE),YES_Writing_ELA[#Headers],0))=0,"",INDEX(_xlfn.VSTACK(YES_Writing_ELA[#Data],YES_Writing_FLA[#Data]),MATCH($A266,_xlfn.VSTACK(YES_Writing_ELA[Student Number],YES_Writing_FLA[Student Number]),0),MATCH(VLOOKUP(F$7,'Writing Logic'!$J$7:$K$11,2,FALSE)&amp;" - Per "&amp;VLOOKUP($C$4,'Writing Logic'!$G$8:$H$14,2,FALSE),YES_Writing_ELA[#Headers],0)))="INS",'Writing Logic'!$B$7,IF(INDEX(_xlfn.VSTACK(YES_Writing_ELA[#Data],YES_Writing_FLA[#Data]),MATCH($A266,_xlfn.VSTACK(YES_Writing_ELA[Student Number],YES_Writing_FLA[Student Number]),0),MATCH(VLOOKUP(F$7,'Writing Logic'!$J$7:$K$11,2,FALSE)&amp;" - Per "&amp;VLOOKUP($C$4,'Writing Logic'!$G$8:$H$14,2,FALSE),YES_Writing_ELA[#Headers],0))=0,"",INDEX(_xlfn.VSTACK(YES_Writing_ELA[#Data],YES_Writing_FLA[#Data]),MATCH($A266,_xlfn.VSTACK(YES_Writing_ELA[Student Number],YES_Writing_FLA[Student Number]),0),MATCH(VLOOKUP(F$7,'Writing Logic'!$J$7:$K$11,2,FALSE)&amp;" - Per "&amp;VLOOKUP($C$4,'Writing Logic'!$G$8:$H$14,2,FALSE),YES_Writing_ELA[#Headers],0)))),"")</f>
        <v/>
      </c>
      <c r="G266" s="138" t="str">
        <f>IFERROR(IF(IF(INDEX(_xlfn.VSTACK(YES_Writing_ELA[#Data],YES_Writing_FLA[#Data]),MATCH($A266,_xlfn.VSTACK(YES_Writing_ELA[Student Number],YES_Writing_FLA[Student Number]),0),MATCH(VLOOKUP(G$7,'Writing Logic'!$J$7:$K$11,2,FALSE)&amp;" - Per "&amp;VLOOKUP($C$4,'Writing Logic'!$G$8:$H$14,2,FALSE),YES_Writing_ELA[#Headers],0))=0,"",INDEX(_xlfn.VSTACK(YES_Writing_ELA[#Data],YES_Writing_FLA[#Data]),MATCH($A266,_xlfn.VSTACK(YES_Writing_ELA[Student Number],YES_Writing_FLA[Student Number]),0),MATCH(VLOOKUP(G$7,'Writing Logic'!$J$7:$K$11,2,FALSE)&amp;" - Per "&amp;VLOOKUP($C$4,'Writing Logic'!$G$8:$H$14,2,FALSE),YES_Writing_ELA[#Headers],0)))="INS",'Writing Logic'!$B$7,IF(INDEX(_xlfn.VSTACK(YES_Writing_ELA[#Data],YES_Writing_FLA[#Data]),MATCH($A266,_xlfn.VSTACK(YES_Writing_ELA[Student Number],YES_Writing_FLA[Student Number]),0),MATCH(VLOOKUP(G$7,'Writing Logic'!$J$7:$K$11,2,FALSE)&amp;" - Per "&amp;VLOOKUP($C$4,'Writing Logic'!$G$8:$H$14,2,FALSE),YES_Writing_ELA[#Headers],0))=0,"",INDEX(_xlfn.VSTACK(YES_Writing_ELA[#Data],YES_Writing_FLA[#Data]),MATCH($A266,_xlfn.VSTACK(YES_Writing_ELA[Student Number],YES_Writing_FLA[Student Number]),0),MATCH(VLOOKUP(G$7,'Writing Logic'!$J$7:$K$11,2,FALSE)&amp;" - Per "&amp;VLOOKUP($C$4,'Writing Logic'!$G$8:$H$14,2,FALSE),YES_Writing_ELA[#Headers],0)))),"")</f>
        <v/>
      </c>
      <c r="H266" s="138" t="str">
        <f>IFERROR(IF(IF(INDEX(_xlfn.VSTACK(YES_Writing_ELA[#Data],YES_Writing_FLA[#Data]),MATCH($A266,_xlfn.VSTACK(YES_Writing_ELA[Student Number],YES_Writing_FLA[Student Number]),0),MATCH(VLOOKUP(H$7,'Writing Logic'!$J$7:$K$11,2,FALSE)&amp;" - Per "&amp;VLOOKUP($C$4,'Writing Logic'!$G$8:$H$14,2,FALSE),YES_Writing_ELA[#Headers],0))=0,"",INDEX(_xlfn.VSTACK(YES_Writing_ELA[#Data],YES_Writing_FLA[#Data]),MATCH($A266,_xlfn.VSTACK(YES_Writing_ELA[Student Number],YES_Writing_FLA[Student Number]),0),MATCH(VLOOKUP(H$7,'Writing Logic'!$J$7:$K$11,2,FALSE)&amp;" - Per "&amp;VLOOKUP($C$4,'Writing Logic'!$G$8:$H$14,2,FALSE),YES_Writing_ELA[#Headers],0)))="INS",'Writing Logic'!$B$7,IF(INDEX(_xlfn.VSTACK(YES_Writing_ELA[#Data],YES_Writing_FLA[#Data]),MATCH($A266,_xlfn.VSTACK(YES_Writing_ELA[Student Number],YES_Writing_FLA[Student Number]),0),MATCH(VLOOKUP(H$7,'Writing Logic'!$J$7:$K$11,2,FALSE)&amp;" - Per "&amp;VLOOKUP($C$4,'Writing Logic'!$G$8:$H$14,2,FALSE),YES_Writing_ELA[#Headers],0))=0,"",INDEX(_xlfn.VSTACK(YES_Writing_ELA[#Data],YES_Writing_FLA[#Data]),MATCH($A266,_xlfn.VSTACK(YES_Writing_ELA[Student Number],YES_Writing_FLA[Student Number]),0),MATCH(VLOOKUP(H$7,'Writing Logic'!$J$7:$K$11,2,FALSE)&amp;" - Per "&amp;VLOOKUP($C$4,'Writing Logic'!$G$8:$H$14,2,FALSE),YES_Writing_ELA[#Headers],0)))),"")</f>
        <v/>
      </c>
    </row>
    <row r="267" spans="1:8" x14ac:dyDescent="0.25">
      <c r="A267" s="137"/>
      <c r="B267" s="137" t="str">
        <f>IFERROR(INDEX(_xlfn.VSTACK(YES_Writing_ELA[#Data], YES_Writing_FLA[#Data]),MATCH($A267,_xlfn.VSTACK(YES_Writing_ELA[Student Number], YES_Writing_FLA[Student Number]),0),MATCH(B$7,YES_Writing_ELA[#Headers],0)),"")</f>
        <v/>
      </c>
      <c r="C267" s="137" t="str">
        <f>IFERROR(INDEX(_xlfn.VSTACK(YES_Writing_ELA[#Data], YES_Writing_FLA[#Data]),MATCH($A267,_xlfn.VSTACK(YES_Writing_ELA[Student Number], YES_Writing_FLA[Student Number]),0),MATCH(C$7,YES_Writing_ELA[#Headers],0)),"")</f>
        <v/>
      </c>
      <c r="D267" s="138" t="str">
        <f>IFERROR(IF(IF(INDEX(_xlfn.VSTACK(YES_Writing_ELA[#Data],YES_Writing_FLA[#Data]),MATCH($A267,_xlfn.VSTACK(YES_Writing_ELA[Student Number],YES_Writing_FLA[Student Number]),0),MATCH(VLOOKUP(D$7,'Writing Logic'!$J$7:$K$11,2,FALSE)&amp;" - Per "&amp;VLOOKUP($C$4,'Writing Logic'!$G$8:$H$14,2,FALSE),YES_Writing_ELA[#Headers],0))=0,"",INDEX(_xlfn.VSTACK(YES_Writing_ELA[#Data],YES_Writing_FLA[#Data]),MATCH($A267,_xlfn.VSTACK(YES_Writing_ELA[Student Number],YES_Writing_FLA[Student Number]),0),MATCH(VLOOKUP(D$7,'Writing Logic'!$J$7:$K$11,2,FALSE)&amp;" - Per "&amp;VLOOKUP($C$4,'Writing Logic'!$G$8:$H$14,2,FALSE),YES_Writing_ELA[#Headers],0)))="INS",'Writing Logic'!$B$7,IF(INDEX(_xlfn.VSTACK(YES_Writing_ELA[#Data],YES_Writing_FLA[#Data]),MATCH($A267,_xlfn.VSTACK(YES_Writing_ELA[Student Number],YES_Writing_FLA[Student Number]),0),MATCH(VLOOKUP(D$7,'Writing Logic'!$J$7:$K$11,2,FALSE)&amp;" - Per "&amp;VLOOKUP($C$4,'Writing Logic'!$G$8:$H$14,2,FALSE),YES_Writing_ELA[#Headers],0))=0,"",INDEX(_xlfn.VSTACK(YES_Writing_ELA[#Data],YES_Writing_FLA[#Data]),MATCH($A267,_xlfn.VSTACK(YES_Writing_ELA[Student Number],YES_Writing_FLA[Student Number]),0),MATCH(VLOOKUP(D$7,'Writing Logic'!$J$7:$K$11,2,FALSE)&amp;" - Per "&amp;VLOOKUP($C$4,'Writing Logic'!$G$8:$H$14,2,FALSE),YES_Writing_ELA[#Headers],0)))),"")</f>
        <v/>
      </c>
      <c r="E267" s="138" t="str">
        <f>IFERROR(IF(IF(INDEX(_xlfn.VSTACK(YES_Writing_ELA[#Data],YES_Writing_FLA[#Data]),MATCH($A267,_xlfn.VSTACK(YES_Writing_ELA[Student Number],YES_Writing_FLA[Student Number]),0),MATCH(VLOOKUP(E$7,'Writing Logic'!$J$7:$K$11,2,FALSE)&amp;" - Per "&amp;VLOOKUP($C$4,'Writing Logic'!$G$8:$H$14,2,FALSE),YES_Writing_ELA[#Headers],0))=0,"",INDEX(_xlfn.VSTACK(YES_Writing_ELA[#Data],YES_Writing_FLA[#Data]),MATCH($A267,_xlfn.VSTACK(YES_Writing_ELA[Student Number],YES_Writing_FLA[Student Number]),0),MATCH(VLOOKUP(E$7,'Writing Logic'!$J$7:$K$11,2,FALSE)&amp;" - Per "&amp;VLOOKUP($C$4,'Writing Logic'!$G$8:$H$14,2,FALSE),YES_Writing_ELA[#Headers],0)))="INS",'Writing Logic'!$B$7,IF(INDEX(_xlfn.VSTACK(YES_Writing_ELA[#Data],YES_Writing_FLA[#Data]),MATCH($A267,_xlfn.VSTACK(YES_Writing_ELA[Student Number],YES_Writing_FLA[Student Number]),0),MATCH(VLOOKUP(E$7,'Writing Logic'!$J$7:$K$11,2,FALSE)&amp;" - Per "&amp;VLOOKUP($C$4,'Writing Logic'!$G$8:$H$14,2,FALSE),YES_Writing_ELA[#Headers],0))=0,"",INDEX(_xlfn.VSTACK(YES_Writing_ELA[#Data],YES_Writing_FLA[#Data]),MATCH($A267,_xlfn.VSTACK(YES_Writing_ELA[Student Number],YES_Writing_FLA[Student Number]),0),MATCH(VLOOKUP(E$7,'Writing Logic'!$J$7:$K$11,2,FALSE)&amp;" - Per "&amp;VLOOKUP($C$4,'Writing Logic'!$G$8:$H$14,2,FALSE),YES_Writing_ELA[#Headers],0)))),"")</f>
        <v/>
      </c>
      <c r="F267" s="138" t="str">
        <f>IFERROR(IF(IF(INDEX(_xlfn.VSTACK(YES_Writing_ELA[#Data],YES_Writing_FLA[#Data]),MATCH($A267,_xlfn.VSTACK(YES_Writing_ELA[Student Number],YES_Writing_FLA[Student Number]),0),MATCH(VLOOKUP(F$7,'Writing Logic'!$J$7:$K$11,2,FALSE)&amp;" - Per "&amp;VLOOKUP($C$4,'Writing Logic'!$G$8:$H$14,2,FALSE),YES_Writing_ELA[#Headers],0))=0,"",INDEX(_xlfn.VSTACK(YES_Writing_ELA[#Data],YES_Writing_FLA[#Data]),MATCH($A267,_xlfn.VSTACK(YES_Writing_ELA[Student Number],YES_Writing_FLA[Student Number]),0),MATCH(VLOOKUP(F$7,'Writing Logic'!$J$7:$K$11,2,FALSE)&amp;" - Per "&amp;VLOOKUP($C$4,'Writing Logic'!$G$8:$H$14,2,FALSE),YES_Writing_ELA[#Headers],0)))="INS",'Writing Logic'!$B$7,IF(INDEX(_xlfn.VSTACK(YES_Writing_ELA[#Data],YES_Writing_FLA[#Data]),MATCH($A267,_xlfn.VSTACK(YES_Writing_ELA[Student Number],YES_Writing_FLA[Student Number]),0),MATCH(VLOOKUP(F$7,'Writing Logic'!$J$7:$K$11,2,FALSE)&amp;" - Per "&amp;VLOOKUP($C$4,'Writing Logic'!$G$8:$H$14,2,FALSE),YES_Writing_ELA[#Headers],0))=0,"",INDEX(_xlfn.VSTACK(YES_Writing_ELA[#Data],YES_Writing_FLA[#Data]),MATCH($A267,_xlfn.VSTACK(YES_Writing_ELA[Student Number],YES_Writing_FLA[Student Number]),0),MATCH(VLOOKUP(F$7,'Writing Logic'!$J$7:$K$11,2,FALSE)&amp;" - Per "&amp;VLOOKUP($C$4,'Writing Logic'!$G$8:$H$14,2,FALSE),YES_Writing_ELA[#Headers],0)))),"")</f>
        <v/>
      </c>
      <c r="G267" s="138" t="str">
        <f>IFERROR(IF(IF(INDEX(_xlfn.VSTACK(YES_Writing_ELA[#Data],YES_Writing_FLA[#Data]),MATCH($A267,_xlfn.VSTACK(YES_Writing_ELA[Student Number],YES_Writing_FLA[Student Number]),0),MATCH(VLOOKUP(G$7,'Writing Logic'!$J$7:$K$11,2,FALSE)&amp;" - Per "&amp;VLOOKUP($C$4,'Writing Logic'!$G$8:$H$14,2,FALSE),YES_Writing_ELA[#Headers],0))=0,"",INDEX(_xlfn.VSTACK(YES_Writing_ELA[#Data],YES_Writing_FLA[#Data]),MATCH($A267,_xlfn.VSTACK(YES_Writing_ELA[Student Number],YES_Writing_FLA[Student Number]),0),MATCH(VLOOKUP(G$7,'Writing Logic'!$J$7:$K$11,2,FALSE)&amp;" - Per "&amp;VLOOKUP($C$4,'Writing Logic'!$G$8:$H$14,2,FALSE),YES_Writing_ELA[#Headers],0)))="INS",'Writing Logic'!$B$7,IF(INDEX(_xlfn.VSTACK(YES_Writing_ELA[#Data],YES_Writing_FLA[#Data]),MATCH($A267,_xlfn.VSTACK(YES_Writing_ELA[Student Number],YES_Writing_FLA[Student Number]),0),MATCH(VLOOKUP(G$7,'Writing Logic'!$J$7:$K$11,2,FALSE)&amp;" - Per "&amp;VLOOKUP($C$4,'Writing Logic'!$G$8:$H$14,2,FALSE),YES_Writing_ELA[#Headers],0))=0,"",INDEX(_xlfn.VSTACK(YES_Writing_ELA[#Data],YES_Writing_FLA[#Data]),MATCH($A267,_xlfn.VSTACK(YES_Writing_ELA[Student Number],YES_Writing_FLA[Student Number]),0),MATCH(VLOOKUP(G$7,'Writing Logic'!$J$7:$K$11,2,FALSE)&amp;" - Per "&amp;VLOOKUP($C$4,'Writing Logic'!$G$8:$H$14,2,FALSE),YES_Writing_ELA[#Headers],0)))),"")</f>
        <v/>
      </c>
      <c r="H267" s="138" t="str">
        <f>IFERROR(IF(IF(INDEX(_xlfn.VSTACK(YES_Writing_ELA[#Data],YES_Writing_FLA[#Data]),MATCH($A267,_xlfn.VSTACK(YES_Writing_ELA[Student Number],YES_Writing_FLA[Student Number]),0),MATCH(VLOOKUP(H$7,'Writing Logic'!$J$7:$K$11,2,FALSE)&amp;" - Per "&amp;VLOOKUP($C$4,'Writing Logic'!$G$8:$H$14,2,FALSE),YES_Writing_ELA[#Headers],0))=0,"",INDEX(_xlfn.VSTACK(YES_Writing_ELA[#Data],YES_Writing_FLA[#Data]),MATCH($A267,_xlfn.VSTACK(YES_Writing_ELA[Student Number],YES_Writing_FLA[Student Number]),0),MATCH(VLOOKUP(H$7,'Writing Logic'!$J$7:$K$11,2,FALSE)&amp;" - Per "&amp;VLOOKUP($C$4,'Writing Logic'!$G$8:$H$14,2,FALSE),YES_Writing_ELA[#Headers],0)))="INS",'Writing Logic'!$B$7,IF(INDEX(_xlfn.VSTACK(YES_Writing_ELA[#Data],YES_Writing_FLA[#Data]),MATCH($A267,_xlfn.VSTACK(YES_Writing_ELA[Student Number],YES_Writing_FLA[Student Number]),0),MATCH(VLOOKUP(H$7,'Writing Logic'!$J$7:$K$11,2,FALSE)&amp;" - Per "&amp;VLOOKUP($C$4,'Writing Logic'!$G$8:$H$14,2,FALSE),YES_Writing_ELA[#Headers],0))=0,"",INDEX(_xlfn.VSTACK(YES_Writing_ELA[#Data],YES_Writing_FLA[#Data]),MATCH($A267,_xlfn.VSTACK(YES_Writing_ELA[Student Number],YES_Writing_FLA[Student Number]),0),MATCH(VLOOKUP(H$7,'Writing Logic'!$J$7:$K$11,2,FALSE)&amp;" - Per "&amp;VLOOKUP($C$4,'Writing Logic'!$G$8:$H$14,2,FALSE),YES_Writing_ELA[#Headers],0)))),"")</f>
        <v/>
      </c>
    </row>
    <row r="268" spans="1:8" x14ac:dyDescent="0.25">
      <c r="A268" s="137"/>
      <c r="B268" s="137" t="str">
        <f>IFERROR(INDEX(_xlfn.VSTACK(YES_Writing_ELA[#Data], YES_Writing_FLA[#Data]),MATCH($A268,_xlfn.VSTACK(YES_Writing_ELA[Student Number], YES_Writing_FLA[Student Number]),0),MATCH(B$7,YES_Writing_ELA[#Headers],0)),"")</f>
        <v/>
      </c>
      <c r="C268" s="137" t="str">
        <f>IFERROR(INDEX(_xlfn.VSTACK(YES_Writing_ELA[#Data], YES_Writing_FLA[#Data]),MATCH($A268,_xlfn.VSTACK(YES_Writing_ELA[Student Number], YES_Writing_FLA[Student Number]),0),MATCH(C$7,YES_Writing_ELA[#Headers],0)),"")</f>
        <v/>
      </c>
      <c r="D268" s="138" t="str">
        <f>IFERROR(IF(IF(INDEX(_xlfn.VSTACK(YES_Writing_ELA[#Data],YES_Writing_FLA[#Data]),MATCH($A268,_xlfn.VSTACK(YES_Writing_ELA[Student Number],YES_Writing_FLA[Student Number]),0),MATCH(VLOOKUP(D$7,'Writing Logic'!$J$7:$K$11,2,FALSE)&amp;" - Per "&amp;VLOOKUP($C$4,'Writing Logic'!$G$8:$H$14,2,FALSE),YES_Writing_ELA[#Headers],0))=0,"",INDEX(_xlfn.VSTACK(YES_Writing_ELA[#Data],YES_Writing_FLA[#Data]),MATCH($A268,_xlfn.VSTACK(YES_Writing_ELA[Student Number],YES_Writing_FLA[Student Number]),0),MATCH(VLOOKUP(D$7,'Writing Logic'!$J$7:$K$11,2,FALSE)&amp;" - Per "&amp;VLOOKUP($C$4,'Writing Logic'!$G$8:$H$14,2,FALSE),YES_Writing_ELA[#Headers],0)))="INS",'Writing Logic'!$B$7,IF(INDEX(_xlfn.VSTACK(YES_Writing_ELA[#Data],YES_Writing_FLA[#Data]),MATCH($A268,_xlfn.VSTACK(YES_Writing_ELA[Student Number],YES_Writing_FLA[Student Number]),0),MATCH(VLOOKUP(D$7,'Writing Logic'!$J$7:$K$11,2,FALSE)&amp;" - Per "&amp;VLOOKUP($C$4,'Writing Logic'!$G$8:$H$14,2,FALSE),YES_Writing_ELA[#Headers],0))=0,"",INDEX(_xlfn.VSTACK(YES_Writing_ELA[#Data],YES_Writing_FLA[#Data]),MATCH($A268,_xlfn.VSTACK(YES_Writing_ELA[Student Number],YES_Writing_FLA[Student Number]),0),MATCH(VLOOKUP(D$7,'Writing Logic'!$J$7:$K$11,2,FALSE)&amp;" - Per "&amp;VLOOKUP($C$4,'Writing Logic'!$G$8:$H$14,2,FALSE),YES_Writing_ELA[#Headers],0)))),"")</f>
        <v/>
      </c>
      <c r="E268" s="138" t="str">
        <f>IFERROR(IF(IF(INDEX(_xlfn.VSTACK(YES_Writing_ELA[#Data],YES_Writing_FLA[#Data]),MATCH($A268,_xlfn.VSTACK(YES_Writing_ELA[Student Number],YES_Writing_FLA[Student Number]),0),MATCH(VLOOKUP(E$7,'Writing Logic'!$J$7:$K$11,2,FALSE)&amp;" - Per "&amp;VLOOKUP($C$4,'Writing Logic'!$G$8:$H$14,2,FALSE),YES_Writing_ELA[#Headers],0))=0,"",INDEX(_xlfn.VSTACK(YES_Writing_ELA[#Data],YES_Writing_FLA[#Data]),MATCH($A268,_xlfn.VSTACK(YES_Writing_ELA[Student Number],YES_Writing_FLA[Student Number]),0),MATCH(VLOOKUP(E$7,'Writing Logic'!$J$7:$K$11,2,FALSE)&amp;" - Per "&amp;VLOOKUP($C$4,'Writing Logic'!$G$8:$H$14,2,FALSE),YES_Writing_ELA[#Headers],0)))="INS",'Writing Logic'!$B$7,IF(INDEX(_xlfn.VSTACK(YES_Writing_ELA[#Data],YES_Writing_FLA[#Data]),MATCH($A268,_xlfn.VSTACK(YES_Writing_ELA[Student Number],YES_Writing_FLA[Student Number]),0),MATCH(VLOOKUP(E$7,'Writing Logic'!$J$7:$K$11,2,FALSE)&amp;" - Per "&amp;VLOOKUP($C$4,'Writing Logic'!$G$8:$H$14,2,FALSE),YES_Writing_ELA[#Headers],0))=0,"",INDEX(_xlfn.VSTACK(YES_Writing_ELA[#Data],YES_Writing_FLA[#Data]),MATCH($A268,_xlfn.VSTACK(YES_Writing_ELA[Student Number],YES_Writing_FLA[Student Number]),0),MATCH(VLOOKUP(E$7,'Writing Logic'!$J$7:$K$11,2,FALSE)&amp;" - Per "&amp;VLOOKUP($C$4,'Writing Logic'!$G$8:$H$14,2,FALSE),YES_Writing_ELA[#Headers],0)))),"")</f>
        <v/>
      </c>
      <c r="F268" s="138" t="str">
        <f>IFERROR(IF(IF(INDEX(_xlfn.VSTACK(YES_Writing_ELA[#Data],YES_Writing_FLA[#Data]),MATCH($A268,_xlfn.VSTACK(YES_Writing_ELA[Student Number],YES_Writing_FLA[Student Number]),0),MATCH(VLOOKUP(F$7,'Writing Logic'!$J$7:$K$11,2,FALSE)&amp;" - Per "&amp;VLOOKUP($C$4,'Writing Logic'!$G$8:$H$14,2,FALSE),YES_Writing_ELA[#Headers],0))=0,"",INDEX(_xlfn.VSTACK(YES_Writing_ELA[#Data],YES_Writing_FLA[#Data]),MATCH($A268,_xlfn.VSTACK(YES_Writing_ELA[Student Number],YES_Writing_FLA[Student Number]),0),MATCH(VLOOKUP(F$7,'Writing Logic'!$J$7:$K$11,2,FALSE)&amp;" - Per "&amp;VLOOKUP($C$4,'Writing Logic'!$G$8:$H$14,2,FALSE),YES_Writing_ELA[#Headers],0)))="INS",'Writing Logic'!$B$7,IF(INDEX(_xlfn.VSTACK(YES_Writing_ELA[#Data],YES_Writing_FLA[#Data]),MATCH($A268,_xlfn.VSTACK(YES_Writing_ELA[Student Number],YES_Writing_FLA[Student Number]),0),MATCH(VLOOKUP(F$7,'Writing Logic'!$J$7:$K$11,2,FALSE)&amp;" - Per "&amp;VLOOKUP($C$4,'Writing Logic'!$G$8:$H$14,2,FALSE),YES_Writing_ELA[#Headers],0))=0,"",INDEX(_xlfn.VSTACK(YES_Writing_ELA[#Data],YES_Writing_FLA[#Data]),MATCH($A268,_xlfn.VSTACK(YES_Writing_ELA[Student Number],YES_Writing_FLA[Student Number]),0),MATCH(VLOOKUP(F$7,'Writing Logic'!$J$7:$K$11,2,FALSE)&amp;" - Per "&amp;VLOOKUP($C$4,'Writing Logic'!$G$8:$H$14,2,FALSE),YES_Writing_ELA[#Headers],0)))),"")</f>
        <v/>
      </c>
      <c r="G268" s="138" t="str">
        <f>IFERROR(IF(IF(INDEX(_xlfn.VSTACK(YES_Writing_ELA[#Data],YES_Writing_FLA[#Data]),MATCH($A268,_xlfn.VSTACK(YES_Writing_ELA[Student Number],YES_Writing_FLA[Student Number]),0),MATCH(VLOOKUP(G$7,'Writing Logic'!$J$7:$K$11,2,FALSE)&amp;" - Per "&amp;VLOOKUP($C$4,'Writing Logic'!$G$8:$H$14,2,FALSE),YES_Writing_ELA[#Headers],0))=0,"",INDEX(_xlfn.VSTACK(YES_Writing_ELA[#Data],YES_Writing_FLA[#Data]),MATCH($A268,_xlfn.VSTACK(YES_Writing_ELA[Student Number],YES_Writing_FLA[Student Number]),0),MATCH(VLOOKUP(G$7,'Writing Logic'!$J$7:$K$11,2,FALSE)&amp;" - Per "&amp;VLOOKUP($C$4,'Writing Logic'!$G$8:$H$14,2,FALSE),YES_Writing_ELA[#Headers],0)))="INS",'Writing Logic'!$B$7,IF(INDEX(_xlfn.VSTACK(YES_Writing_ELA[#Data],YES_Writing_FLA[#Data]),MATCH($A268,_xlfn.VSTACK(YES_Writing_ELA[Student Number],YES_Writing_FLA[Student Number]),0),MATCH(VLOOKUP(G$7,'Writing Logic'!$J$7:$K$11,2,FALSE)&amp;" - Per "&amp;VLOOKUP($C$4,'Writing Logic'!$G$8:$H$14,2,FALSE),YES_Writing_ELA[#Headers],0))=0,"",INDEX(_xlfn.VSTACK(YES_Writing_ELA[#Data],YES_Writing_FLA[#Data]),MATCH($A268,_xlfn.VSTACK(YES_Writing_ELA[Student Number],YES_Writing_FLA[Student Number]),0),MATCH(VLOOKUP(G$7,'Writing Logic'!$J$7:$K$11,2,FALSE)&amp;" - Per "&amp;VLOOKUP($C$4,'Writing Logic'!$G$8:$H$14,2,FALSE),YES_Writing_ELA[#Headers],0)))),"")</f>
        <v/>
      </c>
      <c r="H268" s="138" t="str">
        <f>IFERROR(IF(IF(INDEX(_xlfn.VSTACK(YES_Writing_ELA[#Data],YES_Writing_FLA[#Data]),MATCH($A268,_xlfn.VSTACK(YES_Writing_ELA[Student Number],YES_Writing_FLA[Student Number]),0),MATCH(VLOOKUP(H$7,'Writing Logic'!$J$7:$K$11,2,FALSE)&amp;" - Per "&amp;VLOOKUP($C$4,'Writing Logic'!$G$8:$H$14,2,FALSE),YES_Writing_ELA[#Headers],0))=0,"",INDEX(_xlfn.VSTACK(YES_Writing_ELA[#Data],YES_Writing_FLA[#Data]),MATCH($A268,_xlfn.VSTACK(YES_Writing_ELA[Student Number],YES_Writing_FLA[Student Number]),0),MATCH(VLOOKUP(H$7,'Writing Logic'!$J$7:$K$11,2,FALSE)&amp;" - Per "&amp;VLOOKUP($C$4,'Writing Logic'!$G$8:$H$14,2,FALSE),YES_Writing_ELA[#Headers],0)))="INS",'Writing Logic'!$B$7,IF(INDEX(_xlfn.VSTACK(YES_Writing_ELA[#Data],YES_Writing_FLA[#Data]),MATCH($A268,_xlfn.VSTACK(YES_Writing_ELA[Student Number],YES_Writing_FLA[Student Number]),0),MATCH(VLOOKUP(H$7,'Writing Logic'!$J$7:$K$11,2,FALSE)&amp;" - Per "&amp;VLOOKUP($C$4,'Writing Logic'!$G$8:$H$14,2,FALSE),YES_Writing_ELA[#Headers],0))=0,"",INDEX(_xlfn.VSTACK(YES_Writing_ELA[#Data],YES_Writing_FLA[#Data]),MATCH($A268,_xlfn.VSTACK(YES_Writing_ELA[Student Number],YES_Writing_FLA[Student Number]),0),MATCH(VLOOKUP(H$7,'Writing Logic'!$J$7:$K$11,2,FALSE)&amp;" - Per "&amp;VLOOKUP($C$4,'Writing Logic'!$G$8:$H$14,2,FALSE),YES_Writing_ELA[#Headers],0)))),"")</f>
        <v/>
      </c>
    </row>
    <row r="269" spans="1:8" x14ac:dyDescent="0.25">
      <c r="A269" s="137"/>
      <c r="B269" s="137" t="str">
        <f>IFERROR(INDEX(_xlfn.VSTACK(YES_Writing_ELA[#Data], YES_Writing_FLA[#Data]),MATCH($A269,_xlfn.VSTACK(YES_Writing_ELA[Student Number], YES_Writing_FLA[Student Number]),0),MATCH(B$7,YES_Writing_ELA[#Headers],0)),"")</f>
        <v/>
      </c>
      <c r="C269" s="137" t="str">
        <f>IFERROR(INDEX(_xlfn.VSTACK(YES_Writing_ELA[#Data], YES_Writing_FLA[#Data]),MATCH($A269,_xlfn.VSTACK(YES_Writing_ELA[Student Number], YES_Writing_FLA[Student Number]),0),MATCH(C$7,YES_Writing_ELA[#Headers],0)),"")</f>
        <v/>
      </c>
      <c r="D269" s="138" t="str">
        <f>IFERROR(IF(IF(INDEX(_xlfn.VSTACK(YES_Writing_ELA[#Data],YES_Writing_FLA[#Data]),MATCH($A269,_xlfn.VSTACK(YES_Writing_ELA[Student Number],YES_Writing_FLA[Student Number]),0),MATCH(VLOOKUP(D$7,'Writing Logic'!$J$7:$K$11,2,FALSE)&amp;" - Per "&amp;VLOOKUP($C$4,'Writing Logic'!$G$8:$H$14,2,FALSE),YES_Writing_ELA[#Headers],0))=0,"",INDEX(_xlfn.VSTACK(YES_Writing_ELA[#Data],YES_Writing_FLA[#Data]),MATCH($A269,_xlfn.VSTACK(YES_Writing_ELA[Student Number],YES_Writing_FLA[Student Number]),0),MATCH(VLOOKUP(D$7,'Writing Logic'!$J$7:$K$11,2,FALSE)&amp;" - Per "&amp;VLOOKUP($C$4,'Writing Logic'!$G$8:$H$14,2,FALSE),YES_Writing_ELA[#Headers],0)))="INS",'Writing Logic'!$B$7,IF(INDEX(_xlfn.VSTACK(YES_Writing_ELA[#Data],YES_Writing_FLA[#Data]),MATCH($A269,_xlfn.VSTACK(YES_Writing_ELA[Student Number],YES_Writing_FLA[Student Number]),0),MATCH(VLOOKUP(D$7,'Writing Logic'!$J$7:$K$11,2,FALSE)&amp;" - Per "&amp;VLOOKUP($C$4,'Writing Logic'!$G$8:$H$14,2,FALSE),YES_Writing_ELA[#Headers],0))=0,"",INDEX(_xlfn.VSTACK(YES_Writing_ELA[#Data],YES_Writing_FLA[#Data]),MATCH($A269,_xlfn.VSTACK(YES_Writing_ELA[Student Number],YES_Writing_FLA[Student Number]),0),MATCH(VLOOKUP(D$7,'Writing Logic'!$J$7:$K$11,2,FALSE)&amp;" - Per "&amp;VLOOKUP($C$4,'Writing Logic'!$G$8:$H$14,2,FALSE),YES_Writing_ELA[#Headers],0)))),"")</f>
        <v/>
      </c>
      <c r="E269" s="138" t="str">
        <f>IFERROR(IF(IF(INDEX(_xlfn.VSTACK(YES_Writing_ELA[#Data],YES_Writing_FLA[#Data]),MATCH($A269,_xlfn.VSTACK(YES_Writing_ELA[Student Number],YES_Writing_FLA[Student Number]),0),MATCH(VLOOKUP(E$7,'Writing Logic'!$J$7:$K$11,2,FALSE)&amp;" - Per "&amp;VLOOKUP($C$4,'Writing Logic'!$G$8:$H$14,2,FALSE),YES_Writing_ELA[#Headers],0))=0,"",INDEX(_xlfn.VSTACK(YES_Writing_ELA[#Data],YES_Writing_FLA[#Data]),MATCH($A269,_xlfn.VSTACK(YES_Writing_ELA[Student Number],YES_Writing_FLA[Student Number]),0),MATCH(VLOOKUP(E$7,'Writing Logic'!$J$7:$K$11,2,FALSE)&amp;" - Per "&amp;VLOOKUP($C$4,'Writing Logic'!$G$8:$H$14,2,FALSE),YES_Writing_ELA[#Headers],0)))="INS",'Writing Logic'!$B$7,IF(INDEX(_xlfn.VSTACK(YES_Writing_ELA[#Data],YES_Writing_FLA[#Data]),MATCH($A269,_xlfn.VSTACK(YES_Writing_ELA[Student Number],YES_Writing_FLA[Student Number]),0),MATCH(VLOOKUP(E$7,'Writing Logic'!$J$7:$K$11,2,FALSE)&amp;" - Per "&amp;VLOOKUP($C$4,'Writing Logic'!$G$8:$H$14,2,FALSE),YES_Writing_ELA[#Headers],0))=0,"",INDEX(_xlfn.VSTACK(YES_Writing_ELA[#Data],YES_Writing_FLA[#Data]),MATCH($A269,_xlfn.VSTACK(YES_Writing_ELA[Student Number],YES_Writing_FLA[Student Number]),0),MATCH(VLOOKUP(E$7,'Writing Logic'!$J$7:$K$11,2,FALSE)&amp;" - Per "&amp;VLOOKUP($C$4,'Writing Logic'!$G$8:$H$14,2,FALSE),YES_Writing_ELA[#Headers],0)))),"")</f>
        <v/>
      </c>
      <c r="F269" s="138" t="str">
        <f>IFERROR(IF(IF(INDEX(_xlfn.VSTACK(YES_Writing_ELA[#Data],YES_Writing_FLA[#Data]),MATCH($A269,_xlfn.VSTACK(YES_Writing_ELA[Student Number],YES_Writing_FLA[Student Number]),0),MATCH(VLOOKUP(F$7,'Writing Logic'!$J$7:$K$11,2,FALSE)&amp;" - Per "&amp;VLOOKUP($C$4,'Writing Logic'!$G$8:$H$14,2,FALSE),YES_Writing_ELA[#Headers],0))=0,"",INDEX(_xlfn.VSTACK(YES_Writing_ELA[#Data],YES_Writing_FLA[#Data]),MATCH($A269,_xlfn.VSTACK(YES_Writing_ELA[Student Number],YES_Writing_FLA[Student Number]),0),MATCH(VLOOKUP(F$7,'Writing Logic'!$J$7:$K$11,2,FALSE)&amp;" - Per "&amp;VLOOKUP($C$4,'Writing Logic'!$G$8:$H$14,2,FALSE),YES_Writing_ELA[#Headers],0)))="INS",'Writing Logic'!$B$7,IF(INDEX(_xlfn.VSTACK(YES_Writing_ELA[#Data],YES_Writing_FLA[#Data]),MATCH($A269,_xlfn.VSTACK(YES_Writing_ELA[Student Number],YES_Writing_FLA[Student Number]),0),MATCH(VLOOKUP(F$7,'Writing Logic'!$J$7:$K$11,2,FALSE)&amp;" - Per "&amp;VLOOKUP($C$4,'Writing Logic'!$G$8:$H$14,2,FALSE),YES_Writing_ELA[#Headers],0))=0,"",INDEX(_xlfn.VSTACK(YES_Writing_ELA[#Data],YES_Writing_FLA[#Data]),MATCH($A269,_xlfn.VSTACK(YES_Writing_ELA[Student Number],YES_Writing_FLA[Student Number]),0),MATCH(VLOOKUP(F$7,'Writing Logic'!$J$7:$K$11,2,FALSE)&amp;" - Per "&amp;VLOOKUP($C$4,'Writing Logic'!$G$8:$H$14,2,FALSE),YES_Writing_ELA[#Headers],0)))),"")</f>
        <v/>
      </c>
      <c r="G269" s="138" t="str">
        <f>IFERROR(IF(IF(INDEX(_xlfn.VSTACK(YES_Writing_ELA[#Data],YES_Writing_FLA[#Data]),MATCH($A269,_xlfn.VSTACK(YES_Writing_ELA[Student Number],YES_Writing_FLA[Student Number]),0),MATCH(VLOOKUP(G$7,'Writing Logic'!$J$7:$K$11,2,FALSE)&amp;" - Per "&amp;VLOOKUP($C$4,'Writing Logic'!$G$8:$H$14,2,FALSE),YES_Writing_ELA[#Headers],0))=0,"",INDEX(_xlfn.VSTACK(YES_Writing_ELA[#Data],YES_Writing_FLA[#Data]),MATCH($A269,_xlfn.VSTACK(YES_Writing_ELA[Student Number],YES_Writing_FLA[Student Number]),0),MATCH(VLOOKUP(G$7,'Writing Logic'!$J$7:$K$11,2,FALSE)&amp;" - Per "&amp;VLOOKUP($C$4,'Writing Logic'!$G$8:$H$14,2,FALSE),YES_Writing_ELA[#Headers],0)))="INS",'Writing Logic'!$B$7,IF(INDEX(_xlfn.VSTACK(YES_Writing_ELA[#Data],YES_Writing_FLA[#Data]),MATCH($A269,_xlfn.VSTACK(YES_Writing_ELA[Student Number],YES_Writing_FLA[Student Number]),0),MATCH(VLOOKUP(G$7,'Writing Logic'!$J$7:$K$11,2,FALSE)&amp;" - Per "&amp;VLOOKUP($C$4,'Writing Logic'!$G$8:$H$14,2,FALSE),YES_Writing_ELA[#Headers],0))=0,"",INDEX(_xlfn.VSTACK(YES_Writing_ELA[#Data],YES_Writing_FLA[#Data]),MATCH($A269,_xlfn.VSTACK(YES_Writing_ELA[Student Number],YES_Writing_FLA[Student Number]),0),MATCH(VLOOKUP(G$7,'Writing Logic'!$J$7:$K$11,2,FALSE)&amp;" - Per "&amp;VLOOKUP($C$4,'Writing Logic'!$G$8:$H$14,2,FALSE),YES_Writing_ELA[#Headers],0)))),"")</f>
        <v/>
      </c>
      <c r="H269" s="138" t="str">
        <f>IFERROR(IF(IF(INDEX(_xlfn.VSTACK(YES_Writing_ELA[#Data],YES_Writing_FLA[#Data]),MATCH($A269,_xlfn.VSTACK(YES_Writing_ELA[Student Number],YES_Writing_FLA[Student Number]),0),MATCH(VLOOKUP(H$7,'Writing Logic'!$J$7:$K$11,2,FALSE)&amp;" - Per "&amp;VLOOKUP($C$4,'Writing Logic'!$G$8:$H$14,2,FALSE),YES_Writing_ELA[#Headers],0))=0,"",INDEX(_xlfn.VSTACK(YES_Writing_ELA[#Data],YES_Writing_FLA[#Data]),MATCH($A269,_xlfn.VSTACK(YES_Writing_ELA[Student Number],YES_Writing_FLA[Student Number]),0),MATCH(VLOOKUP(H$7,'Writing Logic'!$J$7:$K$11,2,FALSE)&amp;" - Per "&amp;VLOOKUP($C$4,'Writing Logic'!$G$8:$H$14,2,FALSE),YES_Writing_ELA[#Headers],0)))="INS",'Writing Logic'!$B$7,IF(INDEX(_xlfn.VSTACK(YES_Writing_ELA[#Data],YES_Writing_FLA[#Data]),MATCH($A269,_xlfn.VSTACK(YES_Writing_ELA[Student Number],YES_Writing_FLA[Student Number]),0),MATCH(VLOOKUP(H$7,'Writing Logic'!$J$7:$K$11,2,FALSE)&amp;" - Per "&amp;VLOOKUP($C$4,'Writing Logic'!$G$8:$H$14,2,FALSE),YES_Writing_ELA[#Headers],0))=0,"",INDEX(_xlfn.VSTACK(YES_Writing_ELA[#Data],YES_Writing_FLA[#Data]),MATCH($A269,_xlfn.VSTACK(YES_Writing_ELA[Student Number],YES_Writing_FLA[Student Number]),0),MATCH(VLOOKUP(H$7,'Writing Logic'!$J$7:$K$11,2,FALSE)&amp;" - Per "&amp;VLOOKUP($C$4,'Writing Logic'!$G$8:$H$14,2,FALSE),YES_Writing_ELA[#Headers],0)))),"")</f>
        <v/>
      </c>
    </row>
    <row r="270" spans="1:8" x14ac:dyDescent="0.25">
      <c r="A270" s="137"/>
      <c r="B270" s="137" t="str">
        <f>IFERROR(INDEX(_xlfn.VSTACK(YES_Writing_ELA[#Data], YES_Writing_FLA[#Data]),MATCH($A270,_xlfn.VSTACK(YES_Writing_ELA[Student Number], YES_Writing_FLA[Student Number]),0),MATCH(B$7,YES_Writing_ELA[#Headers],0)),"")</f>
        <v/>
      </c>
      <c r="C270" s="137" t="str">
        <f>IFERROR(INDEX(_xlfn.VSTACK(YES_Writing_ELA[#Data], YES_Writing_FLA[#Data]),MATCH($A270,_xlfn.VSTACK(YES_Writing_ELA[Student Number], YES_Writing_FLA[Student Number]),0),MATCH(C$7,YES_Writing_ELA[#Headers],0)),"")</f>
        <v/>
      </c>
      <c r="D270" s="138" t="str">
        <f>IFERROR(IF(IF(INDEX(_xlfn.VSTACK(YES_Writing_ELA[#Data],YES_Writing_FLA[#Data]),MATCH($A270,_xlfn.VSTACK(YES_Writing_ELA[Student Number],YES_Writing_FLA[Student Number]),0),MATCH(VLOOKUP(D$7,'Writing Logic'!$J$7:$K$11,2,FALSE)&amp;" - Per "&amp;VLOOKUP($C$4,'Writing Logic'!$G$8:$H$14,2,FALSE),YES_Writing_ELA[#Headers],0))=0,"",INDEX(_xlfn.VSTACK(YES_Writing_ELA[#Data],YES_Writing_FLA[#Data]),MATCH($A270,_xlfn.VSTACK(YES_Writing_ELA[Student Number],YES_Writing_FLA[Student Number]),0),MATCH(VLOOKUP(D$7,'Writing Logic'!$J$7:$K$11,2,FALSE)&amp;" - Per "&amp;VLOOKUP($C$4,'Writing Logic'!$G$8:$H$14,2,FALSE),YES_Writing_ELA[#Headers],0)))="INS",'Writing Logic'!$B$7,IF(INDEX(_xlfn.VSTACK(YES_Writing_ELA[#Data],YES_Writing_FLA[#Data]),MATCH($A270,_xlfn.VSTACK(YES_Writing_ELA[Student Number],YES_Writing_FLA[Student Number]),0),MATCH(VLOOKUP(D$7,'Writing Logic'!$J$7:$K$11,2,FALSE)&amp;" - Per "&amp;VLOOKUP($C$4,'Writing Logic'!$G$8:$H$14,2,FALSE),YES_Writing_ELA[#Headers],0))=0,"",INDEX(_xlfn.VSTACK(YES_Writing_ELA[#Data],YES_Writing_FLA[#Data]),MATCH($A270,_xlfn.VSTACK(YES_Writing_ELA[Student Number],YES_Writing_FLA[Student Number]),0),MATCH(VLOOKUP(D$7,'Writing Logic'!$J$7:$K$11,2,FALSE)&amp;" - Per "&amp;VLOOKUP($C$4,'Writing Logic'!$G$8:$H$14,2,FALSE),YES_Writing_ELA[#Headers],0)))),"")</f>
        <v/>
      </c>
      <c r="E270" s="138" t="str">
        <f>IFERROR(IF(IF(INDEX(_xlfn.VSTACK(YES_Writing_ELA[#Data],YES_Writing_FLA[#Data]),MATCH($A270,_xlfn.VSTACK(YES_Writing_ELA[Student Number],YES_Writing_FLA[Student Number]),0),MATCH(VLOOKUP(E$7,'Writing Logic'!$J$7:$K$11,2,FALSE)&amp;" - Per "&amp;VLOOKUP($C$4,'Writing Logic'!$G$8:$H$14,2,FALSE),YES_Writing_ELA[#Headers],0))=0,"",INDEX(_xlfn.VSTACK(YES_Writing_ELA[#Data],YES_Writing_FLA[#Data]),MATCH($A270,_xlfn.VSTACK(YES_Writing_ELA[Student Number],YES_Writing_FLA[Student Number]),0),MATCH(VLOOKUP(E$7,'Writing Logic'!$J$7:$K$11,2,FALSE)&amp;" - Per "&amp;VLOOKUP($C$4,'Writing Logic'!$G$8:$H$14,2,FALSE),YES_Writing_ELA[#Headers],0)))="INS",'Writing Logic'!$B$7,IF(INDEX(_xlfn.VSTACK(YES_Writing_ELA[#Data],YES_Writing_FLA[#Data]),MATCH($A270,_xlfn.VSTACK(YES_Writing_ELA[Student Number],YES_Writing_FLA[Student Number]),0),MATCH(VLOOKUP(E$7,'Writing Logic'!$J$7:$K$11,2,FALSE)&amp;" - Per "&amp;VLOOKUP($C$4,'Writing Logic'!$G$8:$H$14,2,FALSE),YES_Writing_ELA[#Headers],0))=0,"",INDEX(_xlfn.VSTACK(YES_Writing_ELA[#Data],YES_Writing_FLA[#Data]),MATCH($A270,_xlfn.VSTACK(YES_Writing_ELA[Student Number],YES_Writing_FLA[Student Number]),0),MATCH(VLOOKUP(E$7,'Writing Logic'!$J$7:$K$11,2,FALSE)&amp;" - Per "&amp;VLOOKUP($C$4,'Writing Logic'!$G$8:$H$14,2,FALSE),YES_Writing_ELA[#Headers],0)))),"")</f>
        <v/>
      </c>
      <c r="F270" s="138" t="str">
        <f>IFERROR(IF(IF(INDEX(_xlfn.VSTACK(YES_Writing_ELA[#Data],YES_Writing_FLA[#Data]),MATCH($A270,_xlfn.VSTACK(YES_Writing_ELA[Student Number],YES_Writing_FLA[Student Number]),0),MATCH(VLOOKUP(F$7,'Writing Logic'!$J$7:$K$11,2,FALSE)&amp;" - Per "&amp;VLOOKUP($C$4,'Writing Logic'!$G$8:$H$14,2,FALSE),YES_Writing_ELA[#Headers],0))=0,"",INDEX(_xlfn.VSTACK(YES_Writing_ELA[#Data],YES_Writing_FLA[#Data]),MATCH($A270,_xlfn.VSTACK(YES_Writing_ELA[Student Number],YES_Writing_FLA[Student Number]),0),MATCH(VLOOKUP(F$7,'Writing Logic'!$J$7:$K$11,2,FALSE)&amp;" - Per "&amp;VLOOKUP($C$4,'Writing Logic'!$G$8:$H$14,2,FALSE),YES_Writing_ELA[#Headers],0)))="INS",'Writing Logic'!$B$7,IF(INDEX(_xlfn.VSTACK(YES_Writing_ELA[#Data],YES_Writing_FLA[#Data]),MATCH($A270,_xlfn.VSTACK(YES_Writing_ELA[Student Number],YES_Writing_FLA[Student Number]),0),MATCH(VLOOKUP(F$7,'Writing Logic'!$J$7:$K$11,2,FALSE)&amp;" - Per "&amp;VLOOKUP($C$4,'Writing Logic'!$G$8:$H$14,2,FALSE),YES_Writing_ELA[#Headers],0))=0,"",INDEX(_xlfn.VSTACK(YES_Writing_ELA[#Data],YES_Writing_FLA[#Data]),MATCH($A270,_xlfn.VSTACK(YES_Writing_ELA[Student Number],YES_Writing_FLA[Student Number]),0),MATCH(VLOOKUP(F$7,'Writing Logic'!$J$7:$K$11,2,FALSE)&amp;" - Per "&amp;VLOOKUP($C$4,'Writing Logic'!$G$8:$H$14,2,FALSE),YES_Writing_ELA[#Headers],0)))),"")</f>
        <v/>
      </c>
      <c r="G270" s="138" t="str">
        <f>IFERROR(IF(IF(INDEX(_xlfn.VSTACK(YES_Writing_ELA[#Data],YES_Writing_FLA[#Data]),MATCH($A270,_xlfn.VSTACK(YES_Writing_ELA[Student Number],YES_Writing_FLA[Student Number]),0),MATCH(VLOOKUP(G$7,'Writing Logic'!$J$7:$K$11,2,FALSE)&amp;" - Per "&amp;VLOOKUP($C$4,'Writing Logic'!$G$8:$H$14,2,FALSE),YES_Writing_ELA[#Headers],0))=0,"",INDEX(_xlfn.VSTACK(YES_Writing_ELA[#Data],YES_Writing_FLA[#Data]),MATCH($A270,_xlfn.VSTACK(YES_Writing_ELA[Student Number],YES_Writing_FLA[Student Number]),0),MATCH(VLOOKUP(G$7,'Writing Logic'!$J$7:$K$11,2,FALSE)&amp;" - Per "&amp;VLOOKUP($C$4,'Writing Logic'!$G$8:$H$14,2,FALSE),YES_Writing_ELA[#Headers],0)))="INS",'Writing Logic'!$B$7,IF(INDEX(_xlfn.VSTACK(YES_Writing_ELA[#Data],YES_Writing_FLA[#Data]),MATCH($A270,_xlfn.VSTACK(YES_Writing_ELA[Student Number],YES_Writing_FLA[Student Number]),0),MATCH(VLOOKUP(G$7,'Writing Logic'!$J$7:$K$11,2,FALSE)&amp;" - Per "&amp;VLOOKUP($C$4,'Writing Logic'!$G$8:$H$14,2,FALSE),YES_Writing_ELA[#Headers],0))=0,"",INDEX(_xlfn.VSTACK(YES_Writing_ELA[#Data],YES_Writing_FLA[#Data]),MATCH($A270,_xlfn.VSTACK(YES_Writing_ELA[Student Number],YES_Writing_FLA[Student Number]),0),MATCH(VLOOKUP(G$7,'Writing Logic'!$J$7:$K$11,2,FALSE)&amp;" - Per "&amp;VLOOKUP($C$4,'Writing Logic'!$G$8:$H$14,2,FALSE),YES_Writing_ELA[#Headers],0)))),"")</f>
        <v/>
      </c>
      <c r="H270" s="138" t="str">
        <f>IFERROR(IF(IF(INDEX(_xlfn.VSTACK(YES_Writing_ELA[#Data],YES_Writing_FLA[#Data]),MATCH($A270,_xlfn.VSTACK(YES_Writing_ELA[Student Number],YES_Writing_FLA[Student Number]),0),MATCH(VLOOKUP(H$7,'Writing Logic'!$J$7:$K$11,2,FALSE)&amp;" - Per "&amp;VLOOKUP($C$4,'Writing Logic'!$G$8:$H$14,2,FALSE),YES_Writing_ELA[#Headers],0))=0,"",INDEX(_xlfn.VSTACK(YES_Writing_ELA[#Data],YES_Writing_FLA[#Data]),MATCH($A270,_xlfn.VSTACK(YES_Writing_ELA[Student Number],YES_Writing_FLA[Student Number]),0),MATCH(VLOOKUP(H$7,'Writing Logic'!$J$7:$K$11,2,FALSE)&amp;" - Per "&amp;VLOOKUP($C$4,'Writing Logic'!$G$8:$H$14,2,FALSE),YES_Writing_ELA[#Headers],0)))="INS",'Writing Logic'!$B$7,IF(INDEX(_xlfn.VSTACK(YES_Writing_ELA[#Data],YES_Writing_FLA[#Data]),MATCH($A270,_xlfn.VSTACK(YES_Writing_ELA[Student Number],YES_Writing_FLA[Student Number]),0),MATCH(VLOOKUP(H$7,'Writing Logic'!$J$7:$K$11,2,FALSE)&amp;" - Per "&amp;VLOOKUP($C$4,'Writing Logic'!$G$8:$H$14,2,FALSE),YES_Writing_ELA[#Headers],0))=0,"",INDEX(_xlfn.VSTACK(YES_Writing_ELA[#Data],YES_Writing_FLA[#Data]),MATCH($A270,_xlfn.VSTACK(YES_Writing_ELA[Student Number],YES_Writing_FLA[Student Number]),0),MATCH(VLOOKUP(H$7,'Writing Logic'!$J$7:$K$11,2,FALSE)&amp;" - Per "&amp;VLOOKUP($C$4,'Writing Logic'!$G$8:$H$14,2,FALSE),YES_Writing_ELA[#Headers],0)))),"")</f>
        <v/>
      </c>
    </row>
    <row r="271" spans="1:8" x14ac:dyDescent="0.25">
      <c r="A271" s="137"/>
      <c r="B271" s="137" t="str">
        <f>IFERROR(INDEX(_xlfn.VSTACK(YES_Writing_ELA[#Data], YES_Writing_FLA[#Data]),MATCH($A271,_xlfn.VSTACK(YES_Writing_ELA[Student Number], YES_Writing_FLA[Student Number]),0),MATCH(B$7,YES_Writing_ELA[#Headers],0)),"")</f>
        <v/>
      </c>
      <c r="C271" s="137" t="str">
        <f>IFERROR(INDEX(_xlfn.VSTACK(YES_Writing_ELA[#Data], YES_Writing_FLA[#Data]),MATCH($A271,_xlfn.VSTACK(YES_Writing_ELA[Student Number], YES_Writing_FLA[Student Number]),0),MATCH(C$7,YES_Writing_ELA[#Headers],0)),"")</f>
        <v/>
      </c>
      <c r="D271" s="138" t="str">
        <f>IFERROR(IF(IF(INDEX(_xlfn.VSTACK(YES_Writing_ELA[#Data],YES_Writing_FLA[#Data]),MATCH($A271,_xlfn.VSTACK(YES_Writing_ELA[Student Number],YES_Writing_FLA[Student Number]),0),MATCH(VLOOKUP(D$7,'Writing Logic'!$J$7:$K$11,2,FALSE)&amp;" - Per "&amp;VLOOKUP($C$4,'Writing Logic'!$G$8:$H$14,2,FALSE),YES_Writing_ELA[#Headers],0))=0,"",INDEX(_xlfn.VSTACK(YES_Writing_ELA[#Data],YES_Writing_FLA[#Data]),MATCH($A271,_xlfn.VSTACK(YES_Writing_ELA[Student Number],YES_Writing_FLA[Student Number]),0),MATCH(VLOOKUP(D$7,'Writing Logic'!$J$7:$K$11,2,FALSE)&amp;" - Per "&amp;VLOOKUP($C$4,'Writing Logic'!$G$8:$H$14,2,FALSE),YES_Writing_ELA[#Headers],0)))="INS",'Writing Logic'!$B$7,IF(INDEX(_xlfn.VSTACK(YES_Writing_ELA[#Data],YES_Writing_FLA[#Data]),MATCH($A271,_xlfn.VSTACK(YES_Writing_ELA[Student Number],YES_Writing_FLA[Student Number]),0),MATCH(VLOOKUP(D$7,'Writing Logic'!$J$7:$K$11,2,FALSE)&amp;" - Per "&amp;VLOOKUP($C$4,'Writing Logic'!$G$8:$H$14,2,FALSE),YES_Writing_ELA[#Headers],0))=0,"",INDEX(_xlfn.VSTACK(YES_Writing_ELA[#Data],YES_Writing_FLA[#Data]),MATCH($A271,_xlfn.VSTACK(YES_Writing_ELA[Student Number],YES_Writing_FLA[Student Number]),0),MATCH(VLOOKUP(D$7,'Writing Logic'!$J$7:$K$11,2,FALSE)&amp;" - Per "&amp;VLOOKUP($C$4,'Writing Logic'!$G$8:$H$14,2,FALSE),YES_Writing_ELA[#Headers],0)))),"")</f>
        <v/>
      </c>
      <c r="E271" s="138" t="str">
        <f>IFERROR(IF(IF(INDEX(_xlfn.VSTACK(YES_Writing_ELA[#Data],YES_Writing_FLA[#Data]),MATCH($A271,_xlfn.VSTACK(YES_Writing_ELA[Student Number],YES_Writing_FLA[Student Number]),0),MATCH(VLOOKUP(E$7,'Writing Logic'!$J$7:$K$11,2,FALSE)&amp;" - Per "&amp;VLOOKUP($C$4,'Writing Logic'!$G$8:$H$14,2,FALSE),YES_Writing_ELA[#Headers],0))=0,"",INDEX(_xlfn.VSTACK(YES_Writing_ELA[#Data],YES_Writing_FLA[#Data]),MATCH($A271,_xlfn.VSTACK(YES_Writing_ELA[Student Number],YES_Writing_FLA[Student Number]),0),MATCH(VLOOKUP(E$7,'Writing Logic'!$J$7:$K$11,2,FALSE)&amp;" - Per "&amp;VLOOKUP($C$4,'Writing Logic'!$G$8:$H$14,2,FALSE),YES_Writing_ELA[#Headers],0)))="INS",'Writing Logic'!$B$7,IF(INDEX(_xlfn.VSTACK(YES_Writing_ELA[#Data],YES_Writing_FLA[#Data]),MATCH($A271,_xlfn.VSTACK(YES_Writing_ELA[Student Number],YES_Writing_FLA[Student Number]),0),MATCH(VLOOKUP(E$7,'Writing Logic'!$J$7:$K$11,2,FALSE)&amp;" - Per "&amp;VLOOKUP($C$4,'Writing Logic'!$G$8:$H$14,2,FALSE),YES_Writing_ELA[#Headers],0))=0,"",INDEX(_xlfn.VSTACK(YES_Writing_ELA[#Data],YES_Writing_FLA[#Data]),MATCH($A271,_xlfn.VSTACK(YES_Writing_ELA[Student Number],YES_Writing_FLA[Student Number]),0),MATCH(VLOOKUP(E$7,'Writing Logic'!$J$7:$K$11,2,FALSE)&amp;" - Per "&amp;VLOOKUP($C$4,'Writing Logic'!$G$8:$H$14,2,FALSE),YES_Writing_ELA[#Headers],0)))),"")</f>
        <v/>
      </c>
      <c r="F271" s="138" t="str">
        <f>IFERROR(IF(IF(INDEX(_xlfn.VSTACK(YES_Writing_ELA[#Data],YES_Writing_FLA[#Data]),MATCH($A271,_xlfn.VSTACK(YES_Writing_ELA[Student Number],YES_Writing_FLA[Student Number]),0),MATCH(VLOOKUP(F$7,'Writing Logic'!$J$7:$K$11,2,FALSE)&amp;" - Per "&amp;VLOOKUP($C$4,'Writing Logic'!$G$8:$H$14,2,FALSE),YES_Writing_ELA[#Headers],0))=0,"",INDEX(_xlfn.VSTACK(YES_Writing_ELA[#Data],YES_Writing_FLA[#Data]),MATCH($A271,_xlfn.VSTACK(YES_Writing_ELA[Student Number],YES_Writing_FLA[Student Number]),0),MATCH(VLOOKUP(F$7,'Writing Logic'!$J$7:$K$11,2,FALSE)&amp;" - Per "&amp;VLOOKUP($C$4,'Writing Logic'!$G$8:$H$14,2,FALSE),YES_Writing_ELA[#Headers],0)))="INS",'Writing Logic'!$B$7,IF(INDEX(_xlfn.VSTACK(YES_Writing_ELA[#Data],YES_Writing_FLA[#Data]),MATCH($A271,_xlfn.VSTACK(YES_Writing_ELA[Student Number],YES_Writing_FLA[Student Number]),0),MATCH(VLOOKUP(F$7,'Writing Logic'!$J$7:$K$11,2,FALSE)&amp;" - Per "&amp;VLOOKUP($C$4,'Writing Logic'!$G$8:$H$14,2,FALSE),YES_Writing_ELA[#Headers],0))=0,"",INDEX(_xlfn.VSTACK(YES_Writing_ELA[#Data],YES_Writing_FLA[#Data]),MATCH($A271,_xlfn.VSTACK(YES_Writing_ELA[Student Number],YES_Writing_FLA[Student Number]),0),MATCH(VLOOKUP(F$7,'Writing Logic'!$J$7:$K$11,2,FALSE)&amp;" - Per "&amp;VLOOKUP($C$4,'Writing Logic'!$G$8:$H$14,2,FALSE),YES_Writing_ELA[#Headers],0)))),"")</f>
        <v/>
      </c>
      <c r="G271" s="138" t="str">
        <f>IFERROR(IF(IF(INDEX(_xlfn.VSTACK(YES_Writing_ELA[#Data],YES_Writing_FLA[#Data]),MATCH($A271,_xlfn.VSTACK(YES_Writing_ELA[Student Number],YES_Writing_FLA[Student Number]),0),MATCH(VLOOKUP(G$7,'Writing Logic'!$J$7:$K$11,2,FALSE)&amp;" - Per "&amp;VLOOKUP($C$4,'Writing Logic'!$G$8:$H$14,2,FALSE),YES_Writing_ELA[#Headers],0))=0,"",INDEX(_xlfn.VSTACK(YES_Writing_ELA[#Data],YES_Writing_FLA[#Data]),MATCH($A271,_xlfn.VSTACK(YES_Writing_ELA[Student Number],YES_Writing_FLA[Student Number]),0),MATCH(VLOOKUP(G$7,'Writing Logic'!$J$7:$K$11,2,FALSE)&amp;" - Per "&amp;VLOOKUP($C$4,'Writing Logic'!$G$8:$H$14,2,FALSE),YES_Writing_ELA[#Headers],0)))="INS",'Writing Logic'!$B$7,IF(INDEX(_xlfn.VSTACK(YES_Writing_ELA[#Data],YES_Writing_FLA[#Data]),MATCH($A271,_xlfn.VSTACK(YES_Writing_ELA[Student Number],YES_Writing_FLA[Student Number]),0),MATCH(VLOOKUP(G$7,'Writing Logic'!$J$7:$K$11,2,FALSE)&amp;" - Per "&amp;VLOOKUP($C$4,'Writing Logic'!$G$8:$H$14,2,FALSE),YES_Writing_ELA[#Headers],0))=0,"",INDEX(_xlfn.VSTACK(YES_Writing_ELA[#Data],YES_Writing_FLA[#Data]),MATCH($A271,_xlfn.VSTACK(YES_Writing_ELA[Student Number],YES_Writing_FLA[Student Number]),0),MATCH(VLOOKUP(G$7,'Writing Logic'!$J$7:$K$11,2,FALSE)&amp;" - Per "&amp;VLOOKUP($C$4,'Writing Logic'!$G$8:$H$14,2,FALSE),YES_Writing_ELA[#Headers],0)))),"")</f>
        <v/>
      </c>
      <c r="H271" s="138" t="str">
        <f>IFERROR(IF(IF(INDEX(_xlfn.VSTACK(YES_Writing_ELA[#Data],YES_Writing_FLA[#Data]),MATCH($A271,_xlfn.VSTACK(YES_Writing_ELA[Student Number],YES_Writing_FLA[Student Number]),0),MATCH(VLOOKUP(H$7,'Writing Logic'!$J$7:$K$11,2,FALSE)&amp;" - Per "&amp;VLOOKUP($C$4,'Writing Logic'!$G$8:$H$14,2,FALSE),YES_Writing_ELA[#Headers],0))=0,"",INDEX(_xlfn.VSTACK(YES_Writing_ELA[#Data],YES_Writing_FLA[#Data]),MATCH($A271,_xlfn.VSTACK(YES_Writing_ELA[Student Number],YES_Writing_FLA[Student Number]),0),MATCH(VLOOKUP(H$7,'Writing Logic'!$J$7:$K$11,2,FALSE)&amp;" - Per "&amp;VLOOKUP($C$4,'Writing Logic'!$G$8:$H$14,2,FALSE),YES_Writing_ELA[#Headers],0)))="INS",'Writing Logic'!$B$7,IF(INDEX(_xlfn.VSTACK(YES_Writing_ELA[#Data],YES_Writing_FLA[#Data]),MATCH($A271,_xlfn.VSTACK(YES_Writing_ELA[Student Number],YES_Writing_FLA[Student Number]),0),MATCH(VLOOKUP(H$7,'Writing Logic'!$J$7:$K$11,2,FALSE)&amp;" - Per "&amp;VLOOKUP($C$4,'Writing Logic'!$G$8:$H$14,2,FALSE),YES_Writing_ELA[#Headers],0))=0,"",INDEX(_xlfn.VSTACK(YES_Writing_ELA[#Data],YES_Writing_FLA[#Data]),MATCH($A271,_xlfn.VSTACK(YES_Writing_ELA[Student Number],YES_Writing_FLA[Student Number]),0),MATCH(VLOOKUP(H$7,'Writing Logic'!$J$7:$K$11,2,FALSE)&amp;" - Per "&amp;VLOOKUP($C$4,'Writing Logic'!$G$8:$H$14,2,FALSE),YES_Writing_ELA[#Headers],0)))),"")</f>
        <v/>
      </c>
    </row>
    <row r="272" spans="1:8" x14ac:dyDescent="0.25">
      <c r="A272" s="137"/>
      <c r="B272" s="137" t="str">
        <f>IFERROR(INDEX(_xlfn.VSTACK(YES_Writing_ELA[#Data], YES_Writing_FLA[#Data]),MATCH($A272,_xlfn.VSTACK(YES_Writing_ELA[Student Number], YES_Writing_FLA[Student Number]),0),MATCH(B$7,YES_Writing_ELA[#Headers],0)),"")</f>
        <v/>
      </c>
      <c r="C272" s="137" t="str">
        <f>IFERROR(INDEX(_xlfn.VSTACK(YES_Writing_ELA[#Data], YES_Writing_FLA[#Data]),MATCH($A272,_xlfn.VSTACK(YES_Writing_ELA[Student Number], YES_Writing_FLA[Student Number]),0),MATCH(C$7,YES_Writing_ELA[#Headers],0)),"")</f>
        <v/>
      </c>
      <c r="D272" s="138" t="str">
        <f>IFERROR(IF(IF(INDEX(_xlfn.VSTACK(YES_Writing_ELA[#Data],YES_Writing_FLA[#Data]),MATCH($A272,_xlfn.VSTACK(YES_Writing_ELA[Student Number],YES_Writing_FLA[Student Number]),0),MATCH(VLOOKUP(D$7,'Writing Logic'!$J$7:$K$11,2,FALSE)&amp;" - Per "&amp;VLOOKUP($C$4,'Writing Logic'!$G$8:$H$14,2,FALSE),YES_Writing_ELA[#Headers],0))=0,"",INDEX(_xlfn.VSTACK(YES_Writing_ELA[#Data],YES_Writing_FLA[#Data]),MATCH($A272,_xlfn.VSTACK(YES_Writing_ELA[Student Number],YES_Writing_FLA[Student Number]),0),MATCH(VLOOKUP(D$7,'Writing Logic'!$J$7:$K$11,2,FALSE)&amp;" - Per "&amp;VLOOKUP($C$4,'Writing Logic'!$G$8:$H$14,2,FALSE),YES_Writing_ELA[#Headers],0)))="INS",'Writing Logic'!$B$7,IF(INDEX(_xlfn.VSTACK(YES_Writing_ELA[#Data],YES_Writing_FLA[#Data]),MATCH($A272,_xlfn.VSTACK(YES_Writing_ELA[Student Number],YES_Writing_FLA[Student Number]),0),MATCH(VLOOKUP(D$7,'Writing Logic'!$J$7:$K$11,2,FALSE)&amp;" - Per "&amp;VLOOKUP($C$4,'Writing Logic'!$G$8:$H$14,2,FALSE),YES_Writing_ELA[#Headers],0))=0,"",INDEX(_xlfn.VSTACK(YES_Writing_ELA[#Data],YES_Writing_FLA[#Data]),MATCH($A272,_xlfn.VSTACK(YES_Writing_ELA[Student Number],YES_Writing_FLA[Student Number]),0),MATCH(VLOOKUP(D$7,'Writing Logic'!$J$7:$K$11,2,FALSE)&amp;" - Per "&amp;VLOOKUP($C$4,'Writing Logic'!$G$8:$H$14,2,FALSE),YES_Writing_ELA[#Headers],0)))),"")</f>
        <v/>
      </c>
      <c r="E272" s="138" t="str">
        <f>IFERROR(IF(IF(INDEX(_xlfn.VSTACK(YES_Writing_ELA[#Data],YES_Writing_FLA[#Data]),MATCH($A272,_xlfn.VSTACK(YES_Writing_ELA[Student Number],YES_Writing_FLA[Student Number]),0),MATCH(VLOOKUP(E$7,'Writing Logic'!$J$7:$K$11,2,FALSE)&amp;" - Per "&amp;VLOOKUP($C$4,'Writing Logic'!$G$8:$H$14,2,FALSE),YES_Writing_ELA[#Headers],0))=0,"",INDEX(_xlfn.VSTACK(YES_Writing_ELA[#Data],YES_Writing_FLA[#Data]),MATCH($A272,_xlfn.VSTACK(YES_Writing_ELA[Student Number],YES_Writing_FLA[Student Number]),0),MATCH(VLOOKUP(E$7,'Writing Logic'!$J$7:$K$11,2,FALSE)&amp;" - Per "&amp;VLOOKUP($C$4,'Writing Logic'!$G$8:$H$14,2,FALSE),YES_Writing_ELA[#Headers],0)))="INS",'Writing Logic'!$B$7,IF(INDEX(_xlfn.VSTACK(YES_Writing_ELA[#Data],YES_Writing_FLA[#Data]),MATCH($A272,_xlfn.VSTACK(YES_Writing_ELA[Student Number],YES_Writing_FLA[Student Number]),0),MATCH(VLOOKUP(E$7,'Writing Logic'!$J$7:$K$11,2,FALSE)&amp;" - Per "&amp;VLOOKUP($C$4,'Writing Logic'!$G$8:$H$14,2,FALSE),YES_Writing_ELA[#Headers],0))=0,"",INDEX(_xlfn.VSTACK(YES_Writing_ELA[#Data],YES_Writing_FLA[#Data]),MATCH($A272,_xlfn.VSTACK(YES_Writing_ELA[Student Number],YES_Writing_FLA[Student Number]),0),MATCH(VLOOKUP(E$7,'Writing Logic'!$J$7:$K$11,2,FALSE)&amp;" - Per "&amp;VLOOKUP($C$4,'Writing Logic'!$G$8:$H$14,2,FALSE),YES_Writing_ELA[#Headers],0)))),"")</f>
        <v/>
      </c>
      <c r="F272" s="138" t="str">
        <f>IFERROR(IF(IF(INDEX(_xlfn.VSTACK(YES_Writing_ELA[#Data],YES_Writing_FLA[#Data]),MATCH($A272,_xlfn.VSTACK(YES_Writing_ELA[Student Number],YES_Writing_FLA[Student Number]),0),MATCH(VLOOKUP(F$7,'Writing Logic'!$J$7:$K$11,2,FALSE)&amp;" - Per "&amp;VLOOKUP($C$4,'Writing Logic'!$G$8:$H$14,2,FALSE),YES_Writing_ELA[#Headers],0))=0,"",INDEX(_xlfn.VSTACK(YES_Writing_ELA[#Data],YES_Writing_FLA[#Data]),MATCH($A272,_xlfn.VSTACK(YES_Writing_ELA[Student Number],YES_Writing_FLA[Student Number]),0),MATCH(VLOOKUP(F$7,'Writing Logic'!$J$7:$K$11,2,FALSE)&amp;" - Per "&amp;VLOOKUP($C$4,'Writing Logic'!$G$8:$H$14,2,FALSE),YES_Writing_ELA[#Headers],0)))="INS",'Writing Logic'!$B$7,IF(INDEX(_xlfn.VSTACK(YES_Writing_ELA[#Data],YES_Writing_FLA[#Data]),MATCH($A272,_xlfn.VSTACK(YES_Writing_ELA[Student Number],YES_Writing_FLA[Student Number]),0),MATCH(VLOOKUP(F$7,'Writing Logic'!$J$7:$K$11,2,FALSE)&amp;" - Per "&amp;VLOOKUP($C$4,'Writing Logic'!$G$8:$H$14,2,FALSE),YES_Writing_ELA[#Headers],0))=0,"",INDEX(_xlfn.VSTACK(YES_Writing_ELA[#Data],YES_Writing_FLA[#Data]),MATCH($A272,_xlfn.VSTACK(YES_Writing_ELA[Student Number],YES_Writing_FLA[Student Number]),0),MATCH(VLOOKUP(F$7,'Writing Logic'!$J$7:$K$11,2,FALSE)&amp;" - Per "&amp;VLOOKUP($C$4,'Writing Logic'!$G$8:$H$14,2,FALSE),YES_Writing_ELA[#Headers],0)))),"")</f>
        <v/>
      </c>
      <c r="G272" s="138" t="str">
        <f>IFERROR(IF(IF(INDEX(_xlfn.VSTACK(YES_Writing_ELA[#Data],YES_Writing_FLA[#Data]),MATCH($A272,_xlfn.VSTACK(YES_Writing_ELA[Student Number],YES_Writing_FLA[Student Number]),0),MATCH(VLOOKUP(G$7,'Writing Logic'!$J$7:$K$11,2,FALSE)&amp;" - Per "&amp;VLOOKUP($C$4,'Writing Logic'!$G$8:$H$14,2,FALSE),YES_Writing_ELA[#Headers],0))=0,"",INDEX(_xlfn.VSTACK(YES_Writing_ELA[#Data],YES_Writing_FLA[#Data]),MATCH($A272,_xlfn.VSTACK(YES_Writing_ELA[Student Number],YES_Writing_FLA[Student Number]),0),MATCH(VLOOKUP(G$7,'Writing Logic'!$J$7:$K$11,2,FALSE)&amp;" - Per "&amp;VLOOKUP($C$4,'Writing Logic'!$G$8:$H$14,2,FALSE),YES_Writing_ELA[#Headers],0)))="INS",'Writing Logic'!$B$7,IF(INDEX(_xlfn.VSTACK(YES_Writing_ELA[#Data],YES_Writing_FLA[#Data]),MATCH($A272,_xlfn.VSTACK(YES_Writing_ELA[Student Number],YES_Writing_FLA[Student Number]),0),MATCH(VLOOKUP(G$7,'Writing Logic'!$J$7:$K$11,2,FALSE)&amp;" - Per "&amp;VLOOKUP($C$4,'Writing Logic'!$G$8:$H$14,2,FALSE),YES_Writing_ELA[#Headers],0))=0,"",INDEX(_xlfn.VSTACK(YES_Writing_ELA[#Data],YES_Writing_FLA[#Data]),MATCH($A272,_xlfn.VSTACK(YES_Writing_ELA[Student Number],YES_Writing_FLA[Student Number]),0),MATCH(VLOOKUP(G$7,'Writing Logic'!$J$7:$K$11,2,FALSE)&amp;" - Per "&amp;VLOOKUP($C$4,'Writing Logic'!$G$8:$H$14,2,FALSE),YES_Writing_ELA[#Headers],0)))),"")</f>
        <v/>
      </c>
      <c r="H272" s="138" t="str">
        <f>IFERROR(IF(IF(INDEX(_xlfn.VSTACK(YES_Writing_ELA[#Data],YES_Writing_FLA[#Data]),MATCH($A272,_xlfn.VSTACK(YES_Writing_ELA[Student Number],YES_Writing_FLA[Student Number]),0),MATCH(VLOOKUP(H$7,'Writing Logic'!$J$7:$K$11,2,FALSE)&amp;" - Per "&amp;VLOOKUP($C$4,'Writing Logic'!$G$8:$H$14,2,FALSE),YES_Writing_ELA[#Headers],0))=0,"",INDEX(_xlfn.VSTACK(YES_Writing_ELA[#Data],YES_Writing_FLA[#Data]),MATCH($A272,_xlfn.VSTACK(YES_Writing_ELA[Student Number],YES_Writing_FLA[Student Number]),0),MATCH(VLOOKUP(H$7,'Writing Logic'!$J$7:$K$11,2,FALSE)&amp;" - Per "&amp;VLOOKUP($C$4,'Writing Logic'!$G$8:$H$14,2,FALSE),YES_Writing_ELA[#Headers],0)))="INS",'Writing Logic'!$B$7,IF(INDEX(_xlfn.VSTACK(YES_Writing_ELA[#Data],YES_Writing_FLA[#Data]),MATCH($A272,_xlfn.VSTACK(YES_Writing_ELA[Student Number],YES_Writing_FLA[Student Number]),0),MATCH(VLOOKUP(H$7,'Writing Logic'!$J$7:$K$11,2,FALSE)&amp;" - Per "&amp;VLOOKUP($C$4,'Writing Logic'!$G$8:$H$14,2,FALSE),YES_Writing_ELA[#Headers],0))=0,"",INDEX(_xlfn.VSTACK(YES_Writing_ELA[#Data],YES_Writing_FLA[#Data]),MATCH($A272,_xlfn.VSTACK(YES_Writing_ELA[Student Number],YES_Writing_FLA[Student Number]),0),MATCH(VLOOKUP(H$7,'Writing Logic'!$J$7:$K$11,2,FALSE)&amp;" - Per "&amp;VLOOKUP($C$4,'Writing Logic'!$G$8:$H$14,2,FALSE),YES_Writing_ELA[#Headers],0)))),"")</f>
        <v/>
      </c>
    </row>
    <row r="273" spans="1:8" x14ac:dyDescent="0.25">
      <c r="A273" s="137"/>
      <c r="B273" s="137" t="str">
        <f>IFERROR(INDEX(_xlfn.VSTACK(YES_Writing_ELA[#Data], YES_Writing_FLA[#Data]),MATCH($A273,_xlfn.VSTACK(YES_Writing_ELA[Student Number], YES_Writing_FLA[Student Number]),0),MATCH(B$7,YES_Writing_ELA[#Headers],0)),"")</f>
        <v/>
      </c>
      <c r="C273" s="137" t="str">
        <f>IFERROR(INDEX(_xlfn.VSTACK(YES_Writing_ELA[#Data], YES_Writing_FLA[#Data]),MATCH($A273,_xlfn.VSTACK(YES_Writing_ELA[Student Number], YES_Writing_FLA[Student Number]),0),MATCH(C$7,YES_Writing_ELA[#Headers],0)),"")</f>
        <v/>
      </c>
      <c r="D273" s="138" t="str">
        <f>IFERROR(IF(IF(INDEX(_xlfn.VSTACK(YES_Writing_ELA[#Data],YES_Writing_FLA[#Data]),MATCH($A273,_xlfn.VSTACK(YES_Writing_ELA[Student Number],YES_Writing_FLA[Student Number]),0),MATCH(VLOOKUP(D$7,'Writing Logic'!$J$7:$K$11,2,FALSE)&amp;" - Per "&amp;VLOOKUP($C$4,'Writing Logic'!$G$8:$H$14,2,FALSE),YES_Writing_ELA[#Headers],0))=0,"",INDEX(_xlfn.VSTACK(YES_Writing_ELA[#Data],YES_Writing_FLA[#Data]),MATCH($A273,_xlfn.VSTACK(YES_Writing_ELA[Student Number],YES_Writing_FLA[Student Number]),0),MATCH(VLOOKUP(D$7,'Writing Logic'!$J$7:$K$11,2,FALSE)&amp;" - Per "&amp;VLOOKUP($C$4,'Writing Logic'!$G$8:$H$14,2,FALSE),YES_Writing_ELA[#Headers],0)))="INS",'Writing Logic'!$B$7,IF(INDEX(_xlfn.VSTACK(YES_Writing_ELA[#Data],YES_Writing_FLA[#Data]),MATCH($A273,_xlfn.VSTACK(YES_Writing_ELA[Student Number],YES_Writing_FLA[Student Number]),0),MATCH(VLOOKUP(D$7,'Writing Logic'!$J$7:$K$11,2,FALSE)&amp;" - Per "&amp;VLOOKUP($C$4,'Writing Logic'!$G$8:$H$14,2,FALSE),YES_Writing_ELA[#Headers],0))=0,"",INDEX(_xlfn.VSTACK(YES_Writing_ELA[#Data],YES_Writing_FLA[#Data]),MATCH($A273,_xlfn.VSTACK(YES_Writing_ELA[Student Number],YES_Writing_FLA[Student Number]),0),MATCH(VLOOKUP(D$7,'Writing Logic'!$J$7:$K$11,2,FALSE)&amp;" - Per "&amp;VLOOKUP($C$4,'Writing Logic'!$G$8:$H$14,2,FALSE),YES_Writing_ELA[#Headers],0)))),"")</f>
        <v/>
      </c>
      <c r="E273" s="138" t="str">
        <f>IFERROR(IF(IF(INDEX(_xlfn.VSTACK(YES_Writing_ELA[#Data],YES_Writing_FLA[#Data]),MATCH($A273,_xlfn.VSTACK(YES_Writing_ELA[Student Number],YES_Writing_FLA[Student Number]),0),MATCH(VLOOKUP(E$7,'Writing Logic'!$J$7:$K$11,2,FALSE)&amp;" - Per "&amp;VLOOKUP($C$4,'Writing Logic'!$G$8:$H$14,2,FALSE),YES_Writing_ELA[#Headers],0))=0,"",INDEX(_xlfn.VSTACK(YES_Writing_ELA[#Data],YES_Writing_FLA[#Data]),MATCH($A273,_xlfn.VSTACK(YES_Writing_ELA[Student Number],YES_Writing_FLA[Student Number]),0),MATCH(VLOOKUP(E$7,'Writing Logic'!$J$7:$K$11,2,FALSE)&amp;" - Per "&amp;VLOOKUP($C$4,'Writing Logic'!$G$8:$H$14,2,FALSE),YES_Writing_ELA[#Headers],0)))="INS",'Writing Logic'!$B$7,IF(INDEX(_xlfn.VSTACK(YES_Writing_ELA[#Data],YES_Writing_FLA[#Data]),MATCH($A273,_xlfn.VSTACK(YES_Writing_ELA[Student Number],YES_Writing_FLA[Student Number]),0),MATCH(VLOOKUP(E$7,'Writing Logic'!$J$7:$K$11,2,FALSE)&amp;" - Per "&amp;VLOOKUP($C$4,'Writing Logic'!$G$8:$H$14,2,FALSE),YES_Writing_ELA[#Headers],0))=0,"",INDEX(_xlfn.VSTACK(YES_Writing_ELA[#Data],YES_Writing_FLA[#Data]),MATCH($A273,_xlfn.VSTACK(YES_Writing_ELA[Student Number],YES_Writing_FLA[Student Number]),0),MATCH(VLOOKUP(E$7,'Writing Logic'!$J$7:$K$11,2,FALSE)&amp;" - Per "&amp;VLOOKUP($C$4,'Writing Logic'!$G$8:$H$14,2,FALSE),YES_Writing_ELA[#Headers],0)))),"")</f>
        <v/>
      </c>
      <c r="F273" s="138" t="str">
        <f>IFERROR(IF(IF(INDEX(_xlfn.VSTACK(YES_Writing_ELA[#Data],YES_Writing_FLA[#Data]),MATCH($A273,_xlfn.VSTACK(YES_Writing_ELA[Student Number],YES_Writing_FLA[Student Number]),0),MATCH(VLOOKUP(F$7,'Writing Logic'!$J$7:$K$11,2,FALSE)&amp;" - Per "&amp;VLOOKUP($C$4,'Writing Logic'!$G$8:$H$14,2,FALSE),YES_Writing_ELA[#Headers],0))=0,"",INDEX(_xlfn.VSTACK(YES_Writing_ELA[#Data],YES_Writing_FLA[#Data]),MATCH($A273,_xlfn.VSTACK(YES_Writing_ELA[Student Number],YES_Writing_FLA[Student Number]),0),MATCH(VLOOKUP(F$7,'Writing Logic'!$J$7:$K$11,2,FALSE)&amp;" - Per "&amp;VLOOKUP($C$4,'Writing Logic'!$G$8:$H$14,2,FALSE),YES_Writing_ELA[#Headers],0)))="INS",'Writing Logic'!$B$7,IF(INDEX(_xlfn.VSTACK(YES_Writing_ELA[#Data],YES_Writing_FLA[#Data]),MATCH($A273,_xlfn.VSTACK(YES_Writing_ELA[Student Number],YES_Writing_FLA[Student Number]),0),MATCH(VLOOKUP(F$7,'Writing Logic'!$J$7:$K$11,2,FALSE)&amp;" - Per "&amp;VLOOKUP($C$4,'Writing Logic'!$G$8:$H$14,2,FALSE),YES_Writing_ELA[#Headers],0))=0,"",INDEX(_xlfn.VSTACK(YES_Writing_ELA[#Data],YES_Writing_FLA[#Data]),MATCH($A273,_xlfn.VSTACK(YES_Writing_ELA[Student Number],YES_Writing_FLA[Student Number]),0),MATCH(VLOOKUP(F$7,'Writing Logic'!$J$7:$K$11,2,FALSE)&amp;" - Per "&amp;VLOOKUP($C$4,'Writing Logic'!$G$8:$H$14,2,FALSE),YES_Writing_ELA[#Headers],0)))),"")</f>
        <v/>
      </c>
      <c r="G273" s="138" t="str">
        <f>IFERROR(IF(IF(INDEX(_xlfn.VSTACK(YES_Writing_ELA[#Data],YES_Writing_FLA[#Data]),MATCH($A273,_xlfn.VSTACK(YES_Writing_ELA[Student Number],YES_Writing_FLA[Student Number]),0),MATCH(VLOOKUP(G$7,'Writing Logic'!$J$7:$K$11,2,FALSE)&amp;" - Per "&amp;VLOOKUP($C$4,'Writing Logic'!$G$8:$H$14,2,FALSE),YES_Writing_ELA[#Headers],0))=0,"",INDEX(_xlfn.VSTACK(YES_Writing_ELA[#Data],YES_Writing_FLA[#Data]),MATCH($A273,_xlfn.VSTACK(YES_Writing_ELA[Student Number],YES_Writing_FLA[Student Number]),0),MATCH(VLOOKUP(G$7,'Writing Logic'!$J$7:$K$11,2,FALSE)&amp;" - Per "&amp;VLOOKUP($C$4,'Writing Logic'!$G$8:$H$14,2,FALSE),YES_Writing_ELA[#Headers],0)))="INS",'Writing Logic'!$B$7,IF(INDEX(_xlfn.VSTACK(YES_Writing_ELA[#Data],YES_Writing_FLA[#Data]),MATCH($A273,_xlfn.VSTACK(YES_Writing_ELA[Student Number],YES_Writing_FLA[Student Number]),0),MATCH(VLOOKUP(G$7,'Writing Logic'!$J$7:$K$11,2,FALSE)&amp;" - Per "&amp;VLOOKUP($C$4,'Writing Logic'!$G$8:$H$14,2,FALSE),YES_Writing_ELA[#Headers],0))=0,"",INDEX(_xlfn.VSTACK(YES_Writing_ELA[#Data],YES_Writing_FLA[#Data]),MATCH($A273,_xlfn.VSTACK(YES_Writing_ELA[Student Number],YES_Writing_FLA[Student Number]),0),MATCH(VLOOKUP(G$7,'Writing Logic'!$J$7:$K$11,2,FALSE)&amp;" - Per "&amp;VLOOKUP($C$4,'Writing Logic'!$G$8:$H$14,2,FALSE),YES_Writing_ELA[#Headers],0)))),"")</f>
        <v/>
      </c>
      <c r="H273" s="138" t="str">
        <f>IFERROR(IF(IF(INDEX(_xlfn.VSTACK(YES_Writing_ELA[#Data],YES_Writing_FLA[#Data]),MATCH($A273,_xlfn.VSTACK(YES_Writing_ELA[Student Number],YES_Writing_FLA[Student Number]),0),MATCH(VLOOKUP(H$7,'Writing Logic'!$J$7:$K$11,2,FALSE)&amp;" - Per "&amp;VLOOKUP($C$4,'Writing Logic'!$G$8:$H$14,2,FALSE),YES_Writing_ELA[#Headers],0))=0,"",INDEX(_xlfn.VSTACK(YES_Writing_ELA[#Data],YES_Writing_FLA[#Data]),MATCH($A273,_xlfn.VSTACK(YES_Writing_ELA[Student Number],YES_Writing_FLA[Student Number]),0),MATCH(VLOOKUP(H$7,'Writing Logic'!$J$7:$K$11,2,FALSE)&amp;" - Per "&amp;VLOOKUP($C$4,'Writing Logic'!$G$8:$H$14,2,FALSE),YES_Writing_ELA[#Headers],0)))="INS",'Writing Logic'!$B$7,IF(INDEX(_xlfn.VSTACK(YES_Writing_ELA[#Data],YES_Writing_FLA[#Data]),MATCH($A273,_xlfn.VSTACK(YES_Writing_ELA[Student Number],YES_Writing_FLA[Student Number]),0),MATCH(VLOOKUP(H$7,'Writing Logic'!$J$7:$K$11,2,FALSE)&amp;" - Per "&amp;VLOOKUP($C$4,'Writing Logic'!$G$8:$H$14,2,FALSE),YES_Writing_ELA[#Headers],0))=0,"",INDEX(_xlfn.VSTACK(YES_Writing_ELA[#Data],YES_Writing_FLA[#Data]),MATCH($A273,_xlfn.VSTACK(YES_Writing_ELA[Student Number],YES_Writing_FLA[Student Number]),0),MATCH(VLOOKUP(H$7,'Writing Logic'!$J$7:$K$11,2,FALSE)&amp;" - Per "&amp;VLOOKUP($C$4,'Writing Logic'!$G$8:$H$14,2,FALSE),YES_Writing_ELA[#Headers],0)))),"")</f>
        <v/>
      </c>
    </row>
    <row r="274" spans="1:8" x14ac:dyDescent="0.25">
      <c r="A274" s="137"/>
      <c r="B274" s="137" t="str">
        <f>IFERROR(INDEX(_xlfn.VSTACK(YES_Writing_ELA[#Data], YES_Writing_FLA[#Data]),MATCH($A274,_xlfn.VSTACK(YES_Writing_ELA[Student Number], YES_Writing_FLA[Student Number]),0),MATCH(B$7,YES_Writing_ELA[#Headers],0)),"")</f>
        <v/>
      </c>
      <c r="C274" s="137" t="str">
        <f>IFERROR(INDEX(_xlfn.VSTACK(YES_Writing_ELA[#Data], YES_Writing_FLA[#Data]),MATCH($A274,_xlfn.VSTACK(YES_Writing_ELA[Student Number], YES_Writing_FLA[Student Number]),0),MATCH(C$7,YES_Writing_ELA[#Headers],0)),"")</f>
        <v/>
      </c>
      <c r="D274" s="138" t="str">
        <f>IFERROR(IF(IF(INDEX(_xlfn.VSTACK(YES_Writing_ELA[#Data],YES_Writing_FLA[#Data]),MATCH($A274,_xlfn.VSTACK(YES_Writing_ELA[Student Number],YES_Writing_FLA[Student Number]),0),MATCH(VLOOKUP(D$7,'Writing Logic'!$J$7:$K$11,2,FALSE)&amp;" - Per "&amp;VLOOKUP($C$4,'Writing Logic'!$G$8:$H$14,2,FALSE),YES_Writing_ELA[#Headers],0))=0,"",INDEX(_xlfn.VSTACK(YES_Writing_ELA[#Data],YES_Writing_FLA[#Data]),MATCH($A274,_xlfn.VSTACK(YES_Writing_ELA[Student Number],YES_Writing_FLA[Student Number]),0),MATCH(VLOOKUP(D$7,'Writing Logic'!$J$7:$K$11,2,FALSE)&amp;" - Per "&amp;VLOOKUP($C$4,'Writing Logic'!$G$8:$H$14,2,FALSE),YES_Writing_ELA[#Headers],0)))="INS",'Writing Logic'!$B$7,IF(INDEX(_xlfn.VSTACK(YES_Writing_ELA[#Data],YES_Writing_FLA[#Data]),MATCH($A274,_xlfn.VSTACK(YES_Writing_ELA[Student Number],YES_Writing_FLA[Student Number]),0),MATCH(VLOOKUP(D$7,'Writing Logic'!$J$7:$K$11,2,FALSE)&amp;" - Per "&amp;VLOOKUP($C$4,'Writing Logic'!$G$8:$H$14,2,FALSE),YES_Writing_ELA[#Headers],0))=0,"",INDEX(_xlfn.VSTACK(YES_Writing_ELA[#Data],YES_Writing_FLA[#Data]),MATCH($A274,_xlfn.VSTACK(YES_Writing_ELA[Student Number],YES_Writing_FLA[Student Number]),0),MATCH(VLOOKUP(D$7,'Writing Logic'!$J$7:$K$11,2,FALSE)&amp;" - Per "&amp;VLOOKUP($C$4,'Writing Logic'!$G$8:$H$14,2,FALSE),YES_Writing_ELA[#Headers],0)))),"")</f>
        <v/>
      </c>
      <c r="E274" s="138" t="str">
        <f>IFERROR(IF(IF(INDEX(_xlfn.VSTACK(YES_Writing_ELA[#Data],YES_Writing_FLA[#Data]),MATCH($A274,_xlfn.VSTACK(YES_Writing_ELA[Student Number],YES_Writing_FLA[Student Number]),0),MATCH(VLOOKUP(E$7,'Writing Logic'!$J$7:$K$11,2,FALSE)&amp;" - Per "&amp;VLOOKUP($C$4,'Writing Logic'!$G$8:$H$14,2,FALSE),YES_Writing_ELA[#Headers],0))=0,"",INDEX(_xlfn.VSTACK(YES_Writing_ELA[#Data],YES_Writing_FLA[#Data]),MATCH($A274,_xlfn.VSTACK(YES_Writing_ELA[Student Number],YES_Writing_FLA[Student Number]),0),MATCH(VLOOKUP(E$7,'Writing Logic'!$J$7:$K$11,2,FALSE)&amp;" - Per "&amp;VLOOKUP($C$4,'Writing Logic'!$G$8:$H$14,2,FALSE),YES_Writing_ELA[#Headers],0)))="INS",'Writing Logic'!$B$7,IF(INDEX(_xlfn.VSTACK(YES_Writing_ELA[#Data],YES_Writing_FLA[#Data]),MATCH($A274,_xlfn.VSTACK(YES_Writing_ELA[Student Number],YES_Writing_FLA[Student Number]),0),MATCH(VLOOKUP(E$7,'Writing Logic'!$J$7:$K$11,2,FALSE)&amp;" - Per "&amp;VLOOKUP($C$4,'Writing Logic'!$G$8:$H$14,2,FALSE),YES_Writing_ELA[#Headers],0))=0,"",INDEX(_xlfn.VSTACK(YES_Writing_ELA[#Data],YES_Writing_FLA[#Data]),MATCH($A274,_xlfn.VSTACK(YES_Writing_ELA[Student Number],YES_Writing_FLA[Student Number]),0),MATCH(VLOOKUP(E$7,'Writing Logic'!$J$7:$K$11,2,FALSE)&amp;" - Per "&amp;VLOOKUP($C$4,'Writing Logic'!$G$8:$H$14,2,FALSE),YES_Writing_ELA[#Headers],0)))),"")</f>
        <v/>
      </c>
      <c r="F274" s="138" t="str">
        <f>IFERROR(IF(IF(INDEX(_xlfn.VSTACK(YES_Writing_ELA[#Data],YES_Writing_FLA[#Data]),MATCH($A274,_xlfn.VSTACK(YES_Writing_ELA[Student Number],YES_Writing_FLA[Student Number]),0),MATCH(VLOOKUP(F$7,'Writing Logic'!$J$7:$K$11,2,FALSE)&amp;" - Per "&amp;VLOOKUP($C$4,'Writing Logic'!$G$8:$H$14,2,FALSE),YES_Writing_ELA[#Headers],0))=0,"",INDEX(_xlfn.VSTACK(YES_Writing_ELA[#Data],YES_Writing_FLA[#Data]),MATCH($A274,_xlfn.VSTACK(YES_Writing_ELA[Student Number],YES_Writing_FLA[Student Number]),0),MATCH(VLOOKUP(F$7,'Writing Logic'!$J$7:$K$11,2,FALSE)&amp;" - Per "&amp;VLOOKUP($C$4,'Writing Logic'!$G$8:$H$14,2,FALSE),YES_Writing_ELA[#Headers],0)))="INS",'Writing Logic'!$B$7,IF(INDEX(_xlfn.VSTACK(YES_Writing_ELA[#Data],YES_Writing_FLA[#Data]),MATCH($A274,_xlfn.VSTACK(YES_Writing_ELA[Student Number],YES_Writing_FLA[Student Number]),0),MATCH(VLOOKUP(F$7,'Writing Logic'!$J$7:$K$11,2,FALSE)&amp;" - Per "&amp;VLOOKUP($C$4,'Writing Logic'!$G$8:$H$14,2,FALSE),YES_Writing_ELA[#Headers],0))=0,"",INDEX(_xlfn.VSTACK(YES_Writing_ELA[#Data],YES_Writing_FLA[#Data]),MATCH($A274,_xlfn.VSTACK(YES_Writing_ELA[Student Number],YES_Writing_FLA[Student Number]),0),MATCH(VLOOKUP(F$7,'Writing Logic'!$J$7:$K$11,2,FALSE)&amp;" - Per "&amp;VLOOKUP($C$4,'Writing Logic'!$G$8:$H$14,2,FALSE),YES_Writing_ELA[#Headers],0)))),"")</f>
        <v/>
      </c>
      <c r="G274" s="138" t="str">
        <f>IFERROR(IF(IF(INDEX(_xlfn.VSTACK(YES_Writing_ELA[#Data],YES_Writing_FLA[#Data]),MATCH($A274,_xlfn.VSTACK(YES_Writing_ELA[Student Number],YES_Writing_FLA[Student Number]),0),MATCH(VLOOKUP(G$7,'Writing Logic'!$J$7:$K$11,2,FALSE)&amp;" - Per "&amp;VLOOKUP($C$4,'Writing Logic'!$G$8:$H$14,2,FALSE),YES_Writing_ELA[#Headers],0))=0,"",INDEX(_xlfn.VSTACK(YES_Writing_ELA[#Data],YES_Writing_FLA[#Data]),MATCH($A274,_xlfn.VSTACK(YES_Writing_ELA[Student Number],YES_Writing_FLA[Student Number]),0),MATCH(VLOOKUP(G$7,'Writing Logic'!$J$7:$K$11,2,FALSE)&amp;" - Per "&amp;VLOOKUP($C$4,'Writing Logic'!$G$8:$H$14,2,FALSE),YES_Writing_ELA[#Headers],0)))="INS",'Writing Logic'!$B$7,IF(INDEX(_xlfn.VSTACK(YES_Writing_ELA[#Data],YES_Writing_FLA[#Data]),MATCH($A274,_xlfn.VSTACK(YES_Writing_ELA[Student Number],YES_Writing_FLA[Student Number]),0),MATCH(VLOOKUP(G$7,'Writing Logic'!$J$7:$K$11,2,FALSE)&amp;" - Per "&amp;VLOOKUP($C$4,'Writing Logic'!$G$8:$H$14,2,FALSE),YES_Writing_ELA[#Headers],0))=0,"",INDEX(_xlfn.VSTACK(YES_Writing_ELA[#Data],YES_Writing_FLA[#Data]),MATCH($A274,_xlfn.VSTACK(YES_Writing_ELA[Student Number],YES_Writing_FLA[Student Number]),0),MATCH(VLOOKUP(G$7,'Writing Logic'!$J$7:$K$11,2,FALSE)&amp;" - Per "&amp;VLOOKUP($C$4,'Writing Logic'!$G$8:$H$14,2,FALSE),YES_Writing_ELA[#Headers],0)))),"")</f>
        <v/>
      </c>
      <c r="H274" s="138" t="str">
        <f>IFERROR(IF(IF(INDEX(_xlfn.VSTACK(YES_Writing_ELA[#Data],YES_Writing_FLA[#Data]),MATCH($A274,_xlfn.VSTACK(YES_Writing_ELA[Student Number],YES_Writing_FLA[Student Number]),0),MATCH(VLOOKUP(H$7,'Writing Logic'!$J$7:$K$11,2,FALSE)&amp;" - Per "&amp;VLOOKUP($C$4,'Writing Logic'!$G$8:$H$14,2,FALSE),YES_Writing_ELA[#Headers],0))=0,"",INDEX(_xlfn.VSTACK(YES_Writing_ELA[#Data],YES_Writing_FLA[#Data]),MATCH($A274,_xlfn.VSTACK(YES_Writing_ELA[Student Number],YES_Writing_FLA[Student Number]),0),MATCH(VLOOKUP(H$7,'Writing Logic'!$J$7:$K$11,2,FALSE)&amp;" - Per "&amp;VLOOKUP($C$4,'Writing Logic'!$G$8:$H$14,2,FALSE),YES_Writing_ELA[#Headers],0)))="INS",'Writing Logic'!$B$7,IF(INDEX(_xlfn.VSTACK(YES_Writing_ELA[#Data],YES_Writing_FLA[#Data]),MATCH($A274,_xlfn.VSTACK(YES_Writing_ELA[Student Number],YES_Writing_FLA[Student Number]),0),MATCH(VLOOKUP(H$7,'Writing Logic'!$J$7:$K$11,2,FALSE)&amp;" - Per "&amp;VLOOKUP($C$4,'Writing Logic'!$G$8:$H$14,2,FALSE),YES_Writing_ELA[#Headers],0))=0,"",INDEX(_xlfn.VSTACK(YES_Writing_ELA[#Data],YES_Writing_FLA[#Data]),MATCH($A274,_xlfn.VSTACK(YES_Writing_ELA[Student Number],YES_Writing_FLA[Student Number]),0),MATCH(VLOOKUP(H$7,'Writing Logic'!$J$7:$K$11,2,FALSE)&amp;" - Per "&amp;VLOOKUP($C$4,'Writing Logic'!$G$8:$H$14,2,FALSE),YES_Writing_ELA[#Headers],0)))),"")</f>
        <v/>
      </c>
    </row>
    <row r="275" spans="1:8" x14ac:dyDescent="0.25">
      <c r="A275" s="137"/>
      <c r="B275" s="137" t="str">
        <f>IFERROR(INDEX(_xlfn.VSTACK(YES_Writing_ELA[#Data], YES_Writing_FLA[#Data]),MATCH($A275,_xlfn.VSTACK(YES_Writing_ELA[Student Number], YES_Writing_FLA[Student Number]),0),MATCH(B$7,YES_Writing_ELA[#Headers],0)),"")</f>
        <v/>
      </c>
      <c r="C275" s="137" t="str">
        <f>IFERROR(INDEX(_xlfn.VSTACK(YES_Writing_ELA[#Data], YES_Writing_FLA[#Data]),MATCH($A275,_xlfn.VSTACK(YES_Writing_ELA[Student Number], YES_Writing_FLA[Student Number]),0),MATCH(C$7,YES_Writing_ELA[#Headers],0)),"")</f>
        <v/>
      </c>
      <c r="D275" s="138" t="str">
        <f>IFERROR(IF(IF(INDEX(_xlfn.VSTACK(YES_Writing_ELA[#Data],YES_Writing_FLA[#Data]),MATCH($A275,_xlfn.VSTACK(YES_Writing_ELA[Student Number],YES_Writing_FLA[Student Number]),0),MATCH(VLOOKUP(D$7,'Writing Logic'!$J$7:$K$11,2,FALSE)&amp;" - Per "&amp;VLOOKUP($C$4,'Writing Logic'!$G$8:$H$14,2,FALSE),YES_Writing_ELA[#Headers],0))=0,"",INDEX(_xlfn.VSTACK(YES_Writing_ELA[#Data],YES_Writing_FLA[#Data]),MATCH($A275,_xlfn.VSTACK(YES_Writing_ELA[Student Number],YES_Writing_FLA[Student Number]),0),MATCH(VLOOKUP(D$7,'Writing Logic'!$J$7:$K$11,2,FALSE)&amp;" - Per "&amp;VLOOKUP($C$4,'Writing Logic'!$G$8:$H$14,2,FALSE),YES_Writing_ELA[#Headers],0)))="INS",'Writing Logic'!$B$7,IF(INDEX(_xlfn.VSTACK(YES_Writing_ELA[#Data],YES_Writing_FLA[#Data]),MATCH($A275,_xlfn.VSTACK(YES_Writing_ELA[Student Number],YES_Writing_FLA[Student Number]),0),MATCH(VLOOKUP(D$7,'Writing Logic'!$J$7:$K$11,2,FALSE)&amp;" - Per "&amp;VLOOKUP($C$4,'Writing Logic'!$G$8:$H$14,2,FALSE),YES_Writing_ELA[#Headers],0))=0,"",INDEX(_xlfn.VSTACK(YES_Writing_ELA[#Data],YES_Writing_FLA[#Data]),MATCH($A275,_xlfn.VSTACK(YES_Writing_ELA[Student Number],YES_Writing_FLA[Student Number]),0),MATCH(VLOOKUP(D$7,'Writing Logic'!$J$7:$K$11,2,FALSE)&amp;" - Per "&amp;VLOOKUP($C$4,'Writing Logic'!$G$8:$H$14,2,FALSE),YES_Writing_ELA[#Headers],0)))),"")</f>
        <v/>
      </c>
      <c r="E275" s="138" t="str">
        <f>IFERROR(IF(IF(INDEX(_xlfn.VSTACK(YES_Writing_ELA[#Data],YES_Writing_FLA[#Data]),MATCH($A275,_xlfn.VSTACK(YES_Writing_ELA[Student Number],YES_Writing_FLA[Student Number]),0),MATCH(VLOOKUP(E$7,'Writing Logic'!$J$7:$K$11,2,FALSE)&amp;" - Per "&amp;VLOOKUP($C$4,'Writing Logic'!$G$8:$H$14,2,FALSE),YES_Writing_ELA[#Headers],0))=0,"",INDEX(_xlfn.VSTACK(YES_Writing_ELA[#Data],YES_Writing_FLA[#Data]),MATCH($A275,_xlfn.VSTACK(YES_Writing_ELA[Student Number],YES_Writing_FLA[Student Number]),0),MATCH(VLOOKUP(E$7,'Writing Logic'!$J$7:$K$11,2,FALSE)&amp;" - Per "&amp;VLOOKUP($C$4,'Writing Logic'!$G$8:$H$14,2,FALSE),YES_Writing_ELA[#Headers],0)))="INS",'Writing Logic'!$B$7,IF(INDEX(_xlfn.VSTACK(YES_Writing_ELA[#Data],YES_Writing_FLA[#Data]),MATCH($A275,_xlfn.VSTACK(YES_Writing_ELA[Student Number],YES_Writing_FLA[Student Number]),0),MATCH(VLOOKUP(E$7,'Writing Logic'!$J$7:$K$11,2,FALSE)&amp;" - Per "&amp;VLOOKUP($C$4,'Writing Logic'!$G$8:$H$14,2,FALSE),YES_Writing_ELA[#Headers],0))=0,"",INDEX(_xlfn.VSTACK(YES_Writing_ELA[#Data],YES_Writing_FLA[#Data]),MATCH($A275,_xlfn.VSTACK(YES_Writing_ELA[Student Number],YES_Writing_FLA[Student Number]),0),MATCH(VLOOKUP(E$7,'Writing Logic'!$J$7:$K$11,2,FALSE)&amp;" - Per "&amp;VLOOKUP($C$4,'Writing Logic'!$G$8:$H$14,2,FALSE),YES_Writing_ELA[#Headers],0)))),"")</f>
        <v/>
      </c>
      <c r="F275" s="138" t="str">
        <f>IFERROR(IF(IF(INDEX(_xlfn.VSTACK(YES_Writing_ELA[#Data],YES_Writing_FLA[#Data]),MATCH($A275,_xlfn.VSTACK(YES_Writing_ELA[Student Number],YES_Writing_FLA[Student Number]),0),MATCH(VLOOKUP(F$7,'Writing Logic'!$J$7:$K$11,2,FALSE)&amp;" - Per "&amp;VLOOKUP($C$4,'Writing Logic'!$G$8:$H$14,2,FALSE),YES_Writing_ELA[#Headers],0))=0,"",INDEX(_xlfn.VSTACK(YES_Writing_ELA[#Data],YES_Writing_FLA[#Data]),MATCH($A275,_xlfn.VSTACK(YES_Writing_ELA[Student Number],YES_Writing_FLA[Student Number]),0),MATCH(VLOOKUP(F$7,'Writing Logic'!$J$7:$K$11,2,FALSE)&amp;" - Per "&amp;VLOOKUP($C$4,'Writing Logic'!$G$8:$H$14,2,FALSE),YES_Writing_ELA[#Headers],0)))="INS",'Writing Logic'!$B$7,IF(INDEX(_xlfn.VSTACK(YES_Writing_ELA[#Data],YES_Writing_FLA[#Data]),MATCH($A275,_xlfn.VSTACK(YES_Writing_ELA[Student Number],YES_Writing_FLA[Student Number]),0),MATCH(VLOOKUP(F$7,'Writing Logic'!$J$7:$K$11,2,FALSE)&amp;" - Per "&amp;VLOOKUP($C$4,'Writing Logic'!$G$8:$H$14,2,FALSE),YES_Writing_ELA[#Headers],0))=0,"",INDEX(_xlfn.VSTACK(YES_Writing_ELA[#Data],YES_Writing_FLA[#Data]),MATCH($A275,_xlfn.VSTACK(YES_Writing_ELA[Student Number],YES_Writing_FLA[Student Number]),0),MATCH(VLOOKUP(F$7,'Writing Logic'!$J$7:$K$11,2,FALSE)&amp;" - Per "&amp;VLOOKUP($C$4,'Writing Logic'!$G$8:$H$14,2,FALSE),YES_Writing_ELA[#Headers],0)))),"")</f>
        <v/>
      </c>
      <c r="G275" s="138" t="str">
        <f>IFERROR(IF(IF(INDEX(_xlfn.VSTACK(YES_Writing_ELA[#Data],YES_Writing_FLA[#Data]),MATCH($A275,_xlfn.VSTACK(YES_Writing_ELA[Student Number],YES_Writing_FLA[Student Number]),0),MATCH(VLOOKUP(G$7,'Writing Logic'!$J$7:$K$11,2,FALSE)&amp;" - Per "&amp;VLOOKUP($C$4,'Writing Logic'!$G$8:$H$14,2,FALSE),YES_Writing_ELA[#Headers],0))=0,"",INDEX(_xlfn.VSTACK(YES_Writing_ELA[#Data],YES_Writing_FLA[#Data]),MATCH($A275,_xlfn.VSTACK(YES_Writing_ELA[Student Number],YES_Writing_FLA[Student Number]),0),MATCH(VLOOKUP(G$7,'Writing Logic'!$J$7:$K$11,2,FALSE)&amp;" - Per "&amp;VLOOKUP($C$4,'Writing Logic'!$G$8:$H$14,2,FALSE),YES_Writing_ELA[#Headers],0)))="INS",'Writing Logic'!$B$7,IF(INDEX(_xlfn.VSTACK(YES_Writing_ELA[#Data],YES_Writing_FLA[#Data]),MATCH($A275,_xlfn.VSTACK(YES_Writing_ELA[Student Number],YES_Writing_FLA[Student Number]),0),MATCH(VLOOKUP(G$7,'Writing Logic'!$J$7:$K$11,2,FALSE)&amp;" - Per "&amp;VLOOKUP($C$4,'Writing Logic'!$G$8:$H$14,2,FALSE),YES_Writing_ELA[#Headers],0))=0,"",INDEX(_xlfn.VSTACK(YES_Writing_ELA[#Data],YES_Writing_FLA[#Data]),MATCH($A275,_xlfn.VSTACK(YES_Writing_ELA[Student Number],YES_Writing_FLA[Student Number]),0),MATCH(VLOOKUP(G$7,'Writing Logic'!$J$7:$K$11,2,FALSE)&amp;" - Per "&amp;VLOOKUP($C$4,'Writing Logic'!$G$8:$H$14,2,FALSE),YES_Writing_ELA[#Headers],0)))),"")</f>
        <v/>
      </c>
      <c r="H275" s="138" t="str">
        <f>IFERROR(IF(IF(INDEX(_xlfn.VSTACK(YES_Writing_ELA[#Data],YES_Writing_FLA[#Data]),MATCH($A275,_xlfn.VSTACK(YES_Writing_ELA[Student Number],YES_Writing_FLA[Student Number]),0),MATCH(VLOOKUP(H$7,'Writing Logic'!$J$7:$K$11,2,FALSE)&amp;" - Per "&amp;VLOOKUP($C$4,'Writing Logic'!$G$8:$H$14,2,FALSE),YES_Writing_ELA[#Headers],0))=0,"",INDEX(_xlfn.VSTACK(YES_Writing_ELA[#Data],YES_Writing_FLA[#Data]),MATCH($A275,_xlfn.VSTACK(YES_Writing_ELA[Student Number],YES_Writing_FLA[Student Number]),0),MATCH(VLOOKUP(H$7,'Writing Logic'!$J$7:$K$11,2,FALSE)&amp;" - Per "&amp;VLOOKUP($C$4,'Writing Logic'!$G$8:$H$14,2,FALSE),YES_Writing_ELA[#Headers],0)))="INS",'Writing Logic'!$B$7,IF(INDEX(_xlfn.VSTACK(YES_Writing_ELA[#Data],YES_Writing_FLA[#Data]),MATCH($A275,_xlfn.VSTACK(YES_Writing_ELA[Student Number],YES_Writing_FLA[Student Number]),0),MATCH(VLOOKUP(H$7,'Writing Logic'!$J$7:$K$11,2,FALSE)&amp;" - Per "&amp;VLOOKUP($C$4,'Writing Logic'!$G$8:$H$14,2,FALSE),YES_Writing_ELA[#Headers],0))=0,"",INDEX(_xlfn.VSTACK(YES_Writing_ELA[#Data],YES_Writing_FLA[#Data]),MATCH($A275,_xlfn.VSTACK(YES_Writing_ELA[Student Number],YES_Writing_FLA[Student Number]),0),MATCH(VLOOKUP(H$7,'Writing Logic'!$J$7:$K$11,2,FALSE)&amp;" - Per "&amp;VLOOKUP($C$4,'Writing Logic'!$G$8:$H$14,2,FALSE),YES_Writing_ELA[#Headers],0)))),"")</f>
        <v/>
      </c>
    </row>
    <row r="276" spans="1:8" x14ac:dyDescent="0.25">
      <c r="A276" s="137"/>
      <c r="B276" s="137" t="str">
        <f>IFERROR(INDEX(_xlfn.VSTACK(YES_Writing_ELA[#Data], YES_Writing_FLA[#Data]),MATCH($A276,_xlfn.VSTACK(YES_Writing_ELA[Student Number], YES_Writing_FLA[Student Number]),0),MATCH(B$7,YES_Writing_ELA[#Headers],0)),"")</f>
        <v/>
      </c>
      <c r="C276" s="137" t="str">
        <f>IFERROR(INDEX(_xlfn.VSTACK(YES_Writing_ELA[#Data], YES_Writing_FLA[#Data]),MATCH($A276,_xlfn.VSTACK(YES_Writing_ELA[Student Number], YES_Writing_FLA[Student Number]),0),MATCH(C$7,YES_Writing_ELA[#Headers],0)),"")</f>
        <v/>
      </c>
      <c r="D276" s="138" t="str">
        <f>IFERROR(IF(IF(INDEX(_xlfn.VSTACK(YES_Writing_ELA[#Data],YES_Writing_FLA[#Data]),MATCH($A276,_xlfn.VSTACK(YES_Writing_ELA[Student Number],YES_Writing_FLA[Student Number]),0),MATCH(VLOOKUP(D$7,'Writing Logic'!$J$7:$K$11,2,FALSE)&amp;" - Per "&amp;VLOOKUP($C$4,'Writing Logic'!$G$8:$H$14,2,FALSE),YES_Writing_ELA[#Headers],0))=0,"",INDEX(_xlfn.VSTACK(YES_Writing_ELA[#Data],YES_Writing_FLA[#Data]),MATCH($A276,_xlfn.VSTACK(YES_Writing_ELA[Student Number],YES_Writing_FLA[Student Number]),0),MATCH(VLOOKUP(D$7,'Writing Logic'!$J$7:$K$11,2,FALSE)&amp;" - Per "&amp;VLOOKUP($C$4,'Writing Logic'!$G$8:$H$14,2,FALSE),YES_Writing_ELA[#Headers],0)))="INS",'Writing Logic'!$B$7,IF(INDEX(_xlfn.VSTACK(YES_Writing_ELA[#Data],YES_Writing_FLA[#Data]),MATCH($A276,_xlfn.VSTACK(YES_Writing_ELA[Student Number],YES_Writing_FLA[Student Number]),0),MATCH(VLOOKUP(D$7,'Writing Logic'!$J$7:$K$11,2,FALSE)&amp;" - Per "&amp;VLOOKUP($C$4,'Writing Logic'!$G$8:$H$14,2,FALSE),YES_Writing_ELA[#Headers],0))=0,"",INDEX(_xlfn.VSTACK(YES_Writing_ELA[#Data],YES_Writing_FLA[#Data]),MATCH($A276,_xlfn.VSTACK(YES_Writing_ELA[Student Number],YES_Writing_FLA[Student Number]),0),MATCH(VLOOKUP(D$7,'Writing Logic'!$J$7:$K$11,2,FALSE)&amp;" - Per "&amp;VLOOKUP($C$4,'Writing Logic'!$G$8:$H$14,2,FALSE),YES_Writing_ELA[#Headers],0)))),"")</f>
        <v/>
      </c>
      <c r="E276" s="138" t="str">
        <f>IFERROR(IF(IF(INDEX(_xlfn.VSTACK(YES_Writing_ELA[#Data],YES_Writing_FLA[#Data]),MATCH($A276,_xlfn.VSTACK(YES_Writing_ELA[Student Number],YES_Writing_FLA[Student Number]),0),MATCH(VLOOKUP(E$7,'Writing Logic'!$J$7:$K$11,2,FALSE)&amp;" - Per "&amp;VLOOKUP($C$4,'Writing Logic'!$G$8:$H$14,2,FALSE),YES_Writing_ELA[#Headers],0))=0,"",INDEX(_xlfn.VSTACK(YES_Writing_ELA[#Data],YES_Writing_FLA[#Data]),MATCH($A276,_xlfn.VSTACK(YES_Writing_ELA[Student Number],YES_Writing_FLA[Student Number]),0),MATCH(VLOOKUP(E$7,'Writing Logic'!$J$7:$K$11,2,FALSE)&amp;" - Per "&amp;VLOOKUP($C$4,'Writing Logic'!$G$8:$H$14,2,FALSE),YES_Writing_ELA[#Headers],0)))="INS",'Writing Logic'!$B$7,IF(INDEX(_xlfn.VSTACK(YES_Writing_ELA[#Data],YES_Writing_FLA[#Data]),MATCH($A276,_xlfn.VSTACK(YES_Writing_ELA[Student Number],YES_Writing_FLA[Student Number]),0),MATCH(VLOOKUP(E$7,'Writing Logic'!$J$7:$K$11,2,FALSE)&amp;" - Per "&amp;VLOOKUP($C$4,'Writing Logic'!$G$8:$H$14,2,FALSE),YES_Writing_ELA[#Headers],0))=0,"",INDEX(_xlfn.VSTACK(YES_Writing_ELA[#Data],YES_Writing_FLA[#Data]),MATCH($A276,_xlfn.VSTACK(YES_Writing_ELA[Student Number],YES_Writing_FLA[Student Number]),0),MATCH(VLOOKUP(E$7,'Writing Logic'!$J$7:$K$11,2,FALSE)&amp;" - Per "&amp;VLOOKUP($C$4,'Writing Logic'!$G$8:$H$14,2,FALSE),YES_Writing_ELA[#Headers],0)))),"")</f>
        <v/>
      </c>
      <c r="F276" s="138" t="str">
        <f>IFERROR(IF(IF(INDEX(_xlfn.VSTACK(YES_Writing_ELA[#Data],YES_Writing_FLA[#Data]),MATCH($A276,_xlfn.VSTACK(YES_Writing_ELA[Student Number],YES_Writing_FLA[Student Number]),0),MATCH(VLOOKUP(F$7,'Writing Logic'!$J$7:$K$11,2,FALSE)&amp;" - Per "&amp;VLOOKUP($C$4,'Writing Logic'!$G$8:$H$14,2,FALSE),YES_Writing_ELA[#Headers],0))=0,"",INDEX(_xlfn.VSTACK(YES_Writing_ELA[#Data],YES_Writing_FLA[#Data]),MATCH($A276,_xlfn.VSTACK(YES_Writing_ELA[Student Number],YES_Writing_FLA[Student Number]),0),MATCH(VLOOKUP(F$7,'Writing Logic'!$J$7:$K$11,2,FALSE)&amp;" - Per "&amp;VLOOKUP($C$4,'Writing Logic'!$G$8:$H$14,2,FALSE),YES_Writing_ELA[#Headers],0)))="INS",'Writing Logic'!$B$7,IF(INDEX(_xlfn.VSTACK(YES_Writing_ELA[#Data],YES_Writing_FLA[#Data]),MATCH($A276,_xlfn.VSTACK(YES_Writing_ELA[Student Number],YES_Writing_FLA[Student Number]),0),MATCH(VLOOKUP(F$7,'Writing Logic'!$J$7:$K$11,2,FALSE)&amp;" - Per "&amp;VLOOKUP($C$4,'Writing Logic'!$G$8:$H$14,2,FALSE),YES_Writing_ELA[#Headers],0))=0,"",INDEX(_xlfn.VSTACK(YES_Writing_ELA[#Data],YES_Writing_FLA[#Data]),MATCH($A276,_xlfn.VSTACK(YES_Writing_ELA[Student Number],YES_Writing_FLA[Student Number]),0),MATCH(VLOOKUP(F$7,'Writing Logic'!$J$7:$K$11,2,FALSE)&amp;" - Per "&amp;VLOOKUP($C$4,'Writing Logic'!$G$8:$H$14,2,FALSE),YES_Writing_ELA[#Headers],0)))),"")</f>
        <v/>
      </c>
      <c r="G276" s="138" t="str">
        <f>IFERROR(IF(IF(INDEX(_xlfn.VSTACK(YES_Writing_ELA[#Data],YES_Writing_FLA[#Data]),MATCH($A276,_xlfn.VSTACK(YES_Writing_ELA[Student Number],YES_Writing_FLA[Student Number]),0),MATCH(VLOOKUP(G$7,'Writing Logic'!$J$7:$K$11,2,FALSE)&amp;" - Per "&amp;VLOOKUP($C$4,'Writing Logic'!$G$8:$H$14,2,FALSE),YES_Writing_ELA[#Headers],0))=0,"",INDEX(_xlfn.VSTACK(YES_Writing_ELA[#Data],YES_Writing_FLA[#Data]),MATCH($A276,_xlfn.VSTACK(YES_Writing_ELA[Student Number],YES_Writing_FLA[Student Number]),0),MATCH(VLOOKUP(G$7,'Writing Logic'!$J$7:$K$11,2,FALSE)&amp;" - Per "&amp;VLOOKUP($C$4,'Writing Logic'!$G$8:$H$14,2,FALSE),YES_Writing_ELA[#Headers],0)))="INS",'Writing Logic'!$B$7,IF(INDEX(_xlfn.VSTACK(YES_Writing_ELA[#Data],YES_Writing_FLA[#Data]),MATCH($A276,_xlfn.VSTACK(YES_Writing_ELA[Student Number],YES_Writing_FLA[Student Number]),0),MATCH(VLOOKUP(G$7,'Writing Logic'!$J$7:$K$11,2,FALSE)&amp;" - Per "&amp;VLOOKUP($C$4,'Writing Logic'!$G$8:$H$14,2,FALSE),YES_Writing_ELA[#Headers],0))=0,"",INDEX(_xlfn.VSTACK(YES_Writing_ELA[#Data],YES_Writing_FLA[#Data]),MATCH($A276,_xlfn.VSTACK(YES_Writing_ELA[Student Number],YES_Writing_FLA[Student Number]),0),MATCH(VLOOKUP(G$7,'Writing Logic'!$J$7:$K$11,2,FALSE)&amp;" - Per "&amp;VLOOKUP($C$4,'Writing Logic'!$G$8:$H$14,2,FALSE),YES_Writing_ELA[#Headers],0)))),"")</f>
        <v/>
      </c>
      <c r="H276" s="138" t="str">
        <f>IFERROR(IF(IF(INDEX(_xlfn.VSTACK(YES_Writing_ELA[#Data],YES_Writing_FLA[#Data]),MATCH($A276,_xlfn.VSTACK(YES_Writing_ELA[Student Number],YES_Writing_FLA[Student Number]),0),MATCH(VLOOKUP(H$7,'Writing Logic'!$J$7:$K$11,2,FALSE)&amp;" - Per "&amp;VLOOKUP($C$4,'Writing Logic'!$G$8:$H$14,2,FALSE),YES_Writing_ELA[#Headers],0))=0,"",INDEX(_xlfn.VSTACK(YES_Writing_ELA[#Data],YES_Writing_FLA[#Data]),MATCH($A276,_xlfn.VSTACK(YES_Writing_ELA[Student Number],YES_Writing_FLA[Student Number]),0),MATCH(VLOOKUP(H$7,'Writing Logic'!$J$7:$K$11,2,FALSE)&amp;" - Per "&amp;VLOOKUP($C$4,'Writing Logic'!$G$8:$H$14,2,FALSE),YES_Writing_ELA[#Headers],0)))="INS",'Writing Logic'!$B$7,IF(INDEX(_xlfn.VSTACK(YES_Writing_ELA[#Data],YES_Writing_FLA[#Data]),MATCH($A276,_xlfn.VSTACK(YES_Writing_ELA[Student Number],YES_Writing_FLA[Student Number]),0),MATCH(VLOOKUP(H$7,'Writing Logic'!$J$7:$K$11,2,FALSE)&amp;" - Per "&amp;VLOOKUP($C$4,'Writing Logic'!$G$8:$H$14,2,FALSE),YES_Writing_ELA[#Headers],0))=0,"",INDEX(_xlfn.VSTACK(YES_Writing_ELA[#Data],YES_Writing_FLA[#Data]),MATCH($A276,_xlfn.VSTACK(YES_Writing_ELA[Student Number],YES_Writing_FLA[Student Number]),0),MATCH(VLOOKUP(H$7,'Writing Logic'!$J$7:$K$11,2,FALSE)&amp;" - Per "&amp;VLOOKUP($C$4,'Writing Logic'!$G$8:$H$14,2,FALSE),YES_Writing_ELA[#Headers],0)))),"")</f>
        <v/>
      </c>
    </row>
    <row r="277" spans="1:8" x14ac:dyDescent="0.25">
      <c r="A277" s="137"/>
      <c r="B277" s="137" t="str">
        <f>IFERROR(INDEX(_xlfn.VSTACK(YES_Writing_ELA[#Data], YES_Writing_FLA[#Data]),MATCH($A277,_xlfn.VSTACK(YES_Writing_ELA[Student Number], YES_Writing_FLA[Student Number]),0),MATCH(B$7,YES_Writing_ELA[#Headers],0)),"")</f>
        <v/>
      </c>
      <c r="C277" s="137" t="str">
        <f>IFERROR(INDEX(_xlfn.VSTACK(YES_Writing_ELA[#Data], YES_Writing_FLA[#Data]),MATCH($A277,_xlfn.VSTACK(YES_Writing_ELA[Student Number], YES_Writing_FLA[Student Number]),0),MATCH(C$7,YES_Writing_ELA[#Headers],0)),"")</f>
        <v/>
      </c>
      <c r="D277" s="138" t="str">
        <f>IFERROR(IF(IF(INDEX(_xlfn.VSTACK(YES_Writing_ELA[#Data],YES_Writing_FLA[#Data]),MATCH($A277,_xlfn.VSTACK(YES_Writing_ELA[Student Number],YES_Writing_FLA[Student Number]),0),MATCH(VLOOKUP(D$7,'Writing Logic'!$J$7:$K$11,2,FALSE)&amp;" - Per "&amp;VLOOKUP($C$4,'Writing Logic'!$G$8:$H$14,2,FALSE),YES_Writing_ELA[#Headers],0))=0,"",INDEX(_xlfn.VSTACK(YES_Writing_ELA[#Data],YES_Writing_FLA[#Data]),MATCH($A277,_xlfn.VSTACK(YES_Writing_ELA[Student Number],YES_Writing_FLA[Student Number]),0),MATCH(VLOOKUP(D$7,'Writing Logic'!$J$7:$K$11,2,FALSE)&amp;" - Per "&amp;VLOOKUP($C$4,'Writing Logic'!$G$8:$H$14,2,FALSE),YES_Writing_ELA[#Headers],0)))="INS",'Writing Logic'!$B$7,IF(INDEX(_xlfn.VSTACK(YES_Writing_ELA[#Data],YES_Writing_FLA[#Data]),MATCH($A277,_xlfn.VSTACK(YES_Writing_ELA[Student Number],YES_Writing_FLA[Student Number]),0),MATCH(VLOOKUP(D$7,'Writing Logic'!$J$7:$K$11,2,FALSE)&amp;" - Per "&amp;VLOOKUP($C$4,'Writing Logic'!$G$8:$H$14,2,FALSE),YES_Writing_ELA[#Headers],0))=0,"",INDEX(_xlfn.VSTACK(YES_Writing_ELA[#Data],YES_Writing_FLA[#Data]),MATCH($A277,_xlfn.VSTACK(YES_Writing_ELA[Student Number],YES_Writing_FLA[Student Number]),0),MATCH(VLOOKUP(D$7,'Writing Logic'!$J$7:$K$11,2,FALSE)&amp;" - Per "&amp;VLOOKUP($C$4,'Writing Logic'!$G$8:$H$14,2,FALSE),YES_Writing_ELA[#Headers],0)))),"")</f>
        <v/>
      </c>
      <c r="E277" s="138" t="str">
        <f>IFERROR(IF(IF(INDEX(_xlfn.VSTACK(YES_Writing_ELA[#Data],YES_Writing_FLA[#Data]),MATCH($A277,_xlfn.VSTACK(YES_Writing_ELA[Student Number],YES_Writing_FLA[Student Number]),0),MATCH(VLOOKUP(E$7,'Writing Logic'!$J$7:$K$11,2,FALSE)&amp;" - Per "&amp;VLOOKUP($C$4,'Writing Logic'!$G$8:$H$14,2,FALSE),YES_Writing_ELA[#Headers],0))=0,"",INDEX(_xlfn.VSTACK(YES_Writing_ELA[#Data],YES_Writing_FLA[#Data]),MATCH($A277,_xlfn.VSTACK(YES_Writing_ELA[Student Number],YES_Writing_FLA[Student Number]),0),MATCH(VLOOKUP(E$7,'Writing Logic'!$J$7:$K$11,2,FALSE)&amp;" - Per "&amp;VLOOKUP($C$4,'Writing Logic'!$G$8:$H$14,2,FALSE),YES_Writing_ELA[#Headers],0)))="INS",'Writing Logic'!$B$7,IF(INDEX(_xlfn.VSTACK(YES_Writing_ELA[#Data],YES_Writing_FLA[#Data]),MATCH($A277,_xlfn.VSTACK(YES_Writing_ELA[Student Number],YES_Writing_FLA[Student Number]),0),MATCH(VLOOKUP(E$7,'Writing Logic'!$J$7:$K$11,2,FALSE)&amp;" - Per "&amp;VLOOKUP($C$4,'Writing Logic'!$G$8:$H$14,2,FALSE),YES_Writing_ELA[#Headers],0))=0,"",INDEX(_xlfn.VSTACK(YES_Writing_ELA[#Data],YES_Writing_FLA[#Data]),MATCH($A277,_xlfn.VSTACK(YES_Writing_ELA[Student Number],YES_Writing_FLA[Student Number]),0),MATCH(VLOOKUP(E$7,'Writing Logic'!$J$7:$K$11,2,FALSE)&amp;" - Per "&amp;VLOOKUP($C$4,'Writing Logic'!$G$8:$H$14,2,FALSE),YES_Writing_ELA[#Headers],0)))),"")</f>
        <v/>
      </c>
      <c r="F277" s="138" t="str">
        <f>IFERROR(IF(IF(INDEX(_xlfn.VSTACK(YES_Writing_ELA[#Data],YES_Writing_FLA[#Data]),MATCH($A277,_xlfn.VSTACK(YES_Writing_ELA[Student Number],YES_Writing_FLA[Student Number]),0),MATCH(VLOOKUP(F$7,'Writing Logic'!$J$7:$K$11,2,FALSE)&amp;" - Per "&amp;VLOOKUP($C$4,'Writing Logic'!$G$8:$H$14,2,FALSE),YES_Writing_ELA[#Headers],0))=0,"",INDEX(_xlfn.VSTACK(YES_Writing_ELA[#Data],YES_Writing_FLA[#Data]),MATCH($A277,_xlfn.VSTACK(YES_Writing_ELA[Student Number],YES_Writing_FLA[Student Number]),0),MATCH(VLOOKUP(F$7,'Writing Logic'!$J$7:$K$11,2,FALSE)&amp;" - Per "&amp;VLOOKUP($C$4,'Writing Logic'!$G$8:$H$14,2,FALSE),YES_Writing_ELA[#Headers],0)))="INS",'Writing Logic'!$B$7,IF(INDEX(_xlfn.VSTACK(YES_Writing_ELA[#Data],YES_Writing_FLA[#Data]),MATCH($A277,_xlfn.VSTACK(YES_Writing_ELA[Student Number],YES_Writing_FLA[Student Number]),0),MATCH(VLOOKUP(F$7,'Writing Logic'!$J$7:$K$11,2,FALSE)&amp;" - Per "&amp;VLOOKUP($C$4,'Writing Logic'!$G$8:$H$14,2,FALSE),YES_Writing_ELA[#Headers],0))=0,"",INDEX(_xlfn.VSTACK(YES_Writing_ELA[#Data],YES_Writing_FLA[#Data]),MATCH($A277,_xlfn.VSTACK(YES_Writing_ELA[Student Number],YES_Writing_FLA[Student Number]),0),MATCH(VLOOKUP(F$7,'Writing Logic'!$J$7:$K$11,2,FALSE)&amp;" - Per "&amp;VLOOKUP($C$4,'Writing Logic'!$G$8:$H$14,2,FALSE),YES_Writing_ELA[#Headers],0)))),"")</f>
        <v/>
      </c>
      <c r="G277" s="138" t="str">
        <f>IFERROR(IF(IF(INDEX(_xlfn.VSTACK(YES_Writing_ELA[#Data],YES_Writing_FLA[#Data]),MATCH($A277,_xlfn.VSTACK(YES_Writing_ELA[Student Number],YES_Writing_FLA[Student Number]),0),MATCH(VLOOKUP(G$7,'Writing Logic'!$J$7:$K$11,2,FALSE)&amp;" - Per "&amp;VLOOKUP($C$4,'Writing Logic'!$G$8:$H$14,2,FALSE),YES_Writing_ELA[#Headers],0))=0,"",INDEX(_xlfn.VSTACK(YES_Writing_ELA[#Data],YES_Writing_FLA[#Data]),MATCH($A277,_xlfn.VSTACK(YES_Writing_ELA[Student Number],YES_Writing_FLA[Student Number]),0),MATCH(VLOOKUP(G$7,'Writing Logic'!$J$7:$K$11,2,FALSE)&amp;" - Per "&amp;VLOOKUP($C$4,'Writing Logic'!$G$8:$H$14,2,FALSE),YES_Writing_ELA[#Headers],0)))="INS",'Writing Logic'!$B$7,IF(INDEX(_xlfn.VSTACK(YES_Writing_ELA[#Data],YES_Writing_FLA[#Data]),MATCH($A277,_xlfn.VSTACK(YES_Writing_ELA[Student Number],YES_Writing_FLA[Student Number]),0),MATCH(VLOOKUP(G$7,'Writing Logic'!$J$7:$K$11,2,FALSE)&amp;" - Per "&amp;VLOOKUP($C$4,'Writing Logic'!$G$8:$H$14,2,FALSE),YES_Writing_ELA[#Headers],0))=0,"",INDEX(_xlfn.VSTACK(YES_Writing_ELA[#Data],YES_Writing_FLA[#Data]),MATCH($A277,_xlfn.VSTACK(YES_Writing_ELA[Student Number],YES_Writing_FLA[Student Number]),0),MATCH(VLOOKUP(G$7,'Writing Logic'!$J$7:$K$11,2,FALSE)&amp;" - Per "&amp;VLOOKUP($C$4,'Writing Logic'!$G$8:$H$14,2,FALSE),YES_Writing_ELA[#Headers],0)))),"")</f>
        <v/>
      </c>
      <c r="H277" s="138" t="str">
        <f>IFERROR(IF(IF(INDEX(_xlfn.VSTACK(YES_Writing_ELA[#Data],YES_Writing_FLA[#Data]),MATCH($A277,_xlfn.VSTACK(YES_Writing_ELA[Student Number],YES_Writing_FLA[Student Number]),0),MATCH(VLOOKUP(H$7,'Writing Logic'!$J$7:$K$11,2,FALSE)&amp;" - Per "&amp;VLOOKUP($C$4,'Writing Logic'!$G$8:$H$14,2,FALSE),YES_Writing_ELA[#Headers],0))=0,"",INDEX(_xlfn.VSTACK(YES_Writing_ELA[#Data],YES_Writing_FLA[#Data]),MATCH($A277,_xlfn.VSTACK(YES_Writing_ELA[Student Number],YES_Writing_FLA[Student Number]),0),MATCH(VLOOKUP(H$7,'Writing Logic'!$J$7:$K$11,2,FALSE)&amp;" - Per "&amp;VLOOKUP($C$4,'Writing Logic'!$G$8:$H$14,2,FALSE),YES_Writing_ELA[#Headers],0)))="INS",'Writing Logic'!$B$7,IF(INDEX(_xlfn.VSTACK(YES_Writing_ELA[#Data],YES_Writing_FLA[#Data]),MATCH($A277,_xlfn.VSTACK(YES_Writing_ELA[Student Number],YES_Writing_FLA[Student Number]),0),MATCH(VLOOKUP(H$7,'Writing Logic'!$J$7:$K$11,2,FALSE)&amp;" - Per "&amp;VLOOKUP($C$4,'Writing Logic'!$G$8:$H$14,2,FALSE),YES_Writing_ELA[#Headers],0))=0,"",INDEX(_xlfn.VSTACK(YES_Writing_ELA[#Data],YES_Writing_FLA[#Data]),MATCH($A277,_xlfn.VSTACK(YES_Writing_ELA[Student Number],YES_Writing_FLA[Student Number]),0),MATCH(VLOOKUP(H$7,'Writing Logic'!$J$7:$K$11,2,FALSE)&amp;" - Per "&amp;VLOOKUP($C$4,'Writing Logic'!$G$8:$H$14,2,FALSE),YES_Writing_ELA[#Headers],0)))),"")</f>
        <v/>
      </c>
    </row>
    <row r="278" spans="1:8" x14ac:dyDescent="0.25">
      <c r="A278" s="137"/>
      <c r="B278" s="137" t="str">
        <f>IFERROR(INDEX(_xlfn.VSTACK(YES_Writing_ELA[#Data], YES_Writing_FLA[#Data]),MATCH($A278,_xlfn.VSTACK(YES_Writing_ELA[Student Number], YES_Writing_FLA[Student Number]),0),MATCH(B$7,YES_Writing_ELA[#Headers],0)),"")</f>
        <v/>
      </c>
      <c r="C278" s="137" t="str">
        <f>IFERROR(INDEX(_xlfn.VSTACK(YES_Writing_ELA[#Data], YES_Writing_FLA[#Data]),MATCH($A278,_xlfn.VSTACK(YES_Writing_ELA[Student Number], YES_Writing_FLA[Student Number]),0),MATCH(C$7,YES_Writing_ELA[#Headers],0)),"")</f>
        <v/>
      </c>
      <c r="D278" s="138" t="str">
        <f>IFERROR(IF(IF(INDEX(_xlfn.VSTACK(YES_Writing_ELA[#Data],YES_Writing_FLA[#Data]),MATCH($A278,_xlfn.VSTACK(YES_Writing_ELA[Student Number],YES_Writing_FLA[Student Number]),0),MATCH(VLOOKUP(D$7,'Writing Logic'!$J$7:$K$11,2,FALSE)&amp;" - Per "&amp;VLOOKUP($C$4,'Writing Logic'!$G$8:$H$14,2,FALSE),YES_Writing_ELA[#Headers],0))=0,"",INDEX(_xlfn.VSTACK(YES_Writing_ELA[#Data],YES_Writing_FLA[#Data]),MATCH($A278,_xlfn.VSTACK(YES_Writing_ELA[Student Number],YES_Writing_FLA[Student Number]),0),MATCH(VLOOKUP(D$7,'Writing Logic'!$J$7:$K$11,2,FALSE)&amp;" - Per "&amp;VLOOKUP($C$4,'Writing Logic'!$G$8:$H$14,2,FALSE),YES_Writing_ELA[#Headers],0)))="INS",'Writing Logic'!$B$7,IF(INDEX(_xlfn.VSTACK(YES_Writing_ELA[#Data],YES_Writing_FLA[#Data]),MATCH($A278,_xlfn.VSTACK(YES_Writing_ELA[Student Number],YES_Writing_FLA[Student Number]),0),MATCH(VLOOKUP(D$7,'Writing Logic'!$J$7:$K$11,2,FALSE)&amp;" - Per "&amp;VLOOKUP($C$4,'Writing Logic'!$G$8:$H$14,2,FALSE),YES_Writing_ELA[#Headers],0))=0,"",INDEX(_xlfn.VSTACK(YES_Writing_ELA[#Data],YES_Writing_FLA[#Data]),MATCH($A278,_xlfn.VSTACK(YES_Writing_ELA[Student Number],YES_Writing_FLA[Student Number]),0),MATCH(VLOOKUP(D$7,'Writing Logic'!$J$7:$K$11,2,FALSE)&amp;" - Per "&amp;VLOOKUP($C$4,'Writing Logic'!$G$8:$H$14,2,FALSE),YES_Writing_ELA[#Headers],0)))),"")</f>
        <v/>
      </c>
      <c r="E278" s="138" t="str">
        <f>IFERROR(IF(IF(INDEX(_xlfn.VSTACK(YES_Writing_ELA[#Data],YES_Writing_FLA[#Data]),MATCH($A278,_xlfn.VSTACK(YES_Writing_ELA[Student Number],YES_Writing_FLA[Student Number]),0),MATCH(VLOOKUP(E$7,'Writing Logic'!$J$7:$K$11,2,FALSE)&amp;" - Per "&amp;VLOOKUP($C$4,'Writing Logic'!$G$8:$H$14,2,FALSE),YES_Writing_ELA[#Headers],0))=0,"",INDEX(_xlfn.VSTACK(YES_Writing_ELA[#Data],YES_Writing_FLA[#Data]),MATCH($A278,_xlfn.VSTACK(YES_Writing_ELA[Student Number],YES_Writing_FLA[Student Number]),0),MATCH(VLOOKUP(E$7,'Writing Logic'!$J$7:$K$11,2,FALSE)&amp;" - Per "&amp;VLOOKUP($C$4,'Writing Logic'!$G$8:$H$14,2,FALSE),YES_Writing_ELA[#Headers],0)))="INS",'Writing Logic'!$B$7,IF(INDEX(_xlfn.VSTACK(YES_Writing_ELA[#Data],YES_Writing_FLA[#Data]),MATCH($A278,_xlfn.VSTACK(YES_Writing_ELA[Student Number],YES_Writing_FLA[Student Number]),0),MATCH(VLOOKUP(E$7,'Writing Logic'!$J$7:$K$11,2,FALSE)&amp;" - Per "&amp;VLOOKUP($C$4,'Writing Logic'!$G$8:$H$14,2,FALSE),YES_Writing_ELA[#Headers],0))=0,"",INDEX(_xlfn.VSTACK(YES_Writing_ELA[#Data],YES_Writing_FLA[#Data]),MATCH($A278,_xlfn.VSTACK(YES_Writing_ELA[Student Number],YES_Writing_FLA[Student Number]),0),MATCH(VLOOKUP(E$7,'Writing Logic'!$J$7:$K$11,2,FALSE)&amp;" - Per "&amp;VLOOKUP($C$4,'Writing Logic'!$G$8:$H$14,2,FALSE),YES_Writing_ELA[#Headers],0)))),"")</f>
        <v/>
      </c>
      <c r="F278" s="138" t="str">
        <f>IFERROR(IF(IF(INDEX(_xlfn.VSTACK(YES_Writing_ELA[#Data],YES_Writing_FLA[#Data]),MATCH($A278,_xlfn.VSTACK(YES_Writing_ELA[Student Number],YES_Writing_FLA[Student Number]),0),MATCH(VLOOKUP(F$7,'Writing Logic'!$J$7:$K$11,2,FALSE)&amp;" - Per "&amp;VLOOKUP($C$4,'Writing Logic'!$G$8:$H$14,2,FALSE),YES_Writing_ELA[#Headers],0))=0,"",INDEX(_xlfn.VSTACK(YES_Writing_ELA[#Data],YES_Writing_FLA[#Data]),MATCH($A278,_xlfn.VSTACK(YES_Writing_ELA[Student Number],YES_Writing_FLA[Student Number]),0),MATCH(VLOOKUP(F$7,'Writing Logic'!$J$7:$K$11,2,FALSE)&amp;" - Per "&amp;VLOOKUP($C$4,'Writing Logic'!$G$8:$H$14,2,FALSE),YES_Writing_ELA[#Headers],0)))="INS",'Writing Logic'!$B$7,IF(INDEX(_xlfn.VSTACK(YES_Writing_ELA[#Data],YES_Writing_FLA[#Data]),MATCH($A278,_xlfn.VSTACK(YES_Writing_ELA[Student Number],YES_Writing_FLA[Student Number]),0),MATCH(VLOOKUP(F$7,'Writing Logic'!$J$7:$K$11,2,FALSE)&amp;" - Per "&amp;VLOOKUP($C$4,'Writing Logic'!$G$8:$H$14,2,FALSE),YES_Writing_ELA[#Headers],0))=0,"",INDEX(_xlfn.VSTACK(YES_Writing_ELA[#Data],YES_Writing_FLA[#Data]),MATCH($A278,_xlfn.VSTACK(YES_Writing_ELA[Student Number],YES_Writing_FLA[Student Number]),0),MATCH(VLOOKUP(F$7,'Writing Logic'!$J$7:$K$11,2,FALSE)&amp;" - Per "&amp;VLOOKUP($C$4,'Writing Logic'!$G$8:$H$14,2,FALSE),YES_Writing_ELA[#Headers],0)))),"")</f>
        <v/>
      </c>
      <c r="G278" s="138" t="str">
        <f>IFERROR(IF(IF(INDEX(_xlfn.VSTACK(YES_Writing_ELA[#Data],YES_Writing_FLA[#Data]),MATCH($A278,_xlfn.VSTACK(YES_Writing_ELA[Student Number],YES_Writing_FLA[Student Number]),0),MATCH(VLOOKUP(G$7,'Writing Logic'!$J$7:$K$11,2,FALSE)&amp;" - Per "&amp;VLOOKUP($C$4,'Writing Logic'!$G$8:$H$14,2,FALSE),YES_Writing_ELA[#Headers],0))=0,"",INDEX(_xlfn.VSTACK(YES_Writing_ELA[#Data],YES_Writing_FLA[#Data]),MATCH($A278,_xlfn.VSTACK(YES_Writing_ELA[Student Number],YES_Writing_FLA[Student Number]),0),MATCH(VLOOKUP(G$7,'Writing Logic'!$J$7:$K$11,2,FALSE)&amp;" - Per "&amp;VLOOKUP($C$4,'Writing Logic'!$G$8:$H$14,2,FALSE),YES_Writing_ELA[#Headers],0)))="INS",'Writing Logic'!$B$7,IF(INDEX(_xlfn.VSTACK(YES_Writing_ELA[#Data],YES_Writing_FLA[#Data]),MATCH($A278,_xlfn.VSTACK(YES_Writing_ELA[Student Number],YES_Writing_FLA[Student Number]),0),MATCH(VLOOKUP(G$7,'Writing Logic'!$J$7:$K$11,2,FALSE)&amp;" - Per "&amp;VLOOKUP($C$4,'Writing Logic'!$G$8:$H$14,2,FALSE),YES_Writing_ELA[#Headers],0))=0,"",INDEX(_xlfn.VSTACK(YES_Writing_ELA[#Data],YES_Writing_FLA[#Data]),MATCH($A278,_xlfn.VSTACK(YES_Writing_ELA[Student Number],YES_Writing_FLA[Student Number]),0),MATCH(VLOOKUP(G$7,'Writing Logic'!$J$7:$K$11,2,FALSE)&amp;" - Per "&amp;VLOOKUP($C$4,'Writing Logic'!$G$8:$H$14,2,FALSE),YES_Writing_ELA[#Headers],0)))),"")</f>
        <v/>
      </c>
      <c r="H278" s="138" t="str">
        <f>IFERROR(IF(IF(INDEX(_xlfn.VSTACK(YES_Writing_ELA[#Data],YES_Writing_FLA[#Data]),MATCH($A278,_xlfn.VSTACK(YES_Writing_ELA[Student Number],YES_Writing_FLA[Student Number]),0),MATCH(VLOOKUP(H$7,'Writing Logic'!$J$7:$K$11,2,FALSE)&amp;" - Per "&amp;VLOOKUP($C$4,'Writing Logic'!$G$8:$H$14,2,FALSE),YES_Writing_ELA[#Headers],0))=0,"",INDEX(_xlfn.VSTACK(YES_Writing_ELA[#Data],YES_Writing_FLA[#Data]),MATCH($A278,_xlfn.VSTACK(YES_Writing_ELA[Student Number],YES_Writing_FLA[Student Number]),0),MATCH(VLOOKUP(H$7,'Writing Logic'!$J$7:$K$11,2,FALSE)&amp;" - Per "&amp;VLOOKUP($C$4,'Writing Logic'!$G$8:$H$14,2,FALSE),YES_Writing_ELA[#Headers],0)))="INS",'Writing Logic'!$B$7,IF(INDEX(_xlfn.VSTACK(YES_Writing_ELA[#Data],YES_Writing_FLA[#Data]),MATCH($A278,_xlfn.VSTACK(YES_Writing_ELA[Student Number],YES_Writing_FLA[Student Number]),0),MATCH(VLOOKUP(H$7,'Writing Logic'!$J$7:$K$11,2,FALSE)&amp;" - Per "&amp;VLOOKUP($C$4,'Writing Logic'!$G$8:$H$14,2,FALSE),YES_Writing_ELA[#Headers],0))=0,"",INDEX(_xlfn.VSTACK(YES_Writing_ELA[#Data],YES_Writing_FLA[#Data]),MATCH($A278,_xlfn.VSTACK(YES_Writing_ELA[Student Number],YES_Writing_FLA[Student Number]),0),MATCH(VLOOKUP(H$7,'Writing Logic'!$J$7:$K$11,2,FALSE)&amp;" - Per "&amp;VLOOKUP($C$4,'Writing Logic'!$G$8:$H$14,2,FALSE),YES_Writing_ELA[#Headers],0)))),"")</f>
        <v/>
      </c>
    </row>
    <row r="279" spans="1:8" x14ac:dyDescent="0.25">
      <c r="A279" s="137"/>
      <c r="B279" s="137" t="str">
        <f>IFERROR(INDEX(_xlfn.VSTACK(YES_Writing_ELA[#Data], YES_Writing_FLA[#Data]),MATCH($A279,_xlfn.VSTACK(YES_Writing_ELA[Student Number], YES_Writing_FLA[Student Number]),0),MATCH(B$7,YES_Writing_ELA[#Headers],0)),"")</f>
        <v/>
      </c>
      <c r="C279" s="137" t="str">
        <f>IFERROR(INDEX(_xlfn.VSTACK(YES_Writing_ELA[#Data], YES_Writing_FLA[#Data]),MATCH($A279,_xlfn.VSTACK(YES_Writing_ELA[Student Number], YES_Writing_FLA[Student Number]),0),MATCH(C$7,YES_Writing_ELA[#Headers],0)),"")</f>
        <v/>
      </c>
      <c r="D279" s="138" t="str">
        <f>IFERROR(IF(IF(INDEX(_xlfn.VSTACK(YES_Writing_ELA[#Data],YES_Writing_FLA[#Data]),MATCH($A279,_xlfn.VSTACK(YES_Writing_ELA[Student Number],YES_Writing_FLA[Student Number]),0),MATCH(VLOOKUP(D$7,'Writing Logic'!$J$7:$K$11,2,FALSE)&amp;" - Per "&amp;VLOOKUP($C$4,'Writing Logic'!$G$8:$H$14,2,FALSE),YES_Writing_ELA[#Headers],0))=0,"",INDEX(_xlfn.VSTACK(YES_Writing_ELA[#Data],YES_Writing_FLA[#Data]),MATCH($A279,_xlfn.VSTACK(YES_Writing_ELA[Student Number],YES_Writing_FLA[Student Number]),0),MATCH(VLOOKUP(D$7,'Writing Logic'!$J$7:$K$11,2,FALSE)&amp;" - Per "&amp;VLOOKUP($C$4,'Writing Logic'!$G$8:$H$14,2,FALSE),YES_Writing_ELA[#Headers],0)))="INS",'Writing Logic'!$B$7,IF(INDEX(_xlfn.VSTACK(YES_Writing_ELA[#Data],YES_Writing_FLA[#Data]),MATCH($A279,_xlfn.VSTACK(YES_Writing_ELA[Student Number],YES_Writing_FLA[Student Number]),0),MATCH(VLOOKUP(D$7,'Writing Logic'!$J$7:$K$11,2,FALSE)&amp;" - Per "&amp;VLOOKUP($C$4,'Writing Logic'!$G$8:$H$14,2,FALSE),YES_Writing_ELA[#Headers],0))=0,"",INDEX(_xlfn.VSTACK(YES_Writing_ELA[#Data],YES_Writing_FLA[#Data]),MATCH($A279,_xlfn.VSTACK(YES_Writing_ELA[Student Number],YES_Writing_FLA[Student Number]),0),MATCH(VLOOKUP(D$7,'Writing Logic'!$J$7:$K$11,2,FALSE)&amp;" - Per "&amp;VLOOKUP($C$4,'Writing Logic'!$G$8:$H$14,2,FALSE),YES_Writing_ELA[#Headers],0)))),"")</f>
        <v/>
      </c>
      <c r="E279" s="138" t="str">
        <f>IFERROR(IF(IF(INDEX(_xlfn.VSTACK(YES_Writing_ELA[#Data],YES_Writing_FLA[#Data]),MATCH($A279,_xlfn.VSTACK(YES_Writing_ELA[Student Number],YES_Writing_FLA[Student Number]),0),MATCH(VLOOKUP(E$7,'Writing Logic'!$J$7:$K$11,2,FALSE)&amp;" - Per "&amp;VLOOKUP($C$4,'Writing Logic'!$G$8:$H$14,2,FALSE),YES_Writing_ELA[#Headers],0))=0,"",INDEX(_xlfn.VSTACK(YES_Writing_ELA[#Data],YES_Writing_FLA[#Data]),MATCH($A279,_xlfn.VSTACK(YES_Writing_ELA[Student Number],YES_Writing_FLA[Student Number]),0),MATCH(VLOOKUP(E$7,'Writing Logic'!$J$7:$K$11,2,FALSE)&amp;" - Per "&amp;VLOOKUP($C$4,'Writing Logic'!$G$8:$H$14,2,FALSE),YES_Writing_ELA[#Headers],0)))="INS",'Writing Logic'!$B$7,IF(INDEX(_xlfn.VSTACK(YES_Writing_ELA[#Data],YES_Writing_FLA[#Data]),MATCH($A279,_xlfn.VSTACK(YES_Writing_ELA[Student Number],YES_Writing_FLA[Student Number]),0),MATCH(VLOOKUP(E$7,'Writing Logic'!$J$7:$K$11,2,FALSE)&amp;" - Per "&amp;VLOOKUP($C$4,'Writing Logic'!$G$8:$H$14,2,FALSE),YES_Writing_ELA[#Headers],0))=0,"",INDEX(_xlfn.VSTACK(YES_Writing_ELA[#Data],YES_Writing_FLA[#Data]),MATCH($A279,_xlfn.VSTACK(YES_Writing_ELA[Student Number],YES_Writing_FLA[Student Number]),0),MATCH(VLOOKUP(E$7,'Writing Logic'!$J$7:$K$11,2,FALSE)&amp;" - Per "&amp;VLOOKUP($C$4,'Writing Logic'!$G$8:$H$14,2,FALSE),YES_Writing_ELA[#Headers],0)))),"")</f>
        <v/>
      </c>
      <c r="F279" s="138" t="str">
        <f>IFERROR(IF(IF(INDEX(_xlfn.VSTACK(YES_Writing_ELA[#Data],YES_Writing_FLA[#Data]),MATCH($A279,_xlfn.VSTACK(YES_Writing_ELA[Student Number],YES_Writing_FLA[Student Number]),0),MATCH(VLOOKUP(F$7,'Writing Logic'!$J$7:$K$11,2,FALSE)&amp;" - Per "&amp;VLOOKUP($C$4,'Writing Logic'!$G$8:$H$14,2,FALSE),YES_Writing_ELA[#Headers],0))=0,"",INDEX(_xlfn.VSTACK(YES_Writing_ELA[#Data],YES_Writing_FLA[#Data]),MATCH($A279,_xlfn.VSTACK(YES_Writing_ELA[Student Number],YES_Writing_FLA[Student Number]),0),MATCH(VLOOKUP(F$7,'Writing Logic'!$J$7:$K$11,2,FALSE)&amp;" - Per "&amp;VLOOKUP($C$4,'Writing Logic'!$G$8:$H$14,2,FALSE),YES_Writing_ELA[#Headers],0)))="INS",'Writing Logic'!$B$7,IF(INDEX(_xlfn.VSTACK(YES_Writing_ELA[#Data],YES_Writing_FLA[#Data]),MATCH($A279,_xlfn.VSTACK(YES_Writing_ELA[Student Number],YES_Writing_FLA[Student Number]),0),MATCH(VLOOKUP(F$7,'Writing Logic'!$J$7:$K$11,2,FALSE)&amp;" - Per "&amp;VLOOKUP($C$4,'Writing Logic'!$G$8:$H$14,2,FALSE),YES_Writing_ELA[#Headers],0))=0,"",INDEX(_xlfn.VSTACK(YES_Writing_ELA[#Data],YES_Writing_FLA[#Data]),MATCH($A279,_xlfn.VSTACK(YES_Writing_ELA[Student Number],YES_Writing_FLA[Student Number]),0),MATCH(VLOOKUP(F$7,'Writing Logic'!$J$7:$K$11,2,FALSE)&amp;" - Per "&amp;VLOOKUP($C$4,'Writing Logic'!$G$8:$H$14,2,FALSE),YES_Writing_ELA[#Headers],0)))),"")</f>
        <v/>
      </c>
      <c r="G279" s="138" t="str">
        <f>IFERROR(IF(IF(INDEX(_xlfn.VSTACK(YES_Writing_ELA[#Data],YES_Writing_FLA[#Data]),MATCH($A279,_xlfn.VSTACK(YES_Writing_ELA[Student Number],YES_Writing_FLA[Student Number]),0),MATCH(VLOOKUP(G$7,'Writing Logic'!$J$7:$K$11,2,FALSE)&amp;" - Per "&amp;VLOOKUP($C$4,'Writing Logic'!$G$8:$H$14,2,FALSE),YES_Writing_ELA[#Headers],0))=0,"",INDEX(_xlfn.VSTACK(YES_Writing_ELA[#Data],YES_Writing_FLA[#Data]),MATCH($A279,_xlfn.VSTACK(YES_Writing_ELA[Student Number],YES_Writing_FLA[Student Number]),0),MATCH(VLOOKUP(G$7,'Writing Logic'!$J$7:$K$11,2,FALSE)&amp;" - Per "&amp;VLOOKUP($C$4,'Writing Logic'!$G$8:$H$14,2,FALSE),YES_Writing_ELA[#Headers],0)))="INS",'Writing Logic'!$B$7,IF(INDEX(_xlfn.VSTACK(YES_Writing_ELA[#Data],YES_Writing_FLA[#Data]),MATCH($A279,_xlfn.VSTACK(YES_Writing_ELA[Student Number],YES_Writing_FLA[Student Number]),0),MATCH(VLOOKUP(G$7,'Writing Logic'!$J$7:$K$11,2,FALSE)&amp;" - Per "&amp;VLOOKUP($C$4,'Writing Logic'!$G$8:$H$14,2,FALSE),YES_Writing_ELA[#Headers],0))=0,"",INDEX(_xlfn.VSTACK(YES_Writing_ELA[#Data],YES_Writing_FLA[#Data]),MATCH($A279,_xlfn.VSTACK(YES_Writing_ELA[Student Number],YES_Writing_FLA[Student Number]),0),MATCH(VLOOKUP(G$7,'Writing Logic'!$J$7:$K$11,2,FALSE)&amp;" - Per "&amp;VLOOKUP($C$4,'Writing Logic'!$G$8:$H$14,2,FALSE),YES_Writing_ELA[#Headers],0)))),"")</f>
        <v/>
      </c>
      <c r="H279" s="138" t="str">
        <f>IFERROR(IF(IF(INDEX(_xlfn.VSTACK(YES_Writing_ELA[#Data],YES_Writing_FLA[#Data]),MATCH($A279,_xlfn.VSTACK(YES_Writing_ELA[Student Number],YES_Writing_FLA[Student Number]),0),MATCH(VLOOKUP(H$7,'Writing Logic'!$J$7:$K$11,2,FALSE)&amp;" - Per "&amp;VLOOKUP($C$4,'Writing Logic'!$G$8:$H$14,2,FALSE),YES_Writing_ELA[#Headers],0))=0,"",INDEX(_xlfn.VSTACK(YES_Writing_ELA[#Data],YES_Writing_FLA[#Data]),MATCH($A279,_xlfn.VSTACK(YES_Writing_ELA[Student Number],YES_Writing_FLA[Student Number]),0),MATCH(VLOOKUP(H$7,'Writing Logic'!$J$7:$K$11,2,FALSE)&amp;" - Per "&amp;VLOOKUP($C$4,'Writing Logic'!$G$8:$H$14,2,FALSE),YES_Writing_ELA[#Headers],0)))="INS",'Writing Logic'!$B$7,IF(INDEX(_xlfn.VSTACK(YES_Writing_ELA[#Data],YES_Writing_FLA[#Data]),MATCH($A279,_xlfn.VSTACK(YES_Writing_ELA[Student Number],YES_Writing_FLA[Student Number]),0),MATCH(VLOOKUP(H$7,'Writing Logic'!$J$7:$K$11,2,FALSE)&amp;" - Per "&amp;VLOOKUP($C$4,'Writing Logic'!$G$8:$H$14,2,FALSE),YES_Writing_ELA[#Headers],0))=0,"",INDEX(_xlfn.VSTACK(YES_Writing_ELA[#Data],YES_Writing_FLA[#Data]),MATCH($A279,_xlfn.VSTACK(YES_Writing_ELA[Student Number],YES_Writing_FLA[Student Number]),0),MATCH(VLOOKUP(H$7,'Writing Logic'!$J$7:$K$11,2,FALSE)&amp;" - Per "&amp;VLOOKUP($C$4,'Writing Logic'!$G$8:$H$14,2,FALSE),YES_Writing_ELA[#Headers],0)))),"")</f>
        <v/>
      </c>
    </row>
    <row r="280" spans="1:8" x14ac:dyDescent="0.25">
      <c r="A280" s="137"/>
      <c r="B280" s="137" t="str">
        <f>IFERROR(INDEX(_xlfn.VSTACK(YES_Writing_ELA[#Data], YES_Writing_FLA[#Data]),MATCH($A280,_xlfn.VSTACK(YES_Writing_ELA[Student Number], YES_Writing_FLA[Student Number]),0),MATCH(B$7,YES_Writing_ELA[#Headers],0)),"")</f>
        <v/>
      </c>
      <c r="C280" s="137" t="str">
        <f>IFERROR(INDEX(_xlfn.VSTACK(YES_Writing_ELA[#Data], YES_Writing_FLA[#Data]),MATCH($A280,_xlfn.VSTACK(YES_Writing_ELA[Student Number], YES_Writing_FLA[Student Number]),0),MATCH(C$7,YES_Writing_ELA[#Headers],0)),"")</f>
        <v/>
      </c>
      <c r="D280" s="138" t="str">
        <f>IFERROR(IF(IF(INDEX(_xlfn.VSTACK(YES_Writing_ELA[#Data],YES_Writing_FLA[#Data]),MATCH($A280,_xlfn.VSTACK(YES_Writing_ELA[Student Number],YES_Writing_FLA[Student Number]),0),MATCH(VLOOKUP(D$7,'Writing Logic'!$J$7:$K$11,2,FALSE)&amp;" - Per "&amp;VLOOKUP($C$4,'Writing Logic'!$G$8:$H$14,2,FALSE),YES_Writing_ELA[#Headers],0))=0,"",INDEX(_xlfn.VSTACK(YES_Writing_ELA[#Data],YES_Writing_FLA[#Data]),MATCH($A280,_xlfn.VSTACK(YES_Writing_ELA[Student Number],YES_Writing_FLA[Student Number]),0),MATCH(VLOOKUP(D$7,'Writing Logic'!$J$7:$K$11,2,FALSE)&amp;" - Per "&amp;VLOOKUP($C$4,'Writing Logic'!$G$8:$H$14,2,FALSE),YES_Writing_ELA[#Headers],0)))="INS",'Writing Logic'!$B$7,IF(INDEX(_xlfn.VSTACK(YES_Writing_ELA[#Data],YES_Writing_FLA[#Data]),MATCH($A280,_xlfn.VSTACK(YES_Writing_ELA[Student Number],YES_Writing_FLA[Student Number]),0),MATCH(VLOOKUP(D$7,'Writing Logic'!$J$7:$K$11,2,FALSE)&amp;" - Per "&amp;VLOOKUP($C$4,'Writing Logic'!$G$8:$H$14,2,FALSE),YES_Writing_ELA[#Headers],0))=0,"",INDEX(_xlfn.VSTACK(YES_Writing_ELA[#Data],YES_Writing_FLA[#Data]),MATCH($A280,_xlfn.VSTACK(YES_Writing_ELA[Student Number],YES_Writing_FLA[Student Number]),0),MATCH(VLOOKUP(D$7,'Writing Logic'!$J$7:$K$11,2,FALSE)&amp;" - Per "&amp;VLOOKUP($C$4,'Writing Logic'!$G$8:$H$14,2,FALSE),YES_Writing_ELA[#Headers],0)))),"")</f>
        <v/>
      </c>
      <c r="E280" s="138" t="str">
        <f>IFERROR(IF(IF(INDEX(_xlfn.VSTACK(YES_Writing_ELA[#Data],YES_Writing_FLA[#Data]),MATCH($A280,_xlfn.VSTACK(YES_Writing_ELA[Student Number],YES_Writing_FLA[Student Number]),0),MATCH(VLOOKUP(E$7,'Writing Logic'!$J$7:$K$11,2,FALSE)&amp;" - Per "&amp;VLOOKUP($C$4,'Writing Logic'!$G$8:$H$14,2,FALSE),YES_Writing_ELA[#Headers],0))=0,"",INDEX(_xlfn.VSTACK(YES_Writing_ELA[#Data],YES_Writing_FLA[#Data]),MATCH($A280,_xlfn.VSTACK(YES_Writing_ELA[Student Number],YES_Writing_FLA[Student Number]),0),MATCH(VLOOKUP(E$7,'Writing Logic'!$J$7:$K$11,2,FALSE)&amp;" - Per "&amp;VLOOKUP($C$4,'Writing Logic'!$G$8:$H$14,2,FALSE),YES_Writing_ELA[#Headers],0)))="INS",'Writing Logic'!$B$7,IF(INDEX(_xlfn.VSTACK(YES_Writing_ELA[#Data],YES_Writing_FLA[#Data]),MATCH($A280,_xlfn.VSTACK(YES_Writing_ELA[Student Number],YES_Writing_FLA[Student Number]),0),MATCH(VLOOKUP(E$7,'Writing Logic'!$J$7:$K$11,2,FALSE)&amp;" - Per "&amp;VLOOKUP($C$4,'Writing Logic'!$G$8:$H$14,2,FALSE),YES_Writing_ELA[#Headers],0))=0,"",INDEX(_xlfn.VSTACK(YES_Writing_ELA[#Data],YES_Writing_FLA[#Data]),MATCH($A280,_xlfn.VSTACK(YES_Writing_ELA[Student Number],YES_Writing_FLA[Student Number]),0),MATCH(VLOOKUP(E$7,'Writing Logic'!$J$7:$K$11,2,FALSE)&amp;" - Per "&amp;VLOOKUP($C$4,'Writing Logic'!$G$8:$H$14,2,FALSE),YES_Writing_ELA[#Headers],0)))),"")</f>
        <v/>
      </c>
      <c r="F280" s="138" t="str">
        <f>IFERROR(IF(IF(INDEX(_xlfn.VSTACK(YES_Writing_ELA[#Data],YES_Writing_FLA[#Data]),MATCH($A280,_xlfn.VSTACK(YES_Writing_ELA[Student Number],YES_Writing_FLA[Student Number]),0),MATCH(VLOOKUP(F$7,'Writing Logic'!$J$7:$K$11,2,FALSE)&amp;" - Per "&amp;VLOOKUP($C$4,'Writing Logic'!$G$8:$H$14,2,FALSE),YES_Writing_ELA[#Headers],0))=0,"",INDEX(_xlfn.VSTACK(YES_Writing_ELA[#Data],YES_Writing_FLA[#Data]),MATCH($A280,_xlfn.VSTACK(YES_Writing_ELA[Student Number],YES_Writing_FLA[Student Number]),0),MATCH(VLOOKUP(F$7,'Writing Logic'!$J$7:$K$11,2,FALSE)&amp;" - Per "&amp;VLOOKUP($C$4,'Writing Logic'!$G$8:$H$14,2,FALSE),YES_Writing_ELA[#Headers],0)))="INS",'Writing Logic'!$B$7,IF(INDEX(_xlfn.VSTACK(YES_Writing_ELA[#Data],YES_Writing_FLA[#Data]),MATCH($A280,_xlfn.VSTACK(YES_Writing_ELA[Student Number],YES_Writing_FLA[Student Number]),0),MATCH(VLOOKUP(F$7,'Writing Logic'!$J$7:$K$11,2,FALSE)&amp;" - Per "&amp;VLOOKUP($C$4,'Writing Logic'!$G$8:$H$14,2,FALSE),YES_Writing_ELA[#Headers],0))=0,"",INDEX(_xlfn.VSTACK(YES_Writing_ELA[#Data],YES_Writing_FLA[#Data]),MATCH($A280,_xlfn.VSTACK(YES_Writing_ELA[Student Number],YES_Writing_FLA[Student Number]),0),MATCH(VLOOKUP(F$7,'Writing Logic'!$J$7:$K$11,2,FALSE)&amp;" - Per "&amp;VLOOKUP($C$4,'Writing Logic'!$G$8:$H$14,2,FALSE),YES_Writing_ELA[#Headers],0)))),"")</f>
        <v/>
      </c>
      <c r="G280" s="138" t="str">
        <f>IFERROR(IF(IF(INDEX(_xlfn.VSTACK(YES_Writing_ELA[#Data],YES_Writing_FLA[#Data]),MATCH($A280,_xlfn.VSTACK(YES_Writing_ELA[Student Number],YES_Writing_FLA[Student Number]),0),MATCH(VLOOKUP(G$7,'Writing Logic'!$J$7:$K$11,2,FALSE)&amp;" - Per "&amp;VLOOKUP($C$4,'Writing Logic'!$G$8:$H$14,2,FALSE),YES_Writing_ELA[#Headers],0))=0,"",INDEX(_xlfn.VSTACK(YES_Writing_ELA[#Data],YES_Writing_FLA[#Data]),MATCH($A280,_xlfn.VSTACK(YES_Writing_ELA[Student Number],YES_Writing_FLA[Student Number]),0),MATCH(VLOOKUP(G$7,'Writing Logic'!$J$7:$K$11,2,FALSE)&amp;" - Per "&amp;VLOOKUP($C$4,'Writing Logic'!$G$8:$H$14,2,FALSE),YES_Writing_ELA[#Headers],0)))="INS",'Writing Logic'!$B$7,IF(INDEX(_xlfn.VSTACK(YES_Writing_ELA[#Data],YES_Writing_FLA[#Data]),MATCH($A280,_xlfn.VSTACK(YES_Writing_ELA[Student Number],YES_Writing_FLA[Student Number]),0),MATCH(VLOOKUP(G$7,'Writing Logic'!$J$7:$K$11,2,FALSE)&amp;" - Per "&amp;VLOOKUP($C$4,'Writing Logic'!$G$8:$H$14,2,FALSE),YES_Writing_ELA[#Headers],0))=0,"",INDEX(_xlfn.VSTACK(YES_Writing_ELA[#Data],YES_Writing_FLA[#Data]),MATCH($A280,_xlfn.VSTACK(YES_Writing_ELA[Student Number],YES_Writing_FLA[Student Number]),0),MATCH(VLOOKUP(G$7,'Writing Logic'!$J$7:$K$11,2,FALSE)&amp;" - Per "&amp;VLOOKUP($C$4,'Writing Logic'!$G$8:$H$14,2,FALSE),YES_Writing_ELA[#Headers],0)))),"")</f>
        <v/>
      </c>
      <c r="H280" s="138" t="str">
        <f>IFERROR(IF(IF(INDEX(_xlfn.VSTACK(YES_Writing_ELA[#Data],YES_Writing_FLA[#Data]),MATCH($A280,_xlfn.VSTACK(YES_Writing_ELA[Student Number],YES_Writing_FLA[Student Number]),0),MATCH(VLOOKUP(H$7,'Writing Logic'!$J$7:$K$11,2,FALSE)&amp;" - Per "&amp;VLOOKUP($C$4,'Writing Logic'!$G$8:$H$14,2,FALSE),YES_Writing_ELA[#Headers],0))=0,"",INDEX(_xlfn.VSTACK(YES_Writing_ELA[#Data],YES_Writing_FLA[#Data]),MATCH($A280,_xlfn.VSTACK(YES_Writing_ELA[Student Number],YES_Writing_FLA[Student Number]),0),MATCH(VLOOKUP(H$7,'Writing Logic'!$J$7:$K$11,2,FALSE)&amp;" - Per "&amp;VLOOKUP($C$4,'Writing Logic'!$G$8:$H$14,2,FALSE),YES_Writing_ELA[#Headers],0)))="INS",'Writing Logic'!$B$7,IF(INDEX(_xlfn.VSTACK(YES_Writing_ELA[#Data],YES_Writing_FLA[#Data]),MATCH($A280,_xlfn.VSTACK(YES_Writing_ELA[Student Number],YES_Writing_FLA[Student Number]),0),MATCH(VLOOKUP(H$7,'Writing Logic'!$J$7:$K$11,2,FALSE)&amp;" - Per "&amp;VLOOKUP($C$4,'Writing Logic'!$G$8:$H$14,2,FALSE),YES_Writing_ELA[#Headers],0))=0,"",INDEX(_xlfn.VSTACK(YES_Writing_ELA[#Data],YES_Writing_FLA[#Data]),MATCH($A280,_xlfn.VSTACK(YES_Writing_ELA[Student Number],YES_Writing_FLA[Student Number]),0),MATCH(VLOOKUP(H$7,'Writing Logic'!$J$7:$K$11,2,FALSE)&amp;" - Per "&amp;VLOOKUP($C$4,'Writing Logic'!$G$8:$H$14,2,FALSE),YES_Writing_ELA[#Headers],0)))),"")</f>
        <v/>
      </c>
    </row>
    <row r="281" spans="1:8" x14ac:dyDescent="0.25">
      <c r="A281" s="137"/>
      <c r="B281" s="137" t="str">
        <f>IFERROR(INDEX(_xlfn.VSTACK(YES_Writing_ELA[#Data], YES_Writing_FLA[#Data]),MATCH($A281,_xlfn.VSTACK(YES_Writing_ELA[Student Number], YES_Writing_FLA[Student Number]),0),MATCH(B$7,YES_Writing_ELA[#Headers],0)),"")</f>
        <v/>
      </c>
      <c r="C281" s="137" t="str">
        <f>IFERROR(INDEX(_xlfn.VSTACK(YES_Writing_ELA[#Data], YES_Writing_FLA[#Data]),MATCH($A281,_xlfn.VSTACK(YES_Writing_ELA[Student Number], YES_Writing_FLA[Student Number]),0),MATCH(C$7,YES_Writing_ELA[#Headers],0)),"")</f>
        <v/>
      </c>
      <c r="D281" s="138" t="str">
        <f>IFERROR(IF(IF(INDEX(_xlfn.VSTACK(YES_Writing_ELA[#Data],YES_Writing_FLA[#Data]),MATCH($A281,_xlfn.VSTACK(YES_Writing_ELA[Student Number],YES_Writing_FLA[Student Number]),0),MATCH(VLOOKUP(D$7,'Writing Logic'!$J$7:$K$11,2,FALSE)&amp;" - Per "&amp;VLOOKUP($C$4,'Writing Logic'!$G$8:$H$14,2,FALSE),YES_Writing_ELA[#Headers],0))=0,"",INDEX(_xlfn.VSTACK(YES_Writing_ELA[#Data],YES_Writing_FLA[#Data]),MATCH($A281,_xlfn.VSTACK(YES_Writing_ELA[Student Number],YES_Writing_FLA[Student Number]),0),MATCH(VLOOKUP(D$7,'Writing Logic'!$J$7:$K$11,2,FALSE)&amp;" - Per "&amp;VLOOKUP($C$4,'Writing Logic'!$G$8:$H$14,2,FALSE),YES_Writing_ELA[#Headers],0)))="INS",'Writing Logic'!$B$7,IF(INDEX(_xlfn.VSTACK(YES_Writing_ELA[#Data],YES_Writing_FLA[#Data]),MATCH($A281,_xlfn.VSTACK(YES_Writing_ELA[Student Number],YES_Writing_FLA[Student Number]),0),MATCH(VLOOKUP(D$7,'Writing Logic'!$J$7:$K$11,2,FALSE)&amp;" - Per "&amp;VLOOKUP($C$4,'Writing Logic'!$G$8:$H$14,2,FALSE),YES_Writing_ELA[#Headers],0))=0,"",INDEX(_xlfn.VSTACK(YES_Writing_ELA[#Data],YES_Writing_FLA[#Data]),MATCH($A281,_xlfn.VSTACK(YES_Writing_ELA[Student Number],YES_Writing_FLA[Student Number]),0),MATCH(VLOOKUP(D$7,'Writing Logic'!$J$7:$K$11,2,FALSE)&amp;" - Per "&amp;VLOOKUP($C$4,'Writing Logic'!$G$8:$H$14,2,FALSE),YES_Writing_ELA[#Headers],0)))),"")</f>
        <v/>
      </c>
      <c r="E281" s="138" t="str">
        <f>IFERROR(IF(IF(INDEX(_xlfn.VSTACK(YES_Writing_ELA[#Data],YES_Writing_FLA[#Data]),MATCH($A281,_xlfn.VSTACK(YES_Writing_ELA[Student Number],YES_Writing_FLA[Student Number]),0),MATCH(VLOOKUP(E$7,'Writing Logic'!$J$7:$K$11,2,FALSE)&amp;" - Per "&amp;VLOOKUP($C$4,'Writing Logic'!$G$8:$H$14,2,FALSE),YES_Writing_ELA[#Headers],0))=0,"",INDEX(_xlfn.VSTACK(YES_Writing_ELA[#Data],YES_Writing_FLA[#Data]),MATCH($A281,_xlfn.VSTACK(YES_Writing_ELA[Student Number],YES_Writing_FLA[Student Number]),0),MATCH(VLOOKUP(E$7,'Writing Logic'!$J$7:$K$11,2,FALSE)&amp;" - Per "&amp;VLOOKUP($C$4,'Writing Logic'!$G$8:$H$14,2,FALSE),YES_Writing_ELA[#Headers],0)))="INS",'Writing Logic'!$B$7,IF(INDEX(_xlfn.VSTACK(YES_Writing_ELA[#Data],YES_Writing_FLA[#Data]),MATCH($A281,_xlfn.VSTACK(YES_Writing_ELA[Student Number],YES_Writing_FLA[Student Number]),0),MATCH(VLOOKUP(E$7,'Writing Logic'!$J$7:$K$11,2,FALSE)&amp;" - Per "&amp;VLOOKUP($C$4,'Writing Logic'!$G$8:$H$14,2,FALSE),YES_Writing_ELA[#Headers],0))=0,"",INDEX(_xlfn.VSTACK(YES_Writing_ELA[#Data],YES_Writing_FLA[#Data]),MATCH($A281,_xlfn.VSTACK(YES_Writing_ELA[Student Number],YES_Writing_FLA[Student Number]),0),MATCH(VLOOKUP(E$7,'Writing Logic'!$J$7:$K$11,2,FALSE)&amp;" - Per "&amp;VLOOKUP($C$4,'Writing Logic'!$G$8:$H$14,2,FALSE),YES_Writing_ELA[#Headers],0)))),"")</f>
        <v/>
      </c>
      <c r="F281" s="138" t="str">
        <f>IFERROR(IF(IF(INDEX(_xlfn.VSTACK(YES_Writing_ELA[#Data],YES_Writing_FLA[#Data]),MATCH($A281,_xlfn.VSTACK(YES_Writing_ELA[Student Number],YES_Writing_FLA[Student Number]),0),MATCH(VLOOKUP(F$7,'Writing Logic'!$J$7:$K$11,2,FALSE)&amp;" - Per "&amp;VLOOKUP($C$4,'Writing Logic'!$G$8:$H$14,2,FALSE),YES_Writing_ELA[#Headers],0))=0,"",INDEX(_xlfn.VSTACK(YES_Writing_ELA[#Data],YES_Writing_FLA[#Data]),MATCH($A281,_xlfn.VSTACK(YES_Writing_ELA[Student Number],YES_Writing_FLA[Student Number]),0),MATCH(VLOOKUP(F$7,'Writing Logic'!$J$7:$K$11,2,FALSE)&amp;" - Per "&amp;VLOOKUP($C$4,'Writing Logic'!$G$8:$H$14,2,FALSE),YES_Writing_ELA[#Headers],0)))="INS",'Writing Logic'!$B$7,IF(INDEX(_xlfn.VSTACK(YES_Writing_ELA[#Data],YES_Writing_FLA[#Data]),MATCH($A281,_xlfn.VSTACK(YES_Writing_ELA[Student Number],YES_Writing_FLA[Student Number]),0),MATCH(VLOOKUP(F$7,'Writing Logic'!$J$7:$K$11,2,FALSE)&amp;" - Per "&amp;VLOOKUP($C$4,'Writing Logic'!$G$8:$H$14,2,FALSE),YES_Writing_ELA[#Headers],0))=0,"",INDEX(_xlfn.VSTACK(YES_Writing_ELA[#Data],YES_Writing_FLA[#Data]),MATCH($A281,_xlfn.VSTACK(YES_Writing_ELA[Student Number],YES_Writing_FLA[Student Number]),0),MATCH(VLOOKUP(F$7,'Writing Logic'!$J$7:$K$11,2,FALSE)&amp;" - Per "&amp;VLOOKUP($C$4,'Writing Logic'!$G$8:$H$14,2,FALSE),YES_Writing_ELA[#Headers],0)))),"")</f>
        <v/>
      </c>
      <c r="G281" s="138" t="str">
        <f>IFERROR(IF(IF(INDEX(_xlfn.VSTACK(YES_Writing_ELA[#Data],YES_Writing_FLA[#Data]),MATCH($A281,_xlfn.VSTACK(YES_Writing_ELA[Student Number],YES_Writing_FLA[Student Number]),0),MATCH(VLOOKUP(G$7,'Writing Logic'!$J$7:$K$11,2,FALSE)&amp;" - Per "&amp;VLOOKUP($C$4,'Writing Logic'!$G$8:$H$14,2,FALSE),YES_Writing_ELA[#Headers],0))=0,"",INDEX(_xlfn.VSTACK(YES_Writing_ELA[#Data],YES_Writing_FLA[#Data]),MATCH($A281,_xlfn.VSTACK(YES_Writing_ELA[Student Number],YES_Writing_FLA[Student Number]),0),MATCH(VLOOKUP(G$7,'Writing Logic'!$J$7:$K$11,2,FALSE)&amp;" - Per "&amp;VLOOKUP($C$4,'Writing Logic'!$G$8:$H$14,2,FALSE),YES_Writing_ELA[#Headers],0)))="INS",'Writing Logic'!$B$7,IF(INDEX(_xlfn.VSTACK(YES_Writing_ELA[#Data],YES_Writing_FLA[#Data]),MATCH($A281,_xlfn.VSTACK(YES_Writing_ELA[Student Number],YES_Writing_FLA[Student Number]),0),MATCH(VLOOKUP(G$7,'Writing Logic'!$J$7:$K$11,2,FALSE)&amp;" - Per "&amp;VLOOKUP($C$4,'Writing Logic'!$G$8:$H$14,2,FALSE),YES_Writing_ELA[#Headers],0))=0,"",INDEX(_xlfn.VSTACK(YES_Writing_ELA[#Data],YES_Writing_FLA[#Data]),MATCH($A281,_xlfn.VSTACK(YES_Writing_ELA[Student Number],YES_Writing_FLA[Student Number]),0),MATCH(VLOOKUP(G$7,'Writing Logic'!$J$7:$K$11,2,FALSE)&amp;" - Per "&amp;VLOOKUP($C$4,'Writing Logic'!$G$8:$H$14,2,FALSE),YES_Writing_ELA[#Headers],0)))),"")</f>
        <v/>
      </c>
      <c r="H281" s="138" t="str">
        <f>IFERROR(IF(IF(INDEX(_xlfn.VSTACK(YES_Writing_ELA[#Data],YES_Writing_FLA[#Data]),MATCH($A281,_xlfn.VSTACK(YES_Writing_ELA[Student Number],YES_Writing_FLA[Student Number]),0),MATCH(VLOOKUP(H$7,'Writing Logic'!$J$7:$K$11,2,FALSE)&amp;" - Per "&amp;VLOOKUP($C$4,'Writing Logic'!$G$8:$H$14,2,FALSE),YES_Writing_ELA[#Headers],0))=0,"",INDEX(_xlfn.VSTACK(YES_Writing_ELA[#Data],YES_Writing_FLA[#Data]),MATCH($A281,_xlfn.VSTACK(YES_Writing_ELA[Student Number],YES_Writing_FLA[Student Number]),0),MATCH(VLOOKUP(H$7,'Writing Logic'!$J$7:$K$11,2,FALSE)&amp;" - Per "&amp;VLOOKUP($C$4,'Writing Logic'!$G$8:$H$14,2,FALSE),YES_Writing_ELA[#Headers],0)))="INS",'Writing Logic'!$B$7,IF(INDEX(_xlfn.VSTACK(YES_Writing_ELA[#Data],YES_Writing_FLA[#Data]),MATCH($A281,_xlfn.VSTACK(YES_Writing_ELA[Student Number],YES_Writing_FLA[Student Number]),0),MATCH(VLOOKUP(H$7,'Writing Logic'!$J$7:$K$11,2,FALSE)&amp;" - Per "&amp;VLOOKUP($C$4,'Writing Logic'!$G$8:$H$14,2,FALSE),YES_Writing_ELA[#Headers],0))=0,"",INDEX(_xlfn.VSTACK(YES_Writing_ELA[#Data],YES_Writing_FLA[#Data]),MATCH($A281,_xlfn.VSTACK(YES_Writing_ELA[Student Number],YES_Writing_FLA[Student Number]),0),MATCH(VLOOKUP(H$7,'Writing Logic'!$J$7:$K$11,2,FALSE)&amp;" - Per "&amp;VLOOKUP($C$4,'Writing Logic'!$G$8:$H$14,2,FALSE),YES_Writing_ELA[#Headers],0)))),"")</f>
        <v/>
      </c>
    </row>
    <row r="282" spans="1:8" x14ac:dyDescent="0.25">
      <c r="A282" s="137"/>
      <c r="B282" s="137" t="str">
        <f>IFERROR(INDEX(_xlfn.VSTACK(YES_Writing_ELA[#Data], YES_Writing_FLA[#Data]),MATCH($A282,_xlfn.VSTACK(YES_Writing_ELA[Student Number], YES_Writing_FLA[Student Number]),0),MATCH(B$7,YES_Writing_ELA[#Headers],0)),"")</f>
        <v/>
      </c>
      <c r="C282" s="137" t="str">
        <f>IFERROR(INDEX(_xlfn.VSTACK(YES_Writing_ELA[#Data], YES_Writing_FLA[#Data]),MATCH($A282,_xlfn.VSTACK(YES_Writing_ELA[Student Number], YES_Writing_FLA[Student Number]),0),MATCH(C$7,YES_Writing_ELA[#Headers],0)),"")</f>
        <v/>
      </c>
      <c r="D282" s="138" t="str">
        <f>IFERROR(IF(IF(INDEX(_xlfn.VSTACK(YES_Writing_ELA[#Data],YES_Writing_FLA[#Data]),MATCH($A282,_xlfn.VSTACK(YES_Writing_ELA[Student Number],YES_Writing_FLA[Student Number]),0),MATCH(VLOOKUP(D$7,'Writing Logic'!$J$7:$K$11,2,FALSE)&amp;" - Per "&amp;VLOOKUP($C$4,'Writing Logic'!$G$8:$H$14,2,FALSE),YES_Writing_ELA[#Headers],0))=0,"",INDEX(_xlfn.VSTACK(YES_Writing_ELA[#Data],YES_Writing_FLA[#Data]),MATCH($A282,_xlfn.VSTACK(YES_Writing_ELA[Student Number],YES_Writing_FLA[Student Number]),0),MATCH(VLOOKUP(D$7,'Writing Logic'!$J$7:$K$11,2,FALSE)&amp;" - Per "&amp;VLOOKUP($C$4,'Writing Logic'!$G$8:$H$14,2,FALSE),YES_Writing_ELA[#Headers],0)))="INS",'Writing Logic'!$B$7,IF(INDEX(_xlfn.VSTACK(YES_Writing_ELA[#Data],YES_Writing_FLA[#Data]),MATCH($A282,_xlfn.VSTACK(YES_Writing_ELA[Student Number],YES_Writing_FLA[Student Number]),0),MATCH(VLOOKUP(D$7,'Writing Logic'!$J$7:$K$11,2,FALSE)&amp;" - Per "&amp;VLOOKUP($C$4,'Writing Logic'!$G$8:$H$14,2,FALSE),YES_Writing_ELA[#Headers],0))=0,"",INDEX(_xlfn.VSTACK(YES_Writing_ELA[#Data],YES_Writing_FLA[#Data]),MATCH($A282,_xlfn.VSTACK(YES_Writing_ELA[Student Number],YES_Writing_FLA[Student Number]),0),MATCH(VLOOKUP(D$7,'Writing Logic'!$J$7:$K$11,2,FALSE)&amp;" - Per "&amp;VLOOKUP($C$4,'Writing Logic'!$G$8:$H$14,2,FALSE),YES_Writing_ELA[#Headers],0)))),"")</f>
        <v/>
      </c>
      <c r="E282" s="138" t="str">
        <f>IFERROR(IF(IF(INDEX(_xlfn.VSTACK(YES_Writing_ELA[#Data],YES_Writing_FLA[#Data]),MATCH($A282,_xlfn.VSTACK(YES_Writing_ELA[Student Number],YES_Writing_FLA[Student Number]),0),MATCH(VLOOKUP(E$7,'Writing Logic'!$J$7:$K$11,2,FALSE)&amp;" - Per "&amp;VLOOKUP($C$4,'Writing Logic'!$G$8:$H$14,2,FALSE),YES_Writing_ELA[#Headers],0))=0,"",INDEX(_xlfn.VSTACK(YES_Writing_ELA[#Data],YES_Writing_FLA[#Data]),MATCH($A282,_xlfn.VSTACK(YES_Writing_ELA[Student Number],YES_Writing_FLA[Student Number]),0),MATCH(VLOOKUP(E$7,'Writing Logic'!$J$7:$K$11,2,FALSE)&amp;" - Per "&amp;VLOOKUP($C$4,'Writing Logic'!$G$8:$H$14,2,FALSE),YES_Writing_ELA[#Headers],0)))="INS",'Writing Logic'!$B$7,IF(INDEX(_xlfn.VSTACK(YES_Writing_ELA[#Data],YES_Writing_FLA[#Data]),MATCH($A282,_xlfn.VSTACK(YES_Writing_ELA[Student Number],YES_Writing_FLA[Student Number]),0),MATCH(VLOOKUP(E$7,'Writing Logic'!$J$7:$K$11,2,FALSE)&amp;" - Per "&amp;VLOOKUP($C$4,'Writing Logic'!$G$8:$H$14,2,FALSE),YES_Writing_ELA[#Headers],0))=0,"",INDEX(_xlfn.VSTACK(YES_Writing_ELA[#Data],YES_Writing_FLA[#Data]),MATCH($A282,_xlfn.VSTACK(YES_Writing_ELA[Student Number],YES_Writing_FLA[Student Number]),0),MATCH(VLOOKUP(E$7,'Writing Logic'!$J$7:$K$11,2,FALSE)&amp;" - Per "&amp;VLOOKUP($C$4,'Writing Logic'!$G$8:$H$14,2,FALSE),YES_Writing_ELA[#Headers],0)))),"")</f>
        <v/>
      </c>
      <c r="F282" s="138" t="str">
        <f>IFERROR(IF(IF(INDEX(_xlfn.VSTACK(YES_Writing_ELA[#Data],YES_Writing_FLA[#Data]),MATCH($A282,_xlfn.VSTACK(YES_Writing_ELA[Student Number],YES_Writing_FLA[Student Number]),0),MATCH(VLOOKUP(F$7,'Writing Logic'!$J$7:$K$11,2,FALSE)&amp;" - Per "&amp;VLOOKUP($C$4,'Writing Logic'!$G$8:$H$14,2,FALSE),YES_Writing_ELA[#Headers],0))=0,"",INDEX(_xlfn.VSTACK(YES_Writing_ELA[#Data],YES_Writing_FLA[#Data]),MATCH($A282,_xlfn.VSTACK(YES_Writing_ELA[Student Number],YES_Writing_FLA[Student Number]),0),MATCH(VLOOKUP(F$7,'Writing Logic'!$J$7:$K$11,2,FALSE)&amp;" - Per "&amp;VLOOKUP($C$4,'Writing Logic'!$G$8:$H$14,2,FALSE),YES_Writing_ELA[#Headers],0)))="INS",'Writing Logic'!$B$7,IF(INDEX(_xlfn.VSTACK(YES_Writing_ELA[#Data],YES_Writing_FLA[#Data]),MATCH($A282,_xlfn.VSTACK(YES_Writing_ELA[Student Number],YES_Writing_FLA[Student Number]),0),MATCH(VLOOKUP(F$7,'Writing Logic'!$J$7:$K$11,2,FALSE)&amp;" - Per "&amp;VLOOKUP($C$4,'Writing Logic'!$G$8:$H$14,2,FALSE),YES_Writing_ELA[#Headers],0))=0,"",INDEX(_xlfn.VSTACK(YES_Writing_ELA[#Data],YES_Writing_FLA[#Data]),MATCH($A282,_xlfn.VSTACK(YES_Writing_ELA[Student Number],YES_Writing_FLA[Student Number]),0),MATCH(VLOOKUP(F$7,'Writing Logic'!$J$7:$K$11,2,FALSE)&amp;" - Per "&amp;VLOOKUP($C$4,'Writing Logic'!$G$8:$H$14,2,FALSE),YES_Writing_ELA[#Headers],0)))),"")</f>
        <v/>
      </c>
      <c r="G282" s="138" t="str">
        <f>IFERROR(IF(IF(INDEX(_xlfn.VSTACK(YES_Writing_ELA[#Data],YES_Writing_FLA[#Data]),MATCH($A282,_xlfn.VSTACK(YES_Writing_ELA[Student Number],YES_Writing_FLA[Student Number]),0),MATCH(VLOOKUP(G$7,'Writing Logic'!$J$7:$K$11,2,FALSE)&amp;" - Per "&amp;VLOOKUP($C$4,'Writing Logic'!$G$8:$H$14,2,FALSE),YES_Writing_ELA[#Headers],0))=0,"",INDEX(_xlfn.VSTACK(YES_Writing_ELA[#Data],YES_Writing_FLA[#Data]),MATCH($A282,_xlfn.VSTACK(YES_Writing_ELA[Student Number],YES_Writing_FLA[Student Number]),0),MATCH(VLOOKUP(G$7,'Writing Logic'!$J$7:$K$11,2,FALSE)&amp;" - Per "&amp;VLOOKUP($C$4,'Writing Logic'!$G$8:$H$14,2,FALSE),YES_Writing_ELA[#Headers],0)))="INS",'Writing Logic'!$B$7,IF(INDEX(_xlfn.VSTACK(YES_Writing_ELA[#Data],YES_Writing_FLA[#Data]),MATCH($A282,_xlfn.VSTACK(YES_Writing_ELA[Student Number],YES_Writing_FLA[Student Number]),0),MATCH(VLOOKUP(G$7,'Writing Logic'!$J$7:$K$11,2,FALSE)&amp;" - Per "&amp;VLOOKUP($C$4,'Writing Logic'!$G$8:$H$14,2,FALSE),YES_Writing_ELA[#Headers],0))=0,"",INDEX(_xlfn.VSTACK(YES_Writing_ELA[#Data],YES_Writing_FLA[#Data]),MATCH($A282,_xlfn.VSTACK(YES_Writing_ELA[Student Number],YES_Writing_FLA[Student Number]),0),MATCH(VLOOKUP(G$7,'Writing Logic'!$J$7:$K$11,2,FALSE)&amp;" - Per "&amp;VLOOKUP($C$4,'Writing Logic'!$G$8:$H$14,2,FALSE),YES_Writing_ELA[#Headers],0)))),"")</f>
        <v/>
      </c>
      <c r="H282" s="138" t="str">
        <f>IFERROR(IF(IF(INDEX(_xlfn.VSTACK(YES_Writing_ELA[#Data],YES_Writing_FLA[#Data]),MATCH($A282,_xlfn.VSTACK(YES_Writing_ELA[Student Number],YES_Writing_FLA[Student Number]),0),MATCH(VLOOKUP(H$7,'Writing Logic'!$J$7:$K$11,2,FALSE)&amp;" - Per "&amp;VLOOKUP($C$4,'Writing Logic'!$G$8:$H$14,2,FALSE),YES_Writing_ELA[#Headers],0))=0,"",INDEX(_xlfn.VSTACK(YES_Writing_ELA[#Data],YES_Writing_FLA[#Data]),MATCH($A282,_xlfn.VSTACK(YES_Writing_ELA[Student Number],YES_Writing_FLA[Student Number]),0),MATCH(VLOOKUP(H$7,'Writing Logic'!$J$7:$K$11,2,FALSE)&amp;" - Per "&amp;VLOOKUP($C$4,'Writing Logic'!$G$8:$H$14,2,FALSE),YES_Writing_ELA[#Headers],0)))="INS",'Writing Logic'!$B$7,IF(INDEX(_xlfn.VSTACK(YES_Writing_ELA[#Data],YES_Writing_FLA[#Data]),MATCH($A282,_xlfn.VSTACK(YES_Writing_ELA[Student Number],YES_Writing_FLA[Student Number]),0),MATCH(VLOOKUP(H$7,'Writing Logic'!$J$7:$K$11,2,FALSE)&amp;" - Per "&amp;VLOOKUP($C$4,'Writing Logic'!$G$8:$H$14,2,FALSE),YES_Writing_ELA[#Headers],0))=0,"",INDEX(_xlfn.VSTACK(YES_Writing_ELA[#Data],YES_Writing_FLA[#Data]),MATCH($A282,_xlfn.VSTACK(YES_Writing_ELA[Student Number],YES_Writing_FLA[Student Number]),0),MATCH(VLOOKUP(H$7,'Writing Logic'!$J$7:$K$11,2,FALSE)&amp;" - Per "&amp;VLOOKUP($C$4,'Writing Logic'!$G$8:$H$14,2,FALSE),YES_Writing_ELA[#Headers],0)))),"")</f>
        <v/>
      </c>
    </row>
    <row r="283" spans="1:8" x14ac:dyDescent="0.25">
      <c r="A283" s="137"/>
      <c r="B283" s="137" t="str">
        <f>IFERROR(INDEX(_xlfn.VSTACK(YES_Writing_ELA[#Data], YES_Writing_FLA[#Data]),MATCH($A283,_xlfn.VSTACK(YES_Writing_ELA[Student Number], YES_Writing_FLA[Student Number]),0),MATCH(B$7,YES_Writing_ELA[#Headers],0)),"")</f>
        <v/>
      </c>
      <c r="C283" s="137" t="str">
        <f>IFERROR(INDEX(_xlfn.VSTACK(YES_Writing_ELA[#Data], YES_Writing_FLA[#Data]),MATCH($A283,_xlfn.VSTACK(YES_Writing_ELA[Student Number], YES_Writing_FLA[Student Number]),0),MATCH(C$7,YES_Writing_ELA[#Headers],0)),"")</f>
        <v/>
      </c>
      <c r="D283" s="138" t="str">
        <f>IFERROR(IF(IF(INDEX(_xlfn.VSTACK(YES_Writing_ELA[#Data],YES_Writing_FLA[#Data]),MATCH($A283,_xlfn.VSTACK(YES_Writing_ELA[Student Number],YES_Writing_FLA[Student Number]),0),MATCH(VLOOKUP(D$7,'Writing Logic'!$J$7:$K$11,2,FALSE)&amp;" - Per "&amp;VLOOKUP($C$4,'Writing Logic'!$G$8:$H$14,2,FALSE),YES_Writing_ELA[#Headers],0))=0,"",INDEX(_xlfn.VSTACK(YES_Writing_ELA[#Data],YES_Writing_FLA[#Data]),MATCH($A283,_xlfn.VSTACK(YES_Writing_ELA[Student Number],YES_Writing_FLA[Student Number]),0),MATCH(VLOOKUP(D$7,'Writing Logic'!$J$7:$K$11,2,FALSE)&amp;" - Per "&amp;VLOOKUP($C$4,'Writing Logic'!$G$8:$H$14,2,FALSE),YES_Writing_ELA[#Headers],0)))="INS",'Writing Logic'!$B$7,IF(INDEX(_xlfn.VSTACK(YES_Writing_ELA[#Data],YES_Writing_FLA[#Data]),MATCH($A283,_xlfn.VSTACK(YES_Writing_ELA[Student Number],YES_Writing_FLA[Student Number]),0),MATCH(VLOOKUP(D$7,'Writing Logic'!$J$7:$K$11,2,FALSE)&amp;" - Per "&amp;VLOOKUP($C$4,'Writing Logic'!$G$8:$H$14,2,FALSE),YES_Writing_ELA[#Headers],0))=0,"",INDEX(_xlfn.VSTACK(YES_Writing_ELA[#Data],YES_Writing_FLA[#Data]),MATCH($A283,_xlfn.VSTACK(YES_Writing_ELA[Student Number],YES_Writing_FLA[Student Number]),0),MATCH(VLOOKUP(D$7,'Writing Logic'!$J$7:$K$11,2,FALSE)&amp;" - Per "&amp;VLOOKUP($C$4,'Writing Logic'!$G$8:$H$14,2,FALSE),YES_Writing_ELA[#Headers],0)))),"")</f>
        <v/>
      </c>
      <c r="E283" s="138" t="str">
        <f>IFERROR(IF(IF(INDEX(_xlfn.VSTACK(YES_Writing_ELA[#Data],YES_Writing_FLA[#Data]),MATCH($A283,_xlfn.VSTACK(YES_Writing_ELA[Student Number],YES_Writing_FLA[Student Number]),0),MATCH(VLOOKUP(E$7,'Writing Logic'!$J$7:$K$11,2,FALSE)&amp;" - Per "&amp;VLOOKUP($C$4,'Writing Logic'!$G$8:$H$14,2,FALSE),YES_Writing_ELA[#Headers],0))=0,"",INDEX(_xlfn.VSTACK(YES_Writing_ELA[#Data],YES_Writing_FLA[#Data]),MATCH($A283,_xlfn.VSTACK(YES_Writing_ELA[Student Number],YES_Writing_FLA[Student Number]),0),MATCH(VLOOKUP(E$7,'Writing Logic'!$J$7:$K$11,2,FALSE)&amp;" - Per "&amp;VLOOKUP($C$4,'Writing Logic'!$G$8:$H$14,2,FALSE),YES_Writing_ELA[#Headers],0)))="INS",'Writing Logic'!$B$7,IF(INDEX(_xlfn.VSTACK(YES_Writing_ELA[#Data],YES_Writing_FLA[#Data]),MATCH($A283,_xlfn.VSTACK(YES_Writing_ELA[Student Number],YES_Writing_FLA[Student Number]),0),MATCH(VLOOKUP(E$7,'Writing Logic'!$J$7:$K$11,2,FALSE)&amp;" - Per "&amp;VLOOKUP($C$4,'Writing Logic'!$G$8:$H$14,2,FALSE),YES_Writing_ELA[#Headers],0))=0,"",INDEX(_xlfn.VSTACK(YES_Writing_ELA[#Data],YES_Writing_FLA[#Data]),MATCH($A283,_xlfn.VSTACK(YES_Writing_ELA[Student Number],YES_Writing_FLA[Student Number]),0),MATCH(VLOOKUP(E$7,'Writing Logic'!$J$7:$K$11,2,FALSE)&amp;" - Per "&amp;VLOOKUP($C$4,'Writing Logic'!$G$8:$H$14,2,FALSE),YES_Writing_ELA[#Headers],0)))),"")</f>
        <v/>
      </c>
      <c r="F283" s="138" t="str">
        <f>IFERROR(IF(IF(INDEX(_xlfn.VSTACK(YES_Writing_ELA[#Data],YES_Writing_FLA[#Data]),MATCH($A283,_xlfn.VSTACK(YES_Writing_ELA[Student Number],YES_Writing_FLA[Student Number]),0),MATCH(VLOOKUP(F$7,'Writing Logic'!$J$7:$K$11,2,FALSE)&amp;" - Per "&amp;VLOOKUP($C$4,'Writing Logic'!$G$8:$H$14,2,FALSE),YES_Writing_ELA[#Headers],0))=0,"",INDEX(_xlfn.VSTACK(YES_Writing_ELA[#Data],YES_Writing_FLA[#Data]),MATCH($A283,_xlfn.VSTACK(YES_Writing_ELA[Student Number],YES_Writing_FLA[Student Number]),0),MATCH(VLOOKUP(F$7,'Writing Logic'!$J$7:$K$11,2,FALSE)&amp;" - Per "&amp;VLOOKUP($C$4,'Writing Logic'!$G$8:$H$14,2,FALSE),YES_Writing_ELA[#Headers],0)))="INS",'Writing Logic'!$B$7,IF(INDEX(_xlfn.VSTACK(YES_Writing_ELA[#Data],YES_Writing_FLA[#Data]),MATCH($A283,_xlfn.VSTACK(YES_Writing_ELA[Student Number],YES_Writing_FLA[Student Number]),0),MATCH(VLOOKUP(F$7,'Writing Logic'!$J$7:$K$11,2,FALSE)&amp;" - Per "&amp;VLOOKUP($C$4,'Writing Logic'!$G$8:$H$14,2,FALSE),YES_Writing_ELA[#Headers],0))=0,"",INDEX(_xlfn.VSTACK(YES_Writing_ELA[#Data],YES_Writing_FLA[#Data]),MATCH($A283,_xlfn.VSTACK(YES_Writing_ELA[Student Number],YES_Writing_FLA[Student Number]),0),MATCH(VLOOKUP(F$7,'Writing Logic'!$J$7:$K$11,2,FALSE)&amp;" - Per "&amp;VLOOKUP($C$4,'Writing Logic'!$G$8:$H$14,2,FALSE),YES_Writing_ELA[#Headers],0)))),"")</f>
        <v/>
      </c>
      <c r="G283" s="138" t="str">
        <f>IFERROR(IF(IF(INDEX(_xlfn.VSTACK(YES_Writing_ELA[#Data],YES_Writing_FLA[#Data]),MATCH($A283,_xlfn.VSTACK(YES_Writing_ELA[Student Number],YES_Writing_FLA[Student Number]),0),MATCH(VLOOKUP(G$7,'Writing Logic'!$J$7:$K$11,2,FALSE)&amp;" - Per "&amp;VLOOKUP($C$4,'Writing Logic'!$G$8:$H$14,2,FALSE),YES_Writing_ELA[#Headers],0))=0,"",INDEX(_xlfn.VSTACK(YES_Writing_ELA[#Data],YES_Writing_FLA[#Data]),MATCH($A283,_xlfn.VSTACK(YES_Writing_ELA[Student Number],YES_Writing_FLA[Student Number]),0),MATCH(VLOOKUP(G$7,'Writing Logic'!$J$7:$K$11,2,FALSE)&amp;" - Per "&amp;VLOOKUP($C$4,'Writing Logic'!$G$8:$H$14,2,FALSE),YES_Writing_ELA[#Headers],0)))="INS",'Writing Logic'!$B$7,IF(INDEX(_xlfn.VSTACK(YES_Writing_ELA[#Data],YES_Writing_FLA[#Data]),MATCH($A283,_xlfn.VSTACK(YES_Writing_ELA[Student Number],YES_Writing_FLA[Student Number]),0),MATCH(VLOOKUP(G$7,'Writing Logic'!$J$7:$K$11,2,FALSE)&amp;" - Per "&amp;VLOOKUP($C$4,'Writing Logic'!$G$8:$H$14,2,FALSE),YES_Writing_ELA[#Headers],0))=0,"",INDEX(_xlfn.VSTACK(YES_Writing_ELA[#Data],YES_Writing_FLA[#Data]),MATCH($A283,_xlfn.VSTACK(YES_Writing_ELA[Student Number],YES_Writing_FLA[Student Number]),0),MATCH(VLOOKUP(G$7,'Writing Logic'!$J$7:$K$11,2,FALSE)&amp;" - Per "&amp;VLOOKUP($C$4,'Writing Logic'!$G$8:$H$14,2,FALSE),YES_Writing_ELA[#Headers],0)))),"")</f>
        <v/>
      </c>
      <c r="H283" s="138" t="str">
        <f>IFERROR(IF(IF(INDEX(_xlfn.VSTACK(YES_Writing_ELA[#Data],YES_Writing_FLA[#Data]),MATCH($A283,_xlfn.VSTACK(YES_Writing_ELA[Student Number],YES_Writing_FLA[Student Number]),0),MATCH(VLOOKUP(H$7,'Writing Logic'!$J$7:$K$11,2,FALSE)&amp;" - Per "&amp;VLOOKUP($C$4,'Writing Logic'!$G$8:$H$14,2,FALSE),YES_Writing_ELA[#Headers],0))=0,"",INDEX(_xlfn.VSTACK(YES_Writing_ELA[#Data],YES_Writing_FLA[#Data]),MATCH($A283,_xlfn.VSTACK(YES_Writing_ELA[Student Number],YES_Writing_FLA[Student Number]),0),MATCH(VLOOKUP(H$7,'Writing Logic'!$J$7:$K$11,2,FALSE)&amp;" - Per "&amp;VLOOKUP($C$4,'Writing Logic'!$G$8:$H$14,2,FALSE),YES_Writing_ELA[#Headers],0)))="INS",'Writing Logic'!$B$7,IF(INDEX(_xlfn.VSTACK(YES_Writing_ELA[#Data],YES_Writing_FLA[#Data]),MATCH($A283,_xlfn.VSTACK(YES_Writing_ELA[Student Number],YES_Writing_FLA[Student Number]),0),MATCH(VLOOKUP(H$7,'Writing Logic'!$J$7:$K$11,2,FALSE)&amp;" - Per "&amp;VLOOKUP($C$4,'Writing Logic'!$G$8:$H$14,2,FALSE),YES_Writing_ELA[#Headers],0))=0,"",INDEX(_xlfn.VSTACK(YES_Writing_ELA[#Data],YES_Writing_FLA[#Data]),MATCH($A283,_xlfn.VSTACK(YES_Writing_ELA[Student Number],YES_Writing_FLA[Student Number]),0),MATCH(VLOOKUP(H$7,'Writing Logic'!$J$7:$K$11,2,FALSE)&amp;" - Per "&amp;VLOOKUP($C$4,'Writing Logic'!$G$8:$H$14,2,FALSE),YES_Writing_ELA[#Headers],0)))),"")</f>
        <v/>
      </c>
    </row>
    <row r="284" spans="1:8" x14ac:dyDescent="0.25">
      <c r="A284" s="137"/>
      <c r="B284" s="137" t="str">
        <f>IFERROR(INDEX(_xlfn.VSTACK(YES_Writing_ELA[#Data], YES_Writing_FLA[#Data]),MATCH($A284,_xlfn.VSTACK(YES_Writing_ELA[Student Number], YES_Writing_FLA[Student Number]),0),MATCH(B$7,YES_Writing_ELA[#Headers],0)),"")</f>
        <v/>
      </c>
      <c r="C284" s="137" t="str">
        <f>IFERROR(INDEX(_xlfn.VSTACK(YES_Writing_ELA[#Data], YES_Writing_FLA[#Data]),MATCH($A284,_xlfn.VSTACK(YES_Writing_ELA[Student Number], YES_Writing_FLA[Student Number]),0),MATCH(C$7,YES_Writing_ELA[#Headers],0)),"")</f>
        <v/>
      </c>
      <c r="D284" s="138" t="str">
        <f>IFERROR(IF(IF(INDEX(_xlfn.VSTACK(YES_Writing_ELA[#Data],YES_Writing_FLA[#Data]),MATCH($A284,_xlfn.VSTACK(YES_Writing_ELA[Student Number],YES_Writing_FLA[Student Number]),0),MATCH(VLOOKUP(D$7,'Writing Logic'!$J$7:$K$11,2,FALSE)&amp;" - Per "&amp;VLOOKUP($C$4,'Writing Logic'!$G$8:$H$14,2,FALSE),YES_Writing_ELA[#Headers],0))=0,"",INDEX(_xlfn.VSTACK(YES_Writing_ELA[#Data],YES_Writing_FLA[#Data]),MATCH($A284,_xlfn.VSTACK(YES_Writing_ELA[Student Number],YES_Writing_FLA[Student Number]),0),MATCH(VLOOKUP(D$7,'Writing Logic'!$J$7:$K$11,2,FALSE)&amp;" - Per "&amp;VLOOKUP($C$4,'Writing Logic'!$G$8:$H$14,2,FALSE),YES_Writing_ELA[#Headers],0)))="INS",'Writing Logic'!$B$7,IF(INDEX(_xlfn.VSTACK(YES_Writing_ELA[#Data],YES_Writing_FLA[#Data]),MATCH($A284,_xlfn.VSTACK(YES_Writing_ELA[Student Number],YES_Writing_FLA[Student Number]),0),MATCH(VLOOKUP(D$7,'Writing Logic'!$J$7:$K$11,2,FALSE)&amp;" - Per "&amp;VLOOKUP($C$4,'Writing Logic'!$G$8:$H$14,2,FALSE),YES_Writing_ELA[#Headers],0))=0,"",INDEX(_xlfn.VSTACK(YES_Writing_ELA[#Data],YES_Writing_FLA[#Data]),MATCH($A284,_xlfn.VSTACK(YES_Writing_ELA[Student Number],YES_Writing_FLA[Student Number]),0),MATCH(VLOOKUP(D$7,'Writing Logic'!$J$7:$K$11,2,FALSE)&amp;" - Per "&amp;VLOOKUP($C$4,'Writing Logic'!$G$8:$H$14,2,FALSE),YES_Writing_ELA[#Headers],0)))),"")</f>
        <v/>
      </c>
      <c r="E284" s="138" t="str">
        <f>IFERROR(IF(IF(INDEX(_xlfn.VSTACK(YES_Writing_ELA[#Data],YES_Writing_FLA[#Data]),MATCH($A284,_xlfn.VSTACK(YES_Writing_ELA[Student Number],YES_Writing_FLA[Student Number]),0),MATCH(VLOOKUP(E$7,'Writing Logic'!$J$7:$K$11,2,FALSE)&amp;" - Per "&amp;VLOOKUP($C$4,'Writing Logic'!$G$8:$H$14,2,FALSE),YES_Writing_ELA[#Headers],0))=0,"",INDEX(_xlfn.VSTACK(YES_Writing_ELA[#Data],YES_Writing_FLA[#Data]),MATCH($A284,_xlfn.VSTACK(YES_Writing_ELA[Student Number],YES_Writing_FLA[Student Number]),0),MATCH(VLOOKUP(E$7,'Writing Logic'!$J$7:$K$11,2,FALSE)&amp;" - Per "&amp;VLOOKUP($C$4,'Writing Logic'!$G$8:$H$14,2,FALSE),YES_Writing_ELA[#Headers],0)))="INS",'Writing Logic'!$B$7,IF(INDEX(_xlfn.VSTACK(YES_Writing_ELA[#Data],YES_Writing_FLA[#Data]),MATCH($A284,_xlfn.VSTACK(YES_Writing_ELA[Student Number],YES_Writing_FLA[Student Number]),0),MATCH(VLOOKUP(E$7,'Writing Logic'!$J$7:$K$11,2,FALSE)&amp;" - Per "&amp;VLOOKUP($C$4,'Writing Logic'!$G$8:$H$14,2,FALSE),YES_Writing_ELA[#Headers],0))=0,"",INDEX(_xlfn.VSTACK(YES_Writing_ELA[#Data],YES_Writing_FLA[#Data]),MATCH($A284,_xlfn.VSTACK(YES_Writing_ELA[Student Number],YES_Writing_FLA[Student Number]),0),MATCH(VLOOKUP(E$7,'Writing Logic'!$J$7:$K$11,2,FALSE)&amp;" - Per "&amp;VLOOKUP($C$4,'Writing Logic'!$G$8:$H$14,2,FALSE),YES_Writing_ELA[#Headers],0)))),"")</f>
        <v/>
      </c>
      <c r="F284" s="138" t="str">
        <f>IFERROR(IF(IF(INDEX(_xlfn.VSTACK(YES_Writing_ELA[#Data],YES_Writing_FLA[#Data]),MATCH($A284,_xlfn.VSTACK(YES_Writing_ELA[Student Number],YES_Writing_FLA[Student Number]),0),MATCH(VLOOKUP(F$7,'Writing Logic'!$J$7:$K$11,2,FALSE)&amp;" - Per "&amp;VLOOKUP($C$4,'Writing Logic'!$G$8:$H$14,2,FALSE),YES_Writing_ELA[#Headers],0))=0,"",INDEX(_xlfn.VSTACK(YES_Writing_ELA[#Data],YES_Writing_FLA[#Data]),MATCH($A284,_xlfn.VSTACK(YES_Writing_ELA[Student Number],YES_Writing_FLA[Student Number]),0),MATCH(VLOOKUP(F$7,'Writing Logic'!$J$7:$K$11,2,FALSE)&amp;" - Per "&amp;VLOOKUP($C$4,'Writing Logic'!$G$8:$H$14,2,FALSE),YES_Writing_ELA[#Headers],0)))="INS",'Writing Logic'!$B$7,IF(INDEX(_xlfn.VSTACK(YES_Writing_ELA[#Data],YES_Writing_FLA[#Data]),MATCH($A284,_xlfn.VSTACK(YES_Writing_ELA[Student Number],YES_Writing_FLA[Student Number]),0),MATCH(VLOOKUP(F$7,'Writing Logic'!$J$7:$K$11,2,FALSE)&amp;" - Per "&amp;VLOOKUP($C$4,'Writing Logic'!$G$8:$H$14,2,FALSE),YES_Writing_ELA[#Headers],0))=0,"",INDEX(_xlfn.VSTACK(YES_Writing_ELA[#Data],YES_Writing_FLA[#Data]),MATCH($A284,_xlfn.VSTACK(YES_Writing_ELA[Student Number],YES_Writing_FLA[Student Number]),0),MATCH(VLOOKUP(F$7,'Writing Logic'!$J$7:$K$11,2,FALSE)&amp;" - Per "&amp;VLOOKUP($C$4,'Writing Logic'!$G$8:$H$14,2,FALSE),YES_Writing_ELA[#Headers],0)))),"")</f>
        <v/>
      </c>
      <c r="G284" s="138" t="str">
        <f>IFERROR(IF(IF(INDEX(_xlfn.VSTACK(YES_Writing_ELA[#Data],YES_Writing_FLA[#Data]),MATCH($A284,_xlfn.VSTACK(YES_Writing_ELA[Student Number],YES_Writing_FLA[Student Number]),0),MATCH(VLOOKUP(G$7,'Writing Logic'!$J$7:$K$11,2,FALSE)&amp;" - Per "&amp;VLOOKUP($C$4,'Writing Logic'!$G$8:$H$14,2,FALSE),YES_Writing_ELA[#Headers],0))=0,"",INDEX(_xlfn.VSTACK(YES_Writing_ELA[#Data],YES_Writing_FLA[#Data]),MATCH($A284,_xlfn.VSTACK(YES_Writing_ELA[Student Number],YES_Writing_FLA[Student Number]),0),MATCH(VLOOKUP(G$7,'Writing Logic'!$J$7:$K$11,2,FALSE)&amp;" - Per "&amp;VLOOKUP($C$4,'Writing Logic'!$G$8:$H$14,2,FALSE),YES_Writing_ELA[#Headers],0)))="INS",'Writing Logic'!$B$7,IF(INDEX(_xlfn.VSTACK(YES_Writing_ELA[#Data],YES_Writing_FLA[#Data]),MATCH($A284,_xlfn.VSTACK(YES_Writing_ELA[Student Number],YES_Writing_FLA[Student Number]),0),MATCH(VLOOKUP(G$7,'Writing Logic'!$J$7:$K$11,2,FALSE)&amp;" - Per "&amp;VLOOKUP($C$4,'Writing Logic'!$G$8:$H$14,2,FALSE),YES_Writing_ELA[#Headers],0))=0,"",INDEX(_xlfn.VSTACK(YES_Writing_ELA[#Data],YES_Writing_FLA[#Data]),MATCH($A284,_xlfn.VSTACK(YES_Writing_ELA[Student Number],YES_Writing_FLA[Student Number]),0),MATCH(VLOOKUP(G$7,'Writing Logic'!$J$7:$K$11,2,FALSE)&amp;" - Per "&amp;VLOOKUP($C$4,'Writing Logic'!$G$8:$H$14,2,FALSE),YES_Writing_ELA[#Headers],0)))),"")</f>
        <v/>
      </c>
      <c r="H284" s="138" t="str">
        <f>IFERROR(IF(IF(INDEX(_xlfn.VSTACK(YES_Writing_ELA[#Data],YES_Writing_FLA[#Data]),MATCH($A284,_xlfn.VSTACK(YES_Writing_ELA[Student Number],YES_Writing_FLA[Student Number]),0),MATCH(VLOOKUP(H$7,'Writing Logic'!$J$7:$K$11,2,FALSE)&amp;" - Per "&amp;VLOOKUP($C$4,'Writing Logic'!$G$8:$H$14,2,FALSE),YES_Writing_ELA[#Headers],0))=0,"",INDEX(_xlfn.VSTACK(YES_Writing_ELA[#Data],YES_Writing_FLA[#Data]),MATCH($A284,_xlfn.VSTACK(YES_Writing_ELA[Student Number],YES_Writing_FLA[Student Number]),0),MATCH(VLOOKUP(H$7,'Writing Logic'!$J$7:$K$11,2,FALSE)&amp;" - Per "&amp;VLOOKUP($C$4,'Writing Logic'!$G$8:$H$14,2,FALSE),YES_Writing_ELA[#Headers],0)))="INS",'Writing Logic'!$B$7,IF(INDEX(_xlfn.VSTACK(YES_Writing_ELA[#Data],YES_Writing_FLA[#Data]),MATCH($A284,_xlfn.VSTACK(YES_Writing_ELA[Student Number],YES_Writing_FLA[Student Number]),0),MATCH(VLOOKUP(H$7,'Writing Logic'!$J$7:$K$11,2,FALSE)&amp;" - Per "&amp;VLOOKUP($C$4,'Writing Logic'!$G$8:$H$14,2,FALSE),YES_Writing_ELA[#Headers],0))=0,"",INDEX(_xlfn.VSTACK(YES_Writing_ELA[#Data],YES_Writing_FLA[#Data]),MATCH($A284,_xlfn.VSTACK(YES_Writing_ELA[Student Number],YES_Writing_FLA[Student Number]),0),MATCH(VLOOKUP(H$7,'Writing Logic'!$J$7:$K$11,2,FALSE)&amp;" - Per "&amp;VLOOKUP($C$4,'Writing Logic'!$G$8:$H$14,2,FALSE),YES_Writing_ELA[#Headers],0)))),"")</f>
        <v/>
      </c>
    </row>
    <row r="285" spans="1:8" x14ac:dyDescent="0.25">
      <c r="A285" s="137"/>
      <c r="B285" s="137" t="str">
        <f>IFERROR(INDEX(_xlfn.VSTACK(YES_Writing_ELA[#Data], YES_Writing_FLA[#Data]),MATCH($A285,_xlfn.VSTACK(YES_Writing_ELA[Student Number], YES_Writing_FLA[Student Number]),0),MATCH(B$7,YES_Writing_ELA[#Headers],0)),"")</f>
        <v/>
      </c>
      <c r="C285" s="137" t="str">
        <f>IFERROR(INDEX(_xlfn.VSTACK(YES_Writing_ELA[#Data], YES_Writing_FLA[#Data]),MATCH($A285,_xlfn.VSTACK(YES_Writing_ELA[Student Number], YES_Writing_FLA[Student Number]),0),MATCH(C$7,YES_Writing_ELA[#Headers],0)),"")</f>
        <v/>
      </c>
      <c r="D285" s="138" t="str">
        <f>IFERROR(IF(IF(INDEX(_xlfn.VSTACK(YES_Writing_ELA[#Data],YES_Writing_FLA[#Data]),MATCH($A285,_xlfn.VSTACK(YES_Writing_ELA[Student Number],YES_Writing_FLA[Student Number]),0),MATCH(VLOOKUP(D$7,'Writing Logic'!$J$7:$K$11,2,FALSE)&amp;" - Per "&amp;VLOOKUP($C$4,'Writing Logic'!$G$8:$H$14,2,FALSE),YES_Writing_ELA[#Headers],0))=0,"",INDEX(_xlfn.VSTACK(YES_Writing_ELA[#Data],YES_Writing_FLA[#Data]),MATCH($A285,_xlfn.VSTACK(YES_Writing_ELA[Student Number],YES_Writing_FLA[Student Number]),0),MATCH(VLOOKUP(D$7,'Writing Logic'!$J$7:$K$11,2,FALSE)&amp;" - Per "&amp;VLOOKUP($C$4,'Writing Logic'!$G$8:$H$14,2,FALSE),YES_Writing_ELA[#Headers],0)))="INS",'Writing Logic'!$B$7,IF(INDEX(_xlfn.VSTACK(YES_Writing_ELA[#Data],YES_Writing_FLA[#Data]),MATCH($A285,_xlfn.VSTACK(YES_Writing_ELA[Student Number],YES_Writing_FLA[Student Number]),0),MATCH(VLOOKUP(D$7,'Writing Logic'!$J$7:$K$11,2,FALSE)&amp;" - Per "&amp;VLOOKUP($C$4,'Writing Logic'!$G$8:$H$14,2,FALSE),YES_Writing_ELA[#Headers],0))=0,"",INDEX(_xlfn.VSTACK(YES_Writing_ELA[#Data],YES_Writing_FLA[#Data]),MATCH($A285,_xlfn.VSTACK(YES_Writing_ELA[Student Number],YES_Writing_FLA[Student Number]),0),MATCH(VLOOKUP(D$7,'Writing Logic'!$J$7:$K$11,2,FALSE)&amp;" - Per "&amp;VLOOKUP($C$4,'Writing Logic'!$G$8:$H$14,2,FALSE),YES_Writing_ELA[#Headers],0)))),"")</f>
        <v/>
      </c>
      <c r="E285" s="138" t="str">
        <f>IFERROR(IF(IF(INDEX(_xlfn.VSTACK(YES_Writing_ELA[#Data],YES_Writing_FLA[#Data]),MATCH($A285,_xlfn.VSTACK(YES_Writing_ELA[Student Number],YES_Writing_FLA[Student Number]),0),MATCH(VLOOKUP(E$7,'Writing Logic'!$J$7:$K$11,2,FALSE)&amp;" - Per "&amp;VLOOKUP($C$4,'Writing Logic'!$G$8:$H$14,2,FALSE),YES_Writing_ELA[#Headers],0))=0,"",INDEX(_xlfn.VSTACK(YES_Writing_ELA[#Data],YES_Writing_FLA[#Data]),MATCH($A285,_xlfn.VSTACK(YES_Writing_ELA[Student Number],YES_Writing_FLA[Student Number]),0),MATCH(VLOOKUP(E$7,'Writing Logic'!$J$7:$K$11,2,FALSE)&amp;" - Per "&amp;VLOOKUP($C$4,'Writing Logic'!$G$8:$H$14,2,FALSE),YES_Writing_ELA[#Headers],0)))="INS",'Writing Logic'!$B$7,IF(INDEX(_xlfn.VSTACK(YES_Writing_ELA[#Data],YES_Writing_FLA[#Data]),MATCH($A285,_xlfn.VSTACK(YES_Writing_ELA[Student Number],YES_Writing_FLA[Student Number]),0),MATCH(VLOOKUP(E$7,'Writing Logic'!$J$7:$K$11,2,FALSE)&amp;" - Per "&amp;VLOOKUP($C$4,'Writing Logic'!$G$8:$H$14,2,FALSE),YES_Writing_ELA[#Headers],0))=0,"",INDEX(_xlfn.VSTACK(YES_Writing_ELA[#Data],YES_Writing_FLA[#Data]),MATCH($A285,_xlfn.VSTACK(YES_Writing_ELA[Student Number],YES_Writing_FLA[Student Number]),0),MATCH(VLOOKUP(E$7,'Writing Logic'!$J$7:$K$11,2,FALSE)&amp;" - Per "&amp;VLOOKUP($C$4,'Writing Logic'!$G$8:$H$14,2,FALSE),YES_Writing_ELA[#Headers],0)))),"")</f>
        <v/>
      </c>
      <c r="F285" s="138" t="str">
        <f>IFERROR(IF(IF(INDEX(_xlfn.VSTACK(YES_Writing_ELA[#Data],YES_Writing_FLA[#Data]),MATCH($A285,_xlfn.VSTACK(YES_Writing_ELA[Student Number],YES_Writing_FLA[Student Number]),0),MATCH(VLOOKUP(F$7,'Writing Logic'!$J$7:$K$11,2,FALSE)&amp;" - Per "&amp;VLOOKUP($C$4,'Writing Logic'!$G$8:$H$14,2,FALSE),YES_Writing_ELA[#Headers],0))=0,"",INDEX(_xlfn.VSTACK(YES_Writing_ELA[#Data],YES_Writing_FLA[#Data]),MATCH($A285,_xlfn.VSTACK(YES_Writing_ELA[Student Number],YES_Writing_FLA[Student Number]),0),MATCH(VLOOKUP(F$7,'Writing Logic'!$J$7:$K$11,2,FALSE)&amp;" - Per "&amp;VLOOKUP($C$4,'Writing Logic'!$G$8:$H$14,2,FALSE),YES_Writing_ELA[#Headers],0)))="INS",'Writing Logic'!$B$7,IF(INDEX(_xlfn.VSTACK(YES_Writing_ELA[#Data],YES_Writing_FLA[#Data]),MATCH($A285,_xlfn.VSTACK(YES_Writing_ELA[Student Number],YES_Writing_FLA[Student Number]),0),MATCH(VLOOKUP(F$7,'Writing Logic'!$J$7:$K$11,2,FALSE)&amp;" - Per "&amp;VLOOKUP($C$4,'Writing Logic'!$G$8:$H$14,2,FALSE),YES_Writing_ELA[#Headers],0))=0,"",INDEX(_xlfn.VSTACK(YES_Writing_ELA[#Data],YES_Writing_FLA[#Data]),MATCH($A285,_xlfn.VSTACK(YES_Writing_ELA[Student Number],YES_Writing_FLA[Student Number]),0),MATCH(VLOOKUP(F$7,'Writing Logic'!$J$7:$K$11,2,FALSE)&amp;" - Per "&amp;VLOOKUP($C$4,'Writing Logic'!$G$8:$H$14,2,FALSE),YES_Writing_ELA[#Headers],0)))),"")</f>
        <v/>
      </c>
      <c r="G285" s="138" t="str">
        <f>IFERROR(IF(IF(INDEX(_xlfn.VSTACK(YES_Writing_ELA[#Data],YES_Writing_FLA[#Data]),MATCH($A285,_xlfn.VSTACK(YES_Writing_ELA[Student Number],YES_Writing_FLA[Student Number]),0),MATCH(VLOOKUP(G$7,'Writing Logic'!$J$7:$K$11,2,FALSE)&amp;" - Per "&amp;VLOOKUP($C$4,'Writing Logic'!$G$8:$H$14,2,FALSE),YES_Writing_ELA[#Headers],0))=0,"",INDEX(_xlfn.VSTACK(YES_Writing_ELA[#Data],YES_Writing_FLA[#Data]),MATCH($A285,_xlfn.VSTACK(YES_Writing_ELA[Student Number],YES_Writing_FLA[Student Number]),0),MATCH(VLOOKUP(G$7,'Writing Logic'!$J$7:$K$11,2,FALSE)&amp;" - Per "&amp;VLOOKUP($C$4,'Writing Logic'!$G$8:$H$14,2,FALSE),YES_Writing_ELA[#Headers],0)))="INS",'Writing Logic'!$B$7,IF(INDEX(_xlfn.VSTACK(YES_Writing_ELA[#Data],YES_Writing_FLA[#Data]),MATCH($A285,_xlfn.VSTACK(YES_Writing_ELA[Student Number],YES_Writing_FLA[Student Number]),0),MATCH(VLOOKUP(G$7,'Writing Logic'!$J$7:$K$11,2,FALSE)&amp;" - Per "&amp;VLOOKUP($C$4,'Writing Logic'!$G$8:$H$14,2,FALSE),YES_Writing_ELA[#Headers],0))=0,"",INDEX(_xlfn.VSTACK(YES_Writing_ELA[#Data],YES_Writing_FLA[#Data]),MATCH($A285,_xlfn.VSTACK(YES_Writing_ELA[Student Number],YES_Writing_FLA[Student Number]),0),MATCH(VLOOKUP(G$7,'Writing Logic'!$J$7:$K$11,2,FALSE)&amp;" - Per "&amp;VLOOKUP($C$4,'Writing Logic'!$G$8:$H$14,2,FALSE),YES_Writing_ELA[#Headers],0)))),"")</f>
        <v/>
      </c>
      <c r="H285" s="138" t="str">
        <f>IFERROR(IF(IF(INDEX(_xlfn.VSTACK(YES_Writing_ELA[#Data],YES_Writing_FLA[#Data]),MATCH($A285,_xlfn.VSTACK(YES_Writing_ELA[Student Number],YES_Writing_FLA[Student Number]),0),MATCH(VLOOKUP(H$7,'Writing Logic'!$J$7:$K$11,2,FALSE)&amp;" - Per "&amp;VLOOKUP($C$4,'Writing Logic'!$G$8:$H$14,2,FALSE),YES_Writing_ELA[#Headers],0))=0,"",INDEX(_xlfn.VSTACK(YES_Writing_ELA[#Data],YES_Writing_FLA[#Data]),MATCH($A285,_xlfn.VSTACK(YES_Writing_ELA[Student Number],YES_Writing_FLA[Student Number]),0),MATCH(VLOOKUP(H$7,'Writing Logic'!$J$7:$K$11,2,FALSE)&amp;" - Per "&amp;VLOOKUP($C$4,'Writing Logic'!$G$8:$H$14,2,FALSE),YES_Writing_ELA[#Headers],0)))="INS",'Writing Logic'!$B$7,IF(INDEX(_xlfn.VSTACK(YES_Writing_ELA[#Data],YES_Writing_FLA[#Data]),MATCH($A285,_xlfn.VSTACK(YES_Writing_ELA[Student Number],YES_Writing_FLA[Student Number]),0),MATCH(VLOOKUP(H$7,'Writing Logic'!$J$7:$K$11,2,FALSE)&amp;" - Per "&amp;VLOOKUP($C$4,'Writing Logic'!$G$8:$H$14,2,FALSE),YES_Writing_ELA[#Headers],0))=0,"",INDEX(_xlfn.VSTACK(YES_Writing_ELA[#Data],YES_Writing_FLA[#Data]),MATCH($A285,_xlfn.VSTACK(YES_Writing_ELA[Student Number],YES_Writing_FLA[Student Number]),0),MATCH(VLOOKUP(H$7,'Writing Logic'!$J$7:$K$11,2,FALSE)&amp;" - Per "&amp;VLOOKUP($C$4,'Writing Logic'!$G$8:$H$14,2,FALSE),YES_Writing_ELA[#Headers],0)))),"")</f>
        <v/>
      </c>
    </row>
    <row r="286" spans="1:8" x14ac:dyDescent="0.25">
      <c r="A286" s="137"/>
      <c r="B286" s="137" t="str">
        <f>IFERROR(INDEX(_xlfn.VSTACK(YES_Writing_ELA[#Data], YES_Writing_FLA[#Data]),MATCH($A286,_xlfn.VSTACK(YES_Writing_ELA[Student Number], YES_Writing_FLA[Student Number]),0),MATCH(B$7,YES_Writing_ELA[#Headers],0)),"")</f>
        <v/>
      </c>
      <c r="C286" s="137" t="str">
        <f>IFERROR(INDEX(_xlfn.VSTACK(YES_Writing_ELA[#Data], YES_Writing_FLA[#Data]),MATCH($A286,_xlfn.VSTACK(YES_Writing_ELA[Student Number], YES_Writing_FLA[Student Number]),0),MATCH(C$7,YES_Writing_ELA[#Headers],0)),"")</f>
        <v/>
      </c>
      <c r="D286" s="138" t="str">
        <f>IFERROR(IF(IF(INDEX(_xlfn.VSTACK(YES_Writing_ELA[#Data],YES_Writing_FLA[#Data]),MATCH($A286,_xlfn.VSTACK(YES_Writing_ELA[Student Number],YES_Writing_FLA[Student Number]),0),MATCH(VLOOKUP(D$7,'Writing Logic'!$J$7:$K$11,2,FALSE)&amp;" - Per "&amp;VLOOKUP($C$4,'Writing Logic'!$G$8:$H$14,2,FALSE),YES_Writing_ELA[#Headers],0))=0,"",INDEX(_xlfn.VSTACK(YES_Writing_ELA[#Data],YES_Writing_FLA[#Data]),MATCH($A286,_xlfn.VSTACK(YES_Writing_ELA[Student Number],YES_Writing_FLA[Student Number]),0),MATCH(VLOOKUP(D$7,'Writing Logic'!$J$7:$K$11,2,FALSE)&amp;" - Per "&amp;VLOOKUP($C$4,'Writing Logic'!$G$8:$H$14,2,FALSE),YES_Writing_ELA[#Headers],0)))="INS",'Writing Logic'!$B$7,IF(INDEX(_xlfn.VSTACK(YES_Writing_ELA[#Data],YES_Writing_FLA[#Data]),MATCH($A286,_xlfn.VSTACK(YES_Writing_ELA[Student Number],YES_Writing_FLA[Student Number]),0),MATCH(VLOOKUP(D$7,'Writing Logic'!$J$7:$K$11,2,FALSE)&amp;" - Per "&amp;VLOOKUP($C$4,'Writing Logic'!$G$8:$H$14,2,FALSE),YES_Writing_ELA[#Headers],0))=0,"",INDEX(_xlfn.VSTACK(YES_Writing_ELA[#Data],YES_Writing_FLA[#Data]),MATCH($A286,_xlfn.VSTACK(YES_Writing_ELA[Student Number],YES_Writing_FLA[Student Number]),0),MATCH(VLOOKUP(D$7,'Writing Logic'!$J$7:$K$11,2,FALSE)&amp;" - Per "&amp;VLOOKUP($C$4,'Writing Logic'!$G$8:$H$14,2,FALSE),YES_Writing_ELA[#Headers],0)))),"")</f>
        <v/>
      </c>
      <c r="E286" s="138" t="str">
        <f>IFERROR(IF(IF(INDEX(_xlfn.VSTACK(YES_Writing_ELA[#Data],YES_Writing_FLA[#Data]),MATCH($A286,_xlfn.VSTACK(YES_Writing_ELA[Student Number],YES_Writing_FLA[Student Number]),0),MATCH(VLOOKUP(E$7,'Writing Logic'!$J$7:$K$11,2,FALSE)&amp;" - Per "&amp;VLOOKUP($C$4,'Writing Logic'!$G$8:$H$14,2,FALSE),YES_Writing_ELA[#Headers],0))=0,"",INDEX(_xlfn.VSTACK(YES_Writing_ELA[#Data],YES_Writing_FLA[#Data]),MATCH($A286,_xlfn.VSTACK(YES_Writing_ELA[Student Number],YES_Writing_FLA[Student Number]),0),MATCH(VLOOKUP(E$7,'Writing Logic'!$J$7:$K$11,2,FALSE)&amp;" - Per "&amp;VLOOKUP($C$4,'Writing Logic'!$G$8:$H$14,2,FALSE),YES_Writing_ELA[#Headers],0)))="INS",'Writing Logic'!$B$7,IF(INDEX(_xlfn.VSTACK(YES_Writing_ELA[#Data],YES_Writing_FLA[#Data]),MATCH($A286,_xlfn.VSTACK(YES_Writing_ELA[Student Number],YES_Writing_FLA[Student Number]),0),MATCH(VLOOKUP(E$7,'Writing Logic'!$J$7:$K$11,2,FALSE)&amp;" - Per "&amp;VLOOKUP($C$4,'Writing Logic'!$G$8:$H$14,2,FALSE),YES_Writing_ELA[#Headers],0))=0,"",INDEX(_xlfn.VSTACK(YES_Writing_ELA[#Data],YES_Writing_FLA[#Data]),MATCH($A286,_xlfn.VSTACK(YES_Writing_ELA[Student Number],YES_Writing_FLA[Student Number]),0),MATCH(VLOOKUP(E$7,'Writing Logic'!$J$7:$K$11,2,FALSE)&amp;" - Per "&amp;VLOOKUP($C$4,'Writing Logic'!$G$8:$H$14,2,FALSE),YES_Writing_ELA[#Headers],0)))),"")</f>
        <v/>
      </c>
      <c r="F286" s="138" t="str">
        <f>IFERROR(IF(IF(INDEX(_xlfn.VSTACK(YES_Writing_ELA[#Data],YES_Writing_FLA[#Data]),MATCH($A286,_xlfn.VSTACK(YES_Writing_ELA[Student Number],YES_Writing_FLA[Student Number]),0),MATCH(VLOOKUP(F$7,'Writing Logic'!$J$7:$K$11,2,FALSE)&amp;" - Per "&amp;VLOOKUP($C$4,'Writing Logic'!$G$8:$H$14,2,FALSE),YES_Writing_ELA[#Headers],0))=0,"",INDEX(_xlfn.VSTACK(YES_Writing_ELA[#Data],YES_Writing_FLA[#Data]),MATCH($A286,_xlfn.VSTACK(YES_Writing_ELA[Student Number],YES_Writing_FLA[Student Number]),0),MATCH(VLOOKUP(F$7,'Writing Logic'!$J$7:$K$11,2,FALSE)&amp;" - Per "&amp;VLOOKUP($C$4,'Writing Logic'!$G$8:$H$14,2,FALSE),YES_Writing_ELA[#Headers],0)))="INS",'Writing Logic'!$B$7,IF(INDEX(_xlfn.VSTACK(YES_Writing_ELA[#Data],YES_Writing_FLA[#Data]),MATCH($A286,_xlfn.VSTACK(YES_Writing_ELA[Student Number],YES_Writing_FLA[Student Number]),0),MATCH(VLOOKUP(F$7,'Writing Logic'!$J$7:$K$11,2,FALSE)&amp;" - Per "&amp;VLOOKUP($C$4,'Writing Logic'!$G$8:$H$14,2,FALSE),YES_Writing_ELA[#Headers],0))=0,"",INDEX(_xlfn.VSTACK(YES_Writing_ELA[#Data],YES_Writing_FLA[#Data]),MATCH($A286,_xlfn.VSTACK(YES_Writing_ELA[Student Number],YES_Writing_FLA[Student Number]),0),MATCH(VLOOKUP(F$7,'Writing Logic'!$J$7:$K$11,2,FALSE)&amp;" - Per "&amp;VLOOKUP($C$4,'Writing Logic'!$G$8:$H$14,2,FALSE),YES_Writing_ELA[#Headers],0)))),"")</f>
        <v/>
      </c>
      <c r="G286" s="138" t="str">
        <f>IFERROR(IF(IF(INDEX(_xlfn.VSTACK(YES_Writing_ELA[#Data],YES_Writing_FLA[#Data]),MATCH($A286,_xlfn.VSTACK(YES_Writing_ELA[Student Number],YES_Writing_FLA[Student Number]),0),MATCH(VLOOKUP(G$7,'Writing Logic'!$J$7:$K$11,2,FALSE)&amp;" - Per "&amp;VLOOKUP($C$4,'Writing Logic'!$G$8:$H$14,2,FALSE),YES_Writing_ELA[#Headers],0))=0,"",INDEX(_xlfn.VSTACK(YES_Writing_ELA[#Data],YES_Writing_FLA[#Data]),MATCH($A286,_xlfn.VSTACK(YES_Writing_ELA[Student Number],YES_Writing_FLA[Student Number]),0),MATCH(VLOOKUP(G$7,'Writing Logic'!$J$7:$K$11,2,FALSE)&amp;" - Per "&amp;VLOOKUP($C$4,'Writing Logic'!$G$8:$H$14,2,FALSE),YES_Writing_ELA[#Headers],0)))="INS",'Writing Logic'!$B$7,IF(INDEX(_xlfn.VSTACK(YES_Writing_ELA[#Data],YES_Writing_FLA[#Data]),MATCH($A286,_xlfn.VSTACK(YES_Writing_ELA[Student Number],YES_Writing_FLA[Student Number]),0),MATCH(VLOOKUP(G$7,'Writing Logic'!$J$7:$K$11,2,FALSE)&amp;" - Per "&amp;VLOOKUP($C$4,'Writing Logic'!$G$8:$H$14,2,FALSE),YES_Writing_ELA[#Headers],0))=0,"",INDEX(_xlfn.VSTACK(YES_Writing_ELA[#Data],YES_Writing_FLA[#Data]),MATCH($A286,_xlfn.VSTACK(YES_Writing_ELA[Student Number],YES_Writing_FLA[Student Number]),0),MATCH(VLOOKUP(G$7,'Writing Logic'!$J$7:$K$11,2,FALSE)&amp;" - Per "&amp;VLOOKUP($C$4,'Writing Logic'!$G$8:$H$14,2,FALSE),YES_Writing_ELA[#Headers],0)))),"")</f>
        <v/>
      </c>
      <c r="H286" s="138" t="str">
        <f>IFERROR(IF(IF(INDEX(_xlfn.VSTACK(YES_Writing_ELA[#Data],YES_Writing_FLA[#Data]),MATCH($A286,_xlfn.VSTACK(YES_Writing_ELA[Student Number],YES_Writing_FLA[Student Number]),0),MATCH(VLOOKUP(H$7,'Writing Logic'!$J$7:$K$11,2,FALSE)&amp;" - Per "&amp;VLOOKUP($C$4,'Writing Logic'!$G$8:$H$14,2,FALSE),YES_Writing_ELA[#Headers],0))=0,"",INDEX(_xlfn.VSTACK(YES_Writing_ELA[#Data],YES_Writing_FLA[#Data]),MATCH($A286,_xlfn.VSTACK(YES_Writing_ELA[Student Number],YES_Writing_FLA[Student Number]),0),MATCH(VLOOKUP(H$7,'Writing Logic'!$J$7:$K$11,2,FALSE)&amp;" - Per "&amp;VLOOKUP($C$4,'Writing Logic'!$G$8:$H$14,2,FALSE),YES_Writing_ELA[#Headers],0)))="INS",'Writing Logic'!$B$7,IF(INDEX(_xlfn.VSTACK(YES_Writing_ELA[#Data],YES_Writing_FLA[#Data]),MATCH($A286,_xlfn.VSTACK(YES_Writing_ELA[Student Number],YES_Writing_FLA[Student Number]),0),MATCH(VLOOKUP(H$7,'Writing Logic'!$J$7:$K$11,2,FALSE)&amp;" - Per "&amp;VLOOKUP($C$4,'Writing Logic'!$G$8:$H$14,2,FALSE),YES_Writing_ELA[#Headers],0))=0,"",INDEX(_xlfn.VSTACK(YES_Writing_ELA[#Data],YES_Writing_FLA[#Data]),MATCH($A286,_xlfn.VSTACK(YES_Writing_ELA[Student Number],YES_Writing_FLA[Student Number]),0),MATCH(VLOOKUP(H$7,'Writing Logic'!$J$7:$K$11,2,FALSE)&amp;" - Per "&amp;VLOOKUP($C$4,'Writing Logic'!$G$8:$H$14,2,FALSE),YES_Writing_ELA[#Headers],0)))),"")</f>
        <v/>
      </c>
    </row>
    <row r="287" spans="1:8" x14ac:dyDescent="0.25">
      <c r="A287" s="137"/>
      <c r="B287" s="137" t="str">
        <f>IFERROR(INDEX(_xlfn.VSTACK(YES_Writing_ELA[#Data], YES_Writing_FLA[#Data]),MATCH($A287,_xlfn.VSTACK(YES_Writing_ELA[Student Number], YES_Writing_FLA[Student Number]),0),MATCH(B$7,YES_Writing_ELA[#Headers],0)),"")</f>
        <v/>
      </c>
      <c r="C287" s="137" t="str">
        <f>IFERROR(INDEX(_xlfn.VSTACK(YES_Writing_ELA[#Data], YES_Writing_FLA[#Data]),MATCH($A287,_xlfn.VSTACK(YES_Writing_ELA[Student Number], YES_Writing_FLA[Student Number]),0),MATCH(C$7,YES_Writing_ELA[#Headers],0)),"")</f>
        <v/>
      </c>
      <c r="D287" s="138" t="str">
        <f>IFERROR(IF(IF(INDEX(_xlfn.VSTACK(YES_Writing_ELA[#Data],YES_Writing_FLA[#Data]),MATCH($A287,_xlfn.VSTACK(YES_Writing_ELA[Student Number],YES_Writing_FLA[Student Number]),0),MATCH(VLOOKUP(D$7,'Writing Logic'!$J$7:$K$11,2,FALSE)&amp;" - Per "&amp;VLOOKUP($C$4,'Writing Logic'!$G$8:$H$14,2,FALSE),YES_Writing_ELA[#Headers],0))=0,"",INDEX(_xlfn.VSTACK(YES_Writing_ELA[#Data],YES_Writing_FLA[#Data]),MATCH($A287,_xlfn.VSTACK(YES_Writing_ELA[Student Number],YES_Writing_FLA[Student Number]),0),MATCH(VLOOKUP(D$7,'Writing Logic'!$J$7:$K$11,2,FALSE)&amp;" - Per "&amp;VLOOKUP($C$4,'Writing Logic'!$G$8:$H$14,2,FALSE),YES_Writing_ELA[#Headers],0)))="INS",'Writing Logic'!$B$7,IF(INDEX(_xlfn.VSTACK(YES_Writing_ELA[#Data],YES_Writing_FLA[#Data]),MATCH($A287,_xlfn.VSTACK(YES_Writing_ELA[Student Number],YES_Writing_FLA[Student Number]),0),MATCH(VLOOKUP(D$7,'Writing Logic'!$J$7:$K$11,2,FALSE)&amp;" - Per "&amp;VLOOKUP($C$4,'Writing Logic'!$G$8:$H$14,2,FALSE),YES_Writing_ELA[#Headers],0))=0,"",INDEX(_xlfn.VSTACK(YES_Writing_ELA[#Data],YES_Writing_FLA[#Data]),MATCH($A287,_xlfn.VSTACK(YES_Writing_ELA[Student Number],YES_Writing_FLA[Student Number]),0),MATCH(VLOOKUP(D$7,'Writing Logic'!$J$7:$K$11,2,FALSE)&amp;" - Per "&amp;VLOOKUP($C$4,'Writing Logic'!$G$8:$H$14,2,FALSE),YES_Writing_ELA[#Headers],0)))),"")</f>
        <v/>
      </c>
      <c r="E287" s="138" t="str">
        <f>IFERROR(IF(IF(INDEX(_xlfn.VSTACK(YES_Writing_ELA[#Data],YES_Writing_FLA[#Data]),MATCH($A287,_xlfn.VSTACK(YES_Writing_ELA[Student Number],YES_Writing_FLA[Student Number]),0),MATCH(VLOOKUP(E$7,'Writing Logic'!$J$7:$K$11,2,FALSE)&amp;" - Per "&amp;VLOOKUP($C$4,'Writing Logic'!$G$8:$H$14,2,FALSE),YES_Writing_ELA[#Headers],0))=0,"",INDEX(_xlfn.VSTACK(YES_Writing_ELA[#Data],YES_Writing_FLA[#Data]),MATCH($A287,_xlfn.VSTACK(YES_Writing_ELA[Student Number],YES_Writing_FLA[Student Number]),0),MATCH(VLOOKUP(E$7,'Writing Logic'!$J$7:$K$11,2,FALSE)&amp;" - Per "&amp;VLOOKUP($C$4,'Writing Logic'!$G$8:$H$14,2,FALSE),YES_Writing_ELA[#Headers],0)))="INS",'Writing Logic'!$B$7,IF(INDEX(_xlfn.VSTACK(YES_Writing_ELA[#Data],YES_Writing_FLA[#Data]),MATCH($A287,_xlfn.VSTACK(YES_Writing_ELA[Student Number],YES_Writing_FLA[Student Number]),0),MATCH(VLOOKUP(E$7,'Writing Logic'!$J$7:$K$11,2,FALSE)&amp;" - Per "&amp;VLOOKUP($C$4,'Writing Logic'!$G$8:$H$14,2,FALSE),YES_Writing_ELA[#Headers],0))=0,"",INDEX(_xlfn.VSTACK(YES_Writing_ELA[#Data],YES_Writing_FLA[#Data]),MATCH($A287,_xlfn.VSTACK(YES_Writing_ELA[Student Number],YES_Writing_FLA[Student Number]),0),MATCH(VLOOKUP(E$7,'Writing Logic'!$J$7:$K$11,2,FALSE)&amp;" - Per "&amp;VLOOKUP($C$4,'Writing Logic'!$G$8:$H$14,2,FALSE),YES_Writing_ELA[#Headers],0)))),"")</f>
        <v/>
      </c>
      <c r="F287" s="138" t="str">
        <f>IFERROR(IF(IF(INDEX(_xlfn.VSTACK(YES_Writing_ELA[#Data],YES_Writing_FLA[#Data]),MATCH($A287,_xlfn.VSTACK(YES_Writing_ELA[Student Number],YES_Writing_FLA[Student Number]),0),MATCH(VLOOKUP(F$7,'Writing Logic'!$J$7:$K$11,2,FALSE)&amp;" - Per "&amp;VLOOKUP($C$4,'Writing Logic'!$G$8:$H$14,2,FALSE),YES_Writing_ELA[#Headers],0))=0,"",INDEX(_xlfn.VSTACK(YES_Writing_ELA[#Data],YES_Writing_FLA[#Data]),MATCH($A287,_xlfn.VSTACK(YES_Writing_ELA[Student Number],YES_Writing_FLA[Student Number]),0),MATCH(VLOOKUP(F$7,'Writing Logic'!$J$7:$K$11,2,FALSE)&amp;" - Per "&amp;VLOOKUP($C$4,'Writing Logic'!$G$8:$H$14,2,FALSE),YES_Writing_ELA[#Headers],0)))="INS",'Writing Logic'!$B$7,IF(INDEX(_xlfn.VSTACK(YES_Writing_ELA[#Data],YES_Writing_FLA[#Data]),MATCH($A287,_xlfn.VSTACK(YES_Writing_ELA[Student Number],YES_Writing_FLA[Student Number]),0),MATCH(VLOOKUP(F$7,'Writing Logic'!$J$7:$K$11,2,FALSE)&amp;" - Per "&amp;VLOOKUP($C$4,'Writing Logic'!$G$8:$H$14,2,FALSE),YES_Writing_ELA[#Headers],0))=0,"",INDEX(_xlfn.VSTACK(YES_Writing_ELA[#Data],YES_Writing_FLA[#Data]),MATCH($A287,_xlfn.VSTACK(YES_Writing_ELA[Student Number],YES_Writing_FLA[Student Number]),0),MATCH(VLOOKUP(F$7,'Writing Logic'!$J$7:$K$11,2,FALSE)&amp;" - Per "&amp;VLOOKUP($C$4,'Writing Logic'!$G$8:$H$14,2,FALSE),YES_Writing_ELA[#Headers],0)))),"")</f>
        <v/>
      </c>
      <c r="G287" s="138" t="str">
        <f>IFERROR(IF(IF(INDEX(_xlfn.VSTACK(YES_Writing_ELA[#Data],YES_Writing_FLA[#Data]),MATCH($A287,_xlfn.VSTACK(YES_Writing_ELA[Student Number],YES_Writing_FLA[Student Number]),0),MATCH(VLOOKUP(G$7,'Writing Logic'!$J$7:$K$11,2,FALSE)&amp;" - Per "&amp;VLOOKUP($C$4,'Writing Logic'!$G$8:$H$14,2,FALSE),YES_Writing_ELA[#Headers],0))=0,"",INDEX(_xlfn.VSTACK(YES_Writing_ELA[#Data],YES_Writing_FLA[#Data]),MATCH($A287,_xlfn.VSTACK(YES_Writing_ELA[Student Number],YES_Writing_FLA[Student Number]),0),MATCH(VLOOKUP(G$7,'Writing Logic'!$J$7:$K$11,2,FALSE)&amp;" - Per "&amp;VLOOKUP($C$4,'Writing Logic'!$G$8:$H$14,2,FALSE),YES_Writing_ELA[#Headers],0)))="INS",'Writing Logic'!$B$7,IF(INDEX(_xlfn.VSTACK(YES_Writing_ELA[#Data],YES_Writing_FLA[#Data]),MATCH($A287,_xlfn.VSTACK(YES_Writing_ELA[Student Number],YES_Writing_FLA[Student Number]),0),MATCH(VLOOKUP(G$7,'Writing Logic'!$J$7:$K$11,2,FALSE)&amp;" - Per "&amp;VLOOKUP($C$4,'Writing Logic'!$G$8:$H$14,2,FALSE),YES_Writing_ELA[#Headers],0))=0,"",INDEX(_xlfn.VSTACK(YES_Writing_ELA[#Data],YES_Writing_FLA[#Data]),MATCH($A287,_xlfn.VSTACK(YES_Writing_ELA[Student Number],YES_Writing_FLA[Student Number]),0),MATCH(VLOOKUP(G$7,'Writing Logic'!$J$7:$K$11,2,FALSE)&amp;" - Per "&amp;VLOOKUP($C$4,'Writing Logic'!$G$8:$H$14,2,FALSE),YES_Writing_ELA[#Headers],0)))),"")</f>
        <v/>
      </c>
      <c r="H287" s="138" t="str">
        <f>IFERROR(IF(IF(INDEX(_xlfn.VSTACK(YES_Writing_ELA[#Data],YES_Writing_FLA[#Data]),MATCH($A287,_xlfn.VSTACK(YES_Writing_ELA[Student Number],YES_Writing_FLA[Student Number]),0),MATCH(VLOOKUP(H$7,'Writing Logic'!$J$7:$K$11,2,FALSE)&amp;" - Per "&amp;VLOOKUP($C$4,'Writing Logic'!$G$8:$H$14,2,FALSE),YES_Writing_ELA[#Headers],0))=0,"",INDEX(_xlfn.VSTACK(YES_Writing_ELA[#Data],YES_Writing_FLA[#Data]),MATCH($A287,_xlfn.VSTACK(YES_Writing_ELA[Student Number],YES_Writing_FLA[Student Number]),0),MATCH(VLOOKUP(H$7,'Writing Logic'!$J$7:$K$11,2,FALSE)&amp;" - Per "&amp;VLOOKUP($C$4,'Writing Logic'!$G$8:$H$14,2,FALSE),YES_Writing_ELA[#Headers],0)))="INS",'Writing Logic'!$B$7,IF(INDEX(_xlfn.VSTACK(YES_Writing_ELA[#Data],YES_Writing_FLA[#Data]),MATCH($A287,_xlfn.VSTACK(YES_Writing_ELA[Student Number],YES_Writing_FLA[Student Number]),0),MATCH(VLOOKUP(H$7,'Writing Logic'!$J$7:$K$11,2,FALSE)&amp;" - Per "&amp;VLOOKUP($C$4,'Writing Logic'!$G$8:$H$14,2,FALSE),YES_Writing_ELA[#Headers],0))=0,"",INDEX(_xlfn.VSTACK(YES_Writing_ELA[#Data],YES_Writing_FLA[#Data]),MATCH($A287,_xlfn.VSTACK(YES_Writing_ELA[Student Number],YES_Writing_FLA[Student Number]),0),MATCH(VLOOKUP(H$7,'Writing Logic'!$J$7:$K$11,2,FALSE)&amp;" - Per "&amp;VLOOKUP($C$4,'Writing Logic'!$G$8:$H$14,2,FALSE),YES_Writing_ELA[#Headers],0)))),"")</f>
        <v/>
      </c>
    </row>
    <row r="288" spans="1:8" x14ac:dyDescent="0.25">
      <c r="A288" s="137"/>
      <c r="B288" s="137" t="str">
        <f>IFERROR(INDEX(_xlfn.VSTACK(YES_Writing_ELA[#Data], YES_Writing_FLA[#Data]),MATCH($A288,_xlfn.VSTACK(YES_Writing_ELA[Student Number], YES_Writing_FLA[Student Number]),0),MATCH(B$7,YES_Writing_ELA[#Headers],0)),"")</f>
        <v/>
      </c>
      <c r="C288" s="137" t="str">
        <f>IFERROR(INDEX(_xlfn.VSTACK(YES_Writing_ELA[#Data], YES_Writing_FLA[#Data]),MATCH($A288,_xlfn.VSTACK(YES_Writing_ELA[Student Number], YES_Writing_FLA[Student Number]),0),MATCH(C$7,YES_Writing_ELA[#Headers],0)),"")</f>
        <v/>
      </c>
      <c r="D288" s="138" t="str">
        <f>IFERROR(IF(IF(INDEX(_xlfn.VSTACK(YES_Writing_ELA[#Data],YES_Writing_FLA[#Data]),MATCH($A288,_xlfn.VSTACK(YES_Writing_ELA[Student Number],YES_Writing_FLA[Student Number]),0),MATCH(VLOOKUP(D$7,'Writing Logic'!$J$7:$K$11,2,FALSE)&amp;" - Per "&amp;VLOOKUP($C$4,'Writing Logic'!$G$8:$H$14,2,FALSE),YES_Writing_ELA[#Headers],0))=0,"",INDEX(_xlfn.VSTACK(YES_Writing_ELA[#Data],YES_Writing_FLA[#Data]),MATCH($A288,_xlfn.VSTACK(YES_Writing_ELA[Student Number],YES_Writing_FLA[Student Number]),0),MATCH(VLOOKUP(D$7,'Writing Logic'!$J$7:$K$11,2,FALSE)&amp;" - Per "&amp;VLOOKUP($C$4,'Writing Logic'!$G$8:$H$14,2,FALSE),YES_Writing_ELA[#Headers],0)))="INS",'Writing Logic'!$B$7,IF(INDEX(_xlfn.VSTACK(YES_Writing_ELA[#Data],YES_Writing_FLA[#Data]),MATCH($A288,_xlfn.VSTACK(YES_Writing_ELA[Student Number],YES_Writing_FLA[Student Number]),0),MATCH(VLOOKUP(D$7,'Writing Logic'!$J$7:$K$11,2,FALSE)&amp;" - Per "&amp;VLOOKUP($C$4,'Writing Logic'!$G$8:$H$14,2,FALSE),YES_Writing_ELA[#Headers],0))=0,"",INDEX(_xlfn.VSTACK(YES_Writing_ELA[#Data],YES_Writing_FLA[#Data]),MATCH($A288,_xlfn.VSTACK(YES_Writing_ELA[Student Number],YES_Writing_FLA[Student Number]),0),MATCH(VLOOKUP(D$7,'Writing Logic'!$J$7:$K$11,2,FALSE)&amp;" - Per "&amp;VLOOKUP($C$4,'Writing Logic'!$G$8:$H$14,2,FALSE),YES_Writing_ELA[#Headers],0)))),"")</f>
        <v/>
      </c>
      <c r="E288" s="138" t="str">
        <f>IFERROR(IF(IF(INDEX(_xlfn.VSTACK(YES_Writing_ELA[#Data],YES_Writing_FLA[#Data]),MATCH($A288,_xlfn.VSTACK(YES_Writing_ELA[Student Number],YES_Writing_FLA[Student Number]),0),MATCH(VLOOKUP(E$7,'Writing Logic'!$J$7:$K$11,2,FALSE)&amp;" - Per "&amp;VLOOKUP($C$4,'Writing Logic'!$G$8:$H$14,2,FALSE),YES_Writing_ELA[#Headers],0))=0,"",INDEX(_xlfn.VSTACK(YES_Writing_ELA[#Data],YES_Writing_FLA[#Data]),MATCH($A288,_xlfn.VSTACK(YES_Writing_ELA[Student Number],YES_Writing_FLA[Student Number]),0),MATCH(VLOOKUP(E$7,'Writing Logic'!$J$7:$K$11,2,FALSE)&amp;" - Per "&amp;VLOOKUP($C$4,'Writing Logic'!$G$8:$H$14,2,FALSE),YES_Writing_ELA[#Headers],0)))="INS",'Writing Logic'!$B$7,IF(INDEX(_xlfn.VSTACK(YES_Writing_ELA[#Data],YES_Writing_FLA[#Data]),MATCH($A288,_xlfn.VSTACK(YES_Writing_ELA[Student Number],YES_Writing_FLA[Student Number]),0),MATCH(VLOOKUP(E$7,'Writing Logic'!$J$7:$K$11,2,FALSE)&amp;" - Per "&amp;VLOOKUP($C$4,'Writing Logic'!$G$8:$H$14,2,FALSE),YES_Writing_ELA[#Headers],0))=0,"",INDEX(_xlfn.VSTACK(YES_Writing_ELA[#Data],YES_Writing_FLA[#Data]),MATCH($A288,_xlfn.VSTACK(YES_Writing_ELA[Student Number],YES_Writing_FLA[Student Number]),0),MATCH(VLOOKUP(E$7,'Writing Logic'!$J$7:$K$11,2,FALSE)&amp;" - Per "&amp;VLOOKUP($C$4,'Writing Logic'!$G$8:$H$14,2,FALSE),YES_Writing_ELA[#Headers],0)))),"")</f>
        <v/>
      </c>
      <c r="F288" s="138" t="str">
        <f>IFERROR(IF(IF(INDEX(_xlfn.VSTACK(YES_Writing_ELA[#Data],YES_Writing_FLA[#Data]),MATCH($A288,_xlfn.VSTACK(YES_Writing_ELA[Student Number],YES_Writing_FLA[Student Number]),0),MATCH(VLOOKUP(F$7,'Writing Logic'!$J$7:$K$11,2,FALSE)&amp;" - Per "&amp;VLOOKUP($C$4,'Writing Logic'!$G$8:$H$14,2,FALSE),YES_Writing_ELA[#Headers],0))=0,"",INDEX(_xlfn.VSTACK(YES_Writing_ELA[#Data],YES_Writing_FLA[#Data]),MATCH($A288,_xlfn.VSTACK(YES_Writing_ELA[Student Number],YES_Writing_FLA[Student Number]),0),MATCH(VLOOKUP(F$7,'Writing Logic'!$J$7:$K$11,2,FALSE)&amp;" - Per "&amp;VLOOKUP($C$4,'Writing Logic'!$G$8:$H$14,2,FALSE),YES_Writing_ELA[#Headers],0)))="INS",'Writing Logic'!$B$7,IF(INDEX(_xlfn.VSTACK(YES_Writing_ELA[#Data],YES_Writing_FLA[#Data]),MATCH($A288,_xlfn.VSTACK(YES_Writing_ELA[Student Number],YES_Writing_FLA[Student Number]),0),MATCH(VLOOKUP(F$7,'Writing Logic'!$J$7:$K$11,2,FALSE)&amp;" - Per "&amp;VLOOKUP($C$4,'Writing Logic'!$G$8:$H$14,2,FALSE),YES_Writing_ELA[#Headers],0))=0,"",INDEX(_xlfn.VSTACK(YES_Writing_ELA[#Data],YES_Writing_FLA[#Data]),MATCH($A288,_xlfn.VSTACK(YES_Writing_ELA[Student Number],YES_Writing_FLA[Student Number]),0),MATCH(VLOOKUP(F$7,'Writing Logic'!$J$7:$K$11,2,FALSE)&amp;" - Per "&amp;VLOOKUP($C$4,'Writing Logic'!$G$8:$H$14,2,FALSE),YES_Writing_ELA[#Headers],0)))),"")</f>
        <v/>
      </c>
      <c r="G288" s="138" t="str">
        <f>IFERROR(IF(IF(INDEX(_xlfn.VSTACK(YES_Writing_ELA[#Data],YES_Writing_FLA[#Data]),MATCH($A288,_xlfn.VSTACK(YES_Writing_ELA[Student Number],YES_Writing_FLA[Student Number]),0),MATCH(VLOOKUP(G$7,'Writing Logic'!$J$7:$K$11,2,FALSE)&amp;" - Per "&amp;VLOOKUP($C$4,'Writing Logic'!$G$8:$H$14,2,FALSE),YES_Writing_ELA[#Headers],0))=0,"",INDEX(_xlfn.VSTACK(YES_Writing_ELA[#Data],YES_Writing_FLA[#Data]),MATCH($A288,_xlfn.VSTACK(YES_Writing_ELA[Student Number],YES_Writing_FLA[Student Number]),0),MATCH(VLOOKUP(G$7,'Writing Logic'!$J$7:$K$11,2,FALSE)&amp;" - Per "&amp;VLOOKUP($C$4,'Writing Logic'!$G$8:$H$14,2,FALSE),YES_Writing_ELA[#Headers],0)))="INS",'Writing Logic'!$B$7,IF(INDEX(_xlfn.VSTACK(YES_Writing_ELA[#Data],YES_Writing_FLA[#Data]),MATCH($A288,_xlfn.VSTACK(YES_Writing_ELA[Student Number],YES_Writing_FLA[Student Number]),0),MATCH(VLOOKUP(G$7,'Writing Logic'!$J$7:$K$11,2,FALSE)&amp;" - Per "&amp;VLOOKUP($C$4,'Writing Logic'!$G$8:$H$14,2,FALSE),YES_Writing_ELA[#Headers],0))=0,"",INDEX(_xlfn.VSTACK(YES_Writing_ELA[#Data],YES_Writing_FLA[#Data]),MATCH($A288,_xlfn.VSTACK(YES_Writing_ELA[Student Number],YES_Writing_FLA[Student Number]),0),MATCH(VLOOKUP(G$7,'Writing Logic'!$J$7:$K$11,2,FALSE)&amp;" - Per "&amp;VLOOKUP($C$4,'Writing Logic'!$G$8:$H$14,2,FALSE),YES_Writing_ELA[#Headers],0)))),"")</f>
        <v/>
      </c>
      <c r="H288" s="138" t="str">
        <f>IFERROR(IF(IF(INDEX(_xlfn.VSTACK(YES_Writing_ELA[#Data],YES_Writing_FLA[#Data]),MATCH($A288,_xlfn.VSTACK(YES_Writing_ELA[Student Number],YES_Writing_FLA[Student Number]),0),MATCH(VLOOKUP(H$7,'Writing Logic'!$J$7:$K$11,2,FALSE)&amp;" - Per "&amp;VLOOKUP($C$4,'Writing Logic'!$G$8:$H$14,2,FALSE),YES_Writing_ELA[#Headers],0))=0,"",INDEX(_xlfn.VSTACK(YES_Writing_ELA[#Data],YES_Writing_FLA[#Data]),MATCH($A288,_xlfn.VSTACK(YES_Writing_ELA[Student Number],YES_Writing_FLA[Student Number]),0),MATCH(VLOOKUP(H$7,'Writing Logic'!$J$7:$K$11,2,FALSE)&amp;" - Per "&amp;VLOOKUP($C$4,'Writing Logic'!$G$8:$H$14,2,FALSE),YES_Writing_ELA[#Headers],0)))="INS",'Writing Logic'!$B$7,IF(INDEX(_xlfn.VSTACK(YES_Writing_ELA[#Data],YES_Writing_FLA[#Data]),MATCH($A288,_xlfn.VSTACK(YES_Writing_ELA[Student Number],YES_Writing_FLA[Student Number]),0),MATCH(VLOOKUP(H$7,'Writing Logic'!$J$7:$K$11,2,FALSE)&amp;" - Per "&amp;VLOOKUP($C$4,'Writing Logic'!$G$8:$H$14,2,FALSE),YES_Writing_ELA[#Headers],0))=0,"",INDEX(_xlfn.VSTACK(YES_Writing_ELA[#Data],YES_Writing_FLA[#Data]),MATCH($A288,_xlfn.VSTACK(YES_Writing_ELA[Student Number],YES_Writing_FLA[Student Number]),0),MATCH(VLOOKUP(H$7,'Writing Logic'!$J$7:$K$11,2,FALSE)&amp;" - Per "&amp;VLOOKUP($C$4,'Writing Logic'!$G$8:$H$14,2,FALSE),YES_Writing_ELA[#Headers],0)))),"")</f>
        <v/>
      </c>
    </row>
    <row r="289" spans="1:8" x14ac:dyDescent="0.25">
      <c r="A289" s="137"/>
      <c r="B289" s="137" t="str">
        <f>IFERROR(INDEX(_xlfn.VSTACK(YES_Writing_ELA[#Data], YES_Writing_FLA[#Data]),MATCH($A289,_xlfn.VSTACK(YES_Writing_ELA[Student Number], YES_Writing_FLA[Student Number]),0),MATCH(B$7,YES_Writing_ELA[#Headers],0)),"")</f>
        <v/>
      </c>
      <c r="C289" s="137" t="str">
        <f>IFERROR(INDEX(_xlfn.VSTACK(YES_Writing_ELA[#Data], YES_Writing_FLA[#Data]),MATCH($A289,_xlfn.VSTACK(YES_Writing_ELA[Student Number], YES_Writing_FLA[Student Number]),0),MATCH(C$7,YES_Writing_ELA[#Headers],0)),"")</f>
        <v/>
      </c>
      <c r="D289" s="138" t="str">
        <f>IFERROR(IF(IF(INDEX(_xlfn.VSTACK(YES_Writing_ELA[#Data],YES_Writing_FLA[#Data]),MATCH($A289,_xlfn.VSTACK(YES_Writing_ELA[Student Number],YES_Writing_FLA[Student Number]),0),MATCH(VLOOKUP(D$7,'Writing Logic'!$J$7:$K$11,2,FALSE)&amp;" - Per "&amp;VLOOKUP($C$4,'Writing Logic'!$G$8:$H$14,2,FALSE),YES_Writing_ELA[#Headers],0))=0,"",INDEX(_xlfn.VSTACK(YES_Writing_ELA[#Data],YES_Writing_FLA[#Data]),MATCH($A289,_xlfn.VSTACK(YES_Writing_ELA[Student Number],YES_Writing_FLA[Student Number]),0),MATCH(VLOOKUP(D$7,'Writing Logic'!$J$7:$K$11,2,FALSE)&amp;" - Per "&amp;VLOOKUP($C$4,'Writing Logic'!$G$8:$H$14,2,FALSE),YES_Writing_ELA[#Headers],0)))="INS",'Writing Logic'!$B$7,IF(INDEX(_xlfn.VSTACK(YES_Writing_ELA[#Data],YES_Writing_FLA[#Data]),MATCH($A289,_xlfn.VSTACK(YES_Writing_ELA[Student Number],YES_Writing_FLA[Student Number]),0),MATCH(VLOOKUP(D$7,'Writing Logic'!$J$7:$K$11,2,FALSE)&amp;" - Per "&amp;VLOOKUP($C$4,'Writing Logic'!$G$8:$H$14,2,FALSE),YES_Writing_ELA[#Headers],0))=0,"",INDEX(_xlfn.VSTACK(YES_Writing_ELA[#Data],YES_Writing_FLA[#Data]),MATCH($A289,_xlfn.VSTACK(YES_Writing_ELA[Student Number],YES_Writing_FLA[Student Number]),0),MATCH(VLOOKUP(D$7,'Writing Logic'!$J$7:$K$11,2,FALSE)&amp;" - Per "&amp;VLOOKUP($C$4,'Writing Logic'!$G$8:$H$14,2,FALSE),YES_Writing_ELA[#Headers],0)))),"")</f>
        <v/>
      </c>
      <c r="E289" s="138" t="str">
        <f>IFERROR(IF(IF(INDEX(_xlfn.VSTACK(YES_Writing_ELA[#Data],YES_Writing_FLA[#Data]),MATCH($A289,_xlfn.VSTACK(YES_Writing_ELA[Student Number],YES_Writing_FLA[Student Number]),0),MATCH(VLOOKUP(E$7,'Writing Logic'!$J$7:$K$11,2,FALSE)&amp;" - Per "&amp;VLOOKUP($C$4,'Writing Logic'!$G$8:$H$14,2,FALSE),YES_Writing_ELA[#Headers],0))=0,"",INDEX(_xlfn.VSTACK(YES_Writing_ELA[#Data],YES_Writing_FLA[#Data]),MATCH($A289,_xlfn.VSTACK(YES_Writing_ELA[Student Number],YES_Writing_FLA[Student Number]),0),MATCH(VLOOKUP(E$7,'Writing Logic'!$J$7:$K$11,2,FALSE)&amp;" - Per "&amp;VLOOKUP($C$4,'Writing Logic'!$G$8:$H$14,2,FALSE),YES_Writing_ELA[#Headers],0)))="INS",'Writing Logic'!$B$7,IF(INDEX(_xlfn.VSTACK(YES_Writing_ELA[#Data],YES_Writing_FLA[#Data]),MATCH($A289,_xlfn.VSTACK(YES_Writing_ELA[Student Number],YES_Writing_FLA[Student Number]),0),MATCH(VLOOKUP(E$7,'Writing Logic'!$J$7:$K$11,2,FALSE)&amp;" - Per "&amp;VLOOKUP($C$4,'Writing Logic'!$G$8:$H$14,2,FALSE),YES_Writing_ELA[#Headers],0))=0,"",INDEX(_xlfn.VSTACK(YES_Writing_ELA[#Data],YES_Writing_FLA[#Data]),MATCH($A289,_xlfn.VSTACK(YES_Writing_ELA[Student Number],YES_Writing_FLA[Student Number]),0),MATCH(VLOOKUP(E$7,'Writing Logic'!$J$7:$K$11,2,FALSE)&amp;" - Per "&amp;VLOOKUP($C$4,'Writing Logic'!$G$8:$H$14,2,FALSE),YES_Writing_ELA[#Headers],0)))),"")</f>
        <v/>
      </c>
      <c r="F289" s="138" t="str">
        <f>IFERROR(IF(IF(INDEX(_xlfn.VSTACK(YES_Writing_ELA[#Data],YES_Writing_FLA[#Data]),MATCH($A289,_xlfn.VSTACK(YES_Writing_ELA[Student Number],YES_Writing_FLA[Student Number]),0),MATCH(VLOOKUP(F$7,'Writing Logic'!$J$7:$K$11,2,FALSE)&amp;" - Per "&amp;VLOOKUP($C$4,'Writing Logic'!$G$8:$H$14,2,FALSE),YES_Writing_ELA[#Headers],0))=0,"",INDEX(_xlfn.VSTACK(YES_Writing_ELA[#Data],YES_Writing_FLA[#Data]),MATCH($A289,_xlfn.VSTACK(YES_Writing_ELA[Student Number],YES_Writing_FLA[Student Number]),0),MATCH(VLOOKUP(F$7,'Writing Logic'!$J$7:$K$11,2,FALSE)&amp;" - Per "&amp;VLOOKUP($C$4,'Writing Logic'!$G$8:$H$14,2,FALSE),YES_Writing_ELA[#Headers],0)))="INS",'Writing Logic'!$B$7,IF(INDEX(_xlfn.VSTACK(YES_Writing_ELA[#Data],YES_Writing_FLA[#Data]),MATCH($A289,_xlfn.VSTACK(YES_Writing_ELA[Student Number],YES_Writing_FLA[Student Number]),0),MATCH(VLOOKUP(F$7,'Writing Logic'!$J$7:$K$11,2,FALSE)&amp;" - Per "&amp;VLOOKUP($C$4,'Writing Logic'!$G$8:$H$14,2,FALSE),YES_Writing_ELA[#Headers],0))=0,"",INDEX(_xlfn.VSTACK(YES_Writing_ELA[#Data],YES_Writing_FLA[#Data]),MATCH($A289,_xlfn.VSTACK(YES_Writing_ELA[Student Number],YES_Writing_FLA[Student Number]),0),MATCH(VLOOKUP(F$7,'Writing Logic'!$J$7:$K$11,2,FALSE)&amp;" - Per "&amp;VLOOKUP($C$4,'Writing Logic'!$G$8:$H$14,2,FALSE),YES_Writing_ELA[#Headers],0)))),"")</f>
        <v/>
      </c>
      <c r="G289" s="138" t="str">
        <f>IFERROR(IF(IF(INDEX(_xlfn.VSTACK(YES_Writing_ELA[#Data],YES_Writing_FLA[#Data]),MATCH($A289,_xlfn.VSTACK(YES_Writing_ELA[Student Number],YES_Writing_FLA[Student Number]),0),MATCH(VLOOKUP(G$7,'Writing Logic'!$J$7:$K$11,2,FALSE)&amp;" - Per "&amp;VLOOKUP($C$4,'Writing Logic'!$G$8:$H$14,2,FALSE),YES_Writing_ELA[#Headers],0))=0,"",INDEX(_xlfn.VSTACK(YES_Writing_ELA[#Data],YES_Writing_FLA[#Data]),MATCH($A289,_xlfn.VSTACK(YES_Writing_ELA[Student Number],YES_Writing_FLA[Student Number]),0),MATCH(VLOOKUP(G$7,'Writing Logic'!$J$7:$K$11,2,FALSE)&amp;" - Per "&amp;VLOOKUP($C$4,'Writing Logic'!$G$8:$H$14,2,FALSE),YES_Writing_ELA[#Headers],0)))="INS",'Writing Logic'!$B$7,IF(INDEX(_xlfn.VSTACK(YES_Writing_ELA[#Data],YES_Writing_FLA[#Data]),MATCH($A289,_xlfn.VSTACK(YES_Writing_ELA[Student Number],YES_Writing_FLA[Student Number]),0),MATCH(VLOOKUP(G$7,'Writing Logic'!$J$7:$K$11,2,FALSE)&amp;" - Per "&amp;VLOOKUP($C$4,'Writing Logic'!$G$8:$H$14,2,FALSE),YES_Writing_ELA[#Headers],0))=0,"",INDEX(_xlfn.VSTACK(YES_Writing_ELA[#Data],YES_Writing_FLA[#Data]),MATCH($A289,_xlfn.VSTACK(YES_Writing_ELA[Student Number],YES_Writing_FLA[Student Number]),0),MATCH(VLOOKUP(G$7,'Writing Logic'!$J$7:$K$11,2,FALSE)&amp;" - Per "&amp;VLOOKUP($C$4,'Writing Logic'!$G$8:$H$14,2,FALSE),YES_Writing_ELA[#Headers],0)))),"")</f>
        <v/>
      </c>
      <c r="H289" s="138" t="str">
        <f>IFERROR(IF(IF(INDEX(_xlfn.VSTACK(YES_Writing_ELA[#Data],YES_Writing_FLA[#Data]),MATCH($A289,_xlfn.VSTACK(YES_Writing_ELA[Student Number],YES_Writing_FLA[Student Number]),0),MATCH(VLOOKUP(H$7,'Writing Logic'!$J$7:$K$11,2,FALSE)&amp;" - Per "&amp;VLOOKUP($C$4,'Writing Logic'!$G$8:$H$14,2,FALSE),YES_Writing_ELA[#Headers],0))=0,"",INDEX(_xlfn.VSTACK(YES_Writing_ELA[#Data],YES_Writing_FLA[#Data]),MATCH($A289,_xlfn.VSTACK(YES_Writing_ELA[Student Number],YES_Writing_FLA[Student Number]),0),MATCH(VLOOKUP(H$7,'Writing Logic'!$J$7:$K$11,2,FALSE)&amp;" - Per "&amp;VLOOKUP($C$4,'Writing Logic'!$G$8:$H$14,2,FALSE),YES_Writing_ELA[#Headers],0)))="INS",'Writing Logic'!$B$7,IF(INDEX(_xlfn.VSTACK(YES_Writing_ELA[#Data],YES_Writing_FLA[#Data]),MATCH($A289,_xlfn.VSTACK(YES_Writing_ELA[Student Number],YES_Writing_FLA[Student Number]),0),MATCH(VLOOKUP(H$7,'Writing Logic'!$J$7:$K$11,2,FALSE)&amp;" - Per "&amp;VLOOKUP($C$4,'Writing Logic'!$G$8:$H$14,2,FALSE),YES_Writing_ELA[#Headers],0))=0,"",INDEX(_xlfn.VSTACK(YES_Writing_ELA[#Data],YES_Writing_FLA[#Data]),MATCH($A289,_xlfn.VSTACK(YES_Writing_ELA[Student Number],YES_Writing_FLA[Student Number]),0),MATCH(VLOOKUP(H$7,'Writing Logic'!$J$7:$K$11,2,FALSE)&amp;" - Per "&amp;VLOOKUP($C$4,'Writing Logic'!$G$8:$H$14,2,FALSE),YES_Writing_ELA[#Headers],0)))),"")</f>
        <v/>
      </c>
    </row>
    <row r="290" spans="1:8" x14ac:dyDescent="0.25">
      <c r="A290" s="137"/>
      <c r="B290" s="137" t="str">
        <f>IFERROR(INDEX(_xlfn.VSTACK(YES_Writing_ELA[#Data], YES_Writing_FLA[#Data]),MATCH($A290,_xlfn.VSTACK(YES_Writing_ELA[Student Number], YES_Writing_FLA[Student Number]),0),MATCH(B$7,YES_Writing_ELA[#Headers],0)),"")</f>
        <v/>
      </c>
      <c r="C290" s="137" t="str">
        <f>IFERROR(INDEX(_xlfn.VSTACK(YES_Writing_ELA[#Data], YES_Writing_FLA[#Data]),MATCH($A290,_xlfn.VSTACK(YES_Writing_ELA[Student Number], YES_Writing_FLA[Student Number]),0),MATCH(C$7,YES_Writing_ELA[#Headers],0)),"")</f>
        <v/>
      </c>
      <c r="D290" s="138" t="str">
        <f>IFERROR(IF(IF(INDEX(_xlfn.VSTACK(YES_Writing_ELA[#Data],YES_Writing_FLA[#Data]),MATCH($A290,_xlfn.VSTACK(YES_Writing_ELA[Student Number],YES_Writing_FLA[Student Number]),0),MATCH(VLOOKUP(D$7,'Writing Logic'!$J$7:$K$11,2,FALSE)&amp;" - Per "&amp;VLOOKUP($C$4,'Writing Logic'!$G$8:$H$14,2,FALSE),YES_Writing_ELA[#Headers],0))=0,"",INDEX(_xlfn.VSTACK(YES_Writing_ELA[#Data],YES_Writing_FLA[#Data]),MATCH($A290,_xlfn.VSTACK(YES_Writing_ELA[Student Number],YES_Writing_FLA[Student Number]),0),MATCH(VLOOKUP(D$7,'Writing Logic'!$J$7:$K$11,2,FALSE)&amp;" - Per "&amp;VLOOKUP($C$4,'Writing Logic'!$G$8:$H$14,2,FALSE),YES_Writing_ELA[#Headers],0)))="INS",'Writing Logic'!$B$7,IF(INDEX(_xlfn.VSTACK(YES_Writing_ELA[#Data],YES_Writing_FLA[#Data]),MATCH($A290,_xlfn.VSTACK(YES_Writing_ELA[Student Number],YES_Writing_FLA[Student Number]),0),MATCH(VLOOKUP(D$7,'Writing Logic'!$J$7:$K$11,2,FALSE)&amp;" - Per "&amp;VLOOKUP($C$4,'Writing Logic'!$G$8:$H$14,2,FALSE),YES_Writing_ELA[#Headers],0))=0,"",INDEX(_xlfn.VSTACK(YES_Writing_ELA[#Data],YES_Writing_FLA[#Data]),MATCH($A290,_xlfn.VSTACK(YES_Writing_ELA[Student Number],YES_Writing_FLA[Student Number]),0),MATCH(VLOOKUP(D$7,'Writing Logic'!$J$7:$K$11,2,FALSE)&amp;" - Per "&amp;VLOOKUP($C$4,'Writing Logic'!$G$8:$H$14,2,FALSE),YES_Writing_ELA[#Headers],0)))),"")</f>
        <v/>
      </c>
      <c r="E290" s="138" t="str">
        <f>IFERROR(IF(IF(INDEX(_xlfn.VSTACK(YES_Writing_ELA[#Data],YES_Writing_FLA[#Data]),MATCH($A290,_xlfn.VSTACK(YES_Writing_ELA[Student Number],YES_Writing_FLA[Student Number]),0),MATCH(VLOOKUP(E$7,'Writing Logic'!$J$7:$K$11,2,FALSE)&amp;" - Per "&amp;VLOOKUP($C$4,'Writing Logic'!$G$8:$H$14,2,FALSE),YES_Writing_ELA[#Headers],0))=0,"",INDEX(_xlfn.VSTACK(YES_Writing_ELA[#Data],YES_Writing_FLA[#Data]),MATCH($A290,_xlfn.VSTACK(YES_Writing_ELA[Student Number],YES_Writing_FLA[Student Number]),0),MATCH(VLOOKUP(E$7,'Writing Logic'!$J$7:$K$11,2,FALSE)&amp;" - Per "&amp;VLOOKUP($C$4,'Writing Logic'!$G$8:$H$14,2,FALSE),YES_Writing_ELA[#Headers],0)))="INS",'Writing Logic'!$B$7,IF(INDEX(_xlfn.VSTACK(YES_Writing_ELA[#Data],YES_Writing_FLA[#Data]),MATCH($A290,_xlfn.VSTACK(YES_Writing_ELA[Student Number],YES_Writing_FLA[Student Number]),0),MATCH(VLOOKUP(E$7,'Writing Logic'!$J$7:$K$11,2,FALSE)&amp;" - Per "&amp;VLOOKUP($C$4,'Writing Logic'!$G$8:$H$14,2,FALSE),YES_Writing_ELA[#Headers],0))=0,"",INDEX(_xlfn.VSTACK(YES_Writing_ELA[#Data],YES_Writing_FLA[#Data]),MATCH($A290,_xlfn.VSTACK(YES_Writing_ELA[Student Number],YES_Writing_FLA[Student Number]),0),MATCH(VLOOKUP(E$7,'Writing Logic'!$J$7:$K$11,2,FALSE)&amp;" - Per "&amp;VLOOKUP($C$4,'Writing Logic'!$G$8:$H$14,2,FALSE),YES_Writing_ELA[#Headers],0)))),"")</f>
        <v/>
      </c>
      <c r="F290" s="138" t="str">
        <f>IFERROR(IF(IF(INDEX(_xlfn.VSTACK(YES_Writing_ELA[#Data],YES_Writing_FLA[#Data]),MATCH($A290,_xlfn.VSTACK(YES_Writing_ELA[Student Number],YES_Writing_FLA[Student Number]),0),MATCH(VLOOKUP(F$7,'Writing Logic'!$J$7:$K$11,2,FALSE)&amp;" - Per "&amp;VLOOKUP($C$4,'Writing Logic'!$G$8:$H$14,2,FALSE),YES_Writing_ELA[#Headers],0))=0,"",INDEX(_xlfn.VSTACK(YES_Writing_ELA[#Data],YES_Writing_FLA[#Data]),MATCH($A290,_xlfn.VSTACK(YES_Writing_ELA[Student Number],YES_Writing_FLA[Student Number]),0),MATCH(VLOOKUP(F$7,'Writing Logic'!$J$7:$K$11,2,FALSE)&amp;" - Per "&amp;VLOOKUP($C$4,'Writing Logic'!$G$8:$H$14,2,FALSE),YES_Writing_ELA[#Headers],0)))="INS",'Writing Logic'!$B$7,IF(INDEX(_xlfn.VSTACK(YES_Writing_ELA[#Data],YES_Writing_FLA[#Data]),MATCH($A290,_xlfn.VSTACK(YES_Writing_ELA[Student Number],YES_Writing_FLA[Student Number]),0),MATCH(VLOOKUP(F$7,'Writing Logic'!$J$7:$K$11,2,FALSE)&amp;" - Per "&amp;VLOOKUP($C$4,'Writing Logic'!$G$8:$H$14,2,FALSE),YES_Writing_ELA[#Headers],0))=0,"",INDEX(_xlfn.VSTACK(YES_Writing_ELA[#Data],YES_Writing_FLA[#Data]),MATCH($A290,_xlfn.VSTACK(YES_Writing_ELA[Student Number],YES_Writing_FLA[Student Number]),0),MATCH(VLOOKUP(F$7,'Writing Logic'!$J$7:$K$11,2,FALSE)&amp;" - Per "&amp;VLOOKUP($C$4,'Writing Logic'!$G$8:$H$14,2,FALSE),YES_Writing_ELA[#Headers],0)))),"")</f>
        <v/>
      </c>
      <c r="G290" s="138" t="str">
        <f>IFERROR(IF(IF(INDEX(_xlfn.VSTACK(YES_Writing_ELA[#Data],YES_Writing_FLA[#Data]),MATCH($A290,_xlfn.VSTACK(YES_Writing_ELA[Student Number],YES_Writing_FLA[Student Number]),0),MATCH(VLOOKUP(G$7,'Writing Logic'!$J$7:$K$11,2,FALSE)&amp;" - Per "&amp;VLOOKUP($C$4,'Writing Logic'!$G$8:$H$14,2,FALSE),YES_Writing_ELA[#Headers],0))=0,"",INDEX(_xlfn.VSTACK(YES_Writing_ELA[#Data],YES_Writing_FLA[#Data]),MATCH($A290,_xlfn.VSTACK(YES_Writing_ELA[Student Number],YES_Writing_FLA[Student Number]),0),MATCH(VLOOKUP(G$7,'Writing Logic'!$J$7:$K$11,2,FALSE)&amp;" - Per "&amp;VLOOKUP($C$4,'Writing Logic'!$G$8:$H$14,2,FALSE),YES_Writing_ELA[#Headers],0)))="INS",'Writing Logic'!$B$7,IF(INDEX(_xlfn.VSTACK(YES_Writing_ELA[#Data],YES_Writing_FLA[#Data]),MATCH($A290,_xlfn.VSTACK(YES_Writing_ELA[Student Number],YES_Writing_FLA[Student Number]),0),MATCH(VLOOKUP(G$7,'Writing Logic'!$J$7:$K$11,2,FALSE)&amp;" - Per "&amp;VLOOKUP($C$4,'Writing Logic'!$G$8:$H$14,2,FALSE),YES_Writing_ELA[#Headers],0))=0,"",INDEX(_xlfn.VSTACK(YES_Writing_ELA[#Data],YES_Writing_FLA[#Data]),MATCH($A290,_xlfn.VSTACK(YES_Writing_ELA[Student Number],YES_Writing_FLA[Student Number]),0),MATCH(VLOOKUP(G$7,'Writing Logic'!$J$7:$K$11,2,FALSE)&amp;" - Per "&amp;VLOOKUP($C$4,'Writing Logic'!$G$8:$H$14,2,FALSE),YES_Writing_ELA[#Headers],0)))),"")</f>
        <v/>
      </c>
      <c r="H290" s="138" t="str">
        <f>IFERROR(IF(IF(INDEX(_xlfn.VSTACK(YES_Writing_ELA[#Data],YES_Writing_FLA[#Data]),MATCH($A290,_xlfn.VSTACK(YES_Writing_ELA[Student Number],YES_Writing_FLA[Student Number]),0),MATCH(VLOOKUP(H$7,'Writing Logic'!$J$7:$K$11,2,FALSE)&amp;" - Per "&amp;VLOOKUP($C$4,'Writing Logic'!$G$8:$H$14,2,FALSE),YES_Writing_ELA[#Headers],0))=0,"",INDEX(_xlfn.VSTACK(YES_Writing_ELA[#Data],YES_Writing_FLA[#Data]),MATCH($A290,_xlfn.VSTACK(YES_Writing_ELA[Student Number],YES_Writing_FLA[Student Number]),0),MATCH(VLOOKUP(H$7,'Writing Logic'!$J$7:$K$11,2,FALSE)&amp;" - Per "&amp;VLOOKUP($C$4,'Writing Logic'!$G$8:$H$14,2,FALSE),YES_Writing_ELA[#Headers],0)))="INS",'Writing Logic'!$B$7,IF(INDEX(_xlfn.VSTACK(YES_Writing_ELA[#Data],YES_Writing_FLA[#Data]),MATCH($A290,_xlfn.VSTACK(YES_Writing_ELA[Student Number],YES_Writing_FLA[Student Number]),0),MATCH(VLOOKUP(H$7,'Writing Logic'!$J$7:$K$11,2,FALSE)&amp;" - Per "&amp;VLOOKUP($C$4,'Writing Logic'!$G$8:$H$14,2,FALSE),YES_Writing_ELA[#Headers],0))=0,"",INDEX(_xlfn.VSTACK(YES_Writing_ELA[#Data],YES_Writing_FLA[#Data]),MATCH($A290,_xlfn.VSTACK(YES_Writing_ELA[Student Number],YES_Writing_FLA[Student Number]),0),MATCH(VLOOKUP(H$7,'Writing Logic'!$J$7:$K$11,2,FALSE)&amp;" - Per "&amp;VLOOKUP($C$4,'Writing Logic'!$G$8:$H$14,2,FALSE),YES_Writing_ELA[#Headers],0)))),"")</f>
        <v/>
      </c>
    </row>
    <row r="291" spans="1:8" x14ac:dyDescent="0.25">
      <c r="A291" s="137"/>
      <c r="B291" s="137" t="str">
        <f>IFERROR(INDEX(_xlfn.VSTACK(YES_Writing_ELA[#Data], YES_Writing_FLA[#Data]),MATCH($A291,_xlfn.VSTACK(YES_Writing_ELA[Student Number], YES_Writing_FLA[Student Number]),0),MATCH(B$7,YES_Writing_ELA[#Headers],0)),"")</f>
        <v/>
      </c>
      <c r="C291" s="137" t="str">
        <f>IFERROR(INDEX(_xlfn.VSTACK(YES_Writing_ELA[#Data], YES_Writing_FLA[#Data]),MATCH($A291,_xlfn.VSTACK(YES_Writing_ELA[Student Number], YES_Writing_FLA[Student Number]),0),MATCH(C$7,YES_Writing_ELA[#Headers],0)),"")</f>
        <v/>
      </c>
      <c r="D291" s="138" t="str">
        <f>IFERROR(IF(IF(INDEX(_xlfn.VSTACK(YES_Writing_ELA[#Data],YES_Writing_FLA[#Data]),MATCH($A291,_xlfn.VSTACK(YES_Writing_ELA[Student Number],YES_Writing_FLA[Student Number]),0),MATCH(VLOOKUP(D$7,'Writing Logic'!$J$7:$K$11,2,FALSE)&amp;" - Per "&amp;VLOOKUP($C$4,'Writing Logic'!$G$8:$H$14,2,FALSE),YES_Writing_ELA[#Headers],0))=0,"",INDEX(_xlfn.VSTACK(YES_Writing_ELA[#Data],YES_Writing_FLA[#Data]),MATCH($A291,_xlfn.VSTACK(YES_Writing_ELA[Student Number],YES_Writing_FLA[Student Number]),0),MATCH(VLOOKUP(D$7,'Writing Logic'!$J$7:$K$11,2,FALSE)&amp;" - Per "&amp;VLOOKUP($C$4,'Writing Logic'!$G$8:$H$14,2,FALSE),YES_Writing_ELA[#Headers],0)))="INS",'Writing Logic'!$B$7,IF(INDEX(_xlfn.VSTACK(YES_Writing_ELA[#Data],YES_Writing_FLA[#Data]),MATCH($A291,_xlfn.VSTACK(YES_Writing_ELA[Student Number],YES_Writing_FLA[Student Number]),0),MATCH(VLOOKUP(D$7,'Writing Logic'!$J$7:$K$11,2,FALSE)&amp;" - Per "&amp;VLOOKUP($C$4,'Writing Logic'!$G$8:$H$14,2,FALSE),YES_Writing_ELA[#Headers],0))=0,"",INDEX(_xlfn.VSTACK(YES_Writing_ELA[#Data],YES_Writing_FLA[#Data]),MATCH($A291,_xlfn.VSTACK(YES_Writing_ELA[Student Number],YES_Writing_FLA[Student Number]),0),MATCH(VLOOKUP(D$7,'Writing Logic'!$J$7:$K$11,2,FALSE)&amp;" - Per "&amp;VLOOKUP($C$4,'Writing Logic'!$G$8:$H$14,2,FALSE),YES_Writing_ELA[#Headers],0)))),"")</f>
        <v/>
      </c>
      <c r="E291" s="138" t="str">
        <f>IFERROR(IF(IF(INDEX(_xlfn.VSTACK(YES_Writing_ELA[#Data],YES_Writing_FLA[#Data]),MATCH($A291,_xlfn.VSTACK(YES_Writing_ELA[Student Number],YES_Writing_FLA[Student Number]),0),MATCH(VLOOKUP(E$7,'Writing Logic'!$J$7:$K$11,2,FALSE)&amp;" - Per "&amp;VLOOKUP($C$4,'Writing Logic'!$G$8:$H$14,2,FALSE),YES_Writing_ELA[#Headers],0))=0,"",INDEX(_xlfn.VSTACK(YES_Writing_ELA[#Data],YES_Writing_FLA[#Data]),MATCH($A291,_xlfn.VSTACK(YES_Writing_ELA[Student Number],YES_Writing_FLA[Student Number]),0),MATCH(VLOOKUP(E$7,'Writing Logic'!$J$7:$K$11,2,FALSE)&amp;" - Per "&amp;VLOOKUP($C$4,'Writing Logic'!$G$8:$H$14,2,FALSE),YES_Writing_ELA[#Headers],0)))="INS",'Writing Logic'!$B$7,IF(INDEX(_xlfn.VSTACK(YES_Writing_ELA[#Data],YES_Writing_FLA[#Data]),MATCH($A291,_xlfn.VSTACK(YES_Writing_ELA[Student Number],YES_Writing_FLA[Student Number]),0),MATCH(VLOOKUP(E$7,'Writing Logic'!$J$7:$K$11,2,FALSE)&amp;" - Per "&amp;VLOOKUP($C$4,'Writing Logic'!$G$8:$H$14,2,FALSE),YES_Writing_ELA[#Headers],0))=0,"",INDEX(_xlfn.VSTACK(YES_Writing_ELA[#Data],YES_Writing_FLA[#Data]),MATCH($A291,_xlfn.VSTACK(YES_Writing_ELA[Student Number],YES_Writing_FLA[Student Number]),0),MATCH(VLOOKUP(E$7,'Writing Logic'!$J$7:$K$11,2,FALSE)&amp;" - Per "&amp;VLOOKUP($C$4,'Writing Logic'!$G$8:$H$14,2,FALSE),YES_Writing_ELA[#Headers],0)))),"")</f>
        <v/>
      </c>
      <c r="F291" s="138" t="str">
        <f>IFERROR(IF(IF(INDEX(_xlfn.VSTACK(YES_Writing_ELA[#Data],YES_Writing_FLA[#Data]),MATCH($A291,_xlfn.VSTACK(YES_Writing_ELA[Student Number],YES_Writing_FLA[Student Number]),0),MATCH(VLOOKUP(F$7,'Writing Logic'!$J$7:$K$11,2,FALSE)&amp;" - Per "&amp;VLOOKUP($C$4,'Writing Logic'!$G$8:$H$14,2,FALSE),YES_Writing_ELA[#Headers],0))=0,"",INDEX(_xlfn.VSTACK(YES_Writing_ELA[#Data],YES_Writing_FLA[#Data]),MATCH($A291,_xlfn.VSTACK(YES_Writing_ELA[Student Number],YES_Writing_FLA[Student Number]),0),MATCH(VLOOKUP(F$7,'Writing Logic'!$J$7:$K$11,2,FALSE)&amp;" - Per "&amp;VLOOKUP($C$4,'Writing Logic'!$G$8:$H$14,2,FALSE),YES_Writing_ELA[#Headers],0)))="INS",'Writing Logic'!$B$7,IF(INDEX(_xlfn.VSTACK(YES_Writing_ELA[#Data],YES_Writing_FLA[#Data]),MATCH($A291,_xlfn.VSTACK(YES_Writing_ELA[Student Number],YES_Writing_FLA[Student Number]),0),MATCH(VLOOKUP(F$7,'Writing Logic'!$J$7:$K$11,2,FALSE)&amp;" - Per "&amp;VLOOKUP($C$4,'Writing Logic'!$G$8:$H$14,2,FALSE),YES_Writing_ELA[#Headers],0))=0,"",INDEX(_xlfn.VSTACK(YES_Writing_ELA[#Data],YES_Writing_FLA[#Data]),MATCH($A291,_xlfn.VSTACK(YES_Writing_ELA[Student Number],YES_Writing_FLA[Student Number]),0),MATCH(VLOOKUP(F$7,'Writing Logic'!$J$7:$K$11,2,FALSE)&amp;" - Per "&amp;VLOOKUP($C$4,'Writing Logic'!$G$8:$H$14,2,FALSE),YES_Writing_ELA[#Headers],0)))),"")</f>
        <v/>
      </c>
      <c r="G291" s="138" t="str">
        <f>IFERROR(IF(IF(INDEX(_xlfn.VSTACK(YES_Writing_ELA[#Data],YES_Writing_FLA[#Data]),MATCH($A291,_xlfn.VSTACK(YES_Writing_ELA[Student Number],YES_Writing_FLA[Student Number]),0),MATCH(VLOOKUP(G$7,'Writing Logic'!$J$7:$K$11,2,FALSE)&amp;" - Per "&amp;VLOOKUP($C$4,'Writing Logic'!$G$8:$H$14,2,FALSE),YES_Writing_ELA[#Headers],0))=0,"",INDEX(_xlfn.VSTACK(YES_Writing_ELA[#Data],YES_Writing_FLA[#Data]),MATCH($A291,_xlfn.VSTACK(YES_Writing_ELA[Student Number],YES_Writing_FLA[Student Number]),0),MATCH(VLOOKUP(G$7,'Writing Logic'!$J$7:$K$11,2,FALSE)&amp;" - Per "&amp;VLOOKUP($C$4,'Writing Logic'!$G$8:$H$14,2,FALSE),YES_Writing_ELA[#Headers],0)))="INS",'Writing Logic'!$B$7,IF(INDEX(_xlfn.VSTACK(YES_Writing_ELA[#Data],YES_Writing_FLA[#Data]),MATCH($A291,_xlfn.VSTACK(YES_Writing_ELA[Student Number],YES_Writing_FLA[Student Number]),0),MATCH(VLOOKUP(G$7,'Writing Logic'!$J$7:$K$11,2,FALSE)&amp;" - Per "&amp;VLOOKUP($C$4,'Writing Logic'!$G$8:$H$14,2,FALSE),YES_Writing_ELA[#Headers],0))=0,"",INDEX(_xlfn.VSTACK(YES_Writing_ELA[#Data],YES_Writing_FLA[#Data]),MATCH($A291,_xlfn.VSTACK(YES_Writing_ELA[Student Number],YES_Writing_FLA[Student Number]),0),MATCH(VLOOKUP(G$7,'Writing Logic'!$J$7:$K$11,2,FALSE)&amp;" - Per "&amp;VLOOKUP($C$4,'Writing Logic'!$G$8:$H$14,2,FALSE),YES_Writing_ELA[#Headers],0)))),"")</f>
        <v/>
      </c>
      <c r="H291" s="138" t="str">
        <f>IFERROR(IF(IF(INDEX(_xlfn.VSTACK(YES_Writing_ELA[#Data],YES_Writing_FLA[#Data]),MATCH($A291,_xlfn.VSTACK(YES_Writing_ELA[Student Number],YES_Writing_FLA[Student Number]),0),MATCH(VLOOKUP(H$7,'Writing Logic'!$J$7:$K$11,2,FALSE)&amp;" - Per "&amp;VLOOKUP($C$4,'Writing Logic'!$G$8:$H$14,2,FALSE),YES_Writing_ELA[#Headers],0))=0,"",INDEX(_xlfn.VSTACK(YES_Writing_ELA[#Data],YES_Writing_FLA[#Data]),MATCH($A291,_xlfn.VSTACK(YES_Writing_ELA[Student Number],YES_Writing_FLA[Student Number]),0),MATCH(VLOOKUP(H$7,'Writing Logic'!$J$7:$K$11,2,FALSE)&amp;" - Per "&amp;VLOOKUP($C$4,'Writing Logic'!$G$8:$H$14,2,FALSE),YES_Writing_ELA[#Headers],0)))="INS",'Writing Logic'!$B$7,IF(INDEX(_xlfn.VSTACK(YES_Writing_ELA[#Data],YES_Writing_FLA[#Data]),MATCH($A291,_xlfn.VSTACK(YES_Writing_ELA[Student Number],YES_Writing_FLA[Student Number]),0),MATCH(VLOOKUP(H$7,'Writing Logic'!$J$7:$K$11,2,FALSE)&amp;" - Per "&amp;VLOOKUP($C$4,'Writing Logic'!$G$8:$H$14,2,FALSE),YES_Writing_ELA[#Headers],0))=0,"",INDEX(_xlfn.VSTACK(YES_Writing_ELA[#Data],YES_Writing_FLA[#Data]),MATCH($A291,_xlfn.VSTACK(YES_Writing_ELA[Student Number],YES_Writing_FLA[Student Number]),0),MATCH(VLOOKUP(H$7,'Writing Logic'!$J$7:$K$11,2,FALSE)&amp;" - Per "&amp;VLOOKUP($C$4,'Writing Logic'!$G$8:$H$14,2,FALSE),YES_Writing_ELA[#Headers],0)))),"")</f>
        <v/>
      </c>
    </row>
    <row r="292" spans="1:8" x14ac:dyDescent="0.25">
      <c r="A292" s="137"/>
      <c r="B292" s="137" t="str">
        <f>IFERROR(INDEX(_xlfn.VSTACK(YES_Writing_ELA[#Data], YES_Writing_FLA[#Data]),MATCH($A292,_xlfn.VSTACK(YES_Writing_ELA[Student Number], YES_Writing_FLA[Student Number]),0),MATCH(B$7,YES_Writing_ELA[#Headers],0)),"")</f>
        <v/>
      </c>
      <c r="C292" s="137" t="str">
        <f>IFERROR(INDEX(_xlfn.VSTACK(YES_Writing_ELA[#Data], YES_Writing_FLA[#Data]),MATCH($A292,_xlfn.VSTACK(YES_Writing_ELA[Student Number], YES_Writing_FLA[Student Number]),0),MATCH(C$7,YES_Writing_ELA[#Headers],0)),"")</f>
        <v/>
      </c>
      <c r="D292" s="138" t="str">
        <f>IFERROR(IF(IF(INDEX(_xlfn.VSTACK(YES_Writing_ELA[#Data],YES_Writing_FLA[#Data]),MATCH($A292,_xlfn.VSTACK(YES_Writing_ELA[Student Number],YES_Writing_FLA[Student Number]),0),MATCH(VLOOKUP(D$7,'Writing Logic'!$J$7:$K$11,2,FALSE)&amp;" - Per "&amp;VLOOKUP($C$4,'Writing Logic'!$G$8:$H$14,2,FALSE),YES_Writing_ELA[#Headers],0))=0,"",INDEX(_xlfn.VSTACK(YES_Writing_ELA[#Data],YES_Writing_FLA[#Data]),MATCH($A292,_xlfn.VSTACK(YES_Writing_ELA[Student Number],YES_Writing_FLA[Student Number]),0),MATCH(VLOOKUP(D$7,'Writing Logic'!$J$7:$K$11,2,FALSE)&amp;" - Per "&amp;VLOOKUP($C$4,'Writing Logic'!$G$8:$H$14,2,FALSE),YES_Writing_ELA[#Headers],0)))="INS",'Writing Logic'!$B$7,IF(INDEX(_xlfn.VSTACK(YES_Writing_ELA[#Data],YES_Writing_FLA[#Data]),MATCH($A292,_xlfn.VSTACK(YES_Writing_ELA[Student Number],YES_Writing_FLA[Student Number]),0),MATCH(VLOOKUP(D$7,'Writing Logic'!$J$7:$K$11,2,FALSE)&amp;" - Per "&amp;VLOOKUP($C$4,'Writing Logic'!$G$8:$H$14,2,FALSE),YES_Writing_ELA[#Headers],0))=0,"",INDEX(_xlfn.VSTACK(YES_Writing_ELA[#Data],YES_Writing_FLA[#Data]),MATCH($A292,_xlfn.VSTACK(YES_Writing_ELA[Student Number],YES_Writing_FLA[Student Number]),0),MATCH(VLOOKUP(D$7,'Writing Logic'!$J$7:$K$11,2,FALSE)&amp;" - Per "&amp;VLOOKUP($C$4,'Writing Logic'!$G$8:$H$14,2,FALSE),YES_Writing_ELA[#Headers],0)))),"")</f>
        <v/>
      </c>
      <c r="E292" s="138" t="str">
        <f>IFERROR(IF(IF(INDEX(_xlfn.VSTACK(YES_Writing_ELA[#Data],YES_Writing_FLA[#Data]),MATCH($A292,_xlfn.VSTACK(YES_Writing_ELA[Student Number],YES_Writing_FLA[Student Number]),0),MATCH(VLOOKUP(E$7,'Writing Logic'!$J$7:$K$11,2,FALSE)&amp;" - Per "&amp;VLOOKUP($C$4,'Writing Logic'!$G$8:$H$14,2,FALSE),YES_Writing_ELA[#Headers],0))=0,"",INDEX(_xlfn.VSTACK(YES_Writing_ELA[#Data],YES_Writing_FLA[#Data]),MATCH($A292,_xlfn.VSTACK(YES_Writing_ELA[Student Number],YES_Writing_FLA[Student Number]),0),MATCH(VLOOKUP(E$7,'Writing Logic'!$J$7:$K$11,2,FALSE)&amp;" - Per "&amp;VLOOKUP($C$4,'Writing Logic'!$G$8:$H$14,2,FALSE),YES_Writing_ELA[#Headers],0)))="INS",'Writing Logic'!$B$7,IF(INDEX(_xlfn.VSTACK(YES_Writing_ELA[#Data],YES_Writing_FLA[#Data]),MATCH($A292,_xlfn.VSTACK(YES_Writing_ELA[Student Number],YES_Writing_FLA[Student Number]),0),MATCH(VLOOKUP(E$7,'Writing Logic'!$J$7:$K$11,2,FALSE)&amp;" - Per "&amp;VLOOKUP($C$4,'Writing Logic'!$G$8:$H$14,2,FALSE),YES_Writing_ELA[#Headers],0))=0,"",INDEX(_xlfn.VSTACK(YES_Writing_ELA[#Data],YES_Writing_FLA[#Data]),MATCH($A292,_xlfn.VSTACK(YES_Writing_ELA[Student Number],YES_Writing_FLA[Student Number]),0),MATCH(VLOOKUP(E$7,'Writing Logic'!$J$7:$K$11,2,FALSE)&amp;" - Per "&amp;VLOOKUP($C$4,'Writing Logic'!$G$8:$H$14,2,FALSE),YES_Writing_ELA[#Headers],0)))),"")</f>
        <v/>
      </c>
      <c r="F292" s="138" t="str">
        <f>IFERROR(IF(IF(INDEX(_xlfn.VSTACK(YES_Writing_ELA[#Data],YES_Writing_FLA[#Data]),MATCH($A292,_xlfn.VSTACK(YES_Writing_ELA[Student Number],YES_Writing_FLA[Student Number]),0),MATCH(VLOOKUP(F$7,'Writing Logic'!$J$7:$K$11,2,FALSE)&amp;" - Per "&amp;VLOOKUP($C$4,'Writing Logic'!$G$8:$H$14,2,FALSE),YES_Writing_ELA[#Headers],0))=0,"",INDEX(_xlfn.VSTACK(YES_Writing_ELA[#Data],YES_Writing_FLA[#Data]),MATCH($A292,_xlfn.VSTACK(YES_Writing_ELA[Student Number],YES_Writing_FLA[Student Number]),0),MATCH(VLOOKUP(F$7,'Writing Logic'!$J$7:$K$11,2,FALSE)&amp;" - Per "&amp;VLOOKUP($C$4,'Writing Logic'!$G$8:$H$14,2,FALSE),YES_Writing_ELA[#Headers],0)))="INS",'Writing Logic'!$B$7,IF(INDEX(_xlfn.VSTACK(YES_Writing_ELA[#Data],YES_Writing_FLA[#Data]),MATCH($A292,_xlfn.VSTACK(YES_Writing_ELA[Student Number],YES_Writing_FLA[Student Number]),0),MATCH(VLOOKUP(F$7,'Writing Logic'!$J$7:$K$11,2,FALSE)&amp;" - Per "&amp;VLOOKUP($C$4,'Writing Logic'!$G$8:$H$14,2,FALSE),YES_Writing_ELA[#Headers],0))=0,"",INDEX(_xlfn.VSTACK(YES_Writing_ELA[#Data],YES_Writing_FLA[#Data]),MATCH($A292,_xlfn.VSTACK(YES_Writing_ELA[Student Number],YES_Writing_FLA[Student Number]),0),MATCH(VLOOKUP(F$7,'Writing Logic'!$J$7:$K$11,2,FALSE)&amp;" - Per "&amp;VLOOKUP($C$4,'Writing Logic'!$G$8:$H$14,2,FALSE),YES_Writing_ELA[#Headers],0)))),"")</f>
        <v/>
      </c>
      <c r="G292" s="138" t="str">
        <f>IFERROR(IF(IF(INDEX(_xlfn.VSTACK(YES_Writing_ELA[#Data],YES_Writing_FLA[#Data]),MATCH($A292,_xlfn.VSTACK(YES_Writing_ELA[Student Number],YES_Writing_FLA[Student Number]),0),MATCH(VLOOKUP(G$7,'Writing Logic'!$J$7:$K$11,2,FALSE)&amp;" - Per "&amp;VLOOKUP($C$4,'Writing Logic'!$G$8:$H$14,2,FALSE),YES_Writing_ELA[#Headers],0))=0,"",INDEX(_xlfn.VSTACK(YES_Writing_ELA[#Data],YES_Writing_FLA[#Data]),MATCH($A292,_xlfn.VSTACK(YES_Writing_ELA[Student Number],YES_Writing_FLA[Student Number]),0),MATCH(VLOOKUP(G$7,'Writing Logic'!$J$7:$K$11,2,FALSE)&amp;" - Per "&amp;VLOOKUP($C$4,'Writing Logic'!$G$8:$H$14,2,FALSE),YES_Writing_ELA[#Headers],0)))="INS",'Writing Logic'!$B$7,IF(INDEX(_xlfn.VSTACK(YES_Writing_ELA[#Data],YES_Writing_FLA[#Data]),MATCH($A292,_xlfn.VSTACK(YES_Writing_ELA[Student Number],YES_Writing_FLA[Student Number]),0),MATCH(VLOOKUP(G$7,'Writing Logic'!$J$7:$K$11,2,FALSE)&amp;" - Per "&amp;VLOOKUP($C$4,'Writing Logic'!$G$8:$H$14,2,FALSE),YES_Writing_ELA[#Headers],0))=0,"",INDEX(_xlfn.VSTACK(YES_Writing_ELA[#Data],YES_Writing_FLA[#Data]),MATCH($A292,_xlfn.VSTACK(YES_Writing_ELA[Student Number],YES_Writing_FLA[Student Number]),0),MATCH(VLOOKUP(G$7,'Writing Logic'!$J$7:$K$11,2,FALSE)&amp;" - Per "&amp;VLOOKUP($C$4,'Writing Logic'!$G$8:$H$14,2,FALSE),YES_Writing_ELA[#Headers],0)))),"")</f>
        <v/>
      </c>
      <c r="H292" s="138" t="str">
        <f>IFERROR(IF(IF(INDEX(_xlfn.VSTACK(YES_Writing_ELA[#Data],YES_Writing_FLA[#Data]),MATCH($A292,_xlfn.VSTACK(YES_Writing_ELA[Student Number],YES_Writing_FLA[Student Number]),0),MATCH(VLOOKUP(H$7,'Writing Logic'!$J$7:$K$11,2,FALSE)&amp;" - Per "&amp;VLOOKUP($C$4,'Writing Logic'!$G$8:$H$14,2,FALSE),YES_Writing_ELA[#Headers],0))=0,"",INDEX(_xlfn.VSTACK(YES_Writing_ELA[#Data],YES_Writing_FLA[#Data]),MATCH($A292,_xlfn.VSTACK(YES_Writing_ELA[Student Number],YES_Writing_FLA[Student Number]),0),MATCH(VLOOKUP(H$7,'Writing Logic'!$J$7:$K$11,2,FALSE)&amp;" - Per "&amp;VLOOKUP($C$4,'Writing Logic'!$G$8:$H$14,2,FALSE),YES_Writing_ELA[#Headers],0)))="INS",'Writing Logic'!$B$7,IF(INDEX(_xlfn.VSTACK(YES_Writing_ELA[#Data],YES_Writing_FLA[#Data]),MATCH($A292,_xlfn.VSTACK(YES_Writing_ELA[Student Number],YES_Writing_FLA[Student Number]),0),MATCH(VLOOKUP(H$7,'Writing Logic'!$J$7:$K$11,2,FALSE)&amp;" - Per "&amp;VLOOKUP($C$4,'Writing Logic'!$G$8:$H$14,2,FALSE),YES_Writing_ELA[#Headers],0))=0,"",INDEX(_xlfn.VSTACK(YES_Writing_ELA[#Data],YES_Writing_FLA[#Data]),MATCH($A292,_xlfn.VSTACK(YES_Writing_ELA[Student Number],YES_Writing_FLA[Student Number]),0),MATCH(VLOOKUP(H$7,'Writing Logic'!$J$7:$K$11,2,FALSE)&amp;" - Per "&amp;VLOOKUP($C$4,'Writing Logic'!$G$8:$H$14,2,FALSE),YES_Writing_ELA[#Headers],0)))),"")</f>
        <v/>
      </c>
    </row>
    <row r="293" spans="1:8" x14ac:dyDescent="0.25">
      <c r="A293" s="137"/>
      <c r="B293" s="137" t="str">
        <f>IFERROR(INDEX(_xlfn.VSTACK(YES_Writing_ELA[#Data], YES_Writing_FLA[#Data]),MATCH($A293,_xlfn.VSTACK(YES_Writing_ELA[Student Number], YES_Writing_FLA[Student Number]),0),MATCH(B$7,YES_Writing_ELA[#Headers],0)),"")</f>
        <v/>
      </c>
      <c r="C293" s="137" t="str">
        <f>IFERROR(INDEX(_xlfn.VSTACK(YES_Writing_ELA[#Data], YES_Writing_FLA[#Data]),MATCH($A293,_xlfn.VSTACK(YES_Writing_ELA[Student Number], YES_Writing_FLA[Student Number]),0),MATCH(C$7,YES_Writing_ELA[#Headers],0)),"")</f>
        <v/>
      </c>
      <c r="D293" s="138" t="str">
        <f>IFERROR(IF(IF(INDEX(_xlfn.VSTACK(YES_Writing_ELA[#Data],YES_Writing_FLA[#Data]),MATCH($A293,_xlfn.VSTACK(YES_Writing_ELA[Student Number],YES_Writing_FLA[Student Number]),0),MATCH(VLOOKUP(D$7,'Writing Logic'!$J$7:$K$11,2,FALSE)&amp;" - Per "&amp;VLOOKUP($C$4,'Writing Logic'!$G$8:$H$14,2,FALSE),YES_Writing_ELA[#Headers],0))=0,"",INDEX(_xlfn.VSTACK(YES_Writing_ELA[#Data],YES_Writing_FLA[#Data]),MATCH($A293,_xlfn.VSTACK(YES_Writing_ELA[Student Number],YES_Writing_FLA[Student Number]),0),MATCH(VLOOKUP(D$7,'Writing Logic'!$J$7:$K$11,2,FALSE)&amp;" - Per "&amp;VLOOKUP($C$4,'Writing Logic'!$G$8:$H$14,2,FALSE),YES_Writing_ELA[#Headers],0)))="INS",'Writing Logic'!$B$7,IF(INDEX(_xlfn.VSTACK(YES_Writing_ELA[#Data],YES_Writing_FLA[#Data]),MATCH($A293,_xlfn.VSTACK(YES_Writing_ELA[Student Number],YES_Writing_FLA[Student Number]),0),MATCH(VLOOKUP(D$7,'Writing Logic'!$J$7:$K$11,2,FALSE)&amp;" - Per "&amp;VLOOKUP($C$4,'Writing Logic'!$G$8:$H$14,2,FALSE),YES_Writing_ELA[#Headers],0))=0,"",INDEX(_xlfn.VSTACK(YES_Writing_ELA[#Data],YES_Writing_FLA[#Data]),MATCH($A293,_xlfn.VSTACK(YES_Writing_ELA[Student Number],YES_Writing_FLA[Student Number]),0),MATCH(VLOOKUP(D$7,'Writing Logic'!$J$7:$K$11,2,FALSE)&amp;" - Per "&amp;VLOOKUP($C$4,'Writing Logic'!$G$8:$H$14,2,FALSE),YES_Writing_ELA[#Headers],0)))),"")</f>
        <v/>
      </c>
      <c r="E293" s="138" t="str">
        <f>IFERROR(IF(IF(INDEX(_xlfn.VSTACK(YES_Writing_ELA[#Data],YES_Writing_FLA[#Data]),MATCH($A293,_xlfn.VSTACK(YES_Writing_ELA[Student Number],YES_Writing_FLA[Student Number]),0),MATCH(VLOOKUP(E$7,'Writing Logic'!$J$7:$K$11,2,FALSE)&amp;" - Per "&amp;VLOOKUP($C$4,'Writing Logic'!$G$8:$H$14,2,FALSE),YES_Writing_ELA[#Headers],0))=0,"",INDEX(_xlfn.VSTACK(YES_Writing_ELA[#Data],YES_Writing_FLA[#Data]),MATCH($A293,_xlfn.VSTACK(YES_Writing_ELA[Student Number],YES_Writing_FLA[Student Number]),0),MATCH(VLOOKUP(E$7,'Writing Logic'!$J$7:$K$11,2,FALSE)&amp;" - Per "&amp;VLOOKUP($C$4,'Writing Logic'!$G$8:$H$14,2,FALSE),YES_Writing_ELA[#Headers],0)))="INS",'Writing Logic'!$B$7,IF(INDEX(_xlfn.VSTACK(YES_Writing_ELA[#Data],YES_Writing_FLA[#Data]),MATCH($A293,_xlfn.VSTACK(YES_Writing_ELA[Student Number],YES_Writing_FLA[Student Number]),0),MATCH(VLOOKUP(E$7,'Writing Logic'!$J$7:$K$11,2,FALSE)&amp;" - Per "&amp;VLOOKUP($C$4,'Writing Logic'!$G$8:$H$14,2,FALSE),YES_Writing_ELA[#Headers],0))=0,"",INDEX(_xlfn.VSTACK(YES_Writing_ELA[#Data],YES_Writing_FLA[#Data]),MATCH($A293,_xlfn.VSTACK(YES_Writing_ELA[Student Number],YES_Writing_FLA[Student Number]),0),MATCH(VLOOKUP(E$7,'Writing Logic'!$J$7:$K$11,2,FALSE)&amp;" - Per "&amp;VLOOKUP($C$4,'Writing Logic'!$G$8:$H$14,2,FALSE),YES_Writing_ELA[#Headers],0)))),"")</f>
        <v/>
      </c>
      <c r="F293" s="138" t="str">
        <f>IFERROR(IF(IF(INDEX(_xlfn.VSTACK(YES_Writing_ELA[#Data],YES_Writing_FLA[#Data]),MATCH($A293,_xlfn.VSTACK(YES_Writing_ELA[Student Number],YES_Writing_FLA[Student Number]),0),MATCH(VLOOKUP(F$7,'Writing Logic'!$J$7:$K$11,2,FALSE)&amp;" - Per "&amp;VLOOKUP($C$4,'Writing Logic'!$G$8:$H$14,2,FALSE),YES_Writing_ELA[#Headers],0))=0,"",INDEX(_xlfn.VSTACK(YES_Writing_ELA[#Data],YES_Writing_FLA[#Data]),MATCH($A293,_xlfn.VSTACK(YES_Writing_ELA[Student Number],YES_Writing_FLA[Student Number]),0),MATCH(VLOOKUP(F$7,'Writing Logic'!$J$7:$K$11,2,FALSE)&amp;" - Per "&amp;VLOOKUP($C$4,'Writing Logic'!$G$8:$H$14,2,FALSE),YES_Writing_ELA[#Headers],0)))="INS",'Writing Logic'!$B$7,IF(INDEX(_xlfn.VSTACK(YES_Writing_ELA[#Data],YES_Writing_FLA[#Data]),MATCH($A293,_xlfn.VSTACK(YES_Writing_ELA[Student Number],YES_Writing_FLA[Student Number]),0),MATCH(VLOOKUP(F$7,'Writing Logic'!$J$7:$K$11,2,FALSE)&amp;" - Per "&amp;VLOOKUP($C$4,'Writing Logic'!$G$8:$H$14,2,FALSE),YES_Writing_ELA[#Headers],0))=0,"",INDEX(_xlfn.VSTACK(YES_Writing_ELA[#Data],YES_Writing_FLA[#Data]),MATCH($A293,_xlfn.VSTACK(YES_Writing_ELA[Student Number],YES_Writing_FLA[Student Number]),0),MATCH(VLOOKUP(F$7,'Writing Logic'!$J$7:$K$11,2,FALSE)&amp;" - Per "&amp;VLOOKUP($C$4,'Writing Logic'!$G$8:$H$14,2,FALSE),YES_Writing_ELA[#Headers],0)))),"")</f>
        <v/>
      </c>
      <c r="G293" s="138" t="str">
        <f>IFERROR(IF(IF(INDEX(_xlfn.VSTACK(YES_Writing_ELA[#Data],YES_Writing_FLA[#Data]),MATCH($A293,_xlfn.VSTACK(YES_Writing_ELA[Student Number],YES_Writing_FLA[Student Number]),0),MATCH(VLOOKUP(G$7,'Writing Logic'!$J$7:$K$11,2,FALSE)&amp;" - Per "&amp;VLOOKUP($C$4,'Writing Logic'!$G$8:$H$14,2,FALSE),YES_Writing_ELA[#Headers],0))=0,"",INDEX(_xlfn.VSTACK(YES_Writing_ELA[#Data],YES_Writing_FLA[#Data]),MATCH($A293,_xlfn.VSTACK(YES_Writing_ELA[Student Number],YES_Writing_FLA[Student Number]),0),MATCH(VLOOKUP(G$7,'Writing Logic'!$J$7:$K$11,2,FALSE)&amp;" - Per "&amp;VLOOKUP($C$4,'Writing Logic'!$G$8:$H$14,2,FALSE),YES_Writing_ELA[#Headers],0)))="INS",'Writing Logic'!$B$7,IF(INDEX(_xlfn.VSTACK(YES_Writing_ELA[#Data],YES_Writing_FLA[#Data]),MATCH($A293,_xlfn.VSTACK(YES_Writing_ELA[Student Number],YES_Writing_FLA[Student Number]),0),MATCH(VLOOKUP(G$7,'Writing Logic'!$J$7:$K$11,2,FALSE)&amp;" - Per "&amp;VLOOKUP($C$4,'Writing Logic'!$G$8:$H$14,2,FALSE),YES_Writing_ELA[#Headers],0))=0,"",INDEX(_xlfn.VSTACK(YES_Writing_ELA[#Data],YES_Writing_FLA[#Data]),MATCH($A293,_xlfn.VSTACK(YES_Writing_ELA[Student Number],YES_Writing_FLA[Student Number]),0),MATCH(VLOOKUP(G$7,'Writing Logic'!$J$7:$K$11,2,FALSE)&amp;" - Per "&amp;VLOOKUP($C$4,'Writing Logic'!$G$8:$H$14,2,FALSE),YES_Writing_ELA[#Headers],0)))),"")</f>
        <v/>
      </c>
      <c r="H293" s="138" t="str">
        <f>IFERROR(IF(IF(INDEX(_xlfn.VSTACK(YES_Writing_ELA[#Data],YES_Writing_FLA[#Data]),MATCH($A293,_xlfn.VSTACK(YES_Writing_ELA[Student Number],YES_Writing_FLA[Student Number]),0),MATCH(VLOOKUP(H$7,'Writing Logic'!$J$7:$K$11,2,FALSE)&amp;" - Per "&amp;VLOOKUP($C$4,'Writing Logic'!$G$8:$H$14,2,FALSE),YES_Writing_ELA[#Headers],0))=0,"",INDEX(_xlfn.VSTACK(YES_Writing_ELA[#Data],YES_Writing_FLA[#Data]),MATCH($A293,_xlfn.VSTACK(YES_Writing_ELA[Student Number],YES_Writing_FLA[Student Number]),0),MATCH(VLOOKUP(H$7,'Writing Logic'!$J$7:$K$11,2,FALSE)&amp;" - Per "&amp;VLOOKUP($C$4,'Writing Logic'!$G$8:$H$14,2,FALSE),YES_Writing_ELA[#Headers],0)))="INS",'Writing Logic'!$B$7,IF(INDEX(_xlfn.VSTACK(YES_Writing_ELA[#Data],YES_Writing_FLA[#Data]),MATCH($A293,_xlfn.VSTACK(YES_Writing_ELA[Student Number],YES_Writing_FLA[Student Number]),0),MATCH(VLOOKUP(H$7,'Writing Logic'!$J$7:$K$11,2,FALSE)&amp;" - Per "&amp;VLOOKUP($C$4,'Writing Logic'!$G$8:$H$14,2,FALSE),YES_Writing_ELA[#Headers],0))=0,"",INDEX(_xlfn.VSTACK(YES_Writing_ELA[#Data],YES_Writing_FLA[#Data]),MATCH($A293,_xlfn.VSTACK(YES_Writing_ELA[Student Number],YES_Writing_FLA[Student Number]),0),MATCH(VLOOKUP(H$7,'Writing Logic'!$J$7:$K$11,2,FALSE)&amp;" - Per "&amp;VLOOKUP($C$4,'Writing Logic'!$G$8:$H$14,2,FALSE),YES_Writing_ELA[#Headers],0)))),"")</f>
        <v/>
      </c>
    </row>
    <row r="294" spans="1:8" x14ac:dyDescent="0.25">
      <c r="A294" s="137"/>
      <c r="B294" s="137" t="str">
        <f>IFERROR(INDEX(_xlfn.VSTACK(YES_Writing_ELA[#Data], YES_Writing_FLA[#Data]),MATCH($A294,_xlfn.VSTACK(YES_Writing_ELA[Student Number], YES_Writing_FLA[Student Number]),0),MATCH(B$7,YES_Writing_ELA[#Headers],0)),"")</f>
        <v/>
      </c>
      <c r="C294" s="137" t="str">
        <f>IFERROR(INDEX(_xlfn.VSTACK(YES_Writing_ELA[#Data], YES_Writing_FLA[#Data]),MATCH($A294,_xlfn.VSTACK(YES_Writing_ELA[Student Number], YES_Writing_FLA[Student Number]),0),MATCH(C$7,YES_Writing_ELA[#Headers],0)),"")</f>
        <v/>
      </c>
      <c r="D294" s="138" t="str">
        <f>IFERROR(IF(IF(INDEX(_xlfn.VSTACK(YES_Writing_ELA[#Data],YES_Writing_FLA[#Data]),MATCH($A294,_xlfn.VSTACK(YES_Writing_ELA[Student Number],YES_Writing_FLA[Student Number]),0),MATCH(VLOOKUP(D$7,'Writing Logic'!$J$7:$K$11,2,FALSE)&amp;" - Per "&amp;VLOOKUP($C$4,'Writing Logic'!$G$8:$H$14,2,FALSE),YES_Writing_ELA[#Headers],0))=0,"",INDEX(_xlfn.VSTACK(YES_Writing_ELA[#Data],YES_Writing_FLA[#Data]),MATCH($A294,_xlfn.VSTACK(YES_Writing_ELA[Student Number],YES_Writing_FLA[Student Number]),0),MATCH(VLOOKUP(D$7,'Writing Logic'!$J$7:$K$11,2,FALSE)&amp;" - Per "&amp;VLOOKUP($C$4,'Writing Logic'!$G$8:$H$14,2,FALSE),YES_Writing_ELA[#Headers],0)))="INS",'Writing Logic'!$B$7,IF(INDEX(_xlfn.VSTACK(YES_Writing_ELA[#Data],YES_Writing_FLA[#Data]),MATCH($A294,_xlfn.VSTACK(YES_Writing_ELA[Student Number],YES_Writing_FLA[Student Number]),0),MATCH(VLOOKUP(D$7,'Writing Logic'!$J$7:$K$11,2,FALSE)&amp;" - Per "&amp;VLOOKUP($C$4,'Writing Logic'!$G$8:$H$14,2,FALSE),YES_Writing_ELA[#Headers],0))=0,"",INDEX(_xlfn.VSTACK(YES_Writing_ELA[#Data],YES_Writing_FLA[#Data]),MATCH($A294,_xlfn.VSTACK(YES_Writing_ELA[Student Number],YES_Writing_FLA[Student Number]),0),MATCH(VLOOKUP(D$7,'Writing Logic'!$J$7:$K$11,2,FALSE)&amp;" - Per "&amp;VLOOKUP($C$4,'Writing Logic'!$G$8:$H$14,2,FALSE),YES_Writing_ELA[#Headers],0)))),"")</f>
        <v/>
      </c>
      <c r="E294" s="138" t="str">
        <f>IFERROR(IF(IF(INDEX(_xlfn.VSTACK(YES_Writing_ELA[#Data],YES_Writing_FLA[#Data]),MATCH($A294,_xlfn.VSTACK(YES_Writing_ELA[Student Number],YES_Writing_FLA[Student Number]),0),MATCH(VLOOKUP(E$7,'Writing Logic'!$J$7:$K$11,2,FALSE)&amp;" - Per "&amp;VLOOKUP($C$4,'Writing Logic'!$G$8:$H$14,2,FALSE),YES_Writing_ELA[#Headers],0))=0,"",INDEX(_xlfn.VSTACK(YES_Writing_ELA[#Data],YES_Writing_FLA[#Data]),MATCH($A294,_xlfn.VSTACK(YES_Writing_ELA[Student Number],YES_Writing_FLA[Student Number]),0),MATCH(VLOOKUP(E$7,'Writing Logic'!$J$7:$K$11,2,FALSE)&amp;" - Per "&amp;VLOOKUP($C$4,'Writing Logic'!$G$8:$H$14,2,FALSE),YES_Writing_ELA[#Headers],0)))="INS",'Writing Logic'!$B$7,IF(INDEX(_xlfn.VSTACK(YES_Writing_ELA[#Data],YES_Writing_FLA[#Data]),MATCH($A294,_xlfn.VSTACK(YES_Writing_ELA[Student Number],YES_Writing_FLA[Student Number]),0),MATCH(VLOOKUP(E$7,'Writing Logic'!$J$7:$K$11,2,FALSE)&amp;" - Per "&amp;VLOOKUP($C$4,'Writing Logic'!$G$8:$H$14,2,FALSE),YES_Writing_ELA[#Headers],0))=0,"",INDEX(_xlfn.VSTACK(YES_Writing_ELA[#Data],YES_Writing_FLA[#Data]),MATCH($A294,_xlfn.VSTACK(YES_Writing_ELA[Student Number],YES_Writing_FLA[Student Number]),0),MATCH(VLOOKUP(E$7,'Writing Logic'!$J$7:$K$11,2,FALSE)&amp;" - Per "&amp;VLOOKUP($C$4,'Writing Logic'!$G$8:$H$14,2,FALSE),YES_Writing_ELA[#Headers],0)))),"")</f>
        <v/>
      </c>
      <c r="F294" s="138" t="str">
        <f>IFERROR(IF(IF(INDEX(_xlfn.VSTACK(YES_Writing_ELA[#Data],YES_Writing_FLA[#Data]),MATCH($A294,_xlfn.VSTACK(YES_Writing_ELA[Student Number],YES_Writing_FLA[Student Number]),0),MATCH(VLOOKUP(F$7,'Writing Logic'!$J$7:$K$11,2,FALSE)&amp;" - Per "&amp;VLOOKUP($C$4,'Writing Logic'!$G$8:$H$14,2,FALSE),YES_Writing_ELA[#Headers],0))=0,"",INDEX(_xlfn.VSTACK(YES_Writing_ELA[#Data],YES_Writing_FLA[#Data]),MATCH($A294,_xlfn.VSTACK(YES_Writing_ELA[Student Number],YES_Writing_FLA[Student Number]),0),MATCH(VLOOKUP(F$7,'Writing Logic'!$J$7:$K$11,2,FALSE)&amp;" - Per "&amp;VLOOKUP($C$4,'Writing Logic'!$G$8:$H$14,2,FALSE),YES_Writing_ELA[#Headers],0)))="INS",'Writing Logic'!$B$7,IF(INDEX(_xlfn.VSTACK(YES_Writing_ELA[#Data],YES_Writing_FLA[#Data]),MATCH($A294,_xlfn.VSTACK(YES_Writing_ELA[Student Number],YES_Writing_FLA[Student Number]),0),MATCH(VLOOKUP(F$7,'Writing Logic'!$J$7:$K$11,2,FALSE)&amp;" - Per "&amp;VLOOKUP($C$4,'Writing Logic'!$G$8:$H$14,2,FALSE),YES_Writing_ELA[#Headers],0))=0,"",INDEX(_xlfn.VSTACK(YES_Writing_ELA[#Data],YES_Writing_FLA[#Data]),MATCH($A294,_xlfn.VSTACK(YES_Writing_ELA[Student Number],YES_Writing_FLA[Student Number]),0),MATCH(VLOOKUP(F$7,'Writing Logic'!$J$7:$K$11,2,FALSE)&amp;" - Per "&amp;VLOOKUP($C$4,'Writing Logic'!$G$8:$H$14,2,FALSE),YES_Writing_ELA[#Headers],0)))),"")</f>
        <v/>
      </c>
      <c r="G294" s="138" t="str">
        <f>IFERROR(IF(IF(INDEX(_xlfn.VSTACK(YES_Writing_ELA[#Data],YES_Writing_FLA[#Data]),MATCH($A294,_xlfn.VSTACK(YES_Writing_ELA[Student Number],YES_Writing_FLA[Student Number]),0),MATCH(VLOOKUP(G$7,'Writing Logic'!$J$7:$K$11,2,FALSE)&amp;" - Per "&amp;VLOOKUP($C$4,'Writing Logic'!$G$8:$H$14,2,FALSE),YES_Writing_ELA[#Headers],0))=0,"",INDEX(_xlfn.VSTACK(YES_Writing_ELA[#Data],YES_Writing_FLA[#Data]),MATCH($A294,_xlfn.VSTACK(YES_Writing_ELA[Student Number],YES_Writing_FLA[Student Number]),0),MATCH(VLOOKUP(G$7,'Writing Logic'!$J$7:$K$11,2,FALSE)&amp;" - Per "&amp;VLOOKUP($C$4,'Writing Logic'!$G$8:$H$14,2,FALSE),YES_Writing_ELA[#Headers],0)))="INS",'Writing Logic'!$B$7,IF(INDEX(_xlfn.VSTACK(YES_Writing_ELA[#Data],YES_Writing_FLA[#Data]),MATCH($A294,_xlfn.VSTACK(YES_Writing_ELA[Student Number],YES_Writing_FLA[Student Number]),0),MATCH(VLOOKUP(G$7,'Writing Logic'!$J$7:$K$11,2,FALSE)&amp;" - Per "&amp;VLOOKUP($C$4,'Writing Logic'!$G$8:$H$14,2,FALSE),YES_Writing_ELA[#Headers],0))=0,"",INDEX(_xlfn.VSTACK(YES_Writing_ELA[#Data],YES_Writing_FLA[#Data]),MATCH($A294,_xlfn.VSTACK(YES_Writing_ELA[Student Number],YES_Writing_FLA[Student Number]),0),MATCH(VLOOKUP(G$7,'Writing Logic'!$J$7:$K$11,2,FALSE)&amp;" - Per "&amp;VLOOKUP($C$4,'Writing Logic'!$G$8:$H$14,2,FALSE),YES_Writing_ELA[#Headers],0)))),"")</f>
        <v/>
      </c>
      <c r="H294" s="138" t="str">
        <f>IFERROR(IF(IF(INDEX(_xlfn.VSTACK(YES_Writing_ELA[#Data],YES_Writing_FLA[#Data]),MATCH($A294,_xlfn.VSTACK(YES_Writing_ELA[Student Number],YES_Writing_FLA[Student Number]),0),MATCH(VLOOKUP(H$7,'Writing Logic'!$J$7:$K$11,2,FALSE)&amp;" - Per "&amp;VLOOKUP($C$4,'Writing Logic'!$G$8:$H$14,2,FALSE),YES_Writing_ELA[#Headers],0))=0,"",INDEX(_xlfn.VSTACK(YES_Writing_ELA[#Data],YES_Writing_FLA[#Data]),MATCH($A294,_xlfn.VSTACK(YES_Writing_ELA[Student Number],YES_Writing_FLA[Student Number]),0),MATCH(VLOOKUP(H$7,'Writing Logic'!$J$7:$K$11,2,FALSE)&amp;" - Per "&amp;VLOOKUP($C$4,'Writing Logic'!$G$8:$H$14,2,FALSE),YES_Writing_ELA[#Headers],0)))="INS",'Writing Logic'!$B$7,IF(INDEX(_xlfn.VSTACK(YES_Writing_ELA[#Data],YES_Writing_FLA[#Data]),MATCH($A294,_xlfn.VSTACK(YES_Writing_ELA[Student Number],YES_Writing_FLA[Student Number]),0),MATCH(VLOOKUP(H$7,'Writing Logic'!$J$7:$K$11,2,FALSE)&amp;" - Per "&amp;VLOOKUP($C$4,'Writing Logic'!$G$8:$H$14,2,FALSE),YES_Writing_ELA[#Headers],0))=0,"",INDEX(_xlfn.VSTACK(YES_Writing_ELA[#Data],YES_Writing_FLA[#Data]),MATCH($A294,_xlfn.VSTACK(YES_Writing_ELA[Student Number],YES_Writing_FLA[Student Number]),0),MATCH(VLOOKUP(H$7,'Writing Logic'!$J$7:$K$11,2,FALSE)&amp;" - Per "&amp;VLOOKUP($C$4,'Writing Logic'!$G$8:$H$14,2,FALSE),YES_Writing_ELA[#Headers],0)))),"")</f>
        <v/>
      </c>
    </row>
    <row r="295" spans="1:8" x14ac:dyDescent="0.25">
      <c r="A295" s="137"/>
      <c r="B295" s="137" t="str">
        <f>IFERROR(INDEX(_xlfn.VSTACK(YES_Writing_ELA[#Data], YES_Writing_FLA[#Data]),MATCH($A295,_xlfn.VSTACK(YES_Writing_ELA[Student Number], YES_Writing_FLA[Student Number]),0),MATCH(B$7,YES_Writing_ELA[#Headers],0)),"")</f>
        <v/>
      </c>
      <c r="C295" s="137" t="str">
        <f>IFERROR(INDEX(_xlfn.VSTACK(YES_Writing_ELA[#Data], YES_Writing_FLA[#Data]),MATCH($A295,_xlfn.VSTACK(YES_Writing_ELA[Student Number], YES_Writing_FLA[Student Number]),0),MATCH(C$7,YES_Writing_ELA[#Headers],0)),"")</f>
        <v/>
      </c>
      <c r="D295" s="138" t="str">
        <f>IFERROR(IF(IF(INDEX(_xlfn.VSTACK(YES_Writing_ELA[#Data],YES_Writing_FLA[#Data]),MATCH($A295,_xlfn.VSTACK(YES_Writing_ELA[Student Number],YES_Writing_FLA[Student Number]),0),MATCH(VLOOKUP(D$7,'Writing Logic'!$J$7:$K$11,2,FALSE)&amp;" - Per "&amp;VLOOKUP($C$4,'Writing Logic'!$G$8:$H$14,2,FALSE),YES_Writing_ELA[#Headers],0))=0,"",INDEX(_xlfn.VSTACK(YES_Writing_ELA[#Data],YES_Writing_FLA[#Data]),MATCH($A295,_xlfn.VSTACK(YES_Writing_ELA[Student Number],YES_Writing_FLA[Student Number]),0),MATCH(VLOOKUP(D$7,'Writing Logic'!$J$7:$K$11,2,FALSE)&amp;" - Per "&amp;VLOOKUP($C$4,'Writing Logic'!$G$8:$H$14,2,FALSE),YES_Writing_ELA[#Headers],0)))="INS",'Writing Logic'!$B$7,IF(INDEX(_xlfn.VSTACK(YES_Writing_ELA[#Data],YES_Writing_FLA[#Data]),MATCH($A295,_xlfn.VSTACK(YES_Writing_ELA[Student Number],YES_Writing_FLA[Student Number]),0),MATCH(VLOOKUP(D$7,'Writing Logic'!$J$7:$K$11,2,FALSE)&amp;" - Per "&amp;VLOOKUP($C$4,'Writing Logic'!$G$8:$H$14,2,FALSE),YES_Writing_ELA[#Headers],0))=0,"",INDEX(_xlfn.VSTACK(YES_Writing_ELA[#Data],YES_Writing_FLA[#Data]),MATCH($A295,_xlfn.VSTACK(YES_Writing_ELA[Student Number],YES_Writing_FLA[Student Number]),0),MATCH(VLOOKUP(D$7,'Writing Logic'!$J$7:$K$11,2,FALSE)&amp;" - Per "&amp;VLOOKUP($C$4,'Writing Logic'!$G$8:$H$14,2,FALSE),YES_Writing_ELA[#Headers],0)))),"")</f>
        <v/>
      </c>
      <c r="E295" s="138" t="str">
        <f>IFERROR(IF(IF(INDEX(_xlfn.VSTACK(YES_Writing_ELA[#Data],YES_Writing_FLA[#Data]),MATCH($A295,_xlfn.VSTACK(YES_Writing_ELA[Student Number],YES_Writing_FLA[Student Number]),0),MATCH(VLOOKUP(E$7,'Writing Logic'!$J$7:$K$11,2,FALSE)&amp;" - Per "&amp;VLOOKUP($C$4,'Writing Logic'!$G$8:$H$14,2,FALSE),YES_Writing_ELA[#Headers],0))=0,"",INDEX(_xlfn.VSTACK(YES_Writing_ELA[#Data],YES_Writing_FLA[#Data]),MATCH($A295,_xlfn.VSTACK(YES_Writing_ELA[Student Number],YES_Writing_FLA[Student Number]),0),MATCH(VLOOKUP(E$7,'Writing Logic'!$J$7:$K$11,2,FALSE)&amp;" - Per "&amp;VLOOKUP($C$4,'Writing Logic'!$G$8:$H$14,2,FALSE),YES_Writing_ELA[#Headers],0)))="INS",'Writing Logic'!$B$7,IF(INDEX(_xlfn.VSTACK(YES_Writing_ELA[#Data],YES_Writing_FLA[#Data]),MATCH($A295,_xlfn.VSTACK(YES_Writing_ELA[Student Number],YES_Writing_FLA[Student Number]),0),MATCH(VLOOKUP(E$7,'Writing Logic'!$J$7:$K$11,2,FALSE)&amp;" - Per "&amp;VLOOKUP($C$4,'Writing Logic'!$G$8:$H$14,2,FALSE),YES_Writing_ELA[#Headers],0))=0,"",INDEX(_xlfn.VSTACK(YES_Writing_ELA[#Data],YES_Writing_FLA[#Data]),MATCH($A295,_xlfn.VSTACK(YES_Writing_ELA[Student Number],YES_Writing_FLA[Student Number]),0),MATCH(VLOOKUP(E$7,'Writing Logic'!$J$7:$K$11,2,FALSE)&amp;" - Per "&amp;VLOOKUP($C$4,'Writing Logic'!$G$8:$H$14,2,FALSE),YES_Writing_ELA[#Headers],0)))),"")</f>
        <v/>
      </c>
      <c r="F295" s="138" t="str">
        <f>IFERROR(IF(IF(INDEX(_xlfn.VSTACK(YES_Writing_ELA[#Data],YES_Writing_FLA[#Data]),MATCH($A295,_xlfn.VSTACK(YES_Writing_ELA[Student Number],YES_Writing_FLA[Student Number]),0),MATCH(VLOOKUP(F$7,'Writing Logic'!$J$7:$K$11,2,FALSE)&amp;" - Per "&amp;VLOOKUP($C$4,'Writing Logic'!$G$8:$H$14,2,FALSE),YES_Writing_ELA[#Headers],0))=0,"",INDEX(_xlfn.VSTACK(YES_Writing_ELA[#Data],YES_Writing_FLA[#Data]),MATCH($A295,_xlfn.VSTACK(YES_Writing_ELA[Student Number],YES_Writing_FLA[Student Number]),0),MATCH(VLOOKUP(F$7,'Writing Logic'!$J$7:$K$11,2,FALSE)&amp;" - Per "&amp;VLOOKUP($C$4,'Writing Logic'!$G$8:$H$14,2,FALSE),YES_Writing_ELA[#Headers],0)))="INS",'Writing Logic'!$B$7,IF(INDEX(_xlfn.VSTACK(YES_Writing_ELA[#Data],YES_Writing_FLA[#Data]),MATCH($A295,_xlfn.VSTACK(YES_Writing_ELA[Student Number],YES_Writing_FLA[Student Number]),0),MATCH(VLOOKUP(F$7,'Writing Logic'!$J$7:$K$11,2,FALSE)&amp;" - Per "&amp;VLOOKUP($C$4,'Writing Logic'!$G$8:$H$14,2,FALSE),YES_Writing_ELA[#Headers],0))=0,"",INDEX(_xlfn.VSTACK(YES_Writing_ELA[#Data],YES_Writing_FLA[#Data]),MATCH($A295,_xlfn.VSTACK(YES_Writing_ELA[Student Number],YES_Writing_FLA[Student Number]),0),MATCH(VLOOKUP(F$7,'Writing Logic'!$J$7:$K$11,2,FALSE)&amp;" - Per "&amp;VLOOKUP($C$4,'Writing Logic'!$G$8:$H$14,2,FALSE),YES_Writing_ELA[#Headers],0)))),"")</f>
        <v/>
      </c>
      <c r="G295" s="138" t="str">
        <f>IFERROR(IF(IF(INDEX(_xlfn.VSTACK(YES_Writing_ELA[#Data],YES_Writing_FLA[#Data]),MATCH($A295,_xlfn.VSTACK(YES_Writing_ELA[Student Number],YES_Writing_FLA[Student Number]),0),MATCH(VLOOKUP(G$7,'Writing Logic'!$J$7:$K$11,2,FALSE)&amp;" - Per "&amp;VLOOKUP($C$4,'Writing Logic'!$G$8:$H$14,2,FALSE),YES_Writing_ELA[#Headers],0))=0,"",INDEX(_xlfn.VSTACK(YES_Writing_ELA[#Data],YES_Writing_FLA[#Data]),MATCH($A295,_xlfn.VSTACK(YES_Writing_ELA[Student Number],YES_Writing_FLA[Student Number]),0),MATCH(VLOOKUP(G$7,'Writing Logic'!$J$7:$K$11,2,FALSE)&amp;" - Per "&amp;VLOOKUP($C$4,'Writing Logic'!$G$8:$H$14,2,FALSE),YES_Writing_ELA[#Headers],0)))="INS",'Writing Logic'!$B$7,IF(INDEX(_xlfn.VSTACK(YES_Writing_ELA[#Data],YES_Writing_FLA[#Data]),MATCH($A295,_xlfn.VSTACK(YES_Writing_ELA[Student Number],YES_Writing_FLA[Student Number]),0),MATCH(VLOOKUP(G$7,'Writing Logic'!$J$7:$K$11,2,FALSE)&amp;" - Per "&amp;VLOOKUP($C$4,'Writing Logic'!$G$8:$H$14,2,FALSE),YES_Writing_ELA[#Headers],0))=0,"",INDEX(_xlfn.VSTACK(YES_Writing_ELA[#Data],YES_Writing_FLA[#Data]),MATCH($A295,_xlfn.VSTACK(YES_Writing_ELA[Student Number],YES_Writing_FLA[Student Number]),0),MATCH(VLOOKUP(G$7,'Writing Logic'!$J$7:$K$11,2,FALSE)&amp;" - Per "&amp;VLOOKUP($C$4,'Writing Logic'!$G$8:$H$14,2,FALSE),YES_Writing_ELA[#Headers],0)))),"")</f>
        <v/>
      </c>
      <c r="H295" s="138" t="str">
        <f>IFERROR(IF(IF(INDEX(_xlfn.VSTACK(YES_Writing_ELA[#Data],YES_Writing_FLA[#Data]),MATCH($A295,_xlfn.VSTACK(YES_Writing_ELA[Student Number],YES_Writing_FLA[Student Number]),0),MATCH(VLOOKUP(H$7,'Writing Logic'!$J$7:$K$11,2,FALSE)&amp;" - Per "&amp;VLOOKUP($C$4,'Writing Logic'!$G$8:$H$14,2,FALSE),YES_Writing_ELA[#Headers],0))=0,"",INDEX(_xlfn.VSTACK(YES_Writing_ELA[#Data],YES_Writing_FLA[#Data]),MATCH($A295,_xlfn.VSTACK(YES_Writing_ELA[Student Number],YES_Writing_FLA[Student Number]),0),MATCH(VLOOKUP(H$7,'Writing Logic'!$J$7:$K$11,2,FALSE)&amp;" - Per "&amp;VLOOKUP($C$4,'Writing Logic'!$G$8:$H$14,2,FALSE),YES_Writing_ELA[#Headers],0)))="INS",'Writing Logic'!$B$7,IF(INDEX(_xlfn.VSTACK(YES_Writing_ELA[#Data],YES_Writing_FLA[#Data]),MATCH($A295,_xlfn.VSTACK(YES_Writing_ELA[Student Number],YES_Writing_FLA[Student Number]),0),MATCH(VLOOKUP(H$7,'Writing Logic'!$J$7:$K$11,2,FALSE)&amp;" - Per "&amp;VLOOKUP($C$4,'Writing Logic'!$G$8:$H$14,2,FALSE),YES_Writing_ELA[#Headers],0))=0,"",INDEX(_xlfn.VSTACK(YES_Writing_ELA[#Data],YES_Writing_FLA[#Data]),MATCH($A295,_xlfn.VSTACK(YES_Writing_ELA[Student Number],YES_Writing_FLA[Student Number]),0),MATCH(VLOOKUP(H$7,'Writing Logic'!$J$7:$K$11,2,FALSE)&amp;" - Per "&amp;VLOOKUP($C$4,'Writing Logic'!$G$8:$H$14,2,FALSE),YES_Writing_ELA[#Headers],0)))),"")</f>
        <v/>
      </c>
    </row>
    <row r="296" spans="1:8" x14ac:dyDescent="0.25">
      <c r="A296" s="137"/>
      <c r="B296" s="137" t="str">
        <f>IFERROR(INDEX(_xlfn.VSTACK(YES_Writing_ELA[#Data], YES_Writing_FLA[#Data]),MATCH($A296,_xlfn.VSTACK(YES_Writing_ELA[Student Number], YES_Writing_FLA[Student Number]),0),MATCH(B$7,YES_Writing_ELA[#Headers],0)),"")</f>
        <v/>
      </c>
      <c r="C296" s="137" t="str">
        <f>IFERROR(INDEX(_xlfn.VSTACK(YES_Writing_ELA[#Data], YES_Writing_FLA[#Data]),MATCH($A296,_xlfn.VSTACK(YES_Writing_ELA[Student Number], YES_Writing_FLA[Student Number]),0),MATCH(C$7,YES_Writing_ELA[#Headers],0)),"")</f>
        <v/>
      </c>
      <c r="D296" s="138" t="str">
        <f>IFERROR(IF(IF(INDEX(_xlfn.VSTACK(YES_Writing_ELA[#Data],YES_Writing_FLA[#Data]),MATCH($A296,_xlfn.VSTACK(YES_Writing_ELA[Student Number],YES_Writing_FLA[Student Number]),0),MATCH(VLOOKUP(D$7,'Writing Logic'!$J$7:$K$11,2,FALSE)&amp;" - Per "&amp;VLOOKUP($C$4,'Writing Logic'!$G$8:$H$14,2,FALSE),YES_Writing_ELA[#Headers],0))=0,"",INDEX(_xlfn.VSTACK(YES_Writing_ELA[#Data],YES_Writing_FLA[#Data]),MATCH($A296,_xlfn.VSTACK(YES_Writing_ELA[Student Number],YES_Writing_FLA[Student Number]),0),MATCH(VLOOKUP(D$7,'Writing Logic'!$J$7:$K$11,2,FALSE)&amp;" - Per "&amp;VLOOKUP($C$4,'Writing Logic'!$G$8:$H$14,2,FALSE),YES_Writing_ELA[#Headers],0)))="INS",'Writing Logic'!$B$7,IF(INDEX(_xlfn.VSTACK(YES_Writing_ELA[#Data],YES_Writing_FLA[#Data]),MATCH($A296,_xlfn.VSTACK(YES_Writing_ELA[Student Number],YES_Writing_FLA[Student Number]),0),MATCH(VLOOKUP(D$7,'Writing Logic'!$J$7:$K$11,2,FALSE)&amp;" - Per "&amp;VLOOKUP($C$4,'Writing Logic'!$G$8:$H$14,2,FALSE),YES_Writing_ELA[#Headers],0))=0,"",INDEX(_xlfn.VSTACK(YES_Writing_ELA[#Data],YES_Writing_FLA[#Data]),MATCH($A296,_xlfn.VSTACK(YES_Writing_ELA[Student Number],YES_Writing_FLA[Student Number]),0),MATCH(VLOOKUP(D$7,'Writing Logic'!$J$7:$K$11,2,FALSE)&amp;" - Per "&amp;VLOOKUP($C$4,'Writing Logic'!$G$8:$H$14,2,FALSE),YES_Writing_ELA[#Headers],0)))),"")</f>
        <v/>
      </c>
      <c r="E296" s="138" t="str">
        <f>IFERROR(IF(IF(INDEX(_xlfn.VSTACK(YES_Writing_ELA[#Data],YES_Writing_FLA[#Data]),MATCH($A296,_xlfn.VSTACK(YES_Writing_ELA[Student Number],YES_Writing_FLA[Student Number]),0),MATCH(VLOOKUP(E$7,'Writing Logic'!$J$7:$K$11,2,FALSE)&amp;" - Per "&amp;VLOOKUP($C$4,'Writing Logic'!$G$8:$H$14,2,FALSE),YES_Writing_ELA[#Headers],0))=0,"",INDEX(_xlfn.VSTACK(YES_Writing_ELA[#Data],YES_Writing_FLA[#Data]),MATCH($A296,_xlfn.VSTACK(YES_Writing_ELA[Student Number],YES_Writing_FLA[Student Number]),0),MATCH(VLOOKUP(E$7,'Writing Logic'!$J$7:$K$11,2,FALSE)&amp;" - Per "&amp;VLOOKUP($C$4,'Writing Logic'!$G$8:$H$14,2,FALSE),YES_Writing_ELA[#Headers],0)))="INS",'Writing Logic'!$B$7,IF(INDEX(_xlfn.VSTACK(YES_Writing_ELA[#Data],YES_Writing_FLA[#Data]),MATCH($A296,_xlfn.VSTACK(YES_Writing_ELA[Student Number],YES_Writing_FLA[Student Number]),0),MATCH(VLOOKUP(E$7,'Writing Logic'!$J$7:$K$11,2,FALSE)&amp;" - Per "&amp;VLOOKUP($C$4,'Writing Logic'!$G$8:$H$14,2,FALSE),YES_Writing_ELA[#Headers],0))=0,"",INDEX(_xlfn.VSTACK(YES_Writing_ELA[#Data],YES_Writing_FLA[#Data]),MATCH($A296,_xlfn.VSTACK(YES_Writing_ELA[Student Number],YES_Writing_FLA[Student Number]),0),MATCH(VLOOKUP(E$7,'Writing Logic'!$J$7:$K$11,2,FALSE)&amp;" - Per "&amp;VLOOKUP($C$4,'Writing Logic'!$G$8:$H$14,2,FALSE),YES_Writing_ELA[#Headers],0)))),"")</f>
        <v/>
      </c>
      <c r="F296" s="138" t="str">
        <f>IFERROR(IF(IF(INDEX(_xlfn.VSTACK(YES_Writing_ELA[#Data],YES_Writing_FLA[#Data]),MATCH($A296,_xlfn.VSTACK(YES_Writing_ELA[Student Number],YES_Writing_FLA[Student Number]),0),MATCH(VLOOKUP(F$7,'Writing Logic'!$J$7:$K$11,2,FALSE)&amp;" - Per "&amp;VLOOKUP($C$4,'Writing Logic'!$G$8:$H$14,2,FALSE),YES_Writing_ELA[#Headers],0))=0,"",INDEX(_xlfn.VSTACK(YES_Writing_ELA[#Data],YES_Writing_FLA[#Data]),MATCH($A296,_xlfn.VSTACK(YES_Writing_ELA[Student Number],YES_Writing_FLA[Student Number]),0),MATCH(VLOOKUP(F$7,'Writing Logic'!$J$7:$K$11,2,FALSE)&amp;" - Per "&amp;VLOOKUP($C$4,'Writing Logic'!$G$8:$H$14,2,FALSE),YES_Writing_ELA[#Headers],0)))="INS",'Writing Logic'!$B$7,IF(INDEX(_xlfn.VSTACK(YES_Writing_ELA[#Data],YES_Writing_FLA[#Data]),MATCH($A296,_xlfn.VSTACK(YES_Writing_ELA[Student Number],YES_Writing_FLA[Student Number]),0),MATCH(VLOOKUP(F$7,'Writing Logic'!$J$7:$K$11,2,FALSE)&amp;" - Per "&amp;VLOOKUP($C$4,'Writing Logic'!$G$8:$H$14,2,FALSE),YES_Writing_ELA[#Headers],0))=0,"",INDEX(_xlfn.VSTACK(YES_Writing_ELA[#Data],YES_Writing_FLA[#Data]),MATCH($A296,_xlfn.VSTACK(YES_Writing_ELA[Student Number],YES_Writing_FLA[Student Number]),0),MATCH(VLOOKUP(F$7,'Writing Logic'!$J$7:$K$11,2,FALSE)&amp;" - Per "&amp;VLOOKUP($C$4,'Writing Logic'!$G$8:$H$14,2,FALSE),YES_Writing_ELA[#Headers],0)))),"")</f>
        <v/>
      </c>
      <c r="G296" s="138" t="str">
        <f>IFERROR(IF(IF(INDEX(_xlfn.VSTACK(YES_Writing_ELA[#Data],YES_Writing_FLA[#Data]),MATCH($A296,_xlfn.VSTACK(YES_Writing_ELA[Student Number],YES_Writing_FLA[Student Number]),0),MATCH(VLOOKUP(G$7,'Writing Logic'!$J$7:$K$11,2,FALSE)&amp;" - Per "&amp;VLOOKUP($C$4,'Writing Logic'!$G$8:$H$14,2,FALSE),YES_Writing_ELA[#Headers],0))=0,"",INDEX(_xlfn.VSTACK(YES_Writing_ELA[#Data],YES_Writing_FLA[#Data]),MATCH($A296,_xlfn.VSTACK(YES_Writing_ELA[Student Number],YES_Writing_FLA[Student Number]),0),MATCH(VLOOKUP(G$7,'Writing Logic'!$J$7:$K$11,2,FALSE)&amp;" - Per "&amp;VLOOKUP($C$4,'Writing Logic'!$G$8:$H$14,2,FALSE),YES_Writing_ELA[#Headers],0)))="INS",'Writing Logic'!$B$7,IF(INDEX(_xlfn.VSTACK(YES_Writing_ELA[#Data],YES_Writing_FLA[#Data]),MATCH($A296,_xlfn.VSTACK(YES_Writing_ELA[Student Number],YES_Writing_FLA[Student Number]),0),MATCH(VLOOKUP(G$7,'Writing Logic'!$J$7:$K$11,2,FALSE)&amp;" - Per "&amp;VLOOKUP($C$4,'Writing Logic'!$G$8:$H$14,2,FALSE),YES_Writing_ELA[#Headers],0))=0,"",INDEX(_xlfn.VSTACK(YES_Writing_ELA[#Data],YES_Writing_FLA[#Data]),MATCH($A296,_xlfn.VSTACK(YES_Writing_ELA[Student Number],YES_Writing_FLA[Student Number]),0),MATCH(VLOOKUP(G$7,'Writing Logic'!$J$7:$K$11,2,FALSE)&amp;" - Per "&amp;VLOOKUP($C$4,'Writing Logic'!$G$8:$H$14,2,FALSE),YES_Writing_ELA[#Headers],0)))),"")</f>
        <v/>
      </c>
      <c r="H296" s="138" t="str">
        <f>IFERROR(IF(IF(INDEX(_xlfn.VSTACK(YES_Writing_ELA[#Data],YES_Writing_FLA[#Data]),MATCH($A296,_xlfn.VSTACK(YES_Writing_ELA[Student Number],YES_Writing_FLA[Student Number]),0),MATCH(VLOOKUP(H$7,'Writing Logic'!$J$7:$K$11,2,FALSE)&amp;" - Per "&amp;VLOOKUP($C$4,'Writing Logic'!$G$8:$H$14,2,FALSE),YES_Writing_ELA[#Headers],0))=0,"",INDEX(_xlfn.VSTACK(YES_Writing_ELA[#Data],YES_Writing_FLA[#Data]),MATCH($A296,_xlfn.VSTACK(YES_Writing_ELA[Student Number],YES_Writing_FLA[Student Number]),0),MATCH(VLOOKUP(H$7,'Writing Logic'!$J$7:$K$11,2,FALSE)&amp;" - Per "&amp;VLOOKUP($C$4,'Writing Logic'!$G$8:$H$14,2,FALSE),YES_Writing_ELA[#Headers],0)))="INS",'Writing Logic'!$B$7,IF(INDEX(_xlfn.VSTACK(YES_Writing_ELA[#Data],YES_Writing_FLA[#Data]),MATCH($A296,_xlfn.VSTACK(YES_Writing_ELA[Student Number],YES_Writing_FLA[Student Number]),0),MATCH(VLOOKUP(H$7,'Writing Logic'!$J$7:$K$11,2,FALSE)&amp;" - Per "&amp;VLOOKUP($C$4,'Writing Logic'!$G$8:$H$14,2,FALSE),YES_Writing_ELA[#Headers],0))=0,"",INDEX(_xlfn.VSTACK(YES_Writing_ELA[#Data],YES_Writing_FLA[#Data]),MATCH($A296,_xlfn.VSTACK(YES_Writing_ELA[Student Number],YES_Writing_FLA[Student Number]),0),MATCH(VLOOKUP(H$7,'Writing Logic'!$J$7:$K$11,2,FALSE)&amp;" - Per "&amp;VLOOKUP($C$4,'Writing Logic'!$G$8:$H$14,2,FALSE),YES_Writing_ELA[#Headers],0)))),"")</f>
        <v/>
      </c>
    </row>
    <row r="297" spans="1:8" x14ac:dyDescent="0.25">
      <c r="A297" s="137"/>
      <c r="B297" s="137" t="str">
        <f>IFERROR(INDEX(_xlfn.VSTACK(YES_Writing_ELA[#Data], YES_Writing_FLA[#Data]),MATCH($A297,_xlfn.VSTACK(YES_Writing_ELA[Student Number], YES_Writing_FLA[Student Number]),0),MATCH(B$7,YES_Writing_ELA[#Headers],0)),"")</f>
        <v/>
      </c>
      <c r="C297" s="137" t="str">
        <f>IFERROR(INDEX(_xlfn.VSTACK(YES_Writing_ELA[#Data], YES_Writing_FLA[#Data]),MATCH($A297,_xlfn.VSTACK(YES_Writing_ELA[Student Number], YES_Writing_FLA[Student Number]),0),MATCH(C$7,YES_Writing_ELA[#Headers],0)),"")</f>
        <v/>
      </c>
      <c r="D297" s="138" t="str">
        <f>IFERROR(IF(IF(INDEX(_xlfn.VSTACK(YES_Writing_ELA[#Data],YES_Writing_FLA[#Data]),MATCH($A297,_xlfn.VSTACK(YES_Writing_ELA[Student Number],YES_Writing_FLA[Student Number]),0),MATCH(VLOOKUP(D$7,'Writing Logic'!$J$7:$K$11,2,FALSE)&amp;" - Per "&amp;VLOOKUP($C$4,'Writing Logic'!$G$8:$H$14,2,FALSE),YES_Writing_ELA[#Headers],0))=0,"",INDEX(_xlfn.VSTACK(YES_Writing_ELA[#Data],YES_Writing_FLA[#Data]),MATCH($A297,_xlfn.VSTACK(YES_Writing_ELA[Student Number],YES_Writing_FLA[Student Number]),0),MATCH(VLOOKUP(D$7,'Writing Logic'!$J$7:$K$11,2,FALSE)&amp;" - Per "&amp;VLOOKUP($C$4,'Writing Logic'!$G$8:$H$14,2,FALSE),YES_Writing_ELA[#Headers],0)))="INS",'Writing Logic'!$B$7,IF(INDEX(_xlfn.VSTACK(YES_Writing_ELA[#Data],YES_Writing_FLA[#Data]),MATCH($A297,_xlfn.VSTACK(YES_Writing_ELA[Student Number],YES_Writing_FLA[Student Number]),0),MATCH(VLOOKUP(D$7,'Writing Logic'!$J$7:$K$11,2,FALSE)&amp;" - Per "&amp;VLOOKUP($C$4,'Writing Logic'!$G$8:$H$14,2,FALSE),YES_Writing_ELA[#Headers],0))=0,"",INDEX(_xlfn.VSTACK(YES_Writing_ELA[#Data],YES_Writing_FLA[#Data]),MATCH($A297,_xlfn.VSTACK(YES_Writing_ELA[Student Number],YES_Writing_FLA[Student Number]),0),MATCH(VLOOKUP(D$7,'Writing Logic'!$J$7:$K$11,2,FALSE)&amp;" - Per "&amp;VLOOKUP($C$4,'Writing Logic'!$G$8:$H$14,2,FALSE),YES_Writing_ELA[#Headers],0)))),"")</f>
        <v/>
      </c>
      <c r="E297" s="138" t="str">
        <f>IFERROR(IF(IF(INDEX(_xlfn.VSTACK(YES_Writing_ELA[#Data],YES_Writing_FLA[#Data]),MATCH($A297,_xlfn.VSTACK(YES_Writing_ELA[Student Number],YES_Writing_FLA[Student Number]),0),MATCH(VLOOKUP(E$7,'Writing Logic'!$J$7:$K$11,2,FALSE)&amp;" - Per "&amp;VLOOKUP($C$4,'Writing Logic'!$G$8:$H$14,2,FALSE),YES_Writing_ELA[#Headers],0))=0,"",INDEX(_xlfn.VSTACK(YES_Writing_ELA[#Data],YES_Writing_FLA[#Data]),MATCH($A297,_xlfn.VSTACK(YES_Writing_ELA[Student Number],YES_Writing_FLA[Student Number]),0),MATCH(VLOOKUP(E$7,'Writing Logic'!$J$7:$K$11,2,FALSE)&amp;" - Per "&amp;VLOOKUP($C$4,'Writing Logic'!$G$8:$H$14,2,FALSE),YES_Writing_ELA[#Headers],0)))="INS",'Writing Logic'!$B$7,IF(INDEX(_xlfn.VSTACK(YES_Writing_ELA[#Data],YES_Writing_FLA[#Data]),MATCH($A297,_xlfn.VSTACK(YES_Writing_ELA[Student Number],YES_Writing_FLA[Student Number]),0),MATCH(VLOOKUP(E$7,'Writing Logic'!$J$7:$K$11,2,FALSE)&amp;" - Per "&amp;VLOOKUP($C$4,'Writing Logic'!$G$8:$H$14,2,FALSE),YES_Writing_ELA[#Headers],0))=0,"",INDEX(_xlfn.VSTACK(YES_Writing_ELA[#Data],YES_Writing_FLA[#Data]),MATCH($A297,_xlfn.VSTACK(YES_Writing_ELA[Student Number],YES_Writing_FLA[Student Number]),0),MATCH(VLOOKUP(E$7,'Writing Logic'!$J$7:$K$11,2,FALSE)&amp;" - Per "&amp;VLOOKUP($C$4,'Writing Logic'!$G$8:$H$14,2,FALSE),YES_Writing_ELA[#Headers],0)))),"")</f>
        <v/>
      </c>
      <c r="F297" s="138" t="str">
        <f>IFERROR(IF(IF(INDEX(_xlfn.VSTACK(YES_Writing_ELA[#Data],YES_Writing_FLA[#Data]),MATCH($A297,_xlfn.VSTACK(YES_Writing_ELA[Student Number],YES_Writing_FLA[Student Number]),0),MATCH(VLOOKUP(F$7,'Writing Logic'!$J$7:$K$11,2,FALSE)&amp;" - Per "&amp;VLOOKUP($C$4,'Writing Logic'!$G$8:$H$14,2,FALSE),YES_Writing_ELA[#Headers],0))=0,"",INDEX(_xlfn.VSTACK(YES_Writing_ELA[#Data],YES_Writing_FLA[#Data]),MATCH($A297,_xlfn.VSTACK(YES_Writing_ELA[Student Number],YES_Writing_FLA[Student Number]),0),MATCH(VLOOKUP(F$7,'Writing Logic'!$J$7:$K$11,2,FALSE)&amp;" - Per "&amp;VLOOKUP($C$4,'Writing Logic'!$G$8:$H$14,2,FALSE),YES_Writing_ELA[#Headers],0)))="INS",'Writing Logic'!$B$7,IF(INDEX(_xlfn.VSTACK(YES_Writing_ELA[#Data],YES_Writing_FLA[#Data]),MATCH($A297,_xlfn.VSTACK(YES_Writing_ELA[Student Number],YES_Writing_FLA[Student Number]),0),MATCH(VLOOKUP(F$7,'Writing Logic'!$J$7:$K$11,2,FALSE)&amp;" - Per "&amp;VLOOKUP($C$4,'Writing Logic'!$G$8:$H$14,2,FALSE),YES_Writing_ELA[#Headers],0))=0,"",INDEX(_xlfn.VSTACK(YES_Writing_ELA[#Data],YES_Writing_FLA[#Data]),MATCH($A297,_xlfn.VSTACK(YES_Writing_ELA[Student Number],YES_Writing_FLA[Student Number]),0),MATCH(VLOOKUP(F$7,'Writing Logic'!$J$7:$K$11,2,FALSE)&amp;" - Per "&amp;VLOOKUP($C$4,'Writing Logic'!$G$8:$H$14,2,FALSE),YES_Writing_ELA[#Headers],0)))),"")</f>
        <v/>
      </c>
      <c r="G297" s="138" t="str">
        <f>IFERROR(IF(IF(INDEX(_xlfn.VSTACK(YES_Writing_ELA[#Data],YES_Writing_FLA[#Data]),MATCH($A297,_xlfn.VSTACK(YES_Writing_ELA[Student Number],YES_Writing_FLA[Student Number]),0),MATCH(VLOOKUP(G$7,'Writing Logic'!$J$7:$K$11,2,FALSE)&amp;" - Per "&amp;VLOOKUP($C$4,'Writing Logic'!$G$8:$H$14,2,FALSE),YES_Writing_ELA[#Headers],0))=0,"",INDEX(_xlfn.VSTACK(YES_Writing_ELA[#Data],YES_Writing_FLA[#Data]),MATCH($A297,_xlfn.VSTACK(YES_Writing_ELA[Student Number],YES_Writing_FLA[Student Number]),0),MATCH(VLOOKUP(G$7,'Writing Logic'!$J$7:$K$11,2,FALSE)&amp;" - Per "&amp;VLOOKUP($C$4,'Writing Logic'!$G$8:$H$14,2,FALSE),YES_Writing_ELA[#Headers],0)))="INS",'Writing Logic'!$B$7,IF(INDEX(_xlfn.VSTACK(YES_Writing_ELA[#Data],YES_Writing_FLA[#Data]),MATCH($A297,_xlfn.VSTACK(YES_Writing_ELA[Student Number],YES_Writing_FLA[Student Number]),0),MATCH(VLOOKUP(G$7,'Writing Logic'!$J$7:$K$11,2,FALSE)&amp;" - Per "&amp;VLOOKUP($C$4,'Writing Logic'!$G$8:$H$14,2,FALSE),YES_Writing_ELA[#Headers],0))=0,"",INDEX(_xlfn.VSTACK(YES_Writing_ELA[#Data],YES_Writing_FLA[#Data]),MATCH($A297,_xlfn.VSTACK(YES_Writing_ELA[Student Number],YES_Writing_FLA[Student Number]),0),MATCH(VLOOKUP(G$7,'Writing Logic'!$J$7:$K$11,2,FALSE)&amp;" - Per "&amp;VLOOKUP($C$4,'Writing Logic'!$G$8:$H$14,2,FALSE),YES_Writing_ELA[#Headers],0)))),"")</f>
        <v/>
      </c>
      <c r="H297" s="138" t="str">
        <f>IFERROR(IF(IF(INDEX(_xlfn.VSTACK(YES_Writing_ELA[#Data],YES_Writing_FLA[#Data]),MATCH($A297,_xlfn.VSTACK(YES_Writing_ELA[Student Number],YES_Writing_FLA[Student Number]),0),MATCH(VLOOKUP(H$7,'Writing Logic'!$J$7:$K$11,2,FALSE)&amp;" - Per "&amp;VLOOKUP($C$4,'Writing Logic'!$G$8:$H$14,2,FALSE),YES_Writing_ELA[#Headers],0))=0,"",INDEX(_xlfn.VSTACK(YES_Writing_ELA[#Data],YES_Writing_FLA[#Data]),MATCH($A297,_xlfn.VSTACK(YES_Writing_ELA[Student Number],YES_Writing_FLA[Student Number]),0),MATCH(VLOOKUP(H$7,'Writing Logic'!$J$7:$K$11,2,FALSE)&amp;" - Per "&amp;VLOOKUP($C$4,'Writing Logic'!$G$8:$H$14,2,FALSE),YES_Writing_ELA[#Headers],0)))="INS",'Writing Logic'!$B$7,IF(INDEX(_xlfn.VSTACK(YES_Writing_ELA[#Data],YES_Writing_FLA[#Data]),MATCH($A297,_xlfn.VSTACK(YES_Writing_ELA[Student Number],YES_Writing_FLA[Student Number]),0),MATCH(VLOOKUP(H$7,'Writing Logic'!$J$7:$K$11,2,FALSE)&amp;" - Per "&amp;VLOOKUP($C$4,'Writing Logic'!$G$8:$H$14,2,FALSE),YES_Writing_ELA[#Headers],0))=0,"",INDEX(_xlfn.VSTACK(YES_Writing_ELA[#Data],YES_Writing_FLA[#Data]),MATCH($A297,_xlfn.VSTACK(YES_Writing_ELA[Student Number],YES_Writing_FLA[Student Number]),0),MATCH(VLOOKUP(H$7,'Writing Logic'!$J$7:$K$11,2,FALSE)&amp;" - Per "&amp;VLOOKUP($C$4,'Writing Logic'!$G$8:$H$14,2,FALSE),YES_Writing_ELA[#Headers],0)))),"")</f>
        <v/>
      </c>
    </row>
    <row r="298" spans="1:8" x14ac:dyDescent="0.25">
      <c r="A298" s="137"/>
      <c r="B298" s="137" t="str">
        <f>IFERROR(INDEX(_xlfn.VSTACK(YES_Writing_ELA[#Data], YES_Writing_FLA[#Data]),MATCH($A298,_xlfn.VSTACK(YES_Writing_ELA[Student Number], YES_Writing_FLA[Student Number]),0),MATCH(B$7,YES_Writing_ELA[#Headers],0)),"")</f>
        <v/>
      </c>
      <c r="C298" s="137" t="str">
        <f>IFERROR(INDEX(_xlfn.VSTACK(YES_Writing_ELA[#Data], YES_Writing_FLA[#Data]),MATCH($A298,_xlfn.VSTACK(YES_Writing_ELA[Student Number], YES_Writing_FLA[Student Number]),0),MATCH(C$7,YES_Writing_ELA[#Headers],0)),"")</f>
        <v/>
      </c>
      <c r="D298" s="138" t="str">
        <f>IFERROR(IF(IF(INDEX(_xlfn.VSTACK(YES_Writing_ELA[#Data],YES_Writing_FLA[#Data]),MATCH($A298,_xlfn.VSTACK(YES_Writing_ELA[Student Number],YES_Writing_FLA[Student Number]),0),MATCH(VLOOKUP(D$7,'Writing Logic'!$J$7:$K$11,2,FALSE)&amp;" - Per "&amp;VLOOKUP($C$4,'Writing Logic'!$G$8:$H$14,2,FALSE),YES_Writing_ELA[#Headers],0))=0,"",INDEX(_xlfn.VSTACK(YES_Writing_ELA[#Data],YES_Writing_FLA[#Data]),MATCH($A298,_xlfn.VSTACK(YES_Writing_ELA[Student Number],YES_Writing_FLA[Student Number]),0),MATCH(VLOOKUP(D$7,'Writing Logic'!$J$7:$K$11,2,FALSE)&amp;" - Per "&amp;VLOOKUP($C$4,'Writing Logic'!$G$8:$H$14,2,FALSE),YES_Writing_ELA[#Headers],0)))="INS",'Writing Logic'!$B$7,IF(INDEX(_xlfn.VSTACK(YES_Writing_ELA[#Data],YES_Writing_FLA[#Data]),MATCH($A298,_xlfn.VSTACK(YES_Writing_ELA[Student Number],YES_Writing_FLA[Student Number]),0),MATCH(VLOOKUP(D$7,'Writing Logic'!$J$7:$K$11,2,FALSE)&amp;" - Per "&amp;VLOOKUP($C$4,'Writing Logic'!$G$8:$H$14,2,FALSE),YES_Writing_ELA[#Headers],0))=0,"",INDEX(_xlfn.VSTACK(YES_Writing_ELA[#Data],YES_Writing_FLA[#Data]),MATCH($A298,_xlfn.VSTACK(YES_Writing_ELA[Student Number],YES_Writing_FLA[Student Number]),0),MATCH(VLOOKUP(D$7,'Writing Logic'!$J$7:$K$11,2,FALSE)&amp;" - Per "&amp;VLOOKUP($C$4,'Writing Logic'!$G$8:$H$14,2,FALSE),YES_Writing_ELA[#Headers],0)))),"")</f>
        <v/>
      </c>
      <c r="E298" s="138" t="str">
        <f>IFERROR(IF(IF(INDEX(_xlfn.VSTACK(YES_Writing_ELA[#Data],YES_Writing_FLA[#Data]),MATCH($A298,_xlfn.VSTACK(YES_Writing_ELA[Student Number],YES_Writing_FLA[Student Number]),0),MATCH(VLOOKUP(E$7,'Writing Logic'!$J$7:$K$11,2,FALSE)&amp;" - Per "&amp;VLOOKUP($C$4,'Writing Logic'!$G$8:$H$14,2,FALSE),YES_Writing_ELA[#Headers],0))=0,"",INDEX(_xlfn.VSTACK(YES_Writing_ELA[#Data],YES_Writing_FLA[#Data]),MATCH($A298,_xlfn.VSTACK(YES_Writing_ELA[Student Number],YES_Writing_FLA[Student Number]),0),MATCH(VLOOKUP(E$7,'Writing Logic'!$J$7:$K$11,2,FALSE)&amp;" - Per "&amp;VLOOKUP($C$4,'Writing Logic'!$G$8:$H$14,2,FALSE),YES_Writing_ELA[#Headers],0)))="INS",'Writing Logic'!$B$7,IF(INDEX(_xlfn.VSTACK(YES_Writing_ELA[#Data],YES_Writing_FLA[#Data]),MATCH($A298,_xlfn.VSTACK(YES_Writing_ELA[Student Number],YES_Writing_FLA[Student Number]),0),MATCH(VLOOKUP(E$7,'Writing Logic'!$J$7:$K$11,2,FALSE)&amp;" - Per "&amp;VLOOKUP($C$4,'Writing Logic'!$G$8:$H$14,2,FALSE),YES_Writing_ELA[#Headers],0))=0,"",INDEX(_xlfn.VSTACK(YES_Writing_ELA[#Data],YES_Writing_FLA[#Data]),MATCH($A298,_xlfn.VSTACK(YES_Writing_ELA[Student Number],YES_Writing_FLA[Student Number]),0),MATCH(VLOOKUP(E$7,'Writing Logic'!$J$7:$K$11,2,FALSE)&amp;" - Per "&amp;VLOOKUP($C$4,'Writing Logic'!$G$8:$H$14,2,FALSE),YES_Writing_ELA[#Headers],0)))),"")</f>
        <v/>
      </c>
      <c r="F298" s="138" t="str">
        <f>IFERROR(IF(IF(INDEX(_xlfn.VSTACK(YES_Writing_ELA[#Data],YES_Writing_FLA[#Data]),MATCH($A298,_xlfn.VSTACK(YES_Writing_ELA[Student Number],YES_Writing_FLA[Student Number]),0),MATCH(VLOOKUP(F$7,'Writing Logic'!$J$7:$K$11,2,FALSE)&amp;" - Per "&amp;VLOOKUP($C$4,'Writing Logic'!$G$8:$H$14,2,FALSE),YES_Writing_ELA[#Headers],0))=0,"",INDEX(_xlfn.VSTACK(YES_Writing_ELA[#Data],YES_Writing_FLA[#Data]),MATCH($A298,_xlfn.VSTACK(YES_Writing_ELA[Student Number],YES_Writing_FLA[Student Number]),0),MATCH(VLOOKUP(F$7,'Writing Logic'!$J$7:$K$11,2,FALSE)&amp;" - Per "&amp;VLOOKUP($C$4,'Writing Logic'!$G$8:$H$14,2,FALSE),YES_Writing_ELA[#Headers],0)))="INS",'Writing Logic'!$B$7,IF(INDEX(_xlfn.VSTACK(YES_Writing_ELA[#Data],YES_Writing_FLA[#Data]),MATCH($A298,_xlfn.VSTACK(YES_Writing_ELA[Student Number],YES_Writing_FLA[Student Number]),0),MATCH(VLOOKUP(F$7,'Writing Logic'!$J$7:$K$11,2,FALSE)&amp;" - Per "&amp;VLOOKUP($C$4,'Writing Logic'!$G$8:$H$14,2,FALSE),YES_Writing_ELA[#Headers],0))=0,"",INDEX(_xlfn.VSTACK(YES_Writing_ELA[#Data],YES_Writing_FLA[#Data]),MATCH($A298,_xlfn.VSTACK(YES_Writing_ELA[Student Number],YES_Writing_FLA[Student Number]),0),MATCH(VLOOKUP(F$7,'Writing Logic'!$J$7:$K$11,2,FALSE)&amp;" - Per "&amp;VLOOKUP($C$4,'Writing Logic'!$G$8:$H$14,2,FALSE),YES_Writing_ELA[#Headers],0)))),"")</f>
        <v/>
      </c>
      <c r="G298" s="138" t="str">
        <f>IFERROR(IF(IF(INDEX(_xlfn.VSTACK(YES_Writing_ELA[#Data],YES_Writing_FLA[#Data]),MATCH($A298,_xlfn.VSTACK(YES_Writing_ELA[Student Number],YES_Writing_FLA[Student Number]),0),MATCH(VLOOKUP(G$7,'Writing Logic'!$J$7:$K$11,2,FALSE)&amp;" - Per "&amp;VLOOKUP($C$4,'Writing Logic'!$G$8:$H$14,2,FALSE),YES_Writing_ELA[#Headers],0))=0,"",INDEX(_xlfn.VSTACK(YES_Writing_ELA[#Data],YES_Writing_FLA[#Data]),MATCH($A298,_xlfn.VSTACK(YES_Writing_ELA[Student Number],YES_Writing_FLA[Student Number]),0),MATCH(VLOOKUP(G$7,'Writing Logic'!$J$7:$K$11,2,FALSE)&amp;" - Per "&amp;VLOOKUP($C$4,'Writing Logic'!$G$8:$H$14,2,FALSE),YES_Writing_ELA[#Headers],0)))="INS",'Writing Logic'!$B$7,IF(INDEX(_xlfn.VSTACK(YES_Writing_ELA[#Data],YES_Writing_FLA[#Data]),MATCH($A298,_xlfn.VSTACK(YES_Writing_ELA[Student Number],YES_Writing_FLA[Student Number]),0),MATCH(VLOOKUP(G$7,'Writing Logic'!$J$7:$K$11,2,FALSE)&amp;" - Per "&amp;VLOOKUP($C$4,'Writing Logic'!$G$8:$H$14,2,FALSE),YES_Writing_ELA[#Headers],0))=0,"",INDEX(_xlfn.VSTACK(YES_Writing_ELA[#Data],YES_Writing_FLA[#Data]),MATCH($A298,_xlfn.VSTACK(YES_Writing_ELA[Student Number],YES_Writing_FLA[Student Number]),0),MATCH(VLOOKUP(G$7,'Writing Logic'!$J$7:$K$11,2,FALSE)&amp;" - Per "&amp;VLOOKUP($C$4,'Writing Logic'!$G$8:$H$14,2,FALSE),YES_Writing_ELA[#Headers],0)))),"")</f>
        <v/>
      </c>
      <c r="H298" s="138" t="str">
        <f>IFERROR(IF(IF(INDEX(_xlfn.VSTACK(YES_Writing_ELA[#Data],YES_Writing_FLA[#Data]),MATCH($A298,_xlfn.VSTACK(YES_Writing_ELA[Student Number],YES_Writing_FLA[Student Number]),0),MATCH(VLOOKUP(H$7,'Writing Logic'!$J$7:$K$11,2,FALSE)&amp;" - Per "&amp;VLOOKUP($C$4,'Writing Logic'!$G$8:$H$14,2,FALSE),YES_Writing_ELA[#Headers],0))=0,"",INDEX(_xlfn.VSTACK(YES_Writing_ELA[#Data],YES_Writing_FLA[#Data]),MATCH($A298,_xlfn.VSTACK(YES_Writing_ELA[Student Number],YES_Writing_FLA[Student Number]),0),MATCH(VLOOKUP(H$7,'Writing Logic'!$J$7:$K$11,2,FALSE)&amp;" - Per "&amp;VLOOKUP($C$4,'Writing Logic'!$G$8:$H$14,2,FALSE),YES_Writing_ELA[#Headers],0)))="INS",'Writing Logic'!$B$7,IF(INDEX(_xlfn.VSTACK(YES_Writing_ELA[#Data],YES_Writing_FLA[#Data]),MATCH($A298,_xlfn.VSTACK(YES_Writing_ELA[Student Number],YES_Writing_FLA[Student Number]),0),MATCH(VLOOKUP(H$7,'Writing Logic'!$J$7:$K$11,2,FALSE)&amp;" - Per "&amp;VLOOKUP($C$4,'Writing Logic'!$G$8:$H$14,2,FALSE),YES_Writing_ELA[#Headers],0))=0,"",INDEX(_xlfn.VSTACK(YES_Writing_ELA[#Data],YES_Writing_FLA[#Data]),MATCH($A298,_xlfn.VSTACK(YES_Writing_ELA[Student Number],YES_Writing_FLA[Student Number]),0),MATCH(VLOOKUP(H$7,'Writing Logic'!$J$7:$K$11,2,FALSE)&amp;" - Per "&amp;VLOOKUP($C$4,'Writing Logic'!$G$8:$H$14,2,FALSE),YES_Writing_ELA[#Headers],0)))),"")</f>
        <v/>
      </c>
    </row>
    <row r="299" spans="1:8" x14ac:dyDescent="0.25">
      <c r="A299" s="137"/>
      <c r="B299" s="137" t="str">
        <f>IFERROR(INDEX(_xlfn.VSTACK(YES_Writing_ELA[#Data], YES_Writing_FLA[#Data]),MATCH($A299,_xlfn.VSTACK(YES_Writing_ELA[Student Number], YES_Writing_FLA[Student Number]),0),MATCH(B$7,YES_Writing_ELA[#Headers],0)),"")</f>
        <v/>
      </c>
      <c r="C299" s="137" t="str">
        <f>IFERROR(INDEX(_xlfn.VSTACK(YES_Writing_ELA[#Data], YES_Writing_FLA[#Data]),MATCH($A299,_xlfn.VSTACK(YES_Writing_ELA[Student Number], YES_Writing_FLA[Student Number]),0),MATCH(C$7,YES_Writing_ELA[#Headers],0)),"")</f>
        <v/>
      </c>
      <c r="D299" s="138" t="str">
        <f>IFERROR(IF(IF(INDEX(_xlfn.VSTACK(YES_Writing_ELA[#Data],YES_Writing_FLA[#Data]),MATCH($A299,_xlfn.VSTACK(YES_Writing_ELA[Student Number],YES_Writing_FLA[Student Number]),0),MATCH(VLOOKUP(D$7,'Writing Logic'!$J$7:$K$11,2,FALSE)&amp;" - Per "&amp;VLOOKUP($C$4,'Writing Logic'!$G$8:$H$14,2,FALSE),YES_Writing_ELA[#Headers],0))=0,"",INDEX(_xlfn.VSTACK(YES_Writing_ELA[#Data],YES_Writing_FLA[#Data]),MATCH($A299,_xlfn.VSTACK(YES_Writing_ELA[Student Number],YES_Writing_FLA[Student Number]),0),MATCH(VLOOKUP(D$7,'Writing Logic'!$J$7:$K$11,2,FALSE)&amp;" - Per "&amp;VLOOKUP($C$4,'Writing Logic'!$G$8:$H$14,2,FALSE),YES_Writing_ELA[#Headers],0)))="INS",'Writing Logic'!$B$7,IF(INDEX(_xlfn.VSTACK(YES_Writing_ELA[#Data],YES_Writing_FLA[#Data]),MATCH($A299,_xlfn.VSTACK(YES_Writing_ELA[Student Number],YES_Writing_FLA[Student Number]),0),MATCH(VLOOKUP(D$7,'Writing Logic'!$J$7:$K$11,2,FALSE)&amp;" - Per "&amp;VLOOKUP($C$4,'Writing Logic'!$G$8:$H$14,2,FALSE),YES_Writing_ELA[#Headers],0))=0,"",INDEX(_xlfn.VSTACK(YES_Writing_ELA[#Data],YES_Writing_FLA[#Data]),MATCH($A299,_xlfn.VSTACK(YES_Writing_ELA[Student Number],YES_Writing_FLA[Student Number]),0),MATCH(VLOOKUP(D$7,'Writing Logic'!$J$7:$K$11,2,FALSE)&amp;" - Per "&amp;VLOOKUP($C$4,'Writing Logic'!$G$8:$H$14,2,FALSE),YES_Writing_ELA[#Headers],0)))),"")</f>
        <v/>
      </c>
      <c r="E299" s="138" t="str">
        <f>IFERROR(IF(IF(INDEX(_xlfn.VSTACK(YES_Writing_ELA[#Data],YES_Writing_FLA[#Data]),MATCH($A299,_xlfn.VSTACK(YES_Writing_ELA[Student Number],YES_Writing_FLA[Student Number]),0),MATCH(VLOOKUP(E$7,'Writing Logic'!$J$7:$K$11,2,FALSE)&amp;" - Per "&amp;VLOOKUP($C$4,'Writing Logic'!$G$8:$H$14,2,FALSE),YES_Writing_ELA[#Headers],0))=0,"",INDEX(_xlfn.VSTACK(YES_Writing_ELA[#Data],YES_Writing_FLA[#Data]),MATCH($A299,_xlfn.VSTACK(YES_Writing_ELA[Student Number],YES_Writing_FLA[Student Number]),0),MATCH(VLOOKUP(E$7,'Writing Logic'!$J$7:$K$11,2,FALSE)&amp;" - Per "&amp;VLOOKUP($C$4,'Writing Logic'!$G$8:$H$14,2,FALSE),YES_Writing_ELA[#Headers],0)))="INS",'Writing Logic'!$B$7,IF(INDEX(_xlfn.VSTACK(YES_Writing_ELA[#Data],YES_Writing_FLA[#Data]),MATCH($A299,_xlfn.VSTACK(YES_Writing_ELA[Student Number],YES_Writing_FLA[Student Number]),0),MATCH(VLOOKUP(E$7,'Writing Logic'!$J$7:$K$11,2,FALSE)&amp;" - Per "&amp;VLOOKUP($C$4,'Writing Logic'!$G$8:$H$14,2,FALSE),YES_Writing_ELA[#Headers],0))=0,"",INDEX(_xlfn.VSTACK(YES_Writing_ELA[#Data],YES_Writing_FLA[#Data]),MATCH($A299,_xlfn.VSTACK(YES_Writing_ELA[Student Number],YES_Writing_FLA[Student Number]),0),MATCH(VLOOKUP(E$7,'Writing Logic'!$J$7:$K$11,2,FALSE)&amp;" - Per "&amp;VLOOKUP($C$4,'Writing Logic'!$G$8:$H$14,2,FALSE),YES_Writing_ELA[#Headers],0)))),"")</f>
        <v/>
      </c>
      <c r="F299" s="138" t="str">
        <f>IFERROR(IF(IF(INDEX(_xlfn.VSTACK(YES_Writing_ELA[#Data],YES_Writing_FLA[#Data]),MATCH($A299,_xlfn.VSTACK(YES_Writing_ELA[Student Number],YES_Writing_FLA[Student Number]),0),MATCH(VLOOKUP(F$7,'Writing Logic'!$J$7:$K$11,2,FALSE)&amp;" - Per "&amp;VLOOKUP($C$4,'Writing Logic'!$G$8:$H$14,2,FALSE),YES_Writing_ELA[#Headers],0))=0,"",INDEX(_xlfn.VSTACK(YES_Writing_ELA[#Data],YES_Writing_FLA[#Data]),MATCH($A299,_xlfn.VSTACK(YES_Writing_ELA[Student Number],YES_Writing_FLA[Student Number]),0),MATCH(VLOOKUP(F$7,'Writing Logic'!$J$7:$K$11,2,FALSE)&amp;" - Per "&amp;VLOOKUP($C$4,'Writing Logic'!$G$8:$H$14,2,FALSE),YES_Writing_ELA[#Headers],0)))="INS",'Writing Logic'!$B$7,IF(INDEX(_xlfn.VSTACK(YES_Writing_ELA[#Data],YES_Writing_FLA[#Data]),MATCH($A299,_xlfn.VSTACK(YES_Writing_ELA[Student Number],YES_Writing_FLA[Student Number]),0),MATCH(VLOOKUP(F$7,'Writing Logic'!$J$7:$K$11,2,FALSE)&amp;" - Per "&amp;VLOOKUP($C$4,'Writing Logic'!$G$8:$H$14,2,FALSE),YES_Writing_ELA[#Headers],0))=0,"",INDEX(_xlfn.VSTACK(YES_Writing_ELA[#Data],YES_Writing_FLA[#Data]),MATCH($A299,_xlfn.VSTACK(YES_Writing_ELA[Student Number],YES_Writing_FLA[Student Number]),0),MATCH(VLOOKUP(F$7,'Writing Logic'!$J$7:$K$11,2,FALSE)&amp;" - Per "&amp;VLOOKUP($C$4,'Writing Logic'!$G$8:$H$14,2,FALSE),YES_Writing_ELA[#Headers],0)))),"")</f>
        <v/>
      </c>
      <c r="G299" s="138" t="str">
        <f>IFERROR(IF(IF(INDEX(_xlfn.VSTACK(YES_Writing_ELA[#Data],YES_Writing_FLA[#Data]),MATCH($A299,_xlfn.VSTACK(YES_Writing_ELA[Student Number],YES_Writing_FLA[Student Number]),0),MATCH(VLOOKUP(G$7,'Writing Logic'!$J$7:$K$11,2,FALSE)&amp;" - Per "&amp;VLOOKUP($C$4,'Writing Logic'!$G$8:$H$14,2,FALSE),YES_Writing_ELA[#Headers],0))=0,"",INDEX(_xlfn.VSTACK(YES_Writing_ELA[#Data],YES_Writing_FLA[#Data]),MATCH($A299,_xlfn.VSTACK(YES_Writing_ELA[Student Number],YES_Writing_FLA[Student Number]),0),MATCH(VLOOKUP(G$7,'Writing Logic'!$J$7:$K$11,2,FALSE)&amp;" - Per "&amp;VLOOKUP($C$4,'Writing Logic'!$G$8:$H$14,2,FALSE),YES_Writing_ELA[#Headers],0)))="INS",'Writing Logic'!$B$7,IF(INDEX(_xlfn.VSTACK(YES_Writing_ELA[#Data],YES_Writing_FLA[#Data]),MATCH($A299,_xlfn.VSTACK(YES_Writing_ELA[Student Number],YES_Writing_FLA[Student Number]),0),MATCH(VLOOKUP(G$7,'Writing Logic'!$J$7:$K$11,2,FALSE)&amp;" - Per "&amp;VLOOKUP($C$4,'Writing Logic'!$G$8:$H$14,2,FALSE),YES_Writing_ELA[#Headers],0))=0,"",INDEX(_xlfn.VSTACK(YES_Writing_ELA[#Data],YES_Writing_FLA[#Data]),MATCH($A299,_xlfn.VSTACK(YES_Writing_ELA[Student Number],YES_Writing_FLA[Student Number]),0),MATCH(VLOOKUP(G$7,'Writing Logic'!$J$7:$K$11,2,FALSE)&amp;" - Per "&amp;VLOOKUP($C$4,'Writing Logic'!$G$8:$H$14,2,FALSE),YES_Writing_ELA[#Headers],0)))),"")</f>
        <v/>
      </c>
      <c r="H299" s="138" t="str">
        <f>IFERROR(IF(IF(INDEX(_xlfn.VSTACK(YES_Writing_ELA[#Data],YES_Writing_FLA[#Data]),MATCH($A299,_xlfn.VSTACK(YES_Writing_ELA[Student Number],YES_Writing_FLA[Student Number]),0),MATCH(VLOOKUP(H$7,'Writing Logic'!$J$7:$K$11,2,FALSE)&amp;" - Per "&amp;VLOOKUP($C$4,'Writing Logic'!$G$8:$H$14,2,FALSE),YES_Writing_ELA[#Headers],0))=0,"",INDEX(_xlfn.VSTACK(YES_Writing_ELA[#Data],YES_Writing_FLA[#Data]),MATCH($A299,_xlfn.VSTACK(YES_Writing_ELA[Student Number],YES_Writing_FLA[Student Number]),0),MATCH(VLOOKUP(H$7,'Writing Logic'!$J$7:$K$11,2,FALSE)&amp;" - Per "&amp;VLOOKUP($C$4,'Writing Logic'!$G$8:$H$14,2,FALSE),YES_Writing_ELA[#Headers],0)))="INS",'Writing Logic'!$B$7,IF(INDEX(_xlfn.VSTACK(YES_Writing_ELA[#Data],YES_Writing_FLA[#Data]),MATCH($A299,_xlfn.VSTACK(YES_Writing_ELA[Student Number],YES_Writing_FLA[Student Number]),0),MATCH(VLOOKUP(H$7,'Writing Logic'!$J$7:$K$11,2,FALSE)&amp;" - Per "&amp;VLOOKUP($C$4,'Writing Logic'!$G$8:$H$14,2,FALSE),YES_Writing_ELA[#Headers],0))=0,"",INDEX(_xlfn.VSTACK(YES_Writing_ELA[#Data],YES_Writing_FLA[#Data]),MATCH($A299,_xlfn.VSTACK(YES_Writing_ELA[Student Number],YES_Writing_FLA[Student Number]),0),MATCH(VLOOKUP(H$7,'Writing Logic'!$J$7:$K$11,2,FALSE)&amp;" - Per "&amp;VLOOKUP($C$4,'Writing Logic'!$G$8:$H$14,2,FALSE),YES_Writing_ELA[#Headers],0)))),"")</f>
        <v/>
      </c>
    </row>
    <row r="300" spans="1:8" x14ac:dyDescent="0.25">
      <c r="A300" s="137"/>
      <c r="B300" s="137" t="str">
        <f>IFERROR(INDEX(_xlfn.VSTACK(YES_Writing_ELA[#Data], YES_Writing_FLA[#Data]),MATCH($A300,_xlfn.VSTACK(YES_Writing_ELA[Student Number], YES_Writing_FLA[Student Number]),0),MATCH(B$7,YES_Writing_ELA[#Headers],0)),"")</f>
        <v/>
      </c>
      <c r="C300" s="137" t="str">
        <f>IFERROR(INDEX(_xlfn.VSTACK(YES_Writing_ELA[#Data], YES_Writing_FLA[#Data]),MATCH($A300,_xlfn.VSTACK(YES_Writing_ELA[Student Number], YES_Writing_FLA[Student Number]),0),MATCH(C$7,YES_Writing_ELA[#Headers],0)),"")</f>
        <v/>
      </c>
      <c r="D300" s="138" t="str">
        <f>IFERROR(IF(IF(INDEX(_xlfn.VSTACK(YES_Writing_ELA[#Data],YES_Writing_FLA[#Data]),MATCH($A300,_xlfn.VSTACK(YES_Writing_ELA[Student Number],YES_Writing_FLA[Student Number]),0),MATCH(VLOOKUP(D$7,'Writing Logic'!$J$7:$K$11,2,FALSE)&amp;" - Per "&amp;VLOOKUP($C$4,'Writing Logic'!$G$8:$H$14,2,FALSE),YES_Writing_ELA[#Headers],0))=0,"",INDEX(_xlfn.VSTACK(YES_Writing_ELA[#Data],YES_Writing_FLA[#Data]),MATCH($A300,_xlfn.VSTACK(YES_Writing_ELA[Student Number],YES_Writing_FLA[Student Number]),0),MATCH(VLOOKUP(D$7,'Writing Logic'!$J$7:$K$11,2,FALSE)&amp;" - Per "&amp;VLOOKUP($C$4,'Writing Logic'!$G$8:$H$14,2,FALSE),YES_Writing_ELA[#Headers],0)))="INS",'Writing Logic'!$B$7,IF(INDEX(_xlfn.VSTACK(YES_Writing_ELA[#Data],YES_Writing_FLA[#Data]),MATCH($A300,_xlfn.VSTACK(YES_Writing_ELA[Student Number],YES_Writing_FLA[Student Number]),0),MATCH(VLOOKUP(D$7,'Writing Logic'!$J$7:$K$11,2,FALSE)&amp;" - Per "&amp;VLOOKUP($C$4,'Writing Logic'!$G$8:$H$14,2,FALSE),YES_Writing_ELA[#Headers],0))=0,"",INDEX(_xlfn.VSTACK(YES_Writing_ELA[#Data],YES_Writing_FLA[#Data]),MATCH($A300,_xlfn.VSTACK(YES_Writing_ELA[Student Number],YES_Writing_FLA[Student Number]),0),MATCH(VLOOKUP(D$7,'Writing Logic'!$J$7:$K$11,2,FALSE)&amp;" - Per "&amp;VLOOKUP($C$4,'Writing Logic'!$G$8:$H$14,2,FALSE),YES_Writing_ELA[#Headers],0)))),"")</f>
        <v/>
      </c>
      <c r="E300" s="138" t="str">
        <f>IFERROR(IF(IF(INDEX(_xlfn.VSTACK(YES_Writing_ELA[#Data],YES_Writing_FLA[#Data]),MATCH($A300,_xlfn.VSTACK(YES_Writing_ELA[Student Number],YES_Writing_FLA[Student Number]),0),MATCH(VLOOKUP(E$7,'Writing Logic'!$J$7:$K$11,2,FALSE)&amp;" - Per "&amp;VLOOKUP($C$4,'Writing Logic'!$G$8:$H$14,2,FALSE),YES_Writing_ELA[#Headers],0))=0,"",INDEX(_xlfn.VSTACK(YES_Writing_ELA[#Data],YES_Writing_FLA[#Data]),MATCH($A300,_xlfn.VSTACK(YES_Writing_ELA[Student Number],YES_Writing_FLA[Student Number]),0),MATCH(VLOOKUP(E$7,'Writing Logic'!$J$7:$K$11,2,FALSE)&amp;" - Per "&amp;VLOOKUP($C$4,'Writing Logic'!$G$8:$H$14,2,FALSE),YES_Writing_ELA[#Headers],0)))="INS",'Writing Logic'!$B$7,IF(INDEX(_xlfn.VSTACK(YES_Writing_ELA[#Data],YES_Writing_FLA[#Data]),MATCH($A300,_xlfn.VSTACK(YES_Writing_ELA[Student Number],YES_Writing_FLA[Student Number]),0),MATCH(VLOOKUP(E$7,'Writing Logic'!$J$7:$K$11,2,FALSE)&amp;" - Per "&amp;VLOOKUP($C$4,'Writing Logic'!$G$8:$H$14,2,FALSE),YES_Writing_ELA[#Headers],0))=0,"",INDEX(_xlfn.VSTACK(YES_Writing_ELA[#Data],YES_Writing_FLA[#Data]),MATCH($A300,_xlfn.VSTACK(YES_Writing_ELA[Student Number],YES_Writing_FLA[Student Number]),0),MATCH(VLOOKUP(E$7,'Writing Logic'!$J$7:$K$11,2,FALSE)&amp;" - Per "&amp;VLOOKUP($C$4,'Writing Logic'!$G$8:$H$14,2,FALSE),YES_Writing_ELA[#Headers],0)))),"")</f>
        <v/>
      </c>
      <c r="F300" s="138" t="str">
        <f>IFERROR(IF(IF(INDEX(_xlfn.VSTACK(YES_Writing_ELA[#Data],YES_Writing_FLA[#Data]),MATCH($A300,_xlfn.VSTACK(YES_Writing_ELA[Student Number],YES_Writing_FLA[Student Number]),0),MATCH(VLOOKUP(F$7,'Writing Logic'!$J$7:$K$11,2,FALSE)&amp;" - Per "&amp;VLOOKUP($C$4,'Writing Logic'!$G$8:$H$14,2,FALSE),YES_Writing_ELA[#Headers],0))=0,"",INDEX(_xlfn.VSTACK(YES_Writing_ELA[#Data],YES_Writing_FLA[#Data]),MATCH($A300,_xlfn.VSTACK(YES_Writing_ELA[Student Number],YES_Writing_FLA[Student Number]),0),MATCH(VLOOKUP(F$7,'Writing Logic'!$J$7:$K$11,2,FALSE)&amp;" - Per "&amp;VLOOKUP($C$4,'Writing Logic'!$G$8:$H$14,2,FALSE),YES_Writing_ELA[#Headers],0)))="INS",'Writing Logic'!$B$7,IF(INDEX(_xlfn.VSTACK(YES_Writing_ELA[#Data],YES_Writing_FLA[#Data]),MATCH($A300,_xlfn.VSTACK(YES_Writing_ELA[Student Number],YES_Writing_FLA[Student Number]),0),MATCH(VLOOKUP(F$7,'Writing Logic'!$J$7:$K$11,2,FALSE)&amp;" - Per "&amp;VLOOKUP($C$4,'Writing Logic'!$G$8:$H$14,2,FALSE),YES_Writing_ELA[#Headers],0))=0,"",INDEX(_xlfn.VSTACK(YES_Writing_ELA[#Data],YES_Writing_FLA[#Data]),MATCH($A300,_xlfn.VSTACK(YES_Writing_ELA[Student Number],YES_Writing_FLA[Student Number]),0),MATCH(VLOOKUP(F$7,'Writing Logic'!$J$7:$K$11,2,FALSE)&amp;" - Per "&amp;VLOOKUP($C$4,'Writing Logic'!$G$8:$H$14,2,FALSE),YES_Writing_ELA[#Headers],0)))),"")</f>
        <v/>
      </c>
      <c r="G300" s="138" t="str">
        <f>IFERROR(IF(IF(INDEX(_xlfn.VSTACK(YES_Writing_ELA[#Data],YES_Writing_FLA[#Data]),MATCH($A300,_xlfn.VSTACK(YES_Writing_ELA[Student Number],YES_Writing_FLA[Student Number]),0),MATCH(VLOOKUP(G$7,'Writing Logic'!$J$7:$K$11,2,FALSE)&amp;" - Per "&amp;VLOOKUP($C$4,'Writing Logic'!$G$8:$H$14,2,FALSE),YES_Writing_ELA[#Headers],0))=0,"",INDEX(_xlfn.VSTACK(YES_Writing_ELA[#Data],YES_Writing_FLA[#Data]),MATCH($A300,_xlfn.VSTACK(YES_Writing_ELA[Student Number],YES_Writing_FLA[Student Number]),0),MATCH(VLOOKUP(G$7,'Writing Logic'!$J$7:$K$11,2,FALSE)&amp;" - Per "&amp;VLOOKUP($C$4,'Writing Logic'!$G$8:$H$14,2,FALSE),YES_Writing_ELA[#Headers],0)))="INS",'Writing Logic'!$B$7,IF(INDEX(_xlfn.VSTACK(YES_Writing_ELA[#Data],YES_Writing_FLA[#Data]),MATCH($A300,_xlfn.VSTACK(YES_Writing_ELA[Student Number],YES_Writing_FLA[Student Number]),0),MATCH(VLOOKUP(G$7,'Writing Logic'!$J$7:$K$11,2,FALSE)&amp;" - Per "&amp;VLOOKUP($C$4,'Writing Logic'!$G$8:$H$14,2,FALSE),YES_Writing_ELA[#Headers],0))=0,"",INDEX(_xlfn.VSTACK(YES_Writing_ELA[#Data],YES_Writing_FLA[#Data]),MATCH($A300,_xlfn.VSTACK(YES_Writing_ELA[Student Number],YES_Writing_FLA[Student Number]),0),MATCH(VLOOKUP(G$7,'Writing Logic'!$J$7:$K$11,2,FALSE)&amp;" - Per "&amp;VLOOKUP($C$4,'Writing Logic'!$G$8:$H$14,2,FALSE),YES_Writing_ELA[#Headers],0)))),"")</f>
        <v/>
      </c>
      <c r="H300" s="138" t="str">
        <f>IFERROR(IF(IF(INDEX(_xlfn.VSTACK(YES_Writing_ELA[#Data],YES_Writing_FLA[#Data]),MATCH($A300,_xlfn.VSTACK(YES_Writing_ELA[Student Number],YES_Writing_FLA[Student Number]),0),MATCH(VLOOKUP(H$7,'Writing Logic'!$J$7:$K$11,2,FALSE)&amp;" - Per "&amp;VLOOKUP($C$4,'Writing Logic'!$G$8:$H$14,2,FALSE),YES_Writing_ELA[#Headers],0))=0,"",INDEX(_xlfn.VSTACK(YES_Writing_ELA[#Data],YES_Writing_FLA[#Data]),MATCH($A300,_xlfn.VSTACK(YES_Writing_ELA[Student Number],YES_Writing_FLA[Student Number]),0),MATCH(VLOOKUP(H$7,'Writing Logic'!$J$7:$K$11,2,FALSE)&amp;" - Per "&amp;VLOOKUP($C$4,'Writing Logic'!$G$8:$H$14,2,FALSE),YES_Writing_ELA[#Headers],0)))="INS",'Writing Logic'!$B$7,IF(INDEX(_xlfn.VSTACK(YES_Writing_ELA[#Data],YES_Writing_FLA[#Data]),MATCH($A300,_xlfn.VSTACK(YES_Writing_ELA[Student Number],YES_Writing_FLA[Student Number]),0),MATCH(VLOOKUP(H$7,'Writing Logic'!$J$7:$K$11,2,FALSE)&amp;" - Per "&amp;VLOOKUP($C$4,'Writing Logic'!$G$8:$H$14,2,FALSE),YES_Writing_ELA[#Headers],0))=0,"",INDEX(_xlfn.VSTACK(YES_Writing_ELA[#Data],YES_Writing_FLA[#Data]),MATCH($A300,_xlfn.VSTACK(YES_Writing_ELA[Student Number],YES_Writing_FLA[Student Number]),0),MATCH(VLOOKUP(H$7,'Writing Logic'!$J$7:$K$11,2,FALSE)&amp;" - Per "&amp;VLOOKUP($C$4,'Writing Logic'!$G$8:$H$14,2,FALSE),YES_Writing_ELA[#Headers],0)))),"")</f>
        <v/>
      </c>
    </row>
    <row r="301" spans="1:8" x14ac:dyDescent="0.25">
      <c r="A301" s="137"/>
      <c r="B301" s="137" t="str">
        <f>IFERROR(INDEX(_xlfn.VSTACK(YES_Writing_ELA[#Data], YES_Writing_FLA[#Data]),MATCH($A301,_xlfn.VSTACK(YES_Writing_ELA[Student Number], YES_Writing_FLA[Student Number]),0),MATCH(B$7,YES_Writing_ELA[#Headers],0)),"")</f>
        <v/>
      </c>
      <c r="C301" s="137" t="str">
        <f>IFERROR(INDEX(_xlfn.VSTACK(YES_Writing_ELA[#Data], YES_Writing_FLA[#Data]),MATCH($A301,_xlfn.VSTACK(YES_Writing_ELA[Student Number], YES_Writing_FLA[Student Number]),0),MATCH(C$7,YES_Writing_ELA[#Headers],0)),"")</f>
        <v/>
      </c>
      <c r="D301" s="138" t="str">
        <f>IFERROR(IF(IF(INDEX(_xlfn.VSTACK(YES_Writing_ELA[#Data],YES_Writing_FLA[#Data]),MATCH($A301,_xlfn.VSTACK(YES_Writing_ELA[Student Number],YES_Writing_FLA[Student Number]),0),MATCH(VLOOKUP(D$7,'Writing Logic'!$J$7:$K$11,2,FALSE)&amp;" - Per "&amp;VLOOKUP($C$4,'Writing Logic'!$G$8:$H$14,2,FALSE),YES_Writing_ELA[#Headers],0))=0,"",INDEX(_xlfn.VSTACK(YES_Writing_ELA[#Data],YES_Writing_FLA[#Data]),MATCH($A301,_xlfn.VSTACK(YES_Writing_ELA[Student Number],YES_Writing_FLA[Student Number]),0),MATCH(VLOOKUP(D$7,'Writing Logic'!$J$7:$K$11,2,FALSE)&amp;" - Per "&amp;VLOOKUP($C$4,'Writing Logic'!$G$8:$H$14,2,FALSE),YES_Writing_ELA[#Headers],0)))="INS",'Writing Logic'!$B$7,IF(INDEX(_xlfn.VSTACK(YES_Writing_ELA[#Data],YES_Writing_FLA[#Data]),MATCH($A301,_xlfn.VSTACK(YES_Writing_ELA[Student Number],YES_Writing_FLA[Student Number]),0),MATCH(VLOOKUP(D$7,'Writing Logic'!$J$7:$K$11,2,FALSE)&amp;" - Per "&amp;VLOOKUP($C$4,'Writing Logic'!$G$8:$H$14,2,FALSE),YES_Writing_ELA[#Headers],0))=0,"",INDEX(_xlfn.VSTACK(YES_Writing_ELA[#Data],YES_Writing_FLA[#Data]),MATCH($A301,_xlfn.VSTACK(YES_Writing_ELA[Student Number],YES_Writing_FLA[Student Number]),0),MATCH(VLOOKUP(D$7,'Writing Logic'!$J$7:$K$11,2,FALSE)&amp;" - Per "&amp;VLOOKUP($C$4,'Writing Logic'!$G$8:$H$14,2,FALSE),YES_Writing_ELA[#Headers],0)))),"")</f>
        <v/>
      </c>
      <c r="E301" s="138" t="str">
        <f>IFERROR(IF(IF(INDEX(_xlfn.VSTACK(YES_Writing_ELA[#Data],YES_Writing_FLA[#Data]),MATCH($A301,_xlfn.VSTACK(YES_Writing_ELA[Student Number],YES_Writing_FLA[Student Number]),0),MATCH(VLOOKUP(E$7,'Writing Logic'!$J$7:$K$11,2,FALSE)&amp;" - Per "&amp;VLOOKUP($C$4,'Writing Logic'!$G$8:$H$14,2,FALSE),YES_Writing_ELA[#Headers],0))=0,"",INDEX(_xlfn.VSTACK(YES_Writing_ELA[#Data],YES_Writing_FLA[#Data]),MATCH($A301,_xlfn.VSTACK(YES_Writing_ELA[Student Number],YES_Writing_FLA[Student Number]),0),MATCH(VLOOKUP(E$7,'Writing Logic'!$J$7:$K$11,2,FALSE)&amp;" - Per "&amp;VLOOKUP($C$4,'Writing Logic'!$G$8:$H$14,2,FALSE),YES_Writing_ELA[#Headers],0)))="INS",'Writing Logic'!$B$7,IF(INDEX(_xlfn.VSTACK(YES_Writing_ELA[#Data],YES_Writing_FLA[#Data]),MATCH($A301,_xlfn.VSTACK(YES_Writing_ELA[Student Number],YES_Writing_FLA[Student Number]),0),MATCH(VLOOKUP(E$7,'Writing Logic'!$J$7:$K$11,2,FALSE)&amp;" - Per "&amp;VLOOKUP($C$4,'Writing Logic'!$G$8:$H$14,2,FALSE),YES_Writing_ELA[#Headers],0))=0,"",INDEX(_xlfn.VSTACK(YES_Writing_ELA[#Data],YES_Writing_FLA[#Data]),MATCH($A301,_xlfn.VSTACK(YES_Writing_ELA[Student Number],YES_Writing_FLA[Student Number]),0),MATCH(VLOOKUP(E$7,'Writing Logic'!$J$7:$K$11,2,FALSE)&amp;" - Per "&amp;VLOOKUP($C$4,'Writing Logic'!$G$8:$H$14,2,FALSE),YES_Writing_ELA[#Headers],0)))),"")</f>
        <v/>
      </c>
      <c r="F301" s="138" t="str">
        <f>IFERROR(IF(IF(INDEX(_xlfn.VSTACK(YES_Writing_ELA[#Data],YES_Writing_FLA[#Data]),MATCH($A301,_xlfn.VSTACK(YES_Writing_ELA[Student Number],YES_Writing_FLA[Student Number]),0),MATCH(VLOOKUP(F$7,'Writing Logic'!$J$7:$K$11,2,FALSE)&amp;" - Per "&amp;VLOOKUP($C$4,'Writing Logic'!$G$8:$H$14,2,FALSE),YES_Writing_ELA[#Headers],0))=0,"",INDEX(_xlfn.VSTACK(YES_Writing_ELA[#Data],YES_Writing_FLA[#Data]),MATCH($A301,_xlfn.VSTACK(YES_Writing_ELA[Student Number],YES_Writing_FLA[Student Number]),0),MATCH(VLOOKUP(F$7,'Writing Logic'!$J$7:$K$11,2,FALSE)&amp;" - Per "&amp;VLOOKUP($C$4,'Writing Logic'!$G$8:$H$14,2,FALSE),YES_Writing_ELA[#Headers],0)))="INS",'Writing Logic'!$B$7,IF(INDEX(_xlfn.VSTACK(YES_Writing_ELA[#Data],YES_Writing_FLA[#Data]),MATCH($A301,_xlfn.VSTACK(YES_Writing_ELA[Student Number],YES_Writing_FLA[Student Number]),0),MATCH(VLOOKUP(F$7,'Writing Logic'!$J$7:$K$11,2,FALSE)&amp;" - Per "&amp;VLOOKUP($C$4,'Writing Logic'!$G$8:$H$14,2,FALSE),YES_Writing_ELA[#Headers],0))=0,"",INDEX(_xlfn.VSTACK(YES_Writing_ELA[#Data],YES_Writing_FLA[#Data]),MATCH($A301,_xlfn.VSTACK(YES_Writing_ELA[Student Number],YES_Writing_FLA[Student Number]),0),MATCH(VLOOKUP(F$7,'Writing Logic'!$J$7:$K$11,2,FALSE)&amp;" - Per "&amp;VLOOKUP($C$4,'Writing Logic'!$G$8:$H$14,2,FALSE),YES_Writing_ELA[#Headers],0)))),"")</f>
        <v/>
      </c>
      <c r="G301" s="138" t="str">
        <f>IFERROR(IF(IF(INDEX(_xlfn.VSTACK(YES_Writing_ELA[#Data],YES_Writing_FLA[#Data]),MATCH($A301,_xlfn.VSTACK(YES_Writing_ELA[Student Number],YES_Writing_FLA[Student Number]),0),MATCH(VLOOKUP(G$7,'Writing Logic'!$J$7:$K$11,2,FALSE)&amp;" - Per "&amp;VLOOKUP($C$4,'Writing Logic'!$G$8:$H$14,2,FALSE),YES_Writing_ELA[#Headers],0))=0,"",INDEX(_xlfn.VSTACK(YES_Writing_ELA[#Data],YES_Writing_FLA[#Data]),MATCH($A301,_xlfn.VSTACK(YES_Writing_ELA[Student Number],YES_Writing_FLA[Student Number]),0),MATCH(VLOOKUP(G$7,'Writing Logic'!$J$7:$K$11,2,FALSE)&amp;" - Per "&amp;VLOOKUP($C$4,'Writing Logic'!$G$8:$H$14,2,FALSE),YES_Writing_ELA[#Headers],0)))="INS",'Writing Logic'!$B$7,IF(INDEX(_xlfn.VSTACK(YES_Writing_ELA[#Data],YES_Writing_FLA[#Data]),MATCH($A301,_xlfn.VSTACK(YES_Writing_ELA[Student Number],YES_Writing_FLA[Student Number]),0),MATCH(VLOOKUP(G$7,'Writing Logic'!$J$7:$K$11,2,FALSE)&amp;" - Per "&amp;VLOOKUP($C$4,'Writing Logic'!$G$8:$H$14,2,FALSE),YES_Writing_ELA[#Headers],0))=0,"",INDEX(_xlfn.VSTACK(YES_Writing_ELA[#Data],YES_Writing_FLA[#Data]),MATCH($A301,_xlfn.VSTACK(YES_Writing_ELA[Student Number],YES_Writing_FLA[Student Number]),0),MATCH(VLOOKUP(G$7,'Writing Logic'!$J$7:$K$11,2,FALSE)&amp;" - Per "&amp;VLOOKUP($C$4,'Writing Logic'!$G$8:$H$14,2,FALSE),YES_Writing_ELA[#Headers],0)))),"")</f>
        <v/>
      </c>
      <c r="H301" s="138" t="str">
        <f>IFERROR(IF(IF(INDEX(_xlfn.VSTACK(YES_Writing_ELA[#Data],YES_Writing_FLA[#Data]),MATCH($A301,_xlfn.VSTACK(YES_Writing_ELA[Student Number],YES_Writing_FLA[Student Number]),0),MATCH(VLOOKUP(H$7,'Writing Logic'!$J$7:$K$11,2,FALSE)&amp;" - Per "&amp;VLOOKUP($C$4,'Writing Logic'!$G$8:$H$14,2,FALSE),YES_Writing_ELA[#Headers],0))=0,"",INDEX(_xlfn.VSTACK(YES_Writing_ELA[#Data],YES_Writing_FLA[#Data]),MATCH($A301,_xlfn.VSTACK(YES_Writing_ELA[Student Number],YES_Writing_FLA[Student Number]),0),MATCH(VLOOKUP(H$7,'Writing Logic'!$J$7:$K$11,2,FALSE)&amp;" - Per "&amp;VLOOKUP($C$4,'Writing Logic'!$G$8:$H$14,2,FALSE),YES_Writing_ELA[#Headers],0)))="INS",'Writing Logic'!$B$7,IF(INDEX(_xlfn.VSTACK(YES_Writing_ELA[#Data],YES_Writing_FLA[#Data]),MATCH($A301,_xlfn.VSTACK(YES_Writing_ELA[Student Number],YES_Writing_FLA[Student Number]),0),MATCH(VLOOKUP(H$7,'Writing Logic'!$J$7:$K$11,2,FALSE)&amp;" - Per "&amp;VLOOKUP($C$4,'Writing Logic'!$G$8:$H$14,2,FALSE),YES_Writing_ELA[#Headers],0))=0,"",INDEX(_xlfn.VSTACK(YES_Writing_ELA[#Data],YES_Writing_FLA[#Data]),MATCH($A301,_xlfn.VSTACK(YES_Writing_ELA[Student Number],YES_Writing_FLA[Student Number]),0),MATCH(VLOOKUP(H$7,'Writing Logic'!$J$7:$K$11,2,FALSE)&amp;" - Per "&amp;VLOOKUP($C$4,'Writing Logic'!$G$8:$H$14,2,FALSE),YES_Writing_ELA[#Headers],0)))),"")</f>
        <v/>
      </c>
    </row>
    <row r="302" spans="1:8" x14ac:dyDescent="0.25">
      <c r="A302" s="137"/>
      <c r="B302" s="137" t="str">
        <f>IFERROR(INDEX(_xlfn.VSTACK(YES_Writing_ELA[#Data], YES_Writing_FLA[#Data]),MATCH($A302,_xlfn.VSTACK(YES_Writing_ELA[Student Number], YES_Writing_FLA[Student Number]),0),MATCH(B$7,YES_Writing_ELA[#Headers],0)),"")</f>
        <v/>
      </c>
      <c r="C302" s="137" t="str">
        <f>IFERROR(INDEX(_xlfn.VSTACK(YES_Writing_ELA[#Data], YES_Writing_FLA[#Data]),MATCH($A302,_xlfn.VSTACK(YES_Writing_ELA[Student Number], YES_Writing_FLA[Student Number]),0),MATCH(C$7,YES_Writing_ELA[#Headers],0)),"")</f>
        <v/>
      </c>
      <c r="D302" s="138" t="str">
        <f>IFERROR(IF(IF(INDEX(_xlfn.VSTACK(YES_Writing_ELA[#Data],YES_Writing_FLA[#Data]),MATCH($A302,_xlfn.VSTACK(YES_Writing_ELA[Student Number],YES_Writing_FLA[Student Number]),0),MATCH(VLOOKUP(D$7,'Writing Logic'!$J$7:$K$11,2,FALSE)&amp;" - Per "&amp;VLOOKUP($C$4,'Writing Logic'!$G$8:$H$14,2,FALSE),YES_Writing_ELA[#Headers],0))=0,"",INDEX(_xlfn.VSTACK(YES_Writing_ELA[#Data],YES_Writing_FLA[#Data]),MATCH($A302,_xlfn.VSTACK(YES_Writing_ELA[Student Number],YES_Writing_FLA[Student Number]),0),MATCH(VLOOKUP(D$7,'Writing Logic'!$J$7:$K$11,2,FALSE)&amp;" - Per "&amp;VLOOKUP($C$4,'Writing Logic'!$G$8:$H$14,2,FALSE),YES_Writing_ELA[#Headers],0)))="INS",'Writing Logic'!$B$7,IF(INDEX(_xlfn.VSTACK(YES_Writing_ELA[#Data],YES_Writing_FLA[#Data]),MATCH($A302,_xlfn.VSTACK(YES_Writing_ELA[Student Number],YES_Writing_FLA[Student Number]),0),MATCH(VLOOKUP(D$7,'Writing Logic'!$J$7:$K$11,2,FALSE)&amp;" - Per "&amp;VLOOKUP($C$4,'Writing Logic'!$G$8:$H$14,2,FALSE),YES_Writing_ELA[#Headers],0))=0,"",INDEX(_xlfn.VSTACK(YES_Writing_ELA[#Data],YES_Writing_FLA[#Data]),MATCH($A302,_xlfn.VSTACK(YES_Writing_ELA[Student Number],YES_Writing_FLA[Student Number]),0),MATCH(VLOOKUP(D$7,'Writing Logic'!$J$7:$K$11,2,FALSE)&amp;" - Per "&amp;VLOOKUP($C$4,'Writing Logic'!$G$8:$H$14,2,FALSE),YES_Writing_ELA[#Headers],0)))),"")</f>
        <v/>
      </c>
      <c r="E302" s="138" t="str">
        <f>IFERROR(IF(IF(INDEX(_xlfn.VSTACK(YES_Writing_ELA[#Data],YES_Writing_FLA[#Data]),MATCH($A302,_xlfn.VSTACK(YES_Writing_ELA[Student Number],YES_Writing_FLA[Student Number]),0),MATCH(VLOOKUP(E$7,'Writing Logic'!$J$7:$K$11,2,FALSE)&amp;" - Per "&amp;VLOOKUP($C$4,'Writing Logic'!$G$8:$H$14,2,FALSE),YES_Writing_ELA[#Headers],0))=0,"",INDEX(_xlfn.VSTACK(YES_Writing_ELA[#Data],YES_Writing_FLA[#Data]),MATCH($A302,_xlfn.VSTACK(YES_Writing_ELA[Student Number],YES_Writing_FLA[Student Number]),0),MATCH(VLOOKUP(E$7,'Writing Logic'!$J$7:$K$11,2,FALSE)&amp;" - Per "&amp;VLOOKUP($C$4,'Writing Logic'!$G$8:$H$14,2,FALSE),YES_Writing_ELA[#Headers],0)))="INS",'Writing Logic'!$B$7,IF(INDEX(_xlfn.VSTACK(YES_Writing_ELA[#Data],YES_Writing_FLA[#Data]),MATCH($A302,_xlfn.VSTACK(YES_Writing_ELA[Student Number],YES_Writing_FLA[Student Number]),0),MATCH(VLOOKUP(E$7,'Writing Logic'!$J$7:$K$11,2,FALSE)&amp;" - Per "&amp;VLOOKUP($C$4,'Writing Logic'!$G$8:$H$14,2,FALSE),YES_Writing_ELA[#Headers],0))=0,"",INDEX(_xlfn.VSTACK(YES_Writing_ELA[#Data],YES_Writing_FLA[#Data]),MATCH($A302,_xlfn.VSTACK(YES_Writing_ELA[Student Number],YES_Writing_FLA[Student Number]),0),MATCH(VLOOKUP(E$7,'Writing Logic'!$J$7:$K$11,2,FALSE)&amp;" - Per "&amp;VLOOKUP($C$4,'Writing Logic'!$G$8:$H$14,2,FALSE),YES_Writing_ELA[#Headers],0)))),"")</f>
        <v/>
      </c>
      <c r="F302" s="138" t="str">
        <f>IFERROR(IF(IF(INDEX(_xlfn.VSTACK(YES_Writing_ELA[#Data],YES_Writing_FLA[#Data]),MATCH($A302,_xlfn.VSTACK(YES_Writing_ELA[Student Number],YES_Writing_FLA[Student Number]),0),MATCH(VLOOKUP(F$7,'Writing Logic'!$J$7:$K$11,2,FALSE)&amp;" - Per "&amp;VLOOKUP($C$4,'Writing Logic'!$G$8:$H$14,2,FALSE),YES_Writing_ELA[#Headers],0))=0,"",INDEX(_xlfn.VSTACK(YES_Writing_ELA[#Data],YES_Writing_FLA[#Data]),MATCH($A302,_xlfn.VSTACK(YES_Writing_ELA[Student Number],YES_Writing_FLA[Student Number]),0),MATCH(VLOOKUP(F$7,'Writing Logic'!$J$7:$K$11,2,FALSE)&amp;" - Per "&amp;VLOOKUP($C$4,'Writing Logic'!$G$8:$H$14,2,FALSE),YES_Writing_ELA[#Headers],0)))="INS",'Writing Logic'!$B$7,IF(INDEX(_xlfn.VSTACK(YES_Writing_ELA[#Data],YES_Writing_FLA[#Data]),MATCH($A302,_xlfn.VSTACK(YES_Writing_ELA[Student Number],YES_Writing_FLA[Student Number]),0),MATCH(VLOOKUP(F$7,'Writing Logic'!$J$7:$K$11,2,FALSE)&amp;" - Per "&amp;VLOOKUP($C$4,'Writing Logic'!$G$8:$H$14,2,FALSE),YES_Writing_ELA[#Headers],0))=0,"",INDEX(_xlfn.VSTACK(YES_Writing_ELA[#Data],YES_Writing_FLA[#Data]),MATCH($A302,_xlfn.VSTACK(YES_Writing_ELA[Student Number],YES_Writing_FLA[Student Number]),0),MATCH(VLOOKUP(F$7,'Writing Logic'!$J$7:$K$11,2,FALSE)&amp;" - Per "&amp;VLOOKUP($C$4,'Writing Logic'!$G$8:$H$14,2,FALSE),YES_Writing_ELA[#Headers],0)))),"")</f>
        <v/>
      </c>
      <c r="G302" s="138" t="str">
        <f>IFERROR(IF(IF(INDEX(_xlfn.VSTACK(YES_Writing_ELA[#Data],YES_Writing_FLA[#Data]),MATCH($A302,_xlfn.VSTACK(YES_Writing_ELA[Student Number],YES_Writing_FLA[Student Number]),0),MATCH(VLOOKUP(G$7,'Writing Logic'!$J$7:$K$11,2,FALSE)&amp;" - Per "&amp;VLOOKUP($C$4,'Writing Logic'!$G$8:$H$14,2,FALSE),YES_Writing_ELA[#Headers],0))=0,"",INDEX(_xlfn.VSTACK(YES_Writing_ELA[#Data],YES_Writing_FLA[#Data]),MATCH($A302,_xlfn.VSTACK(YES_Writing_ELA[Student Number],YES_Writing_FLA[Student Number]),0),MATCH(VLOOKUP(G$7,'Writing Logic'!$J$7:$K$11,2,FALSE)&amp;" - Per "&amp;VLOOKUP($C$4,'Writing Logic'!$G$8:$H$14,2,FALSE),YES_Writing_ELA[#Headers],0)))="INS",'Writing Logic'!$B$7,IF(INDEX(_xlfn.VSTACK(YES_Writing_ELA[#Data],YES_Writing_FLA[#Data]),MATCH($A302,_xlfn.VSTACK(YES_Writing_ELA[Student Number],YES_Writing_FLA[Student Number]),0),MATCH(VLOOKUP(G$7,'Writing Logic'!$J$7:$K$11,2,FALSE)&amp;" - Per "&amp;VLOOKUP($C$4,'Writing Logic'!$G$8:$H$14,2,FALSE),YES_Writing_ELA[#Headers],0))=0,"",INDEX(_xlfn.VSTACK(YES_Writing_ELA[#Data],YES_Writing_FLA[#Data]),MATCH($A302,_xlfn.VSTACK(YES_Writing_ELA[Student Number],YES_Writing_FLA[Student Number]),0),MATCH(VLOOKUP(G$7,'Writing Logic'!$J$7:$K$11,2,FALSE)&amp;" - Per "&amp;VLOOKUP($C$4,'Writing Logic'!$G$8:$H$14,2,FALSE),YES_Writing_ELA[#Headers],0)))),"")</f>
        <v/>
      </c>
      <c r="H302" s="138" t="str">
        <f>IFERROR(IF(IF(INDEX(_xlfn.VSTACK(YES_Writing_ELA[#Data],YES_Writing_FLA[#Data]),MATCH($A302,_xlfn.VSTACK(YES_Writing_ELA[Student Number],YES_Writing_FLA[Student Number]),0),MATCH(VLOOKUP(H$7,'Writing Logic'!$J$7:$K$11,2,FALSE)&amp;" - Per "&amp;VLOOKUP($C$4,'Writing Logic'!$G$8:$H$14,2,FALSE),YES_Writing_ELA[#Headers],0))=0,"",INDEX(_xlfn.VSTACK(YES_Writing_ELA[#Data],YES_Writing_FLA[#Data]),MATCH($A302,_xlfn.VSTACK(YES_Writing_ELA[Student Number],YES_Writing_FLA[Student Number]),0),MATCH(VLOOKUP(H$7,'Writing Logic'!$J$7:$K$11,2,FALSE)&amp;" - Per "&amp;VLOOKUP($C$4,'Writing Logic'!$G$8:$H$14,2,FALSE),YES_Writing_ELA[#Headers],0)))="INS",'Writing Logic'!$B$7,IF(INDEX(_xlfn.VSTACK(YES_Writing_ELA[#Data],YES_Writing_FLA[#Data]),MATCH($A302,_xlfn.VSTACK(YES_Writing_ELA[Student Number],YES_Writing_FLA[Student Number]),0),MATCH(VLOOKUP(H$7,'Writing Logic'!$J$7:$K$11,2,FALSE)&amp;" - Per "&amp;VLOOKUP($C$4,'Writing Logic'!$G$8:$H$14,2,FALSE),YES_Writing_ELA[#Headers],0))=0,"",INDEX(_xlfn.VSTACK(YES_Writing_ELA[#Data],YES_Writing_FLA[#Data]),MATCH($A302,_xlfn.VSTACK(YES_Writing_ELA[Student Number],YES_Writing_FLA[Student Number]),0),MATCH(VLOOKUP(H$7,'Writing Logic'!$J$7:$K$11,2,FALSE)&amp;" - Per "&amp;VLOOKUP($C$4,'Writing Logic'!$G$8:$H$14,2,FALSE),YES_Writing_ELA[#Headers],0)))),"")</f>
        <v/>
      </c>
    </row>
    <row r="303" spans="1:8" x14ac:dyDescent="0.25">
      <c r="A303" s="137"/>
      <c r="B303" s="137" t="str">
        <f>IFERROR(INDEX(_xlfn.VSTACK(YES_Writing_ELA[#Data], YES_Writing_FLA[#Data]),MATCH($A303,_xlfn.VSTACK(YES_Writing_ELA[Student Number], YES_Writing_FLA[Student Number]),0),MATCH(B$7,YES_Writing_ELA[#Headers],0)),"")</f>
        <v/>
      </c>
      <c r="C303" s="137" t="str">
        <f>IFERROR(INDEX(_xlfn.VSTACK(YES_Writing_ELA[#Data], YES_Writing_FLA[#Data]),MATCH($A303,_xlfn.VSTACK(YES_Writing_ELA[Student Number], YES_Writing_FLA[Student Number]),0),MATCH(C$7,YES_Writing_ELA[#Headers],0)),"")</f>
        <v/>
      </c>
      <c r="D303" s="138" t="str">
        <f>IFERROR(IF(IF(INDEX(_xlfn.VSTACK(YES_Writing_ELA[#Data],YES_Writing_FLA[#Data]),MATCH($A303,_xlfn.VSTACK(YES_Writing_ELA[Student Number],YES_Writing_FLA[Student Number]),0),MATCH(VLOOKUP(D$7,'Writing Logic'!$J$7:$K$11,2,FALSE)&amp;" - Per "&amp;VLOOKUP($C$4,'Writing Logic'!$G$8:$H$14,2,FALSE),YES_Writing_ELA[#Headers],0))=0,"",INDEX(_xlfn.VSTACK(YES_Writing_ELA[#Data],YES_Writing_FLA[#Data]),MATCH($A303,_xlfn.VSTACK(YES_Writing_ELA[Student Number],YES_Writing_FLA[Student Number]),0),MATCH(VLOOKUP(D$7,'Writing Logic'!$J$7:$K$11,2,FALSE)&amp;" - Per "&amp;VLOOKUP($C$4,'Writing Logic'!$G$8:$H$14,2,FALSE),YES_Writing_ELA[#Headers],0)))="INS",'Writing Logic'!$B$7,IF(INDEX(_xlfn.VSTACK(YES_Writing_ELA[#Data],YES_Writing_FLA[#Data]),MATCH($A303,_xlfn.VSTACK(YES_Writing_ELA[Student Number],YES_Writing_FLA[Student Number]),0),MATCH(VLOOKUP(D$7,'Writing Logic'!$J$7:$K$11,2,FALSE)&amp;" - Per "&amp;VLOOKUP($C$4,'Writing Logic'!$G$8:$H$14,2,FALSE),YES_Writing_ELA[#Headers],0))=0,"",INDEX(_xlfn.VSTACK(YES_Writing_ELA[#Data],YES_Writing_FLA[#Data]),MATCH($A303,_xlfn.VSTACK(YES_Writing_ELA[Student Number],YES_Writing_FLA[Student Number]),0),MATCH(VLOOKUP(D$7,'Writing Logic'!$J$7:$K$11,2,FALSE)&amp;" - Per "&amp;VLOOKUP($C$4,'Writing Logic'!$G$8:$H$14,2,FALSE),YES_Writing_ELA[#Headers],0)))),"")</f>
        <v/>
      </c>
      <c r="E303" s="138" t="str">
        <f>IFERROR(IF(IF(INDEX(_xlfn.VSTACK(YES_Writing_ELA[#Data],YES_Writing_FLA[#Data]),MATCH($A303,_xlfn.VSTACK(YES_Writing_ELA[Student Number],YES_Writing_FLA[Student Number]),0),MATCH(VLOOKUP(E$7,'Writing Logic'!$J$7:$K$11,2,FALSE)&amp;" - Per "&amp;VLOOKUP($C$4,'Writing Logic'!$G$8:$H$14,2,FALSE),YES_Writing_ELA[#Headers],0))=0,"",INDEX(_xlfn.VSTACK(YES_Writing_ELA[#Data],YES_Writing_FLA[#Data]),MATCH($A303,_xlfn.VSTACK(YES_Writing_ELA[Student Number],YES_Writing_FLA[Student Number]),0),MATCH(VLOOKUP(E$7,'Writing Logic'!$J$7:$K$11,2,FALSE)&amp;" - Per "&amp;VLOOKUP($C$4,'Writing Logic'!$G$8:$H$14,2,FALSE),YES_Writing_ELA[#Headers],0)))="INS",'Writing Logic'!$B$7,IF(INDEX(_xlfn.VSTACK(YES_Writing_ELA[#Data],YES_Writing_FLA[#Data]),MATCH($A303,_xlfn.VSTACK(YES_Writing_ELA[Student Number],YES_Writing_FLA[Student Number]),0),MATCH(VLOOKUP(E$7,'Writing Logic'!$J$7:$K$11,2,FALSE)&amp;" - Per "&amp;VLOOKUP($C$4,'Writing Logic'!$G$8:$H$14,2,FALSE),YES_Writing_ELA[#Headers],0))=0,"",INDEX(_xlfn.VSTACK(YES_Writing_ELA[#Data],YES_Writing_FLA[#Data]),MATCH($A303,_xlfn.VSTACK(YES_Writing_ELA[Student Number],YES_Writing_FLA[Student Number]),0),MATCH(VLOOKUP(E$7,'Writing Logic'!$J$7:$K$11,2,FALSE)&amp;" - Per "&amp;VLOOKUP($C$4,'Writing Logic'!$G$8:$H$14,2,FALSE),YES_Writing_ELA[#Headers],0)))),"")</f>
        <v/>
      </c>
      <c r="F303" s="138" t="str">
        <f>IFERROR(IF(IF(INDEX(_xlfn.VSTACK(YES_Writing_ELA[#Data],YES_Writing_FLA[#Data]),MATCH($A303,_xlfn.VSTACK(YES_Writing_ELA[Student Number],YES_Writing_FLA[Student Number]),0),MATCH(VLOOKUP(F$7,'Writing Logic'!$J$7:$K$11,2,FALSE)&amp;" - Per "&amp;VLOOKUP($C$4,'Writing Logic'!$G$8:$H$14,2,FALSE),YES_Writing_ELA[#Headers],0))=0,"",INDEX(_xlfn.VSTACK(YES_Writing_ELA[#Data],YES_Writing_FLA[#Data]),MATCH($A303,_xlfn.VSTACK(YES_Writing_ELA[Student Number],YES_Writing_FLA[Student Number]),0),MATCH(VLOOKUP(F$7,'Writing Logic'!$J$7:$K$11,2,FALSE)&amp;" - Per "&amp;VLOOKUP($C$4,'Writing Logic'!$G$8:$H$14,2,FALSE),YES_Writing_ELA[#Headers],0)))="INS",'Writing Logic'!$B$7,IF(INDEX(_xlfn.VSTACK(YES_Writing_ELA[#Data],YES_Writing_FLA[#Data]),MATCH($A303,_xlfn.VSTACK(YES_Writing_ELA[Student Number],YES_Writing_FLA[Student Number]),0),MATCH(VLOOKUP(F$7,'Writing Logic'!$J$7:$K$11,2,FALSE)&amp;" - Per "&amp;VLOOKUP($C$4,'Writing Logic'!$G$8:$H$14,2,FALSE),YES_Writing_ELA[#Headers],0))=0,"",INDEX(_xlfn.VSTACK(YES_Writing_ELA[#Data],YES_Writing_FLA[#Data]),MATCH($A303,_xlfn.VSTACK(YES_Writing_ELA[Student Number],YES_Writing_FLA[Student Number]),0),MATCH(VLOOKUP(F$7,'Writing Logic'!$J$7:$K$11,2,FALSE)&amp;" - Per "&amp;VLOOKUP($C$4,'Writing Logic'!$G$8:$H$14,2,FALSE),YES_Writing_ELA[#Headers],0)))),"")</f>
        <v/>
      </c>
      <c r="G303" s="138" t="str">
        <f>IFERROR(IF(IF(INDEX(_xlfn.VSTACK(YES_Writing_ELA[#Data],YES_Writing_FLA[#Data]),MATCH($A303,_xlfn.VSTACK(YES_Writing_ELA[Student Number],YES_Writing_FLA[Student Number]),0),MATCH(VLOOKUP(G$7,'Writing Logic'!$J$7:$K$11,2,FALSE)&amp;" - Per "&amp;VLOOKUP($C$4,'Writing Logic'!$G$8:$H$14,2,FALSE),YES_Writing_ELA[#Headers],0))=0,"",INDEX(_xlfn.VSTACK(YES_Writing_ELA[#Data],YES_Writing_FLA[#Data]),MATCH($A303,_xlfn.VSTACK(YES_Writing_ELA[Student Number],YES_Writing_FLA[Student Number]),0),MATCH(VLOOKUP(G$7,'Writing Logic'!$J$7:$K$11,2,FALSE)&amp;" - Per "&amp;VLOOKUP($C$4,'Writing Logic'!$G$8:$H$14,2,FALSE),YES_Writing_ELA[#Headers],0)))="INS",'Writing Logic'!$B$7,IF(INDEX(_xlfn.VSTACK(YES_Writing_ELA[#Data],YES_Writing_FLA[#Data]),MATCH($A303,_xlfn.VSTACK(YES_Writing_ELA[Student Number],YES_Writing_FLA[Student Number]),0),MATCH(VLOOKUP(G$7,'Writing Logic'!$J$7:$K$11,2,FALSE)&amp;" - Per "&amp;VLOOKUP($C$4,'Writing Logic'!$G$8:$H$14,2,FALSE),YES_Writing_ELA[#Headers],0))=0,"",INDEX(_xlfn.VSTACK(YES_Writing_ELA[#Data],YES_Writing_FLA[#Data]),MATCH($A303,_xlfn.VSTACK(YES_Writing_ELA[Student Number],YES_Writing_FLA[Student Number]),0),MATCH(VLOOKUP(G$7,'Writing Logic'!$J$7:$K$11,2,FALSE)&amp;" - Per "&amp;VLOOKUP($C$4,'Writing Logic'!$G$8:$H$14,2,FALSE),YES_Writing_ELA[#Headers],0)))),"")</f>
        <v/>
      </c>
      <c r="H303" s="138" t="str">
        <f>IFERROR(IF(IF(INDEX(_xlfn.VSTACK(YES_Writing_ELA[#Data],YES_Writing_FLA[#Data]),MATCH($A303,_xlfn.VSTACK(YES_Writing_ELA[Student Number],YES_Writing_FLA[Student Number]),0),MATCH(VLOOKUP(H$7,'Writing Logic'!$J$7:$K$11,2,FALSE)&amp;" - Per "&amp;VLOOKUP($C$4,'Writing Logic'!$G$8:$H$14,2,FALSE),YES_Writing_ELA[#Headers],0))=0,"",INDEX(_xlfn.VSTACK(YES_Writing_ELA[#Data],YES_Writing_FLA[#Data]),MATCH($A303,_xlfn.VSTACK(YES_Writing_ELA[Student Number],YES_Writing_FLA[Student Number]),0),MATCH(VLOOKUP(H$7,'Writing Logic'!$J$7:$K$11,2,FALSE)&amp;" - Per "&amp;VLOOKUP($C$4,'Writing Logic'!$G$8:$H$14,2,FALSE),YES_Writing_ELA[#Headers],0)))="INS",'Writing Logic'!$B$7,IF(INDEX(_xlfn.VSTACK(YES_Writing_ELA[#Data],YES_Writing_FLA[#Data]),MATCH($A303,_xlfn.VSTACK(YES_Writing_ELA[Student Number],YES_Writing_FLA[Student Number]),0),MATCH(VLOOKUP(H$7,'Writing Logic'!$J$7:$K$11,2,FALSE)&amp;" - Per "&amp;VLOOKUP($C$4,'Writing Logic'!$G$8:$H$14,2,FALSE),YES_Writing_ELA[#Headers],0))=0,"",INDEX(_xlfn.VSTACK(YES_Writing_ELA[#Data],YES_Writing_FLA[#Data]),MATCH($A303,_xlfn.VSTACK(YES_Writing_ELA[Student Number],YES_Writing_FLA[Student Number]),0),MATCH(VLOOKUP(H$7,'Writing Logic'!$J$7:$K$11,2,FALSE)&amp;" - Per "&amp;VLOOKUP($C$4,'Writing Logic'!$G$8:$H$14,2,FALSE),YES_Writing_ELA[#Headers],0)))),"")</f>
        <v/>
      </c>
    </row>
    <row r="304" spans="1:8" x14ac:dyDescent="0.25">
      <c r="A304" s="137"/>
      <c r="B304" s="137" t="str">
        <f>IFERROR(INDEX(_xlfn.VSTACK(YES_Writing_ELA[#Data], YES_Writing_FLA[#Data]),MATCH($A304,_xlfn.VSTACK(YES_Writing_ELA[Student Number], YES_Writing_FLA[Student Number]),0),MATCH(B$7,YES_Writing_ELA[#Headers],0)),"")</f>
        <v/>
      </c>
      <c r="C304" s="137" t="str">
        <f>IFERROR(INDEX(_xlfn.VSTACK(YES_Writing_ELA[#Data], YES_Writing_FLA[#Data]),MATCH($A304,_xlfn.VSTACK(YES_Writing_ELA[Student Number], YES_Writing_FLA[Student Number]),0),MATCH(C$7,YES_Writing_ELA[#Headers],0)),"")</f>
        <v/>
      </c>
      <c r="D304" s="138" t="str">
        <f>IFERROR(IF(IF(INDEX(_xlfn.VSTACK(YES_Writing_ELA[#Data],YES_Writing_FLA[#Data]),MATCH($A304,_xlfn.VSTACK(YES_Writing_ELA[Student Number],YES_Writing_FLA[Student Number]),0),MATCH(VLOOKUP(D$7,'Writing Logic'!$J$7:$K$11,2,FALSE)&amp;" - Per "&amp;VLOOKUP($C$4,'Writing Logic'!$G$8:$H$14,2,FALSE),YES_Writing_ELA[#Headers],0))=0,"",INDEX(_xlfn.VSTACK(YES_Writing_ELA[#Data],YES_Writing_FLA[#Data]),MATCH($A304,_xlfn.VSTACK(YES_Writing_ELA[Student Number],YES_Writing_FLA[Student Number]),0),MATCH(VLOOKUP(D$7,'Writing Logic'!$J$7:$K$11,2,FALSE)&amp;" - Per "&amp;VLOOKUP($C$4,'Writing Logic'!$G$8:$H$14,2,FALSE),YES_Writing_ELA[#Headers],0)))="INS",'Writing Logic'!$B$7,IF(INDEX(_xlfn.VSTACK(YES_Writing_ELA[#Data],YES_Writing_FLA[#Data]),MATCH($A304,_xlfn.VSTACK(YES_Writing_ELA[Student Number],YES_Writing_FLA[Student Number]),0),MATCH(VLOOKUP(D$7,'Writing Logic'!$J$7:$K$11,2,FALSE)&amp;" - Per "&amp;VLOOKUP($C$4,'Writing Logic'!$G$8:$H$14,2,FALSE),YES_Writing_ELA[#Headers],0))=0,"",INDEX(_xlfn.VSTACK(YES_Writing_ELA[#Data],YES_Writing_FLA[#Data]),MATCH($A304,_xlfn.VSTACK(YES_Writing_ELA[Student Number],YES_Writing_FLA[Student Number]),0),MATCH(VLOOKUP(D$7,'Writing Logic'!$J$7:$K$11,2,FALSE)&amp;" - Per "&amp;VLOOKUP($C$4,'Writing Logic'!$G$8:$H$14,2,FALSE),YES_Writing_ELA[#Headers],0)))),"")</f>
        <v/>
      </c>
      <c r="E304" s="138" t="str">
        <f>IFERROR(IF(IF(INDEX(_xlfn.VSTACK(YES_Writing_ELA[#Data],YES_Writing_FLA[#Data]),MATCH($A304,_xlfn.VSTACK(YES_Writing_ELA[Student Number],YES_Writing_FLA[Student Number]),0),MATCH(VLOOKUP(E$7,'Writing Logic'!$J$7:$K$11,2,FALSE)&amp;" - Per "&amp;VLOOKUP($C$4,'Writing Logic'!$G$8:$H$14,2,FALSE),YES_Writing_ELA[#Headers],0))=0,"",INDEX(_xlfn.VSTACK(YES_Writing_ELA[#Data],YES_Writing_FLA[#Data]),MATCH($A304,_xlfn.VSTACK(YES_Writing_ELA[Student Number],YES_Writing_FLA[Student Number]),0),MATCH(VLOOKUP(E$7,'Writing Logic'!$J$7:$K$11,2,FALSE)&amp;" - Per "&amp;VLOOKUP($C$4,'Writing Logic'!$G$8:$H$14,2,FALSE),YES_Writing_ELA[#Headers],0)))="INS",'Writing Logic'!$B$7,IF(INDEX(_xlfn.VSTACK(YES_Writing_ELA[#Data],YES_Writing_FLA[#Data]),MATCH($A304,_xlfn.VSTACK(YES_Writing_ELA[Student Number],YES_Writing_FLA[Student Number]),0),MATCH(VLOOKUP(E$7,'Writing Logic'!$J$7:$K$11,2,FALSE)&amp;" - Per "&amp;VLOOKUP($C$4,'Writing Logic'!$G$8:$H$14,2,FALSE),YES_Writing_ELA[#Headers],0))=0,"",INDEX(_xlfn.VSTACK(YES_Writing_ELA[#Data],YES_Writing_FLA[#Data]),MATCH($A304,_xlfn.VSTACK(YES_Writing_ELA[Student Number],YES_Writing_FLA[Student Number]),0),MATCH(VLOOKUP(E$7,'Writing Logic'!$J$7:$K$11,2,FALSE)&amp;" - Per "&amp;VLOOKUP($C$4,'Writing Logic'!$G$8:$H$14,2,FALSE),YES_Writing_ELA[#Headers],0)))),"")</f>
        <v/>
      </c>
      <c r="F304" s="138" t="str">
        <f>IFERROR(IF(IF(INDEX(_xlfn.VSTACK(YES_Writing_ELA[#Data],YES_Writing_FLA[#Data]),MATCH($A304,_xlfn.VSTACK(YES_Writing_ELA[Student Number],YES_Writing_FLA[Student Number]),0),MATCH(VLOOKUP(F$7,'Writing Logic'!$J$7:$K$11,2,FALSE)&amp;" - Per "&amp;VLOOKUP($C$4,'Writing Logic'!$G$8:$H$14,2,FALSE),YES_Writing_ELA[#Headers],0))=0,"",INDEX(_xlfn.VSTACK(YES_Writing_ELA[#Data],YES_Writing_FLA[#Data]),MATCH($A304,_xlfn.VSTACK(YES_Writing_ELA[Student Number],YES_Writing_FLA[Student Number]),0),MATCH(VLOOKUP(F$7,'Writing Logic'!$J$7:$K$11,2,FALSE)&amp;" - Per "&amp;VLOOKUP($C$4,'Writing Logic'!$G$8:$H$14,2,FALSE),YES_Writing_ELA[#Headers],0)))="INS",'Writing Logic'!$B$7,IF(INDEX(_xlfn.VSTACK(YES_Writing_ELA[#Data],YES_Writing_FLA[#Data]),MATCH($A304,_xlfn.VSTACK(YES_Writing_ELA[Student Number],YES_Writing_FLA[Student Number]),0),MATCH(VLOOKUP(F$7,'Writing Logic'!$J$7:$K$11,2,FALSE)&amp;" - Per "&amp;VLOOKUP($C$4,'Writing Logic'!$G$8:$H$14,2,FALSE),YES_Writing_ELA[#Headers],0))=0,"",INDEX(_xlfn.VSTACK(YES_Writing_ELA[#Data],YES_Writing_FLA[#Data]),MATCH($A304,_xlfn.VSTACK(YES_Writing_ELA[Student Number],YES_Writing_FLA[Student Number]),0),MATCH(VLOOKUP(F$7,'Writing Logic'!$J$7:$K$11,2,FALSE)&amp;" - Per "&amp;VLOOKUP($C$4,'Writing Logic'!$G$8:$H$14,2,FALSE),YES_Writing_ELA[#Headers],0)))),"")</f>
        <v/>
      </c>
      <c r="G304" s="138" t="str">
        <f>IFERROR(IF(IF(INDEX(_xlfn.VSTACK(YES_Writing_ELA[#Data],YES_Writing_FLA[#Data]),MATCH($A304,_xlfn.VSTACK(YES_Writing_ELA[Student Number],YES_Writing_FLA[Student Number]),0),MATCH(VLOOKUP(G$7,'Writing Logic'!$J$7:$K$11,2,FALSE)&amp;" - Per "&amp;VLOOKUP($C$4,'Writing Logic'!$G$8:$H$14,2,FALSE),YES_Writing_ELA[#Headers],0))=0,"",INDEX(_xlfn.VSTACK(YES_Writing_ELA[#Data],YES_Writing_FLA[#Data]),MATCH($A304,_xlfn.VSTACK(YES_Writing_ELA[Student Number],YES_Writing_FLA[Student Number]),0),MATCH(VLOOKUP(G$7,'Writing Logic'!$J$7:$K$11,2,FALSE)&amp;" - Per "&amp;VLOOKUP($C$4,'Writing Logic'!$G$8:$H$14,2,FALSE),YES_Writing_ELA[#Headers],0)))="INS",'Writing Logic'!$B$7,IF(INDEX(_xlfn.VSTACK(YES_Writing_ELA[#Data],YES_Writing_FLA[#Data]),MATCH($A304,_xlfn.VSTACK(YES_Writing_ELA[Student Number],YES_Writing_FLA[Student Number]),0),MATCH(VLOOKUP(G$7,'Writing Logic'!$J$7:$K$11,2,FALSE)&amp;" - Per "&amp;VLOOKUP($C$4,'Writing Logic'!$G$8:$H$14,2,FALSE),YES_Writing_ELA[#Headers],0))=0,"",INDEX(_xlfn.VSTACK(YES_Writing_ELA[#Data],YES_Writing_FLA[#Data]),MATCH($A304,_xlfn.VSTACK(YES_Writing_ELA[Student Number],YES_Writing_FLA[Student Number]),0),MATCH(VLOOKUP(G$7,'Writing Logic'!$J$7:$K$11,2,FALSE)&amp;" - Per "&amp;VLOOKUP($C$4,'Writing Logic'!$G$8:$H$14,2,FALSE),YES_Writing_ELA[#Headers],0)))),"")</f>
        <v/>
      </c>
      <c r="H304" s="138" t="str">
        <f>IFERROR(IF(IF(INDEX(_xlfn.VSTACK(YES_Writing_ELA[#Data],YES_Writing_FLA[#Data]),MATCH($A304,_xlfn.VSTACK(YES_Writing_ELA[Student Number],YES_Writing_FLA[Student Number]),0),MATCH(VLOOKUP(H$7,'Writing Logic'!$J$7:$K$11,2,FALSE)&amp;" - Per "&amp;VLOOKUP($C$4,'Writing Logic'!$G$8:$H$14,2,FALSE),YES_Writing_ELA[#Headers],0))=0,"",INDEX(_xlfn.VSTACK(YES_Writing_ELA[#Data],YES_Writing_FLA[#Data]),MATCH($A304,_xlfn.VSTACK(YES_Writing_ELA[Student Number],YES_Writing_FLA[Student Number]),0),MATCH(VLOOKUP(H$7,'Writing Logic'!$J$7:$K$11,2,FALSE)&amp;" - Per "&amp;VLOOKUP($C$4,'Writing Logic'!$G$8:$H$14,2,FALSE),YES_Writing_ELA[#Headers],0)))="INS",'Writing Logic'!$B$7,IF(INDEX(_xlfn.VSTACK(YES_Writing_ELA[#Data],YES_Writing_FLA[#Data]),MATCH($A304,_xlfn.VSTACK(YES_Writing_ELA[Student Number],YES_Writing_FLA[Student Number]),0),MATCH(VLOOKUP(H$7,'Writing Logic'!$J$7:$K$11,2,FALSE)&amp;" - Per "&amp;VLOOKUP($C$4,'Writing Logic'!$G$8:$H$14,2,FALSE),YES_Writing_ELA[#Headers],0))=0,"",INDEX(_xlfn.VSTACK(YES_Writing_ELA[#Data],YES_Writing_FLA[#Data]),MATCH($A304,_xlfn.VSTACK(YES_Writing_ELA[Student Number],YES_Writing_FLA[Student Number]),0),MATCH(VLOOKUP(H$7,'Writing Logic'!$J$7:$K$11,2,FALSE)&amp;" - Per "&amp;VLOOKUP($C$4,'Writing Logic'!$G$8:$H$14,2,FALSE),YES_Writing_ELA[#Headers],0)))),"")</f>
        <v/>
      </c>
    </row>
    <row r="305" spans="1:8" x14ac:dyDescent="0.25">
      <c r="A305" s="137"/>
      <c r="B305" s="137" t="str">
        <f>IFERROR(INDEX(_xlfn.VSTACK(YES_Writing_ELA[#Data], YES_Writing_FLA[#Data]),MATCH($A305,_xlfn.VSTACK(YES_Writing_ELA[Student Number], YES_Writing_FLA[Student Number]),0),MATCH(B$7,YES_Writing_ELA[#Headers],0)),"")</f>
        <v/>
      </c>
      <c r="C305" s="137" t="str">
        <f>IFERROR(INDEX(_xlfn.VSTACK(YES_Writing_ELA[#Data], YES_Writing_FLA[#Data]),MATCH($A305,_xlfn.VSTACK(YES_Writing_ELA[Student Number], YES_Writing_FLA[Student Number]),0),MATCH(C$7,YES_Writing_ELA[#Headers],0)),"")</f>
        <v/>
      </c>
      <c r="D305" s="138" t="str">
        <f>IFERROR(IF(IF(INDEX(_xlfn.VSTACK(YES_Writing_ELA[#Data],YES_Writing_FLA[#Data]),MATCH($A305,_xlfn.VSTACK(YES_Writing_ELA[Student Number],YES_Writing_FLA[Student Number]),0),MATCH(VLOOKUP(D$7,'Writing Logic'!$J$7:$K$11,2,FALSE)&amp;" - Per "&amp;VLOOKUP($C$4,'Writing Logic'!$G$8:$H$14,2,FALSE),YES_Writing_ELA[#Headers],0))=0,"",INDEX(_xlfn.VSTACK(YES_Writing_ELA[#Data],YES_Writing_FLA[#Data]),MATCH($A305,_xlfn.VSTACK(YES_Writing_ELA[Student Number],YES_Writing_FLA[Student Number]),0),MATCH(VLOOKUP(D$7,'Writing Logic'!$J$7:$K$11,2,FALSE)&amp;" - Per "&amp;VLOOKUP($C$4,'Writing Logic'!$G$8:$H$14,2,FALSE),YES_Writing_ELA[#Headers],0)))="INS",'Writing Logic'!$B$7,IF(INDEX(_xlfn.VSTACK(YES_Writing_ELA[#Data],YES_Writing_FLA[#Data]),MATCH($A305,_xlfn.VSTACK(YES_Writing_ELA[Student Number],YES_Writing_FLA[Student Number]),0),MATCH(VLOOKUP(D$7,'Writing Logic'!$J$7:$K$11,2,FALSE)&amp;" - Per "&amp;VLOOKUP($C$4,'Writing Logic'!$G$8:$H$14,2,FALSE),YES_Writing_ELA[#Headers],0))=0,"",INDEX(_xlfn.VSTACK(YES_Writing_ELA[#Data],YES_Writing_FLA[#Data]),MATCH($A305,_xlfn.VSTACK(YES_Writing_ELA[Student Number],YES_Writing_FLA[Student Number]),0),MATCH(VLOOKUP(D$7,'Writing Logic'!$J$7:$K$11,2,FALSE)&amp;" - Per "&amp;VLOOKUP($C$4,'Writing Logic'!$G$8:$H$14,2,FALSE),YES_Writing_ELA[#Headers],0)))),"")</f>
        <v/>
      </c>
      <c r="E305" s="138" t="str">
        <f>IFERROR(IF(IF(INDEX(_xlfn.VSTACK(YES_Writing_ELA[#Data],YES_Writing_FLA[#Data]),MATCH($A305,_xlfn.VSTACK(YES_Writing_ELA[Student Number],YES_Writing_FLA[Student Number]),0),MATCH(VLOOKUP(E$7,'Writing Logic'!$J$7:$K$11,2,FALSE)&amp;" - Per "&amp;VLOOKUP($C$4,'Writing Logic'!$G$8:$H$14,2,FALSE),YES_Writing_ELA[#Headers],0))=0,"",INDEX(_xlfn.VSTACK(YES_Writing_ELA[#Data],YES_Writing_FLA[#Data]),MATCH($A305,_xlfn.VSTACK(YES_Writing_ELA[Student Number],YES_Writing_FLA[Student Number]),0),MATCH(VLOOKUP(E$7,'Writing Logic'!$J$7:$K$11,2,FALSE)&amp;" - Per "&amp;VLOOKUP($C$4,'Writing Logic'!$G$8:$H$14,2,FALSE),YES_Writing_ELA[#Headers],0)))="INS",'Writing Logic'!$B$7,IF(INDEX(_xlfn.VSTACK(YES_Writing_ELA[#Data],YES_Writing_FLA[#Data]),MATCH($A305,_xlfn.VSTACK(YES_Writing_ELA[Student Number],YES_Writing_FLA[Student Number]),0),MATCH(VLOOKUP(E$7,'Writing Logic'!$J$7:$K$11,2,FALSE)&amp;" - Per "&amp;VLOOKUP($C$4,'Writing Logic'!$G$8:$H$14,2,FALSE),YES_Writing_ELA[#Headers],0))=0,"",INDEX(_xlfn.VSTACK(YES_Writing_ELA[#Data],YES_Writing_FLA[#Data]),MATCH($A305,_xlfn.VSTACK(YES_Writing_ELA[Student Number],YES_Writing_FLA[Student Number]),0),MATCH(VLOOKUP(E$7,'Writing Logic'!$J$7:$K$11,2,FALSE)&amp;" - Per "&amp;VLOOKUP($C$4,'Writing Logic'!$G$8:$H$14,2,FALSE),YES_Writing_ELA[#Headers],0)))),"")</f>
        <v/>
      </c>
      <c r="F305" s="138" t="str">
        <f>IFERROR(IF(IF(INDEX(_xlfn.VSTACK(YES_Writing_ELA[#Data],YES_Writing_FLA[#Data]),MATCH($A305,_xlfn.VSTACK(YES_Writing_ELA[Student Number],YES_Writing_FLA[Student Number]),0),MATCH(VLOOKUP(F$7,'Writing Logic'!$J$7:$K$11,2,FALSE)&amp;" - Per "&amp;VLOOKUP($C$4,'Writing Logic'!$G$8:$H$14,2,FALSE),YES_Writing_ELA[#Headers],0))=0,"",INDEX(_xlfn.VSTACK(YES_Writing_ELA[#Data],YES_Writing_FLA[#Data]),MATCH($A305,_xlfn.VSTACK(YES_Writing_ELA[Student Number],YES_Writing_FLA[Student Number]),0),MATCH(VLOOKUP(F$7,'Writing Logic'!$J$7:$K$11,2,FALSE)&amp;" - Per "&amp;VLOOKUP($C$4,'Writing Logic'!$G$8:$H$14,2,FALSE),YES_Writing_ELA[#Headers],0)))="INS",'Writing Logic'!$B$7,IF(INDEX(_xlfn.VSTACK(YES_Writing_ELA[#Data],YES_Writing_FLA[#Data]),MATCH($A305,_xlfn.VSTACK(YES_Writing_ELA[Student Number],YES_Writing_FLA[Student Number]),0),MATCH(VLOOKUP(F$7,'Writing Logic'!$J$7:$K$11,2,FALSE)&amp;" - Per "&amp;VLOOKUP($C$4,'Writing Logic'!$G$8:$H$14,2,FALSE),YES_Writing_ELA[#Headers],0))=0,"",INDEX(_xlfn.VSTACK(YES_Writing_ELA[#Data],YES_Writing_FLA[#Data]),MATCH($A305,_xlfn.VSTACK(YES_Writing_ELA[Student Number],YES_Writing_FLA[Student Number]),0),MATCH(VLOOKUP(F$7,'Writing Logic'!$J$7:$K$11,2,FALSE)&amp;" - Per "&amp;VLOOKUP($C$4,'Writing Logic'!$G$8:$H$14,2,FALSE),YES_Writing_ELA[#Headers],0)))),"")</f>
        <v/>
      </c>
      <c r="G305" s="138" t="str">
        <f>IFERROR(IF(IF(INDEX(_xlfn.VSTACK(YES_Writing_ELA[#Data],YES_Writing_FLA[#Data]),MATCH($A305,_xlfn.VSTACK(YES_Writing_ELA[Student Number],YES_Writing_FLA[Student Number]),0),MATCH(VLOOKUP(G$7,'Writing Logic'!$J$7:$K$11,2,FALSE)&amp;" - Per "&amp;VLOOKUP($C$4,'Writing Logic'!$G$8:$H$14,2,FALSE),YES_Writing_ELA[#Headers],0))=0,"",INDEX(_xlfn.VSTACK(YES_Writing_ELA[#Data],YES_Writing_FLA[#Data]),MATCH($A305,_xlfn.VSTACK(YES_Writing_ELA[Student Number],YES_Writing_FLA[Student Number]),0),MATCH(VLOOKUP(G$7,'Writing Logic'!$J$7:$K$11,2,FALSE)&amp;" - Per "&amp;VLOOKUP($C$4,'Writing Logic'!$G$8:$H$14,2,FALSE),YES_Writing_ELA[#Headers],0)))="INS",'Writing Logic'!$B$7,IF(INDEX(_xlfn.VSTACK(YES_Writing_ELA[#Data],YES_Writing_FLA[#Data]),MATCH($A305,_xlfn.VSTACK(YES_Writing_ELA[Student Number],YES_Writing_FLA[Student Number]),0),MATCH(VLOOKUP(G$7,'Writing Logic'!$J$7:$K$11,2,FALSE)&amp;" - Per "&amp;VLOOKUP($C$4,'Writing Logic'!$G$8:$H$14,2,FALSE),YES_Writing_ELA[#Headers],0))=0,"",INDEX(_xlfn.VSTACK(YES_Writing_ELA[#Data],YES_Writing_FLA[#Data]),MATCH($A305,_xlfn.VSTACK(YES_Writing_ELA[Student Number],YES_Writing_FLA[Student Number]),0),MATCH(VLOOKUP(G$7,'Writing Logic'!$J$7:$K$11,2,FALSE)&amp;" - Per "&amp;VLOOKUP($C$4,'Writing Logic'!$G$8:$H$14,2,FALSE),YES_Writing_ELA[#Headers],0)))),"")</f>
        <v/>
      </c>
      <c r="H305" s="138" t="str">
        <f>IFERROR(IF(IF(INDEX(_xlfn.VSTACK(YES_Writing_ELA[#Data],YES_Writing_FLA[#Data]),MATCH($A305,_xlfn.VSTACK(YES_Writing_ELA[Student Number],YES_Writing_FLA[Student Number]),0),MATCH(VLOOKUP(H$7,'Writing Logic'!$J$7:$K$11,2,FALSE)&amp;" - Per "&amp;VLOOKUP($C$4,'Writing Logic'!$G$8:$H$14,2,FALSE),YES_Writing_ELA[#Headers],0))=0,"",INDEX(_xlfn.VSTACK(YES_Writing_ELA[#Data],YES_Writing_FLA[#Data]),MATCH($A305,_xlfn.VSTACK(YES_Writing_ELA[Student Number],YES_Writing_FLA[Student Number]),0),MATCH(VLOOKUP(H$7,'Writing Logic'!$J$7:$K$11,2,FALSE)&amp;" - Per "&amp;VLOOKUP($C$4,'Writing Logic'!$G$8:$H$14,2,FALSE),YES_Writing_ELA[#Headers],0)))="INS",'Writing Logic'!$B$7,IF(INDEX(_xlfn.VSTACK(YES_Writing_ELA[#Data],YES_Writing_FLA[#Data]),MATCH($A305,_xlfn.VSTACK(YES_Writing_ELA[Student Number],YES_Writing_FLA[Student Number]),0),MATCH(VLOOKUP(H$7,'Writing Logic'!$J$7:$K$11,2,FALSE)&amp;" - Per "&amp;VLOOKUP($C$4,'Writing Logic'!$G$8:$H$14,2,FALSE),YES_Writing_ELA[#Headers],0))=0,"",INDEX(_xlfn.VSTACK(YES_Writing_ELA[#Data],YES_Writing_FLA[#Data]),MATCH($A305,_xlfn.VSTACK(YES_Writing_ELA[Student Number],YES_Writing_FLA[Student Number]),0),MATCH(VLOOKUP(H$7,'Writing Logic'!$J$7:$K$11,2,FALSE)&amp;" - Per "&amp;VLOOKUP($C$4,'Writing Logic'!$G$8:$H$14,2,FALSE),YES_Writing_ELA[#Headers],0)))),"")</f>
        <v/>
      </c>
    </row>
    <row r="306" spans="1:8" x14ac:dyDescent="0.25">
      <c r="A306" s="137"/>
      <c r="B306" s="137" t="str">
        <f>IFERROR(INDEX(_xlfn.VSTACK(YES_Writing_ELA[#Data], YES_Writing_FLA[#Data]),MATCH($A306,_xlfn.VSTACK(YES_Writing_ELA[Student Number], YES_Writing_FLA[Student Number]),0),MATCH(B$7,YES_Writing_ELA[#Headers],0)),"")</f>
        <v/>
      </c>
      <c r="C306" s="137" t="str">
        <f>IFERROR(INDEX(_xlfn.VSTACK(YES_Writing_ELA[#Data], YES_Writing_FLA[#Data]),MATCH($A306,_xlfn.VSTACK(YES_Writing_ELA[Student Number], YES_Writing_FLA[Student Number]),0),MATCH(C$7,YES_Writing_ELA[#Headers],0)),"")</f>
        <v/>
      </c>
      <c r="D306" s="138" t="str">
        <f>IFERROR(IF(IF(INDEX(_xlfn.VSTACK(YES_Writing_ELA[#Data],YES_Writing_FLA[#Data]),MATCH($A306,_xlfn.VSTACK(YES_Writing_ELA[Student Number],YES_Writing_FLA[Student Number]),0),MATCH(VLOOKUP(D$7,'Writing Logic'!$J$7:$K$11,2,FALSE)&amp;" - Per "&amp;VLOOKUP($C$4,'Writing Logic'!$G$8:$H$14,2,FALSE),YES_Writing_ELA[#Headers],0))=0,"",INDEX(_xlfn.VSTACK(YES_Writing_ELA[#Data],YES_Writing_FLA[#Data]),MATCH($A306,_xlfn.VSTACK(YES_Writing_ELA[Student Number],YES_Writing_FLA[Student Number]),0),MATCH(VLOOKUP(D$7,'Writing Logic'!$J$7:$K$11,2,FALSE)&amp;" - Per "&amp;VLOOKUP($C$4,'Writing Logic'!$G$8:$H$14,2,FALSE),YES_Writing_ELA[#Headers],0)))="INS",'Writing Logic'!$B$7,IF(INDEX(_xlfn.VSTACK(YES_Writing_ELA[#Data],YES_Writing_FLA[#Data]),MATCH($A306,_xlfn.VSTACK(YES_Writing_ELA[Student Number],YES_Writing_FLA[Student Number]),0),MATCH(VLOOKUP(D$7,'Writing Logic'!$J$7:$K$11,2,FALSE)&amp;" - Per "&amp;VLOOKUP($C$4,'Writing Logic'!$G$8:$H$14,2,FALSE),YES_Writing_ELA[#Headers],0))=0,"",INDEX(_xlfn.VSTACK(YES_Writing_ELA[#Data],YES_Writing_FLA[#Data]),MATCH($A306,_xlfn.VSTACK(YES_Writing_ELA[Student Number],YES_Writing_FLA[Student Number]),0),MATCH(VLOOKUP(D$7,'Writing Logic'!$J$7:$K$11,2,FALSE)&amp;" - Per "&amp;VLOOKUP($C$4,'Writing Logic'!$G$8:$H$14,2,FALSE),YES_Writing_ELA[#Headers],0)))),"")</f>
        <v/>
      </c>
      <c r="E306" s="138" t="str">
        <f>IFERROR(IF(IF(INDEX(_xlfn.VSTACK(YES_Writing_ELA[#Data],YES_Writing_FLA[#Data]),MATCH($A306,_xlfn.VSTACK(YES_Writing_ELA[Student Number],YES_Writing_FLA[Student Number]),0),MATCH(VLOOKUP(E$7,'Writing Logic'!$J$7:$K$11,2,FALSE)&amp;" - Per "&amp;VLOOKUP($C$4,'Writing Logic'!$G$8:$H$14,2,FALSE),YES_Writing_ELA[#Headers],0))=0,"",INDEX(_xlfn.VSTACK(YES_Writing_ELA[#Data],YES_Writing_FLA[#Data]),MATCH($A306,_xlfn.VSTACK(YES_Writing_ELA[Student Number],YES_Writing_FLA[Student Number]),0),MATCH(VLOOKUP(E$7,'Writing Logic'!$J$7:$K$11,2,FALSE)&amp;" - Per "&amp;VLOOKUP($C$4,'Writing Logic'!$G$8:$H$14,2,FALSE),YES_Writing_ELA[#Headers],0)))="INS",'Writing Logic'!$B$7,IF(INDEX(_xlfn.VSTACK(YES_Writing_ELA[#Data],YES_Writing_FLA[#Data]),MATCH($A306,_xlfn.VSTACK(YES_Writing_ELA[Student Number],YES_Writing_FLA[Student Number]),0),MATCH(VLOOKUP(E$7,'Writing Logic'!$J$7:$K$11,2,FALSE)&amp;" - Per "&amp;VLOOKUP($C$4,'Writing Logic'!$G$8:$H$14,2,FALSE),YES_Writing_ELA[#Headers],0))=0,"",INDEX(_xlfn.VSTACK(YES_Writing_ELA[#Data],YES_Writing_FLA[#Data]),MATCH($A306,_xlfn.VSTACK(YES_Writing_ELA[Student Number],YES_Writing_FLA[Student Number]),0),MATCH(VLOOKUP(E$7,'Writing Logic'!$J$7:$K$11,2,FALSE)&amp;" - Per "&amp;VLOOKUP($C$4,'Writing Logic'!$G$8:$H$14,2,FALSE),YES_Writing_ELA[#Headers],0)))),"")</f>
        <v/>
      </c>
      <c r="F306" s="138" t="str">
        <f>IFERROR(IF(IF(INDEX(_xlfn.VSTACK(YES_Writing_ELA[#Data],YES_Writing_FLA[#Data]),MATCH($A306,_xlfn.VSTACK(YES_Writing_ELA[Student Number],YES_Writing_FLA[Student Number]),0),MATCH(VLOOKUP(F$7,'Writing Logic'!$J$7:$K$11,2,FALSE)&amp;" - Per "&amp;VLOOKUP($C$4,'Writing Logic'!$G$8:$H$14,2,FALSE),YES_Writing_ELA[#Headers],0))=0,"",INDEX(_xlfn.VSTACK(YES_Writing_ELA[#Data],YES_Writing_FLA[#Data]),MATCH($A306,_xlfn.VSTACK(YES_Writing_ELA[Student Number],YES_Writing_FLA[Student Number]),0),MATCH(VLOOKUP(F$7,'Writing Logic'!$J$7:$K$11,2,FALSE)&amp;" - Per "&amp;VLOOKUP($C$4,'Writing Logic'!$G$8:$H$14,2,FALSE),YES_Writing_ELA[#Headers],0)))="INS",'Writing Logic'!$B$7,IF(INDEX(_xlfn.VSTACK(YES_Writing_ELA[#Data],YES_Writing_FLA[#Data]),MATCH($A306,_xlfn.VSTACK(YES_Writing_ELA[Student Number],YES_Writing_FLA[Student Number]),0),MATCH(VLOOKUP(F$7,'Writing Logic'!$J$7:$K$11,2,FALSE)&amp;" - Per "&amp;VLOOKUP($C$4,'Writing Logic'!$G$8:$H$14,2,FALSE),YES_Writing_ELA[#Headers],0))=0,"",INDEX(_xlfn.VSTACK(YES_Writing_ELA[#Data],YES_Writing_FLA[#Data]),MATCH($A306,_xlfn.VSTACK(YES_Writing_ELA[Student Number],YES_Writing_FLA[Student Number]),0),MATCH(VLOOKUP(F$7,'Writing Logic'!$J$7:$K$11,2,FALSE)&amp;" - Per "&amp;VLOOKUP($C$4,'Writing Logic'!$G$8:$H$14,2,FALSE),YES_Writing_ELA[#Headers],0)))),"")</f>
        <v/>
      </c>
      <c r="G306" s="138" t="str">
        <f>IFERROR(IF(IF(INDEX(_xlfn.VSTACK(YES_Writing_ELA[#Data],YES_Writing_FLA[#Data]),MATCH($A306,_xlfn.VSTACK(YES_Writing_ELA[Student Number],YES_Writing_FLA[Student Number]),0),MATCH(VLOOKUP(G$7,'Writing Logic'!$J$7:$K$11,2,FALSE)&amp;" - Per "&amp;VLOOKUP($C$4,'Writing Logic'!$G$8:$H$14,2,FALSE),YES_Writing_ELA[#Headers],0))=0,"",INDEX(_xlfn.VSTACK(YES_Writing_ELA[#Data],YES_Writing_FLA[#Data]),MATCH($A306,_xlfn.VSTACK(YES_Writing_ELA[Student Number],YES_Writing_FLA[Student Number]),0),MATCH(VLOOKUP(G$7,'Writing Logic'!$J$7:$K$11,2,FALSE)&amp;" - Per "&amp;VLOOKUP($C$4,'Writing Logic'!$G$8:$H$14,2,FALSE),YES_Writing_ELA[#Headers],0)))="INS",'Writing Logic'!$B$7,IF(INDEX(_xlfn.VSTACK(YES_Writing_ELA[#Data],YES_Writing_FLA[#Data]),MATCH($A306,_xlfn.VSTACK(YES_Writing_ELA[Student Number],YES_Writing_FLA[Student Number]),0),MATCH(VLOOKUP(G$7,'Writing Logic'!$J$7:$K$11,2,FALSE)&amp;" - Per "&amp;VLOOKUP($C$4,'Writing Logic'!$G$8:$H$14,2,FALSE),YES_Writing_ELA[#Headers],0))=0,"",INDEX(_xlfn.VSTACK(YES_Writing_ELA[#Data],YES_Writing_FLA[#Data]),MATCH($A306,_xlfn.VSTACK(YES_Writing_ELA[Student Number],YES_Writing_FLA[Student Number]),0),MATCH(VLOOKUP(G$7,'Writing Logic'!$J$7:$K$11,2,FALSE)&amp;" - Per "&amp;VLOOKUP($C$4,'Writing Logic'!$G$8:$H$14,2,FALSE),YES_Writing_ELA[#Headers],0)))),"")</f>
        <v/>
      </c>
      <c r="H306" s="138" t="str">
        <f>IFERROR(IF(IF(INDEX(_xlfn.VSTACK(YES_Writing_ELA[#Data],YES_Writing_FLA[#Data]),MATCH($A306,_xlfn.VSTACK(YES_Writing_ELA[Student Number],YES_Writing_FLA[Student Number]),0),MATCH(VLOOKUP(H$7,'Writing Logic'!$J$7:$K$11,2,FALSE)&amp;" - Per "&amp;VLOOKUP($C$4,'Writing Logic'!$G$8:$H$14,2,FALSE),YES_Writing_ELA[#Headers],0))=0,"",INDEX(_xlfn.VSTACK(YES_Writing_ELA[#Data],YES_Writing_FLA[#Data]),MATCH($A306,_xlfn.VSTACK(YES_Writing_ELA[Student Number],YES_Writing_FLA[Student Number]),0),MATCH(VLOOKUP(H$7,'Writing Logic'!$J$7:$K$11,2,FALSE)&amp;" - Per "&amp;VLOOKUP($C$4,'Writing Logic'!$G$8:$H$14,2,FALSE),YES_Writing_ELA[#Headers],0)))="INS",'Writing Logic'!$B$7,IF(INDEX(_xlfn.VSTACK(YES_Writing_ELA[#Data],YES_Writing_FLA[#Data]),MATCH($A306,_xlfn.VSTACK(YES_Writing_ELA[Student Number],YES_Writing_FLA[Student Number]),0),MATCH(VLOOKUP(H$7,'Writing Logic'!$J$7:$K$11,2,FALSE)&amp;" - Per "&amp;VLOOKUP($C$4,'Writing Logic'!$G$8:$H$14,2,FALSE),YES_Writing_ELA[#Headers],0))=0,"",INDEX(_xlfn.VSTACK(YES_Writing_ELA[#Data],YES_Writing_FLA[#Data]),MATCH($A306,_xlfn.VSTACK(YES_Writing_ELA[Student Number],YES_Writing_FLA[Student Number]),0),MATCH(VLOOKUP(H$7,'Writing Logic'!$J$7:$K$11,2,FALSE)&amp;" - Per "&amp;VLOOKUP($C$4,'Writing Logic'!$G$8:$H$14,2,FALSE),YES_Writing_ELA[#Headers],0)))),"")</f>
        <v/>
      </c>
    </row>
    <row r="307" spans="1:8" x14ac:dyDescent="0.25">
      <c r="A307" s="137"/>
      <c r="B307" s="137" t="str">
        <f>IFERROR(INDEX(_xlfn.VSTACK(YES_Writing_ELA[#Data], YES_Writing_FLA[#Data]),MATCH($A307,_xlfn.VSTACK(YES_Writing_ELA[Student Number], YES_Writing_FLA[Student Number]),0),MATCH(B$7,YES_Writing_ELA[#Headers],0)),"")</f>
        <v/>
      </c>
      <c r="C307" s="137" t="str">
        <f>IFERROR(INDEX(_xlfn.VSTACK(YES_Writing_ELA[#Data], YES_Writing_FLA[#Data]),MATCH($A307,_xlfn.VSTACK(YES_Writing_ELA[Student Number], YES_Writing_FLA[Student Number]),0),MATCH(C$7,YES_Writing_ELA[#Headers],0)),"")</f>
        <v/>
      </c>
      <c r="D307" s="138" t="str">
        <f>IFERROR(IF(IF(INDEX(_xlfn.VSTACK(YES_Writing_ELA[#Data],YES_Writing_FLA[#Data]),MATCH($A307,_xlfn.VSTACK(YES_Writing_ELA[Student Number],YES_Writing_FLA[Student Number]),0),MATCH(VLOOKUP(D$7,'Writing Logic'!$J$7:$K$11,2,FALSE)&amp;" - Per "&amp;VLOOKUP($C$4,'Writing Logic'!$G$8:$H$14,2,FALSE),YES_Writing_ELA[#Headers],0))=0,"",INDEX(_xlfn.VSTACK(YES_Writing_ELA[#Data],YES_Writing_FLA[#Data]),MATCH($A307,_xlfn.VSTACK(YES_Writing_ELA[Student Number],YES_Writing_FLA[Student Number]),0),MATCH(VLOOKUP(D$7,'Writing Logic'!$J$7:$K$11,2,FALSE)&amp;" - Per "&amp;VLOOKUP($C$4,'Writing Logic'!$G$8:$H$14,2,FALSE),YES_Writing_ELA[#Headers],0)))="INS",'Writing Logic'!$B$7,IF(INDEX(_xlfn.VSTACK(YES_Writing_ELA[#Data],YES_Writing_FLA[#Data]),MATCH($A307,_xlfn.VSTACK(YES_Writing_ELA[Student Number],YES_Writing_FLA[Student Number]),0),MATCH(VLOOKUP(D$7,'Writing Logic'!$J$7:$K$11,2,FALSE)&amp;" - Per "&amp;VLOOKUP($C$4,'Writing Logic'!$G$8:$H$14,2,FALSE),YES_Writing_ELA[#Headers],0))=0,"",INDEX(_xlfn.VSTACK(YES_Writing_ELA[#Data],YES_Writing_FLA[#Data]),MATCH($A307,_xlfn.VSTACK(YES_Writing_ELA[Student Number],YES_Writing_FLA[Student Number]),0),MATCH(VLOOKUP(D$7,'Writing Logic'!$J$7:$K$11,2,FALSE)&amp;" - Per "&amp;VLOOKUP($C$4,'Writing Logic'!$G$8:$H$14,2,FALSE),YES_Writing_ELA[#Headers],0)))),"")</f>
        <v/>
      </c>
      <c r="E307" s="138" t="str">
        <f>IFERROR(IF(IF(INDEX(_xlfn.VSTACK(YES_Writing_ELA[#Data],YES_Writing_FLA[#Data]),MATCH($A307,_xlfn.VSTACK(YES_Writing_ELA[Student Number],YES_Writing_FLA[Student Number]),0),MATCH(VLOOKUP(E$7,'Writing Logic'!$J$7:$K$11,2,FALSE)&amp;" - Per "&amp;VLOOKUP($C$4,'Writing Logic'!$G$8:$H$14,2,FALSE),YES_Writing_ELA[#Headers],0))=0,"",INDEX(_xlfn.VSTACK(YES_Writing_ELA[#Data],YES_Writing_FLA[#Data]),MATCH($A307,_xlfn.VSTACK(YES_Writing_ELA[Student Number],YES_Writing_FLA[Student Number]),0),MATCH(VLOOKUP(E$7,'Writing Logic'!$J$7:$K$11,2,FALSE)&amp;" - Per "&amp;VLOOKUP($C$4,'Writing Logic'!$G$8:$H$14,2,FALSE),YES_Writing_ELA[#Headers],0)))="INS",'Writing Logic'!$B$7,IF(INDEX(_xlfn.VSTACK(YES_Writing_ELA[#Data],YES_Writing_FLA[#Data]),MATCH($A307,_xlfn.VSTACK(YES_Writing_ELA[Student Number],YES_Writing_FLA[Student Number]),0),MATCH(VLOOKUP(E$7,'Writing Logic'!$J$7:$K$11,2,FALSE)&amp;" - Per "&amp;VLOOKUP($C$4,'Writing Logic'!$G$8:$H$14,2,FALSE),YES_Writing_ELA[#Headers],0))=0,"",INDEX(_xlfn.VSTACK(YES_Writing_ELA[#Data],YES_Writing_FLA[#Data]),MATCH($A307,_xlfn.VSTACK(YES_Writing_ELA[Student Number],YES_Writing_FLA[Student Number]),0),MATCH(VLOOKUP(E$7,'Writing Logic'!$J$7:$K$11,2,FALSE)&amp;" - Per "&amp;VLOOKUP($C$4,'Writing Logic'!$G$8:$H$14,2,FALSE),YES_Writing_ELA[#Headers],0)))),"")</f>
        <v/>
      </c>
      <c r="F307" s="138" t="str">
        <f>IFERROR(IF(IF(INDEX(_xlfn.VSTACK(YES_Writing_ELA[#Data],YES_Writing_FLA[#Data]),MATCH($A307,_xlfn.VSTACK(YES_Writing_ELA[Student Number],YES_Writing_FLA[Student Number]),0),MATCH(VLOOKUP(F$7,'Writing Logic'!$J$7:$K$11,2,FALSE)&amp;" - Per "&amp;VLOOKUP($C$4,'Writing Logic'!$G$8:$H$14,2,FALSE),YES_Writing_ELA[#Headers],0))=0,"",INDEX(_xlfn.VSTACK(YES_Writing_ELA[#Data],YES_Writing_FLA[#Data]),MATCH($A307,_xlfn.VSTACK(YES_Writing_ELA[Student Number],YES_Writing_FLA[Student Number]),0),MATCH(VLOOKUP(F$7,'Writing Logic'!$J$7:$K$11,2,FALSE)&amp;" - Per "&amp;VLOOKUP($C$4,'Writing Logic'!$G$8:$H$14,2,FALSE),YES_Writing_ELA[#Headers],0)))="INS",'Writing Logic'!$B$7,IF(INDEX(_xlfn.VSTACK(YES_Writing_ELA[#Data],YES_Writing_FLA[#Data]),MATCH($A307,_xlfn.VSTACK(YES_Writing_ELA[Student Number],YES_Writing_FLA[Student Number]),0),MATCH(VLOOKUP(F$7,'Writing Logic'!$J$7:$K$11,2,FALSE)&amp;" - Per "&amp;VLOOKUP($C$4,'Writing Logic'!$G$8:$H$14,2,FALSE),YES_Writing_ELA[#Headers],0))=0,"",INDEX(_xlfn.VSTACK(YES_Writing_ELA[#Data],YES_Writing_FLA[#Data]),MATCH($A307,_xlfn.VSTACK(YES_Writing_ELA[Student Number],YES_Writing_FLA[Student Number]),0),MATCH(VLOOKUP(F$7,'Writing Logic'!$J$7:$K$11,2,FALSE)&amp;" - Per "&amp;VLOOKUP($C$4,'Writing Logic'!$G$8:$H$14,2,FALSE),YES_Writing_ELA[#Headers],0)))),"")</f>
        <v/>
      </c>
      <c r="G307" s="138" t="str">
        <f>IFERROR(IF(IF(INDEX(_xlfn.VSTACK(YES_Writing_ELA[#Data],YES_Writing_FLA[#Data]),MATCH($A307,_xlfn.VSTACK(YES_Writing_ELA[Student Number],YES_Writing_FLA[Student Number]),0),MATCH(VLOOKUP(G$7,'Writing Logic'!$J$7:$K$11,2,FALSE)&amp;" - Per "&amp;VLOOKUP($C$4,'Writing Logic'!$G$8:$H$14,2,FALSE),YES_Writing_ELA[#Headers],0))=0,"",INDEX(_xlfn.VSTACK(YES_Writing_ELA[#Data],YES_Writing_FLA[#Data]),MATCH($A307,_xlfn.VSTACK(YES_Writing_ELA[Student Number],YES_Writing_FLA[Student Number]),0),MATCH(VLOOKUP(G$7,'Writing Logic'!$J$7:$K$11,2,FALSE)&amp;" - Per "&amp;VLOOKUP($C$4,'Writing Logic'!$G$8:$H$14,2,FALSE),YES_Writing_ELA[#Headers],0)))="INS",'Writing Logic'!$B$7,IF(INDEX(_xlfn.VSTACK(YES_Writing_ELA[#Data],YES_Writing_FLA[#Data]),MATCH($A307,_xlfn.VSTACK(YES_Writing_ELA[Student Number],YES_Writing_FLA[Student Number]),0),MATCH(VLOOKUP(G$7,'Writing Logic'!$J$7:$K$11,2,FALSE)&amp;" - Per "&amp;VLOOKUP($C$4,'Writing Logic'!$G$8:$H$14,2,FALSE),YES_Writing_ELA[#Headers],0))=0,"",INDEX(_xlfn.VSTACK(YES_Writing_ELA[#Data],YES_Writing_FLA[#Data]),MATCH($A307,_xlfn.VSTACK(YES_Writing_ELA[Student Number],YES_Writing_FLA[Student Number]),0),MATCH(VLOOKUP(G$7,'Writing Logic'!$J$7:$K$11,2,FALSE)&amp;" - Per "&amp;VLOOKUP($C$4,'Writing Logic'!$G$8:$H$14,2,FALSE),YES_Writing_ELA[#Headers],0)))),"")</f>
        <v/>
      </c>
      <c r="H307" s="138" t="str">
        <f>IFERROR(IF(IF(INDEX(_xlfn.VSTACK(YES_Writing_ELA[#Data],YES_Writing_FLA[#Data]),MATCH($A307,_xlfn.VSTACK(YES_Writing_ELA[Student Number],YES_Writing_FLA[Student Number]),0),MATCH(VLOOKUP(H$7,'Writing Logic'!$J$7:$K$11,2,FALSE)&amp;" - Per "&amp;VLOOKUP($C$4,'Writing Logic'!$G$8:$H$14,2,FALSE),YES_Writing_ELA[#Headers],0))=0,"",INDEX(_xlfn.VSTACK(YES_Writing_ELA[#Data],YES_Writing_FLA[#Data]),MATCH($A307,_xlfn.VSTACK(YES_Writing_ELA[Student Number],YES_Writing_FLA[Student Number]),0),MATCH(VLOOKUP(H$7,'Writing Logic'!$J$7:$K$11,2,FALSE)&amp;" - Per "&amp;VLOOKUP($C$4,'Writing Logic'!$G$8:$H$14,2,FALSE),YES_Writing_ELA[#Headers],0)))="INS",'Writing Logic'!$B$7,IF(INDEX(_xlfn.VSTACK(YES_Writing_ELA[#Data],YES_Writing_FLA[#Data]),MATCH($A307,_xlfn.VSTACK(YES_Writing_ELA[Student Number],YES_Writing_FLA[Student Number]),0),MATCH(VLOOKUP(H$7,'Writing Logic'!$J$7:$K$11,2,FALSE)&amp;" - Per "&amp;VLOOKUP($C$4,'Writing Logic'!$G$8:$H$14,2,FALSE),YES_Writing_ELA[#Headers],0))=0,"",INDEX(_xlfn.VSTACK(YES_Writing_ELA[#Data],YES_Writing_FLA[#Data]),MATCH($A307,_xlfn.VSTACK(YES_Writing_ELA[Student Number],YES_Writing_FLA[Student Number]),0),MATCH(VLOOKUP(H$7,'Writing Logic'!$J$7:$K$11,2,FALSE)&amp;" - Per "&amp;VLOOKUP($C$4,'Writing Logic'!$G$8:$H$14,2,FALSE),YES_Writing_ELA[#Headers],0)))),"")</f>
        <v/>
      </c>
    </row>
    <row r="308" spans="1:8" x14ac:dyDescent="0.25">
      <c r="A308" s="137"/>
      <c r="B308" s="137" t="str">
        <f>IFERROR(INDEX(_xlfn.VSTACK(YES_Writing_ELA[#Data], YES_Writing_FLA[#Data]),MATCH($A308,_xlfn.VSTACK(YES_Writing_ELA[Student Number], YES_Writing_FLA[Student Number]),0),MATCH(B$7,YES_Writing_ELA[#Headers],0)),"")</f>
        <v/>
      </c>
      <c r="C308" s="137" t="str">
        <f>IFERROR(INDEX(_xlfn.VSTACK(YES_Writing_ELA[#Data], YES_Writing_FLA[#Data]),MATCH($A308,_xlfn.VSTACK(YES_Writing_ELA[Student Number], YES_Writing_FLA[Student Number]),0),MATCH(C$7,YES_Writing_ELA[#Headers],0)),"")</f>
        <v/>
      </c>
      <c r="D308" s="138" t="str">
        <f>IFERROR(IF(IF(INDEX(_xlfn.VSTACK(YES_Writing_ELA[#Data],YES_Writing_FLA[#Data]),MATCH($A308,_xlfn.VSTACK(YES_Writing_ELA[Student Number],YES_Writing_FLA[Student Number]),0),MATCH(VLOOKUP(D$7,'Writing Logic'!$J$7:$K$11,2,FALSE)&amp;" - Per "&amp;VLOOKUP($C$4,'Writing Logic'!$G$8:$H$14,2,FALSE),YES_Writing_ELA[#Headers],0))=0,"",INDEX(_xlfn.VSTACK(YES_Writing_ELA[#Data],YES_Writing_FLA[#Data]),MATCH($A308,_xlfn.VSTACK(YES_Writing_ELA[Student Number],YES_Writing_FLA[Student Number]),0),MATCH(VLOOKUP(D$7,'Writing Logic'!$J$7:$K$11,2,FALSE)&amp;" - Per "&amp;VLOOKUP($C$4,'Writing Logic'!$G$8:$H$14,2,FALSE),YES_Writing_ELA[#Headers],0)))="INS",'Writing Logic'!$B$7,IF(INDEX(_xlfn.VSTACK(YES_Writing_ELA[#Data],YES_Writing_FLA[#Data]),MATCH($A308,_xlfn.VSTACK(YES_Writing_ELA[Student Number],YES_Writing_FLA[Student Number]),0),MATCH(VLOOKUP(D$7,'Writing Logic'!$J$7:$K$11,2,FALSE)&amp;" - Per "&amp;VLOOKUP($C$4,'Writing Logic'!$G$8:$H$14,2,FALSE),YES_Writing_ELA[#Headers],0))=0,"",INDEX(_xlfn.VSTACK(YES_Writing_ELA[#Data],YES_Writing_FLA[#Data]),MATCH($A308,_xlfn.VSTACK(YES_Writing_ELA[Student Number],YES_Writing_FLA[Student Number]),0),MATCH(VLOOKUP(D$7,'Writing Logic'!$J$7:$K$11,2,FALSE)&amp;" - Per "&amp;VLOOKUP($C$4,'Writing Logic'!$G$8:$H$14,2,FALSE),YES_Writing_ELA[#Headers],0)))),"")</f>
        <v/>
      </c>
      <c r="E308" s="138" t="str">
        <f>IFERROR(IF(IF(INDEX(_xlfn.VSTACK(YES_Writing_ELA[#Data],YES_Writing_FLA[#Data]),MATCH($A308,_xlfn.VSTACK(YES_Writing_ELA[Student Number],YES_Writing_FLA[Student Number]),0),MATCH(VLOOKUP(E$7,'Writing Logic'!$J$7:$K$11,2,FALSE)&amp;" - Per "&amp;VLOOKUP($C$4,'Writing Logic'!$G$8:$H$14,2,FALSE),YES_Writing_ELA[#Headers],0))=0,"",INDEX(_xlfn.VSTACK(YES_Writing_ELA[#Data],YES_Writing_FLA[#Data]),MATCH($A308,_xlfn.VSTACK(YES_Writing_ELA[Student Number],YES_Writing_FLA[Student Number]),0),MATCH(VLOOKUP(E$7,'Writing Logic'!$J$7:$K$11,2,FALSE)&amp;" - Per "&amp;VLOOKUP($C$4,'Writing Logic'!$G$8:$H$14,2,FALSE),YES_Writing_ELA[#Headers],0)))="INS",'Writing Logic'!$B$7,IF(INDEX(_xlfn.VSTACK(YES_Writing_ELA[#Data],YES_Writing_FLA[#Data]),MATCH($A308,_xlfn.VSTACK(YES_Writing_ELA[Student Number],YES_Writing_FLA[Student Number]),0),MATCH(VLOOKUP(E$7,'Writing Logic'!$J$7:$K$11,2,FALSE)&amp;" - Per "&amp;VLOOKUP($C$4,'Writing Logic'!$G$8:$H$14,2,FALSE),YES_Writing_ELA[#Headers],0))=0,"",INDEX(_xlfn.VSTACK(YES_Writing_ELA[#Data],YES_Writing_FLA[#Data]),MATCH($A308,_xlfn.VSTACK(YES_Writing_ELA[Student Number],YES_Writing_FLA[Student Number]),0),MATCH(VLOOKUP(E$7,'Writing Logic'!$J$7:$K$11,2,FALSE)&amp;" - Per "&amp;VLOOKUP($C$4,'Writing Logic'!$G$8:$H$14,2,FALSE),YES_Writing_ELA[#Headers],0)))),"")</f>
        <v/>
      </c>
      <c r="F308" s="138" t="str">
        <f>IFERROR(IF(IF(INDEX(_xlfn.VSTACK(YES_Writing_ELA[#Data],YES_Writing_FLA[#Data]),MATCH($A308,_xlfn.VSTACK(YES_Writing_ELA[Student Number],YES_Writing_FLA[Student Number]),0),MATCH(VLOOKUP(F$7,'Writing Logic'!$J$7:$K$11,2,FALSE)&amp;" - Per "&amp;VLOOKUP($C$4,'Writing Logic'!$G$8:$H$14,2,FALSE),YES_Writing_ELA[#Headers],0))=0,"",INDEX(_xlfn.VSTACK(YES_Writing_ELA[#Data],YES_Writing_FLA[#Data]),MATCH($A308,_xlfn.VSTACK(YES_Writing_ELA[Student Number],YES_Writing_FLA[Student Number]),0),MATCH(VLOOKUP(F$7,'Writing Logic'!$J$7:$K$11,2,FALSE)&amp;" - Per "&amp;VLOOKUP($C$4,'Writing Logic'!$G$8:$H$14,2,FALSE),YES_Writing_ELA[#Headers],0)))="INS",'Writing Logic'!$B$7,IF(INDEX(_xlfn.VSTACK(YES_Writing_ELA[#Data],YES_Writing_FLA[#Data]),MATCH($A308,_xlfn.VSTACK(YES_Writing_ELA[Student Number],YES_Writing_FLA[Student Number]),0),MATCH(VLOOKUP(F$7,'Writing Logic'!$J$7:$K$11,2,FALSE)&amp;" - Per "&amp;VLOOKUP($C$4,'Writing Logic'!$G$8:$H$14,2,FALSE),YES_Writing_ELA[#Headers],0))=0,"",INDEX(_xlfn.VSTACK(YES_Writing_ELA[#Data],YES_Writing_FLA[#Data]),MATCH($A308,_xlfn.VSTACK(YES_Writing_ELA[Student Number],YES_Writing_FLA[Student Number]),0),MATCH(VLOOKUP(F$7,'Writing Logic'!$J$7:$K$11,2,FALSE)&amp;" - Per "&amp;VLOOKUP($C$4,'Writing Logic'!$G$8:$H$14,2,FALSE),YES_Writing_ELA[#Headers],0)))),"")</f>
        <v/>
      </c>
      <c r="G308" s="138" t="str">
        <f>IFERROR(IF(IF(INDEX(_xlfn.VSTACK(YES_Writing_ELA[#Data],YES_Writing_FLA[#Data]),MATCH($A308,_xlfn.VSTACK(YES_Writing_ELA[Student Number],YES_Writing_FLA[Student Number]),0),MATCH(VLOOKUP(G$7,'Writing Logic'!$J$7:$K$11,2,FALSE)&amp;" - Per "&amp;VLOOKUP($C$4,'Writing Logic'!$G$8:$H$14,2,FALSE),YES_Writing_ELA[#Headers],0))=0,"",INDEX(_xlfn.VSTACK(YES_Writing_ELA[#Data],YES_Writing_FLA[#Data]),MATCH($A308,_xlfn.VSTACK(YES_Writing_ELA[Student Number],YES_Writing_FLA[Student Number]),0),MATCH(VLOOKUP(G$7,'Writing Logic'!$J$7:$K$11,2,FALSE)&amp;" - Per "&amp;VLOOKUP($C$4,'Writing Logic'!$G$8:$H$14,2,FALSE),YES_Writing_ELA[#Headers],0)))="INS",'Writing Logic'!$B$7,IF(INDEX(_xlfn.VSTACK(YES_Writing_ELA[#Data],YES_Writing_FLA[#Data]),MATCH($A308,_xlfn.VSTACK(YES_Writing_ELA[Student Number],YES_Writing_FLA[Student Number]),0),MATCH(VLOOKUP(G$7,'Writing Logic'!$J$7:$K$11,2,FALSE)&amp;" - Per "&amp;VLOOKUP($C$4,'Writing Logic'!$G$8:$H$14,2,FALSE),YES_Writing_ELA[#Headers],0))=0,"",INDEX(_xlfn.VSTACK(YES_Writing_ELA[#Data],YES_Writing_FLA[#Data]),MATCH($A308,_xlfn.VSTACK(YES_Writing_ELA[Student Number],YES_Writing_FLA[Student Number]),0),MATCH(VLOOKUP(G$7,'Writing Logic'!$J$7:$K$11,2,FALSE)&amp;" - Per "&amp;VLOOKUP($C$4,'Writing Logic'!$G$8:$H$14,2,FALSE),YES_Writing_ELA[#Headers],0)))),"")</f>
        <v/>
      </c>
      <c r="H308" s="138" t="str">
        <f>IFERROR(IF(IF(INDEX(_xlfn.VSTACK(YES_Writing_ELA[#Data],YES_Writing_FLA[#Data]),MATCH($A308,_xlfn.VSTACK(YES_Writing_ELA[Student Number],YES_Writing_FLA[Student Number]),0),MATCH(VLOOKUP(H$7,'Writing Logic'!$J$7:$K$11,2,FALSE)&amp;" - Per "&amp;VLOOKUP($C$4,'Writing Logic'!$G$8:$H$14,2,FALSE),YES_Writing_ELA[#Headers],0))=0,"",INDEX(_xlfn.VSTACK(YES_Writing_ELA[#Data],YES_Writing_FLA[#Data]),MATCH($A308,_xlfn.VSTACK(YES_Writing_ELA[Student Number],YES_Writing_FLA[Student Number]),0),MATCH(VLOOKUP(H$7,'Writing Logic'!$J$7:$K$11,2,FALSE)&amp;" - Per "&amp;VLOOKUP($C$4,'Writing Logic'!$G$8:$H$14,2,FALSE),YES_Writing_ELA[#Headers],0)))="INS",'Writing Logic'!$B$7,IF(INDEX(_xlfn.VSTACK(YES_Writing_ELA[#Data],YES_Writing_FLA[#Data]),MATCH($A308,_xlfn.VSTACK(YES_Writing_ELA[Student Number],YES_Writing_FLA[Student Number]),0),MATCH(VLOOKUP(H$7,'Writing Logic'!$J$7:$K$11,2,FALSE)&amp;" - Per "&amp;VLOOKUP($C$4,'Writing Logic'!$G$8:$H$14,2,FALSE),YES_Writing_ELA[#Headers],0))=0,"",INDEX(_xlfn.VSTACK(YES_Writing_ELA[#Data],YES_Writing_FLA[#Data]),MATCH($A308,_xlfn.VSTACK(YES_Writing_ELA[Student Number],YES_Writing_FLA[Student Number]),0),MATCH(VLOOKUP(H$7,'Writing Logic'!$J$7:$K$11,2,FALSE)&amp;" - Per "&amp;VLOOKUP($C$4,'Writing Logic'!$G$8:$H$14,2,FALSE),YES_Writing_ELA[#Headers],0)))),"")</f>
        <v/>
      </c>
    </row>
    <row r="309" spans="1:8" x14ac:dyDescent="0.25">
      <c r="A309" s="137"/>
      <c r="B309" s="137" t="str">
        <f>IFERROR(INDEX(_xlfn.VSTACK(YES_Writing_ELA[#Data], YES_Writing_FLA[#Data]),MATCH($A309,_xlfn.VSTACK(YES_Writing_ELA[Student Number], YES_Writing_FLA[Student Number]),0),MATCH(B$7,YES_Writing_ELA[#Headers],0)),"")</f>
        <v/>
      </c>
      <c r="C309" s="137" t="str">
        <f>IFERROR(INDEX(_xlfn.VSTACK(YES_Writing_ELA[#Data], YES_Writing_FLA[#Data]),MATCH($A309,_xlfn.VSTACK(YES_Writing_ELA[Student Number], YES_Writing_FLA[Student Number]),0),MATCH(C$7,YES_Writing_ELA[#Headers],0)),"")</f>
        <v/>
      </c>
      <c r="D309" s="138" t="str">
        <f>IFERROR(IF(IF(INDEX(_xlfn.VSTACK(YES_Writing_ELA[#Data],YES_Writing_FLA[#Data]),MATCH($A309,_xlfn.VSTACK(YES_Writing_ELA[Student Number],YES_Writing_FLA[Student Number]),0),MATCH(VLOOKUP(D$7,'Writing Logic'!$J$7:$K$11,2,FALSE)&amp;" - Per "&amp;VLOOKUP($C$4,'Writing Logic'!$G$8:$H$14,2,FALSE),YES_Writing_ELA[#Headers],0))=0,"",INDEX(_xlfn.VSTACK(YES_Writing_ELA[#Data],YES_Writing_FLA[#Data]),MATCH($A309,_xlfn.VSTACK(YES_Writing_ELA[Student Number],YES_Writing_FLA[Student Number]),0),MATCH(VLOOKUP(D$7,'Writing Logic'!$J$7:$K$11,2,FALSE)&amp;" - Per "&amp;VLOOKUP($C$4,'Writing Logic'!$G$8:$H$14,2,FALSE),YES_Writing_ELA[#Headers],0)))="INS",'Writing Logic'!$B$7,IF(INDEX(_xlfn.VSTACK(YES_Writing_ELA[#Data],YES_Writing_FLA[#Data]),MATCH($A309,_xlfn.VSTACK(YES_Writing_ELA[Student Number],YES_Writing_FLA[Student Number]),0),MATCH(VLOOKUP(D$7,'Writing Logic'!$J$7:$K$11,2,FALSE)&amp;" - Per "&amp;VLOOKUP($C$4,'Writing Logic'!$G$8:$H$14,2,FALSE),YES_Writing_ELA[#Headers],0))=0,"",INDEX(_xlfn.VSTACK(YES_Writing_ELA[#Data],YES_Writing_FLA[#Data]),MATCH($A309,_xlfn.VSTACK(YES_Writing_ELA[Student Number],YES_Writing_FLA[Student Number]),0),MATCH(VLOOKUP(D$7,'Writing Logic'!$J$7:$K$11,2,FALSE)&amp;" - Per "&amp;VLOOKUP($C$4,'Writing Logic'!$G$8:$H$14,2,FALSE),YES_Writing_ELA[#Headers],0)))),"")</f>
        <v/>
      </c>
      <c r="E309" s="138" t="str">
        <f>IFERROR(IF(IF(INDEX(_xlfn.VSTACK(YES_Writing_ELA[#Data],YES_Writing_FLA[#Data]),MATCH($A309,_xlfn.VSTACK(YES_Writing_ELA[Student Number],YES_Writing_FLA[Student Number]),0),MATCH(VLOOKUP(E$7,'Writing Logic'!$J$7:$K$11,2,FALSE)&amp;" - Per "&amp;VLOOKUP($C$4,'Writing Logic'!$G$8:$H$14,2,FALSE),YES_Writing_ELA[#Headers],0))=0,"",INDEX(_xlfn.VSTACK(YES_Writing_ELA[#Data],YES_Writing_FLA[#Data]),MATCH($A309,_xlfn.VSTACK(YES_Writing_ELA[Student Number],YES_Writing_FLA[Student Number]),0),MATCH(VLOOKUP(E$7,'Writing Logic'!$J$7:$K$11,2,FALSE)&amp;" - Per "&amp;VLOOKUP($C$4,'Writing Logic'!$G$8:$H$14,2,FALSE),YES_Writing_ELA[#Headers],0)))="INS",'Writing Logic'!$B$7,IF(INDEX(_xlfn.VSTACK(YES_Writing_ELA[#Data],YES_Writing_FLA[#Data]),MATCH($A309,_xlfn.VSTACK(YES_Writing_ELA[Student Number],YES_Writing_FLA[Student Number]),0),MATCH(VLOOKUP(E$7,'Writing Logic'!$J$7:$K$11,2,FALSE)&amp;" - Per "&amp;VLOOKUP($C$4,'Writing Logic'!$G$8:$H$14,2,FALSE),YES_Writing_ELA[#Headers],0))=0,"",INDEX(_xlfn.VSTACK(YES_Writing_ELA[#Data],YES_Writing_FLA[#Data]),MATCH($A309,_xlfn.VSTACK(YES_Writing_ELA[Student Number],YES_Writing_FLA[Student Number]),0),MATCH(VLOOKUP(E$7,'Writing Logic'!$J$7:$K$11,2,FALSE)&amp;" - Per "&amp;VLOOKUP($C$4,'Writing Logic'!$G$8:$H$14,2,FALSE),YES_Writing_ELA[#Headers],0)))),"")</f>
        <v/>
      </c>
      <c r="F309" s="138" t="str">
        <f>IFERROR(IF(IF(INDEX(_xlfn.VSTACK(YES_Writing_ELA[#Data],YES_Writing_FLA[#Data]),MATCH($A309,_xlfn.VSTACK(YES_Writing_ELA[Student Number],YES_Writing_FLA[Student Number]),0),MATCH(VLOOKUP(F$7,'Writing Logic'!$J$7:$K$11,2,FALSE)&amp;" - Per "&amp;VLOOKUP($C$4,'Writing Logic'!$G$8:$H$14,2,FALSE),YES_Writing_ELA[#Headers],0))=0,"",INDEX(_xlfn.VSTACK(YES_Writing_ELA[#Data],YES_Writing_FLA[#Data]),MATCH($A309,_xlfn.VSTACK(YES_Writing_ELA[Student Number],YES_Writing_FLA[Student Number]),0),MATCH(VLOOKUP(F$7,'Writing Logic'!$J$7:$K$11,2,FALSE)&amp;" - Per "&amp;VLOOKUP($C$4,'Writing Logic'!$G$8:$H$14,2,FALSE),YES_Writing_ELA[#Headers],0)))="INS",'Writing Logic'!$B$7,IF(INDEX(_xlfn.VSTACK(YES_Writing_ELA[#Data],YES_Writing_FLA[#Data]),MATCH($A309,_xlfn.VSTACK(YES_Writing_ELA[Student Number],YES_Writing_FLA[Student Number]),0),MATCH(VLOOKUP(F$7,'Writing Logic'!$J$7:$K$11,2,FALSE)&amp;" - Per "&amp;VLOOKUP($C$4,'Writing Logic'!$G$8:$H$14,2,FALSE),YES_Writing_ELA[#Headers],0))=0,"",INDEX(_xlfn.VSTACK(YES_Writing_ELA[#Data],YES_Writing_FLA[#Data]),MATCH($A309,_xlfn.VSTACK(YES_Writing_ELA[Student Number],YES_Writing_FLA[Student Number]),0),MATCH(VLOOKUP(F$7,'Writing Logic'!$J$7:$K$11,2,FALSE)&amp;" - Per "&amp;VLOOKUP($C$4,'Writing Logic'!$G$8:$H$14,2,FALSE),YES_Writing_ELA[#Headers],0)))),"")</f>
        <v/>
      </c>
      <c r="G309" s="138" t="str">
        <f>IFERROR(IF(IF(INDEX(_xlfn.VSTACK(YES_Writing_ELA[#Data],YES_Writing_FLA[#Data]),MATCH($A309,_xlfn.VSTACK(YES_Writing_ELA[Student Number],YES_Writing_FLA[Student Number]),0),MATCH(VLOOKUP(G$7,'Writing Logic'!$J$7:$K$11,2,FALSE)&amp;" - Per "&amp;VLOOKUP($C$4,'Writing Logic'!$G$8:$H$14,2,FALSE),YES_Writing_ELA[#Headers],0))=0,"",INDEX(_xlfn.VSTACK(YES_Writing_ELA[#Data],YES_Writing_FLA[#Data]),MATCH($A309,_xlfn.VSTACK(YES_Writing_ELA[Student Number],YES_Writing_FLA[Student Number]),0),MATCH(VLOOKUP(G$7,'Writing Logic'!$J$7:$K$11,2,FALSE)&amp;" - Per "&amp;VLOOKUP($C$4,'Writing Logic'!$G$8:$H$14,2,FALSE),YES_Writing_ELA[#Headers],0)))="INS",'Writing Logic'!$B$7,IF(INDEX(_xlfn.VSTACK(YES_Writing_ELA[#Data],YES_Writing_FLA[#Data]),MATCH($A309,_xlfn.VSTACK(YES_Writing_ELA[Student Number],YES_Writing_FLA[Student Number]),0),MATCH(VLOOKUP(G$7,'Writing Logic'!$J$7:$K$11,2,FALSE)&amp;" - Per "&amp;VLOOKUP($C$4,'Writing Logic'!$G$8:$H$14,2,FALSE),YES_Writing_ELA[#Headers],0))=0,"",INDEX(_xlfn.VSTACK(YES_Writing_ELA[#Data],YES_Writing_FLA[#Data]),MATCH($A309,_xlfn.VSTACK(YES_Writing_ELA[Student Number],YES_Writing_FLA[Student Number]),0),MATCH(VLOOKUP(G$7,'Writing Logic'!$J$7:$K$11,2,FALSE)&amp;" - Per "&amp;VLOOKUP($C$4,'Writing Logic'!$G$8:$H$14,2,FALSE),YES_Writing_ELA[#Headers],0)))),"")</f>
        <v/>
      </c>
      <c r="H309" s="138" t="str">
        <f>IFERROR(IF(IF(INDEX(_xlfn.VSTACK(YES_Writing_ELA[#Data],YES_Writing_FLA[#Data]),MATCH($A309,_xlfn.VSTACK(YES_Writing_ELA[Student Number],YES_Writing_FLA[Student Number]),0),MATCH(VLOOKUP(H$7,'Writing Logic'!$J$7:$K$11,2,FALSE)&amp;" - Per "&amp;VLOOKUP($C$4,'Writing Logic'!$G$8:$H$14,2,FALSE),YES_Writing_ELA[#Headers],0))=0,"",INDEX(_xlfn.VSTACK(YES_Writing_ELA[#Data],YES_Writing_FLA[#Data]),MATCH($A309,_xlfn.VSTACK(YES_Writing_ELA[Student Number],YES_Writing_FLA[Student Number]),0),MATCH(VLOOKUP(H$7,'Writing Logic'!$J$7:$K$11,2,FALSE)&amp;" - Per "&amp;VLOOKUP($C$4,'Writing Logic'!$G$8:$H$14,2,FALSE),YES_Writing_ELA[#Headers],0)))="INS",'Writing Logic'!$B$7,IF(INDEX(_xlfn.VSTACK(YES_Writing_ELA[#Data],YES_Writing_FLA[#Data]),MATCH($A309,_xlfn.VSTACK(YES_Writing_ELA[Student Number],YES_Writing_FLA[Student Number]),0),MATCH(VLOOKUP(H$7,'Writing Logic'!$J$7:$K$11,2,FALSE)&amp;" - Per "&amp;VLOOKUP($C$4,'Writing Logic'!$G$8:$H$14,2,FALSE),YES_Writing_ELA[#Headers],0))=0,"",INDEX(_xlfn.VSTACK(YES_Writing_ELA[#Data],YES_Writing_FLA[#Data]),MATCH($A309,_xlfn.VSTACK(YES_Writing_ELA[Student Number],YES_Writing_FLA[Student Number]),0),MATCH(VLOOKUP(H$7,'Writing Logic'!$J$7:$K$11,2,FALSE)&amp;" - Per "&amp;VLOOKUP($C$4,'Writing Logic'!$G$8:$H$14,2,FALSE),YES_Writing_ELA[#Headers],0)))),"")</f>
        <v/>
      </c>
    </row>
    <row r="310" spans="1:8" x14ac:dyDescent="0.25">
      <c r="A310" s="137"/>
      <c r="B310" s="137" t="str">
        <f>IFERROR(INDEX(_xlfn.VSTACK(YES_Writing_ELA[#Data], YES_Writing_FLA[#Data]),MATCH($A310,_xlfn.VSTACK(YES_Writing_ELA[Student Number], YES_Writing_FLA[Student Number]),0),MATCH(B$7,YES_Writing_ELA[#Headers],0)),"")</f>
        <v/>
      </c>
      <c r="C310" s="137" t="str">
        <f>IFERROR(INDEX(_xlfn.VSTACK(YES_Writing_ELA[#Data], YES_Writing_FLA[#Data]),MATCH($A310,_xlfn.VSTACK(YES_Writing_ELA[Student Number], YES_Writing_FLA[Student Number]),0),MATCH(C$7,YES_Writing_ELA[#Headers],0)),"")</f>
        <v/>
      </c>
      <c r="D310" s="138" t="str">
        <f>IFERROR(IF(IF(INDEX(_xlfn.VSTACK(YES_Writing_ELA[#Data],YES_Writing_FLA[#Data]),MATCH($A310,_xlfn.VSTACK(YES_Writing_ELA[Student Number],YES_Writing_FLA[Student Number]),0),MATCH(VLOOKUP(D$7,'Writing Logic'!$J$7:$K$11,2,FALSE)&amp;" - Per "&amp;VLOOKUP($C$4,'Writing Logic'!$G$8:$H$14,2,FALSE),YES_Writing_ELA[#Headers],0))=0,"",INDEX(_xlfn.VSTACK(YES_Writing_ELA[#Data],YES_Writing_FLA[#Data]),MATCH($A310,_xlfn.VSTACK(YES_Writing_ELA[Student Number],YES_Writing_FLA[Student Number]),0),MATCH(VLOOKUP(D$7,'Writing Logic'!$J$7:$K$11,2,FALSE)&amp;" - Per "&amp;VLOOKUP($C$4,'Writing Logic'!$G$8:$H$14,2,FALSE),YES_Writing_ELA[#Headers],0)))="INS",'Writing Logic'!$B$7,IF(INDEX(_xlfn.VSTACK(YES_Writing_ELA[#Data],YES_Writing_FLA[#Data]),MATCH($A310,_xlfn.VSTACK(YES_Writing_ELA[Student Number],YES_Writing_FLA[Student Number]),0),MATCH(VLOOKUP(D$7,'Writing Logic'!$J$7:$K$11,2,FALSE)&amp;" - Per "&amp;VLOOKUP($C$4,'Writing Logic'!$G$8:$H$14,2,FALSE),YES_Writing_ELA[#Headers],0))=0,"",INDEX(_xlfn.VSTACK(YES_Writing_ELA[#Data],YES_Writing_FLA[#Data]),MATCH($A310,_xlfn.VSTACK(YES_Writing_ELA[Student Number],YES_Writing_FLA[Student Number]),0),MATCH(VLOOKUP(D$7,'Writing Logic'!$J$7:$K$11,2,FALSE)&amp;" - Per "&amp;VLOOKUP($C$4,'Writing Logic'!$G$8:$H$14,2,FALSE),YES_Writing_ELA[#Headers],0)))),"")</f>
        <v/>
      </c>
      <c r="E310" s="138" t="str">
        <f>IFERROR(IF(IF(INDEX(_xlfn.VSTACK(YES_Writing_ELA[#Data],YES_Writing_FLA[#Data]),MATCH($A310,_xlfn.VSTACK(YES_Writing_ELA[Student Number],YES_Writing_FLA[Student Number]),0),MATCH(VLOOKUP(E$7,'Writing Logic'!$J$7:$K$11,2,FALSE)&amp;" - Per "&amp;VLOOKUP($C$4,'Writing Logic'!$G$8:$H$14,2,FALSE),YES_Writing_ELA[#Headers],0))=0,"",INDEX(_xlfn.VSTACK(YES_Writing_ELA[#Data],YES_Writing_FLA[#Data]),MATCH($A310,_xlfn.VSTACK(YES_Writing_ELA[Student Number],YES_Writing_FLA[Student Number]),0),MATCH(VLOOKUP(E$7,'Writing Logic'!$J$7:$K$11,2,FALSE)&amp;" - Per "&amp;VLOOKUP($C$4,'Writing Logic'!$G$8:$H$14,2,FALSE),YES_Writing_ELA[#Headers],0)))="INS",'Writing Logic'!$B$7,IF(INDEX(_xlfn.VSTACK(YES_Writing_ELA[#Data],YES_Writing_FLA[#Data]),MATCH($A310,_xlfn.VSTACK(YES_Writing_ELA[Student Number],YES_Writing_FLA[Student Number]),0),MATCH(VLOOKUP(E$7,'Writing Logic'!$J$7:$K$11,2,FALSE)&amp;" - Per "&amp;VLOOKUP($C$4,'Writing Logic'!$G$8:$H$14,2,FALSE),YES_Writing_ELA[#Headers],0))=0,"",INDEX(_xlfn.VSTACK(YES_Writing_ELA[#Data],YES_Writing_FLA[#Data]),MATCH($A310,_xlfn.VSTACK(YES_Writing_ELA[Student Number],YES_Writing_FLA[Student Number]),0),MATCH(VLOOKUP(E$7,'Writing Logic'!$J$7:$K$11,2,FALSE)&amp;" - Per "&amp;VLOOKUP($C$4,'Writing Logic'!$G$8:$H$14,2,FALSE),YES_Writing_ELA[#Headers],0)))),"")</f>
        <v/>
      </c>
      <c r="F310" s="138" t="str">
        <f>IFERROR(IF(IF(INDEX(_xlfn.VSTACK(YES_Writing_ELA[#Data],YES_Writing_FLA[#Data]),MATCH($A310,_xlfn.VSTACK(YES_Writing_ELA[Student Number],YES_Writing_FLA[Student Number]),0),MATCH(VLOOKUP(F$7,'Writing Logic'!$J$7:$K$11,2,FALSE)&amp;" - Per "&amp;VLOOKUP($C$4,'Writing Logic'!$G$8:$H$14,2,FALSE),YES_Writing_ELA[#Headers],0))=0,"",INDEX(_xlfn.VSTACK(YES_Writing_ELA[#Data],YES_Writing_FLA[#Data]),MATCH($A310,_xlfn.VSTACK(YES_Writing_ELA[Student Number],YES_Writing_FLA[Student Number]),0),MATCH(VLOOKUP(F$7,'Writing Logic'!$J$7:$K$11,2,FALSE)&amp;" - Per "&amp;VLOOKUP($C$4,'Writing Logic'!$G$8:$H$14,2,FALSE),YES_Writing_ELA[#Headers],0)))="INS",'Writing Logic'!$B$7,IF(INDEX(_xlfn.VSTACK(YES_Writing_ELA[#Data],YES_Writing_FLA[#Data]),MATCH($A310,_xlfn.VSTACK(YES_Writing_ELA[Student Number],YES_Writing_FLA[Student Number]),0),MATCH(VLOOKUP(F$7,'Writing Logic'!$J$7:$K$11,2,FALSE)&amp;" - Per "&amp;VLOOKUP($C$4,'Writing Logic'!$G$8:$H$14,2,FALSE),YES_Writing_ELA[#Headers],0))=0,"",INDEX(_xlfn.VSTACK(YES_Writing_ELA[#Data],YES_Writing_FLA[#Data]),MATCH($A310,_xlfn.VSTACK(YES_Writing_ELA[Student Number],YES_Writing_FLA[Student Number]),0),MATCH(VLOOKUP(F$7,'Writing Logic'!$J$7:$K$11,2,FALSE)&amp;" - Per "&amp;VLOOKUP($C$4,'Writing Logic'!$G$8:$H$14,2,FALSE),YES_Writing_ELA[#Headers],0)))),"")</f>
        <v/>
      </c>
      <c r="G310" s="138" t="str">
        <f>IFERROR(IF(IF(INDEX(_xlfn.VSTACK(YES_Writing_ELA[#Data],YES_Writing_FLA[#Data]),MATCH($A310,_xlfn.VSTACK(YES_Writing_ELA[Student Number],YES_Writing_FLA[Student Number]),0),MATCH(VLOOKUP(G$7,'Writing Logic'!$J$7:$K$11,2,FALSE)&amp;" - Per "&amp;VLOOKUP($C$4,'Writing Logic'!$G$8:$H$14,2,FALSE),YES_Writing_ELA[#Headers],0))=0,"",INDEX(_xlfn.VSTACK(YES_Writing_ELA[#Data],YES_Writing_FLA[#Data]),MATCH($A310,_xlfn.VSTACK(YES_Writing_ELA[Student Number],YES_Writing_FLA[Student Number]),0),MATCH(VLOOKUP(G$7,'Writing Logic'!$J$7:$K$11,2,FALSE)&amp;" - Per "&amp;VLOOKUP($C$4,'Writing Logic'!$G$8:$H$14,2,FALSE),YES_Writing_ELA[#Headers],0)))="INS",'Writing Logic'!$B$7,IF(INDEX(_xlfn.VSTACK(YES_Writing_ELA[#Data],YES_Writing_FLA[#Data]),MATCH($A310,_xlfn.VSTACK(YES_Writing_ELA[Student Number],YES_Writing_FLA[Student Number]),0),MATCH(VLOOKUP(G$7,'Writing Logic'!$J$7:$K$11,2,FALSE)&amp;" - Per "&amp;VLOOKUP($C$4,'Writing Logic'!$G$8:$H$14,2,FALSE),YES_Writing_ELA[#Headers],0))=0,"",INDEX(_xlfn.VSTACK(YES_Writing_ELA[#Data],YES_Writing_FLA[#Data]),MATCH($A310,_xlfn.VSTACK(YES_Writing_ELA[Student Number],YES_Writing_FLA[Student Number]),0),MATCH(VLOOKUP(G$7,'Writing Logic'!$J$7:$K$11,2,FALSE)&amp;" - Per "&amp;VLOOKUP($C$4,'Writing Logic'!$G$8:$H$14,2,FALSE),YES_Writing_ELA[#Headers],0)))),"")</f>
        <v/>
      </c>
      <c r="H310" s="138" t="str">
        <f>IFERROR(IF(IF(INDEX(_xlfn.VSTACK(YES_Writing_ELA[#Data],YES_Writing_FLA[#Data]),MATCH($A310,_xlfn.VSTACK(YES_Writing_ELA[Student Number],YES_Writing_FLA[Student Number]),0),MATCH(VLOOKUP(H$7,'Writing Logic'!$J$7:$K$11,2,FALSE)&amp;" - Per "&amp;VLOOKUP($C$4,'Writing Logic'!$G$8:$H$14,2,FALSE),YES_Writing_ELA[#Headers],0))=0,"",INDEX(_xlfn.VSTACK(YES_Writing_ELA[#Data],YES_Writing_FLA[#Data]),MATCH($A310,_xlfn.VSTACK(YES_Writing_ELA[Student Number],YES_Writing_FLA[Student Number]),0),MATCH(VLOOKUP(H$7,'Writing Logic'!$J$7:$K$11,2,FALSE)&amp;" - Per "&amp;VLOOKUP($C$4,'Writing Logic'!$G$8:$H$14,2,FALSE),YES_Writing_ELA[#Headers],0)))="INS",'Writing Logic'!$B$7,IF(INDEX(_xlfn.VSTACK(YES_Writing_ELA[#Data],YES_Writing_FLA[#Data]),MATCH($A310,_xlfn.VSTACK(YES_Writing_ELA[Student Number],YES_Writing_FLA[Student Number]),0),MATCH(VLOOKUP(H$7,'Writing Logic'!$J$7:$K$11,2,FALSE)&amp;" - Per "&amp;VLOOKUP($C$4,'Writing Logic'!$G$8:$H$14,2,FALSE),YES_Writing_ELA[#Headers],0))=0,"",INDEX(_xlfn.VSTACK(YES_Writing_ELA[#Data],YES_Writing_FLA[#Data]),MATCH($A310,_xlfn.VSTACK(YES_Writing_ELA[Student Number],YES_Writing_FLA[Student Number]),0),MATCH(VLOOKUP(H$7,'Writing Logic'!$J$7:$K$11,2,FALSE)&amp;" - Per "&amp;VLOOKUP($C$4,'Writing Logic'!$G$8:$H$14,2,FALSE),YES_Writing_ELA[#Headers],0)))),"")</f>
        <v/>
      </c>
    </row>
    <row r="311" spans="1:8" x14ac:dyDescent="0.25">
      <c r="A311" s="137"/>
      <c r="B311" s="137" t="str">
        <f>IFERROR(INDEX(_xlfn.VSTACK(YES_Writing_ELA[#Data], YES_Writing_FLA[#Data]),MATCH($A311,_xlfn.VSTACK(YES_Writing_ELA[Student Number], YES_Writing_FLA[Student Number]),0),MATCH(B$7,YES_Writing_ELA[#Headers],0)),"")</f>
        <v/>
      </c>
      <c r="C311" s="137" t="str">
        <f>IFERROR(INDEX(_xlfn.VSTACK(YES_Writing_ELA[#Data], YES_Writing_FLA[#Data]),MATCH($A311,_xlfn.VSTACK(YES_Writing_ELA[Student Number], YES_Writing_FLA[Student Number]),0),MATCH(C$7,YES_Writing_ELA[#Headers],0)),"")</f>
        <v/>
      </c>
      <c r="D311" s="138" t="str">
        <f>IFERROR(IF(IF(INDEX(_xlfn.VSTACK(YES_Writing_ELA[#Data],YES_Writing_FLA[#Data]),MATCH($A311,_xlfn.VSTACK(YES_Writing_ELA[Student Number],YES_Writing_FLA[Student Number]),0),MATCH(VLOOKUP(D$7,'Writing Logic'!$J$7:$K$11,2,FALSE)&amp;" - Per "&amp;VLOOKUP($C$4,'Writing Logic'!$G$8:$H$14,2,FALSE),YES_Writing_ELA[#Headers],0))=0,"",INDEX(_xlfn.VSTACK(YES_Writing_ELA[#Data],YES_Writing_FLA[#Data]),MATCH($A311,_xlfn.VSTACK(YES_Writing_ELA[Student Number],YES_Writing_FLA[Student Number]),0),MATCH(VLOOKUP(D$7,'Writing Logic'!$J$7:$K$11,2,FALSE)&amp;" - Per "&amp;VLOOKUP($C$4,'Writing Logic'!$G$8:$H$14,2,FALSE),YES_Writing_ELA[#Headers],0)))="INS",'Writing Logic'!$B$7,IF(INDEX(_xlfn.VSTACK(YES_Writing_ELA[#Data],YES_Writing_FLA[#Data]),MATCH($A311,_xlfn.VSTACK(YES_Writing_ELA[Student Number],YES_Writing_FLA[Student Number]),0),MATCH(VLOOKUP(D$7,'Writing Logic'!$J$7:$K$11,2,FALSE)&amp;" - Per "&amp;VLOOKUP($C$4,'Writing Logic'!$G$8:$H$14,2,FALSE),YES_Writing_ELA[#Headers],0))=0,"",INDEX(_xlfn.VSTACK(YES_Writing_ELA[#Data],YES_Writing_FLA[#Data]),MATCH($A311,_xlfn.VSTACK(YES_Writing_ELA[Student Number],YES_Writing_FLA[Student Number]),0),MATCH(VLOOKUP(D$7,'Writing Logic'!$J$7:$K$11,2,FALSE)&amp;" - Per "&amp;VLOOKUP($C$4,'Writing Logic'!$G$8:$H$14,2,FALSE),YES_Writing_ELA[#Headers],0)))),"")</f>
        <v/>
      </c>
      <c r="E311" s="138" t="str">
        <f>IFERROR(IF(IF(INDEX(_xlfn.VSTACK(YES_Writing_ELA[#Data],YES_Writing_FLA[#Data]),MATCH($A311,_xlfn.VSTACK(YES_Writing_ELA[Student Number],YES_Writing_FLA[Student Number]),0),MATCH(VLOOKUP(E$7,'Writing Logic'!$J$7:$K$11,2,FALSE)&amp;" - Per "&amp;VLOOKUP($C$4,'Writing Logic'!$G$8:$H$14,2,FALSE),YES_Writing_ELA[#Headers],0))=0,"",INDEX(_xlfn.VSTACK(YES_Writing_ELA[#Data],YES_Writing_FLA[#Data]),MATCH($A311,_xlfn.VSTACK(YES_Writing_ELA[Student Number],YES_Writing_FLA[Student Number]),0),MATCH(VLOOKUP(E$7,'Writing Logic'!$J$7:$K$11,2,FALSE)&amp;" - Per "&amp;VLOOKUP($C$4,'Writing Logic'!$G$8:$H$14,2,FALSE),YES_Writing_ELA[#Headers],0)))="INS",'Writing Logic'!$B$7,IF(INDEX(_xlfn.VSTACK(YES_Writing_ELA[#Data],YES_Writing_FLA[#Data]),MATCH($A311,_xlfn.VSTACK(YES_Writing_ELA[Student Number],YES_Writing_FLA[Student Number]),0),MATCH(VLOOKUP(E$7,'Writing Logic'!$J$7:$K$11,2,FALSE)&amp;" - Per "&amp;VLOOKUP($C$4,'Writing Logic'!$G$8:$H$14,2,FALSE),YES_Writing_ELA[#Headers],0))=0,"",INDEX(_xlfn.VSTACK(YES_Writing_ELA[#Data],YES_Writing_FLA[#Data]),MATCH($A311,_xlfn.VSTACK(YES_Writing_ELA[Student Number],YES_Writing_FLA[Student Number]),0),MATCH(VLOOKUP(E$7,'Writing Logic'!$J$7:$K$11,2,FALSE)&amp;" - Per "&amp;VLOOKUP($C$4,'Writing Logic'!$G$8:$H$14,2,FALSE),YES_Writing_ELA[#Headers],0)))),"")</f>
        <v/>
      </c>
      <c r="F311" s="138" t="str">
        <f>IFERROR(IF(IF(INDEX(_xlfn.VSTACK(YES_Writing_ELA[#Data],YES_Writing_FLA[#Data]),MATCH($A311,_xlfn.VSTACK(YES_Writing_ELA[Student Number],YES_Writing_FLA[Student Number]),0),MATCH(VLOOKUP(F$7,'Writing Logic'!$J$7:$K$11,2,FALSE)&amp;" - Per "&amp;VLOOKUP($C$4,'Writing Logic'!$G$8:$H$14,2,FALSE),YES_Writing_ELA[#Headers],0))=0,"",INDEX(_xlfn.VSTACK(YES_Writing_ELA[#Data],YES_Writing_FLA[#Data]),MATCH($A311,_xlfn.VSTACK(YES_Writing_ELA[Student Number],YES_Writing_FLA[Student Number]),0),MATCH(VLOOKUP(F$7,'Writing Logic'!$J$7:$K$11,2,FALSE)&amp;" - Per "&amp;VLOOKUP($C$4,'Writing Logic'!$G$8:$H$14,2,FALSE),YES_Writing_ELA[#Headers],0)))="INS",'Writing Logic'!$B$7,IF(INDEX(_xlfn.VSTACK(YES_Writing_ELA[#Data],YES_Writing_FLA[#Data]),MATCH($A311,_xlfn.VSTACK(YES_Writing_ELA[Student Number],YES_Writing_FLA[Student Number]),0),MATCH(VLOOKUP(F$7,'Writing Logic'!$J$7:$K$11,2,FALSE)&amp;" - Per "&amp;VLOOKUP($C$4,'Writing Logic'!$G$8:$H$14,2,FALSE),YES_Writing_ELA[#Headers],0))=0,"",INDEX(_xlfn.VSTACK(YES_Writing_ELA[#Data],YES_Writing_FLA[#Data]),MATCH($A311,_xlfn.VSTACK(YES_Writing_ELA[Student Number],YES_Writing_FLA[Student Number]),0),MATCH(VLOOKUP(F$7,'Writing Logic'!$J$7:$K$11,2,FALSE)&amp;" - Per "&amp;VLOOKUP($C$4,'Writing Logic'!$G$8:$H$14,2,FALSE),YES_Writing_ELA[#Headers],0)))),"")</f>
        <v/>
      </c>
      <c r="G311" s="138" t="str">
        <f>IFERROR(IF(IF(INDEX(_xlfn.VSTACK(YES_Writing_ELA[#Data],YES_Writing_FLA[#Data]),MATCH($A311,_xlfn.VSTACK(YES_Writing_ELA[Student Number],YES_Writing_FLA[Student Number]),0),MATCH(VLOOKUP(G$7,'Writing Logic'!$J$7:$K$11,2,FALSE)&amp;" - Per "&amp;VLOOKUP($C$4,'Writing Logic'!$G$8:$H$14,2,FALSE),YES_Writing_ELA[#Headers],0))=0,"",INDEX(_xlfn.VSTACK(YES_Writing_ELA[#Data],YES_Writing_FLA[#Data]),MATCH($A311,_xlfn.VSTACK(YES_Writing_ELA[Student Number],YES_Writing_FLA[Student Number]),0),MATCH(VLOOKUP(G$7,'Writing Logic'!$J$7:$K$11,2,FALSE)&amp;" - Per "&amp;VLOOKUP($C$4,'Writing Logic'!$G$8:$H$14,2,FALSE),YES_Writing_ELA[#Headers],0)))="INS",'Writing Logic'!$B$7,IF(INDEX(_xlfn.VSTACK(YES_Writing_ELA[#Data],YES_Writing_FLA[#Data]),MATCH($A311,_xlfn.VSTACK(YES_Writing_ELA[Student Number],YES_Writing_FLA[Student Number]),0),MATCH(VLOOKUP(G$7,'Writing Logic'!$J$7:$K$11,2,FALSE)&amp;" - Per "&amp;VLOOKUP($C$4,'Writing Logic'!$G$8:$H$14,2,FALSE),YES_Writing_ELA[#Headers],0))=0,"",INDEX(_xlfn.VSTACK(YES_Writing_ELA[#Data],YES_Writing_FLA[#Data]),MATCH($A311,_xlfn.VSTACK(YES_Writing_ELA[Student Number],YES_Writing_FLA[Student Number]),0),MATCH(VLOOKUP(G$7,'Writing Logic'!$J$7:$K$11,2,FALSE)&amp;" - Per "&amp;VLOOKUP($C$4,'Writing Logic'!$G$8:$H$14,2,FALSE),YES_Writing_ELA[#Headers],0)))),"")</f>
        <v/>
      </c>
      <c r="H311" s="138" t="str">
        <f>IFERROR(IF(IF(INDEX(_xlfn.VSTACK(YES_Writing_ELA[#Data],YES_Writing_FLA[#Data]),MATCH($A311,_xlfn.VSTACK(YES_Writing_ELA[Student Number],YES_Writing_FLA[Student Number]),0),MATCH(VLOOKUP(H$7,'Writing Logic'!$J$7:$K$11,2,FALSE)&amp;" - Per "&amp;VLOOKUP($C$4,'Writing Logic'!$G$8:$H$14,2,FALSE),YES_Writing_ELA[#Headers],0))=0,"",INDEX(_xlfn.VSTACK(YES_Writing_ELA[#Data],YES_Writing_FLA[#Data]),MATCH($A311,_xlfn.VSTACK(YES_Writing_ELA[Student Number],YES_Writing_FLA[Student Number]),0),MATCH(VLOOKUP(H$7,'Writing Logic'!$J$7:$K$11,2,FALSE)&amp;" - Per "&amp;VLOOKUP($C$4,'Writing Logic'!$G$8:$H$14,2,FALSE),YES_Writing_ELA[#Headers],0)))="INS",'Writing Logic'!$B$7,IF(INDEX(_xlfn.VSTACK(YES_Writing_ELA[#Data],YES_Writing_FLA[#Data]),MATCH($A311,_xlfn.VSTACK(YES_Writing_ELA[Student Number],YES_Writing_FLA[Student Number]),0),MATCH(VLOOKUP(H$7,'Writing Logic'!$J$7:$K$11,2,FALSE)&amp;" - Per "&amp;VLOOKUP($C$4,'Writing Logic'!$G$8:$H$14,2,FALSE),YES_Writing_ELA[#Headers],0))=0,"",INDEX(_xlfn.VSTACK(YES_Writing_ELA[#Data],YES_Writing_FLA[#Data]),MATCH($A311,_xlfn.VSTACK(YES_Writing_ELA[Student Number],YES_Writing_FLA[Student Number]),0),MATCH(VLOOKUP(H$7,'Writing Logic'!$J$7:$K$11,2,FALSE)&amp;" - Per "&amp;VLOOKUP($C$4,'Writing Logic'!$G$8:$H$14,2,FALSE),YES_Writing_ELA[#Headers],0)))),"")</f>
        <v/>
      </c>
    </row>
    <row r="312" spans="1:8" x14ac:dyDescent="0.25">
      <c r="A312" s="137"/>
      <c r="B312" s="137" t="str">
        <f>IFERROR(INDEX(_xlfn.VSTACK(YES_Writing_ELA[#Data], YES_Writing_FLA[#Data]),MATCH($A312,_xlfn.VSTACK(YES_Writing_ELA[Student Number], YES_Writing_FLA[Student Number]),0),MATCH(B$7,YES_Writing_ELA[#Headers],0)),"")</f>
        <v/>
      </c>
      <c r="C312" s="137" t="str">
        <f>IFERROR(INDEX(_xlfn.VSTACK(YES_Writing_ELA[#Data], YES_Writing_FLA[#Data]),MATCH($A312,_xlfn.VSTACK(YES_Writing_ELA[Student Number], YES_Writing_FLA[Student Number]),0),MATCH(C$7,YES_Writing_ELA[#Headers],0)),"")</f>
        <v/>
      </c>
      <c r="D312" s="138" t="str">
        <f>IFERROR(IF(IF(INDEX(_xlfn.VSTACK(YES_Writing_ELA[#Data],YES_Writing_FLA[#Data]),MATCH($A312,_xlfn.VSTACK(YES_Writing_ELA[Student Number],YES_Writing_FLA[Student Number]),0),MATCH(VLOOKUP(D$7,'Writing Logic'!$J$7:$K$11,2,FALSE)&amp;" - Per "&amp;VLOOKUP($C$4,'Writing Logic'!$G$8:$H$14,2,FALSE),YES_Writing_ELA[#Headers],0))=0,"",INDEX(_xlfn.VSTACK(YES_Writing_ELA[#Data],YES_Writing_FLA[#Data]),MATCH($A312,_xlfn.VSTACK(YES_Writing_ELA[Student Number],YES_Writing_FLA[Student Number]),0),MATCH(VLOOKUP(D$7,'Writing Logic'!$J$7:$K$11,2,FALSE)&amp;" - Per "&amp;VLOOKUP($C$4,'Writing Logic'!$G$8:$H$14,2,FALSE),YES_Writing_ELA[#Headers],0)))="INS",'Writing Logic'!$B$7,IF(INDEX(_xlfn.VSTACK(YES_Writing_ELA[#Data],YES_Writing_FLA[#Data]),MATCH($A312,_xlfn.VSTACK(YES_Writing_ELA[Student Number],YES_Writing_FLA[Student Number]),0),MATCH(VLOOKUP(D$7,'Writing Logic'!$J$7:$K$11,2,FALSE)&amp;" - Per "&amp;VLOOKUP($C$4,'Writing Logic'!$G$8:$H$14,2,FALSE),YES_Writing_ELA[#Headers],0))=0,"",INDEX(_xlfn.VSTACK(YES_Writing_ELA[#Data],YES_Writing_FLA[#Data]),MATCH($A312,_xlfn.VSTACK(YES_Writing_ELA[Student Number],YES_Writing_FLA[Student Number]),0),MATCH(VLOOKUP(D$7,'Writing Logic'!$J$7:$K$11,2,FALSE)&amp;" - Per "&amp;VLOOKUP($C$4,'Writing Logic'!$G$8:$H$14,2,FALSE),YES_Writing_ELA[#Headers],0)))),"")</f>
        <v/>
      </c>
      <c r="E312" s="138" t="str">
        <f>IFERROR(IF(IF(INDEX(_xlfn.VSTACK(YES_Writing_ELA[#Data],YES_Writing_FLA[#Data]),MATCH($A312,_xlfn.VSTACK(YES_Writing_ELA[Student Number],YES_Writing_FLA[Student Number]),0),MATCH(VLOOKUP(E$7,'Writing Logic'!$J$7:$K$11,2,FALSE)&amp;" - Per "&amp;VLOOKUP($C$4,'Writing Logic'!$G$8:$H$14,2,FALSE),YES_Writing_ELA[#Headers],0))=0,"",INDEX(_xlfn.VSTACK(YES_Writing_ELA[#Data],YES_Writing_FLA[#Data]),MATCH($A312,_xlfn.VSTACK(YES_Writing_ELA[Student Number],YES_Writing_FLA[Student Number]),0),MATCH(VLOOKUP(E$7,'Writing Logic'!$J$7:$K$11,2,FALSE)&amp;" - Per "&amp;VLOOKUP($C$4,'Writing Logic'!$G$8:$H$14,2,FALSE),YES_Writing_ELA[#Headers],0)))="INS",'Writing Logic'!$B$7,IF(INDEX(_xlfn.VSTACK(YES_Writing_ELA[#Data],YES_Writing_FLA[#Data]),MATCH($A312,_xlfn.VSTACK(YES_Writing_ELA[Student Number],YES_Writing_FLA[Student Number]),0),MATCH(VLOOKUP(E$7,'Writing Logic'!$J$7:$K$11,2,FALSE)&amp;" - Per "&amp;VLOOKUP($C$4,'Writing Logic'!$G$8:$H$14,2,FALSE),YES_Writing_ELA[#Headers],0))=0,"",INDEX(_xlfn.VSTACK(YES_Writing_ELA[#Data],YES_Writing_FLA[#Data]),MATCH($A312,_xlfn.VSTACK(YES_Writing_ELA[Student Number],YES_Writing_FLA[Student Number]),0),MATCH(VLOOKUP(E$7,'Writing Logic'!$J$7:$K$11,2,FALSE)&amp;" - Per "&amp;VLOOKUP($C$4,'Writing Logic'!$G$8:$H$14,2,FALSE),YES_Writing_ELA[#Headers],0)))),"")</f>
        <v/>
      </c>
      <c r="F312" s="138" t="str">
        <f>IFERROR(IF(IF(INDEX(_xlfn.VSTACK(YES_Writing_ELA[#Data],YES_Writing_FLA[#Data]),MATCH($A312,_xlfn.VSTACK(YES_Writing_ELA[Student Number],YES_Writing_FLA[Student Number]),0),MATCH(VLOOKUP(F$7,'Writing Logic'!$J$7:$K$11,2,FALSE)&amp;" - Per "&amp;VLOOKUP($C$4,'Writing Logic'!$G$8:$H$14,2,FALSE),YES_Writing_ELA[#Headers],0))=0,"",INDEX(_xlfn.VSTACK(YES_Writing_ELA[#Data],YES_Writing_FLA[#Data]),MATCH($A312,_xlfn.VSTACK(YES_Writing_ELA[Student Number],YES_Writing_FLA[Student Number]),0),MATCH(VLOOKUP(F$7,'Writing Logic'!$J$7:$K$11,2,FALSE)&amp;" - Per "&amp;VLOOKUP($C$4,'Writing Logic'!$G$8:$H$14,2,FALSE),YES_Writing_ELA[#Headers],0)))="INS",'Writing Logic'!$B$7,IF(INDEX(_xlfn.VSTACK(YES_Writing_ELA[#Data],YES_Writing_FLA[#Data]),MATCH($A312,_xlfn.VSTACK(YES_Writing_ELA[Student Number],YES_Writing_FLA[Student Number]),0),MATCH(VLOOKUP(F$7,'Writing Logic'!$J$7:$K$11,2,FALSE)&amp;" - Per "&amp;VLOOKUP($C$4,'Writing Logic'!$G$8:$H$14,2,FALSE),YES_Writing_ELA[#Headers],0))=0,"",INDEX(_xlfn.VSTACK(YES_Writing_ELA[#Data],YES_Writing_FLA[#Data]),MATCH($A312,_xlfn.VSTACK(YES_Writing_ELA[Student Number],YES_Writing_FLA[Student Number]),0),MATCH(VLOOKUP(F$7,'Writing Logic'!$J$7:$K$11,2,FALSE)&amp;" - Per "&amp;VLOOKUP($C$4,'Writing Logic'!$G$8:$H$14,2,FALSE),YES_Writing_ELA[#Headers],0)))),"")</f>
        <v/>
      </c>
      <c r="G312" s="138" t="str">
        <f>IFERROR(IF(IF(INDEX(_xlfn.VSTACK(YES_Writing_ELA[#Data],YES_Writing_FLA[#Data]),MATCH($A312,_xlfn.VSTACK(YES_Writing_ELA[Student Number],YES_Writing_FLA[Student Number]),0),MATCH(VLOOKUP(G$7,'Writing Logic'!$J$7:$K$11,2,FALSE)&amp;" - Per "&amp;VLOOKUP($C$4,'Writing Logic'!$G$8:$H$14,2,FALSE),YES_Writing_ELA[#Headers],0))=0,"",INDEX(_xlfn.VSTACK(YES_Writing_ELA[#Data],YES_Writing_FLA[#Data]),MATCH($A312,_xlfn.VSTACK(YES_Writing_ELA[Student Number],YES_Writing_FLA[Student Number]),0),MATCH(VLOOKUP(G$7,'Writing Logic'!$J$7:$K$11,2,FALSE)&amp;" - Per "&amp;VLOOKUP($C$4,'Writing Logic'!$G$8:$H$14,2,FALSE),YES_Writing_ELA[#Headers],0)))="INS",'Writing Logic'!$B$7,IF(INDEX(_xlfn.VSTACK(YES_Writing_ELA[#Data],YES_Writing_FLA[#Data]),MATCH($A312,_xlfn.VSTACK(YES_Writing_ELA[Student Number],YES_Writing_FLA[Student Number]),0),MATCH(VLOOKUP(G$7,'Writing Logic'!$J$7:$K$11,2,FALSE)&amp;" - Per "&amp;VLOOKUP($C$4,'Writing Logic'!$G$8:$H$14,2,FALSE),YES_Writing_ELA[#Headers],0))=0,"",INDEX(_xlfn.VSTACK(YES_Writing_ELA[#Data],YES_Writing_FLA[#Data]),MATCH($A312,_xlfn.VSTACK(YES_Writing_ELA[Student Number],YES_Writing_FLA[Student Number]),0),MATCH(VLOOKUP(G$7,'Writing Logic'!$J$7:$K$11,2,FALSE)&amp;" - Per "&amp;VLOOKUP($C$4,'Writing Logic'!$G$8:$H$14,2,FALSE),YES_Writing_ELA[#Headers],0)))),"")</f>
        <v/>
      </c>
      <c r="H312" s="138" t="str">
        <f>IFERROR(IF(IF(INDEX(_xlfn.VSTACK(YES_Writing_ELA[#Data],YES_Writing_FLA[#Data]),MATCH($A312,_xlfn.VSTACK(YES_Writing_ELA[Student Number],YES_Writing_FLA[Student Number]),0),MATCH(VLOOKUP(H$7,'Writing Logic'!$J$7:$K$11,2,FALSE)&amp;" - Per "&amp;VLOOKUP($C$4,'Writing Logic'!$G$8:$H$14,2,FALSE),YES_Writing_ELA[#Headers],0))=0,"",INDEX(_xlfn.VSTACK(YES_Writing_ELA[#Data],YES_Writing_FLA[#Data]),MATCH($A312,_xlfn.VSTACK(YES_Writing_ELA[Student Number],YES_Writing_FLA[Student Number]),0),MATCH(VLOOKUP(H$7,'Writing Logic'!$J$7:$K$11,2,FALSE)&amp;" - Per "&amp;VLOOKUP($C$4,'Writing Logic'!$G$8:$H$14,2,FALSE),YES_Writing_ELA[#Headers],0)))="INS",'Writing Logic'!$B$7,IF(INDEX(_xlfn.VSTACK(YES_Writing_ELA[#Data],YES_Writing_FLA[#Data]),MATCH($A312,_xlfn.VSTACK(YES_Writing_ELA[Student Number],YES_Writing_FLA[Student Number]),0),MATCH(VLOOKUP(H$7,'Writing Logic'!$J$7:$K$11,2,FALSE)&amp;" - Per "&amp;VLOOKUP($C$4,'Writing Logic'!$G$8:$H$14,2,FALSE),YES_Writing_ELA[#Headers],0))=0,"",INDEX(_xlfn.VSTACK(YES_Writing_ELA[#Data],YES_Writing_FLA[#Data]),MATCH($A312,_xlfn.VSTACK(YES_Writing_ELA[Student Number],YES_Writing_FLA[Student Number]),0),MATCH(VLOOKUP(H$7,'Writing Logic'!$J$7:$K$11,2,FALSE)&amp;" - Per "&amp;VLOOKUP($C$4,'Writing Logic'!$G$8:$H$14,2,FALSE),YES_Writing_ELA[#Headers],0)))),"")</f>
        <v/>
      </c>
    </row>
    <row r="313" spans="1:8" x14ac:dyDescent="0.25">
      <c r="A313" s="137"/>
      <c r="B313" s="137" t="str">
        <f>IFERROR(INDEX(_xlfn.VSTACK(YES_Writing_ELA[#Data], YES_Writing_FLA[#Data]),MATCH($A313,_xlfn.VSTACK(YES_Writing_ELA[Student Number], YES_Writing_FLA[Student Number]),0),MATCH(B$7,YES_Writing_ELA[#Headers],0)),"")</f>
        <v/>
      </c>
      <c r="C313" s="137" t="str">
        <f>IFERROR(INDEX(_xlfn.VSTACK(YES_Writing_ELA[#Data], YES_Writing_FLA[#Data]),MATCH($A313,_xlfn.VSTACK(YES_Writing_ELA[Student Number], YES_Writing_FLA[Student Number]),0),MATCH(C$7,YES_Writing_ELA[#Headers],0)),"")</f>
        <v/>
      </c>
      <c r="D313" s="138" t="str">
        <f>IFERROR(IF(IF(INDEX(_xlfn.VSTACK(YES_Writing_ELA[#Data],YES_Writing_FLA[#Data]),MATCH($A313,_xlfn.VSTACK(YES_Writing_ELA[Student Number],YES_Writing_FLA[Student Number]),0),MATCH(VLOOKUP(D$7,'Writing Logic'!$J$7:$K$11,2,FALSE)&amp;" - Per "&amp;VLOOKUP($C$4,'Writing Logic'!$G$8:$H$14,2,FALSE),YES_Writing_ELA[#Headers],0))=0,"",INDEX(_xlfn.VSTACK(YES_Writing_ELA[#Data],YES_Writing_FLA[#Data]),MATCH($A313,_xlfn.VSTACK(YES_Writing_ELA[Student Number],YES_Writing_FLA[Student Number]),0),MATCH(VLOOKUP(D$7,'Writing Logic'!$J$7:$K$11,2,FALSE)&amp;" - Per "&amp;VLOOKUP($C$4,'Writing Logic'!$G$8:$H$14,2,FALSE),YES_Writing_ELA[#Headers],0)))="INS",'Writing Logic'!$B$7,IF(INDEX(_xlfn.VSTACK(YES_Writing_ELA[#Data],YES_Writing_FLA[#Data]),MATCH($A313,_xlfn.VSTACK(YES_Writing_ELA[Student Number],YES_Writing_FLA[Student Number]),0),MATCH(VLOOKUP(D$7,'Writing Logic'!$J$7:$K$11,2,FALSE)&amp;" - Per "&amp;VLOOKUP($C$4,'Writing Logic'!$G$8:$H$14,2,FALSE),YES_Writing_ELA[#Headers],0))=0,"",INDEX(_xlfn.VSTACK(YES_Writing_ELA[#Data],YES_Writing_FLA[#Data]),MATCH($A313,_xlfn.VSTACK(YES_Writing_ELA[Student Number],YES_Writing_FLA[Student Number]),0),MATCH(VLOOKUP(D$7,'Writing Logic'!$J$7:$K$11,2,FALSE)&amp;" - Per "&amp;VLOOKUP($C$4,'Writing Logic'!$G$8:$H$14,2,FALSE),YES_Writing_ELA[#Headers],0)))),"")</f>
        <v/>
      </c>
      <c r="E313" s="138" t="str">
        <f>IFERROR(IF(IF(INDEX(_xlfn.VSTACK(YES_Writing_ELA[#Data],YES_Writing_FLA[#Data]),MATCH($A313,_xlfn.VSTACK(YES_Writing_ELA[Student Number],YES_Writing_FLA[Student Number]),0),MATCH(VLOOKUP(E$7,'Writing Logic'!$J$7:$K$11,2,FALSE)&amp;" - Per "&amp;VLOOKUP($C$4,'Writing Logic'!$G$8:$H$14,2,FALSE),YES_Writing_ELA[#Headers],0))=0,"",INDEX(_xlfn.VSTACK(YES_Writing_ELA[#Data],YES_Writing_FLA[#Data]),MATCH($A313,_xlfn.VSTACK(YES_Writing_ELA[Student Number],YES_Writing_FLA[Student Number]),0),MATCH(VLOOKUP(E$7,'Writing Logic'!$J$7:$K$11,2,FALSE)&amp;" - Per "&amp;VLOOKUP($C$4,'Writing Logic'!$G$8:$H$14,2,FALSE),YES_Writing_ELA[#Headers],0)))="INS",'Writing Logic'!$B$7,IF(INDEX(_xlfn.VSTACK(YES_Writing_ELA[#Data],YES_Writing_FLA[#Data]),MATCH($A313,_xlfn.VSTACK(YES_Writing_ELA[Student Number],YES_Writing_FLA[Student Number]),0),MATCH(VLOOKUP(E$7,'Writing Logic'!$J$7:$K$11,2,FALSE)&amp;" - Per "&amp;VLOOKUP($C$4,'Writing Logic'!$G$8:$H$14,2,FALSE),YES_Writing_ELA[#Headers],0))=0,"",INDEX(_xlfn.VSTACK(YES_Writing_ELA[#Data],YES_Writing_FLA[#Data]),MATCH($A313,_xlfn.VSTACK(YES_Writing_ELA[Student Number],YES_Writing_FLA[Student Number]),0),MATCH(VLOOKUP(E$7,'Writing Logic'!$J$7:$K$11,2,FALSE)&amp;" - Per "&amp;VLOOKUP($C$4,'Writing Logic'!$G$8:$H$14,2,FALSE),YES_Writing_ELA[#Headers],0)))),"")</f>
        <v/>
      </c>
      <c r="F313" s="138" t="str">
        <f>IFERROR(IF(IF(INDEX(_xlfn.VSTACK(YES_Writing_ELA[#Data],YES_Writing_FLA[#Data]),MATCH($A313,_xlfn.VSTACK(YES_Writing_ELA[Student Number],YES_Writing_FLA[Student Number]),0),MATCH(VLOOKUP(F$7,'Writing Logic'!$J$7:$K$11,2,FALSE)&amp;" - Per "&amp;VLOOKUP($C$4,'Writing Logic'!$G$8:$H$14,2,FALSE),YES_Writing_ELA[#Headers],0))=0,"",INDEX(_xlfn.VSTACK(YES_Writing_ELA[#Data],YES_Writing_FLA[#Data]),MATCH($A313,_xlfn.VSTACK(YES_Writing_ELA[Student Number],YES_Writing_FLA[Student Number]),0),MATCH(VLOOKUP(F$7,'Writing Logic'!$J$7:$K$11,2,FALSE)&amp;" - Per "&amp;VLOOKUP($C$4,'Writing Logic'!$G$8:$H$14,2,FALSE),YES_Writing_ELA[#Headers],0)))="INS",'Writing Logic'!$B$7,IF(INDEX(_xlfn.VSTACK(YES_Writing_ELA[#Data],YES_Writing_FLA[#Data]),MATCH($A313,_xlfn.VSTACK(YES_Writing_ELA[Student Number],YES_Writing_FLA[Student Number]),0),MATCH(VLOOKUP(F$7,'Writing Logic'!$J$7:$K$11,2,FALSE)&amp;" - Per "&amp;VLOOKUP($C$4,'Writing Logic'!$G$8:$H$14,2,FALSE),YES_Writing_ELA[#Headers],0))=0,"",INDEX(_xlfn.VSTACK(YES_Writing_ELA[#Data],YES_Writing_FLA[#Data]),MATCH($A313,_xlfn.VSTACK(YES_Writing_ELA[Student Number],YES_Writing_FLA[Student Number]),0),MATCH(VLOOKUP(F$7,'Writing Logic'!$J$7:$K$11,2,FALSE)&amp;" - Per "&amp;VLOOKUP($C$4,'Writing Logic'!$G$8:$H$14,2,FALSE),YES_Writing_ELA[#Headers],0)))),"")</f>
        <v/>
      </c>
      <c r="G313" s="138" t="str">
        <f>IFERROR(IF(IF(INDEX(_xlfn.VSTACK(YES_Writing_ELA[#Data],YES_Writing_FLA[#Data]),MATCH($A313,_xlfn.VSTACK(YES_Writing_ELA[Student Number],YES_Writing_FLA[Student Number]),0),MATCH(VLOOKUP(G$7,'Writing Logic'!$J$7:$K$11,2,FALSE)&amp;" - Per "&amp;VLOOKUP($C$4,'Writing Logic'!$G$8:$H$14,2,FALSE),YES_Writing_ELA[#Headers],0))=0,"",INDEX(_xlfn.VSTACK(YES_Writing_ELA[#Data],YES_Writing_FLA[#Data]),MATCH($A313,_xlfn.VSTACK(YES_Writing_ELA[Student Number],YES_Writing_FLA[Student Number]),0),MATCH(VLOOKUP(G$7,'Writing Logic'!$J$7:$K$11,2,FALSE)&amp;" - Per "&amp;VLOOKUP($C$4,'Writing Logic'!$G$8:$H$14,2,FALSE),YES_Writing_ELA[#Headers],0)))="INS",'Writing Logic'!$B$7,IF(INDEX(_xlfn.VSTACK(YES_Writing_ELA[#Data],YES_Writing_FLA[#Data]),MATCH($A313,_xlfn.VSTACK(YES_Writing_ELA[Student Number],YES_Writing_FLA[Student Number]),0),MATCH(VLOOKUP(G$7,'Writing Logic'!$J$7:$K$11,2,FALSE)&amp;" - Per "&amp;VLOOKUP($C$4,'Writing Logic'!$G$8:$H$14,2,FALSE),YES_Writing_ELA[#Headers],0))=0,"",INDEX(_xlfn.VSTACK(YES_Writing_ELA[#Data],YES_Writing_FLA[#Data]),MATCH($A313,_xlfn.VSTACK(YES_Writing_ELA[Student Number],YES_Writing_FLA[Student Number]),0),MATCH(VLOOKUP(G$7,'Writing Logic'!$J$7:$K$11,2,FALSE)&amp;" - Per "&amp;VLOOKUP($C$4,'Writing Logic'!$G$8:$H$14,2,FALSE),YES_Writing_ELA[#Headers],0)))),"")</f>
        <v/>
      </c>
      <c r="H313" s="138" t="str">
        <f>IFERROR(IF(IF(INDEX(_xlfn.VSTACK(YES_Writing_ELA[#Data],YES_Writing_FLA[#Data]),MATCH($A313,_xlfn.VSTACK(YES_Writing_ELA[Student Number],YES_Writing_FLA[Student Number]),0),MATCH(VLOOKUP(H$7,'Writing Logic'!$J$7:$K$11,2,FALSE)&amp;" - Per "&amp;VLOOKUP($C$4,'Writing Logic'!$G$8:$H$14,2,FALSE),YES_Writing_ELA[#Headers],0))=0,"",INDEX(_xlfn.VSTACK(YES_Writing_ELA[#Data],YES_Writing_FLA[#Data]),MATCH($A313,_xlfn.VSTACK(YES_Writing_ELA[Student Number],YES_Writing_FLA[Student Number]),0),MATCH(VLOOKUP(H$7,'Writing Logic'!$J$7:$K$11,2,FALSE)&amp;" - Per "&amp;VLOOKUP($C$4,'Writing Logic'!$G$8:$H$14,2,FALSE),YES_Writing_ELA[#Headers],0)))="INS",'Writing Logic'!$B$7,IF(INDEX(_xlfn.VSTACK(YES_Writing_ELA[#Data],YES_Writing_FLA[#Data]),MATCH($A313,_xlfn.VSTACK(YES_Writing_ELA[Student Number],YES_Writing_FLA[Student Number]),0),MATCH(VLOOKUP(H$7,'Writing Logic'!$J$7:$K$11,2,FALSE)&amp;" - Per "&amp;VLOOKUP($C$4,'Writing Logic'!$G$8:$H$14,2,FALSE),YES_Writing_ELA[#Headers],0))=0,"",INDEX(_xlfn.VSTACK(YES_Writing_ELA[#Data],YES_Writing_FLA[#Data]),MATCH($A313,_xlfn.VSTACK(YES_Writing_ELA[Student Number],YES_Writing_FLA[Student Number]),0),MATCH(VLOOKUP(H$7,'Writing Logic'!$J$7:$K$11,2,FALSE)&amp;" - Per "&amp;VLOOKUP($C$4,'Writing Logic'!$G$8:$H$14,2,FALSE),YES_Writing_ELA[#Headers],0)))),"")</f>
        <v/>
      </c>
    </row>
    <row r="314" spans="1:8" x14ac:dyDescent="0.25">
      <c r="A314" s="137"/>
      <c r="B314" s="137" t="str">
        <f>IFERROR(INDEX(_xlfn.VSTACK(YES_Writing_ELA[#Data], YES_Writing_FLA[#Data]),MATCH($A314,_xlfn.VSTACK(YES_Writing_ELA[Student Number], YES_Writing_FLA[Student Number]),0),MATCH(B$7,YES_Writing_ELA[#Headers],0)),"")</f>
        <v/>
      </c>
      <c r="C314" s="137" t="str">
        <f>IFERROR(INDEX(_xlfn.VSTACK(YES_Writing_ELA[#Data], YES_Writing_FLA[#Data]),MATCH($A314,_xlfn.VSTACK(YES_Writing_ELA[Student Number], YES_Writing_FLA[Student Number]),0),MATCH(C$7,YES_Writing_ELA[#Headers],0)),"")</f>
        <v/>
      </c>
      <c r="D314" s="138" t="str">
        <f>IFERROR(IF(IF(INDEX(_xlfn.VSTACK(YES_Writing_ELA[#Data],YES_Writing_FLA[#Data]),MATCH($A314,_xlfn.VSTACK(YES_Writing_ELA[Student Number],YES_Writing_FLA[Student Number]),0),MATCH(VLOOKUP(D$7,'Writing Logic'!$J$7:$K$11,2,FALSE)&amp;" - Per "&amp;VLOOKUP($C$4,'Writing Logic'!$G$8:$H$14,2,FALSE),YES_Writing_ELA[#Headers],0))=0,"",INDEX(_xlfn.VSTACK(YES_Writing_ELA[#Data],YES_Writing_FLA[#Data]),MATCH($A314,_xlfn.VSTACK(YES_Writing_ELA[Student Number],YES_Writing_FLA[Student Number]),0),MATCH(VLOOKUP(D$7,'Writing Logic'!$J$7:$K$11,2,FALSE)&amp;" - Per "&amp;VLOOKUP($C$4,'Writing Logic'!$G$8:$H$14,2,FALSE),YES_Writing_ELA[#Headers],0)))="INS",'Writing Logic'!$B$7,IF(INDEX(_xlfn.VSTACK(YES_Writing_ELA[#Data],YES_Writing_FLA[#Data]),MATCH($A314,_xlfn.VSTACK(YES_Writing_ELA[Student Number],YES_Writing_FLA[Student Number]),0),MATCH(VLOOKUP(D$7,'Writing Logic'!$J$7:$K$11,2,FALSE)&amp;" - Per "&amp;VLOOKUP($C$4,'Writing Logic'!$G$8:$H$14,2,FALSE),YES_Writing_ELA[#Headers],0))=0,"",INDEX(_xlfn.VSTACK(YES_Writing_ELA[#Data],YES_Writing_FLA[#Data]),MATCH($A314,_xlfn.VSTACK(YES_Writing_ELA[Student Number],YES_Writing_FLA[Student Number]),0),MATCH(VLOOKUP(D$7,'Writing Logic'!$J$7:$K$11,2,FALSE)&amp;" - Per "&amp;VLOOKUP($C$4,'Writing Logic'!$G$8:$H$14,2,FALSE),YES_Writing_ELA[#Headers],0)))),"")</f>
        <v/>
      </c>
      <c r="E314" s="138" t="str">
        <f>IFERROR(IF(IF(INDEX(_xlfn.VSTACK(YES_Writing_ELA[#Data],YES_Writing_FLA[#Data]),MATCH($A314,_xlfn.VSTACK(YES_Writing_ELA[Student Number],YES_Writing_FLA[Student Number]),0),MATCH(VLOOKUP(E$7,'Writing Logic'!$J$7:$K$11,2,FALSE)&amp;" - Per "&amp;VLOOKUP($C$4,'Writing Logic'!$G$8:$H$14,2,FALSE),YES_Writing_ELA[#Headers],0))=0,"",INDEX(_xlfn.VSTACK(YES_Writing_ELA[#Data],YES_Writing_FLA[#Data]),MATCH($A314,_xlfn.VSTACK(YES_Writing_ELA[Student Number],YES_Writing_FLA[Student Number]),0),MATCH(VLOOKUP(E$7,'Writing Logic'!$J$7:$K$11,2,FALSE)&amp;" - Per "&amp;VLOOKUP($C$4,'Writing Logic'!$G$8:$H$14,2,FALSE),YES_Writing_ELA[#Headers],0)))="INS",'Writing Logic'!$B$7,IF(INDEX(_xlfn.VSTACK(YES_Writing_ELA[#Data],YES_Writing_FLA[#Data]),MATCH($A314,_xlfn.VSTACK(YES_Writing_ELA[Student Number],YES_Writing_FLA[Student Number]),0),MATCH(VLOOKUP(E$7,'Writing Logic'!$J$7:$K$11,2,FALSE)&amp;" - Per "&amp;VLOOKUP($C$4,'Writing Logic'!$G$8:$H$14,2,FALSE),YES_Writing_ELA[#Headers],0))=0,"",INDEX(_xlfn.VSTACK(YES_Writing_ELA[#Data],YES_Writing_FLA[#Data]),MATCH($A314,_xlfn.VSTACK(YES_Writing_ELA[Student Number],YES_Writing_FLA[Student Number]),0),MATCH(VLOOKUP(E$7,'Writing Logic'!$J$7:$K$11,2,FALSE)&amp;" - Per "&amp;VLOOKUP($C$4,'Writing Logic'!$G$8:$H$14,2,FALSE),YES_Writing_ELA[#Headers],0)))),"")</f>
        <v/>
      </c>
      <c r="F314" s="138" t="str">
        <f>IFERROR(IF(IF(INDEX(_xlfn.VSTACK(YES_Writing_ELA[#Data],YES_Writing_FLA[#Data]),MATCH($A314,_xlfn.VSTACK(YES_Writing_ELA[Student Number],YES_Writing_FLA[Student Number]),0),MATCH(VLOOKUP(F$7,'Writing Logic'!$J$7:$K$11,2,FALSE)&amp;" - Per "&amp;VLOOKUP($C$4,'Writing Logic'!$G$8:$H$14,2,FALSE),YES_Writing_ELA[#Headers],0))=0,"",INDEX(_xlfn.VSTACK(YES_Writing_ELA[#Data],YES_Writing_FLA[#Data]),MATCH($A314,_xlfn.VSTACK(YES_Writing_ELA[Student Number],YES_Writing_FLA[Student Number]),0),MATCH(VLOOKUP(F$7,'Writing Logic'!$J$7:$K$11,2,FALSE)&amp;" - Per "&amp;VLOOKUP($C$4,'Writing Logic'!$G$8:$H$14,2,FALSE),YES_Writing_ELA[#Headers],0)))="INS",'Writing Logic'!$B$7,IF(INDEX(_xlfn.VSTACK(YES_Writing_ELA[#Data],YES_Writing_FLA[#Data]),MATCH($A314,_xlfn.VSTACK(YES_Writing_ELA[Student Number],YES_Writing_FLA[Student Number]),0),MATCH(VLOOKUP(F$7,'Writing Logic'!$J$7:$K$11,2,FALSE)&amp;" - Per "&amp;VLOOKUP($C$4,'Writing Logic'!$G$8:$H$14,2,FALSE),YES_Writing_ELA[#Headers],0))=0,"",INDEX(_xlfn.VSTACK(YES_Writing_ELA[#Data],YES_Writing_FLA[#Data]),MATCH($A314,_xlfn.VSTACK(YES_Writing_ELA[Student Number],YES_Writing_FLA[Student Number]),0),MATCH(VLOOKUP(F$7,'Writing Logic'!$J$7:$K$11,2,FALSE)&amp;" - Per "&amp;VLOOKUP($C$4,'Writing Logic'!$G$8:$H$14,2,FALSE),YES_Writing_ELA[#Headers],0)))),"")</f>
        <v/>
      </c>
      <c r="G314" s="138" t="str">
        <f>IFERROR(IF(IF(INDEX(_xlfn.VSTACK(YES_Writing_ELA[#Data],YES_Writing_FLA[#Data]),MATCH($A314,_xlfn.VSTACK(YES_Writing_ELA[Student Number],YES_Writing_FLA[Student Number]),0),MATCH(VLOOKUP(G$7,'Writing Logic'!$J$7:$K$11,2,FALSE)&amp;" - Per "&amp;VLOOKUP($C$4,'Writing Logic'!$G$8:$H$14,2,FALSE),YES_Writing_ELA[#Headers],0))=0,"",INDEX(_xlfn.VSTACK(YES_Writing_ELA[#Data],YES_Writing_FLA[#Data]),MATCH($A314,_xlfn.VSTACK(YES_Writing_ELA[Student Number],YES_Writing_FLA[Student Number]),0),MATCH(VLOOKUP(G$7,'Writing Logic'!$J$7:$K$11,2,FALSE)&amp;" - Per "&amp;VLOOKUP($C$4,'Writing Logic'!$G$8:$H$14,2,FALSE),YES_Writing_ELA[#Headers],0)))="INS",'Writing Logic'!$B$7,IF(INDEX(_xlfn.VSTACK(YES_Writing_ELA[#Data],YES_Writing_FLA[#Data]),MATCH($A314,_xlfn.VSTACK(YES_Writing_ELA[Student Number],YES_Writing_FLA[Student Number]),0),MATCH(VLOOKUP(G$7,'Writing Logic'!$J$7:$K$11,2,FALSE)&amp;" - Per "&amp;VLOOKUP($C$4,'Writing Logic'!$G$8:$H$14,2,FALSE),YES_Writing_ELA[#Headers],0))=0,"",INDEX(_xlfn.VSTACK(YES_Writing_ELA[#Data],YES_Writing_FLA[#Data]),MATCH($A314,_xlfn.VSTACK(YES_Writing_ELA[Student Number],YES_Writing_FLA[Student Number]),0),MATCH(VLOOKUP(G$7,'Writing Logic'!$J$7:$K$11,2,FALSE)&amp;" - Per "&amp;VLOOKUP($C$4,'Writing Logic'!$G$8:$H$14,2,FALSE),YES_Writing_ELA[#Headers],0)))),"")</f>
        <v/>
      </c>
      <c r="H314" s="138" t="str">
        <f>IFERROR(IF(IF(INDEX(_xlfn.VSTACK(YES_Writing_ELA[#Data],YES_Writing_FLA[#Data]),MATCH($A314,_xlfn.VSTACK(YES_Writing_ELA[Student Number],YES_Writing_FLA[Student Number]),0),MATCH(VLOOKUP(H$7,'Writing Logic'!$J$7:$K$11,2,FALSE)&amp;" - Per "&amp;VLOOKUP($C$4,'Writing Logic'!$G$8:$H$14,2,FALSE),YES_Writing_ELA[#Headers],0))=0,"",INDEX(_xlfn.VSTACK(YES_Writing_ELA[#Data],YES_Writing_FLA[#Data]),MATCH($A314,_xlfn.VSTACK(YES_Writing_ELA[Student Number],YES_Writing_FLA[Student Number]),0),MATCH(VLOOKUP(H$7,'Writing Logic'!$J$7:$K$11,2,FALSE)&amp;" - Per "&amp;VLOOKUP($C$4,'Writing Logic'!$G$8:$H$14,2,FALSE),YES_Writing_ELA[#Headers],0)))="INS",'Writing Logic'!$B$7,IF(INDEX(_xlfn.VSTACK(YES_Writing_ELA[#Data],YES_Writing_FLA[#Data]),MATCH($A314,_xlfn.VSTACK(YES_Writing_ELA[Student Number],YES_Writing_FLA[Student Number]),0),MATCH(VLOOKUP(H$7,'Writing Logic'!$J$7:$K$11,2,FALSE)&amp;" - Per "&amp;VLOOKUP($C$4,'Writing Logic'!$G$8:$H$14,2,FALSE),YES_Writing_ELA[#Headers],0))=0,"",INDEX(_xlfn.VSTACK(YES_Writing_ELA[#Data],YES_Writing_FLA[#Data]),MATCH($A314,_xlfn.VSTACK(YES_Writing_ELA[Student Number],YES_Writing_FLA[Student Number]),0),MATCH(VLOOKUP(H$7,'Writing Logic'!$J$7:$K$11,2,FALSE)&amp;" - Per "&amp;VLOOKUP($C$4,'Writing Logic'!$G$8:$H$14,2,FALSE),YES_Writing_ELA[#Headers],0)))),"")</f>
        <v/>
      </c>
    </row>
    <row r="315" spans="1:8" x14ac:dyDescent="0.25">
      <c r="A315" s="137"/>
      <c r="B315" s="137" t="str">
        <f>IFERROR(INDEX(_xlfn.VSTACK(YES_Writing_ELA[#Data], YES_Writing_FLA[#Data]),MATCH($A315,_xlfn.VSTACK(YES_Writing_ELA[Student Number], YES_Writing_FLA[Student Number]),0),MATCH(B$7,YES_Writing_ELA[#Headers],0)),"")</f>
        <v/>
      </c>
      <c r="C315" s="137" t="str">
        <f>IFERROR(INDEX(_xlfn.VSTACK(YES_Writing_ELA[#Data], YES_Writing_FLA[#Data]),MATCH($A315,_xlfn.VSTACK(YES_Writing_ELA[Student Number], YES_Writing_FLA[Student Number]),0),MATCH(C$7,YES_Writing_ELA[#Headers],0)),"")</f>
        <v/>
      </c>
      <c r="D315" s="138" t="str">
        <f>IFERROR(IF(IF(INDEX(_xlfn.VSTACK(YES_Writing_ELA[#Data],YES_Writing_FLA[#Data]),MATCH($A315,_xlfn.VSTACK(YES_Writing_ELA[Student Number],YES_Writing_FLA[Student Number]),0),MATCH(VLOOKUP(D$7,'Writing Logic'!$J$7:$K$11,2,FALSE)&amp;" - Per "&amp;VLOOKUP($C$4,'Writing Logic'!$G$8:$H$14,2,FALSE),YES_Writing_ELA[#Headers],0))=0,"",INDEX(_xlfn.VSTACK(YES_Writing_ELA[#Data],YES_Writing_FLA[#Data]),MATCH($A315,_xlfn.VSTACK(YES_Writing_ELA[Student Number],YES_Writing_FLA[Student Number]),0),MATCH(VLOOKUP(D$7,'Writing Logic'!$J$7:$K$11,2,FALSE)&amp;" - Per "&amp;VLOOKUP($C$4,'Writing Logic'!$G$8:$H$14,2,FALSE),YES_Writing_ELA[#Headers],0)))="INS",'Writing Logic'!$B$7,IF(INDEX(_xlfn.VSTACK(YES_Writing_ELA[#Data],YES_Writing_FLA[#Data]),MATCH($A315,_xlfn.VSTACK(YES_Writing_ELA[Student Number],YES_Writing_FLA[Student Number]),0),MATCH(VLOOKUP(D$7,'Writing Logic'!$J$7:$K$11,2,FALSE)&amp;" - Per "&amp;VLOOKUP($C$4,'Writing Logic'!$G$8:$H$14,2,FALSE),YES_Writing_ELA[#Headers],0))=0,"",INDEX(_xlfn.VSTACK(YES_Writing_ELA[#Data],YES_Writing_FLA[#Data]),MATCH($A315,_xlfn.VSTACK(YES_Writing_ELA[Student Number],YES_Writing_FLA[Student Number]),0),MATCH(VLOOKUP(D$7,'Writing Logic'!$J$7:$K$11,2,FALSE)&amp;" - Per "&amp;VLOOKUP($C$4,'Writing Logic'!$G$8:$H$14,2,FALSE),YES_Writing_ELA[#Headers],0)))),"")</f>
        <v/>
      </c>
      <c r="E315" s="138" t="str">
        <f>IFERROR(IF(IF(INDEX(_xlfn.VSTACK(YES_Writing_ELA[#Data],YES_Writing_FLA[#Data]),MATCH($A315,_xlfn.VSTACK(YES_Writing_ELA[Student Number],YES_Writing_FLA[Student Number]),0),MATCH(VLOOKUP(E$7,'Writing Logic'!$J$7:$K$11,2,FALSE)&amp;" - Per "&amp;VLOOKUP($C$4,'Writing Logic'!$G$8:$H$14,2,FALSE),YES_Writing_ELA[#Headers],0))=0,"",INDEX(_xlfn.VSTACK(YES_Writing_ELA[#Data],YES_Writing_FLA[#Data]),MATCH($A315,_xlfn.VSTACK(YES_Writing_ELA[Student Number],YES_Writing_FLA[Student Number]),0),MATCH(VLOOKUP(E$7,'Writing Logic'!$J$7:$K$11,2,FALSE)&amp;" - Per "&amp;VLOOKUP($C$4,'Writing Logic'!$G$8:$H$14,2,FALSE),YES_Writing_ELA[#Headers],0)))="INS",'Writing Logic'!$B$7,IF(INDEX(_xlfn.VSTACK(YES_Writing_ELA[#Data],YES_Writing_FLA[#Data]),MATCH($A315,_xlfn.VSTACK(YES_Writing_ELA[Student Number],YES_Writing_FLA[Student Number]),0),MATCH(VLOOKUP(E$7,'Writing Logic'!$J$7:$K$11,2,FALSE)&amp;" - Per "&amp;VLOOKUP($C$4,'Writing Logic'!$G$8:$H$14,2,FALSE),YES_Writing_ELA[#Headers],0))=0,"",INDEX(_xlfn.VSTACK(YES_Writing_ELA[#Data],YES_Writing_FLA[#Data]),MATCH($A315,_xlfn.VSTACK(YES_Writing_ELA[Student Number],YES_Writing_FLA[Student Number]),0),MATCH(VLOOKUP(E$7,'Writing Logic'!$J$7:$K$11,2,FALSE)&amp;" - Per "&amp;VLOOKUP($C$4,'Writing Logic'!$G$8:$H$14,2,FALSE),YES_Writing_ELA[#Headers],0)))),"")</f>
        <v/>
      </c>
      <c r="F315" s="138" t="str">
        <f>IFERROR(IF(IF(INDEX(_xlfn.VSTACK(YES_Writing_ELA[#Data],YES_Writing_FLA[#Data]),MATCH($A315,_xlfn.VSTACK(YES_Writing_ELA[Student Number],YES_Writing_FLA[Student Number]),0),MATCH(VLOOKUP(F$7,'Writing Logic'!$J$7:$K$11,2,FALSE)&amp;" - Per "&amp;VLOOKUP($C$4,'Writing Logic'!$G$8:$H$14,2,FALSE),YES_Writing_ELA[#Headers],0))=0,"",INDEX(_xlfn.VSTACK(YES_Writing_ELA[#Data],YES_Writing_FLA[#Data]),MATCH($A315,_xlfn.VSTACK(YES_Writing_ELA[Student Number],YES_Writing_FLA[Student Number]),0),MATCH(VLOOKUP(F$7,'Writing Logic'!$J$7:$K$11,2,FALSE)&amp;" - Per "&amp;VLOOKUP($C$4,'Writing Logic'!$G$8:$H$14,2,FALSE),YES_Writing_ELA[#Headers],0)))="INS",'Writing Logic'!$B$7,IF(INDEX(_xlfn.VSTACK(YES_Writing_ELA[#Data],YES_Writing_FLA[#Data]),MATCH($A315,_xlfn.VSTACK(YES_Writing_ELA[Student Number],YES_Writing_FLA[Student Number]),0),MATCH(VLOOKUP(F$7,'Writing Logic'!$J$7:$K$11,2,FALSE)&amp;" - Per "&amp;VLOOKUP($C$4,'Writing Logic'!$G$8:$H$14,2,FALSE),YES_Writing_ELA[#Headers],0))=0,"",INDEX(_xlfn.VSTACK(YES_Writing_ELA[#Data],YES_Writing_FLA[#Data]),MATCH($A315,_xlfn.VSTACK(YES_Writing_ELA[Student Number],YES_Writing_FLA[Student Number]),0),MATCH(VLOOKUP(F$7,'Writing Logic'!$J$7:$K$11,2,FALSE)&amp;" - Per "&amp;VLOOKUP($C$4,'Writing Logic'!$G$8:$H$14,2,FALSE),YES_Writing_ELA[#Headers],0)))),"")</f>
        <v/>
      </c>
      <c r="G315" s="138" t="str">
        <f>IFERROR(IF(IF(INDEX(_xlfn.VSTACK(YES_Writing_ELA[#Data],YES_Writing_FLA[#Data]),MATCH($A315,_xlfn.VSTACK(YES_Writing_ELA[Student Number],YES_Writing_FLA[Student Number]),0),MATCH(VLOOKUP(G$7,'Writing Logic'!$J$7:$K$11,2,FALSE)&amp;" - Per "&amp;VLOOKUP($C$4,'Writing Logic'!$G$8:$H$14,2,FALSE),YES_Writing_ELA[#Headers],0))=0,"",INDEX(_xlfn.VSTACK(YES_Writing_ELA[#Data],YES_Writing_FLA[#Data]),MATCH($A315,_xlfn.VSTACK(YES_Writing_ELA[Student Number],YES_Writing_FLA[Student Number]),0),MATCH(VLOOKUP(G$7,'Writing Logic'!$J$7:$K$11,2,FALSE)&amp;" - Per "&amp;VLOOKUP($C$4,'Writing Logic'!$G$8:$H$14,2,FALSE),YES_Writing_ELA[#Headers],0)))="INS",'Writing Logic'!$B$7,IF(INDEX(_xlfn.VSTACK(YES_Writing_ELA[#Data],YES_Writing_FLA[#Data]),MATCH($A315,_xlfn.VSTACK(YES_Writing_ELA[Student Number],YES_Writing_FLA[Student Number]),0),MATCH(VLOOKUP(G$7,'Writing Logic'!$J$7:$K$11,2,FALSE)&amp;" - Per "&amp;VLOOKUP($C$4,'Writing Logic'!$G$8:$H$14,2,FALSE),YES_Writing_ELA[#Headers],0))=0,"",INDEX(_xlfn.VSTACK(YES_Writing_ELA[#Data],YES_Writing_FLA[#Data]),MATCH($A315,_xlfn.VSTACK(YES_Writing_ELA[Student Number],YES_Writing_FLA[Student Number]),0),MATCH(VLOOKUP(G$7,'Writing Logic'!$J$7:$K$11,2,FALSE)&amp;" - Per "&amp;VLOOKUP($C$4,'Writing Logic'!$G$8:$H$14,2,FALSE),YES_Writing_ELA[#Headers],0)))),"")</f>
        <v/>
      </c>
      <c r="H315" s="138" t="str">
        <f>IFERROR(IF(IF(INDEX(_xlfn.VSTACK(YES_Writing_ELA[#Data],YES_Writing_FLA[#Data]),MATCH($A315,_xlfn.VSTACK(YES_Writing_ELA[Student Number],YES_Writing_FLA[Student Number]),0),MATCH(VLOOKUP(H$7,'Writing Logic'!$J$7:$K$11,2,FALSE)&amp;" - Per "&amp;VLOOKUP($C$4,'Writing Logic'!$G$8:$H$14,2,FALSE),YES_Writing_ELA[#Headers],0))=0,"",INDEX(_xlfn.VSTACK(YES_Writing_ELA[#Data],YES_Writing_FLA[#Data]),MATCH($A315,_xlfn.VSTACK(YES_Writing_ELA[Student Number],YES_Writing_FLA[Student Number]),0),MATCH(VLOOKUP(H$7,'Writing Logic'!$J$7:$K$11,2,FALSE)&amp;" - Per "&amp;VLOOKUP($C$4,'Writing Logic'!$G$8:$H$14,2,FALSE),YES_Writing_ELA[#Headers],0)))="INS",'Writing Logic'!$B$7,IF(INDEX(_xlfn.VSTACK(YES_Writing_ELA[#Data],YES_Writing_FLA[#Data]),MATCH($A315,_xlfn.VSTACK(YES_Writing_ELA[Student Number],YES_Writing_FLA[Student Number]),0),MATCH(VLOOKUP(H$7,'Writing Logic'!$J$7:$K$11,2,FALSE)&amp;" - Per "&amp;VLOOKUP($C$4,'Writing Logic'!$G$8:$H$14,2,FALSE),YES_Writing_ELA[#Headers],0))=0,"",INDEX(_xlfn.VSTACK(YES_Writing_ELA[#Data],YES_Writing_FLA[#Data]),MATCH($A315,_xlfn.VSTACK(YES_Writing_ELA[Student Number],YES_Writing_FLA[Student Number]),0),MATCH(VLOOKUP(H$7,'Writing Logic'!$J$7:$K$11,2,FALSE)&amp;" - Per "&amp;VLOOKUP($C$4,'Writing Logic'!$G$8:$H$14,2,FALSE),YES_Writing_ELA[#Headers],0)))),"")</f>
        <v/>
      </c>
    </row>
    <row r="316" spans="1:8" x14ac:dyDescent="0.25">
      <c r="A316" s="137"/>
      <c r="B316" s="137" t="str">
        <f>IFERROR(INDEX(_xlfn.VSTACK(YES_Writing_ELA[#Data], YES_Writing_FLA[#Data]),MATCH($A316,_xlfn.VSTACK(YES_Writing_ELA[Student Number], YES_Writing_FLA[Student Number]),0),MATCH(B$7,YES_Writing_ELA[#Headers],0)),"")</f>
        <v/>
      </c>
      <c r="C316" s="137" t="str">
        <f>IFERROR(INDEX(_xlfn.VSTACK(YES_Writing_ELA[#Data], YES_Writing_FLA[#Data]),MATCH($A316,_xlfn.VSTACK(YES_Writing_ELA[Student Number], YES_Writing_FLA[Student Number]),0),MATCH(C$7,YES_Writing_ELA[#Headers],0)),"")</f>
        <v/>
      </c>
      <c r="D316" s="138" t="str">
        <f>IFERROR(IF(IF(INDEX(_xlfn.VSTACK(YES_Writing_ELA[#Data],YES_Writing_FLA[#Data]),MATCH($A316,_xlfn.VSTACK(YES_Writing_ELA[Student Number],YES_Writing_FLA[Student Number]),0),MATCH(VLOOKUP(D$7,'Writing Logic'!$J$7:$K$11,2,FALSE)&amp;" - Per "&amp;VLOOKUP($C$4,'Writing Logic'!$G$8:$H$14,2,FALSE),YES_Writing_ELA[#Headers],0))=0,"",INDEX(_xlfn.VSTACK(YES_Writing_ELA[#Data],YES_Writing_FLA[#Data]),MATCH($A316,_xlfn.VSTACK(YES_Writing_ELA[Student Number],YES_Writing_FLA[Student Number]),0),MATCH(VLOOKUP(D$7,'Writing Logic'!$J$7:$K$11,2,FALSE)&amp;" - Per "&amp;VLOOKUP($C$4,'Writing Logic'!$G$8:$H$14,2,FALSE),YES_Writing_ELA[#Headers],0)))="INS",'Writing Logic'!$B$7,IF(INDEX(_xlfn.VSTACK(YES_Writing_ELA[#Data],YES_Writing_FLA[#Data]),MATCH($A316,_xlfn.VSTACK(YES_Writing_ELA[Student Number],YES_Writing_FLA[Student Number]),0),MATCH(VLOOKUP(D$7,'Writing Logic'!$J$7:$K$11,2,FALSE)&amp;" - Per "&amp;VLOOKUP($C$4,'Writing Logic'!$G$8:$H$14,2,FALSE),YES_Writing_ELA[#Headers],0))=0,"",INDEX(_xlfn.VSTACK(YES_Writing_ELA[#Data],YES_Writing_FLA[#Data]),MATCH($A316,_xlfn.VSTACK(YES_Writing_ELA[Student Number],YES_Writing_FLA[Student Number]),0),MATCH(VLOOKUP(D$7,'Writing Logic'!$J$7:$K$11,2,FALSE)&amp;" - Per "&amp;VLOOKUP($C$4,'Writing Logic'!$G$8:$H$14,2,FALSE),YES_Writing_ELA[#Headers],0)))),"")</f>
        <v/>
      </c>
      <c r="E316" s="138" t="str">
        <f>IFERROR(IF(IF(INDEX(_xlfn.VSTACK(YES_Writing_ELA[#Data],YES_Writing_FLA[#Data]),MATCH($A316,_xlfn.VSTACK(YES_Writing_ELA[Student Number],YES_Writing_FLA[Student Number]),0),MATCH(VLOOKUP(E$7,'Writing Logic'!$J$7:$K$11,2,FALSE)&amp;" - Per "&amp;VLOOKUP($C$4,'Writing Logic'!$G$8:$H$14,2,FALSE),YES_Writing_ELA[#Headers],0))=0,"",INDEX(_xlfn.VSTACK(YES_Writing_ELA[#Data],YES_Writing_FLA[#Data]),MATCH($A316,_xlfn.VSTACK(YES_Writing_ELA[Student Number],YES_Writing_FLA[Student Number]),0),MATCH(VLOOKUP(E$7,'Writing Logic'!$J$7:$K$11,2,FALSE)&amp;" - Per "&amp;VLOOKUP($C$4,'Writing Logic'!$G$8:$H$14,2,FALSE),YES_Writing_ELA[#Headers],0)))="INS",'Writing Logic'!$B$7,IF(INDEX(_xlfn.VSTACK(YES_Writing_ELA[#Data],YES_Writing_FLA[#Data]),MATCH($A316,_xlfn.VSTACK(YES_Writing_ELA[Student Number],YES_Writing_FLA[Student Number]),0),MATCH(VLOOKUP(E$7,'Writing Logic'!$J$7:$K$11,2,FALSE)&amp;" - Per "&amp;VLOOKUP($C$4,'Writing Logic'!$G$8:$H$14,2,FALSE),YES_Writing_ELA[#Headers],0))=0,"",INDEX(_xlfn.VSTACK(YES_Writing_ELA[#Data],YES_Writing_FLA[#Data]),MATCH($A316,_xlfn.VSTACK(YES_Writing_ELA[Student Number],YES_Writing_FLA[Student Number]),0),MATCH(VLOOKUP(E$7,'Writing Logic'!$J$7:$K$11,2,FALSE)&amp;" - Per "&amp;VLOOKUP($C$4,'Writing Logic'!$G$8:$H$14,2,FALSE),YES_Writing_ELA[#Headers],0)))),"")</f>
        <v/>
      </c>
      <c r="F316" s="138" t="str">
        <f>IFERROR(IF(IF(INDEX(_xlfn.VSTACK(YES_Writing_ELA[#Data],YES_Writing_FLA[#Data]),MATCH($A316,_xlfn.VSTACK(YES_Writing_ELA[Student Number],YES_Writing_FLA[Student Number]),0),MATCH(VLOOKUP(F$7,'Writing Logic'!$J$7:$K$11,2,FALSE)&amp;" - Per "&amp;VLOOKUP($C$4,'Writing Logic'!$G$8:$H$14,2,FALSE),YES_Writing_ELA[#Headers],0))=0,"",INDEX(_xlfn.VSTACK(YES_Writing_ELA[#Data],YES_Writing_FLA[#Data]),MATCH($A316,_xlfn.VSTACK(YES_Writing_ELA[Student Number],YES_Writing_FLA[Student Number]),0),MATCH(VLOOKUP(F$7,'Writing Logic'!$J$7:$K$11,2,FALSE)&amp;" - Per "&amp;VLOOKUP($C$4,'Writing Logic'!$G$8:$H$14,2,FALSE),YES_Writing_ELA[#Headers],0)))="INS",'Writing Logic'!$B$7,IF(INDEX(_xlfn.VSTACK(YES_Writing_ELA[#Data],YES_Writing_FLA[#Data]),MATCH($A316,_xlfn.VSTACK(YES_Writing_ELA[Student Number],YES_Writing_FLA[Student Number]),0),MATCH(VLOOKUP(F$7,'Writing Logic'!$J$7:$K$11,2,FALSE)&amp;" - Per "&amp;VLOOKUP($C$4,'Writing Logic'!$G$8:$H$14,2,FALSE),YES_Writing_ELA[#Headers],0))=0,"",INDEX(_xlfn.VSTACK(YES_Writing_ELA[#Data],YES_Writing_FLA[#Data]),MATCH($A316,_xlfn.VSTACK(YES_Writing_ELA[Student Number],YES_Writing_FLA[Student Number]),0),MATCH(VLOOKUP(F$7,'Writing Logic'!$J$7:$K$11,2,FALSE)&amp;" - Per "&amp;VLOOKUP($C$4,'Writing Logic'!$G$8:$H$14,2,FALSE),YES_Writing_ELA[#Headers],0)))),"")</f>
        <v/>
      </c>
      <c r="G316" s="138" t="str">
        <f>IFERROR(IF(IF(INDEX(_xlfn.VSTACK(YES_Writing_ELA[#Data],YES_Writing_FLA[#Data]),MATCH($A316,_xlfn.VSTACK(YES_Writing_ELA[Student Number],YES_Writing_FLA[Student Number]),0),MATCH(VLOOKUP(G$7,'Writing Logic'!$J$7:$K$11,2,FALSE)&amp;" - Per "&amp;VLOOKUP($C$4,'Writing Logic'!$G$8:$H$14,2,FALSE),YES_Writing_ELA[#Headers],0))=0,"",INDEX(_xlfn.VSTACK(YES_Writing_ELA[#Data],YES_Writing_FLA[#Data]),MATCH($A316,_xlfn.VSTACK(YES_Writing_ELA[Student Number],YES_Writing_FLA[Student Number]),0),MATCH(VLOOKUP(G$7,'Writing Logic'!$J$7:$K$11,2,FALSE)&amp;" - Per "&amp;VLOOKUP($C$4,'Writing Logic'!$G$8:$H$14,2,FALSE),YES_Writing_ELA[#Headers],0)))="INS",'Writing Logic'!$B$7,IF(INDEX(_xlfn.VSTACK(YES_Writing_ELA[#Data],YES_Writing_FLA[#Data]),MATCH($A316,_xlfn.VSTACK(YES_Writing_ELA[Student Number],YES_Writing_FLA[Student Number]),0),MATCH(VLOOKUP(G$7,'Writing Logic'!$J$7:$K$11,2,FALSE)&amp;" - Per "&amp;VLOOKUP($C$4,'Writing Logic'!$G$8:$H$14,2,FALSE),YES_Writing_ELA[#Headers],0))=0,"",INDEX(_xlfn.VSTACK(YES_Writing_ELA[#Data],YES_Writing_FLA[#Data]),MATCH($A316,_xlfn.VSTACK(YES_Writing_ELA[Student Number],YES_Writing_FLA[Student Number]),0),MATCH(VLOOKUP(G$7,'Writing Logic'!$J$7:$K$11,2,FALSE)&amp;" - Per "&amp;VLOOKUP($C$4,'Writing Logic'!$G$8:$H$14,2,FALSE),YES_Writing_ELA[#Headers],0)))),"")</f>
        <v/>
      </c>
      <c r="H316" s="138" t="str">
        <f>IFERROR(IF(IF(INDEX(_xlfn.VSTACK(YES_Writing_ELA[#Data],YES_Writing_FLA[#Data]),MATCH($A316,_xlfn.VSTACK(YES_Writing_ELA[Student Number],YES_Writing_FLA[Student Number]),0),MATCH(VLOOKUP(H$7,'Writing Logic'!$J$7:$K$11,2,FALSE)&amp;" - Per "&amp;VLOOKUP($C$4,'Writing Logic'!$G$8:$H$14,2,FALSE),YES_Writing_ELA[#Headers],0))=0,"",INDEX(_xlfn.VSTACK(YES_Writing_ELA[#Data],YES_Writing_FLA[#Data]),MATCH($A316,_xlfn.VSTACK(YES_Writing_ELA[Student Number],YES_Writing_FLA[Student Number]),0),MATCH(VLOOKUP(H$7,'Writing Logic'!$J$7:$K$11,2,FALSE)&amp;" - Per "&amp;VLOOKUP($C$4,'Writing Logic'!$G$8:$H$14,2,FALSE),YES_Writing_ELA[#Headers],0)))="INS",'Writing Logic'!$B$7,IF(INDEX(_xlfn.VSTACK(YES_Writing_ELA[#Data],YES_Writing_FLA[#Data]),MATCH($A316,_xlfn.VSTACK(YES_Writing_ELA[Student Number],YES_Writing_FLA[Student Number]),0),MATCH(VLOOKUP(H$7,'Writing Logic'!$J$7:$K$11,2,FALSE)&amp;" - Per "&amp;VLOOKUP($C$4,'Writing Logic'!$G$8:$H$14,2,FALSE),YES_Writing_ELA[#Headers],0))=0,"",INDEX(_xlfn.VSTACK(YES_Writing_ELA[#Data],YES_Writing_FLA[#Data]),MATCH($A316,_xlfn.VSTACK(YES_Writing_ELA[Student Number],YES_Writing_FLA[Student Number]),0),MATCH(VLOOKUP(H$7,'Writing Logic'!$J$7:$K$11,2,FALSE)&amp;" - Per "&amp;VLOOKUP($C$4,'Writing Logic'!$G$8:$H$14,2,FALSE),YES_Writing_ELA[#Headers],0)))),"")</f>
        <v/>
      </c>
    </row>
    <row r="317" spans="1:8" x14ac:dyDescent="0.25">
      <c r="A317" s="137"/>
      <c r="B317" s="137" t="str">
        <f>IFERROR(INDEX(_xlfn.VSTACK(YES_Writing_ELA[#Data], YES_Writing_FLA[#Data]),MATCH($A317,_xlfn.VSTACK(YES_Writing_ELA[Student Number], YES_Writing_FLA[Student Number]),0),MATCH(B$7,YES_Writing_ELA[#Headers],0)),"")</f>
        <v/>
      </c>
      <c r="C317" s="137" t="str">
        <f>IFERROR(INDEX(_xlfn.VSTACK(YES_Writing_ELA[#Data], YES_Writing_FLA[#Data]),MATCH($A317,_xlfn.VSTACK(YES_Writing_ELA[Student Number], YES_Writing_FLA[Student Number]),0),MATCH(C$7,YES_Writing_ELA[#Headers],0)),"")</f>
        <v/>
      </c>
      <c r="D317" s="138" t="str">
        <f>IFERROR(IF(IF(INDEX(_xlfn.VSTACK(YES_Writing_ELA[#Data],YES_Writing_FLA[#Data]),MATCH($A317,_xlfn.VSTACK(YES_Writing_ELA[Student Number],YES_Writing_FLA[Student Number]),0),MATCH(VLOOKUP(D$7,'Writing Logic'!$J$7:$K$11,2,FALSE)&amp;" - Per "&amp;VLOOKUP($C$4,'Writing Logic'!$G$8:$H$14,2,FALSE),YES_Writing_ELA[#Headers],0))=0,"",INDEX(_xlfn.VSTACK(YES_Writing_ELA[#Data],YES_Writing_FLA[#Data]),MATCH($A317,_xlfn.VSTACK(YES_Writing_ELA[Student Number],YES_Writing_FLA[Student Number]),0),MATCH(VLOOKUP(D$7,'Writing Logic'!$J$7:$K$11,2,FALSE)&amp;" - Per "&amp;VLOOKUP($C$4,'Writing Logic'!$G$8:$H$14,2,FALSE),YES_Writing_ELA[#Headers],0)))="INS",'Writing Logic'!$B$7,IF(INDEX(_xlfn.VSTACK(YES_Writing_ELA[#Data],YES_Writing_FLA[#Data]),MATCH($A317,_xlfn.VSTACK(YES_Writing_ELA[Student Number],YES_Writing_FLA[Student Number]),0),MATCH(VLOOKUP(D$7,'Writing Logic'!$J$7:$K$11,2,FALSE)&amp;" - Per "&amp;VLOOKUP($C$4,'Writing Logic'!$G$8:$H$14,2,FALSE),YES_Writing_ELA[#Headers],0))=0,"",INDEX(_xlfn.VSTACK(YES_Writing_ELA[#Data],YES_Writing_FLA[#Data]),MATCH($A317,_xlfn.VSTACK(YES_Writing_ELA[Student Number],YES_Writing_FLA[Student Number]),0),MATCH(VLOOKUP(D$7,'Writing Logic'!$J$7:$K$11,2,FALSE)&amp;" - Per "&amp;VLOOKUP($C$4,'Writing Logic'!$G$8:$H$14,2,FALSE),YES_Writing_ELA[#Headers],0)))),"")</f>
        <v/>
      </c>
      <c r="E317" s="138" t="str">
        <f>IFERROR(IF(IF(INDEX(_xlfn.VSTACK(YES_Writing_ELA[#Data],YES_Writing_FLA[#Data]),MATCH($A317,_xlfn.VSTACK(YES_Writing_ELA[Student Number],YES_Writing_FLA[Student Number]),0),MATCH(VLOOKUP(E$7,'Writing Logic'!$J$7:$K$11,2,FALSE)&amp;" - Per "&amp;VLOOKUP($C$4,'Writing Logic'!$G$8:$H$14,2,FALSE),YES_Writing_ELA[#Headers],0))=0,"",INDEX(_xlfn.VSTACK(YES_Writing_ELA[#Data],YES_Writing_FLA[#Data]),MATCH($A317,_xlfn.VSTACK(YES_Writing_ELA[Student Number],YES_Writing_FLA[Student Number]),0),MATCH(VLOOKUP(E$7,'Writing Logic'!$J$7:$K$11,2,FALSE)&amp;" - Per "&amp;VLOOKUP($C$4,'Writing Logic'!$G$8:$H$14,2,FALSE),YES_Writing_ELA[#Headers],0)))="INS",'Writing Logic'!$B$7,IF(INDEX(_xlfn.VSTACK(YES_Writing_ELA[#Data],YES_Writing_FLA[#Data]),MATCH($A317,_xlfn.VSTACK(YES_Writing_ELA[Student Number],YES_Writing_FLA[Student Number]),0),MATCH(VLOOKUP(E$7,'Writing Logic'!$J$7:$K$11,2,FALSE)&amp;" - Per "&amp;VLOOKUP($C$4,'Writing Logic'!$G$8:$H$14,2,FALSE),YES_Writing_ELA[#Headers],0))=0,"",INDEX(_xlfn.VSTACK(YES_Writing_ELA[#Data],YES_Writing_FLA[#Data]),MATCH($A317,_xlfn.VSTACK(YES_Writing_ELA[Student Number],YES_Writing_FLA[Student Number]),0),MATCH(VLOOKUP(E$7,'Writing Logic'!$J$7:$K$11,2,FALSE)&amp;" - Per "&amp;VLOOKUP($C$4,'Writing Logic'!$G$8:$H$14,2,FALSE),YES_Writing_ELA[#Headers],0)))),"")</f>
        <v/>
      </c>
      <c r="F317" s="138" t="str">
        <f>IFERROR(IF(IF(INDEX(_xlfn.VSTACK(YES_Writing_ELA[#Data],YES_Writing_FLA[#Data]),MATCH($A317,_xlfn.VSTACK(YES_Writing_ELA[Student Number],YES_Writing_FLA[Student Number]),0),MATCH(VLOOKUP(F$7,'Writing Logic'!$J$7:$K$11,2,FALSE)&amp;" - Per "&amp;VLOOKUP($C$4,'Writing Logic'!$G$8:$H$14,2,FALSE),YES_Writing_ELA[#Headers],0))=0,"",INDEX(_xlfn.VSTACK(YES_Writing_ELA[#Data],YES_Writing_FLA[#Data]),MATCH($A317,_xlfn.VSTACK(YES_Writing_ELA[Student Number],YES_Writing_FLA[Student Number]),0),MATCH(VLOOKUP(F$7,'Writing Logic'!$J$7:$K$11,2,FALSE)&amp;" - Per "&amp;VLOOKUP($C$4,'Writing Logic'!$G$8:$H$14,2,FALSE),YES_Writing_ELA[#Headers],0)))="INS",'Writing Logic'!$B$7,IF(INDEX(_xlfn.VSTACK(YES_Writing_ELA[#Data],YES_Writing_FLA[#Data]),MATCH($A317,_xlfn.VSTACK(YES_Writing_ELA[Student Number],YES_Writing_FLA[Student Number]),0),MATCH(VLOOKUP(F$7,'Writing Logic'!$J$7:$K$11,2,FALSE)&amp;" - Per "&amp;VLOOKUP($C$4,'Writing Logic'!$G$8:$H$14,2,FALSE),YES_Writing_ELA[#Headers],0))=0,"",INDEX(_xlfn.VSTACK(YES_Writing_ELA[#Data],YES_Writing_FLA[#Data]),MATCH($A317,_xlfn.VSTACK(YES_Writing_ELA[Student Number],YES_Writing_FLA[Student Number]),0),MATCH(VLOOKUP(F$7,'Writing Logic'!$J$7:$K$11,2,FALSE)&amp;" - Per "&amp;VLOOKUP($C$4,'Writing Logic'!$G$8:$H$14,2,FALSE),YES_Writing_ELA[#Headers],0)))),"")</f>
        <v/>
      </c>
      <c r="G317" s="138" t="str">
        <f>IFERROR(IF(IF(INDEX(_xlfn.VSTACK(YES_Writing_ELA[#Data],YES_Writing_FLA[#Data]),MATCH($A317,_xlfn.VSTACK(YES_Writing_ELA[Student Number],YES_Writing_FLA[Student Number]),0),MATCH(VLOOKUP(G$7,'Writing Logic'!$J$7:$K$11,2,FALSE)&amp;" - Per "&amp;VLOOKUP($C$4,'Writing Logic'!$G$8:$H$14,2,FALSE),YES_Writing_ELA[#Headers],0))=0,"",INDEX(_xlfn.VSTACK(YES_Writing_ELA[#Data],YES_Writing_FLA[#Data]),MATCH($A317,_xlfn.VSTACK(YES_Writing_ELA[Student Number],YES_Writing_FLA[Student Number]),0),MATCH(VLOOKUP(G$7,'Writing Logic'!$J$7:$K$11,2,FALSE)&amp;" - Per "&amp;VLOOKUP($C$4,'Writing Logic'!$G$8:$H$14,2,FALSE),YES_Writing_ELA[#Headers],0)))="INS",'Writing Logic'!$B$7,IF(INDEX(_xlfn.VSTACK(YES_Writing_ELA[#Data],YES_Writing_FLA[#Data]),MATCH($A317,_xlfn.VSTACK(YES_Writing_ELA[Student Number],YES_Writing_FLA[Student Number]),0),MATCH(VLOOKUP(G$7,'Writing Logic'!$J$7:$K$11,2,FALSE)&amp;" - Per "&amp;VLOOKUP($C$4,'Writing Logic'!$G$8:$H$14,2,FALSE),YES_Writing_ELA[#Headers],0))=0,"",INDEX(_xlfn.VSTACK(YES_Writing_ELA[#Data],YES_Writing_FLA[#Data]),MATCH($A317,_xlfn.VSTACK(YES_Writing_ELA[Student Number],YES_Writing_FLA[Student Number]),0),MATCH(VLOOKUP(G$7,'Writing Logic'!$J$7:$K$11,2,FALSE)&amp;" - Per "&amp;VLOOKUP($C$4,'Writing Logic'!$G$8:$H$14,2,FALSE),YES_Writing_ELA[#Headers],0)))),"")</f>
        <v/>
      </c>
      <c r="H317" s="138" t="str">
        <f>IFERROR(IF(IF(INDEX(_xlfn.VSTACK(YES_Writing_ELA[#Data],YES_Writing_FLA[#Data]),MATCH($A317,_xlfn.VSTACK(YES_Writing_ELA[Student Number],YES_Writing_FLA[Student Number]),0),MATCH(VLOOKUP(H$7,'Writing Logic'!$J$7:$K$11,2,FALSE)&amp;" - Per "&amp;VLOOKUP($C$4,'Writing Logic'!$G$8:$H$14,2,FALSE),YES_Writing_ELA[#Headers],0))=0,"",INDEX(_xlfn.VSTACK(YES_Writing_ELA[#Data],YES_Writing_FLA[#Data]),MATCH($A317,_xlfn.VSTACK(YES_Writing_ELA[Student Number],YES_Writing_FLA[Student Number]),0),MATCH(VLOOKUP(H$7,'Writing Logic'!$J$7:$K$11,2,FALSE)&amp;" - Per "&amp;VLOOKUP($C$4,'Writing Logic'!$G$8:$H$14,2,FALSE),YES_Writing_ELA[#Headers],0)))="INS",'Writing Logic'!$B$7,IF(INDEX(_xlfn.VSTACK(YES_Writing_ELA[#Data],YES_Writing_FLA[#Data]),MATCH($A317,_xlfn.VSTACK(YES_Writing_ELA[Student Number],YES_Writing_FLA[Student Number]),0),MATCH(VLOOKUP(H$7,'Writing Logic'!$J$7:$K$11,2,FALSE)&amp;" - Per "&amp;VLOOKUP($C$4,'Writing Logic'!$G$8:$H$14,2,FALSE),YES_Writing_ELA[#Headers],0))=0,"",INDEX(_xlfn.VSTACK(YES_Writing_ELA[#Data],YES_Writing_FLA[#Data]),MATCH($A317,_xlfn.VSTACK(YES_Writing_ELA[Student Number],YES_Writing_FLA[Student Number]),0),MATCH(VLOOKUP(H$7,'Writing Logic'!$J$7:$K$11,2,FALSE)&amp;" - Per "&amp;VLOOKUP($C$4,'Writing Logic'!$G$8:$H$14,2,FALSE),YES_Writing_ELA[#Headers],0)))),"")</f>
        <v/>
      </c>
    </row>
    <row r="318" spans="1:8" x14ac:dyDescent="0.25">
      <c r="A318" s="137"/>
      <c r="B318" s="137" t="str">
        <f>IFERROR(INDEX(_xlfn.VSTACK(YES_Writing_ELA[#Data], YES_Writing_FLA[#Data]),MATCH($A318,_xlfn.VSTACK(YES_Writing_ELA[Student Number], YES_Writing_FLA[Student Number]),0),MATCH(B$7,YES_Writing_ELA[#Headers],0)),"")</f>
        <v/>
      </c>
      <c r="C318" s="137" t="str">
        <f>IFERROR(INDEX(_xlfn.VSTACK(YES_Writing_ELA[#Data], YES_Writing_FLA[#Data]),MATCH($A318,_xlfn.VSTACK(YES_Writing_ELA[Student Number], YES_Writing_FLA[Student Number]),0),MATCH(C$7,YES_Writing_ELA[#Headers],0)),"")</f>
        <v/>
      </c>
      <c r="D318" s="138" t="str">
        <f>IFERROR(IF(IF(INDEX(_xlfn.VSTACK(YES_Writing_ELA[#Data],YES_Writing_FLA[#Data]),MATCH($A318,_xlfn.VSTACK(YES_Writing_ELA[Student Number],YES_Writing_FLA[Student Number]),0),MATCH(VLOOKUP(D$7,'Writing Logic'!$J$7:$K$11,2,FALSE)&amp;" - Per "&amp;VLOOKUP($C$4,'Writing Logic'!$G$8:$H$14,2,FALSE),YES_Writing_ELA[#Headers],0))=0,"",INDEX(_xlfn.VSTACK(YES_Writing_ELA[#Data],YES_Writing_FLA[#Data]),MATCH($A318,_xlfn.VSTACK(YES_Writing_ELA[Student Number],YES_Writing_FLA[Student Number]),0),MATCH(VLOOKUP(D$7,'Writing Logic'!$J$7:$K$11,2,FALSE)&amp;" - Per "&amp;VLOOKUP($C$4,'Writing Logic'!$G$8:$H$14,2,FALSE),YES_Writing_ELA[#Headers],0)))="INS",'Writing Logic'!$B$7,IF(INDEX(_xlfn.VSTACK(YES_Writing_ELA[#Data],YES_Writing_FLA[#Data]),MATCH($A318,_xlfn.VSTACK(YES_Writing_ELA[Student Number],YES_Writing_FLA[Student Number]),0),MATCH(VLOOKUP(D$7,'Writing Logic'!$J$7:$K$11,2,FALSE)&amp;" - Per "&amp;VLOOKUP($C$4,'Writing Logic'!$G$8:$H$14,2,FALSE),YES_Writing_ELA[#Headers],0))=0,"",INDEX(_xlfn.VSTACK(YES_Writing_ELA[#Data],YES_Writing_FLA[#Data]),MATCH($A318,_xlfn.VSTACK(YES_Writing_ELA[Student Number],YES_Writing_FLA[Student Number]),0),MATCH(VLOOKUP(D$7,'Writing Logic'!$J$7:$K$11,2,FALSE)&amp;" - Per "&amp;VLOOKUP($C$4,'Writing Logic'!$G$8:$H$14,2,FALSE),YES_Writing_ELA[#Headers],0)))),"")</f>
        <v/>
      </c>
      <c r="E318" s="138" t="str">
        <f>IFERROR(IF(IF(INDEX(_xlfn.VSTACK(YES_Writing_ELA[#Data],YES_Writing_FLA[#Data]),MATCH($A318,_xlfn.VSTACK(YES_Writing_ELA[Student Number],YES_Writing_FLA[Student Number]),0),MATCH(VLOOKUP(E$7,'Writing Logic'!$J$7:$K$11,2,FALSE)&amp;" - Per "&amp;VLOOKUP($C$4,'Writing Logic'!$G$8:$H$14,2,FALSE),YES_Writing_ELA[#Headers],0))=0,"",INDEX(_xlfn.VSTACK(YES_Writing_ELA[#Data],YES_Writing_FLA[#Data]),MATCH($A318,_xlfn.VSTACK(YES_Writing_ELA[Student Number],YES_Writing_FLA[Student Number]),0),MATCH(VLOOKUP(E$7,'Writing Logic'!$J$7:$K$11,2,FALSE)&amp;" - Per "&amp;VLOOKUP($C$4,'Writing Logic'!$G$8:$H$14,2,FALSE),YES_Writing_ELA[#Headers],0)))="INS",'Writing Logic'!$B$7,IF(INDEX(_xlfn.VSTACK(YES_Writing_ELA[#Data],YES_Writing_FLA[#Data]),MATCH($A318,_xlfn.VSTACK(YES_Writing_ELA[Student Number],YES_Writing_FLA[Student Number]),0),MATCH(VLOOKUP(E$7,'Writing Logic'!$J$7:$K$11,2,FALSE)&amp;" - Per "&amp;VLOOKUP($C$4,'Writing Logic'!$G$8:$H$14,2,FALSE),YES_Writing_ELA[#Headers],0))=0,"",INDEX(_xlfn.VSTACK(YES_Writing_ELA[#Data],YES_Writing_FLA[#Data]),MATCH($A318,_xlfn.VSTACK(YES_Writing_ELA[Student Number],YES_Writing_FLA[Student Number]),0),MATCH(VLOOKUP(E$7,'Writing Logic'!$J$7:$K$11,2,FALSE)&amp;" - Per "&amp;VLOOKUP($C$4,'Writing Logic'!$G$8:$H$14,2,FALSE),YES_Writing_ELA[#Headers],0)))),"")</f>
        <v/>
      </c>
      <c r="F318" s="138" t="str">
        <f>IFERROR(IF(IF(INDEX(_xlfn.VSTACK(YES_Writing_ELA[#Data],YES_Writing_FLA[#Data]),MATCH($A318,_xlfn.VSTACK(YES_Writing_ELA[Student Number],YES_Writing_FLA[Student Number]),0),MATCH(VLOOKUP(F$7,'Writing Logic'!$J$7:$K$11,2,FALSE)&amp;" - Per "&amp;VLOOKUP($C$4,'Writing Logic'!$G$8:$H$14,2,FALSE),YES_Writing_ELA[#Headers],0))=0,"",INDEX(_xlfn.VSTACK(YES_Writing_ELA[#Data],YES_Writing_FLA[#Data]),MATCH($A318,_xlfn.VSTACK(YES_Writing_ELA[Student Number],YES_Writing_FLA[Student Number]),0),MATCH(VLOOKUP(F$7,'Writing Logic'!$J$7:$K$11,2,FALSE)&amp;" - Per "&amp;VLOOKUP($C$4,'Writing Logic'!$G$8:$H$14,2,FALSE),YES_Writing_ELA[#Headers],0)))="INS",'Writing Logic'!$B$7,IF(INDEX(_xlfn.VSTACK(YES_Writing_ELA[#Data],YES_Writing_FLA[#Data]),MATCH($A318,_xlfn.VSTACK(YES_Writing_ELA[Student Number],YES_Writing_FLA[Student Number]),0),MATCH(VLOOKUP(F$7,'Writing Logic'!$J$7:$K$11,2,FALSE)&amp;" - Per "&amp;VLOOKUP($C$4,'Writing Logic'!$G$8:$H$14,2,FALSE),YES_Writing_ELA[#Headers],0))=0,"",INDEX(_xlfn.VSTACK(YES_Writing_ELA[#Data],YES_Writing_FLA[#Data]),MATCH($A318,_xlfn.VSTACK(YES_Writing_ELA[Student Number],YES_Writing_FLA[Student Number]),0),MATCH(VLOOKUP(F$7,'Writing Logic'!$J$7:$K$11,2,FALSE)&amp;" - Per "&amp;VLOOKUP($C$4,'Writing Logic'!$G$8:$H$14,2,FALSE),YES_Writing_ELA[#Headers],0)))),"")</f>
        <v/>
      </c>
      <c r="G318" s="138" t="str">
        <f>IFERROR(IF(IF(INDEX(_xlfn.VSTACK(YES_Writing_ELA[#Data],YES_Writing_FLA[#Data]),MATCH($A318,_xlfn.VSTACK(YES_Writing_ELA[Student Number],YES_Writing_FLA[Student Number]),0),MATCH(VLOOKUP(G$7,'Writing Logic'!$J$7:$K$11,2,FALSE)&amp;" - Per "&amp;VLOOKUP($C$4,'Writing Logic'!$G$8:$H$14,2,FALSE),YES_Writing_ELA[#Headers],0))=0,"",INDEX(_xlfn.VSTACK(YES_Writing_ELA[#Data],YES_Writing_FLA[#Data]),MATCH($A318,_xlfn.VSTACK(YES_Writing_ELA[Student Number],YES_Writing_FLA[Student Number]),0),MATCH(VLOOKUP(G$7,'Writing Logic'!$J$7:$K$11,2,FALSE)&amp;" - Per "&amp;VLOOKUP($C$4,'Writing Logic'!$G$8:$H$14,2,FALSE),YES_Writing_ELA[#Headers],0)))="INS",'Writing Logic'!$B$7,IF(INDEX(_xlfn.VSTACK(YES_Writing_ELA[#Data],YES_Writing_FLA[#Data]),MATCH($A318,_xlfn.VSTACK(YES_Writing_ELA[Student Number],YES_Writing_FLA[Student Number]),0),MATCH(VLOOKUP(G$7,'Writing Logic'!$J$7:$K$11,2,FALSE)&amp;" - Per "&amp;VLOOKUP($C$4,'Writing Logic'!$G$8:$H$14,2,FALSE),YES_Writing_ELA[#Headers],0))=0,"",INDEX(_xlfn.VSTACK(YES_Writing_ELA[#Data],YES_Writing_FLA[#Data]),MATCH($A318,_xlfn.VSTACK(YES_Writing_ELA[Student Number],YES_Writing_FLA[Student Number]),0),MATCH(VLOOKUP(G$7,'Writing Logic'!$J$7:$K$11,2,FALSE)&amp;" - Per "&amp;VLOOKUP($C$4,'Writing Logic'!$G$8:$H$14,2,FALSE),YES_Writing_ELA[#Headers],0)))),"")</f>
        <v/>
      </c>
      <c r="H318" s="138" t="str">
        <f>IFERROR(IF(IF(INDEX(_xlfn.VSTACK(YES_Writing_ELA[#Data],YES_Writing_FLA[#Data]),MATCH($A318,_xlfn.VSTACK(YES_Writing_ELA[Student Number],YES_Writing_FLA[Student Number]),0),MATCH(VLOOKUP(H$7,'Writing Logic'!$J$7:$K$11,2,FALSE)&amp;" - Per "&amp;VLOOKUP($C$4,'Writing Logic'!$G$8:$H$14,2,FALSE),YES_Writing_ELA[#Headers],0))=0,"",INDEX(_xlfn.VSTACK(YES_Writing_ELA[#Data],YES_Writing_FLA[#Data]),MATCH($A318,_xlfn.VSTACK(YES_Writing_ELA[Student Number],YES_Writing_FLA[Student Number]),0),MATCH(VLOOKUP(H$7,'Writing Logic'!$J$7:$K$11,2,FALSE)&amp;" - Per "&amp;VLOOKUP($C$4,'Writing Logic'!$G$8:$H$14,2,FALSE),YES_Writing_ELA[#Headers],0)))="INS",'Writing Logic'!$B$7,IF(INDEX(_xlfn.VSTACK(YES_Writing_ELA[#Data],YES_Writing_FLA[#Data]),MATCH($A318,_xlfn.VSTACK(YES_Writing_ELA[Student Number],YES_Writing_FLA[Student Number]),0),MATCH(VLOOKUP(H$7,'Writing Logic'!$J$7:$K$11,2,FALSE)&amp;" - Per "&amp;VLOOKUP($C$4,'Writing Logic'!$G$8:$H$14,2,FALSE),YES_Writing_ELA[#Headers],0))=0,"",INDEX(_xlfn.VSTACK(YES_Writing_ELA[#Data],YES_Writing_FLA[#Data]),MATCH($A318,_xlfn.VSTACK(YES_Writing_ELA[Student Number],YES_Writing_FLA[Student Number]),0),MATCH(VLOOKUP(H$7,'Writing Logic'!$J$7:$K$11,2,FALSE)&amp;" - Per "&amp;VLOOKUP($C$4,'Writing Logic'!$G$8:$H$14,2,FALSE),YES_Writing_ELA[#Headers],0)))),"")</f>
        <v/>
      </c>
    </row>
    <row r="319" spans="1:8" x14ac:dyDescent="0.25">
      <c r="A319" s="137"/>
      <c r="B319" s="137" t="str">
        <f>IFERROR(INDEX(_xlfn.VSTACK(YES_Writing_ELA[#Data], YES_Writing_FLA[#Data]),MATCH($A319,_xlfn.VSTACK(YES_Writing_ELA[Student Number], YES_Writing_FLA[Student Number]),0),MATCH(B$7,YES_Writing_ELA[#Headers],0)),"")</f>
        <v/>
      </c>
      <c r="C319" s="137" t="str">
        <f>IFERROR(INDEX(_xlfn.VSTACK(YES_Writing_ELA[#Data], YES_Writing_FLA[#Data]),MATCH($A319,_xlfn.VSTACK(YES_Writing_ELA[Student Number], YES_Writing_FLA[Student Number]),0),MATCH(C$7,YES_Writing_ELA[#Headers],0)),"")</f>
        <v/>
      </c>
      <c r="D319" s="138" t="str">
        <f>IFERROR(IF(IF(INDEX(_xlfn.VSTACK(YES_Writing_ELA[#Data],YES_Writing_FLA[#Data]),MATCH($A319,_xlfn.VSTACK(YES_Writing_ELA[Student Number],YES_Writing_FLA[Student Number]),0),MATCH(VLOOKUP(D$7,'Writing Logic'!$J$7:$K$11,2,FALSE)&amp;" - Per "&amp;VLOOKUP($C$4,'Writing Logic'!$G$8:$H$14,2,FALSE),YES_Writing_ELA[#Headers],0))=0,"",INDEX(_xlfn.VSTACK(YES_Writing_ELA[#Data],YES_Writing_FLA[#Data]),MATCH($A319,_xlfn.VSTACK(YES_Writing_ELA[Student Number],YES_Writing_FLA[Student Number]),0),MATCH(VLOOKUP(D$7,'Writing Logic'!$J$7:$K$11,2,FALSE)&amp;" - Per "&amp;VLOOKUP($C$4,'Writing Logic'!$G$8:$H$14,2,FALSE),YES_Writing_ELA[#Headers],0)))="INS",'Writing Logic'!$B$7,IF(INDEX(_xlfn.VSTACK(YES_Writing_ELA[#Data],YES_Writing_FLA[#Data]),MATCH($A319,_xlfn.VSTACK(YES_Writing_ELA[Student Number],YES_Writing_FLA[Student Number]),0),MATCH(VLOOKUP(D$7,'Writing Logic'!$J$7:$K$11,2,FALSE)&amp;" - Per "&amp;VLOOKUP($C$4,'Writing Logic'!$G$8:$H$14,2,FALSE),YES_Writing_ELA[#Headers],0))=0,"",INDEX(_xlfn.VSTACK(YES_Writing_ELA[#Data],YES_Writing_FLA[#Data]),MATCH($A319,_xlfn.VSTACK(YES_Writing_ELA[Student Number],YES_Writing_FLA[Student Number]),0),MATCH(VLOOKUP(D$7,'Writing Logic'!$J$7:$K$11,2,FALSE)&amp;" - Per "&amp;VLOOKUP($C$4,'Writing Logic'!$G$8:$H$14,2,FALSE),YES_Writing_ELA[#Headers],0)))),"")</f>
        <v/>
      </c>
      <c r="E319" s="138" t="str">
        <f>IFERROR(IF(IF(INDEX(_xlfn.VSTACK(YES_Writing_ELA[#Data],YES_Writing_FLA[#Data]),MATCH($A319,_xlfn.VSTACK(YES_Writing_ELA[Student Number],YES_Writing_FLA[Student Number]),0),MATCH(VLOOKUP(E$7,'Writing Logic'!$J$7:$K$11,2,FALSE)&amp;" - Per "&amp;VLOOKUP($C$4,'Writing Logic'!$G$8:$H$14,2,FALSE),YES_Writing_ELA[#Headers],0))=0,"",INDEX(_xlfn.VSTACK(YES_Writing_ELA[#Data],YES_Writing_FLA[#Data]),MATCH($A319,_xlfn.VSTACK(YES_Writing_ELA[Student Number],YES_Writing_FLA[Student Number]),0),MATCH(VLOOKUP(E$7,'Writing Logic'!$J$7:$K$11,2,FALSE)&amp;" - Per "&amp;VLOOKUP($C$4,'Writing Logic'!$G$8:$H$14,2,FALSE),YES_Writing_ELA[#Headers],0)))="INS",'Writing Logic'!$B$7,IF(INDEX(_xlfn.VSTACK(YES_Writing_ELA[#Data],YES_Writing_FLA[#Data]),MATCH($A319,_xlfn.VSTACK(YES_Writing_ELA[Student Number],YES_Writing_FLA[Student Number]),0),MATCH(VLOOKUP(E$7,'Writing Logic'!$J$7:$K$11,2,FALSE)&amp;" - Per "&amp;VLOOKUP($C$4,'Writing Logic'!$G$8:$H$14,2,FALSE),YES_Writing_ELA[#Headers],0))=0,"",INDEX(_xlfn.VSTACK(YES_Writing_ELA[#Data],YES_Writing_FLA[#Data]),MATCH($A319,_xlfn.VSTACK(YES_Writing_ELA[Student Number],YES_Writing_FLA[Student Number]),0),MATCH(VLOOKUP(E$7,'Writing Logic'!$J$7:$K$11,2,FALSE)&amp;" - Per "&amp;VLOOKUP($C$4,'Writing Logic'!$G$8:$H$14,2,FALSE),YES_Writing_ELA[#Headers],0)))),"")</f>
        <v/>
      </c>
      <c r="F319" s="138" t="str">
        <f>IFERROR(IF(IF(INDEX(_xlfn.VSTACK(YES_Writing_ELA[#Data],YES_Writing_FLA[#Data]),MATCH($A319,_xlfn.VSTACK(YES_Writing_ELA[Student Number],YES_Writing_FLA[Student Number]),0),MATCH(VLOOKUP(F$7,'Writing Logic'!$J$7:$K$11,2,FALSE)&amp;" - Per "&amp;VLOOKUP($C$4,'Writing Logic'!$G$8:$H$14,2,FALSE),YES_Writing_ELA[#Headers],0))=0,"",INDEX(_xlfn.VSTACK(YES_Writing_ELA[#Data],YES_Writing_FLA[#Data]),MATCH($A319,_xlfn.VSTACK(YES_Writing_ELA[Student Number],YES_Writing_FLA[Student Number]),0),MATCH(VLOOKUP(F$7,'Writing Logic'!$J$7:$K$11,2,FALSE)&amp;" - Per "&amp;VLOOKUP($C$4,'Writing Logic'!$G$8:$H$14,2,FALSE),YES_Writing_ELA[#Headers],0)))="INS",'Writing Logic'!$B$7,IF(INDEX(_xlfn.VSTACK(YES_Writing_ELA[#Data],YES_Writing_FLA[#Data]),MATCH($A319,_xlfn.VSTACK(YES_Writing_ELA[Student Number],YES_Writing_FLA[Student Number]),0),MATCH(VLOOKUP(F$7,'Writing Logic'!$J$7:$K$11,2,FALSE)&amp;" - Per "&amp;VLOOKUP($C$4,'Writing Logic'!$G$8:$H$14,2,FALSE),YES_Writing_ELA[#Headers],0))=0,"",INDEX(_xlfn.VSTACK(YES_Writing_ELA[#Data],YES_Writing_FLA[#Data]),MATCH($A319,_xlfn.VSTACK(YES_Writing_ELA[Student Number],YES_Writing_FLA[Student Number]),0),MATCH(VLOOKUP(F$7,'Writing Logic'!$J$7:$K$11,2,FALSE)&amp;" - Per "&amp;VLOOKUP($C$4,'Writing Logic'!$G$8:$H$14,2,FALSE),YES_Writing_ELA[#Headers],0)))),"")</f>
        <v/>
      </c>
      <c r="G319" s="138" t="str">
        <f>IFERROR(IF(IF(INDEX(_xlfn.VSTACK(YES_Writing_ELA[#Data],YES_Writing_FLA[#Data]),MATCH($A319,_xlfn.VSTACK(YES_Writing_ELA[Student Number],YES_Writing_FLA[Student Number]),0),MATCH(VLOOKUP(G$7,'Writing Logic'!$J$7:$K$11,2,FALSE)&amp;" - Per "&amp;VLOOKUP($C$4,'Writing Logic'!$G$8:$H$14,2,FALSE),YES_Writing_ELA[#Headers],0))=0,"",INDEX(_xlfn.VSTACK(YES_Writing_ELA[#Data],YES_Writing_FLA[#Data]),MATCH($A319,_xlfn.VSTACK(YES_Writing_ELA[Student Number],YES_Writing_FLA[Student Number]),0),MATCH(VLOOKUP(G$7,'Writing Logic'!$J$7:$K$11,2,FALSE)&amp;" - Per "&amp;VLOOKUP($C$4,'Writing Logic'!$G$8:$H$14,2,FALSE),YES_Writing_ELA[#Headers],0)))="INS",'Writing Logic'!$B$7,IF(INDEX(_xlfn.VSTACK(YES_Writing_ELA[#Data],YES_Writing_FLA[#Data]),MATCH($A319,_xlfn.VSTACK(YES_Writing_ELA[Student Number],YES_Writing_FLA[Student Number]),0),MATCH(VLOOKUP(G$7,'Writing Logic'!$J$7:$K$11,2,FALSE)&amp;" - Per "&amp;VLOOKUP($C$4,'Writing Logic'!$G$8:$H$14,2,FALSE),YES_Writing_ELA[#Headers],0))=0,"",INDEX(_xlfn.VSTACK(YES_Writing_ELA[#Data],YES_Writing_FLA[#Data]),MATCH($A319,_xlfn.VSTACK(YES_Writing_ELA[Student Number],YES_Writing_FLA[Student Number]),0),MATCH(VLOOKUP(G$7,'Writing Logic'!$J$7:$K$11,2,FALSE)&amp;" - Per "&amp;VLOOKUP($C$4,'Writing Logic'!$G$8:$H$14,2,FALSE),YES_Writing_ELA[#Headers],0)))),"")</f>
        <v/>
      </c>
      <c r="H319" s="138" t="str">
        <f>IFERROR(IF(IF(INDEX(_xlfn.VSTACK(YES_Writing_ELA[#Data],YES_Writing_FLA[#Data]),MATCH($A319,_xlfn.VSTACK(YES_Writing_ELA[Student Number],YES_Writing_FLA[Student Number]),0),MATCH(VLOOKUP(H$7,'Writing Logic'!$J$7:$K$11,2,FALSE)&amp;" - Per "&amp;VLOOKUP($C$4,'Writing Logic'!$G$8:$H$14,2,FALSE),YES_Writing_ELA[#Headers],0))=0,"",INDEX(_xlfn.VSTACK(YES_Writing_ELA[#Data],YES_Writing_FLA[#Data]),MATCH($A319,_xlfn.VSTACK(YES_Writing_ELA[Student Number],YES_Writing_FLA[Student Number]),0),MATCH(VLOOKUP(H$7,'Writing Logic'!$J$7:$K$11,2,FALSE)&amp;" - Per "&amp;VLOOKUP($C$4,'Writing Logic'!$G$8:$H$14,2,FALSE),YES_Writing_ELA[#Headers],0)))="INS",'Writing Logic'!$B$7,IF(INDEX(_xlfn.VSTACK(YES_Writing_ELA[#Data],YES_Writing_FLA[#Data]),MATCH($A319,_xlfn.VSTACK(YES_Writing_ELA[Student Number],YES_Writing_FLA[Student Number]),0),MATCH(VLOOKUP(H$7,'Writing Logic'!$J$7:$K$11,2,FALSE)&amp;" - Per "&amp;VLOOKUP($C$4,'Writing Logic'!$G$8:$H$14,2,FALSE),YES_Writing_ELA[#Headers],0))=0,"",INDEX(_xlfn.VSTACK(YES_Writing_ELA[#Data],YES_Writing_FLA[#Data]),MATCH($A319,_xlfn.VSTACK(YES_Writing_ELA[Student Number],YES_Writing_FLA[Student Number]),0),MATCH(VLOOKUP(H$7,'Writing Logic'!$J$7:$K$11,2,FALSE)&amp;" - Per "&amp;VLOOKUP($C$4,'Writing Logic'!$G$8:$H$14,2,FALSE),YES_Writing_ELA[#Headers],0)))),"")</f>
        <v/>
      </c>
    </row>
    <row r="320" spans="1:8" x14ac:dyDescent="0.25">
      <c r="A320" s="137"/>
      <c r="B320" s="137" t="str">
        <f>IFERROR(INDEX(_xlfn.VSTACK(YES_Writing_ELA[#Data], YES_Writing_FLA[#Data]),MATCH($A320,_xlfn.VSTACK(YES_Writing_ELA[Student Number], YES_Writing_FLA[Student Number]),0),MATCH(B$7,YES_Writing_ELA[#Headers],0)),"")</f>
        <v/>
      </c>
      <c r="C320" s="137" t="str">
        <f>IFERROR(INDEX(_xlfn.VSTACK(YES_Writing_ELA[#Data], YES_Writing_FLA[#Data]),MATCH($A320,_xlfn.VSTACK(YES_Writing_ELA[Student Number], YES_Writing_FLA[Student Number]),0),MATCH(C$7,YES_Writing_ELA[#Headers],0)),"")</f>
        <v/>
      </c>
      <c r="D320" s="138" t="str">
        <f>IFERROR(IF(IF(INDEX(_xlfn.VSTACK(YES_Writing_ELA[#Data],YES_Writing_FLA[#Data]),MATCH($A320,_xlfn.VSTACK(YES_Writing_ELA[Student Number],YES_Writing_FLA[Student Number]),0),MATCH(VLOOKUP(D$7,'Writing Logic'!$J$7:$K$11,2,FALSE)&amp;" - Per "&amp;VLOOKUP($C$4,'Writing Logic'!$G$8:$H$14,2,FALSE),YES_Writing_ELA[#Headers],0))=0,"",INDEX(_xlfn.VSTACK(YES_Writing_ELA[#Data],YES_Writing_FLA[#Data]),MATCH($A320,_xlfn.VSTACK(YES_Writing_ELA[Student Number],YES_Writing_FLA[Student Number]),0),MATCH(VLOOKUP(D$7,'Writing Logic'!$J$7:$K$11,2,FALSE)&amp;" - Per "&amp;VLOOKUP($C$4,'Writing Logic'!$G$8:$H$14,2,FALSE),YES_Writing_ELA[#Headers],0)))="INS",'Writing Logic'!$B$7,IF(INDEX(_xlfn.VSTACK(YES_Writing_ELA[#Data],YES_Writing_FLA[#Data]),MATCH($A320,_xlfn.VSTACK(YES_Writing_ELA[Student Number],YES_Writing_FLA[Student Number]),0),MATCH(VLOOKUP(D$7,'Writing Logic'!$J$7:$K$11,2,FALSE)&amp;" - Per "&amp;VLOOKUP($C$4,'Writing Logic'!$G$8:$H$14,2,FALSE),YES_Writing_ELA[#Headers],0))=0,"",INDEX(_xlfn.VSTACK(YES_Writing_ELA[#Data],YES_Writing_FLA[#Data]),MATCH($A320,_xlfn.VSTACK(YES_Writing_ELA[Student Number],YES_Writing_FLA[Student Number]),0),MATCH(VLOOKUP(D$7,'Writing Logic'!$J$7:$K$11,2,FALSE)&amp;" - Per "&amp;VLOOKUP($C$4,'Writing Logic'!$G$8:$H$14,2,FALSE),YES_Writing_ELA[#Headers],0)))),"")</f>
        <v/>
      </c>
      <c r="E320" s="138" t="str">
        <f>IFERROR(IF(IF(INDEX(_xlfn.VSTACK(YES_Writing_ELA[#Data],YES_Writing_FLA[#Data]),MATCH($A320,_xlfn.VSTACK(YES_Writing_ELA[Student Number],YES_Writing_FLA[Student Number]),0),MATCH(VLOOKUP(E$7,'Writing Logic'!$J$7:$K$11,2,FALSE)&amp;" - Per "&amp;VLOOKUP($C$4,'Writing Logic'!$G$8:$H$14,2,FALSE),YES_Writing_ELA[#Headers],0))=0,"",INDEX(_xlfn.VSTACK(YES_Writing_ELA[#Data],YES_Writing_FLA[#Data]),MATCH($A320,_xlfn.VSTACK(YES_Writing_ELA[Student Number],YES_Writing_FLA[Student Number]),0),MATCH(VLOOKUP(E$7,'Writing Logic'!$J$7:$K$11,2,FALSE)&amp;" - Per "&amp;VLOOKUP($C$4,'Writing Logic'!$G$8:$H$14,2,FALSE),YES_Writing_ELA[#Headers],0)))="INS",'Writing Logic'!$B$7,IF(INDEX(_xlfn.VSTACK(YES_Writing_ELA[#Data],YES_Writing_FLA[#Data]),MATCH($A320,_xlfn.VSTACK(YES_Writing_ELA[Student Number],YES_Writing_FLA[Student Number]),0),MATCH(VLOOKUP(E$7,'Writing Logic'!$J$7:$K$11,2,FALSE)&amp;" - Per "&amp;VLOOKUP($C$4,'Writing Logic'!$G$8:$H$14,2,FALSE),YES_Writing_ELA[#Headers],0))=0,"",INDEX(_xlfn.VSTACK(YES_Writing_ELA[#Data],YES_Writing_FLA[#Data]),MATCH($A320,_xlfn.VSTACK(YES_Writing_ELA[Student Number],YES_Writing_FLA[Student Number]),0),MATCH(VLOOKUP(E$7,'Writing Logic'!$J$7:$K$11,2,FALSE)&amp;" - Per "&amp;VLOOKUP($C$4,'Writing Logic'!$G$8:$H$14,2,FALSE),YES_Writing_ELA[#Headers],0)))),"")</f>
        <v/>
      </c>
      <c r="F320" s="138" t="str">
        <f>IFERROR(IF(IF(INDEX(_xlfn.VSTACK(YES_Writing_ELA[#Data],YES_Writing_FLA[#Data]),MATCH($A320,_xlfn.VSTACK(YES_Writing_ELA[Student Number],YES_Writing_FLA[Student Number]),0),MATCH(VLOOKUP(F$7,'Writing Logic'!$J$7:$K$11,2,FALSE)&amp;" - Per "&amp;VLOOKUP($C$4,'Writing Logic'!$G$8:$H$14,2,FALSE),YES_Writing_ELA[#Headers],0))=0,"",INDEX(_xlfn.VSTACK(YES_Writing_ELA[#Data],YES_Writing_FLA[#Data]),MATCH($A320,_xlfn.VSTACK(YES_Writing_ELA[Student Number],YES_Writing_FLA[Student Number]),0),MATCH(VLOOKUP(F$7,'Writing Logic'!$J$7:$K$11,2,FALSE)&amp;" - Per "&amp;VLOOKUP($C$4,'Writing Logic'!$G$8:$H$14,2,FALSE),YES_Writing_ELA[#Headers],0)))="INS",'Writing Logic'!$B$7,IF(INDEX(_xlfn.VSTACK(YES_Writing_ELA[#Data],YES_Writing_FLA[#Data]),MATCH($A320,_xlfn.VSTACK(YES_Writing_ELA[Student Number],YES_Writing_FLA[Student Number]),0),MATCH(VLOOKUP(F$7,'Writing Logic'!$J$7:$K$11,2,FALSE)&amp;" - Per "&amp;VLOOKUP($C$4,'Writing Logic'!$G$8:$H$14,2,FALSE),YES_Writing_ELA[#Headers],0))=0,"",INDEX(_xlfn.VSTACK(YES_Writing_ELA[#Data],YES_Writing_FLA[#Data]),MATCH($A320,_xlfn.VSTACK(YES_Writing_ELA[Student Number],YES_Writing_FLA[Student Number]),0),MATCH(VLOOKUP(F$7,'Writing Logic'!$J$7:$K$11,2,FALSE)&amp;" - Per "&amp;VLOOKUP($C$4,'Writing Logic'!$G$8:$H$14,2,FALSE),YES_Writing_ELA[#Headers],0)))),"")</f>
        <v/>
      </c>
      <c r="G320" s="138" t="str">
        <f>IFERROR(IF(IF(INDEX(_xlfn.VSTACK(YES_Writing_ELA[#Data],YES_Writing_FLA[#Data]),MATCH($A320,_xlfn.VSTACK(YES_Writing_ELA[Student Number],YES_Writing_FLA[Student Number]),0),MATCH(VLOOKUP(G$7,'Writing Logic'!$J$7:$K$11,2,FALSE)&amp;" - Per "&amp;VLOOKUP($C$4,'Writing Logic'!$G$8:$H$14,2,FALSE),YES_Writing_ELA[#Headers],0))=0,"",INDEX(_xlfn.VSTACK(YES_Writing_ELA[#Data],YES_Writing_FLA[#Data]),MATCH($A320,_xlfn.VSTACK(YES_Writing_ELA[Student Number],YES_Writing_FLA[Student Number]),0),MATCH(VLOOKUP(G$7,'Writing Logic'!$J$7:$K$11,2,FALSE)&amp;" - Per "&amp;VLOOKUP($C$4,'Writing Logic'!$G$8:$H$14,2,FALSE),YES_Writing_ELA[#Headers],0)))="INS",'Writing Logic'!$B$7,IF(INDEX(_xlfn.VSTACK(YES_Writing_ELA[#Data],YES_Writing_FLA[#Data]),MATCH($A320,_xlfn.VSTACK(YES_Writing_ELA[Student Number],YES_Writing_FLA[Student Number]),0),MATCH(VLOOKUP(G$7,'Writing Logic'!$J$7:$K$11,2,FALSE)&amp;" - Per "&amp;VLOOKUP($C$4,'Writing Logic'!$G$8:$H$14,2,FALSE),YES_Writing_ELA[#Headers],0))=0,"",INDEX(_xlfn.VSTACK(YES_Writing_ELA[#Data],YES_Writing_FLA[#Data]),MATCH($A320,_xlfn.VSTACK(YES_Writing_ELA[Student Number],YES_Writing_FLA[Student Number]),0),MATCH(VLOOKUP(G$7,'Writing Logic'!$J$7:$K$11,2,FALSE)&amp;" - Per "&amp;VLOOKUP($C$4,'Writing Logic'!$G$8:$H$14,2,FALSE),YES_Writing_ELA[#Headers],0)))),"")</f>
        <v/>
      </c>
      <c r="H320" s="138" t="str">
        <f>IFERROR(IF(IF(INDEX(_xlfn.VSTACK(YES_Writing_ELA[#Data],YES_Writing_FLA[#Data]),MATCH($A320,_xlfn.VSTACK(YES_Writing_ELA[Student Number],YES_Writing_FLA[Student Number]),0),MATCH(VLOOKUP(H$7,'Writing Logic'!$J$7:$K$11,2,FALSE)&amp;" - Per "&amp;VLOOKUP($C$4,'Writing Logic'!$G$8:$H$14,2,FALSE),YES_Writing_ELA[#Headers],0))=0,"",INDEX(_xlfn.VSTACK(YES_Writing_ELA[#Data],YES_Writing_FLA[#Data]),MATCH($A320,_xlfn.VSTACK(YES_Writing_ELA[Student Number],YES_Writing_FLA[Student Number]),0),MATCH(VLOOKUP(H$7,'Writing Logic'!$J$7:$K$11,2,FALSE)&amp;" - Per "&amp;VLOOKUP($C$4,'Writing Logic'!$G$8:$H$14,2,FALSE),YES_Writing_ELA[#Headers],0)))="INS",'Writing Logic'!$B$7,IF(INDEX(_xlfn.VSTACK(YES_Writing_ELA[#Data],YES_Writing_FLA[#Data]),MATCH($A320,_xlfn.VSTACK(YES_Writing_ELA[Student Number],YES_Writing_FLA[Student Number]),0),MATCH(VLOOKUP(H$7,'Writing Logic'!$J$7:$K$11,2,FALSE)&amp;" - Per "&amp;VLOOKUP($C$4,'Writing Logic'!$G$8:$H$14,2,FALSE),YES_Writing_ELA[#Headers],0))=0,"",INDEX(_xlfn.VSTACK(YES_Writing_ELA[#Data],YES_Writing_FLA[#Data]),MATCH($A320,_xlfn.VSTACK(YES_Writing_ELA[Student Number],YES_Writing_FLA[Student Number]),0),MATCH(VLOOKUP(H$7,'Writing Logic'!$J$7:$K$11,2,FALSE)&amp;" - Per "&amp;VLOOKUP($C$4,'Writing Logic'!$G$8:$H$14,2,FALSE),YES_Writing_ELA[#Headers],0)))),"")</f>
        <v/>
      </c>
    </row>
    <row r="321" spans="1:8" x14ac:dyDescent="0.25">
      <c r="A321" s="137"/>
      <c r="B321" s="137" t="str">
        <f>IFERROR(INDEX(_xlfn.VSTACK(YES_Writing_ELA[#Data], YES_Writing_FLA[#Data]),MATCH($A321,_xlfn.VSTACK(YES_Writing_ELA[Student Number], YES_Writing_FLA[Student Number]),0),MATCH(B$7,YES_Writing_ELA[#Headers],0)),"")</f>
        <v/>
      </c>
      <c r="C321" s="137" t="str">
        <f>IFERROR(INDEX(_xlfn.VSTACK(YES_Writing_ELA[#Data], YES_Writing_FLA[#Data]),MATCH($A321,_xlfn.VSTACK(YES_Writing_ELA[Student Number], YES_Writing_FLA[Student Number]),0),MATCH(C$7,YES_Writing_ELA[#Headers],0)),"")</f>
        <v/>
      </c>
      <c r="D321" s="138" t="str">
        <f>IFERROR(IF(IF(INDEX(_xlfn.VSTACK(YES_Writing_ELA[#Data],YES_Writing_FLA[#Data]),MATCH($A321,_xlfn.VSTACK(YES_Writing_ELA[Student Number],YES_Writing_FLA[Student Number]),0),MATCH(VLOOKUP(D$7,'Writing Logic'!$J$7:$K$11,2,FALSE)&amp;" - Per "&amp;VLOOKUP($C$4,'Writing Logic'!$G$8:$H$14,2,FALSE),YES_Writing_ELA[#Headers],0))=0,"",INDEX(_xlfn.VSTACK(YES_Writing_ELA[#Data],YES_Writing_FLA[#Data]),MATCH($A321,_xlfn.VSTACK(YES_Writing_ELA[Student Number],YES_Writing_FLA[Student Number]),0),MATCH(VLOOKUP(D$7,'Writing Logic'!$J$7:$K$11,2,FALSE)&amp;" - Per "&amp;VLOOKUP($C$4,'Writing Logic'!$G$8:$H$14,2,FALSE),YES_Writing_ELA[#Headers],0)))="INS",'Writing Logic'!$B$7,IF(INDEX(_xlfn.VSTACK(YES_Writing_ELA[#Data],YES_Writing_FLA[#Data]),MATCH($A321,_xlfn.VSTACK(YES_Writing_ELA[Student Number],YES_Writing_FLA[Student Number]),0),MATCH(VLOOKUP(D$7,'Writing Logic'!$J$7:$K$11,2,FALSE)&amp;" - Per "&amp;VLOOKUP($C$4,'Writing Logic'!$G$8:$H$14,2,FALSE),YES_Writing_ELA[#Headers],0))=0,"",INDEX(_xlfn.VSTACK(YES_Writing_ELA[#Data],YES_Writing_FLA[#Data]),MATCH($A321,_xlfn.VSTACK(YES_Writing_ELA[Student Number],YES_Writing_FLA[Student Number]),0),MATCH(VLOOKUP(D$7,'Writing Logic'!$J$7:$K$11,2,FALSE)&amp;" - Per "&amp;VLOOKUP($C$4,'Writing Logic'!$G$8:$H$14,2,FALSE),YES_Writing_ELA[#Headers],0)))),"")</f>
        <v/>
      </c>
      <c r="E321" s="138" t="str">
        <f>IFERROR(IF(IF(INDEX(_xlfn.VSTACK(YES_Writing_ELA[#Data],YES_Writing_FLA[#Data]),MATCH($A321,_xlfn.VSTACK(YES_Writing_ELA[Student Number],YES_Writing_FLA[Student Number]),0),MATCH(VLOOKUP(E$7,'Writing Logic'!$J$7:$K$11,2,FALSE)&amp;" - Per "&amp;VLOOKUP($C$4,'Writing Logic'!$G$8:$H$14,2,FALSE),YES_Writing_ELA[#Headers],0))=0,"",INDEX(_xlfn.VSTACK(YES_Writing_ELA[#Data],YES_Writing_FLA[#Data]),MATCH($A321,_xlfn.VSTACK(YES_Writing_ELA[Student Number],YES_Writing_FLA[Student Number]),0),MATCH(VLOOKUP(E$7,'Writing Logic'!$J$7:$K$11,2,FALSE)&amp;" - Per "&amp;VLOOKUP($C$4,'Writing Logic'!$G$8:$H$14,2,FALSE),YES_Writing_ELA[#Headers],0)))="INS",'Writing Logic'!$B$7,IF(INDEX(_xlfn.VSTACK(YES_Writing_ELA[#Data],YES_Writing_FLA[#Data]),MATCH($A321,_xlfn.VSTACK(YES_Writing_ELA[Student Number],YES_Writing_FLA[Student Number]),0),MATCH(VLOOKUP(E$7,'Writing Logic'!$J$7:$K$11,2,FALSE)&amp;" - Per "&amp;VLOOKUP($C$4,'Writing Logic'!$G$8:$H$14,2,FALSE),YES_Writing_ELA[#Headers],0))=0,"",INDEX(_xlfn.VSTACK(YES_Writing_ELA[#Data],YES_Writing_FLA[#Data]),MATCH($A321,_xlfn.VSTACK(YES_Writing_ELA[Student Number],YES_Writing_FLA[Student Number]),0),MATCH(VLOOKUP(E$7,'Writing Logic'!$J$7:$K$11,2,FALSE)&amp;" - Per "&amp;VLOOKUP($C$4,'Writing Logic'!$G$8:$H$14,2,FALSE),YES_Writing_ELA[#Headers],0)))),"")</f>
        <v/>
      </c>
      <c r="F321" s="138" t="str">
        <f>IFERROR(IF(IF(INDEX(_xlfn.VSTACK(YES_Writing_ELA[#Data],YES_Writing_FLA[#Data]),MATCH($A321,_xlfn.VSTACK(YES_Writing_ELA[Student Number],YES_Writing_FLA[Student Number]),0),MATCH(VLOOKUP(F$7,'Writing Logic'!$J$7:$K$11,2,FALSE)&amp;" - Per "&amp;VLOOKUP($C$4,'Writing Logic'!$G$8:$H$14,2,FALSE),YES_Writing_ELA[#Headers],0))=0,"",INDEX(_xlfn.VSTACK(YES_Writing_ELA[#Data],YES_Writing_FLA[#Data]),MATCH($A321,_xlfn.VSTACK(YES_Writing_ELA[Student Number],YES_Writing_FLA[Student Number]),0),MATCH(VLOOKUP(F$7,'Writing Logic'!$J$7:$K$11,2,FALSE)&amp;" - Per "&amp;VLOOKUP($C$4,'Writing Logic'!$G$8:$H$14,2,FALSE),YES_Writing_ELA[#Headers],0)))="INS",'Writing Logic'!$B$7,IF(INDEX(_xlfn.VSTACK(YES_Writing_ELA[#Data],YES_Writing_FLA[#Data]),MATCH($A321,_xlfn.VSTACK(YES_Writing_ELA[Student Number],YES_Writing_FLA[Student Number]),0),MATCH(VLOOKUP(F$7,'Writing Logic'!$J$7:$K$11,2,FALSE)&amp;" - Per "&amp;VLOOKUP($C$4,'Writing Logic'!$G$8:$H$14,2,FALSE),YES_Writing_ELA[#Headers],0))=0,"",INDEX(_xlfn.VSTACK(YES_Writing_ELA[#Data],YES_Writing_FLA[#Data]),MATCH($A321,_xlfn.VSTACK(YES_Writing_ELA[Student Number],YES_Writing_FLA[Student Number]),0),MATCH(VLOOKUP(F$7,'Writing Logic'!$J$7:$K$11,2,FALSE)&amp;" - Per "&amp;VLOOKUP($C$4,'Writing Logic'!$G$8:$H$14,2,FALSE),YES_Writing_ELA[#Headers],0)))),"")</f>
        <v/>
      </c>
      <c r="G321" s="138" t="str">
        <f>IFERROR(IF(IF(INDEX(_xlfn.VSTACK(YES_Writing_ELA[#Data],YES_Writing_FLA[#Data]),MATCH($A321,_xlfn.VSTACK(YES_Writing_ELA[Student Number],YES_Writing_FLA[Student Number]),0),MATCH(VLOOKUP(G$7,'Writing Logic'!$J$7:$K$11,2,FALSE)&amp;" - Per "&amp;VLOOKUP($C$4,'Writing Logic'!$G$8:$H$14,2,FALSE),YES_Writing_ELA[#Headers],0))=0,"",INDEX(_xlfn.VSTACK(YES_Writing_ELA[#Data],YES_Writing_FLA[#Data]),MATCH($A321,_xlfn.VSTACK(YES_Writing_ELA[Student Number],YES_Writing_FLA[Student Number]),0),MATCH(VLOOKUP(G$7,'Writing Logic'!$J$7:$K$11,2,FALSE)&amp;" - Per "&amp;VLOOKUP($C$4,'Writing Logic'!$G$8:$H$14,2,FALSE),YES_Writing_ELA[#Headers],0)))="INS",'Writing Logic'!$B$7,IF(INDEX(_xlfn.VSTACK(YES_Writing_ELA[#Data],YES_Writing_FLA[#Data]),MATCH($A321,_xlfn.VSTACK(YES_Writing_ELA[Student Number],YES_Writing_FLA[Student Number]),0),MATCH(VLOOKUP(G$7,'Writing Logic'!$J$7:$K$11,2,FALSE)&amp;" - Per "&amp;VLOOKUP($C$4,'Writing Logic'!$G$8:$H$14,2,FALSE),YES_Writing_ELA[#Headers],0))=0,"",INDEX(_xlfn.VSTACK(YES_Writing_ELA[#Data],YES_Writing_FLA[#Data]),MATCH($A321,_xlfn.VSTACK(YES_Writing_ELA[Student Number],YES_Writing_FLA[Student Number]),0),MATCH(VLOOKUP(G$7,'Writing Logic'!$J$7:$K$11,2,FALSE)&amp;" - Per "&amp;VLOOKUP($C$4,'Writing Logic'!$G$8:$H$14,2,FALSE),YES_Writing_ELA[#Headers],0)))),"")</f>
        <v/>
      </c>
      <c r="H321" s="138" t="str">
        <f>IFERROR(IF(IF(INDEX(_xlfn.VSTACK(YES_Writing_ELA[#Data],YES_Writing_FLA[#Data]),MATCH($A321,_xlfn.VSTACK(YES_Writing_ELA[Student Number],YES_Writing_FLA[Student Number]),0),MATCH(VLOOKUP(H$7,'Writing Logic'!$J$7:$K$11,2,FALSE)&amp;" - Per "&amp;VLOOKUP($C$4,'Writing Logic'!$G$8:$H$14,2,FALSE),YES_Writing_ELA[#Headers],0))=0,"",INDEX(_xlfn.VSTACK(YES_Writing_ELA[#Data],YES_Writing_FLA[#Data]),MATCH($A321,_xlfn.VSTACK(YES_Writing_ELA[Student Number],YES_Writing_FLA[Student Number]),0),MATCH(VLOOKUP(H$7,'Writing Logic'!$J$7:$K$11,2,FALSE)&amp;" - Per "&amp;VLOOKUP($C$4,'Writing Logic'!$G$8:$H$14,2,FALSE),YES_Writing_ELA[#Headers],0)))="INS",'Writing Logic'!$B$7,IF(INDEX(_xlfn.VSTACK(YES_Writing_ELA[#Data],YES_Writing_FLA[#Data]),MATCH($A321,_xlfn.VSTACK(YES_Writing_ELA[Student Number],YES_Writing_FLA[Student Number]),0),MATCH(VLOOKUP(H$7,'Writing Logic'!$J$7:$K$11,2,FALSE)&amp;" - Per "&amp;VLOOKUP($C$4,'Writing Logic'!$G$8:$H$14,2,FALSE),YES_Writing_ELA[#Headers],0))=0,"",INDEX(_xlfn.VSTACK(YES_Writing_ELA[#Data],YES_Writing_FLA[#Data]),MATCH($A321,_xlfn.VSTACK(YES_Writing_ELA[Student Number],YES_Writing_FLA[Student Number]),0),MATCH(VLOOKUP(H$7,'Writing Logic'!$J$7:$K$11,2,FALSE)&amp;" - Per "&amp;VLOOKUP($C$4,'Writing Logic'!$G$8:$H$14,2,FALSE),YES_Writing_ELA[#Headers],0)))),"")</f>
        <v/>
      </c>
    </row>
    <row r="322" spans="1:8" x14ac:dyDescent="0.25">
      <c r="A322" s="137"/>
      <c r="B322" s="137" t="str">
        <f>IFERROR(INDEX(_xlfn.VSTACK(YES_Writing_ELA[#Data], YES_Writing_FLA[#Data]),MATCH($A322,_xlfn.VSTACK(YES_Writing_ELA[Student Number], YES_Writing_FLA[Student Number]),0),MATCH(B$7,YES_Writing_ELA[#Headers],0)),"")</f>
        <v/>
      </c>
      <c r="C322" s="137" t="str">
        <f>IFERROR(INDEX(_xlfn.VSTACK(YES_Writing_ELA[#Data], YES_Writing_FLA[#Data]),MATCH($A322,_xlfn.VSTACK(YES_Writing_ELA[Student Number], YES_Writing_FLA[Student Number]),0),MATCH(C$7,YES_Writing_ELA[#Headers],0)),"")</f>
        <v/>
      </c>
      <c r="D322" s="138" t="str">
        <f>IFERROR(IF(IF(INDEX(_xlfn.VSTACK(YES_Writing_ELA[#Data],YES_Writing_FLA[#Data]),MATCH($A322,_xlfn.VSTACK(YES_Writing_ELA[Student Number],YES_Writing_FLA[Student Number]),0),MATCH(VLOOKUP(D$7,'Writing Logic'!$J$7:$K$11,2,FALSE)&amp;" - Per "&amp;VLOOKUP($C$4,'Writing Logic'!$G$8:$H$14,2,FALSE),YES_Writing_ELA[#Headers],0))=0,"",INDEX(_xlfn.VSTACK(YES_Writing_ELA[#Data],YES_Writing_FLA[#Data]),MATCH($A322,_xlfn.VSTACK(YES_Writing_ELA[Student Number],YES_Writing_FLA[Student Number]),0),MATCH(VLOOKUP(D$7,'Writing Logic'!$J$7:$K$11,2,FALSE)&amp;" - Per "&amp;VLOOKUP($C$4,'Writing Logic'!$G$8:$H$14,2,FALSE),YES_Writing_ELA[#Headers],0)))="INS",'Writing Logic'!$B$7,IF(INDEX(_xlfn.VSTACK(YES_Writing_ELA[#Data],YES_Writing_FLA[#Data]),MATCH($A322,_xlfn.VSTACK(YES_Writing_ELA[Student Number],YES_Writing_FLA[Student Number]),0),MATCH(VLOOKUP(D$7,'Writing Logic'!$J$7:$K$11,2,FALSE)&amp;" - Per "&amp;VLOOKUP($C$4,'Writing Logic'!$G$8:$H$14,2,FALSE),YES_Writing_ELA[#Headers],0))=0,"",INDEX(_xlfn.VSTACK(YES_Writing_ELA[#Data],YES_Writing_FLA[#Data]),MATCH($A322,_xlfn.VSTACK(YES_Writing_ELA[Student Number],YES_Writing_FLA[Student Number]),0),MATCH(VLOOKUP(D$7,'Writing Logic'!$J$7:$K$11,2,FALSE)&amp;" - Per "&amp;VLOOKUP($C$4,'Writing Logic'!$G$8:$H$14,2,FALSE),YES_Writing_ELA[#Headers],0)))),"")</f>
        <v/>
      </c>
      <c r="E322" s="138" t="str">
        <f>IFERROR(IF(IF(INDEX(_xlfn.VSTACK(YES_Writing_ELA[#Data],YES_Writing_FLA[#Data]),MATCH($A322,_xlfn.VSTACK(YES_Writing_ELA[Student Number],YES_Writing_FLA[Student Number]),0),MATCH(VLOOKUP(E$7,'Writing Logic'!$J$7:$K$11,2,FALSE)&amp;" - Per "&amp;VLOOKUP($C$4,'Writing Logic'!$G$8:$H$14,2,FALSE),YES_Writing_ELA[#Headers],0))=0,"",INDEX(_xlfn.VSTACK(YES_Writing_ELA[#Data],YES_Writing_FLA[#Data]),MATCH($A322,_xlfn.VSTACK(YES_Writing_ELA[Student Number],YES_Writing_FLA[Student Number]),0),MATCH(VLOOKUP(E$7,'Writing Logic'!$J$7:$K$11,2,FALSE)&amp;" - Per "&amp;VLOOKUP($C$4,'Writing Logic'!$G$8:$H$14,2,FALSE),YES_Writing_ELA[#Headers],0)))="INS",'Writing Logic'!$B$7,IF(INDEX(_xlfn.VSTACK(YES_Writing_ELA[#Data],YES_Writing_FLA[#Data]),MATCH($A322,_xlfn.VSTACK(YES_Writing_ELA[Student Number],YES_Writing_FLA[Student Number]),0),MATCH(VLOOKUP(E$7,'Writing Logic'!$J$7:$K$11,2,FALSE)&amp;" - Per "&amp;VLOOKUP($C$4,'Writing Logic'!$G$8:$H$14,2,FALSE),YES_Writing_ELA[#Headers],0))=0,"",INDEX(_xlfn.VSTACK(YES_Writing_ELA[#Data],YES_Writing_FLA[#Data]),MATCH($A322,_xlfn.VSTACK(YES_Writing_ELA[Student Number],YES_Writing_FLA[Student Number]),0),MATCH(VLOOKUP(E$7,'Writing Logic'!$J$7:$K$11,2,FALSE)&amp;" - Per "&amp;VLOOKUP($C$4,'Writing Logic'!$G$8:$H$14,2,FALSE),YES_Writing_ELA[#Headers],0)))),"")</f>
        <v/>
      </c>
      <c r="F322" s="138" t="str">
        <f>IFERROR(IF(IF(INDEX(_xlfn.VSTACK(YES_Writing_ELA[#Data],YES_Writing_FLA[#Data]),MATCH($A322,_xlfn.VSTACK(YES_Writing_ELA[Student Number],YES_Writing_FLA[Student Number]),0),MATCH(VLOOKUP(F$7,'Writing Logic'!$J$7:$K$11,2,FALSE)&amp;" - Per "&amp;VLOOKUP($C$4,'Writing Logic'!$G$8:$H$14,2,FALSE),YES_Writing_ELA[#Headers],0))=0,"",INDEX(_xlfn.VSTACK(YES_Writing_ELA[#Data],YES_Writing_FLA[#Data]),MATCH($A322,_xlfn.VSTACK(YES_Writing_ELA[Student Number],YES_Writing_FLA[Student Number]),0),MATCH(VLOOKUP(F$7,'Writing Logic'!$J$7:$K$11,2,FALSE)&amp;" - Per "&amp;VLOOKUP($C$4,'Writing Logic'!$G$8:$H$14,2,FALSE),YES_Writing_ELA[#Headers],0)))="INS",'Writing Logic'!$B$7,IF(INDEX(_xlfn.VSTACK(YES_Writing_ELA[#Data],YES_Writing_FLA[#Data]),MATCH($A322,_xlfn.VSTACK(YES_Writing_ELA[Student Number],YES_Writing_FLA[Student Number]),0),MATCH(VLOOKUP(F$7,'Writing Logic'!$J$7:$K$11,2,FALSE)&amp;" - Per "&amp;VLOOKUP($C$4,'Writing Logic'!$G$8:$H$14,2,FALSE),YES_Writing_ELA[#Headers],0))=0,"",INDEX(_xlfn.VSTACK(YES_Writing_ELA[#Data],YES_Writing_FLA[#Data]),MATCH($A322,_xlfn.VSTACK(YES_Writing_ELA[Student Number],YES_Writing_FLA[Student Number]),0),MATCH(VLOOKUP(F$7,'Writing Logic'!$J$7:$K$11,2,FALSE)&amp;" - Per "&amp;VLOOKUP($C$4,'Writing Logic'!$G$8:$H$14,2,FALSE),YES_Writing_ELA[#Headers],0)))),"")</f>
        <v/>
      </c>
      <c r="G322" s="138" t="str">
        <f>IFERROR(IF(IF(INDEX(_xlfn.VSTACK(YES_Writing_ELA[#Data],YES_Writing_FLA[#Data]),MATCH($A322,_xlfn.VSTACK(YES_Writing_ELA[Student Number],YES_Writing_FLA[Student Number]),0),MATCH(VLOOKUP(G$7,'Writing Logic'!$J$7:$K$11,2,FALSE)&amp;" - Per "&amp;VLOOKUP($C$4,'Writing Logic'!$G$8:$H$14,2,FALSE),YES_Writing_ELA[#Headers],0))=0,"",INDEX(_xlfn.VSTACK(YES_Writing_ELA[#Data],YES_Writing_FLA[#Data]),MATCH($A322,_xlfn.VSTACK(YES_Writing_ELA[Student Number],YES_Writing_FLA[Student Number]),0),MATCH(VLOOKUP(G$7,'Writing Logic'!$J$7:$K$11,2,FALSE)&amp;" - Per "&amp;VLOOKUP($C$4,'Writing Logic'!$G$8:$H$14,2,FALSE),YES_Writing_ELA[#Headers],0)))="INS",'Writing Logic'!$B$7,IF(INDEX(_xlfn.VSTACK(YES_Writing_ELA[#Data],YES_Writing_FLA[#Data]),MATCH($A322,_xlfn.VSTACK(YES_Writing_ELA[Student Number],YES_Writing_FLA[Student Number]),0),MATCH(VLOOKUP(G$7,'Writing Logic'!$J$7:$K$11,2,FALSE)&amp;" - Per "&amp;VLOOKUP($C$4,'Writing Logic'!$G$8:$H$14,2,FALSE),YES_Writing_ELA[#Headers],0))=0,"",INDEX(_xlfn.VSTACK(YES_Writing_ELA[#Data],YES_Writing_FLA[#Data]),MATCH($A322,_xlfn.VSTACK(YES_Writing_ELA[Student Number],YES_Writing_FLA[Student Number]),0),MATCH(VLOOKUP(G$7,'Writing Logic'!$J$7:$K$11,2,FALSE)&amp;" - Per "&amp;VLOOKUP($C$4,'Writing Logic'!$G$8:$H$14,2,FALSE),YES_Writing_ELA[#Headers],0)))),"")</f>
        <v/>
      </c>
      <c r="H322" s="138" t="str">
        <f>IFERROR(IF(IF(INDEX(_xlfn.VSTACK(YES_Writing_ELA[#Data],YES_Writing_FLA[#Data]),MATCH($A322,_xlfn.VSTACK(YES_Writing_ELA[Student Number],YES_Writing_FLA[Student Number]),0),MATCH(VLOOKUP(H$7,'Writing Logic'!$J$7:$K$11,2,FALSE)&amp;" - Per "&amp;VLOOKUP($C$4,'Writing Logic'!$G$8:$H$14,2,FALSE),YES_Writing_ELA[#Headers],0))=0,"",INDEX(_xlfn.VSTACK(YES_Writing_ELA[#Data],YES_Writing_FLA[#Data]),MATCH($A322,_xlfn.VSTACK(YES_Writing_ELA[Student Number],YES_Writing_FLA[Student Number]),0),MATCH(VLOOKUP(H$7,'Writing Logic'!$J$7:$K$11,2,FALSE)&amp;" - Per "&amp;VLOOKUP($C$4,'Writing Logic'!$G$8:$H$14,2,FALSE),YES_Writing_ELA[#Headers],0)))="INS",'Writing Logic'!$B$7,IF(INDEX(_xlfn.VSTACK(YES_Writing_ELA[#Data],YES_Writing_FLA[#Data]),MATCH($A322,_xlfn.VSTACK(YES_Writing_ELA[Student Number],YES_Writing_FLA[Student Number]),0),MATCH(VLOOKUP(H$7,'Writing Logic'!$J$7:$K$11,2,FALSE)&amp;" - Per "&amp;VLOOKUP($C$4,'Writing Logic'!$G$8:$H$14,2,FALSE),YES_Writing_ELA[#Headers],0))=0,"",INDEX(_xlfn.VSTACK(YES_Writing_ELA[#Data],YES_Writing_FLA[#Data]),MATCH($A322,_xlfn.VSTACK(YES_Writing_ELA[Student Number],YES_Writing_FLA[Student Number]),0),MATCH(VLOOKUP(H$7,'Writing Logic'!$J$7:$K$11,2,FALSE)&amp;" - Per "&amp;VLOOKUP($C$4,'Writing Logic'!$G$8:$H$14,2,FALSE),YES_Writing_ELA[#Headers],0)))),"")</f>
        <v/>
      </c>
    </row>
    <row r="323" spans="1:8" x14ac:dyDescent="0.25">
      <c r="A323" s="137"/>
      <c r="B323" s="137" t="str">
        <f>IFERROR(INDEX(_xlfn.VSTACK(YES_Writing_ELA[#Data], YES_Writing_FLA[#Data]),MATCH($A323,_xlfn.VSTACK(YES_Writing_ELA[Student Number], YES_Writing_FLA[Student Number]),0),MATCH(B$7,YES_Writing_ELA[#Headers],0)),"")</f>
        <v/>
      </c>
      <c r="C323" s="137" t="str">
        <f>IFERROR(INDEX(_xlfn.VSTACK(YES_Writing_ELA[#Data], YES_Writing_FLA[#Data]),MATCH($A323,_xlfn.VSTACK(YES_Writing_ELA[Student Number], YES_Writing_FLA[Student Number]),0),MATCH(C$7,YES_Writing_ELA[#Headers],0)),"")</f>
        <v/>
      </c>
      <c r="D323" s="138" t="str">
        <f>IFERROR(IF(IF(INDEX(_xlfn.VSTACK(YES_Writing_ELA[#Data],YES_Writing_FLA[#Data]),MATCH($A323,_xlfn.VSTACK(YES_Writing_ELA[Student Number],YES_Writing_FLA[Student Number]),0),MATCH(VLOOKUP(D$7,'Writing Logic'!$J$7:$K$11,2,FALSE)&amp;" - Per "&amp;VLOOKUP($C$4,'Writing Logic'!$G$8:$H$14,2,FALSE),YES_Writing_ELA[#Headers],0))=0,"",INDEX(_xlfn.VSTACK(YES_Writing_ELA[#Data],YES_Writing_FLA[#Data]),MATCH($A323,_xlfn.VSTACK(YES_Writing_ELA[Student Number],YES_Writing_FLA[Student Number]),0),MATCH(VLOOKUP(D$7,'Writing Logic'!$J$7:$K$11,2,FALSE)&amp;" - Per "&amp;VLOOKUP($C$4,'Writing Logic'!$G$8:$H$14,2,FALSE),YES_Writing_ELA[#Headers],0)))="INS",'Writing Logic'!$B$7,IF(INDEX(_xlfn.VSTACK(YES_Writing_ELA[#Data],YES_Writing_FLA[#Data]),MATCH($A323,_xlfn.VSTACK(YES_Writing_ELA[Student Number],YES_Writing_FLA[Student Number]),0),MATCH(VLOOKUP(D$7,'Writing Logic'!$J$7:$K$11,2,FALSE)&amp;" - Per "&amp;VLOOKUP($C$4,'Writing Logic'!$G$8:$H$14,2,FALSE),YES_Writing_ELA[#Headers],0))=0,"",INDEX(_xlfn.VSTACK(YES_Writing_ELA[#Data],YES_Writing_FLA[#Data]),MATCH($A323,_xlfn.VSTACK(YES_Writing_ELA[Student Number],YES_Writing_FLA[Student Number]),0),MATCH(VLOOKUP(D$7,'Writing Logic'!$J$7:$K$11,2,FALSE)&amp;" - Per "&amp;VLOOKUP($C$4,'Writing Logic'!$G$8:$H$14,2,FALSE),YES_Writing_ELA[#Headers],0)))),"")</f>
        <v/>
      </c>
      <c r="E323" s="138" t="str">
        <f>IFERROR(IF(IF(INDEX(_xlfn.VSTACK(YES_Writing_ELA[#Data],YES_Writing_FLA[#Data]),MATCH($A323,_xlfn.VSTACK(YES_Writing_ELA[Student Number],YES_Writing_FLA[Student Number]),0),MATCH(VLOOKUP(E$7,'Writing Logic'!$J$7:$K$11,2,FALSE)&amp;" - Per "&amp;VLOOKUP($C$4,'Writing Logic'!$G$8:$H$14,2,FALSE),YES_Writing_ELA[#Headers],0))=0,"",INDEX(_xlfn.VSTACK(YES_Writing_ELA[#Data],YES_Writing_FLA[#Data]),MATCH($A323,_xlfn.VSTACK(YES_Writing_ELA[Student Number],YES_Writing_FLA[Student Number]),0),MATCH(VLOOKUP(E$7,'Writing Logic'!$J$7:$K$11,2,FALSE)&amp;" - Per "&amp;VLOOKUP($C$4,'Writing Logic'!$G$8:$H$14,2,FALSE),YES_Writing_ELA[#Headers],0)))="INS",'Writing Logic'!$B$7,IF(INDEX(_xlfn.VSTACK(YES_Writing_ELA[#Data],YES_Writing_FLA[#Data]),MATCH($A323,_xlfn.VSTACK(YES_Writing_ELA[Student Number],YES_Writing_FLA[Student Number]),0),MATCH(VLOOKUP(E$7,'Writing Logic'!$J$7:$K$11,2,FALSE)&amp;" - Per "&amp;VLOOKUP($C$4,'Writing Logic'!$G$8:$H$14,2,FALSE),YES_Writing_ELA[#Headers],0))=0,"",INDEX(_xlfn.VSTACK(YES_Writing_ELA[#Data],YES_Writing_FLA[#Data]),MATCH($A323,_xlfn.VSTACK(YES_Writing_ELA[Student Number],YES_Writing_FLA[Student Number]),0),MATCH(VLOOKUP(E$7,'Writing Logic'!$J$7:$K$11,2,FALSE)&amp;" - Per "&amp;VLOOKUP($C$4,'Writing Logic'!$G$8:$H$14,2,FALSE),YES_Writing_ELA[#Headers],0)))),"")</f>
        <v/>
      </c>
      <c r="F323" s="138" t="str">
        <f>IFERROR(IF(IF(INDEX(_xlfn.VSTACK(YES_Writing_ELA[#Data],YES_Writing_FLA[#Data]),MATCH($A323,_xlfn.VSTACK(YES_Writing_ELA[Student Number],YES_Writing_FLA[Student Number]),0),MATCH(VLOOKUP(F$7,'Writing Logic'!$J$7:$K$11,2,FALSE)&amp;" - Per "&amp;VLOOKUP($C$4,'Writing Logic'!$G$8:$H$14,2,FALSE),YES_Writing_ELA[#Headers],0))=0,"",INDEX(_xlfn.VSTACK(YES_Writing_ELA[#Data],YES_Writing_FLA[#Data]),MATCH($A323,_xlfn.VSTACK(YES_Writing_ELA[Student Number],YES_Writing_FLA[Student Number]),0),MATCH(VLOOKUP(F$7,'Writing Logic'!$J$7:$K$11,2,FALSE)&amp;" - Per "&amp;VLOOKUP($C$4,'Writing Logic'!$G$8:$H$14,2,FALSE),YES_Writing_ELA[#Headers],0)))="INS",'Writing Logic'!$B$7,IF(INDEX(_xlfn.VSTACK(YES_Writing_ELA[#Data],YES_Writing_FLA[#Data]),MATCH($A323,_xlfn.VSTACK(YES_Writing_ELA[Student Number],YES_Writing_FLA[Student Number]),0),MATCH(VLOOKUP(F$7,'Writing Logic'!$J$7:$K$11,2,FALSE)&amp;" - Per "&amp;VLOOKUP($C$4,'Writing Logic'!$G$8:$H$14,2,FALSE),YES_Writing_ELA[#Headers],0))=0,"",INDEX(_xlfn.VSTACK(YES_Writing_ELA[#Data],YES_Writing_FLA[#Data]),MATCH($A323,_xlfn.VSTACK(YES_Writing_ELA[Student Number],YES_Writing_FLA[Student Number]),0),MATCH(VLOOKUP(F$7,'Writing Logic'!$J$7:$K$11,2,FALSE)&amp;" - Per "&amp;VLOOKUP($C$4,'Writing Logic'!$G$8:$H$14,2,FALSE),YES_Writing_ELA[#Headers],0)))),"")</f>
        <v/>
      </c>
      <c r="G323" s="138" t="str">
        <f>IFERROR(IF(IF(INDEX(_xlfn.VSTACK(YES_Writing_ELA[#Data],YES_Writing_FLA[#Data]),MATCH($A323,_xlfn.VSTACK(YES_Writing_ELA[Student Number],YES_Writing_FLA[Student Number]),0),MATCH(VLOOKUP(G$7,'Writing Logic'!$J$7:$K$11,2,FALSE)&amp;" - Per "&amp;VLOOKUP($C$4,'Writing Logic'!$G$8:$H$14,2,FALSE),YES_Writing_ELA[#Headers],0))=0,"",INDEX(_xlfn.VSTACK(YES_Writing_ELA[#Data],YES_Writing_FLA[#Data]),MATCH($A323,_xlfn.VSTACK(YES_Writing_ELA[Student Number],YES_Writing_FLA[Student Number]),0),MATCH(VLOOKUP(G$7,'Writing Logic'!$J$7:$K$11,2,FALSE)&amp;" - Per "&amp;VLOOKUP($C$4,'Writing Logic'!$G$8:$H$14,2,FALSE),YES_Writing_ELA[#Headers],0)))="INS",'Writing Logic'!$B$7,IF(INDEX(_xlfn.VSTACK(YES_Writing_ELA[#Data],YES_Writing_FLA[#Data]),MATCH($A323,_xlfn.VSTACK(YES_Writing_ELA[Student Number],YES_Writing_FLA[Student Number]),0),MATCH(VLOOKUP(G$7,'Writing Logic'!$J$7:$K$11,2,FALSE)&amp;" - Per "&amp;VLOOKUP($C$4,'Writing Logic'!$G$8:$H$14,2,FALSE),YES_Writing_ELA[#Headers],0))=0,"",INDEX(_xlfn.VSTACK(YES_Writing_ELA[#Data],YES_Writing_FLA[#Data]),MATCH($A323,_xlfn.VSTACK(YES_Writing_ELA[Student Number],YES_Writing_FLA[Student Number]),0),MATCH(VLOOKUP(G$7,'Writing Logic'!$J$7:$K$11,2,FALSE)&amp;" - Per "&amp;VLOOKUP($C$4,'Writing Logic'!$G$8:$H$14,2,FALSE),YES_Writing_ELA[#Headers],0)))),"")</f>
        <v/>
      </c>
      <c r="H323" s="138" t="str">
        <f>IFERROR(IF(IF(INDEX(_xlfn.VSTACK(YES_Writing_ELA[#Data],YES_Writing_FLA[#Data]),MATCH($A323,_xlfn.VSTACK(YES_Writing_ELA[Student Number],YES_Writing_FLA[Student Number]),0),MATCH(VLOOKUP(H$7,'Writing Logic'!$J$7:$K$11,2,FALSE)&amp;" - Per "&amp;VLOOKUP($C$4,'Writing Logic'!$G$8:$H$14,2,FALSE),YES_Writing_ELA[#Headers],0))=0,"",INDEX(_xlfn.VSTACK(YES_Writing_ELA[#Data],YES_Writing_FLA[#Data]),MATCH($A323,_xlfn.VSTACK(YES_Writing_ELA[Student Number],YES_Writing_FLA[Student Number]),0),MATCH(VLOOKUP(H$7,'Writing Logic'!$J$7:$K$11,2,FALSE)&amp;" - Per "&amp;VLOOKUP($C$4,'Writing Logic'!$G$8:$H$14,2,FALSE),YES_Writing_ELA[#Headers],0)))="INS",'Writing Logic'!$B$7,IF(INDEX(_xlfn.VSTACK(YES_Writing_ELA[#Data],YES_Writing_FLA[#Data]),MATCH($A323,_xlfn.VSTACK(YES_Writing_ELA[Student Number],YES_Writing_FLA[Student Number]),0),MATCH(VLOOKUP(H$7,'Writing Logic'!$J$7:$K$11,2,FALSE)&amp;" - Per "&amp;VLOOKUP($C$4,'Writing Logic'!$G$8:$H$14,2,FALSE),YES_Writing_ELA[#Headers],0))=0,"",INDEX(_xlfn.VSTACK(YES_Writing_ELA[#Data],YES_Writing_FLA[#Data]),MATCH($A323,_xlfn.VSTACK(YES_Writing_ELA[Student Number],YES_Writing_FLA[Student Number]),0),MATCH(VLOOKUP(H$7,'Writing Logic'!$J$7:$K$11,2,FALSE)&amp;" - Per "&amp;VLOOKUP($C$4,'Writing Logic'!$G$8:$H$14,2,FALSE),YES_Writing_ELA[#Headers],0)))),"")</f>
        <v/>
      </c>
    </row>
    <row r="324" spans="1:8" x14ac:dyDescent="0.25">
      <c r="A324" s="137"/>
      <c r="B324" s="137" t="str">
        <f>IFERROR(INDEX(_xlfn.VSTACK(YES_Writing_ELA[#Data], YES_Writing_FLA[#Data]),MATCH($A324,_xlfn.VSTACK(YES_Writing_ELA[Student Number], YES_Writing_FLA[Student Number]),0),MATCH(B$7,YES_Writing_ELA[#Headers],0)),"")</f>
        <v/>
      </c>
      <c r="C324" s="137" t="str">
        <f>IFERROR(INDEX(_xlfn.VSTACK(YES_Writing_ELA[#Data], YES_Writing_FLA[#Data]),MATCH($A324,_xlfn.VSTACK(YES_Writing_ELA[Student Number], YES_Writing_FLA[Student Number]),0),MATCH(C$7,YES_Writing_ELA[#Headers],0)),"")</f>
        <v/>
      </c>
      <c r="D324" s="138" t="str">
        <f>IFERROR(IF(IF(INDEX(_xlfn.VSTACK(YES_Writing_ELA[#Data],YES_Writing_FLA[#Data]),MATCH($A324,_xlfn.VSTACK(YES_Writing_ELA[Student Number],YES_Writing_FLA[Student Number]),0),MATCH(VLOOKUP(D$7,'Writing Logic'!$J$7:$K$11,2,FALSE)&amp;" - Per "&amp;VLOOKUP($C$4,'Writing Logic'!$G$8:$H$14,2,FALSE),YES_Writing_ELA[#Headers],0))=0,"",INDEX(_xlfn.VSTACK(YES_Writing_ELA[#Data],YES_Writing_FLA[#Data]),MATCH($A324,_xlfn.VSTACK(YES_Writing_ELA[Student Number],YES_Writing_FLA[Student Number]),0),MATCH(VLOOKUP(D$7,'Writing Logic'!$J$7:$K$11,2,FALSE)&amp;" - Per "&amp;VLOOKUP($C$4,'Writing Logic'!$G$8:$H$14,2,FALSE),YES_Writing_ELA[#Headers],0)))="INS",'Writing Logic'!$B$7,IF(INDEX(_xlfn.VSTACK(YES_Writing_ELA[#Data],YES_Writing_FLA[#Data]),MATCH($A324,_xlfn.VSTACK(YES_Writing_ELA[Student Number],YES_Writing_FLA[Student Number]),0),MATCH(VLOOKUP(D$7,'Writing Logic'!$J$7:$K$11,2,FALSE)&amp;" - Per "&amp;VLOOKUP($C$4,'Writing Logic'!$G$8:$H$14,2,FALSE),YES_Writing_ELA[#Headers],0))=0,"",INDEX(_xlfn.VSTACK(YES_Writing_ELA[#Data],YES_Writing_FLA[#Data]),MATCH($A324,_xlfn.VSTACK(YES_Writing_ELA[Student Number],YES_Writing_FLA[Student Number]),0),MATCH(VLOOKUP(D$7,'Writing Logic'!$J$7:$K$11,2,FALSE)&amp;" - Per "&amp;VLOOKUP($C$4,'Writing Logic'!$G$8:$H$14,2,FALSE),YES_Writing_ELA[#Headers],0)))),"")</f>
        <v/>
      </c>
      <c r="E324" s="138" t="str">
        <f>IFERROR(IF(IF(INDEX(_xlfn.VSTACK(YES_Writing_ELA[#Data],YES_Writing_FLA[#Data]),MATCH($A324,_xlfn.VSTACK(YES_Writing_ELA[Student Number],YES_Writing_FLA[Student Number]),0),MATCH(VLOOKUP(E$7,'Writing Logic'!$J$7:$K$11,2,FALSE)&amp;" - Per "&amp;VLOOKUP($C$4,'Writing Logic'!$G$8:$H$14,2,FALSE),YES_Writing_ELA[#Headers],0))=0,"",INDEX(_xlfn.VSTACK(YES_Writing_ELA[#Data],YES_Writing_FLA[#Data]),MATCH($A324,_xlfn.VSTACK(YES_Writing_ELA[Student Number],YES_Writing_FLA[Student Number]),0),MATCH(VLOOKUP(E$7,'Writing Logic'!$J$7:$K$11,2,FALSE)&amp;" - Per "&amp;VLOOKUP($C$4,'Writing Logic'!$G$8:$H$14,2,FALSE),YES_Writing_ELA[#Headers],0)))="INS",'Writing Logic'!$B$7,IF(INDEX(_xlfn.VSTACK(YES_Writing_ELA[#Data],YES_Writing_FLA[#Data]),MATCH($A324,_xlfn.VSTACK(YES_Writing_ELA[Student Number],YES_Writing_FLA[Student Number]),0),MATCH(VLOOKUP(E$7,'Writing Logic'!$J$7:$K$11,2,FALSE)&amp;" - Per "&amp;VLOOKUP($C$4,'Writing Logic'!$G$8:$H$14,2,FALSE),YES_Writing_ELA[#Headers],0))=0,"",INDEX(_xlfn.VSTACK(YES_Writing_ELA[#Data],YES_Writing_FLA[#Data]),MATCH($A324,_xlfn.VSTACK(YES_Writing_ELA[Student Number],YES_Writing_FLA[Student Number]),0),MATCH(VLOOKUP(E$7,'Writing Logic'!$J$7:$K$11,2,FALSE)&amp;" - Per "&amp;VLOOKUP($C$4,'Writing Logic'!$G$8:$H$14,2,FALSE),YES_Writing_ELA[#Headers],0)))),"")</f>
        <v/>
      </c>
      <c r="F324" s="138" t="str">
        <f>IFERROR(IF(IF(INDEX(_xlfn.VSTACK(YES_Writing_ELA[#Data],YES_Writing_FLA[#Data]),MATCH($A324,_xlfn.VSTACK(YES_Writing_ELA[Student Number],YES_Writing_FLA[Student Number]),0),MATCH(VLOOKUP(F$7,'Writing Logic'!$J$7:$K$11,2,FALSE)&amp;" - Per "&amp;VLOOKUP($C$4,'Writing Logic'!$G$8:$H$14,2,FALSE),YES_Writing_ELA[#Headers],0))=0,"",INDEX(_xlfn.VSTACK(YES_Writing_ELA[#Data],YES_Writing_FLA[#Data]),MATCH($A324,_xlfn.VSTACK(YES_Writing_ELA[Student Number],YES_Writing_FLA[Student Number]),0),MATCH(VLOOKUP(F$7,'Writing Logic'!$J$7:$K$11,2,FALSE)&amp;" - Per "&amp;VLOOKUP($C$4,'Writing Logic'!$G$8:$H$14,2,FALSE),YES_Writing_ELA[#Headers],0)))="INS",'Writing Logic'!$B$7,IF(INDEX(_xlfn.VSTACK(YES_Writing_ELA[#Data],YES_Writing_FLA[#Data]),MATCH($A324,_xlfn.VSTACK(YES_Writing_ELA[Student Number],YES_Writing_FLA[Student Number]),0),MATCH(VLOOKUP(F$7,'Writing Logic'!$J$7:$K$11,2,FALSE)&amp;" - Per "&amp;VLOOKUP($C$4,'Writing Logic'!$G$8:$H$14,2,FALSE),YES_Writing_ELA[#Headers],0))=0,"",INDEX(_xlfn.VSTACK(YES_Writing_ELA[#Data],YES_Writing_FLA[#Data]),MATCH($A324,_xlfn.VSTACK(YES_Writing_ELA[Student Number],YES_Writing_FLA[Student Number]),0),MATCH(VLOOKUP(F$7,'Writing Logic'!$J$7:$K$11,2,FALSE)&amp;" - Per "&amp;VLOOKUP($C$4,'Writing Logic'!$G$8:$H$14,2,FALSE),YES_Writing_ELA[#Headers],0)))),"")</f>
        <v/>
      </c>
      <c r="G324" s="138" t="str">
        <f>IFERROR(IF(IF(INDEX(_xlfn.VSTACK(YES_Writing_ELA[#Data],YES_Writing_FLA[#Data]),MATCH($A324,_xlfn.VSTACK(YES_Writing_ELA[Student Number],YES_Writing_FLA[Student Number]),0),MATCH(VLOOKUP(G$7,'Writing Logic'!$J$7:$K$11,2,FALSE)&amp;" - Per "&amp;VLOOKUP($C$4,'Writing Logic'!$G$8:$H$14,2,FALSE),YES_Writing_ELA[#Headers],0))=0,"",INDEX(_xlfn.VSTACK(YES_Writing_ELA[#Data],YES_Writing_FLA[#Data]),MATCH($A324,_xlfn.VSTACK(YES_Writing_ELA[Student Number],YES_Writing_FLA[Student Number]),0),MATCH(VLOOKUP(G$7,'Writing Logic'!$J$7:$K$11,2,FALSE)&amp;" - Per "&amp;VLOOKUP($C$4,'Writing Logic'!$G$8:$H$14,2,FALSE),YES_Writing_ELA[#Headers],0)))="INS",'Writing Logic'!$B$7,IF(INDEX(_xlfn.VSTACK(YES_Writing_ELA[#Data],YES_Writing_FLA[#Data]),MATCH($A324,_xlfn.VSTACK(YES_Writing_ELA[Student Number],YES_Writing_FLA[Student Number]),0),MATCH(VLOOKUP(G$7,'Writing Logic'!$J$7:$K$11,2,FALSE)&amp;" - Per "&amp;VLOOKUP($C$4,'Writing Logic'!$G$8:$H$14,2,FALSE),YES_Writing_ELA[#Headers],0))=0,"",INDEX(_xlfn.VSTACK(YES_Writing_ELA[#Data],YES_Writing_FLA[#Data]),MATCH($A324,_xlfn.VSTACK(YES_Writing_ELA[Student Number],YES_Writing_FLA[Student Number]),0),MATCH(VLOOKUP(G$7,'Writing Logic'!$J$7:$K$11,2,FALSE)&amp;" - Per "&amp;VLOOKUP($C$4,'Writing Logic'!$G$8:$H$14,2,FALSE),YES_Writing_ELA[#Headers],0)))),"")</f>
        <v/>
      </c>
      <c r="H324" s="138" t="str">
        <f>IFERROR(IF(IF(INDEX(_xlfn.VSTACK(YES_Writing_ELA[#Data],YES_Writing_FLA[#Data]),MATCH($A324,_xlfn.VSTACK(YES_Writing_ELA[Student Number],YES_Writing_FLA[Student Number]),0),MATCH(VLOOKUP(H$7,'Writing Logic'!$J$7:$K$11,2,FALSE)&amp;" - Per "&amp;VLOOKUP($C$4,'Writing Logic'!$G$8:$H$14,2,FALSE),YES_Writing_ELA[#Headers],0))=0,"",INDEX(_xlfn.VSTACK(YES_Writing_ELA[#Data],YES_Writing_FLA[#Data]),MATCH($A324,_xlfn.VSTACK(YES_Writing_ELA[Student Number],YES_Writing_FLA[Student Number]),0),MATCH(VLOOKUP(H$7,'Writing Logic'!$J$7:$K$11,2,FALSE)&amp;" - Per "&amp;VLOOKUP($C$4,'Writing Logic'!$G$8:$H$14,2,FALSE),YES_Writing_ELA[#Headers],0)))="INS",'Writing Logic'!$B$7,IF(INDEX(_xlfn.VSTACK(YES_Writing_ELA[#Data],YES_Writing_FLA[#Data]),MATCH($A324,_xlfn.VSTACK(YES_Writing_ELA[Student Number],YES_Writing_FLA[Student Number]),0),MATCH(VLOOKUP(H$7,'Writing Logic'!$J$7:$K$11,2,FALSE)&amp;" - Per "&amp;VLOOKUP($C$4,'Writing Logic'!$G$8:$H$14,2,FALSE),YES_Writing_ELA[#Headers],0))=0,"",INDEX(_xlfn.VSTACK(YES_Writing_ELA[#Data],YES_Writing_FLA[#Data]),MATCH($A324,_xlfn.VSTACK(YES_Writing_ELA[Student Number],YES_Writing_FLA[Student Number]),0),MATCH(VLOOKUP(H$7,'Writing Logic'!$J$7:$K$11,2,FALSE)&amp;" - Per "&amp;VLOOKUP($C$4,'Writing Logic'!$G$8:$H$14,2,FALSE),YES_Writing_ELA[#Headers],0)))),"")</f>
        <v/>
      </c>
    </row>
    <row r="325" spans="1:8" x14ac:dyDescent="0.25">
      <c r="A325" s="137"/>
      <c r="B325" s="137" t="str">
        <f>IFERROR(INDEX(_xlfn.VSTACK(YES_Writing_ELA[#Data], YES_Writing_FLA[#Data]),MATCH($A325,_xlfn.VSTACK(YES_Writing_ELA[Student Number], YES_Writing_FLA[Student Number]),0),MATCH(B$7,YES_Writing_ELA[#Headers],0)),"")</f>
        <v/>
      </c>
      <c r="C325" s="137" t="str">
        <f>IFERROR(INDEX(_xlfn.VSTACK(YES_Writing_ELA[#Data], YES_Writing_FLA[#Data]),MATCH($A325,_xlfn.VSTACK(YES_Writing_ELA[Student Number], YES_Writing_FLA[Student Number]),0),MATCH(C$7,YES_Writing_ELA[#Headers],0)),"")</f>
        <v/>
      </c>
      <c r="D325" s="138" t="str">
        <f>IFERROR(IF(IF(INDEX(_xlfn.VSTACK(YES_Writing_ELA[#Data],YES_Writing_FLA[#Data]),MATCH($A325,_xlfn.VSTACK(YES_Writing_ELA[Student Number],YES_Writing_FLA[Student Number]),0),MATCH(VLOOKUP(D$7,'Writing Logic'!$J$7:$K$11,2,FALSE)&amp;" - Per "&amp;VLOOKUP($C$4,'Writing Logic'!$G$8:$H$14,2,FALSE),YES_Writing_ELA[#Headers],0))=0,"",INDEX(_xlfn.VSTACK(YES_Writing_ELA[#Data],YES_Writing_FLA[#Data]),MATCH($A325,_xlfn.VSTACK(YES_Writing_ELA[Student Number],YES_Writing_FLA[Student Number]),0),MATCH(VLOOKUP(D$7,'Writing Logic'!$J$7:$K$11,2,FALSE)&amp;" - Per "&amp;VLOOKUP($C$4,'Writing Logic'!$G$8:$H$14,2,FALSE),YES_Writing_ELA[#Headers],0)))="INS",'Writing Logic'!$B$7,IF(INDEX(_xlfn.VSTACK(YES_Writing_ELA[#Data],YES_Writing_FLA[#Data]),MATCH($A325,_xlfn.VSTACK(YES_Writing_ELA[Student Number],YES_Writing_FLA[Student Number]),0),MATCH(VLOOKUP(D$7,'Writing Logic'!$J$7:$K$11,2,FALSE)&amp;" - Per "&amp;VLOOKUP($C$4,'Writing Logic'!$G$8:$H$14,2,FALSE),YES_Writing_ELA[#Headers],0))=0,"",INDEX(_xlfn.VSTACK(YES_Writing_ELA[#Data],YES_Writing_FLA[#Data]),MATCH($A325,_xlfn.VSTACK(YES_Writing_ELA[Student Number],YES_Writing_FLA[Student Number]),0),MATCH(VLOOKUP(D$7,'Writing Logic'!$J$7:$K$11,2,FALSE)&amp;" - Per "&amp;VLOOKUP($C$4,'Writing Logic'!$G$8:$H$14,2,FALSE),YES_Writing_ELA[#Headers],0)))),"")</f>
        <v/>
      </c>
      <c r="E325" s="138" t="str">
        <f>IFERROR(IF(IF(INDEX(_xlfn.VSTACK(YES_Writing_ELA[#Data],YES_Writing_FLA[#Data]),MATCH($A325,_xlfn.VSTACK(YES_Writing_ELA[Student Number],YES_Writing_FLA[Student Number]),0),MATCH(VLOOKUP(E$7,'Writing Logic'!$J$7:$K$11,2,FALSE)&amp;" - Per "&amp;VLOOKUP($C$4,'Writing Logic'!$G$8:$H$14,2,FALSE),YES_Writing_ELA[#Headers],0))=0,"",INDEX(_xlfn.VSTACK(YES_Writing_ELA[#Data],YES_Writing_FLA[#Data]),MATCH($A325,_xlfn.VSTACK(YES_Writing_ELA[Student Number],YES_Writing_FLA[Student Number]),0),MATCH(VLOOKUP(E$7,'Writing Logic'!$J$7:$K$11,2,FALSE)&amp;" - Per "&amp;VLOOKUP($C$4,'Writing Logic'!$G$8:$H$14,2,FALSE),YES_Writing_ELA[#Headers],0)))="INS",'Writing Logic'!$B$7,IF(INDEX(_xlfn.VSTACK(YES_Writing_ELA[#Data],YES_Writing_FLA[#Data]),MATCH($A325,_xlfn.VSTACK(YES_Writing_ELA[Student Number],YES_Writing_FLA[Student Number]),0),MATCH(VLOOKUP(E$7,'Writing Logic'!$J$7:$K$11,2,FALSE)&amp;" - Per "&amp;VLOOKUP($C$4,'Writing Logic'!$G$8:$H$14,2,FALSE),YES_Writing_ELA[#Headers],0))=0,"",INDEX(_xlfn.VSTACK(YES_Writing_ELA[#Data],YES_Writing_FLA[#Data]),MATCH($A325,_xlfn.VSTACK(YES_Writing_ELA[Student Number],YES_Writing_FLA[Student Number]),0),MATCH(VLOOKUP(E$7,'Writing Logic'!$J$7:$K$11,2,FALSE)&amp;" - Per "&amp;VLOOKUP($C$4,'Writing Logic'!$G$8:$H$14,2,FALSE),YES_Writing_ELA[#Headers],0)))),"")</f>
        <v/>
      </c>
      <c r="F325" s="138" t="str">
        <f>IFERROR(IF(IF(INDEX(_xlfn.VSTACK(YES_Writing_ELA[#Data],YES_Writing_FLA[#Data]),MATCH($A325,_xlfn.VSTACK(YES_Writing_ELA[Student Number],YES_Writing_FLA[Student Number]),0),MATCH(VLOOKUP(F$7,'Writing Logic'!$J$7:$K$11,2,FALSE)&amp;" - Per "&amp;VLOOKUP($C$4,'Writing Logic'!$G$8:$H$14,2,FALSE),YES_Writing_ELA[#Headers],0))=0,"",INDEX(_xlfn.VSTACK(YES_Writing_ELA[#Data],YES_Writing_FLA[#Data]),MATCH($A325,_xlfn.VSTACK(YES_Writing_ELA[Student Number],YES_Writing_FLA[Student Number]),0),MATCH(VLOOKUP(F$7,'Writing Logic'!$J$7:$K$11,2,FALSE)&amp;" - Per "&amp;VLOOKUP($C$4,'Writing Logic'!$G$8:$H$14,2,FALSE),YES_Writing_ELA[#Headers],0)))="INS",'Writing Logic'!$B$7,IF(INDEX(_xlfn.VSTACK(YES_Writing_ELA[#Data],YES_Writing_FLA[#Data]),MATCH($A325,_xlfn.VSTACK(YES_Writing_ELA[Student Number],YES_Writing_FLA[Student Number]),0),MATCH(VLOOKUP(F$7,'Writing Logic'!$J$7:$K$11,2,FALSE)&amp;" - Per "&amp;VLOOKUP($C$4,'Writing Logic'!$G$8:$H$14,2,FALSE),YES_Writing_ELA[#Headers],0))=0,"",INDEX(_xlfn.VSTACK(YES_Writing_ELA[#Data],YES_Writing_FLA[#Data]),MATCH($A325,_xlfn.VSTACK(YES_Writing_ELA[Student Number],YES_Writing_FLA[Student Number]),0),MATCH(VLOOKUP(F$7,'Writing Logic'!$J$7:$K$11,2,FALSE)&amp;" - Per "&amp;VLOOKUP($C$4,'Writing Logic'!$G$8:$H$14,2,FALSE),YES_Writing_ELA[#Headers],0)))),"")</f>
        <v/>
      </c>
      <c r="G325" s="138" t="str">
        <f>IFERROR(IF(IF(INDEX(_xlfn.VSTACK(YES_Writing_ELA[#Data],YES_Writing_FLA[#Data]),MATCH($A325,_xlfn.VSTACK(YES_Writing_ELA[Student Number],YES_Writing_FLA[Student Number]),0),MATCH(VLOOKUP(G$7,'Writing Logic'!$J$7:$K$11,2,FALSE)&amp;" - Per "&amp;VLOOKUP($C$4,'Writing Logic'!$G$8:$H$14,2,FALSE),YES_Writing_ELA[#Headers],0))=0,"",INDEX(_xlfn.VSTACK(YES_Writing_ELA[#Data],YES_Writing_FLA[#Data]),MATCH($A325,_xlfn.VSTACK(YES_Writing_ELA[Student Number],YES_Writing_FLA[Student Number]),0),MATCH(VLOOKUP(G$7,'Writing Logic'!$J$7:$K$11,2,FALSE)&amp;" - Per "&amp;VLOOKUP($C$4,'Writing Logic'!$G$8:$H$14,2,FALSE),YES_Writing_ELA[#Headers],0)))="INS",'Writing Logic'!$B$7,IF(INDEX(_xlfn.VSTACK(YES_Writing_ELA[#Data],YES_Writing_FLA[#Data]),MATCH($A325,_xlfn.VSTACK(YES_Writing_ELA[Student Number],YES_Writing_FLA[Student Number]),0),MATCH(VLOOKUP(G$7,'Writing Logic'!$J$7:$K$11,2,FALSE)&amp;" - Per "&amp;VLOOKUP($C$4,'Writing Logic'!$G$8:$H$14,2,FALSE),YES_Writing_ELA[#Headers],0))=0,"",INDEX(_xlfn.VSTACK(YES_Writing_ELA[#Data],YES_Writing_FLA[#Data]),MATCH($A325,_xlfn.VSTACK(YES_Writing_ELA[Student Number],YES_Writing_FLA[Student Number]),0),MATCH(VLOOKUP(G$7,'Writing Logic'!$J$7:$K$11,2,FALSE)&amp;" - Per "&amp;VLOOKUP($C$4,'Writing Logic'!$G$8:$H$14,2,FALSE),YES_Writing_ELA[#Headers],0)))),"")</f>
        <v/>
      </c>
      <c r="H325" s="138" t="str">
        <f>IFERROR(IF(IF(INDEX(_xlfn.VSTACK(YES_Writing_ELA[#Data],YES_Writing_FLA[#Data]),MATCH($A325,_xlfn.VSTACK(YES_Writing_ELA[Student Number],YES_Writing_FLA[Student Number]),0),MATCH(VLOOKUP(H$7,'Writing Logic'!$J$7:$K$11,2,FALSE)&amp;" - Per "&amp;VLOOKUP($C$4,'Writing Logic'!$G$8:$H$14,2,FALSE),YES_Writing_ELA[#Headers],0))=0,"",INDEX(_xlfn.VSTACK(YES_Writing_ELA[#Data],YES_Writing_FLA[#Data]),MATCH($A325,_xlfn.VSTACK(YES_Writing_ELA[Student Number],YES_Writing_FLA[Student Number]),0),MATCH(VLOOKUP(H$7,'Writing Logic'!$J$7:$K$11,2,FALSE)&amp;" - Per "&amp;VLOOKUP($C$4,'Writing Logic'!$G$8:$H$14,2,FALSE),YES_Writing_ELA[#Headers],0)))="INS",'Writing Logic'!$B$7,IF(INDEX(_xlfn.VSTACK(YES_Writing_ELA[#Data],YES_Writing_FLA[#Data]),MATCH($A325,_xlfn.VSTACK(YES_Writing_ELA[Student Number],YES_Writing_FLA[Student Number]),0),MATCH(VLOOKUP(H$7,'Writing Logic'!$J$7:$K$11,2,FALSE)&amp;" - Per "&amp;VLOOKUP($C$4,'Writing Logic'!$G$8:$H$14,2,FALSE),YES_Writing_ELA[#Headers],0))=0,"",INDEX(_xlfn.VSTACK(YES_Writing_ELA[#Data],YES_Writing_FLA[#Data]),MATCH($A325,_xlfn.VSTACK(YES_Writing_ELA[Student Number],YES_Writing_FLA[Student Number]),0),MATCH(VLOOKUP(H$7,'Writing Logic'!$J$7:$K$11,2,FALSE)&amp;" - Per "&amp;VLOOKUP($C$4,'Writing Logic'!$G$8:$H$14,2,FALSE),YES_Writing_ELA[#Headers],0)))),"")</f>
        <v/>
      </c>
    </row>
    <row r="326" spans="1:8" x14ac:dyDescent="0.25">
      <c r="A326" s="137"/>
      <c r="B326" s="137" t="str">
        <f>IFERROR(INDEX(_xlfn.VSTACK(YES_Writing_ELA[#Data], YES_Writing_FLA[#Data]),MATCH($A326,_xlfn.VSTACK(YES_Writing_ELA[Student Number], YES_Writing_FLA[Student Number]),0),MATCH(B$7,YES_Writing_ELA[#Headers],0)),"")</f>
        <v/>
      </c>
      <c r="C326" s="137" t="str">
        <f>IFERROR(INDEX(_xlfn.VSTACK(YES_Writing_ELA[#Data], YES_Writing_FLA[#Data]),MATCH($A326,_xlfn.VSTACK(YES_Writing_ELA[Student Number], YES_Writing_FLA[Student Number]),0),MATCH(C$7,YES_Writing_ELA[#Headers],0)),"")</f>
        <v/>
      </c>
      <c r="D326" s="138" t="str">
        <f>IFERROR(IF(IF(INDEX(_xlfn.VSTACK(YES_Writing_ELA[#Data],YES_Writing_FLA[#Data]),MATCH($A326,_xlfn.VSTACK(YES_Writing_ELA[Student Number],YES_Writing_FLA[Student Number]),0),MATCH(VLOOKUP(D$7,'Writing Logic'!$J$7:$K$11,2,FALSE)&amp;" - Per "&amp;VLOOKUP($C$4,'Writing Logic'!$G$8:$H$14,2,FALSE),YES_Writing_ELA[#Headers],0))=0,"",INDEX(_xlfn.VSTACK(YES_Writing_ELA[#Data],YES_Writing_FLA[#Data]),MATCH($A326,_xlfn.VSTACK(YES_Writing_ELA[Student Number],YES_Writing_FLA[Student Number]),0),MATCH(VLOOKUP(D$7,'Writing Logic'!$J$7:$K$11,2,FALSE)&amp;" - Per "&amp;VLOOKUP($C$4,'Writing Logic'!$G$8:$H$14,2,FALSE),YES_Writing_ELA[#Headers],0)))="INS",'Writing Logic'!$B$7,IF(INDEX(_xlfn.VSTACK(YES_Writing_ELA[#Data],YES_Writing_FLA[#Data]),MATCH($A326,_xlfn.VSTACK(YES_Writing_ELA[Student Number],YES_Writing_FLA[Student Number]),0),MATCH(VLOOKUP(D$7,'Writing Logic'!$J$7:$K$11,2,FALSE)&amp;" - Per "&amp;VLOOKUP($C$4,'Writing Logic'!$G$8:$H$14,2,FALSE),YES_Writing_ELA[#Headers],0))=0,"",INDEX(_xlfn.VSTACK(YES_Writing_ELA[#Data],YES_Writing_FLA[#Data]),MATCH($A326,_xlfn.VSTACK(YES_Writing_ELA[Student Number],YES_Writing_FLA[Student Number]),0),MATCH(VLOOKUP(D$7,'Writing Logic'!$J$7:$K$11,2,FALSE)&amp;" - Per "&amp;VLOOKUP($C$4,'Writing Logic'!$G$8:$H$14,2,FALSE),YES_Writing_ELA[#Headers],0)))),"")</f>
        <v/>
      </c>
      <c r="E326" s="138" t="str">
        <f>IFERROR(IF(IF(INDEX(_xlfn.VSTACK(YES_Writing_ELA[#Data],YES_Writing_FLA[#Data]),MATCH($A326,_xlfn.VSTACK(YES_Writing_ELA[Student Number],YES_Writing_FLA[Student Number]),0),MATCH(VLOOKUP(E$7,'Writing Logic'!$J$7:$K$11,2,FALSE)&amp;" - Per "&amp;VLOOKUP($C$4,'Writing Logic'!$G$8:$H$14,2,FALSE),YES_Writing_ELA[#Headers],0))=0,"",INDEX(_xlfn.VSTACK(YES_Writing_ELA[#Data],YES_Writing_FLA[#Data]),MATCH($A326,_xlfn.VSTACK(YES_Writing_ELA[Student Number],YES_Writing_FLA[Student Number]),0),MATCH(VLOOKUP(E$7,'Writing Logic'!$J$7:$K$11,2,FALSE)&amp;" - Per "&amp;VLOOKUP($C$4,'Writing Logic'!$G$8:$H$14,2,FALSE),YES_Writing_ELA[#Headers],0)))="INS",'Writing Logic'!$B$7,IF(INDEX(_xlfn.VSTACK(YES_Writing_ELA[#Data],YES_Writing_FLA[#Data]),MATCH($A326,_xlfn.VSTACK(YES_Writing_ELA[Student Number],YES_Writing_FLA[Student Number]),0),MATCH(VLOOKUP(E$7,'Writing Logic'!$J$7:$K$11,2,FALSE)&amp;" - Per "&amp;VLOOKUP($C$4,'Writing Logic'!$G$8:$H$14,2,FALSE),YES_Writing_ELA[#Headers],0))=0,"",INDEX(_xlfn.VSTACK(YES_Writing_ELA[#Data],YES_Writing_FLA[#Data]),MATCH($A326,_xlfn.VSTACK(YES_Writing_ELA[Student Number],YES_Writing_FLA[Student Number]),0),MATCH(VLOOKUP(E$7,'Writing Logic'!$J$7:$K$11,2,FALSE)&amp;" - Per "&amp;VLOOKUP($C$4,'Writing Logic'!$G$8:$H$14,2,FALSE),YES_Writing_ELA[#Headers],0)))),"")</f>
        <v/>
      </c>
      <c r="F326" s="138" t="str">
        <f>IFERROR(IF(IF(INDEX(_xlfn.VSTACK(YES_Writing_ELA[#Data],YES_Writing_FLA[#Data]),MATCH($A326,_xlfn.VSTACK(YES_Writing_ELA[Student Number],YES_Writing_FLA[Student Number]),0),MATCH(VLOOKUP(F$7,'Writing Logic'!$J$7:$K$11,2,FALSE)&amp;" - Per "&amp;VLOOKUP($C$4,'Writing Logic'!$G$8:$H$14,2,FALSE),YES_Writing_ELA[#Headers],0))=0,"",INDEX(_xlfn.VSTACK(YES_Writing_ELA[#Data],YES_Writing_FLA[#Data]),MATCH($A326,_xlfn.VSTACK(YES_Writing_ELA[Student Number],YES_Writing_FLA[Student Number]),0),MATCH(VLOOKUP(F$7,'Writing Logic'!$J$7:$K$11,2,FALSE)&amp;" - Per "&amp;VLOOKUP($C$4,'Writing Logic'!$G$8:$H$14,2,FALSE),YES_Writing_ELA[#Headers],0)))="INS",'Writing Logic'!$B$7,IF(INDEX(_xlfn.VSTACK(YES_Writing_ELA[#Data],YES_Writing_FLA[#Data]),MATCH($A326,_xlfn.VSTACK(YES_Writing_ELA[Student Number],YES_Writing_FLA[Student Number]),0),MATCH(VLOOKUP(F$7,'Writing Logic'!$J$7:$K$11,2,FALSE)&amp;" - Per "&amp;VLOOKUP($C$4,'Writing Logic'!$G$8:$H$14,2,FALSE),YES_Writing_ELA[#Headers],0))=0,"",INDEX(_xlfn.VSTACK(YES_Writing_ELA[#Data],YES_Writing_FLA[#Data]),MATCH($A326,_xlfn.VSTACK(YES_Writing_ELA[Student Number],YES_Writing_FLA[Student Number]),0),MATCH(VLOOKUP(F$7,'Writing Logic'!$J$7:$K$11,2,FALSE)&amp;" - Per "&amp;VLOOKUP($C$4,'Writing Logic'!$G$8:$H$14,2,FALSE),YES_Writing_ELA[#Headers],0)))),"")</f>
        <v/>
      </c>
      <c r="G326" s="138" t="str">
        <f>IFERROR(IF(IF(INDEX(_xlfn.VSTACK(YES_Writing_ELA[#Data],YES_Writing_FLA[#Data]),MATCH($A326,_xlfn.VSTACK(YES_Writing_ELA[Student Number],YES_Writing_FLA[Student Number]),0),MATCH(VLOOKUP(G$7,'Writing Logic'!$J$7:$K$11,2,FALSE)&amp;" - Per "&amp;VLOOKUP($C$4,'Writing Logic'!$G$8:$H$14,2,FALSE),YES_Writing_ELA[#Headers],0))=0,"",INDEX(_xlfn.VSTACK(YES_Writing_ELA[#Data],YES_Writing_FLA[#Data]),MATCH($A326,_xlfn.VSTACK(YES_Writing_ELA[Student Number],YES_Writing_FLA[Student Number]),0),MATCH(VLOOKUP(G$7,'Writing Logic'!$J$7:$K$11,2,FALSE)&amp;" - Per "&amp;VLOOKUP($C$4,'Writing Logic'!$G$8:$H$14,2,FALSE),YES_Writing_ELA[#Headers],0)))="INS",'Writing Logic'!$B$7,IF(INDEX(_xlfn.VSTACK(YES_Writing_ELA[#Data],YES_Writing_FLA[#Data]),MATCH($A326,_xlfn.VSTACK(YES_Writing_ELA[Student Number],YES_Writing_FLA[Student Number]),0),MATCH(VLOOKUP(G$7,'Writing Logic'!$J$7:$K$11,2,FALSE)&amp;" - Per "&amp;VLOOKUP($C$4,'Writing Logic'!$G$8:$H$14,2,FALSE),YES_Writing_ELA[#Headers],0))=0,"",INDEX(_xlfn.VSTACK(YES_Writing_ELA[#Data],YES_Writing_FLA[#Data]),MATCH($A326,_xlfn.VSTACK(YES_Writing_ELA[Student Number],YES_Writing_FLA[Student Number]),0),MATCH(VLOOKUP(G$7,'Writing Logic'!$J$7:$K$11,2,FALSE)&amp;" - Per "&amp;VLOOKUP($C$4,'Writing Logic'!$G$8:$H$14,2,FALSE),YES_Writing_ELA[#Headers],0)))),"")</f>
        <v/>
      </c>
      <c r="H326" s="138" t="str">
        <f>IFERROR(IF(IF(INDEX(_xlfn.VSTACK(YES_Writing_ELA[#Data],YES_Writing_FLA[#Data]),MATCH($A326,_xlfn.VSTACK(YES_Writing_ELA[Student Number],YES_Writing_FLA[Student Number]),0),MATCH(VLOOKUP(H$7,'Writing Logic'!$J$7:$K$11,2,FALSE)&amp;" - Per "&amp;VLOOKUP($C$4,'Writing Logic'!$G$8:$H$14,2,FALSE),YES_Writing_ELA[#Headers],0))=0,"",INDEX(_xlfn.VSTACK(YES_Writing_ELA[#Data],YES_Writing_FLA[#Data]),MATCH($A326,_xlfn.VSTACK(YES_Writing_ELA[Student Number],YES_Writing_FLA[Student Number]),0),MATCH(VLOOKUP(H$7,'Writing Logic'!$J$7:$K$11,2,FALSE)&amp;" - Per "&amp;VLOOKUP($C$4,'Writing Logic'!$G$8:$H$14,2,FALSE),YES_Writing_ELA[#Headers],0)))="INS",'Writing Logic'!$B$7,IF(INDEX(_xlfn.VSTACK(YES_Writing_ELA[#Data],YES_Writing_FLA[#Data]),MATCH($A326,_xlfn.VSTACK(YES_Writing_ELA[Student Number],YES_Writing_FLA[Student Number]),0),MATCH(VLOOKUP(H$7,'Writing Logic'!$J$7:$K$11,2,FALSE)&amp;" - Per "&amp;VLOOKUP($C$4,'Writing Logic'!$G$8:$H$14,2,FALSE),YES_Writing_ELA[#Headers],0))=0,"",INDEX(_xlfn.VSTACK(YES_Writing_ELA[#Data],YES_Writing_FLA[#Data]),MATCH($A326,_xlfn.VSTACK(YES_Writing_ELA[Student Number],YES_Writing_FLA[Student Number]),0),MATCH(VLOOKUP(H$7,'Writing Logic'!$J$7:$K$11,2,FALSE)&amp;" - Per "&amp;VLOOKUP($C$4,'Writing Logic'!$G$8:$H$14,2,FALSE),YES_Writing_ELA[#Headers],0)))),"")</f>
        <v/>
      </c>
    </row>
    <row r="327" spans="1:8" x14ac:dyDescent="0.25">
      <c r="A327" s="137"/>
      <c r="B327" s="137" t="str">
        <f>IFERROR(INDEX(_xlfn.VSTACK(YES_Writing_ELA[#Data], YES_Writing_FLA[#Data]),MATCH($A327,_xlfn.VSTACK(YES_Writing_ELA[Student Number], YES_Writing_FLA[Student Number]),0),MATCH(B$7,YES_Writing_ELA[#Headers],0)),"")</f>
        <v/>
      </c>
      <c r="C327" s="137" t="str">
        <f>IFERROR(INDEX(_xlfn.VSTACK(YES_Writing_ELA[#Data], YES_Writing_FLA[#Data]),MATCH($A327,_xlfn.VSTACK(YES_Writing_ELA[Student Number], YES_Writing_FLA[Student Number]),0),MATCH(C$7,YES_Writing_ELA[#Headers],0)),"")</f>
        <v/>
      </c>
      <c r="D327" s="138" t="str">
        <f>IFERROR(IF(IF(INDEX(_xlfn.VSTACK(YES_Writing_ELA[#Data],YES_Writing_FLA[#Data]),MATCH($A327,_xlfn.VSTACK(YES_Writing_ELA[Student Number],YES_Writing_FLA[Student Number]),0),MATCH(VLOOKUP(D$7,'Writing Logic'!$J$7:$K$11,2,FALSE)&amp;" - Per "&amp;VLOOKUP($C$4,'Writing Logic'!$G$8:$H$14,2,FALSE),YES_Writing_ELA[#Headers],0))=0,"",INDEX(_xlfn.VSTACK(YES_Writing_ELA[#Data],YES_Writing_FLA[#Data]),MATCH($A327,_xlfn.VSTACK(YES_Writing_ELA[Student Number],YES_Writing_FLA[Student Number]),0),MATCH(VLOOKUP(D$7,'Writing Logic'!$J$7:$K$11,2,FALSE)&amp;" - Per "&amp;VLOOKUP($C$4,'Writing Logic'!$G$8:$H$14,2,FALSE),YES_Writing_ELA[#Headers],0)))="INS",'Writing Logic'!$B$7,IF(INDEX(_xlfn.VSTACK(YES_Writing_ELA[#Data],YES_Writing_FLA[#Data]),MATCH($A327,_xlfn.VSTACK(YES_Writing_ELA[Student Number],YES_Writing_FLA[Student Number]),0),MATCH(VLOOKUP(D$7,'Writing Logic'!$J$7:$K$11,2,FALSE)&amp;" - Per "&amp;VLOOKUP($C$4,'Writing Logic'!$G$8:$H$14,2,FALSE),YES_Writing_ELA[#Headers],0))=0,"",INDEX(_xlfn.VSTACK(YES_Writing_ELA[#Data],YES_Writing_FLA[#Data]),MATCH($A327,_xlfn.VSTACK(YES_Writing_ELA[Student Number],YES_Writing_FLA[Student Number]),0),MATCH(VLOOKUP(D$7,'Writing Logic'!$J$7:$K$11,2,FALSE)&amp;" - Per "&amp;VLOOKUP($C$4,'Writing Logic'!$G$8:$H$14,2,FALSE),YES_Writing_ELA[#Headers],0)))),"")</f>
        <v/>
      </c>
      <c r="E327" s="138" t="str">
        <f>IFERROR(IF(IF(INDEX(_xlfn.VSTACK(YES_Writing_ELA[#Data],YES_Writing_FLA[#Data]),MATCH($A327,_xlfn.VSTACK(YES_Writing_ELA[Student Number],YES_Writing_FLA[Student Number]),0),MATCH(VLOOKUP(E$7,'Writing Logic'!$J$7:$K$11,2,FALSE)&amp;" - Per "&amp;VLOOKUP($C$4,'Writing Logic'!$G$8:$H$14,2,FALSE),YES_Writing_ELA[#Headers],0))=0,"",INDEX(_xlfn.VSTACK(YES_Writing_ELA[#Data],YES_Writing_FLA[#Data]),MATCH($A327,_xlfn.VSTACK(YES_Writing_ELA[Student Number],YES_Writing_FLA[Student Number]),0),MATCH(VLOOKUP(E$7,'Writing Logic'!$J$7:$K$11,2,FALSE)&amp;" - Per "&amp;VLOOKUP($C$4,'Writing Logic'!$G$8:$H$14,2,FALSE),YES_Writing_ELA[#Headers],0)))="INS",'Writing Logic'!$B$7,IF(INDEX(_xlfn.VSTACK(YES_Writing_ELA[#Data],YES_Writing_FLA[#Data]),MATCH($A327,_xlfn.VSTACK(YES_Writing_ELA[Student Number],YES_Writing_FLA[Student Number]),0),MATCH(VLOOKUP(E$7,'Writing Logic'!$J$7:$K$11,2,FALSE)&amp;" - Per "&amp;VLOOKUP($C$4,'Writing Logic'!$G$8:$H$14,2,FALSE),YES_Writing_ELA[#Headers],0))=0,"",INDEX(_xlfn.VSTACK(YES_Writing_ELA[#Data],YES_Writing_FLA[#Data]),MATCH($A327,_xlfn.VSTACK(YES_Writing_ELA[Student Number],YES_Writing_FLA[Student Number]),0),MATCH(VLOOKUP(E$7,'Writing Logic'!$J$7:$K$11,2,FALSE)&amp;" - Per "&amp;VLOOKUP($C$4,'Writing Logic'!$G$8:$H$14,2,FALSE),YES_Writing_ELA[#Headers],0)))),"")</f>
        <v/>
      </c>
      <c r="F327" s="138" t="str">
        <f>IFERROR(IF(IF(INDEX(_xlfn.VSTACK(YES_Writing_ELA[#Data],YES_Writing_FLA[#Data]),MATCH($A327,_xlfn.VSTACK(YES_Writing_ELA[Student Number],YES_Writing_FLA[Student Number]),0),MATCH(VLOOKUP(F$7,'Writing Logic'!$J$7:$K$11,2,FALSE)&amp;" - Per "&amp;VLOOKUP($C$4,'Writing Logic'!$G$8:$H$14,2,FALSE),YES_Writing_ELA[#Headers],0))=0,"",INDEX(_xlfn.VSTACK(YES_Writing_ELA[#Data],YES_Writing_FLA[#Data]),MATCH($A327,_xlfn.VSTACK(YES_Writing_ELA[Student Number],YES_Writing_FLA[Student Number]),0),MATCH(VLOOKUP(F$7,'Writing Logic'!$J$7:$K$11,2,FALSE)&amp;" - Per "&amp;VLOOKUP($C$4,'Writing Logic'!$G$8:$H$14,2,FALSE),YES_Writing_ELA[#Headers],0)))="INS",'Writing Logic'!$B$7,IF(INDEX(_xlfn.VSTACK(YES_Writing_ELA[#Data],YES_Writing_FLA[#Data]),MATCH($A327,_xlfn.VSTACK(YES_Writing_ELA[Student Number],YES_Writing_FLA[Student Number]),0),MATCH(VLOOKUP(F$7,'Writing Logic'!$J$7:$K$11,2,FALSE)&amp;" - Per "&amp;VLOOKUP($C$4,'Writing Logic'!$G$8:$H$14,2,FALSE),YES_Writing_ELA[#Headers],0))=0,"",INDEX(_xlfn.VSTACK(YES_Writing_ELA[#Data],YES_Writing_FLA[#Data]),MATCH($A327,_xlfn.VSTACK(YES_Writing_ELA[Student Number],YES_Writing_FLA[Student Number]),0),MATCH(VLOOKUP(F$7,'Writing Logic'!$J$7:$K$11,2,FALSE)&amp;" - Per "&amp;VLOOKUP($C$4,'Writing Logic'!$G$8:$H$14,2,FALSE),YES_Writing_ELA[#Headers],0)))),"")</f>
        <v/>
      </c>
      <c r="G327" s="138" t="str">
        <f>IFERROR(IF(IF(INDEX(_xlfn.VSTACK(YES_Writing_ELA[#Data],YES_Writing_FLA[#Data]),MATCH($A327,_xlfn.VSTACK(YES_Writing_ELA[Student Number],YES_Writing_FLA[Student Number]),0),MATCH(VLOOKUP(G$7,'Writing Logic'!$J$7:$K$11,2,FALSE)&amp;" - Per "&amp;VLOOKUP($C$4,'Writing Logic'!$G$8:$H$14,2,FALSE),YES_Writing_ELA[#Headers],0))=0,"",INDEX(_xlfn.VSTACK(YES_Writing_ELA[#Data],YES_Writing_FLA[#Data]),MATCH($A327,_xlfn.VSTACK(YES_Writing_ELA[Student Number],YES_Writing_FLA[Student Number]),0),MATCH(VLOOKUP(G$7,'Writing Logic'!$J$7:$K$11,2,FALSE)&amp;" - Per "&amp;VLOOKUP($C$4,'Writing Logic'!$G$8:$H$14,2,FALSE),YES_Writing_ELA[#Headers],0)))="INS",'Writing Logic'!$B$7,IF(INDEX(_xlfn.VSTACK(YES_Writing_ELA[#Data],YES_Writing_FLA[#Data]),MATCH($A327,_xlfn.VSTACK(YES_Writing_ELA[Student Number],YES_Writing_FLA[Student Number]),0),MATCH(VLOOKUP(G$7,'Writing Logic'!$J$7:$K$11,2,FALSE)&amp;" - Per "&amp;VLOOKUP($C$4,'Writing Logic'!$G$8:$H$14,2,FALSE),YES_Writing_ELA[#Headers],0))=0,"",INDEX(_xlfn.VSTACK(YES_Writing_ELA[#Data],YES_Writing_FLA[#Data]),MATCH($A327,_xlfn.VSTACK(YES_Writing_ELA[Student Number],YES_Writing_FLA[Student Number]),0),MATCH(VLOOKUP(G$7,'Writing Logic'!$J$7:$K$11,2,FALSE)&amp;" - Per "&amp;VLOOKUP($C$4,'Writing Logic'!$G$8:$H$14,2,FALSE),YES_Writing_ELA[#Headers],0)))),"")</f>
        <v/>
      </c>
      <c r="H327" s="138" t="str">
        <f>IFERROR(IF(IF(INDEX(_xlfn.VSTACK(YES_Writing_ELA[#Data],YES_Writing_FLA[#Data]),MATCH($A327,_xlfn.VSTACK(YES_Writing_ELA[Student Number],YES_Writing_FLA[Student Number]),0),MATCH(VLOOKUP(H$7,'Writing Logic'!$J$7:$K$11,2,FALSE)&amp;" - Per "&amp;VLOOKUP($C$4,'Writing Logic'!$G$8:$H$14,2,FALSE),YES_Writing_ELA[#Headers],0))=0,"",INDEX(_xlfn.VSTACK(YES_Writing_ELA[#Data],YES_Writing_FLA[#Data]),MATCH($A327,_xlfn.VSTACK(YES_Writing_ELA[Student Number],YES_Writing_FLA[Student Number]),0),MATCH(VLOOKUP(H$7,'Writing Logic'!$J$7:$K$11,2,FALSE)&amp;" - Per "&amp;VLOOKUP($C$4,'Writing Logic'!$G$8:$H$14,2,FALSE),YES_Writing_ELA[#Headers],0)))="INS",'Writing Logic'!$B$7,IF(INDEX(_xlfn.VSTACK(YES_Writing_ELA[#Data],YES_Writing_FLA[#Data]),MATCH($A327,_xlfn.VSTACK(YES_Writing_ELA[Student Number],YES_Writing_FLA[Student Number]),0),MATCH(VLOOKUP(H$7,'Writing Logic'!$J$7:$K$11,2,FALSE)&amp;" - Per "&amp;VLOOKUP($C$4,'Writing Logic'!$G$8:$H$14,2,FALSE),YES_Writing_ELA[#Headers],0))=0,"",INDEX(_xlfn.VSTACK(YES_Writing_ELA[#Data],YES_Writing_FLA[#Data]),MATCH($A327,_xlfn.VSTACK(YES_Writing_ELA[Student Number],YES_Writing_FLA[Student Number]),0),MATCH(VLOOKUP(H$7,'Writing Logic'!$J$7:$K$11,2,FALSE)&amp;" - Per "&amp;VLOOKUP($C$4,'Writing Logic'!$G$8:$H$14,2,FALSE),YES_Writing_ELA[#Headers],0)))),"")</f>
        <v/>
      </c>
    </row>
    <row r="328" spans="1:8" x14ac:dyDescent="0.25">
      <c r="A328" s="137"/>
      <c r="B328" s="137" t="str">
        <f>IFERROR(INDEX(_xlfn.VSTACK(YES_Writing_ELA[#Data], YES_Writing_FLA[#Data]),MATCH($A328,_xlfn.VSTACK(YES_Writing_ELA[Student Number], YES_Writing_FLA[Student Number]),0),MATCH(B$7,YES_Writing_ELA[#Headers],0)),"")</f>
        <v/>
      </c>
      <c r="C328" s="137" t="str">
        <f>IFERROR(INDEX(_xlfn.VSTACK(YES_Writing_ELA[#Data], YES_Writing_FLA[#Data]),MATCH($A328,_xlfn.VSTACK(YES_Writing_ELA[Student Number], YES_Writing_FLA[Student Number]),0),MATCH(C$7,YES_Writing_ELA[#Headers],0)),"")</f>
        <v/>
      </c>
      <c r="D328" s="138" t="str">
        <f>IFERROR(IF(IF(INDEX(_xlfn.VSTACK(YES_Writing_ELA[#Data],YES_Writing_FLA[#Data]),MATCH($A328,_xlfn.VSTACK(YES_Writing_ELA[Student Number],YES_Writing_FLA[Student Number]),0),MATCH(VLOOKUP(D$7,'Writing Logic'!$J$7:$K$11,2,FALSE)&amp;" - Per "&amp;VLOOKUP($C$4,'Writing Logic'!$G$8:$H$14,2,FALSE),YES_Writing_ELA[#Headers],0))=0,"",INDEX(_xlfn.VSTACK(YES_Writing_ELA[#Data],YES_Writing_FLA[#Data]),MATCH($A328,_xlfn.VSTACK(YES_Writing_ELA[Student Number],YES_Writing_FLA[Student Number]),0),MATCH(VLOOKUP(D$7,'Writing Logic'!$J$7:$K$11,2,FALSE)&amp;" - Per "&amp;VLOOKUP($C$4,'Writing Logic'!$G$8:$H$14,2,FALSE),YES_Writing_ELA[#Headers],0)))="INS",'Writing Logic'!$B$7,IF(INDEX(_xlfn.VSTACK(YES_Writing_ELA[#Data],YES_Writing_FLA[#Data]),MATCH($A328,_xlfn.VSTACK(YES_Writing_ELA[Student Number],YES_Writing_FLA[Student Number]),0),MATCH(VLOOKUP(D$7,'Writing Logic'!$J$7:$K$11,2,FALSE)&amp;" - Per "&amp;VLOOKUP($C$4,'Writing Logic'!$G$8:$H$14,2,FALSE),YES_Writing_ELA[#Headers],0))=0,"",INDEX(_xlfn.VSTACK(YES_Writing_ELA[#Data],YES_Writing_FLA[#Data]),MATCH($A328,_xlfn.VSTACK(YES_Writing_ELA[Student Number],YES_Writing_FLA[Student Number]),0),MATCH(VLOOKUP(D$7,'Writing Logic'!$J$7:$K$11,2,FALSE)&amp;" - Per "&amp;VLOOKUP($C$4,'Writing Logic'!$G$8:$H$14,2,FALSE),YES_Writing_ELA[#Headers],0)))),"")</f>
        <v/>
      </c>
      <c r="E328" s="138" t="str">
        <f>IFERROR(IF(IF(INDEX(_xlfn.VSTACK(YES_Writing_ELA[#Data],YES_Writing_FLA[#Data]),MATCH($A328,_xlfn.VSTACK(YES_Writing_ELA[Student Number],YES_Writing_FLA[Student Number]),0),MATCH(VLOOKUP(E$7,'Writing Logic'!$J$7:$K$11,2,FALSE)&amp;" - Per "&amp;VLOOKUP($C$4,'Writing Logic'!$G$8:$H$14,2,FALSE),YES_Writing_ELA[#Headers],0))=0,"",INDEX(_xlfn.VSTACK(YES_Writing_ELA[#Data],YES_Writing_FLA[#Data]),MATCH($A328,_xlfn.VSTACK(YES_Writing_ELA[Student Number],YES_Writing_FLA[Student Number]),0),MATCH(VLOOKUP(E$7,'Writing Logic'!$J$7:$K$11,2,FALSE)&amp;" - Per "&amp;VLOOKUP($C$4,'Writing Logic'!$G$8:$H$14,2,FALSE),YES_Writing_ELA[#Headers],0)))="INS",'Writing Logic'!$B$7,IF(INDEX(_xlfn.VSTACK(YES_Writing_ELA[#Data],YES_Writing_FLA[#Data]),MATCH($A328,_xlfn.VSTACK(YES_Writing_ELA[Student Number],YES_Writing_FLA[Student Number]),0),MATCH(VLOOKUP(E$7,'Writing Logic'!$J$7:$K$11,2,FALSE)&amp;" - Per "&amp;VLOOKUP($C$4,'Writing Logic'!$G$8:$H$14,2,FALSE),YES_Writing_ELA[#Headers],0))=0,"",INDEX(_xlfn.VSTACK(YES_Writing_ELA[#Data],YES_Writing_FLA[#Data]),MATCH($A328,_xlfn.VSTACK(YES_Writing_ELA[Student Number],YES_Writing_FLA[Student Number]),0),MATCH(VLOOKUP(E$7,'Writing Logic'!$J$7:$K$11,2,FALSE)&amp;" - Per "&amp;VLOOKUP($C$4,'Writing Logic'!$G$8:$H$14,2,FALSE),YES_Writing_ELA[#Headers],0)))),"")</f>
        <v/>
      </c>
      <c r="F328" s="138" t="str">
        <f>IFERROR(IF(IF(INDEX(_xlfn.VSTACK(YES_Writing_ELA[#Data],YES_Writing_FLA[#Data]),MATCH($A328,_xlfn.VSTACK(YES_Writing_ELA[Student Number],YES_Writing_FLA[Student Number]),0),MATCH(VLOOKUP(F$7,'Writing Logic'!$J$7:$K$11,2,FALSE)&amp;" - Per "&amp;VLOOKUP($C$4,'Writing Logic'!$G$8:$H$14,2,FALSE),YES_Writing_ELA[#Headers],0))=0,"",INDEX(_xlfn.VSTACK(YES_Writing_ELA[#Data],YES_Writing_FLA[#Data]),MATCH($A328,_xlfn.VSTACK(YES_Writing_ELA[Student Number],YES_Writing_FLA[Student Number]),0),MATCH(VLOOKUP(F$7,'Writing Logic'!$J$7:$K$11,2,FALSE)&amp;" - Per "&amp;VLOOKUP($C$4,'Writing Logic'!$G$8:$H$14,2,FALSE),YES_Writing_ELA[#Headers],0)))="INS",'Writing Logic'!$B$7,IF(INDEX(_xlfn.VSTACK(YES_Writing_ELA[#Data],YES_Writing_FLA[#Data]),MATCH($A328,_xlfn.VSTACK(YES_Writing_ELA[Student Number],YES_Writing_FLA[Student Number]),0),MATCH(VLOOKUP(F$7,'Writing Logic'!$J$7:$K$11,2,FALSE)&amp;" - Per "&amp;VLOOKUP($C$4,'Writing Logic'!$G$8:$H$14,2,FALSE),YES_Writing_ELA[#Headers],0))=0,"",INDEX(_xlfn.VSTACK(YES_Writing_ELA[#Data],YES_Writing_FLA[#Data]),MATCH($A328,_xlfn.VSTACK(YES_Writing_ELA[Student Number],YES_Writing_FLA[Student Number]),0),MATCH(VLOOKUP(F$7,'Writing Logic'!$J$7:$K$11,2,FALSE)&amp;" - Per "&amp;VLOOKUP($C$4,'Writing Logic'!$G$8:$H$14,2,FALSE),YES_Writing_ELA[#Headers],0)))),"")</f>
        <v/>
      </c>
      <c r="G328" s="138" t="str">
        <f>IFERROR(IF(IF(INDEX(_xlfn.VSTACK(YES_Writing_ELA[#Data],YES_Writing_FLA[#Data]),MATCH($A328,_xlfn.VSTACK(YES_Writing_ELA[Student Number],YES_Writing_FLA[Student Number]),0),MATCH(VLOOKUP(G$7,'Writing Logic'!$J$7:$K$11,2,FALSE)&amp;" - Per "&amp;VLOOKUP($C$4,'Writing Logic'!$G$8:$H$14,2,FALSE),YES_Writing_ELA[#Headers],0))=0,"",INDEX(_xlfn.VSTACK(YES_Writing_ELA[#Data],YES_Writing_FLA[#Data]),MATCH($A328,_xlfn.VSTACK(YES_Writing_ELA[Student Number],YES_Writing_FLA[Student Number]),0),MATCH(VLOOKUP(G$7,'Writing Logic'!$J$7:$K$11,2,FALSE)&amp;" - Per "&amp;VLOOKUP($C$4,'Writing Logic'!$G$8:$H$14,2,FALSE),YES_Writing_ELA[#Headers],0)))="INS",'Writing Logic'!$B$7,IF(INDEX(_xlfn.VSTACK(YES_Writing_ELA[#Data],YES_Writing_FLA[#Data]),MATCH($A328,_xlfn.VSTACK(YES_Writing_ELA[Student Number],YES_Writing_FLA[Student Number]),0),MATCH(VLOOKUP(G$7,'Writing Logic'!$J$7:$K$11,2,FALSE)&amp;" - Per "&amp;VLOOKUP($C$4,'Writing Logic'!$G$8:$H$14,2,FALSE),YES_Writing_ELA[#Headers],0))=0,"",INDEX(_xlfn.VSTACK(YES_Writing_ELA[#Data],YES_Writing_FLA[#Data]),MATCH($A328,_xlfn.VSTACK(YES_Writing_ELA[Student Number],YES_Writing_FLA[Student Number]),0),MATCH(VLOOKUP(G$7,'Writing Logic'!$J$7:$K$11,2,FALSE)&amp;" - Per "&amp;VLOOKUP($C$4,'Writing Logic'!$G$8:$H$14,2,FALSE),YES_Writing_ELA[#Headers],0)))),"")</f>
        <v/>
      </c>
      <c r="H328" s="138" t="str">
        <f>IFERROR(IF(IF(INDEX(_xlfn.VSTACK(YES_Writing_ELA[#Data],YES_Writing_FLA[#Data]),MATCH($A328,_xlfn.VSTACK(YES_Writing_ELA[Student Number],YES_Writing_FLA[Student Number]),0),MATCH(VLOOKUP(H$7,'Writing Logic'!$J$7:$K$11,2,FALSE)&amp;" - Per "&amp;VLOOKUP($C$4,'Writing Logic'!$G$8:$H$14,2,FALSE),YES_Writing_ELA[#Headers],0))=0,"",INDEX(_xlfn.VSTACK(YES_Writing_ELA[#Data],YES_Writing_FLA[#Data]),MATCH($A328,_xlfn.VSTACK(YES_Writing_ELA[Student Number],YES_Writing_FLA[Student Number]),0),MATCH(VLOOKUP(H$7,'Writing Logic'!$J$7:$K$11,2,FALSE)&amp;" - Per "&amp;VLOOKUP($C$4,'Writing Logic'!$G$8:$H$14,2,FALSE),YES_Writing_ELA[#Headers],0)))="INS",'Writing Logic'!$B$7,IF(INDEX(_xlfn.VSTACK(YES_Writing_ELA[#Data],YES_Writing_FLA[#Data]),MATCH($A328,_xlfn.VSTACK(YES_Writing_ELA[Student Number],YES_Writing_FLA[Student Number]),0),MATCH(VLOOKUP(H$7,'Writing Logic'!$J$7:$K$11,2,FALSE)&amp;" - Per "&amp;VLOOKUP($C$4,'Writing Logic'!$G$8:$H$14,2,FALSE),YES_Writing_ELA[#Headers],0))=0,"",INDEX(_xlfn.VSTACK(YES_Writing_ELA[#Data],YES_Writing_FLA[#Data]),MATCH($A328,_xlfn.VSTACK(YES_Writing_ELA[Student Number],YES_Writing_FLA[Student Number]),0),MATCH(VLOOKUP(H$7,'Writing Logic'!$J$7:$K$11,2,FALSE)&amp;" - Per "&amp;VLOOKUP($C$4,'Writing Logic'!$G$8:$H$14,2,FALSE),YES_Writing_ELA[#Headers],0)))),"")</f>
        <v/>
      </c>
    </row>
    <row r="329" spans="1:8" x14ac:dyDescent="0.25">
      <c r="A329" s="137"/>
      <c r="B329" s="137" t="str">
        <f>IFERROR(INDEX(_xlfn.VSTACK(YES_Writing_ELA[#Data], YES_Writing_FLA[#Data]),MATCH($A329,_xlfn.VSTACK(YES_Writing_ELA[Student Number], YES_Writing_FLA[Student Number]),0),MATCH(B$7,YES_Writing_ELA[#Headers],0)),"")</f>
        <v/>
      </c>
      <c r="C329" s="137" t="str">
        <f>IFERROR(INDEX(_xlfn.VSTACK(YES_Writing_ELA[#Data], YES_Writing_FLA[#Data]),MATCH($A329,_xlfn.VSTACK(YES_Writing_ELA[Student Number], YES_Writing_FLA[Student Number]),0),MATCH(C$7,YES_Writing_ELA[#Headers],0)),"")</f>
        <v/>
      </c>
      <c r="D329" s="138" t="str">
        <f>IFERROR(IF(IF(INDEX(_xlfn.VSTACK(YES_Writing_ELA[#Data],YES_Writing_FLA[#Data]),MATCH($A329,_xlfn.VSTACK(YES_Writing_ELA[Student Number],YES_Writing_FLA[Student Number]),0),MATCH(VLOOKUP(D$7,'Writing Logic'!$J$7:$K$11,2,FALSE)&amp;" - Per "&amp;VLOOKUP($C$4,'Writing Logic'!$G$8:$H$14,2,FALSE),YES_Writing_ELA[#Headers],0))=0,"",INDEX(_xlfn.VSTACK(YES_Writing_ELA[#Data],YES_Writing_FLA[#Data]),MATCH($A329,_xlfn.VSTACK(YES_Writing_ELA[Student Number],YES_Writing_FLA[Student Number]),0),MATCH(VLOOKUP(D$7,'Writing Logic'!$J$7:$K$11,2,FALSE)&amp;" - Per "&amp;VLOOKUP($C$4,'Writing Logic'!$G$8:$H$14,2,FALSE),YES_Writing_ELA[#Headers],0)))="INS",'Writing Logic'!$B$7,IF(INDEX(_xlfn.VSTACK(YES_Writing_ELA[#Data],YES_Writing_FLA[#Data]),MATCH($A329,_xlfn.VSTACK(YES_Writing_ELA[Student Number],YES_Writing_FLA[Student Number]),0),MATCH(VLOOKUP(D$7,'Writing Logic'!$J$7:$K$11,2,FALSE)&amp;" - Per "&amp;VLOOKUP($C$4,'Writing Logic'!$G$8:$H$14,2,FALSE),YES_Writing_ELA[#Headers],0))=0,"",INDEX(_xlfn.VSTACK(YES_Writing_ELA[#Data],YES_Writing_FLA[#Data]),MATCH($A329,_xlfn.VSTACK(YES_Writing_ELA[Student Number],YES_Writing_FLA[Student Number]),0),MATCH(VLOOKUP(D$7,'Writing Logic'!$J$7:$K$11,2,FALSE)&amp;" - Per "&amp;VLOOKUP($C$4,'Writing Logic'!$G$8:$H$14,2,FALSE),YES_Writing_ELA[#Headers],0)))),"")</f>
        <v/>
      </c>
      <c r="E329" s="138" t="str">
        <f>IFERROR(IF(IF(INDEX(_xlfn.VSTACK(YES_Writing_ELA[#Data],YES_Writing_FLA[#Data]),MATCH($A329,_xlfn.VSTACK(YES_Writing_ELA[Student Number],YES_Writing_FLA[Student Number]),0),MATCH(VLOOKUP(E$7,'Writing Logic'!$J$7:$K$11,2,FALSE)&amp;" - Per "&amp;VLOOKUP($C$4,'Writing Logic'!$G$8:$H$14,2,FALSE),YES_Writing_ELA[#Headers],0))=0,"",INDEX(_xlfn.VSTACK(YES_Writing_ELA[#Data],YES_Writing_FLA[#Data]),MATCH($A329,_xlfn.VSTACK(YES_Writing_ELA[Student Number],YES_Writing_FLA[Student Number]),0),MATCH(VLOOKUP(E$7,'Writing Logic'!$J$7:$K$11,2,FALSE)&amp;" - Per "&amp;VLOOKUP($C$4,'Writing Logic'!$G$8:$H$14,2,FALSE),YES_Writing_ELA[#Headers],0)))="INS",'Writing Logic'!$B$7,IF(INDEX(_xlfn.VSTACK(YES_Writing_ELA[#Data],YES_Writing_FLA[#Data]),MATCH($A329,_xlfn.VSTACK(YES_Writing_ELA[Student Number],YES_Writing_FLA[Student Number]),0),MATCH(VLOOKUP(E$7,'Writing Logic'!$J$7:$K$11,2,FALSE)&amp;" - Per "&amp;VLOOKUP($C$4,'Writing Logic'!$G$8:$H$14,2,FALSE),YES_Writing_ELA[#Headers],0))=0,"",INDEX(_xlfn.VSTACK(YES_Writing_ELA[#Data],YES_Writing_FLA[#Data]),MATCH($A329,_xlfn.VSTACK(YES_Writing_ELA[Student Number],YES_Writing_FLA[Student Number]),0),MATCH(VLOOKUP(E$7,'Writing Logic'!$J$7:$K$11,2,FALSE)&amp;" - Per "&amp;VLOOKUP($C$4,'Writing Logic'!$G$8:$H$14,2,FALSE),YES_Writing_ELA[#Headers],0)))),"")</f>
        <v/>
      </c>
      <c r="F329" s="138" t="str">
        <f>IFERROR(IF(IF(INDEX(_xlfn.VSTACK(YES_Writing_ELA[#Data],YES_Writing_FLA[#Data]),MATCH($A329,_xlfn.VSTACK(YES_Writing_ELA[Student Number],YES_Writing_FLA[Student Number]),0),MATCH(VLOOKUP(F$7,'Writing Logic'!$J$7:$K$11,2,FALSE)&amp;" - Per "&amp;VLOOKUP($C$4,'Writing Logic'!$G$8:$H$14,2,FALSE),YES_Writing_ELA[#Headers],0))=0,"",INDEX(_xlfn.VSTACK(YES_Writing_ELA[#Data],YES_Writing_FLA[#Data]),MATCH($A329,_xlfn.VSTACK(YES_Writing_ELA[Student Number],YES_Writing_FLA[Student Number]),0),MATCH(VLOOKUP(F$7,'Writing Logic'!$J$7:$K$11,2,FALSE)&amp;" - Per "&amp;VLOOKUP($C$4,'Writing Logic'!$G$8:$H$14,2,FALSE),YES_Writing_ELA[#Headers],0)))="INS",'Writing Logic'!$B$7,IF(INDEX(_xlfn.VSTACK(YES_Writing_ELA[#Data],YES_Writing_FLA[#Data]),MATCH($A329,_xlfn.VSTACK(YES_Writing_ELA[Student Number],YES_Writing_FLA[Student Number]),0),MATCH(VLOOKUP(F$7,'Writing Logic'!$J$7:$K$11,2,FALSE)&amp;" - Per "&amp;VLOOKUP($C$4,'Writing Logic'!$G$8:$H$14,2,FALSE),YES_Writing_ELA[#Headers],0))=0,"",INDEX(_xlfn.VSTACK(YES_Writing_ELA[#Data],YES_Writing_FLA[#Data]),MATCH($A329,_xlfn.VSTACK(YES_Writing_ELA[Student Number],YES_Writing_FLA[Student Number]),0),MATCH(VLOOKUP(F$7,'Writing Logic'!$J$7:$K$11,2,FALSE)&amp;" - Per "&amp;VLOOKUP($C$4,'Writing Logic'!$G$8:$H$14,2,FALSE),YES_Writing_ELA[#Headers],0)))),"")</f>
        <v/>
      </c>
      <c r="G329" s="138" t="str">
        <f>IFERROR(IF(IF(INDEX(_xlfn.VSTACK(YES_Writing_ELA[#Data],YES_Writing_FLA[#Data]),MATCH($A329,_xlfn.VSTACK(YES_Writing_ELA[Student Number],YES_Writing_FLA[Student Number]),0),MATCH(VLOOKUP(G$7,'Writing Logic'!$J$7:$K$11,2,FALSE)&amp;" - Per "&amp;VLOOKUP($C$4,'Writing Logic'!$G$8:$H$14,2,FALSE),YES_Writing_ELA[#Headers],0))=0,"",INDEX(_xlfn.VSTACK(YES_Writing_ELA[#Data],YES_Writing_FLA[#Data]),MATCH($A329,_xlfn.VSTACK(YES_Writing_ELA[Student Number],YES_Writing_FLA[Student Number]),0),MATCH(VLOOKUP(G$7,'Writing Logic'!$J$7:$K$11,2,FALSE)&amp;" - Per "&amp;VLOOKUP($C$4,'Writing Logic'!$G$8:$H$14,2,FALSE),YES_Writing_ELA[#Headers],0)))="INS",'Writing Logic'!$B$7,IF(INDEX(_xlfn.VSTACK(YES_Writing_ELA[#Data],YES_Writing_FLA[#Data]),MATCH($A329,_xlfn.VSTACK(YES_Writing_ELA[Student Number],YES_Writing_FLA[Student Number]),0),MATCH(VLOOKUP(G$7,'Writing Logic'!$J$7:$K$11,2,FALSE)&amp;" - Per "&amp;VLOOKUP($C$4,'Writing Logic'!$G$8:$H$14,2,FALSE),YES_Writing_ELA[#Headers],0))=0,"",INDEX(_xlfn.VSTACK(YES_Writing_ELA[#Data],YES_Writing_FLA[#Data]),MATCH($A329,_xlfn.VSTACK(YES_Writing_ELA[Student Number],YES_Writing_FLA[Student Number]),0),MATCH(VLOOKUP(G$7,'Writing Logic'!$J$7:$K$11,2,FALSE)&amp;" - Per "&amp;VLOOKUP($C$4,'Writing Logic'!$G$8:$H$14,2,FALSE),YES_Writing_ELA[#Headers],0)))),"")</f>
        <v/>
      </c>
      <c r="H329" s="138" t="str">
        <f>IFERROR(IF(IF(INDEX(_xlfn.VSTACK(YES_Writing_ELA[#Data],YES_Writing_FLA[#Data]),MATCH($A329,_xlfn.VSTACK(YES_Writing_ELA[Student Number],YES_Writing_FLA[Student Number]),0),MATCH(VLOOKUP(H$7,'Writing Logic'!$J$7:$K$11,2,FALSE)&amp;" - Per "&amp;VLOOKUP($C$4,'Writing Logic'!$G$8:$H$14,2,FALSE),YES_Writing_ELA[#Headers],0))=0,"",INDEX(_xlfn.VSTACK(YES_Writing_ELA[#Data],YES_Writing_FLA[#Data]),MATCH($A329,_xlfn.VSTACK(YES_Writing_ELA[Student Number],YES_Writing_FLA[Student Number]),0),MATCH(VLOOKUP(H$7,'Writing Logic'!$J$7:$K$11,2,FALSE)&amp;" - Per "&amp;VLOOKUP($C$4,'Writing Logic'!$G$8:$H$14,2,FALSE),YES_Writing_ELA[#Headers],0)))="INS",'Writing Logic'!$B$7,IF(INDEX(_xlfn.VSTACK(YES_Writing_ELA[#Data],YES_Writing_FLA[#Data]),MATCH($A329,_xlfn.VSTACK(YES_Writing_ELA[Student Number],YES_Writing_FLA[Student Number]),0),MATCH(VLOOKUP(H$7,'Writing Logic'!$J$7:$K$11,2,FALSE)&amp;" - Per "&amp;VLOOKUP($C$4,'Writing Logic'!$G$8:$H$14,2,FALSE),YES_Writing_ELA[#Headers],0))=0,"",INDEX(_xlfn.VSTACK(YES_Writing_ELA[#Data],YES_Writing_FLA[#Data]),MATCH($A329,_xlfn.VSTACK(YES_Writing_ELA[Student Number],YES_Writing_FLA[Student Number]),0),MATCH(VLOOKUP(H$7,'Writing Logic'!$J$7:$K$11,2,FALSE)&amp;" - Per "&amp;VLOOKUP($C$4,'Writing Logic'!$G$8:$H$14,2,FALSE),YES_Writing_ELA[#Headers],0)))),"")</f>
        <v/>
      </c>
    </row>
    <row r="330" spans="1:8" x14ac:dyDescent="0.25">
      <c r="A330" s="137"/>
      <c r="B330" s="137" t="str">
        <f>IFERROR(INDEX(_xlfn.VSTACK(YES_Writing_ELA[#Data], YES_Writing_FLA[#Data]),MATCH($A330,_xlfn.VSTACK(YES_Writing_ELA[Student Number], YES_Writing_FLA[Student Number]),0),MATCH(B$7,YES_Writing_ELA[#Headers],0)),"")</f>
        <v/>
      </c>
      <c r="C330" s="137" t="str">
        <f>IFERROR(INDEX(_xlfn.VSTACK(YES_Writing_ELA[#Data], YES_Writing_FLA[#Data]),MATCH($A330,_xlfn.VSTACK(YES_Writing_ELA[Student Number], YES_Writing_FLA[Student Number]),0),MATCH(C$7,YES_Writing_ELA[#Headers],0)),"")</f>
        <v/>
      </c>
      <c r="D330" s="138" t="str">
        <f>IFERROR(IF(IF(INDEX(_xlfn.VSTACK(YES_Writing_ELA[#Data],YES_Writing_FLA[#Data]),MATCH($A330,_xlfn.VSTACK(YES_Writing_ELA[Student Number],YES_Writing_FLA[Student Number]),0),MATCH(VLOOKUP(D$7,'Writing Logic'!$J$7:$K$11,2,FALSE)&amp;" - Per "&amp;VLOOKUP($C$4,'Writing Logic'!$G$8:$H$14,2,FALSE),YES_Writing_ELA[#Headers],0))=0,"",INDEX(_xlfn.VSTACK(YES_Writing_ELA[#Data],YES_Writing_FLA[#Data]),MATCH($A330,_xlfn.VSTACK(YES_Writing_ELA[Student Number],YES_Writing_FLA[Student Number]),0),MATCH(VLOOKUP(D$7,'Writing Logic'!$J$7:$K$11,2,FALSE)&amp;" - Per "&amp;VLOOKUP($C$4,'Writing Logic'!$G$8:$H$14,2,FALSE),YES_Writing_ELA[#Headers],0)))="INS",'Writing Logic'!$B$7,IF(INDEX(_xlfn.VSTACK(YES_Writing_ELA[#Data],YES_Writing_FLA[#Data]),MATCH($A330,_xlfn.VSTACK(YES_Writing_ELA[Student Number],YES_Writing_FLA[Student Number]),0),MATCH(VLOOKUP(D$7,'Writing Logic'!$J$7:$K$11,2,FALSE)&amp;" - Per "&amp;VLOOKUP($C$4,'Writing Logic'!$G$8:$H$14,2,FALSE),YES_Writing_ELA[#Headers],0))=0,"",INDEX(_xlfn.VSTACK(YES_Writing_ELA[#Data],YES_Writing_FLA[#Data]),MATCH($A330,_xlfn.VSTACK(YES_Writing_ELA[Student Number],YES_Writing_FLA[Student Number]),0),MATCH(VLOOKUP(D$7,'Writing Logic'!$J$7:$K$11,2,FALSE)&amp;" - Per "&amp;VLOOKUP($C$4,'Writing Logic'!$G$8:$H$14,2,FALSE),YES_Writing_ELA[#Headers],0)))),"")</f>
        <v/>
      </c>
      <c r="E330" s="138" t="str">
        <f>IFERROR(IF(IF(INDEX(_xlfn.VSTACK(YES_Writing_ELA[#Data],YES_Writing_FLA[#Data]),MATCH($A330,_xlfn.VSTACK(YES_Writing_ELA[Student Number],YES_Writing_FLA[Student Number]),0),MATCH(VLOOKUP(E$7,'Writing Logic'!$J$7:$K$11,2,FALSE)&amp;" - Per "&amp;VLOOKUP($C$4,'Writing Logic'!$G$8:$H$14,2,FALSE),YES_Writing_ELA[#Headers],0))=0,"",INDEX(_xlfn.VSTACK(YES_Writing_ELA[#Data],YES_Writing_FLA[#Data]),MATCH($A330,_xlfn.VSTACK(YES_Writing_ELA[Student Number],YES_Writing_FLA[Student Number]),0),MATCH(VLOOKUP(E$7,'Writing Logic'!$J$7:$K$11,2,FALSE)&amp;" - Per "&amp;VLOOKUP($C$4,'Writing Logic'!$G$8:$H$14,2,FALSE),YES_Writing_ELA[#Headers],0)))="INS",'Writing Logic'!$B$7,IF(INDEX(_xlfn.VSTACK(YES_Writing_ELA[#Data],YES_Writing_FLA[#Data]),MATCH($A330,_xlfn.VSTACK(YES_Writing_ELA[Student Number],YES_Writing_FLA[Student Number]),0),MATCH(VLOOKUP(E$7,'Writing Logic'!$J$7:$K$11,2,FALSE)&amp;" - Per "&amp;VLOOKUP($C$4,'Writing Logic'!$G$8:$H$14,2,FALSE),YES_Writing_ELA[#Headers],0))=0,"",INDEX(_xlfn.VSTACK(YES_Writing_ELA[#Data],YES_Writing_FLA[#Data]),MATCH($A330,_xlfn.VSTACK(YES_Writing_ELA[Student Number],YES_Writing_FLA[Student Number]),0),MATCH(VLOOKUP(E$7,'Writing Logic'!$J$7:$K$11,2,FALSE)&amp;" - Per "&amp;VLOOKUP($C$4,'Writing Logic'!$G$8:$H$14,2,FALSE),YES_Writing_ELA[#Headers],0)))),"")</f>
        <v/>
      </c>
      <c r="F330" s="138" t="str">
        <f>IFERROR(IF(IF(INDEX(_xlfn.VSTACK(YES_Writing_ELA[#Data],YES_Writing_FLA[#Data]),MATCH($A330,_xlfn.VSTACK(YES_Writing_ELA[Student Number],YES_Writing_FLA[Student Number]),0),MATCH(VLOOKUP(F$7,'Writing Logic'!$J$7:$K$11,2,FALSE)&amp;" - Per "&amp;VLOOKUP($C$4,'Writing Logic'!$G$8:$H$14,2,FALSE),YES_Writing_ELA[#Headers],0))=0,"",INDEX(_xlfn.VSTACK(YES_Writing_ELA[#Data],YES_Writing_FLA[#Data]),MATCH($A330,_xlfn.VSTACK(YES_Writing_ELA[Student Number],YES_Writing_FLA[Student Number]),0),MATCH(VLOOKUP(F$7,'Writing Logic'!$J$7:$K$11,2,FALSE)&amp;" - Per "&amp;VLOOKUP($C$4,'Writing Logic'!$G$8:$H$14,2,FALSE),YES_Writing_ELA[#Headers],0)))="INS",'Writing Logic'!$B$7,IF(INDEX(_xlfn.VSTACK(YES_Writing_ELA[#Data],YES_Writing_FLA[#Data]),MATCH($A330,_xlfn.VSTACK(YES_Writing_ELA[Student Number],YES_Writing_FLA[Student Number]),0),MATCH(VLOOKUP(F$7,'Writing Logic'!$J$7:$K$11,2,FALSE)&amp;" - Per "&amp;VLOOKUP($C$4,'Writing Logic'!$G$8:$H$14,2,FALSE),YES_Writing_ELA[#Headers],0))=0,"",INDEX(_xlfn.VSTACK(YES_Writing_ELA[#Data],YES_Writing_FLA[#Data]),MATCH($A330,_xlfn.VSTACK(YES_Writing_ELA[Student Number],YES_Writing_FLA[Student Number]),0),MATCH(VLOOKUP(F$7,'Writing Logic'!$J$7:$K$11,2,FALSE)&amp;" - Per "&amp;VLOOKUP($C$4,'Writing Logic'!$G$8:$H$14,2,FALSE),YES_Writing_ELA[#Headers],0)))),"")</f>
        <v/>
      </c>
      <c r="G330" s="138" t="str">
        <f>IFERROR(IF(IF(INDEX(_xlfn.VSTACK(YES_Writing_ELA[#Data],YES_Writing_FLA[#Data]),MATCH($A330,_xlfn.VSTACK(YES_Writing_ELA[Student Number],YES_Writing_FLA[Student Number]),0),MATCH(VLOOKUP(G$7,'Writing Logic'!$J$7:$K$11,2,FALSE)&amp;" - Per "&amp;VLOOKUP($C$4,'Writing Logic'!$G$8:$H$14,2,FALSE),YES_Writing_ELA[#Headers],0))=0,"",INDEX(_xlfn.VSTACK(YES_Writing_ELA[#Data],YES_Writing_FLA[#Data]),MATCH($A330,_xlfn.VSTACK(YES_Writing_ELA[Student Number],YES_Writing_FLA[Student Number]),0),MATCH(VLOOKUP(G$7,'Writing Logic'!$J$7:$K$11,2,FALSE)&amp;" - Per "&amp;VLOOKUP($C$4,'Writing Logic'!$G$8:$H$14,2,FALSE),YES_Writing_ELA[#Headers],0)))="INS",'Writing Logic'!$B$7,IF(INDEX(_xlfn.VSTACK(YES_Writing_ELA[#Data],YES_Writing_FLA[#Data]),MATCH($A330,_xlfn.VSTACK(YES_Writing_ELA[Student Number],YES_Writing_FLA[Student Number]),0),MATCH(VLOOKUP(G$7,'Writing Logic'!$J$7:$K$11,2,FALSE)&amp;" - Per "&amp;VLOOKUP($C$4,'Writing Logic'!$G$8:$H$14,2,FALSE),YES_Writing_ELA[#Headers],0))=0,"",INDEX(_xlfn.VSTACK(YES_Writing_ELA[#Data],YES_Writing_FLA[#Data]),MATCH($A330,_xlfn.VSTACK(YES_Writing_ELA[Student Number],YES_Writing_FLA[Student Number]),0),MATCH(VLOOKUP(G$7,'Writing Logic'!$J$7:$K$11,2,FALSE)&amp;" - Per "&amp;VLOOKUP($C$4,'Writing Logic'!$G$8:$H$14,2,FALSE),YES_Writing_ELA[#Headers],0)))),"")</f>
        <v/>
      </c>
      <c r="H330" s="138" t="str">
        <f>IFERROR(IF(IF(INDEX(_xlfn.VSTACK(YES_Writing_ELA[#Data],YES_Writing_FLA[#Data]),MATCH($A330,_xlfn.VSTACK(YES_Writing_ELA[Student Number],YES_Writing_FLA[Student Number]),0),MATCH(VLOOKUP(H$7,'Writing Logic'!$J$7:$K$11,2,FALSE)&amp;" - Per "&amp;VLOOKUP($C$4,'Writing Logic'!$G$8:$H$14,2,FALSE),YES_Writing_ELA[#Headers],0))=0,"",INDEX(_xlfn.VSTACK(YES_Writing_ELA[#Data],YES_Writing_FLA[#Data]),MATCH($A330,_xlfn.VSTACK(YES_Writing_ELA[Student Number],YES_Writing_FLA[Student Number]),0),MATCH(VLOOKUP(H$7,'Writing Logic'!$J$7:$K$11,2,FALSE)&amp;" - Per "&amp;VLOOKUP($C$4,'Writing Logic'!$G$8:$H$14,2,FALSE),YES_Writing_ELA[#Headers],0)))="INS",'Writing Logic'!$B$7,IF(INDEX(_xlfn.VSTACK(YES_Writing_ELA[#Data],YES_Writing_FLA[#Data]),MATCH($A330,_xlfn.VSTACK(YES_Writing_ELA[Student Number],YES_Writing_FLA[Student Number]),0),MATCH(VLOOKUP(H$7,'Writing Logic'!$J$7:$K$11,2,FALSE)&amp;" - Per "&amp;VLOOKUP($C$4,'Writing Logic'!$G$8:$H$14,2,FALSE),YES_Writing_ELA[#Headers],0))=0,"",INDEX(_xlfn.VSTACK(YES_Writing_ELA[#Data],YES_Writing_FLA[#Data]),MATCH($A330,_xlfn.VSTACK(YES_Writing_ELA[Student Number],YES_Writing_FLA[Student Number]),0),MATCH(VLOOKUP(H$7,'Writing Logic'!$J$7:$K$11,2,FALSE)&amp;" - Per "&amp;VLOOKUP($C$4,'Writing Logic'!$G$8:$H$14,2,FALSE),YES_Writing_ELA[#Headers],0)))),"")</f>
        <v/>
      </c>
    </row>
    <row r="331" spans="1:8" x14ac:dyDescent="0.25">
      <c r="A331" s="137"/>
      <c r="B331" s="137" t="str">
        <f>IFERROR(INDEX(_xlfn.VSTACK(YES_Writing_ELA[#Data], YES_Writing_FLA[#Data]),MATCH($A331,_xlfn.VSTACK(YES_Writing_ELA[Student Number], YES_Writing_FLA[Student Number]),0),MATCH(B$7,YES_Writing_ELA[#Headers],0)),"")</f>
        <v/>
      </c>
      <c r="C331" s="137" t="str">
        <f>IFERROR(INDEX(_xlfn.VSTACK(YES_Writing_ELA[#Data], YES_Writing_FLA[#Data]),MATCH($A331,_xlfn.VSTACK(YES_Writing_ELA[Student Number], YES_Writing_FLA[Student Number]),0),MATCH(C$7,YES_Writing_ELA[#Headers],0)),"")</f>
        <v/>
      </c>
      <c r="D331" s="138" t="str">
        <f>IFERROR(IF(IF(INDEX(_xlfn.VSTACK(YES_Writing_ELA[#Data],YES_Writing_FLA[#Data]),MATCH($A331,_xlfn.VSTACK(YES_Writing_ELA[Student Number],YES_Writing_FLA[Student Number]),0),MATCH(VLOOKUP(D$7,'Writing Logic'!$J$7:$K$11,2,FALSE)&amp;" - Per "&amp;VLOOKUP($C$4,'Writing Logic'!$G$8:$H$14,2,FALSE),YES_Writing_ELA[#Headers],0))=0,"",INDEX(_xlfn.VSTACK(YES_Writing_ELA[#Data],YES_Writing_FLA[#Data]),MATCH($A331,_xlfn.VSTACK(YES_Writing_ELA[Student Number],YES_Writing_FLA[Student Number]),0),MATCH(VLOOKUP(D$7,'Writing Logic'!$J$7:$K$11,2,FALSE)&amp;" - Per "&amp;VLOOKUP($C$4,'Writing Logic'!$G$8:$H$14,2,FALSE),YES_Writing_ELA[#Headers],0)))="INS",'Writing Logic'!$B$7,IF(INDEX(_xlfn.VSTACK(YES_Writing_ELA[#Data],YES_Writing_FLA[#Data]),MATCH($A331,_xlfn.VSTACK(YES_Writing_ELA[Student Number],YES_Writing_FLA[Student Number]),0),MATCH(VLOOKUP(D$7,'Writing Logic'!$J$7:$K$11,2,FALSE)&amp;" - Per "&amp;VLOOKUP($C$4,'Writing Logic'!$G$8:$H$14,2,FALSE),YES_Writing_ELA[#Headers],0))=0,"",INDEX(_xlfn.VSTACK(YES_Writing_ELA[#Data],YES_Writing_FLA[#Data]),MATCH($A331,_xlfn.VSTACK(YES_Writing_ELA[Student Number],YES_Writing_FLA[Student Number]),0),MATCH(VLOOKUP(D$7,'Writing Logic'!$J$7:$K$11,2,FALSE)&amp;" - Per "&amp;VLOOKUP($C$4,'Writing Logic'!$G$8:$H$14,2,FALSE),YES_Writing_ELA[#Headers],0)))),"")</f>
        <v/>
      </c>
      <c r="E331" s="138" t="str">
        <f>IFERROR(IF(IF(INDEX(_xlfn.VSTACK(YES_Writing_ELA[#Data],YES_Writing_FLA[#Data]),MATCH($A331,_xlfn.VSTACK(YES_Writing_ELA[Student Number],YES_Writing_FLA[Student Number]),0),MATCH(VLOOKUP(E$7,'Writing Logic'!$J$7:$K$11,2,FALSE)&amp;" - Per "&amp;VLOOKUP($C$4,'Writing Logic'!$G$8:$H$14,2,FALSE),YES_Writing_ELA[#Headers],0))=0,"",INDEX(_xlfn.VSTACK(YES_Writing_ELA[#Data],YES_Writing_FLA[#Data]),MATCH($A331,_xlfn.VSTACK(YES_Writing_ELA[Student Number],YES_Writing_FLA[Student Number]),0),MATCH(VLOOKUP(E$7,'Writing Logic'!$J$7:$K$11,2,FALSE)&amp;" - Per "&amp;VLOOKUP($C$4,'Writing Logic'!$G$8:$H$14,2,FALSE),YES_Writing_ELA[#Headers],0)))="INS",'Writing Logic'!$B$7,IF(INDEX(_xlfn.VSTACK(YES_Writing_ELA[#Data],YES_Writing_FLA[#Data]),MATCH($A331,_xlfn.VSTACK(YES_Writing_ELA[Student Number],YES_Writing_FLA[Student Number]),0),MATCH(VLOOKUP(E$7,'Writing Logic'!$J$7:$K$11,2,FALSE)&amp;" - Per "&amp;VLOOKUP($C$4,'Writing Logic'!$G$8:$H$14,2,FALSE),YES_Writing_ELA[#Headers],0))=0,"",INDEX(_xlfn.VSTACK(YES_Writing_ELA[#Data],YES_Writing_FLA[#Data]),MATCH($A331,_xlfn.VSTACK(YES_Writing_ELA[Student Number],YES_Writing_FLA[Student Number]),0),MATCH(VLOOKUP(E$7,'Writing Logic'!$J$7:$K$11,2,FALSE)&amp;" - Per "&amp;VLOOKUP($C$4,'Writing Logic'!$G$8:$H$14,2,FALSE),YES_Writing_ELA[#Headers],0)))),"")</f>
        <v/>
      </c>
      <c r="F331" s="138" t="str">
        <f>IFERROR(IF(IF(INDEX(_xlfn.VSTACK(YES_Writing_ELA[#Data],YES_Writing_FLA[#Data]),MATCH($A331,_xlfn.VSTACK(YES_Writing_ELA[Student Number],YES_Writing_FLA[Student Number]),0),MATCH(VLOOKUP(F$7,'Writing Logic'!$J$7:$K$11,2,FALSE)&amp;" - Per "&amp;VLOOKUP($C$4,'Writing Logic'!$G$8:$H$14,2,FALSE),YES_Writing_ELA[#Headers],0))=0,"",INDEX(_xlfn.VSTACK(YES_Writing_ELA[#Data],YES_Writing_FLA[#Data]),MATCH($A331,_xlfn.VSTACK(YES_Writing_ELA[Student Number],YES_Writing_FLA[Student Number]),0),MATCH(VLOOKUP(F$7,'Writing Logic'!$J$7:$K$11,2,FALSE)&amp;" - Per "&amp;VLOOKUP($C$4,'Writing Logic'!$G$8:$H$14,2,FALSE),YES_Writing_ELA[#Headers],0)))="INS",'Writing Logic'!$B$7,IF(INDEX(_xlfn.VSTACK(YES_Writing_ELA[#Data],YES_Writing_FLA[#Data]),MATCH($A331,_xlfn.VSTACK(YES_Writing_ELA[Student Number],YES_Writing_FLA[Student Number]),0),MATCH(VLOOKUP(F$7,'Writing Logic'!$J$7:$K$11,2,FALSE)&amp;" - Per "&amp;VLOOKUP($C$4,'Writing Logic'!$G$8:$H$14,2,FALSE),YES_Writing_ELA[#Headers],0))=0,"",INDEX(_xlfn.VSTACK(YES_Writing_ELA[#Data],YES_Writing_FLA[#Data]),MATCH($A331,_xlfn.VSTACK(YES_Writing_ELA[Student Number],YES_Writing_FLA[Student Number]),0),MATCH(VLOOKUP(F$7,'Writing Logic'!$J$7:$K$11,2,FALSE)&amp;" - Per "&amp;VLOOKUP($C$4,'Writing Logic'!$G$8:$H$14,2,FALSE),YES_Writing_ELA[#Headers],0)))),"")</f>
        <v/>
      </c>
      <c r="G331" s="138" t="str">
        <f>IFERROR(IF(IF(INDEX(_xlfn.VSTACK(YES_Writing_ELA[#Data],YES_Writing_FLA[#Data]),MATCH($A331,_xlfn.VSTACK(YES_Writing_ELA[Student Number],YES_Writing_FLA[Student Number]),0),MATCH(VLOOKUP(G$7,'Writing Logic'!$J$7:$K$11,2,FALSE)&amp;" - Per "&amp;VLOOKUP($C$4,'Writing Logic'!$G$8:$H$14,2,FALSE),YES_Writing_ELA[#Headers],0))=0,"",INDEX(_xlfn.VSTACK(YES_Writing_ELA[#Data],YES_Writing_FLA[#Data]),MATCH($A331,_xlfn.VSTACK(YES_Writing_ELA[Student Number],YES_Writing_FLA[Student Number]),0),MATCH(VLOOKUP(G$7,'Writing Logic'!$J$7:$K$11,2,FALSE)&amp;" - Per "&amp;VLOOKUP($C$4,'Writing Logic'!$G$8:$H$14,2,FALSE),YES_Writing_ELA[#Headers],0)))="INS",'Writing Logic'!$B$7,IF(INDEX(_xlfn.VSTACK(YES_Writing_ELA[#Data],YES_Writing_FLA[#Data]),MATCH($A331,_xlfn.VSTACK(YES_Writing_ELA[Student Number],YES_Writing_FLA[Student Number]),0),MATCH(VLOOKUP(G$7,'Writing Logic'!$J$7:$K$11,2,FALSE)&amp;" - Per "&amp;VLOOKUP($C$4,'Writing Logic'!$G$8:$H$14,2,FALSE),YES_Writing_ELA[#Headers],0))=0,"",INDEX(_xlfn.VSTACK(YES_Writing_ELA[#Data],YES_Writing_FLA[#Data]),MATCH($A331,_xlfn.VSTACK(YES_Writing_ELA[Student Number],YES_Writing_FLA[Student Number]),0),MATCH(VLOOKUP(G$7,'Writing Logic'!$J$7:$K$11,2,FALSE)&amp;" - Per "&amp;VLOOKUP($C$4,'Writing Logic'!$G$8:$H$14,2,FALSE),YES_Writing_ELA[#Headers],0)))),"")</f>
        <v/>
      </c>
      <c r="H331" s="138" t="str">
        <f>IFERROR(IF(IF(INDEX(_xlfn.VSTACK(YES_Writing_ELA[#Data],YES_Writing_FLA[#Data]),MATCH($A331,_xlfn.VSTACK(YES_Writing_ELA[Student Number],YES_Writing_FLA[Student Number]),0),MATCH(VLOOKUP(H$7,'Writing Logic'!$J$7:$K$11,2,FALSE)&amp;" - Per "&amp;VLOOKUP($C$4,'Writing Logic'!$G$8:$H$14,2,FALSE),YES_Writing_ELA[#Headers],0))=0,"",INDEX(_xlfn.VSTACK(YES_Writing_ELA[#Data],YES_Writing_FLA[#Data]),MATCH($A331,_xlfn.VSTACK(YES_Writing_ELA[Student Number],YES_Writing_FLA[Student Number]),0),MATCH(VLOOKUP(H$7,'Writing Logic'!$J$7:$K$11,2,FALSE)&amp;" - Per "&amp;VLOOKUP($C$4,'Writing Logic'!$G$8:$H$14,2,FALSE),YES_Writing_ELA[#Headers],0)))="INS",'Writing Logic'!$B$7,IF(INDEX(_xlfn.VSTACK(YES_Writing_ELA[#Data],YES_Writing_FLA[#Data]),MATCH($A331,_xlfn.VSTACK(YES_Writing_ELA[Student Number],YES_Writing_FLA[Student Number]),0),MATCH(VLOOKUP(H$7,'Writing Logic'!$J$7:$K$11,2,FALSE)&amp;" - Per "&amp;VLOOKUP($C$4,'Writing Logic'!$G$8:$H$14,2,FALSE),YES_Writing_ELA[#Headers],0))=0,"",INDEX(_xlfn.VSTACK(YES_Writing_ELA[#Data],YES_Writing_FLA[#Data]),MATCH($A331,_xlfn.VSTACK(YES_Writing_ELA[Student Number],YES_Writing_FLA[Student Number]),0),MATCH(VLOOKUP(H$7,'Writing Logic'!$J$7:$K$11,2,FALSE)&amp;" - Per "&amp;VLOOKUP($C$4,'Writing Logic'!$G$8:$H$14,2,FALSE),YES_Writing_ELA[#Headers],0)))),"")</f>
        <v/>
      </c>
    </row>
    <row r="332" spans="1:8" x14ac:dyDescent="0.25">
      <c r="A332" s="137"/>
      <c r="B332" s="137" t="str">
        <f>IFERROR(INDEX(_xlfn.VSTACK(YES_Writing_ELA[#Data], YES_Writing_FLA[#Data]),MATCH($A332,_xlfn.VSTACK(YES_Writing_ELA[Student Number], YES_Writing_FLA[Student Number]),0),MATCH(B$7,YES_Writing_ELA[#Headers],0)),"")</f>
        <v/>
      </c>
      <c r="C332" s="137" t="str">
        <f>IFERROR(INDEX(_xlfn.VSTACK(YES_Writing_ELA[#Data], YES_Writing_FLA[#Data]),MATCH($A332,_xlfn.VSTACK(YES_Writing_ELA[Student Number], YES_Writing_FLA[Student Number]),0),MATCH(C$7,YES_Writing_ELA[#Headers],0)),"")</f>
        <v/>
      </c>
      <c r="D332" s="138" t="str">
        <f>IFERROR(IF(IF(INDEX(_xlfn.VSTACK(YES_Writing_ELA[#Data],YES_Writing_FLA[#Data]),MATCH($A332,_xlfn.VSTACK(YES_Writing_ELA[Student Number],YES_Writing_FLA[Student Number]),0),MATCH(VLOOKUP(D$7,'Writing Logic'!$J$7:$K$11,2,FALSE)&amp;" - Per "&amp;VLOOKUP($C$4,'Writing Logic'!$G$8:$H$14,2,FALSE),YES_Writing_ELA[#Headers],0))=0,"",INDEX(_xlfn.VSTACK(YES_Writing_ELA[#Data],YES_Writing_FLA[#Data]),MATCH($A332,_xlfn.VSTACK(YES_Writing_ELA[Student Number],YES_Writing_FLA[Student Number]),0),MATCH(VLOOKUP(D$7,'Writing Logic'!$J$7:$K$11,2,FALSE)&amp;" - Per "&amp;VLOOKUP($C$4,'Writing Logic'!$G$8:$H$14,2,FALSE),YES_Writing_ELA[#Headers],0)))="INS",'Writing Logic'!$B$7,IF(INDEX(_xlfn.VSTACK(YES_Writing_ELA[#Data],YES_Writing_FLA[#Data]),MATCH($A332,_xlfn.VSTACK(YES_Writing_ELA[Student Number],YES_Writing_FLA[Student Number]),0),MATCH(VLOOKUP(D$7,'Writing Logic'!$J$7:$K$11,2,FALSE)&amp;" - Per "&amp;VLOOKUP($C$4,'Writing Logic'!$G$8:$H$14,2,FALSE),YES_Writing_ELA[#Headers],0))=0,"",INDEX(_xlfn.VSTACK(YES_Writing_ELA[#Data],YES_Writing_FLA[#Data]),MATCH($A332,_xlfn.VSTACK(YES_Writing_ELA[Student Number],YES_Writing_FLA[Student Number]),0),MATCH(VLOOKUP(D$7,'Writing Logic'!$J$7:$K$11,2,FALSE)&amp;" - Per "&amp;VLOOKUP($C$4,'Writing Logic'!$G$8:$H$14,2,FALSE),YES_Writing_ELA[#Headers],0)))),"")</f>
        <v/>
      </c>
      <c r="E332" s="138" t="str">
        <f>IFERROR(IF(IF(INDEX(_xlfn.VSTACK(YES_Writing_ELA[#Data],YES_Writing_FLA[#Data]),MATCH($A332,_xlfn.VSTACK(YES_Writing_ELA[Student Number],YES_Writing_FLA[Student Number]),0),MATCH(VLOOKUP(E$7,'Writing Logic'!$J$7:$K$11,2,FALSE)&amp;" - Per "&amp;VLOOKUP($C$4,'Writing Logic'!$G$8:$H$14,2,FALSE),YES_Writing_ELA[#Headers],0))=0,"",INDEX(_xlfn.VSTACK(YES_Writing_ELA[#Data],YES_Writing_FLA[#Data]),MATCH($A332,_xlfn.VSTACK(YES_Writing_ELA[Student Number],YES_Writing_FLA[Student Number]),0),MATCH(VLOOKUP(E$7,'Writing Logic'!$J$7:$K$11,2,FALSE)&amp;" - Per "&amp;VLOOKUP($C$4,'Writing Logic'!$G$8:$H$14,2,FALSE),YES_Writing_ELA[#Headers],0)))="INS",'Writing Logic'!$B$7,IF(INDEX(_xlfn.VSTACK(YES_Writing_ELA[#Data],YES_Writing_FLA[#Data]),MATCH($A332,_xlfn.VSTACK(YES_Writing_ELA[Student Number],YES_Writing_FLA[Student Number]),0),MATCH(VLOOKUP(E$7,'Writing Logic'!$J$7:$K$11,2,FALSE)&amp;" - Per "&amp;VLOOKUP($C$4,'Writing Logic'!$G$8:$H$14,2,FALSE),YES_Writing_ELA[#Headers],0))=0,"",INDEX(_xlfn.VSTACK(YES_Writing_ELA[#Data],YES_Writing_FLA[#Data]),MATCH($A332,_xlfn.VSTACK(YES_Writing_ELA[Student Number],YES_Writing_FLA[Student Number]),0),MATCH(VLOOKUP(E$7,'Writing Logic'!$J$7:$K$11,2,FALSE)&amp;" - Per "&amp;VLOOKUP($C$4,'Writing Logic'!$G$8:$H$14,2,FALSE),YES_Writing_ELA[#Headers],0)))),"")</f>
        <v/>
      </c>
      <c r="F332" s="138" t="str">
        <f>IFERROR(IF(IF(INDEX(_xlfn.VSTACK(YES_Writing_ELA[#Data],YES_Writing_FLA[#Data]),MATCH($A332,_xlfn.VSTACK(YES_Writing_ELA[Student Number],YES_Writing_FLA[Student Number]),0),MATCH(VLOOKUP(F$7,'Writing Logic'!$J$7:$K$11,2,FALSE)&amp;" - Per "&amp;VLOOKUP($C$4,'Writing Logic'!$G$8:$H$14,2,FALSE),YES_Writing_ELA[#Headers],0))=0,"",INDEX(_xlfn.VSTACK(YES_Writing_ELA[#Data],YES_Writing_FLA[#Data]),MATCH($A332,_xlfn.VSTACK(YES_Writing_ELA[Student Number],YES_Writing_FLA[Student Number]),0),MATCH(VLOOKUP(F$7,'Writing Logic'!$J$7:$K$11,2,FALSE)&amp;" - Per "&amp;VLOOKUP($C$4,'Writing Logic'!$G$8:$H$14,2,FALSE),YES_Writing_ELA[#Headers],0)))="INS",'Writing Logic'!$B$7,IF(INDEX(_xlfn.VSTACK(YES_Writing_ELA[#Data],YES_Writing_FLA[#Data]),MATCH($A332,_xlfn.VSTACK(YES_Writing_ELA[Student Number],YES_Writing_FLA[Student Number]),0),MATCH(VLOOKUP(F$7,'Writing Logic'!$J$7:$K$11,2,FALSE)&amp;" - Per "&amp;VLOOKUP($C$4,'Writing Logic'!$G$8:$H$14,2,FALSE),YES_Writing_ELA[#Headers],0))=0,"",INDEX(_xlfn.VSTACK(YES_Writing_ELA[#Data],YES_Writing_FLA[#Data]),MATCH($A332,_xlfn.VSTACK(YES_Writing_ELA[Student Number],YES_Writing_FLA[Student Number]),0),MATCH(VLOOKUP(F$7,'Writing Logic'!$J$7:$K$11,2,FALSE)&amp;" - Per "&amp;VLOOKUP($C$4,'Writing Logic'!$G$8:$H$14,2,FALSE),YES_Writing_ELA[#Headers],0)))),"")</f>
        <v/>
      </c>
      <c r="G332" s="138" t="str">
        <f>IFERROR(IF(IF(INDEX(_xlfn.VSTACK(YES_Writing_ELA[#Data],YES_Writing_FLA[#Data]),MATCH($A332,_xlfn.VSTACK(YES_Writing_ELA[Student Number],YES_Writing_FLA[Student Number]),0),MATCH(VLOOKUP(G$7,'Writing Logic'!$J$7:$K$11,2,FALSE)&amp;" - Per "&amp;VLOOKUP($C$4,'Writing Logic'!$G$8:$H$14,2,FALSE),YES_Writing_ELA[#Headers],0))=0,"",INDEX(_xlfn.VSTACK(YES_Writing_ELA[#Data],YES_Writing_FLA[#Data]),MATCH($A332,_xlfn.VSTACK(YES_Writing_ELA[Student Number],YES_Writing_FLA[Student Number]),0),MATCH(VLOOKUP(G$7,'Writing Logic'!$J$7:$K$11,2,FALSE)&amp;" - Per "&amp;VLOOKUP($C$4,'Writing Logic'!$G$8:$H$14,2,FALSE),YES_Writing_ELA[#Headers],0)))="INS",'Writing Logic'!$B$7,IF(INDEX(_xlfn.VSTACK(YES_Writing_ELA[#Data],YES_Writing_FLA[#Data]),MATCH($A332,_xlfn.VSTACK(YES_Writing_ELA[Student Number],YES_Writing_FLA[Student Number]),0),MATCH(VLOOKUP(G$7,'Writing Logic'!$J$7:$K$11,2,FALSE)&amp;" - Per "&amp;VLOOKUP($C$4,'Writing Logic'!$G$8:$H$14,2,FALSE),YES_Writing_ELA[#Headers],0))=0,"",INDEX(_xlfn.VSTACK(YES_Writing_ELA[#Data],YES_Writing_FLA[#Data]),MATCH($A332,_xlfn.VSTACK(YES_Writing_ELA[Student Number],YES_Writing_FLA[Student Number]),0),MATCH(VLOOKUP(G$7,'Writing Logic'!$J$7:$K$11,2,FALSE)&amp;" - Per "&amp;VLOOKUP($C$4,'Writing Logic'!$G$8:$H$14,2,FALSE),YES_Writing_ELA[#Headers],0)))),"")</f>
        <v/>
      </c>
      <c r="H332" s="138" t="str">
        <f>IFERROR(IF(IF(INDEX(_xlfn.VSTACK(YES_Writing_ELA[#Data],YES_Writing_FLA[#Data]),MATCH($A332,_xlfn.VSTACK(YES_Writing_ELA[Student Number],YES_Writing_FLA[Student Number]),0),MATCH(VLOOKUP(H$7,'Writing Logic'!$J$7:$K$11,2,FALSE)&amp;" - Per "&amp;VLOOKUP($C$4,'Writing Logic'!$G$8:$H$14,2,FALSE),YES_Writing_ELA[#Headers],0))=0,"",INDEX(_xlfn.VSTACK(YES_Writing_ELA[#Data],YES_Writing_FLA[#Data]),MATCH($A332,_xlfn.VSTACK(YES_Writing_ELA[Student Number],YES_Writing_FLA[Student Number]),0),MATCH(VLOOKUP(H$7,'Writing Logic'!$J$7:$K$11,2,FALSE)&amp;" - Per "&amp;VLOOKUP($C$4,'Writing Logic'!$G$8:$H$14,2,FALSE),YES_Writing_ELA[#Headers],0)))="INS",'Writing Logic'!$B$7,IF(INDEX(_xlfn.VSTACK(YES_Writing_ELA[#Data],YES_Writing_FLA[#Data]),MATCH($A332,_xlfn.VSTACK(YES_Writing_ELA[Student Number],YES_Writing_FLA[Student Number]),0),MATCH(VLOOKUP(H$7,'Writing Logic'!$J$7:$K$11,2,FALSE)&amp;" - Per "&amp;VLOOKUP($C$4,'Writing Logic'!$G$8:$H$14,2,FALSE),YES_Writing_ELA[#Headers],0))=0,"",INDEX(_xlfn.VSTACK(YES_Writing_ELA[#Data],YES_Writing_FLA[#Data]),MATCH($A332,_xlfn.VSTACK(YES_Writing_ELA[Student Number],YES_Writing_FLA[Student Number]),0),MATCH(VLOOKUP(H$7,'Writing Logic'!$J$7:$K$11,2,FALSE)&amp;" - Per "&amp;VLOOKUP($C$4,'Writing Logic'!$G$8:$H$14,2,FALSE),YES_Writing_ELA[#Headers],0)))),"")</f>
        <v/>
      </c>
    </row>
    <row r="333" spans="1:8" x14ac:dyDescent="0.25">
      <c r="A333" s="137"/>
      <c r="B333" s="137" t="str">
        <f>IFERROR(INDEX(_xlfn.VSTACK(YES_Writing_ELA[#Data], YES_Writing_FLA[#Data]),MATCH($A333,_xlfn.VSTACK(YES_Writing_ELA[Student Number], YES_Writing_FLA[Student Number]),0),MATCH(B$7,YES_Writing_ELA[#Headers],0)),"")</f>
        <v/>
      </c>
      <c r="C333" s="137" t="str">
        <f>IFERROR(INDEX(_xlfn.VSTACK(YES_Writing_ELA[#Data], YES_Writing_FLA[#Data]),MATCH($A333,_xlfn.VSTACK(YES_Writing_ELA[Student Number], YES_Writing_FLA[Student Number]),0),MATCH(C$7,YES_Writing_ELA[#Headers],0)),"")</f>
        <v/>
      </c>
      <c r="D333" s="138" t="str">
        <f>IFERROR(IF(IF(INDEX(_xlfn.VSTACK(YES_Writing_ELA[#Data],YES_Writing_FLA[#Data]),MATCH($A333,_xlfn.VSTACK(YES_Writing_ELA[Student Number],YES_Writing_FLA[Student Number]),0),MATCH(VLOOKUP(D$7,'Writing Logic'!$J$7:$K$11,2,FALSE)&amp;" - Per "&amp;VLOOKUP($C$4,'Writing Logic'!$G$8:$H$14,2,FALSE),YES_Writing_ELA[#Headers],0))=0,"",INDEX(_xlfn.VSTACK(YES_Writing_ELA[#Data],YES_Writing_FLA[#Data]),MATCH($A333,_xlfn.VSTACK(YES_Writing_ELA[Student Number],YES_Writing_FLA[Student Number]),0),MATCH(VLOOKUP(D$7,'Writing Logic'!$J$7:$K$11,2,FALSE)&amp;" - Per "&amp;VLOOKUP($C$4,'Writing Logic'!$G$8:$H$14,2,FALSE),YES_Writing_ELA[#Headers],0)))="INS",'Writing Logic'!$B$7,IF(INDEX(_xlfn.VSTACK(YES_Writing_ELA[#Data],YES_Writing_FLA[#Data]),MATCH($A333,_xlfn.VSTACK(YES_Writing_ELA[Student Number],YES_Writing_FLA[Student Number]),0),MATCH(VLOOKUP(D$7,'Writing Logic'!$J$7:$K$11,2,FALSE)&amp;" - Per "&amp;VLOOKUP($C$4,'Writing Logic'!$G$8:$H$14,2,FALSE),YES_Writing_ELA[#Headers],0))=0,"",INDEX(_xlfn.VSTACK(YES_Writing_ELA[#Data],YES_Writing_FLA[#Data]),MATCH($A333,_xlfn.VSTACK(YES_Writing_ELA[Student Number],YES_Writing_FLA[Student Number]),0),MATCH(VLOOKUP(D$7,'Writing Logic'!$J$7:$K$11,2,FALSE)&amp;" - Per "&amp;VLOOKUP($C$4,'Writing Logic'!$G$8:$H$14,2,FALSE),YES_Writing_ELA[#Headers],0)))),"")</f>
        <v/>
      </c>
      <c r="E333" s="138" t="str">
        <f>IFERROR(IF(IF(INDEX(_xlfn.VSTACK(YES_Writing_ELA[#Data],YES_Writing_FLA[#Data]),MATCH($A333,_xlfn.VSTACK(YES_Writing_ELA[Student Number],YES_Writing_FLA[Student Number]),0),MATCH(VLOOKUP(E$7,'Writing Logic'!$J$7:$K$11,2,FALSE)&amp;" - Per "&amp;VLOOKUP($C$4,'Writing Logic'!$G$8:$H$14,2,FALSE),YES_Writing_ELA[#Headers],0))=0,"",INDEX(_xlfn.VSTACK(YES_Writing_ELA[#Data],YES_Writing_FLA[#Data]),MATCH($A333,_xlfn.VSTACK(YES_Writing_ELA[Student Number],YES_Writing_FLA[Student Number]),0),MATCH(VLOOKUP(E$7,'Writing Logic'!$J$7:$K$11,2,FALSE)&amp;" - Per "&amp;VLOOKUP($C$4,'Writing Logic'!$G$8:$H$14,2,FALSE),YES_Writing_ELA[#Headers],0)))="INS",'Writing Logic'!$B$7,IF(INDEX(_xlfn.VSTACK(YES_Writing_ELA[#Data],YES_Writing_FLA[#Data]),MATCH($A333,_xlfn.VSTACK(YES_Writing_ELA[Student Number],YES_Writing_FLA[Student Number]),0),MATCH(VLOOKUP(E$7,'Writing Logic'!$J$7:$K$11,2,FALSE)&amp;" - Per "&amp;VLOOKUP($C$4,'Writing Logic'!$G$8:$H$14,2,FALSE),YES_Writing_ELA[#Headers],0))=0,"",INDEX(_xlfn.VSTACK(YES_Writing_ELA[#Data],YES_Writing_FLA[#Data]),MATCH($A333,_xlfn.VSTACK(YES_Writing_ELA[Student Number],YES_Writing_FLA[Student Number]),0),MATCH(VLOOKUP(E$7,'Writing Logic'!$J$7:$K$11,2,FALSE)&amp;" - Per "&amp;VLOOKUP($C$4,'Writing Logic'!$G$8:$H$14,2,FALSE),YES_Writing_ELA[#Headers],0)))),"")</f>
        <v/>
      </c>
      <c r="F333" s="138" t="str">
        <f>IFERROR(IF(IF(INDEX(_xlfn.VSTACK(YES_Writing_ELA[#Data],YES_Writing_FLA[#Data]),MATCH($A333,_xlfn.VSTACK(YES_Writing_ELA[Student Number],YES_Writing_FLA[Student Number]),0),MATCH(VLOOKUP(F$7,'Writing Logic'!$J$7:$K$11,2,FALSE)&amp;" - Per "&amp;VLOOKUP($C$4,'Writing Logic'!$G$8:$H$14,2,FALSE),YES_Writing_ELA[#Headers],0))=0,"",INDEX(_xlfn.VSTACK(YES_Writing_ELA[#Data],YES_Writing_FLA[#Data]),MATCH($A333,_xlfn.VSTACK(YES_Writing_ELA[Student Number],YES_Writing_FLA[Student Number]),0),MATCH(VLOOKUP(F$7,'Writing Logic'!$J$7:$K$11,2,FALSE)&amp;" - Per "&amp;VLOOKUP($C$4,'Writing Logic'!$G$8:$H$14,2,FALSE),YES_Writing_ELA[#Headers],0)))="INS",'Writing Logic'!$B$7,IF(INDEX(_xlfn.VSTACK(YES_Writing_ELA[#Data],YES_Writing_FLA[#Data]),MATCH($A333,_xlfn.VSTACK(YES_Writing_ELA[Student Number],YES_Writing_FLA[Student Number]),0),MATCH(VLOOKUP(F$7,'Writing Logic'!$J$7:$K$11,2,FALSE)&amp;" - Per "&amp;VLOOKUP($C$4,'Writing Logic'!$G$8:$H$14,2,FALSE),YES_Writing_ELA[#Headers],0))=0,"",INDEX(_xlfn.VSTACK(YES_Writing_ELA[#Data],YES_Writing_FLA[#Data]),MATCH($A333,_xlfn.VSTACK(YES_Writing_ELA[Student Number],YES_Writing_FLA[Student Number]),0),MATCH(VLOOKUP(F$7,'Writing Logic'!$J$7:$K$11,2,FALSE)&amp;" - Per "&amp;VLOOKUP($C$4,'Writing Logic'!$G$8:$H$14,2,FALSE),YES_Writing_ELA[#Headers],0)))),"")</f>
        <v/>
      </c>
      <c r="G333" s="138" t="str">
        <f>IFERROR(IF(IF(INDEX(_xlfn.VSTACK(YES_Writing_ELA[#Data],YES_Writing_FLA[#Data]),MATCH($A333,_xlfn.VSTACK(YES_Writing_ELA[Student Number],YES_Writing_FLA[Student Number]),0),MATCH(VLOOKUP(G$7,'Writing Logic'!$J$7:$K$11,2,FALSE)&amp;" - Per "&amp;VLOOKUP($C$4,'Writing Logic'!$G$8:$H$14,2,FALSE),YES_Writing_ELA[#Headers],0))=0,"",INDEX(_xlfn.VSTACK(YES_Writing_ELA[#Data],YES_Writing_FLA[#Data]),MATCH($A333,_xlfn.VSTACK(YES_Writing_ELA[Student Number],YES_Writing_FLA[Student Number]),0),MATCH(VLOOKUP(G$7,'Writing Logic'!$J$7:$K$11,2,FALSE)&amp;" - Per "&amp;VLOOKUP($C$4,'Writing Logic'!$G$8:$H$14,2,FALSE),YES_Writing_ELA[#Headers],0)))="INS",'Writing Logic'!$B$7,IF(INDEX(_xlfn.VSTACK(YES_Writing_ELA[#Data],YES_Writing_FLA[#Data]),MATCH($A333,_xlfn.VSTACK(YES_Writing_ELA[Student Number],YES_Writing_FLA[Student Number]),0),MATCH(VLOOKUP(G$7,'Writing Logic'!$J$7:$K$11,2,FALSE)&amp;" - Per "&amp;VLOOKUP($C$4,'Writing Logic'!$G$8:$H$14,2,FALSE),YES_Writing_ELA[#Headers],0))=0,"",INDEX(_xlfn.VSTACK(YES_Writing_ELA[#Data],YES_Writing_FLA[#Data]),MATCH($A333,_xlfn.VSTACK(YES_Writing_ELA[Student Number],YES_Writing_FLA[Student Number]),0),MATCH(VLOOKUP(G$7,'Writing Logic'!$J$7:$K$11,2,FALSE)&amp;" - Per "&amp;VLOOKUP($C$4,'Writing Logic'!$G$8:$H$14,2,FALSE),YES_Writing_ELA[#Headers],0)))),"")</f>
        <v/>
      </c>
      <c r="H333" s="138" t="str">
        <f>IFERROR(IF(IF(INDEX(_xlfn.VSTACK(YES_Writing_ELA[#Data],YES_Writing_FLA[#Data]),MATCH($A333,_xlfn.VSTACK(YES_Writing_ELA[Student Number],YES_Writing_FLA[Student Number]),0),MATCH(VLOOKUP(H$7,'Writing Logic'!$J$7:$K$11,2,FALSE)&amp;" - Per "&amp;VLOOKUP($C$4,'Writing Logic'!$G$8:$H$14,2,FALSE),YES_Writing_ELA[#Headers],0))=0,"",INDEX(_xlfn.VSTACK(YES_Writing_ELA[#Data],YES_Writing_FLA[#Data]),MATCH($A333,_xlfn.VSTACK(YES_Writing_ELA[Student Number],YES_Writing_FLA[Student Number]),0),MATCH(VLOOKUP(H$7,'Writing Logic'!$J$7:$K$11,2,FALSE)&amp;" - Per "&amp;VLOOKUP($C$4,'Writing Logic'!$G$8:$H$14,2,FALSE),YES_Writing_ELA[#Headers],0)))="INS",'Writing Logic'!$B$7,IF(INDEX(_xlfn.VSTACK(YES_Writing_ELA[#Data],YES_Writing_FLA[#Data]),MATCH($A333,_xlfn.VSTACK(YES_Writing_ELA[Student Number],YES_Writing_FLA[Student Number]),0),MATCH(VLOOKUP(H$7,'Writing Logic'!$J$7:$K$11,2,FALSE)&amp;" - Per "&amp;VLOOKUP($C$4,'Writing Logic'!$G$8:$H$14,2,FALSE),YES_Writing_ELA[#Headers],0))=0,"",INDEX(_xlfn.VSTACK(YES_Writing_ELA[#Data],YES_Writing_FLA[#Data]),MATCH($A333,_xlfn.VSTACK(YES_Writing_ELA[Student Number],YES_Writing_FLA[Student Number]),0),MATCH(VLOOKUP(H$7,'Writing Logic'!$J$7:$K$11,2,FALSE)&amp;" - Per "&amp;VLOOKUP($C$4,'Writing Logic'!$G$8:$H$14,2,FALSE),YES_Writing_ELA[#Headers],0)))),"")</f>
        <v/>
      </c>
    </row>
    <row r="334" spans="1:8" x14ac:dyDescent="0.25">
      <c r="A334" s="137"/>
      <c r="B334" s="137" t="str">
        <f>IFERROR(INDEX(_xlfn.VSTACK(YES_Writing_ELA[#Data], YES_Writing_FLA[#Data]),MATCH($A334,_xlfn.VSTACK(YES_Writing_ELA[Student Number], YES_Writing_FLA[Student Number]),0),MATCH(B$7,YES_Writing_ELA[#Headers],0)),"")</f>
        <v/>
      </c>
      <c r="C334" s="137" t="str">
        <f>IFERROR(INDEX(_xlfn.VSTACK(YES_Writing_ELA[#Data], YES_Writing_FLA[#Data]),MATCH($A334,_xlfn.VSTACK(YES_Writing_ELA[Student Number], YES_Writing_FLA[Student Number]),0),MATCH(C$7,YES_Writing_ELA[#Headers],0)),"")</f>
        <v/>
      </c>
      <c r="D334" s="138" t="str">
        <f>IFERROR(IF(IF(INDEX(_xlfn.VSTACK(YES_Writing_ELA[#Data],YES_Writing_FLA[#Data]),MATCH($A334,_xlfn.VSTACK(YES_Writing_ELA[Student Number],YES_Writing_FLA[Student Number]),0),MATCH(VLOOKUP(D$7,'Writing Logic'!$J$7:$K$11,2,FALSE)&amp;" - Per "&amp;VLOOKUP($C$4,'Writing Logic'!$G$8:$H$14,2,FALSE),YES_Writing_ELA[#Headers],0))=0,"",INDEX(_xlfn.VSTACK(YES_Writing_ELA[#Data],YES_Writing_FLA[#Data]),MATCH($A334,_xlfn.VSTACK(YES_Writing_ELA[Student Number],YES_Writing_FLA[Student Number]),0),MATCH(VLOOKUP(D$7,'Writing Logic'!$J$7:$K$11,2,FALSE)&amp;" - Per "&amp;VLOOKUP($C$4,'Writing Logic'!$G$8:$H$14,2,FALSE),YES_Writing_ELA[#Headers],0)))="INS",'Writing Logic'!$B$7,IF(INDEX(_xlfn.VSTACK(YES_Writing_ELA[#Data],YES_Writing_FLA[#Data]),MATCH($A334,_xlfn.VSTACK(YES_Writing_ELA[Student Number],YES_Writing_FLA[Student Number]),0),MATCH(VLOOKUP(D$7,'Writing Logic'!$J$7:$K$11,2,FALSE)&amp;" - Per "&amp;VLOOKUP($C$4,'Writing Logic'!$G$8:$H$14,2,FALSE),YES_Writing_ELA[#Headers],0))=0,"",INDEX(_xlfn.VSTACK(YES_Writing_ELA[#Data],YES_Writing_FLA[#Data]),MATCH($A334,_xlfn.VSTACK(YES_Writing_ELA[Student Number],YES_Writing_FLA[Student Number]),0),MATCH(VLOOKUP(D$7,'Writing Logic'!$J$7:$K$11,2,FALSE)&amp;" - Per "&amp;VLOOKUP($C$4,'Writing Logic'!$G$8:$H$14,2,FALSE),YES_Writing_ELA[#Headers],0)))),"")</f>
        <v/>
      </c>
      <c r="E334" s="138" t="str">
        <f>IFERROR(IF(IF(INDEX(_xlfn.VSTACK(YES_Writing_ELA[#Data],YES_Writing_FLA[#Data]),MATCH($A334,_xlfn.VSTACK(YES_Writing_ELA[Student Number],YES_Writing_FLA[Student Number]),0),MATCH(VLOOKUP(E$7,'Writing Logic'!$J$7:$K$11,2,FALSE)&amp;" - Per "&amp;VLOOKUP($C$4,'Writing Logic'!$G$8:$H$14,2,FALSE),YES_Writing_ELA[#Headers],0))=0,"",INDEX(_xlfn.VSTACK(YES_Writing_ELA[#Data],YES_Writing_FLA[#Data]),MATCH($A334,_xlfn.VSTACK(YES_Writing_ELA[Student Number],YES_Writing_FLA[Student Number]),0),MATCH(VLOOKUP(E$7,'Writing Logic'!$J$7:$K$11,2,FALSE)&amp;" - Per "&amp;VLOOKUP($C$4,'Writing Logic'!$G$8:$H$14,2,FALSE),YES_Writing_ELA[#Headers],0)))="INS",'Writing Logic'!$B$7,IF(INDEX(_xlfn.VSTACK(YES_Writing_ELA[#Data],YES_Writing_FLA[#Data]),MATCH($A334,_xlfn.VSTACK(YES_Writing_ELA[Student Number],YES_Writing_FLA[Student Number]),0),MATCH(VLOOKUP(E$7,'Writing Logic'!$J$7:$K$11,2,FALSE)&amp;" - Per "&amp;VLOOKUP($C$4,'Writing Logic'!$G$8:$H$14,2,FALSE),YES_Writing_ELA[#Headers],0))=0,"",INDEX(_xlfn.VSTACK(YES_Writing_ELA[#Data],YES_Writing_FLA[#Data]),MATCH($A334,_xlfn.VSTACK(YES_Writing_ELA[Student Number],YES_Writing_FLA[Student Number]),0),MATCH(VLOOKUP(E$7,'Writing Logic'!$J$7:$K$11,2,FALSE)&amp;" - Per "&amp;VLOOKUP($C$4,'Writing Logic'!$G$8:$H$14,2,FALSE),YES_Writing_ELA[#Headers],0)))),"")</f>
        <v/>
      </c>
      <c r="F334" s="138" t="str">
        <f>IFERROR(IF(IF(INDEX(_xlfn.VSTACK(YES_Writing_ELA[#Data],YES_Writing_FLA[#Data]),MATCH($A334,_xlfn.VSTACK(YES_Writing_ELA[Student Number],YES_Writing_FLA[Student Number]),0),MATCH(VLOOKUP(F$7,'Writing Logic'!$J$7:$K$11,2,FALSE)&amp;" - Per "&amp;VLOOKUP($C$4,'Writing Logic'!$G$8:$H$14,2,FALSE),YES_Writing_ELA[#Headers],0))=0,"",INDEX(_xlfn.VSTACK(YES_Writing_ELA[#Data],YES_Writing_FLA[#Data]),MATCH($A334,_xlfn.VSTACK(YES_Writing_ELA[Student Number],YES_Writing_FLA[Student Number]),0),MATCH(VLOOKUP(F$7,'Writing Logic'!$J$7:$K$11,2,FALSE)&amp;" - Per "&amp;VLOOKUP($C$4,'Writing Logic'!$G$8:$H$14,2,FALSE),YES_Writing_ELA[#Headers],0)))="INS",'Writing Logic'!$B$7,IF(INDEX(_xlfn.VSTACK(YES_Writing_ELA[#Data],YES_Writing_FLA[#Data]),MATCH($A334,_xlfn.VSTACK(YES_Writing_ELA[Student Number],YES_Writing_FLA[Student Number]),0),MATCH(VLOOKUP(F$7,'Writing Logic'!$J$7:$K$11,2,FALSE)&amp;" - Per "&amp;VLOOKUP($C$4,'Writing Logic'!$G$8:$H$14,2,FALSE),YES_Writing_ELA[#Headers],0))=0,"",INDEX(_xlfn.VSTACK(YES_Writing_ELA[#Data],YES_Writing_FLA[#Data]),MATCH($A334,_xlfn.VSTACK(YES_Writing_ELA[Student Number],YES_Writing_FLA[Student Number]),0),MATCH(VLOOKUP(F$7,'Writing Logic'!$J$7:$K$11,2,FALSE)&amp;" - Per "&amp;VLOOKUP($C$4,'Writing Logic'!$G$8:$H$14,2,FALSE),YES_Writing_ELA[#Headers],0)))),"")</f>
        <v/>
      </c>
      <c r="G334" s="138" t="str">
        <f>IFERROR(IF(IF(INDEX(_xlfn.VSTACK(YES_Writing_ELA[#Data],YES_Writing_FLA[#Data]),MATCH($A334,_xlfn.VSTACK(YES_Writing_ELA[Student Number],YES_Writing_FLA[Student Number]),0),MATCH(VLOOKUP(G$7,'Writing Logic'!$J$7:$K$11,2,FALSE)&amp;" - Per "&amp;VLOOKUP($C$4,'Writing Logic'!$G$8:$H$14,2,FALSE),YES_Writing_ELA[#Headers],0))=0,"",INDEX(_xlfn.VSTACK(YES_Writing_ELA[#Data],YES_Writing_FLA[#Data]),MATCH($A334,_xlfn.VSTACK(YES_Writing_ELA[Student Number],YES_Writing_FLA[Student Number]),0),MATCH(VLOOKUP(G$7,'Writing Logic'!$J$7:$K$11,2,FALSE)&amp;" - Per "&amp;VLOOKUP($C$4,'Writing Logic'!$G$8:$H$14,2,FALSE),YES_Writing_ELA[#Headers],0)))="INS",'Writing Logic'!$B$7,IF(INDEX(_xlfn.VSTACK(YES_Writing_ELA[#Data],YES_Writing_FLA[#Data]),MATCH($A334,_xlfn.VSTACK(YES_Writing_ELA[Student Number],YES_Writing_FLA[Student Number]),0),MATCH(VLOOKUP(G$7,'Writing Logic'!$J$7:$K$11,2,FALSE)&amp;" - Per "&amp;VLOOKUP($C$4,'Writing Logic'!$G$8:$H$14,2,FALSE),YES_Writing_ELA[#Headers],0))=0,"",INDEX(_xlfn.VSTACK(YES_Writing_ELA[#Data],YES_Writing_FLA[#Data]),MATCH($A334,_xlfn.VSTACK(YES_Writing_ELA[Student Number],YES_Writing_FLA[Student Number]),0),MATCH(VLOOKUP(G$7,'Writing Logic'!$J$7:$K$11,2,FALSE)&amp;" - Per "&amp;VLOOKUP($C$4,'Writing Logic'!$G$8:$H$14,2,FALSE),YES_Writing_ELA[#Headers],0)))),"")</f>
        <v/>
      </c>
      <c r="H334" s="138" t="str">
        <f>IFERROR(IF(IF(INDEX(_xlfn.VSTACK(YES_Writing_ELA[#Data],YES_Writing_FLA[#Data]),MATCH($A334,_xlfn.VSTACK(YES_Writing_ELA[Student Number],YES_Writing_FLA[Student Number]),0),MATCH(VLOOKUP(H$7,'Writing Logic'!$J$7:$K$11,2,FALSE)&amp;" - Per "&amp;VLOOKUP($C$4,'Writing Logic'!$G$8:$H$14,2,FALSE),YES_Writing_ELA[#Headers],0))=0,"",INDEX(_xlfn.VSTACK(YES_Writing_ELA[#Data],YES_Writing_FLA[#Data]),MATCH($A334,_xlfn.VSTACK(YES_Writing_ELA[Student Number],YES_Writing_FLA[Student Number]),0),MATCH(VLOOKUP(H$7,'Writing Logic'!$J$7:$K$11,2,FALSE)&amp;" - Per "&amp;VLOOKUP($C$4,'Writing Logic'!$G$8:$H$14,2,FALSE),YES_Writing_ELA[#Headers],0)))="INS",'Writing Logic'!$B$7,IF(INDEX(_xlfn.VSTACK(YES_Writing_ELA[#Data],YES_Writing_FLA[#Data]),MATCH($A334,_xlfn.VSTACK(YES_Writing_ELA[Student Number],YES_Writing_FLA[Student Number]),0),MATCH(VLOOKUP(H$7,'Writing Logic'!$J$7:$K$11,2,FALSE)&amp;" - Per "&amp;VLOOKUP($C$4,'Writing Logic'!$G$8:$H$14,2,FALSE),YES_Writing_ELA[#Headers],0))=0,"",INDEX(_xlfn.VSTACK(YES_Writing_ELA[#Data],YES_Writing_FLA[#Data]),MATCH($A334,_xlfn.VSTACK(YES_Writing_ELA[Student Number],YES_Writing_FLA[Student Number]),0),MATCH(VLOOKUP(H$7,'Writing Logic'!$J$7:$K$11,2,FALSE)&amp;" - Per "&amp;VLOOKUP($C$4,'Writing Logic'!$G$8:$H$14,2,FALSE),YES_Writing_ELA[#Headers],0)))),"")</f>
        <v/>
      </c>
    </row>
    <row r="335" spans="1:8" x14ac:dyDescent="0.25">
      <c r="A335" s="137"/>
      <c r="B335" s="137" t="str">
        <f>IFERROR(INDEX(_xlfn.VSTACK(YES_Writing_ELA[#Data], YES_Writing_FLA[#Data]),MATCH($A335,_xlfn.VSTACK(YES_Writing_ELA[Student Number], YES_Writing_FLA[Student Number]),0),MATCH(B$7,YES_Writing_ELA[#Headers],0)),"")</f>
        <v/>
      </c>
      <c r="C335" s="137" t="str">
        <f>IFERROR(INDEX(_xlfn.VSTACK(YES_Writing_ELA[#Data], YES_Writing_FLA[#Data]),MATCH($A335,_xlfn.VSTACK(YES_Writing_ELA[Student Number], YES_Writing_FLA[Student Number]),0),MATCH(C$7,YES_Writing_ELA[#Headers],0)),"")</f>
        <v/>
      </c>
      <c r="D335" s="138" t="str">
        <f>IFERROR(IF(IF(INDEX(_xlfn.VSTACK(YES_Writing_ELA[#Data],YES_Writing_FLA[#Data]),MATCH($A335,_xlfn.VSTACK(YES_Writing_ELA[Student Number],YES_Writing_FLA[Student Number]),0),MATCH(VLOOKUP(D$7,'Writing Logic'!$J$7:$K$11,2,FALSE)&amp;" - Per "&amp;VLOOKUP($C$4,'Writing Logic'!$G$8:$H$14,2,FALSE),YES_Writing_ELA[#Headers],0))=0,"",INDEX(_xlfn.VSTACK(YES_Writing_ELA[#Data],YES_Writing_FLA[#Data]),MATCH($A335,_xlfn.VSTACK(YES_Writing_ELA[Student Number],YES_Writing_FLA[Student Number]),0),MATCH(VLOOKUP(D$7,'Writing Logic'!$J$7:$K$11,2,FALSE)&amp;" - Per "&amp;VLOOKUP($C$4,'Writing Logic'!$G$8:$H$14,2,FALSE),YES_Writing_ELA[#Headers],0)))="INS",'Writing Logic'!$B$7,IF(INDEX(_xlfn.VSTACK(YES_Writing_ELA[#Data],YES_Writing_FLA[#Data]),MATCH($A335,_xlfn.VSTACK(YES_Writing_ELA[Student Number],YES_Writing_FLA[Student Number]),0),MATCH(VLOOKUP(D$7,'Writing Logic'!$J$7:$K$11,2,FALSE)&amp;" - Per "&amp;VLOOKUP($C$4,'Writing Logic'!$G$8:$H$14,2,FALSE),YES_Writing_ELA[#Headers],0))=0,"",INDEX(_xlfn.VSTACK(YES_Writing_ELA[#Data],YES_Writing_FLA[#Data]),MATCH($A335,_xlfn.VSTACK(YES_Writing_ELA[Student Number],YES_Writing_FLA[Student Number]),0),MATCH(VLOOKUP(D$7,'Writing Logic'!$J$7:$K$11,2,FALSE)&amp;" - Per "&amp;VLOOKUP($C$4,'Writing Logic'!$G$8:$H$14,2,FALSE),YES_Writing_ELA[#Headers],0)))),"")</f>
        <v/>
      </c>
      <c r="E335" s="138" t="str">
        <f>IFERROR(IF(IF(INDEX(_xlfn.VSTACK(YES_Writing_ELA[#Data],YES_Writing_FLA[#Data]),MATCH($A335,_xlfn.VSTACK(YES_Writing_ELA[Student Number],YES_Writing_FLA[Student Number]),0),MATCH(VLOOKUP(E$7,'Writing Logic'!$J$7:$K$11,2,FALSE)&amp;" - Per "&amp;VLOOKUP($C$4,'Writing Logic'!$G$8:$H$14,2,FALSE),YES_Writing_ELA[#Headers],0))=0,"",INDEX(_xlfn.VSTACK(YES_Writing_ELA[#Data],YES_Writing_FLA[#Data]),MATCH($A335,_xlfn.VSTACK(YES_Writing_ELA[Student Number],YES_Writing_FLA[Student Number]),0),MATCH(VLOOKUP(E$7,'Writing Logic'!$J$7:$K$11,2,FALSE)&amp;" - Per "&amp;VLOOKUP($C$4,'Writing Logic'!$G$8:$H$14,2,FALSE),YES_Writing_ELA[#Headers],0)))="INS",'Writing Logic'!$B$7,IF(INDEX(_xlfn.VSTACK(YES_Writing_ELA[#Data],YES_Writing_FLA[#Data]),MATCH($A335,_xlfn.VSTACK(YES_Writing_ELA[Student Number],YES_Writing_FLA[Student Number]),0),MATCH(VLOOKUP(E$7,'Writing Logic'!$J$7:$K$11,2,FALSE)&amp;" - Per "&amp;VLOOKUP($C$4,'Writing Logic'!$G$8:$H$14,2,FALSE),YES_Writing_ELA[#Headers],0))=0,"",INDEX(_xlfn.VSTACK(YES_Writing_ELA[#Data],YES_Writing_FLA[#Data]),MATCH($A335,_xlfn.VSTACK(YES_Writing_ELA[Student Number],YES_Writing_FLA[Student Number]),0),MATCH(VLOOKUP(E$7,'Writing Logic'!$J$7:$K$11,2,FALSE)&amp;" - Per "&amp;VLOOKUP($C$4,'Writing Logic'!$G$8:$H$14,2,FALSE),YES_Writing_ELA[#Headers],0)))),"")</f>
        <v/>
      </c>
      <c r="F335" s="138" t="str">
        <f>IFERROR(IF(IF(INDEX(_xlfn.VSTACK(YES_Writing_ELA[#Data],YES_Writing_FLA[#Data]),MATCH($A335,_xlfn.VSTACK(YES_Writing_ELA[Student Number],YES_Writing_FLA[Student Number]),0),MATCH(VLOOKUP(F$7,'Writing Logic'!$J$7:$K$11,2,FALSE)&amp;" - Per "&amp;VLOOKUP($C$4,'Writing Logic'!$G$8:$H$14,2,FALSE),YES_Writing_ELA[#Headers],0))=0,"",INDEX(_xlfn.VSTACK(YES_Writing_ELA[#Data],YES_Writing_FLA[#Data]),MATCH($A335,_xlfn.VSTACK(YES_Writing_ELA[Student Number],YES_Writing_FLA[Student Number]),0),MATCH(VLOOKUP(F$7,'Writing Logic'!$J$7:$K$11,2,FALSE)&amp;" - Per "&amp;VLOOKUP($C$4,'Writing Logic'!$G$8:$H$14,2,FALSE),YES_Writing_ELA[#Headers],0)))="INS",'Writing Logic'!$B$7,IF(INDEX(_xlfn.VSTACK(YES_Writing_ELA[#Data],YES_Writing_FLA[#Data]),MATCH($A335,_xlfn.VSTACK(YES_Writing_ELA[Student Number],YES_Writing_FLA[Student Number]),0),MATCH(VLOOKUP(F$7,'Writing Logic'!$J$7:$K$11,2,FALSE)&amp;" - Per "&amp;VLOOKUP($C$4,'Writing Logic'!$G$8:$H$14,2,FALSE),YES_Writing_ELA[#Headers],0))=0,"",INDEX(_xlfn.VSTACK(YES_Writing_ELA[#Data],YES_Writing_FLA[#Data]),MATCH($A335,_xlfn.VSTACK(YES_Writing_ELA[Student Number],YES_Writing_FLA[Student Number]),0),MATCH(VLOOKUP(F$7,'Writing Logic'!$J$7:$K$11,2,FALSE)&amp;" - Per "&amp;VLOOKUP($C$4,'Writing Logic'!$G$8:$H$14,2,FALSE),YES_Writing_ELA[#Headers],0)))),"")</f>
        <v/>
      </c>
      <c r="G335" s="138" t="str">
        <f>IFERROR(IF(IF(INDEX(_xlfn.VSTACK(YES_Writing_ELA[#Data],YES_Writing_FLA[#Data]),MATCH($A335,_xlfn.VSTACK(YES_Writing_ELA[Student Number],YES_Writing_FLA[Student Number]),0),MATCH(VLOOKUP(G$7,'Writing Logic'!$J$7:$K$11,2,FALSE)&amp;" - Per "&amp;VLOOKUP($C$4,'Writing Logic'!$G$8:$H$14,2,FALSE),YES_Writing_ELA[#Headers],0))=0,"",INDEX(_xlfn.VSTACK(YES_Writing_ELA[#Data],YES_Writing_FLA[#Data]),MATCH($A335,_xlfn.VSTACK(YES_Writing_ELA[Student Number],YES_Writing_FLA[Student Number]),0),MATCH(VLOOKUP(G$7,'Writing Logic'!$J$7:$K$11,2,FALSE)&amp;" - Per "&amp;VLOOKUP($C$4,'Writing Logic'!$G$8:$H$14,2,FALSE),YES_Writing_ELA[#Headers],0)))="INS",'Writing Logic'!$B$7,IF(INDEX(_xlfn.VSTACK(YES_Writing_ELA[#Data],YES_Writing_FLA[#Data]),MATCH($A335,_xlfn.VSTACK(YES_Writing_ELA[Student Number],YES_Writing_FLA[Student Number]),0),MATCH(VLOOKUP(G$7,'Writing Logic'!$J$7:$K$11,2,FALSE)&amp;" - Per "&amp;VLOOKUP($C$4,'Writing Logic'!$G$8:$H$14,2,FALSE),YES_Writing_ELA[#Headers],0))=0,"",INDEX(_xlfn.VSTACK(YES_Writing_ELA[#Data],YES_Writing_FLA[#Data]),MATCH($A335,_xlfn.VSTACK(YES_Writing_ELA[Student Number],YES_Writing_FLA[Student Number]),0),MATCH(VLOOKUP(G$7,'Writing Logic'!$J$7:$K$11,2,FALSE)&amp;" - Per "&amp;VLOOKUP($C$4,'Writing Logic'!$G$8:$H$14,2,FALSE),YES_Writing_ELA[#Headers],0)))),"")</f>
        <v/>
      </c>
      <c r="H335" s="138" t="str">
        <f>IFERROR(IF(IF(INDEX(_xlfn.VSTACK(YES_Writing_ELA[#Data],YES_Writing_FLA[#Data]),MATCH($A335,_xlfn.VSTACK(YES_Writing_ELA[Student Number],YES_Writing_FLA[Student Number]),0),MATCH(VLOOKUP(H$7,'Writing Logic'!$J$7:$K$11,2,FALSE)&amp;" - Per "&amp;VLOOKUP($C$4,'Writing Logic'!$G$8:$H$14,2,FALSE),YES_Writing_ELA[#Headers],0))=0,"",INDEX(_xlfn.VSTACK(YES_Writing_ELA[#Data],YES_Writing_FLA[#Data]),MATCH($A335,_xlfn.VSTACK(YES_Writing_ELA[Student Number],YES_Writing_FLA[Student Number]),0),MATCH(VLOOKUP(H$7,'Writing Logic'!$J$7:$K$11,2,FALSE)&amp;" - Per "&amp;VLOOKUP($C$4,'Writing Logic'!$G$8:$H$14,2,FALSE),YES_Writing_ELA[#Headers],0)))="INS",'Writing Logic'!$B$7,IF(INDEX(_xlfn.VSTACK(YES_Writing_ELA[#Data],YES_Writing_FLA[#Data]),MATCH($A335,_xlfn.VSTACK(YES_Writing_ELA[Student Number],YES_Writing_FLA[Student Number]),0),MATCH(VLOOKUP(H$7,'Writing Logic'!$J$7:$K$11,2,FALSE)&amp;" - Per "&amp;VLOOKUP($C$4,'Writing Logic'!$G$8:$H$14,2,FALSE),YES_Writing_ELA[#Headers],0))=0,"",INDEX(_xlfn.VSTACK(YES_Writing_ELA[#Data],YES_Writing_FLA[#Data]),MATCH($A335,_xlfn.VSTACK(YES_Writing_ELA[Student Number],YES_Writing_FLA[Student Number]),0),MATCH(VLOOKUP(H$7,'Writing Logic'!$J$7:$K$11,2,FALSE)&amp;" - Per "&amp;VLOOKUP($C$4,'Writing Logic'!$G$8:$H$14,2,FALSE),YES_Writing_ELA[#Headers],0)))),"")</f>
        <v/>
      </c>
    </row>
    <row r="336" spans="1:8" x14ac:dyDescent="0.25">
      <c r="A336" s="137"/>
      <c r="B336" s="137" t="str">
        <f>IFERROR(INDEX(_xlfn.VSTACK(YES_Writing_ELA[#Data], YES_Writing_FLA[#Data]),MATCH($A336,_xlfn.VSTACK(YES_Writing_ELA[Student Number], YES_Writing_FLA[Student Number]),0),MATCH(B$7,YES_Writing_ELA[#Headers],0)),"")</f>
        <v/>
      </c>
      <c r="C336" s="137" t="str">
        <f>IFERROR(INDEX(_xlfn.VSTACK(YES_Writing_ELA[#Data], YES_Writing_FLA[#Data]),MATCH($A336,_xlfn.VSTACK(YES_Writing_ELA[Student Number], YES_Writing_FLA[Student Number]),0),MATCH(C$7,YES_Writing_ELA[#Headers],0)),"")</f>
        <v/>
      </c>
      <c r="D336" s="138" t="str">
        <f>IFERROR(IF(IF(INDEX(_xlfn.VSTACK(YES_Writing_ELA[#Data],YES_Writing_FLA[#Data]),MATCH($A336,_xlfn.VSTACK(YES_Writing_ELA[Student Number],YES_Writing_FLA[Student Number]),0),MATCH(VLOOKUP(D$7,'Writing Logic'!$J$7:$K$11,2,FALSE)&amp;" - Per "&amp;VLOOKUP($C$4,'Writing Logic'!$G$8:$H$14,2,FALSE),YES_Writing_ELA[#Headers],0))=0,"",INDEX(_xlfn.VSTACK(YES_Writing_ELA[#Data],YES_Writing_FLA[#Data]),MATCH($A336,_xlfn.VSTACK(YES_Writing_ELA[Student Number],YES_Writing_FLA[Student Number]),0),MATCH(VLOOKUP(D$7,'Writing Logic'!$J$7:$K$11,2,FALSE)&amp;" - Per "&amp;VLOOKUP($C$4,'Writing Logic'!$G$8:$H$14,2,FALSE),YES_Writing_ELA[#Headers],0)))="INS",'Writing Logic'!$B$7,IF(INDEX(_xlfn.VSTACK(YES_Writing_ELA[#Data],YES_Writing_FLA[#Data]),MATCH($A336,_xlfn.VSTACK(YES_Writing_ELA[Student Number],YES_Writing_FLA[Student Number]),0),MATCH(VLOOKUP(D$7,'Writing Logic'!$J$7:$K$11,2,FALSE)&amp;" - Per "&amp;VLOOKUP($C$4,'Writing Logic'!$G$8:$H$14,2,FALSE),YES_Writing_ELA[#Headers],0))=0,"",INDEX(_xlfn.VSTACK(YES_Writing_ELA[#Data],YES_Writing_FLA[#Data]),MATCH($A336,_xlfn.VSTACK(YES_Writing_ELA[Student Number],YES_Writing_FLA[Student Number]),0),MATCH(VLOOKUP(D$7,'Writing Logic'!$J$7:$K$11,2,FALSE)&amp;" - Per "&amp;VLOOKUP($C$4,'Writing Logic'!$G$8:$H$14,2,FALSE),YES_Writing_ELA[#Headers],0)))),"")</f>
        <v/>
      </c>
      <c r="E336" s="138" t="str">
        <f>IFERROR(IF(IF(INDEX(_xlfn.VSTACK(YES_Writing_ELA[#Data],YES_Writing_FLA[#Data]),MATCH($A336,_xlfn.VSTACK(YES_Writing_ELA[Student Number],YES_Writing_FLA[Student Number]),0),MATCH(VLOOKUP(E$7,'Writing Logic'!$J$7:$K$11,2,FALSE)&amp;" - Per "&amp;VLOOKUP($C$4,'Writing Logic'!$G$8:$H$14,2,FALSE),YES_Writing_ELA[#Headers],0))=0,"",INDEX(_xlfn.VSTACK(YES_Writing_ELA[#Data],YES_Writing_FLA[#Data]),MATCH($A336,_xlfn.VSTACK(YES_Writing_ELA[Student Number],YES_Writing_FLA[Student Number]),0),MATCH(VLOOKUP(E$7,'Writing Logic'!$J$7:$K$11,2,FALSE)&amp;" - Per "&amp;VLOOKUP($C$4,'Writing Logic'!$G$8:$H$14,2,FALSE),YES_Writing_ELA[#Headers],0)))="INS",'Writing Logic'!$B$7,IF(INDEX(_xlfn.VSTACK(YES_Writing_ELA[#Data],YES_Writing_FLA[#Data]),MATCH($A336,_xlfn.VSTACK(YES_Writing_ELA[Student Number],YES_Writing_FLA[Student Number]),0),MATCH(VLOOKUP(E$7,'Writing Logic'!$J$7:$K$11,2,FALSE)&amp;" - Per "&amp;VLOOKUP($C$4,'Writing Logic'!$G$8:$H$14,2,FALSE),YES_Writing_ELA[#Headers],0))=0,"",INDEX(_xlfn.VSTACK(YES_Writing_ELA[#Data],YES_Writing_FLA[#Data]),MATCH($A336,_xlfn.VSTACK(YES_Writing_ELA[Student Number],YES_Writing_FLA[Student Number]),0),MATCH(VLOOKUP(E$7,'Writing Logic'!$J$7:$K$11,2,FALSE)&amp;" - Per "&amp;VLOOKUP($C$4,'Writing Logic'!$G$8:$H$14,2,FALSE),YES_Writing_ELA[#Headers],0)))),"")</f>
        <v/>
      </c>
      <c r="F336" s="138" t="str">
        <f>IFERROR(IF(IF(INDEX(_xlfn.VSTACK(YES_Writing_ELA[#Data],YES_Writing_FLA[#Data]),MATCH($A336,_xlfn.VSTACK(YES_Writing_ELA[Student Number],YES_Writing_FLA[Student Number]),0),MATCH(VLOOKUP(F$7,'Writing Logic'!$J$7:$K$11,2,FALSE)&amp;" - Per "&amp;VLOOKUP($C$4,'Writing Logic'!$G$8:$H$14,2,FALSE),YES_Writing_ELA[#Headers],0))=0,"",INDEX(_xlfn.VSTACK(YES_Writing_ELA[#Data],YES_Writing_FLA[#Data]),MATCH($A336,_xlfn.VSTACK(YES_Writing_ELA[Student Number],YES_Writing_FLA[Student Number]),0),MATCH(VLOOKUP(F$7,'Writing Logic'!$J$7:$K$11,2,FALSE)&amp;" - Per "&amp;VLOOKUP($C$4,'Writing Logic'!$G$8:$H$14,2,FALSE),YES_Writing_ELA[#Headers],0)))="INS",'Writing Logic'!$B$7,IF(INDEX(_xlfn.VSTACK(YES_Writing_ELA[#Data],YES_Writing_FLA[#Data]),MATCH($A336,_xlfn.VSTACK(YES_Writing_ELA[Student Number],YES_Writing_FLA[Student Number]),0),MATCH(VLOOKUP(F$7,'Writing Logic'!$J$7:$K$11,2,FALSE)&amp;" - Per "&amp;VLOOKUP($C$4,'Writing Logic'!$G$8:$H$14,2,FALSE),YES_Writing_ELA[#Headers],0))=0,"",INDEX(_xlfn.VSTACK(YES_Writing_ELA[#Data],YES_Writing_FLA[#Data]),MATCH($A336,_xlfn.VSTACK(YES_Writing_ELA[Student Number],YES_Writing_FLA[Student Number]),0),MATCH(VLOOKUP(F$7,'Writing Logic'!$J$7:$K$11,2,FALSE)&amp;" - Per "&amp;VLOOKUP($C$4,'Writing Logic'!$G$8:$H$14,2,FALSE),YES_Writing_ELA[#Headers],0)))),"")</f>
        <v/>
      </c>
      <c r="G336" s="138" t="str">
        <f>IFERROR(IF(IF(INDEX(_xlfn.VSTACK(YES_Writing_ELA[#Data],YES_Writing_FLA[#Data]),MATCH($A336,_xlfn.VSTACK(YES_Writing_ELA[Student Number],YES_Writing_FLA[Student Number]),0),MATCH(VLOOKUP(G$7,'Writing Logic'!$J$7:$K$11,2,FALSE)&amp;" - Per "&amp;VLOOKUP($C$4,'Writing Logic'!$G$8:$H$14,2,FALSE),YES_Writing_ELA[#Headers],0))=0,"",INDEX(_xlfn.VSTACK(YES_Writing_ELA[#Data],YES_Writing_FLA[#Data]),MATCH($A336,_xlfn.VSTACK(YES_Writing_ELA[Student Number],YES_Writing_FLA[Student Number]),0),MATCH(VLOOKUP(G$7,'Writing Logic'!$J$7:$K$11,2,FALSE)&amp;" - Per "&amp;VLOOKUP($C$4,'Writing Logic'!$G$8:$H$14,2,FALSE),YES_Writing_ELA[#Headers],0)))="INS",'Writing Logic'!$B$7,IF(INDEX(_xlfn.VSTACK(YES_Writing_ELA[#Data],YES_Writing_FLA[#Data]),MATCH($A336,_xlfn.VSTACK(YES_Writing_ELA[Student Number],YES_Writing_FLA[Student Number]),0),MATCH(VLOOKUP(G$7,'Writing Logic'!$J$7:$K$11,2,FALSE)&amp;" - Per "&amp;VLOOKUP($C$4,'Writing Logic'!$G$8:$H$14,2,FALSE),YES_Writing_ELA[#Headers],0))=0,"",INDEX(_xlfn.VSTACK(YES_Writing_ELA[#Data],YES_Writing_FLA[#Data]),MATCH($A336,_xlfn.VSTACK(YES_Writing_ELA[Student Number],YES_Writing_FLA[Student Number]),0),MATCH(VLOOKUP(G$7,'Writing Logic'!$J$7:$K$11,2,FALSE)&amp;" - Per "&amp;VLOOKUP($C$4,'Writing Logic'!$G$8:$H$14,2,FALSE),YES_Writing_ELA[#Headers],0)))),"")</f>
        <v/>
      </c>
      <c r="H336" s="138" t="str">
        <f>IFERROR(IF(IF(INDEX(_xlfn.VSTACK(YES_Writing_ELA[#Data],YES_Writing_FLA[#Data]),MATCH($A336,_xlfn.VSTACK(YES_Writing_ELA[Student Number],YES_Writing_FLA[Student Number]),0),MATCH(VLOOKUP(H$7,'Writing Logic'!$J$7:$K$11,2,FALSE)&amp;" - Per "&amp;VLOOKUP($C$4,'Writing Logic'!$G$8:$H$14,2,FALSE),YES_Writing_ELA[#Headers],0))=0,"",INDEX(_xlfn.VSTACK(YES_Writing_ELA[#Data],YES_Writing_FLA[#Data]),MATCH($A336,_xlfn.VSTACK(YES_Writing_ELA[Student Number],YES_Writing_FLA[Student Number]),0),MATCH(VLOOKUP(H$7,'Writing Logic'!$J$7:$K$11,2,FALSE)&amp;" - Per "&amp;VLOOKUP($C$4,'Writing Logic'!$G$8:$H$14,2,FALSE),YES_Writing_ELA[#Headers],0)))="INS",'Writing Logic'!$B$7,IF(INDEX(_xlfn.VSTACK(YES_Writing_ELA[#Data],YES_Writing_FLA[#Data]),MATCH($A336,_xlfn.VSTACK(YES_Writing_ELA[Student Number],YES_Writing_FLA[Student Number]),0),MATCH(VLOOKUP(H$7,'Writing Logic'!$J$7:$K$11,2,FALSE)&amp;" - Per "&amp;VLOOKUP($C$4,'Writing Logic'!$G$8:$H$14,2,FALSE),YES_Writing_ELA[#Headers],0))=0,"",INDEX(_xlfn.VSTACK(YES_Writing_ELA[#Data],YES_Writing_FLA[#Data]),MATCH($A336,_xlfn.VSTACK(YES_Writing_ELA[Student Number],YES_Writing_FLA[Student Number]),0),MATCH(VLOOKUP(H$7,'Writing Logic'!$J$7:$K$11,2,FALSE)&amp;" - Per "&amp;VLOOKUP($C$4,'Writing Logic'!$G$8:$H$14,2,FALSE),YES_Writing_ELA[#Headers],0)))),"")</f>
        <v/>
      </c>
    </row>
    <row r="337" spans="1:8" x14ac:dyDescent="0.25">
      <c r="A337" s="137"/>
      <c r="B337" s="137" t="str">
        <f>IFERROR(INDEX(_xlfn.VSTACK(YES_Writing_ELA[#Data], YES_Writing_FLA[#Data]),MATCH($A337,_xlfn.VSTACK(YES_Writing_ELA[Student Number], YES_Writing_FLA[Student Number]),0),MATCH(B$7,YES_Writing_ELA[#Headers],0)),"")</f>
        <v/>
      </c>
      <c r="C337" s="137" t="str">
        <f>IFERROR(INDEX(_xlfn.VSTACK(YES_Writing_ELA[#Data], YES_Writing_FLA[#Data]),MATCH($A337,_xlfn.VSTACK(YES_Writing_ELA[Student Number], YES_Writing_FLA[Student Number]),0),MATCH(C$7,YES_Writing_ELA[#Headers],0)),"")</f>
        <v/>
      </c>
      <c r="D337" s="138" t="str">
        <f>IFERROR(IF(IF(INDEX(_xlfn.VSTACK(YES_Writing_ELA[#Data],YES_Writing_FLA[#Data]),MATCH($A337,_xlfn.VSTACK(YES_Writing_ELA[Student Number],YES_Writing_FLA[Student Number]),0),MATCH(VLOOKUP(D$7,'Writing Logic'!$J$7:$K$11,2,FALSE)&amp;" - Per "&amp;VLOOKUP($C$4,'Writing Logic'!$G$8:$H$14,2,FALSE),YES_Writing_ELA[#Headers],0))=0,"",INDEX(_xlfn.VSTACK(YES_Writing_ELA[#Data],YES_Writing_FLA[#Data]),MATCH($A337,_xlfn.VSTACK(YES_Writing_ELA[Student Number],YES_Writing_FLA[Student Number]),0),MATCH(VLOOKUP(D$7,'Writing Logic'!$J$7:$K$11,2,FALSE)&amp;" - Per "&amp;VLOOKUP($C$4,'Writing Logic'!$G$8:$H$14,2,FALSE),YES_Writing_ELA[#Headers],0)))="INS",'Writing Logic'!$B$7,IF(INDEX(_xlfn.VSTACK(YES_Writing_ELA[#Data],YES_Writing_FLA[#Data]),MATCH($A337,_xlfn.VSTACK(YES_Writing_ELA[Student Number],YES_Writing_FLA[Student Number]),0),MATCH(VLOOKUP(D$7,'Writing Logic'!$J$7:$K$11,2,FALSE)&amp;" - Per "&amp;VLOOKUP($C$4,'Writing Logic'!$G$8:$H$14,2,FALSE),YES_Writing_ELA[#Headers],0))=0,"",INDEX(_xlfn.VSTACK(YES_Writing_ELA[#Data],YES_Writing_FLA[#Data]),MATCH($A337,_xlfn.VSTACK(YES_Writing_ELA[Student Number],YES_Writing_FLA[Student Number]),0),MATCH(VLOOKUP(D$7,'Writing Logic'!$J$7:$K$11,2,FALSE)&amp;" - Per "&amp;VLOOKUP($C$4,'Writing Logic'!$G$8:$H$14,2,FALSE),YES_Writing_ELA[#Headers],0)))),"")</f>
        <v/>
      </c>
      <c r="E337" s="138" t="str">
        <f>IFERROR(IF(IF(INDEX(_xlfn.VSTACK(YES_Writing_ELA[#Data],YES_Writing_FLA[#Data]),MATCH($A337,_xlfn.VSTACK(YES_Writing_ELA[Student Number],YES_Writing_FLA[Student Number]),0),MATCH(VLOOKUP(E$7,'Writing Logic'!$J$7:$K$11,2,FALSE)&amp;" - Per "&amp;VLOOKUP($C$4,'Writing Logic'!$G$8:$H$14,2,FALSE),YES_Writing_ELA[#Headers],0))=0,"",INDEX(_xlfn.VSTACK(YES_Writing_ELA[#Data],YES_Writing_FLA[#Data]),MATCH($A337,_xlfn.VSTACK(YES_Writing_ELA[Student Number],YES_Writing_FLA[Student Number]),0),MATCH(VLOOKUP(E$7,'Writing Logic'!$J$7:$K$11,2,FALSE)&amp;" - Per "&amp;VLOOKUP($C$4,'Writing Logic'!$G$8:$H$14,2,FALSE),YES_Writing_ELA[#Headers],0)))="INS",'Writing Logic'!$B$7,IF(INDEX(_xlfn.VSTACK(YES_Writing_ELA[#Data],YES_Writing_FLA[#Data]),MATCH($A337,_xlfn.VSTACK(YES_Writing_ELA[Student Number],YES_Writing_FLA[Student Number]),0),MATCH(VLOOKUP(E$7,'Writing Logic'!$J$7:$K$11,2,FALSE)&amp;" - Per "&amp;VLOOKUP($C$4,'Writing Logic'!$G$8:$H$14,2,FALSE),YES_Writing_ELA[#Headers],0))=0,"",INDEX(_xlfn.VSTACK(YES_Writing_ELA[#Data],YES_Writing_FLA[#Data]),MATCH($A337,_xlfn.VSTACK(YES_Writing_ELA[Student Number],YES_Writing_FLA[Student Number]),0),MATCH(VLOOKUP(E$7,'Writing Logic'!$J$7:$K$11,2,FALSE)&amp;" - Per "&amp;VLOOKUP($C$4,'Writing Logic'!$G$8:$H$14,2,FALSE),YES_Writing_ELA[#Headers],0)))),"")</f>
        <v/>
      </c>
      <c r="F337" s="138" t="str">
        <f>IFERROR(IF(IF(INDEX(_xlfn.VSTACK(YES_Writing_ELA[#Data],YES_Writing_FLA[#Data]),MATCH($A337,_xlfn.VSTACK(YES_Writing_ELA[Student Number],YES_Writing_FLA[Student Number]),0),MATCH(VLOOKUP(F$7,'Writing Logic'!$J$7:$K$11,2,FALSE)&amp;" - Per "&amp;VLOOKUP($C$4,'Writing Logic'!$G$8:$H$14,2,FALSE),YES_Writing_ELA[#Headers],0))=0,"",INDEX(_xlfn.VSTACK(YES_Writing_ELA[#Data],YES_Writing_FLA[#Data]),MATCH($A337,_xlfn.VSTACK(YES_Writing_ELA[Student Number],YES_Writing_FLA[Student Number]),0),MATCH(VLOOKUP(F$7,'Writing Logic'!$J$7:$K$11,2,FALSE)&amp;" - Per "&amp;VLOOKUP($C$4,'Writing Logic'!$G$8:$H$14,2,FALSE),YES_Writing_ELA[#Headers],0)))="INS",'Writing Logic'!$B$7,IF(INDEX(_xlfn.VSTACK(YES_Writing_ELA[#Data],YES_Writing_FLA[#Data]),MATCH($A337,_xlfn.VSTACK(YES_Writing_ELA[Student Number],YES_Writing_FLA[Student Number]),0),MATCH(VLOOKUP(F$7,'Writing Logic'!$J$7:$K$11,2,FALSE)&amp;" - Per "&amp;VLOOKUP($C$4,'Writing Logic'!$G$8:$H$14,2,FALSE),YES_Writing_ELA[#Headers],0))=0,"",INDEX(_xlfn.VSTACK(YES_Writing_ELA[#Data],YES_Writing_FLA[#Data]),MATCH($A337,_xlfn.VSTACK(YES_Writing_ELA[Student Number],YES_Writing_FLA[Student Number]),0),MATCH(VLOOKUP(F$7,'Writing Logic'!$J$7:$K$11,2,FALSE)&amp;" - Per "&amp;VLOOKUP($C$4,'Writing Logic'!$G$8:$H$14,2,FALSE),YES_Writing_ELA[#Headers],0)))),"")</f>
        <v/>
      </c>
      <c r="G337" s="138" t="str">
        <f>IFERROR(IF(IF(INDEX(_xlfn.VSTACK(YES_Writing_ELA[#Data],YES_Writing_FLA[#Data]),MATCH($A337,_xlfn.VSTACK(YES_Writing_ELA[Student Number],YES_Writing_FLA[Student Number]),0),MATCH(VLOOKUP(G$7,'Writing Logic'!$J$7:$K$11,2,FALSE)&amp;" - Per "&amp;VLOOKUP($C$4,'Writing Logic'!$G$8:$H$14,2,FALSE),YES_Writing_ELA[#Headers],0))=0,"",INDEX(_xlfn.VSTACK(YES_Writing_ELA[#Data],YES_Writing_FLA[#Data]),MATCH($A337,_xlfn.VSTACK(YES_Writing_ELA[Student Number],YES_Writing_FLA[Student Number]),0),MATCH(VLOOKUP(G$7,'Writing Logic'!$J$7:$K$11,2,FALSE)&amp;" - Per "&amp;VLOOKUP($C$4,'Writing Logic'!$G$8:$H$14,2,FALSE),YES_Writing_ELA[#Headers],0)))="INS",'Writing Logic'!$B$7,IF(INDEX(_xlfn.VSTACK(YES_Writing_ELA[#Data],YES_Writing_FLA[#Data]),MATCH($A337,_xlfn.VSTACK(YES_Writing_ELA[Student Number],YES_Writing_FLA[Student Number]),0),MATCH(VLOOKUP(G$7,'Writing Logic'!$J$7:$K$11,2,FALSE)&amp;" - Per "&amp;VLOOKUP($C$4,'Writing Logic'!$G$8:$H$14,2,FALSE),YES_Writing_ELA[#Headers],0))=0,"",INDEX(_xlfn.VSTACK(YES_Writing_ELA[#Data],YES_Writing_FLA[#Data]),MATCH($A337,_xlfn.VSTACK(YES_Writing_ELA[Student Number],YES_Writing_FLA[Student Number]),0),MATCH(VLOOKUP(G$7,'Writing Logic'!$J$7:$K$11,2,FALSE)&amp;" - Per "&amp;VLOOKUP($C$4,'Writing Logic'!$G$8:$H$14,2,FALSE),YES_Writing_ELA[#Headers],0)))),"")</f>
        <v/>
      </c>
      <c r="H337" s="138" t="str">
        <f>IFERROR(IF(IF(INDEX(_xlfn.VSTACK(YES_Writing_ELA[#Data],YES_Writing_FLA[#Data]),MATCH($A337,_xlfn.VSTACK(YES_Writing_ELA[Student Number],YES_Writing_FLA[Student Number]),0),MATCH(VLOOKUP(H$7,'Writing Logic'!$J$7:$K$11,2,FALSE)&amp;" - Per "&amp;VLOOKUP($C$4,'Writing Logic'!$G$8:$H$14,2,FALSE),YES_Writing_ELA[#Headers],0))=0,"",INDEX(_xlfn.VSTACK(YES_Writing_ELA[#Data],YES_Writing_FLA[#Data]),MATCH($A337,_xlfn.VSTACK(YES_Writing_ELA[Student Number],YES_Writing_FLA[Student Number]),0),MATCH(VLOOKUP(H$7,'Writing Logic'!$J$7:$K$11,2,FALSE)&amp;" - Per "&amp;VLOOKUP($C$4,'Writing Logic'!$G$8:$H$14,2,FALSE),YES_Writing_ELA[#Headers],0)))="INS",'Writing Logic'!$B$7,IF(INDEX(_xlfn.VSTACK(YES_Writing_ELA[#Data],YES_Writing_FLA[#Data]),MATCH($A337,_xlfn.VSTACK(YES_Writing_ELA[Student Number],YES_Writing_FLA[Student Number]),0),MATCH(VLOOKUP(H$7,'Writing Logic'!$J$7:$K$11,2,FALSE)&amp;" - Per "&amp;VLOOKUP($C$4,'Writing Logic'!$G$8:$H$14,2,FALSE),YES_Writing_ELA[#Headers],0))=0,"",INDEX(_xlfn.VSTACK(YES_Writing_ELA[#Data],YES_Writing_FLA[#Data]),MATCH($A337,_xlfn.VSTACK(YES_Writing_ELA[Student Number],YES_Writing_FLA[Student Number]),0),MATCH(VLOOKUP(H$7,'Writing Logic'!$J$7:$K$11,2,FALSE)&amp;" - Per "&amp;VLOOKUP($C$4,'Writing Logic'!$G$8:$H$14,2,FALSE),YES_Writing_ELA[#Headers],0)))),"")</f>
        <v/>
      </c>
    </row>
    <row r="338" spans="1:8" x14ac:dyDescent="0.25">
      <c r="A338" s="137"/>
      <c r="B338" s="137" t="str">
        <f>IFERROR(INDEX(_xlfn.VSTACK(YES_Writing_ELA[#Data], YES_Writing_FLA[#Data]),MATCH($A338,_xlfn.VSTACK(YES_Writing_ELA[Student Number], YES_Writing_FLA[Student Number]),0),MATCH(B$7,YES_Writing_ELA[#Headers],0)),"")</f>
        <v/>
      </c>
      <c r="C338" s="137" t="str">
        <f>IFERROR(INDEX(_xlfn.VSTACK(YES_Writing_ELA[#Data], YES_Writing_FLA[#Data]),MATCH($A338,_xlfn.VSTACK(YES_Writing_ELA[Student Number], YES_Writing_FLA[Student Number]),0),MATCH(C$7,YES_Writing_ELA[#Headers],0)),"")</f>
        <v/>
      </c>
      <c r="D338" s="138" t="str">
        <f>IFERROR(IF(IF(INDEX(_xlfn.VSTACK(YES_Writing_ELA[#Data],YES_Writing_FLA[#Data]),MATCH($A338,_xlfn.VSTACK(YES_Writing_ELA[Student Number],YES_Writing_FLA[Student Number]),0),MATCH(VLOOKUP(D$7,'Writing Logic'!$J$7:$K$11,2,FALSE)&amp;" - Per "&amp;VLOOKUP($C$4,'Writing Logic'!$G$8:$H$14,2,FALSE),YES_Writing_ELA[#Headers],0))=0,"",INDEX(_xlfn.VSTACK(YES_Writing_ELA[#Data],YES_Writing_FLA[#Data]),MATCH($A338,_xlfn.VSTACK(YES_Writing_ELA[Student Number],YES_Writing_FLA[Student Number]),0),MATCH(VLOOKUP(D$7,'Writing Logic'!$J$7:$K$11,2,FALSE)&amp;" - Per "&amp;VLOOKUP($C$4,'Writing Logic'!$G$8:$H$14,2,FALSE),YES_Writing_ELA[#Headers],0)))="INS",'Writing Logic'!$B$7,IF(INDEX(_xlfn.VSTACK(YES_Writing_ELA[#Data],YES_Writing_FLA[#Data]),MATCH($A338,_xlfn.VSTACK(YES_Writing_ELA[Student Number],YES_Writing_FLA[Student Number]),0),MATCH(VLOOKUP(D$7,'Writing Logic'!$J$7:$K$11,2,FALSE)&amp;" - Per "&amp;VLOOKUP($C$4,'Writing Logic'!$G$8:$H$14,2,FALSE),YES_Writing_ELA[#Headers],0))=0,"",INDEX(_xlfn.VSTACK(YES_Writing_ELA[#Data],YES_Writing_FLA[#Data]),MATCH($A338,_xlfn.VSTACK(YES_Writing_ELA[Student Number],YES_Writing_FLA[Student Number]),0),MATCH(VLOOKUP(D$7,'Writing Logic'!$J$7:$K$11,2,FALSE)&amp;" - Per "&amp;VLOOKUP($C$4,'Writing Logic'!$G$8:$H$14,2,FALSE),YES_Writing_ELA[#Headers],0)))),"")</f>
        <v/>
      </c>
      <c r="E338" s="138" t="str">
        <f>IFERROR(IF(IF(INDEX(_xlfn.VSTACK(YES_Writing_ELA[#Data],YES_Writing_FLA[#Data]),MATCH($A338,_xlfn.VSTACK(YES_Writing_ELA[Student Number],YES_Writing_FLA[Student Number]),0),MATCH(VLOOKUP(E$7,'Writing Logic'!$J$7:$K$11,2,FALSE)&amp;" - Per "&amp;VLOOKUP($C$4,'Writing Logic'!$G$8:$H$14,2,FALSE),YES_Writing_ELA[#Headers],0))=0,"",INDEX(_xlfn.VSTACK(YES_Writing_ELA[#Data],YES_Writing_FLA[#Data]),MATCH($A338,_xlfn.VSTACK(YES_Writing_ELA[Student Number],YES_Writing_FLA[Student Number]),0),MATCH(VLOOKUP(E$7,'Writing Logic'!$J$7:$K$11,2,FALSE)&amp;" - Per "&amp;VLOOKUP($C$4,'Writing Logic'!$G$8:$H$14,2,FALSE),YES_Writing_ELA[#Headers],0)))="INS",'Writing Logic'!$B$7,IF(INDEX(_xlfn.VSTACK(YES_Writing_ELA[#Data],YES_Writing_FLA[#Data]),MATCH($A338,_xlfn.VSTACK(YES_Writing_ELA[Student Number],YES_Writing_FLA[Student Number]),0),MATCH(VLOOKUP(E$7,'Writing Logic'!$J$7:$K$11,2,FALSE)&amp;" - Per "&amp;VLOOKUP($C$4,'Writing Logic'!$G$8:$H$14,2,FALSE),YES_Writing_ELA[#Headers],0))=0,"",INDEX(_xlfn.VSTACK(YES_Writing_ELA[#Data],YES_Writing_FLA[#Data]),MATCH($A338,_xlfn.VSTACK(YES_Writing_ELA[Student Number],YES_Writing_FLA[Student Number]),0),MATCH(VLOOKUP(E$7,'Writing Logic'!$J$7:$K$11,2,FALSE)&amp;" - Per "&amp;VLOOKUP($C$4,'Writing Logic'!$G$8:$H$14,2,FALSE),YES_Writing_ELA[#Headers],0)))),"")</f>
        <v/>
      </c>
      <c r="F338" s="138" t="str">
        <f>IFERROR(IF(IF(INDEX(_xlfn.VSTACK(YES_Writing_ELA[#Data],YES_Writing_FLA[#Data]),MATCH($A338,_xlfn.VSTACK(YES_Writing_ELA[Student Number],YES_Writing_FLA[Student Number]),0),MATCH(VLOOKUP(F$7,'Writing Logic'!$J$7:$K$11,2,FALSE)&amp;" - Per "&amp;VLOOKUP($C$4,'Writing Logic'!$G$8:$H$14,2,FALSE),YES_Writing_ELA[#Headers],0))=0,"",INDEX(_xlfn.VSTACK(YES_Writing_ELA[#Data],YES_Writing_FLA[#Data]),MATCH($A338,_xlfn.VSTACK(YES_Writing_ELA[Student Number],YES_Writing_FLA[Student Number]),0),MATCH(VLOOKUP(F$7,'Writing Logic'!$J$7:$K$11,2,FALSE)&amp;" - Per "&amp;VLOOKUP($C$4,'Writing Logic'!$G$8:$H$14,2,FALSE),YES_Writing_ELA[#Headers],0)))="INS",'Writing Logic'!$B$7,IF(INDEX(_xlfn.VSTACK(YES_Writing_ELA[#Data],YES_Writing_FLA[#Data]),MATCH($A338,_xlfn.VSTACK(YES_Writing_ELA[Student Number],YES_Writing_FLA[Student Number]),0),MATCH(VLOOKUP(F$7,'Writing Logic'!$J$7:$K$11,2,FALSE)&amp;" - Per "&amp;VLOOKUP($C$4,'Writing Logic'!$G$8:$H$14,2,FALSE),YES_Writing_ELA[#Headers],0))=0,"",INDEX(_xlfn.VSTACK(YES_Writing_ELA[#Data],YES_Writing_FLA[#Data]),MATCH($A338,_xlfn.VSTACK(YES_Writing_ELA[Student Number],YES_Writing_FLA[Student Number]),0),MATCH(VLOOKUP(F$7,'Writing Logic'!$J$7:$K$11,2,FALSE)&amp;" - Per "&amp;VLOOKUP($C$4,'Writing Logic'!$G$8:$H$14,2,FALSE),YES_Writing_ELA[#Headers],0)))),"")</f>
        <v/>
      </c>
      <c r="G338" s="138" t="str">
        <f>IFERROR(IF(IF(INDEX(_xlfn.VSTACK(YES_Writing_ELA[#Data],YES_Writing_FLA[#Data]),MATCH($A338,_xlfn.VSTACK(YES_Writing_ELA[Student Number],YES_Writing_FLA[Student Number]),0),MATCH(VLOOKUP(G$7,'Writing Logic'!$J$7:$K$11,2,FALSE)&amp;" - Per "&amp;VLOOKUP($C$4,'Writing Logic'!$G$8:$H$14,2,FALSE),YES_Writing_ELA[#Headers],0))=0,"",INDEX(_xlfn.VSTACK(YES_Writing_ELA[#Data],YES_Writing_FLA[#Data]),MATCH($A338,_xlfn.VSTACK(YES_Writing_ELA[Student Number],YES_Writing_FLA[Student Number]),0),MATCH(VLOOKUP(G$7,'Writing Logic'!$J$7:$K$11,2,FALSE)&amp;" - Per "&amp;VLOOKUP($C$4,'Writing Logic'!$G$8:$H$14,2,FALSE),YES_Writing_ELA[#Headers],0)))="INS",'Writing Logic'!$B$7,IF(INDEX(_xlfn.VSTACK(YES_Writing_ELA[#Data],YES_Writing_FLA[#Data]),MATCH($A338,_xlfn.VSTACK(YES_Writing_ELA[Student Number],YES_Writing_FLA[Student Number]),0),MATCH(VLOOKUP(G$7,'Writing Logic'!$J$7:$K$11,2,FALSE)&amp;" - Per "&amp;VLOOKUP($C$4,'Writing Logic'!$G$8:$H$14,2,FALSE),YES_Writing_ELA[#Headers],0))=0,"",INDEX(_xlfn.VSTACK(YES_Writing_ELA[#Data],YES_Writing_FLA[#Data]),MATCH($A338,_xlfn.VSTACK(YES_Writing_ELA[Student Number],YES_Writing_FLA[Student Number]),0),MATCH(VLOOKUP(G$7,'Writing Logic'!$J$7:$K$11,2,FALSE)&amp;" - Per "&amp;VLOOKUP($C$4,'Writing Logic'!$G$8:$H$14,2,FALSE),YES_Writing_ELA[#Headers],0)))),"")</f>
        <v/>
      </c>
      <c r="H338" s="138" t="str">
        <f>IFERROR(IF(IF(INDEX(_xlfn.VSTACK(YES_Writing_ELA[#Data],YES_Writing_FLA[#Data]),MATCH($A338,_xlfn.VSTACK(YES_Writing_ELA[Student Number],YES_Writing_FLA[Student Number]),0),MATCH(VLOOKUP(H$7,'Writing Logic'!$J$7:$K$11,2,FALSE)&amp;" - Per "&amp;VLOOKUP($C$4,'Writing Logic'!$G$8:$H$14,2,FALSE),YES_Writing_ELA[#Headers],0))=0,"",INDEX(_xlfn.VSTACK(YES_Writing_ELA[#Data],YES_Writing_FLA[#Data]),MATCH($A338,_xlfn.VSTACK(YES_Writing_ELA[Student Number],YES_Writing_FLA[Student Number]),0),MATCH(VLOOKUP(H$7,'Writing Logic'!$J$7:$K$11,2,FALSE)&amp;" - Per "&amp;VLOOKUP($C$4,'Writing Logic'!$G$8:$H$14,2,FALSE),YES_Writing_ELA[#Headers],0)))="INS",'Writing Logic'!$B$7,IF(INDEX(_xlfn.VSTACK(YES_Writing_ELA[#Data],YES_Writing_FLA[#Data]),MATCH($A338,_xlfn.VSTACK(YES_Writing_ELA[Student Number],YES_Writing_FLA[Student Number]),0),MATCH(VLOOKUP(H$7,'Writing Logic'!$J$7:$K$11,2,FALSE)&amp;" - Per "&amp;VLOOKUP($C$4,'Writing Logic'!$G$8:$H$14,2,FALSE),YES_Writing_ELA[#Headers],0))=0,"",INDEX(_xlfn.VSTACK(YES_Writing_ELA[#Data],YES_Writing_FLA[#Data]),MATCH($A338,_xlfn.VSTACK(YES_Writing_ELA[Student Number],YES_Writing_FLA[Student Number]),0),MATCH(VLOOKUP(H$7,'Writing Logic'!$J$7:$K$11,2,FALSE)&amp;" - Per "&amp;VLOOKUP($C$4,'Writing Logic'!$G$8:$H$14,2,FALSE),YES_Writing_ELA[#Headers],0)))),"")</f>
        <v/>
      </c>
    </row>
    <row r="339" spans="1:8" x14ac:dyDescent="0.25">
      <c r="A339" s="137"/>
      <c r="B339" s="137" t="str">
        <f>IFERROR(INDEX(_xlfn.VSTACK(YES_Writing_ELA[#Data], YES_Writing_FLA[#Data]),MATCH($A339,_xlfn.VSTACK(YES_Writing_ELA[Student Number], YES_Writing_FLA[Student Number]),0),MATCH(B$7,YES_Writing_ELA[#Headers],0)),"")</f>
        <v/>
      </c>
      <c r="C339" s="137" t="str">
        <f>IFERROR(INDEX(_xlfn.VSTACK(YES_Writing_ELA[#Data], YES_Writing_FLA[#Data]),MATCH($A339,_xlfn.VSTACK(YES_Writing_ELA[Student Number], YES_Writing_FLA[Student Number]),0),MATCH(C$7,YES_Writing_ELA[#Headers],0)),"")</f>
        <v/>
      </c>
      <c r="D339" s="138" t="str">
        <f>IFERROR(IF(IF(INDEX(_xlfn.VSTACK(YES_Writing_ELA[#Data],YES_Writing_FLA[#Data]),MATCH($A339,_xlfn.VSTACK(YES_Writing_ELA[Student Number],YES_Writing_FLA[Student Number]),0),MATCH(VLOOKUP(D$7,'Writing Logic'!$J$7:$K$11,2,FALSE)&amp;" - Per "&amp;VLOOKUP($C$4,'Writing Logic'!$G$8:$H$14,2,FALSE),YES_Writing_ELA[#Headers],0))=0,"",INDEX(_xlfn.VSTACK(YES_Writing_ELA[#Data],YES_Writing_FLA[#Data]),MATCH($A339,_xlfn.VSTACK(YES_Writing_ELA[Student Number],YES_Writing_FLA[Student Number]),0),MATCH(VLOOKUP(D$7,'Writing Logic'!$J$7:$K$11,2,FALSE)&amp;" - Per "&amp;VLOOKUP($C$4,'Writing Logic'!$G$8:$H$14,2,FALSE),YES_Writing_ELA[#Headers],0)))="INS",'Writing Logic'!$B$7,IF(INDEX(_xlfn.VSTACK(YES_Writing_ELA[#Data],YES_Writing_FLA[#Data]),MATCH($A339,_xlfn.VSTACK(YES_Writing_ELA[Student Number],YES_Writing_FLA[Student Number]),0),MATCH(VLOOKUP(D$7,'Writing Logic'!$J$7:$K$11,2,FALSE)&amp;" - Per "&amp;VLOOKUP($C$4,'Writing Logic'!$G$8:$H$14,2,FALSE),YES_Writing_ELA[#Headers],0))=0,"",INDEX(_xlfn.VSTACK(YES_Writing_ELA[#Data],YES_Writing_FLA[#Data]),MATCH($A339,_xlfn.VSTACK(YES_Writing_ELA[Student Number],YES_Writing_FLA[Student Number]),0),MATCH(VLOOKUP(D$7,'Writing Logic'!$J$7:$K$11,2,FALSE)&amp;" - Per "&amp;VLOOKUP($C$4,'Writing Logic'!$G$8:$H$14,2,FALSE),YES_Writing_ELA[#Headers],0)))),"")</f>
        <v/>
      </c>
      <c r="E339" s="138" t="str">
        <f>IFERROR(IF(IF(INDEX(_xlfn.VSTACK(YES_Writing_ELA[#Data],YES_Writing_FLA[#Data]),MATCH($A339,_xlfn.VSTACK(YES_Writing_ELA[Student Number],YES_Writing_FLA[Student Number]),0),MATCH(VLOOKUP(E$7,'Writing Logic'!$J$7:$K$11,2,FALSE)&amp;" - Per "&amp;VLOOKUP($C$4,'Writing Logic'!$G$8:$H$14,2,FALSE),YES_Writing_ELA[#Headers],0))=0,"",INDEX(_xlfn.VSTACK(YES_Writing_ELA[#Data],YES_Writing_FLA[#Data]),MATCH($A339,_xlfn.VSTACK(YES_Writing_ELA[Student Number],YES_Writing_FLA[Student Number]),0),MATCH(VLOOKUP(E$7,'Writing Logic'!$J$7:$K$11,2,FALSE)&amp;" - Per "&amp;VLOOKUP($C$4,'Writing Logic'!$G$8:$H$14,2,FALSE),YES_Writing_ELA[#Headers],0)))="INS",'Writing Logic'!$B$7,IF(INDEX(_xlfn.VSTACK(YES_Writing_ELA[#Data],YES_Writing_FLA[#Data]),MATCH($A339,_xlfn.VSTACK(YES_Writing_ELA[Student Number],YES_Writing_FLA[Student Number]),0),MATCH(VLOOKUP(E$7,'Writing Logic'!$J$7:$K$11,2,FALSE)&amp;" - Per "&amp;VLOOKUP($C$4,'Writing Logic'!$G$8:$H$14,2,FALSE),YES_Writing_ELA[#Headers],0))=0,"",INDEX(_xlfn.VSTACK(YES_Writing_ELA[#Data],YES_Writing_FLA[#Data]),MATCH($A339,_xlfn.VSTACK(YES_Writing_ELA[Student Number],YES_Writing_FLA[Student Number]),0),MATCH(VLOOKUP(E$7,'Writing Logic'!$J$7:$K$11,2,FALSE)&amp;" - Per "&amp;VLOOKUP($C$4,'Writing Logic'!$G$8:$H$14,2,FALSE),YES_Writing_ELA[#Headers],0)))),"")</f>
        <v/>
      </c>
      <c r="F339" s="138" t="str">
        <f>IFERROR(IF(IF(INDEX(_xlfn.VSTACK(YES_Writing_ELA[#Data],YES_Writing_FLA[#Data]),MATCH($A339,_xlfn.VSTACK(YES_Writing_ELA[Student Number],YES_Writing_FLA[Student Number]),0),MATCH(VLOOKUP(F$7,'Writing Logic'!$J$7:$K$11,2,FALSE)&amp;" - Per "&amp;VLOOKUP($C$4,'Writing Logic'!$G$8:$H$14,2,FALSE),YES_Writing_ELA[#Headers],0))=0,"",INDEX(_xlfn.VSTACK(YES_Writing_ELA[#Data],YES_Writing_FLA[#Data]),MATCH($A339,_xlfn.VSTACK(YES_Writing_ELA[Student Number],YES_Writing_FLA[Student Number]),0),MATCH(VLOOKUP(F$7,'Writing Logic'!$J$7:$K$11,2,FALSE)&amp;" - Per "&amp;VLOOKUP($C$4,'Writing Logic'!$G$8:$H$14,2,FALSE),YES_Writing_ELA[#Headers],0)))="INS",'Writing Logic'!$B$7,IF(INDEX(_xlfn.VSTACK(YES_Writing_ELA[#Data],YES_Writing_FLA[#Data]),MATCH($A339,_xlfn.VSTACK(YES_Writing_ELA[Student Number],YES_Writing_FLA[Student Number]),0),MATCH(VLOOKUP(F$7,'Writing Logic'!$J$7:$K$11,2,FALSE)&amp;" - Per "&amp;VLOOKUP($C$4,'Writing Logic'!$G$8:$H$14,2,FALSE),YES_Writing_ELA[#Headers],0))=0,"",INDEX(_xlfn.VSTACK(YES_Writing_ELA[#Data],YES_Writing_FLA[#Data]),MATCH($A339,_xlfn.VSTACK(YES_Writing_ELA[Student Number],YES_Writing_FLA[Student Number]),0),MATCH(VLOOKUP(F$7,'Writing Logic'!$J$7:$K$11,2,FALSE)&amp;" - Per "&amp;VLOOKUP($C$4,'Writing Logic'!$G$8:$H$14,2,FALSE),YES_Writing_ELA[#Headers],0)))),"")</f>
        <v/>
      </c>
      <c r="G339" s="138" t="str">
        <f>IFERROR(IF(IF(INDEX(_xlfn.VSTACK(YES_Writing_ELA[#Data],YES_Writing_FLA[#Data]),MATCH($A339,_xlfn.VSTACK(YES_Writing_ELA[Student Number],YES_Writing_FLA[Student Number]),0),MATCH(VLOOKUP(G$7,'Writing Logic'!$J$7:$K$11,2,FALSE)&amp;" - Per "&amp;VLOOKUP($C$4,'Writing Logic'!$G$8:$H$14,2,FALSE),YES_Writing_ELA[#Headers],0))=0,"",INDEX(_xlfn.VSTACK(YES_Writing_ELA[#Data],YES_Writing_FLA[#Data]),MATCH($A339,_xlfn.VSTACK(YES_Writing_ELA[Student Number],YES_Writing_FLA[Student Number]),0),MATCH(VLOOKUP(G$7,'Writing Logic'!$J$7:$K$11,2,FALSE)&amp;" - Per "&amp;VLOOKUP($C$4,'Writing Logic'!$G$8:$H$14,2,FALSE),YES_Writing_ELA[#Headers],0)))="INS",'Writing Logic'!$B$7,IF(INDEX(_xlfn.VSTACK(YES_Writing_ELA[#Data],YES_Writing_FLA[#Data]),MATCH($A339,_xlfn.VSTACK(YES_Writing_ELA[Student Number],YES_Writing_FLA[Student Number]),0),MATCH(VLOOKUP(G$7,'Writing Logic'!$J$7:$K$11,2,FALSE)&amp;" - Per "&amp;VLOOKUP($C$4,'Writing Logic'!$G$8:$H$14,2,FALSE),YES_Writing_ELA[#Headers],0))=0,"",INDEX(_xlfn.VSTACK(YES_Writing_ELA[#Data],YES_Writing_FLA[#Data]),MATCH($A339,_xlfn.VSTACK(YES_Writing_ELA[Student Number],YES_Writing_FLA[Student Number]),0),MATCH(VLOOKUP(G$7,'Writing Logic'!$J$7:$K$11,2,FALSE)&amp;" - Per "&amp;VLOOKUP($C$4,'Writing Logic'!$G$8:$H$14,2,FALSE),YES_Writing_ELA[#Headers],0)))),"")</f>
        <v/>
      </c>
      <c r="H339" s="138" t="str">
        <f>IFERROR(IF(IF(INDEX(_xlfn.VSTACK(YES_Writing_ELA[#Data],YES_Writing_FLA[#Data]),MATCH($A339,_xlfn.VSTACK(YES_Writing_ELA[Student Number],YES_Writing_FLA[Student Number]),0),MATCH(VLOOKUP(H$7,'Writing Logic'!$J$7:$K$11,2,FALSE)&amp;" - Per "&amp;VLOOKUP($C$4,'Writing Logic'!$G$8:$H$14,2,FALSE),YES_Writing_ELA[#Headers],0))=0,"",INDEX(_xlfn.VSTACK(YES_Writing_ELA[#Data],YES_Writing_FLA[#Data]),MATCH($A339,_xlfn.VSTACK(YES_Writing_ELA[Student Number],YES_Writing_FLA[Student Number]),0),MATCH(VLOOKUP(H$7,'Writing Logic'!$J$7:$K$11,2,FALSE)&amp;" - Per "&amp;VLOOKUP($C$4,'Writing Logic'!$G$8:$H$14,2,FALSE),YES_Writing_ELA[#Headers],0)))="INS",'Writing Logic'!$B$7,IF(INDEX(_xlfn.VSTACK(YES_Writing_ELA[#Data],YES_Writing_FLA[#Data]),MATCH($A339,_xlfn.VSTACK(YES_Writing_ELA[Student Number],YES_Writing_FLA[Student Number]),0),MATCH(VLOOKUP(H$7,'Writing Logic'!$J$7:$K$11,2,FALSE)&amp;" - Per "&amp;VLOOKUP($C$4,'Writing Logic'!$G$8:$H$14,2,FALSE),YES_Writing_ELA[#Headers],0))=0,"",INDEX(_xlfn.VSTACK(YES_Writing_ELA[#Data],YES_Writing_FLA[#Data]),MATCH($A339,_xlfn.VSTACK(YES_Writing_ELA[Student Number],YES_Writing_FLA[Student Number]),0),MATCH(VLOOKUP(H$7,'Writing Logic'!$J$7:$K$11,2,FALSE)&amp;" - Per "&amp;VLOOKUP($C$4,'Writing Logic'!$G$8:$H$14,2,FALSE),YES_Writing_ELA[#Headers],0)))),"")</f>
        <v/>
      </c>
    </row>
    <row r="340" spans="1:8" x14ac:dyDescent="0.25">
      <c r="A340" s="137"/>
      <c r="B340" s="137" t="str">
        <f>IFERROR(INDEX(_xlfn.VSTACK(YES_Writing_ELA[#Data], YES_Writing_FLA[#Data]),MATCH($A340,_xlfn.VSTACK(YES_Writing_ELA[Student Number], YES_Writing_FLA[Student Number]),0),MATCH(B$7,YES_Writing_ELA[#Headers],0)),"")</f>
        <v/>
      </c>
      <c r="C340" s="137" t="str">
        <f>IFERROR(INDEX(_xlfn.VSTACK(YES_Writing_ELA[#Data], YES_Writing_FLA[#Data]),MATCH($A340,_xlfn.VSTACK(YES_Writing_ELA[Student Number], YES_Writing_FLA[Student Number]),0),MATCH(C$7,YES_Writing_ELA[#Headers],0)),"")</f>
        <v/>
      </c>
      <c r="D340" s="138" t="str">
        <f>IFERROR(IF(IF(INDEX(_xlfn.VSTACK(YES_Writing_ELA[#Data],YES_Writing_FLA[#Data]),MATCH($A340,_xlfn.VSTACK(YES_Writing_ELA[Student Number],YES_Writing_FLA[Student Number]),0),MATCH(VLOOKUP(D$7,'Writing Logic'!$J$7:$K$11,2,FALSE)&amp;" - Per "&amp;VLOOKUP($C$4,'Writing Logic'!$G$8:$H$14,2,FALSE),YES_Writing_ELA[#Headers],0))=0,"",INDEX(_xlfn.VSTACK(YES_Writing_ELA[#Data],YES_Writing_FLA[#Data]),MATCH($A340,_xlfn.VSTACK(YES_Writing_ELA[Student Number],YES_Writing_FLA[Student Number]),0),MATCH(VLOOKUP(D$7,'Writing Logic'!$J$7:$K$11,2,FALSE)&amp;" - Per "&amp;VLOOKUP($C$4,'Writing Logic'!$G$8:$H$14,2,FALSE),YES_Writing_ELA[#Headers],0)))="INS",'Writing Logic'!$B$7,IF(INDEX(_xlfn.VSTACK(YES_Writing_ELA[#Data],YES_Writing_FLA[#Data]),MATCH($A340,_xlfn.VSTACK(YES_Writing_ELA[Student Number],YES_Writing_FLA[Student Number]),0),MATCH(VLOOKUP(D$7,'Writing Logic'!$J$7:$K$11,2,FALSE)&amp;" - Per "&amp;VLOOKUP($C$4,'Writing Logic'!$G$8:$H$14,2,FALSE),YES_Writing_ELA[#Headers],0))=0,"",INDEX(_xlfn.VSTACK(YES_Writing_ELA[#Data],YES_Writing_FLA[#Data]),MATCH($A340,_xlfn.VSTACK(YES_Writing_ELA[Student Number],YES_Writing_FLA[Student Number]),0),MATCH(VLOOKUP(D$7,'Writing Logic'!$J$7:$K$11,2,FALSE)&amp;" - Per "&amp;VLOOKUP($C$4,'Writing Logic'!$G$8:$H$14,2,FALSE),YES_Writing_ELA[#Headers],0)))),"")</f>
        <v/>
      </c>
      <c r="E340" s="138" t="str">
        <f>IFERROR(IF(IF(INDEX(_xlfn.VSTACK(YES_Writing_ELA[#Data],YES_Writing_FLA[#Data]),MATCH($A340,_xlfn.VSTACK(YES_Writing_ELA[Student Number],YES_Writing_FLA[Student Number]),0),MATCH(VLOOKUP(E$7,'Writing Logic'!$J$7:$K$11,2,FALSE)&amp;" - Per "&amp;VLOOKUP($C$4,'Writing Logic'!$G$8:$H$14,2,FALSE),YES_Writing_ELA[#Headers],0))=0,"",INDEX(_xlfn.VSTACK(YES_Writing_ELA[#Data],YES_Writing_FLA[#Data]),MATCH($A340,_xlfn.VSTACK(YES_Writing_ELA[Student Number],YES_Writing_FLA[Student Number]),0),MATCH(VLOOKUP(E$7,'Writing Logic'!$J$7:$K$11,2,FALSE)&amp;" - Per "&amp;VLOOKUP($C$4,'Writing Logic'!$G$8:$H$14,2,FALSE),YES_Writing_ELA[#Headers],0)))="INS",'Writing Logic'!$B$7,IF(INDEX(_xlfn.VSTACK(YES_Writing_ELA[#Data],YES_Writing_FLA[#Data]),MATCH($A340,_xlfn.VSTACK(YES_Writing_ELA[Student Number],YES_Writing_FLA[Student Number]),0),MATCH(VLOOKUP(E$7,'Writing Logic'!$J$7:$K$11,2,FALSE)&amp;" - Per "&amp;VLOOKUP($C$4,'Writing Logic'!$G$8:$H$14,2,FALSE),YES_Writing_ELA[#Headers],0))=0,"",INDEX(_xlfn.VSTACK(YES_Writing_ELA[#Data],YES_Writing_FLA[#Data]),MATCH($A340,_xlfn.VSTACK(YES_Writing_ELA[Student Number],YES_Writing_FLA[Student Number]),0),MATCH(VLOOKUP(E$7,'Writing Logic'!$J$7:$K$11,2,FALSE)&amp;" - Per "&amp;VLOOKUP($C$4,'Writing Logic'!$G$8:$H$14,2,FALSE),YES_Writing_ELA[#Headers],0)))),"")</f>
        <v/>
      </c>
      <c r="F340" s="138" t="str">
        <f>IFERROR(IF(IF(INDEX(_xlfn.VSTACK(YES_Writing_ELA[#Data],YES_Writing_FLA[#Data]),MATCH($A340,_xlfn.VSTACK(YES_Writing_ELA[Student Number],YES_Writing_FLA[Student Number]),0),MATCH(VLOOKUP(F$7,'Writing Logic'!$J$7:$K$11,2,FALSE)&amp;" - Per "&amp;VLOOKUP($C$4,'Writing Logic'!$G$8:$H$14,2,FALSE),YES_Writing_ELA[#Headers],0))=0,"",INDEX(_xlfn.VSTACK(YES_Writing_ELA[#Data],YES_Writing_FLA[#Data]),MATCH($A340,_xlfn.VSTACK(YES_Writing_ELA[Student Number],YES_Writing_FLA[Student Number]),0),MATCH(VLOOKUP(F$7,'Writing Logic'!$J$7:$K$11,2,FALSE)&amp;" - Per "&amp;VLOOKUP($C$4,'Writing Logic'!$G$8:$H$14,2,FALSE),YES_Writing_ELA[#Headers],0)))="INS",'Writing Logic'!$B$7,IF(INDEX(_xlfn.VSTACK(YES_Writing_ELA[#Data],YES_Writing_FLA[#Data]),MATCH($A340,_xlfn.VSTACK(YES_Writing_ELA[Student Number],YES_Writing_FLA[Student Number]),0),MATCH(VLOOKUP(F$7,'Writing Logic'!$J$7:$K$11,2,FALSE)&amp;" - Per "&amp;VLOOKUP($C$4,'Writing Logic'!$G$8:$H$14,2,FALSE),YES_Writing_ELA[#Headers],0))=0,"",INDEX(_xlfn.VSTACK(YES_Writing_ELA[#Data],YES_Writing_FLA[#Data]),MATCH($A340,_xlfn.VSTACK(YES_Writing_ELA[Student Number],YES_Writing_FLA[Student Number]),0),MATCH(VLOOKUP(F$7,'Writing Logic'!$J$7:$K$11,2,FALSE)&amp;" - Per "&amp;VLOOKUP($C$4,'Writing Logic'!$G$8:$H$14,2,FALSE),YES_Writing_ELA[#Headers],0)))),"")</f>
        <v/>
      </c>
      <c r="G340" s="138" t="str">
        <f>IFERROR(IF(IF(INDEX(_xlfn.VSTACK(YES_Writing_ELA[#Data],YES_Writing_FLA[#Data]),MATCH($A340,_xlfn.VSTACK(YES_Writing_ELA[Student Number],YES_Writing_FLA[Student Number]),0),MATCH(VLOOKUP(G$7,'Writing Logic'!$J$7:$K$11,2,FALSE)&amp;" - Per "&amp;VLOOKUP($C$4,'Writing Logic'!$G$8:$H$14,2,FALSE),YES_Writing_ELA[#Headers],0))=0,"",INDEX(_xlfn.VSTACK(YES_Writing_ELA[#Data],YES_Writing_FLA[#Data]),MATCH($A340,_xlfn.VSTACK(YES_Writing_ELA[Student Number],YES_Writing_FLA[Student Number]),0),MATCH(VLOOKUP(G$7,'Writing Logic'!$J$7:$K$11,2,FALSE)&amp;" - Per "&amp;VLOOKUP($C$4,'Writing Logic'!$G$8:$H$14,2,FALSE),YES_Writing_ELA[#Headers],0)))="INS",'Writing Logic'!$B$7,IF(INDEX(_xlfn.VSTACK(YES_Writing_ELA[#Data],YES_Writing_FLA[#Data]),MATCH($A340,_xlfn.VSTACK(YES_Writing_ELA[Student Number],YES_Writing_FLA[Student Number]),0),MATCH(VLOOKUP(G$7,'Writing Logic'!$J$7:$K$11,2,FALSE)&amp;" - Per "&amp;VLOOKUP($C$4,'Writing Logic'!$G$8:$H$14,2,FALSE),YES_Writing_ELA[#Headers],0))=0,"",INDEX(_xlfn.VSTACK(YES_Writing_ELA[#Data],YES_Writing_FLA[#Data]),MATCH($A340,_xlfn.VSTACK(YES_Writing_ELA[Student Number],YES_Writing_FLA[Student Number]),0),MATCH(VLOOKUP(G$7,'Writing Logic'!$J$7:$K$11,2,FALSE)&amp;" - Per "&amp;VLOOKUP($C$4,'Writing Logic'!$G$8:$H$14,2,FALSE),YES_Writing_ELA[#Headers],0)))),"")</f>
        <v/>
      </c>
      <c r="H340" s="138" t="str">
        <f>IFERROR(IF(IF(INDEX(_xlfn.VSTACK(YES_Writing_ELA[#Data],YES_Writing_FLA[#Data]),MATCH($A340,_xlfn.VSTACK(YES_Writing_ELA[Student Number],YES_Writing_FLA[Student Number]),0),MATCH(VLOOKUP(H$7,'Writing Logic'!$J$7:$K$11,2,FALSE)&amp;" - Per "&amp;VLOOKUP($C$4,'Writing Logic'!$G$8:$H$14,2,FALSE),YES_Writing_ELA[#Headers],0))=0,"",INDEX(_xlfn.VSTACK(YES_Writing_ELA[#Data],YES_Writing_FLA[#Data]),MATCH($A340,_xlfn.VSTACK(YES_Writing_ELA[Student Number],YES_Writing_FLA[Student Number]),0),MATCH(VLOOKUP(H$7,'Writing Logic'!$J$7:$K$11,2,FALSE)&amp;" - Per "&amp;VLOOKUP($C$4,'Writing Logic'!$G$8:$H$14,2,FALSE),YES_Writing_ELA[#Headers],0)))="INS",'Writing Logic'!$B$7,IF(INDEX(_xlfn.VSTACK(YES_Writing_ELA[#Data],YES_Writing_FLA[#Data]),MATCH($A340,_xlfn.VSTACK(YES_Writing_ELA[Student Number],YES_Writing_FLA[Student Number]),0),MATCH(VLOOKUP(H$7,'Writing Logic'!$J$7:$K$11,2,FALSE)&amp;" - Per "&amp;VLOOKUP($C$4,'Writing Logic'!$G$8:$H$14,2,FALSE),YES_Writing_ELA[#Headers],0))=0,"",INDEX(_xlfn.VSTACK(YES_Writing_ELA[#Data],YES_Writing_FLA[#Data]),MATCH($A340,_xlfn.VSTACK(YES_Writing_ELA[Student Number],YES_Writing_FLA[Student Number]),0),MATCH(VLOOKUP(H$7,'Writing Logic'!$J$7:$K$11,2,FALSE)&amp;" - Per "&amp;VLOOKUP($C$4,'Writing Logic'!$G$8:$H$14,2,FALSE),YES_Writing_ELA[#Headers],0)))),"")</f>
        <v/>
      </c>
    </row>
    <row r="341" spans="1:8" x14ac:dyDescent="0.25">
      <c r="A341" s="137"/>
      <c r="B341" s="137" t="str">
        <f>IFERROR(INDEX(_xlfn.VSTACK(YES_Writing_ELA[#Data], YES_Writing_FLA[#Data]),MATCH($A341,_xlfn.VSTACK(YES_Writing_ELA[Student Number], YES_Writing_FLA[Student Number]),0),MATCH(B$7,YES_Writing_ELA[#Headers],0)),"")</f>
        <v/>
      </c>
      <c r="C341" s="137" t="str">
        <f>IFERROR(INDEX(_xlfn.VSTACK(YES_Writing_ELA[#Data], YES_Writing_FLA[#Data]),MATCH($A341,_xlfn.VSTACK(YES_Writing_ELA[Student Number], YES_Writing_FLA[Student Number]),0),MATCH(C$7,YES_Writing_ELA[#Headers],0)),"")</f>
        <v/>
      </c>
      <c r="D341" s="138" t="str">
        <f>IFERROR(IF(IF(INDEX(_xlfn.VSTACK(YES_Writing_ELA[#Data],YES_Writing_FLA[#Data]),MATCH($A341,_xlfn.VSTACK(YES_Writing_ELA[Student Number],YES_Writing_FLA[Student Number]),0),MATCH(VLOOKUP(D$7,'Writing Logic'!$J$7:$K$11,2,FALSE)&amp;" - Per "&amp;VLOOKUP($C$4,'Writing Logic'!$G$8:$H$14,2,FALSE),YES_Writing_ELA[#Headers],0))=0,"",INDEX(_xlfn.VSTACK(YES_Writing_ELA[#Data],YES_Writing_FLA[#Data]),MATCH($A341,_xlfn.VSTACK(YES_Writing_ELA[Student Number],YES_Writing_FLA[Student Number]),0),MATCH(VLOOKUP(D$7,'Writing Logic'!$J$7:$K$11,2,FALSE)&amp;" - Per "&amp;VLOOKUP($C$4,'Writing Logic'!$G$8:$H$14,2,FALSE),YES_Writing_ELA[#Headers],0)))="INS",'Writing Logic'!$B$7,IF(INDEX(_xlfn.VSTACK(YES_Writing_ELA[#Data],YES_Writing_FLA[#Data]),MATCH($A341,_xlfn.VSTACK(YES_Writing_ELA[Student Number],YES_Writing_FLA[Student Number]),0),MATCH(VLOOKUP(D$7,'Writing Logic'!$J$7:$K$11,2,FALSE)&amp;" - Per "&amp;VLOOKUP($C$4,'Writing Logic'!$G$8:$H$14,2,FALSE),YES_Writing_ELA[#Headers],0))=0,"",INDEX(_xlfn.VSTACK(YES_Writing_ELA[#Data],YES_Writing_FLA[#Data]),MATCH($A341,_xlfn.VSTACK(YES_Writing_ELA[Student Number],YES_Writing_FLA[Student Number]),0),MATCH(VLOOKUP(D$7,'Writing Logic'!$J$7:$K$11,2,FALSE)&amp;" - Per "&amp;VLOOKUP($C$4,'Writing Logic'!$G$8:$H$14,2,FALSE),YES_Writing_ELA[#Headers],0)))),"")</f>
        <v/>
      </c>
      <c r="E341" s="138" t="str">
        <f>IFERROR(IF(IF(INDEX(_xlfn.VSTACK(YES_Writing_ELA[#Data],YES_Writing_FLA[#Data]),MATCH($A341,_xlfn.VSTACK(YES_Writing_ELA[Student Number],YES_Writing_FLA[Student Number]),0),MATCH(VLOOKUP(E$7,'Writing Logic'!$J$7:$K$11,2,FALSE)&amp;" - Per "&amp;VLOOKUP($C$4,'Writing Logic'!$G$8:$H$14,2,FALSE),YES_Writing_ELA[#Headers],0))=0,"",INDEX(_xlfn.VSTACK(YES_Writing_ELA[#Data],YES_Writing_FLA[#Data]),MATCH($A341,_xlfn.VSTACK(YES_Writing_ELA[Student Number],YES_Writing_FLA[Student Number]),0),MATCH(VLOOKUP(E$7,'Writing Logic'!$J$7:$K$11,2,FALSE)&amp;" - Per "&amp;VLOOKUP($C$4,'Writing Logic'!$G$8:$H$14,2,FALSE),YES_Writing_ELA[#Headers],0)))="INS",'Writing Logic'!$B$7,IF(INDEX(_xlfn.VSTACK(YES_Writing_ELA[#Data],YES_Writing_FLA[#Data]),MATCH($A341,_xlfn.VSTACK(YES_Writing_ELA[Student Number],YES_Writing_FLA[Student Number]),0),MATCH(VLOOKUP(E$7,'Writing Logic'!$J$7:$K$11,2,FALSE)&amp;" - Per "&amp;VLOOKUP($C$4,'Writing Logic'!$G$8:$H$14,2,FALSE),YES_Writing_ELA[#Headers],0))=0,"",INDEX(_xlfn.VSTACK(YES_Writing_ELA[#Data],YES_Writing_FLA[#Data]),MATCH($A341,_xlfn.VSTACK(YES_Writing_ELA[Student Number],YES_Writing_FLA[Student Number]),0),MATCH(VLOOKUP(E$7,'Writing Logic'!$J$7:$K$11,2,FALSE)&amp;" - Per "&amp;VLOOKUP($C$4,'Writing Logic'!$G$8:$H$14,2,FALSE),YES_Writing_ELA[#Headers],0)))),"")</f>
        <v/>
      </c>
      <c r="F341" s="138" t="str">
        <f>IFERROR(IF(IF(INDEX(_xlfn.VSTACK(YES_Writing_ELA[#Data],YES_Writing_FLA[#Data]),MATCH($A341,_xlfn.VSTACK(YES_Writing_ELA[Student Number],YES_Writing_FLA[Student Number]),0),MATCH(VLOOKUP(F$7,'Writing Logic'!$J$7:$K$11,2,FALSE)&amp;" - Per "&amp;VLOOKUP($C$4,'Writing Logic'!$G$8:$H$14,2,FALSE),YES_Writing_ELA[#Headers],0))=0,"",INDEX(_xlfn.VSTACK(YES_Writing_ELA[#Data],YES_Writing_FLA[#Data]),MATCH($A341,_xlfn.VSTACK(YES_Writing_ELA[Student Number],YES_Writing_FLA[Student Number]),0),MATCH(VLOOKUP(F$7,'Writing Logic'!$J$7:$K$11,2,FALSE)&amp;" - Per "&amp;VLOOKUP($C$4,'Writing Logic'!$G$8:$H$14,2,FALSE),YES_Writing_ELA[#Headers],0)))="INS",'Writing Logic'!$B$7,IF(INDEX(_xlfn.VSTACK(YES_Writing_ELA[#Data],YES_Writing_FLA[#Data]),MATCH($A341,_xlfn.VSTACK(YES_Writing_ELA[Student Number],YES_Writing_FLA[Student Number]),0),MATCH(VLOOKUP(F$7,'Writing Logic'!$J$7:$K$11,2,FALSE)&amp;" - Per "&amp;VLOOKUP($C$4,'Writing Logic'!$G$8:$H$14,2,FALSE),YES_Writing_ELA[#Headers],0))=0,"",INDEX(_xlfn.VSTACK(YES_Writing_ELA[#Data],YES_Writing_FLA[#Data]),MATCH($A341,_xlfn.VSTACK(YES_Writing_ELA[Student Number],YES_Writing_FLA[Student Number]),0),MATCH(VLOOKUP(F$7,'Writing Logic'!$J$7:$K$11,2,FALSE)&amp;" - Per "&amp;VLOOKUP($C$4,'Writing Logic'!$G$8:$H$14,2,FALSE),YES_Writing_ELA[#Headers],0)))),"")</f>
        <v/>
      </c>
      <c r="G341" s="138" t="str">
        <f>IFERROR(IF(IF(INDEX(_xlfn.VSTACK(YES_Writing_ELA[#Data],YES_Writing_FLA[#Data]),MATCH($A341,_xlfn.VSTACK(YES_Writing_ELA[Student Number],YES_Writing_FLA[Student Number]),0),MATCH(VLOOKUP(G$7,'Writing Logic'!$J$7:$K$11,2,FALSE)&amp;" - Per "&amp;VLOOKUP($C$4,'Writing Logic'!$G$8:$H$14,2,FALSE),YES_Writing_ELA[#Headers],0))=0,"",INDEX(_xlfn.VSTACK(YES_Writing_ELA[#Data],YES_Writing_FLA[#Data]),MATCH($A341,_xlfn.VSTACK(YES_Writing_ELA[Student Number],YES_Writing_FLA[Student Number]),0),MATCH(VLOOKUP(G$7,'Writing Logic'!$J$7:$K$11,2,FALSE)&amp;" - Per "&amp;VLOOKUP($C$4,'Writing Logic'!$G$8:$H$14,2,FALSE),YES_Writing_ELA[#Headers],0)))="INS",'Writing Logic'!$B$7,IF(INDEX(_xlfn.VSTACK(YES_Writing_ELA[#Data],YES_Writing_FLA[#Data]),MATCH($A341,_xlfn.VSTACK(YES_Writing_ELA[Student Number],YES_Writing_FLA[Student Number]),0),MATCH(VLOOKUP(G$7,'Writing Logic'!$J$7:$K$11,2,FALSE)&amp;" - Per "&amp;VLOOKUP($C$4,'Writing Logic'!$G$8:$H$14,2,FALSE),YES_Writing_ELA[#Headers],0))=0,"",INDEX(_xlfn.VSTACK(YES_Writing_ELA[#Data],YES_Writing_FLA[#Data]),MATCH($A341,_xlfn.VSTACK(YES_Writing_ELA[Student Number],YES_Writing_FLA[Student Number]),0),MATCH(VLOOKUP(G$7,'Writing Logic'!$J$7:$K$11,2,FALSE)&amp;" - Per "&amp;VLOOKUP($C$4,'Writing Logic'!$G$8:$H$14,2,FALSE),YES_Writing_ELA[#Headers],0)))),"")</f>
        <v/>
      </c>
      <c r="H341" s="138" t="str">
        <f>IFERROR(IF(IF(INDEX(_xlfn.VSTACK(YES_Writing_ELA[#Data],YES_Writing_FLA[#Data]),MATCH($A341,_xlfn.VSTACK(YES_Writing_ELA[Student Number],YES_Writing_FLA[Student Number]),0),MATCH(VLOOKUP(H$7,'Writing Logic'!$J$7:$K$11,2,FALSE)&amp;" - Per "&amp;VLOOKUP($C$4,'Writing Logic'!$G$8:$H$14,2,FALSE),YES_Writing_ELA[#Headers],0))=0,"",INDEX(_xlfn.VSTACK(YES_Writing_ELA[#Data],YES_Writing_FLA[#Data]),MATCH($A341,_xlfn.VSTACK(YES_Writing_ELA[Student Number],YES_Writing_FLA[Student Number]),0),MATCH(VLOOKUP(H$7,'Writing Logic'!$J$7:$K$11,2,FALSE)&amp;" - Per "&amp;VLOOKUP($C$4,'Writing Logic'!$G$8:$H$14,2,FALSE),YES_Writing_ELA[#Headers],0)))="INS",'Writing Logic'!$B$7,IF(INDEX(_xlfn.VSTACK(YES_Writing_ELA[#Data],YES_Writing_FLA[#Data]),MATCH($A341,_xlfn.VSTACK(YES_Writing_ELA[Student Number],YES_Writing_FLA[Student Number]),0),MATCH(VLOOKUP(H$7,'Writing Logic'!$J$7:$K$11,2,FALSE)&amp;" - Per "&amp;VLOOKUP($C$4,'Writing Logic'!$G$8:$H$14,2,FALSE),YES_Writing_ELA[#Headers],0))=0,"",INDEX(_xlfn.VSTACK(YES_Writing_ELA[#Data],YES_Writing_FLA[#Data]),MATCH($A341,_xlfn.VSTACK(YES_Writing_ELA[Student Number],YES_Writing_FLA[Student Number]),0),MATCH(VLOOKUP(H$7,'Writing Logic'!$J$7:$K$11,2,FALSE)&amp;" - Per "&amp;VLOOKUP($C$4,'Writing Logic'!$G$8:$H$14,2,FALSE),YES_Writing_ELA[#Headers],0)))),"")</f>
        <v/>
      </c>
    </row>
    <row r="342" spans="1:8" x14ac:dyDescent="0.25">
      <c r="A342" s="137"/>
      <c r="B342" s="137" t="str">
        <f>IFERROR(INDEX(_xlfn.VSTACK(YES_Writing_ELA[#Data], YES_Writing_FLA[#Data]),MATCH($A342,_xlfn.VSTACK(YES_Writing_ELA[Student Number], YES_Writing_FLA[Student Number]),0),MATCH(B$7,YES_Writing_ELA[#Headers],0)),"")</f>
        <v/>
      </c>
      <c r="C342" s="137" t="str">
        <f>IFERROR(INDEX(_xlfn.VSTACK(YES_Writing_ELA[#Data], YES_Writing_FLA[#Data]),MATCH($A342,_xlfn.VSTACK(YES_Writing_ELA[Student Number], YES_Writing_FLA[Student Number]),0),MATCH(C$7,YES_Writing_ELA[#Headers],0)),"")</f>
        <v/>
      </c>
      <c r="D342" s="138" t="str">
        <f>IFERROR(IF(IF(INDEX(_xlfn.VSTACK(YES_Writing_ELA[#Data],YES_Writing_FLA[#Data]),MATCH($A342,_xlfn.VSTACK(YES_Writing_ELA[Student Number],YES_Writing_FLA[Student Number]),0),MATCH(VLOOKUP(D$7,'Writing Logic'!$J$7:$K$11,2,FALSE)&amp;" - Per "&amp;VLOOKUP($C$4,'Writing Logic'!$G$8:$H$14,2,FALSE),YES_Writing_ELA[#Headers],0))=0,"",INDEX(_xlfn.VSTACK(YES_Writing_ELA[#Data],YES_Writing_FLA[#Data]),MATCH($A342,_xlfn.VSTACK(YES_Writing_ELA[Student Number],YES_Writing_FLA[Student Number]),0),MATCH(VLOOKUP(D$7,'Writing Logic'!$J$7:$K$11,2,FALSE)&amp;" - Per "&amp;VLOOKUP($C$4,'Writing Logic'!$G$8:$H$14,2,FALSE),YES_Writing_ELA[#Headers],0)))="INS",'Writing Logic'!$B$7,IF(INDEX(_xlfn.VSTACK(YES_Writing_ELA[#Data],YES_Writing_FLA[#Data]),MATCH($A342,_xlfn.VSTACK(YES_Writing_ELA[Student Number],YES_Writing_FLA[Student Number]),0),MATCH(VLOOKUP(D$7,'Writing Logic'!$J$7:$K$11,2,FALSE)&amp;" - Per "&amp;VLOOKUP($C$4,'Writing Logic'!$G$8:$H$14,2,FALSE),YES_Writing_ELA[#Headers],0))=0,"",INDEX(_xlfn.VSTACK(YES_Writing_ELA[#Data],YES_Writing_FLA[#Data]),MATCH($A342,_xlfn.VSTACK(YES_Writing_ELA[Student Number],YES_Writing_FLA[Student Number]),0),MATCH(VLOOKUP(D$7,'Writing Logic'!$J$7:$K$11,2,FALSE)&amp;" - Per "&amp;VLOOKUP($C$4,'Writing Logic'!$G$8:$H$14,2,FALSE),YES_Writing_ELA[#Headers],0)))),"")</f>
        <v/>
      </c>
      <c r="E342" s="138" t="str">
        <f>IFERROR(IF(IF(INDEX(_xlfn.VSTACK(YES_Writing_ELA[#Data],YES_Writing_FLA[#Data]),MATCH($A342,_xlfn.VSTACK(YES_Writing_ELA[Student Number],YES_Writing_FLA[Student Number]),0),MATCH(VLOOKUP(E$7,'Writing Logic'!$J$7:$K$11,2,FALSE)&amp;" - Per "&amp;VLOOKUP($C$4,'Writing Logic'!$G$8:$H$14,2,FALSE),YES_Writing_ELA[#Headers],0))=0,"",INDEX(_xlfn.VSTACK(YES_Writing_ELA[#Data],YES_Writing_FLA[#Data]),MATCH($A342,_xlfn.VSTACK(YES_Writing_ELA[Student Number],YES_Writing_FLA[Student Number]),0),MATCH(VLOOKUP(E$7,'Writing Logic'!$J$7:$K$11,2,FALSE)&amp;" - Per "&amp;VLOOKUP($C$4,'Writing Logic'!$G$8:$H$14,2,FALSE),YES_Writing_ELA[#Headers],0)))="INS",'Writing Logic'!$B$7,IF(INDEX(_xlfn.VSTACK(YES_Writing_ELA[#Data],YES_Writing_FLA[#Data]),MATCH($A342,_xlfn.VSTACK(YES_Writing_ELA[Student Number],YES_Writing_FLA[Student Number]),0),MATCH(VLOOKUP(E$7,'Writing Logic'!$J$7:$K$11,2,FALSE)&amp;" - Per "&amp;VLOOKUP($C$4,'Writing Logic'!$G$8:$H$14,2,FALSE),YES_Writing_ELA[#Headers],0))=0,"",INDEX(_xlfn.VSTACK(YES_Writing_ELA[#Data],YES_Writing_FLA[#Data]),MATCH($A342,_xlfn.VSTACK(YES_Writing_ELA[Student Number],YES_Writing_FLA[Student Number]),0),MATCH(VLOOKUP(E$7,'Writing Logic'!$J$7:$K$11,2,FALSE)&amp;" - Per "&amp;VLOOKUP($C$4,'Writing Logic'!$G$8:$H$14,2,FALSE),YES_Writing_ELA[#Headers],0)))),"")</f>
        <v/>
      </c>
      <c r="F342" s="138" t="str">
        <f>IFERROR(IF(IF(INDEX(_xlfn.VSTACK(YES_Writing_ELA[#Data],YES_Writing_FLA[#Data]),MATCH($A342,_xlfn.VSTACK(YES_Writing_ELA[Student Number],YES_Writing_FLA[Student Number]),0),MATCH(VLOOKUP(F$7,'Writing Logic'!$J$7:$K$11,2,FALSE)&amp;" - Per "&amp;VLOOKUP($C$4,'Writing Logic'!$G$8:$H$14,2,FALSE),YES_Writing_ELA[#Headers],0))=0,"",INDEX(_xlfn.VSTACK(YES_Writing_ELA[#Data],YES_Writing_FLA[#Data]),MATCH($A342,_xlfn.VSTACK(YES_Writing_ELA[Student Number],YES_Writing_FLA[Student Number]),0),MATCH(VLOOKUP(F$7,'Writing Logic'!$J$7:$K$11,2,FALSE)&amp;" - Per "&amp;VLOOKUP($C$4,'Writing Logic'!$G$8:$H$14,2,FALSE),YES_Writing_ELA[#Headers],0)))="INS",'Writing Logic'!$B$7,IF(INDEX(_xlfn.VSTACK(YES_Writing_ELA[#Data],YES_Writing_FLA[#Data]),MATCH($A342,_xlfn.VSTACK(YES_Writing_ELA[Student Number],YES_Writing_FLA[Student Number]),0),MATCH(VLOOKUP(F$7,'Writing Logic'!$J$7:$K$11,2,FALSE)&amp;" - Per "&amp;VLOOKUP($C$4,'Writing Logic'!$G$8:$H$14,2,FALSE),YES_Writing_ELA[#Headers],0))=0,"",INDEX(_xlfn.VSTACK(YES_Writing_ELA[#Data],YES_Writing_FLA[#Data]),MATCH($A342,_xlfn.VSTACK(YES_Writing_ELA[Student Number],YES_Writing_FLA[Student Number]),0),MATCH(VLOOKUP(F$7,'Writing Logic'!$J$7:$K$11,2,FALSE)&amp;" - Per "&amp;VLOOKUP($C$4,'Writing Logic'!$G$8:$H$14,2,FALSE),YES_Writing_ELA[#Headers],0)))),"")</f>
        <v/>
      </c>
      <c r="G342" s="138" t="str">
        <f>IFERROR(IF(IF(INDEX(_xlfn.VSTACK(YES_Writing_ELA[#Data],YES_Writing_FLA[#Data]),MATCH($A342,_xlfn.VSTACK(YES_Writing_ELA[Student Number],YES_Writing_FLA[Student Number]),0),MATCH(VLOOKUP(G$7,'Writing Logic'!$J$7:$K$11,2,FALSE)&amp;" - Per "&amp;VLOOKUP($C$4,'Writing Logic'!$G$8:$H$14,2,FALSE),YES_Writing_ELA[#Headers],0))=0,"",INDEX(_xlfn.VSTACK(YES_Writing_ELA[#Data],YES_Writing_FLA[#Data]),MATCH($A342,_xlfn.VSTACK(YES_Writing_ELA[Student Number],YES_Writing_FLA[Student Number]),0),MATCH(VLOOKUP(G$7,'Writing Logic'!$J$7:$K$11,2,FALSE)&amp;" - Per "&amp;VLOOKUP($C$4,'Writing Logic'!$G$8:$H$14,2,FALSE),YES_Writing_ELA[#Headers],0)))="INS",'Writing Logic'!$B$7,IF(INDEX(_xlfn.VSTACK(YES_Writing_ELA[#Data],YES_Writing_FLA[#Data]),MATCH($A342,_xlfn.VSTACK(YES_Writing_ELA[Student Number],YES_Writing_FLA[Student Number]),0),MATCH(VLOOKUP(G$7,'Writing Logic'!$J$7:$K$11,2,FALSE)&amp;" - Per "&amp;VLOOKUP($C$4,'Writing Logic'!$G$8:$H$14,2,FALSE),YES_Writing_ELA[#Headers],0))=0,"",INDEX(_xlfn.VSTACK(YES_Writing_ELA[#Data],YES_Writing_FLA[#Data]),MATCH($A342,_xlfn.VSTACK(YES_Writing_ELA[Student Number],YES_Writing_FLA[Student Number]),0),MATCH(VLOOKUP(G$7,'Writing Logic'!$J$7:$K$11,2,FALSE)&amp;" - Per "&amp;VLOOKUP($C$4,'Writing Logic'!$G$8:$H$14,2,FALSE),YES_Writing_ELA[#Headers],0)))),"")</f>
        <v/>
      </c>
      <c r="H342" s="138" t="str">
        <f>IFERROR(IF(IF(INDEX(_xlfn.VSTACK(YES_Writing_ELA[#Data],YES_Writing_FLA[#Data]),MATCH($A342,_xlfn.VSTACK(YES_Writing_ELA[Student Number],YES_Writing_FLA[Student Number]),0),MATCH(VLOOKUP(H$7,'Writing Logic'!$J$7:$K$11,2,FALSE)&amp;" - Per "&amp;VLOOKUP($C$4,'Writing Logic'!$G$8:$H$14,2,FALSE),YES_Writing_ELA[#Headers],0))=0,"",INDEX(_xlfn.VSTACK(YES_Writing_ELA[#Data],YES_Writing_FLA[#Data]),MATCH($A342,_xlfn.VSTACK(YES_Writing_ELA[Student Number],YES_Writing_FLA[Student Number]),0),MATCH(VLOOKUP(H$7,'Writing Logic'!$J$7:$K$11,2,FALSE)&amp;" - Per "&amp;VLOOKUP($C$4,'Writing Logic'!$G$8:$H$14,2,FALSE),YES_Writing_ELA[#Headers],0)))="INS",'Writing Logic'!$B$7,IF(INDEX(_xlfn.VSTACK(YES_Writing_ELA[#Data],YES_Writing_FLA[#Data]),MATCH($A342,_xlfn.VSTACK(YES_Writing_ELA[Student Number],YES_Writing_FLA[Student Number]),0),MATCH(VLOOKUP(H$7,'Writing Logic'!$J$7:$K$11,2,FALSE)&amp;" - Per "&amp;VLOOKUP($C$4,'Writing Logic'!$G$8:$H$14,2,FALSE),YES_Writing_ELA[#Headers],0))=0,"",INDEX(_xlfn.VSTACK(YES_Writing_ELA[#Data],YES_Writing_FLA[#Data]),MATCH($A342,_xlfn.VSTACK(YES_Writing_ELA[Student Number],YES_Writing_FLA[Student Number]),0),MATCH(VLOOKUP(H$7,'Writing Logic'!$J$7:$K$11,2,FALSE)&amp;" - Per "&amp;VLOOKUP($C$4,'Writing Logic'!$G$8:$H$14,2,FALSE),YES_Writing_ELA[#Headers],0)))),"")</f>
        <v/>
      </c>
    </row>
    <row r="343" spans="1:8" x14ac:dyDescent="0.25">
      <c r="A343" s="137"/>
      <c r="B343" s="137" t="str">
        <f>IFERROR(INDEX(_xlfn.VSTACK(YES_Writing_ELA[#Data], YES_Writing_FLA[#Data]),MATCH($A343,_xlfn.VSTACK(YES_Writing_ELA[Student Number], YES_Writing_FLA[Student Number]),0),MATCH(B$7,YES_Writing_ELA[#Headers],0)),"")</f>
        <v/>
      </c>
      <c r="C343" s="137" t="str">
        <f>IFERROR(INDEX(_xlfn.VSTACK(YES_Writing_ELA[#Data], YES_Writing_FLA[#Data]),MATCH($A343,_xlfn.VSTACK(YES_Writing_ELA[Student Number], YES_Writing_FLA[Student Number]),0),MATCH(C$7,YES_Writing_ELA[#Headers],0)),"")</f>
        <v/>
      </c>
      <c r="D343" s="138" t="str">
        <f>IFERROR(IF(IF(INDEX(_xlfn.VSTACK(YES_Writing_ELA[#Data],YES_Writing_FLA[#Data]),MATCH($A343,_xlfn.VSTACK(YES_Writing_ELA[Student Number],YES_Writing_FLA[Student Number]),0),MATCH(VLOOKUP(D$7,'Writing Logic'!$J$7:$K$11,2,FALSE)&amp;" - Per "&amp;VLOOKUP($C$4,'Writing Logic'!$G$8:$H$14,2,FALSE),YES_Writing_ELA[#Headers],0))=0,"",INDEX(_xlfn.VSTACK(YES_Writing_ELA[#Data],YES_Writing_FLA[#Data]),MATCH($A343,_xlfn.VSTACK(YES_Writing_ELA[Student Number],YES_Writing_FLA[Student Number]),0),MATCH(VLOOKUP(D$7,'Writing Logic'!$J$7:$K$11,2,FALSE)&amp;" - Per "&amp;VLOOKUP($C$4,'Writing Logic'!$G$8:$H$14,2,FALSE),YES_Writing_ELA[#Headers],0)))="INS",'Writing Logic'!$B$7,IF(INDEX(_xlfn.VSTACK(YES_Writing_ELA[#Data],YES_Writing_FLA[#Data]),MATCH($A343,_xlfn.VSTACK(YES_Writing_ELA[Student Number],YES_Writing_FLA[Student Number]),0),MATCH(VLOOKUP(D$7,'Writing Logic'!$J$7:$K$11,2,FALSE)&amp;" - Per "&amp;VLOOKUP($C$4,'Writing Logic'!$G$8:$H$14,2,FALSE),YES_Writing_ELA[#Headers],0))=0,"",INDEX(_xlfn.VSTACK(YES_Writing_ELA[#Data],YES_Writing_FLA[#Data]),MATCH($A343,_xlfn.VSTACK(YES_Writing_ELA[Student Number],YES_Writing_FLA[Student Number]),0),MATCH(VLOOKUP(D$7,'Writing Logic'!$J$7:$K$11,2,FALSE)&amp;" - Per "&amp;VLOOKUP($C$4,'Writing Logic'!$G$8:$H$14,2,FALSE),YES_Writing_ELA[#Headers],0)))),"")</f>
        <v/>
      </c>
      <c r="E343" s="138" t="str">
        <f>IFERROR(IF(IF(INDEX(_xlfn.VSTACK(YES_Writing_ELA[#Data],YES_Writing_FLA[#Data]),MATCH($A343,_xlfn.VSTACK(YES_Writing_ELA[Student Number],YES_Writing_FLA[Student Number]),0),MATCH(VLOOKUP(E$7,'Writing Logic'!$J$7:$K$11,2,FALSE)&amp;" - Per "&amp;VLOOKUP($C$4,'Writing Logic'!$G$8:$H$14,2,FALSE),YES_Writing_ELA[#Headers],0))=0,"",INDEX(_xlfn.VSTACK(YES_Writing_ELA[#Data],YES_Writing_FLA[#Data]),MATCH($A343,_xlfn.VSTACK(YES_Writing_ELA[Student Number],YES_Writing_FLA[Student Number]),0),MATCH(VLOOKUP(E$7,'Writing Logic'!$J$7:$K$11,2,FALSE)&amp;" - Per "&amp;VLOOKUP($C$4,'Writing Logic'!$G$8:$H$14,2,FALSE),YES_Writing_ELA[#Headers],0)))="INS",'Writing Logic'!$B$7,IF(INDEX(_xlfn.VSTACK(YES_Writing_ELA[#Data],YES_Writing_FLA[#Data]),MATCH($A343,_xlfn.VSTACK(YES_Writing_ELA[Student Number],YES_Writing_FLA[Student Number]),0),MATCH(VLOOKUP(E$7,'Writing Logic'!$J$7:$K$11,2,FALSE)&amp;" - Per "&amp;VLOOKUP($C$4,'Writing Logic'!$G$8:$H$14,2,FALSE),YES_Writing_ELA[#Headers],0))=0,"",INDEX(_xlfn.VSTACK(YES_Writing_ELA[#Data],YES_Writing_FLA[#Data]),MATCH($A343,_xlfn.VSTACK(YES_Writing_ELA[Student Number],YES_Writing_FLA[Student Number]),0),MATCH(VLOOKUP(E$7,'Writing Logic'!$J$7:$K$11,2,FALSE)&amp;" - Per "&amp;VLOOKUP($C$4,'Writing Logic'!$G$8:$H$14,2,FALSE),YES_Writing_ELA[#Headers],0)))),"")</f>
        <v/>
      </c>
      <c r="F343" s="138" t="str">
        <f>IFERROR(IF(IF(INDEX(_xlfn.VSTACK(YES_Writing_ELA[#Data],YES_Writing_FLA[#Data]),MATCH($A343,_xlfn.VSTACK(YES_Writing_ELA[Student Number],YES_Writing_FLA[Student Number]),0),MATCH(VLOOKUP(F$7,'Writing Logic'!$J$7:$K$11,2,FALSE)&amp;" - Per "&amp;VLOOKUP($C$4,'Writing Logic'!$G$8:$H$14,2,FALSE),YES_Writing_ELA[#Headers],0))=0,"",INDEX(_xlfn.VSTACK(YES_Writing_ELA[#Data],YES_Writing_FLA[#Data]),MATCH($A343,_xlfn.VSTACK(YES_Writing_ELA[Student Number],YES_Writing_FLA[Student Number]),0),MATCH(VLOOKUP(F$7,'Writing Logic'!$J$7:$K$11,2,FALSE)&amp;" - Per "&amp;VLOOKUP($C$4,'Writing Logic'!$G$8:$H$14,2,FALSE),YES_Writing_ELA[#Headers],0)))="INS",'Writing Logic'!$B$7,IF(INDEX(_xlfn.VSTACK(YES_Writing_ELA[#Data],YES_Writing_FLA[#Data]),MATCH($A343,_xlfn.VSTACK(YES_Writing_ELA[Student Number],YES_Writing_FLA[Student Number]),0),MATCH(VLOOKUP(F$7,'Writing Logic'!$J$7:$K$11,2,FALSE)&amp;" - Per "&amp;VLOOKUP($C$4,'Writing Logic'!$G$8:$H$14,2,FALSE),YES_Writing_ELA[#Headers],0))=0,"",INDEX(_xlfn.VSTACK(YES_Writing_ELA[#Data],YES_Writing_FLA[#Data]),MATCH($A343,_xlfn.VSTACK(YES_Writing_ELA[Student Number],YES_Writing_FLA[Student Number]),0),MATCH(VLOOKUP(F$7,'Writing Logic'!$J$7:$K$11,2,FALSE)&amp;" - Per "&amp;VLOOKUP($C$4,'Writing Logic'!$G$8:$H$14,2,FALSE),YES_Writing_ELA[#Headers],0)))),"")</f>
        <v/>
      </c>
      <c r="G343" s="138" t="str">
        <f>IFERROR(IF(IF(INDEX(_xlfn.VSTACK(YES_Writing_ELA[#Data],YES_Writing_FLA[#Data]),MATCH($A343,_xlfn.VSTACK(YES_Writing_ELA[Student Number],YES_Writing_FLA[Student Number]),0),MATCH(VLOOKUP(G$7,'Writing Logic'!$J$7:$K$11,2,FALSE)&amp;" - Per "&amp;VLOOKUP($C$4,'Writing Logic'!$G$8:$H$14,2,FALSE),YES_Writing_ELA[#Headers],0))=0,"",INDEX(_xlfn.VSTACK(YES_Writing_ELA[#Data],YES_Writing_FLA[#Data]),MATCH($A343,_xlfn.VSTACK(YES_Writing_ELA[Student Number],YES_Writing_FLA[Student Number]),0),MATCH(VLOOKUP(G$7,'Writing Logic'!$J$7:$K$11,2,FALSE)&amp;" - Per "&amp;VLOOKUP($C$4,'Writing Logic'!$G$8:$H$14,2,FALSE),YES_Writing_ELA[#Headers],0)))="INS",'Writing Logic'!$B$7,IF(INDEX(_xlfn.VSTACK(YES_Writing_ELA[#Data],YES_Writing_FLA[#Data]),MATCH($A343,_xlfn.VSTACK(YES_Writing_ELA[Student Number],YES_Writing_FLA[Student Number]),0),MATCH(VLOOKUP(G$7,'Writing Logic'!$J$7:$K$11,2,FALSE)&amp;" - Per "&amp;VLOOKUP($C$4,'Writing Logic'!$G$8:$H$14,2,FALSE),YES_Writing_ELA[#Headers],0))=0,"",INDEX(_xlfn.VSTACK(YES_Writing_ELA[#Data],YES_Writing_FLA[#Data]),MATCH($A343,_xlfn.VSTACK(YES_Writing_ELA[Student Number],YES_Writing_FLA[Student Number]),0),MATCH(VLOOKUP(G$7,'Writing Logic'!$J$7:$K$11,2,FALSE)&amp;" - Per "&amp;VLOOKUP($C$4,'Writing Logic'!$G$8:$H$14,2,FALSE),YES_Writing_ELA[#Headers],0)))),"")</f>
        <v/>
      </c>
      <c r="H343" s="138" t="str">
        <f>IFERROR(IF(IF(INDEX(_xlfn.VSTACK(YES_Writing_ELA[#Data],YES_Writing_FLA[#Data]),MATCH($A343,_xlfn.VSTACK(YES_Writing_ELA[Student Number],YES_Writing_FLA[Student Number]),0),MATCH(VLOOKUP(H$7,'Writing Logic'!$J$7:$K$11,2,FALSE)&amp;" - Per "&amp;VLOOKUP($C$4,'Writing Logic'!$G$8:$H$14,2,FALSE),YES_Writing_ELA[#Headers],0))=0,"",INDEX(_xlfn.VSTACK(YES_Writing_ELA[#Data],YES_Writing_FLA[#Data]),MATCH($A343,_xlfn.VSTACK(YES_Writing_ELA[Student Number],YES_Writing_FLA[Student Number]),0),MATCH(VLOOKUP(H$7,'Writing Logic'!$J$7:$K$11,2,FALSE)&amp;" - Per "&amp;VLOOKUP($C$4,'Writing Logic'!$G$8:$H$14,2,FALSE),YES_Writing_ELA[#Headers],0)))="INS",'Writing Logic'!$B$7,IF(INDEX(_xlfn.VSTACK(YES_Writing_ELA[#Data],YES_Writing_FLA[#Data]),MATCH($A343,_xlfn.VSTACK(YES_Writing_ELA[Student Number],YES_Writing_FLA[Student Number]),0),MATCH(VLOOKUP(H$7,'Writing Logic'!$J$7:$K$11,2,FALSE)&amp;" - Per "&amp;VLOOKUP($C$4,'Writing Logic'!$G$8:$H$14,2,FALSE),YES_Writing_ELA[#Headers],0))=0,"",INDEX(_xlfn.VSTACK(YES_Writing_ELA[#Data],YES_Writing_FLA[#Data]),MATCH($A343,_xlfn.VSTACK(YES_Writing_ELA[Student Number],YES_Writing_FLA[Student Number]),0),MATCH(VLOOKUP(H$7,'Writing Logic'!$J$7:$K$11,2,FALSE)&amp;" - Per "&amp;VLOOKUP($C$4,'Writing Logic'!$G$8:$H$14,2,FALSE),YES_Writing_ELA[#Headers],0)))),"")</f>
        <v/>
      </c>
    </row>
    <row r="344" spans="1:8" x14ac:dyDescent="0.25">
      <c r="A344" s="137"/>
      <c r="B344" s="137" t="str">
        <f>IFERROR(INDEX(_xlfn.VSTACK(YES_Writing_ELA[#Data], YES_Writing_FLA[#Data]),MATCH($A344,_xlfn.VSTACK(YES_Writing_ELA[Student Number], YES_Writing_FLA[Student Number]),0),MATCH(B$7,YES_Writing_ELA[#Headers],0)),"")</f>
        <v/>
      </c>
      <c r="C344" s="137" t="str">
        <f>IFERROR(INDEX(_xlfn.VSTACK(YES_Writing_ELA[#Data], YES_Writing_FLA[#Data]),MATCH($A344,_xlfn.VSTACK(YES_Writing_ELA[Student Number], YES_Writing_FLA[Student Number]),0),MATCH(C$7,YES_Writing_ELA[#Headers],0)),"")</f>
        <v/>
      </c>
      <c r="D344" s="138" t="str">
        <f>IFERROR(IF(IF(INDEX(_xlfn.VSTACK(YES_Writing_ELA[#Data],YES_Writing_FLA[#Data]),MATCH($A344,_xlfn.VSTACK(YES_Writing_ELA[Student Number],YES_Writing_FLA[Student Number]),0),MATCH(VLOOKUP(D$7,'Writing Logic'!$J$7:$K$11,2,FALSE)&amp;" - Per "&amp;VLOOKUP($C$4,'Writing Logic'!$G$8:$H$14,2,FALSE),YES_Writing_ELA[#Headers],0))=0,"",INDEX(_xlfn.VSTACK(YES_Writing_ELA[#Data],YES_Writing_FLA[#Data]),MATCH($A344,_xlfn.VSTACK(YES_Writing_ELA[Student Number],YES_Writing_FLA[Student Number]),0),MATCH(VLOOKUP(D$7,'Writing Logic'!$J$7:$K$11,2,FALSE)&amp;" - Per "&amp;VLOOKUP($C$4,'Writing Logic'!$G$8:$H$14,2,FALSE),YES_Writing_ELA[#Headers],0)))="INS",'Writing Logic'!$B$7,IF(INDEX(_xlfn.VSTACK(YES_Writing_ELA[#Data],YES_Writing_FLA[#Data]),MATCH($A344,_xlfn.VSTACK(YES_Writing_ELA[Student Number],YES_Writing_FLA[Student Number]),0),MATCH(VLOOKUP(D$7,'Writing Logic'!$J$7:$K$11,2,FALSE)&amp;" - Per "&amp;VLOOKUP($C$4,'Writing Logic'!$G$8:$H$14,2,FALSE),YES_Writing_ELA[#Headers],0))=0,"",INDEX(_xlfn.VSTACK(YES_Writing_ELA[#Data],YES_Writing_FLA[#Data]),MATCH($A344,_xlfn.VSTACK(YES_Writing_ELA[Student Number],YES_Writing_FLA[Student Number]),0),MATCH(VLOOKUP(D$7,'Writing Logic'!$J$7:$K$11,2,FALSE)&amp;" - Per "&amp;VLOOKUP($C$4,'Writing Logic'!$G$8:$H$14,2,FALSE),YES_Writing_ELA[#Headers],0)))),"")</f>
        <v/>
      </c>
      <c r="E344" s="138" t="str">
        <f>IFERROR(IF(IF(INDEX(_xlfn.VSTACK(YES_Writing_ELA[#Data],YES_Writing_FLA[#Data]),MATCH($A344,_xlfn.VSTACK(YES_Writing_ELA[Student Number],YES_Writing_FLA[Student Number]),0),MATCH(VLOOKUP(E$7,'Writing Logic'!$J$7:$K$11,2,FALSE)&amp;" - Per "&amp;VLOOKUP($C$4,'Writing Logic'!$G$8:$H$14,2,FALSE),YES_Writing_ELA[#Headers],0))=0,"",INDEX(_xlfn.VSTACK(YES_Writing_ELA[#Data],YES_Writing_FLA[#Data]),MATCH($A344,_xlfn.VSTACK(YES_Writing_ELA[Student Number],YES_Writing_FLA[Student Number]),0),MATCH(VLOOKUP(E$7,'Writing Logic'!$J$7:$K$11,2,FALSE)&amp;" - Per "&amp;VLOOKUP($C$4,'Writing Logic'!$G$8:$H$14,2,FALSE),YES_Writing_ELA[#Headers],0)))="INS",'Writing Logic'!$B$7,IF(INDEX(_xlfn.VSTACK(YES_Writing_ELA[#Data],YES_Writing_FLA[#Data]),MATCH($A344,_xlfn.VSTACK(YES_Writing_ELA[Student Number],YES_Writing_FLA[Student Number]),0),MATCH(VLOOKUP(E$7,'Writing Logic'!$J$7:$K$11,2,FALSE)&amp;" - Per "&amp;VLOOKUP($C$4,'Writing Logic'!$G$8:$H$14,2,FALSE),YES_Writing_ELA[#Headers],0))=0,"",INDEX(_xlfn.VSTACK(YES_Writing_ELA[#Data],YES_Writing_FLA[#Data]),MATCH($A344,_xlfn.VSTACK(YES_Writing_ELA[Student Number],YES_Writing_FLA[Student Number]),0),MATCH(VLOOKUP(E$7,'Writing Logic'!$J$7:$K$11,2,FALSE)&amp;" - Per "&amp;VLOOKUP($C$4,'Writing Logic'!$G$8:$H$14,2,FALSE),YES_Writing_ELA[#Headers],0)))),"")</f>
        <v/>
      </c>
      <c r="F344" s="138" t="str">
        <f>IFERROR(IF(IF(INDEX(_xlfn.VSTACK(YES_Writing_ELA[#Data],YES_Writing_FLA[#Data]),MATCH($A344,_xlfn.VSTACK(YES_Writing_ELA[Student Number],YES_Writing_FLA[Student Number]),0),MATCH(VLOOKUP(F$7,'Writing Logic'!$J$7:$K$11,2,FALSE)&amp;" - Per "&amp;VLOOKUP($C$4,'Writing Logic'!$G$8:$H$14,2,FALSE),YES_Writing_ELA[#Headers],0))=0,"",INDEX(_xlfn.VSTACK(YES_Writing_ELA[#Data],YES_Writing_FLA[#Data]),MATCH($A344,_xlfn.VSTACK(YES_Writing_ELA[Student Number],YES_Writing_FLA[Student Number]),0),MATCH(VLOOKUP(F$7,'Writing Logic'!$J$7:$K$11,2,FALSE)&amp;" - Per "&amp;VLOOKUP($C$4,'Writing Logic'!$G$8:$H$14,2,FALSE),YES_Writing_ELA[#Headers],0)))="INS",'Writing Logic'!$B$7,IF(INDEX(_xlfn.VSTACK(YES_Writing_ELA[#Data],YES_Writing_FLA[#Data]),MATCH($A344,_xlfn.VSTACK(YES_Writing_ELA[Student Number],YES_Writing_FLA[Student Number]),0),MATCH(VLOOKUP(F$7,'Writing Logic'!$J$7:$K$11,2,FALSE)&amp;" - Per "&amp;VLOOKUP($C$4,'Writing Logic'!$G$8:$H$14,2,FALSE),YES_Writing_ELA[#Headers],0))=0,"",INDEX(_xlfn.VSTACK(YES_Writing_ELA[#Data],YES_Writing_FLA[#Data]),MATCH($A344,_xlfn.VSTACK(YES_Writing_ELA[Student Number],YES_Writing_FLA[Student Number]),0),MATCH(VLOOKUP(F$7,'Writing Logic'!$J$7:$K$11,2,FALSE)&amp;" - Per "&amp;VLOOKUP($C$4,'Writing Logic'!$G$8:$H$14,2,FALSE),YES_Writing_ELA[#Headers],0)))),"")</f>
        <v/>
      </c>
      <c r="G344" s="138" t="str">
        <f>IFERROR(IF(IF(INDEX(_xlfn.VSTACK(YES_Writing_ELA[#Data],YES_Writing_FLA[#Data]),MATCH($A344,_xlfn.VSTACK(YES_Writing_ELA[Student Number],YES_Writing_FLA[Student Number]),0),MATCH(VLOOKUP(G$7,'Writing Logic'!$J$7:$K$11,2,FALSE)&amp;" - Per "&amp;VLOOKUP($C$4,'Writing Logic'!$G$8:$H$14,2,FALSE),YES_Writing_ELA[#Headers],0))=0,"",INDEX(_xlfn.VSTACK(YES_Writing_ELA[#Data],YES_Writing_FLA[#Data]),MATCH($A344,_xlfn.VSTACK(YES_Writing_ELA[Student Number],YES_Writing_FLA[Student Number]),0),MATCH(VLOOKUP(G$7,'Writing Logic'!$J$7:$K$11,2,FALSE)&amp;" - Per "&amp;VLOOKUP($C$4,'Writing Logic'!$G$8:$H$14,2,FALSE),YES_Writing_ELA[#Headers],0)))="INS",'Writing Logic'!$B$7,IF(INDEX(_xlfn.VSTACK(YES_Writing_ELA[#Data],YES_Writing_FLA[#Data]),MATCH($A344,_xlfn.VSTACK(YES_Writing_ELA[Student Number],YES_Writing_FLA[Student Number]),0),MATCH(VLOOKUP(G$7,'Writing Logic'!$J$7:$K$11,2,FALSE)&amp;" - Per "&amp;VLOOKUP($C$4,'Writing Logic'!$G$8:$H$14,2,FALSE),YES_Writing_ELA[#Headers],0))=0,"",INDEX(_xlfn.VSTACK(YES_Writing_ELA[#Data],YES_Writing_FLA[#Data]),MATCH($A344,_xlfn.VSTACK(YES_Writing_ELA[Student Number],YES_Writing_FLA[Student Number]),0),MATCH(VLOOKUP(G$7,'Writing Logic'!$J$7:$K$11,2,FALSE)&amp;" - Per "&amp;VLOOKUP($C$4,'Writing Logic'!$G$8:$H$14,2,FALSE),YES_Writing_ELA[#Headers],0)))),"")</f>
        <v/>
      </c>
      <c r="H344" s="138" t="str">
        <f>IFERROR(IF(IF(INDEX(_xlfn.VSTACK(YES_Writing_ELA[#Data],YES_Writing_FLA[#Data]),MATCH($A344,_xlfn.VSTACK(YES_Writing_ELA[Student Number],YES_Writing_FLA[Student Number]),0),MATCH(VLOOKUP(H$7,'Writing Logic'!$J$7:$K$11,2,FALSE)&amp;" - Per "&amp;VLOOKUP($C$4,'Writing Logic'!$G$8:$H$14,2,FALSE),YES_Writing_ELA[#Headers],0))=0,"",INDEX(_xlfn.VSTACK(YES_Writing_ELA[#Data],YES_Writing_FLA[#Data]),MATCH($A344,_xlfn.VSTACK(YES_Writing_ELA[Student Number],YES_Writing_FLA[Student Number]),0),MATCH(VLOOKUP(H$7,'Writing Logic'!$J$7:$K$11,2,FALSE)&amp;" - Per "&amp;VLOOKUP($C$4,'Writing Logic'!$G$8:$H$14,2,FALSE),YES_Writing_ELA[#Headers],0)))="INS",'Writing Logic'!$B$7,IF(INDEX(_xlfn.VSTACK(YES_Writing_ELA[#Data],YES_Writing_FLA[#Data]),MATCH($A344,_xlfn.VSTACK(YES_Writing_ELA[Student Number],YES_Writing_FLA[Student Number]),0),MATCH(VLOOKUP(H$7,'Writing Logic'!$J$7:$K$11,2,FALSE)&amp;" - Per "&amp;VLOOKUP($C$4,'Writing Logic'!$G$8:$H$14,2,FALSE),YES_Writing_ELA[#Headers],0))=0,"",INDEX(_xlfn.VSTACK(YES_Writing_ELA[#Data],YES_Writing_FLA[#Data]),MATCH($A344,_xlfn.VSTACK(YES_Writing_ELA[Student Number],YES_Writing_FLA[Student Number]),0),MATCH(VLOOKUP(H$7,'Writing Logic'!$J$7:$K$11,2,FALSE)&amp;" - Per "&amp;VLOOKUP($C$4,'Writing Logic'!$G$8:$H$14,2,FALSE),YES_Writing_ELA[#Headers],0)))),"")</f>
        <v/>
      </c>
    </row>
    <row r="345" spans="1:8" x14ac:dyDescent="0.25">
      <c r="A345" s="137"/>
      <c r="B345" s="137" t="str">
        <f>IFERROR(INDEX(_xlfn.VSTACK(YES_Writing_ELA[#Data], YES_Writing_FLA[#Data]),MATCH($A345,_xlfn.VSTACK(YES_Writing_ELA[Student Number], YES_Writing_FLA[Student Number]),0),MATCH(B$7,YES_Writing_ELA[#Headers],0)),"")</f>
        <v/>
      </c>
      <c r="C345" s="137" t="str">
        <f>IFERROR(INDEX(_xlfn.VSTACK(YES_Writing_ELA[#Data], YES_Writing_FLA[#Data]),MATCH($A345,_xlfn.VSTACK(YES_Writing_ELA[Student Number], YES_Writing_FLA[Student Number]),0),MATCH(C$7,YES_Writing_ELA[#Headers],0)),"")</f>
        <v/>
      </c>
      <c r="D345" s="138" t="str">
        <f>IFERROR(IF(IF(INDEX(_xlfn.VSTACK(YES_Writing_ELA[#Data],YES_Writing_FLA[#Data]),MATCH($A345,_xlfn.VSTACK(YES_Writing_ELA[Student Number],YES_Writing_FLA[Student Number]),0),MATCH(VLOOKUP(D$7,'Writing Logic'!$J$7:$K$11,2,FALSE)&amp;" - Per "&amp;VLOOKUP($C$4,'Writing Logic'!$G$8:$H$14,2,FALSE),YES_Writing_ELA[#Headers],0))=0,"",INDEX(_xlfn.VSTACK(YES_Writing_ELA[#Data],YES_Writing_FLA[#Data]),MATCH($A345,_xlfn.VSTACK(YES_Writing_ELA[Student Number],YES_Writing_FLA[Student Number]),0),MATCH(VLOOKUP(D$7,'Writing Logic'!$J$7:$K$11,2,FALSE)&amp;" - Per "&amp;VLOOKUP($C$4,'Writing Logic'!$G$8:$H$14,2,FALSE),YES_Writing_ELA[#Headers],0)))="INS",'Writing Logic'!$B$7,IF(INDEX(_xlfn.VSTACK(YES_Writing_ELA[#Data],YES_Writing_FLA[#Data]),MATCH($A345,_xlfn.VSTACK(YES_Writing_ELA[Student Number],YES_Writing_FLA[Student Number]),0),MATCH(VLOOKUP(D$7,'Writing Logic'!$J$7:$K$11,2,FALSE)&amp;" - Per "&amp;VLOOKUP($C$4,'Writing Logic'!$G$8:$H$14,2,FALSE),YES_Writing_ELA[#Headers],0))=0,"",INDEX(_xlfn.VSTACK(YES_Writing_ELA[#Data],YES_Writing_FLA[#Data]),MATCH($A345,_xlfn.VSTACK(YES_Writing_ELA[Student Number],YES_Writing_FLA[Student Number]),0),MATCH(VLOOKUP(D$7,'Writing Logic'!$J$7:$K$11,2,FALSE)&amp;" - Per "&amp;VLOOKUP($C$4,'Writing Logic'!$G$8:$H$14,2,FALSE),YES_Writing_ELA[#Headers],0)))),"")</f>
        <v/>
      </c>
      <c r="E345" s="138" t="str">
        <f>IFERROR(IF(IF(INDEX(_xlfn.VSTACK(YES_Writing_ELA[#Data],YES_Writing_FLA[#Data]),MATCH($A345,_xlfn.VSTACK(YES_Writing_ELA[Student Number],YES_Writing_FLA[Student Number]),0),MATCH(VLOOKUP(E$7,'Writing Logic'!$J$7:$K$11,2,FALSE)&amp;" - Per "&amp;VLOOKUP($C$4,'Writing Logic'!$G$8:$H$14,2,FALSE),YES_Writing_ELA[#Headers],0))=0,"",INDEX(_xlfn.VSTACK(YES_Writing_ELA[#Data],YES_Writing_FLA[#Data]),MATCH($A345,_xlfn.VSTACK(YES_Writing_ELA[Student Number],YES_Writing_FLA[Student Number]),0),MATCH(VLOOKUP(E$7,'Writing Logic'!$J$7:$K$11,2,FALSE)&amp;" - Per "&amp;VLOOKUP($C$4,'Writing Logic'!$G$8:$H$14,2,FALSE),YES_Writing_ELA[#Headers],0)))="INS",'Writing Logic'!$B$7,IF(INDEX(_xlfn.VSTACK(YES_Writing_ELA[#Data],YES_Writing_FLA[#Data]),MATCH($A345,_xlfn.VSTACK(YES_Writing_ELA[Student Number],YES_Writing_FLA[Student Number]),0),MATCH(VLOOKUP(E$7,'Writing Logic'!$J$7:$K$11,2,FALSE)&amp;" - Per "&amp;VLOOKUP($C$4,'Writing Logic'!$G$8:$H$14,2,FALSE),YES_Writing_ELA[#Headers],0))=0,"",INDEX(_xlfn.VSTACK(YES_Writing_ELA[#Data],YES_Writing_FLA[#Data]),MATCH($A345,_xlfn.VSTACK(YES_Writing_ELA[Student Number],YES_Writing_FLA[Student Number]),0),MATCH(VLOOKUP(E$7,'Writing Logic'!$J$7:$K$11,2,FALSE)&amp;" - Per "&amp;VLOOKUP($C$4,'Writing Logic'!$G$8:$H$14,2,FALSE),YES_Writing_ELA[#Headers],0)))),"")</f>
        <v/>
      </c>
      <c r="F345" s="138" t="str">
        <f>IFERROR(IF(IF(INDEX(_xlfn.VSTACK(YES_Writing_ELA[#Data],YES_Writing_FLA[#Data]),MATCH($A345,_xlfn.VSTACK(YES_Writing_ELA[Student Number],YES_Writing_FLA[Student Number]),0),MATCH(VLOOKUP(F$7,'Writing Logic'!$J$7:$K$11,2,FALSE)&amp;" - Per "&amp;VLOOKUP($C$4,'Writing Logic'!$G$8:$H$14,2,FALSE),YES_Writing_ELA[#Headers],0))=0,"",INDEX(_xlfn.VSTACK(YES_Writing_ELA[#Data],YES_Writing_FLA[#Data]),MATCH($A345,_xlfn.VSTACK(YES_Writing_ELA[Student Number],YES_Writing_FLA[Student Number]),0),MATCH(VLOOKUP(F$7,'Writing Logic'!$J$7:$K$11,2,FALSE)&amp;" - Per "&amp;VLOOKUP($C$4,'Writing Logic'!$G$8:$H$14,2,FALSE),YES_Writing_ELA[#Headers],0)))="INS",'Writing Logic'!$B$7,IF(INDEX(_xlfn.VSTACK(YES_Writing_ELA[#Data],YES_Writing_FLA[#Data]),MATCH($A345,_xlfn.VSTACK(YES_Writing_ELA[Student Number],YES_Writing_FLA[Student Number]),0),MATCH(VLOOKUP(F$7,'Writing Logic'!$J$7:$K$11,2,FALSE)&amp;" - Per "&amp;VLOOKUP($C$4,'Writing Logic'!$G$8:$H$14,2,FALSE),YES_Writing_ELA[#Headers],0))=0,"",INDEX(_xlfn.VSTACK(YES_Writing_ELA[#Data],YES_Writing_FLA[#Data]),MATCH($A345,_xlfn.VSTACK(YES_Writing_ELA[Student Number],YES_Writing_FLA[Student Number]),0),MATCH(VLOOKUP(F$7,'Writing Logic'!$J$7:$K$11,2,FALSE)&amp;" - Per "&amp;VLOOKUP($C$4,'Writing Logic'!$G$8:$H$14,2,FALSE),YES_Writing_ELA[#Headers],0)))),"")</f>
        <v/>
      </c>
      <c r="G345" s="138" t="str">
        <f>IFERROR(IF(IF(INDEX(_xlfn.VSTACK(YES_Writing_ELA[#Data],YES_Writing_FLA[#Data]),MATCH($A345,_xlfn.VSTACK(YES_Writing_ELA[Student Number],YES_Writing_FLA[Student Number]),0),MATCH(VLOOKUP(G$7,'Writing Logic'!$J$7:$K$11,2,FALSE)&amp;" - Per "&amp;VLOOKUP($C$4,'Writing Logic'!$G$8:$H$14,2,FALSE),YES_Writing_ELA[#Headers],0))=0,"",INDEX(_xlfn.VSTACK(YES_Writing_ELA[#Data],YES_Writing_FLA[#Data]),MATCH($A345,_xlfn.VSTACK(YES_Writing_ELA[Student Number],YES_Writing_FLA[Student Number]),0),MATCH(VLOOKUP(G$7,'Writing Logic'!$J$7:$K$11,2,FALSE)&amp;" - Per "&amp;VLOOKUP($C$4,'Writing Logic'!$G$8:$H$14,2,FALSE),YES_Writing_ELA[#Headers],0)))="INS",'Writing Logic'!$B$7,IF(INDEX(_xlfn.VSTACK(YES_Writing_ELA[#Data],YES_Writing_FLA[#Data]),MATCH($A345,_xlfn.VSTACK(YES_Writing_ELA[Student Number],YES_Writing_FLA[Student Number]),0),MATCH(VLOOKUP(G$7,'Writing Logic'!$J$7:$K$11,2,FALSE)&amp;" - Per "&amp;VLOOKUP($C$4,'Writing Logic'!$G$8:$H$14,2,FALSE),YES_Writing_ELA[#Headers],0))=0,"",INDEX(_xlfn.VSTACK(YES_Writing_ELA[#Data],YES_Writing_FLA[#Data]),MATCH($A345,_xlfn.VSTACK(YES_Writing_ELA[Student Number],YES_Writing_FLA[Student Number]),0),MATCH(VLOOKUP(G$7,'Writing Logic'!$J$7:$K$11,2,FALSE)&amp;" - Per "&amp;VLOOKUP($C$4,'Writing Logic'!$G$8:$H$14,2,FALSE),YES_Writing_ELA[#Headers],0)))),"")</f>
        <v/>
      </c>
      <c r="H345" s="138" t="str">
        <f>IFERROR(IF(IF(INDEX(_xlfn.VSTACK(YES_Writing_ELA[#Data],YES_Writing_FLA[#Data]),MATCH($A345,_xlfn.VSTACK(YES_Writing_ELA[Student Number],YES_Writing_FLA[Student Number]),0),MATCH(VLOOKUP(H$7,'Writing Logic'!$J$7:$K$11,2,FALSE)&amp;" - Per "&amp;VLOOKUP($C$4,'Writing Logic'!$G$8:$H$14,2,FALSE),YES_Writing_ELA[#Headers],0))=0,"",INDEX(_xlfn.VSTACK(YES_Writing_ELA[#Data],YES_Writing_FLA[#Data]),MATCH($A345,_xlfn.VSTACK(YES_Writing_ELA[Student Number],YES_Writing_FLA[Student Number]),0),MATCH(VLOOKUP(H$7,'Writing Logic'!$J$7:$K$11,2,FALSE)&amp;" - Per "&amp;VLOOKUP($C$4,'Writing Logic'!$G$8:$H$14,2,FALSE),YES_Writing_ELA[#Headers],0)))="INS",'Writing Logic'!$B$7,IF(INDEX(_xlfn.VSTACK(YES_Writing_ELA[#Data],YES_Writing_FLA[#Data]),MATCH($A345,_xlfn.VSTACK(YES_Writing_ELA[Student Number],YES_Writing_FLA[Student Number]),0),MATCH(VLOOKUP(H$7,'Writing Logic'!$J$7:$K$11,2,FALSE)&amp;" - Per "&amp;VLOOKUP($C$4,'Writing Logic'!$G$8:$H$14,2,FALSE),YES_Writing_ELA[#Headers],0))=0,"",INDEX(_xlfn.VSTACK(YES_Writing_ELA[#Data],YES_Writing_FLA[#Data]),MATCH($A345,_xlfn.VSTACK(YES_Writing_ELA[Student Number],YES_Writing_FLA[Student Number]),0),MATCH(VLOOKUP(H$7,'Writing Logic'!$J$7:$K$11,2,FALSE)&amp;" - Per "&amp;VLOOKUP($C$4,'Writing Logic'!$G$8:$H$14,2,FALSE),YES_Writing_ELA[#Headers],0)))),"")</f>
        <v/>
      </c>
    </row>
    <row r="346" spans="1:8" x14ac:dyDescent="0.25">
      <c r="A346" s="137"/>
      <c r="B346" s="137" t="str">
        <f>IFERROR(INDEX(_xlfn.VSTACK(YES_Writing_ELA[#Data], YES_Writing_FLA[#Data]),MATCH($A346,_xlfn.VSTACK(YES_Writing_ELA[Student Number], YES_Writing_FLA[Student Number]),0),MATCH(B$7,YES_Writing_ELA[#Headers],0)),"")</f>
        <v/>
      </c>
      <c r="C346" s="137" t="str">
        <f>IFERROR(INDEX(_xlfn.VSTACK(YES_Writing_ELA[#Data], YES_Writing_FLA[#Data]),MATCH($A346,_xlfn.VSTACK(YES_Writing_ELA[Student Number], YES_Writing_FLA[Student Number]),0),MATCH(C$7,YES_Writing_ELA[#Headers],0)),"")</f>
        <v/>
      </c>
      <c r="D346" s="138" t="str">
        <f>IFERROR(IF(IF(INDEX(_xlfn.VSTACK(YES_Writing_ELA[#Data],YES_Writing_FLA[#Data]),MATCH($A346,_xlfn.VSTACK(YES_Writing_ELA[Student Number],YES_Writing_FLA[Student Number]),0),MATCH(VLOOKUP(D$7,'Writing Logic'!$J$7:$K$11,2,FALSE)&amp;" - Per "&amp;VLOOKUP($C$4,'Writing Logic'!$G$8:$H$14,2,FALSE),YES_Writing_ELA[#Headers],0))=0,"",INDEX(_xlfn.VSTACK(YES_Writing_ELA[#Data],YES_Writing_FLA[#Data]),MATCH($A346,_xlfn.VSTACK(YES_Writing_ELA[Student Number],YES_Writing_FLA[Student Number]),0),MATCH(VLOOKUP(D$7,'Writing Logic'!$J$7:$K$11,2,FALSE)&amp;" - Per "&amp;VLOOKUP($C$4,'Writing Logic'!$G$8:$H$14,2,FALSE),YES_Writing_ELA[#Headers],0)))="INS",'Writing Logic'!$B$7,IF(INDEX(_xlfn.VSTACK(YES_Writing_ELA[#Data],YES_Writing_FLA[#Data]),MATCH($A346,_xlfn.VSTACK(YES_Writing_ELA[Student Number],YES_Writing_FLA[Student Number]),0),MATCH(VLOOKUP(D$7,'Writing Logic'!$J$7:$K$11,2,FALSE)&amp;" - Per "&amp;VLOOKUP($C$4,'Writing Logic'!$G$8:$H$14,2,FALSE),YES_Writing_ELA[#Headers],0))=0,"",INDEX(_xlfn.VSTACK(YES_Writing_ELA[#Data],YES_Writing_FLA[#Data]),MATCH($A346,_xlfn.VSTACK(YES_Writing_ELA[Student Number],YES_Writing_FLA[Student Number]),0),MATCH(VLOOKUP(D$7,'Writing Logic'!$J$7:$K$11,2,FALSE)&amp;" - Per "&amp;VLOOKUP($C$4,'Writing Logic'!$G$8:$H$14,2,FALSE),YES_Writing_ELA[#Headers],0)))),"")</f>
        <v/>
      </c>
      <c r="E346" s="138" t="str">
        <f>IFERROR(IF(IF(INDEX(_xlfn.VSTACK(YES_Writing_ELA[#Data],YES_Writing_FLA[#Data]),MATCH($A346,_xlfn.VSTACK(YES_Writing_ELA[Student Number],YES_Writing_FLA[Student Number]),0),MATCH(VLOOKUP(E$7,'Writing Logic'!$J$7:$K$11,2,FALSE)&amp;" - Per "&amp;VLOOKUP($C$4,'Writing Logic'!$G$8:$H$14,2,FALSE),YES_Writing_ELA[#Headers],0))=0,"",INDEX(_xlfn.VSTACK(YES_Writing_ELA[#Data],YES_Writing_FLA[#Data]),MATCH($A346,_xlfn.VSTACK(YES_Writing_ELA[Student Number],YES_Writing_FLA[Student Number]),0),MATCH(VLOOKUP(E$7,'Writing Logic'!$J$7:$K$11,2,FALSE)&amp;" - Per "&amp;VLOOKUP($C$4,'Writing Logic'!$G$8:$H$14,2,FALSE),YES_Writing_ELA[#Headers],0)))="INS",'Writing Logic'!$B$7,IF(INDEX(_xlfn.VSTACK(YES_Writing_ELA[#Data],YES_Writing_FLA[#Data]),MATCH($A346,_xlfn.VSTACK(YES_Writing_ELA[Student Number],YES_Writing_FLA[Student Number]),0),MATCH(VLOOKUP(E$7,'Writing Logic'!$J$7:$K$11,2,FALSE)&amp;" - Per "&amp;VLOOKUP($C$4,'Writing Logic'!$G$8:$H$14,2,FALSE),YES_Writing_ELA[#Headers],0))=0,"",INDEX(_xlfn.VSTACK(YES_Writing_ELA[#Data],YES_Writing_FLA[#Data]),MATCH($A346,_xlfn.VSTACK(YES_Writing_ELA[Student Number],YES_Writing_FLA[Student Number]),0),MATCH(VLOOKUP(E$7,'Writing Logic'!$J$7:$K$11,2,FALSE)&amp;" - Per "&amp;VLOOKUP($C$4,'Writing Logic'!$G$8:$H$14,2,FALSE),YES_Writing_ELA[#Headers],0)))),"")</f>
        <v/>
      </c>
      <c r="F346" s="138" t="str">
        <f>IFERROR(IF(IF(INDEX(_xlfn.VSTACK(YES_Writing_ELA[#Data],YES_Writing_FLA[#Data]),MATCH($A346,_xlfn.VSTACK(YES_Writing_ELA[Student Number],YES_Writing_FLA[Student Number]),0),MATCH(VLOOKUP(F$7,'Writing Logic'!$J$7:$K$11,2,FALSE)&amp;" - Per "&amp;VLOOKUP($C$4,'Writing Logic'!$G$8:$H$14,2,FALSE),YES_Writing_ELA[#Headers],0))=0,"",INDEX(_xlfn.VSTACK(YES_Writing_ELA[#Data],YES_Writing_FLA[#Data]),MATCH($A346,_xlfn.VSTACK(YES_Writing_ELA[Student Number],YES_Writing_FLA[Student Number]),0),MATCH(VLOOKUP(F$7,'Writing Logic'!$J$7:$K$11,2,FALSE)&amp;" - Per "&amp;VLOOKUP($C$4,'Writing Logic'!$G$8:$H$14,2,FALSE),YES_Writing_ELA[#Headers],0)))="INS",'Writing Logic'!$B$7,IF(INDEX(_xlfn.VSTACK(YES_Writing_ELA[#Data],YES_Writing_FLA[#Data]),MATCH($A346,_xlfn.VSTACK(YES_Writing_ELA[Student Number],YES_Writing_FLA[Student Number]),0),MATCH(VLOOKUP(F$7,'Writing Logic'!$J$7:$K$11,2,FALSE)&amp;" - Per "&amp;VLOOKUP($C$4,'Writing Logic'!$G$8:$H$14,2,FALSE),YES_Writing_ELA[#Headers],0))=0,"",INDEX(_xlfn.VSTACK(YES_Writing_ELA[#Data],YES_Writing_FLA[#Data]),MATCH($A346,_xlfn.VSTACK(YES_Writing_ELA[Student Number],YES_Writing_FLA[Student Number]),0),MATCH(VLOOKUP(F$7,'Writing Logic'!$J$7:$K$11,2,FALSE)&amp;" - Per "&amp;VLOOKUP($C$4,'Writing Logic'!$G$8:$H$14,2,FALSE),YES_Writing_ELA[#Headers],0)))),"")</f>
        <v/>
      </c>
      <c r="G346" s="138" t="str">
        <f>IFERROR(IF(IF(INDEX(_xlfn.VSTACK(YES_Writing_ELA[#Data],YES_Writing_FLA[#Data]),MATCH($A346,_xlfn.VSTACK(YES_Writing_ELA[Student Number],YES_Writing_FLA[Student Number]),0),MATCH(VLOOKUP(G$7,'Writing Logic'!$J$7:$K$11,2,FALSE)&amp;" - Per "&amp;VLOOKUP($C$4,'Writing Logic'!$G$8:$H$14,2,FALSE),YES_Writing_ELA[#Headers],0))=0,"",INDEX(_xlfn.VSTACK(YES_Writing_ELA[#Data],YES_Writing_FLA[#Data]),MATCH($A346,_xlfn.VSTACK(YES_Writing_ELA[Student Number],YES_Writing_FLA[Student Number]),0),MATCH(VLOOKUP(G$7,'Writing Logic'!$J$7:$K$11,2,FALSE)&amp;" - Per "&amp;VLOOKUP($C$4,'Writing Logic'!$G$8:$H$14,2,FALSE),YES_Writing_ELA[#Headers],0)))="INS",'Writing Logic'!$B$7,IF(INDEX(_xlfn.VSTACK(YES_Writing_ELA[#Data],YES_Writing_FLA[#Data]),MATCH($A346,_xlfn.VSTACK(YES_Writing_ELA[Student Number],YES_Writing_FLA[Student Number]),0),MATCH(VLOOKUP(G$7,'Writing Logic'!$J$7:$K$11,2,FALSE)&amp;" - Per "&amp;VLOOKUP($C$4,'Writing Logic'!$G$8:$H$14,2,FALSE),YES_Writing_ELA[#Headers],0))=0,"",INDEX(_xlfn.VSTACK(YES_Writing_ELA[#Data],YES_Writing_FLA[#Data]),MATCH($A346,_xlfn.VSTACK(YES_Writing_ELA[Student Number],YES_Writing_FLA[Student Number]),0),MATCH(VLOOKUP(G$7,'Writing Logic'!$J$7:$K$11,2,FALSE)&amp;" - Per "&amp;VLOOKUP($C$4,'Writing Logic'!$G$8:$H$14,2,FALSE),YES_Writing_ELA[#Headers],0)))),"")</f>
        <v/>
      </c>
      <c r="H346" s="138" t="str">
        <f>IFERROR(IF(IF(INDEX(_xlfn.VSTACK(YES_Writing_ELA[#Data],YES_Writing_FLA[#Data]),MATCH($A346,_xlfn.VSTACK(YES_Writing_ELA[Student Number],YES_Writing_FLA[Student Number]),0),MATCH(VLOOKUP(H$7,'Writing Logic'!$J$7:$K$11,2,FALSE)&amp;" - Per "&amp;VLOOKUP($C$4,'Writing Logic'!$G$8:$H$14,2,FALSE),YES_Writing_ELA[#Headers],0))=0,"",INDEX(_xlfn.VSTACK(YES_Writing_ELA[#Data],YES_Writing_FLA[#Data]),MATCH($A346,_xlfn.VSTACK(YES_Writing_ELA[Student Number],YES_Writing_FLA[Student Number]),0),MATCH(VLOOKUP(H$7,'Writing Logic'!$J$7:$K$11,2,FALSE)&amp;" - Per "&amp;VLOOKUP($C$4,'Writing Logic'!$G$8:$H$14,2,FALSE),YES_Writing_ELA[#Headers],0)))="INS",'Writing Logic'!$B$7,IF(INDEX(_xlfn.VSTACK(YES_Writing_ELA[#Data],YES_Writing_FLA[#Data]),MATCH($A346,_xlfn.VSTACK(YES_Writing_ELA[Student Number],YES_Writing_FLA[Student Number]),0),MATCH(VLOOKUP(H$7,'Writing Logic'!$J$7:$K$11,2,FALSE)&amp;" - Per "&amp;VLOOKUP($C$4,'Writing Logic'!$G$8:$H$14,2,FALSE),YES_Writing_ELA[#Headers],0))=0,"",INDEX(_xlfn.VSTACK(YES_Writing_ELA[#Data],YES_Writing_FLA[#Data]),MATCH($A346,_xlfn.VSTACK(YES_Writing_ELA[Student Number],YES_Writing_FLA[Student Number]),0),MATCH(VLOOKUP(H$7,'Writing Logic'!$J$7:$K$11,2,FALSE)&amp;" - Per "&amp;VLOOKUP($C$4,'Writing Logic'!$G$8:$H$14,2,FALSE),YES_Writing_ELA[#Headers],0)))),"")</f>
        <v/>
      </c>
    </row>
    <row r="347" spans="1:8" x14ac:dyDescent="0.25">
      <c r="A347" s="137"/>
      <c r="B347" s="137" t="str">
        <f>IFERROR(INDEX(_xlfn.VSTACK(YES_Writing_ELA[#Data], YES_Writing_FLA[#Data]),MATCH($A347,_xlfn.VSTACK(YES_Writing_ELA[Student Number], YES_Writing_FLA[Student Number]),0),MATCH(B$7,YES_Writing_ELA[#Headers],0)),"")</f>
        <v/>
      </c>
      <c r="C347" s="137" t="str">
        <f>IFERROR(INDEX(_xlfn.VSTACK(YES_Writing_ELA[#Data], YES_Writing_FLA[#Data]),MATCH($A347,_xlfn.VSTACK(YES_Writing_ELA[Student Number], YES_Writing_FLA[Student Number]),0),MATCH(C$7,YES_Writing_ELA[#Headers],0)),"")</f>
        <v/>
      </c>
      <c r="D347" s="138" t="str">
        <f>IFERROR(IF(IF(INDEX(_xlfn.VSTACK(YES_Writing_ELA[#Data],YES_Writing_FLA[#Data]),MATCH($A347,_xlfn.VSTACK(YES_Writing_ELA[Student Number],YES_Writing_FLA[Student Number]),0),MATCH(VLOOKUP(D$7,'Writing Logic'!$J$7:$K$11,2,FALSE)&amp;" - Per "&amp;VLOOKUP($C$4,'Writing Logic'!$G$8:$H$14,2,FALSE),YES_Writing_ELA[#Headers],0))=0,"",INDEX(_xlfn.VSTACK(YES_Writing_ELA[#Data],YES_Writing_FLA[#Data]),MATCH($A347,_xlfn.VSTACK(YES_Writing_ELA[Student Number],YES_Writing_FLA[Student Number]),0),MATCH(VLOOKUP(D$7,'Writing Logic'!$J$7:$K$11,2,FALSE)&amp;" - Per "&amp;VLOOKUP($C$4,'Writing Logic'!$G$8:$H$14,2,FALSE),YES_Writing_ELA[#Headers],0)))="INS",'Writing Logic'!$B$7,IF(INDEX(_xlfn.VSTACK(YES_Writing_ELA[#Data],YES_Writing_FLA[#Data]),MATCH($A347,_xlfn.VSTACK(YES_Writing_ELA[Student Number],YES_Writing_FLA[Student Number]),0),MATCH(VLOOKUP(D$7,'Writing Logic'!$J$7:$K$11,2,FALSE)&amp;" - Per "&amp;VLOOKUP($C$4,'Writing Logic'!$G$8:$H$14,2,FALSE),YES_Writing_ELA[#Headers],0))=0,"",INDEX(_xlfn.VSTACK(YES_Writing_ELA[#Data],YES_Writing_FLA[#Data]),MATCH($A347,_xlfn.VSTACK(YES_Writing_ELA[Student Number],YES_Writing_FLA[Student Number]),0),MATCH(VLOOKUP(D$7,'Writing Logic'!$J$7:$K$11,2,FALSE)&amp;" - Per "&amp;VLOOKUP($C$4,'Writing Logic'!$G$8:$H$14,2,FALSE),YES_Writing_ELA[#Headers],0)))),"")</f>
        <v/>
      </c>
      <c r="E347" s="138" t="str">
        <f>IFERROR(IF(IF(INDEX(_xlfn.VSTACK(YES_Writing_ELA[#Data],YES_Writing_FLA[#Data]),MATCH($A347,_xlfn.VSTACK(YES_Writing_ELA[Student Number],YES_Writing_FLA[Student Number]),0),MATCH(VLOOKUP(E$7,'Writing Logic'!$J$7:$K$11,2,FALSE)&amp;" - Per "&amp;VLOOKUP($C$4,'Writing Logic'!$G$8:$H$14,2,FALSE),YES_Writing_ELA[#Headers],0))=0,"",INDEX(_xlfn.VSTACK(YES_Writing_ELA[#Data],YES_Writing_FLA[#Data]),MATCH($A347,_xlfn.VSTACK(YES_Writing_ELA[Student Number],YES_Writing_FLA[Student Number]),0),MATCH(VLOOKUP(E$7,'Writing Logic'!$J$7:$K$11,2,FALSE)&amp;" - Per "&amp;VLOOKUP($C$4,'Writing Logic'!$G$8:$H$14,2,FALSE),YES_Writing_ELA[#Headers],0)))="INS",'Writing Logic'!$B$7,IF(INDEX(_xlfn.VSTACK(YES_Writing_ELA[#Data],YES_Writing_FLA[#Data]),MATCH($A347,_xlfn.VSTACK(YES_Writing_ELA[Student Number],YES_Writing_FLA[Student Number]),0),MATCH(VLOOKUP(E$7,'Writing Logic'!$J$7:$K$11,2,FALSE)&amp;" - Per "&amp;VLOOKUP($C$4,'Writing Logic'!$G$8:$H$14,2,FALSE),YES_Writing_ELA[#Headers],0))=0,"",INDEX(_xlfn.VSTACK(YES_Writing_ELA[#Data],YES_Writing_FLA[#Data]),MATCH($A347,_xlfn.VSTACK(YES_Writing_ELA[Student Number],YES_Writing_FLA[Student Number]),0),MATCH(VLOOKUP(E$7,'Writing Logic'!$J$7:$K$11,2,FALSE)&amp;" - Per "&amp;VLOOKUP($C$4,'Writing Logic'!$G$8:$H$14,2,FALSE),YES_Writing_ELA[#Headers],0)))),"")</f>
        <v/>
      </c>
      <c r="F347" s="138" t="str">
        <f>IFERROR(IF(IF(INDEX(_xlfn.VSTACK(YES_Writing_ELA[#Data],YES_Writing_FLA[#Data]),MATCH($A347,_xlfn.VSTACK(YES_Writing_ELA[Student Number],YES_Writing_FLA[Student Number]),0),MATCH(VLOOKUP(F$7,'Writing Logic'!$J$7:$K$11,2,FALSE)&amp;" - Per "&amp;VLOOKUP($C$4,'Writing Logic'!$G$8:$H$14,2,FALSE),YES_Writing_ELA[#Headers],0))=0,"",INDEX(_xlfn.VSTACK(YES_Writing_ELA[#Data],YES_Writing_FLA[#Data]),MATCH($A347,_xlfn.VSTACK(YES_Writing_ELA[Student Number],YES_Writing_FLA[Student Number]),0),MATCH(VLOOKUP(F$7,'Writing Logic'!$J$7:$K$11,2,FALSE)&amp;" - Per "&amp;VLOOKUP($C$4,'Writing Logic'!$G$8:$H$14,2,FALSE),YES_Writing_ELA[#Headers],0)))="INS",'Writing Logic'!$B$7,IF(INDEX(_xlfn.VSTACK(YES_Writing_ELA[#Data],YES_Writing_FLA[#Data]),MATCH($A347,_xlfn.VSTACK(YES_Writing_ELA[Student Number],YES_Writing_FLA[Student Number]),0),MATCH(VLOOKUP(F$7,'Writing Logic'!$J$7:$K$11,2,FALSE)&amp;" - Per "&amp;VLOOKUP($C$4,'Writing Logic'!$G$8:$H$14,2,FALSE),YES_Writing_ELA[#Headers],0))=0,"",INDEX(_xlfn.VSTACK(YES_Writing_ELA[#Data],YES_Writing_FLA[#Data]),MATCH($A347,_xlfn.VSTACK(YES_Writing_ELA[Student Number],YES_Writing_FLA[Student Number]),0),MATCH(VLOOKUP(F$7,'Writing Logic'!$J$7:$K$11,2,FALSE)&amp;" - Per "&amp;VLOOKUP($C$4,'Writing Logic'!$G$8:$H$14,2,FALSE),YES_Writing_ELA[#Headers],0)))),"")</f>
        <v/>
      </c>
      <c r="G347" s="138" t="str">
        <f>IFERROR(IF(IF(INDEX(_xlfn.VSTACK(YES_Writing_ELA[#Data],YES_Writing_FLA[#Data]),MATCH($A347,_xlfn.VSTACK(YES_Writing_ELA[Student Number],YES_Writing_FLA[Student Number]),0),MATCH(VLOOKUP(G$7,'Writing Logic'!$J$7:$K$11,2,FALSE)&amp;" - Per "&amp;VLOOKUP($C$4,'Writing Logic'!$G$8:$H$14,2,FALSE),YES_Writing_ELA[#Headers],0))=0,"",INDEX(_xlfn.VSTACK(YES_Writing_ELA[#Data],YES_Writing_FLA[#Data]),MATCH($A347,_xlfn.VSTACK(YES_Writing_ELA[Student Number],YES_Writing_FLA[Student Number]),0),MATCH(VLOOKUP(G$7,'Writing Logic'!$J$7:$K$11,2,FALSE)&amp;" - Per "&amp;VLOOKUP($C$4,'Writing Logic'!$G$8:$H$14,2,FALSE),YES_Writing_ELA[#Headers],0)))="INS",'Writing Logic'!$B$7,IF(INDEX(_xlfn.VSTACK(YES_Writing_ELA[#Data],YES_Writing_FLA[#Data]),MATCH($A347,_xlfn.VSTACK(YES_Writing_ELA[Student Number],YES_Writing_FLA[Student Number]),0),MATCH(VLOOKUP(G$7,'Writing Logic'!$J$7:$K$11,2,FALSE)&amp;" - Per "&amp;VLOOKUP($C$4,'Writing Logic'!$G$8:$H$14,2,FALSE),YES_Writing_ELA[#Headers],0))=0,"",INDEX(_xlfn.VSTACK(YES_Writing_ELA[#Data],YES_Writing_FLA[#Data]),MATCH($A347,_xlfn.VSTACK(YES_Writing_ELA[Student Number],YES_Writing_FLA[Student Number]),0),MATCH(VLOOKUP(G$7,'Writing Logic'!$J$7:$K$11,2,FALSE)&amp;" - Per "&amp;VLOOKUP($C$4,'Writing Logic'!$G$8:$H$14,2,FALSE),YES_Writing_ELA[#Headers],0)))),"")</f>
        <v/>
      </c>
      <c r="H347" s="138" t="str">
        <f>IFERROR(IF(IF(INDEX(_xlfn.VSTACK(YES_Writing_ELA[#Data],YES_Writing_FLA[#Data]),MATCH($A347,_xlfn.VSTACK(YES_Writing_ELA[Student Number],YES_Writing_FLA[Student Number]),0),MATCH(VLOOKUP(H$7,'Writing Logic'!$J$7:$K$11,2,FALSE)&amp;" - Per "&amp;VLOOKUP($C$4,'Writing Logic'!$G$8:$H$14,2,FALSE),YES_Writing_ELA[#Headers],0))=0,"",INDEX(_xlfn.VSTACK(YES_Writing_ELA[#Data],YES_Writing_FLA[#Data]),MATCH($A347,_xlfn.VSTACK(YES_Writing_ELA[Student Number],YES_Writing_FLA[Student Number]),0),MATCH(VLOOKUP(H$7,'Writing Logic'!$J$7:$K$11,2,FALSE)&amp;" - Per "&amp;VLOOKUP($C$4,'Writing Logic'!$G$8:$H$14,2,FALSE),YES_Writing_ELA[#Headers],0)))="INS",'Writing Logic'!$B$7,IF(INDEX(_xlfn.VSTACK(YES_Writing_ELA[#Data],YES_Writing_FLA[#Data]),MATCH($A347,_xlfn.VSTACK(YES_Writing_ELA[Student Number],YES_Writing_FLA[Student Number]),0),MATCH(VLOOKUP(H$7,'Writing Logic'!$J$7:$K$11,2,FALSE)&amp;" - Per "&amp;VLOOKUP($C$4,'Writing Logic'!$G$8:$H$14,2,FALSE),YES_Writing_ELA[#Headers],0))=0,"",INDEX(_xlfn.VSTACK(YES_Writing_ELA[#Data],YES_Writing_FLA[#Data]),MATCH($A347,_xlfn.VSTACK(YES_Writing_ELA[Student Number],YES_Writing_FLA[Student Number]),0),MATCH(VLOOKUP(H$7,'Writing Logic'!$J$7:$K$11,2,FALSE)&amp;" - Per "&amp;VLOOKUP($C$4,'Writing Logic'!$G$8:$H$14,2,FALSE),YES_Writing_ELA[#Headers],0)))),"")</f>
        <v/>
      </c>
    </row>
    <row r="348" spans="1:8" x14ac:dyDescent="0.25">
      <c r="A348" s="137"/>
      <c r="B348" s="137" t="str">
        <f>IFERROR(INDEX(_xlfn.VSTACK(YES_Writing_ELA[#Data], YES_Writing_FLA[#Data]),MATCH($A348,_xlfn.VSTACK(YES_Writing_ELA[Student Number], YES_Writing_FLA[Student Number]),0),MATCH(B$7,YES_Writing_ELA[#Headers],0)),"")</f>
        <v/>
      </c>
      <c r="C348" s="137" t="str">
        <f>IFERROR(INDEX(_xlfn.VSTACK(YES_Writing_ELA[#Data], YES_Writing_FLA[#Data]),MATCH($A348,_xlfn.VSTACK(YES_Writing_ELA[Student Number], YES_Writing_FLA[Student Number]),0),MATCH(C$7,YES_Writing_ELA[#Headers],0)),"")</f>
        <v/>
      </c>
      <c r="D348" s="138" t="str">
        <f>IFERROR(IF(IF(INDEX(_xlfn.VSTACK(YES_Writing_ELA[#Data],YES_Writing_FLA[#Data]),MATCH($A348,_xlfn.VSTACK(YES_Writing_ELA[Student Number],YES_Writing_FLA[Student Number]),0),MATCH(VLOOKUP(D$7,'Writing Logic'!$J$7:$K$11,2,FALSE)&amp;" - Per "&amp;VLOOKUP($C$4,'Writing Logic'!$G$8:$H$14,2,FALSE),YES_Writing_ELA[#Headers],0))=0,"",INDEX(_xlfn.VSTACK(YES_Writing_ELA[#Data],YES_Writing_FLA[#Data]),MATCH($A348,_xlfn.VSTACK(YES_Writing_ELA[Student Number],YES_Writing_FLA[Student Number]),0),MATCH(VLOOKUP(D$7,'Writing Logic'!$J$7:$K$11,2,FALSE)&amp;" - Per "&amp;VLOOKUP($C$4,'Writing Logic'!$G$8:$H$14,2,FALSE),YES_Writing_ELA[#Headers],0)))="INS",'Writing Logic'!$B$7,IF(INDEX(_xlfn.VSTACK(YES_Writing_ELA[#Data],YES_Writing_FLA[#Data]),MATCH($A348,_xlfn.VSTACK(YES_Writing_ELA[Student Number],YES_Writing_FLA[Student Number]),0),MATCH(VLOOKUP(D$7,'Writing Logic'!$J$7:$K$11,2,FALSE)&amp;" - Per "&amp;VLOOKUP($C$4,'Writing Logic'!$G$8:$H$14,2,FALSE),YES_Writing_ELA[#Headers],0))=0,"",INDEX(_xlfn.VSTACK(YES_Writing_ELA[#Data],YES_Writing_FLA[#Data]),MATCH($A348,_xlfn.VSTACK(YES_Writing_ELA[Student Number],YES_Writing_FLA[Student Number]),0),MATCH(VLOOKUP(D$7,'Writing Logic'!$J$7:$K$11,2,FALSE)&amp;" - Per "&amp;VLOOKUP($C$4,'Writing Logic'!$G$8:$H$14,2,FALSE),YES_Writing_ELA[#Headers],0)))),"")</f>
        <v/>
      </c>
      <c r="E348" s="138" t="str">
        <f>IFERROR(IF(IF(INDEX(_xlfn.VSTACK(YES_Writing_ELA[#Data],YES_Writing_FLA[#Data]),MATCH($A348,_xlfn.VSTACK(YES_Writing_ELA[Student Number],YES_Writing_FLA[Student Number]),0),MATCH(VLOOKUP(E$7,'Writing Logic'!$J$7:$K$11,2,FALSE)&amp;" - Per "&amp;VLOOKUP($C$4,'Writing Logic'!$G$8:$H$14,2,FALSE),YES_Writing_ELA[#Headers],0))=0,"",INDEX(_xlfn.VSTACK(YES_Writing_ELA[#Data],YES_Writing_FLA[#Data]),MATCH($A348,_xlfn.VSTACK(YES_Writing_ELA[Student Number],YES_Writing_FLA[Student Number]),0),MATCH(VLOOKUP(E$7,'Writing Logic'!$J$7:$K$11,2,FALSE)&amp;" - Per "&amp;VLOOKUP($C$4,'Writing Logic'!$G$8:$H$14,2,FALSE),YES_Writing_ELA[#Headers],0)))="INS",'Writing Logic'!$B$7,IF(INDEX(_xlfn.VSTACK(YES_Writing_ELA[#Data],YES_Writing_FLA[#Data]),MATCH($A348,_xlfn.VSTACK(YES_Writing_ELA[Student Number],YES_Writing_FLA[Student Number]),0),MATCH(VLOOKUP(E$7,'Writing Logic'!$J$7:$K$11,2,FALSE)&amp;" - Per "&amp;VLOOKUP($C$4,'Writing Logic'!$G$8:$H$14,2,FALSE),YES_Writing_ELA[#Headers],0))=0,"",INDEX(_xlfn.VSTACK(YES_Writing_ELA[#Data],YES_Writing_FLA[#Data]),MATCH($A348,_xlfn.VSTACK(YES_Writing_ELA[Student Number],YES_Writing_FLA[Student Number]),0),MATCH(VLOOKUP(E$7,'Writing Logic'!$J$7:$K$11,2,FALSE)&amp;" - Per "&amp;VLOOKUP($C$4,'Writing Logic'!$G$8:$H$14,2,FALSE),YES_Writing_ELA[#Headers],0)))),"")</f>
        <v/>
      </c>
      <c r="F348" s="138" t="str">
        <f>IFERROR(IF(IF(INDEX(_xlfn.VSTACK(YES_Writing_ELA[#Data],YES_Writing_FLA[#Data]),MATCH($A348,_xlfn.VSTACK(YES_Writing_ELA[Student Number],YES_Writing_FLA[Student Number]),0),MATCH(VLOOKUP(F$7,'Writing Logic'!$J$7:$K$11,2,FALSE)&amp;" - Per "&amp;VLOOKUP($C$4,'Writing Logic'!$G$8:$H$14,2,FALSE),YES_Writing_ELA[#Headers],0))=0,"",INDEX(_xlfn.VSTACK(YES_Writing_ELA[#Data],YES_Writing_FLA[#Data]),MATCH($A348,_xlfn.VSTACK(YES_Writing_ELA[Student Number],YES_Writing_FLA[Student Number]),0),MATCH(VLOOKUP(F$7,'Writing Logic'!$J$7:$K$11,2,FALSE)&amp;" - Per "&amp;VLOOKUP($C$4,'Writing Logic'!$G$8:$H$14,2,FALSE),YES_Writing_ELA[#Headers],0)))="INS",'Writing Logic'!$B$7,IF(INDEX(_xlfn.VSTACK(YES_Writing_ELA[#Data],YES_Writing_FLA[#Data]),MATCH($A348,_xlfn.VSTACK(YES_Writing_ELA[Student Number],YES_Writing_FLA[Student Number]),0),MATCH(VLOOKUP(F$7,'Writing Logic'!$J$7:$K$11,2,FALSE)&amp;" - Per "&amp;VLOOKUP($C$4,'Writing Logic'!$G$8:$H$14,2,FALSE),YES_Writing_ELA[#Headers],0))=0,"",INDEX(_xlfn.VSTACK(YES_Writing_ELA[#Data],YES_Writing_FLA[#Data]),MATCH($A348,_xlfn.VSTACK(YES_Writing_ELA[Student Number],YES_Writing_FLA[Student Number]),0),MATCH(VLOOKUP(F$7,'Writing Logic'!$J$7:$K$11,2,FALSE)&amp;" - Per "&amp;VLOOKUP($C$4,'Writing Logic'!$G$8:$H$14,2,FALSE),YES_Writing_ELA[#Headers],0)))),"")</f>
        <v/>
      </c>
      <c r="G348" s="138" t="str">
        <f>IFERROR(IF(IF(INDEX(_xlfn.VSTACK(YES_Writing_ELA[#Data],YES_Writing_FLA[#Data]),MATCH($A348,_xlfn.VSTACK(YES_Writing_ELA[Student Number],YES_Writing_FLA[Student Number]),0),MATCH(VLOOKUP(G$7,'Writing Logic'!$J$7:$K$11,2,FALSE)&amp;" - Per "&amp;VLOOKUP($C$4,'Writing Logic'!$G$8:$H$14,2,FALSE),YES_Writing_ELA[#Headers],0))=0,"",INDEX(_xlfn.VSTACK(YES_Writing_ELA[#Data],YES_Writing_FLA[#Data]),MATCH($A348,_xlfn.VSTACK(YES_Writing_ELA[Student Number],YES_Writing_FLA[Student Number]),0),MATCH(VLOOKUP(G$7,'Writing Logic'!$J$7:$K$11,2,FALSE)&amp;" - Per "&amp;VLOOKUP($C$4,'Writing Logic'!$G$8:$H$14,2,FALSE),YES_Writing_ELA[#Headers],0)))="INS",'Writing Logic'!$B$7,IF(INDEX(_xlfn.VSTACK(YES_Writing_ELA[#Data],YES_Writing_FLA[#Data]),MATCH($A348,_xlfn.VSTACK(YES_Writing_ELA[Student Number],YES_Writing_FLA[Student Number]),0),MATCH(VLOOKUP(G$7,'Writing Logic'!$J$7:$K$11,2,FALSE)&amp;" - Per "&amp;VLOOKUP($C$4,'Writing Logic'!$G$8:$H$14,2,FALSE),YES_Writing_ELA[#Headers],0))=0,"",INDEX(_xlfn.VSTACK(YES_Writing_ELA[#Data],YES_Writing_FLA[#Data]),MATCH($A348,_xlfn.VSTACK(YES_Writing_ELA[Student Number],YES_Writing_FLA[Student Number]),0),MATCH(VLOOKUP(G$7,'Writing Logic'!$J$7:$K$11,2,FALSE)&amp;" - Per "&amp;VLOOKUP($C$4,'Writing Logic'!$G$8:$H$14,2,FALSE),YES_Writing_ELA[#Headers],0)))),"")</f>
        <v/>
      </c>
      <c r="H348" s="138" t="str">
        <f>IFERROR(IF(IF(INDEX(_xlfn.VSTACK(YES_Writing_ELA[#Data],YES_Writing_FLA[#Data]),MATCH($A348,_xlfn.VSTACK(YES_Writing_ELA[Student Number],YES_Writing_FLA[Student Number]),0),MATCH(VLOOKUP(H$7,'Writing Logic'!$J$7:$K$11,2,FALSE)&amp;" - Per "&amp;VLOOKUP($C$4,'Writing Logic'!$G$8:$H$14,2,FALSE),YES_Writing_ELA[#Headers],0))=0,"",INDEX(_xlfn.VSTACK(YES_Writing_ELA[#Data],YES_Writing_FLA[#Data]),MATCH($A348,_xlfn.VSTACK(YES_Writing_ELA[Student Number],YES_Writing_FLA[Student Number]),0),MATCH(VLOOKUP(H$7,'Writing Logic'!$J$7:$K$11,2,FALSE)&amp;" - Per "&amp;VLOOKUP($C$4,'Writing Logic'!$G$8:$H$14,2,FALSE),YES_Writing_ELA[#Headers],0)))="INS",'Writing Logic'!$B$7,IF(INDEX(_xlfn.VSTACK(YES_Writing_ELA[#Data],YES_Writing_FLA[#Data]),MATCH($A348,_xlfn.VSTACK(YES_Writing_ELA[Student Number],YES_Writing_FLA[Student Number]),0),MATCH(VLOOKUP(H$7,'Writing Logic'!$J$7:$K$11,2,FALSE)&amp;" - Per "&amp;VLOOKUP($C$4,'Writing Logic'!$G$8:$H$14,2,FALSE),YES_Writing_ELA[#Headers],0))=0,"",INDEX(_xlfn.VSTACK(YES_Writing_ELA[#Data],YES_Writing_FLA[#Data]),MATCH($A348,_xlfn.VSTACK(YES_Writing_ELA[Student Number],YES_Writing_FLA[Student Number]),0),MATCH(VLOOKUP(H$7,'Writing Logic'!$J$7:$K$11,2,FALSE)&amp;" - Per "&amp;VLOOKUP($C$4,'Writing Logic'!$G$8:$H$14,2,FALSE),YES_Writing_ELA[#Headers],0)))),"")</f>
        <v/>
      </c>
    </row>
    <row r="349" spans="1:8" x14ac:dyDescent="0.25">
      <c r="A349" s="137"/>
      <c r="B349" s="137" t="str">
        <f>IFERROR(INDEX(_xlfn.VSTACK(YES_Writing_ELA[#Data], YES_Writing_FLA[#Data]),MATCH($A349,_xlfn.VSTACK(YES_Writing_ELA[Student Number], YES_Writing_FLA[Student Number]),0),MATCH(B$7,YES_Writing_ELA[#Headers],0)),"")</f>
        <v/>
      </c>
      <c r="C349" s="137" t="str">
        <f>IFERROR(INDEX(_xlfn.VSTACK(YES_Writing_ELA[#Data], YES_Writing_FLA[#Data]),MATCH($A349,_xlfn.VSTACK(YES_Writing_ELA[Student Number], YES_Writing_FLA[Student Number]),0),MATCH(C$7,YES_Writing_ELA[#Headers],0)),"")</f>
        <v/>
      </c>
      <c r="D349" s="138" t="str">
        <f>IFERROR(IF(IF(INDEX(_xlfn.VSTACK(YES_Writing_ELA[#Data],YES_Writing_FLA[#Data]),MATCH($A349,_xlfn.VSTACK(YES_Writing_ELA[Student Number],YES_Writing_FLA[Student Number]),0),MATCH(VLOOKUP(D$7,'Writing Logic'!$J$7:$K$11,2,FALSE)&amp;" - Per "&amp;VLOOKUP($C$4,'Writing Logic'!$G$8:$H$14,2,FALSE),YES_Writing_ELA[#Headers],0))=0,"",INDEX(_xlfn.VSTACK(YES_Writing_ELA[#Data],YES_Writing_FLA[#Data]),MATCH($A349,_xlfn.VSTACK(YES_Writing_ELA[Student Number],YES_Writing_FLA[Student Number]),0),MATCH(VLOOKUP(D$7,'Writing Logic'!$J$7:$K$11,2,FALSE)&amp;" - Per "&amp;VLOOKUP($C$4,'Writing Logic'!$G$8:$H$14,2,FALSE),YES_Writing_ELA[#Headers],0)))="INS",'Writing Logic'!$B$7,IF(INDEX(_xlfn.VSTACK(YES_Writing_ELA[#Data],YES_Writing_FLA[#Data]),MATCH($A349,_xlfn.VSTACK(YES_Writing_ELA[Student Number],YES_Writing_FLA[Student Number]),0),MATCH(VLOOKUP(D$7,'Writing Logic'!$J$7:$K$11,2,FALSE)&amp;" - Per "&amp;VLOOKUP($C$4,'Writing Logic'!$G$8:$H$14,2,FALSE),YES_Writing_ELA[#Headers],0))=0,"",INDEX(_xlfn.VSTACK(YES_Writing_ELA[#Data],YES_Writing_FLA[#Data]),MATCH($A349,_xlfn.VSTACK(YES_Writing_ELA[Student Number],YES_Writing_FLA[Student Number]),0),MATCH(VLOOKUP(D$7,'Writing Logic'!$J$7:$K$11,2,FALSE)&amp;" - Per "&amp;VLOOKUP($C$4,'Writing Logic'!$G$8:$H$14,2,FALSE),YES_Writing_ELA[#Headers],0)))),"")</f>
        <v/>
      </c>
      <c r="E349" s="138" t="str">
        <f>IFERROR(IF(IF(INDEX(_xlfn.VSTACK(YES_Writing_ELA[#Data],YES_Writing_FLA[#Data]),MATCH($A349,_xlfn.VSTACK(YES_Writing_ELA[Student Number],YES_Writing_FLA[Student Number]),0),MATCH(VLOOKUP(E$7,'Writing Logic'!$J$7:$K$11,2,FALSE)&amp;" - Per "&amp;VLOOKUP($C$4,'Writing Logic'!$G$8:$H$14,2,FALSE),YES_Writing_ELA[#Headers],0))=0,"",INDEX(_xlfn.VSTACK(YES_Writing_ELA[#Data],YES_Writing_FLA[#Data]),MATCH($A349,_xlfn.VSTACK(YES_Writing_ELA[Student Number],YES_Writing_FLA[Student Number]),0),MATCH(VLOOKUP(E$7,'Writing Logic'!$J$7:$K$11,2,FALSE)&amp;" - Per "&amp;VLOOKUP($C$4,'Writing Logic'!$G$8:$H$14,2,FALSE),YES_Writing_ELA[#Headers],0)))="INS",'Writing Logic'!$B$7,IF(INDEX(_xlfn.VSTACK(YES_Writing_ELA[#Data],YES_Writing_FLA[#Data]),MATCH($A349,_xlfn.VSTACK(YES_Writing_ELA[Student Number],YES_Writing_FLA[Student Number]),0),MATCH(VLOOKUP(E$7,'Writing Logic'!$J$7:$K$11,2,FALSE)&amp;" - Per "&amp;VLOOKUP($C$4,'Writing Logic'!$G$8:$H$14,2,FALSE),YES_Writing_ELA[#Headers],0))=0,"",INDEX(_xlfn.VSTACK(YES_Writing_ELA[#Data],YES_Writing_FLA[#Data]),MATCH($A349,_xlfn.VSTACK(YES_Writing_ELA[Student Number],YES_Writing_FLA[Student Number]),0),MATCH(VLOOKUP(E$7,'Writing Logic'!$J$7:$K$11,2,FALSE)&amp;" - Per "&amp;VLOOKUP($C$4,'Writing Logic'!$G$8:$H$14,2,FALSE),YES_Writing_ELA[#Headers],0)))),"")</f>
        <v/>
      </c>
      <c r="F349" s="138" t="str">
        <f>IFERROR(IF(IF(INDEX(_xlfn.VSTACK(YES_Writing_ELA[#Data],YES_Writing_FLA[#Data]),MATCH($A349,_xlfn.VSTACK(YES_Writing_ELA[Student Number],YES_Writing_FLA[Student Number]),0),MATCH(VLOOKUP(F$7,'Writing Logic'!$J$7:$K$11,2,FALSE)&amp;" - Per "&amp;VLOOKUP($C$4,'Writing Logic'!$G$8:$H$14,2,FALSE),YES_Writing_ELA[#Headers],0))=0,"",INDEX(_xlfn.VSTACK(YES_Writing_ELA[#Data],YES_Writing_FLA[#Data]),MATCH($A349,_xlfn.VSTACK(YES_Writing_ELA[Student Number],YES_Writing_FLA[Student Number]),0),MATCH(VLOOKUP(F$7,'Writing Logic'!$J$7:$K$11,2,FALSE)&amp;" - Per "&amp;VLOOKUP($C$4,'Writing Logic'!$G$8:$H$14,2,FALSE),YES_Writing_ELA[#Headers],0)))="INS",'Writing Logic'!$B$7,IF(INDEX(_xlfn.VSTACK(YES_Writing_ELA[#Data],YES_Writing_FLA[#Data]),MATCH($A349,_xlfn.VSTACK(YES_Writing_ELA[Student Number],YES_Writing_FLA[Student Number]),0),MATCH(VLOOKUP(F$7,'Writing Logic'!$J$7:$K$11,2,FALSE)&amp;" - Per "&amp;VLOOKUP($C$4,'Writing Logic'!$G$8:$H$14,2,FALSE),YES_Writing_ELA[#Headers],0))=0,"",INDEX(_xlfn.VSTACK(YES_Writing_ELA[#Data],YES_Writing_FLA[#Data]),MATCH($A349,_xlfn.VSTACK(YES_Writing_ELA[Student Number],YES_Writing_FLA[Student Number]),0),MATCH(VLOOKUP(F$7,'Writing Logic'!$J$7:$K$11,2,FALSE)&amp;" - Per "&amp;VLOOKUP($C$4,'Writing Logic'!$G$8:$H$14,2,FALSE),YES_Writing_ELA[#Headers],0)))),"")</f>
        <v/>
      </c>
      <c r="G349" s="138" t="str">
        <f>IFERROR(IF(IF(INDEX(_xlfn.VSTACK(YES_Writing_ELA[#Data],YES_Writing_FLA[#Data]),MATCH($A349,_xlfn.VSTACK(YES_Writing_ELA[Student Number],YES_Writing_FLA[Student Number]),0),MATCH(VLOOKUP(G$7,'Writing Logic'!$J$7:$K$11,2,FALSE)&amp;" - Per "&amp;VLOOKUP($C$4,'Writing Logic'!$G$8:$H$14,2,FALSE),YES_Writing_ELA[#Headers],0))=0,"",INDEX(_xlfn.VSTACK(YES_Writing_ELA[#Data],YES_Writing_FLA[#Data]),MATCH($A349,_xlfn.VSTACK(YES_Writing_ELA[Student Number],YES_Writing_FLA[Student Number]),0),MATCH(VLOOKUP(G$7,'Writing Logic'!$J$7:$K$11,2,FALSE)&amp;" - Per "&amp;VLOOKUP($C$4,'Writing Logic'!$G$8:$H$14,2,FALSE),YES_Writing_ELA[#Headers],0)))="INS",'Writing Logic'!$B$7,IF(INDEX(_xlfn.VSTACK(YES_Writing_ELA[#Data],YES_Writing_FLA[#Data]),MATCH($A349,_xlfn.VSTACK(YES_Writing_ELA[Student Number],YES_Writing_FLA[Student Number]),0),MATCH(VLOOKUP(G$7,'Writing Logic'!$J$7:$K$11,2,FALSE)&amp;" - Per "&amp;VLOOKUP($C$4,'Writing Logic'!$G$8:$H$14,2,FALSE),YES_Writing_ELA[#Headers],0))=0,"",INDEX(_xlfn.VSTACK(YES_Writing_ELA[#Data],YES_Writing_FLA[#Data]),MATCH($A349,_xlfn.VSTACK(YES_Writing_ELA[Student Number],YES_Writing_FLA[Student Number]),0),MATCH(VLOOKUP(G$7,'Writing Logic'!$J$7:$K$11,2,FALSE)&amp;" - Per "&amp;VLOOKUP($C$4,'Writing Logic'!$G$8:$H$14,2,FALSE),YES_Writing_ELA[#Headers],0)))),"")</f>
        <v/>
      </c>
      <c r="H349" s="138" t="str">
        <f>IFERROR(IF(IF(INDEX(_xlfn.VSTACK(YES_Writing_ELA[#Data],YES_Writing_FLA[#Data]),MATCH($A349,_xlfn.VSTACK(YES_Writing_ELA[Student Number],YES_Writing_FLA[Student Number]),0),MATCH(VLOOKUP(H$7,'Writing Logic'!$J$7:$K$11,2,FALSE)&amp;" - Per "&amp;VLOOKUP($C$4,'Writing Logic'!$G$8:$H$14,2,FALSE),YES_Writing_ELA[#Headers],0))=0,"",INDEX(_xlfn.VSTACK(YES_Writing_ELA[#Data],YES_Writing_FLA[#Data]),MATCH($A349,_xlfn.VSTACK(YES_Writing_ELA[Student Number],YES_Writing_FLA[Student Number]),0),MATCH(VLOOKUP(H$7,'Writing Logic'!$J$7:$K$11,2,FALSE)&amp;" - Per "&amp;VLOOKUP($C$4,'Writing Logic'!$G$8:$H$14,2,FALSE),YES_Writing_ELA[#Headers],0)))="INS",'Writing Logic'!$B$7,IF(INDEX(_xlfn.VSTACK(YES_Writing_ELA[#Data],YES_Writing_FLA[#Data]),MATCH($A349,_xlfn.VSTACK(YES_Writing_ELA[Student Number],YES_Writing_FLA[Student Number]),0),MATCH(VLOOKUP(H$7,'Writing Logic'!$J$7:$K$11,2,FALSE)&amp;" - Per "&amp;VLOOKUP($C$4,'Writing Logic'!$G$8:$H$14,2,FALSE),YES_Writing_ELA[#Headers],0))=0,"",INDEX(_xlfn.VSTACK(YES_Writing_ELA[#Data],YES_Writing_FLA[#Data]),MATCH($A349,_xlfn.VSTACK(YES_Writing_ELA[Student Number],YES_Writing_FLA[Student Number]),0),MATCH(VLOOKUP(H$7,'Writing Logic'!$J$7:$K$11,2,FALSE)&amp;" - Per "&amp;VLOOKUP($C$4,'Writing Logic'!$G$8:$H$14,2,FALSE),YES_Writing_ELA[#Headers],0)))),"")</f>
        <v/>
      </c>
    </row>
    <row r="350" spans="1:8" x14ac:dyDescent="0.25">
      <c r="A350" s="137"/>
      <c r="B350" s="137" t="str">
        <f>IFERROR(INDEX(_xlfn.VSTACK(YES_Writing_ELA[#Data], YES_Writing_FLA[#Data]),MATCH($A350,_xlfn.VSTACK(YES_Writing_ELA[Student Number], YES_Writing_FLA[Student Number]),0),MATCH(B$7,YES_Writing_ELA[#Headers],0)),"")</f>
        <v/>
      </c>
      <c r="C350" s="137" t="str">
        <f>IFERROR(INDEX(_xlfn.VSTACK(YES_Writing_ELA[#Data], YES_Writing_FLA[#Data]),MATCH($A350,_xlfn.VSTACK(YES_Writing_ELA[Student Number], YES_Writing_FLA[Student Number]),0),MATCH(C$7,YES_Writing_ELA[#Headers],0)),"")</f>
        <v/>
      </c>
      <c r="D350" s="138" t="str">
        <f>IFERROR(IF(IF(INDEX(_xlfn.VSTACK(YES_Writing_ELA[#Data],YES_Writing_FLA[#Data]),MATCH($A350,_xlfn.VSTACK(YES_Writing_ELA[Student Number],YES_Writing_FLA[Student Number]),0),MATCH(VLOOKUP(D$7,'Writing Logic'!$J$7:$K$11,2,FALSE)&amp;" - Per "&amp;VLOOKUP($C$4,'Writing Logic'!$G$8:$H$14,2,FALSE),YES_Writing_ELA[#Headers],0))=0,"",INDEX(_xlfn.VSTACK(YES_Writing_ELA[#Data],YES_Writing_FLA[#Data]),MATCH($A350,_xlfn.VSTACK(YES_Writing_ELA[Student Number],YES_Writing_FLA[Student Number]),0),MATCH(VLOOKUP(D$7,'Writing Logic'!$J$7:$K$11,2,FALSE)&amp;" - Per "&amp;VLOOKUP($C$4,'Writing Logic'!$G$8:$H$14,2,FALSE),YES_Writing_ELA[#Headers],0)))="INS",'Writing Logic'!$B$7,IF(INDEX(_xlfn.VSTACK(YES_Writing_ELA[#Data],YES_Writing_FLA[#Data]),MATCH($A350,_xlfn.VSTACK(YES_Writing_ELA[Student Number],YES_Writing_FLA[Student Number]),0),MATCH(VLOOKUP(D$7,'Writing Logic'!$J$7:$K$11,2,FALSE)&amp;" - Per "&amp;VLOOKUP($C$4,'Writing Logic'!$G$8:$H$14,2,FALSE),YES_Writing_ELA[#Headers],0))=0,"",INDEX(_xlfn.VSTACK(YES_Writing_ELA[#Data],YES_Writing_FLA[#Data]),MATCH($A350,_xlfn.VSTACK(YES_Writing_ELA[Student Number],YES_Writing_FLA[Student Number]),0),MATCH(VLOOKUP(D$7,'Writing Logic'!$J$7:$K$11,2,FALSE)&amp;" - Per "&amp;VLOOKUP($C$4,'Writing Logic'!$G$8:$H$14,2,FALSE),YES_Writing_ELA[#Headers],0)))),"")</f>
        <v/>
      </c>
      <c r="E350" s="138" t="str">
        <f>IFERROR(IF(IF(INDEX(_xlfn.VSTACK(YES_Writing_ELA[#Data],YES_Writing_FLA[#Data]),MATCH($A350,_xlfn.VSTACK(YES_Writing_ELA[Student Number],YES_Writing_FLA[Student Number]),0),MATCH(VLOOKUP(E$7,'Writing Logic'!$J$7:$K$11,2,FALSE)&amp;" - Per "&amp;VLOOKUP($C$4,'Writing Logic'!$G$8:$H$14,2,FALSE),YES_Writing_ELA[#Headers],0))=0,"",INDEX(_xlfn.VSTACK(YES_Writing_ELA[#Data],YES_Writing_FLA[#Data]),MATCH($A350,_xlfn.VSTACK(YES_Writing_ELA[Student Number],YES_Writing_FLA[Student Number]),0),MATCH(VLOOKUP(E$7,'Writing Logic'!$J$7:$K$11,2,FALSE)&amp;" - Per "&amp;VLOOKUP($C$4,'Writing Logic'!$G$8:$H$14,2,FALSE),YES_Writing_ELA[#Headers],0)))="INS",'Writing Logic'!$B$7,IF(INDEX(_xlfn.VSTACK(YES_Writing_ELA[#Data],YES_Writing_FLA[#Data]),MATCH($A350,_xlfn.VSTACK(YES_Writing_ELA[Student Number],YES_Writing_FLA[Student Number]),0),MATCH(VLOOKUP(E$7,'Writing Logic'!$J$7:$K$11,2,FALSE)&amp;" - Per "&amp;VLOOKUP($C$4,'Writing Logic'!$G$8:$H$14,2,FALSE),YES_Writing_ELA[#Headers],0))=0,"",INDEX(_xlfn.VSTACK(YES_Writing_ELA[#Data],YES_Writing_FLA[#Data]),MATCH($A350,_xlfn.VSTACK(YES_Writing_ELA[Student Number],YES_Writing_FLA[Student Number]),0),MATCH(VLOOKUP(E$7,'Writing Logic'!$J$7:$K$11,2,FALSE)&amp;" - Per "&amp;VLOOKUP($C$4,'Writing Logic'!$G$8:$H$14,2,FALSE),YES_Writing_ELA[#Headers],0)))),"")</f>
        <v/>
      </c>
      <c r="F350" s="138" t="str">
        <f>IFERROR(IF(IF(INDEX(_xlfn.VSTACK(YES_Writing_ELA[#Data],YES_Writing_FLA[#Data]),MATCH($A350,_xlfn.VSTACK(YES_Writing_ELA[Student Number],YES_Writing_FLA[Student Number]),0),MATCH(VLOOKUP(F$7,'Writing Logic'!$J$7:$K$11,2,FALSE)&amp;" - Per "&amp;VLOOKUP($C$4,'Writing Logic'!$G$8:$H$14,2,FALSE),YES_Writing_ELA[#Headers],0))=0,"",INDEX(_xlfn.VSTACK(YES_Writing_ELA[#Data],YES_Writing_FLA[#Data]),MATCH($A350,_xlfn.VSTACK(YES_Writing_ELA[Student Number],YES_Writing_FLA[Student Number]),0),MATCH(VLOOKUP(F$7,'Writing Logic'!$J$7:$K$11,2,FALSE)&amp;" - Per "&amp;VLOOKUP($C$4,'Writing Logic'!$G$8:$H$14,2,FALSE),YES_Writing_ELA[#Headers],0)))="INS",'Writing Logic'!$B$7,IF(INDEX(_xlfn.VSTACK(YES_Writing_ELA[#Data],YES_Writing_FLA[#Data]),MATCH($A350,_xlfn.VSTACK(YES_Writing_ELA[Student Number],YES_Writing_FLA[Student Number]),0),MATCH(VLOOKUP(F$7,'Writing Logic'!$J$7:$K$11,2,FALSE)&amp;" - Per "&amp;VLOOKUP($C$4,'Writing Logic'!$G$8:$H$14,2,FALSE),YES_Writing_ELA[#Headers],0))=0,"",INDEX(_xlfn.VSTACK(YES_Writing_ELA[#Data],YES_Writing_FLA[#Data]),MATCH($A350,_xlfn.VSTACK(YES_Writing_ELA[Student Number],YES_Writing_FLA[Student Number]),0),MATCH(VLOOKUP(F$7,'Writing Logic'!$J$7:$K$11,2,FALSE)&amp;" - Per "&amp;VLOOKUP($C$4,'Writing Logic'!$G$8:$H$14,2,FALSE),YES_Writing_ELA[#Headers],0)))),"")</f>
        <v/>
      </c>
      <c r="G350" s="138" t="str">
        <f>IFERROR(IF(IF(INDEX(_xlfn.VSTACK(YES_Writing_ELA[#Data],YES_Writing_FLA[#Data]),MATCH($A350,_xlfn.VSTACK(YES_Writing_ELA[Student Number],YES_Writing_FLA[Student Number]),0),MATCH(VLOOKUP(G$7,'Writing Logic'!$J$7:$K$11,2,FALSE)&amp;" - Per "&amp;VLOOKUP($C$4,'Writing Logic'!$G$8:$H$14,2,FALSE),YES_Writing_ELA[#Headers],0))=0,"",INDEX(_xlfn.VSTACK(YES_Writing_ELA[#Data],YES_Writing_FLA[#Data]),MATCH($A350,_xlfn.VSTACK(YES_Writing_ELA[Student Number],YES_Writing_FLA[Student Number]),0),MATCH(VLOOKUP(G$7,'Writing Logic'!$J$7:$K$11,2,FALSE)&amp;" - Per "&amp;VLOOKUP($C$4,'Writing Logic'!$G$8:$H$14,2,FALSE),YES_Writing_ELA[#Headers],0)))="INS",'Writing Logic'!$B$7,IF(INDEX(_xlfn.VSTACK(YES_Writing_ELA[#Data],YES_Writing_FLA[#Data]),MATCH($A350,_xlfn.VSTACK(YES_Writing_ELA[Student Number],YES_Writing_FLA[Student Number]),0),MATCH(VLOOKUP(G$7,'Writing Logic'!$J$7:$K$11,2,FALSE)&amp;" - Per "&amp;VLOOKUP($C$4,'Writing Logic'!$G$8:$H$14,2,FALSE),YES_Writing_ELA[#Headers],0))=0,"",INDEX(_xlfn.VSTACK(YES_Writing_ELA[#Data],YES_Writing_FLA[#Data]),MATCH($A350,_xlfn.VSTACK(YES_Writing_ELA[Student Number],YES_Writing_FLA[Student Number]),0),MATCH(VLOOKUP(G$7,'Writing Logic'!$J$7:$K$11,2,FALSE)&amp;" - Per "&amp;VLOOKUP($C$4,'Writing Logic'!$G$8:$H$14,2,FALSE),YES_Writing_ELA[#Headers],0)))),"")</f>
        <v/>
      </c>
      <c r="H350" s="138" t="str">
        <f>IFERROR(IF(IF(INDEX(_xlfn.VSTACK(YES_Writing_ELA[#Data],YES_Writing_FLA[#Data]),MATCH($A350,_xlfn.VSTACK(YES_Writing_ELA[Student Number],YES_Writing_FLA[Student Number]),0),MATCH(VLOOKUP(H$7,'Writing Logic'!$J$7:$K$11,2,FALSE)&amp;" - Per "&amp;VLOOKUP($C$4,'Writing Logic'!$G$8:$H$14,2,FALSE),YES_Writing_ELA[#Headers],0))=0,"",INDEX(_xlfn.VSTACK(YES_Writing_ELA[#Data],YES_Writing_FLA[#Data]),MATCH($A350,_xlfn.VSTACK(YES_Writing_ELA[Student Number],YES_Writing_FLA[Student Number]),0),MATCH(VLOOKUP(H$7,'Writing Logic'!$J$7:$K$11,2,FALSE)&amp;" - Per "&amp;VLOOKUP($C$4,'Writing Logic'!$G$8:$H$14,2,FALSE),YES_Writing_ELA[#Headers],0)))="INS",'Writing Logic'!$B$7,IF(INDEX(_xlfn.VSTACK(YES_Writing_ELA[#Data],YES_Writing_FLA[#Data]),MATCH($A350,_xlfn.VSTACK(YES_Writing_ELA[Student Number],YES_Writing_FLA[Student Number]),0),MATCH(VLOOKUP(H$7,'Writing Logic'!$J$7:$K$11,2,FALSE)&amp;" - Per "&amp;VLOOKUP($C$4,'Writing Logic'!$G$8:$H$14,2,FALSE),YES_Writing_ELA[#Headers],0))=0,"",INDEX(_xlfn.VSTACK(YES_Writing_ELA[#Data],YES_Writing_FLA[#Data]),MATCH($A350,_xlfn.VSTACK(YES_Writing_ELA[Student Number],YES_Writing_FLA[Student Number]),0),MATCH(VLOOKUP(H$7,'Writing Logic'!$J$7:$K$11,2,FALSE)&amp;" - Per "&amp;VLOOKUP($C$4,'Writing Logic'!$G$8:$H$14,2,FALSE),YES_Writing_ELA[#Headers],0)))),"")</f>
        <v/>
      </c>
    </row>
    <row r="351" spans="1:8" x14ac:dyDescent="0.25">
      <c r="A351" s="137"/>
      <c r="B351" s="137" t="str">
        <f>IFERROR(INDEX(_xlfn.VSTACK(YES_Writing_ELA[#Data], YES_Writing_FLA[#Data]),MATCH($A351,_xlfn.VSTACK(YES_Writing_ELA[Student Number], YES_Writing_FLA[Student Number]),0),MATCH(B$7,YES_Writing_ELA[#Headers],0)),"")</f>
        <v/>
      </c>
      <c r="C351" s="137" t="str">
        <f>IFERROR(INDEX(_xlfn.VSTACK(YES_Writing_ELA[#Data], YES_Writing_FLA[#Data]),MATCH($A351,_xlfn.VSTACK(YES_Writing_ELA[Student Number], YES_Writing_FLA[Student Number]),0),MATCH(C$7,YES_Writing_ELA[#Headers],0)),"")</f>
        <v/>
      </c>
      <c r="D351" s="138" t="str">
        <f>IFERROR(IF(IF(INDEX(_xlfn.VSTACK(YES_Writing_ELA[#Data],YES_Writing_FLA[#Data]),MATCH($A351,_xlfn.VSTACK(YES_Writing_ELA[Student Number],YES_Writing_FLA[Student Number]),0),MATCH(VLOOKUP(D$7,'Writing Logic'!$J$7:$K$11,2,FALSE)&amp;" - Per "&amp;VLOOKUP($C$4,'Writing Logic'!$G$8:$H$14,2,FALSE),YES_Writing_ELA[#Headers],0))=0,"",INDEX(_xlfn.VSTACK(YES_Writing_ELA[#Data],YES_Writing_FLA[#Data]),MATCH($A351,_xlfn.VSTACK(YES_Writing_ELA[Student Number],YES_Writing_FLA[Student Number]),0),MATCH(VLOOKUP(D$7,'Writing Logic'!$J$7:$K$11,2,FALSE)&amp;" - Per "&amp;VLOOKUP($C$4,'Writing Logic'!$G$8:$H$14,2,FALSE),YES_Writing_ELA[#Headers],0)))="INS",'Writing Logic'!$B$7,IF(INDEX(_xlfn.VSTACK(YES_Writing_ELA[#Data],YES_Writing_FLA[#Data]),MATCH($A351,_xlfn.VSTACK(YES_Writing_ELA[Student Number],YES_Writing_FLA[Student Number]),0),MATCH(VLOOKUP(D$7,'Writing Logic'!$J$7:$K$11,2,FALSE)&amp;" - Per "&amp;VLOOKUP($C$4,'Writing Logic'!$G$8:$H$14,2,FALSE),YES_Writing_ELA[#Headers],0))=0,"",INDEX(_xlfn.VSTACK(YES_Writing_ELA[#Data],YES_Writing_FLA[#Data]),MATCH($A351,_xlfn.VSTACK(YES_Writing_ELA[Student Number],YES_Writing_FLA[Student Number]),0),MATCH(VLOOKUP(D$7,'Writing Logic'!$J$7:$K$11,2,FALSE)&amp;" - Per "&amp;VLOOKUP($C$4,'Writing Logic'!$G$8:$H$14,2,FALSE),YES_Writing_ELA[#Headers],0)))),"")</f>
        <v/>
      </c>
      <c r="E351" s="138" t="str">
        <f>IFERROR(IF(IF(INDEX(_xlfn.VSTACK(YES_Writing_ELA[#Data],YES_Writing_FLA[#Data]),MATCH($A351,_xlfn.VSTACK(YES_Writing_ELA[Student Number],YES_Writing_FLA[Student Number]),0),MATCH(VLOOKUP(E$7,'Writing Logic'!$J$7:$K$11,2,FALSE)&amp;" - Per "&amp;VLOOKUP($C$4,'Writing Logic'!$G$8:$H$14,2,FALSE),YES_Writing_ELA[#Headers],0))=0,"",INDEX(_xlfn.VSTACK(YES_Writing_ELA[#Data],YES_Writing_FLA[#Data]),MATCH($A351,_xlfn.VSTACK(YES_Writing_ELA[Student Number],YES_Writing_FLA[Student Number]),0),MATCH(VLOOKUP(E$7,'Writing Logic'!$J$7:$K$11,2,FALSE)&amp;" - Per "&amp;VLOOKUP($C$4,'Writing Logic'!$G$8:$H$14,2,FALSE),YES_Writing_ELA[#Headers],0)))="INS",'Writing Logic'!$B$7,IF(INDEX(_xlfn.VSTACK(YES_Writing_ELA[#Data],YES_Writing_FLA[#Data]),MATCH($A351,_xlfn.VSTACK(YES_Writing_ELA[Student Number],YES_Writing_FLA[Student Number]),0),MATCH(VLOOKUP(E$7,'Writing Logic'!$J$7:$K$11,2,FALSE)&amp;" - Per "&amp;VLOOKUP($C$4,'Writing Logic'!$G$8:$H$14,2,FALSE),YES_Writing_ELA[#Headers],0))=0,"",INDEX(_xlfn.VSTACK(YES_Writing_ELA[#Data],YES_Writing_FLA[#Data]),MATCH($A351,_xlfn.VSTACK(YES_Writing_ELA[Student Number],YES_Writing_FLA[Student Number]),0),MATCH(VLOOKUP(E$7,'Writing Logic'!$J$7:$K$11,2,FALSE)&amp;" - Per "&amp;VLOOKUP($C$4,'Writing Logic'!$G$8:$H$14,2,FALSE),YES_Writing_ELA[#Headers],0)))),"")</f>
        <v/>
      </c>
      <c r="F351" s="138" t="str">
        <f>IFERROR(IF(IF(INDEX(_xlfn.VSTACK(YES_Writing_ELA[#Data],YES_Writing_FLA[#Data]),MATCH($A351,_xlfn.VSTACK(YES_Writing_ELA[Student Number],YES_Writing_FLA[Student Number]),0),MATCH(VLOOKUP(F$7,'Writing Logic'!$J$7:$K$11,2,FALSE)&amp;" - Per "&amp;VLOOKUP($C$4,'Writing Logic'!$G$8:$H$14,2,FALSE),YES_Writing_ELA[#Headers],0))=0,"",INDEX(_xlfn.VSTACK(YES_Writing_ELA[#Data],YES_Writing_FLA[#Data]),MATCH($A351,_xlfn.VSTACK(YES_Writing_ELA[Student Number],YES_Writing_FLA[Student Number]),0),MATCH(VLOOKUP(F$7,'Writing Logic'!$J$7:$K$11,2,FALSE)&amp;" - Per "&amp;VLOOKUP($C$4,'Writing Logic'!$G$8:$H$14,2,FALSE),YES_Writing_ELA[#Headers],0)))="INS",'Writing Logic'!$B$7,IF(INDEX(_xlfn.VSTACK(YES_Writing_ELA[#Data],YES_Writing_FLA[#Data]),MATCH($A351,_xlfn.VSTACK(YES_Writing_ELA[Student Number],YES_Writing_FLA[Student Number]),0),MATCH(VLOOKUP(F$7,'Writing Logic'!$J$7:$K$11,2,FALSE)&amp;" - Per "&amp;VLOOKUP($C$4,'Writing Logic'!$G$8:$H$14,2,FALSE),YES_Writing_ELA[#Headers],0))=0,"",INDEX(_xlfn.VSTACK(YES_Writing_ELA[#Data],YES_Writing_FLA[#Data]),MATCH($A351,_xlfn.VSTACK(YES_Writing_ELA[Student Number],YES_Writing_FLA[Student Number]),0),MATCH(VLOOKUP(F$7,'Writing Logic'!$J$7:$K$11,2,FALSE)&amp;" - Per "&amp;VLOOKUP($C$4,'Writing Logic'!$G$8:$H$14,2,FALSE),YES_Writing_ELA[#Headers],0)))),"")</f>
        <v/>
      </c>
      <c r="G351" s="138" t="str">
        <f>IFERROR(IF(IF(INDEX(_xlfn.VSTACK(YES_Writing_ELA[#Data],YES_Writing_FLA[#Data]),MATCH($A351,_xlfn.VSTACK(YES_Writing_ELA[Student Number],YES_Writing_FLA[Student Number]),0),MATCH(VLOOKUP(G$7,'Writing Logic'!$J$7:$K$11,2,FALSE)&amp;" - Per "&amp;VLOOKUP($C$4,'Writing Logic'!$G$8:$H$14,2,FALSE),YES_Writing_ELA[#Headers],0))=0,"",INDEX(_xlfn.VSTACK(YES_Writing_ELA[#Data],YES_Writing_FLA[#Data]),MATCH($A351,_xlfn.VSTACK(YES_Writing_ELA[Student Number],YES_Writing_FLA[Student Number]),0),MATCH(VLOOKUP(G$7,'Writing Logic'!$J$7:$K$11,2,FALSE)&amp;" - Per "&amp;VLOOKUP($C$4,'Writing Logic'!$G$8:$H$14,2,FALSE),YES_Writing_ELA[#Headers],0)))="INS",'Writing Logic'!$B$7,IF(INDEX(_xlfn.VSTACK(YES_Writing_ELA[#Data],YES_Writing_FLA[#Data]),MATCH($A351,_xlfn.VSTACK(YES_Writing_ELA[Student Number],YES_Writing_FLA[Student Number]),0),MATCH(VLOOKUP(G$7,'Writing Logic'!$J$7:$K$11,2,FALSE)&amp;" - Per "&amp;VLOOKUP($C$4,'Writing Logic'!$G$8:$H$14,2,FALSE),YES_Writing_ELA[#Headers],0))=0,"",INDEX(_xlfn.VSTACK(YES_Writing_ELA[#Data],YES_Writing_FLA[#Data]),MATCH($A351,_xlfn.VSTACK(YES_Writing_ELA[Student Number],YES_Writing_FLA[Student Number]),0),MATCH(VLOOKUP(G$7,'Writing Logic'!$J$7:$K$11,2,FALSE)&amp;" - Per "&amp;VLOOKUP($C$4,'Writing Logic'!$G$8:$H$14,2,FALSE),YES_Writing_ELA[#Headers],0)))),"")</f>
        <v/>
      </c>
      <c r="H351" s="138" t="str">
        <f>IFERROR(IF(IF(INDEX(_xlfn.VSTACK(YES_Writing_ELA[#Data],YES_Writing_FLA[#Data]),MATCH($A351,_xlfn.VSTACK(YES_Writing_ELA[Student Number],YES_Writing_FLA[Student Number]),0),MATCH(VLOOKUP(H$7,'Writing Logic'!$J$7:$K$11,2,FALSE)&amp;" - Per "&amp;VLOOKUP($C$4,'Writing Logic'!$G$8:$H$14,2,FALSE),YES_Writing_ELA[#Headers],0))=0,"",INDEX(_xlfn.VSTACK(YES_Writing_ELA[#Data],YES_Writing_FLA[#Data]),MATCH($A351,_xlfn.VSTACK(YES_Writing_ELA[Student Number],YES_Writing_FLA[Student Number]),0),MATCH(VLOOKUP(H$7,'Writing Logic'!$J$7:$K$11,2,FALSE)&amp;" - Per "&amp;VLOOKUP($C$4,'Writing Logic'!$G$8:$H$14,2,FALSE),YES_Writing_ELA[#Headers],0)))="INS",'Writing Logic'!$B$7,IF(INDEX(_xlfn.VSTACK(YES_Writing_ELA[#Data],YES_Writing_FLA[#Data]),MATCH($A351,_xlfn.VSTACK(YES_Writing_ELA[Student Number],YES_Writing_FLA[Student Number]),0),MATCH(VLOOKUP(H$7,'Writing Logic'!$J$7:$K$11,2,FALSE)&amp;" - Per "&amp;VLOOKUP($C$4,'Writing Logic'!$G$8:$H$14,2,FALSE),YES_Writing_ELA[#Headers],0))=0,"",INDEX(_xlfn.VSTACK(YES_Writing_ELA[#Data],YES_Writing_FLA[#Data]),MATCH($A351,_xlfn.VSTACK(YES_Writing_ELA[Student Number],YES_Writing_FLA[Student Number]),0),MATCH(VLOOKUP(H$7,'Writing Logic'!$J$7:$K$11,2,FALSE)&amp;" - Per "&amp;VLOOKUP($C$4,'Writing Logic'!$G$8:$H$14,2,FALSE),YES_Writing_ELA[#Headers],0)))),"")</f>
        <v/>
      </c>
    </row>
    <row r="352" spans="1:8" x14ac:dyDescent="0.25">
      <c r="A352" s="137"/>
      <c r="B352" s="137" t="str">
        <f>IFERROR(INDEX(_xlfn.VSTACK(YES_Writing_ELA[#Data], YES_Writing_FLA[#Data]),MATCH($A352,_xlfn.VSTACK(YES_Writing_ELA[Student Number], YES_Writing_FLA[Student Number]),0),MATCH(B$7,YES_Writing_ELA[#Headers],0)),"")</f>
        <v/>
      </c>
      <c r="C352" s="137" t="str">
        <f>IFERROR(INDEX(_xlfn.VSTACK(YES_Writing_ELA[#Data], YES_Writing_FLA[#Data]),MATCH($A352,_xlfn.VSTACK(YES_Writing_ELA[Student Number], YES_Writing_FLA[Student Number]),0),MATCH(C$7,YES_Writing_ELA[#Headers],0)),"")</f>
        <v/>
      </c>
      <c r="D352" s="138" t="str">
        <f>IFERROR(IF(IF(INDEX(_xlfn.VSTACK(YES_Writing_ELA[#Data],YES_Writing_FLA[#Data]),MATCH($A352,_xlfn.VSTACK(YES_Writing_ELA[Student Number],YES_Writing_FLA[Student Number]),0),MATCH(VLOOKUP(D$7,'Writing Logic'!$J$7:$K$11,2,FALSE)&amp;" - Per "&amp;VLOOKUP($C$4,'Writing Logic'!$G$8:$H$14,2,FALSE),YES_Writing_ELA[#Headers],0))=0,"",INDEX(_xlfn.VSTACK(YES_Writing_ELA[#Data],YES_Writing_FLA[#Data]),MATCH($A352,_xlfn.VSTACK(YES_Writing_ELA[Student Number],YES_Writing_FLA[Student Number]),0),MATCH(VLOOKUP(D$7,'Writing Logic'!$J$7:$K$11,2,FALSE)&amp;" - Per "&amp;VLOOKUP($C$4,'Writing Logic'!$G$8:$H$14,2,FALSE),YES_Writing_ELA[#Headers],0)))="INS",'Writing Logic'!$B$7,IF(INDEX(_xlfn.VSTACK(YES_Writing_ELA[#Data],YES_Writing_FLA[#Data]),MATCH($A352,_xlfn.VSTACK(YES_Writing_ELA[Student Number],YES_Writing_FLA[Student Number]),0),MATCH(VLOOKUP(D$7,'Writing Logic'!$J$7:$K$11,2,FALSE)&amp;" - Per "&amp;VLOOKUP($C$4,'Writing Logic'!$G$8:$H$14,2,FALSE),YES_Writing_ELA[#Headers],0))=0,"",INDEX(_xlfn.VSTACK(YES_Writing_ELA[#Data],YES_Writing_FLA[#Data]),MATCH($A352,_xlfn.VSTACK(YES_Writing_ELA[Student Number],YES_Writing_FLA[Student Number]),0),MATCH(VLOOKUP(D$7,'Writing Logic'!$J$7:$K$11,2,FALSE)&amp;" - Per "&amp;VLOOKUP($C$4,'Writing Logic'!$G$8:$H$14,2,FALSE),YES_Writing_ELA[#Headers],0)))),"")</f>
        <v/>
      </c>
      <c r="E352" s="138" t="str">
        <f>IFERROR(IF(IF(INDEX(_xlfn.VSTACK(YES_Writing_ELA[#Data],YES_Writing_FLA[#Data]),MATCH($A352,_xlfn.VSTACK(YES_Writing_ELA[Student Number],YES_Writing_FLA[Student Number]),0),MATCH(VLOOKUP(E$7,'Writing Logic'!$J$7:$K$11,2,FALSE)&amp;" - Per "&amp;VLOOKUP($C$4,'Writing Logic'!$G$8:$H$14,2,FALSE),YES_Writing_ELA[#Headers],0))=0,"",INDEX(_xlfn.VSTACK(YES_Writing_ELA[#Data],YES_Writing_FLA[#Data]),MATCH($A352,_xlfn.VSTACK(YES_Writing_ELA[Student Number],YES_Writing_FLA[Student Number]),0),MATCH(VLOOKUP(E$7,'Writing Logic'!$J$7:$K$11,2,FALSE)&amp;" - Per "&amp;VLOOKUP($C$4,'Writing Logic'!$G$8:$H$14,2,FALSE),YES_Writing_ELA[#Headers],0)))="INS",'Writing Logic'!$B$7,IF(INDEX(_xlfn.VSTACK(YES_Writing_ELA[#Data],YES_Writing_FLA[#Data]),MATCH($A352,_xlfn.VSTACK(YES_Writing_ELA[Student Number],YES_Writing_FLA[Student Number]),0),MATCH(VLOOKUP(E$7,'Writing Logic'!$J$7:$K$11,2,FALSE)&amp;" - Per "&amp;VLOOKUP($C$4,'Writing Logic'!$G$8:$H$14,2,FALSE),YES_Writing_ELA[#Headers],0))=0,"",INDEX(_xlfn.VSTACK(YES_Writing_ELA[#Data],YES_Writing_FLA[#Data]),MATCH($A352,_xlfn.VSTACK(YES_Writing_ELA[Student Number],YES_Writing_FLA[Student Number]),0),MATCH(VLOOKUP(E$7,'Writing Logic'!$J$7:$K$11,2,FALSE)&amp;" - Per "&amp;VLOOKUP($C$4,'Writing Logic'!$G$8:$H$14,2,FALSE),YES_Writing_ELA[#Headers],0)))),"")</f>
        <v/>
      </c>
      <c r="F352" s="138" t="str">
        <f>IFERROR(IF(IF(INDEX(_xlfn.VSTACK(YES_Writing_ELA[#Data],YES_Writing_FLA[#Data]),MATCH($A352,_xlfn.VSTACK(YES_Writing_ELA[Student Number],YES_Writing_FLA[Student Number]),0),MATCH(VLOOKUP(F$7,'Writing Logic'!$J$7:$K$11,2,FALSE)&amp;" - Per "&amp;VLOOKUP($C$4,'Writing Logic'!$G$8:$H$14,2,FALSE),YES_Writing_ELA[#Headers],0))=0,"",INDEX(_xlfn.VSTACK(YES_Writing_ELA[#Data],YES_Writing_FLA[#Data]),MATCH($A352,_xlfn.VSTACK(YES_Writing_ELA[Student Number],YES_Writing_FLA[Student Number]),0),MATCH(VLOOKUP(F$7,'Writing Logic'!$J$7:$K$11,2,FALSE)&amp;" - Per "&amp;VLOOKUP($C$4,'Writing Logic'!$G$8:$H$14,2,FALSE),YES_Writing_ELA[#Headers],0)))="INS",'Writing Logic'!$B$7,IF(INDEX(_xlfn.VSTACK(YES_Writing_ELA[#Data],YES_Writing_FLA[#Data]),MATCH($A352,_xlfn.VSTACK(YES_Writing_ELA[Student Number],YES_Writing_FLA[Student Number]),0),MATCH(VLOOKUP(F$7,'Writing Logic'!$J$7:$K$11,2,FALSE)&amp;" - Per "&amp;VLOOKUP($C$4,'Writing Logic'!$G$8:$H$14,2,FALSE),YES_Writing_ELA[#Headers],0))=0,"",INDEX(_xlfn.VSTACK(YES_Writing_ELA[#Data],YES_Writing_FLA[#Data]),MATCH($A352,_xlfn.VSTACK(YES_Writing_ELA[Student Number],YES_Writing_FLA[Student Number]),0),MATCH(VLOOKUP(F$7,'Writing Logic'!$J$7:$K$11,2,FALSE)&amp;" - Per "&amp;VLOOKUP($C$4,'Writing Logic'!$G$8:$H$14,2,FALSE),YES_Writing_ELA[#Headers],0)))),"")</f>
        <v/>
      </c>
      <c r="G352" s="138" t="str">
        <f>IFERROR(IF(IF(INDEX(_xlfn.VSTACK(YES_Writing_ELA[#Data],YES_Writing_FLA[#Data]),MATCH($A352,_xlfn.VSTACK(YES_Writing_ELA[Student Number],YES_Writing_FLA[Student Number]),0),MATCH(VLOOKUP(G$7,'Writing Logic'!$J$7:$K$11,2,FALSE)&amp;" - Per "&amp;VLOOKUP($C$4,'Writing Logic'!$G$8:$H$14,2,FALSE),YES_Writing_ELA[#Headers],0))=0,"",INDEX(_xlfn.VSTACK(YES_Writing_ELA[#Data],YES_Writing_FLA[#Data]),MATCH($A352,_xlfn.VSTACK(YES_Writing_ELA[Student Number],YES_Writing_FLA[Student Number]),0),MATCH(VLOOKUP(G$7,'Writing Logic'!$J$7:$K$11,2,FALSE)&amp;" - Per "&amp;VLOOKUP($C$4,'Writing Logic'!$G$8:$H$14,2,FALSE),YES_Writing_ELA[#Headers],0)))="INS",'Writing Logic'!$B$7,IF(INDEX(_xlfn.VSTACK(YES_Writing_ELA[#Data],YES_Writing_FLA[#Data]),MATCH($A352,_xlfn.VSTACK(YES_Writing_ELA[Student Number],YES_Writing_FLA[Student Number]),0),MATCH(VLOOKUP(G$7,'Writing Logic'!$J$7:$K$11,2,FALSE)&amp;" - Per "&amp;VLOOKUP($C$4,'Writing Logic'!$G$8:$H$14,2,FALSE),YES_Writing_ELA[#Headers],0))=0,"",INDEX(_xlfn.VSTACK(YES_Writing_ELA[#Data],YES_Writing_FLA[#Data]),MATCH($A352,_xlfn.VSTACK(YES_Writing_ELA[Student Number],YES_Writing_FLA[Student Number]),0),MATCH(VLOOKUP(G$7,'Writing Logic'!$J$7:$K$11,2,FALSE)&amp;" - Per "&amp;VLOOKUP($C$4,'Writing Logic'!$G$8:$H$14,2,FALSE),YES_Writing_ELA[#Headers],0)))),"")</f>
        <v/>
      </c>
      <c r="H352" s="138" t="str">
        <f>IFERROR(IF(IF(INDEX(_xlfn.VSTACK(YES_Writing_ELA[#Data],YES_Writing_FLA[#Data]),MATCH($A352,_xlfn.VSTACK(YES_Writing_ELA[Student Number],YES_Writing_FLA[Student Number]),0),MATCH(VLOOKUP(H$7,'Writing Logic'!$J$7:$K$11,2,FALSE)&amp;" - Per "&amp;VLOOKUP($C$4,'Writing Logic'!$G$8:$H$14,2,FALSE),YES_Writing_ELA[#Headers],0))=0,"",INDEX(_xlfn.VSTACK(YES_Writing_ELA[#Data],YES_Writing_FLA[#Data]),MATCH($A352,_xlfn.VSTACK(YES_Writing_ELA[Student Number],YES_Writing_FLA[Student Number]),0),MATCH(VLOOKUP(H$7,'Writing Logic'!$J$7:$K$11,2,FALSE)&amp;" - Per "&amp;VLOOKUP($C$4,'Writing Logic'!$G$8:$H$14,2,FALSE),YES_Writing_ELA[#Headers],0)))="INS",'Writing Logic'!$B$7,IF(INDEX(_xlfn.VSTACK(YES_Writing_ELA[#Data],YES_Writing_FLA[#Data]),MATCH($A352,_xlfn.VSTACK(YES_Writing_ELA[Student Number],YES_Writing_FLA[Student Number]),0),MATCH(VLOOKUP(H$7,'Writing Logic'!$J$7:$K$11,2,FALSE)&amp;" - Per "&amp;VLOOKUP($C$4,'Writing Logic'!$G$8:$H$14,2,FALSE),YES_Writing_ELA[#Headers],0))=0,"",INDEX(_xlfn.VSTACK(YES_Writing_ELA[#Data],YES_Writing_FLA[#Data]),MATCH($A352,_xlfn.VSTACK(YES_Writing_ELA[Student Number],YES_Writing_FLA[Student Number]),0),MATCH(VLOOKUP(H$7,'Writing Logic'!$J$7:$K$11,2,FALSE)&amp;" - Per "&amp;VLOOKUP($C$4,'Writing Logic'!$G$8:$H$14,2,FALSE),YES_Writing_ELA[#Headers],0)))),"")</f>
        <v/>
      </c>
    </row>
    <row r="353" spans="1:8" x14ac:dyDescent="0.25">
      <c r="A353" s="137"/>
      <c r="B353" s="137" t="str">
        <f>IFERROR(INDEX(_xlfn.VSTACK(YES_Writing_ELA[#Data], YES_Writing_FLA[#Data]),MATCH($A353,_xlfn.VSTACK(YES_Writing_ELA[Student Number], YES_Writing_FLA[Student Number]),0),MATCH(B$7,YES_Writing_ELA[#Headers],0)),"")</f>
        <v/>
      </c>
      <c r="C353" s="137" t="str">
        <f>IFERROR(INDEX(_xlfn.VSTACK(YES_Writing_ELA[#Data], YES_Writing_FLA[#Data]),MATCH($A353,_xlfn.VSTACK(YES_Writing_ELA[Student Number], YES_Writing_FLA[Student Number]),0),MATCH(C$7,YES_Writing_ELA[#Headers],0)),"")</f>
        <v/>
      </c>
      <c r="D353" s="138" t="str">
        <f>IFERROR(IF(IF(INDEX(_xlfn.VSTACK(YES_Writing_ELA[#Data],YES_Writing_FLA[#Data]),MATCH($A353,_xlfn.VSTACK(YES_Writing_ELA[Student Number],YES_Writing_FLA[Student Number]),0),MATCH(VLOOKUP(D$7,'Writing Logic'!$J$7:$K$11,2,FALSE)&amp;" - Per "&amp;VLOOKUP($C$4,'Writing Logic'!$G$8:$H$14,2,FALSE),YES_Writing_ELA[#Headers],0))=0,"",INDEX(_xlfn.VSTACK(YES_Writing_ELA[#Data],YES_Writing_FLA[#Data]),MATCH($A353,_xlfn.VSTACK(YES_Writing_ELA[Student Number],YES_Writing_FLA[Student Number]),0),MATCH(VLOOKUP(D$7,'Writing Logic'!$J$7:$K$11,2,FALSE)&amp;" - Per "&amp;VLOOKUP($C$4,'Writing Logic'!$G$8:$H$14,2,FALSE),YES_Writing_ELA[#Headers],0)))="INS",'Writing Logic'!$B$7,IF(INDEX(_xlfn.VSTACK(YES_Writing_ELA[#Data],YES_Writing_FLA[#Data]),MATCH($A353,_xlfn.VSTACK(YES_Writing_ELA[Student Number],YES_Writing_FLA[Student Number]),0),MATCH(VLOOKUP(D$7,'Writing Logic'!$J$7:$K$11,2,FALSE)&amp;" - Per "&amp;VLOOKUP($C$4,'Writing Logic'!$G$8:$H$14,2,FALSE),YES_Writing_ELA[#Headers],0))=0,"",INDEX(_xlfn.VSTACK(YES_Writing_ELA[#Data],YES_Writing_FLA[#Data]),MATCH($A353,_xlfn.VSTACK(YES_Writing_ELA[Student Number],YES_Writing_FLA[Student Number]),0),MATCH(VLOOKUP(D$7,'Writing Logic'!$J$7:$K$11,2,FALSE)&amp;" - Per "&amp;VLOOKUP($C$4,'Writing Logic'!$G$8:$H$14,2,FALSE),YES_Writing_ELA[#Headers],0)))),"")</f>
        <v/>
      </c>
      <c r="E353" s="138" t="str">
        <f>IFERROR(IF(IF(INDEX(_xlfn.VSTACK(YES_Writing_ELA[#Data],YES_Writing_FLA[#Data]),MATCH($A353,_xlfn.VSTACK(YES_Writing_ELA[Student Number],YES_Writing_FLA[Student Number]),0),MATCH(VLOOKUP(E$7,'Writing Logic'!$J$7:$K$11,2,FALSE)&amp;" - Per "&amp;VLOOKUP($C$4,'Writing Logic'!$G$8:$H$14,2,FALSE),YES_Writing_ELA[#Headers],0))=0,"",INDEX(_xlfn.VSTACK(YES_Writing_ELA[#Data],YES_Writing_FLA[#Data]),MATCH($A353,_xlfn.VSTACK(YES_Writing_ELA[Student Number],YES_Writing_FLA[Student Number]),0),MATCH(VLOOKUP(E$7,'Writing Logic'!$J$7:$K$11,2,FALSE)&amp;" - Per "&amp;VLOOKUP($C$4,'Writing Logic'!$G$8:$H$14,2,FALSE),YES_Writing_ELA[#Headers],0)))="INS",'Writing Logic'!$B$7,IF(INDEX(_xlfn.VSTACK(YES_Writing_ELA[#Data],YES_Writing_FLA[#Data]),MATCH($A353,_xlfn.VSTACK(YES_Writing_ELA[Student Number],YES_Writing_FLA[Student Number]),0),MATCH(VLOOKUP(E$7,'Writing Logic'!$J$7:$K$11,2,FALSE)&amp;" - Per "&amp;VLOOKUP($C$4,'Writing Logic'!$G$8:$H$14,2,FALSE),YES_Writing_ELA[#Headers],0))=0,"",INDEX(_xlfn.VSTACK(YES_Writing_ELA[#Data],YES_Writing_FLA[#Data]),MATCH($A353,_xlfn.VSTACK(YES_Writing_ELA[Student Number],YES_Writing_FLA[Student Number]),0),MATCH(VLOOKUP(E$7,'Writing Logic'!$J$7:$K$11,2,FALSE)&amp;" - Per "&amp;VLOOKUP($C$4,'Writing Logic'!$G$8:$H$14,2,FALSE),YES_Writing_ELA[#Headers],0)))),"")</f>
        <v/>
      </c>
      <c r="F353" s="138" t="str">
        <f>IFERROR(IF(IF(INDEX(_xlfn.VSTACK(YES_Writing_ELA[#Data],YES_Writing_FLA[#Data]),MATCH($A353,_xlfn.VSTACK(YES_Writing_ELA[Student Number],YES_Writing_FLA[Student Number]),0),MATCH(VLOOKUP(F$7,'Writing Logic'!$J$7:$K$11,2,FALSE)&amp;" - Per "&amp;VLOOKUP($C$4,'Writing Logic'!$G$8:$H$14,2,FALSE),YES_Writing_ELA[#Headers],0))=0,"",INDEX(_xlfn.VSTACK(YES_Writing_ELA[#Data],YES_Writing_FLA[#Data]),MATCH($A353,_xlfn.VSTACK(YES_Writing_ELA[Student Number],YES_Writing_FLA[Student Number]),0),MATCH(VLOOKUP(F$7,'Writing Logic'!$J$7:$K$11,2,FALSE)&amp;" - Per "&amp;VLOOKUP($C$4,'Writing Logic'!$G$8:$H$14,2,FALSE),YES_Writing_ELA[#Headers],0)))="INS",'Writing Logic'!$B$7,IF(INDEX(_xlfn.VSTACK(YES_Writing_ELA[#Data],YES_Writing_FLA[#Data]),MATCH($A353,_xlfn.VSTACK(YES_Writing_ELA[Student Number],YES_Writing_FLA[Student Number]),0),MATCH(VLOOKUP(F$7,'Writing Logic'!$J$7:$K$11,2,FALSE)&amp;" - Per "&amp;VLOOKUP($C$4,'Writing Logic'!$G$8:$H$14,2,FALSE),YES_Writing_ELA[#Headers],0))=0,"",INDEX(_xlfn.VSTACK(YES_Writing_ELA[#Data],YES_Writing_FLA[#Data]),MATCH($A353,_xlfn.VSTACK(YES_Writing_ELA[Student Number],YES_Writing_FLA[Student Number]),0),MATCH(VLOOKUP(F$7,'Writing Logic'!$J$7:$K$11,2,FALSE)&amp;" - Per "&amp;VLOOKUP($C$4,'Writing Logic'!$G$8:$H$14,2,FALSE),YES_Writing_ELA[#Headers],0)))),"")</f>
        <v/>
      </c>
      <c r="G353" s="138" t="str">
        <f>IFERROR(IF(IF(INDEX(_xlfn.VSTACK(YES_Writing_ELA[#Data],YES_Writing_FLA[#Data]),MATCH($A353,_xlfn.VSTACK(YES_Writing_ELA[Student Number],YES_Writing_FLA[Student Number]),0),MATCH(VLOOKUP(G$7,'Writing Logic'!$J$7:$K$11,2,FALSE)&amp;" - Per "&amp;VLOOKUP($C$4,'Writing Logic'!$G$8:$H$14,2,FALSE),YES_Writing_ELA[#Headers],0))=0,"",INDEX(_xlfn.VSTACK(YES_Writing_ELA[#Data],YES_Writing_FLA[#Data]),MATCH($A353,_xlfn.VSTACK(YES_Writing_ELA[Student Number],YES_Writing_FLA[Student Number]),0),MATCH(VLOOKUP(G$7,'Writing Logic'!$J$7:$K$11,2,FALSE)&amp;" - Per "&amp;VLOOKUP($C$4,'Writing Logic'!$G$8:$H$14,2,FALSE),YES_Writing_ELA[#Headers],0)))="INS",'Writing Logic'!$B$7,IF(INDEX(_xlfn.VSTACK(YES_Writing_ELA[#Data],YES_Writing_FLA[#Data]),MATCH($A353,_xlfn.VSTACK(YES_Writing_ELA[Student Number],YES_Writing_FLA[Student Number]),0),MATCH(VLOOKUP(G$7,'Writing Logic'!$J$7:$K$11,2,FALSE)&amp;" - Per "&amp;VLOOKUP($C$4,'Writing Logic'!$G$8:$H$14,2,FALSE),YES_Writing_ELA[#Headers],0))=0,"",INDEX(_xlfn.VSTACK(YES_Writing_ELA[#Data],YES_Writing_FLA[#Data]),MATCH($A353,_xlfn.VSTACK(YES_Writing_ELA[Student Number],YES_Writing_FLA[Student Number]),0),MATCH(VLOOKUP(G$7,'Writing Logic'!$J$7:$K$11,2,FALSE)&amp;" - Per "&amp;VLOOKUP($C$4,'Writing Logic'!$G$8:$H$14,2,FALSE),YES_Writing_ELA[#Headers],0)))),"")</f>
        <v/>
      </c>
      <c r="H353" s="138" t="str">
        <f>IFERROR(IF(IF(INDEX(_xlfn.VSTACK(YES_Writing_ELA[#Data],YES_Writing_FLA[#Data]),MATCH($A353,_xlfn.VSTACK(YES_Writing_ELA[Student Number],YES_Writing_FLA[Student Number]),0),MATCH(VLOOKUP(H$7,'Writing Logic'!$J$7:$K$11,2,FALSE)&amp;" - Per "&amp;VLOOKUP($C$4,'Writing Logic'!$G$8:$H$14,2,FALSE),YES_Writing_ELA[#Headers],0))=0,"",INDEX(_xlfn.VSTACK(YES_Writing_ELA[#Data],YES_Writing_FLA[#Data]),MATCH($A353,_xlfn.VSTACK(YES_Writing_ELA[Student Number],YES_Writing_FLA[Student Number]),0),MATCH(VLOOKUP(H$7,'Writing Logic'!$J$7:$K$11,2,FALSE)&amp;" - Per "&amp;VLOOKUP($C$4,'Writing Logic'!$G$8:$H$14,2,FALSE),YES_Writing_ELA[#Headers],0)))="INS",'Writing Logic'!$B$7,IF(INDEX(_xlfn.VSTACK(YES_Writing_ELA[#Data],YES_Writing_FLA[#Data]),MATCH($A353,_xlfn.VSTACK(YES_Writing_ELA[Student Number],YES_Writing_FLA[Student Number]),0),MATCH(VLOOKUP(H$7,'Writing Logic'!$J$7:$K$11,2,FALSE)&amp;" - Per "&amp;VLOOKUP($C$4,'Writing Logic'!$G$8:$H$14,2,FALSE),YES_Writing_ELA[#Headers],0))=0,"",INDEX(_xlfn.VSTACK(YES_Writing_ELA[#Data],YES_Writing_FLA[#Data]),MATCH($A353,_xlfn.VSTACK(YES_Writing_ELA[Student Number],YES_Writing_FLA[Student Number]),0),MATCH(VLOOKUP(H$7,'Writing Logic'!$J$7:$K$11,2,FALSE)&amp;" - Per "&amp;VLOOKUP($C$4,'Writing Logic'!$G$8:$H$14,2,FALSE),YES_Writing_ELA[#Headers],0)))),"")</f>
        <v/>
      </c>
    </row>
    <row r="354" spans="1:8" x14ac:dyDescent="0.25">
      <c r="A354" s="137"/>
      <c r="B354" s="137" t="str">
        <f>IFERROR(INDEX(_xlfn.VSTACK(YES_Writing_ELA[#Data], YES_Writing_FLA[#Data]),MATCH($A354,_xlfn.VSTACK(YES_Writing_ELA[Student Number], YES_Writing_FLA[Student Number]),0),MATCH(B$7,YES_Writing_ELA[#Headers],0)),"")</f>
        <v/>
      </c>
      <c r="C354" s="137" t="str">
        <f>IFERROR(INDEX(_xlfn.VSTACK(YES_Writing_ELA[#Data], YES_Writing_FLA[#Data]),MATCH($A354,_xlfn.VSTACK(YES_Writing_ELA[Student Number], YES_Writing_FLA[Student Number]),0),MATCH(C$7,YES_Writing_ELA[#Headers],0)),"")</f>
        <v/>
      </c>
      <c r="D354" s="138" t="str">
        <f>IFERROR(IF(IF(INDEX(_xlfn.VSTACK(YES_Writing_ELA[#Data],YES_Writing_FLA[#Data]),MATCH($A354,_xlfn.VSTACK(YES_Writing_ELA[Student Number],YES_Writing_FLA[Student Number]),0),MATCH(VLOOKUP(D$7,'Writing Logic'!$J$7:$K$11,2,FALSE)&amp;" - Per "&amp;VLOOKUP($C$4,'Writing Logic'!$G$8:$H$14,2,FALSE),YES_Writing_ELA[#Headers],0))=0,"",INDEX(_xlfn.VSTACK(YES_Writing_ELA[#Data],YES_Writing_FLA[#Data]),MATCH($A354,_xlfn.VSTACK(YES_Writing_ELA[Student Number],YES_Writing_FLA[Student Number]),0),MATCH(VLOOKUP(D$7,'Writing Logic'!$J$7:$K$11,2,FALSE)&amp;" - Per "&amp;VLOOKUP($C$4,'Writing Logic'!$G$8:$H$14,2,FALSE),YES_Writing_ELA[#Headers],0)))="INS",'Writing Logic'!$B$7,IF(INDEX(_xlfn.VSTACK(YES_Writing_ELA[#Data],YES_Writing_FLA[#Data]),MATCH($A354,_xlfn.VSTACK(YES_Writing_ELA[Student Number],YES_Writing_FLA[Student Number]),0),MATCH(VLOOKUP(D$7,'Writing Logic'!$J$7:$K$11,2,FALSE)&amp;" - Per "&amp;VLOOKUP($C$4,'Writing Logic'!$G$8:$H$14,2,FALSE),YES_Writing_ELA[#Headers],0))=0,"",INDEX(_xlfn.VSTACK(YES_Writing_ELA[#Data],YES_Writing_FLA[#Data]),MATCH($A354,_xlfn.VSTACK(YES_Writing_ELA[Student Number],YES_Writing_FLA[Student Number]),0),MATCH(VLOOKUP(D$7,'Writing Logic'!$J$7:$K$11,2,FALSE)&amp;" - Per "&amp;VLOOKUP($C$4,'Writing Logic'!$G$8:$H$14,2,FALSE),YES_Writing_ELA[#Headers],0)))),"")</f>
        <v/>
      </c>
      <c r="E354" s="138" t="str">
        <f>IFERROR(IF(IF(INDEX(_xlfn.VSTACK(YES_Writing_ELA[#Data],YES_Writing_FLA[#Data]),MATCH($A354,_xlfn.VSTACK(YES_Writing_ELA[Student Number],YES_Writing_FLA[Student Number]),0),MATCH(VLOOKUP(E$7,'Writing Logic'!$J$7:$K$11,2,FALSE)&amp;" - Per "&amp;VLOOKUP($C$4,'Writing Logic'!$G$8:$H$14,2,FALSE),YES_Writing_ELA[#Headers],0))=0,"",INDEX(_xlfn.VSTACK(YES_Writing_ELA[#Data],YES_Writing_FLA[#Data]),MATCH($A354,_xlfn.VSTACK(YES_Writing_ELA[Student Number],YES_Writing_FLA[Student Number]),0),MATCH(VLOOKUP(E$7,'Writing Logic'!$J$7:$K$11,2,FALSE)&amp;" - Per "&amp;VLOOKUP($C$4,'Writing Logic'!$G$8:$H$14,2,FALSE),YES_Writing_ELA[#Headers],0)))="INS",'Writing Logic'!$B$7,IF(INDEX(_xlfn.VSTACK(YES_Writing_ELA[#Data],YES_Writing_FLA[#Data]),MATCH($A354,_xlfn.VSTACK(YES_Writing_ELA[Student Number],YES_Writing_FLA[Student Number]),0),MATCH(VLOOKUP(E$7,'Writing Logic'!$J$7:$K$11,2,FALSE)&amp;" - Per "&amp;VLOOKUP($C$4,'Writing Logic'!$G$8:$H$14,2,FALSE),YES_Writing_ELA[#Headers],0))=0,"",INDEX(_xlfn.VSTACK(YES_Writing_ELA[#Data],YES_Writing_FLA[#Data]),MATCH($A354,_xlfn.VSTACK(YES_Writing_ELA[Student Number],YES_Writing_FLA[Student Number]),0),MATCH(VLOOKUP(E$7,'Writing Logic'!$J$7:$K$11,2,FALSE)&amp;" - Per "&amp;VLOOKUP($C$4,'Writing Logic'!$G$8:$H$14,2,FALSE),YES_Writing_ELA[#Headers],0)))),"")</f>
        <v/>
      </c>
      <c r="F354" s="138" t="str">
        <f>IFERROR(IF(IF(INDEX(_xlfn.VSTACK(YES_Writing_ELA[#Data],YES_Writing_FLA[#Data]),MATCH($A354,_xlfn.VSTACK(YES_Writing_ELA[Student Number],YES_Writing_FLA[Student Number]),0),MATCH(VLOOKUP(F$7,'Writing Logic'!$J$7:$K$11,2,FALSE)&amp;" - Per "&amp;VLOOKUP($C$4,'Writing Logic'!$G$8:$H$14,2,FALSE),YES_Writing_ELA[#Headers],0))=0,"",INDEX(_xlfn.VSTACK(YES_Writing_ELA[#Data],YES_Writing_FLA[#Data]),MATCH($A354,_xlfn.VSTACK(YES_Writing_ELA[Student Number],YES_Writing_FLA[Student Number]),0),MATCH(VLOOKUP(F$7,'Writing Logic'!$J$7:$K$11,2,FALSE)&amp;" - Per "&amp;VLOOKUP($C$4,'Writing Logic'!$G$8:$H$14,2,FALSE),YES_Writing_ELA[#Headers],0)))="INS",'Writing Logic'!$B$7,IF(INDEX(_xlfn.VSTACK(YES_Writing_ELA[#Data],YES_Writing_FLA[#Data]),MATCH($A354,_xlfn.VSTACK(YES_Writing_ELA[Student Number],YES_Writing_FLA[Student Number]),0),MATCH(VLOOKUP(F$7,'Writing Logic'!$J$7:$K$11,2,FALSE)&amp;" - Per "&amp;VLOOKUP($C$4,'Writing Logic'!$G$8:$H$14,2,FALSE),YES_Writing_ELA[#Headers],0))=0,"",INDEX(_xlfn.VSTACK(YES_Writing_ELA[#Data],YES_Writing_FLA[#Data]),MATCH($A354,_xlfn.VSTACK(YES_Writing_ELA[Student Number],YES_Writing_FLA[Student Number]),0),MATCH(VLOOKUP(F$7,'Writing Logic'!$J$7:$K$11,2,FALSE)&amp;" - Per "&amp;VLOOKUP($C$4,'Writing Logic'!$G$8:$H$14,2,FALSE),YES_Writing_ELA[#Headers],0)))),"")</f>
        <v/>
      </c>
      <c r="G354" s="138" t="str">
        <f>IFERROR(IF(IF(INDEX(_xlfn.VSTACK(YES_Writing_ELA[#Data],YES_Writing_FLA[#Data]),MATCH($A354,_xlfn.VSTACK(YES_Writing_ELA[Student Number],YES_Writing_FLA[Student Number]),0),MATCH(VLOOKUP(G$7,'Writing Logic'!$J$7:$K$11,2,FALSE)&amp;" - Per "&amp;VLOOKUP($C$4,'Writing Logic'!$G$8:$H$14,2,FALSE),YES_Writing_ELA[#Headers],0))=0,"",INDEX(_xlfn.VSTACK(YES_Writing_ELA[#Data],YES_Writing_FLA[#Data]),MATCH($A354,_xlfn.VSTACK(YES_Writing_ELA[Student Number],YES_Writing_FLA[Student Number]),0),MATCH(VLOOKUP(G$7,'Writing Logic'!$J$7:$K$11,2,FALSE)&amp;" - Per "&amp;VLOOKUP($C$4,'Writing Logic'!$G$8:$H$14,2,FALSE),YES_Writing_ELA[#Headers],0)))="INS",'Writing Logic'!$B$7,IF(INDEX(_xlfn.VSTACK(YES_Writing_ELA[#Data],YES_Writing_FLA[#Data]),MATCH($A354,_xlfn.VSTACK(YES_Writing_ELA[Student Number],YES_Writing_FLA[Student Number]),0),MATCH(VLOOKUP(G$7,'Writing Logic'!$J$7:$K$11,2,FALSE)&amp;" - Per "&amp;VLOOKUP($C$4,'Writing Logic'!$G$8:$H$14,2,FALSE),YES_Writing_ELA[#Headers],0))=0,"",INDEX(_xlfn.VSTACK(YES_Writing_ELA[#Data],YES_Writing_FLA[#Data]),MATCH($A354,_xlfn.VSTACK(YES_Writing_ELA[Student Number],YES_Writing_FLA[Student Number]),0),MATCH(VLOOKUP(G$7,'Writing Logic'!$J$7:$K$11,2,FALSE)&amp;" - Per "&amp;VLOOKUP($C$4,'Writing Logic'!$G$8:$H$14,2,FALSE),YES_Writing_ELA[#Headers],0)))),"")</f>
        <v/>
      </c>
      <c r="H354" s="138" t="str">
        <f>IFERROR(IF(IF(INDEX(_xlfn.VSTACK(YES_Writing_ELA[#Data],YES_Writing_FLA[#Data]),MATCH($A354,_xlfn.VSTACK(YES_Writing_ELA[Student Number],YES_Writing_FLA[Student Number]),0),MATCH(VLOOKUP(H$7,'Writing Logic'!$J$7:$K$11,2,FALSE)&amp;" - Per "&amp;VLOOKUP($C$4,'Writing Logic'!$G$8:$H$14,2,FALSE),YES_Writing_ELA[#Headers],0))=0,"",INDEX(_xlfn.VSTACK(YES_Writing_ELA[#Data],YES_Writing_FLA[#Data]),MATCH($A354,_xlfn.VSTACK(YES_Writing_ELA[Student Number],YES_Writing_FLA[Student Number]),0),MATCH(VLOOKUP(H$7,'Writing Logic'!$J$7:$K$11,2,FALSE)&amp;" - Per "&amp;VLOOKUP($C$4,'Writing Logic'!$G$8:$H$14,2,FALSE),YES_Writing_ELA[#Headers],0)))="INS",'Writing Logic'!$B$7,IF(INDEX(_xlfn.VSTACK(YES_Writing_ELA[#Data],YES_Writing_FLA[#Data]),MATCH($A354,_xlfn.VSTACK(YES_Writing_ELA[Student Number],YES_Writing_FLA[Student Number]),0),MATCH(VLOOKUP(H$7,'Writing Logic'!$J$7:$K$11,2,FALSE)&amp;" - Per "&amp;VLOOKUP($C$4,'Writing Logic'!$G$8:$H$14,2,FALSE),YES_Writing_ELA[#Headers],0))=0,"",INDEX(_xlfn.VSTACK(YES_Writing_ELA[#Data],YES_Writing_FLA[#Data]),MATCH($A354,_xlfn.VSTACK(YES_Writing_ELA[Student Number],YES_Writing_FLA[Student Number]),0),MATCH(VLOOKUP(H$7,'Writing Logic'!$J$7:$K$11,2,FALSE)&amp;" - Per "&amp;VLOOKUP($C$4,'Writing Logic'!$G$8:$H$14,2,FALSE),YES_Writing_ELA[#Headers],0)))),"")</f>
        <v/>
      </c>
    </row>
    <row r="355" spans="1:8" x14ac:dyDescent="0.25">
      <c r="A355" s="137"/>
      <c r="B355" s="137" t="str">
        <f>IFERROR(INDEX(_xlfn.VSTACK(YES_Writing_ELA[#Data], YES_Writing_FLA[#Data]),MATCH($A355,_xlfn.VSTACK(YES_Writing_ELA[Student Number], YES_Writing_FLA[Student Number]),0),MATCH(B$7,YES_Writing_ELA[#Headers],0)),"")</f>
        <v/>
      </c>
      <c r="C355" s="137" t="str">
        <f>IFERROR(INDEX(_xlfn.VSTACK(YES_Writing_ELA[#Data], YES_Writing_FLA[#Data]),MATCH($A355,_xlfn.VSTACK(YES_Writing_ELA[Student Number], YES_Writing_FLA[Student Number]),0),MATCH(C$7,YES_Writing_ELA[#Headers],0)),"")</f>
        <v/>
      </c>
      <c r="D355" s="138" t="str">
        <f>IFERROR(IF(IF(INDEX(_xlfn.VSTACK(YES_Writing_ELA[#Data],YES_Writing_FLA[#Data]),MATCH($A355,_xlfn.VSTACK(YES_Writing_ELA[Student Number],YES_Writing_FLA[Student Number]),0),MATCH(VLOOKUP(D$7,'Writing Logic'!$J$7:$K$11,2,FALSE)&amp;" - Per "&amp;VLOOKUP($C$4,'Writing Logic'!$G$8:$H$14,2,FALSE),YES_Writing_ELA[#Headers],0))=0,"",INDEX(_xlfn.VSTACK(YES_Writing_ELA[#Data],YES_Writing_FLA[#Data]),MATCH($A355,_xlfn.VSTACK(YES_Writing_ELA[Student Number],YES_Writing_FLA[Student Number]),0),MATCH(VLOOKUP(D$7,'Writing Logic'!$J$7:$K$11,2,FALSE)&amp;" - Per "&amp;VLOOKUP($C$4,'Writing Logic'!$G$8:$H$14,2,FALSE),YES_Writing_ELA[#Headers],0)))="INS",'Writing Logic'!$B$7,IF(INDEX(_xlfn.VSTACK(YES_Writing_ELA[#Data],YES_Writing_FLA[#Data]),MATCH($A355,_xlfn.VSTACK(YES_Writing_ELA[Student Number],YES_Writing_FLA[Student Number]),0),MATCH(VLOOKUP(D$7,'Writing Logic'!$J$7:$K$11,2,FALSE)&amp;" - Per "&amp;VLOOKUP($C$4,'Writing Logic'!$G$8:$H$14,2,FALSE),YES_Writing_ELA[#Headers],0))=0,"",INDEX(_xlfn.VSTACK(YES_Writing_ELA[#Data],YES_Writing_FLA[#Data]),MATCH($A355,_xlfn.VSTACK(YES_Writing_ELA[Student Number],YES_Writing_FLA[Student Number]),0),MATCH(VLOOKUP(D$7,'Writing Logic'!$J$7:$K$11,2,FALSE)&amp;" - Per "&amp;VLOOKUP($C$4,'Writing Logic'!$G$8:$H$14,2,FALSE),YES_Writing_ELA[#Headers],0)))),"")</f>
        <v/>
      </c>
      <c r="E355" s="138" t="str">
        <f>IFERROR(IF(IF(INDEX(_xlfn.VSTACK(YES_Writing_ELA[#Data],YES_Writing_FLA[#Data]),MATCH($A355,_xlfn.VSTACK(YES_Writing_ELA[Student Number],YES_Writing_FLA[Student Number]),0),MATCH(VLOOKUP(E$7,'Writing Logic'!$J$7:$K$11,2,FALSE)&amp;" - Per "&amp;VLOOKUP($C$4,'Writing Logic'!$G$8:$H$14,2,FALSE),YES_Writing_ELA[#Headers],0))=0,"",INDEX(_xlfn.VSTACK(YES_Writing_ELA[#Data],YES_Writing_FLA[#Data]),MATCH($A355,_xlfn.VSTACK(YES_Writing_ELA[Student Number],YES_Writing_FLA[Student Number]),0),MATCH(VLOOKUP(E$7,'Writing Logic'!$J$7:$K$11,2,FALSE)&amp;" - Per "&amp;VLOOKUP($C$4,'Writing Logic'!$G$8:$H$14,2,FALSE),YES_Writing_ELA[#Headers],0)))="INS",'Writing Logic'!$B$7,IF(INDEX(_xlfn.VSTACK(YES_Writing_ELA[#Data],YES_Writing_FLA[#Data]),MATCH($A355,_xlfn.VSTACK(YES_Writing_ELA[Student Number],YES_Writing_FLA[Student Number]),0),MATCH(VLOOKUP(E$7,'Writing Logic'!$J$7:$K$11,2,FALSE)&amp;" - Per "&amp;VLOOKUP($C$4,'Writing Logic'!$G$8:$H$14,2,FALSE),YES_Writing_ELA[#Headers],0))=0,"",INDEX(_xlfn.VSTACK(YES_Writing_ELA[#Data],YES_Writing_FLA[#Data]),MATCH($A355,_xlfn.VSTACK(YES_Writing_ELA[Student Number],YES_Writing_FLA[Student Number]),0),MATCH(VLOOKUP(E$7,'Writing Logic'!$J$7:$K$11,2,FALSE)&amp;" - Per "&amp;VLOOKUP($C$4,'Writing Logic'!$G$8:$H$14,2,FALSE),YES_Writing_ELA[#Headers],0)))),"")</f>
        <v/>
      </c>
      <c r="F355" s="138" t="str">
        <f>IFERROR(IF(IF(INDEX(_xlfn.VSTACK(YES_Writing_ELA[#Data],YES_Writing_FLA[#Data]),MATCH($A355,_xlfn.VSTACK(YES_Writing_ELA[Student Number],YES_Writing_FLA[Student Number]),0),MATCH(VLOOKUP(F$7,'Writing Logic'!$J$7:$K$11,2,FALSE)&amp;" - Per "&amp;VLOOKUP($C$4,'Writing Logic'!$G$8:$H$14,2,FALSE),YES_Writing_ELA[#Headers],0))=0,"",INDEX(_xlfn.VSTACK(YES_Writing_ELA[#Data],YES_Writing_FLA[#Data]),MATCH($A355,_xlfn.VSTACK(YES_Writing_ELA[Student Number],YES_Writing_FLA[Student Number]),0),MATCH(VLOOKUP(F$7,'Writing Logic'!$J$7:$K$11,2,FALSE)&amp;" - Per "&amp;VLOOKUP($C$4,'Writing Logic'!$G$8:$H$14,2,FALSE),YES_Writing_ELA[#Headers],0)))="INS",'Writing Logic'!$B$7,IF(INDEX(_xlfn.VSTACK(YES_Writing_ELA[#Data],YES_Writing_FLA[#Data]),MATCH($A355,_xlfn.VSTACK(YES_Writing_ELA[Student Number],YES_Writing_FLA[Student Number]),0),MATCH(VLOOKUP(F$7,'Writing Logic'!$J$7:$K$11,2,FALSE)&amp;" - Per "&amp;VLOOKUP($C$4,'Writing Logic'!$G$8:$H$14,2,FALSE),YES_Writing_ELA[#Headers],0))=0,"",INDEX(_xlfn.VSTACK(YES_Writing_ELA[#Data],YES_Writing_FLA[#Data]),MATCH($A355,_xlfn.VSTACK(YES_Writing_ELA[Student Number],YES_Writing_FLA[Student Number]),0),MATCH(VLOOKUP(F$7,'Writing Logic'!$J$7:$K$11,2,FALSE)&amp;" - Per "&amp;VLOOKUP($C$4,'Writing Logic'!$G$8:$H$14,2,FALSE),YES_Writing_ELA[#Headers],0)))),"")</f>
        <v/>
      </c>
      <c r="G355" s="138" t="str">
        <f>IFERROR(IF(IF(INDEX(_xlfn.VSTACK(YES_Writing_ELA[#Data],YES_Writing_FLA[#Data]),MATCH($A355,_xlfn.VSTACK(YES_Writing_ELA[Student Number],YES_Writing_FLA[Student Number]),0),MATCH(VLOOKUP(G$7,'Writing Logic'!$J$7:$K$11,2,FALSE)&amp;" - Per "&amp;VLOOKUP($C$4,'Writing Logic'!$G$8:$H$14,2,FALSE),YES_Writing_ELA[#Headers],0))=0,"",INDEX(_xlfn.VSTACK(YES_Writing_ELA[#Data],YES_Writing_FLA[#Data]),MATCH($A355,_xlfn.VSTACK(YES_Writing_ELA[Student Number],YES_Writing_FLA[Student Number]),0),MATCH(VLOOKUP(G$7,'Writing Logic'!$J$7:$K$11,2,FALSE)&amp;" - Per "&amp;VLOOKUP($C$4,'Writing Logic'!$G$8:$H$14,2,FALSE),YES_Writing_ELA[#Headers],0)))="INS",'Writing Logic'!$B$7,IF(INDEX(_xlfn.VSTACK(YES_Writing_ELA[#Data],YES_Writing_FLA[#Data]),MATCH($A355,_xlfn.VSTACK(YES_Writing_ELA[Student Number],YES_Writing_FLA[Student Number]),0),MATCH(VLOOKUP(G$7,'Writing Logic'!$J$7:$K$11,2,FALSE)&amp;" - Per "&amp;VLOOKUP($C$4,'Writing Logic'!$G$8:$H$14,2,FALSE),YES_Writing_ELA[#Headers],0))=0,"",INDEX(_xlfn.VSTACK(YES_Writing_ELA[#Data],YES_Writing_FLA[#Data]),MATCH($A355,_xlfn.VSTACK(YES_Writing_ELA[Student Number],YES_Writing_FLA[Student Number]),0),MATCH(VLOOKUP(G$7,'Writing Logic'!$J$7:$K$11,2,FALSE)&amp;" - Per "&amp;VLOOKUP($C$4,'Writing Logic'!$G$8:$H$14,2,FALSE),YES_Writing_ELA[#Headers],0)))),"")</f>
        <v/>
      </c>
      <c r="H355" s="138" t="str">
        <f>IFERROR(IF(IF(INDEX(_xlfn.VSTACK(YES_Writing_ELA[#Data],YES_Writing_FLA[#Data]),MATCH($A355,_xlfn.VSTACK(YES_Writing_ELA[Student Number],YES_Writing_FLA[Student Number]),0),MATCH(VLOOKUP(H$7,'Writing Logic'!$J$7:$K$11,2,FALSE)&amp;" - Per "&amp;VLOOKUP($C$4,'Writing Logic'!$G$8:$H$14,2,FALSE),YES_Writing_ELA[#Headers],0))=0,"",INDEX(_xlfn.VSTACK(YES_Writing_ELA[#Data],YES_Writing_FLA[#Data]),MATCH($A355,_xlfn.VSTACK(YES_Writing_ELA[Student Number],YES_Writing_FLA[Student Number]),0),MATCH(VLOOKUP(H$7,'Writing Logic'!$J$7:$K$11,2,FALSE)&amp;" - Per "&amp;VLOOKUP($C$4,'Writing Logic'!$G$8:$H$14,2,FALSE),YES_Writing_ELA[#Headers],0)))="INS",'Writing Logic'!$B$7,IF(INDEX(_xlfn.VSTACK(YES_Writing_ELA[#Data],YES_Writing_FLA[#Data]),MATCH($A355,_xlfn.VSTACK(YES_Writing_ELA[Student Number],YES_Writing_FLA[Student Number]),0),MATCH(VLOOKUP(H$7,'Writing Logic'!$J$7:$K$11,2,FALSE)&amp;" - Per "&amp;VLOOKUP($C$4,'Writing Logic'!$G$8:$H$14,2,FALSE),YES_Writing_ELA[#Headers],0))=0,"",INDEX(_xlfn.VSTACK(YES_Writing_ELA[#Data],YES_Writing_FLA[#Data]),MATCH($A355,_xlfn.VSTACK(YES_Writing_ELA[Student Number],YES_Writing_FLA[Student Number]),0),MATCH(VLOOKUP(H$7,'Writing Logic'!$J$7:$K$11,2,FALSE)&amp;" - Per "&amp;VLOOKUP($C$4,'Writing Logic'!$G$8:$H$14,2,FALSE),YES_Writing_ELA[#Headers],0)))),"")</f>
        <v/>
      </c>
    </row>
    <row r="356" spans="1:8" x14ac:dyDescent="0.25">
      <c r="A356" s="137"/>
      <c r="B356" s="137" t="str">
        <f>IFERROR(INDEX(_xlfn.VSTACK(YES_Writing_ELA[#Data], YES_Writing_FLA[#Data]),MATCH($A356,_xlfn.VSTACK(YES_Writing_ELA[Student Number], YES_Writing_FLA[Student Number]),0),MATCH(B$7,YES_Writing_ELA[#Headers],0)),"")</f>
        <v/>
      </c>
      <c r="C356" s="137" t="str">
        <f>IFERROR(INDEX(_xlfn.VSTACK(YES_Writing_ELA[#Data], YES_Writing_FLA[#Data]),MATCH($A356,_xlfn.VSTACK(YES_Writing_ELA[Student Number], YES_Writing_FLA[Student Number]),0),MATCH(C$7,YES_Writing_ELA[#Headers],0)),"")</f>
        <v/>
      </c>
      <c r="D356" s="138" t="str">
        <f>IFERROR(IF(IF(INDEX(_xlfn.VSTACK(YES_Writing_ELA[#Data],YES_Writing_FLA[#Data]),MATCH($A356,_xlfn.VSTACK(YES_Writing_ELA[Student Number],YES_Writing_FLA[Student Number]),0),MATCH(VLOOKUP(D$7,'Writing Logic'!$J$7:$K$11,2,FALSE)&amp;" - Per "&amp;VLOOKUP($C$4,'Writing Logic'!$G$8:$H$14,2,FALSE),YES_Writing_ELA[#Headers],0))=0,"",INDEX(_xlfn.VSTACK(YES_Writing_ELA[#Data],YES_Writing_FLA[#Data]),MATCH($A356,_xlfn.VSTACK(YES_Writing_ELA[Student Number],YES_Writing_FLA[Student Number]),0),MATCH(VLOOKUP(D$7,'Writing Logic'!$J$7:$K$11,2,FALSE)&amp;" - Per "&amp;VLOOKUP($C$4,'Writing Logic'!$G$8:$H$14,2,FALSE),YES_Writing_ELA[#Headers],0)))="INS",'Writing Logic'!$B$7,IF(INDEX(_xlfn.VSTACK(YES_Writing_ELA[#Data],YES_Writing_FLA[#Data]),MATCH($A356,_xlfn.VSTACK(YES_Writing_ELA[Student Number],YES_Writing_FLA[Student Number]),0),MATCH(VLOOKUP(D$7,'Writing Logic'!$J$7:$K$11,2,FALSE)&amp;" - Per "&amp;VLOOKUP($C$4,'Writing Logic'!$G$8:$H$14,2,FALSE),YES_Writing_ELA[#Headers],0))=0,"",INDEX(_xlfn.VSTACK(YES_Writing_ELA[#Data],YES_Writing_FLA[#Data]),MATCH($A356,_xlfn.VSTACK(YES_Writing_ELA[Student Number],YES_Writing_FLA[Student Number]),0),MATCH(VLOOKUP(D$7,'Writing Logic'!$J$7:$K$11,2,FALSE)&amp;" - Per "&amp;VLOOKUP($C$4,'Writing Logic'!$G$8:$H$14,2,FALSE),YES_Writing_ELA[#Headers],0)))),"")</f>
        <v/>
      </c>
      <c r="E356" s="138" t="str">
        <f>IFERROR(IF(IF(INDEX(_xlfn.VSTACK(YES_Writing_ELA[#Data],YES_Writing_FLA[#Data]),MATCH($A356,_xlfn.VSTACK(YES_Writing_ELA[Student Number],YES_Writing_FLA[Student Number]),0),MATCH(VLOOKUP(E$7,'Writing Logic'!$J$7:$K$11,2,FALSE)&amp;" - Per "&amp;VLOOKUP($C$4,'Writing Logic'!$G$8:$H$14,2,FALSE),YES_Writing_ELA[#Headers],0))=0,"",INDEX(_xlfn.VSTACK(YES_Writing_ELA[#Data],YES_Writing_FLA[#Data]),MATCH($A356,_xlfn.VSTACK(YES_Writing_ELA[Student Number],YES_Writing_FLA[Student Number]),0),MATCH(VLOOKUP(E$7,'Writing Logic'!$J$7:$K$11,2,FALSE)&amp;" - Per "&amp;VLOOKUP($C$4,'Writing Logic'!$G$8:$H$14,2,FALSE),YES_Writing_ELA[#Headers],0)))="INS",'Writing Logic'!$B$7,IF(INDEX(_xlfn.VSTACK(YES_Writing_ELA[#Data],YES_Writing_FLA[#Data]),MATCH($A356,_xlfn.VSTACK(YES_Writing_ELA[Student Number],YES_Writing_FLA[Student Number]),0),MATCH(VLOOKUP(E$7,'Writing Logic'!$J$7:$K$11,2,FALSE)&amp;" - Per "&amp;VLOOKUP($C$4,'Writing Logic'!$G$8:$H$14,2,FALSE),YES_Writing_ELA[#Headers],0))=0,"",INDEX(_xlfn.VSTACK(YES_Writing_ELA[#Data],YES_Writing_FLA[#Data]),MATCH($A356,_xlfn.VSTACK(YES_Writing_ELA[Student Number],YES_Writing_FLA[Student Number]),0),MATCH(VLOOKUP(E$7,'Writing Logic'!$J$7:$K$11,2,FALSE)&amp;" - Per "&amp;VLOOKUP($C$4,'Writing Logic'!$G$8:$H$14,2,FALSE),YES_Writing_ELA[#Headers],0)))),"")</f>
        <v/>
      </c>
      <c r="F356" s="138" t="str">
        <f>IFERROR(IF(IF(INDEX(_xlfn.VSTACK(YES_Writing_ELA[#Data],YES_Writing_FLA[#Data]),MATCH($A356,_xlfn.VSTACK(YES_Writing_ELA[Student Number],YES_Writing_FLA[Student Number]),0),MATCH(VLOOKUP(F$7,'Writing Logic'!$J$7:$K$11,2,FALSE)&amp;" - Per "&amp;VLOOKUP($C$4,'Writing Logic'!$G$8:$H$14,2,FALSE),YES_Writing_ELA[#Headers],0))=0,"",INDEX(_xlfn.VSTACK(YES_Writing_ELA[#Data],YES_Writing_FLA[#Data]),MATCH($A356,_xlfn.VSTACK(YES_Writing_ELA[Student Number],YES_Writing_FLA[Student Number]),0),MATCH(VLOOKUP(F$7,'Writing Logic'!$J$7:$K$11,2,FALSE)&amp;" - Per "&amp;VLOOKUP($C$4,'Writing Logic'!$G$8:$H$14,2,FALSE),YES_Writing_ELA[#Headers],0)))="INS",'Writing Logic'!$B$7,IF(INDEX(_xlfn.VSTACK(YES_Writing_ELA[#Data],YES_Writing_FLA[#Data]),MATCH($A356,_xlfn.VSTACK(YES_Writing_ELA[Student Number],YES_Writing_FLA[Student Number]),0),MATCH(VLOOKUP(F$7,'Writing Logic'!$J$7:$K$11,2,FALSE)&amp;" - Per "&amp;VLOOKUP($C$4,'Writing Logic'!$G$8:$H$14,2,FALSE),YES_Writing_ELA[#Headers],0))=0,"",INDEX(_xlfn.VSTACK(YES_Writing_ELA[#Data],YES_Writing_FLA[#Data]),MATCH($A356,_xlfn.VSTACK(YES_Writing_ELA[Student Number],YES_Writing_FLA[Student Number]),0),MATCH(VLOOKUP(F$7,'Writing Logic'!$J$7:$K$11,2,FALSE)&amp;" - Per "&amp;VLOOKUP($C$4,'Writing Logic'!$G$8:$H$14,2,FALSE),YES_Writing_ELA[#Headers],0)))),"")</f>
        <v/>
      </c>
      <c r="G356" s="138" t="str">
        <f>IFERROR(IF(IF(INDEX(_xlfn.VSTACK(YES_Writing_ELA[#Data],YES_Writing_FLA[#Data]),MATCH($A356,_xlfn.VSTACK(YES_Writing_ELA[Student Number],YES_Writing_FLA[Student Number]),0),MATCH(VLOOKUP(G$7,'Writing Logic'!$J$7:$K$11,2,FALSE)&amp;" - Per "&amp;VLOOKUP($C$4,'Writing Logic'!$G$8:$H$14,2,FALSE),YES_Writing_ELA[#Headers],0))=0,"",INDEX(_xlfn.VSTACK(YES_Writing_ELA[#Data],YES_Writing_FLA[#Data]),MATCH($A356,_xlfn.VSTACK(YES_Writing_ELA[Student Number],YES_Writing_FLA[Student Number]),0),MATCH(VLOOKUP(G$7,'Writing Logic'!$J$7:$K$11,2,FALSE)&amp;" - Per "&amp;VLOOKUP($C$4,'Writing Logic'!$G$8:$H$14,2,FALSE),YES_Writing_ELA[#Headers],0)))="INS",'Writing Logic'!$B$7,IF(INDEX(_xlfn.VSTACK(YES_Writing_ELA[#Data],YES_Writing_FLA[#Data]),MATCH($A356,_xlfn.VSTACK(YES_Writing_ELA[Student Number],YES_Writing_FLA[Student Number]),0),MATCH(VLOOKUP(G$7,'Writing Logic'!$J$7:$K$11,2,FALSE)&amp;" - Per "&amp;VLOOKUP($C$4,'Writing Logic'!$G$8:$H$14,2,FALSE),YES_Writing_ELA[#Headers],0))=0,"",INDEX(_xlfn.VSTACK(YES_Writing_ELA[#Data],YES_Writing_FLA[#Data]),MATCH($A356,_xlfn.VSTACK(YES_Writing_ELA[Student Number],YES_Writing_FLA[Student Number]),0),MATCH(VLOOKUP(G$7,'Writing Logic'!$J$7:$K$11,2,FALSE)&amp;" - Per "&amp;VLOOKUP($C$4,'Writing Logic'!$G$8:$H$14,2,FALSE),YES_Writing_ELA[#Headers],0)))),"")</f>
        <v/>
      </c>
      <c r="H356" s="138" t="str">
        <f>IFERROR(IF(IF(INDEX(_xlfn.VSTACK(YES_Writing_ELA[#Data],YES_Writing_FLA[#Data]),MATCH($A356,_xlfn.VSTACK(YES_Writing_ELA[Student Number],YES_Writing_FLA[Student Number]),0),MATCH(VLOOKUP(H$7,'Writing Logic'!$J$7:$K$11,2,FALSE)&amp;" - Per "&amp;VLOOKUP($C$4,'Writing Logic'!$G$8:$H$14,2,FALSE),YES_Writing_ELA[#Headers],0))=0,"",INDEX(_xlfn.VSTACK(YES_Writing_ELA[#Data],YES_Writing_FLA[#Data]),MATCH($A356,_xlfn.VSTACK(YES_Writing_ELA[Student Number],YES_Writing_FLA[Student Number]),0),MATCH(VLOOKUP(H$7,'Writing Logic'!$J$7:$K$11,2,FALSE)&amp;" - Per "&amp;VLOOKUP($C$4,'Writing Logic'!$G$8:$H$14,2,FALSE),YES_Writing_ELA[#Headers],0)))="INS",'Writing Logic'!$B$7,IF(INDEX(_xlfn.VSTACK(YES_Writing_ELA[#Data],YES_Writing_FLA[#Data]),MATCH($A356,_xlfn.VSTACK(YES_Writing_ELA[Student Number],YES_Writing_FLA[Student Number]),0),MATCH(VLOOKUP(H$7,'Writing Logic'!$J$7:$K$11,2,FALSE)&amp;" - Per "&amp;VLOOKUP($C$4,'Writing Logic'!$G$8:$H$14,2,FALSE),YES_Writing_ELA[#Headers],0))=0,"",INDEX(_xlfn.VSTACK(YES_Writing_ELA[#Data],YES_Writing_FLA[#Data]),MATCH($A356,_xlfn.VSTACK(YES_Writing_ELA[Student Number],YES_Writing_FLA[Student Number]),0),MATCH(VLOOKUP(H$7,'Writing Logic'!$J$7:$K$11,2,FALSE)&amp;" - Per "&amp;VLOOKUP($C$4,'Writing Logic'!$G$8:$H$14,2,FALSE),YES_Writing_ELA[#Headers],0)))),"")</f>
        <v/>
      </c>
    </row>
    <row r="357" spans="1:8" x14ac:dyDescent="0.25">
      <c r="A357" s="137"/>
      <c r="B357" s="137" t="str">
        <f>IFERROR(INDEX(_xlfn.VSTACK(YES_Writing_ELA[#Data], YES_Writing_FLA[#Data]),MATCH($A357,_xlfn.VSTACK(YES_Writing_ELA[Student Number], YES_Writing_FLA[Student Number]),0),MATCH(B$7,YES_Writing_ELA[#Headers],0)),"")</f>
        <v/>
      </c>
      <c r="C357" s="137" t="str">
        <f>IFERROR(INDEX(_xlfn.VSTACK(YES_Writing_ELA[#Data], YES_Writing_FLA[#Data]),MATCH($A357,_xlfn.VSTACK(YES_Writing_ELA[Student Number], YES_Writing_FLA[Student Number]),0),MATCH(C$7,YES_Writing_ELA[#Headers],0)),"")</f>
        <v/>
      </c>
      <c r="D357" s="138" t="str">
        <f>IFERROR(IF(IF(INDEX(_xlfn.VSTACK(YES_Writing_ELA[#Data],YES_Writing_FLA[#Data]),MATCH($A357,_xlfn.VSTACK(YES_Writing_ELA[Student Number],YES_Writing_FLA[Student Number]),0),MATCH(VLOOKUP(D$7,'Writing Logic'!$J$7:$K$11,2,FALSE)&amp;" - Per "&amp;VLOOKUP($C$4,'Writing Logic'!$G$8:$H$14,2,FALSE),YES_Writing_ELA[#Headers],0))=0,"",INDEX(_xlfn.VSTACK(YES_Writing_ELA[#Data],YES_Writing_FLA[#Data]),MATCH($A357,_xlfn.VSTACK(YES_Writing_ELA[Student Number],YES_Writing_FLA[Student Number]),0),MATCH(VLOOKUP(D$7,'Writing Logic'!$J$7:$K$11,2,FALSE)&amp;" - Per "&amp;VLOOKUP($C$4,'Writing Logic'!$G$8:$H$14,2,FALSE),YES_Writing_ELA[#Headers],0)))="INS",'Writing Logic'!$B$7,IF(INDEX(_xlfn.VSTACK(YES_Writing_ELA[#Data],YES_Writing_FLA[#Data]),MATCH($A357,_xlfn.VSTACK(YES_Writing_ELA[Student Number],YES_Writing_FLA[Student Number]),0),MATCH(VLOOKUP(D$7,'Writing Logic'!$J$7:$K$11,2,FALSE)&amp;" - Per "&amp;VLOOKUP($C$4,'Writing Logic'!$G$8:$H$14,2,FALSE),YES_Writing_ELA[#Headers],0))=0,"",INDEX(_xlfn.VSTACK(YES_Writing_ELA[#Data],YES_Writing_FLA[#Data]),MATCH($A357,_xlfn.VSTACK(YES_Writing_ELA[Student Number],YES_Writing_FLA[Student Number]),0),MATCH(VLOOKUP(D$7,'Writing Logic'!$J$7:$K$11,2,FALSE)&amp;" - Per "&amp;VLOOKUP($C$4,'Writing Logic'!$G$8:$H$14,2,FALSE),YES_Writing_ELA[#Headers],0)))),"")</f>
        <v/>
      </c>
      <c r="E357" s="138" t="str">
        <f>IFERROR(IF(IF(INDEX(_xlfn.VSTACK(YES_Writing_ELA[#Data],YES_Writing_FLA[#Data]),MATCH($A357,_xlfn.VSTACK(YES_Writing_ELA[Student Number],YES_Writing_FLA[Student Number]),0),MATCH(VLOOKUP(E$7,'Writing Logic'!$J$7:$K$11,2,FALSE)&amp;" - Per "&amp;VLOOKUP($C$4,'Writing Logic'!$G$8:$H$14,2,FALSE),YES_Writing_ELA[#Headers],0))=0,"",INDEX(_xlfn.VSTACK(YES_Writing_ELA[#Data],YES_Writing_FLA[#Data]),MATCH($A357,_xlfn.VSTACK(YES_Writing_ELA[Student Number],YES_Writing_FLA[Student Number]),0),MATCH(VLOOKUP(E$7,'Writing Logic'!$J$7:$K$11,2,FALSE)&amp;" - Per "&amp;VLOOKUP($C$4,'Writing Logic'!$G$8:$H$14,2,FALSE),YES_Writing_ELA[#Headers],0)))="INS",'Writing Logic'!$B$7,IF(INDEX(_xlfn.VSTACK(YES_Writing_ELA[#Data],YES_Writing_FLA[#Data]),MATCH($A357,_xlfn.VSTACK(YES_Writing_ELA[Student Number],YES_Writing_FLA[Student Number]),0),MATCH(VLOOKUP(E$7,'Writing Logic'!$J$7:$K$11,2,FALSE)&amp;" - Per "&amp;VLOOKUP($C$4,'Writing Logic'!$G$8:$H$14,2,FALSE),YES_Writing_ELA[#Headers],0))=0,"",INDEX(_xlfn.VSTACK(YES_Writing_ELA[#Data],YES_Writing_FLA[#Data]),MATCH($A357,_xlfn.VSTACK(YES_Writing_ELA[Student Number],YES_Writing_FLA[Student Number]),0),MATCH(VLOOKUP(E$7,'Writing Logic'!$J$7:$K$11,2,FALSE)&amp;" - Per "&amp;VLOOKUP($C$4,'Writing Logic'!$G$8:$H$14,2,FALSE),YES_Writing_ELA[#Headers],0)))),"")</f>
        <v/>
      </c>
      <c r="F357" s="138" t="str">
        <f>IFERROR(IF(IF(INDEX(_xlfn.VSTACK(YES_Writing_ELA[#Data],YES_Writing_FLA[#Data]),MATCH($A357,_xlfn.VSTACK(YES_Writing_ELA[Student Number],YES_Writing_FLA[Student Number]),0),MATCH(VLOOKUP(F$7,'Writing Logic'!$J$7:$K$11,2,FALSE)&amp;" - Per "&amp;VLOOKUP($C$4,'Writing Logic'!$G$8:$H$14,2,FALSE),YES_Writing_ELA[#Headers],0))=0,"",INDEX(_xlfn.VSTACK(YES_Writing_ELA[#Data],YES_Writing_FLA[#Data]),MATCH($A357,_xlfn.VSTACK(YES_Writing_ELA[Student Number],YES_Writing_FLA[Student Number]),0),MATCH(VLOOKUP(F$7,'Writing Logic'!$J$7:$K$11,2,FALSE)&amp;" - Per "&amp;VLOOKUP($C$4,'Writing Logic'!$G$8:$H$14,2,FALSE),YES_Writing_ELA[#Headers],0)))="INS",'Writing Logic'!$B$7,IF(INDEX(_xlfn.VSTACK(YES_Writing_ELA[#Data],YES_Writing_FLA[#Data]),MATCH($A357,_xlfn.VSTACK(YES_Writing_ELA[Student Number],YES_Writing_FLA[Student Number]),0),MATCH(VLOOKUP(F$7,'Writing Logic'!$J$7:$K$11,2,FALSE)&amp;" - Per "&amp;VLOOKUP($C$4,'Writing Logic'!$G$8:$H$14,2,FALSE),YES_Writing_ELA[#Headers],0))=0,"",INDEX(_xlfn.VSTACK(YES_Writing_ELA[#Data],YES_Writing_FLA[#Data]),MATCH($A357,_xlfn.VSTACK(YES_Writing_ELA[Student Number],YES_Writing_FLA[Student Number]),0),MATCH(VLOOKUP(F$7,'Writing Logic'!$J$7:$K$11,2,FALSE)&amp;" - Per "&amp;VLOOKUP($C$4,'Writing Logic'!$G$8:$H$14,2,FALSE),YES_Writing_ELA[#Headers],0)))),"")</f>
        <v/>
      </c>
      <c r="G357" s="138" t="str">
        <f>IFERROR(IF(IF(INDEX(_xlfn.VSTACK(YES_Writing_ELA[#Data],YES_Writing_FLA[#Data]),MATCH($A357,_xlfn.VSTACK(YES_Writing_ELA[Student Number],YES_Writing_FLA[Student Number]),0),MATCH(VLOOKUP(G$7,'Writing Logic'!$J$7:$K$11,2,FALSE)&amp;" - Per "&amp;VLOOKUP($C$4,'Writing Logic'!$G$8:$H$14,2,FALSE),YES_Writing_ELA[#Headers],0))=0,"",INDEX(_xlfn.VSTACK(YES_Writing_ELA[#Data],YES_Writing_FLA[#Data]),MATCH($A357,_xlfn.VSTACK(YES_Writing_ELA[Student Number],YES_Writing_FLA[Student Number]),0),MATCH(VLOOKUP(G$7,'Writing Logic'!$J$7:$K$11,2,FALSE)&amp;" - Per "&amp;VLOOKUP($C$4,'Writing Logic'!$G$8:$H$14,2,FALSE),YES_Writing_ELA[#Headers],0)))="INS",'Writing Logic'!$B$7,IF(INDEX(_xlfn.VSTACK(YES_Writing_ELA[#Data],YES_Writing_FLA[#Data]),MATCH($A357,_xlfn.VSTACK(YES_Writing_ELA[Student Number],YES_Writing_FLA[Student Number]),0),MATCH(VLOOKUP(G$7,'Writing Logic'!$J$7:$K$11,2,FALSE)&amp;" - Per "&amp;VLOOKUP($C$4,'Writing Logic'!$G$8:$H$14,2,FALSE),YES_Writing_ELA[#Headers],0))=0,"",INDEX(_xlfn.VSTACK(YES_Writing_ELA[#Data],YES_Writing_FLA[#Data]),MATCH($A357,_xlfn.VSTACK(YES_Writing_ELA[Student Number],YES_Writing_FLA[Student Number]),0),MATCH(VLOOKUP(G$7,'Writing Logic'!$J$7:$K$11,2,FALSE)&amp;" - Per "&amp;VLOOKUP($C$4,'Writing Logic'!$G$8:$H$14,2,FALSE),YES_Writing_ELA[#Headers],0)))),"")</f>
        <v/>
      </c>
      <c r="H357" s="138" t="str">
        <f>IFERROR(IF(IF(INDEX(_xlfn.VSTACK(YES_Writing_ELA[#Data],YES_Writing_FLA[#Data]),MATCH($A357,_xlfn.VSTACK(YES_Writing_ELA[Student Number],YES_Writing_FLA[Student Number]),0),MATCH(VLOOKUP(H$7,'Writing Logic'!$J$7:$K$11,2,FALSE)&amp;" - Per "&amp;VLOOKUP($C$4,'Writing Logic'!$G$8:$H$14,2,FALSE),YES_Writing_ELA[#Headers],0))=0,"",INDEX(_xlfn.VSTACK(YES_Writing_ELA[#Data],YES_Writing_FLA[#Data]),MATCH($A357,_xlfn.VSTACK(YES_Writing_ELA[Student Number],YES_Writing_FLA[Student Number]),0),MATCH(VLOOKUP(H$7,'Writing Logic'!$J$7:$K$11,2,FALSE)&amp;" - Per "&amp;VLOOKUP($C$4,'Writing Logic'!$G$8:$H$14,2,FALSE),YES_Writing_ELA[#Headers],0)))="INS",'Writing Logic'!$B$7,IF(INDEX(_xlfn.VSTACK(YES_Writing_ELA[#Data],YES_Writing_FLA[#Data]),MATCH($A357,_xlfn.VSTACK(YES_Writing_ELA[Student Number],YES_Writing_FLA[Student Number]),0),MATCH(VLOOKUP(H$7,'Writing Logic'!$J$7:$K$11,2,FALSE)&amp;" - Per "&amp;VLOOKUP($C$4,'Writing Logic'!$G$8:$H$14,2,FALSE),YES_Writing_ELA[#Headers],0))=0,"",INDEX(_xlfn.VSTACK(YES_Writing_ELA[#Data],YES_Writing_FLA[#Data]),MATCH($A357,_xlfn.VSTACK(YES_Writing_ELA[Student Number],YES_Writing_FLA[Student Number]),0),MATCH(VLOOKUP(H$7,'Writing Logic'!$J$7:$K$11,2,FALSE)&amp;" - Per "&amp;VLOOKUP($C$4,'Writing Logic'!$G$8:$H$14,2,FALSE),YES_Writing_ELA[#Headers],0)))),"")</f>
        <v/>
      </c>
    </row>
    <row r="358" spans="1:8" x14ac:dyDescent="0.25">
      <c r="A358" s="137"/>
      <c r="B358" s="137" t="str">
        <f>IFERROR(INDEX(_xlfn.VSTACK(YES_Writing_ELA[#Data], YES_Writing_FLA[#Data]),MATCH($A358,_xlfn.VSTACK(YES_Writing_ELA[Student Number], YES_Writing_FLA[Student Number]),0),MATCH(B$7,YES_Writing_ELA[#Headers],0)),"")</f>
        <v/>
      </c>
      <c r="C358" s="137" t="str">
        <f>IFERROR(INDEX(_xlfn.VSTACK(YES_Writing_ELA[#Data], YES_Writing_FLA[#Data]),MATCH($A358,_xlfn.VSTACK(YES_Writing_ELA[Student Number], YES_Writing_FLA[Student Number]),0),MATCH(C$7,YES_Writing_ELA[#Headers],0)),"")</f>
        <v/>
      </c>
      <c r="D358" s="138" t="str">
        <f>IFERROR(IF(IF(INDEX(_xlfn.VSTACK(YES_Writing_ELA[#Data],YES_Writing_FLA[#Data]),MATCH($A358,_xlfn.VSTACK(YES_Writing_ELA[Student Number],YES_Writing_FLA[Student Number]),0),MATCH(VLOOKUP(D$7,'Writing Logic'!$J$7:$K$11,2,FALSE)&amp;" - Per "&amp;VLOOKUP($C$4,'Writing Logic'!$G$8:$H$14,2,FALSE),YES_Writing_ELA[#Headers],0))=0,"",INDEX(_xlfn.VSTACK(YES_Writing_ELA[#Data],YES_Writing_FLA[#Data]),MATCH($A358,_xlfn.VSTACK(YES_Writing_ELA[Student Number],YES_Writing_FLA[Student Number]),0),MATCH(VLOOKUP(D$7,'Writing Logic'!$J$7:$K$11,2,FALSE)&amp;" - Per "&amp;VLOOKUP($C$4,'Writing Logic'!$G$8:$H$14,2,FALSE),YES_Writing_ELA[#Headers],0)))="INS",'Writing Logic'!$B$7,IF(INDEX(_xlfn.VSTACK(YES_Writing_ELA[#Data],YES_Writing_FLA[#Data]),MATCH($A358,_xlfn.VSTACK(YES_Writing_ELA[Student Number],YES_Writing_FLA[Student Number]),0),MATCH(VLOOKUP(D$7,'Writing Logic'!$J$7:$K$11,2,FALSE)&amp;" - Per "&amp;VLOOKUP($C$4,'Writing Logic'!$G$8:$H$14,2,FALSE),YES_Writing_ELA[#Headers],0))=0,"",INDEX(_xlfn.VSTACK(YES_Writing_ELA[#Data],YES_Writing_FLA[#Data]),MATCH($A358,_xlfn.VSTACK(YES_Writing_ELA[Student Number],YES_Writing_FLA[Student Number]),0),MATCH(VLOOKUP(D$7,'Writing Logic'!$J$7:$K$11,2,FALSE)&amp;" - Per "&amp;VLOOKUP($C$4,'Writing Logic'!$G$8:$H$14,2,FALSE),YES_Writing_ELA[#Headers],0)))),"")</f>
        <v/>
      </c>
      <c r="E358" s="138" t="str">
        <f>IFERROR(IF(IF(INDEX(_xlfn.VSTACK(YES_Writing_ELA[#Data],YES_Writing_FLA[#Data]),MATCH($A358,_xlfn.VSTACK(YES_Writing_ELA[Student Number],YES_Writing_FLA[Student Number]),0),MATCH(VLOOKUP(E$7,'Writing Logic'!$J$7:$K$11,2,FALSE)&amp;" - Per "&amp;VLOOKUP($C$4,'Writing Logic'!$G$8:$H$14,2,FALSE),YES_Writing_ELA[#Headers],0))=0,"",INDEX(_xlfn.VSTACK(YES_Writing_ELA[#Data],YES_Writing_FLA[#Data]),MATCH($A358,_xlfn.VSTACK(YES_Writing_ELA[Student Number],YES_Writing_FLA[Student Number]),0),MATCH(VLOOKUP(E$7,'Writing Logic'!$J$7:$K$11,2,FALSE)&amp;" - Per "&amp;VLOOKUP($C$4,'Writing Logic'!$G$8:$H$14,2,FALSE),YES_Writing_ELA[#Headers],0)))="INS",'Writing Logic'!$B$7,IF(INDEX(_xlfn.VSTACK(YES_Writing_ELA[#Data],YES_Writing_FLA[#Data]),MATCH($A358,_xlfn.VSTACK(YES_Writing_ELA[Student Number],YES_Writing_FLA[Student Number]),0),MATCH(VLOOKUP(E$7,'Writing Logic'!$J$7:$K$11,2,FALSE)&amp;" - Per "&amp;VLOOKUP($C$4,'Writing Logic'!$G$8:$H$14,2,FALSE),YES_Writing_ELA[#Headers],0))=0,"",INDEX(_xlfn.VSTACK(YES_Writing_ELA[#Data],YES_Writing_FLA[#Data]),MATCH($A358,_xlfn.VSTACK(YES_Writing_ELA[Student Number],YES_Writing_FLA[Student Number]),0),MATCH(VLOOKUP(E$7,'Writing Logic'!$J$7:$K$11,2,FALSE)&amp;" - Per "&amp;VLOOKUP($C$4,'Writing Logic'!$G$8:$H$14,2,FALSE),YES_Writing_ELA[#Headers],0)))),"")</f>
        <v/>
      </c>
      <c r="F358" s="138" t="str">
        <f>IFERROR(IF(IF(INDEX(_xlfn.VSTACK(YES_Writing_ELA[#Data],YES_Writing_FLA[#Data]),MATCH($A358,_xlfn.VSTACK(YES_Writing_ELA[Student Number],YES_Writing_FLA[Student Number]),0),MATCH(VLOOKUP(F$7,'Writing Logic'!$J$7:$K$11,2,FALSE)&amp;" - Per "&amp;VLOOKUP($C$4,'Writing Logic'!$G$8:$H$14,2,FALSE),YES_Writing_ELA[#Headers],0))=0,"",INDEX(_xlfn.VSTACK(YES_Writing_ELA[#Data],YES_Writing_FLA[#Data]),MATCH($A358,_xlfn.VSTACK(YES_Writing_ELA[Student Number],YES_Writing_FLA[Student Number]),0),MATCH(VLOOKUP(F$7,'Writing Logic'!$J$7:$K$11,2,FALSE)&amp;" - Per "&amp;VLOOKUP($C$4,'Writing Logic'!$G$8:$H$14,2,FALSE),YES_Writing_ELA[#Headers],0)))="INS",'Writing Logic'!$B$7,IF(INDEX(_xlfn.VSTACK(YES_Writing_ELA[#Data],YES_Writing_FLA[#Data]),MATCH($A358,_xlfn.VSTACK(YES_Writing_ELA[Student Number],YES_Writing_FLA[Student Number]),0),MATCH(VLOOKUP(F$7,'Writing Logic'!$J$7:$K$11,2,FALSE)&amp;" - Per "&amp;VLOOKUP($C$4,'Writing Logic'!$G$8:$H$14,2,FALSE),YES_Writing_ELA[#Headers],0))=0,"",INDEX(_xlfn.VSTACK(YES_Writing_ELA[#Data],YES_Writing_FLA[#Data]),MATCH($A358,_xlfn.VSTACK(YES_Writing_ELA[Student Number],YES_Writing_FLA[Student Number]),0),MATCH(VLOOKUP(F$7,'Writing Logic'!$J$7:$K$11,2,FALSE)&amp;" - Per "&amp;VLOOKUP($C$4,'Writing Logic'!$G$8:$H$14,2,FALSE),YES_Writing_ELA[#Headers],0)))),"")</f>
        <v/>
      </c>
      <c r="G358" s="138" t="str">
        <f>IFERROR(IF(IF(INDEX(_xlfn.VSTACK(YES_Writing_ELA[#Data],YES_Writing_FLA[#Data]),MATCH($A358,_xlfn.VSTACK(YES_Writing_ELA[Student Number],YES_Writing_FLA[Student Number]),0),MATCH(VLOOKUP(G$7,'Writing Logic'!$J$7:$K$11,2,FALSE)&amp;" - Per "&amp;VLOOKUP($C$4,'Writing Logic'!$G$8:$H$14,2,FALSE),YES_Writing_ELA[#Headers],0))=0,"",INDEX(_xlfn.VSTACK(YES_Writing_ELA[#Data],YES_Writing_FLA[#Data]),MATCH($A358,_xlfn.VSTACK(YES_Writing_ELA[Student Number],YES_Writing_FLA[Student Number]),0),MATCH(VLOOKUP(G$7,'Writing Logic'!$J$7:$K$11,2,FALSE)&amp;" - Per "&amp;VLOOKUP($C$4,'Writing Logic'!$G$8:$H$14,2,FALSE),YES_Writing_ELA[#Headers],0)))="INS",'Writing Logic'!$B$7,IF(INDEX(_xlfn.VSTACK(YES_Writing_ELA[#Data],YES_Writing_FLA[#Data]),MATCH($A358,_xlfn.VSTACK(YES_Writing_ELA[Student Number],YES_Writing_FLA[Student Number]),0),MATCH(VLOOKUP(G$7,'Writing Logic'!$J$7:$K$11,2,FALSE)&amp;" - Per "&amp;VLOOKUP($C$4,'Writing Logic'!$G$8:$H$14,2,FALSE),YES_Writing_ELA[#Headers],0))=0,"",INDEX(_xlfn.VSTACK(YES_Writing_ELA[#Data],YES_Writing_FLA[#Data]),MATCH($A358,_xlfn.VSTACK(YES_Writing_ELA[Student Number],YES_Writing_FLA[Student Number]),0),MATCH(VLOOKUP(G$7,'Writing Logic'!$J$7:$K$11,2,FALSE)&amp;" - Per "&amp;VLOOKUP($C$4,'Writing Logic'!$G$8:$H$14,2,FALSE),YES_Writing_ELA[#Headers],0)))),"")</f>
        <v/>
      </c>
      <c r="H358" s="138" t="str">
        <f>IFERROR(IF(IF(INDEX(_xlfn.VSTACK(YES_Writing_ELA[#Data],YES_Writing_FLA[#Data]),MATCH($A358,_xlfn.VSTACK(YES_Writing_ELA[Student Number],YES_Writing_FLA[Student Number]),0),MATCH(VLOOKUP(H$7,'Writing Logic'!$J$7:$K$11,2,FALSE)&amp;" - Per "&amp;VLOOKUP($C$4,'Writing Logic'!$G$8:$H$14,2,FALSE),YES_Writing_ELA[#Headers],0))=0,"",INDEX(_xlfn.VSTACK(YES_Writing_ELA[#Data],YES_Writing_FLA[#Data]),MATCH($A358,_xlfn.VSTACK(YES_Writing_ELA[Student Number],YES_Writing_FLA[Student Number]),0),MATCH(VLOOKUP(H$7,'Writing Logic'!$J$7:$K$11,2,FALSE)&amp;" - Per "&amp;VLOOKUP($C$4,'Writing Logic'!$G$8:$H$14,2,FALSE),YES_Writing_ELA[#Headers],0)))="INS",'Writing Logic'!$B$7,IF(INDEX(_xlfn.VSTACK(YES_Writing_ELA[#Data],YES_Writing_FLA[#Data]),MATCH($A358,_xlfn.VSTACK(YES_Writing_ELA[Student Number],YES_Writing_FLA[Student Number]),0),MATCH(VLOOKUP(H$7,'Writing Logic'!$J$7:$K$11,2,FALSE)&amp;" - Per "&amp;VLOOKUP($C$4,'Writing Logic'!$G$8:$H$14,2,FALSE),YES_Writing_ELA[#Headers],0))=0,"",INDEX(_xlfn.VSTACK(YES_Writing_ELA[#Data],YES_Writing_FLA[#Data]),MATCH($A358,_xlfn.VSTACK(YES_Writing_ELA[Student Number],YES_Writing_FLA[Student Number]),0),MATCH(VLOOKUP(H$7,'Writing Logic'!$J$7:$K$11,2,FALSE)&amp;" - Per "&amp;VLOOKUP($C$4,'Writing Logic'!$G$8:$H$14,2,FALSE),YES_Writing_ELA[#Headers],0)))),"")</f>
        <v/>
      </c>
    </row>
    <row r="359" spans="1:8" x14ac:dyDescent="0.25">
      <c r="A359" s="137"/>
      <c r="B359" s="137" t="str">
        <f>IFERROR(INDEX(_xlfn.VSTACK(YES_Writing_ELA[#Data], YES_Writing_FLA[#Data]),MATCH($A359,_xlfn.VSTACK(YES_Writing_ELA[Student Number], YES_Writing_FLA[Student Number]),0),MATCH(B$7,YES_Writing_ELA[#Headers],0)),"")</f>
        <v/>
      </c>
      <c r="C359" s="137" t="str">
        <f>IFERROR(INDEX(_xlfn.VSTACK(YES_Writing_ELA[#Data], YES_Writing_FLA[#Data]),MATCH($A359,_xlfn.VSTACK(YES_Writing_ELA[Student Number], YES_Writing_FLA[Student Number]),0),MATCH(C$7,YES_Writing_ELA[#Headers],0)),"")</f>
        <v/>
      </c>
      <c r="D359" s="138" t="str">
        <f>IFERROR(IF(IF(INDEX(_xlfn.VSTACK(YES_Writing_ELA[#Data],YES_Writing_FLA[#Data]),MATCH($A359,_xlfn.VSTACK(YES_Writing_ELA[Student Number],YES_Writing_FLA[Student Number]),0),MATCH(VLOOKUP(D$7,'Writing Logic'!$J$7:$K$11,2,FALSE)&amp;" - Per "&amp;VLOOKUP($C$4,'Writing Logic'!$G$8:$H$14,2,FALSE),YES_Writing_ELA[#Headers],0))=0,"",INDEX(_xlfn.VSTACK(YES_Writing_ELA[#Data],YES_Writing_FLA[#Data]),MATCH($A359,_xlfn.VSTACK(YES_Writing_ELA[Student Number],YES_Writing_FLA[Student Number]),0),MATCH(VLOOKUP(D$7,'Writing Logic'!$J$7:$K$11,2,FALSE)&amp;" - Per "&amp;VLOOKUP($C$4,'Writing Logic'!$G$8:$H$14,2,FALSE),YES_Writing_ELA[#Headers],0)))="INS",'Writing Logic'!$B$7,IF(INDEX(_xlfn.VSTACK(YES_Writing_ELA[#Data],YES_Writing_FLA[#Data]),MATCH($A359,_xlfn.VSTACK(YES_Writing_ELA[Student Number],YES_Writing_FLA[Student Number]),0),MATCH(VLOOKUP(D$7,'Writing Logic'!$J$7:$K$11,2,FALSE)&amp;" - Per "&amp;VLOOKUP($C$4,'Writing Logic'!$G$8:$H$14,2,FALSE),YES_Writing_ELA[#Headers],0))=0,"",INDEX(_xlfn.VSTACK(YES_Writing_ELA[#Data],YES_Writing_FLA[#Data]),MATCH($A359,_xlfn.VSTACK(YES_Writing_ELA[Student Number],YES_Writing_FLA[Student Number]),0),MATCH(VLOOKUP(D$7,'Writing Logic'!$J$7:$K$11,2,FALSE)&amp;" - Per "&amp;VLOOKUP($C$4,'Writing Logic'!$G$8:$H$14,2,FALSE),YES_Writing_ELA[#Headers],0)))),"")</f>
        <v/>
      </c>
      <c r="E359" s="138" t="str">
        <f>IFERROR(IF(IF(INDEX(_xlfn.VSTACK(YES_Writing_ELA[#Data],YES_Writing_FLA[#Data]),MATCH($A359,_xlfn.VSTACK(YES_Writing_ELA[Student Number],YES_Writing_FLA[Student Number]),0),MATCH(VLOOKUP(E$7,'Writing Logic'!$J$7:$K$11,2,FALSE)&amp;" - Per "&amp;VLOOKUP($C$4,'Writing Logic'!$G$8:$H$14,2,FALSE),YES_Writing_ELA[#Headers],0))=0,"",INDEX(_xlfn.VSTACK(YES_Writing_ELA[#Data],YES_Writing_FLA[#Data]),MATCH($A359,_xlfn.VSTACK(YES_Writing_ELA[Student Number],YES_Writing_FLA[Student Number]),0),MATCH(VLOOKUP(E$7,'Writing Logic'!$J$7:$K$11,2,FALSE)&amp;" - Per "&amp;VLOOKUP($C$4,'Writing Logic'!$G$8:$H$14,2,FALSE),YES_Writing_ELA[#Headers],0)))="INS",'Writing Logic'!$B$7,IF(INDEX(_xlfn.VSTACK(YES_Writing_ELA[#Data],YES_Writing_FLA[#Data]),MATCH($A359,_xlfn.VSTACK(YES_Writing_ELA[Student Number],YES_Writing_FLA[Student Number]),0),MATCH(VLOOKUP(E$7,'Writing Logic'!$J$7:$K$11,2,FALSE)&amp;" - Per "&amp;VLOOKUP($C$4,'Writing Logic'!$G$8:$H$14,2,FALSE),YES_Writing_ELA[#Headers],0))=0,"",INDEX(_xlfn.VSTACK(YES_Writing_ELA[#Data],YES_Writing_FLA[#Data]),MATCH($A359,_xlfn.VSTACK(YES_Writing_ELA[Student Number],YES_Writing_FLA[Student Number]),0),MATCH(VLOOKUP(E$7,'Writing Logic'!$J$7:$K$11,2,FALSE)&amp;" - Per "&amp;VLOOKUP($C$4,'Writing Logic'!$G$8:$H$14,2,FALSE),YES_Writing_ELA[#Headers],0)))),"")</f>
        <v/>
      </c>
      <c r="F359" s="138" t="str">
        <f>IFERROR(IF(IF(INDEX(_xlfn.VSTACK(YES_Writing_ELA[#Data],YES_Writing_FLA[#Data]),MATCH($A359,_xlfn.VSTACK(YES_Writing_ELA[Student Number],YES_Writing_FLA[Student Number]),0),MATCH(VLOOKUP(F$7,'Writing Logic'!$J$7:$K$11,2,FALSE)&amp;" - Per "&amp;VLOOKUP($C$4,'Writing Logic'!$G$8:$H$14,2,FALSE),YES_Writing_ELA[#Headers],0))=0,"",INDEX(_xlfn.VSTACK(YES_Writing_ELA[#Data],YES_Writing_FLA[#Data]),MATCH($A359,_xlfn.VSTACK(YES_Writing_ELA[Student Number],YES_Writing_FLA[Student Number]),0),MATCH(VLOOKUP(F$7,'Writing Logic'!$J$7:$K$11,2,FALSE)&amp;" - Per "&amp;VLOOKUP($C$4,'Writing Logic'!$G$8:$H$14,2,FALSE),YES_Writing_ELA[#Headers],0)))="INS",'Writing Logic'!$B$7,IF(INDEX(_xlfn.VSTACK(YES_Writing_ELA[#Data],YES_Writing_FLA[#Data]),MATCH($A359,_xlfn.VSTACK(YES_Writing_ELA[Student Number],YES_Writing_FLA[Student Number]),0),MATCH(VLOOKUP(F$7,'Writing Logic'!$J$7:$K$11,2,FALSE)&amp;" - Per "&amp;VLOOKUP($C$4,'Writing Logic'!$G$8:$H$14,2,FALSE),YES_Writing_ELA[#Headers],0))=0,"",INDEX(_xlfn.VSTACK(YES_Writing_ELA[#Data],YES_Writing_FLA[#Data]),MATCH($A359,_xlfn.VSTACK(YES_Writing_ELA[Student Number],YES_Writing_FLA[Student Number]),0),MATCH(VLOOKUP(F$7,'Writing Logic'!$J$7:$K$11,2,FALSE)&amp;" - Per "&amp;VLOOKUP($C$4,'Writing Logic'!$G$8:$H$14,2,FALSE),YES_Writing_ELA[#Headers],0)))),"")</f>
        <v/>
      </c>
      <c r="G359" s="138" t="str">
        <f>IFERROR(IF(IF(INDEX(_xlfn.VSTACK(YES_Writing_ELA[#Data],YES_Writing_FLA[#Data]),MATCH($A359,_xlfn.VSTACK(YES_Writing_ELA[Student Number],YES_Writing_FLA[Student Number]),0),MATCH(VLOOKUP(G$7,'Writing Logic'!$J$7:$K$11,2,FALSE)&amp;" - Per "&amp;VLOOKUP($C$4,'Writing Logic'!$G$8:$H$14,2,FALSE),YES_Writing_ELA[#Headers],0))=0,"",INDEX(_xlfn.VSTACK(YES_Writing_ELA[#Data],YES_Writing_FLA[#Data]),MATCH($A359,_xlfn.VSTACK(YES_Writing_ELA[Student Number],YES_Writing_FLA[Student Number]),0),MATCH(VLOOKUP(G$7,'Writing Logic'!$J$7:$K$11,2,FALSE)&amp;" - Per "&amp;VLOOKUP($C$4,'Writing Logic'!$G$8:$H$14,2,FALSE),YES_Writing_ELA[#Headers],0)))="INS",'Writing Logic'!$B$7,IF(INDEX(_xlfn.VSTACK(YES_Writing_ELA[#Data],YES_Writing_FLA[#Data]),MATCH($A359,_xlfn.VSTACK(YES_Writing_ELA[Student Number],YES_Writing_FLA[Student Number]),0),MATCH(VLOOKUP(G$7,'Writing Logic'!$J$7:$K$11,2,FALSE)&amp;" - Per "&amp;VLOOKUP($C$4,'Writing Logic'!$G$8:$H$14,2,FALSE),YES_Writing_ELA[#Headers],0))=0,"",INDEX(_xlfn.VSTACK(YES_Writing_ELA[#Data],YES_Writing_FLA[#Data]),MATCH($A359,_xlfn.VSTACK(YES_Writing_ELA[Student Number],YES_Writing_FLA[Student Number]),0),MATCH(VLOOKUP(G$7,'Writing Logic'!$J$7:$K$11,2,FALSE)&amp;" - Per "&amp;VLOOKUP($C$4,'Writing Logic'!$G$8:$H$14,2,FALSE),YES_Writing_ELA[#Headers],0)))),"")</f>
        <v/>
      </c>
      <c r="H359" s="138" t="str">
        <f>IFERROR(IF(IF(INDEX(_xlfn.VSTACK(YES_Writing_ELA[#Data],YES_Writing_FLA[#Data]),MATCH($A359,_xlfn.VSTACK(YES_Writing_ELA[Student Number],YES_Writing_FLA[Student Number]),0),MATCH(VLOOKUP(H$7,'Writing Logic'!$J$7:$K$11,2,FALSE)&amp;" - Per "&amp;VLOOKUP($C$4,'Writing Logic'!$G$8:$H$14,2,FALSE),YES_Writing_ELA[#Headers],0))=0,"",INDEX(_xlfn.VSTACK(YES_Writing_ELA[#Data],YES_Writing_FLA[#Data]),MATCH($A359,_xlfn.VSTACK(YES_Writing_ELA[Student Number],YES_Writing_FLA[Student Number]),0),MATCH(VLOOKUP(H$7,'Writing Logic'!$J$7:$K$11,2,FALSE)&amp;" - Per "&amp;VLOOKUP($C$4,'Writing Logic'!$G$8:$H$14,2,FALSE),YES_Writing_ELA[#Headers],0)))="INS",'Writing Logic'!$B$7,IF(INDEX(_xlfn.VSTACK(YES_Writing_ELA[#Data],YES_Writing_FLA[#Data]),MATCH($A359,_xlfn.VSTACK(YES_Writing_ELA[Student Number],YES_Writing_FLA[Student Number]),0),MATCH(VLOOKUP(H$7,'Writing Logic'!$J$7:$K$11,2,FALSE)&amp;" - Per "&amp;VLOOKUP($C$4,'Writing Logic'!$G$8:$H$14,2,FALSE),YES_Writing_ELA[#Headers],0))=0,"",INDEX(_xlfn.VSTACK(YES_Writing_ELA[#Data],YES_Writing_FLA[#Data]),MATCH($A359,_xlfn.VSTACK(YES_Writing_ELA[Student Number],YES_Writing_FLA[Student Number]),0),MATCH(VLOOKUP(H$7,'Writing Logic'!$J$7:$K$11,2,FALSE)&amp;" - Per "&amp;VLOOKUP($C$4,'Writing Logic'!$G$8:$H$14,2,FALSE),YES_Writing_ELA[#Headers],0)))),"")</f>
        <v/>
      </c>
    </row>
    <row r="360" spans="1:8" x14ac:dyDescent="0.25">
      <c r="A360" s="137"/>
      <c r="B360" s="137" t="str">
        <f>IFERROR(INDEX(_xlfn.VSTACK(YES_Writing_ELA[#Data], YES_Writing_FLA[#Data]),MATCH($A360,_xlfn.VSTACK(YES_Writing_ELA[Student Number], YES_Writing_FLA[Student Number]),0),MATCH(B$7,YES_Writing_ELA[#Headers],0)),"")</f>
        <v/>
      </c>
      <c r="C360" s="137" t="str">
        <f>IFERROR(INDEX(_xlfn.VSTACK(YES_Writing_ELA[#Data], YES_Writing_FLA[#Data]),MATCH($A360,_xlfn.VSTACK(YES_Writing_ELA[Student Number], YES_Writing_FLA[Student Number]),0),MATCH(C$7,YES_Writing_ELA[#Headers],0)),"")</f>
        <v/>
      </c>
      <c r="D360" s="138" t="str">
        <f>IFERROR(IF(IF(INDEX(_xlfn.VSTACK(YES_Writing_ELA[#Data],YES_Writing_FLA[#Data]),MATCH($A360,_xlfn.VSTACK(YES_Writing_ELA[Student Number],YES_Writing_FLA[Student Number]),0),MATCH(VLOOKUP(D$7,'Writing Logic'!$J$7:$K$11,2,FALSE)&amp;" - Per "&amp;VLOOKUP($C$4,'Writing Logic'!$G$8:$H$14,2,FALSE),YES_Writing_ELA[#Headers],0))=0,"",INDEX(_xlfn.VSTACK(YES_Writing_ELA[#Data],YES_Writing_FLA[#Data]),MATCH($A360,_xlfn.VSTACK(YES_Writing_ELA[Student Number],YES_Writing_FLA[Student Number]),0),MATCH(VLOOKUP(D$7,'Writing Logic'!$J$7:$K$11,2,FALSE)&amp;" - Per "&amp;VLOOKUP($C$4,'Writing Logic'!$G$8:$H$14,2,FALSE),YES_Writing_ELA[#Headers],0)))="INS",'Writing Logic'!$B$7,IF(INDEX(_xlfn.VSTACK(YES_Writing_ELA[#Data],YES_Writing_FLA[#Data]),MATCH($A360,_xlfn.VSTACK(YES_Writing_ELA[Student Number],YES_Writing_FLA[Student Number]),0),MATCH(VLOOKUP(D$7,'Writing Logic'!$J$7:$K$11,2,FALSE)&amp;" - Per "&amp;VLOOKUP($C$4,'Writing Logic'!$G$8:$H$14,2,FALSE),YES_Writing_ELA[#Headers],0))=0,"",INDEX(_xlfn.VSTACK(YES_Writing_ELA[#Data],YES_Writing_FLA[#Data]),MATCH($A360,_xlfn.VSTACK(YES_Writing_ELA[Student Number],YES_Writing_FLA[Student Number]),0),MATCH(VLOOKUP(D$7,'Writing Logic'!$J$7:$K$11,2,FALSE)&amp;" - Per "&amp;VLOOKUP($C$4,'Writing Logic'!$G$8:$H$14,2,FALSE),YES_Writing_ELA[#Headers],0)))),"")</f>
        <v/>
      </c>
      <c r="E360" s="138" t="str">
        <f>IFERROR(IF(IF(INDEX(_xlfn.VSTACK(YES_Writing_ELA[#Data],YES_Writing_FLA[#Data]),MATCH($A360,_xlfn.VSTACK(YES_Writing_ELA[Student Number],YES_Writing_FLA[Student Number]),0),MATCH(VLOOKUP(E$7,'Writing Logic'!$J$7:$K$11,2,FALSE)&amp;" - Per "&amp;VLOOKUP($C$4,'Writing Logic'!$G$8:$H$14,2,FALSE),YES_Writing_ELA[#Headers],0))=0,"",INDEX(_xlfn.VSTACK(YES_Writing_ELA[#Data],YES_Writing_FLA[#Data]),MATCH($A360,_xlfn.VSTACK(YES_Writing_ELA[Student Number],YES_Writing_FLA[Student Number]),0),MATCH(VLOOKUP(E$7,'Writing Logic'!$J$7:$K$11,2,FALSE)&amp;" - Per "&amp;VLOOKUP($C$4,'Writing Logic'!$G$8:$H$14,2,FALSE),YES_Writing_ELA[#Headers],0)))="INS",'Writing Logic'!$B$7,IF(INDEX(_xlfn.VSTACK(YES_Writing_ELA[#Data],YES_Writing_FLA[#Data]),MATCH($A360,_xlfn.VSTACK(YES_Writing_ELA[Student Number],YES_Writing_FLA[Student Number]),0),MATCH(VLOOKUP(E$7,'Writing Logic'!$J$7:$K$11,2,FALSE)&amp;" - Per "&amp;VLOOKUP($C$4,'Writing Logic'!$G$8:$H$14,2,FALSE),YES_Writing_ELA[#Headers],0))=0,"",INDEX(_xlfn.VSTACK(YES_Writing_ELA[#Data],YES_Writing_FLA[#Data]),MATCH($A360,_xlfn.VSTACK(YES_Writing_ELA[Student Number],YES_Writing_FLA[Student Number]),0),MATCH(VLOOKUP(E$7,'Writing Logic'!$J$7:$K$11,2,FALSE)&amp;" - Per "&amp;VLOOKUP($C$4,'Writing Logic'!$G$8:$H$14,2,FALSE),YES_Writing_ELA[#Headers],0)))),"")</f>
        <v/>
      </c>
      <c r="F360" s="138" t="str">
        <f>IFERROR(IF(IF(INDEX(_xlfn.VSTACK(YES_Writing_ELA[#Data],YES_Writing_FLA[#Data]),MATCH($A360,_xlfn.VSTACK(YES_Writing_ELA[Student Number],YES_Writing_FLA[Student Number]),0),MATCH(VLOOKUP(F$7,'Writing Logic'!$J$7:$K$11,2,FALSE)&amp;" - Per "&amp;VLOOKUP($C$4,'Writing Logic'!$G$8:$H$14,2,FALSE),YES_Writing_ELA[#Headers],0))=0,"",INDEX(_xlfn.VSTACK(YES_Writing_ELA[#Data],YES_Writing_FLA[#Data]),MATCH($A360,_xlfn.VSTACK(YES_Writing_ELA[Student Number],YES_Writing_FLA[Student Number]),0),MATCH(VLOOKUP(F$7,'Writing Logic'!$J$7:$K$11,2,FALSE)&amp;" - Per "&amp;VLOOKUP($C$4,'Writing Logic'!$G$8:$H$14,2,FALSE),YES_Writing_ELA[#Headers],0)))="INS",'Writing Logic'!$B$7,IF(INDEX(_xlfn.VSTACK(YES_Writing_ELA[#Data],YES_Writing_FLA[#Data]),MATCH($A360,_xlfn.VSTACK(YES_Writing_ELA[Student Number],YES_Writing_FLA[Student Number]),0),MATCH(VLOOKUP(F$7,'Writing Logic'!$J$7:$K$11,2,FALSE)&amp;" - Per "&amp;VLOOKUP($C$4,'Writing Logic'!$G$8:$H$14,2,FALSE),YES_Writing_ELA[#Headers],0))=0,"",INDEX(_xlfn.VSTACK(YES_Writing_ELA[#Data],YES_Writing_FLA[#Data]),MATCH($A360,_xlfn.VSTACK(YES_Writing_ELA[Student Number],YES_Writing_FLA[Student Number]),0),MATCH(VLOOKUP(F$7,'Writing Logic'!$J$7:$K$11,2,FALSE)&amp;" - Per "&amp;VLOOKUP($C$4,'Writing Logic'!$G$8:$H$14,2,FALSE),YES_Writing_ELA[#Headers],0)))),"")</f>
        <v/>
      </c>
      <c r="G360" s="138" t="str">
        <f>IFERROR(IF(IF(INDEX(_xlfn.VSTACK(YES_Writing_ELA[#Data],YES_Writing_FLA[#Data]),MATCH($A360,_xlfn.VSTACK(YES_Writing_ELA[Student Number],YES_Writing_FLA[Student Number]),0),MATCH(VLOOKUP(G$7,'Writing Logic'!$J$7:$K$11,2,FALSE)&amp;" - Per "&amp;VLOOKUP($C$4,'Writing Logic'!$G$8:$H$14,2,FALSE),YES_Writing_ELA[#Headers],0))=0,"",INDEX(_xlfn.VSTACK(YES_Writing_ELA[#Data],YES_Writing_FLA[#Data]),MATCH($A360,_xlfn.VSTACK(YES_Writing_ELA[Student Number],YES_Writing_FLA[Student Number]),0),MATCH(VLOOKUP(G$7,'Writing Logic'!$J$7:$K$11,2,FALSE)&amp;" - Per "&amp;VLOOKUP($C$4,'Writing Logic'!$G$8:$H$14,2,FALSE),YES_Writing_ELA[#Headers],0)))="INS",'Writing Logic'!$B$7,IF(INDEX(_xlfn.VSTACK(YES_Writing_ELA[#Data],YES_Writing_FLA[#Data]),MATCH($A360,_xlfn.VSTACK(YES_Writing_ELA[Student Number],YES_Writing_FLA[Student Number]),0),MATCH(VLOOKUP(G$7,'Writing Logic'!$J$7:$K$11,2,FALSE)&amp;" - Per "&amp;VLOOKUP($C$4,'Writing Logic'!$G$8:$H$14,2,FALSE),YES_Writing_ELA[#Headers],0))=0,"",INDEX(_xlfn.VSTACK(YES_Writing_ELA[#Data],YES_Writing_FLA[#Data]),MATCH($A360,_xlfn.VSTACK(YES_Writing_ELA[Student Number],YES_Writing_FLA[Student Number]),0),MATCH(VLOOKUP(G$7,'Writing Logic'!$J$7:$K$11,2,FALSE)&amp;" - Per "&amp;VLOOKUP($C$4,'Writing Logic'!$G$8:$H$14,2,FALSE),YES_Writing_ELA[#Headers],0)))),"")</f>
        <v/>
      </c>
      <c r="H360" s="138" t="str">
        <f>IFERROR(IF(IF(INDEX(_xlfn.VSTACK(YES_Writing_ELA[#Data],YES_Writing_FLA[#Data]),MATCH($A360,_xlfn.VSTACK(YES_Writing_ELA[Student Number],YES_Writing_FLA[Student Number]),0),MATCH(VLOOKUP(H$7,'Writing Logic'!$J$7:$K$11,2,FALSE)&amp;" - Per "&amp;VLOOKUP($C$4,'Writing Logic'!$G$8:$H$14,2,FALSE),YES_Writing_ELA[#Headers],0))=0,"",INDEX(_xlfn.VSTACK(YES_Writing_ELA[#Data],YES_Writing_FLA[#Data]),MATCH($A360,_xlfn.VSTACK(YES_Writing_ELA[Student Number],YES_Writing_FLA[Student Number]),0),MATCH(VLOOKUP(H$7,'Writing Logic'!$J$7:$K$11,2,FALSE)&amp;" - Per "&amp;VLOOKUP($C$4,'Writing Logic'!$G$8:$H$14,2,FALSE),YES_Writing_ELA[#Headers],0)))="INS",'Writing Logic'!$B$7,IF(INDEX(_xlfn.VSTACK(YES_Writing_ELA[#Data],YES_Writing_FLA[#Data]),MATCH($A360,_xlfn.VSTACK(YES_Writing_ELA[Student Number],YES_Writing_FLA[Student Number]),0),MATCH(VLOOKUP(H$7,'Writing Logic'!$J$7:$K$11,2,FALSE)&amp;" - Per "&amp;VLOOKUP($C$4,'Writing Logic'!$G$8:$H$14,2,FALSE),YES_Writing_ELA[#Headers],0))=0,"",INDEX(_xlfn.VSTACK(YES_Writing_ELA[#Data],YES_Writing_FLA[#Data]),MATCH($A360,_xlfn.VSTACK(YES_Writing_ELA[Student Number],YES_Writing_FLA[Student Number]),0),MATCH(VLOOKUP(H$7,'Writing Logic'!$J$7:$K$11,2,FALSE)&amp;" - Per "&amp;VLOOKUP($C$4,'Writing Logic'!$G$8:$H$14,2,FALSE),YES_Writing_ELA[#Headers],0)))),"")</f>
        <v/>
      </c>
    </row>
    <row r="361" spans="1:8" x14ac:dyDescent="0.25">
      <c r="A361" s="137"/>
      <c r="B361" s="137" t="str">
        <f>IFERROR(INDEX(_xlfn.VSTACK(YES_Writing_ELA[#Data], YES_Writing_FLA[#Data]),MATCH($A361,_xlfn.VSTACK(YES_Writing_ELA[Student Number], YES_Writing_FLA[Student Number]),0),MATCH(B$7,YES_Writing_ELA[#Headers],0)),"")</f>
        <v/>
      </c>
      <c r="C361" s="137" t="str">
        <f>IFERROR(INDEX(_xlfn.VSTACK(YES_Writing_ELA[#Data], YES_Writing_FLA[#Data]),MATCH($A361,_xlfn.VSTACK(YES_Writing_ELA[Student Number], YES_Writing_FLA[Student Number]),0),MATCH(C$7,YES_Writing_ELA[#Headers],0)),"")</f>
        <v/>
      </c>
      <c r="D361" s="138" t="str">
        <f>IFERROR(IF(IF(INDEX(_xlfn.VSTACK(YES_Writing_ELA[#Data],YES_Writing_FLA[#Data]),MATCH($A361,_xlfn.VSTACK(YES_Writing_ELA[Student Number],YES_Writing_FLA[Student Number]),0),MATCH(VLOOKUP(D$7,'Writing Logic'!$J$7:$K$11,2,FALSE)&amp;" - Per "&amp;VLOOKUP($C$4,'Writing Logic'!$G$8:$H$14,2,FALSE),YES_Writing_ELA[#Headers],0))=0,"",INDEX(_xlfn.VSTACK(YES_Writing_ELA[#Data],YES_Writing_FLA[#Data]),MATCH($A361,_xlfn.VSTACK(YES_Writing_ELA[Student Number],YES_Writing_FLA[Student Number]),0),MATCH(VLOOKUP(D$7,'Writing Logic'!$J$7:$K$11,2,FALSE)&amp;" - Per "&amp;VLOOKUP($C$4,'Writing Logic'!$G$8:$H$14,2,FALSE),YES_Writing_ELA[#Headers],0)))="INS",'Writing Logic'!$B$7,IF(INDEX(_xlfn.VSTACK(YES_Writing_ELA[#Data],YES_Writing_FLA[#Data]),MATCH($A361,_xlfn.VSTACK(YES_Writing_ELA[Student Number],YES_Writing_FLA[Student Number]),0),MATCH(VLOOKUP(D$7,'Writing Logic'!$J$7:$K$11,2,FALSE)&amp;" - Per "&amp;VLOOKUP($C$4,'Writing Logic'!$G$8:$H$14,2,FALSE),YES_Writing_ELA[#Headers],0))=0,"",INDEX(_xlfn.VSTACK(YES_Writing_ELA[#Data],YES_Writing_FLA[#Data]),MATCH($A361,_xlfn.VSTACK(YES_Writing_ELA[Student Number],YES_Writing_FLA[Student Number]),0),MATCH(VLOOKUP(D$7,'Writing Logic'!$J$7:$K$11,2,FALSE)&amp;" - Per "&amp;VLOOKUP($C$4,'Writing Logic'!$G$8:$H$14,2,FALSE),YES_Writing_ELA[#Headers],0)))),"")</f>
        <v/>
      </c>
      <c r="E361" s="138" t="str">
        <f>IFERROR(IF(IF(INDEX(_xlfn.VSTACK(YES_Writing_ELA[#Data],YES_Writing_FLA[#Data]),MATCH($A361,_xlfn.VSTACK(YES_Writing_ELA[Student Number],YES_Writing_FLA[Student Number]),0),MATCH(VLOOKUP(E$7,'Writing Logic'!$J$7:$K$11,2,FALSE)&amp;" - Per "&amp;VLOOKUP($C$4,'Writing Logic'!$G$8:$H$14,2,FALSE),YES_Writing_ELA[#Headers],0))=0,"",INDEX(_xlfn.VSTACK(YES_Writing_ELA[#Data],YES_Writing_FLA[#Data]),MATCH($A361,_xlfn.VSTACK(YES_Writing_ELA[Student Number],YES_Writing_FLA[Student Number]),0),MATCH(VLOOKUP(E$7,'Writing Logic'!$J$7:$K$11,2,FALSE)&amp;" - Per "&amp;VLOOKUP($C$4,'Writing Logic'!$G$8:$H$14,2,FALSE),YES_Writing_ELA[#Headers],0)))="INS",'Writing Logic'!$B$7,IF(INDEX(_xlfn.VSTACK(YES_Writing_ELA[#Data],YES_Writing_FLA[#Data]),MATCH($A361,_xlfn.VSTACK(YES_Writing_ELA[Student Number],YES_Writing_FLA[Student Number]),0),MATCH(VLOOKUP(E$7,'Writing Logic'!$J$7:$K$11,2,FALSE)&amp;" - Per "&amp;VLOOKUP($C$4,'Writing Logic'!$G$8:$H$14,2,FALSE),YES_Writing_ELA[#Headers],0))=0,"",INDEX(_xlfn.VSTACK(YES_Writing_ELA[#Data],YES_Writing_FLA[#Data]),MATCH($A361,_xlfn.VSTACK(YES_Writing_ELA[Student Number],YES_Writing_FLA[Student Number]),0),MATCH(VLOOKUP(E$7,'Writing Logic'!$J$7:$K$11,2,FALSE)&amp;" - Per "&amp;VLOOKUP($C$4,'Writing Logic'!$G$8:$H$14,2,FALSE),YES_Writing_ELA[#Headers],0)))),"")</f>
        <v/>
      </c>
      <c r="F361" s="138" t="str">
        <f>IFERROR(IF(IF(INDEX(_xlfn.VSTACK(YES_Writing_ELA[#Data],YES_Writing_FLA[#Data]),MATCH($A361,_xlfn.VSTACK(YES_Writing_ELA[Student Number],YES_Writing_FLA[Student Number]),0),MATCH(VLOOKUP(F$7,'Writing Logic'!$J$7:$K$11,2,FALSE)&amp;" - Per "&amp;VLOOKUP($C$4,'Writing Logic'!$G$8:$H$14,2,FALSE),YES_Writing_ELA[#Headers],0))=0,"",INDEX(_xlfn.VSTACK(YES_Writing_ELA[#Data],YES_Writing_FLA[#Data]),MATCH($A361,_xlfn.VSTACK(YES_Writing_ELA[Student Number],YES_Writing_FLA[Student Number]),0),MATCH(VLOOKUP(F$7,'Writing Logic'!$J$7:$K$11,2,FALSE)&amp;" - Per "&amp;VLOOKUP($C$4,'Writing Logic'!$G$8:$H$14,2,FALSE),YES_Writing_ELA[#Headers],0)))="INS",'Writing Logic'!$B$7,IF(INDEX(_xlfn.VSTACK(YES_Writing_ELA[#Data],YES_Writing_FLA[#Data]),MATCH($A361,_xlfn.VSTACK(YES_Writing_ELA[Student Number],YES_Writing_FLA[Student Number]),0),MATCH(VLOOKUP(F$7,'Writing Logic'!$J$7:$K$11,2,FALSE)&amp;" - Per "&amp;VLOOKUP($C$4,'Writing Logic'!$G$8:$H$14,2,FALSE),YES_Writing_ELA[#Headers],0))=0,"",INDEX(_xlfn.VSTACK(YES_Writing_ELA[#Data],YES_Writing_FLA[#Data]),MATCH($A361,_xlfn.VSTACK(YES_Writing_ELA[Student Number],YES_Writing_FLA[Student Number]),0),MATCH(VLOOKUP(F$7,'Writing Logic'!$J$7:$K$11,2,FALSE)&amp;" - Per "&amp;VLOOKUP($C$4,'Writing Logic'!$G$8:$H$14,2,FALSE),YES_Writing_ELA[#Headers],0)))),"")</f>
        <v/>
      </c>
      <c r="G361" s="138" t="str">
        <f>IFERROR(IF(IF(INDEX(_xlfn.VSTACK(YES_Writing_ELA[#Data],YES_Writing_FLA[#Data]),MATCH($A361,_xlfn.VSTACK(YES_Writing_ELA[Student Number],YES_Writing_FLA[Student Number]),0),MATCH(VLOOKUP(G$7,'Writing Logic'!$J$7:$K$11,2,FALSE)&amp;" - Per "&amp;VLOOKUP($C$4,'Writing Logic'!$G$8:$H$14,2,FALSE),YES_Writing_ELA[#Headers],0))=0,"",INDEX(_xlfn.VSTACK(YES_Writing_ELA[#Data],YES_Writing_FLA[#Data]),MATCH($A361,_xlfn.VSTACK(YES_Writing_ELA[Student Number],YES_Writing_FLA[Student Number]),0),MATCH(VLOOKUP(G$7,'Writing Logic'!$J$7:$K$11,2,FALSE)&amp;" - Per "&amp;VLOOKUP($C$4,'Writing Logic'!$G$8:$H$14,2,FALSE),YES_Writing_ELA[#Headers],0)))="INS",'Writing Logic'!$B$7,IF(INDEX(_xlfn.VSTACK(YES_Writing_ELA[#Data],YES_Writing_FLA[#Data]),MATCH($A361,_xlfn.VSTACK(YES_Writing_ELA[Student Number],YES_Writing_FLA[Student Number]),0),MATCH(VLOOKUP(G$7,'Writing Logic'!$J$7:$K$11,2,FALSE)&amp;" - Per "&amp;VLOOKUP($C$4,'Writing Logic'!$G$8:$H$14,2,FALSE),YES_Writing_ELA[#Headers],0))=0,"",INDEX(_xlfn.VSTACK(YES_Writing_ELA[#Data],YES_Writing_FLA[#Data]),MATCH($A361,_xlfn.VSTACK(YES_Writing_ELA[Student Number],YES_Writing_FLA[Student Number]),0),MATCH(VLOOKUP(G$7,'Writing Logic'!$J$7:$K$11,2,FALSE)&amp;" - Per "&amp;VLOOKUP($C$4,'Writing Logic'!$G$8:$H$14,2,FALSE),YES_Writing_ELA[#Headers],0)))),"")</f>
        <v/>
      </c>
      <c r="H361" s="138" t="str">
        <f>IFERROR(IF(IF(INDEX(_xlfn.VSTACK(YES_Writing_ELA[#Data],YES_Writing_FLA[#Data]),MATCH($A361,_xlfn.VSTACK(YES_Writing_ELA[Student Number],YES_Writing_FLA[Student Number]),0),MATCH(VLOOKUP(H$7,'Writing Logic'!$J$7:$K$11,2,FALSE)&amp;" - Per "&amp;VLOOKUP($C$4,'Writing Logic'!$G$8:$H$14,2,FALSE),YES_Writing_ELA[#Headers],0))=0,"",INDEX(_xlfn.VSTACK(YES_Writing_ELA[#Data],YES_Writing_FLA[#Data]),MATCH($A361,_xlfn.VSTACK(YES_Writing_ELA[Student Number],YES_Writing_FLA[Student Number]),0),MATCH(VLOOKUP(H$7,'Writing Logic'!$J$7:$K$11,2,FALSE)&amp;" - Per "&amp;VLOOKUP($C$4,'Writing Logic'!$G$8:$H$14,2,FALSE),YES_Writing_ELA[#Headers],0)))="INS",'Writing Logic'!$B$7,IF(INDEX(_xlfn.VSTACK(YES_Writing_ELA[#Data],YES_Writing_FLA[#Data]),MATCH($A361,_xlfn.VSTACK(YES_Writing_ELA[Student Number],YES_Writing_FLA[Student Number]),0),MATCH(VLOOKUP(H$7,'Writing Logic'!$J$7:$K$11,2,FALSE)&amp;" - Per "&amp;VLOOKUP($C$4,'Writing Logic'!$G$8:$H$14,2,FALSE),YES_Writing_ELA[#Headers],0))=0,"",INDEX(_xlfn.VSTACK(YES_Writing_ELA[#Data],YES_Writing_FLA[#Data]),MATCH($A361,_xlfn.VSTACK(YES_Writing_ELA[Student Number],YES_Writing_FLA[Student Number]),0),MATCH(VLOOKUP(H$7,'Writing Logic'!$J$7:$K$11,2,FALSE)&amp;" - Per "&amp;VLOOKUP($C$4,'Writing Logic'!$G$8:$H$14,2,FALSE),YES_Writing_ELA[#Headers],0)))),"")</f>
        <v/>
      </c>
    </row>
    <row r="362" spans="1:8" x14ac:dyDescent="0.25">
      <c r="A362" s="137"/>
      <c r="B362" s="137" t="str">
        <f>IFERROR(INDEX(_xlfn.VSTACK(YES_Writing_ELA[#Data], YES_Writing_FLA[#Data]),MATCH($A362,_xlfn.VSTACK(YES_Writing_ELA[Student Number], YES_Writing_FLA[Student Number]),0),MATCH(B$7,YES_Writing_ELA[#Headers],0)),"")</f>
        <v/>
      </c>
      <c r="C362" s="137" t="str">
        <f>IFERROR(INDEX(_xlfn.VSTACK(YES_Writing_ELA[#Data], YES_Writing_FLA[#Data]),MATCH($A362,_xlfn.VSTACK(YES_Writing_ELA[Student Number], YES_Writing_FLA[Student Number]),0),MATCH(C$7,YES_Writing_ELA[#Headers],0)),"")</f>
        <v/>
      </c>
      <c r="D362" s="138" t="str">
        <f>IFERROR(IF(IF(INDEX(_xlfn.VSTACK(YES_Writing_ELA[#Data],YES_Writing_FLA[#Data]),MATCH($A362,_xlfn.VSTACK(YES_Writing_ELA[Student Number],YES_Writing_FLA[Student Number]),0),MATCH(VLOOKUP(D$7,'Writing Logic'!$J$7:$K$11,2,FALSE)&amp;" - Per "&amp;VLOOKUP($C$4,'Writing Logic'!$G$8:$H$14,2,FALSE),YES_Writing_ELA[#Headers],0))=0,"",INDEX(_xlfn.VSTACK(YES_Writing_ELA[#Data],YES_Writing_FLA[#Data]),MATCH($A362,_xlfn.VSTACK(YES_Writing_ELA[Student Number],YES_Writing_FLA[Student Number]),0),MATCH(VLOOKUP(D$7,'Writing Logic'!$J$7:$K$11,2,FALSE)&amp;" - Per "&amp;VLOOKUP($C$4,'Writing Logic'!$G$8:$H$14,2,FALSE),YES_Writing_ELA[#Headers],0)))="INS",'Writing Logic'!$B$7,IF(INDEX(_xlfn.VSTACK(YES_Writing_ELA[#Data],YES_Writing_FLA[#Data]),MATCH($A362,_xlfn.VSTACK(YES_Writing_ELA[Student Number],YES_Writing_FLA[Student Number]),0),MATCH(VLOOKUP(D$7,'Writing Logic'!$J$7:$K$11,2,FALSE)&amp;" - Per "&amp;VLOOKUP($C$4,'Writing Logic'!$G$8:$H$14,2,FALSE),YES_Writing_ELA[#Headers],0))=0,"",INDEX(_xlfn.VSTACK(YES_Writing_ELA[#Data],YES_Writing_FLA[#Data]),MATCH($A362,_xlfn.VSTACK(YES_Writing_ELA[Student Number],YES_Writing_FLA[Student Number]),0),MATCH(VLOOKUP(D$7,'Writing Logic'!$J$7:$K$11,2,FALSE)&amp;" - Per "&amp;VLOOKUP($C$4,'Writing Logic'!$G$8:$H$14,2,FALSE),YES_Writing_ELA[#Headers],0)))),"")</f>
        <v/>
      </c>
      <c r="E362" s="138" t="str">
        <f>IFERROR(IF(IF(INDEX(_xlfn.VSTACK(YES_Writing_ELA[#Data],YES_Writing_FLA[#Data]),MATCH($A362,_xlfn.VSTACK(YES_Writing_ELA[Student Number],YES_Writing_FLA[Student Number]),0),MATCH(VLOOKUP(E$7,'Writing Logic'!$J$7:$K$11,2,FALSE)&amp;" - Per "&amp;VLOOKUP($C$4,'Writing Logic'!$G$8:$H$14,2,FALSE),YES_Writing_ELA[#Headers],0))=0,"",INDEX(_xlfn.VSTACK(YES_Writing_ELA[#Data],YES_Writing_FLA[#Data]),MATCH($A362,_xlfn.VSTACK(YES_Writing_ELA[Student Number],YES_Writing_FLA[Student Number]),0),MATCH(VLOOKUP(E$7,'Writing Logic'!$J$7:$K$11,2,FALSE)&amp;" - Per "&amp;VLOOKUP($C$4,'Writing Logic'!$G$8:$H$14,2,FALSE),YES_Writing_ELA[#Headers],0)))="INS",'Writing Logic'!$B$7,IF(INDEX(_xlfn.VSTACK(YES_Writing_ELA[#Data],YES_Writing_FLA[#Data]),MATCH($A362,_xlfn.VSTACK(YES_Writing_ELA[Student Number],YES_Writing_FLA[Student Number]),0),MATCH(VLOOKUP(E$7,'Writing Logic'!$J$7:$K$11,2,FALSE)&amp;" - Per "&amp;VLOOKUP($C$4,'Writing Logic'!$G$8:$H$14,2,FALSE),YES_Writing_ELA[#Headers],0))=0,"",INDEX(_xlfn.VSTACK(YES_Writing_ELA[#Data],YES_Writing_FLA[#Data]),MATCH($A362,_xlfn.VSTACK(YES_Writing_ELA[Student Number],YES_Writing_FLA[Student Number]),0),MATCH(VLOOKUP(E$7,'Writing Logic'!$J$7:$K$11,2,FALSE)&amp;" - Per "&amp;VLOOKUP($C$4,'Writing Logic'!$G$8:$H$14,2,FALSE),YES_Writing_ELA[#Headers],0)))),"")</f>
        <v/>
      </c>
      <c r="F362" s="138" t="str">
        <f>IFERROR(IF(IF(INDEX(_xlfn.VSTACK(YES_Writing_ELA[#Data],YES_Writing_FLA[#Data]),MATCH($A362,_xlfn.VSTACK(YES_Writing_ELA[Student Number],YES_Writing_FLA[Student Number]),0),MATCH(VLOOKUP(F$7,'Writing Logic'!$J$7:$K$11,2,FALSE)&amp;" - Per "&amp;VLOOKUP($C$4,'Writing Logic'!$G$8:$H$14,2,FALSE),YES_Writing_ELA[#Headers],0))=0,"",INDEX(_xlfn.VSTACK(YES_Writing_ELA[#Data],YES_Writing_FLA[#Data]),MATCH($A362,_xlfn.VSTACK(YES_Writing_ELA[Student Number],YES_Writing_FLA[Student Number]),0),MATCH(VLOOKUP(F$7,'Writing Logic'!$J$7:$K$11,2,FALSE)&amp;" - Per "&amp;VLOOKUP($C$4,'Writing Logic'!$G$8:$H$14,2,FALSE),YES_Writing_ELA[#Headers],0)))="INS",'Writing Logic'!$B$7,IF(INDEX(_xlfn.VSTACK(YES_Writing_ELA[#Data],YES_Writing_FLA[#Data]),MATCH($A362,_xlfn.VSTACK(YES_Writing_ELA[Student Number],YES_Writing_FLA[Student Number]),0),MATCH(VLOOKUP(F$7,'Writing Logic'!$J$7:$K$11,2,FALSE)&amp;" - Per "&amp;VLOOKUP($C$4,'Writing Logic'!$G$8:$H$14,2,FALSE),YES_Writing_ELA[#Headers],0))=0,"",INDEX(_xlfn.VSTACK(YES_Writing_ELA[#Data],YES_Writing_FLA[#Data]),MATCH($A362,_xlfn.VSTACK(YES_Writing_ELA[Student Number],YES_Writing_FLA[Student Number]),0),MATCH(VLOOKUP(F$7,'Writing Logic'!$J$7:$K$11,2,FALSE)&amp;" - Per "&amp;VLOOKUP($C$4,'Writing Logic'!$G$8:$H$14,2,FALSE),YES_Writing_ELA[#Headers],0)))),"")</f>
        <v/>
      </c>
      <c r="G362" s="138" t="str">
        <f>IFERROR(IF(IF(INDEX(_xlfn.VSTACK(YES_Writing_ELA[#Data],YES_Writing_FLA[#Data]),MATCH($A362,_xlfn.VSTACK(YES_Writing_ELA[Student Number],YES_Writing_FLA[Student Number]),0),MATCH(VLOOKUP(G$7,'Writing Logic'!$J$7:$K$11,2,FALSE)&amp;" - Per "&amp;VLOOKUP($C$4,'Writing Logic'!$G$8:$H$14,2,FALSE),YES_Writing_ELA[#Headers],0))=0,"",INDEX(_xlfn.VSTACK(YES_Writing_ELA[#Data],YES_Writing_FLA[#Data]),MATCH($A362,_xlfn.VSTACK(YES_Writing_ELA[Student Number],YES_Writing_FLA[Student Number]),0),MATCH(VLOOKUP(G$7,'Writing Logic'!$J$7:$K$11,2,FALSE)&amp;" - Per "&amp;VLOOKUP($C$4,'Writing Logic'!$G$8:$H$14,2,FALSE),YES_Writing_ELA[#Headers],0)))="INS",'Writing Logic'!$B$7,IF(INDEX(_xlfn.VSTACK(YES_Writing_ELA[#Data],YES_Writing_FLA[#Data]),MATCH($A362,_xlfn.VSTACK(YES_Writing_ELA[Student Number],YES_Writing_FLA[Student Number]),0),MATCH(VLOOKUP(G$7,'Writing Logic'!$J$7:$K$11,2,FALSE)&amp;" - Per "&amp;VLOOKUP($C$4,'Writing Logic'!$G$8:$H$14,2,FALSE),YES_Writing_ELA[#Headers],0))=0,"",INDEX(_xlfn.VSTACK(YES_Writing_ELA[#Data],YES_Writing_FLA[#Data]),MATCH($A362,_xlfn.VSTACK(YES_Writing_ELA[Student Number],YES_Writing_FLA[Student Number]),0),MATCH(VLOOKUP(G$7,'Writing Logic'!$J$7:$K$11,2,FALSE)&amp;" - Per "&amp;VLOOKUP($C$4,'Writing Logic'!$G$8:$H$14,2,FALSE),YES_Writing_ELA[#Headers],0)))),"")</f>
        <v/>
      </c>
      <c r="H362" s="138" t="str">
        <f>IFERROR(IF(IF(INDEX(_xlfn.VSTACK(YES_Writing_ELA[#Data],YES_Writing_FLA[#Data]),MATCH($A362,_xlfn.VSTACK(YES_Writing_ELA[Student Number],YES_Writing_FLA[Student Number]),0),MATCH(VLOOKUP(H$7,'Writing Logic'!$J$7:$K$11,2,FALSE)&amp;" - Per "&amp;VLOOKUP($C$4,'Writing Logic'!$G$8:$H$14,2,FALSE),YES_Writing_ELA[#Headers],0))=0,"",INDEX(_xlfn.VSTACK(YES_Writing_ELA[#Data],YES_Writing_FLA[#Data]),MATCH($A362,_xlfn.VSTACK(YES_Writing_ELA[Student Number],YES_Writing_FLA[Student Number]),0),MATCH(VLOOKUP(H$7,'Writing Logic'!$J$7:$K$11,2,FALSE)&amp;" - Per "&amp;VLOOKUP($C$4,'Writing Logic'!$G$8:$H$14,2,FALSE),YES_Writing_ELA[#Headers],0)))="INS",'Writing Logic'!$B$7,IF(INDEX(_xlfn.VSTACK(YES_Writing_ELA[#Data],YES_Writing_FLA[#Data]),MATCH($A362,_xlfn.VSTACK(YES_Writing_ELA[Student Number],YES_Writing_FLA[Student Number]),0),MATCH(VLOOKUP(H$7,'Writing Logic'!$J$7:$K$11,2,FALSE)&amp;" - Per "&amp;VLOOKUP($C$4,'Writing Logic'!$G$8:$H$14,2,FALSE),YES_Writing_ELA[#Headers],0))=0,"",INDEX(_xlfn.VSTACK(YES_Writing_ELA[#Data],YES_Writing_FLA[#Data]),MATCH($A362,_xlfn.VSTACK(YES_Writing_ELA[Student Number],YES_Writing_FLA[Student Number]),0),MATCH(VLOOKUP(H$7,'Writing Logic'!$J$7:$K$11,2,FALSE)&amp;" - Per "&amp;VLOOKUP($C$4,'Writing Logic'!$G$8:$H$14,2,FALSE),YES_Writing_ELA[#Headers],0)))),"")</f>
        <v/>
      </c>
    </row>
    <row r="363" spans="1:8" x14ac:dyDescent="0.25">
      <c r="A363" s="137"/>
      <c r="B363" s="137" t="str">
        <f>IFERROR(INDEX(_xlfn.VSTACK(YES_Writing_ELA[#Data], YES_Writing_FLA[#Data]),MATCH($A363,_xlfn.VSTACK(YES_Writing_ELA[Student Number], YES_Writing_FLA[Student Number]),0),MATCH(B$7,YES_Writing_ELA[#Headers],0)),"")</f>
        <v/>
      </c>
      <c r="C363" s="137" t="str">
        <f>IFERROR(INDEX(_xlfn.VSTACK(YES_Writing_ELA[#Data], YES_Writing_FLA[#Data]),MATCH($A363,_xlfn.VSTACK(YES_Writing_ELA[Student Number], YES_Writing_FLA[Student Number]),0),MATCH(C$7,YES_Writing_ELA[#Headers],0)),"")</f>
        <v/>
      </c>
      <c r="D363" s="138" t="str">
        <f>IFERROR(IF(IF(INDEX(_xlfn.VSTACK(YES_Writing_ELA[#Data],YES_Writing_FLA[#Data]),MATCH($A363,_xlfn.VSTACK(YES_Writing_ELA[Student Number],YES_Writing_FLA[Student Number]),0),MATCH(VLOOKUP(D$7,'Writing Logic'!$J$7:$K$11,2,FALSE)&amp;" - Per "&amp;VLOOKUP($C$4,'Writing Logic'!$G$8:$H$14,2,FALSE),YES_Writing_ELA[#Headers],0))=0,"",INDEX(_xlfn.VSTACK(YES_Writing_ELA[#Data],YES_Writing_FLA[#Data]),MATCH($A363,_xlfn.VSTACK(YES_Writing_ELA[Student Number],YES_Writing_FLA[Student Number]),0),MATCH(VLOOKUP(D$7,'Writing Logic'!$J$7:$K$11,2,FALSE)&amp;" - Per "&amp;VLOOKUP($C$4,'Writing Logic'!$G$8:$H$14,2,FALSE),YES_Writing_ELA[#Headers],0)))="INS",'Writing Logic'!$B$7,IF(INDEX(_xlfn.VSTACK(YES_Writing_ELA[#Data],YES_Writing_FLA[#Data]),MATCH($A363,_xlfn.VSTACK(YES_Writing_ELA[Student Number],YES_Writing_FLA[Student Number]),0),MATCH(VLOOKUP(D$7,'Writing Logic'!$J$7:$K$11,2,FALSE)&amp;" - Per "&amp;VLOOKUP($C$4,'Writing Logic'!$G$8:$H$14,2,FALSE),YES_Writing_ELA[#Headers],0))=0,"",INDEX(_xlfn.VSTACK(YES_Writing_ELA[#Data],YES_Writing_FLA[#Data]),MATCH($A363,_xlfn.VSTACK(YES_Writing_ELA[Student Number],YES_Writing_FLA[Student Number]),0),MATCH(VLOOKUP(D$7,'Writing Logic'!$J$7:$K$11,2,FALSE)&amp;" - Per "&amp;VLOOKUP($C$4,'Writing Logic'!$G$8:$H$14,2,FALSE),YES_Writing_ELA[#Headers],0)))),"")</f>
        <v/>
      </c>
      <c r="E363" s="138" t="str">
        <f>IFERROR(IF(IF(INDEX(_xlfn.VSTACK(YES_Writing_ELA[#Data],YES_Writing_FLA[#Data]),MATCH($A363,_xlfn.VSTACK(YES_Writing_ELA[Student Number],YES_Writing_FLA[Student Number]),0),MATCH(VLOOKUP(E$7,'Writing Logic'!$J$7:$K$11,2,FALSE)&amp;" - Per "&amp;VLOOKUP($C$4,'Writing Logic'!$G$8:$H$14,2,FALSE),YES_Writing_ELA[#Headers],0))=0,"",INDEX(_xlfn.VSTACK(YES_Writing_ELA[#Data],YES_Writing_FLA[#Data]),MATCH($A363,_xlfn.VSTACK(YES_Writing_ELA[Student Number],YES_Writing_FLA[Student Number]),0),MATCH(VLOOKUP(E$7,'Writing Logic'!$J$7:$K$11,2,FALSE)&amp;" - Per "&amp;VLOOKUP($C$4,'Writing Logic'!$G$8:$H$14,2,FALSE),YES_Writing_ELA[#Headers],0)))="INS",'Writing Logic'!$B$7,IF(INDEX(_xlfn.VSTACK(YES_Writing_ELA[#Data],YES_Writing_FLA[#Data]),MATCH($A363,_xlfn.VSTACK(YES_Writing_ELA[Student Number],YES_Writing_FLA[Student Number]),0),MATCH(VLOOKUP(E$7,'Writing Logic'!$J$7:$K$11,2,FALSE)&amp;" - Per "&amp;VLOOKUP($C$4,'Writing Logic'!$G$8:$H$14,2,FALSE),YES_Writing_ELA[#Headers],0))=0,"",INDEX(_xlfn.VSTACK(YES_Writing_ELA[#Data],YES_Writing_FLA[#Data]),MATCH($A363,_xlfn.VSTACK(YES_Writing_ELA[Student Number],YES_Writing_FLA[Student Number]),0),MATCH(VLOOKUP(E$7,'Writing Logic'!$J$7:$K$11,2,FALSE)&amp;" - Per "&amp;VLOOKUP($C$4,'Writing Logic'!$G$8:$H$14,2,FALSE),YES_Writing_ELA[#Headers],0)))),"")</f>
        <v/>
      </c>
      <c r="F363" s="138" t="str">
        <f>IFERROR(IF(IF(INDEX(_xlfn.VSTACK(YES_Writing_ELA[#Data],YES_Writing_FLA[#Data]),MATCH($A363,_xlfn.VSTACK(YES_Writing_ELA[Student Number],YES_Writing_FLA[Student Number]),0),MATCH(VLOOKUP(F$7,'Writing Logic'!$J$7:$K$11,2,FALSE)&amp;" - Per "&amp;VLOOKUP($C$4,'Writing Logic'!$G$8:$H$14,2,FALSE),YES_Writing_ELA[#Headers],0))=0,"",INDEX(_xlfn.VSTACK(YES_Writing_ELA[#Data],YES_Writing_FLA[#Data]),MATCH($A363,_xlfn.VSTACK(YES_Writing_ELA[Student Number],YES_Writing_FLA[Student Number]),0),MATCH(VLOOKUP(F$7,'Writing Logic'!$J$7:$K$11,2,FALSE)&amp;" - Per "&amp;VLOOKUP($C$4,'Writing Logic'!$G$8:$H$14,2,FALSE),YES_Writing_ELA[#Headers],0)))="INS",'Writing Logic'!$B$7,IF(INDEX(_xlfn.VSTACK(YES_Writing_ELA[#Data],YES_Writing_FLA[#Data]),MATCH($A363,_xlfn.VSTACK(YES_Writing_ELA[Student Number],YES_Writing_FLA[Student Number]),0),MATCH(VLOOKUP(F$7,'Writing Logic'!$J$7:$K$11,2,FALSE)&amp;" - Per "&amp;VLOOKUP($C$4,'Writing Logic'!$G$8:$H$14,2,FALSE),YES_Writing_ELA[#Headers],0))=0,"",INDEX(_xlfn.VSTACK(YES_Writing_ELA[#Data],YES_Writing_FLA[#Data]),MATCH($A363,_xlfn.VSTACK(YES_Writing_ELA[Student Number],YES_Writing_FLA[Student Number]),0),MATCH(VLOOKUP(F$7,'Writing Logic'!$J$7:$K$11,2,FALSE)&amp;" - Per "&amp;VLOOKUP($C$4,'Writing Logic'!$G$8:$H$14,2,FALSE),YES_Writing_ELA[#Headers],0)))),"")</f>
        <v/>
      </c>
      <c r="G363" s="138" t="str">
        <f>IFERROR(IF(IF(INDEX(_xlfn.VSTACK(YES_Writing_ELA[#Data],YES_Writing_FLA[#Data]),MATCH($A363,_xlfn.VSTACK(YES_Writing_ELA[Student Number],YES_Writing_FLA[Student Number]),0),MATCH(VLOOKUP(G$7,'Writing Logic'!$J$7:$K$11,2,FALSE)&amp;" - Per "&amp;VLOOKUP($C$4,'Writing Logic'!$G$8:$H$14,2,FALSE),YES_Writing_ELA[#Headers],0))=0,"",INDEX(_xlfn.VSTACK(YES_Writing_ELA[#Data],YES_Writing_FLA[#Data]),MATCH($A363,_xlfn.VSTACK(YES_Writing_ELA[Student Number],YES_Writing_FLA[Student Number]),0),MATCH(VLOOKUP(G$7,'Writing Logic'!$J$7:$K$11,2,FALSE)&amp;" - Per "&amp;VLOOKUP($C$4,'Writing Logic'!$G$8:$H$14,2,FALSE),YES_Writing_ELA[#Headers],0)))="INS",'Writing Logic'!$B$7,IF(INDEX(_xlfn.VSTACK(YES_Writing_ELA[#Data],YES_Writing_FLA[#Data]),MATCH($A363,_xlfn.VSTACK(YES_Writing_ELA[Student Number],YES_Writing_FLA[Student Number]),0),MATCH(VLOOKUP(G$7,'Writing Logic'!$J$7:$K$11,2,FALSE)&amp;" - Per "&amp;VLOOKUP($C$4,'Writing Logic'!$G$8:$H$14,2,FALSE),YES_Writing_ELA[#Headers],0))=0,"",INDEX(_xlfn.VSTACK(YES_Writing_ELA[#Data],YES_Writing_FLA[#Data]),MATCH($A363,_xlfn.VSTACK(YES_Writing_ELA[Student Number],YES_Writing_FLA[Student Number]),0),MATCH(VLOOKUP(G$7,'Writing Logic'!$J$7:$K$11,2,FALSE)&amp;" - Per "&amp;VLOOKUP($C$4,'Writing Logic'!$G$8:$H$14,2,FALSE),YES_Writing_ELA[#Headers],0)))),"")</f>
        <v/>
      </c>
      <c r="H363" s="138" t="str">
        <f>IFERROR(IF(IF(INDEX(_xlfn.VSTACK(YES_Writing_ELA[#Data],YES_Writing_FLA[#Data]),MATCH($A363,_xlfn.VSTACK(YES_Writing_ELA[Student Number],YES_Writing_FLA[Student Number]),0),MATCH(VLOOKUP(H$7,'Writing Logic'!$J$7:$K$11,2,FALSE)&amp;" - Per "&amp;VLOOKUP($C$4,'Writing Logic'!$G$8:$H$14,2,FALSE),YES_Writing_ELA[#Headers],0))=0,"",INDEX(_xlfn.VSTACK(YES_Writing_ELA[#Data],YES_Writing_FLA[#Data]),MATCH($A363,_xlfn.VSTACK(YES_Writing_ELA[Student Number],YES_Writing_FLA[Student Number]),0),MATCH(VLOOKUP(H$7,'Writing Logic'!$J$7:$K$11,2,FALSE)&amp;" - Per "&amp;VLOOKUP($C$4,'Writing Logic'!$G$8:$H$14,2,FALSE),YES_Writing_ELA[#Headers],0)))="INS",'Writing Logic'!$B$7,IF(INDEX(_xlfn.VSTACK(YES_Writing_ELA[#Data],YES_Writing_FLA[#Data]),MATCH($A363,_xlfn.VSTACK(YES_Writing_ELA[Student Number],YES_Writing_FLA[Student Number]),0),MATCH(VLOOKUP(H$7,'Writing Logic'!$J$7:$K$11,2,FALSE)&amp;" - Per "&amp;VLOOKUP($C$4,'Writing Logic'!$G$8:$H$14,2,FALSE),YES_Writing_ELA[#Headers],0))=0,"",INDEX(_xlfn.VSTACK(YES_Writing_ELA[#Data],YES_Writing_FLA[#Data]),MATCH($A363,_xlfn.VSTACK(YES_Writing_ELA[Student Number],YES_Writing_FLA[Student Number]),0),MATCH(VLOOKUP(H$7,'Writing Logic'!$J$7:$K$11,2,FALSE)&amp;" - Per "&amp;VLOOKUP($C$4,'Writing Logic'!$G$8:$H$14,2,FALSE),YES_Writing_ELA[#Headers],0)))),"")</f>
        <v/>
      </c>
    </row>
    <row r="364" spans="1:8" x14ac:dyDescent="0.25">
      <c r="A364" s="137"/>
      <c r="B364" s="137" t="str">
        <f>IFERROR(INDEX(_xlfn.VSTACK(YES_Writing_ELA[#Data], YES_Writing_FLA[#Data]),MATCH($A364,_xlfn.VSTACK(YES_Writing_ELA[Student Number], YES_Writing_FLA[Student Number]),0),MATCH(B$7,YES_Writing_ELA[#Headers],0)),"")</f>
        <v/>
      </c>
      <c r="C364" s="137" t="str">
        <f>IFERROR(INDEX(_xlfn.VSTACK(YES_Writing_ELA[#Data], YES_Writing_FLA[#Data]),MATCH($A364,_xlfn.VSTACK(YES_Writing_ELA[Student Number], YES_Writing_FLA[Student Number]),0),MATCH(C$7,YES_Writing_ELA[#Headers],0)),"")</f>
        <v/>
      </c>
      <c r="D364" s="138" t="str">
        <f>IFERROR(IF(IF(INDEX(_xlfn.VSTACK(YES_Writing_ELA[#Data],YES_Writing_FLA[#Data]),MATCH($A364,_xlfn.VSTACK(YES_Writing_ELA[Student Number],YES_Writing_FLA[Student Number]),0),MATCH(VLOOKUP(D$7,'Writing Logic'!$J$7:$K$11,2,FALSE)&amp;" - Per "&amp;VLOOKUP($C$4,'Writing Logic'!$G$8:$H$14,2,FALSE),YES_Writing_ELA[#Headers],0))=0,"",INDEX(_xlfn.VSTACK(YES_Writing_ELA[#Data],YES_Writing_FLA[#Data]),MATCH($A364,_xlfn.VSTACK(YES_Writing_ELA[Student Number],YES_Writing_FLA[Student Number]),0),MATCH(VLOOKUP(D$7,'Writing Logic'!$J$7:$K$11,2,FALSE)&amp;" - Per "&amp;VLOOKUP($C$4,'Writing Logic'!$G$8:$H$14,2,FALSE),YES_Writing_ELA[#Headers],0)))="INS",'Writing Logic'!$B$7,IF(INDEX(_xlfn.VSTACK(YES_Writing_ELA[#Data],YES_Writing_FLA[#Data]),MATCH($A364,_xlfn.VSTACK(YES_Writing_ELA[Student Number],YES_Writing_FLA[Student Number]),0),MATCH(VLOOKUP(D$7,'Writing Logic'!$J$7:$K$11,2,FALSE)&amp;" - Per "&amp;VLOOKUP($C$4,'Writing Logic'!$G$8:$H$14,2,FALSE),YES_Writing_ELA[#Headers],0))=0,"",INDEX(_xlfn.VSTACK(YES_Writing_ELA[#Data],YES_Writing_FLA[#Data]),MATCH($A364,_xlfn.VSTACK(YES_Writing_ELA[Student Number],YES_Writing_FLA[Student Number]),0),MATCH(VLOOKUP(D$7,'Writing Logic'!$J$7:$K$11,2,FALSE)&amp;" - Per "&amp;VLOOKUP($C$4,'Writing Logic'!$G$8:$H$14,2,FALSE),YES_Writing_ELA[#Headers],0)))),"")</f>
        <v/>
      </c>
      <c r="E364" s="138" t="str">
        <f>IFERROR(IF(IF(INDEX(_xlfn.VSTACK(YES_Writing_ELA[#Data],YES_Writing_FLA[#Data]),MATCH($A364,_xlfn.VSTACK(YES_Writing_ELA[Student Number],YES_Writing_FLA[Student Number]),0),MATCH(VLOOKUP(E$7,'Writing Logic'!$J$7:$K$11,2,FALSE)&amp;" - Per "&amp;VLOOKUP($C$4,'Writing Logic'!$G$8:$H$14,2,FALSE),YES_Writing_ELA[#Headers],0))=0,"",INDEX(_xlfn.VSTACK(YES_Writing_ELA[#Data],YES_Writing_FLA[#Data]),MATCH($A364,_xlfn.VSTACK(YES_Writing_ELA[Student Number],YES_Writing_FLA[Student Number]),0),MATCH(VLOOKUP(E$7,'Writing Logic'!$J$7:$K$11,2,FALSE)&amp;" - Per "&amp;VLOOKUP($C$4,'Writing Logic'!$G$8:$H$14,2,FALSE),YES_Writing_ELA[#Headers],0)))="INS",'Writing Logic'!$B$7,IF(INDEX(_xlfn.VSTACK(YES_Writing_ELA[#Data],YES_Writing_FLA[#Data]),MATCH($A364,_xlfn.VSTACK(YES_Writing_ELA[Student Number],YES_Writing_FLA[Student Number]),0),MATCH(VLOOKUP(E$7,'Writing Logic'!$J$7:$K$11,2,FALSE)&amp;" - Per "&amp;VLOOKUP($C$4,'Writing Logic'!$G$8:$H$14,2,FALSE),YES_Writing_ELA[#Headers],0))=0,"",INDEX(_xlfn.VSTACK(YES_Writing_ELA[#Data],YES_Writing_FLA[#Data]),MATCH($A364,_xlfn.VSTACK(YES_Writing_ELA[Student Number],YES_Writing_FLA[Student Number]),0),MATCH(VLOOKUP(E$7,'Writing Logic'!$J$7:$K$11,2,FALSE)&amp;" - Per "&amp;VLOOKUP($C$4,'Writing Logic'!$G$8:$H$14,2,FALSE),YES_Writing_ELA[#Headers],0)))),"")</f>
        <v/>
      </c>
      <c r="F364" s="138" t="str">
        <f>IFERROR(IF(IF(INDEX(_xlfn.VSTACK(YES_Writing_ELA[#Data],YES_Writing_FLA[#Data]),MATCH($A364,_xlfn.VSTACK(YES_Writing_ELA[Student Number],YES_Writing_FLA[Student Number]),0),MATCH(VLOOKUP(F$7,'Writing Logic'!$J$7:$K$11,2,FALSE)&amp;" - Per "&amp;VLOOKUP($C$4,'Writing Logic'!$G$8:$H$14,2,FALSE),YES_Writing_ELA[#Headers],0))=0,"",INDEX(_xlfn.VSTACK(YES_Writing_ELA[#Data],YES_Writing_FLA[#Data]),MATCH($A364,_xlfn.VSTACK(YES_Writing_ELA[Student Number],YES_Writing_FLA[Student Number]),0),MATCH(VLOOKUP(F$7,'Writing Logic'!$J$7:$K$11,2,FALSE)&amp;" - Per "&amp;VLOOKUP($C$4,'Writing Logic'!$G$8:$H$14,2,FALSE),YES_Writing_ELA[#Headers],0)))="INS",'Writing Logic'!$B$7,IF(INDEX(_xlfn.VSTACK(YES_Writing_ELA[#Data],YES_Writing_FLA[#Data]),MATCH($A364,_xlfn.VSTACK(YES_Writing_ELA[Student Number],YES_Writing_FLA[Student Number]),0),MATCH(VLOOKUP(F$7,'Writing Logic'!$J$7:$K$11,2,FALSE)&amp;" - Per "&amp;VLOOKUP($C$4,'Writing Logic'!$G$8:$H$14,2,FALSE),YES_Writing_ELA[#Headers],0))=0,"",INDEX(_xlfn.VSTACK(YES_Writing_ELA[#Data],YES_Writing_FLA[#Data]),MATCH($A364,_xlfn.VSTACK(YES_Writing_ELA[Student Number],YES_Writing_FLA[Student Number]),0),MATCH(VLOOKUP(F$7,'Writing Logic'!$J$7:$K$11,2,FALSE)&amp;" - Per "&amp;VLOOKUP($C$4,'Writing Logic'!$G$8:$H$14,2,FALSE),YES_Writing_ELA[#Headers],0)))),"")</f>
        <v/>
      </c>
      <c r="G364" s="138" t="str">
        <f>IFERROR(IF(IF(INDEX(_xlfn.VSTACK(YES_Writing_ELA[#Data],YES_Writing_FLA[#Data]),MATCH($A364,_xlfn.VSTACK(YES_Writing_ELA[Student Number],YES_Writing_FLA[Student Number]),0),MATCH(VLOOKUP(G$7,'Writing Logic'!$J$7:$K$11,2,FALSE)&amp;" - Per "&amp;VLOOKUP($C$4,'Writing Logic'!$G$8:$H$14,2,FALSE),YES_Writing_ELA[#Headers],0))=0,"",INDEX(_xlfn.VSTACK(YES_Writing_ELA[#Data],YES_Writing_FLA[#Data]),MATCH($A364,_xlfn.VSTACK(YES_Writing_ELA[Student Number],YES_Writing_FLA[Student Number]),0),MATCH(VLOOKUP(G$7,'Writing Logic'!$J$7:$K$11,2,FALSE)&amp;" - Per "&amp;VLOOKUP($C$4,'Writing Logic'!$G$8:$H$14,2,FALSE),YES_Writing_ELA[#Headers],0)))="INS",'Writing Logic'!$B$7,IF(INDEX(_xlfn.VSTACK(YES_Writing_ELA[#Data],YES_Writing_FLA[#Data]),MATCH($A364,_xlfn.VSTACK(YES_Writing_ELA[Student Number],YES_Writing_FLA[Student Number]),0),MATCH(VLOOKUP(G$7,'Writing Logic'!$J$7:$K$11,2,FALSE)&amp;" - Per "&amp;VLOOKUP($C$4,'Writing Logic'!$G$8:$H$14,2,FALSE),YES_Writing_ELA[#Headers],0))=0,"",INDEX(_xlfn.VSTACK(YES_Writing_ELA[#Data],YES_Writing_FLA[#Data]),MATCH($A364,_xlfn.VSTACK(YES_Writing_ELA[Student Number],YES_Writing_FLA[Student Number]),0),MATCH(VLOOKUP(G$7,'Writing Logic'!$J$7:$K$11,2,FALSE)&amp;" - Per "&amp;VLOOKUP($C$4,'Writing Logic'!$G$8:$H$14,2,FALSE),YES_Writing_ELA[#Headers],0)))),"")</f>
        <v/>
      </c>
      <c r="H364" s="138" t="str">
        <f>IFERROR(IF(IF(INDEX(_xlfn.VSTACK(YES_Writing_ELA[#Data],YES_Writing_FLA[#Data]),MATCH($A364,_xlfn.VSTACK(YES_Writing_ELA[Student Number],YES_Writing_FLA[Student Number]),0),MATCH(VLOOKUP(H$7,'Writing Logic'!$J$7:$K$11,2,FALSE)&amp;" - Per "&amp;VLOOKUP($C$4,'Writing Logic'!$G$8:$H$14,2,FALSE),YES_Writing_ELA[#Headers],0))=0,"",INDEX(_xlfn.VSTACK(YES_Writing_ELA[#Data],YES_Writing_FLA[#Data]),MATCH($A364,_xlfn.VSTACK(YES_Writing_ELA[Student Number],YES_Writing_FLA[Student Number]),0),MATCH(VLOOKUP(H$7,'Writing Logic'!$J$7:$K$11,2,FALSE)&amp;" - Per "&amp;VLOOKUP($C$4,'Writing Logic'!$G$8:$H$14,2,FALSE),YES_Writing_ELA[#Headers],0)))="INS",'Writing Logic'!$B$7,IF(INDEX(_xlfn.VSTACK(YES_Writing_ELA[#Data],YES_Writing_FLA[#Data]),MATCH($A364,_xlfn.VSTACK(YES_Writing_ELA[Student Number],YES_Writing_FLA[Student Number]),0),MATCH(VLOOKUP(H$7,'Writing Logic'!$J$7:$K$11,2,FALSE)&amp;" - Per "&amp;VLOOKUP($C$4,'Writing Logic'!$G$8:$H$14,2,FALSE),YES_Writing_ELA[#Headers],0))=0,"",INDEX(_xlfn.VSTACK(YES_Writing_ELA[#Data],YES_Writing_FLA[#Data]),MATCH($A364,_xlfn.VSTACK(YES_Writing_ELA[Student Number],YES_Writing_FLA[Student Number]),0),MATCH(VLOOKUP(H$7,'Writing Logic'!$J$7:$K$11,2,FALSE)&amp;" - Per "&amp;VLOOKUP($C$4,'Writing Logic'!$G$8:$H$14,2,FALSE),YES_Writing_ELA[#Headers],0)))),"")</f>
        <v/>
      </c>
    </row>
    <row r="365" spans="1:8" x14ac:dyDescent="0.25">
      <c r="A365" s="137"/>
      <c r="B365" s="137" t="str">
        <f>IFERROR(INDEX(_xlfn.VSTACK(YES_Writing_ELA[#Data], YES_Writing_FLA[#Data]),MATCH($A365,_xlfn.VSTACK(YES_Writing_ELA[Student Number], YES_Writing_FLA[Student Number]),0),MATCH(B$7,YES_Writing_ELA[#Headers],0)),"")</f>
        <v/>
      </c>
      <c r="C365" s="137" t="str">
        <f>IFERROR(INDEX(_xlfn.VSTACK(YES_Writing_ELA[#Data], YES_Writing_FLA[#Data]),MATCH($A365,_xlfn.VSTACK(YES_Writing_ELA[Student Number], YES_Writing_FLA[Student Number]),0),MATCH(C$7,YES_Writing_ELA[#Headers],0)),"")</f>
        <v/>
      </c>
      <c r="D365" s="138" t="str">
        <f>IFERROR(IF(IF(INDEX(_xlfn.VSTACK(YES_Writing_ELA[#Data],YES_Writing_FLA[#Data]),MATCH($A365,_xlfn.VSTACK(YES_Writing_ELA[Student Number],YES_Writing_FLA[Student Number]),0),MATCH(VLOOKUP(D$7,'Writing Logic'!$J$7:$K$11,2,FALSE)&amp;" - Per "&amp;VLOOKUP($C$4,'Writing Logic'!$G$8:$H$14,2,FALSE),YES_Writing_ELA[#Headers],0))=0,"",INDEX(_xlfn.VSTACK(YES_Writing_ELA[#Data],YES_Writing_FLA[#Data]),MATCH($A365,_xlfn.VSTACK(YES_Writing_ELA[Student Number],YES_Writing_FLA[Student Number]),0),MATCH(VLOOKUP(D$7,'Writing Logic'!$J$7:$K$11,2,FALSE)&amp;" - Per "&amp;VLOOKUP($C$4,'Writing Logic'!$G$8:$H$14,2,FALSE),YES_Writing_ELA[#Headers],0)))="INS",'Writing Logic'!$B$7,IF(INDEX(_xlfn.VSTACK(YES_Writing_ELA[#Data],YES_Writing_FLA[#Data]),MATCH($A365,_xlfn.VSTACK(YES_Writing_ELA[Student Number],YES_Writing_FLA[Student Number]),0),MATCH(VLOOKUP(D$7,'Writing Logic'!$J$7:$K$11,2,FALSE)&amp;" - Per "&amp;VLOOKUP($C$4,'Writing Logic'!$G$8:$H$14,2,FALSE),YES_Writing_ELA[#Headers],0))=0,"",INDEX(_xlfn.VSTACK(YES_Writing_ELA[#Data],YES_Writing_FLA[#Data]),MATCH($A365,_xlfn.VSTACK(YES_Writing_ELA[Student Number],YES_Writing_FLA[Student Number]),0),MATCH(VLOOKUP(D$7,'Writing Logic'!$J$7:$K$11,2,FALSE)&amp;" - Per "&amp;VLOOKUP($C$4,'Writing Logic'!$G$8:$H$14,2,FALSE),YES_Writing_ELA[#Headers],0)))),"")</f>
        <v/>
      </c>
      <c r="E365" s="138" t="str">
        <f>IFERROR(IF(IF(INDEX(_xlfn.VSTACK(YES_Writing_ELA[#Data],YES_Writing_FLA[#Data]),MATCH($A365,_xlfn.VSTACK(YES_Writing_ELA[Student Number],YES_Writing_FLA[Student Number]),0),MATCH(VLOOKUP(E$7,'Writing Logic'!$J$7:$K$11,2,FALSE)&amp;" - Per "&amp;VLOOKUP($C$4,'Writing Logic'!$G$8:$H$14,2,FALSE),YES_Writing_ELA[#Headers],0))=0,"",INDEX(_xlfn.VSTACK(YES_Writing_ELA[#Data],YES_Writing_FLA[#Data]),MATCH($A365,_xlfn.VSTACK(YES_Writing_ELA[Student Number],YES_Writing_FLA[Student Number]),0),MATCH(VLOOKUP(E$7,'Writing Logic'!$J$7:$K$11,2,FALSE)&amp;" - Per "&amp;VLOOKUP($C$4,'Writing Logic'!$G$8:$H$14,2,FALSE),YES_Writing_ELA[#Headers],0)))="INS",'Writing Logic'!$B$7,IF(INDEX(_xlfn.VSTACK(YES_Writing_ELA[#Data],YES_Writing_FLA[#Data]),MATCH($A365,_xlfn.VSTACK(YES_Writing_ELA[Student Number],YES_Writing_FLA[Student Number]),0),MATCH(VLOOKUP(E$7,'Writing Logic'!$J$7:$K$11,2,FALSE)&amp;" - Per "&amp;VLOOKUP($C$4,'Writing Logic'!$G$8:$H$14,2,FALSE),YES_Writing_ELA[#Headers],0))=0,"",INDEX(_xlfn.VSTACK(YES_Writing_ELA[#Data],YES_Writing_FLA[#Data]),MATCH($A365,_xlfn.VSTACK(YES_Writing_ELA[Student Number],YES_Writing_FLA[Student Number]),0),MATCH(VLOOKUP(E$7,'Writing Logic'!$J$7:$K$11,2,FALSE)&amp;" - Per "&amp;VLOOKUP($C$4,'Writing Logic'!$G$8:$H$14,2,FALSE),YES_Writing_ELA[#Headers],0)))),"")</f>
        <v/>
      </c>
      <c r="F365" s="138" t="str">
        <f>IFERROR(IF(IF(INDEX(_xlfn.VSTACK(YES_Writing_ELA[#Data],YES_Writing_FLA[#Data]),MATCH($A365,_xlfn.VSTACK(YES_Writing_ELA[Student Number],YES_Writing_FLA[Student Number]),0),MATCH(VLOOKUP(F$7,'Writing Logic'!$J$7:$K$11,2,FALSE)&amp;" - Per "&amp;VLOOKUP($C$4,'Writing Logic'!$G$8:$H$14,2,FALSE),YES_Writing_ELA[#Headers],0))=0,"",INDEX(_xlfn.VSTACK(YES_Writing_ELA[#Data],YES_Writing_FLA[#Data]),MATCH($A365,_xlfn.VSTACK(YES_Writing_ELA[Student Number],YES_Writing_FLA[Student Number]),0),MATCH(VLOOKUP(F$7,'Writing Logic'!$J$7:$K$11,2,FALSE)&amp;" - Per "&amp;VLOOKUP($C$4,'Writing Logic'!$G$8:$H$14,2,FALSE),YES_Writing_ELA[#Headers],0)))="INS",'Writing Logic'!$B$7,IF(INDEX(_xlfn.VSTACK(YES_Writing_ELA[#Data],YES_Writing_FLA[#Data]),MATCH($A365,_xlfn.VSTACK(YES_Writing_ELA[Student Number],YES_Writing_FLA[Student Number]),0),MATCH(VLOOKUP(F$7,'Writing Logic'!$J$7:$K$11,2,FALSE)&amp;" - Per "&amp;VLOOKUP($C$4,'Writing Logic'!$G$8:$H$14,2,FALSE),YES_Writing_ELA[#Headers],0))=0,"",INDEX(_xlfn.VSTACK(YES_Writing_ELA[#Data],YES_Writing_FLA[#Data]),MATCH($A365,_xlfn.VSTACK(YES_Writing_ELA[Student Number],YES_Writing_FLA[Student Number]),0),MATCH(VLOOKUP(F$7,'Writing Logic'!$J$7:$K$11,2,FALSE)&amp;" - Per "&amp;VLOOKUP($C$4,'Writing Logic'!$G$8:$H$14,2,FALSE),YES_Writing_ELA[#Headers],0)))),"")</f>
        <v/>
      </c>
      <c r="G365" s="138" t="str">
        <f>IFERROR(IF(IF(INDEX(_xlfn.VSTACK(YES_Writing_ELA[#Data],YES_Writing_FLA[#Data]),MATCH($A365,_xlfn.VSTACK(YES_Writing_ELA[Student Number],YES_Writing_FLA[Student Number]),0),MATCH(VLOOKUP(G$7,'Writing Logic'!$J$7:$K$11,2,FALSE)&amp;" - Per "&amp;VLOOKUP($C$4,'Writing Logic'!$G$8:$H$14,2,FALSE),YES_Writing_ELA[#Headers],0))=0,"",INDEX(_xlfn.VSTACK(YES_Writing_ELA[#Data],YES_Writing_FLA[#Data]),MATCH($A365,_xlfn.VSTACK(YES_Writing_ELA[Student Number],YES_Writing_FLA[Student Number]),0),MATCH(VLOOKUP(G$7,'Writing Logic'!$J$7:$K$11,2,FALSE)&amp;" - Per "&amp;VLOOKUP($C$4,'Writing Logic'!$G$8:$H$14,2,FALSE),YES_Writing_ELA[#Headers],0)))="INS",'Writing Logic'!$B$7,IF(INDEX(_xlfn.VSTACK(YES_Writing_ELA[#Data],YES_Writing_FLA[#Data]),MATCH($A365,_xlfn.VSTACK(YES_Writing_ELA[Student Number],YES_Writing_FLA[Student Number]),0),MATCH(VLOOKUP(G$7,'Writing Logic'!$J$7:$K$11,2,FALSE)&amp;" - Per "&amp;VLOOKUP($C$4,'Writing Logic'!$G$8:$H$14,2,FALSE),YES_Writing_ELA[#Headers],0))=0,"",INDEX(_xlfn.VSTACK(YES_Writing_ELA[#Data],YES_Writing_FLA[#Data]),MATCH($A365,_xlfn.VSTACK(YES_Writing_ELA[Student Number],YES_Writing_FLA[Student Number]),0),MATCH(VLOOKUP(G$7,'Writing Logic'!$J$7:$K$11,2,FALSE)&amp;" - Per "&amp;VLOOKUP($C$4,'Writing Logic'!$G$8:$H$14,2,FALSE),YES_Writing_ELA[#Headers],0)))),"")</f>
        <v/>
      </c>
      <c r="H365" s="138" t="str">
        <f>IFERROR(IF(IF(INDEX(_xlfn.VSTACK(YES_Writing_ELA[#Data],YES_Writing_FLA[#Data]),MATCH($A365,_xlfn.VSTACK(YES_Writing_ELA[Student Number],YES_Writing_FLA[Student Number]),0),MATCH(VLOOKUP(H$7,'Writing Logic'!$J$7:$K$11,2,FALSE)&amp;" - Per "&amp;VLOOKUP($C$4,'Writing Logic'!$G$8:$H$14,2,FALSE),YES_Writing_ELA[#Headers],0))=0,"",INDEX(_xlfn.VSTACK(YES_Writing_ELA[#Data],YES_Writing_FLA[#Data]),MATCH($A365,_xlfn.VSTACK(YES_Writing_ELA[Student Number],YES_Writing_FLA[Student Number]),0),MATCH(VLOOKUP(H$7,'Writing Logic'!$J$7:$K$11,2,FALSE)&amp;" - Per "&amp;VLOOKUP($C$4,'Writing Logic'!$G$8:$H$14,2,FALSE),YES_Writing_ELA[#Headers],0)))="INS",'Writing Logic'!$B$7,IF(INDEX(_xlfn.VSTACK(YES_Writing_ELA[#Data],YES_Writing_FLA[#Data]),MATCH($A365,_xlfn.VSTACK(YES_Writing_ELA[Student Number],YES_Writing_FLA[Student Number]),0),MATCH(VLOOKUP(H$7,'Writing Logic'!$J$7:$K$11,2,FALSE)&amp;" - Per "&amp;VLOOKUP($C$4,'Writing Logic'!$G$8:$H$14,2,FALSE),YES_Writing_ELA[#Headers],0))=0,"",INDEX(_xlfn.VSTACK(YES_Writing_ELA[#Data],YES_Writing_FLA[#Data]),MATCH($A365,_xlfn.VSTACK(YES_Writing_ELA[Student Number],YES_Writing_FLA[Student Number]),0),MATCH(VLOOKUP(H$7,'Writing Logic'!$J$7:$K$11,2,FALSE)&amp;" - Per "&amp;VLOOKUP($C$4,'Writing Logic'!$G$8:$H$14,2,FALSE),YES_Writing_ELA[#Headers],0)))),"")</f>
        <v/>
      </c>
    </row>
    <row r="366" spans="1:8" x14ac:dyDescent="0.25">
      <c r="A366" s="137"/>
      <c r="B366" s="137" t="str">
        <f>IFERROR(INDEX(_xlfn.VSTACK(YES_Writing_ELA[#Data], YES_Writing_FLA[#Data]),MATCH($A366,_xlfn.VSTACK(YES_Writing_ELA[Student Number], YES_Writing_FLA[Student Number]),0),MATCH(B$7,YES_Writing_ELA[#Headers],0)),"")</f>
        <v/>
      </c>
      <c r="C366" s="137" t="str">
        <f>IFERROR(INDEX(_xlfn.VSTACK(YES_Writing_ELA[#Data], YES_Writing_FLA[#Data]),MATCH($A366,_xlfn.VSTACK(YES_Writing_ELA[Student Number], YES_Writing_FLA[Student Number]),0),MATCH(C$7,YES_Writing_ELA[#Headers],0)),"")</f>
        <v/>
      </c>
      <c r="D366" s="138" t="str">
        <f>IFERROR(IF(IF(INDEX(_xlfn.VSTACK(YES_Writing_ELA[#Data],YES_Writing_FLA[#Data]),MATCH($A366,_xlfn.VSTACK(YES_Writing_ELA[Student Number],YES_Writing_FLA[Student Number]),0),MATCH(VLOOKUP(D$7,'Writing Logic'!$J$7:$K$11,2,FALSE)&amp;" - Per "&amp;VLOOKUP($C$4,'Writing Logic'!$G$8:$H$14,2,FALSE),YES_Writing_ELA[#Headers],0))=0,"",INDEX(_xlfn.VSTACK(YES_Writing_ELA[#Data],YES_Writing_FLA[#Data]),MATCH($A366,_xlfn.VSTACK(YES_Writing_ELA[Student Number],YES_Writing_FLA[Student Number]),0),MATCH(VLOOKUP(D$7,'Writing Logic'!$J$7:$K$11,2,FALSE)&amp;" - Per "&amp;VLOOKUP($C$4,'Writing Logic'!$G$8:$H$14,2,FALSE),YES_Writing_ELA[#Headers],0)))="INS",'Writing Logic'!$B$7,IF(INDEX(_xlfn.VSTACK(YES_Writing_ELA[#Data],YES_Writing_FLA[#Data]),MATCH($A366,_xlfn.VSTACK(YES_Writing_ELA[Student Number],YES_Writing_FLA[Student Number]),0),MATCH(VLOOKUP(D$7,'Writing Logic'!$J$7:$K$11,2,FALSE)&amp;" - Per "&amp;VLOOKUP($C$4,'Writing Logic'!$G$8:$H$14,2,FALSE),YES_Writing_ELA[#Headers],0))=0,"",INDEX(_xlfn.VSTACK(YES_Writing_ELA[#Data],YES_Writing_FLA[#Data]),MATCH($A366,_xlfn.VSTACK(YES_Writing_ELA[Student Number],YES_Writing_FLA[Student Number]),0),MATCH(VLOOKUP(D$7,'Writing Logic'!$J$7:$K$11,2,FALSE)&amp;" - Per "&amp;VLOOKUP($C$4,'Writing Logic'!$G$8:$H$14,2,FALSE),YES_Writing_ELA[#Headers],0)))),"")</f>
        <v/>
      </c>
      <c r="E366" s="138" t="str">
        <f>IFERROR(IF(IF(INDEX(_xlfn.VSTACK(YES_Writing_ELA[#Data],YES_Writing_FLA[#Data]),MATCH($A366,_xlfn.VSTACK(YES_Writing_ELA[Student Number],YES_Writing_FLA[Student Number]),0),MATCH(VLOOKUP(E$7,'Writing Logic'!$J$7:$K$11,2,FALSE)&amp;" - Per "&amp;VLOOKUP($C$4,'Writing Logic'!$G$8:$H$14,2,FALSE),YES_Writing_ELA[#Headers],0))=0,"",INDEX(_xlfn.VSTACK(YES_Writing_ELA[#Data],YES_Writing_FLA[#Data]),MATCH($A366,_xlfn.VSTACK(YES_Writing_ELA[Student Number],YES_Writing_FLA[Student Number]),0),MATCH(VLOOKUP(E$7,'Writing Logic'!$J$7:$K$11,2,FALSE)&amp;" - Per "&amp;VLOOKUP($C$4,'Writing Logic'!$G$8:$H$14,2,FALSE),YES_Writing_ELA[#Headers],0)))="INS",'Writing Logic'!$B$7,IF(INDEX(_xlfn.VSTACK(YES_Writing_ELA[#Data],YES_Writing_FLA[#Data]),MATCH($A366,_xlfn.VSTACK(YES_Writing_ELA[Student Number],YES_Writing_FLA[Student Number]),0),MATCH(VLOOKUP(E$7,'Writing Logic'!$J$7:$K$11,2,FALSE)&amp;" - Per "&amp;VLOOKUP($C$4,'Writing Logic'!$G$8:$H$14,2,FALSE),YES_Writing_ELA[#Headers],0))=0,"",INDEX(_xlfn.VSTACK(YES_Writing_ELA[#Data],YES_Writing_FLA[#Data]),MATCH($A366,_xlfn.VSTACK(YES_Writing_ELA[Student Number],YES_Writing_FLA[Student Number]),0),MATCH(VLOOKUP(E$7,'Writing Logic'!$J$7:$K$11,2,FALSE)&amp;" - Per "&amp;VLOOKUP($C$4,'Writing Logic'!$G$8:$H$14,2,FALSE),YES_Writing_ELA[#Headers],0)))),"")</f>
        <v/>
      </c>
      <c r="F366" s="138" t="str">
        <f>IFERROR(IF(IF(INDEX(_xlfn.VSTACK(YES_Writing_ELA[#Data],YES_Writing_FLA[#Data]),MATCH($A366,_xlfn.VSTACK(YES_Writing_ELA[Student Number],YES_Writing_FLA[Student Number]),0),MATCH(VLOOKUP(F$7,'Writing Logic'!$J$7:$K$11,2,FALSE)&amp;" - Per "&amp;VLOOKUP($C$4,'Writing Logic'!$G$8:$H$14,2,FALSE),YES_Writing_ELA[#Headers],0))=0,"",INDEX(_xlfn.VSTACK(YES_Writing_ELA[#Data],YES_Writing_FLA[#Data]),MATCH($A366,_xlfn.VSTACK(YES_Writing_ELA[Student Number],YES_Writing_FLA[Student Number]),0),MATCH(VLOOKUP(F$7,'Writing Logic'!$J$7:$K$11,2,FALSE)&amp;" - Per "&amp;VLOOKUP($C$4,'Writing Logic'!$G$8:$H$14,2,FALSE),YES_Writing_ELA[#Headers],0)))="INS",'Writing Logic'!$B$7,IF(INDEX(_xlfn.VSTACK(YES_Writing_ELA[#Data],YES_Writing_FLA[#Data]),MATCH($A366,_xlfn.VSTACK(YES_Writing_ELA[Student Number],YES_Writing_FLA[Student Number]),0),MATCH(VLOOKUP(F$7,'Writing Logic'!$J$7:$K$11,2,FALSE)&amp;" - Per "&amp;VLOOKUP($C$4,'Writing Logic'!$G$8:$H$14,2,FALSE),YES_Writing_ELA[#Headers],0))=0,"",INDEX(_xlfn.VSTACK(YES_Writing_ELA[#Data],YES_Writing_FLA[#Data]),MATCH($A366,_xlfn.VSTACK(YES_Writing_ELA[Student Number],YES_Writing_FLA[Student Number]),0),MATCH(VLOOKUP(F$7,'Writing Logic'!$J$7:$K$11,2,FALSE)&amp;" - Per "&amp;VLOOKUP($C$4,'Writing Logic'!$G$8:$H$14,2,FALSE),YES_Writing_ELA[#Headers],0)))),"")</f>
        <v/>
      </c>
      <c r="G366" s="138" t="str">
        <f>IFERROR(IF(IF(INDEX(_xlfn.VSTACK(YES_Writing_ELA[#Data],YES_Writing_FLA[#Data]),MATCH($A366,_xlfn.VSTACK(YES_Writing_ELA[Student Number],YES_Writing_FLA[Student Number]),0),MATCH(VLOOKUP(G$7,'Writing Logic'!$J$7:$K$11,2,FALSE)&amp;" - Per "&amp;VLOOKUP($C$4,'Writing Logic'!$G$8:$H$14,2,FALSE),YES_Writing_ELA[#Headers],0))=0,"",INDEX(_xlfn.VSTACK(YES_Writing_ELA[#Data],YES_Writing_FLA[#Data]),MATCH($A366,_xlfn.VSTACK(YES_Writing_ELA[Student Number],YES_Writing_FLA[Student Number]),0),MATCH(VLOOKUP(G$7,'Writing Logic'!$J$7:$K$11,2,FALSE)&amp;" - Per "&amp;VLOOKUP($C$4,'Writing Logic'!$G$8:$H$14,2,FALSE),YES_Writing_ELA[#Headers],0)))="INS",'Writing Logic'!$B$7,IF(INDEX(_xlfn.VSTACK(YES_Writing_ELA[#Data],YES_Writing_FLA[#Data]),MATCH($A366,_xlfn.VSTACK(YES_Writing_ELA[Student Number],YES_Writing_FLA[Student Number]),0),MATCH(VLOOKUP(G$7,'Writing Logic'!$J$7:$K$11,2,FALSE)&amp;" - Per "&amp;VLOOKUP($C$4,'Writing Logic'!$G$8:$H$14,2,FALSE),YES_Writing_ELA[#Headers],0))=0,"",INDEX(_xlfn.VSTACK(YES_Writing_ELA[#Data],YES_Writing_FLA[#Data]),MATCH($A366,_xlfn.VSTACK(YES_Writing_ELA[Student Number],YES_Writing_FLA[Student Number]),0),MATCH(VLOOKUP(G$7,'Writing Logic'!$J$7:$K$11,2,FALSE)&amp;" - Per "&amp;VLOOKUP($C$4,'Writing Logic'!$G$8:$H$14,2,FALSE),YES_Writing_ELA[#Headers],0)))),"")</f>
        <v/>
      </c>
      <c r="H366" s="138" t="str">
        <f>IFERROR(IF(IF(INDEX(_xlfn.VSTACK(YES_Writing_ELA[#Data],YES_Writing_FLA[#Data]),MATCH($A366,_xlfn.VSTACK(YES_Writing_ELA[Student Number],YES_Writing_FLA[Student Number]),0),MATCH(VLOOKUP(H$7,'Writing Logic'!$J$7:$K$11,2,FALSE)&amp;" - Per "&amp;VLOOKUP($C$4,'Writing Logic'!$G$8:$H$14,2,FALSE),YES_Writing_ELA[#Headers],0))=0,"",INDEX(_xlfn.VSTACK(YES_Writing_ELA[#Data],YES_Writing_FLA[#Data]),MATCH($A366,_xlfn.VSTACK(YES_Writing_ELA[Student Number],YES_Writing_FLA[Student Number]),0),MATCH(VLOOKUP(H$7,'Writing Logic'!$J$7:$K$11,2,FALSE)&amp;" - Per "&amp;VLOOKUP($C$4,'Writing Logic'!$G$8:$H$14,2,FALSE),YES_Writing_ELA[#Headers],0)))="INS",'Writing Logic'!$B$7,IF(INDEX(_xlfn.VSTACK(YES_Writing_ELA[#Data],YES_Writing_FLA[#Data]),MATCH($A366,_xlfn.VSTACK(YES_Writing_ELA[Student Number],YES_Writing_FLA[Student Number]),0),MATCH(VLOOKUP(H$7,'Writing Logic'!$J$7:$K$11,2,FALSE)&amp;" - Per "&amp;VLOOKUP($C$4,'Writing Logic'!$G$8:$H$14,2,FALSE),YES_Writing_ELA[#Headers],0))=0,"",INDEX(_xlfn.VSTACK(YES_Writing_ELA[#Data],YES_Writing_FLA[#Data]),MATCH($A366,_xlfn.VSTACK(YES_Writing_ELA[Student Number],YES_Writing_FLA[Student Number]),0),MATCH(VLOOKUP(H$7,'Writing Logic'!$J$7:$K$11,2,FALSE)&amp;" - Per "&amp;VLOOKUP($C$4,'Writing Logic'!$G$8:$H$14,2,FALSE),YES_Writing_ELA[#Headers],0)))),"")</f>
        <v/>
      </c>
    </row>
    <row r="367" spans="1:8" x14ac:dyDescent="0.25">
      <c r="A367" s="137"/>
      <c r="B367" s="137" t="str">
        <f>IFERROR(INDEX(_xlfn.VSTACK(YES_Writing_ELA[#Data], YES_Writing_FLA[#Data]),MATCH($A367,_xlfn.VSTACK(YES_Writing_ELA[Student Number], YES_Writing_FLA[Student Number]),0),MATCH(B$7,YES_Writing_ELA[#Headers],0)),"")</f>
        <v/>
      </c>
      <c r="C367" s="137" t="str">
        <f>IFERROR(INDEX(_xlfn.VSTACK(YES_Writing_ELA[#Data], YES_Writing_FLA[#Data]),MATCH($A367,_xlfn.VSTACK(YES_Writing_ELA[Student Number], YES_Writing_FLA[Student Number]),0),MATCH(C$7,YES_Writing_ELA[#Headers],0)),"")</f>
        <v/>
      </c>
      <c r="D367" s="138" t="str">
        <f>IFERROR(IF(IF(INDEX(_xlfn.VSTACK(YES_Writing_ELA[#Data],YES_Writing_FLA[#Data]),MATCH($A367,_xlfn.VSTACK(YES_Writing_ELA[Student Number],YES_Writing_FLA[Student Number]),0),MATCH(VLOOKUP(D$7,'Writing Logic'!$J$7:$K$11,2,FALSE)&amp;" - Per "&amp;VLOOKUP($C$4,'Writing Logic'!$G$8:$H$14,2,FALSE),YES_Writing_ELA[#Headers],0))=0,"",INDEX(_xlfn.VSTACK(YES_Writing_ELA[#Data],YES_Writing_FLA[#Data]),MATCH($A367,_xlfn.VSTACK(YES_Writing_ELA[Student Number],YES_Writing_FLA[Student Number]),0),MATCH(VLOOKUP(D$7,'Writing Logic'!$J$7:$K$11,2,FALSE)&amp;" - Per "&amp;VLOOKUP($C$4,'Writing Logic'!$G$8:$H$14,2,FALSE),YES_Writing_ELA[#Headers],0)))="INS",'Writing Logic'!$B$7,IF(INDEX(_xlfn.VSTACK(YES_Writing_ELA[#Data],YES_Writing_FLA[#Data]),MATCH($A367,_xlfn.VSTACK(YES_Writing_ELA[Student Number],YES_Writing_FLA[Student Number]),0),MATCH(VLOOKUP(D$7,'Writing Logic'!$J$7:$K$11,2,FALSE)&amp;" - Per "&amp;VLOOKUP($C$4,'Writing Logic'!$G$8:$H$14,2,FALSE),YES_Writing_ELA[#Headers],0))=0,"",INDEX(_xlfn.VSTACK(YES_Writing_ELA[#Data],YES_Writing_FLA[#Data]),MATCH($A367,_xlfn.VSTACK(YES_Writing_ELA[Student Number],YES_Writing_FLA[Student Number]),0),MATCH(VLOOKUP(D$7,'Writing Logic'!$J$7:$K$11,2,FALSE)&amp;" - Per "&amp;VLOOKUP($C$4,'Writing Logic'!$G$8:$H$14,2,FALSE),YES_Writing_ELA[#Headers],0)))),"")</f>
        <v/>
      </c>
      <c r="E367" s="138" t="str">
        <f>IFERROR(IF(IF(INDEX(_xlfn.VSTACK(YES_Writing_ELA[#Data],YES_Writing_FLA[#Data]),MATCH($A367,_xlfn.VSTACK(YES_Writing_ELA[Student Number],YES_Writing_FLA[Student Number]),0),MATCH(VLOOKUP(E$7,'Writing Logic'!$J$7:$K$11,2,FALSE)&amp;" - Per "&amp;VLOOKUP($C$4,'Writing Logic'!$G$8:$H$14,2,FALSE),YES_Writing_ELA[#Headers],0))=0,"",INDEX(_xlfn.VSTACK(YES_Writing_ELA[#Data],YES_Writing_FLA[#Data]),MATCH($A367,_xlfn.VSTACK(YES_Writing_ELA[Student Number],YES_Writing_FLA[Student Number]),0),MATCH(VLOOKUP(E$7,'Writing Logic'!$J$7:$K$11,2,FALSE)&amp;" - Per "&amp;VLOOKUP($C$4,'Writing Logic'!$G$8:$H$14,2,FALSE),YES_Writing_ELA[#Headers],0)))="INS",'Writing Logic'!$B$7,IF(INDEX(_xlfn.VSTACK(YES_Writing_ELA[#Data],YES_Writing_FLA[#Data]),MATCH($A367,_xlfn.VSTACK(YES_Writing_ELA[Student Number],YES_Writing_FLA[Student Number]),0),MATCH(VLOOKUP(E$7,'Writing Logic'!$J$7:$K$11,2,FALSE)&amp;" - Per "&amp;VLOOKUP($C$4,'Writing Logic'!$G$8:$H$14,2,FALSE),YES_Writing_ELA[#Headers],0))=0,"",INDEX(_xlfn.VSTACK(YES_Writing_ELA[#Data],YES_Writing_FLA[#Data]),MATCH($A367,_xlfn.VSTACK(YES_Writing_ELA[Student Number],YES_Writing_FLA[Student Number]),0),MATCH(VLOOKUP(E$7,'Writing Logic'!$J$7:$K$11,2,FALSE)&amp;" - Per "&amp;VLOOKUP($C$4,'Writing Logic'!$G$8:$H$14,2,FALSE),YES_Writing_ELA[#Headers],0)))),"")</f>
        <v/>
      </c>
      <c r="F367" s="138" t="str">
        <f>IFERROR(IF(IF(INDEX(_xlfn.VSTACK(YES_Writing_ELA[#Data],YES_Writing_FLA[#Data]),MATCH($A367,_xlfn.VSTACK(YES_Writing_ELA[Student Number],YES_Writing_FLA[Student Number]),0),MATCH(VLOOKUP(F$7,'Writing Logic'!$J$7:$K$11,2,FALSE)&amp;" - Per "&amp;VLOOKUP($C$4,'Writing Logic'!$G$8:$H$14,2,FALSE),YES_Writing_ELA[#Headers],0))=0,"",INDEX(_xlfn.VSTACK(YES_Writing_ELA[#Data],YES_Writing_FLA[#Data]),MATCH($A367,_xlfn.VSTACK(YES_Writing_ELA[Student Number],YES_Writing_FLA[Student Number]),0),MATCH(VLOOKUP(F$7,'Writing Logic'!$J$7:$K$11,2,FALSE)&amp;" - Per "&amp;VLOOKUP($C$4,'Writing Logic'!$G$8:$H$14,2,FALSE),YES_Writing_ELA[#Headers],0)))="INS",'Writing Logic'!$B$7,IF(INDEX(_xlfn.VSTACK(YES_Writing_ELA[#Data],YES_Writing_FLA[#Data]),MATCH($A367,_xlfn.VSTACK(YES_Writing_ELA[Student Number],YES_Writing_FLA[Student Number]),0),MATCH(VLOOKUP(F$7,'Writing Logic'!$J$7:$K$11,2,FALSE)&amp;" - Per "&amp;VLOOKUP($C$4,'Writing Logic'!$G$8:$H$14,2,FALSE),YES_Writing_ELA[#Headers],0))=0,"",INDEX(_xlfn.VSTACK(YES_Writing_ELA[#Data],YES_Writing_FLA[#Data]),MATCH($A367,_xlfn.VSTACK(YES_Writing_ELA[Student Number],YES_Writing_FLA[Student Number]),0),MATCH(VLOOKUP(F$7,'Writing Logic'!$J$7:$K$11,2,FALSE)&amp;" - Per "&amp;VLOOKUP($C$4,'Writing Logic'!$G$8:$H$14,2,FALSE),YES_Writing_ELA[#Headers],0)))),"")</f>
        <v/>
      </c>
      <c r="G367" s="138" t="str">
        <f>IFERROR(IF(IF(INDEX(_xlfn.VSTACK(YES_Writing_ELA[#Data],YES_Writing_FLA[#Data]),MATCH($A367,_xlfn.VSTACK(YES_Writing_ELA[Student Number],YES_Writing_FLA[Student Number]),0),MATCH(VLOOKUP(G$7,'Writing Logic'!$J$7:$K$11,2,FALSE)&amp;" - Per "&amp;VLOOKUP($C$4,'Writing Logic'!$G$8:$H$14,2,FALSE),YES_Writing_ELA[#Headers],0))=0,"",INDEX(_xlfn.VSTACK(YES_Writing_ELA[#Data],YES_Writing_FLA[#Data]),MATCH($A367,_xlfn.VSTACK(YES_Writing_ELA[Student Number],YES_Writing_FLA[Student Number]),0),MATCH(VLOOKUP(G$7,'Writing Logic'!$J$7:$K$11,2,FALSE)&amp;" - Per "&amp;VLOOKUP($C$4,'Writing Logic'!$G$8:$H$14,2,FALSE),YES_Writing_ELA[#Headers],0)))="INS",'Writing Logic'!$B$7,IF(INDEX(_xlfn.VSTACK(YES_Writing_ELA[#Data],YES_Writing_FLA[#Data]),MATCH($A367,_xlfn.VSTACK(YES_Writing_ELA[Student Number],YES_Writing_FLA[Student Number]),0),MATCH(VLOOKUP(G$7,'Writing Logic'!$J$7:$K$11,2,FALSE)&amp;" - Per "&amp;VLOOKUP($C$4,'Writing Logic'!$G$8:$H$14,2,FALSE),YES_Writing_ELA[#Headers],0))=0,"",INDEX(_xlfn.VSTACK(YES_Writing_ELA[#Data],YES_Writing_FLA[#Data]),MATCH($A367,_xlfn.VSTACK(YES_Writing_ELA[Student Number],YES_Writing_FLA[Student Number]),0),MATCH(VLOOKUP(G$7,'Writing Logic'!$J$7:$K$11,2,FALSE)&amp;" - Per "&amp;VLOOKUP($C$4,'Writing Logic'!$G$8:$H$14,2,FALSE),YES_Writing_ELA[#Headers],0)))),"")</f>
        <v/>
      </c>
      <c r="H367" s="138" t="str">
        <f>IFERROR(IF(IF(INDEX(_xlfn.VSTACK(YES_Writing_ELA[#Data],YES_Writing_FLA[#Data]),MATCH($A367,_xlfn.VSTACK(YES_Writing_ELA[Student Number],YES_Writing_FLA[Student Number]),0),MATCH(VLOOKUP(H$7,'Writing Logic'!$J$7:$K$11,2,FALSE)&amp;" - Per "&amp;VLOOKUP($C$4,'Writing Logic'!$G$8:$H$14,2,FALSE),YES_Writing_ELA[#Headers],0))=0,"",INDEX(_xlfn.VSTACK(YES_Writing_ELA[#Data],YES_Writing_FLA[#Data]),MATCH($A367,_xlfn.VSTACK(YES_Writing_ELA[Student Number],YES_Writing_FLA[Student Number]),0),MATCH(VLOOKUP(H$7,'Writing Logic'!$J$7:$K$11,2,FALSE)&amp;" - Per "&amp;VLOOKUP($C$4,'Writing Logic'!$G$8:$H$14,2,FALSE),YES_Writing_ELA[#Headers],0)))="INS",'Writing Logic'!$B$7,IF(INDEX(_xlfn.VSTACK(YES_Writing_ELA[#Data],YES_Writing_FLA[#Data]),MATCH($A367,_xlfn.VSTACK(YES_Writing_ELA[Student Number],YES_Writing_FLA[Student Number]),0),MATCH(VLOOKUP(H$7,'Writing Logic'!$J$7:$K$11,2,FALSE)&amp;" - Per "&amp;VLOOKUP($C$4,'Writing Logic'!$G$8:$H$14,2,FALSE),YES_Writing_ELA[#Headers],0))=0,"",INDEX(_xlfn.VSTACK(YES_Writing_ELA[#Data],YES_Writing_FLA[#Data]),MATCH($A367,_xlfn.VSTACK(YES_Writing_ELA[Student Number],YES_Writing_FLA[Student Number]),0),MATCH(VLOOKUP(H$7,'Writing Logic'!$J$7:$K$11,2,FALSE)&amp;" - Per "&amp;VLOOKUP($C$4,'Writing Logic'!$G$8:$H$14,2,FALSE),YES_Writing_ELA[#Headers],0)))),"")</f>
        <v/>
      </c>
    </row>
    <row r="368" spans="1:8" x14ac:dyDescent="0.25">
      <c r="A368" s="137"/>
      <c r="B368" s="137" t="str">
        <f>IFERROR(INDEX(_xlfn.VSTACK(YES_Writing_ELA[#Data], YES_Writing_FLA[#Data]),MATCH($A368,_xlfn.VSTACK(YES_Writing_ELA[Student Number], YES_Writing_FLA[Student Number]),0),MATCH(B$7,YES_Writing_ELA[#Headers],0)),"")</f>
        <v/>
      </c>
      <c r="C368" s="137" t="str">
        <f>IFERROR(INDEX(_xlfn.VSTACK(YES_Writing_ELA[#Data], YES_Writing_FLA[#Data]),MATCH($A368,_xlfn.VSTACK(YES_Writing_ELA[Student Number], YES_Writing_FLA[Student Number]),0),MATCH(C$7,YES_Writing_ELA[#Headers],0)),"")</f>
        <v/>
      </c>
      <c r="D368" s="138" t="str">
        <f>IFERROR(IF(IF(INDEX(_xlfn.VSTACK(YES_Writing_ELA[#Data],YES_Writing_FLA[#Data]),MATCH($A368,_xlfn.VSTACK(YES_Writing_ELA[Student Number],YES_Writing_FLA[Student Number]),0),MATCH(VLOOKUP(D$7,'Writing Logic'!$J$7:$K$11,2,FALSE)&amp;" - Per "&amp;VLOOKUP($C$4,'Writing Logic'!$G$8:$H$14,2,FALSE),YES_Writing_ELA[#Headers],0))=0,"",INDEX(_xlfn.VSTACK(YES_Writing_ELA[#Data],YES_Writing_FLA[#Data]),MATCH($A368,_xlfn.VSTACK(YES_Writing_ELA[Student Number],YES_Writing_FLA[Student Number]),0),MATCH(VLOOKUP(D$7,'Writing Logic'!$J$7:$K$11,2,FALSE)&amp;" - Per "&amp;VLOOKUP($C$4,'Writing Logic'!$G$8:$H$14,2,FALSE),YES_Writing_ELA[#Headers],0)))="INS",'Writing Logic'!$B$7,IF(INDEX(_xlfn.VSTACK(YES_Writing_ELA[#Data],YES_Writing_FLA[#Data]),MATCH($A368,_xlfn.VSTACK(YES_Writing_ELA[Student Number],YES_Writing_FLA[Student Number]),0),MATCH(VLOOKUP(D$7,'Writing Logic'!$J$7:$K$11,2,FALSE)&amp;" - Per "&amp;VLOOKUP($C$4,'Writing Logic'!$G$8:$H$14,2,FALSE),YES_Writing_ELA[#Headers],0))=0,"",INDEX(_xlfn.VSTACK(YES_Writing_ELA[#Data],YES_Writing_FLA[#Data]),MATCH($A368,_xlfn.VSTACK(YES_Writing_ELA[Student Number],YES_Writing_FLA[Student Number]),0),MATCH(VLOOKUP(D$7,'Writing Logic'!$J$7:$K$11,2,FALSE)&amp;" - Per "&amp;VLOOKUP($C$4,'Writing Logic'!$G$8:$H$14,2,FALSE),YES_Writing_ELA[#Headers],0)))),"")</f>
        <v/>
      </c>
      <c r="E368" s="138" t="str">
        <f>IFERROR(IF(IF(INDEX(_xlfn.VSTACK(YES_Writing_ELA[#Data],YES_Writing_FLA[#Data]),MATCH($A368,_xlfn.VSTACK(YES_Writing_ELA[Student Number],YES_Writing_FLA[Student Number]),0),MATCH(VLOOKUP(E$7,'Writing Logic'!$J$7:$K$11,2,FALSE)&amp;" - Per "&amp;VLOOKUP($C$4,'Writing Logic'!$G$8:$H$14,2,FALSE),YES_Writing_ELA[#Headers],0))=0,"",INDEX(_xlfn.VSTACK(YES_Writing_ELA[#Data],YES_Writing_FLA[#Data]),MATCH($A368,_xlfn.VSTACK(YES_Writing_ELA[Student Number],YES_Writing_FLA[Student Number]),0),MATCH(VLOOKUP(E$7,'Writing Logic'!$J$7:$K$11,2,FALSE)&amp;" - Per "&amp;VLOOKUP($C$4,'Writing Logic'!$G$8:$H$14,2,FALSE),YES_Writing_ELA[#Headers],0)))="INS",'Writing Logic'!$B$7,IF(INDEX(_xlfn.VSTACK(YES_Writing_ELA[#Data],YES_Writing_FLA[#Data]),MATCH($A368,_xlfn.VSTACK(YES_Writing_ELA[Student Number],YES_Writing_FLA[Student Number]),0),MATCH(VLOOKUP(E$7,'Writing Logic'!$J$7:$K$11,2,FALSE)&amp;" - Per "&amp;VLOOKUP($C$4,'Writing Logic'!$G$8:$H$14,2,FALSE),YES_Writing_ELA[#Headers],0))=0,"",INDEX(_xlfn.VSTACK(YES_Writing_ELA[#Data],YES_Writing_FLA[#Data]),MATCH($A368,_xlfn.VSTACK(YES_Writing_ELA[Student Number],YES_Writing_FLA[Student Number]),0),MATCH(VLOOKUP(E$7,'Writing Logic'!$J$7:$K$11,2,FALSE)&amp;" - Per "&amp;VLOOKUP($C$4,'Writing Logic'!$G$8:$H$14,2,FALSE),YES_Writing_ELA[#Headers],0)))),"")</f>
        <v/>
      </c>
      <c r="F368" s="138" t="str">
        <f>IFERROR(IF(IF(INDEX(_xlfn.VSTACK(YES_Writing_ELA[#Data],YES_Writing_FLA[#Data]),MATCH($A368,_xlfn.VSTACK(YES_Writing_ELA[Student Number],YES_Writing_FLA[Student Number]),0),MATCH(VLOOKUP(F$7,'Writing Logic'!$J$7:$K$11,2,FALSE)&amp;" - Per "&amp;VLOOKUP($C$4,'Writing Logic'!$G$8:$H$14,2,FALSE),YES_Writing_ELA[#Headers],0))=0,"",INDEX(_xlfn.VSTACK(YES_Writing_ELA[#Data],YES_Writing_FLA[#Data]),MATCH($A368,_xlfn.VSTACK(YES_Writing_ELA[Student Number],YES_Writing_FLA[Student Number]),0),MATCH(VLOOKUP(F$7,'Writing Logic'!$J$7:$K$11,2,FALSE)&amp;" - Per "&amp;VLOOKUP($C$4,'Writing Logic'!$G$8:$H$14,2,FALSE),YES_Writing_ELA[#Headers],0)))="INS",'Writing Logic'!$B$7,IF(INDEX(_xlfn.VSTACK(YES_Writing_ELA[#Data],YES_Writing_FLA[#Data]),MATCH($A368,_xlfn.VSTACK(YES_Writing_ELA[Student Number],YES_Writing_FLA[Student Number]),0),MATCH(VLOOKUP(F$7,'Writing Logic'!$J$7:$K$11,2,FALSE)&amp;" - Per "&amp;VLOOKUP($C$4,'Writing Logic'!$G$8:$H$14,2,FALSE),YES_Writing_ELA[#Headers],0))=0,"",INDEX(_xlfn.VSTACK(YES_Writing_ELA[#Data],YES_Writing_FLA[#Data]),MATCH($A368,_xlfn.VSTACK(YES_Writing_ELA[Student Number],YES_Writing_FLA[Student Number]),0),MATCH(VLOOKUP(F$7,'Writing Logic'!$J$7:$K$11,2,FALSE)&amp;" - Per "&amp;VLOOKUP($C$4,'Writing Logic'!$G$8:$H$14,2,FALSE),YES_Writing_ELA[#Headers],0)))),"")</f>
        <v/>
      </c>
      <c r="G368" s="138" t="str">
        <f>IFERROR(IF(IF(INDEX(_xlfn.VSTACK(YES_Writing_ELA[#Data],YES_Writing_FLA[#Data]),MATCH($A368,_xlfn.VSTACK(YES_Writing_ELA[Student Number],YES_Writing_FLA[Student Number]),0),MATCH(VLOOKUP(G$7,'Writing Logic'!$J$7:$K$11,2,FALSE)&amp;" - Per "&amp;VLOOKUP($C$4,'Writing Logic'!$G$8:$H$14,2,FALSE),YES_Writing_ELA[#Headers],0))=0,"",INDEX(_xlfn.VSTACK(YES_Writing_ELA[#Data],YES_Writing_FLA[#Data]),MATCH($A368,_xlfn.VSTACK(YES_Writing_ELA[Student Number],YES_Writing_FLA[Student Number]),0),MATCH(VLOOKUP(G$7,'Writing Logic'!$J$7:$K$11,2,FALSE)&amp;" - Per "&amp;VLOOKUP($C$4,'Writing Logic'!$G$8:$H$14,2,FALSE),YES_Writing_ELA[#Headers],0)))="INS",'Writing Logic'!$B$7,IF(INDEX(_xlfn.VSTACK(YES_Writing_ELA[#Data],YES_Writing_FLA[#Data]),MATCH($A368,_xlfn.VSTACK(YES_Writing_ELA[Student Number],YES_Writing_FLA[Student Number]),0),MATCH(VLOOKUP(G$7,'Writing Logic'!$J$7:$K$11,2,FALSE)&amp;" - Per "&amp;VLOOKUP($C$4,'Writing Logic'!$G$8:$H$14,2,FALSE),YES_Writing_ELA[#Headers],0))=0,"",INDEX(_xlfn.VSTACK(YES_Writing_ELA[#Data],YES_Writing_FLA[#Data]),MATCH($A368,_xlfn.VSTACK(YES_Writing_ELA[Student Number],YES_Writing_FLA[Student Number]),0),MATCH(VLOOKUP(G$7,'Writing Logic'!$J$7:$K$11,2,FALSE)&amp;" - Per "&amp;VLOOKUP($C$4,'Writing Logic'!$G$8:$H$14,2,FALSE),YES_Writing_ELA[#Headers],0)))),"")</f>
        <v/>
      </c>
      <c r="H368" s="138" t="str">
        <f>IFERROR(IF(IF(INDEX(_xlfn.VSTACK(YES_Writing_ELA[#Data],YES_Writing_FLA[#Data]),MATCH($A368,_xlfn.VSTACK(YES_Writing_ELA[Student Number],YES_Writing_FLA[Student Number]),0),MATCH(VLOOKUP(H$7,'Writing Logic'!$J$7:$K$11,2,FALSE)&amp;" - Per "&amp;VLOOKUP($C$4,'Writing Logic'!$G$8:$H$14,2,FALSE),YES_Writing_ELA[#Headers],0))=0,"",INDEX(_xlfn.VSTACK(YES_Writing_ELA[#Data],YES_Writing_FLA[#Data]),MATCH($A368,_xlfn.VSTACK(YES_Writing_ELA[Student Number],YES_Writing_FLA[Student Number]),0),MATCH(VLOOKUP(H$7,'Writing Logic'!$J$7:$K$11,2,FALSE)&amp;" - Per "&amp;VLOOKUP($C$4,'Writing Logic'!$G$8:$H$14,2,FALSE),YES_Writing_ELA[#Headers],0)))="INS",'Writing Logic'!$B$7,IF(INDEX(_xlfn.VSTACK(YES_Writing_ELA[#Data],YES_Writing_FLA[#Data]),MATCH($A368,_xlfn.VSTACK(YES_Writing_ELA[Student Number],YES_Writing_FLA[Student Number]),0),MATCH(VLOOKUP(H$7,'Writing Logic'!$J$7:$K$11,2,FALSE)&amp;" - Per "&amp;VLOOKUP($C$4,'Writing Logic'!$G$8:$H$14,2,FALSE),YES_Writing_ELA[#Headers],0))=0,"",INDEX(_xlfn.VSTACK(YES_Writing_ELA[#Data],YES_Writing_FLA[#Data]),MATCH($A368,_xlfn.VSTACK(YES_Writing_ELA[Student Number],YES_Writing_FLA[Student Number]),0),MATCH(VLOOKUP(H$7,'Writing Logic'!$J$7:$K$11,2,FALSE)&amp;" - Per "&amp;VLOOKUP($C$4,'Writing Logic'!$G$8:$H$14,2,FALSE),YES_Writing_ELA[#Headers],0)))),"")</f>
        <v/>
      </c>
    </row>
    <row r="369" spans="1:8" x14ac:dyDescent="0.25">
      <c r="A369" s="137"/>
      <c r="B369" s="137" t="str">
        <f>IFERROR(INDEX(_xlfn.VSTACK(YES_Writing_ELA[#Data], YES_Writing_FLA[#Data]),MATCH($A369,_xlfn.VSTACK(YES_Writing_ELA[Student Number], YES_Writing_FLA[Student Number]),0),MATCH(B$7,YES_Writing_ELA[#Headers],0)),"")</f>
        <v/>
      </c>
      <c r="C369" s="137" t="str">
        <f>IFERROR(INDEX(_xlfn.VSTACK(YES_Writing_ELA[#Data], YES_Writing_FLA[#Data]),MATCH($A369,_xlfn.VSTACK(YES_Writing_ELA[Student Number], YES_Writing_FLA[Student Number]),0),MATCH(C$7,YES_Writing_ELA[#Headers],0)),"")</f>
        <v/>
      </c>
      <c r="D369" s="138" t="str">
        <f>IFERROR(IF(IF(INDEX(_xlfn.VSTACK(YES_Writing_ELA[#Data],YES_Writing_FLA[#Data]),MATCH($A369,_xlfn.VSTACK(YES_Writing_ELA[Student Number],YES_Writing_FLA[Student Number]),0),MATCH(VLOOKUP(D$7,'Writing Logic'!$J$7:$K$11,2,FALSE)&amp;" - Per "&amp;VLOOKUP($C$4,'Writing Logic'!$G$8:$H$14,2,FALSE),YES_Writing_ELA[#Headers],0))=0,"",INDEX(_xlfn.VSTACK(YES_Writing_ELA[#Data],YES_Writing_FLA[#Data]),MATCH($A369,_xlfn.VSTACK(YES_Writing_ELA[Student Number],YES_Writing_FLA[Student Number]),0),MATCH(VLOOKUP(D$7,'Writing Logic'!$J$7:$K$11,2,FALSE)&amp;" - Per "&amp;VLOOKUP($C$4,'Writing Logic'!$G$8:$H$14,2,FALSE),YES_Writing_ELA[#Headers],0)))="INS",'Writing Logic'!$B$7,IF(INDEX(_xlfn.VSTACK(YES_Writing_ELA[#Data],YES_Writing_FLA[#Data]),MATCH($A369,_xlfn.VSTACK(YES_Writing_ELA[Student Number],YES_Writing_FLA[Student Number]),0),MATCH(VLOOKUP(D$7,'Writing Logic'!$J$7:$K$11,2,FALSE)&amp;" - Per "&amp;VLOOKUP($C$4,'Writing Logic'!$G$8:$H$14,2,FALSE),YES_Writing_ELA[#Headers],0))=0,"",INDEX(_xlfn.VSTACK(YES_Writing_ELA[#Data],YES_Writing_FLA[#Data]),MATCH($A369,_xlfn.VSTACK(YES_Writing_ELA[Student Number],YES_Writing_FLA[Student Number]),0),MATCH(VLOOKUP(D$7,'Writing Logic'!$J$7:$K$11,2,FALSE)&amp;" - Per "&amp;VLOOKUP($C$4,'Writing Logic'!$G$8:$H$14,2,FALSE),YES_Writing_ELA[#Headers],0)))),"")</f>
        <v/>
      </c>
      <c r="E369" s="138" t="str">
        <f>IFERROR(IF(IF(INDEX(_xlfn.VSTACK(YES_Writing_ELA[#Data],YES_Writing_FLA[#Data]),MATCH($A369,_xlfn.VSTACK(YES_Writing_ELA[Student Number],YES_Writing_FLA[Student Number]),0),MATCH(VLOOKUP(E$7,'Writing Logic'!$J$7:$K$11,2,FALSE)&amp;" - Per "&amp;VLOOKUP($C$4,'Writing Logic'!$G$8:$H$14,2,FALSE),YES_Writing_ELA[#Headers],0))=0,"",INDEX(_xlfn.VSTACK(YES_Writing_ELA[#Data],YES_Writing_FLA[#Data]),MATCH($A369,_xlfn.VSTACK(YES_Writing_ELA[Student Number],YES_Writing_FLA[Student Number]),0),MATCH(VLOOKUP(E$7,'Writing Logic'!$J$7:$K$11,2,FALSE)&amp;" - Per "&amp;VLOOKUP($C$4,'Writing Logic'!$G$8:$H$14,2,FALSE),YES_Writing_ELA[#Headers],0)))="INS",'Writing Logic'!$B$7,IF(INDEX(_xlfn.VSTACK(YES_Writing_ELA[#Data],YES_Writing_FLA[#Data]),MATCH($A369,_xlfn.VSTACK(YES_Writing_ELA[Student Number],YES_Writing_FLA[Student Number]),0),MATCH(VLOOKUP(E$7,'Writing Logic'!$J$7:$K$11,2,FALSE)&amp;" - Per "&amp;VLOOKUP($C$4,'Writing Logic'!$G$8:$H$14,2,FALSE),YES_Writing_ELA[#Headers],0))=0,"",INDEX(_xlfn.VSTACK(YES_Writing_ELA[#Data],YES_Writing_FLA[#Data]),MATCH($A369,_xlfn.VSTACK(YES_Writing_ELA[Student Number],YES_Writing_FLA[Student Number]),0),MATCH(VLOOKUP(E$7,'Writing Logic'!$J$7:$K$11,2,FALSE)&amp;" - Per "&amp;VLOOKUP($C$4,'Writing Logic'!$G$8:$H$14,2,FALSE),YES_Writing_ELA[#Headers],0)))),"")</f>
        <v/>
      </c>
      <c r="F369" s="138" t="str">
        <f>IFERROR(IF(IF(INDEX(_xlfn.VSTACK(YES_Writing_ELA[#Data],YES_Writing_FLA[#Data]),MATCH($A369,_xlfn.VSTACK(YES_Writing_ELA[Student Number],YES_Writing_FLA[Student Number]),0),MATCH(VLOOKUP(F$7,'Writing Logic'!$J$7:$K$11,2,FALSE)&amp;" - Per "&amp;VLOOKUP($C$4,'Writing Logic'!$G$8:$H$14,2,FALSE),YES_Writing_ELA[#Headers],0))=0,"",INDEX(_xlfn.VSTACK(YES_Writing_ELA[#Data],YES_Writing_FLA[#Data]),MATCH($A369,_xlfn.VSTACK(YES_Writing_ELA[Student Number],YES_Writing_FLA[Student Number]),0),MATCH(VLOOKUP(F$7,'Writing Logic'!$J$7:$K$11,2,FALSE)&amp;" - Per "&amp;VLOOKUP($C$4,'Writing Logic'!$G$8:$H$14,2,FALSE),YES_Writing_ELA[#Headers],0)))="INS",'Writing Logic'!$B$7,IF(INDEX(_xlfn.VSTACK(YES_Writing_ELA[#Data],YES_Writing_FLA[#Data]),MATCH($A369,_xlfn.VSTACK(YES_Writing_ELA[Student Number],YES_Writing_FLA[Student Number]),0),MATCH(VLOOKUP(F$7,'Writing Logic'!$J$7:$K$11,2,FALSE)&amp;" - Per "&amp;VLOOKUP($C$4,'Writing Logic'!$G$8:$H$14,2,FALSE),YES_Writing_ELA[#Headers],0))=0,"",INDEX(_xlfn.VSTACK(YES_Writing_ELA[#Data],YES_Writing_FLA[#Data]),MATCH($A369,_xlfn.VSTACK(YES_Writing_ELA[Student Number],YES_Writing_FLA[Student Number]),0),MATCH(VLOOKUP(F$7,'Writing Logic'!$J$7:$K$11,2,FALSE)&amp;" - Per "&amp;VLOOKUP($C$4,'Writing Logic'!$G$8:$H$14,2,FALSE),YES_Writing_ELA[#Headers],0)))),"")</f>
        <v/>
      </c>
      <c r="G369" s="138" t="str">
        <f>IFERROR(IF(IF(INDEX(_xlfn.VSTACK(YES_Writing_ELA[#Data],YES_Writing_FLA[#Data]),MATCH($A369,_xlfn.VSTACK(YES_Writing_ELA[Student Number],YES_Writing_FLA[Student Number]),0),MATCH(VLOOKUP(G$7,'Writing Logic'!$J$7:$K$11,2,FALSE)&amp;" - Per "&amp;VLOOKUP($C$4,'Writing Logic'!$G$8:$H$14,2,FALSE),YES_Writing_ELA[#Headers],0))=0,"",INDEX(_xlfn.VSTACK(YES_Writing_ELA[#Data],YES_Writing_FLA[#Data]),MATCH($A369,_xlfn.VSTACK(YES_Writing_ELA[Student Number],YES_Writing_FLA[Student Number]),0),MATCH(VLOOKUP(G$7,'Writing Logic'!$J$7:$K$11,2,FALSE)&amp;" - Per "&amp;VLOOKUP($C$4,'Writing Logic'!$G$8:$H$14,2,FALSE),YES_Writing_ELA[#Headers],0)))="INS",'Writing Logic'!$B$7,IF(INDEX(_xlfn.VSTACK(YES_Writing_ELA[#Data],YES_Writing_FLA[#Data]),MATCH($A369,_xlfn.VSTACK(YES_Writing_ELA[Student Number],YES_Writing_FLA[Student Number]),0),MATCH(VLOOKUP(G$7,'Writing Logic'!$J$7:$K$11,2,FALSE)&amp;" - Per "&amp;VLOOKUP($C$4,'Writing Logic'!$G$8:$H$14,2,FALSE),YES_Writing_ELA[#Headers],0))=0,"",INDEX(_xlfn.VSTACK(YES_Writing_ELA[#Data],YES_Writing_FLA[#Data]),MATCH($A369,_xlfn.VSTACK(YES_Writing_ELA[Student Number],YES_Writing_FLA[Student Number]),0),MATCH(VLOOKUP(G$7,'Writing Logic'!$J$7:$K$11,2,FALSE)&amp;" - Per "&amp;VLOOKUP($C$4,'Writing Logic'!$G$8:$H$14,2,FALSE),YES_Writing_ELA[#Headers],0)))),"")</f>
        <v/>
      </c>
      <c r="H369" s="138" t="str">
        <f>IFERROR(IF(IF(INDEX(_xlfn.VSTACK(YES_Writing_ELA[#Data],YES_Writing_FLA[#Data]),MATCH($A369,_xlfn.VSTACK(YES_Writing_ELA[Student Number],YES_Writing_FLA[Student Number]),0),MATCH(VLOOKUP(H$7,'Writing Logic'!$J$7:$K$11,2,FALSE)&amp;" - Per "&amp;VLOOKUP($C$4,'Writing Logic'!$G$8:$H$14,2,FALSE),YES_Writing_ELA[#Headers],0))=0,"",INDEX(_xlfn.VSTACK(YES_Writing_ELA[#Data],YES_Writing_FLA[#Data]),MATCH($A369,_xlfn.VSTACK(YES_Writing_ELA[Student Number],YES_Writing_FLA[Student Number]),0),MATCH(VLOOKUP(H$7,'Writing Logic'!$J$7:$K$11,2,FALSE)&amp;" - Per "&amp;VLOOKUP($C$4,'Writing Logic'!$G$8:$H$14,2,FALSE),YES_Writing_ELA[#Headers],0)))="INS",'Writing Logic'!$B$7,IF(INDEX(_xlfn.VSTACK(YES_Writing_ELA[#Data],YES_Writing_FLA[#Data]),MATCH($A369,_xlfn.VSTACK(YES_Writing_ELA[Student Number],YES_Writing_FLA[Student Number]),0),MATCH(VLOOKUP(H$7,'Writing Logic'!$J$7:$K$11,2,FALSE)&amp;" - Per "&amp;VLOOKUP($C$4,'Writing Logic'!$G$8:$H$14,2,FALSE),YES_Writing_ELA[#Headers],0))=0,"",INDEX(_xlfn.VSTACK(YES_Writing_ELA[#Data],YES_Writing_FLA[#Data]),MATCH($A369,_xlfn.VSTACK(YES_Writing_ELA[Student Number],YES_Writing_FLA[Student Number]),0),MATCH(VLOOKUP(H$7,'Writing Logic'!$J$7:$K$11,2,FALSE)&amp;" - Per "&amp;VLOOKUP($C$4,'Writing Logic'!$G$8:$H$14,2,FALSE),YES_Writing_ELA[#Headers],0)))),"")</f>
        <v/>
      </c>
    </row>
    <row r="370" spans="1:8" x14ac:dyDescent="0.25">
      <c r="A370" s="137"/>
      <c r="B370" s="137" t="str">
        <f>IFERROR(INDEX(_xlfn.VSTACK(YES_Writing_ELA[#Data], YES_Writing_FLA[#Data]),MATCH($A370,_xlfn.VSTACK(YES_Writing_ELA[Student Number], YES_Writing_FLA[Student Number]),0),MATCH(B$7,YES_Writing_ELA[#Headers],0)),"")</f>
        <v/>
      </c>
      <c r="C370" s="137" t="str">
        <f>IFERROR(INDEX(_xlfn.VSTACK(YES_Writing_ELA[#Data], YES_Writing_FLA[#Data]),MATCH($A370,_xlfn.VSTACK(YES_Writing_ELA[Student Number], YES_Writing_FLA[Student Number]),0),MATCH(C$7,YES_Writing_ELA[#Headers],0)),"")</f>
        <v/>
      </c>
      <c r="D370" s="138" t="str">
        <f>IFERROR(IF(IF(INDEX(_xlfn.VSTACK(YES_Writing_ELA[#Data],YES_Writing_FLA[#Data]),MATCH($A370,_xlfn.VSTACK(YES_Writing_ELA[Student Number],YES_Writing_FLA[Student Number]),0),MATCH(VLOOKUP(D$7,'Writing Logic'!$J$7:$K$11,2,FALSE)&amp;" - Per "&amp;VLOOKUP($C$4,'Writing Logic'!$G$8:$H$14,2,FALSE),YES_Writing_ELA[#Headers],0))=0,"",INDEX(_xlfn.VSTACK(YES_Writing_ELA[#Data],YES_Writing_FLA[#Data]),MATCH($A370,_xlfn.VSTACK(YES_Writing_ELA[Student Number],YES_Writing_FLA[Student Number]),0),MATCH(VLOOKUP(D$7,'Writing Logic'!$J$7:$K$11,2,FALSE)&amp;" - Per "&amp;VLOOKUP($C$4,'Writing Logic'!$G$8:$H$14,2,FALSE),YES_Writing_ELA[#Headers],0)))="INS",'Writing Logic'!$B$7,IF(INDEX(_xlfn.VSTACK(YES_Writing_ELA[#Data],YES_Writing_FLA[#Data]),MATCH($A370,_xlfn.VSTACK(YES_Writing_ELA[Student Number],YES_Writing_FLA[Student Number]),0),MATCH(VLOOKUP(D$7,'Writing Logic'!$J$7:$K$11,2,FALSE)&amp;" - Per "&amp;VLOOKUP($C$4,'Writing Logic'!$G$8:$H$14,2,FALSE),YES_Writing_ELA[#Headers],0))=0,"",INDEX(_xlfn.VSTACK(YES_Writing_ELA[#Data],YES_Writing_FLA[#Data]),MATCH($A370,_xlfn.VSTACK(YES_Writing_ELA[Student Number],YES_Writing_FLA[Student Number]),0),MATCH(VLOOKUP(D$7,'Writing Logic'!$J$7:$K$11,2,FALSE)&amp;" - Per "&amp;VLOOKUP($C$4,'Writing Logic'!$G$8:$H$14,2,FALSE),YES_Writing_ELA[#Headers],0)))),"")</f>
        <v/>
      </c>
      <c r="E370" s="138" t="str">
        <f>IFERROR(IF(IF(INDEX(_xlfn.VSTACK(YES_Writing_ELA[#Data],YES_Writing_FLA[#Data]),MATCH($A370,_xlfn.VSTACK(YES_Writing_ELA[Student Number],YES_Writing_FLA[Student Number]),0),MATCH(VLOOKUP(E$7,'Writing Logic'!$J$7:$K$11,2,FALSE)&amp;" - Per "&amp;VLOOKUP($C$4,'Writing Logic'!$G$8:$H$14,2,FALSE),YES_Writing_ELA[#Headers],0))=0,"",INDEX(_xlfn.VSTACK(YES_Writing_ELA[#Data],YES_Writing_FLA[#Data]),MATCH($A370,_xlfn.VSTACK(YES_Writing_ELA[Student Number],YES_Writing_FLA[Student Number]),0),MATCH(VLOOKUP(E$7,'Writing Logic'!$J$7:$K$11,2,FALSE)&amp;" - Per "&amp;VLOOKUP($C$4,'Writing Logic'!$G$8:$H$14,2,FALSE),YES_Writing_ELA[#Headers],0)))="INS",'Writing Logic'!$B$7,IF(INDEX(_xlfn.VSTACK(YES_Writing_ELA[#Data],YES_Writing_FLA[#Data]),MATCH($A370,_xlfn.VSTACK(YES_Writing_ELA[Student Number],YES_Writing_FLA[Student Number]),0),MATCH(VLOOKUP(E$7,'Writing Logic'!$J$7:$K$11,2,FALSE)&amp;" - Per "&amp;VLOOKUP($C$4,'Writing Logic'!$G$8:$H$14,2,FALSE),YES_Writing_ELA[#Headers],0))=0,"",INDEX(_xlfn.VSTACK(YES_Writing_ELA[#Data],YES_Writing_FLA[#Data]),MATCH($A370,_xlfn.VSTACK(YES_Writing_ELA[Student Number],YES_Writing_FLA[Student Number]),0),MATCH(VLOOKUP(E$7,'Writing Logic'!$J$7:$K$11,2,FALSE)&amp;" - Per "&amp;VLOOKUP($C$4,'Writing Logic'!$G$8:$H$14,2,FALSE),YES_Writing_ELA[#Headers],0)))),"")</f>
        <v/>
      </c>
      <c r="F370" s="138" t="str">
        <f>IFERROR(IF(IF(INDEX(_xlfn.VSTACK(YES_Writing_ELA[#Data],YES_Writing_FLA[#Data]),MATCH($A370,_xlfn.VSTACK(YES_Writing_ELA[Student Number],YES_Writing_FLA[Student Number]),0),MATCH(VLOOKUP(F$7,'Writing Logic'!$J$7:$K$11,2,FALSE)&amp;" - Per "&amp;VLOOKUP($C$4,'Writing Logic'!$G$8:$H$14,2,FALSE),YES_Writing_ELA[#Headers],0))=0,"",INDEX(_xlfn.VSTACK(YES_Writing_ELA[#Data],YES_Writing_FLA[#Data]),MATCH($A370,_xlfn.VSTACK(YES_Writing_ELA[Student Number],YES_Writing_FLA[Student Number]),0),MATCH(VLOOKUP(F$7,'Writing Logic'!$J$7:$K$11,2,FALSE)&amp;" - Per "&amp;VLOOKUP($C$4,'Writing Logic'!$G$8:$H$14,2,FALSE),YES_Writing_ELA[#Headers],0)))="INS",'Writing Logic'!$B$7,IF(INDEX(_xlfn.VSTACK(YES_Writing_ELA[#Data],YES_Writing_FLA[#Data]),MATCH($A370,_xlfn.VSTACK(YES_Writing_ELA[Student Number],YES_Writing_FLA[Student Number]),0),MATCH(VLOOKUP(F$7,'Writing Logic'!$J$7:$K$11,2,FALSE)&amp;" - Per "&amp;VLOOKUP($C$4,'Writing Logic'!$G$8:$H$14,2,FALSE),YES_Writing_ELA[#Headers],0))=0,"",INDEX(_xlfn.VSTACK(YES_Writing_ELA[#Data],YES_Writing_FLA[#Data]),MATCH($A370,_xlfn.VSTACK(YES_Writing_ELA[Student Number],YES_Writing_FLA[Student Number]),0),MATCH(VLOOKUP(F$7,'Writing Logic'!$J$7:$K$11,2,FALSE)&amp;" - Per "&amp;VLOOKUP($C$4,'Writing Logic'!$G$8:$H$14,2,FALSE),YES_Writing_ELA[#Headers],0)))),"")</f>
        <v/>
      </c>
      <c r="G370" s="138" t="str">
        <f>IFERROR(IF(IF(INDEX(_xlfn.VSTACK(YES_Writing_ELA[#Data],YES_Writing_FLA[#Data]),MATCH($A370,_xlfn.VSTACK(YES_Writing_ELA[Student Number],YES_Writing_FLA[Student Number]),0),MATCH(VLOOKUP(G$7,'Writing Logic'!$J$7:$K$11,2,FALSE)&amp;" - Per "&amp;VLOOKUP($C$4,'Writing Logic'!$G$8:$H$14,2,FALSE),YES_Writing_ELA[#Headers],0))=0,"",INDEX(_xlfn.VSTACK(YES_Writing_ELA[#Data],YES_Writing_FLA[#Data]),MATCH($A370,_xlfn.VSTACK(YES_Writing_ELA[Student Number],YES_Writing_FLA[Student Number]),0),MATCH(VLOOKUP(G$7,'Writing Logic'!$J$7:$K$11,2,FALSE)&amp;" - Per "&amp;VLOOKUP($C$4,'Writing Logic'!$G$8:$H$14,2,FALSE),YES_Writing_ELA[#Headers],0)))="INS",'Writing Logic'!$B$7,IF(INDEX(_xlfn.VSTACK(YES_Writing_ELA[#Data],YES_Writing_FLA[#Data]),MATCH($A370,_xlfn.VSTACK(YES_Writing_ELA[Student Number],YES_Writing_FLA[Student Number]),0),MATCH(VLOOKUP(G$7,'Writing Logic'!$J$7:$K$11,2,FALSE)&amp;" - Per "&amp;VLOOKUP($C$4,'Writing Logic'!$G$8:$H$14,2,FALSE),YES_Writing_ELA[#Headers],0))=0,"",INDEX(_xlfn.VSTACK(YES_Writing_ELA[#Data],YES_Writing_FLA[#Data]),MATCH($A370,_xlfn.VSTACK(YES_Writing_ELA[Student Number],YES_Writing_FLA[Student Number]),0),MATCH(VLOOKUP(G$7,'Writing Logic'!$J$7:$K$11,2,FALSE)&amp;" - Per "&amp;VLOOKUP($C$4,'Writing Logic'!$G$8:$H$14,2,FALSE),YES_Writing_ELA[#Headers],0)))),"")</f>
        <v/>
      </c>
      <c r="H370" s="138" t="str">
        <f>IFERROR(IF(IF(INDEX(_xlfn.VSTACK(YES_Writing_ELA[#Data],YES_Writing_FLA[#Data]),MATCH($A370,_xlfn.VSTACK(YES_Writing_ELA[Student Number],YES_Writing_FLA[Student Number]),0),MATCH(VLOOKUP(H$7,'Writing Logic'!$J$7:$K$11,2,FALSE)&amp;" - Per "&amp;VLOOKUP($C$4,'Writing Logic'!$G$8:$H$14,2,FALSE),YES_Writing_ELA[#Headers],0))=0,"",INDEX(_xlfn.VSTACK(YES_Writing_ELA[#Data],YES_Writing_FLA[#Data]),MATCH($A370,_xlfn.VSTACK(YES_Writing_ELA[Student Number],YES_Writing_FLA[Student Number]),0),MATCH(VLOOKUP(H$7,'Writing Logic'!$J$7:$K$11,2,FALSE)&amp;" - Per "&amp;VLOOKUP($C$4,'Writing Logic'!$G$8:$H$14,2,FALSE),YES_Writing_ELA[#Headers],0)))="INS",'Writing Logic'!$B$7,IF(INDEX(_xlfn.VSTACK(YES_Writing_ELA[#Data],YES_Writing_FLA[#Data]),MATCH($A370,_xlfn.VSTACK(YES_Writing_ELA[Student Number],YES_Writing_FLA[Student Number]),0),MATCH(VLOOKUP(H$7,'Writing Logic'!$J$7:$K$11,2,FALSE)&amp;" - Per "&amp;VLOOKUP($C$4,'Writing Logic'!$G$8:$H$14,2,FALSE),YES_Writing_ELA[#Headers],0))=0,"",INDEX(_xlfn.VSTACK(YES_Writing_ELA[#Data],YES_Writing_FLA[#Data]),MATCH($A370,_xlfn.VSTACK(YES_Writing_ELA[Student Number],YES_Writing_FLA[Student Number]),0),MATCH(VLOOKUP(H$7,'Writing Logic'!$J$7:$K$11,2,FALSE)&amp;" - Per "&amp;VLOOKUP($C$4,'Writing Logic'!$G$8:$H$14,2,FALSE),YES_Writing_ELA[#Headers],0)))),"")</f>
        <v/>
      </c>
    </row>
    <row r="371" spans="1:8" x14ac:dyDescent="0.25">
      <c r="A371" s="137"/>
      <c r="B371" s="137" t="str">
        <f>IFERROR(INDEX(_xlfn.VSTACK(YES_Writing_ELA[#Data], YES_Writing_FLA[#Data]),MATCH($A371,_xlfn.VSTACK(YES_Writing_ELA[Student Number], YES_Writing_FLA[Student Number]),0),MATCH(B$7,YES_Writing_ELA[#Headers],0)),"")</f>
        <v/>
      </c>
      <c r="C371" s="137" t="str">
        <f>IFERROR(INDEX(_xlfn.VSTACK(YES_Writing_ELA[#Data], YES_Writing_FLA[#Data]),MATCH($A371,_xlfn.VSTACK(YES_Writing_ELA[Student Number], YES_Writing_FLA[Student Number]),0),MATCH(C$7,YES_Writing_ELA[#Headers],0)),"")</f>
        <v/>
      </c>
      <c r="D371" s="138" t="str">
        <f>IFERROR(IF(IF(INDEX(_xlfn.VSTACK(YES_Writing_ELA[#Data],YES_Writing_FLA[#Data]),MATCH($A371,_xlfn.VSTACK(YES_Writing_ELA[Student Number],YES_Writing_FLA[Student Number]),0),MATCH(VLOOKUP(D$7,'Writing Logic'!$J$7:$K$11,2,FALSE)&amp;" - Per "&amp;VLOOKUP($C$4,'Writing Logic'!$G$8:$H$14,2,FALSE),YES_Writing_ELA[#Headers],0))=0,"",INDEX(_xlfn.VSTACK(YES_Writing_ELA[#Data],YES_Writing_FLA[#Data]),MATCH($A371,_xlfn.VSTACK(YES_Writing_ELA[Student Number],YES_Writing_FLA[Student Number]),0),MATCH(VLOOKUP(D$7,'Writing Logic'!$J$7:$K$11,2,FALSE)&amp;" - Per "&amp;VLOOKUP($C$4,'Writing Logic'!$G$8:$H$14,2,FALSE),YES_Writing_ELA[#Headers],0)))="INS",'Writing Logic'!$B$7,IF(INDEX(_xlfn.VSTACK(YES_Writing_ELA[#Data],YES_Writing_FLA[#Data]),MATCH($A371,_xlfn.VSTACK(YES_Writing_ELA[Student Number],YES_Writing_FLA[Student Number]),0),MATCH(VLOOKUP(D$7,'Writing Logic'!$J$7:$K$11,2,FALSE)&amp;" - Per "&amp;VLOOKUP($C$4,'Writing Logic'!$G$8:$H$14,2,FALSE),YES_Writing_ELA[#Headers],0))=0,"",INDEX(_xlfn.VSTACK(YES_Writing_ELA[#Data],YES_Writing_FLA[#Data]),MATCH($A371,_xlfn.VSTACK(YES_Writing_ELA[Student Number],YES_Writing_FLA[Student Number]),0),MATCH(VLOOKUP(D$7,'Writing Logic'!$J$7:$K$11,2,FALSE)&amp;" - Per "&amp;VLOOKUP($C$4,'Writing Logic'!$G$8:$H$14,2,FALSE),YES_Writing_ELA[#Headers],0)))),"")</f>
        <v/>
      </c>
      <c r="E371" s="138" t="str">
        <f>IFERROR(IF(IF(INDEX(_xlfn.VSTACK(YES_Writing_ELA[#Data],YES_Writing_FLA[#Data]),MATCH($A371,_xlfn.VSTACK(YES_Writing_ELA[Student Number],YES_Writing_FLA[Student Number]),0),MATCH(VLOOKUP(E$7,'Writing Logic'!$J$7:$K$11,2,FALSE)&amp;" - Per "&amp;VLOOKUP($C$4,'Writing Logic'!$G$8:$H$14,2,FALSE),YES_Writing_ELA[#Headers],0))=0,"",INDEX(_xlfn.VSTACK(YES_Writing_ELA[#Data],YES_Writing_FLA[#Data]),MATCH($A371,_xlfn.VSTACK(YES_Writing_ELA[Student Number],YES_Writing_FLA[Student Number]),0),MATCH(VLOOKUP(E$7,'Writing Logic'!$J$7:$K$11,2,FALSE)&amp;" - Per "&amp;VLOOKUP($C$4,'Writing Logic'!$G$8:$H$14,2,FALSE),YES_Writing_ELA[#Headers],0)))="INS",'Writing Logic'!$B$7,IF(INDEX(_xlfn.VSTACK(YES_Writing_ELA[#Data],YES_Writing_FLA[#Data]),MATCH($A371,_xlfn.VSTACK(YES_Writing_ELA[Student Number],YES_Writing_FLA[Student Number]),0),MATCH(VLOOKUP(E$7,'Writing Logic'!$J$7:$K$11,2,FALSE)&amp;" - Per "&amp;VLOOKUP($C$4,'Writing Logic'!$G$8:$H$14,2,FALSE),YES_Writing_ELA[#Headers],0))=0,"",INDEX(_xlfn.VSTACK(YES_Writing_ELA[#Data],YES_Writing_FLA[#Data]),MATCH($A371,_xlfn.VSTACK(YES_Writing_ELA[Student Number],YES_Writing_FLA[Student Number]),0),MATCH(VLOOKUP(E$7,'Writing Logic'!$J$7:$K$11,2,FALSE)&amp;" - Per "&amp;VLOOKUP($C$4,'Writing Logic'!$G$8:$H$14,2,FALSE),YES_Writing_ELA[#Headers],0)))),"")</f>
        <v/>
      </c>
      <c r="F371" s="138" t="str">
        <f>IFERROR(IF(IF(INDEX(_xlfn.VSTACK(YES_Writing_ELA[#Data],YES_Writing_FLA[#Data]),MATCH($A371,_xlfn.VSTACK(YES_Writing_ELA[Student Number],YES_Writing_FLA[Student Number]),0),MATCH(VLOOKUP(F$7,'Writing Logic'!$J$7:$K$11,2,FALSE)&amp;" - Per "&amp;VLOOKUP($C$4,'Writing Logic'!$G$8:$H$14,2,FALSE),YES_Writing_ELA[#Headers],0))=0,"",INDEX(_xlfn.VSTACK(YES_Writing_ELA[#Data],YES_Writing_FLA[#Data]),MATCH($A371,_xlfn.VSTACK(YES_Writing_ELA[Student Number],YES_Writing_FLA[Student Number]),0),MATCH(VLOOKUP(F$7,'Writing Logic'!$J$7:$K$11,2,FALSE)&amp;" - Per "&amp;VLOOKUP($C$4,'Writing Logic'!$G$8:$H$14,2,FALSE),YES_Writing_ELA[#Headers],0)))="INS",'Writing Logic'!$B$7,IF(INDEX(_xlfn.VSTACK(YES_Writing_ELA[#Data],YES_Writing_FLA[#Data]),MATCH($A371,_xlfn.VSTACK(YES_Writing_ELA[Student Number],YES_Writing_FLA[Student Number]),0),MATCH(VLOOKUP(F$7,'Writing Logic'!$J$7:$K$11,2,FALSE)&amp;" - Per "&amp;VLOOKUP($C$4,'Writing Logic'!$G$8:$H$14,2,FALSE),YES_Writing_ELA[#Headers],0))=0,"",INDEX(_xlfn.VSTACK(YES_Writing_ELA[#Data],YES_Writing_FLA[#Data]),MATCH($A371,_xlfn.VSTACK(YES_Writing_ELA[Student Number],YES_Writing_FLA[Student Number]),0),MATCH(VLOOKUP(F$7,'Writing Logic'!$J$7:$K$11,2,FALSE)&amp;" - Per "&amp;VLOOKUP($C$4,'Writing Logic'!$G$8:$H$14,2,FALSE),YES_Writing_ELA[#Headers],0)))),"")</f>
        <v/>
      </c>
      <c r="G371" s="138" t="str">
        <f>IFERROR(IF(IF(INDEX(_xlfn.VSTACK(YES_Writing_ELA[#Data],YES_Writing_FLA[#Data]),MATCH($A371,_xlfn.VSTACK(YES_Writing_ELA[Student Number],YES_Writing_FLA[Student Number]),0),MATCH(VLOOKUP(G$7,'Writing Logic'!$J$7:$K$11,2,FALSE)&amp;" - Per "&amp;VLOOKUP($C$4,'Writing Logic'!$G$8:$H$14,2,FALSE),YES_Writing_ELA[#Headers],0))=0,"",INDEX(_xlfn.VSTACK(YES_Writing_ELA[#Data],YES_Writing_FLA[#Data]),MATCH($A371,_xlfn.VSTACK(YES_Writing_ELA[Student Number],YES_Writing_FLA[Student Number]),0),MATCH(VLOOKUP(G$7,'Writing Logic'!$J$7:$K$11,2,FALSE)&amp;" - Per "&amp;VLOOKUP($C$4,'Writing Logic'!$G$8:$H$14,2,FALSE),YES_Writing_ELA[#Headers],0)))="INS",'Writing Logic'!$B$7,IF(INDEX(_xlfn.VSTACK(YES_Writing_ELA[#Data],YES_Writing_FLA[#Data]),MATCH($A371,_xlfn.VSTACK(YES_Writing_ELA[Student Number],YES_Writing_FLA[Student Number]),0),MATCH(VLOOKUP(G$7,'Writing Logic'!$J$7:$K$11,2,FALSE)&amp;" - Per "&amp;VLOOKUP($C$4,'Writing Logic'!$G$8:$H$14,2,FALSE),YES_Writing_ELA[#Headers],0))=0,"",INDEX(_xlfn.VSTACK(YES_Writing_ELA[#Data],YES_Writing_FLA[#Data]),MATCH($A371,_xlfn.VSTACK(YES_Writing_ELA[Student Number],YES_Writing_FLA[Student Number]),0),MATCH(VLOOKUP(G$7,'Writing Logic'!$J$7:$K$11,2,FALSE)&amp;" - Per "&amp;VLOOKUP($C$4,'Writing Logic'!$G$8:$H$14,2,FALSE),YES_Writing_ELA[#Headers],0)))),"")</f>
        <v/>
      </c>
      <c r="H371" s="138" t="str">
        <f>IFERROR(IF(IF(INDEX(_xlfn.VSTACK(YES_Writing_ELA[#Data],YES_Writing_FLA[#Data]),MATCH($A371,_xlfn.VSTACK(YES_Writing_ELA[Student Number],YES_Writing_FLA[Student Number]),0),MATCH(VLOOKUP(H$7,'Writing Logic'!$J$7:$K$11,2,FALSE)&amp;" - Per "&amp;VLOOKUP($C$4,'Writing Logic'!$G$8:$H$14,2,FALSE),YES_Writing_ELA[#Headers],0))=0,"",INDEX(_xlfn.VSTACK(YES_Writing_ELA[#Data],YES_Writing_FLA[#Data]),MATCH($A371,_xlfn.VSTACK(YES_Writing_ELA[Student Number],YES_Writing_FLA[Student Number]),0),MATCH(VLOOKUP(H$7,'Writing Logic'!$J$7:$K$11,2,FALSE)&amp;" - Per "&amp;VLOOKUP($C$4,'Writing Logic'!$G$8:$H$14,2,FALSE),YES_Writing_ELA[#Headers],0)))="INS",'Writing Logic'!$B$7,IF(INDEX(_xlfn.VSTACK(YES_Writing_ELA[#Data],YES_Writing_FLA[#Data]),MATCH($A371,_xlfn.VSTACK(YES_Writing_ELA[Student Number],YES_Writing_FLA[Student Number]),0),MATCH(VLOOKUP(H$7,'Writing Logic'!$J$7:$K$11,2,FALSE)&amp;" - Per "&amp;VLOOKUP($C$4,'Writing Logic'!$G$8:$H$14,2,FALSE),YES_Writing_ELA[#Headers],0))=0,"",INDEX(_xlfn.VSTACK(YES_Writing_ELA[#Data],YES_Writing_FLA[#Data]),MATCH($A371,_xlfn.VSTACK(YES_Writing_ELA[Student Number],YES_Writing_FLA[Student Number]),0),MATCH(VLOOKUP(H$7,'Writing Logic'!$J$7:$K$11,2,FALSE)&amp;" - Per "&amp;VLOOKUP($C$4,'Writing Logic'!$G$8:$H$14,2,FALSE),YES_Writing_ELA[#Headers],0)))),"")</f>
        <v/>
      </c>
    </row>
    <row r="372" spans="1:8" x14ac:dyDescent="0.25">
      <c r="A372" s="137"/>
      <c r="B372" s="137" t="str">
        <f>IFERROR(INDEX(_xlfn.VSTACK(YES_Writing_ELA[#Data], YES_Writing_FLA[#Data]),MATCH($A372,_xlfn.VSTACK(YES_Writing_ELA[Student Number], YES_Writing_FLA[Student Number]),0),MATCH(B$7,YES_Writing_ELA[#Headers],0)),"")</f>
        <v/>
      </c>
      <c r="C372" s="137" t="str">
        <f>IFERROR(INDEX(_xlfn.VSTACK(YES_Writing_ELA[#Data], YES_Writing_FLA[#Data]),MATCH($A372,_xlfn.VSTACK(YES_Writing_ELA[Student Number], YES_Writing_FLA[Student Number]),0),MATCH(C$7,YES_Writing_ELA[#Headers],0)),"")</f>
        <v/>
      </c>
      <c r="D372" s="138" t="str">
        <f>IFERROR(IF(IF(INDEX(_xlfn.VSTACK(YES_Writing_ELA[#Data],YES_Writing_FLA[#Data]),MATCH($A372,_xlfn.VSTACK(YES_Writing_ELA[Student Number],YES_Writing_FLA[Student Number]),0),MATCH(VLOOKUP(D$7,'Writing Logic'!$J$7:$K$11,2,FALSE)&amp;" - Per "&amp;VLOOKUP($C$4,'Writing Logic'!$G$8:$H$14,2,FALSE),YES_Writing_ELA[#Headers],0))=0,"",INDEX(_xlfn.VSTACK(YES_Writing_ELA[#Data],YES_Writing_FLA[#Data]),MATCH($A372,_xlfn.VSTACK(YES_Writing_ELA[Student Number],YES_Writing_FLA[Student Number]),0),MATCH(VLOOKUP(D$7,'Writing Logic'!$J$7:$K$11,2,FALSE)&amp;" - Per "&amp;VLOOKUP($C$4,'Writing Logic'!$G$8:$H$14,2,FALSE),YES_Writing_ELA[#Headers],0)))="INS",'Writing Logic'!$B$7,IF(INDEX(_xlfn.VSTACK(YES_Writing_ELA[#Data],YES_Writing_FLA[#Data]),MATCH($A372,_xlfn.VSTACK(YES_Writing_ELA[Student Number],YES_Writing_FLA[Student Number]),0),MATCH(VLOOKUP(D$7,'Writing Logic'!$J$7:$K$11,2,FALSE)&amp;" - Per "&amp;VLOOKUP($C$4,'Writing Logic'!$G$8:$H$14,2,FALSE),YES_Writing_ELA[#Headers],0))=0,"",INDEX(_xlfn.VSTACK(YES_Writing_ELA[#Data],YES_Writing_FLA[#Data]),MATCH($A372,_xlfn.VSTACK(YES_Writing_ELA[Student Number],YES_Writing_FLA[Student Number]),0),MATCH(VLOOKUP(D$7,'Writing Logic'!$J$7:$K$11,2,FALSE)&amp;" - Per "&amp;VLOOKUP($C$4,'Writing Logic'!$G$8:$H$14,2,FALSE),YES_Writing_ELA[#Headers],0)))),"")</f>
        <v/>
      </c>
      <c r="E372" s="138" t="str">
        <f>IFERROR(IF(IF(INDEX(_xlfn.VSTACK(YES_Writing_ELA[#Data],YES_Writing_FLA[#Data]),MATCH($A372,_xlfn.VSTACK(YES_Writing_ELA[Student Number],YES_Writing_FLA[Student Number]),0),MATCH(VLOOKUP(E$7,'Writing Logic'!$J$7:$K$11,2,FALSE)&amp;" - Per "&amp;VLOOKUP($C$4,'Writing Logic'!$G$8:$H$14,2,FALSE),YES_Writing_ELA[#Headers],0))=0,"",INDEX(_xlfn.VSTACK(YES_Writing_ELA[#Data],YES_Writing_FLA[#Data]),MATCH($A372,_xlfn.VSTACK(YES_Writing_ELA[Student Number],YES_Writing_FLA[Student Number]),0),MATCH(VLOOKUP(E$7,'Writing Logic'!$J$7:$K$11,2,FALSE)&amp;" - Per "&amp;VLOOKUP($C$4,'Writing Logic'!$G$8:$H$14,2,FALSE),YES_Writing_ELA[#Headers],0)))="INS",'Writing Logic'!$B$7,IF(INDEX(_xlfn.VSTACK(YES_Writing_ELA[#Data],YES_Writing_FLA[#Data]),MATCH($A372,_xlfn.VSTACK(YES_Writing_ELA[Student Number],YES_Writing_FLA[Student Number]),0),MATCH(VLOOKUP(E$7,'Writing Logic'!$J$7:$K$11,2,FALSE)&amp;" - Per "&amp;VLOOKUP($C$4,'Writing Logic'!$G$8:$H$14,2,FALSE),YES_Writing_ELA[#Headers],0))=0,"",INDEX(_xlfn.VSTACK(YES_Writing_ELA[#Data],YES_Writing_FLA[#Data]),MATCH($A372,_xlfn.VSTACK(YES_Writing_ELA[Student Number],YES_Writing_FLA[Student Number]),0),MATCH(VLOOKUP(E$7,'Writing Logic'!$J$7:$K$11,2,FALSE)&amp;" - Per "&amp;VLOOKUP($C$4,'Writing Logic'!$G$8:$H$14,2,FALSE),YES_Writing_ELA[#Headers],0)))),"")</f>
        <v/>
      </c>
      <c r="F372" s="138" t="str">
        <f>IFERROR(IF(IF(INDEX(_xlfn.VSTACK(YES_Writing_ELA[#Data],YES_Writing_FLA[#Data]),MATCH($A372,_xlfn.VSTACK(YES_Writing_ELA[Student Number],YES_Writing_FLA[Student Number]),0),MATCH(VLOOKUP(F$7,'Writing Logic'!$J$7:$K$11,2,FALSE)&amp;" - Per "&amp;VLOOKUP($C$4,'Writing Logic'!$G$8:$H$14,2,FALSE),YES_Writing_ELA[#Headers],0))=0,"",INDEX(_xlfn.VSTACK(YES_Writing_ELA[#Data],YES_Writing_FLA[#Data]),MATCH($A372,_xlfn.VSTACK(YES_Writing_ELA[Student Number],YES_Writing_FLA[Student Number]),0),MATCH(VLOOKUP(F$7,'Writing Logic'!$J$7:$K$11,2,FALSE)&amp;" - Per "&amp;VLOOKUP($C$4,'Writing Logic'!$G$8:$H$14,2,FALSE),YES_Writing_ELA[#Headers],0)))="INS",'Writing Logic'!$B$7,IF(INDEX(_xlfn.VSTACK(YES_Writing_ELA[#Data],YES_Writing_FLA[#Data]),MATCH($A372,_xlfn.VSTACK(YES_Writing_ELA[Student Number],YES_Writing_FLA[Student Number]),0),MATCH(VLOOKUP(F$7,'Writing Logic'!$J$7:$K$11,2,FALSE)&amp;" - Per "&amp;VLOOKUP($C$4,'Writing Logic'!$G$8:$H$14,2,FALSE),YES_Writing_ELA[#Headers],0))=0,"",INDEX(_xlfn.VSTACK(YES_Writing_ELA[#Data],YES_Writing_FLA[#Data]),MATCH($A372,_xlfn.VSTACK(YES_Writing_ELA[Student Number],YES_Writing_FLA[Student Number]),0),MATCH(VLOOKUP(F$7,'Writing Logic'!$J$7:$K$11,2,FALSE)&amp;" - Per "&amp;VLOOKUP($C$4,'Writing Logic'!$G$8:$H$14,2,FALSE),YES_Writing_ELA[#Headers],0)))),"")</f>
        <v/>
      </c>
      <c r="G372" s="138" t="str">
        <f>IFERROR(IF(IF(INDEX(_xlfn.VSTACK(YES_Writing_ELA[#Data],YES_Writing_FLA[#Data]),MATCH($A372,_xlfn.VSTACK(YES_Writing_ELA[Student Number],YES_Writing_FLA[Student Number]),0),MATCH(VLOOKUP(G$7,'Writing Logic'!$J$7:$K$11,2,FALSE)&amp;" - Per "&amp;VLOOKUP($C$4,'Writing Logic'!$G$8:$H$14,2,FALSE),YES_Writing_ELA[#Headers],0))=0,"",INDEX(_xlfn.VSTACK(YES_Writing_ELA[#Data],YES_Writing_FLA[#Data]),MATCH($A372,_xlfn.VSTACK(YES_Writing_ELA[Student Number],YES_Writing_FLA[Student Number]),0),MATCH(VLOOKUP(G$7,'Writing Logic'!$J$7:$K$11,2,FALSE)&amp;" - Per "&amp;VLOOKUP($C$4,'Writing Logic'!$G$8:$H$14,2,FALSE),YES_Writing_ELA[#Headers],0)))="INS",'Writing Logic'!$B$7,IF(INDEX(_xlfn.VSTACK(YES_Writing_ELA[#Data],YES_Writing_FLA[#Data]),MATCH($A372,_xlfn.VSTACK(YES_Writing_ELA[Student Number],YES_Writing_FLA[Student Number]),0),MATCH(VLOOKUP(G$7,'Writing Logic'!$J$7:$K$11,2,FALSE)&amp;" - Per "&amp;VLOOKUP($C$4,'Writing Logic'!$G$8:$H$14,2,FALSE),YES_Writing_ELA[#Headers],0))=0,"",INDEX(_xlfn.VSTACK(YES_Writing_ELA[#Data],YES_Writing_FLA[#Data]),MATCH($A372,_xlfn.VSTACK(YES_Writing_ELA[Student Number],YES_Writing_FLA[Student Number]),0),MATCH(VLOOKUP(G$7,'Writing Logic'!$J$7:$K$11,2,FALSE)&amp;" - Per "&amp;VLOOKUP($C$4,'Writing Logic'!$G$8:$H$14,2,FALSE),YES_Writing_ELA[#Headers],0)))),"")</f>
        <v/>
      </c>
      <c r="H372" s="138" t="str">
        <f>IFERROR(IF(IF(INDEX(_xlfn.VSTACK(YES_Writing_ELA[#Data],YES_Writing_FLA[#Data]),MATCH($A372,_xlfn.VSTACK(YES_Writing_ELA[Student Number],YES_Writing_FLA[Student Number]),0),MATCH(VLOOKUP(H$7,'Writing Logic'!$J$7:$K$11,2,FALSE)&amp;" - Per "&amp;VLOOKUP($C$4,'Writing Logic'!$G$8:$H$14,2,FALSE),YES_Writing_ELA[#Headers],0))=0,"",INDEX(_xlfn.VSTACK(YES_Writing_ELA[#Data],YES_Writing_FLA[#Data]),MATCH($A372,_xlfn.VSTACK(YES_Writing_ELA[Student Number],YES_Writing_FLA[Student Number]),0),MATCH(VLOOKUP(H$7,'Writing Logic'!$J$7:$K$11,2,FALSE)&amp;" - Per "&amp;VLOOKUP($C$4,'Writing Logic'!$G$8:$H$14,2,FALSE),YES_Writing_ELA[#Headers],0)))="INS",'Writing Logic'!$B$7,IF(INDEX(_xlfn.VSTACK(YES_Writing_ELA[#Data],YES_Writing_FLA[#Data]),MATCH($A372,_xlfn.VSTACK(YES_Writing_ELA[Student Number],YES_Writing_FLA[Student Number]),0),MATCH(VLOOKUP(H$7,'Writing Logic'!$J$7:$K$11,2,FALSE)&amp;" - Per "&amp;VLOOKUP($C$4,'Writing Logic'!$G$8:$H$14,2,FALSE),YES_Writing_ELA[#Headers],0))=0,"",INDEX(_xlfn.VSTACK(YES_Writing_ELA[#Data],YES_Writing_FLA[#Data]),MATCH($A372,_xlfn.VSTACK(YES_Writing_ELA[Student Number],YES_Writing_FLA[Student Number]),0),MATCH(VLOOKUP(H$7,'Writing Logic'!$J$7:$K$11,2,FALSE)&amp;" - Per "&amp;VLOOKUP($C$4,'Writing Logic'!$G$8:$H$14,2,FALSE),YES_Writing_ELA[#Headers],0)))),"")</f>
        <v/>
      </c>
    </row>
    <row r="373" spans="1:8" x14ac:dyDescent="0.25">
      <c r="A373" s="137"/>
      <c r="B373" s="137" t="str">
        <f>IFERROR(INDEX(_xlfn.VSTACK(YES_Writing_ELA[#Data], YES_Writing_FLA[#Data]),MATCH($A373,_xlfn.VSTACK(YES_Writing_ELA[Student Number], YES_Writing_FLA[Student Number]),0),MATCH(B$7,YES_Writing_ELA[#Headers],0)),"")</f>
        <v/>
      </c>
      <c r="C373" s="137" t="str">
        <f>IFERROR(INDEX(_xlfn.VSTACK(YES_Writing_ELA[#Data], YES_Writing_FLA[#Data]),MATCH($A373,_xlfn.VSTACK(YES_Writing_ELA[Student Number], YES_Writing_FLA[Student Number]),0),MATCH(C$7,YES_Writing_ELA[#Headers],0)),"")</f>
        <v/>
      </c>
      <c r="D373" s="138" t="str">
        <f>IFERROR(IF(IF(INDEX(_xlfn.VSTACK(YES_Writing_ELA[#Data],YES_Writing_FLA[#Data]),MATCH($A373,_xlfn.VSTACK(YES_Writing_ELA[Student Number],YES_Writing_FLA[Student Number]),0),MATCH(VLOOKUP(D$7,'Writing Logic'!$J$7:$K$11,2,FALSE)&amp;" - Per "&amp;VLOOKUP($C$4,'Writing Logic'!$G$8:$H$14,2,FALSE),YES_Writing_ELA[#Headers],0))=0,"",INDEX(_xlfn.VSTACK(YES_Writing_ELA[#Data],YES_Writing_FLA[#Data]),MATCH($A373,_xlfn.VSTACK(YES_Writing_ELA[Student Number],YES_Writing_FLA[Student Number]),0),MATCH(VLOOKUP(D$7,'Writing Logic'!$J$7:$K$11,2,FALSE)&amp;" - Per "&amp;VLOOKUP($C$4,'Writing Logic'!$G$8:$H$14,2,FALSE),YES_Writing_ELA[#Headers],0)))="INS",'Writing Logic'!$B$7,IF(INDEX(_xlfn.VSTACK(YES_Writing_ELA[#Data],YES_Writing_FLA[#Data]),MATCH($A373,_xlfn.VSTACK(YES_Writing_ELA[Student Number],YES_Writing_FLA[Student Number]),0),MATCH(VLOOKUP(D$7,'Writing Logic'!$J$7:$K$11,2,FALSE)&amp;" - Per "&amp;VLOOKUP($C$4,'Writing Logic'!$G$8:$H$14,2,FALSE),YES_Writing_ELA[#Headers],0))=0,"",INDEX(_xlfn.VSTACK(YES_Writing_ELA[#Data],YES_Writing_FLA[#Data]),MATCH($A373,_xlfn.VSTACK(YES_Writing_ELA[Student Number],YES_Writing_FLA[Student Number]),0),MATCH(VLOOKUP(D$7,'Writing Logic'!$J$7:$K$11,2,FALSE)&amp;" - Per "&amp;VLOOKUP($C$4,'Writing Logic'!$G$8:$H$14,2,FALSE),YES_Writing_ELA[#Headers],0)))),"")</f>
        <v/>
      </c>
      <c r="E373" s="138" t="str">
        <f>IFERROR(IF(IF(INDEX(_xlfn.VSTACK(YES_Writing_ELA[#Data],YES_Writing_FLA[#Data]),MATCH($A373,_xlfn.VSTACK(YES_Writing_ELA[Student Number],YES_Writing_FLA[Student Number]),0),MATCH(VLOOKUP(E$7,'Writing Logic'!$J$7:$K$11,2,FALSE)&amp;" - Per "&amp;VLOOKUP($C$4,'Writing Logic'!$G$8:$H$14,2,FALSE),YES_Writing_ELA[#Headers],0))=0,"",INDEX(_xlfn.VSTACK(YES_Writing_ELA[#Data],YES_Writing_FLA[#Data]),MATCH($A373,_xlfn.VSTACK(YES_Writing_ELA[Student Number],YES_Writing_FLA[Student Number]),0),MATCH(VLOOKUP(E$7,'Writing Logic'!$J$7:$K$11,2,FALSE)&amp;" - Per "&amp;VLOOKUP($C$4,'Writing Logic'!$G$8:$H$14,2,FALSE),YES_Writing_ELA[#Headers],0)))="INS",'Writing Logic'!$B$7,IF(INDEX(_xlfn.VSTACK(YES_Writing_ELA[#Data],YES_Writing_FLA[#Data]),MATCH($A373,_xlfn.VSTACK(YES_Writing_ELA[Student Number],YES_Writing_FLA[Student Number]),0),MATCH(VLOOKUP(E$7,'Writing Logic'!$J$7:$K$11,2,FALSE)&amp;" - Per "&amp;VLOOKUP($C$4,'Writing Logic'!$G$8:$H$14,2,FALSE),YES_Writing_ELA[#Headers],0))=0,"",INDEX(_xlfn.VSTACK(YES_Writing_ELA[#Data],YES_Writing_FLA[#Data]),MATCH($A373,_xlfn.VSTACK(YES_Writing_ELA[Student Number],YES_Writing_FLA[Student Number]),0),MATCH(VLOOKUP(E$7,'Writing Logic'!$J$7:$K$11,2,FALSE)&amp;" - Per "&amp;VLOOKUP($C$4,'Writing Logic'!$G$8:$H$14,2,FALSE),YES_Writing_ELA[#Headers],0)))),"")</f>
        <v/>
      </c>
      <c r="F373" s="138" t="str">
        <f>IFERROR(IF(IF(INDEX(_xlfn.VSTACK(YES_Writing_ELA[#Data],YES_Writing_FLA[#Data]),MATCH($A373,_xlfn.VSTACK(YES_Writing_ELA[Student Number],YES_Writing_FLA[Student Number]),0),MATCH(VLOOKUP(F$7,'Writing Logic'!$J$7:$K$11,2,FALSE)&amp;" - Per "&amp;VLOOKUP($C$4,'Writing Logic'!$G$8:$H$14,2,FALSE),YES_Writing_ELA[#Headers],0))=0,"",INDEX(_xlfn.VSTACK(YES_Writing_ELA[#Data],YES_Writing_FLA[#Data]),MATCH($A373,_xlfn.VSTACK(YES_Writing_ELA[Student Number],YES_Writing_FLA[Student Number]),0),MATCH(VLOOKUP(F$7,'Writing Logic'!$J$7:$K$11,2,FALSE)&amp;" - Per "&amp;VLOOKUP($C$4,'Writing Logic'!$G$8:$H$14,2,FALSE),YES_Writing_ELA[#Headers],0)))="INS",'Writing Logic'!$B$7,IF(INDEX(_xlfn.VSTACK(YES_Writing_ELA[#Data],YES_Writing_FLA[#Data]),MATCH($A373,_xlfn.VSTACK(YES_Writing_ELA[Student Number],YES_Writing_FLA[Student Number]),0),MATCH(VLOOKUP(F$7,'Writing Logic'!$J$7:$K$11,2,FALSE)&amp;" - Per "&amp;VLOOKUP($C$4,'Writing Logic'!$G$8:$H$14,2,FALSE),YES_Writing_ELA[#Headers],0))=0,"",INDEX(_xlfn.VSTACK(YES_Writing_ELA[#Data],YES_Writing_FLA[#Data]),MATCH($A373,_xlfn.VSTACK(YES_Writing_ELA[Student Number],YES_Writing_FLA[Student Number]),0),MATCH(VLOOKUP(F$7,'Writing Logic'!$J$7:$K$11,2,FALSE)&amp;" - Per "&amp;VLOOKUP($C$4,'Writing Logic'!$G$8:$H$14,2,FALSE),YES_Writing_ELA[#Headers],0)))),"")</f>
        <v/>
      </c>
      <c r="G373" s="138" t="str">
        <f>IFERROR(IF(IF(INDEX(_xlfn.VSTACK(YES_Writing_ELA[#Data],YES_Writing_FLA[#Data]),MATCH($A373,_xlfn.VSTACK(YES_Writing_ELA[Student Number],YES_Writing_FLA[Student Number]),0),MATCH(VLOOKUP(G$7,'Writing Logic'!$J$7:$K$11,2,FALSE)&amp;" - Per "&amp;VLOOKUP($C$4,'Writing Logic'!$G$8:$H$14,2,FALSE),YES_Writing_ELA[#Headers],0))=0,"",INDEX(_xlfn.VSTACK(YES_Writing_ELA[#Data],YES_Writing_FLA[#Data]),MATCH($A373,_xlfn.VSTACK(YES_Writing_ELA[Student Number],YES_Writing_FLA[Student Number]),0),MATCH(VLOOKUP(G$7,'Writing Logic'!$J$7:$K$11,2,FALSE)&amp;" - Per "&amp;VLOOKUP($C$4,'Writing Logic'!$G$8:$H$14,2,FALSE),YES_Writing_ELA[#Headers],0)))="INS",'Writing Logic'!$B$7,IF(INDEX(_xlfn.VSTACK(YES_Writing_ELA[#Data],YES_Writing_FLA[#Data]),MATCH($A373,_xlfn.VSTACK(YES_Writing_ELA[Student Number],YES_Writing_FLA[Student Number]),0),MATCH(VLOOKUP(G$7,'Writing Logic'!$J$7:$K$11,2,FALSE)&amp;" - Per "&amp;VLOOKUP($C$4,'Writing Logic'!$G$8:$H$14,2,FALSE),YES_Writing_ELA[#Headers],0))=0,"",INDEX(_xlfn.VSTACK(YES_Writing_ELA[#Data],YES_Writing_FLA[#Data]),MATCH($A373,_xlfn.VSTACK(YES_Writing_ELA[Student Number],YES_Writing_FLA[Student Number]),0),MATCH(VLOOKUP(G$7,'Writing Logic'!$J$7:$K$11,2,FALSE)&amp;" - Per "&amp;VLOOKUP($C$4,'Writing Logic'!$G$8:$H$14,2,FALSE),YES_Writing_ELA[#Headers],0)))),"")</f>
        <v/>
      </c>
      <c r="H373" s="138" t="str">
        <f>IFERROR(IF(IF(INDEX(_xlfn.VSTACK(YES_Writing_ELA[#Data],YES_Writing_FLA[#Data]),MATCH($A373,_xlfn.VSTACK(YES_Writing_ELA[Student Number],YES_Writing_FLA[Student Number]),0),MATCH(VLOOKUP(H$7,'Writing Logic'!$J$7:$K$11,2,FALSE)&amp;" - Per "&amp;VLOOKUP($C$4,'Writing Logic'!$G$8:$H$14,2,FALSE),YES_Writing_ELA[#Headers],0))=0,"",INDEX(_xlfn.VSTACK(YES_Writing_ELA[#Data],YES_Writing_FLA[#Data]),MATCH($A373,_xlfn.VSTACK(YES_Writing_ELA[Student Number],YES_Writing_FLA[Student Number]),0),MATCH(VLOOKUP(H$7,'Writing Logic'!$J$7:$K$11,2,FALSE)&amp;" - Per "&amp;VLOOKUP($C$4,'Writing Logic'!$G$8:$H$14,2,FALSE),YES_Writing_ELA[#Headers],0)))="INS",'Writing Logic'!$B$7,IF(INDEX(_xlfn.VSTACK(YES_Writing_ELA[#Data],YES_Writing_FLA[#Data]),MATCH($A373,_xlfn.VSTACK(YES_Writing_ELA[Student Number],YES_Writing_FLA[Student Number]),0),MATCH(VLOOKUP(H$7,'Writing Logic'!$J$7:$K$11,2,FALSE)&amp;" - Per "&amp;VLOOKUP($C$4,'Writing Logic'!$G$8:$H$14,2,FALSE),YES_Writing_ELA[#Headers],0))=0,"",INDEX(_xlfn.VSTACK(YES_Writing_ELA[#Data],YES_Writing_FLA[#Data]),MATCH($A373,_xlfn.VSTACK(YES_Writing_ELA[Student Number],YES_Writing_FLA[Student Number]),0),MATCH(VLOOKUP(H$7,'Writing Logic'!$J$7:$K$11,2,FALSE)&amp;" - Per "&amp;VLOOKUP($C$4,'Writing Logic'!$G$8:$H$14,2,FALSE),YES_Writing_ELA[#Headers],0)))),"")</f>
        <v/>
      </c>
    </row>
    <row r="374" spans="1:8" x14ac:dyDescent="0.25">
      <c r="A374" s="137"/>
      <c r="B374" s="137" t="str">
        <f>IFERROR(INDEX(_xlfn.VSTACK(YES_Writing_ELA[#Data], YES_Writing_FLA[#Data]),MATCH($A374,_xlfn.VSTACK(YES_Writing_ELA[Student Number], YES_Writing_FLA[Student Number]),0),MATCH(B$7,YES_Writing_ELA[#Headers],0)),"")</f>
        <v/>
      </c>
      <c r="C374" s="137" t="str">
        <f>IFERROR(INDEX(_xlfn.VSTACK(YES_Writing_ELA[#Data], YES_Writing_FLA[#Data]),MATCH($A374,_xlfn.VSTACK(YES_Writing_ELA[Student Number], YES_Writing_FLA[Student Number]),0),MATCH(C$7,YES_Writing_ELA[#Headers],0)),"")</f>
        <v/>
      </c>
      <c r="D374" s="138" t="str">
        <f>IFERROR(IF(IF(INDEX(_xlfn.VSTACK(YES_Writing_ELA[#Data],YES_Writing_FLA[#Data]),MATCH($A374,_xlfn.VSTACK(YES_Writing_ELA[Student Number],YES_Writing_FLA[Student Number]),0),MATCH(VLOOKUP(D$7,'Writing Logic'!$J$7:$K$11,2,FALSE)&amp;" - Per "&amp;VLOOKUP($C$4,'Writing Logic'!$G$8:$H$14,2,FALSE),YES_Writing_ELA[#Headers],0))=0,"",INDEX(_xlfn.VSTACK(YES_Writing_ELA[#Data],YES_Writing_FLA[#Data]),MATCH($A374,_xlfn.VSTACK(YES_Writing_ELA[Student Number],YES_Writing_FLA[Student Number]),0),MATCH(VLOOKUP(D$7,'Writing Logic'!$J$7:$K$11,2,FALSE)&amp;" - Per "&amp;VLOOKUP($C$4,'Writing Logic'!$G$8:$H$14,2,FALSE),YES_Writing_ELA[#Headers],0)))="INS",'Writing Logic'!$B$7,IF(INDEX(_xlfn.VSTACK(YES_Writing_ELA[#Data],YES_Writing_FLA[#Data]),MATCH($A374,_xlfn.VSTACK(YES_Writing_ELA[Student Number],YES_Writing_FLA[Student Number]),0),MATCH(VLOOKUP(D$7,'Writing Logic'!$J$7:$K$11,2,FALSE)&amp;" - Per "&amp;VLOOKUP($C$4,'Writing Logic'!$G$8:$H$14,2,FALSE),YES_Writing_ELA[#Headers],0))=0,"",INDEX(_xlfn.VSTACK(YES_Writing_ELA[#Data],YES_Writing_FLA[#Data]),MATCH($A374,_xlfn.VSTACK(YES_Writing_ELA[Student Number],YES_Writing_FLA[Student Number]),0),MATCH(VLOOKUP(D$7,'Writing Logic'!$J$7:$K$11,2,FALSE)&amp;" - Per "&amp;VLOOKUP($C$4,'Writing Logic'!$G$8:$H$14,2,FALSE),YES_Writing_ELA[#Headers],0)))),"")</f>
        <v/>
      </c>
      <c r="E374" s="138" t="str">
        <f>IFERROR(IF(IF(INDEX(_xlfn.VSTACK(YES_Writing_ELA[#Data],YES_Writing_FLA[#Data]),MATCH($A374,_xlfn.VSTACK(YES_Writing_ELA[Student Number],YES_Writing_FLA[Student Number]),0),MATCH(VLOOKUP(E$7,'Writing Logic'!$J$7:$K$11,2,FALSE)&amp;" - Per "&amp;VLOOKUP($C$4,'Writing Logic'!$G$8:$H$14,2,FALSE),YES_Writing_ELA[#Headers],0))=0,"",INDEX(_xlfn.VSTACK(YES_Writing_ELA[#Data],YES_Writing_FLA[#Data]),MATCH($A374,_xlfn.VSTACK(YES_Writing_ELA[Student Number],YES_Writing_FLA[Student Number]),0),MATCH(VLOOKUP(E$7,'Writing Logic'!$J$7:$K$11,2,FALSE)&amp;" - Per "&amp;VLOOKUP($C$4,'Writing Logic'!$G$8:$H$14,2,FALSE),YES_Writing_ELA[#Headers],0)))="INS",'Writing Logic'!$B$7,IF(INDEX(_xlfn.VSTACK(YES_Writing_ELA[#Data],YES_Writing_FLA[#Data]),MATCH($A374,_xlfn.VSTACK(YES_Writing_ELA[Student Number],YES_Writing_FLA[Student Number]),0),MATCH(VLOOKUP(E$7,'Writing Logic'!$J$7:$K$11,2,FALSE)&amp;" - Per "&amp;VLOOKUP($C$4,'Writing Logic'!$G$8:$H$14,2,FALSE),YES_Writing_ELA[#Headers],0))=0,"",INDEX(_xlfn.VSTACK(YES_Writing_ELA[#Data],YES_Writing_FLA[#Data]),MATCH($A374,_xlfn.VSTACK(YES_Writing_ELA[Student Number],YES_Writing_FLA[Student Number]),0),MATCH(VLOOKUP(E$7,'Writing Logic'!$J$7:$K$11,2,FALSE)&amp;" - Per "&amp;VLOOKUP($C$4,'Writing Logic'!$G$8:$H$14,2,FALSE),YES_Writing_ELA[#Headers],0)))),"")</f>
        <v/>
      </c>
      <c r="F374" s="138" t="str">
        <f>IFERROR(IF(IF(INDEX(_xlfn.VSTACK(YES_Writing_ELA[#Data],YES_Writing_FLA[#Data]),MATCH($A374,_xlfn.VSTACK(YES_Writing_ELA[Student Number],YES_Writing_FLA[Student Number]),0),MATCH(VLOOKUP(F$7,'Writing Logic'!$J$7:$K$11,2,FALSE)&amp;" - Per "&amp;VLOOKUP($C$4,'Writing Logic'!$G$8:$H$14,2,FALSE),YES_Writing_ELA[#Headers],0))=0,"",INDEX(_xlfn.VSTACK(YES_Writing_ELA[#Data],YES_Writing_FLA[#Data]),MATCH($A374,_xlfn.VSTACK(YES_Writing_ELA[Student Number],YES_Writing_FLA[Student Number]),0),MATCH(VLOOKUP(F$7,'Writing Logic'!$J$7:$K$11,2,FALSE)&amp;" - Per "&amp;VLOOKUP($C$4,'Writing Logic'!$G$8:$H$14,2,FALSE),YES_Writing_ELA[#Headers],0)))="INS",'Writing Logic'!$B$7,IF(INDEX(_xlfn.VSTACK(YES_Writing_ELA[#Data],YES_Writing_FLA[#Data]),MATCH($A374,_xlfn.VSTACK(YES_Writing_ELA[Student Number],YES_Writing_FLA[Student Number]),0),MATCH(VLOOKUP(F$7,'Writing Logic'!$J$7:$K$11,2,FALSE)&amp;" - Per "&amp;VLOOKUP($C$4,'Writing Logic'!$G$8:$H$14,2,FALSE),YES_Writing_ELA[#Headers],0))=0,"",INDEX(_xlfn.VSTACK(YES_Writing_ELA[#Data],YES_Writing_FLA[#Data]),MATCH($A374,_xlfn.VSTACK(YES_Writing_ELA[Student Number],YES_Writing_FLA[Student Number]),0),MATCH(VLOOKUP(F$7,'Writing Logic'!$J$7:$K$11,2,FALSE)&amp;" - Per "&amp;VLOOKUP($C$4,'Writing Logic'!$G$8:$H$14,2,FALSE),YES_Writing_ELA[#Headers],0)))),"")</f>
        <v/>
      </c>
      <c r="G374" s="138" t="str">
        <f>IFERROR(IF(IF(INDEX(_xlfn.VSTACK(YES_Writing_ELA[#Data],YES_Writing_FLA[#Data]),MATCH($A374,_xlfn.VSTACK(YES_Writing_ELA[Student Number],YES_Writing_FLA[Student Number]),0),MATCH(VLOOKUP(G$7,'Writing Logic'!$J$7:$K$11,2,FALSE)&amp;" - Per "&amp;VLOOKUP($C$4,'Writing Logic'!$G$8:$H$14,2,FALSE),YES_Writing_ELA[#Headers],0))=0,"",INDEX(_xlfn.VSTACK(YES_Writing_ELA[#Data],YES_Writing_FLA[#Data]),MATCH($A374,_xlfn.VSTACK(YES_Writing_ELA[Student Number],YES_Writing_FLA[Student Number]),0),MATCH(VLOOKUP(G$7,'Writing Logic'!$J$7:$K$11,2,FALSE)&amp;" - Per "&amp;VLOOKUP($C$4,'Writing Logic'!$G$8:$H$14,2,FALSE),YES_Writing_ELA[#Headers],0)))="INS",'Writing Logic'!$B$7,IF(INDEX(_xlfn.VSTACK(YES_Writing_ELA[#Data],YES_Writing_FLA[#Data]),MATCH($A374,_xlfn.VSTACK(YES_Writing_ELA[Student Number],YES_Writing_FLA[Student Number]),0),MATCH(VLOOKUP(G$7,'Writing Logic'!$J$7:$K$11,2,FALSE)&amp;" - Per "&amp;VLOOKUP($C$4,'Writing Logic'!$G$8:$H$14,2,FALSE),YES_Writing_ELA[#Headers],0))=0,"",INDEX(_xlfn.VSTACK(YES_Writing_ELA[#Data],YES_Writing_FLA[#Data]),MATCH($A374,_xlfn.VSTACK(YES_Writing_ELA[Student Number],YES_Writing_FLA[Student Number]),0),MATCH(VLOOKUP(G$7,'Writing Logic'!$J$7:$K$11,2,FALSE)&amp;" - Per "&amp;VLOOKUP($C$4,'Writing Logic'!$G$8:$H$14,2,FALSE),YES_Writing_ELA[#Headers],0)))),"")</f>
        <v/>
      </c>
      <c r="H374" s="138" t="str">
        <f>IFERROR(IF(IF(INDEX(_xlfn.VSTACK(YES_Writing_ELA[#Data],YES_Writing_FLA[#Data]),MATCH($A374,_xlfn.VSTACK(YES_Writing_ELA[Student Number],YES_Writing_FLA[Student Number]),0),MATCH(VLOOKUP(H$7,'Writing Logic'!$J$7:$K$11,2,FALSE)&amp;" - Per "&amp;VLOOKUP($C$4,'Writing Logic'!$G$8:$H$14,2,FALSE),YES_Writing_ELA[#Headers],0))=0,"",INDEX(_xlfn.VSTACK(YES_Writing_ELA[#Data],YES_Writing_FLA[#Data]),MATCH($A374,_xlfn.VSTACK(YES_Writing_ELA[Student Number],YES_Writing_FLA[Student Number]),0),MATCH(VLOOKUP(H$7,'Writing Logic'!$J$7:$K$11,2,FALSE)&amp;" - Per "&amp;VLOOKUP($C$4,'Writing Logic'!$G$8:$H$14,2,FALSE),YES_Writing_ELA[#Headers],0)))="INS",'Writing Logic'!$B$7,IF(INDEX(_xlfn.VSTACK(YES_Writing_ELA[#Data],YES_Writing_FLA[#Data]),MATCH($A374,_xlfn.VSTACK(YES_Writing_ELA[Student Number],YES_Writing_FLA[Student Number]),0),MATCH(VLOOKUP(H$7,'Writing Logic'!$J$7:$K$11,2,FALSE)&amp;" - Per "&amp;VLOOKUP($C$4,'Writing Logic'!$G$8:$H$14,2,FALSE),YES_Writing_ELA[#Headers],0))=0,"",INDEX(_xlfn.VSTACK(YES_Writing_ELA[#Data],YES_Writing_FLA[#Data]),MATCH($A374,_xlfn.VSTACK(YES_Writing_ELA[Student Number],YES_Writing_FLA[Student Number]),0),MATCH(VLOOKUP(H$7,'Writing Logic'!$J$7:$K$11,2,FALSE)&amp;" - Per "&amp;VLOOKUP($C$4,'Writing Logic'!$G$8:$H$14,2,FALSE),YES_Writing_ELA[#Headers],0)))),"")</f>
        <v/>
      </c>
    </row>
    <row r="375" spans="1:8" x14ac:dyDescent="0.25">
      <c r="A375" s="137"/>
      <c r="B375" s="137" t="str">
        <f>IFERROR(INDEX(_xlfn.VSTACK(YES_Writing_ELA[#Data], YES_Writing_FLA[#Data]),MATCH($A375,_xlfn.VSTACK(YES_Writing_ELA[Student Number], YES_Writing_FLA[Student Number]),0),MATCH(B$7,YES_Writing_ELA[#Headers],0)),"")</f>
        <v/>
      </c>
      <c r="C375" s="137" t="str">
        <f>IFERROR(INDEX(_xlfn.VSTACK(YES_Writing_ELA[#Data], YES_Writing_FLA[#Data]),MATCH($A375,_xlfn.VSTACK(YES_Writing_ELA[Student Number], YES_Writing_FLA[Student Number]),0),MATCH(C$7,YES_Writing_ELA[#Headers],0)),"")</f>
        <v/>
      </c>
      <c r="D375" s="138" t="str">
        <f>IFERROR(IF(IF(INDEX(_xlfn.VSTACK(YES_Writing_ELA[#Data],YES_Writing_FLA[#Data]),MATCH($A375,_xlfn.VSTACK(YES_Writing_ELA[Student Number],YES_Writing_FLA[Student Number]),0),MATCH(VLOOKUP(D$7,'Writing Logic'!$J$7:$K$11,2,FALSE)&amp;" - Per "&amp;VLOOKUP($C$4,'Writing Logic'!$G$8:$H$14,2,FALSE),YES_Writing_ELA[#Headers],0))=0,"",INDEX(_xlfn.VSTACK(YES_Writing_ELA[#Data],YES_Writing_FLA[#Data]),MATCH($A375,_xlfn.VSTACK(YES_Writing_ELA[Student Number],YES_Writing_FLA[Student Number]),0),MATCH(VLOOKUP(D$7,'Writing Logic'!$J$7:$K$11,2,FALSE)&amp;" - Per "&amp;VLOOKUP($C$4,'Writing Logic'!$G$8:$H$14,2,FALSE),YES_Writing_ELA[#Headers],0)))="INS",'Writing Logic'!$B$7,IF(INDEX(_xlfn.VSTACK(YES_Writing_ELA[#Data],YES_Writing_FLA[#Data]),MATCH($A375,_xlfn.VSTACK(YES_Writing_ELA[Student Number],YES_Writing_FLA[Student Number]),0),MATCH(VLOOKUP(D$7,'Writing Logic'!$J$7:$K$11,2,FALSE)&amp;" - Per "&amp;VLOOKUP($C$4,'Writing Logic'!$G$8:$H$14,2,FALSE),YES_Writing_ELA[#Headers],0))=0,"",INDEX(_xlfn.VSTACK(YES_Writing_ELA[#Data],YES_Writing_FLA[#Data]),MATCH($A375,_xlfn.VSTACK(YES_Writing_ELA[Student Number],YES_Writing_FLA[Student Number]),0),MATCH(VLOOKUP(D$7,'Writing Logic'!$J$7:$K$11,2,FALSE)&amp;" - Per "&amp;VLOOKUP($C$4,'Writing Logic'!$G$8:$H$14,2,FALSE),YES_Writing_ELA[#Headers],0)))),"")</f>
        <v/>
      </c>
      <c r="E375" s="138" t="str">
        <f>IFERROR(IF(IF(INDEX(_xlfn.VSTACK(YES_Writing_ELA[#Data],YES_Writing_FLA[#Data]),MATCH($A375,_xlfn.VSTACK(YES_Writing_ELA[Student Number],YES_Writing_FLA[Student Number]),0),MATCH(VLOOKUP(E$7,'Writing Logic'!$J$7:$K$11,2,FALSE)&amp;" - Per "&amp;VLOOKUP($C$4,'Writing Logic'!$G$8:$H$14,2,FALSE),YES_Writing_ELA[#Headers],0))=0,"",INDEX(_xlfn.VSTACK(YES_Writing_ELA[#Data],YES_Writing_FLA[#Data]),MATCH($A375,_xlfn.VSTACK(YES_Writing_ELA[Student Number],YES_Writing_FLA[Student Number]),0),MATCH(VLOOKUP(E$7,'Writing Logic'!$J$7:$K$11,2,FALSE)&amp;" - Per "&amp;VLOOKUP($C$4,'Writing Logic'!$G$8:$H$14,2,FALSE),YES_Writing_ELA[#Headers],0)))="INS",'Writing Logic'!$B$7,IF(INDEX(_xlfn.VSTACK(YES_Writing_ELA[#Data],YES_Writing_FLA[#Data]),MATCH($A375,_xlfn.VSTACK(YES_Writing_ELA[Student Number],YES_Writing_FLA[Student Number]),0),MATCH(VLOOKUP(E$7,'Writing Logic'!$J$7:$K$11,2,FALSE)&amp;" - Per "&amp;VLOOKUP($C$4,'Writing Logic'!$G$8:$H$14,2,FALSE),YES_Writing_ELA[#Headers],0))=0,"",INDEX(_xlfn.VSTACK(YES_Writing_ELA[#Data],YES_Writing_FLA[#Data]),MATCH($A375,_xlfn.VSTACK(YES_Writing_ELA[Student Number],YES_Writing_FLA[Student Number]),0),MATCH(VLOOKUP(E$7,'Writing Logic'!$J$7:$K$11,2,FALSE)&amp;" - Per "&amp;VLOOKUP($C$4,'Writing Logic'!$G$8:$H$14,2,FALSE),YES_Writing_ELA[#Headers],0)))),"")</f>
        <v/>
      </c>
      <c r="F375" s="138" t="str">
        <f>IFERROR(IF(IF(INDEX(_xlfn.VSTACK(YES_Writing_ELA[#Data],YES_Writing_FLA[#Data]),MATCH($A375,_xlfn.VSTACK(YES_Writing_ELA[Student Number],YES_Writing_FLA[Student Number]),0),MATCH(VLOOKUP(F$7,'Writing Logic'!$J$7:$K$11,2,FALSE)&amp;" - Per "&amp;VLOOKUP($C$4,'Writing Logic'!$G$8:$H$14,2,FALSE),YES_Writing_ELA[#Headers],0))=0,"",INDEX(_xlfn.VSTACK(YES_Writing_ELA[#Data],YES_Writing_FLA[#Data]),MATCH($A375,_xlfn.VSTACK(YES_Writing_ELA[Student Number],YES_Writing_FLA[Student Number]),0),MATCH(VLOOKUP(F$7,'Writing Logic'!$J$7:$K$11,2,FALSE)&amp;" - Per "&amp;VLOOKUP($C$4,'Writing Logic'!$G$8:$H$14,2,FALSE),YES_Writing_ELA[#Headers],0)))="INS",'Writing Logic'!$B$7,IF(INDEX(_xlfn.VSTACK(YES_Writing_ELA[#Data],YES_Writing_FLA[#Data]),MATCH($A375,_xlfn.VSTACK(YES_Writing_ELA[Student Number],YES_Writing_FLA[Student Number]),0),MATCH(VLOOKUP(F$7,'Writing Logic'!$J$7:$K$11,2,FALSE)&amp;" - Per "&amp;VLOOKUP($C$4,'Writing Logic'!$G$8:$H$14,2,FALSE),YES_Writing_ELA[#Headers],0))=0,"",INDEX(_xlfn.VSTACK(YES_Writing_ELA[#Data],YES_Writing_FLA[#Data]),MATCH($A375,_xlfn.VSTACK(YES_Writing_ELA[Student Number],YES_Writing_FLA[Student Number]),0),MATCH(VLOOKUP(F$7,'Writing Logic'!$J$7:$K$11,2,FALSE)&amp;" - Per "&amp;VLOOKUP($C$4,'Writing Logic'!$G$8:$H$14,2,FALSE),YES_Writing_ELA[#Headers],0)))),"")</f>
        <v/>
      </c>
      <c r="G375" s="138" t="str">
        <f>IFERROR(IF(IF(INDEX(_xlfn.VSTACK(YES_Writing_ELA[#Data],YES_Writing_FLA[#Data]),MATCH($A375,_xlfn.VSTACK(YES_Writing_ELA[Student Number],YES_Writing_FLA[Student Number]),0),MATCH(VLOOKUP(G$7,'Writing Logic'!$J$7:$K$11,2,FALSE)&amp;" - Per "&amp;VLOOKUP($C$4,'Writing Logic'!$G$8:$H$14,2,FALSE),YES_Writing_ELA[#Headers],0))=0,"",INDEX(_xlfn.VSTACK(YES_Writing_ELA[#Data],YES_Writing_FLA[#Data]),MATCH($A375,_xlfn.VSTACK(YES_Writing_ELA[Student Number],YES_Writing_FLA[Student Number]),0),MATCH(VLOOKUP(G$7,'Writing Logic'!$J$7:$K$11,2,FALSE)&amp;" - Per "&amp;VLOOKUP($C$4,'Writing Logic'!$G$8:$H$14,2,FALSE),YES_Writing_ELA[#Headers],0)))="INS",'Writing Logic'!$B$7,IF(INDEX(_xlfn.VSTACK(YES_Writing_ELA[#Data],YES_Writing_FLA[#Data]),MATCH($A375,_xlfn.VSTACK(YES_Writing_ELA[Student Number],YES_Writing_FLA[Student Number]),0),MATCH(VLOOKUP(G$7,'Writing Logic'!$J$7:$K$11,2,FALSE)&amp;" - Per "&amp;VLOOKUP($C$4,'Writing Logic'!$G$8:$H$14,2,FALSE),YES_Writing_ELA[#Headers],0))=0,"",INDEX(_xlfn.VSTACK(YES_Writing_ELA[#Data],YES_Writing_FLA[#Data]),MATCH($A375,_xlfn.VSTACK(YES_Writing_ELA[Student Number],YES_Writing_FLA[Student Number]),0),MATCH(VLOOKUP(G$7,'Writing Logic'!$J$7:$K$11,2,FALSE)&amp;" - Per "&amp;VLOOKUP($C$4,'Writing Logic'!$G$8:$H$14,2,FALSE),YES_Writing_ELA[#Headers],0)))),"")</f>
        <v/>
      </c>
      <c r="H375" s="138" t="str">
        <f>IFERROR(IF(IF(INDEX(_xlfn.VSTACK(YES_Writing_ELA[#Data],YES_Writing_FLA[#Data]),MATCH($A375,_xlfn.VSTACK(YES_Writing_ELA[Student Number],YES_Writing_FLA[Student Number]),0),MATCH(VLOOKUP(H$7,'Writing Logic'!$J$7:$K$11,2,FALSE)&amp;" - Per "&amp;VLOOKUP($C$4,'Writing Logic'!$G$8:$H$14,2,FALSE),YES_Writing_ELA[#Headers],0))=0,"",INDEX(_xlfn.VSTACK(YES_Writing_ELA[#Data],YES_Writing_FLA[#Data]),MATCH($A375,_xlfn.VSTACK(YES_Writing_ELA[Student Number],YES_Writing_FLA[Student Number]),0),MATCH(VLOOKUP(H$7,'Writing Logic'!$J$7:$K$11,2,FALSE)&amp;" - Per "&amp;VLOOKUP($C$4,'Writing Logic'!$G$8:$H$14,2,FALSE),YES_Writing_ELA[#Headers],0)))="INS",'Writing Logic'!$B$7,IF(INDEX(_xlfn.VSTACK(YES_Writing_ELA[#Data],YES_Writing_FLA[#Data]),MATCH($A375,_xlfn.VSTACK(YES_Writing_ELA[Student Number],YES_Writing_FLA[Student Number]),0),MATCH(VLOOKUP(H$7,'Writing Logic'!$J$7:$K$11,2,FALSE)&amp;" - Per "&amp;VLOOKUP($C$4,'Writing Logic'!$G$8:$H$14,2,FALSE),YES_Writing_ELA[#Headers],0))=0,"",INDEX(_xlfn.VSTACK(YES_Writing_ELA[#Data],YES_Writing_FLA[#Data]),MATCH($A375,_xlfn.VSTACK(YES_Writing_ELA[Student Number],YES_Writing_FLA[Student Number]),0),MATCH(VLOOKUP(H$7,'Writing Logic'!$J$7:$K$11,2,FALSE)&amp;" - Per "&amp;VLOOKUP($C$4,'Writing Logic'!$G$8:$H$14,2,FALSE),YES_Writing_ELA[#Headers],0)))),"")</f>
        <v/>
      </c>
    </row>
    <row r="376" spans="1:8" x14ac:dyDescent="0.25">
      <c r="A376" s="137"/>
      <c r="B376" s="137" t="str">
        <f>IFERROR(INDEX(_xlfn.VSTACK(YES_Writing_ELA[#Data], YES_Writing_FLA[#Data]),MATCH($A376,_xlfn.VSTACK(YES_Writing_ELA[Student Number], YES_Writing_FLA[Student Number]),0),MATCH(B$7,YES_Writing_ELA[#Headers],0)),"")</f>
        <v/>
      </c>
      <c r="C376" s="137" t="str">
        <f>IFERROR(INDEX(_xlfn.VSTACK(YES_Writing_ELA[#Data], YES_Writing_FLA[#Data]),MATCH($A376,_xlfn.VSTACK(YES_Writing_ELA[Student Number], YES_Writing_FLA[Student Number]),0),MATCH(C$7,YES_Writing_ELA[#Headers],0)),"")</f>
        <v/>
      </c>
      <c r="D376" s="138" t="str">
        <f>IFERROR(IF(IF(INDEX(_xlfn.VSTACK(YES_Writing_ELA[#Data],YES_Writing_FLA[#Data]),MATCH($A376,_xlfn.VSTACK(YES_Writing_ELA[Student Number],YES_Writing_FLA[Student Number]),0),MATCH(VLOOKUP(D$7,'Writing Logic'!$J$7:$K$11,2,FALSE)&amp;" - Per "&amp;VLOOKUP($C$4,'Writing Logic'!$G$8:$H$14,2,FALSE),YES_Writing_ELA[#Headers],0))=0,"",INDEX(_xlfn.VSTACK(YES_Writing_ELA[#Data],YES_Writing_FLA[#Data]),MATCH($A376,_xlfn.VSTACK(YES_Writing_ELA[Student Number],YES_Writing_FLA[Student Number]),0),MATCH(VLOOKUP(D$7,'Writing Logic'!$J$7:$K$11,2,FALSE)&amp;" - Per "&amp;VLOOKUP($C$4,'Writing Logic'!$G$8:$H$14,2,FALSE),YES_Writing_ELA[#Headers],0)))="INS",'Writing Logic'!$B$7,IF(INDEX(_xlfn.VSTACK(YES_Writing_ELA[#Data],YES_Writing_FLA[#Data]),MATCH($A376,_xlfn.VSTACK(YES_Writing_ELA[Student Number],YES_Writing_FLA[Student Number]),0),MATCH(VLOOKUP(D$7,'Writing Logic'!$J$7:$K$11,2,FALSE)&amp;" - Per "&amp;VLOOKUP($C$4,'Writing Logic'!$G$8:$H$14,2,FALSE),YES_Writing_ELA[#Headers],0))=0,"",INDEX(_xlfn.VSTACK(YES_Writing_ELA[#Data],YES_Writing_FLA[#Data]),MATCH($A376,_xlfn.VSTACK(YES_Writing_ELA[Student Number],YES_Writing_FLA[Student Number]),0),MATCH(VLOOKUP(D$7,'Writing Logic'!$J$7:$K$11,2,FALSE)&amp;" - Per "&amp;VLOOKUP($C$4,'Writing Logic'!$G$8:$H$14,2,FALSE),YES_Writing_ELA[#Headers],0)))),"")</f>
        <v/>
      </c>
      <c r="E376" s="138" t="str">
        <f>IFERROR(IF(IF(INDEX(_xlfn.VSTACK(YES_Writing_ELA[#Data],YES_Writing_FLA[#Data]),MATCH($A376,_xlfn.VSTACK(YES_Writing_ELA[Student Number],YES_Writing_FLA[Student Number]),0),MATCH(VLOOKUP(E$7,'Writing Logic'!$J$7:$K$11,2,FALSE)&amp;" - Per "&amp;VLOOKUP($C$4,'Writing Logic'!$G$8:$H$14,2,FALSE),YES_Writing_ELA[#Headers],0))=0,"",INDEX(_xlfn.VSTACK(YES_Writing_ELA[#Data],YES_Writing_FLA[#Data]),MATCH($A376,_xlfn.VSTACK(YES_Writing_ELA[Student Number],YES_Writing_FLA[Student Number]),0),MATCH(VLOOKUP(E$7,'Writing Logic'!$J$7:$K$11,2,FALSE)&amp;" - Per "&amp;VLOOKUP($C$4,'Writing Logic'!$G$8:$H$14,2,FALSE),YES_Writing_ELA[#Headers],0)))="INS",'Writing Logic'!$B$7,IF(INDEX(_xlfn.VSTACK(YES_Writing_ELA[#Data],YES_Writing_FLA[#Data]),MATCH($A376,_xlfn.VSTACK(YES_Writing_ELA[Student Number],YES_Writing_FLA[Student Number]),0),MATCH(VLOOKUP(E$7,'Writing Logic'!$J$7:$K$11,2,FALSE)&amp;" - Per "&amp;VLOOKUP($C$4,'Writing Logic'!$G$8:$H$14,2,FALSE),YES_Writing_ELA[#Headers],0))=0,"",INDEX(_xlfn.VSTACK(YES_Writing_ELA[#Data],YES_Writing_FLA[#Data]),MATCH($A376,_xlfn.VSTACK(YES_Writing_ELA[Student Number],YES_Writing_FLA[Student Number]),0),MATCH(VLOOKUP(E$7,'Writing Logic'!$J$7:$K$11,2,FALSE)&amp;" - Per "&amp;VLOOKUP($C$4,'Writing Logic'!$G$8:$H$14,2,FALSE),YES_Writing_ELA[#Headers],0)))),"")</f>
        <v/>
      </c>
      <c r="F376" s="138" t="str">
        <f>IFERROR(IF(IF(INDEX(_xlfn.VSTACK(YES_Writing_ELA[#Data],YES_Writing_FLA[#Data]),MATCH($A376,_xlfn.VSTACK(YES_Writing_ELA[Student Number],YES_Writing_FLA[Student Number]),0),MATCH(VLOOKUP(F$7,'Writing Logic'!$J$7:$K$11,2,FALSE)&amp;" - Per "&amp;VLOOKUP($C$4,'Writing Logic'!$G$8:$H$14,2,FALSE),YES_Writing_ELA[#Headers],0))=0,"",INDEX(_xlfn.VSTACK(YES_Writing_ELA[#Data],YES_Writing_FLA[#Data]),MATCH($A376,_xlfn.VSTACK(YES_Writing_ELA[Student Number],YES_Writing_FLA[Student Number]),0),MATCH(VLOOKUP(F$7,'Writing Logic'!$J$7:$K$11,2,FALSE)&amp;" - Per "&amp;VLOOKUP($C$4,'Writing Logic'!$G$8:$H$14,2,FALSE),YES_Writing_ELA[#Headers],0)))="INS",'Writing Logic'!$B$7,IF(INDEX(_xlfn.VSTACK(YES_Writing_ELA[#Data],YES_Writing_FLA[#Data]),MATCH($A376,_xlfn.VSTACK(YES_Writing_ELA[Student Number],YES_Writing_FLA[Student Number]),0),MATCH(VLOOKUP(F$7,'Writing Logic'!$J$7:$K$11,2,FALSE)&amp;" - Per "&amp;VLOOKUP($C$4,'Writing Logic'!$G$8:$H$14,2,FALSE),YES_Writing_ELA[#Headers],0))=0,"",INDEX(_xlfn.VSTACK(YES_Writing_ELA[#Data],YES_Writing_FLA[#Data]),MATCH($A376,_xlfn.VSTACK(YES_Writing_ELA[Student Number],YES_Writing_FLA[Student Number]),0),MATCH(VLOOKUP(F$7,'Writing Logic'!$J$7:$K$11,2,FALSE)&amp;" - Per "&amp;VLOOKUP($C$4,'Writing Logic'!$G$8:$H$14,2,FALSE),YES_Writing_ELA[#Headers],0)))),"")</f>
        <v/>
      </c>
      <c r="G376" s="138" t="str">
        <f>IFERROR(IF(IF(INDEX(_xlfn.VSTACK(YES_Writing_ELA[#Data],YES_Writing_FLA[#Data]),MATCH($A376,_xlfn.VSTACK(YES_Writing_ELA[Student Number],YES_Writing_FLA[Student Number]),0),MATCH(VLOOKUP(G$7,'Writing Logic'!$J$7:$K$11,2,FALSE)&amp;" - Per "&amp;VLOOKUP($C$4,'Writing Logic'!$G$8:$H$14,2,FALSE),YES_Writing_ELA[#Headers],0))=0,"",INDEX(_xlfn.VSTACK(YES_Writing_ELA[#Data],YES_Writing_FLA[#Data]),MATCH($A376,_xlfn.VSTACK(YES_Writing_ELA[Student Number],YES_Writing_FLA[Student Number]),0),MATCH(VLOOKUP(G$7,'Writing Logic'!$J$7:$K$11,2,FALSE)&amp;" - Per "&amp;VLOOKUP($C$4,'Writing Logic'!$G$8:$H$14,2,FALSE),YES_Writing_ELA[#Headers],0)))="INS",'Writing Logic'!$B$7,IF(INDEX(_xlfn.VSTACK(YES_Writing_ELA[#Data],YES_Writing_FLA[#Data]),MATCH($A376,_xlfn.VSTACK(YES_Writing_ELA[Student Number],YES_Writing_FLA[Student Number]),0),MATCH(VLOOKUP(G$7,'Writing Logic'!$J$7:$K$11,2,FALSE)&amp;" - Per "&amp;VLOOKUP($C$4,'Writing Logic'!$G$8:$H$14,2,FALSE),YES_Writing_ELA[#Headers],0))=0,"",INDEX(_xlfn.VSTACK(YES_Writing_ELA[#Data],YES_Writing_FLA[#Data]),MATCH($A376,_xlfn.VSTACK(YES_Writing_ELA[Student Number],YES_Writing_FLA[Student Number]),0),MATCH(VLOOKUP(G$7,'Writing Logic'!$J$7:$K$11,2,FALSE)&amp;" - Per "&amp;VLOOKUP($C$4,'Writing Logic'!$G$8:$H$14,2,FALSE),YES_Writing_ELA[#Headers],0)))),"")</f>
        <v/>
      </c>
      <c r="H376" s="138" t="str">
        <f>IFERROR(IF(IF(INDEX(_xlfn.VSTACK(YES_Writing_ELA[#Data],YES_Writing_FLA[#Data]),MATCH($A376,_xlfn.VSTACK(YES_Writing_ELA[Student Number],YES_Writing_FLA[Student Number]),0),MATCH(VLOOKUP(H$7,'Writing Logic'!$J$7:$K$11,2,FALSE)&amp;" - Per "&amp;VLOOKUP($C$4,'Writing Logic'!$G$8:$H$14,2,FALSE),YES_Writing_ELA[#Headers],0))=0,"",INDEX(_xlfn.VSTACK(YES_Writing_ELA[#Data],YES_Writing_FLA[#Data]),MATCH($A376,_xlfn.VSTACK(YES_Writing_ELA[Student Number],YES_Writing_FLA[Student Number]),0),MATCH(VLOOKUP(H$7,'Writing Logic'!$J$7:$K$11,2,FALSE)&amp;" - Per "&amp;VLOOKUP($C$4,'Writing Logic'!$G$8:$H$14,2,FALSE),YES_Writing_ELA[#Headers],0)))="INS",'Writing Logic'!$B$7,IF(INDEX(_xlfn.VSTACK(YES_Writing_ELA[#Data],YES_Writing_FLA[#Data]),MATCH($A376,_xlfn.VSTACK(YES_Writing_ELA[Student Number],YES_Writing_FLA[Student Number]),0),MATCH(VLOOKUP(H$7,'Writing Logic'!$J$7:$K$11,2,FALSE)&amp;" - Per "&amp;VLOOKUP($C$4,'Writing Logic'!$G$8:$H$14,2,FALSE),YES_Writing_ELA[#Headers],0))=0,"",INDEX(_xlfn.VSTACK(YES_Writing_ELA[#Data],YES_Writing_FLA[#Data]),MATCH($A376,_xlfn.VSTACK(YES_Writing_ELA[Student Number],YES_Writing_FLA[Student Number]),0),MATCH(VLOOKUP(H$7,'Writing Logic'!$J$7:$K$11,2,FALSE)&amp;" - Per "&amp;VLOOKUP($C$4,'Writing Logic'!$G$8:$H$14,2,FALSE),YES_Writing_ELA[#Headers],0)))),"")</f>
        <v/>
      </c>
    </row>
    <row r="377" spans="1:8" x14ac:dyDescent="0.25">
      <c r="A377" s="137"/>
      <c r="B377" s="137" t="str">
        <f>IFERROR(INDEX(_xlfn.VSTACK(YES_Writing_ELA[#Data], YES_Writing_FLA[#Data]),MATCH($A377,_xlfn.VSTACK(YES_Writing_ELA[Student Number], YES_Writing_FLA[Student Number]),0),MATCH(B$7,YES_Writing_ELA[#Headers],0)),"")</f>
        <v/>
      </c>
      <c r="C377" s="137" t="str">
        <f>IFERROR(INDEX(_xlfn.VSTACK(YES_Writing_ELA[#Data], YES_Writing_FLA[#Data]),MATCH($A377,_xlfn.VSTACK(YES_Writing_ELA[Student Number], YES_Writing_FLA[Student Number]),0),MATCH(C$7,YES_Writing_ELA[#Headers],0)),"")</f>
        <v/>
      </c>
      <c r="D377" s="138" t="str">
        <f>IFERROR(IF(IF(INDEX(_xlfn.VSTACK(YES_Writing_ELA[#Data],YES_Writing_FLA[#Data]),MATCH($A377,_xlfn.VSTACK(YES_Writing_ELA[Student Number],YES_Writing_FLA[Student Number]),0),MATCH(VLOOKUP(D$7,'Writing Logic'!$J$7:$K$11,2,FALSE)&amp;" - Per "&amp;VLOOKUP($C$4,'Writing Logic'!$G$8:$H$14,2,FALSE),YES_Writing_ELA[#Headers],0))=0,"",INDEX(_xlfn.VSTACK(YES_Writing_ELA[#Data],YES_Writing_FLA[#Data]),MATCH($A377,_xlfn.VSTACK(YES_Writing_ELA[Student Number],YES_Writing_FLA[Student Number]),0),MATCH(VLOOKUP(D$7,'Writing Logic'!$J$7:$K$11,2,FALSE)&amp;" - Per "&amp;VLOOKUP($C$4,'Writing Logic'!$G$8:$H$14,2,FALSE),YES_Writing_ELA[#Headers],0)))="INS",'Writing Logic'!$B$7,IF(INDEX(_xlfn.VSTACK(YES_Writing_ELA[#Data],YES_Writing_FLA[#Data]),MATCH($A377,_xlfn.VSTACK(YES_Writing_ELA[Student Number],YES_Writing_FLA[Student Number]),0),MATCH(VLOOKUP(D$7,'Writing Logic'!$J$7:$K$11,2,FALSE)&amp;" - Per "&amp;VLOOKUP($C$4,'Writing Logic'!$G$8:$H$14,2,FALSE),YES_Writing_ELA[#Headers],0))=0,"",INDEX(_xlfn.VSTACK(YES_Writing_ELA[#Data],YES_Writing_FLA[#Data]),MATCH($A377,_xlfn.VSTACK(YES_Writing_ELA[Student Number],YES_Writing_FLA[Student Number]),0),MATCH(VLOOKUP(D$7,'Writing Logic'!$J$7:$K$11,2,FALSE)&amp;" - Per "&amp;VLOOKUP($C$4,'Writing Logic'!$G$8:$H$14,2,FALSE),YES_Writing_ELA[#Headers],0)))),"")</f>
        <v/>
      </c>
      <c r="E377" s="138" t="str">
        <f>IFERROR(IF(IF(INDEX(_xlfn.VSTACK(YES_Writing_ELA[#Data],YES_Writing_FLA[#Data]),MATCH($A377,_xlfn.VSTACK(YES_Writing_ELA[Student Number],YES_Writing_FLA[Student Number]),0),MATCH(VLOOKUP(E$7,'Writing Logic'!$J$7:$K$11,2,FALSE)&amp;" - Per "&amp;VLOOKUP($C$4,'Writing Logic'!$G$8:$H$14,2,FALSE),YES_Writing_ELA[#Headers],0))=0,"",INDEX(_xlfn.VSTACK(YES_Writing_ELA[#Data],YES_Writing_FLA[#Data]),MATCH($A377,_xlfn.VSTACK(YES_Writing_ELA[Student Number],YES_Writing_FLA[Student Number]),0),MATCH(VLOOKUP(E$7,'Writing Logic'!$J$7:$K$11,2,FALSE)&amp;" - Per "&amp;VLOOKUP($C$4,'Writing Logic'!$G$8:$H$14,2,FALSE),YES_Writing_ELA[#Headers],0)))="INS",'Writing Logic'!$B$7,IF(INDEX(_xlfn.VSTACK(YES_Writing_ELA[#Data],YES_Writing_FLA[#Data]),MATCH($A377,_xlfn.VSTACK(YES_Writing_ELA[Student Number],YES_Writing_FLA[Student Number]),0),MATCH(VLOOKUP(E$7,'Writing Logic'!$J$7:$K$11,2,FALSE)&amp;" - Per "&amp;VLOOKUP($C$4,'Writing Logic'!$G$8:$H$14,2,FALSE),YES_Writing_ELA[#Headers],0))=0,"",INDEX(_xlfn.VSTACK(YES_Writing_ELA[#Data],YES_Writing_FLA[#Data]),MATCH($A377,_xlfn.VSTACK(YES_Writing_ELA[Student Number],YES_Writing_FLA[Student Number]),0),MATCH(VLOOKUP(E$7,'Writing Logic'!$J$7:$K$11,2,FALSE)&amp;" - Per "&amp;VLOOKUP($C$4,'Writing Logic'!$G$8:$H$14,2,FALSE),YES_Writing_ELA[#Headers],0)))),"")</f>
        <v/>
      </c>
      <c r="F377" s="138" t="str">
        <f>IFERROR(IF(IF(INDEX(_xlfn.VSTACK(YES_Writing_ELA[#Data],YES_Writing_FLA[#Data]),MATCH($A377,_xlfn.VSTACK(YES_Writing_ELA[Student Number],YES_Writing_FLA[Student Number]),0),MATCH(VLOOKUP(F$7,'Writing Logic'!$J$7:$K$11,2,FALSE)&amp;" - Per "&amp;VLOOKUP($C$4,'Writing Logic'!$G$8:$H$14,2,FALSE),YES_Writing_ELA[#Headers],0))=0,"",INDEX(_xlfn.VSTACK(YES_Writing_ELA[#Data],YES_Writing_FLA[#Data]),MATCH($A377,_xlfn.VSTACK(YES_Writing_ELA[Student Number],YES_Writing_FLA[Student Number]),0),MATCH(VLOOKUP(F$7,'Writing Logic'!$J$7:$K$11,2,FALSE)&amp;" - Per "&amp;VLOOKUP($C$4,'Writing Logic'!$G$8:$H$14,2,FALSE),YES_Writing_ELA[#Headers],0)))="INS",'Writing Logic'!$B$7,IF(INDEX(_xlfn.VSTACK(YES_Writing_ELA[#Data],YES_Writing_FLA[#Data]),MATCH($A377,_xlfn.VSTACK(YES_Writing_ELA[Student Number],YES_Writing_FLA[Student Number]),0),MATCH(VLOOKUP(F$7,'Writing Logic'!$J$7:$K$11,2,FALSE)&amp;" - Per "&amp;VLOOKUP($C$4,'Writing Logic'!$G$8:$H$14,2,FALSE),YES_Writing_ELA[#Headers],0))=0,"",INDEX(_xlfn.VSTACK(YES_Writing_ELA[#Data],YES_Writing_FLA[#Data]),MATCH($A377,_xlfn.VSTACK(YES_Writing_ELA[Student Number],YES_Writing_FLA[Student Number]),0),MATCH(VLOOKUP(F$7,'Writing Logic'!$J$7:$K$11,2,FALSE)&amp;" - Per "&amp;VLOOKUP($C$4,'Writing Logic'!$G$8:$H$14,2,FALSE),YES_Writing_ELA[#Headers],0)))),"")</f>
        <v/>
      </c>
      <c r="G377" s="138" t="str">
        <f>IFERROR(IF(IF(INDEX(_xlfn.VSTACK(YES_Writing_ELA[#Data],YES_Writing_FLA[#Data]),MATCH($A377,_xlfn.VSTACK(YES_Writing_ELA[Student Number],YES_Writing_FLA[Student Number]),0),MATCH(VLOOKUP(G$7,'Writing Logic'!$J$7:$K$11,2,FALSE)&amp;" - Per "&amp;VLOOKUP($C$4,'Writing Logic'!$G$8:$H$14,2,FALSE),YES_Writing_ELA[#Headers],0))=0,"",INDEX(_xlfn.VSTACK(YES_Writing_ELA[#Data],YES_Writing_FLA[#Data]),MATCH($A377,_xlfn.VSTACK(YES_Writing_ELA[Student Number],YES_Writing_FLA[Student Number]),0),MATCH(VLOOKUP(G$7,'Writing Logic'!$J$7:$K$11,2,FALSE)&amp;" - Per "&amp;VLOOKUP($C$4,'Writing Logic'!$G$8:$H$14,2,FALSE),YES_Writing_ELA[#Headers],0)))="INS",'Writing Logic'!$B$7,IF(INDEX(_xlfn.VSTACK(YES_Writing_ELA[#Data],YES_Writing_FLA[#Data]),MATCH($A377,_xlfn.VSTACK(YES_Writing_ELA[Student Number],YES_Writing_FLA[Student Number]),0),MATCH(VLOOKUP(G$7,'Writing Logic'!$J$7:$K$11,2,FALSE)&amp;" - Per "&amp;VLOOKUP($C$4,'Writing Logic'!$G$8:$H$14,2,FALSE),YES_Writing_ELA[#Headers],0))=0,"",INDEX(_xlfn.VSTACK(YES_Writing_ELA[#Data],YES_Writing_FLA[#Data]),MATCH($A377,_xlfn.VSTACK(YES_Writing_ELA[Student Number],YES_Writing_FLA[Student Number]),0),MATCH(VLOOKUP(G$7,'Writing Logic'!$J$7:$K$11,2,FALSE)&amp;" - Per "&amp;VLOOKUP($C$4,'Writing Logic'!$G$8:$H$14,2,FALSE),YES_Writing_ELA[#Headers],0)))),"")</f>
        <v/>
      </c>
      <c r="H377" s="138" t="str">
        <f>IFERROR(IF(IF(INDEX(_xlfn.VSTACK(YES_Writing_ELA[#Data],YES_Writing_FLA[#Data]),MATCH($A377,_xlfn.VSTACK(YES_Writing_ELA[Student Number],YES_Writing_FLA[Student Number]),0),MATCH(VLOOKUP(H$7,'Writing Logic'!$J$7:$K$11,2,FALSE)&amp;" - Per "&amp;VLOOKUP($C$4,'Writing Logic'!$G$8:$H$14,2,FALSE),YES_Writing_ELA[#Headers],0))=0,"",INDEX(_xlfn.VSTACK(YES_Writing_ELA[#Data],YES_Writing_FLA[#Data]),MATCH($A377,_xlfn.VSTACK(YES_Writing_ELA[Student Number],YES_Writing_FLA[Student Number]),0),MATCH(VLOOKUP(H$7,'Writing Logic'!$J$7:$K$11,2,FALSE)&amp;" - Per "&amp;VLOOKUP($C$4,'Writing Logic'!$G$8:$H$14,2,FALSE),YES_Writing_ELA[#Headers],0)))="INS",'Writing Logic'!$B$7,IF(INDEX(_xlfn.VSTACK(YES_Writing_ELA[#Data],YES_Writing_FLA[#Data]),MATCH($A377,_xlfn.VSTACK(YES_Writing_ELA[Student Number],YES_Writing_FLA[Student Number]),0),MATCH(VLOOKUP(H$7,'Writing Logic'!$J$7:$K$11,2,FALSE)&amp;" - Per "&amp;VLOOKUP($C$4,'Writing Logic'!$G$8:$H$14,2,FALSE),YES_Writing_ELA[#Headers],0))=0,"",INDEX(_xlfn.VSTACK(YES_Writing_ELA[#Data],YES_Writing_FLA[#Data]),MATCH($A377,_xlfn.VSTACK(YES_Writing_ELA[Student Number],YES_Writing_FLA[Student Number]),0),MATCH(VLOOKUP(H$7,'Writing Logic'!$J$7:$K$11,2,FALSE)&amp;" - Per "&amp;VLOOKUP($C$4,'Writing Logic'!$G$8:$H$14,2,FALSE),YES_Writing_ELA[#Headers],0)))),"")</f>
        <v/>
      </c>
    </row>
    <row r="378" spans="1:8" x14ac:dyDescent="0.25">
      <c r="A378" s="137"/>
      <c r="B378" s="137" t="str">
        <f>IFERROR(INDEX(_xlfn.VSTACK(YES_Writing_ELA[#Data], YES_Writing_FLA[#Data]),MATCH($A378,_xlfn.VSTACK(YES_Writing_ELA[Student Number], YES_Writing_FLA[Student Number]),0),MATCH(B$7,YES_Writing_ELA[#Headers],0)),"")</f>
        <v/>
      </c>
      <c r="C378" s="137" t="str">
        <f>IFERROR(INDEX(_xlfn.VSTACK(YES_Writing_ELA[#Data], YES_Writing_FLA[#Data]),MATCH($A378,_xlfn.VSTACK(YES_Writing_ELA[Student Number], YES_Writing_FLA[Student Number]),0),MATCH(C$7,YES_Writing_ELA[#Headers],0)),"")</f>
        <v/>
      </c>
      <c r="D378" s="138" t="str">
        <f>IFERROR(IF(IF(INDEX(_xlfn.VSTACK(YES_Writing_ELA[#Data],YES_Writing_FLA[#Data]),MATCH($A378,_xlfn.VSTACK(YES_Writing_ELA[Student Number],YES_Writing_FLA[Student Number]),0),MATCH(VLOOKUP(D$7,'Writing Logic'!$J$7:$K$11,2,FALSE)&amp;" - Per "&amp;VLOOKUP($C$4,'Writing Logic'!$G$8:$H$14,2,FALSE),YES_Writing_ELA[#Headers],0))=0,"",INDEX(_xlfn.VSTACK(YES_Writing_ELA[#Data],YES_Writing_FLA[#Data]),MATCH($A378,_xlfn.VSTACK(YES_Writing_ELA[Student Number],YES_Writing_FLA[Student Number]),0),MATCH(VLOOKUP(D$7,'Writing Logic'!$J$7:$K$11,2,FALSE)&amp;" - Per "&amp;VLOOKUP($C$4,'Writing Logic'!$G$8:$H$14,2,FALSE),YES_Writing_ELA[#Headers],0)))="INS",'Writing Logic'!$B$7,IF(INDEX(_xlfn.VSTACK(YES_Writing_ELA[#Data],YES_Writing_FLA[#Data]),MATCH($A378,_xlfn.VSTACK(YES_Writing_ELA[Student Number],YES_Writing_FLA[Student Number]),0),MATCH(VLOOKUP(D$7,'Writing Logic'!$J$7:$K$11,2,FALSE)&amp;" - Per "&amp;VLOOKUP($C$4,'Writing Logic'!$G$8:$H$14,2,FALSE),YES_Writing_ELA[#Headers],0))=0,"",INDEX(_xlfn.VSTACK(YES_Writing_ELA[#Data],YES_Writing_FLA[#Data]),MATCH($A378,_xlfn.VSTACK(YES_Writing_ELA[Student Number],YES_Writing_FLA[Student Number]),0),MATCH(VLOOKUP(D$7,'Writing Logic'!$J$7:$K$11,2,FALSE)&amp;" - Per "&amp;VLOOKUP($C$4,'Writing Logic'!$G$8:$H$14,2,FALSE),YES_Writing_ELA[#Headers],0)))),"")</f>
        <v/>
      </c>
      <c r="E378" s="138" t="str">
        <f>IFERROR(IF(IF(INDEX(_xlfn.VSTACK(YES_Writing_ELA[#Data],YES_Writing_FLA[#Data]),MATCH($A378,_xlfn.VSTACK(YES_Writing_ELA[Student Number],YES_Writing_FLA[Student Number]),0),MATCH(VLOOKUP(E$7,'Writing Logic'!$J$7:$K$11,2,FALSE)&amp;" - Per "&amp;VLOOKUP($C$4,'Writing Logic'!$G$8:$H$14,2,FALSE),YES_Writing_ELA[#Headers],0))=0,"",INDEX(_xlfn.VSTACK(YES_Writing_ELA[#Data],YES_Writing_FLA[#Data]),MATCH($A378,_xlfn.VSTACK(YES_Writing_ELA[Student Number],YES_Writing_FLA[Student Number]),0),MATCH(VLOOKUP(E$7,'Writing Logic'!$J$7:$K$11,2,FALSE)&amp;" - Per "&amp;VLOOKUP($C$4,'Writing Logic'!$G$8:$H$14,2,FALSE),YES_Writing_ELA[#Headers],0)))="INS",'Writing Logic'!$B$7,IF(INDEX(_xlfn.VSTACK(YES_Writing_ELA[#Data],YES_Writing_FLA[#Data]),MATCH($A378,_xlfn.VSTACK(YES_Writing_ELA[Student Number],YES_Writing_FLA[Student Number]),0),MATCH(VLOOKUP(E$7,'Writing Logic'!$J$7:$K$11,2,FALSE)&amp;" - Per "&amp;VLOOKUP($C$4,'Writing Logic'!$G$8:$H$14,2,FALSE),YES_Writing_ELA[#Headers],0))=0,"",INDEX(_xlfn.VSTACK(YES_Writing_ELA[#Data],YES_Writing_FLA[#Data]),MATCH($A378,_xlfn.VSTACK(YES_Writing_ELA[Student Number],YES_Writing_FLA[Student Number]),0),MATCH(VLOOKUP(E$7,'Writing Logic'!$J$7:$K$11,2,FALSE)&amp;" - Per "&amp;VLOOKUP($C$4,'Writing Logic'!$G$8:$H$14,2,FALSE),YES_Writing_ELA[#Headers],0)))),"")</f>
        <v/>
      </c>
      <c r="F378" s="138" t="str">
        <f>IFERROR(IF(IF(INDEX(_xlfn.VSTACK(YES_Writing_ELA[#Data],YES_Writing_FLA[#Data]),MATCH($A378,_xlfn.VSTACK(YES_Writing_ELA[Student Number],YES_Writing_FLA[Student Number]),0),MATCH(VLOOKUP(F$7,'Writing Logic'!$J$7:$K$11,2,FALSE)&amp;" - Per "&amp;VLOOKUP($C$4,'Writing Logic'!$G$8:$H$14,2,FALSE),YES_Writing_ELA[#Headers],0))=0,"",INDEX(_xlfn.VSTACK(YES_Writing_ELA[#Data],YES_Writing_FLA[#Data]),MATCH($A378,_xlfn.VSTACK(YES_Writing_ELA[Student Number],YES_Writing_FLA[Student Number]),0),MATCH(VLOOKUP(F$7,'Writing Logic'!$J$7:$K$11,2,FALSE)&amp;" - Per "&amp;VLOOKUP($C$4,'Writing Logic'!$G$8:$H$14,2,FALSE),YES_Writing_ELA[#Headers],0)))="INS",'Writing Logic'!$B$7,IF(INDEX(_xlfn.VSTACK(YES_Writing_ELA[#Data],YES_Writing_FLA[#Data]),MATCH($A378,_xlfn.VSTACK(YES_Writing_ELA[Student Number],YES_Writing_FLA[Student Number]),0),MATCH(VLOOKUP(F$7,'Writing Logic'!$J$7:$K$11,2,FALSE)&amp;" - Per "&amp;VLOOKUP($C$4,'Writing Logic'!$G$8:$H$14,2,FALSE),YES_Writing_ELA[#Headers],0))=0,"",INDEX(_xlfn.VSTACK(YES_Writing_ELA[#Data],YES_Writing_FLA[#Data]),MATCH($A378,_xlfn.VSTACK(YES_Writing_ELA[Student Number],YES_Writing_FLA[Student Number]),0),MATCH(VLOOKUP(F$7,'Writing Logic'!$J$7:$K$11,2,FALSE)&amp;" - Per "&amp;VLOOKUP($C$4,'Writing Logic'!$G$8:$H$14,2,FALSE),YES_Writing_ELA[#Headers],0)))),"")</f>
        <v/>
      </c>
      <c r="G378" s="138" t="str">
        <f>IFERROR(IF(IF(INDEX(_xlfn.VSTACK(YES_Writing_ELA[#Data],YES_Writing_FLA[#Data]),MATCH($A378,_xlfn.VSTACK(YES_Writing_ELA[Student Number],YES_Writing_FLA[Student Number]),0),MATCH(VLOOKUP(G$7,'Writing Logic'!$J$7:$K$11,2,FALSE)&amp;" - Per "&amp;VLOOKUP($C$4,'Writing Logic'!$G$8:$H$14,2,FALSE),YES_Writing_ELA[#Headers],0))=0,"",INDEX(_xlfn.VSTACK(YES_Writing_ELA[#Data],YES_Writing_FLA[#Data]),MATCH($A378,_xlfn.VSTACK(YES_Writing_ELA[Student Number],YES_Writing_FLA[Student Number]),0),MATCH(VLOOKUP(G$7,'Writing Logic'!$J$7:$K$11,2,FALSE)&amp;" - Per "&amp;VLOOKUP($C$4,'Writing Logic'!$G$8:$H$14,2,FALSE),YES_Writing_ELA[#Headers],0)))="INS",'Writing Logic'!$B$7,IF(INDEX(_xlfn.VSTACK(YES_Writing_ELA[#Data],YES_Writing_FLA[#Data]),MATCH($A378,_xlfn.VSTACK(YES_Writing_ELA[Student Number],YES_Writing_FLA[Student Number]),0),MATCH(VLOOKUP(G$7,'Writing Logic'!$J$7:$K$11,2,FALSE)&amp;" - Per "&amp;VLOOKUP($C$4,'Writing Logic'!$G$8:$H$14,2,FALSE),YES_Writing_ELA[#Headers],0))=0,"",INDEX(_xlfn.VSTACK(YES_Writing_ELA[#Data],YES_Writing_FLA[#Data]),MATCH($A378,_xlfn.VSTACK(YES_Writing_ELA[Student Number],YES_Writing_FLA[Student Number]),0),MATCH(VLOOKUP(G$7,'Writing Logic'!$J$7:$K$11,2,FALSE)&amp;" - Per "&amp;VLOOKUP($C$4,'Writing Logic'!$G$8:$H$14,2,FALSE),YES_Writing_ELA[#Headers],0)))),"")</f>
        <v/>
      </c>
      <c r="H378" s="138" t="str">
        <f>IFERROR(IF(IF(INDEX(_xlfn.VSTACK(YES_Writing_ELA[#Data],YES_Writing_FLA[#Data]),MATCH($A378,_xlfn.VSTACK(YES_Writing_ELA[Student Number],YES_Writing_FLA[Student Number]),0),MATCH(VLOOKUP(H$7,'Writing Logic'!$J$7:$K$11,2,FALSE)&amp;" - Per "&amp;VLOOKUP($C$4,'Writing Logic'!$G$8:$H$14,2,FALSE),YES_Writing_ELA[#Headers],0))=0,"",INDEX(_xlfn.VSTACK(YES_Writing_ELA[#Data],YES_Writing_FLA[#Data]),MATCH($A378,_xlfn.VSTACK(YES_Writing_ELA[Student Number],YES_Writing_FLA[Student Number]),0),MATCH(VLOOKUP(H$7,'Writing Logic'!$J$7:$K$11,2,FALSE)&amp;" - Per "&amp;VLOOKUP($C$4,'Writing Logic'!$G$8:$H$14,2,FALSE),YES_Writing_ELA[#Headers],0)))="INS",'Writing Logic'!$B$7,IF(INDEX(_xlfn.VSTACK(YES_Writing_ELA[#Data],YES_Writing_FLA[#Data]),MATCH($A378,_xlfn.VSTACK(YES_Writing_ELA[Student Number],YES_Writing_FLA[Student Number]),0),MATCH(VLOOKUP(H$7,'Writing Logic'!$J$7:$K$11,2,FALSE)&amp;" - Per "&amp;VLOOKUP($C$4,'Writing Logic'!$G$8:$H$14,2,FALSE),YES_Writing_ELA[#Headers],0))=0,"",INDEX(_xlfn.VSTACK(YES_Writing_ELA[#Data],YES_Writing_FLA[#Data]),MATCH($A378,_xlfn.VSTACK(YES_Writing_ELA[Student Number],YES_Writing_FLA[Student Number]),0),MATCH(VLOOKUP(H$7,'Writing Logic'!$J$7:$K$11,2,FALSE)&amp;" - Per "&amp;VLOOKUP($C$4,'Writing Logic'!$G$8:$H$14,2,FALSE),YES_Writing_ELA[#Headers],0)))),"")</f>
        <v/>
      </c>
    </row>
    <row r="379" spans="1:8" x14ac:dyDescent="0.25">
      <c r="A379" s="137"/>
      <c r="B379" s="137" t="str">
        <f>IFERROR(INDEX(_xlfn.VSTACK(YES_Writing_ELA[#Data], YES_Writing_FLA[#Data]),MATCH($A379,_xlfn.VSTACK(YES_Writing_ELA[Student Number], YES_Writing_FLA[Student Number]),0),MATCH(B$7,YES_Writing_ELA[#Headers],0)),"")</f>
        <v/>
      </c>
      <c r="C379" s="137" t="str">
        <f>IFERROR(INDEX(_xlfn.VSTACK(YES_Writing_ELA[#Data], YES_Writing_FLA[#Data]),MATCH($A379,_xlfn.VSTACK(YES_Writing_ELA[Student Number], YES_Writing_FLA[Student Number]),0),MATCH(C$7,YES_Writing_ELA[#Headers],0)),"")</f>
        <v/>
      </c>
      <c r="D379" s="138" t="str">
        <f>IFERROR(IF(IF(INDEX(_xlfn.VSTACK(YES_Writing_ELA[#Data],YES_Writing_FLA[#Data]),MATCH($A379,_xlfn.VSTACK(YES_Writing_ELA[Student Number],YES_Writing_FLA[Student Number]),0),MATCH(VLOOKUP(D$7,'Writing Logic'!$J$7:$K$11,2,FALSE)&amp;" - Per "&amp;VLOOKUP($C$4,'Writing Logic'!$G$8:$H$14,2,FALSE),YES_Writing_ELA[#Headers],0))=0,"",INDEX(_xlfn.VSTACK(YES_Writing_ELA[#Data],YES_Writing_FLA[#Data]),MATCH($A379,_xlfn.VSTACK(YES_Writing_ELA[Student Number],YES_Writing_FLA[Student Number]),0),MATCH(VLOOKUP(D$7,'Writing Logic'!$J$7:$K$11,2,FALSE)&amp;" - Per "&amp;VLOOKUP($C$4,'Writing Logic'!$G$8:$H$14,2,FALSE),YES_Writing_ELA[#Headers],0)))="INS",'Writing Logic'!$B$7,IF(INDEX(_xlfn.VSTACK(YES_Writing_ELA[#Data],YES_Writing_FLA[#Data]),MATCH($A379,_xlfn.VSTACK(YES_Writing_ELA[Student Number],YES_Writing_FLA[Student Number]),0),MATCH(VLOOKUP(D$7,'Writing Logic'!$J$7:$K$11,2,FALSE)&amp;" - Per "&amp;VLOOKUP($C$4,'Writing Logic'!$G$8:$H$14,2,FALSE),YES_Writing_ELA[#Headers],0))=0,"",INDEX(_xlfn.VSTACK(YES_Writing_ELA[#Data],YES_Writing_FLA[#Data]),MATCH($A379,_xlfn.VSTACK(YES_Writing_ELA[Student Number],YES_Writing_FLA[Student Number]),0),MATCH(VLOOKUP(D$7,'Writing Logic'!$J$7:$K$11,2,FALSE)&amp;" - Per "&amp;VLOOKUP($C$4,'Writing Logic'!$G$8:$H$14,2,FALSE),YES_Writing_ELA[#Headers],0)))),"")</f>
        <v/>
      </c>
      <c r="E379" s="138" t="str">
        <f>IFERROR(IF(IF(INDEX(_xlfn.VSTACK(YES_Writing_ELA[#Data],YES_Writing_FLA[#Data]),MATCH($A379,_xlfn.VSTACK(YES_Writing_ELA[Student Number],YES_Writing_FLA[Student Number]),0),MATCH(VLOOKUP(E$7,'Writing Logic'!$J$7:$K$11,2,FALSE)&amp;" - Per "&amp;VLOOKUP($C$4,'Writing Logic'!$G$8:$H$14,2,FALSE),YES_Writing_ELA[#Headers],0))=0,"",INDEX(_xlfn.VSTACK(YES_Writing_ELA[#Data],YES_Writing_FLA[#Data]),MATCH($A379,_xlfn.VSTACK(YES_Writing_ELA[Student Number],YES_Writing_FLA[Student Number]),0),MATCH(VLOOKUP(E$7,'Writing Logic'!$J$7:$K$11,2,FALSE)&amp;" - Per "&amp;VLOOKUP($C$4,'Writing Logic'!$G$8:$H$14,2,FALSE),YES_Writing_ELA[#Headers],0)))="INS",'Writing Logic'!$B$7,IF(INDEX(_xlfn.VSTACK(YES_Writing_ELA[#Data],YES_Writing_FLA[#Data]),MATCH($A379,_xlfn.VSTACK(YES_Writing_ELA[Student Number],YES_Writing_FLA[Student Number]),0),MATCH(VLOOKUP(E$7,'Writing Logic'!$J$7:$K$11,2,FALSE)&amp;" - Per "&amp;VLOOKUP($C$4,'Writing Logic'!$G$8:$H$14,2,FALSE),YES_Writing_ELA[#Headers],0))=0,"",INDEX(_xlfn.VSTACK(YES_Writing_ELA[#Data],YES_Writing_FLA[#Data]),MATCH($A379,_xlfn.VSTACK(YES_Writing_ELA[Student Number],YES_Writing_FLA[Student Number]),0),MATCH(VLOOKUP(E$7,'Writing Logic'!$J$7:$K$11,2,FALSE)&amp;" - Per "&amp;VLOOKUP($C$4,'Writing Logic'!$G$8:$H$14,2,FALSE),YES_Writing_ELA[#Headers],0)))),"")</f>
        <v/>
      </c>
      <c r="F379" s="138" t="str">
        <f>IFERROR(IF(IF(INDEX(_xlfn.VSTACK(YES_Writing_ELA[#Data],YES_Writing_FLA[#Data]),MATCH($A379,_xlfn.VSTACK(YES_Writing_ELA[Student Number],YES_Writing_FLA[Student Number]),0),MATCH(VLOOKUP(F$7,'Writing Logic'!$J$7:$K$11,2,FALSE)&amp;" - Per "&amp;VLOOKUP($C$4,'Writing Logic'!$G$8:$H$14,2,FALSE),YES_Writing_ELA[#Headers],0))=0,"",INDEX(_xlfn.VSTACK(YES_Writing_ELA[#Data],YES_Writing_FLA[#Data]),MATCH($A379,_xlfn.VSTACK(YES_Writing_ELA[Student Number],YES_Writing_FLA[Student Number]),0),MATCH(VLOOKUP(F$7,'Writing Logic'!$J$7:$K$11,2,FALSE)&amp;" - Per "&amp;VLOOKUP($C$4,'Writing Logic'!$G$8:$H$14,2,FALSE),YES_Writing_ELA[#Headers],0)))="INS",'Writing Logic'!$B$7,IF(INDEX(_xlfn.VSTACK(YES_Writing_ELA[#Data],YES_Writing_FLA[#Data]),MATCH($A379,_xlfn.VSTACK(YES_Writing_ELA[Student Number],YES_Writing_FLA[Student Number]),0),MATCH(VLOOKUP(F$7,'Writing Logic'!$J$7:$K$11,2,FALSE)&amp;" - Per "&amp;VLOOKUP($C$4,'Writing Logic'!$G$8:$H$14,2,FALSE),YES_Writing_ELA[#Headers],0))=0,"",INDEX(_xlfn.VSTACK(YES_Writing_ELA[#Data],YES_Writing_FLA[#Data]),MATCH($A379,_xlfn.VSTACK(YES_Writing_ELA[Student Number],YES_Writing_FLA[Student Number]),0),MATCH(VLOOKUP(F$7,'Writing Logic'!$J$7:$K$11,2,FALSE)&amp;" - Per "&amp;VLOOKUP($C$4,'Writing Logic'!$G$8:$H$14,2,FALSE),YES_Writing_ELA[#Headers],0)))),"")</f>
        <v/>
      </c>
      <c r="G379" s="138" t="str">
        <f>IFERROR(IF(IF(INDEX(_xlfn.VSTACK(YES_Writing_ELA[#Data],YES_Writing_FLA[#Data]),MATCH($A379,_xlfn.VSTACK(YES_Writing_ELA[Student Number],YES_Writing_FLA[Student Number]),0),MATCH(VLOOKUP(G$7,'Writing Logic'!$J$7:$K$11,2,FALSE)&amp;" - Per "&amp;VLOOKUP($C$4,'Writing Logic'!$G$8:$H$14,2,FALSE),YES_Writing_ELA[#Headers],0))=0,"",INDEX(_xlfn.VSTACK(YES_Writing_ELA[#Data],YES_Writing_FLA[#Data]),MATCH($A379,_xlfn.VSTACK(YES_Writing_ELA[Student Number],YES_Writing_FLA[Student Number]),0),MATCH(VLOOKUP(G$7,'Writing Logic'!$J$7:$K$11,2,FALSE)&amp;" - Per "&amp;VLOOKUP($C$4,'Writing Logic'!$G$8:$H$14,2,FALSE),YES_Writing_ELA[#Headers],0)))="INS",'Writing Logic'!$B$7,IF(INDEX(_xlfn.VSTACK(YES_Writing_ELA[#Data],YES_Writing_FLA[#Data]),MATCH($A379,_xlfn.VSTACK(YES_Writing_ELA[Student Number],YES_Writing_FLA[Student Number]),0),MATCH(VLOOKUP(G$7,'Writing Logic'!$J$7:$K$11,2,FALSE)&amp;" - Per "&amp;VLOOKUP($C$4,'Writing Logic'!$G$8:$H$14,2,FALSE),YES_Writing_ELA[#Headers],0))=0,"",INDEX(_xlfn.VSTACK(YES_Writing_ELA[#Data],YES_Writing_FLA[#Data]),MATCH($A379,_xlfn.VSTACK(YES_Writing_ELA[Student Number],YES_Writing_FLA[Student Number]),0),MATCH(VLOOKUP(G$7,'Writing Logic'!$J$7:$K$11,2,FALSE)&amp;" - Per "&amp;VLOOKUP($C$4,'Writing Logic'!$G$8:$H$14,2,FALSE),YES_Writing_ELA[#Headers],0)))),"")</f>
        <v/>
      </c>
      <c r="H379" s="138" t="str">
        <f>IFERROR(IF(IF(INDEX(_xlfn.VSTACK(YES_Writing_ELA[#Data],YES_Writing_FLA[#Data]),MATCH($A379,_xlfn.VSTACK(YES_Writing_ELA[Student Number],YES_Writing_FLA[Student Number]),0),MATCH(VLOOKUP(H$7,'Writing Logic'!$J$7:$K$11,2,FALSE)&amp;" - Per "&amp;VLOOKUP($C$4,'Writing Logic'!$G$8:$H$14,2,FALSE),YES_Writing_ELA[#Headers],0))=0,"",INDEX(_xlfn.VSTACK(YES_Writing_ELA[#Data],YES_Writing_FLA[#Data]),MATCH($A379,_xlfn.VSTACK(YES_Writing_ELA[Student Number],YES_Writing_FLA[Student Number]),0),MATCH(VLOOKUP(H$7,'Writing Logic'!$J$7:$K$11,2,FALSE)&amp;" - Per "&amp;VLOOKUP($C$4,'Writing Logic'!$G$8:$H$14,2,FALSE),YES_Writing_ELA[#Headers],0)))="INS",'Writing Logic'!$B$7,IF(INDEX(_xlfn.VSTACK(YES_Writing_ELA[#Data],YES_Writing_FLA[#Data]),MATCH($A379,_xlfn.VSTACK(YES_Writing_ELA[Student Number],YES_Writing_FLA[Student Number]),0),MATCH(VLOOKUP(H$7,'Writing Logic'!$J$7:$K$11,2,FALSE)&amp;" - Per "&amp;VLOOKUP($C$4,'Writing Logic'!$G$8:$H$14,2,FALSE),YES_Writing_ELA[#Headers],0))=0,"",INDEX(_xlfn.VSTACK(YES_Writing_ELA[#Data],YES_Writing_FLA[#Data]),MATCH($A379,_xlfn.VSTACK(YES_Writing_ELA[Student Number],YES_Writing_FLA[Student Number]),0),MATCH(VLOOKUP(H$7,'Writing Logic'!$J$7:$K$11,2,FALSE)&amp;" - Per "&amp;VLOOKUP($C$4,'Writing Logic'!$G$8:$H$14,2,FALSE),YES_Writing_ELA[#Headers],0)))),"")</f>
        <v/>
      </c>
    </row>
    <row r="380" spans="1:8" x14ac:dyDescent="0.25">
      <c r="A380" s="137"/>
      <c r="B380" s="137" t="str">
        <f>IFERROR(INDEX(_xlfn.VSTACK(YES_Writing_ELA[#Data], YES_Writing_FLA[#Data]),MATCH($A380,_xlfn.VSTACK(YES_Writing_ELA[Student Number], YES_Writing_FLA[Student Number]),0),MATCH(B$7,YES_Writing_ELA[#Headers],0)),"")</f>
        <v/>
      </c>
      <c r="C380" s="137" t="str">
        <f>IFERROR(INDEX(_xlfn.VSTACK(YES_Writing_ELA[#Data], YES_Writing_FLA[#Data]),MATCH($A380,_xlfn.VSTACK(YES_Writing_ELA[Student Number], YES_Writing_FLA[Student Number]),0),MATCH(C$7,YES_Writing_ELA[#Headers],0)),"")</f>
        <v/>
      </c>
      <c r="D380" s="138" t="str">
        <f>IFERROR(IF(IF(INDEX(_xlfn.VSTACK(YES_Writing_ELA[#Data],YES_Writing_FLA[#Data]),MATCH($A380,_xlfn.VSTACK(YES_Writing_ELA[Student Number],YES_Writing_FLA[Student Number]),0),MATCH(VLOOKUP(D$7,'Writing Logic'!$J$7:$K$11,2,FALSE)&amp;" - Per "&amp;VLOOKUP($C$4,'Writing Logic'!$G$8:$H$14,2,FALSE),YES_Writing_ELA[#Headers],0))=0,"",INDEX(_xlfn.VSTACK(YES_Writing_ELA[#Data],YES_Writing_FLA[#Data]),MATCH($A380,_xlfn.VSTACK(YES_Writing_ELA[Student Number],YES_Writing_FLA[Student Number]),0),MATCH(VLOOKUP(D$7,'Writing Logic'!$J$7:$K$11,2,FALSE)&amp;" - Per "&amp;VLOOKUP($C$4,'Writing Logic'!$G$8:$H$14,2,FALSE),YES_Writing_ELA[#Headers],0)))="INS",'Writing Logic'!$B$7,IF(INDEX(_xlfn.VSTACK(YES_Writing_ELA[#Data],YES_Writing_FLA[#Data]),MATCH($A380,_xlfn.VSTACK(YES_Writing_ELA[Student Number],YES_Writing_FLA[Student Number]),0),MATCH(VLOOKUP(D$7,'Writing Logic'!$J$7:$K$11,2,FALSE)&amp;" - Per "&amp;VLOOKUP($C$4,'Writing Logic'!$G$8:$H$14,2,FALSE),YES_Writing_ELA[#Headers],0))=0,"",INDEX(_xlfn.VSTACK(YES_Writing_ELA[#Data],YES_Writing_FLA[#Data]),MATCH($A380,_xlfn.VSTACK(YES_Writing_ELA[Student Number],YES_Writing_FLA[Student Number]),0),MATCH(VLOOKUP(D$7,'Writing Logic'!$J$7:$K$11,2,FALSE)&amp;" - Per "&amp;VLOOKUP($C$4,'Writing Logic'!$G$8:$H$14,2,FALSE),YES_Writing_ELA[#Headers],0)))),"")</f>
        <v/>
      </c>
      <c r="E380" s="138" t="str">
        <f>IFERROR(IF(IF(INDEX(_xlfn.VSTACK(YES_Writing_ELA[#Data],YES_Writing_FLA[#Data]),MATCH($A380,_xlfn.VSTACK(YES_Writing_ELA[Student Number],YES_Writing_FLA[Student Number]),0),MATCH(VLOOKUP(E$7,'Writing Logic'!$J$7:$K$11,2,FALSE)&amp;" - Per "&amp;VLOOKUP($C$4,'Writing Logic'!$G$8:$H$14,2,FALSE),YES_Writing_ELA[#Headers],0))=0,"",INDEX(_xlfn.VSTACK(YES_Writing_ELA[#Data],YES_Writing_FLA[#Data]),MATCH($A380,_xlfn.VSTACK(YES_Writing_ELA[Student Number],YES_Writing_FLA[Student Number]),0),MATCH(VLOOKUP(E$7,'Writing Logic'!$J$7:$K$11,2,FALSE)&amp;" - Per "&amp;VLOOKUP($C$4,'Writing Logic'!$G$8:$H$14,2,FALSE),YES_Writing_ELA[#Headers],0)))="INS",'Writing Logic'!$B$7,IF(INDEX(_xlfn.VSTACK(YES_Writing_ELA[#Data],YES_Writing_FLA[#Data]),MATCH($A380,_xlfn.VSTACK(YES_Writing_ELA[Student Number],YES_Writing_FLA[Student Number]),0),MATCH(VLOOKUP(E$7,'Writing Logic'!$J$7:$K$11,2,FALSE)&amp;" - Per "&amp;VLOOKUP($C$4,'Writing Logic'!$G$8:$H$14,2,FALSE),YES_Writing_ELA[#Headers],0))=0,"",INDEX(_xlfn.VSTACK(YES_Writing_ELA[#Data],YES_Writing_FLA[#Data]),MATCH($A380,_xlfn.VSTACK(YES_Writing_ELA[Student Number],YES_Writing_FLA[Student Number]),0),MATCH(VLOOKUP(E$7,'Writing Logic'!$J$7:$K$11,2,FALSE)&amp;" - Per "&amp;VLOOKUP($C$4,'Writing Logic'!$G$8:$H$14,2,FALSE),YES_Writing_ELA[#Headers],0)))),"")</f>
        <v/>
      </c>
      <c r="F380" s="138" t="str">
        <f>IFERROR(IF(IF(INDEX(_xlfn.VSTACK(YES_Writing_ELA[#Data],YES_Writing_FLA[#Data]),MATCH($A380,_xlfn.VSTACK(YES_Writing_ELA[Student Number],YES_Writing_FLA[Student Number]),0),MATCH(VLOOKUP(F$7,'Writing Logic'!$J$7:$K$11,2,FALSE)&amp;" - Per "&amp;VLOOKUP($C$4,'Writing Logic'!$G$8:$H$14,2,FALSE),YES_Writing_ELA[#Headers],0))=0,"",INDEX(_xlfn.VSTACK(YES_Writing_ELA[#Data],YES_Writing_FLA[#Data]),MATCH($A380,_xlfn.VSTACK(YES_Writing_ELA[Student Number],YES_Writing_FLA[Student Number]),0),MATCH(VLOOKUP(F$7,'Writing Logic'!$J$7:$K$11,2,FALSE)&amp;" - Per "&amp;VLOOKUP($C$4,'Writing Logic'!$G$8:$H$14,2,FALSE),YES_Writing_ELA[#Headers],0)))="INS",'Writing Logic'!$B$7,IF(INDEX(_xlfn.VSTACK(YES_Writing_ELA[#Data],YES_Writing_FLA[#Data]),MATCH($A380,_xlfn.VSTACK(YES_Writing_ELA[Student Number],YES_Writing_FLA[Student Number]),0),MATCH(VLOOKUP(F$7,'Writing Logic'!$J$7:$K$11,2,FALSE)&amp;" - Per "&amp;VLOOKUP($C$4,'Writing Logic'!$G$8:$H$14,2,FALSE),YES_Writing_ELA[#Headers],0))=0,"",INDEX(_xlfn.VSTACK(YES_Writing_ELA[#Data],YES_Writing_FLA[#Data]),MATCH($A380,_xlfn.VSTACK(YES_Writing_ELA[Student Number],YES_Writing_FLA[Student Number]),0),MATCH(VLOOKUP(F$7,'Writing Logic'!$J$7:$K$11,2,FALSE)&amp;" - Per "&amp;VLOOKUP($C$4,'Writing Logic'!$G$8:$H$14,2,FALSE),YES_Writing_ELA[#Headers],0)))),"")</f>
        <v/>
      </c>
      <c r="G380" s="138" t="str">
        <f>IFERROR(IF(IF(INDEX(_xlfn.VSTACK(YES_Writing_ELA[#Data],YES_Writing_FLA[#Data]),MATCH($A380,_xlfn.VSTACK(YES_Writing_ELA[Student Number],YES_Writing_FLA[Student Number]),0),MATCH(VLOOKUP(G$7,'Writing Logic'!$J$7:$K$11,2,FALSE)&amp;" - Per "&amp;VLOOKUP($C$4,'Writing Logic'!$G$8:$H$14,2,FALSE),YES_Writing_ELA[#Headers],0))=0,"",INDEX(_xlfn.VSTACK(YES_Writing_ELA[#Data],YES_Writing_FLA[#Data]),MATCH($A380,_xlfn.VSTACK(YES_Writing_ELA[Student Number],YES_Writing_FLA[Student Number]),0),MATCH(VLOOKUP(G$7,'Writing Logic'!$J$7:$K$11,2,FALSE)&amp;" - Per "&amp;VLOOKUP($C$4,'Writing Logic'!$G$8:$H$14,2,FALSE),YES_Writing_ELA[#Headers],0)))="INS",'Writing Logic'!$B$7,IF(INDEX(_xlfn.VSTACK(YES_Writing_ELA[#Data],YES_Writing_FLA[#Data]),MATCH($A380,_xlfn.VSTACK(YES_Writing_ELA[Student Number],YES_Writing_FLA[Student Number]),0),MATCH(VLOOKUP(G$7,'Writing Logic'!$J$7:$K$11,2,FALSE)&amp;" - Per "&amp;VLOOKUP($C$4,'Writing Logic'!$G$8:$H$14,2,FALSE),YES_Writing_ELA[#Headers],0))=0,"",INDEX(_xlfn.VSTACK(YES_Writing_ELA[#Data],YES_Writing_FLA[#Data]),MATCH($A380,_xlfn.VSTACK(YES_Writing_ELA[Student Number],YES_Writing_FLA[Student Number]),0),MATCH(VLOOKUP(G$7,'Writing Logic'!$J$7:$K$11,2,FALSE)&amp;" - Per "&amp;VLOOKUP($C$4,'Writing Logic'!$G$8:$H$14,2,FALSE),YES_Writing_ELA[#Headers],0)))),"")</f>
        <v/>
      </c>
      <c r="H380" s="138" t="str">
        <f>IFERROR(IF(IF(INDEX(_xlfn.VSTACK(YES_Writing_ELA[#Data],YES_Writing_FLA[#Data]),MATCH($A380,_xlfn.VSTACK(YES_Writing_ELA[Student Number],YES_Writing_FLA[Student Number]),0),MATCH(VLOOKUP(H$7,'Writing Logic'!$J$7:$K$11,2,FALSE)&amp;" - Per "&amp;VLOOKUP($C$4,'Writing Logic'!$G$8:$H$14,2,FALSE),YES_Writing_ELA[#Headers],0))=0,"",INDEX(_xlfn.VSTACK(YES_Writing_ELA[#Data],YES_Writing_FLA[#Data]),MATCH($A380,_xlfn.VSTACK(YES_Writing_ELA[Student Number],YES_Writing_FLA[Student Number]),0),MATCH(VLOOKUP(H$7,'Writing Logic'!$J$7:$K$11,2,FALSE)&amp;" - Per "&amp;VLOOKUP($C$4,'Writing Logic'!$G$8:$H$14,2,FALSE),YES_Writing_ELA[#Headers],0)))="INS",'Writing Logic'!$B$7,IF(INDEX(_xlfn.VSTACK(YES_Writing_ELA[#Data],YES_Writing_FLA[#Data]),MATCH($A380,_xlfn.VSTACK(YES_Writing_ELA[Student Number],YES_Writing_FLA[Student Number]),0),MATCH(VLOOKUP(H$7,'Writing Logic'!$J$7:$K$11,2,FALSE)&amp;" - Per "&amp;VLOOKUP($C$4,'Writing Logic'!$G$8:$H$14,2,FALSE),YES_Writing_ELA[#Headers],0))=0,"",INDEX(_xlfn.VSTACK(YES_Writing_ELA[#Data],YES_Writing_FLA[#Data]),MATCH($A380,_xlfn.VSTACK(YES_Writing_ELA[Student Number],YES_Writing_FLA[Student Number]),0),MATCH(VLOOKUP(H$7,'Writing Logic'!$J$7:$K$11,2,FALSE)&amp;" - Per "&amp;VLOOKUP($C$4,'Writing Logic'!$G$8:$H$14,2,FALSE),YES_Writing_ELA[#Headers],0)))),"")</f>
        <v/>
      </c>
    </row>
    <row r="381" spans="1:8" x14ac:dyDescent="0.25">
      <c r="A381" s="137"/>
      <c r="B381" s="137" t="str">
        <f>IFERROR(INDEX(_xlfn.VSTACK(YES_Writing_ELA[#Data], YES_Writing_FLA[#Data]),MATCH($A381,_xlfn.VSTACK(YES_Writing_ELA[Student Number], YES_Writing_FLA[Student Number]),0),MATCH(B$7,YES_Writing_ELA[#Headers],0)),"")</f>
        <v/>
      </c>
      <c r="C381" s="137" t="str">
        <f>IFERROR(INDEX(_xlfn.VSTACK(YES_Writing_ELA[#Data], YES_Writing_FLA[#Data]),MATCH($A381,_xlfn.VSTACK(YES_Writing_ELA[Student Number], YES_Writing_FLA[Student Number]),0),MATCH(C$7,YES_Writing_ELA[#Headers],0)),"")</f>
        <v/>
      </c>
      <c r="D381" s="138" t="str">
        <f>IFERROR(IF(IF(INDEX(_xlfn.VSTACK(YES_Writing_ELA[#Data],YES_Writing_FLA[#Data]),MATCH($A381,_xlfn.VSTACK(YES_Writing_ELA[Student Number],YES_Writing_FLA[Student Number]),0),MATCH(VLOOKUP(D$7,'Writing Logic'!$J$7:$K$11,2,FALSE)&amp;" - Per "&amp;VLOOKUP($C$4,'Writing Logic'!$G$8:$H$14,2,FALSE),YES_Writing_ELA[#Headers],0))=0,"",INDEX(_xlfn.VSTACK(YES_Writing_ELA[#Data],YES_Writing_FLA[#Data]),MATCH($A381,_xlfn.VSTACK(YES_Writing_ELA[Student Number],YES_Writing_FLA[Student Number]),0),MATCH(VLOOKUP(D$7,'Writing Logic'!$J$7:$K$11,2,FALSE)&amp;" - Per "&amp;VLOOKUP($C$4,'Writing Logic'!$G$8:$H$14,2,FALSE),YES_Writing_ELA[#Headers],0)))="INS",'Writing Logic'!$B$7,IF(INDEX(_xlfn.VSTACK(YES_Writing_ELA[#Data],YES_Writing_FLA[#Data]),MATCH($A381,_xlfn.VSTACK(YES_Writing_ELA[Student Number],YES_Writing_FLA[Student Number]),0),MATCH(VLOOKUP(D$7,'Writing Logic'!$J$7:$K$11,2,FALSE)&amp;" - Per "&amp;VLOOKUP($C$4,'Writing Logic'!$G$8:$H$14,2,FALSE),YES_Writing_ELA[#Headers],0))=0,"",INDEX(_xlfn.VSTACK(YES_Writing_ELA[#Data],YES_Writing_FLA[#Data]),MATCH($A381,_xlfn.VSTACK(YES_Writing_ELA[Student Number],YES_Writing_FLA[Student Number]),0),MATCH(VLOOKUP(D$7,'Writing Logic'!$J$7:$K$11,2,FALSE)&amp;" - Per "&amp;VLOOKUP($C$4,'Writing Logic'!$G$8:$H$14,2,FALSE),YES_Writing_ELA[#Headers],0)))),"")</f>
        <v/>
      </c>
      <c r="E381" s="138" t="str">
        <f>IFERROR(IF(IF(INDEX(_xlfn.VSTACK(YES_Writing_ELA[#Data],YES_Writing_FLA[#Data]),MATCH($A381,_xlfn.VSTACK(YES_Writing_ELA[Student Number],YES_Writing_FLA[Student Number]),0),MATCH(VLOOKUP(E$7,'Writing Logic'!$J$7:$K$11,2,FALSE)&amp;" - Per "&amp;VLOOKUP($C$4,'Writing Logic'!$G$8:$H$14,2,FALSE),YES_Writing_ELA[#Headers],0))=0,"",INDEX(_xlfn.VSTACK(YES_Writing_ELA[#Data],YES_Writing_FLA[#Data]),MATCH($A381,_xlfn.VSTACK(YES_Writing_ELA[Student Number],YES_Writing_FLA[Student Number]),0),MATCH(VLOOKUP(E$7,'Writing Logic'!$J$7:$K$11,2,FALSE)&amp;" - Per "&amp;VLOOKUP($C$4,'Writing Logic'!$G$8:$H$14,2,FALSE),YES_Writing_ELA[#Headers],0)))="INS",'Writing Logic'!$B$7,IF(INDEX(_xlfn.VSTACK(YES_Writing_ELA[#Data],YES_Writing_FLA[#Data]),MATCH($A381,_xlfn.VSTACK(YES_Writing_ELA[Student Number],YES_Writing_FLA[Student Number]),0),MATCH(VLOOKUP(E$7,'Writing Logic'!$J$7:$K$11,2,FALSE)&amp;" - Per "&amp;VLOOKUP($C$4,'Writing Logic'!$G$8:$H$14,2,FALSE),YES_Writing_ELA[#Headers],0))=0,"",INDEX(_xlfn.VSTACK(YES_Writing_ELA[#Data],YES_Writing_FLA[#Data]),MATCH($A381,_xlfn.VSTACK(YES_Writing_ELA[Student Number],YES_Writing_FLA[Student Number]),0),MATCH(VLOOKUP(E$7,'Writing Logic'!$J$7:$K$11,2,FALSE)&amp;" - Per "&amp;VLOOKUP($C$4,'Writing Logic'!$G$8:$H$14,2,FALSE),YES_Writing_ELA[#Headers],0)))),"")</f>
        <v/>
      </c>
      <c r="F381" s="138" t="str">
        <f>IFERROR(IF(IF(INDEX(_xlfn.VSTACK(YES_Writing_ELA[#Data],YES_Writing_FLA[#Data]),MATCH($A381,_xlfn.VSTACK(YES_Writing_ELA[Student Number],YES_Writing_FLA[Student Number]),0),MATCH(VLOOKUP(F$7,'Writing Logic'!$J$7:$K$11,2,FALSE)&amp;" - Per "&amp;VLOOKUP($C$4,'Writing Logic'!$G$8:$H$14,2,FALSE),YES_Writing_ELA[#Headers],0))=0,"",INDEX(_xlfn.VSTACK(YES_Writing_ELA[#Data],YES_Writing_FLA[#Data]),MATCH($A381,_xlfn.VSTACK(YES_Writing_ELA[Student Number],YES_Writing_FLA[Student Number]),0),MATCH(VLOOKUP(F$7,'Writing Logic'!$J$7:$K$11,2,FALSE)&amp;" - Per "&amp;VLOOKUP($C$4,'Writing Logic'!$G$8:$H$14,2,FALSE),YES_Writing_ELA[#Headers],0)))="INS",'Writing Logic'!$B$7,IF(INDEX(_xlfn.VSTACK(YES_Writing_ELA[#Data],YES_Writing_FLA[#Data]),MATCH($A381,_xlfn.VSTACK(YES_Writing_ELA[Student Number],YES_Writing_FLA[Student Number]),0),MATCH(VLOOKUP(F$7,'Writing Logic'!$J$7:$K$11,2,FALSE)&amp;" - Per "&amp;VLOOKUP($C$4,'Writing Logic'!$G$8:$H$14,2,FALSE),YES_Writing_ELA[#Headers],0))=0,"",INDEX(_xlfn.VSTACK(YES_Writing_ELA[#Data],YES_Writing_FLA[#Data]),MATCH($A381,_xlfn.VSTACK(YES_Writing_ELA[Student Number],YES_Writing_FLA[Student Number]),0),MATCH(VLOOKUP(F$7,'Writing Logic'!$J$7:$K$11,2,FALSE)&amp;" - Per "&amp;VLOOKUP($C$4,'Writing Logic'!$G$8:$H$14,2,FALSE),YES_Writing_ELA[#Headers],0)))),"")</f>
        <v/>
      </c>
      <c r="G381" s="138" t="str">
        <f>IFERROR(IF(IF(INDEX(_xlfn.VSTACK(YES_Writing_ELA[#Data],YES_Writing_FLA[#Data]),MATCH($A381,_xlfn.VSTACK(YES_Writing_ELA[Student Number],YES_Writing_FLA[Student Number]),0),MATCH(VLOOKUP(G$7,'Writing Logic'!$J$7:$K$11,2,FALSE)&amp;" - Per "&amp;VLOOKUP($C$4,'Writing Logic'!$G$8:$H$14,2,FALSE),YES_Writing_ELA[#Headers],0))=0,"",INDEX(_xlfn.VSTACK(YES_Writing_ELA[#Data],YES_Writing_FLA[#Data]),MATCH($A381,_xlfn.VSTACK(YES_Writing_ELA[Student Number],YES_Writing_FLA[Student Number]),0),MATCH(VLOOKUP(G$7,'Writing Logic'!$J$7:$K$11,2,FALSE)&amp;" - Per "&amp;VLOOKUP($C$4,'Writing Logic'!$G$8:$H$14,2,FALSE),YES_Writing_ELA[#Headers],0)))="INS",'Writing Logic'!$B$7,IF(INDEX(_xlfn.VSTACK(YES_Writing_ELA[#Data],YES_Writing_FLA[#Data]),MATCH($A381,_xlfn.VSTACK(YES_Writing_ELA[Student Number],YES_Writing_FLA[Student Number]),0),MATCH(VLOOKUP(G$7,'Writing Logic'!$J$7:$K$11,2,FALSE)&amp;" - Per "&amp;VLOOKUP($C$4,'Writing Logic'!$G$8:$H$14,2,FALSE),YES_Writing_ELA[#Headers],0))=0,"",INDEX(_xlfn.VSTACK(YES_Writing_ELA[#Data],YES_Writing_FLA[#Data]),MATCH($A381,_xlfn.VSTACK(YES_Writing_ELA[Student Number],YES_Writing_FLA[Student Number]),0),MATCH(VLOOKUP(G$7,'Writing Logic'!$J$7:$K$11,2,FALSE)&amp;" - Per "&amp;VLOOKUP($C$4,'Writing Logic'!$G$8:$H$14,2,FALSE),YES_Writing_ELA[#Headers],0)))),"")</f>
        <v/>
      </c>
      <c r="H381" s="138" t="str">
        <f>IFERROR(IF(IF(INDEX(_xlfn.VSTACK(YES_Writing_ELA[#Data],YES_Writing_FLA[#Data]),MATCH($A381,_xlfn.VSTACK(YES_Writing_ELA[Student Number],YES_Writing_FLA[Student Number]),0),MATCH(VLOOKUP(H$7,'Writing Logic'!$J$7:$K$11,2,FALSE)&amp;" - Per "&amp;VLOOKUP($C$4,'Writing Logic'!$G$8:$H$14,2,FALSE),YES_Writing_ELA[#Headers],0))=0,"",INDEX(_xlfn.VSTACK(YES_Writing_ELA[#Data],YES_Writing_FLA[#Data]),MATCH($A381,_xlfn.VSTACK(YES_Writing_ELA[Student Number],YES_Writing_FLA[Student Number]),0),MATCH(VLOOKUP(H$7,'Writing Logic'!$J$7:$K$11,2,FALSE)&amp;" - Per "&amp;VLOOKUP($C$4,'Writing Logic'!$G$8:$H$14,2,FALSE),YES_Writing_ELA[#Headers],0)))="INS",'Writing Logic'!$B$7,IF(INDEX(_xlfn.VSTACK(YES_Writing_ELA[#Data],YES_Writing_FLA[#Data]),MATCH($A381,_xlfn.VSTACK(YES_Writing_ELA[Student Number],YES_Writing_FLA[Student Number]),0),MATCH(VLOOKUP(H$7,'Writing Logic'!$J$7:$K$11,2,FALSE)&amp;" - Per "&amp;VLOOKUP($C$4,'Writing Logic'!$G$8:$H$14,2,FALSE),YES_Writing_ELA[#Headers],0))=0,"",INDEX(_xlfn.VSTACK(YES_Writing_ELA[#Data],YES_Writing_FLA[#Data]),MATCH($A381,_xlfn.VSTACK(YES_Writing_ELA[Student Number],YES_Writing_FLA[Student Number]),0),MATCH(VLOOKUP(H$7,'Writing Logic'!$J$7:$K$11,2,FALSE)&amp;" - Per "&amp;VLOOKUP($C$4,'Writing Logic'!$G$8:$H$14,2,FALSE),YES_Writing_ELA[#Headers],0)))),"")</f>
        <v/>
      </c>
    </row>
    <row r="382" spans="1:8" x14ac:dyDescent="0.25">
      <c r="A382" s="137"/>
      <c r="B382" s="137" t="str">
        <f>IFERROR(INDEX(_xlfn.VSTACK(YES_Writing_ELA[#Data], YES_Writing_FLA[#Data]),MATCH($A382,_xlfn.VSTACK(YES_Writing_ELA[Student Number], YES_Writing_FLA[Student Number]),0),MATCH(B$7,YES_Writing_ELA[#Headers],0)),"")</f>
        <v/>
      </c>
      <c r="C382" s="137" t="str">
        <f>IFERROR(INDEX(_xlfn.VSTACK(YES_Writing_ELA[#Data], YES_Writing_FLA[#Data]),MATCH($A382,_xlfn.VSTACK(YES_Writing_ELA[Student Number], YES_Writing_FLA[Student Number]),0),MATCH(C$7,YES_Writing_ELA[#Headers],0)),"")</f>
        <v/>
      </c>
      <c r="D382" s="138" t="str">
        <f>IFERROR(IF(IF(INDEX(_xlfn.VSTACK(YES_Writing_ELA[#Data],YES_Writing_FLA[#Data]),MATCH($A382,_xlfn.VSTACK(YES_Writing_ELA[Student Number],YES_Writing_FLA[Student Number]),0),MATCH(VLOOKUP(D$7,'Writing Logic'!$J$7:$K$11,2,FALSE)&amp;" - Per "&amp;VLOOKUP($C$4,'Writing Logic'!$G$8:$H$14,2,FALSE),YES_Writing_ELA[#Headers],0))=0,"",INDEX(_xlfn.VSTACK(YES_Writing_ELA[#Data],YES_Writing_FLA[#Data]),MATCH($A382,_xlfn.VSTACK(YES_Writing_ELA[Student Number],YES_Writing_FLA[Student Number]),0),MATCH(VLOOKUP(D$7,'Writing Logic'!$J$7:$K$11,2,FALSE)&amp;" - Per "&amp;VLOOKUP($C$4,'Writing Logic'!$G$8:$H$14,2,FALSE),YES_Writing_ELA[#Headers],0)))="INS",'Writing Logic'!$B$7,IF(INDEX(_xlfn.VSTACK(YES_Writing_ELA[#Data],YES_Writing_FLA[#Data]),MATCH($A382,_xlfn.VSTACK(YES_Writing_ELA[Student Number],YES_Writing_FLA[Student Number]),0),MATCH(VLOOKUP(D$7,'Writing Logic'!$J$7:$K$11,2,FALSE)&amp;" - Per "&amp;VLOOKUP($C$4,'Writing Logic'!$G$8:$H$14,2,FALSE),YES_Writing_ELA[#Headers],0))=0,"",INDEX(_xlfn.VSTACK(YES_Writing_ELA[#Data],YES_Writing_FLA[#Data]),MATCH($A382,_xlfn.VSTACK(YES_Writing_ELA[Student Number],YES_Writing_FLA[Student Number]),0),MATCH(VLOOKUP(D$7,'Writing Logic'!$J$7:$K$11,2,FALSE)&amp;" - Per "&amp;VLOOKUP($C$4,'Writing Logic'!$G$8:$H$14,2,FALSE),YES_Writing_ELA[#Headers],0)))),"")</f>
        <v/>
      </c>
      <c r="E382" s="138" t="str">
        <f>IFERROR(IF(IF(INDEX(_xlfn.VSTACK(YES_Writing_ELA[#Data],YES_Writing_FLA[#Data]),MATCH($A382,_xlfn.VSTACK(YES_Writing_ELA[Student Number],YES_Writing_FLA[Student Number]),0),MATCH(VLOOKUP(E$7,'Writing Logic'!$J$7:$K$11,2,FALSE)&amp;" - Per "&amp;VLOOKUP($C$4,'Writing Logic'!$G$8:$H$14,2,FALSE),YES_Writing_ELA[#Headers],0))=0,"",INDEX(_xlfn.VSTACK(YES_Writing_ELA[#Data],YES_Writing_FLA[#Data]),MATCH($A382,_xlfn.VSTACK(YES_Writing_ELA[Student Number],YES_Writing_FLA[Student Number]),0),MATCH(VLOOKUP(E$7,'Writing Logic'!$J$7:$K$11,2,FALSE)&amp;" - Per "&amp;VLOOKUP($C$4,'Writing Logic'!$G$8:$H$14,2,FALSE),YES_Writing_ELA[#Headers],0)))="INS",'Writing Logic'!$B$7,IF(INDEX(_xlfn.VSTACK(YES_Writing_ELA[#Data],YES_Writing_FLA[#Data]),MATCH($A382,_xlfn.VSTACK(YES_Writing_ELA[Student Number],YES_Writing_FLA[Student Number]),0),MATCH(VLOOKUP(E$7,'Writing Logic'!$J$7:$K$11,2,FALSE)&amp;" - Per "&amp;VLOOKUP($C$4,'Writing Logic'!$G$8:$H$14,2,FALSE),YES_Writing_ELA[#Headers],0))=0,"",INDEX(_xlfn.VSTACK(YES_Writing_ELA[#Data],YES_Writing_FLA[#Data]),MATCH($A382,_xlfn.VSTACK(YES_Writing_ELA[Student Number],YES_Writing_FLA[Student Number]),0),MATCH(VLOOKUP(E$7,'Writing Logic'!$J$7:$K$11,2,FALSE)&amp;" - Per "&amp;VLOOKUP($C$4,'Writing Logic'!$G$8:$H$14,2,FALSE),YES_Writing_ELA[#Headers],0)))),"")</f>
        <v/>
      </c>
      <c r="F382" s="138" t="str">
        <f>IFERROR(IF(IF(INDEX(_xlfn.VSTACK(YES_Writing_ELA[#Data],YES_Writing_FLA[#Data]),MATCH($A382,_xlfn.VSTACK(YES_Writing_ELA[Student Number],YES_Writing_FLA[Student Number]),0),MATCH(VLOOKUP(F$7,'Writing Logic'!$J$7:$K$11,2,FALSE)&amp;" - Per "&amp;VLOOKUP($C$4,'Writing Logic'!$G$8:$H$14,2,FALSE),YES_Writing_ELA[#Headers],0))=0,"",INDEX(_xlfn.VSTACK(YES_Writing_ELA[#Data],YES_Writing_FLA[#Data]),MATCH($A382,_xlfn.VSTACK(YES_Writing_ELA[Student Number],YES_Writing_FLA[Student Number]),0),MATCH(VLOOKUP(F$7,'Writing Logic'!$J$7:$K$11,2,FALSE)&amp;" - Per "&amp;VLOOKUP($C$4,'Writing Logic'!$G$8:$H$14,2,FALSE),YES_Writing_ELA[#Headers],0)))="INS",'Writing Logic'!$B$7,IF(INDEX(_xlfn.VSTACK(YES_Writing_ELA[#Data],YES_Writing_FLA[#Data]),MATCH($A382,_xlfn.VSTACK(YES_Writing_ELA[Student Number],YES_Writing_FLA[Student Number]),0),MATCH(VLOOKUP(F$7,'Writing Logic'!$J$7:$K$11,2,FALSE)&amp;" - Per "&amp;VLOOKUP($C$4,'Writing Logic'!$G$8:$H$14,2,FALSE),YES_Writing_ELA[#Headers],0))=0,"",INDEX(_xlfn.VSTACK(YES_Writing_ELA[#Data],YES_Writing_FLA[#Data]),MATCH($A382,_xlfn.VSTACK(YES_Writing_ELA[Student Number],YES_Writing_FLA[Student Number]),0),MATCH(VLOOKUP(F$7,'Writing Logic'!$J$7:$K$11,2,FALSE)&amp;" - Per "&amp;VLOOKUP($C$4,'Writing Logic'!$G$8:$H$14,2,FALSE),YES_Writing_ELA[#Headers],0)))),"")</f>
        <v/>
      </c>
      <c r="G382" s="138" t="str">
        <f>IFERROR(IF(IF(INDEX(_xlfn.VSTACK(YES_Writing_ELA[#Data],YES_Writing_FLA[#Data]),MATCH($A382,_xlfn.VSTACK(YES_Writing_ELA[Student Number],YES_Writing_FLA[Student Number]),0),MATCH(VLOOKUP(G$7,'Writing Logic'!$J$7:$K$11,2,FALSE)&amp;" - Per "&amp;VLOOKUP($C$4,'Writing Logic'!$G$8:$H$14,2,FALSE),YES_Writing_ELA[#Headers],0))=0,"",INDEX(_xlfn.VSTACK(YES_Writing_ELA[#Data],YES_Writing_FLA[#Data]),MATCH($A382,_xlfn.VSTACK(YES_Writing_ELA[Student Number],YES_Writing_FLA[Student Number]),0),MATCH(VLOOKUP(G$7,'Writing Logic'!$J$7:$K$11,2,FALSE)&amp;" - Per "&amp;VLOOKUP($C$4,'Writing Logic'!$G$8:$H$14,2,FALSE),YES_Writing_ELA[#Headers],0)))="INS",'Writing Logic'!$B$7,IF(INDEX(_xlfn.VSTACK(YES_Writing_ELA[#Data],YES_Writing_FLA[#Data]),MATCH($A382,_xlfn.VSTACK(YES_Writing_ELA[Student Number],YES_Writing_FLA[Student Number]),0),MATCH(VLOOKUP(G$7,'Writing Logic'!$J$7:$K$11,2,FALSE)&amp;" - Per "&amp;VLOOKUP($C$4,'Writing Logic'!$G$8:$H$14,2,FALSE),YES_Writing_ELA[#Headers],0))=0,"",INDEX(_xlfn.VSTACK(YES_Writing_ELA[#Data],YES_Writing_FLA[#Data]),MATCH($A382,_xlfn.VSTACK(YES_Writing_ELA[Student Number],YES_Writing_FLA[Student Number]),0),MATCH(VLOOKUP(G$7,'Writing Logic'!$J$7:$K$11,2,FALSE)&amp;" - Per "&amp;VLOOKUP($C$4,'Writing Logic'!$G$8:$H$14,2,FALSE),YES_Writing_ELA[#Headers],0)))),"")</f>
        <v/>
      </c>
      <c r="H382" s="138" t="str">
        <f>IFERROR(IF(IF(INDEX(_xlfn.VSTACK(YES_Writing_ELA[#Data],YES_Writing_FLA[#Data]),MATCH($A382,_xlfn.VSTACK(YES_Writing_ELA[Student Number],YES_Writing_FLA[Student Number]),0),MATCH(VLOOKUP(H$7,'Writing Logic'!$J$7:$K$11,2,FALSE)&amp;" - Per "&amp;VLOOKUP($C$4,'Writing Logic'!$G$8:$H$14,2,FALSE),YES_Writing_ELA[#Headers],0))=0,"",INDEX(_xlfn.VSTACK(YES_Writing_ELA[#Data],YES_Writing_FLA[#Data]),MATCH($A382,_xlfn.VSTACK(YES_Writing_ELA[Student Number],YES_Writing_FLA[Student Number]),0),MATCH(VLOOKUP(H$7,'Writing Logic'!$J$7:$K$11,2,FALSE)&amp;" - Per "&amp;VLOOKUP($C$4,'Writing Logic'!$G$8:$H$14,2,FALSE),YES_Writing_ELA[#Headers],0)))="INS",'Writing Logic'!$B$7,IF(INDEX(_xlfn.VSTACK(YES_Writing_ELA[#Data],YES_Writing_FLA[#Data]),MATCH($A382,_xlfn.VSTACK(YES_Writing_ELA[Student Number],YES_Writing_FLA[Student Number]),0),MATCH(VLOOKUP(H$7,'Writing Logic'!$J$7:$K$11,2,FALSE)&amp;" - Per "&amp;VLOOKUP($C$4,'Writing Logic'!$G$8:$H$14,2,FALSE),YES_Writing_ELA[#Headers],0))=0,"",INDEX(_xlfn.VSTACK(YES_Writing_ELA[#Data],YES_Writing_FLA[#Data]),MATCH($A382,_xlfn.VSTACK(YES_Writing_ELA[Student Number],YES_Writing_FLA[Student Number]),0),MATCH(VLOOKUP(H$7,'Writing Logic'!$J$7:$K$11,2,FALSE)&amp;" - Per "&amp;VLOOKUP($C$4,'Writing Logic'!$G$8:$H$14,2,FALSE),YES_Writing_ELA[#Headers],0)))),"")</f>
        <v/>
      </c>
    </row>
    <row r="383" spans="1:8" x14ac:dyDescent="0.25">
      <c r="A383" s="137"/>
      <c r="B383" s="137" t="str">
        <f>IFERROR(INDEX(_xlfn.VSTACK(YES_Writing_ELA[#Data], YES_Writing_FLA[#Data]),MATCH($A383,_xlfn.VSTACK(YES_Writing_ELA[Student Number], YES_Writing_FLA[Student Number]),0),MATCH(B$7,YES_Writing_ELA[#Headers],0)),"")</f>
        <v/>
      </c>
      <c r="C383" s="137" t="str">
        <f>IFERROR(INDEX(_xlfn.VSTACK(YES_Writing_ELA[#Data], YES_Writing_FLA[#Data]),MATCH($A383,_xlfn.VSTACK(YES_Writing_ELA[Student Number], YES_Writing_FLA[Student Number]),0),MATCH(C$7,YES_Writing_ELA[#Headers],0)),"")</f>
        <v/>
      </c>
      <c r="D383" s="138" t="str">
        <f>IFERROR(IF(IF(INDEX(_xlfn.VSTACK(YES_Writing_ELA[#Data],YES_Writing_FLA[#Data]),MATCH($A383,_xlfn.VSTACK(YES_Writing_ELA[Student Number],YES_Writing_FLA[Student Number]),0),MATCH(VLOOKUP(D$7,'Writing Logic'!$J$7:$K$11,2,FALSE)&amp;" - Per "&amp;VLOOKUP($C$4,'Writing Logic'!$G$8:$H$14,2,FALSE),YES_Writing_ELA[#Headers],0))=0,"",INDEX(_xlfn.VSTACK(YES_Writing_ELA[#Data],YES_Writing_FLA[#Data]),MATCH($A383,_xlfn.VSTACK(YES_Writing_ELA[Student Number],YES_Writing_FLA[Student Number]),0),MATCH(VLOOKUP(D$7,'Writing Logic'!$J$7:$K$11,2,FALSE)&amp;" - Per "&amp;VLOOKUP($C$4,'Writing Logic'!$G$8:$H$14,2,FALSE),YES_Writing_ELA[#Headers],0)))="INS",'Writing Logic'!$B$7,IF(INDEX(_xlfn.VSTACK(YES_Writing_ELA[#Data],YES_Writing_FLA[#Data]),MATCH($A383,_xlfn.VSTACK(YES_Writing_ELA[Student Number],YES_Writing_FLA[Student Number]),0),MATCH(VLOOKUP(D$7,'Writing Logic'!$J$7:$K$11,2,FALSE)&amp;" - Per "&amp;VLOOKUP($C$4,'Writing Logic'!$G$8:$H$14,2,FALSE),YES_Writing_ELA[#Headers],0))=0,"",INDEX(_xlfn.VSTACK(YES_Writing_ELA[#Data],YES_Writing_FLA[#Data]),MATCH($A383,_xlfn.VSTACK(YES_Writing_ELA[Student Number],YES_Writing_FLA[Student Number]),0),MATCH(VLOOKUP(D$7,'Writing Logic'!$J$7:$K$11,2,FALSE)&amp;" - Per "&amp;VLOOKUP($C$4,'Writing Logic'!$G$8:$H$14,2,FALSE),YES_Writing_ELA[#Headers],0)))),"")</f>
        <v/>
      </c>
      <c r="E383" s="138" t="str">
        <f>IFERROR(IF(IF(INDEX(_xlfn.VSTACK(YES_Writing_ELA[#Data],YES_Writing_FLA[#Data]),MATCH($A383,_xlfn.VSTACK(YES_Writing_ELA[Student Number],YES_Writing_FLA[Student Number]),0),MATCH(VLOOKUP(E$7,'Writing Logic'!$J$7:$K$11,2,FALSE)&amp;" - Per "&amp;VLOOKUP($C$4,'Writing Logic'!$G$8:$H$14,2,FALSE),YES_Writing_ELA[#Headers],0))=0,"",INDEX(_xlfn.VSTACK(YES_Writing_ELA[#Data],YES_Writing_FLA[#Data]),MATCH($A383,_xlfn.VSTACK(YES_Writing_ELA[Student Number],YES_Writing_FLA[Student Number]),0),MATCH(VLOOKUP(E$7,'Writing Logic'!$J$7:$K$11,2,FALSE)&amp;" - Per "&amp;VLOOKUP($C$4,'Writing Logic'!$G$8:$H$14,2,FALSE),YES_Writing_ELA[#Headers],0)))="INS",'Writing Logic'!$B$7,IF(INDEX(_xlfn.VSTACK(YES_Writing_ELA[#Data],YES_Writing_FLA[#Data]),MATCH($A383,_xlfn.VSTACK(YES_Writing_ELA[Student Number],YES_Writing_FLA[Student Number]),0),MATCH(VLOOKUP(E$7,'Writing Logic'!$J$7:$K$11,2,FALSE)&amp;" - Per "&amp;VLOOKUP($C$4,'Writing Logic'!$G$8:$H$14,2,FALSE),YES_Writing_ELA[#Headers],0))=0,"",INDEX(_xlfn.VSTACK(YES_Writing_ELA[#Data],YES_Writing_FLA[#Data]),MATCH($A383,_xlfn.VSTACK(YES_Writing_ELA[Student Number],YES_Writing_FLA[Student Number]),0),MATCH(VLOOKUP(E$7,'Writing Logic'!$J$7:$K$11,2,FALSE)&amp;" - Per "&amp;VLOOKUP($C$4,'Writing Logic'!$G$8:$H$14,2,FALSE),YES_Writing_ELA[#Headers],0)))),"")</f>
        <v/>
      </c>
      <c r="F383" s="138" t="str">
        <f>IFERROR(IF(IF(INDEX(_xlfn.VSTACK(YES_Writing_ELA[#Data],YES_Writing_FLA[#Data]),MATCH($A383,_xlfn.VSTACK(YES_Writing_ELA[Student Number],YES_Writing_FLA[Student Number]),0),MATCH(VLOOKUP(F$7,'Writing Logic'!$J$7:$K$11,2,FALSE)&amp;" - Per "&amp;VLOOKUP($C$4,'Writing Logic'!$G$8:$H$14,2,FALSE),YES_Writing_ELA[#Headers],0))=0,"",INDEX(_xlfn.VSTACK(YES_Writing_ELA[#Data],YES_Writing_FLA[#Data]),MATCH($A383,_xlfn.VSTACK(YES_Writing_ELA[Student Number],YES_Writing_FLA[Student Number]),0),MATCH(VLOOKUP(F$7,'Writing Logic'!$J$7:$K$11,2,FALSE)&amp;" - Per "&amp;VLOOKUP($C$4,'Writing Logic'!$G$8:$H$14,2,FALSE),YES_Writing_ELA[#Headers],0)))="INS",'Writing Logic'!$B$7,IF(INDEX(_xlfn.VSTACK(YES_Writing_ELA[#Data],YES_Writing_FLA[#Data]),MATCH($A383,_xlfn.VSTACK(YES_Writing_ELA[Student Number],YES_Writing_FLA[Student Number]),0),MATCH(VLOOKUP(F$7,'Writing Logic'!$J$7:$K$11,2,FALSE)&amp;" - Per "&amp;VLOOKUP($C$4,'Writing Logic'!$G$8:$H$14,2,FALSE),YES_Writing_ELA[#Headers],0))=0,"",INDEX(_xlfn.VSTACK(YES_Writing_ELA[#Data],YES_Writing_FLA[#Data]),MATCH($A383,_xlfn.VSTACK(YES_Writing_ELA[Student Number],YES_Writing_FLA[Student Number]),0),MATCH(VLOOKUP(F$7,'Writing Logic'!$J$7:$K$11,2,FALSE)&amp;" - Per "&amp;VLOOKUP($C$4,'Writing Logic'!$G$8:$H$14,2,FALSE),YES_Writing_ELA[#Headers],0)))),"")</f>
        <v/>
      </c>
      <c r="G383" s="138" t="str">
        <f>IFERROR(IF(IF(INDEX(_xlfn.VSTACK(YES_Writing_ELA[#Data],YES_Writing_FLA[#Data]),MATCH($A383,_xlfn.VSTACK(YES_Writing_ELA[Student Number],YES_Writing_FLA[Student Number]),0),MATCH(VLOOKUP(G$7,'Writing Logic'!$J$7:$K$11,2,FALSE)&amp;" - Per "&amp;VLOOKUP($C$4,'Writing Logic'!$G$8:$H$14,2,FALSE),YES_Writing_ELA[#Headers],0))=0,"",INDEX(_xlfn.VSTACK(YES_Writing_ELA[#Data],YES_Writing_FLA[#Data]),MATCH($A383,_xlfn.VSTACK(YES_Writing_ELA[Student Number],YES_Writing_FLA[Student Number]),0),MATCH(VLOOKUP(G$7,'Writing Logic'!$J$7:$K$11,2,FALSE)&amp;" - Per "&amp;VLOOKUP($C$4,'Writing Logic'!$G$8:$H$14,2,FALSE),YES_Writing_ELA[#Headers],0)))="INS",'Writing Logic'!$B$7,IF(INDEX(_xlfn.VSTACK(YES_Writing_ELA[#Data],YES_Writing_FLA[#Data]),MATCH($A383,_xlfn.VSTACK(YES_Writing_ELA[Student Number],YES_Writing_FLA[Student Number]),0),MATCH(VLOOKUP(G$7,'Writing Logic'!$J$7:$K$11,2,FALSE)&amp;" - Per "&amp;VLOOKUP($C$4,'Writing Logic'!$G$8:$H$14,2,FALSE),YES_Writing_ELA[#Headers],0))=0,"",INDEX(_xlfn.VSTACK(YES_Writing_ELA[#Data],YES_Writing_FLA[#Data]),MATCH($A383,_xlfn.VSTACK(YES_Writing_ELA[Student Number],YES_Writing_FLA[Student Number]),0),MATCH(VLOOKUP(G$7,'Writing Logic'!$J$7:$K$11,2,FALSE)&amp;" - Per "&amp;VLOOKUP($C$4,'Writing Logic'!$G$8:$H$14,2,FALSE),YES_Writing_ELA[#Headers],0)))),"")</f>
        <v/>
      </c>
      <c r="H383" s="138" t="str">
        <f>IFERROR(IF(IF(INDEX(_xlfn.VSTACK(YES_Writing_ELA[#Data],YES_Writing_FLA[#Data]),MATCH($A383,_xlfn.VSTACK(YES_Writing_ELA[Student Number],YES_Writing_FLA[Student Number]),0),MATCH(VLOOKUP(H$7,'Writing Logic'!$J$7:$K$11,2,FALSE)&amp;" - Per "&amp;VLOOKUP($C$4,'Writing Logic'!$G$8:$H$14,2,FALSE),YES_Writing_ELA[#Headers],0))=0,"",INDEX(_xlfn.VSTACK(YES_Writing_ELA[#Data],YES_Writing_FLA[#Data]),MATCH($A383,_xlfn.VSTACK(YES_Writing_ELA[Student Number],YES_Writing_FLA[Student Number]),0),MATCH(VLOOKUP(H$7,'Writing Logic'!$J$7:$K$11,2,FALSE)&amp;" - Per "&amp;VLOOKUP($C$4,'Writing Logic'!$G$8:$H$14,2,FALSE),YES_Writing_ELA[#Headers],0)))="INS",'Writing Logic'!$B$7,IF(INDEX(_xlfn.VSTACK(YES_Writing_ELA[#Data],YES_Writing_FLA[#Data]),MATCH($A383,_xlfn.VSTACK(YES_Writing_ELA[Student Number],YES_Writing_FLA[Student Number]),0),MATCH(VLOOKUP(H$7,'Writing Logic'!$J$7:$K$11,2,FALSE)&amp;" - Per "&amp;VLOOKUP($C$4,'Writing Logic'!$G$8:$H$14,2,FALSE),YES_Writing_ELA[#Headers],0))=0,"",INDEX(_xlfn.VSTACK(YES_Writing_ELA[#Data],YES_Writing_FLA[#Data]),MATCH($A383,_xlfn.VSTACK(YES_Writing_ELA[Student Number],YES_Writing_FLA[Student Number]),0),MATCH(VLOOKUP(H$7,'Writing Logic'!$J$7:$K$11,2,FALSE)&amp;" - Per "&amp;VLOOKUP($C$4,'Writing Logic'!$G$8:$H$14,2,FALSE),YES_Writing_ELA[#Headers],0)))),"")</f>
        <v/>
      </c>
    </row>
    <row r="384" spans="1:8" x14ac:dyDescent="0.25">
      <c r="A384" s="137"/>
      <c r="B384" s="137" t="str">
        <f>IFERROR(INDEX(_xlfn.VSTACK(YES_Writing_ELA[#Data], YES_Writing_FLA[#Data]),MATCH($A384,_xlfn.VSTACK(YES_Writing_ELA[Student Number], YES_Writing_FLA[Student Number]),0),MATCH(B$7,YES_Writing_ELA[#Headers],0)),"")</f>
        <v/>
      </c>
      <c r="C384" s="137" t="str">
        <f>IFERROR(INDEX(_xlfn.VSTACK(YES_Writing_ELA[#Data], YES_Writing_FLA[#Data]),MATCH($A384,_xlfn.VSTACK(YES_Writing_ELA[Student Number], YES_Writing_FLA[Student Number]),0),MATCH(C$7,YES_Writing_ELA[#Headers],0)),"")</f>
        <v/>
      </c>
      <c r="D384" s="138" t="str">
        <f>IFERROR(IF(IF(INDEX(_xlfn.VSTACK(YES_Writing_ELA[#Data],YES_Writing_FLA[#Data]),MATCH($A384,_xlfn.VSTACK(YES_Writing_ELA[Student Number],YES_Writing_FLA[Student Number]),0),MATCH(VLOOKUP(D$7,'Writing Logic'!$J$7:$K$11,2,FALSE)&amp;" - Per "&amp;VLOOKUP($C$4,'Writing Logic'!$G$8:$H$14,2,FALSE),YES_Writing_ELA[#Headers],0))=0,"",INDEX(_xlfn.VSTACK(YES_Writing_ELA[#Data],YES_Writing_FLA[#Data]),MATCH($A384,_xlfn.VSTACK(YES_Writing_ELA[Student Number],YES_Writing_FLA[Student Number]),0),MATCH(VLOOKUP(D$7,'Writing Logic'!$J$7:$K$11,2,FALSE)&amp;" - Per "&amp;VLOOKUP($C$4,'Writing Logic'!$G$8:$H$14,2,FALSE),YES_Writing_ELA[#Headers],0)))="INS",'Writing Logic'!$B$7,IF(INDEX(_xlfn.VSTACK(YES_Writing_ELA[#Data],YES_Writing_FLA[#Data]),MATCH($A384,_xlfn.VSTACK(YES_Writing_ELA[Student Number],YES_Writing_FLA[Student Number]),0),MATCH(VLOOKUP(D$7,'Writing Logic'!$J$7:$K$11,2,FALSE)&amp;" - Per "&amp;VLOOKUP($C$4,'Writing Logic'!$G$8:$H$14,2,FALSE),YES_Writing_ELA[#Headers],0))=0,"",INDEX(_xlfn.VSTACK(YES_Writing_ELA[#Data],YES_Writing_FLA[#Data]),MATCH($A384,_xlfn.VSTACK(YES_Writing_ELA[Student Number],YES_Writing_FLA[Student Number]),0),MATCH(VLOOKUP(D$7,'Writing Logic'!$J$7:$K$11,2,FALSE)&amp;" - Per "&amp;VLOOKUP($C$4,'Writing Logic'!$G$8:$H$14,2,FALSE),YES_Writing_ELA[#Headers],0)))),"")</f>
        <v/>
      </c>
      <c r="E384" s="138" t="str">
        <f>IFERROR(IF(IF(INDEX(_xlfn.VSTACK(YES_Writing_ELA[#Data],YES_Writing_FLA[#Data]),MATCH($A384,_xlfn.VSTACK(YES_Writing_ELA[Student Number],YES_Writing_FLA[Student Number]),0),MATCH(VLOOKUP(E$7,'Writing Logic'!$J$7:$K$11,2,FALSE)&amp;" - Per "&amp;VLOOKUP($C$4,'Writing Logic'!$G$8:$H$14,2,FALSE),YES_Writing_ELA[#Headers],0))=0,"",INDEX(_xlfn.VSTACK(YES_Writing_ELA[#Data],YES_Writing_FLA[#Data]),MATCH($A384,_xlfn.VSTACK(YES_Writing_ELA[Student Number],YES_Writing_FLA[Student Number]),0),MATCH(VLOOKUP(E$7,'Writing Logic'!$J$7:$K$11,2,FALSE)&amp;" - Per "&amp;VLOOKUP($C$4,'Writing Logic'!$G$8:$H$14,2,FALSE),YES_Writing_ELA[#Headers],0)))="INS",'Writing Logic'!$B$7,IF(INDEX(_xlfn.VSTACK(YES_Writing_ELA[#Data],YES_Writing_FLA[#Data]),MATCH($A384,_xlfn.VSTACK(YES_Writing_ELA[Student Number],YES_Writing_FLA[Student Number]),0),MATCH(VLOOKUP(E$7,'Writing Logic'!$J$7:$K$11,2,FALSE)&amp;" - Per "&amp;VLOOKUP($C$4,'Writing Logic'!$G$8:$H$14,2,FALSE),YES_Writing_ELA[#Headers],0))=0,"",INDEX(_xlfn.VSTACK(YES_Writing_ELA[#Data],YES_Writing_FLA[#Data]),MATCH($A384,_xlfn.VSTACK(YES_Writing_ELA[Student Number],YES_Writing_FLA[Student Number]),0),MATCH(VLOOKUP(E$7,'Writing Logic'!$J$7:$K$11,2,FALSE)&amp;" - Per "&amp;VLOOKUP($C$4,'Writing Logic'!$G$8:$H$14,2,FALSE),YES_Writing_ELA[#Headers],0)))),"")</f>
        <v/>
      </c>
      <c r="F384" s="138" t="str">
        <f>IFERROR(IF(IF(INDEX(_xlfn.VSTACK(YES_Writing_ELA[#Data],YES_Writing_FLA[#Data]),MATCH($A384,_xlfn.VSTACK(YES_Writing_ELA[Student Number],YES_Writing_FLA[Student Number]),0),MATCH(VLOOKUP(F$7,'Writing Logic'!$J$7:$K$11,2,FALSE)&amp;" - Per "&amp;VLOOKUP($C$4,'Writing Logic'!$G$8:$H$14,2,FALSE),YES_Writing_ELA[#Headers],0))=0,"",INDEX(_xlfn.VSTACK(YES_Writing_ELA[#Data],YES_Writing_FLA[#Data]),MATCH($A384,_xlfn.VSTACK(YES_Writing_ELA[Student Number],YES_Writing_FLA[Student Number]),0),MATCH(VLOOKUP(F$7,'Writing Logic'!$J$7:$K$11,2,FALSE)&amp;" - Per "&amp;VLOOKUP($C$4,'Writing Logic'!$G$8:$H$14,2,FALSE),YES_Writing_ELA[#Headers],0)))="INS",'Writing Logic'!$B$7,IF(INDEX(_xlfn.VSTACK(YES_Writing_ELA[#Data],YES_Writing_FLA[#Data]),MATCH($A384,_xlfn.VSTACK(YES_Writing_ELA[Student Number],YES_Writing_FLA[Student Number]),0),MATCH(VLOOKUP(F$7,'Writing Logic'!$J$7:$K$11,2,FALSE)&amp;" - Per "&amp;VLOOKUP($C$4,'Writing Logic'!$G$8:$H$14,2,FALSE),YES_Writing_ELA[#Headers],0))=0,"",INDEX(_xlfn.VSTACK(YES_Writing_ELA[#Data],YES_Writing_FLA[#Data]),MATCH($A384,_xlfn.VSTACK(YES_Writing_ELA[Student Number],YES_Writing_FLA[Student Number]),0),MATCH(VLOOKUP(F$7,'Writing Logic'!$J$7:$K$11,2,FALSE)&amp;" - Per "&amp;VLOOKUP($C$4,'Writing Logic'!$G$8:$H$14,2,FALSE),YES_Writing_ELA[#Headers],0)))),"")</f>
        <v/>
      </c>
      <c r="G384" s="138" t="str">
        <f>IFERROR(IF(IF(INDEX(_xlfn.VSTACK(YES_Writing_ELA[#Data],YES_Writing_FLA[#Data]),MATCH($A384,_xlfn.VSTACK(YES_Writing_ELA[Student Number],YES_Writing_FLA[Student Number]),0),MATCH(VLOOKUP(G$7,'Writing Logic'!$J$7:$K$11,2,FALSE)&amp;" - Per "&amp;VLOOKUP($C$4,'Writing Logic'!$G$8:$H$14,2,FALSE),YES_Writing_ELA[#Headers],0))=0,"",INDEX(_xlfn.VSTACK(YES_Writing_ELA[#Data],YES_Writing_FLA[#Data]),MATCH($A384,_xlfn.VSTACK(YES_Writing_ELA[Student Number],YES_Writing_FLA[Student Number]),0),MATCH(VLOOKUP(G$7,'Writing Logic'!$J$7:$K$11,2,FALSE)&amp;" - Per "&amp;VLOOKUP($C$4,'Writing Logic'!$G$8:$H$14,2,FALSE),YES_Writing_ELA[#Headers],0)))="INS",'Writing Logic'!$B$7,IF(INDEX(_xlfn.VSTACK(YES_Writing_ELA[#Data],YES_Writing_FLA[#Data]),MATCH($A384,_xlfn.VSTACK(YES_Writing_ELA[Student Number],YES_Writing_FLA[Student Number]),0),MATCH(VLOOKUP(G$7,'Writing Logic'!$J$7:$K$11,2,FALSE)&amp;" - Per "&amp;VLOOKUP($C$4,'Writing Logic'!$G$8:$H$14,2,FALSE),YES_Writing_ELA[#Headers],0))=0,"",INDEX(_xlfn.VSTACK(YES_Writing_ELA[#Data],YES_Writing_FLA[#Data]),MATCH($A384,_xlfn.VSTACK(YES_Writing_ELA[Student Number],YES_Writing_FLA[Student Number]),0),MATCH(VLOOKUP(G$7,'Writing Logic'!$J$7:$K$11,2,FALSE)&amp;" - Per "&amp;VLOOKUP($C$4,'Writing Logic'!$G$8:$H$14,2,FALSE),YES_Writing_ELA[#Headers],0)))),"")</f>
        <v/>
      </c>
      <c r="H384" s="138" t="str">
        <f>IFERROR(IF(IF(INDEX(_xlfn.VSTACK(YES_Writing_ELA[#Data],YES_Writing_FLA[#Data]),MATCH($A384,_xlfn.VSTACK(YES_Writing_ELA[Student Number],YES_Writing_FLA[Student Number]),0),MATCH(VLOOKUP(H$7,'Writing Logic'!$J$7:$K$11,2,FALSE)&amp;" - Per "&amp;VLOOKUP($C$4,'Writing Logic'!$G$8:$H$14,2,FALSE),YES_Writing_ELA[#Headers],0))=0,"",INDEX(_xlfn.VSTACK(YES_Writing_ELA[#Data],YES_Writing_FLA[#Data]),MATCH($A384,_xlfn.VSTACK(YES_Writing_ELA[Student Number],YES_Writing_FLA[Student Number]),0),MATCH(VLOOKUP(H$7,'Writing Logic'!$J$7:$K$11,2,FALSE)&amp;" - Per "&amp;VLOOKUP($C$4,'Writing Logic'!$G$8:$H$14,2,FALSE),YES_Writing_ELA[#Headers],0)))="INS",'Writing Logic'!$B$7,IF(INDEX(_xlfn.VSTACK(YES_Writing_ELA[#Data],YES_Writing_FLA[#Data]),MATCH($A384,_xlfn.VSTACK(YES_Writing_ELA[Student Number],YES_Writing_FLA[Student Number]),0),MATCH(VLOOKUP(H$7,'Writing Logic'!$J$7:$K$11,2,FALSE)&amp;" - Per "&amp;VLOOKUP($C$4,'Writing Logic'!$G$8:$H$14,2,FALSE),YES_Writing_ELA[#Headers],0))=0,"",INDEX(_xlfn.VSTACK(YES_Writing_ELA[#Data],YES_Writing_FLA[#Data]),MATCH($A384,_xlfn.VSTACK(YES_Writing_ELA[Student Number],YES_Writing_FLA[Student Number]),0),MATCH(VLOOKUP(H$7,'Writing Logic'!$J$7:$K$11,2,FALSE)&amp;" - Per "&amp;VLOOKUP($C$4,'Writing Logic'!$G$8:$H$14,2,FALSE),YES_Writing_ELA[#Headers],0)))),"")</f>
        <v/>
      </c>
    </row>
    <row r="385" spans="1:8" x14ac:dyDescent="0.25">
      <c r="A385" s="137"/>
      <c r="B385" s="137" t="str">
        <f>IFERROR(INDEX(_xlfn.VSTACK(YES_Writing_ELA[#Data], YES_Writing_FLA[#Data]),MATCH($A385,_xlfn.VSTACK(YES_Writing_ELA[Student Number], YES_Writing_FLA[Student Number]),0),MATCH(B$7,YES_Writing_ELA[#Headers],0)),"")</f>
        <v/>
      </c>
      <c r="C385" s="137" t="str">
        <f>IFERROR(INDEX(_xlfn.VSTACK(YES_Writing_ELA[#Data], YES_Writing_FLA[#Data]),MATCH($A385,_xlfn.VSTACK(YES_Writing_ELA[Student Number], YES_Writing_FLA[Student Number]),0),MATCH(C$7,YES_Writing_ELA[#Headers],0)),"")</f>
        <v/>
      </c>
      <c r="D385" s="138" t="str">
        <f>IFERROR(IF(IF(INDEX(_xlfn.VSTACK(YES_Writing_ELA[#Data],YES_Writing_FLA[#Data]),MATCH($A385,_xlfn.VSTACK(YES_Writing_ELA[Student Number],YES_Writing_FLA[Student Number]),0),MATCH(VLOOKUP(D$7,'Writing Logic'!$J$7:$K$11,2,FALSE)&amp;" - Per "&amp;VLOOKUP($C$4,'Writing Logic'!$G$8:$H$14,2,FALSE),YES_Writing_ELA[#Headers],0))=0,"",INDEX(_xlfn.VSTACK(YES_Writing_ELA[#Data],YES_Writing_FLA[#Data]),MATCH($A385,_xlfn.VSTACK(YES_Writing_ELA[Student Number],YES_Writing_FLA[Student Number]),0),MATCH(VLOOKUP(D$7,'Writing Logic'!$J$7:$K$11,2,FALSE)&amp;" - Per "&amp;VLOOKUP($C$4,'Writing Logic'!$G$8:$H$14,2,FALSE),YES_Writing_ELA[#Headers],0)))="INS",'Writing Logic'!$B$7,IF(INDEX(_xlfn.VSTACK(YES_Writing_ELA[#Data],YES_Writing_FLA[#Data]),MATCH($A385,_xlfn.VSTACK(YES_Writing_ELA[Student Number],YES_Writing_FLA[Student Number]),0),MATCH(VLOOKUP(D$7,'Writing Logic'!$J$7:$K$11,2,FALSE)&amp;" - Per "&amp;VLOOKUP($C$4,'Writing Logic'!$G$8:$H$14,2,FALSE),YES_Writing_ELA[#Headers],0))=0,"",INDEX(_xlfn.VSTACK(YES_Writing_ELA[#Data],YES_Writing_FLA[#Data]),MATCH($A385,_xlfn.VSTACK(YES_Writing_ELA[Student Number],YES_Writing_FLA[Student Number]),0),MATCH(VLOOKUP(D$7,'Writing Logic'!$J$7:$K$11,2,FALSE)&amp;" - Per "&amp;VLOOKUP($C$4,'Writing Logic'!$G$8:$H$14,2,FALSE),YES_Writing_ELA[#Headers],0)))),"")</f>
        <v/>
      </c>
      <c r="E385" s="138" t="str">
        <f>IFERROR(IF(IF(INDEX(_xlfn.VSTACK(YES_Writing_ELA[#Data],YES_Writing_FLA[#Data]),MATCH($A385,_xlfn.VSTACK(YES_Writing_ELA[Student Number],YES_Writing_FLA[Student Number]),0),MATCH(VLOOKUP(E$7,'Writing Logic'!$J$7:$K$11,2,FALSE)&amp;" - Per "&amp;VLOOKUP($C$4,'Writing Logic'!$G$8:$H$14,2,FALSE),YES_Writing_ELA[#Headers],0))=0,"",INDEX(_xlfn.VSTACK(YES_Writing_ELA[#Data],YES_Writing_FLA[#Data]),MATCH($A385,_xlfn.VSTACK(YES_Writing_ELA[Student Number],YES_Writing_FLA[Student Number]),0),MATCH(VLOOKUP(E$7,'Writing Logic'!$J$7:$K$11,2,FALSE)&amp;" - Per "&amp;VLOOKUP($C$4,'Writing Logic'!$G$8:$H$14,2,FALSE),YES_Writing_ELA[#Headers],0)))="INS",'Writing Logic'!$B$7,IF(INDEX(_xlfn.VSTACK(YES_Writing_ELA[#Data],YES_Writing_FLA[#Data]),MATCH($A385,_xlfn.VSTACK(YES_Writing_ELA[Student Number],YES_Writing_FLA[Student Number]),0),MATCH(VLOOKUP(E$7,'Writing Logic'!$J$7:$K$11,2,FALSE)&amp;" - Per "&amp;VLOOKUP($C$4,'Writing Logic'!$G$8:$H$14,2,FALSE),YES_Writing_ELA[#Headers],0))=0,"",INDEX(_xlfn.VSTACK(YES_Writing_ELA[#Data],YES_Writing_FLA[#Data]),MATCH($A385,_xlfn.VSTACK(YES_Writing_ELA[Student Number],YES_Writing_FLA[Student Number]),0),MATCH(VLOOKUP(E$7,'Writing Logic'!$J$7:$K$11,2,FALSE)&amp;" - Per "&amp;VLOOKUP($C$4,'Writing Logic'!$G$8:$H$14,2,FALSE),YES_Writing_ELA[#Headers],0)))),"")</f>
        <v/>
      </c>
      <c r="F385" s="138" t="str">
        <f>IFERROR(IF(IF(INDEX(_xlfn.VSTACK(YES_Writing_ELA[#Data],YES_Writing_FLA[#Data]),MATCH($A385,_xlfn.VSTACK(YES_Writing_ELA[Student Number],YES_Writing_FLA[Student Number]),0),MATCH(VLOOKUP(F$7,'Writing Logic'!$J$7:$K$11,2,FALSE)&amp;" - Per "&amp;VLOOKUP($C$4,'Writing Logic'!$G$8:$H$14,2,FALSE),YES_Writing_ELA[#Headers],0))=0,"",INDEX(_xlfn.VSTACK(YES_Writing_ELA[#Data],YES_Writing_FLA[#Data]),MATCH($A385,_xlfn.VSTACK(YES_Writing_ELA[Student Number],YES_Writing_FLA[Student Number]),0),MATCH(VLOOKUP(F$7,'Writing Logic'!$J$7:$K$11,2,FALSE)&amp;" - Per "&amp;VLOOKUP($C$4,'Writing Logic'!$G$8:$H$14,2,FALSE),YES_Writing_ELA[#Headers],0)))="INS",'Writing Logic'!$B$7,IF(INDEX(_xlfn.VSTACK(YES_Writing_ELA[#Data],YES_Writing_FLA[#Data]),MATCH($A385,_xlfn.VSTACK(YES_Writing_ELA[Student Number],YES_Writing_FLA[Student Number]),0),MATCH(VLOOKUP(F$7,'Writing Logic'!$J$7:$K$11,2,FALSE)&amp;" - Per "&amp;VLOOKUP($C$4,'Writing Logic'!$G$8:$H$14,2,FALSE),YES_Writing_ELA[#Headers],0))=0,"",INDEX(_xlfn.VSTACK(YES_Writing_ELA[#Data],YES_Writing_FLA[#Data]),MATCH($A385,_xlfn.VSTACK(YES_Writing_ELA[Student Number],YES_Writing_FLA[Student Number]),0),MATCH(VLOOKUP(F$7,'Writing Logic'!$J$7:$K$11,2,FALSE)&amp;" - Per "&amp;VLOOKUP($C$4,'Writing Logic'!$G$8:$H$14,2,FALSE),YES_Writing_ELA[#Headers],0)))),"")</f>
        <v/>
      </c>
      <c r="G385" s="138" t="str">
        <f>IFERROR(IF(IF(INDEX(_xlfn.VSTACK(YES_Writing_ELA[#Data],YES_Writing_FLA[#Data]),MATCH($A385,_xlfn.VSTACK(YES_Writing_ELA[Student Number],YES_Writing_FLA[Student Number]),0),MATCH(VLOOKUP(G$7,'Writing Logic'!$J$7:$K$11,2,FALSE)&amp;" - Per "&amp;VLOOKUP($C$4,'Writing Logic'!$G$8:$H$14,2,FALSE),YES_Writing_ELA[#Headers],0))=0,"",INDEX(_xlfn.VSTACK(YES_Writing_ELA[#Data],YES_Writing_FLA[#Data]),MATCH($A385,_xlfn.VSTACK(YES_Writing_ELA[Student Number],YES_Writing_FLA[Student Number]),0),MATCH(VLOOKUP(G$7,'Writing Logic'!$J$7:$K$11,2,FALSE)&amp;" - Per "&amp;VLOOKUP($C$4,'Writing Logic'!$G$8:$H$14,2,FALSE),YES_Writing_ELA[#Headers],0)))="INS",'Writing Logic'!$B$7,IF(INDEX(_xlfn.VSTACK(YES_Writing_ELA[#Data],YES_Writing_FLA[#Data]),MATCH($A385,_xlfn.VSTACK(YES_Writing_ELA[Student Number],YES_Writing_FLA[Student Number]),0),MATCH(VLOOKUP(G$7,'Writing Logic'!$J$7:$K$11,2,FALSE)&amp;" - Per "&amp;VLOOKUP($C$4,'Writing Logic'!$G$8:$H$14,2,FALSE),YES_Writing_ELA[#Headers],0))=0,"",INDEX(_xlfn.VSTACK(YES_Writing_ELA[#Data],YES_Writing_FLA[#Data]),MATCH($A385,_xlfn.VSTACK(YES_Writing_ELA[Student Number],YES_Writing_FLA[Student Number]),0),MATCH(VLOOKUP(G$7,'Writing Logic'!$J$7:$K$11,2,FALSE)&amp;" - Per "&amp;VLOOKUP($C$4,'Writing Logic'!$G$8:$H$14,2,FALSE),YES_Writing_ELA[#Headers],0)))),"")</f>
        <v/>
      </c>
      <c r="H385" s="138" t="str">
        <f>IFERROR(IF(IF(INDEX(_xlfn.VSTACK(YES_Writing_ELA[#Data],YES_Writing_FLA[#Data]),MATCH($A385,_xlfn.VSTACK(YES_Writing_ELA[Student Number],YES_Writing_FLA[Student Number]),0),MATCH(VLOOKUP(H$7,'Writing Logic'!$J$7:$K$11,2,FALSE)&amp;" - Per "&amp;VLOOKUP($C$4,'Writing Logic'!$G$8:$H$14,2,FALSE),YES_Writing_ELA[#Headers],0))=0,"",INDEX(_xlfn.VSTACK(YES_Writing_ELA[#Data],YES_Writing_FLA[#Data]),MATCH($A385,_xlfn.VSTACK(YES_Writing_ELA[Student Number],YES_Writing_FLA[Student Number]),0),MATCH(VLOOKUP(H$7,'Writing Logic'!$J$7:$K$11,2,FALSE)&amp;" - Per "&amp;VLOOKUP($C$4,'Writing Logic'!$G$8:$H$14,2,FALSE),YES_Writing_ELA[#Headers],0)))="INS",'Writing Logic'!$B$7,IF(INDEX(_xlfn.VSTACK(YES_Writing_ELA[#Data],YES_Writing_FLA[#Data]),MATCH($A385,_xlfn.VSTACK(YES_Writing_ELA[Student Number],YES_Writing_FLA[Student Number]),0),MATCH(VLOOKUP(H$7,'Writing Logic'!$J$7:$K$11,2,FALSE)&amp;" - Per "&amp;VLOOKUP($C$4,'Writing Logic'!$G$8:$H$14,2,FALSE),YES_Writing_ELA[#Headers],0))=0,"",INDEX(_xlfn.VSTACK(YES_Writing_ELA[#Data],YES_Writing_FLA[#Data]),MATCH($A385,_xlfn.VSTACK(YES_Writing_ELA[Student Number],YES_Writing_FLA[Student Number]),0),MATCH(VLOOKUP(H$7,'Writing Logic'!$J$7:$K$11,2,FALSE)&amp;" - Per "&amp;VLOOKUP($C$4,'Writing Logic'!$G$8:$H$14,2,FALSE),YES_Writing_ELA[#Headers],0)))),"")</f>
        <v/>
      </c>
    </row>
    <row r="386" spans="1:8" x14ac:dyDescent="0.25">
      <c r="A386" s="137"/>
      <c r="B386" s="137" t="str">
        <f>IFERROR(INDEX(_xlfn.VSTACK(YES_Writing_ELA[#Data], YES_Writing_FLA[#Data]),MATCH($A386,_xlfn.VSTACK(YES_Writing_ELA[Student Number], YES_Writing_FLA[Student Number]),0),MATCH(B$7,YES_Writing_ELA[#Headers],0)),"")</f>
        <v/>
      </c>
      <c r="C386" s="137" t="str">
        <f>IFERROR(INDEX(_xlfn.VSTACK(YES_Writing_ELA[#Data], YES_Writing_FLA[#Data]),MATCH($A386,_xlfn.VSTACK(YES_Writing_ELA[Student Number], YES_Writing_FLA[Student Number]),0),MATCH(C$7,YES_Writing_ELA[#Headers],0)),"")</f>
        <v/>
      </c>
      <c r="D386" s="138" t="str">
        <f>IFERROR(IF(IF(INDEX(_xlfn.VSTACK(YES_Writing_ELA[#Data],YES_Writing_FLA[#Data]),MATCH($A386,_xlfn.VSTACK(YES_Writing_ELA[Student Number],YES_Writing_FLA[Student Number]),0),MATCH(VLOOKUP(D$7,'Writing Logic'!$J$7:$K$11,2,FALSE)&amp;" - Per "&amp;VLOOKUP($C$4,'Writing Logic'!$G$8:$H$14,2,FALSE),YES_Writing_ELA[#Headers],0))=0,"",INDEX(_xlfn.VSTACK(YES_Writing_ELA[#Data],YES_Writing_FLA[#Data]),MATCH($A386,_xlfn.VSTACK(YES_Writing_ELA[Student Number],YES_Writing_FLA[Student Number]),0),MATCH(VLOOKUP(D$7,'Writing Logic'!$J$7:$K$11,2,FALSE)&amp;" - Per "&amp;VLOOKUP($C$4,'Writing Logic'!$G$8:$H$14,2,FALSE),YES_Writing_ELA[#Headers],0)))="INS",'Writing Logic'!$B$7,IF(INDEX(_xlfn.VSTACK(YES_Writing_ELA[#Data],YES_Writing_FLA[#Data]),MATCH($A386,_xlfn.VSTACK(YES_Writing_ELA[Student Number],YES_Writing_FLA[Student Number]),0),MATCH(VLOOKUP(D$7,'Writing Logic'!$J$7:$K$11,2,FALSE)&amp;" - Per "&amp;VLOOKUP($C$4,'Writing Logic'!$G$8:$H$14,2,FALSE),YES_Writing_ELA[#Headers],0))=0,"",INDEX(_xlfn.VSTACK(YES_Writing_ELA[#Data],YES_Writing_FLA[#Data]),MATCH($A386,_xlfn.VSTACK(YES_Writing_ELA[Student Number],YES_Writing_FLA[Student Number]),0),MATCH(VLOOKUP(D$7,'Writing Logic'!$J$7:$K$11,2,FALSE)&amp;" - Per "&amp;VLOOKUP($C$4,'Writing Logic'!$G$8:$H$14,2,FALSE),YES_Writing_ELA[#Headers],0)))),"")</f>
        <v/>
      </c>
      <c r="E386" s="138" t="str">
        <f>IFERROR(IF(IF(INDEX(_xlfn.VSTACK(YES_Writing_ELA[#Data],YES_Writing_FLA[#Data]),MATCH($A386,_xlfn.VSTACK(YES_Writing_ELA[Student Number],YES_Writing_FLA[Student Number]),0),MATCH(VLOOKUP(E$7,'Writing Logic'!$J$7:$K$11,2,FALSE)&amp;" - Per "&amp;VLOOKUP($C$4,'Writing Logic'!$G$8:$H$14,2,FALSE),YES_Writing_ELA[#Headers],0))=0,"",INDEX(_xlfn.VSTACK(YES_Writing_ELA[#Data],YES_Writing_FLA[#Data]),MATCH($A386,_xlfn.VSTACK(YES_Writing_ELA[Student Number],YES_Writing_FLA[Student Number]),0),MATCH(VLOOKUP(E$7,'Writing Logic'!$J$7:$K$11,2,FALSE)&amp;" - Per "&amp;VLOOKUP($C$4,'Writing Logic'!$G$8:$H$14,2,FALSE),YES_Writing_ELA[#Headers],0)))="INS",'Writing Logic'!$B$7,IF(INDEX(_xlfn.VSTACK(YES_Writing_ELA[#Data],YES_Writing_FLA[#Data]),MATCH($A386,_xlfn.VSTACK(YES_Writing_ELA[Student Number],YES_Writing_FLA[Student Number]),0),MATCH(VLOOKUP(E$7,'Writing Logic'!$J$7:$K$11,2,FALSE)&amp;" - Per "&amp;VLOOKUP($C$4,'Writing Logic'!$G$8:$H$14,2,FALSE),YES_Writing_ELA[#Headers],0))=0,"",INDEX(_xlfn.VSTACK(YES_Writing_ELA[#Data],YES_Writing_FLA[#Data]),MATCH($A386,_xlfn.VSTACK(YES_Writing_ELA[Student Number],YES_Writing_FLA[Student Number]),0),MATCH(VLOOKUP(E$7,'Writing Logic'!$J$7:$K$11,2,FALSE)&amp;" - Per "&amp;VLOOKUP($C$4,'Writing Logic'!$G$8:$H$14,2,FALSE),YES_Writing_ELA[#Headers],0)))),"")</f>
        <v/>
      </c>
      <c r="F386" s="138" t="str">
        <f>IFERROR(IF(IF(INDEX(_xlfn.VSTACK(YES_Writing_ELA[#Data],YES_Writing_FLA[#Data]),MATCH($A386,_xlfn.VSTACK(YES_Writing_ELA[Student Number],YES_Writing_FLA[Student Number]),0),MATCH(VLOOKUP(F$7,'Writing Logic'!$J$7:$K$11,2,FALSE)&amp;" - Per "&amp;VLOOKUP($C$4,'Writing Logic'!$G$8:$H$14,2,FALSE),YES_Writing_ELA[#Headers],0))=0,"",INDEX(_xlfn.VSTACK(YES_Writing_ELA[#Data],YES_Writing_FLA[#Data]),MATCH($A386,_xlfn.VSTACK(YES_Writing_ELA[Student Number],YES_Writing_FLA[Student Number]),0),MATCH(VLOOKUP(F$7,'Writing Logic'!$J$7:$K$11,2,FALSE)&amp;" - Per "&amp;VLOOKUP($C$4,'Writing Logic'!$G$8:$H$14,2,FALSE),YES_Writing_ELA[#Headers],0)))="INS",'Writing Logic'!$B$7,IF(INDEX(_xlfn.VSTACK(YES_Writing_ELA[#Data],YES_Writing_FLA[#Data]),MATCH($A386,_xlfn.VSTACK(YES_Writing_ELA[Student Number],YES_Writing_FLA[Student Number]),0),MATCH(VLOOKUP(F$7,'Writing Logic'!$J$7:$K$11,2,FALSE)&amp;" - Per "&amp;VLOOKUP($C$4,'Writing Logic'!$G$8:$H$14,2,FALSE),YES_Writing_ELA[#Headers],0))=0,"",INDEX(_xlfn.VSTACK(YES_Writing_ELA[#Data],YES_Writing_FLA[#Data]),MATCH($A386,_xlfn.VSTACK(YES_Writing_ELA[Student Number],YES_Writing_FLA[Student Number]),0),MATCH(VLOOKUP(F$7,'Writing Logic'!$J$7:$K$11,2,FALSE)&amp;" - Per "&amp;VLOOKUP($C$4,'Writing Logic'!$G$8:$H$14,2,FALSE),YES_Writing_ELA[#Headers],0)))),"")</f>
        <v/>
      </c>
      <c r="G386" s="138" t="str">
        <f>IFERROR(IF(IF(INDEX(_xlfn.VSTACK(YES_Writing_ELA[#Data],YES_Writing_FLA[#Data]),MATCH($A386,_xlfn.VSTACK(YES_Writing_ELA[Student Number],YES_Writing_FLA[Student Number]),0),MATCH(VLOOKUP(G$7,'Writing Logic'!$J$7:$K$11,2,FALSE)&amp;" - Per "&amp;VLOOKUP($C$4,'Writing Logic'!$G$8:$H$14,2,FALSE),YES_Writing_ELA[#Headers],0))=0,"",INDEX(_xlfn.VSTACK(YES_Writing_ELA[#Data],YES_Writing_FLA[#Data]),MATCH($A386,_xlfn.VSTACK(YES_Writing_ELA[Student Number],YES_Writing_FLA[Student Number]),0),MATCH(VLOOKUP(G$7,'Writing Logic'!$J$7:$K$11,2,FALSE)&amp;" - Per "&amp;VLOOKUP($C$4,'Writing Logic'!$G$8:$H$14,2,FALSE),YES_Writing_ELA[#Headers],0)))="INS",'Writing Logic'!$B$7,IF(INDEX(_xlfn.VSTACK(YES_Writing_ELA[#Data],YES_Writing_FLA[#Data]),MATCH($A386,_xlfn.VSTACK(YES_Writing_ELA[Student Number],YES_Writing_FLA[Student Number]),0),MATCH(VLOOKUP(G$7,'Writing Logic'!$J$7:$K$11,2,FALSE)&amp;" - Per "&amp;VLOOKUP($C$4,'Writing Logic'!$G$8:$H$14,2,FALSE),YES_Writing_ELA[#Headers],0))=0,"",INDEX(_xlfn.VSTACK(YES_Writing_ELA[#Data],YES_Writing_FLA[#Data]),MATCH($A386,_xlfn.VSTACK(YES_Writing_ELA[Student Number],YES_Writing_FLA[Student Number]),0),MATCH(VLOOKUP(G$7,'Writing Logic'!$J$7:$K$11,2,FALSE)&amp;" - Per "&amp;VLOOKUP($C$4,'Writing Logic'!$G$8:$H$14,2,FALSE),YES_Writing_ELA[#Headers],0)))),"")</f>
        <v/>
      </c>
      <c r="H386" s="138" t="str">
        <f>IFERROR(IF(IF(INDEX(_xlfn.VSTACK(YES_Writing_ELA[#Data],YES_Writing_FLA[#Data]),MATCH($A386,_xlfn.VSTACK(YES_Writing_ELA[Student Number],YES_Writing_FLA[Student Number]),0),MATCH(VLOOKUP(H$7,'Writing Logic'!$J$7:$K$11,2,FALSE)&amp;" - Per "&amp;VLOOKUP($C$4,'Writing Logic'!$G$8:$H$14,2,FALSE),YES_Writing_ELA[#Headers],0))=0,"",INDEX(_xlfn.VSTACK(YES_Writing_ELA[#Data],YES_Writing_FLA[#Data]),MATCH($A386,_xlfn.VSTACK(YES_Writing_ELA[Student Number],YES_Writing_FLA[Student Number]),0),MATCH(VLOOKUP(H$7,'Writing Logic'!$J$7:$K$11,2,FALSE)&amp;" - Per "&amp;VLOOKUP($C$4,'Writing Logic'!$G$8:$H$14,2,FALSE),YES_Writing_ELA[#Headers],0)))="INS",'Writing Logic'!$B$7,IF(INDEX(_xlfn.VSTACK(YES_Writing_ELA[#Data],YES_Writing_FLA[#Data]),MATCH($A386,_xlfn.VSTACK(YES_Writing_ELA[Student Number],YES_Writing_FLA[Student Number]),0),MATCH(VLOOKUP(H$7,'Writing Logic'!$J$7:$K$11,2,FALSE)&amp;" - Per "&amp;VLOOKUP($C$4,'Writing Logic'!$G$8:$H$14,2,FALSE),YES_Writing_ELA[#Headers],0))=0,"",INDEX(_xlfn.VSTACK(YES_Writing_ELA[#Data],YES_Writing_FLA[#Data]),MATCH($A386,_xlfn.VSTACK(YES_Writing_ELA[Student Number],YES_Writing_FLA[Student Number]),0),MATCH(VLOOKUP(H$7,'Writing Logic'!$J$7:$K$11,2,FALSE)&amp;" - Per "&amp;VLOOKUP($C$4,'Writing Logic'!$G$8:$H$14,2,FALSE),YES_Writing_ELA[#Headers],0)))),"")</f>
        <v/>
      </c>
    </row>
    <row r="387" spans="1:8" x14ac:dyDescent="0.25">
      <c r="A387" s="137"/>
      <c r="B387" s="137" t="str">
        <f>IFERROR(INDEX(_xlfn.VSTACK(YES_Writing_ELA[#Data], YES_Writing_FLA[#Data]),MATCH($A387,_xlfn.VSTACK(YES_Writing_ELA[Student Number], YES_Writing_FLA[Student Number]),0),MATCH(B$7,YES_Writing_ELA[#Headers],0)),"")</f>
        <v/>
      </c>
      <c r="C387" s="137" t="str">
        <f>IFERROR(INDEX(_xlfn.VSTACK(YES_Writing_ELA[#Data], YES_Writing_FLA[#Data]),MATCH($A387,_xlfn.VSTACK(YES_Writing_ELA[Student Number], YES_Writing_FLA[Student Number]),0),MATCH(C$7,YES_Writing_ELA[#Headers],0)),"")</f>
        <v/>
      </c>
      <c r="D387" s="138" t="str">
        <f>IFERROR(IF(IF(INDEX(_xlfn.VSTACK(YES_Writing_ELA[#Data],YES_Writing_FLA[#Data]),MATCH($A387,_xlfn.VSTACK(YES_Writing_ELA[Student Number],YES_Writing_FLA[Student Number]),0),MATCH(VLOOKUP(D$7,'Writing Logic'!$J$7:$K$11,2,FALSE)&amp;" - Per "&amp;VLOOKUP($C$4,'Writing Logic'!$G$8:$H$14,2,FALSE),YES_Writing_ELA[#Headers],0))=0,"",INDEX(_xlfn.VSTACK(YES_Writing_ELA[#Data],YES_Writing_FLA[#Data]),MATCH($A387,_xlfn.VSTACK(YES_Writing_ELA[Student Number],YES_Writing_FLA[Student Number]),0),MATCH(VLOOKUP(D$7,'Writing Logic'!$J$7:$K$11,2,FALSE)&amp;" - Per "&amp;VLOOKUP($C$4,'Writing Logic'!$G$8:$H$14,2,FALSE),YES_Writing_ELA[#Headers],0)))="INS",'Writing Logic'!$B$7,IF(INDEX(_xlfn.VSTACK(YES_Writing_ELA[#Data],YES_Writing_FLA[#Data]),MATCH($A387,_xlfn.VSTACK(YES_Writing_ELA[Student Number],YES_Writing_FLA[Student Number]),0),MATCH(VLOOKUP(D$7,'Writing Logic'!$J$7:$K$11,2,FALSE)&amp;" - Per "&amp;VLOOKUP($C$4,'Writing Logic'!$G$8:$H$14,2,FALSE),YES_Writing_ELA[#Headers],0))=0,"",INDEX(_xlfn.VSTACK(YES_Writing_ELA[#Data],YES_Writing_FLA[#Data]),MATCH($A387,_xlfn.VSTACK(YES_Writing_ELA[Student Number],YES_Writing_FLA[Student Number]),0),MATCH(VLOOKUP(D$7,'Writing Logic'!$J$7:$K$11,2,FALSE)&amp;" - Per "&amp;VLOOKUP($C$4,'Writing Logic'!$G$8:$H$14,2,FALSE),YES_Writing_ELA[#Headers],0)))),"")</f>
        <v/>
      </c>
      <c r="E387" s="138" t="str">
        <f>IFERROR(IF(IF(INDEX(_xlfn.VSTACK(YES_Writing_ELA[#Data],YES_Writing_FLA[#Data]),MATCH($A387,_xlfn.VSTACK(YES_Writing_ELA[Student Number],YES_Writing_FLA[Student Number]),0),MATCH(VLOOKUP(E$7,'Writing Logic'!$J$7:$K$11,2,FALSE)&amp;" - Per "&amp;VLOOKUP($C$4,'Writing Logic'!$G$8:$H$14,2,FALSE),YES_Writing_ELA[#Headers],0))=0,"",INDEX(_xlfn.VSTACK(YES_Writing_ELA[#Data],YES_Writing_FLA[#Data]),MATCH($A387,_xlfn.VSTACK(YES_Writing_ELA[Student Number],YES_Writing_FLA[Student Number]),0),MATCH(VLOOKUP(E$7,'Writing Logic'!$J$7:$K$11,2,FALSE)&amp;" - Per "&amp;VLOOKUP($C$4,'Writing Logic'!$G$8:$H$14,2,FALSE),YES_Writing_ELA[#Headers],0)))="INS",'Writing Logic'!$B$7,IF(INDEX(_xlfn.VSTACK(YES_Writing_ELA[#Data],YES_Writing_FLA[#Data]),MATCH($A387,_xlfn.VSTACK(YES_Writing_ELA[Student Number],YES_Writing_FLA[Student Number]),0),MATCH(VLOOKUP(E$7,'Writing Logic'!$J$7:$K$11,2,FALSE)&amp;" - Per "&amp;VLOOKUP($C$4,'Writing Logic'!$G$8:$H$14,2,FALSE),YES_Writing_ELA[#Headers],0))=0,"",INDEX(_xlfn.VSTACK(YES_Writing_ELA[#Data],YES_Writing_FLA[#Data]),MATCH($A387,_xlfn.VSTACK(YES_Writing_ELA[Student Number],YES_Writing_FLA[Student Number]),0),MATCH(VLOOKUP(E$7,'Writing Logic'!$J$7:$K$11,2,FALSE)&amp;" - Per "&amp;VLOOKUP($C$4,'Writing Logic'!$G$8:$H$14,2,FALSE),YES_Writing_ELA[#Headers],0)))),"")</f>
        <v/>
      </c>
      <c r="F387" s="138" t="str">
        <f>IFERROR(IF(IF(INDEX(_xlfn.VSTACK(YES_Writing_ELA[#Data],YES_Writing_FLA[#Data]),MATCH($A387,_xlfn.VSTACK(YES_Writing_ELA[Student Number],YES_Writing_FLA[Student Number]),0),MATCH(VLOOKUP(F$7,'Writing Logic'!$J$7:$K$11,2,FALSE)&amp;" - Per "&amp;VLOOKUP($C$4,'Writing Logic'!$G$8:$H$14,2,FALSE),YES_Writing_ELA[#Headers],0))=0,"",INDEX(_xlfn.VSTACK(YES_Writing_ELA[#Data],YES_Writing_FLA[#Data]),MATCH($A387,_xlfn.VSTACK(YES_Writing_ELA[Student Number],YES_Writing_FLA[Student Number]),0),MATCH(VLOOKUP(F$7,'Writing Logic'!$J$7:$K$11,2,FALSE)&amp;" - Per "&amp;VLOOKUP($C$4,'Writing Logic'!$G$8:$H$14,2,FALSE),YES_Writing_ELA[#Headers],0)))="INS",'Writing Logic'!$B$7,IF(INDEX(_xlfn.VSTACK(YES_Writing_ELA[#Data],YES_Writing_FLA[#Data]),MATCH($A387,_xlfn.VSTACK(YES_Writing_ELA[Student Number],YES_Writing_FLA[Student Number]),0),MATCH(VLOOKUP(F$7,'Writing Logic'!$J$7:$K$11,2,FALSE)&amp;" - Per "&amp;VLOOKUP($C$4,'Writing Logic'!$G$8:$H$14,2,FALSE),YES_Writing_ELA[#Headers],0))=0,"",INDEX(_xlfn.VSTACK(YES_Writing_ELA[#Data],YES_Writing_FLA[#Data]),MATCH($A387,_xlfn.VSTACK(YES_Writing_ELA[Student Number],YES_Writing_FLA[Student Number]),0),MATCH(VLOOKUP(F$7,'Writing Logic'!$J$7:$K$11,2,FALSE)&amp;" - Per "&amp;VLOOKUP($C$4,'Writing Logic'!$G$8:$H$14,2,FALSE),YES_Writing_ELA[#Headers],0)))),"")</f>
        <v/>
      </c>
      <c r="G387" s="138" t="str">
        <f>IFERROR(IF(IF(INDEX(_xlfn.VSTACK(YES_Writing_ELA[#Data],YES_Writing_FLA[#Data]),MATCH($A387,_xlfn.VSTACK(YES_Writing_ELA[Student Number],YES_Writing_FLA[Student Number]),0),MATCH(VLOOKUP(G$7,'Writing Logic'!$J$7:$K$11,2,FALSE)&amp;" - Per "&amp;VLOOKUP($C$4,'Writing Logic'!$G$8:$H$14,2,FALSE),YES_Writing_ELA[#Headers],0))=0,"",INDEX(_xlfn.VSTACK(YES_Writing_ELA[#Data],YES_Writing_FLA[#Data]),MATCH($A387,_xlfn.VSTACK(YES_Writing_ELA[Student Number],YES_Writing_FLA[Student Number]),0),MATCH(VLOOKUP(G$7,'Writing Logic'!$J$7:$K$11,2,FALSE)&amp;" - Per "&amp;VLOOKUP($C$4,'Writing Logic'!$G$8:$H$14,2,FALSE),YES_Writing_ELA[#Headers],0)))="INS",'Writing Logic'!$B$7,IF(INDEX(_xlfn.VSTACK(YES_Writing_ELA[#Data],YES_Writing_FLA[#Data]),MATCH($A387,_xlfn.VSTACK(YES_Writing_ELA[Student Number],YES_Writing_FLA[Student Number]),0),MATCH(VLOOKUP(G$7,'Writing Logic'!$J$7:$K$11,2,FALSE)&amp;" - Per "&amp;VLOOKUP($C$4,'Writing Logic'!$G$8:$H$14,2,FALSE),YES_Writing_ELA[#Headers],0))=0,"",INDEX(_xlfn.VSTACK(YES_Writing_ELA[#Data],YES_Writing_FLA[#Data]),MATCH($A387,_xlfn.VSTACK(YES_Writing_ELA[Student Number],YES_Writing_FLA[Student Number]),0),MATCH(VLOOKUP(G$7,'Writing Logic'!$J$7:$K$11,2,FALSE)&amp;" - Per "&amp;VLOOKUP($C$4,'Writing Logic'!$G$8:$H$14,2,FALSE),YES_Writing_ELA[#Headers],0)))),"")</f>
        <v/>
      </c>
      <c r="H387" s="138" t="str">
        <f>IFERROR(IF(IF(INDEX(_xlfn.VSTACK(YES_Writing_ELA[#Data],YES_Writing_FLA[#Data]),MATCH($A387,_xlfn.VSTACK(YES_Writing_ELA[Student Number],YES_Writing_FLA[Student Number]),0),MATCH(VLOOKUP(H$7,'Writing Logic'!$J$7:$K$11,2,FALSE)&amp;" - Per "&amp;VLOOKUP($C$4,'Writing Logic'!$G$8:$H$14,2,FALSE),YES_Writing_ELA[#Headers],0))=0,"",INDEX(_xlfn.VSTACK(YES_Writing_ELA[#Data],YES_Writing_FLA[#Data]),MATCH($A387,_xlfn.VSTACK(YES_Writing_ELA[Student Number],YES_Writing_FLA[Student Number]),0),MATCH(VLOOKUP(H$7,'Writing Logic'!$J$7:$K$11,2,FALSE)&amp;" - Per "&amp;VLOOKUP($C$4,'Writing Logic'!$G$8:$H$14,2,FALSE),YES_Writing_ELA[#Headers],0)))="INS",'Writing Logic'!$B$7,IF(INDEX(_xlfn.VSTACK(YES_Writing_ELA[#Data],YES_Writing_FLA[#Data]),MATCH($A387,_xlfn.VSTACK(YES_Writing_ELA[Student Number],YES_Writing_FLA[Student Number]),0),MATCH(VLOOKUP(H$7,'Writing Logic'!$J$7:$K$11,2,FALSE)&amp;" - Per "&amp;VLOOKUP($C$4,'Writing Logic'!$G$8:$H$14,2,FALSE),YES_Writing_ELA[#Headers],0))=0,"",INDEX(_xlfn.VSTACK(YES_Writing_ELA[#Data],YES_Writing_FLA[#Data]),MATCH($A387,_xlfn.VSTACK(YES_Writing_ELA[Student Number],YES_Writing_FLA[Student Number]),0),MATCH(VLOOKUP(H$7,'Writing Logic'!$J$7:$K$11,2,FALSE)&amp;" - Per "&amp;VLOOKUP($C$4,'Writing Logic'!$G$8:$H$14,2,FALSE),YES_Writing_ELA[#Headers],0)))),"")</f>
        <v/>
      </c>
    </row>
    <row r="388" spans="1:8" x14ac:dyDescent="0.25">
      <c r="A388" s="137"/>
      <c r="B388" s="137" t="str">
        <f>IFERROR(INDEX(_xlfn.VSTACK(YES_Writing_ELA[#Data], YES_Writing_FLA[#Data]),MATCH($A388,_xlfn.VSTACK(YES_Writing_ELA[Student Number], YES_Writing_FLA[Student Number]),0),MATCH(B$7,YES_Writing_ELA[#Headers],0)),"")</f>
        <v/>
      </c>
      <c r="C388" s="137" t="str">
        <f>IFERROR(INDEX(_xlfn.VSTACK(YES_Writing_ELA[#Data], YES_Writing_FLA[#Data]),MATCH($A388,_xlfn.VSTACK(YES_Writing_ELA[Student Number], YES_Writing_FLA[Student Number]),0),MATCH(C$7,YES_Writing_ELA[#Headers],0)),"")</f>
        <v/>
      </c>
      <c r="D388" s="138" t="str">
        <f>IFERROR(IF(IF(INDEX(_xlfn.VSTACK(YES_Writing_ELA[#Data],YES_Writing_FLA[#Data]),MATCH($A388,_xlfn.VSTACK(YES_Writing_ELA[Student Number],YES_Writing_FLA[Student Number]),0),MATCH(VLOOKUP(D$7,'Writing Logic'!$J$7:$K$11,2,FALSE)&amp;" - Per "&amp;VLOOKUP($C$4,'Writing Logic'!$G$8:$H$14,2,FALSE),YES_Writing_ELA[#Headers],0))=0,"",INDEX(_xlfn.VSTACK(YES_Writing_ELA[#Data],YES_Writing_FLA[#Data]),MATCH($A388,_xlfn.VSTACK(YES_Writing_ELA[Student Number],YES_Writing_FLA[Student Number]),0),MATCH(VLOOKUP(D$7,'Writing Logic'!$J$7:$K$11,2,FALSE)&amp;" - Per "&amp;VLOOKUP($C$4,'Writing Logic'!$G$8:$H$14,2,FALSE),YES_Writing_ELA[#Headers],0)))="INS",'Writing Logic'!$B$7,IF(INDEX(_xlfn.VSTACK(YES_Writing_ELA[#Data],YES_Writing_FLA[#Data]),MATCH($A388,_xlfn.VSTACK(YES_Writing_ELA[Student Number],YES_Writing_FLA[Student Number]),0),MATCH(VLOOKUP(D$7,'Writing Logic'!$J$7:$K$11,2,FALSE)&amp;" - Per "&amp;VLOOKUP($C$4,'Writing Logic'!$G$8:$H$14,2,FALSE),YES_Writing_ELA[#Headers],0))=0,"",INDEX(_xlfn.VSTACK(YES_Writing_ELA[#Data],YES_Writing_FLA[#Data]),MATCH($A388,_xlfn.VSTACK(YES_Writing_ELA[Student Number],YES_Writing_FLA[Student Number]),0),MATCH(VLOOKUP(D$7,'Writing Logic'!$J$7:$K$11,2,FALSE)&amp;" - Per "&amp;VLOOKUP($C$4,'Writing Logic'!$G$8:$H$14,2,FALSE),YES_Writing_ELA[#Headers],0)))),"")</f>
        <v/>
      </c>
      <c r="E388" s="138" t="str">
        <f>IFERROR(IF(IF(INDEX(_xlfn.VSTACK(YES_Writing_ELA[#Data],YES_Writing_FLA[#Data]),MATCH($A388,_xlfn.VSTACK(YES_Writing_ELA[Student Number],YES_Writing_FLA[Student Number]),0),MATCH(VLOOKUP(E$7,'Writing Logic'!$J$7:$K$11,2,FALSE)&amp;" - Per "&amp;VLOOKUP($C$4,'Writing Logic'!$G$8:$H$14,2,FALSE),YES_Writing_ELA[#Headers],0))=0,"",INDEX(_xlfn.VSTACK(YES_Writing_ELA[#Data],YES_Writing_FLA[#Data]),MATCH($A388,_xlfn.VSTACK(YES_Writing_ELA[Student Number],YES_Writing_FLA[Student Number]),0),MATCH(VLOOKUP(E$7,'Writing Logic'!$J$7:$K$11,2,FALSE)&amp;" - Per "&amp;VLOOKUP($C$4,'Writing Logic'!$G$8:$H$14,2,FALSE),YES_Writing_ELA[#Headers],0)))="INS",'Writing Logic'!$B$7,IF(INDEX(_xlfn.VSTACK(YES_Writing_ELA[#Data],YES_Writing_FLA[#Data]),MATCH($A388,_xlfn.VSTACK(YES_Writing_ELA[Student Number],YES_Writing_FLA[Student Number]),0),MATCH(VLOOKUP(E$7,'Writing Logic'!$J$7:$K$11,2,FALSE)&amp;" - Per "&amp;VLOOKUP($C$4,'Writing Logic'!$G$8:$H$14,2,FALSE),YES_Writing_ELA[#Headers],0))=0,"",INDEX(_xlfn.VSTACK(YES_Writing_ELA[#Data],YES_Writing_FLA[#Data]),MATCH($A388,_xlfn.VSTACK(YES_Writing_ELA[Student Number],YES_Writing_FLA[Student Number]),0),MATCH(VLOOKUP(E$7,'Writing Logic'!$J$7:$K$11,2,FALSE)&amp;" - Per "&amp;VLOOKUP($C$4,'Writing Logic'!$G$8:$H$14,2,FALSE),YES_Writing_ELA[#Headers],0)))),"")</f>
        <v/>
      </c>
      <c r="F388" s="138" t="str">
        <f>IFERROR(IF(IF(INDEX(_xlfn.VSTACK(YES_Writing_ELA[#Data],YES_Writing_FLA[#Data]),MATCH($A388,_xlfn.VSTACK(YES_Writing_ELA[Student Number],YES_Writing_FLA[Student Number]),0),MATCH(VLOOKUP(F$7,'Writing Logic'!$J$7:$K$11,2,FALSE)&amp;" - Per "&amp;VLOOKUP($C$4,'Writing Logic'!$G$8:$H$14,2,FALSE),YES_Writing_ELA[#Headers],0))=0,"",INDEX(_xlfn.VSTACK(YES_Writing_ELA[#Data],YES_Writing_FLA[#Data]),MATCH($A388,_xlfn.VSTACK(YES_Writing_ELA[Student Number],YES_Writing_FLA[Student Number]),0),MATCH(VLOOKUP(F$7,'Writing Logic'!$J$7:$K$11,2,FALSE)&amp;" - Per "&amp;VLOOKUP($C$4,'Writing Logic'!$G$8:$H$14,2,FALSE),YES_Writing_ELA[#Headers],0)))="INS",'Writing Logic'!$B$7,IF(INDEX(_xlfn.VSTACK(YES_Writing_ELA[#Data],YES_Writing_FLA[#Data]),MATCH($A388,_xlfn.VSTACK(YES_Writing_ELA[Student Number],YES_Writing_FLA[Student Number]),0),MATCH(VLOOKUP(F$7,'Writing Logic'!$J$7:$K$11,2,FALSE)&amp;" - Per "&amp;VLOOKUP($C$4,'Writing Logic'!$G$8:$H$14,2,FALSE),YES_Writing_ELA[#Headers],0))=0,"",INDEX(_xlfn.VSTACK(YES_Writing_ELA[#Data],YES_Writing_FLA[#Data]),MATCH($A388,_xlfn.VSTACK(YES_Writing_ELA[Student Number],YES_Writing_FLA[Student Number]),0),MATCH(VLOOKUP(F$7,'Writing Logic'!$J$7:$K$11,2,FALSE)&amp;" - Per "&amp;VLOOKUP($C$4,'Writing Logic'!$G$8:$H$14,2,FALSE),YES_Writing_ELA[#Headers],0)))),"")</f>
        <v/>
      </c>
      <c r="G388" s="138" t="str">
        <f>IFERROR(IF(IF(INDEX(_xlfn.VSTACK(YES_Writing_ELA[#Data],YES_Writing_FLA[#Data]),MATCH($A388,_xlfn.VSTACK(YES_Writing_ELA[Student Number],YES_Writing_FLA[Student Number]),0),MATCH(VLOOKUP(G$7,'Writing Logic'!$J$7:$K$11,2,FALSE)&amp;" - Per "&amp;VLOOKUP($C$4,'Writing Logic'!$G$8:$H$14,2,FALSE),YES_Writing_ELA[#Headers],0))=0,"",INDEX(_xlfn.VSTACK(YES_Writing_ELA[#Data],YES_Writing_FLA[#Data]),MATCH($A388,_xlfn.VSTACK(YES_Writing_ELA[Student Number],YES_Writing_FLA[Student Number]),0),MATCH(VLOOKUP(G$7,'Writing Logic'!$J$7:$K$11,2,FALSE)&amp;" - Per "&amp;VLOOKUP($C$4,'Writing Logic'!$G$8:$H$14,2,FALSE),YES_Writing_ELA[#Headers],0)))="INS",'Writing Logic'!$B$7,IF(INDEX(_xlfn.VSTACK(YES_Writing_ELA[#Data],YES_Writing_FLA[#Data]),MATCH($A388,_xlfn.VSTACK(YES_Writing_ELA[Student Number],YES_Writing_FLA[Student Number]),0),MATCH(VLOOKUP(G$7,'Writing Logic'!$J$7:$K$11,2,FALSE)&amp;" - Per "&amp;VLOOKUP($C$4,'Writing Logic'!$G$8:$H$14,2,FALSE),YES_Writing_ELA[#Headers],0))=0,"",INDEX(_xlfn.VSTACK(YES_Writing_ELA[#Data],YES_Writing_FLA[#Data]),MATCH($A388,_xlfn.VSTACK(YES_Writing_ELA[Student Number],YES_Writing_FLA[Student Number]),0),MATCH(VLOOKUP(G$7,'Writing Logic'!$J$7:$K$11,2,FALSE)&amp;" - Per "&amp;VLOOKUP($C$4,'Writing Logic'!$G$8:$H$14,2,FALSE),YES_Writing_ELA[#Headers],0)))),"")</f>
        <v/>
      </c>
      <c r="H388" s="138" t="str">
        <f>IFERROR(IF(IF(INDEX(_xlfn.VSTACK(YES_Writing_ELA[#Data],YES_Writing_FLA[#Data]),MATCH($A388,_xlfn.VSTACK(YES_Writing_ELA[Student Number],YES_Writing_FLA[Student Number]),0),MATCH(VLOOKUP(H$7,'Writing Logic'!$J$7:$K$11,2,FALSE)&amp;" - Per "&amp;VLOOKUP($C$4,'Writing Logic'!$G$8:$H$14,2,FALSE),YES_Writing_ELA[#Headers],0))=0,"",INDEX(_xlfn.VSTACK(YES_Writing_ELA[#Data],YES_Writing_FLA[#Data]),MATCH($A388,_xlfn.VSTACK(YES_Writing_ELA[Student Number],YES_Writing_FLA[Student Number]),0),MATCH(VLOOKUP(H$7,'Writing Logic'!$J$7:$K$11,2,FALSE)&amp;" - Per "&amp;VLOOKUP($C$4,'Writing Logic'!$G$8:$H$14,2,FALSE),YES_Writing_ELA[#Headers],0)))="INS",'Writing Logic'!$B$7,IF(INDEX(_xlfn.VSTACK(YES_Writing_ELA[#Data],YES_Writing_FLA[#Data]),MATCH($A388,_xlfn.VSTACK(YES_Writing_ELA[Student Number],YES_Writing_FLA[Student Number]),0),MATCH(VLOOKUP(H$7,'Writing Logic'!$J$7:$K$11,2,FALSE)&amp;" - Per "&amp;VLOOKUP($C$4,'Writing Logic'!$G$8:$H$14,2,FALSE),YES_Writing_ELA[#Headers],0))=0,"",INDEX(_xlfn.VSTACK(YES_Writing_ELA[#Data],YES_Writing_FLA[#Data]),MATCH($A388,_xlfn.VSTACK(YES_Writing_ELA[Student Number],YES_Writing_FLA[Student Number]),0),MATCH(VLOOKUP(H$7,'Writing Logic'!$J$7:$K$11,2,FALSE)&amp;" - Per "&amp;VLOOKUP($C$4,'Writing Logic'!$G$8:$H$14,2,FALSE),YES_Writing_ELA[#Headers],0)))),"")</f>
        <v/>
      </c>
    </row>
    <row r="389" spans="1:8" x14ac:dyDescent="0.25">
      <c r="A389" s="137"/>
      <c r="B389" s="137" t="str">
        <f>IFERROR(INDEX(_xlfn.VSTACK(YES_Writing_ELA[#Data], YES_Writing_FLA[#Data]),MATCH($A389,_xlfn.VSTACK(YES_Writing_ELA[Student Number], YES_Writing_FLA[Student Number]),0),MATCH(B$7,YES_Writing_ELA[#Headers],0)),"")</f>
        <v/>
      </c>
      <c r="C389" s="137" t="str">
        <f>IFERROR(INDEX(_xlfn.VSTACK(YES_Writing_ELA[#Data], YES_Writing_FLA[#Data]),MATCH($A389,_xlfn.VSTACK(YES_Writing_ELA[Student Number], YES_Writing_FLA[Student Number]),0),MATCH(C$7,YES_Writing_ELA[#Headers],0)),"")</f>
        <v/>
      </c>
      <c r="D389" s="138" t="str">
        <f>IFERROR(IF(IF(INDEX(_xlfn.VSTACK(YES_Writing_ELA[#Data],YES_Writing_FLA[#Data]),MATCH($A389,_xlfn.VSTACK(YES_Writing_ELA[Student Number],YES_Writing_FLA[Student Number]),0),MATCH(VLOOKUP(D$7,'Writing Logic'!$J$7:$K$11,2,FALSE)&amp;" - Per "&amp;VLOOKUP($C$4,'Writing Logic'!$G$8:$H$14,2,FALSE),YES_Writing_ELA[#Headers],0))=0,"",INDEX(_xlfn.VSTACK(YES_Writing_ELA[#Data],YES_Writing_FLA[#Data]),MATCH($A389,_xlfn.VSTACK(YES_Writing_ELA[Student Number],YES_Writing_FLA[Student Number]),0),MATCH(VLOOKUP(D$7,'Writing Logic'!$J$7:$K$11,2,FALSE)&amp;" - Per "&amp;VLOOKUP($C$4,'Writing Logic'!$G$8:$H$14,2,FALSE),YES_Writing_ELA[#Headers],0)))="INS",'Writing Logic'!$B$7,IF(INDEX(_xlfn.VSTACK(YES_Writing_ELA[#Data],YES_Writing_FLA[#Data]),MATCH($A389,_xlfn.VSTACK(YES_Writing_ELA[Student Number],YES_Writing_FLA[Student Number]),0),MATCH(VLOOKUP(D$7,'Writing Logic'!$J$7:$K$11,2,FALSE)&amp;" - Per "&amp;VLOOKUP($C$4,'Writing Logic'!$G$8:$H$14,2,FALSE),YES_Writing_ELA[#Headers],0))=0,"",INDEX(_xlfn.VSTACK(YES_Writing_ELA[#Data],YES_Writing_FLA[#Data]),MATCH($A389,_xlfn.VSTACK(YES_Writing_ELA[Student Number],YES_Writing_FLA[Student Number]),0),MATCH(VLOOKUP(D$7,'Writing Logic'!$J$7:$K$11,2,FALSE)&amp;" - Per "&amp;VLOOKUP($C$4,'Writing Logic'!$G$8:$H$14,2,FALSE),YES_Writing_ELA[#Headers],0)))),"")</f>
        <v/>
      </c>
      <c r="E389" s="138" t="str">
        <f>IFERROR(IF(IF(INDEX(_xlfn.VSTACK(YES_Writing_ELA[#Data],YES_Writing_FLA[#Data]),MATCH($A389,_xlfn.VSTACK(YES_Writing_ELA[Student Number],YES_Writing_FLA[Student Number]),0),MATCH(VLOOKUP(E$7,'Writing Logic'!$J$7:$K$11,2,FALSE)&amp;" - Per "&amp;VLOOKUP($C$4,'Writing Logic'!$G$8:$H$14,2,FALSE),YES_Writing_ELA[#Headers],0))=0,"",INDEX(_xlfn.VSTACK(YES_Writing_ELA[#Data],YES_Writing_FLA[#Data]),MATCH($A389,_xlfn.VSTACK(YES_Writing_ELA[Student Number],YES_Writing_FLA[Student Number]),0),MATCH(VLOOKUP(E$7,'Writing Logic'!$J$7:$K$11,2,FALSE)&amp;" - Per "&amp;VLOOKUP($C$4,'Writing Logic'!$G$8:$H$14,2,FALSE),YES_Writing_ELA[#Headers],0)))="INS",'Writing Logic'!$B$7,IF(INDEX(_xlfn.VSTACK(YES_Writing_ELA[#Data],YES_Writing_FLA[#Data]),MATCH($A389,_xlfn.VSTACK(YES_Writing_ELA[Student Number],YES_Writing_FLA[Student Number]),0),MATCH(VLOOKUP(E$7,'Writing Logic'!$J$7:$K$11,2,FALSE)&amp;" - Per "&amp;VLOOKUP($C$4,'Writing Logic'!$G$8:$H$14,2,FALSE),YES_Writing_ELA[#Headers],0))=0,"",INDEX(_xlfn.VSTACK(YES_Writing_ELA[#Data],YES_Writing_FLA[#Data]),MATCH($A389,_xlfn.VSTACK(YES_Writing_ELA[Student Number],YES_Writing_FLA[Student Number]),0),MATCH(VLOOKUP(E$7,'Writing Logic'!$J$7:$K$11,2,FALSE)&amp;" - Per "&amp;VLOOKUP($C$4,'Writing Logic'!$G$8:$H$14,2,FALSE),YES_Writing_ELA[#Headers],0)))),"")</f>
        <v/>
      </c>
      <c r="F389" s="138" t="str">
        <f>IFERROR(IF(IF(INDEX(_xlfn.VSTACK(YES_Writing_ELA[#Data],YES_Writing_FLA[#Data]),MATCH($A389,_xlfn.VSTACK(YES_Writing_ELA[Student Number],YES_Writing_FLA[Student Number]),0),MATCH(VLOOKUP(F$7,'Writing Logic'!$J$7:$K$11,2,FALSE)&amp;" - Per "&amp;VLOOKUP($C$4,'Writing Logic'!$G$8:$H$14,2,FALSE),YES_Writing_ELA[#Headers],0))=0,"",INDEX(_xlfn.VSTACK(YES_Writing_ELA[#Data],YES_Writing_FLA[#Data]),MATCH($A389,_xlfn.VSTACK(YES_Writing_ELA[Student Number],YES_Writing_FLA[Student Number]),0),MATCH(VLOOKUP(F$7,'Writing Logic'!$J$7:$K$11,2,FALSE)&amp;" - Per "&amp;VLOOKUP($C$4,'Writing Logic'!$G$8:$H$14,2,FALSE),YES_Writing_ELA[#Headers],0)))="INS",'Writing Logic'!$B$7,IF(INDEX(_xlfn.VSTACK(YES_Writing_ELA[#Data],YES_Writing_FLA[#Data]),MATCH($A389,_xlfn.VSTACK(YES_Writing_ELA[Student Number],YES_Writing_FLA[Student Number]),0),MATCH(VLOOKUP(F$7,'Writing Logic'!$J$7:$K$11,2,FALSE)&amp;" - Per "&amp;VLOOKUP($C$4,'Writing Logic'!$G$8:$H$14,2,FALSE),YES_Writing_ELA[#Headers],0))=0,"",INDEX(_xlfn.VSTACK(YES_Writing_ELA[#Data],YES_Writing_FLA[#Data]),MATCH($A389,_xlfn.VSTACK(YES_Writing_ELA[Student Number],YES_Writing_FLA[Student Number]),0),MATCH(VLOOKUP(F$7,'Writing Logic'!$J$7:$K$11,2,FALSE)&amp;" - Per "&amp;VLOOKUP($C$4,'Writing Logic'!$G$8:$H$14,2,FALSE),YES_Writing_ELA[#Headers],0)))),"")</f>
        <v/>
      </c>
      <c r="G389" s="138" t="str">
        <f>IFERROR(IF(IF(INDEX(_xlfn.VSTACK(YES_Writing_ELA[#Data],YES_Writing_FLA[#Data]),MATCH($A389,_xlfn.VSTACK(YES_Writing_ELA[Student Number],YES_Writing_FLA[Student Number]),0),MATCH(VLOOKUP(G$7,'Writing Logic'!$J$7:$K$11,2,FALSE)&amp;" - Per "&amp;VLOOKUP($C$4,'Writing Logic'!$G$8:$H$14,2,FALSE),YES_Writing_ELA[#Headers],0))=0,"",INDEX(_xlfn.VSTACK(YES_Writing_ELA[#Data],YES_Writing_FLA[#Data]),MATCH($A389,_xlfn.VSTACK(YES_Writing_ELA[Student Number],YES_Writing_FLA[Student Number]),0),MATCH(VLOOKUP(G$7,'Writing Logic'!$J$7:$K$11,2,FALSE)&amp;" - Per "&amp;VLOOKUP($C$4,'Writing Logic'!$G$8:$H$14,2,FALSE),YES_Writing_ELA[#Headers],0)))="INS",'Writing Logic'!$B$7,IF(INDEX(_xlfn.VSTACK(YES_Writing_ELA[#Data],YES_Writing_FLA[#Data]),MATCH($A389,_xlfn.VSTACK(YES_Writing_ELA[Student Number],YES_Writing_FLA[Student Number]),0),MATCH(VLOOKUP(G$7,'Writing Logic'!$J$7:$K$11,2,FALSE)&amp;" - Per "&amp;VLOOKUP($C$4,'Writing Logic'!$G$8:$H$14,2,FALSE),YES_Writing_ELA[#Headers],0))=0,"",INDEX(_xlfn.VSTACK(YES_Writing_ELA[#Data],YES_Writing_FLA[#Data]),MATCH($A389,_xlfn.VSTACK(YES_Writing_ELA[Student Number],YES_Writing_FLA[Student Number]),0),MATCH(VLOOKUP(G$7,'Writing Logic'!$J$7:$K$11,2,FALSE)&amp;" - Per "&amp;VLOOKUP($C$4,'Writing Logic'!$G$8:$H$14,2,FALSE),YES_Writing_ELA[#Headers],0)))),"")</f>
        <v/>
      </c>
      <c r="H389" s="138" t="str">
        <f>IFERROR(IF(IF(INDEX(_xlfn.VSTACK(YES_Writing_ELA[#Data],YES_Writing_FLA[#Data]),MATCH($A389,_xlfn.VSTACK(YES_Writing_ELA[Student Number],YES_Writing_FLA[Student Number]),0),MATCH(VLOOKUP(H$7,'Writing Logic'!$J$7:$K$11,2,FALSE)&amp;" - Per "&amp;VLOOKUP($C$4,'Writing Logic'!$G$8:$H$14,2,FALSE),YES_Writing_ELA[#Headers],0))=0,"",INDEX(_xlfn.VSTACK(YES_Writing_ELA[#Data],YES_Writing_FLA[#Data]),MATCH($A389,_xlfn.VSTACK(YES_Writing_ELA[Student Number],YES_Writing_FLA[Student Number]),0),MATCH(VLOOKUP(H$7,'Writing Logic'!$J$7:$K$11,2,FALSE)&amp;" - Per "&amp;VLOOKUP($C$4,'Writing Logic'!$G$8:$H$14,2,FALSE),YES_Writing_ELA[#Headers],0)))="INS",'Writing Logic'!$B$7,IF(INDEX(_xlfn.VSTACK(YES_Writing_ELA[#Data],YES_Writing_FLA[#Data]),MATCH($A389,_xlfn.VSTACK(YES_Writing_ELA[Student Number],YES_Writing_FLA[Student Number]),0),MATCH(VLOOKUP(H$7,'Writing Logic'!$J$7:$K$11,2,FALSE)&amp;" - Per "&amp;VLOOKUP($C$4,'Writing Logic'!$G$8:$H$14,2,FALSE),YES_Writing_ELA[#Headers],0))=0,"",INDEX(_xlfn.VSTACK(YES_Writing_ELA[#Data],YES_Writing_FLA[#Data]),MATCH($A389,_xlfn.VSTACK(YES_Writing_ELA[Student Number],YES_Writing_FLA[Student Number]),0),MATCH(VLOOKUP(H$7,'Writing Logic'!$J$7:$K$11,2,FALSE)&amp;" - Per "&amp;VLOOKUP($C$4,'Writing Logic'!$G$8:$H$14,2,FALSE),YES_Writing_ELA[#Headers],0)))),"")</f>
        <v/>
      </c>
    </row>
    <row r="390" spans="1:8" x14ac:dyDescent="0.25">
      <c r="A390" s="137"/>
      <c r="B390" s="137" t="str">
        <f>IFERROR(INDEX(_xlfn.VSTACK(YES_Writing_ELA[#Data], YES_Writing_FLA[#Data]),MATCH($A390,_xlfn.VSTACK(YES_Writing_ELA[Student Number], YES_Writing_FLA[Student Number]),0),MATCH(B$7,YES_Writing_ELA[#Headers],0)),"")</f>
        <v/>
      </c>
      <c r="C390" s="137" t="str">
        <f>IFERROR(INDEX(_xlfn.VSTACK(YES_Writing_ELA[#Data], YES_Writing_FLA[#Data]),MATCH($A390,_xlfn.VSTACK(YES_Writing_ELA[Student Number], YES_Writing_FLA[Student Number]),0),MATCH(C$7,YES_Writing_ELA[#Headers],0)),"")</f>
        <v/>
      </c>
      <c r="D390" s="138" t="str">
        <f>IFERROR(IF(IF(INDEX(_xlfn.VSTACK(YES_Writing_ELA[#Data],YES_Writing_FLA[#Data]),MATCH($A390,_xlfn.VSTACK(YES_Writing_ELA[Student Number],YES_Writing_FLA[Student Number]),0),MATCH(VLOOKUP(D$7,'Writing Logic'!$J$7:$K$11,2,FALSE)&amp;" - Per "&amp;VLOOKUP($C$4,'Writing Logic'!$G$8:$H$14,2,FALSE),YES_Writing_ELA[#Headers],0))=0,"",INDEX(_xlfn.VSTACK(YES_Writing_ELA[#Data],YES_Writing_FLA[#Data]),MATCH($A390,_xlfn.VSTACK(YES_Writing_ELA[Student Number],YES_Writing_FLA[Student Number]),0),MATCH(VLOOKUP(D$7,'Writing Logic'!$J$7:$K$11,2,FALSE)&amp;" - Per "&amp;VLOOKUP($C$4,'Writing Logic'!$G$8:$H$14,2,FALSE),YES_Writing_ELA[#Headers],0)))="INS",'Writing Logic'!$B$7,IF(INDEX(_xlfn.VSTACK(YES_Writing_ELA[#Data],YES_Writing_FLA[#Data]),MATCH($A390,_xlfn.VSTACK(YES_Writing_ELA[Student Number],YES_Writing_FLA[Student Number]),0),MATCH(VLOOKUP(D$7,'Writing Logic'!$J$7:$K$11,2,FALSE)&amp;" - Per "&amp;VLOOKUP($C$4,'Writing Logic'!$G$8:$H$14,2,FALSE),YES_Writing_ELA[#Headers],0))=0,"",INDEX(_xlfn.VSTACK(YES_Writing_ELA[#Data],YES_Writing_FLA[#Data]),MATCH($A390,_xlfn.VSTACK(YES_Writing_ELA[Student Number],YES_Writing_FLA[Student Number]),0),MATCH(VLOOKUP(D$7,'Writing Logic'!$J$7:$K$11,2,FALSE)&amp;" - Per "&amp;VLOOKUP($C$4,'Writing Logic'!$G$8:$H$14,2,FALSE),YES_Writing_ELA[#Headers],0)))),"")</f>
        <v/>
      </c>
      <c r="E390" s="138" t="str">
        <f>IFERROR(IF(IF(INDEX(_xlfn.VSTACK(YES_Writing_ELA[#Data],YES_Writing_FLA[#Data]),MATCH($A390,_xlfn.VSTACK(YES_Writing_ELA[Student Number],YES_Writing_FLA[Student Number]),0),MATCH(VLOOKUP(E$7,'Writing Logic'!$J$7:$K$11,2,FALSE)&amp;" - Per "&amp;VLOOKUP($C$4,'Writing Logic'!$G$8:$H$14,2,FALSE),YES_Writing_ELA[#Headers],0))=0,"",INDEX(_xlfn.VSTACK(YES_Writing_ELA[#Data],YES_Writing_FLA[#Data]),MATCH($A390,_xlfn.VSTACK(YES_Writing_ELA[Student Number],YES_Writing_FLA[Student Number]),0),MATCH(VLOOKUP(E$7,'Writing Logic'!$J$7:$K$11,2,FALSE)&amp;" - Per "&amp;VLOOKUP($C$4,'Writing Logic'!$G$8:$H$14,2,FALSE),YES_Writing_ELA[#Headers],0)))="INS",'Writing Logic'!$B$7,IF(INDEX(_xlfn.VSTACK(YES_Writing_ELA[#Data],YES_Writing_FLA[#Data]),MATCH($A390,_xlfn.VSTACK(YES_Writing_ELA[Student Number],YES_Writing_FLA[Student Number]),0),MATCH(VLOOKUP(E$7,'Writing Logic'!$J$7:$K$11,2,FALSE)&amp;" - Per "&amp;VLOOKUP($C$4,'Writing Logic'!$G$8:$H$14,2,FALSE),YES_Writing_ELA[#Headers],0))=0,"",INDEX(_xlfn.VSTACK(YES_Writing_ELA[#Data],YES_Writing_FLA[#Data]),MATCH($A390,_xlfn.VSTACK(YES_Writing_ELA[Student Number],YES_Writing_FLA[Student Number]),0),MATCH(VLOOKUP(E$7,'Writing Logic'!$J$7:$K$11,2,FALSE)&amp;" - Per "&amp;VLOOKUP($C$4,'Writing Logic'!$G$8:$H$14,2,FALSE),YES_Writing_ELA[#Headers],0)))),"")</f>
        <v/>
      </c>
      <c r="F390" s="138" t="str">
        <f>IFERROR(IF(IF(INDEX(_xlfn.VSTACK(YES_Writing_ELA[#Data],YES_Writing_FLA[#Data]),MATCH($A390,_xlfn.VSTACK(YES_Writing_ELA[Student Number],YES_Writing_FLA[Student Number]),0),MATCH(VLOOKUP(F$7,'Writing Logic'!$J$7:$K$11,2,FALSE)&amp;" - Per "&amp;VLOOKUP($C$4,'Writing Logic'!$G$8:$H$14,2,FALSE),YES_Writing_ELA[#Headers],0))=0,"",INDEX(_xlfn.VSTACK(YES_Writing_ELA[#Data],YES_Writing_FLA[#Data]),MATCH($A390,_xlfn.VSTACK(YES_Writing_ELA[Student Number],YES_Writing_FLA[Student Number]),0),MATCH(VLOOKUP(F$7,'Writing Logic'!$J$7:$K$11,2,FALSE)&amp;" - Per "&amp;VLOOKUP($C$4,'Writing Logic'!$G$8:$H$14,2,FALSE),YES_Writing_ELA[#Headers],0)))="INS",'Writing Logic'!$B$7,IF(INDEX(_xlfn.VSTACK(YES_Writing_ELA[#Data],YES_Writing_FLA[#Data]),MATCH($A390,_xlfn.VSTACK(YES_Writing_ELA[Student Number],YES_Writing_FLA[Student Number]),0),MATCH(VLOOKUP(F$7,'Writing Logic'!$J$7:$K$11,2,FALSE)&amp;" - Per "&amp;VLOOKUP($C$4,'Writing Logic'!$G$8:$H$14,2,FALSE),YES_Writing_ELA[#Headers],0))=0,"",INDEX(_xlfn.VSTACK(YES_Writing_ELA[#Data],YES_Writing_FLA[#Data]),MATCH($A390,_xlfn.VSTACK(YES_Writing_ELA[Student Number],YES_Writing_FLA[Student Number]),0),MATCH(VLOOKUP(F$7,'Writing Logic'!$J$7:$K$11,2,FALSE)&amp;" - Per "&amp;VLOOKUP($C$4,'Writing Logic'!$G$8:$H$14,2,FALSE),YES_Writing_ELA[#Headers],0)))),"")</f>
        <v/>
      </c>
      <c r="G390" s="138" t="str">
        <f>IFERROR(IF(IF(INDEX(_xlfn.VSTACK(YES_Writing_ELA[#Data],YES_Writing_FLA[#Data]),MATCH($A390,_xlfn.VSTACK(YES_Writing_ELA[Student Number],YES_Writing_FLA[Student Number]),0),MATCH(VLOOKUP(G$7,'Writing Logic'!$J$7:$K$11,2,FALSE)&amp;" - Per "&amp;VLOOKUP($C$4,'Writing Logic'!$G$8:$H$14,2,FALSE),YES_Writing_ELA[#Headers],0))=0,"",INDEX(_xlfn.VSTACK(YES_Writing_ELA[#Data],YES_Writing_FLA[#Data]),MATCH($A390,_xlfn.VSTACK(YES_Writing_ELA[Student Number],YES_Writing_FLA[Student Number]),0),MATCH(VLOOKUP(G$7,'Writing Logic'!$J$7:$K$11,2,FALSE)&amp;" - Per "&amp;VLOOKUP($C$4,'Writing Logic'!$G$8:$H$14,2,FALSE),YES_Writing_ELA[#Headers],0)))="INS",'Writing Logic'!$B$7,IF(INDEX(_xlfn.VSTACK(YES_Writing_ELA[#Data],YES_Writing_FLA[#Data]),MATCH($A390,_xlfn.VSTACK(YES_Writing_ELA[Student Number],YES_Writing_FLA[Student Number]),0),MATCH(VLOOKUP(G$7,'Writing Logic'!$J$7:$K$11,2,FALSE)&amp;" - Per "&amp;VLOOKUP($C$4,'Writing Logic'!$G$8:$H$14,2,FALSE),YES_Writing_ELA[#Headers],0))=0,"",INDEX(_xlfn.VSTACK(YES_Writing_ELA[#Data],YES_Writing_FLA[#Data]),MATCH($A390,_xlfn.VSTACK(YES_Writing_ELA[Student Number],YES_Writing_FLA[Student Number]),0),MATCH(VLOOKUP(G$7,'Writing Logic'!$J$7:$K$11,2,FALSE)&amp;" - Per "&amp;VLOOKUP($C$4,'Writing Logic'!$G$8:$H$14,2,FALSE),YES_Writing_ELA[#Headers],0)))),"")</f>
        <v/>
      </c>
      <c r="H390" s="138" t="str">
        <f>IFERROR(IF(IF(INDEX(_xlfn.VSTACK(YES_Writing_ELA[#Data],YES_Writing_FLA[#Data]),MATCH($A390,_xlfn.VSTACK(YES_Writing_ELA[Student Number],YES_Writing_FLA[Student Number]),0),MATCH(VLOOKUP(H$7,'Writing Logic'!$J$7:$K$11,2,FALSE)&amp;" - Per "&amp;VLOOKUP($C$4,'Writing Logic'!$G$8:$H$14,2,FALSE),YES_Writing_ELA[#Headers],0))=0,"",INDEX(_xlfn.VSTACK(YES_Writing_ELA[#Data],YES_Writing_FLA[#Data]),MATCH($A390,_xlfn.VSTACK(YES_Writing_ELA[Student Number],YES_Writing_FLA[Student Number]),0),MATCH(VLOOKUP(H$7,'Writing Logic'!$J$7:$K$11,2,FALSE)&amp;" - Per "&amp;VLOOKUP($C$4,'Writing Logic'!$G$8:$H$14,2,FALSE),YES_Writing_ELA[#Headers],0)))="INS",'Writing Logic'!$B$7,IF(INDEX(_xlfn.VSTACK(YES_Writing_ELA[#Data],YES_Writing_FLA[#Data]),MATCH($A390,_xlfn.VSTACK(YES_Writing_ELA[Student Number],YES_Writing_FLA[Student Number]),0),MATCH(VLOOKUP(H$7,'Writing Logic'!$J$7:$K$11,2,FALSE)&amp;" - Per "&amp;VLOOKUP($C$4,'Writing Logic'!$G$8:$H$14,2,FALSE),YES_Writing_ELA[#Headers],0))=0,"",INDEX(_xlfn.VSTACK(YES_Writing_ELA[#Data],YES_Writing_FLA[#Data]),MATCH($A390,_xlfn.VSTACK(YES_Writing_ELA[Student Number],YES_Writing_FLA[Student Number]),0),MATCH(VLOOKUP(H$7,'Writing Logic'!$J$7:$K$11,2,FALSE)&amp;" - Per "&amp;VLOOKUP($C$4,'Writing Logic'!$G$8:$H$14,2,FALSE),YES_Writing_ELA[#Headers],0)))),"")</f>
        <v/>
      </c>
    </row>
    <row r="391" spans="1:8" x14ac:dyDescent="0.25">
      <c r="A391" s="137"/>
      <c r="B391" s="137" t="str">
        <f>IFERROR(INDEX(_xlfn.VSTACK(YES_Writing_ELA[#Data], YES_Writing_FLA[#Data]),MATCH($A391,_xlfn.VSTACK(YES_Writing_ELA[Student Number], YES_Writing_FLA[Student Number]),0),MATCH(B$7,YES_Writing_ELA[#Headers],0)),"")</f>
        <v/>
      </c>
      <c r="C391" s="137" t="str">
        <f>IFERROR(INDEX(_xlfn.VSTACK(YES_Writing_ELA[#Data], YES_Writing_FLA[#Data]),MATCH($A391,_xlfn.VSTACK(YES_Writing_ELA[Student Number], YES_Writing_FLA[Student Number]),0),MATCH(C$7,YES_Writing_ELA[#Headers],0)),"")</f>
        <v/>
      </c>
      <c r="D391" s="138" t="str">
        <f>IFERROR(IF(IF(INDEX(_xlfn.VSTACK(YES_Writing_ELA[#Data],YES_Writing_FLA[#Data]),MATCH($A391,_xlfn.VSTACK(YES_Writing_ELA[Student Number],YES_Writing_FLA[Student Number]),0),MATCH(VLOOKUP(D$7,'Writing Logic'!$J$7:$K$11,2,FALSE)&amp;" - Per "&amp;VLOOKUP($C$4,'Writing Logic'!$G$8:$H$14,2,FALSE),YES_Writing_ELA[#Headers],0))=0,"",INDEX(_xlfn.VSTACK(YES_Writing_ELA[#Data],YES_Writing_FLA[#Data]),MATCH($A391,_xlfn.VSTACK(YES_Writing_ELA[Student Number],YES_Writing_FLA[Student Number]),0),MATCH(VLOOKUP(D$7,'Writing Logic'!$J$7:$K$11,2,FALSE)&amp;" - Per "&amp;VLOOKUP($C$4,'Writing Logic'!$G$8:$H$14,2,FALSE),YES_Writing_ELA[#Headers],0)))="INS",'Writing Logic'!$B$7,IF(INDEX(_xlfn.VSTACK(YES_Writing_ELA[#Data],YES_Writing_FLA[#Data]),MATCH($A391,_xlfn.VSTACK(YES_Writing_ELA[Student Number],YES_Writing_FLA[Student Number]),0),MATCH(VLOOKUP(D$7,'Writing Logic'!$J$7:$K$11,2,FALSE)&amp;" - Per "&amp;VLOOKUP($C$4,'Writing Logic'!$G$8:$H$14,2,FALSE),YES_Writing_ELA[#Headers],0))=0,"",INDEX(_xlfn.VSTACK(YES_Writing_ELA[#Data],YES_Writing_FLA[#Data]),MATCH($A391,_xlfn.VSTACK(YES_Writing_ELA[Student Number],YES_Writing_FLA[Student Number]),0),MATCH(VLOOKUP(D$7,'Writing Logic'!$J$7:$K$11,2,FALSE)&amp;" - Per "&amp;VLOOKUP($C$4,'Writing Logic'!$G$8:$H$14,2,FALSE),YES_Writing_ELA[#Headers],0)))),"")</f>
        <v/>
      </c>
      <c r="E391" s="138" t="str">
        <f>IFERROR(IF(IF(INDEX(_xlfn.VSTACK(YES_Writing_ELA[#Data],YES_Writing_FLA[#Data]),MATCH($A391,_xlfn.VSTACK(YES_Writing_ELA[Student Number],YES_Writing_FLA[Student Number]),0),MATCH(VLOOKUP(E$7,'Writing Logic'!$J$7:$K$11,2,FALSE)&amp;" - Per "&amp;VLOOKUP($C$4,'Writing Logic'!$G$8:$H$14,2,FALSE),YES_Writing_ELA[#Headers],0))=0,"",INDEX(_xlfn.VSTACK(YES_Writing_ELA[#Data],YES_Writing_FLA[#Data]),MATCH($A391,_xlfn.VSTACK(YES_Writing_ELA[Student Number],YES_Writing_FLA[Student Number]),0),MATCH(VLOOKUP(E$7,'Writing Logic'!$J$7:$K$11,2,FALSE)&amp;" - Per "&amp;VLOOKUP($C$4,'Writing Logic'!$G$8:$H$14,2,FALSE),YES_Writing_ELA[#Headers],0)))="INS",'Writing Logic'!$B$7,IF(INDEX(_xlfn.VSTACK(YES_Writing_ELA[#Data],YES_Writing_FLA[#Data]),MATCH($A391,_xlfn.VSTACK(YES_Writing_ELA[Student Number],YES_Writing_FLA[Student Number]),0),MATCH(VLOOKUP(E$7,'Writing Logic'!$J$7:$K$11,2,FALSE)&amp;" - Per "&amp;VLOOKUP($C$4,'Writing Logic'!$G$8:$H$14,2,FALSE),YES_Writing_ELA[#Headers],0))=0,"",INDEX(_xlfn.VSTACK(YES_Writing_ELA[#Data],YES_Writing_FLA[#Data]),MATCH($A391,_xlfn.VSTACK(YES_Writing_ELA[Student Number],YES_Writing_FLA[Student Number]),0),MATCH(VLOOKUP(E$7,'Writing Logic'!$J$7:$K$11,2,FALSE)&amp;" - Per "&amp;VLOOKUP($C$4,'Writing Logic'!$G$8:$H$14,2,FALSE),YES_Writing_ELA[#Headers],0)))),"")</f>
        <v/>
      </c>
      <c r="F391" s="138" t="str">
        <f>IFERROR(IF(IF(INDEX(_xlfn.VSTACK(YES_Writing_ELA[#Data],YES_Writing_FLA[#Data]),MATCH($A391,_xlfn.VSTACK(YES_Writing_ELA[Student Number],YES_Writing_FLA[Student Number]),0),MATCH(VLOOKUP(F$7,'Writing Logic'!$J$7:$K$11,2,FALSE)&amp;" - Per "&amp;VLOOKUP($C$4,'Writing Logic'!$G$8:$H$14,2,FALSE),YES_Writing_ELA[#Headers],0))=0,"",INDEX(_xlfn.VSTACK(YES_Writing_ELA[#Data],YES_Writing_FLA[#Data]),MATCH($A391,_xlfn.VSTACK(YES_Writing_ELA[Student Number],YES_Writing_FLA[Student Number]),0),MATCH(VLOOKUP(F$7,'Writing Logic'!$J$7:$K$11,2,FALSE)&amp;" - Per "&amp;VLOOKUP($C$4,'Writing Logic'!$G$8:$H$14,2,FALSE),YES_Writing_ELA[#Headers],0)))="INS",'Writing Logic'!$B$7,IF(INDEX(_xlfn.VSTACK(YES_Writing_ELA[#Data],YES_Writing_FLA[#Data]),MATCH($A391,_xlfn.VSTACK(YES_Writing_ELA[Student Number],YES_Writing_FLA[Student Number]),0),MATCH(VLOOKUP(F$7,'Writing Logic'!$J$7:$K$11,2,FALSE)&amp;" - Per "&amp;VLOOKUP($C$4,'Writing Logic'!$G$8:$H$14,2,FALSE),YES_Writing_ELA[#Headers],0))=0,"",INDEX(_xlfn.VSTACK(YES_Writing_ELA[#Data],YES_Writing_FLA[#Data]),MATCH($A391,_xlfn.VSTACK(YES_Writing_ELA[Student Number],YES_Writing_FLA[Student Number]),0),MATCH(VLOOKUP(F$7,'Writing Logic'!$J$7:$K$11,2,FALSE)&amp;" - Per "&amp;VLOOKUP($C$4,'Writing Logic'!$G$8:$H$14,2,FALSE),YES_Writing_ELA[#Headers],0)))),"")</f>
        <v/>
      </c>
      <c r="G391" s="138" t="str">
        <f>IFERROR(IF(IF(INDEX(_xlfn.VSTACK(YES_Writing_ELA[#Data],YES_Writing_FLA[#Data]),MATCH($A391,_xlfn.VSTACK(YES_Writing_ELA[Student Number],YES_Writing_FLA[Student Number]),0),MATCH(VLOOKUP(G$7,'Writing Logic'!$J$7:$K$11,2,FALSE)&amp;" - Per "&amp;VLOOKUP($C$4,'Writing Logic'!$G$8:$H$14,2,FALSE),YES_Writing_ELA[#Headers],0))=0,"",INDEX(_xlfn.VSTACK(YES_Writing_ELA[#Data],YES_Writing_FLA[#Data]),MATCH($A391,_xlfn.VSTACK(YES_Writing_ELA[Student Number],YES_Writing_FLA[Student Number]),0),MATCH(VLOOKUP(G$7,'Writing Logic'!$J$7:$K$11,2,FALSE)&amp;" - Per "&amp;VLOOKUP($C$4,'Writing Logic'!$G$8:$H$14,2,FALSE),YES_Writing_ELA[#Headers],0)))="INS",'Writing Logic'!$B$7,IF(INDEX(_xlfn.VSTACK(YES_Writing_ELA[#Data],YES_Writing_FLA[#Data]),MATCH($A391,_xlfn.VSTACK(YES_Writing_ELA[Student Number],YES_Writing_FLA[Student Number]),0),MATCH(VLOOKUP(G$7,'Writing Logic'!$J$7:$K$11,2,FALSE)&amp;" - Per "&amp;VLOOKUP($C$4,'Writing Logic'!$G$8:$H$14,2,FALSE),YES_Writing_ELA[#Headers],0))=0,"",INDEX(_xlfn.VSTACK(YES_Writing_ELA[#Data],YES_Writing_FLA[#Data]),MATCH($A391,_xlfn.VSTACK(YES_Writing_ELA[Student Number],YES_Writing_FLA[Student Number]),0),MATCH(VLOOKUP(G$7,'Writing Logic'!$J$7:$K$11,2,FALSE)&amp;" - Per "&amp;VLOOKUP($C$4,'Writing Logic'!$G$8:$H$14,2,FALSE),YES_Writing_ELA[#Headers],0)))),"")</f>
        <v/>
      </c>
      <c r="H391" s="138" t="str">
        <f>IFERROR(IF(IF(INDEX(_xlfn.VSTACK(YES_Writing_ELA[#Data],YES_Writing_FLA[#Data]),MATCH($A391,_xlfn.VSTACK(YES_Writing_ELA[Student Number],YES_Writing_FLA[Student Number]),0),MATCH(VLOOKUP(H$7,'Writing Logic'!$J$7:$K$11,2,FALSE)&amp;" - Per "&amp;VLOOKUP($C$4,'Writing Logic'!$G$8:$H$14,2,FALSE),YES_Writing_ELA[#Headers],0))=0,"",INDEX(_xlfn.VSTACK(YES_Writing_ELA[#Data],YES_Writing_FLA[#Data]),MATCH($A391,_xlfn.VSTACK(YES_Writing_ELA[Student Number],YES_Writing_FLA[Student Number]),0),MATCH(VLOOKUP(H$7,'Writing Logic'!$J$7:$K$11,2,FALSE)&amp;" - Per "&amp;VLOOKUP($C$4,'Writing Logic'!$G$8:$H$14,2,FALSE),YES_Writing_ELA[#Headers],0)))="INS",'Writing Logic'!$B$7,IF(INDEX(_xlfn.VSTACK(YES_Writing_ELA[#Data],YES_Writing_FLA[#Data]),MATCH($A391,_xlfn.VSTACK(YES_Writing_ELA[Student Number],YES_Writing_FLA[Student Number]),0),MATCH(VLOOKUP(H$7,'Writing Logic'!$J$7:$K$11,2,FALSE)&amp;" - Per "&amp;VLOOKUP($C$4,'Writing Logic'!$G$8:$H$14,2,FALSE),YES_Writing_ELA[#Headers],0))=0,"",INDEX(_xlfn.VSTACK(YES_Writing_ELA[#Data],YES_Writing_FLA[#Data]),MATCH($A391,_xlfn.VSTACK(YES_Writing_ELA[Student Number],YES_Writing_FLA[Student Number]),0),MATCH(VLOOKUP(H$7,'Writing Logic'!$J$7:$K$11,2,FALSE)&amp;" - Per "&amp;VLOOKUP($C$4,'Writing Logic'!$G$8:$H$14,2,FALSE),YES_Writing_ELA[#Headers],0)))),"")</f>
        <v/>
      </c>
    </row>
    <row r="392" spans="1:8" x14ac:dyDescent="0.25">
      <c r="A392" s="137"/>
      <c r="B392" s="137" t="str">
        <f>IFERROR(INDEX(_xlfn.VSTACK(YES_Writing_ELA[#Data], YES_Writing_FLA[#Data]),MATCH($A392,_xlfn.VSTACK(YES_Writing_ELA[Student Number], YES_Writing_FLA[Student Number]),0),MATCH(B$7,YES_Writing_ELA[#Headers],0)),"")</f>
        <v/>
      </c>
      <c r="C392" s="137" t="str">
        <f>IFERROR(INDEX(_xlfn.VSTACK(YES_Writing_ELA[#Data], YES_Writing_FLA[#Data]),MATCH($A392,_xlfn.VSTACK(YES_Writing_ELA[Student Number], YES_Writing_FLA[Student Number]),0),MATCH(C$7,YES_Writing_ELA[#Headers],0)),"")</f>
        <v/>
      </c>
      <c r="D392" s="138" t="str">
        <f>IFERROR(IF(IF(INDEX(_xlfn.VSTACK(YES_Writing_ELA[#Data],YES_Writing_FLA[#Data]),MATCH($A392,_xlfn.VSTACK(YES_Writing_ELA[Student Number],YES_Writing_FLA[Student Number]),0),MATCH(VLOOKUP(D$7,'Writing Logic'!$J$7:$K$11,2,FALSE)&amp;" - Per "&amp;VLOOKUP($C$4,'Writing Logic'!$G$8:$H$14,2,FALSE),YES_Writing_ELA[#Headers],0))=0,"",INDEX(_xlfn.VSTACK(YES_Writing_ELA[#Data],YES_Writing_FLA[#Data]),MATCH($A392,_xlfn.VSTACK(YES_Writing_ELA[Student Number],YES_Writing_FLA[Student Number]),0),MATCH(VLOOKUP(D$7,'Writing Logic'!$J$7:$K$11,2,FALSE)&amp;" - Per "&amp;VLOOKUP($C$4,'Writing Logic'!$G$8:$H$14,2,FALSE),YES_Writing_ELA[#Headers],0)))="INS",'Writing Logic'!$B$7,IF(INDEX(_xlfn.VSTACK(YES_Writing_ELA[#Data],YES_Writing_FLA[#Data]),MATCH($A392,_xlfn.VSTACK(YES_Writing_ELA[Student Number],YES_Writing_FLA[Student Number]),0),MATCH(VLOOKUP(D$7,'Writing Logic'!$J$7:$K$11,2,FALSE)&amp;" - Per "&amp;VLOOKUP($C$4,'Writing Logic'!$G$8:$H$14,2,FALSE),YES_Writing_ELA[#Headers],0))=0,"",INDEX(_xlfn.VSTACK(YES_Writing_ELA[#Data],YES_Writing_FLA[#Data]),MATCH($A392,_xlfn.VSTACK(YES_Writing_ELA[Student Number],YES_Writing_FLA[Student Number]),0),MATCH(VLOOKUP(D$7,'Writing Logic'!$J$7:$K$11,2,FALSE)&amp;" - Per "&amp;VLOOKUP($C$4,'Writing Logic'!$G$8:$H$14,2,FALSE),YES_Writing_ELA[#Headers],0)))),"")</f>
        <v/>
      </c>
      <c r="E392" s="138" t="str">
        <f>IFERROR(IF(IF(INDEX(_xlfn.VSTACK(YES_Writing_ELA[#Data],YES_Writing_FLA[#Data]),MATCH($A392,_xlfn.VSTACK(YES_Writing_ELA[Student Number],YES_Writing_FLA[Student Number]),0),MATCH(VLOOKUP(E$7,'Writing Logic'!$J$7:$K$11,2,FALSE)&amp;" - Per "&amp;VLOOKUP($C$4,'Writing Logic'!$G$8:$H$14,2,FALSE),YES_Writing_ELA[#Headers],0))=0,"",INDEX(_xlfn.VSTACK(YES_Writing_ELA[#Data],YES_Writing_FLA[#Data]),MATCH($A392,_xlfn.VSTACK(YES_Writing_ELA[Student Number],YES_Writing_FLA[Student Number]),0),MATCH(VLOOKUP(E$7,'Writing Logic'!$J$7:$K$11,2,FALSE)&amp;" - Per "&amp;VLOOKUP($C$4,'Writing Logic'!$G$8:$H$14,2,FALSE),YES_Writing_ELA[#Headers],0)))="INS",'Writing Logic'!$B$7,IF(INDEX(_xlfn.VSTACK(YES_Writing_ELA[#Data],YES_Writing_FLA[#Data]),MATCH($A392,_xlfn.VSTACK(YES_Writing_ELA[Student Number],YES_Writing_FLA[Student Number]),0),MATCH(VLOOKUP(E$7,'Writing Logic'!$J$7:$K$11,2,FALSE)&amp;" - Per "&amp;VLOOKUP($C$4,'Writing Logic'!$G$8:$H$14,2,FALSE),YES_Writing_ELA[#Headers],0))=0,"",INDEX(_xlfn.VSTACK(YES_Writing_ELA[#Data],YES_Writing_FLA[#Data]),MATCH($A392,_xlfn.VSTACK(YES_Writing_ELA[Student Number],YES_Writing_FLA[Student Number]),0),MATCH(VLOOKUP(E$7,'Writing Logic'!$J$7:$K$11,2,FALSE)&amp;" - Per "&amp;VLOOKUP($C$4,'Writing Logic'!$G$8:$H$14,2,FALSE),YES_Writing_ELA[#Headers],0)))),"")</f>
        <v/>
      </c>
      <c r="F392" s="138" t="str">
        <f>IFERROR(IF(IF(INDEX(_xlfn.VSTACK(YES_Writing_ELA[#Data],YES_Writing_FLA[#Data]),MATCH($A392,_xlfn.VSTACK(YES_Writing_ELA[Student Number],YES_Writing_FLA[Student Number]),0),MATCH(VLOOKUP(F$7,'Writing Logic'!$J$7:$K$11,2,FALSE)&amp;" - Per "&amp;VLOOKUP($C$4,'Writing Logic'!$G$8:$H$14,2,FALSE),YES_Writing_ELA[#Headers],0))=0,"",INDEX(_xlfn.VSTACK(YES_Writing_ELA[#Data],YES_Writing_FLA[#Data]),MATCH($A392,_xlfn.VSTACK(YES_Writing_ELA[Student Number],YES_Writing_FLA[Student Number]),0),MATCH(VLOOKUP(F$7,'Writing Logic'!$J$7:$K$11,2,FALSE)&amp;" - Per "&amp;VLOOKUP($C$4,'Writing Logic'!$G$8:$H$14,2,FALSE),YES_Writing_ELA[#Headers],0)))="INS",'Writing Logic'!$B$7,IF(INDEX(_xlfn.VSTACK(YES_Writing_ELA[#Data],YES_Writing_FLA[#Data]),MATCH($A392,_xlfn.VSTACK(YES_Writing_ELA[Student Number],YES_Writing_FLA[Student Number]),0),MATCH(VLOOKUP(F$7,'Writing Logic'!$J$7:$K$11,2,FALSE)&amp;" - Per "&amp;VLOOKUP($C$4,'Writing Logic'!$G$8:$H$14,2,FALSE),YES_Writing_ELA[#Headers],0))=0,"",INDEX(_xlfn.VSTACK(YES_Writing_ELA[#Data],YES_Writing_FLA[#Data]),MATCH($A392,_xlfn.VSTACK(YES_Writing_ELA[Student Number],YES_Writing_FLA[Student Number]),0),MATCH(VLOOKUP(F$7,'Writing Logic'!$J$7:$K$11,2,FALSE)&amp;" - Per "&amp;VLOOKUP($C$4,'Writing Logic'!$G$8:$H$14,2,FALSE),YES_Writing_ELA[#Headers],0)))),"")</f>
        <v/>
      </c>
      <c r="G392" s="138" t="str">
        <f>IFERROR(IF(IF(INDEX(_xlfn.VSTACK(YES_Writing_ELA[#Data],YES_Writing_FLA[#Data]),MATCH($A392,_xlfn.VSTACK(YES_Writing_ELA[Student Number],YES_Writing_FLA[Student Number]),0),MATCH(VLOOKUP(G$7,'Writing Logic'!$J$7:$K$11,2,FALSE)&amp;" - Per "&amp;VLOOKUP($C$4,'Writing Logic'!$G$8:$H$14,2,FALSE),YES_Writing_ELA[#Headers],0))=0,"",INDEX(_xlfn.VSTACK(YES_Writing_ELA[#Data],YES_Writing_FLA[#Data]),MATCH($A392,_xlfn.VSTACK(YES_Writing_ELA[Student Number],YES_Writing_FLA[Student Number]),0),MATCH(VLOOKUP(G$7,'Writing Logic'!$J$7:$K$11,2,FALSE)&amp;" - Per "&amp;VLOOKUP($C$4,'Writing Logic'!$G$8:$H$14,2,FALSE),YES_Writing_ELA[#Headers],0)))="INS",'Writing Logic'!$B$7,IF(INDEX(_xlfn.VSTACK(YES_Writing_ELA[#Data],YES_Writing_FLA[#Data]),MATCH($A392,_xlfn.VSTACK(YES_Writing_ELA[Student Number],YES_Writing_FLA[Student Number]),0),MATCH(VLOOKUP(G$7,'Writing Logic'!$J$7:$K$11,2,FALSE)&amp;" - Per "&amp;VLOOKUP($C$4,'Writing Logic'!$G$8:$H$14,2,FALSE),YES_Writing_ELA[#Headers],0))=0,"",INDEX(_xlfn.VSTACK(YES_Writing_ELA[#Data],YES_Writing_FLA[#Data]),MATCH($A392,_xlfn.VSTACK(YES_Writing_ELA[Student Number],YES_Writing_FLA[Student Number]),0),MATCH(VLOOKUP(G$7,'Writing Logic'!$J$7:$K$11,2,FALSE)&amp;" - Per "&amp;VLOOKUP($C$4,'Writing Logic'!$G$8:$H$14,2,FALSE),YES_Writing_ELA[#Headers],0)))),"")</f>
        <v/>
      </c>
      <c r="H392" s="138" t="str">
        <f>IFERROR(IF(IF(INDEX(_xlfn.VSTACK(YES_Writing_ELA[#Data],YES_Writing_FLA[#Data]),MATCH($A392,_xlfn.VSTACK(YES_Writing_ELA[Student Number],YES_Writing_FLA[Student Number]),0),MATCH(VLOOKUP(H$7,'Writing Logic'!$J$7:$K$11,2,FALSE)&amp;" - Per "&amp;VLOOKUP($C$4,'Writing Logic'!$G$8:$H$14,2,FALSE),YES_Writing_ELA[#Headers],0))=0,"",INDEX(_xlfn.VSTACK(YES_Writing_ELA[#Data],YES_Writing_FLA[#Data]),MATCH($A392,_xlfn.VSTACK(YES_Writing_ELA[Student Number],YES_Writing_FLA[Student Number]),0),MATCH(VLOOKUP(H$7,'Writing Logic'!$J$7:$K$11,2,FALSE)&amp;" - Per "&amp;VLOOKUP($C$4,'Writing Logic'!$G$8:$H$14,2,FALSE),YES_Writing_ELA[#Headers],0)))="INS",'Writing Logic'!$B$7,IF(INDEX(_xlfn.VSTACK(YES_Writing_ELA[#Data],YES_Writing_FLA[#Data]),MATCH($A392,_xlfn.VSTACK(YES_Writing_ELA[Student Number],YES_Writing_FLA[Student Number]),0),MATCH(VLOOKUP(H$7,'Writing Logic'!$J$7:$K$11,2,FALSE)&amp;" - Per "&amp;VLOOKUP($C$4,'Writing Logic'!$G$8:$H$14,2,FALSE),YES_Writing_ELA[#Headers],0))=0,"",INDEX(_xlfn.VSTACK(YES_Writing_ELA[#Data],YES_Writing_FLA[#Data]),MATCH($A392,_xlfn.VSTACK(YES_Writing_ELA[Student Number],YES_Writing_FLA[Student Number]),0),MATCH(VLOOKUP(H$7,'Writing Logic'!$J$7:$K$11,2,FALSE)&amp;" - Per "&amp;VLOOKUP($C$4,'Writing Logic'!$G$8:$H$14,2,FALSE),YES_Writing_ELA[#Headers],0)))),"")</f>
        <v/>
      </c>
    </row>
    <row r="393" spans="1:8" x14ac:dyDescent="0.25">
      <c r="A393" s="137"/>
      <c r="B393" s="137" t="str">
        <f>IFERROR(INDEX(_xlfn.VSTACK(YES_Writing_ELA[#Data], YES_Writing_FLA[#Data]),MATCH($A393,_xlfn.VSTACK(YES_Writing_ELA[Student Number], YES_Writing_FLA[Student Number]),0),MATCH(B$7,YES_Writing_ELA[#Headers],0)),"")</f>
        <v/>
      </c>
      <c r="C393" s="137" t="str">
        <f>IFERROR(INDEX(_xlfn.VSTACK(YES_Writing_ELA[#Data], YES_Writing_FLA[#Data]),MATCH($A393,_xlfn.VSTACK(YES_Writing_ELA[Student Number], YES_Writing_FLA[Student Number]),0),MATCH(C$7,YES_Writing_ELA[#Headers],0)),"")</f>
        <v/>
      </c>
      <c r="D393" s="138" t="str">
        <f>IFERROR(IF(IF(INDEX(_xlfn.VSTACK(YES_Writing_ELA[#Data],YES_Writing_FLA[#Data]),MATCH($A393,_xlfn.VSTACK(YES_Writing_ELA[Student Number],YES_Writing_FLA[Student Number]),0),MATCH(VLOOKUP(D$7,'Writing Logic'!$J$7:$K$11,2,FALSE)&amp;" - Per "&amp;VLOOKUP($C$4,'Writing Logic'!$G$8:$H$14,2,FALSE),YES_Writing_ELA[#Headers],0))=0,"",INDEX(_xlfn.VSTACK(YES_Writing_ELA[#Data],YES_Writing_FLA[#Data]),MATCH($A393,_xlfn.VSTACK(YES_Writing_ELA[Student Number],YES_Writing_FLA[Student Number]),0),MATCH(VLOOKUP(D$7,'Writing Logic'!$J$7:$K$11,2,FALSE)&amp;" - Per "&amp;VLOOKUP($C$4,'Writing Logic'!$G$8:$H$14,2,FALSE),YES_Writing_ELA[#Headers],0)))="INS",'Writing Logic'!$B$7,IF(INDEX(_xlfn.VSTACK(YES_Writing_ELA[#Data],YES_Writing_FLA[#Data]),MATCH($A393,_xlfn.VSTACK(YES_Writing_ELA[Student Number],YES_Writing_FLA[Student Number]),0),MATCH(VLOOKUP(D$7,'Writing Logic'!$J$7:$K$11,2,FALSE)&amp;" - Per "&amp;VLOOKUP($C$4,'Writing Logic'!$G$8:$H$14,2,FALSE),YES_Writing_ELA[#Headers],0))=0,"",INDEX(_xlfn.VSTACK(YES_Writing_ELA[#Data],YES_Writing_FLA[#Data]),MATCH($A393,_xlfn.VSTACK(YES_Writing_ELA[Student Number],YES_Writing_FLA[Student Number]),0),MATCH(VLOOKUP(D$7,'Writing Logic'!$J$7:$K$11,2,FALSE)&amp;" - Per "&amp;VLOOKUP($C$4,'Writing Logic'!$G$8:$H$14,2,FALSE),YES_Writing_ELA[#Headers],0)))),"")</f>
        <v/>
      </c>
      <c r="E393" s="138" t="str">
        <f>IFERROR(IF(IF(INDEX(_xlfn.VSTACK(YES_Writing_ELA[#Data],YES_Writing_FLA[#Data]),MATCH($A393,_xlfn.VSTACK(YES_Writing_ELA[Student Number],YES_Writing_FLA[Student Number]),0),MATCH(VLOOKUP(E$7,'Writing Logic'!$J$7:$K$11,2,FALSE)&amp;" - Per "&amp;VLOOKUP($C$4,'Writing Logic'!$G$8:$H$14,2,FALSE),YES_Writing_ELA[#Headers],0))=0,"",INDEX(_xlfn.VSTACK(YES_Writing_ELA[#Data],YES_Writing_FLA[#Data]),MATCH($A393,_xlfn.VSTACK(YES_Writing_ELA[Student Number],YES_Writing_FLA[Student Number]),0),MATCH(VLOOKUP(E$7,'Writing Logic'!$J$7:$K$11,2,FALSE)&amp;" - Per "&amp;VLOOKUP($C$4,'Writing Logic'!$G$8:$H$14,2,FALSE),YES_Writing_ELA[#Headers],0)))="INS",'Writing Logic'!$B$7,IF(INDEX(_xlfn.VSTACK(YES_Writing_ELA[#Data],YES_Writing_FLA[#Data]),MATCH($A393,_xlfn.VSTACK(YES_Writing_ELA[Student Number],YES_Writing_FLA[Student Number]),0),MATCH(VLOOKUP(E$7,'Writing Logic'!$J$7:$K$11,2,FALSE)&amp;" - Per "&amp;VLOOKUP($C$4,'Writing Logic'!$G$8:$H$14,2,FALSE),YES_Writing_ELA[#Headers],0))=0,"",INDEX(_xlfn.VSTACK(YES_Writing_ELA[#Data],YES_Writing_FLA[#Data]),MATCH($A393,_xlfn.VSTACK(YES_Writing_ELA[Student Number],YES_Writing_FLA[Student Number]),0),MATCH(VLOOKUP(E$7,'Writing Logic'!$J$7:$K$11,2,FALSE)&amp;" - Per "&amp;VLOOKUP($C$4,'Writing Logic'!$G$8:$H$14,2,FALSE),YES_Writing_ELA[#Headers],0)))),"")</f>
        <v/>
      </c>
      <c r="F393" s="138" t="str">
        <f>IFERROR(IF(IF(INDEX(_xlfn.VSTACK(YES_Writing_ELA[#Data],YES_Writing_FLA[#Data]),MATCH($A393,_xlfn.VSTACK(YES_Writing_ELA[Student Number],YES_Writing_FLA[Student Number]),0),MATCH(VLOOKUP(F$7,'Writing Logic'!$J$7:$K$11,2,FALSE)&amp;" - Per "&amp;VLOOKUP($C$4,'Writing Logic'!$G$8:$H$14,2,FALSE),YES_Writing_ELA[#Headers],0))=0,"",INDEX(_xlfn.VSTACK(YES_Writing_ELA[#Data],YES_Writing_FLA[#Data]),MATCH($A393,_xlfn.VSTACK(YES_Writing_ELA[Student Number],YES_Writing_FLA[Student Number]),0),MATCH(VLOOKUP(F$7,'Writing Logic'!$J$7:$K$11,2,FALSE)&amp;" - Per "&amp;VLOOKUP($C$4,'Writing Logic'!$G$8:$H$14,2,FALSE),YES_Writing_ELA[#Headers],0)))="INS",'Writing Logic'!$B$7,IF(INDEX(_xlfn.VSTACK(YES_Writing_ELA[#Data],YES_Writing_FLA[#Data]),MATCH($A393,_xlfn.VSTACK(YES_Writing_ELA[Student Number],YES_Writing_FLA[Student Number]),0),MATCH(VLOOKUP(F$7,'Writing Logic'!$J$7:$K$11,2,FALSE)&amp;" - Per "&amp;VLOOKUP($C$4,'Writing Logic'!$G$8:$H$14,2,FALSE),YES_Writing_ELA[#Headers],0))=0,"",INDEX(_xlfn.VSTACK(YES_Writing_ELA[#Data],YES_Writing_FLA[#Data]),MATCH($A393,_xlfn.VSTACK(YES_Writing_ELA[Student Number],YES_Writing_FLA[Student Number]),0),MATCH(VLOOKUP(F$7,'Writing Logic'!$J$7:$K$11,2,FALSE)&amp;" - Per "&amp;VLOOKUP($C$4,'Writing Logic'!$G$8:$H$14,2,FALSE),YES_Writing_ELA[#Headers],0)))),"")</f>
        <v/>
      </c>
      <c r="G393" s="138" t="str">
        <f>IFERROR(IF(IF(INDEX(_xlfn.VSTACK(YES_Writing_ELA[#Data],YES_Writing_FLA[#Data]),MATCH($A393,_xlfn.VSTACK(YES_Writing_ELA[Student Number],YES_Writing_FLA[Student Number]),0),MATCH(VLOOKUP(G$7,'Writing Logic'!$J$7:$K$11,2,FALSE)&amp;" - Per "&amp;VLOOKUP($C$4,'Writing Logic'!$G$8:$H$14,2,FALSE),YES_Writing_ELA[#Headers],0))=0,"",INDEX(_xlfn.VSTACK(YES_Writing_ELA[#Data],YES_Writing_FLA[#Data]),MATCH($A393,_xlfn.VSTACK(YES_Writing_ELA[Student Number],YES_Writing_FLA[Student Number]),0),MATCH(VLOOKUP(G$7,'Writing Logic'!$J$7:$K$11,2,FALSE)&amp;" - Per "&amp;VLOOKUP($C$4,'Writing Logic'!$G$8:$H$14,2,FALSE),YES_Writing_ELA[#Headers],0)))="INS",'Writing Logic'!$B$7,IF(INDEX(_xlfn.VSTACK(YES_Writing_ELA[#Data],YES_Writing_FLA[#Data]),MATCH($A393,_xlfn.VSTACK(YES_Writing_ELA[Student Number],YES_Writing_FLA[Student Number]),0),MATCH(VLOOKUP(G$7,'Writing Logic'!$J$7:$K$11,2,FALSE)&amp;" - Per "&amp;VLOOKUP($C$4,'Writing Logic'!$G$8:$H$14,2,FALSE),YES_Writing_ELA[#Headers],0))=0,"",INDEX(_xlfn.VSTACK(YES_Writing_ELA[#Data],YES_Writing_FLA[#Data]),MATCH($A393,_xlfn.VSTACK(YES_Writing_ELA[Student Number],YES_Writing_FLA[Student Number]),0),MATCH(VLOOKUP(G$7,'Writing Logic'!$J$7:$K$11,2,FALSE)&amp;" - Per "&amp;VLOOKUP($C$4,'Writing Logic'!$G$8:$H$14,2,FALSE),YES_Writing_ELA[#Headers],0)))),"")</f>
        <v/>
      </c>
      <c r="H393" s="138" t="str">
        <f>IFERROR(IF(IF(INDEX(_xlfn.VSTACK(YES_Writing_ELA[#Data],YES_Writing_FLA[#Data]),MATCH($A393,_xlfn.VSTACK(YES_Writing_ELA[Student Number],YES_Writing_FLA[Student Number]),0),MATCH(VLOOKUP(H$7,'Writing Logic'!$J$7:$K$11,2,FALSE)&amp;" - Per "&amp;VLOOKUP($C$4,'Writing Logic'!$G$8:$H$14,2,FALSE),YES_Writing_ELA[#Headers],0))=0,"",INDEX(_xlfn.VSTACK(YES_Writing_ELA[#Data],YES_Writing_FLA[#Data]),MATCH($A393,_xlfn.VSTACK(YES_Writing_ELA[Student Number],YES_Writing_FLA[Student Number]),0),MATCH(VLOOKUP(H$7,'Writing Logic'!$J$7:$K$11,2,FALSE)&amp;" - Per "&amp;VLOOKUP($C$4,'Writing Logic'!$G$8:$H$14,2,FALSE),YES_Writing_ELA[#Headers],0)))="INS",'Writing Logic'!$B$7,IF(INDEX(_xlfn.VSTACK(YES_Writing_ELA[#Data],YES_Writing_FLA[#Data]),MATCH($A393,_xlfn.VSTACK(YES_Writing_ELA[Student Number],YES_Writing_FLA[Student Number]),0),MATCH(VLOOKUP(H$7,'Writing Logic'!$J$7:$K$11,2,FALSE)&amp;" - Per "&amp;VLOOKUP($C$4,'Writing Logic'!$G$8:$H$14,2,FALSE),YES_Writing_ELA[#Headers],0))=0,"",INDEX(_xlfn.VSTACK(YES_Writing_ELA[#Data],YES_Writing_FLA[#Data]),MATCH($A393,_xlfn.VSTACK(YES_Writing_ELA[Student Number],YES_Writing_FLA[Student Number]),0),MATCH(VLOOKUP(H$7,'Writing Logic'!$J$7:$K$11,2,FALSE)&amp;" - Per "&amp;VLOOKUP($C$4,'Writing Logic'!$G$8:$H$14,2,FALSE),YES_Writing_ELA[#Headers],0)))),"")</f>
        <v/>
      </c>
    </row>
    <row r="394" spans="1:8" x14ac:dyDescent="0.25">
      <c r="A394" s="137"/>
      <c r="B394" s="137" t="str">
        <f>IFERROR(INDEX(_xlfn.VSTACK(YES_Writing_ELA[#Data], YES_Writing_FLA[#Data]),MATCH($A394,_xlfn.VSTACK(YES_Writing_ELA[Student Number], YES_Writing_FLA[Student Number]),0),MATCH(B$7,YES_Writing_ELA[#Headers],0)),"")</f>
        <v/>
      </c>
      <c r="C394" s="137" t="str">
        <f>IFERROR(INDEX(_xlfn.VSTACK(YES_Writing_ELA[#Data], YES_Writing_FLA[#Data]),MATCH($A394,_xlfn.VSTACK(YES_Writing_ELA[Student Number], YES_Writing_FLA[Student Number]),0),MATCH(C$7,YES_Writing_ELA[#Headers],0)),"")</f>
        <v/>
      </c>
      <c r="D394" s="138" t="str">
        <f>IFERROR(IF(IF(INDEX(_xlfn.VSTACK(YES_Writing_ELA[#Data],YES_Writing_FLA[#Data]),MATCH($A394,_xlfn.VSTACK(YES_Writing_ELA[Student Number],YES_Writing_FLA[Student Number]),0),MATCH(VLOOKUP(D$7,'Writing Logic'!$J$7:$K$11,2,FALSE)&amp;" - Per "&amp;VLOOKUP($C$4,'Writing Logic'!$G$8:$H$14,2,FALSE),YES_Writing_ELA[#Headers],0))=0,"",INDEX(_xlfn.VSTACK(YES_Writing_ELA[#Data],YES_Writing_FLA[#Data]),MATCH($A394,_xlfn.VSTACK(YES_Writing_ELA[Student Number],YES_Writing_FLA[Student Number]),0),MATCH(VLOOKUP(D$7,'Writing Logic'!$J$7:$K$11,2,FALSE)&amp;" - Per "&amp;VLOOKUP($C$4,'Writing Logic'!$G$8:$H$14,2,FALSE),YES_Writing_ELA[#Headers],0)))="INS",'Writing Logic'!$B$7,IF(INDEX(_xlfn.VSTACK(YES_Writing_ELA[#Data],YES_Writing_FLA[#Data]),MATCH($A394,_xlfn.VSTACK(YES_Writing_ELA[Student Number],YES_Writing_FLA[Student Number]),0),MATCH(VLOOKUP(D$7,'Writing Logic'!$J$7:$K$11,2,FALSE)&amp;" - Per "&amp;VLOOKUP($C$4,'Writing Logic'!$G$8:$H$14,2,FALSE),YES_Writing_ELA[#Headers],0))=0,"",INDEX(_xlfn.VSTACK(YES_Writing_ELA[#Data],YES_Writing_FLA[#Data]),MATCH($A394,_xlfn.VSTACK(YES_Writing_ELA[Student Number],YES_Writing_FLA[Student Number]),0),MATCH(VLOOKUP(D$7,'Writing Logic'!$J$7:$K$11,2,FALSE)&amp;" - Per "&amp;VLOOKUP($C$4,'Writing Logic'!$G$8:$H$14,2,FALSE),YES_Writing_ELA[#Headers],0)))),"")</f>
        <v/>
      </c>
      <c r="E394" s="138" t="str">
        <f>IFERROR(IF(IF(INDEX(_xlfn.VSTACK(YES_Writing_ELA[#Data],YES_Writing_FLA[#Data]),MATCH($A394,_xlfn.VSTACK(YES_Writing_ELA[Student Number],YES_Writing_FLA[Student Number]),0),MATCH(VLOOKUP(E$7,'Writing Logic'!$J$7:$K$11,2,FALSE)&amp;" - Per "&amp;VLOOKUP($C$4,'Writing Logic'!$G$8:$H$14,2,FALSE),YES_Writing_ELA[#Headers],0))=0,"",INDEX(_xlfn.VSTACK(YES_Writing_ELA[#Data],YES_Writing_FLA[#Data]),MATCH($A394,_xlfn.VSTACK(YES_Writing_ELA[Student Number],YES_Writing_FLA[Student Number]),0),MATCH(VLOOKUP(E$7,'Writing Logic'!$J$7:$K$11,2,FALSE)&amp;" - Per "&amp;VLOOKUP($C$4,'Writing Logic'!$G$8:$H$14,2,FALSE),YES_Writing_ELA[#Headers],0)))="INS",'Writing Logic'!$B$7,IF(INDEX(_xlfn.VSTACK(YES_Writing_ELA[#Data],YES_Writing_FLA[#Data]),MATCH($A394,_xlfn.VSTACK(YES_Writing_ELA[Student Number],YES_Writing_FLA[Student Number]),0),MATCH(VLOOKUP(E$7,'Writing Logic'!$J$7:$K$11,2,FALSE)&amp;" - Per "&amp;VLOOKUP($C$4,'Writing Logic'!$G$8:$H$14,2,FALSE),YES_Writing_ELA[#Headers],0))=0,"",INDEX(_xlfn.VSTACK(YES_Writing_ELA[#Data],YES_Writing_FLA[#Data]),MATCH($A394,_xlfn.VSTACK(YES_Writing_ELA[Student Number],YES_Writing_FLA[Student Number]),0),MATCH(VLOOKUP(E$7,'Writing Logic'!$J$7:$K$11,2,FALSE)&amp;" - Per "&amp;VLOOKUP($C$4,'Writing Logic'!$G$8:$H$14,2,FALSE),YES_Writing_ELA[#Headers],0)))),"")</f>
        <v/>
      </c>
      <c r="F394" s="138" t="str">
        <f>IFERROR(IF(IF(INDEX(_xlfn.VSTACK(YES_Writing_ELA[#Data],YES_Writing_FLA[#Data]),MATCH($A394,_xlfn.VSTACK(YES_Writing_ELA[Student Number],YES_Writing_FLA[Student Number]),0),MATCH(VLOOKUP(F$7,'Writing Logic'!$J$7:$K$11,2,FALSE)&amp;" - Per "&amp;VLOOKUP($C$4,'Writing Logic'!$G$8:$H$14,2,FALSE),YES_Writing_ELA[#Headers],0))=0,"",INDEX(_xlfn.VSTACK(YES_Writing_ELA[#Data],YES_Writing_FLA[#Data]),MATCH($A394,_xlfn.VSTACK(YES_Writing_ELA[Student Number],YES_Writing_FLA[Student Number]),0),MATCH(VLOOKUP(F$7,'Writing Logic'!$J$7:$K$11,2,FALSE)&amp;" - Per "&amp;VLOOKUP($C$4,'Writing Logic'!$G$8:$H$14,2,FALSE),YES_Writing_ELA[#Headers],0)))="INS",'Writing Logic'!$B$7,IF(INDEX(_xlfn.VSTACK(YES_Writing_ELA[#Data],YES_Writing_FLA[#Data]),MATCH($A394,_xlfn.VSTACK(YES_Writing_ELA[Student Number],YES_Writing_FLA[Student Number]),0),MATCH(VLOOKUP(F$7,'Writing Logic'!$J$7:$K$11,2,FALSE)&amp;" - Per "&amp;VLOOKUP($C$4,'Writing Logic'!$G$8:$H$14,2,FALSE),YES_Writing_ELA[#Headers],0))=0,"",INDEX(_xlfn.VSTACK(YES_Writing_ELA[#Data],YES_Writing_FLA[#Data]),MATCH($A394,_xlfn.VSTACK(YES_Writing_ELA[Student Number],YES_Writing_FLA[Student Number]),0),MATCH(VLOOKUP(F$7,'Writing Logic'!$J$7:$K$11,2,FALSE)&amp;" - Per "&amp;VLOOKUP($C$4,'Writing Logic'!$G$8:$H$14,2,FALSE),YES_Writing_ELA[#Headers],0)))),"")</f>
        <v/>
      </c>
      <c r="G394" s="138" t="str">
        <f>IFERROR(IF(IF(INDEX(_xlfn.VSTACK(YES_Writing_ELA[#Data],YES_Writing_FLA[#Data]),MATCH($A394,_xlfn.VSTACK(YES_Writing_ELA[Student Number],YES_Writing_FLA[Student Number]),0),MATCH(VLOOKUP(G$7,'Writing Logic'!$J$7:$K$11,2,FALSE)&amp;" - Per "&amp;VLOOKUP($C$4,'Writing Logic'!$G$8:$H$14,2,FALSE),YES_Writing_ELA[#Headers],0))=0,"",INDEX(_xlfn.VSTACK(YES_Writing_ELA[#Data],YES_Writing_FLA[#Data]),MATCH($A394,_xlfn.VSTACK(YES_Writing_ELA[Student Number],YES_Writing_FLA[Student Number]),0),MATCH(VLOOKUP(G$7,'Writing Logic'!$J$7:$K$11,2,FALSE)&amp;" - Per "&amp;VLOOKUP($C$4,'Writing Logic'!$G$8:$H$14,2,FALSE),YES_Writing_ELA[#Headers],0)))="INS",'Writing Logic'!$B$7,IF(INDEX(_xlfn.VSTACK(YES_Writing_ELA[#Data],YES_Writing_FLA[#Data]),MATCH($A394,_xlfn.VSTACK(YES_Writing_ELA[Student Number],YES_Writing_FLA[Student Number]),0),MATCH(VLOOKUP(G$7,'Writing Logic'!$J$7:$K$11,2,FALSE)&amp;" - Per "&amp;VLOOKUP($C$4,'Writing Logic'!$G$8:$H$14,2,FALSE),YES_Writing_ELA[#Headers],0))=0,"",INDEX(_xlfn.VSTACK(YES_Writing_ELA[#Data],YES_Writing_FLA[#Data]),MATCH($A394,_xlfn.VSTACK(YES_Writing_ELA[Student Number],YES_Writing_FLA[Student Number]),0),MATCH(VLOOKUP(G$7,'Writing Logic'!$J$7:$K$11,2,FALSE)&amp;" - Per "&amp;VLOOKUP($C$4,'Writing Logic'!$G$8:$H$14,2,FALSE),YES_Writing_ELA[#Headers],0)))),"")</f>
        <v/>
      </c>
      <c r="H394" s="138" t="str">
        <f>IFERROR(IF(IF(INDEX(_xlfn.VSTACK(YES_Writing_ELA[#Data],YES_Writing_FLA[#Data]),MATCH($A394,_xlfn.VSTACK(YES_Writing_ELA[Student Number],YES_Writing_FLA[Student Number]),0),MATCH(VLOOKUP(H$7,'Writing Logic'!$J$7:$K$11,2,FALSE)&amp;" - Per "&amp;VLOOKUP($C$4,'Writing Logic'!$G$8:$H$14,2,FALSE),YES_Writing_ELA[#Headers],0))=0,"",INDEX(_xlfn.VSTACK(YES_Writing_ELA[#Data],YES_Writing_FLA[#Data]),MATCH($A394,_xlfn.VSTACK(YES_Writing_ELA[Student Number],YES_Writing_FLA[Student Number]),0),MATCH(VLOOKUP(H$7,'Writing Logic'!$J$7:$K$11,2,FALSE)&amp;" - Per "&amp;VLOOKUP($C$4,'Writing Logic'!$G$8:$H$14,2,FALSE),YES_Writing_ELA[#Headers],0)))="INS",'Writing Logic'!$B$7,IF(INDEX(_xlfn.VSTACK(YES_Writing_ELA[#Data],YES_Writing_FLA[#Data]),MATCH($A394,_xlfn.VSTACK(YES_Writing_ELA[Student Number],YES_Writing_FLA[Student Number]),0),MATCH(VLOOKUP(H$7,'Writing Logic'!$J$7:$K$11,2,FALSE)&amp;" - Per "&amp;VLOOKUP($C$4,'Writing Logic'!$G$8:$H$14,2,FALSE),YES_Writing_ELA[#Headers],0))=0,"",INDEX(_xlfn.VSTACK(YES_Writing_ELA[#Data],YES_Writing_FLA[#Data]),MATCH($A394,_xlfn.VSTACK(YES_Writing_ELA[Student Number],YES_Writing_FLA[Student Number]),0),MATCH(VLOOKUP(H$7,'Writing Logic'!$J$7:$K$11,2,FALSE)&amp;" - Per "&amp;VLOOKUP($C$4,'Writing Logic'!$G$8:$H$14,2,FALSE),YES_Writing_ELA[#Headers],0)))),"")</f>
        <v/>
      </c>
    </row>
    <row r="395" spans="1:8" x14ac:dyDescent="0.25">
      <c r="A395" s="137"/>
      <c r="B395" s="137" t="str">
        <f>IFERROR(INDEX(_xlfn.VSTACK(YES_Writing_ELA[#Data], YES_Writing_FLA[#Data]),MATCH($A395,_xlfn.VSTACK(YES_Writing_ELA[Student Number], YES_Writing_FLA[Student Number]),0),MATCH(B$7,YES_Writing_ELA[#Headers],0)),"")</f>
        <v/>
      </c>
      <c r="C395" s="137" t="str">
        <f>IFERROR(INDEX(_xlfn.VSTACK(YES_Writing_ELA[#Data], YES_Writing_FLA[#Data]),MATCH($A395,_xlfn.VSTACK(YES_Writing_ELA[Student Number], YES_Writing_FLA[Student Number]),0),MATCH(C$7,YES_Writing_ELA[#Headers],0)),"")</f>
        <v/>
      </c>
      <c r="D395" s="138" t="str">
        <f>IFERROR(IF(IF(INDEX(_xlfn.VSTACK(YES_Writing_ELA[#Data],YES_Writing_FLA[#Data]),MATCH($A395,_xlfn.VSTACK(YES_Writing_ELA[Student Number],YES_Writing_FLA[Student Number]),0),MATCH(VLOOKUP(D$7,'Writing Logic'!$J$7:$K$11,2,FALSE)&amp;" - Per "&amp;VLOOKUP($C$4,'Writing Logic'!$G$8:$H$14,2,FALSE),YES_Writing_ELA[#Headers],0))=0,"",INDEX(_xlfn.VSTACK(YES_Writing_ELA[#Data],YES_Writing_FLA[#Data]),MATCH($A395,_xlfn.VSTACK(YES_Writing_ELA[Student Number],YES_Writing_FLA[Student Number]),0),MATCH(VLOOKUP(D$7,'Writing Logic'!$J$7:$K$11,2,FALSE)&amp;" - Per "&amp;VLOOKUP($C$4,'Writing Logic'!$G$8:$H$14,2,FALSE),YES_Writing_ELA[#Headers],0)))="INS",'Writing Logic'!$B$7,IF(INDEX(_xlfn.VSTACK(YES_Writing_ELA[#Data],YES_Writing_FLA[#Data]),MATCH($A395,_xlfn.VSTACK(YES_Writing_ELA[Student Number],YES_Writing_FLA[Student Number]),0),MATCH(VLOOKUP(D$7,'Writing Logic'!$J$7:$K$11,2,FALSE)&amp;" - Per "&amp;VLOOKUP($C$4,'Writing Logic'!$G$8:$H$14,2,FALSE),YES_Writing_ELA[#Headers],0))=0,"",INDEX(_xlfn.VSTACK(YES_Writing_ELA[#Data],YES_Writing_FLA[#Data]),MATCH($A395,_xlfn.VSTACK(YES_Writing_ELA[Student Number],YES_Writing_FLA[Student Number]),0),MATCH(VLOOKUP(D$7,'Writing Logic'!$J$7:$K$11,2,FALSE)&amp;" - Per "&amp;VLOOKUP($C$4,'Writing Logic'!$G$8:$H$14,2,FALSE),YES_Writing_ELA[#Headers],0)))),"")</f>
        <v/>
      </c>
      <c r="E395" s="138" t="str">
        <f>IFERROR(IF(IF(INDEX(_xlfn.VSTACK(YES_Writing_ELA[#Data],YES_Writing_FLA[#Data]),MATCH($A395,_xlfn.VSTACK(YES_Writing_ELA[Student Number],YES_Writing_FLA[Student Number]),0),MATCH(VLOOKUP(E$7,'Writing Logic'!$J$7:$K$11,2,FALSE)&amp;" - Per "&amp;VLOOKUP($C$4,'Writing Logic'!$G$8:$H$14,2,FALSE),YES_Writing_ELA[#Headers],0))=0,"",INDEX(_xlfn.VSTACK(YES_Writing_ELA[#Data],YES_Writing_FLA[#Data]),MATCH($A395,_xlfn.VSTACK(YES_Writing_ELA[Student Number],YES_Writing_FLA[Student Number]),0),MATCH(VLOOKUP(E$7,'Writing Logic'!$J$7:$K$11,2,FALSE)&amp;" - Per "&amp;VLOOKUP($C$4,'Writing Logic'!$G$8:$H$14,2,FALSE),YES_Writing_ELA[#Headers],0)))="INS",'Writing Logic'!$B$7,IF(INDEX(_xlfn.VSTACK(YES_Writing_ELA[#Data],YES_Writing_FLA[#Data]),MATCH($A395,_xlfn.VSTACK(YES_Writing_ELA[Student Number],YES_Writing_FLA[Student Number]),0),MATCH(VLOOKUP(E$7,'Writing Logic'!$J$7:$K$11,2,FALSE)&amp;" - Per "&amp;VLOOKUP($C$4,'Writing Logic'!$G$8:$H$14,2,FALSE),YES_Writing_ELA[#Headers],0))=0,"",INDEX(_xlfn.VSTACK(YES_Writing_ELA[#Data],YES_Writing_FLA[#Data]),MATCH($A395,_xlfn.VSTACK(YES_Writing_ELA[Student Number],YES_Writing_FLA[Student Number]),0),MATCH(VLOOKUP(E$7,'Writing Logic'!$J$7:$K$11,2,FALSE)&amp;" - Per "&amp;VLOOKUP($C$4,'Writing Logic'!$G$8:$H$14,2,FALSE),YES_Writing_ELA[#Headers],0)))),"")</f>
        <v/>
      </c>
      <c r="F395" s="138" t="str">
        <f>IFERROR(IF(IF(INDEX(_xlfn.VSTACK(YES_Writing_ELA[#Data],YES_Writing_FLA[#Data]),MATCH($A395,_xlfn.VSTACK(YES_Writing_ELA[Student Number],YES_Writing_FLA[Student Number]),0),MATCH(VLOOKUP(F$7,'Writing Logic'!$J$7:$K$11,2,FALSE)&amp;" - Per "&amp;VLOOKUP($C$4,'Writing Logic'!$G$8:$H$14,2,FALSE),YES_Writing_ELA[#Headers],0))=0,"",INDEX(_xlfn.VSTACK(YES_Writing_ELA[#Data],YES_Writing_FLA[#Data]),MATCH($A395,_xlfn.VSTACK(YES_Writing_ELA[Student Number],YES_Writing_FLA[Student Number]),0),MATCH(VLOOKUP(F$7,'Writing Logic'!$J$7:$K$11,2,FALSE)&amp;" - Per "&amp;VLOOKUP($C$4,'Writing Logic'!$G$8:$H$14,2,FALSE),YES_Writing_ELA[#Headers],0)))="INS",'Writing Logic'!$B$7,IF(INDEX(_xlfn.VSTACK(YES_Writing_ELA[#Data],YES_Writing_FLA[#Data]),MATCH($A395,_xlfn.VSTACK(YES_Writing_ELA[Student Number],YES_Writing_FLA[Student Number]),0),MATCH(VLOOKUP(F$7,'Writing Logic'!$J$7:$K$11,2,FALSE)&amp;" - Per "&amp;VLOOKUP($C$4,'Writing Logic'!$G$8:$H$14,2,FALSE),YES_Writing_ELA[#Headers],0))=0,"",INDEX(_xlfn.VSTACK(YES_Writing_ELA[#Data],YES_Writing_FLA[#Data]),MATCH($A395,_xlfn.VSTACK(YES_Writing_ELA[Student Number],YES_Writing_FLA[Student Number]),0),MATCH(VLOOKUP(F$7,'Writing Logic'!$J$7:$K$11,2,FALSE)&amp;" - Per "&amp;VLOOKUP($C$4,'Writing Logic'!$G$8:$H$14,2,FALSE),YES_Writing_ELA[#Headers],0)))),"")</f>
        <v/>
      </c>
      <c r="G395" s="138" t="str">
        <f>IFERROR(IF(IF(INDEX(_xlfn.VSTACK(YES_Writing_ELA[#Data],YES_Writing_FLA[#Data]),MATCH($A395,_xlfn.VSTACK(YES_Writing_ELA[Student Number],YES_Writing_FLA[Student Number]),0),MATCH(VLOOKUP(G$7,'Writing Logic'!$J$7:$K$11,2,FALSE)&amp;" - Per "&amp;VLOOKUP($C$4,'Writing Logic'!$G$8:$H$14,2,FALSE),YES_Writing_ELA[#Headers],0))=0,"",INDEX(_xlfn.VSTACK(YES_Writing_ELA[#Data],YES_Writing_FLA[#Data]),MATCH($A395,_xlfn.VSTACK(YES_Writing_ELA[Student Number],YES_Writing_FLA[Student Number]),0),MATCH(VLOOKUP(G$7,'Writing Logic'!$J$7:$K$11,2,FALSE)&amp;" - Per "&amp;VLOOKUP($C$4,'Writing Logic'!$G$8:$H$14,2,FALSE),YES_Writing_ELA[#Headers],0)))="INS",'Writing Logic'!$B$7,IF(INDEX(_xlfn.VSTACK(YES_Writing_ELA[#Data],YES_Writing_FLA[#Data]),MATCH($A395,_xlfn.VSTACK(YES_Writing_ELA[Student Number],YES_Writing_FLA[Student Number]),0),MATCH(VLOOKUP(G$7,'Writing Logic'!$J$7:$K$11,2,FALSE)&amp;" - Per "&amp;VLOOKUP($C$4,'Writing Logic'!$G$8:$H$14,2,FALSE),YES_Writing_ELA[#Headers],0))=0,"",INDEX(_xlfn.VSTACK(YES_Writing_ELA[#Data],YES_Writing_FLA[#Data]),MATCH($A395,_xlfn.VSTACK(YES_Writing_ELA[Student Number],YES_Writing_FLA[Student Number]),0),MATCH(VLOOKUP(G$7,'Writing Logic'!$J$7:$K$11,2,FALSE)&amp;" - Per "&amp;VLOOKUP($C$4,'Writing Logic'!$G$8:$H$14,2,FALSE),YES_Writing_ELA[#Headers],0)))),"")</f>
        <v/>
      </c>
      <c r="H395" s="138" t="str">
        <f>IFERROR(IF(IF(INDEX(_xlfn.VSTACK(YES_Writing_ELA[#Data],YES_Writing_FLA[#Data]),MATCH($A395,_xlfn.VSTACK(YES_Writing_ELA[Student Number],YES_Writing_FLA[Student Number]),0),MATCH(VLOOKUP(H$7,'Writing Logic'!$J$7:$K$11,2,FALSE)&amp;" - Per "&amp;VLOOKUP($C$4,'Writing Logic'!$G$8:$H$14,2,FALSE),YES_Writing_ELA[#Headers],0))=0,"",INDEX(_xlfn.VSTACK(YES_Writing_ELA[#Data],YES_Writing_FLA[#Data]),MATCH($A395,_xlfn.VSTACK(YES_Writing_ELA[Student Number],YES_Writing_FLA[Student Number]),0),MATCH(VLOOKUP(H$7,'Writing Logic'!$J$7:$K$11,2,FALSE)&amp;" - Per "&amp;VLOOKUP($C$4,'Writing Logic'!$G$8:$H$14,2,FALSE),YES_Writing_ELA[#Headers],0)))="INS",'Writing Logic'!$B$7,IF(INDEX(_xlfn.VSTACK(YES_Writing_ELA[#Data],YES_Writing_FLA[#Data]),MATCH($A395,_xlfn.VSTACK(YES_Writing_ELA[Student Number],YES_Writing_FLA[Student Number]),0),MATCH(VLOOKUP(H$7,'Writing Logic'!$J$7:$K$11,2,FALSE)&amp;" - Per "&amp;VLOOKUP($C$4,'Writing Logic'!$G$8:$H$14,2,FALSE),YES_Writing_ELA[#Headers],0))=0,"",INDEX(_xlfn.VSTACK(YES_Writing_ELA[#Data],YES_Writing_FLA[#Data]),MATCH($A395,_xlfn.VSTACK(YES_Writing_ELA[Student Number],YES_Writing_FLA[Student Number]),0),MATCH(VLOOKUP(H$7,'Writing Logic'!$J$7:$K$11,2,FALSE)&amp;" - Per "&amp;VLOOKUP($C$4,'Writing Logic'!$G$8:$H$14,2,FALSE),YES_Writing_ELA[#Headers],0)))),"")</f>
        <v/>
      </c>
    </row>
    <row r="396" spans="1:8" x14ac:dyDescent="0.25">
      <c r="A396" s="137"/>
      <c r="B396" s="137" t="str">
        <f>IFERROR(INDEX(_xlfn.VSTACK(YES_Writing_ELA[#Data], YES_Writing_FLA[#Data]),MATCH($A396,_xlfn.VSTACK(YES_Writing_ELA[Student Number], YES_Writing_FLA[Student Number]),0),MATCH(B$7,YES_Writing_ELA[#Headers],0)),"")</f>
        <v/>
      </c>
      <c r="C396" s="137" t="str">
        <f>IFERROR(INDEX(_xlfn.VSTACK(YES_Writing_ELA[#Data], YES_Writing_FLA[#Data]),MATCH($A396,_xlfn.VSTACK(YES_Writing_ELA[Student Number], YES_Writing_FLA[Student Number]),0),MATCH(C$7,YES_Writing_ELA[#Headers],0)),"")</f>
        <v/>
      </c>
      <c r="D396" s="138" t="str">
        <f>IFERROR(IF(IF(INDEX(_xlfn.VSTACK(YES_Writing_ELA[#Data],YES_Writing_FLA[#Data]),MATCH($A396,_xlfn.VSTACK(YES_Writing_ELA[Student Number],YES_Writing_FLA[Student Number]),0),MATCH(VLOOKUP(D$7,'Writing Logic'!$J$7:$K$11,2,FALSE)&amp;" - Per "&amp;VLOOKUP($C$4,'Writing Logic'!$G$8:$H$14,2,FALSE),YES_Writing_ELA[#Headers],0))=0,"",INDEX(_xlfn.VSTACK(YES_Writing_ELA[#Data],YES_Writing_FLA[#Data]),MATCH($A396,_xlfn.VSTACK(YES_Writing_ELA[Student Number],YES_Writing_FLA[Student Number]),0),MATCH(VLOOKUP(D$7,'Writing Logic'!$J$7:$K$11,2,FALSE)&amp;" - Per "&amp;VLOOKUP($C$4,'Writing Logic'!$G$8:$H$14,2,FALSE),YES_Writing_ELA[#Headers],0)))="INS",'Writing Logic'!$B$7,IF(INDEX(_xlfn.VSTACK(YES_Writing_ELA[#Data],YES_Writing_FLA[#Data]),MATCH($A396,_xlfn.VSTACK(YES_Writing_ELA[Student Number],YES_Writing_FLA[Student Number]),0),MATCH(VLOOKUP(D$7,'Writing Logic'!$J$7:$K$11,2,FALSE)&amp;" - Per "&amp;VLOOKUP($C$4,'Writing Logic'!$G$8:$H$14,2,FALSE),YES_Writing_ELA[#Headers],0))=0,"",INDEX(_xlfn.VSTACK(YES_Writing_ELA[#Data],YES_Writing_FLA[#Data]),MATCH($A396,_xlfn.VSTACK(YES_Writing_ELA[Student Number],YES_Writing_FLA[Student Number]),0),MATCH(VLOOKUP(D$7,'Writing Logic'!$J$7:$K$11,2,FALSE)&amp;" - Per "&amp;VLOOKUP($C$4,'Writing Logic'!$G$8:$H$14,2,FALSE),YES_Writing_ELA[#Headers],0)))),"")</f>
        <v/>
      </c>
      <c r="E396" s="138" t="str">
        <f>IFERROR(IF(IF(INDEX(_xlfn.VSTACK(YES_Writing_ELA[#Data],YES_Writing_FLA[#Data]),MATCH($A396,_xlfn.VSTACK(YES_Writing_ELA[Student Number],YES_Writing_FLA[Student Number]),0),MATCH(VLOOKUP(E$7,'Writing Logic'!$J$7:$K$11,2,FALSE)&amp;" - Per "&amp;VLOOKUP($C$4,'Writing Logic'!$G$8:$H$14,2,FALSE),YES_Writing_ELA[#Headers],0))=0,"",INDEX(_xlfn.VSTACK(YES_Writing_ELA[#Data],YES_Writing_FLA[#Data]),MATCH($A396,_xlfn.VSTACK(YES_Writing_ELA[Student Number],YES_Writing_FLA[Student Number]),0),MATCH(VLOOKUP(E$7,'Writing Logic'!$J$7:$K$11,2,FALSE)&amp;" - Per "&amp;VLOOKUP($C$4,'Writing Logic'!$G$8:$H$14,2,FALSE),YES_Writing_ELA[#Headers],0)))="INS",'Writing Logic'!$B$7,IF(INDEX(_xlfn.VSTACK(YES_Writing_ELA[#Data],YES_Writing_FLA[#Data]),MATCH($A396,_xlfn.VSTACK(YES_Writing_ELA[Student Number],YES_Writing_FLA[Student Number]),0),MATCH(VLOOKUP(E$7,'Writing Logic'!$J$7:$K$11,2,FALSE)&amp;" - Per "&amp;VLOOKUP($C$4,'Writing Logic'!$G$8:$H$14,2,FALSE),YES_Writing_ELA[#Headers],0))=0,"",INDEX(_xlfn.VSTACK(YES_Writing_ELA[#Data],YES_Writing_FLA[#Data]),MATCH($A396,_xlfn.VSTACK(YES_Writing_ELA[Student Number],YES_Writing_FLA[Student Number]),0),MATCH(VLOOKUP(E$7,'Writing Logic'!$J$7:$K$11,2,FALSE)&amp;" - Per "&amp;VLOOKUP($C$4,'Writing Logic'!$G$8:$H$14,2,FALSE),YES_Writing_ELA[#Headers],0)))),"")</f>
        <v/>
      </c>
      <c r="F396" s="138" t="str">
        <f>IFERROR(IF(IF(INDEX(_xlfn.VSTACK(YES_Writing_ELA[#Data],YES_Writing_FLA[#Data]),MATCH($A396,_xlfn.VSTACK(YES_Writing_ELA[Student Number],YES_Writing_FLA[Student Number]),0),MATCH(VLOOKUP(F$7,'Writing Logic'!$J$7:$K$11,2,FALSE)&amp;" - Per "&amp;VLOOKUP($C$4,'Writing Logic'!$G$8:$H$14,2,FALSE),YES_Writing_ELA[#Headers],0))=0,"",INDEX(_xlfn.VSTACK(YES_Writing_ELA[#Data],YES_Writing_FLA[#Data]),MATCH($A396,_xlfn.VSTACK(YES_Writing_ELA[Student Number],YES_Writing_FLA[Student Number]),0),MATCH(VLOOKUP(F$7,'Writing Logic'!$J$7:$K$11,2,FALSE)&amp;" - Per "&amp;VLOOKUP($C$4,'Writing Logic'!$G$8:$H$14,2,FALSE),YES_Writing_ELA[#Headers],0)))="INS",'Writing Logic'!$B$7,IF(INDEX(_xlfn.VSTACK(YES_Writing_ELA[#Data],YES_Writing_FLA[#Data]),MATCH($A396,_xlfn.VSTACK(YES_Writing_ELA[Student Number],YES_Writing_FLA[Student Number]),0),MATCH(VLOOKUP(F$7,'Writing Logic'!$J$7:$K$11,2,FALSE)&amp;" - Per "&amp;VLOOKUP($C$4,'Writing Logic'!$G$8:$H$14,2,FALSE),YES_Writing_ELA[#Headers],0))=0,"",INDEX(_xlfn.VSTACK(YES_Writing_ELA[#Data],YES_Writing_FLA[#Data]),MATCH($A396,_xlfn.VSTACK(YES_Writing_ELA[Student Number],YES_Writing_FLA[Student Number]),0),MATCH(VLOOKUP(F$7,'Writing Logic'!$J$7:$K$11,2,FALSE)&amp;" - Per "&amp;VLOOKUP($C$4,'Writing Logic'!$G$8:$H$14,2,FALSE),YES_Writing_ELA[#Headers],0)))),"")</f>
        <v/>
      </c>
      <c r="G396" s="138" t="str">
        <f>IFERROR(IF(IF(INDEX(_xlfn.VSTACK(YES_Writing_ELA[#Data],YES_Writing_FLA[#Data]),MATCH($A396,_xlfn.VSTACK(YES_Writing_ELA[Student Number],YES_Writing_FLA[Student Number]),0),MATCH(VLOOKUP(G$7,'Writing Logic'!$J$7:$K$11,2,FALSE)&amp;" - Per "&amp;VLOOKUP($C$4,'Writing Logic'!$G$8:$H$14,2,FALSE),YES_Writing_ELA[#Headers],0))=0,"",INDEX(_xlfn.VSTACK(YES_Writing_ELA[#Data],YES_Writing_FLA[#Data]),MATCH($A396,_xlfn.VSTACK(YES_Writing_ELA[Student Number],YES_Writing_FLA[Student Number]),0),MATCH(VLOOKUP(G$7,'Writing Logic'!$J$7:$K$11,2,FALSE)&amp;" - Per "&amp;VLOOKUP($C$4,'Writing Logic'!$G$8:$H$14,2,FALSE),YES_Writing_ELA[#Headers],0)))="INS",'Writing Logic'!$B$7,IF(INDEX(_xlfn.VSTACK(YES_Writing_ELA[#Data],YES_Writing_FLA[#Data]),MATCH($A396,_xlfn.VSTACK(YES_Writing_ELA[Student Number],YES_Writing_FLA[Student Number]),0),MATCH(VLOOKUP(G$7,'Writing Logic'!$J$7:$K$11,2,FALSE)&amp;" - Per "&amp;VLOOKUP($C$4,'Writing Logic'!$G$8:$H$14,2,FALSE),YES_Writing_ELA[#Headers],0))=0,"",INDEX(_xlfn.VSTACK(YES_Writing_ELA[#Data],YES_Writing_FLA[#Data]),MATCH($A396,_xlfn.VSTACK(YES_Writing_ELA[Student Number],YES_Writing_FLA[Student Number]),0),MATCH(VLOOKUP(G$7,'Writing Logic'!$J$7:$K$11,2,FALSE)&amp;" - Per "&amp;VLOOKUP($C$4,'Writing Logic'!$G$8:$H$14,2,FALSE),YES_Writing_ELA[#Headers],0)))),"")</f>
        <v/>
      </c>
      <c r="H396" s="138" t="str">
        <f>IFERROR(IF(IF(INDEX(_xlfn.VSTACK(YES_Writing_ELA[#Data],YES_Writing_FLA[#Data]),MATCH($A396,_xlfn.VSTACK(YES_Writing_ELA[Student Number],YES_Writing_FLA[Student Number]),0),MATCH(VLOOKUP(H$7,'Writing Logic'!$J$7:$K$11,2,FALSE)&amp;" - Per "&amp;VLOOKUP($C$4,'Writing Logic'!$G$8:$H$14,2,FALSE),YES_Writing_ELA[#Headers],0))=0,"",INDEX(_xlfn.VSTACK(YES_Writing_ELA[#Data],YES_Writing_FLA[#Data]),MATCH($A396,_xlfn.VSTACK(YES_Writing_ELA[Student Number],YES_Writing_FLA[Student Number]),0),MATCH(VLOOKUP(H$7,'Writing Logic'!$J$7:$K$11,2,FALSE)&amp;" - Per "&amp;VLOOKUP($C$4,'Writing Logic'!$G$8:$H$14,2,FALSE),YES_Writing_ELA[#Headers],0)))="INS",'Writing Logic'!$B$7,IF(INDEX(_xlfn.VSTACK(YES_Writing_ELA[#Data],YES_Writing_FLA[#Data]),MATCH($A396,_xlfn.VSTACK(YES_Writing_ELA[Student Number],YES_Writing_FLA[Student Number]),0),MATCH(VLOOKUP(H$7,'Writing Logic'!$J$7:$K$11,2,FALSE)&amp;" - Per "&amp;VLOOKUP($C$4,'Writing Logic'!$G$8:$H$14,2,FALSE),YES_Writing_ELA[#Headers],0))=0,"",INDEX(_xlfn.VSTACK(YES_Writing_ELA[#Data],YES_Writing_FLA[#Data]),MATCH($A396,_xlfn.VSTACK(YES_Writing_ELA[Student Number],YES_Writing_FLA[Student Number]),0),MATCH(VLOOKUP(H$7,'Writing Logic'!$J$7:$K$11,2,FALSE)&amp;" - Per "&amp;VLOOKUP($C$4,'Writing Logic'!$G$8:$H$14,2,FALSE),YES_Writing_ELA[#Headers],0)))),"")</f>
        <v/>
      </c>
    </row>
    <row r="397" spans="1:8" x14ac:dyDescent="0.25">
      <c r="A397" s="137"/>
      <c r="B397" s="137" t="str">
        <f>IFERROR(INDEX(_xlfn.VSTACK(YES_Writing_ELA[#Data], YES_Writing_FLA[#Data]),MATCH($A397,_xlfn.VSTACK(YES_Writing_ELA[Student Number], YES_Writing_FLA[Student Number]),0),MATCH(B$7,YES_Writing_ELA[#Headers],0)),"")</f>
        <v/>
      </c>
      <c r="C397" s="137" t="str">
        <f>IFERROR(INDEX(_xlfn.VSTACK(YES_Writing_ELA[#Data], YES_Writing_FLA[#Data]),MATCH($A397,_xlfn.VSTACK(YES_Writing_ELA[Student Number], YES_Writing_FLA[Student Number]),0),MATCH(C$7,YES_Writing_ELA[#Headers],0)),"")</f>
        <v/>
      </c>
      <c r="D397" s="138" t="str">
        <f>IFERROR(IF(IF(INDEX(_xlfn.VSTACK(YES_Writing_ELA[#Data],YES_Writing_FLA[#Data]),MATCH($A397,_xlfn.VSTACK(YES_Writing_ELA[Student Number],YES_Writing_FLA[Student Number]),0),MATCH(VLOOKUP(D$7,'Writing Logic'!$J$7:$K$11,2,FALSE)&amp;" - Per "&amp;VLOOKUP($C$4,'Writing Logic'!$G$8:$H$14,2,FALSE),YES_Writing_ELA[#Headers],0))=0,"",INDEX(_xlfn.VSTACK(YES_Writing_ELA[#Data],YES_Writing_FLA[#Data]),MATCH($A397,_xlfn.VSTACK(YES_Writing_ELA[Student Number],YES_Writing_FLA[Student Number]),0),MATCH(VLOOKUP(D$7,'Writing Logic'!$J$7:$K$11,2,FALSE)&amp;" - Per "&amp;VLOOKUP($C$4,'Writing Logic'!$G$8:$H$14,2,FALSE),YES_Writing_ELA[#Headers],0)))="INS",'Writing Logic'!$B$7,IF(INDEX(_xlfn.VSTACK(YES_Writing_ELA[#Data],YES_Writing_FLA[#Data]),MATCH($A397,_xlfn.VSTACK(YES_Writing_ELA[Student Number],YES_Writing_FLA[Student Number]),0),MATCH(VLOOKUP(D$7,'Writing Logic'!$J$7:$K$11,2,FALSE)&amp;" - Per "&amp;VLOOKUP($C$4,'Writing Logic'!$G$8:$H$14,2,FALSE),YES_Writing_ELA[#Headers],0))=0,"",INDEX(_xlfn.VSTACK(YES_Writing_ELA[#Data],YES_Writing_FLA[#Data]),MATCH($A397,_xlfn.VSTACK(YES_Writing_ELA[Student Number],YES_Writing_FLA[Student Number]),0),MATCH(VLOOKUP(D$7,'Writing Logic'!$J$7:$K$11,2,FALSE)&amp;" - Per "&amp;VLOOKUP($C$4,'Writing Logic'!$G$8:$H$14,2,FALSE),YES_Writing_ELA[#Headers],0)))),"")</f>
        <v/>
      </c>
      <c r="E397" s="138" t="str">
        <f>IFERROR(IF(IF(INDEX(_xlfn.VSTACK(YES_Writing_ELA[#Data],YES_Writing_FLA[#Data]),MATCH($A397,_xlfn.VSTACK(YES_Writing_ELA[Student Number],YES_Writing_FLA[Student Number]),0),MATCH(VLOOKUP(E$7,'Writing Logic'!$J$7:$K$11,2,FALSE)&amp;" - Per "&amp;VLOOKUP($C$4,'Writing Logic'!$G$8:$H$14,2,FALSE),YES_Writing_ELA[#Headers],0))=0,"",INDEX(_xlfn.VSTACK(YES_Writing_ELA[#Data],YES_Writing_FLA[#Data]),MATCH($A397,_xlfn.VSTACK(YES_Writing_ELA[Student Number],YES_Writing_FLA[Student Number]),0),MATCH(VLOOKUP(E$7,'Writing Logic'!$J$7:$K$11,2,FALSE)&amp;" - Per "&amp;VLOOKUP($C$4,'Writing Logic'!$G$8:$H$14,2,FALSE),YES_Writing_ELA[#Headers],0)))="INS",'Writing Logic'!$B$7,IF(INDEX(_xlfn.VSTACK(YES_Writing_ELA[#Data],YES_Writing_FLA[#Data]),MATCH($A397,_xlfn.VSTACK(YES_Writing_ELA[Student Number],YES_Writing_FLA[Student Number]),0),MATCH(VLOOKUP(E$7,'Writing Logic'!$J$7:$K$11,2,FALSE)&amp;" - Per "&amp;VLOOKUP($C$4,'Writing Logic'!$G$8:$H$14,2,FALSE),YES_Writing_ELA[#Headers],0))=0,"",INDEX(_xlfn.VSTACK(YES_Writing_ELA[#Data],YES_Writing_FLA[#Data]),MATCH($A397,_xlfn.VSTACK(YES_Writing_ELA[Student Number],YES_Writing_FLA[Student Number]),0),MATCH(VLOOKUP(E$7,'Writing Logic'!$J$7:$K$11,2,FALSE)&amp;" - Per "&amp;VLOOKUP($C$4,'Writing Logic'!$G$8:$H$14,2,FALSE),YES_Writing_ELA[#Headers],0)))),"")</f>
        <v/>
      </c>
      <c r="F397" s="138" t="str">
        <f>IFERROR(IF(IF(INDEX(_xlfn.VSTACK(YES_Writing_ELA[#Data],YES_Writing_FLA[#Data]),MATCH($A397,_xlfn.VSTACK(YES_Writing_ELA[Student Number],YES_Writing_FLA[Student Number]),0),MATCH(VLOOKUP(F$7,'Writing Logic'!$J$7:$K$11,2,FALSE)&amp;" - Per "&amp;VLOOKUP($C$4,'Writing Logic'!$G$8:$H$14,2,FALSE),YES_Writing_ELA[#Headers],0))=0,"",INDEX(_xlfn.VSTACK(YES_Writing_ELA[#Data],YES_Writing_FLA[#Data]),MATCH($A397,_xlfn.VSTACK(YES_Writing_ELA[Student Number],YES_Writing_FLA[Student Number]),0),MATCH(VLOOKUP(F$7,'Writing Logic'!$J$7:$K$11,2,FALSE)&amp;" - Per "&amp;VLOOKUP($C$4,'Writing Logic'!$G$8:$H$14,2,FALSE),YES_Writing_ELA[#Headers],0)))="INS",'Writing Logic'!$B$7,IF(INDEX(_xlfn.VSTACK(YES_Writing_ELA[#Data],YES_Writing_FLA[#Data]),MATCH($A397,_xlfn.VSTACK(YES_Writing_ELA[Student Number],YES_Writing_FLA[Student Number]),0),MATCH(VLOOKUP(F$7,'Writing Logic'!$J$7:$K$11,2,FALSE)&amp;" - Per "&amp;VLOOKUP($C$4,'Writing Logic'!$G$8:$H$14,2,FALSE),YES_Writing_ELA[#Headers],0))=0,"",INDEX(_xlfn.VSTACK(YES_Writing_ELA[#Data],YES_Writing_FLA[#Data]),MATCH($A397,_xlfn.VSTACK(YES_Writing_ELA[Student Number],YES_Writing_FLA[Student Number]),0),MATCH(VLOOKUP(F$7,'Writing Logic'!$J$7:$K$11,2,FALSE)&amp;" - Per "&amp;VLOOKUP($C$4,'Writing Logic'!$G$8:$H$14,2,FALSE),YES_Writing_ELA[#Headers],0)))),"")</f>
        <v/>
      </c>
      <c r="G397" s="138" t="str">
        <f>IFERROR(IF(IF(INDEX(_xlfn.VSTACK(YES_Writing_ELA[#Data],YES_Writing_FLA[#Data]),MATCH($A397,_xlfn.VSTACK(YES_Writing_ELA[Student Number],YES_Writing_FLA[Student Number]),0),MATCH(VLOOKUP(G$7,'Writing Logic'!$J$7:$K$11,2,FALSE)&amp;" - Per "&amp;VLOOKUP($C$4,'Writing Logic'!$G$8:$H$14,2,FALSE),YES_Writing_ELA[#Headers],0))=0,"",INDEX(_xlfn.VSTACK(YES_Writing_ELA[#Data],YES_Writing_FLA[#Data]),MATCH($A397,_xlfn.VSTACK(YES_Writing_ELA[Student Number],YES_Writing_FLA[Student Number]),0),MATCH(VLOOKUP(G$7,'Writing Logic'!$J$7:$K$11,2,FALSE)&amp;" - Per "&amp;VLOOKUP($C$4,'Writing Logic'!$G$8:$H$14,2,FALSE),YES_Writing_ELA[#Headers],0)))="INS",'Writing Logic'!$B$7,IF(INDEX(_xlfn.VSTACK(YES_Writing_ELA[#Data],YES_Writing_FLA[#Data]),MATCH($A397,_xlfn.VSTACK(YES_Writing_ELA[Student Number],YES_Writing_FLA[Student Number]),0),MATCH(VLOOKUP(G$7,'Writing Logic'!$J$7:$K$11,2,FALSE)&amp;" - Per "&amp;VLOOKUP($C$4,'Writing Logic'!$G$8:$H$14,2,FALSE),YES_Writing_ELA[#Headers],0))=0,"",INDEX(_xlfn.VSTACK(YES_Writing_ELA[#Data],YES_Writing_FLA[#Data]),MATCH($A397,_xlfn.VSTACK(YES_Writing_ELA[Student Number],YES_Writing_FLA[Student Number]),0),MATCH(VLOOKUP(G$7,'Writing Logic'!$J$7:$K$11,2,FALSE)&amp;" - Per "&amp;VLOOKUP($C$4,'Writing Logic'!$G$8:$H$14,2,FALSE),YES_Writing_ELA[#Headers],0)))),"")</f>
        <v/>
      </c>
      <c r="H397" s="138" t="str">
        <f>IFERROR(IF(IF(INDEX(_xlfn.VSTACK(YES_Writing_ELA[#Data],YES_Writing_FLA[#Data]),MATCH($A397,_xlfn.VSTACK(YES_Writing_ELA[Student Number],YES_Writing_FLA[Student Number]),0),MATCH(VLOOKUP(H$7,'Writing Logic'!$J$7:$K$11,2,FALSE)&amp;" - Per "&amp;VLOOKUP($C$4,'Writing Logic'!$G$8:$H$14,2,FALSE),YES_Writing_ELA[#Headers],0))=0,"",INDEX(_xlfn.VSTACK(YES_Writing_ELA[#Data],YES_Writing_FLA[#Data]),MATCH($A397,_xlfn.VSTACK(YES_Writing_ELA[Student Number],YES_Writing_FLA[Student Number]),0),MATCH(VLOOKUP(H$7,'Writing Logic'!$J$7:$K$11,2,FALSE)&amp;" - Per "&amp;VLOOKUP($C$4,'Writing Logic'!$G$8:$H$14,2,FALSE),YES_Writing_ELA[#Headers],0)))="INS",'Writing Logic'!$B$7,IF(INDEX(_xlfn.VSTACK(YES_Writing_ELA[#Data],YES_Writing_FLA[#Data]),MATCH($A397,_xlfn.VSTACK(YES_Writing_ELA[Student Number],YES_Writing_FLA[Student Number]),0),MATCH(VLOOKUP(H$7,'Writing Logic'!$J$7:$K$11,2,FALSE)&amp;" - Per "&amp;VLOOKUP($C$4,'Writing Logic'!$G$8:$H$14,2,FALSE),YES_Writing_ELA[#Headers],0))=0,"",INDEX(_xlfn.VSTACK(YES_Writing_ELA[#Data],YES_Writing_FLA[#Data]),MATCH($A397,_xlfn.VSTACK(YES_Writing_ELA[Student Number],YES_Writing_FLA[Student Number]),0),MATCH(VLOOKUP(H$7,'Writing Logic'!$J$7:$K$11,2,FALSE)&amp;" - Per "&amp;VLOOKUP($C$4,'Writing Logic'!$G$8:$H$14,2,FALSE),YES_Writing_ELA[#Headers],0)))),"")</f>
        <v/>
      </c>
    </row>
    <row r="398" spans="1:8" x14ac:dyDescent="0.25">
      <c r="A398" s="137"/>
      <c r="B398" s="137" t="str">
        <f>IFERROR(INDEX(_xlfn.VSTACK(YES_Writing_ELA[#Data], YES_Writing_FLA[#Data]),MATCH($A398,_xlfn.VSTACK(YES_Writing_ELA[Student Number], YES_Writing_FLA[Student Number]),0),MATCH(B$7,YES_Writing_ELA[#Headers],0)),"")</f>
        <v/>
      </c>
      <c r="C398" s="137" t="str">
        <f>IFERROR(INDEX(_xlfn.VSTACK(YES_Writing_ELA[#Data], YES_Writing_FLA[#Data]),MATCH($A398,_xlfn.VSTACK(YES_Writing_ELA[Student Number], YES_Writing_FLA[Student Number]),0),MATCH(C$7,YES_Writing_ELA[#Headers],0)),"")</f>
        <v/>
      </c>
      <c r="D398" s="138" t="str">
        <f>IFERROR(IF(IF(INDEX(_xlfn.VSTACK(YES_Writing_ELA[#Data],YES_Writing_FLA[#Data]),MATCH($A398,_xlfn.VSTACK(YES_Writing_ELA[Student Number],YES_Writing_FLA[Student Number]),0),MATCH(VLOOKUP(D$7,'Writing Logic'!$J$7:$K$11,2,FALSE)&amp;" - Per "&amp;VLOOKUP($C$4,'Writing Logic'!$G$8:$H$14,2,FALSE),YES_Writing_ELA[#Headers],0))=0,"",INDEX(_xlfn.VSTACK(YES_Writing_ELA[#Data],YES_Writing_FLA[#Data]),MATCH($A398,_xlfn.VSTACK(YES_Writing_ELA[Student Number],YES_Writing_FLA[Student Number]),0),MATCH(VLOOKUP(D$7,'Writing Logic'!$J$7:$K$11,2,FALSE)&amp;" - Per "&amp;VLOOKUP($C$4,'Writing Logic'!$G$8:$H$14,2,FALSE),YES_Writing_ELA[#Headers],0)))="INS",'Writing Logic'!$B$7,IF(INDEX(_xlfn.VSTACK(YES_Writing_ELA[#Data],YES_Writing_FLA[#Data]),MATCH($A398,_xlfn.VSTACK(YES_Writing_ELA[Student Number],YES_Writing_FLA[Student Number]),0),MATCH(VLOOKUP(D$7,'Writing Logic'!$J$7:$K$11,2,FALSE)&amp;" - Per "&amp;VLOOKUP($C$4,'Writing Logic'!$G$8:$H$14,2,FALSE),YES_Writing_ELA[#Headers],0))=0,"",INDEX(_xlfn.VSTACK(YES_Writing_ELA[#Data],YES_Writing_FLA[#Data]),MATCH($A398,_xlfn.VSTACK(YES_Writing_ELA[Student Number],YES_Writing_FLA[Student Number]),0),MATCH(VLOOKUP(D$7,'Writing Logic'!$J$7:$K$11,2,FALSE)&amp;" - Per "&amp;VLOOKUP($C$4,'Writing Logic'!$G$8:$H$14,2,FALSE),YES_Writing_ELA[#Headers],0)))),"")</f>
        <v/>
      </c>
      <c r="E398" s="138" t="str">
        <f>IFERROR(IF(IF(INDEX(_xlfn.VSTACK(YES_Writing_ELA[#Data],YES_Writing_FLA[#Data]),MATCH($A398,_xlfn.VSTACK(YES_Writing_ELA[Student Number],YES_Writing_FLA[Student Number]),0),MATCH(VLOOKUP(E$7,'Writing Logic'!$J$7:$K$11,2,FALSE)&amp;" - Per "&amp;VLOOKUP($C$4,'Writing Logic'!$G$8:$H$14,2,FALSE),YES_Writing_ELA[#Headers],0))=0,"",INDEX(_xlfn.VSTACK(YES_Writing_ELA[#Data],YES_Writing_FLA[#Data]),MATCH($A398,_xlfn.VSTACK(YES_Writing_ELA[Student Number],YES_Writing_FLA[Student Number]),0),MATCH(VLOOKUP(E$7,'Writing Logic'!$J$7:$K$11,2,FALSE)&amp;" - Per "&amp;VLOOKUP($C$4,'Writing Logic'!$G$8:$H$14,2,FALSE),YES_Writing_ELA[#Headers],0)))="INS",'Writing Logic'!$B$7,IF(INDEX(_xlfn.VSTACK(YES_Writing_ELA[#Data],YES_Writing_FLA[#Data]),MATCH($A398,_xlfn.VSTACK(YES_Writing_ELA[Student Number],YES_Writing_FLA[Student Number]),0),MATCH(VLOOKUP(E$7,'Writing Logic'!$J$7:$K$11,2,FALSE)&amp;" - Per "&amp;VLOOKUP($C$4,'Writing Logic'!$G$8:$H$14,2,FALSE),YES_Writing_ELA[#Headers],0))=0,"",INDEX(_xlfn.VSTACK(YES_Writing_ELA[#Data],YES_Writing_FLA[#Data]),MATCH($A398,_xlfn.VSTACK(YES_Writing_ELA[Student Number],YES_Writing_FLA[Student Number]),0),MATCH(VLOOKUP(E$7,'Writing Logic'!$J$7:$K$11,2,FALSE)&amp;" - Per "&amp;VLOOKUP($C$4,'Writing Logic'!$G$8:$H$14,2,FALSE),YES_Writing_ELA[#Headers],0)))),"")</f>
        <v/>
      </c>
      <c r="F398" s="138" t="str">
        <f>IFERROR(IF(IF(INDEX(_xlfn.VSTACK(YES_Writing_ELA[#Data],YES_Writing_FLA[#Data]),MATCH($A398,_xlfn.VSTACK(YES_Writing_ELA[Student Number],YES_Writing_FLA[Student Number]),0),MATCH(VLOOKUP(F$7,'Writing Logic'!$J$7:$K$11,2,FALSE)&amp;" - Per "&amp;VLOOKUP($C$4,'Writing Logic'!$G$8:$H$14,2,FALSE),YES_Writing_ELA[#Headers],0))=0,"",INDEX(_xlfn.VSTACK(YES_Writing_ELA[#Data],YES_Writing_FLA[#Data]),MATCH($A398,_xlfn.VSTACK(YES_Writing_ELA[Student Number],YES_Writing_FLA[Student Number]),0),MATCH(VLOOKUP(F$7,'Writing Logic'!$J$7:$K$11,2,FALSE)&amp;" - Per "&amp;VLOOKUP($C$4,'Writing Logic'!$G$8:$H$14,2,FALSE),YES_Writing_ELA[#Headers],0)))="INS",'Writing Logic'!$B$7,IF(INDEX(_xlfn.VSTACK(YES_Writing_ELA[#Data],YES_Writing_FLA[#Data]),MATCH($A398,_xlfn.VSTACK(YES_Writing_ELA[Student Number],YES_Writing_FLA[Student Number]),0),MATCH(VLOOKUP(F$7,'Writing Logic'!$J$7:$K$11,2,FALSE)&amp;" - Per "&amp;VLOOKUP($C$4,'Writing Logic'!$G$8:$H$14,2,FALSE),YES_Writing_ELA[#Headers],0))=0,"",INDEX(_xlfn.VSTACK(YES_Writing_ELA[#Data],YES_Writing_FLA[#Data]),MATCH($A398,_xlfn.VSTACK(YES_Writing_ELA[Student Number],YES_Writing_FLA[Student Number]),0),MATCH(VLOOKUP(F$7,'Writing Logic'!$J$7:$K$11,2,FALSE)&amp;" - Per "&amp;VLOOKUP($C$4,'Writing Logic'!$G$8:$H$14,2,FALSE),YES_Writing_ELA[#Headers],0)))),"")</f>
        <v/>
      </c>
      <c r="G398" s="138" t="str">
        <f>IFERROR(IF(IF(INDEX(_xlfn.VSTACK(YES_Writing_ELA[#Data],YES_Writing_FLA[#Data]),MATCH($A398,_xlfn.VSTACK(YES_Writing_ELA[Student Number],YES_Writing_FLA[Student Number]),0),MATCH(VLOOKUP(G$7,'Writing Logic'!$J$7:$K$11,2,FALSE)&amp;" - Per "&amp;VLOOKUP($C$4,'Writing Logic'!$G$8:$H$14,2,FALSE),YES_Writing_ELA[#Headers],0))=0,"",INDEX(_xlfn.VSTACK(YES_Writing_ELA[#Data],YES_Writing_FLA[#Data]),MATCH($A398,_xlfn.VSTACK(YES_Writing_ELA[Student Number],YES_Writing_FLA[Student Number]),0),MATCH(VLOOKUP(G$7,'Writing Logic'!$J$7:$K$11,2,FALSE)&amp;" - Per "&amp;VLOOKUP($C$4,'Writing Logic'!$G$8:$H$14,2,FALSE),YES_Writing_ELA[#Headers],0)))="INS",'Writing Logic'!$B$7,IF(INDEX(_xlfn.VSTACK(YES_Writing_ELA[#Data],YES_Writing_FLA[#Data]),MATCH($A398,_xlfn.VSTACK(YES_Writing_ELA[Student Number],YES_Writing_FLA[Student Number]),0),MATCH(VLOOKUP(G$7,'Writing Logic'!$J$7:$K$11,2,FALSE)&amp;" - Per "&amp;VLOOKUP($C$4,'Writing Logic'!$G$8:$H$14,2,FALSE),YES_Writing_ELA[#Headers],0))=0,"",INDEX(_xlfn.VSTACK(YES_Writing_ELA[#Data],YES_Writing_FLA[#Data]),MATCH($A398,_xlfn.VSTACK(YES_Writing_ELA[Student Number],YES_Writing_FLA[Student Number]),0),MATCH(VLOOKUP(G$7,'Writing Logic'!$J$7:$K$11,2,FALSE)&amp;" - Per "&amp;VLOOKUP($C$4,'Writing Logic'!$G$8:$H$14,2,FALSE),YES_Writing_ELA[#Headers],0)))),"")</f>
        <v/>
      </c>
      <c r="H398" s="138" t="str">
        <f>IFERROR(IF(IF(INDEX(_xlfn.VSTACK(YES_Writing_ELA[#Data],YES_Writing_FLA[#Data]),MATCH($A398,_xlfn.VSTACK(YES_Writing_ELA[Student Number],YES_Writing_FLA[Student Number]),0),MATCH(VLOOKUP(H$7,'Writing Logic'!$J$7:$K$11,2,FALSE)&amp;" - Per "&amp;VLOOKUP($C$4,'Writing Logic'!$G$8:$H$14,2,FALSE),YES_Writing_ELA[#Headers],0))=0,"",INDEX(_xlfn.VSTACK(YES_Writing_ELA[#Data],YES_Writing_FLA[#Data]),MATCH($A398,_xlfn.VSTACK(YES_Writing_ELA[Student Number],YES_Writing_FLA[Student Number]),0),MATCH(VLOOKUP(H$7,'Writing Logic'!$J$7:$K$11,2,FALSE)&amp;" - Per "&amp;VLOOKUP($C$4,'Writing Logic'!$G$8:$H$14,2,FALSE),YES_Writing_ELA[#Headers],0)))="INS",'Writing Logic'!$B$7,IF(INDEX(_xlfn.VSTACK(YES_Writing_ELA[#Data],YES_Writing_FLA[#Data]),MATCH($A398,_xlfn.VSTACK(YES_Writing_ELA[Student Number],YES_Writing_FLA[Student Number]),0),MATCH(VLOOKUP(H$7,'Writing Logic'!$J$7:$K$11,2,FALSE)&amp;" - Per "&amp;VLOOKUP($C$4,'Writing Logic'!$G$8:$H$14,2,FALSE),YES_Writing_ELA[#Headers],0))=0,"",INDEX(_xlfn.VSTACK(YES_Writing_ELA[#Data],YES_Writing_FLA[#Data]),MATCH($A398,_xlfn.VSTACK(YES_Writing_ELA[Student Number],YES_Writing_FLA[Student Number]),0),MATCH(VLOOKUP(H$7,'Writing Logic'!$J$7:$K$11,2,FALSE)&amp;" - Per "&amp;VLOOKUP($C$4,'Writing Logic'!$G$8:$H$14,2,FALSE),YES_Writing_ELA[#Headers],0)))),"")</f>
        <v/>
      </c>
    </row>
    <row r="399" spans="1:8" x14ac:dyDescent="0.25">
      <c r="A399" s="137"/>
      <c r="B399" s="137" t="str">
        <f>IFERROR(INDEX(_xlfn.VSTACK(YES_Writing_ELA[#Data], YES_Writing_FLA[#Data]),MATCH($A399,_xlfn.VSTACK(YES_Writing_ELA[Student Number], YES_Writing_FLA[Student Number]),0),MATCH(B$7,YES_Writing_ELA[#Headers],0)),"")</f>
        <v/>
      </c>
      <c r="C399" s="137" t="str">
        <f>IFERROR(INDEX(_xlfn.VSTACK(YES_Writing_ELA[#Data], YES_Writing_FLA[#Data]),MATCH($A399,_xlfn.VSTACK(YES_Writing_ELA[Student Number], YES_Writing_FLA[Student Number]),0),MATCH(C$7,YES_Writing_ELA[#Headers],0)),"")</f>
        <v/>
      </c>
      <c r="D399" s="138" t="str">
        <f>IFERROR(IF(IF(INDEX(_xlfn.VSTACK(YES_Writing_ELA[#Data],YES_Writing_FLA[#Data]),MATCH($A399,_xlfn.VSTACK(YES_Writing_ELA[Student Number],YES_Writing_FLA[Student Number]),0),MATCH(VLOOKUP(D$7,'Writing Logic'!$J$7:$K$11,2,FALSE)&amp;" - Per "&amp;VLOOKUP($C$4,'Writing Logic'!$G$8:$H$14,2,FALSE),YES_Writing_ELA[#Headers],0))=0,"",INDEX(_xlfn.VSTACK(YES_Writing_ELA[#Data],YES_Writing_FLA[#Data]),MATCH($A399,_xlfn.VSTACK(YES_Writing_ELA[Student Number],YES_Writing_FLA[Student Number]),0),MATCH(VLOOKUP(D$7,'Writing Logic'!$J$7:$K$11,2,FALSE)&amp;" - Per "&amp;VLOOKUP($C$4,'Writing Logic'!$G$8:$H$14,2,FALSE),YES_Writing_ELA[#Headers],0)))="INS",'Writing Logic'!$B$7,IF(INDEX(_xlfn.VSTACK(YES_Writing_ELA[#Data],YES_Writing_FLA[#Data]),MATCH($A399,_xlfn.VSTACK(YES_Writing_ELA[Student Number],YES_Writing_FLA[Student Number]),0),MATCH(VLOOKUP(D$7,'Writing Logic'!$J$7:$K$11,2,FALSE)&amp;" - Per "&amp;VLOOKUP($C$4,'Writing Logic'!$G$8:$H$14,2,FALSE),YES_Writing_ELA[#Headers],0))=0,"",INDEX(_xlfn.VSTACK(YES_Writing_ELA[#Data],YES_Writing_FLA[#Data]),MATCH($A399,_xlfn.VSTACK(YES_Writing_ELA[Student Number],YES_Writing_FLA[Student Number]),0),MATCH(VLOOKUP(D$7,'Writing Logic'!$J$7:$K$11,2,FALSE)&amp;" - Per "&amp;VLOOKUP($C$4,'Writing Logic'!$G$8:$H$14,2,FALSE),YES_Writing_ELA[#Headers],0)))),"")</f>
        <v/>
      </c>
      <c r="E399" s="138" t="str">
        <f>IFERROR(IF(IF(INDEX(_xlfn.VSTACK(YES_Writing_ELA[#Data],YES_Writing_FLA[#Data]),MATCH($A399,_xlfn.VSTACK(YES_Writing_ELA[Student Number],YES_Writing_FLA[Student Number]),0),MATCH(VLOOKUP(E$7,'Writing Logic'!$J$7:$K$11,2,FALSE)&amp;" - Per "&amp;VLOOKUP($C$4,'Writing Logic'!$G$8:$H$14,2,FALSE),YES_Writing_ELA[#Headers],0))=0,"",INDEX(_xlfn.VSTACK(YES_Writing_ELA[#Data],YES_Writing_FLA[#Data]),MATCH($A399,_xlfn.VSTACK(YES_Writing_ELA[Student Number],YES_Writing_FLA[Student Number]),0),MATCH(VLOOKUP(E$7,'Writing Logic'!$J$7:$K$11,2,FALSE)&amp;" - Per "&amp;VLOOKUP($C$4,'Writing Logic'!$G$8:$H$14,2,FALSE),YES_Writing_ELA[#Headers],0)))="INS",'Writing Logic'!$B$7,IF(INDEX(_xlfn.VSTACK(YES_Writing_ELA[#Data],YES_Writing_FLA[#Data]),MATCH($A399,_xlfn.VSTACK(YES_Writing_ELA[Student Number],YES_Writing_FLA[Student Number]),0),MATCH(VLOOKUP(E$7,'Writing Logic'!$J$7:$K$11,2,FALSE)&amp;" - Per "&amp;VLOOKUP($C$4,'Writing Logic'!$G$8:$H$14,2,FALSE),YES_Writing_ELA[#Headers],0))=0,"",INDEX(_xlfn.VSTACK(YES_Writing_ELA[#Data],YES_Writing_FLA[#Data]),MATCH($A399,_xlfn.VSTACK(YES_Writing_ELA[Student Number],YES_Writing_FLA[Student Number]),0),MATCH(VLOOKUP(E$7,'Writing Logic'!$J$7:$K$11,2,FALSE)&amp;" - Per "&amp;VLOOKUP($C$4,'Writing Logic'!$G$8:$H$14,2,FALSE),YES_Writing_ELA[#Headers],0)))),"")</f>
        <v/>
      </c>
      <c r="F399" s="138" t="str">
        <f>IFERROR(IF(IF(INDEX(_xlfn.VSTACK(YES_Writing_ELA[#Data],YES_Writing_FLA[#Data]),MATCH($A399,_xlfn.VSTACK(YES_Writing_ELA[Student Number],YES_Writing_FLA[Student Number]),0),MATCH(VLOOKUP(F$7,'Writing Logic'!$J$7:$K$11,2,FALSE)&amp;" - Per "&amp;VLOOKUP($C$4,'Writing Logic'!$G$8:$H$14,2,FALSE),YES_Writing_ELA[#Headers],0))=0,"",INDEX(_xlfn.VSTACK(YES_Writing_ELA[#Data],YES_Writing_FLA[#Data]),MATCH($A399,_xlfn.VSTACK(YES_Writing_ELA[Student Number],YES_Writing_FLA[Student Number]),0),MATCH(VLOOKUP(F$7,'Writing Logic'!$J$7:$K$11,2,FALSE)&amp;" - Per "&amp;VLOOKUP($C$4,'Writing Logic'!$G$8:$H$14,2,FALSE),YES_Writing_ELA[#Headers],0)))="INS",'Writing Logic'!$B$7,IF(INDEX(_xlfn.VSTACK(YES_Writing_ELA[#Data],YES_Writing_FLA[#Data]),MATCH($A399,_xlfn.VSTACK(YES_Writing_ELA[Student Number],YES_Writing_FLA[Student Number]),0),MATCH(VLOOKUP(F$7,'Writing Logic'!$J$7:$K$11,2,FALSE)&amp;" - Per "&amp;VLOOKUP($C$4,'Writing Logic'!$G$8:$H$14,2,FALSE),YES_Writing_ELA[#Headers],0))=0,"",INDEX(_xlfn.VSTACK(YES_Writing_ELA[#Data],YES_Writing_FLA[#Data]),MATCH($A399,_xlfn.VSTACK(YES_Writing_ELA[Student Number],YES_Writing_FLA[Student Number]),0),MATCH(VLOOKUP(F$7,'Writing Logic'!$J$7:$K$11,2,FALSE)&amp;" - Per "&amp;VLOOKUP($C$4,'Writing Logic'!$G$8:$H$14,2,FALSE),YES_Writing_ELA[#Headers],0)))),"")</f>
        <v/>
      </c>
      <c r="G399" s="138" t="str">
        <f>IFERROR(IF(IF(INDEX(_xlfn.VSTACK(YES_Writing_ELA[#Data],YES_Writing_FLA[#Data]),MATCH($A399,_xlfn.VSTACK(YES_Writing_ELA[Student Number],YES_Writing_FLA[Student Number]),0),MATCH(VLOOKUP(G$7,'Writing Logic'!$J$7:$K$11,2,FALSE)&amp;" - Per "&amp;VLOOKUP($C$4,'Writing Logic'!$G$8:$H$14,2,FALSE),YES_Writing_ELA[#Headers],0))=0,"",INDEX(_xlfn.VSTACK(YES_Writing_ELA[#Data],YES_Writing_FLA[#Data]),MATCH($A399,_xlfn.VSTACK(YES_Writing_ELA[Student Number],YES_Writing_FLA[Student Number]),0),MATCH(VLOOKUP(G$7,'Writing Logic'!$J$7:$K$11,2,FALSE)&amp;" - Per "&amp;VLOOKUP($C$4,'Writing Logic'!$G$8:$H$14,2,FALSE),YES_Writing_ELA[#Headers],0)))="INS",'Writing Logic'!$B$7,IF(INDEX(_xlfn.VSTACK(YES_Writing_ELA[#Data],YES_Writing_FLA[#Data]),MATCH($A399,_xlfn.VSTACK(YES_Writing_ELA[Student Number],YES_Writing_FLA[Student Number]),0),MATCH(VLOOKUP(G$7,'Writing Logic'!$J$7:$K$11,2,FALSE)&amp;" - Per "&amp;VLOOKUP($C$4,'Writing Logic'!$G$8:$H$14,2,FALSE),YES_Writing_ELA[#Headers],0))=0,"",INDEX(_xlfn.VSTACK(YES_Writing_ELA[#Data],YES_Writing_FLA[#Data]),MATCH($A399,_xlfn.VSTACK(YES_Writing_ELA[Student Number],YES_Writing_FLA[Student Number]),0),MATCH(VLOOKUP(G$7,'Writing Logic'!$J$7:$K$11,2,FALSE)&amp;" - Per "&amp;VLOOKUP($C$4,'Writing Logic'!$G$8:$H$14,2,FALSE),YES_Writing_ELA[#Headers],0)))),"")</f>
        <v/>
      </c>
      <c r="H399" s="138" t="str">
        <f>IFERROR(IF(IF(INDEX(_xlfn.VSTACK(YES_Writing_ELA[#Data],YES_Writing_FLA[#Data]),MATCH($A399,_xlfn.VSTACK(YES_Writing_ELA[Student Number],YES_Writing_FLA[Student Number]),0),MATCH(VLOOKUP(H$7,'Writing Logic'!$J$7:$K$11,2,FALSE)&amp;" - Per "&amp;VLOOKUP($C$4,'Writing Logic'!$G$8:$H$14,2,FALSE),YES_Writing_ELA[#Headers],0))=0,"",INDEX(_xlfn.VSTACK(YES_Writing_ELA[#Data],YES_Writing_FLA[#Data]),MATCH($A399,_xlfn.VSTACK(YES_Writing_ELA[Student Number],YES_Writing_FLA[Student Number]),0),MATCH(VLOOKUP(H$7,'Writing Logic'!$J$7:$K$11,2,FALSE)&amp;" - Per "&amp;VLOOKUP($C$4,'Writing Logic'!$G$8:$H$14,2,FALSE),YES_Writing_ELA[#Headers],0)))="INS",'Writing Logic'!$B$7,IF(INDEX(_xlfn.VSTACK(YES_Writing_ELA[#Data],YES_Writing_FLA[#Data]),MATCH($A399,_xlfn.VSTACK(YES_Writing_ELA[Student Number],YES_Writing_FLA[Student Number]),0),MATCH(VLOOKUP(H$7,'Writing Logic'!$J$7:$K$11,2,FALSE)&amp;" - Per "&amp;VLOOKUP($C$4,'Writing Logic'!$G$8:$H$14,2,FALSE),YES_Writing_ELA[#Headers],0))=0,"",INDEX(_xlfn.VSTACK(YES_Writing_ELA[#Data],YES_Writing_FLA[#Data]),MATCH($A399,_xlfn.VSTACK(YES_Writing_ELA[Student Number],YES_Writing_FLA[Student Number]),0),MATCH(VLOOKUP(H$7,'Writing Logic'!$J$7:$K$11,2,FALSE)&amp;" - Per "&amp;VLOOKUP($C$4,'Writing Logic'!$G$8:$H$14,2,FALSE),YES_Writing_ELA[#Headers],0)))),"")</f>
        <v/>
      </c>
    </row>
    <row r="400" spans="1:8" x14ac:dyDescent="0.25">
      <c r="A400" s="137"/>
      <c r="B400" s="137" t="str">
        <f>IFERROR(INDEX(_xlfn.VSTACK(YES_Writing_ELA[#Data], YES_Writing_FLA[#Data]),MATCH($A400,_xlfn.VSTACK(YES_Writing_ELA[Student Number], YES_Writing_FLA[Student Number]),0),MATCH(B$7,YES_Writing_ELA[#Headers],0)),"")</f>
        <v/>
      </c>
      <c r="C400" s="137" t="str">
        <f>IFERROR(INDEX(_xlfn.VSTACK(YES_Writing_ELA[#Data], YES_Writing_FLA[#Data]),MATCH($A400,_xlfn.VSTACK(YES_Writing_ELA[Student Number], YES_Writing_FLA[Student Number]),0),MATCH(C$7,YES_Writing_ELA[#Headers],0)),"")</f>
        <v/>
      </c>
      <c r="D400" s="138" t="str">
        <f>IFERROR(IF(IF(INDEX(_xlfn.VSTACK(YES_Writing_ELA[#Data],YES_Writing_FLA[#Data]),MATCH($A400,_xlfn.VSTACK(YES_Writing_ELA[Student Number],YES_Writing_FLA[Student Number]),0),MATCH(VLOOKUP(D$7,'Writing Logic'!$J$7:$K$11,2,FALSE)&amp;" - Per "&amp;VLOOKUP($C$4,'Writing Logic'!$G$8:$H$14,2,FALSE),YES_Writing_ELA[#Headers],0))=0,"",INDEX(_xlfn.VSTACK(YES_Writing_ELA[#Data],YES_Writing_FLA[#Data]),MATCH($A400,_xlfn.VSTACK(YES_Writing_ELA[Student Number],YES_Writing_FLA[Student Number]),0),MATCH(VLOOKUP(D$7,'Writing Logic'!$J$7:$K$11,2,FALSE)&amp;" - Per "&amp;VLOOKUP($C$4,'Writing Logic'!$G$8:$H$14,2,FALSE),YES_Writing_ELA[#Headers],0)))="INS",'Writing Logic'!$B$7,IF(INDEX(_xlfn.VSTACK(YES_Writing_ELA[#Data],YES_Writing_FLA[#Data]),MATCH($A400,_xlfn.VSTACK(YES_Writing_ELA[Student Number],YES_Writing_FLA[Student Number]),0),MATCH(VLOOKUP(D$7,'Writing Logic'!$J$7:$K$11,2,FALSE)&amp;" - Per "&amp;VLOOKUP($C$4,'Writing Logic'!$G$8:$H$14,2,FALSE),YES_Writing_ELA[#Headers],0))=0,"",INDEX(_xlfn.VSTACK(YES_Writing_ELA[#Data],YES_Writing_FLA[#Data]),MATCH($A400,_xlfn.VSTACK(YES_Writing_ELA[Student Number],YES_Writing_FLA[Student Number]),0),MATCH(VLOOKUP(D$7,'Writing Logic'!$J$7:$K$11,2,FALSE)&amp;" - Per "&amp;VLOOKUP($C$4,'Writing Logic'!$G$8:$H$14,2,FALSE),YES_Writing_ELA[#Headers],0)))),"")</f>
        <v/>
      </c>
      <c r="E400" s="138" t="str">
        <f>IFERROR(IF(IF(INDEX(_xlfn.VSTACK(YES_Writing_ELA[#Data],YES_Writing_FLA[#Data]),MATCH($A400,_xlfn.VSTACK(YES_Writing_ELA[Student Number],YES_Writing_FLA[Student Number]),0),MATCH(VLOOKUP(E$7,'Writing Logic'!$J$7:$K$11,2,FALSE)&amp;" - Per "&amp;VLOOKUP($C$4,'Writing Logic'!$G$8:$H$14,2,FALSE),YES_Writing_ELA[#Headers],0))=0,"",INDEX(_xlfn.VSTACK(YES_Writing_ELA[#Data],YES_Writing_FLA[#Data]),MATCH($A400,_xlfn.VSTACK(YES_Writing_ELA[Student Number],YES_Writing_FLA[Student Number]),0),MATCH(VLOOKUP(E$7,'Writing Logic'!$J$7:$K$11,2,FALSE)&amp;" - Per "&amp;VLOOKUP($C$4,'Writing Logic'!$G$8:$H$14,2,FALSE),YES_Writing_ELA[#Headers],0)))="INS",'Writing Logic'!$B$7,IF(INDEX(_xlfn.VSTACK(YES_Writing_ELA[#Data],YES_Writing_FLA[#Data]),MATCH($A400,_xlfn.VSTACK(YES_Writing_ELA[Student Number],YES_Writing_FLA[Student Number]),0),MATCH(VLOOKUP(E$7,'Writing Logic'!$J$7:$K$11,2,FALSE)&amp;" - Per "&amp;VLOOKUP($C$4,'Writing Logic'!$G$8:$H$14,2,FALSE),YES_Writing_ELA[#Headers],0))=0,"",INDEX(_xlfn.VSTACK(YES_Writing_ELA[#Data],YES_Writing_FLA[#Data]),MATCH($A400,_xlfn.VSTACK(YES_Writing_ELA[Student Number],YES_Writing_FLA[Student Number]),0),MATCH(VLOOKUP(E$7,'Writing Logic'!$J$7:$K$11,2,FALSE)&amp;" - Per "&amp;VLOOKUP($C$4,'Writing Logic'!$G$8:$H$14,2,FALSE),YES_Writing_ELA[#Headers],0)))),"")</f>
        <v/>
      </c>
      <c r="F400" s="138" t="str">
        <f>IFERROR(IF(IF(INDEX(_xlfn.VSTACK(YES_Writing_ELA[#Data],YES_Writing_FLA[#Data]),MATCH($A400,_xlfn.VSTACK(YES_Writing_ELA[Student Number],YES_Writing_FLA[Student Number]),0),MATCH(VLOOKUP(F$7,'Writing Logic'!$J$7:$K$11,2,FALSE)&amp;" - Per "&amp;VLOOKUP($C$4,'Writing Logic'!$G$8:$H$14,2,FALSE),YES_Writing_ELA[#Headers],0))=0,"",INDEX(_xlfn.VSTACK(YES_Writing_ELA[#Data],YES_Writing_FLA[#Data]),MATCH($A400,_xlfn.VSTACK(YES_Writing_ELA[Student Number],YES_Writing_FLA[Student Number]),0),MATCH(VLOOKUP(F$7,'Writing Logic'!$J$7:$K$11,2,FALSE)&amp;" - Per "&amp;VLOOKUP($C$4,'Writing Logic'!$G$8:$H$14,2,FALSE),YES_Writing_ELA[#Headers],0)))="INS",'Writing Logic'!$B$7,IF(INDEX(_xlfn.VSTACK(YES_Writing_ELA[#Data],YES_Writing_FLA[#Data]),MATCH($A400,_xlfn.VSTACK(YES_Writing_ELA[Student Number],YES_Writing_FLA[Student Number]),0),MATCH(VLOOKUP(F$7,'Writing Logic'!$J$7:$K$11,2,FALSE)&amp;" - Per "&amp;VLOOKUP($C$4,'Writing Logic'!$G$8:$H$14,2,FALSE),YES_Writing_ELA[#Headers],0))=0,"",INDEX(_xlfn.VSTACK(YES_Writing_ELA[#Data],YES_Writing_FLA[#Data]),MATCH($A400,_xlfn.VSTACK(YES_Writing_ELA[Student Number],YES_Writing_FLA[Student Number]),0),MATCH(VLOOKUP(F$7,'Writing Logic'!$J$7:$K$11,2,FALSE)&amp;" - Per "&amp;VLOOKUP($C$4,'Writing Logic'!$G$8:$H$14,2,FALSE),YES_Writing_ELA[#Headers],0)))),"")</f>
        <v/>
      </c>
      <c r="G400" s="138" t="str">
        <f>IFERROR(IF(IF(INDEX(_xlfn.VSTACK(YES_Writing_ELA[#Data],YES_Writing_FLA[#Data]),MATCH($A400,_xlfn.VSTACK(YES_Writing_ELA[Student Number],YES_Writing_FLA[Student Number]),0),MATCH(VLOOKUP(G$7,'Writing Logic'!$J$7:$K$11,2,FALSE)&amp;" - Per "&amp;VLOOKUP($C$4,'Writing Logic'!$G$8:$H$14,2,FALSE),YES_Writing_ELA[#Headers],0))=0,"",INDEX(_xlfn.VSTACK(YES_Writing_ELA[#Data],YES_Writing_FLA[#Data]),MATCH($A400,_xlfn.VSTACK(YES_Writing_ELA[Student Number],YES_Writing_FLA[Student Number]),0),MATCH(VLOOKUP(G$7,'Writing Logic'!$J$7:$K$11,2,FALSE)&amp;" - Per "&amp;VLOOKUP($C$4,'Writing Logic'!$G$8:$H$14,2,FALSE),YES_Writing_ELA[#Headers],0)))="INS",'Writing Logic'!$B$7,IF(INDEX(_xlfn.VSTACK(YES_Writing_ELA[#Data],YES_Writing_FLA[#Data]),MATCH($A400,_xlfn.VSTACK(YES_Writing_ELA[Student Number],YES_Writing_FLA[Student Number]),0),MATCH(VLOOKUP(G$7,'Writing Logic'!$J$7:$K$11,2,FALSE)&amp;" - Per "&amp;VLOOKUP($C$4,'Writing Logic'!$G$8:$H$14,2,FALSE),YES_Writing_ELA[#Headers],0))=0,"",INDEX(_xlfn.VSTACK(YES_Writing_ELA[#Data],YES_Writing_FLA[#Data]),MATCH($A400,_xlfn.VSTACK(YES_Writing_ELA[Student Number],YES_Writing_FLA[Student Number]),0),MATCH(VLOOKUP(G$7,'Writing Logic'!$J$7:$K$11,2,FALSE)&amp;" - Per "&amp;VLOOKUP($C$4,'Writing Logic'!$G$8:$H$14,2,FALSE),YES_Writing_ELA[#Headers],0)))),"")</f>
        <v/>
      </c>
      <c r="H400" s="138" t="str">
        <f>IFERROR(IF(IF(INDEX(_xlfn.VSTACK(YES_Writing_ELA[#Data],YES_Writing_FLA[#Data]),MATCH($A400,_xlfn.VSTACK(YES_Writing_ELA[Student Number],YES_Writing_FLA[Student Number]),0),MATCH(VLOOKUP(H$7,'Writing Logic'!$J$7:$K$11,2,FALSE)&amp;" - Per "&amp;VLOOKUP($C$4,'Writing Logic'!$G$8:$H$14,2,FALSE),YES_Writing_ELA[#Headers],0))=0,"",INDEX(_xlfn.VSTACK(YES_Writing_ELA[#Data],YES_Writing_FLA[#Data]),MATCH($A400,_xlfn.VSTACK(YES_Writing_ELA[Student Number],YES_Writing_FLA[Student Number]),0),MATCH(VLOOKUP(H$7,'Writing Logic'!$J$7:$K$11,2,FALSE)&amp;" - Per "&amp;VLOOKUP($C$4,'Writing Logic'!$G$8:$H$14,2,FALSE),YES_Writing_ELA[#Headers],0)))="INS",'Writing Logic'!$B$7,IF(INDEX(_xlfn.VSTACK(YES_Writing_ELA[#Data],YES_Writing_FLA[#Data]),MATCH($A400,_xlfn.VSTACK(YES_Writing_ELA[Student Number],YES_Writing_FLA[Student Number]),0),MATCH(VLOOKUP(H$7,'Writing Logic'!$J$7:$K$11,2,FALSE)&amp;" - Per "&amp;VLOOKUP($C$4,'Writing Logic'!$G$8:$H$14,2,FALSE),YES_Writing_ELA[#Headers],0))=0,"",INDEX(_xlfn.VSTACK(YES_Writing_ELA[#Data],YES_Writing_FLA[#Data]),MATCH($A400,_xlfn.VSTACK(YES_Writing_ELA[Student Number],YES_Writing_FLA[Student Number]),0),MATCH(VLOOKUP(H$7,'Writing Logic'!$J$7:$K$11,2,FALSE)&amp;" - Per "&amp;VLOOKUP($C$4,'Writing Logic'!$G$8:$H$14,2,FALSE),YES_Writing_ELA[#Headers],0)))),"")</f>
        <v/>
      </c>
    </row>
    <row r="401" spans="1:8" x14ac:dyDescent="0.25">
      <c r="A401" s="137"/>
      <c r="B401" s="137" t="str">
        <f>IFERROR(INDEX(_xlfn.VSTACK(YES_Writing_ELA[#Data], YES_Writing_FLA[#Data]),MATCH($A401,_xlfn.VSTACK(YES_Writing_ELA[Student Number], YES_Writing_FLA[Student Number]),0),MATCH(B$7,YES_Writing_ELA[#Headers],0)),"")</f>
        <v/>
      </c>
      <c r="C401" s="137" t="str">
        <f>IFERROR(INDEX(_xlfn.VSTACK(YES_Writing_ELA[#Data], YES_Writing_FLA[#Data]),MATCH($A401,_xlfn.VSTACK(YES_Writing_ELA[Student Number], YES_Writing_FLA[Student Number]),0),MATCH(C$7,YES_Writing_ELA[#Headers],0)),"")</f>
        <v/>
      </c>
      <c r="D401" s="138" t="str">
        <f>IFERROR(IF(IF(INDEX(_xlfn.VSTACK(YES_Writing_ELA[#Data],YES_Writing_FLA[#Data]),MATCH($A401,_xlfn.VSTACK(YES_Writing_ELA[Student Number],YES_Writing_FLA[Student Number]),0),MATCH(VLOOKUP(D$7,'Writing Logic'!$J$7:$K$11,2,FALSE)&amp;" - Per "&amp;VLOOKUP($C$4,'Writing Logic'!$G$8:$H$14,2,FALSE),YES_Writing_ELA[#Headers],0))=0,"",INDEX(_xlfn.VSTACK(YES_Writing_ELA[#Data],YES_Writing_FLA[#Data]),MATCH($A401,_xlfn.VSTACK(YES_Writing_ELA[Student Number],YES_Writing_FLA[Student Number]),0),MATCH(VLOOKUP(D$7,'Writing Logic'!$J$7:$K$11,2,FALSE)&amp;" - Per "&amp;VLOOKUP($C$4,'Writing Logic'!$G$8:$H$14,2,FALSE),YES_Writing_ELA[#Headers],0)))="INS",'Writing Logic'!$B$7,IF(INDEX(_xlfn.VSTACK(YES_Writing_ELA[#Data],YES_Writing_FLA[#Data]),MATCH($A401,_xlfn.VSTACK(YES_Writing_ELA[Student Number],YES_Writing_FLA[Student Number]),0),MATCH(VLOOKUP(D$7,'Writing Logic'!$J$7:$K$11,2,FALSE)&amp;" - Per "&amp;VLOOKUP($C$4,'Writing Logic'!$G$8:$H$14,2,FALSE),YES_Writing_ELA[#Headers],0))=0,"",INDEX(_xlfn.VSTACK(YES_Writing_ELA[#Data],YES_Writing_FLA[#Data]),MATCH($A401,_xlfn.VSTACK(YES_Writing_ELA[Student Number],YES_Writing_FLA[Student Number]),0),MATCH(VLOOKUP(D$7,'Writing Logic'!$J$7:$K$11,2,FALSE)&amp;" - Per "&amp;VLOOKUP($C$4,'Writing Logic'!$G$8:$H$14,2,FALSE),YES_Writing_ELA[#Headers],0)))),"")</f>
        <v/>
      </c>
      <c r="E401" s="138" t="str">
        <f>IFERROR(IF(IF(INDEX(_xlfn.VSTACK(YES_Writing_ELA[#Data],YES_Writing_FLA[#Data]),MATCH($A401,_xlfn.VSTACK(YES_Writing_ELA[Student Number],YES_Writing_FLA[Student Number]),0),MATCH(VLOOKUP(E$7,'Writing Logic'!$J$7:$K$11,2,FALSE)&amp;" - Per "&amp;VLOOKUP($C$4,'Writing Logic'!$G$8:$H$14,2,FALSE),YES_Writing_ELA[#Headers],0))=0,"",INDEX(_xlfn.VSTACK(YES_Writing_ELA[#Data],YES_Writing_FLA[#Data]),MATCH($A401,_xlfn.VSTACK(YES_Writing_ELA[Student Number],YES_Writing_FLA[Student Number]),0),MATCH(VLOOKUP(E$7,'Writing Logic'!$J$7:$K$11,2,FALSE)&amp;" - Per "&amp;VLOOKUP($C$4,'Writing Logic'!$G$8:$H$14,2,FALSE),YES_Writing_ELA[#Headers],0)))="INS",'Writing Logic'!$B$7,IF(INDEX(_xlfn.VSTACK(YES_Writing_ELA[#Data],YES_Writing_FLA[#Data]),MATCH($A401,_xlfn.VSTACK(YES_Writing_ELA[Student Number],YES_Writing_FLA[Student Number]),0),MATCH(VLOOKUP(E$7,'Writing Logic'!$J$7:$K$11,2,FALSE)&amp;" - Per "&amp;VLOOKUP($C$4,'Writing Logic'!$G$8:$H$14,2,FALSE),YES_Writing_ELA[#Headers],0))=0,"",INDEX(_xlfn.VSTACK(YES_Writing_ELA[#Data],YES_Writing_FLA[#Data]),MATCH($A401,_xlfn.VSTACK(YES_Writing_ELA[Student Number],YES_Writing_FLA[Student Number]),0),MATCH(VLOOKUP(E$7,'Writing Logic'!$J$7:$K$11,2,FALSE)&amp;" - Per "&amp;VLOOKUP($C$4,'Writing Logic'!$G$8:$H$14,2,FALSE),YES_Writing_ELA[#Headers],0)))),"")</f>
        <v/>
      </c>
      <c r="F401" s="138" t="str">
        <f>IFERROR(IF(IF(INDEX(_xlfn.VSTACK(YES_Writing_ELA[#Data],YES_Writing_FLA[#Data]),MATCH($A401,_xlfn.VSTACK(YES_Writing_ELA[Student Number],YES_Writing_FLA[Student Number]),0),MATCH(VLOOKUP(F$7,'Writing Logic'!$J$7:$K$11,2,FALSE)&amp;" - Per "&amp;VLOOKUP($C$4,'Writing Logic'!$G$8:$H$14,2,FALSE),YES_Writing_ELA[#Headers],0))=0,"",INDEX(_xlfn.VSTACK(YES_Writing_ELA[#Data],YES_Writing_FLA[#Data]),MATCH($A401,_xlfn.VSTACK(YES_Writing_ELA[Student Number],YES_Writing_FLA[Student Number]),0),MATCH(VLOOKUP(F$7,'Writing Logic'!$J$7:$K$11,2,FALSE)&amp;" - Per "&amp;VLOOKUP($C$4,'Writing Logic'!$G$8:$H$14,2,FALSE),YES_Writing_ELA[#Headers],0)))="INS",'Writing Logic'!$B$7,IF(INDEX(_xlfn.VSTACK(YES_Writing_ELA[#Data],YES_Writing_FLA[#Data]),MATCH($A401,_xlfn.VSTACK(YES_Writing_ELA[Student Number],YES_Writing_FLA[Student Number]),0),MATCH(VLOOKUP(F$7,'Writing Logic'!$J$7:$K$11,2,FALSE)&amp;" - Per "&amp;VLOOKUP($C$4,'Writing Logic'!$G$8:$H$14,2,FALSE),YES_Writing_ELA[#Headers],0))=0,"",INDEX(_xlfn.VSTACK(YES_Writing_ELA[#Data],YES_Writing_FLA[#Data]),MATCH($A401,_xlfn.VSTACK(YES_Writing_ELA[Student Number],YES_Writing_FLA[Student Number]),0),MATCH(VLOOKUP(F$7,'Writing Logic'!$J$7:$K$11,2,FALSE)&amp;" - Per "&amp;VLOOKUP($C$4,'Writing Logic'!$G$8:$H$14,2,FALSE),YES_Writing_ELA[#Headers],0)))),"")</f>
        <v/>
      </c>
      <c r="G401" s="138" t="str">
        <f>IFERROR(IF(IF(INDEX(_xlfn.VSTACK(YES_Writing_ELA[#Data],YES_Writing_FLA[#Data]),MATCH($A401,_xlfn.VSTACK(YES_Writing_ELA[Student Number],YES_Writing_FLA[Student Number]),0),MATCH(VLOOKUP(G$7,'Writing Logic'!$J$7:$K$11,2,FALSE)&amp;" - Per "&amp;VLOOKUP($C$4,'Writing Logic'!$G$8:$H$14,2,FALSE),YES_Writing_ELA[#Headers],0))=0,"",INDEX(_xlfn.VSTACK(YES_Writing_ELA[#Data],YES_Writing_FLA[#Data]),MATCH($A401,_xlfn.VSTACK(YES_Writing_ELA[Student Number],YES_Writing_FLA[Student Number]),0),MATCH(VLOOKUP(G$7,'Writing Logic'!$J$7:$K$11,2,FALSE)&amp;" - Per "&amp;VLOOKUP($C$4,'Writing Logic'!$G$8:$H$14,2,FALSE),YES_Writing_ELA[#Headers],0)))="INS",'Writing Logic'!$B$7,IF(INDEX(_xlfn.VSTACK(YES_Writing_ELA[#Data],YES_Writing_FLA[#Data]),MATCH($A401,_xlfn.VSTACK(YES_Writing_ELA[Student Number],YES_Writing_FLA[Student Number]),0),MATCH(VLOOKUP(G$7,'Writing Logic'!$J$7:$K$11,2,FALSE)&amp;" - Per "&amp;VLOOKUP($C$4,'Writing Logic'!$G$8:$H$14,2,FALSE),YES_Writing_ELA[#Headers],0))=0,"",INDEX(_xlfn.VSTACK(YES_Writing_ELA[#Data],YES_Writing_FLA[#Data]),MATCH($A401,_xlfn.VSTACK(YES_Writing_ELA[Student Number],YES_Writing_FLA[Student Number]),0),MATCH(VLOOKUP(G$7,'Writing Logic'!$J$7:$K$11,2,FALSE)&amp;" - Per "&amp;VLOOKUP($C$4,'Writing Logic'!$G$8:$H$14,2,FALSE),YES_Writing_ELA[#Headers],0)))),"")</f>
        <v/>
      </c>
      <c r="H401" s="138" t="str">
        <f>IFERROR(IF(IF(INDEX(_xlfn.VSTACK(YES_Writing_ELA[#Data],YES_Writing_FLA[#Data]),MATCH($A401,_xlfn.VSTACK(YES_Writing_ELA[Student Number],YES_Writing_FLA[Student Number]),0),MATCH(VLOOKUP(H$7,'Writing Logic'!$J$7:$K$11,2,FALSE)&amp;" - Per "&amp;VLOOKUP($C$4,'Writing Logic'!$G$8:$H$14,2,FALSE),YES_Writing_ELA[#Headers],0))=0,"",INDEX(_xlfn.VSTACK(YES_Writing_ELA[#Data],YES_Writing_FLA[#Data]),MATCH($A401,_xlfn.VSTACK(YES_Writing_ELA[Student Number],YES_Writing_FLA[Student Number]),0),MATCH(VLOOKUP(H$7,'Writing Logic'!$J$7:$K$11,2,FALSE)&amp;" - Per "&amp;VLOOKUP($C$4,'Writing Logic'!$G$8:$H$14,2,FALSE),YES_Writing_ELA[#Headers],0)))="INS",'Writing Logic'!$B$7,IF(INDEX(_xlfn.VSTACK(YES_Writing_ELA[#Data],YES_Writing_FLA[#Data]),MATCH($A401,_xlfn.VSTACK(YES_Writing_ELA[Student Number],YES_Writing_FLA[Student Number]),0),MATCH(VLOOKUP(H$7,'Writing Logic'!$J$7:$K$11,2,FALSE)&amp;" - Per "&amp;VLOOKUP($C$4,'Writing Logic'!$G$8:$H$14,2,FALSE),YES_Writing_ELA[#Headers],0))=0,"",INDEX(_xlfn.VSTACK(YES_Writing_ELA[#Data],YES_Writing_FLA[#Data]),MATCH($A401,_xlfn.VSTACK(YES_Writing_ELA[Student Number],YES_Writing_FLA[Student Number]),0),MATCH(VLOOKUP(H$7,'Writing Logic'!$J$7:$K$11,2,FALSE)&amp;" - Per "&amp;VLOOKUP($C$4,'Writing Logic'!$G$8:$H$14,2,FALSE),YES_Writing_ELA[#Headers],0)))),"")</f>
        <v/>
      </c>
    </row>
    <row r="402" spans="1:8" x14ac:dyDescent="0.25">
      <c r="A402" s="137"/>
      <c r="B402" s="137" t="str">
        <f>IFERROR(INDEX(_xlfn.VSTACK(YES_Writing_ELA[#Data], YES_Writing_FLA[#Data]),MATCH($A402,_xlfn.VSTACK(YES_Writing_ELA[Student Number], YES_Writing_FLA[Student Number]),0),MATCH(B$7,YES_Writing_ELA[#Headers],0)),"")</f>
        <v/>
      </c>
      <c r="C402" s="137" t="str">
        <f>IFERROR(INDEX(_xlfn.VSTACK(YES_Writing_ELA[#Data], YES_Writing_FLA[#Data]),MATCH($A402,_xlfn.VSTACK(YES_Writing_ELA[Student Number], YES_Writing_FLA[Student Number]),0),MATCH(C$7,YES_Writing_ELA[#Headers],0)),"")</f>
        <v/>
      </c>
      <c r="D402" s="138" t="str">
        <f>IFERROR(IF(IF(INDEX(_xlfn.VSTACK(YES_Writing_ELA[#Data],YES_Writing_FLA[#Data]),MATCH($A402,_xlfn.VSTACK(YES_Writing_ELA[Student Number],YES_Writing_FLA[Student Number]),0),MATCH(VLOOKUP(D$7,'Writing Logic'!$J$7:$K$11,2,FALSE)&amp;" - Per "&amp;VLOOKUP($C$4,'Writing Logic'!$G$8:$H$14,2,FALSE),YES_Writing_ELA[#Headers],0))=0,"",INDEX(_xlfn.VSTACK(YES_Writing_ELA[#Data],YES_Writing_FLA[#Data]),MATCH($A402,_xlfn.VSTACK(YES_Writing_ELA[Student Number],YES_Writing_FLA[Student Number]),0),MATCH(VLOOKUP(D$7,'Writing Logic'!$J$7:$K$11,2,FALSE)&amp;" - Per "&amp;VLOOKUP($C$4,'Writing Logic'!$G$8:$H$14,2,FALSE),YES_Writing_ELA[#Headers],0)))="INS",'Writing Logic'!$B$7,IF(INDEX(_xlfn.VSTACK(YES_Writing_ELA[#Data],YES_Writing_FLA[#Data]),MATCH($A402,_xlfn.VSTACK(YES_Writing_ELA[Student Number],YES_Writing_FLA[Student Number]),0),MATCH(VLOOKUP(D$7,'Writing Logic'!$J$7:$K$11,2,FALSE)&amp;" - Per "&amp;VLOOKUP($C$4,'Writing Logic'!$G$8:$H$14,2,FALSE),YES_Writing_ELA[#Headers],0))=0,"",INDEX(_xlfn.VSTACK(YES_Writing_ELA[#Data],YES_Writing_FLA[#Data]),MATCH($A402,_xlfn.VSTACK(YES_Writing_ELA[Student Number],YES_Writing_FLA[Student Number]),0),MATCH(VLOOKUP(D$7,'Writing Logic'!$J$7:$K$11,2,FALSE)&amp;" - Per "&amp;VLOOKUP($C$4,'Writing Logic'!$G$8:$H$14,2,FALSE),YES_Writing_ELA[#Headers],0)))),"")</f>
        <v/>
      </c>
      <c r="E402" s="138" t="str">
        <f>IFERROR(IF(IF(INDEX(_xlfn.VSTACK(YES_Writing_ELA[#Data],YES_Writing_FLA[#Data]),MATCH($A402,_xlfn.VSTACK(YES_Writing_ELA[Student Number],YES_Writing_FLA[Student Number]),0),MATCH(VLOOKUP(E$7,'Writing Logic'!$J$7:$K$11,2,FALSE)&amp;" - Per "&amp;VLOOKUP($C$4,'Writing Logic'!$G$8:$H$14,2,FALSE),YES_Writing_ELA[#Headers],0))=0,"",INDEX(_xlfn.VSTACK(YES_Writing_ELA[#Data],YES_Writing_FLA[#Data]),MATCH($A402,_xlfn.VSTACK(YES_Writing_ELA[Student Number],YES_Writing_FLA[Student Number]),0),MATCH(VLOOKUP(E$7,'Writing Logic'!$J$7:$K$11,2,FALSE)&amp;" - Per "&amp;VLOOKUP($C$4,'Writing Logic'!$G$8:$H$14,2,FALSE),YES_Writing_ELA[#Headers],0)))="INS",'Writing Logic'!$B$7,IF(INDEX(_xlfn.VSTACK(YES_Writing_ELA[#Data],YES_Writing_FLA[#Data]),MATCH($A402,_xlfn.VSTACK(YES_Writing_ELA[Student Number],YES_Writing_FLA[Student Number]),0),MATCH(VLOOKUP(E$7,'Writing Logic'!$J$7:$K$11,2,FALSE)&amp;" - Per "&amp;VLOOKUP($C$4,'Writing Logic'!$G$8:$H$14,2,FALSE),YES_Writing_ELA[#Headers],0))=0,"",INDEX(_xlfn.VSTACK(YES_Writing_ELA[#Data],YES_Writing_FLA[#Data]),MATCH($A402,_xlfn.VSTACK(YES_Writing_ELA[Student Number],YES_Writing_FLA[Student Number]),0),MATCH(VLOOKUP(E$7,'Writing Logic'!$J$7:$K$11,2,FALSE)&amp;" - Per "&amp;VLOOKUP($C$4,'Writing Logic'!$G$8:$H$14,2,FALSE),YES_Writing_ELA[#Headers],0)))),"")</f>
        <v/>
      </c>
      <c r="F402" s="138" t="str">
        <f>IFERROR(IF(IF(INDEX(_xlfn.VSTACK(YES_Writing_ELA[#Data],YES_Writing_FLA[#Data]),MATCH($A402,_xlfn.VSTACK(YES_Writing_ELA[Student Number],YES_Writing_FLA[Student Number]),0),MATCH(VLOOKUP(F$7,'Writing Logic'!$J$7:$K$11,2,FALSE)&amp;" - Per "&amp;VLOOKUP($C$4,'Writing Logic'!$G$8:$H$14,2,FALSE),YES_Writing_ELA[#Headers],0))=0,"",INDEX(_xlfn.VSTACK(YES_Writing_ELA[#Data],YES_Writing_FLA[#Data]),MATCH($A402,_xlfn.VSTACK(YES_Writing_ELA[Student Number],YES_Writing_FLA[Student Number]),0),MATCH(VLOOKUP(F$7,'Writing Logic'!$J$7:$K$11,2,FALSE)&amp;" - Per "&amp;VLOOKUP($C$4,'Writing Logic'!$G$8:$H$14,2,FALSE),YES_Writing_ELA[#Headers],0)))="INS",'Writing Logic'!$B$7,IF(INDEX(_xlfn.VSTACK(YES_Writing_ELA[#Data],YES_Writing_FLA[#Data]),MATCH($A402,_xlfn.VSTACK(YES_Writing_ELA[Student Number],YES_Writing_FLA[Student Number]),0),MATCH(VLOOKUP(F$7,'Writing Logic'!$J$7:$K$11,2,FALSE)&amp;" - Per "&amp;VLOOKUP($C$4,'Writing Logic'!$G$8:$H$14,2,FALSE),YES_Writing_ELA[#Headers],0))=0,"",INDEX(_xlfn.VSTACK(YES_Writing_ELA[#Data],YES_Writing_FLA[#Data]),MATCH($A402,_xlfn.VSTACK(YES_Writing_ELA[Student Number],YES_Writing_FLA[Student Number]),0),MATCH(VLOOKUP(F$7,'Writing Logic'!$J$7:$K$11,2,FALSE)&amp;" - Per "&amp;VLOOKUP($C$4,'Writing Logic'!$G$8:$H$14,2,FALSE),YES_Writing_ELA[#Headers],0)))),"")</f>
        <v/>
      </c>
      <c r="G402" s="138" t="str">
        <f>IFERROR(IF(IF(INDEX(_xlfn.VSTACK(YES_Writing_ELA[#Data],YES_Writing_FLA[#Data]),MATCH($A402,_xlfn.VSTACK(YES_Writing_ELA[Student Number],YES_Writing_FLA[Student Number]),0),MATCH(VLOOKUP(G$7,'Writing Logic'!$J$7:$K$11,2,FALSE)&amp;" - Per "&amp;VLOOKUP($C$4,'Writing Logic'!$G$8:$H$14,2,FALSE),YES_Writing_ELA[#Headers],0))=0,"",INDEX(_xlfn.VSTACK(YES_Writing_ELA[#Data],YES_Writing_FLA[#Data]),MATCH($A402,_xlfn.VSTACK(YES_Writing_ELA[Student Number],YES_Writing_FLA[Student Number]),0),MATCH(VLOOKUP(G$7,'Writing Logic'!$J$7:$K$11,2,FALSE)&amp;" - Per "&amp;VLOOKUP($C$4,'Writing Logic'!$G$8:$H$14,2,FALSE),YES_Writing_ELA[#Headers],0)))="INS",'Writing Logic'!$B$7,IF(INDEX(_xlfn.VSTACK(YES_Writing_ELA[#Data],YES_Writing_FLA[#Data]),MATCH($A402,_xlfn.VSTACK(YES_Writing_ELA[Student Number],YES_Writing_FLA[Student Number]),0),MATCH(VLOOKUP(G$7,'Writing Logic'!$J$7:$K$11,2,FALSE)&amp;" - Per "&amp;VLOOKUP($C$4,'Writing Logic'!$G$8:$H$14,2,FALSE),YES_Writing_ELA[#Headers],0))=0,"",INDEX(_xlfn.VSTACK(YES_Writing_ELA[#Data],YES_Writing_FLA[#Data]),MATCH($A402,_xlfn.VSTACK(YES_Writing_ELA[Student Number],YES_Writing_FLA[Student Number]),0),MATCH(VLOOKUP(G$7,'Writing Logic'!$J$7:$K$11,2,FALSE)&amp;" - Per "&amp;VLOOKUP($C$4,'Writing Logic'!$G$8:$H$14,2,FALSE),YES_Writing_ELA[#Headers],0)))),"")</f>
        <v/>
      </c>
      <c r="H402" s="138" t="str">
        <f>IFERROR(IF(IF(INDEX(_xlfn.VSTACK(YES_Writing_ELA[#Data],YES_Writing_FLA[#Data]),MATCH($A402,_xlfn.VSTACK(YES_Writing_ELA[Student Number],YES_Writing_FLA[Student Number]),0),MATCH(VLOOKUP(H$7,'Writing Logic'!$J$7:$K$11,2,FALSE)&amp;" - Per "&amp;VLOOKUP($C$4,'Writing Logic'!$G$8:$H$14,2,FALSE),YES_Writing_ELA[#Headers],0))=0,"",INDEX(_xlfn.VSTACK(YES_Writing_ELA[#Data],YES_Writing_FLA[#Data]),MATCH($A402,_xlfn.VSTACK(YES_Writing_ELA[Student Number],YES_Writing_FLA[Student Number]),0),MATCH(VLOOKUP(H$7,'Writing Logic'!$J$7:$K$11,2,FALSE)&amp;" - Per "&amp;VLOOKUP($C$4,'Writing Logic'!$G$8:$H$14,2,FALSE),YES_Writing_ELA[#Headers],0)))="INS",'Writing Logic'!$B$7,IF(INDEX(_xlfn.VSTACK(YES_Writing_ELA[#Data],YES_Writing_FLA[#Data]),MATCH($A402,_xlfn.VSTACK(YES_Writing_ELA[Student Number],YES_Writing_FLA[Student Number]),0),MATCH(VLOOKUP(H$7,'Writing Logic'!$J$7:$K$11,2,FALSE)&amp;" - Per "&amp;VLOOKUP($C$4,'Writing Logic'!$G$8:$H$14,2,FALSE),YES_Writing_ELA[#Headers],0))=0,"",INDEX(_xlfn.VSTACK(YES_Writing_ELA[#Data],YES_Writing_FLA[#Data]),MATCH($A402,_xlfn.VSTACK(YES_Writing_ELA[Student Number],YES_Writing_FLA[Student Number]),0),MATCH(VLOOKUP(H$7,'Writing Logic'!$J$7:$K$11,2,FALSE)&amp;" - Per "&amp;VLOOKUP($C$4,'Writing Logic'!$G$8:$H$14,2,FALSE),YES_Writing_ELA[#Headers],0)))),"")</f>
        <v/>
      </c>
    </row>
    <row r="403" spans="1:8" x14ac:dyDescent="0.25">
      <c r="A403" s="137"/>
      <c r="B403" s="137" t="str">
        <f>IFERROR(INDEX(_xlfn.VSTACK(YES_Writing_ELA[#Data], YES_Writing_FLA[#Data]),MATCH($A403,_xlfn.VSTACK(YES_Writing_ELA[Student Number], YES_Writing_FLA[Student Number]),0),MATCH(B$7,YES_Writing_ELA[#Headers],0)),"")</f>
        <v/>
      </c>
      <c r="C403" s="137" t="str">
        <f>IFERROR(INDEX(_xlfn.VSTACK(YES_Writing_ELA[#Data], YES_Writing_FLA[#Data]),MATCH($A403,_xlfn.VSTACK(YES_Writing_ELA[Student Number], YES_Writing_FLA[Student Number]),0),MATCH(C$7,YES_Writing_ELA[#Headers],0)),"")</f>
        <v/>
      </c>
      <c r="D403" s="138" t="str">
        <f>IFERROR(IF(IF(INDEX(_xlfn.VSTACK(YES_Writing_ELA[#Data],YES_Writing_FLA[#Data]),MATCH($A403,_xlfn.VSTACK(YES_Writing_ELA[Student Number],YES_Writing_FLA[Student Number]),0),MATCH(VLOOKUP(D$7,'Writing Logic'!$J$7:$K$11,2,FALSE)&amp;" - Per "&amp;VLOOKUP($C$4,'Writing Logic'!$G$8:$H$14,2,FALSE),YES_Writing_ELA[#Headers],0))=0,"",INDEX(_xlfn.VSTACK(YES_Writing_ELA[#Data],YES_Writing_FLA[#Data]),MATCH($A403,_xlfn.VSTACK(YES_Writing_ELA[Student Number],YES_Writing_FLA[Student Number]),0),MATCH(VLOOKUP(D$7,'Writing Logic'!$J$7:$K$11,2,FALSE)&amp;" - Per "&amp;VLOOKUP($C$4,'Writing Logic'!$G$8:$H$14,2,FALSE),YES_Writing_ELA[#Headers],0)))="INS",'Writing Logic'!$B$7,IF(INDEX(_xlfn.VSTACK(YES_Writing_ELA[#Data],YES_Writing_FLA[#Data]),MATCH($A403,_xlfn.VSTACK(YES_Writing_ELA[Student Number],YES_Writing_FLA[Student Number]),0),MATCH(VLOOKUP(D$7,'Writing Logic'!$J$7:$K$11,2,FALSE)&amp;" - Per "&amp;VLOOKUP($C$4,'Writing Logic'!$G$8:$H$14,2,FALSE),YES_Writing_ELA[#Headers],0))=0,"",INDEX(_xlfn.VSTACK(YES_Writing_ELA[#Data],YES_Writing_FLA[#Data]),MATCH($A403,_xlfn.VSTACK(YES_Writing_ELA[Student Number],YES_Writing_FLA[Student Number]),0),MATCH(VLOOKUP(D$7,'Writing Logic'!$J$7:$K$11,2,FALSE)&amp;" - Per "&amp;VLOOKUP($C$4,'Writing Logic'!$G$8:$H$14,2,FALSE),YES_Writing_ELA[#Headers],0)))),"")</f>
        <v/>
      </c>
      <c r="E403" s="138" t="str">
        <f>IFERROR(IF(IF(INDEX(_xlfn.VSTACK(YES_Writing_ELA[#Data],YES_Writing_FLA[#Data]),MATCH($A403,_xlfn.VSTACK(YES_Writing_ELA[Student Number],YES_Writing_FLA[Student Number]),0),MATCH(VLOOKUP(E$7,'Writing Logic'!$J$7:$K$11,2,FALSE)&amp;" - Per "&amp;VLOOKUP($C$4,'Writing Logic'!$G$8:$H$14,2,FALSE),YES_Writing_ELA[#Headers],0))=0,"",INDEX(_xlfn.VSTACK(YES_Writing_ELA[#Data],YES_Writing_FLA[#Data]),MATCH($A403,_xlfn.VSTACK(YES_Writing_ELA[Student Number],YES_Writing_FLA[Student Number]),0),MATCH(VLOOKUP(E$7,'Writing Logic'!$J$7:$K$11,2,FALSE)&amp;" - Per "&amp;VLOOKUP($C$4,'Writing Logic'!$G$8:$H$14,2,FALSE),YES_Writing_ELA[#Headers],0)))="INS",'Writing Logic'!$B$7,IF(INDEX(_xlfn.VSTACK(YES_Writing_ELA[#Data],YES_Writing_FLA[#Data]),MATCH($A403,_xlfn.VSTACK(YES_Writing_ELA[Student Number],YES_Writing_FLA[Student Number]),0),MATCH(VLOOKUP(E$7,'Writing Logic'!$J$7:$K$11,2,FALSE)&amp;" - Per "&amp;VLOOKUP($C$4,'Writing Logic'!$G$8:$H$14,2,FALSE),YES_Writing_ELA[#Headers],0))=0,"",INDEX(_xlfn.VSTACK(YES_Writing_ELA[#Data],YES_Writing_FLA[#Data]),MATCH($A403,_xlfn.VSTACK(YES_Writing_ELA[Student Number],YES_Writing_FLA[Student Number]),0),MATCH(VLOOKUP(E$7,'Writing Logic'!$J$7:$K$11,2,FALSE)&amp;" - Per "&amp;VLOOKUP($C$4,'Writing Logic'!$G$8:$H$14,2,FALSE),YES_Writing_ELA[#Headers],0)))),"")</f>
        <v/>
      </c>
      <c r="F403" s="138" t="str">
        <f>IFERROR(IF(IF(INDEX(_xlfn.VSTACK(YES_Writing_ELA[#Data],YES_Writing_FLA[#Data]),MATCH($A403,_xlfn.VSTACK(YES_Writing_ELA[Student Number],YES_Writing_FLA[Student Number]),0),MATCH(VLOOKUP(F$7,'Writing Logic'!$J$7:$K$11,2,FALSE)&amp;" - Per "&amp;VLOOKUP($C$4,'Writing Logic'!$G$8:$H$14,2,FALSE),YES_Writing_ELA[#Headers],0))=0,"",INDEX(_xlfn.VSTACK(YES_Writing_ELA[#Data],YES_Writing_FLA[#Data]),MATCH($A403,_xlfn.VSTACK(YES_Writing_ELA[Student Number],YES_Writing_FLA[Student Number]),0),MATCH(VLOOKUP(F$7,'Writing Logic'!$J$7:$K$11,2,FALSE)&amp;" - Per "&amp;VLOOKUP($C$4,'Writing Logic'!$G$8:$H$14,2,FALSE),YES_Writing_ELA[#Headers],0)))="INS",'Writing Logic'!$B$7,IF(INDEX(_xlfn.VSTACK(YES_Writing_ELA[#Data],YES_Writing_FLA[#Data]),MATCH($A403,_xlfn.VSTACK(YES_Writing_ELA[Student Number],YES_Writing_FLA[Student Number]),0),MATCH(VLOOKUP(F$7,'Writing Logic'!$J$7:$K$11,2,FALSE)&amp;" - Per "&amp;VLOOKUP($C$4,'Writing Logic'!$G$8:$H$14,2,FALSE),YES_Writing_ELA[#Headers],0))=0,"",INDEX(_xlfn.VSTACK(YES_Writing_ELA[#Data],YES_Writing_FLA[#Data]),MATCH($A403,_xlfn.VSTACK(YES_Writing_ELA[Student Number],YES_Writing_FLA[Student Number]),0),MATCH(VLOOKUP(F$7,'Writing Logic'!$J$7:$K$11,2,FALSE)&amp;" - Per "&amp;VLOOKUP($C$4,'Writing Logic'!$G$8:$H$14,2,FALSE),YES_Writing_ELA[#Headers],0)))),"")</f>
        <v/>
      </c>
      <c r="G403" s="138" t="str">
        <f>IFERROR(IF(IF(INDEX(_xlfn.VSTACK(YES_Writing_ELA[#Data],YES_Writing_FLA[#Data]),MATCH($A403,_xlfn.VSTACK(YES_Writing_ELA[Student Number],YES_Writing_FLA[Student Number]),0),MATCH(VLOOKUP(G$7,'Writing Logic'!$J$7:$K$11,2,FALSE)&amp;" - Per "&amp;VLOOKUP($C$4,'Writing Logic'!$G$8:$H$14,2,FALSE),YES_Writing_ELA[#Headers],0))=0,"",INDEX(_xlfn.VSTACK(YES_Writing_ELA[#Data],YES_Writing_FLA[#Data]),MATCH($A403,_xlfn.VSTACK(YES_Writing_ELA[Student Number],YES_Writing_FLA[Student Number]),0),MATCH(VLOOKUP(G$7,'Writing Logic'!$J$7:$K$11,2,FALSE)&amp;" - Per "&amp;VLOOKUP($C$4,'Writing Logic'!$G$8:$H$14,2,FALSE),YES_Writing_ELA[#Headers],0)))="INS",'Writing Logic'!$B$7,IF(INDEX(_xlfn.VSTACK(YES_Writing_ELA[#Data],YES_Writing_FLA[#Data]),MATCH($A403,_xlfn.VSTACK(YES_Writing_ELA[Student Number],YES_Writing_FLA[Student Number]),0),MATCH(VLOOKUP(G$7,'Writing Logic'!$J$7:$K$11,2,FALSE)&amp;" - Per "&amp;VLOOKUP($C$4,'Writing Logic'!$G$8:$H$14,2,FALSE),YES_Writing_ELA[#Headers],0))=0,"",INDEX(_xlfn.VSTACK(YES_Writing_ELA[#Data],YES_Writing_FLA[#Data]),MATCH($A403,_xlfn.VSTACK(YES_Writing_ELA[Student Number],YES_Writing_FLA[Student Number]),0),MATCH(VLOOKUP(G$7,'Writing Logic'!$J$7:$K$11,2,FALSE)&amp;" - Per "&amp;VLOOKUP($C$4,'Writing Logic'!$G$8:$H$14,2,FALSE),YES_Writing_ELA[#Headers],0)))),"")</f>
        <v/>
      </c>
      <c r="H403" s="138" t="str">
        <f>IFERROR(IF(IF(INDEX(_xlfn.VSTACK(YES_Writing_ELA[#Data],YES_Writing_FLA[#Data]),MATCH($A403,_xlfn.VSTACK(YES_Writing_ELA[Student Number],YES_Writing_FLA[Student Number]),0),MATCH(VLOOKUP(H$7,'Writing Logic'!$J$7:$K$11,2,FALSE)&amp;" - Per "&amp;VLOOKUP($C$4,'Writing Logic'!$G$8:$H$14,2,FALSE),YES_Writing_ELA[#Headers],0))=0,"",INDEX(_xlfn.VSTACK(YES_Writing_ELA[#Data],YES_Writing_FLA[#Data]),MATCH($A403,_xlfn.VSTACK(YES_Writing_ELA[Student Number],YES_Writing_FLA[Student Number]),0),MATCH(VLOOKUP(H$7,'Writing Logic'!$J$7:$K$11,2,FALSE)&amp;" - Per "&amp;VLOOKUP($C$4,'Writing Logic'!$G$8:$H$14,2,FALSE),YES_Writing_ELA[#Headers],0)))="INS",'Writing Logic'!$B$7,IF(INDEX(_xlfn.VSTACK(YES_Writing_ELA[#Data],YES_Writing_FLA[#Data]),MATCH($A403,_xlfn.VSTACK(YES_Writing_ELA[Student Number],YES_Writing_FLA[Student Number]),0),MATCH(VLOOKUP(H$7,'Writing Logic'!$J$7:$K$11,2,FALSE)&amp;" - Per "&amp;VLOOKUP($C$4,'Writing Logic'!$G$8:$H$14,2,FALSE),YES_Writing_ELA[#Headers],0))=0,"",INDEX(_xlfn.VSTACK(YES_Writing_ELA[#Data],YES_Writing_FLA[#Data]),MATCH($A403,_xlfn.VSTACK(YES_Writing_ELA[Student Number],YES_Writing_FLA[Student Number]),0),MATCH(VLOOKUP(H$7,'Writing Logic'!$J$7:$K$11,2,FALSE)&amp;" - Per "&amp;VLOOKUP($C$4,'Writing Logic'!$G$8:$H$14,2,FALSE),YES_Writing_ELA[#Headers],0)))),"")</f>
        <v/>
      </c>
    </row>
    <row r="404" spans="1:8" x14ac:dyDescent="0.25">
      <c r="A404" s="137"/>
      <c r="B404" s="137" t="str">
        <f>IFERROR(INDEX(_xlfn.VSTACK(YES_Writing_ELA[#Data], YES_Writing_FLA[#Data]),MATCH($A404,_xlfn.VSTACK(YES_Writing_ELA[Student Number], YES_Writing_FLA[Student Number]),0),MATCH(B$7,YES_Writing_ELA[#Headers],0)),"")</f>
        <v/>
      </c>
      <c r="C404" s="137" t="str">
        <f>IFERROR(INDEX(_xlfn.VSTACK(YES_Writing_ELA[#Data], YES_Writing_FLA[#Data]),MATCH($A404,_xlfn.VSTACK(YES_Writing_ELA[Student Number], YES_Writing_FLA[Student Number]),0),MATCH(C$7,YES_Writing_ELA[#Headers],0)),"")</f>
        <v/>
      </c>
      <c r="D404" s="138" t="str">
        <f>IFERROR(IF(IF(INDEX(_xlfn.VSTACK(YES_Writing_ELA[#Data],YES_Writing_FLA[#Data]),MATCH($A404,_xlfn.VSTACK(YES_Writing_ELA[Student Number],YES_Writing_FLA[Student Number]),0),MATCH(VLOOKUP(D$7,'Writing Logic'!$J$7:$K$11,2,FALSE)&amp;" - Per "&amp;VLOOKUP($C$4,'Writing Logic'!$G$8:$H$14,2,FALSE),YES_Writing_ELA[#Headers],0))=0,"",INDEX(_xlfn.VSTACK(YES_Writing_ELA[#Data],YES_Writing_FLA[#Data]),MATCH($A404,_xlfn.VSTACK(YES_Writing_ELA[Student Number],YES_Writing_FLA[Student Number]),0),MATCH(VLOOKUP(D$7,'Writing Logic'!$J$7:$K$11,2,FALSE)&amp;" - Per "&amp;VLOOKUP($C$4,'Writing Logic'!$G$8:$H$14,2,FALSE),YES_Writing_ELA[#Headers],0)))="INS",'Writing Logic'!$B$7,IF(INDEX(_xlfn.VSTACK(YES_Writing_ELA[#Data],YES_Writing_FLA[#Data]),MATCH($A404,_xlfn.VSTACK(YES_Writing_ELA[Student Number],YES_Writing_FLA[Student Number]),0),MATCH(VLOOKUP(D$7,'Writing Logic'!$J$7:$K$11,2,FALSE)&amp;" - Per "&amp;VLOOKUP($C$4,'Writing Logic'!$G$8:$H$14,2,FALSE),YES_Writing_ELA[#Headers],0))=0,"",INDEX(_xlfn.VSTACK(YES_Writing_ELA[#Data],YES_Writing_FLA[#Data]),MATCH($A404,_xlfn.VSTACK(YES_Writing_ELA[Student Number],YES_Writing_FLA[Student Number]),0),MATCH(VLOOKUP(D$7,'Writing Logic'!$J$7:$K$11,2,FALSE)&amp;" - Per "&amp;VLOOKUP($C$4,'Writing Logic'!$G$8:$H$14,2,FALSE),YES_Writing_ELA[#Headers],0)))),"")</f>
        <v/>
      </c>
      <c r="E404" s="138" t="str">
        <f>IFERROR(IF(IF(INDEX(_xlfn.VSTACK(YES_Writing_ELA[#Data],YES_Writing_FLA[#Data]),MATCH($A404,_xlfn.VSTACK(YES_Writing_ELA[Student Number],YES_Writing_FLA[Student Number]),0),MATCH(VLOOKUP(E$7,'Writing Logic'!$J$7:$K$11,2,FALSE)&amp;" - Per "&amp;VLOOKUP($C$4,'Writing Logic'!$G$8:$H$14,2,FALSE),YES_Writing_ELA[#Headers],0))=0,"",INDEX(_xlfn.VSTACK(YES_Writing_ELA[#Data],YES_Writing_FLA[#Data]),MATCH($A404,_xlfn.VSTACK(YES_Writing_ELA[Student Number],YES_Writing_FLA[Student Number]),0),MATCH(VLOOKUP(E$7,'Writing Logic'!$J$7:$K$11,2,FALSE)&amp;" - Per "&amp;VLOOKUP($C$4,'Writing Logic'!$G$8:$H$14,2,FALSE),YES_Writing_ELA[#Headers],0)))="INS",'Writing Logic'!$B$7,IF(INDEX(_xlfn.VSTACK(YES_Writing_ELA[#Data],YES_Writing_FLA[#Data]),MATCH($A404,_xlfn.VSTACK(YES_Writing_ELA[Student Number],YES_Writing_FLA[Student Number]),0),MATCH(VLOOKUP(E$7,'Writing Logic'!$J$7:$K$11,2,FALSE)&amp;" - Per "&amp;VLOOKUP($C$4,'Writing Logic'!$G$8:$H$14,2,FALSE),YES_Writing_ELA[#Headers],0))=0,"",INDEX(_xlfn.VSTACK(YES_Writing_ELA[#Data],YES_Writing_FLA[#Data]),MATCH($A404,_xlfn.VSTACK(YES_Writing_ELA[Student Number],YES_Writing_FLA[Student Number]),0),MATCH(VLOOKUP(E$7,'Writing Logic'!$J$7:$K$11,2,FALSE)&amp;" - Per "&amp;VLOOKUP($C$4,'Writing Logic'!$G$8:$H$14,2,FALSE),YES_Writing_ELA[#Headers],0)))),"")</f>
        <v/>
      </c>
      <c r="F404" s="138" t="str">
        <f>IFERROR(IF(IF(INDEX(_xlfn.VSTACK(YES_Writing_ELA[#Data],YES_Writing_FLA[#Data]),MATCH($A404,_xlfn.VSTACK(YES_Writing_ELA[Student Number],YES_Writing_FLA[Student Number]),0),MATCH(VLOOKUP(F$7,'Writing Logic'!$J$7:$K$11,2,FALSE)&amp;" - Per "&amp;VLOOKUP($C$4,'Writing Logic'!$G$8:$H$14,2,FALSE),YES_Writing_ELA[#Headers],0))=0,"",INDEX(_xlfn.VSTACK(YES_Writing_ELA[#Data],YES_Writing_FLA[#Data]),MATCH($A404,_xlfn.VSTACK(YES_Writing_ELA[Student Number],YES_Writing_FLA[Student Number]),0),MATCH(VLOOKUP(F$7,'Writing Logic'!$J$7:$K$11,2,FALSE)&amp;" - Per "&amp;VLOOKUP($C$4,'Writing Logic'!$G$8:$H$14,2,FALSE),YES_Writing_ELA[#Headers],0)))="INS",'Writing Logic'!$B$7,IF(INDEX(_xlfn.VSTACK(YES_Writing_ELA[#Data],YES_Writing_FLA[#Data]),MATCH($A404,_xlfn.VSTACK(YES_Writing_ELA[Student Number],YES_Writing_FLA[Student Number]),0),MATCH(VLOOKUP(F$7,'Writing Logic'!$J$7:$K$11,2,FALSE)&amp;" - Per "&amp;VLOOKUP($C$4,'Writing Logic'!$G$8:$H$14,2,FALSE),YES_Writing_ELA[#Headers],0))=0,"",INDEX(_xlfn.VSTACK(YES_Writing_ELA[#Data],YES_Writing_FLA[#Data]),MATCH($A404,_xlfn.VSTACK(YES_Writing_ELA[Student Number],YES_Writing_FLA[Student Number]),0),MATCH(VLOOKUP(F$7,'Writing Logic'!$J$7:$K$11,2,FALSE)&amp;" - Per "&amp;VLOOKUP($C$4,'Writing Logic'!$G$8:$H$14,2,FALSE),YES_Writing_ELA[#Headers],0)))),"")</f>
        <v/>
      </c>
      <c r="G404" s="138" t="str">
        <f>IFERROR(IF(IF(INDEX(_xlfn.VSTACK(YES_Writing_ELA[#Data],YES_Writing_FLA[#Data]),MATCH($A404,_xlfn.VSTACK(YES_Writing_ELA[Student Number],YES_Writing_FLA[Student Number]),0),MATCH(VLOOKUP(G$7,'Writing Logic'!$J$7:$K$11,2,FALSE)&amp;" - Per "&amp;VLOOKUP($C$4,'Writing Logic'!$G$8:$H$14,2,FALSE),YES_Writing_ELA[#Headers],0))=0,"",INDEX(_xlfn.VSTACK(YES_Writing_ELA[#Data],YES_Writing_FLA[#Data]),MATCH($A404,_xlfn.VSTACK(YES_Writing_ELA[Student Number],YES_Writing_FLA[Student Number]),0),MATCH(VLOOKUP(G$7,'Writing Logic'!$J$7:$K$11,2,FALSE)&amp;" - Per "&amp;VLOOKUP($C$4,'Writing Logic'!$G$8:$H$14,2,FALSE),YES_Writing_ELA[#Headers],0)))="INS",'Writing Logic'!$B$7,IF(INDEX(_xlfn.VSTACK(YES_Writing_ELA[#Data],YES_Writing_FLA[#Data]),MATCH($A404,_xlfn.VSTACK(YES_Writing_ELA[Student Number],YES_Writing_FLA[Student Number]),0),MATCH(VLOOKUP(G$7,'Writing Logic'!$J$7:$K$11,2,FALSE)&amp;" - Per "&amp;VLOOKUP($C$4,'Writing Logic'!$G$8:$H$14,2,FALSE),YES_Writing_ELA[#Headers],0))=0,"",INDEX(_xlfn.VSTACK(YES_Writing_ELA[#Data],YES_Writing_FLA[#Data]),MATCH($A404,_xlfn.VSTACK(YES_Writing_ELA[Student Number],YES_Writing_FLA[Student Number]),0),MATCH(VLOOKUP(G$7,'Writing Logic'!$J$7:$K$11,2,FALSE)&amp;" - Per "&amp;VLOOKUP($C$4,'Writing Logic'!$G$8:$H$14,2,FALSE),YES_Writing_ELA[#Headers],0)))),"")</f>
        <v/>
      </c>
      <c r="H404" s="138" t="str">
        <f>IFERROR(IF(IF(INDEX(_xlfn.VSTACK(YES_Writing_ELA[#Data],YES_Writing_FLA[#Data]),MATCH($A404,_xlfn.VSTACK(YES_Writing_ELA[Student Number],YES_Writing_FLA[Student Number]),0),MATCH(VLOOKUP(H$7,'Writing Logic'!$J$7:$K$11,2,FALSE)&amp;" - Per "&amp;VLOOKUP($C$4,'Writing Logic'!$G$8:$H$14,2,FALSE),YES_Writing_ELA[#Headers],0))=0,"",INDEX(_xlfn.VSTACK(YES_Writing_ELA[#Data],YES_Writing_FLA[#Data]),MATCH($A404,_xlfn.VSTACK(YES_Writing_ELA[Student Number],YES_Writing_FLA[Student Number]),0),MATCH(VLOOKUP(H$7,'Writing Logic'!$J$7:$K$11,2,FALSE)&amp;" - Per "&amp;VLOOKUP($C$4,'Writing Logic'!$G$8:$H$14,2,FALSE),YES_Writing_ELA[#Headers],0)))="INS",'Writing Logic'!$B$7,IF(INDEX(_xlfn.VSTACK(YES_Writing_ELA[#Data],YES_Writing_FLA[#Data]),MATCH($A404,_xlfn.VSTACK(YES_Writing_ELA[Student Number],YES_Writing_FLA[Student Number]),0),MATCH(VLOOKUP(H$7,'Writing Logic'!$J$7:$K$11,2,FALSE)&amp;" - Per "&amp;VLOOKUP($C$4,'Writing Logic'!$G$8:$H$14,2,FALSE),YES_Writing_ELA[#Headers],0))=0,"",INDEX(_xlfn.VSTACK(YES_Writing_ELA[#Data],YES_Writing_FLA[#Data]),MATCH($A404,_xlfn.VSTACK(YES_Writing_ELA[Student Number],YES_Writing_FLA[Student Number]),0),MATCH(VLOOKUP(H$7,'Writing Logic'!$J$7:$K$11,2,FALSE)&amp;" - Per "&amp;VLOOKUP($C$4,'Writing Logic'!$G$8:$H$14,2,FALSE),YES_Writing_ELA[#Headers],0)))),"")</f>
        <v/>
      </c>
    </row>
    <row r="405" spans="1:8" x14ac:dyDescent="0.25">
      <c r="A405" s="137"/>
      <c r="B405" s="137" t="str">
        <f>IFERROR(INDEX(_xlfn.VSTACK(YES_Writing_ELA[#Data], YES_Writing_FLA[#Data]),MATCH($A405,_xlfn.VSTACK(YES_Writing_ELA[Student Number], YES_Writing_FLA[Student Number]),0),MATCH(B$7,YES_Writing_ELA[#Headers],0)),"")</f>
        <v/>
      </c>
      <c r="C405" s="137" t="str">
        <f>IFERROR(INDEX(_xlfn.VSTACK(YES_Writing_ELA[#Data], YES_Writing_FLA[#Data]),MATCH($A405,_xlfn.VSTACK(YES_Writing_ELA[Student Number], YES_Writing_FLA[Student Number]),0),MATCH(C$7,YES_Writing_ELA[#Headers],0)),"")</f>
        <v/>
      </c>
      <c r="D405" s="138" t="str">
        <f>IFERROR(IF(IF(INDEX(_xlfn.VSTACK(YES_Writing_ELA[#Data],YES_Writing_FLA[#Data]),MATCH($A405,_xlfn.VSTACK(YES_Writing_ELA[Student Number],YES_Writing_FLA[Student Number]),0),MATCH(VLOOKUP(D$7,'Writing Logic'!$J$7:$K$11,2,FALSE)&amp;" - Per "&amp;VLOOKUP($C$4,'Writing Logic'!$G$8:$H$14,2,FALSE),YES_Writing_ELA[#Headers],0))=0,"",INDEX(_xlfn.VSTACK(YES_Writing_ELA[#Data],YES_Writing_FLA[#Data]),MATCH($A405,_xlfn.VSTACK(YES_Writing_ELA[Student Number],YES_Writing_FLA[Student Number]),0),MATCH(VLOOKUP(D$7,'Writing Logic'!$J$7:$K$11,2,FALSE)&amp;" - Per "&amp;VLOOKUP($C$4,'Writing Logic'!$G$8:$H$14,2,FALSE),YES_Writing_ELA[#Headers],0)))="INS",'Writing Logic'!$B$7,IF(INDEX(_xlfn.VSTACK(YES_Writing_ELA[#Data],YES_Writing_FLA[#Data]),MATCH($A405,_xlfn.VSTACK(YES_Writing_ELA[Student Number],YES_Writing_FLA[Student Number]),0),MATCH(VLOOKUP(D$7,'Writing Logic'!$J$7:$K$11,2,FALSE)&amp;" - Per "&amp;VLOOKUP($C$4,'Writing Logic'!$G$8:$H$14,2,FALSE),YES_Writing_ELA[#Headers],0))=0,"",INDEX(_xlfn.VSTACK(YES_Writing_ELA[#Data],YES_Writing_FLA[#Data]),MATCH($A405,_xlfn.VSTACK(YES_Writing_ELA[Student Number],YES_Writing_FLA[Student Number]),0),MATCH(VLOOKUP(D$7,'Writing Logic'!$J$7:$K$11,2,FALSE)&amp;" - Per "&amp;VLOOKUP($C$4,'Writing Logic'!$G$8:$H$14,2,FALSE),YES_Writing_ELA[#Headers],0)))),"")</f>
        <v/>
      </c>
      <c r="E405" s="138" t="str">
        <f>IFERROR(IF(IF(INDEX(_xlfn.VSTACK(YES_Writing_ELA[#Data],YES_Writing_FLA[#Data]),MATCH($A405,_xlfn.VSTACK(YES_Writing_ELA[Student Number],YES_Writing_FLA[Student Number]),0),MATCH(VLOOKUP(E$7,'Writing Logic'!$J$7:$K$11,2,FALSE)&amp;" - Per "&amp;VLOOKUP($C$4,'Writing Logic'!$G$8:$H$14,2,FALSE),YES_Writing_ELA[#Headers],0))=0,"",INDEX(_xlfn.VSTACK(YES_Writing_ELA[#Data],YES_Writing_FLA[#Data]),MATCH($A405,_xlfn.VSTACK(YES_Writing_ELA[Student Number],YES_Writing_FLA[Student Number]),0),MATCH(VLOOKUP(E$7,'Writing Logic'!$J$7:$K$11,2,FALSE)&amp;" - Per "&amp;VLOOKUP($C$4,'Writing Logic'!$G$8:$H$14,2,FALSE),YES_Writing_ELA[#Headers],0)))="INS",'Writing Logic'!$B$7,IF(INDEX(_xlfn.VSTACK(YES_Writing_ELA[#Data],YES_Writing_FLA[#Data]),MATCH($A405,_xlfn.VSTACK(YES_Writing_ELA[Student Number],YES_Writing_FLA[Student Number]),0),MATCH(VLOOKUP(E$7,'Writing Logic'!$J$7:$K$11,2,FALSE)&amp;" - Per "&amp;VLOOKUP($C$4,'Writing Logic'!$G$8:$H$14,2,FALSE),YES_Writing_ELA[#Headers],0))=0,"",INDEX(_xlfn.VSTACK(YES_Writing_ELA[#Data],YES_Writing_FLA[#Data]),MATCH($A405,_xlfn.VSTACK(YES_Writing_ELA[Student Number],YES_Writing_FLA[Student Number]),0),MATCH(VLOOKUP(E$7,'Writing Logic'!$J$7:$K$11,2,FALSE)&amp;" - Per "&amp;VLOOKUP($C$4,'Writing Logic'!$G$8:$H$14,2,FALSE),YES_Writing_ELA[#Headers],0)))),"")</f>
        <v/>
      </c>
      <c r="F405" s="138" t="str">
        <f>IFERROR(IF(IF(INDEX(_xlfn.VSTACK(YES_Writing_ELA[#Data],YES_Writing_FLA[#Data]),MATCH($A405,_xlfn.VSTACK(YES_Writing_ELA[Student Number],YES_Writing_FLA[Student Number]),0),MATCH(VLOOKUP(F$7,'Writing Logic'!$J$7:$K$11,2,FALSE)&amp;" - Per "&amp;VLOOKUP($C$4,'Writing Logic'!$G$8:$H$14,2,FALSE),YES_Writing_ELA[#Headers],0))=0,"",INDEX(_xlfn.VSTACK(YES_Writing_ELA[#Data],YES_Writing_FLA[#Data]),MATCH($A405,_xlfn.VSTACK(YES_Writing_ELA[Student Number],YES_Writing_FLA[Student Number]),0),MATCH(VLOOKUP(F$7,'Writing Logic'!$J$7:$K$11,2,FALSE)&amp;" - Per "&amp;VLOOKUP($C$4,'Writing Logic'!$G$8:$H$14,2,FALSE),YES_Writing_ELA[#Headers],0)))="INS",'Writing Logic'!$B$7,IF(INDEX(_xlfn.VSTACK(YES_Writing_ELA[#Data],YES_Writing_FLA[#Data]),MATCH($A405,_xlfn.VSTACK(YES_Writing_ELA[Student Number],YES_Writing_FLA[Student Number]),0),MATCH(VLOOKUP(F$7,'Writing Logic'!$J$7:$K$11,2,FALSE)&amp;" - Per "&amp;VLOOKUP($C$4,'Writing Logic'!$G$8:$H$14,2,FALSE),YES_Writing_ELA[#Headers],0))=0,"",INDEX(_xlfn.VSTACK(YES_Writing_ELA[#Data],YES_Writing_FLA[#Data]),MATCH($A405,_xlfn.VSTACK(YES_Writing_ELA[Student Number],YES_Writing_FLA[Student Number]),0),MATCH(VLOOKUP(F$7,'Writing Logic'!$J$7:$K$11,2,FALSE)&amp;" - Per "&amp;VLOOKUP($C$4,'Writing Logic'!$G$8:$H$14,2,FALSE),YES_Writing_ELA[#Headers],0)))),"")</f>
        <v/>
      </c>
      <c r="G405" s="138" t="str">
        <f>IFERROR(IF(IF(INDEX(_xlfn.VSTACK(YES_Writing_ELA[#Data],YES_Writing_FLA[#Data]),MATCH($A405,_xlfn.VSTACK(YES_Writing_ELA[Student Number],YES_Writing_FLA[Student Number]),0),MATCH(VLOOKUP(G$7,'Writing Logic'!$J$7:$K$11,2,FALSE)&amp;" - Per "&amp;VLOOKUP($C$4,'Writing Logic'!$G$8:$H$14,2,FALSE),YES_Writing_ELA[#Headers],0))=0,"",INDEX(_xlfn.VSTACK(YES_Writing_ELA[#Data],YES_Writing_FLA[#Data]),MATCH($A405,_xlfn.VSTACK(YES_Writing_ELA[Student Number],YES_Writing_FLA[Student Number]),0),MATCH(VLOOKUP(G$7,'Writing Logic'!$J$7:$K$11,2,FALSE)&amp;" - Per "&amp;VLOOKUP($C$4,'Writing Logic'!$G$8:$H$14,2,FALSE),YES_Writing_ELA[#Headers],0)))="INS",'Writing Logic'!$B$7,IF(INDEX(_xlfn.VSTACK(YES_Writing_ELA[#Data],YES_Writing_FLA[#Data]),MATCH($A405,_xlfn.VSTACK(YES_Writing_ELA[Student Number],YES_Writing_FLA[Student Number]),0),MATCH(VLOOKUP(G$7,'Writing Logic'!$J$7:$K$11,2,FALSE)&amp;" - Per "&amp;VLOOKUP($C$4,'Writing Logic'!$G$8:$H$14,2,FALSE),YES_Writing_ELA[#Headers],0))=0,"",INDEX(_xlfn.VSTACK(YES_Writing_ELA[#Data],YES_Writing_FLA[#Data]),MATCH($A405,_xlfn.VSTACK(YES_Writing_ELA[Student Number],YES_Writing_FLA[Student Number]),0),MATCH(VLOOKUP(G$7,'Writing Logic'!$J$7:$K$11,2,FALSE)&amp;" - Per "&amp;VLOOKUP($C$4,'Writing Logic'!$G$8:$H$14,2,FALSE),YES_Writing_ELA[#Headers],0)))),"")</f>
        <v/>
      </c>
      <c r="H405" s="138" t="str">
        <f>IFERROR(IF(IF(INDEX(_xlfn.VSTACK(YES_Writing_ELA[#Data],YES_Writing_FLA[#Data]),MATCH($A405,_xlfn.VSTACK(YES_Writing_ELA[Student Number],YES_Writing_FLA[Student Number]),0),MATCH(VLOOKUP(H$7,'Writing Logic'!$J$7:$K$11,2,FALSE)&amp;" - Per "&amp;VLOOKUP($C$4,'Writing Logic'!$G$8:$H$14,2,FALSE),YES_Writing_ELA[#Headers],0))=0,"",INDEX(_xlfn.VSTACK(YES_Writing_ELA[#Data],YES_Writing_FLA[#Data]),MATCH($A405,_xlfn.VSTACK(YES_Writing_ELA[Student Number],YES_Writing_FLA[Student Number]),0),MATCH(VLOOKUP(H$7,'Writing Logic'!$J$7:$K$11,2,FALSE)&amp;" - Per "&amp;VLOOKUP($C$4,'Writing Logic'!$G$8:$H$14,2,FALSE),YES_Writing_ELA[#Headers],0)))="INS",'Writing Logic'!$B$7,IF(INDEX(_xlfn.VSTACK(YES_Writing_ELA[#Data],YES_Writing_FLA[#Data]),MATCH($A405,_xlfn.VSTACK(YES_Writing_ELA[Student Number],YES_Writing_FLA[Student Number]),0),MATCH(VLOOKUP(H$7,'Writing Logic'!$J$7:$K$11,2,FALSE)&amp;" - Per "&amp;VLOOKUP($C$4,'Writing Logic'!$G$8:$H$14,2,FALSE),YES_Writing_ELA[#Headers],0))=0,"",INDEX(_xlfn.VSTACK(YES_Writing_ELA[#Data],YES_Writing_FLA[#Data]),MATCH($A405,_xlfn.VSTACK(YES_Writing_ELA[Student Number],YES_Writing_FLA[Student Number]),0),MATCH(VLOOKUP(H$7,'Writing Logic'!$J$7:$K$11,2,FALSE)&amp;" - Per "&amp;VLOOKUP($C$4,'Writing Logic'!$G$8:$H$14,2,FALSE),YES_Writing_ELA[#Headers],0)))),"")</f>
        <v/>
      </c>
    </row>
    <row r="406" spans="1:8" x14ac:dyDescent="0.25">
      <c r="A406" s="137"/>
      <c r="B406" s="137" t="str">
        <f>IFERROR(INDEX(_xlfn.VSTACK(YES_Writing_ELA[#Data], YES_Writing_FLA[#Data]),MATCH($A406,_xlfn.VSTACK(YES_Writing_ELA[Student Number], YES_Writing_FLA[Student Number]),0),MATCH(B$7,YES_Writing_ELA[#Headers],0)),"")</f>
        <v/>
      </c>
      <c r="C406" s="137" t="str">
        <f>IFERROR(INDEX(_xlfn.VSTACK(YES_Writing_ELA[#Data], YES_Writing_FLA[#Data]),MATCH($A406,_xlfn.VSTACK(YES_Writing_ELA[Student Number], YES_Writing_FLA[Student Number]),0),MATCH(C$7,YES_Writing_ELA[#Headers],0)),"")</f>
        <v/>
      </c>
      <c r="D406" s="138" t="str">
        <f>IFERROR(IF(IF(INDEX(_xlfn.VSTACK(YES_Writing_ELA[#Data],YES_Writing_FLA[#Data]),MATCH($A406,_xlfn.VSTACK(YES_Writing_ELA[Student Number],YES_Writing_FLA[Student Number]),0),MATCH(VLOOKUP(D$7,'Writing Logic'!$J$7:$K$11,2,FALSE)&amp;" - Per "&amp;VLOOKUP($C$4,'Writing Logic'!$G$8:$H$14,2,FALSE),YES_Writing_ELA[#Headers],0))=0,"",INDEX(_xlfn.VSTACK(YES_Writing_ELA[#Data],YES_Writing_FLA[#Data]),MATCH($A406,_xlfn.VSTACK(YES_Writing_ELA[Student Number],YES_Writing_FLA[Student Number]),0),MATCH(VLOOKUP(D$7,'Writing Logic'!$J$7:$K$11,2,FALSE)&amp;" - Per "&amp;VLOOKUP($C$4,'Writing Logic'!$G$8:$H$14,2,FALSE),YES_Writing_ELA[#Headers],0)))="INS",'Writing Logic'!$B$7,IF(INDEX(_xlfn.VSTACK(YES_Writing_ELA[#Data],YES_Writing_FLA[#Data]),MATCH($A406,_xlfn.VSTACK(YES_Writing_ELA[Student Number],YES_Writing_FLA[Student Number]),0),MATCH(VLOOKUP(D$7,'Writing Logic'!$J$7:$K$11,2,FALSE)&amp;" - Per "&amp;VLOOKUP($C$4,'Writing Logic'!$G$8:$H$14,2,FALSE),YES_Writing_ELA[#Headers],0))=0,"",INDEX(_xlfn.VSTACK(YES_Writing_ELA[#Data],YES_Writing_FLA[#Data]),MATCH($A406,_xlfn.VSTACK(YES_Writing_ELA[Student Number],YES_Writing_FLA[Student Number]),0),MATCH(VLOOKUP(D$7,'Writing Logic'!$J$7:$K$11,2,FALSE)&amp;" - Per "&amp;VLOOKUP($C$4,'Writing Logic'!$G$8:$H$14,2,FALSE),YES_Writing_ELA[#Headers],0)))),"")</f>
        <v/>
      </c>
      <c r="E406" s="138" t="str">
        <f>IFERROR(IF(IF(INDEX(_xlfn.VSTACK(YES_Writing_ELA[#Data],YES_Writing_FLA[#Data]),MATCH($A406,_xlfn.VSTACK(YES_Writing_ELA[Student Number],YES_Writing_FLA[Student Number]),0),MATCH(VLOOKUP(E$7,'Writing Logic'!$J$7:$K$11,2,FALSE)&amp;" - Per "&amp;VLOOKUP($C$4,'Writing Logic'!$G$8:$H$14,2,FALSE),YES_Writing_ELA[#Headers],0))=0,"",INDEX(_xlfn.VSTACK(YES_Writing_ELA[#Data],YES_Writing_FLA[#Data]),MATCH($A406,_xlfn.VSTACK(YES_Writing_ELA[Student Number],YES_Writing_FLA[Student Number]),0),MATCH(VLOOKUP(E$7,'Writing Logic'!$J$7:$K$11,2,FALSE)&amp;" - Per "&amp;VLOOKUP($C$4,'Writing Logic'!$G$8:$H$14,2,FALSE),YES_Writing_ELA[#Headers],0)))="INS",'Writing Logic'!$B$7,IF(INDEX(_xlfn.VSTACK(YES_Writing_ELA[#Data],YES_Writing_FLA[#Data]),MATCH($A406,_xlfn.VSTACK(YES_Writing_ELA[Student Number],YES_Writing_FLA[Student Number]),0),MATCH(VLOOKUP(E$7,'Writing Logic'!$J$7:$K$11,2,FALSE)&amp;" - Per "&amp;VLOOKUP($C$4,'Writing Logic'!$G$8:$H$14,2,FALSE),YES_Writing_ELA[#Headers],0))=0,"",INDEX(_xlfn.VSTACK(YES_Writing_ELA[#Data],YES_Writing_FLA[#Data]),MATCH($A406,_xlfn.VSTACK(YES_Writing_ELA[Student Number],YES_Writing_FLA[Student Number]),0),MATCH(VLOOKUP(E$7,'Writing Logic'!$J$7:$K$11,2,FALSE)&amp;" - Per "&amp;VLOOKUP($C$4,'Writing Logic'!$G$8:$H$14,2,FALSE),YES_Writing_ELA[#Headers],0)))),"")</f>
        <v/>
      </c>
      <c r="F406" s="138" t="str">
        <f>IFERROR(IF(IF(INDEX(_xlfn.VSTACK(YES_Writing_ELA[#Data],YES_Writing_FLA[#Data]),MATCH($A406,_xlfn.VSTACK(YES_Writing_ELA[Student Number],YES_Writing_FLA[Student Number]),0),MATCH(VLOOKUP(F$7,'Writing Logic'!$J$7:$K$11,2,FALSE)&amp;" - Per "&amp;VLOOKUP($C$4,'Writing Logic'!$G$8:$H$14,2,FALSE),YES_Writing_ELA[#Headers],0))=0,"",INDEX(_xlfn.VSTACK(YES_Writing_ELA[#Data],YES_Writing_FLA[#Data]),MATCH($A406,_xlfn.VSTACK(YES_Writing_ELA[Student Number],YES_Writing_FLA[Student Number]),0),MATCH(VLOOKUP(F$7,'Writing Logic'!$J$7:$K$11,2,FALSE)&amp;" - Per "&amp;VLOOKUP($C$4,'Writing Logic'!$G$8:$H$14,2,FALSE),YES_Writing_ELA[#Headers],0)))="INS",'Writing Logic'!$B$7,IF(INDEX(_xlfn.VSTACK(YES_Writing_ELA[#Data],YES_Writing_FLA[#Data]),MATCH($A406,_xlfn.VSTACK(YES_Writing_ELA[Student Number],YES_Writing_FLA[Student Number]),0),MATCH(VLOOKUP(F$7,'Writing Logic'!$J$7:$K$11,2,FALSE)&amp;" - Per "&amp;VLOOKUP($C$4,'Writing Logic'!$G$8:$H$14,2,FALSE),YES_Writing_ELA[#Headers],0))=0,"",INDEX(_xlfn.VSTACK(YES_Writing_ELA[#Data],YES_Writing_FLA[#Data]),MATCH($A406,_xlfn.VSTACK(YES_Writing_ELA[Student Number],YES_Writing_FLA[Student Number]),0),MATCH(VLOOKUP(F$7,'Writing Logic'!$J$7:$K$11,2,FALSE)&amp;" - Per "&amp;VLOOKUP($C$4,'Writing Logic'!$G$8:$H$14,2,FALSE),YES_Writing_ELA[#Headers],0)))),"")</f>
        <v/>
      </c>
      <c r="G406" s="138" t="str">
        <f>IFERROR(IF(IF(INDEX(_xlfn.VSTACK(YES_Writing_ELA[#Data],YES_Writing_FLA[#Data]),MATCH($A406,_xlfn.VSTACK(YES_Writing_ELA[Student Number],YES_Writing_FLA[Student Number]),0),MATCH(VLOOKUP(G$7,'Writing Logic'!$J$7:$K$11,2,FALSE)&amp;" - Per "&amp;VLOOKUP($C$4,'Writing Logic'!$G$8:$H$14,2,FALSE),YES_Writing_ELA[#Headers],0))=0,"",INDEX(_xlfn.VSTACK(YES_Writing_ELA[#Data],YES_Writing_FLA[#Data]),MATCH($A406,_xlfn.VSTACK(YES_Writing_ELA[Student Number],YES_Writing_FLA[Student Number]),0),MATCH(VLOOKUP(G$7,'Writing Logic'!$J$7:$K$11,2,FALSE)&amp;" - Per "&amp;VLOOKUP($C$4,'Writing Logic'!$G$8:$H$14,2,FALSE),YES_Writing_ELA[#Headers],0)))="INS",'Writing Logic'!$B$7,IF(INDEX(_xlfn.VSTACK(YES_Writing_ELA[#Data],YES_Writing_FLA[#Data]),MATCH($A406,_xlfn.VSTACK(YES_Writing_ELA[Student Number],YES_Writing_FLA[Student Number]),0),MATCH(VLOOKUP(G$7,'Writing Logic'!$J$7:$K$11,2,FALSE)&amp;" - Per "&amp;VLOOKUP($C$4,'Writing Logic'!$G$8:$H$14,2,FALSE),YES_Writing_ELA[#Headers],0))=0,"",INDEX(_xlfn.VSTACK(YES_Writing_ELA[#Data],YES_Writing_FLA[#Data]),MATCH($A406,_xlfn.VSTACK(YES_Writing_ELA[Student Number],YES_Writing_FLA[Student Number]),0),MATCH(VLOOKUP(G$7,'Writing Logic'!$J$7:$K$11,2,FALSE)&amp;" - Per "&amp;VLOOKUP($C$4,'Writing Logic'!$G$8:$H$14,2,FALSE),YES_Writing_ELA[#Headers],0)))),"")</f>
        <v/>
      </c>
      <c r="H406" s="138" t="str">
        <f>IFERROR(IF(IF(INDEX(_xlfn.VSTACK(YES_Writing_ELA[#Data],YES_Writing_FLA[#Data]),MATCH($A406,_xlfn.VSTACK(YES_Writing_ELA[Student Number],YES_Writing_FLA[Student Number]),0),MATCH(VLOOKUP(H$7,'Writing Logic'!$J$7:$K$11,2,FALSE)&amp;" - Per "&amp;VLOOKUP($C$4,'Writing Logic'!$G$8:$H$14,2,FALSE),YES_Writing_ELA[#Headers],0))=0,"",INDEX(_xlfn.VSTACK(YES_Writing_ELA[#Data],YES_Writing_FLA[#Data]),MATCH($A406,_xlfn.VSTACK(YES_Writing_ELA[Student Number],YES_Writing_FLA[Student Number]),0),MATCH(VLOOKUP(H$7,'Writing Logic'!$J$7:$K$11,2,FALSE)&amp;" - Per "&amp;VLOOKUP($C$4,'Writing Logic'!$G$8:$H$14,2,FALSE),YES_Writing_ELA[#Headers],0)))="INS",'Writing Logic'!$B$7,IF(INDEX(_xlfn.VSTACK(YES_Writing_ELA[#Data],YES_Writing_FLA[#Data]),MATCH($A406,_xlfn.VSTACK(YES_Writing_ELA[Student Number],YES_Writing_FLA[Student Number]),0),MATCH(VLOOKUP(H$7,'Writing Logic'!$J$7:$K$11,2,FALSE)&amp;" - Per "&amp;VLOOKUP($C$4,'Writing Logic'!$G$8:$H$14,2,FALSE),YES_Writing_ELA[#Headers],0))=0,"",INDEX(_xlfn.VSTACK(YES_Writing_ELA[#Data],YES_Writing_FLA[#Data]),MATCH($A406,_xlfn.VSTACK(YES_Writing_ELA[Student Number],YES_Writing_FLA[Student Number]),0),MATCH(VLOOKUP(H$7,'Writing Logic'!$J$7:$K$11,2,FALSE)&amp;" - Per "&amp;VLOOKUP($C$4,'Writing Logic'!$G$8:$H$14,2,FALSE),YES_Writing_ELA[#Headers],0)))),"")</f>
        <v/>
      </c>
    </row>
    <row r="407" spans="1:8" x14ac:dyDescent="0.25">
      <c r="A407" s="137"/>
      <c r="B407" s="137" t="str">
        <f>IFERROR(INDEX(_xlfn.VSTACK(YES_Writing_ELA[#Data], YES_Writing_FLA[#Data]),MATCH($A407,_xlfn.VSTACK(YES_Writing_ELA[Student Number], YES_Writing_FLA[Student Number]),0),MATCH(B$7,YES_Writing_ELA[#Headers],0)),"")</f>
        <v/>
      </c>
      <c r="C407" s="137" t="str">
        <f>IFERROR(INDEX(_xlfn.VSTACK(YES_Writing_ELA[#Data], YES_Writing_FLA[#Data]),MATCH($A407,_xlfn.VSTACK(YES_Writing_ELA[Student Number], YES_Writing_FLA[Student Number]),0),MATCH(C$7,YES_Writing_ELA[#Headers],0)),"")</f>
        <v/>
      </c>
      <c r="D407" s="138" t="str">
        <f>IFERROR(IF(IF(INDEX(_xlfn.VSTACK(YES_Writing_ELA[#Data],YES_Writing_FLA[#Data]),MATCH($A407,_xlfn.VSTACK(YES_Writing_ELA[Student Number],YES_Writing_FLA[Student Number]),0),MATCH(VLOOKUP(D$7,'Writing Logic'!$J$7:$K$11,2,FALSE)&amp;" - Per "&amp;VLOOKUP($C$4,'Writing Logic'!$G$8:$H$14,2,FALSE),YES_Writing_ELA[#Headers],0))=0,"",INDEX(_xlfn.VSTACK(YES_Writing_ELA[#Data],YES_Writing_FLA[#Data]),MATCH($A407,_xlfn.VSTACK(YES_Writing_ELA[Student Number],YES_Writing_FLA[Student Number]),0),MATCH(VLOOKUP(D$7,'Writing Logic'!$J$7:$K$11,2,FALSE)&amp;" - Per "&amp;VLOOKUP($C$4,'Writing Logic'!$G$8:$H$14,2,FALSE),YES_Writing_ELA[#Headers],0)))="INS",'Writing Logic'!$B$7,IF(INDEX(_xlfn.VSTACK(YES_Writing_ELA[#Data],YES_Writing_FLA[#Data]),MATCH($A407,_xlfn.VSTACK(YES_Writing_ELA[Student Number],YES_Writing_FLA[Student Number]),0),MATCH(VLOOKUP(D$7,'Writing Logic'!$J$7:$K$11,2,FALSE)&amp;" - Per "&amp;VLOOKUP($C$4,'Writing Logic'!$G$8:$H$14,2,FALSE),YES_Writing_ELA[#Headers],0))=0,"",INDEX(_xlfn.VSTACK(YES_Writing_ELA[#Data],YES_Writing_FLA[#Data]),MATCH($A407,_xlfn.VSTACK(YES_Writing_ELA[Student Number],YES_Writing_FLA[Student Number]),0),MATCH(VLOOKUP(D$7,'Writing Logic'!$J$7:$K$11,2,FALSE)&amp;" - Per "&amp;VLOOKUP($C$4,'Writing Logic'!$G$8:$H$14,2,FALSE),YES_Writing_ELA[#Headers],0)))),"")</f>
        <v/>
      </c>
      <c r="E407" s="138" t="str">
        <f>IFERROR(IF(IF(INDEX(_xlfn.VSTACK(YES_Writing_ELA[#Data],YES_Writing_FLA[#Data]),MATCH($A407,_xlfn.VSTACK(YES_Writing_ELA[Student Number],YES_Writing_FLA[Student Number]),0),MATCH(VLOOKUP(E$7,'Writing Logic'!$J$7:$K$11,2,FALSE)&amp;" - Per "&amp;VLOOKUP($C$4,'Writing Logic'!$G$8:$H$14,2,FALSE),YES_Writing_ELA[#Headers],0))=0,"",INDEX(_xlfn.VSTACK(YES_Writing_ELA[#Data],YES_Writing_FLA[#Data]),MATCH($A407,_xlfn.VSTACK(YES_Writing_ELA[Student Number],YES_Writing_FLA[Student Number]),0),MATCH(VLOOKUP(E$7,'Writing Logic'!$J$7:$K$11,2,FALSE)&amp;" - Per "&amp;VLOOKUP($C$4,'Writing Logic'!$G$8:$H$14,2,FALSE),YES_Writing_ELA[#Headers],0)))="INS",'Writing Logic'!$B$7,IF(INDEX(_xlfn.VSTACK(YES_Writing_ELA[#Data],YES_Writing_FLA[#Data]),MATCH($A407,_xlfn.VSTACK(YES_Writing_ELA[Student Number],YES_Writing_FLA[Student Number]),0),MATCH(VLOOKUP(E$7,'Writing Logic'!$J$7:$K$11,2,FALSE)&amp;" - Per "&amp;VLOOKUP($C$4,'Writing Logic'!$G$8:$H$14,2,FALSE),YES_Writing_ELA[#Headers],0))=0,"",INDEX(_xlfn.VSTACK(YES_Writing_ELA[#Data],YES_Writing_FLA[#Data]),MATCH($A407,_xlfn.VSTACK(YES_Writing_ELA[Student Number],YES_Writing_FLA[Student Number]),0),MATCH(VLOOKUP(E$7,'Writing Logic'!$J$7:$K$11,2,FALSE)&amp;" - Per "&amp;VLOOKUP($C$4,'Writing Logic'!$G$8:$H$14,2,FALSE),YES_Writing_ELA[#Headers],0)))),"")</f>
        <v/>
      </c>
      <c r="F407" s="138" t="str">
        <f>IFERROR(IF(IF(INDEX(_xlfn.VSTACK(YES_Writing_ELA[#Data],YES_Writing_FLA[#Data]),MATCH($A407,_xlfn.VSTACK(YES_Writing_ELA[Student Number],YES_Writing_FLA[Student Number]),0),MATCH(VLOOKUP(F$7,'Writing Logic'!$J$7:$K$11,2,FALSE)&amp;" - Per "&amp;VLOOKUP($C$4,'Writing Logic'!$G$8:$H$14,2,FALSE),YES_Writing_ELA[#Headers],0))=0,"",INDEX(_xlfn.VSTACK(YES_Writing_ELA[#Data],YES_Writing_FLA[#Data]),MATCH($A407,_xlfn.VSTACK(YES_Writing_ELA[Student Number],YES_Writing_FLA[Student Number]),0),MATCH(VLOOKUP(F$7,'Writing Logic'!$J$7:$K$11,2,FALSE)&amp;" - Per "&amp;VLOOKUP($C$4,'Writing Logic'!$G$8:$H$14,2,FALSE),YES_Writing_ELA[#Headers],0)))="INS",'Writing Logic'!$B$7,IF(INDEX(_xlfn.VSTACK(YES_Writing_ELA[#Data],YES_Writing_FLA[#Data]),MATCH($A407,_xlfn.VSTACK(YES_Writing_ELA[Student Number],YES_Writing_FLA[Student Number]),0),MATCH(VLOOKUP(F$7,'Writing Logic'!$J$7:$K$11,2,FALSE)&amp;" - Per "&amp;VLOOKUP($C$4,'Writing Logic'!$G$8:$H$14,2,FALSE),YES_Writing_ELA[#Headers],0))=0,"",INDEX(_xlfn.VSTACK(YES_Writing_ELA[#Data],YES_Writing_FLA[#Data]),MATCH($A407,_xlfn.VSTACK(YES_Writing_ELA[Student Number],YES_Writing_FLA[Student Number]),0),MATCH(VLOOKUP(F$7,'Writing Logic'!$J$7:$K$11,2,FALSE)&amp;" - Per "&amp;VLOOKUP($C$4,'Writing Logic'!$G$8:$H$14,2,FALSE),YES_Writing_ELA[#Headers],0)))),"")</f>
        <v/>
      </c>
      <c r="G407" s="138" t="str">
        <f>IFERROR(IF(IF(INDEX(_xlfn.VSTACK(YES_Writing_ELA[#Data],YES_Writing_FLA[#Data]),MATCH($A407,_xlfn.VSTACK(YES_Writing_ELA[Student Number],YES_Writing_FLA[Student Number]),0),MATCH(VLOOKUP(G$7,'Writing Logic'!$J$7:$K$11,2,FALSE)&amp;" - Per "&amp;VLOOKUP($C$4,'Writing Logic'!$G$8:$H$14,2,FALSE),YES_Writing_ELA[#Headers],0))=0,"",INDEX(_xlfn.VSTACK(YES_Writing_ELA[#Data],YES_Writing_FLA[#Data]),MATCH($A407,_xlfn.VSTACK(YES_Writing_ELA[Student Number],YES_Writing_FLA[Student Number]),0),MATCH(VLOOKUP(G$7,'Writing Logic'!$J$7:$K$11,2,FALSE)&amp;" - Per "&amp;VLOOKUP($C$4,'Writing Logic'!$G$8:$H$14,2,FALSE),YES_Writing_ELA[#Headers],0)))="INS",'Writing Logic'!$B$7,IF(INDEX(_xlfn.VSTACK(YES_Writing_ELA[#Data],YES_Writing_FLA[#Data]),MATCH($A407,_xlfn.VSTACK(YES_Writing_ELA[Student Number],YES_Writing_FLA[Student Number]),0),MATCH(VLOOKUP(G$7,'Writing Logic'!$J$7:$K$11,2,FALSE)&amp;" - Per "&amp;VLOOKUP($C$4,'Writing Logic'!$G$8:$H$14,2,FALSE),YES_Writing_ELA[#Headers],0))=0,"",INDEX(_xlfn.VSTACK(YES_Writing_ELA[#Data],YES_Writing_FLA[#Data]),MATCH($A407,_xlfn.VSTACK(YES_Writing_ELA[Student Number],YES_Writing_FLA[Student Number]),0),MATCH(VLOOKUP(G$7,'Writing Logic'!$J$7:$K$11,2,FALSE)&amp;" - Per "&amp;VLOOKUP($C$4,'Writing Logic'!$G$8:$H$14,2,FALSE),YES_Writing_ELA[#Headers],0)))),"")</f>
        <v/>
      </c>
      <c r="H407" s="138" t="str">
        <f>IFERROR(IF(IF(INDEX(_xlfn.VSTACK(YES_Writing_ELA[#Data],YES_Writing_FLA[#Data]),MATCH($A407,_xlfn.VSTACK(YES_Writing_ELA[Student Number],YES_Writing_FLA[Student Number]),0),MATCH(VLOOKUP(H$7,'Writing Logic'!$J$7:$K$11,2,FALSE)&amp;" - Per "&amp;VLOOKUP($C$4,'Writing Logic'!$G$8:$H$14,2,FALSE),YES_Writing_ELA[#Headers],0))=0,"",INDEX(_xlfn.VSTACK(YES_Writing_ELA[#Data],YES_Writing_FLA[#Data]),MATCH($A407,_xlfn.VSTACK(YES_Writing_ELA[Student Number],YES_Writing_FLA[Student Number]),0),MATCH(VLOOKUP(H$7,'Writing Logic'!$J$7:$K$11,2,FALSE)&amp;" - Per "&amp;VLOOKUP($C$4,'Writing Logic'!$G$8:$H$14,2,FALSE),YES_Writing_ELA[#Headers],0)))="INS",'Writing Logic'!$B$7,IF(INDEX(_xlfn.VSTACK(YES_Writing_ELA[#Data],YES_Writing_FLA[#Data]),MATCH($A407,_xlfn.VSTACK(YES_Writing_ELA[Student Number],YES_Writing_FLA[Student Number]),0),MATCH(VLOOKUP(H$7,'Writing Logic'!$J$7:$K$11,2,FALSE)&amp;" - Per "&amp;VLOOKUP($C$4,'Writing Logic'!$G$8:$H$14,2,FALSE),YES_Writing_ELA[#Headers],0))=0,"",INDEX(_xlfn.VSTACK(YES_Writing_ELA[#Data],YES_Writing_FLA[#Data]),MATCH($A407,_xlfn.VSTACK(YES_Writing_ELA[Student Number],YES_Writing_FLA[Student Number]),0),MATCH(VLOOKUP(H$7,'Writing Logic'!$J$7:$K$11,2,FALSE)&amp;" - Per "&amp;VLOOKUP($C$4,'Writing Logic'!$G$8:$H$14,2,FALSE),YES_Writing_ELA[#Headers],0)))),"")</f>
        <v/>
      </c>
    </row>
    <row r="408" spans="1:8" x14ac:dyDescent="0.25">
      <c r="A408" s="137"/>
      <c r="B408" s="137" t="str">
        <f>IFERROR(INDEX(_xlfn.VSTACK(YES_Writing_ELA[#Data], YES_Writing_FLA[#Data]),MATCH($A408,_xlfn.VSTACK(YES_Writing_ELA[Student Number], YES_Writing_FLA[Student Number]),0),MATCH(B$7,YES_Writing_ELA[#Headers],0)),"")</f>
        <v/>
      </c>
      <c r="C408" s="137" t="str">
        <f>IFERROR(INDEX(_xlfn.VSTACK(YES_Writing_ELA[#Data], YES_Writing_FLA[#Data]),MATCH($A408,_xlfn.VSTACK(YES_Writing_ELA[Student Number], YES_Writing_FLA[Student Number]),0),MATCH(C$7,YES_Writing_ELA[#Headers],0)),"")</f>
        <v/>
      </c>
      <c r="D408" s="138" t="str">
        <f>IFERROR(IF(IF(INDEX(_xlfn.VSTACK(YES_Writing_ELA[#Data],YES_Writing_FLA[#Data]),MATCH($A408,_xlfn.VSTACK(YES_Writing_ELA[Student Number],YES_Writing_FLA[Student Number]),0),MATCH(VLOOKUP(D$7,'Writing Logic'!$J$7:$K$11,2,FALSE)&amp;" - Per "&amp;VLOOKUP($C$4,'Writing Logic'!$G$8:$H$14,2,FALSE),YES_Writing_ELA[#Headers],0))=0,"",INDEX(_xlfn.VSTACK(YES_Writing_ELA[#Data],YES_Writing_FLA[#Data]),MATCH($A408,_xlfn.VSTACK(YES_Writing_ELA[Student Number],YES_Writing_FLA[Student Number]),0),MATCH(VLOOKUP(D$7,'Writing Logic'!$J$7:$K$11,2,FALSE)&amp;" - Per "&amp;VLOOKUP($C$4,'Writing Logic'!$G$8:$H$14,2,FALSE),YES_Writing_ELA[#Headers],0)))="INS",'Writing Logic'!$B$7,IF(INDEX(_xlfn.VSTACK(YES_Writing_ELA[#Data],YES_Writing_FLA[#Data]),MATCH($A408,_xlfn.VSTACK(YES_Writing_ELA[Student Number],YES_Writing_FLA[Student Number]),0),MATCH(VLOOKUP(D$7,'Writing Logic'!$J$7:$K$11,2,FALSE)&amp;" - Per "&amp;VLOOKUP($C$4,'Writing Logic'!$G$8:$H$14,2,FALSE),YES_Writing_ELA[#Headers],0))=0,"",INDEX(_xlfn.VSTACK(YES_Writing_ELA[#Data],YES_Writing_FLA[#Data]),MATCH($A408,_xlfn.VSTACK(YES_Writing_ELA[Student Number],YES_Writing_FLA[Student Number]),0),MATCH(VLOOKUP(D$7,'Writing Logic'!$J$7:$K$11,2,FALSE)&amp;" - Per "&amp;VLOOKUP($C$4,'Writing Logic'!$G$8:$H$14,2,FALSE),YES_Writing_ELA[#Headers],0)))),"")</f>
        <v/>
      </c>
      <c r="E408" s="138" t="str">
        <f>IFERROR(IF(IF(INDEX(_xlfn.VSTACK(YES_Writing_ELA[#Data],YES_Writing_FLA[#Data]),MATCH($A408,_xlfn.VSTACK(YES_Writing_ELA[Student Number],YES_Writing_FLA[Student Number]),0),MATCH(VLOOKUP(E$7,'Writing Logic'!$J$7:$K$11,2,FALSE)&amp;" - Per "&amp;VLOOKUP($C$4,'Writing Logic'!$G$8:$H$14,2,FALSE),YES_Writing_ELA[#Headers],0))=0,"",INDEX(_xlfn.VSTACK(YES_Writing_ELA[#Data],YES_Writing_FLA[#Data]),MATCH($A408,_xlfn.VSTACK(YES_Writing_ELA[Student Number],YES_Writing_FLA[Student Number]),0),MATCH(VLOOKUP(E$7,'Writing Logic'!$J$7:$K$11,2,FALSE)&amp;" - Per "&amp;VLOOKUP($C$4,'Writing Logic'!$G$8:$H$14,2,FALSE),YES_Writing_ELA[#Headers],0)))="INS",'Writing Logic'!$B$7,IF(INDEX(_xlfn.VSTACK(YES_Writing_ELA[#Data],YES_Writing_FLA[#Data]),MATCH($A408,_xlfn.VSTACK(YES_Writing_ELA[Student Number],YES_Writing_FLA[Student Number]),0),MATCH(VLOOKUP(E$7,'Writing Logic'!$J$7:$K$11,2,FALSE)&amp;" - Per "&amp;VLOOKUP($C$4,'Writing Logic'!$G$8:$H$14,2,FALSE),YES_Writing_ELA[#Headers],0))=0,"",INDEX(_xlfn.VSTACK(YES_Writing_ELA[#Data],YES_Writing_FLA[#Data]),MATCH($A408,_xlfn.VSTACK(YES_Writing_ELA[Student Number],YES_Writing_FLA[Student Number]),0),MATCH(VLOOKUP(E$7,'Writing Logic'!$J$7:$K$11,2,FALSE)&amp;" - Per "&amp;VLOOKUP($C$4,'Writing Logic'!$G$8:$H$14,2,FALSE),YES_Writing_ELA[#Headers],0)))),"")</f>
        <v/>
      </c>
      <c r="F408" s="138" t="str">
        <f>IFERROR(IF(IF(INDEX(_xlfn.VSTACK(YES_Writing_ELA[#Data],YES_Writing_FLA[#Data]),MATCH($A408,_xlfn.VSTACK(YES_Writing_ELA[Student Number],YES_Writing_FLA[Student Number]),0),MATCH(VLOOKUP(F$7,'Writing Logic'!$J$7:$K$11,2,FALSE)&amp;" - Per "&amp;VLOOKUP($C$4,'Writing Logic'!$G$8:$H$14,2,FALSE),YES_Writing_ELA[#Headers],0))=0,"",INDEX(_xlfn.VSTACK(YES_Writing_ELA[#Data],YES_Writing_FLA[#Data]),MATCH($A408,_xlfn.VSTACK(YES_Writing_ELA[Student Number],YES_Writing_FLA[Student Number]),0),MATCH(VLOOKUP(F$7,'Writing Logic'!$J$7:$K$11,2,FALSE)&amp;" - Per "&amp;VLOOKUP($C$4,'Writing Logic'!$G$8:$H$14,2,FALSE),YES_Writing_ELA[#Headers],0)))="INS",'Writing Logic'!$B$7,IF(INDEX(_xlfn.VSTACK(YES_Writing_ELA[#Data],YES_Writing_FLA[#Data]),MATCH($A408,_xlfn.VSTACK(YES_Writing_ELA[Student Number],YES_Writing_FLA[Student Number]),0),MATCH(VLOOKUP(F$7,'Writing Logic'!$J$7:$K$11,2,FALSE)&amp;" - Per "&amp;VLOOKUP($C$4,'Writing Logic'!$G$8:$H$14,2,FALSE),YES_Writing_ELA[#Headers],0))=0,"",INDEX(_xlfn.VSTACK(YES_Writing_ELA[#Data],YES_Writing_FLA[#Data]),MATCH($A408,_xlfn.VSTACK(YES_Writing_ELA[Student Number],YES_Writing_FLA[Student Number]),0),MATCH(VLOOKUP(F$7,'Writing Logic'!$J$7:$K$11,2,FALSE)&amp;" - Per "&amp;VLOOKUP($C$4,'Writing Logic'!$G$8:$H$14,2,FALSE),YES_Writing_ELA[#Headers],0)))),"")</f>
        <v/>
      </c>
      <c r="G408" s="138" t="str">
        <f>IFERROR(IF(IF(INDEX(_xlfn.VSTACK(YES_Writing_ELA[#Data],YES_Writing_FLA[#Data]),MATCH($A408,_xlfn.VSTACK(YES_Writing_ELA[Student Number],YES_Writing_FLA[Student Number]),0),MATCH(VLOOKUP(G$7,'Writing Logic'!$J$7:$K$11,2,FALSE)&amp;" - Per "&amp;VLOOKUP($C$4,'Writing Logic'!$G$8:$H$14,2,FALSE),YES_Writing_ELA[#Headers],0))=0,"",INDEX(_xlfn.VSTACK(YES_Writing_ELA[#Data],YES_Writing_FLA[#Data]),MATCH($A408,_xlfn.VSTACK(YES_Writing_ELA[Student Number],YES_Writing_FLA[Student Number]),0),MATCH(VLOOKUP(G$7,'Writing Logic'!$J$7:$K$11,2,FALSE)&amp;" - Per "&amp;VLOOKUP($C$4,'Writing Logic'!$G$8:$H$14,2,FALSE),YES_Writing_ELA[#Headers],0)))="INS",'Writing Logic'!$B$7,IF(INDEX(_xlfn.VSTACK(YES_Writing_ELA[#Data],YES_Writing_FLA[#Data]),MATCH($A408,_xlfn.VSTACK(YES_Writing_ELA[Student Number],YES_Writing_FLA[Student Number]),0),MATCH(VLOOKUP(G$7,'Writing Logic'!$J$7:$K$11,2,FALSE)&amp;" - Per "&amp;VLOOKUP($C$4,'Writing Logic'!$G$8:$H$14,2,FALSE),YES_Writing_ELA[#Headers],0))=0,"",INDEX(_xlfn.VSTACK(YES_Writing_ELA[#Data],YES_Writing_FLA[#Data]),MATCH($A408,_xlfn.VSTACK(YES_Writing_ELA[Student Number],YES_Writing_FLA[Student Number]),0),MATCH(VLOOKUP(G$7,'Writing Logic'!$J$7:$K$11,2,FALSE)&amp;" - Per "&amp;VLOOKUP($C$4,'Writing Logic'!$G$8:$H$14,2,FALSE),YES_Writing_ELA[#Headers],0)))),"")</f>
        <v/>
      </c>
      <c r="H408" s="138" t="str">
        <f>IFERROR(IF(IF(INDEX(_xlfn.VSTACK(YES_Writing_ELA[#Data],YES_Writing_FLA[#Data]),MATCH($A408,_xlfn.VSTACK(YES_Writing_ELA[Student Number],YES_Writing_FLA[Student Number]),0),MATCH(VLOOKUP(H$7,'Writing Logic'!$J$7:$K$11,2,FALSE)&amp;" - Per "&amp;VLOOKUP($C$4,'Writing Logic'!$G$8:$H$14,2,FALSE),YES_Writing_ELA[#Headers],0))=0,"",INDEX(_xlfn.VSTACK(YES_Writing_ELA[#Data],YES_Writing_FLA[#Data]),MATCH($A408,_xlfn.VSTACK(YES_Writing_ELA[Student Number],YES_Writing_FLA[Student Number]),0),MATCH(VLOOKUP(H$7,'Writing Logic'!$J$7:$K$11,2,FALSE)&amp;" - Per "&amp;VLOOKUP($C$4,'Writing Logic'!$G$8:$H$14,2,FALSE),YES_Writing_ELA[#Headers],0)))="INS",'Writing Logic'!$B$7,IF(INDEX(_xlfn.VSTACK(YES_Writing_ELA[#Data],YES_Writing_FLA[#Data]),MATCH($A408,_xlfn.VSTACK(YES_Writing_ELA[Student Number],YES_Writing_FLA[Student Number]),0),MATCH(VLOOKUP(H$7,'Writing Logic'!$J$7:$K$11,2,FALSE)&amp;" - Per "&amp;VLOOKUP($C$4,'Writing Logic'!$G$8:$H$14,2,FALSE),YES_Writing_ELA[#Headers],0))=0,"",INDEX(_xlfn.VSTACK(YES_Writing_ELA[#Data],YES_Writing_FLA[#Data]),MATCH($A408,_xlfn.VSTACK(YES_Writing_ELA[Student Number],YES_Writing_FLA[Student Number]),0),MATCH(VLOOKUP(H$7,'Writing Logic'!$J$7:$K$11,2,FALSE)&amp;" - Per "&amp;VLOOKUP($C$4,'Writing Logic'!$G$8:$H$14,2,FALSE),YES_Writing_ELA[#Headers],0)))),"")</f>
        <v/>
      </c>
    </row>
    <row r="409" spans="1:8" x14ac:dyDescent="0.25">
      <c r="A409" s="137"/>
      <c r="B409" s="137" t="str">
        <f>IFERROR(INDEX(_xlfn.VSTACK(YES_Writing_ELA[#Data], YES_Writing_FLA[#Data]),MATCH($A409,_xlfn.VSTACK(YES_Writing_ELA[Student Number], YES_Writing_FLA[Student Number]),0),MATCH(B$7,YES_Writing_ELA[#Headers],0)),"")</f>
        <v/>
      </c>
      <c r="C409" s="137" t="str">
        <f>IFERROR(INDEX(_xlfn.VSTACK(YES_Writing_ELA[#Data], YES_Writing_FLA[#Data]),MATCH($A409,_xlfn.VSTACK(YES_Writing_ELA[Student Number], YES_Writing_FLA[Student Number]),0),MATCH(C$7,YES_Writing_ELA[#Headers],0)),"")</f>
        <v/>
      </c>
      <c r="D409" s="138" t="str">
        <f>IFERROR(IF(IF(INDEX(_xlfn.VSTACK(YES_Writing_ELA[#Data],YES_Writing_FLA[#Data]),MATCH($A409,_xlfn.VSTACK(YES_Writing_ELA[Student Number],YES_Writing_FLA[Student Number]),0),MATCH(VLOOKUP(D$7,'Writing Logic'!$J$7:$K$11,2,FALSE)&amp;" - Per "&amp;VLOOKUP($C$4,'Writing Logic'!$G$8:$H$14,2,FALSE),YES_Writing_ELA[#Headers],0))=0,"",INDEX(_xlfn.VSTACK(YES_Writing_ELA[#Data],YES_Writing_FLA[#Data]),MATCH($A409,_xlfn.VSTACK(YES_Writing_ELA[Student Number],YES_Writing_FLA[Student Number]),0),MATCH(VLOOKUP(D$7,'Writing Logic'!$J$7:$K$11,2,FALSE)&amp;" - Per "&amp;VLOOKUP($C$4,'Writing Logic'!$G$8:$H$14,2,FALSE),YES_Writing_ELA[#Headers],0)))="INS",'Writing Logic'!$B$7,IF(INDEX(_xlfn.VSTACK(YES_Writing_ELA[#Data],YES_Writing_FLA[#Data]),MATCH($A409,_xlfn.VSTACK(YES_Writing_ELA[Student Number],YES_Writing_FLA[Student Number]),0),MATCH(VLOOKUP(D$7,'Writing Logic'!$J$7:$K$11,2,FALSE)&amp;" - Per "&amp;VLOOKUP($C$4,'Writing Logic'!$G$8:$H$14,2,FALSE),YES_Writing_ELA[#Headers],0))=0,"",INDEX(_xlfn.VSTACK(YES_Writing_ELA[#Data],YES_Writing_FLA[#Data]),MATCH($A409,_xlfn.VSTACK(YES_Writing_ELA[Student Number],YES_Writing_FLA[Student Number]),0),MATCH(VLOOKUP(D$7,'Writing Logic'!$J$7:$K$11,2,FALSE)&amp;" - Per "&amp;VLOOKUP($C$4,'Writing Logic'!$G$8:$H$14,2,FALSE),YES_Writing_ELA[#Headers],0)))),"")</f>
        <v/>
      </c>
      <c r="E409" s="138" t="str">
        <f>IFERROR(IF(IF(INDEX(_xlfn.VSTACK(YES_Writing_ELA[#Data],YES_Writing_FLA[#Data]),MATCH($A409,_xlfn.VSTACK(YES_Writing_ELA[Student Number],YES_Writing_FLA[Student Number]),0),MATCH(VLOOKUP(E$7,'Writing Logic'!$J$7:$K$11,2,FALSE)&amp;" - Per "&amp;VLOOKUP($C$4,'Writing Logic'!$G$8:$H$14,2,FALSE),YES_Writing_ELA[#Headers],0))=0,"",INDEX(_xlfn.VSTACK(YES_Writing_ELA[#Data],YES_Writing_FLA[#Data]),MATCH($A409,_xlfn.VSTACK(YES_Writing_ELA[Student Number],YES_Writing_FLA[Student Number]),0),MATCH(VLOOKUP(E$7,'Writing Logic'!$J$7:$K$11,2,FALSE)&amp;" - Per "&amp;VLOOKUP($C$4,'Writing Logic'!$G$8:$H$14,2,FALSE),YES_Writing_ELA[#Headers],0)))="INS",'Writing Logic'!$B$7,IF(INDEX(_xlfn.VSTACK(YES_Writing_ELA[#Data],YES_Writing_FLA[#Data]),MATCH($A409,_xlfn.VSTACK(YES_Writing_ELA[Student Number],YES_Writing_FLA[Student Number]),0),MATCH(VLOOKUP(E$7,'Writing Logic'!$J$7:$K$11,2,FALSE)&amp;" - Per "&amp;VLOOKUP($C$4,'Writing Logic'!$G$8:$H$14,2,FALSE),YES_Writing_ELA[#Headers],0))=0,"",INDEX(_xlfn.VSTACK(YES_Writing_ELA[#Data],YES_Writing_FLA[#Data]),MATCH($A409,_xlfn.VSTACK(YES_Writing_ELA[Student Number],YES_Writing_FLA[Student Number]),0),MATCH(VLOOKUP(E$7,'Writing Logic'!$J$7:$K$11,2,FALSE)&amp;" - Per "&amp;VLOOKUP($C$4,'Writing Logic'!$G$8:$H$14,2,FALSE),YES_Writing_ELA[#Headers],0)))),"")</f>
        <v/>
      </c>
      <c r="F409" s="138" t="str">
        <f>IFERROR(IF(IF(INDEX(_xlfn.VSTACK(YES_Writing_ELA[#Data],YES_Writing_FLA[#Data]),MATCH($A409,_xlfn.VSTACK(YES_Writing_ELA[Student Number],YES_Writing_FLA[Student Number]),0),MATCH(VLOOKUP(F$7,'Writing Logic'!$J$7:$K$11,2,FALSE)&amp;" - Per "&amp;VLOOKUP($C$4,'Writing Logic'!$G$8:$H$14,2,FALSE),YES_Writing_ELA[#Headers],0))=0,"",INDEX(_xlfn.VSTACK(YES_Writing_ELA[#Data],YES_Writing_FLA[#Data]),MATCH($A409,_xlfn.VSTACK(YES_Writing_ELA[Student Number],YES_Writing_FLA[Student Number]),0),MATCH(VLOOKUP(F$7,'Writing Logic'!$J$7:$K$11,2,FALSE)&amp;" - Per "&amp;VLOOKUP($C$4,'Writing Logic'!$G$8:$H$14,2,FALSE),YES_Writing_ELA[#Headers],0)))="INS",'Writing Logic'!$B$7,IF(INDEX(_xlfn.VSTACK(YES_Writing_ELA[#Data],YES_Writing_FLA[#Data]),MATCH($A409,_xlfn.VSTACK(YES_Writing_ELA[Student Number],YES_Writing_FLA[Student Number]),0),MATCH(VLOOKUP(F$7,'Writing Logic'!$J$7:$K$11,2,FALSE)&amp;" - Per "&amp;VLOOKUP($C$4,'Writing Logic'!$G$8:$H$14,2,FALSE),YES_Writing_ELA[#Headers],0))=0,"",INDEX(_xlfn.VSTACK(YES_Writing_ELA[#Data],YES_Writing_FLA[#Data]),MATCH($A409,_xlfn.VSTACK(YES_Writing_ELA[Student Number],YES_Writing_FLA[Student Number]),0),MATCH(VLOOKUP(F$7,'Writing Logic'!$J$7:$K$11,2,FALSE)&amp;" - Per "&amp;VLOOKUP($C$4,'Writing Logic'!$G$8:$H$14,2,FALSE),YES_Writing_ELA[#Headers],0)))),"")</f>
        <v/>
      </c>
      <c r="G409" s="138" t="str">
        <f>IFERROR(IF(IF(INDEX(_xlfn.VSTACK(YES_Writing_ELA[#Data],YES_Writing_FLA[#Data]),MATCH($A409,_xlfn.VSTACK(YES_Writing_ELA[Student Number],YES_Writing_FLA[Student Number]),0),MATCH(VLOOKUP(G$7,'Writing Logic'!$J$7:$K$11,2,FALSE)&amp;" - Per "&amp;VLOOKUP($C$4,'Writing Logic'!$G$8:$H$14,2,FALSE),YES_Writing_ELA[#Headers],0))=0,"",INDEX(_xlfn.VSTACK(YES_Writing_ELA[#Data],YES_Writing_FLA[#Data]),MATCH($A409,_xlfn.VSTACK(YES_Writing_ELA[Student Number],YES_Writing_FLA[Student Number]),0),MATCH(VLOOKUP(G$7,'Writing Logic'!$J$7:$K$11,2,FALSE)&amp;" - Per "&amp;VLOOKUP($C$4,'Writing Logic'!$G$8:$H$14,2,FALSE),YES_Writing_ELA[#Headers],0)))="INS",'Writing Logic'!$B$7,IF(INDEX(_xlfn.VSTACK(YES_Writing_ELA[#Data],YES_Writing_FLA[#Data]),MATCH($A409,_xlfn.VSTACK(YES_Writing_ELA[Student Number],YES_Writing_FLA[Student Number]),0),MATCH(VLOOKUP(G$7,'Writing Logic'!$J$7:$K$11,2,FALSE)&amp;" - Per "&amp;VLOOKUP($C$4,'Writing Logic'!$G$8:$H$14,2,FALSE),YES_Writing_ELA[#Headers],0))=0,"",INDEX(_xlfn.VSTACK(YES_Writing_ELA[#Data],YES_Writing_FLA[#Data]),MATCH($A409,_xlfn.VSTACK(YES_Writing_ELA[Student Number],YES_Writing_FLA[Student Number]),0),MATCH(VLOOKUP(G$7,'Writing Logic'!$J$7:$K$11,2,FALSE)&amp;" - Per "&amp;VLOOKUP($C$4,'Writing Logic'!$G$8:$H$14,2,FALSE),YES_Writing_ELA[#Headers],0)))),"")</f>
        <v/>
      </c>
      <c r="H409" s="138" t="str">
        <f>IFERROR(IF(IF(INDEX(_xlfn.VSTACK(YES_Writing_ELA[#Data],YES_Writing_FLA[#Data]),MATCH($A409,_xlfn.VSTACK(YES_Writing_ELA[Student Number],YES_Writing_FLA[Student Number]),0),MATCH(VLOOKUP(H$7,'Writing Logic'!$J$7:$K$11,2,FALSE)&amp;" - Per "&amp;VLOOKUP($C$4,'Writing Logic'!$G$8:$H$14,2,FALSE),YES_Writing_ELA[#Headers],0))=0,"",INDEX(_xlfn.VSTACK(YES_Writing_ELA[#Data],YES_Writing_FLA[#Data]),MATCH($A409,_xlfn.VSTACK(YES_Writing_ELA[Student Number],YES_Writing_FLA[Student Number]),0),MATCH(VLOOKUP(H$7,'Writing Logic'!$J$7:$K$11,2,FALSE)&amp;" - Per "&amp;VLOOKUP($C$4,'Writing Logic'!$G$8:$H$14,2,FALSE),YES_Writing_ELA[#Headers],0)))="INS",'Writing Logic'!$B$7,IF(INDEX(_xlfn.VSTACK(YES_Writing_ELA[#Data],YES_Writing_FLA[#Data]),MATCH($A409,_xlfn.VSTACK(YES_Writing_ELA[Student Number],YES_Writing_FLA[Student Number]),0),MATCH(VLOOKUP(H$7,'Writing Logic'!$J$7:$K$11,2,FALSE)&amp;" - Per "&amp;VLOOKUP($C$4,'Writing Logic'!$G$8:$H$14,2,FALSE),YES_Writing_ELA[#Headers],0))=0,"",INDEX(_xlfn.VSTACK(YES_Writing_ELA[#Data],YES_Writing_FLA[#Data]),MATCH($A409,_xlfn.VSTACK(YES_Writing_ELA[Student Number],YES_Writing_FLA[Student Number]),0),MATCH(VLOOKUP(H$7,'Writing Logic'!$J$7:$K$11,2,FALSE)&amp;" - Per "&amp;VLOOKUP($C$4,'Writing Logic'!$G$8:$H$14,2,FALSE),YES_Writing_ELA[#Headers],0)))),"")</f>
        <v/>
      </c>
    </row>
    <row r="410" spans="1:8" x14ac:dyDescent="0.25">
      <c r="A410" s="137"/>
      <c r="B410" s="137" t="str">
        <f>IFERROR(INDEX(_xlfn.VSTACK(YES_Writing_ELA[#Data], YES_Writing_FLA[#Data]),MATCH($A410,_xlfn.VSTACK(YES_Writing_ELA[Student Number], YES_Writing_FLA[Student Number]),0),MATCH(B$7,YES_Writing_ELA[#Headers],0)),"")</f>
        <v/>
      </c>
      <c r="C410" s="137" t="str">
        <f>IFERROR(INDEX(_xlfn.VSTACK(YES_Writing_ELA[#Data], YES_Writing_FLA[#Data]),MATCH($A410,_xlfn.VSTACK(YES_Writing_ELA[Student Number], YES_Writing_FLA[Student Number]),0),MATCH(C$7,YES_Writing_ELA[#Headers],0)),"")</f>
        <v/>
      </c>
      <c r="D410" s="138" t="str">
        <f>IFERROR(IF(IF(INDEX(_xlfn.VSTACK(YES_Writing_ELA[#Data],YES_Writing_FLA[#Data]),MATCH($A410,_xlfn.VSTACK(YES_Writing_ELA[Student Number],YES_Writing_FLA[Student Number]),0),MATCH(VLOOKUP(D$7,'Writing Logic'!$J$7:$K$11,2,FALSE)&amp;" - Per "&amp;VLOOKUP($C$4,'Writing Logic'!$G$8:$H$14,2,FALSE),YES_Writing_ELA[#Headers],0))=0,"",INDEX(_xlfn.VSTACK(YES_Writing_ELA[#Data],YES_Writing_FLA[#Data]),MATCH($A410,_xlfn.VSTACK(YES_Writing_ELA[Student Number],YES_Writing_FLA[Student Number]),0),MATCH(VLOOKUP(D$7,'Writing Logic'!$J$7:$K$11,2,FALSE)&amp;" - Per "&amp;VLOOKUP($C$4,'Writing Logic'!$G$8:$H$14,2,FALSE),YES_Writing_ELA[#Headers],0)))="INS",'Writing Logic'!$B$7,IF(INDEX(_xlfn.VSTACK(YES_Writing_ELA[#Data],YES_Writing_FLA[#Data]),MATCH($A410,_xlfn.VSTACK(YES_Writing_ELA[Student Number],YES_Writing_FLA[Student Number]),0),MATCH(VLOOKUP(D$7,'Writing Logic'!$J$7:$K$11,2,FALSE)&amp;" - Per "&amp;VLOOKUP($C$4,'Writing Logic'!$G$8:$H$14,2,FALSE),YES_Writing_ELA[#Headers],0))=0,"",INDEX(_xlfn.VSTACK(YES_Writing_ELA[#Data],YES_Writing_FLA[#Data]),MATCH($A410,_xlfn.VSTACK(YES_Writing_ELA[Student Number],YES_Writing_FLA[Student Number]),0),MATCH(VLOOKUP(D$7,'Writing Logic'!$J$7:$K$11,2,FALSE)&amp;" - Per "&amp;VLOOKUP($C$4,'Writing Logic'!$G$8:$H$14,2,FALSE),YES_Writing_ELA[#Headers],0)))),"")</f>
        <v/>
      </c>
      <c r="E410" s="138" t="str">
        <f>IFERROR(IF(IF(INDEX(_xlfn.VSTACK(YES_Writing_ELA[#Data],YES_Writing_FLA[#Data]),MATCH($A410,_xlfn.VSTACK(YES_Writing_ELA[Student Number],YES_Writing_FLA[Student Number]),0),MATCH(VLOOKUP(E$7,'Writing Logic'!$J$7:$K$11,2,FALSE)&amp;" - Per "&amp;VLOOKUP($C$4,'Writing Logic'!$G$8:$H$14,2,FALSE),YES_Writing_ELA[#Headers],0))=0,"",INDEX(_xlfn.VSTACK(YES_Writing_ELA[#Data],YES_Writing_FLA[#Data]),MATCH($A410,_xlfn.VSTACK(YES_Writing_ELA[Student Number],YES_Writing_FLA[Student Number]),0),MATCH(VLOOKUP(E$7,'Writing Logic'!$J$7:$K$11,2,FALSE)&amp;" - Per "&amp;VLOOKUP($C$4,'Writing Logic'!$G$8:$H$14,2,FALSE),YES_Writing_ELA[#Headers],0)))="INS",'Writing Logic'!$B$7,IF(INDEX(_xlfn.VSTACK(YES_Writing_ELA[#Data],YES_Writing_FLA[#Data]),MATCH($A410,_xlfn.VSTACK(YES_Writing_ELA[Student Number],YES_Writing_FLA[Student Number]),0),MATCH(VLOOKUP(E$7,'Writing Logic'!$J$7:$K$11,2,FALSE)&amp;" - Per "&amp;VLOOKUP($C$4,'Writing Logic'!$G$8:$H$14,2,FALSE),YES_Writing_ELA[#Headers],0))=0,"",INDEX(_xlfn.VSTACK(YES_Writing_ELA[#Data],YES_Writing_FLA[#Data]),MATCH($A410,_xlfn.VSTACK(YES_Writing_ELA[Student Number],YES_Writing_FLA[Student Number]),0),MATCH(VLOOKUP(E$7,'Writing Logic'!$J$7:$K$11,2,FALSE)&amp;" - Per "&amp;VLOOKUP($C$4,'Writing Logic'!$G$8:$H$14,2,FALSE),YES_Writing_ELA[#Headers],0)))),"")</f>
        <v/>
      </c>
      <c r="F410" s="138" t="str">
        <f>IFERROR(IF(IF(INDEX(_xlfn.VSTACK(YES_Writing_ELA[#Data],YES_Writing_FLA[#Data]),MATCH($A410,_xlfn.VSTACK(YES_Writing_ELA[Student Number],YES_Writing_FLA[Student Number]),0),MATCH(VLOOKUP(F$7,'Writing Logic'!$J$7:$K$11,2,FALSE)&amp;" - Per "&amp;VLOOKUP($C$4,'Writing Logic'!$G$8:$H$14,2,FALSE),YES_Writing_ELA[#Headers],0))=0,"",INDEX(_xlfn.VSTACK(YES_Writing_ELA[#Data],YES_Writing_FLA[#Data]),MATCH($A410,_xlfn.VSTACK(YES_Writing_ELA[Student Number],YES_Writing_FLA[Student Number]),0),MATCH(VLOOKUP(F$7,'Writing Logic'!$J$7:$K$11,2,FALSE)&amp;" - Per "&amp;VLOOKUP($C$4,'Writing Logic'!$G$8:$H$14,2,FALSE),YES_Writing_ELA[#Headers],0)))="INS",'Writing Logic'!$B$7,IF(INDEX(_xlfn.VSTACK(YES_Writing_ELA[#Data],YES_Writing_FLA[#Data]),MATCH($A410,_xlfn.VSTACK(YES_Writing_ELA[Student Number],YES_Writing_FLA[Student Number]),0),MATCH(VLOOKUP(F$7,'Writing Logic'!$J$7:$K$11,2,FALSE)&amp;" - Per "&amp;VLOOKUP($C$4,'Writing Logic'!$G$8:$H$14,2,FALSE),YES_Writing_ELA[#Headers],0))=0,"",INDEX(_xlfn.VSTACK(YES_Writing_ELA[#Data],YES_Writing_FLA[#Data]),MATCH($A410,_xlfn.VSTACK(YES_Writing_ELA[Student Number],YES_Writing_FLA[Student Number]),0),MATCH(VLOOKUP(F$7,'Writing Logic'!$J$7:$K$11,2,FALSE)&amp;" - Per "&amp;VLOOKUP($C$4,'Writing Logic'!$G$8:$H$14,2,FALSE),YES_Writing_ELA[#Headers],0)))),"")</f>
        <v/>
      </c>
      <c r="G410" s="138" t="str">
        <f>IFERROR(IF(IF(INDEX(_xlfn.VSTACK(YES_Writing_ELA[#Data],YES_Writing_FLA[#Data]),MATCH($A410,_xlfn.VSTACK(YES_Writing_ELA[Student Number],YES_Writing_FLA[Student Number]),0),MATCH(VLOOKUP(G$7,'Writing Logic'!$J$7:$K$11,2,FALSE)&amp;" - Per "&amp;VLOOKUP($C$4,'Writing Logic'!$G$8:$H$14,2,FALSE),YES_Writing_ELA[#Headers],0))=0,"",INDEX(_xlfn.VSTACK(YES_Writing_ELA[#Data],YES_Writing_FLA[#Data]),MATCH($A410,_xlfn.VSTACK(YES_Writing_ELA[Student Number],YES_Writing_FLA[Student Number]),0),MATCH(VLOOKUP(G$7,'Writing Logic'!$J$7:$K$11,2,FALSE)&amp;" - Per "&amp;VLOOKUP($C$4,'Writing Logic'!$G$8:$H$14,2,FALSE),YES_Writing_ELA[#Headers],0)))="INS",'Writing Logic'!$B$7,IF(INDEX(_xlfn.VSTACK(YES_Writing_ELA[#Data],YES_Writing_FLA[#Data]),MATCH($A410,_xlfn.VSTACK(YES_Writing_ELA[Student Number],YES_Writing_FLA[Student Number]),0),MATCH(VLOOKUP(G$7,'Writing Logic'!$J$7:$K$11,2,FALSE)&amp;" - Per "&amp;VLOOKUP($C$4,'Writing Logic'!$G$8:$H$14,2,FALSE),YES_Writing_ELA[#Headers],0))=0,"",INDEX(_xlfn.VSTACK(YES_Writing_ELA[#Data],YES_Writing_FLA[#Data]),MATCH($A410,_xlfn.VSTACK(YES_Writing_ELA[Student Number],YES_Writing_FLA[Student Number]),0),MATCH(VLOOKUP(G$7,'Writing Logic'!$J$7:$K$11,2,FALSE)&amp;" - Per "&amp;VLOOKUP($C$4,'Writing Logic'!$G$8:$H$14,2,FALSE),YES_Writing_ELA[#Headers],0)))),"")</f>
        <v/>
      </c>
      <c r="H410" s="138" t="str">
        <f>IFERROR(IF(IF(INDEX(_xlfn.VSTACK(YES_Writing_ELA[#Data],YES_Writing_FLA[#Data]),MATCH($A410,_xlfn.VSTACK(YES_Writing_ELA[Student Number],YES_Writing_FLA[Student Number]),0),MATCH(VLOOKUP(H$7,'Writing Logic'!$J$7:$K$11,2,FALSE)&amp;" - Per "&amp;VLOOKUP($C$4,'Writing Logic'!$G$8:$H$14,2,FALSE),YES_Writing_ELA[#Headers],0))=0,"",INDEX(_xlfn.VSTACK(YES_Writing_ELA[#Data],YES_Writing_FLA[#Data]),MATCH($A410,_xlfn.VSTACK(YES_Writing_ELA[Student Number],YES_Writing_FLA[Student Number]),0),MATCH(VLOOKUP(H$7,'Writing Logic'!$J$7:$K$11,2,FALSE)&amp;" - Per "&amp;VLOOKUP($C$4,'Writing Logic'!$G$8:$H$14,2,FALSE),YES_Writing_ELA[#Headers],0)))="INS",'Writing Logic'!$B$7,IF(INDEX(_xlfn.VSTACK(YES_Writing_ELA[#Data],YES_Writing_FLA[#Data]),MATCH($A410,_xlfn.VSTACK(YES_Writing_ELA[Student Number],YES_Writing_FLA[Student Number]),0),MATCH(VLOOKUP(H$7,'Writing Logic'!$J$7:$K$11,2,FALSE)&amp;" - Per "&amp;VLOOKUP($C$4,'Writing Logic'!$G$8:$H$14,2,FALSE),YES_Writing_ELA[#Headers],0))=0,"",INDEX(_xlfn.VSTACK(YES_Writing_ELA[#Data],YES_Writing_FLA[#Data]),MATCH($A410,_xlfn.VSTACK(YES_Writing_ELA[Student Number],YES_Writing_FLA[Student Number]),0),MATCH(VLOOKUP(H$7,'Writing Logic'!$J$7:$K$11,2,FALSE)&amp;" - Per "&amp;VLOOKUP($C$4,'Writing Logic'!$G$8:$H$14,2,FALSE),YES_Writing_ELA[#Headers],0)))),"")</f>
        <v/>
      </c>
    </row>
    <row r="411" spans="1:8" x14ac:dyDescent="0.25">
      <c r="A411" s="137"/>
      <c r="B411" s="137" t="str">
        <f>IFERROR(INDEX(_xlfn.VSTACK(YES_Writing_ELA[#Data], YES_Writing_FLA[#Data]),MATCH($A411,_xlfn.VSTACK(YES_Writing_ELA[Student Number], YES_Writing_FLA[Student Number]),0),MATCH(B$7,YES_Writing_ELA[#Headers],0)),"")</f>
        <v/>
      </c>
      <c r="C411" s="137" t="str">
        <f>IFERROR(INDEX(_xlfn.VSTACK(YES_Writing_ELA[#Data], YES_Writing_FLA[#Data]),MATCH($A411,_xlfn.VSTACK(YES_Writing_ELA[Student Number], YES_Writing_FLA[Student Number]),0),MATCH(C$7,YES_Writing_ELA[#Headers],0)),"")</f>
        <v/>
      </c>
      <c r="D411" s="138" t="str">
        <f>IFERROR(IF(IF(INDEX(_xlfn.VSTACK(YES_Writing_ELA[#Data],YES_Writing_FLA[#Data]),MATCH($A411,_xlfn.VSTACK(YES_Writing_ELA[Student Number],YES_Writing_FLA[Student Number]),0),MATCH(VLOOKUP(D$7,'Writing Logic'!$J$7:$K$11,2,FALSE)&amp;" - Per "&amp;VLOOKUP($C$4,'Writing Logic'!$G$8:$H$14,2,FALSE),YES_Writing_ELA[#Headers],0))=0,"",INDEX(_xlfn.VSTACK(YES_Writing_ELA[#Data],YES_Writing_FLA[#Data]),MATCH($A411,_xlfn.VSTACK(YES_Writing_ELA[Student Number],YES_Writing_FLA[Student Number]),0),MATCH(VLOOKUP(D$7,'Writing Logic'!$J$7:$K$11,2,FALSE)&amp;" - Per "&amp;VLOOKUP($C$4,'Writing Logic'!$G$8:$H$14,2,FALSE),YES_Writing_ELA[#Headers],0)))="INS",'Writing Logic'!$B$7,IF(INDEX(_xlfn.VSTACK(YES_Writing_ELA[#Data],YES_Writing_FLA[#Data]),MATCH($A411,_xlfn.VSTACK(YES_Writing_ELA[Student Number],YES_Writing_FLA[Student Number]),0),MATCH(VLOOKUP(D$7,'Writing Logic'!$J$7:$K$11,2,FALSE)&amp;" - Per "&amp;VLOOKUP($C$4,'Writing Logic'!$G$8:$H$14,2,FALSE),YES_Writing_ELA[#Headers],0))=0,"",INDEX(_xlfn.VSTACK(YES_Writing_ELA[#Data],YES_Writing_FLA[#Data]),MATCH($A411,_xlfn.VSTACK(YES_Writing_ELA[Student Number],YES_Writing_FLA[Student Number]),0),MATCH(VLOOKUP(D$7,'Writing Logic'!$J$7:$K$11,2,FALSE)&amp;" - Per "&amp;VLOOKUP($C$4,'Writing Logic'!$G$8:$H$14,2,FALSE),YES_Writing_ELA[#Headers],0)))),"")</f>
        <v/>
      </c>
      <c r="E411" s="138" t="str">
        <f>IFERROR(IF(IF(INDEX(_xlfn.VSTACK(YES_Writing_ELA[#Data],YES_Writing_FLA[#Data]),MATCH($A411,_xlfn.VSTACK(YES_Writing_ELA[Student Number],YES_Writing_FLA[Student Number]),0),MATCH(VLOOKUP(E$7,'Writing Logic'!$J$7:$K$11,2,FALSE)&amp;" - Per "&amp;VLOOKUP($C$4,'Writing Logic'!$G$8:$H$14,2,FALSE),YES_Writing_ELA[#Headers],0))=0,"",INDEX(_xlfn.VSTACK(YES_Writing_ELA[#Data],YES_Writing_FLA[#Data]),MATCH($A411,_xlfn.VSTACK(YES_Writing_ELA[Student Number],YES_Writing_FLA[Student Number]),0),MATCH(VLOOKUP(E$7,'Writing Logic'!$J$7:$K$11,2,FALSE)&amp;" - Per "&amp;VLOOKUP($C$4,'Writing Logic'!$G$8:$H$14,2,FALSE),YES_Writing_ELA[#Headers],0)))="INS",'Writing Logic'!$B$7,IF(INDEX(_xlfn.VSTACK(YES_Writing_ELA[#Data],YES_Writing_FLA[#Data]),MATCH($A411,_xlfn.VSTACK(YES_Writing_ELA[Student Number],YES_Writing_FLA[Student Number]),0),MATCH(VLOOKUP(E$7,'Writing Logic'!$J$7:$K$11,2,FALSE)&amp;" - Per "&amp;VLOOKUP($C$4,'Writing Logic'!$G$8:$H$14,2,FALSE),YES_Writing_ELA[#Headers],0))=0,"",INDEX(_xlfn.VSTACK(YES_Writing_ELA[#Data],YES_Writing_FLA[#Data]),MATCH($A411,_xlfn.VSTACK(YES_Writing_ELA[Student Number],YES_Writing_FLA[Student Number]),0),MATCH(VLOOKUP(E$7,'Writing Logic'!$J$7:$K$11,2,FALSE)&amp;" - Per "&amp;VLOOKUP($C$4,'Writing Logic'!$G$8:$H$14,2,FALSE),YES_Writing_ELA[#Headers],0)))),"")</f>
        <v/>
      </c>
      <c r="F411" s="138" t="str">
        <f>IFERROR(IF(IF(INDEX(_xlfn.VSTACK(YES_Writing_ELA[#Data],YES_Writing_FLA[#Data]),MATCH($A411,_xlfn.VSTACK(YES_Writing_ELA[Student Number],YES_Writing_FLA[Student Number]),0),MATCH(VLOOKUP(F$7,'Writing Logic'!$J$7:$K$11,2,FALSE)&amp;" - Per "&amp;VLOOKUP($C$4,'Writing Logic'!$G$8:$H$14,2,FALSE),YES_Writing_ELA[#Headers],0))=0,"",INDEX(_xlfn.VSTACK(YES_Writing_ELA[#Data],YES_Writing_FLA[#Data]),MATCH($A411,_xlfn.VSTACK(YES_Writing_ELA[Student Number],YES_Writing_FLA[Student Number]),0),MATCH(VLOOKUP(F$7,'Writing Logic'!$J$7:$K$11,2,FALSE)&amp;" - Per "&amp;VLOOKUP($C$4,'Writing Logic'!$G$8:$H$14,2,FALSE),YES_Writing_ELA[#Headers],0)))="INS",'Writing Logic'!$B$7,IF(INDEX(_xlfn.VSTACK(YES_Writing_ELA[#Data],YES_Writing_FLA[#Data]),MATCH($A411,_xlfn.VSTACK(YES_Writing_ELA[Student Number],YES_Writing_FLA[Student Number]),0),MATCH(VLOOKUP(F$7,'Writing Logic'!$J$7:$K$11,2,FALSE)&amp;" - Per "&amp;VLOOKUP($C$4,'Writing Logic'!$G$8:$H$14,2,FALSE),YES_Writing_ELA[#Headers],0))=0,"",INDEX(_xlfn.VSTACK(YES_Writing_ELA[#Data],YES_Writing_FLA[#Data]),MATCH($A411,_xlfn.VSTACK(YES_Writing_ELA[Student Number],YES_Writing_FLA[Student Number]),0),MATCH(VLOOKUP(F$7,'Writing Logic'!$J$7:$K$11,2,FALSE)&amp;" - Per "&amp;VLOOKUP($C$4,'Writing Logic'!$G$8:$H$14,2,FALSE),YES_Writing_ELA[#Headers],0)))),"")</f>
        <v/>
      </c>
      <c r="G411" s="138" t="str">
        <f>IFERROR(IF(IF(INDEX(_xlfn.VSTACK(YES_Writing_ELA[#Data],YES_Writing_FLA[#Data]),MATCH($A411,_xlfn.VSTACK(YES_Writing_ELA[Student Number],YES_Writing_FLA[Student Number]),0),MATCH(VLOOKUP(G$7,'Writing Logic'!$J$7:$K$11,2,FALSE)&amp;" - Per "&amp;VLOOKUP($C$4,'Writing Logic'!$G$8:$H$14,2,FALSE),YES_Writing_ELA[#Headers],0))=0,"",INDEX(_xlfn.VSTACK(YES_Writing_ELA[#Data],YES_Writing_FLA[#Data]),MATCH($A411,_xlfn.VSTACK(YES_Writing_ELA[Student Number],YES_Writing_FLA[Student Number]),0),MATCH(VLOOKUP(G$7,'Writing Logic'!$J$7:$K$11,2,FALSE)&amp;" - Per "&amp;VLOOKUP($C$4,'Writing Logic'!$G$8:$H$14,2,FALSE),YES_Writing_ELA[#Headers],0)))="INS",'Writing Logic'!$B$7,IF(INDEX(_xlfn.VSTACK(YES_Writing_ELA[#Data],YES_Writing_FLA[#Data]),MATCH($A411,_xlfn.VSTACK(YES_Writing_ELA[Student Number],YES_Writing_FLA[Student Number]),0),MATCH(VLOOKUP(G$7,'Writing Logic'!$J$7:$K$11,2,FALSE)&amp;" - Per "&amp;VLOOKUP($C$4,'Writing Logic'!$G$8:$H$14,2,FALSE),YES_Writing_ELA[#Headers],0))=0,"",INDEX(_xlfn.VSTACK(YES_Writing_ELA[#Data],YES_Writing_FLA[#Data]),MATCH($A411,_xlfn.VSTACK(YES_Writing_ELA[Student Number],YES_Writing_FLA[Student Number]),0),MATCH(VLOOKUP(G$7,'Writing Logic'!$J$7:$K$11,2,FALSE)&amp;" - Per "&amp;VLOOKUP($C$4,'Writing Logic'!$G$8:$H$14,2,FALSE),YES_Writing_ELA[#Headers],0)))),"")</f>
        <v/>
      </c>
      <c r="H411" s="138" t="str">
        <f>IFERROR(IF(IF(INDEX(_xlfn.VSTACK(YES_Writing_ELA[#Data],YES_Writing_FLA[#Data]),MATCH($A411,_xlfn.VSTACK(YES_Writing_ELA[Student Number],YES_Writing_FLA[Student Number]),0),MATCH(VLOOKUP(H$7,'Writing Logic'!$J$7:$K$11,2,FALSE)&amp;" - Per "&amp;VLOOKUP($C$4,'Writing Logic'!$G$8:$H$14,2,FALSE),YES_Writing_ELA[#Headers],0))=0,"",INDEX(_xlfn.VSTACK(YES_Writing_ELA[#Data],YES_Writing_FLA[#Data]),MATCH($A411,_xlfn.VSTACK(YES_Writing_ELA[Student Number],YES_Writing_FLA[Student Number]),0),MATCH(VLOOKUP(H$7,'Writing Logic'!$J$7:$K$11,2,FALSE)&amp;" - Per "&amp;VLOOKUP($C$4,'Writing Logic'!$G$8:$H$14,2,FALSE),YES_Writing_ELA[#Headers],0)))="INS",'Writing Logic'!$B$7,IF(INDEX(_xlfn.VSTACK(YES_Writing_ELA[#Data],YES_Writing_FLA[#Data]),MATCH($A411,_xlfn.VSTACK(YES_Writing_ELA[Student Number],YES_Writing_FLA[Student Number]),0),MATCH(VLOOKUP(H$7,'Writing Logic'!$J$7:$K$11,2,FALSE)&amp;" - Per "&amp;VLOOKUP($C$4,'Writing Logic'!$G$8:$H$14,2,FALSE),YES_Writing_ELA[#Headers],0))=0,"",INDEX(_xlfn.VSTACK(YES_Writing_ELA[#Data],YES_Writing_FLA[#Data]),MATCH($A411,_xlfn.VSTACK(YES_Writing_ELA[Student Number],YES_Writing_FLA[Student Number]),0),MATCH(VLOOKUP(H$7,'Writing Logic'!$J$7:$K$11,2,FALSE)&amp;" - Per "&amp;VLOOKUP($C$4,'Writing Logic'!$G$8:$H$14,2,FALSE),YES_Writing_ELA[#Headers],0)))),"")</f>
        <v/>
      </c>
    </row>
    <row r="412" spans="1:8" x14ac:dyDescent="0.25">
      <c r="A412" s="137"/>
      <c r="B412" s="137" t="str">
        <f>IFERROR(INDEX(_xlfn.VSTACK(YES_Writing_ELA[#Data], YES_Writing_FLA[#Data]),MATCH($A412,_xlfn.VSTACK(YES_Writing_ELA[Student Number], YES_Writing_FLA[Student Number]),0),MATCH(B$7,YES_Writing_ELA[#Headers],0)),"")</f>
        <v/>
      </c>
      <c r="C412" s="137" t="str">
        <f>IFERROR(INDEX(_xlfn.VSTACK(YES_Writing_ELA[#Data], YES_Writing_FLA[#Data]),MATCH($A412,_xlfn.VSTACK(YES_Writing_ELA[Student Number], YES_Writing_FLA[Student Number]),0),MATCH(C$7,YES_Writing_ELA[#Headers],0)),"")</f>
        <v/>
      </c>
      <c r="D412" s="138" t="str">
        <f>IFERROR(IF(IF(INDEX(_xlfn.VSTACK(YES_Writing_ELA[#Data],YES_Writing_FLA[#Data]),MATCH($A412,_xlfn.VSTACK(YES_Writing_ELA[Student Number],YES_Writing_FLA[Student Number]),0),MATCH(VLOOKUP(D$7,'Writing Logic'!$J$7:$K$11,2,FALSE)&amp;" - Per "&amp;VLOOKUP($C$4,'Writing Logic'!$G$8:$H$14,2,FALSE),YES_Writing_ELA[#Headers],0))=0,"",INDEX(_xlfn.VSTACK(YES_Writing_ELA[#Data],YES_Writing_FLA[#Data]),MATCH($A412,_xlfn.VSTACK(YES_Writing_ELA[Student Number],YES_Writing_FLA[Student Number]),0),MATCH(VLOOKUP(D$7,'Writing Logic'!$J$7:$K$11,2,FALSE)&amp;" - Per "&amp;VLOOKUP($C$4,'Writing Logic'!$G$8:$H$14,2,FALSE),YES_Writing_ELA[#Headers],0)))="INS",'Writing Logic'!$B$7,IF(INDEX(_xlfn.VSTACK(YES_Writing_ELA[#Data],YES_Writing_FLA[#Data]),MATCH($A412,_xlfn.VSTACK(YES_Writing_ELA[Student Number],YES_Writing_FLA[Student Number]),0),MATCH(VLOOKUP(D$7,'Writing Logic'!$J$7:$K$11,2,FALSE)&amp;" - Per "&amp;VLOOKUP($C$4,'Writing Logic'!$G$8:$H$14,2,FALSE),YES_Writing_ELA[#Headers],0))=0,"",INDEX(_xlfn.VSTACK(YES_Writing_ELA[#Data],YES_Writing_FLA[#Data]),MATCH($A412,_xlfn.VSTACK(YES_Writing_ELA[Student Number],YES_Writing_FLA[Student Number]),0),MATCH(VLOOKUP(D$7,'Writing Logic'!$J$7:$K$11,2,FALSE)&amp;" - Per "&amp;VLOOKUP($C$4,'Writing Logic'!$G$8:$H$14,2,FALSE),YES_Writing_ELA[#Headers],0)))),"")</f>
        <v/>
      </c>
      <c r="E412" s="138" t="str">
        <f>IFERROR(IF(IF(INDEX(_xlfn.VSTACK(YES_Writing_ELA[#Data],YES_Writing_FLA[#Data]),MATCH($A412,_xlfn.VSTACK(YES_Writing_ELA[Student Number],YES_Writing_FLA[Student Number]),0),MATCH(VLOOKUP(E$7,'Writing Logic'!$J$7:$K$11,2,FALSE)&amp;" - Per "&amp;VLOOKUP($C$4,'Writing Logic'!$G$8:$H$14,2,FALSE),YES_Writing_ELA[#Headers],0))=0,"",INDEX(_xlfn.VSTACK(YES_Writing_ELA[#Data],YES_Writing_FLA[#Data]),MATCH($A412,_xlfn.VSTACK(YES_Writing_ELA[Student Number],YES_Writing_FLA[Student Number]),0),MATCH(VLOOKUP(E$7,'Writing Logic'!$J$7:$K$11,2,FALSE)&amp;" - Per "&amp;VLOOKUP($C$4,'Writing Logic'!$G$8:$H$14,2,FALSE),YES_Writing_ELA[#Headers],0)))="INS",'Writing Logic'!$B$7,IF(INDEX(_xlfn.VSTACK(YES_Writing_ELA[#Data],YES_Writing_FLA[#Data]),MATCH($A412,_xlfn.VSTACK(YES_Writing_ELA[Student Number],YES_Writing_FLA[Student Number]),0),MATCH(VLOOKUP(E$7,'Writing Logic'!$J$7:$K$11,2,FALSE)&amp;" - Per "&amp;VLOOKUP($C$4,'Writing Logic'!$G$8:$H$14,2,FALSE),YES_Writing_ELA[#Headers],0))=0,"",INDEX(_xlfn.VSTACK(YES_Writing_ELA[#Data],YES_Writing_FLA[#Data]),MATCH($A412,_xlfn.VSTACK(YES_Writing_ELA[Student Number],YES_Writing_FLA[Student Number]),0),MATCH(VLOOKUP(E$7,'Writing Logic'!$J$7:$K$11,2,FALSE)&amp;" - Per "&amp;VLOOKUP($C$4,'Writing Logic'!$G$8:$H$14,2,FALSE),YES_Writing_ELA[#Headers],0)))),"")</f>
        <v/>
      </c>
      <c r="F412" s="138" t="str">
        <f>IFERROR(IF(IF(INDEX(_xlfn.VSTACK(YES_Writing_ELA[#Data],YES_Writing_FLA[#Data]),MATCH($A412,_xlfn.VSTACK(YES_Writing_ELA[Student Number],YES_Writing_FLA[Student Number]),0),MATCH(VLOOKUP(F$7,'Writing Logic'!$J$7:$K$11,2,FALSE)&amp;" - Per "&amp;VLOOKUP($C$4,'Writing Logic'!$G$8:$H$14,2,FALSE),YES_Writing_ELA[#Headers],0))=0,"",INDEX(_xlfn.VSTACK(YES_Writing_ELA[#Data],YES_Writing_FLA[#Data]),MATCH($A412,_xlfn.VSTACK(YES_Writing_ELA[Student Number],YES_Writing_FLA[Student Number]),0),MATCH(VLOOKUP(F$7,'Writing Logic'!$J$7:$K$11,2,FALSE)&amp;" - Per "&amp;VLOOKUP($C$4,'Writing Logic'!$G$8:$H$14,2,FALSE),YES_Writing_ELA[#Headers],0)))="INS",'Writing Logic'!$B$7,IF(INDEX(_xlfn.VSTACK(YES_Writing_ELA[#Data],YES_Writing_FLA[#Data]),MATCH($A412,_xlfn.VSTACK(YES_Writing_ELA[Student Number],YES_Writing_FLA[Student Number]),0),MATCH(VLOOKUP(F$7,'Writing Logic'!$J$7:$K$11,2,FALSE)&amp;" - Per "&amp;VLOOKUP($C$4,'Writing Logic'!$G$8:$H$14,2,FALSE),YES_Writing_ELA[#Headers],0))=0,"",INDEX(_xlfn.VSTACK(YES_Writing_ELA[#Data],YES_Writing_FLA[#Data]),MATCH($A412,_xlfn.VSTACK(YES_Writing_ELA[Student Number],YES_Writing_FLA[Student Number]),0),MATCH(VLOOKUP(F$7,'Writing Logic'!$J$7:$K$11,2,FALSE)&amp;" - Per "&amp;VLOOKUP($C$4,'Writing Logic'!$G$8:$H$14,2,FALSE),YES_Writing_ELA[#Headers],0)))),"")</f>
        <v/>
      </c>
      <c r="G412" s="138" t="str">
        <f>IFERROR(IF(IF(INDEX(_xlfn.VSTACK(YES_Writing_ELA[#Data],YES_Writing_FLA[#Data]),MATCH($A412,_xlfn.VSTACK(YES_Writing_ELA[Student Number],YES_Writing_FLA[Student Number]),0),MATCH(VLOOKUP(G$7,'Writing Logic'!$J$7:$K$11,2,FALSE)&amp;" - Per "&amp;VLOOKUP($C$4,'Writing Logic'!$G$8:$H$14,2,FALSE),YES_Writing_ELA[#Headers],0))=0,"",INDEX(_xlfn.VSTACK(YES_Writing_ELA[#Data],YES_Writing_FLA[#Data]),MATCH($A412,_xlfn.VSTACK(YES_Writing_ELA[Student Number],YES_Writing_FLA[Student Number]),0),MATCH(VLOOKUP(G$7,'Writing Logic'!$J$7:$K$11,2,FALSE)&amp;" - Per "&amp;VLOOKUP($C$4,'Writing Logic'!$G$8:$H$14,2,FALSE),YES_Writing_ELA[#Headers],0)))="INS",'Writing Logic'!$B$7,IF(INDEX(_xlfn.VSTACK(YES_Writing_ELA[#Data],YES_Writing_FLA[#Data]),MATCH($A412,_xlfn.VSTACK(YES_Writing_ELA[Student Number],YES_Writing_FLA[Student Number]),0),MATCH(VLOOKUP(G$7,'Writing Logic'!$J$7:$K$11,2,FALSE)&amp;" - Per "&amp;VLOOKUP($C$4,'Writing Logic'!$G$8:$H$14,2,FALSE),YES_Writing_ELA[#Headers],0))=0,"",INDEX(_xlfn.VSTACK(YES_Writing_ELA[#Data],YES_Writing_FLA[#Data]),MATCH($A412,_xlfn.VSTACK(YES_Writing_ELA[Student Number],YES_Writing_FLA[Student Number]),0),MATCH(VLOOKUP(G$7,'Writing Logic'!$J$7:$K$11,2,FALSE)&amp;" - Per "&amp;VLOOKUP($C$4,'Writing Logic'!$G$8:$H$14,2,FALSE),YES_Writing_ELA[#Headers],0)))),"")</f>
        <v/>
      </c>
      <c r="H412" s="138" t="str">
        <f>IFERROR(IF(IF(INDEX(_xlfn.VSTACK(YES_Writing_ELA[#Data],YES_Writing_FLA[#Data]),MATCH($A412,_xlfn.VSTACK(YES_Writing_ELA[Student Number],YES_Writing_FLA[Student Number]),0),MATCH(VLOOKUP(H$7,'Writing Logic'!$J$7:$K$11,2,FALSE)&amp;" - Per "&amp;VLOOKUP($C$4,'Writing Logic'!$G$8:$H$14,2,FALSE),YES_Writing_ELA[#Headers],0))=0,"",INDEX(_xlfn.VSTACK(YES_Writing_ELA[#Data],YES_Writing_FLA[#Data]),MATCH($A412,_xlfn.VSTACK(YES_Writing_ELA[Student Number],YES_Writing_FLA[Student Number]),0),MATCH(VLOOKUP(H$7,'Writing Logic'!$J$7:$K$11,2,FALSE)&amp;" - Per "&amp;VLOOKUP($C$4,'Writing Logic'!$G$8:$H$14,2,FALSE),YES_Writing_ELA[#Headers],0)))="INS",'Writing Logic'!$B$7,IF(INDEX(_xlfn.VSTACK(YES_Writing_ELA[#Data],YES_Writing_FLA[#Data]),MATCH($A412,_xlfn.VSTACK(YES_Writing_ELA[Student Number],YES_Writing_FLA[Student Number]),0),MATCH(VLOOKUP(H$7,'Writing Logic'!$J$7:$K$11,2,FALSE)&amp;" - Per "&amp;VLOOKUP($C$4,'Writing Logic'!$G$8:$H$14,2,FALSE),YES_Writing_ELA[#Headers],0))=0,"",INDEX(_xlfn.VSTACK(YES_Writing_ELA[#Data],YES_Writing_FLA[#Data]),MATCH($A412,_xlfn.VSTACK(YES_Writing_ELA[Student Number],YES_Writing_FLA[Student Number]),0),MATCH(VLOOKUP(H$7,'Writing Logic'!$J$7:$K$11,2,FALSE)&amp;" - Per "&amp;VLOOKUP($C$4,'Writing Logic'!$G$8:$H$14,2,FALSE),YES_Writing_ELA[#Headers],0)))),"")</f>
        <v/>
      </c>
    </row>
    <row r="413" spans="1:8" x14ac:dyDescent="0.25">
      <c r="A413" s="137"/>
      <c r="B413" s="137" t="str">
        <f>IFERROR(INDEX(_xlfn.VSTACK(YES_Writing_ELA[#Data], YES_Writing_FLA[#Data]),MATCH($A413,_xlfn.VSTACK(YES_Writing_ELA[Student Number], YES_Writing_FLA[Student Number]),0),MATCH(B$7,YES_Writing_ELA[#Headers],0)),"")</f>
        <v/>
      </c>
      <c r="C413" s="137" t="str">
        <f>IFERROR(INDEX(_xlfn.VSTACK(YES_Writing_ELA[#Data], YES_Writing_FLA[#Data]),MATCH($A413,_xlfn.VSTACK(YES_Writing_ELA[Student Number], YES_Writing_FLA[Student Number]),0),MATCH(C$7,YES_Writing_ELA[#Headers],0)),"")</f>
        <v/>
      </c>
      <c r="D413" s="138" t="str">
        <f>IFERROR(IF(IF(INDEX(_xlfn.VSTACK(YES_Writing_ELA[#Data],YES_Writing_FLA[#Data]),MATCH($A413,_xlfn.VSTACK(YES_Writing_ELA[Student Number],YES_Writing_FLA[Student Number]),0),MATCH(VLOOKUP(D$7,'Writing Logic'!$J$7:$K$11,2,FALSE)&amp;" - Per "&amp;VLOOKUP($C$4,'Writing Logic'!$G$8:$H$14,2,FALSE),YES_Writing_ELA[#Headers],0))=0,"",INDEX(_xlfn.VSTACK(YES_Writing_ELA[#Data],YES_Writing_FLA[#Data]),MATCH($A413,_xlfn.VSTACK(YES_Writing_ELA[Student Number],YES_Writing_FLA[Student Number]),0),MATCH(VLOOKUP(D$7,'Writing Logic'!$J$7:$K$11,2,FALSE)&amp;" - Per "&amp;VLOOKUP($C$4,'Writing Logic'!$G$8:$H$14,2,FALSE),YES_Writing_ELA[#Headers],0)))="INS",'Writing Logic'!$B$7,IF(INDEX(_xlfn.VSTACK(YES_Writing_ELA[#Data],YES_Writing_FLA[#Data]),MATCH($A413,_xlfn.VSTACK(YES_Writing_ELA[Student Number],YES_Writing_FLA[Student Number]),0),MATCH(VLOOKUP(D$7,'Writing Logic'!$J$7:$K$11,2,FALSE)&amp;" - Per "&amp;VLOOKUP($C$4,'Writing Logic'!$G$8:$H$14,2,FALSE),YES_Writing_ELA[#Headers],0))=0,"",INDEX(_xlfn.VSTACK(YES_Writing_ELA[#Data],YES_Writing_FLA[#Data]),MATCH($A413,_xlfn.VSTACK(YES_Writing_ELA[Student Number],YES_Writing_FLA[Student Number]),0),MATCH(VLOOKUP(D$7,'Writing Logic'!$J$7:$K$11,2,FALSE)&amp;" - Per "&amp;VLOOKUP($C$4,'Writing Logic'!$G$8:$H$14,2,FALSE),YES_Writing_ELA[#Headers],0)))),"")</f>
        <v/>
      </c>
      <c r="E413" s="138" t="str">
        <f>IFERROR(IF(IF(INDEX(_xlfn.VSTACK(YES_Writing_ELA[#Data],YES_Writing_FLA[#Data]),MATCH($A413,_xlfn.VSTACK(YES_Writing_ELA[Student Number],YES_Writing_FLA[Student Number]),0),MATCH(VLOOKUP(E$7,'Writing Logic'!$J$7:$K$11,2,FALSE)&amp;" - Per "&amp;VLOOKUP($C$4,'Writing Logic'!$G$8:$H$14,2,FALSE),YES_Writing_ELA[#Headers],0))=0,"",INDEX(_xlfn.VSTACK(YES_Writing_ELA[#Data],YES_Writing_FLA[#Data]),MATCH($A413,_xlfn.VSTACK(YES_Writing_ELA[Student Number],YES_Writing_FLA[Student Number]),0),MATCH(VLOOKUP(E$7,'Writing Logic'!$J$7:$K$11,2,FALSE)&amp;" - Per "&amp;VLOOKUP($C$4,'Writing Logic'!$G$8:$H$14,2,FALSE),YES_Writing_ELA[#Headers],0)))="INS",'Writing Logic'!$B$7,IF(INDEX(_xlfn.VSTACK(YES_Writing_ELA[#Data],YES_Writing_FLA[#Data]),MATCH($A413,_xlfn.VSTACK(YES_Writing_ELA[Student Number],YES_Writing_FLA[Student Number]),0),MATCH(VLOOKUP(E$7,'Writing Logic'!$J$7:$K$11,2,FALSE)&amp;" - Per "&amp;VLOOKUP($C$4,'Writing Logic'!$G$8:$H$14,2,FALSE),YES_Writing_ELA[#Headers],0))=0,"",INDEX(_xlfn.VSTACK(YES_Writing_ELA[#Data],YES_Writing_FLA[#Data]),MATCH($A413,_xlfn.VSTACK(YES_Writing_ELA[Student Number],YES_Writing_FLA[Student Number]),0),MATCH(VLOOKUP(E$7,'Writing Logic'!$J$7:$K$11,2,FALSE)&amp;" - Per "&amp;VLOOKUP($C$4,'Writing Logic'!$G$8:$H$14,2,FALSE),YES_Writing_ELA[#Headers],0)))),"")</f>
        <v/>
      </c>
      <c r="F413" s="138" t="str">
        <f>IFERROR(IF(IF(INDEX(_xlfn.VSTACK(YES_Writing_ELA[#Data],YES_Writing_FLA[#Data]),MATCH($A413,_xlfn.VSTACK(YES_Writing_ELA[Student Number],YES_Writing_FLA[Student Number]),0),MATCH(VLOOKUP(F$7,'Writing Logic'!$J$7:$K$11,2,FALSE)&amp;" - Per "&amp;VLOOKUP($C$4,'Writing Logic'!$G$8:$H$14,2,FALSE),YES_Writing_ELA[#Headers],0))=0,"",INDEX(_xlfn.VSTACK(YES_Writing_ELA[#Data],YES_Writing_FLA[#Data]),MATCH($A413,_xlfn.VSTACK(YES_Writing_ELA[Student Number],YES_Writing_FLA[Student Number]),0),MATCH(VLOOKUP(F$7,'Writing Logic'!$J$7:$K$11,2,FALSE)&amp;" - Per "&amp;VLOOKUP($C$4,'Writing Logic'!$G$8:$H$14,2,FALSE),YES_Writing_ELA[#Headers],0)))="INS",'Writing Logic'!$B$7,IF(INDEX(_xlfn.VSTACK(YES_Writing_ELA[#Data],YES_Writing_FLA[#Data]),MATCH($A413,_xlfn.VSTACK(YES_Writing_ELA[Student Number],YES_Writing_FLA[Student Number]),0),MATCH(VLOOKUP(F$7,'Writing Logic'!$J$7:$K$11,2,FALSE)&amp;" - Per "&amp;VLOOKUP($C$4,'Writing Logic'!$G$8:$H$14,2,FALSE),YES_Writing_ELA[#Headers],0))=0,"",INDEX(_xlfn.VSTACK(YES_Writing_ELA[#Data],YES_Writing_FLA[#Data]),MATCH($A413,_xlfn.VSTACK(YES_Writing_ELA[Student Number],YES_Writing_FLA[Student Number]),0),MATCH(VLOOKUP(F$7,'Writing Logic'!$J$7:$K$11,2,FALSE)&amp;" - Per "&amp;VLOOKUP($C$4,'Writing Logic'!$G$8:$H$14,2,FALSE),YES_Writing_ELA[#Headers],0)))),"")</f>
        <v/>
      </c>
      <c r="G413" s="138" t="str">
        <f>IFERROR(IF(IF(INDEX(_xlfn.VSTACK(YES_Writing_ELA[#Data],YES_Writing_FLA[#Data]),MATCH($A413,_xlfn.VSTACK(YES_Writing_ELA[Student Number],YES_Writing_FLA[Student Number]),0),MATCH(VLOOKUP(G$7,'Writing Logic'!$J$7:$K$11,2,FALSE)&amp;" - Per "&amp;VLOOKUP($C$4,'Writing Logic'!$G$8:$H$14,2,FALSE),YES_Writing_ELA[#Headers],0))=0,"",INDEX(_xlfn.VSTACK(YES_Writing_ELA[#Data],YES_Writing_FLA[#Data]),MATCH($A413,_xlfn.VSTACK(YES_Writing_ELA[Student Number],YES_Writing_FLA[Student Number]),0),MATCH(VLOOKUP(G$7,'Writing Logic'!$J$7:$K$11,2,FALSE)&amp;" - Per "&amp;VLOOKUP($C$4,'Writing Logic'!$G$8:$H$14,2,FALSE),YES_Writing_ELA[#Headers],0)))="INS",'Writing Logic'!$B$7,IF(INDEX(_xlfn.VSTACK(YES_Writing_ELA[#Data],YES_Writing_FLA[#Data]),MATCH($A413,_xlfn.VSTACK(YES_Writing_ELA[Student Number],YES_Writing_FLA[Student Number]),0),MATCH(VLOOKUP(G$7,'Writing Logic'!$J$7:$K$11,2,FALSE)&amp;" - Per "&amp;VLOOKUP($C$4,'Writing Logic'!$G$8:$H$14,2,FALSE),YES_Writing_ELA[#Headers],0))=0,"",INDEX(_xlfn.VSTACK(YES_Writing_ELA[#Data],YES_Writing_FLA[#Data]),MATCH($A413,_xlfn.VSTACK(YES_Writing_ELA[Student Number],YES_Writing_FLA[Student Number]),0),MATCH(VLOOKUP(G$7,'Writing Logic'!$J$7:$K$11,2,FALSE)&amp;" - Per "&amp;VLOOKUP($C$4,'Writing Logic'!$G$8:$H$14,2,FALSE),YES_Writing_ELA[#Headers],0)))),"")</f>
        <v/>
      </c>
      <c r="H413" s="138" t="str">
        <f>IFERROR(IF(IF(INDEX(_xlfn.VSTACK(YES_Writing_ELA[#Data],YES_Writing_FLA[#Data]),MATCH($A413,_xlfn.VSTACK(YES_Writing_ELA[Student Number],YES_Writing_FLA[Student Number]),0),MATCH(VLOOKUP(H$7,'Writing Logic'!$J$7:$K$11,2,FALSE)&amp;" - Per "&amp;VLOOKUP($C$4,'Writing Logic'!$G$8:$H$14,2,FALSE),YES_Writing_ELA[#Headers],0))=0,"",INDEX(_xlfn.VSTACK(YES_Writing_ELA[#Data],YES_Writing_FLA[#Data]),MATCH($A413,_xlfn.VSTACK(YES_Writing_ELA[Student Number],YES_Writing_FLA[Student Number]),0),MATCH(VLOOKUP(H$7,'Writing Logic'!$J$7:$K$11,2,FALSE)&amp;" - Per "&amp;VLOOKUP($C$4,'Writing Logic'!$G$8:$H$14,2,FALSE),YES_Writing_ELA[#Headers],0)))="INS",'Writing Logic'!$B$7,IF(INDEX(_xlfn.VSTACK(YES_Writing_ELA[#Data],YES_Writing_FLA[#Data]),MATCH($A413,_xlfn.VSTACK(YES_Writing_ELA[Student Number],YES_Writing_FLA[Student Number]),0),MATCH(VLOOKUP(H$7,'Writing Logic'!$J$7:$K$11,2,FALSE)&amp;" - Per "&amp;VLOOKUP($C$4,'Writing Logic'!$G$8:$H$14,2,FALSE),YES_Writing_ELA[#Headers],0))=0,"",INDEX(_xlfn.VSTACK(YES_Writing_ELA[#Data],YES_Writing_FLA[#Data]),MATCH($A413,_xlfn.VSTACK(YES_Writing_ELA[Student Number],YES_Writing_FLA[Student Number]),0),MATCH(VLOOKUP(H$7,'Writing Logic'!$J$7:$K$11,2,FALSE)&amp;" - Per "&amp;VLOOKUP($C$4,'Writing Logic'!$G$8:$H$14,2,FALSE),YES_Writing_ELA[#Headers],0)))),"")</f>
        <v/>
      </c>
    </row>
    <row r="414" spans="1:8" x14ac:dyDescent="0.25">
      <c r="A414" s="137"/>
      <c r="B414" s="137" t="str">
        <f>IFERROR(INDEX(_xlfn.VSTACK(YES_Writing_ELA[#Data], YES_Writing_FLA[#Data]),MATCH($A414,_xlfn.VSTACK(YES_Writing_ELA[Student Number], YES_Writing_FLA[Student Number]),0),MATCH(B$7,YES_Writing_ELA[#Headers],0)),"")</f>
        <v/>
      </c>
      <c r="C414" s="137" t="str">
        <f>IFERROR(INDEX(_xlfn.VSTACK(YES_Writing_ELA[#Data], YES_Writing_FLA[#Data]),MATCH($A414,_xlfn.VSTACK(YES_Writing_ELA[Student Number], YES_Writing_FLA[Student Number]),0),MATCH(C$7,YES_Writing_ELA[#Headers],0)),"")</f>
        <v/>
      </c>
      <c r="D414" s="138" t="str">
        <f>IFERROR(IF(IF(INDEX(_xlfn.VSTACK(YES_Writing_ELA[#Data],YES_Writing_FLA[#Data]),MATCH($A414,_xlfn.VSTACK(YES_Writing_ELA[Student Number],YES_Writing_FLA[Student Number]),0),MATCH(VLOOKUP(D$7,'Writing Logic'!$J$7:$K$11,2,FALSE)&amp;" - Per "&amp;VLOOKUP($C$4,'Writing Logic'!$G$8:$H$14,2,FALSE),YES_Writing_ELA[#Headers],0))=0,"",INDEX(_xlfn.VSTACK(YES_Writing_ELA[#Data],YES_Writing_FLA[#Data]),MATCH($A414,_xlfn.VSTACK(YES_Writing_ELA[Student Number],YES_Writing_FLA[Student Number]),0),MATCH(VLOOKUP(D$7,'Writing Logic'!$J$7:$K$11,2,FALSE)&amp;" - Per "&amp;VLOOKUP($C$4,'Writing Logic'!$G$8:$H$14,2,FALSE),YES_Writing_ELA[#Headers],0)))="INS",'Writing Logic'!$B$7,IF(INDEX(_xlfn.VSTACK(YES_Writing_ELA[#Data],YES_Writing_FLA[#Data]),MATCH($A414,_xlfn.VSTACK(YES_Writing_ELA[Student Number],YES_Writing_FLA[Student Number]),0),MATCH(VLOOKUP(D$7,'Writing Logic'!$J$7:$K$11,2,FALSE)&amp;" - Per "&amp;VLOOKUP($C$4,'Writing Logic'!$G$8:$H$14,2,FALSE),YES_Writing_ELA[#Headers],0))=0,"",INDEX(_xlfn.VSTACK(YES_Writing_ELA[#Data],YES_Writing_FLA[#Data]),MATCH($A414,_xlfn.VSTACK(YES_Writing_ELA[Student Number],YES_Writing_FLA[Student Number]),0),MATCH(VLOOKUP(D$7,'Writing Logic'!$J$7:$K$11,2,FALSE)&amp;" - Per "&amp;VLOOKUP($C$4,'Writing Logic'!$G$8:$H$14,2,FALSE),YES_Writing_ELA[#Headers],0)))),"")</f>
        <v/>
      </c>
      <c r="E414" s="138" t="str">
        <f>IFERROR(IF(IF(INDEX(_xlfn.VSTACK(YES_Writing_ELA[#Data],YES_Writing_FLA[#Data]),MATCH($A414,_xlfn.VSTACK(YES_Writing_ELA[Student Number],YES_Writing_FLA[Student Number]),0),MATCH(VLOOKUP(E$7,'Writing Logic'!$J$7:$K$11,2,FALSE)&amp;" - Per "&amp;VLOOKUP($C$4,'Writing Logic'!$G$8:$H$14,2,FALSE),YES_Writing_ELA[#Headers],0))=0,"",INDEX(_xlfn.VSTACK(YES_Writing_ELA[#Data],YES_Writing_FLA[#Data]),MATCH($A414,_xlfn.VSTACK(YES_Writing_ELA[Student Number],YES_Writing_FLA[Student Number]),0),MATCH(VLOOKUP(E$7,'Writing Logic'!$J$7:$K$11,2,FALSE)&amp;" - Per "&amp;VLOOKUP($C$4,'Writing Logic'!$G$8:$H$14,2,FALSE),YES_Writing_ELA[#Headers],0)))="INS",'Writing Logic'!$B$7,IF(INDEX(_xlfn.VSTACK(YES_Writing_ELA[#Data],YES_Writing_FLA[#Data]),MATCH($A414,_xlfn.VSTACK(YES_Writing_ELA[Student Number],YES_Writing_FLA[Student Number]),0),MATCH(VLOOKUP(E$7,'Writing Logic'!$J$7:$K$11,2,FALSE)&amp;" - Per "&amp;VLOOKUP($C$4,'Writing Logic'!$G$8:$H$14,2,FALSE),YES_Writing_ELA[#Headers],0))=0,"",INDEX(_xlfn.VSTACK(YES_Writing_ELA[#Data],YES_Writing_FLA[#Data]),MATCH($A414,_xlfn.VSTACK(YES_Writing_ELA[Student Number],YES_Writing_FLA[Student Number]),0),MATCH(VLOOKUP(E$7,'Writing Logic'!$J$7:$K$11,2,FALSE)&amp;" - Per "&amp;VLOOKUP($C$4,'Writing Logic'!$G$8:$H$14,2,FALSE),YES_Writing_ELA[#Headers],0)))),"")</f>
        <v/>
      </c>
      <c r="F414" s="138" t="str">
        <f>IFERROR(IF(IF(INDEX(_xlfn.VSTACK(YES_Writing_ELA[#Data],YES_Writing_FLA[#Data]),MATCH($A414,_xlfn.VSTACK(YES_Writing_ELA[Student Number],YES_Writing_FLA[Student Number]),0),MATCH(VLOOKUP(F$7,'Writing Logic'!$J$7:$K$11,2,FALSE)&amp;" - Per "&amp;VLOOKUP($C$4,'Writing Logic'!$G$8:$H$14,2,FALSE),YES_Writing_ELA[#Headers],0))=0,"",INDEX(_xlfn.VSTACK(YES_Writing_ELA[#Data],YES_Writing_FLA[#Data]),MATCH($A414,_xlfn.VSTACK(YES_Writing_ELA[Student Number],YES_Writing_FLA[Student Number]),0),MATCH(VLOOKUP(F$7,'Writing Logic'!$J$7:$K$11,2,FALSE)&amp;" - Per "&amp;VLOOKUP($C$4,'Writing Logic'!$G$8:$H$14,2,FALSE),YES_Writing_ELA[#Headers],0)))="INS",'Writing Logic'!$B$7,IF(INDEX(_xlfn.VSTACK(YES_Writing_ELA[#Data],YES_Writing_FLA[#Data]),MATCH($A414,_xlfn.VSTACK(YES_Writing_ELA[Student Number],YES_Writing_FLA[Student Number]),0),MATCH(VLOOKUP(F$7,'Writing Logic'!$J$7:$K$11,2,FALSE)&amp;" - Per "&amp;VLOOKUP($C$4,'Writing Logic'!$G$8:$H$14,2,FALSE),YES_Writing_ELA[#Headers],0))=0,"",INDEX(_xlfn.VSTACK(YES_Writing_ELA[#Data],YES_Writing_FLA[#Data]),MATCH($A414,_xlfn.VSTACK(YES_Writing_ELA[Student Number],YES_Writing_FLA[Student Number]),0),MATCH(VLOOKUP(F$7,'Writing Logic'!$J$7:$K$11,2,FALSE)&amp;" - Per "&amp;VLOOKUP($C$4,'Writing Logic'!$G$8:$H$14,2,FALSE),YES_Writing_ELA[#Headers],0)))),"")</f>
        <v/>
      </c>
      <c r="G414" s="138" t="str">
        <f>IFERROR(IF(IF(INDEX(_xlfn.VSTACK(YES_Writing_ELA[#Data],YES_Writing_FLA[#Data]),MATCH($A414,_xlfn.VSTACK(YES_Writing_ELA[Student Number],YES_Writing_FLA[Student Number]),0),MATCH(VLOOKUP(G$7,'Writing Logic'!$J$7:$K$11,2,FALSE)&amp;" - Per "&amp;VLOOKUP($C$4,'Writing Logic'!$G$8:$H$14,2,FALSE),YES_Writing_ELA[#Headers],0))=0,"",INDEX(_xlfn.VSTACK(YES_Writing_ELA[#Data],YES_Writing_FLA[#Data]),MATCH($A414,_xlfn.VSTACK(YES_Writing_ELA[Student Number],YES_Writing_FLA[Student Number]),0),MATCH(VLOOKUP(G$7,'Writing Logic'!$J$7:$K$11,2,FALSE)&amp;" - Per "&amp;VLOOKUP($C$4,'Writing Logic'!$G$8:$H$14,2,FALSE),YES_Writing_ELA[#Headers],0)))="INS",'Writing Logic'!$B$7,IF(INDEX(_xlfn.VSTACK(YES_Writing_ELA[#Data],YES_Writing_FLA[#Data]),MATCH($A414,_xlfn.VSTACK(YES_Writing_ELA[Student Number],YES_Writing_FLA[Student Number]),0),MATCH(VLOOKUP(G$7,'Writing Logic'!$J$7:$K$11,2,FALSE)&amp;" - Per "&amp;VLOOKUP($C$4,'Writing Logic'!$G$8:$H$14,2,FALSE),YES_Writing_ELA[#Headers],0))=0,"",INDEX(_xlfn.VSTACK(YES_Writing_ELA[#Data],YES_Writing_FLA[#Data]),MATCH($A414,_xlfn.VSTACK(YES_Writing_ELA[Student Number],YES_Writing_FLA[Student Number]),0),MATCH(VLOOKUP(G$7,'Writing Logic'!$J$7:$K$11,2,FALSE)&amp;" - Per "&amp;VLOOKUP($C$4,'Writing Logic'!$G$8:$H$14,2,FALSE),YES_Writing_ELA[#Headers],0)))),"")</f>
        <v/>
      </c>
      <c r="H414" s="138" t="str">
        <f>IFERROR(IF(IF(INDEX(_xlfn.VSTACK(YES_Writing_ELA[#Data],YES_Writing_FLA[#Data]),MATCH($A414,_xlfn.VSTACK(YES_Writing_ELA[Student Number],YES_Writing_FLA[Student Number]),0),MATCH(VLOOKUP(H$7,'Writing Logic'!$J$7:$K$11,2,FALSE)&amp;" - Per "&amp;VLOOKUP($C$4,'Writing Logic'!$G$8:$H$14,2,FALSE),YES_Writing_ELA[#Headers],0))=0,"",INDEX(_xlfn.VSTACK(YES_Writing_ELA[#Data],YES_Writing_FLA[#Data]),MATCH($A414,_xlfn.VSTACK(YES_Writing_ELA[Student Number],YES_Writing_FLA[Student Number]),0),MATCH(VLOOKUP(H$7,'Writing Logic'!$J$7:$K$11,2,FALSE)&amp;" - Per "&amp;VLOOKUP($C$4,'Writing Logic'!$G$8:$H$14,2,FALSE),YES_Writing_ELA[#Headers],0)))="INS",'Writing Logic'!$B$7,IF(INDEX(_xlfn.VSTACK(YES_Writing_ELA[#Data],YES_Writing_FLA[#Data]),MATCH($A414,_xlfn.VSTACK(YES_Writing_ELA[Student Number],YES_Writing_FLA[Student Number]),0),MATCH(VLOOKUP(H$7,'Writing Logic'!$J$7:$K$11,2,FALSE)&amp;" - Per "&amp;VLOOKUP($C$4,'Writing Logic'!$G$8:$H$14,2,FALSE),YES_Writing_ELA[#Headers],0))=0,"",INDEX(_xlfn.VSTACK(YES_Writing_ELA[#Data],YES_Writing_FLA[#Data]),MATCH($A414,_xlfn.VSTACK(YES_Writing_ELA[Student Number],YES_Writing_FLA[Student Number]),0),MATCH(VLOOKUP(H$7,'Writing Logic'!$J$7:$K$11,2,FALSE)&amp;" - Per "&amp;VLOOKUP($C$4,'Writing Logic'!$G$8:$H$14,2,FALSE),YES_Writing_ELA[#Headers],0)))),"")</f>
        <v/>
      </c>
    </row>
    <row r="415" spans="1:8" x14ac:dyDescent="0.25">
      <c r="A415" s="137"/>
      <c r="B415" s="137" t="str">
        <f>IFERROR(INDEX(_xlfn.VSTACK(YES_Writing_ELA[#Data], YES_Writing_FLA[#Data]),MATCH($A415,_xlfn.VSTACK(YES_Writing_ELA[Student Number], YES_Writing_FLA[Student Number]),0),MATCH(B$7,YES_Writing_ELA[#Headers],0)),"")</f>
        <v/>
      </c>
      <c r="C415" s="137" t="str">
        <f>IFERROR(INDEX(_xlfn.VSTACK(YES_Writing_ELA[#Data], YES_Writing_FLA[#Data]),MATCH($A415,_xlfn.VSTACK(YES_Writing_ELA[Student Number], YES_Writing_FLA[Student Number]),0),MATCH(C$7,YES_Writing_ELA[#Headers],0)),"")</f>
        <v/>
      </c>
      <c r="D415" s="138" t="str">
        <f>IFERROR(IF(IF(INDEX(_xlfn.VSTACK(YES_Writing_ELA[#Data],YES_Writing_FLA[#Data]),MATCH($A415,_xlfn.VSTACK(YES_Writing_ELA[Student Number],YES_Writing_FLA[Student Number]),0),MATCH(VLOOKUP(D$7,'Writing Logic'!$J$7:$K$11,2,FALSE)&amp;" - Per "&amp;VLOOKUP($C$4,'Writing Logic'!$G$8:$H$14,2,FALSE),YES_Writing_ELA[#Headers],0))=0,"",INDEX(_xlfn.VSTACK(YES_Writing_ELA[#Data],YES_Writing_FLA[#Data]),MATCH($A415,_xlfn.VSTACK(YES_Writing_ELA[Student Number],YES_Writing_FLA[Student Number]),0),MATCH(VLOOKUP(D$7,'Writing Logic'!$J$7:$K$11,2,FALSE)&amp;" - Per "&amp;VLOOKUP($C$4,'Writing Logic'!$G$8:$H$14,2,FALSE),YES_Writing_ELA[#Headers],0)))="INS",'Writing Logic'!$B$7,IF(INDEX(_xlfn.VSTACK(YES_Writing_ELA[#Data],YES_Writing_FLA[#Data]),MATCH($A415,_xlfn.VSTACK(YES_Writing_ELA[Student Number],YES_Writing_FLA[Student Number]),0),MATCH(VLOOKUP(D$7,'Writing Logic'!$J$7:$K$11,2,FALSE)&amp;" - Per "&amp;VLOOKUP($C$4,'Writing Logic'!$G$8:$H$14,2,FALSE),YES_Writing_ELA[#Headers],0))=0,"",INDEX(_xlfn.VSTACK(YES_Writing_ELA[#Data],YES_Writing_FLA[#Data]),MATCH($A415,_xlfn.VSTACK(YES_Writing_ELA[Student Number],YES_Writing_FLA[Student Number]),0),MATCH(VLOOKUP(D$7,'Writing Logic'!$J$7:$K$11,2,FALSE)&amp;" - Per "&amp;VLOOKUP($C$4,'Writing Logic'!$G$8:$H$14,2,FALSE),YES_Writing_ELA[#Headers],0)))),"")</f>
        <v/>
      </c>
      <c r="E415" s="138" t="str">
        <f>IFERROR(IF(IF(INDEX(_xlfn.VSTACK(YES_Writing_ELA[#Data],YES_Writing_FLA[#Data]),MATCH($A415,_xlfn.VSTACK(YES_Writing_ELA[Student Number],YES_Writing_FLA[Student Number]),0),MATCH(VLOOKUP(E$7,'Writing Logic'!$J$7:$K$11,2,FALSE)&amp;" - Per "&amp;VLOOKUP($C$4,'Writing Logic'!$G$8:$H$14,2,FALSE),YES_Writing_ELA[#Headers],0))=0,"",INDEX(_xlfn.VSTACK(YES_Writing_ELA[#Data],YES_Writing_FLA[#Data]),MATCH($A415,_xlfn.VSTACK(YES_Writing_ELA[Student Number],YES_Writing_FLA[Student Number]),0),MATCH(VLOOKUP(E$7,'Writing Logic'!$J$7:$K$11,2,FALSE)&amp;" - Per "&amp;VLOOKUP($C$4,'Writing Logic'!$G$8:$H$14,2,FALSE),YES_Writing_ELA[#Headers],0)))="INS",'Writing Logic'!$B$7,IF(INDEX(_xlfn.VSTACK(YES_Writing_ELA[#Data],YES_Writing_FLA[#Data]),MATCH($A415,_xlfn.VSTACK(YES_Writing_ELA[Student Number],YES_Writing_FLA[Student Number]),0),MATCH(VLOOKUP(E$7,'Writing Logic'!$J$7:$K$11,2,FALSE)&amp;" - Per "&amp;VLOOKUP($C$4,'Writing Logic'!$G$8:$H$14,2,FALSE),YES_Writing_ELA[#Headers],0))=0,"",INDEX(_xlfn.VSTACK(YES_Writing_ELA[#Data],YES_Writing_FLA[#Data]),MATCH($A415,_xlfn.VSTACK(YES_Writing_ELA[Student Number],YES_Writing_FLA[Student Number]),0),MATCH(VLOOKUP(E$7,'Writing Logic'!$J$7:$K$11,2,FALSE)&amp;" - Per "&amp;VLOOKUP($C$4,'Writing Logic'!$G$8:$H$14,2,FALSE),YES_Writing_ELA[#Headers],0)))),"")</f>
        <v/>
      </c>
      <c r="F415" s="138" t="str">
        <f>IFERROR(IF(IF(INDEX(_xlfn.VSTACK(YES_Writing_ELA[#Data],YES_Writing_FLA[#Data]),MATCH($A415,_xlfn.VSTACK(YES_Writing_ELA[Student Number],YES_Writing_FLA[Student Number]),0),MATCH(VLOOKUP(F$7,'Writing Logic'!$J$7:$K$11,2,FALSE)&amp;" - Per "&amp;VLOOKUP($C$4,'Writing Logic'!$G$8:$H$14,2,FALSE),YES_Writing_ELA[#Headers],0))=0,"",INDEX(_xlfn.VSTACK(YES_Writing_ELA[#Data],YES_Writing_FLA[#Data]),MATCH($A415,_xlfn.VSTACK(YES_Writing_ELA[Student Number],YES_Writing_FLA[Student Number]),0),MATCH(VLOOKUP(F$7,'Writing Logic'!$J$7:$K$11,2,FALSE)&amp;" - Per "&amp;VLOOKUP($C$4,'Writing Logic'!$G$8:$H$14,2,FALSE),YES_Writing_ELA[#Headers],0)))="INS",'Writing Logic'!$B$7,IF(INDEX(_xlfn.VSTACK(YES_Writing_ELA[#Data],YES_Writing_FLA[#Data]),MATCH($A415,_xlfn.VSTACK(YES_Writing_ELA[Student Number],YES_Writing_FLA[Student Number]),0),MATCH(VLOOKUP(F$7,'Writing Logic'!$J$7:$K$11,2,FALSE)&amp;" - Per "&amp;VLOOKUP($C$4,'Writing Logic'!$G$8:$H$14,2,FALSE),YES_Writing_ELA[#Headers],0))=0,"",INDEX(_xlfn.VSTACK(YES_Writing_ELA[#Data],YES_Writing_FLA[#Data]),MATCH($A415,_xlfn.VSTACK(YES_Writing_ELA[Student Number],YES_Writing_FLA[Student Number]),0),MATCH(VLOOKUP(F$7,'Writing Logic'!$J$7:$K$11,2,FALSE)&amp;" - Per "&amp;VLOOKUP($C$4,'Writing Logic'!$G$8:$H$14,2,FALSE),YES_Writing_ELA[#Headers],0)))),"")</f>
        <v/>
      </c>
      <c r="G415" s="138" t="str">
        <f>IFERROR(IF(IF(INDEX(_xlfn.VSTACK(YES_Writing_ELA[#Data],YES_Writing_FLA[#Data]),MATCH($A415,_xlfn.VSTACK(YES_Writing_ELA[Student Number],YES_Writing_FLA[Student Number]),0),MATCH(VLOOKUP(G$7,'Writing Logic'!$J$7:$K$11,2,FALSE)&amp;" - Per "&amp;VLOOKUP($C$4,'Writing Logic'!$G$8:$H$14,2,FALSE),YES_Writing_ELA[#Headers],0))=0,"",INDEX(_xlfn.VSTACK(YES_Writing_ELA[#Data],YES_Writing_FLA[#Data]),MATCH($A415,_xlfn.VSTACK(YES_Writing_ELA[Student Number],YES_Writing_FLA[Student Number]),0),MATCH(VLOOKUP(G$7,'Writing Logic'!$J$7:$K$11,2,FALSE)&amp;" - Per "&amp;VLOOKUP($C$4,'Writing Logic'!$G$8:$H$14,2,FALSE),YES_Writing_ELA[#Headers],0)))="INS",'Writing Logic'!$B$7,IF(INDEX(_xlfn.VSTACK(YES_Writing_ELA[#Data],YES_Writing_FLA[#Data]),MATCH($A415,_xlfn.VSTACK(YES_Writing_ELA[Student Number],YES_Writing_FLA[Student Number]),0),MATCH(VLOOKUP(G$7,'Writing Logic'!$J$7:$K$11,2,FALSE)&amp;" - Per "&amp;VLOOKUP($C$4,'Writing Logic'!$G$8:$H$14,2,FALSE),YES_Writing_ELA[#Headers],0))=0,"",INDEX(_xlfn.VSTACK(YES_Writing_ELA[#Data],YES_Writing_FLA[#Data]),MATCH($A415,_xlfn.VSTACK(YES_Writing_ELA[Student Number],YES_Writing_FLA[Student Number]),0),MATCH(VLOOKUP(G$7,'Writing Logic'!$J$7:$K$11,2,FALSE)&amp;" - Per "&amp;VLOOKUP($C$4,'Writing Logic'!$G$8:$H$14,2,FALSE),YES_Writing_ELA[#Headers],0)))),"")</f>
        <v/>
      </c>
      <c r="H415" s="138" t="str">
        <f>IFERROR(IF(IF(INDEX(_xlfn.VSTACK(YES_Writing_ELA[#Data],YES_Writing_FLA[#Data]),MATCH($A415,_xlfn.VSTACK(YES_Writing_ELA[Student Number],YES_Writing_FLA[Student Number]),0),MATCH(VLOOKUP(H$7,'Writing Logic'!$J$7:$K$11,2,FALSE)&amp;" - Per "&amp;VLOOKUP($C$4,'Writing Logic'!$G$8:$H$14,2,FALSE),YES_Writing_ELA[#Headers],0))=0,"",INDEX(_xlfn.VSTACK(YES_Writing_ELA[#Data],YES_Writing_FLA[#Data]),MATCH($A415,_xlfn.VSTACK(YES_Writing_ELA[Student Number],YES_Writing_FLA[Student Number]),0),MATCH(VLOOKUP(H$7,'Writing Logic'!$J$7:$K$11,2,FALSE)&amp;" - Per "&amp;VLOOKUP($C$4,'Writing Logic'!$G$8:$H$14,2,FALSE),YES_Writing_ELA[#Headers],0)))="INS",'Writing Logic'!$B$7,IF(INDEX(_xlfn.VSTACK(YES_Writing_ELA[#Data],YES_Writing_FLA[#Data]),MATCH($A415,_xlfn.VSTACK(YES_Writing_ELA[Student Number],YES_Writing_FLA[Student Number]),0),MATCH(VLOOKUP(H$7,'Writing Logic'!$J$7:$K$11,2,FALSE)&amp;" - Per "&amp;VLOOKUP($C$4,'Writing Logic'!$G$8:$H$14,2,FALSE),YES_Writing_ELA[#Headers],0))=0,"",INDEX(_xlfn.VSTACK(YES_Writing_ELA[#Data],YES_Writing_FLA[#Data]),MATCH($A415,_xlfn.VSTACK(YES_Writing_ELA[Student Number],YES_Writing_FLA[Student Number]),0),MATCH(VLOOKUP(H$7,'Writing Logic'!$J$7:$K$11,2,FALSE)&amp;" - Per "&amp;VLOOKUP($C$4,'Writing Logic'!$G$8:$H$14,2,FALSE),YES_Writing_ELA[#Headers],0)))),"")</f>
        <v/>
      </c>
    </row>
    <row r="416" spans="1:8" x14ac:dyDescent="0.25">
      <c r="A416" s="137"/>
      <c r="B416" s="137" t="str">
        <f>IFERROR(INDEX(_xlfn.VSTACK(YES_Writing_ELA[#Data], YES_Writing_FLA[#Data]),MATCH($A416,_xlfn.VSTACK(YES_Writing_ELA[Student Number], YES_Writing_FLA[Student Number]),0),MATCH(B$7,YES_Writing_ELA[#Headers],0)),"")</f>
        <v/>
      </c>
      <c r="C416" s="137" t="str">
        <f>IFERROR(INDEX(_xlfn.VSTACK(YES_Writing_ELA[#Data], YES_Writing_FLA[#Data]),MATCH($A416,_xlfn.VSTACK(YES_Writing_ELA[Student Number], YES_Writing_FLA[Student Number]),0),MATCH(C$7,YES_Writing_ELA[#Headers],0)),"")</f>
        <v/>
      </c>
      <c r="D416" s="138" t="str">
        <f>IFERROR(IF(IF(INDEX(_xlfn.VSTACK(YES_Writing_ELA[#Data],YES_Writing_FLA[#Data]),MATCH($A416,_xlfn.VSTACK(YES_Writing_ELA[Student Number],YES_Writing_FLA[Student Number]),0),MATCH(VLOOKUP(D$7,'Writing Logic'!$J$7:$K$11,2,FALSE)&amp;" - Per "&amp;VLOOKUP($C$4,'Writing Logic'!$G$8:$H$14,2,FALSE),YES_Writing_ELA[#Headers],0))=0,"",INDEX(_xlfn.VSTACK(YES_Writing_ELA[#Data],YES_Writing_FLA[#Data]),MATCH($A416,_xlfn.VSTACK(YES_Writing_ELA[Student Number],YES_Writing_FLA[Student Number]),0),MATCH(VLOOKUP(D$7,'Writing Logic'!$J$7:$K$11,2,FALSE)&amp;" - Per "&amp;VLOOKUP($C$4,'Writing Logic'!$G$8:$H$14,2,FALSE),YES_Writing_ELA[#Headers],0)))="INS",'Writing Logic'!$B$7,IF(INDEX(_xlfn.VSTACK(YES_Writing_ELA[#Data],YES_Writing_FLA[#Data]),MATCH($A416,_xlfn.VSTACK(YES_Writing_ELA[Student Number],YES_Writing_FLA[Student Number]),0),MATCH(VLOOKUP(D$7,'Writing Logic'!$J$7:$K$11,2,FALSE)&amp;" - Per "&amp;VLOOKUP($C$4,'Writing Logic'!$G$8:$H$14,2,FALSE),YES_Writing_ELA[#Headers],0))=0,"",INDEX(_xlfn.VSTACK(YES_Writing_ELA[#Data],YES_Writing_FLA[#Data]),MATCH($A416,_xlfn.VSTACK(YES_Writing_ELA[Student Number],YES_Writing_FLA[Student Number]),0),MATCH(VLOOKUP(D$7,'Writing Logic'!$J$7:$K$11,2,FALSE)&amp;" - Per "&amp;VLOOKUP($C$4,'Writing Logic'!$G$8:$H$14,2,FALSE),YES_Writing_ELA[#Headers],0)))),"")</f>
        <v/>
      </c>
      <c r="E416" s="138" t="str">
        <f>IFERROR(IF(IF(INDEX(_xlfn.VSTACK(YES_Writing_ELA[#Data],YES_Writing_FLA[#Data]),MATCH($A416,_xlfn.VSTACK(YES_Writing_ELA[Student Number],YES_Writing_FLA[Student Number]),0),MATCH(VLOOKUP(E$7,'Writing Logic'!$J$7:$K$11,2,FALSE)&amp;" - Per "&amp;VLOOKUP($C$4,'Writing Logic'!$G$8:$H$14,2,FALSE),YES_Writing_ELA[#Headers],0))=0,"",INDEX(_xlfn.VSTACK(YES_Writing_ELA[#Data],YES_Writing_FLA[#Data]),MATCH($A416,_xlfn.VSTACK(YES_Writing_ELA[Student Number],YES_Writing_FLA[Student Number]),0),MATCH(VLOOKUP(E$7,'Writing Logic'!$J$7:$K$11,2,FALSE)&amp;" - Per "&amp;VLOOKUP($C$4,'Writing Logic'!$G$8:$H$14,2,FALSE),YES_Writing_ELA[#Headers],0)))="INS",'Writing Logic'!$B$7,IF(INDEX(_xlfn.VSTACK(YES_Writing_ELA[#Data],YES_Writing_FLA[#Data]),MATCH($A416,_xlfn.VSTACK(YES_Writing_ELA[Student Number],YES_Writing_FLA[Student Number]),0),MATCH(VLOOKUP(E$7,'Writing Logic'!$J$7:$K$11,2,FALSE)&amp;" - Per "&amp;VLOOKUP($C$4,'Writing Logic'!$G$8:$H$14,2,FALSE),YES_Writing_ELA[#Headers],0))=0,"",INDEX(_xlfn.VSTACK(YES_Writing_ELA[#Data],YES_Writing_FLA[#Data]),MATCH($A416,_xlfn.VSTACK(YES_Writing_ELA[Student Number],YES_Writing_FLA[Student Number]),0),MATCH(VLOOKUP(E$7,'Writing Logic'!$J$7:$K$11,2,FALSE)&amp;" - Per "&amp;VLOOKUP($C$4,'Writing Logic'!$G$8:$H$14,2,FALSE),YES_Writing_ELA[#Headers],0)))),"")</f>
        <v/>
      </c>
      <c r="F416" s="138" t="str">
        <f>IFERROR(IF(IF(INDEX(_xlfn.VSTACK(YES_Writing_ELA[#Data],YES_Writing_FLA[#Data]),MATCH($A416,_xlfn.VSTACK(YES_Writing_ELA[Student Number],YES_Writing_FLA[Student Number]),0),MATCH(VLOOKUP(F$7,'Writing Logic'!$J$7:$K$11,2,FALSE)&amp;" - Per "&amp;VLOOKUP($C$4,'Writing Logic'!$G$8:$H$14,2,FALSE),YES_Writing_ELA[#Headers],0))=0,"",INDEX(_xlfn.VSTACK(YES_Writing_ELA[#Data],YES_Writing_FLA[#Data]),MATCH($A416,_xlfn.VSTACK(YES_Writing_ELA[Student Number],YES_Writing_FLA[Student Number]),0),MATCH(VLOOKUP(F$7,'Writing Logic'!$J$7:$K$11,2,FALSE)&amp;" - Per "&amp;VLOOKUP($C$4,'Writing Logic'!$G$8:$H$14,2,FALSE),YES_Writing_ELA[#Headers],0)))="INS",'Writing Logic'!$B$7,IF(INDEX(_xlfn.VSTACK(YES_Writing_ELA[#Data],YES_Writing_FLA[#Data]),MATCH($A416,_xlfn.VSTACK(YES_Writing_ELA[Student Number],YES_Writing_FLA[Student Number]),0),MATCH(VLOOKUP(F$7,'Writing Logic'!$J$7:$K$11,2,FALSE)&amp;" - Per "&amp;VLOOKUP($C$4,'Writing Logic'!$G$8:$H$14,2,FALSE),YES_Writing_ELA[#Headers],0))=0,"",INDEX(_xlfn.VSTACK(YES_Writing_ELA[#Data],YES_Writing_FLA[#Data]),MATCH($A416,_xlfn.VSTACK(YES_Writing_ELA[Student Number],YES_Writing_FLA[Student Number]),0),MATCH(VLOOKUP(F$7,'Writing Logic'!$J$7:$K$11,2,FALSE)&amp;" - Per "&amp;VLOOKUP($C$4,'Writing Logic'!$G$8:$H$14,2,FALSE),YES_Writing_ELA[#Headers],0)))),"")</f>
        <v/>
      </c>
      <c r="G416" s="138" t="str">
        <f>IFERROR(IF(IF(INDEX(_xlfn.VSTACK(YES_Writing_ELA[#Data],YES_Writing_FLA[#Data]),MATCH($A416,_xlfn.VSTACK(YES_Writing_ELA[Student Number],YES_Writing_FLA[Student Number]),0),MATCH(VLOOKUP(G$7,'Writing Logic'!$J$7:$K$11,2,FALSE)&amp;" - Per "&amp;VLOOKUP($C$4,'Writing Logic'!$G$8:$H$14,2,FALSE),YES_Writing_ELA[#Headers],0))=0,"",INDEX(_xlfn.VSTACK(YES_Writing_ELA[#Data],YES_Writing_FLA[#Data]),MATCH($A416,_xlfn.VSTACK(YES_Writing_ELA[Student Number],YES_Writing_FLA[Student Number]),0),MATCH(VLOOKUP(G$7,'Writing Logic'!$J$7:$K$11,2,FALSE)&amp;" - Per "&amp;VLOOKUP($C$4,'Writing Logic'!$G$8:$H$14,2,FALSE),YES_Writing_ELA[#Headers],0)))="INS",'Writing Logic'!$B$7,IF(INDEX(_xlfn.VSTACK(YES_Writing_ELA[#Data],YES_Writing_FLA[#Data]),MATCH($A416,_xlfn.VSTACK(YES_Writing_ELA[Student Number],YES_Writing_FLA[Student Number]),0),MATCH(VLOOKUP(G$7,'Writing Logic'!$J$7:$K$11,2,FALSE)&amp;" - Per "&amp;VLOOKUP($C$4,'Writing Logic'!$G$8:$H$14,2,FALSE),YES_Writing_ELA[#Headers],0))=0,"",INDEX(_xlfn.VSTACK(YES_Writing_ELA[#Data],YES_Writing_FLA[#Data]),MATCH($A416,_xlfn.VSTACK(YES_Writing_ELA[Student Number],YES_Writing_FLA[Student Number]),0),MATCH(VLOOKUP(G$7,'Writing Logic'!$J$7:$K$11,2,FALSE)&amp;" - Per "&amp;VLOOKUP($C$4,'Writing Logic'!$G$8:$H$14,2,FALSE),YES_Writing_ELA[#Headers],0)))),"")</f>
        <v/>
      </c>
      <c r="H416" s="138" t="str">
        <f>IFERROR(IF(IF(INDEX(_xlfn.VSTACK(YES_Writing_ELA[#Data],YES_Writing_FLA[#Data]),MATCH($A416,_xlfn.VSTACK(YES_Writing_ELA[Student Number],YES_Writing_FLA[Student Number]),0),MATCH(VLOOKUP(H$7,'Writing Logic'!$J$7:$K$11,2,FALSE)&amp;" - Per "&amp;VLOOKUP($C$4,'Writing Logic'!$G$8:$H$14,2,FALSE),YES_Writing_ELA[#Headers],0))=0,"",INDEX(_xlfn.VSTACK(YES_Writing_ELA[#Data],YES_Writing_FLA[#Data]),MATCH($A416,_xlfn.VSTACK(YES_Writing_ELA[Student Number],YES_Writing_FLA[Student Number]),0),MATCH(VLOOKUP(H$7,'Writing Logic'!$J$7:$K$11,2,FALSE)&amp;" - Per "&amp;VLOOKUP($C$4,'Writing Logic'!$G$8:$H$14,2,FALSE),YES_Writing_ELA[#Headers],0)))="INS",'Writing Logic'!$B$7,IF(INDEX(_xlfn.VSTACK(YES_Writing_ELA[#Data],YES_Writing_FLA[#Data]),MATCH($A416,_xlfn.VSTACK(YES_Writing_ELA[Student Number],YES_Writing_FLA[Student Number]),0),MATCH(VLOOKUP(H$7,'Writing Logic'!$J$7:$K$11,2,FALSE)&amp;" - Per "&amp;VLOOKUP($C$4,'Writing Logic'!$G$8:$H$14,2,FALSE),YES_Writing_ELA[#Headers],0))=0,"",INDEX(_xlfn.VSTACK(YES_Writing_ELA[#Data],YES_Writing_FLA[#Data]),MATCH($A416,_xlfn.VSTACK(YES_Writing_ELA[Student Number],YES_Writing_FLA[Student Number]),0),MATCH(VLOOKUP(H$7,'Writing Logic'!$J$7:$K$11,2,FALSE)&amp;" - Per "&amp;VLOOKUP($C$4,'Writing Logic'!$G$8:$H$14,2,FALSE),YES_Writing_ELA[#Headers],0)))),"")</f>
        <v/>
      </c>
    </row>
    <row r="417" spans="1:8" x14ac:dyDescent="0.25">
      <c r="A417" s="137"/>
      <c r="B417" s="137" t="str">
        <f>IFERROR(INDEX(_xlfn.VSTACK(YES_Writing_ELA[#Data], YES_Writing_FLA[#Data]),MATCH($A417,_xlfn.VSTACK(YES_Writing_ELA[Student Number], YES_Writing_FLA[Student Number]),0),MATCH(B$7,YES_Writing_ELA[#Headers],0)),"")</f>
        <v/>
      </c>
      <c r="C417" s="137" t="str">
        <f>IFERROR(INDEX(_xlfn.VSTACK(YES_Writing_ELA[#Data], YES_Writing_FLA[#Data]),MATCH($A417,_xlfn.VSTACK(YES_Writing_ELA[Student Number], YES_Writing_FLA[Student Number]),0),MATCH(C$7,YES_Writing_ELA[#Headers],0)),"")</f>
        <v/>
      </c>
      <c r="D417" s="138" t="str">
        <f>IFERROR(IF(IF(INDEX(_xlfn.VSTACK(YES_Writing_ELA[#Data],YES_Writing_FLA[#Data]),MATCH($A417,_xlfn.VSTACK(YES_Writing_ELA[Student Number],YES_Writing_FLA[Student Number]),0),MATCH(VLOOKUP(D$7,'Writing Logic'!$J$7:$K$11,2,FALSE)&amp;" - Per "&amp;VLOOKUP($C$4,'Writing Logic'!$G$8:$H$14,2,FALSE),YES_Writing_ELA[#Headers],0))=0,"",INDEX(_xlfn.VSTACK(YES_Writing_ELA[#Data],YES_Writing_FLA[#Data]),MATCH($A417,_xlfn.VSTACK(YES_Writing_ELA[Student Number],YES_Writing_FLA[Student Number]),0),MATCH(VLOOKUP(D$7,'Writing Logic'!$J$7:$K$11,2,FALSE)&amp;" - Per "&amp;VLOOKUP($C$4,'Writing Logic'!$G$8:$H$14,2,FALSE),YES_Writing_ELA[#Headers],0)))="INS",'Writing Logic'!$B$7,IF(INDEX(_xlfn.VSTACK(YES_Writing_ELA[#Data],YES_Writing_FLA[#Data]),MATCH($A417,_xlfn.VSTACK(YES_Writing_ELA[Student Number],YES_Writing_FLA[Student Number]),0),MATCH(VLOOKUP(D$7,'Writing Logic'!$J$7:$K$11,2,FALSE)&amp;" - Per "&amp;VLOOKUP($C$4,'Writing Logic'!$G$8:$H$14,2,FALSE),YES_Writing_ELA[#Headers],0))=0,"",INDEX(_xlfn.VSTACK(YES_Writing_ELA[#Data],YES_Writing_FLA[#Data]),MATCH($A417,_xlfn.VSTACK(YES_Writing_ELA[Student Number],YES_Writing_FLA[Student Number]),0),MATCH(VLOOKUP(D$7,'Writing Logic'!$J$7:$K$11,2,FALSE)&amp;" - Per "&amp;VLOOKUP($C$4,'Writing Logic'!$G$8:$H$14,2,FALSE),YES_Writing_ELA[#Headers],0)))),"")</f>
        <v/>
      </c>
      <c r="E417" s="138" t="str">
        <f>IFERROR(IF(IF(INDEX(_xlfn.VSTACK(YES_Writing_ELA[#Data],YES_Writing_FLA[#Data]),MATCH($A417,_xlfn.VSTACK(YES_Writing_ELA[Student Number],YES_Writing_FLA[Student Number]),0),MATCH(VLOOKUP(E$7,'Writing Logic'!$J$7:$K$11,2,FALSE)&amp;" - Per "&amp;VLOOKUP($C$4,'Writing Logic'!$G$8:$H$14,2,FALSE),YES_Writing_ELA[#Headers],0))=0,"",INDEX(_xlfn.VSTACK(YES_Writing_ELA[#Data],YES_Writing_FLA[#Data]),MATCH($A417,_xlfn.VSTACK(YES_Writing_ELA[Student Number],YES_Writing_FLA[Student Number]),0),MATCH(VLOOKUP(E$7,'Writing Logic'!$J$7:$K$11,2,FALSE)&amp;" - Per "&amp;VLOOKUP($C$4,'Writing Logic'!$G$8:$H$14,2,FALSE),YES_Writing_ELA[#Headers],0)))="INS",'Writing Logic'!$B$7,IF(INDEX(_xlfn.VSTACK(YES_Writing_ELA[#Data],YES_Writing_FLA[#Data]),MATCH($A417,_xlfn.VSTACK(YES_Writing_ELA[Student Number],YES_Writing_FLA[Student Number]),0),MATCH(VLOOKUP(E$7,'Writing Logic'!$J$7:$K$11,2,FALSE)&amp;" - Per "&amp;VLOOKUP($C$4,'Writing Logic'!$G$8:$H$14,2,FALSE),YES_Writing_ELA[#Headers],0))=0,"",INDEX(_xlfn.VSTACK(YES_Writing_ELA[#Data],YES_Writing_FLA[#Data]),MATCH($A417,_xlfn.VSTACK(YES_Writing_ELA[Student Number],YES_Writing_FLA[Student Number]),0),MATCH(VLOOKUP(E$7,'Writing Logic'!$J$7:$K$11,2,FALSE)&amp;" - Per "&amp;VLOOKUP($C$4,'Writing Logic'!$G$8:$H$14,2,FALSE),YES_Writing_ELA[#Headers],0)))),"")</f>
        <v/>
      </c>
      <c r="F417" s="138" t="str">
        <f>IFERROR(IF(IF(INDEX(_xlfn.VSTACK(YES_Writing_ELA[#Data],YES_Writing_FLA[#Data]),MATCH($A417,_xlfn.VSTACK(YES_Writing_ELA[Student Number],YES_Writing_FLA[Student Number]),0),MATCH(VLOOKUP(F$7,'Writing Logic'!$J$7:$K$11,2,FALSE)&amp;" - Per "&amp;VLOOKUP($C$4,'Writing Logic'!$G$8:$H$14,2,FALSE),YES_Writing_ELA[#Headers],0))=0,"",INDEX(_xlfn.VSTACK(YES_Writing_ELA[#Data],YES_Writing_FLA[#Data]),MATCH($A417,_xlfn.VSTACK(YES_Writing_ELA[Student Number],YES_Writing_FLA[Student Number]),0),MATCH(VLOOKUP(F$7,'Writing Logic'!$J$7:$K$11,2,FALSE)&amp;" - Per "&amp;VLOOKUP($C$4,'Writing Logic'!$G$8:$H$14,2,FALSE),YES_Writing_ELA[#Headers],0)))="INS",'Writing Logic'!$B$7,IF(INDEX(_xlfn.VSTACK(YES_Writing_ELA[#Data],YES_Writing_FLA[#Data]),MATCH($A417,_xlfn.VSTACK(YES_Writing_ELA[Student Number],YES_Writing_FLA[Student Number]),0),MATCH(VLOOKUP(F$7,'Writing Logic'!$J$7:$K$11,2,FALSE)&amp;" - Per "&amp;VLOOKUP($C$4,'Writing Logic'!$G$8:$H$14,2,FALSE),YES_Writing_ELA[#Headers],0))=0,"",INDEX(_xlfn.VSTACK(YES_Writing_ELA[#Data],YES_Writing_FLA[#Data]),MATCH($A417,_xlfn.VSTACK(YES_Writing_ELA[Student Number],YES_Writing_FLA[Student Number]),0),MATCH(VLOOKUP(F$7,'Writing Logic'!$J$7:$K$11,2,FALSE)&amp;" - Per "&amp;VLOOKUP($C$4,'Writing Logic'!$G$8:$H$14,2,FALSE),YES_Writing_ELA[#Headers],0)))),"")</f>
        <v/>
      </c>
      <c r="G417" s="138" t="str">
        <f>IFERROR(IF(IF(INDEX(_xlfn.VSTACK(YES_Writing_ELA[#Data],YES_Writing_FLA[#Data]),MATCH($A417,_xlfn.VSTACK(YES_Writing_ELA[Student Number],YES_Writing_FLA[Student Number]),0),MATCH(VLOOKUP(G$7,'Writing Logic'!$J$7:$K$11,2,FALSE)&amp;" - Per "&amp;VLOOKUP($C$4,'Writing Logic'!$G$8:$H$14,2,FALSE),YES_Writing_ELA[#Headers],0))=0,"",INDEX(_xlfn.VSTACK(YES_Writing_ELA[#Data],YES_Writing_FLA[#Data]),MATCH($A417,_xlfn.VSTACK(YES_Writing_ELA[Student Number],YES_Writing_FLA[Student Number]),0),MATCH(VLOOKUP(G$7,'Writing Logic'!$J$7:$K$11,2,FALSE)&amp;" - Per "&amp;VLOOKUP($C$4,'Writing Logic'!$G$8:$H$14,2,FALSE),YES_Writing_ELA[#Headers],0)))="INS",'Writing Logic'!$B$7,IF(INDEX(_xlfn.VSTACK(YES_Writing_ELA[#Data],YES_Writing_FLA[#Data]),MATCH($A417,_xlfn.VSTACK(YES_Writing_ELA[Student Number],YES_Writing_FLA[Student Number]),0),MATCH(VLOOKUP(G$7,'Writing Logic'!$J$7:$K$11,2,FALSE)&amp;" - Per "&amp;VLOOKUP($C$4,'Writing Logic'!$G$8:$H$14,2,FALSE),YES_Writing_ELA[#Headers],0))=0,"",INDEX(_xlfn.VSTACK(YES_Writing_ELA[#Data],YES_Writing_FLA[#Data]),MATCH($A417,_xlfn.VSTACK(YES_Writing_ELA[Student Number],YES_Writing_FLA[Student Number]),0),MATCH(VLOOKUP(G$7,'Writing Logic'!$J$7:$K$11,2,FALSE)&amp;" - Per "&amp;VLOOKUP($C$4,'Writing Logic'!$G$8:$H$14,2,FALSE),YES_Writing_ELA[#Headers],0)))),"")</f>
        <v/>
      </c>
      <c r="H417" s="138" t="str">
        <f>IFERROR(IF(IF(INDEX(_xlfn.VSTACK(YES_Writing_ELA[#Data],YES_Writing_FLA[#Data]),MATCH($A417,_xlfn.VSTACK(YES_Writing_ELA[Student Number],YES_Writing_FLA[Student Number]),0),MATCH(VLOOKUP(H$7,'Writing Logic'!$J$7:$K$11,2,FALSE)&amp;" - Per "&amp;VLOOKUP($C$4,'Writing Logic'!$G$8:$H$14,2,FALSE),YES_Writing_ELA[#Headers],0))=0,"",INDEX(_xlfn.VSTACK(YES_Writing_ELA[#Data],YES_Writing_FLA[#Data]),MATCH($A417,_xlfn.VSTACK(YES_Writing_ELA[Student Number],YES_Writing_FLA[Student Number]),0),MATCH(VLOOKUP(H$7,'Writing Logic'!$J$7:$K$11,2,FALSE)&amp;" - Per "&amp;VLOOKUP($C$4,'Writing Logic'!$G$8:$H$14,2,FALSE),YES_Writing_ELA[#Headers],0)))="INS",'Writing Logic'!$B$7,IF(INDEX(_xlfn.VSTACK(YES_Writing_ELA[#Data],YES_Writing_FLA[#Data]),MATCH($A417,_xlfn.VSTACK(YES_Writing_ELA[Student Number],YES_Writing_FLA[Student Number]),0),MATCH(VLOOKUP(H$7,'Writing Logic'!$J$7:$K$11,2,FALSE)&amp;" - Per "&amp;VLOOKUP($C$4,'Writing Logic'!$G$8:$H$14,2,FALSE),YES_Writing_ELA[#Headers],0))=0,"",INDEX(_xlfn.VSTACK(YES_Writing_ELA[#Data],YES_Writing_FLA[#Data]),MATCH($A417,_xlfn.VSTACK(YES_Writing_ELA[Student Number],YES_Writing_FLA[Student Number]),0),MATCH(VLOOKUP(H$7,'Writing Logic'!$J$7:$K$11,2,FALSE)&amp;" - Per "&amp;VLOOKUP($C$4,'Writing Logic'!$G$8:$H$14,2,FALSE),YES_Writing_ELA[#Headers],0)))),"")</f>
        <v/>
      </c>
    </row>
    <row r="418" spans="1:8" x14ac:dyDescent="0.25">
      <c r="A418" s="137"/>
      <c r="B418" s="137" t="str">
        <f>IFERROR(INDEX(_xlfn.VSTACK(YES_Writing_ELA[#Data], YES_Writing_FLA[#Data]),MATCH($A418,_xlfn.VSTACK(YES_Writing_ELA[Student Number], YES_Writing_FLA[Student Number]),0),MATCH(B$7,YES_Writing_ELA[#Headers],0)),"")</f>
        <v/>
      </c>
      <c r="C418" s="137" t="str">
        <f>IFERROR(INDEX(_xlfn.VSTACK(YES_Writing_ELA[#Data], YES_Writing_FLA[#Data]),MATCH($A418,_xlfn.VSTACK(YES_Writing_ELA[Student Number], YES_Writing_FLA[Student Number]),0),MATCH(C$7,YES_Writing_ELA[#Headers],0)),"")</f>
        <v/>
      </c>
      <c r="D418" s="138" t="str">
        <f>IFERROR(IF(IF(INDEX(_xlfn.VSTACK(YES_Writing_ELA[#Data],YES_Writing_FLA[#Data]),MATCH($A418,_xlfn.VSTACK(YES_Writing_ELA[Student Number],YES_Writing_FLA[Student Number]),0),MATCH(VLOOKUP(D$7,'Writing Logic'!$J$7:$K$11,2,FALSE)&amp;" - Per "&amp;VLOOKUP($C$4,'Writing Logic'!$G$8:$H$14,2,FALSE),YES_Writing_ELA[#Headers],0))=0,"",INDEX(_xlfn.VSTACK(YES_Writing_ELA[#Data],YES_Writing_FLA[#Data]),MATCH($A418,_xlfn.VSTACK(YES_Writing_ELA[Student Number],YES_Writing_FLA[Student Number]),0),MATCH(VLOOKUP(D$7,'Writing Logic'!$J$7:$K$11,2,FALSE)&amp;" - Per "&amp;VLOOKUP($C$4,'Writing Logic'!$G$8:$H$14,2,FALSE),YES_Writing_ELA[#Headers],0)))="INS",'Writing Logic'!$B$7,IF(INDEX(_xlfn.VSTACK(YES_Writing_ELA[#Data],YES_Writing_FLA[#Data]),MATCH($A418,_xlfn.VSTACK(YES_Writing_ELA[Student Number],YES_Writing_FLA[Student Number]),0),MATCH(VLOOKUP(D$7,'Writing Logic'!$J$7:$K$11,2,FALSE)&amp;" - Per "&amp;VLOOKUP($C$4,'Writing Logic'!$G$8:$H$14,2,FALSE),YES_Writing_ELA[#Headers],0))=0,"",INDEX(_xlfn.VSTACK(YES_Writing_ELA[#Data],YES_Writing_FLA[#Data]),MATCH($A418,_xlfn.VSTACK(YES_Writing_ELA[Student Number],YES_Writing_FLA[Student Number]),0),MATCH(VLOOKUP(D$7,'Writing Logic'!$J$7:$K$11,2,FALSE)&amp;" - Per "&amp;VLOOKUP($C$4,'Writing Logic'!$G$8:$H$14,2,FALSE),YES_Writing_ELA[#Headers],0)))),"")</f>
        <v/>
      </c>
      <c r="E418" s="138" t="str">
        <f>IFERROR(IF(IF(INDEX(_xlfn.VSTACK(YES_Writing_ELA[#Data],YES_Writing_FLA[#Data]),MATCH($A418,_xlfn.VSTACK(YES_Writing_ELA[Student Number],YES_Writing_FLA[Student Number]),0),MATCH(VLOOKUP(E$7,'Writing Logic'!$J$7:$K$11,2,FALSE)&amp;" - Per "&amp;VLOOKUP($C$4,'Writing Logic'!$G$8:$H$14,2,FALSE),YES_Writing_ELA[#Headers],0))=0,"",INDEX(_xlfn.VSTACK(YES_Writing_ELA[#Data],YES_Writing_FLA[#Data]),MATCH($A418,_xlfn.VSTACK(YES_Writing_ELA[Student Number],YES_Writing_FLA[Student Number]),0),MATCH(VLOOKUP(E$7,'Writing Logic'!$J$7:$K$11,2,FALSE)&amp;" - Per "&amp;VLOOKUP($C$4,'Writing Logic'!$G$8:$H$14,2,FALSE),YES_Writing_ELA[#Headers],0)))="INS",'Writing Logic'!$B$7,IF(INDEX(_xlfn.VSTACK(YES_Writing_ELA[#Data],YES_Writing_FLA[#Data]),MATCH($A418,_xlfn.VSTACK(YES_Writing_ELA[Student Number],YES_Writing_FLA[Student Number]),0),MATCH(VLOOKUP(E$7,'Writing Logic'!$J$7:$K$11,2,FALSE)&amp;" - Per "&amp;VLOOKUP($C$4,'Writing Logic'!$G$8:$H$14,2,FALSE),YES_Writing_ELA[#Headers],0))=0,"",INDEX(_xlfn.VSTACK(YES_Writing_ELA[#Data],YES_Writing_FLA[#Data]),MATCH($A418,_xlfn.VSTACK(YES_Writing_ELA[Student Number],YES_Writing_FLA[Student Number]),0),MATCH(VLOOKUP(E$7,'Writing Logic'!$J$7:$K$11,2,FALSE)&amp;" - Per "&amp;VLOOKUP($C$4,'Writing Logic'!$G$8:$H$14,2,FALSE),YES_Writing_ELA[#Headers],0)))),"")</f>
        <v/>
      </c>
      <c r="F418" s="138" t="str">
        <f>IFERROR(IF(IF(INDEX(_xlfn.VSTACK(YES_Writing_ELA[#Data],YES_Writing_FLA[#Data]),MATCH($A418,_xlfn.VSTACK(YES_Writing_ELA[Student Number],YES_Writing_FLA[Student Number]),0),MATCH(VLOOKUP(F$7,'Writing Logic'!$J$7:$K$11,2,FALSE)&amp;" - Per "&amp;VLOOKUP($C$4,'Writing Logic'!$G$8:$H$14,2,FALSE),YES_Writing_ELA[#Headers],0))=0,"",INDEX(_xlfn.VSTACK(YES_Writing_ELA[#Data],YES_Writing_FLA[#Data]),MATCH($A418,_xlfn.VSTACK(YES_Writing_ELA[Student Number],YES_Writing_FLA[Student Number]),0),MATCH(VLOOKUP(F$7,'Writing Logic'!$J$7:$K$11,2,FALSE)&amp;" - Per "&amp;VLOOKUP($C$4,'Writing Logic'!$G$8:$H$14,2,FALSE),YES_Writing_ELA[#Headers],0)))="INS",'Writing Logic'!$B$7,IF(INDEX(_xlfn.VSTACK(YES_Writing_ELA[#Data],YES_Writing_FLA[#Data]),MATCH($A418,_xlfn.VSTACK(YES_Writing_ELA[Student Number],YES_Writing_FLA[Student Number]),0),MATCH(VLOOKUP(F$7,'Writing Logic'!$J$7:$K$11,2,FALSE)&amp;" - Per "&amp;VLOOKUP($C$4,'Writing Logic'!$G$8:$H$14,2,FALSE),YES_Writing_ELA[#Headers],0))=0,"",INDEX(_xlfn.VSTACK(YES_Writing_ELA[#Data],YES_Writing_FLA[#Data]),MATCH($A418,_xlfn.VSTACK(YES_Writing_ELA[Student Number],YES_Writing_FLA[Student Number]),0),MATCH(VLOOKUP(F$7,'Writing Logic'!$J$7:$K$11,2,FALSE)&amp;" - Per "&amp;VLOOKUP($C$4,'Writing Logic'!$G$8:$H$14,2,FALSE),YES_Writing_ELA[#Headers],0)))),"")</f>
        <v/>
      </c>
      <c r="G418" s="138" t="str">
        <f>IFERROR(IF(IF(INDEX(_xlfn.VSTACK(YES_Writing_ELA[#Data],YES_Writing_FLA[#Data]),MATCH($A418,_xlfn.VSTACK(YES_Writing_ELA[Student Number],YES_Writing_FLA[Student Number]),0),MATCH(VLOOKUP(G$7,'Writing Logic'!$J$7:$K$11,2,FALSE)&amp;" - Per "&amp;VLOOKUP($C$4,'Writing Logic'!$G$8:$H$14,2,FALSE),YES_Writing_ELA[#Headers],0))=0,"",INDEX(_xlfn.VSTACK(YES_Writing_ELA[#Data],YES_Writing_FLA[#Data]),MATCH($A418,_xlfn.VSTACK(YES_Writing_ELA[Student Number],YES_Writing_FLA[Student Number]),0),MATCH(VLOOKUP(G$7,'Writing Logic'!$J$7:$K$11,2,FALSE)&amp;" - Per "&amp;VLOOKUP($C$4,'Writing Logic'!$G$8:$H$14,2,FALSE),YES_Writing_ELA[#Headers],0)))="INS",'Writing Logic'!$B$7,IF(INDEX(_xlfn.VSTACK(YES_Writing_ELA[#Data],YES_Writing_FLA[#Data]),MATCH($A418,_xlfn.VSTACK(YES_Writing_ELA[Student Number],YES_Writing_FLA[Student Number]),0),MATCH(VLOOKUP(G$7,'Writing Logic'!$J$7:$K$11,2,FALSE)&amp;" - Per "&amp;VLOOKUP($C$4,'Writing Logic'!$G$8:$H$14,2,FALSE),YES_Writing_ELA[#Headers],0))=0,"",INDEX(_xlfn.VSTACK(YES_Writing_ELA[#Data],YES_Writing_FLA[#Data]),MATCH($A418,_xlfn.VSTACK(YES_Writing_ELA[Student Number],YES_Writing_FLA[Student Number]),0),MATCH(VLOOKUP(G$7,'Writing Logic'!$J$7:$K$11,2,FALSE)&amp;" - Per "&amp;VLOOKUP($C$4,'Writing Logic'!$G$8:$H$14,2,FALSE),YES_Writing_ELA[#Headers],0)))),"")</f>
        <v/>
      </c>
      <c r="H418" s="138" t="str">
        <f>IFERROR(IF(IF(INDEX(_xlfn.VSTACK(YES_Writing_ELA[#Data],YES_Writing_FLA[#Data]),MATCH($A418,_xlfn.VSTACK(YES_Writing_ELA[Student Number],YES_Writing_FLA[Student Number]),0),MATCH(VLOOKUP(H$7,'Writing Logic'!$J$7:$K$11,2,FALSE)&amp;" - Per "&amp;VLOOKUP($C$4,'Writing Logic'!$G$8:$H$14,2,FALSE),YES_Writing_ELA[#Headers],0))=0,"",INDEX(_xlfn.VSTACK(YES_Writing_ELA[#Data],YES_Writing_FLA[#Data]),MATCH($A418,_xlfn.VSTACK(YES_Writing_ELA[Student Number],YES_Writing_FLA[Student Number]),0),MATCH(VLOOKUP(H$7,'Writing Logic'!$J$7:$K$11,2,FALSE)&amp;" - Per "&amp;VLOOKUP($C$4,'Writing Logic'!$G$8:$H$14,2,FALSE),YES_Writing_ELA[#Headers],0)))="INS",'Writing Logic'!$B$7,IF(INDEX(_xlfn.VSTACK(YES_Writing_ELA[#Data],YES_Writing_FLA[#Data]),MATCH($A418,_xlfn.VSTACK(YES_Writing_ELA[Student Number],YES_Writing_FLA[Student Number]),0),MATCH(VLOOKUP(H$7,'Writing Logic'!$J$7:$K$11,2,FALSE)&amp;" - Per "&amp;VLOOKUP($C$4,'Writing Logic'!$G$8:$H$14,2,FALSE),YES_Writing_ELA[#Headers],0))=0,"",INDEX(_xlfn.VSTACK(YES_Writing_ELA[#Data],YES_Writing_FLA[#Data]),MATCH($A418,_xlfn.VSTACK(YES_Writing_ELA[Student Number],YES_Writing_FLA[Student Number]),0),MATCH(VLOOKUP(H$7,'Writing Logic'!$J$7:$K$11,2,FALSE)&amp;" - Per "&amp;VLOOKUP($C$4,'Writing Logic'!$G$8:$H$14,2,FALSE),YES_Writing_ELA[#Headers],0)))),"")</f>
        <v/>
      </c>
    </row>
    <row r="419" spans="1:8" x14ac:dyDescent="0.25">
      <c r="A419" s="137"/>
      <c r="B419" s="137" t="str">
        <f>IFERROR(INDEX(_xlfn.VSTACK(YES_Writing_ELA[#Data], YES_Writing_FLA[#Data]),MATCH($A419,_xlfn.VSTACK(YES_Writing_ELA[Student Number], YES_Writing_FLA[Student Number]),0),MATCH(B$7,YES_Writing_ELA[#Headers],0)),"")</f>
        <v/>
      </c>
      <c r="C419" s="137" t="str">
        <f>IFERROR(INDEX(_xlfn.VSTACK(YES_Writing_ELA[#Data], YES_Writing_FLA[#Data]),MATCH($A419,_xlfn.VSTACK(YES_Writing_ELA[Student Number], YES_Writing_FLA[Student Number]),0),MATCH(C$7,YES_Writing_ELA[#Headers],0)),"")</f>
        <v/>
      </c>
      <c r="D419" s="138" t="str">
        <f>IFERROR(IF(IF(INDEX(_xlfn.VSTACK(YES_Writing_ELA[#Data],YES_Writing_FLA[#Data]),MATCH($A419,_xlfn.VSTACK(YES_Writing_ELA[Student Number],YES_Writing_FLA[Student Number]),0),MATCH(VLOOKUP(D$7,'Writing Logic'!$J$7:$K$11,2,FALSE)&amp;" - Per "&amp;VLOOKUP($C$4,'Writing Logic'!$G$8:$H$14,2,FALSE),YES_Writing_ELA[#Headers],0))=0,"",INDEX(_xlfn.VSTACK(YES_Writing_ELA[#Data],YES_Writing_FLA[#Data]),MATCH($A419,_xlfn.VSTACK(YES_Writing_ELA[Student Number],YES_Writing_FLA[Student Number]),0),MATCH(VLOOKUP(D$7,'Writing Logic'!$J$7:$K$11,2,FALSE)&amp;" - Per "&amp;VLOOKUP($C$4,'Writing Logic'!$G$8:$H$14,2,FALSE),YES_Writing_ELA[#Headers],0)))="INS",'Writing Logic'!$B$7,IF(INDEX(_xlfn.VSTACK(YES_Writing_ELA[#Data],YES_Writing_FLA[#Data]),MATCH($A419,_xlfn.VSTACK(YES_Writing_ELA[Student Number],YES_Writing_FLA[Student Number]),0),MATCH(VLOOKUP(D$7,'Writing Logic'!$J$7:$K$11,2,FALSE)&amp;" - Per "&amp;VLOOKUP($C$4,'Writing Logic'!$G$8:$H$14,2,FALSE),YES_Writing_ELA[#Headers],0))=0,"",INDEX(_xlfn.VSTACK(YES_Writing_ELA[#Data],YES_Writing_FLA[#Data]),MATCH($A419,_xlfn.VSTACK(YES_Writing_ELA[Student Number],YES_Writing_FLA[Student Number]),0),MATCH(VLOOKUP(D$7,'Writing Logic'!$J$7:$K$11,2,FALSE)&amp;" - Per "&amp;VLOOKUP($C$4,'Writing Logic'!$G$8:$H$14,2,FALSE),YES_Writing_ELA[#Headers],0)))),"")</f>
        <v/>
      </c>
      <c r="E419" s="138" t="str">
        <f>IFERROR(IF(IF(INDEX(_xlfn.VSTACK(YES_Writing_ELA[#Data],YES_Writing_FLA[#Data]),MATCH($A419,_xlfn.VSTACK(YES_Writing_ELA[Student Number],YES_Writing_FLA[Student Number]),0),MATCH(VLOOKUP(E$7,'Writing Logic'!$J$7:$K$11,2,FALSE)&amp;" - Per "&amp;VLOOKUP($C$4,'Writing Logic'!$G$8:$H$14,2,FALSE),YES_Writing_ELA[#Headers],0))=0,"",INDEX(_xlfn.VSTACK(YES_Writing_ELA[#Data],YES_Writing_FLA[#Data]),MATCH($A419,_xlfn.VSTACK(YES_Writing_ELA[Student Number],YES_Writing_FLA[Student Number]),0),MATCH(VLOOKUP(E$7,'Writing Logic'!$J$7:$K$11,2,FALSE)&amp;" - Per "&amp;VLOOKUP($C$4,'Writing Logic'!$G$8:$H$14,2,FALSE),YES_Writing_ELA[#Headers],0)))="INS",'Writing Logic'!$B$7,IF(INDEX(_xlfn.VSTACK(YES_Writing_ELA[#Data],YES_Writing_FLA[#Data]),MATCH($A419,_xlfn.VSTACK(YES_Writing_ELA[Student Number],YES_Writing_FLA[Student Number]),0),MATCH(VLOOKUP(E$7,'Writing Logic'!$J$7:$K$11,2,FALSE)&amp;" - Per "&amp;VLOOKUP($C$4,'Writing Logic'!$G$8:$H$14,2,FALSE),YES_Writing_ELA[#Headers],0))=0,"",INDEX(_xlfn.VSTACK(YES_Writing_ELA[#Data],YES_Writing_FLA[#Data]),MATCH($A419,_xlfn.VSTACK(YES_Writing_ELA[Student Number],YES_Writing_FLA[Student Number]),0),MATCH(VLOOKUP(E$7,'Writing Logic'!$J$7:$K$11,2,FALSE)&amp;" - Per "&amp;VLOOKUP($C$4,'Writing Logic'!$G$8:$H$14,2,FALSE),YES_Writing_ELA[#Headers],0)))),"")</f>
        <v/>
      </c>
      <c r="F419" s="138" t="str">
        <f>IFERROR(IF(IF(INDEX(_xlfn.VSTACK(YES_Writing_ELA[#Data],YES_Writing_FLA[#Data]),MATCH($A419,_xlfn.VSTACK(YES_Writing_ELA[Student Number],YES_Writing_FLA[Student Number]),0),MATCH(VLOOKUP(F$7,'Writing Logic'!$J$7:$K$11,2,FALSE)&amp;" - Per "&amp;VLOOKUP($C$4,'Writing Logic'!$G$8:$H$14,2,FALSE),YES_Writing_ELA[#Headers],0))=0,"",INDEX(_xlfn.VSTACK(YES_Writing_ELA[#Data],YES_Writing_FLA[#Data]),MATCH($A419,_xlfn.VSTACK(YES_Writing_ELA[Student Number],YES_Writing_FLA[Student Number]),0),MATCH(VLOOKUP(F$7,'Writing Logic'!$J$7:$K$11,2,FALSE)&amp;" - Per "&amp;VLOOKUP($C$4,'Writing Logic'!$G$8:$H$14,2,FALSE),YES_Writing_ELA[#Headers],0)))="INS",'Writing Logic'!$B$7,IF(INDEX(_xlfn.VSTACK(YES_Writing_ELA[#Data],YES_Writing_FLA[#Data]),MATCH($A419,_xlfn.VSTACK(YES_Writing_ELA[Student Number],YES_Writing_FLA[Student Number]),0),MATCH(VLOOKUP(F$7,'Writing Logic'!$J$7:$K$11,2,FALSE)&amp;" - Per "&amp;VLOOKUP($C$4,'Writing Logic'!$G$8:$H$14,2,FALSE),YES_Writing_ELA[#Headers],0))=0,"",INDEX(_xlfn.VSTACK(YES_Writing_ELA[#Data],YES_Writing_FLA[#Data]),MATCH($A419,_xlfn.VSTACK(YES_Writing_ELA[Student Number],YES_Writing_FLA[Student Number]),0),MATCH(VLOOKUP(F$7,'Writing Logic'!$J$7:$K$11,2,FALSE)&amp;" - Per "&amp;VLOOKUP($C$4,'Writing Logic'!$G$8:$H$14,2,FALSE),YES_Writing_ELA[#Headers],0)))),"")</f>
        <v/>
      </c>
      <c r="G419" s="138" t="str">
        <f>IFERROR(IF(IF(INDEX(_xlfn.VSTACK(YES_Writing_ELA[#Data],YES_Writing_FLA[#Data]),MATCH($A419,_xlfn.VSTACK(YES_Writing_ELA[Student Number],YES_Writing_FLA[Student Number]),0),MATCH(VLOOKUP(G$7,'Writing Logic'!$J$7:$K$11,2,FALSE)&amp;" - Per "&amp;VLOOKUP($C$4,'Writing Logic'!$G$8:$H$14,2,FALSE),YES_Writing_ELA[#Headers],0))=0,"",INDEX(_xlfn.VSTACK(YES_Writing_ELA[#Data],YES_Writing_FLA[#Data]),MATCH($A419,_xlfn.VSTACK(YES_Writing_ELA[Student Number],YES_Writing_FLA[Student Number]),0),MATCH(VLOOKUP(G$7,'Writing Logic'!$J$7:$K$11,2,FALSE)&amp;" - Per "&amp;VLOOKUP($C$4,'Writing Logic'!$G$8:$H$14,2,FALSE),YES_Writing_ELA[#Headers],0)))="INS",'Writing Logic'!$B$7,IF(INDEX(_xlfn.VSTACK(YES_Writing_ELA[#Data],YES_Writing_FLA[#Data]),MATCH($A419,_xlfn.VSTACK(YES_Writing_ELA[Student Number],YES_Writing_FLA[Student Number]),0),MATCH(VLOOKUP(G$7,'Writing Logic'!$J$7:$K$11,2,FALSE)&amp;" - Per "&amp;VLOOKUP($C$4,'Writing Logic'!$G$8:$H$14,2,FALSE),YES_Writing_ELA[#Headers],0))=0,"",INDEX(_xlfn.VSTACK(YES_Writing_ELA[#Data],YES_Writing_FLA[#Data]),MATCH($A419,_xlfn.VSTACK(YES_Writing_ELA[Student Number],YES_Writing_FLA[Student Number]),0),MATCH(VLOOKUP(G$7,'Writing Logic'!$J$7:$K$11,2,FALSE)&amp;" - Per "&amp;VLOOKUP($C$4,'Writing Logic'!$G$8:$H$14,2,FALSE),YES_Writing_ELA[#Headers],0)))),"")</f>
        <v/>
      </c>
      <c r="H419" s="138" t="str">
        <f>IFERROR(IF(IF(INDEX(_xlfn.VSTACK(YES_Writing_ELA[#Data],YES_Writing_FLA[#Data]),MATCH($A419,_xlfn.VSTACK(YES_Writing_ELA[Student Number],YES_Writing_FLA[Student Number]),0),MATCH(VLOOKUP(H$7,'Writing Logic'!$J$7:$K$11,2,FALSE)&amp;" - Per "&amp;VLOOKUP($C$4,'Writing Logic'!$G$8:$H$14,2,FALSE),YES_Writing_ELA[#Headers],0))=0,"",INDEX(_xlfn.VSTACK(YES_Writing_ELA[#Data],YES_Writing_FLA[#Data]),MATCH($A419,_xlfn.VSTACK(YES_Writing_ELA[Student Number],YES_Writing_FLA[Student Number]),0),MATCH(VLOOKUP(H$7,'Writing Logic'!$J$7:$K$11,2,FALSE)&amp;" - Per "&amp;VLOOKUP($C$4,'Writing Logic'!$G$8:$H$14,2,FALSE),YES_Writing_ELA[#Headers],0)))="INS",'Writing Logic'!$B$7,IF(INDEX(_xlfn.VSTACK(YES_Writing_ELA[#Data],YES_Writing_FLA[#Data]),MATCH($A419,_xlfn.VSTACK(YES_Writing_ELA[Student Number],YES_Writing_FLA[Student Number]),0),MATCH(VLOOKUP(H$7,'Writing Logic'!$J$7:$K$11,2,FALSE)&amp;" - Per "&amp;VLOOKUP($C$4,'Writing Logic'!$G$8:$H$14,2,FALSE),YES_Writing_ELA[#Headers],0))=0,"",INDEX(_xlfn.VSTACK(YES_Writing_ELA[#Data],YES_Writing_FLA[#Data]),MATCH($A419,_xlfn.VSTACK(YES_Writing_ELA[Student Number],YES_Writing_FLA[Student Number]),0),MATCH(VLOOKUP(H$7,'Writing Logic'!$J$7:$K$11,2,FALSE)&amp;" - Per "&amp;VLOOKUP($C$4,'Writing Logic'!$G$8:$H$14,2,FALSE),YES_Writing_ELA[#Headers],0)))),"")</f>
        <v/>
      </c>
    </row>
    <row r="420" spans="1:8" x14ac:dyDescent="0.25">
      <c r="A420" s="137"/>
      <c r="B420" s="137" t="str">
        <f>IFERROR(INDEX(_xlfn.VSTACK(YES_Writing_ELA[#Data], YES_Writing_FLA[#Data]),MATCH($A420,_xlfn.VSTACK(YES_Writing_ELA[Student Number], YES_Writing_FLA[Student Number]),0),MATCH(B$7,YES_Writing_ELA[#Headers],0)),"")</f>
        <v/>
      </c>
      <c r="C420" s="137" t="str">
        <f>IFERROR(INDEX(_xlfn.VSTACK(YES_Writing_ELA[#Data], YES_Writing_FLA[#Data]),MATCH($A420,_xlfn.VSTACK(YES_Writing_ELA[Student Number], YES_Writing_FLA[Student Number]),0),MATCH(C$7,YES_Writing_ELA[#Headers],0)),"")</f>
        <v/>
      </c>
      <c r="D420" s="138" t="str">
        <f>IFERROR(IF(IF(INDEX(_xlfn.VSTACK(YES_Writing_ELA[#Data],YES_Writing_FLA[#Data]),MATCH($A420,_xlfn.VSTACK(YES_Writing_ELA[Student Number],YES_Writing_FLA[Student Number]),0),MATCH(VLOOKUP(D$7,'Writing Logic'!$J$7:$K$11,2,FALSE)&amp;" - Per "&amp;VLOOKUP($C$4,'Writing Logic'!$G$8:$H$14,2,FALSE),YES_Writing_ELA[#Headers],0))=0,"",INDEX(_xlfn.VSTACK(YES_Writing_ELA[#Data],YES_Writing_FLA[#Data]),MATCH($A420,_xlfn.VSTACK(YES_Writing_ELA[Student Number],YES_Writing_FLA[Student Number]),0),MATCH(VLOOKUP(D$7,'Writing Logic'!$J$7:$K$11,2,FALSE)&amp;" - Per "&amp;VLOOKUP($C$4,'Writing Logic'!$G$8:$H$14,2,FALSE),YES_Writing_ELA[#Headers],0)))="INS",'Writing Logic'!$B$7,IF(INDEX(_xlfn.VSTACK(YES_Writing_ELA[#Data],YES_Writing_FLA[#Data]),MATCH($A420,_xlfn.VSTACK(YES_Writing_ELA[Student Number],YES_Writing_FLA[Student Number]),0),MATCH(VLOOKUP(D$7,'Writing Logic'!$J$7:$K$11,2,FALSE)&amp;" - Per "&amp;VLOOKUP($C$4,'Writing Logic'!$G$8:$H$14,2,FALSE),YES_Writing_ELA[#Headers],0))=0,"",INDEX(_xlfn.VSTACK(YES_Writing_ELA[#Data],YES_Writing_FLA[#Data]),MATCH($A420,_xlfn.VSTACK(YES_Writing_ELA[Student Number],YES_Writing_FLA[Student Number]),0),MATCH(VLOOKUP(D$7,'Writing Logic'!$J$7:$K$11,2,FALSE)&amp;" - Per "&amp;VLOOKUP($C$4,'Writing Logic'!$G$8:$H$14,2,FALSE),YES_Writing_ELA[#Headers],0)))),"")</f>
        <v/>
      </c>
      <c r="E420" s="138" t="str">
        <f>IFERROR(IF(IF(INDEX(_xlfn.VSTACK(YES_Writing_ELA[#Data],YES_Writing_FLA[#Data]),MATCH($A420,_xlfn.VSTACK(YES_Writing_ELA[Student Number],YES_Writing_FLA[Student Number]),0),MATCH(VLOOKUP(E$7,'Writing Logic'!$J$7:$K$11,2,FALSE)&amp;" - Per "&amp;VLOOKUP($C$4,'Writing Logic'!$G$8:$H$14,2,FALSE),YES_Writing_ELA[#Headers],0))=0,"",INDEX(_xlfn.VSTACK(YES_Writing_ELA[#Data],YES_Writing_FLA[#Data]),MATCH($A420,_xlfn.VSTACK(YES_Writing_ELA[Student Number],YES_Writing_FLA[Student Number]),0),MATCH(VLOOKUP(E$7,'Writing Logic'!$J$7:$K$11,2,FALSE)&amp;" - Per "&amp;VLOOKUP($C$4,'Writing Logic'!$G$8:$H$14,2,FALSE),YES_Writing_ELA[#Headers],0)))="INS",'Writing Logic'!$B$7,IF(INDEX(_xlfn.VSTACK(YES_Writing_ELA[#Data],YES_Writing_FLA[#Data]),MATCH($A420,_xlfn.VSTACK(YES_Writing_ELA[Student Number],YES_Writing_FLA[Student Number]),0),MATCH(VLOOKUP(E$7,'Writing Logic'!$J$7:$K$11,2,FALSE)&amp;" - Per "&amp;VLOOKUP($C$4,'Writing Logic'!$G$8:$H$14,2,FALSE),YES_Writing_ELA[#Headers],0))=0,"",INDEX(_xlfn.VSTACK(YES_Writing_ELA[#Data],YES_Writing_FLA[#Data]),MATCH($A420,_xlfn.VSTACK(YES_Writing_ELA[Student Number],YES_Writing_FLA[Student Number]),0),MATCH(VLOOKUP(E$7,'Writing Logic'!$J$7:$K$11,2,FALSE)&amp;" - Per "&amp;VLOOKUP($C$4,'Writing Logic'!$G$8:$H$14,2,FALSE),YES_Writing_ELA[#Headers],0)))),"")</f>
        <v/>
      </c>
      <c r="F420" s="138" t="str">
        <f>IFERROR(IF(IF(INDEX(_xlfn.VSTACK(YES_Writing_ELA[#Data],YES_Writing_FLA[#Data]),MATCH($A420,_xlfn.VSTACK(YES_Writing_ELA[Student Number],YES_Writing_FLA[Student Number]),0),MATCH(VLOOKUP(F$7,'Writing Logic'!$J$7:$K$11,2,FALSE)&amp;" - Per "&amp;VLOOKUP($C$4,'Writing Logic'!$G$8:$H$14,2,FALSE),YES_Writing_ELA[#Headers],0))=0,"",INDEX(_xlfn.VSTACK(YES_Writing_ELA[#Data],YES_Writing_FLA[#Data]),MATCH($A420,_xlfn.VSTACK(YES_Writing_ELA[Student Number],YES_Writing_FLA[Student Number]),0),MATCH(VLOOKUP(F$7,'Writing Logic'!$J$7:$K$11,2,FALSE)&amp;" - Per "&amp;VLOOKUP($C$4,'Writing Logic'!$G$8:$H$14,2,FALSE),YES_Writing_ELA[#Headers],0)))="INS",'Writing Logic'!$B$7,IF(INDEX(_xlfn.VSTACK(YES_Writing_ELA[#Data],YES_Writing_FLA[#Data]),MATCH($A420,_xlfn.VSTACK(YES_Writing_ELA[Student Number],YES_Writing_FLA[Student Number]),0),MATCH(VLOOKUP(F$7,'Writing Logic'!$J$7:$K$11,2,FALSE)&amp;" - Per "&amp;VLOOKUP($C$4,'Writing Logic'!$G$8:$H$14,2,FALSE),YES_Writing_ELA[#Headers],0))=0,"",INDEX(_xlfn.VSTACK(YES_Writing_ELA[#Data],YES_Writing_FLA[#Data]),MATCH($A420,_xlfn.VSTACK(YES_Writing_ELA[Student Number],YES_Writing_FLA[Student Number]),0),MATCH(VLOOKUP(F$7,'Writing Logic'!$J$7:$K$11,2,FALSE)&amp;" - Per "&amp;VLOOKUP($C$4,'Writing Logic'!$G$8:$H$14,2,FALSE),YES_Writing_ELA[#Headers],0)))),"")</f>
        <v/>
      </c>
      <c r="G420" s="138" t="str">
        <f>IFERROR(IF(IF(INDEX(_xlfn.VSTACK(YES_Writing_ELA[#Data],YES_Writing_FLA[#Data]),MATCH($A420,_xlfn.VSTACK(YES_Writing_ELA[Student Number],YES_Writing_FLA[Student Number]),0),MATCH(VLOOKUP(G$7,'Writing Logic'!$J$7:$K$11,2,FALSE)&amp;" - Per "&amp;VLOOKUP($C$4,'Writing Logic'!$G$8:$H$14,2,FALSE),YES_Writing_ELA[#Headers],0))=0,"",INDEX(_xlfn.VSTACK(YES_Writing_ELA[#Data],YES_Writing_FLA[#Data]),MATCH($A420,_xlfn.VSTACK(YES_Writing_ELA[Student Number],YES_Writing_FLA[Student Number]),0),MATCH(VLOOKUP(G$7,'Writing Logic'!$J$7:$K$11,2,FALSE)&amp;" - Per "&amp;VLOOKUP($C$4,'Writing Logic'!$G$8:$H$14,2,FALSE),YES_Writing_ELA[#Headers],0)))="INS",'Writing Logic'!$B$7,IF(INDEX(_xlfn.VSTACK(YES_Writing_ELA[#Data],YES_Writing_FLA[#Data]),MATCH($A420,_xlfn.VSTACK(YES_Writing_ELA[Student Number],YES_Writing_FLA[Student Number]),0),MATCH(VLOOKUP(G$7,'Writing Logic'!$J$7:$K$11,2,FALSE)&amp;" - Per "&amp;VLOOKUP($C$4,'Writing Logic'!$G$8:$H$14,2,FALSE),YES_Writing_ELA[#Headers],0))=0,"",INDEX(_xlfn.VSTACK(YES_Writing_ELA[#Data],YES_Writing_FLA[#Data]),MATCH($A420,_xlfn.VSTACK(YES_Writing_ELA[Student Number],YES_Writing_FLA[Student Number]),0),MATCH(VLOOKUP(G$7,'Writing Logic'!$J$7:$K$11,2,FALSE)&amp;" - Per "&amp;VLOOKUP($C$4,'Writing Logic'!$G$8:$H$14,2,FALSE),YES_Writing_ELA[#Headers],0)))),"")</f>
        <v/>
      </c>
      <c r="H420" s="138" t="str">
        <f>IFERROR(IF(IF(INDEX(_xlfn.VSTACK(YES_Writing_ELA[#Data],YES_Writing_FLA[#Data]),MATCH($A420,_xlfn.VSTACK(YES_Writing_ELA[Student Number],YES_Writing_FLA[Student Number]),0),MATCH(VLOOKUP(H$7,'Writing Logic'!$J$7:$K$11,2,FALSE)&amp;" - Per "&amp;VLOOKUP($C$4,'Writing Logic'!$G$8:$H$14,2,FALSE),YES_Writing_ELA[#Headers],0))=0,"",INDEX(_xlfn.VSTACK(YES_Writing_ELA[#Data],YES_Writing_FLA[#Data]),MATCH($A420,_xlfn.VSTACK(YES_Writing_ELA[Student Number],YES_Writing_FLA[Student Number]),0),MATCH(VLOOKUP(H$7,'Writing Logic'!$J$7:$K$11,2,FALSE)&amp;" - Per "&amp;VLOOKUP($C$4,'Writing Logic'!$G$8:$H$14,2,FALSE),YES_Writing_ELA[#Headers],0)))="INS",'Writing Logic'!$B$7,IF(INDEX(_xlfn.VSTACK(YES_Writing_ELA[#Data],YES_Writing_FLA[#Data]),MATCH($A420,_xlfn.VSTACK(YES_Writing_ELA[Student Number],YES_Writing_FLA[Student Number]),0),MATCH(VLOOKUP(H$7,'Writing Logic'!$J$7:$K$11,2,FALSE)&amp;" - Per "&amp;VLOOKUP($C$4,'Writing Logic'!$G$8:$H$14,2,FALSE),YES_Writing_ELA[#Headers],0))=0,"",INDEX(_xlfn.VSTACK(YES_Writing_ELA[#Data],YES_Writing_FLA[#Data]),MATCH($A420,_xlfn.VSTACK(YES_Writing_ELA[Student Number],YES_Writing_FLA[Student Number]),0),MATCH(VLOOKUP(H$7,'Writing Logic'!$J$7:$K$11,2,FALSE)&amp;" - Per "&amp;VLOOKUP($C$4,'Writing Logic'!$G$8:$H$14,2,FALSE),YES_Writing_ELA[#Headers],0)))),"")</f>
        <v/>
      </c>
    </row>
    <row r="421" spans="1:8" x14ac:dyDescent="0.25">
      <c r="A421" s="137"/>
      <c r="B421" s="137" t="str">
        <f>IFERROR(INDEX(_xlfn.VSTACK(YES_Writing_ELA[#Data], YES_Writing_FLA[#Data]),MATCH($A421,_xlfn.VSTACK(YES_Writing_ELA[Student Number], YES_Writing_FLA[Student Number]),0),MATCH(B$7,YES_Writing_ELA[#Headers],0)),"")</f>
        <v/>
      </c>
      <c r="C421" s="137" t="str">
        <f>IFERROR(INDEX(_xlfn.VSTACK(YES_Writing_ELA[#Data], YES_Writing_FLA[#Data]),MATCH($A421,_xlfn.VSTACK(YES_Writing_ELA[Student Number], YES_Writing_FLA[Student Number]),0),MATCH(C$7,YES_Writing_ELA[#Headers],0)),"")</f>
        <v/>
      </c>
      <c r="D421" s="138" t="str">
        <f>IFERROR(IF(IF(INDEX(_xlfn.VSTACK(YES_Writing_ELA[#Data],YES_Writing_FLA[#Data]),MATCH($A421,_xlfn.VSTACK(YES_Writing_ELA[Student Number],YES_Writing_FLA[Student Number]),0),MATCH(VLOOKUP(D$7,'Writing Logic'!$J$7:$K$11,2,FALSE)&amp;" - Per "&amp;VLOOKUP($C$4,'Writing Logic'!$G$8:$H$14,2,FALSE),YES_Writing_ELA[#Headers],0))=0,"",INDEX(_xlfn.VSTACK(YES_Writing_ELA[#Data],YES_Writing_FLA[#Data]),MATCH($A421,_xlfn.VSTACK(YES_Writing_ELA[Student Number],YES_Writing_FLA[Student Number]),0),MATCH(VLOOKUP(D$7,'Writing Logic'!$J$7:$K$11,2,FALSE)&amp;" - Per "&amp;VLOOKUP($C$4,'Writing Logic'!$G$8:$H$14,2,FALSE),YES_Writing_ELA[#Headers],0)))="INS",'Writing Logic'!$B$7,IF(INDEX(_xlfn.VSTACK(YES_Writing_ELA[#Data],YES_Writing_FLA[#Data]),MATCH($A421,_xlfn.VSTACK(YES_Writing_ELA[Student Number],YES_Writing_FLA[Student Number]),0),MATCH(VLOOKUP(D$7,'Writing Logic'!$J$7:$K$11,2,FALSE)&amp;" - Per "&amp;VLOOKUP($C$4,'Writing Logic'!$G$8:$H$14,2,FALSE),YES_Writing_ELA[#Headers],0))=0,"",INDEX(_xlfn.VSTACK(YES_Writing_ELA[#Data],YES_Writing_FLA[#Data]),MATCH($A421,_xlfn.VSTACK(YES_Writing_ELA[Student Number],YES_Writing_FLA[Student Number]),0),MATCH(VLOOKUP(D$7,'Writing Logic'!$J$7:$K$11,2,FALSE)&amp;" - Per "&amp;VLOOKUP($C$4,'Writing Logic'!$G$8:$H$14,2,FALSE),YES_Writing_ELA[#Headers],0)))),"")</f>
        <v/>
      </c>
      <c r="E421" s="138" t="str">
        <f>IFERROR(IF(IF(INDEX(_xlfn.VSTACK(YES_Writing_ELA[#Data],YES_Writing_FLA[#Data]),MATCH($A421,_xlfn.VSTACK(YES_Writing_ELA[Student Number],YES_Writing_FLA[Student Number]),0),MATCH(VLOOKUP(E$7,'Writing Logic'!$J$7:$K$11,2,FALSE)&amp;" - Per "&amp;VLOOKUP($C$4,'Writing Logic'!$G$8:$H$14,2,FALSE),YES_Writing_ELA[#Headers],0))=0,"",INDEX(_xlfn.VSTACK(YES_Writing_ELA[#Data],YES_Writing_FLA[#Data]),MATCH($A421,_xlfn.VSTACK(YES_Writing_ELA[Student Number],YES_Writing_FLA[Student Number]),0),MATCH(VLOOKUP(E$7,'Writing Logic'!$J$7:$K$11,2,FALSE)&amp;" - Per "&amp;VLOOKUP($C$4,'Writing Logic'!$G$8:$H$14,2,FALSE),YES_Writing_ELA[#Headers],0)))="INS",'Writing Logic'!$B$7,IF(INDEX(_xlfn.VSTACK(YES_Writing_ELA[#Data],YES_Writing_FLA[#Data]),MATCH($A421,_xlfn.VSTACK(YES_Writing_ELA[Student Number],YES_Writing_FLA[Student Number]),0),MATCH(VLOOKUP(E$7,'Writing Logic'!$J$7:$K$11,2,FALSE)&amp;" - Per "&amp;VLOOKUP($C$4,'Writing Logic'!$G$8:$H$14,2,FALSE),YES_Writing_ELA[#Headers],0))=0,"",INDEX(_xlfn.VSTACK(YES_Writing_ELA[#Data],YES_Writing_FLA[#Data]),MATCH($A421,_xlfn.VSTACK(YES_Writing_ELA[Student Number],YES_Writing_FLA[Student Number]),0),MATCH(VLOOKUP(E$7,'Writing Logic'!$J$7:$K$11,2,FALSE)&amp;" - Per "&amp;VLOOKUP($C$4,'Writing Logic'!$G$8:$H$14,2,FALSE),YES_Writing_ELA[#Headers],0)))),"")</f>
        <v/>
      </c>
      <c r="F421" s="138" t="str">
        <f>IFERROR(IF(IF(INDEX(_xlfn.VSTACK(YES_Writing_ELA[#Data],YES_Writing_FLA[#Data]),MATCH($A421,_xlfn.VSTACK(YES_Writing_ELA[Student Number],YES_Writing_FLA[Student Number]),0),MATCH(VLOOKUP(F$7,'Writing Logic'!$J$7:$K$11,2,FALSE)&amp;" - Per "&amp;VLOOKUP($C$4,'Writing Logic'!$G$8:$H$14,2,FALSE),YES_Writing_ELA[#Headers],0))=0,"",INDEX(_xlfn.VSTACK(YES_Writing_ELA[#Data],YES_Writing_FLA[#Data]),MATCH($A421,_xlfn.VSTACK(YES_Writing_ELA[Student Number],YES_Writing_FLA[Student Number]),0),MATCH(VLOOKUP(F$7,'Writing Logic'!$J$7:$K$11,2,FALSE)&amp;" - Per "&amp;VLOOKUP($C$4,'Writing Logic'!$G$8:$H$14,2,FALSE),YES_Writing_ELA[#Headers],0)))="INS",'Writing Logic'!$B$7,IF(INDEX(_xlfn.VSTACK(YES_Writing_ELA[#Data],YES_Writing_FLA[#Data]),MATCH($A421,_xlfn.VSTACK(YES_Writing_ELA[Student Number],YES_Writing_FLA[Student Number]),0),MATCH(VLOOKUP(F$7,'Writing Logic'!$J$7:$K$11,2,FALSE)&amp;" - Per "&amp;VLOOKUP($C$4,'Writing Logic'!$G$8:$H$14,2,FALSE),YES_Writing_ELA[#Headers],0))=0,"",INDEX(_xlfn.VSTACK(YES_Writing_ELA[#Data],YES_Writing_FLA[#Data]),MATCH($A421,_xlfn.VSTACK(YES_Writing_ELA[Student Number],YES_Writing_FLA[Student Number]),0),MATCH(VLOOKUP(F$7,'Writing Logic'!$J$7:$K$11,2,FALSE)&amp;" - Per "&amp;VLOOKUP($C$4,'Writing Logic'!$G$8:$H$14,2,FALSE),YES_Writing_ELA[#Headers],0)))),"")</f>
        <v/>
      </c>
      <c r="G421" s="138" t="str">
        <f>IFERROR(IF(IF(INDEX(_xlfn.VSTACK(YES_Writing_ELA[#Data],YES_Writing_FLA[#Data]),MATCH($A421,_xlfn.VSTACK(YES_Writing_ELA[Student Number],YES_Writing_FLA[Student Number]),0),MATCH(VLOOKUP(G$7,'Writing Logic'!$J$7:$K$11,2,FALSE)&amp;" - Per "&amp;VLOOKUP($C$4,'Writing Logic'!$G$8:$H$14,2,FALSE),YES_Writing_ELA[#Headers],0))=0,"",INDEX(_xlfn.VSTACK(YES_Writing_ELA[#Data],YES_Writing_FLA[#Data]),MATCH($A421,_xlfn.VSTACK(YES_Writing_ELA[Student Number],YES_Writing_FLA[Student Number]),0),MATCH(VLOOKUP(G$7,'Writing Logic'!$J$7:$K$11,2,FALSE)&amp;" - Per "&amp;VLOOKUP($C$4,'Writing Logic'!$G$8:$H$14,2,FALSE),YES_Writing_ELA[#Headers],0)))="INS",'Writing Logic'!$B$7,IF(INDEX(_xlfn.VSTACK(YES_Writing_ELA[#Data],YES_Writing_FLA[#Data]),MATCH($A421,_xlfn.VSTACK(YES_Writing_ELA[Student Number],YES_Writing_FLA[Student Number]),0),MATCH(VLOOKUP(G$7,'Writing Logic'!$J$7:$K$11,2,FALSE)&amp;" - Per "&amp;VLOOKUP($C$4,'Writing Logic'!$G$8:$H$14,2,FALSE),YES_Writing_ELA[#Headers],0))=0,"",INDEX(_xlfn.VSTACK(YES_Writing_ELA[#Data],YES_Writing_FLA[#Data]),MATCH($A421,_xlfn.VSTACK(YES_Writing_ELA[Student Number],YES_Writing_FLA[Student Number]),0),MATCH(VLOOKUP(G$7,'Writing Logic'!$J$7:$K$11,2,FALSE)&amp;" - Per "&amp;VLOOKUP($C$4,'Writing Logic'!$G$8:$H$14,2,FALSE),YES_Writing_ELA[#Headers],0)))),"")</f>
        <v/>
      </c>
      <c r="H421" s="138" t="str">
        <f>IFERROR(IF(IF(INDEX(_xlfn.VSTACK(YES_Writing_ELA[#Data],YES_Writing_FLA[#Data]),MATCH($A421,_xlfn.VSTACK(YES_Writing_ELA[Student Number],YES_Writing_FLA[Student Number]),0),MATCH(VLOOKUP(H$7,'Writing Logic'!$J$7:$K$11,2,FALSE)&amp;" - Per "&amp;VLOOKUP($C$4,'Writing Logic'!$G$8:$H$14,2,FALSE),YES_Writing_ELA[#Headers],0))=0,"",INDEX(_xlfn.VSTACK(YES_Writing_ELA[#Data],YES_Writing_FLA[#Data]),MATCH($A421,_xlfn.VSTACK(YES_Writing_ELA[Student Number],YES_Writing_FLA[Student Number]),0),MATCH(VLOOKUP(H$7,'Writing Logic'!$J$7:$K$11,2,FALSE)&amp;" - Per "&amp;VLOOKUP($C$4,'Writing Logic'!$G$8:$H$14,2,FALSE),YES_Writing_ELA[#Headers],0)))="INS",'Writing Logic'!$B$7,IF(INDEX(_xlfn.VSTACK(YES_Writing_ELA[#Data],YES_Writing_FLA[#Data]),MATCH($A421,_xlfn.VSTACK(YES_Writing_ELA[Student Number],YES_Writing_FLA[Student Number]),0),MATCH(VLOOKUP(H$7,'Writing Logic'!$J$7:$K$11,2,FALSE)&amp;" - Per "&amp;VLOOKUP($C$4,'Writing Logic'!$G$8:$H$14,2,FALSE),YES_Writing_ELA[#Headers],0))=0,"",INDEX(_xlfn.VSTACK(YES_Writing_ELA[#Data],YES_Writing_FLA[#Data]),MATCH($A421,_xlfn.VSTACK(YES_Writing_ELA[Student Number],YES_Writing_FLA[Student Number]),0),MATCH(VLOOKUP(H$7,'Writing Logic'!$J$7:$K$11,2,FALSE)&amp;" - Per "&amp;VLOOKUP($C$4,'Writing Logic'!$G$8:$H$14,2,FALSE),YES_Writing_ELA[#Headers],0)))),"")</f>
        <v/>
      </c>
    </row>
    <row r="422" spans="1:8" x14ac:dyDescent="0.25">
      <c r="A422" s="137"/>
      <c r="B422" s="137" t="str">
        <f>IFERROR(INDEX(_xlfn.VSTACK(YES_Writing_ELA[#Data], YES_Writing_FLA[#Data]),MATCH($A422,_xlfn.VSTACK(YES_Writing_ELA[Student Number], YES_Writing_FLA[Student Number]),0),MATCH(B$7,YES_Writing_ELA[#Headers],0)),"")</f>
        <v/>
      </c>
      <c r="C422" s="137" t="str">
        <f>IFERROR(INDEX(_xlfn.VSTACK(YES_Writing_ELA[#Data], YES_Writing_FLA[#Data]),MATCH($A422,_xlfn.VSTACK(YES_Writing_ELA[Student Number], YES_Writing_FLA[Student Number]),0),MATCH(C$7,YES_Writing_ELA[#Headers],0)),"")</f>
        <v/>
      </c>
      <c r="D422" s="138" t="str">
        <f>IFERROR(IF(IF(INDEX(_xlfn.VSTACK(YES_Writing_ELA[#Data],YES_Writing_FLA[#Data]),MATCH($A422,_xlfn.VSTACK(YES_Writing_ELA[Student Number],YES_Writing_FLA[Student Number]),0),MATCH(VLOOKUP(D$7,'Writing Logic'!$J$7:$K$11,2,FALSE)&amp;" - Per "&amp;VLOOKUP($C$4,'Writing Logic'!$G$8:$H$14,2,FALSE),YES_Writing_ELA[#Headers],0))=0,"",INDEX(_xlfn.VSTACK(YES_Writing_ELA[#Data],YES_Writing_FLA[#Data]),MATCH($A422,_xlfn.VSTACK(YES_Writing_ELA[Student Number],YES_Writing_FLA[Student Number]),0),MATCH(VLOOKUP(D$7,'Writing Logic'!$J$7:$K$11,2,FALSE)&amp;" - Per "&amp;VLOOKUP($C$4,'Writing Logic'!$G$8:$H$14,2,FALSE),YES_Writing_ELA[#Headers],0)))="INS",'Writing Logic'!$B$7,IF(INDEX(_xlfn.VSTACK(YES_Writing_ELA[#Data],YES_Writing_FLA[#Data]),MATCH($A422,_xlfn.VSTACK(YES_Writing_ELA[Student Number],YES_Writing_FLA[Student Number]),0),MATCH(VLOOKUP(D$7,'Writing Logic'!$J$7:$K$11,2,FALSE)&amp;" - Per "&amp;VLOOKUP($C$4,'Writing Logic'!$G$8:$H$14,2,FALSE),YES_Writing_ELA[#Headers],0))=0,"",INDEX(_xlfn.VSTACK(YES_Writing_ELA[#Data],YES_Writing_FLA[#Data]),MATCH($A422,_xlfn.VSTACK(YES_Writing_ELA[Student Number],YES_Writing_FLA[Student Number]),0),MATCH(VLOOKUP(D$7,'Writing Logic'!$J$7:$K$11,2,FALSE)&amp;" - Per "&amp;VLOOKUP($C$4,'Writing Logic'!$G$8:$H$14,2,FALSE),YES_Writing_ELA[#Headers],0)))),"")</f>
        <v/>
      </c>
      <c r="E422" s="138" t="str">
        <f>IFERROR(IF(IF(INDEX(_xlfn.VSTACK(YES_Writing_ELA[#Data],YES_Writing_FLA[#Data]),MATCH($A422,_xlfn.VSTACK(YES_Writing_ELA[Student Number],YES_Writing_FLA[Student Number]),0),MATCH(VLOOKUP(E$7,'Writing Logic'!$J$7:$K$11,2,FALSE)&amp;" - Per "&amp;VLOOKUP($C$4,'Writing Logic'!$G$8:$H$14,2,FALSE),YES_Writing_ELA[#Headers],0))=0,"",INDEX(_xlfn.VSTACK(YES_Writing_ELA[#Data],YES_Writing_FLA[#Data]),MATCH($A422,_xlfn.VSTACK(YES_Writing_ELA[Student Number],YES_Writing_FLA[Student Number]),0),MATCH(VLOOKUP(E$7,'Writing Logic'!$J$7:$K$11,2,FALSE)&amp;" - Per "&amp;VLOOKUP($C$4,'Writing Logic'!$G$8:$H$14,2,FALSE),YES_Writing_ELA[#Headers],0)))="INS",'Writing Logic'!$B$7,IF(INDEX(_xlfn.VSTACK(YES_Writing_ELA[#Data],YES_Writing_FLA[#Data]),MATCH($A422,_xlfn.VSTACK(YES_Writing_ELA[Student Number],YES_Writing_FLA[Student Number]),0),MATCH(VLOOKUP(E$7,'Writing Logic'!$J$7:$K$11,2,FALSE)&amp;" - Per "&amp;VLOOKUP($C$4,'Writing Logic'!$G$8:$H$14,2,FALSE),YES_Writing_ELA[#Headers],0))=0,"",INDEX(_xlfn.VSTACK(YES_Writing_ELA[#Data],YES_Writing_FLA[#Data]),MATCH($A422,_xlfn.VSTACK(YES_Writing_ELA[Student Number],YES_Writing_FLA[Student Number]),0),MATCH(VLOOKUP(E$7,'Writing Logic'!$J$7:$K$11,2,FALSE)&amp;" - Per "&amp;VLOOKUP($C$4,'Writing Logic'!$G$8:$H$14,2,FALSE),YES_Writing_ELA[#Headers],0)))),"")</f>
        <v/>
      </c>
      <c r="F422" s="138" t="str">
        <f>IFERROR(IF(IF(INDEX(_xlfn.VSTACK(YES_Writing_ELA[#Data],YES_Writing_FLA[#Data]),MATCH($A422,_xlfn.VSTACK(YES_Writing_ELA[Student Number],YES_Writing_FLA[Student Number]),0),MATCH(VLOOKUP(F$7,'Writing Logic'!$J$7:$K$11,2,FALSE)&amp;" - Per "&amp;VLOOKUP($C$4,'Writing Logic'!$G$8:$H$14,2,FALSE),YES_Writing_ELA[#Headers],0))=0,"",INDEX(_xlfn.VSTACK(YES_Writing_ELA[#Data],YES_Writing_FLA[#Data]),MATCH($A422,_xlfn.VSTACK(YES_Writing_ELA[Student Number],YES_Writing_FLA[Student Number]),0),MATCH(VLOOKUP(F$7,'Writing Logic'!$J$7:$K$11,2,FALSE)&amp;" - Per "&amp;VLOOKUP($C$4,'Writing Logic'!$G$8:$H$14,2,FALSE),YES_Writing_ELA[#Headers],0)))="INS",'Writing Logic'!$B$7,IF(INDEX(_xlfn.VSTACK(YES_Writing_ELA[#Data],YES_Writing_FLA[#Data]),MATCH($A422,_xlfn.VSTACK(YES_Writing_ELA[Student Number],YES_Writing_FLA[Student Number]),0),MATCH(VLOOKUP(F$7,'Writing Logic'!$J$7:$K$11,2,FALSE)&amp;" - Per "&amp;VLOOKUP($C$4,'Writing Logic'!$G$8:$H$14,2,FALSE),YES_Writing_ELA[#Headers],0))=0,"",INDEX(_xlfn.VSTACK(YES_Writing_ELA[#Data],YES_Writing_FLA[#Data]),MATCH($A422,_xlfn.VSTACK(YES_Writing_ELA[Student Number],YES_Writing_FLA[Student Number]),0),MATCH(VLOOKUP(F$7,'Writing Logic'!$J$7:$K$11,2,FALSE)&amp;" - Per "&amp;VLOOKUP($C$4,'Writing Logic'!$G$8:$H$14,2,FALSE),YES_Writing_ELA[#Headers],0)))),"")</f>
        <v/>
      </c>
      <c r="G422" s="138" t="str">
        <f>IFERROR(IF(IF(INDEX(_xlfn.VSTACK(YES_Writing_ELA[#Data],YES_Writing_FLA[#Data]),MATCH($A422,_xlfn.VSTACK(YES_Writing_ELA[Student Number],YES_Writing_FLA[Student Number]),0),MATCH(VLOOKUP(G$7,'Writing Logic'!$J$7:$K$11,2,FALSE)&amp;" - Per "&amp;VLOOKUP($C$4,'Writing Logic'!$G$8:$H$14,2,FALSE),YES_Writing_ELA[#Headers],0))=0,"",INDEX(_xlfn.VSTACK(YES_Writing_ELA[#Data],YES_Writing_FLA[#Data]),MATCH($A422,_xlfn.VSTACK(YES_Writing_ELA[Student Number],YES_Writing_FLA[Student Number]),0),MATCH(VLOOKUP(G$7,'Writing Logic'!$J$7:$K$11,2,FALSE)&amp;" - Per "&amp;VLOOKUP($C$4,'Writing Logic'!$G$8:$H$14,2,FALSE),YES_Writing_ELA[#Headers],0)))="INS",'Writing Logic'!$B$7,IF(INDEX(_xlfn.VSTACK(YES_Writing_ELA[#Data],YES_Writing_FLA[#Data]),MATCH($A422,_xlfn.VSTACK(YES_Writing_ELA[Student Number],YES_Writing_FLA[Student Number]),0),MATCH(VLOOKUP(G$7,'Writing Logic'!$J$7:$K$11,2,FALSE)&amp;" - Per "&amp;VLOOKUP($C$4,'Writing Logic'!$G$8:$H$14,2,FALSE),YES_Writing_ELA[#Headers],0))=0,"",INDEX(_xlfn.VSTACK(YES_Writing_ELA[#Data],YES_Writing_FLA[#Data]),MATCH($A422,_xlfn.VSTACK(YES_Writing_ELA[Student Number],YES_Writing_FLA[Student Number]),0),MATCH(VLOOKUP(G$7,'Writing Logic'!$J$7:$K$11,2,FALSE)&amp;" - Per "&amp;VLOOKUP($C$4,'Writing Logic'!$G$8:$H$14,2,FALSE),YES_Writing_ELA[#Headers],0)))),"")</f>
        <v/>
      </c>
      <c r="H422" s="138" t="str">
        <f>IFERROR(IF(IF(INDEX(_xlfn.VSTACK(YES_Writing_ELA[#Data],YES_Writing_FLA[#Data]),MATCH($A422,_xlfn.VSTACK(YES_Writing_ELA[Student Number],YES_Writing_FLA[Student Number]),0),MATCH(VLOOKUP(H$7,'Writing Logic'!$J$7:$K$11,2,FALSE)&amp;" - Per "&amp;VLOOKUP($C$4,'Writing Logic'!$G$8:$H$14,2,FALSE),YES_Writing_ELA[#Headers],0))=0,"",INDEX(_xlfn.VSTACK(YES_Writing_ELA[#Data],YES_Writing_FLA[#Data]),MATCH($A422,_xlfn.VSTACK(YES_Writing_ELA[Student Number],YES_Writing_FLA[Student Number]),0),MATCH(VLOOKUP(H$7,'Writing Logic'!$J$7:$K$11,2,FALSE)&amp;" - Per "&amp;VLOOKUP($C$4,'Writing Logic'!$G$8:$H$14,2,FALSE),YES_Writing_ELA[#Headers],0)))="INS",'Writing Logic'!$B$7,IF(INDEX(_xlfn.VSTACK(YES_Writing_ELA[#Data],YES_Writing_FLA[#Data]),MATCH($A422,_xlfn.VSTACK(YES_Writing_ELA[Student Number],YES_Writing_FLA[Student Number]),0),MATCH(VLOOKUP(H$7,'Writing Logic'!$J$7:$K$11,2,FALSE)&amp;" - Per "&amp;VLOOKUP($C$4,'Writing Logic'!$G$8:$H$14,2,FALSE),YES_Writing_ELA[#Headers],0))=0,"",INDEX(_xlfn.VSTACK(YES_Writing_ELA[#Data],YES_Writing_FLA[#Data]),MATCH($A422,_xlfn.VSTACK(YES_Writing_ELA[Student Number],YES_Writing_FLA[Student Number]),0),MATCH(VLOOKUP(H$7,'Writing Logic'!$J$7:$K$11,2,FALSE)&amp;" - Per "&amp;VLOOKUP($C$4,'Writing Logic'!$G$8:$H$14,2,FALSE),YES_Writing_ELA[#Headers],0)))),"")</f>
        <v/>
      </c>
    </row>
    <row r="423" spans="1:8" x14ac:dyDescent="0.25">
      <c r="A423" s="137"/>
      <c r="B423" s="137" t="str">
        <f>IFERROR(INDEX(_xlfn.VSTACK(YES_Writing_ELA[#Data], YES_Writing_FLA[#Data]),MATCH($A423,_xlfn.VSTACK(YES_Writing_ELA[Student Number], YES_Writing_FLA[Student Number]),0),MATCH(B$7,YES_Writing_ELA[#Headers],0)),"")</f>
        <v/>
      </c>
      <c r="C423" s="137" t="str">
        <f>IFERROR(INDEX(_xlfn.VSTACK(YES_Writing_ELA[#Data], YES_Writing_FLA[#Data]),MATCH($A423,_xlfn.VSTACK(YES_Writing_ELA[Student Number], YES_Writing_FLA[Student Number]),0),MATCH(C$7,YES_Writing_ELA[#Headers],0)),"")</f>
        <v/>
      </c>
      <c r="D423" s="138" t="str">
        <f>IFERROR(IF(IF(INDEX(_xlfn.VSTACK(YES_Writing_ELA[#Data],YES_Writing_FLA[#Data]),MATCH($A423,_xlfn.VSTACK(YES_Writing_ELA[Student Number],YES_Writing_FLA[Student Number]),0),MATCH(VLOOKUP(D$7,'Writing Logic'!$J$7:$K$11,2,FALSE)&amp;" - Per "&amp;VLOOKUP($C$4,'Writing Logic'!$G$8:$H$14,2,FALSE),YES_Writing_ELA[#Headers],0))=0,"",INDEX(_xlfn.VSTACK(YES_Writing_ELA[#Data],YES_Writing_FLA[#Data]),MATCH($A423,_xlfn.VSTACK(YES_Writing_ELA[Student Number],YES_Writing_FLA[Student Number]),0),MATCH(VLOOKUP(D$7,'Writing Logic'!$J$7:$K$11,2,FALSE)&amp;" - Per "&amp;VLOOKUP($C$4,'Writing Logic'!$G$8:$H$14,2,FALSE),YES_Writing_ELA[#Headers],0)))="INS",'Writing Logic'!$B$7,IF(INDEX(_xlfn.VSTACK(YES_Writing_ELA[#Data],YES_Writing_FLA[#Data]),MATCH($A423,_xlfn.VSTACK(YES_Writing_ELA[Student Number],YES_Writing_FLA[Student Number]),0),MATCH(VLOOKUP(D$7,'Writing Logic'!$J$7:$K$11,2,FALSE)&amp;" - Per "&amp;VLOOKUP($C$4,'Writing Logic'!$G$8:$H$14,2,FALSE),YES_Writing_ELA[#Headers],0))=0,"",INDEX(_xlfn.VSTACK(YES_Writing_ELA[#Data],YES_Writing_FLA[#Data]),MATCH($A423,_xlfn.VSTACK(YES_Writing_ELA[Student Number],YES_Writing_FLA[Student Number]),0),MATCH(VLOOKUP(D$7,'Writing Logic'!$J$7:$K$11,2,FALSE)&amp;" - Per "&amp;VLOOKUP($C$4,'Writing Logic'!$G$8:$H$14,2,FALSE),YES_Writing_ELA[#Headers],0)))),"")</f>
        <v/>
      </c>
      <c r="E423" s="138" t="str">
        <f>IFERROR(IF(IF(INDEX(_xlfn.VSTACK(YES_Writing_ELA[#Data],YES_Writing_FLA[#Data]),MATCH($A423,_xlfn.VSTACK(YES_Writing_ELA[Student Number],YES_Writing_FLA[Student Number]),0),MATCH(VLOOKUP(E$7,'Writing Logic'!$J$7:$K$11,2,FALSE)&amp;" - Per "&amp;VLOOKUP($C$4,'Writing Logic'!$G$8:$H$14,2,FALSE),YES_Writing_ELA[#Headers],0))=0,"",INDEX(_xlfn.VSTACK(YES_Writing_ELA[#Data],YES_Writing_FLA[#Data]),MATCH($A423,_xlfn.VSTACK(YES_Writing_ELA[Student Number],YES_Writing_FLA[Student Number]),0),MATCH(VLOOKUP(E$7,'Writing Logic'!$J$7:$K$11,2,FALSE)&amp;" - Per "&amp;VLOOKUP($C$4,'Writing Logic'!$G$8:$H$14,2,FALSE),YES_Writing_ELA[#Headers],0)))="INS",'Writing Logic'!$B$7,IF(INDEX(_xlfn.VSTACK(YES_Writing_ELA[#Data],YES_Writing_FLA[#Data]),MATCH($A423,_xlfn.VSTACK(YES_Writing_ELA[Student Number],YES_Writing_FLA[Student Number]),0),MATCH(VLOOKUP(E$7,'Writing Logic'!$J$7:$K$11,2,FALSE)&amp;" - Per "&amp;VLOOKUP($C$4,'Writing Logic'!$G$8:$H$14,2,FALSE),YES_Writing_ELA[#Headers],0))=0,"",INDEX(_xlfn.VSTACK(YES_Writing_ELA[#Data],YES_Writing_FLA[#Data]),MATCH($A423,_xlfn.VSTACK(YES_Writing_ELA[Student Number],YES_Writing_FLA[Student Number]),0),MATCH(VLOOKUP(E$7,'Writing Logic'!$J$7:$K$11,2,FALSE)&amp;" - Per "&amp;VLOOKUP($C$4,'Writing Logic'!$G$8:$H$14,2,FALSE),YES_Writing_ELA[#Headers],0)))),"")</f>
        <v/>
      </c>
      <c r="F423" s="138" t="str">
        <f>IFERROR(IF(IF(INDEX(_xlfn.VSTACK(YES_Writing_ELA[#Data],YES_Writing_FLA[#Data]),MATCH($A423,_xlfn.VSTACK(YES_Writing_ELA[Student Number],YES_Writing_FLA[Student Number]),0),MATCH(VLOOKUP(F$7,'Writing Logic'!$J$7:$K$11,2,FALSE)&amp;" - Per "&amp;VLOOKUP($C$4,'Writing Logic'!$G$8:$H$14,2,FALSE),YES_Writing_ELA[#Headers],0))=0,"",INDEX(_xlfn.VSTACK(YES_Writing_ELA[#Data],YES_Writing_FLA[#Data]),MATCH($A423,_xlfn.VSTACK(YES_Writing_ELA[Student Number],YES_Writing_FLA[Student Number]),0),MATCH(VLOOKUP(F$7,'Writing Logic'!$J$7:$K$11,2,FALSE)&amp;" - Per "&amp;VLOOKUP($C$4,'Writing Logic'!$G$8:$H$14,2,FALSE),YES_Writing_ELA[#Headers],0)))="INS",'Writing Logic'!$B$7,IF(INDEX(_xlfn.VSTACK(YES_Writing_ELA[#Data],YES_Writing_FLA[#Data]),MATCH($A423,_xlfn.VSTACK(YES_Writing_ELA[Student Number],YES_Writing_FLA[Student Number]),0),MATCH(VLOOKUP(F$7,'Writing Logic'!$J$7:$K$11,2,FALSE)&amp;" - Per "&amp;VLOOKUP($C$4,'Writing Logic'!$G$8:$H$14,2,FALSE),YES_Writing_ELA[#Headers],0))=0,"",INDEX(_xlfn.VSTACK(YES_Writing_ELA[#Data],YES_Writing_FLA[#Data]),MATCH($A423,_xlfn.VSTACK(YES_Writing_ELA[Student Number],YES_Writing_FLA[Student Number]),0),MATCH(VLOOKUP(F$7,'Writing Logic'!$J$7:$K$11,2,FALSE)&amp;" - Per "&amp;VLOOKUP($C$4,'Writing Logic'!$G$8:$H$14,2,FALSE),YES_Writing_ELA[#Headers],0)))),"")</f>
        <v/>
      </c>
      <c r="G423" s="138" t="str">
        <f>IFERROR(IF(IF(INDEX(_xlfn.VSTACK(YES_Writing_ELA[#Data],YES_Writing_FLA[#Data]),MATCH($A423,_xlfn.VSTACK(YES_Writing_ELA[Student Number],YES_Writing_FLA[Student Number]),0),MATCH(VLOOKUP(G$7,'Writing Logic'!$J$7:$K$11,2,FALSE)&amp;" - Per "&amp;VLOOKUP($C$4,'Writing Logic'!$G$8:$H$14,2,FALSE),YES_Writing_ELA[#Headers],0))=0,"",INDEX(_xlfn.VSTACK(YES_Writing_ELA[#Data],YES_Writing_FLA[#Data]),MATCH($A423,_xlfn.VSTACK(YES_Writing_ELA[Student Number],YES_Writing_FLA[Student Number]),0),MATCH(VLOOKUP(G$7,'Writing Logic'!$J$7:$K$11,2,FALSE)&amp;" - Per "&amp;VLOOKUP($C$4,'Writing Logic'!$G$8:$H$14,2,FALSE),YES_Writing_ELA[#Headers],0)))="INS",'Writing Logic'!$B$7,IF(INDEX(_xlfn.VSTACK(YES_Writing_ELA[#Data],YES_Writing_FLA[#Data]),MATCH($A423,_xlfn.VSTACK(YES_Writing_ELA[Student Number],YES_Writing_FLA[Student Number]),0),MATCH(VLOOKUP(G$7,'Writing Logic'!$J$7:$K$11,2,FALSE)&amp;" - Per "&amp;VLOOKUP($C$4,'Writing Logic'!$G$8:$H$14,2,FALSE),YES_Writing_ELA[#Headers],0))=0,"",INDEX(_xlfn.VSTACK(YES_Writing_ELA[#Data],YES_Writing_FLA[#Data]),MATCH($A423,_xlfn.VSTACK(YES_Writing_ELA[Student Number],YES_Writing_FLA[Student Number]),0),MATCH(VLOOKUP(G$7,'Writing Logic'!$J$7:$K$11,2,FALSE)&amp;" - Per "&amp;VLOOKUP($C$4,'Writing Logic'!$G$8:$H$14,2,FALSE),YES_Writing_ELA[#Headers],0)))),"")</f>
        <v/>
      </c>
      <c r="H423" s="138" t="str">
        <f>IFERROR(IF(IF(INDEX(_xlfn.VSTACK(YES_Writing_ELA[#Data],YES_Writing_FLA[#Data]),MATCH($A423,_xlfn.VSTACK(YES_Writing_ELA[Student Number],YES_Writing_FLA[Student Number]),0),MATCH(VLOOKUP(H$7,'Writing Logic'!$J$7:$K$11,2,FALSE)&amp;" - Per "&amp;VLOOKUP($C$4,'Writing Logic'!$G$8:$H$14,2,FALSE),YES_Writing_ELA[#Headers],0))=0,"",INDEX(_xlfn.VSTACK(YES_Writing_ELA[#Data],YES_Writing_FLA[#Data]),MATCH($A423,_xlfn.VSTACK(YES_Writing_ELA[Student Number],YES_Writing_FLA[Student Number]),0),MATCH(VLOOKUP(H$7,'Writing Logic'!$J$7:$K$11,2,FALSE)&amp;" - Per "&amp;VLOOKUP($C$4,'Writing Logic'!$G$8:$H$14,2,FALSE),YES_Writing_ELA[#Headers],0)))="INS",'Writing Logic'!$B$7,IF(INDEX(_xlfn.VSTACK(YES_Writing_ELA[#Data],YES_Writing_FLA[#Data]),MATCH($A423,_xlfn.VSTACK(YES_Writing_ELA[Student Number],YES_Writing_FLA[Student Number]),0),MATCH(VLOOKUP(H$7,'Writing Logic'!$J$7:$K$11,2,FALSE)&amp;" - Per "&amp;VLOOKUP($C$4,'Writing Logic'!$G$8:$H$14,2,FALSE),YES_Writing_ELA[#Headers],0))=0,"",INDEX(_xlfn.VSTACK(YES_Writing_ELA[#Data],YES_Writing_FLA[#Data]),MATCH($A423,_xlfn.VSTACK(YES_Writing_ELA[Student Number],YES_Writing_FLA[Student Number]),0),MATCH(VLOOKUP(H$7,'Writing Logic'!$J$7:$K$11,2,FALSE)&amp;" - Per "&amp;VLOOKUP($C$4,'Writing Logic'!$G$8:$H$14,2,FALSE),YES_Writing_ELA[#Headers],0)))),"")</f>
        <v/>
      </c>
    </row>
    <row r="424" spans="1:8" x14ac:dyDescent="0.25">
      <c r="A424" s="137"/>
      <c r="B424" s="137" t="str">
        <f>IFERROR(INDEX(_xlfn.VSTACK(YES_Writing_ELA[#Data], YES_Writing_FLA[#Data]),MATCH($A424,_xlfn.VSTACK(YES_Writing_ELA[Student Number], YES_Writing_FLA[Student Number]),0),MATCH(B$7,YES_Writing_ELA[#Headers],0)),"")</f>
        <v/>
      </c>
      <c r="C424" s="137" t="str">
        <f>IFERROR(INDEX(_xlfn.VSTACK(YES_Writing_ELA[#Data], YES_Writing_FLA[#Data]),MATCH($A424,_xlfn.VSTACK(YES_Writing_ELA[Student Number], YES_Writing_FLA[Student Number]),0),MATCH(C$7,YES_Writing_ELA[#Headers],0)),"")</f>
        <v/>
      </c>
      <c r="D424" s="138" t="str">
        <f>IFERROR(IF(IF(INDEX(_xlfn.VSTACK(YES_Writing_ELA[#Data],YES_Writing_FLA[#Data]),MATCH($A424,_xlfn.VSTACK(YES_Writing_ELA[Student Number],YES_Writing_FLA[Student Number]),0),MATCH(VLOOKUP(D$7,'Writing Logic'!$J$7:$K$11,2,FALSE)&amp;" - Per "&amp;VLOOKUP($C$4,'Writing Logic'!$G$8:$H$14,2,FALSE),YES_Writing_ELA[#Headers],0))=0,"",INDEX(_xlfn.VSTACK(YES_Writing_ELA[#Data],YES_Writing_FLA[#Data]),MATCH($A424,_xlfn.VSTACK(YES_Writing_ELA[Student Number],YES_Writing_FLA[Student Number]),0),MATCH(VLOOKUP(D$7,'Writing Logic'!$J$7:$K$11,2,FALSE)&amp;" - Per "&amp;VLOOKUP($C$4,'Writing Logic'!$G$8:$H$14,2,FALSE),YES_Writing_ELA[#Headers],0)))="INS",'Writing Logic'!$B$7,IF(INDEX(_xlfn.VSTACK(YES_Writing_ELA[#Data],YES_Writing_FLA[#Data]),MATCH($A424,_xlfn.VSTACK(YES_Writing_ELA[Student Number],YES_Writing_FLA[Student Number]),0),MATCH(VLOOKUP(D$7,'Writing Logic'!$J$7:$K$11,2,FALSE)&amp;" - Per "&amp;VLOOKUP($C$4,'Writing Logic'!$G$8:$H$14,2,FALSE),YES_Writing_ELA[#Headers],0))=0,"",INDEX(_xlfn.VSTACK(YES_Writing_ELA[#Data],YES_Writing_FLA[#Data]),MATCH($A424,_xlfn.VSTACK(YES_Writing_ELA[Student Number],YES_Writing_FLA[Student Number]),0),MATCH(VLOOKUP(D$7,'Writing Logic'!$J$7:$K$11,2,FALSE)&amp;" - Per "&amp;VLOOKUP($C$4,'Writing Logic'!$G$8:$H$14,2,FALSE),YES_Writing_ELA[#Headers],0)))),"")</f>
        <v/>
      </c>
      <c r="E424" s="138" t="str">
        <f>IFERROR(IF(IF(INDEX(_xlfn.VSTACK(YES_Writing_ELA[#Data],YES_Writing_FLA[#Data]),MATCH($A424,_xlfn.VSTACK(YES_Writing_ELA[Student Number],YES_Writing_FLA[Student Number]),0),MATCH(VLOOKUP(E$7,'Writing Logic'!$J$7:$K$11,2,FALSE)&amp;" - Per "&amp;VLOOKUP($C$4,'Writing Logic'!$G$8:$H$14,2,FALSE),YES_Writing_ELA[#Headers],0))=0,"",INDEX(_xlfn.VSTACK(YES_Writing_ELA[#Data],YES_Writing_FLA[#Data]),MATCH($A424,_xlfn.VSTACK(YES_Writing_ELA[Student Number],YES_Writing_FLA[Student Number]),0),MATCH(VLOOKUP(E$7,'Writing Logic'!$J$7:$K$11,2,FALSE)&amp;" - Per "&amp;VLOOKUP($C$4,'Writing Logic'!$G$8:$H$14,2,FALSE),YES_Writing_ELA[#Headers],0)))="INS",'Writing Logic'!$B$7,IF(INDEX(_xlfn.VSTACK(YES_Writing_ELA[#Data],YES_Writing_FLA[#Data]),MATCH($A424,_xlfn.VSTACK(YES_Writing_ELA[Student Number],YES_Writing_FLA[Student Number]),0),MATCH(VLOOKUP(E$7,'Writing Logic'!$J$7:$K$11,2,FALSE)&amp;" - Per "&amp;VLOOKUP($C$4,'Writing Logic'!$G$8:$H$14,2,FALSE),YES_Writing_ELA[#Headers],0))=0,"",INDEX(_xlfn.VSTACK(YES_Writing_ELA[#Data],YES_Writing_FLA[#Data]),MATCH($A424,_xlfn.VSTACK(YES_Writing_ELA[Student Number],YES_Writing_FLA[Student Number]),0),MATCH(VLOOKUP(E$7,'Writing Logic'!$J$7:$K$11,2,FALSE)&amp;" - Per "&amp;VLOOKUP($C$4,'Writing Logic'!$G$8:$H$14,2,FALSE),YES_Writing_ELA[#Headers],0)))),"")</f>
        <v/>
      </c>
      <c r="F424" s="138" t="str">
        <f>IFERROR(IF(IF(INDEX(_xlfn.VSTACK(YES_Writing_ELA[#Data],YES_Writing_FLA[#Data]),MATCH($A424,_xlfn.VSTACK(YES_Writing_ELA[Student Number],YES_Writing_FLA[Student Number]),0),MATCH(VLOOKUP(F$7,'Writing Logic'!$J$7:$K$11,2,FALSE)&amp;" - Per "&amp;VLOOKUP($C$4,'Writing Logic'!$G$8:$H$14,2,FALSE),YES_Writing_ELA[#Headers],0))=0,"",INDEX(_xlfn.VSTACK(YES_Writing_ELA[#Data],YES_Writing_FLA[#Data]),MATCH($A424,_xlfn.VSTACK(YES_Writing_ELA[Student Number],YES_Writing_FLA[Student Number]),0),MATCH(VLOOKUP(F$7,'Writing Logic'!$J$7:$K$11,2,FALSE)&amp;" - Per "&amp;VLOOKUP($C$4,'Writing Logic'!$G$8:$H$14,2,FALSE),YES_Writing_ELA[#Headers],0)))="INS",'Writing Logic'!$B$7,IF(INDEX(_xlfn.VSTACK(YES_Writing_ELA[#Data],YES_Writing_FLA[#Data]),MATCH($A424,_xlfn.VSTACK(YES_Writing_ELA[Student Number],YES_Writing_FLA[Student Number]),0),MATCH(VLOOKUP(F$7,'Writing Logic'!$J$7:$K$11,2,FALSE)&amp;" - Per "&amp;VLOOKUP($C$4,'Writing Logic'!$G$8:$H$14,2,FALSE),YES_Writing_ELA[#Headers],0))=0,"",INDEX(_xlfn.VSTACK(YES_Writing_ELA[#Data],YES_Writing_FLA[#Data]),MATCH($A424,_xlfn.VSTACK(YES_Writing_ELA[Student Number],YES_Writing_FLA[Student Number]),0),MATCH(VLOOKUP(F$7,'Writing Logic'!$J$7:$K$11,2,FALSE)&amp;" - Per "&amp;VLOOKUP($C$4,'Writing Logic'!$G$8:$H$14,2,FALSE),YES_Writing_ELA[#Headers],0)))),"")</f>
        <v/>
      </c>
      <c r="G424" s="138" t="str">
        <f>IFERROR(IF(IF(INDEX(_xlfn.VSTACK(YES_Writing_ELA[#Data],YES_Writing_FLA[#Data]),MATCH($A424,_xlfn.VSTACK(YES_Writing_ELA[Student Number],YES_Writing_FLA[Student Number]),0),MATCH(VLOOKUP(G$7,'Writing Logic'!$J$7:$K$11,2,FALSE)&amp;" - Per "&amp;VLOOKUP($C$4,'Writing Logic'!$G$8:$H$14,2,FALSE),YES_Writing_ELA[#Headers],0))=0,"",INDEX(_xlfn.VSTACK(YES_Writing_ELA[#Data],YES_Writing_FLA[#Data]),MATCH($A424,_xlfn.VSTACK(YES_Writing_ELA[Student Number],YES_Writing_FLA[Student Number]),0),MATCH(VLOOKUP(G$7,'Writing Logic'!$J$7:$K$11,2,FALSE)&amp;" - Per "&amp;VLOOKUP($C$4,'Writing Logic'!$G$8:$H$14,2,FALSE),YES_Writing_ELA[#Headers],0)))="INS",'Writing Logic'!$B$7,IF(INDEX(_xlfn.VSTACK(YES_Writing_ELA[#Data],YES_Writing_FLA[#Data]),MATCH($A424,_xlfn.VSTACK(YES_Writing_ELA[Student Number],YES_Writing_FLA[Student Number]),0),MATCH(VLOOKUP(G$7,'Writing Logic'!$J$7:$K$11,2,FALSE)&amp;" - Per "&amp;VLOOKUP($C$4,'Writing Logic'!$G$8:$H$14,2,FALSE),YES_Writing_ELA[#Headers],0))=0,"",INDEX(_xlfn.VSTACK(YES_Writing_ELA[#Data],YES_Writing_FLA[#Data]),MATCH($A424,_xlfn.VSTACK(YES_Writing_ELA[Student Number],YES_Writing_FLA[Student Number]),0),MATCH(VLOOKUP(G$7,'Writing Logic'!$J$7:$K$11,2,FALSE)&amp;" - Per "&amp;VLOOKUP($C$4,'Writing Logic'!$G$8:$H$14,2,FALSE),YES_Writing_ELA[#Headers],0)))),"")</f>
        <v/>
      </c>
      <c r="H424" s="138" t="str">
        <f>IFERROR(IF(IF(INDEX(_xlfn.VSTACK(YES_Writing_ELA[#Data],YES_Writing_FLA[#Data]),MATCH($A424,_xlfn.VSTACK(YES_Writing_ELA[Student Number],YES_Writing_FLA[Student Number]),0),MATCH(VLOOKUP(H$7,'Writing Logic'!$J$7:$K$11,2,FALSE)&amp;" - Per "&amp;VLOOKUP($C$4,'Writing Logic'!$G$8:$H$14,2,FALSE),YES_Writing_ELA[#Headers],0))=0,"",INDEX(_xlfn.VSTACK(YES_Writing_ELA[#Data],YES_Writing_FLA[#Data]),MATCH($A424,_xlfn.VSTACK(YES_Writing_ELA[Student Number],YES_Writing_FLA[Student Number]),0),MATCH(VLOOKUP(H$7,'Writing Logic'!$J$7:$K$11,2,FALSE)&amp;" - Per "&amp;VLOOKUP($C$4,'Writing Logic'!$G$8:$H$14,2,FALSE),YES_Writing_ELA[#Headers],0)))="INS",'Writing Logic'!$B$7,IF(INDEX(_xlfn.VSTACK(YES_Writing_ELA[#Data],YES_Writing_FLA[#Data]),MATCH($A424,_xlfn.VSTACK(YES_Writing_ELA[Student Number],YES_Writing_FLA[Student Number]),0),MATCH(VLOOKUP(H$7,'Writing Logic'!$J$7:$K$11,2,FALSE)&amp;" - Per "&amp;VLOOKUP($C$4,'Writing Logic'!$G$8:$H$14,2,FALSE),YES_Writing_ELA[#Headers],0))=0,"",INDEX(_xlfn.VSTACK(YES_Writing_ELA[#Data],YES_Writing_FLA[#Data]),MATCH($A424,_xlfn.VSTACK(YES_Writing_ELA[Student Number],YES_Writing_FLA[Student Number]),0),MATCH(VLOOKUP(H$7,'Writing Logic'!$J$7:$K$11,2,FALSE)&amp;" - Per "&amp;VLOOKUP($C$4,'Writing Logic'!$G$8:$H$14,2,FALSE),YES_Writing_ELA[#Headers],0)))),"")</f>
        <v/>
      </c>
    </row>
    <row r="425" spans="1:8" x14ac:dyDescent="0.25">
      <c r="A425" s="137"/>
      <c r="B425" s="137" t="str">
        <f>IFERROR(INDEX(_xlfn.VSTACK(YES_Writing_ELA[#Data], YES_Writing_FLA[#Data]),MATCH($A425,_xlfn.VSTACK(YES_Writing_ELA[Student Number], YES_Writing_FLA[Student Number]),0),MATCH(B$7,YES_Writing_ELA[#Headers],0)),"")</f>
        <v/>
      </c>
      <c r="C425" s="137" t="str">
        <f>IFERROR(INDEX(_xlfn.VSTACK(YES_Writing_ELA[#Data], YES_Writing_FLA[#Data]),MATCH($A425,_xlfn.VSTACK(YES_Writing_ELA[Student Number], YES_Writing_FLA[Student Number]),0),MATCH(C$7,YES_Writing_ELA[#Headers],0)),"")</f>
        <v/>
      </c>
      <c r="D425" s="138" t="str">
        <f>IFERROR(IF(IF(INDEX(_xlfn.VSTACK(YES_Writing_ELA[#Data],YES_Writing_FLA[#Data]),MATCH($A425,_xlfn.VSTACK(YES_Writing_ELA[Student Number],YES_Writing_FLA[Student Number]),0),MATCH(VLOOKUP(D$7,'Writing Logic'!$J$7:$K$11,2,FALSE)&amp;" - Per "&amp;VLOOKUP($C$4,'Writing Logic'!$G$8:$H$14,2,FALSE),YES_Writing_ELA[#Headers],0))=0,"",INDEX(_xlfn.VSTACK(YES_Writing_ELA[#Data],YES_Writing_FLA[#Data]),MATCH($A425,_xlfn.VSTACK(YES_Writing_ELA[Student Number],YES_Writing_FLA[Student Number]),0),MATCH(VLOOKUP(D$7,'Writing Logic'!$J$7:$K$11,2,FALSE)&amp;" - Per "&amp;VLOOKUP($C$4,'Writing Logic'!$G$8:$H$14,2,FALSE),YES_Writing_ELA[#Headers],0)))="INS",'Writing Logic'!$B$7,IF(INDEX(_xlfn.VSTACK(YES_Writing_ELA[#Data],YES_Writing_FLA[#Data]),MATCH($A425,_xlfn.VSTACK(YES_Writing_ELA[Student Number],YES_Writing_FLA[Student Number]),0),MATCH(VLOOKUP(D$7,'Writing Logic'!$J$7:$K$11,2,FALSE)&amp;" - Per "&amp;VLOOKUP($C$4,'Writing Logic'!$G$8:$H$14,2,FALSE),YES_Writing_ELA[#Headers],0))=0,"",INDEX(_xlfn.VSTACK(YES_Writing_ELA[#Data],YES_Writing_FLA[#Data]),MATCH($A425,_xlfn.VSTACK(YES_Writing_ELA[Student Number],YES_Writing_FLA[Student Number]),0),MATCH(VLOOKUP(D$7,'Writing Logic'!$J$7:$K$11,2,FALSE)&amp;" - Per "&amp;VLOOKUP($C$4,'Writing Logic'!$G$8:$H$14,2,FALSE),YES_Writing_ELA[#Headers],0)))),"")</f>
        <v/>
      </c>
      <c r="E425" s="138" t="str">
        <f>IFERROR(IF(IF(INDEX(_xlfn.VSTACK(YES_Writing_ELA[#Data],YES_Writing_FLA[#Data]),MATCH($A425,_xlfn.VSTACK(YES_Writing_ELA[Student Number],YES_Writing_FLA[Student Number]),0),MATCH(VLOOKUP(E$7,'Writing Logic'!$J$7:$K$11,2,FALSE)&amp;" - Per "&amp;VLOOKUP($C$4,'Writing Logic'!$G$8:$H$14,2,FALSE),YES_Writing_ELA[#Headers],0))=0,"",INDEX(_xlfn.VSTACK(YES_Writing_ELA[#Data],YES_Writing_FLA[#Data]),MATCH($A425,_xlfn.VSTACK(YES_Writing_ELA[Student Number],YES_Writing_FLA[Student Number]),0),MATCH(VLOOKUP(E$7,'Writing Logic'!$J$7:$K$11,2,FALSE)&amp;" - Per "&amp;VLOOKUP($C$4,'Writing Logic'!$G$8:$H$14,2,FALSE),YES_Writing_ELA[#Headers],0)))="INS",'Writing Logic'!$B$7,IF(INDEX(_xlfn.VSTACK(YES_Writing_ELA[#Data],YES_Writing_FLA[#Data]),MATCH($A425,_xlfn.VSTACK(YES_Writing_ELA[Student Number],YES_Writing_FLA[Student Number]),0),MATCH(VLOOKUP(E$7,'Writing Logic'!$J$7:$K$11,2,FALSE)&amp;" - Per "&amp;VLOOKUP($C$4,'Writing Logic'!$G$8:$H$14,2,FALSE),YES_Writing_ELA[#Headers],0))=0,"",INDEX(_xlfn.VSTACK(YES_Writing_ELA[#Data],YES_Writing_FLA[#Data]),MATCH($A425,_xlfn.VSTACK(YES_Writing_ELA[Student Number],YES_Writing_FLA[Student Number]),0),MATCH(VLOOKUP(E$7,'Writing Logic'!$J$7:$K$11,2,FALSE)&amp;" - Per "&amp;VLOOKUP($C$4,'Writing Logic'!$G$8:$H$14,2,FALSE),YES_Writing_ELA[#Headers],0)))),"")</f>
        <v/>
      </c>
      <c r="F425" s="138" t="str">
        <f>IFERROR(IF(IF(INDEX(_xlfn.VSTACK(YES_Writing_ELA[#Data],YES_Writing_FLA[#Data]),MATCH($A425,_xlfn.VSTACK(YES_Writing_ELA[Student Number],YES_Writing_FLA[Student Number]),0),MATCH(VLOOKUP(F$7,'Writing Logic'!$J$7:$K$11,2,FALSE)&amp;" - Per "&amp;VLOOKUP($C$4,'Writing Logic'!$G$8:$H$14,2,FALSE),YES_Writing_ELA[#Headers],0))=0,"",INDEX(_xlfn.VSTACK(YES_Writing_ELA[#Data],YES_Writing_FLA[#Data]),MATCH($A425,_xlfn.VSTACK(YES_Writing_ELA[Student Number],YES_Writing_FLA[Student Number]),0),MATCH(VLOOKUP(F$7,'Writing Logic'!$J$7:$K$11,2,FALSE)&amp;" - Per "&amp;VLOOKUP($C$4,'Writing Logic'!$G$8:$H$14,2,FALSE),YES_Writing_ELA[#Headers],0)))="INS",'Writing Logic'!$B$7,IF(INDEX(_xlfn.VSTACK(YES_Writing_ELA[#Data],YES_Writing_FLA[#Data]),MATCH($A425,_xlfn.VSTACK(YES_Writing_ELA[Student Number],YES_Writing_FLA[Student Number]),0),MATCH(VLOOKUP(F$7,'Writing Logic'!$J$7:$K$11,2,FALSE)&amp;" - Per "&amp;VLOOKUP($C$4,'Writing Logic'!$G$8:$H$14,2,FALSE),YES_Writing_ELA[#Headers],0))=0,"",INDEX(_xlfn.VSTACK(YES_Writing_ELA[#Data],YES_Writing_FLA[#Data]),MATCH($A425,_xlfn.VSTACK(YES_Writing_ELA[Student Number],YES_Writing_FLA[Student Number]),0),MATCH(VLOOKUP(F$7,'Writing Logic'!$J$7:$K$11,2,FALSE)&amp;" - Per "&amp;VLOOKUP($C$4,'Writing Logic'!$G$8:$H$14,2,FALSE),YES_Writing_ELA[#Headers],0)))),"")</f>
        <v/>
      </c>
      <c r="G425" s="138" t="str">
        <f>IFERROR(IF(IF(INDEX(_xlfn.VSTACK(YES_Writing_ELA[#Data],YES_Writing_FLA[#Data]),MATCH($A425,_xlfn.VSTACK(YES_Writing_ELA[Student Number],YES_Writing_FLA[Student Number]),0),MATCH(VLOOKUP(G$7,'Writing Logic'!$J$7:$K$11,2,FALSE)&amp;" - Per "&amp;VLOOKUP($C$4,'Writing Logic'!$G$8:$H$14,2,FALSE),YES_Writing_ELA[#Headers],0))=0,"",INDEX(_xlfn.VSTACK(YES_Writing_ELA[#Data],YES_Writing_FLA[#Data]),MATCH($A425,_xlfn.VSTACK(YES_Writing_ELA[Student Number],YES_Writing_FLA[Student Number]),0),MATCH(VLOOKUP(G$7,'Writing Logic'!$J$7:$K$11,2,FALSE)&amp;" - Per "&amp;VLOOKUP($C$4,'Writing Logic'!$G$8:$H$14,2,FALSE),YES_Writing_ELA[#Headers],0)))="INS",'Writing Logic'!$B$7,IF(INDEX(_xlfn.VSTACK(YES_Writing_ELA[#Data],YES_Writing_FLA[#Data]),MATCH($A425,_xlfn.VSTACK(YES_Writing_ELA[Student Number],YES_Writing_FLA[Student Number]),0),MATCH(VLOOKUP(G$7,'Writing Logic'!$J$7:$K$11,2,FALSE)&amp;" - Per "&amp;VLOOKUP($C$4,'Writing Logic'!$G$8:$H$14,2,FALSE),YES_Writing_ELA[#Headers],0))=0,"",INDEX(_xlfn.VSTACK(YES_Writing_ELA[#Data],YES_Writing_FLA[#Data]),MATCH($A425,_xlfn.VSTACK(YES_Writing_ELA[Student Number],YES_Writing_FLA[Student Number]),0),MATCH(VLOOKUP(G$7,'Writing Logic'!$J$7:$K$11,2,FALSE)&amp;" - Per "&amp;VLOOKUP($C$4,'Writing Logic'!$G$8:$H$14,2,FALSE),YES_Writing_ELA[#Headers],0)))),"")</f>
        <v/>
      </c>
      <c r="H425" s="138" t="str">
        <f>IFERROR(IF(IF(INDEX(_xlfn.VSTACK(YES_Writing_ELA[#Data],YES_Writing_FLA[#Data]),MATCH($A425,_xlfn.VSTACK(YES_Writing_ELA[Student Number],YES_Writing_FLA[Student Number]),0),MATCH(VLOOKUP(H$7,'Writing Logic'!$J$7:$K$11,2,FALSE)&amp;" - Per "&amp;VLOOKUP($C$4,'Writing Logic'!$G$8:$H$14,2,FALSE),YES_Writing_ELA[#Headers],0))=0,"",INDEX(_xlfn.VSTACK(YES_Writing_ELA[#Data],YES_Writing_FLA[#Data]),MATCH($A425,_xlfn.VSTACK(YES_Writing_ELA[Student Number],YES_Writing_FLA[Student Number]),0),MATCH(VLOOKUP(H$7,'Writing Logic'!$J$7:$K$11,2,FALSE)&amp;" - Per "&amp;VLOOKUP($C$4,'Writing Logic'!$G$8:$H$14,2,FALSE),YES_Writing_ELA[#Headers],0)))="INS",'Writing Logic'!$B$7,IF(INDEX(_xlfn.VSTACK(YES_Writing_ELA[#Data],YES_Writing_FLA[#Data]),MATCH($A425,_xlfn.VSTACK(YES_Writing_ELA[Student Number],YES_Writing_FLA[Student Number]),0),MATCH(VLOOKUP(H$7,'Writing Logic'!$J$7:$K$11,2,FALSE)&amp;" - Per "&amp;VLOOKUP($C$4,'Writing Logic'!$G$8:$H$14,2,FALSE),YES_Writing_ELA[#Headers],0))=0,"",INDEX(_xlfn.VSTACK(YES_Writing_ELA[#Data],YES_Writing_FLA[#Data]),MATCH($A425,_xlfn.VSTACK(YES_Writing_ELA[Student Number],YES_Writing_FLA[Student Number]),0),MATCH(VLOOKUP(H$7,'Writing Logic'!$J$7:$K$11,2,FALSE)&amp;" - Per "&amp;VLOOKUP($C$4,'Writing Logic'!$G$8:$H$14,2,FALSE),YES_Writing_ELA[#Headers],0)))),"")</f>
        <v/>
      </c>
    </row>
    <row r="426" spans="1:8" x14ac:dyDescent="0.25">
      <c r="A426" s="137"/>
      <c r="B426" s="137" t="str">
        <f>IFERROR(INDEX(_xlfn.VSTACK(YES_Writing_ELA[#Data], YES_Writing_FLA[#Data]),MATCH($A426,_xlfn.VSTACK(YES_Writing_ELA[Student Number], YES_Writing_FLA[Student Number]),0),MATCH(B$7,YES_Writing_ELA[#Headers],0)),"")</f>
        <v/>
      </c>
      <c r="C426" s="137" t="str">
        <f>IFERROR(INDEX(_xlfn.VSTACK(YES_Writing_ELA[#Data], YES_Writing_FLA[#Data]),MATCH($A426,_xlfn.VSTACK(YES_Writing_ELA[Student Number], YES_Writing_FLA[Student Number]),0),MATCH(C$7,YES_Writing_ELA[#Headers],0)),"")</f>
        <v/>
      </c>
      <c r="D426" s="138" t="str">
        <f>IFERROR(IF(IF(INDEX(_xlfn.VSTACK(YES_Writing_ELA[#Data],YES_Writing_FLA[#Data]),MATCH($A426,_xlfn.VSTACK(YES_Writing_ELA[Student Number],YES_Writing_FLA[Student Number]),0),MATCH(VLOOKUP(D$7,'Writing Logic'!$J$7:$K$11,2,FALSE)&amp;" - Per "&amp;VLOOKUP($C$4,'Writing Logic'!$G$8:$H$14,2,FALSE),YES_Writing_ELA[#Headers],0))=0,"",INDEX(_xlfn.VSTACK(YES_Writing_ELA[#Data],YES_Writing_FLA[#Data]),MATCH($A426,_xlfn.VSTACK(YES_Writing_ELA[Student Number],YES_Writing_FLA[Student Number]),0),MATCH(VLOOKUP(D$7,'Writing Logic'!$J$7:$K$11,2,FALSE)&amp;" - Per "&amp;VLOOKUP($C$4,'Writing Logic'!$G$8:$H$14,2,FALSE),YES_Writing_ELA[#Headers],0)))="INS",'Writing Logic'!$B$7,IF(INDEX(_xlfn.VSTACK(YES_Writing_ELA[#Data],YES_Writing_FLA[#Data]),MATCH($A426,_xlfn.VSTACK(YES_Writing_ELA[Student Number],YES_Writing_FLA[Student Number]),0),MATCH(VLOOKUP(D$7,'Writing Logic'!$J$7:$K$11,2,FALSE)&amp;" - Per "&amp;VLOOKUP($C$4,'Writing Logic'!$G$8:$H$14,2,FALSE),YES_Writing_ELA[#Headers],0))=0,"",INDEX(_xlfn.VSTACK(YES_Writing_ELA[#Data],YES_Writing_FLA[#Data]),MATCH($A426,_xlfn.VSTACK(YES_Writing_ELA[Student Number],YES_Writing_FLA[Student Number]),0),MATCH(VLOOKUP(D$7,'Writing Logic'!$J$7:$K$11,2,FALSE)&amp;" - Per "&amp;VLOOKUP($C$4,'Writing Logic'!$G$8:$H$14,2,FALSE),YES_Writing_ELA[#Headers],0)))),"")</f>
        <v/>
      </c>
      <c r="E426" s="138" t="str">
        <f>IFERROR(IF(IF(INDEX(_xlfn.VSTACK(YES_Writing_ELA[#Data],YES_Writing_FLA[#Data]),MATCH($A426,_xlfn.VSTACK(YES_Writing_ELA[Student Number],YES_Writing_FLA[Student Number]),0),MATCH(VLOOKUP(E$7,'Writing Logic'!$J$7:$K$11,2,FALSE)&amp;" - Per "&amp;VLOOKUP($C$4,'Writing Logic'!$G$8:$H$14,2,FALSE),YES_Writing_ELA[#Headers],0))=0,"",INDEX(_xlfn.VSTACK(YES_Writing_ELA[#Data],YES_Writing_FLA[#Data]),MATCH($A426,_xlfn.VSTACK(YES_Writing_ELA[Student Number],YES_Writing_FLA[Student Number]),0),MATCH(VLOOKUP(E$7,'Writing Logic'!$J$7:$K$11,2,FALSE)&amp;" - Per "&amp;VLOOKUP($C$4,'Writing Logic'!$G$8:$H$14,2,FALSE),YES_Writing_ELA[#Headers],0)))="INS",'Writing Logic'!$B$7,IF(INDEX(_xlfn.VSTACK(YES_Writing_ELA[#Data],YES_Writing_FLA[#Data]),MATCH($A426,_xlfn.VSTACK(YES_Writing_ELA[Student Number],YES_Writing_FLA[Student Number]),0),MATCH(VLOOKUP(E$7,'Writing Logic'!$J$7:$K$11,2,FALSE)&amp;" - Per "&amp;VLOOKUP($C$4,'Writing Logic'!$G$8:$H$14,2,FALSE),YES_Writing_ELA[#Headers],0))=0,"",INDEX(_xlfn.VSTACK(YES_Writing_ELA[#Data],YES_Writing_FLA[#Data]),MATCH($A426,_xlfn.VSTACK(YES_Writing_ELA[Student Number],YES_Writing_FLA[Student Number]),0),MATCH(VLOOKUP(E$7,'Writing Logic'!$J$7:$K$11,2,FALSE)&amp;" - Per "&amp;VLOOKUP($C$4,'Writing Logic'!$G$8:$H$14,2,FALSE),YES_Writing_ELA[#Headers],0)))),"")</f>
        <v/>
      </c>
      <c r="F426" s="138" t="str">
        <f>IFERROR(IF(IF(INDEX(_xlfn.VSTACK(YES_Writing_ELA[#Data],YES_Writing_FLA[#Data]),MATCH($A426,_xlfn.VSTACK(YES_Writing_ELA[Student Number],YES_Writing_FLA[Student Number]),0),MATCH(VLOOKUP(F$7,'Writing Logic'!$J$7:$K$11,2,FALSE)&amp;" - Per "&amp;VLOOKUP($C$4,'Writing Logic'!$G$8:$H$14,2,FALSE),YES_Writing_ELA[#Headers],0))=0,"",INDEX(_xlfn.VSTACK(YES_Writing_ELA[#Data],YES_Writing_FLA[#Data]),MATCH($A426,_xlfn.VSTACK(YES_Writing_ELA[Student Number],YES_Writing_FLA[Student Number]),0),MATCH(VLOOKUP(F$7,'Writing Logic'!$J$7:$K$11,2,FALSE)&amp;" - Per "&amp;VLOOKUP($C$4,'Writing Logic'!$G$8:$H$14,2,FALSE),YES_Writing_ELA[#Headers],0)))="INS",'Writing Logic'!$B$7,IF(INDEX(_xlfn.VSTACK(YES_Writing_ELA[#Data],YES_Writing_FLA[#Data]),MATCH($A426,_xlfn.VSTACK(YES_Writing_ELA[Student Number],YES_Writing_FLA[Student Number]),0),MATCH(VLOOKUP(F$7,'Writing Logic'!$J$7:$K$11,2,FALSE)&amp;" - Per "&amp;VLOOKUP($C$4,'Writing Logic'!$G$8:$H$14,2,FALSE),YES_Writing_ELA[#Headers],0))=0,"",INDEX(_xlfn.VSTACK(YES_Writing_ELA[#Data],YES_Writing_FLA[#Data]),MATCH($A426,_xlfn.VSTACK(YES_Writing_ELA[Student Number],YES_Writing_FLA[Student Number]),0),MATCH(VLOOKUP(F$7,'Writing Logic'!$J$7:$K$11,2,FALSE)&amp;" - Per "&amp;VLOOKUP($C$4,'Writing Logic'!$G$8:$H$14,2,FALSE),YES_Writing_ELA[#Headers],0)))),"")</f>
        <v/>
      </c>
      <c r="G426" s="138" t="str">
        <f>IFERROR(IF(IF(INDEX(_xlfn.VSTACK(YES_Writing_ELA[#Data],YES_Writing_FLA[#Data]),MATCH($A426,_xlfn.VSTACK(YES_Writing_ELA[Student Number],YES_Writing_FLA[Student Number]),0),MATCH(VLOOKUP(G$7,'Writing Logic'!$J$7:$K$11,2,FALSE)&amp;" - Per "&amp;VLOOKUP($C$4,'Writing Logic'!$G$8:$H$14,2,FALSE),YES_Writing_ELA[#Headers],0))=0,"",INDEX(_xlfn.VSTACK(YES_Writing_ELA[#Data],YES_Writing_FLA[#Data]),MATCH($A426,_xlfn.VSTACK(YES_Writing_ELA[Student Number],YES_Writing_FLA[Student Number]),0),MATCH(VLOOKUP(G$7,'Writing Logic'!$J$7:$K$11,2,FALSE)&amp;" - Per "&amp;VLOOKUP($C$4,'Writing Logic'!$G$8:$H$14,2,FALSE),YES_Writing_ELA[#Headers],0)))="INS",'Writing Logic'!$B$7,IF(INDEX(_xlfn.VSTACK(YES_Writing_ELA[#Data],YES_Writing_FLA[#Data]),MATCH($A426,_xlfn.VSTACK(YES_Writing_ELA[Student Number],YES_Writing_FLA[Student Number]),0),MATCH(VLOOKUP(G$7,'Writing Logic'!$J$7:$K$11,2,FALSE)&amp;" - Per "&amp;VLOOKUP($C$4,'Writing Logic'!$G$8:$H$14,2,FALSE),YES_Writing_ELA[#Headers],0))=0,"",INDEX(_xlfn.VSTACK(YES_Writing_ELA[#Data],YES_Writing_FLA[#Data]),MATCH($A426,_xlfn.VSTACK(YES_Writing_ELA[Student Number],YES_Writing_FLA[Student Number]),0),MATCH(VLOOKUP(G$7,'Writing Logic'!$J$7:$K$11,2,FALSE)&amp;" - Per "&amp;VLOOKUP($C$4,'Writing Logic'!$G$8:$H$14,2,FALSE),YES_Writing_ELA[#Headers],0)))),"")</f>
        <v/>
      </c>
      <c r="H426" s="138" t="str">
        <f>IFERROR(IF(IF(INDEX(_xlfn.VSTACK(YES_Writing_ELA[#Data],YES_Writing_FLA[#Data]),MATCH($A426,_xlfn.VSTACK(YES_Writing_ELA[Student Number],YES_Writing_FLA[Student Number]),0),MATCH(VLOOKUP(H$7,'Writing Logic'!$J$7:$K$11,2,FALSE)&amp;" - Per "&amp;VLOOKUP($C$4,'Writing Logic'!$G$8:$H$14,2,FALSE),YES_Writing_ELA[#Headers],0))=0,"",INDEX(_xlfn.VSTACK(YES_Writing_ELA[#Data],YES_Writing_FLA[#Data]),MATCH($A426,_xlfn.VSTACK(YES_Writing_ELA[Student Number],YES_Writing_FLA[Student Number]),0),MATCH(VLOOKUP(H$7,'Writing Logic'!$J$7:$K$11,2,FALSE)&amp;" - Per "&amp;VLOOKUP($C$4,'Writing Logic'!$G$8:$H$14,2,FALSE),YES_Writing_ELA[#Headers],0)))="INS",'Writing Logic'!$B$7,IF(INDEX(_xlfn.VSTACK(YES_Writing_ELA[#Data],YES_Writing_FLA[#Data]),MATCH($A426,_xlfn.VSTACK(YES_Writing_ELA[Student Number],YES_Writing_FLA[Student Number]),0),MATCH(VLOOKUP(H$7,'Writing Logic'!$J$7:$K$11,2,FALSE)&amp;" - Per "&amp;VLOOKUP($C$4,'Writing Logic'!$G$8:$H$14,2,FALSE),YES_Writing_ELA[#Headers],0))=0,"",INDEX(_xlfn.VSTACK(YES_Writing_ELA[#Data],YES_Writing_FLA[#Data]),MATCH($A426,_xlfn.VSTACK(YES_Writing_ELA[Student Number],YES_Writing_FLA[Student Number]),0),MATCH(VLOOKUP(H$7,'Writing Logic'!$J$7:$K$11,2,FALSE)&amp;" - Per "&amp;VLOOKUP($C$4,'Writing Logic'!$G$8:$H$14,2,FALSE),YES_Writing_ELA[#Headers],0)))),"")</f>
        <v/>
      </c>
    </row>
    <row r="427" spans="1:8" x14ac:dyDescent="0.25">
      <c r="A427" s="137"/>
      <c r="B427" s="137" t="str">
        <f>IFERROR(INDEX(_xlfn.VSTACK(YES_Writing_ELA[#Data], YES_Writing_FLA[#Data]),MATCH($A427,_xlfn.VSTACK(YES_Writing_ELA[Student Number], YES_Writing_FLA[Student Number]),0),MATCH(B$7,YES_Writing_ELA[#Headers],0)),"")</f>
        <v/>
      </c>
      <c r="C427" s="137" t="str">
        <f>IFERROR(INDEX(_xlfn.VSTACK(YES_Writing_ELA[#Data], YES_Writing_FLA[#Data]),MATCH($A427,_xlfn.VSTACK(YES_Writing_ELA[Student Number], YES_Writing_FLA[Student Number]),0),MATCH(C$7,YES_Writing_ELA[#Headers],0)),"")</f>
        <v/>
      </c>
      <c r="D427" s="138" t="str">
        <f>IFERROR(IF(IF(INDEX(_xlfn.VSTACK(YES_Writing_ELA[#Data],YES_Writing_FLA[#Data]),MATCH($A427,_xlfn.VSTACK(YES_Writing_ELA[Student Number],YES_Writing_FLA[Student Number]),0),MATCH(VLOOKUP(D$7,'Writing Logic'!$J$7:$K$11,2,FALSE)&amp;" - Per "&amp;VLOOKUP($C$4,'Writing Logic'!$G$8:$H$14,2,FALSE),YES_Writing_ELA[#Headers],0))=0,"",INDEX(_xlfn.VSTACK(YES_Writing_ELA[#Data],YES_Writing_FLA[#Data]),MATCH($A427,_xlfn.VSTACK(YES_Writing_ELA[Student Number],YES_Writing_FLA[Student Number]),0),MATCH(VLOOKUP(D$7,'Writing Logic'!$J$7:$K$11,2,FALSE)&amp;" - Per "&amp;VLOOKUP($C$4,'Writing Logic'!$G$8:$H$14,2,FALSE),YES_Writing_ELA[#Headers],0)))="INS",'Writing Logic'!$B$7,IF(INDEX(_xlfn.VSTACK(YES_Writing_ELA[#Data],YES_Writing_FLA[#Data]),MATCH($A427,_xlfn.VSTACK(YES_Writing_ELA[Student Number],YES_Writing_FLA[Student Number]),0),MATCH(VLOOKUP(D$7,'Writing Logic'!$J$7:$K$11,2,FALSE)&amp;" - Per "&amp;VLOOKUP($C$4,'Writing Logic'!$G$8:$H$14,2,FALSE),YES_Writing_ELA[#Headers],0))=0,"",INDEX(_xlfn.VSTACK(YES_Writing_ELA[#Data],YES_Writing_FLA[#Data]),MATCH($A427,_xlfn.VSTACK(YES_Writing_ELA[Student Number],YES_Writing_FLA[Student Number]),0),MATCH(VLOOKUP(D$7,'Writing Logic'!$J$7:$K$11,2,FALSE)&amp;" - Per "&amp;VLOOKUP($C$4,'Writing Logic'!$G$8:$H$14,2,FALSE),YES_Writing_ELA[#Headers],0)))),"")</f>
        <v/>
      </c>
      <c r="E427" s="138" t="str">
        <f>IFERROR(IF(IF(INDEX(_xlfn.VSTACK(YES_Writing_ELA[#Data],YES_Writing_FLA[#Data]),MATCH($A427,_xlfn.VSTACK(YES_Writing_ELA[Student Number],YES_Writing_FLA[Student Number]),0),MATCH(VLOOKUP(E$7,'Writing Logic'!$J$7:$K$11,2,FALSE)&amp;" - Per "&amp;VLOOKUP($C$4,'Writing Logic'!$G$8:$H$14,2,FALSE),YES_Writing_ELA[#Headers],0))=0,"",INDEX(_xlfn.VSTACK(YES_Writing_ELA[#Data],YES_Writing_FLA[#Data]),MATCH($A427,_xlfn.VSTACK(YES_Writing_ELA[Student Number],YES_Writing_FLA[Student Number]),0),MATCH(VLOOKUP(E$7,'Writing Logic'!$J$7:$K$11,2,FALSE)&amp;" - Per "&amp;VLOOKUP($C$4,'Writing Logic'!$G$8:$H$14,2,FALSE),YES_Writing_ELA[#Headers],0)))="INS",'Writing Logic'!$B$7,IF(INDEX(_xlfn.VSTACK(YES_Writing_ELA[#Data],YES_Writing_FLA[#Data]),MATCH($A427,_xlfn.VSTACK(YES_Writing_ELA[Student Number],YES_Writing_FLA[Student Number]),0),MATCH(VLOOKUP(E$7,'Writing Logic'!$J$7:$K$11,2,FALSE)&amp;" - Per "&amp;VLOOKUP($C$4,'Writing Logic'!$G$8:$H$14,2,FALSE),YES_Writing_ELA[#Headers],0))=0,"",INDEX(_xlfn.VSTACK(YES_Writing_ELA[#Data],YES_Writing_FLA[#Data]),MATCH($A427,_xlfn.VSTACK(YES_Writing_ELA[Student Number],YES_Writing_FLA[Student Number]),0),MATCH(VLOOKUP(E$7,'Writing Logic'!$J$7:$K$11,2,FALSE)&amp;" - Per "&amp;VLOOKUP($C$4,'Writing Logic'!$G$8:$H$14,2,FALSE),YES_Writing_ELA[#Headers],0)))),"")</f>
        <v/>
      </c>
      <c r="F427" s="138" t="str">
        <f>IFERROR(IF(IF(INDEX(_xlfn.VSTACK(YES_Writing_ELA[#Data],YES_Writing_FLA[#Data]),MATCH($A427,_xlfn.VSTACK(YES_Writing_ELA[Student Number],YES_Writing_FLA[Student Number]),0),MATCH(VLOOKUP(F$7,'Writing Logic'!$J$7:$K$11,2,FALSE)&amp;" - Per "&amp;VLOOKUP($C$4,'Writing Logic'!$G$8:$H$14,2,FALSE),YES_Writing_ELA[#Headers],0))=0,"",INDEX(_xlfn.VSTACK(YES_Writing_ELA[#Data],YES_Writing_FLA[#Data]),MATCH($A427,_xlfn.VSTACK(YES_Writing_ELA[Student Number],YES_Writing_FLA[Student Number]),0),MATCH(VLOOKUP(F$7,'Writing Logic'!$J$7:$K$11,2,FALSE)&amp;" - Per "&amp;VLOOKUP($C$4,'Writing Logic'!$G$8:$H$14,2,FALSE),YES_Writing_ELA[#Headers],0)))="INS",'Writing Logic'!$B$7,IF(INDEX(_xlfn.VSTACK(YES_Writing_ELA[#Data],YES_Writing_FLA[#Data]),MATCH($A427,_xlfn.VSTACK(YES_Writing_ELA[Student Number],YES_Writing_FLA[Student Number]),0),MATCH(VLOOKUP(F$7,'Writing Logic'!$J$7:$K$11,2,FALSE)&amp;" - Per "&amp;VLOOKUP($C$4,'Writing Logic'!$G$8:$H$14,2,FALSE),YES_Writing_ELA[#Headers],0))=0,"",INDEX(_xlfn.VSTACK(YES_Writing_ELA[#Data],YES_Writing_FLA[#Data]),MATCH($A427,_xlfn.VSTACK(YES_Writing_ELA[Student Number],YES_Writing_FLA[Student Number]),0),MATCH(VLOOKUP(F$7,'Writing Logic'!$J$7:$K$11,2,FALSE)&amp;" - Per "&amp;VLOOKUP($C$4,'Writing Logic'!$G$8:$H$14,2,FALSE),YES_Writing_ELA[#Headers],0)))),"")</f>
        <v/>
      </c>
      <c r="G427" s="138" t="str">
        <f>IFERROR(IF(IF(INDEX(_xlfn.VSTACK(YES_Writing_ELA[#Data],YES_Writing_FLA[#Data]),MATCH($A427,_xlfn.VSTACK(YES_Writing_ELA[Student Number],YES_Writing_FLA[Student Number]),0),MATCH(VLOOKUP(G$7,'Writing Logic'!$J$7:$K$11,2,FALSE)&amp;" - Per "&amp;VLOOKUP($C$4,'Writing Logic'!$G$8:$H$14,2,FALSE),YES_Writing_ELA[#Headers],0))=0,"",INDEX(_xlfn.VSTACK(YES_Writing_ELA[#Data],YES_Writing_FLA[#Data]),MATCH($A427,_xlfn.VSTACK(YES_Writing_ELA[Student Number],YES_Writing_FLA[Student Number]),0),MATCH(VLOOKUP(G$7,'Writing Logic'!$J$7:$K$11,2,FALSE)&amp;" - Per "&amp;VLOOKUP($C$4,'Writing Logic'!$G$8:$H$14,2,FALSE),YES_Writing_ELA[#Headers],0)))="INS",'Writing Logic'!$B$7,IF(INDEX(_xlfn.VSTACK(YES_Writing_ELA[#Data],YES_Writing_FLA[#Data]),MATCH($A427,_xlfn.VSTACK(YES_Writing_ELA[Student Number],YES_Writing_FLA[Student Number]),0),MATCH(VLOOKUP(G$7,'Writing Logic'!$J$7:$K$11,2,FALSE)&amp;" - Per "&amp;VLOOKUP($C$4,'Writing Logic'!$G$8:$H$14,2,FALSE),YES_Writing_ELA[#Headers],0))=0,"",INDEX(_xlfn.VSTACK(YES_Writing_ELA[#Data],YES_Writing_FLA[#Data]),MATCH($A427,_xlfn.VSTACK(YES_Writing_ELA[Student Number],YES_Writing_FLA[Student Number]),0),MATCH(VLOOKUP(G$7,'Writing Logic'!$J$7:$K$11,2,FALSE)&amp;" - Per "&amp;VLOOKUP($C$4,'Writing Logic'!$G$8:$H$14,2,FALSE),YES_Writing_ELA[#Headers],0)))),"")</f>
        <v/>
      </c>
      <c r="H427" s="138" t="str">
        <f>IFERROR(IF(IF(INDEX(_xlfn.VSTACK(YES_Writing_ELA[#Data],YES_Writing_FLA[#Data]),MATCH($A427,_xlfn.VSTACK(YES_Writing_ELA[Student Number],YES_Writing_FLA[Student Number]),0),MATCH(VLOOKUP(H$7,'Writing Logic'!$J$7:$K$11,2,FALSE)&amp;" - Per "&amp;VLOOKUP($C$4,'Writing Logic'!$G$8:$H$14,2,FALSE),YES_Writing_ELA[#Headers],0))=0,"",INDEX(_xlfn.VSTACK(YES_Writing_ELA[#Data],YES_Writing_FLA[#Data]),MATCH($A427,_xlfn.VSTACK(YES_Writing_ELA[Student Number],YES_Writing_FLA[Student Number]),0),MATCH(VLOOKUP(H$7,'Writing Logic'!$J$7:$K$11,2,FALSE)&amp;" - Per "&amp;VLOOKUP($C$4,'Writing Logic'!$G$8:$H$14,2,FALSE),YES_Writing_ELA[#Headers],0)))="INS",'Writing Logic'!$B$7,IF(INDEX(_xlfn.VSTACK(YES_Writing_ELA[#Data],YES_Writing_FLA[#Data]),MATCH($A427,_xlfn.VSTACK(YES_Writing_ELA[Student Number],YES_Writing_FLA[Student Number]),0),MATCH(VLOOKUP(H$7,'Writing Logic'!$J$7:$K$11,2,FALSE)&amp;" - Per "&amp;VLOOKUP($C$4,'Writing Logic'!$G$8:$H$14,2,FALSE),YES_Writing_ELA[#Headers],0))=0,"",INDEX(_xlfn.VSTACK(YES_Writing_ELA[#Data],YES_Writing_FLA[#Data]),MATCH($A427,_xlfn.VSTACK(YES_Writing_ELA[Student Number],YES_Writing_FLA[Student Number]),0),MATCH(VLOOKUP(H$7,'Writing Logic'!$J$7:$K$11,2,FALSE)&amp;" - Per "&amp;VLOOKUP($C$4,'Writing Logic'!$G$8:$H$14,2,FALSE),YES_Writing_ELA[#Headers],0)))),"")</f>
        <v/>
      </c>
    </row>
    <row r="428" spans="1:8" x14ac:dyDescent="0.25">
      <c r="A428" s="137"/>
      <c r="B428" s="137" t="str">
        <f>IFERROR(INDEX(_xlfn.VSTACK(YES_Writing_ELA[#Data], YES_Writing_FLA[#Data]),MATCH($A428,_xlfn.VSTACK(YES_Writing_ELA[Student Number], YES_Writing_FLA[Student Number]),0),MATCH(B$7,YES_Writing_ELA[#Headers],0)),"")</f>
        <v/>
      </c>
      <c r="C428" s="137" t="str">
        <f>IFERROR(INDEX(_xlfn.VSTACK(YES_Writing_ELA[#Data], YES_Writing_FLA[#Data]),MATCH($A428,_xlfn.VSTACK(YES_Writing_ELA[Student Number], YES_Writing_FLA[Student Number]),0),MATCH(C$7,YES_Writing_ELA[#Headers],0)),"")</f>
        <v/>
      </c>
      <c r="D428" s="138" t="str">
        <f>IFERROR(IF(IF(INDEX(_xlfn.VSTACK(YES_Writing_ELA[#Data],YES_Writing_FLA[#Data]),MATCH($A428,_xlfn.VSTACK(YES_Writing_ELA[Student Number],YES_Writing_FLA[Student Number]),0),MATCH(VLOOKUP(D$7,'Writing Logic'!$J$7:$K$11,2,FALSE)&amp;" - Per "&amp;VLOOKUP($C$4,'Writing Logic'!$G$8:$H$14,2,FALSE),YES_Writing_ELA[#Headers],0))=0,"",INDEX(_xlfn.VSTACK(YES_Writing_ELA[#Data],YES_Writing_FLA[#Data]),MATCH($A428,_xlfn.VSTACK(YES_Writing_ELA[Student Number],YES_Writing_FLA[Student Number]),0),MATCH(VLOOKUP(D$7,'Writing Logic'!$J$7:$K$11,2,FALSE)&amp;" - Per "&amp;VLOOKUP($C$4,'Writing Logic'!$G$8:$H$14,2,FALSE),YES_Writing_ELA[#Headers],0)))="INS",'Writing Logic'!$B$7,IF(INDEX(_xlfn.VSTACK(YES_Writing_ELA[#Data],YES_Writing_FLA[#Data]),MATCH($A428,_xlfn.VSTACK(YES_Writing_ELA[Student Number],YES_Writing_FLA[Student Number]),0),MATCH(VLOOKUP(D$7,'Writing Logic'!$J$7:$K$11,2,FALSE)&amp;" - Per "&amp;VLOOKUP($C$4,'Writing Logic'!$G$8:$H$14,2,FALSE),YES_Writing_ELA[#Headers],0))=0,"",INDEX(_xlfn.VSTACK(YES_Writing_ELA[#Data],YES_Writing_FLA[#Data]),MATCH($A428,_xlfn.VSTACK(YES_Writing_ELA[Student Number],YES_Writing_FLA[Student Number]),0),MATCH(VLOOKUP(D$7,'Writing Logic'!$J$7:$K$11,2,FALSE)&amp;" - Per "&amp;VLOOKUP($C$4,'Writing Logic'!$G$8:$H$14,2,FALSE),YES_Writing_ELA[#Headers],0)))),"")</f>
        <v/>
      </c>
      <c r="E428" s="138" t="str">
        <f>IFERROR(IF(IF(INDEX(_xlfn.VSTACK(YES_Writing_ELA[#Data],YES_Writing_FLA[#Data]),MATCH($A428,_xlfn.VSTACK(YES_Writing_ELA[Student Number],YES_Writing_FLA[Student Number]),0),MATCH(VLOOKUP(E$7,'Writing Logic'!$J$7:$K$11,2,FALSE)&amp;" - Per "&amp;VLOOKUP($C$4,'Writing Logic'!$G$8:$H$14,2,FALSE),YES_Writing_ELA[#Headers],0))=0,"",INDEX(_xlfn.VSTACK(YES_Writing_ELA[#Data],YES_Writing_FLA[#Data]),MATCH($A428,_xlfn.VSTACK(YES_Writing_ELA[Student Number],YES_Writing_FLA[Student Number]),0),MATCH(VLOOKUP(E$7,'Writing Logic'!$J$7:$K$11,2,FALSE)&amp;" - Per "&amp;VLOOKUP($C$4,'Writing Logic'!$G$8:$H$14,2,FALSE),YES_Writing_ELA[#Headers],0)))="INS",'Writing Logic'!$B$7,IF(INDEX(_xlfn.VSTACK(YES_Writing_ELA[#Data],YES_Writing_FLA[#Data]),MATCH($A428,_xlfn.VSTACK(YES_Writing_ELA[Student Number],YES_Writing_FLA[Student Number]),0),MATCH(VLOOKUP(E$7,'Writing Logic'!$J$7:$K$11,2,FALSE)&amp;" - Per "&amp;VLOOKUP($C$4,'Writing Logic'!$G$8:$H$14,2,FALSE),YES_Writing_ELA[#Headers],0))=0,"",INDEX(_xlfn.VSTACK(YES_Writing_ELA[#Data],YES_Writing_FLA[#Data]),MATCH($A428,_xlfn.VSTACK(YES_Writing_ELA[Student Number],YES_Writing_FLA[Student Number]),0),MATCH(VLOOKUP(E$7,'Writing Logic'!$J$7:$K$11,2,FALSE)&amp;" - Per "&amp;VLOOKUP($C$4,'Writing Logic'!$G$8:$H$14,2,FALSE),YES_Writing_ELA[#Headers],0)))),"")</f>
        <v/>
      </c>
      <c r="F428" s="138" t="str">
        <f>IFERROR(IF(IF(INDEX(_xlfn.VSTACK(YES_Writing_ELA[#Data],YES_Writing_FLA[#Data]),MATCH($A428,_xlfn.VSTACK(YES_Writing_ELA[Student Number],YES_Writing_FLA[Student Number]),0),MATCH(VLOOKUP(F$7,'Writing Logic'!$J$7:$K$11,2,FALSE)&amp;" - Per "&amp;VLOOKUP($C$4,'Writing Logic'!$G$8:$H$14,2,FALSE),YES_Writing_ELA[#Headers],0))=0,"",INDEX(_xlfn.VSTACK(YES_Writing_ELA[#Data],YES_Writing_FLA[#Data]),MATCH($A428,_xlfn.VSTACK(YES_Writing_ELA[Student Number],YES_Writing_FLA[Student Number]),0),MATCH(VLOOKUP(F$7,'Writing Logic'!$J$7:$K$11,2,FALSE)&amp;" - Per "&amp;VLOOKUP($C$4,'Writing Logic'!$G$8:$H$14,2,FALSE),YES_Writing_ELA[#Headers],0)))="INS",'Writing Logic'!$B$7,IF(INDEX(_xlfn.VSTACK(YES_Writing_ELA[#Data],YES_Writing_FLA[#Data]),MATCH($A428,_xlfn.VSTACK(YES_Writing_ELA[Student Number],YES_Writing_FLA[Student Number]),0),MATCH(VLOOKUP(F$7,'Writing Logic'!$J$7:$K$11,2,FALSE)&amp;" - Per "&amp;VLOOKUP($C$4,'Writing Logic'!$G$8:$H$14,2,FALSE),YES_Writing_ELA[#Headers],0))=0,"",INDEX(_xlfn.VSTACK(YES_Writing_ELA[#Data],YES_Writing_FLA[#Data]),MATCH($A428,_xlfn.VSTACK(YES_Writing_ELA[Student Number],YES_Writing_FLA[Student Number]),0),MATCH(VLOOKUP(F$7,'Writing Logic'!$J$7:$K$11,2,FALSE)&amp;" - Per "&amp;VLOOKUP($C$4,'Writing Logic'!$G$8:$H$14,2,FALSE),YES_Writing_ELA[#Headers],0)))),"")</f>
        <v/>
      </c>
      <c r="G428" s="138" t="str">
        <f>IFERROR(IF(IF(INDEX(_xlfn.VSTACK(YES_Writing_ELA[#Data],YES_Writing_FLA[#Data]),MATCH($A428,_xlfn.VSTACK(YES_Writing_ELA[Student Number],YES_Writing_FLA[Student Number]),0),MATCH(VLOOKUP(G$7,'Writing Logic'!$J$7:$K$11,2,FALSE)&amp;" - Per "&amp;VLOOKUP($C$4,'Writing Logic'!$G$8:$H$14,2,FALSE),YES_Writing_ELA[#Headers],0))=0,"",INDEX(_xlfn.VSTACK(YES_Writing_ELA[#Data],YES_Writing_FLA[#Data]),MATCH($A428,_xlfn.VSTACK(YES_Writing_ELA[Student Number],YES_Writing_FLA[Student Number]),0),MATCH(VLOOKUP(G$7,'Writing Logic'!$J$7:$K$11,2,FALSE)&amp;" - Per "&amp;VLOOKUP($C$4,'Writing Logic'!$G$8:$H$14,2,FALSE),YES_Writing_ELA[#Headers],0)))="INS",'Writing Logic'!$B$7,IF(INDEX(_xlfn.VSTACK(YES_Writing_ELA[#Data],YES_Writing_FLA[#Data]),MATCH($A428,_xlfn.VSTACK(YES_Writing_ELA[Student Number],YES_Writing_FLA[Student Number]),0),MATCH(VLOOKUP(G$7,'Writing Logic'!$J$7:$K$11,2,FALSE)&amp;" - Per "&amp;VLOOKUP($C$4,'Writing Logic'!$G$8:$H$14,2,FALSE),YES_Writing_ELA[#Headers],0))=0,"",INDEX(_xlfn.VSTACK(YES_Writing_ELA[#Data],YES_Writing_FLA[#Data]),MATCH($A428,_xlfn.VSTACK(YES_Writing_ELA[Student Number],YES_Writing_FLA[Student Number]),0),MATCH(VLOOKUP(G$7,'Writing Logic'!$J$7:$K$11,2,FALSE)&amp;" - Per "&amp;VLOOKUP($C$4,'Writing Logic'!$G$8:$H$14,2,FALSE),YES_Writing_ELA[#Headers],0)))),"")</f>
        <v/>
      </c>
      <c r="H428" s="138" t="str">
        <f>IFERROR(IF(IF(INDEX(_xlfn.VSTACK(YES_Writing_ELA[#Data],YES_Writing_FLA[#Data]),MATCH($A428,_xlfn.VSTACK(YES_Writing_ELA[Student Number],YES_Writing_FLA[Student Number]),0),MATCH(VLOOKUP(H$7,'Writing Logic'!$J$7:$K$11,2,FALSE)&amp;" - Per "&amp;VLOOKUP($C$4,'Writing Logic'!$G$8:$H$14,2,FALSE),YES_Writing_ELA[#Headers],0))=0,"",INDEX(_xlfn.VSTACK(YES_Writing_ELA[#Data],YES_Writing_FLA[#Data]),MATCH($A428,_xlfn.VSTACK(YES_Writing_ELA[Student Number],YES_Writing_FLA[Student Number]),0),MATCH(VLOOKUP(H$7,'Writing Logic'!$J$7:$K$11,2,FALSE)&amp;" - Per "&amp;VLOOKUP($C$4,'Writing Logic'!$G$8:$H$14,2,FALSE),YES_Writing_ELA[#Headers],0)))="INS",'Writing Logic'!$B$7,IF(INDEX(_xlfn.VSTACK(YES_Writing_ELA[#Data],YES_Writing_FLA[#Data]),MATCH($A428,_xlfn.VSTACK(YES_Writing_ELA[Student Number],YES_Writing_FLA[Student Number]),0),MATCH(VLOOKUP(H$7,'Writing Logic'!$J$7:$K$11,2,FALSE)&amp;" - Per "&amp;VLOOKUP($C$4,'Writing Logic'!$G$8:$H$14,2,FALSE),YES_Writing_ELA[#Headers],0))=0,"",INDEX(_xlfn.VSTACK(YES_Writing_ELA[#Data],YES_Writing_FLA[#Data]),MATCH($A428,_xlfn.VSTACK(YES_Writing_ELA[Student Number],YES_Writing_FLA[Student Number]),0),MATCH(VLOOKUP(H$7,'Writing Logic'!$J$7:$K$11,2,FALSE)&amp;" - Per "&amp;VLOOKUP($C$4,'Writing Logic'!$G$8:$H$14,2,FALSE),YES_Writing_ELA[#Headers],0)))),"")</f>
        <v/>
      </c>
    </row>
    <row r="429" spans="1:8" x14ac:dyDescent="0.25">
      <c r="A429" s="137"/>
      <c r="B429" s="137" t="str">
        <f>IFERROR(INDEX(_xlfn.VSTACK(YES_Writing_ELA[#Data], YES_Writing_FLA[#Data]),MATCH($A429,_xlfn.VSTACK(YES_Writing_ELA[Student Number], YES_Writing_FLA[Student Number]),0),MATCH(B$7,YES_Writing_ELA[#Headers],0)),"")</f>
        <v/>
      </c>
      <c r="C429" s="137" t="str">
        <f>IFERROR(INDEX(_xlfn.VSTACK(YES_Writing_ELA[#Data], YES_Writing_FLA[#Data]),MATCH($A429,_xlfn.VSTACK(YES_Writing_ELA[Student Number], YES_Writing_FLA[Student Number]),0),MATCH(C$7,YES_Writing_ELA[#Headers],0)),"")</f>
        <v/>
      </c>
      <c r="D429" s="138" t="str">
        <f>IFERROR(IF(IF(INDEX(_xlfn.VSTACK(YES_Writing_ELA[#Data],YES_Writing_FLA[#Data]),MATCH($A429,_xlfn.VSTACK(YES_Writing_ELA[Student Number],YES_Writing_FLA[Student Number]),0),MATCH(VLOOKUP(D$7,'Writing Logic'!$J$7:$K$11,2,FALSE)&amp;" - Per "&amp;VLOOKUP($C$4,'Writing Logic'!$G$8:$H$14,2,FALSE),YES_Writing_ELA[#Headers],0))=0,"",INDEX(_xlfn.VSTACK(YES_Writing_ELA[#Data],YES_Writing_FLA[#Data]),MATCH($A429,_xlfn.VSTACK(YES_Writing_ELA[Student Number],YES_Writing_FLA[Student Number]),0),MATCH(VLOOKUP(D$7,'Writing Logic'!$J$7:$K$11,2,FALSE)&amp;" - Per "&amp;VLOOKUP($C$4,'Writing Logic'!$G$8:$H$14,2,FALSE),YES_Writing_ELA[#Headers],0)))="INS",'Writing Logic'!$B$7,IF(INDEX(_xlfn.VSTACK(YES_Writing_ELA[#Data],YES_Writing_FLA[#Data]),MATCH($A429,_xlfn.VSTACK(YES_Writing_ELA[Student Number],YES_Writing_FLA[Student Number]),0),MATCH(VLOOKUP(D$7,'Writing Logic'!$J$7:$K$11,2,FALSE)&amp;" - Per "&amp;VLOOKUP($C$4,'Writing Logic'!$G$8:$H$14,2,FALSE),YES_Writing_ELA[#Headers],0))=0,"",INDEX(_xlfn.VSTACK(YES_Writing_ELA[#Data],YES_Writing_FLA[#Data]),MATCH($A429,_xlfn.VSTACK(YES_Writing_ELA[Student Number],YES_Writing_FLA[Student Number]),0),MATCH(VLOOKUP(D$7,'Writing Logic'!$J$7:$K$11,2,FALSE)&amp;" - Per "&amp;VLOOKUP($C$4,'Writing Logic'!$G$8:$H$14,2,FALSE),YES_Writing_ELA[#Headers],0)))),"")</f>
        <v/>
      </c>
      <c r="E429" s="138" t="str">
        <f>IFERROR(IF(IF(INDEX(_xlfn.VSTACK(YES_Writing_ELA[#Data],YES_Writing_FLA[#Data]),MATCH($A429,_xlfn.VSTACK(YES_Writing_ELA[Student Number],YES_Writing_FLA[Student Number]),0),MATCH(VLOOKUP(E$7,'Writing Logic'!$J$7:$K$11,2,FALSE)&amp;" - Per "&amp;VLOOKUP($C$4,'Writing Logic'!$G$8:$H$14,2,FALSE),YES_Writing_ELA[#Headers],0))=0,"",INDEX(_xlfn.VSTACK(YES_Writing_ELA[#Data],YES_Writing_FLA[#Data]),MATCH($A429,_xlfn.VSTACK(YES_Writing_ELA[Student Number],YES_Writing_FLA[Student Number]),0),MATCH(VLOOKUP(E$7,'Writing Logic'!$J$7:$K$11,2,FALSE)&amp;" - Per "&amp;VLOOKUP($C$4,'Writing Logic'!$G$8:$H$14,2,FALSE),YES_Writing_ELA[#Headers],0)))="INS",'Writing Logic'!$B$7,IF(INDEX(_xlfn.VSTACK(YES_Writing_ELA[#Data],YES_Writing_FLA[#Data]),MATCH($A429,_xlfn.VSTACK(YES_Writing_ELA[Student Number],YES_Writing_FLA[Student Number]),0),MATCH(VLOOKUP(E$7,'Writing Logic'!$J$7:$K$11,2,FALSE)&amp;" - Per "&amp;VLOOKUP($C$4,'Writing Logic'!$G$8:$H$14,2,FALSE),YES_Writing_ELA[#Headers],0))=0,"",INDEX(_xlfn.VSTACK(YES_Writing_ELA[#Data],YES_Writing_FLA[#Data]),MATCH($A429,_xlfn.VSTACK(YES_Writing_ELA[Student Number],YES_Writing_FLA[Student Number]),0),MATCH(VLOOKUP(E$7,'Writing Logic'!$J$7:$K$11,2,FALSE)&amp;" - Per "&amp;VLOOKUP($C$4,'Writing Logic'!$G$8:$H$14,2,FALSE),YES_Writing_ELA[#Headers],0)))),"")</f>
        <v/>
      </c>
      <c r="F429" s="138" t="str">
        <f>IFERROR(IF(IF(INDEX(_xlfn.VSTACK(YES_Writing_ELA[#Data],YES_Writing_FLA[#Data]),MATCH($A429,_xlfn.VSTACK(YES_Writing_ELA[Student Number],YES_Writing_FLA[Student Number]),0),MATCH(VLOOKUP(F$7,'Writing Logic'!$J$7:$K$11,2,FALSE)&amp;" - Per "&amp;VLOOKUP($C$4,'Writing Logic'!$G$8:$H$14,2,FALSE),YES_Writing_ELA[#Headers],0))=0,"",INDEX(_xlfn.VSTACK(YES_Writing_ELA[#Data],YES_Writing_FLA[#Data]),MATCH($A429,_xlfn.VSTACK(YES_Writing_ELA[Student Number],YES_Writing_FLA[Student Number]),0),MATCH(VLOOKUP(F$7,'Writing Logic'!$J$7:$K$11,2,FALSE)&amp;" - Per "&amp;VLOOKUP($C$4,'Writing Logic'!$G$8:$H$14,2,FALSE),YES_Writing_ELA[#Headers],0)))="INS",'Writing Logic'!$B$7,IF(INDEX(_xlfn.VSTACK(YES_Writing_ELA[#Data],YES_Writing_FLA[#Data]),MATCH($A429,_xlfn.VSTACK(YES_Writing_ELA[Student Number],YES_Writing_FLA[Student Number]),0),MATCH(VLOOKUP(F$7,'Writing Logic'!$J$7:$K$11,2,FALSE)&amp;" - Per "&amp;VLOOKUP($C$4,'Writing Logic'!$G$8:$H$14,2,FALSE),YES_Writing_ELA[#Headers],0))=0,"",INDEX(_xlfn.VSTACK(YES_Writing_ELA[#Data],YES_Writing_FLA[#Data]),MATCH($A429,_xlfn.VSTACK(YES_Writing_ELA[Student Number],YES_Writing_FLA[Student Number]),0),MATCH(VLOOKUP(F$7,'Writing Logic'!$J$7:$K$11,2,FALSE)&amp;" - Per "&amp;VLOOKUP($C$4,'Writing Logic'!$G$8:$H$14,2,FALSE),YES_Writing_ELA[#Headers],0)))),"")</f>
        <v/>
      </c>
      <c r="G429" s="138" t="str">
        <f>IFERROR(IF(IF(INDEX(_xlfn.VSTACK(YES_Writing_ELA[#Data],YES_Writing_FLA[#Data]),MATCH($A429,_xlfn.VSTACK(YES_Writing_ELA[Student Number],YES_Writing_FLA[Student Number]),0),MATCH(VLOOKUP(G$7,'Writing Logic'!$J$7:$K$11,2,FALSE)&amp;" - Per "&amp;VLOOKUP($C$4,'Writing Logic'!$G$8:$H$14,2,FALSE),YES_Writing_ELA[#Headers],0))=0,"",INDEX(_xlfn.VSTACK(YES_Writing_ELA[#Data],YES_Writing_FLA[#Data]),MATCH($A429,_xlfn.VSTACK(YES_Writing_ELA[Student Number],YES_Writing_FLA[Student Number]),0),MATCH(VLOOKUP(G$7,'Writing Logic'!$J$7:$K$11,2,FALSE)&amp;" - Per "&amp;VLOOKUP($C$4,'Writing Logic'!$G$8:$H$14,2,FALSE),YES_Writing_ELA[#Headers],0)))="INS",'Writing Logic'!$B$7,IF(INDEX(_xlfn.VSTACK(YES_Writing_ELA[#Data],YES_Writing_FLA[#Data]),MATCH($A429,_xlfn.VSTACK(YES_Writing_ELA[Student Number],YES_Writing_FLA[Student Number]),0),MATCH(VLOOKUP(G$7,'Writing Logic'!$J$7:$K$11,2,FALSE)&amp;" - Per "&amp;VLOOKUP($C$4,'Writing Logic'!$G$8:$H$14,2,FALSE),YES_Writing_ELA[#Headers],0))=0,"",INDEX(_xlfn.VSTACK(YES_Writing_ELA[#Data],YES_Writing_FLA[#Data]),MATCH($A429,_xlfn.VSTACK(YES_Writing_ELA[Student Number],YES_Writing_FLA[Student Number]),0),MATCH(VLOOKUP(G$7,'Writing Logic'!$J$7:$K$11,2,FALSE)&amp;" - Per "&amp;VLOOKUP($C$4,'Writing Logic'!$G$8:$H$14,2,FALSE),YES_Writing_ELA[#Headers],0)))),"")</f>
        <v/>
      </c>
      <c r="H429" s="138" t="str">
        <f>IFERROR(IF(IF(INDEX(_xlfn.VSTACK(YES_Writing_ELA[#Data],YES_Writing_FLA[#Data]),MATCH($A429,_xlfn.VSTACK(YES_Writing_ELA[Student Number],YES_Writing_FLA[Student Number]),0),MATCH(VLOOKUP(H$7,'Writing Logic'!$J$7:$K$11,2,FALSE)&amp;" - Per "&amp;VLOOKUP($C$4,'Writing Logic'!$G$8:$H$14,2,FALSE),YES_Writing_ELA[#Headers],0))=0,"",INDEX(_xlfn.VSTACK(YES_Writing_ELA[#Data],YES_Writing_FLA[#Data]),MATCH($A429,_xlfn.VSTACK(YES_Writing_ELA[Student Number],YES_Writing_FLA[Student Number]),0),MATCH(VLOOKUP(H$7,'Writing Logic'!$J$7:$K$11,2,FALSE)&amp;" - Per "&amp;VLOOKUP($C$4,'Writing Logic'!$G$8:$H$14,2,FALSE),YES_Writing_ELA[#Headers],0)))="INS",'Writing Logic'!$B$7,IF(INDEX(_xlfn.VSTACK(YES_Writing_ELA[#Data],YES_Writing_FLA[#Data]),MATCH($A429,_xlfn.VSTACK(YES_Writing_ELA[Student Number],YES_Writing_FLA[Student Number]),0),MATCH(VLOOKUP(H$7,'Writing Logic'!$J$7:$K$11,2,FALSE)&amp;" - Per "&amp;VLOOKUP($C$4,'Writing Logic'!$G$8:$H$14,2,FALSE),YES_Writing_ELA[#Headers],0))=0,"",INDEX(_xlfn.VSTACK(YES_Writing_ELA[#Data],YES_Writing_FLA[#Data]),MATCH($A429,_xlfn.VSTACK(YES_Writing_ELA[Student Number],YES_Writing_FLA[Student Number]),0),MATCH(VLOOKUP(H$7,'Writing Logic'!$J$7:$K$11,2,FALSE)&amp;" - Per "&amp;VLOOKUP($C$4,'Writing Logic'!$G$8:$H$14,2,FALSE),YES_Writing_ELA[#Headers],0)))),"")</f>
        <v/>
      </c>
    </row>
    <row r="430" spans="1:8" x14ac:dyDescent="0.25">
      <c r="A430" s="137"/>
      <c r="B430" s="137" t="str">
        <f>IFERROR(INDEX(_xlfn.VSTACK(YES_Writing_ELA[#Data], YES_Writing_FLA[#Data]),MATCH($A430,_xlfn.VSTACK(YES_Writing_ELA[Student Number], YES_Writing_FLA[Student Number]),0),MATCH(B$7,YES_Writing_ELA[#Headers],0)),"")</f>
        <v/>
      </c>
      <c r="C430" s="137" t="str">
        <f>IFERROR(INDEX(_xlfn.VSTACK(YES_Writing_ELA[#Data], YES_Writing_FLA[#Data]),MATCH($A430,_xlfn.VSTACK(YES_Writing_ELA[Student Number], YES_Writing_FLA[Student Number]),0),MATCH(C$7,YES_Writing_ELA[#Headers],0)),"")</f>
        <v/>
      </c>
      <c r="D430" s="138" t="str">
        <f>IFERROR(IF(IF(INDEX(_xlfn.VSTACK(YES_Writing_ELA[#Data],YES_Writing_FLA[#Data]),MATCH($A430,_xlfn.VSTACK(YES_Writing_ELA[Student Number],YES_Writing_FLA[Student Number]),0),MATCH(VLOOKUP(D$7,'Writing Logic'!$J$7:$K$11,2,FALSE)&amp;" - Per "&amp;VLOOKUP($C$4,'Writing Logic'!$G$8:$H$14,2,FALSE),YES_Writing_ELA[#Headers],0))=0,"",INDEX(_xlfn.VSTACK(YES_Writing_ELA[#Data],YES_Writing_FLA[#Data]),MATCH($A430,_xlfn.VSTACK(YES_Writing_ELA[Student Number],YES_Writing_FLA[Student Number]),0),MATCH(VLOOKUP(D$7,'Writing Logic'!$J$7:$K$11,2,FALSE)&amp;" - Per "&amp;VLOOKUP($C$4,'Writing Logic'!$G$8:$H$14,2,FALSE),YES_Writing_ELA[#Headers],0)))="INS",'Writing Logic'!$B$7,IF(INDEX(_xlfn.VSTACK(YES_Writing_ELA[#Data],YES_Writing_FLA[#Data]),MATCH($A430,_xlfn.VSTACK(YES_Writing_ELA[Student Number],YES_Writing_FLA[Student Number]),0),MATCH(VLOOKUP(D$7,'Writing Logic'!$J$7:$K$11,2,FALSE)&amp;" - Per "&amp;VLOOKUP($C$4,'Writing Logic'!$G$8:$H$14,2,FALSE),YES_Writing_ELA[#Headers],0))=0,"",INDEX(_xlfn.VSTACK(YES_Writing_ELA[#Data],YES_Writing_FLA[#Data]),MATCH($A430,_xlfn.VSTACK(YES_Writing_ELA[Student Number],YES_Writing_FLA[Student Number]),0),MATCH(VLOOKUP(D$7,'Writing Logic'!$J$7:$K$11,2,FALSE)&amp;" - Per "&amp;VLOOKUP($C$4,'Writing Logic'!$G$8:$H$14,2,FALSE),YES_Writing_ELA[#Headers],0)))),"")</f>
        <v/>
      </c>
      <c r="E430" s="138" t="str">
        <f>IFERROR(IF(IF(INDEX(_xlfn.VSTACK(YES_Writing_ELA[#Data],YES_Writing_FLA[#Data]),MATCH($A430,_xlfn.VSTACK(YES_Writing_ELA[Student Number],YES_Writing_FLA[Student Number]),0),MATCH(VLOOKUP(E$7,'Writing Logic'!$J$7:$K$11,2,FALSE)&amp;" - Per "&amp;VLOOKUP($C$4,'Writing Logic'!$G$8:$H$14,2,FALSE),YES_Writing_ELA[#Headers],0))=0,"",INDEX(_xlfn.VSTACK(YES_Writing_ELA[#Data],YES_Writing_FLA[#Data]),MATCH($A430,_xlfn.VSTACK(YES_Writing_ELA[Student Number],YES_Writing_FLA[Student Number]),0),MATCH(VLOOKUP(E$7,'Writing Logic'!$J$7:$K$11,2,FALSE)&amp;" - Per "&amp;VLOOKUP($C$4,'Writing Logic'!$G$8:$H$14,2,FALSE),YES_Writing_ELA[#Headers],0)))="INS",'Writing Logic'!$B$7,IF(INDEX(_xlfn.VSTACK(YES_Writing_ELA[#Data],YES_Writing_FLA[#Data]),MATCH($A430,_xlfn.VSTACK(YES_Writing_ELA[Student Number],YES_Writing_FLA[Student Number]),0),MATCH(VLOOKUP(E$7,'Writing Logic'!$J$7:$K$11,2,FALSE)&amp;" - Per "&amp;VLOOKUP($C$4,'Writing Logic'!$G$8:$H$14,2,FALSE),YES_Writing_ELA[#Headers],0))=0,"",INDEX(_xlfn.VSTACK(YES_Writing_ELA[#Data],YES_Writing_FLA[#Data]),MATCH($A430,_xlfn.VSTACK(YES_Writing_ELA[Student Number],YES_Writing_FLA[Student Number]),0),MATCH(VLOOKUP(E$7,'Writing Logic'!$J$7:$K$11,2,FALSE)&amp;" - Per "&amp;VLOOKUP($C$4,'Writing Logic'!$G$8:$H$14,2,FALSE),YES_Writing_ELA[#Headers],0)))),"")</f>
        <v/>
      </c>
      <c r="F430" s="138" t="str">
        <f>IFERROR(IF(IF(INDEX(_xlfn.VSTACK(YES_Writing_ELA[#Data],YES_Writing_FLA[#Data]),MATCH($A430,_xlfn.VSTACK(YES_Writing_ELA[Student Number],YES_Writing_FLA[Student Number]),0),MATCH(VLOOKUP(F$7,'Writing Logic'!$J$7:$K$11,2,FALSE)&amp;" - Per "&amp;VLOOKUP($C$4,'Writing Logic'!$G$8:$H$14,2,FALSE),YES_Writing_ELA[#Headers],0))=0,"",INDEX(_xlfn.VSTACK(YES_Writing_ELA[#Data],YES_Writing_FLA[#Data]),MATCH($A430,_xlfn.VSTACK(YES_Writing_ELA[Student Number],YES_Writing_FLA[Student Number]),0),MATCH(VLOOKUP(F$7,'Writing Logic'!$J$7:$K$11,2,FALSE)&amp;" - Per "&amp;VLOOKUP($C$4,'Writing Logic'!$G$8:$H$14,2,FALSE),YES_Writing_ELA[#Headers],0)))="INS",'Writing Logic'!$B$7,IF(INDEX(_xlfn.VSTACK(YES_Writing_ELA[#Data],YES_Writing_FLA[#Data]),MATCH($A430,_xlfn.VSTACK(YES_Writing_ELA[Student Number],YES_Writing_FLA[Student Number]),0),MATCH(VLOOKUP(F$7,'Writing Logic'!$J$7:$K$11,2,FALSE)&amp;" - Per "&amp;VLOOKUP($C$4,'Writing Logic'!$G$8:$H$14,2,FALSE),YES_Writing_ELA[#Headers],0))=0,"",INDEX(_xlfn.VSTACK(YES_Writing_ELA[#Data],YES_Writing_FLA[#Data]),MATCH($A430,_xlfn.VSTACK(YES_Writing_ELA[Student Number],YES_Writing_FLA[Student Number]),0),MATCH(VLOOKUP(F$7,'Writing Logic'!$J$7:$K$11,2,FALSE)&amp;" - Per "&amp;VLOOKUP($C$4,'Writing Logic'!$G$8:$H$14,2,FALSE),YES_Writing_ELA[#Headers],0)))),"")</f>
        <v/>
      </c>
      <c r="G430" s="138" t="str">
        <f>IFERROR(IF(IF(INDEX(_xlfn.VSTACK(YES_Writing_ELA[#Data],YES_Writing_FLA[#Data]),MATCH($A430,_xlfn.VSTACK(YES_Writing_ELA[Student Number],YES_Writing_FLA[Student Number]),0),MATCH(VLOOKUP(G$7,'Writing Logic'!$J$7:$K$11,2,FALSE)&amp;" - Per "&amp;VLOOKUP($C$4,'Writing Logic'!$G$8:$H$14,2,FALSE),YES_Writing_ELA[#Headers],0))=0,"",INDEX(_xlfn.VSTACK(YES_Writing_ELA[#Data],YES_Writing_FLA[#Data]),MATCH($A430,_xlfn.VSTACK(YES_Writing_ELA[Student Number],YES_Writing_FLA[Student Number]),0),MATCH(VLOOKUP(G$7,'Writing Logic'!$J$7:$K$11,2,FALSE)&amp;" - Per "&amp;VLOOKUP($C$4,'Writing Logic'!$G$8:$H$14,2,FALSE),YES_Writing_ELA[#Headers],0)))="INS",'Writing Logic'!$B$7,IF(INDEX(_xlfn.VSTACK(YES_Writing_ELA[#Data],YES_Writing_FLA[#Data]),MATCH($A430,_xlfn.VSTACK(YES_Writing_ELA[Student Number],YES_Writing_FLA[Student Number]),0),MATCH(VLOOKUP(G$7,'Writing Logic'!$J$7:$K$11,2,FALSE)&amp;" - Per "&amp;VLOOKUP($C$4,'Writing Logic'!$G$8:$H$14,2,FALSE),YES_Writing_ELA[#Headers],0))=0,"",INDEX(_xlfn.VSTACK(YES_Writing_ELA[#Data],YES_Writing_FLA[#Data]),MATCH($A430,_xlfn.VSTACK(YES_Writing_ELA[Student Number],YES_Writing_FLA[Student Number]),0),MATCH(VLOOKUP(G$7,'Writing Logic'!$J$7:$K$11,2,FALSE)&amp;" - Per "&amp;VLOOKUP($C$4,'Writing Logic'!$G$8:$H$14,2,FALSE),YES_Writing_ELA[#Headers],0)))),"")</f>
        <v/>
      </c>
      <c r="H430" s="138" t="str">
        <f>IFERROR(IF(IF(INDEX(_xlfn.VSTACK(YES_Writing_ELA[#Data],YES_Writing_FLA[#Data]),MATCH($A430,_xlfn.VSTACK(YES_Writing_ELA[Student Number],YES_Writing_FLA[Student Number]),0),MATCH(VLOOKUP(H$7,'Writing Logic'!$J$7:$K$11,2,FALSE)&amp;" - Per "&amp;VLOOKUP($C$4,'Writing Logic'!$G$8:$H$14,2,FALSE),YES_Writing_ELA[#Headers],0))=0,"",INDEX(_xlfn.VSTACK(YES_Writing_ELA[#Data],YES_Writing_FLA[#Data]),MATCH($A430,_xlfn.VSTACK(YES_Writing_ELA[Student Number],YES_Writing_FLA[Student Number]),0),MATCH(VLOOKUP(H$7,'Writing Logic'!$J$7:$K$11,2,FALSE)&amp;" - Per "&amp;VLOOKUP($C$4,'Writing Logic'!$G$8:$H$14,2,FALSE),YES_Writing_ELA[#Headers],0)))="INS",'Writing Logic'!$B$7,IF(INDEX(_xlfn.VSTACK(YES_Writing_ELA[#Data],YES_Writing_FLA[#Data]),MATCH($A430,_xlfn.VSTACK(YES_Writing_ELA[Student Number],YES_Writing_FLA[Student Number]),0),MATCH(VLOOKUP(H$7,'Writing Logic'!$J$7:$K$11,2,FALSE)&amp;" - Per "&amp;VLOOKUP($C$4,'Writing Logic'!$G$8:$H$14,2,FALSE),YES_Writing_ELA[#Headers],0))=0,"",INDEX(_xlfn.VSTACK(YES_Writing_ELA[#Data],YES_Writing_FLA[#Data]),MATCH($A430,_xlfn.VSTACK(YES_Writing_ELA[Student Number],YES_Writing_FLA[Student Number]),0),MATCH(VLOOKUP(H$7,'Writing Logic'!$J$7:$K$11,2,FALSE)&amp;" - Per "&amp;VLOOKUP($C$4,'Writing Logic'!$G$8:$H$14,2,FALSE),YES_Writing_ELA[#Headers],0)))),"")</f>
        <v/>
      </c>
    </row>
    <row r="431" spans="1:8" x14ac:dyDescent="0.25">
      <c r="A431" s="137"/>
      <c r="B431" s="137" t="str">
        <f>IFERROR(INDEX(_xlfn.VSTACK(YES_Writing_ELA[#Data], YES_Writing_FLA[#Data]),MATCH($A431,_xlfn.VSTACK(YES_Writing_ELA[Student Number], YES_Writing_FLA[Student Number]),0),MATCH(B$7,YES_Writing_ELA[#Headers],0)),"")</f>
        <v/>
      </c>
      <c r="C431" s="137" t="str">
        <f>IFERROR(INDEX(_xlfn.VSTACK(YES_Writing_ELA[#Data], YES_Writing_FLA[#Data]),MATCH($A431,_xlfn.VSTACK(YES_Writing_ELA[Student Number], YES_Writing_FLA[Student Number]),0),MATCH(C$7,YES_Writing_ELA[#Headers],0)),"")</f>
        <v/>
      </c>
      <c r="D431" s="138" t="str">
        <f>IFERROR(IF(IF(INDEX(_xlfn.VSTACK(YES_Writing_ELA[#Data],YES_Writing_FLA[#Data]),MATCH($A431,_xlfn.VSTACK(YES_Writing_ELA[Student Number],YES_Writing_FLA[Student Number]),0),MATCH(VLOOKUP(D$7,'Writing Logic'!$J$7:$K$11,2,FALSE)&amp;" - Per "&amp;VLOOKUP($C$4,'Writing Logic'!$G$8:$H$14,2,FALSE),YES_Writing_ELA[#Headers],0))=0,"",INDEX(_xlfn.VSTACK(YES_Writing_ELA[#Data],YES_Writing_FLA[#Data]),MATCH($A431,_xlfn.VSTACK(YES_Writing_ELA[Student Number],YES_Writing_FLA[Student Number]),0),MATCH(VLOOKUP(D$7,'Writing Logic'!$J$7:$K$11,2,FALSE)&amp;" - Per "&amp;VLOOKUP($C$4,'Writing Logic'!$G$8:$H$14,2,FALSE),YES_Writing_ELA[#Headers],0)))="INS",'Writing Logic'!$B$7,IF(INDEX(_xlfn.VSTACK(YES_Writing_ELA[#Data],YES_Writing_FLA[#Data]),MATCH($A431,_xlfn.VSTACK(YES_Writing_ELA[Student Number],YES_Writing_FLA[Student Number]),0),MATCH(VLOOKUP(D$7,'Writing Logic'!$J$7:$K$11,2,FALSE)&amp;" - Per "&amp;VLOOKUP($C$4,'Writing Logic'!$G$8:$H$14,2,FALSE),YES_Writing_ELA[#Headers],0))=0,"",INDEX(_xlfn.VSTACK(YES_Writing_ELA[#Data],YES_Writing_FLA[#Data]),MATCH($A431,_xlfn.VSTACK(YES_Writing_ELA[Student Number],YES_Writing_FLA[Student Number]),0),MATCH(VLOOKUP(D$7,'Writing Logic'!$J$7:$K$11,2,FALSE)&amp;" - Per "&amp;VLOOKUP($C$4,'Writing Logic'!$G$8:$H$14,2,FALSE),YES_Writing_ELA[#Headers],0)))),"")</f>
        <v/>
      </c>
      <c r="E431" s="138" t="str">
        <f>IFERROR(IF(IF(INDEX(_xlfn.VSTACK(YES_Writing_ELA[#Data],YES_Writing_FLA[#Data]),MATCH($A431,_xlfn.VSTACK(YES_Writing_ELA[Student Number],YES_Writing_FLA[Student Number]),0),MATCH(VLOOKUP(E$7,'Writing Logic'!$J$7:$K$11,2,FALSE)&amp;" - Per "&amp;VLOOKUP($C$4,'Writing Logic'!$G$8:$H$14,2,FALSE),YES_Writing_ELA[#Headers],0))=0,"",INDEX(_xlfn.VSTACK(YES_Writing_ELA[#Data],YES_Writing_FLA[#Data]),MATCH($A431,_xlfn.VSTACK(YES_Writing_ELA[Student Number],YES_Writing_FLA[Student Number]),0),MATCH(VLOOKUP(E$7,'Writing Logic'!$J$7:$K$11,2,FALSE)&amp;" - Per "&amp;VLOOKUP($C$4,'Writing Logic'!$G$8:$H$14,2,FALSE),YES_Writing_ELA[#Headers],0)))="INS",'Writing Logic'!$B$7,IF(INDEX(_xlfn.VSTACK(YES_Writing_ELA[#Data],YES_Writing_FLA[#Data]),MATCH($A431,_xlfn.VSTACK(YES_Writing_ELA[Student Number],YES_Writing_FLA[Student Number]),0),MATCH(VLOOKUP(E$7,'Writing Logic'!$J$7:$K$11,2,FALSE)&amp;" - Per "&amp;VLOOKUP($C$4,'Writing Logic'!$G$8:$H$14,2,FALSE),YES_Writing_ELA[#Headers],0))=0,"",INDEX(_xlfn.VSTACK(YES_Writing_ELA[#Data],YES_Writing_FLA[#Data]),MATCH($A431,_xlfn.VSTACK(YES_Writing_ELA[Student Number],YES_Writing_FLA[Student Number]),0),MATCH(VLOOKUP(E$7,'Writing Logic'!$J$7:$K$11,2,FALSE)&amp;" - Per "&amp;VLOOKUP($C$4,'Writing Logic'!$G$8:$H$14,2,FALSE),YES_Writing_ELA[#Headers],0)))),"")</f>
        <v/>
      </c>
      <c r="F431" s="138" t="str">
        <f>IFERROR(IF(IF(INDEX(_xlfn.VSTACK(YES_Writing_ELA[#Data],YES_Writing_FLA[#Data]),MATCH($A431,_xlfn.VSTACK(YES_Writing_ELA[Student Number],YES_Writing_FLA[Student Number]),0),MATCH(VLOOKUP(F$7,'Writing Logic'!$J$7:$K$11,2,FALSE)&amp;" - Per "&amp;VLOOKUP($C$4,'Writing Logic'!$G$8:$H$14,2,FALSE),YES_Writing_ELA[#Headers],0))=0,"",INDEX(_xlfn.VSTACK(YES_Writing_ELA[#Data],YES_Writing_FLA[#Data]),MATCH($A431,_xlfn.VSTACK(YES_Writing_ELA[Student Number],YES_Writing_FLA[Student Number]),0),MATCH(VLOOKUP(F$7,'Writing Logic'!$J$7:$K$11,2,FALSE)&amp;" - Per "&amp;VLOOKUP($C$4,'Writing Logic'!$G$8:$H$14,2,FALSE),YES_Writing_ELA[#Headers],0)))="INS",'Writing Logic'!$B$7,IF(INDEX(_xlfn.VSTACK(YES_Writing_ELA[#Data],YES_Writing_FLA[#Data]),MATCH($A431,_xlfn.VSTACK(YES_Writing_ELA[Student Number],YES_Writing_FLA[Student Number]),0),MATCH(VLOOKUP(F$7,'Writing Logic'!$J$7:$K$11,2,FALSE)&amp;" - Per "&amp;VLOOKUP($C$4,'Writing Logic'!$G$8:$H$14,2,FALSE),YES_Writing_ELA[#Headers],0))=0,"",INDEX(_xlfn.VSTACK(YES_Writing_ELA[#Data],YES_Writing_FLA[#Data]),MATCH($A431,_xlfn.VSTACK(YES_Writing_ELA[Student Number],YES_Writing_FLA[Student Number]),0),MATCH(VLOOKUP(F$7,'Writing Logic'!$J$7:$K$11,2,FALSE)&amp;" - Per "&amp;VLOOKUP($C$4,'Writing Logic'!$G$8:$H$14,2,FALSE),YES_Writing_ELA[#Headers],0)))),"")</f>
        <v/>
      </c>
      <c r="G431" s="138" t="str">
        <f>IFERROR(IF(IF(INDEX(_xlfn.VSTACK(YES_Writing_ELA[#Data],YES_Writing_FLA[#Data]),MATCH($A431,_xlfn.VSTACK(YES_Writing_ELA[Student Number],YES_Writing_FLA[Student Number]),0),MATCH(VLOOKUP(G$7,'Writing Logic'!$J$7:$K$11,2,FALSE)&amp;" - Per "&amp;VLOOKUP($C$4,'Writing Logic'!$G$8:$H$14,2,FALSE),YES_Writing_ELA[#Headers],0))=0,"",INDEX(_xlfn.VSTACK(YES_Writing_ELA[#Data],YES_Writing_FLA[#Data]),MATCH($A431,_xlfn.VSTACK(YES_Writing_ELA[Student Number],YES_Writing_FLA[Student Number]),0),MATCH(VLOOKUP(G$7,'Writing Logic'!$J$7:$K$11,2,FALSE)&amp;" - Per "&amp;VLOOKUP($C$4,'Writing Logic'!$G$8:$H$14,2,FALSE),YES_Writing_ELA[#Headers],0)))="INS",'Writing Logic'!$B$7,IF(INDEX(_xlfn.VSTACK(YES_Writing_ELA[#Data],YES_Writing_FLA[#Data]),MATCH($A431,_xlfn.VSTACK(YES_Writing_ELA[Student Number],YES_Writing_FLA[Student Number]),0),MATCH(VLOOKUP(G$7,'Writing Logic'!$J$7:$K$11,2,FALSE)&amp;" - Per "&amp;VLOOKUP($C$4,'Writing Logic'!$G$8:$H$14,2,FALSE),YES_Writing_ELA[#Headers],0))=0,"",INDEX(_xlfn.VSTACK(YES_Writing_ELA[#Data],YES_Writing_FLA[#Data]),MATCH($A431,_xlfn.VSTACK(YES_Writing_ELA[Student Number],YES_Writing_FLA[Student Number]),0),MATCH(VLOOKUP(G$7,'Writing Logic'!$J$7:$K$11,2,FALSE)&amp;" - Per "&amp;VLOOKUP($C$4,'Writing Logic'!$G$8:$H$14,2,FALSE),YES_Writing_ELA[#Headers],0)))),"")</f>
        <v/>
      </c>
      <c r="H431" s="138" t="str">
        <f>IFERROR(IF(IF(INDEX(_xlfn.VSTACK(YES_Writing_ELA[#Data],YES_Writing_FLA[#Data]),MATCH($A431,_xlfn.VSTACK(YES_Writing_ELA[Student Number],YES_Writing_FLA[Student Number]),0),MATCH(VLOOKUP(H$7,'Writing Logic'!$J$7:$K$11,2,FALSE)&amp;" - Per "&amp;VLOOKUP($C$4,'Writing Logic'!$G$8:$H$14,2,FALSE),YES_Writing_ELA[#Headers],0))=0,"",INDEX(_xlfn.VSTACK(YES_Writing_ELA[#Data],YES_Writing_FLA[#Data]),MATCH($A431,_xlfn.VSTACK(YES_Writing_ELA[Student Number],YES_Writing_FLA[Student Number]),0),MATCH(VLOOKUP(H$7,'Writing Logic'!$J$7:$K$11,2,FALSE)&amp;" - Per "&amp;VLOOKUP($C$4,'Writing Logic'!$G$8:$H$14,2,FALSE),YES_Writing_ELA[#Headers],0)))="INS",'Writing Logic'!$B$7,IF(INDEX(_xlfn.VSTACK(YES_Writing_ELA[#Data],YES_Writing_FLA[#Data]),MATCH($A431,_xlfn.VSTACK(YES_Writing_ELA[Student Number],YES_Writing_FLA[Student Number]),0),MATCH(VLOOKUP(H$7,'Writing Logic'!$J$7:$K$11,2,FALSE)&amp;" - Per "&amp;VLOOKUP($C$4,'Writing Logic'!$G$8:$H$14,2,FALSE),YES_Writing_ELA[#Headers],0))=0,"",INDEX(_xlfn.VSTACK(YES_Writing_ELA[#Data],YES_Writing_FLA[#Data]),MATCH($A431,_xlfn.VSTACK(YES_Writing_ELA[Student Number],YES_Writing_FLA[Student Number]),0),MATCH(VLOOKUP(H$7,'Writing Logic'!$J$7:$K$11,2,FALSE)&amp;" - Per "&amp;VLOOKUP($C$4,'Writing Logic'!$G$8:$H$14,2,FALSE),YES_Writing_ELA[#Headers],0)))),"")</f>
        <v/>
      </c>
    </row>
    <row r="432" spans="1:8" x14ac:dyDescent="0.25">
      <c r="A432" s="137"/>
      <c r="B432" s="137" t="str">
        <f>IFERROR(INDEX(_xlfn.VSTACK(YES_Writing_ELA[#Data], YES_Writing_FLA[#Data]),MATCH($A432,_xlfn.VSTACK(YES_Writing_ELA[Student Number], YES_Writing_FLA[Student Number]),0),MATCH(B$7,YES_Writing_ELA[#Headers],0)),"")</f>
        <v/>
      </c>
      <c r="C432" s="137" t="str">
        <f>IFERROR(INDEX(_xlfn.VSTACK(YES_Writing_ELA[#Data], YES_Writing_FLA[#Data]),MATCH($A432,_xlfn.VSTACK(YES_Writing_ELA[Student Number], YES_Writing_FLA[Student Number]),0),MATCH(C$7,YES_Writing_ELA[#Headers],0)),"")</f>
        <v/>
      </c>
      <c r="D432" s="138" t="str">
        <f>IFERROR(IF(IF(INDEX(_xlfn.VSTACK(YES_Writing_ELA[#Data],YES_Writing_FLA[#Data]),MATCH($A432,_xlfn.VSTACK(YES_Writing_ELA[Student Number],YES_Writing_FLA[Student Number]),0),MATCH(VLOOKUP(D$7,'Writing Logic'!$J$7:$K$11,2,FALSE)&amp;" - Per "&amp;VLOOKUP($C$4,'Writing Logic'!$G$8:$H$14,2,FALSE),YES_Writing_ELA[#Headers],0))=0,"",INDEX(_xlfn.VSTACK(YES_Writing_ELA[#Data],YES_Writing_FLA[#Data]),MATCH($A432,_xlfn.VSTACK(YES_Writing_ELA[Student Number],YES_Writing_FLA[Student Number]),0),MATCH(VLOOKUP(D$7,'Writing Logic'!$J$7:$K$11,2,FALSE)&amp;" - Per "&amp;VLOOKUP($C$4,'Writing Logic'!$G$8:$H$14,2,FALSE),YES_Writing_ELA[#Headers],0)))="INS",'Writing Logic'!$B$7,IF(INDEX(_xlfn.VSTACK(YES_Writing_ELA[#Data],YES_Writing_FLA[#Data]),MATCH($A432,_xlfn.VSTACK(YES_Writing_ELA[Student Number],YES_Writing_FLA[Student Number]),0),MATCH(VLOOKUP(D$7,'Writing Logic'!$J$7:$K$11,2,FALSE)&amp;" - Per "&amp;VLOOKUP($C$4,'Writing Logic'!$G$8:$H$14,2,FALSE),YES_Writing_ELA[#Headers],0))=0,"",INDEX(_xlfn.VSTACK(YES_Writing_ELA[#Data],YES_Writing_FLA[#Data]),MATCH($A432,_xlfn.VSTACK(YES_Writing_ELA[Student Number],YES_Writing_FLA[Student Number]),0),MATCH(VLOOKUP(D$7,'Writing Logic'!$J$7:$K$11,2,FALSE)&amp;" - Per "&amp;VLOOKUP($C$4,'Writing Logic'!$G$8:$H$14,2,FALSE),YES_Writing_ELA[#Headers],0)))),"")</f>
        <v/>
      </c>
      <c r="E432" s="138" t="str">
        <f>IFERROR(IF(IF(INDEX(_xlfn.VSTACK(YES_Writing_ELA[#Data],YES_Writing_FLA[#Data]),MATCH($A432,_xlfn.VSTACK(YES_Writing_ELA[Student Number],YES_Writing_FLA[Student Number]),0),MATCH(VLOOKUP(E$7,'Writing Logic'!$J$7:$K$11,2,FALSE)&amp;" - Per "&amp;VLOOKUP($C$4,'Writing Logic'!$G$8:$H$14,2,FALSE),YES_Writing_ELA[#Headers],0))=0,"",INDEX(_xlfn.VSTACK(YES_Writing_ELA[#Data],YES_Writing_FLA[#Data]),MATCH($A432,_xlfn.VSTACK(YES_Writing_ELA[Student Number],YES_Writing_FLA[Student Number]),0),MATCH(VLOOKUP(E$7,'Writing Logic'!$J$7:$K$11,2,FALSE)&amp;" - Per "&amp;VLOOKUP($C$4,'Writing Logic'!$G$8:$H$14,2,FALSE),YES_Writing_ELA[#Headers],0)))="INS",'Writing Logic'!$B$7,IF(INDEX(_xlfn.VSTACK(YES_Writing_ELA[#Data],YES_Writing_FLA[#Data]),MATCH($A432,_xlfn.VSTACK(YES_Writing_ELA[Student Number],YES_Writing_FLA[Student Number]),0),MATCH(VLOOKUP(E$7,'Writing Logic'!$J$7:$K$11,2,FALSE)&amp;" - Per "&amp;VLOOKUP($C$4,'Writing Logic'!$G$8:$H$14,2,FALSE),YES_Writing_ELA[#Headers],0))=0,"",INDEX(_xlfn.VSTACK(YES_Writing_ELA[#Data],YES_Writing_FLA[#Data]),MATCH($A432,_xlfn.VSTACK(YES_Writing_ELA[Student Number],YES_Writing_FLA[Student Number]),0),MATCH(VLOOKUP(E$7,'Writing Logic'!$J$7:$K$11,2,FALSE)&amp;" - Per "&amp;VLOOKUP($C$4,'Writing Logic'!$G$8:$H$14,2,FALSE),YES_Writing_ELA[#Headers],0)))),"")</f>
        <v/>
      </c>
      <c r="F432" s="138" t="str">
        <f>IFERROR(IF(IF(INDEX(_xlfn.VSTACK(YES_Writing_ELA[#Data],YES_Writing_FLA[#Data]),MATCH($A432,_xlfn.VSTACK(YES_Writing_ELA[Student Number],YES_Writing_FLA[Student Number]),0),MATCH(VLOOKUP(F$7,'Writing Logic'!$J$7:$K$11,2,FALSE)&amp;" - Per "&amp;VLOOKUP($C$4,'Writing Logic'!$G$8:$H$14,2,FALSE),YES_Writing_ELA[#Headers],0))=0,"",INDEX(_xlfn.VSTACK(YES_Writing_ELA[#Data],YES_Writing_FLA[#Data]),MATCH($A432,_xlfn.VSTACK(YES_Writing_ELA[Student Number],YES_Writing_FLA[Student Number]),0),MATCH(VLOOKUP(F$7,'Writing Logic'!$J$7:$K$11,2,FALSE)&amp;" - Per "&amp;VLOOKUP($C$4,'Writing Logic'!$G$8:$H$14,2,FALSE),YES_Writing_ELA[#Headers],0)))="INS",'Writing Logic'!$B$7,IF(INDEX(_xlfn.VSTACK(YES_Writing_ELA[#Data],YES_Writing_FLA[#Data]),MATCH($A432,_xlfn.VSTACK(YES_Writing_ELA[Student Number],YES_Writing_FLA[Student Number]),0),MATCH(VLOOKUP(F$7,'Writing Logic'!$J$7:$K$11,2,FALSE)&amp;" - Per "&amp;VLOOKUP($C$4,'Writing Logic'!$G$8:$H$14,2,FALSE),YES_Writing_ELA[#Headers],0))=0,"",INDEX(_xlfn.VSTACK(YES_Writing_ELA[#Data],YES_Writing_FLA[#Data]),MATCH($A432,_xlfn.VSTACK(YES_Writing_ELA[Student Number],YES_Writing_FLA[Student Number]),0),MATCH(VLOOKUP(F$7,'Writing Logic'!$J$7:$K$11,2,FALSE)&amp;" - Per "&amp;VLOOKUP($C$4,'Writing Logic'!$G$8:$H$14,2,FALSE),YES_Writing_ELA[#Headers],0)))),"")</f>
        <v/>
      </c>
      <c r="G432" s="138" t="str">
        <f>IFERROR(IF(IF(INDEX(_xlfn.VSTACK(YES_Writing_ELA[#Data],YES_Writing_FLA[#Data]),MATCH($A432,_xlfn.VSTACK(YES_Writing_ELA[Student Number],YES_Writing_FLA[Student Number]),0),MATCH(VLOOKUP(G$7,'Writing Logic'!$J$7:$K$11,2,FALSE)&amp;" - Per "&amp;VLOOKUP($C$4,'Writing Logic'!$G$8:$H$14,2,FALSE),YES_Writing_ELA[#Headers],0))=0,"",INDEX(_xlfn.VSTACK(YES_Writing_ELA[#Data],YES_Writing_FLA[#Data]),MATCH($A432,_xlfn.VSTACK(YES_Writing_ELA[Student Number],YES_Writing_FLA[Student Number]),0),MATCH(VLOOKUP(G$7,'Writing Logic'!$J$7:$K$11,2,FALSE)&amp;" - Per "&amp;VLOOKUP($C$4,'Writing Logic'!$G$8:$H$14,2,FALSE),YES_Writing_ELA[#Headers],0)))="INS",'Writing Logic'!$B$7,IF(INDEX(_xlfn.VSTACK(YES_Writing_ELA[#Data],YES_Writing_FLA[#Data]),MATCH($A432,_xlfn.VSTACK(YES_Writing_ELA[Student Number],YES_Writing_FLA[Student Number]),0),MATCH(VLOOKUP(G$7,'Writing Logic'!$J$7:$K$11,2,FALSE)&amp;" - Per "&amp;VLOOKUP($C$4,'Writing Logic'!$G$8:$H$14,2,FALSE),YES_Writing_ELA[#Headers],0))=0,"",INDEX(_xlfn.VSTACK(YES_Writing_ELA[#Data],YES_Writing_FLA[#Data]),MATCH($A432,_xlfn.VSTACK(YES_Writing_ELA[Student Number],YES_Writing_FLA[Student Number]),0),MATCH(VLOOKUP(G$7,'Writing Logic'!$J$7:$K$11,2,FALSE)&amp;" - Per "&amp;VLOOKUP($C$4,'Writing Logic'!$G$8:$H$14,2,FALSE),YES_Writing_ELA[#Headers],0)))),"")</f>
        <v/>
      </c>
      <c r="H432" s="138" t="str">
        <f>IFERROR(IF(IF(INDEX(_xlfn.VSTACK(YES_Writing_ELA[#Data],YES_Writing_FLA[#Data]),MATCH($A432,_xlfn.VSTACK(YES_Writing_ELA[Student Number],YES_Writing_FLA[Student Number]),0),MATCH(VLOOKUP(H$7,'Writing Logic'!$J$7:$K$11,2,FALSE)&amp;" - Per "&amp;VLOOKUP($C$4,'Writing Logic'!$G$8:$H$14,2,FALSE),YES_Writing_ELA[#Headers],0))=0,"",INDEX(_xlfn.VSTACK(YES_Writing_ELA[#Data],YES_Writing_FLA[#Data]),MATCH($A432,_xlfn.VSTACK(YES_Writing_ELA[Student Number],YES_Writing_FLA[Student Number]),0),MATCH(VLOOKUP(H$7,'Writing Logic'!$J$7:$K$11,2,FALSE)&amp;" - Per "&amp;VLOOKUP($C$4,'Writing Logic'!$G$8:$H$14,2,FALSE),YES_Writing_ELA[#Headers],0)))="INS",'Writing Logic'!$B$7,IF(INDEX(_xlfn.VSTACK(YES_Writing_ELA[#Data],YES_Writing_FLA[#Data]),MATCH($A432,_xlfn.VSTACK(YES_Writing_ELA[Student Number],YES_Writing_FLA[Student Number]),0),MATCH(VLOOKUP(H$7,'Writing Logic'!$J$7:$K$11,2,FALSE)&amp;" - Per "&amp;VLOOKUP($C$4,'Writing Logic'!$G$8:$H$14,2,FALSE),YES_Writing_ELA[#Headers],0))=0,"",INDEX(_xlfn.VSTACK(YES_Writing_ELA[#Data],YES_Writing_FLA[#Data]),MATCH($A432,_xlfn.VSTACK(YES_Writing_ELA[Student Number],YES_Writing_FLA[Student Number]),0),MATCH(VLOOKUP(H$7,'Writing Logic'!$J$7:$K$11,2,FALSE)&amp;" - Per "&amp;VLOOKUP($C$4,'Writing Logic'!$G$8:$H$14,2,FALSE),YES_Writing_ELA[#Headers],0)))),"")</f>
        <v/>
      </c>
    </row>
    <row r="433" spans="1:8" x14ac:dyDescent="0.25">
      <c r="A433" s="137"/>
      <c r="B433" s="137" t="str">
        <f>IFERROR(INDEX(_xlfn.VSTACK(YES_Writing_ELA[#Data], YES_Writing_FLA[#Data]),MATCH($A433,_xlfn.VSTACK(YES_Writing_ELA[Student Number], YES_Writing_FLA[Student Number]),0),MATCH(B$7,YES_Writing_ELA[#Headers],0)),"")</f>
        <v/>
      </c>
      <c r="C433" s="137" t="str">
        <f>IFERROR(INDEX(_xlfn.VSTACK(YES_Writing_ELA[#Data], YES_Writing_FLA[#Data]),MATCH($A433,_xlfn.VSTACK(YES_Writing_ELA[Student Number], YES_Writing_FLA[Student Number]),0),MATCH(C$7,YES_Writing_ELA[#Headers],0)),"")</f>
        <v/>
      </c>
      <c r="D433" s="138" t="str">
        <f>IFERROR(IF(IF(INDEX(_xlfn.VSTACK(YES_Writing_ELA[#Data],YES_Writing_FLA[#Data]),MATCH($A433,_xlfn.VSTACK(YES_Writing_ELA[Student Number],YES_Writing_FLA[Student Number]),0),MATCH(VLOOKUP(D$7,'Writing Logic'!$J$7:$K$11,2,FALSE)&amp;" - Per "&amp;VLOOKUP($C$4,'Writing Logic'!$G$8:$H$14,2,FALSE),YES_Writing_ELA[#Headers],0))=0,"",INDEX(_xlfn.VSTACK(YES_Writing_ELA[#Data],YES_Writing_FLA[#Data]),MATCH($A433,_xlfn.VSTACK(YES_Writing_ELA[Student Number],YES_Writing_FLA[Student Number]),0),MATCH(VLOOKUP(D$7,'Writing Logic'!$J$7:$K$11,2,FALSE)&amp;" - Per "&amp;VLOOKUP($C$4,'Writing Logic'!$G$8:$H$14,2,FALSE),YES_Writing_ELA[#Headers],0)))="INS",'Writing Logic'!$B$7,IF(INDEX(_xlfn.VSTACK(YES_Writing_ELA[#Data],YES_Writing_FLA[#Data]),MATCH($A433,_xlfn.VSTACK(YES_Writing_ELA[Student Number],YES_Writing_FLA[Student Number]),0),MATCH(VLOOKUP(D$7,'Writing Logic'!$J$7:$K$11,2,FALSE)&amp;" - Per "&amp;VLOOKUP($C$4,'Writing Logic'!$G$8:$H$14,2,FALSE),YES_Writing_ELA[#Headers],0))=0,"",INDEX(_xlfn.VSTACK(YES_Writing_ELA[#Data],YES_Writing_FLA[#Data]),MATCH($A433,_xlfn.VSTACK(YES_Writing_ELA[Student Number],YES_Writing_FLA[Student Number]),0),MATCH(VLOOKUP(D$7,'Writing Logic'!$J$7:$K$11,2,FALSE)&amp;" - Per "&amp;VLOOKUP($C$4,'Writing Logic'!$G$8:$H$14,2,FALSE),YES_Writing_ELA[#Headers],0)))),"")</f>
        <v/>
      </c>
      <c r="E433" s="138" t="str">
        <f>IFERROR(IF(IF(INDEX(_xlfn.VSTACK(YES_Writing_ELA[#Data],YES_Writing_FLA[#Data]),MATCH($A433,_xlfn.VSTACK(YES_Writing_ELA[Student Number],YES_Writing_FLA[Student Number]),0),MATCH(VLOOKUP(E$7,'Writing Logic'!$J$7:$K$11,2,FALSE)&amp;" - Per "&amp;VLOOKUP($C$4,'Writing Logic'!$G$8:$H$14,2,FALSE),YES_Writing_ELA[#Headers],0))=0,"",INDEX(_xlfn.VSTACK(YES_Writing_ELA[#Data],YES_Writing_FLA[#Data]),MATCH($A433,_xlfn.VSTACK(YES_Writing_ELA[Student Number],YES_Writing_FLA[Student Number]),0),MATCH(VLOOKUP(E$7,'Writing Logic'!$J$7:$K$11,2,FALSE)&amp;" - Per "&amp;VLOOKUP($C$4,'Writing Logic'!$G$8:$H$14,2,FALSE),YES_Writing_ELA[#Headers],0)))="INS",'Writing Logic'!$B$7,IF(INDEX(_xlfn.VSTACK(YES_Writing_ELA[#Data],YES_Writing_FLA[#Data]),MATCH($A433,_xlfn.VSTACK(YES_Writing_ELA[Student Number],YES_Writing_FLA[Student Number]),0),MATCH(VLOOKUP(E$7,'Writing Logic'!$J$7:$K$11,2,FALSE)&amp;" - Per "&amp;VLOOKUP($C$4,'Writing Logic'!$G$8:$H$14,2,FALSE),YES_Writing_ELA[#Headers],0))=0,"",INDEX(_xlfn.VSTACK(YES_Writing_ELA[#Data],YES_Writing_FLA[#Data]),MATCH($A433,_xlfn.VSTACK(YES_Writing_ELA[Student Number],YES_Writing_FLA[Student Number]),0),MATCH(VLOOKUP(E$7,'Writing Logic'!$J$7:$K$11,2,FALSE)&amp;" - Per "&amp;VLOOKUP($C$4,'Writing Logic'!$G$8:$H$14,2,FALSE),YES_Writing_ELA[#Headers],0)))),"")</f>
        <v/>
      </c>
      <c r="F433" s="138" t="str">
        <f>IFERROR(IF(IF(INDEX(_xlfn.VSTACK(YES_Writing_ELA[#Data],YES_Writing_FLA[#Data]),MATCH($A433,_xlfn.VSTACK(YES_Writing_ELA[Student Number],YES_Writing_FLA[Student Number]),0),MATCH(VLOOKUP(F$7,'Writing Logic'!$J$7:$K$11,2,FALSE)&amp;" - Per "&amp;VLOOKUP($C$4,'Writing Logic'!$G$8:$H$14,2,FALSE),YES_Writing_ELA[#Headers],0))=0,"",INDEX(_xlfn.VSTACK(YES_Writing_ELA[#Data],YES_Writing_FLA[#Data]),MATCH($A433,_xlfn.VSTACK(YES_Writing_ELA[Student Number],YES_Writing_FLA[Student Number]),0),MATCH(VLOOKUP(F$7,'Writing Logic'!$J$7:$K$11,2,FALSE)&amp;" - Per "&amp;VLOOKUP($C$4,'Writing Logic'!$G$8:$H$14,2,FALSE),YES_Writing_ELA[#Headers],0)))="INS",'Writing Logic'!$B$7,IF(INDEX(_xlfn.VSTACK(YES_Writing_ELA[#Data],YES_Writing_FLA[#Data]),MATCH($A433,_xlfn.VSTACK(YES_Writing_ELA[Student Number],YES_Writing_FLA[Student Number]),0),MATCH(VLOOKUP(F$7,'Writing Logic'!$J$7:$K$11,2,FALSE)&amp;" - Per "&amp;VLOOKUP($C$4,'Writing Logic'!$G$8:$H$14,2,FALSE),YES_Writing_ELA[#Headers],0))=0,"",INDEX(_xlfn.VSTACK(YES_Writing_ELA[#Data],YES_Writing_FLA[#Data]),MATCH($A433,_xlfn.VSTACK(YES_Writing_ELA[Student Number],YES_Writing_FLA[Student Number]),0),MATCH(VLOOKUP(F$7,'Writing Logic'!$J$7:$K$11,2,FALSE)&amp;" - Per "&amp;VLOOKUP($C$4,'Writing Logic'!$G$8:$H$14,2,FALSE),YES_Writing_ELA[#Headers],0)))),"")</f>
        <v/>
      </c>
      <c r="G433" s="138" t="str">
        <f>IFERROR(IF(IF(INDEX(_xlfn.VSTACK(YES_Writing_ELA[#Data],YES_Writing_FLA[#Data]),MATCH($A433,_xlfn.VSTACK(YES_Writing_ELA[Student Number],YES_Writing_FLA[Student Number]),0),MATCH(VLOOKUP(G$7,'Writing Logic'!$J$7:$K$11,2,FALSE)&amp;" - Per "&amp;VLOOKUP($C$4,'Writing Logic'!$G$8:$H$14,2,FALSE),YES_Writing_ELA[#Headers],0))=0,"",INDEX(_xlfn.VSTACK(YES_Writing_ELA[#Data],YES_Writing_FLA[#Data]),MATCH($A433,_xlfn.VSTACK(YES_Writing_ELA[Student Number],YES_Writing_FLA[Student Number]),0),MATCH(VLOOKUP(G$7,'Writing Logic'!$J$7:$K$11,2,FALSE)&amp;" - Per "&amp;VLOOKUP($C$4,'Writing Logic'!$G$8:$H$14,2,FALSE),YES_Writing_ELA[#Headers],0)))="INS",'Writing Logic'!$B$7,IF(INDEX(_xlfn.VSTACK(YES_Writing_ELA[#Data],YES_Writing_FLA[#Data]),MATCH($A433,_xlfn.VSTACK(YES_Writing_ELA[Student Number],YES_Writing_FLA[Student Number]),0),MATCH(VLOOKUP(G$7,'Writing Logic'!$J$7:$K$11,2,FALSE)&amp;" - Per "&amp;VLOOKUP($C$4,'Writing Logic'!$G$8:$H$14,2,FALSE),YES_Writing_ELA[#Headers],0))=0,"",INDEX(_xlfn.VSTACK(YES_Writing_ELA[#Data],YES_Writing_FLA[#Data]),MATCH($A433,_xlfn.VSTACK(YES_Writing_ELA[Student Number],YES_Writing_FLA[Student Number]),0),MATCH(VLOOKUP(G$7,'Writing Logic'!$J$7:$K$11,2,FALSE)&amp;" - Per "&amp;VLOOKUP($C$4,'Writing Logic'!$G$8:$H$14,2,FALSE),YES_Writing_ELA[#Headers],0)))),"")</f>
        <v/>
      </c>
      <c r="H433" s="138" t="str">
        <f>IFERROR(IF(IF(INDEX(_xlfn.VSTACK(YES_Writing_ELA[#Data],YES_Writing_FLA[#Data]),MATCH($A433,_xlfn.VSTACK(YES_Writing_ELA[Student Number],YES_Writing_FLA[Student Number]),0),MATCH(VLOOKUP(H$7,'Writing Logic'!$J$7:$K$11,2,FALSE)&amp;" - Per "&amp;VLOOKUP($C$4,'Writing Logic'!$G$8:$H$14,2,FALSE),YES_Writing_ELA[#Headers],0))=0,"",INDEX(_xlfn.VSTACK(YES_Writing_ELA[#Data],YES_Writing_FLA[#Data]),MATCH($A433,_xlfn.VSTACK(YES_Writing_ELA[Student Number],YES_Writing_FLA[Student Number]),0),MATCH(VLOOKUP(H$7,'Writing Logic'!$J$7:$K$11,2,FALSE)&amp;" - Per "&amp;VLOOKUP($C$4,'Writing Logic'!$G$8:$H$14,2,FALSE),YES_Writing_ELA[#Headers],0)))="INS",'Writing Logic'!$B$7,IF(INDEX(_xlfn.VSTACK(YES_Writing_ELA[#Data],YES_Writing_FLA[#Data]),MATCH($A433,_xlfn.VSTACK(YES_Writing_ELA[Student Number],YES_Writing_FLA[Student Number]),0),MATCH(VLOOKUP(H$7,'Writing Logic'!$J$7:$K$11,2,FALSE)&amp;" - Per "&amp;VLOOKUP($C$4,'Writing Logic'!$G$8:$H$14,2,FALSE),YES_Writing_ELA[#Headers],0))=0,"",INDEX(_xlfn.VSTACK(YES_Writing_ELA[#Data],YES_Writing_FLA[#Data]),MATCH($A433,_xlfn.VSTACK(YES_Writing_ELA[Student Number],YES_Writing_FLA[Student Number]),0),MATCH(VLOOKUP(H$7,'Writing Logic'!$J$7:$K$11,2,FALSE)&amp;" - Per "&amp;VLOOKUP($C$4,'Writing Logic'!$G$8:$H$14,2,FALSE),YES_Writing_ELA[#Headers],0)))),"")</f>
        <v/>
      </c>
    </row>
    <row r="434" spans="1:8" x14ac:dyDescent="0.25">
      <c r="A434" s="137"/>
      <c r="B434" s="137" t="str">
        <f>IFERROR(INDEX(_xlfn.VSTACK(YES_Writing_ELA[#Data], YES_Writing_FLA[#Data]),MATCH($A434,_xlfn.VSTACK(YES_Writing_ELA[Student Number], YES_Writing_FLA[Student Number]),0),MATCH(B$7,YES_Writing_ELA[#Headers],0)),"")</f>
        <v/>
      </c>
      <c r="C434" s="137" t="str">
        <f>IFERROR(INDEX(_xlfn.VSTACK(YES_Writing_ELA[#Data], YES_Writing_FLA[#Data]),MATCH($A434,_xlfn.VSTACK(YES_Writing_ELA[Student Number], YES_Writing_FLA[Student Number]),0),MATCH(C$7,YES_Writing_ELA[#Headers],0)),"")</f>
        <v/>
      </c>
      <c r="D434" s="138" t="str">
        <f>IFERROR(IF(IF(INDEX(_xlfn.VSTACK(YES_Writing_ELA[#Data],YES_Writing_FLA[#Data]),MATCH($A434,_xlfn.VSTACK(YES_Writing_ELA[Student Number],YES_Writing_FLA[Student Number]),0),MATCH(VLOOKUP(D$7,'Writing Logic'!$J$7:$K$11,2,FALSE)&amp;" - Per "&amp;VLOOKUP($C$4,'Writing Logic'!$G$8:$H$14,2,FALSE),YES_Writing_ELA[#Headers],0))=0,"",INDEX(_xlfn.VSTACK(YES_Writing_ELA[#Data],YES_Writing_FLA[#Data]),MATCH($A434,_xlfn.VSTACK(YES_Writing_ELA[Student Number],YES_Writing_FLA[Student Number]),0),MATCH(VLOOKUP(D$7,'Writing Logic'!$J$7:$K$11,2,FALSE)&amp;" - Per "&amp;VLOOKUP($C$4,'Writing Logic'!$G$8:$H$14,2,FALSE),YES_Writing_ELA[#Headers],0)))="INS",'Writing Logic'!$B$7,IF(INDEX(_xlfn.VSTACK(YES_Writing_ELA[#Data],YES_Writing_FLA[#Data]),MATCH($A434,_xlfn.VSTACK(YES_Writing_ELA[Student Number],YES_Writing_FLA[Student Number]),0),MATCH(VLOOKUP(D$7,'Writing Logic'!$J$7:$K$11,2,FALSE)&amp;" - Per "&amp;VLOOKUP($C$4,'Writing Logic'!$G$8:$H$14,2,FALSE),YES_Writing_ELA[#Headers],0))=0,"",INDEX(_xlfn.VSTACK(YES_Writing_ELA[#Data],YES_Writing_FLA[#Data]),MATCH($A434,_xlfn.VSTACK(YES_Writing_ELA[Student Number],YES_Writing_FLA[Student Number]),0),MATCH(VLOOKUP(D$7,'Writing Logic'!$J$7:$K$11,2,FALSE)&amp;" - Per "&amp;VLOOKUP($C$4,'Writing Logic'!$G$8:$H$14,2,FALSE),YES_Writing_ELA[#Headers],0)))),"")</f>
        <v/>
      </c>
      <c r="E434" s="138" t="str">
        <f>IFERROR(IF(IF(INDEX(_xlfn.VSTACK(YES_Writing_ELA[#Data],YES_Writing_FLA[#Data]),MATCH($A434,_xlfn.VSTACK(YES_Writing_ELA[Student Number],YES_Writing_FLA[Student Number]),0),MATCH(VLOOKUP(E$7,'Writing Logic'!$J$7:$K$11,2,FALSE)&amp;" - Per "&amp;VLOOKUP($C$4,'Writing Logic'!$G$8:$H$14,2,FALSE),YES_Writing_ELA[#Headers],0))=0,"",INDEX(_xlfn.VSTACK(YES_Writing_ELA[#Data],YES_Writing_FLA[#Data]),MATCH($A434,_xlfn.VSTACK(YES_Writing_ELA[Student Number],YES_Writing_FLA[Student Number]),0),MATCH(VLOOKUP(E$7,'Writing Logic'!$J$7:$K$11,2,FALSE)&amp;" - Per "&amp;VLOOKUP($C$4,'Writing Logic'!$G$8:$H$14,2,FALSE),YES_Writing_ELA[#Headers],0)))="INS",'Writing Logic'!$B$7,IF(INDEX(_xlfn.VSTACK(YES_Writing_ELA[#Data],YES_Writing_FLA[#Data]),MATCH($A434,_xlfn.VSTACK(YES_Writing_ELA[Student Number],YES_Writing_FLA[Student Number]),0),MATCH(VLOOKUP(E$7,'Writing Logic'!$J$7:$K$11,2,FALSE)&amp;" - Per "&amp;VLOOKUP($C$4,'Writing Logic'!$G$8:$H$14,2,FALSE),YES_Writing_ELA[#Headers],0))=0,"",INDEX(_xlfn.VSTACK(YES_Writing_ELA[#Data],YES_Writing_FLA[#Data]),MATCH($A434,_xlfn.VSTACK(YES_Writing_ELA[Student Number],YES_Writing_FLA[Student Number]),0),MATCH(VLOOKUP(E$7,'Writing Logic'!$J$7:$K$11,2,FALSE)&amp;" - Per "&amp;VLOOKUP($C$4,'Writing Logic'!$G$8:$H$14,2,FALSE),YES_Writing_ELA[#Headers],0)))),"")</f>
        <v/>
      </c>
      <c r="F434" s="138" t="str">
        <f>IFERROR(IF(IF(INDEX(_xlfn.VSTACK(YES_Writing_ELA[#Data],YES_Writing_FLA[#Data]),MATCH($A434,_xlfn.VSTACK(YES_Writing_ELA[Student Number],YES_Writing_FLA[Student Number]),0),MATCH(VLOOKUP(F$7,'Writing Logic'!$J$7:$K$11,2,FALSE)&amp;" - Per "&amp;VLOOKUP($C$4,'Writing Logic'!$G$8:$H$14,2,FALSE),YES_Writing_ELA[#Headers],0))=0,"",INDEX(_xlfn.VSTACK(YES_Writing_ELA[#Data],YES_Writing_FLA[#Data]),MATCH($A434,_xlfn.VSTACK(YES_Writing_ELA[Student Number],YES_Writing_FLA[Student Number]),0),MATCH(VLOOKUP(F$7,'Writing Logic'!$J$7:$K$11,2,FALSE)&amp;" - Per "&amp;VLOOKUP($C$4,'Writing Logic'!$G$8:$H$14,2,FALSE),YES_Writing_ELA[#Headers],0)))="INS",'Writing Logic'!$B$7,IF(INDEX(_xlfn.VSTACK(YES_Writing_ELA[#Data],YES_Writing_FLA[#Data]),MATCH($A434,_xlfn.VSTACK(YES_Writing_ELA[Student Number],YES_Writing_FLA[Student Number]),0),MATCH(VLOOKUP(F$7,'Writing Logic'!$J$7:$K$11,2,FALSE)&amp;" - Per "&amp;VLOOKUP($C$4,'Writing Logic'!$G$8:$H$14,2,FALSE),YES_Writing_ELA[#Headers],0))=0,"",INDEX(_xlfn.VSTACK(YES_Writing_ELA[#Data],YES_Writing_FLA[#Data]),MATCH($A434,_xlfn.VSTACK(YES_Writing_ELA[Student Number],YES_Writing_FLA[Student Number]),0),MATCH(VLOOKUP(F$7,'Writing Logic'!$J$7:$K$11,2,FALSE)&amp;" - Per "&amp;VLOOKUP($C$4,'Writing Logic'!$G$8:$H$14,2,FALSE),YES_Writing_ELA[#Headers],0)))),"")</f>
        <v/>
      </c>
      <c r="G434" s="138" t="str">
        <f>IFERROR(IF(IF(INDEX(_xlfn.VSTACK(YES_Writing_ELA[#Data],YES_Writing_FLA[#Data]),MATCH($A434,_xlfn.VSTACK(YES_Writing_ELA[Student Number],YES_Writing_FLA[Student Number]),0),MATCH(VLOOKUP(G$7,'Writing Logic'!$J$7:$K$11,2,FALSE)&amp;" - Per "&amp;VLOOKUP($C$4,'Writing Logic'!$G$8:$H$14,2,FALSE),YES_Writing_ELA[#Headers],0))=0,"",INDEX(_xlfn.VSTACK(YES_Writing_ELA[#Data],YES_Writing_FLA[#Data]),MATCH($A434,_xlfn.VSTACK(YES_Writing_ELA[Student Number],YES_Writing_FLA[Student Number]),0),MATCH(VLOOKUP(G$7,'Writing Logic'!$J$7:$K$11,2,FALSE)&amp;" - Per "&amp;VLOOKUP($C$4,'Writing Logic'!$G$8:$H$14,2,FALSE),YES_Writing_ELA[#Headers],0)))="INS",'Writing Logic'!$B$7,IF(INDEX(_xlfn.VSTACK(YES_Writing_ELA[#Data],YES_Writing_FLA[#Data]),MATCH($A434,_xlfn.VSTACK(YES_Writing_ELA[Student Number],YES_Writing_FLA[Student Number]),0),MATCH(VLOOKUP(G$7,'Writing Logic'!$J$7:$K$11,2,FALSE)&amp;" - Per "&amp;VLOOKUP($C$4,'Writing Logic'!$G$8:$H$14,2,FALSE),YES_Writing_ELA[#Headers],0))=0,"",INDEX(_xlfn.VSTACK(YES_Writing_ELA[#Data],YES_Writing_FLA[#Data]),MATCH($A434,_xlfn.VSTACK(YES_Writing_ELA[Student Number],YES_Writing_FLA[Student Number]),0),MATCH(VLOOKUP(G$7,'Writing Logic'!$J$7:$K$11,2,FALSE)&amp;" - Per "&amp;VLOOKUP($C$4,'Writing Logic'!$G$8:$H$14,2,FALSE),YES_Writing_ELA[#Headers],0)))),"")</f>
        <v/>
      </c>
      <c r="H434" s="138" t="str">
        <f>IFERROR(IF(IF(INDEX(_xlfn.VSTACK(YES_Writing_ELA[#Data],YES_Writing_FLA[#Data]),MATCH($A434,_xlfn.VSTACK(YES_Writing_ELA[Student Number],YES_Writing_FLA[Student Number]),0),MATCH(VLOOKUP(H$7,'Writing Logic'!$J$7:$K$11,2,FALSE)&amp;" - Per "&amp;VLOOKUP($C$4,'Writing Logic'!$G$8:$H$14,2,FALSE),YES_Writing_ELA[#Headers],0))=0,"",INDEX(_xlfn.VSTACK(YES_Writing_ELA[#Data],YES_Writing_FLA[#Data]),MATCH($A434,_xlfn.VSTACK(YES_Writing_ELA[Student Number],YES_Writing_FLA[Student Number]),0),MATCH(VLOOKUP(H$7,'Writing Logic'!$J$7:$K$11,2,FALSE)&amp;" - Per "&amp;VLOOKUP($C$4,'Writing Logic'!$G$8:$H$14,2,FALSE),YES_Writing_ELA[#Headers],0)))="INS",'Writing Logic'!$B$7,IF(INDEX(_xlfn.VSTACK(YES_Writing_ELA[#Data],YES_Writing_FLA[#Data]),MATCH($A434,_xlfn.VSTACK(YES_Writing_ELA[Student Number],YES_Writing_FLA[Student Number]),0),MATCH(VLOOKUP(H$7,'Writing Logic'!$J$7:$K$11,2,FALSE)&amp;" - Per "&amp;VLOOKUP($C$4,'Writing Logic'!$G$8:$H$14,2,FALSE),YES_Writing_ELA[#Headers],0))=0,"",INDEX(_xlfn.VSTACK(YES_Writing_ELA[#Data],YES_Writing_FLA[#Data]),MATCH($A434,_xlfn.VSTACK(YES_Writing_ELA[Student Number],YES_Writing_FLA[Student Number]),0),MATCH(VLOOKUP(H$7,'Writing Logic'!$J$7:$K$11,2,FALSE)&amp;" - Per "&amp;VLOOKUP($C$4,'Writing Logic'!$G$8:$H$14,2,FALSE),YES_Writing_ELA[#Headers],0)))),"")</f>
        <v/>
      </c>
    </row>
    <row r="435" spans="1:8" x14ac:dyDescent="0.25">
      <c r="A435" s="137"/>
      <c r="B435" s="137" t="str">
        <f>IFERROR(INDEX(_xlfn.VSTACK(YES_Writing_ELA[#Data], YES_Writing_FLA[#Data]),MATCH($A435,_xlfn.VSTACK(YES_Writing_ELA[Student Number], YES_Writing_FLA[Student Number]),0),MATCH(B$7,YES_Writing_ELA[#Headers],0)),"")</f>
        <v/>
      </c>
      <c r="C435" s="137" t="str">
        <f>IFERROR(INDEX(_xlfn.VSTACK(YES_Writing_ELA[#Data], YES_Writing_FLA[#Data]),MATCH($A435,_xlfn.VSTACK(YES_Writing_ELA[Student Number], YES_Writing_FLA[Student Number]),0),MATCH(C$7,YES_Writing_ELA[#Headers],0)),"")</f>
        <v/>
      </c>
      <c r="D435" s="138" t="str">
        <f>IFERROR(IF(IF(INDEX(_xlfn.VSTACK(YES_Writing_ELA[#Data],YES_Writing_FLA[#Data]),MATCH($A435,_xlfn.VSTACK(YES_Writing_ELA[Student Number],YES_Writing_FLA[Student Number]),0),MATCH(VLOOKUP(D$7,'Writing Logic'!$J$7:$K$11,2,FALSE)&amp;" - Per "&amp;VLOOKUP($C$4,'Writing Logic'!$G$8:$H$14,2,FALSE),YES_Writing_ELA[#Headers],0))=0,"",INDEX(_xlfn.VSTACK(YES_Writing_ELA[#Data],YES_Writing_FLA[#Data]),MATCH($A435,_xlfn.VSTACK(YES_Writing_ELA[Student Number],YES_Writing_FLA[Student Number]),0),MATCH(VLOOKUP(D$7,'Writing Logic'!$J$7:$K$11,2,FALSE)&amp;" - Per "&amp;VLOOKUP($C$4,'Writing Logic'!$G$8:$H$14,2,FALSE),YES_Writing_ELA[#Headers],0)))="INS",'Writing Logic'!$B$7,IF(INDEX(_xlfn.VSTACK(YES_Writing_ELA[#Data],YES_Writing_FLA[#Data]),MATCH($A435,_xlfn.VSTACK(YES_Writing_ELA[Student Number],YES_Writing_FLA[Student Number]),0),MATCH(VLOOKUP(D$7,'Writing Logic'!$J$7:$K$11,2,FALSE)&amp;" - Per "&amp;VLOOKUP($C$4,'Writing Logic'!$G$8:$H$14,2,FALSE),YES_Writing_ELA[#Headers],0))=0,"",INDEX(_xlfn.VSTACK(YES_Writing_ELA[#Data],YES_Writing_FLA[#Data]),MATCH($A435,_xlfn.VSTACK(YES_Writing_ELA[Student Number],YES_Writing_FLA[Student Number]),0),MATCH(VLOOKUP(D$7,'Writing Logic'!$J$7:$K$11,2,FALSE)&amp;" - Per "&amp;VLOOKUP($C$4,'Writing Logic'!$G$8:$H$14,2,FALSE),YES_Writing_ELA[#Headers],0)))),"")</f>
        <v/>
      </c>
      <c r="E435" s="138" t="str">
        <f>IFERROR(IF(IF(INDEX(_xlfn.VSTACK(YES_Writing_ELA[#Data],YES_Writing_FLA[#Data]),MATCH($A435,_xlfn.VSTACK(YES_Writing_ELA[Student Number],YES_Writing_FLA[Student Number]),0),MATCH(VLOOKUP(E$7,'Writing Logic'!$J$7:$K$11,2,FALSE)&amp;" - Per "&amp;VLOOKUP($C$4,'Writing Logic'!$G$8:$H$14,2,FALSE),YES_Writing_ELA[#Headers],0))=0,"",INDEX(_xlfn.VSTACK(YES_Writing_ELA[#Data],YES_Writing_FLA[#Data]),MATCH($A435,_xlfn.VSTACK(YES_Writing_ELA[Student Number],YES_Writing_FLA[Student Number]),0),MATCH(VLOOKUP(E$7,'Writing Logic'!$J$7:$K$11,2,FALSE)&amp;" - Per "&amp;VLOOKUP($C$4,'Writing Logic'!$G$8:$H$14,2,FALSE),YES_Writing_ELA[#Headers],0)))="INS",'Writing Logic'!$B$7,IF(INDEX(_xlfn.VSTACK(YES_Writing_ELA[#Data],YES_Writing_FLA[#Data]),MATCH($A435,_xlfn.VSTACK(YES_Writing_ELA[Student Number],YES_Writing_FLA[Student Number]),0),MATCH(VLOOKUP(E$7,'Writing Logic'!$J$7:$K$11,2,FALSE)&amp;" - Per "&amp;VLOOKUP($C$4,'Writing Logic'!$G$8:$H$14,2,FALSE),YES_Writing_ELA[#Headers],0))=0,"",INDEX(_xlfn.VSTACK(YES_Writing_ELA[#Data],YES_Writing_FLA[#Data]),MATCH($A435,_xlfn.VSTACK(YES_Writing_ELA[Student Number],YES_Writing_FLA[Student Number]),0),MATCH(VLOOKUP(E$7,'Writing Logic'!$J$7:$K$11,2,FALSE)&amp;" - Per "&amp;VLOOKUP($C$4,'Writing Logic'!$G$8:$H$14,2,FALSE),YES_Writing_ELA[#Headers],0)))),"")</f>
        <v/>
      </c>
      <c r="F435" s="138" t="str">
        <f>IFERROR(IF(IF(INDEX(_xlfn.VSTACK(YES_Writing_ELA[#Data],YES_Writing_FLA[#Data]),MATCH($A435,_xlfn.VSTACK(YES_Writing_ELA[Student Number],YES_Writing_FLA[Student Number]),0),MATCH(VLOOKUP(F$7,'Writing Logic'!$J$7:$K$11,2,FALSE)&amp;" - Per "&amp;VLOOKUP($C$4,'Writing Logic'!$G$8:$H$14,2,FALSE),YES_Writing_ELA[#Headers],0))=0,"",INDEX(_xlfn.VSTACK(YES_Writing_ELA[#Data],YES_Writing_FLA[#Data]),MATCH($A435,_xlfn.VSTACK(YES_Writing_ELA[Student Number],YES_Writing_FLA[Student Number]),0),MATCH(VLOOKUP(F$7,'Writing Logic'!$J$7:$K$11,2,FALSE)&amp;" - Per "&amp;VLOOKUP($C$4,'Writing Logic'!$G$8:$H$14,2,FALSE),YES_Writing_ELA[#Headers],0)))="INS",'Writing Logic'!$B$7,IF(INDEX(_xlfn.VSTACK(YES_Writing_ELA[#Data],YES_Writing_FLA[#Data]),MATCH($A435,_xlfn.VSTACK(YES_Writing_ELA[Student Number],YES_Writing_FLA[Student Number]),0),MATCH(VLOOKUP(F$7,'Writing Logic'!$J$7:$K$11,2,FALSE)&amp;" - Per "&amp;VLOOKUP($C$4,'Writing Logic'!$G$8:$H$14,2,FALSE),YES_Writing_ELA[#Headers],0))=0,"",INDEX(_xlfn.VSTACK(YES_Writing_ELA[#Data],YES_Writing_FLA[#Data]),MATCH($A435,_xlfn.VSTACK(YES_Writing_ELA[Student Number],YES_Writing_FLA[Student Number]),0),MATCH(VLOOKUP(F$7,'Writing Logic'!$J$7:$K$11,2,FALSE)&amp;" - Per "&amp;VLOOKUP($C$4,'Writing Logic'!$G$8:$H$14,2,FALSE),YES_Writing_ELA[#Headers],0)))),"")</f>
        <v/>
      </c>
      <c r="G435" s="138" t="str">
        <f>IFERROR(IF(IF(INDEX(_xlfn.VSTACK(YES_Writing_ELA[#Data],YES_Writing_FLA[#Data]),MATCH($A435,_xlfn.VSTACK(YES_Writing_ELA[Student Number],YES_Writing_FLA[Student Number]),0),MATCH(VLOOKUP(G$7,'Writing Logic'!$J$7:$K$11,2,FALSE)&amp;" - Per "&amp;VLOOKUP($C$4,'Writing Logic'!$G$8:$H$14,2,FALSE),YES_Writing_ELA[#Headers],0))=0,"",INDEX(_xlfn.VSTACK(YES_Writing_ELA[#Data],YES_Writing_FLA[#Data]),MATCH($A435,_xlfn.VSTACK(YES_Writing_ELA[Student Number],YES_Writing_FLA[Student Number]),0),MATCH(VLOOKUP(G$7,'Writing Logic'!$J$7:$K$11,2,FALSE)&amp;" - Per "&amp;VLOOKUP($C$4,'Writing Logic'!$G$8:$H$14,2,FALSE),YES_Writing_ELA[#Headers],0)))="INS",'Writing Logic'!$B$7,IF(INDEX(_xlfn.VSTACK(YES_Writing_ELA[#Data],YES_Writing_FLA[#Data]),MATCH($A435,_xlfn.VSTACK(YES_Writing_ELA[Student Number],YES_Writing_FLA[Student Number]),0),MATCH(VLOOKUP(G$7,'Writing Logic'!$J$7:$K$11,2,FALSE)&amp;" - Per "&amp;VLOOKUP($C$4,'Writing Logic'!$G$8:$H$14,2,FALSE),YES_Writing_ELA[#Headers],0))=0,"",INDEX(_xlfn.VSTACK(YES_Writing_ELA[#Data],YES_Writing_FLA[#Data]),MATCH($A435,_xlfn.VSTACK(YES_Writing_ELA[Student Number],YES_Writing_FLA[Student Number]),0),MATCH(VLOOKUP(G$7,'Writing Logic'!$J$7:$K$11,2,FALSE)&amp;" - Per "&amp;VLOOKUP($C$4,'Writing Logic'!$G$8:$H$14,2,FALSE),YES_Writing_ELA[#Headers],0)))),"")</f>
        <v/>
      </c>
      <c r="H435" s="138" t="str">
        <f>IFERROR(IF(IF(INDEX(_xlfn.VSTACK(YES_Writing_ELA[#Data],YES_Writing_FLA[#Data]),MATCH($A435,_xlfn.VSTACK(YES_Writing_ELA[Student Number],YES_Writing_FLA[Student Number]),0),MATCH(VLOOKUP(H$7,'Writing Logic'!$J$7:$K$11,2,FALSE)&amp;" - Per "&amp;VLOOKUP($C$4,'Writing Logic'!$G$8:$H$14,2,FALSE),YES_Writing_ELA[#Headers],0))=0,"",INDEX(_xlfn.VSTACK(YES_Writing_ELA[#Data],YES_Writing_FLA[#Data]),MATCH($A435,_xlfn.VSTACK(YES_Writing_ELA[Student Number],YES_Writing_FLA[Student Number]),0),MATCH(VLOOKUP(H$7,'Writing Logic'!$J$7:$K$11,2,FALSE)&amp;" - Per "&amp;VLOOKUP($C$4,'Writing Logic'!$G$8:$H$14,2,FALSE),YES_Writing_ELA[#Headers],0)))="INS",'Writing Logic'!$B$7,IF(INDEX(_xlfn.VSTACK(YES_Writing_ELA[#Data],YES_Writing_FLA[#Data]),MATCH($A435,_xlfn.VSTACK(YES_Writing_ELA[Student Number],YES_Writing_FLA[Student Number]),0),MATCH(VLOOKUP(H$7,'Writing Logic'!$J$7:$K$11,2,FALSE)&amp;" - Per "&amp;VLOOKUP($C$4,'Writing Logic'!$G$8:$H$14,2,FALSE),YES_Writing_ELA[#Headers],0))=0,"",INDEX(_xlfn.VSTACK(YES_Writing_ELA[#Data],YES_Writing_FLA[#Data]),MATCH($A435,_xlfn.VSTACK(YES_Writing_ELA[Student Number],YES_Writing_FLA[Student Number]),0),MATCH(VLOOKUP(H$7,'Writing Logic'!$J$7:$K$11,2,FALSE)&amp;" - Per "&amp;VLOOKUP($C$4,'Writing Logic'!$G$8:$H$14,2,FALSE),YES_Writing_ELA[#Headers],0)))),"")</f>
        <v/>
      </c>
    </row>
    <row r="436" spans="1:8" x14ac:dyDescent="0.25">
      <c r="A436" s="137"/>
      <c r="B436" s="137" t="str">
        <f>IFERROR(INDEX(_xlfn.VSTACK(YES_Writing_ELA[#Data], YES_Writing_FLA[#Data]),MATCH($A436,_xlfn.VSTACK(YES_Writing_ELA[Student Number], YES_Writing_FLA[Student Number]),0),MATCH(B$7,YES_Writing_ELA[#Headers],0)),"")</f>
        <v/>
      </c>
      <c r="C436" s="137" t="str">
        <f>IFERROR(INDEX(_xlfn.VSTACK(YES_Writing_ELA[#Data], YES_Writing_FLA[#Data]),MATCH($A436,_xlfn.VSTACK(YES_Writing_ELA[Student Number], YES_Writing_FLA[Student Number]),0),MATCH(C$7,YES_Writing_ELA[#Headers],0)),"")</f>
        <v/>
      </c>
      <c r="D436" s="138" t="str">
        <f>IFERROR(IF(IF(INDEX(_xlfn.VSTACK(YES_Writing_ELA[#Data],YES_Writing_FLA[#Data]),MATCH($A436,_xlfn.VSTACK(YES_Writing_ELA[Student Number],YES_Writing_FLA[Student Number]),0),MATCH(VLOOKUP(D$7,'Writing Logic'!$J$7:$K$11,2,FALSE)&amp;" - Per "&amp;VLOOKUP($C$4,'Writing Logic'!$G$8:$H$14,2,FALSE),YES_Writing_ELA[#Headers],0))=0,"",INDEX(_xlfn.VSTACK(YES_Writing_ELA[#Data],YES_Writing_FLA[#Data]),MATCH($A436,_xlfn.VSTACK(YES_Writing_ELA[Student Number],YES_Writing_FLA[Student Number]),0),MATCH(VLOOKUP(D$7,'Writing Logic'!$J$7:$K$11,2,FALSE)&amp;" - Per "&amp;VLOOKUP($C$4,'Writing Logic'!$G$8:$H$14,2,FALSE),YES_Writing_ELA[#Headers],0)))="INS",'Writing Logic'!$B$7,IF(INDEX(_xlfn.VSTACK(YES_Writing_ELA[#Data],YES_Writing_FLA[#Data]),MATCH($A436,_xlfn.VSTACK(YES_Writing_ELA[Student Number],YES_Writing_FLA[Student Number]),0),MATCH(VLOOKUP(D$7,'Writing Logic'!$J$7:$K$11,2,FALSE)&amp;" - Per "&amp;VLOOKUP($C$4,'Writing Logic'!$G$8:$H$14,2,FALSE),YES_Writing_ELA[#Headers],0))=0,"",INDEX(_xlfn.VSTACK(YES_Writing_ELA[#Data],YES_Writing_FLA[#Data]),MATCH($A436,_xlfn.VSTACK(YES_Writing_ELA[Student Number],YES_Writing_FLA[Student Number]),0),MATCH(VLOOKUP(D$7,'Writing Logic'!$J$7:$K$11,2,FALSE)&amp;" - Per "&amp;VLOOKUP($C$4,'Writing Logic'!$G$8:$H$14,2,FALSE),YES_Writing_ELA[#Headers],0)))),"")</f>
        <v/>
      </c>
      <c r="E436" s="138" t="str">
        <f>IFERROR(IF(IF(INDEX(_xlfn.VSTACK(YES_Writing_ELA[#Data],YES_Writing_FLA[#Data]),MATCH($A436,_xlfn.VSTACK(YES_Writing_ELA[Student Number],YES_Writing_FLA[Student Number]),0),MATCH(VLOOKUP(E$7,'Writing Logic'!$J$7:$K$11,2,FALSE)&amp;" - Per "&amp;VLOOKUP($C$4,'Writing Logic'!$G$8:$H$14,2,FALSE),YES_Writing_ELA[#Headers],0))=0,"",INDEX(_xlfn.VSTACK(YES_Writing_ELA[#Data],YES_Writing_FLA[#Data]),MATCH($A436,_xlfn.VSTACK(YES_Writing_ELA[Student Number],YES_Writing_FLA[Student Number]),0),MATCH(VLOOKUP(E$7,'Writing Logic'!$J$7:$K$11,2,FALSE)&amp;" - Per "&amp;VLOOKUP($C$4,'Writing Logic'!$G$8:$H$14,2,FALSE),YES_Writing_ELA[#Headers],0)))="INS",'Writing Logic'!$B$7,IF(INDEX(_xlfn.VSTACK(YES_Writing_ELA[#Data],YES_Writing_FLA[#Data]),MATCH($A436,_xlfn.VSTACK(YES_Writing_ELA[Student Number],YES_Writing_FLA[Student Number]),0),MATCH(VLOOKUP(E$7,'Writing Logic'!$J$7:$K$11,2,FALSE)&amp;" - Per "&amp;VLOOKUP($C$4,'Writing Logic'!$G$8:$H$14,2,FALSE),YES_Writing_ELA[#Headers],0))=0,"",INDEX(_xlfn.VSTACK(YES_Writing_ELA[#Data],YES_Writing_FLA[#Data]),MATCH($A436,_xlfn.VSTACK(YES_Writing_ELA[Student Number],YES_Writing_FLA[Student Number]),0),MATCH(VLOOKUP(E$7,'Writing Logic'!$J$7:$K$11,2,FALSE)&amp;" - Per "&amp;VLOOKUP($C$4,'Writing Logic'!$G$8:$H$14,2,FALSE),YES_Writing_ELA[#Headers],0)))),"")</f>
        <v/>
      </c>
      <c r="F436" s="138" t="str">
        <f>IFERROR(IF(IF(INDEX(_xlfn.VSTACK(YES_Writing_ELA[#Data],YES_Writing_FLA[#Data]),MATCH($A436,_xlfn.VSTACK(YES_Writing_ELA[Student Number],YES_Writing_FLA[Student Number]),0),MATCH(VLOOKUP(F$7,'Writing Logic'!$J$7:$K$11,2,FALSE)&amp;" - Per "&amp;VLOOKUP($C$4,'Writing Logic'!$G$8:$H$14,2,FALSE),YES_Writing_ELA[#Headers],0))=0,"",INDEX(_xlfn.VSTACK(YES_Writing_ELA[#Data],YES_Writing_FLA[#Data]),MATCH($A436,_xlfn.VSTACK(YES_Writing_ELA[Student Number],YES_Writing_FLA[Student Number]),0),MATCH(VLOOKUP(F$7,'Writing Logic'!$J$7:$K$11,2,FALSE)&amp;" - Per "&amp;VLOOKUP($C$4,'Writing Logic'!$G$8:$H$14,2,FALSE),YES_Writing_ELA[#Headers],0)))="INS",'Writing Logic'!$B$7,IF(INDEX(_xlfn.VSTACK(YES_Writing_ELA[#Data],YES_Writing_FLA[#Data]),MATCH($A436,_xlfn.VSTACK(YES_Writing_ELA[Student Number],YES_Writing_FLA[Student Number]),0),MATCH(VLOOKUP(F$7,'Writing Logic'!$J$7:$K$11,2,FALSE)&amp;" - Per "&amp;VLOOKUP($C$4,'Writing Logic'!$G$8:$H$14,2,FALSE),YES_Writing_ELA[#Headers],0))=0,"",INDEX(_xlfn.VSTACK(YES_Writing_ELA[#Data],YES_Writing_FLA[#Data]),MATCH($A436,_xlfn.VSTACK(YES_Writing_ELA[Student Number],YES_Writing_FLA[Student Number]),0),MATCH(VLOOKUP(F$7,'Writing Logic'!$J$7:$K$11,2,FALSE)&amp;" - Per "&amp;VLOOKUP($C$4,'Writing Logic'!$G$8:$H$14,2,FALSE),YES_Writing_ELA[#Headers],0)))),"")</f>
        <v/>
      </c>
      <c r="G436" s="138" t="str">
        <f>IFERROR(IF(IF(INDEX(_xlfn.VSTACK(YES_Writing_ELA[#Data],YES_Writing_FLA[#Data]),MATCH($A436,_xlfn.VSTACK(YES_Writing_ELA[Student Number],YES_Writing_FLA[Student Number]),0),MATCH(VLOOKUP(G$7,'Writing Logic'!$J$7:$K$11,2,FALSE)&amp;" - Per "&amp;VLOOKUP($C$4,'Writing Logic'!$G$8:$H$14,2,FALSE),YES_Writing_ELA[#Headers],0))=0,"",INDEX(_xlfn.VSTACK(YES_Writing_ELA[#Data],YES_Writing_FLA[#Data]),MATCH($A436,_xlfn.VSTACK(YES_Writing_ELA[Student Number],YES_Writing_FLA[Student Number]),0),MATCH(VLOOKUP(G$7,'Writing Logic'!$J$7:$K$11,2,FALSE)&amp;" - Per "&amp;VLOOKUP($C$4,'Writing Logic'!$G$8:$H$14,2,FALSE),YES_Writing_ELA[#Headers],0)))="INS",'Writing Logic'!$B$7,IF(INDEX(_xlfn.VSTACK(YES_Writing_ELA[#Data],YES_Writing_FLA[#Data]),MATCH($A436,_xlfn.VSTACK(YES_Writing_ELA[Student Number],YES_Writing_FLA[Student Number]),0),MATCH(VLOOKUP(G$7,'Writing Logic'!$J$7:$K$11,2,FALSE)&amp;" - Per "&amp;VLOOKUP($C$4,'Writing Logic'!$G$8:$H$14,2,FALSE),YES_Writing_ELA[#Headers],0))=0,"",INDEX(_xlfn.VSTACK(YES_Writing_ELA[#Data],YES_Writing_FLA[#Data]),MATCH($A436,_xlfn.VSTACK(YES_Writing_ELA[Student Number],YES_Writing_FLA[Student Number]),0),MATCH(VLOOKUP(G$7,'Writing Logic'!$J$7:$K$11,2,FALSE)&amp;" - Per "&amp;VLOOKUP($C$4,'Writing Logic'!$G$8:$H$14,2,FALSE),YES_Writing_ELA[#Headers],0)))),"")</f>
        <v/>
      </c>
      <c r="H436" s="138" t="str">
        <f>IFERROR(IF(IF(INDEX(_xlfn.VSTACK(YES_Writing_ELA[#Data],YES_Writing_FLA[#Data]),MATCH($A436,_xlfn.VSTACK(YES_Writing_ELA[Student Number],YES_Writing_FLA[Student Number]),0),MATCH(VLOOKUP(H$7,'Writing Logic'!$J$7:$K$11,2,FALSE)&amp;" - Per "&amp;VLOOKUP($C$4,'Writing Logic'!$G$8:$H$14,2,FALSE),YES_Writing_ELA[#Headers],0))=0,"",INDEX(_xlfn.VSTACK(YES_Writing_ELA[#Data],YES_Writing_FLA[#Data]),MATCH($A436,_xlfn.VSTACK(YES_Writing_ELA[Student Number],YES_Writing_FLA[Student Number]),0),MATCH(VLOOKUP(H$7,'Writing Logic'!$J$7:$K$11,2,FALSE)&amp;" - Per "&amp;VLOOKUP($C$4,'Writing Logic'!$G$8:$H$14,2,FALSE),YES_Writing_ELA[#Headers],0)))="INS",'Writing Logic'!$B$7,IF(INDEX(_xlfn.VSTACK(YES_Writing_ELA[#Data],YES_Writing_FLA[#Data]),MATCH($A436,_xlfn.VSTACK(YES_Writing_ELA[Student Number],YES_Writing_FLA[Student Number]),0),MATCH(VLOOKUP(H$7,'Writing Logic'!$J$7:$K$11,2,FALSE)&amp;" - Per "&amp;VLOOKUP($C$4,'Writing Logic'!$G$8:$H$14,2,FALSE),YES_Writing_ELA[#Headers],0))=0,"",INDEX(_xlfn.VSTACK(YES_Writing_ELA[#Data],YES_Writing_FLA[#Data]),MATCH($A436,_xlfn.VSTACK(YES_Writing_ELA[Student Number],YES_Writing_FLA[Student Number]),0),MATCH(VLOOKUP(H$7,'Writing Logic'!$J$7:$K$11,2,FALSE)&amp;" - Per "&amp;VLOOKUP($C$4,'Writing Logic'!$G$8:$H$14,2,FALSE),YES_Writing_ELA[#Headers],0)))),"")</f>
        <v/>
      </c>
    </row>
    <row r="437" spans="1:8" x14ac:dyDescent="0.25">
      <c r="A437" s="137"/>
      <c r="B437" s="137" t="str">
        <f>IFERROR(INDEX(_xlfn.VSTACK(YES_Writing_ELA[#Data], YES_Writing_FLA[#Data]),MATCH($A437,_xlfn.VSTACK(YES_Writing_ELA[Student Number], YES_Writing_FLA[Student Number]),0),MATCH(B$7,YES_Writing_ELA[#Headers],0)),"")</f>
        <v/>
      </c>
      <c r="C437" s="137" t="str">
        <f>IFERROR(INDEX(_xlfn.VSTACK(YES_Writing_ELA[#Data], YES_Writing_FLA[#Data]),MATCH($A437,_xlfn.VSTACK(YES_Writing_ELA[Student Number], YES_Writing_FLA[Student Number]),0),MATCH(C$7,YES_Writing_ELA[#Headers],0)),"")</f>
        <v/>
      </c>
      <c r="D437" s="138" t="str">
        <f>IFERROR(IF(IF(INDEX(_xlfn.VSTACK(YES_Writing_ELA[#Data],YES_Writing_FLA[#Data]),MATCH($A437,_xlfn.VSTACK(YES_Writing_ELA[Student Number],YES_Writing_FLA[Student Number]),0),MATCH(VLOOKUP(D$7,'Writing Logic'!$J$7:$K$11,2,FALSE)&amp;" - Per "&amp;VLOOKUP($C$4,'Writing Logic'!$G$8:$H$14,2,FALSE),YES_Writing_ELA[#Headers],0))=0,"",INDEX(_xlfn.VSTACK(YES_Writing_ELA[#Data],YES_Writing_FLA[#Data]),MATCH($A437,_xlfn.VSTACK(YES_Writing_ELA[Student Number],YES_Writing_FLA[Student Number]),0),MATCH(VLOOKUP(D$7,'Writing Logic'!$J$7:$K$11,2,FALSE)&amp;" - Per "&amp;VLOOKUP($C$4,'Writing Logic'!$G$8:$H$14,2,FALSE),YES_Writing_ELA[#Headers],0)))="INS",'Writing Logic'!$B$7,IF(INDEX(_xlfn.VSTACK(YES_Writing_ELA[#Data],YES_Writing_FLA[#Data]),MATCH($A437,_xlfn.VSTACK(YES_Writing_ELA[Student Number],YES_Writing_FLA[Student Number]),0),MATCH(VLOOKUP(D$7,'Writing Logic'!$J$7:$K$11,2,FALSE)&amp;" - Per "&amp;VLOOKUP($C$4,'Writing Logic'!$G$8:$H$14,2,FALSE),YES_Writing_ELA[#Headers],0))=0,"",INDEX(_xlfn.VSTACK(YES_Writing_ELA[#Data],YES_Writing_FLA[#Data]),MATCH($A437,_xlfn.VSTACK(YES_Writing_ELA[Student Number],YES_Writing_FLA[Student Number]),0),MATCH(VLOOKUP(D$7,'Writing Logic'!$J$7:$K$11,2,FALSE)&amp;" - Per "&amp;VLOOKUP($C$4,'Writing Logic'!$G$8:$H$14,2,FALSE),YES_Writing_ELA[#Headers],0)))),"")</f>
        <v/>
      </c>
      <c r="E437" s="138" t="str">
        <f>IFERROR(IF(IF(INDEX(_xlfn.VSTACK(YES_Writing_ELA[#Data],YES_Writing_FLA[#Data]),MATCH($A437,_xlfn.VSTACK(YES_Writing_ELA[Student Number],YES_Writing_FLA[Student Number]),0),MATCH(VLOOKUP(E$7,'Writing Logic'!$J$7:$K$11,2,FALSE)&amp;" - Per "&amp;VLOOKUP($C$4,'Writing Logic'!$G$8:$H$14,2,FALSE),YES_Writing_ELA[#Headers],0))=0,"",INDEX(_xlfn.VSTACK(YES_Writing_ELA[#Data],YES_Writing_FLA[#Data]),MATCH($A437,_xlfn.VSTACK(YES_Writing_ELA[Student Number],YES_Writing_FLA[Student Number]),0),MATCH(VLOOKUP(E$7,'Writing Logic'!$J$7:$K$11,2,FALSE)&amp;" - Per "&amp;VLOOKUP($C$4,'Writing Logic'!$G$8:$H$14,2,FALSE),YES_Writing_ELA[#Headers],0)))="INS",'Writing Logic'!$B$7,IF(INDEX(_xlfn.VSTACK(YES_Writing_ELA[#Data],YES_Writing_FLA[#Data]),MATCH($A437,_xlfn.VSTACK(YES_Writing_ELA[Student Number],YES_Writing_FLA[Student Number]),0),MATCH(VLOOKUP(E$7,'Writing Logic'!$J$7:$K$11,2,FALSE)&amp;" - Per "&amp;VLOOKUP($C$4,'Writing Logic'!$G$8:$H$14,2,FALSE),YES_Writing_ELA[#Headers],0))=0,"",INDEX(_xlfn.VSTACK(YES_Writing_ELA[#Data],YES_Writing_FLA[#Data]),MATCH($A437,_xlfn.VSTACK(YES_Writing_ELA[Student Number],YES_Writing_FLA[Student Number]),0),MATCH(VLOOKUP(E$7,'Writing Logic'!$J$7:$K$11,2,FALSE)&amp;" - Per "&amp;VLOOKUP($C$4,'Writing Logic'!$G$8:$H$14,2,FALSE),YES_Writing_ELA[#Headers],0)))),"")</f>
        <v/>
      </c>
      <c r="F437" s="138" t="str">
        <f>IFERROR(IF(IF(INDEX(_xlfn.VSTACK(YES_Writing_ELA[#Data],YES_Writing_FLA[#Data]),MATCH($A437,_xlfn.VSTACK(YES_Writing_ELA[Student Number],YES_Writing_FLA[Student Number]),0),MATCH(VLOOKUP(F$7,'Writing Logic'!$J$7:$K$11,2,FALSE)&amp;" - Per "&amp;VLOOKUP($C$4,'Writing Logic'!$G$8:$H$14,2,FALSE),YES_Writing_ELA[#Headers],0))=0,"",INDEX(_xlfn.VSTACK(YES_Writing_ELA[#Data],YES_Writing_FLA[#Data]),MATCH($A437,_xlfn.VSTACK(YES_Writing_ELA[Student Number],YES_Writing_FLA[Student Number]),0),MATCH(VLOOKUP(F$7,'Writing Logic'!$J$7:$K$11,2,FALSE)&amp;" - Per "&amp;VLOOKUP($C$4,'Writing Logic'!$G$8:$H$14,2,FALSE),YES_Writing_ELA[#Headers],0)))="INS",'Writing Logic'!$B$7,IF(INDEX(_xlfn.VSTACK(YES_Writing_ELA[#Data],YES_Writing_FLA[#Data]),MATCH($A437,_xlfn.VSTACK(YES_Writing_ELA[Student Number],YES_Writing_FLA[Student Number]),0),MATCH(VLOOKUP(F$7,'Writing Logic'!$J$7:$K$11,2,FALSE)&amp;" - Per "&amp;VLOOKUP($C$4,'Writing Logic'!$G$8:$H$14,2,FALSE),YES_Writing_ELA[#Headers],0))=0,"",INDEX(_xlfn.VSTACK(YES_Writing_ELA[#Data],YES_Writing_FLA[#Data]),MATCH($A437,_xlfn.VSTACK(YES_Writing_ELA[Student Number],YES_Writing_FLA[Student Number]),0),MATCH(VLOOKUP(F$7,'Writing Logic'!$J$7:$K$11,2,FALSE)&amp;" - Per "&amp;VLOOKUP($C$4,'Writing Logic'!$G$8:$H$14,2,FALSE),YES_Writing_ELA[#Headers],0)))),"")</f>
        <v/>
      </c>
      <c r="G437" s="138" t="str">
        <f>IFERROR(IF(IF(INDEX(_xlfn.VSTACK(YES_Writing_ELA[#Data],YES_Writing_FLA[#Data]),MATCH($A437,_xlfn.VSTACK(YES_Writing_ELA[Student Number],YES_Writing_FLA[Student Number]),0),MATCH(VLOOKUP(G$7,'Writing Logic'!$J$7:$K$11,2,FALSE)&amp;" - Per "&amp;VLOOKUP($C$4,'Writing Logic'!$G$8:$H$14,2,FALSE),YES_Writing_ELA[#Headers],0))=0,"",INDEX(_xlfn.VSTACK(YES_Writing_ELA[#Data],YES_Writing_FLA[#Data]),MATCH($A437,_xlfn.VSTACK(YES_Writing_ELA[Student Number],YES_Writing_FLA[Student Number]),0),MATCH(VLOOKUP(G$7,'Writing Logic'!$J$7:$K$11,2,FALSE)&amp;" - Per "&amp;VLOOKUP($C$4,'Writing Logic'!$G$8:$H$14,2,FALSE),YES_Writing_ELA[#Headers],0)))="INS",'Writing Logic'!$B$7,IF(INDEX(_xlfn.VSTACK(YES_Writing_ELA[#Data],YES_Writing_FLA[#Data]),MATCH($A437,_xlfn.VSTACK(YES_Writing_ELA[Student Number],YES_Writing_FLA[Student Number]),0),MATCH(VLOOKUP(G$7,'Writing Logic'!$J$7:$K$11,2,FALSE)&amp;" - Per "&amp;VLOOKUP($C$4,'Writing Logic'!$G$8:$H$14,2,FALSE),YES_Writing_ELA[#Headers],0))=0,"",INDEX(_xlfn.VSTACK(YES_Writing_ELA[#Data],YES_Writing_FLA[#Data]),MATCH($A437,_xlfn.VSTACK(YES_Writing_ELA[Student Number],YES_Writing_FLA[Student Number]),0),MATCH(VLOOKUP(G$7,'Writing Logic'!$J$7:$K$11,2,FALSE)&amp;" - Per "&amp;VLOOKUP($C$4,'Writing Logic'!$G$8:$H$14,2,FALSE),YES_Writing_ELA[#Headers],0)))),"")</f>
        <v/>
      </c>
      <c r="H437" s="138" t="str">
        <f>IFERROR(IF(IF(INDEX(_xlfn.VSTACK(YES_Writing_ELA[#Data],YES_Writing_FLA[#Data]),MATCH($A437,_xlfn.VSTACK(YES_Writing_ELA[Student Number],YES_Writing_FLA[Student Number]),0),MATCH(VLOOKUP(H$7,'Writing Logic'!$J$7:$K$11,2,FALSE)&amp;" - Per "&amp;VLOOKUP($C$4,'Writing Logic'!$G$8:$H$14,2,FALSE),YES_Writing_ELA[#Headers],0))=0,"",INDEX(_xlfn.VSTACK(YES_Writing_ELA[#Data],YES_Writing_FLA[#Data]),MATCH($A437,_xlfn.VSTACK(YES_Writing_ELA[Student Number],YES_Writing_FLA[Student Number]),0),MATCH(VLOOKUP(H$7,'Writing Logic'!$J$7:$K$11,2,FALSE)&amp;" - Per "&amp;VLOOKUP($C$4,'Writing Logic'!$G$8:$H$14,2,FALSE),YES_Writing_ELA[#Headers],0)))="INS",'Writing Logic'!$B$7,IF(INDEX(_xlfn.VSTACK(YES_Writing_ELA[#Data],YES_Writing_FLA[#Data]),MATCH($A437,_xlfn.VSTACK(YES_Writing_ELA[Student Number],YES_Writing_FLA[Student Number]),0),MATCH(VLOOKUP(H$7,'Writing Logic'!$J$7:$K$11,2,FALSE)&amp;" - Per "&amp;VLOOKUP($C$4,'Writing Logic'!$G$8:$H$14,2,FALSE),YES_Writing_ELA[#Headers],0))=0,"",INDEX(_xlfn.VSTACK(YES_Writing_ELA[#Data],YES_Writing_FLA[#Data]),MATCH($A437,_xlfn.VSTACK(YES_Writing_ELA[Student Number],YES_Writing_FLA[Student Number]),0),MATCH(VLOOKUP(H$7,'Writing Logic'!$J$7:$K$11,2,FALSE)&amp;" - Per "&amp;VLOOKUP($C$4,'Writing Logic'!$G$8:$H$14,2,FALSE),YES_Writing_ELA[#Headers],0)))),"")</f>
        <v/>
      </c>
    </row>
    <row r="438" spans="1:8" x14ac:dyDescent="0.25">
      <c r="A438" s="137"/>
      <c r="B438" s="137" t="str">
        <f>IFERROR(INDEX(_xlfn.VSTACK(YES_Writing_ELA[#Data], YES_Writing_FLA[#Data]),MATCH($A438,_xlfn.VSTACK(YES_Writing_ELA[Student Number], YES_Writing_FLA[Student Number]),0),MATCH(B$7,YES_Writing_ELA[#Headers],0)),"")</f>
        <v/>
      </c>
      <c r="C438" s="137" t="str">
        <f>IFERROR(INDEX(_xlfn.VSTACK(YES_Writing_ELA[#Data], YES_Writing_FLA[#Data]),MATCH($A438,_xlfn.VSTACK(YES_Writing_ELA[Student Number], YES_Writing_FLA[Student Number]),0),MATCH(C$7,YES_Writing_ELA[#Headers],0)),"")</f>
        <v/>
      </c>
      <c r="D438" s="138" t="str">
        <f>IFERROR(IF(IF(INDEX(_xlfn.VSTACK(YES_Writing_ELA[#Data],YES_Writing_FLA[#Data]),MATCH($A438,_xlfn.VSTACK(YES_Writing_ELA[Student Number],YES_Writing_FLA[Student Number]),0),MATCH(VLOOKUP(D$7,'Writing Logic'!$J$7:$K$11,2,FALSE)&amp;" - Per "&amp;VLOOKUP($C$4,'Writing Logic'!$G$8:$H$14,2,FALSE),YES_Writing_ELA[#Headers],0))=0,"",INDEX(_xlfn.VSTACK(YES_Writing_ELA[#Data],YES_Writing_FLA[#Data]),MATCH($A438,_xlfn.VSTACK(YES_Writing_ELA[Student Number],YES_Writing_FLA[Student Number]),0),MATCH(VLOOKUP(D$7,'Writing Logic'!$J$7:$K$11,2,FALSE)&amp;" - Per "&amp;VLOOKUP($C$4,'Writing Logic'!$G$8:$H$14,2,FALSE),YES_Writing_ELA[#Headers],0)))="INS",'Writing Logic'!$B$7,IF(INDEX(_xlfn.VSTACK(YES_Writing_ELA[#Data],YES_Writing_FLA[#Data]),MATCH($A438,_xlfn.VSTACK(YES_Writing_ELA[Student Number],YES_Writing_FLA[Student Number]),0),MATCH(VLOOKUP(D$7,'Writing Logic'!$J$7:$K$11,2,FALSE)&amp;" - Per "&amp;VLOOKUP($C$4,'Writing Logic'!$G$8:$H$14,2,FALSE),YES_Writing_ELA[#Headers],0))=0,"",INDEX(_xlfn.VSTACK(YES_Writing_ELA[#Data],YES_Writing_FLA[#Data]),MATCH($A438,_xlfn.VSTACK(YES_Writing_ELA[Student Number],YES_Writing_FLA[Student Number]),0),MATCH(VLOOKUP(D$7,'Writing Logic'!$J$7:$K$11,2,FALSE)&amp;" - Per "&amp;VLOOKUP($C$4,'Writing Logic'!$G$8:$H$14,2,FALSE),YES_Writing_ELA[#Headers],0)))),"")</f>
        <v/>
      </c>
      <c r="E438" s="138" t="str">
        <f>IFERROR(IF(IF(INDEX(_xlfn.VSTACK(YES_Writing_ELA[#Data],YES_Writing_FLA[#Data]),MATCH($A438,_xlfn.VSTACK(YES_Writing_ELA[Student Number],YES_Writing_FLA[Student Number]),0),MATCH(VLOOKUP(E$7,'Writing Logic'!$J$7:$K$11,2,FALSE)&amp;" - Per "&amp;VLOOKUP($C$4,'Writing Logic'!$G$8:$H$14,2,FALSE),YES_Writing_ELA[#Headers],0))=0,"",INDEX(_xlfn.VSTACK(YES_Writing_ELA[#Data],YES_Writing_FLA[#Data]),MATCH($A438,_xlfn.VSTACK(YES_Writing_ELA[Student Number],YES_Writing_FLA[Student Number]),0),MATCH(VLOOKUP(E$7,'Writing Logic'!$J$7:$K$11,2,FALSE)&amp;" - Per "&amp;VLOOKUP($C$4,'Writing Logic'!$G$8:$H$14,2,FALSE),YES_Writing_ELA[#Headers],0)))="INS",'Writing Logic'!$B$7,IF(INDEX(_xlfn.VSTACK(YES_Writing_ELA[#Data],YES_Writing_FLA[#Data]),MATCH($A438,_xlfn.VSTACK(YES_Writing_ELA[Student Number],YES_Writing_FLA[Student Number]),0),MATCH(VLOOKUP(E$7,'Writing Logic'!$J$7:$K$11,2,FALSE)&amp;" - Per "&amp;VLOOKUP($C$4,'Writing Logic'!$G$8:$H$14,2,FALSE),YES_Writing_ELA[#Headers],0))=0,"",INDEX(_xlfn.VSTACK(YES_Writing_ELA[#Data],YES_Writing_FLA[#Data]),MATCH($A438,_xlfn.VSTACK(YES_Writing_ELA[Student Number],YES_Writing_FLA[Student Number]),0),MATCH(VLOOKUP(E$7,'Writing Logic'!$J$7:$K$11,2,FALSE)&amp;" - Per "&amp;VLOOKUP($C$4,'Writing Logic'!$G$8:$H$14,2,FALSE),YES_Writing_ELA[#Headers],0)))),"")</f>
        <v/>
      </c>
      <c r="F438" s="138" t="str">
        <f>IFERROR(IF(IF(INDEX(_xlfn.VSTACK(YES_Writing_ELA[#Data],YES_Writing_FLA[#Data]),MATCH($A438,_xlfn.VSTACK(YES_Writing_ELA[Student Number],YES_Writing_FLA[Student Number]),0),MATCH(VLOOKUP(F$7,'Writing Logic'!$J$7:$K$11,2,FALSE)&amp;" - Per "&amp;VLOOKUP($C$4,'Writing Logic'!$G$8:$H$14,2,FALSE),YES_Writing_ELA[#Headers],0))=0,"",INDEX(_xlfn.VSTACK(YES_Writing_ELA[#Data],YES_Writing_FLA[#Data]),MATCH($A438,_xlfn.VSTACK(YES_Writing_ELA[Student Number],YES_Writing_FLA[Student Number]),0),MATCH(VLOOKUP(F$7,'Writing Logic'!$J$7:$K$11,2,FALSE)&amp;" - Per "&amp;VLOOKUP($C$4,'Writing Logic'!$G$8:$H$14,2,FALSE),YES_Writing_ELA[#Headers],0)))="INS",'Writing Logic'!$B$7,IF(INDEX(_xlfn.VSTACK(YES_Writing_ELA[#Data],YES_Writing_FLA[#Data]),MATCH($A438,_xlfn.VSTACK(YES_Writing_ELA[Student Number],YES_Writing_FLA[Student Number]),0),MATCH(VLOOKUP(F$7,'Writing Logic'!$J$7:$K$11,2,FALSE)&amp;" - Per "&amp;VLOOKUP($C$4,'Writing Logic'!$G$8:$H$14,2,FALSE),YES_Writing_ELA[#Headers],0))=0,"",INDEX(_xlfn.VSTACK(YES_Writing_ELA[#Data],YES_Writing_FLA[#Data]),MATCH($A438,_xlfn.VSTACK(YES_Writing_ELA[Student Number],YES_Writing_FLA[Student Number]),0),MATCH(VLOOKUP(F$7,'Writing Logic'!$J$7:$K$11,2,FALSE)&amp;" - Per "&amp;VLOOKUP($C$4,'Writing Logic'!$G$8:$H$14,2,FALSE),YES_Writing_ELA[#Headers],0)))),"")</f>
        <v/>
      </c>
      <c r="G438" s="138" t="str">
        <f>IFERROR(IF(IF(INDEX(_xlfn.VSTACK(YES_Writing_ELA[#Data],YES_Writing_FLA[#Data]),MATCH($A438,_xlfn.VSTACK(YES_Writing_ELA[Student Number],YES_Writing_FLA[Student Number]),0),MATCH(VLOOKUP(G$7,'Writing Logic'!$J$7:$K$11,2,FALSE)&amp;" - Per "&amp;VLOOKUP($C$4,'Writing Logic'!$G$8:$H$14,2,FALSE),YES_Writing_ELA[#Headers],0))=0,"",INDEX(_xlfn.VSTACK(YES_Writing_ELA[#Data],YES_Writing_FLA[#Data]),MATCH($A438,_xlfn.VSTACK(YES_Writing_ELA[Student Number],YES_Writing_FLA[Student Number]),0),MATCH(VLOOKUP(G$7,'Writing Logic'!$J$7:$K$11,2,FALSE)&amp;" - Per "&amp;VLOOKUP($C$4,'Writing Logic'!$G$8:$H$14,2,FALSE),YES_Writing_ELA[#Headers],0)))="INS",'Writing Logic'!$B$7,IF(INDEX(_xlfn.VSTACK(YES_Writing_ELA[#Data],YES_Writing_FLA[#Data]),MATCH($A438,_xlfn.VSTACK(YES_Writing_ELA[Student Number],YES_Writing_FLA[Student Number]),0),MATCH(VLOOKUP(G$7,'Writing Logic'!$J$7:$K$11,2,FALSE)&amp;" - Per "&amp;VLOOKUP($C$4,'Writing Logic'!$G$8:$H$14,2,FALSE),YES_Writing_ELA[#Headers],0))=0,"",INDEX(_xlfn.VSTACK(YES_Writing_ELA[#Data],YES_Writing_FLA[#Data]),MATCH($A438,_xlfn.VSTACK(YES_Writing_ELA[Student Number],YES_Writing_FLA[Student Number]),0),MATCH(VLOOKUP(G$7,'Writing Logic'!$J$7:$K$11,2,FALSE)&amp;" - Per "&amp;VLOOKUP($C$4,'Writing Logic'!$G$8:$H$14,2,FALSE),YES_Writing_ELA[#Headers],0)))),"")</f>
        <v/>
      </c>
      <c r="H438" s="138" t="str">
        <f>IFERROR(IF(IF(INDEX(_xlfn.VSTACK(YES_Writing_ELA[#Data],YES_Writing_FLA[#Data]),MATCH($A438,_xlfn.VSTACK(YES_Writing_ELA[Student Number],YES_Writing_FLA[Student Number]),0),MATCH(VLOOKUP(H$7,'Writing Logic'!$J$7:$K$11,2,FALSE)&amp;" - Per "&amp;VLOOKUP($C$4,'Writing Logic'!$G$8:$H$14,2,FALSE),YES_Writing_ELA[#Headers],0))=0,"",INDEX(_xlfn.VSTACK(YES_Writing_ELA[#Data],YES_Writing_FLA[#Data]),MATCH($A438,_xlfn.VSTACK(YES_Writing_ELA[Student Number],YES_Writing_FLA[Student Number]),0),MATCH(VLOOKUP(H$7,'Writing Logic'!$J$7:$K$11,2,FALSE)&amp;" - Per "&amp;VLOOKUP($C$4,'Writing Logic'!$G$8:$H$14,2,FALSE),YES_Writing_ELA[#Headers],0)))="INS",'Writing Logic'!$B$7,IF(INDEX(_xlfn.VSTACK(YES_Writing_ELA[#Data],YES_Writing_FLA[#Data]),MATCH($A438,_xlfn.VSTACK(YES_Writing_ELA[Student Number],YES_Writing_FLA[Student Number]),0),MATCH(VLOOKUP(H$7,'Writing Logic'!$J$7:$K$11,2,FALSE)&amp;" - Per "&amp;VLOOKUP($C$4,'Writing Logic'!$G$8:$H$14,2,FALSE),YES_Writing_ELA[#Headers],0))=0,"",INDEX(_xlfn.VSTACK(YES_Writing_ELA[#Data],YES_Writing_FLA[#Data]),MATCH($A438,_xlfn.VSTACK(YES_Writing_ELA[Student Number],YES_Writing_FLA[Student Number]),0),MATCH(VLOOKUP(H$7,'Writing Logic'!$J$7:$K$11,2,FALSE)&amp;" - Per "&amp;VLOOKUP($C$4,'Writing Logic'!$G$8:$H$14,2,FALSE),YES_Writing_ELA[#Headers],0)))),"")</f>
        <v/>
      </c>
    </row>
    <row r="439" spans="1:8" x14ac:dyDescent="0.25">
      <c r="A439" s="137"/>
      <c r="B439" s="137" t="str">
        <f>IFERROR(INDEX(_xlfn.VSTACK(YES_Writing_ELA[#Data], YES_Writing_FLA[#Data]),MATCH($A439,_xlfn.VSTACK(YES_Writing_ELA[Student Number], YES_Writing_FLA[Student Number]),0),MATCH(B$7,YES_Writing_ELA[#Headers],0)),"")</f>
        <v/>
      </c>
      <c r="C439" s="137" t="str">
        <f>IFERROR(INDEX(_xlfn.VSTACK(YES_Writing_ELA[#Data], YES_Writing_FLA[#Data]),MATCH($A439,_xlfn.VSTACK(YES_Writing_ELA[Student Number], YES_Writing_FLA[Student Number]),0),MATCH(C$7,YES_Writing_ELA[#Headers],0)),"")</f>
        <v/>
      </c>
      <c r="D439" s="138" t="str">
        <f>IFERROR(IF(IF(INDEX(_xlfn.VSTACK(YES_Writing_ELA[#Data],YES_Writing_FLA[#Data]),MATCH($A439,_xlfn.VSTACK(YES_Writing_ELA[Student Number],YES_Writing_FLA[Student Number]),0),MATCH(VLOOKUP(D$7,'Writing Logic'!$J$7:$K$11,2,FALSE)&amp;" - Per "&amp;VLOOKUP($C$4,'Writing Logic'!$G$8:$H$14,2,FALSE),YES_Writing_ELA[#Headers],0))=0,"",INDEX(_xlfn.VSTACK(YES_Writing_ELA[#Data],YES_Writing_FLA[#Data]),MATCH($A439,_xlfn.VSTACK(YES_Writing_ELA[Student Number],YES_Writing_FLA[Student Number]),0),MATCH(VLOOKUP(D$7,'Writing Logic'!$J$7:$K$11,2,FALSE)&amp;" - Per "&amp;VLOOKUP($C$4,'Writing Logic'!$G$8:$H$14,2,FALSE),YES_Writing_ELA[#Headers],0)))="INS",'Writing Logic'!$B$7,IF(INDEX(_xlfn.VSTACK(YES_Writing_ELA[#Data],YES_Writing_FLA[#Data]),MATCH($A439,_xlfn.VSTACK(YES_Writing_ELA[Student Number],YES_Writing_FLA[Student Number]),0),MATCH(VLOOKUP(D$7,'Writing Logic'!$J$7:$K$11,2,FALSE)&amp;" - Per "&amp;VLOOKUP($C$4,'Writing Logic'!$G$8:$H$14,2,FALSE),YES_Writing_ELA[#Headers],0))=0,"",INDEX(_xlfn.VSTACK(YES_Writing_ELA[#Data],YES_Writing_FLA[#Data]),MATCH($A439,_xlfn.VSTACK(YES_Writing_ELA[Student Number],YES_Writing_FLA[Student Number]),0),MATCH(VLOOKUP(D$7,'Writing Logic'!$J$7:$K$11,2,FALSE)&amp;" - Per "&amp;VLOOKUP($C$4,'Writing Logic'!$G$8:$H$14,2,FALSE),YES_Writing_ELA[#Headers],0)))),"")</f>
        <v/>
      </c>
      <c r="E439" s="138" t="str">
        <f>IFERROR(IF(IF(INDEX(_xlfn.VSTACK(YES_Writing_ELA[#Data],YES_Writing_FLA[#Data]),MATCH($A439,_xlfn.VSTACK(YES_Writing_ELA[Student Number],YES_Writing_FLA[Student Number]),0),MATCH(VLOOKUP(E$7,'Writing Logic'!$J$7:$K$11,2,FALSE)&amp;" - Per "&amp;VLOOKUP($C$4,'Writing Logic'!$G$8:$H$14,2,FALSE),YES_Writing_ELA[#Headers],0))=0,"",INDEX(_xlfn.VSTACK(YES_Writing_ELA[#Data],YES_Writing_FLA[#Data]),MATCH($A439,_xlfn.VSTACK(YES_Writing_ELA[Student Number],YES_Writing_FLA[Student Number]),0),MATCH(VLOOKUP(E$7,'Writing Logic'!$J$7:$K$11,2,FALSE)&amp;" - Per "&amp;VLOOKUP($C$4,'Writing Logic'!$G$8:$H$14,2,FALSE),YES_Writing_ELA[#Headers],0)))="INS",'Writing Logic'!$B$7,IF(INDEX(_xlfn.VSTACK(YES_Writing_ELA[#Data],YES_Writing_FLA[#Data]),MATCH($A439,_xlfn.VSTACK(YES_Writing_ELA[Student Number],YES_Writing_FLA[Student Number]),0),MATCH(VLOOKUP(E$7,'Writing Logic'!$J$7:$K$11,2,FALSE)&amp;" - Per "&amp;VLOOKUP($C$4,'Writing Logic'!$G$8:$H$14,2,FALSE),YES_Writing_ELA[#Headers],0))=0,"",INDEX(_xlfn.VSTACK(YES_Writing_ELA[#Data],YES_Writing_FLA[#Data]),MATCH($A439,_xlfn.VSTACK(YES_Writing_ELA[Student Number],YES_Writing_FLA[Student Number]),0),MATCH(VLOOKUP(E$7,'Writing Logic'!$J$7:$K$11,2,FALSE)&amp;" - Per "&amp;VLOOKUP($C$4,'Writing Logic'!$G$8:$H$14,2,FALSE),YES_Writing_ELA[#Headers],0)))),"")</f>
        <v/>
      </c>
      <c r="F439" s="138" t="str">
        <f>IFERROR(IF(IF(INDEX(_xlfn.VSTACK(YES_Writing_ELA[#Data],YES_Writing_FLA[#Data]),MATCH($A439,_xlfn.VSTACK(YES_Writing_ELA[Student Number],YES_Writing_FLA[Student Number]),0),MATCH(VLOOKUP(F$7,'Writing Logic'!$J$7:$K$11,2,FALSE)&amp;" - Per "&amp;VLOOKUP($C$4,'Writing Logic'!$G$8:$H$14,2,FALSE),YES_Writing_ELA[#Headers],0))=0,"",INDEX(_xlfn.VSTACK(YES_Writing_ELA[#Data],YES_Writing_FLA[#Data]),MATCH($A439,_xlfn.VSTACK(YES_Writing_ELA[Student Number],YES_Writing_FLA[Student Number]),0),MATCH(VLOOKUP(F$7,'Writing Logic'!$J$7:$K$11,2,FALSE)&amp;" - Per "&amp;VLOOKUP($C$4,'Writing Logic'!$G$8:$H$14,2,FALSE),YES_Writing_ELA[#Headers],0)))="INS",'Writing Logic'!$B$7,IF(INDEX(_xlfn.VSTACK(YES_Writing_ELA[#Data],YES_Writing_FLA[#Data]),MATCH($A439,_xlfn.VSTACK(YES_Writing_ELA[Student Number],YES_Writing_FLA[Student Number]),0),MATCH(VLOOKUP(F$7,'Writing Logic'!$J$7:$K$11,2,FALSE)&amp;" - Per "&amp;VLOOKUP($C$4,'Writing Logic'!$G$8:$H$14,2,FALSE),YES_Writing_ELA[#Headers],0))=0,"",INDEX(_xlfn.VSTACK(YES_Writing_ELA[#Data],YES_Writing_FLA[#Data]),MATCH($A439,_xlfn.VSTACK(YES_Writing_ELA[Student Number],YES_Writing_FLA[Student Number]),0),MATCH(VLOOKUP(F$7,'Writing Logic'!$J$7:$K$11,2,FALSE)&amp;" - Per "&amp;VLOOKUP($C$4,'Writing Logic'!$G$8:$H$14,2,FALSE),YES_Writing_ELA[#Headers],0)))),"")</f>
        <v/>
      </c>
      <c r="G439" s="138" t="str">
        <f>IFERROR(IF(IF(INDEX(_xlfn.VSTACK(YES_Writing_ELA[#Data],YES_Writing_FLA[#Data]),MATCH($A439,_xlfn.VSTACK(YES_Writing_ELA[Student Number],YES_Writing_FLA[Student Number]),0),MATCH(VLOOKUP(G$7,'Writing Logic'!$J$7:$K$11,2,FALSE)&amp;" - Per "&amp;VLOOKUP($C$4,'Writing Logic'!$G$8:$H$14,2,FALSE),YES_Writing_ELA[#Headers],0))=0,"",INDEX(_xlfn.VSTACK(YES_Writing_ELA[#Data],YES_Writing_FLA[#Data]),MATCH($A439,_xlfn.VSTACK(YES_Writing_ELA[Student Number],YES_Writing_FLA[Student Number]),0),MATCH(VLOOKUP(G$7,'Writing Logic'!$J$7:$K$11,2,FALSE)&amp;" - Per "&amp;VLOOKUP($C$4,'Writing Logic'!$G$8:$H$14,2,FALSE),YES_Writing_ELA[#Headers],0)))="INS",'Writing Logic'!$B$7,IF(INDEX(_xlfn.VSTACK(YES_Writing_ELA[#Data],YES_Writing_FLA[#Data]),MATCH($A439,_xlfn.VSTACK(YES_Writing_ELA[Student Number],YES_Writing_FLA[Student Number]),0),MATCH(VLOOKUP(G$7,'Writing Logic'!$J$7:$K$11,2,FALSE)&amp;" - Per "&amp;VLOOKUP($C$4,'Writing Logic'!$G$8:$H$14,2,FALSE),YES_Writing_ELA[#Headers],0))=0,"",INDEX(_xlfn.VSTACK(YES_Writing_ELA[#Data],YES_Writing_FLA[#Data]),MATCH($A439,_xlfn.VSTACK(YES_Writing_ELA[Student Number],YES_Writing_FLA[Student Number]),0),MATCH(VLOOKUP(G$7,'Writing Logic'!$J$7:$K$11,2,FALSE)&amp;" - Per "&amp;VLOOKUP($C$4,'Writing Logic'!$G$8:$H$14,2,FALSE),YES_Writing_ELA[#Headers],0)))),"")</f>
        <v/>
      </c>
      <c r="H439" s="138" t="str">
        <f>IFERROR(IF(IF(INDEX(_xlfn.VSTACK(YES_Writing_ELA[#Data],YES_Writing_FLA[#Data]),MATCH($A439,_xlfn.VSTACK(YES_Writing_ELA[Student Number],YES_Writing_FLA[Student Number]),0),MATCH(VLOOKUP(H$7,'Writing Logic'!$J$7:$K$11,2,FALSE)&amp;" - Per "&amp;VLOOKUP($C$4,'Writing Logic'!$G$8:$H$14,2,FALSE),YES_Writing_ELA[#Headers],0))=0,"",INDEX(_xlfn.VSTACK(YES_Writing_ELA[#Data],YES_Writing_FLA[#Data]),MATCH($A439,_xlfn.VSTACK(YES_Writing_ELA[Student Number],YES_Writing_FLA[Student Number]),0),MATCH(VLOOKUP(H$7,'Writing Logic'!$J$7:$K$11,2,FALSE)&amp;" - Per "&amp;VLOOKUP($C$4,'Writing Logic'!$G$8:$H$14,2,FALSE),YES_Writing_ELA[#Headers],0)))="INS",'Writing Logic'!$B$7,IF(INDEX(_xlfn.VSTACK(YES_Writing_ELA[#Data],YES_Writing_FLA[#Data]),MATCH($A439,_xlfn.VSTACK(YES_Writing_ELA[Student Number],YES_Writing_FLA[Student Number]),0),MATCH(VLOOKUP(H$7,'Writing Logic'!$J$7:$K$11,2,FALSE)&amp;" - Per "&amp;VLOOKUP($C$4,'Writing Logic'!$G$8:$H$14,2,FALSE),YES_Writing_ELA[#Headers],0))=0,"",INDEX(_xlfn.VSTACK(YES_Writing_ELA[#Data],YES_Writing_FLA[#Data]),MATCH($A439,_xlfn.VSTACK(YES_Writing_ELA[Student Number],YES_Writing_FLA[Student Number]),0),MATCH(VLOOKUP(H$7,'Writing Logic'!$J$7:$K$11,2,FALSE)&amp;" - Per "&amp;VLOOKUP($C$4,'Writing Logic'!$G$8:$H$14,2,FALSE),YES_Writing_ELA[#Headers],0)))),"")</f>
        <v/>
      </c>
    </row>
    <row r="440" spans="1:8" x14ac:dyDescent="0.25">
      <c r="A440" s="137"/>
      <c r="B440" s="137" t="str">
        <f>IFERROR(INDEX(_xlfn.VSTACK(YES_Writing_ELA[#Data], YES_Writing_FLA[#Data]),MATCH($A440,_xlfn.VSTACK(YES_Writing_ELA[Student Number], YES_Writing_FLA[Student Number]),0),MATCH(B$7,YES_Writing_ELA[#Headers],0)),"")</f>
        <v/>
      </c>
      <c r="C440" s="137" t="str">
        <f>IFERROR(INDEX(_xlfn.VSTACK(YES_Writing_ELA[#Data], YES_Writing_FLA[#Data]),MATCH($A440,_xlfn.VSTACK(YES_Writing_ELA[Student Number], YES_Writing_FLA[Student Number]),0),MATCH(C$7,YES_Writing_ELA[#Headers],0)),"")</f>
        <v/>
      </c>
      <c r="D440" s="138" t="str">
        <f>IFERROR(IF(IF(INDEX(_xlfn.VSTACK(YES_Writing_ELA[#Data],YES_Writing_FLA[#Data]),MATCH($A440,_xlfn.VSTACK(YES_Writing_ELA[Student Number],YES_Writing_FLA[Student Number]),0),MATCH(VLOOKUP(D$7,'Writing Logic'!$J$7:$K$11,2,FALSE)&amp;" - Per "&amp;VLOOKUP($C$4,'Writing Logic'!$G$8:$H$14,2,FALSE),YES_Writing_ELA[#Headers],0))=0,"",INDEX(_xlfn.VSTACK(YES_Writing_ELA[#Data],YES_Writing_FLA[#Data]),MATCH($A440,_xlfn.VSTACK(YES_Writing_ELA[Student Number],YES_Writing_FLA[Student Number]),0),MATCH(VLOOKUP(D$7,'Writing Logic'!$J$7:$K$11,2,FALSE)&amp;" - Per "&amp;VLOOKUP($C$4,'Writing Logic'!$G$8:$H$14,2,FALSE),YES_Writing_ELA[#Headers],0)))="INS",'Writing Logic'!$B$7,IF(INDEX(_xlfn.VSTACK(YES_Writing_ELA[#Data],YES_Writing_FLA[#Data]),MATCH($A440,_xlfn.VSTACK(YES_Writing_ELA[Student Number],YES_Writing_FLA[Student Number]),0),MATCH(VLOOKUP(D$7,'Writing Logic'!$J$7:$K$11,2,FALSE)&amp;" - Per "&amp;VLOOKUP($C$4,'Writing Logic'!$G$8:$H$14,2,FALSE),YES_Writing_ELA[#Headers],0))=0,"",INDEX(_xlfn.VSTACK(YES_Writing_ELA[#Data],YES_Writing_FLA[#Data]),MATCH($A440,_xlfn.VSTACK(YES_Writing_ELA[Student Number],YES_Writing_FLA[Student Number]),0),MATCH(VLOOKUP(D$7,'Writing Logic'!$J$7:$K$11,2,FALSE)&amp;" - Per "&amp;VLOOKUP($C$4,'Writing Logic'!$G$8:$H$14,2,FALSE),YES_Writing_ELA[#Headers],0)))),"")</f>
        <v/>
      </c>
      <c r="E440" s="138" t="str">
        <f>IFERROR(IF(IF(INDEX(_xlfn.VSTACK(YES_Writing_ELA[#Data],YES_Writing_FLA[#Data]),MATCH($A440,_xlfn.VSTACK(YES_Writing_ELA[Student Number],YES_Writing_FLA[Student Number]),0),MATCH(VLOOKUP(E$7,'Writing Logic'!$J$7:$K$11,2,FALSE)&amp;" - Per "&amp;VLOOKUP($C$4,'Writing Logic'!$G$8:$H$14,2,FALSE),YES_Writing_ELA[#Headers],0))=0,"",INDEX(_xlfn.VSTACK(YES_Writing_ELA[#Data],YES_Writing_FLA[#Data]),MATCH($A440,_xlfn.VSTACK(YES_Writing_ELA[Student Number],YES_Writing_FLA[Student Number]),0),MATCH(VLOOKUP(E$7,'Writing Logic'!$J$7:$K$11,2,FALSE)&amp;" - Per "&amp;VLOOKUP($C$4,'Writing Logic'!$G$8:$H$14,2,FALSE),YES_Writing_ELA[#Headers],0)))="INS",'Writing Logic'!$B$7,IF(INDEX(_xlfn.VSTACK(YES_Writing_ELA[#Data],YES_Writing_FLA[#Data]),MATCH($A440,_xlfn.VSTACK(YES_Writing_ELA[Student Number],YES_Writing_FLA[Student Number]),0),MATCH(VLOOKUP(E$7,'Writing Logic'!$J$7:$K$11,2,FALSE)&amp;" - Per "&amp;VLOOKUP($C$4,'Writing Logic'!$G$8:$H$14,2,FALSE),YES_Writing_ELA[#Headers],0))=0,"",INDEX(_xlfn.VSTACK(YES_Writing_ELA[#Data],YES_Writing_FLA[#Data]),MATCH($A440,_xlfn.VSTACK(YES_Writing_ELA[Student Number],YES_Writing_FLA[Student Number]),0),MATCH(VLOOKUP(E$7,'Writing Logic'!$J$7:$K$11,2,FALSE)&amp;" - Per "&amp;VLOOKUP($C$4,'Writing Logic'!$G$8:$H$14,2,FALSE),YES_Writing_ELA[#Headers],0)))),"")</f>
        <v/>
      </c>
      <c r="F440" s="138" t="str">
        <f>IFERROR(IF(IF(INDEX(_xlfn.VSTACK(YES_Writing_ELA[#Data],YES_Writing_FLA[#Data]),MATCH($A440,_xlfn.VSTACK(YES_Writing_ELA[Student Number],YES_Writing_FLA[Student Number]),0),MATCH(VLOOKUP(F$7,'Writing Logic'!$J$7:$K$11,2,FALSE)&amp;" - Per "&amp;VLOOKUP($C$4,'Writing Logic'!$G$8:$H$14,2,FALSE),YES_Writing_ELA[#Headers],0))=0,"",INDEX(_xlfn.VSTACK(YES_Writing_ELA[#Data],YES_Writing_FLA[#Data]),MATCH($A440,_xlfn.VSTACK(YES_Writing_ELA[Student Number],YES_Writing_FLA[Student Number]),0),MATCH(VLOOKUP(F$7,'Writing Logic'!$J$7:$K$11,2,FALSE)&amp;" - Per "&amp;VLOOKUP($C$4,'Writing Logic'!$G$8:$H$14,2,FALSE),YES_Writing_ELA[#Headers],0)))="INS",'Writing Logic'!$B$7,IF(INDEX(_xlfn.VSTACK(YES_Writing_ELA[#Data],YES_Writing_FLA[#Data]),MATCH($A440,_xlfn.VSTACK(YES_Writing_ELA[Student Number],YES_Writing_FLA[Student Number]),0),MATCH(VLOOKUP(F$7,'Writing Logic'!$J$7:$K$11,2,FALSE)&amp;" - Per "&amp;VLOOKUP($C$4,'Writing Logic'!$G$8:$H$14,2,FALSE),YES_Writing_ELA[#Headers],0))=0,"",INDEX(_xlfn.VSTACK(YES_Writing_ELA[#Data],YES_Writing_FLA[#Data]),MATCH($A440,_xlfn.VSTACK(YES_Writing_ELA[Student Number],YES_Writing_FLA[Student Number]),0),MATCH(VLOOKUP(F$7,'Writing Logic'!$J$7:$K$11,2,FALSE)&amp;" - Per "&amp;VLOOKUP($C$4,'Writing Logic'!$G$8:$H$14,2,FALSE),YES_Writing_ELA[#Headers],0)))),"")</f>
        <v/>
      </c>
      <c r="G440" s="138" t="str">
        <f>IFERROR(IF(IF(INDEX(_xlfn.VSTACK(YES_Writing_ELA[#Data],YES_Writing_FLA[#Data]),MATCH($A440,_xlfn.VSTACK(YES_Writing_ELA[Student Number],YES_Writing_FLA[Student Number]),0),MATCH(VLOOKUP(G$7,'Writing Logic'!$J$7:$K$11,2,FALSE)&amp;" - Per "&amp;VLOOKUP($C$4,'Writing Logic'!$G$8:$H$14,2,FALSE),YES_Writing_ELA[#Headers],0))=0,"",INDEX(_xlfn.VSTACK(YES_Writing_ELA[#Data],YES_Writing_FLA[#Data]),MATCH($A440,_xlfn.VSTACK(YES_Writing_ELA[Student Number],YES_Writing_FLA[Student Number]),0),MATCH(VLOOKUP(G$7,'Writing Logic'!$J$7:$K$11,2,FALSE)&amp;" - Per "&amp;VLOOKUP($C$4,'Writing Logic'!$G$8:$H$14,2,FALSE),YES_Writing_ELA[#Headers],0)))="INS",'Writing Logic'!$B$7,IF(INDEX(_xlfn.VSTACK(YES_Writing_ELA[#Data],YES_Writing_FLA[#Data]),MATCH($A440,_xlfn.VSTACK(YES_Writing_ELA[Student Number],YES_Writing_FLA[Student Number]),0),MATCH(VLOOKUP(G$7,'Writing Logic'!$J$7:$K$11,2,FALSE)&amp;" - Per "&amp;VLOOKUP($C$4,'Writing Logic'!$G$8:$H$14,2,FALSE),YES_Writing_ELA[#Headers],0))=0,"",INDEX(_xlfn.VSTACK(YES_Writing_ELA[#Data],YES_Writing_FLA[#Data]),MATCH($A440,_xlfn.VSTACK(YES_Writing_ELA[Student Number],YES_Writing_FLA[Student Number]),0),MATCH(VLOOKUP(G$7,'Writing Logic'!$J$7:$K$11,2,FALSE)&amp;" - Per "&amp;VLOOKUP($C$4,'Writing Logic'!$G$8:$H$14,2,FALSE),YES_Writing_ELA[#Headers],0)))),"")</f>
        <v/>
      </c>
      <c r="H440" s="138" t="str">
        <f>IFERROR(IF(IF(INDEX(_xlfn.VSTACK(YES_Writing_ELA[#Data],YES_Writing_FLA[#Data]),MATCH($A440,_xlfn.VSTACK(YES_Writing_ELA[Student Number],YES_Writing_FLA[Student Number]),0),MATCH(VLOOKUP(H$7,'Writing Logic'!$J$7:$K$11,2,FALSE)&amp;" - Per "&amp;VLOOKUP($C$4,'Writing Logic'!$G$8:$H$14,2,FALSE),YES_Writing_ELA[#Headers],0))=0,"",INDEX(_xlfn.VSTACK(YES_Writing_ELA[#Data],YES_Writing_FLA[#Data]),MATCH($A440,_xlfn.VSTACK(YES_Writing_ELA[Student Number],YES_Writing_FLA[Student Number]),0),MATCH(VLOOKUP(H$7,'Writing Logic'!$J$7:$K$11,2,FALSE)&amp;" - Per "&amp;VLOOKUP($C$4,'Writing Logic'!$G$8:$H$14,2,FALSE),YES_Writing_ELA[#Headers],0)))="INS",'Writing Logic'!$B$7,IF(INDEX(_xlfn.VSTACK(YES_Writing_ELA[#Data],YES_Writing_FLA[#Data]),MATCH($A440,_xlfn.VSTACK(YES_Writing_ELA[Student Number],YES_Writing_FLA[Student Number]),0),MATCH(VLOOKUP(H$7,'Writing Logic'!$J$7:$K$11,2,FALSE)&amp;" - Per "&amp;VLOOKUP($C$4,'Writing Logic'!$G$8:$H$14,2,FALSE),YES_Writing_ELA[#Headers],0))=0,"",INDEX(_xlfn.VSTACK(YES_Writing_ELA[#Data],YES_Writing_FLA[#Data]),MATCH($A440,_xlfn.VSTACK(YES_Writing_ELA[Student Number],YES_Writing_FLA[Student Number]),0),MATCH(VLOOKUP(H$7,'Writing Logic'!$J$7:$K$11,2,FALSE)&amp;" - Per "&amp;VLOOKUP($C$4,'Writing Logic'!$G$8:$H$14,2,FALSE),YES_Writing_ELA[#Headers],0)))),"")</f>
        <v/>
      </c>
    </row>
    <row r="441" spans="1:8" x14ac:dyDescent="0.25">
      <c r="A441" s="137"/>
      <c r="B441" s="137" t="str">
        <f>IFERROR(INDEX(_xlfn.VSTACK(YES_Writing_ELA[#Data], YES_Writing_FLA[#Data]),MATCH($A441,_xlfn.VSTACK(YES_Writing_ELA[Student Number], YES_Writing_FLA[Student Number]),0),MATCH(B$7,YES_Writing_ELA[#Headers],0)),"")</f>
        <v/>
      </c>
      <c r="C441" s="137" t="str">
        <f>IFERROR(INDEX(_xlfn.VSTACK(YES_Writing_ELA[#Data], YES_Writing_FLA[#Data]),MATCH($A441,_xlfn.VSTACK(YES_Writing_ELA[Student Number], YES_Writing_FLA[Student Number]),0),MATCH(C$7,YES_Writing_ELA[#Headers],0)),"")</f>
        <v/>
      </c>
      <c r="D441" s="138" t="str">
        <f>IFERROR(IF(IF(INDEX(_xlfn.VSTACK(YES_Writing_ELA[#Data],YES_Writing_FLA[#Data]),MATCH($A441,_xlfn.VSTACK(YES_Writing_ELA[Student Number],YES_Writing_FLA[Student Number]),0),MATCH(VLOOKUP(D$7,'Writing Logic'!$J$7:$K$11,2,FALSE)&amp;" - Per "&amp;VLOOKUP($C$4,'Writing Logic'!$G$8:$H$14,2,FALSE),YES_Writing_ELA[#Headers],0))=0,"",INDEX(_xlfn.VSTACK(YES_Writing_ELA[#Data],YES_Writing_FLA[#Data]),MATCH($A441,_xlfn.VSTACK(YES_Writing_ELA[Student Number],YES_Writing_FLA[Student Number]),0),MATCH(VLOOKUP(D$7,'Writing Logic'!$J$7:$K$11,2,FALSE)&amp;" - Per "&amp;VLOOKUP($C$4,'Writing Logic'!$G$8:$H$14,2,FALSE),YES_Writing_ELA[#Headers],0)))="INS",'Writing Logic'!$B$7,IF(INDEX(_xlfn.VSTACK(YES_Writing_ELA[#Data],YES_Writing_FLA[#Data]),MATCH($A441,_xlfn.VSTACK(YES_Writing_ELA[Student Number],YES_Writing_FLA[Student Number]),0),MATCH(VLOOKUP(D$7,'Writing Logic'!$J$7:$K$11,2,FALSE)&amp;" - Per "&amp;VLOOKUP($C$4,'Writing Logic'!$G$8:$H$14,2,FALSE),YES_Writing_ELA[#Headers],0))=0,"",INDEX(_xlfn.VSTACK(YES_Writing_ELA[#Data],YES_Writing_FLA[#Data]),MATCH($A441,_xlfn.VSTACK(YES_Writing_ELA[Student Number],YES_Writing_FLA[Student Number]),0),MATCH(VLOOKUP(D$7,'Writing Logic'!$J$7:$K$11,2,FALSE)&amp;" - Per "&amp;VLOOKUP($C$4,'Writing Logic'!$G$8:$H$14,2,FALSE),YES_Writing_ELA[#Headers],0)))),"")</f>
        <v/>
      </c>
      <c r="E441" s="138" t="str">
        <f>IFERROR(IF(IF(INDEX(_xlfn.VSTACK(YES_Writing_ELA[#Data],YES_Writing_FLA[#Data]),MATCH($A441,_xlfn.VSTACK(YES_Writing_ELA[Student Number],YES_Writing_FLA[Student Number]),0),MATCH(VLOOKUP(E$7,'Writing Logic'!$J$7:$K$11,2,FALSE)&amp;" - Per "&amp;VLOOKUP($C$4,'Writing Logic'!$G$8:$H$14,2,FALSE),YES_Writing_ELA[#Headers],0))=0,"",INDEX(_xlfn.VSTACK(YES_Writing_ELA[#Data],YES_Writing_FLA[#Data]),MATCH($A441,_xlfn.VSTACK(YES_Writing_ELA[Student Number],YES_Writing_FLA[Student Number]),0),MATCH(VLOOKUP(E$7,'Writing Logic'!$J$7:$K$11,2,FALSE)&amp;" - Per "&amp;VLOOKUP($C$4,'Writing Logic'!$G$8:$H$14,2,FALSE),YES_Writing_ELA[#Headers],0)))="INS",'Writing Logic'!$B$7,IF(INDEX(_xlfn.VSTACK(YES_Writing_ELA[#Data],YES_Writing_FLA[#Data]),MATCH($A441,_xlfn.VSTACK(YES_Writing_ELA[Student Number],YES_Writing_FLA[Student Number]),0),MATCH(VLOOKUP(E$7,'Writing Logic'!$J$7:$K$11,2,FALSE)&amp;" - Per "&amp;VLOOKUP($C$4,'Writing Logic'!$G$8:$H$14,2,FALSE),YES_Writing_ELA[#Headers],0))=0,"",INDEX(_xlfn.VSTACK(YES_Writing_ELA[#Data],YES_Writing_FLA[#Data]),MATCH($A441,_xlfn.VSTACK(YES_Writing_ELA[Student Number],YES_Writing_FLA[Student Number]),0),MATCH(VLOOKUP(E$7,'Writing Logic'!$J$7:$K$11,2,FALSE)&amp;" - Per "&amp;VLOOKUP($C$4,'Writing Logic'!$G$8:$H$14,2,FALSE),YES_Writing_ELA[#Headers],0)))),"")</f>
        <v/>
      </c>
      <c r="F441" s="138" t="str">
        <f>IFERROR(IF(IF(INDEX(_xlfn.VSTACK(YES_Writing_ELA[#Data],YES_Writing_FLA[#Data]),MATCH($A441,_xlfn.VSTACK(YES_Writing_ELA[Student Number],YES_Writing_FLA[Student Number]),0),MATCH(VLOOKUP(F$7,'Writing Logic'!$J$7:$K$11,2,FALSE)&amp;" - Per "&amp;VLOOKUP($C$4,'Writing Logic'!$G$8:$H$14,2,FALSE),YES_Writing_ELA[#Headers],0))=0,"",INDEX(_xlfn.VSTACK(YES_Writing_ELA[#Data],YES_Writing_FLA[#Data]),MATCH($A441,_xlfn.VSTACK(YES_Writing_ELA[Student Number],YES_Writing_FLA[Student Number]),0),MATCH(VLOOKUP(F$7,'Writing Logic'!$J$7:$K$11,2,FALSE)&amp;" - Per "&amp;VLOOKUP($C$4,'Writing Logic'!$G$8:$H$14,2,FALSE),YES_Writing_ELA[#Headers],0)))="INS",'Writing Logic'!$B$7,IF(INDEX(_xlfn.VSTACK(YES_Writing_ELA[#Data],YES_Writing_FLA[#Data]),MATCH($A441,_xlfn.VSTACK(YES_Writing_ELA[Student Number],YES_Writing_FLA[Student Number]),0),MATCH(VLOOKUP(F$7,'Writing Logic'!$J$7:$K$11,2,FALSE)&amp;" - Per "&amp;VLOOKUP($C$4,'Writing Logic'!$G$8:$H$14,2,FALSE),YES_Writing_ELA[#Headers],0))=0,"",INDEX(_xlfn.VSTACK(YES_Writing_ELA[#Data],YES_Writing_FLA[#Data]),MATCH($A441,_xlfn.VSTACK(YES_Writing_ELA[Student Number],YES_Writing_FLA[Student Number]),0),MATCH(VLOOKUP(F$7,'Writing Logic'!$J$7:$K$11,2,FALSE)&amp;" - Per "&amp;VLOOKUP($C$4,'Writing Logic'!$G$8:$H$14,2,FALSE),YES_Writing_ELA[#Headers],0)))),"")</f>
        <v/>
      </c>
      <c r="G441" s="138" t="str">
        <f>IFERROR(IF(IF(INDEX(_xlfn.VSTACK(YES_Writing_ELA[#Data],YES_Writing_FLA[#Data]),MATCH($A441,_xlfn.VSTACK(YES_Writing_ELA[Student Number],YES_Writing_FLA[Student Number]),0),MATCH(VLOOKUP(G$7,'Writing Logic'!$J$7:$K$11,2,FALSE)&amp;" - Per "&amp;VLOOKUP($C$4,'Writing Logic'!$G$8:$H$14,2,FALSE),YES_Writing_ELA[#Headers],0))=0,"",INDEX(_xlfn.VSTACK(YES_Writing_ELA[#Data],YES_Writing_FLA[#Data]),MATCH($A441,_xlfn.VSTACK(YES_Writing_ELA[Student Number],YES_Writing_FLA[Student Number]),0),MATCH(VLOOKUP(G$7,'Writing Logic'!$J$7:$K$11,2,FALSE)&amp;" - Per "&amp;VLOOKUP($C$4,'Writing Logic'!$G$8:$H$14,2,FALSE),YES_Writing_ELA[#Headers],0)))="INS",'Writing Logic'!$B$7,IF(INDEX(_xlfn.VSTACK(YES_Writing_ELA[#Data],YES_Writing_FLA[#Data]),MATCH($A441,_xlfn.VSTACK(YES_Writing_ELA[Student Number],YES_Writing_FLA[Student Number]),0),MATCH(VLOOKUP(G$7,'Writing Logic'!$J$7:$K$11,2,FALSE)&amp;" - Per "&amp;VLOOKUP($C$4,'Writing Logic'!$G$8:$H$14,2,FALSE),YES_Writing_ELA[#Headers],0))=0,"",INDEX(_xlfn.VSTACK(YES_Writing_ELA[#Data],YES_Writing_FLA[#Data]),MATCH($A441,_xlfn.VSTACK(YES_Writing_ELA[Student Number],YES_Writing_FLA[Student Number]),0),MATCH(VLOOKUP(G$7,'Writing Logic'!$J$7:$K$11,2,FALSE)&amp;" - Per "&amp;VLOOKUP($C$4,'Writing Logic'!$G$8:$H$14,2,FALSE),YES_Writing_ELA[#Headers],0)))),"")</f>
        <v/>
      </c>
      <c r="H441" s="138" t="str">
        <f>IFERROR(IF(IF(INDEX(_xlfn.VSTACK(YES_Writing_ELA[#Data],YES_Writing_FLA[#Data]),MATCH($A441,_xlfn.VSTACK(YES_Writing_ELA[Student Number],YES_Writing_FLA[Student Number]),0),MATCH(VLOOKUP(H$7,'Writing Logic'!$J$7:$K$11,2,FALSE)&amp;" - Per "&amp;VLOOKUP($C$4,'Writing Logic'!$G$8:$H$14,2,FALSE),YES_Writing_ELA[#Headers],0))=0,"",INDEX(_xlfn.VSTACK(YES_Writing_ELA[#Data],YES_Writing_FLA[#Data]),MATCH($A441,_xlfn.VSTACK(YES_Writing_ELA[Student Number],YES_Writing_FLA[Student Number]),0),MATCH(VLOOKUP(H$7,'Writing Logic'!$J$7:$K$11,2,FALSE)&amp;" - Per "&amp;VLOOKUP($C$4,'Writing Logic'!$G$8:$H$14,2,FALSE),YES_Writing_ELA[#Headers],0)))="INS",'Writing Logic'!$B$7,IF(INDEX(_xlfn.VSTACK(YES_Writing_ELA[#Data],YES_Writing_FLA[#Data]),MATCH($A441,_xlfn.VSTACK(YES_Writing_ELA[Student Number],YES_Writing_FLA[Student Number]),0),MATCH(VLOOKUP(H$7,'Writing Logic'!$J$7:$K$11,2,FALSE)&amp;" - Per "&amp;VLOOKUP($C$4,'Writing Logic'!$G$8:$H$14,2,FALSE),YES_Writing_ELA[#Headers],0))=0,"",INDEX(_xlfn.VSTACK(YES_Writing_ELA[#Data],YES_Writing_FLA[#Data]),MATCH($A441,_xlfn.VSTACK(YES_Writing_ELA[Student Number],YES_Writing_FLA[Student Number]),0),MATCH(VLOOKUP(H$7,'Writing Logic'!$J$7:$K$11,2,FALSE)&amp;" - Per "&amp;VLOOKUP($C$4,'Writing Logic'!$G$8:$H$14,2,FALSE),YES_Writing_ELA[#Headers],0)))),"")</f>
        <v/>
      </c>
    </row>
    <row r="442" spans="1:8" x14ac:dyDescent="0.25">
      <c r="A442" s="137"/>
      <c r="B442" s="137" t="str">
        <f>IFERROR(INDEX(_xlfn.VSTACK(YES_Writing_ELA[#Data], YES_Writing_FLA[#Data]),MATCH($A442,_xlfn.VSTACK(YES_Writing_ELA[Student Number], YES_Writing_FLA[Student Number]),0),MATCH(B$7,YES_Writing_ELA[#Headers],0)),"")</f>
        <v/>
      </c>
      <c r="C442" s="137" t="str">
        <f>IFERROR(INDEX(_xlfn.VSTACK(YES_Writing_ELA[#Data], YES_Writing_FLA[#Data]),MATCH($A442,_xlfn.VSTACK(YES_Writing_ELA[Student Number], YES_Writing_FLA[Student Number]),0),MATCH(C$7,YES_Writing_ELA[#Headers],0)),"")</f>
        <v/>
      </c>
      <c r="D442" s="138" t="str">
        <f>IFERROR(IF(IF(INDEX(_xlfn.VSTACK(YES_Writing_ELA[#Data],YES_Writing_FLA[#Data]),MATCH($A442,_xlfn.VSTACK(YES_Writing_ELA[Student Number],YES_Writing_FLA[Student Number]),0),MATCH(VLOOKUP(D$7,'Writing Logic'!$J$7:$K$11,2,FALSE)&amp;" - Per "&amp;VLOOKUP($C$4,'Writing Logic'!$G$8:$H$14,2,FALSE),YES_Writing_ELA[#Headers],0))=0,"",INDEX(_xlfn.VSTACK(YES_Writing_ELA[#Data],YES_Writing_FLA[#Data]),MATCH($A442,_xlfn.VSTACK(YES_Writing_ELA[Student Number],YES_Writing_FLA[Student Number]),0),MATCH(VLOOKUP(D$7,'Writing Logic'!$J$7:$K$11,2,FALSE)&amp;" - Per "&amp;VLOOKUP($C$4,'Writing Logic'!$G$8:$H$14,2,FALSE),YES_Writing_ELA[#Headers],0)))="INS",'Writing Logic'!$B$7,IF(INDEX(_xlfn.VSTACK(YES_Writing_ELA[#Data],YES_Writing_FLA[#Data]),MATCH($A442,_xlfn.VSTACK(YES_Writing_ELA[Student Number],YES_Writing_FLA[Student Number]),0),MATCH(VLOOKUP(D$7,'Writing Logic'!$J$7:$K$11,2,FALSE)&amp;" - Per "&amp;VLOOKUP($C$4,'Writing Logic'!$G$8:$H$14,2,FALSE),YES_Writing_ELA[#Headers],0))=0,"",INDEX(_xlfn.VSTACK(YES_Writing_ELA[#Data],YES_Writing_FLA[#Data]),MATCH($A442,_xlfn.VSTACK(YES_Writing_ELA[Student Number],YES_Writing_FLA[Student Number]),0),MATCH(VLOOKUP(D$7,'Writing Logic'!$J$7:$K$11,2,FALSE)&amp;" - Per "&amp;VLOOKUP($C$4,'Writing Logic'!$G$8:$H$14,2,FALSE),YES_Writing_ELA[#Headers],0)))),"")</f>
        <v/>
      </c>
      <c r="E442" s="138" t="str">
        <f>IFERROR(IF(IF(INDEX(_xlfn.VSTACK(YES_Writing_ELA[#Data],YES_Writing_FLA[#Data]),MATCH($A442,_xlfn.VSTACK(YES_Writing_ELA[Student Number],YES_Writing_FLA[Student Number]),0),MATCH(VLOOKUP(E$7,'Writing Logic'!$J$7:$K$11,2,FALSE)&amp;" - Per "&amp;VLOOKUP($C$4,'Writing Logic'!$G$8:$H$14,2,FALSE),YES_Writing_ELA[#Headers],0))=0,"",INDEX(_xlfn.VSTACK(YES_Writing_ELA[#Data],YES_Writing_FLA[#Data]),MATCH($A442,_xlfn.VSTACK(YES_Writing_ELA[Student Number],YES_Writing_FLA[Student Number]),0),MATCH(VLOOKUP(E$7,'Writing Logic'!$J$7:$K$11,2,FALSE)&amp;" - Per "&amp;VLOOKUP($C$4,'Writing Logic'!$G$8:$H$14,2,FALSE),YES_Writing_ELA[#Headers],0)))="INS",'Writing Logic'!$B$7,IF(INDEX(_xlfn.VSTACK(YES_Writing_ELA[#Data],YES_Writing_FLA[#Data]),MATCH($A442,_xlfn.VSTACK(YES_Writing_ELA[Student Number],YES_Writing_FLA[Student Number]),0),MATCH(VLOOKUP(E$7,'Writing Logic'!$J$7:$K$11,2,FALSE)&amp;" - Per "&amp;VLOOKUP($C$4,'Writing Logic'!$G$8:$H$14,2,FALSE),YES_Writing_ELA[#Headers],0))=0,"",INDEX(_xlfn.VSTACK(YES_Writing_ELA[#Data],YES_Writing_FLA[#Data]),MATCH($A442,_xlfn.VSTACK(YES_Writing_ELA[Student Number],YES_Writing_FLA[Student Number]),0),MATCH(VLOOKUP(E$7,'Writing Logic'!$J$7:$K$11,2,FALSE)&amp;" - Per "&amp;VLOOKUP($C$4,'Writing Logic'!$G$8:$H$14,2,FALSE),YES_Writing_ELA[#Headers],0)))),"")</f>
        <v/>
      </c>
      <c r="F442" s="138" t="str">
        <f>IFERROR(IF(IF(INDEX(_xlfn.VSTACK(YES_Writing_ELA[#Data],YES_Writing_FLA[#Data]),MATCH($A442,_xlfn.VSTACK(YES_Writing_ELA[Student Number],YES_Writing_FLA[Student Number]),0),MATCH(VLOOKUP(F$7,'Writing Logic'!$J$7:$K$11,2,FALSE)&amp;" - Per "&amp;VLOOKUP($C$4,'Writing Logic'!$G$8:$H$14,2,FALSE),YES_Writing_ELA[#Headers],0))=0,"",INDEX(_xlfn.VSTACK(YES_Writing_ELA[#Data],YES_Writing_FLA[#Data]),MATCH($A442,_xlfn.VSTACK(YES_Writing_ELA[Student Number],YES_Writing_FLA[Student Number]),0),MATCH(VLOOKUP(F$7,'Writing Logic'!$J$7:$K$11,2,FALSE)&amp;" - Per "&amp;VLOOKUP($C$4,'Writing Logic'!$G$8:$H$14,2,FALSE),YES_Writing_ELA[#Headers],0)))="INS",'Writing Logic'!$B$7,IF(INDEX(_xlfn.VSTACK(YES_Writing_ELA[#Data],YES_Writing_FLA[#Data]),MATCH($A442,_xlfn.VSTACK(YES_Writing_ELA[Student Number],YES_Writing_FLA[Student Number]),0),MATCH(VLOOKUP(F$7,'Writing Logic'!$J$7:$K$11,2,FALSE)&amp;" - Per "&amp;VLOOKUP($C$4,'Writing Logic'!$G$8:$H$14,2,FALSE),YES_Writing_ELA[#Headers],0))=0,"",INDEX(_xlfn.VSTACK(YES_Writing_ELA[#Data],YES_Writing_FLA[#Data]),MATCH($A442,_xlfn.VSTACK(YES_Writing_ELA[Student Number],YES_Writing_FLA[Student Number]),0),MATCH(VLOOKUP(F$7,'Writing Logic'!$J$7:$K$11,2,FALSE)&amp;" - Per "&amp;VLOOKUP($C$4,'Writing Logic'!$G$8:$H$14,2,FALSE),YES_Writing_ELA[#Headers],0)))),"")</f>
        <v/>
      </c>
      <c r="G442" s="138" t="str">
        <f>IFERROR(IF(IF(INDEX(_xlfn.VSTACK(YES_Writing_ELA[#Data],YES_Writing_FLA[#Data]),MATCH($A442,_xlfn.VSTACK(YES_Writing_ELA[Student Number],YES_Writing_FLA[Student Number]),0),MATCH(VLOOKUP(G$7,'Writing Logic'!$J$7:$K$11,2,FALSE)&amp;" - Per "&amp;VLOOKUP($C$4,'Writing Logic'!$G$8:$H$14,2,FALSE),YES_Writing_ELA[#Headers],0))=0,"",INDEX(_xlfn.VSTACK(YES_Writing_ELA[#Data],YES_Writing_FLA[#Data]),MATCH($A442,_xlfn.VSTACK(YES_Writing_ELA[Student Number],YES_Writing_FLA[Student Number]),0),MATCH(VLOOKUP(G$7,'Writing Logic'!$J$7:$K$11,2,FALSE)&amp;" - Per "&amp;VLOOKUP($C$4,'Writing Logic'!$G$8:$H$14,2,FALSE),YES_Writing_ELA[#Headers],0)))="INS",'Writing Logic'!$B$7,IF(INDEX(_xlfn.VSTACK(YES_Writing_ELA[#Data],YES_Writing_FLA[#Data]),MATCH($A442,_xlfn.VSTACK(YES_Writing_ELA[Student Number],YES_Writing_FLA[Student Number]),0),MATCH(VLOOKUP(G$7,'Writing Logic'!$J$7:$K$11,2,FALSE)&amp;" - Per "&amp;VLOOKUP($C$4,'Writing Logic'!$G$8:$H$14,2,FALSE),YES_Writing_ELA[#Headers],0))=0,"",INDEX(_xlfn.VSTACK(YES_Writing_ELA[#Data],YES_Writing_FLA[#Data]),MATCH($A442,_xlfn.VSTACK(YES_Writing_ELA[Student Number],YES_Writing_FLA[Student Number]),0),MATCH(VLOOKUP(G$7,'Writing Logic'!$J$7:$K$11,2,FALSE)&amp;" - Per "&amp;VLOOKUP($C$4,'Writing Logic'!$G$8:$H$14,2,FALSE),YES_Writing_ELA[#Headers],0)))),"")</f>
        <v/>
      </c>
      <c r="H442" s="138" t="str">
        <f>IFERROR(IF(IF(INDEX(_xlfn.VSTACK(YES_Writing_ELA[#Data],YES_Writing_FLA[#Data]),MATCH($A442,_xlfn.VSTACK(YES_Writing_ELA[Student Number],YES_Writing_FLA[Student Number]),0),MATCH(VLOOKUP(H$7,'Writing Logic'!$J$7:$K$11,2,FALSE)&amp;" - Per "&amp;VLOOKUP($C$4,'Writing Logic'!$G$8:$H$14,2,FALSE),YES_Writing_ELA[#Headers],0))=0,"",INDEX(_xlfn.VSTACK(YES_Writing_ELA[#Data],YES_Writing_FLA[#Data]),MATCH($A442,_xlfn.VSTACK(YES_Writing_ELA[Student Number],YES_Writing_FLA[Student Number]),0),MATCH(VLOOKUP(H$7,'Writing Logic'!$J$7:$K$11,2,FALSE)&amp;" - Per "&amp;VLOOKUP($C$4,'Writing Logic'!$G$8:$H$14,2,FALSE),YES_Writing_ELA[#Headers],0)))="INS",'Writing Logic'!$B$7,IF(INDEX(_xlfn.VSTACK(YES_Writing_ELA[#Data],YES_Writing_FLA[#Data]),MATCH($A442,_xlfn.VSTACK(YES_Writing_ELA[Student Number],YES_Writing_FLA[Student Number]),0),MATCH(VLOOKUP(H$7,'Writing Logic'!$J$7:$K$11,2,FALSE)&amp;" - Per "&amp;VLOOKUP($C$4,'Writing Logic'!$G$8:$H$14,2,FALSE),YES_Writing_ELA[#Headers],0))=0,"",INDEX(_xlfn.VSTACK(YES_Writing_ELA[#Data],YES_Writing_FLA[#Data]),MATCH($A442,_xlfn.VSTACK(YES_Writing_ELA[Student Number],YES_Writing_FLA[Student Number]),0),MATCH(VLOOKUP(H$7,'Writing Logic'!$J$7:$K$11,2,FALSE)&amp;" - Per "&amp;VLOOKUP($C$4,'Writing Logic'!$G$8:$H$14,2,FALSE),YES_Writing_ELA[#Headers],0)))),"")</f>
        <v/>
      </c>
    </row>
    <row r="443" spans="1:8" x14ac:dyDescent="0.25">
      <c r="A443" s="137"/>
      <c r="B443" s="137" t="str">
        <f>IFERROR(INDEX(_xlfn.VSTACK(YES_Writing_ELA[#Data], YES_Writing_FLA[#Data]),MATCH($A443,_xlfn.VSTACK(YES_Writing_ELA[Student Number], YES_Writing_FLA[Student Number]),0),MATCH(B$7,YES_Writing_ELA[#Headers],0)),"")</f>
        <v/>
      </c>
      <c r="C443" s="137" t="str">
        <f>IFERROR(INDEX(_xlfn.VSTACK(YES_Writing_ELA[#Data], YES_Writing_FLA[#Data]),MATCH($A443,_xlfn.VSTACK(YES_Writing_ELA[Student Number], YES_Writing_FLA[Student Number]),0),MATCH(C$7,YES_Writing_ELA[#Headers],0)),"")</f>
        <v/>
      </c>
      <c r="D443" s="138" t="str">
        <f>IFERROR(IF(IF(INDEX(_xlfn.VSTACK(YES_Writing_ELA[#Data],YES_Writing_FLA[#Data]),MATCH($A443,_xlfn.VSTACK(YES_Writing_ELA[Student Number],YES_Writing_FLA[Student Number]),0),MATCH(VLOOKUP(D$7,'Writing Logic'!$J$7:$K$11,2,FALSE)&amp;" - Per "&amp;VLOOKUP($C$4,'Writing Logic'!$G$8:$H$14,2,FALSE),YES_Writing_ELA[#Headers],0))=0,"",INDEX(_xlfn.VSTACK(YES_Writing_ELA[#Data],YES_Writing_FLA[#Data]),MATCH($A443,_xlfn.VSTACK(YES_Writing_ELA[Student Number],YES_Writing_FLA[Student Number]),0),MATCH(VLOOKUP(D$7,'Writing Logic'!$J$7:$K$11,2,FALSE)&amp;" - Per "&amp;VLOOKUP($C$4,'Writing Logic'!$G$8:$H$14,2,FALSE),YES_Writing_ELA[#Headers],0)))="INS",'Writing Logic'!$B$7,IF(INDEX(_xlfn.VSTACK(YES_Writing_ELA[#Data],YES_Writing_FLA[#Data]),MATCH($A443,_xlfn.VSTACK(YES_Writing_ELA[Student Number],YES_Writing_FLA[Student Number]),0),MATCH(VLOOKUP(D$7,'Writing Logic'!$J$7:$K$11,2,FALSE)&amp;" - Per "&amp;VLOOKUP($C$4,'Writing Logic'!$G$8:$H$14,2,FALSE),YES_Writing_ELA[#Headers],0))=0,"",INDEX(_xlfn.VSTACK(YES_Writing_ELA[#Data],YES_Writing_FLA[#Data]),MATCH($A443,_xlfn.VSTACK(YES_Writing_ELA[Student Number],YES_Writing_FLA[Student Number]),0),MATCH(VLOOKUP(D$7,'Writing Logic'!$J$7:$K$11,2,FALSE)&amp;" - Per "&amp;VLOOKUP($C$4,'Writing Logic'!$G$8:$H$14,2,FALSE),YES_Writing_ELA[#Headers],0)))),"")</f>
        <v/>
      </c>
      <c r="E443" s="138" t="str">
        <f>IFERROR(IF(IF(INDEX(_xlfn.VSTACK(YES_Writing_ELA[#Data],YES_Writing_FLA[#Data]),MATCH($A443,_xlfn.VSTACK(YES_Writing_ELA[Student Number],YES_Writing_FLA[Student Number]),0),MATCH(VLOOKUP(E$7,'Writing Logic'!$J$7:$K$11,2,FALSE)&amp;" - Per "&amp;VLOOKUP($C$4,'Writing Logic'!$G$8:$H$14,2,FALSE),YES_Writing_ELA[#Headers],0))=0,"",INDEX(_xlfn.VSTACK(YES_Writing_ELA[#Data],YES_Writing_FLA[#Data]),MATCH($A443,_xlfn.VSTACK(YES_Writing_ELA[Student Number],YES_Writing_FLA[Student Number]),0),MATCH(VLOOKUP(E$7,'Writing Logic'!$J$7:$K$11,2,FALSE)&amp;" - Per "&amp;VLOOKUP($C$4,'Writing Logic'!$G$8:$H$14,2,FALSE),YES_Writing_ELA[#Headers],0)))="INS",'Writing Logic'!$B$7,IF(INDEX(_xlfn.VSTACK(YES_Writing_ELA[#Data],YES_Writing_FLA[#Data]),MATCH($A443,_xlfn.VSTACK(YES_Writing_ELA[Student Number],YES_Writing_FLA[Student Number]),0),MATCH(VLOOKUP(E$7,'Writing Logic'!$J$7:$K$11,2,FALSE)&amp;" - Per "&amp;VLOOKUP($C$4,'Writing Logic'!$G$8:$H$14,2,FALSE),YES_Writing_ELA[#Headers],0))=0,"",INDEX(_xlfn.VSTACK(YES_Writing_ELA[#Data],YES_Writing_FLA[#Data]),MATCH($A443,_xlfn.VSTACK(YES_Writing_ELA[Student Number],YES_Writing_FLA[Student Number]),0),MATCH(VLOOKUP(E$7,'Writing Logic'!$J$7:$K$11,2,FALSE)&amp;" - Per "&amp;VLOOKUP($C$4,'Writing Logic'!$G$8:$H$14,2,FALSE),YES_Writing_ELA[#Headers],0)))),"")</f>
        <v/>
      </c>
      <c r="F443" s="138" t="str">
        <f>IFERROR(IF(IF(INDEX(_xlfn.VSTACK(YES_Writing_ELA[#Data],YES_Writing_FLA[#Data]),MATCH($A443,_xlfn.VSTACK(YES_Writing_ELA[Student Number],YES_Writing_FLA[Student Number]),0),MATCH(VLOOKUP(F$7,'Writing Logic'!$J$7:$K$11,2,FALSE)&amp;" - Per "&amp;VLOOKUP($C$4,'Writing Logic'!$G$8:$H$14,2,FALSE),YES_Writing_ELA[#Headers],0))=0,"",INDEX(_xlfn.VSTACK(YES_Writing_ELA[#Data],YES_Writing_FLA[#Data]),MATCH($A443,_xlfn.VSTACK(YES_Writing_ELA[Student Number],YES_Writing_FLA[Student Number]),0),MATCH(VLOOKUP(F$7,'Writing Logic'!$J$7:$K$11,2,FALSE)&amp;" - Per "&amp;VLOOKUP($C$4,'Writing Logic'!$G$8:$H$14,2,FALSE),YES_Writing_ELA[#Headers],0)))="INS",'Writing Logic'!$B$7,IF(INDEX(_xlfn.VSTACK(YES_Writing_ELA[#Data],YES_Writing_FLA[#Data]),MATCH($A443,_xlfn.VSTACK(YES_Writing_ELA[Student Number],YES_Writing_FLA[Student Number]),0),MATCH(VLOOKUP(F$7,'Writing Logic'!$J$7:$K$11,2,FALSE)&amp;" - Per "&amp;VLOOKUP($C$4,'Writing Logic'!$G$8:$H$14,2,FALSE),YES_Writing_ELA[#Headers],0))=0,"",INDEX(_xlfn.VSTACK(YES_Writing_ELA[#Data],YES_Writing_FLA[#Data]),MATCH($A443,_xlfn.VSTACK(YES_Writing_ELA[Student Number],YES_Writing_FLA[Student Number]),0),MATCH(VLOOKUP(F$7,'Writing Logic'!$J$7:$K$11,2,FALSE)&amp;" - Per "&amp;VLOOKUP($C$4,'Writing Logic'!$G$8:$H$14,2,FALSE),YES_Writing_ELA[#Headers],0)))),"")</f>
        <v/>
      </c>
      <c r="G443" s="138" t="str">
        <f>IFERROR(IF(IF(INDEX(_xlfn.VSTACK(YES_Writing_ELA[#Data],YES_Writing_FLA[#Data]),MATCH($A443,_xlfn.VSTACK(YES_Writing_ELA[Student Number],YES_Writing_FLA[Student Number]),0),MATCH(VLOOKUP(G$7,'Writing Logic'!$J$7:$K$11,2,FALSE)&amp;" - Per "&amp;VLOOKUP($C$4,'Writing Logic'!$G$8:$H$14,2,FALSE),YES_Writing_ELA[#Headers],0))=0,"",INDEX(_xlfn.VSTACK(YES_Writing_ELA[#Data],YES_Writing_FLA[#Data]),MATCH($A443,_xlfn.VSTACK(YES_Writing_ELA[Student Number],YES_Writing_FLA[Student Number]),0),MATCH(VLOOKUP(G$7,'Writing Logic'!$J$7:$K$11,2,FALSE)&amp;" - Per "&amp;VLOOKUP($C$4,'Writing Logic'!$G$8:$H$14,2,FALSE),YES_Writing_ELA[#Headers],0)))="INS",'Writing Logic'!$B$7,IF(INDEX(_xlfn.VSTACK(YES_Writing_ELA[#Data],YES_Writing_FLA[#Data]),MATCH($A443,_xlfn.VSTACK(YES_Writing_ELA[Student Number],YES_Writing_FLA[Student Number]),0),MATCH(VLOOKUP(G$7,'Writing Logic'!$J$7:$K$11,2,FALSE)&amp;" - Per "&amp;VLOOKUP($C$4,'Writing Logic'!$G$8:$H$14,2,FALSE),YES_Writing_ELA[#Headers],0))=0,"",INDEX(_xlfn.VSTACK(YES_Writing_ELA[#Data],YES_Writing_FLA[#Data]),MATCH($A443,_xlfn.VSTACK(YES_Writing_ELA[Student Number],YES_Writing_FLA[Student Number]),0),MATCH(VLOOKUP(G$7,'Writing Logic'!$J$7:$K$11,2,FALSE)&amp;" - Per "&amp;VLOOKUP($C$4,'Writing Logic'!$G$8:$H$14,2,FALSE),YES_Writing_ELA[#Headers],0)))),"")</f>
        <v/>
      </c>
      <c r="H443" s="138" t="str">
        <f>IFERROR(IF(IF(INDEX(_xlfn.VSTACK(YES_Writing_ELA[#Data],YES_Writing_FLA[#Data]),MATCH($A443,_xlfn.VSTACK(YES_Writing_ELA[Student Number],YES_Writing_FLA[Student Number]),0),MATCH(VLOOKUP(H$7,'Writing Logic'!$J$7:$K$11,2,FALSE)&amp;" - Per "&amp;VLOOKUP($C$4,'Writing Logic'!$G$8:$H$14,2,FALSE),YES_Writing_ELA[#Headers],0))=0,"",INDEX(_xlfn.VSTACK(YES_Writing_ELA[#Data],YES_Writing_FLA[#Data]),MATCH($A443,_xlfn.VSTACK(YES_Writing_ELA[Student Number],YES_Writing_FLA[Student Number]),0),MATCH(VLOOKUP(H$7,'Writing Logic'!$J$7:$K$11,2,FALSE)&amp;" - Per "&amp;VLOOKUP($C$4,'Writing Logic'!$G$8:$H$14,2,FALSE),YES_Writing_ELA[#Headers],0)))="INS",'Writing Logic'!$B$7,IF(INDEX(_xlfn.VSTACK(YES_Writing_ELA[#Data],YES_Writing_FLA[#Data]),MATCH($A443,_xlfn.VSTACK(YES_Writing_ELA[Student Number],YES_Writing_FLA[Student Number]),0),MATCH(VLOOKUP(H$7,'Writing Logic'!$J$7:$K$11,2,FALSE)&amp;" - Per "&amp;VLOOKUP($C$4,'Writing Logic'!$G$8:$H$14,2,FALSE),YES_Writing_ELA[#Headers],0))=0,"",INDEX(_xlfn.VSTACK(YES_Writing_ELA[#Data],YES_Writing_FLA[#Data]),MATCH($A443,_xlfn.VSTACK(YES_Writing_ELA[Student Number],YES_Writing_FLA[Student Number]),0),MATCH(VLOOKUP(H$7,'Writing Logic'!$J$7:$K$11,2,FALSE)&amp;" - Per "&amp;VLOOKUP($C$4,'Writing Logic'!$G$8:$H$14,2,FALSE),YES_Writing_ELA[#Headers],0)))),"")</f>
        <v/>
      </c>
    </row>
    <row r="444" spans="1:8" x14ac:dyDescent="0.25">
      <c r="A444" s="137"/>
      <c r="B444" s="137" t="str">
        <f>IFERROR(INDEX(_xlfn.VSTACK(YES_Writing_ELA[#Data], YES_Writing_FLA[#Data]),MATCH($A444,_xlfn.VSTACK(YES_Writing_ELA[Student Number], YES_Writing_FLA[Student Number]),0),MATCH(B$7,YES_Writing_ELA[#Headers],0)),"")</f>
        <v/>
      </c>
      <c r="C444" s="137" t="str">
        <f>IFERROR(INDEX(_xlfn.VSTACK(YES_Writing_ELA[#Data], YES_Writing_FLA[#Data]),MATCH($A444,_xlfn.VSTACK(YES_Writing_ELA[Student Number], YES_Writing_FLA[Student Number]),0),MATCH(C$7,YES_Writing_ELA[#Headers],0)),"")</f>
        <v/>
      </c>
      <c r="D444" s="138" t="str">
        <f>IFERROR(IF(IF(INDEX(_xlfn.VSTACK(YES_Writing_ELA[#Data],YES_Writing_FLA[#Data]),MATCH($A444,_xlfn.VSTACK(YES_Writing_ELA[Student Number],YES_Writing_FLA[Student Number]),0),MATCH(VLOOKUP(D$7,'Writing Logic'!$J$7:$K$11,2,FALSE)&amp;" - Per "&amp;VLOOKUP($C$4,'Writing Logic'!$G$8:$H$14,2,FALSE),YES_Writing_ELA[#Headers],0))=0,"",INDEX(_xlfn.VSTACK(YES_Writing_ELA[#Data],YES_Writing_FLA[#Data]),MATCH($A444,_xlfn.VSTACK(YES_Writing_ELA[Student Number],YES_Writing_FLA[Student Number]),0),MATCH(VLOOKUP(D$7,'Writing Logic'!$J$7:$K$11,2,FALSE)&amp;" - Per "&amp;VLOOKUP($C$4,'Writing Logic'!$G$8:$H$14,2,FALSE),YES_Writing_ELA[#Headers],0)))="INS",'Writing Logic'!$B$7,IF(INDEX(_xlfn.VSTACK(YES_Writing_ELA[#Data],YES_Writing_FLA[#Data]),MATCH($A444,_xlfn.VSTACK(YES_Writing_ELA[Student Number],YES_Writing_FLA[Student Number]),0),MATCH(VLOOKUP(D$7,'Writing Logic'!$J$7:$K$11,2,FALSE)&amp;" - Per "&amp;VLOOKUP($C$4,'Writing Logic'!$G$8:$H$14,2,FALSE),YES_Writing_ELA[#Headers],0))=0,"",INDEX(_xlfn.VSTACK(YES_Writing_ELA[#Data],YES_Writing_FLA[#Data]),MATCH($A444,_xlfn.VSTACK(YES_Writing_ELA[Student Number],YES_Writing_FLA[Student Number]),0),MATCH(VLOOKUP(D$7,'Writing Logic'!$J$7:$K$11,2,FALSE)&amp;" - Per "&amp;VLOOKUP($C$4,'Writing Logic'!$G$8:$H$14,2,FALSE),YES_Writing_ELA[#Headers],0)))),"")</f>
        <v/>
      </c>
      <c r="E444" s="138" t="str">
        <f>IFERROR(IF(IF(INDEX(_xlfn.VSTACK(YES_Writing_ELA[#Data],YES_Writing_FLA[#Data]),MATCH($A444,_xlfn.VSTACK(YES_Writing_ELA[Student Number],YES_Writing_FLA[Student Number]),0),MATCH(VLOOKUP(E$7,'Writing Logic'!$J$7:$K$11,2,FALSE)&amp;" - Per "&amp;VLOOKUP($C$4,'Writing Logic'!$G$8:$H$14,2,FALSE),YES_Writing_ELA[#Headers],0))=0,"",INDEX(_xlfn.VSTACK(YES_Writing_ELA[#Data],YES_Writing_FLA[#Data]),MATCH($A444,_xlfn.VSTACK(YES_Writing_ELA[Student Number],YES_Writing_FLA[Student Number]),0),MATCH(VLOOKUP(E$7,'Writing Logic'!$J$7:$K$11,2,FALSE)&amp;" - Per "&amp;VLOOKUP($C$4,'Writing Logic'!$G$8:$H$14,2,FALSE),YES_Writing_ELA[#Headers],0)))="INS",'Writing Logic'!$B$7,IF(INDEX(_xlfn.VSTACK(YES_Writing_ELA[#Data],YES_Writing_FLA[#Data]),MATCH($A444,_xlfn.VSTACK(YES_Writing_ELA[Student Number],YES_Writing_FLA[Student Number]),0),MATCH(VLOOKUP(E$7,'Writing Logic'!$J$7:$K$11,2,FALSE)&amp;" - Per "&amp;VLOOKUP($C$4,'Writing Logic'!$G$8:$H$14,2,FALSE),YES_Writing_ELA[#Headers],0))=0,"",INDEX(_xlfn.VSTACK(YES_Writing_ELA[#Data],YES_Writing_FLA[#Data]),MATCH($A444,_xlfn.VSTACK(YES_Writing_ELA[Student Number],YES_Writing_FLA[Student Number]),0),MATCH(VLOOKUP(E$7,'Writing Logic'!$J$7:$K$11,2,FALSE)&amp;" - Per "&amp;VLOOKUP($C$4,'Writing Logic'!$G$8:$H$14,2,FALSE),YES_Writing_ELA[#Headers],0)))),"")</f>
        <v/>
      </c>
      <c r="F444" s="138" t="str">
        <f>IFERROR(IF(IF(INDEX(_xlfn.VSTACK(YES_Writing_ELA[#Data],YES_Writing_FLA[#Data]),MATCH($A444,_xlfn.VSTACK(YES_Writing_ELA[Student Number],YES_Writing_FLA[Student Number]),0),MATCH(VLOOKUP(F$7,'Writing Logic'!$J$7:$K$11,2,FALSE)&amp;" - Per "&amp;VLOOKUP($C$4,'Writing Logic'!$G$8:$H$14,2,FALSE),YES_Writing_ELA[#Headers],0))=0,"",INDEX(_xlfn.VSTACK(YES_Writing_ELA[#Data],YES_Writing_FLA[#Data]),MATCH($A444,_xlfn.VSTACK(YES_Writing_ELA[Student Number],YES_Writing_FLA[Student Number]),0),MATCH(VLOOKUP(F$7,'Writing Logic'!$J$7:$K$11,2,FALSE)&amp;" - Per "&amp;VLOOKUP($C$4,'Writing Logic'!$G$8:$H$14,2,FALSE),YES_Writing_ELA[#Headers],0)))="INS",'Writing Logic'!$B$7,IF(INDEX(_xlfn.VSTACK(YES_Writing_ELA[#Data],YES_Writing_FLA[#Data]),MATCH($A444,_xlfn.VSTACK(YES_Writing_ELA[Student Number],YES_Writing_FLA[Student Number]),0),MATCH(VLOOKUP(F$7,'Writing Logic'!$J$7:$K$11,2,FALSE)&amp;" - Per "&amp;VLOOKUP($C$4,'Writing Logic'!$G$8:$H$14,2,FALSE),YES_Writing_ELA[#Headers],0))=0,"",INDEX(_xlfn.VSTACK(YES_Writing_ELA[#Data],YES_Writing_FLA[#Data]),MATCH($A444,_xlfn.VSTACK(YES_Writing_ELA[Student Number],YES_Writing_FLA[Student Number]),0),MATCH(VLOOKUP(F$7,'Writing Logic'!$J$7:$K$11,2,FALSE)&amp;" - Per "&amp;VLOOKUP($C$4,'Writing Logic'!$G$8:$H$14,2,FALSE),YES_Writing_ELA[#Headers],0)))),"")</f>
        <v/>
      </c>
      <c r="G444" s="138" t="str">
        <f>IFERROR(IF(IF(INDEX(_xlfn.VSTACK(YES_Writing_ELA[#Data],YES_Writing_FLA[#Data]),MATCH($A444,_xlfn.VSTACK(YES_Writing_ELA[Student Number],YES_Writing_FLA[Student Number]),0),MATCH(VLOOKUP(G$7,'Writing Logic'!$J$7:$K$11,2,FALSE)&amp;" - Per "&amp;VLOOKUP($C$4,'Writing Logic'!$G$8:$H$14,2,FALSE),YES_Writing_ELA[#Headers],0))=0,"",INDEX(_xlfn.VSTACK(YES_Writing_ELA[#Data],YES_Writing_FLA[#Data]),MATCH($A444,_xlfn.VSTACK(YES_Writing_ELA[Student Number],YES_Writing_FLA[Student Number]),0),MATCH(VLOOKUP(G$7,'Writing Logic'!$J$7:$K$11,2,FALSE)&amp;" - Per "&amp;VLOOKUP($C$4,'Writing Logic'!$G$8:$H$14,2,FALSE),YES_Writing_ELA[#Headers],0)))="INS",'Writing Logic'!$B$7,IF(INDEX(_xlfn.VSTACK(YES_Writing_ELA[#Data],YES_Writing_FLA[#Data]),MATCH($A444,_xlfn.VSTACK(YES_Writing_ELA[Student Number],YES_Writing_FLA[Student Number]),0),MATCH(VLOOKUP(G$7,'Writing Logic'!$J$7:$K$11,2,FALSE)&amp;" - Per "&amp;VLOOKUP($C$4,'Writing Logic'!$G$8:$H$14,2,FALSE),YES_Writing_ELA[#Headers],0))=0,"",INDEX(_xlfn.VSTACK(YES_Writing_ELA[#Data],YES_Writing_FLA[#Data]),MATCH($A444,_xlfn.VSTACK(YES_Writing_ELA[Student Number],YES_Writing_FLA[Student Number]),0),MATCH(VLOOKUP(G$7,'Writing Logic'!$J$7:$K$11,2,FALSE)&amp;" - Per "&amp;VLOOKUP($C$4,'Writing Logic'!$G$8:$H$14,2,FALSE),YES_Writing_ELA[#Headers],0)))),"")</f>
        <v/>
      </c>
      <c r="H444" s="138" t="str">
        <f>IFERROR(IF(IF(INDEX(_xlfn.VSTACK(YES_Writing_ELA[#Data],YES_Writing_FLA[#Data]),MATCH($A444,_xlfn.VSTACK(YES_Writing_ELA[Student Number],YES_Writing_FLA[Student Number]),0),MATCH(VLOOKUP(H$7,'Writing Logic'!$J$7:$K$11,2,FALSE)&amp;" - Per "&amp;VLOOKUP($C$4,'Writing Logic'!$G$8:$H$14,2,FALSE),YES_Writing_ELA[#Headers],0))=0,"",INDEX(_xlfn.VSTACK(YES_Writing_ELA[#Data],YES_Writing_FLA[#Data]),MATCH($A444,_xlfn.VSTACK(YES_Writing_ELA[Student Number],YES_Writing_FLA[Student Number]),0),MATCH(VLOOKUP(H$7,'Writing Logic'!$J$7:$K$11,2,FALSE)&amp;" - Per "&amp;VLOOKUP($C$4,'Writing Logic'!$G$8:$H$14,2,FALSE),YES_Writing_ELA[#Headers],0)))="INS",'Writing Logic'!$B$7,IF(INDEX(_xlfn.VSTACK(YES_Writing_ELA[#Data],YES_Writing_FLA[#Data]),MATCH($A444,_xlfn.VSTACK(YES_Writing_ELA[Student Number],YES_Writing_FLA[Student Number]),0),MATCH(VLOOKUP(H$7,'Writing Logic'!$J$7:$K$11,2,FALSE)&amp;" - Per "&amp;VLOOKUP($C$4,'Writing Logic'!$G$8:$H$14,2,FALSE),YES_Writing_ELA[#Headers],0))=0,"",INDEX(_xlfn.VSTACK(YES_Writing_ELA[#Data],YES_Writing_FLA[#Data]),MATCH($A444,_xlfn.VSTACK(YES_Writing_ELA[Student Number],YES_Writing_FLA[Student Number]),0),MATCH(VLOOKUP(H$7,'Writing Logic'!$J$7:$K$11,2,FALSE)&amp;" - Per "&amp;VLOOKUP($C$4,'Writing Logic'!$G$8:$H$14,2,FALSE),YES_Writing_ELA[#Headers],0)))),"")</f>
        <v/>
      </c>
    </row>
    <row r="445" spans="1:8" x14ac:dyDescent="0.25">
      <c r="A445" s="137"/>
      <c r="B445" s="137" t="str">
        <f>IFERROR(INDEX(_xlfn.VSTACK(YES_Writing_ELA[#Data], YES_Writing_FLA[#Data]),MATCH($A445,_xlfn.VSTACK(YES_Writing_ELA[Student Number], YES_Writing_FLA[Student Number]),0),MATCH(B$7,YES_Writing_ELA[#Headers],0)),"")</f>
        <v/>
      </c>
      <c r="C445" s="137" t="str">
        <f>IFERROR(INDEX(_xlfn.VSTACK(YES_Writing_ELA[#Data], YES_Writing_FLA[#Data]),MATCH($A445,_xlfn.VSTACK(YES_Writing_ELA[Student Number], YES_Writing_FLA[Student Number]),0),MATCH(C$7,YES_Writing_ELA[#Headers],0)),"")</f>
        <v/>
      </c>
      <c r="D445" s="138" t="str">
        <f>IFERROR(IF(IF(INDEX(_xlfn.VSTACK(YES_Writing_ELA[#Data],YES_Writing_FLA[#Data]),MATCH($A445,_xlfn.VSTACK(YES_Writing_ELA[Student Number],YES_Writing_FLA[Student Number]),0),MATCH(VLOOKUP(D$7,'Writing Logic'!$J$7:$K$11,2,FALSE)&amp;" - Per "&amp;VLOOKUP($C$4,'Writing Logic'!$G$8:$H$14,2,FALSE),YES_Writing_ELA[#Headers],0))=0,"",INDEX(_xlfn.VSTACK(YES_Writing_ELA[#Data],YES_Writing_FLA[#Data]),MATCH($A445,_xlfn.VSTACK(YES_Writing_ELA[Student Number],YES_Writing_FLA[Student Number]),0),MATCH(VLOOKUP(D$7,'Writing Logic'!$J$7:$K$11,2,FALSE)&amp;" - Per "&amp;VLOOKUP($C$4,'Writing Logic'!$G$8:$H$14,2,FALSE),YES_Writing_ELA[#Headers],0)))="INS",'Writing Logic'!$B$7,IF(INDEX(_xlfn.VSTACK(YES_Writing_ELA[#Data],YES_Writing_FLA[#Data]),MATCH($A445,_xlfn.VSTACK(YES_Writing_ELA[Student Number],YES_Writing_FLA[Student Number]),0),MATCH(VLOOKUP(D$7,'Writing Logic'!$J$7:$K$11,2,FALSE)&amp;" - Per "&amp;VLOOKUP($C$4,'Writing Logic'!$G$8:$H$14,2,FALSE),YES_Writing_ELA[#Headers],0))=0,"",INDEX(_xlfn.VSTACK(YES_Writing_ELA[#Data],YES_Writing_FLA[#Data]),MATCH($A445,_xlfn.VSTACK(YES_Writing_ELA[Student Number],YES_Writing_FLA[Student Number]),0),MATCH(VLOOKUP(D$7,'Writing Logic'!$J$7:$K$11,2,FALSE)&amp;" - Per "&amp;VLOOKUP($C$4,'Writing Logic'!$G$8:$H$14,2,FALSE),YES_Writing_ELA[#Headers],0)))),"")</f>
        <v/>
      </c>
      <c r="E445" s="138" t="str">
        <f>IFERROR(IF(IF(INDEX(_xlfn.VSTACK(YES_Writing_ELA[#Data],YES_Writing_FLA[#Data]),MATCH($A445,_xlfn.VSTACK(YES_Writing_ELA[Student Number],YES_Writing_FLA[Student Number]),0),MATCH(VLOOKUP(E$7,'Writing Logic'!$J$7:$K$11,2,FALSE)&amp;" - Per "&amp;VLOOKUP($C$4,'Writing Logic'!$G$8:$H$14,2,FALSE),YES_Writing_ELA[#Headers],0))=0,"",INDEX(_xlfn.VSTACK(YES_Writing_ELA[#Data],YES_Writing_FLA[#Data]),MATCH($A445,_xlfn.VSTACK(YES_Writing_ELA[Student Number],YES_Writing_FLA[Student Number]),0),MATCH(VLOOKUP(E$7,'Writing Logic'!$J$7:$K$11,2,FALSE)&amp;" - Per "&amp;VLOOKUP($C$4,'Writing Logic'!$G$8:$H$14,2,FALSE),YES_Writing_ELA[#Headers],0)))="INS",'Writing Logic'!$B$7,IF(INDEX(_xlfn.VSTACK(YES_Writing_ELA[#Data],YES_Writing_FLA[#Data]),MATCH($A445,_xlfn.VSTACK(YES_Writing_ELA[Student Number],YES_Writing_FLA[Student Number]),0),MATCH(VLOOKUP(E$7,'Writing Logic'!$J$7:$K$11,2,FALSE)&amp;" - Per "&amp;VLOOKUP($C$4,'Writing Logic'!$G$8:$H$14,2,FALSE),YES_Writing_ELA[#Headers],0))=0,"",INDEX(_xlfn.VSTACK(YES_Writing_ELA[#Data],YES_Writing_FLA[#Data]),MATCH($A445,_xlfn.VSTACK(YES_Writing_ELA[Student Number],YES_Writing_FLA[Student Number]),0),MATCH(VLOOKUP(E$7,'Writing Logic'!$J$7:$K$11,2,FALSE)&amp;" - Per "&amp;VLOOKUP($C$4,'Writing Logic'!$G$8:$H$14,2,FALSE),YES_Writing_ELA[#Headers],0)))),"")</f>
        <v/>
      </c>
      <c r="F445" s="138" t="str">
        <f>IFERROR(IF(IF(INDEX(_xlfn.VSTACK(YES_Writing_ELA[#Data],YES_Writing_FLA[#Data]),MATCH($A445,_xlfn.VSTACK(YES_Writing_ELA[Student Number],YES_Writing_FLA[Student Number]),0),MATCH(VLOOKUP(F$7,'Writing Logic'!$J$7:$K$11,2,FALSE)&amp;" - Per "&amp;VLOOKUP($C$4,'Writing Logic'!$G$8:$H$14,2,FALSE),YES_Writing_ELA[#Headers],0))=0,"",INDEX(_xlfn.VSTACK(YES_Writing_ELA[#Data],YES_Writing_FLA[#Data]),MATCH($A445,_xlfn.VSTACK(YES_Writing_ELA[Student Number],YES_Writing_FLA[Student Number]),0),MATCH(VLOOKUP(F$7,'Writing Logic'!$J$7:$K$11,2,FALSE)&amp;" - Per "&amp;VLOOKUP($C$4,'Writing Logic'!$G$8:$H$14,2,FALSE),YES_Writing_ELA[#Headers],0)))="INS",'Writing Logic'!$B$7,IF(INDEX(_xlfn.VSTACK(YES_Writing_ELA[#Data],YES_Writing_FLA[#Data]),MATCH($A445,_xlfn.VSTACK(YES_Writing_ELA[Student Number],YES_Writing_FLA[Student Number]),0),MATCH(VLOOKUP(F$7,'Writing Logic'!$J$7:$K$11,2,FALSE)&amp;" - Per "&amp;VLOOKUP($C$4,'Writing Logic'!$G$8:$H$14,2,FALSE),YES_Writing_ELA[#Headers],0))=0,"",INDEX(_xlfn.VSTACK(YES_Writing_ELA[#Data],YES_Writing_FLA[#Data]),MATCH($A445,_xlfn.VSTACK(YES_Writing_ELA[Student Number],YES_Writing_FLA[Student Number]),0),MATCH(VLOOKUP(F$7,'Writing Logic'!$J$7:$K$11,2,FALSE)&amp;" - Per "&amp;VLOOKUP($C$4,'Writing Logic'!$G$8:$H$14,2,FALSE),YES_Writing_ELA[#Headers],0)))),"")</f>
        <v/>
      </c>
      <c r="G445" s="138" t="str">
        <f>IFERROR(IF(IF(INDEX(_xlfn.VSTACK(YES_Writing_ELA[#Data],YES_Writing_FLA[#Data]),MATCH($A445,_xlfn.VSTACK(YES_Writing_ELA[Student Number],YES_Writing_FLA[Student Number]),0),MATCH(VLOOKUP(G$7,'Writing Logic'!$J$7:$K$11,2,FALSE)&amp;" - Per "&amp;VLOOKUP($C$4,'Writing Logic'!$G$8:$H$14,2,FALSE),YES_Writing_ELA[#Headers],0))=0,"",INDEX(_xlfn.VSTACK(YES_Writing_ELA[#Data],YES_Writing_FLA[#Data]),MATCH($A445,_xlfn.VSTACK(YES_Writing_ELA[Student Number],YES_Writing_FLA[Student Number]),0),MATCH(VLOOKUP(G$7,'Writing Logic'!$J$7:$K$11,2,FALSE)&amp;" - Per "&amp;VLOOKUP($C$4,'Writing Logic'!$G$8:$H$14,2,FALSE),YES_Writing_ELA[#Headers],0)))="INS",'Writing Logic'!$B$7,IF(INDEX(_xlfn.VSTACK(YES_Writing_ELA[#Data],YES_Writing_FLA[#Data]),MATCH($A445,_xlfn.VSTACK(YES_Writing_ELA[Student Number],YES_Writing_FLA[Student Number]),0),MATCH(VLOOKUP(G$7,'Writing Logic'!$J$7:$K$11,2,FALSE)&amp;" - Per "&amp;VLOOKUP($C$4,'Writing Logic'!$G$8:$H$14,2,FALSE),YES_Writing_ELA[#Headers],0))=0,"",INDEX(_xlfn.VSTACK(YES_Writing_ELA[#Data],YES_Writing_FLA[#Data]),MATCH($A445,_xlfn.VSTACK(YES_Writing_ELA[Student Number],YES_Writing_FLA[Student Number]),0),MATCH(VLOOKUP(G$7,'Writing Logic'!$J$7:$K$11,2,FALSE)&amp;" - Per "&amp;VLOOKUP($C$4,'Writing Logic'!$G$8:$H$14,2,FALSE),YES_Writing_ELA[#Headers],0)))),"")</f>
        <v/>
      </c>
      <c r="H445" s="138" t="str">
        <f>IFERROR(IF(IF(INDEX(_xlfn.VSTACK(YES_Writing_ELA[#Data],YES_Writing_FLA[#Data]),MATCH($A445,_xlfn.VSTACK(YES_Writing_ELA[Student Number],YES_Writing_FLA[Student Number]),0),MATCH(VLOOKUP(H$7,'Writing Logic'!$J$7:$K$11,2,FALSE)&amp;" - Per "&amp;VLOOKUP($C$4,'Writing Logic'!$G$8:$H$14,2,FALSE),YES_Writing_ELA[#Headers],0))=0,"",INDEX(_xlfn.VSTACK(YES_Writing_ELA[#Data],YES_Writing_FLA[#Data]),MATCH($A445,_xlfn.VSTACK(YES_Writing_ELA[Student Number],YES_Writing_FLA[Student Number]),0),MATCH(VLOOKUP(H$7,'Writing Logic'!$J$7:$K$11,2,FALSE)&amp;" - Per "&amp;VLOOKUP($C$4,'Writing Logic'!$G$8:$H$14,2,FALSE),YES_Writing_ELA[#Headers],0)))="INS",'Writing Logic'!$B$7,IF(INDEX(_xlfn.VSTACK(YES_Writing_ELA[#Data],YES_Writing_FLA[#Data]),MATCH($A445,_xlfn.VSTACK(YES_Writing_ELA[Student Number],YES_Writing_FLA[Student Number]),0),MATCH(VLOOKUP(H$7,'Writing Logic'!$J$7:$K$11,2,FALSE)&amp;" - Per "&amp;VLOOKUP($C$4,'Writing Logic'!$G$8:$H$14,2,FALSE),YES_Writing_ELA[#Headers],0))=0,"",INDEX(_xlfn.VSTACK(YES_Writing_ELA[#Data],YES_Writing_FLA[#Data]),MATCH($A445,_xlfn.VSTACK(YES_Writing_ELA[Student Number],YES_Writing_FLA[Student Number]),0),MATCH(VLOOKUP(H$7,'Writing Logic'!$J$7:$K$11,2,FALSE)&amp;" - Per "&amp;VLOOKUP($C$4,'Writing Logic'!$G$8:$H$14,2,FALSE),YES_Writing_ELA[#Headers],0)))),"")</f>
        <v/>
      </c>
    </row>
    <row r="446" spans="1:8" x14ac:dyDescent="0.25">
      <c r="A446" s="137"/>
      <c r="B446" s="137" t="str">
        <f>IFERROR(INDEX(_xlfn.VSTACK(YES_Writing_ELA[#Data], YES_Writing_FLA[#Data]),MATCH($A446,_xlfn.VSTACK(YES_Writing_ELA[Student Number], YES_Writing_FLA[Student Number]),0),MATCH(B$7,YES_Writing_ELA[#Headers],0)),"")</f>
        <v/>
      </c>
      <c r="C446" s="137" t="str">
        <f>IFERROR(INDEX(_xlfn.VSTACK(YES_Writing_ELA[#Data], YES_Writing_FLA[#Data]),MATCH($A446,_xlfn.VSTACK(YES_Writing_ELA[Student Number], YES_Writing_FLA[Student Number]),0),MATCH(C$7,YES_Writing_ELA[#Headers],0)),"")</f>
        <v/>
      </c>
      <c r="D446" s="138" t="str">
        <f>IFERROR(IF(IF(INDEX(_xlfn.VSTACK(YES_Writing_ELA[#Data],YES_Writing_FLA[#Data]),MATCH($A446,_xlfn.VSTACK(YES_Writing_ELA[Student Number],YES_Writing_FLA[Student Number]),0),MATCH(VLOOKUP(D$7,'Writing Logic'!$J$7:$K$11,2,FALSE)&amp;" - Per "&amp;VLOOKUP($C$4,'Writing Logic'!$G$8:$H$14,2,FALSE),YES_Writing_ELA[#Headers],0))=0,"",INDEX(_xlfn.VSTACK(YES_Writing_ELA[#Data],YES_Writing_FLA[#Data]),MATCH($A446,_xlfn.VSTACK(YES_Writing_ELA[Student Number],YES_Writing_FLA[Student Number]),0),MATCH(VLOOKUP(D$7,'Writing Logic'!$J$7:$K$11,2,FALSE)&amp;" - Per "&amp;VLOOKUP($C$4,'Writing Logic'!$G$8:$H$14,2,FALSE),YES_Writing_ELA[#Headers],0)))="INS",'Writing Logic'!$B$7,IF(INDEX(_xlfn.VSTACK(YES_Writing_ELA[#Data],YES_Writing_FLA[#Data]),MATCH($A446,_xlfn.VSTACK(YES_Writing_ELA[Student Number],YES_Writing_FLA[Student Number]),0),MATCH(VLOOKUP(D$7,'Writing Logic'!$J$7:$K$11,2,FALSE)&amp;" - Per "&amp;VLOOKUP($C$4,'Writing Logic'!$G$8:$H$14,2,FALSE),YES_Writing_ELA[#Headers],0))=0,"",INDEX(_xlfn.VSTACK(YES_Writing_ELA[#Data],YES_Writing_FLA[#Data]),MATCH($A446,_xlfn.VSTACK(YES_Writing_ELA[Student Number],YES_Writing_FLA[Student Number]),0),MATCH(VLOOKUP(D$7,'Writing Logic'!$J$7:$K$11,2,FALSE)&amp;" - Per "&amp;VLOOKUP($C$4,'Writing Logic'!$G$8:$H$14,2,FALSE),YES_Writing_ELA[#Headers],0)))),"")</f>
        <v/>
      </c>
      <c r="E446" s="138" t="str">
        <f>IFERROR(IF(IF(INDEX(_xlfn.VSTACK(YES_Writing_ELA[#Data],YES_Writing_FLA[#Data]),MATCH($A446,_xlfn.VSTACK(YES_Writing_ELA[Student Number],YES_Writing_FLA[Student Number]),0),MATCH(VLOOKUP(E$7,'Writing Logic'!$J$7:$K$11,2,FALSE)&amp;" - Per "&amp;VLOOKUP($C$4,'Writing Logic'!$G$8:$H$14,2,FALSE),YES_Writing_ELA[#Headers],0))=0,"",INDEX(_xlfn.VSTACK(YES_Writing_ELA[#Data],YES_Writing_FLA[#Data]),MATCH($A446,_xlfn.VSTACK(YES_Writing_ELA[Student Number],YES_Writing_FLA[Student Number]),0),MATCH(VLOOKUP(E$7,'Writing Logic'!$J$7:$K$11,2,FALSE)&amp;" - Per "&amp;VLOOKUP($C$4,'Writing Logic'!$G$8:$H$14,2,FALSE),YES_Writing_ELA[#Headers],0)))="INS",'Writing Logic'!$B$7,IF(INDEX(_xlfn.VSTACK(YES_Writing_ELA[#Data],YES_Writing_FLA[#Data]),MATCH($A446,_xlfn.VSTACK(YES_Writing_ELA[Student Number],YES_Writing_FLA[Student Number]),0),MATCH(VLOOKUP(E$7,'Writing Logic'!$J$7:$K$11,2,FALSE)&amp;" - Per "&amp;VLOOKUP($C$4,'Writing Logic'!$G$8:$H$14,2,FALSE),YES_Writing_ELA[#Headers],0))=0,"",INDEX(_xlfn.VSTACK(YES_Writing_ELA[#Data],YES_Writing_FLA[#Data]),MATCH($A446,_xlfn.VSTACK(YES_Writing_ELA[Student Number],YES_Writing_FLA[Student Number]),0),MATCH(VLOOKUP(E$7,'Writing Logic'!$J$7:$K$11,2,FALSE)&amp;" - Per "&amp;VLOOKUP($C$4,'Writing Logic'!$G$8:$H$14,2,FALSE),YES_Writing_ELA[#Headers],0)))),"")</f>
        <v/>
      </c>
      <c r="F446" s="138" t="str">
        <f>IFERROR(IF(IF(INDEX(_xlfn.VSTACK(YES_Writing_ELA[#Data],YES_Writing_FLA[#Data]),MATCH($A446,_xlfn.VSTACK(YES_Writing_ELA[Student Number],YES_Writing_FLA[Student Number]),0),MATCH(VLOOKUP(F$7,'Writing Logic'!$J$7:$K$11,2,FALSE)&amp;" - Per "&amp;VLOOKUP($C$4,'Writing Logic'!$G$8:$H$14,2,FALSE),YES_Writing_ELA[#Headers],0))=0,"",INDEX(_xlfn.VSTACK(YES_Writing_ELA[#Data],YES_Writing_FLA[#Data]),MATCH($A446,_xlfn.VSTACK(YES_Writing_ELA[Student Number],YES_Writing_FLA[Student Number]),0),MATCH(VLOOKUP(F$7,'Writing Logic'!$J$7:$K$11,2,FALSE)&amp;" - Per "&amp;VLOOKUP($C$4,'Writing Logic'!$G$8:$H$14,2,FALSE),YES_Writing_ELA[#Headers],0)))="INS",'Writing Logic'!$B$7,IF(INDEX(_xlfn.VSTACK(YES_Writing_ELA[#Data],YES_Writing_FLA[#Data]),MATCH($A446,_xlfn.VSTACK(YES_Writing_ELA[Student Number],YES_Writing_FLA[Student Number]),0),MATCH(VLOOKUP(F$7,'Writing Logic'!$J$7:$K$11,2,FALSE)&amp;" - Per "&amp;VLOOKUP($C$4,'Writing Logic'!$G$8:$H$14,2,FALSE),YES_Writing_ELA[#Headers],0))=0,"",INDEX(_xlfn.VSTACK(YES_Writing_ELA[#Data],YES_Writing_FLA[#Data]),MATCH($A446,_xlfn.VSTACK(YES_Writing_ELA[Student Number],YES_Writing_FLA[Student Number]),0),MATCH(VLOOKUP(F$7,'Writing Logic'!$J$7:$K$11,2,FALSE)&amp;" - Per "&amp;VLOOKUP($C$4,'Writing Logic'!$G$8:$H$14,2,FALSE),YES_Writing_ELA[#Headers],0)))),"")</f>
        <v/>
      </c>
      <c r="G446" s="138" t="str">
        <f>IFERROR(IF(IF(INDEX(_xlfn.VSTACK(YES_Writing_ELA[#Data],YES_Writing_FLA[#Data]),MATCH($A446,_xlfn.VSTACK(YES_Writing_ELA[Student Number],YES_Writing_FLA[Student Number]),0),MATCH(VLOOKUP(G$7,'Writing Logic'!$J$7:$K$11,2,FALSE)&amp;" - Per "&amp;VLOOKUP($C$4,'Writing Logic'!$G$8:$H$14,2,FALSE),YES_Writing_ELA[#Headers],0))=0,"",INDEX(_xlfn.VSTACK(YES_Writing_ELA[#Data],YES_Writing_FLA[#Data]),MATCH($A446,_xlfn.VSTACK(YES_Writing_ELA[Student Number],YES_Writing_FLA[Student Number]),0),MATCH(VLOOKUP(G$7,'Writing Logic'!$J$7:$K$11,2,FALSE)&amp;" - Per "&amp;VLOOKUP($C$4,'Writing Logic'!$G$8:$H$14,2,FALSE),YES_Writing_ELA[#Headers],0)))="INS",'Writing Logic'!$B$7,IF(INDEX(_xlfn.VSTACK(YES_Writing_ELA[#Data],YES_Writing_FLA[#Data]),MATCH($A446,_xlfn.VSTACK(YES_Writing_ELA[Student Number],YES_Writing_FLA[Student Number]),0),MATCH(VLOOKUP(G$7,'Writing Logic'!$J$7:$K$11,2,FALSE)&amp;" - Per "&amp;VLOOKUP($C$4,'Writing Logic'!$G$8:$H$14,2,FALSE),YES_Writing_ELA[#Headers],0))=0,"",INDEX(_xlfn.VSTACK(YES_Writing_ELA[#Data],YES_Writing_FLA[#Data]),MATCH($A446,_xlfn.VSTACK(YES_Writing_ELA[Student Number],YES_Writing_FLA[Student Number]),0),MATCH(VLOOKUP(G$7,'Writing Logic'!$J$7:$K$11,2,FALSE)&amp;" - Per "&amp;VLOOKUP($C$4,'Writing Logic'!$G$8:$H$14,2,FALSE),YES_Writing_ELA[#Headers],0)))),"")</f>
        <v/>
      </c>
      <c r="H446" s="138" t="str">
        <f>IFERROR(IF(IF(INDEX(_xlfn.VSTACK(YES_Writing_ELA[#Data],YES_Writing_FLA[#Data]),MATCH($A446,_xlfn.VSTACK(YES_Writing_ELA[Student Number],YES_Writing_FLA[Student Number]),0),MATCH(VLOOKUP(H$7,'Writing Logic'!$J$7:$K$11,2,FALSE)&amp;" - Per "&amp;VLOOKUP($C$4,'Writing Logic'!$G$8:$H$14,2,FALSE),YES_Writing_ELA[#Headers],0))=0,"",INDEX(_xlfn.VSTACK(YES_Writing_ELA[#Data],YES_Writing_FLA[#Data]),MATCH($A446,_xlfn.VSTACK(YES_Writing_ELA[Student Number],YES_Writing_FLA[Student Number]),0),MATCH(VLOOKUP(H$7,'Writing Logic'!$J$7:$K$11,2,FALSE)&amp;" - Per "&amp;VLOOKUP($C$4,'Writing Logic'!$G$8:$H$14,2,FALSE),YES_Writing_ELA[#Headers],0)))="INS",'Writing Logic'!$B$7,IF(INDEX(_xlfn.VSTACK(YES_Writing_ELA[#Data],YES_Writing_FLA[#Data]),MATCH($A446,_xlfn.VSTACK(YES_Writing_ELA[Student Number],YES_Writing_FLA[Student Number]),0),MATCH(VLOOKUP(H$7,'Writing Logic'!$J$7:$K$11,2,FALSE)&amp;" - Per "&amp;VLOOKUP($C$4,'Writing Logic'!$G$8:$H$14,2,FALSE),YES_Writing_ELA[#Headers],0))=0,"",INDEX(_xlfn.VSTACK(YES_Writing_ELA[#Data],YES_Writing_FLA[#Data]),MATCH($A446,_xlfn.VSTACK(YES_Writing_ELA[Student Number],YES_Writing_FLA[Student Number]),0),MATCH(VLOOKUP(H$7,'Writing Logic'!$J$7:$K$11,2,FALSE)&amp;" - Per "&amp;VLOOKUP($C$4,'Writing Logic'!$G$8:$H$14,2,FALSE),YES_Writing_ELA[#Headers],0)))),"")</f>
        <v/>
      </c>
    </row>
    <row r="447" spans="1:8" x14ac:dyDescent="0.25">
      <c r="A447" s="137"/>
      <c r="B447" s="137" t="str">
        <f>IFERROR(INDEX(_xlfn.VSTACK(YES_Writing_ELA[#Data], YES_Writing_FLA[#Data]),MATCH($A447,_xlfn.VSTACK(YES_Writing_ELA[Student Number], YES_Writing_FLA[Student Number]),0),MATCH(B$7,YES_Writing_ELA[#Headers],0)),"")</f>
        <v/>
      </c>
      <c r="C447" s="137" t="str">
        <f>IFERROR(INDEX(_xlfn.VSTACK(YES_Writing_ELA[#Data], YES_Writing_FLA[#Data]),MATCH($A447,_xlfn.VSTACK(YES_Writing_ELA[Student Number], YES_Writing_FLA[Student Number]),0),MATCH(C$7,YES_Writing_ELA[#Headers],0)),"")</f>
        <v/>
      </c>
      <c r="D447" s="138" t="str">
        <f>IFERROR(IF(IF(INDEX(_xlfn.VSTACK(YES_Writing_ELA[#Data],YES_Writing_FLA[#Data]),MATCH($A447,_xlfn.VSTACK(YES_Writing_ELA[Student Number],YES_Writing_FLA[Student Number]),0),MATCH(VLOOKUP(D$7,'Writing Logic'!$J$7:$K$11,2,FALSE)&amp;" - Per "&amp;VLOOKUP($C$4,'Writing Logic'!$G$8:$H$14,2,FALSE),YES_Writing_ELA[#Headers],0))=0,"",INDEX(_xlfn.VSTACK(YES_Writing_ELA[#Data],YES_Writing_FLA[#Data]),MATCH($A447,_xlfn.VSTACK(YES_Writing_ELA[Student Number],YES_Writing_FLA[Student Number]),0),MATCH(VLOOKUP(D$7,'Writing Logic'!$J$7:$K$11,2,FALSE)&amp;" - Per "&amp;VLOOKUP($C$4,'Writing Logic'!$G$8:$H$14,2,FALSE),YES_Writing_ELA[#Headers],0)))="INS",'Writing Logic'!$B$7,IF(INDEX(_xlfn.VSTACK(YES_Writing_ELA[#Data],YES_Writing_FLA[#Data]),MATCH($A447,_xlfn.VSTACK(YES_Writing_ELA[Student Number],YES_Writing_FLA[Student Number]),0),MATCH(VLOOKUP(D$7,'Writing Logic'!$J$7:$K$11,2,FALSE)&amp;" - Per "&amp;VLOOKUP($C$4,'Writing Logic'!$G$8:$H$14,2,FALSE),YES_Writing_ELA[#Headers],0))=0,"",INDEX(_xlfn.VSTACK(YES_Writing_ELA[#Data],YES_Writing_FLA[#Data]),MATCH($A447,_xlfn.VSTACK(YES_Writing_ELA[Student Number],YES_Writing_FLA[Student Number]),0),MATCH(VLOOKUP(D$7,'Writing Logic'!$J$7:$K$11,2,FALSE)&amp;" - Per "&amp;VLOOKUP($C$4,'Writing Logic'!$G$8:$H$14,2,FALSE),YES_Writing_ELA[#Headers],0)))),"")</f>
        <v/>
      </c>
      <c r="E447" s="138" t="str">
        <f>IFERROR(IF(IF(INDEX(_xlfn.VSTACK(YES_Writing_ELA[#Data],YES_Writing_FLA[#Data]),MATCH($A447,_xlfn.VSTACK(YES_Writing_ELA[Student Number],YES_Writing_FLA[Student Number]),0),MATCH(VLOOKUP(E$7,'Writing Logic'!$J$7:$K$11,2,FALSE)&amp;" - Per "&amp;VLOOKUP($C$4,'Writing Logic'!$G$8:$H$14,2,FALSE),YES_Writing_ELA[#Headers],0))=0,"",INDEX(_xlfn.VSTACK(YES_Writing_ELA[#Data],YES_Writing_FLA[#Data]),MATCH($A447,_xlfn.VSTACK(YES_Writing_ELA[Student Number],YES_Writing_FLA[Student Number]),0),MATCH(VLOOKUP(E$7,'Writing Logic'!$J$7:$K$11,2,FALSE)&amp;" - Per "&amp;VLOOKUP($C$4,'Writing Logic'!$G$8:$H$14,2,FALSE),YES_Writing_ELA[#Headers],0)))="INS",'Writing Logic'!$B$7,IF(INDEX(_xlfn.VSTACK(YES_Writing_ELA[#Data],YES_Writing_FLA[#Data]),MATCH($A447,_xlfn.VSTACK(YES_Writing_ELA[Student Number],YES_Writing_FLA[Student Number]),0),MATCH(VLOOKUP(E$7,'Writing Logic'!$J$7:$K$11,2,FALSE)&amp;" - Per "&amp;VLOOKUP($C$4,'Writing Logic'!$G$8:$H$14,2,FALSE),YES_Writing_ELA[#Headers],0))=0,"",INDEX(_xlfn.VSTACK(YES_Writing_ELA[#Data],YES_Writing_FLA[#Data]),MATCH($A447,_xlfn.VSTACK(YES_Writing_ELA[Student Number],YES_Writing_FLA[Student Number]),0),MATCH(VLOOKUP(E$7,'Writing Logic'!$J$7:$K$11,2,FALSE)&amp;" - Per "&amp;VLOOKUP($C$4,'Writing Logic'!$G$8:$H$14,2,FALSE),YES_Writing_ELA[#Headers],0)))),"")</f>
        <v/>
      </c>
      <c r="F447" s="138" t="str">
        <f>IFERROR(IF(IF(INDEX(_xlfn.VSTACK(YES_Writing_ELA[#Data],YES_Writing_FLA[#Data]),MATCH($A447,_xlfn.VSTACK(YES_Writing_ELA[Student Number],YES_Writing_FLA[Student Number]),0),MATCH(VLOOKUP(F$7,'Writing Logic'!$J$7:$K$11,2,FALSE)&amp;" - Per "&amp;VLOOKUP($C$4,'Writing Logic'!$G$8:$H$14,2,FALSE),YES_Writing_ELA[#Headers],0))=0,"",INDEX(_xlfn.VSTACK(YES_Writing_ELA[#Data],YES_Writing_FLA[#Data]),MATCH($A447,_xlfn.VSTACK(YES_Writing_ELA[Student Number],YES_Writing_FLA[Student Number]),0),MATCH(VLOOKUP(F$7,'Writing Logic'!$J$7:$K$11,2,FALSE)&amp;" - Per "&amp;VLOOKUP($C$4,'Writing Logic'!$G$8:$H$14,2,FALSE),YES_Writing_ELA[#Headers],0)))="INS",'Writing Logic'!$B$7,IF(INDEX(_xlfn.VSTACK(YES_Writing_ELA[#Data],YES_Writing_FLA[#Data]),MATCH($A447,_xlfn.VSTACK(YES_Writing_ELA[Student Number],YES_Writing_FLA[Student Number]),0),MATCH(VLOOKUP(F$7,'Writing Logic'!$J$7:$K$11,2,FALSE)&amp;" - Per "&amp;VLOOKUP($C$4,'Writing Logic'!$G$8:$H$14,2,FALSE),YES_Writing_ELA[#Headers],0))=0,"",INDEX(_xlfn.VSTACK(YES_Writing_ELA[#Data],YES_Writing_FLA[#Data]),MATCH($A447,_xlfn.VSTACK(YES_Writing_ELA[Student Number],YES_Writing_FLA[Student Number]),0),MATCH(VLOOKUP(F$7,'Writing Logic'!$J$7:$K$11,2,FALSE)&amp;" - Per "&amp;VLOOKUP($C$4,'Writing Logic'!$G$8:$H$14,2,FALSE),YES_Writing_ELA[#Headers],0)))),"")</f>
        <v/>
      </c>
      <c r="G447" s="138" t="str">
        <f>IFERROR(IF(IF(INDEX(_xlfn.VSTACK(YES_Writing_ELA[#Data],YES_Writing_FLA[#Data]),MATCH($A447,_xlfn.VSTACK(YES_Writing_ELA[Student Number],YES_Writing_FLA[Student Number]),0),MATCH(VLOOKUP(G$7,'Writing Logic'!$J$7:$K$11,2,FALSE)&amp;" - Per "&amp;VLOOKUP($C$4,'Writing Logic'!$G$8:$H$14,2,FALSE),YES_Writing_ELA[#Headers],0))=0,"",INDEX(_xlfn.VSTACK(YES_Writing_ELA[#Data],YES_Writing_FLA[#Data]),MATCH($A447,_xlfn.VSTACK(YES_Writing_ELA[Student Number],YES_Writing_FLA[Student Number]),0),MATCH(VLOOKUP(G$7,'Writing Logic'!$J$7:$K$11,2,FALSE)&amp;" - Per "&amp;VLOOKUP($C$4,'Writing Logic'!$G$8:$H$14,2,FALSE),YES_Writing_ELA[#Headers],0)))="INS",'Writing Logic'!$B$7,IF(INDEX(_xlfn.VSTACK(YES_Writing_ELA[#Data],YES_Writing_FLA[#Data]),MATCH($A447,_xlfn.VSTACK(YES_Writing_ELA[Student Number],YES_Writing_FLA[Student Number]),0),MATCH(VLOOKUP(G$7,'Writing Logic'!$J$7:$K$11,2,FALSE)&amp;" - Per "&amp;VLOOKUP($C$4,'Writing Logic'!$G$8:$H$14,2,FALSE),YES_Writing_ELA[#Headers],0))=0,"",INDEX(_xlfn.VSTACK(YES_Writing_ELA[#Data],YES_Writing_FLA[#Data]),MATCH($A447,_xlfn.VSTACK(YES_Writing_ELA[Student Number],YES_Writing_FLA[Student Number]),0),MATCH(VLOOKUP(G$7,'Writing Logic'!$J$7:$K$11,2,FALSE)&amp;" - Per "&amp;VLOOKUP($C$4,'Writing Logic'!$G$8:$H$14,2,FALSE),YES_Writing_ELA[#Headers],0)))),"")</f>
        <v/>
      </c>
      <c r="H447" s="138" t="str">
        <f>IFERROR(IF(IF(INDEX(_xlfn.VSTACK(YES_Writing_ELA[#Data],YES_Writing_FLA[#Data]),MATCH($A447,_xlfn.VSTACK(YES_Writing_ELA[Student Number],YES_Writing_FLA[Student Number]),0),MATCH(VLOOKUP(H$7,'Writing Logic'!$J$7:$K$11,2,FALSE)&amp;" - Per "&amp;VLOOKUP($C$4,'Writing Logic'!$G$8:$H$14,2,FALSE),YES_Writing_ELA[#Headers],0))=0,"",INDEX(_xlfn.VSTACK(YES_Writing_ELA[#Data],YES_Writing_FLA[#Data]),MATCH($A447,_xlfn.VSTACK(YES_Writing_ELA[Student Number],YES_Writing_FLA[Student Number]),0),MATCH(VLOOKUP(H$7,'Writing Logic'!$J$7:$K$11,2,FALSE)&amp;" - Per "&amp;VLOOKUP($C$4,'Writing Logic'!$G$8:$H$14,2,FALSE),YES_Writing_ELA[#Headers],0)))="INS",'Writing Logic'!$B$7,IF(INDEX(_xlfn.VSTACK(YES_Writing_ELA[#Data],YES_Writing_FLA[#Data]),MATCH($A447,_xlfn.VSTACK(YES_Writing_ELA[Student Number],YES_Writing_FLA[Student Number]),0),MATCH(VLOOKUP(H$7,'Writing Logic'!$J$7:$K$11,2,FALSE)&amp;" - Per "&amp;VLOOKUP($C$4,'Writing Logic'!$G$8:$H$14,2,FALSE),YES_Writing_ELA[#Headers],0))=0,"",INDEX(_xlfn.VSTACK(YES_Writing_ELA[#Data],YES_Writing_FLA[#Data]),MATCH($A447,_xlfn.VSTACK(YES_Writing_ELA[Student Number],YES_Writing_FLA[Student Number]),0),MATCH(VLOOKUP(H$7,'Writing Logic'!$J$7:$K$11,2,FALSE)&amp;" - Per "&amp;VLOOKUP($C$4,'Writing Logic'!$G$8:$H$14,2,FALSE),YES_Writing_ELA[#Headers],0)))),"")</f>
        <v/>
      </c>
    </row>
    <row r="448" spans="1:8" x14ac:dyDescent="0.25">
      <c r="A448" s="137"/>
      <c r="B448" s="137" t="str">
        <f>IFERROR(INDEX(_xlfn.VSTACK(YES_Writing_ELA[#Data], YES_Writing_FLA[#Data]),MATCH($A448,_xlfn.VSTACK(YES_Writing_ELA[Student Number], YES_Writing_FLA[Student Number]),0),MATCH(B$7,YES_Writing_ELA[#Headers],0)),"")</f>
        <v/>
      </c>
      <c r="C448" s="137" t="str">
        <f>IFERROR(INDEX(_xlfn.VSTACK(YES_Writing_ELA[#Data], YES_Writing_FLA[#Data]),MATCH($A448,_xlfn.VSTACK(YES_Writing_ELA[Student Number], YES_Writing_FLA[Student Number]),0),MATCH(C$7,YES_Writing_ELA[#Headers],0)),"")</f>
        <v/>
      </c>
      <c r="D448" s="138" t="str">
        <f>IFERROR(IF(IF(INDEX(_xlfn.VSTACK(YES_Writing_ELA[#Data],YES_Writing_FLA[#Data]),MATCH($A448,_xlfn.VSTACK(YES_Writing_ELA[Student Number],YES_Writing_FLA[Student Number]),0),MATCH(VLOOKUP(D$7,'Writing Logic'!$J$7:$K$11,2,FALSE)&amp;" - Per "&amp;VLOOKUP($C$4,'Writing Logic'!$G$8:$H$14,2,FALSE),YES_Writing_ELA[#Headers],0))=0,"",INDEX(_xlfn.VSTACK(YES_Writing_ELA[#Data],YES_Writing_FLA[#Data]),MATCH($A448,_xlfn.VSTACK(YES_Writing_ELA[Student Number],YES_Writing_FLA[Student Number]),0),MATCH(VLOOKUP(D$7,'Writing Logic'!$J$7:$K$11,2,FALSE)&amp;" - Per "&amp;VLOOKUP($C$4,'Writing Logic'!$G$8:$H$14,2,FALSE),YES_Writing_ELA[#Headers],0)))="INS",'Writing Logic'!$B$7,IF(INDEX(_xlfn.VSTACK(YES_Writing_ELA[#Data],YES_Writing_FLA[#Data]),MATCH($A448,_xlfn.VSTACK(YES_Writing_ELA[Student Number],YES_Writing_FLA[Student Number]),0),MATCH(VLOOKUP(D$7,'Writing Logic'!$J$7:$K$11,2,FALSE)&amp;" - Per "&amp;VLOOKUP($C$4,'Writing Logic'!$G$8:$H$14,2,FALSE),YES_Writing_ELA[#Headers],0))=0,"",INDEX(_xlfn.VSTACK(YES_Writing_ELA[#Data],YES_Writing_FLA[#Data]),MATCH($A448,_xlfn.VSTACK(YES_Writing_ELA[Student Number],YES_Writing_FLA[Student Number]),0),MATCH(VLOOKUP(D$7,'Writing Logic'!$J$7:$K$11,2,FALSE)&amp;" - Per "&amp;VLOOKUP($C$4,'Writing Logic'!$G$8:$H$14,2,FALSE),YES_Writing_ELA[#Headers],0)))),"")</f>
        <v/>
      </c>
      <c r="E448" s="138" t="str">
        <f>IFERROR(IF(IF(INDEX(_xlfn.VSTACK(YES_Writing_ELA[#Data],YES_Writing_FLA[#Data]),MATCH($A448,_xlfn.VSTACK(YES_Writing_ELA[Student Number],YES_Writing_FLA[Student Number]),0),MATCH(VLOOKUP(E$7,'Writing Logic'!$J$7:$K$11,2,FALSE)&amp;" - Per "&amp;VLOOKUP($C$4,'Writing Logic'!$G$8:$H$14,2,FALSE),YES_Writing_ELA[#Headers],0))=0,"",INDEX(_xlfn.VSTACK(YES_Writing_ELA[#Data],YES_Writing_FLA[#Data]),MATCH($A448,_xlfn.VSTACK(YES_Writing_ELA[Student Number],YES_Writing_FLA[Student Number]),0),MATCH(VLOOKUP(E$7,'Writing Logic'!$J$7:$K$11,2,FALSE)&amp;" - Per "&amp;VLOOKUP($C$4,'Writing Logic'!$G$8:$H$14,2,FALSE),YES_Writing_ELA[#Headers],0)))="INS",'Writing Logic'!$B$7,IF(INDEX(_xlfn.VSTACK(YES_Writing_ELA[#Data],YES_Writing_FLA[#Data]),MATCH($A448,_xlfn.VSTACK(YES_Writing_ELA[Student Number],YES_Writing_FLA[Student Number]),0),MATCH(VLOOKUP(E$7,'Writing Logic'!$J$7:$K$11,2,FALSE)&amp;" - Per "&amp;VLOOKUP($C$4,'Writing Logic'!$G$8:$H$14,2,FALSE),YES_Writing_ELA[#Headers],0))=0,"",INDEX(_xlfn.VSTACK(YES_Writing_ELA[#Data],YES_Writing_FLA[#Data]),MATCH($A448,_xlfn.VSTACK(YES_Writing_ELA[Student Number],YES_Writing_FLA[Student Number]),0),MATCH(VLOOKUP(E$7,'Writing Logic'!$J$7:$K$11,2,FALSE)&amp;" - Per "&amp;VLOOKUP($C$4,'Writing Logic'!$G$8:$H$14,2,FALSE),YES_Writing_ELA[#Headers],0)))),"")</f>
        <v/>
      </c>
      <c r="F448" s="138" t="str">
        <f>IFERROR(IF(IF(INDEX(_xlfn.VSTACK(YES_Writing_ELA[#Data],YES_Writing_FLA[#Data]),MATCH($A448,_xlfn.VSTACK(YES_Writing_ELA[Student Number],YES_Writing_FLA[Student Number]),0),MATCH(VLOOKUP(F$7,'Writing Logic'!$J$7:$K$11,2,FALSE)&amp;" - Per "&amp;VLOOKUP($C$4,'Writing Logic'!$G$8:$H$14,2,FALSE),YES_Writing_ELA[#Headers],0))=0,"",INDEX(_xlfn.VSTACK(YES_Writing_ELA[#Data],YES_Writing_FLA[#Data]),MATCH($A448,_xlfn.VSTACK(YES_Writing_ELA[Student Number],YES_Writing_FLA[Student Number]),0),MATCH(VLOOKUP(F$7,'Writing Logic'!$J$7:$K$11,2,FALSE)&amp;" - Per "&amp;VLOOKUP($C$4,'Writing Logic'!$G$8:$H$14,2,FALSE),YES_Writing_ELA[#Headers],0)))="INS",'Writing Logic'!$B$7,IF(INDEX(_xlfn.VSTACK(YES_Writing_ELA[#Data],YES_Writing_FLA[#Data]),MATCH($A448,_xlfn.VSTACK(YES_Writing_ELA[Student Number],YES_Writing_FLA[Student Number]),0),MATCH(VLOOKUP(F$7,'Writing Logic'!$J$7:$K$11,2,FALSE)&amp;" - Per "&amp;VLOOKUP($C$4,'Writing Logic'!$G$8:$H$14,2,FALSE),YES_Writing_ELA[#Headers],0))=0,"",INDEX(_xlfn.VSTACK(YES_Writing_ELA[#Data],YES_Writing_FLA[#Data]),MATCH($A448,_xlfn.VSTACK(YES_Writing_ELA[Student Number],YES_Writing_FLA[Student Number]),0),MATCH(VLOOKUP(F$7,'Writing Logic'!$J$7:$K$11,2,FALSE)&amp;" - Per "&amp;VLOOKUP($C$4,'Writing Logic'!$G$8:$H$14,2,FALSE),YES_Writing_ELA[#Headers],0)))),"")</f>
        <v/>
      </c>
      <c r="G448" s="138" t="str">
        <f>IFERROR(IF(IF(INDEX(_xlfn.VSTACK(YES_Writing_ELA[#Data],YES_Writing_FLA[#Data]),MATCH($A448,_xlfn.VSTACK(YES_Writing_ELA[Student Number],YES_Writing_FLA[Student Number]),0),MATCH(VLOOKUP(G$7,'Writing Logic'!$J$7:$K$11,2,FALSE)&amp;" - Per "&amp;VLOOKUP($C$4,'Writing Logic'!$G$8:$H$14,2,FALSE),YES_Writing_ELA[#Headers],0))=0,"",INDEX(_xlfn.VSTACK(YES_Writing_ELA[#Data],YES_Writing_FLA[#Data]),MATCH($A448,_xlfn.VSTACK(YES_Writing_ELA[Student Number],YES_Writing_FLA[Student Number]),0),MATCH(VLOOKUP(G$7,'Writing Logic'!$J$7:$K$11,2,FALSE)&amp;" - Per "&amp;VLOOKUP($C$4,'Writing Logic'!$G$8:$H$14,2,FALSE),YES_Writing_ELA[#Headers],0)))="INS",'Writing Logic'!$B$7,IF(INDEX(_xlfn.VSTACK(YES_Writing_ELA[#Data],YES_Writing_FLA[#Data]),MATCH($A448,_xlfn.VSTACK(YES_Writing_ELA[Student Number],YES_Writing_FLA[Student Number]),0),MATCH(VLOOKUP(G$7,'Writing Logic'!$J$7:$K$11,2,FALSE)&amp;" - Per "&amp;VLOOKUP($C$4,'Writing Logic'!$G$8:$H$14,2,FALSE),YES_Writing_ELA[#Headers],0))=0,"",INDEX(_xlfn.VSTACK(YES_Writing_ELA[#Data],YES_Writing_FLA[#Data]),MATCH($A448,_xlfn.VSTACK(YES_Writing_ELA[Student Number],YES_Writing_FLA[Student Number]),0),MATCH(VLOOKUP(G$7,'Writing Logic'!$J$7:$K$11,2,FALSE)&amp;" - Per "&amp;VLOOKUP($C$4,'Writing Logic'!$G$8:$H$14,2,FALSE),YES_Writing_ELA[#Headers],0)))),"")</f>
        <v/>
      </c>
      <c r="H448" s="138" t="str">
        <f>IFERROR(IF(IF(INDEX(_xlfn.VSTACK(YES_Writing_ELA[#Data],YES_Writing_FLA[#Data]),MATCH($A448,_xlfn.VSTACK(YES_Writing_ELA[Student Number],YES_Writing_FLA[Student Number]),0),MATCH(VLOOKUP(H$7,'Writing Logic'!$J$7:$K$11,2,FALSE)&amp;" - Per "&amp;VLOOKUP($C$4,'Writing Logic'!$G$8:$H$14,2,FALSE),YES_Writing_ELA[#Headers],0))=0,"",INDEX(_xlfn.VSTACK(YES_Writing_ELA[#Data],YES_Writing_FLA[#Data]),MATCH($A448,_xlfn.VSTACK(YES_Writing_ELA[Student Number],YES_Writing_FLA[Student Number]),0),MATCH(VLOOKUP(H$7,'Writing Logic'!$J$7:$K$11,2,FALSE)&amp;" - Per "&amp;VLOOKUP($C$4,'Writing Logic'!$G$8:$H$14,2,FALSE),YES_Writing_ELA[#Headers],0)))="INS",'Writing Logic'!$B$7,IF(INDEX(_xlfn.VSTACK(YES_Writing_ELA[#Data],YES_Writing_FLA[#Data]),MATCH($A448,_xlfn.VSTACK(YES_Writing_ELA[Student Number],YES_Writing_FLA[Student Number]),0),MATCH(VLOOKUP(H$7,'Writing Logic'!$J$7:$K$11,2,FALSE)&amp;" - Per "&amp;VLOOKUP($C$4,'Writing Logic'!$G$8:$H$14,2,FALSE),YES_Writing_ELA[#Headers],0))=0,"",INDEX(_xlfn.VSTACK(YES_Writing_ELA[#Data],YES_Writing_FLA[#Data]),MATCH($A448,_xlfn.VSTACK(YES_Writing_ELA[Student Number],YES_Writing_FLA[Student Number]),0),MATCH(VLOOKUP(H$7,'Writing Logic'!$J$7:$K$11,2,FALSE)&amp;" - Per "&amp;VLOOKUP($C$4,'Writing Logic'!$G$8:$H$14,2,FALSE),YES_Writing_ELA[#Headers],0)))),"")</f>
        <v/>
      </c>
    </row>
    <row r="449" spans="1:8" x14ac:dyDescent="0.25">
      <c r="A449" s="137"/>
      <c r="B449" s="137" t="str">
        <f>IFERROR(INDEX(_xlfn.VSTACK(YES_Writing_ELA[#Data], YES_Writing_FLA[#Data]),MATCH($A449,_xlfn.VSTACK(YES_Writing_ELA[Student Number], YES_Writing_FLA[Student Number]),0),MATCH(B$7,YES_Writing_ELA[#Headers],0)),"")</f>
        <v/>
      </c>
      <c r="C449" s="137" t="str">
        <f>IFERROR(INDEX(_xlfn.VSTACK(YES_Writing_ELA[#Data], YES_Writing_FLA[#Data]),MATCH($A449,_xlfn.VSTACK(YES_Writing_ELA[Student Number], YES_Writing_FLA[Student Number]),0),MATCH(C$7,YES_Writing_ELA[#Headers],0)),"")</f>
        <v/>
      </c>
      <c r="D449" s="138" t="str">
        <f>IFERROR(IF(IF(INDEX(_xlfn.VSTACK(YES_Writing_ELA[#Data],YES_Writing_FLA[#Data]),MATCH($A449,_xlfn.VSTACK(YES_Writing_ELA[Student Number],YES_Writing_FLA[Student Number]),0),MATCH(VLOOKUP(D$7,'Writing Logic'!$J$7:$K$11,2,FALSE)&amp;" - Per "&amp;VLOOKUP($C$4,'Writing Logic'!$G$8:$H$14,2,FALSE),YES_Writing_ELA[#Headers],0))=0,"",INDEX(_xlfn.VSTACK(YES_Writing_ELA[#Data],YES_Writing_FLA[#Data]),MATCH($A449,_xlfn.VSTACK(YES_Writing_ELA[Student Number],YES_Writing_FLA[Student Number]),0),MATCH(VLOOKUP(D$7,'Writing Logic'!$J$7:$K$11,2,FALSE)&amp;" - Per "&amp;VLOOKUP($C$4,'Writing Logic'!$G$8:$H$14,2,FALSE),YES_Writing_ELA[#Headers],0)))="INS",'Writing Logic'!$B$7,IF(INDEX(_xlfn.VSTACK(YES_Writing_ELA[#Data],YES_Writing_FLA[#Data]),MATCH($A449,_xlfn.VSTACK(YES_Writing_ELA[Student Number],YES_Writing_FLA[Student Number]),0),MATCH(VLOOKUP(D$7,'Writing Logic'!$J$7:$K$11,2,FALSE)&amp;" - Per "&amp;VLOOKUP($C$4,'Writing Logic'!$G$8:$H$14,2,FALSE),YES_Writing_ELA[#Headers],0))=0,"",INDEX(_xlfn.VSTACK(YES_Writing_ELA[#Data],YES_Writing_FLA[#Data]),MATCH($A449,_xlfn.VSTACK(YES_Writing_ELA[Student Number],YES_Writing_FLA[Student Number]),0),MATCH(VLOOKUP(D$7,'Writing Logic'!$J$7:$K$11,2,FALSE)&amp;" - Per "&amp;VLOOKUP($C$4,'Writing Logic'!$G$8:$H$14,2,FALSE),YES_Writing_ELA[#Headers],0)))),"")</f>
        <v/>
      </c>
      <c r="E449" s="138" t="str">
        <f>IFERROR(IF(IF(INDEX(_xlfn.VSTACK(YES_Writing_ELA[#Data],YES_Writing_FLA[#Data]),MATCH($A449,_xlfn.VSTACK(YES_Writing_ELA[Student Number],YES_Writing_FLA[Student Number]),0),MATCH(VLOOKUP(E$7,'Writing Logic'!$J$7:$K$11,2,FALSE)&amp;" - Per "&amp;VLOOKUP($C$4,'Writing Logic'!$G$8:$H$14,2,FALSE),YES_Writing_ELA[#Headers],0))=0,"",INDEX(_xlfn.VSTACK(YES_Writing_ELA[#Data],YES_Writing_FLA[#Data]),MATCH($A449,_xlfn.VSTACK(YES_Writing_ELA[Student Number],YES_Writing_FLA[Student Number]),0),MATCH(VLOOKUP(E$7,'Writing Logic'!$J$7:$K$11,2,FALSE)&amp;" - Per "&amp;VLOOKUP($C$4,'Writing Logic'!$G$8:$H$14,2,FALSE),YES_Writing_ELA[#Headers],0)))="INS",'Writing Logic'!$B$7,IF(INDEX(_xlfn.VSTACK(YES_Writing_ELA[#Data],YES_Writing_FLA[#Data]),MATCH($A449,_xlfn.VSTACK(YES_Writing_ELA[Student Number],YES_Writing_FLA[Student Number]),0),MATCH(VLOOKUP(E$7,'Writing Logic'!$J$7:$K$11,2,FALSE)&amp;" - Per "&amp;VLOOKUP($C$4,'Writing Logic'!$G$8:$H$14,2,FALSE),YES_Writing_ELA[#Headers],0))=0,"",INDEX(_xlfn.VSTACK(YES_Writing_ELA[#Data],YES_Writing_FLA[#Data]),MATCH($A449,_xlfn.VSTACK(YES_Writing_ELA[Student Number],YES_Writing_FLA[Student Number]),0),MATCH(VLOOKUP(E$7,'Writing Logic'!$J$7:$K$11,2,FALSE)&amp;" - Per "&amp;VLOOKUP($C$4,'Writing Logic'!$G$8:$H$14,2,FALSE),YES_Writing_ELA[#Headers],0)))),"")</f>
        <v/>
      </c>
      <c r="F449" s="138" t="str">
        <f>IFERROR(IF(IF(INDEX(_xlfn.VSTACK(YES_Writing_ELA[#Data],YES_Writing_FLA[#Data]),MATCH($A449,_xlfn.VSTACK(YES_Writing_ELA[Student Number],YES_Writing_FLA[Student Number]),0),MATCH(VLOOKUP(F$7,'Writing Logic'!$J$7:$K$11,2,FALSE)&amp;" - Per "&amp;VLOOKUP($C$4,'Writing Logic'!$G$8:$H$14,2,FALSE),YES_Writing_ELA[#Headers],0))=0,"",INDEX(_xlfn.VSTACK(YES_Writing_ELA[#Data],YES_Writing_FLA[#Data]),MATCH($A449,_xlfn.VSTACK(YES_Writing_ELA[Student Number],YES_Writing_FLA[Student Number]),0),MATCH(VLOOKUP(F$7,'Writing Logic'!$J$7:$K$11,2,FALSE)&amp;" - Per "&amp;VLOOKUP($C$4,'Writing Logic'!$G$8:$H$14,2,FALSE),YES_Writing_ELA[#Headers],0)))="INS",'Writing Logic'!$B$7,IF(INDEX(_xlfn.VSTACK(YES_Writing_ELA[#Data],YES_Writing_FLA[#Data]),MATCH($A449,_xlfn.VSTACK(YES_Writing_ELA[Student Number],YES_Writing_FLA[Student Number]),0),MATCH(VLOOKUP(F$7,'Writing Logic'!$J$7:$K$11,2,FALSE)&amp;" - Per "&amp;VLOOKUP($C$4,'Writing Logic'!$G$8:$H$14,2,FALSE),YES_Writing_ELA[#Headers],0))=0,"",INDEX(_xlfn.VSTACK(YES_Writing_ELA[#Data],YES_Writing_FLA[#Data]),MATCH($A449,_xlfn.VSTACK(YES_Writing_ELA[Student Number],YES_Writing_FLA[Student Number]),0),MATCH(VLOOKUP(F$7,'Writing Logic'!$J$7:$K$11,2,FALSE)&amp;" - Per "&amp;VLOOKUP($C$4,'Writing Logic'!$G$8:$H$14,2,FALSE),YES_Writing_ELA[#Headers],0)))),"")</f>
        <v/>
      </c>
      <c r="G449" s="138" t="str">
        <f>IFERROR(IF(IF(INDEX(_xlfn.VSTACK(YES_Writing_ELA[#Data],YES_Writing_FLA[#Data]),MATCH($A449,_xlfn.VSTACK(YES_Writing_ELA[Student Number],YES_Writing_FLA[Student Number]),0),MATCH(VLOOKUP(G$7,'Writing Logic'!$J$7:$K$11,2,FALSE)&amp;" - Per "&amp;VLOOKUP($C$4,'Writing Logic'!$G$8:$H$14,2,FALSE),YES_Writing_ELA[#Headers],0))=0,"",INDEX(_xlfn.VSTACK(YES_Writing_ELA[#Data],YES_Writing_FLA[#Data]),MATCH($A449,_xlfn.VSTACK(YES_Writing_ELA[Student Number],YES_Writing_FLA[Student Number]),0),MATCH(VLOOKUP(G$7,'Writing Logic'!$J$7:$K$11,2,FALSE)&amp;" - Per "&amp;VLOOKUP($C$4,'Writing Logic'!$G$8:$H$14,2,FALSE),YES_Writing_ELA[#Headers],0)))="INS",'Writing Logic'!$B$7,IF(INDEX(_xlfn.VSTACK(YES_Writing_ELA[#Data],YES_Writing_FLA[#Data]),MATCH($A449,_xlfn.VSTACK(YES_Writing_ELA[Student Number],YES_Writing_FLA[Student Number]),0),MATCH(VLOOKUP(G$7,'Writing Logic'!$J$7:$K$11,2,FALSE)&amp;" - Per "&amp;VLOOKUP($C$4,'Writing Logic'!$G$8:$H$14,2,FALSE),YES_Writing_ELA[#Headers],0))=0,"",INDEX(_xlfn.VSTACK(YES_Writing_ELA[#Data],YES_Writing_FLA[#Data]),MATCH($A449,_xlfn.VSTACK(YES_Writing_ELA[Student Number],YES_Writing_FLA[Student Number]),0),MATCH(VLOOKUP(G$7,'Writing Logic'!$J$7:$K$11,2,FALSE)&amp;" - Per "&amp;VLOOKUP($C$4,'Writing Logic'!$G$8:$H$14,2,FALSE),YES_Writing_ELA[#Headers],0)))),"")</f>
        <v/>
      </c>
      <c r="H449" s="138" t="str">
        <f>IFERROR(IF(IF(INDEX(_xlfn.VSTACK(YES_Writing_ELA[#Data],YES_Writing_FLA[#Data]),MATCH($A449,_xlfn.VSTACK(YES_Writing_ELA[Student Number],YES_Writing_FLA[Student Number]),0),MATCH(VLOOKUP(H$7,'Writing Logic'!$J$7:$K$11,2,FALSE)&amp;" - Per "&amp;VLOOKUP($C$4,'Writing Logic'!$G$8:$H$14,2,FALSE),YES_Writing_ELA[#Headers],0))=0,"",INDEX(_xlfn.VSTACK(YES_Writing_ELA[#Data],YES_Writing_FLA[#Data]),MATCH($A449,_xlfn.VSTACK(YES_Writing_ELA[Student Number],YES_Writing_FLA[Student Number]),0),MATCH(VLOOKUP(H$7,'Writing Logic'!$J$7:$K$11,2,FALSE)&amp;" - Per "&amp;VLOOKUP($C$4,'Writing Logic'!$G$8:$H$14,2,FALSE),YES_Writing_ELA[#Headers],0)))="INS",'Writing Logic'!$B$7,IF(INDEX(_xlfn.VSTACK(YES_Writing_ELA[#Data],YES_Writing_FLA[#Data]),MATCH($A449,_xlfn.VSTACK(YES_Writing_ELA[Student Number],YES_Writing_FLA[Student Number]),0),MATCH(VLOOKUP(H$7,'Writing Logic'!$J$7:$K$11,2,FALSE)&amp;" - Per "&amp;VLOOKUP($C$4,'Writing Logic'!$G$8:$H$14,2,FALSE),YES_Writing_ELA[#Headers],0))=0,"",INDEX(_xlfn.VSTACK(YES_Writing_ELA[#Data],YES_Writing_FLA[#Data]),MATCH($A449,_xlfn.VSTACK(YES_Writing_ELA[Student Number],YES_Writing_FLA[Student Number]),0),MATCH(VLOOKUP(H$7,'Writing Logic'!$J$7:$K$11,2,FALSE)&amp;" - Per "&amp;VLOOKUP($C$4,'Writing Logic'!$G$8:$H$14,2,FALSE),YES_Writing_ELA[#Headers],0)))),"")</f>
        <v/>
      </c>
    </row>
    <row r="450" spans="1:8" x14ac:dyDescent="0.25">
      <c r="A450" s="137"/>
      <c r="B450" s="137" t="str">
        <f>IFERROR(INDEX(_xlfn.VSTACK(YES_Writing_ELA[#Data], YES_Writing_FLA[#Data]),MATCH($A450,_xlfn.VSTACK(YES_Writing_ELA[Student Number], YES_Writing_FLA[Student Number]),0),MATCH(B$7,YES_Writing_ELA[#Headers],0)),"")</f>
        <v/>
      </c>
      <c r="C450" s="137" t="str">
        <f>IFERROR(INDEX(_xlfn.VSTACK(YES_Writing_ELA[#Data], YES_Writing_FLA[#Data]),MATCH($A450,_xlfn.VSTACK(YES_Writing_ELA[Student Number], YES_Writing_FLA[Student Number]),0),MATCH(C$7,YES_Writing_ELA[#Headers],0)),"")</f>
        <v/>
      </c>
      <c r="D450" s="138" t="str">
        <f>IFERROR(IF(IF(INDEX(_xlfn.VSTACK(YES_Writing_ELA[#Data],YES_Writing_FLA[#Data]),MATCH($A450,_xlfn.VSTACK(YES_Writing_ELA[Student Number],YES_Writing_FLA[Student Number]),0),MATCH(VLOOKUP(D$7,'Writing Logic'!$J$7:$K$11,2,FALSE)&amp;" - Per "&amp;VLOOKUP($C$4,'Writing Logic'!$G$8:$H$14,2,FALSE),YES_Writing_ELA[#Headers],0))=0,"",INDEX(_xlfn.VSTACK(YES_Writing_ELA[#Data],YES_Writing_FLA[#Data]),MATCH($A450,_xlfn.VSTACK(YES_Writing_ELA[Student Number],YES_Writing_FLA[Student Number]),0),MATCH(VLOOKUP(D$7,'Writing Logic'!$J$7:$K$11,2,FALSE)&amp;" - Per "&amp;VLOOKUP($C$4,'Writing Logic'!$G$8:$H$14,2,FALSE),YES_Writing_ELA[#Headers],0)))="INS",'Writing Logic'!$B$7,IF(INDEX(_xlfn.VSTACK(YES_Writing_ELA[#Data],YES_Writing_FLA[#Data]),MATCH($A450,_xlfn.VSTACK(YES_Writing_ELA[Student Number],YES_Writing_FLA[Student Number]),0),MATCH(VLOOKUP(D$7,'Writing Logic'!$J$7:$K$11,2,FALSE)&amp;" - Per "&amp;VLOOKUP($C$4,'Writing Logic'!$G$8:$H$14,2,FALSE),YES_Writing_ELA[#Headers],0))=0,"",INDEX(_xlfn.VSTACK(YES_Writing_ELA[#Data],YES_Writing_FLA[#Data]),MATCH($A450,_xlfn.VSTACK(YES_Writing_ELA[Student Number],YES_Writing_FLA[Student Number]),0),MATCH(VLOOKUP(D$7,'Writing Logic'!$J$7:$K$11,2,FALSE)&amp;" - Per "&amp;VLOOKUP($C$4,'Writing Logic'!$G$8:$H$14,2,FALSE),YES_Writing_ELA[#Headers],0)))),"")</f>
        <v/>
      </c>
      <c r="E450" s="138" t="str">
        <f>IFERROR(IF(IF(INDEX(_xlfn.VSTACK(YES_Writing_ELA[#Data],YES_Writing_FLA[#Data]),MATCH($A450,_xlfn.VSTACK(YES_Writing_ELA[Student Number],YES_Writing_FLA[Student Number]),0),MATCH(VLOOKUP(E$7,'Writing Logic'!$J$7:$K$11,2,FALSE)&amp;" - Per "&amp;VLOOKUP($C$4,'Writing Logic'!$G$8:$H$14,2,FALSE),YES_Writing_ELA[#Headers],0))=0,"",INDEX(_xlfn.VSTACK(YES_Writing_ELA[#Data],YES_Writing_FLA[#Data]),MATCH($A450,_xlfn.VSTACK(YES_Writing_ELA[Student Number],YES_Writing_FLA[Student Number]),0),MATCH(VLOOKUP(E$7,'Writing Logic'!$J$7:$K$11,2,FALSE)&amp;" - Per "&amp;VLOOKUP($C$4,'Writing Logic'!$G$8:$H$14,2,FALSE),YES_Writing_ELA[#Headers],0)))="INS",'Writing Logic'!$B$7,IF(INDEX(_xlfn.VSTACK(YES_Writing_ELA[#Data],YES_Writing_FLA[#Data]),MATCH($A450,_xlfn.VSTACK(YES_Writing_ELA[Student Number],YES_Writing_FLA[Student Number]),0),MATCH(VLOOKUP(E$7,'Writing Logic'!$J$7:$K$11,2,FALSE)&amp;" - Per "&amp;VLOOKUP($C$4,'Writing Logic'!$G$8:$H$14,2,FALSE),YES_Writing_ELA[#Headers],0))=0,"",INDEX(_xlfn.VSTACK(YES_Writing_ELA[#Data],YES_Writing_FLA[#Data]),MATCH($A450,_xlfn.VSTACK(YES_Writing_ELA[Student Number],YES_Writing_FLA[Student Number]),0),MATCH(VLOOKUP(E$7,'Writing Logic'!$J$7:$K$11,2,FALSE)&amp;" - Per "&amp;VLOOKUP($C$4,'Writing Logic'!$G$8:$H$14,2,FALSE),YES_Writing_ELA[#Headers],0)))),"")</f>
        <v/>
      </c>
      <c r="F450" s="138" t="str">
        <f>IFERROR(IF(IF(INDEX(_xlfn.VSTACK(YES_Writing_ELA[#Data],YES_Writing_FLA[#Data]),MATCH($A450,_xlfn.VSTACK(YES_Writing_ELA[Student Number],YES_Writing_FLA[Student Number]),0),MATCH(VLOOKUP(F$7,'Writing Logic'!$J$7:$K$11,2,FALSE)&amp;" - Per "&amp;VLOOKUP($C$4,'Writing Logic'!$G$8:$H$14,2,FALSE),YES_Writing_ELA[#Headers],0))=0,"",INDEX(_xlfn.VSTACK(YES_Writing_ELA[#Data],YES_Writing_FLA[#Data]),MATCH($A450,_xlfn.VSTACK(YES_Writing_ELA[Student Number],YES_Writing_FLA[Student Number]),0),MATCH(VLOOKUP(F$7,'Writing Logic'!$J$7:$K$11,2,FALSE)&amp;" - Per "&amp;VLOOKUP($C$4,'Writing Logic'!$G$8:$H$14,2,FALSE),YES_Writing_ELA[#Headers],0)))="INS",'Writing Logic'!$B$7,IF(INDEX(_xlfn.VSTACK(YES_Writing_ELA[#Data],YES_Writing_FLA[#Data]),MATCH($A450,_xlfn.VSTACK(YES_Writing_ELA[Student Number],YES_Writing_FLA[Student Number]),0),MATCH(VLOOKUP(F$7,'Writing Logic'!$J$7:$K$11,2,FALSE)&amp;" - Per "&amp;VLOOKUP($C$4,'Writing Logic'!$G$8:$H$14,2,FALSE),YES_Writing_ELA[#Headers],0))=0,"",INDEX(_xlfn.VSTACK(YES_Writing_ELA[#Data],YES_Writing_FLA[#Data]),MATCH($A450,_xlfn.VSTACK(YES_Writing_ELA[Student Number],YES_Writing_FLA[Student Number]),0),MATCH(VLOOKUP(F$7,'Writing Logic'!$J$7:$K$11,2,FALSE)&amp;" - Per "&amp;VLOOKUP($C$4,'Writing Logic'!$G$8:$H$14,2,FALSE),YES_Writing_ELA[#Headers],0)))),"")</f>
        <v/>
      </c>
      <c r="G450" s="138" t="str">
        <f>IFERROR(IF(IF(INDEX(_xlfn.VSTACK(YES_Writing_ELA[#Data],YES_Writing_FLA[#Data]),MATCH($A450,_xlfn.VSTACK(YES_Writing_ELA[Student Number],YES_Writing_FLA[Student Number]),0),MATCH(VLOOKUP(G$7,'Writing Logic'!$J$7:$K$11,2,FALSE)&amp;" - Per "&amp;VLOOKUP($C$4,'Writing Logic'!$G$8:$H$14,2,FALSE),YES_Writing_ELA[#Headers],0))=0,"",INDEX(_xlfn.VSTACK(YES_Writing_ELA[#Data],YES_Writing_FLA[#Data]),MATCH($A450,_xlfn.VSTACK(YES_Writing_ELA[Student Number],YES_Writing_FLA[Student Number]),0),MATCH(VLOOKUP(G$7,'Writing Logic'!$J$7:$K$11,2,FALSE)&amp;" - Per "&amp;VLOOKUP($C$4,'Writing Logic'!$G$8:$H$14,2,FALSE),YES_Writing_ELA[#Headers],0)))="INS",'Writing Logic'!$B$7,IF(INDEX(_xlfn.VSTACK(YES_Writing_ELA[#Data],YES_Writing_FLA[#Data]),MATCH($A450,_xlfn.VSTACK(YES_Writing_ELA[Student Number],YES_Writing_FLA[Student Number]),0),MATCH(VLOOKUP(G$7,'Writing Logic'!$J$7:$K$11,2,FALSE)&amp;" - Per "&amp;VLOOKUP($C$4,'Writing Logic'!$G$8:$H$14,2,FALSE),YES_Writing_ELA[#Headers],0))=0,"",INDEX(_xlfn.VSTACK(YES_Writing_ELA[#Data],YES_Writing_FLA[#Data]),MATCH($A450,_xlfn.VSTACK(YES_Writing_ELA[Student Number],YES_Writing_FLA[Student Number]),0),MATCH(VLOOKUP(G$7,'Writing Logic'!$J$7:$K$11,2,FALSE)&amp;" - Per "&amp;VLOOKUP($C$4,'Writing Logic'!$G$8:$H$14,2,FALSE),YES_Writing_ELA[#Headers],0)))),"")</f>
        <v/>
      </c>
      <c r="H450" s="138" t="str">
        <f>IFERROR(IF(IF(INDEX(_xlfn.VSTACK(YES_Writing_ELA[#Data],YES_Writing_FLA[#Data]),MATCH($A450,_xlfn.VSTACK(YES_Writing_ELA[Student Number],YES_Writing_FLA[Student Number]),0),MATCH(VLOOKUP(H$7,'Writing Logic'!$J$7:$K$11,2,FALSE)&amp;" - Per "&amp;VLOOKUP($C$4,'Writing Logic'!$G$8:$H$14,2,FALSE),YES_Writing_ELA[#Headers],0))=0,"",INDEX(_xlfn.VSTACK(YES_Writing_ELA[#Data],YES_Writing_FLA[#Data]),MATCH($A450,_xlfn.VSTACK(YES_Writing_ELA[Student Number],YES_Writing_FLA[Student Number]),0),MATCH(VLOOKUP(H$7,'Writing Logic'!$J$7:$K$11,2,FALSE)&amp;" - Per "&amp;VLOOKUP($C$4,'Writing Logic'!$G$8:$H$14,2,FALSE),YES_Writing_ELA[#Headers],0)))="INS",'Writing Logic'!$B$7,IF(INDEX(_xlfn.VSTACK(YES_Writing_ELA[#Data],YES_Writing_FLA[#Data]),MATCH($A450,_xlfn.VSTACK(YES_Writing_ELA[Student Number],YES_Writing_FLA[Student Number]),0),MATCH(VLOOKUP(H$7,'Writing Logic'!$J$7:$K$11,2,FALSE)&amp;" - Per "&amp;VLOOKUP($C$4,'Writing Logic'!$G$8:$H$14,2,FALSE),YES_Writing_ELA[#Headers],0))=0,"",INDEX(_xlfn.VSTACK(YES_Writing_ELA[#Data],YES_Writing_FLA[#Data]),MATCH($A450,_xlfn.VSTACK(YES_Writing_ELA[Student Number],YES_Writing_FLA[Student Number]),0),MATCH(VLOOKUP(H$7,'Writing Logic'!$J$7:$K$11,2,FALSE)&amp;" - Per "&amp;VLOOKUP($C$4,'Writing Logic'!$G$8:$H$14,2,FALSE),YES_Writing_ELA[#Headers],0)))),"")</f>
        <v/>
      </c>
    </row>
    <row r="451" spans="1:8" x14ac:dyDescent="0.25">
      <c r="A451" s="137"/>
      <c r="B451" s="137" t="str">
        <f>IFERROR(INDEX(_xlfn.VSTACK(YES_Writing_ELA[#Data], YES_Writing_FLA[#Data]),MATCH($A451,_xlfn.VSTACK(YES_Writing_ELA[Student Number], YES_Writing_FLA[Student Number]),0),MATCH(B$7,YES_Writing_ELA[#Headers],0)),"")</f>
        <v/>
      </c>
      <c r="C451" s="137" t="str">
        <f>IFERROR(INDEX(_xlfn.VSTACK(YES_Writing_ELA[#Data], YES_Writing_FLA[#Data]),MATCH($A451,_xlfn.VSTACK(YES_Writing_ELA[Student Number], YES_Writing_FLA[Student Number]),0),MATCH(C$7,YES_Writing_ELA[#Headers],0)),"")</f>
        <v/>
      </c>
      <c r="D451" s="138" t="str">
        <f>IFERROR(IF(IF(INDEX(_xlfn.VSTACK(YES_Writing_ELA[#Data],YES_Writing_FLA[#Data]),MATCH($A451,_xlfn.VSTACK(YES_Writing_ELA[Student Number],YES_Writing_FLA[Student Number]),0),MATCH(VLOOKUP(D$7,'Writing Logic'!$J$7:$K$11,2,FALSE)&amp;" - Per "&amp;VLOOKUP($C$4,'Writing Logic'!$G$8:$H$14,2,FALSE),YES_Writing_ELA[#Headers],0))=0,"",INDEX(_xlfn.VSTACK(YES_Writing_ELA[#Data],YES_Writing_FLA[#Data]),MATCH($A451,_xlfn.VSTACK(YES_Writing_ELA[Student Number],YES_Writing_FLA[Student Number]),0),MATCH(VLOOKUP(D$7,'Writing Logic'!$J$7:$K$11,2,FALSE)&amp;" - Per "&amp;VLOOKUP($C$4,'Writing Logic'!$G$8:$H$14,2,FALSE),YES_Writing_ELA[#Headers],0)))="INS",'Writing Logic'!$B$7,IF(INDEX(_xlfn.VSTACK(YES_Writing_ELA[#Data],YES_Writing_FLA[#Data]),MATCH($A451,_xlfn.VSTACK(YES_Writing_ELA[Student Number],YES_Writing_FLA[Student Number]),0),MATCH(VLOOKUP(D$7,'Writing Logic'!$J$7:$K$11,2,FALSE)&amp;" - Per "&amp;VLOOKUP($C$4,'Writing Logic'!$G$8:$H$14,2,FALSE),YES_Writing_ELA[#Headers],0))=0,"",INDEX(_xlfn.VSTACK(YES_Writing_ELA[#Data],YES_Writing_FLA[#Data]),MATCH($A451,_xlfn.VSTACK(YES_Writing_ELA[Student Number],YES_Writing_FLA[Student Number]),0),MATCH(VLOOKUP(D$7,'Writing Logic'!$J$7:$K$11,2,FALSE)&amp;" - Per "&amp;VLOOKUP($C$4,'Writing Logic'!$G$8:$H$14,2,FALSE),YES_Writing_ELA[#Headers],0)))),"")</f>
        <v/>
      </c>
      <c r="E451" s="138" t="str">
        <f>IFERROR(IF(IF(INDEX(_xlfn.VSTACK(YES_Writing_ELA[#Data],YES_Writing_FLA[#Data]),MATCH($A451,_xlfn.VSTACK(YES_Writing_ELA[Student Number],YES_Writing_FLA[Student Number]),0),MATCH(VLOOKUP(E$7,'Writing Logic'!$J$7:$K$11,2,FALSE)&amp;" - Per "&amp;VLOOKUP($C$4,'Writing Logic'!$G$8:$H$14,2,FALSE),YES_Writing_ELA[#Headers],0))=0,"",INDEX(_xlfn.VSTACK(YES_Writing_ELA[#Data],YES_Writing_FLA[#Data]),MATCH($A451,_xlfn.VSTACK(YES_Writing_ELA[Student Number],YES_Writing_FLA[Student Number]),0),MATCH(VLOOKUP(E$7,'Writing Logic'!$J$7:$K$11,2,FALSE)&amp;" - Per "&amp;VLOOKUP($C$4,'Writing Logic'!$G$8:$H$14,2,FALSE),YES_Writing_ELA[#Headers],0)))="INS",'Writing Logic'!$B$7,IF(INDEX(_xlfn.VSTACK(YES_Writing_ELA[#Data],YES_Writing_FLA[#Data]),MATCH($A451,_xlfn.VSTACK(YES_Writing_ELA[Student Number],YES_Writing_FLA[Student Number]),0),MATCH(VLOOKUP(E$7,'Writing Logic'!$J$7:$K$11,2,FALSE)&amp;" - Per "&amp;VLOOKUP($C$4,'Writing Logic'!$G$8:$H$14,2,FALSE),YES_Writing_ELA[#Headers],0))=0,"",INDEX(_xlfn.VSTACK(YES_Writing_ELA[#Data],YES_Writing_FLA[#Data]),MATCH($A451,_xlfn.VSTACK(YES_Writing_ELA[Student Number],YES_Writing_FLA[Student Number]),0),MATCH(VLOOKUP(E$7,'Writing Logic'!$J$7:$K$11,2,FALSE)&amp;" - Per "&amp;VLOOKUP($C$4,'Writing Logic'!$G$8:$H$14,2,FALSE),YES_Writing_ELA[#Headers],0)))),"")</f>
        <v/>
      </c>
      <c r="F451" s="138" t="str">
        <f>IFERROR(IF(IF(INDEX(_xlfn.VSTACK(YES_Writing_ELA[#Data],YES_Writing_FLA[#Data]),MATCH($A451,_xlfn.VSTACK(YES_Writing_ELA[Student Number],YES_Writing_FLA[Student Number]),0),MATCH(VLOOKUP(F$7,'Writing Logic'!$J$7:$K$11,2,FALSE)&amp;" - Per "&amp;VLOOKUP($C$4,'Writing Logic'!$G$8:$H$14,2,FALSE),YES_Writing_ELA[#Headers],0))=0,"",INDEX(_xlfn.VSTACK(YES_Writing_ELA[#Data],YES_Writing_FLA[#Data]),MATCH($A451,_xlfn.VSTACK(YES_Writing_ELA[Student Number],YES_Writing_FLA[Student Number]),0),MATCH(VLOOKUP(F$7,'Writing Logic'!$J$7:$K$11,2,FALSE)&amp;" - Per "&amp;VLOOKUP($C$4,'Writing Logic'!$G$8:$H$14,2,FALSE),YES_Writing_ELA[#Headers],0)))="INS",'Writing Logic'!$B$7,IF(INDEX(_xlfn.VSTACK(YES_Writing_ELA[#Data],YES_Writing_FLA[#Data]),MATCH($A451,_xlfn.VSTACK(YES_Writing_ELA[Student Number],YES_Writing_FLA[Student Number]),0),MATCH(VLOOKUP(F$7,'Writing Logic'!$J$7:$K$11,2,FALSE)&amp;" - Per "&amp;VLOOKUP($C$4,'Writing Logic'!$G$8:$H$14,2,FALSE),YES_Writing_ELA[#Headers],0))=0,"",INDEX(_xlfn.VSTACK(YES_Writing_ELA[#Data],YES_Writing_FLA[#Data]),MATCH($A451,_xlfn.VSTACK(YES_Writing_ELA[Student Number],YES_Writing_FLA[Student Number]),0),MATCH(VLOOKUP(F$7,'Writing Logic'!$J$7:$K$11,2,FALSE)&amp;" - Per "&amp;VLOOKUP($C$4,'Writing Logic'!$G$8:$H$14,2,FALSE),YES_Writing_ELA[#Headers],0)))),"")</f>
        <v/>
      </c>
      <c r="G451" s="138" t="str">
        <f>IFERROR(IF(IF(INDEX(_xlfn.VSTACK(YES_Writing_ELA[#Data],YES_Writing_FLA[#Data]),MATCH($A451,_xlfn.VSTACK(YES_Writing_ELA[Student Number],YES_Writing_FLA[Student Number]),0),MATCH(VLOOKUP(G$7,'Writing Logic'!$J$7:$K$11,2,FALSE)&amp;" - Per "&amp;VLOOKUP($C$4,'Writing Logic'!$G$8:$H$14,2,FALSE),YES_Writing_ELA[#Headers],0))=0,"",INDEX(_xlfn.VSTACK(YES_Writing_ELA[#Data],YES_Writing_FLA[#Data]),MATCH($A451,_xlfn.VSTACK(YES_Writing_ELA[Student Number],YES_Writing_FLA[Student Number]),0),MATCH(VLOOKUP(G$7,'Writing Logic'!$J$7:$K$11,2,FALSE)&amp;" - Per "&amp;VLOOKUP($C$4,'Writing Logic'!$G$8:$H$14,2,FALSE),YES_Writing_ELA[#Headers],0)))="INS",'Writing Logic'!$B$7,IF(INDEX(_xlfn.VSTACK(YES_Writing_ELA[#Data],YES_Writing_FLA[#Data]),MATCH($A451,_xlfn.VSTACK(YES_Writing_ELA[Student Number],YES_Writing_FLA[Student Number]),0),MATCH(VLOOKUP(G$7,'Writing Logic'!$J$7:$K$11,2,FALSE)&amp;" - Per "&amp;VLOOKUP($C$4,'Writing Logic'!$G$8:$H$14,2,FALSE),YES_Writing_ELA[#Headers],0))=0,"",INDEX(_xlfn.VSTACK(YES_Writing_ELA[#Data],YES_Writing_FLA[#Data]),MATCH($A451,_xlfn.VSTACK(YES_Writing_ELA[Student Number],YES_Writing_FLA[Student Number]),0),MATCH(VLOOKUP(G$7,'Writing Logic'!$J$7:$K$11,2,FALSE)&amp;" - Per "&amp;VLOOKUP($C$4,'Writing Logic'!$G$8:$H$14,2,FALSE),YES_Writing_ELA[#Headers],0)))),"")</f>
        <v/>
      </c>
      <c r="H451" s="138" t="str">
        <f>IFERROR(IF(IF(INDEX(_xlfn.VSTACK(YES_Writing_ELA[#Data],YES_Writing_FLA[#Data]),MATCH($A451,_xlfn.VSTACK(YES_Writing_ELA[Student Number],YES_Writing_FLA[Student Number]),0),MATCH(VLOOKUP(H$7,'Writing Logic'!$J$7:$K$11,2,FALSE)&amp;" - Per "&amp;VLOOKUP($C$4,'Writing Logic'!$G$8:$H$14,2,FALSE),YES_Writing_ELA[#Headers],0))=0,"",INDEX(_xlfn.VSTACK(YES_Writing_ELA[#Data],YES_Writing_FLA[#Data]),MATCH($A451,_xlfn.VSTACK(YES_Writing_ELA[Student Number],YES_Writing_FLA[Student Number]),0),MATCH(VLOOKUP(H$7,'Writing Logic'!$J$7:$K$11,2,FALSE)&amp;" - Per "&amp;VLOOKUP($C$4,'Writing Logic'!$G$8:$H$14,2,FALSE),YES_Writing_ELA[#Headers],0)))="INS",'Writing Logic'!$B$7,IF(INDEX(_xlfn.VSTACK(YES_Writing_ELA[#Data],YES_Writing_FLA[#Data]),MATCH($A451,_xlfn.VSTACK(YES_Writing_ELA[Student Number],YES_Writing_FLA[Student Number]),0),MATCH(VLOOKUP(H$7,'Writing Logic'!$J$7:$K$11,2,FALSE)&amp;" - Per "&amp;VLOOKUP($C$4,'Writing Logic'!$G$8:$H$14,2,FALSE),YES_Writing_ELA[#Headers],0))=0,"",INDEX(_xlfn.VSTACK(YES_Writing_ELA[#Data],YES_Writing_FLA[#Data]),MATCH($A451,_xlfn.VSTACK(YES_Writing_ELA[Student Number],YES_Writing_FLA[Student Number]),0),MATCH(VLOOKUP(H$7,'Writing Logic'!$J$7:$K$11,2,FALSE)&amp;" - Per "&amp;VLOOKUP($C$4,'Writing Logic'!$G$8:$H$14,2,FALSE),YES_Writing_ELA[#Headers],0)))),"")</f>
        <v/>
      </c>
    </row>
    <row r="452" spans="1:8" x14ac:dyDescent="0.25">
      <c r="A452" s="137"/>
      <c r="B452" s="137" t="str">
        <f>IFERROR(INDEX(_xlfn.VSTACK(YES_Writing_ELA[#Data], YES_Writing_FLA[#Data]),MATCH($A452,_xlfn.VSTACK(YES_Writing_ELA[Student Number], YES_Writing_FLA[Student Number]),0),MATCH(B$7,YES_Writing_ELA[#Headers],0)),"")</f>
        <v/>
      </c>
      <c r="C452" s="137" t="str">
        <f>IFERROR(INDEX(_xlfn.VSTACK(YES_Writing_ELA[#Data], YES_Writing_FLA[#Data]),MATCH($A452,_xlfn.VSTACK(YES_Writing_ELA[Student Number], YES_Writing_FLA[Student Number]),0),MATCH(C$7,YES_Writing_ELA[#Headers],0)),"")</f>
        <v/>
      </c>
      <c r="D452" s="138" t="str">
        <f>IFERROR(IF(IF(INDEX(_xlfn.VSTACK(YES_Writing_ELA[#Data],YES_Writing_FLA[#Data]),MATCH($A452,_xlfn.VSTACK(YES_Writing_ELA[Student Number],YES_Writing_FLA[Student Number]),0),MATCH(VLOOKUP(D$7,'Writing Logic'!$J$7:$K$11,2,FALSE)&amp;" - Per "&amp;VLOOKUP($C$4,'Writing Logic'!$G$8:$H$14,2,FALSE),YES_Writing_ELA[#Headers],0))=0,"",INDEX(_xlfn.VSTACK(YES_Writing_ELA[#Data],YES_Writing_FLA[#Data]),MATCH($A452,_xlfn.VSTACK(YES_Writing_ELA[Student Number],YES_Writing_FLA[Student Number]),0),MATCH(VLOOKUP(D$7,'Writing Logic'!$J$7:$K$11,2,FALSE)&amp;" - Per "&amp;VLOOKUP($C$4,'Writing Logic'!$G$8:$H$14,2,FALSE),YES_Writing_ELA[#Headers],0)))="INS",'Writing Logic'!$B$7,IF(INDEX(_xlfn.VSTACK(YES_Writing_ELA[#Data],YES_Writing_FLA[#Data]),MATCH($A452,_xlfn.VSTACK(YES_Writing_ELA[Student Number],YES_Writing_FLA[Student Number]),0),MATCH(VLOOKUP(D$7,'Writing Logic'!$J$7:$K$11,2,FALSE)&amp;" - Per "&amp;VLOOKUP($C$4,'Writing Logic'!$G$8:$H$14,2,FALSE),YES_Writing_ELA[#Headers],0))=0,"",INDEX(_xlfn.VSTACK(YES_Writing_ELA[#Data],YES_Writing_FLA[#Data]),MATCH($A452,_xlfn.VSTACK(YES_Writing_ELA[Student Number],YES_Writing_FLA[Student Number]),0),MATCH(VLOOKUP(D$7,'Writing Logic'!$J$7:$K$11,2,FALSE)&amp;" - Per "&amp;VLOOKUP($C$4,'Writing Logic'!$G$8:$H$14,2,FALSE),YES_Writing_ELA[#Headers],0)))),"")</f>
        <v/>
      </c>
      <c r="E452" s="138" t="str">
        <f>IFERROR(IF(IF(INDEX(_xlfn.VSTACK(YES_Writing_ELA[#Data],YES_Writing_FLA[#Data]),MATCH($A452,_xlfn.VSTACK(YES_Writing_ELA[Student Number],YES_Writing_FLA[Student Number]),0),MATCH(VLOOKUP(E$7,'Writing Logic'!$J$7:$K$11,2,FALSE)&amp;" - Per "&amp;VLOOKUP($C$4,'Writing Logic'!$G$8:$H$14,2,FALSE),YES_Writing_ELA[#Headers],0))=0,"",INDEX(_xlfn.VSTACK(YES_Writing_ELA[#Data],YES_Writing_FLA[#Data]),MATCH($A452,_xlfn.VSTACK(YES_Writing_ELA[Student Number],YES_Writing_FLA[Student Number]),0),MATCH(VLOOKUP(E$7,'Writing Logic'!$J$7:$K$11,2,FALSE)&amp;" - Per "&amp;VLOOKUP($C$4,'Writing Logic'!$G$8:$H$14,2,FALSE),YES_Writing_ELA[#Headers],0)))="INS",'Writing Logic'!$B$7,IF(INDEX(_xlfn.VSTACK(YES_Writing_ELA[#Data],YES_Writing_FLA[#Data]),MATCH($A452,_xlfn.VSTACK(YES_Writing_ELA[Student Number],YES_Writing_FLA[Student Number]),0),MATCH(VLOOKUP(E$7,'Writing Logic'!$J$7:$K$11,2,FALSE)&amp;" - Per "&amp;VLOOKUP($C$4,'Writing Logic'!$G$8:$H$14,2,FALSE),YES_Writing_ELA[#Headers],0))=0,"",INDEX(_xlfn.VSTACK(YES_Writing_ELA[#Data],YES_Writing_FLA[#Data]),MATCH($A452,_xlfn.VSTACK(YES_Writing_ELA[Student Number],YES_Writing_FLA[Student Number]),0),MATCH(VLOOKUP(E$7,'Writing Logic'!$J$7:$K$11,2,FALSE)&amp;" - Per "&amp;VLOOKUP($C$4,'Writing Logic'!$G$8:$H$14,2,FALSE),YES_Writing_ELA[#Headers],0)))),"")</f>
        <v/>
      </c>
      <c r="F452" s="138" t="str">
        <f>IFERROR(IF(IF(INDEX(_xlfn.VSTACK(YES_Writing_ELA[#Data],YES_Writing_FLA[#Data]),MATCH($A452,_xlfn.VSTACK(YES_Writing_ELA[Student Number],YES_Writing_FLA[Student Number]),0),MATCH(VLOOKUP(F$7,'Writing Logic'!$J$7:$K$11,2,FALSE)&amp;" - Per "&amp;VLOOKUP($C$4,'Writing Logic'!$G$8:$H$14,2,FALSE),YES_Writing_ELA[#Headers],0))=0,"",INDEX(_xlfn.VSTACK(YES_Writing_ELA[#Data],YES_Writing_FLA[#Data]),MATCH($A452,_xlfn.VSTACK(YES_Writing_ELA[Student Number],YES_Writing_FLA[Student Number]),0),MATCH(VLOOKUP(F$7,'Writing Logic'!$J$7:$K$11,2,FALSE)&amp;" - Per "&amp;VLOOKUP($C$4,'Writing Logic'!$G$8:$H$14,2,FALSE),YES_Writing_ELA[#Headers],0)))="INS",'Writing Logic'!$B$7,IF(INDEX(_xlfn.VSTACK(YES_Writing_ELA[#Data],YES_Writing_FLA[#Data]),MATCH($A452,_xlfn.VSTACK(YES_Writing_ELA[Student Number],YES_Writing_FLA[Student Number]),0),MATCH(VLOOKUP(F$7,'Writing Logic'!$J$7:$K$11,2,FALSE)&amp;" - Per "&amp;VLOOKUP($C$4,'Writing Logic'!$G$8:$H$14,2,FALSE),YES_Writing_ELA[#Headers],0))=0,"",INDEX(_xlfn.VSTACK(YES_Writing_ELA[#Data],YES_Writing_FLA[#Data]),MATCH($A452,_xlfn.VSTACK(YES_Writing_ELA[Student Number],YES_Writing_FLA[Student Number]),0),MATCH(VLOOKUP(F$7,'Writing Logic'!$J$7:$K$11,2,FALSE)&amp;" - Per "&amp;VLOOKUP($C$4,'Writing Logic'!$G$8:$H$14,2,FALSE),YES_Writing_ELA[#Headers],0)))),"")</f>
        <v/>
      </c>
      <c r="G452" s="138" t="str">
        <f>IFERROR(IF(IF(INDEX(_xlfn.VSTACK(YES_Writing_ELA[#Data],YES_Writing_FLA[#Data]),MATCH($A452,_xlfn.VSTACK(YES_Writing_ELA[Student Number],YES_Writing_FLA[Student Number]),0),MATCH(VLOOKUP(G$7,'Writing Logic'!$J$7:$K$11,2,FALSE)&amp;" - Per "&amp;VLOOKUP($C$4,'Writing Logic'!$G$8:$H$14,2,FALSE),YES_Writing_ELA[#Headers],0))=0,"",INDEX(_xlfn.VSTACK(YES_Writing_ELA[#Data],YES_Writing_FLA[#Data]),MATCH($A452,_xlfn.VSTACK(YES_Writing_ELA[Student Number],YES_Writing_FLA[Student Number]),0),MATCH(VLOOKUP(G$7,'Writing Logic'!$J$7:$K$11,2,FALSE)&amp;" - Per "&amp;VLOOKUP($C$4,'Writing Logic'!$G$8:$H$14,2,FALSE),YES_Writing_ELA[#Headers],0)))="INS",'Writing Logic'!$B$7,IF(INDEX(_xlfn.VSTACK(YES_Writing_ELA[#Data],YES_Writing_FLA[#Data]),MATCH($A452,_xlfn.VSTACK(YES_Writing_ELA[Student Number],YES_Writing_FLA[Student Number]),0),MATCH(VLOOKUP(G$7,'Writing Logic'!$J$7:$K$11,2,FALSE)&amp;" - Per "&amp;VLOOKUP($C$4,'Writing Logic'!$G$8:$H$14,2,FALSE),YES_Writing_ELA[#Headers],0))=0,"",INDEX(_xlfn.VSTACK(YES_Writing_ELA[#Data],YES_Writing_FLA[#Data]),MATCH($A452,_xlfn.VSTACK(YES_Writing_ELA[Student Number],YES_Writing_FLA[Student Number]),0),MATCH(VLOOKUP(G$7,'Writing Logic'!$J$7:$K$11,2,FALSE)&amp;" - Per "&amp;VLOOKUP($C$4,'Writing Logic'!$G$8:$H$14,2,FALSE),YES_Writing_ELA[#Headers],0)))),"")</f>
        <v/>
      </c>
      <c r="H452" s="138" t="str">
        <f>IFERROR(IF(IF(INDEX(_xlfn.VSTACK(YES_Writing_ELA[#Data],YES_Writing_FLA[#Data]),MATCH($A452,_xlfn.VSTACK(YES_Writing_ELA[Student Number],YES_Writing_FLA[Student Number]),0),MATCH(VLOOKUP(H$7,'Writing Logic'!$J$7:$K$11,2,FALSE)&amp;" - Per "&amp;VLOOKUP($C$4,'Writing Logic'!$G$8:$H$14,2,FALSE),YES_Writing_ELA[#Headers],0))=0,"",INDEX(_xlfn.VSTACK(YES_Writing_ELA[#Data],YES_Writing_FLA[#Data]),MATCH($A452,_xlfn.VSTACK(YES_Writing_ELA[Student Number],YES_Writing_FLA[Student Number]),0),MATCH(VLOOKUP(H$7,'Writing Logic'!$J$7:$K$11,2,FALSE)&amp;" - Per "&amp;VLOOKUP($C$4,'Writing Logic'!$G$8:$H$14,2,FALSE),YES_Writing_ELA[#Headers],0)))="INS",'Writing Logic'!$B$7,IF(INDEX(_xlfn.VSTACK(YES_Writing_ELA[#Data],YES_Writing_FLA[#Data]),MATCH($A452,_xlfn.VSTACK(YES_Writing_ELA[Student Number],YES_Writing_FLA[Student Number]),0),MATCH(VLOOKUP(H$7,'Writing Logic'!$J$7:$K$11,2,FALSE)&amp;" - Per "&amp;VLOOKUP($C$4,'Writing Logic'!$G$8:$H$14,2,FALSE),YES_Writing_ELA[#Headers],0))=0,"",INDEX(_xlfn.VSTACK(YES_Writing_ELA[#Data],YES_Writing_FLA[#Data]),MATCH($A452,_xlfn.VSTACK(YES_Writing_ELA[Student Number],YES_Writing_FLA[Student Number]),0),MATCH(VLOOKUP(H$7,'Writing Logic'!$J$7:$K$11,2,FALSE)&amp;" - Per "&amp;VLOOKUP($C$4,'Writing Logic'!$G$8:$H$14,2,FALSE),YES_Writing_ELA[#Headers],0)))),"")</f>
        <v/>
      </c>
    </row>
    <row r="453" spans="1:8" x14ac:dyDescent="0.25">
      <c r="A453" s="137"/>
      <c r="B453" s="137" t="str">
        <f>IFERROR(INDEX(_xlfn.VSTACK(YES_Writing_ELA[#Data], YES_Writing_FLA[#Data]),MATCH($A453,_xlfn.VSTACK(YES_Writing_ELA[Student Number], YES_Writing_FLA[Student Number]),0),MATCH(B$7,YES_Writing_ELA[#Headers],0)),"")</f>
        <v/>
      </c>
      <c r="C453" s="137" t="str">
        <f>IFERROR(INDEX(_xlfn.VSTACK(YES_Writing_ELA[#Data], YES_Writing_FLA[#Data]),MATCH($A453,_xlfn.VSTACK(YES_Writing_ELA[Student Number], YES_Writing_FLA[Student Number]),0),MATCH(C$7,YES_Writing_ELA[#Headers],0)),"")</f>
        <v/>
      </c>
      <c r="D453" s="138" t="str">
        <f>IFERROR(IF(IF(INDEX(_xlfn.VSTACK(YES_Writing_ELA[#Data],YES_Writing_FLA[#Data]),MATCH($A453,_xlfn.VSTACK(YES_Writing_ELA[Student Number],YES_Writing_FLA[Student Number]),0),MATCH(VLOOKUP(D$7,'Writing Logic'!$J$7:$K$11,2,FALSE)&amp;" - Per "&amp;VLOOKUP($C$4,'Writing Logic'!$G$8:$H$14,2,FALSE),YES_Writing_ELA[#Headers],0))=0,"",INDEX(_xlfn.VSTACK(YES_Writing_ELA[#Data],YES_Writing_FLA[#Data]),MATCH($A453,_xlfn.VSTACK(YES_Writing_ELA[Student Number],YES_Writing_FLA[Student Number]),0),MATCH(VLOOKUP(D$7,'Writing Logic'!$J$7:$K$11,2,FALSE)&amp;" - Per "&amp;VLOOKUP($C$4,'Writing Logic'!$G$8:$H$14,2,FALSE),YES_Writing_ELA[#Headers],0)))="INS",'Writing Logic'!$B$7,IF(INDEX(_xlfn.VSTACK(YES_Writing_ELA[#Data],YES_Writing_FLA[#Data]),MATCH($A453,_xlfn.VSTACK(YES_Writing_ELA[Student Number],YES_Writing_FLA[Student Number]),0),MATCH(VLOOKUP(D$7,'Writing Logic'!$J$7:$K$11,2,FALSE)&amp;" - Per "&amp;VLOOKUP($C$4,'Writing Logic'!$G$8:$H$14,2,FALSE),YES_Writing_ELA[#Headers],0))=0,"",INDEX(_xlfn.VSTACK(YES_Writing_ELA[#Data],YES_Writing_FLA[#Data]),MATCH($A453,_xlfn.VSTACK(YES_Writing_ELA[Student Number],YES_Writing_FLA[Student Number]),0),MATCH(VLOOKUP(D$7,'Writing Logic'!$J$7:$K$11,2,FALSE)&amp;" - Per "&amp;VLOOKUP($C$4,'Writing Logic'!$G$8:$H$14,2,FALSE),YES_Writing_ELA[#Headers],0)))),"")</f>
        <v/>
      </c>
      <c r="E453" s="138" t="str">
        <f>IFERROR(IF(IF(INDEX(_xlfn.VSTACK(YES_Writing_ELA[#Data],YES_Writing_FLA[#Data]),MATCH($A453,_xlfn.VSTACK(YES_Writing_ELA[Student Number],YES_Writing_FLA[Student Number]),0),MATCH(VLOOKUP(E$7,'Writing Logic'!$J$7:$K$11,2,FALSE)&amp;" - Per "&amp;VLOOKUP($C$4,'Writing Logic'!$G$8:$H$14,2,FALSE),YES_Writing_ELA[#Headers],0))=0,"",INDEX(_xlfn.VSTACK(YES_Writing_ELA[#Data],YES_Writing_FLA[#Data]),MATCH($A453,_xlfn.VSTACK(YES_Writing_ELA[Student Number],YES_Writing_FLA[Student Number]),0),MATCH(VLOOKUP(E$7,'Writing Logic'!$J$7:$K$11,2,FALSE)&amp;" - Per "&amp;VLOOKUP($C$4,'Writing Logic'!$G$8:$H$14,2,FALSE),YES_Writing_ELA[#Headers],0)))="INS",'Writing Logic'!$B$7,IF(INDEX(_xlfn.VSTACK(YES_Writing_ELA[#Data],YES_Writing_FLA[#Data]),MATCH($A453,_xlfn.VSTACK(YES_Writing_ELA[Student Number],YES_Writing_FLA[Student Number]),0),MATCH(VLOOKUP(E$7,'Writing Logic'!$J$7:$K$11,2,FALSE)&amp;" - Per "&amp;VLOOKUP($C$4,'Writing Logic'!$G$8:$H$14,2,FALSE),YES_Writing_ELA[#Headers],0))=0,"",INDEX(_xlfn.VSTACK(YES_Writing_ELA[#Data],YES_Writing_FLA[#Data]),MATCH($A453,_xlfn.VSTACK(YES_Writing_ELA[Student Number],YES_Writing_FLA[Student Number]),0),MATCH(VLOOKUP(E$7,'Writing Logic'!$J$7:$K$11,2,FALSE)&amp;" - Per "&amp;VLOOKUP($C$4,'Writing Logic'!$G$8:$H$14,2,FALSE),YES_Writing_ELA[#Headers],0)))),"")</f>
        <v/>
      </c>
      <c r="F453" s="138" t="str">
        <f>IFERROR(IF(IF(INDEX(_xlfn.VSTACK(YES_Writing_ELA[#Data],YES_Writing_FLA[#Data]),MATCH($A453,_xlfn.VSTACK(YES_Writing_ELA[Student Number],YES_Writing_FLA[Student Number]),0),MATCH(VLOOKUP(F$7,'Writing Logic'!$J$7:$K$11,2,FALSE)&amp;" - Per "&amp;VLOOKUP($C$4,'Writing Logic'!$G$8:$H$14,2,FALSE),YES_Writing_ELA[#Headers],0))=0,"",INDEX(_xlfn.VSTACK(YES_Writing_ELA[#Data],YES_Writing_FLA[#Data]),MATCH($A453,_xlfn.VSTACK(YES_Writing_ELA[Student Number],YES_Writing_FLA[Student Number]),0),MATCH(VLOOKUP(F$7,'Writing Logic'!$J$7:$K$11,2,FALSE)&amp;" - Per "&amp;VLOOKUP($C$4,'Writing Logic'!$G$8:$H$14,2,FALSE),YES_Writing_ELA[#Headers],0)))="INS",'Writing Logic'!$B$7,IF(INDEX(_xlfn.VSTACK(YES_Writing_ELA[#Data],YES_Writing_FLA[#Data]),MATCH($A453,_xlfn.VSTACK(YES_Writing_ELA[Student Number],YES_Writing_FLA[Student Number]),0),MATCH(VLOOKUP(F$7,'Writing Logic'!$J$7:$K$11,2,FALSE)&amp;" - Per "&amp;VLOOKUP($C$4,'Writing Logic'!$G$8:$H$14,2,FALSE),YES_Writing_ELA[#Headers],0))=0,"",INDEX(_xlfn.VSTACK(YES_Writing_ELA[#Data],YES_Writing_FLA[#Data]),MATCH($A453,_xlfn.VSTACK(YES_Writing_ELA[Student Number],YES_Writing_FLA[Student Number]),0),MATCH(VLOOKUP(F$7,'Writing Logic'!$J$7:$K$11,2,FALSE)&amp;" - Per "&amp;VLOOKUP($C$4,'Writing Logic'!$G$8:$H$14,2,FALSE),YES_Writing_ELA[#Headers],0)))),"")</f>
        <v/>
      </c>
      <c r="G453" s="138" t="str">
        <f>IFERROR(IF(IF(INDEX(_xlfn.VSTACK(YES_Writing_ELA[#Data],YES_Writing_FLA[#Data]),MATCH($A453,_xlfn.VSTACK(YES_Writing_ELA[Student Number],YES_Writing_FLA[Student Number]),0),MATCH(VLOOKUP(G$7,'Writing Logic'!$J$7:$K$11,2,FALSE)&amp;" - Per "&amp;VLOOKUP($C$4,'Writing Logic'!$G$8:$H$14,2,FALSE),YES_Writing_ELA[#Headers],0))=0,"",INDEX(_xlfn.VSTACK(YES_Writing_ELA[#Data],YES_Writing_FLA[#Data]),MATCH($A453,_xlfn.VSTACK(YES_Writing_ELA[Student Number],YES_Writing_FLA[Student Number]),0),MATCH(VLOOKUP(G$7,'Writing Logic'!$J$7:$K$11,2,FALSE)&amp;" - Per "&amp;VLOOKUP($C$4,'Writing Logic'!$G$8:$H$14,2,FALSE),YES_Writing_ELA[#Headers],0)))="INS",'Writing Logic'!$B$7,IF(INDEX(_xlfn.VSTACK(YES_Writing_ELA[#Data],YES_Writing_FLA[#Data]),MATCH($A453,_xlfn.VSTACK(YES_Writing_ELA[Student Number],YES_Writing_FLA[Student Number]),0),MATCH(VLOOKUP(G$7,'Writing Logic'!$J$7:$K$11,2,FALSE)&amp;" - Per "&amp;VLOOKUP($C$4,'Writing Logic'!$G$8:$H$14,2,FALSE),YES_Writing_ELA[#Headers],0))=0,"",INDEX(_xlfn.VSTACK(YES_Writing_ELA[#Data],YES_Writing_FLA[#Data]),MATCH($A453,_xlfn.VSTACK(YES_Writing_ELA[Student Number],YES_Writing_FLA[Student Number]),0),MATCH(VLOOKUP(G$7,'Writing Logic'!$J$7:$K$11,2,FALSE)&amp;" - Per "&amp;VLOOKUP($C$4,'Writing Logic'!$G$8:$H$14,2,FALSE),YES_Writing_ELA[#Headers],0)))),"")</f>
        <v/>
      </c>
      <c r="H453" s="138" t="str">
        <f>IFERROR(IF(IF(INDEX(_xlfn.VSTACK(YES_Writing_ELA[#Data],YES_Writing_FLA[#Data]),MATCH($A453,_xlfn.VSTACK(YES_Writing_ELA[Student Number],YES_Writing_FLA[Student Number]),0),MATCH(VLOOKUP(H$7,'Writing Logic'!$J$7:$K$11,2,FALSE)&amp;" - Per "&amp;VLOOKUP($C$4,'Writing Logic'!$G$8:$H$14,2,FALSE),YES_Writing_ELA[#Headers],0))=0,"",INDEX(_xlfn.VSTACK(YES_Writing_ELA[#Data],YES_Writing_FLA[#Data]),MATCH($A453,_xlfn.VSTACK(YES_Writing_ELA[Student Number],YES_Writing_FLA[Student Number]),0),MATCH(VLOOKUP(H$7,'Writing Logic'!$J$7:$K$11,2,FALSE)&amp;" - Per "&amp;VLOOKUP($C$4,'Writing Logic'!$G$8:$H$14,2,FALSE),YES_Writing_ELA[#Headers],0)))="INS",'Writing Logic'!$B$7,IF(INDEX(_xlfn.VSTACK(YES_Writing_ELA[#Data],YES_Writing_FLA[#Data]),MATCH($A453,_xlfn.VSTACK(YES_Writing_ELA[Student Number],YES_Writing_FLA[Student Number]),0),MATCH(VLOOKUP(H$7,'Writing Logic'!$J$7:$K$11,2,FALSE)&amp;" - Per "&amp;VLOOKUP($C$4,'Writing Logic'!$G$8:$H$14,2,FALSE),YES_Writing_ELA[#Headers],0))=0,"",INDEX(_xlfn.VSTACK(YES_Writing_ELA[#Data],YES_Writing_FLA[#Data]),MATCH($A453,_xlfn.VSTACK(YES_Writing_ELA[Student Number],YES_Writing_FLA[Student Number]),0),MATCH(VLOOKUP(H$7,'Writing Logic'!$J$7:$K$11,2,FALSE)&amp;" - Per "&amp;VLOOKUP($C$4,'Writing Logic'!$G$8:$H$14,2,FALSE),YES_Writing_ELA[#Headers],0)))),"")</f>
        <v/>
      </c>
    </row>
    <row r="454" spans="1:8" x14ac:dyDescent="0.25">
      <c r="A454" s="137"/>
      <c r="B454" s="137" t="str">
        <f>IFERROR(INDEX(_xlfn.VSTACK(YES_Writing_ELA[#Data], YES_Writing_FLA[#Data]),MATCH($A454,_xlfn.VSTACK(YES_Writing_ELA[Student Number], YES_Writing_FLA[Student Number]),0),MATCH(B$7,YES_Writing_ELA[#Headers],0)),"")</f>
        <v/>
      </c>
      <c r="C454" s="137" t="str">
        <f>IFERROR(INDEX(_xlfn.VSTACK(YES_Writing_ELA[#Data], YES_Writing_FLA[#Data]),MATCH($A454,_xlfn.VSTACK(YES_Writing_ELA[Student Number], YES_Writing_FLA[Student Number]),0),MATCH(C$7,YES_Writing_ELA[#Headers],0)),"")</f>
        <v/>
      </c>
      <c r="D454" s="138" t="str">
        <f>IFERROR(IF(IF(INDEX(_xlfn.VSTACK(YES_Writing_ELA[#Data],YES_Writing_FLA[#Data]),MATCH($A454,_xlfn.VSTACK(YES_Writing_ELA[Student Number],YES_Writing_FLA[Student Number]),0),MATCH(VLOOKUP(D$7,'Writing Logic'!$J$7:$K$11,2,FALSE)&amp;" - Per "&amp;VLOOKUP($C$4,'Writing Logic'!$G$8:$H$14,2,FALSE),YES_Writing_ELA[#Headers],0))=0,"",INDEX(_xlfn.VSTACK(YES_Writing_ELA[#Data],YES_Writing_FLA[#Data]),MATCH($A454,_xlfn.VSTACK(YES_Writing_ELA[Student Number],YES_Writing_FLA[Student Number]),0),MATCH(VLOOKUP(D$7,'Writing Logic'!$J$7:$K$11,2,FALSE)&amp;" - Per "&amp;VLOOKUP($C$4,'Writing Logic'!$G$8:$H$14,2,FALSE),YES_Writing_ELA[#Headers],0)))="INS",'Writing Logic'!$B$7,IF(INDEX(_xlfn.VSTACK(YES_Writing_ELA[#Data],YES_Writing_FLA[#Data]),MATCH($A454,_xlfn.VSTACK(YES_Writing_ELA[Student Number],YES_Writing_FLA[Student Number]),0),MATCH(VLOOKUP(D$7,'Writing Logic'!$J$7:$K$11,2,FALSE)&amp;" - Per "&amp;VLOOKUP($C$4,'Writing Logic'!$G$8:$H$14,2,FALSE),YES_Writing_ELA[#Headers],0))=0,"",INDEX(_xlfn.VSTACK(YES_Writing_ELA[#Data],YES_Writing_FLA[#Data]),MATCH($A454,_xlfn.VSTACK(YES_Writing_ELA[Student Number],YES_Writing_FLA[Student Number]),0),MATCH(VLOOKUP(D$7,'Writing Logic'!$J$7:$K$11,2,FALSE)&amp;" - Per "&amp;VLOOKUP($C$4,'Writing Logic'!$G$8:$H$14,2,FALSE),YES_Writing_ELA[#Headers],0)))),"")</f>
        <v/>
      </c>
      <c r="E454" s="138" t="str">
        <f>IFERROR(IF(IF(INDEX(_xlfn.VSTACK(YES_Writing_ELA[#Data],YES_Writing_FLA[#Data]),MATCH($A454,_xlfn.VSTACK(YES_Writing_ELA[Student Number],YES_Writing_FLA[Student Number]),0),MATCH(VLOOKUP(E$7,'Writing Logic'!$J$7:$K$11,2,FALSE)&amp;" - Per "&amp;VLOOKUP($C$4,'Writing Logic'!$G$8:$H$14,2,FALSE),YES_Writing_ELA[#Headers],0))=0,"",INDEX(_xlfn.VSTACK(YES_Writing_ELA[#Data],YES_Writing_FLA[#Data]),MATCH($A454,_xlfn.VSTACK(YES_Writing_ELA[Student Number],YES_Writing_FLA[Student Number]),0),MATCH(VLOOKUP(E$7,'Writing Logic'!$J$7:$K$11,2,FALSE)&amp;" - Per "&amp;VLOOKUP($C$4,'Writing Logic'!$G$8:$H$14,2,FALSE),YES_Writing_ELA[#Headers],0)))="INS",'Writing Logic'!$B$7,IF(INDEX(_xlfn.VSTACK(YES_Writing_ELA[#Data],YES_Writing_FLA[#Data]),MATCH($A454,_xlfn.VSTACK(YES_Writing_ELA[Student Number],YES_Writing_FLA[Student Number]),0),MATCH(VLOOKUP(E$7,'Writing Logic'!$J$7:$K$11,2,FALSE)&amp;" - Per "&amp;VLOOKUP($C$4,'Writing Logic'!$G$8:$H$14,2,FALSE),YES_Writing_ELA[#Headers],0))=0,"",INDEX(_xlfn.VSTACK(YES_Writing_ELA[#Data],YES_Writing_FLA[#Data]),MATCH($A454,_xlfn.VSTACK(YES_Writing_ELA[Student Number],YES_Writing_FLA[Student Number]),0),MATCH(VLOOKUP(E$7,'Writing Logic'!$J$7:$K$11,2,FALSE)&amp;" - Per "&amp;VLOOKUP($C$4,'Writing Logic'!$G$8:$H$14,2,FALSE),YES_Writing_ELA[#Headers],0)))),"")</f>
        <v/>
      </c>
      <c r="F454" s="138" t="str">
        <f>IFERROR(IF(IF(INDEX(_xlfn.VSTACK(YES_Writing_ELA[#Data],YES_Writing_FLA[#Data]),MATCH($A454,_xlfn.VSTACK(YES_Writing_ELA[Student Number],YES_Writing_FLA[Student Number]),0),MATCH(VLOOKUP(F$7,'Writing Logic'!$J$7:$K$11,2,FALSE)&amp;" - Per "&amp;VLOOKUP($C$4,'Writing Logic'!$G$8:$H$14,2,FALSE),YES_Writing_ELA[#Headers],0))=0,"",INDEX(_xlfn.VSTACK(YES_Writing_ELA[#Data],YES_Writing_FLA[#Data]),MATCH($A454,_xlfn.VSTACK(YES_Writing_ELA[Student Number],YES_Writing_FLA[Student Number]),0),MATCH(VLOOKUP(F$7,'Writing Logic'!$J$7:$K$11,2,FALSE)&amp;" - Per "&amp;VLOOKUP($C$4,'Writing Logic'!$G$8:$H$14,2,FALSE),YES_Writing_ELA[#Headers],0)))="INS",'Writing Logic'!$B$7,IF(INDEX(_xlfn.VSTACK(YES_Writing_ELA[#Data],YES_Writing_FLA[#Data]),MATCH($A454,_xlfn.VSTACK(YES_Writing_ELA[Student Number],YES_Writing_FLA[Student Number]),0),MATCH(VLOOKUP(F$7,'Writing Logic'!$J$7:$K$11,2,FALSE)&amp;" - Per "&amp;VLOOKUP($C$4,'Writing Logic'!$G$8:$H$14,2,FALSE),YES_Writing_ELA[#Headers],0))=0,"",INDEX(_xlfn.VSTACK(YES_Writing_ELA[#Data],YES_Writing_FLA[#Data]),MATCH($A454,_xlfn.VSTACK(YES_Writing_ELA[Student Number],YES_Writing_FLA[Student Number]),0),MATCH(VLOOKUP(F$7,'Writing Logic'!$J$7:$K$11,2,FALSE)&amp;" - Per "&amp;VLOOKUP($C$4,'Writing Logic'!$G$8:$H$14,2,FALSE),YES_Writing_ELA[#Headers],0)))),"")</f>
        <v/>
      </c>
      <c r="G454" s="138" t="str">
        <f>IFERROR(IF(IF(INDEX(_xlfn.VSTACK(YES_Writing_ELA[#Data],YES_Writing_FLA[#Data]),MATCH($A454,_xlfn.VSTACK(YES_Writing_ELA[Student Number],YES_Writing_FLA[Student Number]),0),MATCH(VLOOKUP(G$7,'Writing Logic'!$J$7:$K$11,2,FALSE)&amp;" - Per "&amp;VLOOKUP($C$4,'Writing Logic'!$G$8:$H$14,2,FALSE),YES_Writing_ELA[#Headers],0))=0,"",INDEX(_xlfn.VSTACK(YES_Writing_ELA[#Data],YES_Writing_FLA[#Data]),MATCH($A454,_xlfn.VSTACK(YES_Writing_ELA[Student Number],YES_Writing_FLA[Student Number]),0),MATCH(VLOOKUP(G$7,'Writing Logic'!$J$7:$K$11,2,FALSE)&amp;" - Per "&amp;VLOOKUP($C$4,'Writing Logic'!$G$8:$H$14,2,FALSE),YES_Writing_ELA[#Headers],0)))="INS",'Writing Logic'!$B$7,IF(INDEX(_xlfn.VSTACK(YES_Writing_ELA[#Data],YES_Writing_FLA[#Data]),MATCH($A454,_xlfn.VSTACK(YES_Writing_ELA[Student Number],YES_Writing_FLA[Student Number]),0),MATCH(VLOOKUP(G$7,'Writing Logic'!$J$7:$K$11,2,FALSE)&amp;" - Per "&amp;VLOOKUP($C$4,'Writing Logic'!$G$8:$H$14,2,FALSE),YES_Writing_ELA[#Headers],0))=0,"",INDEX(_xlfn.VSTACK(YES_Writing_ELA[#Data],YES_Writing_FLA[#Data]),MATCH($A454,_xlfn.VSTACK(YES_Writing_ELA[Student Number],YES_Writing_FLA[Student Number]),0),MATCH(VLOOKUP(G$7,'Writing Logic'!$J$7:$K$11,2,FALSE)&amp;" - Per "&amp;VLOOKUP($C$4,'Writing Logic'!$G$8:$H$14,2,FALSE),YES_Writing_ELA[#Headers],0)))),"")</f>
        <v/>
      </c>
      <c r="H454" s="138" t="str">
        <f>IFERROR(IF(IF(INDEX(_xlfn.VSTACK(YES_Writing_ELA[#Data],YES_Writing_FLA[#Data]),MATCH($A454,_xlfn.VSTACK(YES_Writing_ELA[Student Number],YES_Writing_FLA[Student Number]),0),MATCH(VLOOKUP(H$7,'Writing Logic'!$J$7:$K$11,2,FALSE)&amp;" - Per "&amp;VLOOKUP($C$4,'Writing Logic'!$G$8:$H$14,2,FALSE),YES_Writing_ELA[#Headers],0))=0,"",INDEX(_xlfn.VSTACK(YES_Writing_ELA[#Data],YES_Writing_FLA[#Data]),MATCH($A454,_xlfn.VSTACK(YES_Writing_ELA[Student Number],YES_Writing_FLA[Student Number]),0),MATCH(VLOOKUP(H$7,'Writing Logic'!$J$7:$K$11,2,FALSE)&amp;" - Per "&amp;VLOOKUP($C$4,'Writing Logic'!$G$8:$H$14,2,FALSE),YES_Writing_ELA[#Headers],0)))="INS",'Writing Logic'!$B$7,IF(INDEX(_xlfn.VSTACK(YES_Writing_ELA[#Data],YES_Writing_FLA[#Data]),MATCH($A454,_xlfn.VSTACK(YES_Writing_ELA[Student Number],YES_Writing_FLA[Student Number]),0),MATCH(VLOOKUP(H$7,'Writing Logic'!$J$7:$K$11,2,FALSE)&amp;" - Per "&amp;VLOOKUP($C$4,'Writing Logic'!$G$8:$H$14,2,FALSE),YES_Writing_ELA[#Headers],0))=0,"",INDEX(_xlfn.VSTACK(YES_Writing_ELA[#Data],YES_Writing_FLA[#Data]),MATCH($A454,_xlfn.VSTACK(YES_Writing_ELA[Student Number],YES_Writing_FLA[Student Number]),0),MATCH(VLOOKUP(H$7,'Writing Logic'!$J$7:$K$11,2,FALSE)&amp;" - Per "&amp;VLOOKUP($C$4,'Writing Logic'!$G$8:$H$14,2,FALSE),YES_Writing_ELA[#Headers],0)))),"")</f>
        <v/>
      </c>
    </row>
    <row r="455" spans="1:8" x14ac:dyDescent="0.25">
      <c r="A455" s="137"/>
      <c r="B455" s="137" t="str">
        <f>IFERROR(INDEX(_xlfn.VSTACK(YES_Writing_ELA[#Data], YES_Writing_FLA[#Data]),MATCH($A455,_xlfn.VSTACK(YES_Writing_ELA[Student Number], YES_Writing_FLA[Student Number]),0),MATCH(B$7,YES_Writing_ELA[#Headers],0)),"")</f>
        <v/>
      </c>
      <c r="C455" s="137" t="str">
        <f>IFERROR(INDEX(_xlfn.VSTACK(YES_Writing_ELA[#Data], YES_Writing_FLA[#Data]),MATCH($A455,_xlfn.VSTACK(YES_Writing_ELA[Student Number], YES_Writing_FLA[Student Number]),0),MATCH(C$7,YES_Writing_ELA[#Headers],0)),"")</f>
        <v/>
      </c>
      <c r="D455" s="138" t="str">
        <f>IFERROR(IF(IF(INDEX(_xlfn.VSTACK(YES_Writing_ELA[#Data],YES_Writing_FLA[#Data]),MATCH($A455,_xlfn.VSTACK(YES_Writing_ELA[Student Number],YES_Writing_FLA[Student Number]),0),MATCH(VLOOKUP(D$7,'Writing Logic'!$J$7:$K$11,2,FALSE)&amp;" - Per "&amp;VLOOKUP($C$4,'Writing Logic'!$G$8:$H$14,2,FALSE),YES_Writing_ELA[#Headers],0))=0,"",INDEX(_xlfn.VSTACK(YES_Writing_ELA[#Data],YES_Writing_FLA[#Data]),MATCH($A455,_xlfn.VSTACK(YES_Writing_ELA[Student Number],YES_Writing_FLA[Student Number]),0),MATCH(VLOOKUP(D$7,'Writing Logic'!$J$7:$K$11,2,FALSE)&amp;" - Per "&amp;VLOOKUP($C$4,'Writing Logic'!$G$8:$H$14,2,FALSE),YES_Writing_ELA[#Headers],0)))="INS",'Writing Logic'!$B$7,IF(INDEX(_xlfn.VSTACK(YES_Writing_ELA[#Data],YES_Writing_FLA[#Data]),MATCH($A455,_xlfn.VSTACK(YES_Writing_ELA[Student Number],YES_Writing_FLA[Student Number]),0),MATCH(VLOOKUP(D$7,'Writing Logic'!$J$7:$K$11,2,FALSE)&amp;" - Per "&amp;VLOOKUP($C$4,'Writing Logic'!$G$8:$H$14,2,FALSE),YES_Writing_ELA[#Headers],0))=0,"",INDEX(_xlfn.VSTACK(YES_Writing_ELA[#Data],YES_Writing_FLA[#Data]),MATCH($A455,_xlfn.VSTACK(YES_Writing_ELA[Student Number],YES_Writing_FLA[Student Number]),0),MATCH(VLOOKUP(D$7,'Writing Logic'!$J$7:$K$11,2,FALSE)&amp;" - Per "&amp;VLOOKUP($C$4,'Writing Logic'!$G$8:$H$14,2,FALSE),YES_Writing_ELA[#Headers],0)))),"")</f>
        <v/>
      </c>
      <c r="E455" s="138" t="str">
        <f>IFERROR(IF(IF(INDEX(_xlfn.VSTACK(YES_Writing_ELA[#Data],YES_Writing_FLA[#Data]),MATCH($A455,_xlfn.VSTACK(YES_Writing_ELA[Student Number],YES_Writing_FLA[Student Number]),0),MATCH(VLOOKUP(E$7,'Writing Logic'!$J$7:$K$11,2,FALSE)&amp;" - Per "&amp;VLOOKUP($C$4,'Writing Logic'!$G$8:$H$14,2,FALSE),YES_Writing_ELA[#Headers],0))=0,"",INDEX(_xlfn.VSTACK(YES_Writing_ELA[#Data],YES_Writing_FLA[#Data]),MATCH($A455,_xlfn.VSTACK(YES_Writing_ELA[Student Number],YES_Writing_FLA[Student Number]),0),MATCH(VLOOKUP(E$7,'Writing Logic'!$J$7:$K$11,2,FALSE)&amp;" - Per "&amp;VLOOKUP($C$4,'Writing Logic'!$G$8:$H$14,2,FALSE),YES_Writing_ELA[#Headers],0)))="INS",'Writing Logic'!$B$7,IF(INDEX(_xlfn.VSTACK(YES_Writing_ELA[#Data],YES_Writing_FLA[#Data]),MATCH($A455,_xlfn.VSTACK(YES_Writing_ELA[Student Number],YES_Writing_FLA[Student Number]),0),MATCH(VLOOKUP(E$7,'Writing Logic'!$J$7:$K$11,2,FALSE)&amp;" - Per "&amp;VLOOKUP($C$4,'Writing Logic'!$G$8:$H$14,2,FALSE),YES_Writing_ELA[#Headers],0))=0,"",INDEX(_xlfn.VSTACK(YES_Writing_ELA[#Data],YES_Writing_FLA[#Data]),MATCH($A455,_xlfn.VSTACK(YES_Writing_ELA[Student Number],YES_Writing_FLA[Student Number]),0),MATCH(VLOOKUP(E$7,'Writing Logic'!$J$7:$K$11,2,FALSE)&amp;" - Per "&amp;VLOOKUP($C$4,'Writing Logic'!$G$8:$H$14,2,FALSE),YES_Writing_ELA[#Headers],0)))),"")</f>
        <v/>
      </c>
      <c r="F455" s="138" t="str">
        <f>IFERROR(IF(IF(INDEX(_xlfn.VSTACK(YES_Writing_ELA[#Data],YES_Writing_FLA[#Data]),MATCH($A455,_xlfn.VSTACK(YES_Writing_ELA[Student Number],YES_Writing_FLA[Student Number]),0),MATCH(VLOOKUP(F$7,'Writing Logic'!$J$7:$K$11,2,FALSE)&amp;" - Per "&amp;VLOOKUP($C$4,'Writing Logic'!$G$8:$H$14,2,FALSE),YES_Writing_ELA[#Headers],0))=0,"",INDEX(_xlfn.VSTACK(YES_Writing_ELA[#Data],YES_Writing_FLA[#Data]),MATCH($A455,_xlfn.VSTACK(YES_Writing_ELA[Student Number],YES_Writing_FLA[Student Number]),0),MATCH(VLOOKUP(F$7,'Writing Logic'!$J$7:$K$11,2,FALSE)&amp;" - Per "&amp;VLOOKUP($C$4,'Writing Logic'!$G$8:$H$14,2,FALSE),YES_Writing_ELA[#Headers],0)))="INS",'Writing Logic'!$B$7,IF(INDEX(_xlfn.VSTACK(YES_Writing_ELA[#Data],YES_Writing_FLA[#Data]),MATCH($A455,_xlfn.VSTACK(YES_Writing_ELA[Student Number],YES_Writing_FLA[Student Number]),0),MATCH(VLOOKUP(F$7,'Writing Logic'!$J$7:$K$11,2,FALSE)&amp;" - Per "&amp;VLOOKUP($C$4,'Writing Logic'!$G$8:$H$14,2,FALSE),YES_Writing_ELA[#Headers],0))=0,"",INDEX(_xlfn.VSTACK(YES_Writing_ELA[#Data],YES_Writing_FLA[#Data]),MATCH($A455,_xlfn.VSTACK(YES_Writing_ELA[Student Number],YES_Writing_FLA[Student Number]),0),MATCH(VLOOKUP(F$7,'Writing Logic'!$J$7:$K$11,2,FALSE)&amp;" - Per "&amp;VLOOKUP($C$4,'Writing Logic'!$G$8:$H$14,2,FALSE),YES_Writing_ELA[#Headers],0)))),"")</f>
        <v/>
      </c>
      <c r="G455" s="138" t="str">
        <f>IFERROR(IF(IF(INDEX(_xlfn.VSTACK(YES_Writing_ELA[#Data],YES_Writing_FLA[#Data]),MATCH($A455,_xlfn.VSTACK(YES_Writing_ELA[Student Number],YES_Writing_FLA[Student Number]),0),MATCH(VLOOKUP(G$7,'Writing Logic'!$J$7:$K$11,2,FALSE)&amp;" - Per "&amp;VLOOKUP($C$4,'Writing Logic'!$G$8:$H$14,2,FALSE),YES_Writing_ELA[#Headers],0))=0,"",INDEX(_xlfn.VSTACK(YES_Writing_ELA[#Data],YES_Writing_FLA[#Data]),MATCH($A455,_xlfn.VSTACK(YES_Writing_ELA[Student Number],YES_Writing_FLA[Student Number]),0),MATCH(VLOOKUP(G$7,'Writing Logic'!$J$7:$K$11,2,FALSE)&amp;" - Per "&amp;VLOOKUP($C$4,'Writing Logic'!$G$8:$H$14,2,FALSE),YES_Writing_ELA[#Headers],0)))="INS",'Writing Logic'!$B$7,IF(INDEX(_xlfn.VSTACK(YES_Writing_ELA[#Data],YES_Writing_FLA[#Data]),MATCH($A455,_xlfn.VSTACK(YES_Writing_ELA[Student Number],YES_Writing_FLA[Student Number]),0),MATCH(VLOOKUP(G$7,'Writing Logic'!$J$7:$K$11,2,FALSE)&amp;" - Per "&amp;VLOOKUP($C$4,'Writing Logic'!$G$8:$H$14,2,FALSE),YES_Writing_ELA[#Headers],0))=0,"",INDEX(_xlfn.VSTACK(YES_Writing_ELA[#Data],YES_Writing_FLA[#Data]),MATCH($A455,_xlfn.VSTACK(YES_Writing_ELA[Student Number],YES_Writing_FLA[Student Number]),0),MATCH(VLOOKUP(G$7,'Writing Logic'!$J$7:$K$11,2,FALSE)&amp;" - Per "&amp;VLOOKUP($C$4,'Writing Logic'!$G$8:$H$14,2,FALSE),YES_Writing_ELA[#Headers],0)))),"")</f>
        <v/>
      </c>
      <c r="H455" s="138" t="str">
        <f>IFERROR(IF(IF(INDEX(_xlfn.VSTACK(YES_Writing_ELA[#Data],YES_Writing_FLA[#Data]),MATCH($A455,_xlfn.VSTACK(YES_Writing_ELA[Student Number],YES_Writing_FLA[Student Number]),0),MATCH(VLOOKUP(H$7,'Writing Logic'!$J$7:$K$11,2,FALSE)&amp;" - Per "&amp;VLOOKUP($C$4,'Writing Logic'!$G$8:$H$14,2,FALSE),YES_Writing_ELA[#Headers],0))=0,"",INDEX(_xlfn.VSTACK(YES_Writing_ELA[#Data],YES_Writing_FLA[#Data]),MATCH($A455,_xlfn.VSTACK(YES_Writing_ELA[Student Number],YES_Writing_FLA[Student Number]),0),MATCH(VLOOKUP(H$7,'Writing Logic'!$J$7:$K$11,2,FALSE)&amp;" - Per "&amp;VLOOKUP($C$4,'Writing Logic'!$G$8:$H$14,2,FALSE),YES_Writing_ELA[#Headers],0)))="INS",'Writing Logic'!$B$7,IF(INDEX(_xlfn.VSTACK(YES_Writing_ELA[#Data],YES_Writing_FLA[#Data]),MATCH($A455,_xlfn.VSTACK(YES_Writing_ELA[Student Number],YES_Writing_FLA[Student Number]),0),MATCH(VLOOKUP(H$7,'Writing Logic'!$J$7:$K$11,2,FALSE)&amp;" - Per "&amp;VLOOKUP($C$4,'Writing Logic'!$G$8:$H$14,2,FALSE),YES_Writing_ELA[#Headers],0))=0,"",INDEX(_xlfn.VSTACK(YES_Writing_ELA[#Data],YES_Writing_FLA[#Data]),MATCH($A455,_xlfn.VSTACK(YES_Writing_ELA[Student Number],YES_Writing_FLA[Student Number]),0),MATCH(VLOOKUP(H$7,'Writing Logic'!$J$7:$K$11,2,FALSE)&amp;" - Per "&amp;VLOOKUP($C$4,'Writing Logic'!$G$8:$H$14,2,FALSE),YES_Writing_ELA[#Headers],0)))),"")</f>
        <v/>
      </c>
    </row>
    <row r="456" spans="1:8" x14ac:dyDescent="0.25">
      <c r="A456" s="137"/>
      <c r="B456" s="137" t="str">
        <f>IFERROR(INDEX(_xlfn.VSTACK(YES_Writing_ELA[#Data], YES_Writing_FLA[#Data]),MATCH($A456,_xlfn.VSTACK(YES_Writing_ELA[Student Number], YES_Writing_FLA[Student Number]),0),MATCH(B$7,YES_Writing_ELA[#Headers],0)),"")</f>
        <v/>
      </c>
      <c r="C456" s="137" t="str">
        <f>IFERROR(INDEX(_xlfn.VSTACK(YES_Writing_ELA[#Data], YES_Writing_FLA[#Data]),MATCH($A456,_xlfn.VSTACK(YES_Writing_ELA[Student Number], YES_Writing_FLA[Student Number]),0),MATCH(C$7,YES_Writing_ELA[#Headers],0)),"")</f>
        <v/>
      </c>
      <c r="D456" s="138" t="str">
        <f>IFERROR(IF(IF(INDEX(_xlfn.VSTACK(YES_Writing_ELA[#Data],YES_Writing_FLA[#Data]),MATCH($A456,_xlfn.VSTACK(YES_Writing_ELA[Student Number],YES_Writing_FLA[Student Number]),0),MATCH(VLOOKUP(D$7,'Writing Logic'!$J$7:$K$11,2,FALSE)&amp;" - Per "&amp;VLOOKUP($C$4,'Writing Logic'!$G$8:$H$14,2,FALSE),YES_Writing_ELA[#Headers],0))=0,"",INDEX(_xlfn.VSTACK(YES_Writing_ELA[#Data],YES_Writing_FLA[#Data]),MATCH($A456,_xlfn.VSTACK(YES_Writing_ELA[Student Number],YES_Writing_FLA[Student Number]),0),MATCH(VLOOKUP(D$7,'Writing Logic'!$J$7:$K$11,2,FALSE)&amp;" - Per "&amp;VLOOKUP($C$4,'Writing Logic'!$G$8:$H$14,2,FALSE),YES_Writing_ELA[#Headers],0)))="INS",'Writing Logic'!$B$7,IF(INDEX(_xlfn.VSTACK(YES_Writing_ELA[#Data],YES_Writing_FLA[#Data]),MATCH($A456,_xlfn.VSTACK(YES_Writing_ELA[Student Number],YES_Writing_FLA[Student Number]),0),MATCH(VLOOKUP(D$7,'Writing Logic'!$J$7:$K$11,2,FALSE)&amp;" - Per "&amp;VLOOKUP($C$4,'Writing Logic'!$G$8:$H$14,2,FALSE),YES_Writing_ELA[#Headers],0))=0,"",INDEX(_xlfn.VSTACK(YES_Writing_ELA[#Data],YES_Writing_FLA[#Data]),MATCH($A456,_xlfn.VSTACK(YES_Writing_ELA[Student Number],YES_Writing_FLA[Student Number]),0),MATCH(VLOOKUP(D$7,'Writing Logic'!$J$7:$K$11,2,FALSE)&amp;" - Per "&amp;VLOOKUP($C$4,'Writing Logic'!$G$8:$H$14,2,FALSE),YES_Writing_ELA[#Headers],0)))),"")</f>
        <v/>
      </c>
      <c r="E456" s="138" t="str">
        <f>IFERROR(IF(IF(INDEX(_xlfn.VSTACK(YES_Writing_ELA[#Data],YES_Writing_FLA[#Data]),MATCH($A456,_xlfn.VSTACK(YES_Writing_ELA[Student Number],YES_Writing_FLA[Student Number]),0),MATCH(VLOOKUP(E$7,'Writing Logic'!$J$7:$K$11,2,FALSE)&amp;" - Per "&amp;VLOOKUP($C$4,'Writing Logic'!$G$8:$H$14,2,FALSE),YES_Writing_ELA[#Headers],0))=0,"",INDEX(_xlfn.VSTACK(YES_Writing_ELA[#Data],YES_Writing_FLA[#Data]),MATCH($A456,_xlfn.VSTACK(YES_Writing_ELA[Student Number],YES_Writing_FLA[Student Number]),0),MATCH(VLOOKUP(E$7,'Writing Logic'!$J$7:$K$11,2,FALSE)&amp;" - Per "&amp;VLOOKUP($C$4,'Writing Logic'!$G$8:$H$14,2,FALSE),YES_Writing_ELA[#Headers],0)))="INS",'Writing Logic'!$B$7,IF(INDEX(_xlfn.VSTACK(YES_Writing_ELA[#Data],YES_Writing_FLA[#Data]),MATCH($A456,_xlfn.VSTACK(YES_Writing_ELA[Student Number],YES_Writing_FLA[Student Number]),0),MATCH(VLOOKUP(E$7,'Writing Logic'!$J$7:$K$11,2,FALSE)&amp;" - Per "&amp;VLOOKUP($C$4,'Writing Logic'!$G$8:$H$14,2,FALSE),YES_Writing_ELA[#Headers],0))=0,"",INDEX(_xlfn.VSTACK(YES_Writing_ELA[#Data],YES_Writing_FLA[#Data]),MATCH($A456,_xlfn.VSTACK(YES_Writing_ELA[Student Number],YES_Writing_FLA[Student Number]),0),MATCH(VLOOKUP(E$7,'Writing Logic'!$J$7:$K$11,2,FALSE)&amp;" - Per "&amp;VLOOKUP($C$4,'Writing Logic'!$G$8:$H$14,2,FALSE),YES_Writing_ELA[#Headers],0)))),"")</f>
        <v/>
      </c>
      <c r="F456" s="138" t="str">
        <f>IFERROR(IF(IF(INDEX(_xlfn.VSTACK(YES_Writing_ELA[#Data],YES_Writing_FLA[#Data]),MATCH($A456,_xlfn.VSTACK(YES_Writing_ELA[Student Number],YES_Writing_FLA[Student Number]),0),MATCH(VLOOKUP(F$7,'Writing Logic'!$J$7:$K$11,2,FALSE)&amp;" - Per "&amp;VLOOKUP($C$4,'Writing Logic'!$G$8:$H$14,2,FALSE),YES_Writing_ELA[#Headers],0))=0,"",INDEX(_xlfn.VSTACK(YES_Writing_ELA[#Data],YES_Writing_FLA[#Data]),MATCH($A456,_xlfn.VSTACK(YES_Writing_ELA[Student Number],YES_Writing_FLA[Student Number]),0),MATCH(VLOOKUP(F$7,'Writing Logic'!$J$7:$K$11,2,FALSE)&amp;" - Per "&amp;VLOOKUP($C$4,'Writing Logic'!$G$8:$H$14,2,FALSE),YES_Writing_ELA[#Headers],0)))="INS",'Writing Logic'!$B$7,IF(INDEX(_xlfn.VSTACK(YES_Writing_ELA[#Data],YES_Writing_FLA[#Data]),MATCH($A456,_xlfn.VSTACK(YES_Writing_ELA[Student Number],YES_Writing_FLA[Student Number]),0),MATCH(VLOOKUP(F$7,'Writing Logic'!$J$7:$K$11,2,FALSE)&amp;" - Per "&amp;VLOOKUP($C$4,'Writing Logic'!$G$8:$H$14,2,FALSE),YES_Writing_ELA[#Headers],0))=0,"",INDEX(_xlfn.VSTACK(YES_Writing_ELA[#Data],YES_Writing_FLA[#Data]),MATCH($A456,_xlfn.VSTACK(YES_Writing_ELA[Student Number],YES_Writing_FLA[Student Number]),0),MATCH(VLOOKUP(F$7,'Writing Logic'!$J$7:$K$11,2,FALSE)&amp;" - Per "&amp;VLOOKUP($C$4,'Writing Logic'!$G$8:$H$14,2,FALSE),YES_Writing_ELA[#Headers],0)))),"")</f>
        <v/>
      </c>
      <c r="G456" s="138" t="str">
        <f>IFERROR(IF(IF(INDEX(_xlfn.VSTACK(YES_Writing_ELA[#Data],YES_Writing_FLA[#Data]),MATCH($A456,_xlfn.VSTACK(YES_Writing_ELA[Student Number],YES_Writing_FLA[Student Number]),0),MATCH(VLOOKUP(G$7,'Writing Logic'!$J$7:$K$11,2,FALSE)&amp;" - Per "&amp;VLOOKUP($C$4,'Writing Logic'!$G$8:$H$14,2,FALSE),YES_Writing_ELA[#Headers],0))=0,"",INDEX(_xlfn.VSTACK(YES_Writing_ELA[#Data],YES_Writing_FLA[#Data]),MATCH($A456,_xlfn.VSTACK(YES_Writing_ELA[Student Number],YES_Writing_FLA[Student Number]),0),MATCH(VLOOKUP(G$7,'Writing Logic'!$J$7:$K$11,2,FALSE)&amp;" - Per "&amp;VLOOKUP($C$4,'Writing Logic'!$G$8:$H$14,2,FALSE),YES_Writing_ELA[#Headers],0)))="INS",'Writing Logic'!$B$7,IF(INDEX(_xlfn.VSTACK(YES_Writing_ELA[#Data],YES_Writing_FLA[#Data]),MATCH($A456,_xlfn.VSTACK(YES_Writing_ELA[Student Number],YES_Writing_FLA[Student Number]),0),MATCH(VLOOKUP(G$7,'Writing Logic'!$J$7:$K$11,2,FALSE)&amp;" - Per "&amp;VLOOKUP($C$4,'Writing Logic'!$G$8:$H$14,2,FALSE),YES_Writing_ELA[#Headers],0))=0,"",INDEX(_xlfn.VSTACK(YES_Writing_ELA[#Data],YES_Writing_FLA[#Data]),MATCH($A456,_xlfn.VSTACK(YES_Writing_ELA[Student Number],YES_Writing_FLA[Student Number]),0),MATCH(VLOOKUP(G$7,'Writing Logic'!$J$7:$K$11,2,FALSE)&amp;" - Per "&amp;VLOOKUP($C$4,'Writing Logic'!$G$8:$H$14,2,FALSE),YES_Writing_ELA[#Headers],0)))),"")</f>
        <v/>
      </c>
      <c r="H456" s="138" t="str">
        <f>IFERROR(IF(IF(INDEX(_xlfn.VSTACK(YES_Writing_ELA[#Data],YES_Writing_FLA[#Data]),MATCH($A456,_xlfn.VSTACK(YES_Writing_ELA[Student Number],YES_Writing_FLA[Student Number]),0),MATCH(VLOOKUP(H$7,'Writing Logic'!$J$7:$K$11,2,FALSE)&amp;" - Per "&amp;VLOOKUP($C$4,'Writing Logic'!$G$8:$H$14,2,FALSE),YES_Writing_ELA[#Headers],0))=0,"",INDEX(_xlfn.VSTACK(YES_Writing_ELA[#Data],YES_Writing_FLA[#Data]),MATCH($A456,_xlfn.VSTACK(YES_Writing_ELA[Student Number],YES_Writing_FLA[Student Number]),0),MATCH(VLOOKUP(H$7,'Writing Logic'!$J$7:$K$11,2,FALSE)&amp;" - Per "&amp;VLOOKUP($C$4,'Writing Logic'!$G$8:$H$14,2,FALSE),YES_Writing_ELA[#Headers],0)))="INS",'Writing Logic'!$B$7,IF(INDEX(_xlfn.VSTACK(YES_Writing_ELA[#Data],YES_Writing_FLA[#Data]),MATCH($A456,_xlfn.VSTACK(YES_Writing_ELA[Student Number],YES_Writing_FLA[Student Number]),0),MATCH(VLOOKUP(H$7,'Writing Logic'!$J$7:$K$11,2,FALSE)&amp;" - Per "&amp;VLOOKUP($C$4,'Writing Logic'!$G$8:$H$14,2,FALSE),YES_Writing_ELA[#Headers],0))=0,"",INDEX(_xlfn.VSTACK(YES_Writing_ELA[#Data],YES_Writing_FLA[#Data]),MATCH($A456,_xlfn.VSTACK(YES_Writing_ELA[Student Number],YES_Writing_FLA[Student Number]),0),MATCH(VLOOKUP(H$7,'Writing Logic'!$J$7:$K$11,2,FALSE)&amp;" - Per "&amp;VLOOKUP($C$4,'Writing Logic'!$G$8:$H$14,2,FALSE),YES_Writing_ELA[#Headers],0)))),"")</f>
        <v/>
      </c>
    </row>
    <row r="457" spans="1:8" x14ac:dyDescent="0.25">
      <c r="A457" s="137"/>
      <c r="B457" s="137" t="str">
        <f>IFERROR(INDEX(_xlfn.VSTACK(YES_Writing_ELA[#Data], YES_Writing_FLA[#Data]),MATCH($A457,_xlfn.VSTACK(YES_Writing_ELA[Student Number], YES_Writing_FLA[Student Number]),0),MATCH(B$7,YES_Writing_ELA[#Headers],0)),"")</f>
        <v/>
      </c>
      <c r="C457" s="137" t="str">
        <f>IFERROR(INDEX(_xlfn.VSTACK(YES_Writing_ELA[#Data], YES_Writing_FLA[#Data]),MATCH($A457,_xlfn.VSTACK(YES_Writing_ELA[Student Number], YES_Writing_FLA[Student Number]),0),MATCH(C$7,YES_Writing_ELA[#Headers],0)),"")</f>
        <v/>
      </c>
      <c r="D457" s="138" t="str">
        <f>IFERROR(IF(IF(INDEX(_xlfn.VSTACK(YES_Writing_ELA[#Data],YES_Writing_FLA[#Data]),MATCH($A457,_xlfn.VSTACK(YES_Writing_ELA[Student Number],YES_Writing_FLA[Student Number]),0),MATCH(VLOOKUP(D$7,'Writing Logic'!$J$7:$K$11,2,FALSE)&amp;" - Per "&amp;VLOOKUP($C$4,'Writing Logic'!$G$8:$H$14,2,FALSE),YES_Writing_ELA[#Headers],0))=0,"",INDEX(_xlfn.VSTACK(YES_Writing_ELA[#Data],YES_Writing_FLA[#Data]),MATCH($A457,_xlfn.VSTACK(YES_Writing_ELA[Student Number],YES_Writing_FLA[Student Number]),0),MATCH(VLOOKUP(D$7,'Writing Logic'!$J$7:$K$11,2,FALSE)&amp;" - Per "&amp;VLOOKUP($C$4,'Writing Logic'!$G$8:$H$14,2,FALSE),YES_Writing_ELA[#Headers],0)))="INS",'Writing Logic'!$B$7,IF(INDEX(_xlfn.VSTACK(YES_Writing_ELA[#Data],YES_Writing_FLA[#Data]),MATCH($A457,_xlfn.VSTACK(YES_Writing_ELA[Student Number],YES_Writing_FLA[Student Number]),0),MATCH(VLOOKUP(D$7,'Writing Logic'!$J$7:$K$11,2,FALSE)&amp;" - Per "&amp;VLOOKUP($C$4,'Writing Logic'!$G$8:$H$14,2,FALSE),YES_Writing_ELA[#Headers],0))=0,"",INDEX(_xlfn.VSTACK(YES_Writing_ELA[#Data],YES_Writing_FLA[#Data]),MATCH($A457,_xlfn.VSTACK(YES_Writing_ELA[Student Number],YES_Writing_FLA[Student Number]),0),MATCH(VLOOKUP(D$7,'Writing Logic'!$J$7:$K$11,2,FALSE)&amp;" - Per "&amp;VLOOKUP($C$4,'Writing Logic'!$G$8:$H$14,2,FALSE),YES_Writing_ELA[#Headers],0)))),"")</f>
        <v/>
      </c>
      <c r="E457" s="138" t="str">
        <f>IFERROR(IF(IF(INDEX(_xlfn.VSTACK(YES_Writing_ELA[#Data],YES_Writing_FLA[#Data]),MATCH($A457,_xlfn.VSTACK(YES_Writing_ELA[Student Number],YES_Writing_FLA[Student Number]),0),MATCH(VLOOKUP(E$7,'Writing Logic'!$J$7:$K$11,2,FALSE)&amp;" - Per "&amp;VLOOKUP($C$4,'Writing Logic'!$G$8:$H$14,2,FALSE),YES_Writing_ELA[#Headers],0))=0,"",INDEX(_xlfn.VSTACK(YES_Writing_ELA[#Data],YES_Writing_FLA[#Data]),MATCH($A457,_xlfn.VSTACK(YES_Writing_ELA[Student Number],YES_Writing_FLA[Student Number]),0),MATCH(VLOOKUP(E$7,'Writing Logic'!$J$7:$K$11,2,FALSE)&amp;" - Per "&amp;VLOOKUP($C$4,'Writing Logic'!$G$8:$H$14,2,FALSE),YES_Writing_ELA[#Headers],0)))="INS",'Writing Logic'!$B$7,IF(INDEX(_xlfn.VSTACK(YES_Writing_ELA[#Data],YES_Writing_FLA[#Data]),MATCH($A457,_xlfn.VSTACK(YES_Writing_ELA[Student Number],YES_Writing_FLA[Student Number]),0),MATCH(VLOOKUP(E$7,'Writing Logic'!$J$7:$K$11,2,FALSE)&amp;" - Per "&amp;VLOOKUP($C$4,'Writing Logic'!$G$8:$H$14,2,FALSE),YES_Writing_ELA[#Headers],0))=0,"",INDEX(_xlfn.VSTACK(YES_Writing_ELA[#Data],YES_Writing_FLA[#Data]),MATCH($A457,_xlfn.VSTACK(YES_Writing_ELA[Student Number],YES_Writing_FLA[Student Number]),0),MATCH(VLOOKUP(E$7,'Writing Logic'!$J$7:$K$11,2,FALSE)&amp;" - Per "&amp;VLOOKUP($C$4,'Writing Logic'!$G$8:$H$14,2,FALSE),YES_Writing_ELA[#Headers],0)))),"")</f>
        <v/>
      </c>
      <c r="F457" s="138" t="str">
        <f>IFERROR(IF(IF(INDEX(_xlfn.VSTACK(YES_Writing_ELA[#Data],YES_Writing_FLA[#Data]),MATCH($A457,_xlfn.VSTACK(YES_Writing_ELA[Student Number],YES_Writing_FLA[Student Number]),0),MATCH(VLOOKUP(F$7,'Writing Logic'!$J$7:$K$11,2,FALSE)&amp;" - Per "&amp;VLOOKUP($C$4,'Writing Logic'!$G$8:$H$14,2,FALSE),YES_Writing_ELA[#Headers],0))=0,"",INDEX(_xlfn.VSTACK(YES_Writing_ELA[#Data],YES_Writing_FLA[#Data]),MATCH($A457,_xlfn.VSTACK(YES_Writing_ELA[Student Number],YES_Writing_FLA[Student Number]),0),MATCH(VLOOKUP(F$7,'Writing Logic'!$J$7:$K$11,2,FALSE)&amp;" - Per "&amp;VLOOKUP($C$4,'Writing Logic'!$G$8:$H$14,2,FALSE),YES_Writing_ELA[#Headers],0)))="INS",'Writing Logic'!$B$7,IF(INDEX(_xlfn.VSTACK(YES_Writing_ELA[#Data],YES_Writing_FLA[#Data]),MATCH($A457,_xlfn.VSTACK(YES_Writing_ELA[Student Number],YES_Writing_FLA[Student Number]),0),MATCH(VLOOKUP(F$7,'Writing Logic'!$J$7:$K$11,2,FALSE)&amp;" - Per "&amp;VLOOKUP($C$4,'Writing Logic'!$G$8:$H$14,2,FALSE),YES_Writing_ELA[#Headers],0))=0,"",INDEX(_xlfn.VSTACK(YES_Writing_ELA[#Data],YES_Writing_FLA[#Data]),MATCH($A457,_xlfn.VSTACK(YES_Writing_ELA[Student Number],YES_Writing_FLA[Student Number]),0),MATCH(VLOOKUP(F$7,'Writing Logic'!$J$7:$K$11,2,FALSE)&amp;" - Per "&amp;VLOOKUP($C$4,'Writing Logic'!$G$8:$H$14,2,FALSE),YES_Writing_ELA[#Headers],0)))),"")</f>
        <v/>
      </c>
      <c r="G457" s="138" t="str">
        <f>IFERROR(IF(IF(INDEX(_xlfn.VSTACK(YES_Writing_ELA[#Data],YES_Writing_FLA[#Data]),MATCH($A457,_xlfn.VSTACK(YES_Writing_ELA[Student Number],YES_Writing_FLA[Student Number]),0),MATCH(VLOOKUP(G$7,'Writing Logic'!$J$7:$K$11,2,FALSE)&amp;" - Per "&amp;VLOOKUP($C$4,'Writing Logic'!$G$8:$H$14,2,FALSE),YES_Writing_ELA[#Headers],0))=0,"",INDEX(_xlfn.VSTACK(YES_Writing_ELA[#Data],YES_Writing_FLA[#Data]),MATCH($A457,_xlfn.VSTACK(YES_Writing_ELA[Student Number],YES_Writing_FLA[Student Number]),0),MATCH(VLOOKUP(G$7,'Writing Logic'!$J$7:$K$11,2,FALSE)&amp;" - Per "&amp;VLOOKUP($C$4,'Writing Logic'!$G$8:$H$14,2,FALSE),YES_Writing_ELA[#Headers],0)))="INS",'Writing Logic'!$B$7,IF(INDEX(_xlfn.VSTACK(YES_Writing_ELA[#Data],YES_Writing_FLA[#Data]),MATCH($A457,_xlfn.VSTACK(YES_Writing_ELA[Student Number],YES_Writing_FLA[Student Number]),0),MATCH(VLOOKUP(G$7,'Writing Logic'!$J$7:$K$11,2,FALSE)&amp;" - Per "&amp;VLOOKUP($C$4,'Writing Logic'!$G$8:$H$14,2,FALSE),YES_Writing_ELA[#Headers],0))=0,"",INDEX(_xlfn.VSTACK(YES_Writing_ELA[#Data],YES_Writing_FLA[#Data]),MATCH($A457,_xlfn.VSTACK(YES_Writing_ELA[Student Number],YES_Writing_FLA[Student Number]),0),MATCH(VLOOKUP(G$7,'Writing Logic'!$J$7:$K$11,2,FALSE)&amp;" - Per "&amp;VLOOKUP($C$4,'Writing Logic'!$G$8:$H$14,2,FALSE),YES_Writing_ELA[#Headers],0)))),"")</f>
        <v/>
      </c>
      <c r="H457" s="138" t="str">
        <f>IFERROR(IF(IF(INDEX(_xlfn.VSTACK(YES_Writing_ELA[#Data],YES_Writing_FLA[#Data]),MATCH($A457,_xlfn.VSTACK(YES_Writing_ELA[Student Number],YES_Writing_FLA[Student Number]),0),MATCH(VLOOKUP(H$7,'Writing Logic'!$J$7:$K$11,2,FALSE)&amp;" - Per "&amp;VLOOKUP($C$4,'Writing Logic'!$G$8:$H$14,2,FALSE),YES_Writing_ELA[#Headers],0))=0,"",INDEX(_xlfn.VSTACK(YES_Writing_ELA[#Data],YES_Writing_FLA[#Data]),MATCH($A457,_xlfn.VSTACK(YES_Writing_ELA[Student Number],YES_Writing_FLA[Student Number]),0),MATCH(VLOOKUP(H$7,'Writing Logic'!$J$7:$K$11,2,FALSE)&amp;" - Per "&amp;VLOOKUP($C$4,'Writing Logic'!$G$8:$H$14,2,FALSE),YES_Writing_ELA[#Headers],0)))="INS",'Writing Logic'!$B$7,IF(INDEX(_xlfn.VSTACK(YES_Writing_ELA[#Data],YES_Writing_FLA[#Data]),MATCH($A457,_xlfn.VSTACK(YES_Writing_ELA[Student Number],YES_Writing_FLA[Student Number]),0),MATCH(VLOOKUP(H$7,'Writing Logic'!$J$7:$K$11,2,FALSE)&amp;" - Per "&amp;VLOOKUP($C$4,'Writing Logic'!$G$8:$H$14,2,FALSE),YES_Writing_ELA[#Headers],0))=0,"",INDEX(_xlfn.VSTACK(YES_Writing_ELA[#Data],YES_Writing_FLA[#Data]),MATCH($A457,_xlfn.VSTACK(YES_Writing_ELA[Student Number],YES_Writing_FLA[Student Number]),0),MATCH(VLOOKUP(H$7,'Writing Logic'!$J$7:$K$11,2,FALSE)&amp;" - Per "&amp;VLOOKUP($C$4,'Writing Logic'!$G$8:$H$14,2,FALSE),YES_Writing_ELA[#Headers],0)))),"")</f>
        <v/>
      </c>
    </row>
    <row r="458" spans="1:8" x14ac:dyDescent="0.25">
      <c r="A458" s="137"/>
      <c r="B458" s="137" t="str">
        <f>IFERROR(INDEX(_xlfn.VSTACK(YES_Writing_ELA[#Data], YES_Writing_FLA[#Data]),MATCH($A458,_xlfn.VSTACK(YES_Writing_ELA[Student Number], YES_Writing_FLA[Student Number]),0),MATCH(B$7,YES_Writing_ELA[#Headers],0)),"")</f>
        <v/>
      </c>
      <c r="C458" s="137" t="str">
        <f>IFERROR(INDEX(_xlfn.VSTACK(YES_Writing_ELA[#Data], YES_Writing_FLA[#Data]),MATCH($A458,_xlfn.VSTACK(YES_Writing_ELA[Student Number], YES_Writing_FLA[Student Number]),0),MATCH(C$7,YES_Writing_ELA[#Headers],0)),"")</f>
        <v/>
      </c>
      <c r="D458" s="138" t="str">
        <f>IFERROR(IF(IF(INDEX(_xlfn.VSTACK(YES_Writing_ELA[#Data],YES_Writing_FLA[#Data]),MATCH($A458,_xlfn.VSTACK(YES_Writing_ELA[Student Number],YES_Writing_FLA[Student Number]),0),MATCH(VLOOKUP(D$7,'Writing Logic'!$J$7:$K$11,2,FALSE)&amp;" - Per "&amp;VLOOKUP($C$4,'Writing Logic'!$G$8:$H$14,2,FALSE),YES_Writing_ELA[#Headers],0))=0,"",INDEX(_xlfn.VSTACK(YES_Writing_ELA[#Data],YES_Writing_FLA[#Data]),MATCH($A458,_xlfn.VSTACK(YES_Writing_ELA[Student Number],YES_Writing_FLA[Student Number]),0),MATCH(VLOOKUP(D$7,'Writing Logic'!$J$7:$K$11,2,FALSE)&amp;" - Per "&amp;VLOOKUP($C$4,'Writing Logic'!$G$8:$H$14,2,FALSE),YES_Writing_ELA[#Headers],0)))="INS",'Writing Logic'!$B$7,IF(INDEX(_xlfn.VSTACK(YES_Writing_ELA[#Data],YES_Writing_FLA[#Data]),MATCH($A458,_xlfn.VSTACK(YES_Writing_ELA[Student Number],YES_Writing_FLA[Student Number]),0),MATCH(VLOOKUP(D$7,'Writing Logic'!$J$7:$K$11,2,FALSE)&amp;" - Per "&amp;VLOOKUP($C$4,'Writing Logic'!$G$8:$H$14,2,FALSE),YES_Writing_ELA[#Headers],0))=0,"",INDEX(_xlfn.VSTACK(YES_Writing_ELA[#Data],YES_Writing_FLA[#Data]),MATCH($A458,_xlfn.VSTACK(YES_Writing_ELA[Student Number],YES_Writing_FLA[Student Number]),0),MATCH(VLOOKUP(D$7,'Writing Logic'!$J$7:$K$11,2,FALSE)&amp;" - Per "&amp;VLOOKUP($C$4,'Writing Logic'!$G$8:$H$14,2,FALSE),YES_Writing_ELA[#Headers],0)))),"")</f>
        <v/>
      </c>
      <c r="E458" s="138" t="str">
        <f>IFERROR(IF(IF(INDEX(_xlfn.VSTACK(YES_Writing_ELA[#Data],YES_Writing_FLA[#Data]),MATCH($A458,_xlfn.VSTACK(YES_Writing_ELA[Student Number],YES_Writing_FLA[Student Number]),0),MATCH(VLOOKUP(E$7,'Writing Logic'!$J$7:$K$11,2,FALSE)&amp;" - Per "&amp;VLOOKUP($C$4,'Writing Logic'!$G$8:$H$14,2,FALSE),YES_Writing_ELA[#Headers],0))=0,"",INDEX(_xlfn.VSTACK(YES_Writing_ELA[#Data],YES_Writing_FLA[#Data]),MATCH($A458,_xlfn.VSTACK(YES_Writing_ELA[Student Number],YES_Writing_FLA[Student Number]),0),MATCH(VLOOKUP(E$7,'Writing Logic'!$J$7:$K$11,2,FALSE)&amp;" - Per "&amp;VLOOKUP($C$4,'Writing Logic'!$G$8:$H$14,2,FALSE),YES_Writing_ELA[#Headers],0)))="INS",'Writing Logic'!$B$7,IF(INDEX(_xlfn.VSTACK(YES_Writing_ELA[#Data],YES_Writing_FLA[#Data]),MATCH($A458,_xlfn.VSTACK(YES_Writing_ELA[Student Number],YES_Writing_FLA[Student Number]),0),MATCH(VLOOKUP(E$7,'Writing Logic'!$J$7:$K$11,2,FALSE)&amp;" - Per "&amp;VLOOKUP($C$4,'Writing Logic'!$G$8:$H$14,2,FALSE),YES_Writing_ELA[#Headers],0))=0,"",INDEX(_xlfn.VSTACK(YES_Writing_ELA[#Data],YES_Writing_FLA[#Data]),MATCH($A458,_xlfn.VSTACK(YES_Writing_ELA[Student Number],YES_Writing_FLA[Student Number]),0),MATCH(VLOOKUP(E$7,'Writing Logic'!$J$7:$K$11,2,FALSE)&amp;" - Per "&amp;VLOOKUP($C$4,'Writing Logic'!$G$8:$H$14,2,FALSE),YES_Writing_ELA[#Headers],0)))),"")</f>
        <v/>
      </c>
      <c r="F458" s="138" t="str">
        <f>IFERROR(IF(IF(INDEX(_xlfn.VSTACK(YES_Writing_ELA[#Data],YES_Writing_FLA[#Data]),MATCH($A458,_xlfn.VSTACK(YES_Writing_ELA[Student Number],YES_Writing_FLA[Student Number]),0),MATCH(VLOOKUP(F$7,'Writing Logic'!$J$7:$K$11,2,FALSE)&amp;" - Per "&amp;VLOOKUP($C$4,'Writing Logic'!$G$8:$H$14,2,FALSE),YES_Writing_ELA[#Headers],0))=0,"",INDEX(_xlfn.VSTACK(YES_Writing_ELA[#Data],YES_Writing_FLA[#Data]),MATCH($A458,_xlfn.VSTACK(YES_Writing_ELA[Student Number],YES_Writing_FLA[Student Number]),0),MATCH(VLOOKUP(F$7,'Writing Logic'!$J$7:$K$11,2,FALSE)&amp;" - Per "&amp;VLOOKUP($C$4,'Writing Logic'!$G$8:$H$14,2,FALSE),YES_Writing_ELA[#Headers],0)))="INS",'Writing Logic'!$B$7,IF(INDEX(_xlfn.VSTACK(YES_Writing_ELA[#Data],YES_Writing_FLA[#Data]),MATCH($A458,_xlfn.VSTACK(YES_Writing_ELA[Student Number],YES_Writing_FLA[Student Number]),0),MATCH(VLOOKUP(F$7,'Writing Logic'!$J$7:$K$11,2,FALSE)&amp;" - Per "&amp;VLOOKUP($C$4,'Writing Logic'!$G$8:$H$14,2,FALSE),YES_Writing_ELA[#Headers],0))=0,"",INDEX(_xlfn.VSTACK(YES_Writing_ELA[#Data],YES_Writing_FLA[#Data]),MATCH($A458,_xlfn.VSTACK(YES_Writing_ELA[Student Number],YES_Writing_FLA[Student Number]),0),MATCH(VLOOKUP(F$7,'Writing Logic'!$J$7:$K$11,2,FALSE)&amp;" - Per "&amp;VLOOKUP($C$4,'Writing Logic'!$G$8:$H$14,2,FALSE),YES_Writing_ELA[#Headers],0)))),"")</f>
        <v/>
      </c>
      <c r="G458" s="138" t="str">
        <f>IFERROR(IF(IF(INDEX(_xlfn.VSTACK(YES_Writing_ELA[#Data],YES_Writing_FLA[#Data]),MATCH($A458,_xlfn.VSTACK(YES_Writing_ELA[Student Number],YES_Writing_FLA[Student Number]),0),MATCH(VLOOKUP(G$7,'Writing Logic'!$J$7:$K$11,2,FALSE)&amp;" - Per "&amp;VLOOKUP($C$4,'Writing Logic'!$G$8:$H$14,2,FALSE),YES_Writing_ELA[#Headers],0))=0,"",INDEX(_xlfn.VSTACK(YES_Writing_ELA[#Data],YES_Writing_FLA[#Data]),MATCH($A458,_xlfn.VSTACK(YES_Writing_ELA[Student Number],YES_Writing_FLA[Student Number]),0),MATCH(VLOOKUP(G$7,'Writing Logic'!$J$7:$K$11,2,FALSE)&amp;" - Per "&amp;VLOOKUP($C$4,'Writing Logic'!$G$8:$H$14,2,FALSE),YES_Writing_ELA[#Headers],0)))="INS",'Writing Logic'!$B$7,IF(INDEX(_xlfn.VSTACK(YES_Writing_ELA[#Data],YES_Writing_FLA[#Data]),MATCH($A458,_xlfn.VSTACK(YES_Writing_ELA[Student Number],YES_Writing_FLA[Student Number]),0),MATCH(VLOOKUP(G$7,'Writing Logic'!$J$7:$K$11,2,FALSE)&amp;" - Per "&amp;VLOOKUP($C$4,'Writing Logic'!$G$8:$H$14,2,FALSE),YES_Writing_ELA[#Headers],0))=0,"",INDEX(_xlfn.VSTACK(YES_Writing_ELA[#Data],YES_Writing_FLA[#Data]),MATCH($A458,_xlfn.VSTACK(YES_Writing_ELA[Student Number],YES_Writing_FLA[Student Number]),0),MATCH(VLOOKUP(G$7,'Writing Logic'!$J$7:$K$11,2,FALSE)&amp;" - Per "&amp;VLOOKUP($C$4,'Writing Logic'!$G$8:$H$14,2,FALSE),YES_Writing_ELA[#Headers],0)))),"")</f>
        <v/>
      </c>
      <c r="H458" s="138" t="str">
        <f>IFERROR(IF(IF(INDEX(_xlfn.VSTACK(YES_Writing_ELA[#Data],YES_Writing_FLA[#Data]),MATCH($A458,_xlfn.VSTACK(YES_Writing_ELA[Student Number],YES_Writing_FLA[Student Number]),0),MATCH(VLOOKUP(H$7,'Writing Logic'!$J$7:$K$11,2,FALSE)&amp;" - Per "&amp;VLOOKUP($C$4,'Writing Logic'!$G$8:$H$14,2,FALSE),YES_Writing_ELA[#Headers],0))=0,"",INDEX(_xlfn.VSTACK(YES_Writing_ELA[#Data],YES_Writing_FLA[#Data]),MATCH($A458,_xlfn.VSTACK(YES_Writing_ELA[Student Number],YES_Writing_FLA[Student Number]),0),MATCH(VLOOKUP(H$7,'Writing Logic'!$J$7:$K$11,2,FALSE)&amp;" - Per "&amp;VLOOKUP($C$4,'Writing Logic'!$G$8:$H$14,2,FALSE),YES_Writing_ELA[#Headers],0)))="INS",'Writing Logic'!$B$7,IF(INDEX(_xlfn.VSTACK(YES_Writing_ELA[#Data],YES_Writing_FLA[#Data]),MATCH($A458,_xlfn.VSTACK(YES_Writing_ELA[Student Number],YES_Writing_FLA[Student Number]),0),MATCH(VLOOKUP(H$7,'Writing Logic'!$J$7:$K$11,2,FALSE)&amp;" - Per "&amp;VLOOKUP($C$4,'Writing Logic'!$G$8:$H$14,2,FALSE),YES_Writing_ELA[#Headers],0))=0,"",INDEX(_xlfn.VSTACK(YES_Writing_ELA[#Data],YES_Writing_FLA[#Data]),MATCH($A458,_xlfn.VSTACK(YES_Writing_ELA[Student Number],YES_Writing_FLA[Student Number]),0),MATCH(VLOOKUP(H$7,'Writing Logic'!$J$7:$K$11,2,FALSE)&amp;" - Per "&amp;VLOOKUP($C$4,'Writing Logic'!$G$8:$H$14,2,FALSE),YES_Writing_ELA[#Headers],0)))),"")</f>
        <v/>
      </c>
    </row>
    <row r="459" spans="1:8" x14ac:dyDescent="0.25">
      <c r="A459" s="137"/>
      <c r="B459" s="137" t="str">
        <f>IFERROR(INDEX(_xlfn.VSTACK(YES_Writing_ELA[#Data], YES_Writing_FLA[#Data]),MATCH($A459,_xlfn.VSTACK(YES_Writing_ELA[Student Number], YES_Writing_FLA[Student Number]),0),MATCH(B$7,YES_Writing_ELA[#Headers],0)),"")</f>
        <v/>
      </c>
      <c r="C459" s="137" t="str">
        <f>IFERROR(INDEX(_xlfn.VSTACK(YES_Writing_ELA[#Data], YES_Writing_FLA[#Data]),MATCH($A459,_xlfn.VSTACK(YES_Writing_ELA[Student Number], YES_Writing_FLA[Student Number]),0),MATCH(C$7,YES_Writing_ELA[#Headers],0)),"")</f>
        <v/>
      </c>
      <c r="D459" s="138" t="str">
        <f>IFERROR(IF(IF(INDEX(_xlfn.VSTACK(YES_Writing_ELA[#Data],YES_Writing_FLA[#Data]),MATCH($A459,_xlfn.VSTACK(YES_Writing_ELA[Student Number],YES_Writing_FLA[Student Number]),0),MATCH(VLOOKUP(D$7,'Writing Logic'!$J$7:$K$11,2,FALSE)&amp;" - Per "&amp;VLOOKUP($C$4,'Writing Logic'!$G$8:$H$14,2,FALSE),YES_Writing_ELA[#Headers],0))=0,"",INDEX(_xlfn.VSTACK(YES_Writing_ELA[#Data],YES_Writing_FLA[#Data]),MATCH($A459,_xlfn.VSTACK(YES_Writing_ELA[Student Number],YES_Writing_FLA[Student Number]),0),MATCH(VLOOKUP(D$7,'Writing Logic'!$J$7:$K$11,2,FALSE)&amp;" - Per "&amp;VLOOKUP($C$4,'Writing Logic'!$G$8:$H$14,2,FALSE),YES_Writing_ELA[#Headers],0)))="INS",'Writing Logic'!$B$7,IF(INDEX(_xlfn.VSTACK(YES_Writing_ELA[#Data],YES_Writing_FLA[#Data]),MATCH($A459,_xlfn.VSTACK(YES_Writing_ELA[Student Number],YES_Writing_FLA[Student Number]),0),MATCH(VLOOKUP(D$7,'Writing Logic'!$J$7:$K$11,2,FALSE)&amp;" - Per "&amp;VLOOKUP($C$4,'Writing Logic'!$G$8:$H$14,2,FALSE),YES_Writing_ELA[#Headers],0))=0,"",INDEX(_xlfn.VSTACK(YES_Writing_ELA[#Data],YES_Writing_FLA[#Data]),MATCH($A459,_xlfn.VSTACK(YES_Writing_ELA[Student Number],YES_Writing_FLA[Student Number]),0),MATCH(VLOOKUP(D$7,'Writing Logic'!$J$7:$K$11,2,FALSE)&amp;" - Per "&amp;VLOOKUP($C$4,'Writing Logic'!$G$8:$H$14,2,FALSE),YES_Writing_ELA[#Headers],0)))),"")</f>
        <v/>
      </c>
      <c r="E459" s="138" t="str">
        <f>IFERROR(IF(IF(INDEX(_xlfn.VSTACK(YES_Writing_ELA[#Data],YES_Writing_FLA[#Data]),MATCH($A459,_xlfn.VSTACK(YES_Writing_ELA[Student Number],YES_Writing_FLA[Student Number]),0),MATCH(VLOOKUP(E$7,'Writing Logic'!$J$7:$K$11,2,FALSE)&amp;" - Per "&amp;VLOOKUP($C$4,'Writing Logic'!$G$8:$H$14,2,FALSE),YES_Writing_ELA[#Headers],0))=0,"",INDEX(_xlfn.VSTACK(YES_Writing_ELA[#Data],YES_Writing_FLA[#Data]),MATCH($A459,_xlfn.VSTACK(YES_Writing_ELA[Student Number],YES_Writing_FLA[Student Number]),0),MATCH(VLOOKUP(E$7,'Writing Logic'!$J$7:$K$11,2,FALSE)&amp;" - Per "&amp;VLOOKUP($C$4,'Writing Logic'!$G$8:$H$14,2,FALSE),YES_Writing_ELA[#Headers],0)))="INS",'Writing Logic'!$B$7,IF(INDEX(_xlfn.VSTACK(YES_Writing_ELA[#Data],YES_Writing_FLA[#Data]),MATCH($A459,_xlfn.VSTACK(YES_Writing_ELA[Student Number],YES_Writing_FLA[Student Number]),0),MATCH(VLOOKUP(E$7,'Writing Logic'!$J$7:$K$11,2,FALSE)&amp;" - Per "&amp;VLOOKUP($C$4,'Writing Logic'!$G$8:$H$14,2,FALSE),YES_Writing_ELA[#Headers],0))=0,"",INDEX(_xlfn.VSTACK(YES_Writing_ELA[#Data],YES_Writing_FLA[#Data]),MATCH($A459,_xlfn.VSTACK(YES_Writing_ELA[Student Number],YES_Writing_FLA[Student Number]),0),MATCH(VLOOKUP(E$7,'Writing Logic'!$J$7:$K$11,2,FALSE)&amp;" - Per "&amp;VLOOKUP($C$4,'Writing Logic'!$G$8:$H$14,2,FALSE),YES_Writing_ELA[#Headers],0)))),"")</f>
        <v/>
      </c>
      <c r="F459" s="138" t="str">
        <f>IFERROR(IF(IF(INDEX(_xlfn.VSTACK(YES_Writing_ELA[#Data],YES_Writing_FLA[#Data]),MATCH($A459,_xlfn.VSTACK(YES_Writing_ELA[Student Number],YES_Writing_FLA[Student Number]),0),MATCH(VLOOKUP(F$7,'Writing Logic'!$J$7:$K$11,2,FALSE)&amp;" - Per "&amp;VLOOKUP($C$4,'Writing Logic'!$G$8:$H$14,2,FALSE),YES_Writing_ELA[#Headers],0))=0,"",INDEX(_xlfn.VSTACK(YES_Writing_ELA[#Data],YES_Writing_FLA[#Data]),MATCH($A459,_xlfn.VSTACK(YES_Writing_ELA[Student Number],YES_Writing_FLA[Student Number]),0),MATCH(VLOOKUP(F$7,'Writing Logic'!$J$7:$K$11,2,FALSE)&amp;" - Per "&amp;VLOOKUP($C$4,'Writing Logic'!$G$8:$H$14,2,FALSE),YES_Writing_ELA[#Headers],0)))="INS",'Writing Logic'!$B$7,IF(INDEX(_xlfn.VSTACK(YES_Writing_ELA[#Data],YES_Writing_FLA[#Data]),MATCH($A459,_xlfn.VSTACK(YES_Writing_ELA[Student Number],YES_Writing_FLA[Student Number]),0),MATCH(VLOOKUP(F$7,'Writing Logic'!$J$7:$K$11,2,FALSE)&amp;" - Per "&amp;VLOOKUP($C$4,'Writing Logic'!$G$8:$H$14,2,FALSE),YES_Writing_ELA[#Headers],0))=0,"",INDEX(_xlfn.VSTACK(YES_Writing_ELA[#Data],YES_Writing_FLA[#Data]),MATCH($A459,_xlfn.VSTACK(YES_Writing_ELA[Student Number],YES_Writing_FLA[Student Number]),0),MATCH(VLOOKUP(F$7,'Writing Logic'!$J$7:$K$11,2,FALSE)&amp;" - Per "&amp;VLOOKUP($C$4,'Writing Logic'!$G$8:$H$14,2,FALSE),YES_Writing_ELA[#Headers],0)))),"")</f>
        <v/>
      </c>
      <c r="G459" s="138" t="str">
        <f>IFERROR(IF(IF(INDEX(_xlfn.VSTACK(YES_Writing_ELA[#Data],YES_Writing_FLA[#Data]),MATCH($A459,_xlfn.VSTACK(YES_Writing_ELA[Student Number],YES_Writing_FLA[Student Number]),0),MATCH(VLOOKUP(G$7,'Writing Logic'!$J$7:$K$11,2,FALSE)&amp;" - Per "&amp;VLOOKUP($C$4,'Writing Logic'!$G$8:$H$14,2,FALSE),YES_Writing_ELA[#Headers],0))=0,"",INDEX(_xlfn.VSTACK(YES_Writing_ELA[#Data],YES_Writing_FLA[#Data]),MATCH($A459,_xlfn.VSTACK(YES_Writing_ELA[Student Number],YES_Writing_FLA[Student Number]),0),MATCH(VLOOKUP(G$7,'Writing Logic'!$J$7:$K$11,2,FALSE)&amp;" - Per "&amp;VLOOKUP($C$4,'Writing Logic'!$G$8:$H$14,2,FALSE),YES_Writing_ELA[#Headers],0)))="INS",'Writing Logic'!$B$7,IF(INDEX(_xlfn.VSTACK(YES_Writing_ELA[#Data],YES_Writing_FLA[#Data]),MATCH($A459,_xlfn.VSTACK(YES_Writing_ELA[Student Number],YES_Writing_FLA[Student Number]),0),MATCH(VLOOKUP(G$7,'Writing Logic'!$J$7:$K$11,2,FALSE)&amp;" - Per "&amp;VLOOKUP($C$4,'Writing Logic'!$G$8:$H$14,2,FALSE),YES_Writing_ELA[#Headers],0))=0,"",INDEX(_xlfn.VSTACK(YES_Writing_ELA[#Data],YES_Writing_FLA[#Data]),MATCH($A459,_xlfn.VSTACK(YES_Writing_ELA[Student Number],YES_Writing_FLA[Student Number]),0),MATCH(VLOOKUP(G$7,'Writing Logic'!$J$7:$K$11,2,FALSE)&amp;" - Per "&amp;VLOOKUP($C$4,'Writing Logic'!$G$8:$H$14,2,FALSE),YES_Writing_ELA[#Headers],0)))),"")</f>
        <v/>
      </c>
      <c r="H459" s="138" t="str">
        <f>IFERROR(IF(IF(INDEX(_xlfn.VSTACK(YES_Writing_ELA[#Data],YES_Writing_FLA[#Data]),MATCH($A459,_xlfn.VSTACK(YES_Writing_ELA[Student Number],YES_Writing_FLA[Student Number]),0),MATCH(VLOOKUP(H$7,'Writing Logic'!$J$7:$K$11,2,FALSE)&amp;" - Per "&amp;VLOOKUP($C$4,'Writing Logic'!$G$8:$H$14,2,FALSE),YES_Writing_ELA[#Headers],0))=0,"",INDEX(_xlfn.VSTACK(YES_Writing_ELA[#Data],YES_Writing_FLA[#Data]),MATCH($A459,_xlfn.VSTACK(YES_Writing_ELA[Student Number],YES_Writing_FLA[Student Number]),0),MATCH(VLOOKUP(H$7,'Writing Logic'!$J$7:$K$11,2,FALSE)&amp;" - Per "&amp;VLOOKUP($C$4,'Writing Logic'!$G$8:$H$14,2,FALSE),YES_Writing_ELA[#Headers],0)))="INS",'Writing Logic'!$B$7,IF(INDEX(_xlfn.VSTACK(YES_Writing_ELA[#Data],YES_Writing_FLA[#Data]),MATCH($A459,_xlfn.VSTACK(YES_Writing_ELA[Student Number],YES_Writing_FLA[Student Number]),0),MATCH(VLOOKUP(H$7,'Writing Logic'!$J$7:$K$11,2,FALSE)&amp;" - Per "&amp;VLOOKUP($C$4,'Writing Logic'!$G$8:$H$14,2,FALSE),YES_Writing_ELA[#Headers],0))=0,"",INDEX(_xlfn.VSTACK(YES_Writing_ELA[#Data],YES_Writing_FLA[#Data]),MATCH($A459,_xlfn.VSTACK(YES_Writing_ELA[Student Number],YES_Writing_FLA[Student Number]),0),MATCH(VLOOKUP(H$7,'Writing Logic'!$J$7:$K$11,2,FALSE)&amp;" - Per "&amp;VLOOKUP($C$4,'Writing Logic'!$G$8:$H$14,2,FALSE),YES_Writing_ELA[#Headers],0)))),"")</f>
        <v/>
      </c>
    </row>
    <row r="460" spans="1:8" x14ac:dyDescent="0.25">
      <c r="A460" s="137"/>
      <c r="B460" s="137" t="str">
        <f>IFERROR(INDEX(_xlfn.VSTACK(YES_Writing_ELA[#Data], YES_Writing_FLA[#Data]),MATCH($A460,_xlfn.VSTACK(YES_Writing_ELA[Student Number], YES_Writing_FLA[Student Number]),0),MATCH(B$7,YES_Writing_ELA[#Headers],0)),"")</f>
        <v/>
      </c>
      <c r="C460" s="137" t="str">
        <f>IFERROR(INDEX(_xlfn.VSTACK(YES_Writing_ELA[#Data], YES_Writing_FLA[#Data]),MATCH($A460,_xlfn.VSTACK(YES_Writing_ELA[Student Number], YES_Writing_FLA[Student Number]),0),MATCH(C$7,YES_Writing_ELA[#Headers],0)),"")</f>
        <v/>
      </c>
      <c r="D460" s="138" t="str">
        <f>IFERROR(IF(IF(INDEX(_xlfn.VSTACK(YES_Writing_ELA[#Data],YES_Writing_FLA[#Data]),MATCH($A460,_xlfn.VSTACK(YES_Writing_ELA[Student Number],YES_Writing_FLA[Student Number]),0),MATCH(VLOOKUP(D$7,'Writing Logic'!$J$7:$K$11,2,FALSE)&amp;" - Per "&amp;VLOOKUP($C$4,'Writing Logic'!$G$8:$H$14,2,FALSE),YES_Writing_ELA[#Headers],0))=0,"",INDEX(_xlfn.VSTACK(YES_Writing_ELA[#Data],YES_Writing_FLA[#Data]),MATCH($A460,_xlfn.VSTACK(YES_Writing_ELA[Student Number],YES_Writing_FLA[Student Number]),0),MATCH(VLOOKUP(D$7,'Writing Logic'!$J$7:$K$11,2,FALSE)&amp;" - Per "&amp;VLOOKUP($C$4,'Writing Logic'!$G$8:$H$14,2,FALSE),YES_Writing_ELA[#Headers],0)))="INS",'Writing Logic'!$B$7,IF(INDEX(_xlfn.VSTACK(YES_Writing_ELA[#Data],YES_Writing_FLA[#Data]),MATCH($A460,_xlfn.VSTACK(YES_Writing_ELA[Student Number],YES_Writing_FLA[Student Number]),0),MATCH(VLOOKUP(D$7,'Writing Logic'!$J$7:$K$11,2,FALSE)&amp;" - Per "&amp;VLOOKUP($C$4,'Writing Logic'!$G$8:$H$14,2,FALSE),YES_Writing_ELA[#Headers],0))=0,"",INDEX(_xlfn.VSTACK(YES_Writing_ELA[#Data],YES_Writing_FLA[#Data]),MATCH($A460,_xlfn.VSTACK(YES_Writing_ELA[Student Number],YES_Writing_FLA[Student Number]),0),MATCH(VLOOKUP(D$7,'Writing Logic'!$J$7:$K$11,2,FALSE)&amp;" - Per "&amp;VLOOKUP($C$4,'Writing Logic'!$G$8:$H$14,2,FALSE),YES_Writing_ELA[#Headers],0)))),"")</f>
        <v/>
      </c>
      <c r="E460" s="138" t="str">
        <f>IFERROR(IF(IF(INDEX(_xlfn.VSTACK(YES_Writing_ELA[#Data],YES_Writing_FLA[#Data]),MATCH($A460,_xlfn.VSTACK(YES_Writing_ELA[Student Number],YES_Writing_FLA[Student Number]),0),MATCH(VLOOKUP(E$7,'Writing Logic'!$J$7:$K$11,2,FALSE)&amp;" - Per "&amp;VLOOKUP($C$4,'Writing Logic'!$G$8:$H$14,2,FALSE),YES_Writing_ELA[#Headers],0))=0,"",INDEX(_xlfn.VSTACK(YES_Writing_ELA[#Data],YES_Writing_FLA[#Data]),MATCH($A460,_xlfn.VSTACK(YES_Writing_ELA[Student Number],YES_Writing_FLA[Student Number]),0),MATCH(VLOOKUP(E$7,'Writing Logic'!$J$7:$K$11,2,FALSE)&amp;" - Per "&amp;VLOOKUP($C$4,'Writing Logic'!$G$8:$H$14,2,FALSE),YES_Writing_ELA[#Headers],0)))="INS",'Writing Logic'!$B$7,IF(INDEX(_xlfn.VSTACK(YES_Writing_ELA[#Data],YES_Writing_FLA[#Data]),MATCH($A460,_xlfn.VSTACK(YES_Writing_ELA[Student Number],YES_Writing_FLA[Student Number]),0),MATCH(VLOOKUP(E$7,'Writing Logic'!$J$7:$K$11,2,FALSE)&amp;" - Per "&amp;VLOOKUP($C$4,'Writing Logic'!$G$8:$H$14,2,FALSE),YES_Writing_ELA[#Headers],0))=0,"",INDEX(_xlfn.VSTACK(YES_Writing_ELA[#Data],YES_Writing_FLA[#Data]),MATCH($A460,_xlfn.VSTACK(YES_Writing_ELA[Student Number],YES_Writing_FLA[Student Number]),0),MATCH(VLOOKUP(E$7,'Writing Logic'!$J$7:$K$11,2,FALSE)&amp;" - Per "&amp;VLOOKUP($C$4,'Writing Logic'!$G$8:$H$14,2,FALSE),YES_Writing_ELA[#Headers],0)))),"")</f>
        <v/>
      </c>
      <c r="F460" s="138" t="str">
        <f>IFERROR(IF(IF(INDEX(_xlfn.VSTACK(YES_Writing_ELA[#Data],YES_Writing_FLA[#Data]),MATCH($A460,_xlfn.VSTACK(YES_Writing_ELA[Student Number],YES_Writing_FLA[Student Number]),0),MATCH(VLOOKUP(F$7,'Writing Logic'!$J$7:$K$11,2,FALSE)&amp;" - Per "&amp;VLOOKUP($C$4,'Writing Logic'!$G$8:$H$14,2,FALSE),YES_Writing_ELA[#Headers],0))=0,"",INDEX(_xlfn.VSTACK(YES_Writing_ELA[#Data],YES_Writing_FLA[#Data]),MATCH($A460,_xlfn.VSTACK(YES_Writing_ELA[Student Number],YES_Writing_FLA[Student Number]),0),MATCH(VLOOKUP(F$7,'Writing Logic'!$J$7:$K$11,2,FALSE)&amp;" - Per "&amp;VLOOKUP($C$4,'Writing Logic'!$G$8:$H$14,2,FALSE),YES_Writing_ELA[#Headers],0)))="INS",'Writing Logic'!$B$7,IF(INDEX(_xlfn.VSTACK(YES_Writing_ELA[#Data],YES_Writing_FLA[#Data]),MATCH($A460,_xlfn.VSTACK(YES_Writing_ELA[Student Number],YES_Writing_FLA[Student Number]),0),MATCH(VLOOKUP(F$7,'Writing Logic'!$J$7:$K$11,2,FALSE)&amp;" - Per "&amp;VLOOKUP($C$4,'Writing Logic'!$G$8:$H$14,2,FALSE),YES_Writing_ELA[#Headers],0))=0,"",INDEX(_xlfn.VSTACK(YES_Writing_ELA[#Data],YES_Writing_FLA[#Data]),MATCH($A460,_xlfn.VSTACK(YES_Writing_ELA[Student Number],YES_Writing_FLA[Student Number]),0),MATCH(VLOOKUP(F$7,'Writing Logic'!$J$7:$K$11,2,FALSE)&amp;" - Per "&amp;VLOOKUP($C$4,'Writing Logic'!$G$8:$H$14,2,FALSE),YES_Writing_ELA[#Headers],0)))),"")</f>
        <v/>
      </c>
      <c r="G460" s="138" t="str">
        <f>IFERROR(IF(IF(INDEX(_xlfn.VSTACK(YES_Writing_ELA[#Data],YES_Writing_FLA[#Data]),MATCH($A460,_xlfn.VSTACK(YES_Writing_ELA[Student Number],YES_Writing_FLA[Student Number]),0),MATCH(VLOOKUP(G$7,'Writing Logic'!$J$7:$K$11,2,FALSE)&amp;" - Per "&amp;VLOOKUP($C$4,'Writing Logic'!$G$8:$H$14,2,FALSE),YES_Writing_ELA[#Headers],0))=0,"",INDEX(_xlfn.VSTACK(YES_Writing_ELA[#Data],YES_Writing_FLA[#Data]),MATCH($A460,_xlfn.VSTACK(YES_Writing_ELA[Student Number],YES_Writing_FLA[Student Number]),0),MATCH(VLOOKUP(G$7,'Writing Logic'!$J$7:$K$11,2,FALSE)&amp;" - Per "&amp;VLOOKUP($C$4,'Writing Logic'!$G$8:$H$14,2,FALSE),YES_Writing_ELA[#Headers],0)))="INS",'Writing Logic'!$B$7,IF(INDEX(_xlfn.VSTACK(YES_Writing_ELA[#Data],YES_Writing_FLA[#Data]),MATCH($A460,_xlfn.VSTACK(YES_Writing_ELA[Student Number],YES_Writing_FLA[Student Number]),0),MATCH(VLOOKUP(G$7,'Writing Logic'!$J$7:$K$11,2,FALSE)&amp;" - Per "&amp;VLOOKUP($C$4,'Writing Logic'!$G$8:$H$14,2,FALSE),YES_Writing_ELA[#Headers],0))=0,"",INDEX(_xlfn.VSTACK(YES_Writing_ELA[#Data],YES_Writing_FLA[#Data]),MATCH($A460,_xlfn.VSTACK(YES_Writing_ELA[Student Number],YES_Writing_FLA[Student Number]),0),MATCH(VLOOKUP(G$7,'Writing Logic'!$J$7:$K$11,2,FALSE)&amp;" - Per "&amp;VLOOKUP($C$4,'Writing Logic'!$G$8:$H$14,2,FALSE),YES_Writing_ELA[#Headers],0)))),"")</f>
        <v/>
      </c>
      <c r="H460" s="138" t="str">
        <f>IFERROR(IF(IF(INDEX(_xlfn.VSTACK(YES_Writing_ELA[#Data],YES_Writing_FLA[#Data]),MATCH($A460,_xlfn.VSTACK(YES_Writing_ELA[Student Number],YES_Writing_FLA[Student Number]),0),MATCH(VLOOKUP(H$7,'Writing Logic'!$J$7:$K$11,2,FALSE)&amp;" - Per "&amp;VLOOKUP($C$4,'Writing Logic'!$G$8:$H$14,2,FALSE),YES_Writing_ELA[#Headers],0))=0,"",INDEX(_xlfn.VSTACK(YES_Writing_ELA[#Data],YES_Writing_FLA[#Data]),MATCH($A460,_xlfn.VSTACK(YES_Writing_ELA[Student Number],YES_Writing_FLA[Student Number]),0),MATCH(VLOOKUP(H$7,'Writing Logic'!$J$7:$K$11,2,FALSE)&amp;" - Per "&amp;VLOOKUP($C$4,'Writing Logic'!$G$8:$H$14,2,FALSE),YES_Writing_ELA[#Headers],0)))="INS",'Writing Logic'!$B$7,IF(INDEX(_xlfn.VSTACK(YES_Writing_ELA[#Data],YES_Writing_FLA[#Data]),MATCH($A460,_xlfn.VSTACK(YES_Writing_ELA[Student Number],YES_Writing_FLA[Student Number]),0),MATCH(VLOOKUP(H$7,'Writing Logic'!$J$7:$K$11,2,FALSE)&amp;" - Per "&amp;VLOOKUP($C$4,'Writing Logic'!$G$8:$H$14,2,FALSE),YES_Writing_ELA[#Headers],0))=0,"",INDEX(_xlfn.VSTACK(YES_Writing_ELA[#Data],YES_Writing_FLA[#Data]),MATCH($A460,_xlfn.VSTACK(YES_Writing_ELA[Student Number],YES_Writing_FLA[Student Number]),0),MATCH(VLOOKUP(H$7,'Writing Logic'!$J$7:$K$11,2,FALSE)&amp;" - Per "&amp;VLOOKUP($C$4,'Writing Logic'!$G$8:$H$14,2,FALSE),YES_Writing_ELA[#Headers],0)))),"")</f>
        <v/>
      </c>
    </row>
    <row r="461" spans="1:8" x14ac:dyDescent="0.25">
      <c r="A461" s="137"/>
      <c r="B461" s="137" t="str">
        <f>IFERROR(INDEX(_xlfn.VSTACK(YES_Writing_ELA[#Data], YES_Writing_FLA[#Data]),MATCH($A461,_xlfn.VSTACK(YES_Writing_ELA[Student Number], YES_Writing_FLA[Student Number]),0),MATCH(B$7,YES_Writing_ELA[#Headers],0)),"")</f>
        <v/>
      </c>
      <c r="C461" s="137" t="str">
        <f>IFERROR(INDEX(_xlfn.VSTACK(YES_Writing_ELA[#Data], YES_Writing_FLA[#Data]),MATCH($A461,_xlfn.VSTACK(YES_Writing_ELA[Student Number], YES_Writing_FLA[Student Number]),0),MATCH(C$7,YES_Writing_ELA[#Headers],0)),"")</f>
        <v/>
      </c>
      <c r="D461" s="138" t="str">
        <f>IFERROR(IF(IF(INDEX(_xlfn.VSTACK(YES_Writing_ELA[#Data],YES_Writing_FLA[#Data]),MATCH($A461,_xlfn.VSTACK(YES_Writing_ELA[Student Number],YES_Writing_FLA[Student Number]),0),MATCH(VLOOKUP(D$7,'Writing Logic'!$J$7:$K$11,2,FALSE)&amp;" - Per "&amp;VLOOKUP($C$4,'Writing Logic'!$G$8:$H$14,2,FALSE),YES_Writing_ELA[#Headers],0))=0,"",INDEX(_xlfn.VSTACK(YES_Writing_ELA[#Data],YES_Writing_FLA[#Data]),MATCH($A461,_xlfn.VSTACK(YES_Writing_ELA[Student Number],YES_Writing_FLA[Student Number]),0),MATCH(VLOOKUP(D$7,'Writing Logic'!$J$7:$K$11,2,FALSE)&amp;" - Per "&amp;VLOOKUP($C$4,'Writing Logic'!$G$8:$H$14,2,FALSE),YES_Writing_ELA[#Headers],0)))="INS",'Writing Logic'!$B$7,IF(INDEX(_xlfn.VSTACK(YES_Writing_ELA[#Data],YES_Writing_FLA[#Data]),MATCH($A461,_xlfn.VSTACK(YES_Writing_ELA[Student Number],YES_Writing_FLA[Student Number]),0),MATCH(VLOOKUP(D$7,'Writing Logic'!$J$7:$K$11,2,FALSE)&amp;" - Per "&amp;VLOOKUP($C$4,'Writing Logic'!$G$8:$H$14,2,FALSE),YES_Writing_ELA[#Headers],0))=0,"",INDEX(_xlfn.VSTACK(YES_Writing_ELA[#Data],YES_Writing_FLA[#Data]),MATCH($A461,_xlfn.VSTACK(YES_Writing_ELA[Student Number],YES_Writing_FLA[Student Number]),0),MATCH(VLOOKUP(D$7,'Writing Logic'!$J$7:$K$11,2,FALSE)&amp;" - Per "&amp;VLOOKUP($C$4,'Writing Logic'!$G$8:$H$14,2,FALSE),YES_Writing_ELA[#Headers],0)))),"")</f>
        <v/>
      </c>
      <c r="E461" s="138" t="str">
        <f>IFERROR(IF(IF(INDEX(_xlfn.VSTACK(YES_Writing_ELA[#Data],YES_Writing_FLA[#Data]),MATCH($A461,_xlfn.VSTACK(YES_Writing_ELA[Student Number],YES_Writing_FLA[Student Number]),0),MATCH(VLOOKUP(E$7,'Writing Logic'!$J$7:$K$11,2,FALSE)&amp;" - Per "&amp;VLOOKUP($C$4,'Writing Logic'!$G$8:$H$14,2,FALSE),YES_Writing_ELA[#Headers],0))=0,"",INDEX(_xlfn.VSTACK(YES_Writing_ELA[#Data],YES_Writing_FLA[#Data]),MATCH($A461,_xlfn.VSTACK(YES_Writing_ELA[Student Number],YES_Writing_FLA[Student Number]),0),MATCH(VLOOKUP(E$7,'Writing Logic'!$J$7:$K$11,2,FALSE)&amp;" - Per "&amp;VLOOKUP($C$4,'Writing Logic'!$G$8:$H$14,2,FALSE),YES_Writing_ELA[#Headers],0)))="INS",'Writing Logic'!$B$7,IF(INDEX(_xlfn.VSTACK(YES_Writing_ELA[#Data],YES_Writing_FLA[#Data]),MATCH($A461,_xlfn.VSTACK(YES_Writing_ELA[Student Number],YES_Writing_FLA[Student Number]),0),MATCH(VLOOKUP(E$7,'Writing Logic'!$J$7:$K$11,2,FALSE)&amp;" - Per "&amp;VLOOKUP($C$4,'Writing Logic'!$G$8:$H$14,2,FALSE),YES_Writing_ELA[#Headers],0))=0,"",INDEX(_xlfn.VSTACK(YES_Writing_ELA[#Data],YES_Writing_FLA[#Data]),MATCH($A461,_xlfn.VSTACK(YES_Writing_ELA[Student Number],YES_Writing_FLA[Student Number]),0),MATCH(VLOOKUP(E$7,'Writing Logic'!$J$7:$K$11,2,FALSE)&amp;" - Per "&amp;VLOOKUP($C$4,'Writing Logic'!$G$8:$H$14,2,FALSE),YES_Writing_ELA[#Headers],0)))),"")</f>
        <v/>
      </c>
      <c r="F461" s="138" t="str">
        <f>IFERROR(IF(IF(INDEX(_xlfn.VSTACK(YES_Writing_ELA[#Data],YES_Writing_FLA[#Data]),MATCH($A461,_xlfn.VSTACK(YES_Writing_ELA[Student Number],YES_Writing_FLA[Student Number]),0),MATCH(VLOOKUP(F$7,'Writing Logic'!$J$7:$K$11,2,FALSE)&amp;" - Per "&amp;VLOOKUP($C$4,'Writing Logic'!$G$8:$H$14,2,FALSE),YES_Writing_ELA[#Headers],0))=0,"",INDEX(_xlfn.VSTACK(YES_Writing_ELA[#Data],YES_Writing_FLA[#Data]),MATCH($A461,_xlfn.VSTACK(YES_Writing_ELA[Student Number],YES_Writing_FLA[Student Number]),0),MATCH(VLOOKUP(F$7,'Writing Logic'!$J$7:$K$11,2,FALSE)&amp;" - Per "&amp;VLOOKUP($C$4,'Writing Logic'!$G$8:$H$14,2,FALSE),YES_Writing_ELA[#Headers],0)))="INS",'Writing Logic'!$B$7,IF(INDEX(_xlfn.VSTACK(YES_Writing_ELA[#Data],YES_Writing_FLA[#Data]),MATCH($A461,_xlfn.VSTACK(YES_Writing_ELA[Student Number],YES_Writing_FLA[Student Number]),0),MATCH(VLOOKUP(F$7,'Writing Logic'!$J$7:$K$11,2,FALSE)&amp;" - Per "&amp;VLOOKUP($C$4,'Writing Logic'!$G$8:$H$14,2,FALSE),YES_Writing_ELA[#Headers],0))=0,"",INDEX(_xlfn.VSTACK(YES_Writing_ELA[#Data],YES_Writing_FLA[#Data]),MATCH($A461,_xlfn.VSTACK(YES_Writing_ELA[Student Number],YES_Writing_FLA[Student Number]),0),MATCH(VLOOKUP(F$7,'Writing Logic'!$J$7:$K$11,2,FALSE)&amp;" - Per "&amp;VLOOKUP($C$4,'Writing Logic'!$G$8:$H$14,2,FALSE),YES_Writing_ELA[#Headers],0)))),"")</f>
        <v/>
      </c>
      <c r="G461" s="138" t="str">
        <f>IFERROR(IF(IF(INDEX(_xlfn.VSTACK(YES_Writing_ELA[#Data],YES_Writing_FLA[#Data]),MATCH($A461,_xlfn.VSTACK(YES_Writing_ELA[Student Number],YES_Writing_FLA[Student Number]),0),MATCH(VLOOKUP(G$7,'Writing Logic'!$J$7:$K$11,2,FALSE)&amp;" - Per "&amp;VLOOKUP($C$4,'Writing Logic'!$G$8:$H$14,2,FALSE),YES_Writing_ELA[#Headers],0))=0,"",INDEX(_xlfn.VSTACK(YES_Writing_ELA[#Data],YES_Writing_FLA[#Data]),MATCH($A461,_xlfn.VSTACK(YES_Writing_ELA[Student Number],YES_Writing_FLA[Student Number]),0),MATCH(VLOOKUP(G$7,'Writing Logic'!$J$7:$K$11,2,FALSE)&amp;" - Per "&amp;VLOOKUP($C$4,'Writing Logic'!$G$8:$H$14,2,FALSE),YES_Writing_ELA[#Headers],0)))="INS",'Writing Logic'!$B$7,IF(INDEX(_xlfn.VSTACK(YES_Writing_ELA[#Data],YES_Writing_FLA[#Data]),MATCH($A461,_xlfn.VSTACK(YES_Writing_ELA[Student Number],YES_Writing_FLA[Student Number]),0),MATCH(VLOOKUP(G$7,'Writing Logic'!$J$7:$K$11,2,FALSE)&amp;" - Per "&amp;VLOOKUP($C$4,'Writing Logic'!$G$8:$H$14,2,FALSE),YES_Writing_ELA[#Headers],0))=0,"",INDEX(_xlfn.VSTACK(YES_Writing_ELA[#Data],YES_Writing_FLA[#Data]),MATCH($A461,_xlfn.VSTACK(YES_Writing_ELA[Student Number],YES_Writing_FLA[Student Number]),0),MATCH(VLOOKUP(G$7,'Writing Logic'!$J$7:$K$11,2,FALSE)&amp;" - Per "&amp;VLOOKUP($C$4,'Writing Logic'!$G$8:$H$14,2,FALSE),YES_Writing_ELA[#Headers],0)))),"")</f>
        <v/>
      </c>
      <c r="H461" s="138" t="str">
        <f>IFERROR(IF(IF(INDEX(_xlfn.VSTACK(YES_Writing_ELA[#Data],YES_Writing_FLA[#Data]),MATCH($A461,_xlfn.VSTACK(YES_Writing_ELA[Student Number],YES_Writing_FLA[Student Number]),0),MATCH(VLOOKUP(H$7,'Writing Logic'!$J$7:$K$11,2,FALSE)&amp;" - Per "&amp;VLOOKUP($C$4,'Writing Logic'!$G$8:$H$14,2,FALSE),YES_Writing_ELA[#Headers],0))=0,"",INDEX(_xlfn.VSTACK(YES_Writing_ELA[#Data],YES_Writing_FLA[#Data]),MATCH($A461,_xlfn.VSTACK(YES_Writing_ELA[Student Number],YES_Writing_FLA[Student Number]),0),MATCH(VLOOKUP(H$7,'Writing Logic'!$J$7:$K$11,2,FALSE)&amp;" - Per "&amp;VLOOKUP($C$4,'Writing Logic'!$G$8:$H$14,2,FALSE),YES_Writing_ELA[#Headers],0)))="INS",'Writing Logic'!$B$7,IF(INDEX(_xlfn.VSTACK(YES_Writing_ELA[#Data],YES_Writing_FLA[#Data]),MATCH($A461,_xlfn.VSTACK(YES_Writing_ELA[Student Number],YES_Writing_FLA[Student Number]),0),MATCH(VLOOKUP(H$7,'Writing Logic'!$J$7:$K$11,2,FALSE)&amp;" - Per "&amp;VLOOKUP($C$4,'Writing Logic'!$G$8:$H$14,2,FALSE),YES_Writing_ELA[#Headers],0))=0,"",INDEX(_xlfn.VSTACK(YES_Writing_ELA[#Data],YES_Writing_FLA[#Data]),MATCH($A461,_xlfn.VSTACK(YES_Writing_ELA[Student Number],YES_Writing_FLA[Student Number]),0),MATCH(VLOOKUP(H$7,'Writing Logic'!$J$7:$K$11,2,FALSE)&amp;" - Per "&amp;VLOOKUP($C$4,'Writing Logic'!$G$8:$H$14,2,FALSE),YES_Writing_ELA[#Headers],0)))),"")</f>
        <v/>
      </c>
    </row>
    <row r="462" spans="1:8" x14ac:dyDescent="0.25">
      <c r="A462" s="137"/>
      <c r="B462" s="137" t="str">
        <f>IFERROR(INDEX(_xlfn.VSTACK(YES_Writing_ELA[#Data], YES_Writing_FLA[#Data]),MATCH($A462,_xlfn.VSTACK(YES_Writing_ELA[Student Number], YES_Writing_FLA[Student Number]),0),MATCH(B$7,YES_Writing_ELA[#Headers],0)),"")</f>
        <v/>
      </c>
      <c r="C462" s="137" t="str">
        <f>IFERROR(INDEX(_xlfn.VSTACK(YES_Writing_ELA[#Data], YES_Writing_FLA[#Data]),MATCH($A462,_xlfn.VSTACK(YES_Writing_ELA[Student Number], YES_Writing_FLA[Student Number]),0),MATCH(C$7,YES_Writing_ELA[#Headers],0)),"")</f>
        <v/>
      </c>
      <c r="D462" s="138" t="str">
        <f>IFERROR(IF(IF(INDEX(_xlfn.VSTACK(YES_Writing_ELA[#Data],YES_Writing_FLA[#Data]),MATCH($A462,_xlfn.VSTACK(YES_Writing_ELA[Student Number],YES_Writing_FLA[Student Number]),0),MATCH(VLOOKUP(D$7,'Writing Logic'!$J$7:$K$11,2,FALSE)&amp;" - Per "&amp;VLOOKUP($C$4,'Writing Logic'!$G$8:$H$14,2,FALSE),YES_Writing_ELA[#Headers],0))=0,"",INDEX(_xlfn.VSTACK(YES_Writing_ELA[#Data],YES_Writing_FLA[#Data]),MATCH($A462,_xlfn.VSTACK(YES_Writing_ELA[Student Number],YES_Writing_FLA[Student Number]),0),MATCH(VLOOKUP(D$7,'Writing Logic'!$J$7:$K$11,2,FALSE)&amp;" - Per "&amp;VLOOKUP($C$4,'Writing Logic'!$G$8:$H$14,2,FALSE),YES_Writing_ELA[#Headers],0)))="INS",'Writing Logic'!$B$7,IF(INDEX(_xlfn.VSTACK(YES_Writing_ELA[#Data],YES_Writing_FLA[#Data]),MATCH($A462,_xlfn.VSTACK(YES_Writing_ELA[Student Number],YES_Writing_FLA[Student Number]),0),MATCH(VLOOKUP(D$7,'Writing Logic'!$J$7:$K$11,2,FALSE)&amp;" - Per "&amp;VLOOKUP($C$4,'Writing Logic'!$G$8:$H$14,2,FALSE),YES_Writing_ELA[#Headers],0))=0,"",INDEX(_xlfn.VSTACK(YES_Writing_ELA[#Data],YES_Writing_FLA[#Data]),MATCH($A462,_xlfn.VSTACK(YES_Writing_ELA[Student Number],YES_Writing_FLA[Student Number]),0),MATCH(VLOOKUP(D$7,'Writing Logic'!$J$7:$K$11,2,FALSE)&amp;" - Per "&amp;VLOOKUP($C$4,'Writing Logic'!$G$8:$H$14,2,FALSE),YES_Writing_ELA[#Headers],0)))),"")</f>
        <v/>
      </c>
      <c r="E462" s="138" t="str">
        <f>IFERROR(IF(IF(INDEX(_xlfn.VSTACK(YES_Writing_ELA[#Data],YES_Writing_FLA[#Data]),MATCH($A462,_xlfn.VSTACK(YES_Writing_ELA[Student Number],YES_Writing_FLA[Student Number]),0),MATCH(VLOOKUP(E$7,'Writing Logic'!$J$7:$K$11,2,FALSE)&amp;" - Per "&amp;VLOOKUP($C$4,'Writing Logic'!$G$8:$H$14,2,FALSE),YES_Writing_ELA[#Headers],0))=0,"",INDEX(_xlfn.VSTACK(YES_Writing_ELA[#Data],YES_Writing_FLA[#Data]),MATCH($A462,_xlfn.VSTACK(YES_Writing_ELA[Student Number],YES_Writing_FLA[Student Number]),0),MATCH(VLOOKUP(E$7,'Writing Logic'!$J$7:$K$11,2,FALSE)&amp;" - Per "&amp;VLOOKUP($C$4,'Writing Logic'!$G$8:$H$14,2,FALSE),YES_Writing_ELA[#Headers],0)))="INS",'Writing Logic'!$B$7,IF(INDEX(_xlfn.VSTACK(YES_Writing_ELA[#Data],YES_Writing_FLA[#Data]),MATCH($A462,_xlfn.VSTACK(YES_Writing_ELA[Student Number],YES_Writing_FLA[Student Number]),0),MATCH(VLOOKUP(E$7,'Writing Logic'!$J$7:$K$11,2,FALSE)&amp;" - Per "&amp;VLOOKUP($C$4,'Writing Logic'!$G$8:$H$14,2,FALSE),YES_Writing_ELA[#Headers],0))=0,"",INDEX(_xlfn.VSTACK(YES_Writing_ELA[#Data],YES_Writing_FLA[#Data]),MATCH($A462,_xlfn.VSTACK(YES_Writing_ELA[Student Number],YES_Writing_FLA[Student Number]),0),MATCH(VLOOKUP(E$7,'Writing Logic'!$J$7:$K$11,2,FALSE)&amp;" - Per "&amp;VLOOKUP($C$4,'Writing Logic'!$G$8:$H$14,2,FALSE),YES_Writing_ELA[#Headers],0)))),"")</f>
        <v/>
      </c>
      <c r="F462" s="138" t="str">
        <f>IFERROR(IF(IF(INDEX(_xlfn.VSTACK(YES_Writing_ELA[#Data],YES_Writing_FLA[#Data]),MATCH($A462,_xlfn.VSTACK(YES_Writing_ELA[Student Number],YES_Writing_FLA[Student Number]),0),MATCH(VLOOKUP(F$7,'Writing Logic'!$J$7:$K$11,2,FALSE)&amp;" - Per "&amp;VLOOKUP($C$4,'Writing Logic'!$G$8:$H$14,2,FALSE),YES_Writing_ELA[#Headers],0))=0,"",INDEX(_xlfn.VSTACK(YES_Writing_ELA[#Data],YES_Writing_FLA[#Data]),MATCH($A462,_xlfn.VSTACK(YES_Writing_ELA[Student Number],YES_Writing_FLA[Student Number]),0),MATCH(VLOOKUP(F$7,'Writing Logic'!$J$7:$K$11,2,FALSE)&amp;" - Per "&amp;VLOOKUP($C$4,'Writing Logic'!$G$8:$H$14,2,FALSE),YES_Writing_ELA[#Headers],0)))="INS",'Writing Logic'!$B$7,IF(INDEX(_xlfn.VSTACK(YES_Writing_ELA[#Data],YES_Writing_FLA[#Data]),MATCH($A462,_xlfn.VSTACK(YES_Writing_ELA[Student Number],YES_Writing_FLA[Student Number]),0),MATCH(VLOOKUP(F$7,'Writing Logic'!$J$7:$K$11,2,FALSE)&amp;" - Per "&amp;VLOOKUP($C$4,'Writing Logic'!$G$8:$H$14,2,FALSE),YES_Writing_ELA[#Headers],0))=0,"",INDEX(_xlfn.VSTACK(YES_Writing_ELA[#Data],YES_Writing_FLA[#Data]),MATCH($A462,_xlfn.VSTACK(YES_Writing_ELA[Student Number],YES_Writing_FLA[Student Number]),0),MATCH(VLOOKUP(F$7,'Writing Logic'!$J$7:$K$11,2,FALSE)&amp;" - Per "&amp;VLOOKUP($C$4,'Writing Logic'!$G$8:$H$14,2,FALSE),YES_Writing_ELA[#Headers],0)))),"")</f>
        <v/>
      </c>
      <c r="G462" s="138" t="str">
        <f>IFERROR(IF(IF(INDEX(_xlfn.VSTACK(YES_Writing_ELA[#Data],YES_Writing_FLA[#Data]),MATCH($A462,_xlfn.VSTACK(YES_Writing_ELA[Student Number],YES_Writing_FLA[Student Number]),0),MATCH(VLOOKUP(G$7,'Writing Logic'!$J$7:$K$11,2,FALSE)&amp;" - Per "&amp;VLOOKUP($C$4,'Writing Logic'!$G$8:$H$14,2,FALSE),YES_Writing_ELA[#Headers],0))=0,"",INDEX(_xlfn.VSTACK(YES_Writing_ELA[#Data],YES_Writing_FLA[#Data]),MATCH($A462,_xlfn.VSTACK(YES_Writing_ELA[Student Number],YES_Writing_FLA[Student Number]),0),MATCH(VLOOKUP(G$7,'Writing Logic'!$J$7:$K$11,2,FALSE)&amp;" - Per "&amp;VLOOKUP($C$4,'Writing Logic'!$G$8:$H$14,2,FALSE),YES_Writing_ELA[#Headers],0)))="INS",'Writing Logic'!$B$7,IF(INDEX(_xlfn.VSTACK(YES_Writing_ELA[#Data],YES_Writing_FLA[#Data]),MATCH($A462,_xlfn.VSTACK(YES_Writing_ELA[Student Number],YES_Writing_FLA[Student Number]),0),MATCH(VLOOKUP(G$7,'Writing Logic'!$J$7:$K$11,2,FALSE)&amp;" - Per "&amp;VLOOKUP($C$4,'Writing Logic'!$G$8:$H$14,2,FALSE),YES_Writing_ELA[#Headers],0))=0,"",INDEX(_xlfn.VSTACK(YES_Writing_ELA[#Data],YES_Writing_FLA[#Data]),MATCH($A462,_xlfn.VSTACK(YES_Writing_ELA[Student Number],YES_Writing_FLA[Student Number]),0),MATCH(VLOOKUP(G$7,'Writing Logic'!$J$7:$K$11,2,FALSE)&amp;" - Per "&amp;VLOOKUP($C$4,'Writing Logic'!$G$8:$H$14,2,FALSE),YES_Writing_ELA[#Headers],0)))),"")</f>
        <v/>
      </c>
      <c r="H462" s="138" t="str">
        <f>IFERROR(IF(IF(INDEX(_xlfn.VSTACK(YES_Writing_ELA[#Data],YES_Writing_FLA[#Data]),MATCH($A462,_xlfn.VSTACK(YES_Writing_ELA[Student Number],YES_Writing_FLA[Student Number]),0),MATCH(VLOOKUP(H$7,'Writing Logic'!$J$7:$K$11,2,FALSE)&amp;" - Per "&amp;VLOOKUP($C$4,'Writing Logic'!$G$8:$H$14,2,FALSE),YES_Writing_ELA[#Headers],0))=0,"",INDEX(_xlfn.VSTACK(YES_Writing_ELA[#Data],YES_Writing_FLA[#Data]),MATCH($A462,_xlfn.VSTACK(YES_Writing_ELA[Student Number],YES_Writing_FLA[Student Number]),0),MATCH(VLOOKUP(H$7,'Writing Logic'!$J$7:$K$11,2,FALSE)&amp;" - Per "&amp;VLOOKUP($C$4,'Writing Logic'!$G$8:$H$14,2,FALSE),YES_Writing_ELA[#Headers],0)))="INS",'Writing Logic'!$B$7,IF(INDEX(_xlfn.VSTACK(YES_Writing_ELA[#Data],YES_Writing_FLA[#Data]),MATCH($A462,_xlfn.VSTACK(YES_Writing_ELA[Student Number],YES_Writing_FLA[Student Number]),0),MATCH(VLOOKUP(H$7,'Writing Logic'!$J$7:$K$11,2,FALSE)&amp;" - Per "&amp;VLOOKUP($C$4,'Writing Logic'!$G$8:$H$14,2,FALSE),YES_Writing_ELA[#Headers],0))=0,"",INDEX(_xlfn.VSTACK(YES_Writing_ELA[#Data],YES_Writing_FLA[#Data]),MATCH($A462,_xlfn.VSTACK(YES_Writing_ELA[Student Number],YES_Writing_FLA[Student Number]),0),MATCH(VLOOKUP(H$7,'Writing Logic'!$J$7:$K$11,2,FALSE)&amp;" - Per "&amp;VLOOKUP($C$4,'Writing Logic'!$G$8:$H$14,2,FALSE),YES_Writing_ELA[#Headers],0)))),"")</f>
        <v/>
      </c>
    </row>
    <row r="463" spans="1:8" x14ac:dyDescent="0.25">
      <c r="A463" s="137"/>
      <c r="B463" s="137" t="str">
        <f>IFERROR(INDEX(_xlfn.VSTACK(YES_Writing_ELA[#Data], YES_Writing_FLA[#Data]),MATCH($A463,_xlfn.VSTACK(YES_Writing_ELA[Student Number], YES_Writing_FLA[Student Number]),0),MATCH(B$7,YES_Writing_ELA[#Headers],0)),"")</f>
        <v/>
      </c>
      <c r="C463" s="137" t="str">
        <f>IFERROR(INDEX(_xlfn.VSTACK(YES_Writing_ELA[#Data], YES_Writing_FLA[#Data]),MATCH($A463,_xlfn.VSTACK(YES_Writing_ELA[Student Number], YES_Writing_FLA[Student Number]),0),MATCH(C$7,YES_Writing_ELA[#Headers],0)),"")</f>
        <v/>
      </c>
      <c r="D463" s="138" t="str">
        <f>IFERROR(IF(IF(INDEX(_xlfn.VSTACK(YES_Writing_ELA[#Data],YES_Writing_FLA[#Data]),MATCH($A463,_xlfn.VSTACK(YES_Writing_ELA[Student Number],YES_Writing_FLA[Student Number]),0),MATCH(VLOOKUP(D$7,'Writing Logic'!$J$7:$K$11,2,FALSE)&amp;" - Per "&amp;VLOOKUP($C$4,'Writing Logic'!$G$8:$H$14,2,FALSE),YES_Writing_ELA[#Headers],0))=0,"",INDEX(_xlfn.VSTACK(YES_Writing_ELA[#Data],YES_Writing_FLA[#Data]),MATCH($A463,_xlfn.VSTACK(YES_Writing_ELA[Student Number],YES_Writing_FLA[Student Number]),0),MATCH(VLOOKUP(D$7,'Writing Logic'!$J$7:$K$11,2,FALSE)&amp;" - Per "&amp;VLOOKUP($C$4,'Writing Logic'!$G$8:$H$14,2,FALSE),YES_Writing_ELA[#Headers],0)))="INS",'Writing Logic'!$B$7,IF(INDEX(_xlfn.VSTACK(YES_Writing_ELA[#Data],YES_Writing_FLA[#Data]),MATCH($A463,_xlfn.VSTACK(YES_Writing_ELA[Student Number],YES_Writing_FLA[Student Number]),0),MATCH(VLOOKUP(D$7,'Writing Logic'!$J$7:$K$11,2,FALSE)&amp;" - Per "&amp;VLOOKUP($C$4,'Writing Logic'!$G$8:$H$14,2,FALSE),YES_Writing_ELA[#Headers],0))=0,"",INDEX(_xlfn.VSTACK(YES_Writing_ELA[#Data],YES_Writing_FLA[#Data]),MATCH($A463,_xlfn.VSTACK(YES_Writing_ELA[Student Number],YES_Writing_FLA[Student Number]),0),MATCH(VLOOKUP(D$7,'Writing Logic'!$J$7:$K$11,2,FALSE)&amp;" - Per "&amp;VLOOKUP($C$4,'Writing Logic'!$G$8:$H$14,2,FALSE),YES_Writing_ELA[#Headers],0)))),"")</f>
        <v/>
      </c>
      <c r="E463" s="138" t="str">
        <f>IFERROR(IF(IF(INDEX(_xlfn.VSTACK(YES_Writing_ELA[#Data],YES_Writing_FLA[#Data]),MATCH($A463,_xlfn.VSTACK(YES_Writing_ELA[Student Number],YES_Writing_FLA[Student Number]),0),MATCH(VLOOKUP(E$7,'Writing Logic'!$J$7:$K$11,2,FALSE)&amp;" - Per "&amp;VLOOKUP($C$4,'Writing Logic'!$G$8:$H$14,2,FALSE),YES_Writing_ELA[#Headers],0))=0,"",INDEX(_xlfn.VSTACK(YES_Writing_ELA[#Data],YES_Writing_FLA[#Data]),MATCH($A463,_xlfn.VSTACK(YES_Writing_ELA[Student Number],YES_Writing_FLA[Student Number]),0),MATCH(VLOOKUP(E$7,'Writing Logic'!$J$7:$K$11,2,FALSE)&amp;" - Per "&amp;VLOOKUP($C$4,'Writing Logic'!$G$8:$H$14,2,FALSE),YES_Writing_ELA[#Headers],0)))="INS",'Writing Logic'!$B$7,IF(INDEX(_xlfn.VSTACK(YES_Writing_ELA[#Data],YES_Writing_FLA[#Data]),MATCH($A463,_xlfn.VSTACK(YES_Writing_ELA[Student Number],YES_Writing_FLA[Student Number]),0),MATCH(VLOOKUP(E$7,'Writing Logic'!$J$7:$K$11,2,FALSE)&amp;" - Per "&amp;VLOOKUP($C$4,'Writing Logic'!$G$8:$H$14,2,FALSE),YES_Writing_ELA[#Headers],0))=0,"",INDEX(_xlfn.VSTACK(YES_Writing_ELA[#Data],YES_Writing_FLA[#Data]),MATCH($A463,_xlfn.VSTACK(YES_Writing_ELA[Student Number],YES_Writing_FLA[Student Number]),0),MATCH(VLOOKUP(E$7,'Writing Logic'!$J$7:$K$11,2,FALSE)&amp;" - Per "&amp;VLOOKUP($C$4,'Writing Logic'!$G$8:$H$14,2,FALSE),YES_Writing_ELA[#Headers],0)))),"")</f>
        <v/>
      </c>
      <c r="F463" s="138" t="str">
        <f>IFERROR(IF(IF(INDEX(_xlfn.VSTACK(YES_Writing_ELA[#Data],YES_Writing_FLA[#Data]),MATCH($A463,_xlfn.VSTACK(YES_Writing_ELA[Student Number],YES_Writing_FLA[Student Number]),0),MATCH(VLOOKUP(F$7,'Writing Logic'!$J$7:$K$11,2,FALSE)&amp;" - Per "&amp;VLOOKUP($C$4,'Writing Logic'!$G$8:$H$14,2,FALSE),YES_Writing_ELA[#Headers],0))=0,"",INDEX(_xlfn.VSTACK(YES_Writing_ELA[#Data],YES_Writing_FLA[#Data]),MATCH($A463,_xlfn.VSTACK(YES_Writing_ELA[Student Number],YES_Writing_FLA[Student Number]),0),MATCH(VLOOKUP(F$7,'Writing Logic'!$J$7:$K$11,2,FALSE)&amp;" - Per "&amp;VLOOKUP($C$4,'Writing Logic'!$G$8:$H$14,2,FALSE),YES_Writing_ELA[#Headers],0)))="INS",'Writing Logic'!$B$7,IF(INDEX(_xlfn.VSTACK(YES_Writing_ELA[#Data],YES_Writing_FLA[#Data]),MATCH($A463,_xlfn.VSTACK(YES_Writing_ELA[Student Number],YES_Writing_FLA[Student Number]),0),MATCH(VLOOKUP(F$7,'Writing Logic'!$J$7:$K$11,2,FALSE)&amp;" - Per "&amp;VLOOKUP($C$4,'Writing Logic'!$G$8:$H$14,2,FALSE),YES_Writing_ELA[#Headers],0))=0,"",INDEX(_xlfn.VSTACK(YES_Writing_ELA[#Data],YES_Writing_FLA[#Data]),MATCH($A463,_xlfn.VSTACK(YES_Writing_ELA[Student Number],YES_Writing_FLA[Student Number]),0),MATCH(VLOOKUP(F$7,'Writing Logic'!$J$7:$K$11,2,FALSE)&amp;" - Per "&amp;VLOOKUP($C$4,'Writing Logic'!$G$8:$H$14,2,FALSE),YES_Writing_ELA[#Headers],0)))),"")</f>
        <v/>
      </c>
      <c r="G463" s="138" t="str">
        <f>IFERROR(IF(IF(INDEX(_xlfn.VSTACK(YES_Writing_ELA[#Data],YES_Writing_FLA[#Data]),MATCH($A463,_xlfn.VSTACK(YES_Writing_ELA[Student Number],YES_Writing_FLA[Student Number]),0),MATCH(VLOOKUP(G$7,'Writing Logic'!$J$7:$K$11,2,FALSE)&amp;" - Per "&amp;VLOOKUP($C$4,'Writing Logic'!$G$8:$H$14,2,FALSE),YES_Writing_ELA[#Headers],0))=0,"",INDEX(_xlfn.VSTACK(YES_Writing_ELA[#Data],YES_Writing_FLA[#Data]),MATCH($A463,_xlfn.VSTACK(YES_Writing_ELA[Student Number],YES_Writing_FLA[Student Number]),0),MATCH(VLOOKUP(G$7,'Writing Logic'!$J$7:$K$11,2,FALSE)&amp;" - Per "&amp;VLOOKUP($C$4,'Writing Logic'!$G$8:$H$14,2,FALSE),YES_Writing_ELA[#Headers],0)))="INS",'Writing Logic'!$B$7,IF(INDEX(_xlfn.VSTACK(YES_Writing_ELA[#Data],YES_Writing_FLA[#Data]),MATCH($A463,_xlfn.VSTACK(YES_Writing_ELA[Student Number],YES_Writing_FLA[Student Number]),0),MATCH(VLOOKUP(G$7,'Writing Logic'!$J$7:$K$11,2,FALSE)&amp;" - Per "&amp;VLOOKUP($C$4,'Writing Logic'!$G$8:$H$14,2,FALSE),YES_Writing_ELA[#Headers],0))=0,"",INDEX(_xlfn.VSTACK(YES_Writing_ELA[#Data],YES_Writing_FLA[#Data]),MATCH($A463,_xlfn.VSTACK(YES_Writing_ELA[Student Number],YES_Writing_FLA[Student Number]),0),MATCH(VLOOKUP(G$7,'Writing Logic'!$J$7:$K$11,2,FALSE)&amp;" - Per "&amp;VLOOKUP($C$4,'Writing Logic'!$G$8:$H$14,2,FALSE),YES_Writing_ELA[#Headers],0)))),"")</f>
        <v/>
      </c>
      <c r="H463" s="138" t="str">
        <f>IFERROR(IF(IF(INDEX(_xlfn.VSTACK(YES_Writing_ELA[#Data],YES_Writing_FLA[#Data]),MATCH($A463,_xlfn.VSTACK(YES_Writing_ELA[Student Number],YES_Writing_FLA[Student Number]),0),MATCH(VLOOKUP(H$7,'Writing Logic'!$J$7:$K$11,2,FALSE)&amp;" - Per "&amp;VLOOKUP($C$4,'Writing Logic'!$G$8:$H$14,2,FALSE),YES_Writing_ELA[#Headers],0))=0,"",INDEX(_xlfn.VSTACK(YES_Writing_ELA[#Data],YES_Writing_FLA[#Data]),MATCH($A463,_xlfn.VSTACK(YES_Writing_ELA[Student Number],YES_Writing_FLA[Student Number]),0),MATCH(VLOOKUP(H$7,'Writing Logic'!$J$7:$K$11,2,FALSE)&amp;" - Per "&amp;VLOOKUP($C$4,'Writing Logic'!$G$8:$H$14,2,FALSE),YES_Writing_ELA[#Headers],0)))="INS",'Writing Logic'!$B$7,IF(INDEX(_xlfn.VSTACK(YES_Writing_ELA[#Data],YES_Writing_FLA[#Data]),MATCH($A463,_xlfn.VSTACK(YES_Writing_ELA[Student Number],YES_Writing_FLA[Student Number]),0),MATCH(VLOOKUP(H$7,'Writing Logic'!$J$7:$K$11,2,FALSE)&amp;" - Per "&amp;VLOOKUP($C$4,'Writing Logic'!$G$8:$H$14,2,FALSE),YES_Writing_ELA[#Headers],0))=0,"",INDEX(_xlfn.VSTACK(YES_Writing_ELA[#Data],YES_Writing_FLA[#Data]),MATCH($A463,_xlfn.VSTACK(YES_Writing_ELA[Student Number],YES_Writing_FLA[Student Number]),0),MATCH(VLOOKUP(H$7,'Writing Logic'!$J$7:$K$11,2,FALSE)&amp;" - Per "&amp;VLOOKUP($C$4,'Writing Logic'!$G$8:$H$14,2,FALSE),YES_Writing_ELA[#Headers],0)))),"")</f>
        <v/>
      </c>
    </row>
    <row r="464" spans="1:8" x14ac:dyDescent="0.25">
      <c r="A464" s="137"/>
      <c r="B464" s="137" t="str">
        <f>IFERROR(INDEX(_xlfn.VSTACK(YES_Writing_ELA[#Data], YES_Writing_FLA[#Data]),MATCH($A464,_xlfn.VSTACK(YES_Writing_ELA[Student Number], YES_Writing_FLA[Student Number]),0),MATCH(B$7,YES_Writing_ELA[#Headers],0)),"")</f>
        <v/>
      </c>
      <c r="C464" s="137" t="str">
        <f>IFERROR(INDEX(_xlfn.VSTACK(YES_Writing_ELA[#Data], YES_Writing_FLA[#Data]),MATCH($A464,_xlfn.VSTACK(YES_Writing_ELA[Student Number], YES_Writing_FLA[Student Number]),0),MATCH(C$7,YES_Writing_ELA[#Headers],0)),"")</f>
        <v/>
      </c>
      <c r="D464" s="138" t="str">
        <f>IFERROR(IF(IF(INDEX(_xlfn.VSTACK(YES_Writing_ELA[#Data],YES_Writing_FLA[#Data]),MATCH($A464,_xlfn.VSTACK(YES_Writing_ELA[Student Number],YES_Writing_FLA[Student Number]),0),MATCH(VLOOKUP(D$7,'Writing Logic'!$J$7:$K$11,2,FALSE)&amp;" - Per "&amp;VLOOKUP($C$4,'Writing Logic'!$G$8:$H$14,2,FALSE),YES_Writing_ELA[#Headers],0))=0,"",INDEX(_xlfn.VSTACK(YES_Writing_ELA[#Data],YES_Writing_FLA[#Data]),MATCH($A464,_xlfn.VSTACK(YES_Writing_ELA[Student Number],YES_Writing_FLA[Student Number]),0),MATCH(VLOOKUP(D$7,'Writing Logic'!$J$7:$K$11,2,FALSE)&amp;" - Per "&amp;VLOOKUP($C$4,'Writing Logic'!$G$8:$H$14,2,FALSE),YES_Writing_ELA[#Headers],0)))="INS",'Writing Logic'!$B$7,IF(INDEX(_xlfn.VSTACK(YES_Writing_ELA[#Data],YES_Writing_FLA[#Data]),MATCH($A464,_xlfn.VSTACK(YES_Writing_ELA[Student Number],YES_Writing_FLA[Student Number]),0),MATCH(VLOOKUP(D$7,'Writing Logic'!$J$7:$K$11,2,FALSE)&amp;" - Per "&amp;VLOOKUP($C$4,'Writing Logic'!$G$8:$H$14,2,FALSE),YES_Writing_ELA[#Headers],0))=0,"",INDEX(_xlfn.VSTACK(YES_Writing_ELA[#Data],YES_Writing_FLA[#Data]),MATCH($A464,_xlfn.VSTACK(YES_Writing_ELA[Student Number],YES_Writing_FLA[Student Number]),0),MATCH(VLOOKUP(D$7,'Writing Logic'!$J$7:$K$11,2,FALSE)&amp;" - Per "&amp;VLOOKUP($C$4,'Writing Logic'!$G$8:$H$14,2,FALSE),YES_Writing_ELA[#Headers],0)))),"")</f>
        <v/>
      </c>
      <c r="E464" s="138" t="str">
        <f>IFERROR(IF(IF(INDEX(_xlfn.VSTACK(YES_Writing_ELA[#Data],YES_Writing_FLA[#Data]),MATCH($A464,_xlfn.VSTACK(YES_Writing_ELA[Student Number],YES_Writing_FLA[Student Number]),0),MATCH(VLOOKUP(E$7,'Writing Logic'!$J$7:$K$11,2,FALSE)&amp;" - Per "&amp;VLOOKUP($C$4,'Writing Logic'!$G$8:$H$14,2,FALSE),YES_Writing_ELA[#Headers],0))=0,"",INDEX(_xlfn.VSTACK(YES_Writing_ELA[#Data],YES_Writing_FLA[#Data]),MATCH($A464,_xlfn.VSTACK(YES_Writing_ELA[Student Number],YES_Writing_FLA[Student Number]),0),MATCH(VLOOKUP(E$7,'Writing Logic'!$J$7:$K$11,2,FALSE)&amp;" - Per "&amp;VLOOKUP($C$4,'Writing Logic'!$G$8:$H$14,2,FALSE),YES_Writing_ELA[#Headers],0)))="INS",'Writing Logic'!$B$7,IF(INDEX(_xlfn.VSTACK(YES_Writing_ELA[#Data],YES_Writing_FLA[#Data]),MATCH($A464,_xlfn.VSTACK(YES_Writing_ELA[Student Number],YES_Writing_FLA[Student Number]),0),MATCH(VLOOKUP(E$7,'Writing Logic'!$J$7:$K$11,2,FALSE)&amp;" - Per "&amp;VLOOKUP($C$4,'Writing Logic'!$G$8:$H$14,2,FALSE),YES_Writing_ELA[#Headers],0))=0,"",INDEX(_xlfn.VSTACK(YES_Writing_ELA[#Data],YES_Writing_FLA[#Data]),MATCH($A464,_xlfn.VSTACK(YES_Writing_ELA[Student Number],YES_Writing_FLA[Student Number]),0),MATCH(VLOOKUP(E$7,'Writing Logic'!$J$7:$K$11,2,FALSE)&amp;" - Per "&amp;VLOOKUP($C$4,'Writing Logic'!$G$8:$H$14,2,FALSE),YES_Writing_ELA[#Headers],0)))),"")</f>
        <v/>
      </c>
      <c r="F464" s="138" t="str">
        <f>IFERROR(IF(IF(INDEX(_xlfn.VSTACK(YES_Writing_ELA[#Data],YES_Writing_FLA[#Data]),MATCH($A464,_xlfn.VSTACK(YES_Writing_ELA[Student Number],YES_Writing_FLA[Student Number]),0),MATCH(VLOOKUP(F$7,'Writing Logic'!$J$7:$K$11,2,FALSE)&amp;" - Per "&amp;VLOOKUP($C$4,'Writing Logic'!$G$8:$H$14,2,FALSE),YES_Writing_ELA[#Headers],0))=0,"",INDEX(_xlfn.VSTACK(YES_Writing_ELA[#Data],YES_Writing_FLA[#Data]),MATCH($A464,_xlfn.VSTACK(YES_Writing_ELA[Student Number],YES_Writing_FLA[Student Number]),0),MATCH(VLOOKUP(F$7,'Writing Logic'!$J$7:$K$11,2,FALSE)&amp;" - Per "&amp;VLOOKUP($C$4,'Writing Logic'!$G$8:$H$14,2,FALSE),YES_Writing_ELA[#Headers],0)))="INS",'Writing Logic'!$B$7,IF(INDEX(_xlfn.VSTACK(YES_Writing_ELA[#Data],YES_Writing_FLA[#Data]),MATCH($A464,_xlfn.VSTACK(YES_Writing_ELA[Student Number],YES_Writing_FLA[Student Number]),0),MATCH(VLOOKUP(F$7,'Writing Logic'!$J$7:$K$11,2,FALSE)&amp;" - Per "&amp;VLOOKUP($C$4,'Writing Logic'!$G$8:$H$14,2,FALSE),YES_Writing_ELA[#Headers],0))=0,"",INDEX(_xlfn.VSTACK(YES_Writing_ELA[#Data],YES_Writing_FLA[#Data]),MATCH($A464,_xlfn.VSTACK(YES_Writing_ELA[Student Number],YES_Writing_FLA[Student Number]),0),MATCH(VLOOKUP(F$7,'Writing Logic'!$J$7:$K$11,2,FALSE)&amp;" - Per "&amp;VLOOKUP($C$4,'Writing Logic'!$G$8:$H$14,2,FALSE),YES_Writing_ELA[#Headers],0)))),"")</f>
        <v/>
      </c>
      <c r="G464" s="138" t="str">
        <f>IFERROR(IF(IF(INDEX(_xlfn.VSTACK(YES_Writing_ELA[#Data],YES_Writing_FLA[#Data]),MATCH($A464,_xlfn.VSTACK(YES_Writing_ELA[Student Number],YES_Writing_FLA[Student Number]),0),MATCH(VLOOKUP(G$7,'Writing Logic'!$J$7:$K$11,2,FALSE)&amp;" - Per "&amp;VLOOKUP($C$4,'Writing Logic'!$G$8:$H$14,2,FALSE),YES_Writing_ELA[#Headers],0))=0,"",INDEX(_xlfn.VSTACK(YES_Writing_ELA[#Data],YES_Writing_FLA[#Data]),MATCH($A464,_xlfn.VSTACK(YES_Writing_ELA[Student Number],YES_Writing_FLA[Student Number]),0),MATCH(VLOOKUP(G$7,'Writing Logic'!$J$7:$K$11,2,FALSE)&amp;" - Per "&amp;VLOOKUP($C$4,'Writing Logic'!$G$8:$H$14,2,FALSE),YES_Writing_ELA[#Headers],0)))="INS",'Writing Logic'!$B$7,IF(INDEX(_xlfn.VSTACK(YES_Writing_ELA[#Data],YES_Writing_FLA[#Data]),MATCH($A464,_xlfn.VSTACK(YES_Writing_ELA[Student Number],YES_Writing_FLA[Student Number]),0),MATCH(VLOOKUP(G$7,'Writing Logic'!$J$7:$K$11,2,FALSE)&amp;" - Per "&amp;VLOOKUP($C$4,'Writing Logic'!$G$8:$H$14,2,FALSE),YES_Writing_ELA[#Headers],0))=0,"",INDEX(_xlfn.VSTACK(YES_Writing_ELA[#Data],YES_Writing_FLA[#Data]),MATCH($A464,_xlfn.VSTACK(YES_Writing_ELA[Student Number],YES_Writing_FLA[Student Number]),0),MATCH(VLOOKUP(G$7,'Writing Logic'!$J$7:$K$11,2,FALSE)&amp;" - Per "&amp;VLOOKUP($C$4,'Writing Logic'!$G$8:$H$14,2,FALSE),YES_Writing_ELA[#Headers],0)))),"")</f>
        <v/>
      </c>
      <c r="H464" s="138" t="str">
        <f>IFERROR(IF(IF(INDEX(_xlfn.VSTACK(YES_Writing_ELA[#Data],YES_Writing_FLA[#Data]),MATCH($A464,_xlfn.VSTACK(YES_Writing_ELA[Student Number],YES_Writing_FLA[Student Number]),0),MATCH(VLOOKUP(H$7,'Writing Logic'!$J$7:$K$11,2,FALSE)&amp;" - Per "&amp;VLOOKUP($C$4,'Writing Logic'!$G$8:$H$14,2,FALSE),YES_Writing_ELA[#Headers],0))=0,"",INDEX(_xlfn.VSTACK(YES_Writing_ELA[#Data],YES_Writing_FLA[#Data]),MATCH($A464,_xlfn.VSTACK(YES_Writing_ELA[Student Number],YES_Writing_FLA[Student Number]),0),MATCH(VLOOKUP(H$7,'Writing Logic'!$J$7:$K$11,2,FALSE)&amp;" - Per "&amp;VLOOKUP($C$4,'Writing Logic'!$G$8:$H$14,2,FALSE),YES_Writing_ELA[#Headers],0)))="INS",'Writing Logic'!$B$7,IF(INDEX(_xlfn.VSTACK(YES_Writing_ELA[#Data],YES_Writing_FLA[#Data]),MATCH($A464,_xlfn.VSTACK(YES_Writing_ELA[Student Number],YES_Writing_FLA[Student Number]),0),MATCH(VLOOKUP(H$7,'Writing Logic'!$J$7:$K$11,2,FALSE)&amp;" - Per "&amp;VLOOKUP($C$4,'Writing Logic'!$G$8:$H$14,2,FALSE),YES_Writing_ELA[#Headers],0))=0,"",INDEX(_xlfn.VSTACK(YES_Writing_ELA[#Data],YES_Writing_FLA[#Data]),MATCH($A464,_xlfn.VSTACK(YES_Writing_ELA[Student Number],YES_Writing_FLA[Student Number]),0),MATCH(VLOOKUP(H$7,'Writing Logic'!$J$7:$K$11,2,FALSE)&amp;" - Per "&amp;VLOOKUP($C$4,'Writing Logic'!$G$8:$H$14,2,FALSE),YES_Writing_ELA[#Headers],0)))),"")</f>
        <v/>
      </c>
    </row>
    <row r="465" spans="1:8" x14ac:dyDescent="0.25">
      <c r="A465" s="137"/>
      <c r="B465" s="137" t="str">
        <f>IFERROR(INDEX(_xlfn.VSTACK(YES_Writing_ELA[#Data], YES_Writing_FLA[#Data]),MATCH($A465,_xlfn.VSTACK(YES_Writing_ELA[Student Number], YES_Writing_FLA[Student Number]),0),MATCH(B$7,YES_Writing_ELA[#Headers],0)),"")</f>
        <v/>
      </c>
      <c r="C465" s="137" t="str">
        <f>IFERROR(INDEX(_xlfn.VSTACK(YES_Writing_ELA[#Data], YES_Writing_FLA[#Data]),MATCH($A465,_xlfn.VSTACK(YES_Writing_ELA[Student Number], YES_Writing_FLA[Student Number]),0),MATCH(C$7,YES_Writing_ELA[#Headers],0)),"")</f>
        <v/>
      </c>
      <c r="D465" s="138" t="str">
        <f>IFERROR(IF(IF(INDEX(_xlfn.VSTACK(YES_Writing_ELA[#Data],YES_Writing_FLA[#Data]),MATCH($A465,_xlfn.VSTACK(YES_Writing_ELA[Student Number],YES_Writing_FLA[Student Number]),0),MATCH(VLOOKUP(D$7,'Writing Logic'!$J$7:$K$11,2,FALSE)&amp;" - Per "&amp;VLOOKUP($C$4,'Writing Logic'!$G$8:$H$14,2,FALSE),YES_Writing_ELA[#Headers],0))=0,"",INDEX(_xlfn.VSTACK(YES_Writing_ELA[#Data],YES_Writing_FLA[#Data]),MATCH($A465,_xlfn.VSTACK(YES_Writing_ELA[Student Number],YES_Writing_FLA[Student Number]),0),MATCH(VLOOKUP(D$7,'Writing Logic'!$J$7:$K$11,2,FALSE)&amp;" - Per "&amp;VLOOKUP($C$4,'Writing Logic'!$G$8:$H$14,2,FALSE),YES_Writing_ELA[#Headers],0)))="INS",'Writing Logic'!$B$7,IF(INDEX(_xlfn.VSTACK(YES_Writing_ELA[#Data],YES_Writing_FLA[#Data]),MATCH($A465,_xlfn.VSTACK(YES_Writing_ELA[Student Number],YES_Writing_FLA[Student Number]),0),MATCH(VLOOKUP(D$7,'Writing Logic'!$J$7:$K$11,2,FALSE)&amp;" - Per "&amp;VLOOKUP($C$4,'Writing Logic'!$G$8:$H$14,2,FALSE),YES_Writing_ELA[#Headers],0))=0,"",INDEX(_xlfn.VSTACK(YES_Writing_ELA[#Data],YES_Writing_FLA[#Data]),MATCH($A465,_xlfn.VSTACK(YES_Writing_ELA[Student Number],YES_Writing_FLA[Student Number]),0),MATCH(VLOOKUP(D$7,'Writing Logic'!$J$7:$K$11,2,FALSE)&amp;" - Per "&amp;VLOOKUP($C$4,'Writing Logic'!$G$8:$H$14,2,FALSE),YES_Writing_ELA[#Headers],0)))),"")</f>
        <v/>
      </c>
      <c r="E465" s="138" t="str">
        <f>IFERROR(IF(IF(INDEX(_xlfn.VSTACK(YES_Writing_ELA[#Data],YES_Writing_FLA[#Data]),MATCH($A465,_xlfn.VSTACK(YES_Writing_ELA[Student Number],YES_Writing_FLA[Student Number]),0),MATCH(VLOOKUP(E$7,'Writing Logic'!$J$7:$K$11,2,FALSE)&amp;" - Per "&amp;VLOOKUP($C$4,'Writing Logic'!$G$8:$H$14,2,FALSE),YES_Writing_ELA[#Headers],0))=0,"",INDEX(_xlfn.VSTACK(YES_Writing_ELA[#Data],YES_Writing_FLA[#Data]),MATCH($A465,_xlfn.VSTACK(YES_Writing_ELA[Student Number],YES_Writing_FLA[Student Number]),0),MATCH(VLOOKUP(E$7,'Writing Logic'!$J$7:$K$11,2,FALSE)&amp;" - Per "&amp;VLOOKUP($C$4,'Writing Logic'!$G$8:$H$14,2,FALSE),YES_Writing_ELA[#Headers],0)))="INS",'Writing Logic'!$B$7,IF(INDEX(_xlfn.VSTACK(YES_Writing_ELA[#Data],YES_Writing_FLA[#Data]),MATCH($A465,_xlfn.VSTACK(YES_Writing_ELA[Student Number],YES_Writing_FLA[Student Number]),0),MATCH(VLOOKUP(E$7,'Writing Logic'!$J$7:$K$11,2,FALSE)&amp;" - Per "&amp;VLOOKUP($C$4,'Writing Logic'!$G$8:$H$14,2,FALSE),YES_Writing_ELA[#Headers],0))=0,"",INDEX(_xlfn.VSTACK(YES_Writing_ELA[#Data],YES_Writing_FLA[#Data]),MATCH($A465,_xlfn.VSTACK(YES_Writing_ELA[Student Number],YES_Writing_FLA[Student Number]),0),MATCH(VLOOKUP(E$7,'Writing Logic'!$J$7:$K$11,2,FALSE)&amp;" - Per "&amp;VLOOKUP($C$4,'Writing Logic'!$G$8:$H$14,2,FALSE),YES_Writing_ELA[#Headers],0)))),"")</f>
        <v/>
      </c>
      <c r="F465" s="138" t="str">
        <f>IFERROR(IF(IF(INDEX(_xlfn.VSTACK(YES_Writing_ELA[#Data],YES_Writing_FLA[#Data]),MATCH($A465,_xlfn.VSTACK(YES_Writing_ELA[Student Number],YES_Writing_FLA[Student Number]),0),MATCH(VLOOKUP(F$7,'Writing Logic'!$J$7:$K$11,2,FALSE)&amp;" - Per "&amp;VLOOKUP($C$4,'Writing Logic'!$G$8:$H$14,2,FALSE),YES_Writing_ELA[#Headers],0))=0,"",INDEX(_xlfn.VSTACK(YES_Writing_ELA[#Data],YES_Writing_FLA[#Data]),MATCH($A465,_xlfn.VSTACK(YES_Writing_ELA[Student Number],YES_Writing_FLA[Student Number]),0),MATCH(VLOOKUP(F$7,'Writing Logic'!$J$7:$K$11,2,FALSE)&amp;" - Per "&amp;VLOOKUP($C$4,'Writing Logic'!$G$8:$H$14,2,FALSE),YES_Writing_ELA[#Headers],0)))="INS",'Writing Logic'!$B$7,IF(INDEX(_xlfn.VSTACK(YES_Writing_ELA[#Data],YES_Writing_FLA[#Data]),MATCH($A465,_xlfn.VSTACK(YES_Writing_ELA[Student Number],YES_Writing_FLA[Student Number]),0),MATCH(VLOOKUP(F$7,'Writing Logic'!$J$7:$K$11,2,FALSE)&amp;" - Per "&amp;VLOOKUP($C$4,'Writing Logic'!$G$8:$H$14,2,FALSE),YES_Writing_ELA[#Headers],0))=0,"",INDEX(_xlfn.VSTACK(YES_Writing_ELA[#Data],YES_Writing_FLA[#Data]),MATCH($A465,_xlfn.VSTACK(YES_Writing_ELA[Student Number],YES_Writing_FLA[Student Number]),0),MATCH(VLOOKUP(F$7,'Writing Logic'!$J$7:$K$11,2,FALSE)&amp;" - Per "&amp;VLOOKUP($C$4,'Writing Logic'!$G$8:$H$14,2,FALSE),YES_Writing_ELA[#Headers],0)))),"")</f>
        <v/>
      </c>
      <c r="G465" s="138" t="str">
        <f>IFERROR(IF(IF(INDEX(_xlfn.VSTACK(YES_Writing_ELA[#Data],YES_Writing_FLA[#Data]),MATCH($A465,_xlfn.VSTACK(YES_Writing_ELA[Student Number],YES_Writing_FLA[Student Number]),0),MATCH(VLOOKUP(G$7,'Writing Logic'!$J$7:$K$11,2,FALSE)&amp;" - Per "&amp;VLOOKUP($C$4,'Writing Logic'!$G$8:$H$14,2,FALSE),YES_Writing_ELA[#Headers],0))=0,"",INDEX(_xlfn.VSTACK(YES_Writing_ELA[#Data],YES_Writing_FLA[#Data]),MATCH($A465,_xlfn.VSTACK(YES_Writing_ELA[Student Number],YES_Writing_FLA[Student Number]),0),MATCH(VLOOKUP(G$7,'Writing Logic'!$J$7:$K$11,2,FALSE)&amp;" - Per "&amp;VLOOKUP($C$4,'Writing Logic'!$G$8:$H$14,2,FALSE),YES_Writing_ELA[#Headers],0)))="INS",'Writing Logic'!$B$7,IF(INDEX(_xlfn.VSTACK(YES_Writing_ELA[#Data],YES_Writing_FLA[#Data]),MATCH($A465,_xlfn.VSTACK(YES_Writing_ELA[Student Number],YES_Writing_FLA[Student Number]),0),MATCH(VLOOKUP(G$7,'Writing Logic'!$J$7:$K$11,2,FALSE)&amp;" - Per "&amp;VLOOKUP($C$4,'Writing Logic'!$G$8:$H$14,2,FALSE),YES_Writing_ELA[#Headers],0))=0,"",INDEX(_xlfn.VSTACK(YES_Writing_ELA[#Data],YES_Writing_FLA[#Data]),MATCH($A465,_xlfn.VSTACK(YES_Writing_ELA[Student Number],YES_Writing_FLA[Student Number]),0),MATCH(VLOOKUP(G$7,'Writing Logic'!$J$7:$K$11,2,FALSE)&amp;" - Per "&amp;VLOOKUP($C$4,'Writing Logic'!$G$8:$H$14,2,FALSE),YES_Writing_ELA[#Headers],0)))),"")</f>
        <v/>
      </c>
      <c r="H465" s="138" t="str">
        <f>IFERROR(IF(IF(INDEX(_xlfn.VSTACK(YES_Writing_ELA[#Data],YES_Writing_FLA[#Data]),MATCH($A465,_xlfn.VSTACK(YES_Writing_ELA[Student Number],YES_Writing_FLA[Student Number]),0),MATCH(VLOOKUP(H$7,'Writing Logic'!$J$7:$K$11,2,FALSE)&amp;" - Per "&amp;VLOOKUP($C$4,'Writing Logic'!$G$8:$H$14,2,FALSE),YES_Writing_ELA[#Headers],0))=0,"",INDEX(_xlfn.VSTACK(YES_Writing_ELA[#Data],YES_Writing_FLA[#Data]),MATCH($A465,_xlfn.VSTACK(YES_Writing_ELA[Student Number],YES_Writing_FLA[Student Number]),0),MATCH(VLOOKUP(H$7,'Writing Logic'!$J$7:$K$11,2,FALSE)&amp;" - Per "&amp;VLOOKUP($C$4,'Writing Logic'!$G$8:$H$14,2,FALSE),YES_Writing_ELA[#Headers],0)))="INS",'Writing Logic'!$B$7,IF(INDEX(_xlfn.VSTACK(YES_Writing_ELA[#Data],YES_Writing_FLA[#Data]),MATCH($A465,_xlfn.VSTACK(YES_Writing_ELA[Student Number],YES_Writing_FLA[Student Number]),0),MATCH(VLOOKUP(H$7,'Writing Logic'!$J$7:$K$11,2,FALSE)&amp;" - Per "&amp;VLOOKUP($C$4,'Writing Logic'!$G$8:$H$14,2,FALSE),YES_Writing_ELA[#Headers],0))=0,"",INDEX(_xlfn.VSTACK(YES_Writing_ELA[#Data],YES_Writing_FLA[#Data]),MATCH($A465,_xlfn.VSTACK(YES_Writing_ELA[Student Number],YES_Writing_FLA[Student Number]),0),MATCH(VLOOKUP(H$7,'Writing Logic'!$J$7:$K$11,2,FALSE)&amp;" - Per "&amp;VLOOKUP($C$4,'Writing Logic'!$G$8:$H$14,2,FALSE),YES_Writing_ELA[#Headers],0)))),"")</f>
        <v/>
      </c>
    </row>
    <row r="466" spans="1:8" x14ac:dyDescent="0.25">
      <c r="A466" s="137"/>
      <c r="B466" s="137" t="str">
        <f>IFERROR(INDEX(_xlfn.VSTACK(YES_Writing_ELA[#Data], YES_Writing_FLA[#Data]),MATCH($A466,_xlfn.VSTACK(YES_Writing_ELA[Student Number], YES_Writing_FLA[Student Number]),0),MATCH(B$7,YES_Writing_ELA[#Headers],0)),"")</f>
        <v/>
      </c>
      <c r="C466" s="137" t="str">
        <f>IFERROR(INDEX(_xlfn.VSTACK(YES_Writing_ELA[#Data], YES_Writing_FLA[#Data]),MATCH($A466,_xlfn.VSTACK(YES_Writing_ELA[Student Number], YES_Writing_FLA[Student Number]),0),MATCH(C$7,YES_Writing_ELA[#Headers],0)),"")</f>
        <v/>
      </c>
      <c r="D466" s="138" t="str">
        <f>IFERROR(IF(IF(INDEX(_xlfn.VSTACK(YES_Writing_ELA[#Data],YES_Writing_FLA[#Data]),MATCH($A466,_xlfn.VSTACK(YES_Writing_ELA[Student Number],YES_Writing_FLA[Student Number]),0),MATCH(VLOOKUP(D$7,'Writing Logic'!$J$7:$K$11,2,FALSE)&amp;" - Per "&amp;VLOOKUP($C$4,'Writing Logic'!$G$8:$H$14,2,FALSE),YES_Writing_ELA[#Headers],0))=0,"",INDEX(_xlfn.VSTACK(YES_Writing_ELA[#Data],YES_Writing_FLA[#Data]),MATCH($A466,_xlfn.VSTACK(YES_Writing_ELA[Student Number],YES_Writing_FLA[Student Number]),0),MATCH(VLOOKUP(D$7,'Writing Logic'!$J$7:$K$11,2,FALSE)&amp;" - Per "&amp;VLOOKUP($C$4,'Writing Logic'!$G$8:$H$14,2,FALSE),YES_Writing_ELA[#Headers],0)))="INS",'Writing Logic'!$B$7,IF(INDEX(_xlfn.VSTACK(YES_Writing_ELA[#Data],YES_Writing_FLA[#Data]),MATCH($A466,_xlfn.VSTACK(YES_Writing_ELA[Student Number],YES_Writing_FLA[Student Number]),0),MATCH(VLOOKUP(D$7,'Writing Logic'!$J$7:$K$11,2,FALSE)&amp;" - Per "&amp;VLOOKUP($C$4,'Writing Logic'!$G$8:$H$14,2,FALSE),YES_Writing_ELA[#Headers],0))=0,"",INDEX(_xlfn.VSTACK(YES_Writing_ELA[#Data],YES_Writing_FLA[#Data]),MATCH($A466,_xlfn.VSTACK(YES_Writing_ELA[Student Number],YES_Writing_FLA[Student Number]),0),MATCH(VLOOKUP(D$7,'Writing Logic'!$J$7:$K$11,2,FALSE)&amp;" - Per "&amp;VLOOKUP($C$4,'Writing Logic'!$G$8:$H$14,2,FALSE),YES_Writing_ELA[#Headers],0)))),"")</f>
        <v/>
      </c>
      <c r="E466" s="138" t="str">
        <f>IFERROR(IF(IF(INDEX(_xlfn.VSTACK(YES_Writing_ELA[#Data],YES_Writing_FLA[#Data]),MATCH($A466,_xlfn.VSTACK(YES_Writing_ELA[Student Number],YES_Writing_FLA[Student Number]),0),MATCH(VLOOKUP(E$7,'Writing Logic'!$J$7:$K$11,2,FALSE)&amp;" - Per "&amp;VLOOKUP($C$4,'Writing Logic'!$G$8:$H$14,2,FALSE),YES_Writing_ELA[#Headers],0))=0,"",INDEX(_xlfn.VSTACK(YES_Writing_ELA[#Data],YES_Writing_FLA[#Data]),MATCH($A466,_xlfn.VSTACK(YES_Writing_ELA[Student Number],YES_Writing_FLA[Student Number]),0),MATCH(VLOOKUP(E$7,'Writing Logic'!$J$7:$K$11,2,FALSE)&amp;" - Per "&amp;VLOOKUP($C$4,'Writing Logic'!$G$8:$H$14,2,FALSE),YES_Writing_ELA[#Headers],0)))="INS",'Writing Logic'!$B$7,IF(INDEX(_xlfn.VSTACK(YES_Writing_ELA[#Data],YES_Writing_FLA[#Data]),MATCH($A466,_xlfn.VSTACK(YES_Writing_ELA[Student Number],YES_Writing_FLA[Student Number]),0),MATCH(VLOOKUP(E$7,'Writing Logic'!$J$7:$K$11,2,FALSE)&amp;" - Per "&amp;VLOOKUP($C$4,'Writing Logic'!$G$8:$H$14,2,FALSE),YES_Writing_ELA[#Headers],0))=0,"",INDEX(_xlfn.VSTACK(YES_Writing_ELA[#Data],YES_Writing_FLA[#Data]),MATCH($A466,_xlfn.VSTACK(YES_Writing_ELA[Student Number],YES_Writing_FLA[Student Number]),0),MATCH(VLOOKUP(E$7,'Writing Logic'!$J$7:$K$11,2,FALSE)&amp;" - Per "&amp;VLOOKUP($C$4,'Writing Logic'!$G$8:$H$14,2,FALSE),YES_Writing_ELA[#Headers],0)))),"")</f>
        <v/>
      </c>
      <c r="F466" s="138" t="str">
        <f>IFERROR(IF(IF(INDEX(_xlfn.VSTACK(YES_Writing_ELA[#Data],YES_Writing_FLA[#Data]),MATCH($A466,_xlfn.VSTACK(YES_Writing_ELA[Student Number],YES_Writing_FLA[Student Number]),0),MATCH(VLOOKUP(F$7,'Writing Logic'!$J$7:$K$11,2,FALSE)&amp;" - Per "&amp;VLOOKUP($C$4,'Writing Logic'!$G$8:$H$14,2,FALSE),YES_Writing_ELA[#Headers],0))=0,"",INDEX(_xlfn.VSTACK(YES_Writing_ELA[#Data],YES_Writing_FLA[#Data]),MATCH($A466,_xlfn.VSTACK(YES_Writing_ELA[Student Number],YES_Writing_FLA[Student Number]),0),MATCH(VLOOKUP(F$7,'Writing Logic'!$J$7:$K$11,2,FALSE)&amp;" - Per "&amp;VLOOKUP($C$4,'Writing Logic'!$G$8:$H$14,2,FALSE),YES_Writing_ELA[#Headers],0)))="INS",'Writing Logic'!$B$7,IF(INDEX(_xlfn.VSTACK(YES_Writing_ELA[#Data],YES_Writing_FLA[#Data]),MATCH($A466,_xlfn.VSTACK(YES_Writing_ELA[Student Number],YES_Writing_FLA[Student Number]),0),MATCH(VLOOKUP(F$7,'Writing Logic'!$J$7:$K$11,2,FALSE)&amp;" - Per "&amp;VLOOKUP($C$4,'Writing Logic'!$G$8:$H$14,2,FALSE),YES_Writing_ELA[#Headers],0))=0,"",INDEX(_xlfn.VSTACK(YES_Writing_ELA[#Data],YES_Writing_FLA[#Data]),MATCH($A466,_xlfn.VSTACK(YES_Writing_ELA[Student Number],YES_Writing_FLA[Student Number]),0),MATCH(VLOOKUP(F$7,'Writing Logic'!$J$7:$K$11,2,FALSE)&amp;" - Per "&amp;VLOOKUP($C$4,'Writing Logic'!$G$8:$H$14,2,FALSE),YES_Writing_ELA[#Headers],0)))),"")</f>
        <v/>
      </c>
      <c r="G466" s="138" t="str">
        <f>IFERROR(IF(IF(INDEX(_xlfn.VSTACK(YES_Writing_ELA[#Data],YES_Writing_FLA[#Data]),MATCH($A466,_xlfn.VSTACK(YES_Writing_ELA[Student Number],YES_Writing_FLA[Student Number]),0),MATCH(VLOOKUP(G$7,'Writing Logic'!$J$7:$K$11,2,FALSE)&amp;" - Per "&amp;VLOOKUP($C$4,'Writing Logic'!$G$8:$H$14,2,FALSE),YES_Writing_ELA[#Headers],0))=0,"",INDEX(_xlfn.VSTACK(YES_Writing_ELA[#Data],YES_Writing_FLA[#Data]),MATCH($A466,_xlfn.VSTACK(YES_Writing_ELA[Student Number],YES_Writing_FLA[Student Number]),0),MATCH(VLOOKUP(G$7,'Writing Logic'!$J$7:$K$11,2,FALSE)&amp;" - Per "&amp;VLOOKUP($C$4,'Writing Logic'!$G$8:$H$14,2,FALSE),YES_Writing_ELA[#Headers],0)))="INS",'Writing Logic'!$B$7,IF(INDEX(_xlfn.VSTACK(YES_Writing_ELA[#Data],YES_Writing_FLA[#Data]),MATCH($A466,_xlfn.VSTACK(YES_Writing_ELA[Student Number],YES_Writing_FLA[Student Number]),0),MATCH(VLOOKUP(G$7,'Writing Logic'!$J$7:$K$11,2,FALSE)&amp;" - Per "&amp;VLOOKUP($C$4,'Writing Logic'!$G$8:$H$14,2,FALSE),YES_Writing_ELA[#Headers],0))=0,"",INDEX(_xlfn.VSTACK(YES_Writing_ELA[#Data],YES_Writing_FLA[#Data]),MATCH($A466,_xlfn.VSTACK(YES_Writing_ELA[Student Number],YES_Writing_FLA[Student Number]),0),MATCH(VLOOKUP(G$7,'Writing Logic'!$J$7:$K$11,2,FALSE)&amp;" - Per "&amp;VLOOKUP($C$4,'Writing Logic'!$G$8:$H$14,2,FALSE),YES_Writing_ELA[#Headers],0)))),"")</f>
        <v/>
      </c>
      <c r="H466" s="138" t="str">
        <f>IFERROR(IF(IF(INDEX(_xlfn.VSTACK(YES_Writing_ELA[#Data],YES_Writing_FLA[#Data]),MATCH($A466,_xlfn.VSTACK(YES_Writing_ELA[Student Number],YES_Writing_FLA[Student Number]),0),MATCH(VLOOKUP(H$7,'Writing Logic'!$J$7:$K$11,2,FALSE)&amp;" - Per "&amp;VLOOKUP($C$4,'Writing Logic'!$G$8:$H$14,2,FALSE),YES_Writing_ELA[#Headers],0))=0,"",INDEX(_xlfn.VSTACK(YES_Writing_ELA[#Data],YES_Writing_FLA[#Data]),MATCH($A466,_xlfn.VSTACK(YES_Writing_ELA[Student Number],YES_Writing_FLA[Student Number]),0),MATCH(VLOOKUP(H$7,'Writing Logic'!$J$7:$K$11,2,FALSE)&amp;" - Per "&amp;VLOOKUP($C$4,'Writing Logic'!$G$8:$H$14,2,FALSE),YES_Writing_ELA[#Headers],0)))="INS",'Writing Logic'!$B$7,IF(INDEX(_xlfn.VSTACK(YES_Writing_ELA[#Data],YES_Writing_FLA[#Data]),MATCH($A466,_xlfn.VSTACK(YES_Writing_ELA[Student Number],YES_Writing_FLA[Student Number]),0),MATCH(VLOOKUP(H$7,'Writing Logic'!$J$7:$K$11,2,FALSE)&amp;" - Per "&amp;VLOOKUP($C$4,'Writing Logic'!$G$8:$H$14,2,FALSE),YES_Writing_ELA[#Headers],0))=0,"",INDEX(_xlfn.VSTACK(YES_Writing_ELA[#Data],YES_Writing_FLA[#Data]),MATCH($A466,_xlfn.VSTACK(YES_Writing_ELA[Student Number],YES_Writing_FLA[Student Number]),0),MATCH(VLOOKUP(H$7,'Writing Logic'!$J$7:$K$11,2,FALSE)&amp;" - Per "&amp;VLOOKUP($C$4,'Writing Logic'!$G$8:$H$14,2,FALSE),YES_Writing_ELA[#Headers],0)))),"")</f>
        <v/>
      </c>
    </row>
    <row r="467" spans="1:8" x14ac:dyDescent="0.25">
      <c r="A467" s="137"/>
      <c r="B467" s="137" t="str">
        <f>IFERROR(INDEX(_xlfn.VSTACK(YES_Writing_ELA[#Data], YES_Writing_FLA[#Data]),MATCH($A467,_xlfn.VSTACK(YES_Writing_ELA[Student Number], YES_Writing_FLA[Student Number]),0),MATCH(B$7,YES_Writing_ELA[#Headers],0)),"")</f>
        <v/>
      </c>
      <c r="C467" s="137" t="str">
        <f>IFERROR(INDEX(_xlfn.VSTACK(YES_Writing_ELA[#Data], YES_Writing_FLA[#Data]),MATCH($A467,_xlfn.VSTACK(YES_Writing_ELA[Student Number], YES_Writing_FLA[Student Number]),0),MATCH(C$7,YES_Writing_ELA[#Headers],0)),"")</f>
        <v/>
      </c>
      <c r="D467" s="138" t="str">
        <f>IFERROR(IF(IF(INDEX(_xlfn.VSTACK(YES_Writing_ELA[#Data],YES_Writing_FLA[#Data]),MATCH($A467,_xlfn.VSTACK(YES_Writing_ELA[Student Number],YES_Writing_FLA[Student Number]),0),MATCH(VLOOKUP(D$7,'Writing Logic'!$J$7:$K$11,2,FALSE)&amp;" - Per "&amp;VLOOKUP($C$4,'Writing Logic'!$G$8:$H$14,2,FALSE),YES_Writing_ELA[#Headers],0))=0,"",INDEX(_xlfn.VSTACK(YES_Writing_ELA[#Data],YES_Writing_FLA[#Data]),MATCH($A467,_xlfn.VSTACK(YES_Writing_ELA[Student Number],YES_Writing_FLA[Student Number]),0),MATCH(VLOOKUP(D$7,'Writing Logic'!$J$7:$K$11,2,FALSE)&amp;" - Per "&amp;VLOOKUP($C$4,'Writing Logic'!$G$8:$H$14,2,FALSE),YES_Writing_ELA[#Headers],0)))="INS",'Writing Logic'!$B$7,IF(INDEX(_xlfn.VSTACK(YES_Writing_ELA[#Data],YES_Writing_FLA[#Data]),MATCH($A467,_xlfn.VSTACK(YES_Writing_ELA[Student Number],YES_Writing_FLA[Student Number]),0),MATCH(VLOOKUP(D$7,'Writing Logic'!$J$7:$K$11,2,FALSE)&amp;" - Per "&amp;VLOOKUP($C$4,'Writing Logic'!$G$8:$H$14,2,FALSE),YES_Writing_ELA[#Headers],0))=0,"",INDEX(_xlfn.VSTACK(YES_Writing_ELA[#Data],YES_Writing_FLA[#Data]),MATCH($A467,_xlfn.VSTACK(YES_Writing_ELA[Student Number],YES_Writing_FLA[Student Number]),0),MATCH(VLOOKUP(D$7,'Writing Logic'!$J$7:$K$11,2,FALSE)&amp;" - Per "&amp;VLOOKUP($C$4,'Writing Logic'!$G$8:$H$14,2,FALSE),YES_Writing_ELA[#Headers],0)))),"")</f>
        <v/>
      </c>
      <c r="E467" s="138" t="str">
        <f>IFERROR(IF(IF(INDEX(_xlfn.VSTACK(YES_Writing_ELA[#Data],YES_Writing_FLA[#Data]),MATCH($A467,_xlfn.VSTACK(YES_Writing_ELA[Student Number],YES_Writing_FLA[Student Number]),0),MATCH(VLOOKUP(E$7,'Writing Logic'!$J$7:$K$11,2,FALSE)&amp;" - Per "&amp;VLOOKUP($C$4,'Writing Logic'!$G$8:$H$14,2,FALSE),YES_Writing_ELA[#Headers],0))=0,"",INDEX(_xlfn.VSTACK(YES_Writing_ELA[#Data],YES_Writing_FLA[#Data]),MATCH($A467,_xlfn.VSTACK(YES_Writing_ELA[Student Number],YES_Writing_FLA[Student Number]),0),MATCH(VLOOKUP(E$7,'Writing Logic'!$J$7:$K$11,2,FALSE)&amp;" - Per "&amp;VLOOKUP($C$4,'Writing Logic'!$G$8:$H$14,2,FALSE),YES_Writing_ELA[#Headers],0)))="INS",'Writing Logic'!$B$7,IF(INDEX(_xlfn.VSTACK(YES_Writing_ELA[#Data],YES_Writing_FLA[#Data]),MATCH($A467,_xlfn.VSTACK(YES_Writing_ELA[Student Number],YES_Writing_FLA[Student Number]),0),MATCH(VLOOKUP(E$7,'Writing Logic'!$J$7:$K$11,2,FALSE)&amp;" - Per "&amp;VLOOKUP($C$4,'Writing Logic'!$G$8:$H$14,2,FALSE),YES_Writing_ELA[#Headers],0))=0,"",INDEX(_xlfn.VSTACK(YES_Writing_ELA[#Data],YES_Writing_FLA[#Data]),MATCH($A467,_xlfn.VSTACK(YES_Writing_ELA[Student Number],YES_Writing_FLA[Student Number]),0),MATCH(VLOOKUP(E$7,'Writing Logic'!$J$7:$K$11,2,FALSE)&amp;" - Per "&amp;VLOOKUP($C$4,'Writing Logic'!$G$8:$H$14,2,FALSE),YES_Writing_ELA[#Headers],0)))),"")</f>
        <v/>
      </c>
      <c r="F467" s="138" t="str">
        <f>IFERROR(IF(IF(INDEX(_xlfn.VSTACK(YES_Writing_ELA[#Data],YES_Writing_FLA[#Data]),MATCH($A467,_xlfn.VSTACK(YES_Writing_ELA[Student Number],YES_Writing_FLA[Student Number]),0),MATCH(VLOOKUP(F$7,'Writing Logic'!$J$7:$K$11,2,FALSE)&amp;" - Per "&amp;VLOOKUP($C$4,'Writing Logic'!$G$8:$H$14,2,FALSE),YES_Writing_ELA[#Headers],0))=0,"",INDEX(_xlfn.VSTACK(YES_Writing_ELA[#Data],YES_Writing_FLA[#Data]),MATCH($A467,_xlfn.VSTACK(YES_Writing_ELA[Student Number],YES_Writing_FLA[Student Number]),0),MATCH(VLOOKUP(F$7,'Writing Logic'!$J$7:$K$11,2,FALSE)&amp;" - Per "&amp;VLOOKUP($C$4,'Writing Logic'!$G$8:$H$14,2,FALSE),YES_Writing_ELA[#Headers],0)))="INS",'Writing Logic'!$B$7,IF(INDEX(_xlfn.VSTACK(YES_Writing_ELA[#Data],YES_Writing_FLA[#Data]),MATCH($A467,_xlfn.VSTACK(YES_Writing_ELA[Student Number],YES_Writing_FLA[Student Number]),0),MATCH(VLOOKUP(F$7,'Writing Logic'!$J$7:$K$11,2,FALSE)&amp;" - Per "&amp;VLOOKUP($C$4,'Writing Logic'!$G$8:$H$14,2,FALSE),YES_Writing_ELA[#Headers],0))=0,"",INDEX(_xlfn.VSTACK(YES_Writing_ELA[#Data],YES_Writing_FLA[#Data]),MATCH($A467,_xlfn.VSTACK(YES_Writing_ELA[Student Number],YES_Writing_FLA[Student Number]),0),MATCH(VLOOKUP(F$7,'Writing Logic'!$J$7:$K$11,2,FALSE)&amp;" - Per "&amp;VLOOKUP($C$4,'Writing Logic'!$G$8:$H$14,2,FALSE),YES_Writing_ELA[#Headers],0)))),"")</f>
        <v/>
      </c>
      <c r="G467" s="138" t="str">
        <f>IFERROR(IF(IF(INDEX(_xlfn.VSTACK(YES_Writing_ELA[#Data],YES_Writing_FLA[#Data]),MATCH($A467,_xlfn.VSTACK(YES_Writing_ELA[Student Number],YES_Writing_FLA[Student Number]),0),MATCH(VLOOKUP(G$7,'Writing Logic'!$J$7:$K$11,2,FALSE)&amp;" - Per "&amp;VLOOKUP($C$4,'Writing Logic'!$G$8:$H$14,2,FALSE),YES_Writing_ELA[#Headers],0))=0,"",INDEX(_xlfn.VSTACK(YES_Writing_ELA[#Data],YES_Writing_FLA[#Data]),MATCH($A467,_xlfn.VSTACK(YES_Writing_ELA[Student Number],YES_Writing_FLA[Student Number]),0),MATCH(VLOOKUP(G$7,'Writing Logic'!$J$7:$K$11,2,FALSE)&amp;" - Per "&amp;VLOOKUP($C$4,'Writing Logic'!$G$8:$H$14,2,FALSE),YES_Writing_ELA[#Headers],0)))="INS",'Writing Logic'!$B$7,IF(INDEX(_xlfn.VSTACK(YES_Writing_ELA[#Data],YES_Writing_FLA[#Data]),MATCH($A467,_xlfn.VSTACK(YES_Writing_ELA[Student Number],YES_Writing_FLA[Student Number]),0),MATCH(VLOOKUP(G$7,'Writing Logic'!$J$7:$K$11,2,FALSE)&amp;" - Per "&amp;VLOOKUP($C$4,'Writing Logic'!$G$8:$H$14,2,FALSE),YES_Writing_ELA[#Headers],0))=0,"",INDEX(_xlfn.VSTACK(YES_Writing_ELA[#Data],YES_Writing_FLA[#Data]),MATCH($A467,_xlfn.VSTACK(YES_Writing_ELA[Student Number],YES_Writing_FLA[Student Number]),0),MATCH(VLOOKUP(G$7,'Writing Logic'!$J$7:$K$11,2,FALSE)&amp;" - Per "&amp;VLOOKUP($C$4,'Writing Logic'!$G$8:$H$14,2,FALSE),YES_Writing_ELA[#Headers],0)))),"")</f>
        <v/>
      </c>
      <c r="H467" s="138" t="str">
        <f>IFERROR(IF(IF(INDEX(_xlfn.VSTACK(YES_Writing_ELA[#Data],YES_Writing_FLA[#Data]),MATCH($A467,_xlfn.VSTACK(YES_Writing_ELA[Student Number],YES_Writing_FLA[Student Number]),0),MATCH(VLOOKUP(H$7,'Writing Logic'!$J$7:$K$11,2,FALSE)&amp;" - Per "&amp;VLOOKUP($C$4,'Writing Logic'!$G$8:$H$14,2,FALSE),YES_Writing_ELA[#Headers],0))=0,"",INDEX(_xlfn.VSTACK(YES_Writing_ELA[#Data],YES_Writing_FLA[#Data]),MATCH($A467,_xlfn.VSTACK(YES_Writing_ELA[Student Number],YES_Writing_FLA[Student Number]),0),MATCH(VLOOKUP(H$7,'Writing Logic'!$J$7:$K$11,2,FALSE)&amp;" - Per "&amp;VLOOKUP($C$4,'Writing Logic'!$G$8:$H$14,2,FALSE),YES_Writing_ELA[#Headers],0)))="INS",'Writing Logic'!$B$7,IF(INDEX(_xlfn.VSTACK(YES_Writing_ELA[#Data],YES_Writing_FLA[#Data]),MATCH($A467,_xlfn.VSTACK(YES_Writing_ELA[Student Number],YES_Writing_FLA[Student Number]),0),MATCH(VLOOKUP(H$7,'Writing Logic'!$J$7:$K$11,2,FALSE)&amp;" - Per "&amp;VLOOKUP($C$4,'Writing Logic'!$G$8:$H$14,2,FALSE),YES_Writing_ELA[#Headers],0))=0,"",INDEX(_xlfn.VSTACK(YES_Writing_ELA[#Data],YES_Writing_FLA[#Data]),MATCH($A467,_xlfn.VSTACK(YES_Writing_ELA[Student Number],YES_Writing_FLA[Student Number]),0),MATCH(VLOOKUP(H$7,'Writing Logic'!$J$7:$K$11,2,FALSE)&amp;" - Per "&amp;VLOOKUP($C$4,'Writing Logic'!$G$8:$H$14,2,FALSE),YES_Writing_ELA[#Headers],0)))),"")</f>
        <v/>
      </c>
    </row>
    <row r="468" spans="1:8" x14ac:dyDescent="0.25">
      <c r="A468" s="137"/>
      <c r="B468" s="137" t="str">
        <f>IFERROR(INDEX(_xlfn.VSTACK(YES_Writing_ELA[#Data], YES_Writing_FLA[#Data]),MATCH($A468,_xlfn.VSTACK(YES_Writing_ELA[Student Number], YES_Writing_FLA[Student Number]),0),MATCH(B$7,YES_Writing_ELA[#Headers],0)),"")</f>
        <v/>
      </c>
      <c r="C468" s="137" t="str">
        <f>IFERROR(INDEX(_xlfn.VSTACK(YES_Writing_ELA[#Data], YES_Writing_FLA[#Data]),MATCH($A468,_xlfn.VSTACK(YES_Writing_ELA[Student Number], YES_Writing_FLA[Student Number]),0),MATCH(C$7,YES_Writing_ELA[#Headers],0)),"")</f>
        <v/>
      </c>
      <c r="D468" s="138" t="str">
        <f>IFERROR(IF(IF(INDEX(_xlfn.VSTACK(YES_Writing_ELA[#Data],YES_Writing_FLA[#Data]),MATCH($A468,_xlfn.VSTACK(YES_Writing_ELA[Student Number],YES_Writing_FLA[Student Number]),0),MATCH(VLOOKUP(D$7,'Writing Logic'!$J$7:$K$11,2,FALSE)&amp;" - Per "&amp;VLOOKUP($C$4,'Writing Logic'!$G$8:$H$14,2,FALSE),YES_Writing_ELA[#Headers],0))=0,"",INDEX(_xlfn.VSTACK(YES_Writing_ELA[#Data],YES_Writing_FLA[#Data]),MATCH($A468,_xlfn.VSTACK(YES_Writing_ELA[Student Number],YES_Writing_FLA[Student Number]),0),MATCH(VLOOKUP(D$7,'Writing Logic'!$J$7:$K$11,2,FALSE)&amp;" - Per "&amp;VLOOKUP($C$4,'Writing Logic'!$G$8:$H$14,2,FALSE),YES_Writing_ELA[#Headers],0)))="INS",'Writing Logic'!$B$7,IF(INDEX(_xlfn.VSTACK(YES_Writing_ELA[#Data],YES_Writing_FLA[#Data]),MATCH($A468,_xlfn.VSTACK(YES_Writing_ELA[Student Number],YES_Writing_FLA[Student Number]),0),MATCH(VLOOKUP(D$7,'Writing Logic'!$J$7:$K$11,2,FALSE)&amp;" - Per "&amp;VLOOKUP($C$4,'Writing Logic'!$G$8:$H$14,2,FALSE),YES_Writing_ELA[#Headers],0))=0,"",INDEX(_xlfn.VSTACK(YES_Writing_ELA[#Data],YES_Writing_FLA[#Data]),MATCH($A468,_xlfn.VSTACK(YES_Writing_ELA[Student Number],YES_Writing_FLA[Student Number]),0),MATCH(VLOOKUP(D$7,'Writing Logic'!$J$7:$K$11,2,FALSE)&amp;" - Per "&amp;VLOOKUP($C$4,'Writing Logic'!$G$8:$H$14,2,FALSE),YES_Writing_ELA[#Headers],0)))),"")</f>
        <v/>
      </c>
      <c r="E468" s="138" t="str">
        <f>IFERROR(IF(IF(INDEX(_xlfn.VSTACK(YES_Writing_ELA[#Data],YES_Writing_FLA[#Data]),MATCH($A468,_xlfn.VSTACK(YES_Writing_ELA[Student Number],YES_Writing_FLA[Student Number]),0),MATCH(VLOOKUP(E$7,'Writing Logic'!$J$7:$K$11,2,FALSE)&amp;" - Per "&amp;VLOOKUP($C$4,'Writing Logic'!$G$8:$H$14,2,FALSE),YES_Writing_ELA[#Headers],0))=0,"",INDEX(_xlfn.VSTACK(YES_Writing_ELA[#Data],YES_Writing_FLA[#Data]),MATCH($A468,_xlfn.VSTACK(YES_Writing_ELA[Student Number],YES_Writing_FLA[Student Number]),0),MATCH(VLOOKUP(E$7,'Writing Logic'!$J$7:$K$11,2,FALSE)&amp;" - Per "&amp;VLOOKUP($C$4,'Writing Logic'!$G$8:$H$14,2,FALSE),YES_Writing_ELA[#Headers],0)))="INS",'Writing Logic'!$B$7,IF(INDEX(_xlfn.VSTACK(YES_Writing_ELA[#Data],YES_Writing_FLA[#Data]),MATCH($A468,_xlfn.VSTACK(YES_Writing_ELA[Student Number],YES_Writing_FLA[Student Number]),0),MATCH(VLOOKUP(E$7,'Writing Logic'!$J$7:$K$11,2,FALSE)&amp;" - Per "&amp;VLOOKUP($C$4,'Writing Logic'!$G$8:$H$14,2,FALSE),YES_Writing_ELA[#Headers],0))=0,"",INDEX(_xlfn.VSTACK(YES_Writing_ELA[#Data],YES_Writing_FLA[#Data]),MATCH($A468,_xlfn.VSTACK(YES_Writing_ELA[Student Number],YES_Writing_FLA[Student Number]),0),MATCH(VLOOKUP(E$7,'Writing Logic'!$J$7:$K$11,2,FALSE)&amp;" - Per "&amp;VLOOKUP($C$4,'Writing Logic'!$G$8:$H$14,2,FALSE),YES_Writing_ELA[#Headers],0)))),"")</f>
        <v/>
      </c>
      <c r="F468" s="138" t="str">
        <f>IFERROR(IF(IF(INDEX(_xlfn.VSTACK(YES_Writing_ELA[#Data],YES_Writing_FLA[#Data]),MATCH($A468,_xlfn.VSTACK(YES_Writing_ELA[Student Number],YES_Writing_FLA[Student Number]),0),MATCH(VLOOKUP(F$7,'Writing Logic'!$J$7:$K$11,2,FALSE)&amp;" - Per "&amp;VLOOKUP($C$4,'Writing Logic'!$G$8:$H$14,2,FALSE),YES_Writing_ELA[#Headers],0))=0,"",INDEX(_xlfn.VSTACK(YES_Writing_ELA[#Data],YES_Writing_FLA[#Data]),MATCH($A468,_xlfn.VSTACK(YES_Writing_ELA[Student Number],YES_Writing_FLA[Student Number]),0),MATCH(VLOOKUP(F$7,'Writing Logic'!$J$7:$K$11,2,FALSE)&amp;" - Per "&amp;VLOOKUP($C$4,'Writing Logic'!$G$8:$H$14,2,FALSE),YES_Writing_ELA[#Headers],0)))="INS",'Writing Logic'!$B$7,IF(INDEX(_xlfn.VSTACK(YES_Writing_ELA[#Data],YES_Writing_FLA[#Data]),MATCH($A468,_xlfn.VSTACK(YES_Writing_ELA[Student Number],YES_Writing_FLA[Student Number]),0),MATCH(VLOOKUP(F$7,'Writing Logic'!$J$7:$K$11,2,FALSE)&amp;" - Per "&amp;VLOOKUP($C$4,'Writing Logic'!$G$8:$H$14,2,FALSE),YES_Writing_ELA[#Headers],0))=0,"",INDEX(_xlfn.VSTACK(YES_Writing_ELA[#Data],YES_Writing_FLA[#Data]),MATCH($A468,_xlfn.VSTACK(YES_Writing_ELA[Student Number],YES_Writing_FLA[Student Number]),0),MATCH(VLOOKUP(F$7,'Writing Logic'!$J$7:$K$11,2,FALSE)&amp;" - Per "&amp;VLOOKUP($C$4,'Writing Logic'!$G$8:$H$14,2,FALSE),YES_Writing_ELA[#Headers],0)))),"")</f>
        <v/>
      </c>
      <c r="G468" s="138" t="str">
        <f>IFERROR(IF(IF(INDEX(_xlfn.VSTACK(YES_Writing_ELA[#Data],YES_Writing_FLA[#Data]),MATCH($A468,_xlfn.VSTACK(YES_Writing_ELA[Student Number],YES_Writing_FLA[Student Number]),0),MATCH(VLOOKUP(G$7,'Writing Logic'!$J$7:$K$11,2,FALSE)&amp;" - Per "&amp;VLOOKUP($C$4,'Writing Logic'!$G$8:$H$14,2,FALSE),YES_Writing_ELA[#Headers],0))=0,"",INDEX(_xlfn.VSTACK(YES_Writing_ELA[#Data],YES_Writing_FLA[#Data]),MATCH($A468,_xlfn.VSTACK(YES_Writing_ELA[Student Number],YES_Writing_FLA[Student Number]),0),MATCH(VLOOKUP(G$7,'Writing Logic'!$J$7:$K$11,2,FALSE)&amp;" - Per "&amp;VLOOKUP($C$4,'Writing Logic'!$G$8:$H$14,2,FALSE),YES_Writing_ELA[#Headers],0)))="INS",'Writing Logic'!$B$7,IF(INDEX(_xlfn.VSTACK(YES_Writing_ELA[#Data],YES_Writing_FLA[#Data]),MATCH($A468,_xlfn.VSTACK(YES_Writing_ELA[Student Number],YES_Writing_FLA[Student Number]),0),MATCH(VLOOKUP(G$7,'Writing Logic'!$J$7:$K$11,2,FALSE)&amp;" - Per "&amp;VLOOKUP($C$4,'Writing Logic'!$G$8:$H$14,2,FALSE),YES_Writing_ELA[#Headers],0))=0,"",INDEX(_xlfn.VSTACK(YES_Writing_ELA[#Data],YES_Writing_FLA[#Data]),MATCH($A468,_xlfn.VSTACK(YES_Writing_ELA[Student Number],YES_Writing_FLA[Student Number]),0),MATCH(VLOOKUP(G$7,'Writing Logic'!$J$7:$K$11,2,FALSE)&amp;" - Per "&amp;VLOOKUP($C$4,'Writing Logic'!$G$8:$H$14,2,FALSE),YES_Writing_ELA[#Headers],0)))),"")</f>
        <v/>
      </c>
      <c r="H468" s="138" t="str">
        <f>IFERROR(IF(IF(INDEX(_xlfn.VSTACK(YES_Writing_ELA[#Data],YES_Writing_FLA[#Data]),MATCH($A468,_xlfn.VSTACK(YES_Writing_ELA[Student Number],YES_Writing_FLA[Student Number]),0),MATCH(VLOOKUP(H$7,'Writing Logic'!$J$7:$K$11,2,FALSE)&amp;" - Per "&amp;VLOOKUP($C$4,'Writing Logic'!$G$8:$H$14,2,FALSE),YES_Writing_ELA[#Headers],0))=0,"",INDEX(_xlfn.VSTACK(YES_Writing_ELA[#Data],YES_Writing_FLA[#Data]),MATCH($A468,_xlfn.VSTACK(YES_Writing_ELA[Student Number],YES_Writing_FLA[Student Number]),0),MATCH(VLOOKUP(H$7,'Writing Logic'!$J$7:$K$11,2,FALSE)&amp;" - Per "&amp;VLOOKUP($C$4,'Writing Logic'!$G$8:$H$14,2,FALSE),YES_Writing_ELA[#Headers],0)))="INS",'Writing Logic'!$B$7,IF(INDEX(_xlfn.VSTACK(YES_Writing_ELA[#Data],YES_Writing_FLA[#Data]),MATCH($A468,_xlfn.VSTACK(YES_Writing_ELA[Student Number],YES_Writing_FLA[Student Number]),0),MATCH(VLOOKUP(H$7,'Writing Logic'!$J$7:$K$11,2,FALSE)&amp;" - Per "&amp;VLOOKUP($C$4,'Writing Logic'!$G$8:$H$14,2,FALSE),YES_Writing_ELA[#Headers],0))=0,"",INDEX(_xlfn.VSTACK(YES_Writing_ELA[#Data],YES_Writing_FLA[#Data]),MATCH($A468,_xlfn.VSTACK(YES_Writing_ELA[Student Number],YES_Writing_FLA[Student Number]),0),MATCH(VLOOKUP(H$7,'Writing Logic'!$J$7:$K$11,2,FALSE)&amp;" - Per "&amp;VLOOKUP($C$4,'Writing Logic'!$G$8:$H$14,2,FALSE),YES_Writing_ELA[#Headers],0)))),"")</f>
        <v/>
      </c>
    </row>
    <row r="469" spans="1:8" x14ac:dyDescent="0.25">
      <c r="A469" s="137"/>
      <c r="B469" s="137" t="str">
        <f>IFERROR(INDEX(_xlfn.VSTACK(YES_Writing_ELA[#Data], YES_Writing_FLA[#Data]),MATCH($A469,_xlfn.VSTACK(YES_Writing_ELA[Student Number], YES_Writing_FLA[Student Number]),0),MATCH(B$7,YES_Writing_ELA[#Headers],0)),"")</f>
        <v/>
      </c>
      <c r="C469" s="137" t="str">
        <f>IFERROR(INDEX(_xlfn.VSTACK(YES_Writing_ELA[#Data], YES_Writing_FLA[#Data]),MATCH($A469,_xlfn.VSTACK(YES_Writing_ELA[Student Number], YES_Writing_FLA[Student Number]),0),MATCH(C$7,YES_Writing_ELA[#Headers],0)),"")</f>
        <v/>
      </c>
      <c r="D469" s="138" t="str">
        <f>IFERROR(IF(IF(INDEX(_xlfn.VSTACK(YES_Writing_ELA[#Data],YES_Writing_FLA[#Data]),MATCH($A469,_xlfn.VSTACK(YES_Writing_ELA[Student Number],YES_Writing_FLA[Student Number]),0),MATCH(VLOOKUP(D$7,'Writing Logic'!$J$7:$K$11,2,FALSE)&amp;" - Per "&amp;VLOOKUP($C$4,'Writing Logic'!$G$8:$H$14,2,FALSE),YES_Writing_ELA[#Headers],0))=0,"",INDEX(_xlfn.VSTACK(YES_Writing_ELA[#Data],YES_Writing_FLA[#Data]),MATCH($A469,_xlfn.VSTACK(YES_Writing_ELA[Student Number],YES_Writing_FLA[Student Number]),0),MATCH(VLOOKUP(D$7,'Writing Logic'!$J$7:$K$11,2,FALSE)&amp;" - Per "&amp;VLOOKUP($C$4,'Writing Logic'!$G$8:$H$14,2,FALSE),YES_Writing_ELA[#Headers],0)))="INS",'Writing Logic'!$B$7,IF(INDEX(_xlfn.VSTACK(YES_Writing_ELA[#Data],YES_Writing_FLA[#Data]),MATCH($A469,_xlfn.VSTACK(YES_Writing_ELA[Student Number],YES_Writing_FLA[Student Number]),0),MATCH(VLOOKUP(D$7,'Writing Logic'!$J$7:$K$11,2,FALSE)&amp;" - Per "&amp;VLOOKUP($C$4,'Writing Logic'!$G$8:$H$14,2,FALSE),YES_Writing_ELA[#Headers],0))=0,"",INDEX(_xlfn.VSTACK(YES_Writing_ELA[#Data],YES_Writing_FLA[#Data]),MATCH($A469,_xlfn.VSTACK(YES_Writing_ELA[Student Number],YES_Writing_FLA[Student Number]),0),MATCH(VLOOKUP(D$7,'Writing Logic'!$J$7:$K$11,2,FALSE)&amp;" - Per "&amp;VLOOKUP($C$4,'Writing Logic'!$G$8:$H$14,2,FALSE),YES_Writing_ELA[#Headers],0)))),"")</f>
        <v/>
      </c>
      <c r="E469" s="138" t="str">
        <f>IFERROR(IF(IF(INDEX(_xlfn.VSTACK(YES_Writing_ELA[#Data],YES_Writing_FLA[#Data]),MATCH($A469,_xlfn.VSTACK(YES_Writing_ELA[Student Number],YES_Writing_FLA[Student Number]),0),MATCH(VLOOKUP(E$7,'Writing Logic'!$J$7:$K$11,2,FALSE)&amp;" - Per "&amp;VLOOKUP($C$4,'Writing Logic'!$G$8:$H$14,2,FALSE),YES_Writing_ELA[#Headers],0))=0,"",INDEX(_xlfn.VSTACK(YES_Writing_ELA[#Data],YES_Writing_FLA[#Data]),MATCH($A469,_xlfn.VSTACK(YES_Writing_ELA[Student Number],YES_Writing_FLA[Student Number]),0),MATCH(VLOOKUP(E$7,'Writing Logic'!$J$7:$K$11,2,FALSE)&amp;" - Per "&amp;VLOOKUP($C$4,'Writing Logic'!$G$8:$H$14,2,FALSE),YES_Writing_ELA[#Headers],0)))="INS",'Writing Logic'!$B$7,IF(INDEX(_xlfn.VSTACK(YES_Writing_ELA[#Data],YES_Writing_FLA[#Data]),MATCH($A469,_xlfn.VSTACK(YES_Writing_ELA[Student Number],YES_Writing_FLA[Student Number]),0),MATCH(VLOOKUP(E$7,'Writing Logic'!$J$7:$K$11,2,FALSE)&amp;" - Per "&amp;VLOOKUP($C$4,'Writing Logic'!$G$8:$H$14,2,FALSE),YES_Writing_ELA[#Headers],0))=0,"",INDEX(_xlfn.VSTACK(YES_Writing_ELA[#Data],YES_Writing_FLA[#Data]),MATCH($A469,_xlfn.VSTACK(YES_Writing_ELA[Student Number],YES_Writing_FLA[Student Number]),0),MATCH(VLOOKUP(E$7,'Writing Logic'!$J$7:$K$11,2,FALSE)&amp;" - Per "&amp;VLOOKUP($C$4,'Writing Logic'!$G$8:$H$14,2,FALSE),YES_Writing_ELA[#Headers],0)))),"")</f>
        <v/>
      </c>
      <c r="F469" s="138" t="str">
        <f>IFERROR(IF(IF(INDEX(_xlfn.VSTACK(YES_Writing_ELA[#Data],YES_Writing_FLA[#Data]),MATCH($A469,_xlfn.VSTACK(YES_Writing_ELA[Student Number],YES_Writing_FLA[Student Number]),0),MATCH(VLOOKUP(F$7,'Writing Logic'!$J$7:$K$11,2,FALSE)&amp;" - Per "&amp;VLOOKUP($C$4,'Writing Logic'!$G$8:$H$14,2,FALSE),YES_Writing_ELA[#Headers],0))=0,"",INDEX(_xlfn.VSTACK(YES_Writing_ELA[#Data],YES_Writing_FLA[#Data]),MATCH($A469,_xlfn.VSTACK(YES_Writing_ELA[Student Number],YES_Writing_FLA[Student Number]),0),MATCH(VLOOKUP(F$7,'Writing Logic'!$J$7:$K$11,2,FALSE)&amp;" - Per "&amp;VLOOKUP($C$4,'Writing Logic'!$G$8:$H$14,2,FALSE),YES_Writing_ELA[#Headers],0)))="INS",'Writing Logic'!$B$7,IF(INDEX(_xlfn.VSTACK(YES_Writing_ELA[#Data],YES_Writing_FLA[#Data]),MATCH($A469,_xlfn.VSTACK(YES_Writing_ELA[Student Number],YES_Writing_FLA[Student Number]),0),MATCH(VLOOKUP(F$7,'Writing Logic'!$J$7:$K$11,2,FALSE)&amp;" - Per "&amp;VLOOKUP($C$4,'Writing Logic'!$G$8:$H$14,2,FALSE),YES_Writing_ELA[#Headers],0))=0,"",INDEX(_xlfn.VSTACK(YES_Writing_ELA[#Data],YES_Writing_FLA[#Data]),MATCH($A469,_xlfn.VSTACK(YES_Writing_ELA[Student Number],YES_Writing_FLA[Student Number]),0),MATCH(VLOOKUP(F$7,'Writing Logic'!$J$7:$K$11,2,FALSE)&amp;" - Per "&amp;VLOOKUP($C$4,'Writing Logic'!$G$8:$H$14,2,FALSE),YES_Writing_ELA[#Headers],0)))),"")</f>
        <v/>
      </c>
      <c r="G469" s="138" t="str">
        <f>IFERROR(IF(IF(INDEX(_xlfn.VSTACK(YES_Writing_ELA[#Data],YES_Writing_FLA[#Data]),MATCH($A469,_xlfn.VSTACK(YES_Writing_ELA[Student Number],YES_Writing_FLA[Student Number]),0),MATCH(VLOOKUP(G$7,'Writing Logic'!$J$7:$K$11,2,FALSE)&amp;" - Per "&amp;VLOOKUP($C$4,'Writing Logic'!$G$8:$H$14,2,FALSE),YES_Writing_ELA[#Headers],0))=0,"",INDEX(_xlfn.VSTACK(YES_Writing_ELA[#Data],YES_Writing_FLA[#Data]),MATCH($A469,_xlfn.VSTACK(YES_Writing_ELA[Student Number],YES_Writing_FLA[Student Number]),0),MATCH(VLOOKUP(G$7,'Writing Logic'!$J$7:$K$11,2,FALSE)&amp;" - Per "&amp;VLOOKUP($C$4,'Writing Logic'!$G$8:$H$14,2,FALSE),YES_Writing_ELA[#Headers],0)))="INS",'Writing Logic'!$B$7,IF(INDEX(_xlfn.VSTACK(YES_Writing_ELA[#Data],YES_Writing_FLA[#Data]),MATCH($A469,_xlfn.VSTACK(YES_Writing_ELA[Student Number],YES_Writing_FLA[Student Number]),0),MATCH(VLOOKUP(G$7,'Writing Logic'!$J$7:$K$11,2,FALSE)&amp;" - Per "&amp;VLOOKUP($C$4,'Writing Logic'!$G$8:$H$14,2,FALSE),YES_Writing_ELA[#Headers],0))=0,"",INDEX(_xlfn.VSTACK(YES_Writing_ELA[#Data],YES_Writing_FLA[#Data]),MATCH($A469,_xlfn.VSTACK(YES_Writing_ELA[Student Number],YES_Writing_FLA[Student Number]),0),MATCH(VLOOKUP(G$7,'Writing Logic'!$J$7:$K$11,2,FALSE)&amp;" - Per "&amp;VLOOKUP($C$4,'Writing Logic'!$G$8:$H$14,2,FALSE),YES_Writing_ELA[#Headers],0)))),"")</f>
        <v/>
      </c>
      <c r="H469" s="138" t="str">
        <f>IFERROR(IF(IF(INDEX(_xlfn.VSTACK(YES_Writing_ELA[#Data],YES_Writing_FLA[#Data]),MATCH($A469,_xlfn.VSTACK(YES_Writing_ELA[Student Number],YES_Writing_FLA[Student Number]),0),MATCH(VLOOKUP(H$7,'Writing Logic'!$J$7:$K$11,2,FALSE)&amp;" - Per "&amp;VLOOKUP($C$4,'Writing Logic'!$G$8:$H$14,2,FALSE),YES_Writing_ELA[#Headers],0))=0,"",INDEX(_xlfn.VSTACK(YES_Writing_ELA[#Data],YES_Writing_FLA[#Data]),MATCH($A469,_xlfn.VSTACK(YES_Writing_ELA[Student Number],YES_Writing_FLA[Student Number]),0),MATCH(VLOOKUP(H$7,'Writing Logic'!$J$7:$K$11,2,FALSE)&amp;" - Per "&amp;VLOOKUP($C$4,'Writing Logic'!$G$8:$H$14,2,FALSE),YES_Writing_ELA[#Headers],0)))="INS",'Writing Logic'!$B$7,IF(INDEX(_xlfn.VSTACK(YES_Writing_ELA[#Data],YES_Writing_FLA[#Data]),MATCH($A469,_xlfn.VSTACK(YES_Writing_ELA[Student Number],YES_Writing_FLA[Student Number]),0),MATCH(VLOOKUP(H$7,'Writing Logic'!$J$7:$K$11,2,FALSE)&amp;" - Per "&amp;VLOOKUP($C$4,'Writing Logic'!$G$8:$H$14,2,FALSE),YES_Writing_ELA[#Headers],0))=0,"",INDEX(_xlfn.VSTACK(YES_Writing_ELA[#Data],YES_Writing_FLA[#Data]),MATCH($A469,_xlfn.VSTACK(YES_Writing_ELA[Student Number],YES_Writing_FLA[Student Number]),0),MATCH(VLOOKUP(H$7,'Writing Logic'!$J$7:$K$11,2,FALSE)&amp;" - Per "&amp;VLOOKUP($C$4,'Writing Logic'!$G$8:$H$14,2,FALSE),YES_Writing_ELA[#Headers],0)))),"")</f>
        <v/>
      </c>
    </row>
    <row r="470" spans="1:8" x14ac:dyDescent="0.25">
      <c r="A470" s="137"/>
      <c r="B470" s="137" t="str">
        <f>IFERROR(INDEX(_xlfn.VSTACK(YES_Writing_ELA[#Data], YES_Writing_FLA[#Data]),MATCH($A470,_xlfn.VSTACK(YES_Writing_ELA[Student Number], YES_Writing_FLA[Student Number]),0),MATCH(B$7,YES_Writing_ELA[#Headers],0)),"")</f>
        <v/>
      </c>
      <c r="C470" s="137" t="str">
        <f>IFERROR(INDEX(_xlfn.VSTACK(YES_Writing_ELA[#Data], YES_Writing_FLA[#Data]),MATCH($A470,_xlfn.VSTACK(YES_Writing_ELA[Student Number], YES_Writing_FLA[Student Number]),0),MATCH(C$7,YES_Writing_ELA[#Headers],0)),"")</f>
        <v/>
      </c>
      <c r="D470" s="138" t="str">
        <f>IFERROR(IF(IF(INDEX(_xlfn.VSTACK(YES_Writing_ELA[#Data],YES_Writing_FLA[#Data]),MATCH($A470,_xlfn.VSTACK(YES_Writing_ELA[Student Number],YES_Writing_FLA[Student Number]),0),MATCH(VLOOKUP(D$7,'Writing Logic'!$J$7:$K$11,2,FALSE)&amp;" - Per "&amp;VLOOKUP($C$4,'Writing Logic'!$G$8:$H$14,2,FALSE),YES_Writing_ELA[#Headers],0))=0,"",INDEX(_xlfn.VSTACK(YES_Writing_ELA[#Data],YES_Writing_FLA[#Data]),MATCH($A470,_xlfn.VSTACK(YES_Writing_ELA[Student Number],YES_Writing_FLA[Student Number]),0),MATCH(VLOOKUP(D$7,'Writing Logic'!$J$7:$K$11,2,FALSE)&amp;" - Per "&amp;VLOOKUP($C$4,'Writing Logic'!$G$8:$H$14,2,FALSE),YES_Writing_ELA[#Headers],0)))="INS",'Writing Logic'!$B$7,IF(INDEX(_xlfn.VSTACK(YES_Writing_ELA[#Data],YES_Writing_FLA[#Data]),MATCH($A470,_xlfn.VSTACK(YES_Writing_ELA[Student Number],YES_Writing_FLA[Student Number]),0),MATCH(VLOOKUP(D$7,'Writing Logic'!$J$7:$K$11,2,FALSE)&amp;" - Per "&amp;VLOOKUP($C$4,'Writing Logic'!$G$8:$H$14,2,FALSE),YES_Writing_ELA[#Headers],0))=0,"",INDEX(_xlfn.VSTACK(YES_Writing_ELA[#Data],YES_Writing_FLA[#Data]),MATCH($A470,_xlfn.VSTACK(YES_Writing_ELA[Student Number],YES_Writing_FLA[Student Number]),0),MATCH(VLOOKUP(D$7,'Writing Logic'!$J$7:$K$11,2,FALSE)&amp;" - Per "&amp;VLOOKUP($C$4,'Writing Logic'!$G$8:$H$14,2,FALSE),YES_Writing_ELA[#Headers],0)))),"")</f>
        <v/>
      </c>
      <c r="E470" s="138" t="str">
        <f>IFERROR(IF(IF(INDEX(_xlfn.VSTACK(YES_Writing_ELA[#Data],YES_Writing_FLA[#Data]),MATCH($A470,_xlfn.VSTACK(YES_Writing_ELA[Student Number],YES_Writing_FLA[Student Number]),0),MATCH(VLOOKUP(E$7,'Writing Logic'!$J$7:$K$11,2,FALSE)&amp;" - Per "&amp;VLOOKUP($C$4,'Writing Logic'!$G$8:$H$14,2,FALSE),YES_Writing_ELA[#Headers],0))=0,"",INDEX(_xlfn.VSTACK(YES_Writing_ELA[#Data],YES_Writing_FLA[#Data]),MATCH($A470,_xlfn.VSTACK(YES_Writing_ELA[Student Number],YES_Writing_FLA[Student Number]),0),MATCH(VLOOKUP(E$7,'Writing Logic'!$J$7:$K$11,2,FALSE)&amp;" - Per "&amp;VLOOKUP($C$4,'Writing Logic'!$G$8:$H$14,2,FALSE),YES_Writing_ELA[#Headers],0)))="INS",'Writing Logic'!$B$7,IF(INDEX(_xlfn.VSTACK(YES_Writing_ELA[#Data],YES_Writing_FLA[#Data]),MATCH($A470,_xlfn.VSTACK(YES_Writing_ELA[Student Number],YES_Writing_FLA[Student Number]),0),MATCH(VLOOKUP(E$7,'Writing Logic'!$J$7:$K$11,2,FALSE)&amp;" - Per "&amp;VLOOKUP($C$4,'Writing Logic'!$G$8:$H$14,2,FALSE),YES_Writing_ELA[#Headers],0))=0,"",INDEX(_xlfn.VSTACK(YES_Writing_ELA[#Data],YES_Writing_FLA[#Data]),MATCH($A470,_xlfn.VSTACK(YES_Writing_ELA[Student Number],YES_Writing_FLA[Student Number]),0),MATCH(VLOOKUP(E$7,'Writing Logic'!$J$7:$K$11,2,FALSE)&amp;" - Per "&amp;VLOOKUP($C$4,'Writing Logic'!$G$8:$H$14,2,FALSE),YES_Writing_ELA[#Headers],0)))),"")</f>
        <v/>
      </c>
      <c r="F470" s="138" t="str">
        <f>IFERROR(IF(IF(INDEX(_xlfn.VSTACK(YES_Writing_ELA[#Data],YES_Writing_FLA[#Data]),MATCH($A470,_xlfn.VSTACK(YES_Writing_ELA[Student Number],YES_Writing_FLA[Student Number]),0),MATCH(VLOOKUP(F$7,'Writing Logic'!$J$7:$K$11,2,FALSE)&amp;" - Per "&amp;VLOOKUP($C$4,'Writing Logic'!$G$8:$H$14,2,FALSE),YES_Writing_ELA[#Headers],0))=0,"",INDEX(_xlfn.VSTACK(YES_Writing_ELA[#Data],YES_Writing_FLA[#Data]),MATCH($A470,_xlfn.VSTACK(YES_Writing_ELA[Student Number],YES_Writing_FLA[Student Number]),0),MATCH(VLOOKUP(F$7,'Writing Logic'!$J$7:$K$11,2,FALSE)&amp;" - Per "&amp;VLOOKUP($C$4,'Writing Logic'!$G$8:$H$14,2,FALSE),YES_Writing_ELA[#Headers],0)))="INS",'Writing Logic'!$B$7,IF(INDEX(_xlfn.VSTACK(YES_Writing_ELA[#Data],YES_Writing_FLA[#Data]),MATCH($A470,_xlfn.VSTACK(YES_Writing_ELA[Student Number],YES_Writing_FLA[Student Number]),0),MATCH(VLOOKUP(F$7,'Writing Logic'!$J$7:$K$11,2,FALSE)&amp;" - Per "&amp;VLOOKUP($C$4,'Writing Logic'!$G$8:$H$14,2,FALSE),YES_Writing_ELA[#Headers],0))=0,"",INDEX(_xlfn.VSTACK(YES_Writing_ELA[#Data],YES_Writing_FLA[#Data]),MATCH($A470,_xlfn.VSTACK(YES_Writing_ELA[Student Number],YES_Writing_FLA[Student Number]),0),MATCH(VLOOKUP(F$7,'Writing Logic'!$J$7:$K$11,2,FALSE)&amp;" - Per "&amp;VLOOKUP($C$4,'Writing Logic'!$G$8:$H$14,2,FALSE),YES_Writing_ELA[#Headers],0)))),"")</f>
        <v/>
      </c>
      <c r="G470" s="138" t="str">
        <f>IFERROR(IF(IF(INDEX(_xlfn.VSTACK(YES_Writing_ELA[#Data],YES_Writing_FLA[#Data]),MATCH($A470,_xlfn.VSTACK(YES_Writing_ELA[Student Number],YES_Writing_FLA[Student Number]),0),MATCH(VLOOKUP(G$7,'Writing Logic'!$J$7:$K$11,2,FALSE)&amp;" - Per "&amp;VLOOKUP($C$4,'Writing Logic'!$G$8:$H$14,2,FALSE),YES_Writing_ELA[#Headers],0))=0,"",INDEX(_xlfn.VSTACK(YES_Writing_ELA[#Data],YES_Writing_FLA[#Data]),MATCH($A470,_xlfn.VSTACK(YES_Writing_ELA[Student Number],YES_Writing_FLA[Student Number]),0),MATCH(VLOOKUP(G$7,'Writing Logic'!$J$7:$K$11,2,FALSE)&amp;" - Per "&amp;VLOOKUP($C$4,'Writing Logic'!$G$8:$H$14,2,FALSE),YES_Writing_ELA[#Headers],0)))="INS",'Writing Logic'!$B$7,IF(INDEX(_xlfn.VSTACK(YES_Writing_ELA[#Data],YES_Writing_FLA[#Data]),MATCH($A470,_xlfn.VSTACK(YES_Writing_ELA[Student Number],YES_Writing_FLA[Student Number]),0),MATCH(VLOOKUP(G$7,'Writing Logic'!$J$7:$K$11,2,FALSE)&amp;" - Per "&amp;VLOOKUP($C$4,'Writing Logic'!$G$8:$H$14,2,FALSE),YES_Writing_ELA[#Headers],0))=0,"",INDEX(_xlfn.VSTACK(YES_Writing_ELA[#Data],YES_Writing_FLA[#Data]),MATCH($A470,_xlfn.VSTACK(YES_Writing_ELA[Student Number],YES_Writing_FLA[Student Number]),0),MATCH(VLOOKUP(G$7,'Writing Logic'!$J$7:$K$11,2,FALSE)&amp;" - Per "&amp;VLOOKUP($C$4,'Writing Logic'!$G$8:$H$14,2,FALSE),YES_Writing_ELA[#Headers],0)))),"")</f>
        <v/>
      </c>
      <c r="H470" s="138" t="str">
        <f>IFERROR(IF(IF(INDEX(_xlfn.VSTACK(YES_Writing_ELA[#Data],YES_Writing_FLA[#Data]),MATCH($A470,_xlfn.VSTACK(YES_Writing_ELA[Student Number],YES_Writing_FLA[Student Number]),0),MATCH(VLOOKUP(H$7,'Writing Logic'!$J$7:$K$11,2,FALSE)&amp;" - Per "&amp;VLOOKUP($C$4,'Writing Logic'!$G$8:$H$14,2,FALSE),YES_Writing_ELA[#Headers],0))=0,"",INDEX(_xlfn.VSTACK(YES_Writing_ELA[#Data],YES_Writing_FLA[#Data]),MATCH($A470,_xlfn.VSTACK(YES_Writing_ELA[Student Number],YES_Writing_FLA[Student Number]),0),MATCH(VLOOKUP(H$7,'Writing Logic'!$J$7:$K$11,2,FALSE)&amp;" - Per "&amp;VLOOKUP($C$4,'Writing Logic'!$G$8:$H$14,2,FALSE),YES_Writing_ELA[#Headers],0)))="INS",'Writing Logic'!$B$7,IF(INDEX(_xlfn.VSTACK(YES_Writing_ELA[#Data],YES_Writing_FLA[#Data]),MATCH($A470,_xlfn.VSTACK(YES_Writing_ELA[Student Number],YES_Writing_FLA[Student Number]),0),MATCH(VLOOKUP(H$7,'Writing Logic'!$J$7:$K$11,2,FALSE)&amp;" - Per "&amp;VLOOKUP($C$4,'Writing Logic'!$G$8:$H$14,2,FALSE),YES_Writing_ELA[#Headers],0))=0,"",INDEX(_xlfn.VSTACK(YES_Writing_ELA[#Data],YES_Writing_FLA[#Data]),MATCH($A470,_xlfn.VSTACK(YES_Writing_ELA[Student Number],YES_Writing_FLA[Student Number]),0),MATCH(VLOOKUP(H$7,'Writing Logic'!$J$7:$K$11,2,FALSE)&amp;" - Per "&amp;VLOOKUP($C$4,'Writing Logic'!$G$8:$H$14,2,FALSE),YES_Writing_ELA[#Headers],0)))),"")</f>
        <v/>
      </c>
    </row>
    <row r="471" spans="1:8" x14ac:dyDescent="0.25">
      <c r="A471" s="137"/>
      <c r="B471" s="137" t="str">
        <f>IFERROR(INDEX(_xlfn.VSTACK(YES_Writing_ELA[#Data], YES_Writing_FLA[#Data]),MATCH($A471,_xlfn.VSTACK(YES_Writing_ELA[Student Number], YES_Writing_FLA[Student Number]),0),MATCH(B$7,YES_Writing_ELA[#Headers],0)),"")</f>
        <v/>
      </c>
      <c r="C471" s="137" t="str">
        <f>IFERROR(INDEX(_xlfn.VSTACK(YES_Writing_ELA[#Data], YES_Writing_FLA[#Data]),MATCH($A471,_xlfn.VSTACK(YES_Writing_ELA[Student Number], YES_Writing_FLA[Student Number]),0),MATCH(C$7,YES_Writing_ELA[#Headers],0)),"")</f>
        <v/>
      </c>
      <c r="D471" s="138" t="str">
        <f>IFERROR(IF(IF(INDEX(_xlfn.VSTACK(YES_Writing_ELA[#Data],YES_Writing_FLA[#Data]),MATCH($A471,_xlfn.VSTACK(YES_Writing_ELA[Student Number],YES_Writing_FLA[Student Number]),0),MATCH(VLOOKUP(D$7,'Writing Logic'!$J$7:$K$11,2,FALSE)&amp;" - Per "&amp;VLOOKUP($C$4,'Writing Logic'!$G$8:$H$14,2,FALSE),YES_Writing_ELA[#Headers],0))=0,"",INDEX(_xlfn.VSTACK(YES_Writing_ELA[#Data],YES_Writing_FLA[#Data]),MATCH($A471,_xlfn.VSTACK(YES_Writing_ELA[Student Number],YES_Writing_FLA[Student Number]),0),MATCH(VLOOKUP(D$7,'Writing Logic'!$J$7:$K$11,2,FALSE)&amp;" - Per "&amp;VLOOKUP($C$4,'Writing Logic'!$G$8:$H$14,2,FALSE),YES_Writing_ELA[#Headers],0)))="INS",'Writing Logic'!$B$7,IF(INDEX(_xlfn.VSTACK(YES_Writing_ELA[#Data],YES_Writing_FLA[#Data]),MATCH($A471,_xlfn.VSTACK(YES_Writing_ELA[Student Number],YES_Writing_FLA[Student Number]),0),MATCH(VLOOKUP(D$7,'Writing Logic'!$J$7:$K$11,2,FALSE)&amp;" - Per "&amp;VLOOKUP($C$4,'Writing Logic'!$G$8:$H$14,2,FALSE),YES_Writing_ELA[#Headers],0))=0,"",INDEX(_xlfn.VSTACK(YES_Writing_ELA[#Data],YES_Writing_FLA[#Data]),MATCH($A471,_xlfn.VSTACK(YES_Writing_ELA[Student Number],YES_Writing_FLA[Student Number]),0),MATCH(VLOOKUP(D$7,'Writing Logic'!$J$7:$K$11,2,FALSE)&amp;" - Per "&amp;VLOOKUP($C$4,'Writing Logic'!$G$8:$H$14,2,FALSE),YES_Writing_ELA[#Headers],0)))),"")</f>
        <v/>
      </c>
      <c r="E471" s="138" t="str">
        <f>IFERROR(IF(IF(INDEX(_xlfn.VSTACK(YES_Writing_ELA[#Data],YES_Writing_FLA[#Data]),MATCH($A471,_xlfn.VSTACK(YES_Writing_ELA[Student Number],YES_Writing_FLA[Student Number]),0),MATCH(VLOOKUP(E$7,'Writing Logic'!$J$7:$K$11,2,FALSE)&amp;" - Per "&amp;VLOOKUP($C$4,'Writing Logic'!$G$8:$H$14,2,FALSE),YES_Writing_ELA[#Headers],0))=0,"",INDEX(_xlfn.VSTACK(YES_Writing_ELA[#Data],YES_Writing_FLA[#Data]),MATCH($A471,_xlfn.VSTACK(YES_Writing_ELA[Student Number],YES_Writing_FLA[Student Number]),0),MATCH(VLOOKUP(E$7,'Writing Logic'!$J$7:$K$11,2,FALSE)&amp;" - Per "&amp;VLOOKUP($C$4,'Writing Logic'!$G$8:$H$14,2,FALSE),YES_Writing_ELA[#Headers],0)))="INS",'Writing Logic'!$B$7,IF(INDEX(_xlfn.VSTACK(YES_Writing_ELA[#Data],YES_Writing_FLA[#Data]),MATCH($A471,_xlfn.VSTACK(YES_Writing_ELA[Student Number],YES_Writing_FLA[Student Number]),0),MATCH(VLOOKUP(E$7,'Writing Logic'!$J$7:$K$11,2,FALSE)&amp;" - Per "&amp;VLOOKUP($C$4,'Writing Logic'!$G$8:$H$14,2,FALSE),YES_Writing_ELA[#Headers],0))=0,"",INDEX(_xlfn.VSTACK(YES_Writing_ELA[#Data],YES_Writing_FLA[#Data]),MATCH($A471,_xlfn.VSTACK(YES_Writing_ELA[Student Number],YES_Writing_FLA[Student Number]),0),MATCH(VLOOKUP(E$7,'Writing Logic'!$J$7:$K$11,2,FALSE)&amp;" - Per "&amp;VLOOKUP($C$4,'Writing Logic'!$G$8:$H$14,2,FALSE),YES_Writing_ELA[#Headers],0)))),"")</f>
        <v/>
      </c>
      <c r="F471" s="138" t="str">
        <f>IFERROR(IF(IF(INDEX(_xlfn.VSTACK(YES_Writing_ELA[#Data],YES_Writing_FLA[#Data]),MATCH($A471,_xlfn.VSTACK(YES_Writing_ELA[Student Number],YES_Writing_FLA[Student Number]),0),MATCH(VLOOKUP(F$7,'Writing Logic'!$J$7:$K$11,2,FALSE)&amp;" - Per "&amp;VLOOKUP($C$4,'Writing Logic'!$G$8:$H$14,2,FALSE),YES_Writing_ELA[#Headers],0))=0,"",INDEX(_xlfn.VSTACK(YES_Writing_ELA[#Data],YES_Writing_FLA[#Data]),MATCH($A471,_xlfn.VSTACK(YES_Writing_ELA[Student Number],YES_Writing_FLA[Student Number]),0),MATCH(VLOOKUP(F$7,'Writing Logic'!$J$7:$K$11,2,FALSE)&amp;" - Per "&amp;VLOOKUP($C$4,'Writing Logic'!$G$8:$H$14,2,FALSE),YES_Writing_ELA[#Headers],0)))="INS",'Writing Logic'!$B$7,IF(INDEX(_xlfn.VSTACK(YES_Writing_ELA[#Data],YES_Writing_FLA[#Data]),MATCH($A471,_xlfn.VSTACK(YES_Writing_ELA[Student Number],YES_Writing_FLA[Student Number]),0),MATCH(VLOOKUP(F$7,'Writing Logic'!$J$7:$K$11,2,FALSE)&amp;" - Per "&amp;VLOOKUP($C$4,'Writing Logic'!$G$8:$H$14,2,FALSE),YES_Writing_ELA[#Headers],0))=0,"",INDEX(_xlfn.VSTACK(YES_Writing_ELA[#Data],YES_Writing_FLA[#Data]),MATCH($A471,_xlfn.VSTACK(YES_Writing_ELA[Student Number],YES_Writing_FLA[Student Number]),0),MATCH(VLOOKUP(F$7,'Writing Logic'!$J$7:$K$11,2,FALSE)&amp;" - Per "&amp;VLOOKUP($C$4,'Writing Logic'!$G$8:$H$14,2,FALSE),YES_Writing_ELA[#Headers],0)))),"")</f>
        <v/>
      </c>
      <c r="G471" s="138" t="str">
        <f>IFERROR(IF(IF(INDEX(_xlfn.VSTACK(YES_Writing_ELA[#Data],YES_Writing_FLA[#Data]),MATCH($A471,_xlfn.VSTACK(YES_Writing_ELA[Student Number],YES_Writing_FLA[Student Number]),0),MATCH(VLOOKUP(G$7,'Writing Logic'!$J$7:$K$11,2,FALSE)&amp;" - Per "&amp;VLOOKUP($C$4,'Writing Logic'!$G$8:$H$14,2,FALSE),YES_Writing_ELA[#Headers],0))=0,"",INDEX(_xlfn.VSTACK(YES_Writing_ELA[#Data],YES_Writing_FLA[#Data]),MATCH($A471,_xlfn.VSTACK(YES_Writing_ELA[Student Number],YES_Writing_FLA[Student Number]),0),MATCH(VLOOKUP(G$7,'Writing Logic'!$J$7:$K$11,2,FALSE)&amp;" - Per "&amp;VLOOKUP($C$4,'Writing Logic'!$G$8:$H$14,2,FALSE),YES_Writing_ELA[#Headers],0)))="INS",'Writing Logic'!$B$7,IF(INDEX(_xlfn.VSTACK(YES_Writing_ELA[#Data],YES_Writing_FLA[#Data]),MATCH($A471,_xlfn.VSTACK(YES_Writing_ELA[Student Number],YES_Writing_FLA[Student Number]),0),MATCH(VLOOKUP(G$7,'Writing Logic'!$J$7:$K$11,2,FALSE)&amp;" - Per "&amp;VLOOKUP($C$4,'Writing Logic'!$G$8:$H$14,2,FALSE),YES_Writing_ELA[#Headers],0))=0,"",INDEX(_xlfn.VSTACK(YES_Writing_ELA[#Data],YES_Writing_FLA[#Data]),MATCH($A471,_xlfn.VSTACK(YES_Writing_ELA[Student Number],YES_Writing_FLA[Student Number]),0),MATCH(VLOOKUP(G$7,'Writing Logic'!$J$7:$K$11,2,FALSE)&amp;" - Per "&amp;VLOOKUP($C$4,'Writing Logic'!$G$8:$H$14,2,FALSE),YES_Writing_ELA[#Headers],0)))),"")</f>
        <v/>
      </c>
      <c r="H471" s="138" t="str">
        <f>IFERROR(IF(IF(INDEX(_xlfn.VSTACK(YES_Writing_ELA[#Data],YES_Writing_FLA[#Data]),MATCH($A471,_xlfn.VSTACK(YES_Writing_ELA[Student Number],YES_Writing_FLA[Student Number]),0),MATCH(VLOOKUP(H$7,'Writing Logic'!$J$7:$K$11,2,FALSE)&amp;" - Per "&amp;VLOOKUP($C$4,'Writing Logic'!$G$8:$H$14,2,FALSE),YES_Writing_ELA[#Headers],0))=0,"",INDEX(_xlfn.VSTACK(YES_Writing_ELA[#Data],YES_Writing_FLA[#Data]),MATCH($A471,_xlfn.VSTACK(YES_Writing_ELA[Student Number],YES_Writing_FLA[Student Number]),0),MATCH(VLOOKUP(H$7,'Writing Logic'!$J$7:$K$11,2,FALSE)&amp;" - Per "&amp;VLOOKUP($C$4,'Writing Logic'!$G$8:$H$14,2,FALSE),YES_Writing_ELA[#Headers],0)))="INS",'Writing Logic'!$B$7,IF(INDEX(_xlfn.VSTACK(YES_Writing_ELA[#Data],YES_Writing_FLA[#Data]),MATCH($A471,_xlfn.VSTACK(YES_Writing_ELA[Student Number],YES_Writing_FLA[Student Number]),0),MATCH(VLOOKUP(H$7,'Writing Logic'!$J$7:$K$11,2,FALSE)&amp;" - Per "&amp;VLOOKUP($C$4,'Writing Logic'!$G$8:$H$14,2,FALSE),YES_Writing_ELA[#Headers],0))=0,"",INDEX(_xlfn.VSTACK(YES_Writing_ELA[#Data],YES_Writing_FLA[#Data]),MATCH($A471,_xlfn.VSTACK(YES_Writing_ELA[Student Number],YES_Writing_FLA[Student Number]),0),MATCH(VLOOKUP(H$7,'Writing Logic'!$J$7:$K$11,2,FALSE)&amp;" - Per "&amp;VLOOKUP($C$4,'Writing Logic'!$G$8:$H$14,2,FALSE),YES_Writing_ELA[#Headers],0)))),"")</f>
        <v/>
      </c>
    </row>
    <row r="472" spans="1:8" x14ac:dyDescent="0.25">
      <c r="A472" s="137"/>
      <c r="B472" s="137" t="str">
        <f>IFERROR(INDEX(_xlfn.VSTACK(YES_Writing_ELA[#Data], YES_Writing_FLA[#Data]),MATCH($A472,_xlfn.VSTACK(YES_Writing_ELA[Student Number], YES_Writing_FLA[Student Number]),0),MATCH(B$7,YES_Writing_ELA[#Headers],0)),"")</f>
        <v/>
      </c>
      <c r="C472" s="137" t="str">
        <f>IFERROR(INDEX(_xlfn.VSTACK(YES_Writing_ELA[#Data], YES_Writing_FLA[#Data]),MATCH($A472,_xlfn.VSTACK(YES_Writing_ELA[Student Number], YES_Writing_FLA[Student Number]),0),MATCH(C$7,YES_Writing_ELA[#Headers],0)),"")</f>
        <v/>
      </c>
      <c r="D472" s="138" t="str">
        <f>IFERROR(IF(IF(INDEX(_xlfn.VSTACK(YES_Writing_ELA[#Data],YES_Writing_FLA[#Data]),MATCH($A472,_xlfn.VSTACK(YES_Writing_ELA[Student Number],YES_Writing_FLA[Student Number]),0),MATCH(VLOOKUP(D$7,'Writing Logic'!$J$7:$K$11,2,FALSE)&amp;" - Per "&amp;VLOOKUP($C$4,'Writing Logic'!$G$8:$H$14,2,FALSE),YES_Writing_ELA[#Headers],0))=0,"",INDEX(_xlfn.VSTACK(YES_Writing_ELA[#Data],YES_Writing_FLA[#Data]),MATCH($A472,_xlfn.VSTACK(YES_Writing_ELA[Student Number],YES_Writing_FLA[Student Number]),0),MATCH(VLOOKUP(D$7,'Writing Logic'!$J$7:$K$11,2,FALSE)&amp;" - Per "&amp;VLOOKUP($C$4,'Writing Logic'!$G$8:$H$14,2,FALSE),YES_Writing_ELA[#Headers],0)))="INS",'Writing Logic'!$B$7,IF(INDEX(_xlfn.VSTACK(YES_Writing_ELA[#Data],YES_Writing_FLA[#Data]),MATCH($A472,_xlfn.VSTACK(YES_Writing_ELA[Student Number],YES_Writing_FLA[Student Number]),0),MATCH(VLOOKUP(D$7,'Writing Logic'!$J$7:$K$11,2,FALSE)&amp;" - Per "&amp;VLOOKUP($C$4,'Writing Logic'!$G$8:$H$14,2,FALSE),YES_Writing_ELA[#Headers],0))=0,"",INDEX(_xlfn.VSTACK(YES_Writing_ELA[#Data],YES_Writing_FLA[#Data]),MATCH($A472,_xlfn.VSTACK(YES_Writing_ELA[Student Number],YES_Writing_FLA[Student Number]),0),MATCH(VLOOKUP(D$7,'Writing Logic'!$J$7:$K$11,2,FALSE)&amp;" - Per "&amp;VLOOKUP($C$4,'Writing Logic'!$G$8:$H$14,2,FALSE),YES_Writing_ELA[#Headers],0)))),"")</f>
        <v/>
      </c>
      <c r="E472" s="138" t="str">
        <f>IFERROR(IF(IF(INDEX(_xlfn.VSTACK(YES_Writing_ELA[#Data],YES_Writing_FLA[#Data]),MATCH($A472,_xlfn.VSTACK(YES_Writing_ELA[Student Number],YES_Writing_FLA[Student Number]),0),MATCH(VLOOKUP(E$7,'Writing Logic'!$J$7:$K$11,2,FALSE)&amp;" - Per "&amp;VLOOKUP($C$4,'Writing Logic'!$G$8:$H$14,2,FALSE),YES_Writing_ELA[#Headers],0))=0,"",INDEX(_xlfn.VSTACK(YES_Writing_ELA[#Data],YES_Writing_FLA[#Data]),MATCH($A472,_xlfn.VSTACK(YES_Writing_ELA[Student Number],YES_Writing_FLA[Student Number]),0),MATCH(VLOOKUP(E$7,'Writing Logic'!$J$7:$K$11,2,FALSE)&amp;" - Per "&amp;VLOOKUP($C$4,'Writing Logic'!$G$8:$H$14,2,FALSE),YES_Writing_ELA[#Headers],0)))="INS",'Writing Logic'!$B$7,IF(INDEX(_xlfn.VSTACK(YES_Writing_ELA[#Data],YES_Writing_FLA[#Data]),MATCH($A472,_xlfn.VSTACK(YES_Writing_ELA[Student Number],YES_Writing_FLA[Student Number]),0),MATCH(VLOOKUP(E$7,'Writing Logic'!$J$7:$K$11,2,FALSE)&amp;" - Per "&amp;VLOOKUP($C$4,'Writing Logic'!$G$8:$H$14,2,FALSE),YES_Writing_ELA[#Headers],0))=0,"",INDEX(_xlfn.VSTACK(YES_Writing_ELA[#Data],YES_Writing_FLA[#Data]),MATCH($A472,_xlfn.VSTACK(YES_Writing_ELA[Student Number],YES_Writing_FLA[Student Number]),0),MATCH(VLOOKUP(E$7,'Writing Logic'!$J$7:$K$11,2,FALSE)&amp;" - Per "&amp;VLOOKUP($C$4,'Writing Logic'!$G$8:$H$14,2,FALSE),YES_Writing_ELA[#Headers],0)))),"")</f>
        <v/>
      </c>
      <c r="F472" s="138" t="str">
        <f>IFERROR(IF(IF(INDEX(_xlfn.VSTACK(YES_Writing_ELA[#Data],YES_Writing_FLA[#Data]),MATCH($A472,_xlfn.VSTACK(YES_Writing_ELA[Student Number],YES_Writing_FLA[Student Number]),0),MATCH(VLOOKUP(F$7,'Writing Logic'!$J$7:$K$11,2,FALSE)&amp;" - Per "&amp;VLOOKUP($C$4,'Writing Logic'!$G$8:$H$14,2,FALSE),YES_Writing_ELA[#Headers],0))=0,"",INDEX(_xlfn.VSTACK(YES_Writing_ELA[#Data],YES_Writing_FLA[#Data]),MATCH($A472,_xlfn.VSTACK(YES_Writing_ELA[Student Number],YES_Writing_FLA[Student Number]),0),MATCH(VLOOKUP(F$7,'Writing Logic'!$J$7:$K$11,2,FALSE)&amp;" - Per "&amp;VLOOKUP($C$4,'Writing Logic'!$G$8:$H$14,2,FALSE),YES_Writing_ELA[#Headers],0)))="INS",'Writing Logic'!$B$7,IF(INDEX(_xlfn.VSTACK(YES_Writing_ELA[#Data],YES_Writing_FLA[#Data]),MATCH($A472,_xlfn.VSTACK(YES_Writing_ELA[Student Number],YES_Writing_FLA[Student Number]),0),MATCH(VLOOKUP(F$7,'Writing Logic'!$J$7:$K$11,2,FALSE)&amp;" - Per "&amp;VLOOKUP($C$4,'Writing Logic'!$G$8:$H$14,2,FALSE),YES_Writing_ELA[#Headers],0))=0,"",INDEX(_xlfn.VSTACK(YES_Writing_ELA[#Data],YES_Writing_FLA[#Data]),MATCH($A472,_xlfn.VSTACK(YES_Writing_ELA[Student Number],YES_Writing_FLA[Student Number]),0),MATCH(VLOOKUP(F$7,'Writing Logic'!$J$7:$K$11,2,FALSE)&amp;" - Per "&amp;VLOOKUP($C$4,'Writing Logic'!$G$8:$H$14,2,FALSE),YES_Writing_ELA[#Headers],0)))),"")</f>
        <v/>
      </c>
      <c r="G472" s="138" t="str">
        <f>IFERROR(IF(IF(INDEX(_xlfn.VSTACK(YES_Writing_ELA[#Data],YES_Writing_FLA[#Data]),MATCH($A472,_xlfn.VSTACK(YES_Writing_ELA[Student Number],YES_Writing_FLA[Student Number]),0),MATCH(VLOOKUP(G$7,'Writing Logic'!$J$7:$K$11,2,FALSE)&amp;" - Per "&amp;VLOOKUP($C$4,'Writing Logic'!$G$8:$H$14,2,FALSE),YES_Writing_ELA[#Headers],0))=0,"",INDEX(_xlfn.VSTACK(YES_Writing_ELA[#Data],YES_Writing_FLA[#Data]),MATCH($A472,_xlfn.VSTACK(YES_Writing_ELA[Student Number],YES_Writing_FLA[Student Number]),0),MATCH(VLOOKUP(G$7,'Writing Logic'!$J$7:$K$11,2,FALSE)&amp;" - Per "&amp;VLOOKUP($C$4,'Writing Logic'!$G$8:$H$14,2,FALSE),YES_Writing_ELA[#Headers],0)))="INS",'Writing Logic'!$B$7,IF(INDEX(_xlfn.VSTACK(YES_Writing_ELA[#Data],YES_Writing_FLA[#Data]),MATCH($A472,_xlfn.VSTACK(YES_Writing_ELA[Student Number],YES_Writing_FLA[Student Number]),0),MATCH(VLOOKUP(G$7,'Writing Logic'!$J$7:$K$11,2,FALSE)&amp;" - Per "&amp;VLOOKUP($C$4,'Writing Logic'!$G$8:$H$14,2,FALSE),YES_Writing_ELA[#Headers],0))=0,"",INDEX(_xlfn.VSTACK(YES_Writing_ELA[#Data],YES_Writing_FLA[#Data]),MATCH($A472,_xlfn.VSTACK(YES_Writing_ELA[Student Number],YES_Writing_FLA[Student Number]),0),MATCH(VLOOKUP(G$7,'Writing Logic'!$J$7:$K$11,2,FALSE)&amp;" - Per "&amp;VLOOKUP($C$4,'Writing Logic'!$G$8:$H$14,2,FALSE),YES_Writing_ELA[#Headers],0)))),"")</f>
        <v/>
      </c>
      <c r="H472" s="138" t="str">
        <f>IFERROR(IF(IF(INDEX(_xlfn.VSTACK(YES_Writing_ELA[#Data],YES_Writing_FLA[#Data]),MATCH($A472,_xlfn.VSTACK(YES_Writing_ELA[Student Number],YES_Writing_FLA[Student Number]),0),MATCH(VLOOKUP(H$7,'Writing Logic'!$J$7:$K$11,2,FALSE)&amp;" - Per "&amp;VLOOKUP($C$4,'Writing Logic'!$G$8:$H$14,2,FALSE),YES_Writing_ELA[#Headers],0))=0,"",INDEX(_xlfn.VSTACK(YES_Writing_ELA[#Data],YES_Writing_FLA[#Data]),MATCH($A472,_xlfn.VSTACK(YES_Writing_ELA[Student Number],YES_Writing_FLA[Student Number]),0),MATCH(VLOOKUP(H$7,'Writing Logic'!$J$7:$K$11,2,FALSE)&amp;" - Per "&amp;VLOOKUP($C$4,'Writing Logic'!$G$8:$H$14,2,FALSE),YES_Writing_ELA[#Headers],0)))="INS",'Writing Logic'!$B$7,IF(INDEX(_xlfn.VSTACK(YES_Writing_ELA[#Data],YES_Writing_FLA[#Data]),MATCH($A472,_xlfn.VSTACK(YES_Writing_ELA[Student Number],YES_Writing_FLA[Student Number]),0),MATCH(VLOOKUP(H$7,'Writing Logic'!$J$7:$K$11,2,FALSE)&amp;" - Per "&amp;VLOOKUP($C$4,'Writing Logic'!$G$8:$H$14,2,FALSE),YES_Writing_ELA[#Headers],0))=0,"",INDEX(_xlfn.VSTACK(YES_Writing_ELA[#Data],YES_Writing_FLA[#Data]),MATCH($A472,_xlfn.VSTACK(YES_Writing_ELA[Student Number],YES_Writing_FLA[Student Number]),0),MATCH(VLOOKUP(H$7,'Writing Logic'!$J$7:$K$11,2,FALSE)&amp;" - Per "&amp;VLOOKUP($C$4,'Writing Logic'!$G$8:$H$14,2,FALSE),YES_Writing_ELA[#Headers],0)))),"")</f>
        <v/>
      </c>
    </row>
    <row r="473" spans="1:8" x14ac:dyDescent="0.25">
      <c r="A473" s="137"/>
      <c r="B473" s="137" t="str">
        <f>IFERROR(INDEX(_xlfn.VSTACK(YES_Writing_ELA[#Data], YES_Writing_FLA[#Data]),MATCH($A473,_xlfn.VSTACK(YES_Writing_ELA[Student Number], YES_Writing_FLA[Student Number]),0),MATCH(B$7,YES_Writing_ELA[#Headers],0)),"")</f>
        <v/>
      </c>
      <c r="C473" s="137" t="str">
        <f>IFERROR(INDEX(_xlfn.VSTACK(YES_Writing_ELA[#Data], YES_Writing_FLA[#Data]),MATCH($A473,_xlfn.VSTACK(YES_Writing_ELA[Student Number], YES_Writing_FLA[Student Number]),0),MATCH(C$7,YES_Writing_ELA[#Headers],0)),"")</f>
        <v/>
      </c>
      <c r="D473" s="138" t="str">
        <f>IFERROR(IF(IF(INDEX(_xlfn.VSTACK(YES_Writing_ELA[#Data],YES_Writing_FLA[#Data]),MATCH($A473,_xlfn.VSTACK(YES_Writing_ELA[Student Number],YES_Writing_FLA[Student Number]),0),MATCH(VLOOKUP(D$7,'Writing Logic'!$J$7:$K$11,2,FALSE)&amp;" - Per "&amp;VLOOKUP($C$4,'Writing Logic'!$G$8:$H$14,2,FALSE),YES_Writing_ELA[#Headers],0))=0,"",INDEX(_xlfn.VSTACK(YES_Writing_ELA[#Data],YES_Writing_FLA[#Data]),MATCH($A473,_xlfn.VSTACK(YES_Writing_ELA[Student Number],YES_Writing_FLA[Student Number]),0),MATCH(VLOOKUP(D$7,'Writing Logic'!$J$7:$K$11,2,FALSE)&amp;" - Per "&amp;VLOOKUP($C$4,'Writing Logic'!$G$8:$H$14,2,FALSE),YES_Writing_ELA[#Headers],0)))="INS",'Writing Logic'!$B$7,IF(INDEX(_xlfn.VSTACK(YES_Writing_ELA[#Data],YES_Writing_FLA[#Data]),MATCH($A473,_xlfn.VSTACK(YES_Writing_ELA[Student Number],YES_Writing_FLA[Student Number]),0),MATCH(VLOOKUP(D$7,'Writing Logic'!$J$7:$K$11,2,FALSE)&amp;" - Per "&amp;VLOOKUP($C$4,'Writing Logic'!$G$8:$H$14,2,FALSE),YES_Writing_ELA[#Headers],0))=0,"",INDEX(_xlfn.VSTACK(YES_Writing_ELA[#Data],YES_Writing_FLA[#Data]),MATCH($A473,_xlfn.VSTACK(YES_Writing_ELA[Student Number],YES_Writing_FLA[Student Number]),0),MATCH(VLOOKUP(D$7,'Writing Logic'!$J$7:$K$11,2,FALSE)&amp;" - Per "&amp;VLOOKUP($C$4,'Writing Logic'!$G$8:$H$14,2,FALSE),YES_Writing_ELA[#Headers],0)))),"")</f>
        <v/>
      </c>
      <c r="E473" s="138" t="str">
        <f>IFERROR(IF(IF(INDEX(_xlfn.VSTACK(YES_Writing_ELA[#Data],YES_Writing_FLA[#Data]),MATCH($A473,_xlfn.VSTACK(YES_Writing_ELA[Student Number],YES_Writing_FLA[Student Number]),0),MATCH(VLOOKUP(E$7,'Writing Logic'!$J$7:$K$11,2,FALSE)&amp;" - Per "&amp;VLOOKUP($C$4,'Writing Logic'!$G$8:$H$14,2,FALSE),YES_Writing_ELA[#Headers],0))=0,"",INDEX(_xlfn.VSTACK(YES_Writing_ELA[#Data],YES_Writing_FLA[#Data]),MATCH($A473,_xlfn.VSTACK(YES_Writing_ELA[Student Number],YES_Writing_FLA[Student Number]),0),MATCH(VLOOKUP(E$7,'Writing Logic'!$J$7:$K$11,2,FALSE)&amp;" - Per "&amp;VLOOKUP($C$4,'Writing Logic'!$G$8:$H$14,2,FALSE),YES_Writing_ELA[#Headers],0)))="INS",'Writing Logic'!$B$7,IF(INDEX(_xlfn.VSTACK(YES_Writing_ELA[#Data],YES_Writing_FLA[#Data]),MATCH($A473,_xlfn.VSTACK(YES_Writing_ELA[Student Number],YES_Writing_FLA[Student Number]),0),MATCH(VLOOKUP(E$7,'Writing Logic'!$J$7:$K$11,2,FALSE)&amp;" - Per "&amp;VLOOKUP($C$4,'Writing Logic'!$G$8:$H$14,2,FALSE),YES_Writing_ELA[#Headers],0))=0,"",INDEX(_xlfn.VSTACK(YES_Writing_ELA[#Data],YES_Writing_FLA[#Data]),MATCH($A473,_xlfn.VSTACK(YES_Writing_ELA[Student Number],YES_Writing_FLA[Student Number]),0),MATCH(VLOOKUP(E$7,'Writing Logic'!$J$7:$K$11,2,FALSE)&amp;" - Per "&amp;VLOOKUP($C$4,'Writing Logic'!$G$8:$H$14,2,FALSE),YES_Writing_ELA[#Headers],0)))),"")</f>
        <v/>
      </c>
      <c r="F473" s="138" t="str">
        <f>IFERROR(IF(IF(INDEX(_xlfn.VSTACK(YES_Writing_ELA[#Data],YES_Writing_FLA[#Data]),MATCH($A473,_xlfn.VSTACK(YES_Writing_ELA[Student Number],YES_Writing_FLA[Student Number]),0),MATCH(VLOOKUP(F$7,'Writing Logic'!$J$7:$K$11,2,FALSE)&amp;" - Per "&amp;VLOOKUP($C$4,'Writing Logic'!$G$8:$H$14,2,FALSE),YES_Writing_ELA[#Headers],0))=0,"",INDEX(_xlfn.VSTACK(YES_Writing_ELA[#Data],YES_Writing_FLA[#Data]),MATCH($A473,_xlfn.VSTACK(YES_Writing_ELA[Student Number],YES_Writing_FLA[Student Number]),0),MATCH(VLOOKUP(F$7,'Writing Logic'!$J$7:$K$11,2,FALSE)&amp;" - Per "&amp;VLOOKUP($C$4,'Writing Logic'!$G$8:$H$14,2,FALSE),YES_Writing_ELA[#Headers],0)))="INS",'Writing Logic'!$B$7,IF(INDEX(_xlfn.VSTACK(YES_Writing_ELA[#Data],YES_Writing_FLA[#Data]),MATCH($A473,_xlfn.VSTACK(YES_Writing_ELA[Student Number],YES_Writing_FLA[Student Number]),0),MATCH(VLOOKUP(F$7,'Writing Logic'!$J$7:$K$11,2,FALSE)&amp;" - Per "&amp;VLOOKUP($C$4,'Writing Logic'!$G$8:$H$14,2,FALSE),YES_Writing_ELA[#Headers],0))=0,"",INDEX(_xlfn.VSTACK(YES_Writing_ELA[#Data],YES_Writing_FLA[#Data]),MATCH($A473,_xlfn.VSTACK(YES_Writing_ELA[Student Number],YES_Writing_FLA[Student Number]),0),MATCH(VLOOKUP(F$7,'Writing Logic'!$J$7:$K$11,2,FALSE)&amp;" - Per "&amp;VLOOKUP($C$4,'Writing Logic'!$G$8:$H$14,2,FALSE),YES_Writing_ELA[#Headers],0)))),"")</f>
        <v/>
      </c>
      <c r="G473" s="138" t="str">
        <f>IFERROR(IF(IF(INDEX(_xlfn.VSTACK(YES_Writing_ELA[#Data],YES_Writing_FLA[#Data]),MATCH($A473,_xlfn.VSTACK(YES_Writing_ELA[Student Number],YES_Writing_FLA[Student Number]),0),MATCH(VLOOKUP(G$7,'Writing Logic'!$J$7:$K$11,2,FALSE)&amp;" - Per "&amp;VLOOKUP($C$4,'Writing Logic'!$G$8:$H$14,2,FALSE),YES_Writing_ELA[#Headers],0))=0,"",INDEX(_xlfn.VSTACK(YES_Writing_ELA[#Data],YES_Writing_FLA[#Data]),MATCH($A473,_xlfn.VSTACK(YES_Writing_ELA[Student Number],YES_Writing_FLA[Student Number]),0),MATCH(VLOOKUP(G$7,'Writing Logic'!$J$7:$K$11,2,FALSE)&amp;" - Per "&amp;VLOOKUP($C$4,'Writing Logic'!$G$8:$H$14,2,FALSE),YES_Writing_ELA[#Headers],0)))="INS",'Writing Logic'!$B$7,IF(INDEX(_xlfn.VSTACK(YES_Writing_ELA[#Data],YES_Writing_FLA[#Data]),MATCH($A473,_xlfn.VSTACK(YES_Writing_ELA[Student Number],YES_Writing_FLA[Student Number]),0),MATCH(VLOOKUP(G$7,'Writing Logic'!$J$7:$K$11,2,FALSE)&amp;" - Per "&amp;VLOOKUP($C$4,'Writing Logic'!$G$8:$H$14,2,FALSE),YES_Writing_ELA[#Headers],0))=0,"",INDEX(_xlfn.VSTACK(YES_Writing_ELA[#Data],YES_Writing_FLA[#Data]),MATCH($A473,_xlfn.VSTACK(YES_Writing_ELA[Student Number],YES_Writing_FLA[Student Number]),0),MATCH(VLOOKUP(G$7,'Writing Logic'!$J$7:$K$11,2,FALSE)&amp;" - Per "&amp;VLOOKUP($C$4,'Writing Logic'!$G$8:$H$14,2,FALSE),YES_Writing_ELA[#Headers],0)))),"")</f>
        <v/>
      </c>
      <c r="H473" s="138" t="str">
        <f>IFERROR(IF(IF(INDEX(_xlfn.VSTACK(YES_Writing_ELA[#Data],YES_Writing_FLA[#Data]),MATCH($A473,_xlfn.VSTACK(YES_Writing_ELA[Student Number],YES_Writing_FLA[Student Number]),0),MATCH(VLOOKUP(H$7,'Writing Logic'!$J$7:$K$11,2,FALSE)&amp;" - Per "&amp;VLOOKUP($C$4,'Writing Logic'!$G$8:$H$14,2,FALSE),YES_Writing_ELA[#Headers],0))=0,"",INDEX(_xlfn.VSTACK(YES_Writing_ELA[#Data],YES_Writing_FLA[#Data]),MATCH($A473,_xlfn.VSTACK(YES_Writing_ELA[Student Number],YES_Writing_FLA[Student Number]),0),MATCH(VLOOKUP(H$7,'Writing Logic'!$J$7:$K$11,2,FALSE)&amp;" - Per "&amp;VLOOKUP($C$4,'Writing Logic'!$G$8:$H$14,2,FALSE),YES_Writing_ELA[#Headers],0)))="INS",'Writing Logic'!$B$7,IF(INDEX(_xlfn.VSTACK(YES_Writing_ELA[#Data],YES_Writing_FLA[#Data]),MATCH($A473,_xlfn.VSTACK(YES_Writing_ELA[Student Number],YES_Writing_FLA[Student Number]),0),MATCH(VLOOKUP(H$7,'Writing Logic'!$J$7:$K$11,2,FALSE)&amp;" - Per "&amp;VLOOKUP($C$4,'Writing Logic'!$G$8:$H$14,2,FALSE),YES_Writing_ELA[#Headers],0))=0,"",INDEX(_xlfn.VSTACK(YES_Writing_ELA[#Data],YES_Writing_FLA[#Data]),MATCH($A473,_xlfn.VSTACK(YES_Writing_ELA[Student Number],YES_Writing_FLA[Student Number]),0),MATCH(VLOOKUP(H$7,'Writing Logic'!$J$7:$K$11,2,FALSE)&amp;" - Per "&amp;VLOOKUP($C$4,'Writing Logic'!$G$8:$H$14,2,FALSE),YES_Writing_ELA[#Headers],0)))),"")</f>
        <v/>
      </c>
    </row>
    <row r="474" spans="1:8" x14ac:dyDescent="0.25">
      <c r="A474" s="137"/>
      <c r="B474" s="137" t="str">
        <f>IFERROR(INDEX(_xlfn.VSTACK(YES_Writing_ELA[#Data], YES_Writing_FLA[#Data]),MATCH($A474,_xlfn.VSTACK(YES_Writing_ELA[Student Number], YES_Writing_FLA[Student Number]),0),MATCH(B$7,YES_Writing_ELA[#Headers],0)),"")</f>
        <v/>
      </c>
      <c r="C474" s="137" t="str">
        <f>IFERROR(INDEX(_xlfn.VSTACK(YES_Writing_ELA[#Data], YES_Writing_FLA[#Data]),MATCH($A474,_xlfn.VSTACK(YES_Writing_ELA[Student Number], YES_Writing_FLA[Student Number]),0),MATCH(C$7,YES_Writing_ELA[#Headers],0)),"")</f>
        <v/>
      </c>
      <c r="D474" s="138" t="str">
        <f>IFERROR(IF(IF(INDEX(_xlfn.VSTACK(YES_Writing_ELA[#Data],YES_Writing_FLA[#Data]),MATCH($A474,_xlfn.VSTACK(YES_Writing_ELA[Student Number],YES_Writing_FLA[Student Number]),0),MATCH(VLOOKUP(D$7,'Writing Logic'!$J$7:$K$11,2,FALSE)&amp;" - Per "&amp;VLOOKUP($C$4,'Writing Logic'!$G$8:$H$14,2,FALSE),YES_Writing_ELA[#Headers],0))=0,"",INDEX(_xlfn.VSTACK(YES_Writing_ELA[#Data],YES_Writing_FLA[#Data]),MATCH($A474,_xlfn.VSTACK(YES_Writing_ELA[Student Number],YES_Writing_FLA[Student Number]),0),MATCH(VLOOKUP(D$7,'Writing Logic'!$J$7:$K$11,2,FALSE)&amp;" - Per "&amp;VLOOKUP($C$4,'Writing Logic'!$G$8:$H$14,2,FALSE),YES_Writing_ELA[#Headers],0)))="INS",'Writing Logic'!$B$7,IF(INDEX(_xlfn.VSTACK(YES_Writing_ELA[#Data],YES_Writing_FLA[#Data]),MATCH($A474,_xlfn.VSTACK(YES_Writing_ELA[Student Number],YES_Writing_FLA[Student Number]),0),MATCH(VLOOKUP(D$7,'Writing Logic'!$J$7:$K$11,2,FALSE)&amp;" - Per "&amp;VLOOKUP($C$4,'Writing Logic'!$G$8:$H$14,2,FALSE),YES_Writing_ELA[#Headers],0))=0,"",INDEX(_xlfn.VSTACK(YES_Writing_ELA[#Data],YES_Writing_FLA[#Data]),MATCH($A474,_xlfn.VSTACK(YES_Writing_ELA[Student Number],YES_Writing_FLA[Student Number]),0),MATCH(VLOOKUP(D$7,'Writing Logic'!$J$7:$K$11,2,FALSE)&amp;" - Per "&amp;VLOOKUP($C$4,'Writing Logic'!$G$8:$H$14,2,FALSE),YES_Writing_ELA[#Headers],0)))),"")</f>
        <v/>
      </c>
      <c r="E474" s="138" t="str">
        <f>IFERROR(IF(IF(INDEX(_xlfn.VSTACK(YES_Writing_ELA[#Data],YES_Writing_FLA[#Data]),MATCH($A474,_xlfn.VSTACK(YES_Writing_ELA[Student Number],YES_Writing_FLA[Student Number]),0),MATCH(VLOOKUP(E$7,'Writing Logic'!$J$7:$K$11,2,FALSE)&amp;" - Per "&amp;VLOOKUP($C$4,'Writing Logic'!$G$8:$H$14,2,FALSE),YES_Writing_ELA[#Headers],0))=0,"",INDEX(_xlfn.VSTACK(YES_Writing_ELA[#Data],YES_Writing_FLA[#Data]),MATCH($A474,_xlfn.VSTACK(YES_Writing_ELA[Student Number],YES_Writing_FLA[Student Number]),0),MATCH(VLOOKUP(E$7,'Writing Logic'!$J$7:$K$11,2,FALSE)&amp;" - Per "&amp;VLOOKUP($C$4,'Writing Logic'!$G$8:$H$14,2,FALSE),YES_Writing_ELA[#Headers],0)))="INS",'Writing Logic'!$B$7,IF(INDEX(_xlfn.VSTACK(YES_Writing_ELA[#Data],YES_Writing_FLA[#Data]),MATCH($A474,_xlfn.VSTACK(YES_Writing_ELA[Student Number],YES_Writing_FLA[Student Number]),0),MATCH(VLOOKUP(E$7,'Writing Logic'!$J$7:$K$11,2,FALSE)&amp;" - Per "&amp;VLOOKUP($C$4,'Writing Logic'!$G$8:$H$14,2,FALSE),YES_Writing_ELA[#Headers],0))=0,"",INDEX(_xlfn.VSTACK(YES_Writing_ELA[#Data],YES_Writing_FLA[#Data]),MATCH($A474,_xlfn.VSTACK(YES_Writing_ELA[Student Number],YES_Writing_FLA[Student Number]),0),MATCH(VLOOKUP(E$7,'Writing Logic'!$J$7:$K$11,2,FALSE)&amp;" - Per "&amp;VLOOKUP($C$4,'Writing Logic'!$G$8:$H$14,2,FALSE),YES_Writing_ELA[#Headers],0)))),"")</f>
        <v/>
      </c>
      <c r="F474" s="138" t="str">
        <f>IFERROR(IF(IF(INDEX(_xlfn.VSTACK(YES_Writing_ELA[#Data],YES_Writing_FLA[#Data]),MATCH($A474,_xlfn.VSTACK(YES_Writing_ELA[Student Number],YES_Writing_FLA[Student Number]),0),MATCH(VLOOKUP(F$7,'Writing Logic'!$J$7:$K$11,2,FALSE)&amp;" - Per "&amp;VLOOKUP($C$4,'Writing Logic'!$G$8:$H$14,2,FALSE),YES_Writing_ELA[#Headers],0))=0,"",INDEX(_xlfn.VSTACK(YES_Writing_ELA[#Data],YES_Writing_FLA[#Data]),MATCH($A474,_xlfn.VSTACK(YES_Writing_ELA[Student Number],YES_Writing_FLA[Student Number]),0),MATCH(VLOOKUP(F$7,'Writing Logic'!$J$7:$K$11,2,FALSE)&amp;" - Per "&amp;VLOOKUP($C$4,'Writing Logic'!$G$8:$H$14,2,FALSE),YES_Writing_ELA[#Headers],0)))="INS",'Writing Logic'!$B$7,IF(INDEX(_xlfn.VSTACK(YES_Writing_ELA[#Data],YES_Writing_FLA[#Data]),MATCH($A474,_xlfn.VSTACK(YES_Writing_ELA[Student Number],YES_Writing_FLA[Student Number]),0),MATCH(VLOOKUP(F$7,'Writing Logic'!$J$7:$K$11,2,FALSE)&amp;" - Per "&amp;VLOOKUP($C$4,'Writing Logic'!$G$8:$H$14,2,FALSE),YES_Writing_ELA[#Headers],0))=0,"",INDEX(_xlfn.VSTACK(YES_Writing_ELA[#Data],YES_Writing_FLA[#Data]),MATCH($A474,_xlfn.VSTACK(YES_Writing_ELA[Student Number],YES_Writing_FLA[Student Number]),0),MATCH(VLOOKUP(F$7,'Writing Logic'!$J$7:$K$11,2,FALSE)&amp;" - Per "&amp;VLOOKUP($C$4,'Writing Logic'!$G$8:$H$14,2,FALSE),YES_Writing_ELA[#Headers],0)))),"")</f>
        <v/>
      </c>
      <c r="G474" s="138" t="str">
        <f>IFERROR(IF(IF(INDEX(_xlfn.VSTACK(YES_Writing_ELA[#Data],YES_Writing_FLA[#Data]),MATCH($A474,_xlfn.VSTACK(YES_Writing_ELA[Student Number],YES_Writing_FLA[Student Number]),0),MATCH(VLOOKUP(G$7,'Writing Logic'!$J$7:$K$11,2,FALSE)&amp;" - Per "&amp;VLOOKUP($C$4,'Writing Logic'!$G$8:$H$14,2,FALSE),YES_Writing_ELA[#Headers],0))=0,"",INDEX(_xlfn.VSTACK(YES_Writing_ELA[#Data],YES_Writing_FLA[#Data]),MATCH($A474,_xlfn.VSTACK(YES_Writing_ELA[Student Number],YES_Writing_FLA[Student Number]),0),MATCH(VLOOKUP(G$7,'Writing Logic'!$J$7:$K$11,2,FALSE)&amp;" - Per "&amp;VLOOKUP($C$4,'Writing Logic'!$G$8:$H$14,2,FALSE),YES_Writing_ELA[#Headers],0)))="INS",'Writing Logic'!$B$7,IF(INDEX(_xlfn.VSTACK(YES_Writing_ELA[#Data],YES_Writing_FLA[#Data]),MATCH($A474,_xlfn.VSTACK(YES_Writing_ELA[Student Number],YES_Writing_FLA[Student Number]),0),MATCH(VLOOKUP(G$7,'Writing Logic'!$J$7:$K$11,2,FALSE)&amp;" - Per "&amp;VLOOKUP($C$4,'Writing Logic'!$G$8:$H$14,2,FALSE),YES_Writing_ELA[#Headers],0))=0,"",INDEX(_xlfn.VSTACK(YES_Writing_ELA[#Data],YES_Writing_FLA[#Data]),MATCH($A474,_xlfn.VSTACK(YES_Writing_ELA[Student Number],YES_Writing_FLA[Student Number]),0),MATCH(VLOOKUP(G$7,'Writing Logic'!$J$7:$K$11,2,FALSE)&amp;" - Per "&amp;VLOOKUP($C$4,'Writing Logic'!$G$8:$H$14,2,FALSE),YES_Writing_ELA[#Headers],0)))),"")</f>
        <v/>
      </c>
      <c r="H474" s="138" t="str">
        <f>IFERROR(IF(IF(INDEX(_xlfn.VSTACK(YES_Writing_ELA[#Data],YES_Writing_FLA[#Data]),MATCH($A474,_xlfn.VSTACK(YES_Writing_ELA[Student Number],YES_Writing_FLA[Student Number]),0),MATCH(VLOOKUP(H$7,'Writing Logic'!$J$7:$K$11,2,FALSE)&amp;" - Per "&amp;VLOOKUP($C$4,'Writing Logic'!$G$8:$H$14,2,FALSE),YES_Writing_ELA[#Headers],0))=0,"",INDEX(_xlfn.VSTACK(YES_Writing_ELA[#Data],YES_Writing_FLA[#Data]),MATCH($A474,_xlfn.VSTACK(YES_Writing_ELA[Student Number],YES_Writing_FLA[Student Number]),0),MATCH(VLOOKUP(H$7,'Writing Logic'!$J$7:$K$11,2,FALSE)&amp;" - Per "&amp;VLOOKUP($C$4,'Writing Logic'!$G$8:$H$14,2,FALSE),YES_Writing_ELA[#Headers],0)))="INS",'Writing Logic'!$B$7,IF(INDEX(_xlfn.VSTACK(YES_Writing_ELA[#Data],YES_Writing_FLA[#Data]),MATCH($A474,_xlfn.VSTACK(YES_Writing_ELA[Student Number],YES_Writing_FLA[Student Number]),0),MATCH(VLOOKUP(H$7,'Writing Logic'!$J$7:$K$11,2,FALSE)&amp;" - Per "&amp;VLOOKUP($C$4,'Writing Logic'!$G$8:$H$14,2,FALSE),YES_Writing_ELA[#Headers],0))=0,"",INDEX(_xlfn.VSTACK(YES_Writing_ELA[#Data],YES_Writing_FLA[#Data]),MATCH($A474,_xlfn.VSTACK(YES_Writing_ELA[Student Number],YES_Writing_FLA[Student Number]),0),MATCH(VLOOKUP(H$7,'Writing Logic'!$J$7:$K$11,2,FALSE)&amp;" - Per "&amp;VLOOKUP($C$4,'Writing Logic'!$G$8:$H$14,2,FALSE),YES_Writing_ELA[#Headers],0)))),"")</f>
        <v/>
      </c>
    </row>
    <row r="475" spans="1:8" x14ac:dyDescent="0.25">
      <c r="A475" s="137"/>
      <c r="B475" s="137" t="str">
        <f>IFERROR(INDEX(_xlfn.VSTACK(YES_Writing_ELA[#Data], YES_Writing_FLA[#Data]),MATCH($A475,_xlfn.VSTACK(YES_Writing_ELA[Student Number], YES_Writing_FLA[Student Number]),0),MATCH(B$7,YES_Writing_ELA[#Headers],0)),"")</f>
        <v/>
      </c>
      <c r="C475" s="137" t="str">
        <f>IFERROR(INDEX(_xlfn.VSTACK(YES_Writing_ELA[#Data], YES_Writing_FLA[#Data]),MATCH($A475,_xlfn.VSTACK(YES_Writing_ELA[Student Number], YES_Writing_FLA[Student Number]),0),MATCH(C$7,YES_Writing_ELA[#Headers],0)),"")</f>
        <v/>
      </c>
      <c r="D475" s="138" t="str">
        <f>IFERROR(IF(IF(INDEX(_xlfn.VSTACK(YES_Writing_ELA[#Data],YES_Writing_FLA[#Data]),MATCH($A475,_xlfn.VSTACK(YES_Writing_ELA[Student Number],YES_Writing_FLA[Student Number]),0),MATCH(VLOOKUP(D$7,'Writing Logic'!$J$7:$K$11,2,FALSE)&amp;" - Per "&amp;VLOOKUP($C$4,'Writing Logic'!$G$8:$H$14,2,FALSE),YES_Writing_ELA[#Headers],0))=0,"",INDEX(_xlfn.VSTACK(YES_Writing_ELA[#Data],YES_Writing_FLA[#Data]),MATCH($A475,_xlfn.VSTACK(YES_Writing_ELA[Student Number],YES_Writing_FLA[Student Number]),0),MATCH(VLOOKUP(D$7,'Writing Logic'!$J$7:$K$11,2,FALSE)&amp;" - Per "&amp;VLOOKUP($C$4,'Writing Logic'!$G$8:$H$14,2,FALSE),YES_Writing_ELA[#Headers],0)))="INS",'Writing Logic'!$B$7,IF(INDEX(_xlfn.VSTACK(YES_Writing_ELA[#Data],YES_Writing_FLA[#Data]),MATCH($A475,_xlfn.VSTACK(YES_Writing_ELA[Student Number],YES_Writing_FLA[Student Number]),0),MATCH(VLOOKUP(D$7,'Writing Logic'!$J$7:$K$11,2,FALSE)&amp;" - Per "&amp;VLOOKUP($C$4,'Writing Logic'!$G$8:$H$14,2,FALSE),YES_Writing_ELA[#Headers],0))=0,"",INDEX(_xlfn.VSTACK(YES_Writing_ELA[#Data],YES_Writing_FLA[#Data]),MATCH($A475,_xlfn.VSTACK(YES_Writing_ELA[Student Number],YES_Writing_FLA[Student Number]),0),MATCH(VLOOKUP(D$7,'Writing Logic'!$J$7:$K$11,2,FALSE)&amp;" - Per "&amp;VLOOKUP($C$4,'Writing Logic'!$G$8:$H$14,2,FALSE),YES_Writing_ELA[#Headers],0)))),"")</f>
        <v/>
      </c>
      <c r="E475" s="138" t="str">
        <f>IFERROR(IF(IF(INDEX(_xlfn.VSTACK(YES_Writing_ELA[#Data],YES_Writing_FLA[#Data]),MATCH($A475,_xlfn.VSTACK(YES_Writing_ELA[Student Number],YES_Writing_FLA[Student Number]),0),MATCH(VLOOKUP(E$7,'Writing Logic'!$J$7:$K$11,2,FALSE)&amp;" - Per "&amp;VLOOKUP($C$4,'Writing Logic'!$G$8:$H$14,2,FALSE),YES_Writing_ELA[#Headers],0))=0,"",INDEX(_xlfn.VSTACK(YES_Writing_ELA[#Data],YES_Writing_FLA[#Data]),MATCH($A475,_xlfn.VSTACK(YES_Writing_ELA[Student Number],YES_Writing_FLA[Student Number]),0),MATCH(VLOOKUP(E$7,'Writing Logic'!$J$7:$K$11,2,FALSE)&amp;" - Per "&amp;VLOOKUP($C$4,'Writing Logic'!$G$8:$H$14,2,FALSE),YES_Writing_ELA[#Headers],0)))="INS",'Writing Logic'!$B$7,IF(INDEX(_xlfn.VSTACK(YES_Writing_ELA[#Data],YES_Writing_FLA[#Data]),MATCH($A475,_xlfn.VSTACK(YES_Writing_ELA[Student Number],YES_Writing_FLA[Student Number]),0),MATCH(VLOOKUP(E$7,'Writing Logic'!$J$7:$K$11,2,FALSE)&amp;" - Per "&amp;VLOOKUP($C$4,'Writing Logic'!$G$8:$H$14,2,FALSE),YES_Writing_ELA[#Headers],0))=0,"",INDEX(_xlfn.VSTACK(YES_Writing_ELA[#Data],YES_Writing_FLA[#Data]),MATCH($A475,_xlfn.VSTACK(YES_Writing_ELA[Student Number],YES_Writing_FLA[Student Number]),0),MATCH(VLOOKUP(E$7,'Writing Logic'!$J$7:$K$11,2,FALSE)&amp;" - Per "&amp;VLOOKUP($C$4,'Writing Logic'!$G$8:$H$14,2,FALSE),YES_Writing_ELA[#Headers],0)))),"")</f>
        <v/>
      </c>
      <c r="F475" s="138" t="str">
        <f>IFERROR(IF(IF(INDEX(_xlfn.VSTACK(YES_Writing_ELA[#Data],YES_Writing_FLA[#Data]),MATCH($A475,_xlfn.VSTACK(YES_Writing_ELA[Student Number],YES_Writing_FLA[Student Number]),0),MATCH(VLOOKUP(F$7,'Writing Logic'!$J$7:$K$11,2,FALSE)&amp;" - Per "&amp;VLOOKUP($C$4,'Writing Logic'!$G$8:$H$14,2,FALSE),YES_Writing_ELA[#Headers],0))=0,"",INDEX(_xlfn.VSTACK(YES_Writing_ELA[#Data],YES_Writing_FLA[#Data]),MATCH($A475,_xlfn.VSTACK(YES_Writing_ELA[Student Number],YES_Writing_FLA[Student Number]),0),MATCH(VLOOKUP(F$7,'Writing Logic'!$J$7:$K$11,2,FALSE)&amp;" - Per "&amp;VLOOKUP($C$4,'Writing Logic'!$G$8:$H$14,2,FALSE),YES_Writing_ELA[#Headers],0)))="INS",'Writing Logic'!$B$7,IF(INDEX(_xlfn.VSTACK(YES_Writing_ELA[#Data],YES_Writing_FLA[#Data]),MATCH($A475,_xlfn.VSTACK(YES_Writing_ELA[Student Number],YES_Writing_FLA[Student Number]),0),MATCH(VLOOKUP(F$7,'Writing Logic'!$J$7:$K$11,2,FALSE)&amp;" - Per "&amp;VLOOKUP($C$4,'Writing Logic'!$G$8:$H$14,2,FALSE),YES_Writing_ELA[#Headers],0))=0,"",INDEX(_xlfn.VSTACK(YES_Writing_ELA[#Data],YES_Writing_FLA[#Data]),MATCH($A475,_xlfn.VSTACK(YES_Writing_ELA[Student Number],YES_Writing_FLA[Student Number]),0),MATCH(VLOOKUP(F$7,'Writing Logic'!$J$7:$K$11,2,FALSE)&amp;" - Per "&amp;VLOOKUP($C$4,'Writing Logic'!$G$8:$H$14,2,FALSE),YES_Writing_ELA[#Headers],0)))),"")</f>
        <v/>
      </c>
      <c r="G475" s="138" t="str">
        <f>IFERROR(IF(IF(INDEX(_xlfn.VSTACK(YES_Writing_ELA[#Data],YES_Writing_FLA[#Data]),MATCH($A475,_xlfn.VSTACK(YES_Writing_ELA[Student Number],YES_Writing_FLA[Student Number]),0),MATCH(VLOOKUP(G$7,'Writing Logic'!$J$7:$K$11,2,FALSE)&amp;" - Per "&amp;VLOOKUP($C$4,'Writing Logic'!$G$8:$H$14,2,FALSE),YES_Writing_ELA[#Headers],0))=0,"",INDEX(_xlfn.VSTACK(YES_Writing_ELA[#Data],YES_Writing_FLA[#Data]),MATCH($A475,_xlfn.VSTACK(YES_Writing_ELA[Student Number],YES_Writing_FLA[Student Number]),0),MATCH(VLOOKUP(G$7,'Writing Logic'!$J$7:$K$11,2,FALSE)&amp;" - Per "&amp;VLOOKUP($C$4,'Writing Logic'!$G$8:$H$14,2,FALSE),YES_Writing_ELA[#Headers],0)))="INS",'Writing Logic'!$B$7,IF(INDEX(_xlfn.VSTACK(YES_Writing_ELA[#Data],YES_Writing_FLA[#Data]),MATCH($A475,_xlfn.VSTACK(YES_Writing_ELA[Student Number],YES_Writing_FLA[Student Number]),0),MATCH(VLOOKUP(G$7,'Writing Logic'!$J$7:$K$11,2,FALSE)&amp;" - Per "&amp;VLOOKUP($C$4,'Writing Logic'!$G$8:$H$14,2,FALSE),YES_Writing_ELA[#Headers],0))=0,"",INDEX(_xlfn.VSTACK(YES_Writing_ELA[#Data],YES_Writing_FLA[#Data]),MATCH($A475,_xlfn.VSTACK(YES_Writing_ELA[Student Number],YES_Writing_FLA[Student Number]),0),MATCH(VLOOKUP(G$7,'Writing Logic'!$J$7:$K$11,2,FALSE)&amp;" - Per "&amp;VLOOKUP($C$4,'Writing Logic'!$G$8:$H$14,2,FALSE),YES_Writing_ELA[#Headers],0)))),"")</f>
        <v/>
      </c>
      <c r="H475" s="138" t="str">
        <f>IFERROR(IF(IF(INDEX(_xlfn.VSTACK(YES_Writing_ELA[#Data],YES_Writing_FLA[#Data]),MATCH($A475,_xlfn.VSTACK(YES_Writing_ELA[Student Number],YES_Writing_FLA[Student Number]),0),MATCH(VLOOKUP(H$7,'Writing Logic'!$J$7:$K$11,2,FALSE)&amp;" - Per "&amp;VLOOKUP($C$4,'Writing Logic'!$G$8:$H$14,2,FALSE),YES_Writing_ELA[#Headers],0))=0,"",INDEX(_xlfn.VSTACK(YES_Writing_ELA[#Data],YES_Writing_FLA[#Data]),MATCH($A475,_xlfn.VSTACK(YES_Writing_ELA[Student Number],YES_Writing_FLA[Student Number]),0),MATCH(VLOOKUP(H$7,'Writing Logic'!$J$7:$K$11,2,FALSE)&amp;" - Per "&amp;VLOOKUP($C$4,'Writing Logic'!$G$8:$H$14,2,FALSE),YES_Writing_ELA[#Headers],0)))="INS",'Writing Logic'!$B$7,IF(INDEX(_xlfn.VSTACK(YES_Writing_ELA[#Data],YES_Writing_FLA[#Data]),MATCH($A475,_xlfn.VSTACK(YES_Writing_ELA[Student Number],YES_Writing_FLA[Student Number]),0),MATCH(VLOOKUP(H$7,'Writing Logic'!$J$7:$K$11,2,FALSE)&amp;" - Per "&amp;VLOOKUP($C$4,'Writing Logic'!$G$8:$H$14,2,FALSE),YES_Writing_ELA[#Headers],0))=0,"",INDEX(_xlfn.VSTACK(YES_Writing_ELA[#Data],YES_Writing_FLA[#Data]),MATCH($A475,_xlfn.VSTACK(YES_Writing_ELA[Student Number],YES_Writing_FLA[Student Number]),0),MATCH(VLOOKUP(H$7,'Writing Logic'!$J$7:$K$11,2,FALSE)&amp;" - Per "&amp;VLOOKUP($C$4,'Writing Logic'!$G$8:$H$14,2,FALSE),YES_Writing_ELA[#Headers],0)))),"")</f>
        <v/>
      </c>
    </row>
    <row r="476" spans="1:8" x14ac:dyDescent="0.25">
      <c r="A476" s="137"/>
      <c r="B476" s="137" t="str">
        <f>IFERROR(INDEX(_xlfn.VSTACK(YES_Writing_ELA[#Data], YES_Writing_FLA[#Data]),MATCH($A476,_xlfn.VSTACK(YES_Writing_ELA[Student Number], YES_Writing_FLA[Student Number]),0),MATCH(B$7,YES_Writing_ELA[#Headers],0)),"")</f>
        <v/>
      </c>
      <c r="C476" s="137" t="str">
        <f>IFERROR(INDEX(_xlfn.VSTACK(YES_Writing_ELA[#Data], YES_Writing_FLA[#Data]),MATCH($A476,_xlfn.VSTACK(YES_Writing_ELA[Student Number], YES_Writing_FLA[Student Number]),0),MATCH(C$7,YES_Writing_ELA[#Headers],0)),"")</f>
        <v/>
      </c>
      <c r="D476" s="138" t="str">
        <f>IFERROR(IF(IF(INDEX(_xlfn.VSTACK(YES_Writing_ELA[#Data],YES_Writing_FLA[#Data]),MATCH($A476,_xlfn.VSTACK(YES_Writing_ELA[Student Number],YES_Writing_FLA[Student Number]),0),MATCH(VLOOKUP(D$7,'Writing Logic'!$J$7:$K$11,2,FALSE)&amp;" - Per "&amp;VLOOKUP($C$4,'Writing Logic'!$G$8:$H$14,2,FALSE),YES_Writing_ELA[#Headers],0))=0,"",INDEX(_xlfn.VSTACK(YES_Writing_ELA[#Data],YES_Writing_FLA[#Data]),MATCH($A476,_xlfn.VSTACK(YES_Writing_ELA[Student Number],YES_Writing_FLA[Student Number]),0),MATCH(VLOOKUP(D$7,'Writing Logic'!$J$7:$K$11,2,FALSE)&amp;" - Per "&amp;VLOOKUP($C$4,'Writing Logic'!$G$8:$H$14,2,FALSE),YES_Writing_ELA[#Headers],0)))="INS",'Writing Logic'!$B$7,IF(INDEX(_xlfn.VSTACK(YES_Writing_ELA[#Data],YES_Writing_FLA[#Data]),MATCH($A476,_xlfn.VSTACK(YES_Writing_ELA[Student Number],YES_Writing_FLA[Student Number]),0),MATCH(VLOOKUP(D$7,'Writing Logic'!$J$7:$K$11,2,FALSE)&amp;" - Per "&amp;VLOOKUP($C$4,'Writing Logic'!$G$8:$H$14,2,FALSE),YES_Writing_ELA[#Headers],0))=0,"",INDEX(_xlfn.VSTACK(YES_Writing_ELA[#Data],YES_Writing_FLA[#Data]),MATCH($A476,_xlfn.VSTACK(YES_Writing_ELA[Student Number],YES_Writing_FLA[Student Number]),0),MATCH(VLOOKUP(D$7,'Writing Logic'!$J$7:$K$11,2,FALSE)&amp;" - Per "&amp;VLOOKUP($C$4,'Writing Logic'!$G$8:$H$14,2,FALSE),YES_Writing_ELA[#Headers],0)))),"")</f>
        <v/>
      </c>
      <c r="E476" s="138" t="str">
        <f>IFERROR(IF(IF(INDEX(_xlfn.VSTACK(YES_Writing_ELA[#Data],YES_Writing_FLA[#Data]),MATCH($A476,_xlfn.VSTACK(YES_Writing_ELA[Student Number],YES_Writing_FLA[Student Number]),0),MATCH(VLOOKUP(E$7,'Writing Logic'!$J$7:$K$11,2,FALSE)&amp;" - Per "&amp;VLOOKUP($C$4,'Writing Logic'!$G$8:$H$14,2,FALSE),YES_Writing_ELA[#Headers],0))=0,"",INDEX(_xlfn.VSTACK(YES_Writing_ELA[#Data],YES_Writing_FLA[#Data]),MATCH($A476,_xlfn.VSTACK(YES_Writing_ELA[Student Number],YES_Writing_FLA[Student Number]),0),MATCH(VLOOKUP(E$7,'Writing Logic'!$J$7:$K$11,2,FALSE)&amp;" - Per "&amp;VLOOKUP($C$4,'Writing Logic'!$G$8:$H$14,2,FALSE),YES_Writing_ELA[#Headers],0)))="INS",'Writing Logic'!$B$7,IF(INDEX(_xlfn.VSTACK(YES_Writing_ELA[#Data],YES_Writing_FLA[#Data]),MATCH($A476,_xlfn.VSTACK(YES_Writing_ELA[Student Number],YES_Writing_FLA[Student Number]),0),MATCH(VLOOKUP(E$7,'Writing Logic'!$J$7:$K$11,2,FALSE)&amp;" - Per "&amp;VLOOKUP($C$4,'Writing Logic'!$G$8:$H$14,2,FALSE),YES_Writing_ELA[#Headers],0))=0,"",INDEX(_xlfn.VSTACK(YES_Writing_ELA[#Data],YES_Writing_FLA[#Data]),MATCH($A476,_xlfn.VSTACK(YES_Writing_ELA[Student Number],YES_Writing_FLA[Student Number]),0),MATCH(VLOOKUP(E$7,'Writing Logic'!$J$7:$K$11,2,FALSE)&amp;" - Per "&amp;VLOOKUP($C$4,'Writing Logic'!$G$8:$H$14,2,FALSE),YES_Writing_ELA[#Headers],0)))),"")</f>
        <v/>
      </c>
      <c r="F476" s="138" t="str">
        <f>IFERROR(IF(IF(INDEX(_xlfn.VSTACK(YES_Writing_ELA[#Data],YES_Writing_FLA[#Data]),MATCH($A476,_xlfn.VSTACK(YES_Writing_ELA[Student Number],YES_Writing_FLA[Student Number]),0),MATCH(VLOOKUP(F$7,'Writing Logic'!$J$7:$K$11,2,FALSE)&amp;" - Per "&amp;VLOOKUP($C$4,'Writing Logic'!$G$8:$H$14,2,FALSE),YES_Writing_ELA[#Headers],0))=0,"",INDEX(_xlfn.VSTACK(YES_Writing_ELA[#Data],YES_Writing_FLA[#Data]),MATCH($A476,_xlfn.VSTACK(YES_Writing_ELA[Student Number],YES_Writing_FLA[Student Number]),0),MATCH(VLOOKUP(F$7,'Writing Logic'!$J$7:$K$11,2,FALSE)&amp;" - Per "&amp;VLOOKUP($C$4,'Writing Logic'!$G$8:$H$14,2,FALSE),YES_Writing_ELA[#Headers],0)))="INS",'Writing Logic'!$B$7,IF(INDEX(_xlfn.VSTACK(YES_Writing_ELA[#Data],YES_Writing_FLA[#Data]),MATCH($A476,_xlfn.VSTACK(YES_Writing_ELA[Student Number],YES_Writing_FLA[Student Number]),0),MATCH(VLOOKUP(F$7,'Writing Logic'!$J$7:$K$11,2,FALSE)&amp;" - Per "&amp;VLOOKUP($C$4,'Writing Logic'!$G$8:$H$14,2,FALSE),YES_Writing_ELA[#Headers],0))=0,"",INDEX(_xlfn.VSTACK(YES_Writing_ELA[#Data],YES_Writing_FLA[#Data]),MATCH($A476,_xlfn.VSTACK(YES_Writing_ELA[Student Number],YES_Writing_FLA[Student Number]),0),MATCH(VLOOKUP(F$7,'Writing Logic'!$J$7:$K$11,2,FALSE)&amp;" - Per "&amp;VLOOKUP($C$4,'Writing Logic'!$G$8:$H$14,2,FALSE),YES_Writing_ELA[#Headers],0)))),"")</f>
        <v/>
      </c>
      <c r="G476" s="138" t="str">
        <f>IFERROR(IF(IF(INDEX(_xlfn.VSTACK(YES_Writing_ELA[#Data],YES_Writing_FLA[#Data]),MATCH($A476,_xlfn.VSTACK(YES_Writing_ELA[Student Number],YES_Writing_FLA[Student Number]),0),MATCH(VLOOKUP(G$7,'Writing Logic'!$J$7:$K$11,2,FALSE)&amp;" - Per "&amp;VLOOKUP($C$4,'Writing Logic'!$G$8:$H$14,2,FALSE),YES_Writing_ELA[#Headers],0))=0,"",INDEX(_xlfn.VSTACK(YES_Writing_ELA[#Data],YES_Writing_FLA[#Data]),MATCH($A476,_xlfn.VSTACK(YES_Writing_ELA[Student Number],YES_Writing_FLA[Student Number]),0),MATCH(VLOOKUP(G$7,'Writing Logic'!$J$7:$K$11,2,FALSE)&amp;" - Per "&amp;VLOOKUP($C$4,'Writing Logic'!$G$8:$H$14,2,FALSE),YES_Writing_ELA[#Headers],0)))="INS",'Writing Logic'!$B$7,IF(INDEX(_xlfn.VSTACK(YES_Writing_ELA[#Data],YES_Writing_FLA[#Data]),MATCH($A476,_xlfn.VSTACK(YES_Writing_ELA[Student Number],YES_Writing_FLA[Student Number]),0),MATCH(VLOOKUP(G$7,'Writing Logic'!$J$7:$K$11,2,FALSE)&amp;" - Per "&amp;VLOOKUP($C$4,'Writing Logic'!$G$8:$H$14,2,FALSE),YES_Writing_ELA[#Headers],0))=0,"",INDEX(_xlfn.VSTACK(YES_Writing_ELA[#Data],YES_Writing_FLA[#Data]),MATCH($A476,_xlfn.VSTACK(YES_Writing_ELA[Student Number],YES_Writing_FLA[Student Number]),0),MATCH(VLOOKUP(G$7,'Writing Logic'!$J$7:$K$11,2,FALSE)&amp;" - Per "&amp;VLOOKUP($C$4,'Writing Logic'!$G$8:$H$14,2,FALSE),YES_Writing_ELA[#Headers],0)))),"")</f>
        <v/>
      </c>
      <c r="H476" s="138" t="str">
        <f>IFERROR(IF(IF(INDEX(_xlfn.VSTACK(YES_Writing_ELA[#Data],YES_Writing_FLA[#Data]),MATCH($A476,_xlfn.VSTACK(YES_Writing_ELA[Student Number],YES_Writing_FLA[Student Number]),0),MATCH(VLOOKUP(H$7,'Writing Logic'!$J$7:$K$11,2,FALSE)&amp;" - Per "&amp;VLOOKUP($C$4,'Writing Logic'!$G$8:$H$14,2,FALSE),YES_Writing_ELA[#Headers],0))=0,"",INDEX(_xlfn.VSTACK(YES_Writing_ELA[#Data],YES_Writing_FLA[#Data]),MATCH($A476,_xlfn.VSTACK(YES_Writing_ELA[Student Number],YES_Writing_FLA[Student Number]),0),MATCH(VLOOKUP(H$7,'Writing Logic'!$J$7:$K$11,2,FALSE)&amp;" - Per "&amp;VLOOKUP($C$4,'Writing Logic'!$G$8:$H$14,2,FALSE),YES_Writing_ELA[#Headers],0)))="INS",'Writing Logic'!$B$7,IF(INDEX(_xlfn.VSTACK(YES_Writing_ELA[#Data],YES_Writing_FLA[#Data]),MATCH($A476,_xlfn.VSTACK(YES_Writing_ELA[Student Number],YES_Writing_FLA[Student Number]),0),MATCH(VLOOKUP(H$7,'Writing Logic'!$J$7:$K$11,2,FALSE)&amp;" - Per "&amp;VLOOKUP($C$4,'Writing Logic'!$G$8:$H$14,2,FALSE),YES_Writing_ELA[#Headers],0))=0,"",INDEX(_xlfn.VSTACK(YES_Writing_ELA[#Data],YES_Writing_FLA[#Data]),MATCH($A476,_xlfn.VSTACK(YES_Writing_ELA[Student Number],YES_Writing_FLA[Student Number]),0),MATCH(VLOOKUP(H$7,'Writing Logic'!$J$7:$K$11,2,FALSE)&amp;" - Per "&amp;VLOOKUP($C$4,'Writing Logic'!$G$8:$H$14,2,FALSE),YES_Writing_ELA[#Headers],0)))),"")</f>
        <v/>
      </c>
    </row>
    <row r="477" spans="1:8" x14ac:dyDescent="0.25">
      <c r="A477" s="137"/>
      <c r="B477" s="137" t="str">
        <f>IFERROR(INDEX(_xlfn.VSTACK(YES_Writing_ELA[#Data], YES_Writing_FLA[#Data]),MATCH($A477,_xlfn.VSTACK(YES_Writing_ELA[Student Number], YES_Writing_FLA[Student Number]),0),MATCH(B$7,YES_Writing_ELA[#Headers],0)),"")</f>
        <v/>
      </c>
      <c r="C477" s="137" t="str">
        <f>IFERROR(INDEX(_xlfn.VSTACK(YES_Writing_ELA[#Data], YES_Writing_FLA[#Data]),MATCH($A477,_xlfn.VSTACK(YES_Writing_ELA[Student Number], YES_Writing_FLA[Student Number]),0),MATCH(C$7,YES_Writing_ELA[#Headers],0)),"")</f>
        <v/>
      </c>
      <c r="D477" s="138" t="str">
        <f>IFERROR(IF(IF(INDEX(_xlfn.VSTACK(YES_Writing_ELA[#Data],YES_Writing_FLA[#Data]),MATCH($A477,_xlfn.VSTACK(YES_Writing_ELA[Student Number],YES_Writing_FLA[Student Number]),0),MATCH(VLOOKUP(D$7,'Writing Logic'!$J$7:$K$11,2,FALSE)&amp;" - Per "&amp;VLOOKUP($C$4,'Writing Logic'!$G$8:$H$14,2,FALSE),YES_Writing_ELA[#Headers],0))=0,"",INDEX(_xlfn.VSTACK(YES_Writing_ELA[#Data],YES_Writing_FLA[#Data]),MATCH($A477,_xlfn.VSTACK(YES_Writing_ELA[Student Number],YES_Writing_FLA[Student Number]),0),MATCH(VLOOKUP(D$7,'Writing Logic'!$J$7:$K$11,2,FALSE)&amp;" - Per "&amp;VLOOKUP($C$4,'Writing Logic'!$G$8:$H$14,2,FALSE),YES_Writing_ELA[#Headers],0)))="INS",'Writing Logic'!$B$7,IF(INDEX(_xlfn.VSTACK(YES_Writing_ELA[#Data],YES_Writing_FLA[#Data]),MATCH($A477,_xlfn.VSTACK(YES_Writing_ELA[Student Number],YES_Writing_FLA[Student Number]),0),MATCH(VLOOKUP(D$7,'Writing Logic'!$J$7:$K$11,2,FALSE)&amp;" - Per "&amp;VLOOKUP($C$4,'Writing Logic'!$G$8:$H$14,2,FALSE),YES_Writing_ELA[#Headers],0))=0,"",INDEX(_xlfn.VSTACK(YES_Writing_ELA[#Data],YES_Writing_FLA[#Data]),MATCH($A477,_xlfn.VSTACK(YES_Writing_ELA[Student Number],YES_Writing_FLA[Student Number]),0),MATCH(VLOOKUP(D$7,'Writing Logic'!$J$7:$K$11,2,FALSE)&amp;" - Per "&amp;VLOOKUP($C$4,'Writing Logic'!$G$8:$H$14,2,FALSE),YES_Writing_ELA[#Headers],0)))),"")</f>
        <v/>
      </c>
      <c r="E477" s="138" t="str">
        <f>IFERROR(IF(IF(INDEX(_xlfn.VSTACK(YES_Writing_ELA[#Data],YES_Writing_FLA[#Data]),MATCH($A477,_xlfn.VSTACK(YES_Writing_ELA[Student Number],YES_Writing_FLA[Student Number]),0),MATCH(VLOOKUP(E$7,'Writing Logic'!$J$7:$K$11,2,FALSE)&amp;" - Per "&amp;VLOOKUP($C$4,'Writing Logic'!$G$8:$H$14,2,FALSE),YES_Writing_ELA[#Headers],0))=0,"",INDEX(_xlfn.VSTACK(YES_Writing_ELA[#Data],YES_Writing_FLA[#Data]),MATCH($A477,_xlfn.VSTACK(YES_Writing_ELA[Student Number],YES_Writing_FLA[Student Number]),0),MATCH(VLOOKUP(E$7,'Writing Logic'!$J$7:$K$11,2,FALSE)&amp;" - Per "&amp;VLOOKUP($C$4,'Writing Logic'!$G$8:$H$14,2,FALSE),YES_Writing_ELA[#Headers],0)))="INS",'Writing Logic'!$B$7,IF(INDEX(_xlfn.VSTACK(YES_Writing_ELA[#Data],YES_Writing_FLA[#Data]),MATCH($A477,_xlfn.VSTACK(YES_Writing_ELA[Student Number],YES_Writing_FLA[Student Number]),0),MATCH(VLOOKUP(E$7,'Writing Logic'!$J$7:$K$11,2,FALSE)&amp;" - Per "&amp;VLOOKUP($C$4,'Writing Logic'!$G$8:$H$14,2,FALSE),YES_Writing_ELA[#Headers],0))=0,"",INDEX(_xlfn.VSTACK(YES_Writing_ELA[#Data],YES_Writing_FLA[#Data]),MATCH($A477,_xlfn.VSTACK(YES_Writing_ELA[Student Number],YES_Writing_FLA[Student Number]),0),MATCH(VLOOKUP(E$7,'Writing Logic'!$J$7:$K$11,2,FALSE)&amp;" - Per "&amp;VLOOKUP($C$4,'Writing Logic'!$G$8:$H$14,2,FALSE),YES_Writing_ELA[#Headers],0)))),"")</f>
        <v/>
      </c>
      <c r="F477" s="138" t="str">
        <f>IFERROR(IF(IF(INDEX(_xlfn.VSTACK(YES_Writing_ELA[#Data],YES_Writing_FLA[#Data]),MATCH($A477,_xlfn.VSTACK(YES_Writing_ELA[Student Number],YES_Writing_FLA[Student Number]),0),MATCH(VLOOKUP(F$7,'Writing Logic'!$J$7:$K$11,2,FALSE)&amp;" - Per "&amp;VLOOKUP($C$4,'Writing Logic'!$G$8:$H$14,2,FALSE),YES_Writing_ELA[#Headers],0))=0,"",INDEX(_xlfn.VSTACK(YES_Writing_ELA[#Data],YES_Writing_FLA[#Data]),MATCH($A477,_xlfn.VSTACK(YES_Writing_ELA[Student Number],YES_Writing_FLA[Student Number]),0),MATCH(VLOOKUP(F$7,'Writing Logic'!$J$7:$K$11,2,FALSE)&amp;" - Per "&amp;VLOOKUP($C$4,'Writing Logic'!$G$8:$H$14,2,FALSE),YES_Writing_ELA[#Headers],0)))="INS",'Writing Logic'!$B$7,IF(INDEX(_xlfn.VSTACK(YES_Writing_ELA[#Data],YES_Writing_FLA[#Data]),MATCH($A477,_xlfn.VSTACK(YES_Writing_ELA[Student Number],YES_Writing_FLA[Student Number]),0),MATCH(VLOOKUP(F$7,'Writing Logic'!$J$7:$K$11,2,FALSE)&amp;" - Per "&amp;VLOOKUP($C$4,'Writing Logic'!$G$8:$H$14,2,FALSE),YES_Writing_ELA[#Headers],0))=0,"",INDEX(_xlfn.VSTACK(YES_Writing_ELA[#Data],YES_Writing_FLA[#Data]),MATCH($A477,_xlfn.VSTACK(YES_Writing_ELA[Student Number],YES_Writing_FLA[Student Number]),0),MATCH(VLOOKUP(F$7,'Writing Logic'!$J$7:$K$11,2,FALSE)&amp;" - Per "&amp;VLOOKUP($C$4,'Writing Logic'!$G$8:$H$14,2,FALSE),YES_Writing_ELA[#Headers],0)))),"")</f>
        <v/>
      </c>
      <c r="G477" s="138" t="str">
        <f>IFERROR(IF(IF(INDEX(_xlfn.VSTACK(YES_Writing_ELA[#Data],YES_Writing_FLA[#Data]),MATCH($A477,_xlfn.VSTACK(YES_Writing_ELA[Student Number],YES_Writing_FLA[Student Number]),0),MATCH(VLOOKUP(G$7,'Writing Logic'!$J$7:$K$11,2,FALSE)&amp;" - Per "&amp;VLOOKUP($C$4,'Writing Logic'!$G$8:$H$14,2,FALSE),YES_Writing_ELA[#Headers],0))=0,"",INDEX(_xlfn.VSTACK(YES_Writing_ELA[#Data],YES_Writing_FLA[#Data]),MATCH($A477,_xlfn.VSTACK(YES_Writing_ELA[Student Number],YES_Writing_FLA[Student Number]),0),MATCH(VLOOKUP(G$7,'Writing Logic'!$J$7:$K$11,2,FALSE)&amp;" - Per "&amp;VLOOKUP($C$4,'Writing Logic'!$G$8:$H$14,2,FALSE),YES_Writing_ELA[#Headers],0)))="INS",'Writing Logic'!$B$7,IF(INDEX(_xlfn.VSTACK(YES_Writing_ELA[#Data],YES_Writing_FLA[#Data]),MATCH($A477,_xlfn.VSTACK(YES_Writing_ELA[Student Number],YES_Writing_FLA[Student Number]),0),MATCH(VLOOKUP(G$7,'Writing Logic'!$J$7:$K$11,2,FALSE)&amp;" - Per "&amp;VLOOKUP($C$4,'Writing Logic'!$G$8:$H$14,2,FALSE),YES_Writing_ELA[#Headers],0))=0,"",INDEX(_xlfn.VSTACK(YES_Writing_ELA[#Data],YES_Writing_FLA[#Data]),MATCH($A477,_xlfn.VSTACK(YES_Writing_ELA[Student Number],YES_Writing_FLA[Student Number]),0),MATCH(VLOOKUP(G$7,'Writing Logic'!$J$7:$K$11,2,FALSE)&amp;" - Per "&amp;VLOOKUP($C$4,'Writing Logic'!$G$8:$H$14,2,FALSE),YES_Writing_ELA[#Headers],0)))),"")</f>
        <v/>
      </c>
      <c r="H477" s="138" t="str">
        <f>IFERROR(IF(IF(INDEX(_xlfn.VSTACK(YES_Writing_ELA[#Data],YES_Writing_FLA[#Data]),MATCH($A477,_xlfn.VSTACK(YES_Writing_ELA[Student Number],YES_Writing_FLA[Student Number]),0),MATCH(VLOOKUP(H$7,'Writing Logic'!$J$7:$K$11,2,FALSE)&amp;" - Per "&amp;VLOOKUP($C$4,'Writing Logic'!$G$8:$H$14,2,FALSE),YES_Writing_ELA[#Headers],0))=0,"",INDEX(_xlfn.VSTACK(YES_Writing_ELA[#Data],YES_Writing_FLA[#Data]),MATCH($A477,_xlfn.VSTACK(YES_Writing_ELA[Student Number],YES_Writing_FLA[Student Number]),0),MATCH(VLOOKUP(H$7,'Writing Logic'!$J$7:$K$11,2,FALSE)&amp;" - Per "&amp;VLOOKUP($C$4,'Writing Logic'!$G$8:$H$14,2,FALSE),YES_Writing_ELA[#Headers],0)))="INS",'Writing Logic'!$B$7,IF(INDEX(_xlfn.VSTACK(YES_Writing_ELA[#Data],YES_Writing_FLA[#Data]),MATCH($A477,_xlfn.VSTACK(YES_Writing_ELA[Student Number],YES_Writing_FLA[Student Number]),0),MATCH(VLOOKUP(H$7,'Writing Logic'!$J$7:$K$11,2,FALSE)&amp;" - Per "&amp;VLOOKUP($C$4,'Writing Logic'!$G$8:$H$14,2,FALSE),YES_Writing_ELA[#Headers],0))=0,"",INDEX(_xlfn.VSTACK(YES_Writing_ELA[#Data],YES_Writing_FLA[#Data]),MATCH($A477,_xlfn.VSTACK(YES_Writing_ELA[Student Number],YES_Writing_FLA[Student Number]),0),MATCH(VLOOKUP(H$7,'Writing Logic'!$J$7:$K$11,2,FALSE)&amp;" - Per "&amp;VLOOKUP($C$4,'Writing Logic'!$G$8:$H$14,2,FALSE),YES_Writing_ELA[#Headers],0)))),"")</f>
        <v/>
      </c>
    </row>
    <row r="478" spans="1:8" x14ac:dyDescent="0.25">
      <c r="A478" s="137"/>
      <c r="B478" s="137" t="str">
        <f>IFERROR(INDEX(_xlfn.VSTACK(YES_Writing_ELA[#Data], YES_Writing_FLA[#Data]),MATCH($A478,_xlfn.VSTACK(YES_Writing_ELA[Student Number], YES_Writing_FLA[Student Number]),0),MATCH(B$7,YES_Writing_ELA[#Headers],0)),"")</f>
        <v/>
      </c>
      <c r="C478" s="137" t="str">
        <f>IFERROR(INDEX(_xlfn.VSTACK(YES_Writing_ELA[#Data], YES_Writing_FLA[#Data]),MATCH($A478,_xlfn.VSTACK(YES_Writing_ELA[Student Number], YES_Writing_FLA[Student Number]),0),MATCH(C$7,YES_Writing_ELA[#Headers],0)),"")</f>
        <v/>
      </c>
      <c r="D478" s="138" t="str">
        <f>IFERROR(IF(IF(INDEX(_xlfn.VSTACK(YES_Writing_ELA[#Data],YES_Writing_FLA[#Data]),MATCH($A478,_xlfn.VSTACK(YES_Writing_ELA[Student Number],YES_Writing_FLA[Student Number]),0),MATCH(VLOOKUP(D$7,'Writing Logic'!$J$7:$K$11,2,FALSE)&amp;" - Per "&amp;VLOOKUP($C$4,'Writing Logic'!$G$8:$H$14,2,FALSE),YES_Writing_ELA[#Headers],0))=0,"",INDEX(_xlfn.VSTACK(YES_Writing_ELA[#Data],YES_Writing_FLA[#Data]),MATCH($A478,_xlfn.VSTACK(YES_Writing_ELA[Student Number],YES_Writing_FLA[Student Number]),0),MATCH(VLOOKUP(D$7,'Writing Logic'!$J$7:$K$11,2,FALSE)&amp;" - Per "&amp;VLOOKUP($C$4,'Writing Logic'!$G$8:$H$14,2,FALSE),YES_Writing_ELA[#Headers],0)))="INS",'Writing Logic'!$B$7,IF(INDEX(_xlfn.VSTACK(YES_Writing_ELA[#Data],YES_Writing_FLA[#Data]),MATCH($A478,_xlfn.VSTACK(YES_Writing_ELA[Student Number],YES_Writing_FLA[Student Number]),0),MATCH(VLOOKUP(D$7,'Writing Logic'!$J$7:$K$11,2,FALSE)&amp;" - Per "&amp;VLOOKUP($C$4,'Writing Logic'!$G$8:$H$14,2,FALSE),YES_Writing_ELA[#Headers],0))=0,"",INDEX(_xlfn.VSTACK(YES_Writing_ELA[#Data],YES_Writing_FLA[#Data]),MATCH($A478,_xlfn.VSTACK(YES_Writing_ELA[Student Number],YES_Writing_FLA[Student Number]),0),MATCH(VLOOKUP(D$7,'Writing Logic'!$J$7:$K$11,2,FALSE)&amp;" - Per "&amp;VLOOKUP($C$4,'Writing Logic'!$G$8:$H$14,2,FALSE),YES_Writing_ELA[#Headers],0)))),"")</f>
        <v/>
      </c>
      <c r="E478" s="138" t="str">
        <f>IFERROR(IF(IF(INDEX(_xlfn.VSTACK(YES_Writing_ELA[#Data],YES_Writing_FLA[#Data]),MATCH($A478,_xlfn.VSTACK(YES_Writing_ELA[Student Number],YES_Writing_FLA[Student Number]),0),MATCH(VLOOKUP(E$7,'Writing Logic'!$J$7:$K$11,2,FALSE)&amp;" - Per "&amp;VLOOKUP($C$4,'Writing Logic'!$G$8:$H$14,2,FALSE),YES_Writing_ELA[#Headers],0))=0,"",INDEX(_xlfn.VSTACK(YES_Writing_ELA[#Data],YES_Writing_FLA[#Data]),MATCH($A478,_xlfn.VSTACK(YES_Writing_ELA[Student Number],YES_Writing_FLA[Student Number]),0),MATCH(VLOOKUP(E$7,'Writing Logic'!$J$7:$K$11,2,FALSE)&amp;" - Per "&amp;VLOOKUP($C$4,'Writing Logic'!$G$8:$H$14,2,FALSE),YES_Writing_ELA[#Headers],0)))="INS",'Writing Logic'!$B$7,IF(INDEX(_xlfn.VSTACK(YES_Writing_ELA[#Data],YES_Writing_FLA[#Data]),MATCH($A478,_xlfn.VSTACK(YES_Writing_ELA[Student Number],YES_Writing_FLA[Student Number]),0),MATCH(VLOOKUP(E$7,'Writing Logic'!$J$7:$K$11,2,FALSE)&amp;" - Per "&amp;VLOOKUP($C$4,'Writing Logic'!$G$8:$H$14,2,FALSE),YES_Writing_ELA[#Headers],0))=0,"",INDEX(_xlfn.VSTACK(YES_Writing_ELA[#Data],YES_Writing_FLA[#Data]),MATCH($A478,_xlfn.VSTACK(YES_Writing_ELA[Student Number],YES_Writing_FLA[Student Number]),0),MATCH(VLOOKUP(E$7,'Writing Logic'!$J$7:$K$11,2,FALSE)&amp;" - Per "&amp;VLOOKUP($C$4,'Writing Logic'!$G$8:$H$14,2,FALSE),YES_Writing_ELA[#Headers],0)))),"")</f>
        <v/>
      </c>
      <c r="F478" s="138" t="str">
        <f>IFERROR(IF(IF(INDEX(_xlfn.VSTACK(YES_Writing_ELA[#Data],YES_Writing_FLA[#Data]),MATCH($A478,_xlfn.VSTACK(YES_Writing_ELA[Student Number],YES_Writing_FLA[Student Number]),0),MATCH(VLOOKUP(F$7,'Writing Logic'!$J$7:$K$11,2,FALSE)&amp;" - Per "&amp;VLOOKUP($C$4,'Writing Logic'!$G$8:$H$14,2,FALSE),YES_Writing_ELA[#Headers],0))=0,"",INDEX(_xlfn.VSTACK(YES_Writing_ELA[#Data],YES_Writing_FLA[#Data]),MATCH($A478,_xlfn.VSTACK(YES_Writing_ELA[Student Number],YES_Writing_FLA[Student Number]),0),MATCH(VLOOKUP(F$7,'Writing Logic'!$J$7:$K$11,2,FALSE)&amp;" - Per "&amp;VLOOKUP($C$4,'Writing Logic'!$G$8:$H$14,2,FALSE),YES_Writing_ELA[#Headers],0)))="INS",'Writing Logic'!$B$7,IF(INDEX(_xlfn.VSTACK(YES_Writing_ELA[#Data],YES_Writing_FLA[#Data]),MATCH($A478,_xlfn.VSTACK(YES_Writing_ELA[Student Number],YES_Writing_FLA[Student Number]),0),MATCH(VLOOKUP(F$7,'Writing Logic'!$J$7:$K$11,2,FALSE)&amp;" - Per "&amp;VLOOKUP($C$4,'Writing Logic'!$G$8:$H$14,2,FALSE),YES_Writing_ELA[#Headers],0))=0,"",INDEX(_xlfn.VSTACK(YES_Writing_ELA[#Data],YES_Writing_FLA[#Data]),MATCH($A478,_xlfn.VSTACK(YES_Writing_ELA[Student Number],YES_Writing_FLA[Student Number]),0),MATCH(VLOOKUP(F$7,'Writing Logic'!$J$7:$K$11,2,FALSE)&amp;" - Per "&amp;VLOOKUP($C$4,'Writing Logic'!$G$8:$H$14,2,FALSE),YES_Writing_ELA[#Headers],0)))),"")</f>
        <v/>
      </c>
      <c r="G478" s="138" t="str">
        <f>IFERROR(IF(IF(INDEX(_xlfn.VSTACK(YES_Writing_ELA[#Data],YES_Writing_FLA[#Data]),MATCH($A478,_xlfn.VSTACK(YES_Writing_ELA[Student Number],YES_Writing_FLA[Student Number]),0),MATCH(VLOOKUP(G$7,'Writing Logic'!$J$7:$K$11,2,FALSE)&amp;" - Per "&amp;VLOOKUP($C$4,'Writing Logic'!$G$8:$H$14,2,FALSE),YES_Writing_ELA[#Headers],0))=0,"",INDEX(_xlfn.VSTACK(YES_Writing_ELA[#Data],YES_Writing_FLA[#Data]),MATCH($A478,_xlfn.VSTACK(YES_Writing_ELA[Student Number],YES_Writing_FLA[Student Number]),0),MATCH(VLOOKUP(G$7,'Writing Logic'!$J$7:$K$11,2,FALSE)&amp;" - Per "&amp;VLOOKUP($C$4,'Writing Logic'!$G$8:$H$14,2,FALSE),YES_Writing_ELA[#Headers],0)))="INS",'Writing Logic'!$B$7,IF(INDEX(_xlfn.VSTACK(YES_Writing_ELA[#Data],YES_Writing_FLA[#Data]),MATCH($A478,_xlfn.VSTACK(YES_Writing_ELA[Student Number],YES_Writing_FLA[Student Number]),0),MATCH(VLOOKUP(G$7,'Writing Logic'!$J$7:$K$11,2,FALSE)&amp;" - Per "&amp;VLOOKUP($C$4,'Writing Logic'!$G$8:$H$14,2,FALSE),YES_Writing_ELA[#Headers],0))=0,"",INDEX(_xlfn.VSTACK(YES_Writing_ELA[#Data],YES_Writing_FLA[#Data]),MATCH($A478,_xlfn.VSTACK(YES_Writing_ELA[Student Number],YES_Writing_FLA[Student Number]),0),MATCH(VLOOKUP(G$7,'Writing Logic'!$J$7:$K$11,2,FALSE)&amp;" - Per "&amp;VLOOKUP($C$4,'Writing Logic'!$G$8:$H$14,2,FALSE),YES_Writing_ELA[#Headers],0)))),"")</f>
        <v/>
      </c>
      <c r="H478" s="138" t="str">
        <f>IFERROR(IF(IF(INDEX(_xlfn.VSTACK(YES_Writing_ELA[#Data],YES_Writing_FLA[#Data]),MATCH($A478,_xlfn.VSTACK(YES_Writing_ELA[Student Number],YES_Writing_FLA[Student Number]),0),MATCH(VLOOKUP(H$7,'Writing Logic'!$J$7:$K$11,2,FALSE)&amp;" - Per "&amp;VLOOKUP($C$4,'Writing Logic'!$G$8:$H$14,2,FALSE),YES_Writing_ELA[#Headers],0))=0,"",INDEX(_xlfn.VSTACK(YES_Writing_ELA[#Data],YES_Writing_FLA[#Data]),MATCH($A478,_xlfn.VSTACK(YES_Writing_ELA[Student Number],YES_Writing_FLA[Student Number]),0),MATCH(VLOOKUP(H$7,'Writing Logic'!$J$7:$K$11,2,FALSE)&amp;" - Per "&amp;VLOOKUP($C$4,'Writing Logic'!$G$8:$H$14,2,FALSE),YES_Writing_ELA[#Headers],0)))="INS",'Writing Logic'!$B$7,IF(INDEX(_xlfn.VSTACK(YES_Writing_ELA[#Data],YES_Writing_FLA[#Data]),MATCH($A478,_xlfn.VSTACK(YES_Writing_ELA[Student Number],YES_Writing_FLA[Student Number]),0),MATCH(VLOOKUP(H$7,'Writing Logic'!$J$7:$K$11,2,FALSE)&amp;" - Per "&amp;VLOOKUP($C$4,'Writing Logic'!$G$8:$H$14,2,FALSE),YES_Writing_ELA[#Headers],0))=0,"",INDEX(_xlfn.VSTACK(YES_Writing_ELA[#Data],YES_Writing_FLA[#Data]),MATCH($A478,_xlfn.VSTACK(YES_Writing_ELA[Student Number],YES_Writing_FLA[Student Number]),0),MATCH(VLOOKUP(H$7,'Writing Logic'!$J$7:$K$11,2,FALSE)&amp;" - Per "&amp;VLOOKUP($C$4,'Writing Logic'!$G$8:$H$14,2,FALSE),YES_Writing_ELA[#Headers],0)))),"")</f>
        <v/>
      </c>
    </row>
    <row r="479" spans="1:8" x14ac:dyDescent="0.25">
      <c r="A479" s="137"/>
      <c r="B479" s="137" t="str">
        <f>IFERROR(INDEX(_xlfn.VSTACK(YES_Writing_ELA[#Data], YES_Writing_FLA[#Data]),MATCH($A479,_xlfn.VSTACK(YES_Writing_ELA[Student Number], YES_Writing_FLA[Student Number]),0),MATCH(B$7,YES_Writing_ELA[#Headers],0)),"")</f>
        <v/>
      </c>
      <c r="C479" s="137" t="str">
        <f>IFERROR(INDEX(_xlfn.VSTACK(YES_Writing_ELA[#Data], YES_Writing_FLA[#Data]),MATCH($A479,_xlfn.VSTACK(YES_Writing_ELA[Student Number], YES_Writing_FLA[Student Number]),0),MATCH(C$7,YES_Writing_ELA[#Headers],0)),"")</f>
        <v/>
      </c>
      <c r="D479" s="138" t="str">
        <f>IFERROR(IF(IF(INDEX(_xlfn.VSTACK(YES_Writing_ELA[#Data],YES_Writing_FLA[#Data]),MATCH($A479,_xlfn.VSTACK(YES_Writing_ELA[Student Number],YES_Writing_FLA[Student Number]),0),MATCH(VLOOKUP(D$7,'Writing Logic'!$J$7:$K$11,2,FALSE)&amp;" - Per "&amp;VLOOKUP($C$4,'Writing Logic'!$G$8:$H$14,2,FALSE),YES_Writing_ELA[#Headers],0))=0,"",INDEX(_xlfn.VSTACK(YES_Writing_ELA[#Data],YES_Writing_FLA[#Data]),MATCH($A479,_xlfn.VSTACK(YES_Writing_ELA[Student Number],YES_Writing_FLA[Student Number]),0),MATCH(VLOOKUP(D$7,'Writing Logic'!$J$7:$K$11,2,FALSE)&amp;" - Per "&amp;VLOOKUP($C$4,'Writing Logic'!$G$8:$H$14,2,FALSE),YES_Writing_ELA[#Headers],0)))="INS",'Writing Logic'!$B$7,IF(INDEX(_xlfn.VSTACK(YES_Writing_ELA[#Data],YES_Writing_FLA[#Data]),MATCH($A479,_xlfn.VSTACK(YES_Writing_ELA[Student Number],YES_Writing_FLA[Student Number]),0),MATCH(VLOOKUP(D$7,'Writing Logic'!$J$7:$K$11,2,FALSE)&amp;" - Per "&amp;VLOOKUP($C$4,'Writing Logic'!$G$8:$H$14,2,FALSE),YES_Writing_ELA[#Headers],0))=0,"",INDEX(_xlfn.VSTACK(YES_Writing_ELA[#Data],YES_Writing_FLA[#Data]),MATCH($A479,_xlfn.VSTACK(YES_Writing_ELA[Student Number],YES_Writing_FLA[Student Number]),0),MATCH(VLOOKUP(D$7,'Writing Logic'!$J$7:$K$11,2,FALSE)&amp;" - Per "&amp;VLOOKUP($C$4,'Writing Logic'!$G$8:$H$14,2,FALSE),YES_Writing_ELA[#Headers],0)))),"")</f>
        <v/>
      </c>
      <c r="E479" s="138" t="str">
        <f>IFERROR(IF(IF(INDEX(_xlfn.VSTACK(YES_Writing_ELA[#Data],YES_Writing_FLA[#Data]),MATCH($A479,_xlfn.VSTACK(YES_Writing_ELA[Student Number],YES_Writing_FLA[Student Number]),0),MATCH(VLOOKUP(E$7,'Writing Logic'!$J$7:$K$11,2,FALSE)&amp;" - Per "&amp;VLOOKUP($C$4,'Writing Logic'!$G$8:$H$14,2,FALSE),YES_Writing_ELA[#Headers],0))=0,"",INDEX(_xlfn.VSTACK(YES_Writing_ELA[#Data],YES_Writing_FLA[#Data]),MATCH($A479,_xlfn.VSTACK(YES_Writing_ELA[Student Number],YES_Writing_FLA[Student Number]),0),MATCH(VLOOKUP(E$7,'Writing Logic'!$J$7:$K$11,2,FALSE)&amp;" - Per "&amp;VLOOKUP($C$4,'Writing Logic'!$G$8:$H$14,2,FALSE),YES_Writing_ELA[#Headers],0)))="INS",'Writing Logic'!$B$7,IF(INDEX(_xlfn.VSTACK(YES_Writing_ELA[#Data],YES_Writing_FLA[#Data]),MATCH($A479,_xlfn.VSTACK(YES_Writing_ELA[Student Number],YES_Writing_FLA[Student Number]),0),MATCH(VLOOKUP(E$7,'Writing Logic'!$J$7:$K$11,2,FALSE)&amp;" - Per "&amp;VLOOKUP($C$4,'Writing Logic'!$G$8:$H$14,2,FALSE),YES_Writing_ELA[#Headers],0))=0,"",INDEX(_xlfn.VSTACK(YES_Writing_ELA[#Data],YES_Writing_FLA[#Data]),MATCH($A479,_xlfn.VSTACK(YES_Writing_ELA[Student Number],YES_Writing_FLA[Student Number]),0),MATCH(VLOOKUP(E$7,'Writing Logic'!$J$7:$K$11,2,FALSE)&amp;" - Per "&amp;VLOOKUP($C$4,'Writing Logic'!$G$8:$H$14,2,FALSE),YES_Writing_ELA[#Headers],0)))),"")</f>
        <v/>
      </c>
      <c r="F479" s="138" t="str">
        <f>IFERROR(IF(IF(INDEX(_xlfn.VSTACK(YES_Writing_ELA[#Data],YES_Writing_FLA[#Data]),MATCH($A479,_xlfn.VSTACK(YES_Writing_ELA[Student Number],YES_Writing_FLA[Student Number]),0),MATCH(VLOOKUP(F$7,'Writing Logic'!$J$7:$K$11,2,FALSE)&amp;" - Per "&amp;VLOOKUP($C$4,'Writing Logic'!$G$8:$H$14,2,FALSE),YES_Writing_ELA[#Headers],0))=0,"",INDEX(_xlfn.VSTACK(YES_Writing_ELA[#Data],YES_Writing_FLA[#Data]),MATCH($A479,_xlfn.VSTACK(YES_Writing_ELA[Student Number],YES_Writing_FLA[Student Number]),0),MATCH(VLOOKUP(F$7,'Writing Logic'!$J$7:$K$11,2,FALSE)&amp;" - Per "&amp;VLOOKUP($C$4,'Writing Logic'!$G$8:$H$14,2,FALSE),YES_Writing_ELA[#Headers],0)))="INS",'Writing Logic'!$B$7,IF(INDEX(_xlfn.VSTACK(YES_Writing_ELA[#Data],YES_Writing_FLA[#Data]),MATCH($A479,_xlfn.VSTACK(YES_Writing_ELA[Student Number],YES_Writing_FLA[Student Number]),0),MATCH(VLOOKUP(F$7,'Writing Logic'!$J$7:$K$11,2,FALSE)&amp;" - Per "&amp;VLOOKUP($C$4,'Writing Logic'!$G$8:$H$14,2,FALSE),YES_Writing_ELA[#Headers],0))=0,"",INDEX(_xlfn.VSTACK(YES_Writing_ELA[#Data],YES_Writing_FLA[#Data]),MATCH($A479,_xlfn.VSTACK(YES_Writing_ELA[Student Number],YES_Writing_FLA[Student Number]),0),MATCH(VLOOKUP(F$7,'Writing Logic'!$J$7:$K$11,2,FALSE)&amp;" - Per "&amp;VLOOKUP($C$4,'Writing Logic'!$G$8:$H$14,2,FALSE),YES_Writing_ELA[#Headers],0)))),"")</f>
        <v/>
      </c>
      <c r="G479" s="138" t="str">
        <f>IFERROR(IF(IF(INDEX(_xlfn.VSTACK(YES_Writing_ELA[#Data],YES_Writing_FLA[#Data]),MATCH($A479,_xlfn.VSTACK(YES_Writing_ELA[Student Number],YES_Writing_FLA[Student Number]),0),MATCH(VLOOKUP(G$7,'Writing Logic'!$J$7:$K$11,2,FALSE)&amp;" - Per "&amp;VLOOKUP($C$4,'Writing Logic'!$G$8:$H$14,2,FALSE),YES_Writing_ELA[#Headers],0))=0,"",INDEX(_xlfn.VSTACK(YES_Writing_ELA[#Data],YES_Writing_FLA[#Data]),MATCH($A479,_xlfn.VSTACK(YES_Writing_ELA[Student Number],YES_Writing_FLA[Student Number]),0),MATCH(VLOOKUP(G$7,'Writing Logic'!$J$7:$K$11,2,FALSE)&amp;" - Per "&amp;VLOOKUP($C$4,'Writing Logic'!$G$8:$H$14,2,FALSE),YES_Writing_ELA[#Headers],0)))="INS",'Writing Logic'!$B$7,IF(INDEX(_xlfn.VSTACK(YES_Writing_ELA[#Data],YES_Writing_FLA[#Data]),MATCH($A479,_xlfn.VSTACK(YES_Writing_ELA[Student Number],YES_Writing_FLA[Student Number]),0),MATCH(VLOOKUP(G$7,'Writing Logic'!$J$7:$K$11,2,FALSE)&amp;" - Per "&amp;VLOOKUP($C$4,'Writing Logic'!$G$8:$H$14,2,FALSE),YES_Writing_ELA[#Headers],0))=0,"",INDEX(_xlfn.VSTACK(YES_Writing_ELA[#Data],YES_Writing_FLA[#Data]),MATCH($A479,_xlfn.VSTACK(YES_Writing_ELA[Student Number],YES_Writing_FLA[Student Number]),0),MATCH(VLOOKUP(G$7,'Writing Logic'!$J$7:$K$11,2,FALSE)&amp;" - Per "&amp;VLOOKUP($C$4,'Writing Logic'!$G$8:$H$14,2,FALSE),YES_Writing_ELA[#Headers],0)))),"")</f>
        <v/>
      </c>
      <c r="H479" s="138" t="str">
        <f>IFERROR(IF(IF(INDEX(_xlfn.VSTACK(YES_Writing_ELA[#Data],YES_Writing_FLA[#Data]),MATCH($A479,_xlfn.VSTACK(YES_Writing_ELA[Student Number],YES_Writing_FLA[Student Number]),0),MATCH(VLOOKUP(H$7,'Writing Logic'!$J$7:$K$11,2,FALSE)&amp;" - Per "&amp;VLOOKUP($C$4,'Writing Logic'!$G$8:$H$14,2,FALSE),YES_Writing_ELA[#Headers],0))=0,"",INDEX(_xlfn.VSTACK(YES_Writing_ELA[#Data],YES_Writing_FLA[#Data]),MATCH($A479,_xlfn.VSTACK(YES_Writing_ELA[Student Number],YES_Writing_FLA[Student Number]),0),MATCH(VLOOKUP(H$7,'Writing Logic'!$J$7:$K$11,2,FALSE)&amp;" - Per "&amp;VLOOKUP($C$4,'Writing Logic'!$G$8:$H$14,2,FALSE),YES_Writing_ELA[#Headers],0)))="INS",'Writing Logic'!$B$7,IF(INDEX(_xlfn.VSTACK(YES_Writing_ELA[#Data],YES_Writing_FLA[#Data]),MATCH($A479,_xlfn.VSTACK(YES_Writing_ELA[Student Number],YES_Writing_FLA[Student Number]),0),MATCH(VLOOKUP(H$7,'Writing Logic'!$J$7:$K$11,2,FALSE)&amp;" - Per "&amp;VLOOKUP($C$4,'Writing Logic'!$G$8:$H$14,2,FALSE),YES_Writing_ELA[#Headers],0))=0,"",INDEX(_xlfn.VSTACK(YES_Writing_ELA[#Data],YES_Writing_FLA[#Data]),MATCH($A479,_xlfn.VSTACK(YES_Writing_ELA[Student Number],YES_Writing_FLA[Student Number]),0),MATCH(VLOOKUP(H$7,'Writing Logic'!$J$7:$K$11,2,FALSE)&amp;" - Per "&amp;VLOOKUP($C$4,'Writing Logic'!$G$8:$H$14,2,FALSE),YES_Writing_ELA[#Headers],0)))),"")</f>
        <v/>
      </c>
    </row>
    <row r="480" spans="1:8" x14ac:dyDescent="0.25">
      <c r="A480" s="137"/>
      <c r="B480" s="137" t="str">
        <f>IFERROR(INDEX(_xlfn.VSTACK(YES_Writing_ELA[#Data], YES_Writing_FLA[#Data]),MATCH($A480,_xlfn.VSTACK(YES_Writing_ELA[Student Number], YES_Writing_FLA[Student Number]),0),MATCH(B$7,YES_Writing_ELA[#Headers],0)),"")</f>
        <v/>
      </c>
      <c r="C480" s="137" t="str">
        <f>IFERROR(INDEX(_xlfn.VSTACK(YES_Writing_ELA[#Data], YES_Writing_FLA[#Data]),MATCH($A480,_xlfn.VSTACK(YES_Writing_ELA[Student Number], YES_Writing_FLA[Student Number]),0),MATCH(C$7,YES_Writing_ELA[#Headers],0)),"")</f>
        <v/>
      </c>
      <c r="D480" s="138" t="str">
        <f>IFERROR(IF(IF(INDEX(_xlfn.VSTACK(YES_Writing_ELA[#Data],YES_Writing_FLA[#Data]),MATCH($A480,_xlfn.VSTACK(YES_Writing_ELA[Student Number],YES_Writing_FLA[Student Number]),0),MATCH(VLOOKUP(D$7,'Writing Logic'!$J$7:$K$11,2,FALSE)&amp;" - Per "&amp;VLOOKUP($C$4,'Writing Logic'!$G$8:$H$14,2,FALSE),YES_Writing_ELA[#Headers],0))=0,"",INDEX(_xlfn.VSTACK(YES_Writing_ELA[#Data],YES_Writing_FLA[#Data]),MATCH($A480,_xlfn.VSTACK(YES_Writing_ELA[Student Number],YES_Writing_FLA[Student Number]),0),MATCH(VLOOKUP(D$7,'Writing Logic'!$J$7:$K$11,2,FALSE)&amp;" - Per "&amp;VLOOKUP($C$4,'Writing Logic'!$G$8:$H$14,2,FALSE),YES_Writing_ELA[#Headers],0)))="INS",'Writing Logic'!$B$7,IF(INDEX(_xlfn.VSTACK(YES_Writing_ELA[#Data],YES_Writing_FLA[#Data]),MATCH($A480,_xlfn.VSTACK(YES_Writing_ELA[Student Number],YES_Writing_FLA[Student Number]),0),MATCH(VLOOKUP(D$7,'Writing Logic'!$J$7:$K$11,2,FALSE)&amp;" - Per "&amp;VLOOKUP($C$4,'Writing Logic'!$G$8:$H$14,2,FALSE),YES_Writing_ELA[#Headers],0))=0,"",INDEX(_xlfn.VSTACK(YES_Writing_ELA[#Data],YES_Writing_FLA[#Data]),MATCH($A480,_xlfn.VSTACK(YES_Writing_ELA[Student Number],YES_Writing_FLA[Student Number]),0),MATCH(VLOOKUP(D$7,'Writing Logic'!$J$7:$K$11,2,FALSE)&amp;" - Per "&amp;VLOOKUP($C$4,'Writing Logic'!$G$8:$H$14,2,FALSE),YES_Writing_ELA[#Headers],0)))),"")</f>
        <v/>
      </c>
      <c r="E480" s="138" t="str">
        <f>IFERROR(IF(IF(INDEX(_xlfn.VSTACK(YES_Writing_ELA[#Data],YES_Writing_FLA[#Data]),MATCH($A480,_xlfn.VSTACK(YES_Writing_ELA[Student Number],YES_Writing_FLA[Student Number]),0),MATCH(VLOOKUP(E$7,'Writing Logic'!$J$7:$K$11,2,FALSE)&amp;" - Per "&amp;VLOOKUP($C$4,'Writing Logic'!$G$8:$H$14,2,FALSE),YES_Writing_ELA[#Headers],0))=0,"",INDEX(_xlfn.VSTACK(YES_Writing_ELA[#Data],YES_Writing_FLA[#Data]),MATCH($A480,_xlfn.VSTACK(YES_Writing_ELA[Student Number],YES_Writing_FLA[Student Number]),0),MATCH(VLOOKUP(E$7,'Writing Logic'!$J$7:$K$11,2,FALSE)&amp;" - Per "&amp;VLOOKUP($C$4,'Writing Logic'!$G$8:$H$14,2,FALSE),YES_Writing_ELA[#Headers],0)))="INS",'Writing Logic'!$B$7,IF(INDEX(_xlfn.VSTACK(YES_Writing_ELA[#Data],YES_Writing_FLA[#Data]),MATCH($A480,_xlfn.VSTACK(YES_Writing_ELA[Student Number],YES_Writing_FLA[Student Number]),0),MATCH(VLOOKUP(E$7,'Writing Logic'!$J$7:$K$11,2,FALSE)&amp;" - Per "&amp;VLOOKUP($C$4,'Writing Logic'!$G$8:$H$14,2,FALSE),YES_Writing_ELA[#Headers],0))=0,"",INDEX(_xlfn.VSTACK(YES_Writing_ELA[#Data],YES_Writing_FLA[#Data]),MATCH($A480,_xlfn.VSTACK(YES_Writing_ELA[Student Number],YES_Writing_FLA[Student Number]),0),MATCH(VLOOKUP(E$7,'Writing Logic'!$J$7:$K$11,2,FALSE)&amp;" - Per "&amp;VLOOKUP($C$4,'Writing Logic'!$G$8:$H$14,2,FALSE),YES_Writing_ELA[#Headers],0)))),"")</f>
        <v/>
      </c>
      <c r="F480" s="138" t="str">
        <f>IFERROR(IF(IF(INDEX(_xlfn.VSTACK(YES_Writing_ELA[#Data],YES_Writing_FLA[#Data]),MATCH($A480,_xlfn.VSTACK(YES_Writing_ELA[Student Number],YES_Writing_FLA[Student Number]),0),MATCH(VLOOKUP(F$7,'Writing Logic'!$J$7:$K$11,2,FALSE)&amp;" - Per "&amp;VLOOKUP($C$4,'Writing Logic'!$G$8:$H$14,2,FALSE),YES_Writing_ELA[#Headers],0))=0,"",INDEX(_xlfn.VSTACK(YES_Writing_ELA[#Data],YES_Writing_FLA[#Data]),MATCH($A480,_xlfn.VSTACK(YES_Writing_ELA[Student Number],YES_Writing_FLA[Student Number]),0),MATCH(VLOOKUP(F$7,'Writing Logic'!$J$7:$K$11,2,FALSE)&amp;" - Per "&amp;VLOOKUP($C$4,'Writing Logic'!$G$8:$H$14,2,FALSE),YES_Writing_ELA[#Headers],0)))="INS",'Writing Logic'!$B$7,IF(INDEX(_xlfn.VSTACK(YES_Writing_ELA[#Data],YES_Writing_FLA[#Data]),MATCH($A480,_xlfn.VSTACK(YES_Writing_ELA[Student Number],YES_Writing_FLA[Student Number]),0),MATCH(VLOOKUP(F$7,'Writing Logic'!$J$7:$K$11,2,FALSE)&amp;" - Per "&amp;VLOOKUP($C$4,'Writing Logic'!$G$8:$H$14,2,FALSE),YES_Writing_ELA[#Headers],0))=0,"",INDEX(_xlfn.VSTACK(YES_Writing_ELA[#Data],YES_Writing_FLA[#Data]),MATCH($A480,_xlfn.VSTACK(YES_Writing_ELA[Student Number],YES_Writing_FLA[Student Number]),0),MATCH(VLOOKUP(F$7,'Writing Logic'!$J$7:$K$11,2,FALSE)&amp;" - Per "&amp;VLOOKUP($C$4,'Writing Logic'!$G$8:$H$14,2,FALSE),YES_Writing_ELA[#Headers],0)))),"")</f>
        <v/>
      </c>
      <c r="G480" s="138" t="str">
        <f>IFERROR(IF(IF(INDEX(_xlfn.VSTACK(YES_Writing_ELA[#Data],YES_Writing_FLA[#Data]),MATCH($A480,_xlfn.VSTACK(YES_Writing_ELA[Student Number],YES_Writing_FLA[Student Number]),0),MATCH(VLOOKUP(G$7,'Writing Logic'!$J$7:$K$11,2,FALSE)&amp;" - Per "&amp;VLOOKUP($C$4,'Writing Logic'!$G$8:$H$14,2,FALSE),YES_Writing_ELA[#Headers],0))=0,"",INDEX(_xlfn.VSTACK(YES_Writing_ELA[#Data],YES_Writing_FLA[#Data]),MATCH($A480,_xlfn.VSTACK(YES_Writing_ELA[Student Number],YES_Writing_FLA[Student Number]),0),MATCH(VLOOKUP(G$7,'Writing Logic'!$J$7:$K$11,2,FALSE)&amp;" - Per "&amp;VLOOKUP($C$4,'Writing Logic'!$G$8:$H$14,2,FALSE),YES_Writing_ELA[#Headers],0)))="INS",'Writing Logic'!$B$7,IF(INDEX(_xlfn.VSTACK(YES_Writing_ELA[#Data],YES_Writing_FLA[#Data]),MATCH($A480,_xlfn.VSTACK(YES_Writing_ELA[Student Number],YES_Writing_FLA[Student Number]),0),MATCH(VLOOKUP(G$7,'Writing Logic'!$J$7:$K$11,2,FALSE)&amp;" - Per "&amp;VLOOKUP($C$4,'Writing Logic'!$G$8:$H$14,2,FALSE),YES_Writing_ELA[#Headers],0))=0,"",INDEX(_xlfn.VSTACK(YES_Writing_ELA[#Data],YES_Writing_FLA[#Data]),MATCH($A480,_xlfn.VSTACK(YES_Writing_ELA[Student Number],YES_Writing_FLA[Student Number]),0),MATCH(VLOOKUP(G$7,'Writing Logic'!$J$7:$K$11,2,FALSE)&amp;" - Per "&amp;VLOOKUP($C$4,'Writing Logic'!$G$8:$H$14,2,FALSE),YES_Writing_ELA[#Headers],0)))),"")</f>
        <v/>
      </c>
      <c r="H480" s="138" t="str">
        <f>IFERROR(IF(IF(INDEX(_xlfn.VSTACK(YES_Writing_ELA[#Data],YES_Writing_FLA[#Data]),MATCH($A480,_xlfn.VSTACK(YES_Writing_ELA[Student Number],YES_Writing_FLA[Student Number]),0),MATCH(VLOOKUP(H$7,'Writing Logic'!$J$7:$K$11,2,FALSE)&amp;" - Per "&amp;VLOOKUP($C$4,'Writing Logic'!$G$8:$H$14,2,FALSE),YES_Writing_ELA[#Headers],0))=0,"",INDEX(_xlfn.VSTACK(YES_Writing_ELA[#Data],YES_Writing_FLA[#Data]),MATCH($A480,_xlfn.VSTACK(YES_Writing_ELA[Student Number],YES_Writing_FLA[Student Number]),0),MATCH(VLOOKUP(H$7,'Writing Logic'!$J$7:$K$11,2,FALSE)&amp;" - Per "&amp;VLOOKUP($C$4,'Writing Logic'!$G$8:$H$14,2,FALSE),YES_Writing_ELA[#Headers],0)))="INS",'Writing Logic'!$B$7,IF(INDEX(_xlfn.VSTACK(YES_Writing_ELA[#Data],YES_Writing_FLA[#Data]),MATCH($A480,_xlfn.VSTACK(YES_Writing_ELA[Student Number],YES_Writing_FLA[Student Number]),0),MATCH(VLOOKUP(H$7,'Writing Logic'!$J$7:$K$11,2,FALSE)&amp;" - Per "&amp;VLOOKUP($C$4,'Writing Logic'!$G$8:$H$14,2,FALSE),YES_Writing_ELA[#Headers],0))=0,"",INDEX(_xlfn.VSTACK(YES_Writing_ELA[#Data],YES_Writing_FLA[#Data]),MATCH($A480,_xlfn.VSTACK(YES_Writing_ELA[Student Number],YES_Writing_FLA[Student Number]),0),MATCH(VLOOKUP(H$7,'Writing Logic'!$J$7:$K$11,2,FALSE)&amp;" - Per "&amp;VLOOKUP($C$4,'Writing Logic'!$G$8:$H$14,2,FALSE),YES_Writing_ELA[#Headers],0)))),"")</f>
        <v/>
      </c>
    </row>
    <row r="481" spans="1:8" x14ac:dyDescent="0.25">
      <c r="A481" s="137"/>
      <c r="B481" s="137" t="str">
        <f>IFERROR(INDEX(_xlfn.VSTACK(YES_Writing_ELA[#Data], YES_Writing_FLA[#Data]),MATCH($A481,_xlfn.VSTACK(YES_Writing_ELA[Student Number], YES_Writing_FLA[Student Number]),0),MATCH(B$7,YES_Writing_ELA[#Headers],0)),"")</f>
        <v/>
      </c>
      <c r="C481" s="137" t="str">
        <f>IFERROR(INDEX(_xlfn.VSTACK(YES_Writing_ELA[#Data], YES_Writing_FLA[#Data]),MATCH($A481,_xlfn.VSTACK(YES_Writing_ELA[Student Number], YES_Writing_FLA[Student Number]),0),MATCH(C$7,YES_Writing_ELA[#Headers],0)),"")</f>
        <v/>
      </c>
      <c r="D481" s="138" t="str">
        <f>IFERROR(IF(IF(INDEX(_xlfn.VSTACK(YES_Writing_ELA[#Data],YES_Writing_FLA[#Data]),MATCH($A481,_xlfn.VSTACK(YES_Writing_ELA[Student Number],YES_Writing_FLA[Student Number]),0),MATCH(VLOOKUP(D$7,'Writing Logic'!$J$7:$K$11,2,FALSE)&amp;" - Per "&amp;VLOOKUP($C$4,'Writing Logic'!$G$8:$H$14,2,FALSE),YES_Writing_ELA[#Headers],0))=0,"",INDEX(_xlfn.VSTACK(YES_Writing_ELA[#Data],YES_Writing_FLA[#Data]),MATCH($A481,_xlfn.VSTACK(YES_Writing_ELA[Student Number],YES_Writing_FLA[Student Number]),0),MATCH(VLOOKUP(D$7,'Writing Logic'!$J$7:$K$11,2,FALSE)&amp;" - Per "&amp;VLOOKUP($C$4,'Writing Logic'!$G$8:$H$14,2,FALSE),YES_Writing_ELA[#Headers],0)))="INS",'Writing Logic'!$B$7,IF(INDEX(_xlfn.VSTACK(YES_Writing_ELA[#Data],YES_Writing_FLA[#Data]),MATCH($A481,_xlfn.VSTACK(YES_Writing_ELA[Student Number],YES_Writing_FLA[Student Number]),0),MATCH(VLOOKUP(D$7,'Writing Logic'!$J$7:$K$11,2,FALSE)&amp;" - Per "&amp;VLOOKUP($C$4,'Writing Logic'!$G$8:$H$14,2,FALSE),YES_Writing_ELA[#Headers],0))=0,"",INDEX(_xlfn.VSTACK(YES_Writing_ELA[#Data],YES_Writing_FLA[#Data]),MATCH($A481,_xlfn.VSTACK(YES_Writing_ELA[Student Number],YES_Writing_FLA[Student Number]),0),MATCH(VLOOKUP(D$7,'Writing Logic'!$J$7:$K$11,2,FALSE)&amp;" - Per "&amp;VLOOKUP($C$4,'Writing Logic'!$G$8:$H$14,2,FALSE),YES_Writing_ELA[#Headers],0)))),"")</f>
        <v/>
      </c>
      <c r="E481" s="138" t="str">
        <f>IFERROR(IF(IF(INDEX(_xlfn.VSTACK(YES_Writing_ELA[#Data],YES_Writing_FLA[#Data]),MATCH($A481,_xlfn.VSTACK(YES_Writing_ELA[Student Number],YES_Writing_FLA[Student Number]),0),MATCH(VLOOKUP(E$7,'Writing Logic'!$J$7:$K$11,2,FALSE)&amp;" - Per "&amp;VLOOKUP($C$4,'Writing Logic'!$G$8:$H$14,2,FALSE),YES_Writing_ELA[#Headers],0))=0,"",INDEX(_xlfn.VSTACK(YES_Writing_ELA[#Data],YES_Writing_FLA[#Data]),MATCH($A481,_xlfn.VSTACK(YES_Writing_ELA[Student Number],YES_Writing_FLA[Student Number]),0),MATCH(VLOOKUP(E$7,'Writing Logic'!$J$7:$K$11,2,FALSE)&amp;" - Per "&amp;VLOOKUP($C$4,'Writing Logic'!$G$8:$H$14,2,FALSE),YES_Writing_ELA[#Headers],0)))="INS",'Writing Logic'!$B$7,IF(INDEX(_xlfn.VSTACK(YES_Writing_ELA[#Data],YES_Writing_FLA[#Data]),MATCH($A481,_xlfn.VSTACK(YES_Writing_ELA[Student Number],YES_Writing_FLA[Student Number]),0),MATCH(VLOOKUP(E$7,'Writing Logic'!$J$7:$K$11,2,FALSE)&amp;" - Per "&amp;VLOOKUP($C$4,'Writing Logic'!$G$8:$H$14,2,FALSE),YES_Writing_ELA[#Headers],0))=0,"",INDEX(_xlfn.VSTACK(YES_Writing_ELA[#Data],YES_Writing_FLA[#Data]),MATCH($A481,_xlfn.VSTACK(YES_Writing_ELA[Student Number],YES_Writing_FLA[Student Number]),0),MATCH(VLOOKUP(E$7,'Writing Logic'!$J$7:$K$11,2,FALSE)&amp;" - Per "&amp;VLOOKUP($C$4,'Writing Logic'!$G$8:$H$14,2,FALSE),YES_Writing_ELA[#Headers],0)))),"")</f>
        <v/>
      </c>
      <c r="F481" s="138" t="str">
        <f>IFERROR(IF(IF(INDEX(_xlfn.VSTACK(YES_Writing_ELA[#Data],YES_Writing_FLA[#Data]),MATCH($A481,_xlfn.VSTACK(YES_Writing_ELA[Student Number],YES_Writing_FLA[Student Number]),0),MATCH(VLOOKUP(F$7,'Writing Logic'!$J$7:$K$11,2,FALSE)&amp;" - Per "&amp;VLOOKUP($C$4,'Writing Logic'!$G$8:$H$14,2,FALSE),YES_Writing_ELA[#Headers],0))=0,"",INDEX(_xlfn.VSTACK(YES_Writing_ELA[#Data],YES_Writing_FLA[#Data]),MATCH($A481,_xlfn.VSTACK(YES_Writing_ELA[Student Number],YES_Writing_FLA[Student Number]),0),MATCH(VLOOKUP(F$7,'Writing Logic'!$J$7:$K$11,2,FALSE)&amp;" - Per "&amp;VLOOKUP($C$4,'Writing Logic'!$G$8:$H$14,2,FALSE),YES_Writing_ELA[#Headers],0)))="INS",'Writing Logic'!$B$7,IF(INDEX(_xlfn.VSTACK(YES_Writing_ELA[#Data],YES_Writing_FLA[#Data]),MATCH($A481,_xlfn.VSTACK(YES_Writing_ELA[Student Number],YES_Writing_FLA[Student Number]),0),MATCH(VLOOKUP(F$7,'Writing Logic'!$J$7:$K$11,2,FALSE)&amp;" - Per "&amp;VLOOKUP($C$4,'Writing Logic'!$G$8:$H$14,2,FALSE),YES_Writing_ELA[#Headers],0))=0,"",INDEX(_xlfn.VSTACK(YES_Writing_ELA[#Data],YES_Writing_FLA[#Data]),MATCH($A481,_xlfn.VSTACK(YES_Writing_ELA[Student Number],YES_Writing_FLA[Student Number]),0),MATCH(VLOOKUP(F$7,'Writing Logic'!$J$7:$K$11,2,FALSE)&amp;" - Per "&amp;VLOOKUP($C$4,'Writing Logic'!$G$8:$H$14,2,FALSE),YES_Writing_ELA[#Headers],0)))),"")</f>
        <v/>
      </c>
      <c r="G481" s="138" t="str">
        <f>IFERROR(IF(IF(INDEX(_xlfn.VSTACK(YES_Writing_ELA[#Data],YES_Writing_FLA[#Data]),MATCH($A481,_xlfn.VSTACK(YES_Writing_ELA[Student Number],YES_Writing_FLA[Student Number]),0),MATCH(VLOOKUP(G$7,'Writing Logic'!$J$7:$K$11,2,FALSE)&amp;" - Per "&amp;VLOOKUP($C$4,'Writing Logic'!$G$8:$H$14,2,FALSE),YES_Writing_ELA[#Headers],0))=0,"",INDEX(_xlfn.VSTACK(YES_Writing_ELA[#Data],YES_Writing_FLA[#Data]),MATCH($A481,_xlfn.VSTACK(YES_Writing_ELA[Student Number],YES_Writing_FLA[Student Number]),0),MATCH(VLOOKUP(G$7,'Writing Logic'!$J$7:$K$11,2,FALSE)&amp;" - Per "&amp;VLOOKUP($C$4,'Writing Logic'!$G$8:$H$14,2,FALSE),YES_Writing_ELA[#Headers],0)))="INS",'Writing Logic'!$B$7,IF(INDEX(_xlfn.VSTACK(YES_Writing_ELA[#Data],YES_Writing_FLA[#Data]),MATCH($A481,_xlfn.VSTACK(YES_Writing_ELA[Student Number],YES_Writing_FLA[Student Number]),0),MATCH(VLOOKUP(G$7,'Writing Logic'!$J$7:$K$11,2,FALSE)&amp;" - Per "&amp;VLOOKUP($C$4,'Writing Logic'!$G$8:$H$14,2,FALSE),YES_Writing_ELA[#Headers],0))=0,"",INDEX(_xlfn.VSTACK(YES_Writing_ELA[#Data],YES_Writing_FLA[#Data]),MATCH($A481,_xlfn.VSTACK(YES_Writing_ELA[Student Number],YES_Writing_FLA[Student Number]),0),MATCH(VLOOKUP(G$7,'Writing Logic'!$J$7:$K$11,2,FALSE)&amp;" - Per "&amp;VLOOKUP($C$4,'Writing Logic'!$G$8:$H$14,2,FALSE),YES_Writing_ELA[#Headers],0)))),"")</f>
        <v/>
      </c>
      <c r="H481" s="138" t="str">
        <f>IFERROR(IF(IF(INDEX(_xlfn.VSTACK(YES_Writing_ELA[#Data],YES_Writing_FLA[#Data]),MATCH($A481,_xlfn.VSTACK(YES_Writing_ELA[Student Number],YES_Writing_FLA[Student Number]),0),MATCH(VLOOKUP(H$7,'Writing Logic'!$J$7:$K$11,2,FALSE)&amp;" - Per "&amp;VLOOKUP($C$4,'Writing Logic'!$G$8:$H$14,2,FALSE),YES_Writing_ELA[#Headers],0))=0,"",INDEX(_xlfn.VSTACK(YES_Writing_ELA[#Data],YES_Writing_FLA[#Data]),MATCH($A481,_xlfn.VSTACK(YES_Writing_ELA[Student Number],YES_Writing_FLA[Student Number]),0),MATCH(VLOOKUP(H$7,'Writing Logic'!$J$7:$K$11,2,FALSE)&amp;" - Per "&amp;VLOOKUP($C$4,'Writing Logic'!$G$8:$H$14,2,FALSE),YES_Writing_ELA[#Headers],0)))="INS",'Writing Logic'!$B$7,IF(INDEX(_xlfn.VSTACK(YES_Writing_ELA[#Data],YES_Writing_FLA[#Data]),MATCH($A481,_xlfn.VSTACK(YES_Writing_ELA[Student Number],YES_Writing_FLA[Student Number]),0),MATCH(VLOOKUP(H$7,'Writing Logic'!$J$7:$K$11,2,FALSE)&amp;" - Per "&amp;VLOOKUP($C$4,'Writing Logic'!$G$8:$H$14,2,FALSE),YES_Writing_ELA[#Headers],0))=0,"",INDEX(_xlfn.VSTACK(YES_Writing_ELA[#Data],YES_Writing_FLA[#Data]),MATCH($A481,_xlfn.VSTACK(YES_Writing_ELA[Student Number],YES_Writing_FLA[Student Number]),0),MATCH(VLOOKUP(H$7,'Writing Logic'!$J$7:$K$11,2,FALSE)&amp;" - Per "&amp;VLOOKUP($C$4,'Writing Logic'!$G$8:$H$14,2,FALSE),YES_Writing_ELA[#Headers],0)))),"")</f>
        <v/>
      </c>
    </row>
    <row r="482" spans="1:8" x14ac:dyDescent="0.25">
      <c r="A482" s="137"/>
      <c r="B482" s="137" t="str">
        <f>IFERROR(INDEX(_xlfn.VSTACK(YES_Writing_ELA[#Data], YES_Writing_FLA[#Data]),MATCH($A482,_xlfn.VSTACK(YES_Writing_ELA[Student Number], YES_Writing_FLA[Student Number]),0),MATCH(B$7,YES_Writing_ELA[#Headers],0)),"")</f>
        <v/>
      </c>
      <c r="C482" s="137" t="str">
        <f>IFERROR(INDEX(_xlfn.VSTACK(YES_Writing_ELA[#Data], YES_Writing_FLA[#Data]),MATCH($A482,_xlfn.VSTACK(YES_Writing_ELA[Student Number], YES_Writing_FLA[Student Number]),0),MATCH(C$7,YES_Writing_ELA[#Headers],0)),"")</f>
        <v/>
      </c>
      <c r="D482" s="138" t="str">
        <f>IFERROR(IF(IF(INDEX(_xlfn.VSTACK(YES_Writing_ELA[#Data],YES_Writing_FLA[#Data]),MATCH($A482,_xlfn.VSTACK(YES_Writing_ELA[Student Number],YES_Writing_FLA[Student Number]),0),MATCH(VLOOKUP(D$7,'Writing Logic'!$J$7:$K$11,2,FALSE)&amp;" - Per "&amp;VLOOKUP($C$4,'Writing Logic'!$G$8:$H$14,2,FALSE),YES_Writing_ELA[#Headers],0))=0,"",INDEX(_xlfn.VSTACK(YES_Writing_ELA[#Data],YES_Writing_FLA[#Data]),MATCH($A482,_xlfn.VSTACK(YES_Writing_ELA[Student Number],YES_Writing_FLA[Student Number]),0),MATCH(VLOOKUP(D$7,'Writing Logic'!$J$7:$K$11,2,FALSE)&amp;" - Per "&amp;VLOOKUP($C$4,'Writing Logic'!$G$8:$H$14,2,FALSE),YES_Writing_ELA[#Headers],0)))="INS",'Writing Logic'!$B$7,IF(INDEX(_xlfn.VSTACK(YES_Writing_ELA[#Data],YES_Writing_FLA[#Data]),MATCH($A482,_xlfn.VSTACK(YES_Writing_ELA[Student Number],YES_Writing_FLA[Student Number]),0),MATCH(VLOOKUP(D$7,'Writing Logic'!$J$7:$K$11,2,FALSE)&amp;" - Per "&amp;VLOOKUP($C$4,'Writing Logic'!$G$8:$H$14,2,FALSE),YES_Writing_ELA[#Headers],0))=0,"",INDEX(_xlfn.VSTACK(YES_Writing_ELA[#Data],YES_Writing_FLA[#Data]),MATCH($A482,_xlfn.VSTACK(YES_Writing_ELA[Student Number],YES_Writing_FLA[Student Number]),0),MATCH(VLOOKUP(D$7,'Writing Logic'!$J$7:$K$11,2,FALSE)&amp;" - Per "&amp;VLOOKUP($C$4,'Writing Logic'!$G$8:$H$14,2,FALSE),YES_Writing_ELA[#Headers],0)))),"")</f>
        <v/>
      </c>
      <c r="E482" s="138" t="str">
        <f>IFERROR(IF(IF(INDEX(_xlfn.VSTACK(YES_Writing_ELA[#Data],YES_Writing_FLA[#Data]),MATCH($A482,_xlfn.VSTACK(YES_Writing_ELA[Student Number],YES_Writing_FLA[Student Number]),0),MATCH(VLOOKUP(E$7,'Writing Logic'!$J$7:$K$11,2,FALSE)&amp;" - Per "&amp;VLOOKUP($C$4,'Writing Logic'!$G$8:$H$14,2,FALSE),YES_Writing_ELA[#Headers],0))=0,"",INDEX(_xlfn.VSTACK(YES_Writing_ELA[#Data],YES_Writing_FLA[#Data]),MATCH($A482,_xlfn.VSTACK(YES_Writing_ELA[Student Number],YES_Writing_FLA[Student Number]),0),MATCH(VLOOKUP(E$7,'Writing Logic'!$J$7:$K$11,2,FALSE)&amp;" - Per "&amp;VLOOKUP($C$4,'Writing Logic'!$G$8:$H$14,2,FALSE),YES_Writing_ELA[#Headers],0)))="INS",'Writing Logic'!$B$7,IF(INDEX(_xlfn.VSTACK(YES_Writing_ELA[#Data],YES_Writing_FLA[#Data]),MATCH($A482,_xlfn.VSTACK(YES_Writing_ELA[Student Number],YES_Writing_FLA[Student Number]),0),MATCH(VLOOKUP(E$7,'Writing Logic'!$J$7:$K$11,2,FALSE)&amp;" - Per "&amp;VLOOKUP($C$4,'Writing Logic'!$G$8:$H$14,2,FALSE),YES_Writing_ELA[#Headers],0))=0,"",INDEX(_xlfn.VSTACK(YES_Writing_ELA[#Data],YES_Writing_FLA[#Data]),MATCH($A482,_xlfn.VSTACK(YES_Writing_ELA[Student Number],YES_Writing_FLA[Student Number]),0),MATCH(VLOOKUP(E$7,'Writing Logic'!$J$7:$K$11,2,FALSE)&amp;" - Per "&amp;VLOOKUP($C$4,'Writing Logic'!$G$8:$H$14,2,FALSE),YES_Writing_ELA[#Headers],0)))),"")</f>
        <v/>
      </c>
      <c r="F482" s="138" t="str">
        <f>IFERROR(IF(IF(INDEX(_xlfn.VSTACK(YES_Writing_ELA[#Data],YES_Writing_FLA[#Data]),MATCH($A482,_xlfn.VSTACK(YES_Writing_ELA[Student Number],YES_Writing_FLA[Student Number]),0),MATCH(VLOOKUP(F$7,'Writing Logic'!$J$7:$K$11,2,FALSE)&amp;" - Per "&amp;VLOOKUP($C$4,'Writing Logic'!$G$8:$H$14,2,FALSE),YES_Writing_ELA[#Headers],0))=0,"",INDEX(_xlfn.VSTACK(YES_Writing_ELA[#Data],YES_Writing_FLA[#Data]),MATCH($A482,_xlfn.VSTACK(YES_Writing_ELA[Student Number],YES_Writing_FLA[Student Number]),0),MATCH(VLOOKUP(F$7,'Writing Logic'!$J$7:$K$11,2,FALSE)&amp;" - Per "&amp;VLOOKUP($C$4,'Writing Logic'!$G$8:$H$14,2,FALSE),YES_Writing_ELA[#Headers],0)))="INS",'Writing Logic'!$B$7,IF(INDEX(_xlfn.VSTACK(YES_Writing_ELA[#Data],YES_Writing_FLA[#Data]),MATCH($A482,_xlfn.VSTACK(YES_Writing_ELA[Student Number],YES_Writing_FLA[Student Number]),0),MATCH(VLOOKUP(F$7,'Writing Logic'!$J$7:$K$11,2,FALSE)&amp;" - Per "&amp;VLOOKUP($C$4,'Writing Logic'!$G$8:$H$14,2,FALSE),YES_Writing_ELA[#Headers],0))=0,"",INDEX(_xlfn.VSTACK(YES_Writing_ELA[#Data],YES_Writing_FLA[#Data]),MATCH($A482,_xlfn.VSTACK(YES_Writing_ELA[Student Number],YES_Writing_FLA[Student Number]),0),MATCH(VLOOKUP(F$7,'Writing Logic'!$J$7:$K$11,2,FALSE)&amp;" - Per "&amp;VLOOKUP($C$4,'Writing Logic'!$G$8:$H$14,2,FALSE),YES_Writing_ELA[#Headers],0)))),"")</f>
        <v/>
      </c>
      <c r="G482" s="138" t="str">
        <f>IFERROR(IF(IF(INDEX(_xlfn.VSTACK(YES_Writing_ELA[#Data],YES_Writing_FLA[#Data]),MATCH($A482,_xlfn.VSTACK(YES_Writing_ELA[Student Number],YES_Writing_FLA[Student Number]),0),MATCH(VLOOKUP(G$7,'Writing Logic'!$J$7:$K$11,2,FALSE)&amp;" - Per "&amp;VLOOKUP($C$4,'Writing Logic'!$G$8:$H$14,2,FALSE),YES_Writing_ELA[#Headers],0))=0,"",INDEX(_xlfn.VSTACK(YES_Writing_ELA[#Data],YES_Writing_FLA[#Data]),MATCH($A482,_xlfn.VSTACK(YES_Writing_ELA[Student Number],YES_Writing_FLA[Student Number]),0),MATCH(VLOOKUP(G$7,'Writing Logic'!$J$7:$K$11,2,FALSE)&amp;" - Per "&amp;VLOOKUP($C$4,'Writing Logic'!$G$8:$H$14,2,FALSE),YES_Writing_ELA[#Headers],0)))="INS",'Writing Logic'!$B$7,IF(INDEX(_xlfn.VSTACK(YES_Writing_ELA[#Data],YES_Writing_FLA[#Data]),MATCH($A482,_xlfn.VSTACK(YES_Writing_ELA[Student Number],YES_Writing_FLA[Student Number]),0),MATCH(VLOOKUP(G$7,'Writing Logic'!$J$7:$K$11,2,FALSE)&amp;" - Per "&amp;VLOOKUP($C$4,'Writing Logic'!$G$8:$H$14,2,FALSE),YES_Writing_ELA[#Headers],0))=0,"",INDEX(_xlfn.VSTACK(YES_Writing_ELA[#Data],YES_Writing_FLA[#Data]),MATCH($A482,_xlfn.VSTACK(YES_Writing_ELA[Student Number],YES_Writing_FLA[Student Number]),0),MATCH(VLOOKUP(G$7,'Writing Logic'!$J$7:$K$11,2,FALSE)&amp;" - Per "&amp;VLOOKUP($C$4,'Writing Logic'!$G$8:$H$14,2,FALSE),YES_Writing_ELA[#Headers],0)))),"")</f>
        <v/>
      </c>
      <c r="H482" s="138" t="str">
        <f>IFERROR(IF(IF(INDEX(_xlfn.VSTACK(YES_Writing_ELA[#Data],YES_Writing_FLA[#Data]),MATCH($A482,_xlfn.VSTACK(YES_Writing_ELA[Student Number],YES_Writing_FLA[Student Number]),0),MATCH(VLOOKUP(H$7,'Writing Logic'!$J$7:$K$11,2,FALSE)&amp;" - Per "&amp;VLOOKUP($C$4,'Writing Logic'!$G$8:$H$14,2,FALSE),YES_Writing_ELA[#Headers],0))=0,"",INDEX(_xlfn.VSTACK(YES_Writing_ELA[#Data],YES_Writing_FLA[#Data]),MATCH($A482,_xlfn.VSTACK(YES_Writing_ELA[Student Number],YES_Writing_FLA[Student Number]),0),MATCH(VLOOKUP(H$7,'Writing Logic'!$J$7:$K$11,2,FALSE)&amp;" - Per "&amp;VLOOKUP($C$4,'Writing Logic'!$G$8:$H$14,2,FALSE),YES_Writing_ELA[#Headers],0)))="INS",'Writing Logic'!$B$7,IF(INDEX(_xlfn.VSTACK(YES_Writing_ELA[#Data],YES_Writing_FLA[#Data]),MATCH($A482,_xlfn.VSTACK(YES_Writing_ELA[Student Number],YES_Writing_FLA[Student Number]),0),MATCH(VLOOKUP(H$7,'Writing Logic'!$J$7:$K$11,2,FALSE)&amp;" - Per "&amp;VLOOKUP($C$4,'Writing Logic'!$G$8:$H$14,2,FALSE),YES_Writing_ELA[#Headers],0))=0,"",INDEX(_xlfn.VSTACK(YES_Writing_ELA[#Data],YES_Writing_FLA[#Data]),MATCH($A482,_xlfn.VSTACK(YES_Writing_ELA[Student Number],YES_Writing_FLA[Student Number]),0),MATCH(VLOOKUP(H$7,'Writing Logic'!$J$7:$K$11,2,FALSE)&amp;" - Per "&amp;VLOOKUP($C$4,'Writing Logic'!$G$8:$H$14,2,FALSE),YES_Writing_ELA[#Headers],0)))),"")</f>
        <v/>
      </c>
    </row>
    <row r="483" spans="1:8" x14ac:dyDescent="0.25">
      <c r="A483" s="137"/>
      <c r="B483" s="137" t="str">
        <f>IFERROR(INDEX(_xlfn.VSTACK(YES_Writing_ELA[#Data], YES_Writing_FLA[#Data]),MATCH($A483,_xlfn.VSTACK(YES_Writing_ELA[Student Number], YES_Writing_FLA[Student Number]),0),MATCH(B$7,YES_Writing_ELA[#Headers],0)),"")</f>
        <v/>
      </c>
      <c r="C483" s="137" t="str">
        <f>IFERROR(INDEX(_xlfn.VSTACK(YES_Writing_ELA[#Data], YES_Writing_FLA[#Data]),MATCH($A483,_xlfn.VSTACK(YES_Writing_ELA[Student Number], YES_Writing_FLA[Student Number]),0),MATCH(C$7,YES_Writing_ELA[#Headers],0)),"")</f>
        <v/>
      </c>
      <c r="D483" s="138" t="str">
        <f>IFERROR(IF(IF(INDEX(_xlfn.VSTACK(YES_Writing_ELA[#Data],YES_Writing_FLA[#Data]),MATCH($A483,_xlfn.VSTACK(YES_Writing_ELA[Student Number],YES_Writing_FLA[Student Number]),0),MATCH(VLOOKUP(D$7,'Writing Logic'!$J$7:$K$11,2,FALSE)&amp;" - Per "&amp;VLOOKUP($C$4,'Writing Logic'!$G$8:$H$14,2,FALSE),YES_Writing_ELA[#Headers],0))=0,"",INDEX(_xlfn.VSTACK(YES_Writing_ELA[#Data],YES_Writing_FLA[#Data]),MATCH($A483,_xlfn.VSTACK(YES_Writing_ELA[Student Number],YES_Writing_FLA[Student Number]),0),MATCH(VLOOKUP(D$7,'Writing Logic'!$J$7:$K$11,2,FALSE)&amp;" - Per "&amp;VLOOKUP($C$4,'Writing Logic'!$G$8:$H$14,2,FALSE),YES_Writing_ELA[#Headers],0)))="INS",'Writing Logic'!$B$7,IF(INDEX(_xlfn.VSTACK(YES_Writing_ELA[#Data],YES_Writing_FLA[#Data]),MATCH($A483,_xlfn.VSTACK(YES_Writing_ELA[Student Number],YES_Writing_FLA[Student Number]),0),MATCH(VLOOKUP(D$7,'Writing Logic'!$J$7:$K$11,2,FALSE)&amp;" - Per "&amp;VLOOKUP($C$4,'Writing Logic'!$G$8:$H$14,2,FALSE),YES_Writing_ELA[#Headers],0))=0,"",INDEX(_xlfn.VSTACK(YES_Writing_ELA[#Data],YES_Writing_FLA[#Data]),MATCH($A483,_xlfn.VSTACK(YES_Writing_ELA[Student Number],YES_Writing_FLA[Student Number]),0),MATCH(VLOOKUP(D$7,'Writing Logic'!$J$7:$K$11,2,FALSE)&amp;" - Per "&amp;VLOOKUP($C$4,'Writing Logic'!$G$8:$H$14,2,FALSE),YES_Writing_ELA[#Headers],0)))),"")</f>
        <v/>
      </c>
      <c r="E483" s="138" t="str">
        <f>IFERROR(IF(IF(INDEX(_xlfn.VSTACK(YES_Writing_ELA[#Data],YES_Writing_FLA[#Data]),MATCH($A483,_xlfn.VSTACK(YES_Writing_ELA[Student Number],YES_Writing_FLA[Student Number]),0),MATCH(VLOOKUP(E$7,'Writing Logic'!$J$7:$K$11,2,FALSE)&amp;" - Per "&amp;VLOOKUP($C$4,'Writing Logic'!$G$8:$H$14,2,FALSE),YES_Writing_ELA[#Headers],0))=0,"",INDEX(_xlfn.VSTACK(YES_Writing_ELA[#Data],YES_Writing_FLA[#Data]),MATCH($A483,_xlfn.VSTACK(YES_Writing_ELA[Student Number],YES_Writing_FLA[Student Number]),0),MATCH(VLOOKUP(E$7,'Writing Logic'!$J$7:$K$11,2,FALSE)&amp;" - Per "&amp;VLOOKUP($C$4,'Writing Logic'!$G$8:$H$14,2,FALSE),YES_Writing_ELA[#Headers],0)))="INS",'Writing Logic'!$B$7,IF(INDEX(_xlfn.VSTACK(YES_Writing_ELA[#Data],YES_Writing_FLA[#Data]),MATCH($A483,_xlfn.VSTACK(YES_Writing_ELA[Student Number],YES_Writing_FLA[Student Number]),0),MATCH(VLOOKUP(E$7,'Writing Logic'!$J$7:$K$11,2,FALSE)&amp;" - Per "&amp;VLOOKUP($C$4,'Writing Logic'!$G$8:$H$14,2,FALSE),YES_Writing_ELA[#Headers],0))=0,"",INDEX(_xlfn.VSTACK(YES_Writing_ELA[#Data],YES_Writing_FLA[#Data]),MATCH($A483,_xlfn.VSTACK(YES_Writing_ELA[Student Number],YES_Writing_FLA[Student Number]),0),MATCH(VLOOKUP(E$7,'Writing Logic'!$J$7:$K$11,2,FALSE)&amp;" - Per "&amp;VLOOKUP($C$4,'Writing Logic'!$G$8:$H$14,2,FALSE),YES_Writing_ELA[#Headers],0)))),"")</f>
        <v/>
      </c>
      <c r="F483" s="138" t="str">
        <f>IFERROR(IF(IF(INDEX(_xlfn.VSTACK(YES_Writing_ELA[#Data],YES_Writing_FLA[#Data]),MATCH($A483,_xlfn.VSTACK(YES_Writing_ELA[Student Number],YES_Writing_FLA[Student Number]),0),MATCH(VLOOKUP(F$7,'Writing Logic'!$J$7:$K$11,2,FALSE)&amp;" - Per "&amp;VLOOKUP($C$4,'Writing Logic'!$G$8:$H$14,2,FALSE),YES_Writing_ELA[#Headers],0))=0,"",INDEX(_xlfn.VSTACK(YES_Writing_ELA[#Data],YES_Writing_FLA[#Data]),MATCH($A483,_xlfn.VSTACK(YES_Writing_ELA[Student Number],YES_Writing_FLA[Student Number]),0),MATCH(VLOOKUP(F$7,'Writing Logic'!$J$7:$K$11,2,FALSE)&amp;" - Per "&amp;VLOOKUP($C$4,'Writing Logic'!$G$8:$H$14,2,FALSE),YES_Writing_ELA[#Headers],0)))="INS",'Writing Logic'!$B$7,IF(INDEX(_xlfn.VSTACK(YES_Writing_ELA[#Data],YES_Writing_FLA[#Data]),MATCH($A483,_xlfn.VSTACK(YES_Writing_ELA[Student Number],YES_Writing_FLA[Student Number]),0),MATCH(VLOOKUP(F$7,'Writing Logic'!$J$7:$K$11,2,FALSE)&amp;" - Per "&amp;VLOOKUP($C$4,'Writing Logic'!$G$8:$H$14,2,FALSE),YES_Writing_ELA[#Headers],0))=0,"",INDEX(_xlfn.VSTACK(YES_Writing_ELA[#Data],YES_Writing_FLA[#Data]),MATCH($A483,_xlfn.VSTACK(YES_Writing_ELA[Student Number],YES_Writing_FLA[Student Number]),0),MATCH(VLOOKUP(F$7,'Writing Logic'!$J$7:$K$11,2,FALSE)&amp;" - Per "&amp;VLOOKUP($C$4,'Writing Logic'!$G$8:$H$14,2,FALSE),YES_Writing_ELA[#Headers],0)))),"")</f>
        <v/>
      </c>
      <c r="G483" s="138" t="str">
        <f>IFERROR(IF(IF(INDEX(_xlfn.VSTACK(YES_Writing_ELA[#Data],YES_Writing_FLA[#Data]),MATCH($A483,_xlfn.VSTACK(YES_Writing_ELA[Student Number],YES_Writing_FLA[Student Number]),0),MATCH(VLOOKUP(G$7,'Writing Logic'!$J$7:$K$11,2,FALSE)&amp;" - Per "&amp;VLOOKUP($C$4,'Writing Logic'!$G$8:$H$14,2,FALSE),YES_Writing_ELA[#Headers],0))=0,"",INDEX(_xlfn.VSTACK(YES_Writing_ELA[#Data],YES_Writing_FLA[#Data]),MATCH($A483,_xlfn.VSTACK(YES_Writing_ELA[Student Number],YES_Writing_FLA[Student Number]),0),MATCH(VLOOKUP(G$7,'Writing Logic'!$J$7:$K$11,2,FALSE)&amp;" - Per "&amp;VLOOKUP($C$4,'Writing Logic'!$G$8:$H$14,2,FALSE),YES_Writing_ELA[#Headers],0)))="INS",'Writing Logic'!$B$7,IF(INDEX(_xlfn.VSTACK(YES_Writing_ELA[#Data],YES_Writing_FLA[#Data]),MATCH($A483,_xlfn.VSTACK(YES_Writing_ELA[Student Number],YES_Writing_FLA[Student Number]),0),MATCH(VLOOKUP(G$7,'Writing Logic'!$J$7:$K$11,2,FALSE)&amp;" - Per "&amp;VLOOKUP($C$4,'Writing Logic'!$G$8:$H$14,2,FALSE),YES_Writing_ELA[#Headers],0))=0,"",INDEX(_xlfn.VSTACK(YES_Writing_ELA[#Data],YES_Writing_FLA[#Data]),MATCH($A483,_xlfn.VSTACK(YES_Writing_ELA[Student Number],YES_Writing_FLA[Student Number]),0),MATCH(VLOOKUP(G$7,'Writing Logic'!$J$7:$K$11,2,FALSE)&amp;" - Per "&amp;VLOOKUP($C$4,'Writing Logic'!$G$8:$H$14,2,FALSE),YES_Writing_ELA[#Headers],0)))),"")</f>
        <v/>
      </c>
      <c r="H483" s="138" t="str">
        <f>IFERROR(IF(IF(INDEX(_xlfn.VSTACK(YES_Writing_ELA[#Data],YES_Writing_FLA[#Data]),MATCH($A483,_xlfn.VSTACK(YES_Writing_ELA[Student Number],YES_Writing_FLA[Student Number]),0),MATCH(VLOOKUP(H$7,'Writing Logic'!$J$7:$K$11,2,FALSE)&amp;" - Per "&amp;VLOOKUP($C$4,'Writing Logic'!$G$8:$H$14,2,FALSE),YES_Writing_ELA[#Headers],0))=0,"",INDEX(_xlfn.VSTACK(YES_Writing_ELA[#Data],YES_Writing_FLA[#Data]),MATCH($A483,_xlfn.VSTACK(YES_Writing_ELA[Student Number],YES_Writing_FLA[Student Number]),0),MATCH(VLOOKUP(H$7,'Writing Logic'!$J$7:$K$11,2,FALSE)&amp;" - Per "&amp;VLOOKUP($C$4,'Writing Logic'!$G$8:$H$14,2,FALSE),YES_Writing_ELA[#Headers],0)))="INS",'Writing Logic'!$B$7,IF(INDEX(_xlfn.VSTACK(YES_Writing_ELA[#Data],YES_Writing_FLA[#Data]),MATCH($A483,_xlfn.VSTACK(YES_Writing_ELA[Student Number],YES_Writing_FLA[Student Number]),0),MATCH(VLOOKUP(H$7,'Writing Logic'!$J$7:$K$11,2,FALSE)&amp;" - Per "&amp;VLOOKUP($C$4,'Writing Logic'!$G$8:$H$14,2,FALSE),YES_Writing_ELA[#Headers],0))=0,"",INDEX(_xlfn.VSTACK(YES_Writing_ELA[#Data],YES_Writing_FLA[#Data]),MATCH($A483,_xlfn.VSTACK(YES_Writing_ELA[Student Number],YES_Writing_FLA[Student Number]),0),MATCH(VLOOKUP(H$7,'Writing Logic'!$J$7:$K$11,2,FALSE)&amp;" - Per "&amp;VLOOKUP($C$4,'Writing Logic'!$G$8:$H$14,2,FALSE),YES_Writing_ELA[#Headers],0)))),"")</f>
        <v/>
      </c>
    </row>
    <row r="484" spans="1:8" x14ac:dyDescent="0.25">
      <c r="A484" s="137"/>
      <c r="B484" s="137" t="str">
        <f>IFERROR(INDEX(_xlfn.VSTACK(YES_Writing_ELA[#Data], YES_Writing_FLA[#Data]),MATCH($A484,_xlfn.VSTACK(YES_Writing_ELA[Student Number], YES_Writing_FLA[Student Number]),0),MATCH(B$7,YES_Writing_ELA[#Headers],0)),"")</f>
        <v/>
      </c>
      <c r="C484" s="137" t="str">
        <f>IFERROR(INDEX(_xlfn.VSTACK(YES_Writing_ELA[#Data], YES_Writing_FLA[#Data]),MATCH($A484,_xlfn.VSTACK(YES_Writing_ELA[Student Number], YES_Writing_FLA[Student Number]),0),MATCH(C$7,YES_Writing_ELA[#Headers],0)),"")</f>
        <v/>
      </c>
      <c r="D484" s="138" t="str">
        <f>IFERROR(IF(IF(INDEX(_xlfn.VSTACK(YES_Writing_ELA[#Data],YES_Writing_FLA[#Data]),MATCH($A484,_xlfn.VSTACK(YES_Writing_ELA[Student Number],YES_Writing_FLA[Student Number]),0),MATCH(VLOOKUP(D$7,'Writing Logic'!$J$7:$K$11,2,FALSE)&amp;" - Per "&amp;VLOOKUP($C$4,'Writing Logic'!$G$8:$H$14,2,FALSE),YES_Writing_ELA[#Headers],0))=0,"",INDEX(_xlfn.VSTACK(YES_Writing_ELA[#Data],YES_Writing_FLA[#Data]),MATCH($A484,_xlfn.VSTACK(YES_Writing_ELA[Student Number],YES_Writing_FLA[Student Number]),0),MATCH(VLOOKUP(D$7,'Writing Logic'!$J$7:$K$11,2,FALSE)&amp;" - Per "&amp;VLOOKUP($C$4,'Writing Logic'!$G$8:$H$14,2,FALSE),YES_Writing_ELA[#Headers],0)))="INS",'Writing Logic'!$B$7,IF(INDEX(_xlfn.VSTACK(YES_Writing_ELA[#Data],YES_Writing_FLA[#Data]),MATCH($A484,_xlfn.VSTACK(YES_Writing_ELA[Student Number],YES_Writing_FLA[Student Number]),0),MATCH(VLOOKUP(D$7,'Writing Logic'!$J$7:$K$11,2,FALSE)&amp;" - Per "&amp;VLOOKUP($C$4,'Writing Logic'!$G$8:$H$14,2,FALSE),YES_Writing_ELA[#Headers],0))=0,"",INDEX(_xlfn.VSTACK(YES_Writing_ELA[#Data],YES_Writing_FLA[#Data]),MATCH($A484,_xlfn.VSTACK(YES_Writing_ELA[Student Number],YES_Writing_FLA[Student Number]),0),MATCH(VLOOKUP(D$7,'Writing Logic'!$J$7:$K$11,2,FALSE)&amp;" - Per "&amp;VLOOKUP($C$4,'Writing Logic'!$G$8:$H$14,2,FALSE),YES_Writing_ELA[#Headers],0)))),"")</f>
        <v/>
      </c>
      <c r="E484" s="138" t="str">
        <f>IFERROR(IF(IF(INDEX(_xlfn.VSTACK(YES_Writing_ELA[#Data],YES_Writing_FLA[#Data]),MATCH($A484,_xlfn.VSTACK(YES_Writing_ELA[Student Number],YES_Writing_FLA[Student Number]),0),MATCH(VLOOKUP(E$7,'Writing Logic'!$J$7:$K$11,2,FALSE)&amp;" - Per "&amp;VLOOKUP($C$4,'Writing Logic'!$G$8:$H$14,2,FALSE),YES_Writing_ELA[#Headers],0))=0,"",INDEX(_xlfn.VSTACK(YES_Writing_ELA[#Data],YES_Writing_FLA[#Data]),MATCH($A484,_xlfn.VSTACK(YES_Writing_ELA[Student Number],YES_Writing_FLA[Student Number]),0),MATCH(VLOOKUP(E$7,'Writing Logic'!$J$7:$K$11,2,FALSE)&amp;" - Per "&amp;VLOOKUP($C$4,'Writing Logic'!$G$8:$H$14,2,FALSE),YES_Writing_ELA[#Headers],0)))="INS",'Writing Logic'!$B$7,IF(INDEX(_xlfn.VSTACK(YES_Writing_ELA[#Data],YES_Writing_FLA[#Data]),MATCH($A484,_xlfn.VSTACK(YES_Writing_ELA[Student Number],YES_Writing_FLA[Student Number]),0),MATCH(VLOOKUP(E$7,'Writing Logic'!$J$7:$K$11,2,FALSE)&amp;" - Per "&amp;VLOOKUP($C$4,'Writing Logic'!$G$8:$H$14,2,FALSE),YES_Writing_ELA[#Headers],0))=0,"",INDEX(_xlfn.VSTACK(YES_Writing_ELA[#Data],YES_Writing_FLA[#Data]),MATCH($A484,_xlfn.VSTACK(YES_Writing_ELA[Student Number],YES_Writing_FLA[Student Number]),0),MATCH(VLOOKUP(E$7,'Writing Logic'!$J$7:$K$11,2,FALSE)&amp;" - Per "&amp;VLOOKUP($C$4,'Writing Logic'!$G$8:$H$14,2,FALSE),YES_Writing_ELA[#Headers],0)))),"")</f>
        <v/>
      </c>
      <c r="F484" s="138" t="str">
        <f>IFERROR(IF(IF(INDEX(_xlfn.VSTACK(YES_Writing_ELA[#Data],YES_Writing_FLA[#Data]),MATCH($A484,_xlfn.VSTACK(YES_Writing_ELA[Student Number],YES_Writing_FLA[Student Number]),0),MATCH(VLOOKUP(F$7,'Writing Logic'!$J$7:$K$11,2,FALSE)&amp;" - Per "&amp;VLOOKUP($C$4,'Writing Logic'!$G$8:$H$14,2,FALSE),YES_Writing_ELA[#Headers],0))=0,"",INDEX(_xlfn.VSTACK(YES_Writing_ELA[#Data],YES_Writing_FLA[#Data]),MATCH($A484,_xlfn.VSTACK(YES_Writing_ELA[Student Number],YES_Writing_FLA[Student Number]),0),MATCH(VLOOKUP(F$7,'Writing Logic'!$J$7:$K$11,2,FALSE)&amp;" - Per "&amp;VLOOKUP($C$4,'Writing Logic'!$G$8:$H$14,2,FALSE),YES_Writing_ELA[#Headers],0)))="INS",'Writing Logic'!$B$7,IF(INDEX(_xlfn.VSTACK(YES_Writing_ELA[#Data],YES_Writing_FLA[#Data]),MATCH($A484,_xlfn.VSTACK(YES_Writing_ELA[Student Number],YES_Writing_FLA[Student Number]),0),MATCH(VLOOKUP(F$7,'Writing Logic'!$J$7:$K$11,2,FALSE)&amp;" - Per "&amp;VLOOKUP($C$4,'Writing Logic'!$G$8:$H$14,2,FALSE),YES_Writing_ELA[#Headers],0))=0,"",INDEX(_xlfn.VSTACK(YES_Writing_ELA[#Data],YES_Writing_FLA[#Data]),MATCH($A484,_xlfn.VSTACK(YES_Writing_ELA[Student Number],YES_Writing_FLA[Student Number]),0),MATCH(VLOOKUP(F$7,'Writing Logic'!$J$7:$K$11,2,FALSE)&amp;" - Per "&amp;VLOOKUP($C$4,'Writing Logic'!$G$8:$H$14,2,FALSE),YES_Writing_ELA[#Headers],0)))),"")</f>
        <v/>
      </c>
      <c r="G484" s="138" t="str">
        <f>IFERROR(IF(IF(INDEX(_xlfn.VSTACK(YES_Writing_ELA[#Data],YES_Writing_FLA[#Data]),MATCH($A484,_xlfn.VSTACK(YES_Writing_ELA[Student Number],YES_Writing_FLA[Student Number]),0),MATCH(VLOOKUP(G$7,'Writing Logic'!$J$7:$K$11,2,FALSE)&amp;" - Per "&amp;VLOOKUP($C$4,'Writing Logic'!$G$8:$H$14,2,FALSE),YES_Writing_ELA[#Headers],0))=0,"",INDEX(_xlfn.VSTACK(YES_Writing_ELA[#Data],YES_Writing_FLA[#Data]),MATCH($A484,_xlfn.VSTACK(YES_Writing_ELA[Student Number],YES_Writing_FLA[Student Number]),0),MATCH(VLOOKUP(G$7,'Writing Logic'!$J$7:$K$11,2,FALSE)&amp;" - Per "&amp;VLOOKUP($C$4,'Writing Logic'!$G$8:$H$14,2,FALSE),YES_Writing_ELA[#Headers],0)))="INS",'Writing Logic'!$B$7,IF(INDEX(_xlfn.VSTACK(YES_Writing_ELA[#Data],YES_Writing_FLA[#Data]),MATCH($A484,_xlfn.VSTACK(YES_Writing_ELA[Student Number],YES_Writing_FLA[Student Number]),0),MATCH(VLOOKUP(G$7,'Writing Logic'!$J$7:$K$11,2,FALSE)&amp;" - Per "&amp;VLOOKUP($C$4,'Writing Logic'!$G$8:$H$14,2,FALSE),YES_Writing_ELA[#Headers],0))=0,"",INDEX(_xlfn.VSTACK(YES_Writing_ELA[#Data],YES_Writing_FLA[#Data]),MATCH($A484,_xlfn.VSTACK(YES_Writing_ELA[Student Number],YES_Writing_FLA[Student Number]),0),MATCH(VLOOKUP(G$7,'Writing Logic'!$J$7:$K$11,2,FALSE)&amp;" - Per "&amp;VLOOKUP($C$4,'Writing Logic'!$G$8:$H$14,2,FALSE),YES_Writing_ELA[#Headers],0)))),"")</f>
        <v/>
      </c>
      <c r="H484" s="138" t="str">
        <f>IFERROR(IF(IF(INDEX(_xlfn.VSTACK(YES_Writing_ELA[#Data],YES_Writing_FLA[#Data]),MATCH($A484,_xlfn.VSTACK(YES_Writing_ELA[Student Number],YES_Writing_FLA[Student Number]),0),MATCH(VLOOKUP(H$7,'Writing Logic'!$J$7:$K$11,2,FALSE)&amp;" - Per "&amp;VLOOKUP($C$4,'Writing Logic'!$G$8:$H$14,2,FALSE),YES_Writing_ELA[#Headers],0))=0,"",INDEX(_xlfn.VSTACK(YES_Writing_ELA[#Data],YES_Writing_FLA[#Data]),MATCH($A484,_xlfn.VSTACK(YES_Writing_ELA[Student Number],YES_Writing_FLA[Student Number]),0),MATCH(VLOOKUP(H$7,'Writing Logic'!$J$7:$K$11,2,FALSE)&amp;" - Per "&amp;VLOOKUP($C$4,'Writing Logic'!$G$8:$H$14,2,FALSE),YES_Writing_ELA[#Headers],0)))="INS",'Writing Logic'!$B$7,IF(INDEX(_xlfn.VSTACK(YES_Writing_ELA[#Data],YES_Writing_FLA[#Data]),MATCH($A484,_xlfn.VSTACK(YES_Writing_ELA[Student Number],YES_Writing_FLA[Student Number]),0),MATCH(VLOOKUP(H$7,'Writing Logic'!$J$7:$K$11,2,FALSE)&amp;" - Per "&amp;VLOOKUP($C$4,'Writing Logic'!$G$8:$H$14,2,FALSE),YES_Writing_ELA[#Headers],0))=0,"",INDEX(_xlfn.VSTACK(YES_Writing_ELA[#Data],YES_Writing_FLA[#Data]),MATCH($A484,_xlfn.VSTACK(YES_Writing_ELA[Student Number],YES_Writing_FLA[Student Number]),0),MATCH(VLOOKUP(H$7,'Writing Logic'!$J$7:$K$11,2,FALSE)&amp;" - Per "&amp;VLOOKUP($C$4,'Writing Logic'!$G$8:$H$14,2,FALSE),YES_Writing_ELA[#Headers],0)))),"")</f>
        <v/>
      </c>
    </row>
    <row r="485" spans="1:8" x14ac:dyDescent="0.25">
      <c r="A485" s="137"/>
      <c r="B485" s="137" t="str">
        <f>IFERROR(INDEX(_xlfn.VSTACK(YES_Writing_ELA[#Data], YES_Writing_FLA[#Data]),MATCH($A485,_xlfn.VSTACK(YES_Writing_ELA[Student Number], YES_Writing_FLA[Student Number]),0),MATCH(B$7,YES_Writing_ELA[#Headers],0)),"")</f>
        <v/>
      </c>
      <c r="C485" s="137" t="str">
        <f>IFERROR(INDEX(_xlfn.VSTACK(YES_Writing_ELA[#Data], YES_Writing_FLA[#Data]),MATCH($A485,_xlfn.VSTACK(YES_Writing_ELA[Student Number], YES_Writing_FLA[Student Number]),0),MATCH(C$7,YES_Writing_ELA[#Headers],0)),"")</f>
        <v/>
      </c>
      <c r="D485" s="138" t="str">
        <f>IFERROR(IF(IF(INDEX(_xlfn.VSTACK(YES_Writing_ELA[#Data],YES_Writing_FLA[#Data]),MATCH($A485,_xlfn.VSTACK(YES_Writing_ELA[Student Number],YES_Writing_FLA[Student Number]),0),MATCH(VLOOKUP(D$7,'Writing Logic'!$J$7:$K$11,2,FALSE)&amp;" - Per "&amp;VLOOKUP($C$4,'Writing Logic'!$G$8:$H$14,2,FALSE),YES_Writing_ELA[#Headers],0))=0,"",INDEX(_xlfn.VSTACK(YES_Writing_ELA[#Data],YES_Writing_FLA[#Data]),MATCH($A485,_xlfn.VSTACK(YES_Writing_ELA[Student Number],YES_Writing_FLA[Student Number]),0),MATCH(VLOOKUP(D$7,'Writing Logic'!$J$7:$K$11,2,FALSE)&amp;" - Per "&amp;VLOOKUP($C$4,'Writing Logic'!$G$8:$H$14,2,FALSE),YES_Writing_ELA[#Headers],0)))="INS",'Writing Logic'!$B$7,IF(INDEX(_xlfn.VSTACK(YES_Writing_ELA[#Data],YES_Writing_FLA[#Data]),MATCH($A485,_xlfn.VSTACK(YES_Writing_ELA[Student Number],YES_Writing_FLA[Student Number]),0),MATCH(VLOOKUP(D$7,'Writing Logic'!$J$7:$K$11,2,FALSE)&amp;" - Per "&amp;VLOOKUP($C$4,'Writing Logic'!$G$8:$H$14,2,FALSE),YES_Writing_ELA[#Headers],0))=0,"",INDEX(_xlfn.VSTACK(YES_Writing_ELA[#Data],YES_Writing_FLA[#Data]),MATCH($A485,_xlfn.VSTACK(YES_Writing_ELA[Student Number],YES_Writing_FLA[Student Number]),0),MATCH(VLOOKUP(D$7,'Writing Logic'!$J$7:$K$11,2,FALSE)&amp;" - Per "&amp;VLOOKUP($C$4,'Writing Logic'!$G$8:$H$14,2,FALSE),YES_Writing_ELA[#Headers],0)))),"")</f>
        <v/>
      </c>
      <c r="E485" s="138" t="str">
        <f>IFERROR(IF(IF(INDEX(_xlfn.VSTACK(YES_Writing_ELA[#Data],YES_Writing_FLA[#Data]),MATCH($A485,_xlfn.VSTACK(YES_Writing_ELA[Student Number],YES_Writing_FLA[Student Number]),0),MATCH(VLOOKUP(E$7,'Writing Logic'!$J$7:$K$11,2,FALSE)&amp;" - Per "&amp;VLOOKUP($C$4,'Writing Logic'!$G$8:$H$14,2,FALSE),YES_Writing_ELA[#Headers],0))=0,"",INDEX(_xlfn.VSTACK(YES_Writing_ELA[#Data],YES_Writing_FLA[#Data]),MATCH($A485,_xlfn.VSTACK(YES_Writing_ELA[Student Number],YES_Writing_FLA[Student Number]),0),MATCH(VLOOKUP(E$7,'Writing Logic'!$J$7:$K$11,2,FALSE)&amp;" - Per "&amp;VLOOKUP($C$4,'Writing Logic'!$G$8:$H$14,2,FALSE),YES_Writing_ELA[#Headers],0)))="INS",'Writing Logic'!$B$7,IF(INDEX(_xlfn.VSTACK(YES_Writing_ELA[#Data],YES_Writing_FLA[#Data]),MATCH($A485,_xlfn.VSTACK(YES_Writing_ELA[Student Number],YES_Writing_FLA[Student Number]),0),MATCH(VLOOKUP(E$7,'Writing Logic'!$J$7:$K$11,2,FALSE)&amp;" - Per "&amp;VLOOKUP($C$4,'Writing Logic'!$G$8:$H$14,2,FALSE),YES_Writing_ELA[#Headers],0))=0,"",INDEX(_xlfn.VSTACK(YES_Writing_ELA[#Data],YES_Writing_FLA[#Data]),MATCH($A485,_xlfn.VSTACK(YES_Writing_ELA[Student Number],YES_Writing_FLA[Student Number]),0),MATCH(VLOOKUP(E$7,'Writing Logic'!$J$7:$K$11,2,FALSE)&amp;" - Per "&amp;VLOOKUP($C$4,'Writing Logic'!$G$8:$H$14,2,FALSE),YES_Writing_ELA[#Headers],0)))),"")</f>
        <v/>
      </c>
      <c r="F485" s="138" t="str">
        <f>IFERROR(IF(IF(INDEX(_xlfn.VSTACK(YES_Writing_ELA[#Data],YES_Writing_FLA[#Data]),MATCH($A485,_xlfn.VSTACK(YES_Writing_ELA[Student Number],YES_Writing_FLA[Student Number]),0),MATCH(VLOOKUP(F$7,'Writing Logic'!$J$7:$K$11,2,FALSE)&amp;" - Per "&amp;VLOOKUP($C$4,'Writing Logic'!$G$8:$H$14,2,FALSE),YES_Writing_ELA[#Headers],0))=0,"",INDEX(_xlfn.VSTACK(YES_Writing_ELA[#Data],YES_Writing_FLA[#Data]),MATCH($A485,_xlfn.VSTACK(YES_Writing_ELA[Student Number],YES_Writing_FLA[Student Number]),0),MATCH(VLOOKUP(F$7,'Writing Logic'!$J$7:$K$11,2,FALSE)&amp;" - Per "&amp;VLOOKUP($C$4,'Writing Logic'!$G$8:$H$14,2,FALSE),YES_Writing_ELA[#Headers],0)))="INS",'Writing Logic'!$B$7,IF(INDEX(_xlfn.VSTACK(YES_Writing_ELA[#Data],YES_Writing_FLA[#Data]),MATCH($A485,_xlfn.VSTACK(YES_Writing_ELA[Student Number],YES_Writing_FLA[Student Number]),0),MATCH(VLOOKUP(F$7,'Writing Logic'!$J$7:$K$11,2,FALSE)&amp;" - Per "&amp;VLOOKUP($C$4,'Writing Logic'!$G$8:$H$14,2,FALSE),YES_Writing_ELA[#Headers],0))=0,"",INDEX(_xlfn.VSTACK(YES_Writing_ELA[#Data],YES_Writing_FLA[#Data]),MATCH($A485,_xlfn.VSTACK(YES_Writing_ELA[Student Number],YES_Writing_FLA[Student Number]),0),MATCH(VLOOKUP(F$7,'Writing Logic'!$J$7:$K$11,2,FALSE)&amp;" - Per "&amp;VLOOKUP($C$4,'Writing Logic'!$G$8:$H$14,2,FALSE),YES_Writing_ELA[#Headers],0)))),"")</f>
        <v/>
      </c>
      <c r="G485" s="138" t="str">
        <f>IFERROR(IF(IF(INDEX(_xlfn.VSTACK(YES_Writing_ELA[#Data],YES_Writing_FLA[#Data]),MATCH($A485,_xlfn.VSTACK(YES_Writing_ELA[Student Number],YES_Writing_FLA[Student Number]),0),MATCH(VLOOKUP(G$7,'Writing Logic'!$J$7:$K$11,2,FALSE)&amp;" - Per "&amp;VLOOKUP($C$4,'Writing Logic'!$G$8:$H$14,2,FALSE),YES_Writing_ELA[#Headers],0))=0,"",INDEX(_xlfn.VSTACK(YES_Writing_ELA[#Data],YES_Writing_FLA[#Data]),MATCH($A485,_xlfn.VSTACK(YES_Writing_ELA[Student Number],YES_Writing_FLA[Student Number]),0),MATCH(VLOOKUP(G$7,'Writing Logic'!$J$7:$K$11,2,FALSE)&amp;" - Per "&amp;VLOOKUP($C$4,'Writing Logic'!$G$8:$H$14,2,FALSE),YES_Writing_ELA[#Headers],0)))="INS",'Writing Logic'!$B$7,IF(INDEX(_xlfn.VSTACK(YES_Writing_ELA[#Data],YES_Writing_FLA[#Data]),MATCH($A485,_xlfn.VSTACK(YES_Writing_ELA[Student Number],YES_Writing_FLA[Student Number]),0),MATCH(VLOOKUP(G$7,'Writing Logic'!$J$7:$K$11,2,FALSE)&amp;" - Per "&amp;VLOOKUP($C$4,'Writing Logic'!$G$8:$H$14,2,FALSE),YES_Writing_ELA[#Headers],0))=0,"",INDEX(_xlfn.VSTACK(YES_Writing_ELA[#Data],YES_Writing_FLA[#Data]),MATCH($A485,_xlfn.VSTACK(YES_Writing_ELA[Student Number],YES_Writing_FLA[Student Number]),0),MATCH(VLOOKUP(G$7,'Writing Logic'!$J$7:$K$11,2,FALSE)&amp;" - Per "&amp;VLOOKUP($C$4,'Writing Logic'!$G$8:$H$14,2,FALSE),YES_Writing_ELA[#Headers],0)))),"")</f>
        <v/>
      </c>
      <c r="H485" s="138" t="str">
        <f>IFERROR(IF(IF(INDEX(_xlfn.VSTACK(YES_Writing_ELA[#Data],YES_Writing_FLA[#Data]),MATCH($A485,_xlfn.VSTACK(YES_Writing_ELA[Student Number],YES_Writing_FLA[Student Number]),0),MATCH(VLOOKUP(H$7,'Writing Logic'!$J$7:$K$11,2,FALSE)&amp;" - Per "&amp;VLOOKUP($C$4,'Writing Logic'!$G$8:$H$14,2,FALSE),YES_Writing_ELA[#Headers],0))=0,"",INDEX(_xlfn.VSTACK(YES_Writing_ELA[#Data],YES_Writing_FLA[#Data]),MATCH($A485,_xlfn.VSTACK(YES_Writing_ELA[Student Number],YES_Writing_FLA[Student Number]),0),MATCH(VLOOKUP(H$7,'Writing Logic'!$J$7:$K$11,2,FALSE)&amp;" - Per "&amp;VLOOKUP($C$4,'Writing Logic'!$G$8:$H$14,2,FALSE),YES_Writing_ELA[#Headers],0)))="INS",'Writing Logic'!$B$7,IF(INDEX(_xlfn.VSTACK(YES_Writing_ELA[#Data],YES_Writing_FLA[#Data]),MATCH($A485,_xlfn.VSTACK(YES_Writing_ELA[Student Number],YES_Writing_FLA[Student Number]),0),MATCH(VLOOKUP(H$7,'Writing Logic'!$J$7:$K$11,2,FALSE)&amp;" - Per "&amp;VLOOKUP($C$4,'Writing Logic'!$G$8:$H$14,2,FALSE),YES_Writing_ELA[#Headers],0))=0,"",INDEX(_xlfn.VSTACK(YES_Writing_ELA[#Data],YES_Writing_FLA[#Data]),MATCH($A485,_xlfn.VSTACK(YES_Writing_ELA[Student Number],YES_Writing_FLA[Student Number]),0),MATCH(VLOOKUP(H$7,'Writing Logic'!$J$7:$K$11,2,FALSE)&amp;" - Per "&amp;VLOOKUP($C$4,'Writing Logic'!$G$8:$H$14,2,FALSE),YES_Writing_ELA[#Headers],0)))),"")</f>
        <v/>
      </c>
    </row>
    <row r="486" spans="1:8" x14ac:dyDescent="0.25">
      <c r="A486" s="137"/>
      <c r="B486" s="137" t="str">
        <f>IFERROR(INDEX(_xlfn.VSTACK(YES_Writing_ELA[#Data], YES_Writing_FLA[#Data]),MATCH($A486,_xlfn.VSTACK(YES_Writing_ELA[Student Number], YES_Writing_FLA[Student Number]),0),MATCH(B$7,YES_Writing_ELA[#Headers],0)),"")</f>
        <v/>
      </c>
      <c r="C486" s="137" t="str">
        <f>IFERROR(INDEX(_xlfn.VSTACK(YES_Writing_ELA[#Data], YES_Writing_FLA[#Data]),MATCH($A486,_xlfn.VSTACK(YES_Writing_ELA[Student Number], YES_Writing_FLA[Student Number]),0),MATCH(C$7,YES_Writing_ELA[#Headers],0)),"")</f>
        <v/>
      </c>
      <c r="D486" s="138" t="str">
        <f>IFERROR(IF(IF(INDEX(_xlfn.VSTACK(YES_Writing_ELA[#Data],YES_Writing_FLA[#Data]),MATCH($A486,_xlfn.VSTACK(YES_Writing_ELA[Student Number],YES_Writing_FLA[Student Number]),0),MATCH(VLOOKUP(D$7,'Writing Logic'!$J$7:$K$11,2,FALSE)&amp;" - Per "&amp;VLOOKUP($C$4,'Writing Logic'!$G$8:$H$14,2,FALSE),YES_Writing_ELA[#Headers],0))=0,"",INDEX(_xlfn.VSTACK(YES_Writing_ELA[#Data],YES_Writing_FLA[#Data]),MATCH($A486,_xlfn.VSTACK(YES_Writing_ELA[Student Number],YES_Writing_FLA[Student Number]),0),MATCH(VLOOKUP(D$7,'Writing Logic'!$J$7:$K$11,2,FALSE)&amp;" - Per "&amp;VLOOKUP($C$4,'Writing Logic'!$G$8:$H$14,2,FALSE),YES_Writing_ELA[#Headers],0)))="INS",'Writing Logic'!$B$7,IF(INDEX(_xlfn.VSTACK(YES_Writing_ELA[#Data],YES_Writing_FLA[#Data]),MATCH($A486,_xlfn.VSTACK(YES_Writing_ELA[Student Number],YES_Writing_FLA[Student Number]),0),MATCH(VLOOKUP(D$7,'Writing Logic'!$J$7:$K$11,2,FALSE)&amp;" - Per "&amp;VLOOKUP($C$4,'Writing Logic'!$G$8:$H$14,2,FALSE),YES_Writing_ELA[#Headers],0))=0,"",INDEX(_xlfn.VSTACK(YES_Writing_ELA[#Data],YES_Writing_FLA[#Data]),MATCH($A486,_xlfn.VSTACK(YES_Writing_ELA[Student Number],YES_Writing_FLA[Student Number]),0),MATCH(VLOOKUP(D$7,'Writing Logic'!$J$7:$K$11,2,FALSE)&amp;" - Per "&amp;VLOOKUP($C$4,'Writing Logic'!$G$8:$H$14,2,FALSE),YES_Writing_ELA[#Headers],0)))),"")</f>
        <v/>
      </c>
      <c r="E486" s="138" t="str">
        <f>IFERROR(IF(IF(INDEX(_xlfn.VSTACK(YES_Writing_ELA[#Data],YES_Writing_FLA[#Data]),MATCH($A486,_xlfn.VSTACK(YES_Writing_ELA[Student Number],YES_Writing_FLA[Student Number]),0),MATCH(VLOOKUP(E$7,'Writing Logic'!$J$7:$K$11,2,FALSE)&amp;" - Per "&amp;VLOOKUP($C$4,'Writing Logic'!$G$8:$H$14,2,FALSE),YES_Writing_ELA[#Headers],0))=0,"",INDEX(_xlfn.VSTACK(YES_Writing_ELA[#Data],YES_Writing_FLA[#Data]),MATCH($A486,_xlfn.VSTACK(YES_Writing_ELA[Student Number],YES_Writing_FLA[Student Number]),0),MATCH(VLOOKUP(E$7,'Writing Logic'!$J$7:$K$11,2,FALSE)&amp;" - Per "&amp;VLOOKUP($C$4,'Writing Logic'!$G$8:$H$14,2,FALSE),YES_Writing_ELA[#Headers],0)))="INS",'Writing Logic'!$B$7,IF(INDEX(_xlfn.VSTACK(YES_Writing_ELA[#Data],YES_Writing_FLA[#Data]),MATCH($A486,_xlfn.VSTACK(YES_Writing_ELA[Student Number],YES_Writing_FLA[Student Number]),0),MATCH(VLOOKUP(E$7,'Writing Logic'!$J$7:$K$11,2,FALSE)&amp;" - Per "&amp;VLOOKUP($C$4,'Writing Logic'!$G$8:$H$14,2,FALSE),YES_Writing_ELA[#Headers],0))=0,"",INDEX(_xlfn.VSTACK(YES_Writing_ELA[#Data],YES_Writing_FLA[#Data]),MATCH($A486,_xlfn.VSTACK(YES_Writing_ELA[Student Number],YES_Writing_FLA[Student Number]),0),MATCH(VLOOKUP(E$7,'Writing Logic'!$J$7:$K$11,2,FALSE)&amp;" - Per "&amp;VLOOKUP($C$4,'Writing Logic'!$G$8:$H$14,2,FALSE),YES_Writing_ELA[#Headers],0)))),"")</f>
        <v/>
      </c>
      <c r="F486" s="138" t="str">
        <f>IFERROR(IF(IF(INDEX(_xlfn.VSTACK(YES_Writing_ELA[#Data],YES_Writing_FLA[#Data]),MATCH($A486,_xlfn.VSTACK(YES_Writing_ELA[Student Number],YES_Writing_FLA[Student Number]),0),MATCH(VLOOKUP(F$7,'Writing Logic'!$J$7:$K$11,2,FALSE)&amp;" - Per "&amp;VLOOKUP($C$4,'Writing Logic'!$G$8:$H$14,2,FALSE),YES_Writing_ELA[#Headers],0))=0,"",INDEX(_xlfn.VSTACK(YES_Writing_ELA[#Data],YES_Writing_FLA[#Data]),MATCH($A486,_xlfn.VSTACK(YES_Writing_ELA[Student Number],YES_Writing_FLA[Student Number]),0),MATCH(VLOOKUP(F$7,'Writing Logic'!$J$7:$K$11,2,FALSE)&amp;" - Per "&amp;VLOOKUP($C$4,'Writing Logic'!$G$8:$H$14,2,FALSE),YES_Writing_ELA[#Headers],0)))="INS",'Writing Logic'!$B$7,IF(INDEX(_xlfn.VSTACK(YES_Writing_ELA[#Data],YES_Writing_FLA[#Data]),MATCH($A486,_xlfn.VSTACK(YES_Writing_ELA[Student Number],YES_Writing_FLA[Student Number]),0),MATCH(VLOOKUP(F$7,'Writing Logic'!$J$7:$K$11,2,FALSE)&amp;" - Per "&amp;VLOOKUP($C$4,'Writing Logic'!$G$8:$H$14,2,FALSE),YES_Writing_ELA[#Headers],0))=0,"",INDEX(_xlfn.VSTACK(YES_Writing_ELA[#Data],YES_Writing_FLA[#Data]),MATCH($A486,_xlfn.VSTACK(YES_Writing_ELA[Student Number],YES_Writing_FLA[Student Number]),0),MATCH(VLOOKUP(F$7,'Writing Logic'!$J$7:$K$11,2,FALSE)&amp;" - Per "&amp;VLOOKUP($C$4,'Writing Logic'!$G$8:$H$14,2,FALSE),YES_Writing_ELA[#Headers],0)))),"")</f>
        <v/>
      </c>
      <c r="G486" s="138" t="str">
        <f>IFERROR(IF(IF(INDEX(_xlfn.VSTACK(YES_Writing_ELA[#Data],YES_Writing_FLA[#Data]),MATCH($A486,_xlfn.VSTACK(YES_Writing_ELA[Student Number],YES_Writing_FLA[Student Number]),0),MATCH(VLOOKUP(G$7,'Writing Logic'!$J$7:$K$11,2,FALSE)&amp;" - Per "&amp;VLOOKUP($C$4,'Writing Logic'!$G$8:$H$14,2,FALSE),YES_Writing_ELA[#Headers],0))=0,"",INDEX(_xlfn.VSTACK(YES_Writing_ELA[#Data],YES_Writing_FLA[#Data]),MATCH($A486,_xlfn.VSTACK(YES_Writing_ELA[Student Number],YES_Writing_FLA[Student Number]),0),MATCH(VLOOKUP(G$7,'Writing Logic'!$J$7:$K$11,2,FALSE)&amp;" - Per "&amp;VLOOKUP($C$4,'Writing Logic'!$G$8:$H$14,2,FALSE),YES_Writing_ELA[#Headers],0)))="INS",'Writing Logic'!$B$7,IF(INDEX(_xlfn.VSTACK(YES_Writing_ELA[#Data],YES_Writing_FLA[#Data]),MATCH($A486,_xlfn.VSTACK(YES_Writing_ELA[Student Number],YES_Writing_FLA[Student Number]),0),MATCH(VLOOKUP(G$7,'Writing Logic'!$J$7:$K$11,2,FALSE)&amp;" - Per "&amp;VLOOKUP($C$4,'Writing Logic'!$G$8:$H$14,2,FALSE),YES_Writing_ELA[#Headers],0))=0,"",INDEX(_xlfn.VSTACK(YES_Writing_ELA[#Data],YES_Writing_FLA[#Data]),MATCH($A486,_xlfn.VSTACK(YES_Writing_ELA[Student Number],YES_Writing_FLA[Student Number]),0),MATCH(VLOOKUP(G$7,'Writing Logic'!$J$7:$K$11,2,FALSE)&amp;" - Per "&amp;VLOOKUP($C$4,'Writing Logic'!$G$8:$H$14,2,FALSE),YES_Writing_ELA[#Headers],0)))),"")</f>
        <v/>
      </c>
      <c r="H486" s="138" t="str">
        <f>IFERROR(IF(IF(INDEX(_xlfn.VSTACK(YES_Writing_ELA[#Data],YES_Writing_FLA[#Data]),MATCH($A486,_xlfn.VSTACK(YES_Writing_ELA[Student Number],YES_Writing_FLA[Student Number]),0),MATCH(VLOOKUP(H$7,'Writing Logic'!$J$7:$K$11,2,FALSE)&amp;" - Per "&amp;VLOOKUP($C$4,'Writing Logic'!$G$8:$H$14,2,FALSE),YES_Writing_ELA[#Headers],0))=0,"",INDEX(_xlfn.VSTACK(YES_Writing_ELA[#Data],YES_Writing_FLA[#Data]),MATCH($A486,_xlfn.VSTACK(YES_Writing_ELA[Student Number],YES_Writing_FLA[Student Number]),0),MATCH(VLOOKUP(H$7,'Writing Logic'!$J$7:$K$11,2,FALSE)&amp;" - Per "&amp;VLOOKUP($C$4,'Writing Logic'!$G$8:$H$14,2,FALSE),YES_Writing_ELA[#Headers],0)))="INS",'Writing Logic'!$B$7,IF(INDEX(_xlfn.VSTACK(YES_Writing_ELA[#Data],YES_Writing_FLA[#Data]),MATCH($A486,_xlfn.VSTACK(YES_Writing_ELA[Student Number],YES_Writing_FLA[Student Number]),0),MATCH(VLOOKUP(H$7,'Writing Logic'!$J$7:$K$11,2,FALSE)&amp;" - Per "&amp;VLOOKUP($C$4,'Writing Logic'!$G$8:$H$14,2,FALSE),YES_Writing_ELA[#Headers],0))=0,"",INDEX(_xlfn.VSTACK(YES_Writing_ELA[#Data],YES_Writing_FLA[#Data]),MATCH($A486,_xlfn.VSTACK(YES_Writing_ELA[Student Number],YES_Writing_FLA[Student Number]),0),MATCH(VLOOKUP(H$7,'Writing Logic'!$J$7:$K$11,2,FALSE)&amp;" - Per "&amp;VLOOKUP($C$4,'Writing Logic'!$G$8:$H$14,2,FALSE),YES_Writing_ELA[#Headers],0)))),"")</f>
        <v/>
      </c>
    </row>
    <row r="487" spans="1:8" x14ac:dyDescent="0.25">
      <c r="A487" s="137"/>
      <c r="B487" s="137" t="str">
        <f>IFERROR(INDEX(_xlfn.VSTACK(YES_Writing_ELA[#Data], YES_Writing_FLA[#Data]),MATCH($A487,_xlfn.VSTACK(YES_Writing_ELA[Student Number], YES_Writing_FLA[Student Number]),0),MATCH(B$7,YES_Writing_ELA[#Headers],0)),"")</f>
        <v/>
      </c>
      <c r="C487" s="137" t="str">
        <f>IFERROR(INDEX(_xlfn.VSTACK(YES_Writing_ELA[#Data], YES_Writing_FLA[#Data]),MATCH($A487,_xlfn.VSTACK(YES_Writing_ELA[Student Number], YES_Writing_FLA[Student Number]),0),MATCH(C$7,YES_Writing_ELA[#Headers],0)),"")</f>
        <v/>
      </c>
      <c r="D487" s="138" t="str">
        <f>IFERROR(IF(IF(INDEX(_xlfn.VSTACK(YES_Writing_ELA[#Data],YES_Writing_FLA[#Data]),MATCH($A487,_xlfn.VSTACK(YES_Writing_ELA[Student Number],YES_Writing_FLA[Student Number]),0),MATCH(VLOOKUP(D$7,'Writing Logic'!$J$7:$K$11,2,FALSE)&amp;" - Per "&amp;VLOOKUP($C$4,'Writing Logic'!$G$8:$H$14,2,FALSE),YES_Writing_ELA[#Headers],0))=0,"",INDEX(_xlfn.VSTACK(YES_Writing_ELA[#Data],YES_Writing_FLA[#Data]),MATCH($A487,_xlfn.VSTACK(YES_Writing_ELA[Student Number],YES_Writing_FLA[Student Number]),0),MATCH(VLOOKUP(D$7,'Writing Logic'!$J$7:$K$11,2,FALSE)&amp;" - Per "&amp;VLOOKUP($C$4,'Writing Logic'!$G$8:$H$14,2,FALSE),YES_Writing_ELA[#Headers],0)))="INS",'Writing Logic'!$B$7,IF(INDEX(_xlfn.VSTACK(YES_Writing_ELA[#Data],YES_Writing_FLA[#Data]),MATCH($A487,_xlfn.VSTACK(YES_Writing_ELA[Student Number],YES_Writing_FLA[Student Number]),0),MATCH(VLOOKUP(D$7,'Writing Logic'!$J$7:$K$11,2,FALSE)&amp;" - Per "&amp;VLOOKUP($C$4,'Writing Logic'!$G$8:$H$14,2,FALSE),YES_Writing_ELA[#Headers],0))=0,"",INDEX(_xlfn.VSTACK(YES_Writing_ELA[#Data],YES_Writing_FLA[#Data]),MATCH($A487,_xlfn.VSTACK(YES_Writing_ELA[Student Number],YES_Writing_FLA[Student Number]),0),MATCH(VLOOKUP(D$7,'Writing Logic'!$J$7:$K$11,2,FALSE)&amp;" - Per "&amp;VLOOKUP($C$4,'Writing Logic'!$G$8:$H$14,2,FALSE),YES_Writing_ELA[#Headers],0)))),"")</f>
        <v/>
      </c>
      <c r="E487" s="138" t="str">
        <f>IFERROR(IF(IF(INDEX(_xlfn.VSTACK(YES_Writing_ELA[#Data],YES_Writing_FLA[#Data]),MATCH($A487,_xlfn.VSTACK(YES_Writing_ELA[Student Number],YES_Writing_FLA[Student Number]),0),MATCH(VLOOKUP(E$7,'Writing Logic'!$J$7:$K$11,2,FALSE)&amp;" - Per "&amp;VLOOKUP($C$4,'Writing Logic'!$G$8:$H$14,2,FALSE),YES_Writing_ELA[#Headers],0))=0,"",INDEX(_xlfn.VSTACK(YES_Writing_ELA[#Data],YES_Writing_FLA[#Data]),MATCH($A487,_xlfn.VSTACK(YES_Writing_ELA[Student Number],YES_Writing_FLA[Student Number]),0),MATCH(VLOOKUP(E$7,'Writing Logic'!$J$7:$K$11,2,FALSE)&amp;" - Per "&amp;VLOOKUP($C$4,'Writing Logic'!$G$8:$H$14,2,FALSE),YES_Writing_ELA[#Headers],0)))="INS",'Writing Logic'!$B$7,IF(INDEX(_xlfn.VSTACK(YES_Writing_ELA[#Data],YES_Writing_FLA[#Data]),MATCH($A487,_xlfn.VSTACK(YES_Writing_ELA[Student Number],YES_Writing_FLA[Student Number]),0),MATCH(VLOOKUP(E$7,'Writing Logic'!$J$7:$K$11,2,FALSE)&amp;" - Per "&amp;VLOOKUP($C$4,'Writing Logic'!$G$8:$H$14,2,FALSE),YES_Writing_ELA[#Headers],0))=0,"",INDEX(_xlfn.VSTACK(YES_Writing_ELA[#Data],YES_Writing_FLA[#Data]),MATCH($A487,_xlfn.VSTACK(YES_Writing_ELA[Student Number],YES_Writing_FLA[Student Number]),0),MATCH(VLOOKUP(E$7,'Writing Logic'!$J$7:$K$11,2,FALSE)&amp;" - Per "&amp;VLOOKUP($C$4,'Writing Logic'!$G$8:$H$14,2,FALSE),YES_Writing_ELA[#Headers],0)))),"")</f>
        <v/>
      </c>
      <c r="F487" s="138" t="str">
        <f>IFERROR(IF(IF(INDEX(_xlfn.VSTACK(YES_Writing_ELA[#Data],YES_Writing_FLA[#Data]),MATCH($A487,_xlfn.VSTACK(YES_Writing_ELA[Student Number],YES_Writing_FLA[Student Number]),0),MATCH(VLOOKUP(F$7,'Writing Logic'!$J$7:$K$11,2,FALSE)&amp;" - Per "&amp;VLOOKUP($C$4,'Writing Logic'!$G$8:$H$14,2,FALSE),YES_Writing_ELA[#Headers],0))=0,"",INDEX(_xlfn.VSTACK(YES_Writing_ELA[#Data],YES_Writing_FLA[#Data]),MATCH($A487,_xlfn.VSTACK(YES_Writing_ELA[Student Number],YES_Writing_FLA[Student Number]),0),MATCH(VLOOKUP(F$7,'Writing Logic'!$J$7:$K$11,2,FALSE)&amp;" - Per "&amp;VLOOKUP($C$4,'Writing Logic'!$G$8:$H$14,2,FALSE),YES_Writing_ELA[#Headers],0)))="INS",'Writing Logic'!$B$7,IF(INDEX(_xlfn.VSTACK(YES_Writing_ELA[#Data],YES_Writing_FLA[#Data]),MATCH($A487,_xlfn.VSTACK(YES_Writing_ELA[Student Number],YES_Writing_FLA[Student Number]),0),MATCH(VLOOKUP(F$7,'Writing Logic'!$J$7:$K$11,2,FALSE)&amp;" - Per "&amp;VLOOKUP($C$4,'Writing Logic'!$G$8:$H$14,2,FALSE),YES_Writing_ELA[#Headers],0))=0,"",INDEX(_xlfn.VSTACK(YES_Writing_ELA[#Data],YES_Writing_FLA[#Data]),MATCH($A487,_xlfn.VSTACK(YES_Writing_ELA[Student Number],YES_Writing_FLA[Student Number]),0),MATCH(VLOOKUP(F$7,'Writing Logic'!$J$7:$K$11,2,FALSE)&amp;" - Per "&amp;VLOOKUP($C$4,'Writing Logic'!$G$8:$H$14,2,FALSE),YES_Writing_ELA[#Headers],0)))),"")</f>
        <v/>
      </c>
      <c r="G487" s="138" t="str">
        <f>IFERROR(IF(IF(INDEX(_xlfn.VSTACK(YES_Writing_ELA[#Data],YES_Writing_FLA[#Data]),MATCH($A487,_xlfn.VSTACK(YES_Writing_ELA[Student Number],YES_Writing_FLA[Student Number]),0),MATCH(VLOOKUP(G$7,'Writing Logic'!$J$7:$K$11,2,FALSE)&amp;" - Per "&amp;VLOOKUP($C$4,'Writing Logic'!$G$8:$H$14,2,FALSE),YES_Writing_ELA[#Headers],0))=0,"",INDEX(_xlfn.VSTACK(YES_Writing_ELA[#Data],YES_Writing_FLA[#Data]),MATCH($A487,_xlfn.VSTACK(YES_Writing_ELA[Student Number],YES_Writing_FLA[Student Number]),0),MATCH(VLOOKUP(G$7,'Writing Logic'!$J$7:$K$11,2,FALSE)&amp;" - Per "&amp;VLOOKUP($C$4,'Writing Logic'!$G$8:$H$14,2,FALSE),YES_Writing_ELA[#Headers],0)))="INS",'Writing Logic'!$B$7,IF(INDEX(_xlfn.VSTACK(YES_Writing_ELA[#Data],YES_Writing_FLA[#Data]),MATCH($A487,_xlfn.VSTACK(YES_Writing_ELA[Student Number],YES_Writing_FLA[Student Number]),0),MATCH(VLOOKUP(G$7,'Writing Logic'!$J$7:$K$11,2,FALSE)&amp;" - Per "&amp;VLOOKUP($C$4,'Writing Logic'!$G$8:$H$14,2,FALSE),YES_Writing_ELA[#Headers],0))=0,"",INDEX(_xlfn.VSTACK(YES_Writing_ELA[#Data],YES_Writing_FLA[#Data]),MATCH($A487,_xlfn.VSTACK(YES_Writing_ELA[Student Number],YES_Writing_FLA[Student Number]),0),MATCH(VLOOKUP(G$7,'Writing Logic'!$J$7:$K$11,2,FALSE)&amp;" - Per "&amp;VLOOKUP($C$4,'Writing Logic'!$G$8:$H$14,2,FALSE),YES_Writing_ELA[#Headers],0)))),"")</f>
        <v/>
      </c>
      <c r="H487" s="138" t="str">
        <f>IFERROR(IF(IF(INDEX(_xlfn.VSTACK(YES_Writing_ELA[#Data],YES_Writing_FLA[#Data]),MATCH($A487,_xlfn.VSTACK(YES_Writing_ELA[Student Number],YES_Writing_FLA[Student Number]),0),MATCH(VLOOKUP(H$7,'Writing Logic'!$J$7:$K$11,2,FALSE)&amp;" - Per "&amp;VLOOKUP($C$4,'Writing Logic'!$G$8:$H$14,2,FALSE),YES_Writing_ELA[#Headers],0))=0,"",INDEX(_xlfn.VSTACK(YES_Writing_ELA[#Data],YES_Writing_FLA[#Data]),MATCH($A487,_xlfn.VSTACK(YES_Writing_ELA[Student Number],YES_Writing_FLA[Student Number]),0),MATCH(VLOOKUP(H$7,'Writing Logic'!$J$7:$K$11,2,FALSE)&amp;" - Per "&amp;VLOOKUP($C$4,'Writing Logic'!$G$8:$H$14,2,FALSE),YES_Writing_ELA[#Headers],0)))="INS",'Writing Logic'!$B$7,IF(INDEX(_xlfn.VSTACK(YES_Writing_ELA[#Data],YES_Writing_FLA[#Data]),MATCH($A487,_xlfn.VSTACK(YES_Writing_ELA[Student Number],YES_Writing_FLA[Student Number]),0),MATCH(VLOOKUP(H$7,'Writing Logic'!$J$7:$K$11,2,FALSE)&amp;" - Per "&amp;VLOOKUP($C$4,'Writing Logic'!$G$8:$H$14,2,FALSE),YES_Writing_ELA[#Headers],0))=0,"",INDEX(_xlfn.VSTACK(YES_Writing_ELA[#Data],YES_Writing_FLA[#Data]),MATCH($A487,_xlfn.VSTACK(YES_Writing_ELA[Student Number],YES_Writing_FLA[Student Number]),0),MATCH(VLOOKUP(H$7,'Writing Logic'!$J$7:$K$11,2,FALSE)&amp;" - Per "&amp;VLOOKUP($C$4,'Writing Logic'!$G$8:$H$14,2,FALSE),YES_Writing_ELA[#Headers],0)))),"")</f>
        <v/>
      </c>
    </row>
    <row r="488" spans="1:8" x14ac:dyDescent="0.25">
      <c r="A488" s="137"/>
      <c r="B488" s="137" t="str">
        <f>IFERROR(INDEX(_xlfn.VSTACK(YES_Writing_ELA[#Data], YES_Writing_FLA[#Data]),MATCH($A488,_xlfn.VSTACK(YES_Writing_ELA[Student Number], YES_Writing_FLA[Student Number]),0),MATCH(B$7,YES_Writing_ELA[#Headers],0)),"")</f>
        <v/>
      </c>
      <c r="C488" s="137" t="str">
        <f>IFERROR(INDEX(_xlfn.VSTACK(YES_Writing_ELA[#Data], YES_Writing_FLA[#Data]),MATCH($A488,_xlfn.VSTACK(YES_Writing_ELA[Student Number], YES_Writing_FLA[Student Number]),0),MATCH(C$7,YES_Writing_ELA[#Headers],0)),"")</f>
        <v/>
      </c>
      <c r="D488" s="138" t="str">
        <f>IFERROR(IF(IF(INDEX(_xlfn.VSTACK(YES_Writing_ELA[#Data],YES_Writing_FLA[#Data]),MATCH($A488,_xlfn.VSTACK(YES_Writing_ELA[Student Number],YES_Writing_FLA[Student Number]),0),MATCH(VLOOKUP(D$7,'Writing Logic'!$J$7:$K$11,2,FALSE)&amp;" - Per "&amp;VLOOKUP($C$4,'Writing Logic'!$G$8:$H$14,2,FALSE),YES_Writing_ELA[#Headers],0))=0,"",INDEX(_xlfn.VSTACK(YES_Writing_ELA[#Data],YES_Writing_FLA[#Data]),MATCH($A488,_xlfn.VSTACK(YES_Writing_ELA[Student Number],YES_Writing_FLA[Student Number]),0),MATCH(VLOOKUP(D$7,'Writing Logic'!$J$7:$K$11,2,FALSE)&amp;" - Per "&amp;VLOOKUP($C$4,'Writing Logic'!$G$8:$H$14,2,FALSE),YES_Writing_ELA[#Headers],0)))="INS",'Writing Logic'!$B$7,IF(INDEX(_xlfn.VSTACK(YES_Writing_ELA[#Data],YES_Writing_FLA[#Data]),MATCH($A488,_xlfn.VSTACK(YES_Writing_ELA[Student Number],YES_Writing_FLA[Student Number]),0),MATCH(VLOOKUP(D$7,'Writing Logic'!$J$7:$K$11,2,FALSE)&amp;" - Per "&amp;VLOOKUP($C$4,'Writing Logic'!$G$8:$H$14,2,FALSE),YES_Writing_ELA[#Headers],0))=0,"",INDEX(_xlfn.VSTACK(YES_Writing_ELA[#Data],YES_Writing_FLA[#Data]),MATCH($A488,_xlfn.VSTACK(YES_Writing_ELA[Student Number],YES_Writing_FLA[Student Number]),0),MATCH(VLOOKUP(D$7,'Writing Logic'!$J$7:$K$11,2,FALSE)&amp;" - Per "&amp;VLOOKUP($C$4,'Writing Logic'!$G$8:$H$14,2,FALSE),YES_Writing_ELA[#Headers],0)))),"")</f>
        <v/>
      </c>
      <c r="E488" s="138" t="str">
        <f>IFERROR(IF(IF(INDEX(_xlfn.VSTACK(YES_Writing_ELA[#Data],YES_Writing_FLA[#Data]),MATCH($A488,_xlfn.VSTACK(YES_Writing_ELA[Student Number],YES_Writing_FLA[Student Number]),0),MATCH(VLOOKUP(E$7,'Writing Logic'!$J$7:$K$11,2,FALSE)&amp;" - Per "&amp;VLOOKUP($C$4,'Writing Logic'!$G$8:$H$14,2,FALSE),YES_Writing_ELA[#Headers],0))=0,"",INDEX(_xlfn.VSTACK(YES_Writing_ELA[#Data],YES_Writing_FLA[#Data]),MATCH($A488,_xlfn.VSTACK(YES_Writing_ELA[Student Number],YES_Writing_FLA[Student Number]),0),MATCH(VLOOKUP(E$7,'Writing Logic'!$J$7:$K$11,2,FALSE)&amp;" - Per "&amp;VLOOKUP($C$4,'Writing Logic'!$G$8:$H$14,2,FALSE),YES_Writing_ELA[#Headers],0)))="INS",'Writing Logic'!$B$7,IF(INDEX(_xlfn.VSTACK(YES_Writing_ELA[#Data],YES_Writing_FLA[#Data]),MATCH($A488,_xlfn.VSTACK(YES_Writing_ELA[Student Number],YES_Writing_FLA[Student Number]),0),MATCH(VLOOKUP(E$7,'Writing Logic'!$J$7:$K$11,2,FALSE)&amp;" - Per "&amp;VLOOKUP($C$4,'Writing Logic'!$G$8:$H$14,2,FALSE),YES_Writing_ELA[#Headers],0))=0,"",INDEX(_xlfn.VSTACK(YES_Writing_ELA[#Data],YES_Writing_FLA[#Data]),MATCH($A488,_xlfn.VSTACK(YES_Writing_ELA[Student Number],YES_Writing_FLA[Student Number]),0),MATCH(VLOOKUP(E$7,'Writing Logic'!$J$7:$K$11,2,FALSE)&amp;" - Per "&amp;VLOOKUP($C$4,'Writing Logic'!$G$8:$H$14,2,FALSE),YES_Writing_ELA[#Headers],0)))),"")</f>
        <v/>
      </c>
      <c r="F488" s="138" t="str">
        <f>IFERROR(IF(IF(INDEX(_xlfn.VSTACK(YES_Writing_ELA[#Data],YES_Writing_FLA[#Data]),MATCH($A488,_xlfn.VSTACK(YES_Writing_ELA[Student Number],YES_Writing_FLA[Student Number]),0),MATCH(VLOOKUP(F$7,'Writing Logic'!$J$7:$K$11,2,FALSE)&amp;" - Per "&amp;VLOOKUP($C$4,'Writing Logic'!$G$8:$H$14,2,FALSE),YES_Writing_ELA[#Headers],0))=0,"",INDEX(_xlfn.VSTACK(YES_Writing_ELA[#Data],YES_Writing_FLA[#Data]),MATCH($A488,_xlfn.VSTACK(YES_Writing_ELA[Student Number],YES_Writing_FLA[Student Number]),0),MATCH(VLOOKUP(F$7,'Writing Logic'!$J$7:$K$11,2,FALSE)&amp;" - Per "&amp;VLOOKUP($C$4,'Writing Logic'!$G$8:$H$14,2,FALSE),YES_Writing_ELA[#Headers],0)))="INS",'Writing Logic'!$B$7,IF(INDEX(_xlfn.VSTACK(YES_Writing_ELA[#Data],YES_Writing_FLA[#Data]),MATCH($A488,_xlfn.VSTACK(YES_Writing_ELA[Student Number],YES_Writing_FLA[Student Number]),0),MATCH(VLOOKUP(F$7,'Writing Logic'!$J$7:$K$11,2,FALSE)&amp;" - Per "&amp;VLOOKUP($C$4,'Writing Logic'!$G$8:$H$14,2,FALSE),YES_Writing_ELA[#Headers],0))=0,"",INDEX(_xlfn.VSTACK(YES_Writing_ELA[#Data],YES_Writing_FLA[#Data]),MATCH($A488,_xlfn.VSTACK(YES_Writing_ELA[Student Number],YES_Writing_FLA[Student Number]),0),MATCH(VLOOKUP(F$7,'Writing Logic'!$J$7:$K$11,2,FALSE)&amp;" - Per "&amp;VLOOKUP($C$4,'Writing Logic'!$G$8:$H$14,2,FALSE),YES_Writing_ELA[#Headers],0)))),"")</f>
        <v/>
      </c>
      <c r="G488" s="138" t="str">
        <f>IFERROR(IF(IF(INDEX(_xlfn.VSTACK(YES_Writing_ELA[#Data],YES_Writing_FLA[#Data]),MATCH($A488,_xlfn.VSTACK(YES_Writing_ELA[Student Number],YES_Writing_FLA[Student Number]),0),MATCH(VLOOKUP(G$7,'Writing Logic'!$J$7:$K$11,2,FALSE)&amp;" - Per "&amp;VLOOKUP($C$4,'Writing Logic'!$G$8:$H$14,2,FALSE),YES_Writing_ELA[#Headers],0))=0,"",INDEX(_xlfn.VSTACK(YES_Writing_ELA[#Data],YES_Writing_FLA[#Data]),MATCH($A488,_xlfn.VSTACK(YES_Writing_ELA[Student Number],YES_Writing_FLA[Student Number]),0),MATCH(VLOOKUP(G$7,'Writing Logic'!$J$7:$K$11,2,FALSE)&amp;" - Per "&amp;VLOOKUP($C$4,'Writing Logic'!$G$8:$H$14,2,FALSE),YES_Writing_ELA[#Headers],0)))="INS",'Writing Logic'!$B$7,IF(INDEX(_xlfn.VSTACK(YES_Writing_ELA[#Data],YES_Writing_FLA[#Data]),MATCH($A488,_xlfn.VSTACK(YES_Writing_ELA[Student Number],YES_Writing_FLA[Student Number]),0),MATCH(VLOOKUP(G$7,'Writing Logic'!$J$7:$K$11,2,FALSE)&amp;" - Per "&amp;VLOOKUP($C$4,'Writing Logic'!$G$8:$H$14,2,FALSE),YES_Writing_ELA[#Headers],0))=0,"",INDEX(_xlfn.VSTACK(YES_Writing_ELA[#Data],YES_Writing_FLA[#Data]),MATCH($A488,_xlfn.VSTACK(YES_Writing_ELA[Student Number],YES_Writing_FLA[Student Number]),0),MATCH(VLOOKUP(G$7,'Writing Logic'!$J$7:$K$11,2,FALSE)&amp;" - Per "&amp;VLOOKUP($C$4,'Writing Logic'!$G$8:$H$14,2,FALSE),YES_Writing_ELA[#Headers],0)))),"")</f>
        <v/>
      </c>
      <c r="H488" s="138" t="str">
        <f>IFERROR(IF(IF(INDEX(_xlfn.VSTACK(YES_Writing_ELA[#Data],YES_Writing_FLA[#Data]),MATCH($A488,_xlfn.VSTACK(YES_Writing_ELA[Student Number],YES_Writing_FLA[Student Number]),0),MATCH(VLOOKUP(H$7,'Writing Logic'!$J$7:$K$11,2,FALSE)&amp;" - Per "&amp;VLOOKUP($C$4,'Writing Logic'!$G$8:$H$14,2,FALSE),YES_Writing_ELA[#Headers],0))=0,"",INDEX(_xlfn.VSTACK(YES_Writing_ELA[#Data],YES_Writing_FLA[#Data]),MATCH($A488,_xlfn.VSTACK(YES_Writing_ELA[Student Number],YES_Writing_FLA[Student Number]),0),MATCH(VLOOKUP(H$7,'Writing Logic'!$J$7:$K$11,2,FALSE)&amp;" - Per "&amp;VLOOKUP($C$4,'Writing Logic'!$G$8:$H$14,2,FALSE),YES_Writing_ELA[#Headers],0)))="INS",'Writing Logic'!$B$7,IF(INDEX(_xlfn.VSTACK(YES_Writing_ELA[#Data],YES_Writing_FLA[#Data]),MATCH($A488,_xlfn.VSTACK(YES_Writing_ELA[Student Number],YES_Writing_FLA[Student Number]),0),MATCH(VLOOKUP(H$7,'Writing Logic'!$J$7:$K$11,2,FALSE)&amp;" - Per "&amp;VLOOKUP($C$4,'Writing Logic'!$G$8:$H$14,2,FALSE),YES_Writing_ELA[#Headers],0))=0,"",INDEX(_xlfn.VSTACK(YES_Writing_ELA[#Data],YES_Writing_FLA[#Data]),MATCH($A488,_xlfn.VSTACK(YES_Writing_ELA[Student Number],YES_Writing_FLA[Student Number]),0),MATCH(VLOOKUP(H$7,'Writing Logic'!$J$7:$K$11,2,FALSE)&amp;" - Per "&amp;VLOOKUP($C$4,'Writing Logic'!$G$8:$H$14,2,FALSE),YES_Writing_ELA[#Headers],0)))),"")</f>
        <v/>
      </c>
    </row>
    <row r="489" spans="1:8" x14ac:dyDescent="0.25">
      <c r="A489" s="137"/>
      <c r="B489" s="137" t="str">
        <f>IFERROR(INDEX(_xlfn.VSTACK(YES_Writing_ELA[#Data], YES_Writing_FLA[#Data]),MATCH($A489,_xlfn.VSTACK(YES_Writing_ELA[Student Number], YES_Writing_FLA[Student Number]),0),MATCH(B$7,YES_Writing_ELA[#Headers],0)),"")</f>
        <v/>
      </c>
      <c r="C489" s="137" t="str">
        <f>IFERROR(INDEX(_xlfn.VSTACK(YES_Writing_ELA[#Data], YES_Writing_FLA[#Data]),MATCH($A489,_xlfn.VSTACK(YES_Writing_ELA[Student Number], YES_Writing_FLA[Student Number]),0),MATCH(C$7,YES_Writing_ELA[#Headers],0)),"")</f>
        <v/>
      </c>
      <c r="D489" s="138" t="str">
        <f>IFERROR(IF(IF(INDEX(_xlfn.VSTACK(YES_Writing_ELA[#Data],YES_Writing_FLA[#Data]),MATCH($A489,_xlfn.VSTACK(YES_Writing_ELA[Student Number],YES_Writing_FLA[Student Number]),0),MATCH(VLOOKUP(D$7,'Writing Logic'!$J$7:$K$11,2,FALSE)&amp;" - Per "&amp;VLOOKUP($C$4,'Writing Logic'!$G$8:$H$14,2,FALSE),YES_Writing_ELA[#Headers],0))=0,"",INDEX(_xlfn.VSTACK(YES_Writing_ELA[#Data],YES_Writing_FLA[#Data]),MATCH($A489,_xlfn.VSTACK(YES_Writing_ELA[Student Number],YES_Writing_FLA[Student Number]),0),MATCH(VLOOKUP(D$7,'Writing Logic'!$J$7:$K$11,2,FALSE)&amp;" - Per "&amp;VLOOKUP($C$4,'Writing Logic'!$G$8:$H$14,2,FALSE),YES_Writing_ELA[#Headers],0)))="INS",'Writing Logic'!$B$7,IF(INDEX(_xlfn.VSTACK(YES_Writing_ELA[#Data],YES_Writing_FLA[#Data]),MATCH($A489,_xlfn.VSTACK(YES_Writing_ELA[Student Number],YES_Writing_FLA[Student Number]),0),MATCH(VLOOKUP(D$7,'Writing Logic'!$J$7:$K$11,2,FALSE)&amp;" - Per "&amp;VLOOKUP($C$4,'Writing Logic'!$G$8:$H$14,2,FALSE),YES_Writing_ELA[#Headers],0))=0,"",INDEX(_xlfn.VSTACK(YES_Writing_ELA[#Data],YES_Writing_FLA[#Data]),MATCH($A489,_xlfn.VSTACK(YES_Writing_ELA[Student Number],YES_Writing_FLA[Student Number]),0),MATCH(VLOOKUP(D$7,'Writing Logic'!$J$7:$K$11,2,FALSE)&amp;" - Per "&amp;VLOOKUP($C$4,'Writing Logic'!$G$8:$H$14,2,FALSE),YES_Writing_ELA[#Headers],0)))),"")</f>
        <v/>
      </c>
      <c r="E489" s="138" t="str">
        <f>IFERROR(IF(IF(INDEX(_xlfn.VSTACK(YES_Writing_ELA[#Data],YES_Writing_FLA[#Data]),MATCH($A489,_xlfn.VSTACK(YES_Writing_ELA[Student Number],YES_Writing_FLA[Student Number]),0),MATCH(VLOOKUP(E$7,'Writing Logic'!$J$7:$K$11,2,FALSE)&amp;" - Per "&amp;VLOOKUP($C$4,'Writing Logic'!$G$8:$H$14,2,FALSE),YES_Writing_ELA[#Headers],0))=0,"",INDEX(_xlfn.VSTACK(YES_Writing_ELA[#Data],YES_Writing_FLA[#Data]),MATCH($A489,_xlfn.VSTACK(YES_Writing_ELA[Student Number],YES_Writing_FLA[Student Number]),0),MATCH(VLOOKUP(E$7,'Writing Logic'!$J$7:$K$11,2,FALSE)&amp;" - Per "&amp;VLOOKUP($C$4,'Writing Logic'!$G$8:$H$14,2,FALSE),YES_Writing_ELA[#Headers],0)))="INS",'Writing Logic'!$B$7,IF(INDEX(_xlfn.VSTACK(YES_Writing_ELA[#Data],YES_Writing_FLA[#Data]),MATCH($A489,_xlfn.VSTACK(YES_Writing_ELA[Student Number],YES_Writing_FLA[Student Number]),0),MATCH(VLOOKUP(E$7,'Writing Logic'!$J$7:$K$11,2,FALSE)&amp;" - Per "&amp;VLOOKUP($C$4,'Writing Logic'!$G$8:$H$14,2,FALSE),YES_Writing_ELA[#Headers],0))=0,"",INDEX(_xlfn.VSTACK(YES_Writing_ELA[#Data],YES_Writing_FLA[#Data]),MATCH($A489,_xlfn.VSTACK(YES_Writing_ELA[Student Number],YES_Writing_FLA[Student Number]),0),MATCH(VLOOKUP(E$7,'Writing Logic'!$J$7:$K$11,2,FALSE)&amp;" - Per "&amp;VLOOKUP($C$4,'Writing Logic'!$G$8:$H$14,2,FALSE),YES_Writing_ELA[#Headers],0)))),"")</f>
        <v/>
      </c>
      <c r="F489" s="138" t="str">
        <f>IFERROR(IF(IF(INDEX(_xlfn.VSTACK(YES_Writing_ELA[#Data],YES_Writing_FLA[#Data]),MATCH($A489,_xlfn.VSTACK(YES_Writing_ELA[Student Number],YES_Writing_FLA[Student Number]),0),MATCH(VLOOKUP(F$7,'Writing Logic'!$J$7:$K$11,2,FALSE)&amp;" - Per "&amp;VLOOKUP($C$4,'Writing Logic'!$G$8:$H$14,2,FALSE),YES_Writing_ELA[#Headers],0))=0,"",INDEX(_xlfn.VSTACK(YES_Writing_ELA[#Data],YES_Writing_FLA[#Data]),MATCH($A489,_xlfn.VSTACK(YES_Writing_ELA[Student Number],YES_Writing_FLA[Student Number]),0),MATCH(VLOOKUP(F$7,'Writing Logic'!$J$7:$K$11,2,FALSE)&amp;" - Per "&amp;VLOOKUP($C$4,'Writing Logic'!$G$8:$H$14,2,FALSE),YES_Writing_ELA[#Headers],0)))="INS",'Writing Logic'!$B$7,IF(INDEX(_xlfn.VSTACK(YES_Writing_ELA[#Data],YES_Writing_FLA[#Data]),MATCH($A489,_xlfn.VSTACK(YES_Writing_ELA[Student Number],YES_Writing_FLA[Student Number]),0),MATCH(VLOOKUP(F$7,'Writing Logic'!$J$7:$K$11,2,FALSE)&amp;" - Per "&amp;VLOOKUP($C$4,'Writing Logic'!$G$8:$H$14,2,FALSE),YES_Writing_ELA[#Headers],0))=0,"",INDEX(_xlfn.VSTACK(YES_Writing_ELA[#Data],YES_Writing_FLA[#Data]),MATCH($A489,_xlfn.VSTACK(YES_Writing_ELA[Student Number],YES_Writing_FLA[Student Number]),0),MATCH(VLOOKUP(F$7,'Writing Logic'!$J$7:$K$11,2,FALSE)&amp;" - Per "&amp;VLOOKUP($C$4,'Writing Logic'!$G$8:$H$14,2,FALSE),YES_Writing_ELA[#Headers],0)))),"")</f>
        <v/>
      </c>
      <c r="G489" s="138" t="str">
        <f>IFERROR(IF(IF(INDEX(_xlfn.VSTACK(YES_Writing_ELA[#Data],YES_Writing_FLA[#Data]),MATCH($A489,_xlfn.VSTACK(YES_Writing_ELA[Student Number],YES_Writing_FLA[Student Number]),0),MATCH(VLOOKUP(G$7,'Writing Logic'!$J$7:$K$11,2,FALSE)&amp;" - Per "&amp;VLOOKUP($C$4,'Writing Logic'!$G$8:$H$14,2,FALSE),YES_Writing_ELA[#Headers],0))=0,"",INDEX(_xlfn.VSTACK(YES_Writing_ELA[#Data],YES_Writing_FLA[#Data]),MATCH($A489,_xlfn.VSTACK(YES_Writing_ELA[Student Number],YES_Writing_FLA[Student Number]),0),MATCH(VLOOKUP(G$7,'Writing Logic'!$J$7:$K$11,2,FALSE)&amp;" - Per "&amp;VLOOKUP($C$4,'Writing Logic'!$G$8:$H$14,2,FALSE),YES_Writing_ELA[#Headers],0)))="INS",'Writing Logic'!$B$7,IF(INDEX(_xlfn.VSTACK(YES_Writing_ELA[#Data],YES_Writing_FLA[#Data]),MATCH($A489,_xlfn.VSTACK(YES_Writing_ELA[Student Number],YES_Writing_FLA[Student Number]),0),MATCH(VLOOKUP(G$7,'Writing Logic'!$J$7:$K$11,2,FALSE)&amp;" - Per "&amp;VLOOKUP($C$4,'Writing Logic'!$G$8:$H$14,2,FALSE),YES_Writing_ELA[#Headers],0))=0,"",INDEX(_xlfn.VSTACK(YES_Writing_ELA[#Data],YES_Writing_FLA[#Data]),MATCH($A489,_xlfn.VSTACK(YES_Writing_ELA[Student Number],YES_Writing_FLA[Student Number]),0),MATCH(VLOOKUP(G$7,'Writing Logic'!$J$7:$K$11,2,FALSE)&amp;" - Per "&amp;VLOOKUP($C$4,'Writing Logic'!$G$8:$H$14,2,FALSE),YES_Writing_ELA[#Headers],0)))),"")</f>
        <v/>
      </c>
      <c r="H489" s="138" t="str">
        <f>IFERROR(IF(IF(INDEX(_xlfn.VSTACK(YES_Writing_ELA[#Data],YES_Writing_FLA[#Data]),MATCH($A489,_xlfn.VSTACK(YES_Writing_ELA[Student Number],YES_Writing_FLA[Student Number]),0),MATCH(VLOOKUP(H$7,'Writing Logic'!$J$7:$K$11,2,FALSE)&amp;" - Per "&amp;VLOOKUP($C$4,'Writing Logic'!$G$8:$H$14,2,FALSE),YES_Writing_ELA[#Headers],0))=0,"",INDEX(_xlfn.VSTACK(YES_Writing_ELA[#Data],YES_Writing_FLA[#Data]),MATCH($A489,_xlfn.VSTACK(YES_Writing_ELA[Student Number],YES_Writing_FLA[Student Number]),0),MATCH(VLOOKUP(H$7,'Writing Logic'!$J$7:$K$11,2,FALSE)&amp;" - Per "&amp;VLOOKUP($C$4,'Writing Logic'!$G$8:$H$14,2,FALSE),YES_Writing_ELA[#Headers],0)))="INS",'Writing Logic'!$B$7,IF(INDEX(_xlfn.VSTACK(YES_Writing_ELA[#Data],YES_Writing_FLA[#Data]),MATCH($A489,_xlfn.VSTACK(YES_Writing_ELA[Student Number],YES_Writing_FLA[Student Number]),0),MATCH(VLOOKUP(H$7,'Writing Logic'!$J$7:$K$11,2,FALSE)&amp;" - Per "&amp;VLOOKUP($C$4,'Writing Logic'!$G$8:$H$14,2,FALSE),YES_Writing_ELA[#Headers],0))=0,"",INDEX(_xlfn.VSTACK(YES_Writing_ELA[#Data],YES_Writing_FLA[#Data]),MATCH($A489,_xlfn.VSTACK(YES_Writing_ELA[Student Number],YES_Writing_FLA[Student Number]),0),MATCH(VLOOKUP(H$7,'Writing Logic'!$J$7:$K$11,2,FALSE)&amp;" - Per "&amp;VLOOKUP($C$4,'Writing Logic'!$G$8:$H$14,2,FALSE),YES_Writing_ELA[#Headers],0)))),"")</f>
        <v/>
      </c>
    </row>
    <row r="490" spans="1:8" x14ac:dyDescent="0.25">
      <c r="A490" s="137"/>
      <c r="B490" s="137" t="str">
        <f>IFERROR(INDEX(_xlfn.VSTACK(YES_Writing_ELA[#Data], YES_Writing_FLA[#Data]),MATCH($A490,_xlfn.VSTACK(YES_Writing_ELA[Student Number], YES_Writing_FLA[Student Number]),0),MATCH(B$7,YES_Writing_ELA[#Headers],0)),"")</f>
        <v/>
      </c>
      <c r="C490" s="137" t="str">
        <f>IFERROR(INDEX(_xlfn.VSTACK(YES_Writing_ELA[#Data], YES_Writing_FLA[#Data]),MATCH($A490,_xlfn.VSTACK(YES_Writing_ELA[Student Number], YES_Writing_FLA[Student Number]),0),MATCH(C$7,YES_Writing_ELA[#Headers],0)),"")</f>
        <v/>
      </c>
      <c r="D490" s="138" t="str">
        <f>IFERROR(IF(IF(INDEX(_xlfn.VSTACK(YES_Writing_ELA[#Data],YES_Writing_FLA[#Data]),MATCH($A490,_xlfn.VSTACK(YES_Writing_ELA[Student Number],YES_Writing_FLA[Student Number]),0),MATCH(VLOOKUP(D$7,'Writing Logic'!$J$7:$K$11,2,FALSE)&amp;" - Per "&amp;VLOOKUP($C$4,'Writing Logic'!$G$8:$H$14,2,FALSE),YES_Writing_ELA[#Headers],0))=0,"",INDEX(_xlfn.VSTACK(YES_Writing_ELA[#Data],YES_Writing_FLA[#Data]),MATCH($A490,_xlfn.VSTACK(YES_Writing_ELA[Student Number],YES_Writing_FLA[Student Number]),0),MATCH(VLOOKUP(D$7,'Writing Logic'!$J$7:$K$11,2,FALSE)&amp;" - Per "&amp;VLOOKUP($C$4,'Writing Logic'!$G$8:$H$14,2,FALSE),YES_Writing_ELA[#Headers],0)))="INS",'Writing Logic'!$B$7,IF(INDEX(_xlfn.VSTACK(YES_Writing_ELA[#Data],YES_Writing_FLA[#Data]),MATCH($A490,_xlfn.VSTACK(YES_Writing_ELA[Student Number],YES_Writing_FLA[Student Number]),0),MATCH(VLOOKUP(D$7,'Writing Logic'!$J$7:$K$11,2,FALSE)&amp;" - Per "&amp;VLOOKUP($C$4,'Writing Logic'!$G$8:$H$14,2,FALSE),YES_Writing_ELA[#Headers],0))=0,"",INDEX(_xlfn.VSTACK(YES_Writing_ELA[#Data],YES_Writing_FLA[#Data]),MATCH($A490,_xlfn.VSTACK(YES_Writing_ELA[Student Number],YES_Writing_FLA[Student Number]),0),MATCH(VLOOKUP(D$7,'Writing Logic'!$J$7:$K$11,2,FALSE)&amp;" - Per "&amp;VLOOKUP($C$4,'Writing Logic'!$G$8:$H$14,2,FALSE),YES_Writing_ELA[#Headers],0)))),"")</f>
        <v/>
      </c>
      <c r="E490" s="138" t="str">
        <f>IFERROR(IF(IF(INDEX(_xlfn.VSTACK(YES_Writing_ELA[#Data],YES_Writing_FLA[#Data]),MATCH($A490,_xlfn.VSTACK(YES_Writing_ELA[Student Number],YES_Writing_FLA[Student Number]),0),MATCH(VLOOKUP(E$7,'Writing Logic'!$J$7:$K$11,2,FALSE)&amp;" - Per "&amp;VLOOKUP($C$4,'Writing Logic'!$G$8:$H$14,2,FALSE),YES_Writing_ELA[#Headers],0))=0,"",INDEX(_xlfn.VSTACK(YES_Writing_ELA[#Data],YES_Writing_FLA[#Data]),MATCH($A490,_xlfn.VSTACK(YES_Writing_ELA[Student Number],YES_Writing_FLA[Student Number]),0),MATCH(VLOOKUP(E$7,'Writing Logic'!$J$7:$K$11,2,FALSE)&amp;" - Per "&amp;VLOOKUP($C$4,'Writing Logic'!$G$8:$H$14,2,FALSE),YES_Writing_ELA[#Headers],0)))="INS",'Writing Logic'!$B$7,IF(INDEX(_xlfn.VSTACK(YES_Writing_ELA[#Data],YES_Writing_FLA[#Data]),MATCH($A490,_xlfn.VSTACK(YES_Writing_ELA[Student Number],YES_Writing_FLA[Student Number]),0),MATCH(VLOOKUP(E$7,'Writing Logic'!$J$7:$K$11,2,FALSE)&amp;" - Per "&amp;VLOOKUP($C$4,'Writing Logic'!$G$8:$H$14,2,FALSE),YES_Writing_ELA[#Headers],0))=0,"",INDEX(_xlfn.VSTACK(YES_Writing_ELA[#Data],YES_Writing_FLA[#Data]),MATCH($A490,_xlfn.VSTACK(YES_Writing_ELA[Student Number],YES_Writing_FLA[Student Number]),0),MATCH(VLOOKUP(E$7,'Writing Logic'!$J$7:$K$11,2,FALSE)&amp;" - Per "&amp;VLOOKUP($C$4,'Writing Logic'!$G$8:$H$14,2,FALSE),YES_Writing_ELA[#Headers],0)))),"")</f>
        <v/>
      </c>
      <c r="F490" s="138" t="str">
        <f>IFERROR(IF(IF(INDEX(_xlfn.VSTACK(YES_Writing_ELA[#Data],YES_Writing_FLA[#Data]),MATCH($A490,_xlfn.VSTACK(YES_Writing_ELA[Student Number],YES_Writing_FLA[Student Number]),0),MATCH(VLOOKUP(F$7,'Writing Logic'!$J$7:$K$11,2,FALSE)&amp;" - Per "&amp;VLOOKUP($C$4,'Writing Logic'!$G$8:$H$14,2,FALSE),YES_Writing_ELA[#Headers],0))=0,"",INDEX(_xlfn.VSTACK(YES_Writing_ELA[#Data],YES_Writing_FLA[#Data]),MATCH($A490,_xlfn.VSTACK(YES_Writing_ELA[Student Number],YES_Writing_FLA[Student Number]),0),MATCH(VLOOKUP(F$7,'Writing Logic'!$J$7:$K$11,2,FALSE)&amp;" - Per "&amp;VLOOKUP($C$4,'Writing Logic'!$G$8:$H$14,2,FALSE),YES_Writing_ELA[#Headers],0)))="INS",'Writing Logic'!$B$7,IF(INDEX(_xlfn.VSTACK(YES_Writing_ELA[#Data],YES_Writing_FLA[#Data]),MATCH($A490,_xlfn.VSTACK(YES_Writing_ELA[Student Number],YES_Writing_FLA[Student Number]),0),MATCH(VLOOKUP(F$7,'Writing Logic'!$J$7:$K$11,2,FALSE)&amp;" - Per "&amp;VLOOKUP($C$4,'Writing Logic'!$G$8:$H$14,2,FALSE),YES_Writing_ELA[#Headers],0))=0,"",INDEX(_xlfn.VSTACK(YES_Writing_ELA[#Data],YES_Writing_FLA[#Data]),MATCH($A490,_xlfn.VSTACK(YES_Writing_ELA[Student Number],YES_Writing_FLA[Student Number]),0),MATCH(VLOOKUP(F$7,'Writing Logic'!$J$7:$K$11,2,FALSE)&amp;" - Per "&amp;VLOOKUP($C$4,'Writing Logic'!$G$8:$H$14,2,FALSE),YES_Writing_ELA[#Headers],0)))),"")</f>
        <v/>
      </c>
      <c r="G490" s="138" t="str">
        <f>IFERROR(IF(IF(INDEX(_xlfn.VSTACK(YES_Writing_ELA[#Data],YES_Writing_FLA[#Data]),MATCH($A490,_xlfn.VSTACK(YES_Writing_ELA[Student Number],YES_Writing_FLA[Student Number]),0),MATCH(VLOOKUP(G$7,'Writing Logic'!$J$7:$K$11,2,FALSE)&amp;" - Per "&amp;VLOOKUP($C$4,'Writing Logic'!$G$8:$H$14,2,FALSE),YES_Writing_ELA[#Headers],0))=0,"",INDEX(_xlfn.VSTACK(YES_Writing_ELA[#Data],YES_Writing_FLA[#Data]),MATCH($A490,_xlfn.VSTACK(YES_Writing_ELA[Student Number],YES_Writing_FLA[Student Number]),0),MATCH(VLOOKUP(G$7,'Writing Logic'!$J$7:$K$11,2,FALSE)&amp;" - Per "&amp;VLOOKUP($C$4,'Writing Logic'!$G$8:$H$14,2,FALSE),YES_Writing_ELA[#Headers],0)))="INS",'Writing Logic'!$B$7,IF(INDEX(_xlfn.VSTACK(YES_Writing_ELA[#Data],YES_Writing_FLA[#Data]),MATCH($A490,_xlfn.VSTACK(YES_Writing_ELA[Student Number],YES_Writing_FLA[Student Number]),0),MATCH(VLOOKUP(G$7,'Writing Logic'!$J$7:$K$11,2,FALSE)&amp;" - Per "&amp;VLOOKUP($C$4,'Writing Logic'!$G$8:$H$14,2,FALSE),YES_Writing_ELA[#Headers],0))=0,"",INDEX(_xlfn.VSTACK(YES_Writing_ELA[#Data],YES_Writing_FLA[#Data]),MATCH($A490,_xlfn.VSTACK(YES_Writing_ELA[Student Number],YES_Writing_FLA[Student Number]),0),MATCH(VLOOKUP(G$7,'Writing Logic'!$J$7:$K$11,2,FALSE)&amp;" - Per "&amp;VLOOKUP($C$4,'Writing Logic'!$G$8:$H$14,2,FALSE),YES_Writing_ELA[#Headers],0)))),"")</f>
        <v/>
      </c>
      <c r="H490" s="138" t="str">
        <f>IFERROR(IF(IF(INDEX(_xlfn.VSTACK(YES_Writing_ELA[#Data],YES_Writing_FLA[#Data]),MATCH($A490,_xlfn.VSTACK(YES_Writing_ELA[Student Number],YES_Writing_FLA[Student Number]),0),MATCH(VLOOKUP(H$7,'Writing Logic'!$J$7:$K$11,2,FALSE)&amp;" - Per "&amp;VLOOKUP($C$4,'Writing Logic'!$G$8:$H$14,2,FALSE),YES_Writing_ELA[#Headers],0))=0,"",INDEX(_xlfn.VSTACK(YES_Writing_ELA[#Data],YES_Writing_FLA[#Data]),MATCH($A490,_xlfn.VSTACK(YES_Writing_ELA[Student Number],YES_Writing_FLA[Student Number]),0),MATCH(VLOOKUP(H$7,'Writing Logic'!$J$7:$K$11,2,FALSE)&amp;" - Per "&amp;VLOOKUP($C$4,'Writing Logic'!$G$8:$H$14,2,FALSE),YES_Writing_ELA[#Headers],0)))="INS",'Writing Logic'!$B$7,IF(INDEX(_xlfn.VSTACK(YES_Writing_ELA[#Data],YES_Writing_FLA[#Data]),MATCH($A490,_xlfn.VSTACK(YES_Writing_ELA[Student Number],YES_Writing_FLA[Student Number]),0),MATCH(VLOOKUP(H$7,'Writing Logic'!$J$7:$K$11,2,FALSE)&amp;" - Per "&amp;VLOOKUP($C$4,'Writing Logic'!$G$8:$H$14,2,FALSE),YES_Writing_ELA[#Headers],0))=0,"",INDEX(_xlfn.VSTACK(YES_Writing_ELA[#Data],YES_Writing_FLA[#Data]),MATCH($A490,_xlfn.VSTACK(YES_Writing_ELA[Student Number],YES_Writing_FLA[Student Number]),0),MATCH(VLOOKUP(H$7,'Writing Logic'!$J$7:$K$11,2,FALSE)&amp;" - Per "&amp;VLOOKUP($C$4,'Writing Logic'!$G$8:$H$14,2,FALSE),YES_Writing_ELA[#Headers],0)))),"")</f>
        <v/>
      </c>
    </row>
    <row r="491" spans="1:8" x14ac:dyDescent="0.25">
      <c r="A491" s="137"/>
      <c r="B491" s="137" t="str">
        <f>IFERROR(INDEX(_xlfn.VSTACK(YES_Writing_ELA[#Data], YES_Writing_FLA[#Data]),MATCH($A491,_xlfn.VSTACK(YES_Writing_ELA[Student Number], YES_Writing_FLA[Student Number]),0),MATCH(B$7,YES_Writing_ELA[#Headers],0)),"")</f>
        <v/>
      </c>
      <c r="C491" s="137" t="str">
        <f>IFERROR(INDEX(_xlfn.VSTACK(YES_Writing_ELA[#Data], YES_Writing_FLA[#Data]),MATCH($A491,_xlfn.VSTACK(YES_Writing_ELA[Student Number], YES_Writing_FLA[Student Number]),0),MATCH(C$7,YES_Writing_ELA[#Headers],0)),"")</f>
        <v/>
      </c>
      <c r="D491" s="138" t="str">
        <f>IFERROR(IF(IF(INDEX(_xlfn.VSTACK(YES_Writing_ELA[#Data],YES_Writing_FLA[#Data]),MATCH($A491,_xlfn.VSTACK(YES_Writing_ELA[Student Number],YES_Writing_FLA[Student Number]),0),MATCH(VLOOKUP(D$7,'Writing Logic'!$J$7:$K$11,2,FALSE)&amp;" - Per "&amp;VLOOKUP($C$4,'Writing Logic'!$G$8:$H$14,2,FALSE),YES_Writing_ELA[#Headers],0))=0,"",INDEX(_xlfn.VSTACK(YES_Writing_ELA[#Data],YES_Writing_FLA[#Data]),MATCH($A491,_xlfn.VSTACK(YES_Writing_ELA[Student Number],YES_Writing_FLA[Student Number]),0),MATCH(VLOOKUP(D$7,'Writing Logic'!$J$7:$K$11,2,FALSE)&amp;" - Per "&amp;VLOOKUP($C$4,'Writing Logic'!$G$8:$H$14,2,FALSE),YES_Writing_ELA[#Headers],0)))="INS",'Writing Logic'!$B$7,IF(INDEX(_xlfn.VSTACK(YES_Writing_ELA[#Data],YES_Writing_FLA[#Data]),MATCH($A491,_xlfn.VSTACK(YES_Writing_ELA[Student Number],YES_Writing_FLA[Student Number]),0),MATCH(VLOOKUP(D$7,'Writing Logic'!$J$7:$K$11,2,FALSE)&amp;" - Per "&amp;VLOOKUP($C$4,'Writing Logic'!$G$8:$H$14,2,FALSE),YES_Writing_ELA[#Headers],0))=0,"",INDEX(_xlfn.VSTACK(YES_Writing_ELA[#Data],YES_Writing_FLA[#Data]),MATCH($A491,_xlfn.VSTACK(YES_Writing_ELA[Student Number],YES_Writing_FLA[Student Number]),0),MATCH(VLOOKUP(D$7,'Writing Logic'!$J$7:$K$11,2,FALSE)&amp;" - Per "&amp;VLOOKUP($C$4,'Writing Logic'!$G$8:$H$14,2,FALSE),YES_Writing_ELA[#Headers],0)))),"")</f>
        <v/>
      </c>
      <c r="E491" s="138" t="str">
        <f>IFERROR(IF(IF(INDEX(_xlfn.VSTACK(YES_Writing_ELA[#Data],YES_Writing_FLA[#Data]),MATCH($A491,_xlfn.VSTACK(YES_Writing_ELA[Student Number],YES_Writing_FLA[Student Number]),0),MATCH(VLOOKUP(E$7,'Writing Logic'!$J$7:$K$11,2,FALSE)&amp;" - Per "&amp;VLOOKUP($C$4,'Writing Logic'!$G$8:$H$14,2,FALSE),YES_Writing_ELA[#Headers],0))=0,"",INDEX(_xlfn.VSTACK(YES_Writing_ELA[#Data],YES_Writing_FLA[#Data]),MATCH($A491,_xlfn.VSTACK(YES_Writing_ELA[Student Number],YES_Writing_FLA[Student Number]),0),MATCH(VLOOKUP(E$7,'Writing Logic'!$J$7:$K$11,2,FALSE)&amp;" - Per "&amp;VLOOKUP($C$4,'Writing Logic'!$G$8:$H$14,2,FALSE),YES_Writing_ELA[#Headers],0)))="INS",'Writing Logic'!$B$7,IF(INDEX(_xlfn.VSTACK(YES_Writing_ELA[#Data],YES_Writing_FLA[#Data]),MATCH($A491,_xlfn.VSTACK(YES_Writing_ELA[Student Number],YES_Writing_FLA[Student Number]),0),MATCH(VLOOKUP(E$7,'Writing Logic'!$J$7:$K$11,2,FALSE)&amp;" - Per "&amp;VLOOKUP($C$4,'Writing Logic'!$G$8:$H$14,2,FALSE),YES_Writing_ELA[#Headers],0))=0,"",INDEX(_xlfn.VSTACK(YES_Writing_ELA[#Data],YES_Writing_FLA[#Data]),MATCH($A491,_xlfn.VSTACK(YES_Writing_ELA[Student Number],YES_Writing_FLA[Student Number]),0),MATCH(VLOOKUP(E$7,'Writing Logic'!$J$7:$K$11,2,FALSE)&amp;" - Per "&amp;VLOOKUP($C$4,'Writing Logic'!$G$8:$H$14,2,FALSE),YES_Writing_ELA[#Headers],0)))),"")</f>
        <v/>
      </c>
      <c r="F491" s="138" t="str">
        <f>IFERROR(IF(IF(INDEX(_xlfn.VSTACK(YES_Writing_ELA[#Data],YES_Writing_FLA[#Data]),MATCH($A491,_xlfn.VSTACK(YES_Writing_ELA[Student Number],YES_Writing_FLA[Student Number]),0),MATCH(VLOOKUP(F$7,'Writing Logic'!$J$7:$K$11,2,FALSE)&amp;" - Per "&amp;VLOOKUP($C$4,'Writing Logic'!$G$8:$H$14,2,FALSE),YES_Writing_ELA[#Headers],0))=0,"",INDEX(_xlfn.VSTACK(YES_Writing_ELA[#Data],YES_Writing_FLA[#Data]),MATCH($A491,_xlfn.VSTACK(YES_Writing_ELA[Student Number],YES_Writing_FLA[Student Number]),0),MATCH(VLOOKUP(F$7,'Writing Logic'!$J$7:$K$11,2,FALSE)&amp;" - Per "&amp;VLOOKUP($C$4,'Writing Logic'!$G$8:$H$14,2,FALSE),YES_Writing_ELA[#Headers],0)))="INS",'Writing Logic'!$B$7,IF(INDEX(_xlfn.VSTACK(YES_Writing_ELA[#Data],YES_Writing_FLA[#Data]),MATCH($A491,_xlfn.VSTACK(YES_Writing_ELA[Student Number],YES_Writing_FLA[Student Number]),0),MATCH(VLOOKUP(F$7,'Writing Logic'!$J$7:$K$11,2,FALSE)&amp;" - Per "&amp;VLOOKUP($C$4,'Writing Logic'!$G$8:$H$14,2,FALSE),YES_Writing_ELA[#Headers],0))=0,"",INDEX(_xlfn.VSTACK(YES_Writing_ELA[#Data],YES_Writing_FLA[#Data]),MATCH($A491,_xlfn.VSTACK(YES_Writing_ELA[Student Number],YES_Writing_FLA[Student Number]),0),MATCH(VLOOKUP(F$7,'Writing Logic'!$J$7:$K$11,2,FALSE)&amp;" - Per "&amp;VLOOKUP($C$4,'Writing Logic'!$G$8:$H$14,2,FALSE),YES_Writing_ELA[#Headers],0)))),"")</f>
        <v/>
      </c>
      <c r="G491" s="138" t="str">
        <f>IFERROR(IF(IF(INDEX(_xlfn.VSTACK(YES_Writing_ELA[#Data],YES_Writing_FLA[#Data]),MATCH($A491,_xlfn.VSTACK(YES_Writing_ELA[Student Number],YES_Writing_FLA[Student Number]),0),MATCH(VLOOKUP(G$7,'Writing Logic'!$J$7:$K$11,2,FALSE)&amp;" - Per "&amp;VLOOKUP($C$4,'Writing Logic'!$G$8:$H$14,2,FALSE),YES_Writing_ELA[#Headers],0))=0,"",INDEX(_xlfn.VSTACK(YES_Writing_ELA[#Data],YES_Writing_FLA[#Data]),MATCH($A491,_xlfn.VSTACK(YES_Writing_ELA[Student Number],YES_Writing_FLA[Student Number]),0),MATCH(VLOOKUP(G$7,'Writing Logic'!$J$7:$K$11,2,FALSE)&amp;" - Per "&amp;VLOOKUP($C$4,'Writing Logic'!$G$8:$H$14,2,FALSE),YES_Writing_ELA[#Headers],0)))="INS",'Writing Logic'!$B$7,IF(INDEX(_xlfn.VSTACK(YES_Writing_ELA[#Data],YES_Writing_FLA[#Data]),MATCH($A491,_xlfn.VSTACK(YES_Writing_ELA[Student Number],YES_Writing_FLA[Student Number]),0),MATCH(VLOOKUP(G$7,'Writing Logic'!$J$7:$K$11,2,FALSE)&amp;" - Per "&amp;VLOOKUP($C$4,'Writing Logic'!$G$8:$H$14,2,FALSE),YES_Writing_ELA[#Headers],0))=0,"",INDEX(_xlfn.VSTACK(YES_Writing_ELA[#Data],YES_Writing_FLA[#Data]),MATCH($A491,_xlfn.VSTACK(YES_Writing_ELA[Student Number],YES_Writing_FLA[Student Number]),0),MATCH(VLOOKUP(G$7,'Writing Logic'!$J$7:$K$11,2,FALSE)&amp;" - Per "&amp;VLOOKUP($C$4,'Writing Logic'!$G$8:$H$14,2,FALSE),YES_Writing_ELA[#Headers],0)))),"")</f>
        <v/>
      </c>
      <c r="H491" s="138" t="str">
        <f>IFERROR(IF(IF(INDEX(_xlfn.VSTACK(YES_Writing_ELA[#Data],YES_Writing_FLA[#Data]),MATCH($A491,_xlfn.VSTACK(YES_Writing_ELA[Student Number],YES_Writing_FLA[Student Number]),0),MATCH(VLOOKUP(H$7,'Writing Logic'!$J$7:$K$11,2,FALSE)&amp;" - Per "&amp;VLOOKUP($C$4,'Writing Logic'!$G$8:$H$14,2,FALSE),YES_Writing_ELA[#Headers],0))=0,"",INDEX(_xlfn.VSTACK(YES_Writing_ELA[#Data],YES_Writing_FLA[#Data]),MATCH($A491,_xlfn.VSTACK(YES_Writing_ELA[Student Number],YES_Writing_FLA[Student Number]),0),MATCH(VLOOKUP(H$7,'Writing Logic'!$J$7:$K$11,2,FALSE)&amp;" - Per "&amp;VLOOKUP($C$4,'Writing Logic'!$G$8:$H$14,2,FALSE),YES_Writing_ELA[#Headers],0)))="INS",'Writing Logic'!$B$7,IF(INDEX(_xlfn.VSTACK(YES_Writing_ELA[#Data],YES_Writing_FLA[#Data]),MATCH($A491,_xlfn.VSTACK(YES_Writing_ELA[Student Number],YES_Writing_FLA[Student Number]),0),MATCH(VLOOKUP(H$7,'Writing Logic'!$J$7:$K$11,2,FALSE)&amp;" - Per "&amp;VLOOKUP($C$4,'Writing Logic'!$G$8:$H$14,2,FALSE),YES_Writing_ELA[#Headers],0))=0,"",INDEX(_xlfn.VSTACK(YES_Writing_ELA[#Data],YES_Writing_FLA[#Data]),MATCH($A491,_xlfn.VSTACK(YES_Writing_ELA[Student Number],YES_Writing_FLA[Student Number]),0),MATCH(VLOOKUP(H$7,'Writing Logic'!$J$7:$K$11,2,FALSE)&amp;" - Per "&amp;VLOOKUP($C$4,'Writing Logic'!$G$8:$H$14,2,FALSE),YES_Writing_ELA[#Headers],0)))),"")</f>
        <v/>
      </c>
    </row>
    <row r="492" spans="1:8" x14ac:dyDescent="0.25">
      <c r="A492" s="137"/>
      <c r="B492" s="137" t="str">
        <f>IFERROR(INDEX(_xlfn.VSTACK(YES_Writing_ELA[#Data], YES_Writing_FLA[#Data]),MATCH($A492,_xlfn.VSTACK(YES_Writing_ELA[Student Number], YES_Writing_FLA[Student Number]),0),MATCH(B$7,YES_Writing_ELA[#Headers],0)),"")</f>
        <v/>
      </c>
      <c r="C492" s="137" t="str">
        <f>IFERROR(INDEX(_xlfn.VSTACK(YES_Writing_ELA[#Data], YES_Writing_FLA[#Data]),MATCH($A492,_xlfn.VSTACK(YES_Writing_ELA[Student Number], YES_Writing_FLA[Student Number]),0),MATCH(C$7,YES_Writing_ELA[#Headers],0)),"")</f>
        <v/>
      </c>
      <c r="D492" s="138" t="str">
        <f>IFERROR(IF(IF(INDEX(_xlfn.VSTACK(YES_Writing_ELA[#Data],YES_Writing_FLA[#Data]),MATCH($A492,_xlfn.VSTACK(YES_Writing_ELA[Student Number],YES_Writing_FLA[Student Number]),0),MATCH(VLOOKUP(D$7,'Writing Logic'!$J$7:$K$11,2,FALSE)&amp;" - Per "&amp;VLOOKUP($C$4,'Writing Logic'!$G$8:$H$14,2,FALSE),YES_Writing_ELA[#Headers],0))=0,"",INDEX(_xlfn.VSTACK(YES_Writing_ELA[#Data],YES_Writing_FLA[#Data]),MATCH($A492,_xlfn.VSTACK(YES_Writing_ELA[Student Number],YES_Writing_FLA[Student Number]),0),MATCH(VLOOKUP(D$7,'Writing Logic'!$J$7:$K$11,2,FALSE)&amp;" - Per "&amp;VLOOKUP($C$4,'Writing Logic'!$G$8:$H$14,2,FALSE),YES_Writing_ELA[#Headers],0)))="INS",'Writing Logic'!$B$7,IF(INDEX(_xlfn.VSTACK(YES_Writing_ELA[#Data],YES_Writing_FLA[#Data]),MATCH($A492,_xlfn.VSTACK(YES_Writing_ELA[Student Number],YES_Writing_FLA[Student Number]),0),MATCH(VLOOKUP(D$7,'Writing Logic'!$J$7:$K$11,2,FALSE)&amp;" - Per "&amp;VLOOKUP($C$4,'Writing Logic'!$G$8:$H$14,2,FALSE),YES_Writing_ELA[#Headers],0))=0,"",INDEX(_xlfn.VSTACK(YES_Writing_ELA[#Data],YES_Writing_FLA[#Data]),MATCH($A492,_xlfn.VSTACK(YES_Writing_ELA[Student Number],YES_Writing_FLA[Student Number]),0),MATCH(VLOOKUP(D$7,'Writing Logic'!$J$7:$K$11,2,FALSE)&amp;" - Per "&amp;VLOOKUP($C$4,'Writing Logic'!$G$8:$H$14,2,FALSE),YES_Writing_ELA[#Headers],0)))),"")</f>
        <v/>
      </c>
      <c r="E492" s="138" t="str">
        <f>IFERROR(IF(IF(INDEX(_xlfn.VSTACK(YES_Writing_ELA[#Data],YES_Writing_FLA[#Data]),MATCH($A492,_xlfn.VSTACK(YES_Writing_ELA[Student Number],YES_Writing_FLA[Student Number]),0),MATCH(VLOOKUP(E$7,'Writing Logic'!$J$7:$K$11,2,FALSE)&amp;" - Per "&amp;VLOOKUP($C$4,'Writing Logic'!$G$8:$H$14,2,FALSE),YES_Writing_ELA[#Headers],0))=0,"",INDEX(_xlfn.VSTACK(YES_Writing_ELA[#Data],YES_Writing_FLA[#Data]),MATCH($A492,_xlfn.VSTACK(YES_Writing_ELA[Student Number],YES_Writing_FLA[Student Number]),0),MATCH(VLOOKUP(E$7,'Writing Logic'!$J$7:$K$11,2,FALSE)&amp;" - Per "&amp;VLOOKUP($C$4,'Writing Logic'!$G$8:$H$14,2,FALSE),YES_Writing_ELA[#Headers],0)))="INS",'Writing Logic'!$B$7,IF(INDEX(_xlfn.VSTACK(YES_Writing_ELA[#Data],YES_Writing_FLA[#Data]),MATCH($A492,_xlfn.VSTACK(YES_Writing_ELA[Student Number],YES_Writing_FLA[Student Number]),0),MATCH(VLOOKUP(E$7,'Writing Logic'!$J$7:$K$11,2,FALSE)&amp;" - Per "&amp;VLOOKUP($C$4,'Writing Logic'!$G$8:$H$14,2,FALSE),YES_Writing_ELA[#Headers],0))=0,"",INDEX(_xlfn.VSTACK(YES_Writing_ELA[#Data],YES_Writing_FLA[#Data]),MATCH($A492,_xlfn.VSTACK(YES_Writing_ELA[Student Number],YES_Writing_FLA[Student Number]),0),MATCH(VLOOKUP(E$7,'Writing Logic'!$J$7:$K$11,2,FALSE)&amp;" - Per "&amp;VLOOKUP($C$4,'Writing Logic'!$G$8:$H$14,2,FALSE),YES_Writing_ELA[#Headers],0)))),"")</f>
        <v/>
      </c>
      <c r="F492" s="138" t="str">
        <f>IFERROR(IF(IF(INDEX(_xlfn.VSTACK(YES_Writing_ELA[#Data],YES_Writing_FLA[#Data]),MATCH($A492,_xlfn.VSTACK(YES_Writing_ELA[Student Number],YES_Writing_FLA[Student Number]),0),MATCH(VLOOKUP(F$7,'Writing Logic'!$J$7:$K$11,2,FALSE)&amp;" - Per "&amp;VLOOKUP($C$4,'Writing Logic'!$G$8:$H$14,2,FALSE),YES_Writing_ELA[#Headers],0))=0,"",INDEX(_xlfn.VSTACK(YES_Writing_ELA[#Data],YES_Writing_FLA[#Data]),MATCH($A492,_xlfn.VSTACK(YES_Writing_ELA[Student Number],YES_Writing_FLA[Student Number]),0),MATCH(VLOOKUP(F$7,'Writing Logic'!$J$7:$K$11,2,FALSE)&amp;" - Per "&amp;VLOOKUP($C$4,'Writing Logic'!$G$8:$H$14,2,FALSE),YES_Writing_ELA[#Headers],0)))="INS",'Writing Logic'!$B$7,IF(INDEX(_xlfn.VSTACK(YES_Writing_ELA[#Data],YES_Writing_FLA[#Data]),MATCH($A492,_xlfn.VSTACK(YES_Writing_ELA[Student Number],YES_Writing_FLA[Student Number]),0),MATCH(VLOOKUP(F$7,'Writing Logic'!$J$7:$K$11,2,FALSE)&amp;" - Per "&amp;VLOOKUP($C$4,'Writing Logic'!$G$8:$H$14,2,FALSE),YES_Writing_ELA[#Headers],0))=0,"",INDEX(_xlfn.VSTACK(YES_Writing_ELA[#Data],YES_Writing_FLA[#Data]),MATCH($A492,_xlfn.VSTACK(YES_Writing_ELA[Student Number],YES_Writing_FLA[Student Number]),0),MATCH(VLOOKUP(F$7,'Writing Logic'!$J$7:$K$11,2,FALSE)&amp;" - Per "&amp;VLOOKUP($C$4,'Writing Logic'!$G$8:$H$14,2,FALSE),YES_Writing_ELA[#Headers],0)))),"")</f>
        <v/>
      </c>
      <c r="G492" s="138" t="str">
        <f>IFERROR(IF(IF(INDEX(_xlfn.VSTACK(YES_Writing_ELA[#Data],YES_Writing_FLA[#Data]),MATCH($A492,_xlfn.VSTACK(YES_Writing_ELA[Student Number],YES_Writing_FLA[Student Number]),0),MATCH(VLOOKUP(G$7,'Writing Logic'!$J$7:$K$11,2,FALSE)&amp;" - Per "&amp;VLOOKUP($C$4,'Writing Logic'!$G$8:$H$14,2,FALSE),YES_Writing_ELA[#Headers],0))=0,"",INDEX(_xlfn.VSTACK(YES_Writing_ELA[#Data],YES_Writing_FLA[#Data]),MATCH($A492,_xlfn.VSTACK(YES_Writing_ELA[Student Number],YES_Writing_FLA[Student Number]),0),MATCH(VLOOKUP(G$7,'Writing Logic'!$J$7:$K$11,2,FALSE)&amp;" - Per "&amp;VLOOKUP($C$4,'Writing Logic'!$G$8:$H$14,2,FALSE),YES_Writing_ELA[#Headers],0)))="INS",'Writing Logic'!$B$7,IF(INDEX(_xlfn.VSTACK(YES_Writing_ELA[#Data],YES_Writing_FLA[#Data]),MATCH($A492,_xlfn.VSTACK(YES_Writing_ELA[Student Number],YES_Writing_FLA[Student Number]),0),MATCH(VLOOKUP(G$7,'Writing Logic'!$J$7:$K$11,2,FALSE)&amp;" - Per "&amp;VLOOKUP($C$4,'Writing Logic'!$G$8:$H$14,2,FALSE),YES_Writing_ELA[#Headers],0))=0,"",INDEX(_xlfn.VSTACK(YES_Writing_ELA[#Data],YES_Writing_FLA[#Data]),MATCH($A492,_xlfn.VSTACK(YES_Writing_ELA[Student Number],YES_Writing_FLA[Student Number]),0),MATCH(VLOOKUP(G$7,'Writing Logic'!$J$7:$K$11,2,FALSE)&amp;" - Per "&amp;VLOOKUP($C$4,'Writing Logic'!$G$8:$H$14,2,FALSE),YES_Writing_ELA[#Headers],0)))),"")</f>
        <v/>
      </c>
      <c r="H492" s="138" t="str">
        <f>IFERROR(IF(IF(INDEX(_xlfn.VSTACK(YES_Writing_ELA[#Data],YES_Writing_FLA[#Data]),MATCH($A492,_xlfn.VSTACK(YES_Writing_ELA[Student Number],YES_Writing_FLA[Student Number]),0),MATCH(VLOOKUP(H$7,'Writing Logic'!$J$7:$K$11,2,FALSE)&amp;" - Per "&amp;VLOOKUP($C$4,'Writing Logic'!$G$8:$H$14,2,FALSE),YES_Writing_ELA[#Headers],0))=0,"",INDEX(_xlfn.VSTACK(YES_Writing_ELA[#Data],YES_Writing_FLA[#Data]),MATCH($A492,_xlfn.VSTACK(YES_Writing_ELA[Student Number],YES_Writing_FLA[Student Number]),0),MATCH(VLOOKUP(H$7,'Writing Logic'!$J$7:$K$11,2,FALSE)&amp;" - Per "&amp;VLOOKUP($C$4,'Writing Logic'!$G$8:$H$14,2,FALSE),YES_Writing_ELA[#Headers],0)))="INS",'Writing Logic'!$B$7,IF(INDEX(_xlfn.VSTACK(YES_Writing_ELA[#Data],YES_Writing_FLA[#Data]),MATCH($A492,_xlfn.VSTACK(YES_Writing_ELA[Student Number],YES_Writing_FLA[Student Number]),0),MATCH(VLOOKUP(H$7,'Writing Logic'!$J$7:$K$11,2,FALSE)&amp;" - Per "&amp;VLOOKUP($C$4,'Writing Logic'!$G$8:$H$14,2,FALSE),YES_Writing_ELA[#Headers],0))=0,"",INDEX(_xlfn.VSTACK(YES_Writing_ELA[#Data],YES_Writing_FLA[#Data]),MATCH($A492,_xlfn.VSTACK(YES_Writing_ELA[Student Number],YES_Writing_FLA[Student Number]),0),MATCH(VLOOKUP(H$7,'Writing Logic'!$J$7:$K$11,2,FALSE)&amp;" - Per "&amp;VLOOKUP($C$4,'Writing Logic'!$G$8:$H$14,2,FALSE),YES_Writing_ELA[#Headers],0)))),"")</f>
        <v/>
      </c>
    </row>
    <row r="493" spans="1:8" x14ac:dyDescent="0.25">
      <c r="A493" s="137"/>
      <c r="B493" s="137" t="str">
        <f>IFERROR(INDEX(_xlfn.VSTACK(YES_Writing_ELA[#Data], YES_Writing_FLA[#Data]),MATCH($A493,_xlfn.VSTACK(YES_Writing_ELA[Student Number], YES_Writing_FLA[Student Number]),0),MATCH(B$7,YES_Writing_ELA[#Headers],0)),"")</f>
        <v/>
      </c>
      <c r="C493" s="137" t="str">
        <f>IFERROR(INDEX(_xlfn.VSTACK(YES_Writing_ELA[#Data], YES_Writing_FLA[#Data]),MATCH($A493,_xlfn.VSTACK(YES_Writing_ELA[Student Number], YES_Writing_FLA[Student Number]),0),MATCH(C$7,YES_Writing_ELA[#Headers],0)),"")</f>
        <v/>
      </c>
      <c r="D493" s="138" t="str">
        <f>IFERROR(IF(IF(INDEX(_xlfn.VSTACK(YES_Writing_ELA[#Data],YES_Writing_FLA[#Data]),MATCH($A493,_xlfn.VSTACK(YES_Writing_ELA[Student Number],YES_Writing_FLA[Student Number]),0),MATCH(VLOOKUP(D$7,'Writing Logic'!$J$7:$K$11,2,FALSE)&amp;" - Per "&amp;VLOOKUP($C$4,'Writing Logic'!$G$8:$H$14,2,FALSE),YES_Writing_ELA[#Headers],0))=0,"",INDEX(_xlfn.VSTACK(YES_Writing_ELA[#Data],YES_Writing_FLA[#Data]),MATCH($A493,_xlfn.VSTACK(YES_Writing_ELA[Student Number],YES_Writing_FLA[Student Number]),0),MATCH(VLOOKUP(D$7,'Writing Logic'!$J$7:$K$11,2,FALSE)&amp;" - Per "&amp;VLOOKUP($C$4,'Writing Logic'!$G$8:$H$14,2,FALSE),YES_Writing_ELA[#Headers],0)))="INS",'Writing Logic'!$B$7,IF(INDEX(_xlfn.VSTACK(YES_Writing_ELA[#Data],YES_Writing_FLA[#Data]),MATCH($A493,_xlfn.VSTACK(YES_Writing_ELA[Student Number],YES_Writing_FLA[Student Number]),0),MATCH(VLOOKUP(D$7,'Writing Logic'!$J$7:$K$11,2,FALSE)&amp;" - Per "&amp;VLOOKUP($C$4,'Writing Logic'!$G$8:$H$14,2,FALSE),YES_Writing_ELA[#Headers],0))=0,"",INDEX(_xlfn.VSTACK(YES_Writing_ELA[#Data],YES_Writing_FLA[#Data]),MATCH($A493,_xlfn.VSTACK(YES_Writing_ELA[Student Number],YES_Writing_FLA[Student Number]),0),MATCH(VLOOKUP(D$7,'Writing Logic'!$J$7:$K$11,2,FALSE)&amp;" - Per "&amp;VLOOKUP($C$4,'Writing Logic'!$G$8:$H$14,2,FALSE),YES_Writing_ELA[#Headers],0)))),"")</f>
        <v/>
      </c>
      <c r="E493" s="138" t="str">
        <f>IFERROR(IF(IF(INDEX(_xlfn.VSTACK(YES_Writing_ELA[#Data],YES_Writing_FLA[#Data]),MATCH($A493,_xlfn.VSTACK(YES_Writing_ELA[Student Number],YES_Writing_FLA[Student Number]),0),MATCH(VLOOKUP(E$7,'Writing Logic'!$J$7:$K$11,2,FALSE)&amp;" - Per "&amp;VLOOKUP($C$4,'Writing Logic'!$G$8:$H$14,2,FALSE),YES_Writing_ELA[#Headers],0))=0,"",INDEX(_xlfn.VSTACK(YES_Writing_ELA[#Data],YES_Writing_FLA[#Data]),MATCH($A493,_xlfn.VSTACK(YES_Writing_ELA[Student Number],YES_Writing_FLA[Student Number]),0),MATCH(VLOOKUP(E$7,'Writing Logic'!$J$7:$K$11,2,FALSE)&amp;" - Per "&amp;VLOOKUP($C$4,'Writing Logic'!$G$8:$H$14,2,FALSE),YES_Writing_ELA[#Headers],0)))="INS",'Writing Logic'!$B$7,IF(INDEX(_xlfn.VSTACK(YES_Writing_ELA[#Data],YES_Writing_FLA[#Data]),MATCH($A493,_xlfn.VSTACK(YES_Writing_ELA[Student Number],YES_Writing_FLA[Student Number]),0),MATCH(VLOOKUP(E$7,'Writing Logic'!$J$7:$K$11,2,FALSE)&amp;" - Per "&amp;VLOOKUP($C$4,'Writing Logic'!$G$8:$H$14,2,FALSE),YES_Writing_ELA[#Headers],0))=0,"",INDEX(_xlfn.VSTACK(YES_Writing_ELA[#Data],YES_Writing_FLA[#Data]),MATCH($A493,_xlfn.VSTACK(YES_Writing_ELA[Student Number],YES_Writing_FLA[Student Number]),0),MATCH(VLOOKUP(E$7,'Writing Logic'!$J$7:$K$11,2,FALSE)&amp;" - Per "&amp;VLOOKUP($C$4,'Writing Logic'!$G$8:$H$14,2,FALSE),YES_Writing_ELA[#Headers],0)))),"")</f>
        <v/>
      </c>
      <c r="F493" s="138" t="str">
        <f>IFERROR(IF(IF(INDEX(_xlfn.VSTACK(YES_Writing_ELA[#Data],YES_Writing_FLA[#Data]),MATCH($A493,_xlfn.VSTACK(YES_Writing_ELA[Student Number],YES_Writing_FLA[Student Number]),0),MATCH(VLOOKUP(F$7,'Writing Logic'!$J$7:$K$11,2,FALSE)&amp;" - Per "&amp;VLOOKUP($C$4,'Writing Logic'!$G$8:$H$14,2,FALSE),YES_Writing_ELA[#Headers],0))=0,"",INDEX(_xlfn.VSTACK(YES_Writing_ELA[#Data],YES_Writing_FLA[#Data]),MATCH($A493,_xlfn.VSTACK(YES_Writing_ELA[Student Number],YES_Writing_FLA[Student Number]),0),MATCH(VLOOKUP(F$7,'Writing Logic'!$J$7:$K$11,2,FALSE)&amp;" - Per "&amp;VLOOKUP($C$4,'Writing Logic'!$G$8:$H$14,2,FALSE),YES_Writing_ELA[#Headers],0)))="INS",'Writing Logic'!$B$7,IF(INDEX(_xlfn.VSTACK(YES_Writing_ELA[#Data],YES_Writing_FLA[#Data]),MATCH($A493,_xlfn.VSTACK(YES_Writing_ELA[Student Number],YES_Writing_FLA[Student Number]),0),MATCH(VLOOKUP(F$7,'Writing Logic'!$J$7:$K$11,2,FALSE)&amp;" - Per "&amp;VLOOKUP($C$4,'Writing Logic'!$G$8:$H$14,2,FALSE),YES_Writing_ELA[#Headers],0))=0,"",INDEX(_xlfn.VSTACK(YES_Writing_ELA[#Data],YES_Writing_FLA[#Data]),MATCH($A493,_xlfn.VSTACK(YES_Writing_ELA[Student Number],YES_Writing_FLA[Student Number]),0),MATCH(VLOOKUP(F$7,'Writing Logic'!$J$7:$K$11,2,FALSE)&amp;" - Per "&amp;VLOOKUP($C$4,'Writing Logic'!$G$8:$H$14,2,FALSE),YES_Writing_ELA[#Headers],0)))),"")</f>
        <v/>
      </c>
      <c r="G493" s="138" t="str">
        <f>IFERROR(IF(IF(INDEX(_xlfn.VSTACK(YES_Writing_ELA[#Data],YES_Writing_FLA[#Data]),MATCH($A493,_xlfn.VSTACK(YES_Writing_ELA[Student Number],YES_Writing_FLA[Student Number]),0),MATCH(VLOOKUP(G$7,'Writing Logic'!$J$7:$K$11,2,FALSE)&amp;" - Per "&amp;VLOOKUP($C$4,'Writing Logic'!$G$8:$H$14,2,FALSE),YES_Writing_ELA[#Headers],0))=0,"",INDEX(_xlfn.VSTACK(YES_Writing_ELA[#Data],YES_Writing_FLA[#Data]),MATCH($A493,_xlfn.VSTACK(YES_Writing_ELA[Student Number],YES_Writing_FLA[Student Number]),0),MATCH(VLOOKUP(G$7,'Writing Logic'!$J$7:$K$11,2,FALSE)&amp;" - Per "&amp;VLOOKUP($C$4,'Writing Logic'!$G$8:$H$14,2,FALSE),YES_Writing_ELA[#Headers],0)))="INS",'Writing Logic'!$B$7,IF(INDEX(_xlfn.VSTACK(YES_Writing_ELA[#Data],YES_Writing_FLA[#Data]),MATCH($A493,_xlfn.VSTACK(YES_Writing_ELA[Student Number],YES_Writing_FLA[Student Number]),0),MATCH(VLOOKUP(G$7,'Writing Logic'!$J$7:$K$11,2,FALSE)&amp;" - Per "&amp;VLOOKUP($C$4,'Writing Logic'!$G$8:$H$14,2,FALSE),YES_Writing_ELA[#Headers],0))=0,"",INDEX(_xlfn.VSTACK(YES_Writing_ELA[#Data],YES_Writing_FLA[#Data]),MATCH($A493,_xlfn.VSTACK(YES_Writing_ELA[Student Number],YES_Writing_FLA[Student Number]),0),MATCH(VLOOKUP(G$7,'Writing Logic'!$J$7:$K$11,2,FALSE)&amp;" - Per "&amp;VLOOKUP($C$4,'Writing Logic'!$G$8:$H$14,2,FALSE),YES_Writing_ELA[#Headers],0)))),"")</f>
        <v/>
      </c>
      <c r="H493" s="138" t="str">
        <f>IFERROR(IF(IF(INDEX(_xlfn.VSTACK(YES_Writing_ELA[#Data],YES_Writing_FLA[#Data]),MATCH($A493,_xlfn.VSTACK(YES_Writing_ELA[Student Number],YES_Writing_FLA[Student Number]),0),MATCH(VLOOKUP(H$7,'Writing Logic'!$J$7:$K$11,2,FALSE)&amp;" - Per "&amp;VLOOKUP($C$4,'Writing Logic'!$G$8:$H$14,2,FALSE),YES_Writing_ELA[#Headers],0))=0,"",INDEX(_xlfn.VSTACK(YES_Writing_ELA[#Data],YES_Writing_FLA[#Data]),MATCH($A493,_xlfn.VSTACK(YES_Writing_ELA[Student Number],YES_Writing_FLA[Student Number]),0),MATCH(VLOOKUP(H$7,'Writing Logic'!$J$7:$K$11,2,FALSE)&amp;" - Per "&amp;VLOOKUP($C$4,'Writing Logic'!$G$8:$H$14,2,FALSE),YES_Writing_ELA[#Headers],0)))="INS",'Writing Logic'!$B$7,IF(INDEX(_xlfn.VSTACK(YES_Writing_ELA[#Data],YES_Writing_FLA[#Data]),MATCH($A493,_xlfn.VSTACK(YES_Writing_ELA[Student Number],YES_Writing_FLA[Student Number]),0),MATCH(VLOOKUP(H$7,'Writing Logic'!$J$7:$K$11,2,FALSE)&amp;" - Per "&amp;VLOOKUP($C$4,'Writing Logic'!$G$8:$H$14,2,FALSE),YES_Writing_ELA[#Headers],0))=0,"",INDEX(_xlfn.VSTACK(YES_Writing_ELA[#Data],YES_Writing_FLA[#Data]),MATCH($A493,_xlfn.VSTACK(YES_Writing_ELA[Student Number],YES_Writing_FLA[Student Number]),0),MATCH(VLOOKUP(H$7,'Writing Logic'!$J$7:$K$11,2,FALSE)&amp;" - Per "&amp;VLOOKUP($C$4,'Writing Logic'!$G$8:$H$14,2,FALSE),YES_Writing_ELA[#Headers],0)))),"")</f>
        <v/>
      </c>
    </row>
    <row r="494" spans="1:8" x14ac:dyDescent="0.25">
      <c r="A494" s="137"/>
      <c r="B494" s="137" t="str">
        <f>IFERROR(INDEX(_xlfn.VSTACK(YES_Writing_ELA[#Data], YES_Writing_FLA[#Data]),MATCH($A494,_xlfn.VSTACK(YES_Writing_ELA[Student Number], YES_Writing_FLA[Student Number]),0),MATCH(B$7,YES_Writing_ELA[#Headers],0)),"")</f>
        <v/>
      </c>
      <c r="C494" s="137" t="str">
        <f>IFERROR(INDEX(_xlfn.VSTACK(YES_Writing_ELA[#Data], YES_Writing_FLA[#Data]),MATCH($A494,_xlfn.VSTACK(YES_Writing_ELA[Student Number], YES_Writing_FLA[Student Number]),0),MATCH(C$7,YES_Writing_ELA[#Headers],0)),"")</f>
        <v/>
      </c>
      <c r="D494" s="138" t="str">
        <f>IFERROR(IF(IF(INDEX(_xlfn.VSTACK(YES_Writing_ELA[#Data],YES_Writing_FLA[#Data]),MATCH($A494,_xlfn.VSTACK(YES_Writing_ELA[Student Number],YES_Writing_FLA[Student Number]),0),MATCH(VLOOKUP(D$7,'Writing Logic'!$J$7:$K$11,2,FALSE)&amp;" - Per "&amp;VLOOKUP($C$4,'Writing Logic'!$G$8:$H$14,2,FALSE),YES_Writing_ELA[#Headers],0))=0,"",INDEX(_xlfn.VSTACK(YES_Writing_ELA[#Data],YES_Writing_FLA[#Data]),MATCH($A494,_xlfn.VSTACK(YES_Writing_ELA[Student Number],YES_Writing_FLA[Student Number]),0),MATCH(VLOOKUP(D$7,'Writing Logic'!$J$7:$K$11,2,FALSE)&amp;" - Per "&amp;VLOOKUP($C$4,'Writing Logic'!$G$8:$H$14,2,FALSE),YES_Writing_ELA[#Headers],0)))="INS",'Writing Logic'!$B$7,IF(INDEX(_xlfn.VSTACK(YES_Writing_ELA[#Data],YES_Writing_FLA[#Data]),MATCH($A494,_xlfn.VSTACK(YES_Writing_ELA[Student Number],YES_Writing_FLA[Student Number]),0),MATCH(VLOOKUP(D$7,'Writing Logic'!$J$7:$K$11,2,FALSE)&amp;" - Per "&amp;VLOOKUP($C$4,'Writing Logic'!$G$8:$H$14,2,FALSE),YES_Writing_ELA[#Headers],0))=0,"",INDEX(_xlfn.VSTACK(YES_Writing_ELA[#Data],YES_Writing_FLA[#Data]),MATCH($A494,_xlfn.VSTACK(YES_Writing_ELA[Student Number],YES_Writing_FLA[Student Number]),0),MATCH(VLOOKUP(D$7,'Writing Logic'!$J$7:$K$11,2,FALSE)&amp;" - Per "&amp;VLOOKUP($C$4,'Writing Logic'!$G$8:$H$14,2,FALSE),YES_Writing_ELA[#Headers],0)))),"")</f>
        <v/>
      </c>
      <c r="E494" s="138" t="str">
        <f>IFERROR(IF(IF(INDEX(_xlfn.VSTACK(YES_Writing_ELA[#Data],YES_Writing_FLA[#Data]),MATCH($A494,_xlfn.VSTACK(YES_Writing_ELA[Student Number],YES_Writing_FLA[Student Number]),0),MATCH(VLOOKUP(E$7,'Writing Logic'!$J$7:$K$11,2,FALSE)&amp;" - Per "&amp;VLOOKUP($C$4,'Writing Logic'!$G$8:$H$14,2,FALSE),YES_Writing_ELA[#Headers],0))=0,"",INDEX(_xlfn.VSTACK(YES_Writing_ELA[#Data],YES_Writing_FLA[#Data]),MATCH($A494,_xlfn.VSTACK(YES_Writing_ELA[Student Number],YES_Writing_FLA[Student Number]),0),MATCH(VLOOKUP(E$7,'Writing Logic'!$J$7:$K$11,2,FALSE)&amp;" - Per "&amp;VLOOKUP($C$4,'Writing Logic'!$G$8:$H$14,2,FALSE),YES_Writing_ELA[#Headers],0)))="INS",'Writing Logic'!$B$7,IF(INDEX(_xlfn.VSTACK(YES_Writing_ELA[#Data],YES_Writing_FLA[#Data]),MATCH($A494,_xlfn.VSTACK(YES_Writing_ELA[Student Number],YES_Writing_FLA[Student Number]),0),MATCH(VLOOKUP(E$7,'Writing Logic'!$J$7:$K$11,2,FALSE)&amp;" - Per "&amp;VLOOKUP($C$4,'Writing Logic'!$G$8:$H$14,2,FALSE),YES_Writing_ELA[#Headers],0))=0,"",INDEX(_xlfn.VSTACK(YES_Writing_ELA[#Data],YES_Writing_FLA[#Data]),MATCH($A494,_xlfn.VSTACK(YES_Writing_ELA[Student Number],YES_Writing_FLA[Student Number]),0),MATCH(VLOOKUP(E$7,'Writing Logic'!$J$7:$K$11,2,FALSE)&amp;" - Per "&amp;VLOOKUP($C$4,'Writing Logic'!$G$8:$H$14,2,FALSE),YES_Writing_ELA[#Headers],0)))),"")</f>
        <v/>
      </c>
      <c r="F494" s="138" t="str">
        <f>IFERROR(IF(IF(INDEX(_xlfn.VSTACK(YES_Writing_ELA[#Data],YES_Writing_FLA[#Data]),MATCH($A494,_xlfn.VSTACK(YES_Writing_ELA[Student Number],YES_Writing_FLA[Student Number]),0),MATCH(VLOOKUP(F$7,'Writing Logic'!$J$7:$K$11,2,FALSE)&amp;" - Per "&amp;VLOOKUP($C$4,'Writing Logic'!$G$8:$H$14,2,FALSE),YES_Writing_ELA[#Headers],0))=0,"",INDEX(_xlfn.VSTACK(YES_Writing_ELA[#Data],YES_Writing_FLA[#Data]),MATCH($A494,_xlfn.VSTACK(YES_Writing_ELA[Student Number],YES_Writing_FLA[Student Number]),0),MATCH(VLOOKUP(F$7,'Writing Logic'!$J$7:$K$11,2,FALSE)&amp;" - Per "&amp;VLOOKUP($C$4,'Writing Logic'!$G$8:$H$14,2,FALSE),YES_Writing_ELA[#Headers],0)))="INS",'Writing Logic'!$B$7,IF(INDEX(_xlfn.VSTACK(YES_Writing_ELA[#Data],YES_Writing_FLA[#Data]),MATCH($A494,_xlfn.VSTACK(YES_Writing_ELA[Student Number],YES_Writing_FLA[Student Number]),0),MATCH(VLOOKUP(F$7,'Writing Logic'!$J$7:$K$11,2,FALSE)&amp;" - Per "&amp;VLOOKUP($C$4,'Writing Logic'!$G$8:$H$14,2,FALSE),YES_Writing_ELA[#Headers],0))=0,"",INDEX(_xlfn.VSTACK(YES_Writing_ELA[#Data],YES_Writing_FLA[#Data]),MATCH($A494,_xlfn.VSTACK(YES_Writing_ELA[Student Number],YES_Writing_FLA[Student Number]),0),MATCH(VLOOKUP(F$7,'Writing Logic'!$J$7:$K$11,2,FALSE)&amp;" - Per "&amp;VLOOKUP($C$4,'Writing Logic'!$G$8:$H$14,2,FALSE),YES_Writing_ELA[#Headers],0)))),"")</f>
        <v/>
      </c>
      <c r="G494" s="138" t="str">
        <f>IFERROR(IF(IF(INDEX(_xlfn.VSTACK(YES_Writing_ELA[#Data],YES_Writing_FLA[#Data]),MATCH($A494,_xlfn.VSTACK(YES_Writing_ELA[Student Number],YES_Writing_FLA[Student Number]),0),MATCH(VLOOKUP(G$7,'Writing Logic'!$J$7:$K$11,2,FALSE)&amp;" - Per "&amp;VLOOKUP($C$4,'Writing Logic'!$G$8:$H$14,2,FALSE),YES_Writing_ELA[#Headers],0))=0,"",INDEX(_xlfn.VSTACK(YES_Writing_ELA[#Data],YES_Writing_FLA[#Data]),MATCH($A494,_xlfn.VSTACK(YES_Writing_ELA[Student Number],YES_Writing_FLA[Student Number]),0),MATCH(VLOOKUP(G$7,'Writing Logic'!$J$7:$K$11,2,FALSE)&amp;" - Per "&amp;VLOOKUP($C$4,'Writing Logic'!$G$8:$H$14,2,FALSE),YES_Writing_ELA[#Headers],0)))="INS",'Writing Logic'!$B$7,IF(INDEX(_xlfn.VSTACK(YES_Writing_ELA[#Data],YES_Writing_FLA[#Data]),MATCH($A494,_xlfn.VSTACK(YES_Writing_ELA[Student Number],YES_Writing_FLA[Student Number]),0),MATCH(VLOOKUP(G$7,'Writing Logic'!$J$7:$K$11,2,FALSE)&amp;" - Per "&amp;VLOOKUP($C$4,'Writing Logic'!$G$8:$H$14,2,FALSE),YES_Writing_ELA[#Headers],0))=0,"",INDEX(_xlfn.VSTACK(YES_Writing_ELA[#Data],YES_Writing_FLA[#Data]),MATCH($A494,_xlfn.VSTACK(YES_Writing_ELA[Student Number],YES_Writing_FLA[Student Number]),0),MATCH(VLOOKUP(G$7,'Writing Logic'!$J$7:$K$11,2,FALSE)&amp;" - Per "&amp;VLOOKUP($C$4,'Writing Logic'!$G$8:$H$14,2,FALSE),YES_Writing_ELA[#Headers],0)))),"")</f>
        <v/>
      </c>
      <c r="H494" s="138" t="str">
        <f>IFERROR(IF(IF(INDEX(_xlfn.VSTACK(YES_Writing_ELA[#Data],YES_Writing_FLA[#Data]),MATCH($A494,_xlfn.VSTACK(YES_Writing_ELA[Student Number],YES_Writing_FLA[Student Number]),0),MATCH(VLOOKUP(H$7,'Writing Logic'!$J$7:$K$11,2,FALSE)&amp;" - Per "&amp;VLOOKUP($C$4,'Writing Logic'!$G$8:$H$14,2,FALSE),YES_Writing_ELA[#Headers],0))=0,"",INDEX(_xlfn.VSTACK(YES_Writing_ELA[#Data],YES_Writing_FLA[#Data]),MATCH($A494,_xlfn.VSTACK(YES_Writing_ELA[Student Number],YES_Writing_FLA[Student Number]),0),MATCH(VLOOKUP(H$7,'Writing Logic'!$J$7:$K$11,2,FALSE)&amp;" - Per "&amp;VLOOKUP($C$4,'Writing Logic'!$G$8:$H$14,2,FALSE),YES_Writing_ELA[#Headers],0)))="INS",'Writing Logic'!$B$7,IF(INDEX(_xlfn.VSTACK(YES_Writing_ELA[#Data],YES_Writing_FLA[#Data]),MATCH($A494,_xlfn.VSTACK(YES_Writing_ELA[Student Number],YES_Writing_FLA[Student Number]),0),MATCH(VLOOKUP(H$7,'Writing Logic'!$J$7:$K$11,2,FALSE)&amp;" - Per "&amp;VLOOKUP($C$4,'Writing Logic'!$G$8:$H$14,2,FALSE),YES_Writing_ELA[#Headers],0))=0,"",INDEX(_xlfn.VSTACK(YES_Writing_ELA[#Data],YES_Writing_FLA[#Data]),MATCH($A494,_xlfn.VSTACK(YES_Writing_ELA[Student Number],YES_Writing_FLA[Student Number]),0),MATCH(VLOOKUP(H$7,'Writing Logic'!$J$7:$K$11,2,FALSE)&amp;" - Per "&amp;VLOOKUP($C$4,'Writing Logic'!$G$8:$H$14,2,FALSE),YES_Writing_ELA[#Headers],0)))),"")</f>
        <v/>
      </c>
    </row>
    <row r="495" spans="1:8" x14ac:dyDescent="0.25">
      <c r="A495" s="137"/>
      <c r="B495" s="137" t="str">
        <f>IFERROR(INDEX(_xlfn.VSTACK(YES_Writing_ELA[#Data], YES_Writing_FLA[#Data]),MATCH($A495,_xlfn.VSTACK(YES_Writing_ELA[Student Number], YES_Writing_FLA[Student Number]),0),MATCH(B$7,YES_Writing_ELA[#Headers],0)),"")</f>
        <v/>
      </c>
      <c r="C495" s="137" t="str">
        <f>IFERROR(INDEX(_xlfn.VSTACK(YES_Writing_ELA[#Data], YES_Writing_FLA[#Data]),MATCH($A495,_xlfn.VSTACK(YES_Writing_ELA[Student Number], YES_Writing_FLA[Student Number]),0),MATCH(C$7,YES_Writing_ELA[#Headers],0)),"")</f>
        <v/>
      </c>
      <c r="D495" s="138" t="str">
        <f>IFERROR(IF(IF(INDEX(_xlfn.VSTACK(YES_Writing_ELA[#Data],YES_Writing_FLA[#Data]),MATCH($A495,_xlfn.VSTACK(YES_Writing_ELA[Student Number],YES_Writing_FLA[Student Number]),0),MATCH(VLOOKUP(D$7,'Writing Logic'!$J$7:$K$11,2,FALSE)&amp;" - Per "&amp;VLOOKUP($C$4,'Writing Logic'!$G$8:$H$14,2,FALSE),YES_Writing_ELA[#Headers],0))=0,"",INDEX(_xlfn.VSTACK(YES_Writing_ELA[#Data],YES_Writing_FLA[#Data]),MATCH($A495,_xlfn.VSTACK(YES_Writing_ELA[Student Number],YES_Writing_FLA[Student Number]),0),MATCH(VLOOKUP(D$7,'Writing Logic'!$J$7:$K$11,2,FALSE)&amp;" - Per "&amp;VLOOKUP($C$4,'Writing Logic'!$G$8:$H$14,2,FALSE),YES_Writing_ELA[#Headers],0)))="INS",'Writing Logic'!$B$7,IF(INDEX(_xlfn.VSTACK(YES_Writing_ELA[#Data],YES_Writing_FLA[#Data]),MATCH($A495,_xlfn.VSTACK(YES_Writing_ELA[Student Number],YES_Writing_FLA[Student Number]),0),MATCH(VLOOKUP(D$7,'Writing Logic'!$J$7:$K$11,2,FALSE)&amp;" - Per "&amp;VLOOKUP($C$4,'Writing Logic'!$G$8:$H$14,2,FALSE),YES_Writing_ELA[#Headers],0))=0,"",INDEX(_xlfn.VSTACK(YES_Writing_ELA[#Data],YES_Writing_FLA[#Data]),MATCH($A495,_xlfn.VSTACK(YES_Writing_ELA[Student Number],YES_Writing_FLA[Student Number]),0),MATCH(VLOOKUP(D$7,'Writing Logic'!$J$7:$K$11,2,FALSE)&amp;" - Per "&amp;VLOOKUP($C$4,'Writing Logic'!$G$8:$H$14,2,FALSE),YES_Writing_ELA[#Headers],0)))),"")</f>
        <v/>
      </c>
      <c r="E495" s="138" t="str">
        <f>IFERROR(IF(IF(INDEX(_xlfn.VSTACK(YES_Writing_ELA[#Data],YES_Writing_FLA[#Data]),MATCH($A495,_xlfn.VSTACK(YES_Writing_ELA[Student Number],YES_Writing_FLA[Student Number]),0),MATCH(VLOOKUP(E$7,'Writing Logic'!$J$7:$K$11,2,FALSE)&amp;" - Per "&amp;VLOOKUP($C$4,'Writing Logic'!$G$8:$H$14,2,FALSE),YES_Writing_ELA[#Headers],0))=0,"",INDEX(_xlfn.VSTACK(YES_Writing_ELA[#Data],YES_Writing_FLA[#Data]),MATCH($A495,_xlfn.VSTACK(YES_Writing_ELA[Student Number],YES_Writing_FLA[Student Number]),0),MATCH(VLOOKUP(E$7,'Writing Logic'!$J$7:$K$11,2,FALSE)&amp;" - Per "&amp;VLOOKUP($C$4,'Writing Logic'!$G$8:$H$14,2,FALSE),YES_Writing_ELA[#Headers],0)))="INS",'Writing Logic'!$B$7,IF(INDEX(_xlfn.VSTACK(YES_Writing_ELA[#Data],YES_Writing_FLA[#Data]),MATCH($A495,_xlfn.VSTACK(YES_Writing_ELA[Student Number],YES_Writing_FLA[Student Number]),0),MATCH(VLOOKUP(E$7,'Writing Logic'!$J$7:$K$11,2,FALSE)&amp;" - Per "&amp;VLOOKUP($C$4,'Writing Logic'!$G$8:$H$14,2,FALSE),YES_Writing_ELA[#Headers],0))=0,"",INDEX(_xlfn.VSTACK(YES_Writing_ELA[#Data],YES_Writing_FLA[#Data]),MATCH($A495,_xlfn.VSTACK(YES_Writing_ELA[Student Number],YES_Writing_FLA[Student Number]),0),MATCH(VLOOKUP(E$7,'Writing Logic'!$J$7:$K$11,2,FALSE)&amp;" - Per "&amp;VLOOKUP($C$4,'Writing Logic'!$G$8:$H$14,2,FALSE),YES_Writing_ELA[#Headers],0)))),"")</f>
        <v/>
      </c>
      <c r="F495" s="138" t="str">
        <f>IFERROR(IF(IF(INDEX(_xlfn.VSTACK(YES_Writing_ELA[#Data],YES_Writing_FLA[#Data]),MATCH($A495,_xlfn.VSTACK(YES_Writing_ELA[Student Number],YES_Writing_FLA[Student Number]),0),MATCH(VLOOKUP(F$7,'Writing Logic'!$J$7:$K$11,2,FALSE)&amp;" - Per "&amp;VLOOKUP($C$4,'Writing Logic'!$G$8:$H$14,2,FALSE),YES_Writing_ELA[#Headers],0))=0,"",INDEX(_xlfn.VSTACK(YES_Writing_ELA[#Data],YES_Writing_FLA[#Data]),MATCH($A495,_xlfn.VSTACK(YES_Writing_ELA[Student Number],YES_Writing_FLA[Student Number]),0),MATCH(VLOOKUP(F$7,'Writing Logic'!$J$7:$K$11,2,FALSE)&amp;" - Per "&amp;VLOOKUP($C$4,'Writing Logic'!$G$8:$H$14,2,FALSE),YES_Writing_ELA[#Headers],0)))="INS",'Writing Logic'!$B$7,IF(INDEX(_xlfn.VSTACK(YES_Writing_ELA[#Data],YES_Writing_FLA[#Data]),MATCH($A495,_xlfn.VSTACK(YES_Writing_ELA[Student Number],YES_Writing_FLA[Student Number]),0),MATCH(VLOOKUP(F$7,'Writing Logic'!$J$7:$K$11,2,FALSE)&amp;" - Per "&amp;VLOOKUP($C$4,'Writing Logic'!$G$8:$H$14,2,FALSE),YES_Writing_ELA[#Headers],0))=0,"",INDEX(_xlfn.VSTACK(YES_Writing_ELA[#Data],YES_Writing_FLA[#Data]),MATCH($A495,_xlfn.VSTACK(YES_Writing_ELA[Student Number],YES_Writing_FLA[Student Number]),0),MATCH(VLOOKUP(F$7,'Writing Logic'!$J$7:$K$11,2,FALSE)&amp;" - Per "&amp;VLOOKUP($C$4,'Writing Logic'!$G$8:$H$14,2,FALSE),YES_Writing_ELA[#Headers],0)))),"")</f>
        <v/>
      </c>
      <c r="G495" s="138" t="str">
        <f>IFERROR(IF(IF(INDEX(_xlfn.VSTACK(YES_Writing_ELA[#Data],YES_Writing_FLA[#Data]),MATCH($A495,_xlfn.VSTACK(YES_Writing_ELA[Student Number],YES_Writing_FLA[Student Number]),0),MATCH(VLOOKUP(G$7,'Writing Logic'!$J$7:$K$11,2,FALSE)&amp;" - Per "&amp;VLOOKUP($C$4,'Writing Logic'!$G$8:$H$14,2,FALSE),YES_Writing_ELA[#Headers],0))=0,"",INDEX(_xlfn.VSTACK(YES_Writing_ELA[#Data],YES_Writing_FLA[#Data]),MATCH($A495,_xlfn.VSTACK(YES_Writing_ELA[Student Number],YES_Writing_FLA[Student Number]),0),MATCH(VLOOKUP(G$7,'Writing Logic'!$J$7:$K$11,2,FALSE)&amp;" - Per "&amp;VLOOKUP($C$4,'Writing Logic'!$G$8:$H$14,2,FALSE),YES_Writing_ELA[#Headers],0)))="INS",'Writing Logic'!$B$7,IF(INDEX(_xlfn.VSTACK(YES_Writing_ELA[#Data],YES_Writing_FLA[#Data]),MATCH($A495,_xlfn.VSTACK(YES_Writing_ELA[Student Number],YES_Writing_FLA[Student Number]),0),MATCH(VLOOKUP(G$7,'Writing Logic'!$J$7:$K$11,2,FALSE)&amp;" - Per "&amp;VLOOKUP($C$4,'Writing Logic'!$G$8:$H$14,2,FALSE),YES_Writing_ELA[#Headers],0))=0,"",INDEX(_xlfn.VSTACK(YES_Writing_ELA[#Data],YES_Writing_FLA[#Data]),MATCH($A495,_xlfn.VSTACK(YES_Writing_ELA[Student Number],YES_Writing_FLA[Student Number]),0),MATCH(VLOOKUP(G$7,'Writing Logic'!$J$7:$K$11,2,FALSE)&amp;" - Per "&amp;VLOOKUP($C$4,'Writing Logic'!$G$8:$H$14,2,FALSE),YES_Writing_ELA[#Headers],0)))),"")</f>
        <v/>
      </c>
      <c r="H495" s="138" t="str">
        <f>IFERROR(IF(IF(INDEX(_xlfn.VSTACK(YES_Writing_ELA[#Data],YES_Writing_FLA[#Data]),MATCH($A495,_xlfn.VSTACK(YES_Writing_ELA[Student Number],YES_Writing_FLA[Student Number]),0),MATCH(VLOOKUP(H$7,'Writing Logic'!$J$7:$K$11,2,FALSE)&amp;" - Per "&amp;VLOOKUP($C$4,'Writing Logic'!$G$8:$H$14,2,FALSE),YES_Writing_ELA[#Headers],0))=0,"",INDEX(_xlfn.VSTACK(YES_Writing_ELA[#Data],YES_Writing_FLA[#Data]),MATCH($A495,_xlfn.VSTACK(YES_Writing_ELA[Student Number],YES_Writing_FLA[Student Number]),0),MATCH(VLOOKUP(H$7,'Writing Logic'!$J$7:$K$11,2,FALSE)&amp;" - Per "&amp;VLOOKUP($C$4,'Writing Logic'!$G$8:$H$14,2,FALSE),YES_Writing_ELA[#Headers],0)))="INS",'Writing Logic'!$B$7,IF(INDEX(_xlfn.VSTACK(YES_Writing_ELA[#Data],YES_Writing_FLA[#Data]),MATCH($A495,_xlfn.VSTACK(YES_Writing_ELA[Student Number],YES_Writing_FLA[Student Number]),0),MATCH(VLOOKUP(H$7,'Writing Logic'!$J$7:$K$11,2,FALSE)&amp;" - Per "&amp;VLOOKUP($C$4,'Writing Logic'!$G$8:$H$14,2,FALSE),YES_Writing_ELA[#Headers],0))=0,"",INDEX(_xlfn.VSTACK(YES_Writing_ELA[#Data],YES_Writing_FLA[#Data]),MATCH($A495,_xlfn.VSTACK(YES_Writing_ELA[Student Number],YES_Writing_FLA[Student Number]),0),MATCH(VLOOKUP(H$7,'Writing Logic'!$J$7:$K$11,2,FALSE)&amp;" - Per "&amp;VLOOKUP($C$4,'Writing Logic'!$G$8:$H$14,2,FALSE),YES_Writing_ELA[#Headers],0)))),"")</f>
        <v/>
      </c>
    </row>
    <row r="496" spans="1:8" x14ac:dyDescent="0.25">
      <c r="A496" s="137"/>
      <c r="B496" s="137" t="str">
        <f>IFERROR(INDEX(_xlfn.VSTACK(YES_Writing_ELA[#Data], YES_Writing_FLA[#Data]),MATCH($A496,_xlfn.VSTACK(YES_Writing_ELA[Student Number], YES_Writing_FLA[Student Number]),0),MATCH(B$7,YES_Writing_ELA[#Headers],0)),"")</f>
        <v/>
      </c>
      <c r="C496" s="137" t="str">
        <f>IFERROR(INDEX(_xlfn.VSTACK(YES_Writing_ELA[#Data], YES_Writing_FLA[#Data]),MATCH($A496,_xlfn.VSTACK(YES_Writing_ELA[Student Number], YES_Writing_FLA[Student Number]),0),MATCH(C$7,YES_Writing_ELA[#Headers],0)),"")</f>
        <v/>
      </c>
      <c r="D496" s="138" t="str">
        <f>IFERROR(IF(IF(INDEX(_xlfn.VSTACK(YES_Writing_ELA[#Data],YES_Writing_FLA[#Data]),MATCH($A496,_xlfn.VSTACK(YES_Writing_ELA[Student Number],YES_Writing_FLA[Student Number]),0),MATCH(VLOOKUP(D$7,'Writing Logic'!$J$7:$K$11,2,FALSE)&amp;" - Per "&amp;VLOOKUP($C$4,'Writing Logic'!$G$8:$H$14,2,FALSE),YES_Writing_ELA[#Headers],0))=0,"",INDEX(_xlfn.VSTACK(YES_Writing_ELA[#Data],YES_Writing_FLA[#Data]),MATCH($A496,_xlfn.VSTACK(YES_Writing_ELA[Student Number],YES_Writing_FLA[Student Number]),0),MATCH(VLOOKUP(D$7,'Writing Logic'!$J$7:$K$11,2,FALSE)&amp;" - Per "&amp;VLOOKUP($C$4,'Writing Logic'!$G$8:$H$14,2,FALSE),YES_Writing_ELA[#Headers],0)))="INS",'Writing Logic'!$B$7,IF(INDEX(_xlfn.VSTACK(YES_Writing_ELA[#Data],YES_Writing_FLA[#Data]),MATCH($A496,_xlfn.VSTACK(YES_Writing_ELA[Student Number],YES_Writing_FLA[Student Number]),0),MATCH(VLOOKUP(D$7,'Writing Logic'!$J$7:$K$11,2,FALSE)&amp;" - Per "&amp;VLOOKUP($C$4,'Writing Logic'!$G$8:$H$14,2,FALSE),YES_Writing_ELA[#Headers],0))=0,"",INDEX(_xlfn.VSTACK(YES_Writing_ELA[#Data],YES_Writing_FLA[#Data]),MATCH($A496,_xlfn.VSTACK(YES_Writing_ELA[Student Number],YES_Writing_FLA[Student Number]),0),MATCH(VLOOKUP(D$7,'Writing Logic'!$J$7:$K$11,2,FALSE)&amp;" - Per "&amp;VLOOKUP($C$4,'Writing Logic'!$G$8:$H$14,2,FALSE),YES_Writing_ELA[#Headers],0)))),"")</f>
        <v/>
      </c>
      <c r="E496" s="138" t="str">
        <f>IFERROR(IF(IF(INDEX(_xlfn.VSTACK(YES_Writing_ELA[#Data],YES_Writing_FLA[#Data]),MATCH($A496,_xlfn.VSTACK(YES_Writing_ELA[Student Number],YES_Writing_FLA[Student Number]),0),MATCH(VLOOKUP(E$7,'Writing Logic'!$J$7:$K$11,2,FALSE)&amp;" - Per "&amp;VLOOKUP($C$4,'Writing Logic'!$G$8:$H$14,2,FALSE),YES_Writing_ELA[#Headers],0))=0,"",INDEX(_xlfn.VSTACK(YES_Writing_ELA[#Data],YES_Writing_FLA[#Data]),MATCH($A496,_xlfn.VSTACK(YES_Writing_ELA[Student Number],YES_Writing_FLA[Student Number]),0),MATCH(VLOOKUP(E$7,'Writing Logic'!$J$7:$K$11,2,FALSE)&amp;" - Per "&amp;VLOOKUP($C$4,'Writing Logic'!$G$8:$H$14,2,FALSE),YES_Writing_ELA[#Headers],0)))="INS",'Writing Logic'!$B$7,IF(INDEX(_xlfn.VSTACK(YES_Writing_ELA[#Data],YES_Writing_FLA[#Data]),MATCH($A496,_xlfn.VSTACK(YES_Writing_ELA[Student Number],YES_Writing_FLA[Student Number]),0),MATCH(VLOOKUP(E$7,'Writing Logic'!$J$7:$K$11,2,FALSE)&amp;" - Per "&amp;VLOOKUP($C$4,'Writing Logic'!$G$8:$H$14,2,FALSE),YES_Writing_ELA[#Headers],0))=0,"",INDEX(_xlfn.VSTACK(YES_Writing_ELA[#Data],YES_Writing_FLA[#Data]),MATCH($A496,_xlfn.VSTACK(YES_Writing_ELA[Student Number],YES_Writing_FLA[Student Number]),0),MATCH(VLOOKUP(E$7,'Writing Logic'!$J$7:$K$11,2,FALSE)&amp;" - Per "&amp;VLOOKUP($C$4,'Writing Logic'!$G$8:$H$14,2,FALSE),YES_Writing_ELA[#Headers],0)))),"")</f>
        <v/>
      </c>
      <c r="F496" s="138" t="str">
        <f>IFERROR(IF(IF(INDEX(_xlfn.VSTACK(YES_Writing_ELA[#Data],YES_Writing_FLA[#Data]),MATCH($A496,_xlfn.VSTACK(YES_Writing_ELA[Student Number],YES_Writing_FLA[Student Number]),0),MATCH(VLOOKUP(F$7,'Writing Logic'!$J$7:$K$11,2,FALSE)&amp;" - Per "&amp;VLOOKUP($C$4,'Writing Logic'!$G$8:$H$14,2,FALSE),YES_Writing_ELA[#Headers],0))=0,"",INDEX(_xlfn.VSTACK(YES_Writing_ELA[#Data],YES_Writing_FLA[#Data]),MATCH($A496,_xlfn.VSTACK(YES_Writing_ELA[Student Number],YES_Writing_FLA[Student Number]),0),MATCH(VLOOKUP(F$7,'Writing Logic'!$J$7:$K$11,2,FALSE)&amp;" - Per "&amp;VLOOKUP($C$4,'Writing Logic'!$G$8:$H$14,2,FALSE),YES_Writing_ELA[#Headers],0)))="INS",'Writing Logic'!$B$7,IF(INDEX(_xlfn.VSTACK(YES_Writing_ELA[#Data],YES_Writing_FLA[#Data]),MATCH($A496,_xlfn.VSTACK(YES_Writing_ELA[Student Number],YES_Writing_FLA[Student Number]),0),MATCH(VLOOKUP(F$7,'Writing Logic'!$J$7:$K$11,2,FALSE)&amp;" - Per "&amp;VLOOKUP($C$4,'Writing Logic'!$G$8:$H$14,2,FALSE),YES_Writing_ELA[#Headers],0))=0,"",INDEX(_xlfn.VSTACK(YES_Writing_ELA[#Data],YES_Writing_FLA[#Data]),MATCH($A496,_xlfn.VSTACK(YES_Writing_ELA[Student Number],YES_Writing_FLA[Student Number]),0),MATCH(VLOOKUP(F$7,'Writing Logic'!$J$7:$K$11,2,FALSE)&amp;" - Per "&amp;VLOOKUP($C$4,'Writing Logic'!$G$8:$H$14,2,FALSE),YES_Writing_ELA[#Headers],0)))),"")</f>
        <v/>
      </c>
      <c r="G496" s="138" t="str">
        <f>IFERROR(IF(IF(INDEX(_xlfn.VSTACK(YES_Writing_ELA[#Data],YES_Writing_FLA[#Data]),MATCH($A496,_xlfn.VSTACK(YES_Writing_ELA[Student Number],YES_Writing_FLA[Student Number]),0),MATCH(VLOOKUP(G$7,'Writing Logic'!$J$7:$K$11,2,FALSE)&amp;" - Per "&amp;VLOOKUP($C$4,'Writing Logic'!$G$8:$H$14,2,FALSE),YES_Writing_ELA[#Headers],0))=0,"",INDEX(_xlfn.VSTACK(YES_Writing_ELA[#Data],YES_Writing_FLA[#Data]),MATCH($A496,_xlfn.VSTACK(YES_Writing_ELA[Student Number],YES_Writing_FLA[Student Number]),0),MATCH(VLOOKUP(G$7,'Writing Logic'!$J$7:$K$11,2,FALSE)&amp;" - Per "&amp;VLOOKUP($C$4,'Writing Logic'!$G$8:$H$14,2,FALSE),YES_Writing_ELA[#Headers],0)))="INS",'Writing Logic'!$B$7,IF(INDEX(_xlfn.VSTACK(YES_Writing_ELA[#Data],YES_Writing_FLA[#Data]),MATCH($A496,_xlfn.VSTACK(YES_Writing_ELA[Student Number],YES_Writing_FLA[Student Number]),0),MATCH(VLOOKUP(G$7,'Writing Logic'!$J$7:$K$11,2,FALSE)&amp;" - Per "&amp;VLOOKUP($C$4,'Writing Logic'!$G$8:$H$14,2,FALSE),YES_Writing_ELA[#Headers],0))=0,"",INDEX(_xlfn.VSTACK(YES_Writing_ELA[#Data],YES_Writing_FLA[#Data]),MATCH($A496,_xlfn.VSTACK(YES_Writing_ELA[Student Number],YES_Writing_FLA[Student Number]),0),MATCH(VLOOKUP(G$7,'Writing Logic'!$J$7:$K$11,2,FALSE)&amp;" - Per "&amp;VLOOKUP($C$4,'Writing Logic'!$G$8:$H$14,2,FALSE),YES_Writing_ELA[#Headers],0)))),"")</f>
        <v/>
      </c>
      <c r="H496" s="138" t="str">
        <f>IFERROR(IF(IF(INDEX(_xlfn.VSTACK(YES_Writing_ELA[#Data],YES_Writing_FLA[#Data]),MATCH($A496,_xlfn.VSTACK(YES_Writing_ELA[Student Number],YES_Writing_FLA[Student Number]),0),MATCH(VLOOKUP(H$7,'Writing Logic'!$J$7:$K$11,2,FALSE)&amp;" - Per "&amp;VLOOKUP($C$4,'Writing Logic'!$G$8:$H$14,2,FALSE),YES_Writing_ELA[#Headers],0))=0,"",INDEX(_xlfn.VSTACK(YES_Writing_ELA[#Data],YES_Writing_FLA[#Data]),MATCH($A496,_xlfn.VSTACK(YES_Writing_ELA[Student Number],YES_Writing_FLA[Student Number]),0),MATCH(VLOOKUP(H$7,'Writing Logic'!$J$7:$K$11,2,FALSE)&amp;" - Per "&amp;VLOOKUP($C$4,'Writing Logic'!$G$8:$H$14,2,FALSE),YES_Writing_ELA[#Headers],0)))="INS",'Writing Logic'!$B$7,IF(INDEX(_xlfn.VSTACK(YES_Writing_ELA[#Data],YES_Writing_FLA[#Data]),MATCH($A496,_xlfn.VSTACK(YES_Writing_ELA[Student Number],YES_Writing_FLA[Student Number]),0),MATCH(VLOOKUP(H$7,'Writing Logic'!$J$7:$K$11,2,FALSE)&amp;" - Per "&amp;VLOOKUP($C$4,'Writing Logic'!$G$8:$H$14,2,FALSE),YES_Writing_ELA[#Headers],0))=0,"",INDEX(_xlfn.VSTACK(YES_Writing_ELA[#Data],YES_Writing_FLA[#Data]),MATCH($A496,_xlfn.VSTACK(YES_Writing_ELA[Student Number],YES_Writing_FLA[Student Number]),0),MATCH(VLOOKUP(H$7,'Writing Logic'!$J$7:$K$11,2,FALSE)&amp;" - Per "&amp;VLOOKUP($C$4,'Writing Logic'!$G$8:$H$14,2,FALSE),YES_Writing_ELA[#Headers],0)))),"")</f>
        <v/>
      </c>
    </row>
    <row r="497" spans="1:8" x14ac:dyDescent="0.25">
      <c r="A497" s="137"/>
      <c r="B497" s="137" t="str">
        <f>IFERROR(INDEX(_xlfn.VSTACK(YES_Writing_ELA[#Data], YES_Writing_FLA[#Data]),MATCH($A497,_xlfn.VSTACK(YES_Writing_ELA[Student Number], YES_Writing_FLA[Student Number]),0),MATCH(B$7,YES_Writing_ELA[#Headers],0)),"")</f>
        <v/>
      </c>
      <c r="C497" s="137" t="str">
        <f>IFERROR(INDEX(_xlfn.VSTACK(YES_Writing_ELA[#Data], YES_Writing_FLA[#Data]),MATCH($A497,_xlfn.VSTACK(YES_Writing_ELA[Student Number], YES_Writing_FLA[Student Number]),0),MATCH(C$7,YES_Writing_ELA[#Headers],0)),"")</f>
        <v/>
      </c>
      <c r="D497" s="138" t="str">
        <f>IFERROR(IF(IF(INDEX(_xlfn.VSTACK(YES_Writing_ELA[#Data],YES_Writing_FLA[#Data]),MATCH($A497,_xlfn.VSTACK(YES_Writing_ELA[Student Number],YES_Writing_FLA[Student Number]),0),MATCH(VLOOKUP(D$7,'Writing Logic'!$J$7:$K$11,2,FALSE)&amp;" - Per "&amp;VLOOKUP($C$4,'Writing Logic'!$G$8:$H$14,2,FALSE),YES_Writing_ELA[#Headers],0))=0,"",INDEX(_xlfn.VSTACK(YES_Writing_ELA[#Data],YES_Writing_FLA[#Data]),MATCH($A497,_xlfn.VSTACK(YES_Writing_ELA[Student Number],YES_Writing_FLA[Student Number]),0),MATCH(VLOOKUP(D$7,'Writing Logic'!$J$7:$K$11,2,FALSE)&amp;" - Per "&amp;VLOOKUP($C$4,'Writing Logic'!$G$8:$H$14,2,FALSE),YES_Writing_ELA[#Headers],0)))="INS",'Writing Logic'!$B$7,IF(INDEX(_xlfn.VSTACK(YES_Writing_ELA[#Data],YES_Writing_FLA[#Data]),MATCH($A497,_xlfn.VSTACK(YES_Writing_ELA[Student Number],YES_Writing_FLA[Student Number]),0),MATCH(VLOOKUP(D$7,'Writing Logic'!$J$7:$K$11,2,FALSE)&amp;" - Per "&amp;VLOOKUP($C$4,'Writing Logic'!$G$8:$H$14,2,FALSE),YES_Writing_ELA[#Headers],0))=0,"",INDEX(_xlfn.VSTACK(YES_Writing_ELA[#Data],YES_Writing_FLA[#Data]),MATCH($A497,_xlfn.VSTACK(YES_Writing_ELA[Student Number],YES_Writing_FLA[Student Number]),0),MATCH(VLOOKUP(D$7,'Writing Logic'!$J$7:$K$11,2,FALSE)&amp;" - Per "&amp;VLOOKUP($C$4,'Writing Logic'!$G$8:$H$14,2,FALSE),YES_Writing_ELA[#Headers],0)))),"")</f>
        <v/>
      </c>
      <c r="E497" s="138" t="str">
        <f>IFERROR(IF(IF(INDEX(_xlfn.VSTACK(YES_Writing_ELA[#Data],YES_Writing_FLA[#Data]),MATCH($A497,_xlfn.VSTACK(YES_Writing_ELA[Student Number],YES_Writing_FLA[Student Number]),0),MATCH(VLOOKUP(E$7,'Writing Logic'!$J$7:$K$11,2,FALSE)&amp;" - Per "&amp;VLOOKUP($C$4,'Writing Logic'!$G$8:$H$14,2,FALSE),YES_Writing_ELA[#Headers],0))=0,"",INDEX(_xlfn.VSTACK(YES_Writing_ELA[#Data],YES_Writing_FLA[#Data]),MATCH($A497,_xlfn.VSTACK(YES_Writing_ELA[Student Number],YES_Writing_FLA[Student Number]),0),MATCH(VLOOKUP(E$7,'Writing Logic'!$J$7:$K$11,2,FALSE)&amp;" - Per "&amp;VLOOKUP($C$4,'Writing Logic'!$G$8:$H$14,2,FALSE),YES_Writing_ELA[#Headers],0)))="INS",'Writing Logic'!$B$7,IF(INDEX(_xlfn.VSTACK(YES_Writing_ELA[#Data],YES_Writing_FLA[#Data]),MATCH($A497,_xlfn.VSTACK(YES_Writing_ELA[Student Number],YES_Writing_FLA[Student Number]),0),MATCH(VLOOKUP(E$7,'Writing Logic'!$J$7:$K$11,2,FALSE)&amp;" - Per "&amp;VLOOKUP($C$4,'Writing Logic'!$G$8:$H$14,2,FALSE),YES_Writing_ELA[#Headers],0))=0,"",INDEX(_xlfn.VSTACK(YES_Writing_ELA[#Data],YES_Writing_FLA[#Data]),MATCH($A497,_xlfn.VSTACK(YES_Writing_ELA[Student Number],YES_Writing_FLA[Student Number]),0),MATCH(VLOOKUP(E$7,'Writing Logic'!$J$7:$K$11,2,FALSE)&amp;" - Per "&amp;VLOOKUP($C$4,'Writing Logic'!$G$8:$H$14,2,FALSE),YES_Writing_ELA[#Headers],0)))),"")</f>
        <v/>
      </c>
      <c r="F497" s="138" t="str">
        <f>IFERROR(IF(IF(INDEX(_xlfn.VSTACK(YES_Writing_ELA[#Data],YES_Writing_FLA[#Data]),MATCH($A497,_xlfn.VSTACK(YES_Writing_ELA[Student Number],YES_Writing_FLA[Student Number]),0),MATCH(VLOOKUP(F$7,'Writing Logic'!$J$7:$K$11,2,FALSE)&amp;" - Per "&amp;VLOOKUP($C$4,'Writing Logic'!$G$8:$H$14,2,FALSE),YES_Writing_ELA[#Headers],0))=0,"",INDEX(_xlfn.VSTACK(YES_Writing_ELA[#Data],YES_Writing_FLA[#Data]),MATCH($A497,_xlfn.VSTACK(YES_Writing_ELA[Student Number],YES_Writing_FLA[Student Number]),0),MATCH(VLOOKUP(F$7,'Writing Logic'!$J$7:$K$11,2,FALSE)&amp;" - Per "&amp;VLOOKUP($C$4,'Writing Logic'!$G$8:$H$14,2,FALSE),YES_Writing_ELA[#Headers],0)))="INS",'Writing Logic'!$B$7,IF(INDEX(_xlfn.VSTACK(YES_Writing_ELA[#Data],YES_Writing_FLA[#Data]),MATCH($A497,_xlfn.VSTACK(YES_Writing_ELA[Student Number],YES_Writing_FLA[Student Number]),0),MATCH(VLOOKUP(F$7,'Writing Logic'!$J$7:$K$11,2,FALSE)&amp;" - Per "&amp;VLOOKUP($C$4,'Writing Logic'!$G$8:$H$14,2,FALSE),YES_Writing_ELA[#Headers],0))=0,"",INDEX(_xlfn.VSTACK(YES_Writing_ELA[#Data],YES_Writing_FLA[#Data]),MATCH($A497,_xlfn.VSTACK(YES_Writing_ELA[Student Number],YES_Writing_FLA[Student Number]),0),MATCH(VLOOKUP(F$7,'Writing Logic'!$J$7:$K$11,2,FALSE)&amp;" - Per "&amp;VLOOKUP($C$4,'Writing Logic'!$G$8:$H$14,2,FALSE),YES_Writing_ELA[#Headers],0)))),"")</f>
        <v/>
      </c>
      <c r="G497" s="138" t="str">
        <f>IFERROR(IF(IF(INDEX(_xlfn.VSTACK(YES_Writing_ELA[#Data],YES_Writing_FLA[#Data]),MATCH($A497,_xlfn.VSTACK(YES_Writing_ELA[Student Number],YES_Writing_FLA[Student Number]),0),MATCH(VLOOKUP(G$7,'Writing Logic'!$J$7:$K$11,2,FALSE)&amp;" - Per "&amp;VLOOKUP($C$4,'Writing Logic'!$G$8:$H$14,2,FALSE),YES_Writing_ELA[#Headers],0))=0,"",INDEX(_xlfn.VSTACK(YES_Writing_ELA[#Data],YES_Writing_FLA[#Data]),MATCH($A497,_xlfn.VSTACK(YES_Writing_ELA[Student Number],YES_Writing_FLA[Student Number]),0),MATCH(VLOOKUP(G$7,'Writing Logic'!$J$7:$K$11,2,FALSE)&amp;" - Per "&amp;VLOOKUP($C$4,'Writing Logic'!$G$8:$H$14,2,FALSE),YES_Writing_ELA[#Headers],0)))="INS",'Writing Logic'!$B$7,IF(INDEX(_xlfn.VSTACK(YES_Writing_ELA[#Data],YES_Writing_FLA[#Data]),MATCH($A497,_xlfn.VSTACK(YES_Writing_ELA[Student Number],YES_Writing_FLA[Student Number]),0),MATCH(VLOOKUP(G$7,'Writing Logic'!$J$7:$K$11,2,FALSE)&amp;" - Per "&amp;VLOOKUP($C$4,'Writing Logic'!$G$8:$H$14,2,FALSE),YES_Writing_ELA[#Headers],0))=0,"",INDEX(_xlfn.VSTACK(YES_Writing_ELA[#Data],YES_Writing_FLA[#Data]),MATCH($A497,_xlfn.VSTACK(YES_Writing_ELA[Student Number],YES_Writing_FLA[Student Number]),0),MATCH(VLOOKUP(G$7,'Writing Logic'!$J$7:$K$11,2,FALSE)&amp;" - Per "&amp;VLOOKUP($C$4,'Writing Logic'!$G$8:$H$14,2,FALSE),YES_Writing_ELA[#Headers],0)))),"")</f>
        <v/>
      </c>
      <c r="H497" s="138" t="str">
        <f>IFERROR(IF(IF(INDEX(_xlfn.VSTACK(YES_Writing_ELA[#Data],YES_Writing_FLA[#Data]),MATCH($A497,_xlfn.VSTACK(YES_Writing_ELA[Student Number],YES_Writing_FLA[Student Number]),0),MATCH(VLOOKUP(H$7,'Writing Logic'!$J$7:$K$11,2,FALSE)&amp;" - Per "&amp;VLOOKUP($C$4,'Writing Logic'!$G$8:$H$14,2,FALSE),YES_Writing_ELA[#Headers],0))=0,"",INDEX(_xlfn.VSTACK(YES_Writing_ELA[#Data],YES_Writing_FLA[#Data]),MATCH($A497,_xlfn.VSTACK(YES_Writing_ELA[Student Number],YES_Writing_FLA[Student Number]),0),MATCH(VLOOKUP(H$7,'Writing Logic'!$J$7:$K$11,2,FALSE)&amp;" - Per "&amp;VLOOKUP($C$4,'Writing Logic'!$G$8:$H$14,2,FALSE),YES_Writing_ELA[#Headers],0)))="INS",'Writing Logic'!$B$7,IF(INDEX(_xlfn.VSTACK(YES_Writing_ELA[#Data],YES_Writing_FLA[#Data]),MATCH($A497,_xlfn.VSTACK(YES_Writing_ELA[Student Number],YES_Writing_FLA[Student Number]),0),MATCH(VLOOKUP(H$7,'Writing Logic'!$J$7:$K$11,2,FALSE)&amp;" - Per "&amp;VLOOKUP($C$4,'Writing Logic'!$G$8:$H$14,2,FALSE),YES_Writing_ELA[#Headers],0))=0,"",INDEX(_xlfn.VSTACK(YES_Writing_ELA[#Data],YES_Writing_FLA[#Data]),MATCH($A497,_xlfn.VSTACK(YES_Writing_ELA[Student Number],YES_Writing_FLA[Student Number]),0),MATCH(VLOOKUP(H$7,'Writing Logic'!$J$7:$K$11,2,FALSE)&amp;" - Per "&amp;VLOOKUP($C$4,'Writing Logic'!$G$8:$H$14,2,FALSE),YES_Writing_ELA[#Headers],0)))),"")</f>
        <v/>
      </c>
    </row>
    <row r="498" spans="1:8" x14ac:dyDescent="0.25">
      <c r="A498" s="137"/>
      <c r="B498" s="137" t="str">
        <f>IFERROR(INDEX(_xlfn.VSTACK(YES_Writing_ELA[#Data], YES_Writing_FLA[#Data]),MATCH($A498,_xlfn.VSTACK(YES_Writing_ELA[Student Number], YES_Writing_FLA[Student Number]),0),MATCH(B$7,YES_Writing_ELA[#Headers],0)),"")</f>
        <v/>
      </c>
      <c r="C498" s="137" t="str">
        <f>IFERROR(INDEX(_xlfn.VSTACK(YES_Writing_ELA[#Data], YES_Writing_FLA[#Data]),MATCH($A498,_xlfn.VSTACK(YES_Writing_ELA[Student Number], YES_Writing_FLA[Student Number]),0),MATCH(C$7,YES_Writing_ELA[#Headers],0)),"")</f>
        <v/>
      </c>
      <c r="D498" s="138" t="str">
        <f>IFERROR(IF(IF(INDEX(_xlfn.VSTACK(YES_Writing_ELA[#Data],YES_Writing_FLA[#Data]),MATCH($A498,_xlfn.VSTACK(YES_Writing_ELA[Student Number],YES_Writing_FLA[Student Number]),0),MATCH(VLOOKUP(D$7,'Writing Logic'!$J$7:$K$11,2,FALSE)&amp;" - Per "&amp;VLOOKUP($C$4,'Writing Logic'!$G$8:$H$14,2,FALSE),YES_Writing_ELA[#Headers],0))=0,"",INDEX(_xlfn.VSTACK(YES_Writing_ELA[#Data],YES_Writing_FLA[#Data]),MATCH($A498,_xlfn.VSTACK(YES_Writing_ELA[Student Number],YES_Writing_FLA[Student Number]),0),MATCH(VLOOKUP(D$7,'Writing Logic'!$J$7:$K$11,2,FALSE)&amp;" - Per "&amp;VLOOKUP($C$4,'Writing Logic'!$G$8:$H$14,2,FALSE),YES_Writing_ELA[#Headers],0)))="INS",'Writing Logic'!$B$7,IF(INDEX(_xlfn.VSTACK(YES_Writing_ELA[#Data],YES_Writing_FLA[#Data]),MATCH($A498,_xlfn.VSTACK(YES_Writing_ELA[Student Number],YES_Writing_FLA[Student Number]),0),MATCH(VLOOKUP(D$7,'Writing Logic'!$J$7:$K$11,2,FALSE)&amp;" - Per "&amp;VLOOKUP($C$4,'Writing Logic'!$G$8:$H$14,2,FALSE),YES_Writing_ELA[#Headers],0))=0,"",INDEX(_xlfn.VSTACK(YES_Writing_ELA[#Data],YES_Writing_FLA[#Data]),MATCH($A498,_xlfn.VSTACK(YES_Writing_ELA[Student Number],YES_Writing_FLA[Student Number]),0),MATCH(VLOOKUP(D$7,'Writing Logic'!$J$7:$K$11,2,FALSE)&amp;" - Per "&amp;VLOOKUP($C$4,'Writing Logic'!$G$8:$H$14,2,FALSE),YES_Writing_ELA[#Headers],0)))),"")</f>
        <v/>
      </c>
      <c r="E498" s="138" t="str">
        <f>IFERROR(IF(IF(INDEX(_xlfn.VSTACK(YES_Writing_ELA[#Data],YES_Writing_FLA[#Data]),MATCH($A498,_xlfn.VSTACK(YES_Writing_ELA[Student Number],YES_Writing_FLA[Student Number]),0),MATCH(VLOOKUP(E$7,'Writing Logic'!$J$7:$K$11,2,FALSE)&amp;" - Per "&amp;VLOOKUP($C$4,'Writing Logic'!$G$8:$H$14,2,FALSE),YES_Writing_ELA[#Headers],0))=0,"",INDEX(_xlfn.VSTACK(YES_Writing_ELA[#Data],YES_Writing_FLA[#Data]),MATCH($A498,_xlfn.VSTACK(YES_Writing_ELA[Student Number],YES_Writing_FLA[Student Number]),0),MATCH(VLOOKUP(E$7,'Writing Logic'!$J$7:$K$11,2,FALSE)&amp;" - Per "&amp;VLOOKUP($C$4,'Writing Logic'!$G$8:$H$14,2,FALSE),YES_Writing_ELA[#Headers],0)))="INS",'Writing Logic'!$B$7,IF(INDEX(_xlfn.VSTACK(YES_Writing_ELA[#Data],YES_Writing_FLA[#Data]),MATCH($A498,_xlfn.VSTACK(YES_Writing_ELA[Student Number],YES_Writing_FLA[Student Number]),0),MATCH(VLOOKUP(E$7,'Writing Logic'!$J$7:$K$11,2,FALSE)&amp;" - Per "&amp;VLOOKUP($C$4,'Writing Logic'!$G$8:$H$14,2,FALSE),YES_Writing_ELA[#Headers],0))=0,"",INDEX(_xlfn.VSTACK(YES_Writing_ELA[#Data],YES_Writing_FLA[#Data]),MATCH($A498,_xlfn.VSTACK(YES_Writing_ELA[Student Number],YES_Writing_FLA[Student Number]),0),MATCH(VLOOKUP(E$7,'Writing Logic'!$J$7:$K$11,2,FALSE)&amp;" - Per "&amp;VLOOKUP($C$4,'Writing Logic'!$G$8:$H$14,2,FALSE),YES_Writing_ELA[#Headers],0)))),"")</f>
        <v/>
      </c>
      <c r="F498" s="138" t="str">
        <f>IFERROR(IF(IF(INDEX(_xlfn.VSTACK(YES_Writing_ELA[#Data],YES_Writing_FLA[#Data]),MATCH($A498,_xlfn.VSTACK(YES_Writing_ELA[Student Number],YES_Writing_FLA[Student Number]),0),MATCH(VLOOKUP(F$7,'Writing Logic'!$J$7:$K$11,2,FALSE)&amp;" - Per "&amp;VLOOKUP($C$4,'Writing Logic'!$G$8:$H$14,2,FALSE),YES_Writing_ELA[#Headers],0))=0,"",INDEX(_xlfn.VSTACK(YES_Writing_ELA[#Data],YES_Writing_FLA[#Data]),MATCH($A498,_xlfn.VSTACK(YES_Writing_ELA[Student Number],YES_Writing_FLA[Student Number]),0),MATCH(VLOOKUP(F$7,'Writing Logic'!$J$7:$K$11,2,FALSE)&amp;" - Per "&amp;VLOOKUP($C$4,'Writing Logic'!$G$8:$H$14,2,FALSE),YES_Writing_ELA[#Headers],0)))="INS",'Writing Logic'!$B$7,IF(INDEX(_xlfn.VSTACK(YES_Writing_ELA[#Data],YES_Writing_FLA[#Data]),MATCH($A498,_xlfn.VSTACK(YES_Writing_ELA[Student Number],YES_Writing_FLA[Student Number]),0),MATCH(VLOOKUP(F$7,'Writing Logic'!$J$7:$K$11,2,FALSE)&amp;" - Per "&amp;VLOOKUP($C$4,'Writing Logic'!$G$8:$H$14,2,FALSE),YES_Writing_ELA[#Headers],0))=0,"",INDEX(_xlfn.VSTACK(YES_Writing_ELA[#Data],YES_Writing_FLA[#Data]),MATCH($A498,_xlfn.VSTACK(YES_Writing_ELA[Student Number],YES_Writing_FLA[Student Number]),0),MATCH(VLOOKUP(F$7,'Writing Logic'!$J$7:$K$11,2,FALSE)&amp;" - Per "&amp;VLOOKUP($C$4,'Writing Logic'!$G$8:$H$14,2,FALSE),YES_Writing_ELA[#Headers],0)))),"")</f>
        <v/>
      </c>
      <c r="G498" s="138" t="str">
        <f>IFERROR(IF(IF(INDEX(_xlfn.VSTACK(YES_Writing_ELA[#Data],YES_Writing_FLA[#Data]),MATCH($A498,_xlfn.VSTACK(YES_Writing_ELA[Student Number],YES_Writing_FLA[Student Number]),0),MATCH(VLOOKUP(G$7,'Writing Logic'!$J$7:$K$11,2,FALSE)&amp;" - Per "&amp;VLOOKUP($C$4,'Writing Logic'!$G$8:$H$14,2,FALSE),YES_Writing_ELA[#Headers],0))=0,"",INDEX(_xlfn.VSTACK(YES_Writing_ELA[#Data],YES_Writing_FLA[#Data]),MATCH($A498,_xlfn.VSTACK(YES_Writing_ELA[Student Number],YES_Writing_FLA[Student Number]),0),MATCH(VLOOKUP(G$7,'Writing Logic'!$J$7:$K$11,2,FALSE)&amp;" - Per "&amp;VLOOKUP($C$4,'Writing Logic'!$G$8:$H$14,2,FALSE),YES_Writing_ELA[#Headers],0)))="INS",'Writing Logic'!$B$7,IF(INDEX(_xlfn.VSTACK(YES_Writing_ELA[#Data],YES_Writing_FLA[#Data]),MATCH($A498,_xlfn.VSTACK(YES_Writing_ELA[Student Number],YES_Writing_FLA[Student Number]),0),MATCH(VLOOKUP(G$7,'Writing Logic'!$J$7:$K$11,2,FALSE)&amp;" - Per "&amp;VLOOKUP($C$4,'Writing Logic'!$G$8:$H$14,2,FALSE),YES_Writing_ELA[#Headers],0))=0,"",INDEX(_xlfn.VSTACK(YES_Writing_ELA[#Data],YES_Writing_FLA[#Data]),MATCH($A498,_xlfn.VSTACK(YES_Writing_ELA[Student Number],YES_Writing_FLA[Student Number]),0),MATCH(VLOOKUP(G$7,'Writing Logic'!$J$7:$K$11,2,FALSE)&amp;" - Per "&amp;VLOOKUP($C$4,'Writing Logic'!$G$8:$H$14,2,FALSE),YES_Writing_ELA[#Headers],0)))),"")</f>
        <v/>
      </c>
      <c r="H498" s="138" t="str">
        <f>IFERROR(IF(IF(INDEX(_xlfn.VSTACK(YES_Writing_ELA[#Data],YES_Writing_FLA[#Data]),MATCH($A498,_xlfn.VSTACK(YES_Writing_ELA[Student Number],YES_Writing_FLA[Student Number]),0),MATCH(VLOOKUP(H$7,'Writing Logic'!$J$7:$K$11,2,FALSE)&amp;" - Per "&amp;VLOOKUP($C$4,'Writing Logic'!$G$8:$H$14,2,FALSE),YES_Writing_ELA[#Headers],0))=0,"",INDEX(_xlfn.VSTACK(YES_Writing_ELA[#Data],YES_Writing_FLA[#Data]),MATCH($A498,_xlfn.VSTACK(YES_Writing_ELA[Student Number],YES_Writing_FLA[Student Number]),0),MATCH(VLOOKUP(H$7,'Writing Logic'!$J$7:$K$11,2,FALSE)&amp;" - Per "&amp;VLOOKUP($C$4,'Writing Logic'!$G$8:$H$14,2,FALSE),YES_Writing_ELA[#Headers],0)))="INS",'Writing Logic'!$B$7,IF(INDEX(_xlfn.VSTACK(YES_Writing_ELA[#Data],YES_Writing_FLA[#Data]),MATCH($A498,_xlfn.VSTACK(YES_Writing_ELA[Student Number],YES_Writing_FLA[Student Number]),0),MATCH(VLOOKUP(H$7,'Writing Logic'!$J$7:$K$11,2,FALSE)&amp;" - Per "&amp;VLOOKUP($C$4,'Writing Logic'!$G$8:$H$14,2,FALSE),YES_Writing_ELA[#Headers],0))=0,"",INDEX(_xlfn.VSTACK(YES_Writing_ELA[#Data],YES_Writing_FLA[#Data]),MATCH($A498,_xlfn.VSTACK(YES_Writing_ELA[Student Number],YES_Writing_FLA[Student Number]),0),MATCH(VLOOKUP(H$7,'Writing Logic'!$J$7:$K$11,2,FALSE)&amp;" - Per "&amp;VLOOKUP($C$4,'Writing Logic'!$G$8:$H$14,2,FALSE),YES_Writing_ELA[#Headers],0)))),"")</f>
        <v/>
      </c>
    </row>
    <row r="499" spans="1:8" x14ac:dyDescent="0.25">
      <c r="A499" s="137"/>
      <c r="B499" s="137" t="str">
        <f>IFERROR(INDEX(_xlfn.VSTACK(YES_Writing_ELA[#Data], YES_Writing_FLA[#Data]),MATCH($A499,_xlfn.VSTACK(YES_Writing_ELA[Student Number], YES_Writing_FLA[Student Number]),0),MATCH(B$7,YES_Writing_ELA[#Headers],0)),"")</f>
        <v/>
      </c>
      <c r="C499" s="137" t="str">
        <f>IFERROR(INDEX(_xlfn.VSTACK(YES_Writing_ELA[#Data], YES_Writing_FLA[#Data]),MATCH($A499,_xlfn.VSTACK(YES_Writing_ELA[Student Number], YES_Writing_FLA[Student Number]),0),MATCH(C$7,YES_Writing_ELA[#Headers],0)),"")</f>
        <v/>
      </c>
      <c r="D499" s="138" t="str">
        <f>IFERROR(IF(IF(INDEX(_xlfn.VSTACK(YES_Writing_ELA[#Data],YES_Writing_FLA[#Data]),MATCH($A499,_xlfn.VSTACK(YES_Writing_ELA[Student Number],YES_Writing_FLA[Student Number]),0),MATCH(VLOOKUP(D$7,'Writing Logic'!$J$7:$K$11,2,FALSE)&amp;" - Per "&amp;VLOOKUP($C$4,'Writing Logic'!$G$8:$H$14,2,FALSE),YES_Writing_ELA[#Headers],0))=0,"",INDEX(_xlfn.VSTACK(YES_Writing_ELA[#Data],YES_Writing_FLA[#Data]),MATCH($A499,_xlfn.VSTACK(YES_Writing_ELA[Student Number],YES_Writing_FLA[Student Number]),0),MATCH(VLOOKUP(D$7,'Writing Logic'!$J$7:$K$11,2,FALSE)&amp;" - Per "&amp;VLOOKUP($C$4,'Writing Logic'!$G$8:$H$14,2,FALSE),YES_Writing_ELA[#Headers],0)))="INS",'Writing Logic'!$B$7,IF(INDEX(_xlfn.VSTACK(YES_Writing_ELA[#Data],YES_Writing_FLA[#Data]),MATCH($A499,_xlfn.VSTACK(YES_Writing_ELA[Student Number],YES_Writing_FLA[Student Number]),0),MATCH(VLOOKUP(D$7,'Writing Logic'!$J$7:$K$11,2,FALSE)&amp;" - Per "&amp;VLOOKUP($C$4,'Writing Logic'!$G$8:$H$14,2,FALSE),YES_Writing_ELA[#Headers],0))=0,"",INDEX(_xlfn.VSTACK(YES_Writing_ELA[#Data],YES_Writing_FLA[#Data]),MATCH($A499,_xlfn.VSTACK(YES_Writing_ELA[Student Number],YES_Writing_FLA[Student Number]),0),MATCH(VLOOKUP(D$7,'Writing Logic'!$J$7:$K$11,2,FALSE)&amp;" - Per "&amp;VLOOKUP($C$4,'Writing Logic'!$G$8:$H$14,2,FALSE),YES_Writing_ELA[#Headers],0)))),"")</f>
        <v/>
      </c>
      <c r="E499" s="138" t="str">
        <f>IFERROR(IF(IF(INDEX(_xlfn.VSTACK(YES_Writing_ELA[#Data],YES_Writing_FLA[#Data]),MATCH($A499,_xlfn.VSTACK(YES_Writing_ELA[Student Number],YES_Writing_FLA[Student Number]),0),MATCH(VLOOKUP(E$7,'Writing Logic'!$J$7:$K$11,2,FALSE)&amp;" - Per "&amp;VLOOKUP($C$4,'Writing Logic'!$G$8:$H$14,2,FALSE),YES_Writing_ELA[#Headers],0))=0,"",INDEX(_xlfn.VSTACK(YES_Writing_ELA[#Data],YES_Writing_FLA[#Data]),MATCH($A499,_xlfn.VSTACK(YES_Writing_ELA[Student Number],YES_Writing_FLA[Student Number]),0),MATCH(VLOOKUP(E$7,'Writing Logic'!$J$7:$K$11,2,FALSE)&amp;" - Per "&amp;VLOOKUP($C$4,'Writing Logic'!$G$8:$H$14,2,FALSE),YES_Writing_ELA[#Headers],0)))="INS",'Writing Logic'!$B$7,IF(INDEX(_xlfn.VSTACK(YES_Writing_ELA[#Data],YES_Writing_FLA[#Data]),MATCH($A499,_xlfn.VSTACK(YES_Writing_ELA[Student Number],YES_Writing_FLA[Student Number]),0),MATCH(VLOOKUP(E$7,'Writing Logic'!$J$7:$K$11,2,FALSE)&amp;" - Per "&amp;VLOOKUP($C$4,'Writing Logic'!$G$8:$H$14,2,FALSE),YES_Writing_ELA[#Headers],0))=0,"",INDEX(_xlfn.VSTACK(YES_Writing_ELA[#Data],YES_Writing_FLA[#Data]),MATCH($A499,_xlfn.VSTACK(YES_Writing_ELA[Student Number],YES_Writing_FLA[Student Number]),0),MATCH(VLOOKUP(E$7,'Writing Logic'!$J$7:$K$11,2,FALSE)&amp;" - Per "&amp;VLOOKUP($C$4,'Writing Logic'!$G$8:$H$14,2,FALSE),YES_Writing_ELA[#Headers],0)))),"")</f>
        <v/>
      </c>
      <c r="F499" s="138" t="str">
        <f>IFERROR(IF(IF(INDEX(_xlfn.VSTACK(YES_Writing_ELA[#Data],YES_Writing_FLA[#Data]),MATCH($A499,_xlfn.VSTACK(YES_Writing_ELA[Student Number],YES_Writing_FLA[Student Number]),0),MATCH(VLOOKUP(F$7,'Writing Logic'!$J$7:$K$11,2,FALSE)&amp;" - Per "&amp;VLOOKUP($C$4,'Writing Logic'!$G$8:$H$14,2,FALSE),YES_Writing_ELA[#Headers],0))=0,"",INDEX(_xlfn.VSTACK(YES_Writing_ELA[#Data],YES_Writing_FLA[#Data]),MATCH($A499,_xlfn.VSTACK(YES_Writing_ELA[Student Number],YES_Writing_FLA[Student Number]),0),MATCH(VLOOKUP(F$7,'Writing Logic'!$J$7:$K$11,2,FALSE)&amp;" - Per "&amp;VLOOKUP($C$4,'Writing Logic'!$G$8:$H$14,2,FALSE),YES_Writing_ELA[#Headers],0)))="INS",'Writing Logic'!$B$7,IF(INDEX(_xlfn.VSTACK(YES_Writing_ELA[#Data],YES_Writing_FLA[#Data]),MATCH($A499,_xlfn.VSTACK(YES_Writing_ELA[Student Number],YES_Writing_FLA[Student Number]),0),MATCH(VLOOKUP(F$7,'Writing Logic'!$J$7:$K$11,2,FALSE)&amp;" - Per "&amp;VLOOKUP($C$4,'Writing Logic'!$G$8:$H$14,2,FALSE),YES_Writing_ELA[#Headers],0))=0,"",INDEX(_xlfn.VSTACK(YES_Writing_ELA[#Data],YES_Writing_FLA[#Data]),MATCH($A499,_xlfn.VSTACK(YES_Writing_ELA[Student Number],YES_Writing_FLA[Student Number]),0),MATCH(VLOOKUP(F$7,'Writing Logic'!$J$7:$K$11,2,FALSE)&amp;" - Per "&amp;VLOOKUP($C$4,'Writing Logic'!$G$8:$H$14,2,FALSE),YES_Writing_ELA[#Headers],0)))),"")</f>
        <v/>
      </c>
      <c r="G499" s="138" t="str">
        <f>IFERROR(IF(IF(INDEX(_xlfn.VSTACK(YES_Writing_ELA[#Data],YES_Writing_FLA[#Data]),MATCH($A499,_xlfn.VSTACK(YES_Writing_ELA[Student Number],YES_Writing_FLA[Student Number]),0),MATCH(VLOOKUP(G$7,'Writing Logic'!$J$7:$K$11,2,FALSE)&amp;" - Per "&amp;VLOOKUP($C$4,'Writing Logic'!$G$8:$H$14,2,FALSE),YES_Writing_ELA[#Headers],0))=0,"",INDEX(_xlfn.VSTACK(YES_Writing_ELA[#Data],YES_Writing_FLA[#Data]),MATCH($A499,_xlfn.VSTACK(YES_Writing_ELA[Student Number],YES_Writing_FLA[Student Number]),0),MATCH(VLOOKUP(G$7,'Writing Logic'!$J$7:$K$11,2,FALSE)&amp;" - Per "&amp;VLOOKUP($C$4,'Writing Logic'!$G$8:$H$14,2,FALSE),YES_Writing_ELA[#Headers],0)))="INS",'Writing Logic'!$B$7,IF(INDEX(_xlfn.VSTACK(YES_Writing_ELA[#Data],YES_Writing_FLA[#Data]),MATCH($A499,_xlfn.VSTACK(YES_Writing_ELA[Student Number],YES_Writing_FLA[Student Number]),0),MATCH(VLOOKUP(G$7,'Writing Logic'!$J$7:$K$11,2,FALSE)&amp;" - Per "&amp;VLOOKUP($C$4,'Writing Logic'!$G$8:$H$14,2,FALSE),YES_Writing_ELA[#Headers],0))=0,"",INDEX(_xlfn.VSTACK(YES_Writing_ELA[#Data],YES_Writing_FLA[#Data]),MATCH($A499,_xlfn.VSTACK(YES_Writing_ELA[Student Number],YES_Writing_FLA[Student Number]),0),MATCH(VLOOKUP(G$7,'Writing Logic'!$J$7:$K$11,2,FALSE)&amp;" - Per "&amp;VLOOKUP($C$4,'Writing Logic'!$G$8:$H$14,2,FALSE),YES_Writing_ELA[#Headers],0)))),"")</f>
        <v/>
      </c>
      <c r="H499" s="138" t="str">
        <f>IFERROR(IF(IF(INDEX(_xlfn.VSTACK(YES_Writing_ELA[#Data],YES_Writing_FLA[#Data]),MATCH($A499,_xlfn.VSTACK(YES_Writing_ELA[Student Number],YES_Writing_FLA[Student Number]),0),MATCH(VLOOKUP(H$7,'Writing Logic'!$J$7:$K$11,2,FALSE)&amp;" - Per "&amp;VLOOKUP($C$4,'Writing Logic'!$G$8:$H$14,2,FALSE),YES_Writing_ELA[#Headers],0))=0,"",INDEX(_xlfn.VSTACK(YES_Writing_ELA[#Data],YES_Writing_FLA[#Data]),MATCH($A499,_xlfn.VSTACK(YES_Writing_ELA[Student Number],YES_Writing_FLA[Student Number]),0),MATCH(VLOOKUP(H$7,'Writing Logic'!$J$7:$K$11,2,FALSE)&amp;" - Per "&amp;VLOOKUP($C$4,'Writing Logic'!$G$8:$H$14,2,FALSE),YES_Writing_ELA[#Headers],0)))="INS",'Writing Logic'!$B$7,IF(INDEX(_xlfn.VSTACK(YES_Writing_ELA[#Data],YES_Writing_FLA[#Data]),MATCH($A499,_xlfn.VSTACK(YES_Writing_ELA[Student Number],YES_Writing_FLA[Student Number]),0),MATCH(VLOOKUP(H$7,'Writing Logic'!$J$7:$K$11,2,FALSE)&amp;" - Per "&amp;VLOOKUP($C$4,'Writing Logic'!$G$8:$H$14,2,FALSE),YES_Writing_ELA[#Headers],0))=0,"",INDEX(_xlfn.VSTACK(YES_Writing_ELA[#Data],YES_Writing_FLA[#Data]),MATCH($A499,_xlfn.VSTACK(YES_Writing_ELA[Student Number],YES_Writing_FLA[Student Number]),0),MATCH(VLOOKUP(H$7,'Writing Logic'!$J$7:$K$11,2,FALSE)&amp;" - Per "&amp;VLOOKUP($C$4,'Writing Logic'!$G$8:$H$14,2,FALSE),YES_Writing_ELA[#Headers],0)))),"")</f>
        <v/>
      </c>
    </row>
    <row r="500" spans="1:8" x14ac:dyDescent="0.25">
      <c r="A500" s="137"/>
      <c r="B500" s="137" t="str">
        <f>IFERROR(INDEX(_xlfn.VSTACK(YES_Writing_ELA[#Data], YES_Writing_FLA[#Data]),MATCH($A500,_xlfn.VSTACK(YES_Writing_ELA[Student Number], YES_Writing_FLA[Student Number]),0),MATCH(B$7,YES_Writing_ELA[#Headers],0)),"")</f>
        <v/>
      </c>
      <c r="C500" s="137" t="str">
        <f>IFERROR(INDEX(_xlfn.VSTACK(YES_Writing_ELA[#Data], YES_Writing_FLA[#Data]),MATCH($A500,_xlfn.VSTACK(YES_Writing_ELA[Student Number], YES_Writing_FLA[Student Number]),0),MATCH(C$7,YES_Writing_ELA[#Headers],0)),"")</f>
        <v/>
      </c>
      <c r="D500" s="138" t="str">
        <f>IFERROR(IF(IF(INDEX(_xlfn.VSTACK(YES_Writing_ELA[#Data],YES_Writing_FLA[#Data]),MATCH($A500,_xlfn.VSTACK(YES_Writing_ELA[Student Number],YES_Writing_FLA[Student Number]),0),MATCH(VLOOKUP(D$7,'Writing Logic'!$J$7:$K$11,2,FALSE)&amp;" - Per "&amp;VLOOKUP($C$4,'Writing Logic'!$G$8:$H$14,2,FALSE),YES_Writing_ELA[#Headers],0))=0,"",INDEX(_xlfn.VSTACK(YES_Writing_ELA[#Data],YES_Writing_FLA[#Data]),MATCH($A500,_xlfn.VSTACK(YES_Writing_ELA[Student Number],YES_Writing_FLA[Student Number]),0),MATCH(VLOOKUP(D$7,'Writing Logic'!$J$7:$K$11,2,FALSE)&amp;" - Per "&amp;VLOOKUP($C$4,'Writing Logic'!$G$8:$H$14,2,FALSE),YES_Writing_ELA[#Headers],0)))="INS",'Writing Logic'!$B$7,IF(INDEX(_xlfn.VSTACK(YES_Writing_ELA[#Data],YES_Writing_FLA[#Data]),MATCH($A500,_xlfn.VSTACK(YES_Writing_ELA[Student Number],YES_Writing_FLA[Student Number]),0),MATCH(VLOOKUP(D$7,'Writing Logic'!$J$7:$K$11,2,FALSE)&amp;" - Per "&amp;VLOOKUP($C$4,'Writing Logic'!$G$8:$H$14,2,FALSE),YES_Writing_ELA[#Headers],0))=0,"",INDEX(_xlfn.VSTACK(YES_Writing_ELA[#Data],YES_Writing_FLA[#Data]),MATCH($A500,_xlfn.VSTACK(YES_Writing_ELA[Student Number],YES_Writing_FLA[Student Number]),0),MATCH(VLOOKUP(D$7,'Writing Logic'!$J$7:$K$11,2,FALSE)&amp;" - Per "&amp;VLOOKUP($C$4,'Writing Logic'!$G$8:$H$14,2,FALSE),YES_Writing_ELA[#Headers],0)))),"")</f>
        <v/>
      </c>
      <c r="E500" s="138" t="str">
        <f>IFERROR(IF(IF(INDEX(_xlfn.VSTACK(YES_Writing_ELA[#Data],YES_Writing_FLA[#Data]),MATCH($A500,_xlfn.VSTACK(YES_Writing_ELA[Student Number],YES_Writing_FLA[Student Number]),0),MATCH(VLOOKUP(E$7,'Writing Logic'!$J$7:$K$11,2,FALSE)&amp;" - Per "&amp;VLOOKUP($C$4,'Writing Logic'!$G$8:$H$14,2,FALSE),YES_Writing_ELA[#Headers],0))=0,"",INDEX(_xlfn.VSTACK(YES_Writing_ELA[#Data],YES_Writing_FLA[#Data]),MATCH($A500,_xlfn.VSTACK(YES_Writing_ELA[Student Number],YES_Writing_FLA[Student Number]),0),MATCH(VLOOKUP(E$7,'Writing Logic'!$J$7:$K$11,2,FALSE)&amp;" - Per "&amp;VLOOKUP($C$4,'Writing Logic'!$G$8:$H$14,2,FALSE),YES_Writing_ELA[#Headers],0)))="INS",'Writing Logic'!$B$7,IF(INDEX(_xlfn.VSTACK(YES_Writing_ELA[#Data],YES_Writing_FLA[#Data]),MATCH($A500,_xlfn.VSTACK(YES_Writing_ELA[Student Number],YES_Writing_FLA[Student Number]),0),MATCH(VLOOKUP(E$7,'Writing Logic'!$J$7:$K$11,2,FALSE)&amp;" - Per "&amp;VLOOKUP($C$4,'Writing Logic'!$G$8:$H$14,2,FALSE),YES_Writing_ELA[#Headers],0))=0,"",INDEX(_xlfn.VSTACK(YES_Writing_ELA[#Data],YES_Writing_FLA[#Data]),MATCH($A500,_xlfn.VSTACK(YES_Writing_ELA[Student Number],YES_Writing_FLA[Student Number]),0),MATCH(VLOOKUP(E$7,'Writing Logic'!$J$7:$K$11,2,FALSE)&amp;" - Per "&amp;VLOOKUP($C$4,'Writing Logic'!$G$8:$H$14,2,FALSE),YES_Writing_ELA[#Headers],0)))),"")</f>
        <v/>
      </c>
      <c r="F500" s="138" t="str">
        <f>IFERROR(IF(IF(INDEX(_xlfn.VSTACK(YES_Writing_ELA[#Data],YES_Writing_FLA[#Data]),MATCH($A500,_xlfn.VSTACK(YES_Writing_ELA[Student Number],YES_Writing_FLA[Student Number]),0),MATCH(VLOOKUP(F$7,'Writing Logic'!$J$7:$K$11,2,FALSE)&amp;" - Per "&amp;VLOOKUP($C$4,'Writing Logic'!$G$8:$H$14,2,FALSE),YES_Writing_ELA[#Headers],0))=0,"",INDEX(_xlfn.VSTACK(YES_Writing_ELA[#Data],YES_Writing_FLA[#Data]),MATCH($A500,_xlfn.VSTACK(YES_Writing_ELA[Student Number],YES_Writing_FLA[Student Number]),0),MATCH(VLOOKUP(F$7,'Writing Logic'!$J$7:$K$11,2,FALSE)&amp;" - Per "&amp;VLOOKUP($C$4,'Writing Logic'!$G$8:$H$14,2,FALSE),YES_Writing_ELA[#Headers],0)))="INS",'Writing Logic'!$B$7,IF(INDEX(_xlfn.VSTACK(YES_Writing_ELA[#Data],YES_Writing_FLA[#Data]),MATCH($A500,_xlfn.VSTACK(YES_Writing_ELA[Student Number],YES_Writing_FLA[Student Number]),0),MATCH(VLOOKUP(F$7,'Writing Logic'!$J$7:$K$11,2,FALSE)&amp;" - Per "&amp;VLOOKUP($C$4,'Writing Logic'!$G$8:$H$14,2,FALSE),YES_Writing_ELA[#Headers],0))=0,"",INDEX(_xlfn.VSTACK(YES_Writing_ELA[#Data],YES_Writing_FLA[#Data]),MATCH($A500,_xlfn.VSTACK(YES_Writing_ELA[Student Number],YES_Writing_FLA[Student Number]),0),MATCH(VLOOKUP(F$7,'Writing Logic'!$J$7:$K$11,2,FALSE)&amp;" - Per "&amp;VLOOKUP($C$4,'Writing Logic'!$G$8:$H$14,2,FALSE),YES_Writing_ELA[#Headers],0)))),"")</f>
        <v/>
      </c>
      <c r="G500" s="138" t="str">
        <f>IFERROR(IF(IF(INDEX(_xlfn.VSTACK(YES_Writing_ELA[#Data],YES_Writing_FLA[#Data]),MATCH($A500,_xlfn.VSTACK(YES_Writing_ELA[Student Number],YES_Writing_FLA[Student Number]),0),MATCH(VLOOKUP(G$7,'Writing Logic'!$J$7:$K$11,2,FALSE)&amp;" - Per "&amp;VLOOKUP($C$4,'Writing Logic'!$G$8:$H$14,2,FALSE),YES_Writing_ELA[#Headers],0))=0,"",INDEX(_xlfn.VSTACK(YES_Writing_ELA[#Data],YES_Writing_FLA[#Data]),MATCH($A500,_xlfn.VSTACK(YES_Writing_ELA[Student Number],YES_Writing_FLA[Student Number]),0),MATCH(VLOOKUP(G$7,'Writing Logic'!$J$7:$K$11,2,FALSE)&amp;" - Per "&amp;VLOOKUP($C$4,'Writing Logic'!$G$8:$H$14,2,FALSE),YES_Writing_ELA[#Headers],0)))="INS",'Writing Logic'!$B$7,IF(INDEX(_xlfn.VSTACK(YES_Writing_ELA[#Data],YES_Writing_FLA[#Data]),MATCH($A500,_xlfn.VSTACK(YES_Writing_ELA[Student Number],YES_Writing_FLA[Student Number]),0),MATCH(VLOOKUP(G$7,'Writing Logic'!$J$7:$K$11,2,FALSE)&amp;" - Per "&amp;VLOOKUP($C$4,'Writing Logic'!$G$8:$H$14,2,FALSE),YES_Writing_ELA[#Headers],0))=0,"",INDEX(_xlfn.VSTACK(YES_Writing_ELA[#Data],YES_Writing_FLA[#Data]),MATCH($A500,_xlfn.VSTACK(YES_Writing_ELA[Student Number],YES_Writing_FLA[Student Number]),0),MATCH(VLOOKUP(G$7,'Writing Logic'!$J$7:$K$11,2,FALSE)&amp;" - Per "&amp;VLOOKUP($C$4,'Writing Logic'!$G$8:$H$14,2,FALSE),YES_Writing_ELA[#Headers],0)))),"")</f>
        <v/>
      </c>
      <c r="H500" s="138" t="str">
        <f>IFERROR(IF(IF(INDEX(_xlfn.VSTACK(YES_Writing_ELA[#Data],YES_Writing_FLA[#Data]),MATCH($A500,_xlfn.VSTACK(YES_Writing_ELA[Student Number],YES_Writing_FLA[Student Number]),0),MATCH(VLOOKUP(H$7,'Writing Logic'!$J$7:$K$11,2,FALSE)&amp;" - Per "&amp;VLOOKUP($C$4,'Writing Logic'!$G$8:$H$14,2,FALSE),YES_Writing_ELA[#Headers],0))=0,"",INDEX(_xlfn.VSTACK(YES_Writing_ELA[#Data],YES_Writing_FLA[#Data]),MATCH($A500,_xlfn.VSTACK(YES_Writing_ELA[Student Number],YES_Writing_FLA[Student Number]),0),MATCH(VLOOKUP(H$7,'Writing Logic'!$J$7:$K$11,2,FALSE)&amp;" - Per "&amp;VLOOKUP($C$4,'Writing Logic'!$G$8:$H$14,2,FALSE),YES_Writing_ELA[#Headers],0)))="INS",'Writing Logic'!$B$7,IF(INDEX(_xlfn.VSTACK(YES_Writing_ELA[#Data],YES_Writing_FLA[#Data]),MATCH($A500,_xlfn.VSTACK(YES_Writing_ELA[Student Number],YES_Writing_FLA[Student Number]),0),MATCH(VLOOKUP(H$7,'Writing Logic'!$J$7:$K$11,2,FALSE)&amp;" - Per "&amp;VLOOKUP($C$4,'Writing Logic'!$G$8:$H$14,2,FALSE),YES_Writing_ELA[#Headers],0))=0,"",INDEX(_xlfn.VSTACK(YES_Writing_ELA[#Data],YES_Writing_FLA[#Data]),MATCH($A500,_xlfn.VSTACK(YES_Writing_ELA[Student Number],YES_Writing_FLA[Student Number]),0),MATCH(VLOOKUP(H$7,'Writing Logic'!$J$7:$K$11,2,FALSE)&amp;" - Per "&amp;VLOOKUP($C$4,'Writing Logic'!$G$8:$H$14,2,FALSE),YES_Writing_ELA[#Headers],0)))),"")</f>
        <v/>
      </c>
    </row>
    <row r="501" spans="1:8" x14ac:dyDescent="0.25">
      <c r="A501" s="137"/>
      <c r="B501" s="137" t="str">
        <f>IFERROR(INDEX(_xlfn.VSTACK(YES_Writing_ELA[#Data], YES_Writing_FLA[#Data]),MATCH($A501,_xlfn.VSTACK(YES_Writing_ELA[Student Number], YES_Writing_FLA[Student Number]),0),MATCH(B$7,YES_Writing_ELA[#Headers],0)),"")</f>
        <v/>
      </c>
      <c r="C501" s="137" t="str">
        <f>IFERROR(INDEX(_xlfn.VSTACK(YES_Writing_ELA[#Data], YES_Writing_FLA[#Data]),MATCH($A501,_xlfn.VSTACK(YES_Writing_ELA[Student Number], YES_Writing_FLA[Student Number]),0),MATCH(C$7,YES_Writing_ELA[#Headers],0)),"")</f>
        <v/>
      </c>
      <c r="D501" s="138" t="str">
        <f>IFERROR(IF(IF(INDEX(_xlfn.VSTACK(YES_Writing_ELA[#Data],YES_Writing_FLA[#Data]),MATCH($A501,_xlfn.VSTACK(YES_Writing_ELA[Student Number],YES_Writing_FLA[Student Number]),0),MATCH(VLOOKUP(D$7,'Writing Logic'!$J$7:$K$11,2,FALSE)&amp;" - Per "&amp;VLOOKUP($C$4,'Writing Logic'!$G$8:$H$14,2,FALSE),YES_Writing_ELA[#Headers],0))=0,"",INDEX(_xlfn.VSTACK(YES_Writing_ELA[#Data],YES_Writing_FLA[#Data]),MATCH($A501,_xlfn.VSTACK(YES_Writing_ELA[Student Number],YES_Writing_FLA[Student Number]),0),MATCH(VLOOKUP(D$7,'Writing Logic'!$J$7:$K$11,2,FALSE)&amp;" - Per "&amp;VLOOKUP($C$4,'Writing Logic'!$G$8:$H$14,2,FALSE),YES_Writing_ELA[#Headers],0)))="INS",'Writing Logic'!$B$7,IF(INDEX(_xlfn.VSTACK(YES_Writing_ELA[#Data],YES_Writing_FLA[#Data]),MATCH($A501,_xlfn.VSTACK(YES_Writing_ELA[Student Number],YES_Writing_FLA[Student Number]),0),MATCH(VLOOKUP(D$7,'Writing Logic'!$J$7:$K$11,2,FALSE)&amp;" - Per "&amp;VLOOKUP($C$4,'Writing Logic'!$G$8:$H$14,2,FALSE),YES_Writing_ELA[#Headers],0))=0,"",INDEX(_xlfn.VSTACK(YES_Writing_ELA[#Data],YES_Writing_FLA[#Data]),MATCH($A501,_xlfn.VSTACK(YES_Writing_ELA[Student Number],YES_Writing_FLA[Student Number]),0),MATCH(VLOOKUP(D$7,'Writing Logic'!$J$7:$K$11,2,FALSE)&amp;" - Per "&amp;VLOOKUP($C$4,'Writing Logic'!$G$8:$H$14,2,FALSE),YES_Writing_ELA[#Headers],0)))),"")</f>
        <v/>
      </c>
      <c r="E501" s="138" t="str">
        <f>IFERROR(IF(IF(INDEX(_xlfn.VSTACK(YES_Writing_ELA[#Data],YES_Writing_FLA[#Data]),MATCH($A501,_xlfn.VSTACK(YES_Writing_ELA[Student Number],YES_Writing_FLA[Student Number]),0),MATCH(VLOOKUP(E$7,'Writing Logic'!$J$7:$K$11,2,FALSE)&amp;" - Per "&amp;VLOOKUP($C$4,'Writing Logic'!$G$8:$H$14,2,FALSE),YES_Writing_ELA[#Headers],0))=0,"",INDEX(_xlfn.VSTACK(YES_Writing_ELA[#Data],YES_Writing_FLA[#Data]),MATCH($A501,_xlfn.VSTACK(YES_Writing_ELA[Student Number],YES_Writing_FLA[Student Number]),0),MATCH(VLOOKUP(E$7,'Writing Logic'!$J$7:$K$11,2,FALSE)&amp;" - Per "&amp;VLOOKUP($C$4,'Writing Logic'!$G$8:$H$14,2,FALSE),YES_Writing_ELA[#Headers],0)))="INS",'Writing Logic'!$B$7,IF(INDEX(_xlfn.VSTACK(YES_Writing_ELA[#Data],YES_Writing_FLA[#Data]),MATCH($A501,_xlfn.VSTACK(YES_Writing_ELA[Student Number],YES_Writing_FLA[Student Number]),0),MATCH(VLOOKUP(E$7,'Writing Logic'!$J$7:$K$11,2,FALSE)&amp;" - Per "&amp;VLOOKUP($C$4,'Writing Logic'!$G$8:$H$14,2,FALSE),YES_Writing_ELA[#Headers],0))=0,"",INDEX(_xlfn.VSTACK(YES_Writing_ELA[#Data],YES_Writing_FLA[#Data]),MATCH($A501,_xlfn.VSTACK(YES_Writing_ELA[Student Number],YES_Writing_FLA[Student Number]),0),MATCH(VLOOKUP(E$7,'Writing Logic'!$J$7:$K$11,2,FALSE)&amp;" - Per "&amp;VLOOKUP($C$4,'Writing Logic'!$G$8:$H$14,2,FALSE),YES_Writing_ELA[#Headers],0)))),"")</f>
        <v/>
      </c>
      <c r="F501" s="138" t="str">
        <f>IFERROR(IF(IF(INDEX(_xlfn.VSTACK(YES_Writing_ELA[#Data],YES_Writing_FLA[#Data]),MATCH($A501,_xlfn.VSTACK(YES_Writing_ELA[Student Number],YES_Writing_FLA[Student Number]),0),MATCH(VLOOKUP(F$7,'Writing Logic'!$J$7:$K$11,2,FALSE)&amp;" - Per "&amp;VLOOKUP($C$4,'Writing Logic'!$G$8:$H$14,2,FALSE),YES_Writing_ELA[#Headers],0))=0,"",INDEX(_xlfn.VSTACK(YES_Writing_ELA[#Data],YES_Writing_FLA[#Data]),MATCH($A501,_xlfn.VSTACK(YES_Writing_ELA[Student Number],YES_Writing_FLA[Student Number]),0),MATCH(VLOOKUP(F$7,'Writing Logic'!$J$7:$K$11,2,FALSE)&amp;" - Per "&amp;VLOOKUP($C$4,'Writing Logic'!$G$8:$H$14,2,FALSE),YES_Writing_ELA[#Headers],0)))="INS",'Writing Logic'!$B$7,IF(INDEX(_xlfn.VSTACK(YES_Writing_ELA[#Data],YES_Writing_FLA[#Data]),MATCH($A501,_xlfn.VSTACK(YES_Writing_ELA[Student Number],YES_Writing_FLA[Student Number]),0),MATCH(VLOOKUP(F$7,'Writing Logic'!$J$7:$K$11,2,FALSE)&amp;" - Per "&amp;VLOOKUP($C$4,'Writing Logic'!$G$8:$H$14,2,FALSE),YES_Writing_ELA[#Headers],0))=0,"",INDEX(_xlfn.VSTACK(YES_Writing_ELA[#Data],YES_Writing_FLA[#Data]),MATCH($A501,_xlfn.VSTACK(YES_Writing_ELA[Student Number],YES_Writing_FLA[Student Number]),0),MATCH(VLOOKUP(F$7,'Writing Logic'!$J$7:$K$11,2,FALSE)&amp;" - Per "&amp;VLOOKUP($C$4,'Writing Logic'!$G$8:$H$14,2,FALSE),YES_Writing_ELA[#Headers],0)))),"")</f>
        <v/>
      </c>
      <c r="G501" s="138" t="str">
        <f>IFERROR(IF(IF(INDEX(_xlfn.VSTACK(YES_Writing_ELA[#Data],YES_Writing_FLA[#Data]),MATCH($A501,_xlfn.VSTACK(YES_Writing_ELA[Student Number],YES_Writing_FLA[Student Number]),0),MATCH(VLOOKUP(G$7,'Writing Logic'!$J$7:$K$11,2,FALSE)&amp;" - Per "&amp;VLOOKUP($C$4,'Writing Logic'!$G$8:$H$14,2,FALSE),YES_Writing_ELA[#Headers],0))=0,"",INDEX(_xlfn.VSTACK(YES_Writing_ELA[#Data],YES_Writing_FLA[#Data]),MATCH($A501,_xlfn.VSTACK(YES_Writing_ELA[Student Number],YES_Writing_FLA[Student Number]),0),MATCH(VLOOKUP(G$7,'Writing Logic'!$J$7:$K$11,2,FALSE)&amp;" - Per "&amp;VLOOKUP($C$4,'Writing Logic'!$G$8:$H$14,2,FALSE),YES_Writing_ELA[#Headers],0)))="INS",'Writing Logic'!$B$7,IF(INDEX(_xlfn.VSTACK(YES_Writing_ELA[#Data],YES_Writing_FLA[#Data]),MATCH($A501,_xlfn.VSTACK(YES_Writing_ELA[Student Number],YES_Writing_FLA[Student Number]),0),MATCH(VLOOKUP(G$7,'Writing Logic'!$J$7:$K$11,2,FALSE)&amp;" - Per "&amp;VLOOKUP($C$4,'Writing Logic'!$G$8:$H$14,2,FALSE),YES_Writing_ELA[#Headers],0))=0,"",INDEX(_xlfn.VSTACK(YES_Writing_ELA[#Data],YES_Writing_FLA[#Data]),MATCH($A501,_xlfn.VSTACK(YES_Writing_ELA[Student Number],YES_Writing_FLA[Student Number]),0),MATCH(VLOOKUP(G$7,'Writing Logic'!$J$7:$K$11,2,FALSE)&amp;" - Per "&amp;VLOOKUP($C$4,'Writing Logic'!$G$8:$H$14,2,FALSE),YES_Writing_ELA[#Headers],0)))),"")</f>
        <v/>
      </c>
      <c r="H501" s="138" t="str">
        <f>IFERROR(IF(IF(INDEX(_xlfn.VSTACK(YES_Writing_ELA[#Data],YES_Writing_FLA[#Data]),MATCH($A501,_xlfn.VSTACK(YES_Writing_ELA[Student Number],YES_Writing_FLA[Student Number]),0),MATCH(VLOOKUP(H$7,'Writing Logic'!$J$7:$K$11,2,FALSE)&amp;" - Per "&amp;VLOOKUP($C$4,'Writing Logic'!$G$8:$H$14,2,FALSE),YES_Writing_ELA[#Headers],0))=0,"",INDEX(_xlfn.VSTACK(YES_Writing_ELA[#Data],YES_Writing_FLA[#Data]),MATCH($A501,_xlfn.VSTACK(YES_Writing_ELA[Student Number],YES_Writing_FLA[Student Number]),0),MATCH(VLOOKUP(H$7,'Writing Logic'!$J$7:$K$11,2,FALSE)&amp;" - Per "&amp;VLOOKUP($C$4,'Writing Logic'!$G$8:$H$14,2,FALSE),YES_Writing_ELA[#Headers],0)))="INS",'Writing Logic'!$B$7,IF(INDEX(_xlfn.VSTACK(YES_Writing_ELA[#Data],YES_Writing_FLA[#Data]),MATCH($A501,_xlfn.VSTACK(YES_Writing_ELA[Student Number],YES_Writing_FLA[Student Number]),0),MATCH(VLOOKUP(H$7,'Writing Logic'!$J$7:$K$11,2,FALSE)&amp;" - Per "&amp;VLOOKUP($C$4,'Writing Logic'!$G$8:$H$14,2,FALSE),YES_Writing_ELA[#Headers],0))=0,"",INDEX(_xlfn.VSTACK(YES_Writing_ELA[#Data],YES_Writing_FLA[#Data]),MATCH($A501,_xlfn.VSTACK(YES_Writing_ELA[Student Number],YES_Writing_FLA[Student Number]),0),MATCH(VLOOKUP(H$7,'Writing Logic'!$J$7:$K$11,2,FALSE)&amp;" - Per "&amp;VLOOKUP($C$4,'Writing Logic'!$G$8:$H$14,2,FALSE),YES_Writing_ELA[#Headers],0)))),"")</f>
        <v/>
      </c>
    </row>
    <row r="502" spans="1:8" x14ac:dyDescent="0.25">
      <c r="A502" s="137"/>
      <c r="B502" s="137" t="str">
        <f>IFERROR(INDEX(_xlfn.VSTACK(YES_Writing_ELA[#Data], YES_Writing_FLA[#Data]),MATCH($A502,_xlfn.VSTACK(YES_Writing_ELA[Student Number], YES_Writing_FLA[Student Number]),0),MATCH(B$7,YES_Writing_ELA[#Headers],0)),"")</f>
        <v/>
      </c>
      <c r="C502" s="137" t="str">
        <f>IFERROR(INDEX(_xlfn.VSTACK(YES_Writing_ELA[#Data], YES_Writing_FLA[#Data]),MATCH($A502,_xlfn.VSTACK(YES_Writing_ELA[Student Number], YES_Writing_FLA[Student Number]),0),MATCH(C$7,YES_Writing_ELA[#Headers],0)),"")</f>
        <v/>
      </c>
      <c r="D502" s="138" t="str">
        <f>IFERROR(IF(IF(INDEX(_xlfn.VSTACK(YES_Writing_ELA[#Data],YES_Writing_FLA[#Data]),MATCH($A502,_xlfn.VSTACK(YES_Writing_ELA[Student Number],YES_Writing_FLA[Student Number]),0),MATCH(VLOOKUP(D$7,'Writing Logic'!$J$7:$K$11,2,FALSE)&amp;" - Per "&amp;VLOOKUP($C$4,'Writing Logic'!$G$8:$H$14,2,FALSE),YES_Writing_ELA[#Headers],0))=0,"",INDEX(_xlfn.VSTACK(YES_Writing_ELA[#Data],YES_Writing_FLA[#Data]),MATCH($A502,_xlfn.VSTACK(YES_Writing_ELA[Student Number],YES_Writing_FLA[Student Number]),0),MATCH(VLOOKUP(D$7,'Writing Logic'!$J$7:$K$11,2,FALSE)&amp;" - Per "&amp;VLOOKUP($C$4,'Writing Logic'!$G$8:$H$14,2,FALSE),YES_Writing_ELA[#Headers],0)))="INS",'Writing Logic'!$B$7,IF(INDEX(_xlfn.VSTACK(YES_Writing_ELA[#Data],YES_Writing_FLA[#Data]),MATCH($A502,_xlfn.VSTACK(YES_Writing_ELA[Student Number],YES_Writing_FLA[Student Number]),0),MATCH(VLOOKUP(D$7,'Writing Logic'!$J$7:$K$11,2,FALSE)&amp;" - Per "&amp;VLOOKUP($C$4,'Writing Logic'!$G$8:$H$14,2,FALSE),YES_Writing_ELA[#Headers],0))=0,"",INDEX(_xlfn.VSTACK(YES_Writing_ELA[#Data],YES_Writing_FLA[#Data]),MATCH($A502,_xlfn.VSTACK(YES_Writing_ELA[Student Number],YES_Writing_FLA[Student Number]),0),MATCH(VLOOKUP(D$7,'Writing Logic'!$J$7:$K$11,2,FALSE)&amp;" - Per "&amp;VLOOKUP($C$4,'Writing Logic'!$G$8:$H$14,2,FALSE),YES_Writing_ELA[#Headers],0)))),"")</f>
        <v/>
      </c>
      <c r="E502" s="138" t="str">
        <f>IFERROR(IF(IF(INDEX(_xlfn.VSTACK(YES_Writing_ELA[#Data],YES_Writing_FLA[#Data]),MATCH($A502,_xlfn.VSTACK(YES_Writing_ELA[Student Number],YES_Writing_FLA[Student Number]),0),MATCH(VLOOKUP(E$7,'Writing Logic'!$J$7:$K$11,2,FALSE)&amp;" - Per "&amp;VLOOKUP($C$4,'Writing Logic'!$G$8:$H$14,2,FALSE),YES_Writing_ELA[#Headers],0))=0,"",INDEX(_xlfn.VSTACK(YES_Writing_ELA[#Data],YES_Writing_FLA[#Data]),MATCH($A502,_xlfn.VSTACK(YES_Writing_ELA[Student Number],YES_Writing_FLA[Student Number]),0),MATCH(VLOOKUP(E$7,'Writing Logic'!$J$7:$K$11,2,FALSE)&amp;" - Per "&amp;VLOOKUP($C$4,'Writing Logic'!$G$8:$H$14,2,FALSE),YES_Writing_ELA[#Headers],0)))="INS",'Writing Logic'!$B$7,IF(INDEX(_xlfn.VSTACK(YES_Writing_ELA[#Data],YES_Writing_FLA[#Data]),MATCH($A502,_xlfn.VSTACK(YES_Writing_ELA[Student Number],YES_Writing_FLA[Student Number]),0),MATCH(VLOOKUP(E$7,'Writing Logic'!$J$7:$K$11,2,FALSE)&amp;" - Per "&amp;VLOOKUP($C$4,'Writing Logic'!$G$8:$H$14,2,FALSE),YES_Writing_ELA[#Headers],0))=0,"",INDEX(_xlfn.VSTACK(YES_Writing_ELA[#Data],YES_Writing_FLA[#Data]),MATCH($A502,_xlfn.VSTACK(YES_Writing_ELA[Student Number],YES_Writing_FLA[Student Number]),0),MATCH(VLOOKUP(E$7,'Writing Logic'!$J$7:$K$11,2,FALSE)&amp;" - Per "&amp;VLOOKUP($C$4,'Writing Logic'!$G$8:$H$14,2,FALSE),YES_Writing_ELA[#Headers],0)))),"")</f>
        <v/>
      </c>
      <c r="F502" s="138" t="str">
        <f>IFERROR(IF(IF(INDEX(_xlfn.VSTACK(YES_Writing_ELA[#Data],YES_Writing_FLA[#Data]),MATCH($A502,_xlfn.VSTACK(YES_Writing_ELA[Student Number],YES_Writing_FLA[Student Number]),0),MATCH(VLOOKUP(F$7,'Writing Logic'!$J$7:$K$11,2,FALSE)&amp;" - Per "&amp;VLOOKUP($C$4,'Writing Logic'!$G$8:$H$14,2,FALSE),YES_Writing_ELA[#Headers],0))=0,"",INDEX(_xlfn.VSTACK(YES_Writing_ELA[#Data],YES_Writing_FLA[#Data]),MATCH($A502,_xlfn.VSTACK(YES_Writing_ELA[Student Number],YES_Writing_FLA[Student Number]),0),MATCH(VLOOKUP(F$7,'Writing Logic'!$J$7:$K$11,2,FALSE)&amp;" - Per "&amp;VLOOKUP($C$4,'Writing Logic'!$G$8:$H$14,2,FALSE),YES_Writing_ELA[#Headers],0)))="INS",'Writing Logic'!$B$7,IF(INDEX(_xlfn.VSTACK(YES_Writing_ELA[#Data],YES_Writing_FLA[#Data]),MATCH($A502,_xlfn.VSTACK(YES_Writing_ELA[Student Number],YES_Writing_FLA[Student Number]),0),MATCH(VLOOKUP(F$7,'Writing Logic'!$J$7:$K$11,2,FALSE)&amp;" - Per "&amp;VLOOKUP($C$4,'Writing Logic'!$G$8:$H$14,2,FALSE),YES_Writing_ELA[#Headers],0))=0,"",INDEX(_xlfn.VSTACK(YES_Writing_ELA[#Data],YES_Writing_FLA[#Data]),MATCH($A502,_xlfn.VSTACK(YES_Writing_ELA[Student Number],YES_Writing_FLA[Student Number]),0),MATCH(VLOOKUP(F$7,'Writing Logic'!$J$7:$K$11,2,FALSE)&amp;" - Per "&amp;VLOOKUP($C$4,'Writing Logic'!$G$8:$H$14,2,FALSE),YES_Writing_ELA[#Headers],0)))),"")</f>
        <v/>
      </c>
      <c r="G502" s="138" t="str">
        <f>IFERROR(IF(IF(INDEX(_xlfn.VSTACK(YES_Writing_ELA[#Data],YES_Writing_FLA[#Data]),MATCH($A502,_xlfn.VSTACK(YES_Writing_ELA[Student Number],YES_Writing_FLA[Student Number]),0),MATCH(VLOOKUP(G$7,'Writing Logic'!$J$7:$K$11,2,FALSE)&amp;" - Per "&amp;VLOOKUP($C$4,'Writing Logic'!$G$8:$H$14,2,FALSE),YES_Writing_ELA[#Headers],0))=0,"",INDEX(_xlfn.VSTACK(YES_Writing_ELA[#Data],YES_Writing_FLA[#Data]),MATCH($A502,_xlfn.VSTACK(YES_Writing_ELA[Student Number],YES_Writing_FLA[Student Number]),0),MATCH(VLOOKUP(G$7,'Writing Logic'!$J$7:$K$11,2,FALSE)&amp;" - Per "&amp;VLOOKUP($C$4,'Writing Logic'!$G$8:$H$14,2,FALSE),YES_Writing_ELA[#Headers],0)))="INS",'Writing Logic'!$B$7,IF(INDEX(_xlfn.VSTACK(YES_Writing_ELA[#Data],YES_Writing_FLA[#Data]),MATCH($A502,_xlfn.VSTACK(YES_Writing_ELA[Student Number],YES_Writing_FLA[Student Number]),0),MATCH(VLOOKUP(G$7,'Writing Logic'!$J$7:$K$11,2,FALSE)&amp;" - Per "&amp;VLOOKUP($C$4,'Writing Logic'!$G$8:$H$14,2,FALSE),YES_Writing_ELA[#Headers],0))=0,"",INDEX(_xlfn.VSTACK(YES_Writing_ELA[#Data],YES_Writing_FLA[#Data]),MATCH($A502,_xlfn.VSTACK(YES_Writing_ELA[Student Number],YES_Writing_FLA[Student Number]),0),MATCH(VLOOKUP(G$7,'Writing Logic'!$J$7:$K$11,2,FALSE)&amp;" - Per "&amp;VLOOKUP($C$4,'Writing Logic'!$G$8:$H$14,2,FALSE),YES_Writing_ELA[#Headers],0)))),"")</f>
        <v/>
      </c>
      <c r="H502" s="138" t="str">
        <f>IFERROR(IF(IF(INDEX(_xlfn.VSTACK(YES_Writing_ELA[#Data],YES_Writing_FLA[#Data]),MATCH($A502,_xlfn.VSTACK(YES_Writing_ELA[Student Number],YES_Writing_FLA[Student Number]),0),MATCH(VLOOKUP(H$7,'Writing Logic'!$J$7:$K$11,2,FALSE)&amp;" - Per "&amp;VLOOKUP($C$4,'Writing Logic'!$G$8:$H$14,2,FALSE),YES_Writing_ELA[#Headers],0))=0,"",INDEX(_xlfn.VSTACK(YES_Writing_ELA[#Data],YES_Writing_FLA[#Data]),MATCH($A502,_xlfn.VSTACK(YES_Writing_ELA[Student Number],YES_Writing_FLA[Student Number]),0),MATCH(VLOOKUP(H$7,'Writing Logic'!$J$7:$K$11,2,FALSE)&amp;" - Per "&amp;VLOOKUP($C$4,'Writing Logic'!$G$8:$H$14,2,FALSE),YES_Writing_ELA[#Headers],0)))="INS",'Writing Logic'!$B$7,IF(INDEX(_xlfn.VSTACK(YES_Writing_ELA[#Data],YES_Writing_FLA[#Data]),MATCH($A502,_xlfn.VSTACK(YES_Writing_ELA[Student Number],YES_Writing_FLA[Student Number]),0),MATCH(VLOOKUP(H$7,'Writing Logic'!$J$7:$K$11,2,FALSE)&amp;" - Per "&amp;VLOOKUP($C$4,'Writing Logic'!$G$8:$H$14,2,FALSE),YES_Writing_ELA[#Headers],0))=0,"",INDEX(_xlfn.VSTACK(YES_Writing_ELA[#Data],YES_Writing_FLA[#Data]),MATCH($A502,_xlfn.VSTACK(YES_Writing_ELA[Student Number],YES_Writing_FLA[Student Number]),0),MATCH(VLOOKUP(H$7,'Writing Logic'!$J$7:$K$11,2,FALSE)&amp;" - Per "&amp;VLOOKUP($C$4,'Writing Logic'!$G$8:$H$14,2,FALSE),YES_Writing_ELA[#Headers],0)))),"")</f>
        <v/>
      </c>
    </row>
    <row r="503" spans="1:8" x14ac:dyDescent="0.25">
      <c r="A503" s="137"/>
      <c r="B503" s="137" t="str">
        <f>IFERROR(INDEX(_xlfn.VSTACK(YES_Writing_ELA[#Data], YES_Writing_FLA[#Data]),MATCH($A503,_xlfn.VSTACK(YES_Writing_ELA[Student Number], YES_Writing_FLA[Student Number]),0),MATCH(B$7,YES_Writing_ELA[#Headers],0)),"")</f>
        <v/>
      </c>
      <c r="C503" s="137" t="str">
        <f>IFERROR(INDEX(_xlfn.VSTACK(YES_Writing_ELA[#Data], YES_Writing_FLA[#Data]),MATCH($A503,_xlfn.VSTACK(YES_Writing_ELA[Student Number], YES_Writing_FLA[Student Number]),0),MATCH(C$7,YES_Writing_ELA[#Headers],0)),"")</f>
        <v/>
      </c>
      <c r="D503" s="138" t="str">
        <f>IFERROR(IF(IF(INDEX(_xlfn.VSTACK(YES_Writing_ELA[#Data],YES_Writing_FLA[#Data]),MATCH($A503,_xlfn.VSTACK(YES_Writing_ELA[Student Number],YES_Writing_FLA[Student Number]),0),MATCH(VLOOKUP(D$7,'Writing Logic'!$J$7:$K$11,2,FALSE)&amp;" - Per "&amp;VLOOKUP($C$4,'Writing Logic'!$G$8:$H$14,2,FALSE),YES_Writing_ELA[#Headers],0))=0,"",INDEX(_xlfn.VSTACK(YES_Writing_ELA[#Data],YES_Writing_FLA[#Data]),MATCH($A503,_xlfn.VSTACK(YES_Writing_ELA[Student Number],YES_Writing_FLA[Student Number]),0),MATCH(VLOOKUP(D$7,'Writing Logic'!$J$7:$K$11,2,FALSE)&amp;" - Per "&amp;VLOOKUP($C$4,'Writing Logic'!$G$8:$H$14,2,FALSE),YES_Writing_ELA[#Headers],0)))="INS",'Writing Logic'!$B$7,IF(INDEX(_xlfn.VSTACK(YES_Writing_ELA[#Data],YES_Writing_FLA[#Data]),MATCH($A503,_xlfn.VSTACK(YES_Writing_ELA[Student Number],YES_Writing_FLA[Student Number]),0),MATCH(VLOOKUP(D$7,'Writing Logic'!$J$7:$K$11,2,FALSE)&amp;" - Per "&amp;VLOOKUP($C$4,'Writing Logic'!$G$8:$H$14,2,FALSE),YES_Writing_ELA[#Headers],0))=0,"",INDEX(_xlfn.VSTACK(YES_Writing_ELA[#Data],YES_Writing_FLA[#Data]),MATCH($A503,_xlfn.VSTACK(YES_Writing_ELA[Student Number],YES_Writing_FLA[Student Number]),0),MATCH(VLOOKUP(D$7,'Writing Logic'!$J$7:$K$11,2,FALSE)&amp;" - Per "&amp;VLOOKUP($C$4,'Writing Logic'!$G$8:$H$14,2,FALSE),YES_Writing_ELA[#Headers],0)))),"")</f>
        <v/>
      </c>
      <c r="E503" s="138" t="str">
        <f>IFERROR(IF(IF(INDEX(_xlfn.VSTACK(YES_Writing_ELA[#Data],YES_Writing_FLA[#Data]),MATCH($A503,_xlfn.VSTACK(YES_Writing_ELA[Student Number],YES_Writing_FLA[Student Number]),0),MATCH(VLOOKUP(E$7,'Writing Logic'!$J$7:$K$11,2,FALSE)&amp;" - Per "&amp;VLOOKUP($C$4,'Writing Logic'!$G$8:$H$14,2,FALSE),YES_Writing_ELA[#Headers],0))=0,"",INDEX(_xlfn.VSTACK(YES_Writing_ELA[#Data],YES_Writing_FLA[#Data]),MATCH($A503,_xlfn.VSTACK(YES_Writing_ELA[Student Number],YES_Writing_FLA[Student Number]),0),MATCH(VLOOKUP(E$7,'Writing Logic'!$J$7:$K$11,2,FALSE)&amp;" - Per "&amp;VLOOKUP($C$4,'Writing Logic'!$G$8:$H$14,2,FALSE),YES_Writing_ELA[#Headers],0)))="INS",'Writing Logic'!$B$7,IF(INDEX(_xlfn.VSTACK(YES_Writing_ELA[#Data],YES_Writing_FLA[#Data]),MATCH($A503,_xlfn.VSTACK(YES_Writing_ELA[Student Number],YES_Writing_FLA[Student Number]),0),MATCH(VLOOKUP(E$7,'Writing Logic'!$J$7:$K$11,2,FALSE)&amp;" - Per "&amp;VLOOKUP($C$4,'Writing Logic'!$G$8:$H$14,2,FALSE),YES_Writing_ELA[#Headers],0))=0,"",INDEX(_xlfn.VSTACK(YES_Writing_ELA[#Data],YES_Writing_FLA[#Data]),MATCH($A503,_xlfn.VSTACK(YES_Writing_ELA[Student Number],YES_Writing_FLA[Student Number]),0),MATCH(VLOOKUP(E$7,'Writing Logic'!$J$7:$K$11,2,FALSE)&amp;" - Per "&amp;VLOOKUP($C$4,'Writing Logic'!$G$8:$H$14,2,FALSE),YES_Writing_ELA[#Headers],0)))),"")</f>
        <v/>
      </c>
      <c r="F503" s="138" t="str">
        <f>IFERROR(IF(IF(INDEX(_xlfn.VSTACK(YES_Writing_ELA[#Data],YES_Writing_FLA[#Data]),MATCH($A503,_xlfn.VSTACK(YES_Writing_ELA[Student Number],YES_Writing_FLA[Student Number]),0),MATCH(VLOOKUP(F$7,'Writing Logic'!$J$7:$K$11,2,FALSE)&amp;" - Per "&amp;VLOOKUP($C$4,'Writing Logic'!$G$8:$H$14,2,FALSE),YES_Writing_ELA[#Headers],0))=0,"",INDEX(_xlfn.VSTACK(YES_Writing_ELA[#Data],YES_Writing_FLA[#Data]),MATCH($A503,_xlfn.VSTACK(YES_Writing_ELA[Student Number],YES_Writing_FLA[Student Number]),0),MATCH(VLOOKUP(F$7,'Writing Logic'!$J$7:$K$11,2,FALSE)&amp;" - Per "&amp;VLOOKUP($C$4,'Writing Logic'!$G$8:$H$14,2,FALSE),YES_Writing_ELA[#Headers],0)))="INS",'Writing Logic'!$B$7,IF(INDEX(_xlfn.VSTACK(YES_Writing_ELA[#Data],YES_Writing_FLA[#Data]),MATCH($A503,_xlfn.VSTACK(YES_Writing_ELA[Student Number],YES_Writing_FLA[Student Number]),0),MATCH(VLOOKUP(F$7,'Writing Logic'!$J$7:$K$11,2,FALSE)&amp;" - Per "&amp;VLOOKUP($C$4,'Writing Logic'!$G$8:$H$14,2,FALSE),YES_Writing_ELA[#Headers],0))=0,"",INDEX(_xlfn.VSTACK(YES_Writing_ELA[#Data],YES_Writing_FLA[#Data]),MATCH($A503,_xlfn.VSTACK(YES_Writing_ELA[Student Number],YES_Writing_FLA[Student Number]),0),MATCH(VLOOKUP(F$7,'Writing Logic'!$J$7:$K$11,2,FALSE)&amp;" - Per "&amp;VLOOKUP($C$4,'Writing Logic'!$G$8:$H$14,2,FALSE),YES_Writing_ELA[#Headers],0)))),"")</f>
        <v/>
      </c>
      <c r="G503" s="138" t="str">
        <f>IFERROR(IF(IF(INDEX(_xlfn.VSTACK(YES_Writing_ELA[#Data],YES_Writing_FLA[#Data]),MATCH($A503,_xlfn.VSTACK(YES_Writing_ELA[Student Number],YES_Writing_FLA[Student Number]),0),MATCH(VLOOKUP(G$7,'Writing Logic'!$J$7:$K$11,2,FALSE)&amp;" - Per "&amp;VLOOKUP($C$4,'Writing Logic'!$G$8:$H$14,2,FALSE),YES_Writing_ELA[#Headers],0))=0,"",INDEX(_xlfn.VSTACK(YES_Writing_ELA[#Data],YES_Writing_FLA[#Data]),MATCH($A503,_xlfn.VSTACK(YES_Writing_ELA[Student Number],YES_Writing_FLA[Student Number]),0),MATCH(VLOOKUP(G$7,'Writing Logic'!$J$7:$K$11,2,FALSE)&amp;" - Per "&amp;VLOOKUP($C$4,'Writing Logic'!$G$8:$H$14,2,FALSE),YES_Writing_ELA[#Headers],0)))="INS",'Writing Logic'!$B$7,IF(INDEX(_xlfn.VSTACK(YES_Writing_ELA[#Data],YES_Writing_FLA[#Data]),MATCH($A503,_xlfn.VSTACK(YES_Writing_ELA[Student Number],YES_Writing_FLA[Student Number]),0),MATCH(VLOOKUP(G$7,'Writing Logic'!$J$7:$K$11,2,FALSE)&amp;" - Per "&amp;VLOOKUP($C$4,'Writing Logic'!$G$8:$H$14,2,FALSE),YES_Writing_ELA[#Headers],0))=0,"",INDEX(_xlfn.VSTACK(YES_Writing_ELA[#Data],YES_Writing_FLA[#Data]),MATCH($A503,_xlfn.VSTACK(YES_Writing_ELA[Student Number],YES_Writing_FLA[Student Number]),0),MATCH(VLOOKUP(G$7,'Writing Logic'!$J$7:$K$11,2,FALSE)&amp;" - Per "&amp;VLOOKUP($C$4,'Writing Logic'!$G$8:$H$14,2,FALSE),YES_Writing_ELA[#Headers],0)))),"")</f>
        <v/>
      </c>
      <c r="H503" s="138" t="str">
        <f>IFERROR(IF(IF(INDEX(_xlfn.VSTACK(YES_Writing_ELA[#Data],YES_Writing_FLA[#Data]),MATCH($A503,_xlfn.VSTACK(YES_Writing_ELA[Student Number],YES_Writing_FLA[Student Number]),0),MATCH(VLOOKUP(H$7,'Writing Logic'!$J$7:$K$11,2,FALSE)&amp;" - Per "&amp;VLOOKUP($C$4,'Writing Logic'!$G$8:$H$14,2,FALSE),YES_Writing_ELA[#Headers],0))=0,"",INDEX(_xlfn.VSTACK(YES_Writing_ELA[#Data],YES_Writing_FLA[#Data]),MATCH($A503,_xlfn.VSTACK(YES_Writing_ELA[Student Number],YES_Writing_FLA[Student Number]),0),MATCH(VLOOKUP(H$7,'Writing Logic'!$J$7:$K$11,2,FALSE)&amp;" - Per "&amp;VLOOKUP($C$4,'Writing Logic'!$G$8:$H$14,2,FALSE),YES_Writing_ELA[#Headers],0)))="INS",'Writing Logic'!$B$7,IF(INDEX(_xlfn.VSTACK(YES_Writing_ELA[#Data],YES_Writing_FLA[#Data]),MATCH($A503,_xlfn.VSTACK(YES_Writing_ELA[Student Number],YES_Writing_FLA[Student Number]),0),MATCH(VLOOKUP(H$7,'Writing Logic'!$J$7:$K$11,2,FALSE)&amp;" - Per "&amp;VLOOKUP($C$4,'Writing Logic'!$G$8:$H$14,2,FALSE),YES_Writing_ELA[#Headers],0))=0,"",INDEX(_xlfn.VSTACK(YES_Writing_ELA[#Data],YES_Writing_FLA[#Data]),MATCH($A503,_xlfn.VSTACK(YES_Writing_ELA[Student Number],YES_Writing_FLA[Student Number]),0),MATCH(VLOOKUP(H$7,'Writing Logic'!$J$7:$K$11,2,FALSE)&amp;" - Per "&amp;VLOOKUP($C$4,'Writing Logic'!$G$8:$H$14,2,FALSE),YES_Writing_ELA[#Headers],0)))),"")</f>
        <v/>
      </c>
    </row>
    <row r="504" spans="1:8" x14ac:dyDescent="0.25">
      <c r="A504" s="137"/>
      <c r="B504" s="137" t="str">
        <f>IFERROR(INDEX(_xlfn.VSTACK(YES_Writing_ELA[#Data], YES_Writing_FLA[#Data]),MATCH($A504,_xlfn.VSTACK(YES_Writing_ELA[Student Number], YES_Writing_FLA[Student Number]),0),MATCH(B$7,YES_Writing_ELA[#Headers],0)),"")</f>
        <v/>
      </c>
      <c r="C504" s="137" t="str">
        <f>IFERROR(INDEX(_xlfn.VSTACK(YES_Writing_ELA[#Data], YES_Writing_FLA[#Data]),MATCH($A504,_xlfn.VSTACK(YES_Writing_ELA[Student Number], YES_Writing_FLA[Student Number]),0),MATCH(C$7,YES_Writing_ELA[#Headers],0)),"")</f>
        <v/>
      </c>
      <c r="D504" s="138" t="str">
        <f>IFERROR(IF(IF(INDEX(_xlfn.VSTACK(YES_Writing_ELA[#Data],YES_Writing_FLA[#Data]),MATCH($A504,_xlfn.VSTACK(YES_Writing_ELA[Student Number],YES_Writing_FLA[Student Number]),0),MATCH(VLOOKUP(D$7,'Writing Logic'!$J$7:$K$11,2,FALSE)&amp;" - Per "&amp;VLOOKUP($C$4,'Writing Logic'!$G$8:$H$14,2,FALSE),YES_Writing_ELA[#Headers],0))=0,"",INDEX(_xlfn.VSTACK(YES_Writing_ELA[#Data],YES_Writing_FLA[#Data]),MATCH($A504,_xlfn.VSTACK(YES_Writing_ELA[Student Number],YES_Writing_FLA[Student Number]),0),MATCH(VLOOKUP(D$7,'Writing Logic'!$J$7:$K$11,2,FALSE)&amp;" - Per "&amp;VLOOKUP($C$4,'Writing Logic'!$G$8:$H$14,2,FALSE),YES_Writing_ELA[#Headers],0)))="INS",'Writing Logic'!$B$7,IF(INDEX(_xlfn.VSTACK(YES_Writing_ELA[#Data],YES_Writing_FLA[#Data]),MATCH($A504,_xlfn.VSTACK(YES_Writing_ELA[Student Number],YES_Writing_FLA[Student Number]),0),MATCH(VLOOKUP(D$7,'Writing Logic'!$J$7:$K$11,2,FALSE)&amp;" - Per "&amp;VLOOKUP($C$4,'Writing Logic'!$G$8:$H$14,2,FALSE),YES_Writing_ELA[#Headers],0))=0,"",INDEX(_xlfn.VSTACK(YES_Writing_ELA[#Data],YES_Writing_FLA[#Data]),MATCH($A504,_xlfn.VSTACK(YES_Writing_ELA[Student Number],YES_Writing_FLA[Student Number]),0),MATCH(VLOOKUP(D$7,'Writing Logic'!$J$7:$K$11,2,FALSE)&amp;" - Per "&amp;VLOOKUP($C$4,'Writing Logic'!$G$8:$H$14,2,FALSE),YES_Writing_ELA[#Headers],0)))),"")</f>
        <v/>
      </c>
      <c r="E504" s="138" t="str">
        <f>IFERROR(IF(IF(INDEX(_xlfn.VSTACK(YES_Writing_ELA[#Data],YES_Writing_FLA[#Data]),MATCH($A504,_xlfn.VSTACK(YES_Writing_ELA[Student Number],YES_Writing_FLA[Student Number]),0),MATCH(VLOOKUP(E$7,'Writing Logic'!$J$7:$K$11,2,FALSE)&amp;" - Per "&amp;VLOOKUP($C$4,'Writing Logic'!$G$8:$H$14,2,FALSE),YES_Writing_ELA[#Headers],0))=0,"",INDEX(_xlfn.VSTACK(YES_Writing_ELA[#Data],YES_Writing_FLA[#Data]),MATCH($A504,_xlfn.VSTACK(YES_Writing_ELA[Student Number],YES_Writing_FLA[Student Number]),0),MATCH(VLOOKUP(E$7,'Writing Logic'!$J$7:$K$11,2,FALSE)&amp;" - Per "&amp;VLOOKUP($C$4,'Writing Logic'!$G$8:$H$14,2,FALSE),YES_Writing_ELA[#Headers],0)))="INS",'Writing Logic'!$B$7,IF(INDEX(_xlfn.VSTACK(YES_Writing_ELA[#Data],YES_Writing_FLA[#Data]),MATCH($A504,_xlfn.VSTACK(YES_Writing_ELA[Student Number],YES_Writing_FLA[Student Number]),0),MATCH(VLOOKUP(E$7,'Writing Logic'!$J$7:$K$11,2,FALSE)&amp;" - Per "&amp;VLOOKUP($C$4,'Writing Logic'!$G$8:$H$14,2,FALSE),YES_Writing_ELA[#Headers],0))=0,"",INDEX(_xlfn.VSTACK(YES_Writing_ELA[#Data],YES_Writing_FLA[#Data]),MATCH($A504,_xlfn.VSTACK(YES_Writing_ELA[Student Number],YES_Writing_FLA[Student Number]),0),MATCH(VLOOKUP(E$7,'Writing Logic'!$J$7:$K$11,2,FALSE)&amp;" - Per "&amp;VLOOKUP($C$4,'Writing Logic'!$G$8:$H$14,2,FALSE),YES_Writing_ELA[#Headers],0)))),"")</f>
        <v/>
      </c>
      <c r="F504" s="138" t="str">
        <f>IFERROR(IF(IF(INDEX(_xlfn.VSTACK(YES_Writing_ELA[#Data],YES_Writing_FLA[#Data]),MATCH($A504,_xlfn.VSTACK(YES_Writing_ELA[Student Number],YES_Writing_FLA[Student Number]),0),MATCH(VLOOKUP(F$7,'Writing Logic'!$J$7:$K$11,2,FALSE)&amp;" - Per "&amp;VLOOKUP($C$4,'Writing Logic'!$G$8:$H$14,2,FALSE),YES_Writing_ELA[#Headers],0))=0,"",INDEX(_xlfn.VSTACK(YES_Writing_ELA[#Data],YES_Writing_FLA[#Data]),MATCH($A504,_xlfn.VSTACK(YES_Writing_ELA[Student Number],YES_Writing_FLA[Student Number]),0),MATCH(VLOOKUP(F$7,'Writing Logic'!$J$7:$K$11,2,FALSE)&amp;" - Per "&amp;VLOOKUP($C$4,'Writing Logic'!$G$8:$H$14,2,FALSE),YES_Writing_ELA[#Headers],0)))="INS",'Writing Logic'!$B$7,IF(INDEX(_xlfn.VSTACK(YES_Writing_ELA[#Data],YES_Writing_FLA[#Data]),MATCH($A504,_xlfn.VSTACK(YES_Writing_ELA[Student Number],YES_Writing_FLA[Student Number]),0),MATCH(VLOOKUP(F$7,'Writing Logic'!$J$7:$K$11,2,FALSE)&amp;" - Per "&amp;VLOOKUP($C$4,'Writing Logic'!$G$8:$H$14,2,FALSE),YES_Writing_ELA[#Headers],0))=0,"",INDEX(_xlfn.VSTACK(YES_Writing_ELA[#Data],YES_Writing_FLA[#Data]),MATCH($A504,_xlfn.VSTACK(YES_Writing_ELA[Student Number],YES_Writing_FLA[Student Number]),0),MATCH(VLOOKUP(F$7,'Writing Logic'!$J$7:$K$11,2,FALSE)&amp;" - Per "&amp;VLOOKUP($C$4,'Writing Logic'!$G$8:$H$14,2,FALSE),YES_Writing_ELA[#Headers],0)))),"")</f>
        <v/>
      </c>
      <c r="G504" s="138" t="str">
        <f>IFERROR(IF(IF(INDEX(_xlfn.VSTACK(YES_Writing_ELA[#Data],YES_Writing_FLA[#Data]),MATCH($A504,_xlfn.VSTACK(YES_Writing_ELA[Student Number],YES_Writing_FLA[Student Number]),0),MATCH(VLOOKUP(G$7,'Writing Logic'!$J$7:$K$11,2,FALSE)&amp;" - Per "&amp;VLOOKUP($C$4,'Writing Logic'!$G$8:$H$14,2,FALSE),YES_Writing_ELA[#Headers],0))=0,"",INDEX(_xlfn.VSTACK(YES_Writing_ELA[#Data],YES_Writing_FLA[#Data]),MATCH($A504,_xlfn.VSTACK(YES_Writing_ELA[Student Number],YES_Writing_FLA[Student Number]),0),MATCH(VLOOKUP(G$7,'Writing Logic'!$J$7:$K$11,2,FALSE)&amp;" - Per "&amp;VLOOKUP($C$4,'Writing Logic'!$G$8:$H$14,2,FALSE),YES_Writing_ELA[#Headers],0)))="INS",'Writing Logic'!$B$7,IF(INDEX(_xlfn.VSTACK(YES_Writing_ELA[#Data],YES_Writing_FLA[#Data]),MATCH($A504,_xlfn.VSTACK(YES_Writing_ELA[Student Number],YES_Writing_FLA[Student Number]),0),MATCH(VLOOKUP(G$7,'Writing Logic'!$J$7:$K$11,2,FALSE)&amp;" - Per "&amp;VLOOKUP($C$4,'Writing Logic'!$G$8:$H$14,2,FALSE),YES_Writing_ELA[#Headers],0))=0,"",INDEX(_xlfn.VSTACK(YES_Writing_ELA[#Data],YES_Writing_FLA[#Data]),MATCH($A504,_xlfn.VSTACK(YES_Writing_ELA[Student Number],YES_Writing_FLA[Student Number]),0),MATCH(VLOOKUP(G$7,'Writing Logic'!$J$7:$K$11,2,FALSE)&amp;" - Per "&amp;VLOOKUP($C$4,'Writing Logic'!$G$8:$H$14,2,FALSE),YES_Writing_ELA[#Headers],0)))),"")</f>
        <v/>
      </c>
      <c r="H504" s="138" t="str">
        <f>IFERROR(IF(IF(INDEX(_xlfn.VSTACK(YES_Writing_ELA[#Data],YES_Writing_FLA[#Data]),MATCH($A504,_xlfn.VSTACK(YES_Writing_ELA[Student Number],YES_Writing_FLA[Student Number]),0),MATCH(VLOOKUP(H$7,'Writing Logic'!$J$7:$K$11,2,FALSE)&amp;" - Per "&amp;VLOOKUP($C$4,'Writing Logic'!$G$8:$H$14,2,FALSE),YES_Writing_ELA[#Headers],0))=0,"",INDEX(_xlfn.VSTACK(YES_Writing_ELA[#Data],YES_Writing_FLA[#Data]),MATCH($A504,_xlfn.VSTACK(YES_Writing_ELA[Student Number],YES_Writing_FLA[Student Number]),0),MATCH(VLOOKUP(H$7,'Writing Logic'!$J$7:$K$11,2,FALSE)&amp;" - Per "&amp;VLOOKUP($C$4,'Writing Logic'!$G$8:$H$14,2,FALSE),YES_Writing_ELA[#Headers],0)))="INS",'Writing Logic'!$B$7,IF(INDEX(_xlfn.VSTACK(YES_Writing_ELA[#Data],YES_Writing_FLA[#Data]),MATCH($A504,_xlfn.VSTACK(YES_Writing_ELA[Student Number],YES_Writing_FLA[Student Number]),0),MATCH(VLOOKUP(H$7,'Writing Logic'!$J$7:$K$11,2,FALSE)&amp;" - Per "&amp;VLOOKUP($C$4,'Writing Logic'!$G$8:$H$14,2,FALSE),YES_Writing_ELA[#Headers],0))=0,"",INDEX(_xlfn.VSTACK(YES_Writing_ELA[#Data],YES_Writing_FLA[#Data]),MATCH($A504,_xlfn.VSTACK(YES_Writing_ELA[Student Number],YES_Writing_FLA[Student Number]),0),MATCH(VLOOKUP(H$7,'Writing Logic'!$J$7:$K$11,2,FALSE)&amp;" - Per "&amp;VLOOKUP($C$4,'Writing Logic'!$G$8:$H$14,2,FALSE),YES_Writing_ELA[#Headers],0)))),"")</f>
        <v/>
      </c>
    </row>
    <row r="505" spans="1:8" x14ac:dyDescent="0.25">
      <c r="A505" s="137"/>
      <c r="B505" s="137" t="str">
        <f>IFERROR(INDEX(_xlfn.VSTACK(YES_Writing_ELA[#Data], YES_Writing_FLA[#Data]),MATCH($A505,_xlfn.VSTACK(YES_Writing_ELA[Student Number], YES_Writing_FLA[Student Number]),0),MATCH(B$7,YES_Writing_ELA[#Headers],0)),"")</f>
        <v/>
      </c>
      <c r="C505" s="137" t="str">
        <f>IFERROR(INDEX(_xlfn.VSTACK(YES_Writing_ELA[#Data], YES_Writing_FLA[#Data]),MATCH($A505,_xlfn.VSTACK(YES_Writing_ELA[Student Number], YES_Writing_FLA[Student Number]),0),MATCH(C$7,YES_Writing_ELA[#Headers],0)),"")</f>
        <v/>
      </c>
      <c r="D505" s="138" t="str">
        <f>IFERROR(IF(IF(INDEX(_xlfn.VSTACK(YES_Writing_ELA[#Data],YES_Writing_FLA[#Data]),MATCH($A505,_xlfn.VSTACK(YES_Writing_ELA[Student Number],YES_Writing_FLA[Student Number]),0),MATCH(VLOOKUP(D$7,'Writing Logic'!$J$7:$K$11,2,FALSE)&amp;" - Per "&amp;VLOOKUP($C$4,'Writing Logic'!$G$8:$H$14,2,FALSE),YES_Writing_ELA[#Headers],0))=0,"",INDEX(_xlfn.VSTACK(YES_Writing_ELA[#Data],YES_Writing_FLA[#Data]),MATCH($A505,_xlfn.VSTACK(YES_Writing_ELA[Student Number],YES_Writing_FLA[Student Number]),0),MATCH(VLOOKUP(D$7,'Writing Logic'!$J$7:$K$11,2,FALSE)&amp;" - Per "&amp;VLOOKUP($C$4,'Writing Logic'!$G$8:$H$14,2,FALSE),YES_Writing_ELA[#Headers],0)))="INS",'Writing Logic'!$B$7,IF(INDEX(_xlfn.VSTACK(YES_Writing_ELA[#Data],YES_Writing_FLA[#Data]),MATCH($A505,_xlfn.VSTACK(YES_Writing_ELA[Student Number],YES_Writing_FLA[Student Number]),0),MATCH(VLOOKUP(D$7,'Writing Logic'!$J$7:$K$11,2,FALSE)&amp;" - Per "&amp;VLOOKUP($C$4,'Writing Logic'!$G$8:$H$14,2,FALSE),YES_Writing_ELA[#Headers],0))=0,"",INDEX(_xlfn.VSTACK(YES_Writing_ELA[#Data],YES_Writing_FLA[#Data]),MATCH($A505,_xlfn.VSTACK(YES_Writing_ELA[Student Number],YES_Writing_FLA[Student Number]),0),MATCH(VLOOKUP(D$7,'Writing Logic'!$J$7:$K$11,2,FALSE)&amp;" - Per "&amp;VLOOKUP($C$4,'Writing Logic'!$G$8:$H$14,2,FALSE),YES_Writing_ELA[#Headers],0)))),"")</f>
        <v/>
      </c>
      <c r="E505" s="138" t="str">
        <f>IFERROR(IF(IF(INDEX(_xlfn.VSTACK(YES_Writing_ELA[#Data],YES_Writing_FLA[#Data]),MATCH($A505,_xlfn.VSTACK(YES_Writing_ELA[Student Number],YES_Writing_FLA[Student Number]),0),MATCH(VLOOKUP(E$7,'Writing Logic'!$J$7:$K$11,2,FALSE)&amp;" - Per "&amp;VLOOKUP($C$4,'Writing Logic'!$G$8:$H$14,2,FALSE),YES_Writing_ELA[#Headers],0))=0,"",INDEX(_xlfn.VSTACK(YES_Writing_ELA[#Data],YES_Writing_FLA[#Data]),MATCH($A505,_xlfn.VSTACK(YES_Writing_ELA[Student Number],YES_Writing_FLA[Student Number]),0),MATCH(VLOOKUP(E$7,'Writing Logic'!$J$7:$K$11,2,FALSE)&amp;" - Per "&amp;VLOOKUP($C$4,'Writing Logic'!$G$8:$H$14,2,FALSE),YES_Writing_ELA[#Headers],0)))="INS",'Writing Logic'!$B$7,IF(INDEX(_xlfn.VSTACK(YES_Writing_ELA[#Data],YES_Writing_FLA[#Data]),MATCH($A505,_xlfn.VSTACK(YES_Writing_ELA[Student Number],YES_Writing_FLA[Student Number]),0),MATCH(VLOOKUP(E$7,'Writing Logic'!$J$7:$K$11,2,FALSE)&amp;" - Per "&amp;VLOOKUP($C$4,'Writing Logic'!$G$8:$H$14,2,FALSE),YES_Writing_ELA[#Headers],0))=0,"",INDEX(_xlfn.VSTACK(YES_Writing_ELA[#Data],YES_Writing_FLA[#Data]),MATCH($A505,_xlfn.VSTACK(YES_Writing_ELA[Student Number],YES_Writing_FLA[Student Number]),0),MATCH(VLOOKUP(E$7,'Writing Logic'!$J$7:$K$11,2,FALSE)&amp;" - Per "&amp;VLOOKUP($C$4,'Writing Logic'!$G$8:$H$14,2,FALSE),YES_Writing_ELA[#Headers],0)))),"")</f>
        <v/>
      </c>
      <c r="F505" s="138" t="str">
        <f>IFERROR(IF(IF(INDEX(_xlfn.VSTACK(YES_Writing_ELA[#Data],YES_Writing_FLA[#Data]),MATCH($A505,_xlfn.VSTACK(YES_Writing_ELA[Student Number],YES_Writing_FLA[Student Number]),0),MATCH(VLOOKUP(F$7,'Writing Logic'!$J$7:$K$11,2,FALSE)&amp;" - Per "&amp;VLOOKUP($C$4,'Writing Logic'!$G$8:$H$14,2,FALSE),YES_Writing_ELA[#Headers],0))=0,"",INDEX(_xlfn.VSTACK(YES_Writing_ELA[#Data],YES_Writing_FLA[#Data]),MATCH($A505,_xlfn.VSTACK(YES_Writing_ELA[Student Number],YES_Writing_FLA[Student Number]),0),MATCH(VLOOKUP(F$7,'Writing Logic'!$J$7:$K$11,2,FALSE)&amp;" - Per "&amp;VLOOKUP($C$4,'Writing Logic'!$G$8:$H$14,2,FALSE),YES_Writing_ELA[#Headers],0)))="INS",'Writing Logic'!$B$7,IF(INDEX(_xlfn.VSTACK(YES_Writing_ELA[#Data],YES_Writing_FLA[#Data]),MATCH($A505,_xlfn.VSTACK(YES_Writing_ELA[Student Number],YES_Writing_FLA[Student Number]),0),MATCH(VLOOKUP(F$7,'Writing Logic'!$J$7:$K$11,2,FALSE)&amp;" - Per "&amp;VLOOKUP($C$4,'Writing Logic'!$G$8:$H$14,2,FALSE),YES_Writing_ELA[#Headers],0))=0,"",INDEX(_xlfn.VSTACK(YES_Writing_ELA[#Data],YES_Writing_FLA[#Data]),MATCH($A505,_xlfn.VSTACK(YES_Writing_ELA[Student Number],YES_Writing_FLA[Student Number]),0),MATCH(VLOOKUP(F$7,'Writing Logic'!$J$7:$K$11,2,FALSE)&amp;" - Per "&amp;VLOOKUP($C$4,'Writing Logic'!$G$8:$H$14,2,FALSE),YES_Writing_ELA[#Headers],0)))),"")</f>
        <v/>
      </c>
      <c r="G505" s="138" t="str">
        <f>IFERROR(IF(IF(INDEX(_xlfn.VSTACK(YES_Writing_ELA[#Data],YES_Writing_FLA[#Data]),MATCH($A505,_xlfn.VSTACK(YES_Writing_ELA[Student Number],YES_Writing_FLA[Student Number]),0),MATCH(VLOOKUP(G$7,'Writing Logic'!$J$7:$K$11,2,FALSE)&amp;" - Per "&amp;VLOOKUP($C$4,'Writing Logic'!$G$8:$H$14,2,FALSE),YES_Writing_ELA[#Headers],0))=0,"",INDEX(_xlfn.VSTACK(YES_Writing_ELA[#Data],YES_Writing_FLA[#Data]),MATCH($A505,_xlfn.VSTACK(YES_Writing_ELA[Student Number],YES_Writing_FLA[Student Number]),0),MATCH(VLOOKUP(G$7,'Writing Logic'!$J$7:$K$11,2,FALSE)&amp;" - Per "&amp;VLOOKUP($C$4,'Writing Logic'!$G$8:$H$14,2,FALSE),YES_Writing_ELA[#Headers],0)))="INS",'Writing Logic'!$B$7,IF(INDEX(_xlfn.VSTACK(YES_Writing_ELA[#Data],YES_Writing_FLA[#Data]),MATCH($A505,_xlfn.VSTACK(YES_Writing_ELA[Student Number],YES_Writing_FLA[Student Number]),0),MATCH(VLOOKUP(G$7,'Writing Logic'!$J$7:$K$11,2,FALSE)&amp;" - Per "&amp;VLOOKUP($C$4,'Writing Logic'!$G$8:$H$14,2,FALSE),YES_Writing_ELA[#Headers],0))=0,"",INDEX(_xlfn.VSTACK(YES_Writing_ELA[#Data],YES_Writing_FLA[#Data]),MATCH($A505,_xlfn.VSTACK(YES_Writing_ELA[Student Number],YES_Writing_FLA[Student Number]),0),MATCH(VLOOKUP(G$7,'Writing Logic'!$J$7:$K$11,2,FALSE)&amp;" - Per "&amp;VLOOKUP($C$4,'Writing Logic'!$G$8:$H$14,2,FALSE),YES_Writing_ELA[#Headers],0)))),"")</f>
        <v/>
      </c>
      <c r="H505" s="138" t="str">
        <f>IFERROR(IF(IF(INDEX(_xlfn.VSTACK(YES_Writing_ELA[#Data],YES_Writing_FLA[#Data]),MATCH($A505,_xlfn.VSTACK(YES_Writing_ELA[Student Number],YES_Writing_FLA[Student Number]),0),MATCH(VLOOKUP(H$7,'Writing Logic'!$J$7:$K$11,2,FALSE)&amp;" - Per "&amp;VLOOKUP($C$4,'Writing Logic'!$G$8:$H$14,2,FALSE),YES_Writing_ELA[#Headers],0))=0,"",INDEX(_xlfn.VSTACK(YES_Writing_ELA[#Data],YES_Writing_FLA[#Data]),MATCH($A505,_xlfn.VSTACK(YES_Writing_ELA[Student Number],YES_Writing_FLA[Student Number]),0),MATCH(VLOOKUP(H$7,'Writing Logic'!$J$7:$K$11,2,FALSE)&amp;" - Per "&amp;VLOOKUP($C$4,'Writing Logic'!$G$8:$H$14,2,FALSE),YES_Writing_ELA[#Headers],0)))="INS",'Writing Logic'!$B$7,IF(INDEX(_xlfn.VSTACK(YES_Writing_ELA[#Data],YES_Writing_FLA[#Data]),MATCH($A505,_xlfn.VSTACK(YES_Writing_ELA[Student Number],YES_Writing_FLA[Student Number]),0),MATCH(VLOOKUP(H$7,'Writing Logic'!$J$7:$K$11,2,FALSE)&amp;" - Per "&amp;VLOOKUP($C$4,'Writing Logic'!$G$8:$H$14,2,FALSE),YES_Writing_ELA[#Headers],0))=0,"",INDEX(_xlfn.VSTACK(YES_Writing_ELA[#Data],YES_Writing_FLA[#Data]),MATCH($A505,_xlfn.VSTACK(YES_Writing_ELA[Student Number],YES_Writing_FLA[Student Number]),0),MATCH(VLOOKUP(H$7,'Writing Logic'!$J$7:$K$11,2,FALSE)&amp;" - Per "&amp;VLOOKUP($C$4,'Writing Logic'!$G$8:$H$14,2,FALSE),YES_Writing_ELA[#Headers],0)))),"")</f>
        <v/>
      </c>
    </row>
    <row r="506" spans="1:8" x14ac:dyDescent="0.25">
      <c r="A506" s="137"/>
      <c r="B506" s="137" t="str">
        <f>IFERROR(INDEX(_xlfn.VSTACK(YES_Writing_ELA[#Data], YES_Writing_FLA[#Data]),MATCH($A506,_xlfn.VSTACK(YES_Writing_ELA[Student Number], YES_Writing_FLA[Student Number]),0),MATCH(B$7,YES_Writing_ELA[#Headers],0)),"")</f>
        <v/>
      </c>
      <c r="C506" s="137" t="str">
        <f>IFERROR(INDEX(_xlfn.VSTACK(YES_Writing_ELA[#Data], YES_Writing_FLA[#Data]),MATCH($A506,_xlfn.VSTACK(YES_Writing_ELA[Student Number], YES_Writing_FLA[Student Number]),0),MATCH(C$7,YES_Writing_ELA[#Headers],0)),"")</f>
        <v/>
      </c>
      <c r="D506" s="138" t="str">
        <f>IFERROR(IF(IF(INDEX(_xlfn.VSTACK(YES_Writing_ELA[#Data],YES_Writing_FLA[#Data]),MATCH($A506,_xlfn.VSTACK(YES_Writing_ELA[Student Number],YES_Writing_FLA[Student Number]),0),MATCH(VLOOKUP(D$7,'Writing Logic'!$J$7:$K$11,2,FALSE)&amp;" - Per "&amp;VLOOKUP($C$4,'Writing Logic'!$G$8:$H$14,2,FALSE),YES_Writing_ELA[#Headers],0))=0,"",INDEX(_xlfn.VSTACK(YES_Writing_ELA[#Data],YES_Writing_FLA[#Data]),MATCH($A506,_xlfn.VSTACK(YES_Writing_ELA[Student Number],YES_Writing_FLA[Student Number]),0),MATCH(VLOOKUP(D$7,'Writing Logic'!$J$7:$K$11,2,FALSE)&amp;" - Per "&amp;VLOOKUP($C$4,'Writing Logic'!$G$8:$H$14,2,FALSE),YES_Writing_ELA[#Headers],0)))="INS",'Writing Logic'!$B$7,IF(INDEX(_xlfn.VSTACK(YES_Writing_ELA[#Data],YES_Writing_FLA[#Data]),MATCH($A506,_xlfn.VSTACK(YES_Writing_ELA[Student Number],YES_Writing_FLA[Student Number]),0),MATCH(VLOOKUP(D$7,'Writing Logic'!$J$7:$K$11,2,FALSE)&amp;" - Per "&amp;VLOOKUP($C$4,'Writing Logic'!$G$8:$H$14,2,FALSE),YES_Writing_ELA[#Headers],0))=0,"",INDEX(_xlfn.VSTACK(YES_Writing_ELA[#Data],YES_Writing_FLA[#Data]),MATCH($A506,_xlfn.VSTACK(YES_Writing_ELA[Student Number],YES_Writing_FLA[Student Number]),0),MATCH(VLOOKUP(D$7,'Writing Logic'!$J$7:$K$11,2,FALSE)&amp;" - Per "&amp;VLOOKUP($C$4,'Writing Logic'!$G$8:$H$14,2,FALSE),YES_Writing_ELA[#Headers],0)))),"")</f>
        <v/>
      </c>
      <c r="E506" s="138" t="str">
        <f>IFERROR(IF(IF(INDEX(_xlfn.VSTACK(YES_Writing_ELA[#Data],YES_Writing_FLA[#Data]),MATCH($A506,_xlfn.VSTACK(YES_Writing_ELA[Student Number],YES_Writing_FLA[Student Number]),0),MATCH(VLOOKUP(E$7,'Writing Logic'!$J$7:$K$11,2,FALSE)&amp;" - Per "&amp;VLOOKUP($C$4,'Writing Logic'!$G$8:$H$14,2,FALSE),YES_Writing_ELA[#Headers],0))=0,"",INDEX(_xlfn.VSTACK(YES_Writing_ELA[#Data],YES_Writing_FLA[#Data]),MATCH($A506,_xlfn.VSTACK(YES_Writing_ELA[Student Number],YES_Writing_FLA[Student Number]),0),MATCH(VLOOKUP(E$7,'Writing Logic'!$J$7:$K$11,2,FALSE)&amp;" - Per "&amp;VLOOKUP($C$4,'Writing Logic'!$G$8:$H$14,2,FALSE),YES_Writing_ELA[#Headers],0)))="INS",'Writing Logic'!$B$7,IF(INDEX(_xlfn.VSTACK(YES_Writing_ELA[#Data],YES_Writing_FLA[#Data]),MATCH($A506,_xlfn.VSTACK(YES_Writing_ELA[Student Number],YES_Writing_FLA[Student Number]),0),MATCH(VLOOKUP(E$7,'Writing Logic'!$J$7:$K$11,2,FALSE)&amp;" - Per "&amp;VLOOKUP($C$4,'Writing Logic'!$G$8:$H$14,2,FALSE),YES_Writing_ELA[#Headers],0))=0,"",INDEX(_xlfn.VSTACK(YES_Writing_ELA[#Data],YES_Writing_FLA[#Data]),MATCH($A506,_xlfn.VSTACK(YES_Writing_ELA[Student Number],YES_Writing_FLA[Student Number]),0),MATCH(VLOOKUP(E$7,'Writing Logic'!$J$7:$K$11,2,FALSE)&amp;" - Per "&amp;VLOOKUP($C$4,'Writing Logic'!$G$8:$H$14,2,FALSE),YES_Writing_ELA[#Headers],0)))),"")</f>
        <v/>
      </c>
      <c r="F506" s="138" t="str">
        <f>IFERROR(IF(IF(INDEX(_xlfn.VSTACK(YES_Writing_ELA[#Data],YES_Writing_FLA[#Data]),MATCH($A506,_xlfn.VSTACK(YES_Writing_ELA[Student Number],YES_Writing_FLA[Student Number]),0),MATCH(VLOOKUP(F$7,'Writing Logic'!$J$7:$K$11,2,FALSE)&amp;" - Per "&amp;VLOOKUP($C$4,'Writing Logic'!$G$8:$H$14,2,FALSE),YES_Writing_ELA[#Headers],0))=0,"",INDEX(_xlfn.VSTACK(YES_Writing_ELA[#Data],YES_Writing_FLA[#Data]),MATCH($A506,_xlfn.VSTACK(YES_Writing_ELA[Student Number],YES_Writing_FLA[Student Number]),0),MATCH(VLOOKUP(F$7,'Writing Logic'!$J$7:$K$11,2,FALSE)&amp;" - Per "&amp;VLOOKUP($C$4,'Writing Logic'!$G$8:$H$14,2,FALSE),YES_Writing_ELA[#Headers],0)))="INS",'Writing Logic'!$B$7,IF(INDEX(_xlfn.VSTACK(YES_Writing_ELA[#Data],YES_Writing_FLA[#Data]),MATCH($A506,_xlfn.VSTACK(YES_Writing_ELA[Student Number],YES_Writing_FLA[Student Number]),0),MATCH(VLOOKUP(F$7,'Writing Logic'!$J$7:$K$11,2,FALSE)&amp;" - Per "&amp;VLOOKUP($C$4,'Writing Logic'!$G$8:$H$14,2,FALSE),YES_Writing_ELA[#Headers],0))=0,"",INDEX(_xlfn.VSTACK(YES_Writing_ELA[#Data],YES_Writing_FLA[#Data]),MATCH($A506,_xlfn.VSTACK(YES_Writing_ELA[Student Number],YES_Writing_FLA[Student Number]),0),MATCH(VLOOKUP(F$7,'Writing Logic'!$J$7:$K$11,2,FALSE)&amp;" - Per "&amp;VLOOKUP($C$4,'Writing Logic'!$G$8:$H$14,2,FALSE),YES_Writing_ELA[#Headers],0)))),"")</f>
        <v/>
      </c>
      <c r="G506" s="138" t="str">
        <f>IFERROR(IF(IF(INDEX(_xlfn.VSTACK(YES_Writing_ELA[#Data],YES_Writing_FLA[#Data]),MATCH($A506,_xlfn.VSTACK(YES_Writing_ELA[Student Number],YES_Writing_FLA[Student Number]),0),MATCH(VLOOKUP(G$7,'Writing Logic'!$J$7:$K$11,2,FALSE)&amp;" - Per "&amp;VLOOKUP($C$4,'Writing Logic'!$G$8:$H$14,2,FALSE),YES_Writing_ELA[#Headers],0))=0,"",INDEX(_xlfn.VSTACK(YES_Writing_ELA[#Data],YES_Writing_FLA[#Data]),MATCH($A506,_xlfn.VSTACK(YES_Writing_ELA[Student Number],YES_Writing_FLA[Student Number]),0),MATCH(VLOOKUP(G$7,'Writing Logic'!$J$7:$K$11,2,FALSE)&amp;" - Per "&amp;VLOOKUP($C$4,'Writing Logic'!$G$8:$H$14,2,FALSE),YES_Writing_ELA[#Headers],0)))="INS",'Writing Logic'!$B$7,IF(INDEX(_xlfn.VSTACK(YES_Writing_ELA[#Data],YES_Writing_FLA[#Data]),MATCH($A506,_xlfn.VSTACK(YES_Writing_ELA[Student Number],YES_Writing_FLA[Student Number]),0),MATCH(VLOOKUP(G$7,'Writing Logic'!$J$7:$K$11,2,FALSE)&amp;" - Per "&amp;VLOOKUP($C$4,'Writing Logic'!$G$8:$H$14,2,FALSE),YES_Writing_ELA[#Headers],0))=0,"",INDEX(_xlfn.VSTACK(YES_Writing_ELA[#Data],YES_Writing_FLA[#Data]),MATCH($A506,_xlfn.VSTACK(YES_Writing_ELA[Student Number],YES_Writing_FLA[Student Number]),0),MATCH(VLOOKUP(G$7,'Writing Logic'!$J$7:$K$11,2,FALSE)&amp;" - Per "&amp;VLOOKUP($C$4,'Writing Logic'!$G$8:$H$14,2,FALSE),YES_Writing_ELA[#Headers],0)))),"")</f>
        <v/>
      </c>
      <c r="H506" s="138" t="str">
        <f>IFERROR(IF(IF(INDEX(_xlfn.VSTACK(YES_Writing_ELA[#Data],YES_Writing_FLA[#Data]),MATCH($A506,_xlfn.VSTACK(YES_Writing_ELA[Student Number],YES_Writing_FLA[Student Number]),0),MATCH(VLOOKUP(H$7,'Writing Logic'!$J$7:$K$11,2,FALSE)&amp;" - Per "&amp;VLOOKUP($C$4,'Writing Logic'!$G$8:$H$14,2,FALSE),YES_Writing_ELA[#Headers],0))=0,"",INDEX(_xlfn.VSTACK(YES_Writing_ELA[#Data],YES_Writing_FLA[#Data]),MATCH($A506,_xlfn.VSTACK(YES_Writing_ELA[Student Number],YES_Writing_FLA[Student Number]),0),MATCH(VLOOKUP(H$7,'Writing Logic'!$J$7:$K$11,2,FALSE)&amp;" - Per "&amp;VLOOKUP($C$4,'Writing Logic'!$G$8:$H$14,2,FALSE),YES_Writing_ELA[#Headers],0)))="INS",'Writing Logic'!$B$7,IF(INDEX(_xlfn.VSTACK(YES_Writing_ELA[#Data],YES_Writing_FLA[#Data]),MATCH($A506,_xlfn.VSTACK(YES_Writing_ELA[Student Number],YES_Writing_FLA[Student Number]),0),MATCH(VLOOKUP(H$7,'Writing Logic'!$J$7:$K$11,2,FALSE)&amp;" - Per "&amp;VLOOKUP($C$4,'Writing Logic'!$G$8:$H$14,2,FALSE),YES_Writing_ELA[#Headers],0))=0,"",INDEX(_xlfn.VSTACK(YES_Writing_ELA[#Data],YES_Writing_FLA[#Data]),MATCH($A506,_xlfn.VSTACK(YES_Writing_ELA[Student Number],YES_Writing_FLA[Student Number]),0),MATCH(VLOOKUP(H$7,'Writing Logic'!$J$7:$K$11,2,FALSE)&amp;" - Per "&amp;VLOOKUP($C$4,'Writing Logic'!$G$8:$H$14,2,FALSE),YES_Writing_ELA[#Headers],0)))),"")</f>
        <v/>
      </c>
    </row>
    <row r="507" spans="1:8" x14ac:dyDescent="0.25">
      <c r="A507" s="137"/>
      <c r="B507" s="137" t="str">
        <f>IFERROR(INDEX(_xlfn.VSTACK(YES_Writing_ELA[#Data], YES_Writing_FLA[#Data]),MATCH($A507,_xlfn.VSTACK(YES_Writing_ELA[Student Number], YES_Writing_FLA[Student Number]),0),MATCH(B$7,YES_Writing_ELA[#Headers],0)),"")</f>
        <v/>
      </c>
      <c r="C507" s="137" t="str">
        <f>IFERROR(INDEX(_xlfn.VSTACK(YES_Writing_ELA[#Data], YES_Writing_FLA[#Data]),MATCH($A507,_xlfn.VSTACK(YES_Writing_ELA[Student Number], YES_Writing_FLA[Student Number]),0),MATCH(C$7,YES_Writing_ELA[#Headers],0)),"")</f>
        <v/>
      </c>
      <c r="D507" s="138" t="str">
        <f>IFERROR(IF(IF(INDEX(_xlfn.VSTACK(YES_Writing_ELA[#Data],YES_Writing_FLA[#Data]),MATCH($A507,_xlfn.VSTACK(YES_Writing_ELA[Student Number],YES_Writing_FLA[Student Number]),0),MATCH(VLOOKUP(D$7,'Writing Logic'!$J$7:$K$11,2,FALSE)&amp;" - Per "&amp;VLOOKUP($C$4,'Writing Logic'!$G$8:$H$14,2,FALSE),YES_Writing_ELA[#Headers],0))=0,"",INDEX(_xlfn.VSTACK(YES_Writing_ELA[#Data],YES_Writing_FLA[#Data]),MATCH($A507,_xlfn.VSTACK(YES_Writing_ELA[Student Number],YES_Writing_FLA[Student Number]),0),MATCH(VLOOKUP(D$7,'Writing Logic'!$J$7:$K$11,2,FALSE)&amp;" - Per "&amp;VLOOKUP($C$4,'Writing Logic'!$G$8:$H$14,2,FALSE),YES_Writing_ELA[#Headers],0)))="INS",'Writing Logic'!$B$7,IF(INDEX(_xlfn.VSTACK(YES_Writing_ELA[#Data],YES_Writing_FLA[#Data]),MATCH($A507,_xlfn.VSTACK(YES_Writing_ELA[Student Number],YES_Writing_FLA[Student Number]),0),MATCH(VLOOKUP(D$7,'Writing Logic'!$J$7:$K$11,2,FALSE)&amp;" - Per "&amp;VLOOKUP($C$4,'Writing Logic'!$G$8:$H$14,2,FALSE),YES_Writing_ELA[#Headers],0))=0,"",INDEX(_xlfn.VSTACK(YES_Writing_ELA[#Data],YES_Writing_FLA[#Data]),MATCH($A507,_xlfn.VSTACK(YES_Writing_ELA[Student Number],YES_Writing_FLA[Student Number]),0),MATCH(VLOOKUP(D$7,'Writing Logic'!$J$7:$K$11,2,FALSE)&amp;" - Per "&amp;VLOOKUP($C$4,'Writing Logic'!$G$8:$H$14,2,FALSE),YES_Writing_ELA[#Headers],0)))),"")</f>
        <v/>
      </c>
      <c r="E507" s="138" t="str">
        <f>IFERROR(IF(IF(INDEX(_xlfn.VSTACK(YES_Writing_ELA[#Data],YES_Writing_FLA[#Data]),MATCH($A507,_xlfn.VSTACK(YES_Writing_ELA[Student Number],YES_Writing_FLA[Student Number]),0),MATCH(VLOOKUP(E$7,'Writing Logic'!$J$7:$K$11,2,FALSE)&amp;" - Per "&amp;VLOOKUP($C$4,'Writing Logic'!$G$8:$H$14,2,FALSE),YES_Writing_ELA[#Headers],0))=0,"",INDEX(_xlfn.VSTACK(YES_Writing_ELA[#Data],YES_Writing_FLA[#Data]),MATCH($A507,_xlfn.VSTACK(YES_Writing_ELA[Student Number],YES_Writing_FLA[Student Number]),0),MATCH(VLOOKUP(E$7,'Writing Logic'!$J$7:$K$11,2,FALSE)&amp;" - Per "&amp;VLOOKUP($C$4,'Writing Logic'!$G$8:$H$14,2,FALSE),YES_Writing_ELA[#Headers],0)))="INS",'Writing Logic'!$B$7,IF(INDEX(_xlfn.VSTACK(YES_Writing_ELA[#Data],YES_Writing_FLA[#Data]),MATCH($A507,_xlfn.VSTACK(YES_Writing_ELA[Student Number],YES_Writing_FLA[Student Number]),0),MATCH(VLOOKUP(E$7,'Writing Logic'!$J$7:$K$11,2,FALSE)&amp;" - Per "&amp;VLOOKUP($C$4,'Writing Logic'!$G$8:$H$14,2,FALSE),YES_Writing_ELA[#Headers],0))=0,"",INDEX(_xlfn.VSTACK(YES_Writing_ELA[#Data],YES_Writing_FLA[#Data]),MATCH($A507,_xlfn.VSTACK(YES_Writing_ELA[Student Number],YES_Writing_FLA[Student Number]),0),MATCH(VLOOKUP(E$7,'Writing Logic'!$J$7:$K$11,2,FALSE)&amp;" - Per "&amp;VLOOKUP($C$4,'Writing Logic'!$G$8:$H$14,2,FALSE),YES_Writing_ELA[#Headers],0)))),"")</f>
        <v/>
      </c>
      <c r="F507" s="138" t="str">
        <f>IFERROR(IF(IF(INDEX(_xlfn.VSTACK(YES_Writing_ELA[#Data],YES_Writing_FLA[#Data]),MATCH($A507,_xlfn.VSTACK(YES_Writing_ELA[Student Number],YES_Writing_FLA[Student Number]),0),MATCH(VLOOKUP(F$7,'Writing Logic'!$J$7:$K$11,2,FALSE)&amp;" - Per "&amp;VLOOKUP($C$4,'Writing Logic'!$G$8:$H$14,2,FALSE),YES_Writing_ELA[#Headers],0))=0,"",INDEX(_xlfn.VSTACK(YES_Writing_ELA[#Data],YES_Writing_FLA[#Data]),MATCH($A507,_xlfn.VSTACK(YES_Writing_ELA[Student Number],YES_Writing_FLA[Student Number]),0),MATCH(VLOOKUP(F$7,'Writing Logic'!$J$7:$K$11,2,FALSE)&amp;" - Per "&amp;VLOOKUP($C$4,'Writing Logic'!$G$8:$H$14,2,FALSE),YES_Writing_ELA[#Headers],0)))="INS",'Writing Logic'!$B$7,IF(INDEX(_xlfn.VSTACK(YES_Writing_ELA[#Data],YES_Writing_FLA[#Data]),MATCH($A507,_xlfn.VSTACK(YES_Writing_ELA[Student Number],YES_Writing_FLA[Student Number]),0),MATCH(VLOOKUP(F$7,'Writing Logic'!$J$7:$K$11,2,FALSE)&amp;" - Per "&amp;VLOOKUP($C$4,'Writing Logic'!$G$8:$H$14,2,FALSE),YES_Writing_ELA[#Headers],0))=0,"",INDEX(_xlfn.VSTACK(YES_Writing_ELA[#Data],YES_Writing_FLA[#Data]),MATCH($A507,_xlfn.VSTACK(YES_Writing_ELA[Student Number],YES_Writing_FLA[Student Number]),0),MATCH(VLOOKUP(F$7,'Writing Logic'!$J$7:$K$11,2,FALSE)&amp;" - Per "&amp;VLOOKUP($C$4,'Writing Logic'!$G$8:$H$14,2,FALSE),YES_Writing_ELA[#Headers],0)))),"")</f>
        <v/>
      </c>
      <c r="G507" s="138" t="str">
        <f>IFERROR(IF(IF(INDEX(_xlfn.VSTACK(YES_Writing_ELA[#Data],YES_Writing_FLA[#Data]),MATCH($A507,_xlfn.VSTACK(YES_Writing_ELA[Student Number],YES_Writing_FLA[Student Number]),0),MATCH(VLOOKUP(G$7,'Writing Logic'!$J$7:$K$11,2,FALSE)&amp;" - Per "&amp;VLOOKUP($C$4,'Writing Logic'!$G$8:$H$14,2,FALSE),YES_Writing_ELA[#Headers],0))=0,"",INDEX(_xlfn.VSTACK(YES_Writing_ELA[#Data],YES_Writing_FLA[#Data]),MATCH($A507,_xlfn.VSTACK(YES_Writing_ELA[Student Number],YES_Writing_FLA[Student Number]),0),MATCH(VLOOKUP(G$7,'Writing Logic'!$J$7:$K$11,2,FALSE)&amp;" - Per "&amp;VLOOKUP($C$4,'Writing Logic'!$G$8:$H$14,2,FALSE),YES_Writing_ELA[#Headers],0)))="INS",'Writing Logic'!$B$7,IF(INDEX(_xlfn.VSTACK(YES_Writing_ELA[#Data],YES_Writing_FLA[#Data]),MATCH($A507,_xlfn.VSTACK(YES_Writing_ELA[Student Number],YES_Writing_FLA[Student Number]),0),MATCH(VLOOKUP(G$7,'Writing Logic'!$J$7:$K$11,2,FALSE)&amp;" - Per "&amp;VLOOKUP($C$4,'Writing Logic'!$G$8:$H$14,2,FALSE),YES_Writing_ELA[#Headers],0))=0,"",INDEX(_xlfn.VSTACK(YES_Writing_ELA[#Data],YES_Writing_FLA[#Data]),MATCH($A507,_xlfn.VSTACK(YES_Writing_ELA[Student Number],YES_Writing_FLA[Student Number]),0),MATCH(VLOOKUP(G$7,'Writing Logic'!$J$7:$K$11,2,FALSE)&amp;" - Per "&amp;VLOOKUP($C$4,'Writing Logic'!$G$8:$H$14,2,FALSE),YES_Writing_ELA[#Headers],0)))),"")</f>
        <v/>
      </c>
      <c r="H507" s="138" t="str">
        <f>IFERROR(IF(IF(INDEX(_xlfn.VSTACK(YES_Writing_ELA[#Data],YES_Writing_FLA[#Data]),MATCH($A507,_xlfn.VSTACK(YES_Writing_ELA[Student Number],YES_Writing_FLA[Student Number]),0),MATCH(VLOOKUP(H$7,'Writing Logic'!$J$7:$K$11,2,FALSE)&amp;" - Per "&amp;VLOOKUP($C$4,'Writing Logic'!$G$8:$H$14,2,FALSE),YES_Writing_ELA[#Headers],0))=0,"",INDEX(_xlfn.VSTACK(YES_Writing_ELA[#Data],YES_Writing_FLA[#Data]),MATCH($A507,_xlfn.VSTACK(YES_Writing_ELA[Student Number],YES_Writing_FLA[Student Number]),0),MATCH(VLOOKUP(H$7,'Writing Logic'!$J$7:$K$11,2,FALSE)&amp;" - Per "&amp;VLOOKUP($C$4,'Writing Logic'!$G$8:$H$14,2,FALSE),YES_Writing_ELA[#Headers],0)))="INS",'Writing Logic'!$B$7,IF(INDEX(_xlfn.VSTACK(YES_Writing_ELA[#Data],YES_Writing_FLA[#Data]),MATCH($A507,_xlfn.VSTACK(YES_Writing_ELA[Student Number],YES_Writing_FLA[Student Number]),0),MATCH(VLOOKUP(H$7,'Writing Logic'!$J$7:$K$11,2,FALSE)&amp;" - Per "&amp;VLOOKUP($C$4,'Writing Logic'!$G$8:$H$14,2,FALSE),YES_Writing_ELA[#Headers],0))=0,"",INDEX(_xlfn.VSTACK(YES_Writing_ELA[#Data],YES_Writing_FLA[#Data]),MATCH($A507,_xlfn.VSTACK(YES_Writing_ELA[Student Number],YES_Writing_FLA[Student Number]),0),MATCH(VLOOKUP(H$7,'Writing Logic'!$J$7:$K$11,2,FALSE)&amp;" - Per "&amp;VLOOKUP($C$4,'Writing Logic'!$G$8:$H$14,2,FALSE),YES_Writing_ELA[#Headers],0)))),"")</f>
        <v/>
      </c>
    </row>
    <row r="508" spans="1:8" x14ac:dyDescent="0.25">
      <c r="A508" s="137"/>
      <c r="B508" s="137" t="str">
        <f>IFERROR(INDEX(_xlfn.VSTACK(YES_Writing_ELA[#Data], YES_Writing_FLA[#Data]),MATCH($A508,_xlfn.VSTACK(YES_Writing_ELA[Student Number], YES_Writing_FLA[Student Number]),0),MATCH(B$7,YES_Writing_ELA[#Headers],0)),"")</f>
        <v/>
      </c>
      <c r="C508" s="137" t="str">
        <f>IFERROR(INDEX(_xlfn.VSTACK(YES_Writing_ELA[#Data], YES_Writing_FLA[#Data]),MATCH($A508,_xlfn.VSTACK(YES_Writing_ELA[Student Number], YES_Writing_FLA[Student Number]),0),MATCH(C$7,YES_Writing_ELA[#Headers],0)),"")</f>
        <v/>
      </c>
      <c r="D508" s="138" t="str">
        <f>IFERROR(IF(IF(INDEX(_xlfn.VSTACK(YES_Writing_ELA[#Data],YES_Writing_FLA[#Data]),MATCH($A508,_xlfn.VSTACK(YES_Writing_ELA[Student Number],YES_Writing_FLA[Student Number]),0),MATCH(VLOOKUP(D$7,'Writing Logic'!$J$7:$K$11,2,FALSE)&amp;" - Per "&amp;VLOOKUP($C$4,'Writing Logic'!$G$8:$H$14,2,FALSE),YES_Writing_ELA[#Headers],0))=0,"",INDEX(_xlfn.VSTACK(YES_Writing_ELA[#Data],YES_Writing_FLA[#Data]),MATCH($A508,_xlfn.VSTACK(YES_Writing_ELA[Student Number],YES_Writing_FLA[Student Number]),0),MATCH(VLOOKUP(D$7,'Writing Logic'!$J$7:$K$11,2,FALSE)&amp;" - Per "&amp;VLOOKUP($C$4,'Writing Logic'!$G$8:$H$14,2,FALSE),YES_Writing_ELA[#Headers],0)))="INS",'Writing Logic'!$B$7,IF(INDEX(_xlfn.VSTACK(YES_Writing_ELA[#Data],YES_Writing_FLA[#Data]),MATCH($A508,_xlfn.VSTACK(YES_Writing_ELA[Student Number],YES_Writing_FLA[Student Number]),0),MATCH(VLOOKUP(D$7,'Writing Logic'!$J$7:$K$11,2,FALSE)&amp;" - Per "&amp;VLOOKUP($C$4,'Writing Logic'!$G$8:$H$14,2,FALSE),YES_Writing_ELA[#Headers],0))=0,"",INDEX(_xlfn.VSTACK(YES_Writing_ELA[#Data],YES_Writing_FLA[#Data]),MATCH($A508,_xlfn.VSTACK(YES_Writing_ELA[Student Number],YES_Writing_FLA[Student Number]),0),MATCH(VLOOKUP(D$7,'Writing Logic'!$J$7:$K$11,2,FALSE)&amp;" - Per "&amp;VLOOKUP($C$4,'Writing Logic'!$G$8:$H$14,2,FALSE),YES_Writing_ELA[#Headers],0)))),"")</f>
        <v/>
      </c>
      <c r="E508" s="138" t="str">
        <f>IFERROR(IF(IF(INDEX(_xlfn.VSTACK(YES_Writing_ELA[#Data],YES_Writing_FLA[#Data]),MATCH($A508,_xlfn.VSTACK(YES_Writing_ELA[Student Number],YES_Writing_FLA[Student Number]),0),MATCH(VLOOKUP(E$7,'Writing Logic'!$J$7:$K$11,2,FALSE)&amp;" - Per "&amp;VLOOKUP($C$4,'Writing Logic'!$G$8:$H$14,2,FALSE),YES_Writing_ELA[#Headers],0))=0,"",INDEX(_xlfn.VSTACK(YES_Writing_ELA[#Data],YES_Writing_FLA[#Data]),MATCH($A508,_xlfn.VSTACK(YES_Writing_ELA[Student Number],YES_Writing_FLA[Student Number]),0),MATCH(VLOOKUP(E$7,'Writing Logic'!$J$7:$K$11,2,FALSE)&amp;" - Per "&amp;VLOOKUP($C$4,'Writing Logic'!$G$8:$H$14,2,FALSE),YES_Writing_ELA[#Headers],0)))="INS",'Writing Logic'!$B$7,IF(INDEX(_xlfn.VSTACK(YES_Writing_ELA[#Data],YES_Writing_FLA[#Data]),MATCH($A508,_xlfn.VSTACK(YES_Writing_ELA[Student Number],YES_Writing_FLA[Student Number]),0),MATCH(VLOOKUP(E$7,'Writing Logic'!$J$7:$K$11,2,FALSE)&amp;" - Per "&amp;VLOOKUP($C$4,'Writing Logic'!$G$8:$H$14,2,FALSE),YES_Writing_ELA[#Headers],0))=0,"",INDEX(_xlfn.VSTACK(YES_Writing_ELA[#Data],YES_Writing_FLA[#Data]),MATCH($A508,_xlfn.VSTACK(YES_Writing_ELA[Student Number],YES_Writing_FLA[Student Number]),0),MATCH(VLOOKUP(E$7,'Writing Logic'!$J$7:$K$11,2,FALSE)&amp;" - Per "&amp;VLOOKUP($C$4,'Writing Logic'!$G$8:$H$14,2,FALSE),YES_Writing_ELA[#Headers],0)))),"")</f>
        <v/>
      </c>
      <c r="F508" s="138" t="str">
        <f>IFERROR(IF(IF(INDEX(_xlfn.VSTACK(YES_Writing_ELA[#Data],YES_Writing_FLA[#Data]),MATCH($A508,_xlfn.VSTACK(YES_Writing_ELA[Student Number],YES_Writing_FLA[Student Number]),0),MATCH(VLOOKUP(F$7,'Writing Logic'!$J$7:$K$11,2,FALSE)&amp;" - Per "&amp;VLOOKUP($C$4,'Writing Logic'!$G$8:$H$14,2,FALSE),YES_Writing_ELA[#Headers],0))=0,"",INDEX(_xlfn.VSTACK(YES_Writing_ELA[#Data],YES_Writing_FLA[#Data]),MATCH($A508,_xlfn.VSTACK(YES_Writing_ELA[Student Number],YES_Writing_FLA[Student Number]),0),MATCH(VLOOKUP(F$7,'Writing Logic'!$J$7:$K$11,2,FALSE)&amp;" - Per "&amp;VLOOKUP($C$4,'Writing Logic'!$G$8:$H$14,2,FALSE),YES_Writing_ELA[#Headers],0)))="INS",'Writing Logic'!$B$7,IF(INDEX(_xlfn.VSTACK(YES_Writing_ELA[#Data],YES_Writing_FLA[#Data]),MATCH($A508,_xlfn.VSTACK(YES_Writing_ELA[Student Number],YES_Writing_FLA[Student Number]),0),MATCH(VLOOKUP(F$7,'Writing Logic'!$J$7:$K$11,2,FALSE)&amp;" - Per "&amp;VLOOKUP($C$4,'Writing Logic'!$G$8:$H$14,2,FALSE),YES_Writing_ELA[#Headers],0))=0,"",INDEX(_xlfn.VSTACK(YES_Writing_ELA[#Data],YES_Writing_FLA[#Data]),MATCH($A508,_xlfn.VSTACK(YES_Writing_ELA[Student Number],YES_Writing_FLA[Student Number]),0),MATCH(VLOOKUP(F$7,'Writing Logic'!$J$7:$K$11,2,FALSE)&amp;" - Per "&amp;VLOOKUP($C$4,'Writing Logic'!$G$8:$H$14,2,FALSE),YES_Writing_ELA[#Headers],0)))),"")</f>
        <v/>
      </c>
      <c r="G508" s="138" t="str">
        <f>IFERROR(IF(IF(INDEX(_xlfn.VSTACK(YES_Writing_ELA[#Data],YES_Writing_FLA[#Data]),MATCH($A508,_xlfn.VSTACK(YES_Writing_ELA[Student Number],YES_Writing_FLA[Student Number]),0),MATCH(VLOOKUP(G$7,'Writing Logic'!$J$7:$K$11,2,FALSE)&amp;" - Per "&amp;VLOOKUP($C$4,'Writing Logic'!$G$8:$H$14,2,FALSE),YES_Writing_ELA[#Headers],0))=0,"",INDEX(_xlfn.VSTACK(YES_Writing_ELA[#Data],YES_Writing_FLA[#Data]),MATCH($A508,_xlfn.VSTACK(YES_Writing_ELA[Student Number],YES_Writing_FLA[Student Number]),0),MATCH(VLOOKUP(G$7,'Writing Logic'!$J$7:$K$11,2,FALSE)&amp;" - Per "&amp;VLOOKUP($C$4,'Writing Logic'!$G$8:$H$14,2,FALSE),YES_Writing_ELA[#Headers],0)))="INS",'Writing Logic'!$B$7,IF(INDEX(_xlfn.VSTACK(YES_Writing_ELA[#Data],YES_Writing_FLA[#Data]),MATCH($A508,_xlfn.VSTACK(YES_Writing_ELA[Student Number],YES_Writing_FLA[Student Number]),0),MATCH(VLOOKUP(G$7,'Writing Logic'!$J$7:$K$11,2,FALSE)&amp;" - Per "&amp;VLOOKUP($C$4,'Writing Logic'!$G$8:$H$14,2,FALSE),YES_Writing_ELA[#Headers],0))=0,"",INDEX(_xlfn.VSTACK(YES_Writing_ELA[#Data],YES_Writing_FLA[#Data]),MATCH($A508,_xlfn.VSTACK(YES_Writing_ELA[Student Number],YES_Writing_FLA[Student Number]),0),MATCH(VLOOKUP(G$7,'Writing Logic'!$J$7:$K$11,2,FALSE)&amp;" - Per "&amp;VLOOKUP($C$4,'Writing Logic'!$G$8:$H$14,2,FALSE),YES_Writing_ELA[#Headers],0)))),"")</f>
        <v/>
      </c>
      <c r="H508" s="138" t="str">
        <f>IFERROR(IF(IF(INDEX(_xlfn.VSTACK(YES_Writing_ELA[#Data],YES_Writing_FLA[#Data]),MATCH($A508,_xlfn.VSTACK(YES_Writing_ELA[Student Number],YES_Writing_FLA[Student Number]),0),MATCH(VLOOKUP(H$7,'Writing Logic'!$J$7:$K$11,2,FALSE)&amp;" - Per "&amp;VLOOKUP($C$4,'Writing Logic'!$G$8:$H$14,2,FALSE),YES_Writing_ELA[#Headers],0))=0,"",INDEX(_xlfn.VSTACK(YES_Writing_ELA[#Data],YES_Writing_FLA[#Data]),MATCH($A508,_xlfn.VSTACK(YES_Writing_ELA[Student Number],YES_Writing_FLA[Student Number]),0),MATCH(VLOOKUP(H$7,'Writing Logic'!$J$7:$K$11,2,FALSE)&amp;" - Per "&amp;VLOOKUP($C$4,'Writing Logic'!$G$8:$H$14,2,FALSE),YES_Writing_ELA[#Headers],0)))="INS",'Writing Logic'!$B$7,IF(INDEX(_xlfn.VSTACK(YES_Writing_ELA[#Data],YES_Writing_FLA[#Data]),MATCH($A508,_xlfn.VSTACK(YES_Writing_ELA[Student Number],YES_Writing_FLA[Student Number]),0),MATCH(VLOOKUP(H$7,'Writing Logic'!$J$7:$K$11,2,FALSE)&amp;" - Per "&amp;VLOOKUP($C$4,'Writing Logic'!$G$8:$H$14,2,FALSE),YES_Writing_ELA[#Headers],0))=0,"",INDEX(_xlfn.VSTACK(YES_Writing_ELA[#Data],YES_Writing_FLA[#Data]),MATCH($A508,_xlfn.VSTACK(YES_Writing_ELA[Student Number],YES_Writing_FLA[Student Number]),0),MATCH(VLOOKUP(H$7,'Writing Logic'!$J$7:$K$11,2,FALSE)&amp;" - Per "&amp;VLOOKUP($C$4,'Writing Logic'!$G$8:$H$14,2,FALSE),YES_Writing_ELA[#Headers],0)))),"")</f>
        <v/>
      </c>
    </row>
    <row r="509" spans="1:8" x14ac:dyDescent="0.25">
      <c r="A509" s="137"/>
      <c r="B509" s="137" t="str">
        <f>IFERROR(INDEX(_xlfn.VSTACK(YES_Writing_ELA[#Data], YES_Writing_FLA[#Data]),MATCH($A509,_xlfn.VSTACK(YES_Writing_ELA[Student Number], YES_Writing_FLA[Student Number]),0),MATCH(B$7,YES_Writing_ELA[#Headers],0)),"")</f>
        <v/>
      </c>
      <c r="C509" s="137" t="str">
        <f>IFERROR(INDEX(_xlfn.VSTACK(YES_Writing_ELA[#Data], YES_Writing_FLA[#Data]),MATCH($A509,_xlfn.VSTACK(YES_Writing_ELA[Student Number], YES_Writing_FLA[Student Number]),0),MATCH(C$7,YES_Writing_ELA[#Headers],0)),"")</f>
        <v/>
      </c>
      <c r="D509" s="138" t="str">
        <f>IFERROR(IF(IF(INDEX(_xlfn.VSTACK(YES_Writing_ELA[#Data],YES_Writing_FLA[#Data]),MATCH($A509,_xlfn.VSTACK(YES_Writing_ELA[Student Number],YES_Writing_FLA[Student Number]),0),MATCH(VLOOKUP(D$7,'Writing Logic'!$J$7:$K$11,2,FALSE)&amp;" - Per "&amp;VLOOKUP($C$4,'Writing Logic'!$G$8:$H$14,2,FALSE),YES_Writing_ELA[#Headers],0))=0,"",INDEX(_xlfn.VSTACK(YES_Writing_ELA[#Data],YES_Writing_FLA[#Data]),MATCH($A509,_xlfn.VSTACK(YES_Writing_ELA[Student Number],YES_Writing_FLA[Student Number]),0),MATCH(VLOOKUP(D$7,'Writing Logic'!$J$7:$K$11,2,FALSE)&amp;" - Per "&amp;VLOOKUP($C$4,'Writing Logic'!$G$8:$H$14,2,FALSE),YES_Writing_ELA[#Headers],0)))="INS",'Writing Logic'!$B$7,IF(INDEX(_xlfn.VSTACK(YES_Writing_ELA[#Data],YES_Writing_FLA[#Data]),MATCH($A509,_xlfn.VSTACK(YES_Writing_ELA[Student Number],YES_Writing_FLA[Student Number]),0),MATCH(VLOOKUP(D$7,'Writing Logic'!$J$7:$K$11,2,FALSE)&amp;" - Per "&amp;VLOOKUP($C$4,'Writing Logic'!$G$8:$H$14,2,FALSE),YES_Writing_ELA[#Headers],0))=0,"",INDEX(_xlfn.VSTACK(YES_Writing_ELA[#Data],YES_Writing_FLA[#Data]),MATCH($A509,_xlfn.VSTACK(YES_Writing_ELA[Student Number],YES_Writing_FLA[Student Number]),0),MATCH(VLOOKUP(D$7,'Writing Logic'!$J$7:$K$11,2,FALSE)&amp;" - Per "&amp;VLOOKUP($C$4,'Writing Logic'!$G$8:$H$14,2,FALSE),YES_Writing_ELA[#Headers],0)))),"")</f>
        <v/>
      </c>
      <c r="E509" s="138" t="str">
        <f>IFERROR(IF(IF(INDEX(_xlfn.VSTACK(YES_Writing_ELA[#Data],YES_Writing_FLA[#Data]),MATCH($A509,_xlfn.VSTACK(YES_Writing_ELA[Student Number],YES_Writing_FLA[Student Number]),0),MATCH(VLOOKUP(E$7,'Writing Logic'!$J$7:$K$11,2,FALSE)&amp;" - Per "&amp;VLOOKUP($C$4,'Writing Logic'!$G$8:$H$14,2,FALSE),YES_Writing_ELA[#Headers],0))=0,"",INDEX(_xlfn.VSTACK(YES_Writing_ELA[#Data],YES_Writing_FLA[#Data]),MATCH($A509,_xlfn.VSTACK(YES_Writing_ELA[Student Number],YES_Writing_FLA[Student Number]),0),MATCH(VLOOKUP(E$7,'Writing Logic'!$J$7:$K$11,2,FALSE)&amp;" - Per "&amp;VLOOKUP($C$4,'Writing Logic'!$G$8:$H$14,2,FALSE),YES_Writing_ELA[#Headers],0)))="INS",'Writing Logic'!$B$7,IF(INDEX(_xlfn.VSTACK(YES_Writing_ELA[#Data],YES_Writing_FLA[#Data]),MATCH($A509,_xlfn.VSTACK(YES_Writing_ELA[Student Number],YES_Writing_FLA[Student Number]),0),MATCH(VLOOKUP(E$7,'Writing Logic'!$J$7:$K$11,2,FALSE)&amp;" - Per "&amp;VLOOKUP($C$4,'Writing Logic'!$G$8:$H$14,2,FALSE),YES_Writing_ELA[#Headers],0))=0,"",INDEX(_xlfn.VSTACK(YES_Writing_ELA[#Data],YES_Writing_FLA[#Data]),MATCH($A509,_xlfn.VSTACK(YES_Writing_ELA[Student Number],YES_Writing_FLA[Student Number]),0),MATCH(VLOOKUP(E$7,'Writing Logic'!$J$7:$K$11,2,FALSE)&amp;" - Per "&amp;VLOOKUP($C$4,'Writing Logic'!$G$8:$H$14,2,FALSE),YES_Writing_ELA[#Headers],0)))),"")</f>
        <v/>
      </c>
      <c r="F509" s="138" t="str">
        <f>IFERROR(IF(IF(INDEX(_xlfn.VSTACK(YES_Writing_ELA[#Data],YES_Writing_FLA[#Data]),MATCH($A509,_xlfn.VSTACK(YES_Writing_ELA[Student Number],YES_Writing_FLA[Student Number]),0),MATCH(VLOOKUP(F$7,'Writing Logic'!$J$7:$K$11,2,FALSE)&amp;" - Per "&amp;VLOOKUP($C$4,'Writing Logic'!$G$8:$H$14,2,FALSE),YES_Writing_ELA[#Headers],0))=0,"",INDEX(_xlfn.VSTACK(YES_Writing_ELA[#Data],YES_Writing_FLA[#Data]),MATCH($A509,_xlfn.VSTACK(YES_Writing_ELA[Student Number],YES_Writing_FLA[Student Number]),0),MATCH(VLOOKUP(F$7,'Writing Logic'!$J$7:$K$11,2,FALSE)&amp;" - Per "&amp;VLOOKUP($C$4,'Writing Logic'!$G$8:$H$14,2,FALSE),YES_Writing_ELA[#Headers],0)))="INS",'Writing Logic'!$B$7,IF(INDEX(_xlfn.VSTACK(YES_Writing_ELA[#Data],YES_Writing_FLA[#Data]),MATCH($A509,_xlfn.VSTACK(YES_Writing_ELA[Student Number],YES_Writing_FLA[Student Number]),0),MATCH(VLOOKUP(F$7,'Writing Logic'!$J$7:$K$11,2,FALSE)&amp;" - Per "&amp;VLOOKUP($C$4,'Writing Logic'!$G$8:$H$14,2,FALSE),YES_Writing_ELA[#Headers],0))=0,"",INDEX(_xlfn.VSTACK(YES_Writing_ELA[#Data],YES_Writing_FLA[#Data]),MATCH($A509,_xlfn.VSTACK(YES_Writing_ELA[Student Number],YES_Writing_FLA[Student Number]),0),MATCH(VLOOKUP(F$7,'Writing Logic'!$J$7:$K$11,2,FALSE)&amp;" - Per "&amp;VLOOKUP($C$4,'Writing Logic'!$G$8:$H$14,2,FALSE),YES_Writing_ELA[#Headers],0)))),"")</f>
        <v/>
      </c>
      <c r="G509" s="138" t="str">
        <f>IFERROR(IF(IF(INDEX(_xlfn.VSTACK(YES_Writing_ELA[#Data],YES_Writing_FLA[#Data]),MATCH($A509,_xlfn.VSTACK(YES_Writing_ELA[Student Number],YES_Writing_FLA[Student Number]),0),MATCH(VLOOKUP(G$7,'Writing Logic'!$J$7:$K$11,2,FALSE)&amp;" - Per "&amp;VLOOKUP($C$4,'Writing Logic'!$G$8:$H$14,2,FALSE),YES_Writing_ELA[#Headers],0))=0,"",INDEX(_xlfn.VSTACK(YES_Writing_ELA[#Data],YES_Writing_FLA[#Data]),MATCH($A509,_xlfn.VSTACK(YES_Writing_ELA[Student Number],YES_Writing_FLA[Student Number]),0),MATCH(VLOOKUP(G$7,'Writing Logic'!$J$7:$K$11,2,FALSE)&amp;" - Per "&amp;VLOOKUP($C$4,'Writing Logic'!$G$8:$H$14,2,FALSE),YES_Writing_ELA[#Headers],0)))="INS",'Writing Logic'!$B$7,IF(INDEX(_xlfn.VSTACK(YES_Writing_ELA[#Data],YES_Writing_FLA[#Data]),MATCH($A509,_xlfn.VSTACK(YES_Writing_ELA[Student Number],YES_Writing_FLA[Student Number]),0),MATCH(VLOOKUP(G$7,'Writing Logic'!$J$7:$K$11,2,FALSE)&amp;" - Per "&amp;VLOOKUP($C$4,'Writing Logic'!$G$8:$H$14,2,FALSE),YES_Writing_ELA[#Headers],0))=0,"",INDEX(_xlfn.VSTACK(YES_Writing_ELA[#Data],YES_Writing_FLA[#Data]),MATCH($A509,_xlfn.VSTACK(YES_Writing_ELA[Student Number],YES_Writing_FLA[Student Number]),0),MATCH(VLOOKUP(G$7,'Writing Logic'!$J$7:$K$11,2,FALSE)&amp;" - Per "&amp;VLOOKUP($C$4,'Writing Logic'!$G$8:$H$14,2,FALSE),YES_Writing_ELA[#Headers],0)))),"")</f>
        <v/>
      </c>
      <c r="H509" s="138" t="str">
        <f>IFERROR(IF(IF(INDEX(_xlfn.VSTACK(YES_Writing_ELA[#Data],YES_Writing_FLA[#Data]),MATCH($A509,_xlfn.VSTACK(YES_Writing_ELA[Student Number],YES_Writing_FLA[Student Number]),0),MATCH(VLOOKUP(H$7,'Writing Logic'!$J$7:$K$11,2,FALSE)&amp;" - Per "&amp;VLOOKUP($C$4,'Writing Logic'!$G$8:$H$14,2,FALSE),YES_Writing_ELA[#Headers],0))=0,"",INDEX(_xlfn.VSTACK(YES_Writing_ELA[#Data],YES_Writing_FLA[#Data]),MATCH($A509,_xlfn.VSTACK(YES_Writing_ELA[Student Number],YES_Writing_FLA[Student Number]),0),MATCH(VLOOKUP(H$7,'Writing Logic'!$J$7:$K$11,2,FALSE)&amp;" - Per "&amp;VLOOKUP($C$4,'Writing Logic'!$G$8:$H$14,2,FALSE),YES_Writing_ELA[#Headers],0)))="INS",'Writing Logic'!$B$7,IF(INDEX(_xlfn.VSTACK(YES_Writing_ELA[#Data],YES_Writing_FLA[#Data]),MATCH($A509,_xlfn.VSTACK(YES_Writing_ELA[Student Number],YES_Writing_FLA[Student Number]),0),MATCH(VLOOKUP(H$7,'Writing Logic'!$J$7:$K$11,2,FALSE)&amp;" - Per "&amp;VLOOKUP($C$4,'Writing Logic'!$G$8:$H$14,2,FALSE),YES_Writing_ELA[#Headers],0))=0,"",INDEX(_xlfn.VSTACK(YES_Writing_ELA[#Data],YES_Writing_FLA[#Data]),MATCH($A509,_xlfn.VSTACK(YES_Writing_ELA[Student Number],YES_Writing_FLA[Student Number]),0),MATCH(VLOOKUP(H$7,'Writing Logic'!$J$7:$K$11,2,FALSE)&amp;" - Per "&amp;VLOOKUP($C$4,'Writing Logic'!$G$8:$H$14,2,FALSE),YES_Writing_ELA[#Headers],0)))),"")</f>
        <v/>
      </c>
    </row>
    <row r="510" spans="1:8" x14ac:dyDescent="0.25">
      <c r="A510" s="137"/>
      <c r="B510" s="137" t="str">
        <f>IFERROR(INDEX(_xlfn.VSTACK(YES_Writing_ELA[#Data], YES_Writing_FLA[#Data]),MATCH($A510,_xlfn.VSTACK(YES_Writing_ELA[Student Number], YES_Writing_FLA[Student Number]),0),MATCH(B$7,YES_Writing_ELA[#Headers],0)),"")</f>
        <v/>
      </c>
      <c r="C510" s="137" t="str">
        <f>IFERROR(INDEX(_xlfn.VSTACK(YES_Writing_ELA[#Data], YES_Writing_FLA[#Data]),MATCH($A510,_xlfn.VSTACK(YES_Writing_ELA[Student Number], YES_Writing_FLA[Student Number]),0),MATCH(C$7,YES_Writing_ELA[#Headers],0)),"")</f>
        <v/>
      </c>
      <c r="D510" s="138" t="str">
        <f>IFERROR(IF(IF(INDEX(_xlfn.VSTACK(YES_Writing_ELA[#Data],YES_Writing_FLA[#Data]),MATCH($A510,_xlfn.VSTACK(YES_Writing_ELA[Student Number],YES_Writing_FLA[Student Number]),0),MATCH(VLOOKUP(D$7,'Writing Logic'!$J$7:$K$11,2,FALSE)&amp;" - Per "&amp;VLOOKUP($C$4,'Writing Logic'!$G$8:$H$14,2,FALSE),YES_Writing_ELA[#Headers],0))=0,"",INDEX(_xlfn.VSTACK(YES_Writing_ELA[#Data],YES_Writing_FLA[#Data]),MATCH($A510,_xlfn.VSTACK(YES_Writing_ELA[Student Number],YES_Writing_FLA[Student Number]),0),MATCH(VLOOKUP(D$7,'Writing Logic'!$J$7:$K$11,2,FALSE)&amp;" - Per "&amp;VLOOKUP($C$4,'Writing Logic'!$G$8:$H$14,2,FALSE),YES_Writing_ELA[#Headers],0)))="INS",'Writing Logic'!$B$7,IF(INDEX(_xlfn.VSTACK(YES_Writing_ELA[#Data],YES_Writing_FLA[#Data]),MATCH($A510,_xlfn.VSTACK(YES_Writing_ELA[Student Number],YES_Writing_FLA[Student Number]),0),MATCH(VLOOKUP(D$7,'Writing Logic'!$J$7:$K$11,2,FALSE)&amp;" - Per "&amp;VLOOKUP($C$4,'Writing Logic'!$G$8:$H$14,2,FALSE),YES_Writing_ELA[#Headers],0))=0,"",INDEX(_xlfn.VSTACK(YES_Writing_ELA[#Data],YES_Writing_FLA[#Data]),MATCH($A510,_xlfn.VSTACK(YES_Writing_ELA[Student Number],YES_Writing_FLA[Student Number]),0),MATCH(VLOOKUP(D$7,'Writing Logic'!$J$7:$K$11,2,FALSE)&amp;" - Per "&amp;VLOOKUP($C$4,'Writing Logic'!$G$8:$H$14,2,FALSE),YES_Writing_ELA[#Headers],0)))),"")</f>
        <v/>
      </c>
      <c r="E510" s="138" t="str">
        <f>IFERROR(IF(IF(INDEX(_xlfn.VSTACK(YES_Writing_ELA[#Data],YES_Writing_FLA[#Data]),MATCH($A510,_xlfn.VSTACK(YES_Writing_ELA[Student Number],YES_Writing_FLA[Student Number]),0),MATCH(VLOOKUP(E$7,'Writing Logic'!$J$7:$K$11,2,FALSE)&amp;" - Per "&amp;VLOOKUP($C$4,'Writing Logic'!$G$8:$H$14,2,FALSE),YES_Writing_ELA[#Headers],0))=0,"",INDEX(_xlfn.VSTACK(YES_Writing_ELA[#Data],YES_Writing_FLA[#Data]),MATCH($A510,_xlfn.VSTACK(YES_Writing_ELA[Student Number],YES_Writing_FLA[Student Number]),0),MATCH(VLOOKUP(E$7,'Writing Logic'!$J$7:$K$11,2,FALSE)&amp;" - Per "&amp;VLOOKUP($C$4,'Writing Logic'!$G$8:$H$14,2,FALSE),YES_Writing_ELA[#Headers],0)))="INS",'Writing Logic'!$B$7,IF(INDEX(_xlfn.VSTACK(YES_Writing_ELA[#Data],YES_Writing_FLA[#Data]),MATCH($A510,_xlfn.VSTACK(YES_Writing_ELA[Student Number],YES_Writing_FLA[Student Number]),0),MATCH(VLOOKUP(E$7,'Writing Logic'!$J$7:$K$11,2,FALSE)&amp;" - Per "&amp;VLOOKUP($C$4,'Writing Logic'!$G$8:$H$14,2,FALSE),YES_Writing_ELA[#Headers],0))=0,"",INDEX(_xlfn.VSTACK(YES_Writing_ELA[#Data],YES_Writing_FLA[#Data]),MATCH($A510,_xlfn.VSTACK(YES_Writing_ELA[Student Number],YES_Writing_FLA[Student Number]),0),MATCH(VLOOKUP(E$7,'Writing Logic'!$J$7:$K$11,2,FALSE)&amp;" - Per "&amp;VLOOKUP($C$4,'Writing Logic'!$G$8:$H$14,2,FALSE),YES_Writing_ELA[#Headers],0)))),"")</f>
        <v/>
      </c>
      <c r="F510" s="138" t="str">
        <f>IFERROR(IF(IF(INDEX(_xlfn.VSTACK(YES_Writing_ELA[#Data],YES_Writing_FLA[#Data]),MATCH($A510,_xlfn.VSTACK(YES_Writing_ELA[Student Number],YES_Writing_FLA[Student Number]),0),MATCH(VLOOKUP(F$7,'Writing Logic'!$J$7:$K$11,2,FALSE)&amp;" - Per "&amp;VLOOKUP($C$4,'Writing Logic'!$G$8:$H$14,2,FALSE),YES_Writing_ELA[#Headers],0))=0,"",INDEX(_xlfn.VSTACK(YES_Writing_ELA[#Data],YES_Writing_FLA[#Data]),MATCH($A510,_xlfn.VSTACK(YES_Writing_ELA[Student Number],YES_Writing_FLA[Student Number]),0),MATCH(VLOOKUP(F$7,'Writing Logic'!$J$7:$K$11,2,FALSE)&amp;" - Per "&amp;VLOOKUP($C$4,'Writing Logic'!$G$8:$H$14,2,FALSE),YES_Writing_ELA[#Headers],0)))="INS",'Writing Logic'!$B$7,IF(INDEX(_xlfn.VSTACK(YES_Writing_ELA[#Data],YES_Writing_FLA[#Data]),MATCH($A510,_xlfn.VSTACK(YES_Writing_ELA[Student Number],YES_Writing_FLA[Student Number]),0),MATCH(VLOOKUP(F$7,'Writing Logic'!$J$7:$K$11,2,FALSE)&amp;" - Per "&amp;VLOOKUP($C$4,'Writing Logic'!$G$8:$H$14,2,FALSE),YES_Writing_ELA[#Headers],0))=0,"",INDEX(_xlfn.VSTACK(YES_Writing_ELA[#Data],YES_Writing_FLA[#Data]),MATCH($A510,_xlfn.VSTACK(YES_Writing_ELA[Student Number],YES_Writing_FLA[Student Number]),0),MATCH(VLOOKUP(F$7,'Writing Logic'!$J$7:$K$11,2,FALSE)&amp;" - Per "&amp;VLOOKUP($C$4,'Writing Logic'!$G$8:$H$14,2,FALSE),YES_Writing_ELA[#Headers],0)))),"")</f>
        <v/>
      </c>
      <c r="G510" s="138" t="str">
        <f>IFERROR(IF(IF(INDEX(_xlfn.VSTACK(YES_Writing_ELA[#Data],YES_Writing_FLA[#Data]),MATCH($A510,_xlfn.VSTACK(YES_Writing_ELA[Student Number],YES_Writing_FLA[Student Number]),0),MATCH(VLOOKUP(G$7,'Writing Logic'!$J$7:$K$11,2,FALSE)&amp;" - Per "&amp;VLOOKUP($C$4,'Writing Logic'!$G$8:$H$14,2,FALSE),YES_Writing_ELA[#Headers],0))=0,"",INDEX(_xlfn.VSTACK(YES_Writing_ELA[#Data],YES_Writing_FLA[#Data]),MATCH($A510,_xlfn.VSTACK(YES_Writing_ELA[Student Number],YES_Writing_FLA[Student Number]),0),MATCH(VLOOKUP(G$7,'Writing Logic'!$J$7:$K$11,2,FALSE)&amp;" - Per "&amp;VLOOKUP($C$4,'Writing Logic'!$G$8:$H$14,2,FALSE),YES_Writing_ELA[#Headers],0)))="INS",'Writing Logic'!$B$7,IF(INDEX(_xlfn.VSTACK(YES_Writing_ELA[#Data],YES_Writing_FLA[#Data]),MATCH($A510,_xlfn.VSTACK(YES_Writing_ELA[Student Number],YES_Writing_FLA[Student Number]),0),MATCH(VLOOKUP(G$7,'Writing Logic'!$J$7:$K$11,2,FALSE)&amp;" - Per "&amp;VLOOKUP($C$4,'Writing Logic'!$G$8:$H$14,2,FALSE),YES_Writing_ELA[#Headers],0))=0,"",INDEX(_xlfn.VSTACK(YES_Writing_ELA[#Data],YES_Writing_FLA[#Data]),MATCH($A510,_xlfn.VSTACK(YES_Writing_ELA[Student Number],YES_Writing_FLA[Student Number]),0),MATCH(VLOOKUP(G$7,'Writing Logic'!$J$7:$K$11,2,FALSE)&amp;" - Per "&amp;VLOOKUP($C$4,'Writing Logic'!$G$8:$H$14,2,FALSE),YES_Writing_ELA[#Headers],0)))),"")</f>
        <v/>
      </c>
      <c r="H510" s="138" t="str">
        <f>IFERROR(IF(IF(INDEX(_xlfn.VSTACK(YES_Writing_ELA[#Data],YES_Writing_FLA[#Data]),MATCH($A510,_xlfn.VSTACK(YES_Writing_ELA[Student Number],YES_Writing_FLA[Student Number]),0),MATCH(VLOOKUP(H$7,'Writing Logic'!$J$7:$K$11,2,FALSE)&amp;" - Per "&amp;VLOOKUP($C$4,'Writing Logic'!$G$8:$H$14,2,FALSE),YES_Writing_ELA[#Headers],0))=0,"",INDEX(_xlfn.VSTACK(YES_Writing_ELA[#Data],YES_Writing_FLA[#Data]),MATCH($A510,_xlfn.VSTACK(YES_Writing_ELA[Student Number],YES_Writing_FLA[Student Number]),0),MATCH(VLOOKUP(H$7,'Writing Logic'!$J$7:$K$11,2,FALSE)&amp;" - Per "&amp;VLOOKUP($C$4,'Writing Logic'!$G$8:$H$14,2,FALSE),YES_Writing_ELA[#Headers],0)))="INS",'Writing Logic'!$B$7,IF(INDEX(_xlfn.VSTACK(YES_Writing_ELA[#Data],YES_Writing_FLA[#Data]),MATCH($A510,_xlfn.VSTACK(YES_Writing_ELA[Student Number],YES_Writing_FLA[Student Number]),0),MATCH(VLOOKUP(H$7,'Writing Logic'!$J$7:$K$11,2,FALSE)&amp;" - Per "&amp;VLOOKUP($C$4,'Writing Logic'!$G$8:$H$14,2,FALSE),YES_Writing_ELA[#Headers],0))=0,"",INDEX(_xlfn.VSTACK(YES_Writing_ELA[#Data],YES_Writing_FLA[#Data]),MATCH($A510,_xlfn.VSTACK(YES_Writing_ELA[Student Number],YES_Writing_FLA[Student Number]),0),MATCH(VLOOKUP(H$7,'Writing Logic'!$J$7:$K$11,2,FALSE)&amp;" - Per "&amp;VLOOKUP($C$4,'Writing Logic'!$G$8:$H$14,2,FALSE),YES_Writing_ELA[#Headers],0)))),"")</f>
        <v/>
      </c>
    </row>
    <row r="511" spans="1:8" x14ac:dyDescent="0.25">
      <c r="A511" s="137"/>
      <c r="B511" s="137" t="str">
        <f>IFERROR(INDEX(_xlfn.VSTACK(YES_Writing_ELA[#Data], YES_Writing_FLA[#Data]),MATCH($A511,_xlfn.VSTACK(YES_Writing_ELA[Student Number], YES_Writing_FLA[Student Number]),0),MATCH(B$7,YES_Writing_ELA[#Headers],0)),"")</f>
        <v/>
      </c>
      <c r="C511" s="137" t="str">
        <f>IFERROR(INDEX(_xlfn.VSTACK(YES_Writing_ELA[#Data], YES_Writing_FLA[#Data]),MATCH($A511,_xlfn.VSTACK(YES_Writing_ELA[Student Number], YES_Writing_FLA[Student Number]),0),MATCH(C$7,YES_Writing_ELA[#Headers],0)),"")</f>
        <v/>
      </c>
      <c r="D511" s="138" t="str">
        <f>IFERROR(IF(IF(INDEX(_xlfn.VSTACK(YES_Writing_ELA[#Data],YES_Writing_FLA[#Data]),MATCH($A511,_xlfn.VSTACK(YES_Writing_ELA[Student Number],YES_Writing_FLA[Student Number]),0),MATCH(VLOOKUP(D$7,'Writing Logic'!$J$7:$K$11,2,FALSE)&amp;" - Per "&amp;VLOOKUP($C$4,'Writing Logic'!$G$8:$H$14,2,FALSE),YES_Writing_ELA[#Headers],0))=0,"",INDEX(_xlfn.VSTACK(YES_Writing_ELA[#Data],YES_Writing_FLA[#Data]),MATCH($A511,_xlfn.VSTACK(YES_Writing_ELA[Student Number],YES_Writing_FLA[Student Number]),0),MATCH(VLOOKUP(D$7,'Writing Logic'!$J$7:$K$11,2,FALSE)&amp;" - Per "&amp;VLOOKUP($C$4,'Writing Logic'!$G$8:$H$14,2,FALSE),YES_Writing_ELA[#Headers],0)))="INS",'Writing Logic'!$B$7,IF(INDEX(_xlfn.VSTACK(YES_Writing_ELA[#Data],YES_Writing_FLA[#Data]),MATCH($A511,_xlfn.VSTACK(YES_Writing_ELA[Student Number],YES_Writing_FLA[Student Number]),0),MATCH(VLOOKUP(D$7,'Writing Logic'!$J$7:$K$11,2,FALSE)&amp;" - Per "&amp;VLOOKUP($C$4,'Writing Logic'!$G$8:$H$14,2,FALSE),YES_Writing_ELA[#Headers],0))=0,"",INDEX(_xlfn.VSTACK(YES_Writing_ELA[#Data],YES_Writing_FLA[#Data]),MATCH($A511,_xlfn.VSTACK(YES_Writing_ELA[Student Number],YES_Writing_FLA[Student Number]),0),MATCH(VLOOKUP(D$7,'Writing Logic'!$J$7:$K$11,2,FALSE)&amp;" - Per "&amp;VLOOKUP($C$4,'Writing Logic'!$G$8:$H$14,2,FALSE),YES_Writing_ELA[#Headers],0)))),"")</f>
        <v/>
      </c>
      <c r="E511" s="138" t="str">
        <f>IFERROR(IF(IF(INDEX(_xlfn.VSTACK(YES_Writing_ELA[#Data],YES_Writing_FLA[#Data]),MATCH($A511,_xlfn.VSTACK(YES_Writing_ELA[Student Number],YES_Writing_FLA[Student Number]),0),MATCH(VLOOKUP(E$7,'Writing Logic'!$J$7:$K$11,2,FALSE)&amp;" - Per "&amp;VLOOKUP($C$4,'Writing Logic'!$G$8:$H$14,2,FALSE),YES_Writing_ELA[#Headers],0))=0,"",INDEX(_xlfn.VSTACK(YES_Writing_ELA[#Data],YES_Writing_FLA[#Data]),MATCH($A511,_xlfn.VSTACK(YES_Writing_ELA[Student Number],YES_Writing_FLA[Student Number]),0),MATCH(VLOOKUP(E$7,'Writing Logic'!$J$7:$K$11,2,FALSE)&amp;" - Per "&amp;VLOOKUP($C$4,'Writing Logic'!$G$8:$H$14,2,FALSE),YES_Writing_ELA[#Headers],0)))="INS",'Writing Logic'!$B$7,IF(INDEX(_xlfn.VSTACK(YES_Writing_ELA[#Data],YES_Writing_FLA[#Data]),MATCH($A511,_xlfn.VSTACK(YES_Writing_ELA[Student Number],YES_Writing_FLA[Student Number]),0),MATCH(VLOOKUP(E$7,'Writing Logic'!$J$7:$K$11,2,FALSE)&amp;" - Per "&amp;VLOOKUP($C$4,'Writing Logic'!$G$8:$H$14,2,FALSE),YES_Writing_ELA[#Headers],0))=0,"",INDEX(_xlfn.VSTACK(YES_Writing_ELA[#Data],YES_Writing_FLA[#Data]),MATCH($A511,_xlfn.VSTACK(YES_Writing_ELA[Student Number],YES_Writing_FLA[Student Number]),0),MATCH(VLOOKUP(E$7,'Writing Logic'!$J$7:$K$11,2,FALSE)&amp;" - Per "&amp;VLOOKUP($C$4,'Writing Logic'!$G$8:$H$14,2,FALSE),YES_Writing_ELA[#Headers],0)))),"")</f>
        <v/>
      </c>
      <c r="F511" s="138" t="str">
        <f>IFERROR(IF(IF(INDEX(_xlfn.VSTACK(YES_Writing_ELA[#Data],YES_Writing_FLA[#Data]),MATCH($A511,_xlfn.VSTACK(YES_Writing_ELA[Student Number],YES_Writing_FLA[Student Number]),0),MATCH(VLOOKUP(F$7,'Writing Logic'!$J$7:$K$11,2,FALSE)&amp;" - Per "&amp;VLOOKUP($C$4,'Writing Logic'!$G$8:$H$14,2,FALSE),YES_Writing_ELA[#Headers],0))=0,"",INDEX(_xlfn.VSTACK(YES_Writing_ELA[#Data],YES_Writing_FLA[#Data]),MATCH($A511,_xlfn.VSTACK(YES_Writing_ELA[Student Number],YES_Writing_FLA[Student Number]),0),MATCH(VLOOKUP(F$7,'Writing Logic'!$J$7:$K$11,2,FALSE)&amp;" - Per "&amp;VLOOKUP($C$4,'Writing Logic'!$G$8:$H$14,2,FALSE),YES_Writing_ELA[#Headers],0)))="INS",'Writing Logic'!$B$7,IF(INDEX(_xlfn.VSTACK(YES_Writing_ELA[#Data],YES_Writing_FLA[#Data]),MATCH($A511,_xlfn.VSTACK(YES_Writing_ELA[Student Number],YES_Writing_FLA[Student Number]),0),MATCH(VLOOKUP(F$7,'Writing Logic'!$J$7:$K$11,2,FALSE)&amp;" - Per "&amp;VLOOKUP($C$4,'Writing Logic'!$G$8:$H$14,2,FALSE),YES_Writing_ELA[#Headers],0))=0,"",INDEX(_xlfn.VSTACK(YES_Writing_ELA[#Data],YES_Writing_FLA[#Data]),MATCH($A511,_xlfn.VSTACK(YES_Writing_ELA[Student Number],YES_Writing_FLA[Student Number]),0),MATCH(VLOOKUP(F$7,'Writing Logic'!$J$7:$K$11,2,FALSE)&amp;" - Per "&amp;VLOOKUP($C$4,'Writing Logic'!$G$8:$H$14,2,FALSE),YES_Writing_ELA[#Headers],0)))),"")</f>
        <v/>
      </c>
      <c r="G511" s="138" t="str">
        <f>IFERROR(IF(IF(INDEX(_xlfn.VSTACK(YES_Writing_ELA[#Data],YES_Writing_FLA[#Data]),MATCH($A511,_xlfn.VSTACK(YES_Writing_ELA[Student Number],YES_Writing_FLA[Student Number]),0),MATCH(VLOOKUP(G$7,'Writing Logic'!$J$7:$K$11,2,FALSE)&amp;" - Per "&amp;VLOOKUP($C$4,'Writing Logic'!$G$8:$H$14,2,FALSE),YES_Writing_ELA[#Headers],0))=0,"",INDEX(_xlfn.VSTACK(YES_Writing_ELA[#Data],YES_Writing_FLA[#Data]),MATCH($A511,_xlfn.VSTACK(YES_Writing_ELA[Student Number],YES_Writing_FLA[Student Number]),0),MATCH(VLOOKUP(G$7,'Writing Logic'!$J$7:$K$11,2,FALSE)&amp;" - Per "&amp;VLOOKUP($C$4,'Writing Logic'!$G$8:$H$14,2,FALSE),YES_Writing_ELA[#Headers],0)))="INS",'Writing Logic'!$B$7,IF(INDEX(_xlfn.VSTACK(YES_Writing_ELA[#Data],YES_Writing_FLA[#Data]),MATCH($A511,_xlfn.VSTACK(YES_Writing_ELA[Student Number],YES_Writing_FLA[Student Number]),0),MATCH(VLOOKUP(G$7,'Writing Logic'!$J$7:$K$11,2,FALSE)&amp;" - Per "&amp;VLOOKUP($C$4,'Writing Logic'!$G$8:$H$14,2,FALSE),YES_Writing_ELA[#Headers],0))=0,"",INDEX(_xlfn.VSTACK(YES_Writing_ELA[#Data],YES_Writing_FLA[#Data]),MATCH($A511,_xlfn.VSTACK(YES_Writing_ELA[Student Number],YES_Writing_FLA[Student Number]),0),MATCH(VLOOKUP(G$7,'Writing Logic'!$J$7:$K$11,2,FALSE)&amp;" - Per "&amp;VLOOKUP($C$4,'Writing Logic'!$G$8:$H$14,2,FALSE),YES_Writing_ELA[#Headers],0)))),"")</f>
        <v/>
      </c>
      <c r="H511" s="138" t="str">
        <f>IFERROR(IF(IF(INDEX(_xlfn.VSTACK(YES_Writing_ELA[#Data],YES_Writing_FLA[#Data]),MATCH($A511,_xlfn.VSTACK(YES_Writing_ELA[Student Number],YES_Writing_FLA[Student Number]),0),MATCH(VLOOKUP(H$7,'Writing Logic'!$J$7:$K$11,2,FALSE)&amp;" - Per "&amp;VLOOKUP($C$4,'Writing Logic'!$G$8:$H$14,2,FALSE),YES_Writing_ELA[#Headers],0))=0,"",INDEX(_xlfn.VSTACK(YES_Writing_ELA[#Data],YES_Writing_FLA[#Data]),MATCH($A511,_xlfn.VSTACK(YES_Writing_ELA[Student Number],YES_Writing_FLA[Student Number]),0),MATCH(VLOOKUP(H$7,'Writing Logic'!$J$7:$K$11,2,FALSE)&amp;" - Per "&amp;VLOOKUP($C$4,'Writing Logic'!$G$8:$H$14,2,FALSE),YES_Writing_ELA[#Headers],0)))="INS",'Writing Logic'!$B$7,IF(INDEX(_xlfn.VSTACK(YES_Writing_ELA[#Data],YES_Writing_FLA[#Data]),MATCH($A511,_xlfn.VSTACK(YES_Writing_ELA[Student Number],YES_Writing_FLA[Student Number]),0),MATCH(VLOOKUP(H$7,'Writing Logic'!$J$7:$K$11,2,FALSE)&amp;" - Per "&amp;VLOOKUP($C$4,'Writing Logic'!$G$8:$H$14,2,FALSE),YES_Writing_ELA[#Headers],0))=0,"",INDEX(_xlfn.VSTACK(YES_Writing_ELA[#Data],YES_Writing_FLA[#Data]),MATCH($A511,_xlfn.VSTACK(YES_Writing_ELA[Student Number],YES_Writing_FLA[Student Number]),0),MATCH(VLOOKUP(H$7,'Writing Logic'!$J$7:$K$11,2,FALSE)&amp;" - Per "&amp;VLOOKUP($C$4,'Writing Logic'!$G$8:$H$14,2,FALSE),YES_Writing_ELA[#Headers],0)))),"")</f>
        <v/>
      </c>
    </row>
    <row r="512" spans="1:8" x14ac:dyDescent="0.25">
      <c r="A512" s="137"/>
      <c r="B512" s="137" t="str">
        <f>IFERROR(INDEX(_xlfn.VSTACK(YES_Writing_ELA[#Data], YES_Writing_FLA[#Data]),MATCH($A512,_xlfn.VSTACK(YES_Writing_ELA[Student Number], YES_Writing_FLA[Student Number]),0),MATCH(B$7,YES_Writing_ELA[#Headers],0)),"")</f>
        <v/>
      </c>
      <c r="C512" s="137" t="str">
        <f>IFERROR(INDEX(_xlfn.VSTACK(YES_Writing_ELA[#Data], YES_Writing_FLA[#Data]),MATCH($A512,_xlfn.VSTACK(YES_Writing_ELA[Student Number], YES_Writing_FLA[Student Number]),0),MATCH(C$7,YES_Writing_ELA[#Headers],0)),"")</f>
        <v/>
      </c>
      <c r="D512" s="138" t="str">
        <f>IFERROR(IF(IF(INDEX(_xlfn.VSTACK(YES_Writing_ELA[#Data],YES_Writing_FLA[#Data]),MATCH($A512,_xlfn.VSTACK(YES_Writing_ELA[Student Number],YES_Writing_FLA[Student Number]),0),MATCH(VLOOKUP(D$7,'Writing Logic'!$J$7:$K$11,2,FALSE)&amp;" - Per "&amp;VLOOKUP($C$4,'Writing Logic'!$G$8:$H$14,2,FALSE),YES_Writing_ELA[#Headers],0))=0,"",INDEX(_xlfn.VSTACK(YES_Writing_ELA[#Data],YES_Writing_FLA[#Data]),MATCH($A512,_xlfn.VSTACK(YES_Writing_ELA[Student Number],YES_Writing_FLA[Student Number]),0),MATCH(VLOOKUP(D$7,'Writing Logic'!$J$7:$K$11,2,FALSE)&amp;" - Per "&amp;VLOOKUP($C$4,'Writing Logic'!$G$8:$H$14,2,FALSE),YES_Writing_ELA[#Headers],0)))="INS",'Writing Logic'!$B$7,IF(INDEX(_xlfn.VSTACK(YES_Writing_ELA[#Data],YES_Writing_FLA[#Data]),MATCH($A512,_xlfn.VSTACK(YES_Writing_ELA[Student Number],YES_Writing_FLA[Student Number]),0),MATCH(VLOOKUP(D$7,'Writing Logic'!$J$7:$K$11,2,FALSE)&amp;" - Per "&amp;VLOOKUP($C$4,'Writing Logic'!$G$8:$H$14,2,FALSE),YES_Writing_ELA[#Headers],0))=0,"",INDEX(_xlfn.VSTACK(YES_Writing_ELA[#Data],YES_Writing_FLA[#Data]),MATCH($A512,_xlfn.VSTACK(YES_Writing_ELA[Student Number],YES_Writing_FLA[Student Number]),0),MATCH(VLOOKUP(D$7,'Writing Logic'!$J$7:$K$11,2,FALSE)&amp;" - Per "&amp;VLOOKUP($C$4,'Writing Logic'!$G$8:$H$14,2,FALSE),YES_Writing_ELA[#Headers],0)))),"")</f>
        <v/>
      </c>
      <c r="E512" s="138" t="str">
        <f>IFERROR(IF(IF(INDEX(_xlfn.VSTACK(YES_Writing_ELA[#Data],YES_Writing_FLA[#Data]),MATCH($A512,_xlfn.VSTACK(YES_Writing_ELA[Student Number],YES_Writing_FLA[Student Number]),0),MATCH(VLOOKUP(E$7,'Writing Logic'!$J$7:$K$11,2,FALSE)&amp;" - Per "&amp;VLOOKUP($C$4,'Writing Logic'!$G$8:$H$14,2,FALSE),YES_Writing_ELA[#Headers],0))=0,"",INDEX(_xlfn.VSTACK(YES_Writing_ELA[#Data],YES_Writing_FLA[#Data]),MATCH($A512,_xlfn.VSTACK(YES_Writing_ELA[Student Number],YES_Writing_FLA[Student Number]),0),MATCH(VLOOKUP(E$7,'Writing Logic'!$J$7:$K$11,2,FALSE)&amp;" - Per "&amp;VLOOKUP($C$4,'Writing Logic'!$G$8:$H$14,2,FALSE),YES_Writing_ELA[#Headers],0)))="INS",'Writing Logic'!$B$7,IF(INDEX(_xlfn.VSTACK(YES_Writing_ELA[#Data],YES_Writing_FLA[#Data]),MATCH($A512,_xlfn.VSTACK(YES_Writing_ELA[Student Number],YES_Writing_FLA[Student Number]),0),MATCH(VLOOKUP(E$7,'Writing Logic'!$J$7:$K$11,2,FALSE)&amp;" - Per "&amp;VLOOKUP($C$4,'Writing Logic'!$G$8:$H$14,2,FALSE),YES_Writing_ELA[#Headers],0))=0,"",INDEX(_xlfn.VSTACK(YES_Writing_ELA[#Data],YES_Writing_FLA[#Data]),MATCH($A512,_xlfn.VSTACK(YES_Writing_ELA[Student Number],YES_Writing_FLA[Student Number]),0),MATCH(VLOOKUP(E$7,'Writing Logic'!$J$7:$K$11,2,FALSE)&amp;" - Per "&amp;VLOOKUP($C$4,'Writing Logic'!$G$8:$H$14,2,FALSE),YES_Writing_ELA[#Headers],0)))),"")</f>
        <v/>
      </c>
      <c r="F512" s="138" t="str">
        <f>IFERROR(IF(IF(INDEX(_xlfn.VSTACK(YES_Writing_ELA[#Data],YES_Writing_FLA[#Data]),MATCH($A512,_xlfn.VSTACK(YES_Writing_ELA[Student Number],YES_Writing_FLA[Student Number]),0),MATCH(VLOOKUP(F$7,'Writing Logic'!$J$7:$K$11,2,FALSE)&amp;" - Per "&amp;VLOOKUP($C$4,'Writing Logic'!$G$8:$H$14,2,FALSE),YES_Writing_ELA[#Headers],0))=0,"",INDEX(_xlfn.VSTACK(YES_Writing_ELA[#Data],YES_Writing_FLA[#Data]),MATCH($A512,_xlfn.VSTACK(YES_Writing_ELA[Student Number],YES_Writing_FLA[Student Number]),0),MATCH(VLOOKUP(F$7,'Writing Logic'!$J$7:$K$11,2,FALSE)&amp;" - Per "&amp;VLOOKUP($C$4,'Writing Logic'!$G$8:$H$14,2,FALSE),YES_Writing_ELA[#Headers],0)))="INS",'Writing Logic'!$B$7,IF(INDEX(_xlfn.VSTACK(YES_Writing_ELA[#Data],YES_Writing_FLA[#Data]),MATCH($A512,_xlfn.VSTACK(YES_Writing_ELA[Student Number],YES_Writing_FLA[Student Number]),0),MATCH(VLOOKUP(F$7,'Writing Logic'!$J$7:$K$11,2,FALSE)&amp;" - Per "&amp;VLOOKUP($C$4,'Writing Logic'!$G$8:$H$14,2,FALSE),YES_Writing_ELA[#Headers],0))=0,"",INDEX(_xlfn.VSTACK(YES_Writing_ELA[#Data],YES_Writing_FLA[#Data]),MATCH($A512,_xlfn.VSTACK(YES_Writing_ELA[Student Number],YES_Writing_FLA[Student Number]),0),MATCH(VLOOKUP(F$7,'Writing Logic'!$J$7:$K$11,2,FALSE)&amp;" - Per "&amp;VLOOKUP($C$4,'Writing Logic'!$G$8:$H$14,2,FALSE),YES_Writing_ELA[#Headers],0)))),"")</f>
        <v/>
      </c>
      <c r="G512" s="138" t="str">
        <f>IFERROR(IF(IF(INDEX(_xlfn.VSTACK(YES_Writing_ELA[#Data],YES_Writing_FLA[#Data]),MATCH($A512,_xlfn.VSTACK(YES_Writing_ELA[Student Number],YES_Writing_FLA[Student Number]),0),MATCH(VLOOKUP(G$7,'Writing Logic'!$J$7:$K$11,2,FALSE)&amp;" - Per "&amp;VLOOKUP($C$4,'Writing Logic'!$G$8:$H$14,2,FALSE),YES_Writing_ELA[#Headers],0))=0,"",INDEX(_xlfn.VSTACK(YES_Writing_ELA[#Data],YES_Writing_FLA[#Data]),MATCH($A512,_xlfn.VSTACK(YES_Writing_ELA[Student Number],YES_Writing_FLA[Student Number]),0),MATCH(VLOOKUP(G$7,'Writing Logic'!$J$7:$K$11,2,FALSE)&amp;" - Per "&amp;VLOOKUP($C$4,'Writing Logic'!$G$8:$H$14,2,FALSE),YES_Writing_ELA[#Headers],0)))="INS",'Writing Logic'!$B$7,IF(INDEX(_xlfn.VSTACK(YES_Writing_ELA[#Data],YES_Writing_FLA[#Data]),MATCH($A512,_xlfn.VSTACK(YES_Writing_ELA[Student Number],YES_Writing_FLA[Student Number]),0),MATCH(VLOOKUP(G$7,'Writing Logic'!$J$7:$K$11,2,FALSE)&amp;" - Per "&amp;VLOOKUP($C$4,'Writing Logic'!$G$8:$H$14,2,FALSE),YES_Writing_ELA[#Headers],0))=0,"",INDEX(_xlfn.VSTACK(YES_Writing_ELA[#Data],YES_Writing_FLA[#Data]),MATCH($A512,_xlfn.VSTACK(YES_Writing_ELA[Student Number],YES_Writing_FLA[Student Number]),0),MATCH(VLOOKUP(G$7,'Writing Logic'!$J$7:$K$11,2,FALSE)&amp;" - Per "&amp;VLOOKUP($C$4,'Writing Logic'!$G$8:$H$14,2,FALSE),YES_Writing_ELA[#Headers],0)))),"")</f>
        <v/>
      </c>
      <c r="H512" s="138" t="str">
        <f>IFERROR(IF(IF(INDEX(_xlfn.VSTACK(YES_Writing_ELA[#Data],YES_Writing_FLA[#Data]),MATCH($A512,_xlfn.VSTACK(YES_Writing_ELA[Student Number],YES_Writing_FLA[Student Number]),0),MATCH(VLOOKUP(H$7,'Writing Logic'!$J$7:$K$11,2,FALSE)&amp;" - Per "&amp;VLOOKUP($C$4,'Writing Logic'!$G$8:$H$14,2,FALSE),YES_Writing_ELA[#Headers],0))=0,"",INDEX(_xlfn.VSTACK(YES_Writing_ELA[#Data],YES_Writing_FLA[#Data]),MATCH($A512,_xlfn.VSTACK(YES_Writing_ELA[Student Number],YES_Writing_FLA[Student Number]),0),MATCH(VLOOKUP(H$7,'Writing Logic'!$J$7:$K$11,2,FALSE)&amp;" - Per "&amp;VLOOKUP($C$4,'Writing Logic'!$G$8:$H$14,2,FALSE),YES_Writing_ELA[#Headers],0)))="INS",'Writing Logic'!$B$7,IF(INDEX(_xlfn.VSTACK(YES_Writing_ELA[#Data],YES_Writing_FLA[#Data]),MATCH($A512,_xlfn.VSTACK(YES_Writing_ELA[Student Number],YES_Writing_FLA[Student Number]),0),MATCH(VLOOKUP(H$7,'Writing Logic'!$J$7:$K$11,2,FALSE)&amp;" - Per "&amp;VLOOKUP($C$4,'Writing Logic'!$G$8:$H$14,2,FALSE),YES_Writing_ELA[#Headers],0))=0,"",INDEX(_xlfn.VSTACK(YES_Writing_ELA[#Data],YES_Writing_FLA[#Data]),MATCH($A512,_xlfn.VSTACK(YES_Writing_ELA[Student Number],YES_Writing_FLA[Student Number]),0),MATCH(VLOOKUP(H$7,'Writing Logic'!$J$7:$K$11,2,FALSE)&amp;" - Per "&amp;VLOOKUP($C$4,'Writing Logic'!$G$8:$H$14,2,FALSE),YES_Writing_ELA[#Headers],0)))),"")</f>
        <v/>
      </c>
    </row>
    <row r="513" spans="1:8" x14ac:dyDescent="0.25">
      <c r="A513" s="137"/>
      <c r="B513" s="137" t="str">
        <f>IFERROR(INDEX(_xlfn.VSTACK(YES_Writing_ELA[#Data], YES_Writing_FLA[#Data]),MATCH($A513,_xlfn.VSTACK(YES_Writing_ELA[Student Number], YES_Writing_FLA[Student Number]),0),MATCH(B$7,YES_Writing_ELA[#Headers],0)),"")</f>
        <v/>
      </c>
      <c r="C513" s="137" t="str">
        <f>IFERROR(INDEX(_xlfn.VSTACK(YES_Writing_ELA[#Data], YES_Writing_FLA[#Data]),MATCH($A513,_xlfn.VSTACK(YES_Writing_ELA[Student Number], YES_Writing_FLA[Student Number]),0),MATCH(C$7,YES_Writing_ELA[#Headers],0)),"")</f>
        <v/>
      </c>
      <c r="D513" s="138" t="str">
        <f>IFERROR(IF(IF(INDEX(_xlfn.VSTACK(YES_Writing_ELA[#Data],YES_Writing_FLA[#Data]),MATCH($A513,_xlfn.VSTACK(YES_Writing_ELA[Student Number],YES_Writing_FLA[Student Number]),0),MATCH(VLOOKUP(D$7,'Writing Logic'!$J$7:$K$11,2,FALSE)&amp;" - Per "&amp;VLOOKUP($C$4,'Writing Logic'!$G$8:$H$14,2,FALSE),YES_Writing_ELA[#Headers],0))=0,"",INDEX(_xlfn.VSTACK(YES_Writing_ELA[#Data],YES_Writing_FLA[#Data]),MATCH($A513,_xlfn.VSTACK(YES_Writing_ELA[Student Number],YES_Writing_FLA[Student Number]),0),MATCH(VLOOKUP(D$7,'Writing Logic'!$J$7:$K$11,2,FALSE)&amp;" - Per "&amp;VLOOKUP($C$4,'Writing Logic'!$G$8:$H$14,2,FALSE),YES_Writing_ELA[#Headers],0)))="INS",'Writing Logic'!$B$7,IF(INDEX(_xlfn.VSTACK(YES_Writing_ELA[#Data],YES_Writing_FLA[#Data]),MATCH($A513,_xlfn.VSTACK(YES_Writing_ELA[Student Number],YES_Writing_FLA[Student Number]),0),MATCH(VLOOKUP(D$7,'Writing Logic'!$J$7:$K$11,2,FALSE)&amp;" - Per "&amp;VLOOKUP($C$4,'Writing Logic'!$G$8:$H$14,2,FALSE),YES_Writing_ELA[#Headers],0))=0,"",INDEX(_xlfn.VSTACK(YES_Writing_ELA[#Data],YES_Writing_FLA[#Data]),MATCH($A513,_xlfn.VSTACK(YES_Writing_ELA[Student Number],YES_Writing_FLA[Student Number]),0),MATCH(VLOOKUP(D$7,'Writing Logic'!$J$7:$K$11,2,FALSE)&amp;" - Per "&amp;VLOOKUP($C$4,'Writing Logic'!$G$8:$H$14,2,FALSE),YES_Writing_ELA[#Headers],0)))),"")</f>
        <v/>
      </c>
      <c r="E513" s="138" t="str">
        <f>IFERROR(IF(IF(INDEX(_xlfn.VSTACK(YES_Writing_ELA[#Data],YES_Writing_FLA[#Data]),MATCH($A513,_xlfn.VSTACK(YES_Writing_ELA[Student Number],YES_Writing_FLA[Student Number]),0),MATCH(VLOOKUP(E$7,'Writing Logic'!$J$7:$K$11,2,FALSE)&amp;" - Per "&amp;VLOOKUP($C$4,'Writing Logic'!$G$8:$H$14,2,FALSE),YES_Writing_ELA[#Headers],0))=0,"",INDEX(_xlfn.VSTACK(YES_Writing_ELA[#Data],YES_Writing_FLA[#Data]),MATCH($A513,_xlfn.VSTACK(YES_Writing_ELA[Student Number],YES_Writing_FLA[Student Number]),0),MATCH(VLOOKUP(E$7,'Writing Logic'!$J$7:$K$11,2,FALSE)&amp;" - Per "&amp;VLOOKUP($C$4,'Writing Logic'!$G$8:$H$14,2,FALSE),YES_Writing_ELA[#Headers],0)))="INS",'Writing Logic'!$B$7,IF(INDEX(_xlfn.VSTACK(YES_Writing_ELA[#Data],YES_Writing_FLA[#Data]),MATCH($A513,_xlfn.VSTACK(YES_Writing_ELA[Student Number],YES_Writing_FLA[Student Number]),0),MATCH(VLOOKUP(E$7,'Writing Logic'!$J$7:$K$11,2,FALSE)&amp;" - Per "&amp;VLOOKUP($C$4,'Writing Logic'!$G$8:$H$14,2,FALSE),YES_Writing_ELA[#Headers],0))=0,"",INDEX(_xlfn.VSTACK(YES_Writing_ELA[#Data],YES_Writing_FLA[#Data]),MATCH($A513,_xlfn.VSTACK(YES_Writing_ELA[Student Number],YES_Writing_FLA[Student Number]),0),MATCH(VLOOKUP(E$7,'Writing Logic'!$J$7:$K$11,2,FALSE)&amp;" - Per "&amp;VLOOKUP($C$4,'Writing Logic'!$G$8:$H$14,2,FALSE),YES_Writing_ELA[#Headers],0)))),"")</f>
        <v/>
      </c>
      <c r="F513" s="138" t="str">
        <f>IFERROR(IF(IF(INDEX(_xlfn.VSTACK(YES_Writing_ELA[#Data],YES_Writing_FLA[#Data]),MATCH($A513,_xlfn.VSTACK(YES_Writing_ELA[Student Number],YES_Writing_FLA[Student Number]),0),MATCH(VLOOKUP(F$7,'Writing Logic'!$J$7:$K$11,2,FALSE)&amp;" - Per "&amp;VLOOKUP($C$4,'Writing Logic'!$G$8:$H$14,2,FALSE),YES_Writing_ELA[#Headers],0))=0,"",INDEX(_xlfn.VSTACK(YES_Writing_ELA[#Data],YES_Writing_FLA[#Data]),MATCH($A513,_xlfn.VSTACK(YES_Writing_ELA[Student Number],YES_Writing_FLA[Student Number]),0),MATCH(VLOOKUP(F$7,'Writing Logic'!$J$7:$K$11,2,FALSE)&amp;" - Per "&amp;VLOOKUP($C$4,'Writing Logic'!$G$8:$H$14,2,FALSE),YES_Writing_ELA[#Headers],0)))="INS",'Writing Logic'!$B$7,IF(INDEX(_xlfn.VSTACK(YES_Writing_ELA[#Data],YES_Writing_FLA[#Data]),MATCH($A513,_xlfn.VSTACK(YES_Writing_ELA[Student Number],YES_Writing_FLA[Student Number]),0),MATCH(VLOOKUP(F$7,'Writing Logic'!$J$7:$K$11,2,FALSE)&amp;" - Per "&amp;VLOOKUP($C$4,'Writing Logic'!$G$8:$H$14,2,FALSE),YES_Writing_ELA[#Headers],0))=0,"",INDEX(_xlfn.VSTACK(YES_Writing_ELA[#Data],YES_Writing_FLA[#Data]),MATCH($A513,_xlfn.VSTACK(YES_Writing_ELA[Student Number],YES_Writing_FLA[Student Number]),0),MATCH(VLOOKUP(F$7,'Writing Logic'!$J$7:$K$11,2,FALSE)&amp;" - Per "&amp;VLOOKUP($C$4,'Writing Logic'!$G$8:$H$14,2,FALSE),YES_Writing_ELA[#Headers],0)))),"")</f>
        <v/>
      </c>
      <c r="G513" s="138" t="str">
        <f>IFERROR(IF(IF(INDEX(_xlfn.VSTACK(YES_Writing_ELA[#Data],YES_Writing_FLA[#Data]),MATCH($A513,_xlfn.VSTACK(YES_Writing_ELA[Student Number],YES_Writing_FLA[Student Number]),0),MATCH(VLOOKUP(G$7,'Writing Logic'!$J$7:$K$11,2,FALSE)&amp;" - Per "&amp;VLOOKUP($C$4,'Writing Logic'!$G$8:$H$14,2,FALSE),YES_Writing_ELA[#Headers],0))=0,"",INDEX(_xlfn.VSTACK(YES_Writing_ELA[#Data],YES_Writing_FLA[#Data]),MATCH($A513,_xlfn.VSTACK(YES_Writing_ELA[Student Number],YES_Writing_FLA[Student Number]),0),MATCH(VLOOKUP(G$7,'Writing Logic'!$J$7:$K$11,2,FALSE)&amp;" - Per "&amp;VLOOKUP($C$4,'Writing Logic'!$G$8:$H$14,2,FALSE),YES_Writing_ELA[#Headers],0)))="INS",'Writing Logic'!$B$7,IF(INDEX(_xlfn.VSTACK(YES_Writing_ELA[#Data],YES_Writing_FLA[#Data]),MATCH($A513,_xlfn.VSTACK(YES_Writing_ELA[Student Number],YES_Writing_FLA[Student Number]),0),MATCH(VLOOKUP(G$7,'Writing Logic'!$J$7:$K$11,2,FALSE)&amp;" - Per "&amp;VLOOKUP($C$4,'Writing Logic'!$G$8:$H$14,2,FALSE),YES_Writing_ELA[#Headers],0))=0,"",INDEX(_xlfn.VSTACK(YES_Writing_ELA[#Data],YES_Writing_FLA[#Data]),MATCH($A513,_xlfn.VSTACK(YES_Writing_ELA[Student Number],YES_Writing_FLA[Student Number]),0),MATCH(VLOOKUP(G$7,'Writing Logic'!$J$7:$K$11,2,FALSE)&amp;" - Per "&amp;VLOOKUP($C$4,'Writing Logic'!$G$8:$H$14,2,FALSE),YES_Writing_ELA[#Headers],0)))),"")</f>
        <v/>
      </c>
      <c r="H513" s="138" t="str">
        <f>IFERROR(IF(IF(INDEX(_xlfn.VSTACK(YES_Writing_ELA[#Data],YES_Writing_FLA[#Data]),MATCH($A513,_xlfn.VSTACK(YES_Writing_ELA[Student Number],YES_Writing_FLA[Student Number]),0),MATCH(VLOOKUP(H$7,'Writing Logic'!$J$7:$K$11,2,FALSE)&amp;" - Per "&amp;VLOOKUP($C$4,'Writing Logic'!$G$8:$H$14,2,FALSE),YES_Writing_ELA[#Headers],0))=0,"",INDEX(_xlfn.VSTACK(YES_Writing_ELA[#Data],YES_Writing_FLA[#Data]),MATCH($A513,_xlfn.VSTACK(YES_Writing_ELA[Student Number],YES_Writing_FLA[Student Number]),0),MATCH(VLOOKUP(H$7,'Writing Logic'!$J$7:$K$11,2,FALSE)&amp;" - Per "&amp;VLOOKUP($C$4,'Writing Logic'!$G$8:$H$14,2,FALSE),YES_Writing_ELA[#Headers],0)))="INS",'Writing Logic'!$B$7,IF(INDEX(_xlfn.VSTACK(YES_Writing_ELA[#Data],YES_Writing_FLA[#Data]),MATCH($A513,_xlfn.VSTACK(YES_Writing_ELA[Student Number],YES_Writing_FLA[Student Number]),0),MATCH(VLOOKUP(H$7,'Writing Logic'!$J$7:$K$11,2,FALSE)&amp;" - Per "&amp;VLOOKUP($C$4,'Writing Logic'!$G$8:$H$14,2,FALSE),YES_Writing_ELA[#Headers],0))=0,"",INDEX(_xlfn.VSTACK(YES_Writing_ELA[#Data],YES_Writing_FLA[#Data]),MATCH($A513,_xlfn.VSTACK(YES_Writing_ELA[Student Number],YES_Writing_FLA[Student Number]),0),MATCH(VLOOKUP(H$7,'Writing Logic'!$J$7:$K$11,2,FALSE)&amp;" - Per "&amp;VLOOKUP($C$4,'Writing Logic'!$G$8:$H$14,2,FALSE),YES_Writing_ELA[#Headers],0)))),"")</f>
        <v/>
      </c>
    </row>
    <row r="514" spans="1:8" x14ac:dyDescent="0.25">
      <c r="A514" s="137"/>
      <c r="B514" s="137" t="str">
        <f>IFERROR(INDEX(_xlfn.VSTACK(YES_Writing_ELA[#Data], YES_Writing_FLA[#Data]),MATCH($A514,_xlfn.VSTACK(YES_Writing_ELA[Student Number], YES_Writing_FLA[Student Number]),0),MATCH(B$7,YES_Writing_ELA[#Headers],0)),"")</f>
        <v/>
      </c>
      <c r="C514" s="137" t="str">
        <f>IFERROR(INDEX(_xlfn.VSTACK(YES_Writing_ELA[#Data], YES_Writing_FLA[#Data]),MATCH($A514,_xlfn.VSTACK(YES_Writing_ELA[Student Number], YES_Writing_FLA[Student Number]),0),MATCH(C$7,YES_Writing_ELA[#Headers],0)),"")</f>
        <v/>
      </c>
      <c r="D514" s="138" t="str">
        <f>IFERROR(IF(IF(INDEX(_xlfn.VSTACK(YES_Writing_ELA[#Data],YES_Writing_FLA[#Data]),MATCH($A514,_xlfn.VSTACK(YES_Writing_ELA[Student Number],YES_Writing_FLA[Student Number]),0),MATCH(VLOOKUP(D$7,'Writing Logic'!$J$7:$K$11,2,FALSE)&amp;" - Per "&amp;VLOOKUP($C$4,'Writing Logic'!$G$8:$H$14,2,FALSE),YES_Writing_ELA[#Headers],0))=0,"",INDEX(_xlfn.VSTACK(YES_Writing_ELA[#Data],YES_Writing_FLA[#Data]),MATCH($A514,_xlfn.VSTACK(YES_Writing_ELA[Student Number],YES_Writing_FLA[Student Number]),0),MATCH(VLOOKUP(D$7,'Writing Logic'!$J$7:$K$11,2,FALSE)&amp;" - Per "&amp;VLOOKUP($C$4,'Writing Logic'!$G$8:$H$14,2,FALSE),YES_Writing_ELA[#Headers],0)))="INS",'Writing Logic'!$B$7,IF(INDEX(_xlfn.VSTACK(YES_Writing_ELA[#Data],YES_Writing_FLA[#Data]),MATCH($A514,_xlfn.VSTACK(YES_Writing_ELA[Student Number],YES_Writing_FLA[Student Number]),0),MATCH(VLOOKUP(D$7,'Writing Logic'!$J$7:$K$11,2,FALSE)&amp;" - Per "&amp;VLOOKUP($C$4,'Writing Logic'!$G$8:$H$14,2,FALSE),YES_Writing_ELA[#Headers],0))=0,"",INDEX(_xlfn.VSTACK(YES_Writing_ELA[#Data],YES_Writing_FLA[#Data]),MATCH($A514,_xlfn.VSTACK(YES_Writing_ELA[Student Number],YES_Writing_FLA[Student Number]),0),MATCH(VLOOKUP(D$7,'Writing Logic'!$J$7:$K$11,2,FALSE)&amp;" - Per "&amp;VLOOKUP($C$4,'Writing Logic'!$G$8:$H$14,2,FALSE),YES_Writing_ELA[#Headers],0)))),"")</f>
        <v/>
      </c>
      <c r="E514" s="138" t="str">
        <f>IFERROR(IF(IF(INDEX(_xlfn.VSTACK(YES_Writing_ELA[#Data],YES_Writing_FLA[#Data]),MATCH($A514,_xlfn.VSTACK(YES_Writing_ELA[Student Number],YES_Writing_FLA[Student Number]),0),MATCH(VLOOKUP(E$7,'Writing Logic'!$J$7:$K$11,2,FALSE)&amp;" - Per "&amp;VLOOKUP($C$4,'Writing Logic'!$G$8:$H$14,2,FALSE),YES_Writing_ELA[#Headers],0))=0,"",INDEX(_xlfn.VSTACK(YES_Writing_ELA[#Data],YES_Writing_FLA[#Data]),MATCH($A514,_xlfn.VSTACK(YES_Writing_ELA[Student Number],YES_Writing_FLA[Student Number]),0),MATCH(VLOOKUP(E$7,'Writing Logic'!$J$7:$K$11,2,FALSE)&amp;" - Per "&amp;VLOOKUP($C$4,'Writing Logic'!$G$8:$H$14,2,FALSE),YES_Writing_ELA[#Headers],0)))="INS",'Writing Logic'!$B$7,IF(INDEX(_xlfn.VSTACK(YES_Writing_ELA[#Data],YES_Writing_FLA[#Data]),MATCH($A514,_xlfn.VSTACK(YES_Writing_ELA[Student Number],YES_Writing_FLA[Student Number]),0),MATCH(VLOOKUP(E$7,'Writing Logic'!$J$7:$K$11,2,FALSE)&amp;" - Per "&amp;VLOOKUP($C$4,'Writing Logic'!$G$8:$H$14,2,FALSE),YES_Writing_ELA[#Headers],0))=0,"",INDEX(_xlfn.VSTACK(YES_Writing_ELA[#Data],YES_Writing_FLA[#Data]),MATCH($A514,_xlfn.VSTACK(YES_Writing_ELA[Student Number],YES_Writing_FLA[Student Number]),0),MATCH(VLOOKUP(E$7,'Writing Logic'!$J$7:$K$11,2,FALSE)&amp;" - Per "&amp;VLOOKUP($C$4,'Writing Logic'!$G$8:$H$14,2,FALSE),YES_Writing_ELA[#Headers],0)))),"")</f>
        <v/>
      </c>
      <c r="F514" s="138" t="str">
        <f>IFERROR(IF(IF(INDEX(_xlfn.VSTACK(YES_Writing_ELA[#Data],YES_Writing_FLA[#Data]),MATCH($A514,_xlfn.VSTACK(YES_Writing_ELA[Student Number],YES_Writing_FLA[Student Number]),0),MATCH(VLOOKUP(F$7,'Writing Logic'!$J$7:$K$11,2,FALSE)&amp;" - Per "&amp;VLOOKUP($C$4,'Writing Logic'!$G$8:$H$14,2,FALSE),YES_Writing_ELA[#Headers],0))=0,"",INDEX(_xlfn.VSTACK(YES_Writing_ELA[#Data],YES_Writing_FLA[#Data]),MATCH($A514,_xlfn.VSTACK(YES_Writing_ELA[Student Number],YES_Writing_FLA[Student Number]),0),MATCH(VLOOKUP(F$7,'Writing Logic'!$J$7:$K$11,2,FALSE)&amp;" - Per "&amp;VLOOKUP($C$4,'Writing Logic'!$G$8:$H$14,2,FALSE),YES_Writing_ELA[#Headers],0)))="INS",'Writing Logic'!$B$7,IF(INDEX(_xlfn.VSTACK(YES_Writing_ELA[#Data],YES_Writing_FLA[#Data]),MATCH($A514,_xlfn.VSTACK(YES_Writing_ELA[Student Number],YES_Writing_FLA[Student Number]),0),MATCH(VLOOKUP(F$7,'Writing Logic'!$J$7:$K$11,2,FALSE)&amp;" - Per "&amp;VLOOKUP($C$4,'Writing Logic'!$G$8:$H$14,2,FALSE),YES_Writing_ELA[#Headers],0))=0,"",INDEX(_xlfn.VSTACK(YES_Writing_ELA[#Data],YES_Writing_FLA[#Data]),MATCH($A514,_xlfn.VSTACK(YES_Writing_ELA[Student Number],YES_Writing_FLA[Student Number]),0),MATCH(VLOOKUP(F$7,'Writing Logic'!$J$7:$K$11,2,FALSE)&amp;" - Per "&amp;VLOOKUP($C$4,'Writing Logic'!$G$8:$H$14,2,FALSE),YES_Writing_ELA[#Headers],0)))),"")</f>
        <v/>
      </c>
      <c r="G514" s="138" t="str">
        <f>IFERROR(IF(IF(INDEX(_xlfn.VSTACK(YES_Writing_ELA[#Data],YES_Writing_FLA[#Data]),MATCH($A514,_xlfn.VSTACK(YES_Writing_ELA[Student Number],YES_Writing_FLA[Student Number]),0),MATCH(VLOOKUP(G$7,'Writing Logic'!$J$7:$K$11,2,FALSE)&amp;" - Per "&amp;VLOOKUP($C$4,'Writing Logic'!$G$8:$H$14,2,FALSE),YES_Writing_ELA[#Headers],0))=0,"",INDEX(_xlfn.VSTACK(YES_Writing_ELA[#Data],YES_Writing_FLA[#Data]),MATCH($A514,_xlfn.VSTACK(YES_Writing_ELA[Student Number],YES_Writing_FLA[Student Number]),0),MATCH(VLOOKUP(G$7,'Writing Logic'!$J$7:$K$11,2,FALSE)&amp;" - Per "&amp;VLOOKUP($C$4,'Writing Logic'!$G$8:$H$14,2,FALSE),YES_Writing_ELA[#Headers],0)))="INS",'Writing Logic'!$B$7,IF(INDEX(_xlfn.VSTACK(YES_Writing_ELA[#Data],YES_Writing_FLA[#Data]),MATCH($A514,_xlfn.VSTACK(YES_Writing_ELA[Student Number],YES_Writing_FLA[Student Number]),0),MATCH(VLOOKUP(G$7,'Writing Logic'!$J$7:$K$11,2,FALSE)&amp;" - Per "&amp;VLOOKUP($C$4,'Writing Logic'!$G$8:$H$14,2,FALSE),YES_Writing_ELA[#Headers],0))=0,"",INDEX(_xlfn.VSTACK(YES_Writing_ELA[#Data],YES_Writing_FLA[#Data]),MATCH($A514,_xlfn.VSTACK(YES_Writing_ELA[Student Number],YES_Writing_FLA[Student Number]),0),MATCH(VLOOKUP(G$7,'Writing Logic'!$J$7:$K$11,2,FALSE)&amp;" - Per "&amp;VLOOKUP($C$4,'Writing Logic'!$G$8:$H$14,2,FALSE),YES_Writing_ELA[#Headers],0)))),"")</f>
        <v/>
      </c>
      <c r="H514" s="138" t="str">
        <f>IFERROR(IF(IF(INDEX(_xlfn.VSTACK(YES_Writing_ELA[#Data],YES_Writing_FLA[#Data]),MATCH($A514,_xlfn.VSTACK(YES_Writing_ELA[Student Number],YES_Writing_FLA[Student Number]),0),MATCH(VLOOKUP(H$7,'Writing Logic'!$J$7:$K$11,2,FALSE)&amp;" - Per "&amp;VLOOKUP($C$4,'Writing Logic'!$G$8:$H$14,2,FALSE),YES_Writing_ELA[#Headers],0))=0,"",INDEX(_xlfn.VSTACK(YES_Writing_ELA[#Data],YES_Writing_FLA[#Data]),MATCH($A514,_xlfn.VSTACK(YES_Writing_ELA[Student Number],YES_Writing_FLA[Student Number]),0),MATCH(VLOOKUP(H$7,'Writing Logic'!$J$7:$K$11,2,FALSE)&amp;" - Per "&amp;VLOOKUP($C$4,'Writing Logic'!$G$8:$H$14,2,FALSE),YES_Writing_ELA[#Headers],0)))="INS",'Writing Logic'!$B$7,IF(INDEX(_xlfn.VSTACK(YES_Writing_ELA[#Data],YES_Writing_FLA[#Data]),MATCH($A514,_xlfn.VSTACK(YES_Writing_ELA[Student Number],YES_Writing_FLA[Student Number]),0),MATCH(VLOOKUP(H$7,'Writing Logic'!$J$7:$K$11,2,FALSE)&amp;" - Per "&amp;VLOOKUP($C$4,'Writing Logic'!$G$8:$H$14,2,FALSE),YES_Writing_ELA[#Headers],0))=0,"",INDEX(_xlfn.VSTACK(YES_Writing_ELA[#Data],YES_Writing_FLA[#Data]),MATCH($A514,_xlfn.VSTACK(YES_Writing_ELA[Student Number],YES_Writing_FLA[Student Number]),0),MATCH(VLOOKUP(H$7,'Writing Logic'!$J$7:$K$11,2,FALSE)&amp;" - Per "&amp;VLOOKUP($C$4,'Writing Logic'!$G$8:$H$14,2,FALSE),YES_Writing_ELA[#Headers],0)))),"")</f>
        <v/>
      </c>
    </row>
    <row r="515" spans="1:8" x14ac:dyDescent="0.25">
      <c r="A515" s="137"/>
      <c r="B515" s="137" t="str">
        <f>IFERROR(INDEX(_xlfn.VSTACK(YES_Writing_ELA[#Data], YES_Writing_FLA[#Data]),MATCH($A515,_xlfn.VSTACK(YES_Writing_ELA[Student Number], YES_Writing_FLA[Student Number]),0),MATCH(B$7,YES_Writing_ELA[#Headers],0)),"")</f>
        <v/>
      </c>
      <c r="C515" s="137" t="str">
        <f>IFERROR(INDEX(_xlfn.VSTACK(YES_Writing_ELA[#Data], YES_Writing_FLA[#Data]),MATCH($A515,_xlfn.VSTACK(YES_Writing_ELA[Student Number], YES_Writing_FLA[Student Number]),0),MATCH(C$7,YES_Writing_ELA[#Headers],0)),"")</f>
        <v/>
      </c>
      <c r="D515" s="138" t="str">
        <f>IFERROR(IF(IF(INDEX(_xlfn.VSTACK(YES_Writing_ELA[#Data],YES_Writing_FLA[#Data]),MATCH($A515,_xlfn.VSTACK(YES_Writing_ELA[Student Number],YES_Writing_FLA[Student Number]),0),MATCH(VLOOKUP(D$7,'Writing Logic'!$J$7:$K$11,2,FALSE)&amp;" - Per "&amp;VLOOKUP($C$4,'Writing Logic'!$G$8:$H$14,2,FALSE),YES_Writing_ELA[#Headers],0))=0,"",INDEX(_xlfn.VSTACK(YES_Writing_ELA[#Data],YES_Writing_FLA[#Data]),MATCH($A515,_xlfn.VSTACK(YES_Writing_ELA[Student Number],YES_Writing_FLA[Student Number]),0),MATCH(VLOOKUP(D$7,'Writing Logic'!$J$7:$K$11,2,FALSE)&amp;" - Per "&amp;VLOOKUP($C$4,'Writing Logic'!$G$8:$H$14,2,FALSE),YES_Writing_ELA[#Headers],0)))="INS",'Writing Logic'!$B$7,IF(INDEX(_xlfn.VSTACK(YES_Writing_ELA[#Data],YES_Writing_FLA[#Data]),MATCH($A515,_xlfn.VSTACK(YES_Writing_ELA[Student Number],YES_Writing_FLA[Student Number]),0),MATCH(VLOOKUP(D$7,'Writing Logic'!$J$7:$K$11,2,FALSE)&amp;" - Per "&amp;VLOOKUP($C$4,'Writing Logic'!$G$8:$H$14,2,FALSE),YES_Writing_ELA[#Headers],0))=0,"",INDEX(_xlfn.VSTACK(YES_Writing_ELA[#Data],YES_Writing_FLA[#Data]),MATCH($A515,_xlfn.VSTACK(YES_Writing_ELA[Student Number],YES_Writing_FLA[Student Number]),0),MATCH(VLOOKUP(D$7,'Writing Logic'!$J$7:$K$11,2,FALSE)&amp;" - Per "&amp;VLOOKUP($C$4,'Writing Logic'!$G$8:$H$14,2,FALSE),YES_Writing_ELA[#Headers],0)))),"")</f>
        <v/>
      </c>
      <c r="E515" s="138" t="str">
        <f>IFERROR(IF(IF(INDEX(_xlfn.VSTACK(YES_Writing_ELA[#Data],YES_Writing_FLA[#Data]),MATCH($A515,_xlfn.VSTACK(YES_Writing_ELA[Student Number],YES_Writing_FLA[Student Number]),0),MATCH(VLOOKUP(E$7,'Writing Logic'!$J$7:$K$11,2,FALSE)&amp;" - Per "&amp;VLOOKUP($C$4,'Writing Logic'!$G$8:$H$14,2,FALSE),YES_Writing_ELA[#Headers],0))=0,"",INDEX(_xlfn.VSTACK(YES_Writing_ELA[#Data],YES_Writing_FLA[#Data]),MATCH($A515,_xlfn.VSTACK(YES_Writing_ELA[Student Number],YES_Writing_FLA[Student Number]),0),MATCH(VLOOKUP(E$7,'Writing Logic'!$J$7:$K$11,2,FALSE)&amp;" - Per "&amp;VLOOKUP($C$4,'Writing Logic'!$G$8:$H$14,2,FALSE),YES_Writing_ELA[#Headers],0)))="INS",'Writing Logic'!$B$7,IF(INDEX(_xlfn.VSTACK(YES_Writing_ELA[#Data],YES_Writing_FLA[#Data]),MATCH($A515,_xlfn.VSTACK(YES_Writing_ELA[Student Number],YES_Writing_FLA[Student Number]),0),MATCH(VLOOKUP(E$7,'Writing Logic'!$J$7:$K$11,2,FALSE)&amp;" - Per "&amp;VLOOKUP($C$4,'Writing Logic'!$G$8:$H$14,2,FALSE),YES_Writing_ELA[#Headers],0))=0,"",INDEX(_xlfn.VSTACK(YES_Writing_ELA[#Data],YES_Writing_FLA[#Data]),MATCH($A515,_xlfn.VSTACK(YES_Writing_ELA[Student Number],YES_Writing_FLA[Student Number]),0),MATCH(VLOOKUP(E$7,'Writing Logic'!$J$7:$K$11,2,FALSE)&amp;" - Per "&amp;VLOOKUP($C$4,'Writing Logic'!$G$8:$H$14,2,FALSE),YES_Writing_ELA[#Headers],0)))),"")</f>
        <v/>
      </c>
      <c r="F515" s="138" t="str">
        <f>IFERROR(IF(IF(INDEX(_xlfn.VSTACK(YES_Writing_ELA[#Data],YES_Writing_FLA[#Data]),MATCH($A515,_xlfn.VSTACK(YES_Writing_ELA[Student Number],YES_Writing_FLA[Student Number]),0),MATCH(VLOOKUP(F$7,'Writing Logic'!$J$7:$K$11,2,FALSE)&amp;" - Per "&amp;VLOOKUP($C$4,'Writing Logic'!$G$8:$H$14,2,FALSE),YES_Writing_ELA[#Headers],0))=0,"",INDEX(_xlfn.VSTACK(YES_Writing_ELA[#Data],YES_Writing_FLA[#Data]),MATCH($A515,_xlfn.VSTACK(YES_Writing_ELA[Student Number],YES_Writing_FLA[Student Number]),0),MATCH(VLOOKUP(F$7,'Writing Logic'!$J$7:$K$11,2,FALSE)&amp;" - Per "&amp;VLOOKUP($C$4,'Writing Logic'!$G$8:$H$14,2,FALSE),YES_Writing_ELA[#Headers],0)))="INS",'Writing Logic'!$B$7,IF(INDEX(_xlfn.VSTACK(YES_Writing_ELA[#Data],YES_Writing_FLA[#Data]),MATCH($A515,_xlfn.VSTACK(YES_Writing_ELA[Student Number],YES_Writing_FLA[Student Number]),0),MATCH(VLOOKUP(F$7,'Writing Logic'!$J$7:$K$11,2,FALSE)&amp;" - Per "&amp;VLOOKUP($C$4,'Writing Logic'!$G$8:$H$14,2,FALSE),YES_Writing_ELA[#Headers],0))=0,"",INDEX(_xlfn.VSTACK(YES_Writing_ELA[#Data],YES_Writing_FLA[#Data]),MATCH($A515,_xlfn.VSTACK(YES_Writing_ELA[Student Number],YES_Writing_FLA[Student Number]),0),MATCH(VLOOKUP(F$7,'Writing Logic'!$J$7:$K$11,2,FALSE)&amp;" - Per "&amp;VLOOKUP($C$4,'Writing Logic'!$G$8:$H$14,2,FALSE),YES_Writing_ELA[#Headers],0)))),"")</f>
        <v/>
      </c>
      <c r="G515" s="138" t="str">
        <f>IFERROR(IF(IF(INDEX(_xlfn.VSTACK(YES_Writing_ELA[#Data],YES_Writing_FLA[#Data]),MATCH($A515,_xlfn.VSTACK(YES_Writing_ELA[Student Number],YES_Writing_FLA[Student Number]),0),MATCH(VLOOKUP(G$7,'Writing Logic'!$J$7:$K$11,2,FALSE)&amp;" - Per "&amp;VLOOKUP($C$4,'Writing Logic'!$G$8:$H$14,2,FALSE),YES_Writing_ELA[#Headers],0))=0,"",INDEX(_xlfn.VSTACK(YES_Writing_ELA[#Data],YES_Writing_FLA[#Data]),MATCH($A515,_xlfn.VSTACK(YES_Writing_ELA[Student Number],YES_Writing_FLA[Student Number]),0),MATCH(VLOOKUP(G$7,'Writing Logic'!$J$7:$K$11,2,FALSE)&amp;" - Per "&amp;VLOOKUP($C$4,'Writing Logic'!$G$8:$H$14,2,FALSE),YES_Writing_ELA[#Headers],0)))="INS",'Writing Logic'!$B$7,IF(INDEX(_xlfn.VSTACK(YES_Writing_ELA[#Data],YES_Writing_FLA[#Data]),MATCH($A515,_xlfn.VSTACK(YES_Writing_ELA[Student Number],YES_Writing_FLA[Student Number]),0),MATCH(VLOOKUP(G$7,'Writing Logic'!$J$7:$K$11,2,FALSE)&amp;" - Per "&amp;VLOOKUP($C$4,'Writing Logic'!$G$8:$H$14,2,FALSE),YES_Writing_ELA[#Headers],0))=0,"",INDEX(_xlfn.VSTACK(YES_Writing_ELA[#Data],YES_Writing_FLA[#Data]),MATCH($A515,_xlfn.VSTACK(YES_Writing_ELA[Student Number],YES_Writing_FLA[Student Number]),0),MATCH(VLOOKUP(G$7,'Writing Logic'!$J$7:$K$11,2,FALSE)&amp;" - Per "&amp;VLOOKUP($C$4,'Writing Logic'!$G$8:$H$14,2,FALSE),YES_Writing_ELA[#Headers],0)))),"")</f>
        <v/>
      </c>
      <c r="H515" s="138" t="str">
        <f>IFERROR(IF(IF(INDEX(_xlfn.VSTACK(YES_Writing_ELA[#Data],YES_Writing_FLA[#Data]),MATCH($A515,_xlfn.VSTACK(YES_Writing_ELA[Student Number],YES_Writing_FLA[Student Number]),0),MATCH(VLOOKUP(H$7,'Writing Logic'!$J$7:$K$11,2,FALSE)&amp;" - Per "&amp;VLOOKUP($C$4,'Writing Logic'!$G$8:$H$14,2,FALSE),YES_Writing_ELA[#Headers],0))=0,"",INDEX(_xlfn.VSTACK(YES_Writing_ELA[#Data],YES_Writing_FLA[#Data]),MATCH($A515,_xlfn.VSTACK(YES_Writing_ELA[Student Number],YES_Writing_FLA[Student Number]),0),MATCH(VLOOKUP(H$7,'Writing Logic'!$J$7:$K$11,2,FALSE)&amp;" - Per "&amp;VLOOKUP($C$4,'Writing Logic'!$G$8:$H$14,2,FALSE),YES_Writing_ELA[#Headers],0)))="INS",'Writing Logic'!$B$7,IF(INDEX(_xlfn.VSTACK(YES_Writing_ELA[#Data],YES_Writing_FLA[#Data]),MATCH($A515,_xlfn.VSTACK(YES_Writing_ELA[Student Number],YES_Writing_FLA[Student Number]),0),MATCH(VLOOKUP(H$7,'Writing Logic'!$J$7:$K$11,2,FALSE)&amp;" - Per "&amp;VLOOKUP($C$4,'Writing Logic'!$G$8:$H$14,2,FALSE),YES_Writing_ELA[#Headers],0))=0,"",INDEX(_xlfn.VSTACK(YES_Writing_ELA[#Data],YES_Writing_FLA[#Data]),MATCH($A515,_xlfn.VSTACK(YES_Writing_ELA[Student Number],YES_Writing_FLA[Student Number]),0),MATCH(VLOOKUP(H$7,'Writing Logic'!$J$7:$K$11,2,FALSE)&amp;" - Per "&amp;VLOOKUP($C$4,'Writing Logic'!$G$8:$H$14,2,FALSE),YES_Writing_ELA[#Headers],0)))),"")</f>
        <v/>
      </c>
    </row>
    <row r="516" spans="1:8" x14ac:dyDescent="0.25">
      <c r="A516" s="137"/>
      <c r="B516" s="137" t="str">
        <f>IFERROR(INDEX(_xlfn.VSTACK(YES_Writing_ELA[#Data], YES_Writing_FLA[#Data]),MATCH($A516,_xlfn.VSTACK(YES_Writing_ELA[Student Number], YES_Writing_FLA[Student Number]),0),MATCH(B$7,YES_Writing_ELA[#Headers],0)),"")</f>
        <v/>
      </c>
      <c r="C516" s="137" t="str">
        <f>IFERROR(INDEX(_xlfn.VSTACK(YES_Writing_ELA[#Data], YES_Writing_FLA[#Data]),MATCH($A516,_xlfn.VSTACK(YES_Writing_ELA[Student Number], YES_Writing_FLA[Student Number]),0),MATCH(C$7,YES_Writing_ELA[#Headers],0)),"")</f>
        <v/>
      </c>
      <c r="D516" s="138" t="str">
        <f>IFERROR(IF(IF(INDEX(_xlfn.VSTACK(YES_Writing_ELA[#Data],YES_Writing_FLA[#Data]),MATCH($A516,_xlfn.VSTACK(YES_Writing_ELA[Student Number],YES_Writing_FLA[Student Number]),0),MATCH(VLOOKUP(D$7,'Writing Logic'!$J$7:$K$11,2,FALSE)&amp;" - Per "&amp;VLOOKUP($C$4,'Writing Logic'!$G$8:$H$14,2,FALSE),YES_Writing_ELA[#Headers],0))=0,"",INDEX(_xlfn.VSTACK(YES_Writing_ELA[#Data],YES_Writing_FLA[#Data]),MATCH($A516,_xlfn.VSTACK(YES_Writing_ELA[Student Number],YES_Writing_FLA[Student Number]),0),MATCH(VLOOKUP(D$7,'Writing Logic'!$J$7:$K$11,2,FALSE)&amp;" - Per "&amp;VLOOKUP($C$4,'Writing Logic'!$G$8:$H$14,2,FALSE),YES_Writing_ELA[#Headers],0)))="INS",'Writing Logic'!$B$7,IF(INDEX(_xlfn.VSTACK(YES_Writing_ELA[#Data],YES_Writing_FLA[#Data]),MATCH($A516,_xlfn.VSTACK(YES_Writing_ELA[Student Number],YES_Writing_FLA[Student Number]),0),MATCH(VLOOKUP(D$7,'Writing Logic'!$J$7:$K$11,2,FALSE)&amp;" - Per "&amp;VLOOKUP($C$4,'Writing Logic'!$G$8:$H$14,2,FALSE),YES_Writing_ELA[#Headers],0))=0,"",INDEX(_xlfn.VSTACK(YES_Writing_ELA[#Data],YES_Writing_FLA[#Data]),MATCH($A516,_xlfn.VSTACK(YES_Writing_ELA[Student Number],YES_Writing_FLA[Student Number]),0),MATCH(VLOOKUP(D$7,'Writing Logic'!$J$7:$K$11,2,FALSE)&amp;" - Per "&amp;VLOOKUP($C$4,'Writing Logic'!$G$8:$H$14,2,FALSE),YES_Writing_ELA[#Headers],0)))),"")</f>
        <v/>
      </c>
      <c r="E516" s="138" t="str">
        <f>IFERROR(IF(IF(INDEX(_xlfn.VSTACK(YES_Writing_ELA[#Data],YES_Writing_FLA[#Data]),MATCH($A516,_xlfn.VSTACK(YES_Writing_ELA[Student Number],YES_Writing_FLA[Student Number]),0),MATCH(VLOOKUP(E$7,'Writing Logic'!$J$7:$K$11,2,FALSE)&amp;" - Per "&amp;VLOOKUP($C$4,'Writing Logic'!$G$8:$H$14,2,FALSE),YES_Writing_ELA[#Headers],0))=0,"",INDEX(_xlfn.VSTACK(YES_Writing_ELA[#Data],YES_Writing_FLA[#Data]),MATCH($A516,_xlfn.VSTACK(YES_Writing_ELA[Student Number],YES_Writing_FLA[Student Number]),0),MATCH(VLOOKUP(E$7,'Writing Logic'!$J$7:$K$11,2,FALSE)&amp;" - Per "&amp;VLOOKUP($C$4,'Writing Logic'!$G$8:$H$14,2,FALSE),YES_Writing_ELA[#Headers],0)))="INS",'Writing Logic'!$B$7,IF(INDEX(_xlfn.VSTACK(YES_Writing_ELA[#Data],YES_Writing_FLA[#Data]),MATCH($A516,_xlfn.VSTACK(YES_Writing_ELA[Student Number],YES_Writing_FLA[Student Number]),0),MATCH(VLOOKUP(E$7,'Writing Logic'!$J$7:$K$11,2,FALSE)&amp;" - Per "&amp;VLOOKUP($C$4,'Writing Logic'!$G$8:$H$14,2,FALSE),YES_Writing_ELA[#Headers],0))=0,"",INDEX(_xlfn.VSTACK(YES_Writing_ELA[#Data],YES_Writing_FLA[#Data]),MATCH($A516,_xlfn.VSTACK(YES_Writing_ELA[Student Number],YES_Writing_FLA[Student Number]),0),MATCH(VLOOKUP(E$7,'Writing Logic'!$J$7:$K$11,2,FALSE)&amp;" - Per "&amp;VLOOKUP($C$4,'Writing Logic'!$G$8:$H$14,2,FALSE),YES_Writing_ELA[#Headers],0)))),"")</f>
        <v/>
      </c>
      <c r="F516" s="138" t="str">
        <f>IFERROR(IF(IF(INDEX(_xlfn.VSTACK(YES_Writing_ELA[#Data],YES_Writing_FLA[#Data]),MATCH($A516,_xlfn.VSTACK(YES_Writing_ELA[Student Number],YES_Writing_FLA[Student Number]),0),MATCH(VLOOKUP(F$7,'Writing Logic'!$J$7:$K$11,2,FALSE)&amp;" - Per "&amp;VLOOKUP($C$4,'Writing Logic'!$G$8:$H$14,2,FALSE),YES_Writing_ELA[#Headers],0))=0,"",INDEX(_xlfn.VSTACK(YES_Writing_ELA[#Data],YES_Writing_FLA[#Data]),MATCH($A516,_xlfn.VSTACK(YES_Writing_ELA[Student Number],YES_Writing_FLA[Student Number]),0),MATCH(VLOOKUP(F$7,'Writing Logic'!$J$7:$K$11,2,FALSE)&amp;" - Per "&amp;VLOOKUP($C$4,'Writing Logic'!$G$8:$H$14,2,FALSE),YES_Writing_ELA[#Headers],0)))="INS",'Writing Logic'!$B$7,IF(INDEX(_xlfn.VSTACK(YES_Writing_ELA[#Data],YES_Writing_FLA[#Data]),MATCH($A516,_xlfn.VSTACK(YES_Writing_ELA[Student Number],YES_Writing_FLA[Student Number]),0),MATCH(VLOOKUP(F$7,'Writing Logic'!$J$7:$K$11,2,FALSE)&amp;" - Per "&amp;VLOOKUP($C$4,'Writing Logic'!$G$8:$H$14,2,FALSE),YES_Writing_ELA[#Headers],0))=0,"",INDEX(_xlfn.VSTACK(YES_Writing_ELA[#Data],YES_Writing_FLA[#Data]),MATCH($A516,_xlfn.VSTACK(YES_Writing_ELA[Student Number],YES_Writing_FLA[Student Number]),0),MATCH(VLOOKUP(F$7,'Writing Logic'!$J$7:$K$11,2,FALSE)&amp;" - Per "&amp;VLOOKUP($C$4,'Writing Logic'!$G$8:$H$14,2,FALSE),YES_Writing_ELA[#Headers],0)))),"")</f>
        <v/>
      </c>
      <c r="G516" s="138" t="str">
        <f>IFERROR(IF(IF(INDEX(_xlfn.VSTACK(YES_Writing_ELA[#Data],YES_Writing_FLA[#Data]),MATCH($A516,_xlfn.VSTACK(YES_Writing_ELA[Student Number],YES_Writing_FLA[Student Number]),0),MATCH(VLOOKUP(G$7,'Writing Logic'!$J$7:$K$11,2,FALSE)&amp;" - Per "&amp;VLOOKUP($C$4,'Writing Logic'!$G$8:$H$14,2,FALSE),YES_Writing_ELA[#Headers],0))=0,"",INDEX(_xlfn.VSTACK(YES_Writing_ELA[#Data],YES_Writing_FLA[#Data]),MATCH($A516,_xlfn.VSTACK(YES_Writing_ELA[Student Number],YES_Writing_FLA[Student Number]),0),MATCH(VLOOKUP(G$7,'Writing Logic'!$J$7:$K$11,2,FALSE)&amp;" - Per "&amp;VLOOKUP($C$4,'Writing Logic'!$G$8:$H$14,2,FALSE),YES_Writing_ELA[#Headers],0)))="INS",'Writing Logic'!$B$7,IF(INDEX(_xlfn.VSTACK(YES_Writing_ELA[#Data],YES_Writing_FLA[#Data]),MATCH($A516,_xlfn.VSTACK(YES_Writing_ELA[Student Number],YES_Writing_FLA[Student Number]),0),MATCH(VLOOKUP(G$7,'Writing Logic'!$J$7:$K$11,2,FALSE)&amp;" - Per "&amp;VLOOKUP($C$4,'Writing Logic'!$G$8:$H$14,2,FALSE),YES_Writing_ELA[#Headers],0))=0,"",INDEX(_xlfn.VSTACK(YES_Writing_ELA[#Data],YES_Writing_FLA[#Data]),MATCH($A516,_xlfn.VSTACK(YES_Writing_ELA[Student Number],YES_Writing_FLA[Student Number]),0),MATCH(VLOOKUP(G$7,'Writing Logic'!$J$7:$K$11,2,FALSE)&amp;" - Per "&amp;VLOOKUP($C$4,'Writing Logic'!$G$8:$H$14,2,FALSE),YES_Writing_ELA[#Headers],0)))),"")</f>
        <v/>
      </c>
      <c r="H516" s="138" t="str">
        <f>IFERROR(IF(IF(INDEX(_xlfn.VSTACK(YES_Writing_ELA[#Data],YES_Writing_FLA[#Data]),MATCH($A516,_xlfn.VSTACK(YES_Writing_ELA[Student Number],YES_Writing_FLA[Student Number]),0),MATCH(VLOOKUP(H$7,'Writing Logic'!$J$7:$K$11,2,FALSE)&amp;" - Per "&amp;VLOOKUP($C$4,'Writing Logic'!$G$8:$H$14,2,FALSE),YES_Writing_ELA[#Headers],0))=0,"",INDEX(_xlfn.VSTACK(YES_Writing_ELA[#Data],YES_Writing_FLA[#Data]),MATCH($A516,_xlfn.VSTACK(YES_Writing_ELA[Student Number],YES_Writing_FLA[Student Number]),0),MATCH(VLOOKUP(H$7,'Writing Logic'!$J$7:$K$11,2,FALSE)&amp;" - Per "&amp;VLOOKUP($C$4,'Writing Logic'!$G$8:$H$14,2,FALSE),YES_Writing_ELA[#Headers],0)))="INS",'Writing Logic'!$B$7,IF(INDEX(_xlfn.VSTACK(YES_Writing_ELA[#Data],YES_Writing_FLA[#Data]),MATCH($A516,_xlfn.VSTACK(YES_Writing_ELA[Student Number],YES_Writing_FLA[Student Number]),0),MATCH(VLOOKUP(H$7,'Writing Logic'!$J$7:$K$11,2,FALSE)&amp;" - Per "&amp;VLOOKUP($C$4,'Writing Logic'!$G$8:$H$14,2,FALSE),YES_Writing_ELA[#Headers],0))=0,"",INDEX(_xlfn.VSTACK(YES_Writing_ELA[#Data],YES_Writing_FLA[#Data]),MATCH($A516,_xlfn.VSTACK(YES_Writing_ELA[Student Number],YES_Writing_FLA[Student Number]),0),MATCH(VLOOKUP(H$7,'Writing Logic'!$J$7:$K$11,2,FALSE)&amp;" - Per "&amp;VLOOKUP($C$4,'Writing Logic'!$G$8:$H$14,2,FALSE),YES_Writing_ELA[#Headers],0)))),"")</f>
        <v/>
      </c>
    </row>
    <row r="517" spans="1:8" x14ac:dyDescent="0.25">
      <c r="A517" s="137"/>
      <c r="B517" s="137" t="str">
        <f>IFERROR(INDEX(_xlfn.VSTACK(YES_Writing_ELA[#Data], YES_Writing_FLA[#Data]),MATCH($A517,_xlfn.VSTACK(YES_Writing_ELA[Student Number], YES_Writing_FLA[Student Number]),0),MATCH(B$7,YES_Writing_ELA[#Headers],0)),"")</f>
        <v/>
      </c>
      <c r="C517" s="137" t="str">
        <f>IFERROR(INDEX(_xlfn.VSTACK(YES_Writing_ELA[#Data], YES_Writing_FLA[#Data]),MATCH($A517,_xlfn.VSTACK(YES_Writing_ELA[Student Number], YES_Writing_FLA[Student Number]),0),MATCH(C$7,YES_Writing_ELA[#Headers],0)),"")</f>
        <v/>
      </c>
      <c r="D517" s="138" t="str">
        <f>IFERROR(IF(IF(INDEX(_xlfn.VSTACK(YES_Writing_ELA[#Data],YES_Writing_FLA[#Data]),MATCH($A517,_xlfn.VSTACK(YES_Writing_ELA[Student Number],YES_Writing_FLA[Student Number]),0),MATCH(VLOOKUP(D$7,'Writing Logic'!$J$7:$K$11,2,FALSE)&amp;" - Per "&amp;VLOOKUP($C$4,'Writing Logic'!$G$8:$H$14,2,FALSE),YES_Writing_ELA[#Headers],0))=0,"",INDEX(_xlfn.VSTACK(YES_Writing_ELA[#Data],YES_Writing_FLA[#Data]),MATCH($A517,_xlfn.VSTACK(YES_Writing_ELA[Student Number],YES_Writing_FLA[Student Number]),0),MATCH(VLOOKUP(D$7,'Writing Logic'!$J$7:$K$11,2,FALSE)&amp;" - Per "&amp;VLOOKUP($C$4,'Writing Logic'!$G$8:$H$14,2,FALSE),YES_Writing_ELA[#Headers],0)))="INS",'Writing Logic'!$B$7,IF(INDEX(_xlfn.VSTACK(YES_Writing_ELA[#Data],YES_Writing_FLA[#Data]),MATCH($A517,_xlfn.VSTACK(YES_Writing_ELA[Student Number],YES_Writing_FLA[Student Number]),0),MATCH(VLOOKUP(D$7,'Writing Logic'!$J$7:$K$11,2,FALSE)&amp;" - Per "&amp;VLOOKUP($C$4,'Writing Logic'!$G$8:$H$14,2,FALSE),YES_Writing_ELA[#Headers],0))=0,"",INDEX(_xlfn.VSTACK(YES_Writing_ELA[#Data],YES_Writing_FLA[#Data]),MATCH($A517,_xlfn.VSTACK(YES_Writing_ELA[Student Number],YES_Writing_FLA[Student Number]),0),MATCH(VLOOKUP(D$7,'Writing Logic'!$J$7:$K$11,2,FALSE)&amp;" - Per "&amp;VLOOKUP($C$4,'Writing Logic'!$G$8:$H$14,2,FALSE),YES_Writing_ELA[#Headers],0)))),"")</f>
        <v/>
      </c>
      <c r="E517" s="138" t="str">
        <f>IFERROR(IF(IF(INDEX(_xlfn.VSTACK(YES_Writing_ELA[#Data],YES_Writing_FLA[#Data]),MATCH($A517,_xlfn.VSTACK(YES_Writing_ELA[Student Number],YES_Writing_FLA[Student Number]),0),MATCH(VLOOKUP(E$7,'Writing Logic'!$J$7:$K$11,2,FALSE)&amp;" - Per "&amp;VLOOKUP($C$4,'Writing Logic'!$G$8:$H$14,2,FALSE),YES_Writing_ELA[#Headers],0))=0,"",INDEX(_xlfn.VSTACK(YES_Writing_ELA[#Data],YES_Writing_FLA[#Data]),MATCH($A517,_xlfn.VSTACK(YES_Writing_ELA[Student Number],YES_Writing_FLA[Student Number]),0),MATCH(VLOOKUP(E$7,'Writing Logic'!$J$7:$K$11,2,FALSE)&amp;" - Per "&amp;VLOOKUP($C$4,'Writing Logic'!$G$8:$H$14,2,FALSE),YES_Writing_ELA[#Headers],0)))="INS",'Writing Logic'!$B$7,IF(INDEX(_xlfn.VSTACK(YES_Writing_ELA[#Data],YES_Writing_FLA[#Data]),MATCH($A517,_xlfn.VSTACK(YES_Writing_ELA[Student Number],YES_Writing_FLA[Student Number]),0),MATCH(VLOOKUP(E$7,'Writing Logic'!$J$7:$K$11,2,FALSE)&amp;" - Per "&amp;VLOOKUP($C$4,'Writing Logic'!$G$8:$H$14,2,FALSE),YES_Writing_ELA[#Headers],0))=0,"",INDEX(_xlfn.VSTACK(YES_Writing_ELA[#Data],YES_Writing_FLA[#Data]),MATCH($A517,_xlfn.VSTACK(YES_Writing_ELA[Student Number],YES_Writing_FLA[Student Number]),0),MATCH(VLOOKUP(E$7,'Writing Logic'!$J$7:$K$11,2,FALSE)&amp;" - Per "&amp;VLOOKUP($C$4,'Writing Logic'!$G$8:$H$14,2,FALSE),YES_Writing_ELA[#Headers],0)))),"")</f>
        <v/>
      </c>
      <c r="F517" s="138" t="str">
        <f>IFERROR(IF(IF(INDEX(_xlfn.VSTACK(YES_Writing_ELA[#Data],YES_Writing_FLA[#Data]),MATCH($A517,_xlfn.VSTACK(YES_Writing_ELA[Student Number],YES_Writing_FLA[Student Number]),0),MATCH(VLOOKUP(F$7,'Writing Logic'!$J$7:$K$11,2,FALSE)&amp;" - Per "&amp;VLOOKUP($C$4,'Writing Logic'!$G$8:$H$14,2,FALSE),YES_Writing_ELA[#Headers],0))=0,"",INDEX(_xlfn.VSTACK(YES_Writing_ELA[#Data],YES_Writing_FLA[#Data]),MATCH($A517,_xlfn.VSTACK(YES_Writing_ELA[Student Number],YES_Writing_FLA[Student Number]),0),MATCH(VLOOKUP(F$7,'Writing Logic'!$J$7:$K$11,2,FALSE)&amp;" - Per "&amp;VLOOKUP($C$4,'Writing Logic'!$G$8:$H$14,2,FALSE),YES_Writing_ELA[#Headers],0)))="INS",'Writing Logic'!$B$7,IF(INDEX(_xlfn.VSTACK(YES_Writing_ELA[#Data],YES_Writing_FLA[#Data]),MATCH($A517,_xlfn.VSTACK(YES_Writing_ELA[Student Number],YES_Writing_FLA[Student Number]),0),MATCH(VLOOKUP(F$7,'Writing Logic'!$J$7:$K$11,2,FALSE)&amp;" - Per "&amp;VLOOKUP($C$4,'Writing Logic'!$G$8:$H$14,2,FALSE),YES_Writing_ELA[#Headers],0))=0,"",INDEX(_xlfn.VSTACK(YES_Writing_ELA[#Data],YES_Writing_FLA[#Data]),MATCH($A517,_xlfn.VSTACK(YES_Writing_ELA[Student Number],YES_Writing_FLA[Student Number]),0),MATCH(VLOOKUP(F$7,'Writing Logic'!$J$7:$K$11,2,FALSE)&amp;" - Per "&amp;VLOOKUP($C$4,'Writing Logic'!$G$8:$H$14,2,FALSE),YES_Writing_ELA[#Headers],0)))),"")</f>
        <v/>
      </c>
      <c r="G517" s="138" t="str">
        <f>IFERROR(IF(IF(INDEX(_xlfn.VSTACK(YES_Writing_ELA[#Data],YES_Writing_FLA[#Data]),MATCH($A517,_xlfn.VSTACK(YES_Writing_ELA[Student Number],YES_Writing_FLA[Student Number]),0),MATCH(VLOOKUP(G$7,'Writing Logic'!$J$7:$K$11,2,FALSE)&amp;" - Per "&amp;VLOOKUP($C$4,'Writing Logic'!$G$8:$H$14,2,FALSE),YES_Writing_ELA[#Headers],0))=0,"",INDEX(_xlfn.VSTACK(YES_Writing_ELA[#Data],YES_Writing_FLA[#Data]),MATCH($A517,_xlfn.VSTACK(YES_Writing_ELA[Student Number],YES_Writing_FLA[Student Number]),0),MATCH(VLOOKUP(G$7,'Writing Logic'!$J$7:$K$11,2,FALSE)&amp;" - Per "&amp;VLOOKUP($C$4,'Writing Logic'!$G$8:$H$14,2,FALSE),YES_Writing_ELA[#Headers],0)))="INS",'Writing Logic'!$B$7,IF(INDEX(_xlfn.VSTACK(YES_Writing_ELA[#Data],YES_Writing_FLA[#Data]),MATCH($A517,_xlfn.VSTACK(YES_Writing_ELA[Student Number],YES_Writing_FLA[Student Number]),0),MATCH(VLOOKUP(G$7,'Writing Logic'!$J$7:$K$11,2,FALSE)&amp;" - Per "&amp;VLOOKUP($C$4,'Writing Logic'!$G$8:$H$14,2,FALSE),YES_Writing_ELA[#Headers],0))=0,"",INDEX(_xlfn.VSTACK(YES_Writing_ELA[#Data],YES_Writing_FLA[#Data]),MATCH($A517,_xlfn.VSTACK(YES_Writing_ELA[Student Number],YES_Writing_FLA[Student Number]),0),MATCH(VLOOKUP(G$7,'Writing Logic'!$J$7:$K$11,2,FALSE)&amp;" - Per "&amp;VLOOKUP($C$4,'Writing Logic'!$G$8:$H$14,2,FALSE),YES_Writing_ELA[#Headers],0)))),"")</f>
        <v/>
      </c>
      <c r="H517" s="138" t="str">
        <f>IFERROR(IF(IF(INDEX(_xlfn.VSTACK(YES_Writing_ELA[#Data],YES_Writing_FLA[#Data]),MATCH($A517,_xlfn.VSTACK(YES_Writing_ELA[Student Number],YES_Writing_FLA[Student Number]),0),MATCH(VLOOKUP(H$7,'Writing Logic'!$J$7:$K$11,2,FALSE)&amp;" - Per "&amp;VLOOKUP($C$4,'Writing Logic'!$G$8:$H$14,2,FALSE),YES_Writing_ELA[#Headers],0))=0,"",INDEX(_xlfn.VSTACK(YES_Writing_ELA[#Data],YES_Writing_FLA[#Data]),MATCH($A517,_xlfn.VSTACK(YES_Writing_ELA[Student Number],YES_Writing_FLA[Student Number]),0),MATCH(VLOOKUP(H$7,'Writing Logic'!$J$7:$K$11,2,FALSE)&amp;" - Per "&amp;VLOOKUP($C$4,'Writing Logic'!$G$8:$H$14,2,FALSE),YES_Writing_ELA[#Headers],0)))="INS",'Writing Logic'!$B$7,IF(INDEX(_xlfn.VSTACK(YES_Writing_ELA[#Data],YES_Writing_FLA[#Data]),MATCH($A517,_xlfn.VSTACK(YES_Writing_ELA[Student Number],YES_Writing_FLA[Student Number]),0),MATCH(VLOOKUP(H$7,'Writing Logic'!$J$7:$K$11,2,FALSE)&amp;" - Per "&amp;VLOOKUP($C$4,'Writing Logic'!$G$8:$H$14,2,FALSE),YES_Writing_ELA[#Headers],0))=0,"",INDEX(_xlfn.VSTACK(YES_Writing_ELA[#Data],YES_Writing_FLA[#Data]),MATCH($A517,_xlfn.VSTACK(YES_Writing_ELA[Student Number],YES_Writing_FLA[Student Number]),0),MATCH(VLOOKUP(H$7,'Writing Logic'!$J$7:$K$11,2,FALSE)&amp;" - Per "&amp;VLOOKUP($C$4,'Writing Logic'!$G$8:$H$14,2,FALSE),YES_Writing_ELA[#Headers],0)))),"")</f>
        <v/>
      </c>
    </row>
    <row r="518" spans="1:8" x14ac:dyDescent="0.25">
      <c r="A518" s="137"/>
      <c r="B518" s="137" t="str">
        <f>IFERROR(INDEX(_xlfn.VSTACK(YES_Writing_ELA[#Data], YES_Writing_FLA[#Data]),MATCH($A518,_xlfn.VSTACK(YES_Writing_ELA[Student Number], YES_Writing_FLA[Student Number]),0),MATCH(B$7,YES_Writing_ELA[#Headers],0)),"")</f>
        <v/>
      </c>
      <c r="C518" s="137" t="str">
        <f>IFERROR(INDEX(_xlfn.VSTACK(YES_Writing_ELA[#Data], YES_Writing_FLA[#Data]),MATCH($A518,_xlfn.VSTACK(YES_Writing_ELA[Student Number], YES_Writing_FLA[Student Number]),0),MATCH(C$7,YES_Writing_ELA[#Headers],0)),"")</f>
        <v/>
      </c>
      <c r="D518" s="138" t="str">
        <f>IFERROR(IF(IF(INDEX(_xlfn.VSTACK(YES_Writing_ELA[#Data],YES_Writing_FLA[#Data]),MATCH($A518,_xlfn.VSTACK(YES_Writing_ELA[Student Number],YES_Writing_FLA[Student Number]),0),MATCH(VLOOKUP(D$7,'Writing Logic'!$J$7:$K$11,2,FALSE)&amp;" - Per "&amp;VLOOKUP($C$4,'Writing Logic'!$G$8:$H$14,2,FALSE),YES_Writing_ELA[#Headers],0))=0,"",INDEX(_xlfn.VSTACK(YES_Writing_ELA[#Data],YES_Writing_FLA[#Data]),MATCH($A518,_xlfn.VSTACK(YES_Writing_ELA[Student Number],YES_Writing_FLA[Student Number]),0),MATCH(VLOOKUP(D$7,'Writing Logic'!$J$7:$K$11,2,FALSE)&amp;" - Per "&amp;VLOOKUP($C$4,'Writing Logic'!$G$8:$H$14,2,FALSE),YES_Writing_ELA[#Headers],0)))="INS",'Writing Logic'!$B$7,IF(INDEX(_xlfn.VSTACK(YES_Writing_ELA[#Data],YES_Writing_FLA[#Data]),MATCH($A518,_xlfn.VSTACK(YES_Writing_ELA[Student Number],YES_Writing_FLA[Student Number]),0),MATCH(VLOOKUP(D$7,'Writing Logic'!$J$7:$K$11,2,FALSE)&amp;" - Per "&amp;VLOOKUP($C$4,'Writing Logic'!$G$8:$H$14,2,FALSE),YES_Writing_ELA[#Headers],0))=0,"",INDEX(_xlfn.VSTACK(YES_Writing_ELA[#Data],YES_Writing_FLA[#Data]),MATCH($A518,_xlfn.VSTACK(YES_Writing_ELA[Student Number],YES_Writing_FLA[Student Number]),0),MATCH(VLOOKUP(D$7,'Writing Logic'!$J$7:$K$11,2,FALSE)&amp;" - Per "&amp;VLOOKUP($C$4,'Writing Logic'!$G$8:$H$14,2,FALSE),YES_Writing_ELA[#Headers],0)))),"")</f>
        <v/>
      </c>
      <c r="E518" s="138" t="str">
        <f>IFERROR(IF(IF(INDEX(_xlfn.VSTACK(YES_Writing_ELA[#Data],YES_Writing_FLA[#Data]),MATCH($A518,_xlfn.VSTACK(YES_Writing_ELA[Student Number],YES_Writing_FLA[Student Number]),0),MATCH(VLOOKUP(E$7,'Writing Logic'!$J$7:$K$11,2,FALSE)&amp;" - Per "&amp;VLOOKUP($C$4,'Writing Logic'!$G$8:$H$14,2,FALSE),YES_Writing_ELA[#Headers],0))=0,"",INDEX(_xlfn.VSTACK(YES_Writing_ELA[#Data],YES_Writing_FLA[#Data]),MATCH($A518,_xlfn.VSTACK(YES_Writing_ELA[Student Number],YES_Writing_FLA[Student Number]),0),MATCH(VLOOKUP(E$7,'Writing Logic'!$J$7:$K$11,2,FALSE)&amp;" - Per "&amp;VLOOKUP($C$4,'Writing Logic'!$G$8:$H$14,2,FALSE),YES_Writing_ELA[#Headers],0)))="INS",'Writing Logic'!$B$7,IF(INDEX(_xlfn.VSTACK(YES_Writing_ELA[#Data],YES_Writing_FLA[#Data]),MATCH($A518,_xlfn.VSTACK(YES_Writing_ELA[Student Number],YES_Writing_FLA[Student Number]),0),MATCH(VLOOKUP(E$7,'Writing Logic'!$J$7:$K$11,2,FALSE)&amp;" - Per "&amp;VLOOKUP($C$4,'Writing Logic'!$G$8:$H$14,2,FALSE),YES_Writing_ELA[#Headers],0))=0,"",INDEX(_xlfn.VSTACK(YES_Writing_ELA[#Data],YES_Writing_FLA[#Data]),MATCH($A518,_xlfn.VSTACK(YES_Writing_ELA[Student Number],YES_Writing_FLA[Student Number]),0),MATCH(VLOOKUP(E$7,'Writing Logic'!$J$7:$K$11,2,FALSE)&amp;" - Per "&amp;VLOOKUP($C$4,'Writing Logic'!$G$8:$H$14,2,FALSE),YES_Writing_ELA[#Headers],0)))),"")</f>
        <v/>
      </c>
      <c r="F518" s="138" t="str">
        <f>IFERROR(IF(IF(INDEX(_xlfn.VSTACK(YES_Writing_ELA[#Data],YES_Writing_FLA[#Data]),MATCH($A518,_xlfn.VSTACK(YES_Writing_ELA[Student Number],YES_Writing_FLA[Student Number]),0),MATCH(VLOOKUP(F$7,'Writing Logic'!$J$7:$K$11,2,FALSE)&amp;" - Per "&amp;VLOOKUP($C$4,'Writing Logic'!$G$8:$H$14,2,FALSE),YES_Writing_ELA[#Headers],0))=0,"",INDEX(_xlfn.VSTACK(YES_Writing_ELA[#Data],YES_Writing_FLA[#Data]),MATCH($A518,_xlfn.VSTACK(YES_Writing_ELA[Student Number],YES_Writing_FLA[Student Number]),0),MATCH(VLOOKUP(F$7,'Writing Logic'!$J$7:$K$11,2,FALSE)&amp;" - Per "&amp;VLOOKUP($C$4,'Writing Logic'!$G$8:$H$14,2,FALSE),YES_Writing_ELA[#Headers],0)))="INS",'Writing Logic'!$B$7,IF(INDEX(_xlfn.VSTACK(YES_Writing_ELA[#Data],YES_Writing_FLA[#Data]),MATCH($A518,_xlfn.VSTACK(YES_Writing_ELA[Student Number],YES_Writing_FLA[Student Number]),0),MATCH(VLOOKUP(F$7,'Writing Logic'!$J$7:$K$11,2,FALSE)&amp;" - Per "&amp;VLOOKUP($C$4,'Writing Logic'!$G$8:$H$14,2,FALSE),YES_Writing_ELA[#Headers],0))=0,"",INDEX(_xlfn.VSTACK(YES_Writing_ELA[#Data],YES_Writing_FLA[#Data]),MATCH($A518,_xlfn.VSTACK(YES_Writing_ELA[Student Number],YES_Writing_FLA[Student Number]),0),MATCH(VLOOKUP(F$7,'Writing Logic'!$J$7:$K$11,2,FALSE)&amp;" - Per "&amp;VLOOKUP($C$4,'Writing Logic'!$G$8:$H$14,2,FALSE),YES_Writing_ELA[#Headers],0)))),"")</f>
        <v/>
      </c>
      <c r="G518" s="138" t="str">
        <f>IFERROR(IF(IF(INDEX(_xlfn.VSTACK(YES_Writing_ELA[#Data],YES_Writing_FLA[#Data]),MATCH($A518,_xlfn.VSTACK(YES_Writing_ELA[Student Number],YES_Writing_FLA[Student Number]),0),MATCH(VLOOKUP(G$7,'Writing Logic'!$J$7:$K$11,2,FALSE)&amp;" - Per "&amp;VLOOKUP($C$4,'Writing Logic'!$G$8:$H$14,2,FALSE),YES_Writing_ELA[#Headers],0))=0,"",INDEX(_xlfn.VSTACK(YES_Writing_ELA[#Data],YES_Writing_FLA[#Data]),MATCH($A518,_xlfn.VSTACK(YES_Writing_ELA[Student Number],YES_Writing_FLA[Student Number]),0),MATCH(VLOOKUP(G$7,'Writing Logic'!$J$7:$K$11,2,FALSE)&amp;" - Per "&amp;VLOOKUP($C$4,'Writing Logic'!$G$8:$H$14,2,FALSE),YES_Writing_ELA[#Headers],0)))="INS",'Writing Logic'!$B$7,IF(INDEX(_xlfn.VSTACK(YES_Writing_ELA[#Data],YES_Writing_FLA[#Data]),MATCH($A518,_xlfn.VSTACK(YES_Writing_ELA[Student Number],YES_Writing_FLA[Student Number]),0),MATCH(VLOOKUP(G$7,'Writing Logic'!$J$7:$K$11,2,FALSE)&amp;" - Per "&amp;VLOOKUP($C$4,'Writing Logic'!$G$8:$H$14,2,FALSE),YES_Writing_ELA[#Headers],0))=0,"",INDEX(_xlfn.VSTACK(YES_Writing_ELA[#Data],YES_Writing_FLA[#Data]),MATCH($A518,_xlfn.VSTACK(YES_Writing_ELA[Student Number],YES_Writing_FLA[Student Number]),0),MATCH(VLOOKUP(G$7,'Writing Logic'!$J$7:$K$11,2,FALSE)&amp;" - Per "&amp;VLOOKUP($C$4,'Writing Logic'!$G$8:$H$14,2,FALSE),YES_Writing_ELA[#Headers],0)))),"")</f>
        <v/>
      </c>
      <c r="H518" s="138" t="str">
        <f>IFERROR(IF(IF(INDEX(_xlfn.VSTACK(YES_Writing_ELA[#Data],YES_Writing_FLA[#Data]),MATCH($A518,_xlfn.VSTACK(YES_Writing_ELA[Student Number],YES_Writing_FLA[Student Number]),0),MATCH(VLOOKUP(H$7,'Writing Logic'!$J$7:$K$11,2,FALSE)&amp;" - Per "&amp;VLOOKUP($C$4,'Writing Logic'!$G$8:$H$14,2,FALSE),YES_Writing_ELA[#Headers],0))=0,"",INDEX(_xlfn.VSTACK(YES_Writing_ELA[#Data],YES_Writing_FLA[#Data]),MATCH($A518,_xlfn.VSTACK(YES_Writing_ELA[Student Number],YES_Writing_FLA[Student Number]),0),MATCH(VLOOKUP(H$7,'Writing Logic'!$J$7:$K$11,2,FALSE)&amp;" - Per "&amp;VLOOKUP($C$4,'Writing Logic'!$G$8:$H$14,2,FALSE),YES_Writing_ELA[#Headers],0)))="INS",'Writing Logic'!$B$7,IF(INDEX(_xlfn.VSTACK(YES_Writing_ELA[#Data],YES_Writing_FLA[#Data]),MATCH($A518,_xlfn.VSTACK(YES_Writing_ELA[Student Number],YES_Writing_FLA[Student Number]),0),MATCH(VLOOKUP(H$7,'Writing Logic'!$J$7:$K$11,2,FALSE)&amp;" - Per "&amp;VLOOKUP($C$4,'Writing Logic'!$G$8:$H$14,2,FALSE),YES_Writing_ELA[#Headers],0))=0,"",INDEX(_xlfn.VSTACK(YES_Writing_ELA[#Data],YES_Writing_FLA[#Data]),MATCH($A518,_xlfn.VSTACK(YES_Writing_ELA[Student Number],YES_Writing_FLA[Student Number]),0),MATCH(VLOOKUP(H$7,'Writing Logic'!$J$7:$K$11,2,FALSE)&amp;" - Per "&amp;VLOOKUP($C$4,'Writing Logic'!$G$8:$H$14,2,FALSE),YES_Writing_ELA[#Headers],0)))),"")</f>
        <v/>
      </c>
    </row>
    <row r="519" spans="1:8" x14ac:dyDescent="0.25">
      <c r="A519" s="137"/>
      <c r="B519" s="137" t="str">
        <f>IFERROR(INDEX(_xlfn.VSTACK(YES_Writing_ELA[#Data], YES_Writing_FLA[#Data]),MATCH($A519,_xlfn.VSTACK(YES_Writing_ELA[Student Number], YES_Writing_FLA[Student Number]),0),MATCH(B$7,YES_Writing_ELA[#Headers],0)),"")</f>
        <v/>
      </c>
      <c r="C519" s="137" t="str">
        <f>IFERROR(INDEX(_xlfn.VSTACK(YES_Writing_ELA[#Data], YES_Writing_FLA[#Data]),MATCH($A519,_xlfn.VSTACK(YES_Writing_ELA[Student Number], YES_Writing_FLA[Student Number]),0),MATCH(C$7,YES_Writing_ELA[#Headers],0)),"")</f>
        <v/>
      </c>
      <c r="D519" s="138" t="str">
        <f>IFERROR(IF(IF(INDEX(_xlfn.VSTACK(YES_Writing_ELA[#Data],YES_Writing_FLA[#Data]),MATCH($A519,_xlfn.VSTACK(YES_Writing_ELA[Student Number],YES_Writing_FLA[Student Number]),0),MATCH(VLOOKUP(D$7,'Writing Logic'!$J$7:$K$11,2,FALSE)&amp;" - Per "&amp;VLOOKUP($C$4,'Writing Logic'!$G$8:$H$14,2,FALSE),YES_Writing_ELA[#Headers],0))=0,"",INDEX(_xlfn.VSTACK(YES_Writing_ELA[#Data],YES_Writing_FLA[#Data]),MATCH($A519,_xlfn.VSTACK(YES_Writing_ELA[Student Number],YES_Writing_FLA[Student Number]),0),MATCH(VLOOKUP(D$7,'Writing Logic'!$J$7:$K$11,2,FALSE)&amp;" - Per "&amp;VLOOKUP($C$4,'Writing Logic'!$G$8:$H$14,2,FALSE),YES_Writing_ELA[#Headers],0)))="INS",'Writing Logic'!$B$7,IF(INDEX(_xlfn.VSTACK(YES_Writing_ELA[#Data],YES_Writing_FLA[#Data]),MATCH($A519,_xlfn.VSTACK(YES_Writing_ELA[Student Number],YES_Writing_FLA[Student Number]),0),MATCH(VLOOKUP(D$7,'Writing Logic'!$J$7:$K$11,2,FALSE)&amp;" - Per "&amp;VLOOKUP($C$4,'Writing Logic'!$G$8:$H$14,2,FALSE),YES_Writing_ELA[#Headers],0))=0,"",INDEX(_xlfn.VSTACK(YES_Writing_ELA[#Data],YES_Writing_FLA[#Data]),MATCH($A519,_xlfn.VSTACK(YES_Writing_ELA[Student Number],YES_Writing_FLA[Student Number]),0),MATCH(VLOOKUP(D$7,'Writing Logic'!$J$7:$K$11,2,FALSE)&amp;" - Per "&amp;VLOOKUP($C$4,'Writing Logic'!$G$8:$H$14,2,FALSE),YES_Writing_ELA[#Headers],0)))),"")</f>
        <v/>
      </c>
      <c r="E519" s="138" t="str">
        <f>IFERROR(IF(IF(INDEX(_xlfn.VSTACK(YES_Writing_ELA[#Data],YES_Writing_FLA[#Data]),MATCH($A519,_xlfn.VSTACK(YES_Writing_ELA[Student Number],YES_Writing_FLA[Student Number]),0),MATCH(VLOOKUP(E$7,'Writing Logic'!$J$7:$K$11,2,FALSE)&amp;" - Per "&amp;VLOOKUP($C$4,'Writing Logic'!$G$8:$H$14,2,FALSE),YES_Writing_ELA[#Headers],0))=0,"",INDEX(_xlfn.VSTACK(YES_Writing_ELA[#Data],YES_Writing_FLA[#Data]),MATCH($A519,_xlfn.VSTACK(YES_Writing_ELA[Student Number],YES_Writing_FLA[Student Number]),0),MATCH(VLOOKUP(E$7,'Writing Logic'!$J$7:$K$11,2,FALSE)&amp;" - Per "&amp;VLOOKUP($C$4,'Writing Logic'!$G$8:$H$14,2,FALSE),YES_Writing_ELA[#Headers],0)))="INS",'Writing Logic'!$B$7,IF(INDEX(_xlfn.VSTACK(YES_Writing_ELA[#Data],YES_Writing_FLA[#Data]),MATCH($A519,_xlfn.VSTACK(YES_Writing_ELA[Student Number],YES_Writing_FLA[Student Number]),0),MATCH(VLOOKUP(E$7,'Writing Logic'!$J$7:$K$11,2,FALSE)&amp;" - Per "&amp;VLOOKUP($C$4,'Writing Logic'!$G$8:$H$14,2,FALSE),YES_Writing_ELA[#Headers],0))=0,"",INDEX(_xlfn.VSTACK(YES_Writing_ELA[#Data],YES_Writing_FLA[#Data]),MATCH($A519,_xlfn.VSTACK(YES_Writing_ELA[Student Number],YES_Writing_FLA[Student Number]),0),MATCH(VLOOKUP(E$7,'Writing Logic'!$J$7:$K$11,2,FALSE)&amp;" - Per "&amp;VLOOKUP($C$4,'Writing Logic'!$G$8:$H$14,2,FALSE),YES_Writing_ELA[#Headers],0)))),"")</f>
        <v/>
      </c>
      <c r="F519" s="138" t="str">
        <f>IFERROR(IF(IF(INDEX(_xlfn.VSTACK(YES_Writing_ELA[#Data],YES_Writing_FLA[#Data]),MATCH($A519,_xlfn.VSTACK(YES_Writing_ELA[Student Number],YES_Writing_FLA[Student Number]),0),MATCH(VLOOKUP(F$7,'Writing Logic'!$J$7:$K$11,2,FALSE)&amp;" - Per "&amp;VLOOKUP($C$4,'Writing Logic'!$G$8:$H$14,2,FALSE),YES_Writing_ELA[#Headers],0))=0,"",INDEX(_xlfn.VSTACK(YES_Writing_ELA[#Data],YES_Writing_FLA[#Data]),MATCH($A519,_xlfn.VSTACK(YES_Writing_ELA[Student Number],YES_Writing_FLA[Student Number]),0),MATCH(VLOOKUP(F$7,'Writing Logic'!$J$7:$K$11,2,FALSE)&amp;" - Per "&amp;VLOOKUP($C$4,'Writing Logic'!$G$8:$H$14,2,FALSE),YES_Writing_ELA[#Headers],0)))="INS",'Writing Logic'!$B$7,IF(INDEX(_xlfn.VSTACK(YES_Writing_ELA[#Data],YES_Writing_FLA[#Data]),MATCH($A519,_xlfn.VSTACK(YES_Writing_ELA[Student Number],YES_Writing_FLA[Student Number]),0),MATCH(VLOOKUP(F$7,'Writing Logic'!$J$7:$K$11,2,FALSE)&amp;" - Per "&amp;VLOOKUP($C$4,'Writing Logic'!$G$8:$H$14,2,FALSE),YES_Writing_ELA[#Headers],0))=0,"",INDEX(_xlfn.VSTACK(YES_Writing_ELA[#Data],YES_Writing_FLA[#Data]),MATCH($A519,_xlfn.VSTACK(YES_Writing_ELA[Student Number],YES_Writing_FLA[Student Number]),0),MATCH(VLOOKUP(F$7,'Writing Logic'!$J$7:$K$11,2,FALSE)&amp;" - Per "&amp;VLOOKUP($C$4,'Writing Logic'!$G$8:$H$14,2,FALSE),YES_Writing_ELA[#Headers],0)))),"")</f>
        <v/>
      </c>
      <c r="G519" s="138" t="str">
        <f>IFERROR(IF(IF(INDEX(_xlfn.VSTACK(YES_Writing_ELA[#Data],YES_Writing_FLA[#Data]),MATCH($A519,_xlfn.VSTACK(YES_Writing_ELA[Student Number],YES_Writing_FLA[Student Number]),0),MATCH(VLOOKUP(G$7,'Writing Logic'!$J$7:$K$11,2,FALSE)&amp;" - Per "&amp;VLOOKUP($C$4,'Writing Logic'!$G$8:$H$14,2,FALSE),YES_Writing_ELA[#Headers],0))=0,"",INDEX(_xlfn.VSTACK(YES_Writing_ELA[#Data],YES_Writing_FLA[#Data]),MATCH($A519,_xlfn.VSTACK(YES_Writing_ELA[Student Number],YES_Writing_FLA[Student Number]),0),MATCH(VLOOKUP(G$7,'Writing Logic'!$J$7:$K$11,2,FALSE)&amp;" - Per "&amp;VLOOKUP($C$4,'Writing Logic'!$G$8:$H$14,2,FALSE),YES_Writing_ELA[#Headers],0)))="INS",'Writing Logic'!$B$7,IF(INDEX(_xlfn.VSTACK(YES_Writing_ELA[#Data],YES_Writing_FLA[#Data]),MATCH($A519,_xlfn.VSTACK(YES_Writing_ELA[Student Number],YES_Writing_FLA[Student Number]),0),MATCH(VLOOKUP(G$7,'Writing Logic'!$J$7:$K$11,2,FALSE)&amp;" - Per "&amp;VLOOKUP($C$4,'Writing Logic'!$G$8:$H$14,2,FALSE),YES_Writing_ELA[#Headers],0))=0,"",INDEX(_xlfn.VSTACK(YES_Writing_ELA[#Data],YES_Writing_FLA[#Data]),MATCH($A519,_xlfn.VSTACK(YES_Writing_ELA[Student Number],YES_Writing_FLA[Student Number]),0),MATCH(VLOOKUP(G$7,'Writing Logic'!$J$7:$K$11,2,FALSE)&amp;" - Per "&amp;VLOOKUP($C$4,'Writing Logic'!$G$8:$H$14,2,FALSE),YES_Writing_ELA[#Headers],0)))),"")</f>
        <v/>
      </c>
      <c r="H519" s="138" t="str">
        <f>IFERROR(IF(IF(INDEX(_xlfn.VSTACK(YES_Writing_ELA[#Data],YES_Writing_FLA[#Data]),MATCH($A519,_xlfn.VSTACK(YES_Writing_ELA[Student Number],YES_Writing_FLA[Student Number]),0),MATCH(VLOOKUP(H$7,'Writing Logic'!$J$7:$K$11,2,FALSE)&amp;" - Per "&amp;VLOOKUP($C$4,'Writing Logic'!$G$8:$H$14,2,FALSE),YES_Writing_ELA[#Headers],0))=0,"",INDEX(_xlfn.VSTACK(YES_Writing_ELA[#Data],YES_Writing_FLA[#Data]),MATCH($A519,_xlfn.VSTACK(YES_Writing_ELA[Student Number],YES_Writing_FLA[Student Number]),0),MATCH(VLOOKUP(H$7,'Writing Logic'!$J$7:$K$11,2,FALSE)&amp;" - Per "&amp;VLOOKUP($C$4,'Writing Logic'!$G$8:$H$14,2,FALSE),YES_Writing_ELA[#Headers],0)))="INS",'Writing Logic'!$B$7,IF(INDEX(_xlfn.VSTACK(YES_Writing_ELA[#Data],YES_Writing_FLA[#Data]),MATCH($A519,_xlfn.VSTACK(YES_Writing_ELA[Student Number],YES_Writing_FLA[Student Number]),0),MATCH(VLOOKUP(H$7,'Writing Logic'!$J$7:$K$11,2,FALSE)&amp;" - Per "&amp;VLOOKUP($C$4,'Writing Logic'!$G$8:$H$14,2,FALSE),YES_Writing_ELA[#Headers],0))=0,"",INDEX(_xlfn.VSTACK(YES_Writing_ELA[#Data],YES_Writing_FLA[#Data]),MATCH($A519,_xlfn.VSTACK(YES_Writing_ELA[Student Number],YES_Writing_FLA[Student Number]),0),MATCH(VLOOKUP(H$7,'Writing Logic'!$J$7:$K$11,2,FALSE)&amp;" - Per "&amp;VLOOKUP($C$4,'Writing Logic'!$G$8:$H$14,2,FALSE),YES_Writing_ELA[#Headers],0)))),"")</f>
        <v/>
      </c>
    </row>
    <row r="520" spans="1:8" x14ac:dyDescent="0.25">
      <c r="A520" s="137"/>
      <c r="B520" s="137" t="str">
        <f>IFERROR(INDEX(_xlfn.VSTACK(YES_Writing_ELA[#Data], YES_Writing_FLA[#Data]),MATCH($A520,_xlfn.VSTACK(YES_Writing_ELA[Student Number], YES_Writing_FLA[Student Number]),0),MATCH(B$7,YES_Writing_ELA[#Headers],0)),"")</f>
        <v/>
      </c>
      <c r="C520" s="137" t="str">
        <f>IFERROR(INDEX(_xlfn.VSTACK(YES_Writing_ELA[#Data], YES_Writing_FLA[#Data]),MATCH($A520,_xlfn.VSTACK(YES_Writing_ELA[Student Number], YES_Writing_FLA[Student Number]),0),MATCH(C$7,YES_Writing_ELA[#Headers],0)),"")</f>
        <v/>
      </c>
      <c r="D520" s="138" t="str">
        <f>IFERROR(IF(IF(INDEX(_xlfn.VSTACK(YES_Writing_ELA[#Data],YES_Writing_FLA[#Data]),MATCH($A520,_xlfn.VSTACK(YES_Writing_ELA[Student Number],YES_Writing_FLA[Student Number]),0),MATCH(VLOOKUP(D$7,'Writing Logic'!$J$7:$K$11,2,FALSE)&amp;" - Per "&amp;VLOOKUP($C$4,'Writing Logic'!$G$8:$H$14,2,FALSE),YES_Writing_ELA[#Headers],0))=0,"",INDEX(_xlfn.VSTACK(YES_Writing_ELA[#Data],YES_Writing_FLA[#Data]),MATCH($A520,_xlfn.VSTACK(YES_Writing_ELA[Student Number],YES_Writing_FLA[Student Number]),0),MATCH(VLOOKUP(D$7,'Writing Logic'!$J$7:$K$11,2,FALSE)&amp;" - Per "&amp;VLOOKUP($C$4,'Writing Logic'!$G$8:$H$14,2,FALSE),YES_Writing_ELA[#Headers],0)))="INS",'Writing Logic'!$B$7,IF(INDEX(_xlfn.VSTACK(YES_Writing_ELA[#Data],YES_Writing_FLA[#Data]),MATCH($A520,_xlfn.VSTACK(YES_Writing_ELA[Student Number],YES_Writing_FLA[Student Number]),0),MATCH(VLOOKUP(D$7,'Writing Logic'!$J$7:$K$11,2,FALSE)&amp;" - Per "&amp;VLOOKUP($C$4,'Writing Logic'!$G$8:$H$14,2,FALSE),YES_Writing_ELA[#Headers],0))=0,"",INDEX(_xlfn.VSTACK(YES_Writing_ELA[#Data],YES_Writing_FLA[#Data]),MATCH($A520,_xlfn.VSTACK(YES_Writing_ELA[Student Number],YES_Writing_FLA[Student Number]),0),MATCH(VLOOKUP(D$7,'Writing Logic'!$J$7:$K$11,2,FALSE)&amp;" - Per "&amp;VLOOKUP($C$4,'Writing Logic'!$G$8:$H$14,2,FALSE),YES_Writing_ELA[#Headers],0)))),"")</f>
        <v/>
      </c>
      <c r="E520" s="138" t="str">
        <f>IFERROR(IF(IF(INDEX(_xlfn.VSTACK(YES_Writing_ELA[#Data],YES_Writing_FLA[#Data]),MATCH($A520,_xlfn.VSTACK(YES_Writing_ELA[Student Number],YES_Writing_FLA[Student Number]),0),MATCH(VLOOKUP(E$7,'Writing Logic'!$J$7:$K$11,2,FALSE)&amp;" - Per "&amp;VLOOKUP($C$4,'Writing Logic'!$G$8:$H$14,2,FALSE),YES_Writing_ELA[#Headers],0))=0,"",INDEX(_xlfn.VSTACK(YES_Writing_ELA[#Data],YES_Writing_FLA[#Data]),MATCH($A520,_xlfn.VSTACK(YES_Writing_ELA[Student Number],YES_Writing_FLA[Student Number]),0),MATCH(VLOOKUP(E$7,'Writing Logic'!$J$7:$K$11,2,FALSE)&amp;" - Per "&amp;VLOOKUP($C$4,'Writing Logic'!$G$8:$H$14,2,FALSE),YES_Writing_ELA[#Headers],0)))="INS",'Writing Logic'!$B$7,IF(INDEX(_xlfn.VSTACK(YES_Writing_ELA[#Data],YES_Writing_FLA[#Data]),MATCH($A520,_xlfn.VSTACK(YES_Writing_ELA[Student Number],YES_Writing_FLA[Student Number]),0),MATCH(VLOOKUP(E$7,'Writing Logic'!$J$7:$K$11,2,FALSE)&amp;" - Per "&amp;VLOOKUP($C$4,'Writing Logic'!$G$8:$H$14,2,FALSE),YES_Writing_ELA[#Headers],0))=0,"",INDEX(_xlfn.VSTACK(YES_Writing_ELA[#Data],YES_Writing_FLA[#Data]),MATCH($A520,_xlfn.VSTACK(YES_Writing_ELA[Student Number],YES_Writing_FLA[Student Number]),0),MATCH(VLOOKUP(E$7,'Writing Logic'!$J$7:$K$11,2,FALSE)&amp;" - Per "&amp;VLOOKUP($C$4,'Writing Logic'!$G$8:$H$14,2,FALSE),YES_Writing_ELA[#Headers],0)))),"")</f>
        <v/>
      </c>
      <c r="F520" s="138" t="str">
        <f>IFERROR(IF(IF(INDEX(_xlfn.VSTACK(YES_Writing_ELA[#Data],YES_Writing_FLA[#Data]),MATCH($A520,_xlfn.VSTACK(YES_Writing_ELA[Student Number],YES_Writing_FLA[Student Number]),0),MATCH(VLOOKUP(F$7,'Writing Logic'!$J$7:$K$11,2,FALSE)&amp;" - Per "&amp;VLOOKUP($C$4,'Writing Logic'!$G$8:$H$14,2,FALSE),YES_Writing_ELA[#Headers],0))=0,"",INDEX(_xlfn.VSTACK(YES_Writing_ELA[#Data],YES_Writing_FLA[#Data]),MATCH($A520,_xlfn.VSTACK(YES_Writing_ELA[Student Number],YES_Writing_FLA[Student Number]),0),MATCH(VLOOKUP(F$7,'Writing Logic'!$J$7:$K$11,2,FALSE)&amp;" - Per "&amp;VLOOKUP($C$4,'Writing Logic'!$G$8:$H$14,2,FALSE),YES_Writing_ELA[#Headers],0)))="INS",'Writing Logic'!$B$7,IF(INDEX(_xlfn.VSTACK(YES_Writing_ELA[#Data],YES_Writing_FLA[#Data]),MATCH($A520,_xlfn.VSTACK(YES_Writing_ELA[Student Number],YES_Writing_FLA[Student Number]),0),MATCH(VLOOKUP(F$7,'Writing Logic'!$J$7:$K$11,2,FALSE)&amp;" - Per "&amp;VLOOKUP($C$4,'Writing Logic'!$G$8:$H$14,2,FALSE),YES_Writing_ELA[#Headers],0))=0,"",INDEX(_xlfn.VSTACK(YES_Writing_ELA[#Data],YES_Writing_FLA[#Data]),MATCH($A520,_xlfn.VSTACK(YES_Writing_ELA[Student Number],YES_Writing_FLA[Student Number]),0),MATCH(VLOOKUP(F$7,'Writing Logic'!$J$7:$K$11,2,FALSE)&amp;" - Per "&amp;VLOOKUP($C$4,'Writing Logic'!$G$8:$H$14,2,FALSE),YES_Writing_ELA[#Headers],0)))),"")</f>
        <v/>
      </c>
      <c r="G520" s="138" t="str">
        <f>IFERROR(IF(IF(INDEX(_xlfn.VSTACK(YES_Writing_ELA[#Data],YES_Writing_FLA[#Data]),MATCH($A520,_xlfn.VSTACK(YES_Writing_ELA[Student Number],YES_Writing_FLA[Student Number]),0),MATCH(VLOOKUP(G$7,'Writing Logic'!$J$7:$K$11,2,FALSE)&amp;" - Per "&amp;VLOOKUP($C$4,'Writing Logic'!$G$8:$H$14,2,FALSE),YES_Writing_ELA[#Headers],0))=0,"",INDEX(_xlfn.VSTACK(YES_Writing_ELA[#Data],YES_Writing_FLA[#Data]),MATCH($A520,_xlfn.VSTACK(YES_Writing_ELA[Student Number],YES_Writing_FLA[Student Number]),0),MATCH(VLOOKUP(G$7,'Writing Logic'!$J$7:$K$11,2,FALSE)&amp;" - Per "&amp;VLOOKUP($C$4,'Writing Logic'!$G$8:$H$14,2,FALSE),YES_Writing_ELA[#Headers],0)))="INS",'Writing Logic'!$B$7,IF(INDEX(_xlfn.VSTACK(YES_Writing_ELA[#Data],YES_Writing_FLA[#Data]),MATCH($A520,_xlfn.VSTACK(YES_Writing_ELA[Student Number],YES_Writing_FLA[Student Number]),0),MATCH(VLOOKUP(G$7,'Writing Logic'!$J$7:$K$11,2,FALSE)&amp;" - Per "&amp;VLOOKUP($C$4,'Writing Logic'!$G$8:$H$14,2,FALSE),YES_Writing_ELA[#Headers],0))=0,"",INDEX(_xlfn.VSTACK(YES_Writing_ELA[#Data],YES_Writing_FLA[#Data]),MATCH($A520,_xlfn.VSTACK(YES_Writing_ELA[Student Number],YES_Writing_FLA[Student Number]),0),MATCH(VLOOKUP(G$7,'Writing Logic'!$J$7:$K$11,2,FALSE)&amp;" - Per "&amp;VLOOKUP($C$4,'Writing Logic'!$G$8:$H$14,2,FALSE),YES_Writing_ELA[#Headers],0)))),"")</f>
        <v/>
      </c>
      <c r="H520" s="138" t="str">
        <f>IFERROR(IF(IF(INDEX(_xlfn.VSTACK(YES_Writing_ELA[#Data],YES_Writing_FLA[#Data]),MATCH($A520,_xlfn.VSTACK(YES_Writing_ELA[Student Number],YES_Writing_FLA[Student Number]),0),MATCH(VLOOKUP(H$7,'Writing Logic'!$J$7:$K$11,2,FALSE)&amp;" - Per "&amp;VLOOKUP($C$4,'Writing Logic'!$G$8:$H$14,2,FALSE),YES_Writing_ELA[#Headers],0))=0,"",INDEX(_xlfn.VSTACK(YES_Writing_ELA[#Data],YES_Writing_FLA[#Data]),MATCH($A520,_xlfn.VSTACK(YES_Writing_ELA[Student Number],YES_Writing_FLA[Student Number]),0),MATCH(VLOOKUP(H$7,'Writing Logic'!$J$7:$K$11,2,FALSE)&amp;" - Per "&amp;VLOOKUP($C$4,'Writing Logic'!$G$8:$H$14,2,FALSE),YES_Writing_ELA[#Headers],0)))="INS",'Writing Logic'!$B$7,IF(INDEX(_xlfn.VSTACK(YES_Writing_ELA[#Data],YES_Writing_FLA[#Data]),MATCH($A520,_xlfn.VSTACK(YES_Writing_ELA[Student Number],YES_Writing_FLA[Student Number]),0),MATCH(VLOOKUP(H$7,'Writing Logic'!$J$7:$K$11,2,FALSE)&amp;" - Per "&amp;VLOOKUP($C$4,'Writing Logic'!$G$8:$H$14,2,FALSE),YES_Writing_ELA[#Headers],0))=0,"",INDEX(_xlfn.VSTACK(YES_Writing_ELA[#Data],YES_Writing_FLA[#Data]),MATCH($A520,_xlfn.VSTACK(YES_Writing_ELA[Student Number],YES_Writing_FLA[Student Number]),0),MATCH(VLOOKUP(H$7,'Writing Logic'!$J$7:$K$11,2,FALSE)&amp;" - Per "&amp;VLOOKUP($C$4,'Writing Logic'!$G$8:$H$14,2,FALSE),YES_Writing_ELA[#Headers],0)))),"")</f>
        <v/>
      </c>
    </row>
    <row r="521" spans="1:8" x14ac:dyDescent="0.25">
      <c r="A521" s="137"/>
      <c r="B521" s="137" t="str">
        <f>IFERROR(INDEX(_xlfn.VSTACK(YES_Writing_ELA[#Data], YES_Writing_FLA[#Data]),MATCH($A521,_xlfn.VSTACK(YES_Writing_ELA[Student Number], YES_Writing_FLA[Student Number]),0),MATCH(B$7,YES_Writing_ELA[#Headers],0)),"")</f>
        <v/>
      </c>
      <c r="C521" s="137" t="str">
        <f>IFERROR(INDEX(_xlfn.VSTACK(YES_Writing_ELA[#Data], YES_Writing_FLA[#Data]),MATCH($A521,_xlfn.VSTACK(YES_Writing_ELA[Student Number], YES_Writing_FLA[Student Number]),0),MATCH(C$7,YES_Writing_ELA[#Headers],0)),"")</f>
        <v/>
      </c>
      <c r="D521" s="138" t="str">
        <f>IFERROR(IF(IF(INDEX(_xlfn.VSTACK(YES_Writing_ELA[#Data],YES_Writing_FLA[#Data]),MATCH($A521,_xlfn.VSTACK(YES_Writing_ELA[Student Number],YES_Writing_FLA[Student Number]),0),MATCH(VLOOKUP(D$7,'Writing Logic'!$J$7:$K$11,2,FALSE)&amp;" - Per "&amp;VLOOKUP($C$4,'Writing Logic'!$G$8:$H$14,2,FALSE),YES_Writing_ELA[#Headers],0))=0,"",INDEX(_xlfn.VSTACK(YES_Writing_ELA[#Data],YES_Writing_FLA[#Data]),MATCH($A521,_xlfn.VSTACK(YES_Writing_ELA[Student Number],YES_Writing_FLA[Student Number]),0),MATCH(VLOOKUP(D$7,'Writing Logic'!$J$7:$K$11,2,FALSE)&amp;" - Per "&amp;VLOOKUP($C$4,'Writing Logic'!$G$8:$H$14,2,FALSE),YES_Writing_ELA[#Headers],0)))="INS",'Writing Logic'!$B$7,IF(INDEX(_xlfn.VSTACK(YES_Writing_ELA[#Data],YES_Writing_FLA[#Data]),MATCH($A521,_xlfn.VSTACK(YES_Writing_ELA[Student Number],YES_Writing_FLA[Student Number]),0),MATCH(VLOOKUP(D$7,'Writing Logic'!$J$7:$K$11,2,FALSE)&amp;" - Per "&amp;VLOOKUP($C$4,'Writing Logic'!$G$8:$H$14,2,FALSE),YES_Writing_ELA[#Headers],0))=0,"",INDEX(_xlfn.VSTACK(YES_Writing_ELA[#Data],YES_Writing_FLA[#Data]),MATCH($A521,_xlfn.VSTACK(YES_Writing_ELA[Student Number],YES_Writing_FLA[Student Number]),0),MATCH(VLOOKUP(D$7,'Writing Logic'!$J$7:$K$11,2,FALSE)&amp;" - Per "&amp;VLOOKUP($C$4,'Writing Logic'!$G$8:$H$14,2,FALSE),YES_Writing_ELA[#Headers],0)))),"")</f>
        <v/>
      </c>
      <c r="E521" s="138" t="str">
        <f>IFERROR(IF(IF(INDEX(_xlfn.VSTACK(YES_Writing_ELA[#Data],YES_Writing_FLA[#Data]),MATCH($A521,_xlfn.VSTACK(YES_Writing_ELA[Student Number],YES_Writing_FLA[Student Number]),0),MATCH(VLOOKUP(E$7,'Writing Logic'!$J$7:$K$11,2,FALSE)&amp;" - Per "&amp;VLOOKUP($C$4,'Writing Logic'!$G$8:$H$14,2,FALSE),YES_Writing_ELA[#Headers],0))=0,"",INDEX(_xlfn.VSTACK(YES_Writing_ELA[#Data],YES_Writing_FLA[#Data]),MATCH($A521,_xlfn.VSTACK(YES_Writing_ELA[Student Number],YES_Writing_FLA[Student Number]),0),MATCH(VLOOKUP(E$7,'Writing Logic'!$J$7:$K$11,2,FALSE)&amp;" - Per "&amp;VLOOKUP($C$4,'Writing Logic'!$G$8:$H$14,2,FALSE),YES_Writing_ELA[#Headers],0)))="INS",'Writing Logic'!$B$7,IF(INDEX(_xlfn.VSTACK(YES_Writing_ELA[#Data],YES_Writing_FLA[#Data]),MATCH($A521,_xlfn.VSTACK(YES_Writing_ELA[Student Number],YES_Writing_FLA[Student Number]),0),MATCH(VLOOKUP(E$7,'Writing Logic'!$J$7:$K$11,2,FALSE)&amp;" - Per "&amp;VLOOKUP($C$4,'Writing Logic'!$G$8:$H$14,2,FALSE),YES_Writing_ELA[#Headers],0))=0,"",INDEX(_xlfn.VSTACK(YES_Writing_ELA[#Data],YES_Writing_FLA[#Data]),MATCH($A521,_xlfn.VSTACK(YES_Writing_ELA[Student Number],YES_Writing_FLA[Student Number]),0),MATCH(VLOOKUP(E$7,'Writing Logic'!$J$7:$K$11,2,FALSE)&amp;" - Per "&amp;VLOOKUP($C$4,'Writing Logic'!$G$8:$H$14,2,FALSE),YES_Writing_ELA[#Headers],0)))),"")</f>
        <v/>
      </c>
      <c r="F521" s="138" t="str">
        <f>IFERROR(IF(IF(INDEX(_xlfn.VSTACK(YES_Writing_ELA[#Data],YES_Writing_FLA[#Data]),MATCH($A521,_xlfn.VSTACK(YES_Writing_ELA[Student Number],YES_Writing_FLA[Student Number]),0),MATCH(VLOOKUP(F$7,'Writing Logic'!$J$7:$K$11,2,FALSE)&amp;" - Per "&amp;VLOOKUP($C$4,'Writing Logic'!$G$8:$H$14,2,FALSE),YES_Writing_ELA[#Headers],0))=0,"",INDEX(_xlfn.VSTACK(YES_Writing_ELA[#Data],YES_Writing_FLA[#Data]),MATCH($A521,_xlfn.VSTACK(YES_Writing_ELA[Student Number],YES_Writing_FLA[Student Number]),0),MATCH(VLOOKUP(F$7,'Writing Logic'!$J$7:$K$11,2,FALSE)&amp;" - Per "&amp;VLOOKUP($C$4,'Writing Logic'!$G$8:$H$14,2,FALSE),YES_Writing_ELA[#Headers],0)))="INS",'Writing Logic'!$B$7,IF(INDEX(_xlfn.VSTACK(YES_Writing_ELA[#Data],YES_Writing_FLA[#Data]),MATCH($A521,_xlfn.VSTACK(YES_Writing_ELA[Student Number],YES_Writing_FLA[Student Number]),0),MATCH(VLOOKUP(F$7,'Writing Logic'!$J$7:$K$11,2,FALSE)&amp;" - Per "&amp;VLOOKUP($C$4,'Writing Logic'!$G$8:$H$14,2,FALSE),YES_Writing_ELA[#Headers],0))=0,"",INDEX(_xlfn.VSTACK(YES_Writing_ELA[#Data],YES_Writing_FLA[#Data]),MATCH($A521,_xlfn.VSTACK(YES_Writing_ELA[Student Number],YES_Writing_FLA[Student Number]),0),MATCH(VLOOKUP(F$7,'Writing Logic'!$J$7:$K$11,2,FALSE)&amp;" - Per "&amp;VLOOKUP($C$4,'Writing Logic'!$G$8:$H$14,2,FALSE),YES_Writing_ELA[#Headers],0)))),"")</f>
        <v/>
      </c>
      <c r="G521" s="138" t="str">
        <f>IFERROR(IF(IF(INDEX(_xlfn.VSTACK(YES_Writing_ELA[#Data],YES_Writing_FLA[#Data]),MATCH($A521,_xlfn.VSTACK(YES_Writing_ELA[Student Number],YES_Writing_FLA[Student Number]),0),MATCH(VLOOKUP(G$7,'Writing Logic'!$J$7:$K$11,2,FALSE)&amp;" - Per "&amp;VLOOKUP($C$4,'Writing Logic'!$G$8:$H$14,2,FALSE),YES_Writing_ELA[#Headers],0))=0,"",INDEX(_xlfn.VSTACK(YES_Writing_ELA[#Data],YES_Writing_FLA[#Data]),MATCH($A521,_xlfn.VSTACK(YES_Writing_ELA[Student Number],YES_Writing_FLA[Student Number]),0),MATCH(VLOOKUP(G$7,'Writing Logic'!$J$7:$K$11,2,FALSE)&amp;" - Per "&amp;VLOOKUP($C$4,'Writing Logic'!$G$8:$H$14,2,FALSE),YES_Writing_ELA[#Headers],0)))="INS",'Writing Logic'!$B$7,IF(INDEX(_xlfn.VSTACK(YES_Writing_ELA[#Data],YES_Writing_FLA[#Data]),MATCH($A521,_xlfn.VSTACK(YES_Writing_ELA[Student Number],YES_Writing_FLA[Student Number]),0),MATCH(VLOOKUP(G$7,'Writing Logic'!$J$7:$K$11,2,FALSE)&amp;" - Per "&amp;VLOOKUP($C$4,'Writing Logic'!$G$8:$H$14,2,FALSE),YES_Writing_ELA[#Headers],0))=0,"",INDEX(_xlfn.VSTACK(YES_Writing_ELA[#Data],YES_Writing_FLA[#Data]),MATCH($A521,_xlfn.VSTACK(YES_Writing_ELA[Student Number],YES_Writing_FLA[Student Number]),0),MATCH(VLOOKUP(G$7,'Writing Logic'!$J$7:$K$11,2,FALSE)&amp;" - Per "&amp;VLOOKUP($C$4,'Writing Logic'!$G$8:$H$14,2,FALSE),YES_Writing_ELA[#Headers],0)))),"")</f>
        <v/>
      </c>
      <c r="H521" s="138" t="str">
        <f>IFERROR(IF(IF(INDEX(_xlfn.VSTACK(YES_Writing_ELA[#Data],YES_Writing_FLA[#Data]),MATCH($A521,_xlfn.VSTACK(YES_Writing_ELA[Student Number],YES_Writing_FLA[Student Number]),0),MATCH(VLOOKUP(H$7,'Writing Logic'!$J$7:$K$11,2,FALSE)&amp;" - Per "&amp;VLOOKUP($C$4,'Writing Logic'!$G$8:$H$14,2,FALSE),YES_Writing_ELA[#Headers],0))=0,"",INDEX(_xlfn.VSTACK(YES_Writing_ELA[#Data],YES_Writing_FLA[#Data]),MATCH($A521,_xlfn.VSTACK(YES_Writing_ELA[Student Number],YES_Writing_FLA[Student Number]),0),MATCH(VLOOKUP(H$7,'Writing Logic'!$J$7:$K$11,2,FALSE)&amp;" - Per "&amp;VLOOKUP($C$4,'Writing Logic'!$G$8:$H$14,2,FALSE),YES_Writing_ELA[#Headers],0)))="INS",'Writing Logic'!$B$7,IF(INDEX(_xlfn.VSTACK(YES_Writing_ELA[#Data],YES_Writing_FLA[#Data]),MATCH($A521,_xlfn.VSTACK(YES_Writing_ELA[Student Number],YES_Writing_FLA[Student Number]),0),MATCH(VLOOKUP(H$7,'Writing Logic'!$J$7:$K$11,2,FALSE)&amp;" - Per "&amp;VLOOKUP($C$4,'Writing Logic'!$G$8:$H$14,2,FALSE),YES_Writing_ELA[#Headers],0))=0,"",INDEX(_xlfn.VSTACK(YES_Writing_ELA[#Data],YES_Writing_FLA[#Data]),MATCH($A521,_xlfn.VSTACK(YES_Writing_ELA[Student Number],YES_Writing_FLA[Student Number]),0),MATCH(VLOOKUP(H$7,'Writing Logic'!$J$7:$K$11,2,FALSE)&amp;" - Per "&amp;VLOOKUP($C$4,'Writing Logic'!$G$8:$H$14,2,FALSE),YES_Writing_ELA[#Headers],0)))),"")</f>
        <v/>
      </c>
    </row>
    <row r="522" spans="1:8" x14ac:dyDescent="0.25">
      <c r="A522" s="137"/>
      <c r="B522" s="137" t="str">
        <f>IFERROR(INDEX(_xlfn.VSTACK(YES_Writing_ELA[#Data], YES_Writing_FLA[#Data]),MATCH($A522,_xlfn.VSTACK(YES_Writing_ELA[Student Number], YES_Writing_FLA[Student Number]),0),MATCH(B$7,YES_Writing_ELA[#Headers],0)),"")</f>
        <v/>
      </c>
      <c r="C522" s="137" t="str">
        <f>IFERROR(INDEX(_xlfn.VSTACK(YES_Writing_ELA[#Data], YES_Writing_FLA[#Data]),MATCH($A522,_xlfn.VSTACK(YES_Writing_ELA[Student Number], YES_Writing_FLA[Student Number]),0),MATCH(C$7,YES_Writing_ELA[#Headers],0)),"")</f>
        <v/>
      </c>
      <c r="D522" s="138" t="str">
        <f>IFERROR(IF(IF(INDEX(_xlfn.VSTACK(YES_Writing_ELA[#Data],YES_Writing_FLA[#Data]),MATCH($A522,_xlfn.VSTACK(YES_Writing_ELA[Student Number],YES_Writing_FLA[Student Number]),0),MATCH(VLOOKUP(D$7,'Writing Logic'!$J$7:$K$11,2,FALSE)&amp;" - Per "&amp;VLOOKUP($C$4,'Writing Logic'!$G$8:$H$14,2,FALSE),YES_Writing_ELA[#Headers],0))=0,"",INDEX(_xlfn.VSTACK(YES_Writing_ELA[#Data],YES_Writing_FLA[#Data]),MATCH($A522,_xlfn.VSTACK(YES_Writing_ELA[Student Number],YES_Writing_FLA[Student Number]),0),MATCH(VLOOKUP(D$7,'Writing Logic'!$J$7:$K$11,2,FALSE)&amp;" - Per "&amp;VLOOKUP($C$4,'Writing Logic'!$G$8:$H$14,2,FALSE),YES_Writing_ELA[#Headers],0)))="INS",'Writing Logic'!$B$7,IF(INDEX(_xlfn.VSTACK(YES_Writing_ELA[#Data],YES_Writing_FLA[#Data]),MATCH($A522,_xlfn.VSTACK(YES_Writing_ELA[Student Number],YES_Writing_FLA[Student Number]),0),MATCH(VLOOKUP(D$7,'Writing Logic'!$J$7:$K$11,2,FALSE)&amp;" - Per "&amp;VLOOKUP($C$4,'Writing Logic'!$G$8:$H$14,2,FALSE),YES_Writing_ELA[#Headers],0))=0,"",INDEX(_xlfn.VSTACK(YES_Writing_ELA[#Data],YES_Writing_FLA[#Data]),MATCH($A522,_xlfn.VSTACK(YES_Writing_ELA[Student Number],YES_Writing_FLA[Student Number]),0),MATCH(VLOOKUP(D$7,'Writing Logic'!$J$7:$K$11,2,FALSE)&amp;" - Per "&amp;VLOOKUP($C$4,'Writing Logic'!$G$8:$H$14,2,FALSE),YES_Writing_ELA[#Headers],0)))),"")</f>
        <v/>
      </c>
      <c r="E522" s="138" t="str">
        <f>IFERROR(IF(IF(INDEX(_xlfn.VSTACK(YES_Writing_ELA[#Data],YES_Writing_FLA[#Data]),MATCH($A522,_xlfn.VSTACK(YES_Writing_ELA[Student Number],YES_Writing_FLA[Student Number]),0),MATCH(VLOOKUP(E$7,'Writing Logic'!$J$7:$K$11,2,FALSE)&amp;" - Per "&amp;VLOOKUP($C$4,'Writing Logic'!$G$8:$H$14,2,FALSE),YES_Writing_ELA[#Headers],0))=0,"",INDEX(_xlfn.VSTACK(YES_Writing_ELA[#Data],YES_Writing_FLA[#Data]),MATCH($A522,_xlfn.VSTACK(YES_Writing_ELA[Student Number],YES_Writing_FLA[Student Number]),0),MATCH(VLOOKUP(E$7,'Writing Logic'!$J$7:$K$11,2,FALSE)&amp;" - Per "&amp;VLOOKUP($C$4,'Writing Logic'!$G$8:$H$14,2,FALSE),YES_Writing_ELA[#Headers],0)))="INS",'Writing Logic'!$B$7,IF(INDEX(_xlfn.VSTACK(YES_Writing_ELA[#Data],YES_Writing_FLA[#Data]),MATCH($A522,_xlfn.VSTACK(YES_Writing_ELA[Student Number],YES_Writing_FLA[Student Number]),0),MATCH(VLOOKUP(E$7,'Writing Logic'!$J$7:$K$11,2,FALSE)&amp;" - Per "&amp;VLOOKUP($C$4,'Writing Logic'!$G$8:$H$14,2,FALSE),YES_Writing_ELA[#Headers],0))=0,"",INDEX(_xlfn.VSTACK(YES_Writing_ELA[#Data],YES_Writing_FLA[#Data]),MATCH($A522,_xlfn.VSTACK(YES_Writing_ELA[Student Number],YES_Writing_FLA[Student Number]),0),MATCH(VLOOKUP(E$7,'Writing Logic'!$J$7:$K$11,2,FALSE)&amp;" - Per "&amp;VLOOKUP($C$4,'Writing Logic'!$G$8:$H$14,2,FALSE),YES_Writing_ELA[#Headers],0)))),"")</f>
        <v/>
      </c>
      <c r="F522" s="138" t="str">
        <f>IFERROR(IF(IF(INDEX(_xlfn.VSTACK(YES_Writing_ELA[#Data],YES_Writing_FLA[#Data]),MATCH($A522,_xlfn.VSTACK(YES_Writing_ELA[Student Number],YES_Writing_FLA[Student Number]),0),MATCH(VLOOKUP(F$7,'Writing Logic'!$J$7:$K$11,2,FALSE)&amp;" - Per "&amp;VLOOKUP($C$4,'Writing Logic'!$G$8:$H$14,2,FALSE),YES_Writing_ELA[#Headers],0))=0,"",INDEX(_xlfn.VSTACK(YES_Writing_ELA[#Data],YES_Writing_FLA[#Data]),MATCH($A522,_xlfn.VSTACK(YES_Writing_ELA[Student Number],YES_Writing_FLA[Student Number]),0),MATCH(VLOOKUP(F$7,'Writing Logic'!$J$7:$K$11,2,FALSE)&amp;" - Per "&amp;VLOOKUP($C$4,'Writing Logic'!$G$8:$H$14,2,FALSE),YES_Writing_ELA[#Headers],0)))="INS",'Writing Logic'!$B$7,IF(INDEX(_xlfn.VSTACK(YES_Writing_ELA[#Data],YES_Writing_FLA[#Data]),MATCH($A522,_xlfn.VSTACK(YES_Writing_ELA[Student Number],YES_Writing_FLA[Student Number]),0),MATCH(VLOOKUP(F$7,'Writing Logic'!$J$7:$K$11,2,FALSE)&amp;" - Per "&amp;VLOOKUP($C$4,'Writing Logic'!$G$8:$H$14,2,FALSE),YES_Writing_ELA[#Headers],0))=0,"",INDEX(_xlfn.VSTACK(YES_Writing_ELA[#Data],YES_Writing_FLA[#Data]),MATCH($A522,_xlfn.VSTACK(YES_Writing_ELA[Student Number],YES_Writing_FLA[Student Number]),0),MATCH(VLOOKUP(F$7,'Writing Logic'!$J$7:$K$11,2,FALSE)&amp;" - Per "&amp;VLOOKUP($C$4,'Writing Logic'!$G$8:$H$14,2,FALSE),YES_Writing_ELA[#Headers],0)))),"")</f>
        <v/>
      </c>
      <c r="G522" s="138" t="str">
        <f>IFERROR(IF(IF(INDEX(_xlfn.VSTACK(YES_Writing_ELA[#Data],YES_Writing_FLA[#Data]),MATCH($A522,_xlfn.VSTACK(YES_Writing_ELA[Student Number],YES_Writing_FLA[Student Number]),0),MATCH(VLOOKUP(G$7,'Writing Logic'!$J$7:$K$11,2,FALSE)&amp;" - Per "&amp;VLOOKUP($C$4,'Writing Logic'!$G$8:$H$14,2,FALSE),YES_Writing_ELA[#Headers],0))=0,"",INDEX(_xlfn.VSTACK(YES_Writing_ELA[#Data],YES_Writing_FLA[#Data]),MATCH($A522,_xlfn.VSTACK(YES_Writing_ELA[Student Number],YES_Writing_FLA[Student Number]),0),MATCH(VLOOKUP(G$7,'Writing Logic'!$J$7:$K$11,2,FALSE)&amp;" - Per "&amp;VLOOKUP($C$4,'Writing Logic'!$G$8:$H$14,2,FALSE),YES_Writing_ELA[#Headers],0)))="INS",'Writing Logic'!$B$7,IF(INDEX(_xlfn.VSTACK(YES_Writing_ELA[#Data],YES_Writing_FLA[#Data]),MATCH($A522,_xlfn.VSTACK(YES_Writing_ELA[Student Number],YES_Writing_FLA[Student Number]),0),MATCH(VLOOKUP(G$7,'Writing Logic'!$J$7:$K$11,2,FALSE)&amp;" - Per "&amp;VLOOKUP($C$4,'Writing Logic'!$G$8:$H$14,2,FALSE),YES_Writing_ELA[#Headers],0))=0,"",INDEX(_xlfn.VSTACK(YES_Writing_ELA[#Data],YES_Writing_FLA[#Data]),MATCH($A522,_xlfn.VSTACK(YES_Writing_ELA[Student Number],YES_Writing_FLA[Student Number]),0),MATCH(VLOOKUP(G$7,'Writing Logic'!$J$7:$K$11,2,FALSE)&amp;" - Per "&amp;VLOOKUP($C$4,'Writing Logic'!$G$8:$H$14,2,FALSE),YES_Writing_ELA[#Headers],0)))),"")</f>
        <v/>
      </c>
      <c r="H522" s="138" t="str">
        <f>IFERROR(IF(IF(INDEX(_xlfn.VSTACK(YES_Writing_ELA[#Data],YES_Writing_FLA[#Data]),MATCH($A522,_xlfn.VSTACK(YES_Writing_ELA[Student Number],YES_Writing_FLA[Student Number]),0),MATCH(VLOOKUP(H$7,'Writing Logic'!$J$7:$K$11,2,FALSE)&amp;" - Per "&amp;VLOOKUP($C$4,'Writing Logic'!$G$8:$H$14,2,FALSE),YES_Writing_ELA[#Headers],0))=0,"",INDEX(_xlfn.VSTACK(YES_Writing_ELA[#Data],YES_Writing_FLA[#Data]),MATCH($A522,_xlfn.VSTACK(YES_Writing_ELA[Student Number],YES_Writing_FLA[Student Number]),0),MATCH(VLOOKUP(H$7,'Writing Logic'!$J$7:$K$11,2,FALSE)&amp;" - Per "&amp;VLOOKUP($C$4,'Writing Logic'!$G$8:$H$14,2,FALSE),YES_Writing_ELA[#Headers],0)))="INS",'Writing Logic'!$B$7,IF(INDEX(_xlfn.VSTACK(YES_Writing_ELA[#Data],YES_Writing_FLA[#Data]),MATCH($A522,_xlfn.VSTACK(YES_Writing_ELA[Student Number],YES_Writing_FLA[Student Number]),0),MATCH(VLOOKUP(H$7,'Writing Logic'!$J$7:$K$11,2,FALSE)&amp;" - Per "&amp;VLOOKUP($C$4,'Writing Logic'!$G$8:$H$14,2,FALSE),YES_Writing_ELA[#Headers],0))=0,"",INDEX(_xlfn.VSTACK(YES_Writing_ELA[#Data],YES_Writing_FLA[#Data]),MATCH($A522,_xlfn.VSTACK(YES_Writing_ELA[Student Number],YES_Writing_FLA[Student Number]),0),MATCH(VLOOKUP(H$7,'Writing Logic'!$J$7:$K$11,2,FALSE)&amp;" - Per "&amp;VLOOKUP($C$4,'Writing Logic'!$G$8:$H$14,2,FALSE),YES_Writing_ELA[#Headers],0)))),"")</f>
        <v/>
      </c>
    </row>
    <row r="523" spans="1:8" x14ac:dyDescent="0.25">
      <c r="A523" s="137"/>
      <c r="B523" s="137" t="str">
        <f>IFERROR(INDEX(_xlfn.VSTACK(YES_Writing_ELA[#Data], YES_Writing_FLA[#Data]),MATCH($A523,_xlfn.VSTACK(YES_Writing_ELA[Student Number], YES_Writing_FLA[Student Number]),0),MATCH(B$7,YES_Writing_ELA[#Headers],0)),"")</f>
        <v/>
      </c>
      <c r="C523" s="137" t="str">
        <f>IFERROR(INDEX(_xlfn.VSTACK(YES_Writing_ELA[#Data], YES_Writing_FLA[#Data]),MATCH($A523,_xlfn.VSTACK(YES_Writing_ELA[Student Number], YES_Writing_FLA[Student Number]),0),MATCH(C$7,YES_Writing_ELA[#Headers],0)),"")</f>
        <v/>
      </c>
      <c r="D523" s="138" t="str">
        <f>IFERROR(IF(IF(INDEX(_xlfn.VSTACK(YES_Writing_ELA[#Data],YES_Writing_FLA[#Data]),MATCH($A523,_xlfn.VSTACK(YES_Writing_ELA[Student Number],YES_Writing_FLA[Student Number]),0),MATCH(VLOOKUP(D$7,'Writing Logic'!$J$7:$K$11,2,FALSE)&amp;" - Per "&amp;VLOOKUP($C$4,'Writing Logic'!$G$8:$H$14,2,FALSE),YES_Writing_ELA[#Headers],0))=0,"",INDEX(_xlfn.VSTACK(YES_Writing_ELA[#Data],YES_Writing_FLA[#Data]),MATCH($A523,_xlfn.VSTACK(YES_Writing_ELA[Student Number],YES_Writing_FLA[Student Number]),0),MATCH(VLOOKUP(D$7,'Writing Logic'!$J$7:$K$11,2,FALSE)&amp;" - Per "&amp;VLOOKUP($C$4,'Writing Logic'!$G$8:$H$14,2,FALSE),YES_Writing_ELA[#Headers],0)))="INS",'Writing Logic'!$B$7,IF(INDEX(_xlfn.VSTACK(YES_Writing_ELA[#Data],YES_Writing_FLA[#Data]),MATCH($A523,_xlfn.VSTACK(YES_Writing_ELA[Student Number],YES_Writing_FLA[Student Number]),0),MATCH(VLOOKUP(D$7,'Writing Logic'!$J$7:$K$11,2,FALSE)&amp;" - Per "&amp;VLOOKUP($C$4,'Writing Logic'!$G$8:$H$14,2,FALSE),YES_Writing_ELA[#Headers],0))=0,"",INDEX(_xlfn.VSTACK(YES_Writing_ELA[#Data],YES_Writing_FLA[#Data]),MATCH($A523,_xlfn.VSTACK(YES_Writing_ELA[Student Number],YES_Writing_FLA[Student Number]),0),MATCH(VLOOKUP(D$7,'Writing Logic'!$J$7:$K$11,2,FALSE)&amp;" - Per "&amp;VLOOKUP($C$4,'Writing Logic'!$G$8:$H$14,2,FALSE),YES_Writing_ELA[#Headers],0)))),"")</f>
        <v/>
      </c>
      <c r="E523" s="138" t="str">
        <f>IFERROR(IF(IF(INDEX(_xlfn.VSTACK(YES_Writing_ELA[#Data],YES_Writing_FLA[#Data]),MATCH($A523,_xlfn.VSTACK(YES_Writing_ELA[Student Number],YES_Writing_FLA[Student Number]),0),MATCH(VLOOKUP(E$7,'Writing Logic'!$J$7:$K$11,2,FALSE)&amp;" - Per "&amp;VLOOKUP($C$4,'Writing Logic'!$G$8:$H$14,2,FALSE),YES_Writing_ELA[#Headers],0))=0,"",INDEX(_xlfn.VSTACK(YES_Writing_ELA[#Data],YES_Writing_FLA[#Data]),MATCH($A523,_xlfn.VSTACK(YES_Writing_ELA[Student Number],YES_Writing_FLA[Student Number]),0),MATCH(VLOOKUP(E$7,'Writing Logic'!$J$7:$K$11,2,FALSE)&amp;" - Per "&amp;VLOOKUP($C$4,'Writing Logic'!$G$8:$H$14,2,FALSE),YES_Writing_ELA[#Headers],0)))="INS",'Writing Logic'!$B$7,IF(INDEX(_xlfn.VSTACK(YES_Writing_ELA[#Data],YES_Writing_FLA[#Data]),MATCH($A523,_xlfn.VSTACK(YES_Writing_ELA[Student Number],YES_Writing_FLA[Student Number]),0),MATCH(VLOOKUP(E$7,'Writing Logic'!$J$7:$K$11,2,FALSE)&amp;" - Per "&amp;VLOOKUP($C$4,'Writing Logic'!$G$8:$H$14,2,FALSE),YES_Writing_ELA[#Headers],0))=0,"",INDEX(_xlfn.VSTACK(YES_Writing_ELA[#Data],YES_Writing_FLA[#Data]),MATCH($A523,_xlfn.VSTACK(YES_Writing_ELA[Student Number],YES_Writing_FLA[Student Number]),0),MATCH(VLOOKUP(E$7,'Writing Logic'!$J$7:$K$11,2,FALSE)&amp;" - Per "&amp;VLOOKUP($C$4,'Writing Logic'!$G$8:$H$14,2,FALSE),YES_Writing_ELA[#Headers],0)))),"")</f>
        <v/>
      </c>
      <c r="F523" s="138" t="str">
        <f>IFERROR(IF(IF(INDEX(_xlfn.VSTACK(YES_Writing_ELA[#Data],YES_Writing_FLA[#Data]),MATCH($A523,_xlfn.VSTACK(YES_Writing_ELA[Student Number],YES_Writing_FLA[Student Number]),0),MATCH(VLOOKUP(F$7,'Writing Logic'!$J$7:$K$11,2,FALSE)&amp;" - Per "&amp;VLOOKUP($C$4,'Writing Logic'!$G$8:$H$14,2,FALSE),YES_Writing_ELA[#Headers],0))=0,"",INDEX(_xlfn.VSTACK(YES_Writing_ELA[#Data],YES_Writing_FLA[#Data]),MATCH($A523,_xlfn.VSTACK(YES_Writing_ELA[Student Number],YES_Writing_FLA[Student Number]),0),MATCH(VLOOKUP(F$7,'Writing Logic'!$J$7:$K$11,2,FALSE)&amp;" - Per "&amp;VLOOKUP($C$4,'Writing Logic'!$G$8:$H$14,2,FALSE),YES_Writing_ELA[#Headers],0)))="INS",'Writing Logic'!$B$7,IF(INDEX(_xlfn.VSTACK(YES_Writing_ELA[#Data],YES_Writing_FLA[#Data]),MATCH($A523,_xlfn.VSTACK(YES_Writing_ELA[Student Number],YES_Writing_FLA[Student Number]),0),MATCH(VLOOKUP(F$7,'Writing Logic'!$J$7:$K$11,2,FALSE)&amp;" - Per "&amp;VLOOKUP($C$4,'Writing Logic'!$G$8:$H$14,2,FALSE),YES_Writing_ELA[#Headers],0))=0,"",INDEX(_xlfn.VSTACK(YES_Writing_ELA[#Data],YES_Writing_FLA[#Data]),MATCH($A523,_xlfn.VSTACK(YES_Writing_ELA[Student Number],YES_Writing_FLA[Student Number]),0),MATCH(VLOOKUP(F$7,'Writing Logic'!$J$7:$K$11,2,FALSE)&amp;" - Per "&amp;VLOOKUP($C$4,'Writing Logic'!$G$8:$H$14,2,FALSE),YES_Writing_ELA[#Headers],0)))),"")</f>
        <v/>
      </c>
      <c r="G523" s="138" t="str">
        <f>IFERROR(IF(IF(INDEX(_xlfn.VSTACK(YES_Writing_ELA[#Data],YES_Writing_FLA[#Data]),MATCH($A523,_xlfn.VSTACK(YES_Writing_ELA[Student Number],YES_Writing_FLA[Student Number]),0),MATCH(VLOOKUP(G$7,'Writing Logic'!$J$7:$K$11,2,FALSE)&amp;" - Per "&amp;VLOOKUP($C$4,'Writing Logic'!$G$8:$H$14,2,FALSE),YES_Writing_ELA[#Headers],0))=0,"",INDEX(_xlfn.VSTACK(YES_Writing_ELA[#Data],YES_Writing_FLA[#Data]),MATCH($A523,_xlfn.VSTACK(YES_Writing_ELA[Student Number],YES_Writing_FLA[Student Number]),0),MATCH(VLOOKUP(G$7,'Writing Logic'!$J$7:$K$11,2,FALSE)&amp;" - Per "&amp;VLOOKUP($C$4,'Writing Logic'!$G$8:$H$14,2,FALSE),YES_Writing_ELA[#Headers],0)))="INS",'Writing Logic'!$B$7,IF(INDEX(_xlfn.VSTACK(YES_Writing_ELA[#Data],YES_Writing_FLA[#Data]),MATCH($A523,_xlfn.VSTACK(YES_Writing_ELA[Student Number],YES_Writing_FLA[Student Number]),0),MATCH(VLOOKUP(G$7,'Writing Logic'!$J$7:$K$11,2,FALSE)&amp;" - Per "&amp;VLOOKUP($C$4,'Writing Logic'!$G$8:$H$14,2,FALSE),YES_Writing_ELA[#Headers],0))=0,"",INDEX(_xlfn.VSTACK(YES_Writing_ELA[#Data],YES_Writing_FLA[#Data]),MATCH($A523,_xlfn.VSTACK(YES_Writing_ELA[Student Number],YES_Writing_FLA[Student Number]),0),MATCH(VLOOKUP(G$7,'Writing Logic'!$J$7:$K$11,2,FALSE)&amp;" - Per "&amp;VLOOKUP($C$4,'Writing Logic'!$G$8:$H$14,2,FALSE),YES_Writing_ELA[#Headers],0)))),"")</f>
        <v/>
      </c>
      <c r="H523" s="138" t="str">
        <f>IFERROR(IF(IF(INDEX(_xlfn.VSTACK(YES_Writing_ELA[#Data],YES_Writing_FLA[#Data]),MATCH($A523,_xlfn.VSTACK(YES_Writing_ELA[Student Number],YES_Writing_FLA[Student Number]),0),MATCH(VLOOKUP(H$7,'Writing Logic'!$J$7:$K$11,2,FALSE)&amp;" - Per "&amp;VLOOKUP($C$4,'Writing Logic'!$G$8:$H$14,2,FALSE),YES_Writing_ELA[#Headers],0))=0,"",INDEX(_xlfn.VSTACK(YES_Writing_ELA[#Data],YES_Writing_FLA[#Data]),MATCH($A523,_xlfn.VSTACK(YES_Writing_ELA[Student Number],YES_Writing_FLA[Student Number]),0),MATCH(VLOOKUP(H$7,'Writing Logic'!$J$7:$K$11,2,FALSE)&amp;" - Per "&amp;VLOOKUP($C$4,'Writing Logic'!$G$8:$H$14,2,FALSE),YES_Writing_ELA[#Headers],0)))="INS",'Writing Logic'!$B$7,IF(INDEX(_xlfn.VSTACK(YES_Writing_ELA[#Data],YES_Writing_FLA[#Data]),MATCH($A523,_xlfn.VSTACK(YES_Writing_ELA[Student Number],YES_Writing_FLA[Student Number]),0),MATCH(VLOOKUP(H$7,'Writing Logic'!$J$7:$K$11,2,FALSE)&amp;" - Per "&amp;VLOOKUP($C$4,'Writing Logic'!$G$8:$H$14,2,FALSE),YES_Writing_ELA[#Headers],0))=0,"",INDEX(_xlfn.VSTACK(YES_Writing_ELA[#Data],YES_Writing_FLA[#Data]),MATCH($A523,_xlfn.VSTACK(YES_Writing_ELA[Student Number],YES_Writing_FLA[Student Number]),0),MATCH(VLOOKUP(H$7,'Writing Logic'!$J$7:$K$11,2,FALSE)&amp;" - Per "&amp;VLOOKUP($C$4,'Writing Logic'!$G$8:$H$14,2,FALSE),YES_Writing_ELA[#Headers],0)))),"")</f>
        <v/>
      </c>
    </row>
    <row r="524" spans="1:8" x14ac:dyDescent="0.25">
      <c r="A524" s="137"/>
      <c r="B524" s="137" t="str">
        <f>IFERROR(INDEX(_xlfn.VSTACK(YES_Writing_ELA[#Data], YES_Writing_FLA[#Data]),MATCH($A524,_xlfn.VSTACK(YES_Writing_ELA[Student Number], YES_Writing_FLA[Student Number]),0),MATCH(B$7,YES_Writing_ELA[#Headers],0)),"")</f>
        <v/>
      </c>
      <c r="C524" s="137" t="str">
        <f>IFERROR(INDEX(_xlfn.VSTACK(YES_Writing_ELA[#Data], YES_Writing_FLA[#Data]),MATCH($A524,_xlfn.VSTACK(YES_Writing_ELA[Student Number], YES_Writing_FLA[Student Number]),0),MATCH(C$7,YES_Writing_ELA[#Headers],0)),"")</f>
        <v/>
      </c>
      <c r="D524" s="138" t="str">
        <f>IFERROR(IF(IF(INDEX(_xlfn.VSTACK(YES_Writing_ELA[#Data],YES_Writing_FLA[#Data]),MATCH($A524,_xlfn.VSTACK(YES_Writing_ELA[Student Number],YES_Writing_FLA[Student Number]),0),MATCH(VLOOKUP(D$7,'Writing Logic'!$J$7:$K$11,2,FALSE)&amp;" - Per "&amp;VLOOKUP($C$4,'Writing Logic'!$G$8:$H$14,2,FALSE),YES_Writing_ELA[#Headers],0))=0,"",INDEX(_xlfn.VSTACK(YES_Writing_ELA[#Data],YES_Writing_FLA[#Data]),MATCH($A524,_xlfn.VSTACK(YES_Writing_ELA[Student Number],YES_Writing_FLA[Student Number]),0),MATCH(VLOOKUP(D$7,'Writing Logic'!$J$7:$K$11,2,FALSE)&amp;" - Per "&amp;VLOOKUP($C$4,'Writing Logic'!$G$8:$H$14,2,FALSE),YES_Writing_ELA[#Headers],0)))="INS",'Writing Logic'!$B$7,IF(INDEX(_xlfn.VSTACK(YES_Writing_ELA[#Data],YES_Writing_FLA[#Data]),MATCH($A524,_xlfn.VSTACK(YES_Writing_ELA[Student Number],YES_Writing_FLA[Student Number]),0),MATCH(VLOOKUP(D$7,'Writing Logic'!$J$7:$K$11,2,FALSE)&amp;" - Per "&amp;VLOOKUP($C$4,'Writing Logic'!$G$8:$H$14,2,FALSE),YES_Writing_ELA[#Headers],0))=0,"",INDEX(_xlfn.VSTACK(YES_Writing_ELA[#Data],YES_Writing_FLA[#Data]),MATCH($A524,_xlfn.VSTACK(YES_Writing_ELA[Student Number],YES_Writing_FLA[Student Number]),0),MATCH(VLOOKUP(D$7,'Writing Logic'!$J$7:$K$11,2,FALSE)&amp;" - Per "&amp;VLOOKUP($C$4,'Writing Logic'!$G$8:$H$14,2,FALSE),YES_Writing_ELA[#Headers],0)))),"")</f>
        <v/>
      </c>
      <c r="E524" s="138" t="str">
        <f>IFERROR(IF(IF(INDEX(_xlfn.VSTACK(YES_Writing_ELA[#Data],YES_Writing_FLA[#Data]),MATCH($A524,_xlfn.VSTACK(YES_Writing_ELA[Student Number],YES_Writing_FLA[Student Number]),0),MATCH(VLOOKUP(E$7,'Writing Logic'!$J$7:$K$11,2,FALSE)&amp;" - Per "&amp;VLOOKUP($C$4,'Writing Logic'!$G$8:$H$14,2,FALSE),YES_Writing_ELA[#Headers],0))=0,"",INDEX(_xlfn.VSTACK(YES_Writing_ELA[#Data],YES_Writing_FLA[#Data]),MATCH($A524,_xlfn.VSTACK(YES_Writing_ELA[Student Number],YES_Writing_FLA[Student Number]),0),MATCH(VLOOKUP(E$7,'Writing Logic'!$J$7:$K$11,2,FALSE)&amp;" - Per "&amp;VLOOKUP($C$4,'Writing Logic'!$G$8:$H$14,2,FALSE),YES_Writing_ELA[#Headers],0)))="INS",'Writing Logic'!$B$7,IF(INDEX(_xlfn.VSTACK(YES_Writing_ELA[#Data],YES_Writing_FLA[#Data]),MATCH($A524,_xlfn.VSTACK(YES_Writing_ELA[Student Number],YES_Writing_FLA[Student Number]),0),MATCH(VLOOKUP(E$7,'Writing Logic'!$J$7:$K$11,2,FALSE)&amp;" - Per "&amp;VLOOKUP($C$4,'Writing Logic'!$G$8:$H$14,2,FALSE),YES_Writing_ELA[#Headers],0))=0,"",INDEX(_xlfn.VSTACK(YES_Writing_ELA[#Data],YES_Writing_FLA[#Data]),MATCH($A524,_xlfn.VSTACK(YES_Writing_ELA[Student Number],YES_Writing_FLA[Student Number]),0),MATCH(VLOOKUP(E$7,'Writing Logic'!$J$7:$K$11,2,FALSE)&amp;" - Per "&amp;VLOOKUP($C$4,'Writing Logic'!$G$8:$H$14,2,FALSE),YES_Writing_ELA[#Headers],0)))),"")</f>
        <v/>
      </c>
      <c r="F524" s="138" t="str">
        <f>IFERROR(IF(IF(INDEX(_xlfn.VSTACK(YES_Writing_ELA[#Data],YES_Writing_FLA[#Data]),MATCH($A524,_xlfn.VSTACK(YES_Writing_ELA[Student Number],YES_Writing_FLA[Student Number]),0),MATCH(VLOOKUP(F$7,'Writing Logic'!$J$7:$K$11,2,FALSE)&amp;" - Per "&amp;VLOOKUP($C$4,'Writing Logic'!$G$8:$H$14,2,FALSE),YES_Writing_ELA[#Headers],0))=0,"",INDEX(_xlfn.VSTACK(YES_Writing_ELA[#Data],YES_Writing_FLA[#Data]),MATCH($A524,_xlfn.VSTACK(YES_Writing_ELA[Student Number],YES_Writing_FLA[Student Number]),0),MATCH(VLOOKUP(F$7,'Writing Logic'!$J$7:$K$11,2,FALSE)&amp;" - Per "&amp;VLOOKUP($C$4,'Writing Logic'!$G$8:$H$14,2,FALSE),YES_Writing_ELA[#Headers],0)))="INS",'Writing Logic'!$B$7,IF(INDEX(_xlfn.VSTACK(YES_Writing_ELA[#Data],YES_Writing_FLA[#Data]),MATCH($A524,_xlfn.VSTACK(YES_Writing_ELA[Student Number],YES_Writing_FLA[Student Number]),0),MATCH(VLOOKUP(F$7,'Writing Logic'!$J$7:$K$11,2,FALSE)&amp;" - Per "&amp;VLOOKUP($C$4,'Writing Logic'!$G$8:$H$14,2,FALSE),YES_Writing_ELA[#Headers],0))=0,"",INDEX(_xlfn.VSTACK(YES_Writing_ELA[#Data],YES_Writing_FLA[#Data]),MATCH($A524,_xlfn.VSTACK(YES_Writing_ELA[Student Number],YES_Writing_FLA[Student Number]),0),MATCH(VLOOKUP(F$7,'Writing Logic'!$J$7:$K$11,2,FALSE)&amp;" - Per "&amp;VLOOKUP($C$4,'Writing Logic'!$G$8:$H$14,2,FALSE),YES_Writing_ELA[#Headers],0)))),"")</f>
        <v/>
      </c>
      <c r="G524" s="138" t="str">
        <f>IFERROR(IF(IF(INDEX(_xlfn.VSTACK(YES_Writing_ELA[#Data],YES_Writing_FLA[#Data]),MATCH($A524,_xlfn.VSTACK(YES_Writing_ELA[Student Number],YES_Writing_FLA[Student Number]),0),MATCH(VLOOKUP(G$7,'Writing Logic'!$J$7:$K$11,2,FALSE)&amp;" - Per "&amp;VLOOKUP($C$4,'Writing Logic'!$G$8:$H$14,2,FALSE),YES_Writing_ELA[#Headers],0))=0,"",INDEX(_xlfn.VSTACK(YES_Writing_ELA[#Data],YES_Writing_FLA[#Data]),MATCH($A524,_xlfn.VSTACK(YES_Writing_ELA[Student Number],YES_Writing_FLA[Student Number]),0),MATCH(VLOOKUP(G$7,'Writing Logic'!$J$7:$K$11,2,FALSE)&amp;" - Per "&amp;VLOOKUP($C$4,'Writing Logic'!$G$8:$H$14,2,FALSE),YES_Writing_ELA[#Headers],0)))="INS",'Writing Logic'!$B$7,IF(INDEX(_xlfn.VSTACK(YES_Writing_ELA[#Data],YES_Writing_FLA[#Data]),MATCH($A524,_xlfn.VSTACK(YES_Writing_ELA[Student Number],YES_Writing_FLA[Student Number]),0),MATCH(VLOOKUP(G$7,'Writing Logic'!$J$7:$K$11,2,FALSE)&amp;" - Per "&amp;VLOOKUP($C$4,'Writing Logic'!$G$8:$H$14,2,FALSE),YES_Writing_ELA[#Headers],0))=0,"",INDEX(_xlfn.VSTACK(YES_Writing_ELA[#Data],YES_Writing_FLA[#Data]),MATCH($A524,_xlfn.VSTACK(YES_Writing_ELA[Student Number],YES_Writing_FLA[Student Number]),0),MATCH(VLOOKUP(G$7,'Writing Logic'!$J$7:$K$11,2,FALSE)&amp;" - Per "&amp;VLOOKUP($C$4,'Writing Logic'!$G$8:$H$14,2,FALSE),YES_Writing_ELA[#Headers],0)))),"")</f>
        <v/>
      </c>
      <c r="H524" s="138" t="str">
        <f>IFERROR(IF(IF(INDEX(_xlfn.VSTACK(YES_Writing_ELA[#Data],YES_Writing_FLA[#Data]),MATCH($A524,_xlfn.VSTACK(YES_Writing_ELA[Student Number],YES_Writing_FLA[Student Number]),0),MATCH(VLOOKUP(H$7,'Writing Logic'!$J$7:$K$11,2,FALSE)&amp;" - Per "&amp;VLOOKUP($C$4,'Writing Logic'!$G$8:$H$14,2,FALSE),YES_Writing_ELA[#Headers],0))=0,"",INDEX(_xlfn.VSTACK(YES_Writing_ELA[#Data],YES_Writing_FLA[#Data]),MATCH($A524,_xlfn.VSTACK(YES_Writing_ELA[Student Number],YES_Writing_FLA[Student Number]),0),MATCH(VLOOKUP(H$7,'Writing Logic'!$J$7:$K$11,2,FALSE)&amp;" - Per "&amp;VLOOKUP($C$4,'Writing Logic'!$G$8:$H$14,2,FALSE),YES_Writing_ELA[#Headers],0)))="INS",'Writing Logic'!$B$7,IF(INDEX(_xlfn.VSTACK(YES_Writing_ELA[#Data],YES_Writing_FLA[#Data]),MATCH($A524,_xlfn.VSTACK(YES_Writing_ELA[Student Number],YES_Writing_FLA[Student Number]),0),MATCH(VLOOKUP(H$7,'Writing Logic'!$J$7:$K$11,2,FALSE)&amp;" - Per "&amp;VLOOKUP($C$4,'Writing Logic'!$G$8:$H$14,2,FALSE),YES_Writing_ELA[#Headers],0))=0,"",INDEX(_xlfn.VSTACK(YES_Writing_ELA[#Data],YES_Writing_FLA[#Data]),MATCH($A524,_xlfn.VSTACK(YES_Writing_ELA[Student Number],YES_Writing_FLA[Student Number]),0),MATCH(VLOOKUP(H$7,'Writing Logic'!$J$7:$K$11,2,FALSE)&amp;" - Per "&amp;VLOOKUP($C$4,'Writing Logic'!$G$8:$H$14,2,FALSE),YES_Writing_ELA[#Headers],0)))),"")</f>
        <v/>
      </c>
    </row>
    <row r="525" spans="1:8" x14ac:dyDescent="0.25">
      <c r="A525" s="137"/>
      <c r="B525" s="137" t="str">
        <f>IFERROR(INDEX(_xlfn.VSTACK(YES_Writing_ELA[#Data], YES_Writing_FLA[#Data]),MATCH($A525,_xlfn.VSTACK(YES_Writing_ELA[Student Number], YES_Writing_FLA[Student Number]),0),MATCH(B$7,YES_Writing_ELA[#Headers],0)),"")</f>
        <v/>
      </c>
      <c r="C525" s="137" t="str">
        <f>IFERROR(INDEX(_xlfn.VSTACK(YES_Writing_ELA[#Data], YES_Writing_FLA[#Data]),MATCH($A525,_xlfn.VSTACK(YES_Writing_ELA[Student Number], YES_Writing_FLA[Student Number]),0),MATCH(C$7,YES_Writing_ELA[#Headers],0)),"")</f>
        <v/>
      </c>
      <c r="D525" s="138" t="str">
        <f>IFERROR(IF(IF(INDEX(_xlfn.VSTACK(YES_Writing_ELA[#Data],YES_Writing_FLA[#Data]),MATCH($A525,_xlfn.VSTACK(YES_Writing_ELA[Student Number],YES_Writing_FLA[Student Number]),0),MATCH(VLOOKUP(D$7,'Writing Logic'!$J$7:$K$11,2,FALSE)&amp;" - Per "&amp;VLOOKUP($C$4,'Writing Logic'!$G$8:$H$14,2,FALSE),YES_Writing_ELA[#Headers],0))=0,"",INDEX(_xlfn.VSTACK(YES_Writing_ELA[#Data],YES_Writing_FLA[#Data]),MATCH($A525,_xlfn.VSTACK(YES_Writing_ELA[Student Number],YES_Writing_FLA[Student Number]),0),MATCH(VLOOKUP(D$7,'Writing Logic'!$J$7:$K$11,2,FALSE)&amp;" - Per "&amp;VLOOKUP($C$4,'Writing Logic'!$G$8:$H$14,2,FALSE),YES_Writing_ELA[#Headers],0)))="INS",'Writing Logic'!$B$7,IF(INDEX(_xlfn.VSTACK(YES_Writing_ELA[#Data],YES_Writing_FLA[#Data]),MATCH($A525,_xlfn.VSTACK(YES_Writing_ELA[Student Number],YES_Writing_FLA[Student Number]),0),MATCH(VLOOKUP(D$7,'Writing Logic'!$J$7:$K$11,2,FALSE)&amp;" - Per "&amp;VLOOKUP($C$4,'Writing Logic'!$G$8:$H$14,2,FALSE),YES_Writing_ELA[#Headers],0))=0,"",INDEX(_xlfn.VSTACK(YES_Writing_ELA[#Data],YES_Writing_FLA[#Data]),MATCH($A525,_xlfn.VSTACK(YES_Writing_ELA[Student Number],YES_Writing_FLA[Student Number]),0),MATCH(VLOOKUP(D$7,'Writing Logic'!$J$7:$K$11,2,FALSE)&amp;" - Per "&amp;VLOOKUP($C$4,'Writing Logic'!$G$8:$H$14,2,FALSE),YES_Writing_ELA[#Headers],0)))),"")</f>
        <v/>
      </c>
      <c r="E525" s="138" t="str">
        <f>IFERROR(IF(IF(INDEX(_xlfn.VSTACK(YES_Writing_ELA[#Data],YES_Writing_FLA[#Data]),MATCH($A525,_xlfn.VSTACK(YES_Writing_ELA[Student Number],YES_Writing_FLA[Student Number]),0),MATCH(VLOOKUP(E$7,'Writing Logic'!$J$7:$K$11,2,FALSE)&amp;" - Per "&amp;VLOOKUP($C$4,'Writing Logic'!$G$8:$H$14,2,FALSE),YES_Writing_ELA[#Headers],0))=0,"",INDEX(_xlfn.VSTACK(YES_Writing_ELA[#Data],YES_Writing_FLA[#Data]),MATCH($A525,_xlfn.VSTACK(YES_Writing_ELA[Student Number],YES_Writing_FLA[Student Number]),0),MATCH(VLOOKUP(E$7,'Writing Logic'!$J$7:$K$11,2,FALSE)&amp;" - Per "&amp;VLOOKUP($C$4,'Writing Logic'!$G$8:$H$14,2,FALSE),YES_Writing_ELA[#Headers],0)))="INS",'Writing Logic'!$B$7,IF(INDEX(_xlfn.VSTACK(YES_Writing_ELA[#Data],YES_Writing_FLA[#Data]),MATCH($A525,_xlfn.VSTACK(YES_Writing_ELA[Student Number],YES_Writing_FLA[Student Number]),0),MATCH(VLOOKUP(E$7,'Writing Logic'!$J$7:$K$11,2,FALSE)&amp;" - Per "&amp;VLOOKUP($C$4,'Writing Logic'!$G$8:$H$14,2,FALSE),YES_Writing_ELA[#Headers],0))=0,"",INDEX(_xlfn.VSTACK(YES_Writing_ELA[#Data],YES_Writing_FLA[#Data]),MATCH($A525,_xlfn.VSTACK(YES_Writing_ELA[Student Number],YES_Writing_FLA[Student Number]),0),MATCH(VLOOKUP(E$7,'Writing Logic'!$J$7:$K$11,2,FALSE)&amp;" - Per "&amp;VLOOKUP($C$4,'Writing Logic'!$G$8:$H$14,2,FALSE),YES_Writing_ELA[#Headers],0)))),"")</f>
        <v/>
      </c>
      <c r="F525" s="138" t="str">
        <f>IFERROR(IF(IF(INDEX(_xlfn.VSTACK(YES_Writing_ELA[#Data],YES_Writing_FLA[#Data]),MATCH($A525,_xlfn.VSTACK(YES_Writing_ELA[Student Number],YES_Writing_FLA[Student Number]),0),MATCH(VLOOKUP(F$7,'Writing Logic'!$J$7:$K$11,2,FALSE)&amp;" - Per "&amp;VLOOKUP($C$4,'Writing Logic'!$G$8:$H$14,2,FALSE),YES_Writing_ELA[#Headers],0))=0,"",INDEX(_xlfn.VSTACK(YES_Writing_ELA[#Data],YES_Writing_FLA[#Data]),MATCH($A525,_xlfn.VSTACK(YES_Writing_ELA[Student Number],YES_Writing_FLA[Student Number]),0),MATCH(VLOOKUP(F$7,'Writing Logic'!$J$7:$K$11,2,FALSE)&amp;" - Per "&amp;VLOOKUP($C$4,'Writing Logic'!$G$8:$H$14,2,FALSE),YES_Writing_ELA[#Headers],0)))="INS",'Writing Logic'!$B$7,IF(INDEX(_xlfn.VSTACK(YES_Writing_ELA[#Data],YES_Writing_FLA[#Data]),MATCH($A525,_xlfn.VSTACK(YES_Writing_ELA[Student Number],YES_Writing_FLA[Student Number]),0),MATCH(VLOOKUP(F$7,'Writing Logic'!$J$7:$K$11,2,FALSE)&amp;" - Per "&amp;VLOOKUP($C$4,'Writing Logic'!$G$8:$H$14,2,FALSE),YES_Writing_ELA[#Headers],0))=0,"",INDEX(_xlfn.VSTACK(YES_Writing_ELA[#Data],YES_Writing_FLA[#Data]),MATCH($A525,_xlfn.VSTACK(YES_Writing_ELA[Student Number],YES_Writing_FLA[Student Number]),0),MATCH(VLOOKUP(F$7,'Writing Logic'!$J$7:$K$11,2,FALSE)&amp;" - Per "&amp;VLOOKUP($C$4,'Writing Logic'!$G$8:$H$14,2,FALSE),YES_Writing_ELA[#Headers],0)))),"")</f>
        <v/>
      </c>
      <c r="G525" s="138" t="str">
        <f>IFERROR(IF(IF(INDEX(_xlfn.VSTACK(YES_Writing_ELA[#Data],YES_Writing_FLA[#Data]),MATCH($A525,_xlfn.VSTACK(YES_Writing_ELA[Student Number],YES_Writing_FLA[Student Number]),0),MATCH(VLOOKUP(G$7,'Writing Logic'!$J$7:$K$11,2,FALSE)&amp;" - Per "&amp;VLOOKUP($C$4,'Writing Logic'!$G$8:$H$14,2,FALSE),YES_Writing_ELA[#Headers],0))=0,"",INDEX(_xlfn.VSTACK(YES_Writing_ELA[#Data],YES_Writing_FLA[#Data]),MATCH($A525,_xlfn.VSTACK(YES_Writing_ELA[Student Number],YES_Writing_FLA[Student Number]),0),MATCH(VLOOKUP(G$7,'Writing Logic'!$J$7:$K$11,2,FALSE)&amp;" - Per "&amp;VLOOKUP($C$4,'Writing Logic'!$G$8:$H$14,2,FALSE),YES_Writing_ELA[#Headers],0)))="INS",'Writing Logic'!$B$7,IF(INDEX(_xlfn.VSTACK(YES_Writing_ELA[#Data],YES_Writing_FLA[#Data]),MATCH($A525,_xlfn.VSTACK(YES_Writing_ELA[Student Number],YES_Writing_FLA[Student Number]),0),MATCH(VLOOKUP(G$7,'Writing Logic'!$J$7:$K$11,2,FALSE)&amp;" - Per "&amp;VLOOKUP($C$4,'Writing Logic'!$G$8:$H$14,2,FALSE),YES_Writing_ELA[#Headers],0))=0,"",INDEX(_xlfn.VSTACK(YES_Writing_ELA[#Data],YES_Writing_FLA[#Data]),MATCH($A525,_xlfn.VSTACK(YES_Writing_ELA[Student Number],YES_Writing_FLA[Student Number]),0),MATCH(VLOOKUP(G$7,'Writing Logic'!$J$7:$K$11,2,FALSE)&amp;" - Per "&amp;VLOOKUP($C$4,'Writing Logic'!$G$8:$H$14,2,FALSE),YES_Writing_ELA[#Headers],0)))),"")</f>
        <v/>
      </c>
      <c r="H525" s="138" t="str">
        <f>IFERROR(IF(IF(INDEX(_xlfn.VSTACK(YES_Writing_ELA[#Data],YES_Writing_FLA[#Data]),MATCH($A525,_xlfn.VSTACK(YES_Writing_ELA[Student Number],YES_Writing_FLA[Student Number]),0),MATCH(VLOOKUP(H$7,'Writing Logic'!$J$7:$K$11,2,FALSE)&amp;" - Per "&amp;VLOOKUP($C$4,'Writing Logic'!$G$8:$H$14,2,FALSE),YES_Writing_ELA[#Headers],0))=0,"",INDEX(_xlfn.VSTACK(YES_Writing_ELA[#Data],YES_Writing_FLA[#Data]),MATCH($A525,_xlfn.VSTACK(YES_Writing_ELA[Student Number],YES_Writing_FLA[Student Number]),0),MATCH(VLOOKUP(H$7,'Writing Logic'!$J$7:$K$11,2,FALSE)&amp;" - Per "&amp;VLOOKUP($C$4,'Writing Logic'!$G$8:$H$14,2,FALSE),YES_Writing_ELA[#Headers],0)))="INS",'Writing Logic'!$B$7,IF(INDEX(_xlfn.VSTACK(YES_Writing_ELA[#Data],YES_Writing_FLA[#Data]),MATCH($A525,_xlfn.VSTACK(YES_Writing_ELA[Student Number],YES_Writing_FLA[Student Number]),0),MATCH(VLOOKUP(H$7,'Writing Logic'!$J$7:$K$11,2,FALSE)&amp;" - Per "&amp;VLOOKUP($C$4,'Writing Logic'!$G$8:$H$14,2,FALSE),YES_Writing_ELA[#Headers],0))=0,"",INDEX(_xlfn.VSTACK(YES_Writing_ELA[#Data],YES_Writing_FLA[#Data]),MATCH($A525,_xlfn.VSTACK(YES_Writing_ELA[Student Number],YES_Writing_FLA[Student Number]),0),MATCH(VLOOKUP(H$7,'Writing Logic'!$J$7:$K$11,2,FALSE)&amp;" - Per "&amp;VLOOKUP($C$4,'Writing Logic'!$G$8:$H$14,2,FALSE),YES_Writing_ELA[#Headers],0)))),"")</f>
        <v/>
      </c>
    </row>
    <row r="526" spans="1:8" x14ac:dyDescent="0.25">
      <c r="A526" s="137"/>
      <c r="B526" s="137" t="str">
        <f>IFERROR(INDEX(_xlfn.VSTACK(YES_Writing_ELA[#Data], YES_Writing_FLA[#Data]),MATCH($A526,_xlfn.VSTACK(YES_Writing_ELA[Student Number], YES_Writing_FLA[Student Number]),0),MATCH(B$7,YES_Writing_ELA[#Headers],0)),"")</f>
        <v/>
      </c>
      <c r="C526" s="137" t="str">
        <f>IFERROR(INDEX(_xlfn.VSTACK(YES_Writing_ELA[#Data], YES_Writing_FLA[#Data]),MATCH($A526,_xlfn.VSTACK(YES_Writing_ELA[Student Number], YES_Writing_FLA[Student Number]),0),MATCH(C$7,YES_Writing_ELA[#Headers],0)),"")</f>
        <v/>
      </c>
      <c r="D526" s="138" t="str">
        <f>IFERROR(IF(IF(INDEX(_xlfn.VSTACK(YES_Writing_ELA[#Data],YES_Writing_FLA[#Data]),MATCH($A526,_xlfn.VSTACK(YES_Writing_ELA[Student Number],YES_Writing_FLA[Student Number]),0),MATCH(VLOOKUP(D$7,'Writing Logic'!$J$7:$K$11,2,FALSE)&amp;" - Per "&amp;VLOOKUP($C$4,'Writing Logic'!$G$8:$H$14,2,FALSE),YES_Writing_ELA[#Headers],0))=0,"",INDEX(_xlfn.VSTACK(YES_Writing_ELA[#Data],YES_Writing_FLA[#Data]),MATCH($A526,_xlfn.VSTACK(YES_Writing_ELA[Student Number],YES_Writing_FLA[Student Number]),0),MATCH(VLOOKUP(D$7,'Writing Logic'!$J$7:$K$11,2,FALSE)&amp;" - Per "&amp;VLOOKUP($C$4,'Writing Logic'!$G$8:$H$14,2,FALSE),YES_Writing_ELA[#Headers],0)))="INS",'Writing Logic'!$B$7,IF(INDEX(_xlfn.VSTACK(YES_Writing_ELA[#Data],YES_Writing_FLA[#Data]),MATCH($A526,_xlfn.VSTACK(YES_Writing_ELA[Student Number],YES_Writing_FLA[Student Number]),0),MATCH(VLOOKUP(D$7,'Writing Logic'!$J$7:$K$11,2,FALSE)&amp;" - Per "&amp;VLOOKUP($C$4,'Writing Logic'!$G$8:$H$14,2,FALSE),YES_Writing_ELA[#Headers],0))=0,"",INDEX(_xlfn.VSTACK(YES_Writing_ELA[#Data],YES_Writing_FLA[#Data]),MATCH($A526,_xlfn.VSTACK(YES_Writing_ELA[Student Number],YES_Writing_FLA[Student Number]),0),MATCH(VLOOKUP(D$7,'Writing Logic'!$J$7:$K$11,2,FALSE)&amp;" - Per "&amp;VLOOKUP($C$4,'Writing Logic'!$G$8:$H$14,2,FALSE),YES_Writing_ELA[#Headers],0)))),"")</f>
        <v/>
      </c>
      <c r="E526" s="138" t="str">
        <f>IFERROR(IF(IF(INDEX(_xlfn.VSTACK(YES_Writing_ELA[#Data],YES_Writing_FLA[#Data]),MATCH($A526,_xlfn.VSTACK(YES_Writing_ELA[Student Number],YES_Writing_FLA[Student Number]),0),MATCH(VLOOKUP(E$7,'Writing Logic'!$J$7:$K$11,2,FALSE)&amp;" - Per "&amp;VLOOKUP($C$4,'Writing Logic'!$G$8:$H$14,2,FALSE),YES_Writing_ELA[#Headers],0))=0,"",INDEX(_xlfn.VSTACK(YES_Writing_ELA[#Data],YES_Writing_FLA[#Data]),MATCH($A526,_xlfn.VSTACK(YES_Writing_ELA[Student Number],YES_Writing_FLA[Student Number]),0),MATCH(VLOOKUP(E$7,'Writing Logic'!$J$7:$K$11,2,FALSE)&amp;" - Per "&amp;VLOOKUP($C$4,'Writing Logic'!$G$8:$H$14,2,FALSE),YES_Writing_ELA[#Headers],0)))="INS",'Writing Logic'!$B$7,IF(INDEX(_xlfn.VSTACK(YES_Writing_ELA[#Data],YES_Writing_FLA[#Data]),MATCH($A526,_xlfn.VSTACK(YES_Writing_ELA[Student Number],YES_Writing_FLA[Student Number]),0),MATCH(VLOOKUP(E$7,'Writing Logic'!$J$7:$K$11,2,FALSE)&amp;" - Per "&amp;VLOOKUP($C$4,'Writing Logic'!$G$8:$H$14,2,FALSE),YES_Writing_ELA[#Headers],0))=0,"",INDEX(_xlfn.VSTACK(YES_Writing_ELA[#Data],YES_Writing_FLA[#Data]),MATCH($A526,_xlfn.VSTACK(YES_Writing_ELA[Student Number],YES_Writing_FLA[Student Number]),0),MATCH(VLOOKUP(E$7,'Writing Logic'!$J$7:$K$11,2,FALSE)&amp;" - Per "&amp;VLOOKUP($C$4,'Writing Logic'!$G$8:$H$14,2,FALSE),YES_Writing_ELA[#Headers],0)))),"")</f>
        <v/>
      </c>
      <c r="F526" s="138" t="str">
        <f>IFERROR(IF(IF(INDEX(_xlfn.VSTACK(YES_Writing_ELA[#Data],YES_Writing_FLA[#Data]),MATCH($A526,_xlfn.VSTACK(YES_Writing_ELA[Student Number],YES_Writing_FLA[Student Number]),0),MATCH(VLOOKUP(F$7,'Writing Logic'!$J$7:$K$11,2,FALSE)&amp;" - Per "&amp;VLOOKUP($C$4,'Writing Logic'!$G$8:$H$14,2,FALSE),YES_Writing_ELA[#Headers],0))=0,"",INDEX(_xlfn.VSTACK(YES_Writing_ELA[#Data],YES_Writing_FLA[#Data]),MATCH($A526,_xlfn.VSTACK(YES_Writing_ELA[Student Number],YES_Writing_FLA[Student Number]),0),MATCH(VLOOKUP(F$7,'Writing Logic'!$J$7:$K$11,2,FALSE)&amp;" - Per "&amp;VLOOKUP($C$4,'Writing Logic'!$G$8:$H$14,2,FALSE),YES_Writing_ELA[#Headers],0)))="INS",'Writing Logic'!$B$7,IF(INDEX(_xlfn.VSTACK(YES_Writing_ELA[#Data],YES_Writing_FLA[#Data]),MATCH($A526,_xlfn.VSTACK(YES_Writing_ELA[Student Number],YES_Writing_FLA[Student Number]),0),MATCH(VLOOKUP(F$7,'Writing Logic'!$J$7:$K$11,2,FALSE)&amp;" - Per "&amp;VLOOKUP($C$4,'Writing Logic'!$G$8:$H$14,2,FALSE),YES_Writing_ELA[#Headers],0))=0,"",INDEX(_xlfn.VSTACK(YES_Writing_ELA[#Data],YES_Writing_FLA[#Data]),MATCH($A526,_xlfn.VSTACK(YES_Writing_ELA[Student Number],YES_Writing_FLA[Student Number]),0),MATCH(VLOOKUP(F$7,'Writing Logic'!$J$7:$K$11,2,FALSE)&amp;" - Per "&amp;VLOOKUP($C$4,'Writing Logic'!$G$8:$H$14,2,FALSE),YES_Writing_ELA[#Headers],0)))),"")</f>
        <v/>
      </c>
      <c r="G526" s="138" t="str">
        <f>IFERROR(IF(IF(INDEX(_xlfn.VSTACK(YES_Writing_ELA[#Data],YES_Writing_FLA[#Data]),MATCH($A526,_xlfn.VSTACK(YES_Writing_ELA[Student Number],YES_Writing_FLA[Student Number]),0),MATCH(VLOOKUP(G$7,'Writing Logic'!$J$7:$K$11,2,FALSE)&amp;" - Per "&amp;VLOOKUP($C$4,'Writing Logic'!$G$8:$H$14,2,FALSE),YES_Writing_ELA[#Headers],0))=0,"",INDEX(_xlfn.VSTACK(YES_Writing_ELA[#Data],YES_Writing_FLA[#Data]),MATCH($A526,_xlfn.VSTACK(YES_Writing_ELA[Student Number],YES_Writing_FLA[Student Number]),0),MATCH(VLOOKUP(G$7,'Writing Logic'!$J$7:$K$11,2,FALSE)&amp;" - Per "&amp;VLOOKUP($C$4,'Writing Logic'!$G$8:$H$14,2,FALSE),YES_Writing_ELA[#Headers],0)))="INS",'Writing Logic'!$B$7,IF(INDEX(_xlfn.VSTACK(YES_Writing_ELA[#Data],YES_Writing_FLA[#Data]),MATCH($A526,_xlfn.VSTACK(YES_Writing_ELA[Student Number],YES_Writing_FLA[Student Number]),0),MATCH(VLOOKUP(G$7,'Writing Logic'!$J$7:$K$11,2,FALSE)&amp;" - Per "&amp;VLOOKUP($C$4,'Writing Logic'!$G$8:$H$14,2,FALSE),YES_Writing_ELA[#Headers],0))=0,"",INDEX(_xlfn.VSTACK(YES_Writing_ELA[#Data],YES_Writing_FLA[#Data]),MATCH($A526,_xlfn.VSTACK(YES_Writing_ELA[Student Number],YES_Writing_FLA[Student Number]),0),MATCH(VLOOKUP(G$7,'Writing Logic'!$J$7:$K$11,2,FALSE)&amp;" - Per "&amp;VLOOKUP($C$4,'Writing Logic'!$G$8:$H$14,2,FALSE),YES_Writing_ELA[#Headers],0)))),"")</f>
        <v/>
      </c>
      <c r="H526" s="138" t="str">
        <f>IFERROR(IF(IF(INDEX(_xlfn.VSTACK(YES_Writing_ELA[#Data],YES_Writing_FLA[#Data]),MATCH($A526,_xlfn.VSTACK(YES_Writing_ELA[Student Number],YES_Writing_FLA[Student Number]),0),MATCH(VLOOKUP(H$7,'Writing Logic'!$J$7:$K$11,2,FALSE)&amp;" - Per "&amp;VLOOKUP($C$4,'Writing Logic'!$G$8:$H$14,2,FALSE),YES_Writing_ELA[#Headers],0))=0,"",INDEX(_xlfn.VSTACK(YES_Writing_ELA[#Data],YES_Writing_FLA[#Data]),MATCH($A526,_xlfn.VSTACK(YES_Writing_ELA[Student Number],YES_Writing_FLA[Student Number]),0),MATCH(VLOOKUP(H$7,'Writing Logic'!$J$7:$K$11,2,FALSE)&amp;" - Per "&amp;VLOOKUP($C$4,'Writing Logic'!$G$8:$H$14,2,FALSE),YES_Writing_ELA[#Headers],0)))="INS",'Writing Logic'!$B$7,IF(INDEX(_xlfn.VSTACK(YES_Writing_ELA[#Data],YES_Writing_FLA[#Data]),MATCH($A526,_xlfn.VSTACK(YES_Writing_ELA[Student Number],YES_Writing_FLA[Student Number]),0),MATCH(VLOOKUP(H$7,'Writing Logic'!$J$7:$K$11,2,FALSE)&amp;" - Per "&amp;VLOOKUP($C$4,'Writing Logic'!$G$8:$H$14,2,FALSE),YES_Writing_ELA[#Headers],0))=0,"",INDEX(_xlfn.VSTACK(YES_Writing_ELA[#Data],YES_Writing_FLA[#Data]),MATCH($A526,_xlfn.VSTACK(YES_Writing_ELA[Student Number],YES_Writing_FLA[Student Number]),0),MATCH(VLOOKUP(H$7,'Writing Logic'!$J$7:$K$11,2,FALSE)&amp;" - Per "&amp;VLOOKUP($C$4,'Writing Logic'!$G$8:$H$14,2,FALSE),YES_Writing_ELA[#Headers],0)))),"")</f>
        <v/>
      </c>
    </row>
    <row r="527" spans="1:8" x14ac:dyDescent="0.25">
      <c r="A527" s="137"/>
      <c r="B527" s="137" t="str">
        <f>IFERROR(INDEX(_xlfn.VSTACK(YES_Writing_ELA[#Data], YES_Writing_FLA[#Data]),MATCH($A527,_xlfn.VSTACK(YES_Writing_ELA[Student Number], YES_Writing_FLA[Student Number]),0),MATCH(B$7,YES_Writing_ELA[#Headers],0)),"")</f>
        <v/>
      </c>
      <c r="C527" s="137" t="str">
        <f>IFERROR(INDEX(_xlfn.VSTACK(YES_Writing_ELA[#Data], YES_Writing_FLA[#Data]),MATCH($A527,_xlfn.VSTACK(YES_Writing_ELA[Student Number], YES_Writing_FLA[Student Number]),0),MATCH(C$7,YES_Writing_ELA[#Headers],0)),"")</f>
        <v/>
      </c>
      <c r="D527" s="138" t="str">
        <f>IFERROR(IF(IF(INDEX(_xlfn.VSTACK(YES_Writing_ELA[#Data],YES_Writing_FLA[#Data]),MATCH($A527,_xlfn.VSTACK(YES_Writing_ELA[Student Number],YES_Writing_FLA[Student Number]),0),MATCH(VLOOKUP(D$7,'Writing Logic'!$J$7:$K$11,2,FALSE)&amp;" - Per "&amp;VLOOKUP($C$4,'Writing Logic'!$G$8:$H$14,2,FALSE),YES_Writing_ELA[#Headers],0))=0,"",INDEX(_xlfn.VSTACK(YES_Writing_ELA[#Data],YES_Writing_FLA[#Data]),MATCH($A527,_xlfn.VSTACK(YES_Writing_ELA[Student Number],YES_Writing_FLA[Student Number]),0),MATCH(VLOOKUP(D$7,'Writing Logic'!$J$7:$K$11,2,FALSE)&amp;" - Per "&amp;VLOOKUP($C$4,'Writing Logic'!$G$8:$H$14,2,FALSE),YES_Writing_ELA[#Headers],0)))="INS",'Writing Logic'!$B$7,IF(INDEX(_xlfn.VSTACK(YES_Writing_ELA[#Data],YES_Writing_FLA[#Data]),MATCH($A527,_xlfn.VSTACK(YES_Writing_ELA[Student Number],YES_Writing_FLA[Student Number]),0),MATCH(VLOOKUP(D$7,'Writing Logic'!$J$7:$K$11,2,FALSE)&amp;" - Per "&amp;VLOOKUP($C$4,'Writing Logic'!$G$8:$H$14,2,FALSE),YES_Writing_ELA[#Headers],0))=0,"",INDEX(_xlfn.VSTACK(YES_Writing_ELA[#Data],YES_Writing_FLA[#Data]),MATCH($A527,_xlfn.VSTACK(YES_Writing_ELA[Student Number],YES_Writing_FLA[Student Number]),0),MATCH(VLOOKUP(D$7,'Writing Logic'!$J$7:$K$11,2,FALSE)&amp;" - Per "&amp;VLOOKUP($C$4,'Writing Logic'!$G$8:$H$14,2,FALSE),YES_Writing_ELA[#Headers],0)))),"")</f>
        <v/>
      </c>
      <c r="E527" s="138" t="str">
        <f>IFERROR(IF(IF(INDEX(_xlfn.VSTACK(YES_Writing_ELA[#Data],YES_Writing_FLA[#Data]),MATCH($A527,_xlfn.VSTACK(YES_Writing_ELA[Student Number],YES_Writing_FLA[Student Number]),0),MATCH(VLOOKUP(E$7,'Writing Logic'!$J$7:$K$11,2,FALSE)&amp;" - Per "&amp;VLOOKUP($C$4,'Writing Logic'!$G$8:$H$14,2,FALSE),YES_Writing_ELA[#Headers],0))=0,"",INDEX(_xlfn.VSTACK(YES_Writing_ELA[#Data],YES_Writing_FLA[#Data]),MATCH($A527,_xlfn.VSTACK(YES_Writing_ELA[Student Number],YES_Writing_FLA[Student Number]),0),MATCH(VLOOKUP(E$7,'Writing Logic'!$J$7:$K$11,2,FALSE)&amp;" - Per "&amp;VLOOKUP($C$4,'Writing Logic'!$G$8:$H$14,2,FALSE),YES_Writing_ELA[#Headers],0)))="INS",'Writing Logic'!$B$7,IF(INDEX(_xlfn.VSTACK(YES_Writing_ELA[#Data],YES_Writing_FLA[#Data]),MATCH($A527,_xlfn.VSTACK(YES_Writing_ELA[Student Number],YES_Writing_FLA[Student Number]),0),MATCH(VLOOKUP(E$7,'Writing Logic'!$J$7:$K$11,2,FALSE)&amp;" - Per "&amp;VLOOKUP($C$4,'Writing Logic'!$G$8:$H$14,2,FALSE),YES_Writing_ELA[#Headers],0))=0,"",INDEX(_xlfn.VSTACK(YES_Writing_ELA[#Data],YES_Writing_FLA[#Data]),MATCH($A527,_xlfn.VSTACK(YES_Writing_ELA[Student Number],YES_Writing_FLA[Student Number]),0),MATCH(VLOOKUP(E$7,'Writing Logic'!$J$7:$K$11,2,FALSE)&amp;" - Per "&amp;VLOOKUP($C$4,'Writing Logic'!$G$8:$H$14,2,FALSE),YES_Writing_ELA[#Headers],0)))),"")</f>
        <v/>
      </c>
      <c r="F527" s="138" t="str">
        <f>IFERROR(IF(IF(INDEX(_xlfn.VSTACK(YES_Writing_ELA[#Data],YES_Writing_FLA[#Data]),MATCH($A527,_xlfn.VSTACK(YES_Writing_ELA[Student Number],YES_Writing_FLA[Student Number]),0),MATCH(VLOOKUP(F$7,'Writing Logic'!$J$7:$K$11,2,FALSE)&amp;" - Per "&amp;VLOOKUP($C$4,'Writing Logic'!$G$8:$H$14,2,FALSE),YES_Writing_ELA[#Headers],0))=0,"",INDEX(_xlfn.VSTACK(YES_Writing_ELA[#Data],YES_Writing_FLA[#Data]),MATCH($A527,_xlfn.VSTACK(YES_Writing_ELA[Student Number],YES_Writing_FLA[Student Number]),0),MATCH(VLOOKUP(F$7,'Writing Logic'!$J$7:$K$11,2,FALSE)&amp;" - Per "&amp;VLOOKUP($C$4,'Writing Logic'!$G$8:$H$14,2,FALSE),YES_Writing_ELA[#Headers],0)))="INS",'Writing Logic'!$B$7,IF(INDEX(_xlfn.VSTACK(YES_Writing_ELA[#Data],YES_Writing_FLA[#Data]),MATCH($A527,_xlfn.VSTACK(YES_Writing_ELA[Student Number],YES_Writing_FLA[Student Number]),0),MATCH(VLOOKUP(F$7,'Writing Logic'!$J$7:$K$11,2,FALSE)&amp;" - Per "&amp;VLOOKUP($C$4,'Writing Logic'!$G$8:$H$14,2,FALSE),YES_Writing_ELA[#Headers],0))=0,"",INDEX(_xlfn.VSTACK(YES_Writing_ELA[#Data],YES_Writing_FLA[#Data]),MATCH($A527,_xlfn.VSTACK(YES_Writing_ELA[Student Number],YES_Writing_FLA[Student Number]),0),MATCH(VLOOKUP(F$7,'Writing Logic'!$J$7:$K$11,2,FALSE)&amp;" - Per "&amp;VLOOKUP($C$4,'Writing Logic'!$G$8:$H$14,2,FALSE),YES_Writing_ELA[#Headers],0)))),"")</f>
        <v/>
      </c>
      <c r="G527" s="138" t="str">
        <f>IFERROR(IF(IF(INDEX(_xlfn.VSTACK(YES_Writing_ELA[#Data],YES_Writing_FLA[#Data]),MATCH($A527,_xlfn.VSTACK(YES_Writing_ELA[Student Number],YES_Writing_FLA[Student Number]),0),MATCH(VLOOKUP(G$7,'Writing Logic'!$J$7:$K$11,2,FALSE)&amp;" - Per "&amp;VLOOKUP($C$4,'Writing Logic'!$G$8:$H$14,2,FALSE),YES_Writing_ELA[#Headers],0))=0,"",INDEX(_xlfn.VSTACK(YES_Writing_ELA[#Data],YES_Writing_FLA[#Data]),MATCH($A527,_xlfn.VSTACK(YES_Writing_ELA[Student Number],YES_Writing_FLA[Student Number]),0),MATCH(VLOOKUP(G$7,'Writing Logic'!$J$7:$K$11,2,FALSE)&amp;" - Per "&amp;VLOOKUP($C$4,'Writing Logic'!$G$8:$H$14,2,FALSE),YES_Writing_ELA[#Headers],0)))="INS",'Writing Logic'!$B$7,IF(INDEX(_xlfn.VSTACK(YES_Writing_ELA[#Data],YES_Writing_FLA[#Data]),MATCH($A527,_xlfn.VSTACK(YES_Writing_ELA[Student Number],YES_Writing_FLA[Student Number]),0),MATCH(VLOOKUP(G$7,'Writing Logic'!$J$7:$K$11,2,FALSE)&amp;" - Per "&amp;VLOOKUP($C$4,'Writing Logic'!$G$8:$H$14,2,FALSE),YES_Writing_ELA[#Headers],0))=0,"",INDEX(_xlfn.VSTACK(YES_Writing_ELA[#Data],YES_Writing_FLA[#Data]),MATCH($A527,_xlfn.VSTACK(YES_Writing_ELA[Student Number],YES_Writing_FLA[Student Number]),0),MATCH(VLOOKUP(G$7,'Writing Logic'!$J$7:$K$11,2,FALSE)&amp;" - Per "&amp;VLOOKUP($C$4,'Writing Logic'!$G$8:$H$14,2,FALSE),YES_Writing_ELA[#Headers],0)))),"")</f>
        <v/>
      </c>
      <c r="H527" s="138" t="str">
        <f>IFERROR(IF(IF(INDEX(_xlfn.VSTACK(YES_Writing_ELA[#Data],YES_Writing_FLA[#Data]),MATCH($A527,_xlfn.VSTACK(YES_Writing_ELA[Student Number],YES_Writing_FLA[Student Number]),0),MATCH(VLOOKUP(H$7,'Writing Logic'!$J$7:$K$11,2,FALSE)&amp;" - Per "&amp;VLOOKUP($C$4,'Writing Logic'!$G$8:$H$14,2,FALSE),YES_Writing_ELA[#Headers],0))=0,"",INDEX(_xlfn.VSTACK(YES_Writing_ELA[#Data],YES_Writing_FLA[#Data]),MATCH($A527,_xlfn.VSTACK(YES_Writing_ELA[Student Number],YES_Writing_FLA[Student Number]),0),MATCH(VLOOKUP(H$7,'Writing Logic'!$J$7:$K$11,2,FALSE)&amp;" - Per "&amp;VLOOKUP($C$4,'Writing Logic'!$G$8:$H$14,2,FALSE),YES_Writing_ELA[#Headers],0)))="INS",'Writing Logic'!$B$7,IF(INDEX(_xlfn.VSTACK(YES_Writing_ELA[#Data],YES_Writing_FLA[#Data]),MATCH($A527,_xlfn.VSTACK(YES_Writing_ELA[Student Number],YES_Writing_FLA[Student Number]),0),MATCH(VLOOKUP(H$7,'Writing Logic'!$J$7:$K$11,2,FALSE)&amp;" - Per "&amp;VLOOKUP($C$4,'Writing Logic'!$G$8:$H$14,2,FALSE),YES_Writing_ELA[#Headers],0))=0,"",INDEX(_xlfn.VSTACK(YES_Writing_ELA[#Data],YES_Writing_FLA[#Data]),MATCH($A527,_xlfn.VSTACK(YES_Writing_ELA[Student Number],YES_Writing_FLA[Student Number]),0),MATCH(VLOOKUP(H$7,'Writing Logic'!$J$7:$K$11,2,FALSE)&amp;" - Per "&amp;VLOOKUP($C$4,'Writing Logic'!$G$8:$H$14,2,FALSE),YES_Writing_ELA[#Headers],0)))),"")</f>
        <v/>
      </c>
    </row>
    <row r="528" spans="1:8" x14ac:dyDescent="0.25">
      <c r="A528" s="137"/>
      <c r="B528" s="137" t="str">
        <f>IFERROR(INDEX(_xlfn.VSTACK(YES_Writing_ELA[#Data], YES_Writing_FLA[#Data]),MATCH($A528,_xlfn.VSTACK(YES_Writing_ELA[Student Number], YES_Writing_FLA[Student Number]),0),MATCH(B$7,YES_Writing_ELA[#Headers],0)),"")</f>
        <v/>
      </c>
      <c r="C528" s="137" t="str">
        <f>IFERROR(INDEX(_xlfn.VSTACK(YES_Writing_ELA[#Data], YES_Writing_FLA[#Data]),MATCH($A528,_xlfn.VSTACK(YES_Writing_ELA[Student Number], YES_Writing_FLA[Student Number]),0),MATCH(C$7,YES_Writing_ELA[#Headers],0)),"")</f>
        <v/>
      </c>
      <c r="D528" s="138" t="str">
        <f>IFERROR(IF(IF(INDEX(_xlfn.VSTACK(YES_Writing_ELA[#Data],YES_Writing_FLA[#Data]),MATCH($A528,_xlfn.VSTACK(YES_Writing_ELA[Student Number],YES_Writing_FLA[Student Number]),0),MATCH(VLOOKUP(D$7,'Writing Logic'!$J$7:$K$11,2,FALSE)&amp;" - Per "&amp;VLOOKUP($C$4,'Writing Logic'!$G$8:$H$14,2,FALSE),YES_Writing_ELA[#Headers],0))=0,"",INDEX(_xlfn.VSTACK(YES_Writing_ELA[#Data],YES_Writing_FLA[#Data]),MATCH($A528,_xlfn.VSTACK(YES_Writing_ELA[Student Number],YES_Writing_FLA[Student Number]),0),MATCH(VLOOKUP(D$7,'Writing Logic'!$J$7:$K$11,2,FALSE)&amp;" - Per "&amp;VLOOKUP($C$4,'Writing Logic'!$G$8:$H$14,2,FALSE),YES_Writing_ELA[#Headers],0)))="INS",'Writing Logic'!$B$7,IF(INDEX(_xlfn.VSTACK(YES_Writing_ELA[#Data],YES_Writing_FLA[#Data]),MATCH($A528,_xlfn.VSTACK(YES_Writing_ELA[Student Number],YES_Writing_FLA[Student Number]),0),MATCH(VLOOKUP(D$7,'Writing Logic'!$J$7:$K$11,2,FALSE)&amp;" - Per "&amp;VLOOKUP($C$4,'Writing Logic'!$G$8:$H$14,2,FALSE),YES_Writing_ELA[#Headers],0))=0,"",INDEX(_xlfn.VSTACK(YES_Writing_ELA[#Data],YES_Writing_FLA[#Data]),MATCH($A528,_xlfn.VSTACK(YES_Writing_ELA[Student Number],YES_Writing_FLA[Student Number]),0),MATCH(VLOOKUP(D$7,'Writing Logic'!$J$7:$K$11,2,FALSE)&amp;" - Per "&amp;VLOOKUP($C$4,'Writing Logic'!$G$8:$H$14,2,FALSE),YES_Writing_ELA[#Headers],0)))),"")</f>
        <v/>
      </c>
      <c r="E528" s="138" t="str">
        <f>IFERROR(IF(IF(INDEX(_xlfn.VSTACK(YES_Writing_ELA[#Data],YES_Writing_FLA[#Data]),MATCH($A528,_xlfn.VSTACK(YES_Writing_ELA[Student Number],YES_Writing_FLA[Student Number]),0),MATCH(VLOOKUP(E$7,'Writing Logic'!$J$7:$K$11,2,FALSE)&amp;" - Per "&amp;VLOOKUP($C$4,'Writing Logic'!$G$8:$H$14,2,FALSE),YES_Writing_ELA[#Headers],0))=0,"",INDEX(_xlfn.VSTACK(YES_Writing_ELA[#Data],YES_Writing_FLA[#Data]),MATCH($A528,_xlfn.VSTACK(YES_Writing_ELA[Student Number],YES_Writing_FLA[Student Number]),0),MATCH(VLOOKUP(E$7,'Writing Logic'!$J$7:$K$11,2,FALSE)&amp;" - Per "&amp;VLOOKUP($C$4,'Writing Logic'!$G$8:$H$14,2,FALSE),YES_Writing_ELA[#Headers],0)))="INS",'Writing Logic'!$B$7,IF(INDEX(_xlfn.VSTACK(YES_Writing_ELA[#Data],YES_Writing_FLA[#Data]),MATCH($A528,_xlfn.VSTACK(YES_Writing_ELA[Student Number],YES_Writing_FLA[Student Number]),0),MATCH(VLOOKUP(E$7,'Writing Logic'!$J$7:$K$11,2,FALSE)&amp;" - Per "&amp;VLOOKUP($C$4,'Writing Logic'!$G$8:$H$14,2,FALSE),YES_Writing_ELA[#Headers],0))=0,"",INDEX(_xlfn.VSTACK(YES_Writing_ELA[#Data],YES_Writing_FLA[#Data]),MATCH($A528,_xlfn.VSTACK(YES_Writing_ELA[Student Number],YES_Writing_FLA[Student Number]),0),MATCH(VLOOKUP(E$7,'Writing Logic'!$J$7:$K$11,2,FALSE)&amp;" - Per "&amp;VLOOKUP($C$4,'Writing Logic'!$G$8:$H$14,2,FALSE),YES_Writing_ELA[#Headers],0)))),"")</f>
        <v/>
      </c>
      <c r="F528" s="138" t="str">
        <f>IFERROR(IF(IF(INDEX(_xlfn.VSTACK(YES_Writing_ELA[#Data],YES_Writing_FLA[#Data]),MATCH($A528,_xlfn.VSTACK(YES_Writing_ELA[Student Number],YES_Writing_FLA[Student Number]),0),MATCH(VLOOKUP(F$7,'Writing Logic'!$J$7:$K$11,2,FALSE)&amp;" - Per "&amp;VLOOKUP($C$4,'Writing Logic'!$G$8:$H$14,2,FALSE),YES_Writing_ELA[#Headers],0))=0,"",INDEX(_xlfn.VSTACK(YES_Writing_ELA[#Data],YES_Writing_FLA[#Data]),MATCH($A528,_xlfn.VSTACK(YES_Writing_ELA[Student Number],YES_Writing_FLA[Student Number]),0),MATCH(VLOOKUP(F$7,'Writing Logic'!$J$7:$K$11,2,FALSE)&amp;" - Per "&amp;VLOOKUP($C$4,'Writing Logic'!$G$8:$H$14,2,FALSE),YES_Writing_ELA[#Headers],0)))="INS",'Writing Logic'!$B$7,IF(INDEX(_xlfn.VSTACK(YES_Writing_ELA[#Data],YES_Writing_FLA[#Data]),MATCH($A528,_xlfn.VSTACK(YES_Writing_ELA[Student Number],YES_Writing_FLA[Student Number]),0),MATCH(VLOOKUP(F$7,'Writing Logic'!$J$7:$K$11,2,FALSE)&amp;" - Per "&amp;VLOOKUP($C$4,'Writing Logic'!$G$8:$H$14,2,FALSE),YES_Writing_ELA[#Headers],0))=0,"",INDEX(_xlfn.VSTACK(YES_Writing_ELA[#Data],YES_Writing_FLA[#Data]),MATCH($A528,_xlfn.VSTACK(YES_Writing_ELA[Student Number],YES_Writing_FLA[Student Number]),0),MATCH(VLOOKUP(F$7,'Writing Logic'!$J$7:$K$11,2,FALSE)&amp;" - Per "&amp;VLOOKUP($C$4,'Writing Logic'!$G$8:$H$14,2,FALSE),YES_Writing_ELA[#Headers],0)))),"")</f>
        <v/>
      </c>
      <c r="G528" s="138" t="str">
        <f>IFERROR(IF(IF(INDEX(_xlfn.VSTACK(YES_Writing_ELA[#Data],YES_Writing_FLA[#Data]),MATCH($A528,_xlfn.VSTACK(YES_Writing_ELA[Student Number],YES_Writing_FLA[Student Number]),0),MATCH(VLOOKUP(G$7,'Writing Logic'!$J$7:$K$11,2,FALSE)&amp;" - Per "&amp;VLOOKUP($C$4,'Writing Logic'!$G$8:$H$14,2,FALSE),YES_Writing_ELA[#Headers],0))=0,"",INDEX(_xlfn.VSTACK(YES_Writing_ELA[#Data],YES_Writing_FLA[#Data]),MATCH($A528,_xlfn.VSTACK(YES_Writing_ELA[Student Number],YES_Writing_FLA[Student Number]),0),MATCH(VLOOKUP(G$7,'Writing Logic'!$J$7:$K$11,2,FALSE)&amp;" - Per "&amp;VLOOKUP($C$4,'Writing Logic'!$G$8:$H$14,2,FALSE),YES_Writing_ELA[#Headers],0)))="INS",'Writing Logic'!$B$7,IF(INDEX(_xlfn.VSTACK(YES_Writing_ELA[#Data],YES_Writing_FLA[#Data]),MATCH($A528,_xlfn.VSTACK(YES_Writing_ELA[Student Number],YES_Writing_FLA[Student Number]),0),MATCH(VLOOKUP(G$7,'Writing Logic'!$J$7:$K$11,2,FALSE)&amp;" - Per "&amp;VLOOKUP($C$4,'Writing Logic'!$G$8:$H$14,2,FALSE),YES_Writing_ELA[#Headers],0))=0,"",INDEX(_xlfn.VSTACK(YES_Writing_ELA[#Data],YES_Writing_FLA[#Data]),MATCH($A528,_xlfn.VSTACK(YES_Writing_ELA[Student Number],YES_Writing_FLA[Student Number]),0),MATCH(VLOOKUP(G$7,'Writing Logic'!$J$7:$K$11,2,FALSE)&amp;" - Per "&amp;VLOOKUP($C$4,'Writing Logic'!$G$8:$H$14,2,FALSE),YES_Writing_ELA[#Headers],0)))),"")</f>
        <v/>
      </c>
      <c r="H528" s="138" t="str">
        <f>IFERROR(IF(IF(INDEX(_xlfn.VSTACK(YES_Writing_ELA[#Data],YES_Writing_FLA[#Data]),MATCH($A528,_xlfn.VSTACK(YES_Writing_ELA[Student Number],YES_Writing_FLA[Student Number]),0),MATCH(VLOOKUP(H$7,'Writing Logic'!$J$7:$K$11,2,FALSE)&amp;" - Per "&amp;VLOOKUP($C$4,'Writing Logic'!$G$8:$H$14,2,FALSE),YES_Writing_ELA[#Headers],0))=0,"",INDEX(_xlfn.VSTACK(YES_Writing_ELA[#Data],YES_Writing_FLA[#Data]),MATCH($A528,_xlfn.VSTACK(YES_Writing_ELA[Student Number],YES_Writing_FLA[Student Number]),0),MATCH(VLOOKUP(H$7,'Writing Logic'!$J$7:$K$11,2,FALSE)&amp;" - Per "&amp;VLOOKUP($C$4,'Writing Logic'!$G$8:$H$14,2,FALSE),YES_Writing_ELA[#Headers],0)))="INS",'Writing Logic'!$B$7,IF(INDEX(_xlfn.VSTACK(YES_Writing_ELA[#Data],YES_Writing_FLA[#Data]),MATCH($A528,_xlfn.VSTACK(YES_Writing_ELA[Student Number],YES_Writing_FLA[Student Number]),0),MATCH(VLOOKUP(H$7,'Writing Logic'!$J$7:$K$11,2,FALSE)&amp;" - Per "&amp;VLOOKUP($C$4,'Writing Logic'!$G$8:$H$14,2,FALSE),YES_Writing_ELA[#Headers],0))=0,"",INDEX(_xlfn.VSTACK(YES_Writing_ELA[#Data],YES_Writing_FLA[#Data]),MATCH($A528,_xlfn.VSTACK(YES_Writing_ELA[Student Number],YES_Writing_FLA[Student Number]),0),MATCH(VLOOKUP(H$7,'Writing Logic'!$J$7:$K$11,2,FALSE)&amp;" - Per "&amp;VLOOKUP($C$4,'Writing Logic'!$G$8:$H$14,2,FALSE),YES_Writing_ELA[#Headers],0)))),"")</f>
        <v/>
      </c>
    </row>
    <row r="529" spans="1:8" x14ac:dyDescent="0.25">
      <c r="A529" s="137"/>
      <c r="B529" s="137" t="str">
        <f>IFERROR(INDEX(_xlfn.VSTACK(YES_Writing_ELA[#Data], YES_Writing_FLA[#Data]),MATCH($A529,_xlfn.VSTACK(YES_Writing_ELA[Student Number], YES_Writing_FLA[Student Number]),0),MATCH(B$7,YES_Writing_ELA[#Headers],0)),"")</f>
        <v/>
      </c>
      <c r="C529" s="137" t="str">
        <f>IFERROR(INDEX(_xlfn.VSTACK(YES_Writing_ELA[#Data], YES_Writing_FLA[#Data]),MATCH($A529,_xlfn.VSTACK(YES_Writing_ELA[Student Number], YES_Writing_FLA[Student Number]),0),MATCH(C$7,YES_Writing_ELA[#Headers],0)),"")</f>
        <v/>
      </c>
      <c r="D529" s="138" t="str">
        <f>IFERROR(IF(IF(INDEX(_xlfn.VSTACK(YES_Writing_ELA[#Data],YES_Writing_FLA[#Data]),MATCH($A529,_xlfn.VSTACK(YES_Writing_ELA[Student Number],YES_Writing_FLA[Student Number]),0),MATCH(VLOOKUP(D$7,'Writing Logic'!$J$7:$K$11,2,FALSE)&amp;" - Per "&amp;VLOOKUP($C$4,'Writing Logic'!$G$8:$H$14,2,FALSE),YES_Writing_ELA[#Headers],0))=0,"",INDEX(_xlfn.VSTACK(YES_Writing_ELA[#Data],YES_Writing_FLA[#Data]),MATCH($A529,_xlfn.VSTACK(YES_Writing_ELA[Student Number],YES_Writing_FLA[Student Number]),0),MATCH(VLOOKUP(D$7,'Writing Logic'!$J$7:$K$11,2,FALSE)&amp;" - Per "&amp;VLOOKUP($C$4,'Writing Logic'!$G$8:$H$14,2,FALSE),YES_Writing_ELA[#Headers],0)))="INS",'Writing Logic'!$B$7,IF(INDEX(_xlfn.VSTACK(YES_Writing_ELA[#Data],YES_Writing_FLA[#Data]),MATCH($A529,_xlfn.VSTACK(YES_Writing_ELA[Student Number],YES_Writing_FLA[Student Number]),0),MATCH(VLOOKUP(D$7,'Writing Logic'!$J$7:$K$11,2,FALSE)&amp;" - Per "&amp;VLOOKUP($C$4,'Writing Logic'!$G$8:$H$14,2,FALSE),YES_Writing_ELA[#Headers],0))=0,"",INDEX(_xlfn.VSTACK(YES_Writing_ELA[#Data],YES_Writing_FLA[#Data]),MATCH($A529,_xlfn.VSTACK(YES_Writing_ELA[Student Number],YES_Writing_FLA[Student Number]),0),MATCH(VLOOKUP(D$7,'Writing Logic'!$J$7:$K$11,2,FALSE)&amp;" - Per "&amp;VLOOKUP($C$4,'Writing Logic'!$G$8:$H$14,2,FALSE),YES_Writing_ELA[#Headers],0)))),"")</f>
        <v/>
      </c>
      <c r="E529" s="138" t="str">
        <f>IFERROR(IF(IF(INDEX(_xlfn.VSTACK(YES_Writing_ELA[#Data],YES_Writing_FLA[#Data]),MATCH($A529,_xlfn.VSTACK(YES_Writing_ELA[Student Number],YES_Writing_FLA[Student Number]),0),MATCH(VLOOKUP(E$7,'Writing Logic'!$J$7:$K$11,2,FALSE)&amp;" - Per "&amp;VLOOKUP($C$4,'Writing Logic'!$G$8:$H$14,2,FALSE),YES_Writing_ELA[#Headers],0))=0,"",INDEX(_xlfn.VSTACK(YES_Writing_ELA[#Data],YES_Writing_FLA[#Data]),MATCH($A529,_xlfn.VSTACK(YES_Writing_ELA[Student Number],YES_Writing_FLA[Student Number]),0),MATCH(VLOOKUP(E$7,'Writing Logic'!$J$7:$K$11,2,FALSE)&amp;" - Per "&amp;VLOOKUP($C$4,'Writing Logic'!$G$8:$H$14,2,FALSE),YES_Writing_ELA[#Headers],0)))="INS",'Writing Logic'!$B$7,IF(INDEX(_xlfn.VSTACK(YES_Writing_ELA[#Data],YES_Writing_FLA[#Data]),MATCH($A529,_xlfn.VSTACK(YES_Writing_ELA[Student Number],YES_Writing_FLA[Student Number]),0),MATCH(VLOOKUP(E$7,'Writing Logic'!$J$7:$K$11,2,FALSE)&amp;" - Per "&amp;VLOOKUP($C$4,'Writing Logic'!$G$8:$H$14,2,FALSE),YES_Writing_ELA[#Headers],0))=0,"",INDEX(_xlfn.VSTACK(YES_Writing_ELA[#Data],YES_Writing_FLA[#Data]),MATCH($A529,_xlfn.VSTACK(YES_Writing_ELA[Student Number],YES_Writing_FLA[Student Number]),0),MATCH(VLOOKUP(E$7,'Writing Logic'!$J$7:$K$11,2,FALSE)&amp;" - Per "&amp;VLOOKUP($C$4,'Writing Logic'!$G$8:$H$14,2,FALSE),YES_Writing_ELA[#Headers],0)))),"")</f>
        <v/>
      </c>
      <c r="F529" s="138" t="str">
        <f>IFERROR(IF(IF(INDEX(_xlfn.VSTACK(YES_Writing_ELA[#Data],YES_Writing_FLA[#Data]),MATCH($A529,_xlfn.VSTACK(YES_Writing_ELA[Student Number],YES_Writing_FLA[Student Number]),0),MATCH(VLOOKUP(F$7,'Writing Logic'!$J$7:$K$11,2,FALSE)&amp;" - Per "&amp;VLOOKUP($C$4,'Writing Logic'!$G$8:$H$14,2,FALSE),YES_Writing_ELA[#Headers],0))=0,"",INDEX(_xlfn.VSTACK(YES_Writing_ELA[#Data],YES_Writing_FLA[#Data]),MATCH($A529,_xlfn.VSTACK(YES_Writing_ELA[Student Number],YES_Writing_FLA[Student Number]),0),MATCH(VLOOKUP(F$7,'Writing Logic'!$J$7:$K$11,2,FALSE)&amp;" - Per "&amp;VLOOKUP($C$4,'Writing Logic'!$G$8:$H$14,2,FALSE),YES_Writing_ELA[#Headers],0)))="INS",'Writing Logic'!$B$7,IF(INDEX(_xlfn.VSTACK(YES_Writing_ELA[#Data],YES_Writing_FLA[#Data]),MATCH($A529,_xlfn.VSTACK(YES_Writing_ELA[Student Number],YES_Writing_FLA[Student Number]),0),MATCH(VLOOKUP(F$7,'Writing Logic'!$J$7:$K$11,2,FALSE)&amp;" - Per "&amp;VLOOKUP($C$4,'Writing Logic'!$G$8:$H$14,2,FALSE),YES_Writing_ELA[#Headers],0))=0,"",INDEX(_xlfn.VSTACK(YES_Writing_ELA[#Data],YES_Writing_FLA[#Data]),MATCH($A529,_xlfn.VSTACK(YES_Writing_ELA[Student Number],YES_Writing_FLA[Student Number]),0),MATCH(VLOOKUP(F$7,'Writing Logic'!$J$7:$K$11,2,FALSE)&amp;" - Per "&amp;VLOOKUP($C$4,'Writing Logic'!$G$8:$H$14,2,FALSE),YES_Writing_ELA[#Headers],0)))),"")</f>
        <v/>
      </c>
      <c r="G529" s="138" t="str">
        <f>IFERROR(IF(IF(INDEX(_xlfn.VSTACK(YES_Writing_ELA[#Data],YES_Writing_FLA[#Data]),MATCH($A529,_xlfn.VSTACK(YES_Writing_ELA[Student Number],YES_Writing_FLA[Student Number]),0),MATCH(VLOOKUP(G$7,'Writing Logic'!$J$7:$K$11,2,FALSE)&amp;" - Per "&amp;VLOOKUP($C$4,'Writing Logic'!$G$8:$H$14,2,FALSE),YES_Writing_ELA[#Headers],0))=0,"",INDEX(_xlfn.VSTACK(YES_Writing_ELA[#Data],YES_Writing_FLA[#Data]),MATCH($A529,_xlfn.VSTACK(YES_Writing_ELA[Student Number],YES_Writing_FLA[Student Number]),0),MATCH(VLOOKUP(G$7,'Writing Logic'!$J$7:$K$11,2,FALSE)&amp;" - Per "&amp;VLOOKUP($C$4,'Writing Logic'!$G$8:$H$14,2,FALSE),YES_Writing_ELA[#Headers],0)))="INS",'Writing Logic'!$B$7,IF(INDEX(_xlfn.VSTACK(YES_Writing_ELA[#Data],YES_Writing_FLA[#Data]),MATCH($A529,_xlfn.VSTACK(YES_Writing_ELA[Student Number],YES_Writing_FLA[Student Number]),0),MATCH(VLOOKUP(G$7,'Writing Logic'!$J$7:$K$11,2,FALSE)&amp;" - Per "&amp;VLOOKUP($C$4,'Writing Logic'!$G$8:$H$14,2,FALSE),YES_Writing_ELA[#Headers],0))=0,"",INDEX(_xlfn.VSTACK(YES_Writing_ELA[#Data],YES_Writing_FLA[#Data]),MATCH($A529,_xlfn.VSTACK(YES_Writing_ELA[Student Number],YES_Writing_FLA[Student Number]),0),MATCH(VLOOKUP(G$7,'Writing Logic'!$J$7:$K$11,2,FALSE)&amp;" - Per "&amp;VLOOKUP($C$4,'Writing Logic'!$G$8:$H$14,2,FALSE),YES_Writing_ELA[#Headers],0)))),"")</f>
        <v/>
      </c>
      <c r="H529" s="138" t="str">
        <f>IFERROR(IF(IF(INDEX(_xlfn.VSTACK(YES_Writing_ELA[#Data],YES_Writing_FLA[#Data]),MATCH($A529,_xlfn.VSTACK(YES_Writing_ELA[Student Number],YES_Writing_FLA[Student Number]),0),MATCH(VLOOKUP(H$7,'Writing Logic'!$J$7:$K$11,2,FALSE)&amp;" - Per "&amp;VLOOKUP($C$4,'Writing Logic'!$G$8:$H$14,2,FALSE),YES_Writing_ELA[#Headers],0))=0,"",INDEX(_xlfn.VSTACK(YES_Writing_ELA[#Data],YES_Writing_FLA[#Data]),MATCH($A529,_xlfn.VSTACK(YES_Writing_ELA[Student Number],YES_Writing_FLA[Student Number]),0),MATCH(VLOOKUP(H$7,'Writing Logic'!$J$7:$K$11,2,FALSE)&amp;" - Per "&amp;VLOOKUP($C$4,'Writing Logic'!$G$8:$H$14,2,FALSE),YES_Writing_ELA[#Headers],0)))="INS",'Writing Logic'!$B$7,IF(INDEX(_xlfn.VSTACK(YES_Writing_ELA[#Data],YES_Writing_FLA[#Data]),MATCH($A529,_xlfn.VSTACK(YES_Writing_ELA[Student Number],YES_Writing_FLA[Student Number]),0),MATCH(VLOOKUP(H$7,'Writing Logic'!$J$7:$K$11,2,FALSE)&amp;" - Per "&amp;VLOOKUP($C$4,'Writing Logic'!$G$8:$H$14,2,FALSE),YES_Writing_ELA[#Headers],0))=0,"",INDEX(_xlfn.VSTACK(YES_Writing_ELA[#Data],YES_Writing_FLA[#Data]),MATCH($A529,_xlfn.VSTACK(YES_Writing_ELA[Student Number],YES_Writing_FLA[Student Number]),0),MATCH(VLOOKUP(H$7,'Writing Logic'!$J$7:$K$11,2,FALSE)&amp;" - Per "&amp;VLOOKUP($C$4,'Writing Logic'!$G$8:$H$14,2,FALSE),YES_Writing_ELA[#Headers],0)))),"")</f>
        <v/>
      </c>
    </row>
    <row r="530" spans="1:8" x14ac:dyDescent="0.25">
      <c r="A530" s="137"/>
      <c r="B530" s="137" t="str">
        <f>IFERROR(INDEX(_xlfn.VSTACK(YES_Writing_ELA[#Data], YES_Writing_FLA[#Data]),MATCH($A530,_xlfn.VSTACK(YES_Writing_ELA[Student Number], YES_Writing_FLA[Student Number]),0),MATCH(B$7,YES_Writing_ELA[#Headers],0)),"")</f>
        <v/>
      </c>
      <c r="C530" s="137" t="str">
        <f>IFERROR(INDEX(_xlfn.VSTACK(YES_Writing_ELA[#Data], YES_Writing_FLA[#Data]),MATCH($A530,_xlfn.VSTACK(YES_Writing_ELA[Student Number], YES_Writing_FLA[Student Number]),0),MATCH(C$7,YES_Writing_ELA[#Headers],0)),"")</f>
        <v/>
      </c>
      <c r="D530" s="138" t="str">
        <f>IFERROR(IF(IF(INDEX(_xlfn.VSTACK(YES_Writing_ELA[#Data],YES_Writing_FLA[#Data]),MATCH($A530,_xlfn.VSTACK(YES_Writing_ELA[Student Number],YES_Writing_FLA[Student Number]),0),MATCH(VLOOKUP(D$7,'Writing Logic'!$J$7:$K$11,2,FALSE)&amp;" - Per "&amp;VLOOKUP($C$4,'Writing Logic'!$G$8:$H$14,2,FALSE),YES_Writing_ELA[#Headers],0))=0,"",INDEX(_xlfn.VSTACK(YES_Writing_ELA[#Data],YES_Writing_FLA[#Data]),MATCH($A530,_xlfn.VSTACK(YES_Writing_ELA[Student Number],YES_Writing_FLA[Student Number]),0),MATCH(VLOOKUP(D$7,'Writing Logic'!$J$7:$K$11,2,FALSE)&amp;" - Per "&amp;VLOOKUP($C$4,'Writing Logic'!$G$8:$H$14,2,FALSE),YES_Writing_ELA[#Headers],0)))="INS",'Writing Logic'!$B$7,IF(INDEX(_xlfn.VSTACK(YES_Writing_ELA[#Data],YES_Writing_FLA[#Data]),MATCH($A530,_xlfn.VSTACK(YES_Writing_ELA[Student Number],YES_Writing_FLA[Student Number]),0),MATCH(VLOOKUP(D$7,'Writing Logic'!$J$7:$K$11,2,FALSE)&amp;" - Per "&amp;VLOOKUP($C$4,'Writing Logic'!$G$8:$H$14,2,FALSE),YES_Writing_ELA[#Headers],0))=0,"",INDEX(_xlfn.VSTACK(YES_Writing_ELA[#Data],YES_Writing_FLA[#Data]),MATCH($A530,_xlfn.VSTACK(YES_Writing_ELA[Student Number],YES_Writing_FLA[Student Number]),0),MATCH(VLOOKUP(D$7,'Writing Logic'!$J$7:$K$11,2,FALSE)&amp;" - Per "&amp;VLOOKUP($C$4,'Writing Logic'!$G$8:$H$14,2,FALSE),YES_Writing_ELA[#Headers],0)))),"")</f>
        <v/>
      </c>
      <c r="E530" s="138" t="str">
        <f>IFERROR(IF(IF(INDEX(_xlfn.VSTACK(YES_Writing_ELA[#Data],YES_Writing_FLA[#Data]),MATCH($A530,_xlfn.VSTACK(YES_Writing_ELA[Student Number],YES_Writing_FLA[Student Number]),0),MATCH(VLOOKUP(E$7,'Writing Logic'!$J$7:$K$11,2,FALSE)&amp;" - Per "&amp;VLOOKUP($C$4,'Writing Logic'!$G$8:$H$14,2,FALSE),YES_Writing_ELA[#Headers],0))=0,"",INDEX(_xlfn.VSTACK(YES_Writing_ELA[#Data],YES_Writing_FLA[#Data]),MATCH($A530,_xlfn.VSTACK(YES_Writing_ELA[Student Number],YES_Writing_FLA[Student Number]),0),MATCH(VLOOKUP(E$7,'Writing Logic'!$J$7:$K$11,2,FALSE)&amp;" - Per "&amp;VLOOKUP($C$4,'Writing Logic'!$G$8:$H$14,2,FALSE),YES_Writing_ELA[#Headers],0)))="INS",'Writing Logic'!$B$7,IF(INDEX(_xlfn.VSTACK(YES_Writing_ELA[#Data],YES_Writing_FLA[#Data]),MATCH($A530,_xlfn.VSTACK(YES_Writing_ELA[Student Number],YES_Writing_FLA[Student Number]),0),MATCH(VLOOKUP(E$7,'Writing Logic'!$J$7:$K$11,2,FALSE)&amp;" - Per "&amp;VLOOKUP($C$4,'Writing Logic'!$G$8:$H$14,2,FALSE),YES_Writing_ELA[#Headers],0))=0,"",INDEX(_xlfn.VSTACK(YES_Writing_ELA[#Data],YES_Writing_FLA[#Data]),MATCH($A530,_xlfn.VSTACK(YES_Writing_ELA[Student Number],YES_Writing_FLA[Student Number]),0),MATCH(VLOOKUP(E$7,'Writing Logic'!$J$7:$K$11,2,FALSE)&amp;" - Per "&amp;VLOOKUP($C$4,'Writing Logic'!$G$8:$H$14,2,FALSE),YES_Writing_ELA[#Headers],0)))),"")</f>
        <v/>
      </c>
      <c r="F530" s="138" t="str">
        <f>IFERROR(IF(IF(INDEX(_xlfn.VSTACK(YES_Writing_ELA[#Data],YES_Writing_FLA[#Data]),MATCH($A530,_xlfn.VSTACK(YES_Writing_ELA[Student Number],YES_Writing_FLA[Student Number]),0),MATCH(VLOOKUP(F$7,'Writing Logic'!$J$7:$K$11,2,FALSE)&amp;" - Per "&amp;VLOOKUP($C$4,'Writing Logic'!$G$8:$H$14,2,FALSE),YES_Writing_ELA[#Headers],0))=0,"",INDEX(_xlfn.VSTACK(YES_Writing_ELA[#Data],YES_Writing_FLA[#Data]),MATCH($A530,_xlfn.VSTACK(YES_Writing_ELA[Student Number],YES_Writing_FLA[Student Number]),0),MATCH(VLOOKUP(F$7,'Writing Logic'!$J$7:$K$11,2,FALSE)&amp;" - Per "&amp;VLOOKUP($C$4,'Writing Logic'!$G$8:$H$14,2,FALSE),YES_Writing_ELA[#Headers],0)))="INS",'Writing Logic'!$B$7,IF(INDEX(_xlfn.VSTACK(YES_Writing_ELA[#Data],YES_Writing_FLA[#Data]),MATCH($A530,_xlfn.VSTACK(YES_Writing_ELA[Student Number],YES_Writing_FLA[Student Number]),0),MATCH(VLOOKUP(F$7,'Writing Logic'!$J$7:$K$11,2,FALSE)&amp;" - Per "&amp;VLOOKUP($C$4,'Writing Logic'!$G$8:$H$14,2,FALSE),YES_Writing_ELA[#Headers],0))=0,"",INDEX(_xlfn.VSTACK(YES_Writing_ELA[#Data],YES_Writing_FLA[#Data]),MATCH($A530,_xlfn.VSTACK(YES_Writing_ELA[Student Number],YES_Writing_FLA[Student Number]),0),MATCH(VLOOKUP(F$7,'Writing Logic'!$J$7:$K$11,2,FALSE)&amp;" - Per "&amp;VLOOKUP($C$4,'Writing Logic'!$G$8:$H$14,2,FALSE),YES_Writing_ELA[#Headers],0)))),"")</f>
        <v/>
      </c>
      <c r="G530" s="138" t="str">
        <f>IFERROR(IF(IF(INDEX(_xlfn.VSTACK(YES_Writing_ELA[#Data],YES_Writing_FLA[#Data]),MATCH($A530,_xlfn.VSTACK(YES_Writing_ELA[Student Number],YES_Writing_FLA[Student Number]),0),MATCH(VLOOKUP(G$7,'Writing Logic'!$J$7:$K$11,2,FALSE)&amp;" - Per "&amp;VLOOKUP($C$4,'Writing Logic'!$G$8:$H$14,2,FALSE),YES_Writing_ELA[#Headers],0))=0,"",INDEX(_xlfn.VSTACK(YES_Writing_ELA[#Data],YES_Writing_FLA[#Data]),MATCH($A530,_xlfn.VSTACK(YES_Writing_ELA[Student Number],YES_Writing_FLA[Student Number]),0),MATCH(VLOOKUP(G$7,'Writing Logic'!$J$7:$K$11,2,FALSE)&amp;" - Per "&amp;VLOOKUP($C$4,'Writing Logic'!$G$8:$H$14,2,FALSE),YES_Writing_ELA[#Headers],0)))="INS",'Writing Logic'!$B$7,IF(INDEX(_xlfn.VSTACK(YES_Writing_ELA[#Data],YES_Writing_FLA[#Data]),MATCH($A530,_xlfn.VSTACK(YES_Writing_ELA[Student Number],YES_Writing_FLA[Student Number]),0),MATCH(VLOOKUP(G$7,'Writing Logic'!$J$7:$K$11,2,FALSE)&amp;" - Per "&amp;VLOOKUP($C$4,'Writing Logic'!$G$8:$H$14,2,FALSE),YES_Writing_ELA[#Headers],0))=0,"",INDEX(_xlfn.VSTACK(YES_Writing_ELA[#Data],YES_Writing_FLA[#Data]),MATCH($A530,_xlfn.VSTACK(YES_Writing_ELA[Student Number],YES_Writing_FLA[Student Number]),0),MATCH(VLOOKUP(G$7,'Writing Logic'!$J$7:$K$11,2,FALSE)&amp;" - Per "&amp;VLOOKUP($C$4,'Writing Logic'!$G$8:$H$14,2,FALSE),YES_Writing_ELA[#Headers],0)))),"")</f>
        <v/>
      </c>
      <c r="H530" s="138" t="str">
        <f>IFERROR(IF(IF(INDEX(_xlfn.VSTACK(YES_Writing_ELA[#Data],YES_Writing_FLA[#Data]),MATCH($A530,_xlfn.VSTACK(YES_Writing_ELA[Student Number],YES_Writing_FLA[Student Number]),0),MATCH(VLOOKUP(H$7,'Writing Logic'!$J$7:$K$11,2,FALSE)&amp;" - Per "&amp;VLOOKUP($C$4,'Writing Logic'!$G$8:$H$14,2,FALSE),YES_Writing_ELA[#Headers],0))=0,"",INDEX(_xlfn.VSTACK(YES_Writing_ELA[#Data],YES_Writing_FLA[#Data]),MATCH($A530,_xlfn.VSTACK(YES_Writing_ELA[Student Number],YES_Writing_FLA[Student Number]),0),MATCH(VLOOKUP(H$7,'Writing Logic'!$J$7:$K$11,2,FALSE)&amp;" - Per "&amp;VLOOKUP($C$4,'Writing Logic'!$G$8:$H$14,2,FALSE),YES_Writing_ELA[#Headers],0)))="INS",'Writing Logic'!$B$7,IF(INDEX(_xlfn.VSTACK(YES_Writing_ELA[#Data],YES_Writing_FLA[#Data]),MATCH($A530,_xlfn.VSTACK(YES_Writing_ELA[Student Number],YES_Writing_FLA[Student Number]),0),MATCH(VLOOKUP(H$7,'Writing Logic'!$J$7:$K$11,2,FALSE)&amp;" - Per "&amp;VLOOKUP($C$4,'Writing Logic'!$G$8:$H$14,2,FALSE),YES_Writing_ELA[#Headers],0))=0,"",INDEX(_xlfn.VSTACK(YES_Writing_ELA[#Data],YES_Writing_FLA[#Data]),MATCH($A530,_xlfn.VSTACK(YES_Writing_ELA[Student Number],YES_Writing_FLA[Student Number]),0),MATCH(VLOOKUP(H$7,'Writing Logic'!$J$7:$K$11,2,FALSE)&amp;" - Per "&amp;VLOOKUP($C$4,'Writing Logic'!$G$8:$H$14,2,FALSE),YES_Writing_ELA[#Headers],0)))),"")</f>
        <v/>
      </c>
    </row>
    <row r="531" spans="1:8" x14ac:dyDescent="0.25">
      <c r="A531" s="137"/>
      <c r="B531" s="137" t="str">
        <f>IFERROR(INDEX(_xlfn.VSTACK(YES_Writing_ELA[#Data], YES_Writing_FLA[#Data]),MATCH($A531,_xlfn.VSTACK(YES_Writing_ELA[Student Number], YES_Writing_FLA[Student Number]),0),MATCH(B$7,YES_Writing_ELA[#Headers],0)),"")</f>
        <v/>
      </c>
      <c r="C531" s="137" t="str">
        <f>IFERROR(INDEX(_xlfn.VSTACK(YES_Writing_ELA[#Data], YES_Writing_FLA[#Data]),MATCH($A531,_xlfn.VSTACK(YES_Writing_ELA[Student Number], YES_Writing_FLA[Student Number]),0),MATCH(C$7,YES_Writing_ELA[#Headers],0)),"")</f>
        <v/>
      </c>
      <c r="D531" s="138" t="str">
        <f>IFERROR(IF(IF(INDEX(_xlfn.VSTACK(YES_Writing_ELA[#Data],YES_Writing_FLA[#Data]),MATCH($A531,_xlfn.VSTACK(YES_Writing_ELA[Student Number],YES_Writing_FLA[Student Number]),0),MATCH(VLOOKUP(D$7,'Writing Logic'!$J$7:$K$11,2,FALSE)&amp;" - Per "&amp;VLOOKUP($C$4,'Writing Logic'!$G$8:$H$14,2,FALSE),YES_Writing_ELA[#Headers],0))=0,"",INDEX(_xlfn.VSTACK(YES_Writing_ELA[#Data],YES_Writing_FLA[#Data]),MATCH($A531,_xlfn.VSTACK(YES_Writing_ELA[Student Number],YES_Writing_FLA[Student Number]),0),MATCH(VLOOKUP(D$7,'Writing Logic'!$J$7:$K$11,2,FALSE)&amp;" - Per "&amp;VLOOKUP($C$4,'Writing Logic'!$G$8:$H$14,2,FALSE),YES_Writing_ELA[#Headers],0)))="INS",'Writing Logic'!$B$7,IF(INDEX(_xlfn.VSTACK(YES_Writing_ELA[#Data],YES_Writing_FLA[#Data]),MATCH($A531,_xlfn.VSTACK(YES_Writing_ELA[Student Number],YES_Writing_FLA[Student Number]),0),MATCH(VLOOKUP(D$7,'Writing Logic'!$J$7:$K$11,2,FALSE)&amp;" - Per "&amp;VLOOKUP($C$4,'Writing Logic'!$G$8:$H$14,2,FALSE),YES_Writing_ELA[#Headers],0))=0,"",INDEX(_xlfn.VSTACK(YES_Writing_ELA[#Data],YES_Writing_FLA[#Data]),MATCH($A531,_xlfn.VSTACK(YES_Writing_ELA[Student Number],YES_Writing_FLA[Student Number]),0),MATCH(VLOOKUP(D$7,'Writing Logic'!$J$7:$K$11,2,FALSE)&amp;" - Per "&amp;VLOOKUP($C$4,'Writing Logic'!$G$8:$H$14,2,FALSE),YES_Writing_ELA[#Headers],0)))),"")</f>
        <v/>
      </c>
      <c r="E531" s="138" t="str">
        <f>IFERROR(IF(IF(INDEX(_xlfn.VSTACK(YES_Writing_ELA[#Data],YES_Writing_FLA[#Data]),MATCH($A531,_xlfn.VSTACK(YES_Writing_ELA[Student Number],YES_Writing_FLA[Student Number]),0),MATCH(VLOOKUP(E$7,'Writing Logic'!$J$7:$K$11,2,FALSE)&amp;" - Per "&amp;VLOOKUP($C$4,'Writing Logic'!$G$8:$H$14,2,FALSE),YES_Writing_ELA[#Headers],0))=0,"",INDEX(_xlfn.VSTACK(YES_Writing_ELA[#Data],YES_Writing_FLA[#Data]),MATCH($A531,_xlfn.VSTACK(YES_Writing_ELA[Student Number],YES_Writing_FLA[Student Number]),0),MATCH(VLOOKUP(E$7,'Writing Logic'!$J$7:$K$11,2,FALSE)&amp;" - Per "&amp;VLOOKUP($C$4,'Writing Logic'!$G$8:$H$14,2,FALSE),YES_Writing_ELA[#Headers],0)))="INS",'Writing Logic'!$B$7,IF(INDEX(_xlfn.VSTACK(YES_Writing_ELA[#Data],YES_Writing_FLA[#Data]),MATCH($A531,_xlfn.VSTACK(YES_Writing_ELA[Student Number],YES_Writing_FLA[Student Number]),0),MATCH(VLOOKUP(E$7,'Writing Logic'!$J$7:$K$11,2,FALSE)&amp;" - Per "&amp;VLOOKUP($C$4,'Writing Logic'!$G$8:$H$14,2,FALSE),YES_Writing_ELA[#Headers],0))=0,"",INDEX(_xlfn.VSTACK(YES_Writing_ELA[#Data],YES_Writing_FLA[#Data]),MATCH($A531,_xlfn.VSTACK(YES_Writing_ELA[Student Number],YES_Writing_FLA[Student Number]),0),MATCH(VLOOKUP(E$7,'Writing Logic'!$J$7:$K$11,2,FALSE)&amp;" - Per "&amp;VLOOKUP($C$4,'Writing Logic'!$G$8:$H$14,2,FALSE),YES_Writing_ELA[#Headers],0)))),"")</f>
        <v/>
      </c>
      <c r="F531" s="138" t="str">
        <f>IFERROR(IF(IF(INDEX(_xlfn.VSTACK(YES_Writing_ELA[#Data],YES_Writing_FLA[#Data]),MATCH($A531,_xlfn.VSTACK(YES_Writing_ELA[Student Number],YES_Writing_FLA[Student Number]),0),MATCH(VLOOKUP(F$7,'Writing Logic'!$J$7:$K$11,2,FALSE)&amp;" - Per "&amp;VLOOKUP($C$4,'Writing Logic'!$G$8:$H$14,2,FALSE),YES_Writing_ELA[#Headers],0))=0,"",INDEX(_xlfn.VSTACK(YES_Writing_ELA[#Data],YES_Writing_FLA[#Data]),MATCH($A531,_xlfn.VSTACK(YES_Writing_ELA[Student Number],YES_Writing_FLA[Student Number]),0),MATCH(VLOOKUP(F$7,'Writing Logic'!$J$7:$K$11,2,FALSE)&amp;" - Per "&amp;VLOOKUP($C$4,'Writing Logic'!$G$8:$H$14,2,FALSE),YES_Writing_ELA[#Headers],0)))="INS",'Writing Logic'!$B$7,IF(INDEX(_xlfn.VSTACK(YES_Writing_ELA[#Data],YES_Writing_FLA[#Data]),MATCH($A531,_xlfn.VSTACK(YES_Writing_ELA[Student Number],YES_Writing_FLA[Student Number]),0),MATCH(VLOOKUP(F$7,'Writing Logic'!$J$7:$K$11,2,FALSE)&amp;" - Per "&amp;VLOOKUP($C$4,'Writing Logic'!$G$8:$H$14,2,FALSE),YES_Writing_ELA[#Headers],0))=0,"",INDEX(_xlfn.VSTACK(YES_Writing_ELA[#Data],YES_Writing_FLA[#Data]),MATCH($A531,_xlfn.VSTACK(YES_Writing_ELA[Student Number],YES_Writing_FLA[Student Number]),0),MATCH(VLOOKUP(F$7,'Writing Logic'!$J$7:$K$11,2,FALSE)&amp;" - Per "&amp;VLOOKUP($C$4,'Writing Logic'!$G$8:$H$14,2,FALSE),YES_Writing_ELA[#Headers],0)))),"")</f>
        <v/>
      </c>
      <c r="G531" s="138" t="str">
        <f>IFERROR(IF(IF(INDEX(_xlfn.VSTACK(YES_Writing_ELA[#Data],YES_Writing_FLA[#Data]),MATCH($A531,_xlfn.VSTACK(YES_Writing_ELA[Student Number],YES_Writing_FLA[Student Number]),0),MATCH(VLOOKUP(G$7,'Writing Logic'!$J$7:$K$11,2,FALSE)&amp;" - Per "&amp;VLOOKUP($C$4,'Writing Logic'!$G$8:$H$14,2,FALSE),YES_Writing_ELA[#Headers],0))=0,"",INDEX(_xlfn.VSTACK(YES_Writing_ELA[#Data],YES_Writing_FLA[#Data]),MATCH($A531,_xlfn.VSTACK(YES_Writing_ELA[Student Number],YES_Writing_FLA[Student Number]),0),MATCH(VLOOKUP(G$7,'Writing Logic'!$J$7:$K$11,2,FALSE)&amp;" - Per "&amp;VLOOKUP($C$4,'Writing Logic'!$G$8:$H$14,2,FALSE),YES_Writing_ELA[#Headers],0)))="INS",'Writing Logic'!$B$7,IF(INDEX(_xlfn.VSTACK(YES_Writing_ELA[#Data],YES_Writing_FLA[#Data]),MATCH($A531,_xlfn.VSTACK(YES_Writing_ELA[Student Number],YES_Writing_FLA[Student Number]),0),MATCH(VLOOKUP(G$7,'Writing Logic'!$J$7:$K$11,2,FALSE)&amp;" - Per "&amp;VLOOKUP($C$4,'Writing Logic'!$G$8:$H$14,2,FALSE),YES_Writing_ELA[#Headers],0))=0,"",INDEX(_xlfn.VSTACK(YES_Writing_ELA[#Data],YES_Writing_FLA[#Data]),MATCH($A531,_xlfn.VSTACK(YES_Writing_ELA[Student Number],YES_Writing_FLA[Student Number]),0),MATCH(VLOOKUP(G$7,'Writing Logic'!$J$7:$K$11,2,FALSE)&amp;" - Per "&amp;VLOOKUP($C$4,'Writing Logic'!$G$8:$H$14,2,FALSE),YES_Writing_ELA[#Headers],0)))),"")</f>
        <v/>
      </c>
      <c r="H531" s="138" t="str">
        <f>IFERROR(IF(IF(INDEX(_xlfn.VSTACK(YES_Writing_ELA[#Data],YES_Writing_FLA[#Data]),MATCH($A531,_xlfn.VSTACK(YES_Writing_ELA[Student Number],YES_Writing_FLA[Student Number]),0),MATCH(VLOOKUP(H$7,'Writing Logic'!$J$7:$K$11,2,FALSE)&amp;" - Per "&amp;VLOOKUP($C$4,'Writing Logic'!$G$8:$H$14,2,FALSE),YES_Writing_ELA[#Headers],0))=0,"",INDEX(_xlfn.VSTACK(YES_Writing_ELA[#Data],YES_Writing_FLA[#Data]),MATCH($A531,_xlfn.VSTACK(YES_Writing_ELA[Student Number],YES_Writing_FLA[Student Number]),0),MATCH(VLOOKUP(H$7,'Writing Logic'!$J$7:$K$11,2,FALSE)&amp;" - Per "&amp;VLOOKUP($C$4,'Writing Logic'!$G$8:$H$14,2,FALSE),YES_Writing_ELA[#Headers],0)))="INS",'Writing Logic'!$B$7,IF(INDEX(_xlfn.VSTACK(YES_Writing_ELA[#Data],YES_Writing_FLA[#Data]),MATCH($A531,_xlfn.VSTACK(YES_Writing_ELA[Student Number],YES_Writing_FLA[Student Number]),0),MATCH(VLOOKUP(H$7,'Writing Logic'!$J$7:$K$11,2,FALSE)&amp;" - Per "&amp;VLOOKUP($C$4,'Writing Logic'!$G$8:$H$14,2,FALSE),YES_Writing_ELA[#Headers],0))=0,"",INDEX(_xlfn.VSTACK(YES_Writing_ELA[#Data],YES_Writing_FLA[#Data]),MATCH($A531,_xlfn.VSTACK(YES_Writing_ELA[Student Number],YES_Writing_FLA[Student Number]),0),MATCH(VLOOKUP(H$7,'Writing Logic'!$J$7:$K$11,2,FALSE)&amp;" - Per "&amp;VLOOKUP($C$4,'Writing Logic'!$G$8:$H$14,2,FALSE),YES_Writing_ELA[#Headers],0)))),"")</f>
        <v/>
      </c>
    </row>
    <row r="532" spans="1:8" x14ac:dyDescent="0.25">
      <c r="A532" s="137"/>
      <c r="B532" s="137" t="str">
        <f>IFERROR(INDEX(_xlfn.VSTACK(YES_Writing_ELA[#Data], YES_Writing_FLA[#Data]),MATCH($A532,_xlfn.VSTACK(YES_Writing_ELA[Student Number], YES_Writing_FLA[Student Number]),0),MATCH(B$7,YES_Writing_ELA[#Headers],0)),"")</f>
        <v/>
      </c>
      <c r="C532" s="137" t="str">
        <f>IFERROR(INDEX(_xlfn.VSTACK(YES_Writing_ELA[#Data], YES_Writing_FLA[#Data]),MATCH($A532,_xlfn.VSTACK(YES_Writing_ELA[Student Number], YES_Writing_FLA[Student Number]),0),MATCH(C$7,YES_Writing_ELA[#Headers],0)),"")</f>
        <v/>
      </c>
      <c r="D532" s="138" t="str">
        <f>IFERROR(IF(IF(INDEX(_xlfn.VSTACK(YES_Writing_ELA[#Data],YES_Writing_FLA[#Data]),MATCH($A532,_xlfn.VSTACK(YES_Writing_ELA[Student Number],YES_Writing_FLA[Student Number]),0),MATCH(VLOOKUP(D$7,'Writing Logic'!$J$7:$K$11,2,FALSE)&amp;" - Per "&amp;VLOOKUP($C$4,'Writing Logic'!$G$8:$H$14,2,FALSE),YES_Writing_ELA[#Headers],0))=0,"",INDEX(_xlfn.VSTACK(YES_Writing_ELA[#Data],YES_Writing_FLA[#Data]),MATCH($A532,_xlfn.VSTACK(YES_Writing_ELA[Student Number],YES_Writing_FLA[Student Number]),0),MATCH(VLOOKUP(D$7,'Writing Logic'!$J$7:$K$11,2,FALSE)&amp;" - Per "&amp;VLOOKUP($C$4,'Writing Logic'!$G$8:$H$14,2,FALSE),YES_Writing_ELA[#Headers],0)))="INS",'Writing Logic'!$B$7,IF(INDEX(_xlfn.VSTACK(YES_Writing_ELA[#Data],YES_Writing_FLA[#Data]),MATCH($A532,_xlfn.VSTACK(YES_Writing_ELA[Student Number],YES_Writing_FLA[Student Number]),0),MATCH(VLOOKUP(D$7,'Writing Logic'!$J$7:$K$11,2,FALSE)&amp;" - Per "&amp;VLOOKUP($C$4,'Writing Logic'!$G$8:$H$14,2,FALSE),YES_Writing_ELA[#Headers],0))=0,"",INDEX(_xlfn.VSTACK(YES_Writing_ELA[#Data],YES_Writing_FLA[#Data]),MATCH($A532,_xlfn.VSTACK(YES_Writing_ELA[Student Number],YES_Writing_FLA[Student Number]),0),MATCH(VLOOKUP(D$7,'Writing Logic'!$J$7:$K$11,2,FALSE)&amp;" - Per "&amp;VLOOKUP($C$4,'Writing Logic'!$G$8:$H$14,2,FALSE),YES_Writing_ELA[#Headers],0)))),"")</f>
        <v/>
      </c>
      <c r="E532" s="138" t="str">
        <f>IFERROR(IF(IF(INDEX(_xlfn.VSTACK(YES_Writing_ELA[#Data],YES_Writing_FLA[#Data]),MATCH($A532,_xlfn.VSTACK(YES_Writing_ELA[Student Number],YES_Writing_FLA[Student Number]),0),MATCH(VLOOKUP(E$7,'Writing Logic'!$J$7:$K$11,2,FALSE)&amp;" - Per "&amp;VLOOKUP($C$4,'Writing Logic'!$G$8:$H$14,2,FALSE),YES_Writing_ELA[#Headers],0))=0,"",INDEX(_xlfn.VSTACK(YES_Writing_ELA[#Data],YES_Writing_FLA[#Data]),MATCH($A532,_xlfn.VSTACK(YES_Writing_ELA[Student Number],YES_Writing_FLA[Student Number]),0),MATCH(VLOOKUP(E$7,'Writing Logic'!$J$7:$K$11,2,FALSE)&amp;" - Per "&amp;VLOOKUP($C$4,'Writing Logic'!$G$8:$H$14,2,FALSE),YES_Writing_ELA[#Headers],0)))="INS",'Writing Logic'!$B$7,IF(INDEX(_xlfn.VSTACK(YES_Writing_ELA[#Data],YES_Writing_FLA[#Data]),MATCH($A532,_xlfn.VSTACK(YES_Writing_ELA[Student Number],YES_Writing_FLA[Student Number]),0),MATCH(VLOOKUP(E$7,'Writing Logic'!$J$7:$K$11,2,FALSE)&amp;" - Per "&amp;VLOOKUP($C$4,'Writing Logic'!$G$8:$H$14,2,FALSE),YES_Writing_ELA[#Headers],0))=0,"",INDEX(_xlfn.VSTACK(YES_Writing_ELA[#Data],YES_Writing_FLA[#Data]),MATCH($A532,_xlfn.VSTACK(YES_Writing_ELA[Student Number],YES_Writing_FLA[Student Number]),0),MATCH(VLOOKUP(E$7,'Writing Logic'!$J$7:$K$11,2,FALSE)&amp;" - Per "&amp;VLOOKUP($C$4,'Writing Logic'!$G$8:$H$14,2,FALSE),YES_Writing_ELA[#Headers],0)))),"")</f>
        <v/>
      </c>
      <c r="F532" s="138" t="str">
        <f>IFERROR(IF(IF(INDEX(_xlfn.VSTACK(YES_Writing_ELA[#Data],YES_Writing_FLA[#Data]),MATCH($A532,_xlfn.VSTACK(YES_Writing_ELA[Student Number],YES_Writing_FLA[Student Number]),0),MATCH(VLOOKUP(F$7,'Writing Logic'!$J$7:$K$11,2,FALSE)&amp;" - Per "&amp;VLOOKUP($C$4,'Writing Logic'!$G$8:$H$14,2,FALSE),YES_Writing_ELA[#Headers],0))=0,"",INDEX(_xlfn.VSTACK(YES_Writing_ELA[#Data],YES_Writing_FLA[#Data]),MATCH($A532,_xlfn.VSTACK(YES_Writing_ELA[Student Number],YES_Writing_FLA[Student Number]),0),MATCH(VLOOKUP(F$7,'Writing Logic'!$J$7:$K$11,2,FALSE)&amp;" - Per "&amp;VLOOKUP($C$4,'Writing Logic'!$G$8:$H$14,2,FALSE),YES_Writing_ELA[#Headers],0)))="INS",'Writing Logic'!$B$7,IF(INDEX(_xlfn.VSTACK(YES_Writing_ELA[#Data],YES_Writing_FLA[#Data]),MATCH($A532,_xlfn.VSTACK(YES_Writing_ELA[Student Number],YES_Writing_FLA[Student Number]),0),MATCH(VLOOKUP(F$7,'Writing Logic'!$J$7:$K$11,2,FALSE)&amp;" - Per "&amp;VLOOKUP($C$4,'Writing Logic'!$G$8:$H$14,2,FALSE),YES_Writing_ELA[#Headers],0))=0,"",INDEX(_xlfn.VSTACK(YES_Writing_ELA[#Data],YES_Writing_FLA[#Data]),MATCH($A532,_xlfn.VSTACK(YES_Writing_ELA[Student Number],YES_Writing_FLA[Student Number]),0),MATCH(VLOOKUP(F$7,'Writing Logic'!$J$7:$K$11,2,FALSE)&amp;" - Per "&amp;VLOOKUP($C$4,'Writing Logic'!$G$8:$H$14,2,FALSE),YES_Writing_ELA[#Headers],0)))),"")</f>
        <v/>
      </c>
      <c r="G532" s="138" t="str">
        <f>IFERROR(IF(IF(INDEX(_xlfn.VSTACK(YES_Writing_ELA[#Data],YES_Writing_FLA[#Data]),MATCH($A532,_xlfn.VSTACK(YES_Writing_ELA[Student Number],YES_Writing_FLA[Student Number]),0),MATCH(VLOOKUP(G$7,'Writing Logic'!$J$7:$K$11,2,FALSE)&amp;" - Per "&amp;VLOOKUP($C$4,'Writing Logic'!$G$8:$H$14,2,FALSE),YES_Writing_ELA[#Headers],0))=0,"",INDEX(_xlfn.VSTACK(YES_Writing_ELA[#Data],YES_Writing_FLA[#Data]),MATCH($A532,_xlfn.VSTACK(YES_Writing_ELA[Student Number],YES_Writing_FLA[Student Number]),0),MATCH(VLOOKUP(G$7,'Writing Logic'!$J$7:$K$11,2,FALSE)&amp;" - Per "&amp;VLOOKUP($C$4,'Writing Logic'!$G$8:$H$14,2,FALSE),YES_Writing_ELA[#Headers],0)))="INS",'Writing Logic'!$B$7,IF(INDEX(_xlfn.VSTACK(YES_Writing_ELA[#Data],YES_Writing_FLA[#Data]),MATCH($A532,_xlfn.VSTACK(YES_Writing_ELA[Student Number],YES_Writing_FLA[Student Number]),0),MATCH(VLOOKUP(G$7,'Writing Logic'!$J$7:$K$11,2,FALSE)&amp;" - Per "&amp;VLOOKUP($C$4,'Writing Logic'!$G$8:$H$14,2,FALSE),YES_Writing_ELA[#Headers],0))=0,"",INDEX(_xlfn.VSTACK(YES_Writing_ELA[#Data],YES_Writing_FLA[#Data]),MATCH($A532,_xlfn.VSTACK(YES_Writing_ELA[Student Number],YES_Writing_FLA[Student Number]),0),MATCH(VLOOKUP(G$7,'Writing Logic'!$J$7:$K$11,2,FALSE)&amp;" - Per "&amp;VLOOKUP($C$4,'Writing Logic'!$G$8:$H$14,2,FALSE),YES_Writing_ELA[#Headers],0)))),"")</f>
        <v/>
      </c>
      <c r="H532" s="138" t="str">
        <f>IFERROR(IF(IF(INDEX(_xlfn.VSTACK(YES_Writing_ELA[#Data],YES_Writing_FLA[#Data]),MATCH($A532,_xlfn.VSTACK(YES_Writing_ELA[Student Number],YES_Writing_FLA[Student Number]),0),MATCH(VLOOKUP(H$7,'Writing Logic'!$J$7:$K$11,2,FALSE)&amp;" - Per "&amp;VLOOKUP($C$4,'Writing Logic'!$G$8:$H$14,2,FALSE),YES_Writing_ELA[#Headers],0))=0,"",INDEX(_xlfn.VSTACK(YES_Writing_ELA[#Data],YES_Writing_FLA[#Data]),MATCH($A532,_xlfn.VSTACK(YES_Writing_ELA[Student Number],YES_Writing_FLA[Student Number]),0),MATCH(VLOOKUP(H$7,'Writing Logic'!$J$7:$K$11,2,FALSE)&amp;" - Per "&amp;VLOOKUP($C$4,'Writing Logic'!$G$8:$H$14,2,FALSE),YES_Writing_ELA[#Headers],0)))="INS",'Writing Logic'!$B$7,IF(INDEX(_xlfn.VSTACK(YES_Writing_ELA[#Data],YES_Writing_FLA[#Data]),MATCH($A532,_xlfn.VSTACK(YES_Writing_ELA[Student Number],YES_Writing_FLA[Student Number]),0),MATCH(VLOOKUP(H$7,'Writing Logic'!$J$7:$K$11,2,FALSE)&amp;" - Per "&amp;VLOOKUP($C$4,'Writing Logic'!$G$8:$H$14,2,FALSE),YES_Writing_ELA[#Headers],0))=0,"",INDEX(_xlfn.VSTACK(YES_Writing_ELA[#Data],YES_Writing_FLA[#Data]),MATCH($A532,_xlfn.VSTACK(YES_Writing_ELA[Student Number],YES_Writing_FLA[Student Number]),0),MATCH(VLOOKUP(H$7,'Writing Logic'!$J$7:$K$11,2,FALSE)&amp;" - Per "&amp;VLOOKUP($C$4,'Writing Logic'!$G$8:$H$14,2,FALSE),YES_Writing_ELA[#Headers],0)))),"")</f>
        <v/>
      </c>
    </row>
    <row r="533" spans="1:8" x14ac:dyDescent="0.25">
      <c r="A533" s="137"/>
      <c r="B533" s="137" t="str">
        <f>IFERROR(INDEX(_xlfn.VSTACK(YES_Writing_ELA[#Data], YES_Writing_FLA[#Data]),MATCH($A533,_xlfn.VSTACK(YES_Writing_ELA[Student Number], YES_Writing_FLA[Student Number]),0),MATCH(B$7,YES_Writing_ELA[#Headers],0)),"")</f>
        <v/>
      </c>
      <c r="C533" s="137" t="str">
        <f>IFERROR(INDEX(_xlfn.VSTACK(YES_Writing_ELA[#Data], YES_Writing_FLA[#Data]),MATCH($A533,_xlfn.VSTACK(YES_Writing_ELA[Student Number], YES_Writing_FLA[Student Number]),0),MATCH(C$7,YES_Writing_ELA[#Headers],0)),"")</f>
        <v/>
      </c>
      <c r="D533" s="138" t="str">
        <f>IFERROR(IF(IF(INDEX(_xlfn.VSTACK(YES_Writing_ELA[#Data],YES_Writing_FLA[#Data]),MATCH($A533,_xlfn.VSTACK(YES_Writing_ELA[Student Number],YES_Writing_FLA[Student Number]),0),MATCH(VLOOKUP(D$7,'Writing Logic'!$J$7:$K$11,2,FALSE)&amp;" - Per "&amp;VLOOKUP($C$4,'Writing Logic'!$G$8:$H$14,2,FALSE),YES_Writing_ELA[#Headers],0))=0,"",INDEX(_xlfn.VSTACK(YES_Writing_ELA[#Data],YES_Writing_FLA[#Data]),MATCH($A533,_xlfn.VSTACK(YES_Writing_ELA[Student Number],YES_Writing_FLA[Student Number]),0),MATCH(VLOOKUP(D$7,'Writing Logic'!$J$7:$K$11,2,FALSE)&amp;" - Per "&amp;VLOOKUP($C$4,'Writing Logic'!$G$8:$H$14,2,FALSE),YES_Writing_ELA[#Headers],0)))="INS",'Writing Logic'!$B$7,IF(INDEX(_xlfn.VSTACK(YES_Writing_ELA[#Data],YES_Writing_FLA[#Data]),MATCH($A533,_xlfn.VSTACK(YES_Writing_ELA[Student Number],YES_Writing_FLA[Student Number]),0),MATCH(VLOOKUP(D$7,'Writing Logic'!$J$7:$K$11,2,FALSE)&amp;" - Per "&amp;VLOOKUP($C$4,'Writing Logic'!$G$8:$H$14,2,FALSE),YES_Writing_ELA[#Headers],0))=0,"",INDEX(_xlfn.VSTACK(YES_Writing_ELA[#Data],YES_Writing_FLA[#Data]),MATCH($A533,_xlfn.VSTACK(YES_Writing_ELA[Student Number],YES_Writing_FLA[Student Number]),0),MATCH(VLOOKUP(D$7,'Writing Logic'!$J$7:$K$11,2,FALSE)&amp;" - Per "&amp;VLOOKUP($C$4,'Writing Logic'!$G$8:$H$14,2,FALSE),YES_Writing_ELA[#Headers],0)))),"")</f>
        <v/>
      </c>
      <c r="E533" s="138" t="str">
        <f>IFERROR(IF(IF(INDEX(_xlfn.VSTACK(YES_Writing_ELA[#Data],YES_Writing_FLA[#Data]),MATCH($A533,_xlfn.VSTACK(YES_Writing_ELA[Student Number],YES_Writing_FLA[Student Number]),0),MATCH(VLOOKUP(E$7,'Writing Logic'!$J$7:$K$11,2,FALSE)&amp;" - Per "&amp;VLOOKUP($C$4,'Writing Logic'!$G$8:$H$14,2,FALSE),YES_Writing_ELA[#Headers],0))=0,"",INDEX(_xlfn.VSTACK(YES_Writing_ELA[#Data],YES_Writing_FLA[#Data]),MATCH($A533,_xlfn.VSTACK(YES_Writing_ELA[Student Number],YES_Writing_FLA[Student Number]),0),MATCH(VLOOKUP(E$7,'Writing Logic'!$J$7:$K$11,2,FALSE)&amp;" - Per "&amp;VLOOKUP($C$4,'Writing Logic'!$G$8:$H$14,2,FALSE),YES_Writing_ELA[#Headers],0)))="INS",'Writing Logic'!$B$7,IF(INDEX(_xlfn.VSTACK(YES_Writing_ELA[#Data],YES_Writing_FLA[#Data]),MATCH($A533,_xlfn.VSTACK(YES_Writing_ELA[Student Number],YES_Writing_FLA[Student Number]),0),MATCH(VLOOKUP(E$7,'Writing Logic'!$J$7:$K$11,2,FALSE)&amp;" - Per "&amp;VLOOKUP($C$4,'Writing Logic'!$G$8:$H$14,2,FALSE),YES_Writing_ELA[#Headers],0))=0,"",INDEX(_xlfn.VSTACK(YES_Writing_ELA[#Data],YES_Writing_FLA[#Data]),MATCH($A533,_xlfn.VSTACK(YES_Writing_ELA[Student Number],YES_Writing_FLA[Student Number]),0),MATCH(VLOOKUP(E$7,'Writing Logic'!$J$7:$K$11,2,FALSE)&amp;" - Per "&amp;VLOOKUP($C$4,'Writing Logic'!$G$8:$H$14,2,FALSE),YES_Writing_ELA[#Headers],0)))),"")</f>
        <v/>
      </c>
      <c r="F533" s="138" t="str">
        <f>IFERROR(IF(IF(INDEX(_xlfn.VSTACK(YES_Writing_ELA[#Data],YES_Writing_FLA[#Data]),MATCH($A533,_xlfn.VSTACK(YES_Writing_ELA[Student Number],YES_Writing_FLA[Student Number]),0),MATCH(VLOOKUP(F$7,'Writing Logic'!$J$7:$K$11,2,FALSE)&amp;" - Per "&amp;VLOOKUP($C$4,'Writing Logic'!$G$8:$H$14,2,FALSE),YES_Writing_ELA[#Headers],0))=0,"",INDEX(_xlfn.VSTACK(YES_Writing_ELA[#Data],YES_Writing_FLA[#Data]),MATCH($A533,_xlfn.VSTACK(YES_Writing_ELA[Student Number],YES_Writing_FLA[Student Number]),0),MATCH(VLOOKUP(F$7,'Writing Logic'!$J$7:$K$11,2,FALSE)&amp;" - Per "&amp;VLOOKUP($C$4,'Writing Logic'!$G$8:$H$14,2,FALSE),YES_Writing_ELA[#Headers],0)))="INS",'Writing Logic'!$B$7,IF(INDEX(_xlfn.VSTACK(YES_Writing_ELA[#Data],YES_Writing_FLA[#Data]),MATCH($A533,_xlfn.VSTACK(YES_Writing_ELA[Student Number],YES_Writing_FLA[Student Number]),0),MATCH(VLOOKUP(F$7,'Writing Logic'!$J$7:$K$11,2,FALSE)&amp;" - Per "&amp;VLOOKUP($C$4,'Writing Logic'!$G$8:$H$14,2,FALSE),YES_Writing_ELA[#Headers],0))=0,"",INDEX(_xlfn.VSTACK(YES_Writing_ELA[#Data],YES_Writing_FLA[#Data]),MATCH($A533,_xlfn.VSTACK(YES_Writing_ELA[Student Number],YES_Writing_FLA[Student Number]),0),MATCH(VLOOKUP(F$7,'Writing Logic'!$J$7:$K$11,2,FALSE)&amp;" - Per "&amp;VLOOKUP($C$4,'Writing Logic'!$G$8:$H$14,2,FALSE),YES_Writing_ELA[#Headers],0)))),"")</f>
        <v/>
      </c>
      <c r="G533" s="138" t="str">
        <f>IFERROR(IF(IF(INDEX(_xlfn.VSTACK(YES_Writing_ELA[#Data],YES_Writing_FLA[#Data]),MATCH($A533,_xlfn.VSTACK(YES_Writing_ELA[Student Number],YES_Writing_FLA[Student Number]),0),MATCH(VLOOKUP(G$7,'Writing Logic'!$J$7:$K$11,2,FALSE)&amp;" - Per "&amp;VLOOKUP($C$4,'Writing Logic'!$G$8:$H$14,2,FALSE),YES_Writing_ELA[#Headers],0))=0,"",INDEX(_xlfn.VSTACK(YES_Writing_ELA[#Data],YES_Writing_FLA[#Data]),MATCH($A533,_xlfn.VSTACK(YES_Writing_ELA[Student Number],YES_Writing_FLA[Student Number]),0),MATCH(VLOOKUP(G$7,'Writing Logic'!$J$7:$K$11,2,FALSE)&amp;" - Per "&amp;VLOOKUP($C$4,'Writing Logic'!$G$8:$H$14,2,FALSE),YES_Writing_ELA[#Headers],0)))="INS",'Writing Logic'!$B$7,IF(INDEX(_xlfn.VSTACK(YES_Writing_ELA[#Data],YES_Writing_FLA[#Data]),MATCH($A533,_xlfn.VSTACK(YES_Writing_ELA[Student Number],YES_Writing_FLA[Student Number]),0),MATCH(VLOOKUP(G$7,'Writing Logic'!$J$7:$K$11,2,FALSE)&amp;" - Per "&amp;VLOOKUP($C$4,'Writing Logic'!$G$8:$H$14,2,FALSE),YES_Writing_ELA[#Headers],0))=0,"",INDEX(_xlfn.VSTACK(YES_Writing_ELA[#Data],YES_Writing_FLA[#Data]),MATCH($A533,_xlfn.VSTACK(YES_Writing_ELA[Student Number],YES_Writing_FLA[Student Number]),0),MATCH(VLOOKUP(G$7,'Writing Logic'!$J$7:$K$11,2,FALSE)&amp;" - Per "&amp;VLOOKUP($C$4,'Writing Logic'!$G$8:$H$14,2,FALSE),YES_Writing_ELA[#Headers],0)))),"")</f>
        <v/>
      </c>
      <c r="H533" s="138" t="str">
        <f>IFERROR(IF(IF(INDEX(_xlfn.VSTACK(YES_Writing_ELA[#Data],YES_Writing_FLA[#Data]),MATCH($A533,_xlfn.VSTACK(YES_Writing_ELA[Student Number],YES_Writing_FLA[Student Number]),0),MATCH(VLOOKUP(H$7,'Writing Logic'!$J$7:$K$11,2,FALSE)&amp;" - Per "&amp;VLOOKUP($C$4,'Writing Logic'!$G$8:$H$14,2,FALSE),YES_Writing_ELA[#Headers],0))=0,"",INDEX(_xlfn.VSTACK(YES_Writing_ELA[#Data],YES_Writing_FLA[#Data]),MATCH($A533,_xlfn.VSTACK(YES_Writing_ELA[Student Number],YES_Writing_FLA[Student Number]),0),MATCH(VLOOKUP(H$7,'Writing Logic'!$J$7:$K$11,2,FALSE)&amp;" - Per "&amp;VLOOKUP($C$4,'Writing Logic'!$G$8:$H$14,2,FALSE),YES_Writing_ELA[#Headers],0)))="INS",'Writing Logic'!$B$7,IF(INDEX(_xlfn.VSTACK(YES_Writing_ELA[#Data],YES_Writing_FLA[#Data]),MATCH($A533,_xlfn.VSTACK(YES_Writing_ELA[Student Number],YES_Writing_FLA[Student Number]),0),MATCH(VLOOKUP(H$7,'Writing Logic'!$J$7:$K$11,2,FALSE)&amp;" - Per "&amp;VLOOKUP($C$4,'Writing Logic'!$G$8:$H$14,2,FALSE),YES_Writing_ELA[#Headers],0))=0,"",INDEX(_xlfn.VSTACK(YES_Writing_ELA[#Data],YES_Writing_FLA[#Data]),MATCH($A533,_xlfn.VSTACK(YES_Writing_ELA[Student Number],YES_Writing_FLA[Student Number]),0),MATCH(VLOOKUP(H$7,'Writing Logic'!$J$7:$K$11,2,FALSE)&amp;" - Per "&amp;VLOOKUP($C$4,'Writing Logic'!$G$8:$H$14,2,FALSE),YES_Writing_ELA[#Headers],0)))),"")</f>
        <v/>
      </c>
    </row>
    <row r="534" spans="1:8" x14ac:dyDescent="0.25">
      <c r="A534" s="137"/>
      <c r="B534" s="137" t="str">
        <f>IFERROR(INDEX(_xlfn.VSTACK(YES_Writing_ELA[#Data], YES_Writing_FLA[#Data]),MATCH($A534,_xlfn.VSTACK(YES_Writing_ELA[Student Number], YES_Writing_FLA[Student Number]),0),MATCH(B$7,YES_Writing_ELA[#Headers],0)),"")</f>
        <v/>
      </c>
      <c r="C534" s="137" t="str">
        <f>IFERROR(INDEX(_xlfn.VSTACK(YES_Writing_ELA[#Data], YES_Writing_FLA[#Data]),MATCH($A534,_xlfn.VSTACK(YES_Writing_ELA[Student Number], YES_Writing_FLA[Student Number]),0),MATCH(C$7,YES_Writing_ELA[#Headers],0)),"")</f>
        <v/>
      </c>
      <c r="D534" s="138" t="str">
        <f>IFERROR(IF(IF(INDEX(_xlfn.VSTACK(YES_Writing_ELA[#Data],YES_Writing_FLA[#Data]),MATCH($A534,_xlfn.VSTACK(YES_Writing_ELA[Student Number],YES_Writing_FLA[Student Number]),0),MATCH(VLOOKUP(D$7,'Writing Logic'!$J$7:$K$11,2,FALSE)&amp;" - Per "&amp;VLOOKUP($C$4,'Writing Logic'!$G$8:$H$14,2,FALSE),YES_Writing_ELA[#Headers],0))=0,"",INDEX(_xlfn.VSTACK(YES_Writing_ELA[#Data],YES_Writing_FLA[#Data]),MATCH($A534,_xlfn.VSTACK(YES_Writing_ELA[Student Number],YES_Writing_FLA[Student Number]),0),MATCH(VLOOKUP(D$7,'Writing Logic'!$J$7:$K$11,2,FALSE)&amp;" - Per "&amp;VLOOKUP($C$4,'Writing Logic'!$G$8:$H$14,2,FALSE),YES_Writing_ELA[#Headers],0)))="INS",'Writing Logic'!$B$7,IF(INDEX(_xlfn.VSTACK(YES_Writing_ELA[#Data],YES_Writing_FLA[#Data]),MATCH($A534,_xlfn.VSTACK(YES_Writing_ELA[Student Number],YES_Writing_FLA[Student Number]),0),MATCH(VLOOKUP(D$7,'Writing Logic'!$J$7:$K$11,2,FALSE)&amp;" - Per "&amp;VLOOKUP($C$4,'Writing Logic'!$G$8:$H$14,2,FALSE),YES_Writing_ELA[#Headers],0))=0,"",INDEX(_xlfn.VSTACK(YES_Writing_ELA[#Data],YES_Writing_FLA[#Data]),MATCH($A534,_xlfn.VSTACK(YES_Writing_ELA[Student Number],YES_Writing_FLA[Student Number]),0),MATCH(VLOOKUP(D$7,'Writing Logic'!$J$7:$K$11,2,FALSE)&amp;" - Per "&amp;VLOOKUP($C$4,'Writing Logic'!$G$8:$H$14,2,FALSE),YES_Writing_ELA[#Headers],0)))),"")</f>
        <v/>
      </c>
      <c r="E534" s="138" t="str">
        <f>IFERROR(IF(IF(INDEX(_xlfn.VSTACK(YES_Writing_ELA[#Data],YES_Writing_FLA[#Data]),MATCH($A534,_xlfn.VSTACK(YES_Writing_ELA[Student Number],YES_Writing_FLA[Student Number]),0),MATCH(VLOOKUP(E$7,'Writing Logic'!$J$7:$K$11,2,FALSE)&amp;" - Per "&amp;VLOOKUP($C$4,'Writing Logic'!$G$8:$H$14,2,FALSE),YES_Writing_ELA[#Headers],0))=0,"",INDEX(_xlfn.VSTACK(YES_Writing_ELA[#Data],YES_Writing_FLA[#Data]),MATCH($A534,_xlfn.VSTACK(YES_Writing_ELA[Student Number],YES_Writing_FLA[Student Number]),0),MATCH(VLOOKUP(E$7,'Writing Logic'!$J$7:$K$11,2,FALSE)&amp;" - Per "&amp;VLOOKUP($C$4,'Writing Logic'!$G$8:$H$14,2,FALSE),YES_Writing_ELA[#Headers],0)))="INS",'Writing Logic'!$B$7,IF(INDEX(_xlfn.VSTACK(YES_Writing_ELA[#Data],YES_Writing_FLA[#Data]),MATCH($A534,_xlfn.VSTACK(YES_Writing_ELA[Student Number],YES_Writing_FLA[Student Number]),0),MATCH(VLOOKUP(E$7,'Writing Logic'!$J$7:$K$11,2,FALSE)&amp;" - Per "&amp;VLOOKUP($C$4,'Writing Logic'!$G$8:$H$14,2,FALSE),YES_Writing_ELA[#Headers],0))=0,"",INDEX(_xlfn.VSTACK(YES_Writing_ELA[#Data],YES_Writing_FLA[#Data]),MATCH($A534,_xlfn.VSTACK(YES_Writing_ELA[Student Number],YES_Writing_FLA[Student Number]),0),MATCH(VLOOKUP(E$7,'Writing Logic'!$J$7:$K$11,2,FALSE)&amp;" - Per "&amp;VLOOKUP($C$4,'Writing Logic'!$G$8:$H$14,2,FALSE),YES_Writing_ELA[#Headers],0)))),"")</f>
        <v/>
      </c>
      <c r="F534" s="138" t="str">
        <f>IFERROR(IF(IF(INDEX(_xlfn.VSTACK(YES_Writing_ELA[#Data],YES_Writing_FLA[#Data]),MATCH($A534,_xlfn.VSTACK(YES_Writing_ELA[Student Number],YES_Writing_FLA[Student Number]),0),MATCH(VLOOKUP(F$7,'Writing Logic'!$J$7:$K$11,2,FALSE)&amp;" - Per "&amp;VLOOKUP($C$4,'Writing Logic'!$G$8:$H$14,2,FALSE),YES_Writing_ELA[#Headers],0))=0,"",INDEX(_xlfn.VSTACK(YES_Writing_ELA[#Data],YES_Writing_FLA[#Data]),MATCH($A534,_xlfn.VSTACK(YES_Writing_ELA[Student Number],YES_Writing_FLA[Student Number]),0),MATCH(VLOOKUP(F$7,'Writing Logic'!$J$7:$K$11,2,FALSE)&amp;" - Per "&amp;VLOOKUP($C$4,'Writing Logic'!$G$8:$H$14,2,FALSE),YES_Writing_ELA[#Headers],0)))="INS",'Writing Logic'!$B$7,IF(INDEX(_xlfn.VSTACK(YES_Writing_ELA[#Data],YES_Writing_FLA[#Data]),MATCH($A534,_xlfn.VSTACK(YES_Writing_ELA[Student Number],YES_Writing_FLA[Student Number]),0),MATCH(VLOOKUP(F$7,'Writing Logic'!$J$7:$K$11,2,FALSE)&amp;" - Per "&amp;VLOOKUP($C$4,'Writing Logic'!$G$8:$H$14,2,FALSE),YES_Writing_ELA[#Headers],0))=0,"",INDEX(_xlfn.VSTACK(YES_Writing_ELA[#Data],YES_Writing_FLA[#Data]),MATCH($A534,_xlfn.VSTACK(YES_Writing_ELA[Student Number],YES_Writing_FLA[Student Number]),0),MATCH(VLOOKUP(F$7,'Writing Logic'!$J$7:$K$11,2,FALSE)&amp;" - Per "&amp;VLOOKUP($C$4,'Writing Logic'!$G$8:$H$14,2,FALSE),YES_Writing_ELA[#Headers],0)))),"")</f>
        <v/>
      </c>
      <c r="G534" s="138" t="str">
        <f>IFERROR(IF(IF(INDEX(_xlfn.VSTACK(YES_Writing_ELA[#Data],YES_Writing_FLA[#Data]),MATCH($A534,_xlfn.VSTACK(YES_Writing_ELA[Student Number],YES_Writing_FLA[Student Number]),0),MATCH(VLOOKUP(G$7,'Writing Logic'!$J$7:$K$11,2,FALSE)&amp;" - Per "&amp;VLOOKUP($C$4,'Writing Logic'!$G$8:$H$14,2,FALSE),YES_Writing_ELA[#Headers],0))=0,"",INDEX(_xlfn.VSTACK(YES_Writing_ELA[#Data],YES_Writing_FLA[#Data]),MATCH($A534,_xlfn.VSTACK(YES_Writing_ELA[Student Number],YES_Writing_FLA[Student Number]),0),MATCH(VLOOKUP(G$7,'Writing Logic'!$J$7:$K$11,2,FALSE)&amp;" - Per "&amp;VLOOKUP($C$4,'Writing Logic'!$G$8:$H$14,2,FALSE),YES_Writing_ELA[#Headers],0)))="INS",'Writing Logic'!$B$7,IF(INDEX(_xlfn.VSTACK(YES_Writing_ELA[#Data],YES_Writing_FLA[#Data]),MATCH($A534,_xlfn.VSTACK(YES_Writing_ELA[Student Number],YES_Writing_FLA[Student Number]),0),MATCH(VLOOKUP(G$7,'Writing Logic'!$J$7:$K$11,2,FALSE)&amp;" - Per "&amp;VLOOKUP($C$4,'Writing Logic'!$G$8:$H$14,2,FALSE),YES_Writing_ELA[#Headers],0))=0,"",INDEX(_xlfn.VSTACK(YES_Writing_ELA[#Data],YES_Writing_FLA[#Data]),MATCH($A534,_xlfn.VSTACK(YES_Writing_ELA[Student Number],YES_Writing_FLA[Student Number]),0),MATCH(VLOOKUP(G$7,'Writing Logic'!$J$7:$K$11,2,FALSE)&amp;" - Per "&amp;VLOOKUP($C$4,'Writing Logic'!$G$8:$H$14,2,FALSE),YES_Writing_ELA[#Headers],0)))),"")</f>
        <v/>
      </c>
      <c r="H534" s="138" t="str">
        <f>IFERROR(IF(IF(INDEX(_xlfn.VSTACK(YES_Writing_ELA[#Data],YES_Writing_FLA[#Data]),MATCH($A534,_xlfn.VSTACK(YES_Writing_ELA[Student Number],YES_Writing_FLA[Student Number]),0),MATCH(VLOOKUP(H$7,'Writing Logic'!$J$7:$K$11,2,FALSE)&amp;" - Per "&amp;VLOOKUP($C$4,'Writing Logic'!$G$8:$H$14,2,FALSE),YES_Writing_ELA[#Headers],0))=0,"",INDEX(_xlfn.VSTACK(YES_Writing_ELA[#Data],YES_Writing_FLA[#Data]),MATCH($A534,_xlfn.VSTACK(YES_Writing_ELA[Student Number],YES_Writing_FLA[Student Number]),0),MATCH(VLOOKUP(H$7,'Writing Logic'!$J$7:$K$11,2,FALSE)&amp;" - Per "&amp;VLOOKUP($C$4,'Writing Logic'!$G$8:$H$14,2,FALSE),YES_Writing_ELA[#Headers],0)))="INS",'Writing Logic'!$B$7,IF(INDEX(_xlfn.VSTACK(YES_Writing_ELA[#Data],YES_Writing_FLA[#Data]),MATCH($A534,_xlfn.VSTACK(YES_Writing_ELA[Student Number],YES_Writing_FLA[Student Number]),0),MATCH(VLOOKUP(H$7,'Writing Logic'!$J$7:$K$11,2,FALSE)&amp;" - Per "&amp;VLOOKUP($C$4,'Writing Logic'!$G$8:$H$14,2,FALSE),YES_Writing_ELA[#Headers],0))=0,"",INDEX(_xlfn.VSTACK(YES_Writing_ELA[#Data],YES_Writing_FLA[#Data]),MATCH($A534,_xlfn.VSTACK(YES_Writing_ELA[Student Number],YES_Writing_FLA[Student Number]),0),MATCH(VLOOKUP(H$7,'Writing Logic'!$J$7:$K$11,2,FALSE)&amp;" - Per "&amp;VLOOKUP($C$4,'Writing Logic'!$G$8:$H$14,2,FALSE),YES_Writing_ELA[#Headers],0)))),"")</f>
        <v/>
      </c>
    </row>
    <row r="535" spans="1:8" x14ac:dyDescent="0.25">
      <c r="A535" s="137"/>
      <c r="B535" s="137" t="str">
        <f>IFERROR(INDEX(_xlfn.VSTACK(YES_Writing_ELA[#Data], YES_Writing_FLA[#Data]),MATCH($A535,_xlfn.VSTACK(YES_Writing_ELA[Student Number], YES_Writing_FLA[Student Number]),0),MATCH(B$7,YES_Writing_ELA[#Headers],0)),"")</f>
        <v/>
      </c>
      <c r="C535" s="137" t="str">
        <f>IFERROR(INDEX(_xlfn.VSTACK(YES_Writing_ELA[#Data], YES_Writing_FLA[#Data]),MATCH($A535,_xlfn.VSTACK(YES_Writing_ELA[Student Number], YES_Writing_FLA[Student Number]),0),MATCH(C$7,YES_Writing_ELA[#Headers],0)),"")</f>
        <v/>
      </c>
      <c r="D535" s="138" t="str">
        <f>IFERROR(IF(IF(INDEX(_xlfn.VSTACK(YES_Writing_ELA[#Data],YES_Writing_FLA[#Data]),MATCH($A535,_xlfn.VSTACK(YES_Writing_ELA[Student Number],YES_Writing_FLA[Student Number]),0),MATCH(VLOOKUP(D$7,'Writing Logic'!$J$7:$K$11,2,FALSE)&amp;" - Per "&amp;VLOOKUP($C$4,'Writing Logic'!$G$8:$H$14,2,FALSE),YES_Writing_ELA[#Headers],0))=0,"",INDEX(_xlfn.VSTACK(YES_Writing_ELA[#Data],YES_Writing_FLA[#Data]),MATCH($A535,_xlfn.VSTACK(YES_Writing_ELA[Student Number],YES_Writing_FLA[Student Number]),0),MATCH(VLOOKUP(D$7,'Writing Logic'!$J$7:$K$11,2,FALSE)&amp;" - Per "&amp;VLOOKUP($C$4,'Writing Logic'!$G$8:$H$14,2,FALSE),YES_Writing_ELA[#Headers],0)))="INS",'Writing Logic'!$B$7,IF(INDEX(_xlfn.VSTACK(YES_Writing_ELA[#Data],YES_Writing_FLA[#Data]),MATCH($A535,_xlfn.VSTACK(YES_Writing_ELA[Student Number],YES_Writing_FLA[Student Number]),0),MATCH(VLOOKUP(D$7,'Writing Logic'!$J$7:$K$11,2,FALSE)&amp;" - Per "&amp;VLOOKUP($C$4,'Writing Logic'!$G$8:$H$14,2,FALSE),YES_Writing_ELA[#Headers],0))=0,"",INDEX(_xlfn.VSTACK(YES_Writing_ELA[#Data],YES_Writing_FLA[#Data]),MATCH($A535,_xlfn.VSTACK(YES_Writing_ELA[Student Number],YES_Writing_FLA[Student Number]),0),MATCH(VLOOKUP(D$7,'Writing Logic'!$J$7:$K$11,2,FALSE)&amp;" - Per "&amp;VLOOKUP($C$4,'Writing Logic'!$G$8:$H$14,2,FALSE),YES_Writing_ELA[#Headers],0)))),"")</f>
        <v/>
      </c>
      <c r="E535" s="138" t="str">
        <f>IFERROR(IF(IF(INDEX(_xlfn.VSTACK(YES_Writing_ELA[#Data],YES_Writing_FLA[#Data]),MATCH($A535,_xlfn.VSTACK(YES_Writing_ELA[Student Number],YES_Writing_FLA[Student Number]),0),MATCH(VLOOKUP(E$7,'Writing Logic'!$J$7:$K$11,2,FALSE)&amp;" - Per "&amp;VLOOKUP($C$4,'Writing Logic'!$G$8:$H$14,2,FALSE),YES_Writing_ELA[#Headers],0))=0,"",INDEX(_xlfn.VSTACK(YES_Writing_ELA[#Data],YES_Writing_FLA[#Data]),MATCH($A535,_xlfn.VSTACK(YES_Writing_ELA[Student Number],YES_Writing_FLA[Student Number]),0),MATCH(VLOOKUP(E$7,'Writing Logic'!$J$7:$K$11,2,FALSE)&amp;" - Per "&amp;VLOOKUP($C$4,'Writing Logic'!$G$8:$H$14,2,FALSE),YES_Writing_ELA[#Headers],0)))="INS",'Writing Logic'!$B$7,IF(INDEX(_xlfn.VSTACK(YES_Writing_ELA[#Data],YES_Writing_FLA[#Data]),MATCH($A535,_xlfn.VSTACK(YES_Writing_ELA[Student Number],YES_Writing_FLA[Student Number]),0),MATCH(VLOOKUP(E$7,'Writing Logic'!$J$7:$K$11,2,FALSE)&amp;" - Per "&amp;VLOOKUP($C$4,'Writing Logic'!$G$8:$H$14,2,FALSE),YES_Writing_ELA[#Headers],0))=0,"",INDEX(_xlfn.VSTACK(YES_Writing_ELA[#Data],YES_Writing_FLA[#Data]),MATCH($A535,_xlfn.VSTACK(YES_Writing_ELA[Student Number],YES_Writing_FLA[Student Number]),0),MATCH(VLOOKUP(E$7,'Writing Logic'!$J$7:$K$11,2,FALSE)&amp;" - Per "&amp;VLOOKUP($C$4,'Writing Logic'!$G$8:$H$14,2,FALSE),YES_Writing_ELA[#Headers],0)))),"")</f>
        <v/>
      </c>
      <c r="F535" s="138" t="str">
        <f>IFERROR(IF(IF(INDEX(_xlfn.VSTACK(YES_Writing_ELA[#Data],YES_Writing_FLA[#Data]),MATCH($A535,_xlfn.VSTACK(YES_Writing_ELA[Student Number],YES_Writing_FLA[Student Number]),0),MATCH(VLOOKUP(F$7,'Writing Logic'!$J$7:$K$11,2,FALSE)&amp;" - Per "&amp;VLOOKUP($C$4,'Writing Logic'!$G$8:$H$14,2,FALSE),YES_Writing_ELA[#Headers],0))=0,"",INDEX(_xlfn.VSTACK(YES_Writing_ELA[#Data],YES_Writing_FLA[#Data]),MATCH($A535,_xlfn.VSTACK(YES_Writing_ELA[Student Number],YES_Writing_FLA[Student Number]),0),MATCH(VLOOKUP(F$7,'Writing Logic'!$J$7:$K$11,2,FALSE)&amp;" - Per "&amp;VLOOKUP($C$4,'Writing Logic'!$G$8:$H$14,2,FALSE),YES_Writing_ELA[#Headers],0)))="INS",'Writing Logic'!$B$7,IF(INDEX(_xlfn.VSTACK(YES_Writing_ELA[#Data],YES_Writing_FLA[#Data]),MATCH($A535,_xlfn.VSTACK(YES_Writing_ELA[Student Number],YES_Writing_FLA[Student Number]),0),MATCH(VLOOKUP(F$7,'Writing Logic'!$J$7:$K$11,2,FALSE)&amp;" - Per "&amp;VLOOKUP($C$4,'Writing Logic'!$G$8:$H$14,2,FALSE),YES_Writing_ELA[#Headers],0))=0,"",INDEX(_xlfn.VSTACK(YES_Writing_ELA[#Data],YES_Writing_FLA[#Data]),MATCH($A535,_xlfn.VSTACK(YES_Writing_ELA[Student Number],YES_Writing_FLA[Student Number]),0),MATCH(VLOOKUP(F$7,'Writing Logic'!$J$7:$K$11,2,FALSE)&amp;" - Per "&amp;VLOOKUP($C$4,'Writing Logic'!$G$8:$H$14,2,FALSE),YES_Writing_ELA[#Headers],0)))),"")</f>
        <v/>
      </c>
      <c r="G535" s="138" t="str">
        <f>IFERROR(IF(IF(INDEX(_xlfn.VSTACK(YES_Writing_ELA[#Data],YES_Writing_FLA[#Data]),MATCH($A535,_xlfn.VSTACK(YES_Writing_ELA[Student Number],YES_Writing_FLA[Student Number]),0),MATCH(VLOOKUP(G$7,'Writing Logic'!$J$7:$K$11,2,FALSE)&amp;" - Per "&amp;VLOOKUP($C$4,'Writing Logic'!$G$8:$H$14,2,FALSE),YES_Writing_ELA[#Headers],0))=0,"",INDEX(_xlfn.VSTACK(YES_Writing_ELA[#Data],YES_Writing_FLA[#Data]),MATCH($A535,_xlfn.VSTACK(YES_Writing_ELA[Student Number],YES_Writing_FLA[Student Number]),0),MATCH(VLOOKUP(G$7,'Writing Logic'!$J$7:$K$11,2,FALSE)&amp;" - Per "&amp;VLOOKUP($C$4,'Writing Logic'!$G$8:$H$14,2,FALSE),YES_Writing_ELA[#Headers],0)))="INS",'Writing Logic'!$B$7,IF(INDEX(_xlfn.VSTACK(YES_Writing_ELA[#Data],YES_Writing_FLA[#Data]),MATCH($A535,_xlfn.VSTACK(YES_Writing_ELA[Student Number],YES_Writing_FLA[Student Number]),0),MATCH(VLOOKUP(G$7,'Writing Logic'!$J$7:$K$11,2,FALSE)&amp;" - Per "&amp;VLOOKUP($C$4,'Writing Logic'!$G$8:$H$14,2,FALSE),YES_Writing_ELA[#Headers],0))=0,"",INDEX(_xlfn.VSTACK(YES_Writing_ELA[#Data],YES_Writing_FLA[#Data]),MATCH($A535,_xlfn.VSTACK(YES_Writing_ELA[Student Number],YES_Writing_FLA[Student Number]),0),MATCH(VLOOKUP(G$7,'Writing Logic'!$J$7:$K$11,2,FALSE)&amp;" - Per "&amp;VLOOKUP($C$4,'Writing Logic'!$G$8:$H$14,2,FALSE),YES_Writing_ELA[#Headers],0)))),"")</f>
        <v/>
      </c>
      <c r="H535" s="138" t="str">
        <f>IFERROR(IF(IF(INDEX(_xlfn.VSTACK(YES_Writing_ELA[#Data],YES_Writing_FLA[#Data]),MATCH($A535,_xlfn.VSTACK(YES_Writing_ELA[Student Number],YES_Writing_FLA[Student Number]),0),MATCH(VLOOKUP(H$7,'Writing Logic'!$J$7:$K$11,2,FALSE)&amp;" - Per "&amp;VLOOKUP($C$4,'Writing Logic'!$G$8:$H$14,2,FALSE),YES_Writing_ELA[#Headers],0))=0,"",INDEX(_xlfn.VSTACK(YES_Writing_ELA[#Data],YES_Writing_FLA[#Data]),MATCH($A535,_xlfn.VSTACK(YES_Writing_ELA[Student Number],YES_Writing_FLA[Student Number]),0),MATCH(VLOOKUP(H$7,'Writing Logic'!$J$7:$K$11,2,FALSE)&amp;" - Per "&amp;VLOOKUP($C$4,'Writing Logic'!$G$8:$H$14,2,FALSE),YES_Writing_ELA[#Headers],0)))="INS",'Writing Logic'!$B$7,IF(INDEX(_xlfn.VSTACK(YES_Writing_ELA[#Data],YES_Writing_FLA[#Data]),MATCH($A535,_xlfn.VSTACK(YES_Writing_ELA[Student Number],YES_Writing_FLA[Student Number]),0),MATCH(VLOOKUP(H$7,'Writing Logic'!$J$7:$K$11,2,FALSE)&amp;" - Per "&amp;VLOOKUP($C$4,'Writing Logic'!$G$8:$H$14,2,FALSE),YES_Writing_ELA[#Headers],0))=0,"",INDEX(_xlfn.VSTACK(YES_Writing_ELA[#Data],YES_Writing_FLA[#Data]),MATCH($A535,_xlfn.VSTACK(YES_Writing_ELA[Student Number],YES_Writing_FLA[Student Number]),0),MATCH(VLOOKUP(H$7,'Writing Logic'!$J$7:$K$11,2,FALSE)&amp;" - Per "&amp;VLOOKUP($C$4,'Writing Logic'!$G$8:$H$14,2,FALSE),YES_Writing_ELA[#Headers],0)))),"")</f>
        <v/>
      </c>
    </row>
    <row r="536" spans="1:8" x14ac:dyDescent="0.25">
      <c r="A536" s="137"/>
      <c r="B536" s="137" t="str">
        <f>IFERROR(INDEX(_xlfn.VSTACK(YES_Writing_ELA[#Data], YES_Writing_FLA[#Data]),MATCH($A536,_xlfn.VSTACK(YES_Writing_ELA[Student Number], YES_Writing_FLA[Student Number]),0),MATCH(B$7,YES_Writing_ELA[#Headers],0)),"")</f>
        <v/>
      </c>
      <c r="C536" s="137" t="str">
        <f>IFERROR(INDEX(_xlfn.VSTACK(YES_Writing_ELA[#Data], YES_Writing_FLA[#Data]),MATCH($A536,_xlfn.VSTACK(YES_Writing_ELA[Student Number], YES_Writing_FLA[Student Number]),0),MATCH(C$7,YES_Writing_ELA[#Headers],0)),"")</f>
        <v/>
      </c>
      <c r="D536" s="138" t="str">
        <f>IFERROR(IF(IF(INDEX(_xlfn.VSTACK(YES_Writing_ELA[#Data],YES_Writing_FLA[#Data]),MATCH($A536,_xlfn.VSTACK(YES_Writing_ELA[Student Number],YES_Writing_FLA[Student Number]),0),MATCH(VLOOKUP(D$7,'Writing Logic'!$J$7:$K$11,2,FALSE)&amp;" - Per "&amp;VLOOKUP($C$4,'Writing Logic'!$G$8:$H$14,2,FALSE),YES_Writing_ELA[#Headers],0))=0,"",INDEX(_xlfn.VSTACK(YES_Writing_ELA[#Data],YES_Writing_FLA[#Data]),MATCH($A536,_xlfn.VSTACK(YES_Writing_ELA[Student Number],YES_Writing_FLA[Student Number]),0),MATCH(VLOOKUP(D$7,'Writing Logic'!$J$7:$K$11,2,FALSE)&amp;" - Per "&amp;VLOOKUP($C$4,'Writing Logic'!$G$8:$H$14,2,FALSE),YES_Writing_ELA[#Headers],0)))="INS",'Writing Logic'!$B$7,IF(INDEX(_xlfn.VSTACK(YES_Writing_ELA[#Data],YES_Writing_FLA[#Data]),MATCH($A536,_xlfn.VSTACK(YES_Writing_ELA[Student Number],YES_Writing_FLA[Student Number]),0),MATCH(VLOOKUP(D$7,'Writing Logic'!$J$7:$K$11,2,FALSE)&amp;" - Per "&amp;VLOOKUP($C$4,'Writing Logic'!$G$8:$H$14,2,FALSE),YES_Writing_ELA[#Headers],0))=0,"",INDEX(_xlfn.VSTACK(YES_Writing_ELA[#Data],YES_Writing_FLA[#Data]),MATCH($A536,_xlfn.VSTACK(YES_Writing_ELA[Student Number],YES_Writing_FLA[Student Number]),0),MATCH(VLOOKUP(D$7,'Writing Logic'!$J$7:$K$11,2,FALSE)&amp;" - Per "&amp;VLOOKUP($C$4,'Writing Logic'!$G$8:$H$14,2,FALSE),YES_Writing_ELA[#Headers],0)))),"")</f>
        <v/>
      </c>
      <c r="E536" s="138" t="str">
        <f>IFERROR(IF(IF(INDEX(_xlfn.VSTACK(YES_Writing_ELA[#Data],YES_Writing_FLA[#Data]),MATCH($A536,_xlfn.VSTACK(YES_Writing_ELA[Student Number],YES_Writing_FLA[Student Number]),0),MATCH(VLOOKUP(E$7,'Writing Logic'!$J$7:$K$11,2,FALSE)&amp;" - Per "&amp;VLOOKUP($C$4,'Writing Logic'!$G$8:$H$14,2,FALSE),YES_Writing_ELA[#Headers],0))=0,"",INDEX(_xlfn.VSTACK(YES_Writing_ELA[#Data],YES_Writing_FLA[#Data]),MATCH($A536,_xlfn.VSTACK(YES_Writing_ELA[Student Number],YES_Writing_FLA[Student Number]),0),MATCH(VLOOKUP(E$7,'Writing Logic'!$J$7:$K$11,2,FALSE)&amp;" - Per "&amp;VLOOKUP($C$4,'Writing Logic'!$G$8:$H$14,2,FALSE),YES_Writing_ELA[#Headers],0)))="INS",'Writing Logic'!$B$7,IF(INDEX(_xlfn.VSTACK(YES_Writing_ELA[#Data],YES_Writing_FLA[#Data]),MATCH($A536,_xlfn.VSTACK(YES_Writing_ELA[Student Number],YES_Writing_FLA[Student Number]),0),MATCH(VLOOKUP(E$7,'Writing Logic'!$J$7:$K$11,2,FALSE)&amp;" - Per "&amp;VLOOKUP($C$4,'Writing Logic'!$G$8:$H$14,2,FALSE),YES_Writing_ELA[#Headers],0))=0,"",INDEX(_xlfn.VSTACK(YES_Writing_ELA[#Data],YES_Writing_FLA[#Data]),MATCH($A536,_xlfn.VSTACK(YES_Writing_ELA[Student Number],YES_Writing_FLA[Student Number]),0),MATCH(VLOOKUP(E$7,'Writing Logic'!$J$7:$K$11,2,FALSE)&amp;" - Per "&amp;VLOOKUP($C$4,'Writing Logic'!$G$8:$H$14,2,FALSE),YES_Writing_ELA[#Headers],0)))),"")</f>
        <v/>
      </c>
      <c r="F536" s="138" t="str">
        <f>IFERROR(IF(IF(INDEX(_xlfn.VSTACK(YES_Writing_ELA[#Data],YES_Writing_FLA[#Data]),MATCH($A536,_xlfn.VSTACK(YES_Writing_ELA[Student Number],YES_Writing_FLA[Student Number]),0),MATCH(VLOOKUP(F$7,'Writing Logic'!$J$7:$K$11,2,FALSE)&amp;" - Per "&amp;VLOOKUP($C$4,'Writing Logic'!$G$8:$H$14,2,FALSE),YES_Writing_ELA[#Headers],0))=0,"",INDEX(_xlfn.VSTACK(YES_Writing_ELA[#Data],YES_Writing_FLA[#Data]),MATCH($A536,_xlfn.VSTACK(YES_Writing_ELA[Student Number],YES_Writing_FLA[Student Number]),0),MATCH(VLOOKUP(F$7,'Writing Logic'!$J$7:$K$11,2,FALSE)&amp;" - Per "&amp;VLOOKUP($C$4,'Writing Logic'!$G$8:$H$14,2,FALSE),YES_Writing_ELA[#Headers],0)))="INS",'Writing Logic'!$B$7,IF(INDEX(_xlfn.VSTACK(YES_Writing_ELA[#Data],YES_Writing_FLA[#Data]),MATCH($A536,_xlfn.VSTACK(YES_Writing_ELA[Student Number],YES_Writing_FLA[Student Number]),0),MATCH(VLOOKUP(F$7,'Writing Logic'!$J$7:$K$11,2,FALSE)&amp;" - Per "&amp;VLOOKUP($C$4,'Writing Logic'!$G$8:$H$14,2,FALSE),YES_Writing_ELA[#Headers],0))=0,"",INDEX(_xlfn.VSTACK(YES_Writing_ELA[#Data],YES_Writing_FLA[#Data]),MATCH($A536,_xlfn.VSTACK(YES_Writing_ELA[Student Number],YES_Writing_FLA[Student Number]),0),MATCH(VLOOKUP(F$7,'Writing Logic'!$J$7:$K$11,2,FALSE)&amp;" - Per "&amp;VLOOKUP($C$4,'Writing Logic'!$G$8:$H$14,2,FALSE),YES_Writing_ELA[#Headers],0)))),"")</f>
        <v/>
      </c>
      <c r="G536" s="138" t="str">
        <f>IFERROR(IF(IF(INDEX(_xlfn.VSTACK(YES_Writing_ELA[#Data],YES_Writing_FLA[#Data]),MATCH($A536,_xlfn.VSTACK(YES_Writing_ELA[Student Number],YES_Writing_FLA[Student Number]),0),MATCH(VLOOKUP(G$7,'Writing Logic'!$J$7:$K$11,2,FALSE)&amp;" - Per "&amp;VLOOKUP($C$4,'Writing Logic'!$G$8:$H$14,2,FALSE),YES_Writing_ELA[#Headers],0))=0,"",INDEX(_xlfn.VSTACK(YES_Writing_ELA[#Data],YES_Writing_FLA[#Data]),MATCH($A536,_xlfn.VSTACK(YES_Writing_ELA[Student Number],YES_Writing_FLA[Student Number]),0),MATCH(VLOOKUP(G$7,'Writing Logic'!$J$7:$K$11,2,FALSE)&amp;" - Per "&amp;VLOOKUP($C$4,'Writing Logic'!$G$8:$H$14,2,FALSE),YES_Writing_ELA[#Headers],0)))="INS",'Writing Logic'!$B$7,IF(INDEX(_xlfn.VSTACK(YES_Writing_ELA[#Data],YES_Writing_FLA[#Data]),MATCH($A536,_xlfn.VSTACK(YES_Writing_ELA[Student Number],YES_Writing_FLA[Student Number]),0),MATCH(VLOOKUP(G$7,'Writing Logic'!$J$7:$K$11,2,FALSE)&amp;" - Per "&amp;VLOOKUP($C$4,'Writing Logic'!$G$8:$H$14,2,FALSE),YES_Writing_ELA[#Headers],0))=0,"",INDEX(_xlfn.VSTACK(YES_Writing_ELA[#Data],YES_Writing_FLA[#Data]),MATCH($A536,_xlfn.VSTACK(YES_Writing_ELA[Student Number],YES_Writing_FLA[Student Number]),0),MATCH(VLOOKUP(G$7,'Writing Logic'!$J$7:$K$11,2,FALSE)&amp;" - Per "&amp;VLOOKUP($C$4,'Writing Logic'!$G$8:$H$14,2,FALSE),YES_Writing_ELA[#Headers],0)))),"")</f>
        <v/>
      </c>
      <c r="H536" s="138" t="str">
        <f>IFERROR(IF(IF(INDEX(_xlfn.VSTACK(YES_Writing_ELA[#Data],YES_Writing_FLA[#Data]),MATCH($A536,_xlfn.VSTACK(YES_Writing_ELA[Student Number],YES_Writing_FLA[Student Number]),0),MATCH(VLOOKUP(H$7,'Writing Logic'!$J$7:$K$11,2,FALSE)&amp;" - Per "&amp;VLOOKUP($C$4,'Writing Logic'!$G$8:$H$14,2,FALSE),YES_Writing_ELA[#Headers],0))=0,"",INDEX(_xlfn.VSTACK(YES_Writing_ELA[#Data],YES_Writing_FLA[#Data]),MATCH($A536,_xlfn.VSTACK(YES_Writing_ELA[Student Number],YES_Writing_FLA[Student Number]),0),MATCH(VLOOKUP(H$7,'Writing Logic'!$J$7:$K$11,2,FALSE)&amp;" - Per "&amp;VLOOKUP($C$4,'Writing Logic'!$G$8:$H$14,2,FALSE),YES_Writing_ELA[#Headers],0)))="INS",'Writing Logic'!$B$7,IF(INDEX(_xlfn.VSTACK(YES_Writing_ELA[#Data],YES_Writing_FLA[#Data]),MATCH($A536,_xlfn.VSTACK(YES_Writing_ELA[Student Number],YES_Writing_FLA[Student Number]),0),MATCH(VLOOKUP(H$7,'Writing Logic'!$J$7:$K$11,2,FALSE)&amp;" - Per "&amp;VLOOKUP($C$4,'Writing Logic'!$G$8:$H$14,2,FALSE),YES_Writing_ELA[#Headers],0))=0,"",INDEX(_xlfn.VSTACK(YES_Writing_ELA[#Data],YES_Writing_FLA[#Data]),MATCH($A536,_xlfn.VSTACK(YES_Writing_ELA[Student Number],YES_Writing_FLA[Student Number]),0),MATCH(VLOOKUP(H$7,'Writing Logic'!$J$7:$K$11,2,FALSE)&amp;" - Per "&amp;VLOOKUP($C$4,'Writing Logic'!$G$8:$H$14,2,FALSE),YES_Writing_ELA[#Headers],0)))),"")</f>
        <v/>
      </c>
    </row>
    <row r="537" spans="1:8" x14ac:dyDescent="0.25">
      <c r="A537" s="137"/>
      <c r="B537" s="137" t="str">
        <f>IFERROR(INDEX(_xlfn.VSTACK(YES_Writing_ELA[#Data], YES_Writing_FLA[#Data]),MATCH($A537,_xlfn.VSTACK(YES_Writing_ELA[Student Number], YES_Writing_FLA[Student Number]),0),MATCH(B$7,YES_Writing_ELA[#Headers],0)),"")</f>
        <v/>
      </c>
      <c r="C537" s="137" t="str">
        <f>IFERROR(INDEX(_xlfn.VSTACK(YES_Writing_ELA[#Data], YES_Writing_FLA[#Data]),MATCH($A537,_xlfn.VSTACK(YES_Writing_ELA[Student Number], YES_Writing_FLA[Student Number]),0),MATCH(C$7,YES_Writing_ELA[#Headers],0)),"")</f>
        <v/>
      </c>
      <c r="D537" s="138" t="str">
        <f>IFERROR(IF(IF(INDEX(_xlfn.VSTACK(YES_Writing_ELA[#Data],YES_Writing_FLA[#Data]),MATCH($A537,_xlfn.VSTACK(YES_Writing_ELA[Student Number],YES_Writing_FLA[Student Number]),0),MATCH(VLOOKUP(D$7,'Writing Logic'!$J$7:$K$11,2,FALSE)&amp;" - Per "&amp;VLOOKUP($C$4,'Writing Logic'!$G$8:$H$14,2,FALSE),YES_Writing_ELA[#Headers],0))=0,"",INDEX(_xlfn.VSTACK(YES_Writing_ELA[#Data],YES_Writing_FLA[#Data]),MATCH($A537,_xlfn.VSTACK(YES_Writing_ELA[Student Number],YES_Writing_FLA[Student Number]),0),MATCH(VLOOKUP(D$7,'Writing Logic'!$J$7:$K$11,2,FALSE)&amp;" - Per "&amp;VLOOKUP($C$4,'Writing Logic'!$G$8:$H$14,2,FALSE),YES_Writing_ELA[#Headers],0)))="INS",'Writing Logic'!$B$7,IF(INDEX(_xlfn.VSTACK(YES_Writing_ELA[#Data],YES_Writing_FLA[#Data]),MATCH($A537,_xlfn.VSTACK(YES_Writing_ELA[Student Number],YES_Writing_FLA[Student Number]),0),MATCH(VLOOKUP(D$7,'Writing Logic'!$J$7:$K$11,2,FALSE)&amp;" - Per "&amp;VLOOKUP($C$4,'Writing Logic'!$G$8:$H$14,2,FALSE),YES_Writing_ELA[#Headers],0))=0,"",INDEX(_xlfn.VSTACK(YES_Writing_ELA[#Data],YES_Writing_FLA[#Data]),MATCH($A537,_xlfn.VSTACK(YES_Writing_ELA[Student Number],YES_Writing_FLA[Student Number]),0),MATCH(VLOOKUP(D$7,'Writing Logic'!$J$7:$K$11,2,FALSE)&amp;" - Per "&amp;VLOOKUP($C$4,'Writing Logic'!$G$8:$H$14,2,FALSE),YES_Writing_ELA[#Headers],0)))),"")</f>
        <v/>
      </c>
      <c r="E537" s="138" t="str">
        <f>IFERROR(IF(IF(INDEX(_xlfn.VSTACK(YES_Writing_ELA[#Data],YES_Writing_FLA[#Data]),MATCH($A537,_xlfn.VSTACK(YES_Writing_ELA[Student Number],YES_Writing_FLA[Student Number]),0),MATCH(VLOOKUP(E$7,'Writing Logic'!$J$7:$K$11,2,FALSE)&amp;" - Per "&amp;VLOOKUP($C$4,'Writing Logic'!$G$8:$H$14,2,FALSE),YES_Writing_ELA[#Headers],0))=0,"",INDEX(_xlfn.VSTACK(YES_Writing_ELA[#Data],YES_Writing_FLA[#Data]),MATCH($A537,_xlfn.VSTACK(YES_Writing_ELA[Student Number],YES_Writing_FLA[Student Number]),0),MATCH(VLOOKUP(E$7,'Writing Logic'!$J$7:$K$11,2,FALSE)&amp;" - Per "&amp;VLOOKUP($C$4,'Writing Logic'!$G$8:$H$14,2,FALSE),YES_Writing_ELA[#Headers],0)))="INS",'Writing Logic'!$B$7,IF(INDEX(_xlfn.VSTACK(YES_Writing_ELA[#Data],YES_Writing_FLA[#Data]),MATCH($A537,_xlfn.VSTACK(YES_Writing_ELA[Student Number],YES_Writing_FLA[Student Number]),0),MATCH(VLOOKUP(E$7,'Writing Logic'!$J$7:$K$11,2,FALSE)&amp;" - Per "&amp;VLOOKUP($C$4,'Writing Logic'!$G$8:$H$14,2,FALSE),YES_Writing_ELA[#Headers],0))=0,"",INDEX(_xlfn.VSTACK(YES_Writing_ELA[#Data],YES_Writing_FLA[#Data]),MATCH($A537,_xlfn.VSTACK(YES_Writing_ELA[Student Number],YES_Writing_FLA[Student Number]),0),MATCH(VLOOKUP(E$7,'Writing Logic'!$J$7:$K$11,2,FALSE)&amp;" - Per "&amp;VLOOKUP($C$4,'Writing Logic'!$G$8:$H$14,2,FALSE),YES_Writing_ELA[#Headers],0)))),"")</f>
        <v/>
      </c>
      <c r="F537" s="138" t="str">
        <f>IFERROR(IF(IF(INDEX(_xlfn.VSTACK(YES_Writing_ELA[#Data],YES_Writing_FLA[#Data]),MATCH($A537,_xlfn.VSTACK(YES_Writing_ELA[Student Number],YES_Writing_FLA[Student Number]),0),MATCH(VLOOKUP(F$7,'Writing Logic'!$J$7:$K$11,2,FALSE)&amp;" - Per "&amp;VLOOKUP($C$4,'Writing Logic'!$G$8:$H$14,2,FALSE),YES_Writing_ELA[#Headers],0))=0,"",INDEX(_xlfn.VSTACK(YES_Writing_ELA[#Data],YES_Writing_FLA[#Data]),MATCH($A537,_xlfn.VSTACK(YES_Writing_ELA[Student Number],YES_Writing_FLA[Student Number]),0),MATCH(VLOOKUP(F$7,'Writing Logic'!$J$7:$K$11,2,FALSE)&amp;" - Per "&amp;VLOOKUP($C$4,'Writing Logic'!$G$8:$H$14,2,FALSE),YES_Writing_ELA[#Headers],0)))="INS",'Writing Logic'!$B$7,IF(INDEX(_xlfn.VSTACK(YES_Writing_ELA[#Data],YES_Writing_FLA[#Data]),MATCH($A537,_xlfn.VSTACK(YES_Writing_ELA[Student Number],YES_Writing_FLA[Student Number]),0),MATCH(VLOOKUP(F$7,'Writing Logic'!$J$7:$K$11,2,FALSE)&amp;" - Per "&amp;VLOOKUP($C$4,'Writing Logic'!$G$8:$H$14,2,FALSE),YES_Writing_ELA[#Headers],0))=0,"",INDEX(_xlfn.VSTACK(YES_Writing_ELA[#Data],YES_Writing_FLA[#Data]),MATCH($A537,_xlfn.VSTACK(YES_Writing_ELA[Student Number],YES_Writing_FLA[Student Number]),0),MATCH(VLOOKUP(F$7,'Writing Logic'!$J$7:$K$11,2,FALSE)&amp;" - Per "&amp;VLOOKUP($C$4,'Writing Logic'!$G$8:$H$14,2,FALSE),YES_Writing_ELA[#Headers],0)))),"")</f>
        <v/>
      </c>
      <c r="G537" s="138" t="str">
        <f>IFERROR(IF(IF(INDEX(_xlfn.VSTACK(YES_Writing_ELA[#Data],YES_Writing_FLA[#Data]),MATCH($A537,_xlfn.VSTACK(YES_Writing_ELA[Student Number],YES_Writing_FLA[Student Number]),0),MATCH(VLOOKUP(G$7,'Writing Logic'!$J$7:$K$11,2,FALSE)&amp;" - Per "&amp;VLOOKUP($C$4,'Writing Logic'!$G$8:$H$14,2,FALSE),YES_Writing_ELA[#Headers],0))=0,"",INDEX(_xlfn.VSTACK(YES_Writing_ELA[#Data],YES_Writing_FLA[#Data]),MATCH($A537,_xlfn.VSTACK(YES_Writing_ELA[Student Number],YES_Writing_FLA[Student Number]),0),MATCH(VLOOKUP(G$7,'Writing Logic'!$J$7:$K$11,2,FALSE)&amp;" - Per "&amp;VLOOKUP($C$4,'Writing Logic'!$G$8:$H$14,2,FALSE),YES_Writing_ELA[#Headers],0)))="INS",'Writing Logic'!$B$7,IF(INDEX(_xlfn.VSTACK(YES_Writing_ELA[#Data],YES_Writing_FLA[#Data]),MATCH($A537,_xlfn.VSTACK(YES_Writing_ELA[Student Number],YES_Writing_FLA[Student Number]),0),MATCH(VLOOKUP(G$7,'Writing Logic'!$J$7:$K$11,2,FALSE)&amp;" - Per "&amp;VLOOKUP($C$4,'Writing Logic'!$G$8:$H$14,2,FALSE),YES_Writing_ELA[#Headers],0))=0,"",INDEX(_xlfn.VSTACK(YES_Writing_ELA[#Data],YES_Writing_FLA[#Data]),MATCH($A537,_xlfn.VSTACK(YES_Writing_ELA[Student Number],YES_Writing_FLA[Student Number]),0),MATCH(VLOOKUP(G$7,'Writing Logic'!$J$7:$K$11,2,FALSE)&amp;" - Per "&amp;VLOOKUP($C$4,'Writing Logic'!$G$8:$H$14,2,FALSE),YES_Writing_ELA[#Headers],0)))),"")</f>
        <v/>
      </c>
      <c r="H537" s="138" t="str">
        <f>IFERROR(IF(IF(INDEX(_xlfn.VSTACK(YES_Writing_ELA[#Data],YES_Writing_FLA[#Data]),MATCH($A537,_xlfn.VSTACK(YES_Writing_ELA[Student Number],YES_Writing_FLA[Student Number]),0),MATCH(VLOOKUP(H$7,'Writing Logic'!$J$7:$K$11,2,FALSE)&amp;" - Per "&amp;VLOOKUP($C$4,'Writing Logic'!$G$8:$H$14,2,FALSE),YES_Writing_ELA[#Headers],0))=0,"",INDEX(_xlfn.VSTACK(YES_Writing_ELA[#Data],YES_Writing_FLA[#Data]),MATCH($A537,_xlfn.VSTACK(YES_Writing_ELA[Student Number],YES_Writing_FLA[Student Number]),0),MATCH(VLOOKUP(H$7,'Writing Logic'!$J$7:$K$11,2,FALSE)&amp;" - Per "&amp;VLOOKUP($C$4,'Writing Logic'!$G$8:$H$14,2,FALSE),YES_Writing_ELA[#Headers],0)))="INS",'Writing Logic'!$B$7,IF(INDEX(_xlfn.VSTACK(YES_Writing_ELA[#Data],YES_Writing_FLA[#Data]),MATCH($A537,_xlfn.VSTACK(YES_Writing_ELA[Student Number],YES_Writing_FLA[Student Number]),0),MATCH(VLOOKUP(H$7,'Writing Logic'!$J$7:$K$11,2,FALSE)&amp;" - Per "&amp;VLOOKUP($C$4,'Writing Logic'!$G$8:$H$14,2,FALSE),YES_Writing_ELA[#Headers],0))=0,"",INDEX(_xlfn.VSTACK(YES_Writing_ELA[#Data],YES_Writing_FLA[#Data]),MATCH($A537,_xlfn.VSTACK(YES_Writing_ELA[Student Number],YES_Writing_FLA[Student Number]),0),MATCH(VLOOKUP(H$7,'Writing Logic'!$J$7:$K$11,2,FALSE)&amp;" - Per "&amp;VLOOKUP($C$4,'Writing Logic'!$G$8:$H$14,2,FALSE),YES_Writing_ELA[#Headers],0)))),"")</f>
        <v/>
      </c>
    </row>
    <row r="538" spans="1:8" x14ac:dyDescent="0.25">
      <c r="A538" s="137"/>
      <c r="B538" s="137" t="str">
        <f>IFERROR(INDEX(_xlfn.VSTACK(YES_Writing_ELA[#Data], YES_Writing_FLA[#Data]),MATCH($A538,_xlfn.VSTACK(YES_Writing_ELA[Student Number], YES_Writing_FLA[Student Number]),0),MATCH(B$7,YES_Writing_ELA[#Headers],0)),"")</f>
        <v/>
      </c>
      <c r="C538" s="137" t="str">
        <f>IFERROR(INDEX(_xlfn.VSTACK(YES_Writing_ELA[#Data], YES_Writing_FLA[#Data]),MATCH($A538,_xlfn.VSTACK(YES_Writing_ELA[Student Number], YES_Writing_FLA[Student Number]),0),MATCH(C$7,YES_Writing_ELA[#Headers],0)),"")</f>
        <v/>
      </c>
      <c r="D538" s="138" t="str">
        <f>IFERROR(IF(IF(INDEX(_xlfn.VSTACK(YES_Writing_ELA[#Data],YES_Writing_FLA[#Data]),MATCH($A538,_xlfn.VSTACK(YES_Writing_ELA[Student Number],YES_Writing_FLA[Student Number]),0),MATCH(VLOOKUP(D$7,'Writing Logic'!$J$7:$K$11,2,FALSE)&amp;" - Per "&amp;VLOOKUP($C$4,'Writing Logic'!$G$8:$H$14,2,FALSE),YES_Writing_ELA[#Headers],0))=0,"",INDEX(_xlfn.VSTACK(YES_Writing_ELA[#Data],YES_Writing_FLA[#Data]),MATCH($A538,_xlfn.VSTACK(YES_Writing_ELA[Student Number],YES_Writing_FLA[Student Number]),0),MATCH(VLOOKUP(D$7,'Writing Logic'!$J$7:$K$11,2,FALSE)&amp;" - Per "&amp;VLOOKUP($C$4,'Writing Logic'!$G$8:$H$14,2,FALSE),YES_Writing_ELA[#Headers],0)))="INS",'Writing Logic'!$B$7,IF(INDEX(_xlfn.VSTACK(YES_Writing_ELA[#Data],YES_Writing_FLA[#Data]),MATCH($A538,_xlfn.VSTACK(YES_Writing_ELA[Student Number],YES_Writing_FLA[Student Number]),0),MATCH(VLOOKUP(D$7,'Writing Logic'!$J$7:$K$11,2,FALSE)&amp;" - Per "&amp;VLOOKUP($C$4,'Writing Logic'!$G$8:$H$14,2,FALSE),YES_Writing_ELA[#Headers],0))=0,"",INDEX(_xlfn.VSTACK(YES_Writing_ELA[#Data],YES_Writing_FLA[#Data]),MATCH($A538,_xlfn.VSTACK(YES_Writing_ELA[Student Number],YES_Writing_FLA[Student Number]),0),MATCH(VLOOKUP(D$7,'Writing Logic'!$J$7:$K$11,2,FALSE)&amp;" - Per "&amp;VLOOKUP($C$4,'Writing Logic'!$G$8:$H$14,2,FALSE),YES_Writing_ELA[#Headers],0)))),"")</f>
        <v/>
      </c>
      <c r="E538" s="138" t="str">
        <f>IFERROR(IF(IF(INDEX(_xlfn.VSTACK(YES_Writing_ELA[#Data],YES_Writing_FLA[#Data]),MATCH($A538,_xlfn.VSTACK(YES_Writing_ELA[Student Number],YES_Writing_FLA[Student Number]),0),MATCH(VLOOKUP(E$7,'Writing Logic'!$J$7:$K$11,2,FALSE)&amp;" - Per "&amp;VLOOKUP($C$4,'Writing Logic'!$G$8:$H$14,2,FALSE),YES_Writing_ELA[#Headers],0))=0,"",INDEX(_xlfn.VSTACK(YES_Writing_ELA[#Data],YES_Writing_FLA[#Data]),MATCH($A538,_xlfn.VSTACK(YES_Writing_ELA[Student Number],YES_Writing_FLA[Student Number]),0),MATCH(VLOOKUP(E$7,'Writing Logic'!$J$7:$K$11,2,FALSE)&amp;" - Per "&amp;VLOOKUP($C$4,'Writing Logic'!$G$8:$H$14,2,FALSE),YES_Writing_ELA[#Headers],0)))="INS",'Writing Logic'!$B$7,IF(INDEX(_xlfn.VSTACK(YES_Writing_ELA[#Data],YES_Writing_FLA[#Data]),MATCH($A538,_xlfn.VSTACK(YES_Writing_ELA[Student Number],YES_Writing_FLA[Student Number]),0),MATCH(VLOOKUP(E$7,'Writing Logic'!$J$7:$K$11,2,FALSE)&amp;" - Per "&amp;VLOOKUP($C$4,'Writing Logic'!$G$8:$H$14,2,FALSE),YES_Writing_ELA[#Headers],0))=0,"",INDEX(_xlfn.VSTACK(YES_Writing_ELA[#Data],YES_Writing_FLA[#Data]),MATCH($A538,_xlfn.VSTACK(YES_Writing_ELA[Student Number],YES_Writing_FLA[Student Number]),0),MATCH(VLOOKUP(E$7,'Writing Logic'!$J$7:$K$11,2,FALSE)&amp;" - Per "&amp;VLOOKUP($C$4,'Writing Logic'!$G$8:$H$14,2,FALSE),YES_Writing_ELA[#Headers],0)))),"")</f>
        <v/>
      </c>
      <c r="F538" s="138" t="str">
        <f>IFERROR(IF(IF(INDEX(_xlfn.VSTACK(YES_Writing_ELA[#Data],YES_Writing_FLA[#Data]),MATCH($A538,_xlfn.VSTACK(YES_Writing_ELA[Student Number],YES_Writing_FLA[Student Number]),0),MATCH(VLOOKUP(F$7,'Writing Logic'!$J$7:$K$11,2,FALSE)&amp;" - Per "&amp;VLOOKUP($C$4,'Writing Logic'!$G$8:$H$14,2,FALSE),YES_Writing_ELA[#Headers],0))=0,"",INDEX(_xlfn.VSTACK(YES_Writing_ELA[#Data],YES_Writing_FLA[#Data]),MATCH($A538,_xlfn.VSTACK(YES_Writing_ELA[Student Number],YES_Writing_FLA[Student Number]),0),MATCH(VLOOKUP(F$7,'Writing Logic'!$J$7:$K$11,2,FALSE)&amp;" - Per "&amp;VLOOKUP($C$4,'Writing Logic'!$G$8:$H$14,2,FALSE),YES_Writing_ELA[#Headers],0)))="INS",'Writing Logic'!$B$7,IF(INDEX(_xlfn.VSTACK(YES_Writing_ELA[#Data],YES_Writing_FLA[#Data]),MATCH($A538,_xlfn.VSTACK(YES_Writing_ELA[Student Number],YES_Writing_FLA[Student Number]),0),MATCH(VLOOKUP(F$7,'Writing Logic'!$J$7:$K$11,2,FALSE)&amp;" - Per "&amp;VLOOKUP($C$4,'Writing Logic'!$G$8:$H$14,2,FALSE),YES_Writing_ELA[#Headers],0))=0,"",INDEX(_xlfn.VSTACK(YES_Writing_ELA[#Data],YES_Writing_FLA[#Data]),MATCH($A538,_xlfn.VSTACK(YES_Writing_ELA[Student Number],YES_Writing_FLA[Student Number]),0),MATCH(VLOOKUP(F$7,'Writing Logic'!$J$7:$K$11,2,FALSE)&amp;" - Per "&amp;VLOOKUP($C$4,'Writing Logic'!$G$8:$H$14,2,FALSE),YES_Writing_ELA[#Headers],0)))),"")</f>
        <v/>
      </c>
      <c r="G538" s="138" t="str">
        <f>IFERROR(IF(IF(INDEX(_xlfn.VSTACK(YES_Writing_ELA[#Data],YES_Writing_FLA[#Data]),MATCH($A538,_xlfn.VSTACK(YES_Writing_ELA[Student Number],YES_Writing_FLA[Student Number]),0),MATCH(VLOOKUP(G$7,'Writing Logic'!$J$7:$K$11,2,FALSE)&amp;" - Per "&amp;VLOOKUP($C$4,'Writing Logic'!$G$8:$H$14,2,FALSE),YES_Writing_ELA[#Headers],0))=0,"",INDEX(_xlfn.VSTACK(YES_Writing_ELA[#Data],YES_Writing_FLA[#Data]),MATCH($A538,_xlfn.VSTACK(YES_Writing_ELA[Student Number],YES_Writing_FLA[Student Number]),0),MATCH(VLOOKUP(G$7,'Writing Logic'!$J$7:$K$11,2,FALSE)&amp;" - Per "&amp;VLOOKUP($C$4,'Writing Logic'!$G$8:$H$14,2,FALSE),YES_Writing_ELA[#Headers],0)))="INS",'Writing Logic'!$B$7,IF(INDEX(_xlfn.VSTACK(YES_Writing_ELA[#Data],YES_Writing_FLA[#Data]),MATCH($A538,_xlfn.VSTACK(YES_Writing_ELA[Student Number],YES_Writing_FLA[Student Number]),0),MATCH(VLOOKUP(G$7,'Writing Logic'!$J$7:$K$11,2,FALSE)&amp;" - Per "&amp;VLOOKUP($C$4,'Writing Logic'!$G$8:$H$14,2,FALSE),YES_Writing_ELA[#Headers],0))=0,"",INDEX(_xlfn.VSTACK(YES_Writing_ELA[#Data],YES_Writing_FLA[#Data]),MATCH($A538,_xlfn.VSTACK(YES_Writing_ELA[Student Number],YES_Writing_FLA[Student Number]),0),MATCH(VLOOKUP(G$7,'Writing Logic'!$J$7:$K$11,2,FALSE)&amp;" - Per "&amp;VLOOKUP($C$4,'Writing Logic'!$G$8:$H$14,2,FALSE),YES_Writing_ELA[#Headers],0)))),"")</f>
        <v/>
      </c>
      <c r="H538" s="138" t="str">
        <f>IFERROR(IF(IF(INDEX(_xlfn.VSTACK(YES_Writing_ELA[#Data],YES_Writing_FLA[#Data]),MATCH($A538,_xlfn.VSTACK(YES_Writing_ELA[Student Number],YES_Writing_FLA[Student Number]),0),MATCH(VLOOKUP(H$7,'Writing Logic'!$J$7:$K$11,2,FALSE)&amp;" - Per "&amp;VLOOKUP($C$4,'Writing Logic'!$G$8:$H$14,2,FALSE),YES_Writing_ELA[#Headers],0))=0,"",INDEX(_xlfn.VSTACK(YES_Writing_ELA[#Data],YES_Writing_FLA[#Data]),MATCH($A538,_xlfn.VSTACK(YES_Writing_ELA[Student Number],YES_Writing_FLA[Student Number]),0),MATCH(VLOOKUP(H$7,'Writing Logic'!$J$7:$K$11,2,FALSE)&amp;" - Per "&amp;VLOOKUP($C$4,'Writing Logic'!$G$8:$H$14,2,FALSE),YES_Writing_ELA[#Headers],0)))="INS",'Writing Logic'!$B$7,IF(INDEX(_xlfn.VSTACK(YES_Writing_ELA[#Data],YES_Writing_FLA[#Data]),MATCH($A538,_xlfn.VSTACK(YES_Writing_ELA[Student Number],YES_Writing_FLA[Student Number]),0),MATCH(VLOOKUP(H$7,'Writing Logic'!$J$7:$K$11,2,FALSE)&amp;" - Per "&amp;VLOOKUP($C$4,'Writing Logic'!$G$8:$H$14,2,FALSE),YES_Writing_ELA[#Headers],0))=0,"",INDEX(_xlfn.VSTACK(YES_Writing_ELA[#Data],YES_Writing_FLA[#Data]),MATCH($A538,_xlfn.VSTACK(YES_Writing_ELA[Student Number],YES_Writing_FLA[Student Number]),0),MATCH(VLOOKUP(H$7,'Writing Logic'!$J$7:$K$11,2,FALSE)&amp;" - Per "&amp;VLOOKUP($C$4,'Writing Logic'!$G$8:$H$14,2,FALSE),YES_Writing_ELA[#Headers],0)))),"")</f>
        <v/>
      </c>
    </row>
    <row r="539" spans="1:8" x14ac:dyDescent="0.25">
      <c r="A539" s="137"/>
      <c r="B539" s="137" t="str">
        <f>IFERROR(INDEX(_xlfn.VSTACK(YES_Writing_ELA[#Data], YES_Writing_FLA[#Data]),MATCH($A539,_xlfn.VSTACK(YES_Writing_ELA[Student Number], YES_Writing_FLA[Student Number]),0),MATCH(B$7,YES_Writing_ELA[#Headers],0)),"")</f>
        <v/>
      </c>
      <c r="C539" s="137" t="str">
        <f>IFERROR(INDEX(_xlfn.VSTACK(YES_Writing_ELA[#Data], YES_Writing_FLA[#Data]),MATCH($A539,_xlfn.VSTACK(YES_Writing_ELA[Student Number], YES_Writing_FLA[Student Number]),0),MATCH(C$7,YES_Writing_ELA[#Headers],0)),"")</f>
        <v/>
      </c>
      <c r="D539" s="138" t="str">
        <f>IFERROR(IF(IF(INDEX(_xlfn.VSTACK(YES_Writing_ELA[#Data],YES_Writing_FLA[#Data]),MATCH($A539,_xlfn.VSTACK(YES_Writing_ELA[Student Number],YES_Writing_FLA[Student Number]),0),MATCH(VLOOKUP(D$7,'Writing Logic'!$J$7:$K$11,2,FALSE)&amp;" - Per "&amp;VLOOKUP($C$4,'Writing Logic'!$G$8:$H$14,2,FALSE),YES_Writing_ELA[#Headers],0))=0,"",INDEX(_xlfn.VSTACK(YES_Writing_ELA[#Data],YES_Writing_FLA[#Data]),MATCH($A539,_xlfn.VSTACK(YES_Writing_ELA[Student Number],YES_Writing_FLA[Student Number]),0),MATCH(VLOOKUP(D$7,'Writing Logic'!$J$7:$K$11,2,FALSE)&amp;" - Per "&amp;VLOOKUP($C$4,'Writing Logic'!$G$8:$H$14,2,FALSE),YES_Writing_ELA[#Headers],0)))="INS",'Writing Logic'!$B$7,IF(INDEX(_xlfn.VSTACK(YES_Writing_ELA[#Data],YES_Writing_FLA[#Data]),MATCH($A539,_xlfn.VSTACK(YES_Writing_ELA[Student Number],YES_Writing_FLA[Student Number]),0),MATCH(VLOOKUP(D$7,'Writing Logic'!$J$7:$K$11,2,FALSE)&amp;" - Per "&amp;VLOOKUP($C$4,'Writing Logic'!$G$8:$H$14,2,FALSE),YES_Writing_ELA[#Headers],0))=0,"",INDEX(_xlfn.VSTACK(YES_Writing_ELA[#Data],YES_Writing_FLA[#Data]),MATCH($A539,_xlfn.VSTACK(YES_Writing_ELA[Student Number],YES_Writing_FLA[Student Number]),0),MATCH(VLOOKUP(D$7,'Writing Logic'!$J$7:$K$11,2,FALSE)&amp;" - Per "&amp;VLOOKUP($C$4,'Writing Logic'!$G$8:$H$14,2,FALSE),YES_Writing_ELA[#Headers],0)))),"")</f>
        <v/>
      </c>
      <c r="E539" s="138" t="str">
        <f>IFERROR(IF(IF(INDEX(_xlfn.VSTACK(YES_Writing_ELA[#Data],YES_Writing_FLA[#Data]),MATCH($A539,_xlfn.VSTACK(YES_Writing_ELA[Student Number],YES_Writing_FLA[Student Number]),0),MATCH(VLOOKUP(E$7,'Writing Logic'!$J$7:$K$11,2,FALSE)&amp;" - Per "&amp;VLOOKUP($C$4,'Writing Logic'!$G$8:$H$14,2,FALSE),YES_Writing_ELA[#Headers],0))=0,"",INDEX(_xlfn.VSTACK(YES_Writing_ELA[#Data],YES_Writing_FLA[#Data]),MATCH($A539,_xlfn.VSTACK(YES_Writing_ELA[Student Number],YES_Writing_FLA[Student Number]),0),MATCH(VLOOKUP(E$7,'Writing Logic'!$J$7:$K$11,2,FALSE)&amp;" - Per "&amp;VLOOKUP($C$4,'Writing Logic'!$G$8:$H$14,2,FALSE),YES_Writing_ELA[#Headers],0)))="INS",'Writing Logic'!$B$7,IF(INDEX(_xlfn.VSTACK(YES_Writing_ELA[#Data],YES_Writing_FLA[#Data]),MATCH($A539,_xlfn.VSTACK(YES_Writing_ELA[Student Number],YES_Writing_FLA[Student Number]),0),MATCH(VLOOKUP(E$7,'Writing Logic'!$J$7:$K$11,2,FALSE)&amp;" - Per "&amp;VLOOKUP($C$4,'Writing Logic'!$G$8:$H$14,2,FALSE),YES_Writing_ELA[#Headers],0))=0,"",INDEX(_xlfn.VSTACK(YES_Writing_ELA[#Data],YES_Writing_FLA[#Data]),MATCH($A539,_xlfn.VSTACK(YES_Writing_ELA[Student Number],YES_Writing_FLA[Student Number]),0),MATCH(VLOOKUP(E$7,'Writing Logic'!$J$7:$K$11,2,FALSE)&amp;" - Per "&amp;VLOOKUP($C$4,'Writing Logic'!$G$8:$H$14,2,FALSE),YES_Writing_ELA[#Headers],0)))),"")</f>
        <v/>
      </c>
      <c r="F539" s="138" t="str">
        <f>IFERROR(IF(IF(INDEX(_xlfn.VSTACK(YES_Writing_ELA[#Data],YES_Writing_FLA[#Data]),MATCH($A539,_xlfn.VSTACK(YES_Writing_ELA[Student Number],YES_Writing_FLA[Student Number]),0),MATCH(VLOOKUP(F$7,'Writing Logic'!$J$7:$K$11,2,FALSE)&amp;" - Per "&amp;VLOOKUP($C$4,'Writing Logic'!$G$8:$H$14,2,FALSE),YES_Writing_ELA[#Headers],0))=0,"",INDEX(_xlfn.VSTACK(YES_Writing_ELA[#Data],YES_Writing_FLA[#Data]),MATCH($A539,_xlfn.VSTACK(YES_Writing_ELA[Student Number],YES_Writing_FLA[Student Number]),0),MATCH(VLOOKUP(F$7,'Writing Logic'!$J$7:$K$11,2,FALSE)&amp;" - Per "&amp;VLOOKUP($C$4,'Writing Logic'!$G$8:$H$14,2,FALSE),YES_Writing_ELA[#Headers],0)))="INS",'Writing Logic'!$B$7,IF(INDEX(_xlfn.VSTACK(YES_Writing_ELA[#Data],YES_Writing_FLA[#Data]),MATCH($A539,_xlfn.VSTACK(YES_Writing_ELA[Student Number],YES_Writing_FLA[Student Number]),0),MATCH(VLOOKUP(F$7,'Writing Logic'!$J$7:$K$11,2,FALSE)&amp;" - Per "&amp;VLOOKUP($C$4,'Writing Logic'!$G$8:$H$14,2,FALSE),YES_Writing_ELA[#Headers],0))=0,"",INDEX(_xlfn.VSTACK(YES_Writing_ELA[#Data],YES_Writing_FLA[#Data]),MATCH($A539,_xlfn.VSTACK(YES_Writing_ELA[Student Number],YES_Writing_FLA[Student Number]),0),MATCH(VLOOKUP(F$7,'Writing Logic'!$J$7:$K$11,2,FALSE)&amp;" - Per "&amp;VLOOKUP($C$4,'Writing Logic'!$G$8:$H$14,2,FALSE),YES_Writing_ELA[#Headers],0)))),"")</f>
        <v/>
      </c>
      <c r="G539" s="138" t="str">
        <f>IFERROR(IF(IF(INDEX(_xlfn.VSTACK(YES_Writing_ELA[#Data],YES_Writing_FLA[#Data]),MATCH($A539,_xlfn.VSTACK(YES_Writing_ELA[Student Number],YES_Writing_FLA[Student Number]),0),MATCH(VLOOKUP(G$7,'Writing Logic'!$J$7:$K$11,2,FALSE)&amp;" - Per "&amp;VLOOKUP($C$4,'Writing Logic'!$G$8:$H$14,2,FALSE),YES_Writing_ELA[#Headers],0))=0,"",INDEX(_xlfn.VSTACK(YES_Writing_ELA[#Data],YES_Writing_FLA[#Data]),MATCH($A539,_xlfn.VSTACK(YES_Writing_ELA[Student Number],YES_Writing_FLA[Student Number]),0),MATCH(VLOOKUP(G$7,'Writing Logic'!$J$7:$K$11,2,FALSE)&amp;" - Per "&amp;VLOOKUP($C$4,'Writing Logic'!$G$8:$H$14,2,FALSE),YES_Writing_ELA[#Headers],0)))="INS",'Writing Logic'!$B$7,IF(INDEX(_xlfn.VSTACK(YES_Writing_ELA[#Data],YES_Writing_FLA[#Data]),MATCH($A539,_xlfn.VSTACK(YES_Writing_ELA[Student Number],YES_Writing_FLA[Student Number]),0),MATCH(VLOOKUP(G$7,'Writing Logic'!$J$7:$K$11,2,FALSE)&amp;" - Per "&amp;VLOOKUP($C$4,'Writing Logic'!$G$8:$H$14,2,FALSE),YES_Writing_ELA[#Headers],0))=0,"",INDEX(_xlfn.VSTACK(YES_Writing_ELA[#Data],YES_Writing_FLA[#Data]),MATCH($A539,_xlfn.VSTACK(YES_Writing_ELA[Student Number],YES_Writing_FLA[Student Number]),0),MATCH(VLOOKUP(G$7,'Writing Logic'!$J$7:$K$11,2,FALSE)&amp;" - Per "&amp;VLOOKUP($C$4,'Writing Logic'!$G$8:$H$14,2,FALSE),YES_Writing_ELA[#Headers],0)))),"")</f>
        <v/>
      </c>
      <c r="H539" s="138" t="str">
        <f>IFERROR(IF(IF(INDEX(_xlfn.VSTACK(YES_Writing_ELA[#Data],YES_Writing_FLA[#Data]),MATCH($A539,_xlfn.VSTACK(YES_Writing_ELA[Student Number],YES_Writing_FLA[Student Number]),0),MATCH(VLOOKUP(H$7,'Writing Logic'!$J$7:$K$11,2,FALSE)&amp;" - Per "&amp;VLOOKUP($C$4,'Writing Logic'!$G$8:$H$14,2,FALSE),YES_Writing_ELA[#Headers],0))=0,"",INDEX(_xlfn.VSTACK(YES_Writing_ELA[#Data],YES_Writing_FLA[#Data]),MATCH($A539,_xlfn.VSTACK(YES_Writing_ELA[Student Number],YES_Writing_FLA[Student Number]),0),MATCH(VLOOKUP(H$7,'Writing Logic'!$J$7:$K$11,2,FALSE)&amp;" - Per "&amp;VLOOKUP($C$4,'Writing Logic'!$G$8:$H$14,2,FALSE),YES_Writing_ELA[#Headers],0)))="INS",'Writing Logic'!$B$7,IF(INDEX(_xlfn.VSTACK(YES_Writing_ELA[#Data],YES_Writing_FLA[#Data]),MATCH($A539,_xlfn.VSTACK(YES_Writing_ELA[Student Number],YES_Writing_FLA[Student Number]),0),MATCH(VLOOKUP(H$7,'Writing Logic'!$J$7:$K$11,2,FALSE)&amp;" - Per "&amp;VLOOKUP($C$4,'Writing Logic'!$G$8:$H$14,2,FALSE),YES_Writing_ELA[#Headers],0))=0,"",INDEX(_xlfn.VSTACK(YES_Writing_ELA[#Data],YES_Writing_FLA[#Data]),MATCH($A539,_xlfn.VSTACK(YES_Writing_ELA[Student Number],YES_Writing_FLA[Student Number]),0),MATCH(VLOOKUP(H$7,'Writing Logic'!$J$7:$K$11,2,FALSE)&amp;" - Per "&amp;VLOOKUP($C$4,'Writing Logic'!$G$8:$H$14,2,FALSE),YES_Writing_ELA[#Headers],0)))),"")</f>
        <v/>
      </c>
    </row>
    <row r="540" spans="1:8" x14ac:dyDescent="0.25">
      <c r="A540" s="137"/>
      <c r="B540" s="137" t="str">
        <f>IFERROR(INDEX(_xlfn.VSTACK(YES_Writing_ELA[#Data], YES_Writing_FLA[#Data]),MATCH($A540,_xlfn.VSTACK(YES_Writing_ELA[Student Number], YES_Writing_FLA[Student Number]),0),MATCH(B$7,YES_Writing_ELA[#Headers],0)),"")</f>
        <v/>
      </c>
      <c r="C540" s="137" t="str">
        <f>IFERROR(INDEX(_xlfn.VSTACK(YES_Writing_ELA[#Data], YES_Writing_FLA[#Data]),MATCH($A540,_xlfn.VSTACK(YES_Writing_ELA[Student Number], YES_Writing_FLA[Student Number]),0),MATCH(C$7,YES_Writing_ELA[#Headers],0)),"")</f>
        <v/>
      </c>
      <c r="D540" s="138" t="str">
        <f>IFERROR(IF(IF(INDEX(_xlfn.VSTACK(YES_Writing_ELA[#Data],YES_Writing_FLA[#Data]),MATCH($A540,_xlfn.VSTACK(YES_Writing_ELA[Student Number],YES_Writing_FLA[Student Number]),0),MATCH(VLOOKUP(D$7,'Writing Logic'!$J$7:$K$11,2,FALSE)&amp;" - Per "&amp;VLOOKUP($C$4,'Writing Logic'!$G$8:$H$14,2,FALSE),YES_Writing_ELA[#Headers],0))=0,"",INDEX(_xlfn.VSTACK(YES_Writing_ELA[#Data],YES_Writing_FLA[#Data]),MATCH($A540,_xlfn.VSTACK(YES_Writing_ELA[Student Number],YES_Writing_FLA[Student Number]),0),MATCH(VLOOKUP(D$7,'Writing Logic'!$J$7:$K$11,2,FALSE)&amp;" - Per "&amp;VLOOKUP($C$4,'Writing Logic'!$G$8:$H$14,2,FALSE),YES_Writing_ELA[#Headers],0)))="INS",'Writing Logic'!$B$7,IF(INDEX(_xlfn.VSTACK(YES_Writing_ELA[#Data],YES_Writing_FLA[#Data]),MATCH($A540,_xlfn.VSTACK(YES_Writing_ELA[Student Number],YES_Writing_FLA[Student Number]),0),MATCH(VLOOKUP(D$7,'Writing Logic'!$J$7:$K$11,2,FALSE)&amp;" - Per "&amp;VLOOKUP($C$4,'Writing Logic'!$G$8:$H$14,2,FALSE),YES_Writing_ELA[#Headers],0))=0,"",INDEX(_xlfn.VSTACK(YES_Writing_ELA[#Data],YES_Writing_FLA[#Data]),MATCH($A540,_xlfn.VSTACK(YES_Writing_ELA[Student Number],YES_Writing_FLA[Student Number]),0),MATCH(VLOOKUP(D$7,'Writing Logic'!$J$7:$K$11,2,FALSE)&amp;" - Per "&amp;VLOOKUP($C$4,'Writing Logic'!$G$8:$H$14,2,FALSE),YES_Writing_ELA[#Headers],0)))),"")</f>
        <v/>
      </c>
      <c r="E540" s="138" t="str">
        <f>IFERROR(IF(IF(INDEX(_xlfn.VSTACK(YES_Writing_ELA[#Data],YES_Writing_FLA[#Data]),MATCH($A540,_xlfn.VSTACK(YES_Writing_ELA[Student Number],YES_Writing_FLA[Student Number]),0),MATCH(VLOOKUP(E$7,'Writing Logic'!$J$7:$K$11,2,FALSE)&amp;" - Per "&amp;VLOOKUP($C$4,'Writing Logic'!$G$8:$H$14,2,FALSE),YES_Writing_ELA[#Headers],0))=0,"",INDEX(_xlfn.VSTACK(YES_Writing_ELA[#Data],YES_Writing_FLA[#Data]),MATCH($A540,_xlfn.VSTACK(YES_Writing_ELA[Student Number],YES_Writing_FLA[Student Number]),0),MATCH(VLOOKUP(E$7,'Writing Logic'!$J$7:$K$11,2,FALSE)&amp;" - Per "&amp;VLOOKUP($C$4,'Writing Logic'!$G$8:$H$14,2,FALSE),YES_Writing_ELA[#Headers],0)))="INS",'Writing Logic'!$B$7,IF(INDEX(_xlfn.VSTACK(YES_Writing_ELA[#Data],YES_Writing_FLA[#Data]),MATCH($A540,_xlfn.VSTACK(YES_Writing_ELA[Student Number],YES_Writing_FLA[Student Number]),0),MATCH(VLOOKUP(E$7,'Writing Logic'!$J$7:$K$11,2,FALSE)&amp;" - Per "&amp;VLOOKUP($C$4,'Writing Logic'!$G$8:$H$14,2,FALSE),YES_Writing_ELA[#Headers],0))=0,"",INDEX(_xlfn.VSTACK(YES_Writing_ELA[#Data],YES_Writing_FLA[#Data]),MATCH($A540,_xlfn.VSTACK(YES_Writing_ELA[Student Number],YES_Writing_FLA[Student Number]),0),MATCH(VLOOKUP(E$7,'Writing Logic'!$J$7:$K$11,2,FALSE)&amp;" - Per "&amp;VLOOKUP($C$4,'Writing Logic'!$G$8:$H$14,2,FALSE),YES_Writing_ELA[#Headers],0)))),"")</f>
        <v/>
      </c>
      <c r="F540" s="138" t="str">
        <f>IFERROR(IF(IF(INDEX(_xlfn.VSTACK(YES_Writing_ELA[#Data],YES_Writing_FLA[#Data]),MATCH($A540,_xlfn.VSTACK(YES_Writing_ELA[Student Number],YES_Writing_FLA[Student Number]),0),MATCH(VLOOKUP(F$7,'Writing Logic'!$J$7:$K$11,2,FALSE)&amp;" - Per "&amp;VLOOKUP($C$4,'Writing Logic'!$G$8:$H$14,2,FALSE),YES_Writing_ELA[#Headers],0))=0,"",INDEX(_xlfn.VSTACK(YES_Writing_ELA[#Data],YES_Writing_FLA[#Data]),MATCH($A540,_xlfn.VSTACK(YES_Writing_ELA[Student Number],YES_Writing_FLA[Student Number]),0),MATCH(VLOOKUP(F$7,'Writing Logic'!$J$7:$K$11,2,FALSE)&amp;" - Per "&amp;VLOOKUP($C$4,'Writing Logic'!$G$8:$H$14,2,FALSE),YES_Writing_ELA[#Headers],0)))="INS",'Writing Logic'!$B$7,IF(INDEX(_xlfn.VSTACK(YES_Writing_ELA[#Data],YES_Writing_FLA[#Data]),MATCH($A540,_xlfn.VSTACK(YES_Writing_ELA[Student Number],YES_Writing_FLA[Student Number]),0),MATCH(VLOOKUP(F$7,'Writing Logic'!$J$7:$K$11,2,FALSE)&amp;" - Per "&amp;VLOOKUP($C$4,'Writing Logic'!$G$8:$H$14,2,FALSE),YES_Writing_ELA[#Headers],0))=0,"",INDEX(_xlfn.VSTACK(YES_Writing_ELA[#Data],YES_Writing_FLA[#Data]),MATCH($A540,_xlfn.VSTACK(YES_Writing_ELA[Student Number],YES_Writing_FLA[Student Number]),0),MATCH(VLOOKUP(F$7,'Writing Logic'!$J$7:$K$11,2,FALSE)&amp;" - Per "&amp;VLOOKUP($C$4,'Writing Logic'!$G$8:$H$14,2,FALSE),YES_Writing_ELA[#Headers],0)))),"")</f>
        <v/>
      </c>
      <c r="G540" s="138" t="str">
        <f>IFERROR(IF(IF(INDEX(_xlfn.VSTACK(YES_Writing_ELA[#Data],YES_Writing_FLA[#Data]),MATCH($A540,_xlfn.VSTACK(YES_Writing_ELA[Student Number],YES_Writing_FLA[Student Number]),0),MATCH(VLOOKUP(G$7,'Writing Logic'!$J$7:$K$11,2,FALSE)&amp;" - Per "&amp;VLOOKUP($C$4,'Writing Logic'!$G$8:$H$14,2,FALSE),YES_Writing_ELA[#Headers],0))=0,"",INDEX(_xlfn.VSTACK(YES_Writing_ELA[#Data],YES_Writing_FLA[#Data]),MATCH($A540,_xlfn.VSTACK(YES_Writing_ELA[Student Number],YES_Writing_FLA[Student Number]),0),MATCH(VLOOKUP(G$7,'Writing Logic'!$J$7:$K$11,2,FALSE)&amp;" - Per "&amp;VLOOKUP($C$4,'Writing Logic'!$G$8:$H$14,2,FALSE),YES_Writing_ELA[#Headers],0)))="INS",'Writing Logic'!$B$7,IF(INDEX(_xlfn.VSTACK(YES_Writing_ELA[#Data],YES_Writing_FLA[#Data]),MATCH($A540,_xlfn.VSTACK(YES_Writing_ELA[Student Number],YES_Writing_FLA[Student Number]),0),MATCH(VLOOKUP(G$7,'Writing Logic'!$J$7:$K$11,2,FALSE)&amp;" - Per "&amp;VLOOKUP($C$4,'Writing Logic'!$G$8:$H$14,2,FALSE),YES_Writing_ELA[#Headers],0))=0,"",INDEX(_xlfn.VSTACK(YES_Writing_ELA[#Data],YES_Writing_FLA[#Data]),MATCH($A540,_xlfn.VSTACK(YES_Writing_ELA[Student Number],YES_Writing_FLA[Student Number]),0),MATCH(VLOOKUP(G$7,'Writing Logic'!$J$7:$K$11,2,FALSE)&amp;" - Per "&amp;VLOOKUP($C$4,'Writing Logic'!$G$8:$H$14,2,FALSE),YES_Writing_ELA[#Headers],0)))),"")</f>
        <v/>
      </c>
      <c r="H540" s="138" t="str">
        <f>IFERROR(IF(IF(INDEX(_xlfn.VSTACK(YES_Writing_ELA[#Data],YES_Writing_FLA[#Data]),MATCH($A540,_xlfn.VSTACK(YES_Writing_ELA[Student Number],YES_Writing_FLA[Student Number]),0),MATCH(VLOOKUP(H$7,'Writing Logic'!$J$7:$K$11,2,FALSE)&amp;" - Per "&amp;VLOOKUP($C$4,'Writing Logic'!$G$8:$H$14,2,FALSE),YES_Writing_ELA[#Headers],0))=0,"",INDEX(_xlfn.VSTACK(YES_Writing_ELA[#Data],YES_Writing_FLA[#Data]),MATCH($A540,_xlfn.VSTACK(YES_Writing_ELA[Student Number],YES_Writing_FLA[Student Number]),0),MATCH(VLOOKUP(H$7,'Writing Logic'!$J$7:$K$11,2,FALSE)&amp;" - Per "&amp;VLOOKUP($C$4,'Writing Logic'!$G$8:$H$14,2,FALSE),YES_Writing_ELA[#Headers],0)))="INS",'Writing Logic'!$B$7,IF(INDEX(_xlfn.VSTACK(YES_Writing_ELA[#Data],YES_Writing_FLA[#Data]),MATCH($A540,_xlfn.VSTACK(YES_Writing_ELA[Student Number],YES_Writing_FLA[Student Number]),0),MATCH(VLOOKUP(H$7,'Writing Logic'!$J$7:$K$11,2,FALSE)&amp;" - Per "&amp;VLOOKUP($C$4,'Writing Logic'!$G$8:$H$14,2,FALSE),YES_Writing_ELA[#Headers],0))=0,"",INDEX(_xlfn.VSTACK(YES_Writing_ELA[#Data],YES_Writing_FLA[#Data]),MATCH($A540,_xlfn.VSTACK(YES_Writing_ELA[Student Number],YES_Writing_FLA[Student Number]),0),MATCH(VLOOKUP(H$7,'Writing Logic'!$J$7:$K$11,2,FALSE)&amp;" - Per "&amp;VLOOKUP($C$4,'Writing Logic'!$G$8:$H$14,2,FALSE),YES_Writing_ELA[#Headers],0)))),"")</f>
        <v/>
      </c>
    </row>
    <row r="541" spans="1:8" x14ac:dyDescent="0.25">
      <c r="A541" s="137"/>
      <c r="B541" s="137" t="str">
        <f>IFERROR(INDEX(_xlfn.VSTACK(YES_Writing_ELA[#Data], YES_Writing_FLA[#Data]),MATCH($A541,_xlfn.VSTACK(YES_Writing_ELA[Student Number], YES_Writing_FLA[Student Number]),0),MATCH(B$7,YES_Writing_ELA[#Headers],0)),"")</f>
        <v/>
      </c>
      <c r="C541" s="137" t="str">
        <f>IFERROR(INDEX(_xlfn.VSTACK(YES_Writing_ELA[#Data], YES_Writing_FLA[#Data]),MATCH($A541,_xlfn.VSTACK(YES_Writing_ELA[Student Number], YES_Writing_FLA[Student Number]),0),MATCH(C$7,YES_Writing_ELA[#Headers],0)),"")</f>
        <v/>
      </c>
      <c r="D541" s="138" t="str">
        <f>IFERROR(IF(IF(INDEX(_xlfn.VSTACK(YES_Writing_ELA[#Data],YES_Writing_FLA[#Data]),MATCH($A541,_xlfn.VSTACK(YES_Writing_ELA[Student Number],YES_Writing_FLA[Student Number]),0),MATCH(VLOOKUP(D$7,'Writing Logic'!$J$7:$K$11,2,FALSE)&amp;" - Per "&amp;VLOOKUP($C$4,'Writing Logic'!$G$8:$H$14,2,FALSE),YES_Writing_ELA[#Headers],0))=0,"",INDEX(_xlfn.VSTACK(YES_Writing_ELA[#Data],YES_Writing_FLA[#Data]),MATCH($A541,_xlfn.VSTACK(YES_Writing_ELA[Student Number],YES_Writing_FLA[Student Number]),0),MATCH(VLOOKUP(D$7,'Writing Logic'!$J$7:$K$11,2,FALSE)&amp;" - Per "&amp;VLOOKUP($C$4,'Writing Logic'!$G$8:$H$14,2,FALSE),YES_Writing_ELA[#Headers],0)))="INS",'Writing Logic'!$B$7,IF(INDEX(_xlfn.VSTACK(YES_Writing_ELA[#Data],YES_Writing_FLA[#Data]),MATCH($A541,_xlfn.VSTACK(YES_Writing_ELA[Student Number],YES_Writing_FLA[Student Number]),0),MATCH(VLOOKUP(D$7,'Writing Logic'!$J$7:$K$11,2,FALSE)&amp;" - Per "&amp;VLOOKUP($C$4,'Writing Logic'!$G$8:$H$14,2,FALSE),YES_Writing_ELA[#Headers],0))=0,"",INDEX(_xlfn.VSTACK(YES_Writing_ELA[#Data],YES_Writing_FLA[#Data]),MATCH($A541,_xlfn.VSTACK(YES_Writing_ELA[Student Number],YES_Writing_FLA[Student Number]),0),MATCH(VLOOKUP(D$7,'Writing Logic'!$J$7:$K$11,2,FALSE)&amp;" - Per "&amp;VLOOKUP($C$4,'Writing Logic'!$G$8:$H$14,2,FALSE),YES_Writing_ELA[#Headers],0)))),"")</f>
        <v/>
      </c>
      <c r="E541" s="138" t="str">
        <f>IFERROR(IF(IF(INDEX(_xlfn.VSTACK(YES_Writing_ELA[#Data],YES_Writing_FLA[#Data]),MATCH($A541,_xlfn.VSTACK(YES_Writing_ELA[Student Number],YES_Writing_FLA[Student Number]),0),MATCH(VLOOKUP(E$7,'Writing Logic'!$J$7:$K$11,2,FALSE)&amp;" - Per "&amp;VLOOKUP($C$4,'Writing Logic'!$G$8:$H$14,2,FALSE),YES_Writing_ELA[#Headers],0))=0,"",INDEX(_xlfn.VSTACK(YES_Writing_ELA[#Data],YES_Writing_FLA[#Data]),MATCH($A541,_xlfn.VSTACK(YES_Writing_ELA[Student Number],YES_Writing_FLA[Student Number]),0),MATCH(VLOOKUP(E$7,'Writing Logic'!$J$7:$K$11,2,FALSE)&amp;" - Per "&amp;VLOOKUP($C$4,'Writing Logic'!$G$8:$H$14,2,FALSE),YES_Writing_ELA[#Headers],0)))="INS",'Writing Logic'!$B$7,IF(INDEX(_xlfn.VSTACK(YES_Writing_ELA[#Data],YES_Writing_FLA[#Data]),MATCH($A541,_xlfn.VSTACK(YES_Writing_ELA[Student Number],YES_Writing_FLA[Student Number]),0),MATCH(VLOOKUP(E$7,'Writing Logic'!$J$7:$K$11,2,FALSE)&amp;" - Per "&amp;VLOOKUP($C$4,'Writing Logic'!$G$8:$H$14,2,FALSE),YES_Writing_ELA[#Headers],0))=0,"",INDEX(_xlfn.VSTACK(YES_Writing_ELA[#Data],YES_Writing_FLA[#Data]),MATCH($A541,_xlfn.VSTACK(YES_Writing_ELA[Student Number],YES_Writing_FLA[Student Number]),0),MATCH(VLOOKUP(E$7,'Writing Logic'!$J$7:$K$11,2,FALSE)&amp;" - Per "&amp;VLOOKUP($C$4,'Writing Logic'!$G$8:$H$14,2,FALSE),YES_Writing_ELA[#Headers],0)))),"")</f>
        <v/>
      </c>
      <c r="F541" s="138" t="str">
        <f>IFERROR(IF(IF(INDEX(_xlfn.VSTACK(YES_Writing_ELA[#Data],YES_Writing_FLA[#Data]),MATCH($A541,_xlfn.VSTACK(YES_Writing_ELA[Student Number],YES_Writing_FLA[Student Number]),0),MATCH(VLOOKUP(F$7,'Writing Logic'!$J$7:$K$11,2,FALSE)&amp;" - Per "&amp;VLOOKUP($C$4,'Writing Logic'!$G$8:$H$14,2,FALSE),YES_Writing_ELA[#Headers],0))=0,"",INDEX(_xlfn.VSTACK(YES_Writing_ELA[#Data],YES_Writing_FLA[#Data]),MATCH($A541,_xlfn.VSTACK(YES_Writing_ELA[Student Number],YES_Writing_FLA[Student Number]),0),MATCH(VLOOKUP(F$7,'Writing Logic'!$J$7:$K$11,2,FALSE)&amp;" - Per "&amp;VLOOKUP($C$4,'Writing Logic'!$G$8:$H$14,2,FALSE),YES_Writing_ELA[#Headers],0)))="INS",'Writing Logic'!$B$7,IF(INDEX(_xlfn.VSTACK(YES_Writing_ELA[#Data],YES_Writing_FLA[#Data]),MATCH($A541,_xlfn.VSTACK(YES_Writing_ELA[Student Number],YES_Writing_FLA[Student Number]),0),MATCH(VLOOKUP(F$7,'Writing Logic'!$J$7:$K$11,2,FALSE)&amp;" - Per "&amp;VLOOKUP($C$4,'Writing Logic'!$G$8:$H$14,2,FALSE),YES_Writing_ELA[#Headers],0))=0,"",INDEX(_xlfn.VSTACK(YES_Writing_ELA[#Data],YES_Writing_FLA[#Data]),MATCH($A541,_xlfn.VSTACK(YES_Writing_ELA[Student Number],YES_Writing_FLA[Student Number]),0),MATCH(VLOOKUP(F$7,'Writing Logic'!$J$7:$K$11,2,FALSE)&amp;" - Per "&amp;VLOOKUP($C$4,'Writing Logic'!$G$8:$H$14,2,FALSE),YES_Writing_ELA[#Headers],0)))),"")</f>
        <v/>
      </c>
      <c r="G541" s="138" t="str">
        <f>IFERROR(IF(IF(INDEX(_xlfn.VSTACK(YES_Writing_ELA[#Data],YES_Writing_FLA[#Data]),MATCH($A541,_xlfn.VSTACK(YES_Writing_ELA[Student Number],YES_Writing_FLA[Student Number]),0),MATCH(VLOOKUP(G$7,'Writing Logic'!$J$7:$K$11,2,FALSE)&amp;" - Per "&amp;VLOOKUP($C$4,'Writing Logic'!$G$8:$H$14,2,FALSE),YES_Writing_ELA[#Headers],0))=0,"",INDEX(_xlfn.VSTACK(YES_Writing_ELA[#Data],YES_Writing_FLA[#Data]),MATCH($A541,_xlfn.VSTACK(YES_Writing_ELA[Student Number],YES_Writing_FLA[Student Number]),0),MATCH(VLOOKUP(G$7,'Writing Logic'!$J$7:$K$11,2,FALSE)&amp;" - Per "&amp;VLOOKUP($C$4,'Writing Logic'!$G$8:$H$14,2,FALSE),YES_Writing_ELA[#Headers],0)))="INS",'Writing Logic'!$B$7,IF(INDEX(_xlfn.VSTACK(YES_Writing_ELA[#Data],YES_Writing_FLA[#Data]),MATCH($A541,_xlfn.VSTACK(YES_Writing_ELA[Student Number],YES_Writing_FLA[Student Number]),0),MATCH(VLOOKUP(G$7,'Writing Logic'!$J$7:$K$11,2,FALSE)&amp;" - Per "&amp;VLOOKUP($C$4,'Writing Logic'!$G$8:$H$14,2,FALSE),YES_Writing_ELA[#Headers],0))=0,"",INDEX(_xlfn.VSTACK(YES_Writing_ELA[#Data],YES_Writing_FLA[#Data]),MATCH($A541,_xlfn.VSTACK(YES_Writing_ELA[Student Number],YES_Writing_FLA[Student Number]),0),MATCH(VLOOKUP(G$7,'Writing Logic'!$J$7:$K$11,2,FALSE)&amp;" - Per "&amp;VLOOKUP($C$4,'Writing Logic'!$G$8:$H$14,2,FALSE),YES_Writing_ELA[#Headers],0)))),"")</f>
        <v/>
      </c>
      <c r="H541" s="138" t="str">
        <f>IFERROR(IF(IF(INDEX(_xlfn.VSTACK(YES_Writing_ELA[#Data],YES_Writing_FLA[#Data]),MATCH($A541,_xlfn.VSTACK(YES_Writing_ELA[Student Number],YES_Writing_FLA[Student Number]),0),MATCH(VLOOKUP(H$7,'Writing Logic'!$J$7:$K$11,2,FALSE)&amp;" - Per "&amp;VLOOKUP($C$4,'Writing Logic'!$G$8:$H$14,2,FALSE),YES_Writing_ELA[#Headers],0))=0,"",INDEX(_xlfn.VSTACK(YES_Writing_ELA[#Data],YES_Writing_FLA[#Data]),MATCH($A541,_xlfn.VSTACK(YES_Writing_ELA[Student Number],YES_Writing_FLA[Student Number]),0),MATCH(VLOOKUP(H$7,'Writing Logic'!$J$7:$K$11,2,FALSE)&amp;" - Per "&amp;VLOOKUP($C$4,'Writing Logic'!$G$8:$H$14,2,FALSE),YES_Writing_ELA[#Headers],0)))="INS",'Writing Logic'!$B$7,IF(INDEX(_xlfn.VSTACK(YES_Writing_ELA[#Data],YES_Writing_FLA[#Data]),MATCH($A541,_xlfn.VSTACK(YES_Writing_ELA[Student Number],YES_Writing_FLA[Student Number]),0),MATCH(VLOOKUP(H$7,'Writing Logic'!$J$7:$K$11,2,FALSE)&amp;" - Per "&amp;VLOOKUP($C$4,'Writing Logic'!$G$8:$H$14,2,FALSE),YES_Writing_ELA[#Headers],0))=0,"",INDEX(_xlfn.VSTACK(YES_Writing_ELA[#Data],YES_Writing_FLA[#Data]),MATCH($A541,_xlfn.VSTACK(YES_Writing_ELA[Student Number],YES_Writing_FLA[Student Number]),0),MATCH(VLOOKUP(H$7,'Writing Logic'!$J$7:$K$11,2,FALSE)&amp;" - Per "&amp;VLOOKUP($C$4,'Writing Logic'!$G$8:$H$14,2,FALSE),YES_Writing_ELA[#Headers],0)))),"")</f>
        <v/>
      </c>
    </row>
    <row r="542" spans="1:8" x14ac:dyDescent="0.25">
      <c r="A542" s="137"/>
      <c r="B542" s="137" t="str">
        <f>IFERROR(INDEX(_xlfn.VSTACK(YES_Writing_ELA[#Data], YES_Writing_FLA[#Data]),MATCH($A542,_xlfn.VSTACK(YES_Writing_ELA[Student Number], YES_Writing_FLA[Student Number]),0),MATCH(B$7,YES_Writing_ELA[#Headers],0)),"")</f>
        <v/>
      </c>
      <c r="C542" s="137" t="str">
        <f>IFERROR(INDEX(_xlfn.VSTACK(YES_Writing_ELA[#Data], YES_Writing_FLA[#Data]),MATCH($A542,_xlfn.VSTACK(YES_Writing_ELA[Student Number], YES_Writing_FLA[Student Number]),0),MATCH(C$7,YES_Writing_ELA[#Headers],0)),"")</f>
        <v/>
      </c>
      <c r="D542" s="138" t="str">
        <f>IFERROR(IF(IF(INDEX(_xlfn.VSTACK(YES_Writing_ELA[#Data],YES_Writing_FLA[#Data]),MATCH($A542,_xlfn.VSTACK(YES_Writing_ELA[Student Number],YES_Writing_FLA[Student Number]),0),MATCH(VLOOKUP(D$7,'Writing Logic'!$J$7:$K$11,2,FALSE)&amp;" - Per "&amp;VLOOKUP($C$4,'Writing Logic'!$G$8:$H$14,2,FALSE),YES_Writing_ELA[#Headers],0))=0,"",INDEX(_xlfn.VSTACK(YES_Writing_ELA[#Data],YES_Writing_FLA[#Data]),MATCH($A542,_xlfn.VSTACK(YES_Writing_ELA[Student Number],YES_Writing_FLA[Student Number]),0),MATCH(VLOOKUP(D$7,'Writing Logic'!$J$7:$K$11,2,FALSE)&amp;" - Per "&amp;VLOOKUP($C$4,'Writing Logic'!$G$8:$H$14,2,FALSE),YES_Writing_ELA[#Headers],0)))="INS",'Writing Logic'!$B$7,IF(INDEX(_xlfn.VSTACK(YES_Writing_ELA[#Data],YES_Writing_FLA[#Data]),MATCH($A542,_xlfn.VSTACK(YES_Writing_ELA[Student Number],YES_Writing_FLA[Student Number]),0),MATCH(VLOOKUP(D$7,'Writing Logic'!$J$7:$K$11,2,FALSE)&amp;" - Per "&amp;VLOOKUP($C$4,'Writing Logic'!$G$8:$H$14,2,FALSE),YES_Writing_ELA[#Headers],0))=0,"",INDEX(_xlfn.VSTACK(YES_Writing_ELA[#Data],YES_Writing_FLA[#Data]),MATCH($A542,_xlfn.VSTACK(YES_Writing_ELA[Student Number],YES_Writing_FLA[Student Number]),0),MATCH(VLOOKUP(D$7,'Writing Logic'!$J$7:$K$11,2,FALSE)&amp;" - Per "&amp;VLOOKUP($C$4,'Writing Logic'!$G$8:$H$14,2,FALSE),YES_Writing_ELA[#Headers],0)))),"")</f>
        <v/>
      </c>
      <c r="E542" s="138" t="str">
        <f>IFERROR(IF(IF(INDEX(_xlfn.VSTACK(YES_Writing_ELA[#Data],YES_Writing_FLA[#Data]),MATCH($A542,_xlfn.VSTACK(YES_Writing_ELA[Student Number],YES_Writing_FLA[Student Number]),0),MATCH(VLOOKUP(E$7,'Writing Logic'!$J$7:$K$11,2,FALSE)&amp;" - Per "&amp;VLOOKUP($C$4,'Writing Logic'!$G$8:$H$14,2,FALSE),YES_Writing_ELA[#Headers],0))=0,"",INDEX(_xlfn.VSTACK(YES_Writing_ELA[#Data],YES_Writing_FLA[#Data]),MATCH($A542,_xlfn.VSTACK(YES_Writing_ELA[Student Number],YES_Writing_FLA[Student Number]),0),MATCH(VLOOKUP(E$7,'Writing Logic'!$J$7:$K$11,2,FALSE)&amp;" - Per "&amp;VLOOKUP($C$4,'Writing Logic'!$G$8:$H$14,2,FALSE),YES_Writing_ELA[#Headers],0)))="INS",'Writing Logic'!$B$7,IF(INDEX(_xlfn.VSTACK(YES_Writing_ELA[#Data],YES_Writing_FLA[#Data]),MATCH($A542,_xlfn.VSTACK(YES_Writing_ELA[Student Number],YES_Writing_FLA[Student Number]),0),MATCH(VLOOKUP(E$7,'Writing Logic'!$J$7:$K$11,2,FALSE)&amp;" - Per "&amp;VLOOKUP($C$4,'Writing Logic'!$G$8:$H$14,2,FALSE),YES_Writing_ELA[#Headers],0))=0,"",INDEX(_xlfn.VSTACK(YES_Writing_ELA[#Data],YES_Writing_FLA[#Data]),MATCH($A542,_xlfn.VSTACK(YES_Writing_ELA[Student Number],YES_Writing_FLA[Student Number]),0),MATCH(VLOOKUP(E$7,'Writing Logic'!$J$7:$K$11,2,FALSE)&amp;" - Per "&amp;VLOOKUP($C$4,'Writing Logic'!$G$8:$H$14,2,FALSE),YES_Writing_ELA[#Headers],0)))),"")</f>
        <v/>
      </c>
      <c r="F542" s="138" t="str">
        <f>IFERROR(IF(IF(INDEX(_xlfn.VSTACK(YES_Writing_ELA[#Data],YES_Writing_FLA[#Data]),MATCH($A542,_xlfn.VSTACK(YES_Writing_ELA[Student Number],YES_Writing_FLA[Student Number]),0),MATCH(VLOOKUP(F$7,'Writing Logic'!$J$7:$K$11,2,FALSE)&amp;" - Per "&amp;VLOOKUP($C$4,'Writing Logic'!$G$8:$H$14,2,FALSE),YES_Writing_ELA[#Headers],0))=0,"",INDEX(_xlfn.VSTACK(YES_Writing_ELA[#Data],YES_Writing_FLA[#Data]),MATCH($A542,_xlfn.VSTACK(YES_Writing_ELA[Student Number],YES_Writing_FLA[Student Number]),0),MATCH(VLOOKUP(F$7,'Writing Logic'!$J$7:$K$11,2,FALSE)&amp;" - Per "&amp;VLOOKUP($C$4,'Writing Logic'!$G$8:$H$14,2,FALSE),YES_Writing_ELA[#Headers],0)))="INS",'Writing Logic'!$B$7,IF(INDEX(_xlfn.VSTACK(YES_Writing_ELA[#Data],YES_Writing_FLA[#Data]),MATCH($A542,_xlfn.VSTACK(YES_Writing_ELA[Student Number],YES_Writing_FLA[Student Number]),0),MATCH(VLOOKUP(F$7,'Writing Logic'!$J$7:$K$11,2,FALSE)&amp;" - Per "&amp;VLOOKUP($C$4,'Writing Logic'!$G$8:$H$14,2,FALSE),YES_Writing_ELA[#Headers],0))=0,"",INDEX(_xlfn.VSTACK(YES_Writing_ELA[#Data],YES_Writing_FLA[#Data]),MATCH($A542,_xlfn.VSTACK(YES_Writing_ELA[Student Number],YES_Writing_FLA[Student Number]),0),MATCH(VLOOKUP(F$7,'Writing Logic'!$J$7:$K$11,2,FALSE)&amp;" - Per "&amp;VLOOKUP($C$4,'Writing Logic'!$G$8:$H$14,2,FALSE),YES_Writing_ELA[#Headers],0)))),"")</f>
        <v/>
      </c>
      <c r="G542" s="138" t="str">
        <f>IFERROR(IF(IF(INDEX(_xlfn.VSTACK(YES_Writing_ELA[#Data],YES_Writing_FLA[#Data]),MATCH($A542,_xlfn.VSTACK(YES_Writing_ELA[Student Number],YES_Writing_FLA[Student Number]),0),MATCH(VLOOKUP(G$7,'Writing Logic'!$J$7:$K$11,2,FALSE)&amp;" - Per "&amp;VLOOKUP($C$4,'Writing Logic'!$G$8:$H$14,2,FALSE),YES_Writing_ELA[#Headers],0))=0,"",INDEX(_xlfn.VSTACK(YES_Writing_ELA[#Data],YES_Writing_FLA[#Data]),MATCH($A542,_xlfn.VSTACK(YES_Writing_ELA[Student Number],YES_Writing_FLA[Student Number]),0),MATCH(VLOOKUP(G$7,'Writing Logic'!$J$7:$K$11,2,FALSE)&amp;" - Per "&amp;VLOOKUP($C$4,'Writing Logic'!$G$8:$H$14,2,FALSE),YES_Writing_ELA[#Headers],0)))="INS",'Writing Logic'!$B$7,IF(INDEX(_xlfn.VSTACK(YES_Writing_ELA[#Data],YES_Writing_FLA[#Data]),MATCH($A542,_xlfn.VSTACK(YES_Writing_ELA[Student Number],YES_Writing_FLA[Student Number]),0),MATCH(VLOOKUP(G$7,'Writing Logic'!$J$7:$K$11,2,FALSE)&amp;" - Per "&amp;VLOOKUP($C$4,'Writing Logic'!$G$8:$H$14,2,FALSE),YES_Writing_ELA[#Headers],0))=0,"",INDEX(_xlfn.VSTACK(YES_Writing_ELA[#Data],YES_Writing_FLA[#Data]),MATCH($A542,_xlfn.VSTACK(YES_Writing_ELA[Student Number],YES_Writing_FLA[Student Number]),0),MATCH(VLOOKUP(G$7,'Writing Logic'!$J$7:$K$11,2,FALSE)&amp;" - Per "&amp;VLOOKUP($C$4,'Writing Logic'!$G$8:$H$14,2,FALSE),YES_Writing_ELA[#Headers],0)))),"")</f>
        <v/>
      </c>
      <c r="H542" s="138" t="str">
        <f>IFERROR(IF(IF(INDEX(_xlfn.VSTACK(YES_Writing_ELA[#Data],YES_Writing_FLA[#Data]),MATCH($A542,_xlfn.VSTACK(YES_Writing_ELA[Student Number],YES_Writing_FLA[Student Number]),0),MATCH(VLOOKUP(H$7,'Writing Logic'!$J$7:$K$11,2,FALSE)&amp;" - Per "&amp;VLOOKUP($C$4,'Writing Logic'!$G$8:$H$14,2,FALSE),YES_Writing_ELA[#Headers],0))=0,"",INDEX(_xlfn.VSTACK(YES_Writing_ELA[#Data],YES_Writing_FLA[#Data]),MATCH($A542,_xlfn.VSTACK(YES_Writing_ELA[Student Number],YES_Writing_FLA[Student Number]),0),MATCH(VLOOKUP(H$7,'Writing Logic'!$J$7:$K$11,2,FALSE)&amp;" - Per "&amp;VLOOKUP($C$4,'Writing Logic'!$G$8:$H$14,2,FALSE),YES_Writing_ELA[#Headers],0)))="INS",'Writing Logic'!$B$7,IF(INDEX(_xlfn.VSTACK(YES_Writing_ELA[#Data],YES_Writing_FLA[#Data]),MATCH($A542,_xlfn.VSTACK(YES_Writing_ELA[Student Number],YES_Writing_FLA[Student Number]),0),MATCH(VLOOKUP(H$7,'Writing Logic'!$J$7:$K$11,2,FALSE)&amp;" - Per "&amp;VLOOKUP($C$4,'Writing Logic'!$G$8:$H$14,2,FALSE),YES_Writing_ELA[#Headers],0))=0,"",INDEX(_xlfn.VSTACK(YES_Writing_ELA[#Data],YES_Writing_FLA[#Data]),MATCH($A542,_xlfn.VSTACK(YES_Writing_ELA[Student Number],YES_Writing_FLA[Student Number]),0),MATCH(VLOOKUP(H$7,'Writing Logic'!$J$7:$K$11,2,FALSE)&amp;" - Per "&amp;VLOOKUP($C$4,'Writing Logic'!$G$8:$H$14,2,FALSE),YES_Writing_ELA[#Headers],0)))),"")</f>
        <v/>
      </c>
    </row>
    <row r="543" spans="1:8" x14ac:dyDescent="0.25">
      <c r="A543" s="137"/>
      <c r="B543" s="137" t="str">
        <f>IFERROR(INDEX(_xlfn.VSTACK(YES_Writing_ELA[#Data], YES_Writing_FLA[#Data]),MATCH($A543,_xlfn.VSTACK(YES_Writing_ELA[Student Number], YES_Writing_FLA[Student Number]),0),MATCH(B$7,YES_Writing_ELA[#Headers],0)),"")</f>
        <v/>
      </c>
      <c r="C543" s="137" t="str">
        <f>IFERROR(INDEX(_xlfn.VSTACK(YES_Writing_ELA[#Data], YES_Writing_FLA[#Data]),MATCH($A543,_xlfn.VSTACK(YES_Writing_ELA[Student Number], YES_Writing_FLA[Student Number]),0),MATCH(C$7,YES_Writing_ELA[#Headers],0)),"")</f>
        <v/>
      </c>
      <c r="D543" s="138" t="str">
        <f>IFERROR(IF(IF(INDEX(_xlfn.VSTACK(YES_Writing_ELA[#Data],YES_Writing_FLA[#Data]),MATCH($A543,_xlfn.VSTACK(YES_Writing_ELA[Student Number],YES_Writing_FLA[Student Number]),0),MATCH(VLOOKUP(D$7,'Writing Logic'!$J$7:$K$11,2,FALSE)&amp;" - Per "&amp;VLOOKUP($C$4,'Writing Logic'!$G$8:$H$14,2,FALSE),YES_Writing_ELA[#Headers],0))=0,"",INDEX(_xlfn.VSTACK(YES_Writing_ELA[#Data],YES_Writing_FLA[#Data]),MATCH($A543,_xlfn.VSTACK(YES_Writing_ELA[Student Number],YES_Writing_FLA[Student Number]),0),MATCH(VLOOKUP(D$7,'Writing Logic'!$J$7:$K$11,2,FALSE)&amp;" - Per "&amp;VLOOKUP($C$4,'Writing Logic'!$G$8:$H$14,2,FALSE),YES_Writing_ELA[#Headers],0)))="INS",'Writing Logic'!$B$7,IF(INDEX(_xlfn.VSTACK(YES_Writing_ELA[#Data],YES_Writing_FLA[#Data]),MATCH($A543,_xlfn.VSTACK(YES_Writing_ELA[Student Number],YES_Writing_FLA[Student Number]),0),MATCH(VLOOKUP(D$7,'Writing Logic'!$J$7:$K$11,2,FALSE)&amp;" - Per "&amp;VLOOKUP($C$4,'Writing Logic'!$G$8:$H$14,2,FALSE),YES_Writing_ELA[#Headers],0))=0,"",INDEX(_xlfn.VSTACK(YES_Writing_ELA[#Data],YES_Writing_FLA[#Data]),MATCH($A543,_xlfn.VSTACK(YES_Writing_ELA[Student Number],YES_Writing_FLA[Student Number]),0),MATCH(VLOOKUP(D$7,'Writing Logic'!$J$7:$K$11,2,FALSE)&amp;" - Per "&amp;VLOOKUP($C$4,'Writing Logic'!$G$8:$H$14,2,FALSE),YES_Writing_ELA[#Headers],0)))),"")</f>
        <v/>
      </c>
      <c r="E543" s="138" t="str">
        <f>IFERROR(IF(IF(INDEX(_xlfn.VSTACK(YES_Writing_ELA[#Data],YES_Writing_FLA[#Data]),MATCH($A543,_xlfn.VSTACK(YES_Writing_ELA[Student Number],YES_Writing_FLA[Student Number]),0),MATCH(VLOOKUP(E$7,'Writing Logic'!$J$7:$K$11,2,FALSE)&amp;" - Per "&amp;VLOOKUP($C$4,'Writing Logic'!$G$8:$H$14,2,FALSE),YES_Writing_ELA[#Headers],0))=0,"",INDEX(_xlfn.VSTACK(YES_Writing_ELA[#Data],YES_Writing_FLA[#Data]),MATCH($A543,_xlfn.VSTACK(YES_Writing_ELA[Student Number],YES_Writing_FLA[Student Number]),0),MATCH(VLOOKUP(E$7,'Writing Logic'!$J$7:$K$11,2,FALSE)&amp;" - Per "&amp;VLOOKUP($C$4,'Writing Logic'!$G$8:$H$14,2,FALSE),YES_Writing_ELA[#Headers],0)))="INS",'Writing Logic'!$B$7,IF(INDEX(_xlfn.VSTACK(YES_Writing_ELA[#Data],YES_Writing_FLA[#Data]),MATCH($A543,_xlfn.VSTACK(YES_Writing_ELA[Student Number],YES_Writing_FLA[Student Number]),0),MATCH(VLOOKUP(E$7,'Writing Logic'!$J$7:$K$11,2,FALSE)&amp;" - Per "&amp;VLOOKUP($C$4,'Writing Logic'!$G$8:$H$14,2,FALSE),YES_Writing_ELA[#Headers],0))=0,"",INDEX(_xlfn.VSTACK(YES_Writing_ELA[#Data],YES_Writing_FLA[#Data]),MATCH($A543,_xlfn.VSTACK(YES_Writing_ELA[Student Number],YES_Writing_FLA[Student Number]),0),MATCH(VLOOKUP(E$7,'Writing Logic'!$J$7:$K$11,2,FALSE)&amp;" - Per "&amp;VLOOKUP($C$4,'Writing Logic'!$G$8:$H$14,2,FALSE),YES_Writing_ELA[#Headers],0)))),"")</f>
        <v/>
      </c>
      <c r="F543" s="138" t="str">
        <f>IFERROR(IF(IF(INDEX(_xlfn.VSTACK(YES_Writing_ELA[#Data],YES_Writing_FLA[#Data]),MATCH($A543,_xlfn.VSTACK(YES_Writing_ELA[Student Number],YES_Writing_FLA[Student Number]),0),MATCH(VLOOKUP(F$7,'Writing Logic'!$J$7:$K$11,2,FALSE)&amp;" - Per "&amp;VLOOKUP($C$4,'Writing Logic'!$G$8:$H$14,2,FALSE),YES_Writing_ELA[#Headers],0))=0,"",INDEX(_xlfn.VSTACK(YES_Writing_ELA[#Data],YES_Writing_FLA[#Data]),MATCH($A543,_xlfn.VSTACK(YES_Writing_ELA[Student Number],YES_Writing_FLA[Student Number]),0),MATCH(VLOOKUP(F$7,'Writing Logic'!$J$7:$K$11,2,FALSE)&amp;" - Per "&amp;VLOOKUP($C$4,'Writing Logic'!$G$8:$H$14,2,FALSE),YES_Writing_ELA[#Headers],0)))="INS",'Writing Logic'!$B$7,IF(INDEX(_xlfn.VSTACK(YES_Writing_ELA[#Data],YES_Writing_FLA[#Data]),MATCH($A543,_xlfn.VSTACK(YES_Writing_ELA[Student Number],YES_Writing_FLA[Student Number]),0),MATCH(VLOOKUP(F$7,'Writing Logic'!$J$7:$K$11,2,FALSE)&amp;" - Per "&amp;VLOOKUP($C$4,'Writing Logic'!$G$8:$H$14,2,FALSE),YES_Writing_ELA[#Headers],0))=0,"",INDEX(_xlfn.VSTACK(YES_Writing_ELA[#Data],YES_Writing_FLA[#Data]),MATCH($A543,_xlfn.VSTACK(YES_Writing_ELA[Student Number],YES_Writing_FLA[Student Number]),0),MATCH(VLOOKUP(F$7,'Writing Logic'!$J$7:$K$11,2,FALSE)&amp;" - Per "&amp;VLOOKUP($C$4,'Writing Logic'!$G$8:$H$14,2,FALSE),YES_Writing_ELA[#Headers],0)))),"")</f>
        <v/>
      </c>
      <c r="G543" s="138" t="str">
        <f>IFERROR(IF(IF(INDEX(_xlfn.VSTACK(YES_Writing_ELA[#Data],YES_Writing_FLA[#Data]),MATCH($A543,_xlfn.VSTACK(YES_Writing_ELA[Student Number],YES_Writing_FLA[Student Number]),0),MATCH(VLOOKUP(G$7,'Writing Logic'!$J$7:$K$11,2,FALSE)&amp;" - Per "&amp;VLOOKUP($C$4,'Writing Logic'!$G$8:$H$14,2,FALSE),YES_Writing_ELA[#Headers],0))=0,"",INDEX(_xlfn.VSTACK(YES_Writing_ELA[#Data],YES_Writing_FLA[#Data]),MATCH($A543,_xlfn.VSTACK(YES_Writing_ELA[Student Number],YES_Writing_FLA[Student Number]),0),MATCH(VLOOKUP(G$7,'Writing Logic'!$J$7:$K$11,2,FALSE)&amp;" - Per "&amp;VLOOKUP($C$4,'Writing Logic'!$G$8:$H$14,2,FALSE),YES_Writing_ELA[#Headers],0)))="INS",'Writing Logic'!$B$7,IF(INDEX(_xlfn.VSTACK(YES_Writing_ELA[#Data],YES_Writing_FLA[#Data]),MATCH($A543,_xlfn.VSTACK(YES_Writing_ELA[Student Number],YES_Writing_FLA[Student Number]),0),MATCH(VLOOKUP(G$7,'Writing Logic'!$J$7:$K$11,2,FALSE)&amp;" - Per "&amp;VLOOKUP($C$4,'Writing Logic'!$G$8:$H$14,2,FALSE),YES_Writing_ELA[#Headers],0))=0,"",INDEX(_xlfn.VSTACK(YES_Writing_ELA[#Data],YES_Writing_FLA[#Data]),MATCH($A543,_xlfn.VSTACK(YES_Writing_ELA[Student Number],YES_Writing_FLA[Student Number]),0),MATCH(VLOOKUP(G$7,'Writing Logic'!$J$7:$K$11,2,FALSE)&amp;" - Per "&amp;VLOOKUP($C$4,'Writing Logic'!$G$8:$H$14,2,FALSE),YES_Writing_ELA[#Headers],0)))),"")</f>
        <v/>
      </c>
      <c r="H543" s="138" t="str">
        <f>IFERROR(IF(IF(INDEX(_xlfn.VSTACK(YES_Writing_ELA[#Data],YES_Writing_FLA[#Data]),MATCH($A543,_xlfn.VSTACK(YES_Writing_ELA[Student Number],YES_Writing_FLA[Student Number]),0),MATCH(VLOOKUP(H$7,'Writing Logic'!$J$7:$K$11,2,FALSE)&amp;" - Per "&amp;VLOOKUP($C$4,'Writing Logic'!$G$8:$H$14,2,FALSE),YES_Writing_ELA[#Headers],0))=0,"",INDEX(_xlfn.VSTACK(YES_Writing_ELA[#Data],YES_Writing_FLA[#Data]),MATCH($A543,_xlfn.VSTACK(YES_Writing_ELA[Student Number],YES_Writing_FLA[Student Number]),0),MATCH(VLOOKUP(H$7,'Writing Logic'!$J$7:$K$11,2,FALSE)&amp;" - Per "&amp;VLOOKUP($C$4,'Writing Logic'!$G$8:$H$14,2,FALSE),YES_Writing_ELA[#Headers],0)))="INS",'Writing Logic'!$B$7,IF(INDEX(_xlfn.VSTACK(YES_Writing_ELA[#Data],YES_Writing_FLA[#Data]),MATCH($A543,_xlfn.VSTACK(YES_Writing_ELA[Student Number],YES_Writing_FLA[Student Number]),0),MATCH(VLOOKUP(H$7,'Writing Logic'!$J$7:$K$11,2,FALSE)&amp;" - Per "&amp;VLOOKUP($C$4,'Writing Logic'!$G$8:$H$14,2,FALSE),YES_Writing_ELA[#Headers],0))=0,"",INDEX(_xlfn.VSTACK(YES_Writing_ELA[#Data],YES_Writing_FLA[#Data]),MATCH($A543,_xlfn.VSTACK(YES_Writing_ELA[Student Number],YES_Writing_FLA[Student Number]),0),MATCH(VLOOKUP(H$7,'Writing Logic'!$J$7:$K$11,2,FALSE)&amp;" - Per "&amp;VLOOKUP($C$4,'Writing Logic'!$G$8:$H$14,2,FALSE),YES_Writing_ELA[#Headers],0)))),"")</f>
        <v/>
      </c>
    </row>
    <row r="544" spans="1:8" x14ac:dyDescent="0.25">
      <c r="A544" s="137"/>
      <c r="B544" s="137" t="str">
        <f>IFERROR(INDEX(_xlfn.VSTACK(YES_Writing_ELA[#Data], YES_Writing_FLA[#Data]),MATCH($A544,_xlfn.VSTACK(YES_Writing_ELA[Student Number], YES_Writing_FLA[Student Number]),0),MATCH(B$7,YES_Writing_ELA[#Headers],0)),"")</f>
        <v/>
      </c>
      <c r="C544" s="137" t="str">
        <f>IFERROR(INDEX(_xlfn.VSTACK(YES_Writing_ELA[#Data], YES_Writing_FLA[#Data]),MATCH($A544,_xlfn.VSTACK(YES_Writing_ELA[Student Number], YES_Writing_FLA[Student Number]),0),MATCH(C$7,YES_Writing_ELA[#Headers],0)),"")</f>
        <v/>
      </c>
      <c r="D544" s="138" t="str">
        <f>IFERROR(IF(IF(INDEX(_xlfn.VSTACK(YES_Writing_ELA[#Data],YES_Writing_FLA[#Data]),MATCH($A544,_xlfn.VSTACK(YES_Writing_ELA[Student Number],YES_Writing_FLA[Student Number]),0),MATCH(VLOOKUP(D$7,'Writing Logic'!$J$7:$K$11,2,FALSE)&amp;" - Per "&amp;VLOOKUP($C$4,'Writing Logic'!$G$8:$H$14,2,FALSE),YES_Writing_ELA[#Headers],0))=0,"",INDEX(_xlfn.VSTACK(YES_Writing_ELA[#Data],YES_Writing_FLA[#Data]),MATCH($A544,_xlfn.VSTACK(YES_Writing_ELA[Student Number],YES_Writing_FLA[Student Number]),0),MATCH(VLOOKUP(D$7,'Writing Logic'!$J$7:$K$11,2,FALSE)&amp;" - Per "&amp;VLOOKUP($C$4,'Writing Logic'!$G$8:$H$14,2,FALSE),YES_Writing_ELA[#Headers],0)))="INS",'Writing Logic'!$B$7,IF(INDEX(_xlfn.VSTACK(YES_Writing_ELA[#Data],YES_Writing_FLA[#Data]),MATCH($A544,_xlfn.VSTACK(YES_Writing_ELA[Student Number],YES_Writing_FLA[Student Number]),0),MATCH(VLOOKUP(D$7,'Writing Logic'!$J$7:$K$11,2,FALSE)&amp;" - Per "&amp;VLOOKUP($C$4,'Writing Logic'!$G$8:$H$14,2,FALSE),YES_Writing_ELA[#Headers],0))=0,"",INDEX(_xlfn.VSTACK(YES_Writing_ELA[#Data],YES_Writing_FLA[#Data]),MATCH($A544,_xlfn.VSTACK(YES_Writing_ELA[Student Number],YES_Writing_FLA[Student Number]),0),MATCH(VLOOKUP(D$7,'Writing Logic'!$J$7:$K$11,2,FALSE)&amp;" - Per "&amp;VLOOKUP($C$4,'Writing Logic'!$G$8:$H$14,2,FALSE),YES_Writing_ELA[#Headers],0)))),"")</f>
        <v/>
      </c>
      <c r="E544" s="138" t="str">
        <f>IFERROR(IF(IF(INDEX(_xlfn.VSTACK(YES_Writing_ELA[#Data],YES_Writing_FLA[#Data]),MATCH($A544,_xlfn.VSTACK(YES_Writing_ELA[Student Number],YES_Writing_FLA[Student Number]),0),MATCH(VLOOKUP(E$7,'Writing Logic'!$J$7:$K$11,2,FALSE)&amp;" - Per "&amp;VLOOKUP($C$4,'Writing Logic'!$G$8:$H$14,2,FALSE),YES_Writing_ELA[#Headers],0))=0,"",INDEX(_xlfn.VSTACK(YES_Writing_ELA[#Data],YES_Writing_FLA[#Data]),MATCH($A544,_xlfn.VSTACK(YES_Writing_ELA[Student Number],YES_Writing_FLA[Student Number]),0),MATCH(VLOOKUP(E$7,'Writing Logic'!$J$7:$K$11,2,FALSE)&amp;" - Per "&amp;VLOOKUP($C$4,'Writing Logic'!$G$8:$H$14,2,FALSE),YES_Writing_ELA[#Headers],0)))="INS",'Writing Logic'!$B$7,IF(INDEX(_xlfn.VSTACK(YES_Writing_ELA[#Data],YES_Writing_FLA[#Data]),MATCH($A544,_xlfn.VSTACK(YES_Writing_ELA[Student Number],YES_Writing_FLA[Student Number]),0),MATCH(VLOOKUP(E$7,'Writing Logic'!$J$7:$K$11,2,FALSE)&amp;" - Per "&amp;VLOOKUP($C$4,'Writing Logic'!$G$8:$H$14,2,FALSE),YES_Writing_ELA[#Headers],0))=0,"",INDEX(_xlfn.VSTACK(YES_Writing_ELA[#Data],YES_Writing_FLA[#Data]),MATCH($A544,_xlfn.VSTACK(YES_Writing_ELA[Student Number],YES_Writing_FLA[Student Number]),0),MATCH(VLOOKUP(E$7,'Writing Logic'!$J$7:$K$11,2,FALSE)&amp;" - Per "&amp;VLOOKUP($C$4,'Writing Logic'!$G$8:$H$14,2,FALSE),YES_Writing_ELA[#Headers],0)))),"")</f>
        <v/>
      </c>
      <c r="F544" s="138" t="str">
        <f>IFERROR(IF(IF(INDEX(_xlfn.VSTACK(YES_Writing_ELA[#Data],YES_Writing_FLA[#Data]),MATCH($A544,_xlfn.VSTACK(YES_Writing_ELA[Student Number],YES_Writing_FLA[Student Number]),0),MATCH(VLOOKUP(F$7,'Writing Logic'!$J$7:$K$11,2,FALSE)&amp;" - Per "&amp;VLOOKUP($C$4,'Writing Logic'!$G$8:$H$14,2,FALSE),YES_Writing_ELA[#Headers],0))=0,"",INDEX(_xlfn.VSTACK(YES_Writing_ELA[#Data],YES_Writing_FLA[#Data]),MATCH($A544,_xlfn.VSTACK(YES_Writing_ELA[Student Number],YES_Writing_FLA[Student Number]),0),MATCH(VLOOKUP(F$7,'Writing Logic'!$J$7:$K$11,2,FALSE)&amp;" - Per "&amp;VLOOKUP($C$4,'Writing Logic'!$G$8:$H$14,2,FALSE),YES_Writing_ELA[#Headers],0)))="INS",'Writing Logic'!$B$7,IF(INDEX(_xlfn.VSTACK(YES_Writing_ELA[#Data],YES_Writing_FLA[#Data]),MATCH($A544,_xlfn.VSTACK(YES_Writing_ELA[Student Number],YES_Writing_FLA[Student Number]),0),MATCH(VLOOKUP(F$7,'Writing Logic'!$J$7:$K$11,2,FALSE)&amp;" - Per "&amp;VLOOKUP($C$4,'Writing Logic'!$G$8:$H$14,2,FALSE),YES_Writing_ELA[#Headers],0))=0,"",INDEX(_xlfn.VSTACK(YES_Writing_ELA[#Data],YES_Writing_FLA[#Data]),MATCH($A544,_xlfn.VSTACK(YES_Writing_ELA[Student Number],YES_Writing_FLA[Student Number]),0),MATCH(VLOOKUP(F$7,'Writing Logic'!$J$7:$K$11,2,FALSE)&amp;" - Per "&amp;VLOOKUP($C$4,'Writing Logic'!$G$8:$H$14,2,FALSE),YES_Writing_ELA[#Headers],0)))),"")</f>
        <v/>
      </c>
      <c r="G544" s="138" t="str">
        <f>IFERROR(IF(IF(INDEX(_xlfn.VSTACK(YES_Writing_ELA[#Data],YES_Writing_FLA[#Data]),MATCH($A544,_xlfn.VSTACK(YES_Writing_ELA[Student Number],YES_Writing_FLA[Student Number]),0),MATCH(VLOOKUP(G$7,'Writing Logic'!$J$7:$K$11,2,FALSE)&amp;" - Per "&amp;VLOOKUP($C$4,'Writing Logic'!$G$8:$H$14,2,FALSE),YES_Writing_ELA[#Headers],0))=0,"",INDEX(_xlfn.VSTACK(YES_Writing_ELA[#Data],YES_Writing_FLA[#Data]),MATCH($A544,_xlfn.VSTACK(YES_Writing_ELA[Student Number],YES_Writing_FLA[Student Number]),0),MATCH(VLOOKUP(G$7,'Writing Logic'!$J$7:$K$11,2,FALSE)&amp;" - Per "&amp;VLOOKUP($C$4,'Writing Logic'!$G$8:$H$14,2,FALSE),YES_Writing_ELA[#Headers],0)))="INS",'Writing Logic'!$B$7,IF(INDEX(_xlfn.VSTACK(YES_Writing_ELA[#Data],YES_Writing_FLA[#Data]),MATCH($A544,_xlfn.VSTACK(YES_Writing_ELA[Student Number],YES_Writing_FLA[Student Number]),0),MATCH(VLOOKUP(G$7,'Writing Logic'!$J$7:$K$11,2,FALSE)&amp;" - Per "&amp;VLOOKUP($C$4,'Writing Logic'!$G$8:$H$14,2,FALSE),YES_Writing_ELA[#Headers],0))=0,"",INDEX(_xlfn.VSTACK(YES_Writing_ELA[#Data],YES_Writing_FLA[#Data]),MATCH($A544,_xlfn.VSTACK(YES_Writing_ELA[Student Number],YES_Writing_FLA[Student Number]),0),MATCH(VLOOKUP(G$7,'Writing Logic'!$J$7:$K$11,2,FALSE)&amp;" - Per "&amp;VLOOKUP($C$4,'Writing Logic'!$G$8:$H$14,2,FALSE),YES_Writing_ELA[#Headers],0)))),"")</f>
        <v/>
      </c>
      <c r="H544" s="138" t="str">
        <f>IFERROR(IF(IF(INDEX(_xlfn.VSTACK(YES_Writing_ELA[#Data],YES_Writing_FLA[#Data]),MATCH($A544,_xlfn.VSTACK(YES_Writing_ELA[Student Number],YES_Writing_FLA[Student Number]),0),MATCH(VLOOKUP(H$7,'Writing Logic'!$J$7:$K$11,2,FALSE)&amp;" - Per "&amp;VLOOKUP($C$4,'Writing Logic'!$G$8:$H$14,2,FALSE),YES_Writing_ELA[#Headers],0))=0,"",INDEX(_xlfn.VSTACK(YES_Writing_ELA[#Data],YES_Writing_FLA[#Data]),MATCH($A544,_xlfn.VSTACK(YES_Writing_ELA[Student Number],YES_Writing_FLA[Student Number]),0),MATCH(VLOOKUP(H$7,'Writing Logic'!$J$7:$K$11,2,FALSE)&amp;" - Per "&amp;VLOOKUP($C$4,'Writing Logic'!$G$8:$H$14,2,FALSE),YES_Writing_ELA[#Headers],0)))="INS",'Writing Logic'!$B$7,IF(INDEX(_xlfn.VSTACK(YES_Writing_ELA[#Data],YES_Writing_FLA[#Data]),MATCH($A544,_xlfn.VSTACK(YES_Writing_ELA[Student Number],YES_Writing_FLA[Student Number]),0),MATCH(VLOOKUP(H$7,'Writing Logic'!$J$7:$K$11,2,FALSE)&amp;" - Per "&amp;VLOOKUP($C$4,'Writing Logic'!$G$8:$H$14,2,FALSE),YES_Writing_ELA[#Headers],0))=0,"",INDEX(_xlfn.VSTACK(YES_Writing_ELA[#Data],YES_Writing_FLA[#Data]),MATCH($A544,_xlfn.VSTACK(YES_Writing_ELA[Student Number],YES_Writing_FLA[Student Number]),0),MATCH(VLOOKUP(H$7,'Writing Logic'!$J$7:$K$11,2,FALSE)&amp;" - Per "&amp;VLOOKUP($C$4,'Writing Logic'!$G$8:$H$14,2,FALSE),YES_Writing_ELA[#Headers],0)))),"")</f>
        <v/>
      </c>
    </row>
    <row r="545" spans="1:8" x14ac:dyDescent="0.25">
      <c r="A545" s="137"/>
      <c r="B545" s="137" t="str">
        <f>IFERROR(INDEX(_xlfn.VSTACK(YES_Writing_ELA[#Data], YES_Writing_FLA[#Data]),MATCH($A545,_xlfn.VSTACK(YES_Writing_ELA[Student Number], YES_Writing_FLA[Student Number]),0),MATCH(B$7,YES_Writing_ELA[#Headers],0)),"")</f>
        <v/>
      </c>
      <c r="C545" s="137" t="str">
        <f>IFERROR(INDEX(_xlfn.VSTACK(YES_Writing_ELA[#Data], YES_Writing_FLA[#Data]),MATCH($A545,_xlfn.VSTACK(YES_Writing_ELA[Student Number], YES_Writing_FLA[Student Number]),0),MATCH(C$7,YES_Writing_ELA[#Headers],0)),"")</f>
        <v/>
      </c>
      <c r="D545" s="138" t="str">
        <f>IFERROR(IF(IF(INDEX(_xlfn.VSTACK(YES_Writing_ELA[#Data],YES_Writing_FLA[#Data]),MATCH($A545,_xlfn.VSTACK(YES_Writing_ELA[Student Number],YES_Writing_FLA[Student Number]),0),MATCH(VLOOKUP(D$7,'Writing Logic'!$J$7:$K$11,2,FALSE)&amp;" - Per "&amp;VLOOKUP($C$4,'Writing Logic'!$G$8:$H$14,2,FALSE),YES_Writing_ELA[#Headers],0))=0,"",INDEX(_xlfn.VSTACK(YES_Writing_ELA[#Data],YES_Writing_FLA[#Data]),MATCH($A545,_xlfn.VSTACK(YES_Writing_ELA[Student Number],YES_Writing_FLA[Student Number]),0),MATCH(VLOOKUP(D$7,'Writing Logic'!$J$7:$K$11,2,FALSE)&amp;" - Per "&amp;VLOOKUP($C$4,'Writing Logic'!$G$8:$H$14,2,FALSE),YES_Writing_ELA[#Headers],0)))="INS",'Writing Logic'!$B$7,IF(INDEX(_xlfn.VSTACK(YES_Writing_ELA[#Data],YES_Writing_FLA[#Data]),MATCH($A545,_xlfn.VSTACK(YES_Writing_ELA[Student Number],YES_Writing_FLA[Student Number]),0),MATCH(VLOOKUP(D$7,'Writing Logic'!$J$7:$K$11,2,FALSE)&amp;" - Per "&amp;VLOOKUP($C$4,'Writing Logic'!$G$8:$H$14,2,FALSE),YES_Writing_ELA[#Headers],0))=0,"",INDEX(_xlfn.VSTACK(YES_Writing_ELA[#Data],YES_Writing_FLA[#Data]),MATCH($A545,_xlfn.VSTACK(YES_Writing_ELA[Student Number],YES_Writing_FLA[Student Number]),0),MATCH(VLOOKUP(D$7,'Writing Logic'!$J$7:$K$11,2,FALSE)&amp;" - Per "&amp;VLOOKUP($C$4,'Writing Logic'!$G$8:$H$14,2,FALSE),YES_Writing_ELA[#Headers],0)))),"")</f>
        <v/>
      </c>
      <c r="E545" s="138" t="str">
        <f>IFERROR(IF(IF(INDEX(_xlfn.VSTACK(YES_Writing_ELA[#Data],YES_Writing_FLA[#Data]),MATCH($A545,_xlfn.VSTACK(YES_Writing_ELA[Student Number],YES_Writing_FLA[Student Number]),0),MATCH(VLOOKUP(E$7,'Writing Logic'!$J$7:$K$11,2,FALSE)&amp;" - Per "&amp;VLOOKUP($C$4,'Writing Logic'!$G$8:$H$14,2,FALSE),YES_Writing_ELA[#Headers],0))=0,"",INDEX(_xlfn.VSTACK(YES_Writing_ELA[#Data],YES_Writing_FLA[#Data]),MATCH($A545,_xlfn.VSTACK(YES_Writing_ELA[Student Number],YES_Writing_FLA[Student Number]),0),MATCH(VLOOKUP(E$7,'Writing Logic'!$J$7:$K$11,2,FALSE)&amp;" - Per "&amp;VLOOKUP($C$4,'Writing Logic'!$G$8:$H$14,2,FALSE),YES_Writing_ELA[#Headers],0)))="INS",'Writing Logic'!$B$7,IF(INDEX(_xlfn.VSTACK(YES_Writing_ELA[#Data],YES_Writing_FLA[#Data]),MATCH($A545,_xlfn.VSTACK(YES_Writing_ELA[Student Number],YES_Writing_FLA[Student Number]),0),MATCH(VLOOKUP(E$7,'Writing Logic'!$J$7:$K$11,2,FALSE)&amp;" - Per "&amp;VLOOKUP($C$4,'Writing Logic'!$G$8:$H$14,2,FALSE),YES_Writing_ELA[#Headers],0))=0,"",INDEX(_xlfn.VSTACK(YES_Writing_ELA[#Data],YES_Writing_FLA[#Data]),MATCH($A545,_xlfn.VSTACK(YES_Writing_ELA[Student Number],YES_Writing_FLA[Student Number]),0),MATCH(VLOOKUP(E$7,'Writing Logic'!$J$7:$K$11,2,FALSE)&amp;" - Per "&amp;VLOOKUP($C$4,'Writing Logic'!$G$8:$H$14,2,FALSE),YES_Writing_ELA[#Headers],0)))),"")</f>
        <v/>
      </c>
      <c r="F545" s="138" t="str">
        <f>IFERROR(IF(IF(INDEX(_xlfn.VSTACK(YES_Writing_ELA[#Data],YES_Writing_FLA[#Data]),MATCH($A545,_xlfn.VSTACK(YES_Writing_ELA[Student Number],YES_Writing_FLA[Student Number]),0),MATCH(VLOOKUP(F$7,'Writing Logic'!$J$7:$K$11,2,FALSE)&amp;" - Per "&amp;VLOOKUP($C$4,'Writing Logic'!$G$8:$H$14,2,FALSE),YES_Writing_ELA[#Headers],0))=0,"",INDEX(_xlfn.VSTACK(YES_Writing_ELA[#Data],YES_Writing_FLA[#Data]),MATCH($A545,_xlfn.VSTACK(YES_Writing_ELA[Student Number],YES_Writing_FLA[Student Number]),0),MATCH(VLOOKUP(F$7,'Writing Logic'!$J$7:$K$11,2,FALSE)&amp;" - Per "&amp;VLOOKUP($C$4,'Writing Logic'!$G$8:$H$14,2,FALSE),YES_Writing_ELA[#Headers],0)))="INS",'Writing Logic'!$B$7,IF(INDEX(_xlfn.VSTACK(YES_Writing_ELA[#Data],YES_Writing_FLA[#Data]),MATCH($A545,_xlfn.VSTACK(YES_Writing_ELA[Student Number],YES_Writing_FLA[Student Number]),0),MATCH(VLOOKUP(F$7,'Writing Logic'!$J$7:$K$11,2,FALSE)&amp;" - Per "&amp;VLOOKUP($C$4,'Writing Logic'!$G$8:$H$14,2,FALSE),YES_Writing_ELA[#Headers],0))=0,"",INDEX(_xlfn.VSTACK(YES_Writing_ELA[#Data],YES_Writing_FLA[#Data]),MATCH($A545,_xlfn.VSTACK(YES_Writing_ELA[Student Number],YES_Writing_FLA[Student Number]),0),MATCH(VLOOKUP(F$7,'Writing Logic'!$J$7:$K$11,2,FALSE)&amp;" - Per "&amp;VLOOKUP($C$4,'Writing Logic'!$G$8:$H$14,2,FALSE),YES_Writing_ELA[#Headers],0)))),"")</f>
        <v/>
      </c>
      <c r="G545" s="138" t="str">
        <f>IFERROR(IF(IF(INDEX(_xlfn.VSTACK(YES_Writing_ELA[#Data],YES_Writing_FLA[#Data]),MATCH($A545,_xlfn.VSTACK(YES_Writing_ELA[Student Number],YES_Writing_FLA[Student Number]),0),MATCH(VLOOKUP(G$7,'Writing Logic'!$J$7:$K$11,2,FALSE)&amp;" - Per "&amp;VLOOKUP($C$4,'Writing Logic'!$G$8:$H$14,2,FALSE),YES_Writing_ELA[#Headers],0))=0,"",INDEX(_xlfn.VSTACK(YES_Writing_ELA[#Data],YES_Writing_FLA[#Data]),MATCH($A545,_xlfn.VSTACK(YES_Writing_ELA[Student Number],YES_Writing_FLA[Student Number]),0),MATCH(VLOOKUP(G$7,'Writing Logic'!$J$7:$K$11,2,FALSE)&amp;" - Per "&amp;VLOOKUP($C$4,'Writing Logic'!$G$8:$H$14,2,FALSE),YES_Writing_ELA[#Headers],0)))="INS",'Writing Logic'!$B$7,IF(INDEX(_xlfn.VSTACK(YES_Writing_ELA[#Data],YES_Writing_FLA[#Data]),MATCH($A545,_xlfn.VSTACK(YES_Writing_ELA[Student Number],YES_Writing_FLA[Student Number]),0),MATCH(VLOOKUP(G$7,'Writing Logic'!$J$7:$K$11,2,FALSE)&amp;" - Per "&amp;VLOOKUP($C$4,'Writing Logic'!$G$8:$H$14,2,FALSE),YES_Writing_ELA[#Headers],0))=0,"",INDEX(_xlfn.VSTACK(YES_Writing_ELA[#Data],YES_Writing_FLA[#Data]),MATCH($A545,_xlfn.VSTACK(YES_Writing_ELA[Student Number],YES_Writing_FLA[Student Number]),0),MATCH(VLOOKUP(G$7,'Writing Logic'!$J$7:$K$11,2,FALSE)&amp;" - Per "&amp;VLOOKUP($C$4,'Writing Logic'!$G$8:$H$14,2,FALSE),YES_Writing_ELA[#Headers],0)))),"")</f>
        <v/>
      </c>
      <c r="H545" s="138" t="str">
        <f>IFERROR(IF(IF(INDEX(_xlfn.VSTACK(YES_Writing_ELA[#Data],YES_Writing_FLA[#Data]),MATCH($A545,_xlfn.VSTACK(YES_Writing_ELA[Student Number],YES_Writing_FLA[Student Number]),0),MATCH(VLOOKUP(H$7,'Writing Logic'!$J$7:$K$11,2,FALSE)&amp;" - Per "&amp;VLOOKUP($C$4,'Writing Logic'!$G$8:$H$14,2,FALSE),YES_Writing_ELA[#Headers],0))=0,"",INDEX(_xlfn.VSTACK(YES_Writing_ELA[#Data],YES_Writing_FLA[#Data]),MATCH($A545,_xlfn.VSTACK(YES_Writing_ELA[Student Number],YES_Writing_FLA[Student Number]),0),MATCH(VLOOKUP(H$7,'Writing Logic'!$J$7:$K$11,2,FALSE)&amp;" - Per "&amp;VLOOKUP($C$4,'Writing Logic'!$G$8:$H$14,2,FALSE),YES_Writing_ELA[#Headers],0)))="INS",'Writing Logic'!$B$7,IF(INDEX(_xlfn.VSTACK(YES_Writing_ELA[#Data],YES_Writing_FLA[#Data]),MATCH($A545,_xlfn.VSTACK(YES_Writing_ELA[Student Number],YES_Writing_FLA[Student Number]),0),MATCH(VLOOKUP(H$7,'Writing Logic'!$J$7:$K$11,2,FALSE)&amp;" - Per "&amp;VLOOKUP($C$4,'Writing Logic'!$G$8:$H$14,2,FALSE),YES_Writing_ELA[#Headers],0))=0,"",INDEX(_xlfn.VSTACK(YES_Writing_ELA[#Data],YES_Writing_FLA[#Data]),MATCH($A545,_xlfn.VSTACK(YES_Writing_ELA[Student Number],YES_Writing_FLA[Student Number]),0),MATCH(VLOOKUP(H$7,'Writing Logic'!$J$7:$K$11,2,FALSE)&amp;" - Per "&amp;VLOOKUP($C$4,'Writing Logic'!$G$8:$H$14,2,FALSE),YES_Writing_ELA[#Headers],0)))),"")</f>
        <v/>
      </c>
    </row>
    <row r="546" spans="1:8" x14ac:dyDescent="0.25">
      <c r="A546" s="137"/>
      <c r="B546" s="137" t="str">
        <f>IFERROR(INDEX(_xlfn.VSTACK(YES_Writing_ELA[#Data], YES_Writing_FLA[#Data]),MATCH($A546,_xlfn.VSTACK(YES_Writing_ELA[Student Number], YES_Writing_FLA[Student Number]),0),MATCH(B$7,YES_Writing_ELA[#Headers],0)),"")</f>
        <v/>
      </c>
      <c r="C546" s="137" t="str">
        <f>IFERROR(INDEX(_xlfn.VSTACK(YES_Writing_ELA[#Data], YES_Writing_FLA[#Data]),MATCH($A546,_xlfn.VSTACK(YES_Writing_ELA[Student Number], YES_Writing_FLA[Student Number]),0),MATCH(C$7,YES_Writing_ELA[#Headers],0)),"")</f>
        <v/>
      </c>
      <c r="D546" s="138" t="str">
        <f>IFERROR(IF(IF(INDEX(_xlfn.VSTACK(YES_Writing_ELA[#Data],YES_Writing_FLA[#Data]),MATCH($A546,_xlfn.VSTACK(YES_Writing_ELA[Student Number],YES_Writing_FLA[Student Number]),0),MATCH(VLOOKUP(D$7,'Writing Logic'!$J$7:$K$11,2,FALSE)&amp;" - Per "&amp;VLOOKUP($C$4,'Writing Logic'!$G$8:$H$14,2,FALSE),YES_Writing_ELA[#Headers],0))=0,"",INDEX(_xlfn.VSTACK(YES_Writing_ELA[#Data],YES_Writing_FLA[#Data]),MATCH($A546,_xlfn.VSTACK(YES_Writing_ELA[Student Number],YES_Writing_FLA[Student Number]),0),MATCH(VLOOKUP(D$7,'Writing Logic'!$J$7:$K$11,2,FALSE)&amp;" - Per "&amp;VLOOKUP($C$4,'Writing Logic'!$G$8:$H$14,2,FALSE),YES_Writing_ELA[#Headers],0)))="INS",'Writing Logic'!$B$7,IF(INDEX(_xlfn.VSTACK(YES_Writing_ELA[#Data],YES_Writing_FLA[#Data]),MATCH($A546,_xlfn.VSTACK(YES_Writing_ELA[Student Number],YES_Writing_FLA[Student Number]),0),MATCH(VLOOKUP(D$7,'Writing Logic'!$J$7:$K$11,2,FALSE)&amp;" - Per "&amp;VLOOKUP($C$4,'Writing Logic'!$G$8:$H$14,2,FALSE),YES_Writing_ELA[#Headers],0))=0,"",INDEX(_xlfn.VSTACK(YES_Writing_ELA[#Data],YES_Writing_FLA[#Data]),MATCH($A546,_xlfn.VSTACK(YES_Writing_ELA[Student Number],YES_Writing_FLA[Student Number]),0),MATCH(VLOOKUP(D$7,'Writing Logic'!$J$7:$K$11,2,FALSE)&amp;" - Per "&amp;VLOOKUP($C$4,'Writing Logic'!$G$8:$H$14,2,FALSE),YES_Writing_ELA[#Headers],0)))),"")</f>
        <v/>
      </c>
      <c r="E546" s="138" t="str">
        <f>IFERROR(IF(IF(INDEX(_xlfn.VSTACK(YES_Writing_ELA[#Data],YES_Writing_FLA[#Data]),MATCH($A546,_xlfn.VSTACK(YES_Writing_ELA[Student Number],YES_Writing_FLA[Student Number]),0),MATCH(VLOOKUP(E$7,'Writing Logic'!$J$7:$K$11,2,FALSE)&amp;" - Per "&amp;VLOOKUP($C$4,'Writing Logic'!$G$8:$H$14,2,FALSE),YES_Writing_ELA[#Headers],0))=0,"",INDEX(_xlfn.VSTACK(YES_Writing_ELA[#Data],YES_Writing_FLA[#Data]),MATCH($A546,_xlfn.VSTACK(YES_Writing_ELA[Student Number],YES_Writing_FLA[Student Number]),0),MATCH(VLOOKUP(E$7,'Writing Logic'!$J$7:$K$11,2,FALSE)&amp;" - Per "&amp;VLOOKUP($C$4,'Writing Logic'!$G$8:$H$14,2,FALSE),YES_Writing_ELA[#Headers],0)))="INS",'Writing Logic'!$B$7,IF(INDEX(_xlfn.VSTACK(YES_Writing_ELA[#Data],YES_Writing_FLA[#Data]),MATCH($A546,_xlfn.VSTACK(YES_Writing_ELA[Student Number],YES_Writing_FLA[Student Number]),0),MATCH(VLOOKUP(E$7,'Writing Logic'!$J$7:$K$11,2,FALSE)&amp;" - Per "&amp;VLOOKUP($C$4,'Writing Logic'!$G$8:$H$14,2,FALSE),YES_Writing_ELA[#Headers],0))=0,"",INDEX(_xlfn.VSTACK(YES_Writing_ELA[#Data],YES_Writing_FLA[#Data]),MATCH($A546,_xlfn.VSTACK(YES_Writing_ELA[Student Number],YES_Writing_FLA[Student Number]),0),MATCH(VLOOKUP(E$7,'Writing Logic'!$J$7:$K$11,2,FALSE)&amp;" - Per "&amp;VLOOKUP($C$4,'Writing Logic'!$G$8:$H$14,2,FALSE),YES_Writing_ELA[#Headers],0)))),"")</f>
        <v/>
      </c>
      <c r="F546" s="138" t="str">
        <f>IFERROR(IF(IF(INDEX(_xlfn.VSTACK(YES_Writing_ELA[#Data],YES_Writing_FLA[#Data]),MATCH($A546,_xlfn.VSTACK(YES_Writing_ELA[Student Number],YES_Writing_FLA[Student Number]),0),MATCH(VLOOKUP(F$7,'Writing Logic'!$J$7:$K$11,2,FALSE)&amp;" - Per "&amp;VLOOKUP($C$4,'Writing Logic'!$G$8:$H$14,2,FALSE),YES_Writing_ELA[#Headers],0))=0,"",INDEX(_xlfn.VSTACK(YES_Writing_ELA[#Data],YES_Writing_FLA[#Data]),MATCH($A546,_xlfn.VSTACK(YES_Writing_ELA[Student Number],YES_Writing_FLA[Student Number]),0),MATCH(VLOOKUP(F$7,'Writing Logic'!$J$7:$K$11,2,FALSE)&amp;" - Per "&amp;VLOOKUP($C$4,'Writing Logic'!$G$8:$H$14,2,FALSE),YES_Writing_ELA[#Headers],0)))="INS",'Writing Logic'!$B$7,IF(INDEX(_xlfn.VSTACK(YES_Writing_ELA[#Data],YES_Writing_FLA[#Data]),MATCH($A546,_xlfn.VSTACK(YES_Writing_ELA[Student Number],YES_Writing_FLA[Student Number]),0),MATCH(VLOOKUP(F$7,'Writing Logic'!$J$7:$K$11,2,FALSE)&amp;" - Per "&amp;VLOOKUP($C$4,'Writing Logic'!$G$8:$H$14,2,FALSE),YES_Writing_ELA[#Headers],0))=0,"",INDEX(_xlfn.VSTACK(YES_Writing_ELA[#Data],YES_Writing_FLA[#Data]),MATCH($A546,_xlfn.VSTACK(YES_Writing_ELA[Student Number],YES_Writing_FLA[Student Number]),0),MATCH(VLOOKUP(F$7,'Writing Logic'!$J$7:$K$11,2,FALSE)&amp;" - Per "&amp;VLOOKUP($C$4,'Writing Logic'!$G$8:$H$14,2,FALSE),YES_Writing_ELA[#Headers],0)))),"")</f>
        <v/>
      </c>
      <c r="G546" s="138" t="str">
        <f>IFERROR(IF(IF(INDEX(_xlfn.VSTACK(YES_Writing_ELA[#Data],YES_Writing_FLA[#Data]),MATCH($A546,_xlfn.VSTACK(YES_Writing_ELA[Student Number],YES_Writing_FLA[Student Number]),0),MATCH(VLOOKUP(G$7,'Writing Logic'!$J$7:$K$11,2,FALSE)&amp;" - Per "&amp;VLOOKUP($C$4,'Writing Logic'!$G$8:$H$14,2,FALSE),YES_Writing_ELA[#Headers],0))=0,"",INDEX(_xlfn.VSTACK(YES_Writing_ELA[#Data],YES_Writing_FLA[#Data]),MATCH($A546,_xlfn.VSTACK(YES_Writing_ELA[Student Number],YES_Writing_FLA[Student Number]),0),MATCH(VLOOKUP(G$7,'Writing Logic'!$J$7:$K$11,2,FALSE)&amp;" - Per "&amp;VLOOKUP($C$4,'Writing Logic'!$G$8:$H$14,2,FALSE),YES_Writing_ELA[#Headers],0)))="INS",'Writing Logic'!$B$7,IF(INDEX(_xlfn.VSTACK(YES_Writing_ELA[#Data],YES_Writing_FLA[#Data]),MATCH($A546,_xlfn.VSTACK(YES_Writing_ELA[Student Number],YES_Writing_FLA[Student Number]),0),MATCH(VLOOKUP(G$7,'Writing Logic'!$J$7:$K$11,2,FALSE)&amp;" - Per "&amp;VLOOKUP($C$4,'Writing Logic'!$G$8:$H$14,2,FALSE),YES_Writing_ELA[#Headers],0))=0,"",INDEX(_xlfn.VSTACK(YES_Writing_ELA[#Data],YES_Writing_FLA[#Data]),MATCH($A546,_xlfn.VSTACK(YES_Writing_ELA[Student Number],YES_Writing_FLA[Student Number]),0),MATCH(VLOOKUP(G$7,'Writing Logic'!$J$7:$K$11,2,FALSE)&amp;" - Per "&amp;VLOOKUP($C$4,'Writing Logic'!$G$8:$H$14,2,FALSE),YES_Writing_ELA[#Headers],0)))),"")</f>
        <v/>
      </c>
      <c r="H546" s="138" t="str">
        <f>IFERROR(IF(IF(INDEX(_xlfn.VSTACK(YES_Writing_ELA[#Data],YES_Writing_FLA[#Data]),MATCH($A546,_xlfn.VSTACK(YES_Writing_ELA[Student Number],YES_Writing_FLA[Student Number]),0),MATCH(VLOOKUP(H$7,'Writing Logic'!$J$7:$K$11,2,FALSE)&amp;" - Per "&amp;VLOOKUP($C$4,'Writing Logic'!$G$8:$H$14,2,FALSE),YES_Writing_ELA[#Headers],0))=0,"",INDEX(_xlfn.VSTACK(YES_Writing_ELA[#Data],YES_Writing_FLA[#Data]),MATCH($A546,_xlfn.VSTACK(YES_Writing_ELA[Student Number],YES_Writing_FLA[Student Number]),0),MATCH(VLOOKUP(H$7,'Writing Logic'!$J$7:$K$11,2,FALSE)&amp;" - Per "&amp;VLOOKUP($C$4,'Writing Logic'!$G$8:$H$14,2,FALSE),YES_Writing_ELA[#Headers],0)))="INS",'Writing Logic'!$B$7,IF(INDEX(_xlfn.VSTACK(YES_Writing_ELA[#Data],YES_Writing_FLA[#Data]),MATCH($A546,_xlfn.VSTACK(YES_Writing_ELA[Student Number],YES_Writing_FLA[Student Number]),0),MATCH(VLOOKUP(H$7,'Writing Logic'!$J$7:$K$11,2,FALSE)&amp;" - Per "&amp;VLOOKUP($C$4,'Writing Logic'!$G$8:$H$14,2,FALSE),YES_Writing_ELA[#Headers],0))=0,"",INDEX(_xlfn.VSTACK(YES_Writing_ELA[#Data],YES_Writing_FLA[#Data]),MATCH($A546,_xlfn.VSTACK(YES_Writing_ELA[Student Number],YES_Writing_FLA[Student Number]),0),MATCH(VLOOKUP(H$7,'Writing Logic'!$J$7:$K$11,2,FALSE)&amp;" - Per "&amp;VLOOKUP($C$4,'Writing Logic'!$G$8:$H$14,2,FALSE),YES_Writing_ELA[#Headers],0)))),"")</f>
        <v/>
      </c>
    </row>
    <row r="547" spans="1:8" x14ac:dyDescent="0.25">
      <c r="A547" s="137"/>
      <c r="B547" s="137" t="str">
        <f>IFERROR(INDEX(_xlfn.VSTACK(YES_Writing_ELA[#Data], YES_Writing_FLA[#Data]),MATCH($A547,_xlfn.VSTACK(YES_Writing_ELA[Student Number], YES_Writing_FLA[Student Number]),0),MATCH(B$7,YES_Writing_ELA[#Headers],0)),"")</f>
        <v/>
      </c>
      <c r="C547" s="137" t="str">
        <f>IFERROR(INDEX(_xlfn.VSTACK(YES_Writing_ELA[#Data], YES_Writing_FLA[#Data]),MATCH($A547,_xlfn.VSTACK(YES_Writing_ELA[Student Number], YES_Writing_FLA[Student Number]),0),MATCH(C$7,YES_Writing_ELA[#Headers],0)),"")</f>
        <v/>
      </c>
      <c r="D547" s="138" t="str">
        <f>IFERROR(IF(IF(INDEX(_xlfn.VSTACK(YES_Writing_ELA[#Data],YES_Writing_FLA[#Data]),MATCH($A547,_xlfn.VSTACK(YES_Writing_ELA[Student Number],YES_Writing_FLA[Student Number]),0),MATCH(VLOOKUP(D$7,'Writing Logic'!$J$7:$K$11,2,FALSE)&amp;" - Per "&amp;VLOOKUP($C$4,'Writing Logic'!$G$8:$H$14,2,FALSE),YES_Writing_ELA[#Headers],0))=0,"",INDEX(_xlfn.VSTACK(YES_Writing_ELA[#Data],YES_Writing_FLA[#Data]),MATCH($A547,_xlfn.VSTACK(YES_Writing_ELA[Student Number],YES_Writing_FLA[Student Number]),0),MATCH(VLOOKUP(D$7,'Writing Logic'!$J$7:$K$11,2,FALSE)&amp;" - Per "&amp;VLOOKUP($C$4,'Writing Logic'!$G$8:$H$14,2,FALSE),YES_Writing_ELA[#Headers],0)))="INS",'Writing Logic'!$B$7,IF(INDEX(_xlfn.VSTACK(YES_Writing_ELA[#Data],YES_Writing_FLA[#Data]),MATCH($A547,_xlfn.VSTACK(YES_Writing_ELA[Student Number],YES_Writing_FLA[Student Number]),0),MATCH(VLOOKUP(D$7,'Writing Logic'!$J$7:$K$11,2,FALSE)&amp;" - Per "&amp;VLOOKUP($C$4,'Writing Logic'!$G$8:$H$14,2,FALSE),YES_Writing_ELA[#Headers],0))=0,"",INDEX(_xlfn.VSTACK(YES_Writing_ELA[#Data],YES_Writing_FLA[#Data]),MATCH($A547,_xlfn.VSTACK(YES_Writing_ELA[Student Number],YES_Writing_FLA[Student Number]),0),MATCH(VLOOKUP(D$7,'Writing Logic'!$J$7:$K$11,2,FALSE)&amp;" - Per "&amp;VLOOKUP($C$4,'Writing Logic'!$G$8:$H$14,2,FALSE),YES_Writing_ELA[#Headers],0)))),"")</f>
        <v/>
      </c>
      <c r="E547" s="138" t="str">
        <f>IFERROR(IF(IF(INDEX(_xlfn.VSTACK(YES_Writing_ELA[#Data],YES_Writing_FLA[#Data]),MATCH($A547,_xlfn.VSTACK(YES_Writing_ELA[Student Number],YES_Writing_FLA[Student Number]),0),MATCH(VLOOKUP(E$7,'Writing Logic'!$J$7:$K$11,2,FALSE)&amp;" - Per "&amp;VLOOKUP($C$4,'Writing Logic'!$G$8:$H$14,2,FALSE),YES_Writing_ELA[#Headers],0))=0,"",INDEX(_xlfn.VSTACK(YES_Writing_ELA[#Data],YES_Writing_FLA[#Data]),MATCH($A547,_xlfn.VSTACK(YES_Writing_ELA[Student Number],YES_Writing_FLA[Student Number]),0),MATCH(VLOOKUP(E$7,'Writing Logic'!$J$7:$K$11,2,FALSE)&amp;" - Per "&amp;VLOOKUP($C$4,'Writing Logic'!$G$8:$H$14,2,FALSE),YES_Writing_ELA[#Headers],0)))="INS",'Writing Logic'!$B$7,IF(INDEX(_xlfn.VSTACK(YES_Writing_ELA[#Data],YES_Writing_FLA[#Data]),MATCH($A547,_xlfn.VSTACK(YES_Writing_ELA[Student Number],YES_Writing_FLA[Student Number]),0),MATCH(VLOOKUP(E$7,'Writing Logic'!$J$7:$K$11,2,FALSE)&amp;" - Per "&amp;VLOOKUP($C$4,'Writing Logic'!$G$8:$H$14,2,FALSE),YES_Writing_ELA[#Headers],0))=0,"",INDEX(_xlfn.VSTACK(YES_Writing_ELA[#Data],YES_Writing_FLA[#Data]),MATCH($A547,_xlfn.VSTACK(YES_Writing_ELA[Student Number],YES_Writing_FLA[Student Number]),0),MATCH(VLOOKUP(E$7,'Writing Logic'!$J$7:$K$11,2,FALSE)&amp;" - Per "&amp;VLOOKUP($C$4,'Writing Logic'!$G$8:$H$14,2,FALSE),YES_Writing_ELA[#Headers],0)))),"")</f>
        <v/>
      </c>
      <c r="F547" s="138" t="str">
        <f>IFERROR(IF(IF(INDEX(_xlfn.VSTACK(YES_Writing_ELA[#Data],YES_Writing_FLA[#Data]),MATCH($A547,_xlfn.VSTACK(YES_Writing_ELA[Student Number],YES_Writing_FLA[Student Number]),0),MATCH(VLOOKUP(F$7,'Writing Logic'!$J$7:$K$11,2,FALSE)&amp;" - Per "&amp;VLOOKUP($C$4,'Writing Logic'!$G$8:$H$14,2,FALSE),YES_Writing_ELA[#Headers],0))=0,"",INDEX(_xlfn.VSTACK(YES_Writing_ELA[#Data],YES_Writing_FLA[#Data]),MATCH($A547,_xlfn.VSTACK(YES_Writing_ELA[Student Number],YES_Writing_FLA[Student Number]),0),MATCH(VLOOKUP(F$7,'Writing Logic'!$J$7:$K$11,2,FALSE)&amp;" - Per "&amp;VLOOKUP($C$4,'Writing Logic'!$G$8:$H$14,2,FALSE),YES_Writing_ELA[#Headers],0)))="INS",'Writing Logic'!$B$7,IF(INDEX(_xlfn.VSTACK(YES_Writing_ELA[#Data],YES_Writing_FLA[#Data]),MATCH($A547,_xlfn.VSTACK(YES_Writing_ELA[Student Number],YES_Writing_FLA[Student Number]),0),MATCH(VLOOKUP(F$7,'Writing Logic'!$J$7:$K$11,2,FALSE)&amp;" - Per "&amp;VLOOKUP($C$4,'Writing Logic'!$G$8:$H$14,2,FALSE),YES_Writing_ELA[#Headers],0))=0,"",INDEX(_xlfn.VSTACK(YES_Writing_ELA[#Data],YES_Writing_FLA[#Data]),MATCH($A547,_xlfn.VSTACK(YES_Writing_ELA[Student Number],YES_Writing_FLA[Student Number]),0),MATCH(VLOOKUP(F$7,'Writing Logic'!$J$7:$K$11,2,FALSE)&amp;" - Per "&amp;VLOOKUP($C$4,'Writing Logic'!$G$8:$H$14,2,FALSE),YES_Writing_ELA[#Headers],0)))),"")</f>
        <v/>
      </c>
      <c r="G547" s="138" t="str">
        <f>IFERROR(IF(IF(INDEX(_xlfn.VSTACK(YES_Writing_ELA[#Data],YES_Writing_FLA[#Data]),MATCH($A547,_xlfn.VSTACK(YES_Writing_ELA[Student Number],YES_Writing_FLA[Student Number]),0),MATCH(VLOOKUP(G$7,'Writing Logic'!$J$7:$K$11,2,FALSE)&amp;" - Per "&amp;VLOOKUP($C$4,'Writing Logic'!$G$8:$H$14,2,FALSE),YES_Writing_ELA[#Headers],0))=0,"",INDEX(_xlfn.VSTACK(YES_Writing_ELA[#Data],YES_Writing_FLA[#Data]),MATCH($A547,_xlfn.VSTACK(YES_Writing_ELA[Student Number],YES_Writing_FLA[Student Number]),0),MATCH(VLOOKUP(G$7,'Writing Logic'!$J$7:$K$11,2,FALSE)&amp;" - Per "&amp;VLOOKUP($C$4,'Writing Logic'!$G$8:$H$14,2,FALSE),YES_Writing_ELA[#Headers],0)))="INS",'Writing Logic'!$B$7,IF(INDEX(_xlfn.VSTACK(YES_Writing_ELA[#Data],YES_Writing_FLA[#Data]),MATCH($A547,_xlfn.VSTACK(YES_Writing_ELA[Student Number],YES_Writing_FLA[Student Number]),0),MATCH(VLOOKUP(G$7,'Writing Logic'!$J$7:$K$11,2,FALSE)&amp;" - Per "&amp;VLOOKUP($C$4,'Writing Logic'!$G$8:$H$14,2,FALSE),YES_Writing_ELA[#Headers],0))=0,"",INDEX(_xlfn.VSTACK(YES_Writing_ELA[#Data],YES_Writing_FLA[#Data]),MATCH($A547,_xlfn.VSTACK(YES_Writing_ELA[Student Number],YES_Writing_FLA[Student Number]),0),MATCH(VLOOKUP(G$7,'Writing Logic'!$J$7:$K$11,2,FALSE)&amp;" - Per "&amp;VLOOKUP($C$4,'Writing Logic'!$G$8:$H$14,2,FALSE),YES_Writing_ELA[#Headers],0)))),"")</f>
        <v/>
      </c>
      <c r="H547" s="138" t="str">
        <f>IFERROR(IF(IF(INDEX(_xlfn.VSTACK(YES_Writing_ELA[#Data],YES_Writing_FLA[#Data]),MATCH($A547,_xlfn.VSTACK(YES_Writing_ELA[Student Number],YES_Writing_FLA[Student Number]),0),MATCH(VLOOKUP(H$7,'Writing Logic'!$J$7:$K$11,2,FALSE)&amp;" - Per "&amp;VLOOKUP($C$4,'Writing Logic'!$G$8:$H$14,2,FALSE),YES_Writing_ELA[#Headers],0))=0,"",INDEX(_xlfn.VSTACK(YES_Writing_ELA[#Data],YES_Writing_FLA[#Data]),MATCH($A547,_xlfn.VSTACK(YES_Writing_ELA[Student Number],YES_Writing_FLA[Student Number]),0),MATCH(VLOOKUP(H$7,'Writing Logic'!$J$7:$K$11,2,FALSE)&amp;" - Per "&amp;VLOOKUP($C$4,'Writing Logic'!$G$8:$H$14,2,FALSE),YES_Writing_ELA[#Headers],0)))="INS",'Writing Logic'!$B$7,IF(INDEX(_xlfn.VSTACK(YES_Writing_ELA[#Data],YES_Writing_FLA[#Data]),MATCH($A547,_xlfn.VSTACK(YES_Writing_ELA[Student Number],YES_Writing_FLA[Student Number]),0),MATCH(VLOOKUP(H$7,'Writing Logic'!$J$7:$K$11,2,FALSE)&amp;" - Per "&amp;VLOOKUP($C$4,'Writing Logic'!$G$8:$H$14,2,FALSE),YES_Writing_ELA[#Headers],0))=0,"",INDEX(_xlfn.VSTACK(YES_Writing_ELA[#Data],YES_Writing_FLA[#Data]),MATCH($A547,_xlfn.VSTACK(YES_Writing_ELA[Student Number],YES_Writing_FLA[Student Number]),0),MATCH(VLOOKUP(H$7,'Writing Logic'!$J$7:$K$11,2,FALSE)&amp;" - Per "&amp;VLOOKUP($C$4,'Writing Logic'!$G$8:$H$14,2,FALSE),YES_Writing_ELA[#Headers],0)))),"")</f>
        <v/>
      </c>
    </row>
    <row r="548" spans="1:8" x14ac:dyDescent="0.25">
      <c r="A548" s="137"/>
      <c r="B548" s="137" t="str">
        <f>IFERROR(INDEX(_xlfn.VSTACK(YES_Writing_ELA[#Data], YES_Writing_FLA[#Data]),MATCH($A548,_xlfn.VSTACK(YES_Writing_ELA[Student Number], YES_Writing_FLA[Student Number]),0),MATCH(B$7,YES_Writing_ELA[#Headers],0)),"")</f>
        <v/>
      </c>
      <c r="C548" s="137" t="str">
        <f>IFERROR(INDEX(_xlfn.VSTACK(YES_Writing_ELA[#Data], YES_Writing_FLA[#Data]),MATCH($A548,_xlfn.VSTACK(YES_Writing_ELA[Student Number], YES_Writing_FLA[Student Number]),0),MATCH(C$7,YES_Writing_ELA[#Headers],0)),"")</f>
        <v/>
      </c>
      <c r="D548" s="138" t="str">
        <f>IFERROR(IF(IF(INDEX(_xlfn.VSTACK(YES_Writing_ELA[#Data],YES_Writing_FLA[#Data]),MATCH($A548,_xlfn.VSTACK(YES_Writing_ELA[Student Number],YES_Writing_FLA[Student Number]),0),MATCH(VLOOKUP(D$7,'Writing Logic'!$J$7:$K$11,2,FALSE)&amp;" - Per "&amp;VLOOKUP($C$4,'Writing Logic'!$G$8:$H$14,2,FALSE),YES_Writing_ELA[#Headers],0))=0,"",INDEX(_xlfn.VSTACK(YES_Writing_ELA[#Data],YES_Writing_FLA[#Data]),MATCH($A548,_xlfn.VSTACK(YES_Writing_ELA[Student Number],YES_Writing_FLA[Student Number]),0),MATCH(VLOOKUP(D$7,'Writing Logic'!$J$7:$K$11,2,FALSE)&amp;" - Per "&amp;VLOOKUP($C$4,'Writing Logic'!$G$8:$H$14,2,FALSE),YES_Writing_ELA[#Headers],0)))="INS",'Writing Logic'!$B$7,IF(INDEX(_xlfn.VSTACK(YES_Writing_ELA[#Data],YES_Writing_FLA[#Data]),MATCH($A548,_xlfn.VSTACK(YES_Writing_ELA[Student Number],YES_Writing_FLA[Student Number]),0),MATCH(VLOOKUP(D$7,'Writing Logic'!$J$7:$K$11,2,FALSE)&amp;" - Per "&amp;VLOOKUP($C$4,'Writing Logic'!$G$8:$H$14,2,FALSE),YES_Writing_ELA[#Headers],0))=0,"",INDEX(_xlfn.VSTACK(YES_Writing_ELA[#Data],YES_Writing_FLA[#Data]),MATCH($A548,_xlfn.VSTACK(YES_Writing_ELA[Student Number],YES_Writing_FLA[Student Number]),0),MATCH(VLOOKUP(D$7,'Writing Logic'!$J$7:$K$11,2,FALSE)&amp;" - Per "&amp;VLOOKUP($C$4,'Writing Logic'!$G$8:$H$14,2,FALSE),YES_Writing_ELA[#Headers],0)))),"")</f>
        <v/>
      </c>
      <c r="E548" s="138" t="str">
        <f>IFERROR(IF(IF(INDEX(_xlfn.VSTACK(YES_Writing_ELA[#Data],YES_Writing_FLA[#Data]),MATCH($A548,_xlfn.VSTACK(YES_Writing_ELA[Student Number],YES_Writing_FLA[Student Number]),0),MATCH(VLOOKUP(E$7,'Writing Logic'!$J$7:$K$11,2,FALSE)&amp;" - Per "&amp;VLOOKUP($C$4,'Writing Logic'!$G$8:$H$14,2,FALSE),YES_Writing_ELA[#Headers],0))=0,"",INDEX(_xlfn.VSTACK(YES_Writing_ELA[#Data],YES_Writing_FLA[#Data]),MATCH($A548,_xlfn.VSTACK(YES_Writing_ELA[Student Number],YES_Writing_FLA[Student Number]),0),MATCH(VLOOKUP(E$7,'Writing Logic'!$J$7:$K$11,2,FALSE)&amp;" - Per "&amp;VLOOKUP($C$4,'Writing Logic'!$G$8:$H$14,2,FALSE),YES_Writing_ELA[#Headers],0)))="INS",'Writing Logic'!$B$7,IF(INDEX(_xlfn.VSTACK(YES_Writing_ELA[#Data],YES_Writing_FLA[#Data]),MATCH($A548,_xlfn.VSTACK(YES_Writing_ELA[Student Number],YES_Writing_FLA[Student Number]),0),MATCH(VLOOKUP(E$7,'Writing Logic'!$J$7:$K$11,2,FALSE)&amp;" - Per "&amp;VLOOKUP($C$4,'Writing Logic'!$G$8:$H$14,2,FALSE),YES_Writing_ELA[#Headers],0))=0,"",INDEX(_xlfn.VSTACK(YES_Writing_ELA[#Data],YES_Writing_FLA[#Data]),MATCH($A548,_xlfn.VSTACK(YES_Writing_ELA[Student Number],YES_Writing_FLA[Student Number]),0),MATCH(VLOOKUP(E$7,'Writing Logic'!$J$7:$K$11,2,FALSE)&amp;" - Per "&amp;VLOOKUP($C$4,'Writing Logic'!$G$8:$H$14,2,FALSE),YES_Writing_ELA[#Headers],0)))),"")</f>
        <v/>
      </c>
      <c r="F548" s="138" t="str">
        <f>IFERROR(IF(IF(INDEX(_xlfn.VSTACK(YES_Writing_ELA[#Data],YES_Writing_FLA[#Data]),MATCH($A548,_xlfn.VSTACK(YES_Writing_ELA[Student Number],YES_Writing_FLA[Student Number]),0),MATCH(VLOOKUP(F$7,'Writing Logic'!$J$7:$K$11,2,FALSE)&amp;" - Per "&amp;VLOOKUP($C$4,'Writing Logic'!$G$8:$H$14,2,FALSE),YES_Writing_ELA[#Headers],0))=0,"",INDEX(_xlfn.VSTACK(YES_Writing_ELA[#Data],YES_Writing_FLA[#Data]),MATCH($A548,_xlfn.VSTACK(YES_Writing_ELA[Student Number],YES_Writing_FLA[Student Number]),0),MATCH(VLOOKUP(F$7,'Writing Logic'!$J$7:$K$11,2,FALSE)&amp;" - Per "&amp;VLOOKUP($C$4,'Writing Logic'!$G$8:$H$14,2,FALSE),YES_Writing_ELA[#Headers],0)))="INS",'Writing Logic'!$B$7,IF(INDEX(_xlfn.VSTACK(YES_Writing_ELA[#Data],YES_Writing_FLA[#Data]),MATCH($A548,_xlfn.VSTACK(YES_Writing_ELA[Student Number],YES_Writing_FLA[Student Number]),0),MATCH(VLOOKUP(F$7,'Writing Logic'!$J$7:$K$11,2,FALSE)&amp;" - Per "&amp;VLOOKUP($C$4,'Writing Logic'!$G$8:$H$14,2,FALSE),YES_Writing_ELA[#Headers],0))=0,"",INDEX(_xlfn.VSTACK(YES_Writing_ELA[#Data],YES_Writing_FLA[#Data]),MATCH($A548,_xlfn.VSTACK(YES_Writing_ELA[Student Number],YES_Writing_FLA[Student Number]),0),MATCH(VLOOKUP(F$7,'Writing Logic'!$J$7:$K$11,2,FALSE)&amp;" - Per "&amp;VLOOKUP($C$4,'Writing Logic'!$G$8:$H$14,2,FALSE),YES_Writing_ELA[#Headers],0)))),"")</f>
        <v/>
      </c>
      <c r="G548" s="138" t="str">
        <f>IFERROR(IF(IF(INDEX(_xlfn.VSTACK(YES_Writing_ELA[#Data],YES_Writing_FLA[#Data]),MATCH($A548,_xlfn.VSTACK(YES_Writing_ELA[Student Number],YES_Writing_FLA[Student Number]),0),MATCH(VLOOKUP(G$7,'Writing Logic'!$J$7:$K$11,2,FALSE)&amp;" - Per "&amp;VLOOKUP($C$4,'Writing Logic'!$G$8:$H$14,2,FALSE),YES_Writing_ELA[#Headers],0))=0,"",INDEX(_xlfn.VSTACK(YES_Writing_ELA[#Data],YES_Writing_FLA[#Data]),MATCH($A548,_xlfn.VSTACK(YES_Writing_ELA[Student Number],YES_Writing_FLA[Student Number]),0),MATCH(VLOOKUP(G$7,'Writing Logic'!$J$7:$K$11,2,FALSE)&amp;" - Per "&amp;VLOOKUP($C$4,'Writing Logic'!$G$8:$H$14,2,FALSE),YES_Writing_ELA[#Headers],0)))="INS",'Writing Logic'!$B$7,IF(INDEX(_xlfn.VSTACK(YES_Writing_ELA[#Data],YES_Writing_FLA[#Data]),MATCH($A548,_xlfn.VSTACK(YES_Writing_ELA[Student Number],YES_Writing_FLA[Student Number]),0),MATCH(VLOOKUP(G$7,'Writing Logic'!$J$7:$K$11,2,FALSE)&amp;" - Per "&amp;VLOOKUP($C$4,'Writing Logic'!$G$8:$H$14,2,FALSE),YES_Writing_ELA[#Headers],0))=0,"",INDEX(_xlfn.VSTACK(YES_Writing_ELA[#Data],YES_Writing_FLA[#Data]),MATCH($A548,_xlfn.VSTACK(YES_Writing_ELA[Student Number],YES_Writing_FLA[Student Number]),0),MATCH(VLOOKUP(G$7,'Writing Logic'!$J$7:$K$11,2,FALSE)&amp;" - Per "&amp;VLOOKUP($C$4,'Writing Logic'!$G$8:$H$14,2,FALSE),YES_Writing_ELA[#Headers],0)))),"")</f>
        <v/>
      </c>
      <c r="H548" s="138" t="str">
        <f>IFERROR(IF(IF(INDEX(_xlfn.VSTACK(YES_Writing_ELA[#Data],YES_Writing_FLA[#Data]),MATCH($A548,_xlfn.VSTACK(YES_Writing_ELA[Student Number],YES_Writing_FLA[Student Number]),0),MATCH(VLOOKUP(H$7,'Writing Logic'!$J$7:$K$11,2,FALSE)&amp;" - Per "&amp;VLOOKUP($C$4,'Writing Logic'!$G$8:$H$14,2,FALSE),YES_Writing_ELA[#Headers],0))=0,"",INDEX(_xlfn.VSTACK(YES_Writing_ELA[#Data],YES_Writing_FLA[#Data]),MATCH($A548,_xlfn.VSTACK(YES_Writing_ELA[Student Number],YES_Writing_FLA[Student Number]),0),MATCH(VLOOKUP(H$7,'Writing Logic'!$J$7:$K$11,2,FALSE)&amp;" - Per "&amp;VLOOKUP($C$4,'Writing Logic'!$G$8:$H$14,2,FALSE),YES_Writing_ELA[#Headers],0)))="INS",'Writing Logic'!$B$7,IF(INDEX(_xlfn.VSTACK(YES_Writing_ELA[#Data],YES_Writing_FLA[#Data]),MATCH($A548,_xlfn.VSTACK(YES_Writing_ELA[Student Number],YES_Writing_FLA[Student Number]),0),MATCH(VLOOKUP(H$7,'Writing Logic'!$J$7:$K$11,2,FALSE)&amp;" - Per "&amp;VLOOKUP($C$4,'Writing Logic'!$G$8:$H$14,2,FALSE),YES_Writing_ELA[#Headers],0))=0,"",INDEX(_xlfn.VSTACK(YES_Writing_ELA[#Data],YES_Writing_FLA[#Data]),MATCH($A548,_xlfn.VSTACK(YES_Writing_ELA[Student Number],YES_Writing_FLA[Student Number]),0),MATCH(VLOOKUP(H$7,'Writing Logic'!$J$7:$K$11,2,FALSE)&amp;" - Per "&amp;VLOOKUP($C$4,'Writing Logic'!$G$8:$H$14,2,FALSE),YES_Writing_ELA[#Headers],0)))),"")</f>
        <v/>
      </c>
    </row>
    <row r="549" spans="1:8" x14ac:dyDescent="0.25">
      <c r="A549" s="137"/>
      <c r="B549" s="137" t="str">
        <f>IFERROR(INDEX(_xlfn.VSTACK(YES_Writing_ELA[#Data], YES_Writing_FLA[#Data]),MATCH($A549,_xlfn.VSTACK(YES_Writing_ELA[Student Number], YES_Writing_FLA[Student Number]),0),MATCH(B$7,YES_Writing_ELA[#Headers],0)),"")</f>
        <v/>
      </c>
      <c r="C549" s="137" t="str">
        <f>IFERROR(INDEX(_xlfn.VSTACK(YES_Writing_ELA[#Data], YES_Writing_FLA[#Data]),MATCH($A549,_xlfn.VSTACK(YES_Writing_ELA[Student Number], YES_Writing_FLA[Student Number]),0),MATCH(C$7,YES_Writing_ELA[#Headers],0)),"")</f>
        <v/>
      </c>
      <c r="D549" s="138" t="str">
        <f>IFERROR(IF(IF(INDEX(_xlfn.VSTACK(YES_Writing_ELA[#Data],YES_Writing_FLA[#Data]),MATCH($A549,_xlfn.VSTACK(YES_Writing_ELA[Student Number],YES_Writing_FLA[Student Number]),0),MATCH(VLOOKUP(D$7,'Writing Logic'!$J$7:$K$11,2,FALSE)&amp;" - Per "&amp;VLOOKUP($C$4,'Writing Logic'!$G$8:$H$14,2,FALSE),YES_Writing_ELA[#Headers],0))=0,"",INDEX(_xlfn.VSTACK(YES_Writing_ELA[#Data],YES_Writing_FLA[#Data]),MATCH($A549,_xlfn.VSTACK(YES_Writing_ELA[Student Number],YES_Writing_FLA[Student Number]),0),MATCH(VLOOKUP(D$7,'Writing Logic'!$J$7:$K$11,2,FALSE)&amp;" - Per "&amp;VLOOKUP($C$4,'Writing Logic'!$G$8:$H$14,2,FALSE),YES_Writing_ELA[#Headers],0)))="INS",'Writing Logic'!$B$7,IF(INDEX(_xlfn.VSTACK(YES_Writing_ELA[#Data],YES_Writing_FLA[#Data]),MATCH($A549,_xlfn.VSTACK(YES_Writing_ELA[Student Number],YES_Writing_FLA[Student Number]),0),MATCH(VLOOKUP(D$7,'Writing Logic'!$J$7:$K$11,2,FALSE)&amp;" - Per "&amp;VLOOKUP($C$4,'Writing Logic'!$G$8:$H$14,2,FALSE),YES_Writing_ELA[#Headers],0))=0,"",INDEX(_xlfn.VSTACK(YES_Writing_ELA[#Data],YES_Writing_FLA[#Data]),MATCH($A549,_xlfn.VSTACK(YES_Writing_ELA[Student Number],YES_Writing_FLA[Student Number]),0),MATCH(VLOOKUP(D$7,'Writing Logic'!$J$7:$K$11,2,FALSE)&amp;" - Per "&amp;VLOOKUP($C$4,'Writing Logic'!$G$8:$H$14,2,FALSE),YES_Writing_ELA[#Headers],0)))),"")</f>
        <v/>
      </c>
      <c r="E549" s="138" t="str">
        <f>IFERROR(IF(IF(INDEX(_xlfn.VSTACK(YES_Writing_ELA[#Data],YES_Writing_FLA[#Data]),MATCH($A549,_xlfn.VSTACK(YES_Writing_ELA[Student Number],YES_Writing_FLA[Student Number]),0),MATCH(VLOOKUP(E$7,'Writing Logic'!$J$7:$K$11,2,FALSE)&amp;" - Per "&amp;VLOOKUP($C$4,'Writing Logic'!$G$8:$H$14,2,FALSE),YES_Writing_ELA[#Headers],0))=0,"",INDEX(_xlfn.VSTACK(YES_Writing_ELA[#Data],YES_Writing_FLA[#Data]),MATCH($A549,_xlfn.VSTACK(YES_Writing_ELA[Student Number],YES_Writing_FLA[Student Number]),0),MATCH(VLOOKUP(E$7,'Writing Logic'!$J$7:$K$11,2,FALSE)&amp;" - Per "&amp;VLOOKUP($C$4,'Writing Logic'!$G$8:$H$14,2,FALSE),YES_Writing_ELA[#Headers],0)))="INS",'Writing Logic'!$B$7,IF(INDEX(_xlfn.VSTACK(YES_Writing_ELA[#Data],YES_Writing_FLA[#Data]),MATCH($A549,_xlfn.VSTACK(YES_Writing_ELA[Student Number],YES_Writing_FLA[Student Number]),0),MATCH(VLOOKUP(E$7,'Writing Logic'!$J$7:$K$11,2,FALSE)&amp;" - Per "&amp;VLOOKUP($C$4,'Writing Logic'!$G$8:$H$14,2,FALSE),YES_Writing_ELA[#Headers],0))=0,"",INDEX(_xlfn.VSTACK(YES_Writing_ELA[#Data],YES_Writing_FLA[#Data]),MATCH($A549,_xlfn.VSTACK(YES_Writing_ELA[Student Number],YES_Writing_FLA[Student Number]),0),MATCH(VLOOKUP(E$7,'Writing Logic'!$J$7:$K$11,2,FALSE)&amp;" - Per "&amp;VLOOKUP($C$4,'Writing Logic'!$G$8:$H$14,2,FALSE),YES_Writing_ELA[#Headers],0)))),"")</f>
        <v/>
      </c>
      <c r="F549" s="138" t="str">
        <f>IFERROR(IF(IF(INDEX(_xlfn.VSTACK(YES_Writing_ELA[#Data],YES_Writing_FLA[#Data]),MATCH($A549,_xlfn.VSTACK(YES_Writing_ELA[Student Number],YES_Writing_FLA[Student Number]),0),MATCH(VLOOKUP(F$7,'Writing Logic'!$J$7:$K$11,2,FALSE)&amp;" - Per "&amp;VLOOKUP($C$4,'Writing Logic'!$G$8:$H$14,2,FALSE),YES_Writing_ELA[#Headers],0))=0,"",INDEX(_xlfn.VSTACK(YES_Writing_ELA[#Data],YES_Writing_FLA[#Data]),MATCH($A549,_xlfn.VSTACK(YES_Writing_ELA[Student Number],YES_Writing_FLA[Student Number]),0),MATCH(VLOOKUP(F$7,'Writing Logic'!$J$7:$K$11,2,FALSE)&amp;" - Per "&amp;VLOOKUP($C$4,'Writing Logic'!$G$8:$H$14,2,FALSE),YES_Writing_ELA[#Headers],0)))="INS",'Writing Logic'!$B$7,IF(INDEX(_xlfn.VSTACK(YES_Writing_ELA[#Data],YES_Writing_FLA[#Data]),MATCH($A549,_xlfn.VSTACK(YES_Writing_ELA[Student Number],YES_Writing_FLA[Student Number]),0),MATCH(VLOOKUP(F$7,'Writing Logic'!$J$7:$K$11,2,FALSE)&amp;" - Per "&amp;VLOOKUP($C$4,'Writing Logic'!$G$8:$H$14,2,FALSE),YES_Writing_ELA[#Headers],0))=0,"",INDEX(_xlfn.VSTACK(YES_Writing_ELA[#Data],YES_Writing_FLA[#Data]),MATCH($A549,_xlfn.VSTACK(YES_Writing_ELA[Student Number],YES_Writing_FLA[Student Number]),0),MATCH(VLOOKUP(F$7,'Writing Logic'!$J$7:$K$11,2,FALSE)&amp;" - Per "&amp;VLOOKUP($C$4,'Writing Logic'!$G$8:$H$14,2,FALSE),YES_Writing_ELA[#Headers],0)))),"")</f>
        <v/>
      </c>
      <c r="G549" s="138" t="str">
        <f>IFERROR(IF(IF(INDEX(_xlfn.VSTACK(YES_Writing_ELA[#Data],YES_Writing_FLA[#Data]),MATCH($A549,_xlfn.VSTACK(YES_Writing_ELA[Student Number],YES_Writing_FLA[Student Number]),0),MATCH(VLOOKUP(G$7,'Writing Logic'!$J$7:$K$11,2,FALSE)&amp;" - Per "&amp;VLOOKUP($C$4,'Writing Logic'!$G$8:$H$14,2,FALSE),YES_Writing_ELA[#Headers],0))=0,"",INDEX(_xlfn.VSTACK(YES_Writing_ELA[#Data],YES_Writing_FLA[#Data]),MATCH($A549,_xlfn.VSTACK(YES_Writing_ELA[Student Number],YES_Writing_FLA[Student Number]),0),MATCH(VLOOKUP(G$7,'Writing Logic'!$J$7:$K$11,2,FALSE)&amp;" - Per "&amp;VLOOKUP($C$4,'Writing Logic'!$G$8:$H$14,2,FALSE),YES_Writing_ELA[#Headers],0)))="INS",'Writing Logic'!$B$7,IF(INDEX(_xlfn.VSTACK(YES_Writing_ELA[#Data],YES_Writing_FLA[#Data]),MATCH($A549,_xlfn.VSTACK(YES_Writing_ELA[Student Number],YES_Writing_FLA[Student Number]),0),MATCH(VLOOKUP(G$7,'Writing Logic'!$J$7:$K$11,2,FALSE)&amp;" - Per "&amp;VLOOKUP($C$4,'Writing Logic'!$G$8:$H$14,2,FALSE),YES_Writing_ELA[#Headers],0))=0,"",INDEX(_xlfn.VSTACK(YES_Writing_ELA[#Data],YES_Writing_FLA[#Data]),MATCH($A549,_xlfn.VSTACK(YES_Writing_ELA[Student Number],YES_Writing_FLA[Student Number]),0),MATCH(VLOOKUP(G$7,'Writing Logic'!$J$7:$K$11,2,FALSE)&amp;" - Per "&amp;VLOOKUP($C$4,'Writing Logic'!$G$8:$H$14,2,FALSE),YES_Writing_ELA[#Headers],0)))),"")</f>
        <v/>
      </c>
      <c r="H549" s="138" t="str">
        <f>IFERROR(IF(IF(INDEX(_xlfn.VSTACK(YES_Writing_ELA[#Data],YES_Writing_FLA[#Data]),MATCH($A549,_xlfn.VSTACK(YES_Writing_ELA[Student Number],YES_Writing_FLA[Student Number]),0),MATCH(VLOOKUP(H$7,'Writing Logic'!$J$7:$K$11,2,FALSE)&amp;" - Per "&amp;VLOOKUP($C$4,'Writing Logic'!$G$8:$H$14,2,FALSE),YES_Writing_ELA[#Headers],0))=0,"",INDEX(_xlfn.VSTACK(YES_Writing_ELA[#Data],YES_Writing_FLA[#Data]),MATCH($A549,_xlfn.VSTACK(YES_Writing_ELA[Student Number],YES_Writing_FLA[Student Number]),0),MATCH(VLOOKUP(H$7,'Writing Logic'!$J$7:$K$11,2,FALSE)&amp;" - Per "&amp;VLOOKUP($C$4,'Writing Logic'!$G$8:$H$14,2,FALSE),YES_Writing_ELA[#Headers],0)))="INS",'Writing Logic'!$B$7,IF(INDEX(_xlfn.VSTACK(YES_Writing_ELA[#Data],YES_Writing_FLA[#Data]),MATCH($A549,_xlfn.VSTACK(YES_Writing_ELA[Student Number],YES_Writing_FLA[Student Number]),0),MATCH(VLOOKUP(H$7,'Writing Logic'!$J$7:$K$11,2,FALSE)&amp;" - Per "&amp;VLOOKUP($C$4,'Writing Logic'!$G$8:$H$14,2,FALSE),YES_Writing_ELA[#Headers],0))=0,"",INDEX(_xlfn.VSTACK(YES_Writing_ELA[#Data],YES_Writing_FLA[#Data]),MATCH($A549,_xlfn.VSTACK(YES_Writing_ELA[Student Number],YES_Writing_FLA[Student Number]),0),MATCH(VLOOKUP(H$7,'Writing Logic'!$J$7:$K$11,2,FALSE)&amp;" - Per "&amp;VLOOKUP($C$4,'Writing Logic'!$G$8:$H$14,2,FALSE),YES_Writing_ELA[#Headers],0)))),"")</f>
        <v/>
      </c>
    </row>
    <row r="550" spans="1:8" x14ac:dyDescent="0.25">
      <c r="A550" s="137"/>
      <c r="B550" s="137" t="str">
        <f>IFERROR(INDEX(_xlfn.VSTACK(YES_Writing_ELA[#Data], YES_Writing_FLA[#Data]),MATCH($A550,_xlfn.VSTACK(YES_Writing_ELA[Student Number], YES_Writing_FLA[Student Number]),0),MATCH(B$7,YES_Writing_ELA[#Headers],0)),"")</f>
        <v/>
      </c>
      <c r="C550" s="137" t="str">
        <f>IFERROR(INDEX(_xlfn.VSTACK(YES_Writing_ELA[#Data], YES_Writing_FLA[#Data]),MATCH($A550,_xlfn.VSTACK(YES_Writing_ELA[Student Number], YES_Writing_FLA[Student Number]),0),MATCH(C$7,YES_Writing_ELA[#Headers],0)),"")</f>
        <v/>
      </c>
      <c r="D550" s="138" t="str">
        <f>IFERROR(IF(IF(INDEX(_xlfn.VSTACK(YES_Writing_ELA[#Data],YES_Writing_FLA[#Data]),MATCH($A550,_xlfn.VSTACK(YES_Writing_ELA[Student Number],YES_Writing_FLA[Student Number]),0),MATCH(VLOOKUP(D$7,'Writing Logic'!$J$7:$K$11,2,FALSE)&amp;" - Per "&amp;VLOOKUP($C$4,'Writing Logic'!$G$8:$H$14,2,FALSE),YES_Writing_ELA[#Headers],0))=0,"",INDEX(_xlfn.VSTACK(YES_Writing_ELA[#Data],YES_Writing_FLA[#Data]),MATCH($A550,_xlfn.VSTACK(YES_Writing_ELA[Student Number],YES_Writing_FLA[Student Number]),0),MATCH(VLOOKUP(D$7,'Writing Logic'!$J$7:$K$11,2,FALSE)&amp;" - Per "&amp;VLOOKUP($C$4,'Writing Logic'!$G$8:$H$14,2,FALSE),YES_Writing_ELA[#Headers],0)))="INS",'Writing Logic'!$B$7,IF(INDEX(_xlfn.VSTACK(YES_Writing_ELA[#Data],YES_Writing_FLA[#Data]),MATCH($A550,_xlfn.VSTACK(YES_Writing_ELA[Student Number],YES_Writing_FLA[Student Number]),0),MATCH(VLOOKUP(D$7,'Writing Logic'!$J$7:$K$11,2,FALSE)&amp;" - Per "&amp;VLOOKUP($C$4,'Writing Logic'!$G$8:$H$14,2,FALSE),YES_Writing_ELA[#Headers],0))=0,"",INDEX(_xlfn.VSTACK(YES_Writing_ELA[#Data],YES_Writing_FLA[#Data]),MATCH($A550,_xlfn.VSTACK(YES_Writing_ELA[Student Number],YES_Writing_FLA[Student Number]),0),MATCH(VLOOKUP(D$7,'Writing Logic'!$J$7:$K$11,2,FALSE)&amp;" - Per "&amp;VLOOKUP($C$4,'Writing Logic'!$G$8:$H$14,2,FALSE),YES_Writing_ELA[#Headers],0)))),"")</f>
        <v/>
      </c>
      <c r="E550" s="138" t="str">
        <f>IFERROR(IF(IF(INDEX(_xlfn.VSTACK(YES_Writing_ELA[#Data],YES_Writing_FLA[#Data]),MATCH($A550,_xlfn.VSTACK(YES_Writing_ELA[Student Number],YES_Writing_FLA[Student Number]),0),MATCH(VLOOKUP(E$7,'Writing Logic'!$J$7:$K$11,2,FALSE)&amp;" - Per "&amp;VLOOKUP($C$4,'Writing Logic'!$G$8:$H$14,2,FALSE),YES_Writing_ELA[#Headers],0))=0,"",INDEX(_xlfn.VSTACK(YES_Writing_ELA[#Data],YES_Writing_FLA[#Data]),MATCH($A550,_xlfn.VSTACK(YES_Writing_ELA[Student Number],YES_Writing_FLA[Student Number]),0),MATCH(VLOOKUP(E$7,'Writing Logic'!$J$7:$K$11,2,FALSE)&amp;" - Per "&amp;VLOOKUP($C$4,'Writing Logic'!$G$8:$H$14,2,FALSE),YES_Writing_ELA[#Headers],0)))="INS",'Writing Logic'!$B$7,IF(INDEX(_xlfn.VSTACK(YES_Writing_ELA[#Data],YES_Writing_FLA[#Data]),MATCH($A550,_xlfn.VSTACK(YES_Writing_ELA[Student Number],YES_Writing_FLA[Student Number]),0),MATCH(VLOOKUP(E$7,'Writing Logic'!$J$7:$K$11,2,FALSE)&amp;" - Per "&amp;VLOOKUP($C$4,'Writing Logic'!$G$8:$H$14,2,FALSE),YES_Writing_ELA[#Headers],0))=0,"",INDEX(_xlfn.VSTACK(YES_Writing_ELA[#Data],YES_Writing_FLA[#Data]),MATCH($A550,_xlfn.VSTACK(YES_Writing_ELA[Student Number],YES_Writing_FLA[Student Number]),0),MATCH(VLOOKUP(E$7,'Writing Logic'!$J$7:$K$11,2,FALSE)&amp;" - Per "&amp;VLOOKUP($C$4,'Writing Logic'!$G$8:$H$14,2,FALSE),YES_Writing_ELA[#Headers],0)))),"")</f>
        <v/>
      </c>
      <c r="F550" s="138" t="str">
        <f>IFERROR(IF(IF(INDEX(_xlfn.VSTACK(YES_Writing_ELA[#Data],YES_Writing_FLA[#Data]),MATCH($A550,_xlfn.VSTACK(YES_Writing_ELA[Student Number],YES_Writing_FLA[Student Number]),0),MATCH(VLOOKUP(F$7,'Writing Logic'!$J$7:$K$11,2,FALSE)&amp;" - Per "&amp;VLOOKUP($C$4,'Writing Logic'!$G$8:$H$14,2,FALSE),YES_Writing_ELA[#Headers],0))=0,"",INDEX(_xlfn.VSTACK(YES_Writing_ELA[#Data],YES_Writing_FLA[#Data]),MATCH($A550,_xlfn.VSTACK(YES_Writing_ELA[Student Number],YES_Writing_FLA[Student Number]),0),MATCH(VLOOKUP(F$7,'Writing Logic'!$J$7:$K$11,2,FALSE)&amp;" - Per "&amp;VLOOKUP($C$4,'Writing Logic'!$G$8:$H$14,2,FALSE),YES_Writing_ELA[#Headers],0)))="INS",'Writing Logic'!$B$7,IF(INDEX(_xlfn.VSTACK(YES_Writing_ELA[#Data],YES_Writing_FLA[#Data]),MATCH($A550,_xlfn.VSTACK(YES_Writing_ELA[Student Number],YES_Writing_FLA[Student Number]),0),MATCH(VLOOKUP(F$7,'Writing Logic'!$J$7:$K$11,2,FALSE)&amp;" - Per "&amp;VLOOKUP($C$4,'Writing Logic'!$G$8:$H$14,2,FALSE),YES_Writing_ELA[#Headers],0))=0,"",INDEX(_xlfn.VSTACK(YES_Writing_ELA[#Data],YES_Writing_FLA[#Data]),MATCH($A550,_xlfn.VSTACK(YES_Writing_ELA[Student Number],YES_Writing_FLA[Student Number]),0),MATCH(VLOOKUP(F$7,'Writing Logic'!$J$7:$K$11,2,FALSE)&amp;" - Per "&amp;VLOOKUP($C$4,'Writing Logic'!$G$8:$H$14,2,FALSE),YES_Writing_ELA[#Headers],0)))),"")</f>
        <v/>
      </c>
      <c r="G550" s="138" t="str">
        <f>IFERROR(IF(IF(INDEX(_xlfn.VSTACK(YES_Writing_ELA[#Data],YES_Writing_FLA[#Data]),MATCH($A550,_xlfn.VSTACK(YES_Writing_ELA[Student Number],YES_Writing_FLA[Student Number]),0),MATCH(VLOOKUP(G$7,'Writing Logic'!$J$7:$K$11,2,FALSE)&amp;" - Per "&amp;VLOOKUP($C$4,'Writing Logic'!$G$8:$H$14,2,FALSE),YES_Writing_ELA[#Headers],0))=0,"",INDEX(_xlfn.VSTACK(YES_Writing_ELA[#Data],YES_Writing_FLA[#Data]),MATCH($A550,_xlfn.VSTACK(YES_Writing_ELA[Student Number],YES_Writing_FLA[Student Number]),0),MATCH(VLOOKUP(G$7,'Writing Logic'!$J$7:$K$11,2,FALSE)&amp;" - Per "&amp;VLOOKUP($C$4,'Writing Logic'!$G$8:$H$14,2,FALSE),YES_Writing_ELA[#Headers],0)))="INS",'Writing Logic'!$B$7,IF(INDEX(_xlfn.VSTACK(YES_Writing_ELA[#Data],YES_Writing_FLA[#Data]),MATCH($A550,_xlfn.VSTACK(YES_Writing_ELA[Student Number],YES_Writing_FLA[Student Number]),0),MATCH(VLOOKUP(G$7,'Writing Logic'!$J$7:$K$11,2,FALSE)&amp;" - Per "&amp;VLOOKUP($C$4,'Writing Logic'!$G$8:$H$14,2,FALSE),YES_Writing_ELA[#Headers],0))=0,"",INDEX(_xlfn.VSTACK(YES_Writing_ELA[#Data],YES_Writing_FLA[#Data]),MATCH($A550,_xlfn.VSTACK(YES_Writing_ELA[Student Number],YES_Writing_FLA[Student Number]),0),MATCH(VLOOKUP(G$7,'Writing Logic'!$J$7:$K$11,2,FALSE)&amp;" - Per "&amp;VLOOKUP($C$4,'Writing Logic'!$G$8:$H$14,2,FALSE),YES_Writing_ELA[#Headers],0)))),"")</f>
        <v/>
      </c>
      <c r="H550" s="138" t="str">
        <f>IFERROR(IF(IF(INDEX(_xlfn.VSTACK(YES_Writing_ELA[#Data],YES_Writing_FLA[#Data]),MATCH($A550,_xlfn.VSTACK(YES_Writing_ELA[Student Number],YES_Writing_FLA[Student Number]),0),MATCH(VLOOKUP(H$7,'Writing Logic'!$J$7:$K$11,2,FALSE)&amp;" - Per "&amp;VLOOKUP($C$4,'Writing Logic'!$G$8:$H$14,2,FALSE),YES_Writing_ELA[#Headers],0))=0,"",INDEX(_xlfn.VSTACK(YES_Writing_ELA[#Data],YES_Writing_FLA[#Data]),MATCH($A550,_xlfn.VSTACK(YES_Writing_ELA[Student Number],YES_Writing_FLA[Student Number]),0),MATCH(VLOOKUP(H$7,'Writing Logic'!$J$7:$K$11,2,FALSE)&amp;" - Per "&amp;VLOOKUP($C$4,'Writing Logic'!$G$8:$H$14,2,FALSE),YES_Writing_ELA[#Headers],0)))="INS",'Writing Logic'!$B$7,IF(INDEX(_xlfn.VSTACK(YES_Writing_ELA[#Data],YES_Writing_FLA[#Data]),MATCH($A550,_xlfn.VSTACK(YES_Writing_ELA[Student Number],YES_Writing_FLA[Student Number]),0),MATCH(VLOOKUP(H$7,'Writing Logic'!$J$7:$K$11,2,FALSE)&amp;" - Per "&amp;VLOOKUP($C$4,'Writing Logic'!$G$8:$H$14,2,FALSE),YES_Writing_ELA[#Headers],0))=0,"",INDEX(_xlfn.VSTACK(YES_Writing_ELA[#Data],YES_Writing_FLA[#Data]),MATCH($A550,_xlfn.VSTACK(YES_Writing_ELA[Student Number],YES_Writing_FLA[Student Number]),0),MATCH(VLOOKUP(H$7,'Writing Logic'!$J$7:$K$11,2,FALSE)&amp;" - Per "&amp;VLOOKUP($C$4,'Writing Logic'!$G$8:$H$14,2,FALSE),YES_Writing_ELA[#Headers],0)))),"")</f>
        <v/>
      </c>
    </row>
    <row r="551" spans="1:8" x14ac:dyDescent="0.25">
      <c r="A551" s="137"/>
      <c r="B551" s="137" t="str">
        <f>IFERROR(INDEX(_xlfn.VSTACK(YES_Writing_ELA[#Data], YES_Writing_FLA[#Data]),MATCH($A551,_xlfn.VSTACK(YES_Writing_ELA[Student Number], YES_Writing_FLA[Student Number]),0),MATCH(B$7,YES_Writing_ELA[#Headers],0)),"")</f>
        <v/>
      </c>
      <c r="C551" s="137" t="str">
        <f>IFERROR(INDEX(_xlfn.VSTACK(YES_Writing_ELA[#Data], YES_Writing_FLA[#Data]),MATCH($A551,_xlfn.VSTACK(YES_Writing_ELA[Student Number], YES_Writing_FLA[Student Number]),0),MATCH(C$7,YES_Writing_ELA[#Headers],0)),"")</f>
        <v/>
      </c>
      <c r="D551" s="138" t="str">
        <f>IFERROR(IF(IF(INDEX(_xlfn.VSTACK(YES_Writing_ELA[#Data],YES_Writing_FLA[#Data]),MATCH($A551,_xlfn.VSTACK(YES_Writing_ELA[Student Number],YES_Writing_FLA[Student Number]),0),MATCH(VLOOKUP(D$7,'Writing Logic'!$J$7:$K$11,2,FALSE)&amp;" - Per "&amp;VLOOKUP($C$4,'Writing Logic'!$G$8:$H$14,2,FALSE),YES_Writing_ELA[#Headers],0))=0,"",INDEX(_xlfn.VSTACK(YES_Writing_ELA[#Data],YES_Writing_FLA[#Data]),MATCH($A551,_xlfn.VSTACK(YES_Writing_ELA[Student Number],YES_Writing_FLA[Student Number]),0),MATCH(VLOOKUP(D$7,'Writing Logic'!$J$7:$K$11,2,FALSE)&amp;" - Per "&amp;VLOOKUP($C$4,'Writing Logic'!$G$8:$H$14,2,FALSE),YES_Writing_ELA[#Headers],0)))="INS",'Writing Logic'!$B$7,IF(INDEX(_xlfn.VSTACK(YES_Writing_ELA[#Data],YES_Writing_FLA[#Data]),MATCH($A551,_xlfn.VSTACK(YES_Writing_ELA[Student Number],YES_Writing_FLA[Student Number]),0),MATCH(VLOOKUP(D$7,'Writing Logic'!$J$7:$K$11,2,FALSE)&amp;" - Per "&amp;VLOOKUP($C$4,'Writing Logic'!$G$8:$H$14,2,FALSE),YES_Writing_ELA[#Headers],0))=0,"",INDEX(_xlfn.VSTACK(YES_Writing_ELA[#Data],YES_Writing_FLA[#Data]),MATCH($A551,_xlfn.VSTACK(YES_Writing_ELA[Student Number],YES_Writing_FLA[Student Number]),0),MATCH(VLOOKUP(D$7,'Writing Logic'!$J$7:$K$11,2,FALSE)&amp;" - Per "&amp;VLOOKUP($C$4,'Writing Logic'!$G$8:$H$14,2,FALSE),YES_Writing_ELA[#Headers],0)))),"")</f>
        <v/>
      </c>
      <c r="E551" s="138" t="str">
        <f>IFERROR(IF(IF(INDEX(_xlfn.VSTACK(YES_Writing_ELA[#Data],YES_Writing_FLA[#Data]),MATCH($A551,_xlfn.VSTACK(YES_Writing_ELA[Student Number],YES_Writing_FLA[Student Number]),0),MATCH(VLOOKUP(E$7,'Writing Logic'!$J$7:$K$11,2,FALSE)&amp;" - Per "&amp;VLOOKUP($C$4,'Writing Logic'!$G$8:$H$14,2,FALSE),YES_Writing_ELA[#Headers],0))=0,"",INDEX(_xlfn.VSTACK(YES_Writing_ELA[#Data],YES_Writing_FLA[#Data]),MATCH($A551,_xlfn.VSTACK(YES_Writing_ELA[Student Number],YES_Writing_FLA[Student Number]),0),MATCH(VLOOKUP(E$7,'Writing Logic'!$J$7:$K$11,2,FALSE)&amp;" - Per "&amp;VLOOKUP($C$4,'Writing Logic'!$G$8:$H$14,2,FALSE),YES_Writing_ELA[#Headers],0)))="INS",'Writing Logic'!$B$7,IF(INDEX(_xlfn.VSTACK(YES_Writing_ELA[#Data],YES_Writing_FLA[#Data]),MATCH($A551,_xlfn.VSTACK(YES_Writing_ELA[Student Number],YES_Writing_FLA[Student Number]),0),MATCH(VLOOKUP(E$7,'Writing Logic'!$J$7:$K$11,2,FALSE)&amp;" - Per "&amp;VLOOKUP($C$4,'Writing Logic'!$G$8:$H$14,2,FALSE),YES_Writing_ELA[#Headers],0))=0,"",INDEX(_xlfn.VSTACK(YES_Writing_ELA[#Data],YES_Writing_FLA[#Data]),MATCH($A551,_xlfn.VSTACK(YES_Writing_ELA[Student Number],YES_Writing_FLA[Student Number]),0),MATCH(VLOOKUP(E$7,'Writing Logic'!$J$7:$K$11,2,FALSE)&amp;" - Per "&amp;VLOOKUP($C$4,'Writing Logic'!$G$8:$H$14,2,FALSE),YES_Writing_ELA[#Headers],0)))),"")</f>
        <v/>
      </c>
      <c r="F551" s="138" t="str">
        <f>IFERROR(IF(IF(INDEX(_xlfn.VSTACK(YES_Writing_ELA[#Data],YES_Writing_FLA[#Data]),MATCH($A551,_xlfn.VSTACK(YES_Writing_ELA[Student Number],YES_Writing_FLA[Student Number]),0),MATCH(VLOOKUP(F$7,'Writing Logic'!$J$7:$K$11,2,FALSE)&amp;" - Per "&amp;VLOOKUP($C$4,'Writing Logic'!$G$8:$H$14,2,FALSE),YES_Writing_ELA[#Headers],0))=0,"",INDEX(_xlfn.VSTACK(YES_Writing_ELA[#Data],YES_Writing_FLA[#Data]),MATCH($A551,_xlfn.VSTACK(YES_Writing_ELA[Student Number],YES_Writing_FLA[Student Number]),0),MATCH(VLOOKUP(F$7,'Writing Logic'!$J$7:$K$11,2,FALSE)&amp;" - Per "&amp;VLOOKUP($C$4,'Writing Logic'!$G$8:$H$14,2,FALSE),YES_Writing_ELA[#Headers],0)))="INS",'Writing Logic'!$B$7,IF(INDEX(_xlfn.VSTACK(YES_Writing_ELA[#Data],YES_Writing_FLA[#Data]),MATCH($A551,_xlfn.VSTACK(YES_Writing_ELA[Student Number],YES_Writing_FLA[Student Number]),0),MATCH(VLOOKUP(F$7,'Writing Logic'!$J$7:$K$11,2,FALSE)&amp;" - Per "&amp;VLOOKUP($C$4,'Writing Logic'!$G$8:$H$14,2,FALSE),YES_Writing_ELA[#Headers],0))=0,"",INDEX(_xlfn.VSTACK(YES_Writing_ELA[#Data],YES_Writing_FLA[#Data]),MATCH($A551,_xlfn.VSTACK(YES_Writing_ELA[Student Number],YES_Writing_FLA[Student Number]),0),MATCH(VLOOKUP(F$7,'Writing Logic'!$J$7:$K$11,2,FALSE)&amp;" - Per "&amp;VLOOKUP($C$4,'Writing Logic'!$G$8:$H$14,2,FALSE),YES_Writing_ELA[#Headers],0)))),"")</f>
        <v/>
      </c>
      <c r="G551" s="138" t="str">
        <f>IFERROR(IF(IF(INDEX(_xlfn.VSTACK(YES_Writing_ELA[#Data],YES_Writing_FLA[#Data]),MATCH($A551,_xlfn.VSTACK(YES_Writing_ELA[Student Number],YES_Writing_FLA[Student Number]),0),MATCH(VLOOKUP(G$7,'Writing Logic'!$J$7:$K$11,2,FALSE)&amp;" - Per "&amp;VLOOKUP($C$4,'Writing Logic'!$G$8:$H$14,2,FALSE),YES_Writing_ELA[#Headers],0))=0,"",INDEX(_xlfn.VSTACK(YES_Writing_ELA[#Data],YES_Writing_FLA[#Data]),MATCH($A551,_xlfn.VSTACK(YES_Writing_ELA[Student Number],YES_Writing_FLA[Student Number]),0),MATCH(VLOOKUP(G$7,'Writing Logic'!$J$7:$K$11,2,FALSE)&amp;" - Per "&amp;VLOOKUP($C$4,'Writing Logic'!$G$8:$H$14,2,FALSE),YES_Writing_ELA[#Headers],0)))="INS",'Writing Logic'!$B$7,IF(INDEX(_xlfn.VSTACK(YES_Writing_ELA[#Data],YES_Writing_FLA[#Data]),MATCH($A551,_xlfn.VSTACK(YES_Writing_ELA[Student Number],YES_Writing_FLA[Student Number]),0),MATCH(VLOOKUP(G$7,'Writing Logic'!$J$7:$K$11,2,FALSE)&amp;" - Per "&amp;VLOOKUP($C$4,'Writing Logic'!$G$8:$H$14,2,FALSE),YES_Writing_ELA[#Headers],0))=0,"",INDEX(_xlfn.VSTACK(YES_Writing_ELA[#Data],YES_Writing_FLA[#Data]),MATCH($A551,_xlfn.VSTACK(YES_Writing_ELA[Student Number],YES_Writing_FLA[Student Number]),0),MATCH(VLOOKUP(G$7,'Writing Logic'!$J$7:$K$11,2,FALSE)&amp;" - Per "&amp;VLOOKUP($C$4,'Writing Logic'!$G$8:$H$14,2,FALSE),YES_Writing_ELA[#Headers],0)))),"")</f>
        <v/>
      </c>
      <c r="H551" s="138" t="str">
        <f>IFERROR(IF(IF(INDEX(_xlfn.VSTACK(YES_Writing_ELA[#Data],YES_Writing_FLA[#Data]),MATCH($A551,_xlfn.VSTACK(YES_Writing_ELA[Student Number],YES_Writing_FLA[Student Number]),0),MATCH(VLOOKUP(H$7,'Writing Logic'!$J$7:$K$11,2,FALSE)&amp;" - Per "&amp;VLOOKUP($C$4,'Writing Logic'!$G$8:$H$14,2,FALSE),YES_Writing_ELA[#Headers],0))=0,"",INDEX(_xlfn.VSTACK(YES_Writing_ELA[#Data],YES_Writing_FLA[#Data]),MATCH($A551,_xlfn.VSTACK(YES_Writing_ELA[Student Number],YES_Writing_FLA[Student Number]),0),MATCH(VLOOKUP(H$7,'Writing Logic'!$J$7:$K$11,2,FALSE)&amp;" - Per "&amp;VLOOKUP($C$4,'Writing Logic'!$G$8:$H$14,2,FALSE),YES_Writing_ELA[#Headers],0)))="INS",'Writing Logic'!$B$7,IF(INDEX(_xlfn.VSTACK(YES_Writing_ELA[#Data],YES_Writing_FLA[#Data]),MATCH($A551,_xlfn.VSTACK(YES_Writing_ELA[Student Number],YES_Writing_FLA[Student Number]),0),MATCH(VLOOKUP(H$7,'Writing Logic'!$J$7:$K$11,2,FALSE)&amp;" - Per "&amp;VLOOKUP($C$4,'Writing Logic'!$G$8:$H$14,2,FALSE),YES_Writing_ELA[#Headers],0))=0,"",INDEX(_xlfn.VSTACK(YES_Writing_ELA[#Data],YES_Writing_FLA[#Data]),MATCH($A551,_xlfn.VSTACK(YES_Writing_ELA[Student Number],YES_Writing_FLA[Student Number]),0),MATCH(VLOOKUP(H$7,'Writing Logic'!$J$7:$K$11,2,FALSE)&amp;" - Per "&amp;VLOOKUP($C$4,'Writing Logic'!$G$8:$H$14,2,FALSE),YES_Writing_ELA[#Headers],0)))),"")</f>
        <v/>
      </c>
    </row>
    <row r="552" spans="1:8" x14ac:dyDescent="0.25">
      <c r="A552" s="137"/>
      <c r="B552" s="137" t="str">
        <f>IFERROR(INDEX(_xlfn.VSTACK(YES_Writing_ELA[#Data], YES_Writing_FLA[#Data]),MATCH($A552,_xlfn.VSTACK(YES_Writing_ELA[Student Number], YES_Writing_FLA[Student Number]),0),MATCH(B$7,YES_Writing_ELA[#Headers],0)),"")</f>
        <v/>
      </c>
      <c r="C552" s="137" t="str">
        <f>IFERROR(INDEX(_xlfn.VSTACK(YES_Writing_ELA[#Data], YES_Writing_FLA[#Data]),MATCH($A552,_xlfn.VSTACK(YES_Writing_ELA[Student Number], YES_Writing_FLA[Student Number]),0),MATCH(C$7,YES_Writing_ELA[#Headers],0)),"")</f>
        <v/>
      </c>
      <c r="D552" s="138" t="str">
        <f>IFERROR(IF(IF(INDEX(_xlfn.VSTACK(YES_Writing_ELA[#Data],YES_Writing_FLA[#Data]),MATCH($A552,_xlfn.VSTACK(YES_Writing_ELA[Student Number],YES_Writing_FLA[Student Number]),0),MATCH(VLOOKUP(D$7,'Writing Logic'!$J$7:$K$11,2,FALSE)&amp;" - Per "&amp;VLOOKUP($C$4,'Writing Logic'!$G$8:$H$14,2,FALSE),YES_Writing_ELA[#Headers],0))=0,"",INDEX(_xlfn.VSTACK(YES_Writing_ELA[#Data],YES_Writing_FLA[#Data]),MATCH($A552,_xlfn.VSTACK(YES_Writing_ELA[Student Number],YES_Writing_FLA[Student Number]),0),MATCH(VLOOKUP(D$7,'Writing Logic'!$J$7:$K$11,2,FALSE)&amp;" - Per "&amp;VLOOKUP($C$4,'Writing Logic'!$G$8:$H$14,2,FALSE),YES_Writing_ELA[#Headers],0)))="INS",'Writing Logic'!$B$7,IF(INDEX(_xlfn.VSTACK(YES_Writing_ELA[#Data],YES_Writing_FLA[#Data]),MATCH($A552,_xlfn.VSTACK(YES_Writing_ELA[Student Number],YES_Writing_FLA[Student Number]),0),MATCH(VLOOKUP(D$7,'Writing Logic'!$J$7:$K$11,2,FALSE)&amp;" - Per "&amp;VLOOKUP($C$4,'Writing Logic'!$G$8:$H$14,2,FALSE),YES_Writing_ELA[#Headers],0))=0,"",INDEX(_xlfn.VSTACK(YES_Writing_ELA[#Data],YES_Writing_FLA[#Data]),MATCH($A552,_xlfn.VSTACK(YES_Writing_ELA[Student Number],YES_Writing_FLA[Student Number]),0),MATCH(VLOOKUP(D$7,'Writing Logic'!$J$7:$K$11,2,FALSE)&amp;" - Per "&amp;VLOOKUP($C$4,'Writing Logic'!$G$8:$H$14,2,FALSE),YES_Writing_ELA[#Headers],0)))),"")</f>
        <v/>
      </c>
      <c r="E552" s="138" t="str">
        <f>IFERROR(IF(IF(INDEX(_xlfn.VSTACK(YES_Writing_ELA[#Data],YES_Writing_FLA[#Data]),MATCH($A552,_xlfn.VSTACK(YES_Writing_ELA[Student Number],YES_Writing_FLA[Student Number]),0),MATCH(VLOOKUP(E$7,'Writing Logic'!$J$7:$K$11,2,FALSE)&amp;" - Per "&amp;VLOOKUP($C$4,'Writing Logic'!$G$8:$H$14,2,FALSE),YES_Writing_ELA[#Headers],0))=0,"",INDEX(_xlfn.VSTACK(YES_Writing_ELA[#Data],YES_Writing_FLA[#Data]),MATCH($A552,_xlfn.VSTACK(YES_Writing_ELA[Student Number],YES_Writing_FLA[Student Number]),0),MATCH(VLOOKUP(E$7,'Writing Logic'!$J$7:$K$11,2,FALSE)&amp;" - Per "&amp;VLOOKUP($C$4,'Writing Logic'!$G$8:$H$14,2,FALSE),YES_Writing_ELA[#Headers],0)))="INS",'Writing Logic'!$B$7,IF(INDEX(_xlfn.VSTACK(YES_Writing_ELA[#Data],YES_Writing_FLA[#Data]),MATCH($A552,_xlfn.VSTACK(YES_Writing_ELA[Student Number],YES_Writing_FLA[Student Number]),0),MATCH(VLOOKUP(E$7,'Writing Logic'!$J$7:$K$11,2,FALSE)&amp;" - Per "&amp;VLOOKUP($C$4,'Writing Logic'!$G$8:$H$14,2,FALSE),YES_Writing_ELA[#Headers],0))=0,"",INDEX(_xlfn.VSTACK(YES_Writing_ELA[#Data],YES_Writing_FLA[#Data]),MATCH($A552,_xlfn.VSTACK(YES_Writing_ELA[Student Number],YES_Writing_FLA[Student Number]),0),MATCH(VLOOKUP(E$7,'Writing Logic'!$J$7:$K$11,2,FALSE)&amp;" - Per "&amp;VLOOKUP($C$4,'Writing Logic'!$G$8:$H$14,2,FALSE),YES_Writing_ELA[#Headers],0)))),"")</f>
        <v/>
      </c>
      <c r="F552" s="138" t="str">
        <f>IFERROR(IF(IF(INDEX(_xlfn.VSTACK(YES_Writing_ELA[#Data],YES_Writing_FLA[#Data]),MATCH($A552,_xlfn.VSTACK(YES_Writing_ELA[Student Number],YES_Writing_FLA[Student Number]),0),MATCH(VLOOKUP(F$7,'Writing Logic'!$J$7:$K$11,2,FALSE)&amp;" - Per "&amp;VLOOKUP($C$4,'Writing Logic'!$G$8:$H$14,2,FALSE),YES_Writing_ELA[#Headers],0))=0,"",INDEX(_xlfn.VSTACK(YES_Writing_ELA[#Data],YES_Writing_FLA[#Data]),MATCH($A552,_xlfn.VSTACK(YES_Writing_ELA[Student Number],YES_Writing_FLA[Student Number]),0),MATCH(VLOOKUP(F$7,'Writing Logic'!$J$7:$K$11,2,FALSE)&amp;" - Per "&amp;VLOOKUP($C$4,'Writing Logic'!$G$8:$H$14,2,FALSE),YES_Writing_ELA[#Headers],0)))="INS",'Writing Logic'!$B$7,IF(INDEX(_xlfn.VSTACK(YES_Writing_ELA[#Data],YES_Writing_FLA[#Data]),MATCH($A552,_xlfn.VSTACK(YES_Writing_ELA[Student Number],YES_Writing_FLA[Student Number]),0),MATCH(VLOOKUP(F$7,'Writing Logic'!$J$7:$K$11,2,FALSE)&amp;" - Per "&amp;VLOOKUP($C$4,'Writing Logic'!$G$8:$H$14,2,FALSE),YES_Writing_ELA[#Headers],0))=0,"",INDEX(_xlfn.VSTACK(YES_Writing_ELA[#Data],YES_Writing_FLA[#Data]),MATCH($A552,_xlfn.VSTACK(YES_Writing_ELA[Student Number],YES_Writing_FLA[Student Number]),0),MATCH(VLOOKUP(F$7,'Writing Logic'!$J$7:$K$11,2,FALSE)&amp;" - Per "&amp;VLOOKUP($C$4,'Writing Logic'!$G$8:$H$14,2,FALSE),YES_Writing_ELA[#Headers],0)))),"")</f>
        <v/>
      </c>
      <c r="G552" s="138" t="str">
        <f>IFERROR(IF(IF(INDEX(_xlfn.VSTACK(YES_Writing_ELA[#Data],YES_Writing_FLA[#Data]),MATCH($A552,_xlfn.VSTACK(YES_Writing_ELA[Student Number],YES_Writing_FLA[Student Number]),0),MATCH(VLOOKUP(G$7,'Writing Logic'!$J$7:$K$11,2,FALSE)&amp;" - Per "&amp;VLOOKUP($C$4,'Writing Logic'!$G$8:$H$14,2,FALSE),YES_Writing_ELA[#Headers],0))=0,"",INDEX(_xlfn.VSTACK(YES_Writing_ELA[#Data],YES_Writing_FLA[#Data]),MATCH($A552,_xlfn.VSTACK(YES_Writing_ELA[Student Number],YES_Writing_FLA[Student Number]),0),MATCH(VLOOKUP(G$7,'Writing Logic'!$J$7:$K$11,2,FALSE)&amp;" - Per "&amp;VLOOKUP($C$4,'Writing Logic'!$G$8:$H$14,2,FALSE),YES_Writing_ELA[#Headers],0)))="INS",'Writing Logic'!$B$7,IF(INDEX(_xlfn.VSTACK(YES_Writing_ELA[#Data],YES_Writing_FLA[#Data]),MATCH($A552,_xlfn.VSTACK(YES_Writing_ELA[Student Number],YES_Writing_FLA[Student Number]),0),MATCH(VLOOKUP(G$7,'Writing Logic'!$J$7:$K$11,2,FALSE)&amp;" - Per "&amp;VLOOKUP($C$4,'Writing Logic'!$G$8:$H$14,2,FALSE),YES_Writing_ELA[#Headers],0))=0,"",INDEX(_xlfn.VSTACK(YES_Writing_ELA[#Data],YES_Writing_FLA[#Data]),MATCH($A552,_xlfn.VSTACK(YES_Writing_ELA[Student Number],YES_Writing_FLA[Student Number]),0),MATCH(VLOOKUP(G$7,'Writing Logic'!$J$7:$K$11,2,FALSE)&amp;" - Per "&amp;VLOOKUP($C$4,'Writing Logic'!$G$8:$H$14,2,FALSE),YES_Writing_ELA[#Headers],0)))),"")</f>
        <v/>
      </c>
      <c r="H552" s="138" t="str">
        <f>IFERROR(IF(IF(INDEX(_xlfn.VSTACK(YES_Writing_ELA[#Data],YES_Writing_FLA[#Data]),MATCH($A552,_xlfn.VSTACK(YES_Writing_ELA[Student Number],YES_Writing_FLA[Student Number]),0),MATCH(VLOOKUP(H$7,'Writing Logic'!$J$7:$K$11,2,FALSE)&amp;" - Per "&amp;VLOOKUP($C$4,'Writing Logic'!$G$8:$H$14,2,FALSE),YES_Writing_ELA[#Headers],0))=0,"",INDEX(_xlfn.VSTACK(YES_Writing_ELA[#Data],YES_Writing_FLA[#Data]),MATCH($A552,_xlfn.VSTACK(YES_Writing_ELA[Student Number],YES_Writing_FLA[Student Number]),0),MATCH(VLOOKUP(H$7,'Writing Logic'!$J$7:$K$11,2,FALSE)&amp;" - Per "&amp;VLOOKUP($C$4,'Writing Logic'!$G$8:$H$14,2,FALSE),YES_Writing_ELA[#Headers],0)))="INS",'Writing Logic'!$B$7,IF(INDEX(_xlfn.VSTACK(YES_Writing_ELA[#Data],YES_Writing_FLA[#Data]),MATCH($A552,_xlfn.VSTACK(YES_Writing_ELA[Student Number],YES_Writing_FLA[Student Number]),0),MATCH(VLOOKUP(H$7,'Writing Logic'!$J$7:$K$11,2,FALSE)&amp;" - Per "&amp;VLOOKUP($C$4,'Writing Logic'!$G$8:$H$14,2,FALSE),YES_Writing_ELA[#Headers],0))=0,"",INDEX(_xlfn.VSTACK(YES_Writing_ELA[#Data],YES_Writing_FLA[#Data]),MATCH($A552,_xlfn.VSTACK(YES_Writing_ELA[Student Number],YES_Writing_FLA[Student Number]),0),MATCH(VLOOKUP(H$7,'Writing Logic'!$J$7:$K$11,2,FALSE)&amp;" - Per "&amp;VLOOKUP($C$4,'Writing Logic'!$G$8:$H$14,2,FALSE),YES_Writing_ELA[#Headers],0)))),"")</f>
        <v/>
      </c>
    </row>
    <row r="553" spans="1:8" x14ac:dyDescent="0.25">
      <c r="A553" s="137"/>
      <c r="B553" s="137" t="str">
        <f>IFERROR(INDEX(_xlfn.VSTACK(YES_Writing_ELA[#Data], YES_Writing_FLA[#Data]),MATCH($A553,_xlfn.VSTACK(YES_Writing_ELA[Student Number], YES_Writing_FLA[Student Number]),0),MATCH(B$7,YES_Writing_ELA[#Headers],0)),"")</f>
        <v/>
      </c>
      <c r="C553" s="137" t="str">
        <f>IFERROR(INDEX(_xlfn.VSTACK(YES_Writing_ELA[#Data], YES_Writing_FLA[#Data]),MATCH($A553,_xlfn.VSTACK(YES_Writing_ELA[Student Number], YES_Writing_FLA[Student Number]),0),MATCH(C$7,YES_Writing_ELA[#Headers],0)),"")</f>
        <v/>
      </c>
      <c r="D553" s="138" t="str">
        <f>IFERROR(IF(IF(INDEX(_xlfn.VSTACK(YES_Writing_ELA[#Data],YES_Writing_FLA[#Data]),MATCH($A553,_xlfn.VSTACK(YES_Writing_ELA[Student Number],YES_Writing_FLA[Student Number]),0),MATCH(VLOOKUP(D$7,'Writing Logic'!$J$7:$K$11,2,FALSE)&amp;" - Per "&amp;VLOOKUP($C$4,'Writing Logic'!$G$8:$H$14,2,FALSE),YES_Writing_ELA[#Headers],0))=0,"",INDEX(_xlfn.VSTACK(YES_Writing_ELA[#Data],YES_Writing_FLA[#Data]),MATCH($A553,_xlfn.VSTACK(YES_Writing_ELA[Student Number],YES_Writing_FLA[Student Number]),0),MATCH(VLOOKUP(D$7,'Writing Logic'!$J$7:$K$11,2,FALSE)&amp;" - Per "&amp;VLOOKUP($C$4,'Writing Logic'!$G$8:$H$14,2,FALSE),YES_Writing_ELA[#Headers],0)))="INS",'Writing Logic'!$B$7,IF(INDEX(_xlfn.VSTACK(YES_Writing_ELA[#Data],YES_Writing_FLA[#Data]),MATCH($A553,_xlfn.VSTACK(YES_Writing_ELA[Student Number],YES_Writing_FLA[Student Number]),0),MATCH(VLOOKUP(D$7,'Writing Logic'!$J$7:$K$11,2,FALSE)&amp;" - Per "&amp;VLOOKUP($C$4,'Writing Logic'!$G$8:$H$14,2,FALSE),YES_Writing_ELA[#Headers],0))=0,"",INDEX(_xlfn.VSTACK(YES_Writing_ELA[#Data],YES_Writing_FLA[#Data]),MATCH($A553,_xlfn.VSTACK(YES_Writing_ELA[Student Number],YES_Writing_FLA[Student Number]),0),MATCH(VLOOKUP(D$7,'Writing Logic'!$J$7:$K$11,2,FALSE)&amp;" - Per "&amp;VLOOKUP($C$4,'Writing Logic'!$G$8:$H$14,2,FALSE),YES_Writing_ELA[#Headers],0)))),"")</f>
        <v/>
      </c>
      <c r="E553" s="138" t="str">
        <f>IFERROR(IF(IF(INDEX(_xlfn.VSTACK(YES_Writing_ELA[#Data],YES_Writing_FLA[#Data]),MATCH($A553,_xlfn.VSTACK(YES_Writing_ELA[Student Number],YES_Writing_FLA[Student Number]),0),MATCH(VLOOKUP(E$7,'Writing Logic'!$J$7:$K$11,2,FALSE)&amp;" - Per "&amp;VLOOKUP($C$4,'Writing Logic'!$G$8:$H$14,2,FALSE),YES_Writing_ELA[#Headers],0))=0,"",INDEX(_xlfn.VSTACK(YES_Writing_ELA[#Data],YES_Writing_FLA[#Data]),MATCH($A553,_xlfn.VSTACK(YES_Writing_ELA[Student Number],YES_Writing_FLA[Student Number]),0),MATCH(VLOOKUP(E$7,'Writing Logic'!$J$7:$K$11,2,FALSE)&amp;" - Per "&amp;VLOOKUP($C$4,'Writing Logic'!$G$8:$H$14,2,FALSE),YES_Writing_ELA[#Headers],0)))="INS",'Writing Logic'!$B$7,IF(INDEX(_xlfn.VSTACK(YES_Writing_ELA[#Data],YES_Writing_FLA[#Data]),MATCH($A553,_xlfn.VSTACK(YES_Writing_ELA[Student Number],YES_Writing_FLA[Student Number]),0),MATCH(VLOOKUP(E$7,'Writing Logic'!$J$7:$K$11,2,FALSE)&amp;" - Per "&amp;VLOOKUP($C$4,'Writing Logic'!$G$8:$H$14,2,FALSE),YES_Writing_ELA[#Headers],0))=0,"",INDEX(_xlfn.VSTACK(YES_Writing_ELA[#Data],YES_Writing_FLA[#Data]),MATCH($A553,_xlfn.VSTACK(YES_Writing_ELA[Student Number],YES_Writing_FLA[Student Number]),0),MATCH(VLOOKUP(E$7,'Writing Logic'!$J$7:$K$11,2,FALSE)&amp;" - Per "&amp;VLOOKUP($C$4,'Writing Logic'!$G$8:$H$14,2,FALSE),YES_Writing_ELA[#Headers],0)))),"")</f>
        <v/>
      </c>
      <c r="F553" s="138" t="str">
        <f>IFERROR(IF(IF(INDEX(_xlfn.VSTACK(YES_Writing_ELA[#Data],YES_Writing_FLA[#Data]),MATCH($A553,_xlfn.VSTACK(YES_Writing_ELA[Student Number],YES_Writing_FLA[Student Number]),0),MATCH(VLOOKUP(F$7,'Writing Logic'!$J$7:$K$11,2,FALSE)&amp;" - Per "&amp;VLOOKUP($C$4,'Writing Logic'!$G$8:$H$14,2,FALSE),YES_Writing_ELA[#Headers],0))=0,"",INDEX(_xlfn.VSTACK(YES_Writing_ELA[#Data],YES_Writing_FLA[#Data]),MATCH($A553,_xlfn.VSTACK(YES_Writing_ELA[Student Number],YES_Writing_FLA[Student Number]),0),MATCH(VLOOKUP(F$7,'Writing Logic'!$J$7:$K$11,2,FALSE)&amp;" - Per "&amp;VLOOKUP($C$4,'Writing Logic'!$G$8:$H$14,2,FALSE),YES_Writing_ELA[#Headers],0)))="INS",'Writing Logic'!$B$7,IF(INDEX(_xlfn.VSTACK(YES_Writing_ELA[#Data],YES_Writing_FLA[#Data]),MATCH($A553,_xlfn.VSTACK(YES_Writing_ELA[Student Number],YES_Writing_FLA[Student Number]),0),MATCH(VLOOKUP(F$7,'Writing Logic'!$J$7:$K$11,2,FALSE)&amp;" - Per "&amp;VLOOKUP($C$4,'Writing Logic'!$G$8:$H$14,2,FALSE),YES_Writing_ELA[#Headers],0))=0,"",INDEX(_xlfn.VSTACK(YES_Writing_ELA[#Data],YES_Writing_FLA[#Data]),MATCH($A553,_xlfn.VSTACK(YES_Writing_ELA[Student Number],YES_Writing_FLA[Student Number]),0),MATCH(VLOOKUP(F$7,'Writing Logic'!$J$7:$K$11,2,FALSE)&amp;" - Per "&amp;VLOOKUP($C$4,'Writing Logic'!$G$8:$H$14,2,FALSE),YES_Writing_ELA[#Headers],0)))),"")</f>
        <v/>
      </c>
      <c r="G553" s="138" t="str">
        <f>IFERROR(IF(IF(INDEX(_xlfn.VSTACK(YES_Writing_ELA[#Data],YES_Writing_FLA[#Data]),MATCH($A553,_xlfn.VSTACK(YES_Writing_ELA[Student Number],YES_Writing_FLA[Student Number]),0),MATCH(VLOOKUP(G$7,'Writing Logic'!$J$7:$K$11,2,FALSE)&amp;" - Per "&amp;VLOOKUP($C$4,'Writing Logic'!$G$8:$H$14,2,FALSE),YES_Writing_ELA[#Headers],0))=0,"",INDEX(_xlfn.VSTACK(YES_Writing_ELA[#Data],YES_Writing_FLA[#Data]),MATCH($A553,_xlfn.VSTACK(YES_Writing_ELA[Student Number],YES_Writing_FLA[Student Number]),0),MATCH(VLOOKUP(G$7,'Writing Logic'!$J$7:$K$11,2,FALSE)&amp;" - Per "&amp;VLOOKUP($C$4,'Writing Logic'!$G$8:$H$14,2,FALSE),YES_Writing_ELA[#Headers],0)))="INS",'Writing Logic'!$B$7,IF(INDEX(_xlfn.VSTACK(YES_Writing_ELA[#Data],YES_Writing_FLA[#Data]),MATCH($A553,_xlfn.VSTACK(YES_Writing_ELA[Student Number],YES_Writing_FLA[Student Number]),0),MATCH(VLOOKUP(G$7,'Writing Logic'!$J$7:$K$11,2,FALSE)&amp;" - Per "&amp;VLOOKUP($C$4,'Writing Logic'!$G$8:$H$14,2,FALSE),YES_Writing_ELA[#Headers],0))=0,"",INDEX(_xlfn.VSTACK(YES_Writing_ELA[#Data],YES_Writing_FLA[#Data]),MATCH($A553,_xlfn.VSTACK(YES_Writing_ELA[Student Number],YES_Writing_FLA[Student Number]),0),MATCH(VLOOKUP(G$7,'Writing Logic'!$J$7:$K$11,2,FALSE)&amp;" - Per "&amp;VLOOKUP($C$4,'Writing Logic'!$G$8:$H$14,2,FALSE),YES_Writing_ELA[#Headers],0)))),"")</f>
        <v/>
      </c>
      <c r="H553" s="138" t="str">
        <f>IFERROR(IF(IF(INDEX(_xlfn.VSTACK(YES_Writing_ELA[#Data],YES_Writing_FLA[#Data]),MATCH($A553,_xlfn.VSTACK(YES_Writing_ELA[Student Number],YES_Writing_FLA[Student Number]),0),MATCH(VLOOKUP(H$7,'Writing Logic'!$J$7:$K$11,2,FALSE)&amp;" - Per "&amp;VLOOKUP($C$4,'Writing Logic'!$G$8:$H$14,2,FALSE),YES_Writing_ELA[#Headers],0))=0,"",INDEX(_xlfn.VSTACK(YES_Writing_ELA[#Data],YES_Writing_FLA[#Data]),MATCH($A553,_xlfn.VSTACK(YES_Writing_ELA[Student Number],YES_Writing_FLA[Student Number]),0),MATCH(VLOOKUP(H$7,'Writing Logic'!$J$7:$K$11,2,FALSE)&amp;" - Per "&amp;VLOOKUP($C$4,'Writing Logic'!$G$8:$H$14,2,FALSE),YES_Writing_ELA[#Headers],0)))="INS",'Writing Logic'!$B$7,IF(INDEX(_xlfn.VSTACK(YES_Writing_ELA[#Data],YES_Writing_FLA[#Data]),MATCH($A553,_xlfn.VSTACK(YES_Writing_ELA[Student Number],YES_Writing_FLA[Student Number]),0),MATCH(VLOOKUP(H$7,'Writing Logic'!$J$7:$K$11,2,FALSE)&amp;" - Per "&amp;VLOOKUP($C$4,'Writing Logic'!$G$8:$H$14,2,FALSE),YES_Writing_ELA[#Headers],0))=0,"",INDEX(_xlfn.VSTACK(YES_Writing_ELA[#Data],YES_Writing_FLA[#Data]),MATCH($A553,_xlfn.VSTACK(YES_Writing_ELA[Student Number],YES_Writing_FLA[Student Number]),0),MATCH(VLOOKUP(H$7,'Writing Logic'!$J$7:$K$11,2,FALSE)&amp;" - Per "&amp;VLOOKUP($C$4,'Writing Logic'!$G$8:$H$14,2,FALSE),YES_Writing_ELA[#Headers],0)))),"")</f>
        <v/>
      </c>
    </row>
    <row r="554" spans="1:8" x14ac:dyDescent="0.25">
      <c r="A554" s="137"/>
      <c r="B554" s="137" t="str">
        <f>IFERROR(INDEX(_xlfn.VSTACK(YES_Writing_ELA[#Data], YES_Writing_FLA[#Data]),MATCH($A554,_xlfn.VSTACK(YES_Writing_ELA[Student Number], YES_Writing_FLA[Student Number]),0),MATCH(B$7,YES_Writing_ELA[#Headers],0)),"")</f>
        <v/>
      </c>
      <c r="C554" s="137" t="str">
        <f>IFERROR(INDEX(_xlfn.VSTACK(YES_Writing_ELA[#Data], YES_Writing_FLA[#Data]),MATCH($A554,_xlfn.VSTACK(YES_Writing_ELA[Student Number], YES_Writing_FLA[Student Number]),0),MATCH(C$7,YES_Writing_ELA[#Headers],0)),"")</f>
        <v/>
      </c>
      <c r="D554" s="138" t="str">
        <f>IFERROR(IF(IF(INDEX(_xlfn.VSTACK(YES_Writing_ELA[#Data],YES_Writing_FLA[#Data]),MATCH($A554,_xlfn.VSTACK(YES_Writing_ELA[Student Number],YES_Writing_FLA[Student Number]),0),MATCH(VLOOKUP(D$7,'Writing Logic'!$J$7:$K$11,2,FALSE)&amp;" - Per "&amp;VLOOKUP($C$4,'Writing Logic'!$G$8:$H$14,2,FALSE),YES_Writing_ELA[#Headers],0))=0,"",INDEX(_xlfn.VSTACK(YES_Writing_ELA[#Data],YES_Writing_FLA[#Data]),MATCH($A554,_xlfn.VSTACK(YES_Writing_ELA[Student Number],YES_Writing_FLA[Student Number]),0),MATCH(VLOOKUP(D$7,'Writing Logic'!$J$7:$K$11,2,FALSE)&amp;" - Per "&amp;VLOOKUP($C$4,'Writing Logic'!$G$8:$H$14,2,FALSE),YES_Writing_ELA[#Headers],0)))="INS",'Writing Logic'!$B$7,IF(INDEX(_xlfn.VSTACK(YES_Writing_ELA[#Data],YES_Writing_FLA[#Data]),MATCH($A554,_xlfn.VSTACK(YES_Writing_ELA[Student Number],YES_Writing_FLA[Student Number]),0),MATCH(VLOOKUP(D$7,'Writing Logic'!$J$7:$K$11,2,FALSE)&amp;" - Per "&amp;VLOOKUP($C$4,'Writing Logic'!$G$8:$H$14,2,FALSE),YES_Writing_ELA[#Headers],0))=0,"",INDEX(_xlfn.VSTACK(YES_Writing_ELA[#Data],YES_Writing_FLA[#Data]),MATCH($A554,_xlfn.VSTACK(YES_Writing_ELA[Student Number],YES_Writing_FLA[Student Number]),0),MATCH(VLOOKUP(D$7,'Writing Logic'!$J$7:$K$11,2,FALSE)&amp;" - Per "&amp;VLOOKUP($C$4,'Writing Logic'!$G$8:$H$14,2,FALSE),YES_Writing_ELA[#Headers],0)))),"")</f>
        <v/>
      </c>
      <c r="E554" s="138" t="str">
        <f>IFERROR(IF(IF(INDEX(_xlfn.VSTACK(YES_Writing_ELA[#Data],YES_Writing_FLA[#Data]),MATCH($A554,_xlfn.VSTACK(YES_Writing_ELA[Student Number],YES_Writing_FLA[Student Number]),0),MATCH(VLOOKUP(E$7,'Writing Logic'!$J$7:$K$11,2,FALSE)&amp;" - Per "&amp;VLOOKUP($C$4,'Writing Logic'!$G$8:$H$14,2,FALSE),YES_Writing_ELA[#Headers],0))=0,"",INDEX(_xlfn.VSTACK(YES_Writing_ELA[#Data],YES_Writing_FLA[#Data]),MATCH($A554,_xlfn.VSTACK(YES_Writing_ELA[Student Number],YES_Writing_FLA[Student Number]),0),MATCH(VLOOKUP(E$7,'Writing Logic'!$J$7:$K$11,2,FALSE)&amp;" - Per "&amp;VLOOKUP($C$4,'Writing Logic'!$G$8:$H$14,2,FALSE),YES_Writing_ELA[#Headers],0)))="INS",'Writing Logic'!$B$7,IF(INDEX(_xlfn.VSTACK(YES_Writing_ELA[#Data],YES_Writing_FLA[#Data]),MATCH($A554,_xlfn.VSTACK(YES_Writing_ELA[Student Number],YES_Writing_FLA[Student Number]),0),MATCH(VLOOKUP(E$7,'Writing Logic'!$J$7:$K$11,2,FALSE)&amp;" - Per "&amp;VLOOKUP($C$4,'Writing Logic'!$G$8:$H$14,2,FALSE),YES_Writing_ELA[#Headers],0))=0,"",INDEX(_xlfn.VSTACK(YES_Writing_ELA[#Data],YES_Writing_FLA[#Data]),MATCH($A554,_xlfn.VSTACK(YES_Writing_ELA[Student Number],YES_Writing_FLA[Student Number]),0),MATCH(VLOOKUP(E$7,'Writing Logic'!$J$7:$K$11,2,FALSE)&amp;" - Per "&amp;VLOOKUP($C$4,'Writing Logic'!$G$8:$H$14,2,FALSE),YES_Writing_ELA[#Headers],0)))),"")</f>
        <v/>
      </c>
      <c r="F554" s="138" t="str">
        <f>IFERROR(IF(IF(INDEX(_xlfn.VSTACK(YES_Writing_ELA[#Data],YES_Writing_FLA[#Data]),MATCH($A554,_xlfn.VSTACK(YES_Writing_ELA[Student Number],YES_Writing_FLA[Student Number]),0),MATCH(VLOOKUP(F$7,'Writing Logic'!$J$7:$K$11,2,FALSE)&amp;" - Per "&amp;VLOOKUP($C$4,'Writing Logic'!$G$8:$H$14,2,FALSE),YES_Writing_ELA[#Headers],0))=0,"",INDEX(_xlfn.VSTACK(YES_Writing_ELA[#Data],YES_Writing_FLA[#Data]),MATCH($A554,_xlfn.VSTACK(YES_Writing_ELA[Student Number],YES_Writing_FLA[Student Number]),0),MATCH(VLOOKUP(F$7,'Writing Logic'!$J$7:$K$11,2,FALSE)&amp;" - Per "&amp;VLOOKUP($C$4,'Writing Logic'!$G$8:$H$14,2,FALSE),YES_Writing_ELA[#Headers],0)))="INS",'Writing Logic'!$B$7,IF(INDEX(_xlfn.VSTACK(YES_Writing_ELA[#Data],YES_Writing_FLA[#Data]),MATCH($A554,_xlfn.VSTACK(YES_Writing_ELA[Student Number],YES_Writing_FLA[Student Number]),0),MATCH(VLOOKUP(F$7,'Writing Logic'!$J$7:$K$11,2,FALSE)&amp;" - Per "&amp;VLOOKUP($C$4,'Writing Logic'!$G$8:$H$14,2,FALSE),YES_Writing_ELA[#Headers],0))=0,"",INDEX(_xlfn.VSTACK(YES_Writing_ELA[#Data],YES_Writing_FLA[#Data]),MATCH($A554,_xlfn.VSTACK(YES_Writing_ELA[Student Number],YES_Writing_FLA[Student Number]),0),MATCH(VLOOKUP(F$7,'Writing Logic'!$J$7:$K$11,2,FALSE)&amp;" - Per "&amp;VLOOKUP($C$4,'Writing Logic'!$G$8:$H$14,2,FALSE),YES_Writing_ELA[#Headers],0)))),"")</f>
        <v/>
      </c>
      <c r="G554" s="138" t="str">
        <f>IFERROR(IF(IF(INDEX(_xlfn.VSTACK(YES_Writing_ELA[#Data],YES_Writing_FLA[#Data]),MATCH($A554,_xlfn.VSTACK(YES_Writing_ELA[Student Number],YES_Writing_FLA[Student Number]),0),MATCH(VLOOKUP(G$7,'Writing Logic'!$J$7:$K$11,2,FALSE)&amp;" - Per "&amp;VLOOKUP($C$4,'Writing Logic'!$G$8:$H$14,2,FALSE),YES_Writing_ELA[#Headers],0))=0,"",INDEX(_xlfn.VSTACK(YES_Writing_ELA[#Data],YES_Writing_FLA[#Data]),MATCH($A554,_xlfn.VSTACK(YES_Writing_ELA[Student Number],YES_Writing_FLA[Student Number]),0),MATCH(VLOOKUP(G$7,'Writing Logic'!$J$7:$K$11,2,FALSE)&amp;" - Per "&amp;VLOOKUP($C$4,'Writing Logic'!$G$8:$H$14,2,FALSE),YES_Writing_ELA[#Headers],0)))="INS",'Writing Logic'!$B$7,IF(INDEX(_xlfn.VSTACK(YES_Writing_ELA[#Data],YES_Writing_FLA[#Data]),MATCH($A554,_xlfn.VSTACK(YES_Writing_ELA[Student Number],YES_Writing_FLA[Student Number]),0),MATCH(VLOOKUP(G$7,'Writing Logic'!$J$7:$K$11,2,FALSE)&amp;" - Per "&amp;VLOOKUP($C$4,'Writing Logic'!$G$8:$H$14,2,FALSE),YES_Writing_ELA[#Headers],0))=0,"",INDEX(_xlfn.VSTACK(YES_Writing_ELA[#Data],YES_Writing_FLA[#Data]),MATCH($A554,_xlfn.VSTACK(YES_Writing_ELA[Student Number],YES_Writing_FLA[Student Number]),0),MATCH(VLOOKUP(G$7,'Writing Logic'!$J$7:$K$11,2,FALSE)&amp;" - Per "&amp;VLOOKUP($C$4,'Writing Logic'!$G$8:$H$14,2,FALSE),YES_Writing_ELA[#Headers],0)))),"")</f>
        <v/>
      </c>
      <c r="H554" s="138" t="str">
        <f>IFERROR(IF(IF(INDEX(_xlfn.VSTACK(YES_Writing_ELA[#Data],YES_Writing_FLA[#Data]),MATCH($A554,_xlfn.VSTACK(YES_Writing_ELA[Student Number],YES_Writing_FLA[Student Number]),0),MATCH(VLOOKUP(H$7,'Writing Logic'!$J$7:$K$11,2,FALSE)&amp;" - Per "&amp;VLOOKUP($C$4,'Writing Logic'!$G$8:$H$14,2,FALSE),YES_Writing_ELA[#Headers],0))=0,"",INDEX(_xlfn.VSTACK(YES_Writing_ELA[#Data],YES_Writing_FLA[#Data]),MATCH($A554,_xlfn.VSTACK(YES_Writing_ELA[Student Number],YES_Writing_FLA[Student Number]),0),MATCH(VLOOKUP(H$7,'Writing Logic'!$J$7:$K$11,2,FALSE)&amp;" - Per "&amp;VLOOKUP($C$4,'Writing Logic'!$G$8:$H$14,2,FALSE),YES_Writing_ELA[#Headers],0)))="INS",'Writing Logic'!$B$7,IF(INDEX(_xlfn.VSTACK(YES_Writing_ELA[#Data],YES_Writing_FLA[#Data]),MATCH($A554,_xlfn.VSTACK(YES_Writing_ELA[Student Number],YES_Writing_FLA[Student Number]),0),MATCH(VLOOKUP(H$7,'Writing Logic'!$J$7:$K$11,2,FALSE)&amp;" - Per "&amp;VLOOKUP($C$4,'Writing Logic'!$G$8:$H$14,2,FALSE),YES_Writing_ELA[#Headers],0))=0,"",INDEX(_xlfn.VSTACK(YES_Writing_ELA[#Data],YES_Writing_FLA[#Data]),MATCH($A554,_xlfn.VSTACK(YES_Writing_ELA[Student Number],YES_Writing_FLA[Student Number]),0),MATCH(VLOOKUP(H$7,'Writing Logic'!$J$7:$K$11,2,FALSE)&amp;" - Per "&amp;VLOOKUP($C$4,'Writing Logic'!$G$8:$H$14,2,FALSE),YES_Writing_ELA[#Headers],0)))),"")</f>
        <v/>
      </c>
    </row>
    <row r="555" spans="1:8" x14ac:dyDescent="0.25">
      <c r="A555" s="137"/>
      <c r="B555" s="137" t="str">
        <f>IFERROR(INDEX(_xlfn.VSTACK(YES_Writing_ELA[#Data], YES_Writing_FLA[#Data]),MATCH($A555,_xlfn.VSTACK(YES_Writing_ELA[Student Number], YES_Writing_FLA[Student Number]),0),MATCH(B$7,YES_Writing_ELA[#Headers],0)),"")</f>
        <v/>
      </c>
      <c r="C555" s="137" t="str">
        <f>IFERROR(INDEX(_xlfn.VSTACK(YES_Writing_ELA[#Data], YES_Writing_FLA[#Data]),MATCH($A555,_xlfn.VSTACK(YES_Writing_ELA[Student Number], YES_Writing_FLA[Student Number]),0),MATCH(C$7,YES_Writing_ELA[#Headers],0)),"")</f>
        <v/>
      </c>
      <c r="D555" s="138" t="str">
        <f>IFERROR(IF(IF(INDEX(_xlfn.VSTACK(YES_Writing_ELA[#Data],YES_Writing_FLA[#Data]),MATCH($A555,_xlfn.VSTACK(YES_Writing_ELA[Student Number],YES_Writing_FLA[Student Number]),0),MATCH(VLOOKUP(D$7,'Writing Logic'!$J$7:$K$11,2,FALSE)&amp;" - Per "&amp;VLOOKUP($C$4,'Writing Logic'!$G$8:$H$14,2,FALSE),YES_Writing_ELA[#Headers],0))=0,"",INDEX(_xlfn.VSTACK(YES_Writing_ELA[#Data],YES_Writing_FLA[#Data]),MATCH($A555,_xlfn.VSTACK(YES_Writing_ELA[Student Number],YES_Writing_FLA[Student Number]),0),MATCH(VLOOKUP(D$7,'Writing Logic'!$J$7:$K$11,2,FALSE)&amp;" - Per "&amp;VLOOKUP($C$4,'Writing Logic'!$G$8:$H$14,2,FALSE),YES_Writing_ELA[#Headers],0)))="INS",'Writing Logic'!$B$7,IF(INDEX(_xlfn.VSTACK(YES_Writing_ELA[#Data],YES_Writing_FLA[#Data]),MATCH($A555,_xlfn.VSTACK(YES_Writing_ELA[Student Number],YES_Writing_FLA[Student Number]),0),MATCH(VLOOKUP(D$7,'Writing Logic'!$J$7:$K$11,2,FALSE)&amp;" - Per "&amp;VLOOKUP($C$4,'Writing Logic'!$G$8:$H$14,2,FALSE),YES_Writing_ELA[#Headers],0))=0,"",INDEX(_xlfn.VSTACK(YES_Writing_ELA[#Data],YES_Writing_FLA[#Data]),MATCH($A555,_xlfn.VSTACK(YES_Writing_ELA[Student Number],YES_Writing_FLA[Student Number]),0),MATCH(VLOOKUP(D$7,'Writing Logic'!$J$7:$K$11,2,FALSE)&amp;" - Per "&amp;VLOOKUP($C$4,'Writing Logic'!$G$8:$H$14,2,FALSE),YES_Writing_ELA[#Headers],0)))),"")</f>
        <v/>
      </c>
      <c r="E555" s="138" t="str">
        <f>IFERROR(IF(IF(INDEX(_xlfn.VSTACK(YES_Writing_ELA[#Data],YES_Writing_FLA[#Data]),MATCH($A555,_xlfn.VSTACK(YES_Writing_ELA[Student Number],YES_Writing_FLA[Student Number]),0),MATCH(VLOOKUP(E$7,'Writing Logic'!$J$7:$K$11,2,FALSE)&amp;" - Per "&amp;VLOOKUP($C$4,'Writing Logic'!$G$8:$H$14,2,FALSE),YES_Writing_ELA[#Headers],0))=0,"",INDEX(_xlfn.VSTACK(YES_Writing_ELA[#Data],YES_Writing_FLA[#Data]),MATCH($A555,_xlfn.VSTACK(YES_Writing_ELA[Student Number],YES_Writing_FLA[Student Number]),0),MATCH(VLOOKUP(E$7,'Writing Logic'!$J$7:$K$11,2,FALSE)&amp;" - Per "&amp;VLOOKUP($C$4,'Writing Logic'!$G$8:$H$14,2,FALSE),YES_Writing_ELA[#Headers],0)))="INS",'Writing Logic'!$B$7,IF(INDEX(_xlfn.VSTACK(YES_Writing_ELA[#Data],YES_Writing_FLA[#Data]),MATCH($A555,_xlfn.VSTACK(YES_Writing_ELA[Student Number],YES_Writing_FLA[Student Number]),0),MATCH(VLOOKUP(E$7,'Writing Logic'!$J$7:$K$11,2,FALSE)&amp;" - Per "&amp;VLOOKUP($C$4,'Writing Logic'!$G$8:$H$14,2,FALSE),YES_Writing_ELA[#Headers],0))=0,"",INDEX(_xlfn.VSTACK(YES_Writing_ELA[#Data],YES_Writing_FLA[#Data]),MATCH($A555,_xlfn.VSTACK(YES_Writing_ELA[Student Number],YES_Writing_FLA[Student Number]),0),MATCH(VLOOKUP(E$7,'Writing Logic'!$J$7:$K$11,2,FALSE)&amp;" - Per "&amp;VLOOKUP($C$4,'Writing Logic'!$G$8:$H$14,2,FALSE),YES_Writing_ELA[#Headers],0)))),"")</f>
        <v/>
      </c>
      <c r="F555" s="138" t="str">
        <f>IFERROR(IF(IF(INDEX(_xlfn.VSTACK(YES_Writing_ELA[#Data],YES_Writing_FLA[#Data]),MATCH($A555,_xlfn.VSTACK(YES_Writing_ELA[Student Number],YES_Writing_FLA[Student Number]),0),MATCH(VLOOKUP(F$7,'Writing Logic'!$J$7:$K$11,2,FALSE)&amp;" - Per "&amp;VLOOKUP($C$4,'Writing Logic'!$G$8:$H$14,2,FALSE),YES_Writing_ELA[#Headers],0))=0,"",INDEX(_xlfn.VSTACK(YES_Writing_ELA[#Data],YES_Writing_FLA[#Data]),MATCH($A555,_xlfn.VSTACK(YES_Writing_ELA[Student Number],YES_Writing_FLA[Student Number]),0),MATCH(VLOOKUP(F$7,'Writing Logic'!$J$7:$K$11,2,FALSE)&amp;" - Per "&amp;VLOOKUP($C$4,'Writing Logic'!$G$8:$H$14,2,FALSE),YES_Writing_ELA[#Headers],0)))="INS",'Writing Logic'!$B$7,IF(INDEX(_xlfn.VSTACK(YES_Writing_ELA[#Data],YES_Writing_FLA[#Data]),MATCH($A555,_xlfn.VSTACK(YES_Writing_ELA[Student Number],YES_Writing_FLA[Student Number]),0),MATCH(VLOOKUP(F$7,'Writing Logic'!$J$7:$K$11,2,FALSE)&amp;" - Per "&amp;VLOOKUP($C$4,'Writing Logic'!$G$8:$H$14,2,FALSE),YES_Writing_ELA[#Headers],0))=0,"",INDEX(_xlfn.VSTACK(YES_Writing_ELA[#Data],YES_Writing_FLA[#Data]),MATCH($A555,_xlfn.VSTACK(YES_Writing_ELA[Student Number],YES_Writing_FLA[Student Number]),0),MATCH(VLOOKUP(F$7,'Writing Logic'!$J$7:$K$11,2,FALSE)&amp;" - Per "&amp;VLOOKUP($C$4,'Writing Logic'!$G$8:$H$14,2,FALSE),YES_Writing_ELA[#Headers],0)))),"")</f>
        <v/>
      </c>
      <c r="G555" s="138" t="str">
        <f>IFERROR(IF(IF(INDEX(_xlfn.VSTACK(YES_Writing_ELA[#Data],YES_Writing_FLA[#Data]),MATCH($A555,_xlfn.VSTACK(YES_Writing_ELA[Student Number],YES_Writing_FLA[Student Number]),0),MATCH(VLOOKUP(G$7,'Writing Logic'!$J$7:$K$11,2,FALSE)&amp;" - Per "&amp;VLOOKUP($C$4,'Writing Logic'!$G$8:$H$14,2,FALSE),YES_Writing_ELA[#Headers],0))=0,"",INDEX(_xlfn.VSTACK(YES_Writing_ELA[#Data],YES_Writing_FLA[#Data]),MATCH($A555,_xlfn.VSTACK(YES_Writing_ELA[Student Number],YES_Writing_FLA[Student Number]),0),MATCH(VLOOKUP(G$7,'Writing Logic'!$J$7:$K$11,2,FALSE)&amp;" - Per "&amp;VLOOKUP($C$4,'Writing Logic'!$G$8:$H$14,2,FALSE),YES_Writing_ELA[#Headers],0)))="INS",'Writing Logic'!$B$7,IF(INDEX(_xlfn.VSTACK(YES_Writing_ELA[#Data],YES_Writing_FLA[#Data]),MATCH($A555,_xlfn.VSTACK(YES_Writing_ELA[Student Number],YES_Writing_FLA[Student Number]),0),MATCH(VLOOKUP(G$7,'Writing Logic'!$J$7:$K$11,2,FALSE)&amp;" - Per "&amp;VLOOKUP($C$4,'Writing Logic'!$G$8:$H$14,2,FALSE),YES_Writing_ELA[#Headers],0))=0,"",INDEX(_xlfn.VSTACK(YES_Writing_ELA[#Data],YES_Writing_FLA[#Data]),MATCH($A555,_xlfn.VSTACK(YES_Writing_ELA[Student Number],YES_Writing_FLA[Student Number]),0),MATCH(VLOOKUP(G$7,'Writing Logic'!$J$7:$K$11,2,FALSE)&amp;" - Per "&amp;VLOOKUP($C$4,'Writing Logic'!$G$8:$H$14,2,FALSE),YES_Writing_ELA[#Headers],0)))),"")</f>
        <v/>
      </c>
      <c r="H555" s="138" t="str">
        <f>IFERROR(IF(IF(INDEX(_xlfn.VSTACK(YES_Writing_ELA[#Data],YES_Writing_FLA[#Data]),MATCH($A555,_xlfn.VSTACK(YES_Writing_ELA[Student Number],YES_Writing_FLA[Student Number]),0),MATCH(VLOOKUP(H$7,'Writing Logic'!$J$7:$K$11,2,FALSE)&amp;" - Per "&amp;VLOOKUP($C$4,'Writing Logic'!$G$8:$H$14,2,FALSE),YES_Writing_ELA[#Headers],0))=0,"",INDEX(_xlfn.VSTACK(YES_Writing_ELA[#Data],YES_Writing_FLA[#Data]),MATCH($A555,_xlfn.VSTACK(YES_Writing_ELA[Student Number],YES_Writing_FLA[Student Number]),0),MATCH(VLOOKUP(H$7,'Writing Logic'!$J$7:$K$11,2,FALSE)&amp;" - Per "&amp;VLOOKUP($C$4,'Writing Logic'!$G$8:$H$14,2,FALSE),YES_Writing_ELA[#Headers],0)))="INS",'Writing Logic'!$B$7,IF(INDEX(_xlfn.VSTACK(YES_Writing_ELA[#Data],YES_Writing_FLA[#Data]),MATCH($A555,_xlfn.VSTACK(YES_Writing_ELA[Student Number],YES_Writing_FLA[Student Number]),0),MATCH(VLOOKUP(H$7,'Writing Logic'!$J$7:$K$11,2,FALSE)&amp;" - Per "&amp;VLOOKUP($C$4,'Writing Logic'!$G$8:$H$14,2,FALSE),YES_Writing_ELA[#Headers],0))=0,"",INDEX(_xlfn.VSTACK(YES_Writing_ELA[#Data],YES_Writing_FLA[#Data]),MATCH($A555,_xlfn.VSTACK(YES_Writing_ELA[Student Number],YES_Writing_FLA[Student Number]),0),MATCH(VLOOKUP(H$7,'Writing Logic'!$J$7:$K$11,2,FALSE)&amp;" - Per "&amp;VLOOKUP($C$4,'Writing Logic'!$G$8:$H$14,2,FALSE),YES_Writing_ELA[#Headers],0)))),"")</f>
        <v/>
      </c>
    </row>
    <row r="556" spans="1:8" x14ac:dyDescent="0.25">
      <c r="A556" s="137"/>
      <c r="B556" s="137" t="str">
        <f>IFERROR(INDEX(_xlfn.VSTACK(YES_Writing_ELA[#Data], YES_Writing_FLA[#Data]),MATCH($A556,_xlfn.VSTACK(YES_Writing_ELA[Student Number], YES_Writing_FLA[Student Number]),0),MATCH(B$7,YES_Writing_ELA[#Headers],0)),"")</f>
        <v/>
      </c>
      <c r="C556" s="137" t="str">
        <f>IFERROR(INDEX(_xlfn.VSTACK(YES_Writing_ELA[#Data], YES_Writing_FLA[#Data]),MATCH($A556,_xlfn.VSTACK(YES_Writing_ELA[Student Number], YES_Writing_FLA[Student Number]),0),MATCH(C$7,YES_Writing_ELA[#Headers],0)),"")</f>
        <v/>
      </c>
      <c r="D556" s="138" t="str">
        <f>IFERROR(IF(IF(INDEX(_xlfn.VSTACK(YES_Writing_ELA[#Data],YES_Writing_FLA[#Data]),MATCH($A556,_xlfn.VSTACK(YES_Writing_ELA[Student Number],YES_Writing_FLA[Student Number]),0),MATCH(VLOOKUP(D$7,'Writing Logic'!$J$7:$K$11,2,FALSE)&amp;" - Per "&amp;VLOOKUP($C$4,'Writing Logic'!$G$8:$H$14,2,FALSE),YES_Writing_ELA[#Headers],0))=0,"",INDEX(_xlfn.VSTACK(YES_Writing_ELA[#Data],YES_Writing_FLA[#Data]),MATCH($A556,_xlfn.VSTACK(YES_Writing_ELA[Student Number],YES_Writing_FLA[Student Number]),0),MATCH(VLOOKUP(D$7,'Writing Logic'!$J$7:$K$11,2,FALSE)&amp;" - Per "&amp;VLOOKUP($C$4,'Writing Logic'!$G$8:$H$14,2,FALSE),YES_Writing_ELA[#Headers],0)))="INS",'Writing Logic'!$B$7,IF(INDEX(_xlfn.VSTACK(YES_Writing_ELA[#Data],YES_Writing_FLA[#Data]),MATCH($A556,_xlfn.VSTACK(YES_Writing_ELA[Student Number],YES_Writing_FLA[Student Number]),0),MATCH(VLOOKUP(D$7,'Writing Logic'!$J$7:$K$11,2,FALSE)&amp;" - Per "&amp;VLOOKUP($C$4,'Writing Logic'!$G$8:$H$14,2,FALSE),YES_Writing_ELA[#Headers],0))=0,"",INDEX(_xlfn.VSTACK(YES_Writing_ELA[#Data],YES_Writing_FLA[#Data]),MATCH($A556,_xlfn.VSTACK(YES_Writing_ELA[Student Number],YES_Writing_FLA[Student Number]),0),MATCH(VLOOKUP(D$7,'Writing Logic'!$J$7:$K$11,2,FALSE)&amp;" - Per "&amp;VLOOKUP($C$4,'Writing Logic'!$G$8:$H$14,2,FALSE),YES_Writing_ELA[#Headers],0)))),"")</f>
        <v/>
      </c>
      <c r="E556" s="138" t="str">
        <f>IFERROR(IF(IF(INDEX(_xlfn.VSTACK(YES_Writing_ELA[#Data],YES_Writing_FLA[#Data]),MATCH($A556,_xlfn.VSTACK(YES_Writing_ELA[Student Number],YES_Writing_FLA[Student Number]),0),MATCH(VLOOKUP(E$7,'Writing Logic'!$J$7:$K$11,2,FALSE)&amp;" - Per "&amp;VLOOKUP($C$4,'Writing Logic'!$G$8:$H$14,2,FALSE),YES_Writing_ELA[#Headers],0))=0,"",INDEX(_xlfn.VSTACK(YES_Writing_ELA[#Data],YES_Writing_FLA[#Data]),MATCH($A556,_xlfn.VSTACK(YES_Writing_ELA[Student Number],YES_Writing_FLA[Student Number]),0),MATCH(VLOOKUP(E$7,'Writing Logic'!$J$7:$K$11,2,FALSE)&amp;" - Per "&amp;VLOOKUP($C$4,'Writing Logic'!$G$8:$H$14,2,FALSE),YES_Writing_ELA[#Headers],0)))="INS",'Writing Logic'!$B$7,IF(INDEX(_xlfn.VSTACK(YES_Writing_ELA[#Data],YES_Writing_FLA[#Data]),MATCH($A556,_xlfn.VSTACK(YES_Writing_ELA[Student Number],YES_Writing_FLA[Student Number]),0),MATCH(VLOOKUP(E$7,'Writing Logic'!$J$7:$K$11,2,FALSE)&amp;" - Per "&amp;VLOOKUP($C$4,'Writing Logic'!$G$8:$H$14,2,FALSE),YES_Writing_ELA[#Headers],0))=0,"",INDEX(_xlfn.VSTACK(YES_Writing_ELA[#Data],YES_Writing_FLA[#Data]),MATCH($A556,_xlfn.VSTACK(YES_Writing_ELA[Student Number],YES_Writing_FLA[Student Number]),0),MATCH(VLOOKUP(E$7,'Writing Logic'!$J$7:$K$11,2,FALSE)&amp;" - Per "&amp;VLOOKUP($C$4,'Writing Logic'!$G$8:$H$14,2,FALSE),YES_Writing_ELA[#Headers],0)))),"")</f>
        <v/>
      </c>
      <c r="F556" s="138" t="str">
        <f>IFERROR(IF(IF(INDEX(_xlfn.VSTACK(YES_Writing_ELA[#Data],YES_Writing_FLA[#Data]),MATCH($A556,_xlfn.VSTACK(YES_Writing_ELA[Student Number],YES_Writing_FLA[Student Number]),0),MATCH(VLOOKUP(F$7,'Writing Logic'!$J$7:$K$11,2,FALSE)&amp;" - Per "&amp;VLOOKUP($C$4,'Writing Logic'!$G$8:$H$14,2,FALSE),YES_Writing_ELA[#Headers],0))=0,"",INDEX(_xlfn.VSTACK(YES_Writing_ELA[#Data],YES_Writing_FLA[#Data]),MATCH($A556,_xlfn.VSTACK(YES_Writing_ELA[Student Number],YES_Writing_FLA[Student Number]),0),MATCH(VLOOKUP(F$7,'Writing Logic'!$J$7:$K$11,2,FALSE)&amp;" - Per "&amp;VLOOKUP($C$4,'Writing Logic'!$G$8:$H$14,2,FALSE),YES_Writing_ELA[#Headers],0)))="INS",'Writing Logic'!$B$7,IF(INDEX(_xlfn.VSTACK(YES_Writing_ELA[#Data],YES_Writing_FLA[#Data]),MATCH($A556,_xlfn.VSTACK(YES_Writing_ELA[Student Number],YES_Writing_FLA[Student Number]),0),MATCH(VLOOKUP(F$7,'Writing Logic'!$J$7:$K$11,2,FALSE)&amp;" - Per "&amp;VLOOKUP($C$4,'Writing Logic'!$G$8:$H$14,2,FALSE),YES_Writing_ELA[#Headers],0))=0,"",INDEX(_xlfn.VSTACK(YES_Writing_ELA[#Data],YES_Writing_FLA[#Data]),MATCH($A556,_xlfn.VSTACK(YES_Writing_ELA[Student Number],YES_Writing_FLA[Student Number]),0),MATCH(VLOOKUP(F$7,'Writing Logic'!$J$7:$K$11,2,FALSE)&amp;" - Per "&amp;VLOOKUP($C$4,'Writing Logic'!$G$8:$H$14,2,FALSE),YES_Writing_ELA[#Headers],0)))),"")</f>
        <v/>
      </c>
      <c r="G556" s="138" t="str">
        <f>IFERROR(IF(IF(INDEX(_xlfn.VSTACK(YES_Writing_ELA[#Data],YES_Writing_FLA[#Data]),MATCH($A556,_xlfn.VSTACK(YES_Writing_ELA[Student Number],YES_Writing_FLA[Student Number]),0),MATCH(VLOOKUP(G$7,'Writing Logic'!$J$7:$K$11,2,FALSE)&amp;" - Per "&amp;VLOOKUP($C$4,'Writing Logic'!$G$8:$H$14,2,FALSE),YES_Writing_ELA[#Headers],0))=0,"",INDEX(_xlfn.VSTACK(YES_Writing_ELA[#Data],YES_Writing_FLA[#Data]),MATCH($A556,_xlfn.VSTACK(YES_Writing_ELA[Student Number],YES_Writing_FLA[Student Number]),0),MATCH(VLOOKUP(G$7,'Writing Logic'!$J$7:$K$11,2,FALSE)&amp;" - Per "&amp;VLOOKUP($C$4,'Writing Logic'!$G$8:$H$14,2,FALSE),YES_Writing_ELA[#Headers],0)))="INS",'Writing Logic'!$B$7,IF(INDEX(_xlfn.VSTACK(YES_Writing_ELA[#Data],YES_Writing_FLA[#Data]),MATCH($A556,_xlfn.VSTACK(YES_Writing_ELA[Student Number],YES_Writing_FLA[Student Number]),0),MATCH(VLOOKUP(G$7,'Writing Logic'!$J$7:$K$11,2,FALSE)&amp;" - Per "&amp;VLOOKUP($C$4,'Writing Logic'!$G$8:$H$14,2,FALSE),YES_Writing_ELA[#Headers],0))=0,"",INDEX(_xlfn.VSTACK(YES_Writing_ELA[#Data],YES_Writing_FLA[#Data]),MATCH($A556,_xlfn.VSTACK(YES_Writing_ELA[Student Number],YES_Writing_FLA[Student Number]),0),MATCH(VLOOKUP(G$7,'Writing Logic'!$J$7:$K$11,2,FALSE)&amp;" - Per "&amp;VLOOKUP($C$4,'Writing Logic'!$G$8:$H$14,2,FALSE),YES_Writing_ELA[#Headers],0)))),"")</f>
        <v/>
      </c>
      <c r="H556" s="138" t="str">
        <f>IFERROR(IF(IF(INDEX(_xlfn.VSTACK(YES_Writing_ELA[#Data],YES_Writing_FLA[#Data]),MATCH($A556,_xlfn.VSTACK(YES_Writing_ELA[Student Number],YES_Writing_FLA[Student Number]),0),MATCH(VLOOKUP(H$7,'Writing Logic'!$J$7:$K$11,2,FALSE)&amp;" - Per "&amp;VLOOKUP($C$4,'Writing Logic'!$G$8:$H$14,2,FALSE),YES_Writing_ELA[#Headers],0))=0,"",INDEX(_xlfn.VSTACK(YES_Writing_ELA[#Data],YES_Writing_FLA[#Data]),MATCH($A556,_xlfn.VSTACK(YES_Writing_ELA[Student Number],YES_Writing_FLA[Student Number]),0),MATCH(VLOOKUP(H$7,'Writing Logic'!$J$7:$K$11,2,FALSE)&amp;" - Per "&amp;VLOOKUP($C$4,'Writing Logic'!$G$8:$H$14,2,FALSE),YES_Writing_ELA[#Headers],0)))="INS",'Writing Logic'!$B$7,IF(INDEX(_xlfn.VSTACK(YES_Writing_ELA[#Data],YES_Writing_FLA[#Data]),MATCH($A556,_xlfn.VSTACK(YES_Writing_ELA[Student Number],YES_Writing_FLA[Student Number]),0),MATCH(VLOOKUP(H$7,'Writing Logic'!$J$7:$K$11,2,FALSE)&amp;" - Per "&amp;VLOOKUP($C$4,'Writing Logic'!$G$8:$H$14,2,FALSE),YES_Writing_ELA[#Headers],0))=0,"",INDEX(_xlfn.VSTACK(YES_Writing_ELA[#Data],YES_Writing_FLA[#Data]),MATCH($A556,_xlfn.VSTACK(YES_Writing_ELA[Student Number],YES_Writing_FLA[Student Number]),0),MATCH(VLOOKUP(H$7,'Writing Logic'!$J$7:$K$11,2,FALSE)&amp;" - Per "&amp;VLOOKUP($C$4,'Writing Logic'!$G$8:$H$14,2,FALSE),YES_Writing_ELA[#Headers],0)))),"")</f>
        <v/>
      </c>
    </row>
    <row r="557" spans="1:8" x14ac:dyDescent="0.25">
      <c r="A557" s="137"/>
      <c r="B557" s="137" t="str">
        <f>IFERROR(INDEX(_xlfn.VSTACK(YES_Writing_ELA[#Data], YES_Writing_FLA[#Data]),MATCH($A557,_xlfn.VSTACK(YES_Writing_ELA[Student Number], YES_Writing_FLA[Student Number]),0),MATCH(B$7,YES_Writing_ELA[#Headers],0)),"")</f>
        <v/>
      </c>
      <c r="C557" s="137" t="str">
        <f>IFERROR(INDEX(_xlfn.VSTACK(YES_Writing_ELA[#Data], YES_Writing_FLA[#Data]),MATCH($A557,_xlfn.VSTACK(YES_Writing_ELA[Student Number], YES_Writing_FLA[Student Number]),0),MATCH(C$7,YES_Writing_ELA[#Headers],0)),"")</f>
        <v/>
      </c>
      <c r="D557" s="138" t="str">
        <f>IFERROR(IF(IF(INDEX(_xlfn.VSTACK(YES_Writing_ELA[#Data],YES_Writing_FLA[#Data]),MATCH($A557,_xlfn.VSTACK(YES_Writing_ELA[Student Number],YES_Writing_FLA[Student Number]),0),MATCH(VLOOKUP(D$7,'Writing Logic'!$J$7:$K$11,2,FALSE)&amp;" - Per "&amp;VLOOKUP($C$4,'Writing Logic'!$G$8:$H$14,2,FALSE),YES_Writing_ELA[#Headers],0))=0,"",INDEX(_xlfn.VSTACK(YES_Writing_ELA[#Data],YES_Writing_FLA[#Data]),MATCH($A557,_xlfn.VSTACK(YES_Writing_ELA[Student Number],YES_Writing_FLA[Student Number]),0),MATCH(VLOOKUP(D$7,'Writing Logic'!$J$7:$K$11,2,FALSE)&amp;" - Per "&amp;VLOOKUP($C$4,'Writing Logic'!$G$8:$H$14,2,FALSE),YES_Writing_ELA[#Headers],0)))="INS",'Writing Logic'!$B$7,IF(INDEX(_xlfn.VSTACK(YES_Writing_ELA[#Data],YES_Writing_FLA[#Data]),MATCH($A557,_xlfn.VSTACK(YES_Writing_ELA[Student Number],YES_Writing_FLA[Student Number]),0),MATCH(VLOOKUP(D$7,'Writing Logic'!$J$7:$K$11,2,FALSE)&amp;" - Per "&amp;VLOOKUP($C$4,'Writing Logic'!$G$8:$H$14,2,FALSE),YES_Writing_ELA[#Headers],0))=0,"",INDEX(_xlfn.VSTACK(YES_Writing_ELA[#Data],YES_Writing_FLA[#Data]),MATCH($A557,_xlfn.VSTACK(YES_Writing_ELA[Student Number],YES_Writing_FLA[Student Number]),0),MATCH(VLOOKUP(D$7,'Writing Logic'!$J$7:$K$11,2,FALSE)&amp;" - Per "&amp;VLOOKUP($C$4,'Writing Logic'!$G$8:$H$14,2,FALSE),YES_Writing_ELA[#Headers],0)))),"")</f>
        <v/>
      </c>
      <c r="E557" s="138" t="str">
        <f>IFERROR(IF(IF(INDEX(_xlfn.VSTACK(YES_Writing_ELA[#Data],YES_Writing_FLA[#Data]),MATCH($A557,_xlfn.VSTACK(YES_Writing_ELA[Student Number],YES_Writing_FLA[Student Number]),0),MATCH(VLOOKUP(E$7,'Writing Logic'!$J$7:$K$11,2,FALSE)&amp;" - Per "&amp;VLOOKUP($C$4,'Writing Logic'!$G$8:$H$14,2,FALSE),YES_Writing_ELA[#Headers],0))=0,"",INDEX(_xlfn.VSTACK(YES_Writing_ELA[#Data],YES_Writing_FLA[#Data]),MATCH($A557,_xlfn.VSTACK(YES_Writing_ELA[Student Number],YES_Writing_FLA[Student Number]),0),MATCH(VLOOKUP(E$7,'Writing Logic'!$J$7:$K$11,2,FALSE)&amp;" - Per "&amp;VLOOKUP($C$4,'Writing Logic'!$G$8:$H$14,2,FALSE),YES_Writing_ELA[#Headers],0)))="INS",'Writing Logic'!$B$7,IF(INDEX(_xlfn.VSTACK(YES_Writing_ELA[#Data],YES_Writing_FLA[#Data]),MATCH($A557,_xlfn.VSTACK(YES_Writing_ELA[Student Number],YES_Writing_FLA[Student Number]),0),MATCH(VLOOKUP(E$7,'Writing Logic'!$J$7:$K$11,2,FALSE)&amp;" - Per "&amp;VLOOKUP($C$4,'Writing Logic'!$G$8:$H$14,2,FALSE),YES_Writing_ELA[#Headers],0))=0,"",INDEX(_xlfn.VSTACK(YES_Writing_ELA[#Data],YES_Writing_FLA[#Data]),MATCH($A557,_xlfn.VSTACK(YES_Writing_ELA[Student Number],YES_Writing_FLA[Student Number]),0),MATCH(VLOOKUP(E$7,'Writing Logic'!$J$7:$K$11,2,FALSE)&amp;" - Per "&amp;VLOOKUP($C$4,'Writing Logic'!$G$8:$H$14,2,FALSE),YES_Writing_ELA[#Headers],0)))),"")</f>
        <v/>
      </c>
      <c r="F557" s="138" t="str">
        <f>IFERROR(IF(IF(INDEX(_xlfn.VSTACK(YES_Writing_ELA[#Data],YES_Writing_FLA[#Data]),MATCH($A557,_xlfn.VSTACK(YES_Writing_ELA[Student Number],YES_Writing_FLA[Student Number]),0),MATCH(VLOOKUP(F$7,'Writing Logic'!$J$7:$K$11,2,FALSE)&amp;" - Per "&amp;VLOOKUP($C$4,'Writing Logic'!$G$8:$H$14,2,FALSE),YES_Writing_ELA[#Headers],0))=0,"",INDEX(_xlfn.VSTACK(YES_Writing_ELA[#Data],YES_Writing_FLA[#Data]),MATCH($A557,_xlfn.VSTACK(YES_Writing_ELA[Student Number],YES_Writing_FLA[Student Number]),0),MATCH(VLOOKUP(F$7,'Writing Logic'!$J$7:$K$11,2,FALSE)&amp;" - Per "&amp;VLOOKUP($C$4,'Writing Logic'!$G$8:$H$14,2,FALSE),YES_Writing_ELA[#Headers],0)))="INS",'Writing Logic'!$B$7,IF(INDEX(_xlfn.VSTACK(YES_Writing_ELA[#Data],YES_Writing_FLA[#Data]),MATCH($A557,_xlfn.VSTACK(YES_Writing_ELA[Student Number],YES_Writing_FLA[Student Number]),0),MATCH(VLOOKUP(F$7,'Writing Logic'!$J$7:$K$11,2,FALSE)&amp;" - Per "&amp;VLOOKUP($C$4,'Writing Logic'!$G$8:$H$14,2,FALSE),YES_Writing_ELA[#Headers],0))=0,"",INDEX(_xlfn.VSTACK(YES_Writing_ELA[#Data],YES_Writing_FLA[#Data]),MATCH($A557,_xlfn.VSTACK(YES_Writing_ELA[Student Number],YES_Writing_FLA[Student Number]),0),MATCH(VLOOKUP(F$7,'Writing Logic'!$J$7:$K$11,2,FALSE)&amp;" - Per "&amp;VLOOKUP($C$4,'Writing Logic'!$G$8:$H$14,2,FALSE),YES_Writing_ELA[#Headers],0)))),"")</f>
        <v/>
      </c>
      <c r="G557" s="138" t="str">
        <f>IFERROR(IF(IF(INDEX(_xlfn.VSTACK(YES_Writing_ELA[#Data],YES_Writing_FLA[#Data]),MATCH($A557,_xlfn.VSTACK(YES_Writing_ELA[Student Number],YES_Writing_FLA[Student Number]),0),MATCH(VLOOKUP(G$7,'Writing Logic'!$J$7:$K$11,2,FALSE)&amp;" - Per "&amp;VLOOKUP($C$4,'Writing Logic'!$G$8:$H$14,2,FALSE),YES_Writing_ELA[#Headers],0))=0,"",INDEX(_xlfn.VSTACK(YES_Writing_ELA[#Data],YES_Writing_FLA[#Data]),MATCH($A557,_xlfn.VSTACK(YES_Writing_ELA[Student Number],YES_Writing_FLA[Student Number]),0),MATCH(VLOOKUP(G$7,'Writing Logic'!$J$7:$K$11,2,FALSE)&amp;" - Per "&amp;VLOOKUP($C$4,'Writing Logic'!$G$8:$H$14,2,FALSE),YES_Writing_ELA[#Headers],0)))="INS",'Writing Logic'!$B$7,IF(INDEX(_xlfn.VSTACK(YES_Writing_ELA[#Data],YES_Writing_FLA[#Data]),MATCH($A557,_xlfn.VSTACK(YES_Writing_ELA[Student Number],YES_Writing_FLA[Student Number]),0),MATCH(VLOOKUP(G$7,'Writing Logic'!$J$7:$K$11,2,FALSE)&amp;" - Per "&amp;VLOOKUP($C$4,'Writing Logic'!$G$8:$H$14,2,FALSE),YES_Writing_ELA[#Headers],0))=0,"",INDEX(_xlfn.VSTACK(YES_Writing_ELA[#Data],YES_Writing_FLA[#Data]),MATCH($A557,_xlfn.VSTACK(YES_Writing_ELA[Student Number],YES_Writing_FLA[Student Number]),0),MATCH(VLOOKUP(G$7,'Writing Logic'!$J$7:$K$11,2,FALSE)&amp;" - Per "&amp;VLOOKUP($C$4,'Writing Logic'!$G$8:$H$14,2,FALSE),YES_Writing_ELA[#Headers],0)))),"")</f>
        <v/>
      </c>
      <c r="H557" s="138" t="str">
        <f>IFERROR(IF(IF(INDEX(_xlfn.VSTACK(YES_Writing_ELA[#Data],YES_Writing_FLA[#Data]),MATCH($A557,_xlfn.VSTACK(YES_Writing_ELA[Student Number],YES_Writing_FLA[Student Number]),0),MATCH(VLOOKUP(H$7,'Writing Logic'!$J$7:$K$11,2,FALSE)&amp;" - Per "&amp;VLOOKUP($C$4,'Writing Logic'!$G$8:$H$14,2,FALSE),YES_Writing_ELA[#Headers],0))=0,"",INDEX(_xlfn.VSTACK(YES_Writing_ELA[#Data],YES_Writing_FLA[#Data]),MATCH($A557,_xlfn.VSTACK(YES_Writing_ELA[Student Number],YES_Writing_FLA[Student Number]),0),MATCH(VLOOKUP(H$7,'Writing Logic'!$J$7:$K$11,2,FALSE)&amp;" - Per "&amp;VLOOKUP($C$4,'Writing Logic'!$G$8:$H$14,2,FALSE),YES_Writing_ELA[#Headers],0)))="INS",'Writing Logic'!$B$7,IF(INDEX(_xlfn.VSTACK(YES_Writing_ELA[#Data],YES_Writing_FLA[#Data]),MATCH($A557,_xlfn.VSTACK(YES_Writing_ELA[Student Number],YES_Writing_FLA[Student Number]),0),MATCH(VLOOKUP(H$7,'Writing Logic'!$J$7:$K$11,2,FALSE)&amp;" - Per "&amp;VLOOKUP($C$4,'Writing Logic'!$G$8:$H$14,2,FALSE),YES_Writing_ELA[#Headers],0))=0,"",INDEX(_xlfn.VSTACK(YES_Writing_ELA[#Data],YES_Writing_FLA[#Data]),MATCH($A557,_xlfn.VSTACK(YES_Writing_ELA[Student Number],YES_Writing_FLA[Student Number]),0),MATCH(VLOOKUP(H$7,'Writing Logic'!$J$7:$K$11,2,FALSE)&amp;" - Per "&amp;VLOOKUP($C$4,'Writing Logic'!$G$8:$H$14,2,FALSE),YES_Writing_ELA[#Headers],0)))),"")</f>
        <v/>
      </c>
    </row>
    <row r="558" spans="1:8" x14ac:dyDescent="0.25">
      <c r="A558" s="137"/>
      <c r="B558" s="137" t="str">
        <f>IFERROR(INDEX(_xlfn.VSTACK(YES_Writing_ELA[#Data], YES_Writing_FLA[#Data]),MATCH($A558,_xlfn.VSTACK(YES_Writing_ELA[Student Number], YES_Writing_FLA[Student Number]),0),MATCH(B$7,YES_Writing_ELA[#Headers],0)),"")</f>
        <v/>
      </c>
      <c r="C558" s="137" t="str">
        <f>IFERROR(INDEX(_xlfn.VSTACK(YES_Writing_ELA[#Data], YES_Writing_FLA[#Data]),MATCH($A558,_xlfn.VSTACK(YES_Writing_ELA[Student Number], YES_Writing_FLA[Student Number]),0),MATCH(C$7,YES_Writing_ELA[#Headers],0)),"")</f>
        <v/>
      </c>
      <c r="D558" s="138" t="str">
        <f>IFERROR(IF(IF(INDEX(_xlfn.VSTACK(YES_Writing_ELA[#Data],YES_Writing_FLA[#Data]),MATCH($A558,_xlfn.VSTACK(YES_Writing_ELA[Student Number],YES_Writing_FLA[Student Number]),0),MATCH(VLOOKUP(D$7,'Writing Logic'!$J$7:$K$11,2,FALSE)&amp;" - Per "&amp;VLOOKUP($C$4,'Writing Logic'!$G$8:$H$14,2,FALSE),YES_Writing_ELA[#Headers],0))=0,"",INDEX(_xlfn.VSTACK(YES_Writing_ELA[#Data],YES_Writing_FLA[#Data]),MATCH($A558,_xlfn.VSTACK(YES_Writing_ELA[Student Number],YES_Writing_FLA[Student Number]),0),MATCH(VLOOKUP(D$7,'Writing Logic'!$J$7:$K$11,2,FALSE)&amp;" - Per "&amp;VLOOKUP($C$4,'Writing Logic'!$G$8:$H$14,2,FALSE),YES_Writing_ELA[#Headers],0)))="INS",'Writing Logic'!$B$7,IF(INDEX(_xlfn.VSTACK(YES_Writing_ELA[#Data],YES_Writing_FLA[#Data]),MATCH($A558,_xlfn.VSTACK(YES_Writing_ELA[Student Number],YES_Writing_FLA[Student Number]),0),MATCH(VLOOKUP(D$7,'Writing Logic'!$J$7:$K$11,2,FALSE)&amp;" - Per "&amp;VLOOKUP($C$4,'Writing Logic'!$G$8:$H$14,2,FALSE),YES_Writing_ELA[#Headers],0))=0,"",INDEX(_xlfn.VSTACK(YES_Writing_ELA[#Data],YES_Writing_FLA[#Data]),MATCH($A558,_xlfn.VSTACK(YES_Writing_ELA[Student Number],YES_Writing_FLA[Student Number]),0),MATCH(VLOOKUP(D$7,'Writing Logic'!$J$7:$K$11,2,FALSE)&amp;" - Per "&amp;VLOOKUP($C$4,'Writing Logic'!$G$8:$H$14,2,FALSE),YES_Writing_ELA[#Headers],0)))),"")</f>
        <v/>
      </c>
      <c r="E558" s="138" t="str">
        <f>IFERROR(IF(IF(INDEX(_xlfn.VSTACK(YES_Writing_ELA[#Data],YES_Writing_FLA[#Data]),MATCH($A558,_xlfn.VSTACK(YES_Writing_ELA[Student Number],YES_Writing_FLA[Student Number]),0),MATCH(VLOOKUP(E$7,'Writing Logic'!$J$7:$K$11,2,FALSE)&amp;" - Per "&amp;VLOOKUP($C$4,'Writing Logic'!$G$8:$H$14,2,FALSE),YES_Writing_ELA[#Headers],0))=0,"",INDEX(_xlfn.VSTACK(YES_Writing_ELA[#Data],YES_Writing_FLA[#Data]),MATCH($A558,_xlfn.VSTACK(YES_Writing_ELA[Student Number],YES_Writing_FLA[Student Number]),0),MATCH(VLOOKUP(E$7,'Writing Logic'!$J$7:$K$11,2,FALSE)&amp;" - Per "&amp;VLOOKUP($C$4,'Writing Logic'!$G$8:$H$14,2,FALSE),YES_Writing_ELA[#Headers],0)))="INS",'Writing Logic'!$B$7,IF(INDEX(_xlfn.VSTACK(YES_Writing_ELA[#Data],YES_Writing_FLA[#Data]),MATCH($A558,_xlfn.VSTACK(YES_Writing_ELA[Student Number],YES_Writing_FLA[Student Number]),0),MATCH(VLOOKUP(E$7,'Writing Logic'!$J$7:$K$11,2,FALSE)&amp;" - Per "&amp;VLOOKUP($C$4,'Writing Logic'!$G$8:$H$14,2,FALSE),YES_Writing_ELA[#Headers],0))=0,"",INDEX(_xlfn.VSTACK(YES_Writing_ELA[#Data],YES_Writing_FLA[#Data]),MATCH($A558,_xlfn.VSTACK(YES_Writing_ELA[Student Number],YES_Writing_FLA[Student Number]),0),MATCH(VLOOKUP(E$7,'Writing Logic'!$J$7:$K$11,2,FALSE)&amp;" - Per "&amp;VLOOKUP($C$4,'Writing Logic'!$G$8:$H$14,2,FALSE),YES_Writing_ELA[#Headers],0)))),"")</f>
        <v/>
      </c>
      <c r="F558" s="138" t="str">
        <f>IFERROR(IF(IF(INDEX(_xlfn.VSTACK(YES_Writing_ELA[#Data],YES_Writing_FLA[#Data]),MATCH($A558,_xlfn.VSTACK(YES_Writing_ELA[Student Number],YES_Writing_FLA[Student Number]),0),MATCH(VLOOKUP(F$7,'Writing Logic'!$J$7:$K$11,2,FALSE)&amp;" - Per "&amp;VLOOKUP($C$4,'Writing Logic'!$G$8:$H$14,2,FALSE),YES_Writing_ELA[#Headers],0))=0,"",INDEX(_xlfn.VSTACK(YES_Writing_ELA[#Data],YES_Writing_FLA[#Data]),MATCH($A558,_xlfn.VSTACK(YES_Writing_ELA[Student Number],YES_Writing_FLA[Student Number]),0),MATCH(VLOOKUP(F$7,'Writing Logic'!$J$7:$K$11,2,FALSE)&amp;" - Per "&amp;VLOOKUP($C$4,'Writing Logic'!$G$8:$H$14,2,FALSE),YES_Writing_ELA[#Headers],0)))="INS",'Writing Logic'!$B$7,IF(INDEX(_xlfn.VSTACK(YES_Writing_ELA[#Data],YES_Writing_FLA[#Data]),MATCH($A558,_xlfn.VSTACK(YES_Writing_ELA[Student Number],YES_Writing_FLA[Student Number]),0),MATCH(VLOOKUP(F$7,'Writing Logic'!$J$7:$K$11,2,FALSE)&amp;" - Per "&amp;VLOOKUP($C$4,'Writing Logic'!$G$8:$H$14,2,FALSE),YES_Writing_ELA[#Headers],0))=0,"",INDEX(_xlfn.VSTACK(YES_Writing_ELA[#Data],YES_Writing_FLA[#Data]),MATCH($A558,_xlfn.VSTACK(YES_Writing_ELA[Student Number],YES_Writing_FLA[Student Number]),0),MATCH(VLOOKUP(F$7,'Writing Logic'!$J$7:$K$11,2,FALSE)&amp;" - Per "&amp;VLOOKUP($C$4,'Writing Logic'!$G$8:$H$14,2,FALSE),YES_Writing_ELA[#Headers],0)))),"")</f>
        <v/>
      </c>
      <c r="G558" s="138" t="str">
        <f>IFERROR(IF(IF(INDEX(_xlfn.VSTACK(YES_Writing_ELA[#Data],YES_Writing_FLA[#Data]),MATCH($A558,_xlfn.VSTACK(YES_Writing_ELA[Student Number],YES_Writing_FLA[Student Number]),0),MATCH(VLOOKUP(G$7,'Writing Logic'!$J$7:$K$11,2,FALSE)&amp;" - Per "&amp;VLOOKUP($C$4,'Writing Logic'!$G$8:$H$14,2,FALSE),YES_Writing_ELA[#Headers],0))=0,"",INDEX(_xlfn.VSTACK(YES_Writing_ELA[#Data],YES_Writing_FLA[#Data]),MATCH($A558,_xlfn.VSTACK(YES_Writing_ELA[Student Number],YES_Writing_FLA[Student Number]),0),MATCH(VLOOKUP(G$7,'Writing Logic'!$J$7:$K$11,2,FALSE)&amp;" - Per "&amp;VLOOKUP($C$4,'Writing Logic'!$G$8:$H$14,2,FALSE),YES_Writing_ELA[#Headers],0)))="INS",'Writing Logic'!$B$7,IF(INDEX(_xlfn.VSTACK(YES_Writing_ELA[#Data],YES_Writing_FLA[#Data]),MATCH($A558,_xlfn.VSTACK(YES_Writing_ELA[Student Number],YES_Writing_FLA[Student Number]),0),MATCH(VLOOKUP(G$7,'Writing Logic'!$J$7:$K$11,2,FALSE)&amp;" - Per "&amp;VLOOKUP($C$4,'Writing Logic'!$G$8:$H$14,2,FALSE),YES_Writing_ELA[#Headers],0))=0,"",INDEX(_xlfn.VSTACK(YES_Writing_ELA[#Data],YES_Writing_FLA[#Data]),MATCH($A558,_xlfn.VSTACK(YES_Writing_ELA[Student Number],YES_Writing_FLA[Student Number]),0),MATCH(VLOOKUP(G$7,'Writing Logic'!$J$7:$K$11,2,FALSE)&amp;" - Per "&amp;VLOOKUP($C$4,'Writing Logic'!$G$8:$H$14,2,FALSE),YES_Writing_ELA[#Headers],0)))),"")</f>
        <v/>
      </c>
      <c r="H558" s="138" t="str">
        <f>IFERROR(IF(IF(INDEX(_xlfn.VSTACK(YES_Writing_ELA[#Data],YES_Writing_FLA[#Data]),MATCH($A558,_xlfn.VSTACK(YES_Writing_ELA[Student Number],YES_Writing_FLA[Student Number]),0),MATCH(VLOOKUP(H$7,'Writing Logic'!$J$7:$K$11,2,FALSE)&amp;" - Per "&amp;VLOOKUP($C$4,'Writing Logic'!$G$8:$H$14,2,FALSE),YES_Writing_ELA[#Headers],0))=0,"",INDEX(_xlfn.VSTACK(YES_Writing_ELA[#Data],YES_Writing_FLA[#Data]),MATCH($A558,_xlfn.VSTACK(YES_Writing_ELA[Student Number],YES_Writing_FLA[Student Number]),0),MATCH(VLOOKUP(H$7,'Writing Logic'!$J$7:$K$11,2,FALSE)&amp;" - Per "&amp;VLOOKUP($C$4,'Writing Logic'!$G$8:$H$14,2,FALSE),YES_Writing_ELA[#Headers],0)))="INS",'Writing Logic'!$B$7,IF(INDEX(_xlfn.VSTACK(YES_Writing_ELA[#Data],YES_Writing_FLA[#Data]),MATCH($A558,_xlfn.VSTACK(YES_Writing_ELA[Student Number],YES_Writing_FLA[Student Number]),0),MATCH(VLOOKUP(H$7,'Writing Logic'!$J$7:$K$11,2,FALSE)&amp;" - Per "&amp;VLOOKUP($C$4,'Writing Logic'!$G$8:$H$14,2,FALSE),YES_Writing_ELA[#Headers],0))=0,"",INDEX(_xlfn.VSTACK(YES_Writing_ELA[#Data],YES_Writing_FLA[#Data]),MATCH($A558,_xlfn.VSTACK(YES_Writing_ELA[Student Number],YES_Writing_FLA[Student Number]),0),MATCH(VLOOKUP(H$7,'Writing Logic'!$J$7:$K$11,2,FALSE)&amp;" - Per "&amp;VLOOKUP($C$4,'Writing Logic'!$G$8:$H$14,2,FALSE),YES_Writing_ELA[#Headers],0)))),"")</f>
        <v/>
      </c>
    </row>
    <row r="559" spans="1:8" x14ac:dyDescent="0.25">
      <c r="A559" s="137"/>
      <c r="B559" s="137" t="str">
        <f>IFERROR(INDEX(_xlfn.VSTACK(YES_Writing_ELA[#Data], YES_Writing_FLA[#Data]),MATCH($A559,_xlfn.VSTACK(YES_Writing_ELA[Student Number], YES_Writing_FLA[Student Number]),0),MATCH(B$7,YES_Writing_ELA[#Headers],0)),"")</f>
        <v/>
      </c>
      <c r="C559" s="137" t="str">
        <f>IFERROR(INDEX(_xlfn.VSTACK(YES_Writing_ELA[#Data], YES_Writing_FLA[#Data]),MATCH($A559,_xlfn.VSTACK(YES_Writing_ELA[Student Number], YES_Writing_FLA[Student Number]),0),MATCH(C$7,YES_Writing_ELA[#Headers],0)),"")</f>
        <v/>
      </c>
      <c r="D559" s="138" t="str">
        <f>IFERROR(IF(IF(INDEX(_xlfn.VSTACK(YES_Writing_ELA[#Data],YES_Writing_FLA[#Data]),MATCH($A559,_xlfn.VSTACK(YES_Writing_ELA[Student Number],YES_Writing_FLA[Student Number]),0),MATCH(VLOOKUP(D$7,'Writing Logic'!$J$7:$K$11,2,FALSE)&amp;" - Per "&amp;VLOOKUP($C$4,'Writing Logic'!$G$8:$H$14,2,FALSE),YES_Writing_ELA[#Headers],0))=0,"",INDEX(_xlfn.VSTACK(YES_Writing_ELA[#Data],YES_Writing_FLA[#Data]),MATCH($A559,_xlfn.VSTACK(YES_Writing_ELA[Student Number],YES_Writing_FLA[Student Number]),0),MATCH(VLOOKUP(D$7,'Writing Logic'!$J$7:$K$11,2,FALSE)&amp;" - Per "&amp;VLOOKUP($C$4,'Writing Logic'!$G$8:$H$14,2,FALSE),YES_Writing_ELA[#Headers],0)))="INS",'Writing Logic'!$B$7,IF(INDEX(_xlfn.VSTACK(YES_Writing_ELA[#Data],YES_Writing_FLA[#Data]),MATCH($A559,_xlfn.VSTACK(YES_Writing_ELA[Student Number],YES_Writing_FLA[Student Number]),0),MATCH(VLOOKUP(D$7,'Writing Logic'!$J$7:$K$11,2,FALSE)&amp;" - Per "&amp;VLOOKUP($C$4,'Writing Logic'!$G$8:$H$14,2,FALSE),YES_Writing_ELA[#Headers],0))=0,"",INDEX(_xlfn.VSTACK(YES_Writing_ELA[#Data],YES_Writing_FLA[#Data]),MATCH($A559,_xlfn.VSTACK(YES_Writing_ELA[Student Number],YES_Writing_FLA[Student Number]),0),MATCH(VLOOKUP(D$7,'Writing Logic'!$J$7:$K$11,2,FALSE)&amp;" - Per "&amp;VLOOKUP($C$4,'Writing Logic'!$G$8:$H$14,2,FALSE),YES_Writing_ELA[#Headers],0)))),"")</f>
        <v/>
      </c>
      <c r="E559" s="138" t="str">
        <f>IFERROR(IF(IF(INDEX(_xlfn.VSTACK(YES_Writing_ELA[#Data],YES_Writing_FLA[#Data]),MATCH($A559,_xlfn.VSTACK(YES_Writing_ELA[Student Number],YES_Writing_FLA[Student Number]),0),MATCH(VLOOKUP(E$7,'Writing Logic'!$J$7:$K$11,2,FALSE)&amp;" - Per "&amp;VLOOKUP($C$4,'Writing Logic'!$G$8:$H$14,2,FALSE),YES_Writing_ELA[#Headers],0))=0,"",INDEX(_xlfn.VSTACK(YES_Writing_ELA[#Data],YES_Writing_FLA[#Data]),MATCH($A559,_xlfn.VSTACK(YES_Writing_ELA[Student Number],YES_Writing_FLA[Student Number]),0),MATCH(VLOOKUP(E$7,'Writing Logic'!$J$7:$K$11,2,FALSE)&amp;" - Per "&amp;VLOOKUP($C$4,'Writing Logic'!$G$8:$H$14,2,FALSE),YES_Writing_ELA[#Headers],0)))="INS",'Writing Logic'!$B$7,IF(INDEX(_xlfn.VSTACK(YES_Writing_ELA[#Data],YES_Writing_FLA[#Data]),MATCH($A559,_xlfn.VSTACK(YES_Writing_ELA[Student Number],YES_Writing_FLA[Student Number]),0),MATCH(VLOOKUP(E$7,'Writing Logic'!$J$7:$K$11,2,FALSE)&amp;" - Per "&amp;VLOOKUP($C$4,'Writing Logic'!$G$8:$H$14,2,FALSE),YES_Writing_ELA[#Headers],0))=0,"",INDEX(_xlfn.VSTACK(YES_Writing_ELA[#Data],YES_Writing_FLA[#Data]),MATCH($A559,_xlfn.VSTACK(YES_Writing_ELA[Student Number],YES_Writing_FLA[Student Number]),0),MATCH(VLOOKUP(E$7,'Writing Logic'!$J$7:$K$11,2,FALSE)&amp;" - Per "&amp;VLOOKUP($C$4,'Writing Logic'!$G$8:$H$14,2,FALSE),YES_Writing_ELA[#Headers],0)))),"")</f>
        <v/>
      </c>
      <c r="F559" s="138" t="str">
        <f>IFERROR(IF(IF(INDEX(_xlfn.VSTACK(YES_Writing_ELA[#Data],YES_Writing_FLA[#Data]),MATCH($A559,_xlfn.VSTACK(YES_Writing_ELA[Student Number],YES_Writing_FLA[Student Number]),0),MATCH(VLOOKUP(F$7,'Writing Logic'!$J$7:$K$11,2,FALSE)&amp;" - Per "&amp;VLOOKUP($C$4,'Writing Logic'!$G$8:$H$14,2,FALSE),YES_Writing_ELA[#Headers],0))=0,"",INDEX(_xlfn.VSTACK(YES_Writing_ELA[#Data],YES_Writing_FLA[#Data]),MATCH($A559,_xlfn.VSTACK(YES_Writing_ELA[Student Number],YES_Writing_FLA[Student Number]),0),MATCH(VLOOKUP(F$7,'Writing Logic'!$J$7:$K$11,2,FALSE)&amp;" - Per "&amp;VLOOKUP($C$4,'Writing Logic'!$G$8:$H$14,2,FALSE),YES_Writing_ELA[#Headers],0)))="INS",'Writing Logic'!$B$7,IF(INDEX(_xlfn.VSTACK(YES_Writing_ELA[#Data],YES_Writing_FLA[#Data]),MATCH($A559,_xlfn.VSTACK(YES_Writing_ELA[Student Number],YES_Writing_FLA[Student Number]),0),MATCH(VLOOKUP(F$7,'Writing Logic'!$J$7:$K$11,2,FALSE)&amp;" - Per "&amp;VLOOKUP($C$4,'Writing Logic'!$G$8:$H$14,2,FALSE),YES_Writing_ELA[#Headers],0))=0,"",INDEX(_xlfn.VSTACK(YES_Writing_ELA[#Data],YES_Writing_FLA[#Data]),MATCH($A559,_xlfn.VSTACK(YES_Writing_ELA[Student Number],YES_Writing_FLA[Student Number]),0),MATCH(VLOOKUP(F$7,'Writing Logic'!$J$7:$K$11,2,FALSE)&amp;" - Per "&amp;VLOOKUP($C$4,'Writing Logic'!$G$8:$H$14,2,FALSE),YES_Writing_ELA[#Headers],0)))),"")</f>
        <v/>
      </c>
      <c r="G559" s="138" t="str">
        <f>IFERROR(IF(IF(INDEX(_xlfn.VSTACK(YES_Writing_ELA[#Data],YES_Writing_FLA[#Data]),MATCH($A559,_xlfn.VSTACK(YES_Writing_ELA[Student Number],YES_Writing_FLA[Student Number]),0),MATCH(VLOOKUP(G$7,'Writing Logic'!$J$7:$K$11,2,FALSE)&amp;" - Per "&amp;VLOOKUP($C$4,'Writing Logic'!$G$8:$H$14,2,FALSE),YES_Writing_ELA[#Headers],0))=0,"",INDEX(_xlfn.VSTACK(YES_Writing_ELA[#Data],YES_Writing_FLA[#Data]),MATCH($A559,_xlfn.VSTACK(YES_Writing_ELA[Student Number],YES_Writing_FLA[Student Number]),0),MATCH(VLOOKUP(G$7,'Writing Logic'!$J$7:$K$11,2,FALSE)&amp;" - Per "&amp;VLOOKUP($C$4,'Writing Logic'!$G$8:$H$14,2,FALSE),YES_Writing_ELA[#Headers],0)))="INS",'Writing Logic'!$B$7,IF(INDEX(_xlfn.VSTACK(YES_Writing_ELA[#Data],YES_Writing_FLA[#Data]),MATCH($A559,_xlfn.VSTACK(YES_Writing_ELA[Student Number],YES_Writing_FLA[Student Number]),0),MATCH(VLOOKUP(G$7,'Writing Logic'!$J$7:$K$11,2,FALSE)&amp;" - Per "&amp;VLOOKUP($C$4,'Writing Logic'!$G$8:$H$14,2,FALSE),YES_Writing_ELA[#Headers],0))=0,"",INDEX(_xlfn.VSTACK(YES_Writing_ELA[#Data],YES_Writing_FLA[#Data]),MATCH($A559,_xlfn.VSTACK(YES_Writing_ELA[Student Number],YES_Writing_FLA[Student Number]),0),MATCH(VLOOKUP(G$7,'Writing Logic'!$J$7:$K$11,2,FALSE)&amp;" - Per "&amp;VLOOKUP($C$4,'Writing Logic'!$G$8:$H$14,2,FALSE),YES_Writing_ELA[#Headers],0)))),"")</f>
        <v/>
      </c>
      <c r="H559" s="138" t="str">
        <f>IFERROR(IF(IF(INDEX(_xlfn.VSTACK(YES_Writing_ELA[#Data],YES_Writing_FLA[#Data]),MATCH($A559,_xlfn.VSTACK(YES_Writing_ELA[Student Number],YES_Writing_FLA[Student Number]),0),MATCH(VLOOKUP(H$7,'Writing Logic'!$J$7:$K$11,2,FALSE)&amp;" - Per "&amp;VLOOKUP($C$4,'Writing Logic'!$G$8:$H$14,2,FALSE),YES_Writing_ELA[#Headers],0))=0,"",INDEX(_xlfn.VSTACK(YES_Writing_ELA[#Data],YES_Writing_FLA[#Data]),MATCH($A559,_xlfn.VSTACK(YES_Writing_ELA[Student Number],YES_Writing_FLA[Student Number]),0),MATCH(VLOOKUP(H$7,'Writing Logic'!$J$7:$K$11,2,FALSE)&amp;" - Per "&amp;VLOOKUP($C$4,'Writing Logic'!$G$8:$H$14,2,FALSE),YES_Writing_ELA[#Headers],0)))="INS",'Writing Logic'!$B$7,IF(INDEX(_xlfn.VSTACK(YES_Writing_ELA[#Data],YES_Writing_FLA[#Data]),MATCH($A559,_xlfn.VSTACK(YES_Writing_ELA[Student Number],YES_Writing_FLA[Student Number]),0),MATCH(VLOOKUP(H$7,'Writing Logic'!$J$7:$K$11,2,FALSE)&amp;" - Per "&amp;VLOOKUP($C$4,'Writing Logic'!$G$8:$H$14,2,FALSE),YES_Writing_ELA[#Headers],0))=0,"",INDEX(_xlfn.VSTACK(YES_Writing_ELA[#Data],YES_Writing_FLA[#Data]),MATCH($A559,_xlfn.VSTACK(YES_Writing_ELA[Student Number],YES_Writing_FLA[Student Number]),0),MATCH(VLOOKUP(H$7,'Writing Logic'!$J$7:$K$11,2,FALSE)&amp;" - Per "&amp;VLOOKUP($C$4,'Writing Logic'!$G$8:$H$14,2,FALSE),YES_Writing_ELA[#Headers],0)))),"")</f>
        <v/>
      </c>
    </row>
    <row r="560" spans="1:8" x14ac:dyDescent="0.25">
      <c r="A560" s="137"/>
      <c r="B560" s="137" t="str">
        <f>IFERROR(INDEX(_xlfn.VSTACK(YES_Writing_ELA[#Data], YES_Writing_FLA[#Data]),MATCH($A560,_xlfn.VSTACK(YES_Writing_ELA[Student Number], YES_Writing_FLA[Student Number]),0),MATCH(B$7,YES_Writing_ELA[#Headers],0)),"")</f>
        <v/>
      </c>
      <c r="C560" s="137" t="str">
        <f>IFERROR(INDEX(_xlfn.VSTACK(YES_Writing_ELA[#Data], YES_Writing_FLA[#Data]),MATCH($A560,_xlfn.VSTACK(YES_Writing_ELA[Student Number], YES_Writing_FLA[Student Number]),0),MATCH(C$7,YES_Writing_ELA[#Headers],0)),"")</f>
        <v/>
      </c>
      <c r="D560" s="138" t="str">
        <f>IFERROR(IF(IF(INDEX(_xlfn.VSTACK(YES_Writing_ELA[#Data],YES_Writing_FLA[#Data]),MATCH($A560,_xlfn.VSTACK(YES_Writing_ELA[Student Number],YES_Writing_FLA[Student Number]),0),MATCH(VLOOKUP(D$7,'Writing Logic'!$J$7:$K$11,2,FALSE)&amp;" - Per "&amp;VLOOKUP($C$4,'Writing Logic'!$G$8:$H$14,2,FALSE),YES_Writing_ELA[#Headers],0))=0,"",INDEX(_xlfn.VSTACK(YES_Writing_ELA[#Data],YES_Writing_FLA[#Data]),MATCH($A560,_xlfn.VSTACK(YES_Writing_ELA[Student Number],YES_Writing_FLA[Student Number]),0),MATCH(VLOOKUP(D$7,'Writing Logic'!$J$7:$K$11,2,FALSE)&amp;" - Per "&amp;VLOOKUP($C$4,'Writing Logic'!$G$8:$H$14,2,FALSE),YES_Writing_ELA[#Headers],0)))="INS",'Writing Logic'!$B$7,IF(INDEX(_xlfn.VSTACK(YES_Writing_ELA[#Data],YES_Writing_FLA[#Data]),MATCH($A560,_xlfn.VSTACK(YES_Writing_ELA[Student Number],YES_Writing_FLA[Student Number]),0),MATCH(VLOOKUP(D$7,'Writing Logic'!$J$7:$K$11,2,FALSE)&amp;" - Per "&amp;VLOOKUP($C$4,'Writing Logic'!$G$8:$H$14,2,FALSE),YES_Writing_ELA[#Headers],0))=0,"",INDEX(_xlfn.VSTACK(YES_Writing_ELA[#Data],YES_Writing_FLA[#Data]),MATCH($A560,_xlfn.VSTACK(YES_Writing_ELA[Student Number],YES_Writing_FLA[Student Number]),0),MATCH(VLOOKUP(D$7,'Writing Logic'!$J$7:$K$11,2,FALSE)&amp;" - Per "&amp;VLOOKUP($C$4,'Writing Logic'!$G$8:$H$14,2,FALSE),YES_Writing_ELA[#Headers],0)))),"")</f>
        <v/>
      </c>
      <c r="E560" s="138" t="str">
        <f>IFERROR(IF(IF(INDEX(_xlfn.VSTACK(YES_Writing_ELA[#Data],YES_Writing_FLA[#Data]),MATCH($A560,_xlfn.VSTACK(YES_Writing_ELA[Student Number],YES_Writing_FLA[Student Number]),0),MATCH(VLOOKUP(E$7,'Writing Logic'!$J$7:$K$11,2,FALSE)&amp;" - Per "&amp;VLOOKUP($C$4,'Writing Logic'!$G$8:$H$14,2,FALSE),YES_Writing_ELA[#Headers],0))=0,"",INDEX(_xlfn.VSTACK(YES_Writing_ELA[#Data],YES_Writing_FLA[#Data]),MATCH($A560,_xlfn.VSTACK(YES_Writing_ELA[Student Number],YES_Writing_FLA[Student Number]),0),MATCH(VLOOKUP(E$7,'Writing Logic'!$J$7:$K$11,2,FALSE)&amp;" - Per "&amp;VLOOKUP($C$4,'Writing Logic'!$G$8:$H$14,2,FALSE),YES_Writing_ELA[#Headers],0)))="INS",'Writing Logic'!$B$7,IF(INDEX(_xlfn.VSTACK(YES_Writing_ELA[#Data],YES_Writing_FLA[#Data]),MATCH($A560,_xlfn.VSTACK(YES_Writing_ELA[Student Number],YES_Writing_FLA[Student Number]),0),MATCH(VLOOKUP(E$7,'Writing Logic'!$J$7:$K$11,2,FALSE)&amp;" - Per "&amp;VLOOKUP($C$4,'Writing Logic'!$G$8:$H$14,2,FALSE),YES_Writing_ELA[#Headers],0))=0,"",INDEX(_xlfn.VSTACK(YES_Writing_ELA[#Data],YES_Writing_FLA[#Data]),MATCH($A560,_xlfn.VSTACK(YES_Writing_ELA[Student Number],YES_Writing_FLA[Student Number]),0),MATCH(VLOOKUP(E$7,'Writing Logic'!$J$7:$K$11,2,FALSE)&amp;" - Per "&amp;VLOOKUP($C$4,'Writing Logic'!$G$8:$H$14,2,FALSE),YES_Writing_ELA[#Headers],0)))),"")</f>
        <v/>
      </c>
      <c r="F560" s="138" t="str">
        <f>IFERROR(IF(IF(INDEX(_xlfn.VSTACK(YES_Writing_ELA[#Data],YES_Writing_FLA[#Data]),MATCH($A560,_xlfn.VSTACK(YES_Writing_ELA[Student Number],YES_Writing_FLA[Student Number]),0),MATCH(VLOOKUP(F$7,'Writing Logic'!$J$7:$K$11,2,FALSE)&amp;" - Per "&amp;VLOOKUP($C$4,'Writing Logic'!$G$8:$H$14,2,FALSE),YES_Writing_ELA[#Headers],0))=0,"",INDEX(_xlfn.VSTACK(YES_Writing_ELA[#Data],YES_Writing_FLA[#Data]),MATCH($A560,_xlfn.VSTACK(YES_Writing_ELA[Student Number],YES_Writing_FLA[Student Number]),0),MATCH(VLOOKUP(F$7,'Writing Logic'!$J$7:$K$11,2,FALSE)&amp;" - Per "&amp;VLOOKUP($C$4,'Writing Logic'!$G$8:$H$14,2,FALSE),YES_Writing_ELA[#Headers],0)))="INS",'Writing Logic'!$B$7,IF(INDEX(_xlfn.VSTACK(YES_Writing_ELA[#Data],YES_Writing_FLA[#Data]),MATCH($A560,_xlfn.VSTACK(YES_Writing_ELA[Student Number],YES_Writing_FLA[Student Number]),0),MATCH(VLOOKUP(F$7,'Writing Logic'!$J$7:$K$11,2,FALSE)&amp;" - Per "&amp;VLOOKUP($C$4,'Writing Logic'!$G$8:$H$14,2,FALSE),YES_Writing_ELA[#Headers],0))=0,"",INDEX(_xlfn.VSTACK(YES_Writing_ELA[#Data],YES_Writing_FLA[#Data]),MATCH($A560,_xlfn.VSTACK(YES_Writing_ELA[Student Number],YES_Writing_FLA[Student Number]),0),MATCH(VLOOKUP(F$7,'Writing Logic'!$J$7:$K$11,2,FALSE)&amp;" - Per "&amp;VLOOKUP($C$4,'Writing Logic'!$G$8:$H$14,2,FALSE),YES_Writing_ELA[#Headers],0)))),"")</f>
        <v/>
      </c>
      <c r="G560" s="138" t="str">
        <f>IFERROR(IF(IF(INDEX(_xlfn.VSTACK(YES_Writing_ELA[#Data],YES_Writing_FLA[#Data]),MATCH($A560,_xlfn.VSTACK(YES_Writing_ELA[Student Number],YES_Writing_FLA[Student Number]),0),MATCH(VLOOKUP(G$7,'Writing Logic'!$J$7:$K$11,2,FALSE)&amp;" - Per "&amp;VLOOKUP($C$4,'Writing Logic'!$G$8:$H$14,2,FALSE),YES_Writing_ELA[#Headers],0))=0,"",INDEX(_xlfn.VSTACK(YES_Writing_ELA[#Data],YES_Writing_FLA[#Data]),MATCH($A560,_xlfn.VSTACK(YES_Writing_ELA[Student Number],YES_Writing_FLA[Student Number]),0),MATCH(VLOOKUP(G$7,'Writing Logic'!$J$7:$K$11,2,FALSE)&amp;" - Per "&amp;VLOOKUP($C$4,'Writing Logic'!$G$8:$H$14,2,FALSE),YES_Writing_ELA[#Headers],0)))="INS",'Writing Logic'!$B$7,IF(INDEX(_xlfn.VSTACK(YES_Writing_ELA[#Data],YES_Writing_FLA[#Data]),MATCH($A560,_xlfn.VSTACK(YES_Writing_ELA[Student Number],YES_Writing_FLA[Student Number]),0),MATCH(VLOOKUP(G$7,'Writing Logic'!$J$7:$K$11,2,FALSE)&amp;" - Per "&amp;VLOOKUP($C$4,'Writing Logic'!$G$8:$H$14,2,FALSE),YES_Writing_ELA[#Headers],0))=0,"",INDEX(_xlfn.VSTACK(YES_Writing_ELA[#Data],YES_Writing_FLA[#Data]),MATCH($A560,_xlfn.VSTACK(YES_Writing_ELA[Student Number],YES_Writing_FLA[Student Number]),0),MATCH(VLOOKUP(G$7,'Writing Logic'!$J$7:$K$11,2,FALSE)&amp;" - Per "&amp;VLOOKUP($C$4,'Writing Logic'!$G$8:$H$14,2,FALSE),YES_Writing_ELA[#Headers],0)))),"")</f>
        <v/>
      </c>
      <c r="H560" s="138" t="str">
        <f>IFERROR(IF(IF(INDEX(_xlfn.VSTACK(YES_Writing_ELA[#Data],YES_Writing_FLA[#Data]),MATCH($A560,_xlfn.VSTACK(YES_Writing_ELA[Student Number],YES_Writing_FLA[Student Number]),0),MATCH(VLOOKUP(H$7,'Writing Logic'!$J$7:$K$11,2,FALSE)&amp;" - Per "&amp;VLOOKUP($C$4,'Writing Logic'!$G$8:$H$14,2,FALSE),YES_Writing_ELA[#Headers],0))=0,"",INDEX(_xlfn.VSTACK(YES_Writing_ELA[#Data],YES_Writing_FLA[#Data]),MATCH($A560,_xlfn.VSTACK(YES_Writing_ELA[Student Number],YES_Writing_FLA[Student Number]),0),MATCH(VLOOKUP(H$7,'Writing Logic'!$J$7:$K$11,2,FALSE)&amp;" - Per "&amp;VLOOKUP($C$4,'Writing Logic'!$G$8:$H$14,2,FALSE),YES_Writing_ELA[#Headers],0)))="INS",'Writing Logic'!$B$7,IF(INDEX(_xlfn.VSTACK(YES_Writing_ELA[#Data],YES_Writing_FLA[#Data]),MATCH($A560,_xlfn.VSTACK(YES_Writing_ELA[Student Number],YES_Writing_FLA[Student Number]),0),MATCH(VLOOKUP(H$7,'Writing Logic'!$J$7:$K$11,2,FALSE)&amp;" - Per "&amp;VLOOKUP($C$4,'Writing Logic'!$G$8:$H$14,2,FALSE),YES_Writing_ELA[#Headers],0))=0,"",INDEX(_xlfn.VSTACK(YES_Writing_ELA[#Data],YES_Writing_FLA[#Data]),MATCH($A560,_xlfn.VSTACK(YES_Writing_ELA[Student Number],YES_Writing_FLA[Student Number]),0),MATCH(VLOOKUP(H$7,'Writing Logic'!$J$7:$K$11,2,FALSE)&amp;" - Per "&amp;VLOOKUP($C$4,'Writing Logic'!$G$8:$H$14,2,FALSE),YES_Writing_ELA[#Headers],0)))),"")</f>
        <v/>
      </c>
    </row>
    <row r="561" spans="1:8" x14ac:dyDescent="0.25">
      <c r="A561" s="137"/>
      <c r="B561" s="137" t="str">
        <f>IFERROR(INDEX(_xlfn.VSTACK(YES_Writing_ELA[#Data], YES_Writing_FLA[#Data]),MATCH($A561,_xlfn.VSTACK(YES_Writing_ELA[Student Number], YES_Writing_FLA[Student Number]),0),MATCH(B$7,YES_Writing_ELA[#Headers],0)),"")</f>
        <v/>
      </c>
      <c r="C561" s="137" t="str">
        <f>IFERROR(INDEX(_xlfn.VSTACK(YES_Writing_ELA[#Data], YES_Writing_FLA[#Data]),MATCH($A561,_xlfn.VSTACK(YES_Writing_ELA[Student Number], YES_Writing_FLA[Student Number]),0),MATCH(C$7,YES_Writing_ELA[#Headers],0)),"")</f>
        <v/>
      </c>
      <c r="D561" s="138" t="str">
        <f>IFERROR(IF(IF(INDEX(_xlfn.VSTACK(YES_Writing_ELA[#Data],YES_Writing_FLA[#Data]),MATCH($A561,_xlfn.VSTACK(YES_Writing_ELA[Student Number],YES_Writing_FLA[Student Number]),0),MATCH(VLOOKUP(D$7,'Writing Logic'!$J$7:$K$11,2,FALSE)&amp;" - Per "&amp;VLOOKUP($C$4,'Writing Logic'!$G$8:$H$14,2,FALSE),YES_Writing_ELA[#Headers],0))=0,"",INDEX(_xlfn.VSTACK(YES_Writing_ELA[#Data],YES_Writing_FLA[#Data]),MATCH($A561,_xlfn.VSTACK(YES_Writing_ELA[Student Number],YES_Writing_FLA[Student Number]),0),MATCH(VLOOKUP(D$7,'Writing Logic'!$J$7:$K$11,2,FALSE)&amp;" - Per "&amp;VLOOKUP($C$4,'Writing Logic'!$G$8:$H$14,2,FALSE),YES_Writing_ELA[#Headers],0)))="INS",'Writing Logic'!$B$7,IF(INDEX(_xlfn.VSTACK(YES_Writing_ELA[#Data],YES_Writing_FLA[#Data]),MATCH($A561,_xlfn.VSTACK(YES_Writing_ELA[Student Number],YES_Writing_FLA[Student Number]),0),MATCH(VLOOKUP(D$7,'Writing Logic'!$J$7:$K$11,2,FALSE)&amp;" - Per "&amp;VLOOKUP($C$4,'Writing Logic'!$G$8:$H$14,2,FALSE),YES_Writing_ELA[#Headers],0))=0,"",INDEX(_xlfn.VSTACK(YES_Writing_ELA[#Data],YES_Writing_FLA[#Data]),MATCH($A561,_xlfn.VSTACK(YES_Writing_ELA[Student Number],YES_Writing_FLA[Student Number]),0),MATCH(VLOOKUP(D$7,'Writing Logic'!$J$7:$K$11,2,FALSE)&amp;" - Per "&amp;VLOOKUP($C$4,'Writing Logic'!$G$8:$H$14,2,FALSE),YES_Writing_ELA[#Headers],0)))),"")</f>
        <v/>
      </c>
      <c r="E561" s="138" t="str">
        <f>IFERROR(IF(IF(INDEX(_xlfn.VSTACK(YES_Writing_ELA[#Data],YES_Writing_FLA[#Data]),MATCH($A561,_xlfn.VSTACK(YES_Writing_ELA[Student Number],YES_Writing_FLA[Student Number]),0),MATCH(VLOOKUP(E$7,'Writing Logic'!$J$7:$K$11,2,FALSE)&amp;" - Per "&amp;VLOOKUP($C$4,'Writing Logic'!$G$8:$H$14,2,FALSE),YES_Writing_ELA[#Headers],0))=0,"",INDEX(_xlfn.VSTACK(YES_Writing_ELA[#Data],YES_Writing_FLA[#Data]),MATCH($A561,_xlfn.VSTACK(YES_Writing_ELA[Student Number],YES_Writing_FLA[Student Number]),0),MATCH(VLOOKUP(E$7,'Writing Logic'!$J$7:$K$11,2,FALSE)&amp;" - Per "&amp;VLOOKUP($C$4,'Writing Logic'!$G$8:$H$14,2,FALSE),YES_Writing_ELA[#Headers],0)))="INS",'Writing Logic'!$B$7,IF(INDEX(_xlfn.VSTACK(YES_Writing_ELA[#Data],YES_Writing_FLA[#Data]),MATCH($A561,_xlfn.VSTACK(YES_Writing_ELA[Student Number],YES_Writing_FLA[Student Number]),0),MATCH(VLOOKUP(E$7,'Writing Logic'!$J$7:$K$11,2,FALSE)&amp;" - Per "&amp;VLOOKUP($C$4,'Writing Logic'!$G$8:$H$14,2,FALSE),YES_Writing_ELA[#Headers],0))=0,"",INDEX(_xlfn.VSTACK(YES_Writing_ELA[#Data],YES_Writing_FLA[#Data]),MATCH($A561,_xlfn.VSTACK(YES_Writing_ELA[Student Number],YES_Writing_FLA[Student Number]),0),MATCH(VLOOKUP(E$7,'Writing Logic'!$J$7:$K$11,2,FALSE)&amp;" - Per "&amp;VLOOKUP($C$4,'Writing Logic'!$G$8:$H$14,2,FALSE),YES_Writing_ELA[#Headers],0)))),"")</f>
        <v/>
      </c>
      <c r="F561" s="138" t="str">
        <f>IFERROR(IF(IF(INDEX(_xlfn.VSTACK(YES_Writing_ELA[#Data],YES_Writing_FLA[#Data]),MATCH($A561,_xlfn.VSTACK(YES_Writing_ELA[Student Number],YES_Writing_FLA[Student Number]),0),MATCH(VLOOKUP(F$7,'Writing Logic'!$J$7:$K$11,2,FALSE)&amp;" - Per "&amp;VLOOKUP($C$4,'Writing Logic'!$G$8:$H$14,2,FALSE),YES_Writing_ELA[#Headers],0))=0,"",INDEX(_xlfn.VSTACK(YES_Writing_ELA[#Data],YES_Writing_FLA[#Data]),MATCH($A561,_xlfn.VSTACK(YES_Writing_ELA[Student Number],YES_Writing_FLA[Student Number]),0),MATCH(VLOOKUP(F$7,'Writing Logic'!$J$7:$K$11,2,FALSE)&amp;" - Per "&amp;VLOOKUP($C$4,'Writing Logic'!$G$8:$H$14,2,FALSE),YES_Writing_ELA[#Headers],0)))="INS",'Writing Logic'!$B$7,IF(INDEX(_xlfn.VSTACK(YES_Writing_ELA[#Data],YES_Writing_FLA[#Data]),MATCH($A561,_xlfn.VSTACK(YES_Writing_ELA[Student Number],YES_Writing_FLA[Student Number]),0),MATCH(VLOOKUP(F$7,'Writing Logic'!$J$7:$K$11,2,FALSE)&amp;" - Per "&amp;VLOOKUP($C$4,'Writing Logic'!$G$8:$H$14,2,FALSE),YES_Writing_ELA[#Headers],0))=0,"",INDEX(_xlfn.VSTACK(YES_Writing_ELA[#Data],YES_Writing_FLA[#Data]),MATCH($A561,_xlfn.VSTACK(YES_Writing_ELA[Student Number],YES_Writing_FLA[Student Number]),0),MATCH(VLOOKUP(F$7,'Writing Logic'!$J$7:$K$11,2,FALSE)&amp;" - Per "&amp;VLOOKUP($C$4,'Writing Logic'!$G$8:$H$14,2,FALSE),YES_Writing_ELA[#Headers],0)))),"")</f>
        <v/>
      </c>
      <c r="G561" s="138" t="str">
        <f>IFERROR(IF(IF(INDEX(_xlfn.VSTACK(YES_Writing_ELA[#Data],YES_Writing_FLA[#Data]),MATCH($A561,_xlfn.VSTACK(YES_Writing_ELA[Student Number],YES_Writing_FLA[Student Number]),0),MATCH(VLOOKUP(G$7,'Writing Logic'!$J$7:$K$11,2,FALSE)&amp;" - Per "&amp;VLOOKUP($C$4,'Writing Logic'!$G$8:$H$14,2,FALSE),YES_Writing_ELA[#Headers],0))=0,"",INDEX(_xlfn.VSTACK(YES_Writing_ELA[#Data],YES_Writing_FLA[#Data]),MATCH($A561,_xlfn.VSTACK(YES_Writing_ELA[Student Number],YES_Writing_FLA[Student Number]),0),MATCH(VLOOKUP(G$7,'Writing Logic'!$J$7:$K$11,2,FALSE)&amp;" - Per "&amp;VLOOKUP($C$4,'Writing Logic'!$G$8:$H$14,2,FALSE),YES_Writing_ELA[#Headers],0)))="INS",'Writing Logic'!$B$7,IF(INDEX(_xlfn.VSTACK(YES_Writing_ELA[#Data],YES_Writing_FLA[#Data]),MATCH($A561,_xlfn.VSTACK(YES_Writing_ELA[Student Number],YES_Writing_FLA[Student Number]),0),MATCH(VLOOKUP(G$7,'Writing Logic'!$J$7:$K$11,2,FALSE)&amp;" - Per "&amp;VLOOKUP($C$4,'Writing Logic'!$G$8:$H$14,2,FALSE),YES_Writing_ELA[#Headers],0))=0,"",INDEX(_xlfn.VSTACK(YES_Writing_ELA[#Data],YES_Writing_FLA[#Data]),MATCH($A561,_xlfn.VSTACK(YES_Writing_ELA[Student Number],YES_Writing_FLA[Student Number]),0),MATCH(VLOOKUP(G$7,'Writing Logic'!$J$7:$K$11,2,FALSE)&amp;" - Per "&amp;VLOOKUP($C$4,'Writing Logic'!$G$8:$H$14,2,FALSE),YES_Writing_ELA[#Headers],0)))),"")</f>
        <v/>
      </c>
      <c r="H561" s="138" t="str">
        <f>IFERROR(IF(IF(INDEX(_xlfn.VSTACK(YES_Writing_ELA[#Data],YES_Writing_FLA[#Data]),MATCH($A561,_xlfn.VSTACK(YES_Writing_ELA[Student Number],YES_Writing_FLA[Student Number]),0),MATCH(VLOOKUP(H$7,'Writing Logic'!$J$7:$K$11,2,FALSE)&amp;" - Per "&amp;VLOOKUP($C$4,'Writing Logic'!$G$8:$H$14,2,FALSE),YES_Writing_ELA[#Headers],0))=0,"",INDEX(_xlfn.VSTACK(YES_Writing_ELA[#Data],YES_Writing_FLA[#Data]),MATCH($A561,_xlfn.VSTACK(YES_Writing_ELA[Student Number],YES_Writing_FLA[Student Number]),0),MATCH(VLOOKUP(H$7,'Writing Logic'!$J$7:$K$11,2,FALSE)&amp;" - Per "&amp;VLOOKUP($C$4,'Writing Logic'!$G$8:$H$14,2,FALSE),YES_Writing_ELA[#Headers],0)))="INS",'Writing Logic'!$B$7,IF(INDEX(_xlfn.VSTACK(YES_Writing_ELA[#Data],YES_Writing_FLA[#Data]),MATCH($A561,_xlfn.VSTACK(YES_Writing_ELA[Student Number],YES_Writing_FLA[Student Number]),0),MATCH(VLOOKUP(H$7,'Writing Logic'!$J$7:$K$11,2,FALSE)&amp;" - Per "&amp;VLOOKUP($C$4,'Writing Logic'!$G$8:$H$14,2,FALSE),YES_Writing_ELA[#Headers],0))=0,"",INDEX(_xlfn.VSTACK(YES_Writing_ELA[#Data],YES_Writing_FLA[#Data]),MATCH($A561,_xlfn.VSTACK(YES_Writing_ELA[Student Number],YES_Writing_FLA[Student Number]),0),MATCH(VLOOKUP(H$7,'Writing Logic'!$J$7:$K$11,2,FALSE)&amp;" - Per "&amp;VLOOKUP($C$4,'Writing Logic'!$G$8:$H$14,2,FALSE),YES_Writing_ELA[#Headers],0)))),"")</f>
        <v/>
      </c>
    </row>
    <row r="562" spans="1:8" x14ac:dyDescent="0.25">
      <c r="A562" s="137"/>
      <c r="B562" s="137" t="str">
        <f>IFERROR(INDEX(_xlfn.VSTACK(YES_Writing_ELA[#Data], YES_Writing_FLA[#Data]),MATCH($A562,_xlfn.VSTACK(YES_Writing_ELA[Student Number], YES_Writing_FLA[Student Number]),0),MATCH(B$7,YES_Writing_ELA[#Headers],0)),"")</f>
        <v/>
      </c>
      <c r="C562" s="137" t="str">
        <f>IFERROR(INDEX(_xlfn.VSTACK(YES_Writing_ELA[#Data], YES_Writing_FLA[#Data]),MATCH($A562,_xlfn.VSTACK(YES_Writing_ELA[Student Number], YES_Writing_FLA[Student Number]),0),MATCH(C$7,YES_Writing_ELA[#Headers],0)),"")</f>
        <v/>
      </c>
      <c r="D562" s="138" t="str">
        <f>IFERROR(IF(IF(INDEX(_xlfn.VSTACK(YES_Writing_ELA[#Data],YES_Writing_FLA[#Data]),MATCH($A562,_xlfn.VSTACK(YES_Writing_ELA[Student Number],YES_Writing_FLA[Student Number]),0),MATCH(VLOOKUP(D$7,'Writing Logic'!$J$7:$K$11,2,FALSE)&amp;" - Per "&amp;VLOOKUP($C$4,'Writing Logic'!$G$8:$H$14,2,FALSE),YES_Writing_ELA[#Headers],0))=0,"",INDEX(_xlfn.VSTACK(YES_Writing_ELA[#Data],YES_Writing_FLA[#Data]),MATCH($A562,_xlfn.VSTACK(YES_Writing_ELA[Student Number],YES_Writing_FLA[Student Number]),0),MATCH(VLOOKUP(D$7,'Writing Logic'!$J$7:$K$11,2,FALSE)&amp;" - Per "&amp;VLOOKUP($C$4,'Writing Logic'!$G$8:$H$14,2,FALSE),YES_Writing_ELA[#Headers],0)))="INS",'Writing Logic'!$B$7,IF(INDEX(_xlfn.VSTACK(YES_Writing_ELA[#Data],YES_Writing_FLA[#Data]),MATCH($A562,_xlfn.VSTACK(YES_Writing_ELA[Student Number],YES_Writing_FLA[Student Number]),0),MATCH(VLOOKUP(D$7,'Writing Logic'!$J$7:$K$11,2,FALSE)&amp;" - Per "&amp;VLOOKUP($C$4,'Writing Logic'!$G$8:$H$14,2,FALSE),YES_Writing_ELA[#Headers],0))=0,"",INDEX(_xlfn.VSTACK(YES_Writing_ELA[#Data],YES_Writing_FLA[#Data]),MATCH($A562,_xlfn.VSTACK(YES_Writing_ELA[Student Number],YES_Writing_FLA[Student Number]),0),MATCH(VLOOKUP(D$7,'Writing Logic'!$J$7:$K$11,2,FALSE)&amp;" - Per "&amp;VLOOKUP($C$4,'Writing Logic'!$G$8:$H$14,2,FALSE),YES_Writing_ELA[#Headers],0)))),"")</f>
        <v/>
      </c>
      <c r="E562" s="138" t="str">
        <f>IFERROR(IF(IF(INDEX(_xlfn.VSTACK(YES_Writing_ELA[#Data],YES_Writing_FLA[#Data]),MATCH($A562,_xlfn.VSTACK(YES_Writing_ELA[Student Number],YES_Writing_FLA[Student Number]),0),MATCH(VLOOKUP(E$7,'Writing Logic'!$J$7:$K$11,2,FALSE)&amp;" - Per "&amp;VLOOKUP($C$4,'Writing Logic'!$G$8:$H$14,2,FALSE),YES_Writing_ELA[#Headers],0))=0,"",INDEX(_xlfn.VSTACK(YES_Writing_ELA[#Data],YES_Writing_FLA[#Data]),MATCH($A562,_xlfn.VSTACK(YES_Writing_ELA[Student Number],YES_Writing_FLA[Student Number]),0),MATCH(VLOOKUP(E$7,'Writing Logic'!$J$7:$K$11,2,FALSE)&amp;" - Per "&amp;VLOOKUP($C$4,'Writing Logic'!$G$8:$H$14,2,FALSE),YES_Writing_ELA[#Headers],0)))="INS",'Writing Logic'!$B$7,IF(INDEX(_xlfn.VSTACK(YES_Writing_ELA[#Data],YES_Writing_FLA[#Data]),MATCH($A562,_xlfn.VSTACK(YES_Writing_ELA[Student Number],YES_Writing_FLA[Student Number]),0),MATCH(VLOOKUP(E$7,'Writing Logic'!$J$7:$K$11,2,FALSE)&amp;" - Per "&amp;VLOOKUP($C$4,'Writing Logic'!$G$8:$H$14,2,FALSE),YES_Writing_ELA[#Headers],0))=0,"",INDEX(_xlfn.VSTACK(YES_Writing_ELA[#Data],YES_Writing_FLA[#Data]),MATCH($A562,_xlfn.VSTACK(YES_Writing_ELA[Student Number],YES_Writing_FLA[Student Number]),0),MATCH(VLOOKUP(E$7,'Writing Logic'!$J$7:$K$11,2,FALSE)&amp;" - Per "&amp;VLOOKUP($C$4,'Writing Logic'!$G$8:$H$14,2,FALSE),YES_Writing_ELA[#Headers],0)))),"")</f>
        <v/>
      </c>
      <c r="F562" s="138" t="str">
        <f>IFERROR(IF(IF(INDEX(_xlfn.VSTACK(YES_Writing_ELA[#Data],YES_Writing_FLA[#Data]),MATCH($A562,_xlfn.VSTACK(YES_Writing_ELA[Student Number],YES_Writing_FLA[Student Number]),0),MATCH(VLOOKUP(F$7,'Writing Logic'!$J$7:$K$11,2,FALSE)&amp;" - Per "&amp;VLOOKUP($C$4,'Writing Logic'!$G$8:$H$14,2,FALSE),YES_Writing_ELA[#Headers],0))=0,"",INDEX(_xlfn.VSTACK(YES_Writing_ELA[#Data],YES_Writing_FLA[#Data]),MATCH($A562,_xlfn.VSTACK(YES_Writing_ELA[Student Number],YES_Writing_FLA[Student Number]),0),MATCH(VLOOKUP(F$7,'Writing Logic'!$J$7:$K$11,2,FALSE)&amp;" - Per "&amp;VLOOKUP($C$4,'Writing Logic'!$G$8:$H$14,2,FALSE),YES_Writing_ELA[#Headers],0)))="INS",'Writing Logic'!$B$7,IF(INDEX(_xlfn.VSTACK(YES_Writing_ELA[#Data],YES_Writing_FLA[#Data]),MATCH($A562,_xlfn.VSTACK(YES_Writing_ELA[Student Number],YES_Writing_FLA[Student Number]),0),MATCH(VLOOKUP(F$7,'Writing Logic'!$J$7:$K$11,2,FALSE)&amp;" - Per "&amp;VLOOKUP($C$4,'Writing Logic'!$G$8:$H$14,2,FALSE),YES_Writing_ELA[#Headers],0))=0,"",INDEX(_xlfn.VSTACK(YES_Writing_ELA[#Data],YES_Writing_FLA[#Data]),MATCH($A562,_xlfn.VSTACK(YES_Writing_ELA[Student Number],YES_Writing_FLA[Student Number]),0),MATCH(VLOOKUP(F$7,'Writing Logic'!$J$7:$K$11,2,FALSE)&amp;" - Per "&amp;VLOOKUP($C$4,'Writing Logic'!$G$8:$H$14,2,FALSE),YES_Writing_ELA[#Headers],0)))),"")</f>
        <v/>
      </c>
      <c r="G562" s="138" t="str">
        <f>IFERROR(IF(IF(INDEX(_xlfn.VSTACK(YES_Writing_ELA[#Data],YES_Writing_FLA[#Data]),MATCH($A562,_xlfn.VSTACK(YES_Writing_ELA[Student Number],YES_Writing_FLA[Student Number]),0),MATCH(VLOOKUP(G$7,'Writing Logic'!$J$7:$K$11,2,FALSE)&amp;" - Per "&amp;VLOOKUP($C$4,'Writing Logic'!$G$8:$H$14,2,FALSE),YES_Writing_ELA[#Headers],0))=0,"",INDEX(_xlfn.VSTACK(YES_Writing_ELA[#Data],YES_Writing_FLA[#Data]),MATCH($A562,_xlfn.VSTACK(YES_Writing_ELA[Student Number],YES_Writing_FLA[Student Number]),0),MATCH(VLOOKUP(G$7,'Writing Logic'!$J$7:$K$11,2,FALSE)&amp;" - Per "&amp;VLOOKUP($C$4,'Writing Logic'!$G$8:$H$14,2,FALSE),YES_Writing_ELA[#Headers],0)))="INS",'Writing Logic'!$B$7,IF(INDEX(_xlfn.VSTACK(YES_Writing_ELA[#Data],YES_Writing_FLA[#Data]),MATCH($A562,_xlfn.VSTACK(YES_Writing_ELA[Student Number],YES_Writing_FLA[Student Number]),0),MATCH(VLOOKUP(G$7,'Writing Logic'!$J$7:$K$11,2,FALSE)&amp;" - Per "&amp;VLOOKUP($C$4,'Writing Logic'!$G$8:$H$14,2,FALSE),YES_Writing_ELA[#Headers],0))=0,"",INDEX(_xlfn.VSTACK(YES_Writing_ELA[#Data],YES_Writing_FLA[#Data]),MATCH($A562,_xlfn.VSTACK(YES_Writing_ELA[Student Number],YES_Writing_FLA[Student Number]),0),MATCH(VLOOKUP(G$7,'Writing Logic'!$J$7:$K$11,2,FALSE)&amp;" - Per "&amp;VLOOKUP($C$4,'Writing Logic'!$G$8:$H$14,2,FALSE),YES_Writing_ELA[#Headers],0)))),"")</f>
        <v/>
      </c>
      <c r="H562" s="138" t="str">
        <f>IFERROR(IF(IF(INDEX(_xlfn.VSTACK(YES_Writing_ELA[#Data],YES_Writing_FLA[#Data]),MATCH($A562,_xlfn.VSTACK(YES_Writing_ELA[Student Number],YES_Writing_FLA[Student Number]),0),MATCH(VLOOKUP(H$7,'Writing Logic'!$J$7:$K$11,2,FALSE)&amp;" - Per "&amp;VLOOKUP($C$4,'Writing Logic'!$G$8:$H$14,2,FALSE),YES_Writing_ELA[#Headers],0))=0,"",INDEX(_xlfn.VSTACK(YES_Writing_ELA[#Data],YES_Writing_FLA[#Data]),MATCH($A562,_xlfn.VSTACK(YES_Writing_ELA[Student Number],YES_Writing_FLA[Student Number]),0),MATCH(VLOOKUP(H$7,'Writing Logic'!$J$7:$K$11,2,FALSE)&amp;" - Per "&amp;VLOOKUP($C$4,'Writing Logic'!$G$8:$H$14,2,FALSE),YES_Writing_ELA[#Headers],0)))="INS",'Writing Logic'!$B$7,IF(INDEX(_xlfn.VSTACK(YES_Writing_ELA[#Data],YES_Writing_FLA[#Data]),MATCH($A562,_xlfn.VSTACK(YES_Writing_ELA[Student Number],YES_Writing_FLA[Student Number]),0),MATCH(VLOOKUP(H$7,'Writing Logic'!$J$7:$K$11,2,FALSE)&amp;" - Per "&amp;VLOOKUP($C$4,'Writing Logic'!$G$8:$H$14,2,FALSE),YES_Writing_ELA[#Headers],0))=0,"",INDEX(_xlfn.VSTACK(YES_Writing_ELA[#Data],YES_Writing_FLA[#Data]),MATCH($A562,_xlfn.VSTACK(YES_Writing_ELA[Student Number],YES_Writing_FLA[Student Number]),0),MATCH(VLOOKUP(H$7,'Writing Logic'!$J$7:$K$11,2,FALSE)&amp;" - Per "&amp;VLOOKUP($C$4,'Writing Logic'!$G$8:$H$14,2,FALSE),YES_Writing_ELA[#Headers],0)))),"")</f>
        <v/>
      </c>
    </row>
    <row r="563" spans="1:8" x14ac:dyDescent="0.25">
      <c r="A563" s="137"/>
      <c r="B563" s="137" t="str">
        <f>IFERROR(INDEX(_xlfn.VSTACK(YES_Writing_ELA[#Data], YES_Writing_FLA[#Data]),MATCH($A563,_xlfn.VSTACK(YES_Writing_ELA[Student Number], YES_Writing_FLA[Student Number]),0),MATCH(B$7,YES_Writing_ELA[#Headers],0)),"")</f>
        <v/>
      </c>
      <c r="C563" s="137" t="str">
        <f>IFERROR(INDEX(_xlfn.VSTACK(YES_Writing_ELA[#Data], YES_Writing_FLA[#Data]),MATCH($A563,_xlfn.VSTACK(YES_Writing_ELA[Student Number], YES_Writing_FLA[Student Number]),0),MATCH(C$7,YES_Writing_ELA[#Headers],0)),"")</f>
        <v/>
      </c>
      <c r="D563" s="138" t="str">
        <f>IFERROR(IF(IF(INDEX(_xlfn.VSTACK(YES_Writing_ELA[#Data],YES_Writing_FLA[#Data]),MATCH($A563,_xlfn.VSTACK(YES_Writing_ELA[Student Number],YES_Writing_FLA[Student Number]),0),MATCH(VLOOKUP(D$7,'Writing Logic'!$J$7:$K$11,2,FALSE)&amp;" - Per "&amp;VLOOKUP($C$4,'Writing Logic'!$G$8:$H$14,2,FALSE),YES_Writing_ELA[#Headers],0))=0,"",INDEX(_xlfn.VSTACK(YES_Writing_ELA[#Data],YES_Writing_FLA[#Data]),MATCH($A563,_xlfn.VSTACK(YES_Writing_ELA[Student Number],YES_Writing_FLA[Student Number]),0),MATCH(VLOOKUP(D$7,'Writing Logic'!$J$7:$K$11,2,FALSE)&amp;" - Per "&amp;VLOOKUP($C$4,'Writing Logic'!$G$8:$H$14,2,FALSE),YES_Writing_ELA[#Headers],0)))="INS",'Writing Logic'!$B$7,IF(INDEX(_xlfn.VSTACK(YES_Writing_ELA[#Data],YES_Writing_FLA[#Data]),MATCH($A563,_xlfn.VSTACK(YES_Writing_ELA[Student Number],YES_Writing_FLA[Student Number]),0),MATCH(VLOOKUP(D$7,'Writing Logic'!$J$7:$K$11,2,FALSE)&amp;" - Per "&amp;VLOOKUP($C$4,'Writing Logic'!$G$8:$H$14,2,FALSE),YES_Writing_ELA[#Headers],0))=0,"",INDEX(_xlfn.VSTACK(YES_Writing_ELA[#Data],YES_Writing_FLA[#Data]),MATCH($A563,_xlfn.VSTACK(YES_Writing_ELA[Student Number],YES_Writing_FLA[Student Number]),0),MATCH(VLOOKUP(D$7,'Writing Logic'!$J$7:$K$11,2,FALSE)&amp;" - Per "&amp;VLOOKUP($C$4,'Writing Logic'!$G$8:$H$14,2,FALSE),YES_Writing_ELA[#Headers],0)))),"")</f>
        <v/>
      </c>
      <c r="E563" s="138" t="str">
        <f>IFERROR(IF(IF(INDEX(_xlfn.VSTACK(YES_Writing_ELA[#Data],YES_Writing_FLA[#Data]),MATCH($A563,_xlfn.VSTACK(YES_Writing_ELA[Student Number],YES_Writing_FLA[Student Number]),0),MATCH(VLOOKUP(E$7,'Writing Logic'!$J$7:$K$11,2,FALSE)&amp;" - Per "&amp;VLOOKUP($C$4,'Writing Logic'!$G$8:$H$14,2,FALSE),YES_Writing_ELA[#Headers],0))=0,"",INDEX(_xlfn.VSTACK(YES_Writing_ELA[#Data],YES_Writing_FLA[#Data]),MATCH($A563,_xlfn.VSTACK(YES_Writing_ELA[Student Number],YES_Writing_FLA[Student Number]),0),MATCH(VLOOKUP(E$7,'Writing Logic'!$J$7:$K$11,2,FALSE)&amp;" - Per "&amp;VLOOKUP($C$4,'Writing Logic'!$G$8:$H$14,2,FALSE),YES_Writing_ELA[#Headers],0)))="INS",'Writing Logic'!$B$7,IF(INDEX(_xlfn.VSTACK(YES_Writing_ELA[#Data],YES_Writing_FLA[#Data]),MATCH($A563,_xlfn.VSTACK(YES_Writing_ELA[Student Number],YES_Writing_FLA[Student Number]),0),MATCH(VLOOKUP(E$7,'Writing Logic'!$J$7:$K$11,2,FALSE)&amp;" - Per "&amp;VLOOKUP($C$4,'Writing Logic'!$G$8:$H$14,2,FALSE),YES_Writing_ELA[#Headers],0))=0,"",INDEX(_xlfn.VSTACK(YES_Writing_ELA[#Data],YES_Writing_FLA[#Data]),MATCH($A563,_xlfn.VSTACK(YES_Writing_ELA[Student Number],YES_Writing_FLA[Student Number]),0),MATCH(VLOOKUP(E$7,'Writing Logic'!$J$7:$K$11,2,FALSE)&amp;" - Per "&amp;VLOOKUP($C$4,'Writing Logic'!$G$8:$H$14,2,FALSE),YES_Writing_ELA[#Headers],0)))),"")</f>
        <v/>
      </c>
      <c r="F563" s="138" t="str">
        <f>IFERROR(IF(IF(INDEX(_xlfn.VSTACK(YES_Writing_ELA[#Data],YES_Writing_FLA[#Data]),MATCH($A563,_xlfn.VSTACK(YES_Writing_ELA[Student Number],YES_Writing_FLA[Student Number]),0),MATCH(VLOOKUP(F$7,'Writing Logic'!$J$7:$K$11,2,FALSE)&amp;" - Per "&amp;VLOOKUP($C$4,'Writing Logic'!$G$8:$H$14,2,FALSE),YES_Writing_ELA[#Headers],0))=0,"",INDEX(_xlfn.VSTACK(YES_Writing_ELA[#Data],YES_Writing_FLA[#Data]),MATCH($A563,_xlfn.VSTACK(YES_Writing_ELA[Student Number],YES_Writing_FLA[Student Number]),0),MATCH(VLOOKUP(F$7,'Writing Logic'!$J$7:$K$11,2,FALSE)&amp;" - Per "&amp;VLOOKUP($C$4,'Writing Logic'!$G$8:$H$14,2,FALSE),YES_Writing_ELA[#Headers],0)))="INS",'Writing Logic'!$B$7,IF(INDEX(_xlfn.VSTACK(YES_Writing_ELA[#Data],YES_Writing_FLA[#Data]),MATCH($A563,_xlfn.VSTACK(YES_Writing_ELA[Student Number],YES_Writing_FLA[Student Number]),0),MATCH(VLOOKUP(F$7,'Writing Logic'!$J$7:$K$11,2,FALSE)&amp;" - Per "&amp;VLOOKUP($C$4,'Writing Logic'!$G$8:$H$14,2,FALSE),YES_Writing_ELA[#Headers],0))=0,"",INDEX(_xlfn.VSTACK(YES_Writing_ELA[#Data],YES_Writing_FLA[#Data]),MATCH($A563,_xlfn.VSTACK(YES_Writing_ELA[Student Number],YES_Writing_FLA[Student Number]),0),MATCH(VLOOKUP(F$7,'Writing Logic'!$J$7:$K$11,2,FALSE)&amp;" - Per "&amp;VLOOKUP($C$4,'Writing Logic'!$G$8:$H$14,2,FALSE),YES_Writing_ELA[#Headers],0)))),"")</f>
        <v/>
      </c>
      <c r="G563" s="138" t="str">
        <f>IFERROR(IF(IF(INDEX(_xlfn.VSTACK(YES_Writing_ELA[#Data],YES_Writing_FLA[#Data]),MATCH($A563,_xlfn.VSTACK(YES_Writing_ELA[Student Number],YES_Writing_FLA[Student Number]),0),MATCH(VLOOKUP(G$7,'Writing Logic'!$J$7:$K$11,2,FALSE)&amp;" - Per "&amp;VLOOKUP($C$4,'Writing Logic'!$G$8:$H$14,2,FALSE),YES_Writing_ELA[#Headers],0))=0,"",INDEX(_xlfn.VSTACK(YES_Writing_ELA[#Data],YES_Writing_FLA[#Data]),MATCH($A563,_xlfn.VSTACK(YES_Writing_ELA[Student Number],YES_Writing_FLA[Student Number]),0),MATCH(VLOOKUP(G$7,'Writing Logic'!$J$7:$K$11,2,FALSE)&amp;" - Per "&amp;VLOOKUP($C$4,'Writing Logic'!$G$8:$H$14,2,FALSE),YES_Writing_ELA[#Headers],0)))="INS",'Writing Logic'!$B$7,IF(INDEX(_xlfn.VSTACK(YES_Writing_ELA[#Data],YES_Writing_FLA[#Data]),MATCH($A563,_xlfn.VSTACK(YES_Writing_ELA[Student Number],YES_Writing_FLA[Student Number]),0),MATCH(VLOOKUP(G$7,'Writing Logic'!$J$7:$K$11,2,FALSE)&amp;" - Per "&amp;VLOOKUP($C$4,'Writing Logic'!$G$8:$H$14,2,FALSE),YES_Writing_ELA[#Headers],0))=0,"",INDEX(_xlfn.VSTACK(YES_Writing_ELA[#Data],YES_Writing_FLA[#Data]),MATCH($A563,_xlfn.VSTACK(YES_Writing_ELA[Student Number],YES_Writing_FLA[Student Number]),0),MATCH(VLOOKUP(G$7,'Writing Logic'!$J$7:$K$11,2,FALSE)&amp;" - Per "&amp;VLOOKUP($C$4,'Writing Logic'!$G$8:$H$14,2,FALSE),YES_Writing_ELA[#Headers],0)))),"")</f>
        <v/>
      </c>
      <c r="H563" s="138" t="str">
        <f>IFERROR(IF(IF(INDEX(_xlfn.VSTACK(YES_Writing_ELA[#Data],YES_Writing_FLA[#Data]),MATCH($A563,_xlfn.VSTACK(YES_Writing_ELA[Student Number],YES_Writing_FLA[Student Number]),0),MATCH(VLOOKUP(H$7,'Writing Logic'!$J$7:$K$11,2,FALSE)&amp;" - Per "&amp;VLOOKUP($C$4,'Writing Logic'!$G$8:$H$14,2,FALSE),YES_Writing_ELA[#Headers],0))=0,"",INDEX(_xlfn.VSTACK(YES_Writing_ELA[#Data],YES_Writing_FLA[#Data]),MATCH($A563,_xlfn.VSTACK(YES_Writing_ELA[Student Number],YES_Writing_FLA[Student Number]),0),MATCH(VLOOKUP(H$7,'Writing Logic'!$J$7:$K$11,2,FALSE)&amp;" - Per "&amp;VLOOKUP($C$4,'Writing Logic'!$G$8:$H$14,2,FALSE),YES_Writing_ELA[#Headers],0)))="INS",'Writing Logic'!$B$7,IF(INDEX(_xlfn.VSTACK(YES_Writing_ELA[#Data],YES_Writing_FLA[#Data]),MATCH($A563,_xlfn.VSTACK(YES_Writing_ELA[Student Number],YES_Writing_FLA[Student Number]),0),MATCH(VLOOKUP(H$7,'Writing Logic'!$J$7:$K$11,2,FALSE)&amp;" - Per "&amp;VLOOKUP($C$4,'Writing Logic'!$G$8:$H$14,2,FALSE),YES_Writing_ELA[#Headers],0))=0,"",INDEX(_xlfn.VSTACK(YES_Writing_ELA[#Data],YES_Writing_FLA[#Data]),MATCH($A563,_xlfn.VSTACK(YES_Writing_ELA[Student Number],YES_Writing_FLA[Student Number]),0),MATCH(VLOOKUP(H$7,'Writing Logic'!$J$7:$K$11,2,FALSE)&amp;" - Per "&amp;VLOOKUP($C$4,'Writing Logic'!$G$8:$H$14,2,FALSE),YES_Writing_ELA[#Headers],0)))),"")</f>
        <v/>
      </c>
    </row>
    <row r="564" spans="1:8" x14ac:dyDescent="0.25">
      <c r="A564" s="137"/>
      <c r="B564" s="137" t="str">
        <f>IFERROR(INDEX(_xlfn.VSTACK(YES_Writing_ELA[#Data], YES_Writing_FLA[#Data]),MATCH($A564,_xlfn.VSTACK(YES_Writing_ELA[Student Number], YES_Writing_FLA[Student Number]),0),MATCH(B$7,YES_Writing_ELA[#Headers],0)),"")</f>
        <v/>
      </c>
      <c r="C564" s="137" t="str">
        <f>IFERROR(INDEX(_xlfn.VSTACK(YES_Writing_ELA[#Data], YES_Writing_FLA[#Data]),MATCH($A564,_xlfn.VSTACK(YES_Writing_ELA[Student Number], YES_Writing_FLA[Student Number]),0),MATCH(C$7,YES_Writing_ELA[#Headers],0)),"")</f>
        <v/>
      </c>
      <c r="D564" s="138" t="str">
        <f>IFERROR(IF(IF(INDEX(_xlfn.VSTACK(YES_Writing_ELA[#Data],YES_Writing_FLA[#Data]),MATCH($A564,_xlfn.VSTACK(YES_Writing_ELA[Student Number],YES_Writing_FLA[Student Number]),0),MATCH(VLOOKUP(D$7,'Writing Logic'!$J$7:$K$11,2,FALSE)&amp;" - Per "&amp;VLOOKUP($C$4,'Writing Logic'!$G$8:$H$14,2,FALSE),YES_Writing_ELA[#Headers],0))=0,"",INDEX(_xlfn.VSTACK(YES_Writing_ELA[#Data],YES_Writing_FLA[#Data]),MATCH($A564,_xlfn.VSTACK(YES_Writing_ELA[Student Number],YES_Writing_FLA[Student Number]),0),MATCH(VLOOKUP(D$7,'Writing Logic'!$J$7:$K$11,2,FALSE)&amp;" - Per "&amp;VLOOKUP($C$4,'Writing Logic'!$G$8:$H$14,2,FALSE),YES_Writing_ELA[#Headers],0)))="INS",'Writing Logic'!$B$7,IF(INDEX(_xlfn.VSTACK(YES_Writing_ELA[#Data],YES_Writing_FLA[#Data]),MATCH($A564,_xlfn.VSTACK(YES_Writing_ELA[Student Number],YES_Writing_FLA[Student Number]),0),MATCH(VLOOKUP(D$7,'Writing Logic'!$J$7:$K$11,2,FALSE)&amp;" - Per "&amp;VLOOKUP($C$4,'Writing Logic'!$G$8:$H$14,2,FALSE),YES_Writing_ELA[#Headers],0))=0,"",INDEX(_xlfn.VSTACK(YES_Writing_ELA[#Data],YES_Writing_FLA[#Data]),MATCH($A564,_xlfn.VSTACK(YES_Writing_ELA[Student Number],YES_Writing_FLA[Student Number]),0),MATCH(VLOOKUP(D$7,'Writing Logic'!$J$7:$K$11,2,FALSE)&amp;" - Per "&amp;VLOOKUP($C$4,'Writing Logic'!$G$8:$H$14,2,FALSE),YES_Writing_ELA[#Headers],0)))),"")</f>
        <v/>
      </c>
      <c r="E564" s="138" t="str">
        <f>IFERROR(IF(IF(INDEX(_xlfn.VSTACK(YES_Writing_ELA[#Data],YES_Writing_FLA[#Data]),MATCH($A564,_xlfn.VSTACK(YES_Writing_ELA[Student Number],YES_Writing_FLA[Student Number]),0),MATCH(VLOOKUP(E$7,'Writing Logic'!$J$7:$K$11,2,FALSE)&amp;" - Per "&amp;VLOOKUP($C$4,'Writing Logic'!$G$8:$H$14,2,FALSE),YES_Writing_ELA[#Headers],0))=0,"",INDEX(_xlfn.VSTACK(YES_Writing_ELA[#Data],YES_Writing_FLA[#Data]),MATCH($A564,_xlfn.VSTACK(YES_Writing_ELA[Student Number],YES_Writing_FLA[Student Number]),0),MATCH(VLOOKUP(E$7,'Writing Logic'!$J$7:$K$11,2,FALSE)&amp;" - Per "&amp;VLOOKUP($C$4,'Writing Logic'!$G$8:$H$14,2,FALSE),YES_Writing_ELA[#Headers],0)))="INS",'Writing Logic'!$B$7,IF(INDEX(_xlfn.VSTACK(YES_Writing_ELA[#Data],YES_Writing_FLA[#Data]),MATCH($A564,_xlfn.VSTACK(YES_Writing_ELA[Student Number],YES_Writing_FLA[Student Number]),0),MATCH(VLOOKUP(E$7,'Writing Logic'!$J$7:$K$11,2,FALSE)&amp;" - Per "&amp;VLOOKUP($C$4,'Writing Logic'!$G$8:$H$14,2,FALSE),YES_Writing_ELA[#Headers],0))=0,"",INDEX(_xlfn.VSTACK(YES_Writing_ELA[#Data],YES_Writing_FLA[#Data]),MATCH($A564,_xlfn.VSTACK(YES_Writing_ELA[Student Number],YES_Writing_FLA[Student Number]),0),MATCH(VLOOKUP(E$7,'Writing Logic'!$J$7:$K$11,2,FALSE)&amp;" - Per "&amp;VLOOKUP($C$4,'Writing Logic'!$G$8:$H$14,2,FALSE),YES_Writing_ELA[#Headers],0)))),"")</f>
        <v/>
      </c>
      <c r="F564" s="138" t="str">
        <f>IFERROR(IF(IF(INDEX(_xlfn.VSTACK(YES_Writing_ELA[#Data],YES_Writing_FLA[#Data]),MATCH($A564,_xlfn.VSTACK(YES_Writing_ELA[Student Number],YES_Writing_FLA[Student Number]),0),MATCH(VLOOKUP(F$7,'Writing Logic'!$J$7:$K$11,2,FALSE)&amp;" - Per "&amp;VLOOKUP($C$4,'Writing Logic'!$G$8:$H$14,2,FALSE),YES_Writing_ELA[#Headers],0))=0,"",INDEX(_xlfn.VSTACK(YES_Writing_ELA[#Data],YES_Writing_FLA[#Data]),MATCH($A564,_xlfn.VSTACK(YES_Writing_ELA[Student Number],YES_Writing_FLA[Student Number]),0),MATCH(VLOOKUP(F$7,'Writing Logic'!$J$7:$K$11,2,FALSE)&amp;" - Per "&amp;VLOOKUP($C$4,'Writing Logic'!$G$8:$H$14,2,FALSE),YES_Writing_ELA[#Headers],0)))="INS",'Writing Logic'!$B$7,IF(INDEX(_xlfn.VSTACK(YES_Writing_ELA[#Data],YES_Writing_FLA[#Data]),MATCH($A564,_xlfn.VSTACK(YES_Writing_ELA[Student Number],YES_Writing_FLA[Student Number]),0),MATCH(VLOOKUP(F$7,'Writing Logic'!$J$7:$K$11,2,FALSE)&amp;" - Per "&amp;VLOOKUP($C$4,'Writing Logic'!$G$8:$H$14,2,FALSE),YES_Writing_ELA[#Headers],0))=0,"",INDEX(_xlfn.VSTACK(YES_Writing_ELA[#Data],YES_Writing_FLA[#Data]),MATCH($A564,_xlfn.VSTACK(YES_Writing_ELA[Student Number],YES_Writing_FLA[Student Number]),0),MATCH(VLOOKUP(F$7,'Writing Logic'!$J$7:$K$11,2,FALSE)&amp;" - Per "&amp;VLOOKUP($C$4,'Writing Logic'!$G$8:$H$14,2,FALSE),YES_Writing_ELA[#Headers],0)))),"")</f>
        <v/>
      </c>
      <c r="G564" s="138" t="str">
        <f>IFERROR(IF(IF(INDEX(_xlfn.VSTACK(YES_Writing_ELA[#Data],YES_Writing_FLA[#Data]),MATCH($A564,_xlfn.VSTACK(YES_Writing_ELA[Student Number],YES_Writing_FLA[Student Number]),0),MATCH(VLOOKUP(G$7,'Writing Logic'!$J$7:$K$11,2,FALSE)&amp;" - Per "&amp;VLOOKUP($C$4,'Writing Logic'!$G$8:$H$14,2,FALSE),YES_Writing_ELA[#Headers],0))=0,"",INDEX(_xlfn.VSTACK(YES_Writing_ELA[#Data],YES_Writing_FLA[#Data]),MATCH($A564,_xlfn.VSTACK(YES_Writing_ELA[Student Number],YES_Writing_FLA[Student Number]),0),MATCH(VLOOKUP(G$7,'Writing Logic'!$J$7:$K$11,2,FALSE)&amp;" - Per "&amp;VLOOKUP($C$4,'Writing Logic'!$G$8:$H$14,2,FALSE),YES_Writing_ELA[#Headers],0)))="INS",'Writing Logic'!$B$7,IF(INDEX(_xlfn.VSTACK(YES_Writing_ELA[#Data],YES_Writing_FLA[#Data]),MATCH($A564,_xlfn.VSTACK(YES_Writing_ELA[Student Number],YES_Writing_FLA[Student Number]),0),MATCH(VLOOKUP(G$7,'Writing Logic'!$J$7:$K$11,2,FALSE)&amp;" - Per "&amp;VLOOKUP($C$4,'Writing Logic'!$G$8:$H$14,2,FALSE),YES_Writing_ELA[#Headers],0))=0,"",INDEX(_xlfn.VSTACK(YES_Writing_ELA[#Data],YES_Writing_FLA[#Data]),MATCH($A564,_xlfn.VSTACK(YES_Writing_ELA[Student Number],YES_Writing_FLA[Student Number]),0),MATCH(VLOOKUP(G$7,'Writing Logic'!$J$7:$K$11,2,FALSE)&amp;" - Per "&amp;VLOOKUP($C$4,'Writing Logic'!$G$8:$H$14,2,FALSE),YES_Writing_ELA[#Headers],0)))),"")</f>
        <v/>
      </c>
      <c r="H564" s="138" t="str">
        <f>IFERROR(IF(IF(INDEX(_xlfn.VSTACK(YES_Writing_ELA[#Data],YES_Writing_FLA[#Data]),MATCH($A564,_xlfn.VSTACK(YES_Writing_ELA[Student Number],YES_Writing_FLA[Student Number]),0),MATCH(VLOOKUP(H$7,'Writing Logic'!$J$7:$K$11,2,FALSE)&amp;" - Per "&amp;VLOOKUP($C$4,'Writing Logic'!$G$8:$H$14,2,FALSE),YES_Writing_ELA[#Headers],0))=0,"",INDEX(_xlfn.VSTACK(YES_Writing_ELA[#Data],YES_Writing_FLA[#Data]),MATCH($A564,_xlfn.VSTACK(YES_Writing_ELA[Student Number],YES_Writing_FLA[Student Number]),0),MATCH(VLOOKUP(H$7,'Writing Logic'!$J$7:$K$11,2,FALSE)&amp;" - Per "&amp;VLOOKUP($C$4,'Writing Logic'!$G$8:$H$14,2,FALSE),YES_Writing_ELA[#Headers],0)))="INS",'Writing Logic'!$B$7,IF(INDEX(_xlfn.VSTACK(YES_Writing_ELA[#Data],YES_Writing_FLA[#Data]),MATCH($A564,_xlfn.VSTACK(YES_Writing_ELA[Student Number],YES_Writing_FLA[Student Number]),0),MATCH(VLOOKUP(H$7,'Writing Logic'!$J$7:$K$11,2,FALSE)&amp;" - Per "&amp;VLOOKUP($C$4,'Writing Logic'!$G$8:$H$14,2,FALSE),YES_Writing_ELA[#Headers],0))=0,"",INDEX(_xlfn.VSTACK(YES_Writing_ELA[#Data],YES_Writing_FLA[#Data]),MATCH($A564,_xlfn.VSTACK(YES_Writing_ELA[Student Number],YES_Writing_FLA[Student Number]),0),MATCH(VLOOKUP(H$7,'Writing Logic'!$J$7:$K$11,2,FALSE)&amp;" - Per "&amp;VLOOKUP($C$4,'Writing Logic'!$G$8:$H$14,2,FALSE),YES_Writing_ELA[#Headers],0)))),"")</f>
        <v/>
      </c>
    </row>
    <row r="565" spans="1:8" x14ac:dyDescent="0.25">
      <c r="A565" s="137"/>
      <c r="B565" s="137" t="str">
        <f>IFERROR(INDEX(_xlfn.VSTACK(YES_Writing_ELA[#Data], YES_Writing_FLA[#Data]),MATCH($A565,_xlfn.VSTACK(YES_Writing_ELA[Student Number], YES_Writing_FLA[Student Number]),0),MATCH(B$7,YES_Writing_ELA[#Headers],0)),"")</f>
        <v/>
      </c>
      <c r="C565" s="137" t="str">
        <f>IFERROR(INDEX(_xlfn.VSTACK(YES_Writing_ELA[#Data], YES_Writing_FLA[#Data]),MATCH($A565,_xlfn.VSTACK(YES_Writing_ELA[Student Number], YES_Writing_FLA[Student Number]),0),MATCH(C$7,YES_Writing_ELA[#Headers],0)),"")</f>
        <v/>
      </c>
      <c r="D565" s="138" t="str">
        <f>IFERROR(IF(IF(INDEX(_xlfn.VSTACK(YES_Writing_ELA[#Data],YES_Writing_FLA[#Data]),MATCH($A565,_xlfn.VSTACK(YES_Writing_ELA[Student Number],YES_Writing_FLA[Student Number]),0),MATCH(VLOOKUP(D$7,'Writing Logic'!$J$7:$K$11,2,FALSE)&amp;" - Per "&amp;VLOOKUP($C$4,'Writing Logic'!$G$8:$H$14,2,FALSE),YES_Writing_ELA[#Headers],0))=0,"",INDEX(_xlfn.VSTACK(YES_Writing_ELA[#Data],YES_Writing_FLA[#Data]),MATCH($A565,_xlfn.VSTACK(YES_Writing_ELA[Student Number],YES_Writing_FLA[Student Number]),0),MATCH(VLOOKUP(D$7,'Writing Logic'!$J$7:$K$11,2,FALSE)&amp;" - Per "&amp;VLOOKUP($C$4,'Writing Logic'!$G$8:$H$14,2,FALSE),YES_Writing_ELA[#Headers],0)))="INS",'Writing Logic'!$B$7,IF(INDEX(_xlfn.VSTACK(YES_Writing_ELA[#Data],YES_Writing_FLA[#Data]),MATCH($A565,_xlfn.VSTACK(YES_Writing_ELA[Student Number],YES_Writing_FLA[Student Number]),0),MATCH(VLOOKUP(D$7,'Writing Logic'!$J$7:$K$11,2,FALSE)&amp;" - Per "&amp;VLOOKUP($C$4,'Writing Logic'!$G$8:$H$14,2,FALSE),YES_Writing_ELA[#Headers],0))=0,"",INDEX(_xlfn.VSTACK(YES_Writing_ELA[#Data],YES_Writing_FLA[#Data]),MATCH($A565,_xlfn.VSTACK(YES_Writing_ELA[Student Number],YES_Writing_FLA[Student Number]),0),MATCH(VLOOKUP(D$7,'Writing Logic'!$J$7:$K$11,2,FALSE)&amp;" - Per "&amp;VLOOKUP($C$4,'Writing Logic'!$G$8:$H$14,2,FALSE),YES_Writing_ELA[#Headers],0)))),"")</f>
        <v/>
      </c>
      <c r="E565" s="138" t="str">
        <f>IFERROR(IF(IF(INDEX(_xlfn.VSTACK(YES_Writing_ELA[#Data],YES_Writing_FLA[#Data]),MATCH($A565,_xlfn.VSTACK(YES_Writing_ELA[Student Number],YES_Writing_FLA[Student Number]),0),MATCH(VLOOKUP(E$7,'Writing Logic'!$J$7:$K$11,2,FALSE)&amp;" - Per "&amp;VLOOKUP($C$4,'Writing Logic'!$G$8:$H$14,2,FALSE),YES_Writing_ELA[#Headers],0))=0,"",INDEX(_xlfn.VSTACK(YES_Writing_ELA[#Data],YES_Writing_FLA[#Data]),MATCH($A565,_xlfn.VSTACK(YES_Writing_ELA[Student Number],YES_Writing_FLA[Student Number]),0),MATCH(VLOOKUP(E$7,'Writing Logic'!$J$7:$K$11,2,FALSE)&amp;" - Per "&amp;VLOOKUP($C$4,'Writing Logic'!$G$8:$H$14,2,FALSE),YES_Writing_ELA[#Headers],0)))="INS",'Writing Logic'!$B$7,IF(INDEX(_xlfn.VSTACK(YES_Writing_ELA[#Data],YES_Writing_FLA[#Data]),MATCH($A565,_xlfn.VSTACK(YES_Writing_ELA[Student Number],YES_Writing_FLA[Student Number]),0),MATCH(VLOOKUP(E$7,'Writing Logic'!$J$7:$K$11,2,FALSE)&amp;" - Per "&amp;VLOOKUP($C$4,'Writing Logic'!$G$8:$H$14,2,FALSE),YES_Writing_ELA[#Headers],0))=0,"",INDEX(_xlfn.VSTACK(YES_Writing_ELA[#Data],YES_Writing_FLA[#Data]),MATCH($A565,_xlfn.VSTACK(YES_Writing_ELA[Student Number],YES_Writing_FLA[Student Number]),0),MATCH(VLOOKUP(E$7,'Writing Logic'!$J$7:$K$11,2,FALSE)&amp;" - Per "&amp;VLOOKUP($C$4,'Writing Logic'!$G$8:$H$14,2,FALSE),YES_Writing_ELA[#Headers],0)))),"")</f>
        <v/>
      </c>
      <c r="F565" s="138" t="str">
        <f>IFERROR(IF(IF(INDEX(_xlfn.VSTACK(YES_Writing_ELA[#Data],YES_Writing_FLA[#Data]),MATCH($A565,_xlfn.VSTACK(YES_Writing_ELA[Student Number],YES_Writing_FLA[Student Number]),0),MATCH(VLOOKUP(F$7,'Writing Logic'!$J$7:$K$11,2,FALSE)&amp;" - Per "&amp;VLOOKUP($C$4,'Writing Logic'!$G$8:$H$14,2,FALSE),YES_Writing_ELA[#Headers],0))=0,"",INDEX(_xlfn.VSTACK(YES_Writing_ELA[#Data],YES_Writing_FLA[#Data]),MATCH($A565,_xlfn.VSTACK(YES_Writing_ELA[Student Number],YES_Writing_FLA[Student Number]),0),MATCH(VLOOKUP(F$7,'Writing Logic'!$J$7:$K$11,2,FALSE)&amp;" - Per "&amp;VLOOKUP($C$4,'Writing Logic'!$G$8:$H$14,2,FALSE),YES_Writing_ELA[#Headers],0)))="INS",'Writing Logic'!$B$7,IF(INDEX(_xlfn.VSTACK(YES_Writing_ELA[#Data],YES_Writing_FLA[#Data]),MATCH($A565,_xlfn.VSTACK(YES_Writing_ELA[Student Number],YES_Writing_FLA[Student Number]),0),MATCH(VLOOKUP(F$7,'Writing Logic'!$J$7:$K$11,2,FALSE)&amp;" - Per "&amp;VLOOKUP($C$4,'Writing Logic'!$G$8:$H$14,2,FALSE),YES_Writing_ELA[#Headers],0))=0,"",INDEX(_xlfn.VSTACK(YES_Writing_ELA[#Data],YES_Writing_FLA[#Data]),MATCH($A565,_xlfn.VSTACK(YES_Writing_ELA[Student Number],YES_Writing_FLA[Student Number]),0),MATCH(VLOOKUP(F$7,'Writing Logic'!$J$7:$K$11,2,FALSE)&amp;" - Per "&amp;VLOOKUP($C$4,'Writing Logic'!$G$8:$H$14,2,FALSE),YES_Writing_ELA[#Headers],0)))),"")</f>
        <v/>
      </c>
      <c r="G565" s="138" t="str">
        <f>IFERROR(IF(IF(INDEX(_xlfn.VSTACK(YES_Writing_ELA[#Data],YES_Writing_FLA[#Data]),MATCH($A565,_xlfn.VSTACK(YES_Writing_ELA[Student Number],YES_Writing_FLA[Student Number]),0),MATCH(VLOOKUP(G$7,'Writing Logic'!$J$7:$K$11,2,FALSE)&amp;" - Per "&amp;VLOOKUP($C$4,'Writing Logic'!$G$8:$H$14,2,FALSE),YES_Writing_ELA[#Headers],0))=0,"",INDEX(_xlfn.VSTACK(YES_Writing_ELA[#Data],YES_Writing_FLA[#Data]),MATCH($A565,_xlfn.VSTACK(YES_Writing_ELA[Student Number],YES_Writing_FLA[Student Number]),0),MATCH(VLOOKUP(G$7,'Writing Logic'!$J$7:$K$11,2,FALSE)&amp;" - Per "&amp;VLOOKUP($C$4,'Writing Logic'!$G$8:$H$14,2,FALSE),YES_Writing_ELA[#Headers],0)))="INS",'Writing Logic'!$B$7,IF(INDEX(_xlfn.VSTACK(YES_Writing_ELA[#Data],YES_Writing_FLA[#Data]),MATCH($A565,_xlfn.VSTACK(YES_Writing_ELA[Student Number],YES_Writing_FLA[Student Number]),0),MATCH(VLOOKUP(G$7,'Writing Logic'!$J$7:$K$11,2,FALSE)&amp;" - Per "&amp;VLOOKUP($C$4,'Writing Logic'!$G$8:$H$14,2,FALSE),YES_Writing_ELA[#Headers],0))=0,"",INDEX(_xlfn.VSTACK(YES_Writing_ELA[#Data],YES_Writing_FLA[#Data]),MATCH($A565,_xlfn.VSTACK(YES_Writing_ELA[Student Number],YES_Writing_FLA[Student Number]),0),MATCH(VLOOKUP(G$7,'Writing Logic'!$J$7:$K$11,2,FALSE)&amp;" - Per "&amp;VLOOKUP($C$4,'Writing Logic'!$G$8:$H$14,2,FALSE),YES_Writing_ELA[#Headers],0)))),"")</f>
        <v/>
      </c>
      <c r="H565" s="138" t="str">
        <f>IFERROR(IF(IF(INDEX(_xlfn.VSTACK(YES_Writing_ELA[#Data],YES_Writing_FLA[#Data]),MATCH($A565,_xlfn.VSTACK(YES_Writing_ELA[Student Number],YES_Writing_FLA[Student Number]),0),MATCH(VLOOKUP(H$7,'Writing Logic'!$J$7:$K$11,2,FALSE)&amp;" - Per "&amp;VLOOKUP($C$4,'Writing Logic'!$G$8:$H$14,2,FALSE),YES_Writing_ELA[#Headers],0))=0,"",INDEX(_xlfn.VSTACK(YES_Writing_ELA[#Data],YES_Writing_FLA[#Data]),MATCH($A565,_xlfn.VSTACK(YES_Writing_ELA[Student Number],YES_Writing_FLA[Student Number]),0),MATCH(VLOOKUP(H$7,'Writing Logic'!$J$7:$K$11,2,FALSE)&amp;" - Per "&amp;VLOOKUP($C$4,'Writing Logic'!$G$8:$H$14,2,FALSE),YES_Writing_ELA[#Headers],0)))="INS",'Writing Logic'!$B$7,IF(INDEX(_xlfn.VSTACK(YES_Writing_ELA[#Data],YES_Writing_FLA[#Data]),MATCH($A565,_xlfn.VSTACK(YES_Writing_ELA[Student Number],YES_Writing_FLA[Student Number]),0),MATCH(VLOOKUP(H$7,'Writing Logic'!$J$7:$K$11,2,FALSE)&amp;" - Per "&amp;VLOOKUP($C$4,'Writing Logic'!$G$8:$H$14,2,FALSE),YES_Writing_ELA[#Headers],0))=0,"",INDEX(_xlfn.VSTACK(YES_Writing_ELA[#Data],YES_Writing_FLA[#Data]),MATCH($A565,_xlfn.VSTACK(YES_Writing_ELA[Student Number],YES_Writing_FLA[Student Number]),0),MATCH(VLOOKUP(H$7,'Writing Logic'!$J$7:$K$11,2,FALSE)&amp;" - Per "&amp;VLOOKUP($C$4,'Writing Logic'!$G$8:$H$14,2,FALSE),YES_Writing_ELA[#Headers],0)))),"")</f>
        <v/>
      </c>
    </row>
    <row r="566" spans="1:8" x14ac:dyDescent="0.25">
      <c r="A566" s="137"/>
      <c r="B566" s="137" t="str">
        <f>IFERROR(INDEX(_xlfn.VSTACK(YES_Writing_ELA[#Data], YES_Writing_FLA[#Data]),MATCH($A566,_xlfn.VSTACK(YES_Writing_ELA[Student Number], YES_Writing_FLA[Student Number]),0),MATCH(B$7,YES_Writing_ELA[#Headers],0)),"")</f>
        <v/>
      </c>
      <c r="C566" s="137" t="str">
        <f>IFERROR(INDEX(_xlfn.VSTACK(YES_Writing_ELA[#Data], YES_Writing_FLA[#Data]),MATCH($A566,_xlfn.VSTACK(YES_Writing_ELA[Student Number], YES_Writing_FLA[Student Number]),0),MATCH(C$7,YES_Writing_ELA[#Headers],0)),"")</f>
        <v/>
      </c>
      <c r="D566" s="138" t="str">
        <f>IFERROR(IF(IF(INDEX(_xlfn.VSTACK(YES_Writing_ELA[#Data],YES_Writing_FLA[#Data]),MATCH($A566,_xlfn.VSTACK(YES_Writing_ELA[Student Number],YES_Writing_FLA[Student Number]),0),MATCH(VLOOKUP(D$7,'Writing Logic'!$J$7:$K$11,2,FALSE)&amp;" - Per "&amp;VLOOKUP($C$4,'Writing Logic'!$G$8:$H$14,2,FALSE),YES_Writing_ELA[#Headers],0))=0,"",INDEX(_xlfn.VSTACK(YES_Writing_ELA[#Data],YES_Writing_FLA[#Data]),MATCH($A566,_xlfn.VSTACK(YES_Writing_ELA[Student Number],YES_Writing_FLA[Student Number]),0),MATCH(VLOOKUP(D$7,'Writing Logic'!$J$7:$K$11,2,FALSE)&amp;" - Per "&amp;VLOOKUP($C$4,'Writing Logic'!$G$8:$H$14,2,FALSE),YES_Writing_ELA[#Headers],0)))="INS",'Writing Logic'!$B$7,IF(INDEX(_xlfn.VSTACK(YES_Writing_ELA[#Data],YES_Writing_FLA[#Data]),MATCH($A566,_xlfn.VSTACK(YES_Writing_ELA[Student Number],YES_Writing_FLA[Student Number]),0),MATCH(VLOOKUP(D$7,'Writing Logic'!$J$7:$K$11,2,FALSE)&amp;" - Per "&amp;VLOOKUP($C$4,'Writing Logic'!$G$8:$H$14,2,FALSE),YES_Writing_ELA[#Headers],0))=0,"",INDEX(_xlfn.VSTACK(YES_Writing_ELA[#Data],YES_Writing_FLA[#Data]),MATCH($A566,_xlfn.VSTACK(YES_Writing_ELA[Student Number],YES_Writing_FLA[Student Number]),0),MATCH(VLOOKUP(D$7,'Writing Logic'!$J$7:$K$11,2,FALSE)&amp;" - Per "&amp;VLOOKUP($C$4,'Writing Logic'!$G$8:$H$14,2,FALSE),YES_Writing_ELA[#Headers],0)))),"")</f>
        <v/>
      </c>
      <c r="E566" s="138" t="str">
        <f>IFERROR(IF(IF(INDEX(_xlfn.VSTACK(YES_Writing_ELA[#Data],YES_Writing_FLA[#Data]),MATCH($A566,_xlfn.VSTACK(YES_Writing_ELA[Student Number],YES_Writing_FLA[Student Number]),0),MATCH(VLOOKUP(E$7,'Writing Logic'!$J$7:$K$11,2,FALSE)&amp;" - Per "&amp;VLOOKUP($C$4,'Writing Logic'!$G$8:$H$14,2,FALSE),YES_Writing_ELA[#Headers],0))=0,"",INDEX(_xlfn.VSTACK(YES_Writing_ELA[#Data],YES_Writing_FLA[#Data]),MATCH($A566,_xlfn.VSTACK(YES_Writing_ELA[Student Number],YES_Writing_FLA[Student Number]),0),MATCH(VLOOKUP(E$7,'Writing Logic'!$J$7:$K$11,2,FALSE)&amp;" - Per "&amp;VLOOKUP($C$4,'Writing Logic'!$G$8:$H$14,2,FALSE),YES_Writing_ELA[#Headers],0)))="INS",'Writing Logic'!$B$7,IF(INDEX(_xlfn.VSTACK(YES_Writing_ELA[#Data],YES_Writing_FLA[#Data]),MATCH($A566,_xlfn.VSTACK(YES_Writing_ELA[Student Number],YES_Writing_FLA[Student Number]),0),MATCH(VLOOKUP(E$7,'Writing Logic'!$J$7:$K$11,2,FALSE)&amp;" - Per "&amp;VLOOKUP($C$4,'Writing Logic'!$G$8:$H$14,2,FALSE),YES_Writing_ELA[#Headers],0))=0,"",INDEX(_xlfn.VSTACK(YES_Writing_ELA[#Data],YES_Writing_FLA[#Data]),MATCH($A566,_xlfn.VSTACK(YES_Writing_ELA[Student Number],YES_Writing_FLA[Student Number]),0),MATCH(VLOOKUP(E$7,'Writing Logic'!$J$7:$K$11,2,FALSE)&amp;" - Per "&amp;VLOOKUP($C$4,'Writing Logic'!$G$8:$H$14,2,FALSE),YES_Writing_ELA[#Headers],0)))),"")</f>
        <v/>
      </c>
      <c r="F566" s="138" t="str">
        <f>IFERROR(IF(IF(INDEX(_xlfn.VSTACK(YES_Writing_ELA[#Data],YES_Writing_FLA[#Data]),MATCH($A566,_xlfn.VSTACK(YES_Writing_ELA[Student Number],YES_Writing_FLA[Student Number]),0),MATCH(VLOOKUP(F$7,'Writing Logic'!$J$7:$K$11,2,FALSE)&amp;" - Per "&amp;VLOOKUP($C$4,'Writing Logic'!$G$8:$H$14,2,FALSE),YES_Writing_ELA[#Headers],0))=0,"",INDEX(_xlfn.VSTACK(YES_Writing_ELA[#Data],YES_Writing_FLA[#Data]),MATCH($A566,_xlfn.VSTACK(YES_Writing_ELA[Student Number],YES_Writing_FLA[Student Number]),0),MATCH(VLOOKUP(F$7,'Writing Logic'!$J$7:$K$11,2,FALSE)&amp;" - Per "&amp;VLOOKUP($C$4,'Writing Logic'!$G$8:$H$14,2,FALSE),YES_Writing_ELA[#Headers],0)))="INS",'Writing Logic'!$B$7,IF(INDEX(_xlfn.VSTACK(YES_Writing_ELA[#Data],YES_Writing_FLA[#Data]),MATCH($A566,_xlfn.VSTACK(YES_Writing_ELA[Student Number],YES_Writing_FLA[Student Number]),0),MATCH(VLOOKUP(F$7,'Writing Logic'!$J$7:$K$11,2,FALSE)&amp;" - Per "&amp;VLOOKUP($C$4,'Writing Logic'!$G$8:$H$14,2,FALSE),YES_Writing_ELA[#Headers],0))=0,"",INDEX(_xlfn.VSTACK(YES_Writing_ELA[#Data],YES_Writing_FLA[#Data]),MATCH($A566,_xlfn.VSTACK(YES_Writing_ELA[Student Number],YES_Writing_FLA[Student Number]),0),MATCH(VLOOKUP(F$7,'Writing Logic'!$J$7:$K$11,2,FALSE)&amp;" - Per "&amp;VLOOKUP($C$4,'Writing Logic'!$G$8:$H$14,2,FALSE),YES_Writing_ELA[#Headers],0)))),"")</f>
        <v/>
      </c>
      <c r="G566" s="138" t="str">
        <f>IFERROR(IF(IF(INDEX(_xlfn.VSTACK(YES_Writing_ELA[#Data],YES_Writing_FLA[#Data]),MATCH($A566,_xlfn.VSTACK(YES_Writing_ELA[Student Number],YES_Writing_FLA[Student Number]),0),MATCH(VLOOKUP(G$7,'Writing Logic'!$J$7:$K$11,2,FALSE)&amp;" - Per "&amp;VLOOKUP($C$4,'Writing Logic'!$G$8:$H$14,2,FALSE),YES_Writing_ELA[#Headers],0))=0,"",INDEX(_xlfn.VSTACK(YES_Writing_ELA[#Data],YES_Writing_FLA[#Data]),MATCH($A566,_xlfn.VSTACK(YES_Writing_ELA[Student Number],YES_Writing_FLA[Student Number]),0),MATCH(VLOOKUP(G$7,'Writing Logic'!$J$7:$K$11,2,FALSE)&amp;" - Per "&amp;VLOOKUP($C$4,'Writing Logic'!$G$8:$H$14,2,FALSE),YES_Writing_ELA[#Headers],0)))="INS",'Writing Logic'!$B$7,IF(INDEX(_xlfn.VSTACK(YES_Writing_ELA[#Data],YES_Writing_FLA[#Data]),MATCH($A566,_xlfn.VSTACK(YES_Writing_ELA[Student Number],YES_Writing_FLA[Student Number]),0),MATCH(VLOOKUP(G$7,'Writing Logic'!$J$7:$K$11,2,FALSE)&amp;" - Per "&amp;VLOOKUP($C$4,'Writing Logic'!$G$8:$H$14,2,FALSE),YES_Writing_ELA[#Headers],0))=0,"",INDEX(_xlfn.VSTACK(YES_Writing_ELA[#Data],YES_Writing_FLA[#Data]),MATCH($A566,_xlfn.VSTACK(YES_Writing_ELA[Student Number],YES_Writing_FLA[Student Number]),0),MATCH(VLOOKUP(G$7,'Writing Logic'!$J$7:$K$11,2,FALSE)&amp;" - Per "&amp;VLOOKUP($C$4,'Writing Logic'!$G$8:$H$14,2,FALSE),YES_Writing_ELA[#Headers],0)))),"")</f>
        <v/>
      </c>
      <c r="H566" s="138" t="str">
        <f>IFERROR(IF(IF(INDEX(_xlfn.VSTACK(YES_Writing_ELA[#Data],YES_Writing_FLA[#Data]),MATCH($A566,_xlfn.VSTACK(YES_Writing_ELA[Student Number],YES_Writing_FLA[Student Number]),0),MATCH(VLOOKUP(H$7,'Writing Logic'!$J$7:$K$11,2,FALSE)&amp;" - Per "&amp;VLOOKUP($C$4,'Writing Logic'!$G$8:$H$14,2,FALSE),YES_Writing_ELA[#Headers],0))=0,"",INDEX(_xlfn.VSTACK(YES_Writing_ELA[#Data],YES_Writing_FLA[#Data]),MATCH($A566,_xlfn.VSTACK(YES_Writing_ELA[Student Number],YES_Writing_FLA[Student Number]),0),MATCH(VLOOKUP(H$7,'Writing Logic'!$J$7:$K$11,2,FALSE)&amp;" - Per "&amp;VLOOKUP($C$4,'Writing Logic'!$G$8:$H$14,2,FALSE),YES_Writing_ELA[#Headers],0)))="INS",'Writing Logic'!$B$7,IF(INDEX(_xlfn.VSTACK(YES_Writing_ELA[#Data],YES_Writing_FLA[#Data]),MATCH($A566,_xlfn.VSTACK(YES_Writing_ELA[Student Number],YES_Writing_FLA[Student Number]),0),MATCH(VLOOKUP(H$7,'Writing Logic'!$J$7:$K$11,2,FALSE)&amp;" - Per "&amp;VLOOKUP($C$4,'Writing Logic'!$G$8:$H$14,2,FALSE),YES_Writing_ELA[#Headers],0))=0,"",INDEX(_xlfn.VSTACK(YES_Writing_ELA[#Data],YES_Writing_FLA[#Data]),MATCH($A566,_xlfn.VSTACK(YES_Writing_ELA[Student Number],YES_Writing_FLA[Student Number]),0),MATCH(VLOOKUP(H$7,'Writing Logic'!$J$7:$K$11,2,FALSE)&amp;" - Per "&amp;VLOOKUP($C$4,'Writing Logic'!$G$8:$H$14,2,FALSE),YES_Writing_ELA[#Headers],0)))),"")</f>
        <v/>
      </c>
    </row>
    <row r="567" spans="1:8" x14ac:dyDescent="0.25">
      <c r="A567" s="137"/>
      <c r="B567" s="137" t="str">
        <f>IFERROR(INDEX(_xlfn.VSTACK(YES_Writing_ELA[#Data], YES_Writing_FLA[#Data]),MATCH($A567,_xlfn.VSTACK(YES_Writing_ELA[Student Number], YES_Writing_FLA[Student Number]),0),MATCH(B$7,YES_Writing_ELA[#Headers],0)),"")</f>
        <v/>
      </c>
      <c r="C567" s="137" t="str">
        <f>IFERROR(INDEX(_xlfn.VSTACK(YES_Writing_ELA[#Data], YES_Writing_FLA[#Data]),MATCH($A567,_xlfn.VSTACK(YES_Writing_ELA[Student Number], YES_Writing_FLA[Student Number]),0),MATCH(C$7,YES_Writing_ELA[#Headers],0)),"")</f>
        <v/>
      </c>
      <c r="D567" s="138" t="str">
        <f>IFERROR(IF(IF(INDEX(_xlfn.VSTACK(YES_Writing_ELA[#Data],YES_Writing_FLA[#Data]),MATCH($A567,_xlfn.VSTACK(YES_Writing_ELA[Student Number],YES_Writing_FLA[Student Number]),0),MATCH(VLOOKUP(D$7,'Writing Logic'!$J$7:$K$11,2,FALSE)&amp;" - Per "&amp;VLOOKUP($C$4,'Writing Logic'!$G$8:$H$14,2,FALSE),YES_Writing_ELA[#Headers],0))=0,"",INDEX(_xlfn.VSTACK(YES_Writing_ELA[#Data],YES_Writing_FLA[#Data]),MATCH($A567,_xlfn.VSTACK(YES_Writing_ELA[Student Number],YES_Writing_FLA[Student Number]),0),MATCH(VLOOKUP(D$7,'Writing Logic'!$J$7:$K$11,2,FALSE)&amp;" - Per "&amp;VLOOKUP($C$4,'Writing Logic'!$G$8:$H$14,2,FALSE),YES_Writing_ELA[#Headers],0)))="INS",'Writing Logic'!$B$7,IF(INDEX(_xlfn.VSTACK(YES_Writing_ELA[#Data],YES_Writing_FLA[#Data]),MATCH($A567,_xlfn.VSTACK(YES_Writing_ELA[Student Number],YES_Writing_FLA[Student Number]),0),MATCH(VLOOKUP(D$7,'Writing Logic'!$J$7:$K$11,2,FALSE)&amp;" - Per "&amp;VLOOKUP($C$4,'Writing Logic'!$G$8:$H$14,2,FALSE),YES_Writing_ELA[#Headers],0))=0,"",INDEX(_xlfn.VSTACK(YES_Writing_ELA[#Data],YES_Writing_FLA[#Data]),MATCH($A567,_xlfn.VSTACK(YES_Writing_ELA[Student Number],YES_Writing_FLA[Student Number]),0),MATCH(VLOOKUP(D$7,'Writing Logic'!$J$7:$K$11,2,FALSE)&amp;" - Per "&amp;VLOOKUP($C$4,'Writing Logic'!$G$8:$H$14,2,FALSE),YES_Writing_ELA[#Headers],0)))),"")</f>
        <v/>
      </c>
      <c r="E567" s="138" t="str">
        <f>IFERROR(IF(IF(INDEX(_xlfn.VSTACK(YES_Writing_ELA[#Data],YES_Writing_FLA[#Data]),MATCH($A567,_xlfn.VSTACK(YES_Writing_ELA[Student Number],YES_Writing_FLA[Student Number]),0),MATCH(VLOOKUP(E$7,'Writing Logic'!$J$7:$K$11,2,FALSE)&amp;" - Per "&amp;VLOOKUP($C$4,'Writing Logic'!$G$8:$H$14,2,FALSE),YES_Writing_ELA[#Headers],0))=0,"",INDEX(_xlfn.VSTACK(YES_Writing_ELA[#Data],YES_Writing_FLA[#Data]),MATCH($A567,_xlfn.VSTACK(YES_Writing_ELA[Student Number],YES_Writing_FLA[Student Number]),0),MATCH(VLOOKUP(E$7,'Writing Logic'!$J$7:$K$11,2,FALSE)&amp;" - Per "&amp;VLOOKUP($C$4,'Writing Logic'!$G$8:$H$14,2,FALSE),YES_Writing_ELA[#Headers],0)))="INS",'Writing Logic'!$B$7,IF(INDEX(_xlfn.VSTACK(YES_Writing_ELA[#Data],YES_Writing_FLA[#Data]),MATCH($A567,_xlfn.VSTACK(YES_Writing_ELA[Student Number],YES_Writing_FLA[Student Number]),0),MATCH(VLOOKUP(E$7,'Writing Logic'!$J$7:$K$11,2,FALSE)&amp;" - Per "&amp;VLOOKUP($C$4,'Writing Logic'!$G$8:$H$14,2,FALSE),YES_Writing_ELA[#Headers],0))=0,"",INDEX(_xlfn.VSTACK(YES_Writing_ELA[#Data],YES_Writing_FLA[#Data]),MATCH($A567,_xlfn.VSTACK(YES_Writing_ELA[Student Number],YES_Writing_FLA[Student Number]),0),MATCH(VLOOKUP(E$7,'Writing Logic'!$J$7:$K$11,2,FALSE)&amp;" - Per "&amp;VLOOKUP($C$4,'Writing Logic'!$G$8:$H$14,2,FALSE),YES_Writing_ELA[#Headers],0)))),"")</f>
        <v/>
      </c>
      <c r="F567" s="138" t="str">
        <f>IFERROR(IF(IF(INDEX(_xlfn.VSTACK(YES_Writing_ELA[#Data],YES_Writing_FLA[#Data]),MATCH($A567,_xlfn.VSTACK(YES_Writing_ELA[Student Number],YES_Writing_FLA[Student Number]),0),MATCH(VLOOKUP(F$7,'Writing Logic'!$J$7:$K$11,2,FALSE)&amp;" - Per "&amp;VLOOKUP($C$4,'Writing Logic'!$G$8:$H$14,2,FALSE),YES_Writing_ELA[#Headers],0))=0,"",INDEX(_xlfn.VSTACK(YES_Writing_ELA[#Data],YES_Writing_FLA[#Data]),MATCH($A567,_xlfn.VSTACK(YES_Writing_ELA[Student Number],YES_Writing_FLA[Student Number]),0),MATCH(VLOOKUP(F$7,'Writing Logic'!$J$7:$K$11,2,FALSE)&amp;" - Per "&amp;VLOOKUP($C$4,'Writing Logic'!$G$8:$H$14,2,FALSE),YES_Writing_ELA[#Headers],0)))="INS",'Writing Logic'!$B$7,IF(INDEX(_xlfn.VSTACK(YES_Writing_ELA[#Data],YES_Writing_FLA[#Data]),MATCH($A567,_xlfn.VSTACK(YES_Writing_ELA[Student Number],YES_Writing_FLA[Student Number]),0),MATCH(VLOOKUP(F$7,'Writing Logic'!$J$7:$K$11,2,FALSE)&amp;" - Per "&amp;VLOOKUP($C$4,'Writing Logic'!$G$8:$H$14,2,FALSE),YES_Writing_ELA[#Headers],0))=0,"",INDEX(_xlfn.VSTACK(YES_Writing_ELA[#Data],YES_Writing_FLA[#Data]),MATCH($A567,_xlfn.VSTACK(YES_Writing_ELA[Student Number],YES_Writing_FLA[Student Number]),0),MATCH(VLOOKUP(F$7,'Writing Logic'!$J$7:$K$11,2,FALSE)&amp;" - Per "&amp;VLOOKUP($C$4,'Writing Logic'!$G$8:$H$14,2,FALSE),YES_Writing_ELA[#Headers],0)))),"")</f>
        <v/>
      </c>
      <c r="G567" s="138" t="str">
        <f>IFERROR(IF(IF(INDEX(_xlfn.VSTACK(YES_Writing_ELA[#Data],YES_Writing_FLA[#Data]),MATCH($A567,_xlfn.VSTACK(YES_Writing_ELA[Student Number],YES_Writing_FLA[Student Number]),0),MATCH(VLOOKUP(G$7,'Writing Logic'!$J$7:$K$11,2,FALSE)&amp;" - Per "&amp;VLOOKUP($C$4,'Writing Logic'!$G$8:$H$14,2,FALSE),YES_Writing_ELA[#Headers],0))=0,"",INDEX(_xlfn.VSTACK(YES_Writing_ELA[#Data],YES_Writing_FLA[#Data]),MATCH($A567,_xlfn.VSTACK(YES_Writing_ELA[Student Number],YES_Writing_FLA[Student Number]),0),MATCH(VLOOKUP(G$7,'Writing Logic'!$J$7:$K$11,2,FALSE)&amp;" - Per "&amp;VLOOKUP($C$4,'Writing Logic'!$G$8:$H$14,2,FALSE),YES_Writing_ELA[#Headers],0)))="INS",'Writing Logic'!$B$7,IF(INDEX(_xlfn.VSTACK(YES_Writing_ELA[#Data],YES_Writing_FLA[#Data]),MATCH($A567,_xlfn.VSTACK(YES_Writing_ELA[Student Number],YES_Writing_FLA[Student Number]),0),MATCH(VLOOKUP(G$7,'Writing Logic'!$J$7:$K$11,2,FALSE)&amp;" - Per "&amp;VLOOKUP($C$4,'Writing Logic'!$G$8:$H$14,2,FALSE),YES_Writing_ELA[#Headers],0))=0,"",INDEX(_xlfn.VSTACK(YES_Writing_ELA[#Data],YES_Writing_FLA[#Data]),MATCH($A567,_xlfn.VSTACK(YES_Writing_ELA[Student Number],YES_Writing_FLA[Student Number]),0),MATCH(VLOOKUP(G$7,'Writing Logic'!$J$7:$K$11,2,FALSE)&amp;" - Per "&amp;VLOOKUP($C$4,'Writing Logic'!$G$8:$H$14,2,FALSE),YES_Writing_ELA[#Headers],0)))),"")</f>
        <v/>
      </c>
      <c r="H567" s="138" t="str">
        <f>IFERROR(IF(IF(INDEX(_xlfn.VSTACK(YES_Writing_ELA[#Data],YES_Writing_FLA[#Data]),MATCH($A567,_xlfn.VSTACK(YES_Writing_ELA[Student Number],YES_Writing_FLA[Student Number]),0),MATCH(VLOOKUP(H$7,'Writing Logic'!$J$7:$K$11,2,FALSE)&amp;" - Per "&amp;VLOOKUP($C$4,'Writing Logic'!$G$8:$H$14,2,FALSE),YES_Writing_ELA[#Headers],0))=0,"",INDEX(_xlfn.VSTACK(YES_Writing_ELA[#Data],YES_Writing_FLA[#Data]),MATCH($A567,_xlfn.VSTACK(YES_Writing_ELA[Student Number],YES_Writing_FLA[Student Number]),0),MATCH(VLOOKUP(H$7,'Writing Logic'!$J$7:$K$11,2,FALSE)&amp;" - Per "&amp;VLOOKUP($C$4,'Writing Logic'!$G$8:$H$14,2,FALSE),YES_Writing_ELA[#Headers],0)))="INS",'Writing Logic'!$B$7,IF(INDEX(_xlfn.VSTACK(YES_Writing_ELA[#Data],YES_Writing_FLA[#Data]),MATCH($A567,_xlfn.VSTACK(YES_Writing_ELA[Student Number],YES_Writing_FLA[Student Number]),0),MATCH(VLOOKUP(H$7,'Writing Logic'!$J$7:$K$11,2,FALSE)&amp;" - Per "&amp;VLOOKUP($C$4,'Writing Logic'!$G$8:$H$14,2,FALSE),YES_Writing_ELA[#Headers],0))=0,"",INDEX(_xlfn.VSTACK(YES_Writing_ELA[#Data],YES_Writing_FLA[#Data]),MATCH($A567,_xlfn.VSTACK(YES_Writing_ELA[Student Number],YES_Writing_FLA[Student Number]),0),MATCH(VLOOKUP(H$7,'Writing Logic'!$J$7:$K$11,2,FALSE)&amp;" - Per "&amp;VLOOKUP($C$4,'Writing Logic'!$G$8:$H$14,2,FALSE),YES_Writing_ELA[#Headers],0)))),"")</f>
        <v/>
      </c>
    </row>
    <row r="568" spans="1:8" x14ac:dyDescent="0.25">
      <c r="A568" s="137"/>
      <c r="B568" s="137" t="str">
        <f>IFERROR(INDEX(_xlfn.VSTACK(YES_Writing_ELA[#Data], YES_Writing_FLA[#Data]),MATCH($A568,_xlfn.VSTACK(YES_Writing_ELA[Student Number], YES_Writing_FLA[Student Number]),0),MATCH(B$7,YES_Writing_ELA[#Headers],0)),"")</f>
        <v/>
      </c>
      <c r="C568" s="137" t="str">
        <f>IFERROR(INDEX(_xlfn.VSTACK(YES_Writing_ELA[#Data], YES_Writing_FLA[#Data]),MATCH($A568,_xlfn.VSTACK(YES_Writing_ELA[Student Number], YES_Writing_FLA[Student Number]),0),MATCH(C$7,YES_Writing_ELA[#Headers],0)),"")</f>
        <v/>
      </c>
      <c r="D568" s="138" t="str">
        <f>IFERROR(IF(IF(INDEX(_xlfn.VSTACK(YES_Writing_ELA[#Data],YES_Writing_FLA[#Data]),MATCH($A568,_xlfn.VSTACK(YES_Writing_ELA[Student Number],YES_Writing_FLA[Student Number]),0),MATCH(VLOOKUP(D$7,'Writing Logic'!$J$7:$K$11,2,FALSE)&amp;" - Per "&amp;VLOOKUP($C$4,'Writing Logic'!$G$8:$H$14,2,FALSE),YES_Writing_ELA[#Headers],0))=0,"",INDEX(_xlfn.VSTACK(YES_Writing_ELA[#Data],YES_Writing_FLA[#Data]),MATCH($A568,_xlfn.VSTACK(YES_Writing_ELA[Student Number],YES_Writing_FLA[Student Number]),0),MATCH(VLOOKUP(D$7,'Writing Logic'!$J$7:$K$11,2,FALSE)&amp;" - Per "&amp;VLOOKUP($C$4,'Writing Logic'!$G$8:$H$14,2,FALSE),YES_Writing_ELA[#Headers],0)))="INS",'Writing Logic'!$B$7,IF(INDEX(_xlfn.VSTACK(YES_Writing_ELA[#Data],YES_Writing_FLA[#Data]),MATCH($A568,_xlfn.VSTACK(YES_Writing_ELA[Student Number],YES_Writing_FLA[Student Number]),0),MATCH(VLOOKUP(D$7,'Writing Logic'!$J$7:$K$11,2,FALSE)&amp;" - Per "&amp;VLOOKUP($C$4,'Writing Logic'!$G$8:$H$14,2,FALSE),YES_Writing_ELA[#Headers],0))=0,"",INDEX(_xlfn.VSTACK(YES_Writing_ELA[#Data],YES_Writing_FLA[#Data]),MATCH($A568,_xlfn.VSTACK(YES_Writing_ELA[Student Number],YES_Writing_FLA[Student Number]),0),MATCH(VLOOKUP(D$7,'Writing Logic'!$J$7:$K$11,2,FALSE)&amp;" - Per "&amp;VLOOKUP($C$4,'Writing Logic'!$G$8:$H$14,2,FALSE),YES_Writing_ELA[#Headers],0)))),"")</f>
        <v/>
      </c>
      <c r="E568" s="138" t="str">
        <f>IFERROR(IF(IF(INDEX(_xlfn.VSTACK(YES_Writing_ELA[#Data],YES_Writing_FLA[#Data]),MATCH($A568,_xlfn.VSTACK(YES_Writing_ELA[Student Number],YES_Writing_FLA[Student Number]),0),MATCH(VLOOKUP(E$7,'Writing Logic'!$J$7:$K$11,2,FALSE)&amp;" - Per "&amp;VLOOKUP($C$4,'Writing Logic'!$G$8:$H$14,2,FALSE),YES_Writing_ELA[#Headers],0))=0,"",INDEX(_xlfn.VSTACK(YES_Writing_ELA[#Data],YES_Writing_FLA[#Data]),MATCH($A568,_xlfn.VSTACK(YES_Writing_ELA[Student Number],YES_Writing_FLA[Student Number]),0),MATCH(VLOOKUP(E$7,'Writing Logic'!$J$7:$K$11,2,FALSE)&amp;" - Per "&amp;VLOOKUP($C$4,'Writing Logic'!$G$8:$H$14,2,FALSE),YES_Writing_ELA[#Headers],0)))="INS",'Writing Logic'!$B$7,IF(INDEX(_xlfn.VSTACK(YES_Writing_ELA[#Data],YES_Writing_FLA[#Data]),MATCH($A568,_xlfn.VSTACK(YES_Writing_ELA[Student Number],YES_Writing_FLA[Student Number]),0),MATCH(VLOOKUP(E$7,'Writing Logic'!$J$7:$K$11,2,FALSE)&amp;" - Per "&amp;VLOOKUP($C$4,'Writing Logic'!$G$8:$H$14,2,FALSE),YES_Writing_ELA[#Headers],0))=0,"",INDEX(_xlfn.VSTACK(YES_Writing_ELA[#Data],YES_Writing_FLA[#Data]),MATCH($A568,_xlfn.VSTACK(YES_Writing_ELA[Student Number],YES_Writing_FLA[Student Number]),0),MATCH(VLOOKUP(E$7,'Writing Logic'!$J$7:$K$11,2,FALSE)&amp;" - Per "&amp;VLOOKUP($C$4,'Writing Logic'!$G$8:$H$14,2,FALSE),YES_Writing_ELA[#Headers],0)))),"")</f>
        <v/>
      </c>
      <c r="F568" s="138" t="str">
        <f>IFERROR(IF(IF(INDEX(_xlfn.VSTACK(YES_Writing_ELA[#Data],YES_Writing_FLA[#Data]),MATCH($A568,_xlfn.VSTACK(YES_Writing_ELA[Student Number],YES_Writing_FLA[Student Number]),0),MATCH(VLOOKUP(F$7,'Writing Logic'!$J$7:$K$11,2,FALSE)&amp;" - Per "&amp;VLOOKUP($C$4,'Writing Logic'!$G$8:$H$14,2,FALSE),YES_Writing_ELA[#Headers],0))=0,"",INDEX(_xlfn.VSTACK(YES_Writing_ELA[#Data],YES_Writing_FLA[#Data]),MATCH($A568,_xlfn.VSTACK(YES_Writing_ELA[Student Number],YES_Writing_FLA[Student Number]),0),MATCH(VLOOKUP(F$7,'Writing Logic'!$J$7:$K$11,2,FALSE)&amp;" - Per "&amp;VLOOKUP($C$4,'Writing Logic'!$G$8:$H$14,2,FALSE),YES_Writing_ELA[#Headers],0)))="INS",'Writing Logic'!$B$7,IF(INDEX(_xlfn.VSTACK(YES_Writing_ELA[#Data],YES_Writing_FLA[#Data]),MATCH($A568,_xlfn.VSTACK(YES_Writing_ELA[Student Number],YES_Writing_FLA[Student Number]),0),MATCH(VLOOKUP(F$7,'Writing Logic'!$J$7:$K$11,2,FALSE)&amp;" - Per "&amp;VLOOKUP($C$4,'Writing Logic'!$G$8:$H$14,2,FALSE),YES_Writing_ELA[#Headers],0))=0,"",INDEX(_xlfn.VSTACK(YES_Writing_ELA[#Data],YES_Writing_FLA[#Data]),MATCH($A568,_xlfn.VSTACK(YES_Writing_ELA[Student Number],YES_Writing_FLA[Student Number]),0),MATCH(VLOOKUP(F$7,'Writing Logic'!$J$7:$K$11,2,FALSE)&amp;" - Per "&amp;VLOOKUP($C$4,'Writing Logic'!$G$8:$H$14,2,FALSE),YES_Writing_ELA[#Headers],0)))),"")</f>
        <v/>
      </c>
      <c r="G568" s="138" t="str">
        <f>IFERROR(IF(IF(INDEX(_xlfn.VSTACK(YES_Writing_ELA[#Data],YES_Writing_FLA[#Data]),MATCH($A568,_xlfn.VSTACK(YES_Writing_ELA[Student Number],YES_Writing_FLA[Student Number]),0),MATCH(VLOOKUP(G$7,'Writing Logic'!$J$7:$K$11,2,FALSE)&amp;" - Per "&amp;VLOOKUP($C$4,'Writing Logic'!$G$8:$H$14,2,FALSE),YES_Writing_ELA[#Headers],0))=0,"",INDEX(_xlfn.VSTACK(YES_Writing_ELA[#Data],YES_Writing_FLA[#Data]),MATCH($A568,_xlfn.VSTACK(YES_Writing_ELA[Student Number],YES_Writing_FLA[Student Number]),0),MATCH(VLOOKUP(G$7,'Writing Logic'!$J$7:$K$11,2,FALSE)&amp;" - Per "&amp;VLOOKUP($C$4,'Writing Logic'!$G$8:$H$14,2,FALSE),YES_Writing_ELA[#Headers],0)))="INS",'Writing Logic'!$B$7,IF(INDEX(_xlfn.VSTACK(YES_Writing_ELA[#Data],YES_Writing_FLA[#Data]),MATCH($A568,_xlfn.VSTACK(YES_Writing_ELA[Student Number],YES_Writing_FLA[Student Number]),0),MATCH(VLOOKUP(G$7,'Writing Logic'!$J$7:$K$11,2,FALSE)&amp;" - Per "&amp;VLOOKUP($C$4,'Writing Logic'!$G$8:$H$14,2,FALSE),YES_Writing_ELA[#Headers],0))=0,"",INDEX(_xlfn.VSTACK(YES_Writing_ELA[#Data],YES_Writing_FLA[#Data]),MATCH($A568,_xlfn.VSTACK(YES_Writing_ELA[Student Number],YES_Writing_FLA[Student Number]),0),MATCH(VLOOKUP(G$7,'Writing Logic'!$J$7:$K$11,2,FALSE)&amp;" - Per "&amp;VLOOKUP($C$4,'Writing Logic'!$G$8:$H$14,2,FALSE),YES_Writing_ELA[#Headers],0)))),"")</f>
        <v/>
      </c>
      <c r="H568" s="138" t="str">
        <f>IFERROR(IF(IF(INDEX(_xlfn.VSTACK(YES_Writing_ELA[#Data],YES_Writing_FLA[#Data]),MATCH($A568,_xlfn.VSTACK(YES_Writing_ELA[Student Number],YES_Writing_FLA[Student Number]),0),MATCH(VLOOKUP(H$7,'Writing Logic'!$J$7:$K$11,2,FALSE)&amp;" - Per "&amp;VLOOKUP($C$4,'Writing Logic'!$G$8:$H$14,2,FALSE),YES_Writing_ELA[#Headers],0))=0,"",INDEX(_xlfn.VSTACK(YES_Writing_ELA[#Data],YES_Writing_FLA[#Data]),MATCH($A568,_xlfn.VSTACK(YES_Writing_ELA[Student Number],YES_Writing_FLA[Student Number]),0),MATCH(VLOOKUP(H$7,'Writing Logic'!$J$7:$K$11,2,FALSE)&amp;" - Per "&amp;VLOOKUP($C$4,'Writing Logic'!$G$8:$H$14,2,FALSE),YES_Writing_ELA[#Headers],0)))="INS",'Writing Logic'!$B$7,IF(INDEX(_xlfn.VSTACK(YES_Writing_ELA[#Data],YES_Writing_FLA[#Data]),MATCH($A568,_xlfn.VSTACK(YES_Writing_ELA[Student Number],YES_Writing_FLA[Student Number]),0),MATCH(VLOOKUP(H$7,'Writing Logic'!$J$7:$K$11,2,FALSE)&amp;" - Per "&amp;VLOOKUP($C$4,'Writing Logic'!$G$8:$H$14,2,FALSE),YES_Writing_ELA[#Headers],0))=0,"",INDEX(_xlfn.VSTACK(YES_Writing_ELA[#Data],YES_Writing_FLA[#Data]),MATCH($A568,_xlfn.VSTACK(YES_Writing_ELA[Student Number],YES_Writing_FLA[Student Number]),0),MATCH(VLOOKUP(H$7,'Writing Logic'!$J$7:$K$11,2,FALSE)&amp;" - Per "&amp;VLOOKUP($C$4,'Writing Logic'!$G$8:$H$14,2,FALSE),YES_Writing_ELA[#Headers],0)))),"")</f>
        <v/>
      </c>
    </row>
    <row r="569" spans="1:8" x14ac:dyDescent="0.25">
      <c r="A569" s="137"/>
      <c r="B569" s="137" t="str">
        <f>IFERROR(INDEX(_xlfn.VSTACK(YES_Writing_ELA[#Data], YES_Writing_FLA[#Data]),MATCH($A569,_xlfn.VSTACK(YES_Writing_ELA[Student Number], YES_Writing_FLA[Student Number]),0),MATCH(B$7,YES_Writing_ELA[#Headers],0)),"")</f>
        <v/>
      </c>
      <c r="C569" s="137" t="str">
        <f>IFERROR(INDEX(_xlfn.VSTACK(YES_Writing_ELA[#Data], YES_Writing_FLA[#Data]),MATCH($A569,_xlfn.VSTACK(YES_Writing_ELA[Student Number], YES_Writing_FLA[Student Number]),0),MATCH(C$7,YES_Writing_ELA[#Headers],0)),"")</f>
        <v/>
      </c>
      <c r="D569" s="138" t="str">
        <f>IFERROR(IF(IF(INDEX(_xlfn.VSTACK(YES_Writing_ELA[#Data],YES_Writing_FLA[#Data]),MATCH($A569,_xlfn.VSTACK(YES_Writing_ELA[Student Number],YES_Writing_FLA[Student Number]),0),MATCH(VLOOKUP(D$7,'Writing Logic'!$J$7:$K$11,2,FALSE)&amp;" - Per "&amp;VLOOKUP($C$4,'Writing Logic'!$G$8:$H$14,2,FALSE),YES_Writing_ELA[#Headers],0))=0,"",INDEX(_xlfn.VSTACK(YES_Writing_ELA[#Data],YES_Writing_FLA[#Data]),MATCH($A569,_xlfn.VSTACK(YES_Writing_ELA[Student Number],YES_Writing_FLA[Student Number]),0),MATCH(VLOOKUP(D$7,'Writing Logic'!$J$7:$K$11,2,FALSE)&amp;" - Per "&amp;VLOOKUP($C$4,'Writing Logic'!$G$8:$H$14,2,FALSE),YES_Writing_ELA[#Headers],0)))="INS",'Writing Logic'!$B$7,IF(INDEX(_xlfn.VSTACK(YES_Writing_ELA[#Data],YES_Writing_FLA[#Data]),MATCH($A569,_xlfn.VSTACK(YES_Writing_ELA[Student Number],YES_Writing_FLA[Student Number]),0),MATCH(VLOOKUP(D$7,'Writing Logic'!$J$7:$K$11,2,FALSE)&amp;" - Per "&amp;VLOOKUP($C$4,'Writing Logic'!$G$8:$H$14,2,FALSE),YES_Writing_ELA[#Headers],0))=0,"",INDEX(_xlfn.VSTACK(YES_Writing_ELA[#Data],YES_Writing_FLA[#Data]),MATCH($A569,_xlfn.VSTACK(YES_Writing_ELA[Student Number],YES_Writing_FLA[Student Number]),0),MATCH(VLOOKUP(D$7,'Writing Logic'!$J$7:$K$11,2,FALSE)&amp;" - Per "&amp;VLOOKUP($C$4,'Writing Logic'!$G$8:$H$14,2,FALSE),YES_Writing_ELA[#Headers],0)))),"")</f>
        <v/>
      </c>
      <c r="E569" s="138" t="str">
        <f>IFERROR(IF(IF(INDEX(_xlfn.VSTACK(YES_Writing_ELA[#Data],YES_Writing_FLA[#Data]),MATCH($A569,_xlfn.VSTACK(YES_Writing_ELA[Student Number],YES_Writing_FLA[Student Number]),0),MATCH(VLOOKUP(E$7,'Writing Logic'!$J$7:$K$11,2,FALSE)&amp;" - Per "&amp;VLOOKUP($C$4,'Writing Logic'!$G$8:$H$14,2,FALSE),YES_Writing_ELA[#Headers],0))=0,"",INDEX(_xlfn.VSTACK(YES_Writing_ELA[#Data],YES_Writing_FLA[#Data]),MATCH($A569,_xlfn.VSTACK(YES_Writing_ELA[Student Number],YES_Writing_FLA[Student Number]),0),MATCH(VLOOKUP(E$7,'Writing Logic'!$J$7:$K$11,2,FALSE)&amp;" - Per "&amp;VLOOKUP($C$4,'Writing Logic'!$G$8:$H$14,2,FALSE),YES_Writing_ELA[#Headers],0)))="INS",'Writing Logic'!$B$7,IF(INDEX(_xlfn.VSTACK(YES_Writing_ELA[#Data],YES_Writing_FLA[#Data]),MATCH($A569,_xlfn.VSTACK(YES_Writing_ELA[Student Number],YES_Writing_FLA[Student Number]),0),MATCH(VLOOKUP(E$7,'Writing Logic'!$J$7:$K$11,2,FALSE)&amp;" - Per "&amp;VLOOKUP($C$4,'Writing Logic'!$G$8:$H$14,2,FALSE),YES_Writing_ELA[#Headers],0))=0,"",INDEX(_xlfn.VSTACK(YES_Writing_ELA[#Data],YES_Writing_FLA[#Data]),MATCH($A569,_xlfn.VSTACK(YES_Writing_ELA[Student Number],YES_Writing_FLA[Student Number]),0),MATCH(VLOOKUP(E$7,'Writing Logic'!$J$7:$K$11,2,FALSE)&amp;" - Per "&amp;VLOOKUP($C$4,'Writing Logic'!$G$8:$H$14,2,FALSE),YES_Writing_ELA[#Headers],0)))),"")</f>
        <v/>
      </c>
      <c r="F569" s="138" t="str">
        <f>IFERROR(IF(IF(INDEX(_xlfn.VSTACK(YES_Writing_ELA[#Data],YES_Writing_FLA[#Data]),MATCH($A569,_xlfn.VSTACK(YES_Writing_ELA[Student Number],YES_Writing_FLA[Student Number]),0),MATCH(VLOOKUP(F$7,'Writing Logic'!$J$7:$K$11,2,FALSE)&amp;" - Per "&amp;VLOOKUP($C$4,'Writing Logic'!$G$8:$H$14,2,FALSE),YES_Writing_ELA[#Headers],0))=0,"",INDEX(_xlfn.VSTACK(YES_Writing_ELA[#Data],YES_Writing_FLA[#Data]),MATCH($A569,_xlfn.VSTACK(YES_Writing_ELA[Student Number],YES_Writing_FLA[Student Number]),0),MATCH(VLOOKUP(F$7,'Writing Logic'!$J$7:$K$11,2,FALSE)&amp;" - Per "&amp;VLOOKUP($C$4,'Writing Logic'!$G$8:$H$14,2,FALSE),YES_Writing_ELA[#Headers],0)))="INS",'Writing Logic'!$B$7,IF(INDEX(_xlfn.VSTACK(YES_Writing_ELA[#Data],YES_Writing_FLA[#Data]),MATCH($A569,_xlfn.VSTACK(YES_Writing_ELA[Student Number],YES_Writing_FLA[Student Number]),0),MATCH(VLOOKUP(F$7,'Writing Logic'!$J$7:$K$11,2,FALSE)&amp;" - Per "&amp;VLOOKUP($C$4,'Writing Logic'!$G$8:$H$14,2,FALSE),YES_Writing_ELA[#Headers],0))=0,"",INDEX(_xlfn.VSTACK(YES_Writing_ELA[#Data],YES_Writing_FLA[#Data]),MATCH($A569,_xlfn.VSTACK(YES_Writing_ELA[Student Number],YES_Writing_FLA[Student Number]),0),MATCH(VLOOKUP(F$7,'Writing Logic'!$J$7:$K$11,2,FALSE)&amp;" - Per "&amp;VLOOKUP($C$4,'Writing Logic'!$G$8:$H$14,2,FALSE),YES_Writing_ELA[#Headers],0)))),"")</f>
        <v/>
      </c>
      <c r="G569" s="138" t="str">
        <f>IFERROR(IF(IF(INDEX(_xlfn.VSTACK(YES_Writing_ELA[#Data],YES_Writing_FLA[#Data]),MATCH($A569,_xlfn.VSTACK(YES_Writing_ELA[Student Number],YES_Writing_FLA[Student Number]),0),MATCH(VLOOKUP(G$7,'Writing Logic'!$J$7:$K$11,2,FALSE)&amp;" - Per "&amp;VLOOKUP($C$4,'Writing Logic'!$G$8:$H$14,2,FALSE),YES_Writing_ELA[#Headers],0))=0,"",INDEX(_xlfn.VSTACK(YES_Writing_ELA[#Data],YES_Writing_FLA[#Data]),MATCH($A569,_xlfn.VSTACK(YES_Writing_ELA[Student Number],YES_Writing_FLA[Student Number]),0),MATCH(VLOOKUP(G$7,'Writing Logic'!$J$7:$K$11,2,FALSE)&amp;" - Per "&amp;VLOOKUP($C$4,'Writing Logic'!$G$8:$H$14,2,FALSE),YES_Writing_ELA[#Headers],0)))="INS",'Writing Logic'!$B$7,IF(INDEX(_xlfn.VSTACK(YES_Writing_ELA[#Data],YES_Writing_FLA[#Data]),MATCH($A569,_xlfn.VSTACK(YES_Writing_ELA[Student Number],YES_Writing_FLA[Student Number]),0),MATCH(VLOOKUP(G$7,'Writing Logic'!$J$7:$K$11,2,FALSE)&amp;" - Per "&amp;VLOOKUP($C$4,'Writing Logic'!$G$8:$H$14,2,FALSE),YES_Writing_ELA[#Headers],0))=0,"",INDEX(_xlfn.VSTACK(YES_Writing_ELA[#Data],YES_Writing_FLA[#Data]),MATCH($A569,_xlfn.VSTACK(YES_Writing_ELA[Student Number],YES_Writing_FLA[Student Number]),0),MATCH(VLOOKUP(G$7,'Writing Logic'!$J$7:$K$11,2,FALSE)&amp;" - Per "&amp;VLOOKUP($C$4,'Writing Logic'!$G$8:$H$14,2,FALSE),YES_Writing_ELA[#Headers],0)))),"")</f>
        <v/>
      </c>
      <c r="H569" s="138" t="str">
        <f>IFERROR(IF(IF(INDEX(_xlfn.VSTACK(YES_Writing_ELA[#Data],YES_Writing_FLA[#Data]),MATCH($A569,_xlfn.VSTACK(YES_Writing_ELA[Student Number],YES_Writing_FLA[Student Number]),0),MATCH(VLOOKUP(H$7,'Writing Logic'!$J$7:$K$11,2,FALSE)&amp;" - Per "&amp;VLOOKUP($C$4,'Writing Logic'!$G$8:$H$14,2,FALSE),YES_Writing_ELA[#Headers],0))=0,"",INDEX(_xlfn.VSTACK(YES_Writing_ELA[#Data],YES_Writing_FLA[#Data]),MATCH($A569,_xlfn.VSTACK(YES_Writing_ELA[Student Number],YES_Writing_FLA[Student Number]),0),MATCH(VLOOKUP(H$7,'Writing Logic'!$J$7:$K$11,2,FALSE)&amp;" - Per "&amp;VLOOKUP($C$4,'Writing Logic'!$G$8:$H$14,2,FALSE),YES_Writing_ELA[#Headers],0)))="INS",'Writing Logic'!$B$7,IF(INDEX(_xlfn.VSTACK(YES_Writing_ELA[#Data],YES_Writing_FLA[#Data]),MATCH($A569,_xlfn.VSTACK(YES_Writing_ELA[Student Number],YES_Writing_FLA[Student Number]),0),MATCH(VLOOKUP(H$7,'Writing Logic'!$J$7:$K$11,2,FALSE)&amp;" - Per "&amp;VLOOKUP($C$4,'Writing Logic'!$G$8:$H$14,2,FALSE),YES_Writing_ELA[#Headers],0))=0,"",INDEX(_xlfn.VSTACK(YES_Writing_ELA[#Data],YES_Writing_FLA[#Data]),MATCH($A569,_xlfn.VSTACK(YES_Writing_ELA[Student Number],YES_Writing_FLA[Student Number]),0),MATCH(VLOOKUP(H$7,'Writing Logic'!$J$7:$K$11,2,FALSE)&amp;" - Per "&amp;VLOOKUP($C$4,'Writing Logic'!$G$8:$H$14,2,FALSE),YES_Writing_ELA[#Headers],0)))),"")</f>
        <v/>
      </c>
    </row>
    <row r="570" spans="1:8" x14ac:dyDescent="0.25">
      <c r="A570" s="137"/>
      <c r="B570" s="137" t="str">
        <f>IFERROR(INDEX(_xlfn.VSTACK(YES_Writing_ELA[#Data], YES_Writing_FLA[#Data]),MATCH($A570,_xlfn.VSTACK(YES_Writing_ELA[Student Number], YES_Writing_FLA[Student Number]),0),MATCH(B$7,YES_Writing_ELA[#Headers],0)),"")</f>
        <v/>
      </c>
      <c r="C570" s="137" t="str">
        <f>IFERROR(INDEX(_xlfn.VSTACK(YES_Writing_ELA[#Data], YES_Writing_FLA[#Data]),MATCH($A570,_xlfn.VSTACK(YES_Writing_ELA[Student Number], YES_Writing_FLA[Student Number]),0),MATCH(C$7,YES_Writing_ELA[#Headers],0)),"")</f>
        <v/>
      </c>
      <c r="D570" s="138" t="str">
        <f>IFERROR(IF(IF(INDEX(_xlfn.VSTACK(YES_Writing_ELA[#Data],YES_Writing_FLA[#Data]),MATCH($A570,_xlfn.VSTACK(YES_Writing_ELA[Student Number],YES_Writing_FLA[Student Number]),0),MATCH(VLOOKUP(D$7,'Writing Logic'!$J$7:$K$11,2,FALSE)&amp;" - Per "&amp;VLOOKUP($C$4,'Writing Logic'!$G$8:$H$14,2,FALSE),YES_Writing_ELA[#Headers],0))=0,"",INDEX(_xlfn.VSTACK(YES_Writing_ELA[#Data],YES_Writing_FLA[#Data]),MATCH($A570,_xlfn.VSTACK(YES_Writing_ELA[Student Number],YES_Writing_FLA[Student Number]),0),MATCH(VLOOKUP(D$7,'Writing Logic'!$J$7:$K$11,2,FALSE)&amp;" - Per "&amp;VLOOKUP($C$4,'Writing Logic'!$G$8:$H$14,2,FALSE),YES_Writing_ELA[#Headers],0)))="INS",'Writing Logic'!$B$7,IF(INDEX(_xlfn.VSTACK(YES_Writing_ELA[#Data],YES_Writing_FLA[#Data]),MATCH($A570,_xlfn.VSTACK(YES_Writing_ELA[Student Number],YES_Writing_FLA[Student Number]),0),MATCH(VLOOKUP(D$7,'Writing Logic'!$J$7:$K$11,2,FALSE)&amp;" - Per "&amp;VLOOKUP($C$4,'Writing Logic'!$G$8:$H$14,2,FALSE),YES_Writing_ELA[#Headers],0))=0,"",INDEX(_xlfn.VSTACK(YES_Writing_ELA[#Data],YES_Writing_FLA[#Data]),MATCH($A570,_xlfn.VSTACK(YES_Writing_ELA[Student Number],YES_Writing_FLA[Student Number]),0),MATCH(VLOOKUP(D$7,'Writing Logic'!$J$7:$K$11,2,FALSE)&amp;" - Per "&amp;VLOOKUP($C$4,'Writing Logic'!$G$8:$H$14,2,FALSE),YES_Writing_ELA[#Headers],0)))),"")</f>
        <v/>
      </c>
      <c r="E570" s="138" t="str">
        <f>IFERROR(IF(IF(INDEX(_xlfn.VSTACK(YES_Writing_ELA[#Data],YES_Writing_FLA[#Data]),MATCH($A570,_xlfn.VSTACK(YES_Writing_ELA[Student Number],YES_Writing_FLA[Student Number]),0),MATCH(VLOOKUP(E$7,'Writing Logic'!$J$7:$K$11,2,FALSE)&amp;" - Per "&amp;VLOOKUP($C$4,'Writing Logic'!$G$8:$H$14,2,FALSE),YES_Writing_ELA[#Headers],0))=0,"",INDEX(_xlfn.VSTACK(YES_Writing_ELA[#Data],YES_Writing_FLA[#Data]),MATCH($A570,_xlfn.VSTACK(YES_Writing_ELA[Student Number],YES_Writing_FLA[Student Number]),0),MATCH(VLOOKUP(E$7,'Writing Logic'!$J$7:$K$11,2,FALSE)&amp;" - Per "&amp;VLOOKUP($C$4,'Writing Logic'!$G$8:$H$14,2,FALSE),YES_Writing_ELA[#Headers],0)))="INS",'Writing Logic'!$B$7,IF(INDEX(_xlfn.VSTACK(YES_Writing_ELA[#Data],YES_Writing_FLA[#Data]),MATCH($A570,_xlfn.VSTACK(YES_Writing_ELA[Student Number],YES_Writing_FLA[Student Number]),0),MATCH(VLOOKUP(E$7,'Writing Logic'!$J$7:$K$11,2,FALSE)&amp;" - Per "&amp;VLOOKUP($C$4,'Writing Logic'!$G$8:$H$14,2,FALSE),YES_Writing_ELA[#Headers],0))=0,"",INDEX(_xlfn.VSTACK(YES_Writing_ELA[#Data],YES_Writing_FLA[#Data]),MATCH($A570,_xlfn.VSTACK(YES_Writing_ELA[Student Number],YES_Writing_FLA[Student Number]),0),MATCH(VLOOKUP(E$7,'Writing Logic'!$J$7:$K$11,2,FALSE)&amp;" - Per "&amp;VLOOKUP($C$4,'Writing Logic'!$G$8:$H$14,2,FALSE),YES_Writing_ELA[#Headers],0)))),"")</f>
        <v/>
      </c>
      <c r="F570" s="138" t="str">
        <f>IFERROR(IF(IF(INDEX(_xlfn.VSTACK(YES_Writing_ELA[#Data],YES_Writing_FLA[#Data]),MATCH($A570,_xlfn.VSTACK(YES_Writing_ELA[Student Number],YES_Writing_FLA[Student Number]),0),MATCH(VLOOKUP(F$7,'Writing Logic'!$J$7:$K$11,2,FALSE)&amp;" - Per "&amp;VLOOKUP($C$4,'Writing Logic'!$G$8:$H$14,2,FALSE),YES_Writing_ELA[#Headers],0))=0,"",INDEX(_xlfn.VSTACK(YES_Writing_ELA[#Data],YES_Writing_FLA[#Data]),MATCH($A570,_xlfn.VSTACK(YES_Writing_ELA[Student Number],YES_Writing_FLA[Student Number]),0),MATCH(VLOOKUP(F$7,'Writing Logic'!$J$7:$K$11,2,FALSE)&amp;" - Per "&amp;VLOOKUP($C$4,'Writing Logic'!$G$8:$H$14,2,FALSE),YES_Writing_ELA[#Headers],0)))="INS",'Writing Logic'!$B$7,IF(INDEX(_xlfn.VSTACK(YES_Writing_ELA[#Data],YES_Writing_FLA[#Data]),MATCH($A570,_xlfn.VSTACK(YES_Writing_ELA[Student Number],YES_Writing_FLA[Student Number]),0),MATCH(VLOOKUP(F$7,'Writing Logic'!$J$7:$K$11,2,FALSE)&amp;" - Per "&amp;VLOOKUP($C$4,'Writing Logic'!$G$8:$H$14,2,FALSE),YES_Writing_ELA[#Headers],0))=0,"",INDEX(_xlfn.VSTACK(YES_Writing_ELA[#Data],YES_Writing_FLA[#Data]),MATCH($A570,_xlfn.VSTACK(YES_Writing_ELA[Student Number],YES_Writing_FLA[Student Number]),0),MATCH(VLOOKUP(F$7,'Writing Logic'!$J$7:$K$11,2,FALSE)&amp;" - Per "&amp;VLOOKUP($C$4,'Writing Logic'!$G$8:$H$14,2,FALSE),YES_Writing_ELA[#Headers],0)))),"")</f>
        <v/>
      </c>
      <c r="G570" s="138" t="str">
        <f>IFERROR(IF(IF(INDEX(_xlfn.VSTACK(YES_Writing_ELA[#Data],YES_Writing_FLA[#Data]),MATCH($A570,_xlfn.VSTACK(YES_Writing_ELA[Student Number],YES_Writing_FLA[Student Number]),0),MATCH(VLOOKUP(G$7,'Writing Logic'!$J$7:$K$11,2,FALSE)&amp;" - Per "&amp;VLOOKUP($C$4,'Writing Logic'!$G$8:$H$14,2,FALSE),YES_Writing_ELA[#Headers],0))=0,"",INDEX(_xlfn.VSTACK(YES_Writing_ELA[#Data],YES_Writing_FLA[#Data]),MATCH($A570,_xlfn.VSTACK(YES_Writing_ELA[Student Number],YES_Writing_FLA[Student Number]),0),MATCH(VLOOKUP(G$7,'Writing Logic'!$J$7:$K$11,2,FALSE)&amp;" - Per "&amp;VLOOKUP($C$4,'Writing Logic'!$G$8:$H$14,2,FALSE),YES_Writing_ELA[#Headers],0)))="INS",'Writing Logic'!$B$7,IF(INDEX(_xlfn.VSTACK(YES_Writing_ELA[#Data],YES_Writing_FLA[#Data]),MATCH($A570,_xlfn.VSTACK(YES_Writing_ELA[Student Number],YES_Writing_FLA[Student Number]),0),MATCH(VLOOKUP(G$7,'Writing Logic'!$J$7:$K$11,2,FALSE)&amp;" - Per "&amp;VLOOKUP($C$4,'Writing Logic'!$G$8:$H$14,2,FALSE),YES_Writing_ELA[#Headers],0))=0,"",INDEX(_xlfn.VSTACK(YES_Writing_ELA[#Data],YES_Writing_FLA[#Data]),MATCH($A570,_xlfn.VSTACK(YES_Writing_ELA[Student Number],YES_Writing_FLA[Student Number]),0),MATCH(VLOOKUP(G$7,'Writing Logic'!$J$7:$K$11,2,FALSE)&amp;" - Per "&amp;VLOOKUP($C$4,'Writing Logic'!$G$8:$H$14,2,FALSE),YES_Writing_ELA[#Headers],0)))),"")</f>
        <v/>
      </c>
      <c r="H570" s="138" t="str">
        <f>IFERROR(IF(IF(INDEX(_xlfn.VSTACK(YES_Writing_ELA[#Data],YES_Writing_FLA[#Data]),MATCH($A570,_xlfn.VSTACK(YES_Writing_ELA[Student Number],YES_Writing_FLA[Student Number]),0),MATCH(VLOOKUP(H$7,'Writing Logic'!$J$7:$K$11,2,FALSE)&amp;" - Per "&amp;VLOOKUP($C$4,'Writing Logic'!$G$8:$H$14,2,FALSE),YES_Writing_ELA[#Headers],0))=0,"",INDEX(_xlfn.VSTACK(YES_Writing_ELA[#Data],YES_Writing_FLA[#Data]),MATCH($A570,_xlfn.VSTACK(YES_Writing_ELA[Student Number],YES_Writing_FLA[Student Number]),0),MATCH(VLOOKUP(H$7,'Writing Logic'!$J$7:$K$11,2,FALSE)&amp;" - Per "&amp;VLOOKUP($C$4,'Writing Logic'!$G$8:$H$14,2,FALSE),YES_Writing_ELA[#Headers],0)))="INS",'Writing Logic'!$B$7,IF(INDEX(_xlfn.VSTACK(YES_Writing_ELA[#Data],YES_Writing_FLA[#Data]),MATCH($A570,_xlfn.VSTACK(YES_Writing_ELA[Student Number],YES_Writing_FLA[Student Number]),0),MATCH(VLOOKUP(H$7,'Writing Logic'!$J$7:$K$11,2,FALSE)&amp;" - Per "&amp;VLOOKUP($C$4,'Writing Logic'!$G$8:$H$14,2,FALSE),YES_Writing_ELA[#Headers],0))=0,"",INDEX(_xlfn.VSTACK(YES_Writing_ELA[#Data],YES_Writing_FLA[#Data]),MATCH($A570,_xlfn.VSTACK(YES_Writing_ELA[Student Number],YES_Writing_FLA[Student Number]),0),MATCH(VLOOKUP(H$7,'Writing Logic'!$J$7:$K$11,2,FALSE)&amp;" - Per "&amp;VLOOKUP($C$4,'Writing Logic'!$G$8:$H$14,2,FALSE),YES_Writing_ELA[#Headers],0)))),"")</f>
        <v/>
      </c>
    </row>
    <row r="571" spans="1:8" x14ac:dyDescent="0.25">
      <c r="A571" s="137"/>
      <c r="B571" s="137" t="str">
        <f>IFERROR(INDEX(_xlfn.VSTACK(YES_Writing_ELA[#Data], YES_Writing_FLA[#Data]),MATCH($A571,_xlfn.VSTACK(YES_Writing_ELA[Student Number], YES_Writing_FLA[Student Number]),0),MATCH(B$7,YES_Writing_ELA[#Headers],0)),"")</f>
        <v/>
      </c>
      <c r="C571" s="137" t="str">
        <f>IFERROR(INDEX(_xlfn.VSTACK(YES_Writing_ELA[#Data], YES_Writing_FLA[#Data]),MATCH($A571,_xlfn.VSTACK(YES_Writing_ELA[Student Number], YES_Writing_FLA[Student Number]),0),MATCH(C$7,YES_Writing_ELA[#Headers],0)),"")</f>
        <v/>
      </c>
      <c r="D571" s="138" t="str">
        <f>IFERROR(IF(IF(INDEX(_xlfn.VSTACK(YES_Writing_ELA[#Data],YES_Writing_FLA[#Data]),MATCH($A571,_xlfn.VSTACK(YES_Writing_ELA[Student Number],YES_Writing_FLA[Student Number]),0),MATCH(VLOOKUP(D$7,'Writing Logic'!$J$7:$K$11,2,FALSE)&amp;" - Per "&amp;VLOOKUP($C$4,'Writing Logic'!$G$8:$H$14,2,FALSE),YES_Writing_ELA[#Headers],0))=0,"",INDEX(_xlfn.VSTACK(YES_Writing_ELA[#Data],YES_Writing_FLA[#Data]),MATCH($A571,_xlfn.VSTACK(YES_Writing_ELA[Student Number],YES_Writing_FLA[Student Number]),0),MATCH(VLOOKUP(D$7,'Writing Logic'!$J$7:$K$11,2,FALSE)&amp;" - Per "&amp;VLOOKUP($C$4,'Writing Logic'!$G$8:$H$14,2,FALSE),YES_Writing_ELA[#Headers],0)))="INS",'Writing Logic'!$B$7,IF(INDEX(_xlfn.VSTACK(YES_Writing_ELA[#Data],YES_Writing_FLA[#Data]),MATCH($A571,_xlfn.VSTACK(YES_Writing_ELA[Student Number],YES_Writing_FLA[Student Number]),0),MATCH(VLOOKUP(D$7,'Writing Logic'!$J$7:$K$11,2,FALSE)&amp;" - Per "&amp;VLOOKUP($C$4,'Writing Logic'!$G$8:$H$14,2,FALSE),YES_Writing_ELA[#Headers],0))=0,"",INDEX(_xlfn.VSTACK(YES_Writing_ELA[#Data],YES_Writing_FLA[#Data]),MATCH($A571,_xlfn.VSTACK(YES_Writing_ELA[Student Number],YES_Writing_FLA[Student Number]),0),MATCH(VLOOKUP(D$7,'Writing Logic'!$J$7:$K$11,2,FALSE)&amp;" - Per "&amp;VLOOKUP($C$4,'Writing Logic'!$G$8:$H$14,2,FALSE),YES_Writing_ELA[#Headers],0)))),"")</f>
        <v/>
      </c>
      <c r="E571" s="138" t="str">
        <f>IFERROR(IF(IF(INDEX(_xlfn.VSTACK(YES_Writing_ELA[#Data],YES_Writing_FLA[#Data]),MATCH($A571,_xlfn.VSTACK(YES_Writing_ELA[Student Number],YES_Writing_FLA[Student Number]),0),MATCH(VLOOKUP(E$7,'Writing Logic'!$J$7:$K$11,2,FALSE)&amp;" - Per "&amp;VLOOKUP($C$4,'Writing Logic'!$G$8:$H$14,2,FALSE),YES_Writing_ELA[#Headers],0))=0,"",INDEX(_xlfn.VSTACK(YES_Writing_ELA[#Data],YES_Writing_FLA[#Data]),MATCH($A571,_xlfn.VSTACK(YES_Writing_ELA[Student Number],YES_Writing_FLA[Student Number]),0),MATCH(VLOOKUP(E$7,'Writing Logic'!$J$7:$K$11,2,FALSE)&amp;" - Per "&amp;VLOOKUP($C$4,'Writing Logic'!$G$8:$H$14,2,FALSE),YES_Writing_ELA[#Headers],0)))="INS",'Writing Logic'!$B$7,IF(INDEX(_xlfn.VSTACK(YES_Writing_ELA[#Data],YES_Writing_FLA[#Data]),MATCH($A571,_xlfn.VSTACK(YES_Writing_ELA[Student Number],YES_Writing_FLA[Student Number]),0),MATCH(VLOOKUP(E$7,'Writing Logic'!$J$7:$K$11,2,FALSE)&amp;" - Per "&amp;VLOOKUP($C$4,'Writing Logic'!$G$8:$H$14,2,FALSE),YES_Writing_ELA[#Headers],0))=0,"",INDEX(_xlfn.VSTACK(YES_Writing_ELA[#Data],YES_Writing_FLA[#Data]),MATCH($A571,_xlfn.VSTACK(YES_Writing_ELA[Student Number],YES_Writing_FLA[Student Number]),0),MATCH(VLOOKUP(E$7,'Writing Logic'!$J$7:$K$11,2,FALSE)&amp;" - Per "&amp;VLOOKUP($C$4,'Writing Logic'!$G$8:$H$14,2,FALSE),YES_Writing_ELA[#Headers],0)))),"")</f>
        <v/>
      </c>
      <c r="F571" s="138" t="str">
        <f>IFERROR(IF(IF(INDEX(_xlfn.VSTACK(YES_Writing_ELA[#Data],YES_Writing_FLA[#Data]),MATCH($A571,_xlfn.VSTACK(YES_Writing_ELA[Student Number],YES_Writing_FLA[Student Number]),0),MATCH(VLOOKUP(F$7,'Writing Logic'!$J$7:$K$11,2,FALSE)&amp;" - Per "&amp;VLOOKUP($C$4,'Writing Logic'!$G$8:$H$14,2,FALSE),YES_Writing_ELA[#Headers],0))=0,"",INDEX(_xlfn.VSTACK(YES_Writing_ELA[#Data],YES_Writing_FLA[#Data]),MATCH($A571,_xlfn.VSTACK(YES_Writing_ELA[Student Number],YES_Writing_FLA[Student Number]),0),MATCH(VLOOKUP(F$7,'Writing Logic'!$J$7:$K$11,2,FALSE)&amp;" - Per "&amp;VLOOKUP($C$4,'Writing Logic'!$G$8:$H$14,2,FALSE),YES_Writing_ELA[#Headers],0)))="INS",'Writing Logic'!$B$7,IF(INDEX(_xlfn.VSTACK(YES_Writing_ELA[#Data],YES_Writing_FLA[#Data]),MATCH($A571,_xlfn.VSTACK(YES_Writing_ELA[Student Number],YES_Writing_FLA[Student Number]),0),MATCH(VLOOKUP(F$7,'Writing Logic'!$J$7:$K$11,2,FALSE)&amp;" - Per "&amp;VLOOKUP($C$4,'Writing Logic'!$G$8:$H$14,2,FALSE),YES_Writing_ELA[#Headers],0))=0,"",INDEX(_xlfn.VSTACK(YES_Writing_ELA[#Data],YES_Writing_FLA[#Data]),MATCH($A571,_xlfn.VSTACK(YES_Writing_ELA[Student Number],YES_Writing_FLA[Student Number]),0),MATCH(VLOOKUP(F$7,'Writing Logic'!$J$7:$K$11,2,FALSE)&amp;" - Per "&amp;VLOOKUP($C$4,'Writing Logic'!$G$8:$H$14,2,FALSE),YES_Writing_ELA[#Headers],0)))),"")</f>
        <v/>
      </c>
      <c r="G571" s="138" t="str">
        <f>IFERROR(IF(IF(INDEX(_xlfn.VSTACK(YES_Writing_ELA[#Data],YES_Writing_FLA[#Data]),MATCH($A571,_xlfn.VSTACK(YES_Writing_ELA[Student Number],YES_Writing_FLA[Student Number]),0),MATCH(VLOOKUP(G$7,'Writing Logic'!$J$7:$K$11,2,FALSE)&amp;" - Per "&amp;VLOOKUP($C$4,'Writing Logic'!$G$8:$H$14,2,FALSE),YES_Writing_ELA[#Headers],0))=0,"",INDEX(_xlfn.VSTACK(YES_Writing_ELA[#Data],YES_Writing_FLA[#Data]),MATCH($A571,_xlfn.VSTACK(YES_Writing_ELA[Student Number],YES_Writing_FLA[Student Number]),0),MATCH(VLOOKUP(G$7,'Writing Logic'!$J$7:$K$11,2,FALSE)&amp;" - Per "&amp;VLOOKUP($C$4,'Writing Logic'!$G$8:$H$14,2,FALSE),YES_Writing_ELA[#Headers],0)))="INS",'Writing Logic'!$B$7,IF(INDEX(_xlfn.VSTACK(YES_Writing_ELA[#Data],YES_Writing_FLA[#Data]),MATCH($A571,_xlfn.VSTACK(YES_Writing_ELA[Student Number],YES_Writing_FLA[Student Number]),0),MATCH(VLOOKUP(G$7,'Writing Logic'!$J$7:$K$11,2,FALSE)&amp;" - Per "&amp;VLOOKUP($C$4,'Writing Logic'!$G$8:$H$14,2,FALSE),YES_Writing_ELA[#Headers],0))=0,"",INDEX(_xlfn.VSTACK(YES_Writing_ELA[#Data],YES_Writing_FLA[#Data]),MATCH($A571,_xlfn.VSTACK(YES_Writing_ELA[Student Number],YES_Writing_FLA[Student Number]),0),MATCH(VLOOKUP(G$7,'Writing Logic'!$J$7:$K$11,2,FALSE)&amp;" - Per "&amp;VLOOKUP($C$4,'Writing Logic'!$G$8:$H$14,2,FALSE),YES_Writing_ELA[#Headers],0)))),"")</f>
        <v/>
      </c>
      <c r="H571" s="138" t="str">
        <f>IFERROR(IF(IF(INDEX(_xlfn.VSTACK(YES_Writing_ELA[#Data],YES_Writing_FLA[#Data]),MATCH($A571,_xlfn.VSTACK(YES_Writing_ELA[Student Number],YES_Writing_FLA[Student Number]),0),MATCH(VLOOKUP(H$7,'Writing Logic'!$J$7:$K$11,2,FALSE)&amp;" - Per "&amp;VLOOKUP($C$4,'Writing Logic'!$G$8:$H$14,2,FALSE),YES_Writing_ELA[#Headers],0))=0,"",INDEX(_xlfn.VSTACK(YES_Writing_ELA[#Data],YES_Writing_FLA[#Data]),MATCH($A571,_xlfn.VSTACK(YES_Writing_ELA[Student Number],YES_Writing_FLA[Student Number]),0),MATCH(VLOOKUP(H$7,'Writing Logic'!$J$7:$K$11,2,FALSE)&amp;" - Per "&amp;VLOOKUP($C$4,'Writing Logic'!$G$8:$H$14,2,FALSE),YES_Writing_ELA[#Headers],0)))="INS",'Writing Logic'!$B$7,IF(INDEX(_xlfn.VSTACK(YES_Writing_ELA[#Data],YES_Writing_FLA[#Data]),MATCH($A571,_xlfn.VSTACK(YES_Writing_ELA[Student Number],YES_Writing_FLA[Student Number]),0),MATCH(VLOOKUP(H$7,'Writing Logic'!$J$7:$K$11,2,FALSE)&amp;" - Per "&amp;VLOOKUP($C$4,'Writing Logic'!$G$8:$H$14,2,FALSE),YES_Writing_ELA[#Headers],0))=0,"",INDEX(_xlfn.VSTACK(YES_Writing_ELA[#Data],YES_Writing_FLA[#Data]),MATCH($A571,_xlfn.VSTACK(YES_Writing_ELA[Student Number],YES_Writing_FLA[Student Number]),0),MATCH(VLOOKUP(H$7,'Writing Logic'!$J$7:$K$11,2,FALSE)&amp;" - Per "&amp;VLOOKUP($C$4,'Writing Logic'!$G$8:$H$14,2,FALSE),YES_Writing_ELA[#Headers],0)))),"")</f>
        <v/>
      </c>
    </row>
    <row r="572" spans="1:8" x14ac:dyDescent="0.25">
      <c r="A572" s="137"/>
      <c r="B572" s="137" t="str">
        <f>IFERROR(INDEX(_xlfn.VSTACK(YES_Writing_ELA[#Data], YES_Writing_FLA[#Data]),MATCH($A572,_xlfn.VSTACK(YES_Writing_ELA[Student Number], YES_Writing_FLA[Student Number]),0),MATCH(B$7,YES_Writing_ELA[#Headers],0)),"")</f>
        <v/>
      </c>
      <c r="C572" s="137" t="str">
        <f>IFERROR(INDEX(_xlfn.VSTACK(YES_Writing_ELA[#Data], YES_Writing_FLA[#Data]),MATCH($A572,_xlfn.VSTACK(YES_Writing_ELA[Student Number], YES_Writing_FLA[Student Number]),0),MATCH(C$7,YES_Writing_ELA[#Headers],0)),"")</f>
        <v/>
      </c>
      <c r="D572" s="138" t="str">
        <f>IFERROR(IF(IF(INDEX(_xlfn.VSTACK(YES_Writing_ELA[#Data],YES_Writing_FLA[#Data]),MATCH($A572,_xlfn.VSTACK(YES_Writing_ELA[Student Number],YES_Writing_FLA[Student Number]),0),MATCH(VLOOKUP(D$7,'Writing Logic'!$J$7:$K$11,2,FALSE)&amp;" - Per "&amp;VLOOKUP($C$4,'Writing Logic'!$G$8:$H$14,2,FALSE),YES_Writing_ELA[#Headers],0))=0,"",INDEX(_xlfn.VSTACK(YES_Writing_ELA[#Data],YES_Writing_FLA[#Data]),MATCH($A572,_xlfn.VSTACK(YES_Writing_ELA[Student Number],YES_Writing_FLA[Student Number]),0),MATCH(VLOOKUP(D$7,'Writing Logic'!$J$7:$K$11,2,FALSE)&amp;" - Per "&amp;VLOOKUP($C$4,'Writing Logic'!$G$8:$H$14,2,FALSE),YES_Writing_ELA[#Headers],0)))="INS",'Writing Logic'!$B$7,IF(INDEX(_xlfn.VSTACK(YES_Writing_ELA[#Data],YES_Writing_FLA[#Data]),MATCH($A572,_xlfn.VSTACK(YES_Writing_ELA[Student Number],YES_Writing_FLA[Student Number]),0),MATCH(VLOOKUP(D$7,'Writing Logic'!$J$7:$K$11,2,FALSE)&amp;" - Per "&amp;VLOOKUP($C$4,'Writing Logic'!$G$8:$H$14,2,FALSE),YES_Writing_ELA[#Headers],0))=0,"",INDEX(_xlfn.VSTACK(YES_Writing_ELA[#Data],YES_Writing_FLA[#Data]),MATCH($A572,_xlfn.VSTACK(YES_Writing_ELA[Student Number],YES_Writing_FLA[Student Number]),0),MATCH(VLOOKUP(D$7,'Writing Logic'!$J$7:$K$11,2,FALSE)&amp;" - Per "&amp;VLOOKUP($C$4,'Writing Logic'!$G$8:$H$14,2,FALSE),YES_Writing_ELA[#Headers],0)))),"")</f>
        <v/>
      </c>
      <c r="E572" s="138" t="str">
        <f>IFERROR(IF(IF(INDEX(_xlfn.VSTACK(YES_Writing_ELA[#Data],YES_Writing_FLA[#Data]),MATCH($A572,_xlfn.VSTACK(YES_Writing_ELA[Student Number],YES_Writing_FLA[Student Number]),0),MATCH(VLOOKUP(E$7,'Writing Logic'!$J$7:$K$11,2,FALSE)&amp;" - Per "&amp;VLOOKUP($C$4,'Writing Logic'!$G$8:$H$14,2,FALSE),YES_Writing_ELA[#Headers],0))=0,"",INDEX(_xlfn.VSTACK(YES_Writing_ELA[#Data],YES_Writing_FLA[#Data]),MATCH($A572,_xlfn.VSTACK(YES_Writing_ELA[Student Number],YES_Writing_FLA[Student Number]),0),MATCH(VLOOKUP(E$7,'Writing Logic'!$J$7:$K$11,2,FALSE)&amp;" - Per "&amp;VLOOKUP($C$4,'Writing Logic'!$G$8:$H$14,2,FALSE),YES_Writing_ELA[#Headers],0)))="INS",'Writing Logic'!$B$7,IF(INDEX(_xlfn.VSTACK(YES_Writing_ELA[#Data],YES_Writing_FLA[#Data]),MATCH($A572,_xlfn.VSTACK(YES_Writing_ELA[Student Number],YES_Writing_FLA[Student Number]),0),MATCH(VLOOKUP(E$7,'Writing Logic'!$J$7:$K$11,2,FALSE)&amp;" - Per "&amp;VLOOKUP($C$4,'Writing Logic'!$G$8:$H$14,2,FALSE),YES_Writing_ELA[#Headers],0))=0,"",INDEX(_xlfn.VSTACK(YES_Writing_ELA[#Data],YES_Writing_FLA[#Data]),MATCH($A572,_xlfn.VSTACK(YES_Writing_ELA[Student Number],YES_Writing_FLA[Student Number]),0),MATCH(VLOOKUP(E$7,'Writing Logic'!$J$7:$K$11,2,FALSE)&amp;" - Per "&amp;VLOOKUP($C$4,'Writing Logic'!$G$8:$H$14,2,FALSE),YES_Writing_ELA[#Headers],0)))),"")</f>
        <v/>
      </c>
      <c r="F572" s="138" t="str">
        <f>IFERROR(IF(IF(INDEX(_xlfn.VSTACK(YES_Writing_ELA[#Data],YES_Writing_FLA[#Data]),MATCH($A572,_xlfn.VSTACK(YES_Writing_ELA[Student Number],YES_Writing_FLA[Student Number]),0),MATCH(VLOOKUP(F$7,'Writing Logic'!$J$7:$K$11,2,FALSE)&amp;" - Per "&amp;VLOOKUP($C$4,'Writing Logic'!$G$8:$H$14,2,FALSE),YES_Writing_ELA[#Headers],0))=0,"",INDEX(_xlfn.VSTACK(YES_Writing_ELA[#Data],YES_Writing_FLA[#Data]),MATCH($A572,_xlfn.VSTACK(YES_Writing_ELA[Student Number],YES_Writing_FLA[Student Number]),0),MATCH(VLOOKUP(F$7,'Writing Logic'!$J$7:$K$11,2,FALSE)&amp;" - Per "&amp;VLOOKUP($C$4,'Writing Logic'!$G$8:$H$14,2,FALSE),YES_Writing_ELA[#Headers],0)))="INS",'Writing Logic'!$B$7,IF(INDEX(_xlfn.VSTACK(YES_Writing_ELA[#Data],YES_Writing_FLA[#Data]),MATCH($A572,_xlfn.VSTACK(YES_Writing_ELA[Student Number],YES_Writing_FLA[Student Number]),0),MATCH(VLOOKUP(F$7,'Writing Logic'!$J$7:$K$11,2,FALSE)&amp;" - Per "&amp;VLOOKUP($C$4,'Writing Logic'!$G$8:$H$14,2,FALSE),YES_Writing_ELA[#Headers],0))=0,"",INDEX(_xlfn.VSTACK(YES_Writing_ELA[#Data],YES_Writing_FLA[#Data]),MATCH($A572,_xlfn.VSTACK(YES_Writing_ELA[Student Number],YES_Writing_FLA[Student Number]),0),MATCH(VLOOKUP(F$7,'Writing Logic'!$J$7:$K$11,2,FALSE)&amp;" - Per "&amp;VLOOKUP($C$4,'Writing Logic'!$G$8:$H$14,2,FALSE),YES_Writing_ELA[#Headers],0)))),"")</f>
        <v/>
      </c>
      <c r="G572" s="138" t="str">
        <f>IFERROR(IF(IF(INDEX(_xlfn.VSTACK(YES_Writing_ELA[#Data],YES_Writing_FLA[#Data]),MATCH($A572,_xlfn.VSTACK(YES_Writing_ELA[Student Number],YES_Writing_FLA[Student Number]),0),MATCH(VLOOKUP(G$7,'Writing Logic'!$J$7:$K$11,2,FALSE)&amp;" - Per "&amp;VLOOKUP($C$4,'Writing Logic'!$G$8:$H$14,2,FALSE),YES_Writing_ELA[#Headers],0))=0,"",INDEX(_xlfn.VSTACK(YES_Writing_ELA[#Data],YES_Writing_FLA[#Data]),MATCH($A572,_xlfn.VSTACK(YES_Writing_ELA[Student Number],YES_Writing_FLA[Student Number]),0),MATCH(VLOOKUP(G$7,'Writing Logic'!$J$7:$K$11,2,FALSE)&amp;" - Per "&amp;VLOOKUP($C$4,'Writing Logic'!$G$8:$H$14,2,FALSE),YES_Writing_ELA[#Headers],0)))="INS",'Writing Logic'!$B$7,IF(INDEX(_xlfn.VSTACK(YES_Writing_ELA[#Data],YES_Writing_FLA[#Data]),MATCH($A572,_xlfn.VSTACK(YES_Writing_ELA[Student Number],YES_Writing_FLA[Student Number]),0),MATCH(VLOOKUP(G$7,'Writing Logic'!$J$7:$K$11,2,FALSE)&amp;" - Per "&amp;VLOOKUP($C$4,'Writing Logic'!$G$8:$H$14,2,FALSE),YES_Writing_ELA[#Headers],0))=0,"",INDEX(_xlfn.VSTACK(YES_Writing_ELA[#Data],YES_Writing_FLA[#Data]),MATCH($A572,_xlfn.VSTACK(YES_Writing_ELA[Student Number],YES_Writing_FLA[Student Number]),0),MATCH(VLOOKUP(G$7,'Writing Logic'!$J$7:$K$11,2,FALSE)&amp;" - Per "&amp;VLOOKUP($C$4,'Writing Logic'!$G$8:$H$14,2,FALSE),YES_Writing_ELA[#Headers],0)))),"")</f>
        <v/>
      </c>
      <c r="H572" s="138" t="str">
        <f>IFERROR(IF(IF(INDEX(_xlfn.VSTACK(YES_Writing_ELA[#Data],YES_Writing_FLA[#Data]),MATCH($A572,_xlfn.VSTACK(YES_Writing_ELA[Student Number],YES_Writing_FLA[Student Number]),0),MATCH(VLOOKUP(H$7,'Writing Logic'!$J$7:$K$11,2,FALSE)&amp;" - Per "&amp;VLOOKUP($C$4,'Writing Logic'!$G$8:$H$14,2,FALSE),YES_Writing_ELA[#Headers],0))=0,"",INDEX(_xlfn.VSTACK(YES_Writing_ELA[#Data],YES_Writing_FLA[#Data]),MATCH($A572,_xlfn.VSTACK(YES_Writing_ELA[Student Number],YES_Writing_FLA[Student Number]),0),MATCH(VLOOKUP(H$7,'Writing Logic'!$J$7:$K$11,2,FALSE)&amp;" - Per "&amp;VLOOKUP($C$4,'Writing Logic'!$G$8:$H$14,2,FALSE),YES_Writing_ELA[#Headers],0)))="INS",'Writing Logic'!$B$7,IF(INDEX(_xlfn.VSTACK(YES_Writing_ELA[#Data],YES_Writing_FLA[#Data]),MATCH($A572,_xlfn.VSTACK(YES_Writing_ELA[Student Number],YES_Writing_FLA[Student Number]),0),MATCH(VLOOKUP(H$7,'Writing Logic'!$J$7:$K$11,2,FALSE)&amp;" - Per "&amp;VLOOKUP($C$4,'Writing Logic'!$G$8:$H$14,2,FALSE),YES_Writing_ELA[#Headers],0))=0,"",INDEX(_xlfn.VSTACK(YES_Writing_ELA[#Data],YES_Writing_FLA[#Data]),MATCH($A572,_xlfn.VSTACK(YES_Writing_ELA[Student Number],YES_Writing_FLA[Student Number]),0),MATCH(VLOOKUP(H$7,'Writing Logic'!$J$7:$K$11,2,FALSE)&amp;" - Per "&amp;VLOOKUP($C$4,'Writing Logic'!$G$8:$H$14,2,FALSE),YES_Writing_ELA[#Headers],0)))),"")</f>
        <v/>
      </c>
    </row>
    <row r="573" spans="1:8" x14ac:dyDescent="0.25">
      <c r="A573" s="137"/>
      <c r="B573" s="137" t="str">
        <f>IFERROR(INDEX(_xlfn.VSTACK(YES_Writing_ELA[#Data], YES_Writing_FLA[#Data]),MATCH($A573,_xlfn.VSTACK(YES_Writing_ELA[Student Number], YES_Writing_FLA[Student Number]),0),MATCH(B$7,YES_Writing_ELA[#Headers],0)),"")</f>
        <v/>
      </c>
      <c r="C573" s="137" t="str">
        <f>IFERROR(INDEX(_xlfn.VSTACK(YES_Writing_ELA[#Data], YES_Writing_FLA[#Data]),MATCH($A573,_xlfn.VSTACK(YES_Writing_ELA[Student Number], YES_Writing_FLA[Student Number]),0),MATCH(C$7,YES_Writing_ELA[#Headers],0)),"")</f>
        <v/>
      </c>
      <c r="D573" s="138" t="str">
        <f>IFERROR(IF(IF(INDEX(_xlfn.VSTACK(YES_Writing_ELA[#Data],YES_Writing_FLA[#Data]),MATCH($A573,_xlfn.VSTACK(YES_Writing_ELA[Student Number],YES_Writing_FLA[Student Number]),0),MATCH(VLOOKUP(D$7,'Writing Logic'!$J$7:$K$11,2,FALSE)&amp;" - Per "&amp;VLOOKUP($C$4,'Writing Logic'!$G$8:$H$14,2,FALSE),YES_Writing_ELA[#Headers],0))=0,"",INDEX(_xlfn.VSTACK(YES_Writing_ELA[#Data],YES_Writing_FLA[#Data]),MATCH($A573,_xlfn.VSTACK(YES_Writing_ELA[Student Number],YES_Writing_FLA[Student Number]),0),MATCH(VLOOKUP(D$7,'Writing Logic'!$J$7:$K$11,2,FALSE)&amp;" - Per "&amp;VLOOKUP($C$4,'Writing Logic'!$G$8:$H$14,2,FALSE),YES_Writing_ELA[#Headers],0)))="INS",'Writing Logic'!$B$7,IF(INDEX(_xlfn.VSTACK(YES_Writing_ELA[#Data],YES_Writing_FLA[#Data]),MATCH($A573,_xlfn.VSTACK(YES_Writing_ELA[Student Number],YES_Writing_FLA[Student Number]),0),MATCH(VLOOKUP(D$7,'Writing Logic'!$J$7:$K$11,2,FALSE)&amp;" - Per "&amp;VLOOKUP($C$4,'Writing Logic'!$G$8:$H$14,2,FALSE),YES_Writing_ELA[#Headers],0))=0,"",INDEX(_xlfn.VSTACK(YES_Writing_ELA[#Data],YES_Writing_FLA[#Data]),MATCH($A573,_xlfn.VSTACK(YES_Writing_ELA[Student Number],YES_Writing_FLA[Student Number]),0),MATCH(VLOOKUP(D$7,'Writing Logic'!$J$7:$K$11,2,FALSE)&amp;" - Per "&amp;VLOOKUP($C$4,'Writing Logic'!$G$8:$H$14,2,FALSE),YES_Writing_ELA[#Headers],0)))),"")</f>
        <v/>
      </c>
      <c r="E573" s="138" t="str">
        <f>IFERROR(IF(IF(INDEX(_xlfn.VSTACK(YES_Writing_ELA[#Data],YES_Writing_FLA[#Data]),MATCH($A573,_xlfn.VSTACK(YES_Writing_ELA[Student Number],YES_Writing_FLA[Student Number]),0),MATCH(VLOOKUP(E$7,'Writing Logic'!$J$7:$K$11,2,FALSE)&amp;" - Per "&amp;VLOOKUP($C$4,'Writing Logic'!$G$8:$H$14,2,FALSE),YES_Writing_ELA[#Headers],0))=0,"",INDEX(_xlfn.VSTACK(YES_Writing_ELA[#Data],YES_Writing_FLA[#Data]),MATCH($A573,_xlfn.VSTACK(YES_Writing_ELA[Student Number],YES_Writing_FLA[Student Number]),0),MATCH(VLOOKUP(E$7,'Writing Logic'!$J$7:$K$11,2,FALSE)&amp;" - Per "&amp;VLOOKUP($C$4,'Writing Logic'!$G$8:$H$14,2,FALSE),YES_Writing_ELA[#Headers],0)))="INS",'Writing Logic'!$B$7,IF(INDEX(_xlfn.VSTACK(YES_Writing_ELA[#Data],YES_Writing_FLA[#Data]),MATCH($A573,_xlfn.VSTACK(YES_Writing_ELA[Student Number],YES_Writing_FLA[Student Number]),0),MATCH(VLOOKUP(E$7,'Writing Logic'!$J$7:$K$11,2,FALSE)&amp;" - Per "&amp;VLOOKUP($C$4,'Writing Logic'!$G$8:$H$14,2,FALSE),YES_Writing_ELA[#Headers],0))=0,"",INDEX(_xlfn.VSTACK(YES_Writing_ELA[#Data],YES_Writing_FLA[#Data]),MATCH($A573,_xlfn.VSTACK(YES_Writing_ELA[Student Number],YES_Writing_FLA[Student Number]),0),MATCH(VLOOKUP(E$7,'Writing Logic'!$J$7:$K$11,2,FALSE)&amp;" - Per "&amp;VLOOKUP($C$4,'Writing Logic'!$G$8:$H$14,2,FALSE),YES_Writing_ELA[#Headers],0)))),"")</f>
        <v/>
      </c>
      <c r="F573" s="138" t="str">
        <f>IFERROR(IF(IF(INDEX(_xlfn.VSTACK(YES_Writing_ELA[#Data],YES_Writing_FLA[#Data]),MATCH($A573,_xlfn.VSTACK(YES_Writing_ELA[Student Number],YES_Writing_FLA[Student Number]),0),MATCH(VLOOKUP(F$7,'Writing Logic'!$J$7:$K$11,2,FALSE)&amp;" - Per "&amp;VLOOKUP($C$4,'Writing Logic'!$G$8:$H$14,2,FALSE),YES_Writing_ELA[#Headers],0))=0,"",INDEX(_xlfn.VSTACK(YES_Writing_ELA[#Data],YES_Writing_FLA[#Data]),MATCH($A573,_xlfn.VSTACK(YES_Writing_ELA[Student Number],YES_Writing_FLA[Student Number]),0),MATCH(VLOOKUP(F$7,'Writing Logic'!$J$7:$K$11,2,FALSE)&amp;" - Per "&amp;VLOOKUP($C$4,'Writing Logic'!$G$8:$H$14,2,FALSE),YES_Writing_ELA[#Headers],0)))="INS",'Writing Logic'!$B$7,IF(INDEX(_xlfn.VSTACK(YES_Writing_ELA[#Data],YES_Writing_FLA[#Data]),MATCH($A573,_xlfn.VSTACK(YES_Writing_ELA[Student Number],YES_Writing_FLA[Student Number]),0),MATCH(VLOOKUP(F$7,'Writing Logic'!$J$7:$K$11,2,FALSE)&amp;" - Per "&amp;VLOOKUP($C$4,'Writing Logic'!$G$8:$H$14,2,FALSE),YES_Writing_ELA[#Headers],0))=0,"",INDEX(_xlfn.VSTACK(YES_Writing_ELA[#Data],YES_Writing_FLA[#Data]),MATCH($A573,_xlfn.VSTACK(YES_Writing_ELA[Student Number],YES_Writing_FLA[Student Number]),0),MATCH(VLOOKUP(F$7,'Writing Logic'!$J$7:$K$11,2,FALSE)&amp;" - Per "&amp;VLOOKUP($C$4,'Writing Logic'!$G$8:$H$14,2,FALSE),YES_Writing_ELA[#Headers],0)))),"")</f>
        <v/>
      </c>
      <c r="G573" s="138" t="str">
        <f>IFERROR(IF(IF(INDEX(_xlfn.VSTACK(YES_Writing_ELA[#Data],YES_Writing_FLA[#Data]),MATCH($A573,_xlfn.VSTACK(YES_Writing_ELA[Student Number],YES_Writing_FLA[Student Number]),0),MATCH(VLOOKUP(G$7,'Writing Logic'!$J$7:$K$11,2,FALSE)&amp;" - Per "&amp;VLOOKUP($C$4,'Writing Logic'!$G$8:$H$14,2,FALSE),YES_Writing_ELA[#Headers],0))=0,"",INDEX(_xlfn.VSTACK(YES_Writing_ELA[#Data],YES_Writing_FLA[#Data]),MATCH($A573,_xlfn.VSTACK(YES_Writing_ELA[Student Number],YES_Writing_FLA[Student Number]),0),MATCH(VLOOKUP(G$7,'Writing Logic'!$J$7:$K$11,2,FALSE)&amp;" - Per "&amp;VLOOKUP($C$4,'Writing Logic'!$G$8:$H$14,2,FALSE),YES_Writing_ELA[#Headers],0)))="INS",'Writing Logic'!$B$7,IF(INDEX(_xlfn.VSTACK(YES_Writing_ELA[#Data],YES_Writing_FLA[#Data]),MATCH($A573,_xlfn.VSTACK(YES_Writing_ELA[Student Number],YES_Writing_FLA[Student Number]),0),MATCH(VLOOKUP(G$7,'Writing Logic'!$J$7:$K$11,2,FALSE)&amp;" - Per "&amp;VLOOKUP($C$4,'Writing Logic'!$G$8:$H$14,2,FALSE),YES_Writing_ELA[#Headers],0))=0,"",INDEX(_xlfn.VSTACK(YES_Writing_ELA[#Data],YES_Writing_FLA[#Data]),MATCH($A573,_xlfn.VSTACK(YES_Writing_ELA[Student Number],YES_Writing_FLA[Student Number]),0),MATCH(VLOOKUP(G$7,'Writing Logic'!$J$7:$K$11,2,FALSE)&amp;" - Per "&amp;VLOOKUP($C$4,'Writing Logic'!$G$8:$H$14,2,FALSE),YES_Writing_ELA[#Headers],0)))),"")</f>
        <v/>
      </c>
      <c r="H573" s="138" t="str">
        <f>IFERROR(IF(IF(INDEX(_xlfn.VSTACK(YES_Writing_ELA[#Data],YES_Writing_FLA[#Data]),MATCH($A573,_xlfn.VSTACK(YES_Writing_ELA[Student Number],YES_Writing_FLA[Student Number]),0),MATCH(VLOOKUP(H$7,'Writing Logic'!$J$7:$K$11,2,FALSE)&amp;" - Per "&amp;VLOOKUP($C$4,'Writing Logic'!$G$8:$H$14,2,FALSE),YES_Writing_ELA[#Headers],0))=0,"",INDEX(_xlfn.VSTACK(YES_Writing_ELA[#Data],YES_Writing_FLA[#Data]),MATCH($A573,_xlfn.VSTACK(YES_Writing_ELA[Student Number],YES_Writing_FLA[Student Number]),0),MATCH(VLOOKUP(H$7,'Writing Logic'!$J$7:$K$11,2,FALSE)&amp;" - Per "&amp;VLOOKUP($C$4,'Writing Logic'!$G$8:$H$14,2,FALSE),YES_Writing_ELA[#Headers],0)))="INS",'Writing Logic'!$B$7,IF(INDEX(_xlfn.VSTACK(YES_Writing_ELA[#Data],YES_Writing_FLA[#Data]),MATCH($A573,_xlfn.VSTACK(YES_Writing_ELA[Student Number],YES_Writing_FLA[Student Number]),0),MATCH(VLOOKUP(H$7,'Writing Logic'!$J$7:$K$11,2,FALSE)&amp;" - Per "&amp;VLOOKUP($C$4,'Writing Logic'!$G$8:$H$14,2,FALSE),YES_Writing_ELA[#Headers],0))=0,"",INDEX(_xlfn.VSTACK(YES_Writing_ELA[#Data],YES_Writing_FLA[#Data]),MATCH($A573,_xlfn.VSTACK(YES_Writing_ELA[Student Number],YES_Writing_FLA[Student Number]),0),MATCH(VLOOKUP(H$7,'Writing Logic'!$J$7:$K$11,2,FALSE)&amp;" - Per "&amp;VLOOKUP($C$4,'Writing Logic'!$G$8:$H$14,2,FALSE),YES_Writing_ELA[#Headers],0)))),"")</f>
        <v/>
      </c>
    </row>
    <row r="574" spans="1:8" x14ac:dyDescent="0.25">
      <c r="A574" s="137"/>
      <c r="B574" s="137" t="str">
        <f>IFERROR(INDEX(_xlfn.VSTACK(YES_Writing_ELA[#Data], YES_Writing_FLA[#Data]),MATCH($A574,_xlfn.VSTACK(YES_Writing_ELA[Student Number], YES_Writing_FLA[Student Number]),0),MATCH(B$7,YES_Writing_ELA[#Headers],0)),"")</f>
        <v/>
      </c>
      <c r="C574" s="137" t="str">
        <f>IFERROR(INDEX(_xlfn.VSTACK(YES_Writing_ELA[#Data], YES_Writing_FLA[#Data]),MATCH($A574,_xlfn.VSTACK(YES_Writing_ELA[Student Number], YES_Writing_FLA[Student Number]),0),MATCH(C$7,YES_Writing_ELA[#Headers],0)),"")</f>
        <v/>
      </c>
      <c r="D574" s="138" t="str">
        <f>IFERROR(IF(IF(INDEX(_xlfn.VSTACK(YES_Writing_ELA[#Data],YES_Writing_FLA[#Data]),MATCH($A574,_xlfn.VSTACK(YES_Writing_ELA[Student Number],YES_Writing_FLA[Student Number]),0),MATCH(VLOOKUP(D$7,'Writing Logic'!$J$7:$K$11,2,FALSE)&amp;" - Per "&amp;VLOOKUP($C$4,'Writing Logic'!$G$8:$H$14,2,FALSE),YES_Writing_ELA[#Headers],0))=0,"",INDEX(_xlfn.VSTACK(YES_Writing_ELA[#Data],YES_Writing_FLA[#Data]),MATCH($A574,_xlfn.VSTACK(YES_Writing_ELA[Student Number],YES_Writing_FLA[Student Number]),0),MATCH(VLOOKUP(D$7,'Writing Logic'!$J$7:$K$11,2,FALSE)&amp;" - Per "&amp;VLOOKUP($C$4,'Writing Logic'!$G$8:$H$14,2,FALSE),YES_Writing_ELA[#Headers],0)))="INS",'Writing Logic'!$B$7,IF(INDEX(_xlfn.VSTACK(YES_Writing_ELA[#Data],YES_Writing_FLA[#Data]),MATCH($A574,_xlfn.VSTACK(YES_Writing_ELA[Student Number],YES_Writing_FLA[Student Number]),0),MATCH(VLOOKUP(D$7,'Writing Logic'!$J$7:$K$11,2,FALSE)&amp;" - Per "&amp;VLOOKUP($C$4,'Writing Logic'!$G$8:$H$14,2,FALSE),YES_Writing_ELA[#Headers],0))=0,"",INDEX(_xlfn.VSTACK(YES_Writing_ELA[#Data],YES_Writing_FLA[#Data]),MATCH($A574,_xlfn.VSTACK(YES_Writing_ELA[Student Number],YES_Writing_FLA[Student Number]),0),MATCH(VLOOKUP(D$7,'Writing Logic'!$J$7:$K$11,2,FALSE)&amp;" - Per "&amp;VLOOKUP($C$4,'Writing Logic'!$G$8:$H$14,2,FALSE),YES_Writing_ELA[#Headers],0)))),"")</f>
        <v/>
      </c>
      <c r="E574" s="138" t="str">
        <f>IFERROR(IF(IF(INDEX(_xlfn.VSTACK(YES_Writing_ELA[#Data],YES_Writing_FLA[#Data]),MATCH($A574,_xlfn.VSTACK(YES_Writing_ELA[Student Number],YES_Writing_FLA[Student Number]),0),MATCH(VLOOKUP(E$7,'Writing Logic'!$J$7:$K$11,2,FALSE)&amp;" - Per "&amp;VLOOKUP($C$4,'Writing Logic'!$G$8:$H$14,2,FALSE),YES_Writing_ELA[#Headers],0))=0,"",INDEX(_xlfn.VSTACK(YES_Writing_ELA[#Data],YES_Writing_FLA[#Data]),MATCH($A574,_xlfn.VSTACK(YES_Writing_ELA[Student Number],YES_Writing_FLA[Student Number]),0),MATCH(VLOOKUP(E$7,'Writing Logic'!$J$7:$K$11,2,FALSE)&amp;" - Per "&amp;VLOOKUP($C$4,'Writing Logic'!$G$8:$H$14,2,FALSE),YES_Writing_ELA[#Headers],0)))="INS",'Writing Logic'!$B$7,IF(INDEX(_xlfn.VSTACK(YES_Writing_ELA[#Data],YES_Writing_FLA[#Data]),MATCH($A574,_xlfn.VSTACK(YES_Writing_ELA[Student Number],YES_Writing_FLA[Student Number]),0),MATCH(VLOOKUP(E$7,'Writing Logic'!$J$7:$K$11,2,FALSE)&amp;" - Per "&amp;VLOOKUP($C$4,'Writing Logic'!$G$8:$H$14,2,FALSE),YES_Writing_ELA[#Headers],0))=0,"",INDEX(_xlfn.VSTACK(YES_Writing_ELA[#Data],YES_Writing_FLA[#Data]),MATCH($A574,_xlfn.VSTACK(YES_Writing_ELA[Student Number],YES_Writing_FLA[Student Number]),0),MATCH(VLOOKUP(E$7,'Writing Logic'!$J$7:$K$11,2,FALSE)&amp;" - Per "&amp;VLOOKUP($C$4,'Writing Logic'!$G$8:$H$14,2,FALSE),YES_Writing_ELA[#Headers],0)))),"")</f>
        <v/>
      </c>
      <c r="F574" s="138" t="str">
        <f>IFERROR(IF(IF(INDEX(_xlfn.VSTACK(YES_Writing_ELA[#Data],YES_Writing_FLA[#Data]),MATCH($A574,_xlfn.VSTACK(YES_Writing_ELA[Student Number],YES_Writing_FLA[Student Number]),0),MATCH(VLOOKUP(F$7,'Writing Logic'!$J$7:$K$11,2,FALSE)&amp;" - Per "&amp;VLOOKUP($C$4,'Writing Logic'!$G$8:$H$14,2,FALSE),YES_Writing_ELA[#Headers],0))=0,"",INDEX(_xlfn.VSTACK(YES_Writing_ELA[#Data],YES_Writing_FLA[#Data]),MATCH($A574,_xlfn.VSTACK(YES_Writing_ELA[Student Number],YES_Writing_FLA[Student Number]),0),MATCH(VLOOKUP(F$7,'Writing Logic'!$J$7:$K$11,2,FALSE)&amp;" - Per "&amp;VLOOKUP($C$4,'Writing Logic'!$G$8:$H$14,2,FALSE),YES_Writing_ELA[#Headers],0)))="INS",'Writing Logic'!$B$7,IF(INDEX(_xlfn.VSTACK(YES_Writing_ELA[#Data],YES_Writing_FLA[#Data]),MATCH($A574,_xlfn.VSTACK(YES_Writing_ELA[Student Number],YES_Writing_FLA[Student Number]),0),MATCH(VLOOKUP(F$7,'Writing Logic'!$J$7:$K$11,2,FALSE)&amp;" - Per "&amp;VLOOKUP($C$4,'Writing Logic'!$G$8:$H$14,2,FALSE),YES_Writing_ELA[#Headers],0))=0,"",INDEX(_xlfn.VSTACK(YES_Writing_ELA[#Data],YES_Writing_FLA[#Data]),MATCH($A574,_xlfn.VSTACK(YES_Writing_ELA[Student Number],YES_Writing_FLA[Student Number]),0),MATCH(VLOOKUP(F$7,'Writing Logic'!$J$7:$K$11,2,FALSE)&amp;" - Per "&amp;VLOOKUP($C$4,'Writing Logic'!$G$8:$H$14,2,FALSE),YES_Writing_ELA[#Headers],0)))),"")</f>
        <v/>
      </c>
      <c r="G574" s="138" t="str">
        <f>IFERROR(IF(IF(INDEX(_xlfn.VSTACK(YES_Writing_ELA[#Data],YES_Writing_FLA[#Data]),MATCH($A574,_xlfn.VSTACK(YES_Writing_ELA[Student Number],YES_Writing_FLA[Student Number]),0),MATCH(VLOOKUP(G$7,'Writing Logic'!$J$7:$K$11,2,FALSE)&amp;" - Per "&amp;VLOOKUP($C$4,'Writing Logic'!$G$8:$H$14,2,FALSE),YES_Writing_ELA[#Headers],0))=0,"",INDEX(_xlfn.VSTACK(YES_Writing_ELA[#Data],YES_Writing_FLA[#Data]),MATCH($A574,_xlfn.VSTACK(YES_Writing_ELA[Student Number],YES_Writing_FLA[Student Number]),0),MATCH(VLOOKUP(G$7,'Writing Logic'!$J$7:$K$11,2,FALSE)&amp;" - Per "&amp;VLOOKUP($C$4,'Writing Logic'!$G$8:$H$14,2,FALSE),YES_Writing_ELA[#Headers],0)))="INS",'Writing Logic'!$B$7,IF(INDEX(_xlfn.VSTACK(YES_Writing_ELA[#Data],YES_Writing_FLA[#Data]),MATCH($A574,_xlfn.VSTACK(YES_Writing_ELA[Student Number],YES_Writing_FLA[Student Number]),0),MATCH(VLOOKUP(G$7,'Writing Logic'!$J$7:$K$11,2,FALSE)&amp;" - Per "&amp;VLOOKUP($C$4,'Writing Logic'!$G$8:$H$14,2,FALSE),YES_Writing_ELA[#Headers],0))=0,"",INDEX(_xlfn.VSTACK(YES_Writing_ELA[#Data],YES_Writing_FLA[#Data]),MATCH($A574,_xlfn.VSTACK(YES_Writing_ELA[Student Number],YES_Writing_FLA[Student Number]),0),MATCH(VLOOKUP(G$7,'Writing Logic'!$J$7:$K$11,2,FALSE)&amp;" - Per "&amp;VLOOKUP($C$4,'Writing Logic'!$G$8:$H$14,2,FALSE),YES_Writing_ELA[#Headers],0)))),"")</f>
        <v/>
      </c>
      <c r="H574" s="138" t="str">
        <f>IFERROR(IF(IF(INDEX(_xlfn.VSTACK(YES_Writing_ELA[#Data],YES_Writing_FLA[#Data]),MATCH($A574,_xlfn.VSTACK(YES_Writing_ELA[Student Number],YES_Writing_FLA[Student Number]),0),MATCH(VLOOKUP(H$7,'Writing Logic'!$J$7:$K$11,2,FALSE)&amp;" - Per "&amp;VLOOKUP($C$4,'Writing Logic'!$G$8:$H$14,2,FALSE),YES_Writing_ELA[#Headers],0))=0,"",INDEX(_xlfn.VSTACK(YES_Writing_ELA[#Data],YES_Writing_FLA[#Data]),MATCH($A574,_xlfn.VSTACK(YES_Writing_ELA[Student Number],YES_Writing_FLA[Student Number]),0),MATCH(VLOOKUP(H$7,'Writing Logic'!$J$7:$K$11,2,FALSE)&amp;" - Per "&amp;VLOOKUP($C$4,'Writing Logic'!$G$8:$H$14,2,FALSE),YES_Writing_ELA[#Headers],0)))="INS",'Writing Logic'!$B$7,IF(INDEX(_xlfn.VSTACK(YES_Writing_ELA[#Data],YES_Writing_FLA[#Data]),MATCH($A574,_xlfn.VSTACK(YES_Writing_ELA[Student Number],YES_Writing_FLA[Student Number]),0),MATCH(VLOOKUP(H$7,'Writing Logic'!$J$7:$K$11,2,FALSE)&amp;" - Per "&amp;VLOOKUP($C$4,'Writing Logic'!$G$8:$H$14,2,FALSE),YES_Writing_ELA[#Headers],0))=0,"",INDEX(_xlfn.VSTACK(YES_Writing_ELA[#Data],YES_Writing_FLA[#Data]),MATCH($A574,_xlfn.VSTACK(YES_Writing_ELA[Student Number],YES_Writing_FLA[Student Number]),0),MATCH(VLOOKUP(H$7,'Writing Logic'!$J$7:$K$11,2,FALSE)&amp;" - Per "&amp;VLOOKUP($C$4,'Writing Logic'!$G$8:$H$14,2,FALSE),YES_Writing_ELA[#Headers],0)))),"")</f>
        <v/>
      </c>
    </row>
    <row r="575" spans="1:8" x14ac:dyDescent="0.25">
      <c r="A575" s="137"/>
      <c r="B575" s="137" t="str">
        <f>IFERROR(INDEX(_xlfn.VSTACK(YES_Writing_ELA[#Data], YES_Writing_FLA[#Data]),MATCH($A575,_xlfn.VSTACK(YES_Writing_ELA[Student Number], YES_Writing_FLA[Student Number]),0),MATCH(B$7,YES_Writing_ELA[#Headers],0)),"")</f>
        <v/>
      </c>
      <c r="C575" s="137" t="str">
        <f>IFERROR(INDEX(_xlfn.VSTACK(YES_Writing_ELA[#Data], YES_Writing_FLA[#Data]),MATCH($A575,_xlfn.VSTACK(YES_Writing_ELA[Student Number], YES_Writing_FLA[Student Number]),0),MATCH(C$7,YES_Writing_ELA[#Headers],0)),"")</f>
        <v/>
      </c>
      <c r="D575" s="138" t="str">
        <f>IFERROR(IF(IF(INDEX(_xlfn.VSTACK(YES_Writing_ELA[#Data],YES_Writing_FLA[#Data]),MATCH($A575,_xlfn.VSTACK(YES_Writing_ELA[Student Number],YES_Writing_FLA[Student Number]),0),MATCH(VLOOKUP(D$7,'Writing Logic'!$J$7:$K$11,2,FALSE)&amp;" - Per "&amp;VLOOKUP($C$4,'Writing Logic'!$G$8:$H$14,2,FALSE),YES_Writing_ELA[#Headers],0))=0,"",INDEX(_xlfn.VSTACK(YES_Writing_ELA[#Data],YES_Writing_FLA[#Data]),MATCH($A575,_xlfn.VSTACK(YES_Writing_ELA[Student Number],YES_Writing_FLA[Student Number]),0),MATCH(VLOOKUP(D$7,'Writing Logic'!$J$7:$K$11,2,FALSE)&amp;" - Per "&amp;VLOOKUP($C$4,'Writing Logic'!$G$8:$H$14,2,FALSE),YES_Writing_ELA[#Headers],0)))="INS",'Writing Logic'!$B$7,IF(INDEX(_xlfn.VSTACK(YES_Writing_ELA[#Data],YES_Writing_FLA[#Data]),MATCH($A575,_xlfn.VSTACK(YES_Writing_ELA[Student Number],YES_Writing_FLA[Student Number]),0),MATCH(VLOOKUP(D$7,'Writing Logic'!$J$7:$K$11,2,FALSE)&amp;" - Per "&amp;VLOOKUP($C$4,'Writing Logic'!$G$8:$H$14,2,FALSE),YES_Writing_ELA[#Headers],0))=0,"",INDEX(_xlfn.VSTACK(YES_Writing_ELA[#Data],YES_Writing_FLA[#Data]),MATCH($A575,_xlfn.VSTACK(YES_Writing_ELA[Student Number],YES_Writing_FLA[Student Number]),0),MATCH(VLOOKUP(D$7,'Writing Logic'!$J$7:$K$11,2,FALSE)&amp;" - Per "&amp;VLOOKUP($C$4,'Writing Logic'!$G$8:$H$14,2,FALSE),YES_Writing_ELA[#Headers],0)))),"")</f>
        <v/>
      </c>
      <c r="E575" s="138" t="str">
        <f>IFERROR(IF(IF(INDEX(_xlfn.VSTACK(YES_Writing_ELA[#Data],YES_Writing_FLA[#Data]),MATCH($A575,_xlfn.VSTACK(YES_Writing_ELA[Student Number],YES_Writing_FLA[Student Number]),0),MATCH(VLOOKUP(E$7,'Writing Logic'!$J$7:$K$11,2,FALSE)&amp;" - Per "&amp;VLOOKUP($C$4,'Writing Logic'!$G$8:$H$14,2,FALSE),YES_Writing_ELA[#Headers],0))=0,"",INDEX(_xlfn.VSTACK(YES_Writing_ELA[#Data],YES_Writing_FLA[#Data]),MATCH($A575,_xlfn.VSTACK(YES_Writing_ELA[Student Number],YES_Writing_FLA[Student Number]),0),MATCH(VLOOKUP(E$7,'Writing Logic'!$J$7:$K$11,2,FALSE)&amp;" - Per "&amp;VLOOKUP($C$4,'Writing Logic'!$G$8:$H$14,2,FALSE),YES_Writing_ELA[#Headers],0)))="INS",'Writing Logic'!$B$7,IF(INDEX(_xlfn.VSTACK(YES_Writing_ELA[#Data],YES_Writing_FLA[#Data]),MATCH($A575,_xlfn.VSTACK(YES_Writing_ELA[Student Number],YES_Writing_FLA[Student Number]),0),MATCH(VLOOKUP(E$7,'Writing Logic'!$J$7:$K$11,2,FALSE)&amp;" - Per "&amp;VLOOKUP($C$4,'Writing Logic'!$G$8:$H$14,2,FALSE),YES_Writing_ELA[#Headers],0))=0,"",INDEX(_xlfn.VSTACK(YES_Writing_ELA[#Data],YES_Writing_FLA[#Data]),MATCH($A575,_xlfn.VSTACK(YES_Writing_ELA[Student Number],YES_Writing_FLA[Student Number]),0),MATCH(VLOOKUP(E$7,'Writing Logic'!$J$7:$K$11,2,FALSE)&amp;" - Per "&amp;VLOOKUP($C$4,'Writing Logic'!$G$8:$H$14,2,FALSE),YES_Writing_ELA[#Headers],0)))),"")</f>
        <v/>
      </c>
      <c r="F575" s="138" t="str">
        <f>IFERROR(IF(IF(INDEX(_xlfn.VSTACK(YES_Writing_ELA[#Data],YES_Writing_FLA[#Data]),MATCH($A575,_xlfn.VSTACK(YES_Writing_ELA[Student Number],YES_Writing_FLA[Student Number]),0),MATCH(VLOOKUP(F$7,'Writing Logic'!$J$7:$K$11,2,FALSE)&amp;" - Per "&amp;VLOOKUP($C$4,'Writing Logic'!$G$8:$H$14,2,FALSE),YES_Writing_ELA[#Headers],0))=0,"",INDEX(_xlfn.VSTACK(YES_Writing_ELA[#Data],YES_Writing_FLA[#Data]),MATCH($A575,_xlfn.VSTACK(YES_Writing_ELA[Student Number],YES_Writing_FLA[Student Number]),0),MATCH(VLOOKUP(F$7,'Writing Logic'!$J$7:$K$11,2,FALSE)&amp;" - Per "&amp;VLOOKUP($C$4,'Writing Logic'!$G$8:$H$14,2,FALSE),YES_Writing_ELA[#Headers],0)))="INS",'Writing Logic'!$B$7,IF(INDEX(_xlfn.VSTACK(YES_Writing_ELA[#Data],YES_Writing_FLA[#Data]),MATCH($A575,_xlfn.VSTACK(YES_Writing_ELA[Student Number],YES_Writing_FLA[Student Number]),0),MATCH(VLOOKUP(F$7,'Writing Logic'!$J$7:$K$11,2,FALSE)&amp;" - Per "&amp;VLOOKUP($C$4,'Writing Logic'!$G$8:$H$14,2,FALSE),YES_Writing_ELA[#Headers],0))=0,"",INDEX(_xlfn.VSTACK(YES_Writing_ELA[#Data],YES_Writing_FLA[#Data]),MATCH($A575,_xlfn.VSTACK(YES_Writing_ELA[Student Number],YES_Writing_FLA[Student Number]),0),MATCH(VLOOKUP(F$7,'Writing Logic'!$J$7:$K$11,2,FALSE)&amp;" - Per "&amp;VLOOKUP($C$4,'Writing Logic'!$G$8:$H$14,2,FALSE),YES_Writing_ELA[#Headers],0)))),"")</f>
        <v/>
      </c>
      <c r="G575" s="138" t="str">
        <f>IFERROR(IF(IF(INDEX(_xlfn.VSTACK(YES_Writing_ELA[#Data],YES_Writing_FLA[#Data]),MATCH($A575,_xlfn.VSTACK(YES_Writing_ELA[Student Number],YES_Writing_FLA[Student Number]),0),MATCH(VLOOKUP(G$7,'Writing Logic'!$J$7:$K$11,2,FALSE)&amp;" - Per "&amp;VLOOKUP($C$4,'Writing Logic'!$G$8:$H$14,2,FALSE),YES_Writing_ELA[#Headers],0))=0,"",INDEX(_xlfn.VSTACK(YES_Writing_ELA[#Data],YES_Writing_FLA[#Data]),MATCH($A575,_xlfn.VSTACK(YES_Writing_ELA[Student Number],YES_Writing_FLA[Student Number]),0),MATCH(VLOOKUP(G$7,'Writing Logic'!$J$7:$K$11,2,FALSE)&amp;" - Per "&amp;VLOOKUP($C$4,'Writing Logic'!$G$8:$H$14,2,FALSE),YES_Writing_ELA[#Headers],0)))="INS",'Writing Logic'!$B$7,IF(INDEX(_xlfn.VSTACK(YES_Writing_ELA[#Data],YES_Writing_FLA[#Data]),MATCH($A575,_xlfn.VSTACK(YES_Writing_ELA[Student Number],YES_Writing_FLA[Student Number]),0),MATCH(VLOOKUP(G$7,'Writing Logic'!$J$7:$K$11,2,FALSE)&amp;" - Per "&amp;VLOOKUP($C$4,'Writing Logic'!$G$8:$H$14,2,FALSE),YES_Writing_ELA[#Headers],0))=0,"",INDEX(_xlfn.VSTACK(YES_Writing_ELA[#Data],YES_Writing_FLA[#Data]),MATCH($A575,_xlfn.VSTACK(YES_Writing_ELA[Student Number],YES_Writing_FLA[Student Number]),0),MATCH(VLOOKUP(G$7,'Writing Logic'!$J$7:$K$11,2,FALSE)&amp;" - Per "&amp;VLOOKUP($C$4,'Writing Logic'!$G$8:$H$14,2,FALSE),YES_Writing_ELA[#Headers],0)))),"")</f>
        <v/>
      </c>
      <c r="H575" s="138" t="str">
        <f>IFERROR(IF(IF(INDEX(_xlfn.VSTACK(YES_Writing_ELA[#Data],YES_Writing_FLA[#Data]),MATCH($A575,_xlfn.VSTACK(YES_Writing_ELA[Student Number],YES_Writing_FLA[Student Number]),0),MATCH(VLOOKUP(H$7,'Writing Logic'!$J$7:$K$11,2,FALSE)&amp;" - Per "&amp;VLOOKUP($C$4,'Writing Logic'!$G$8:$H$14,2,FALSE),YES_Writing_ELA[#Headers],0))=0,"",INDEX(_xlfn.VSTACK(YES_Writing_ELA[#Data],YES_Writing_FLA[#Data]),MATCH($A575,_xlfn.VSTACK(YES_Writing_ELA[Student Number],YES_Writing_FLA[Student Number]),0),MATCH(VLOOKUP(H$7,'Writing Logic'!$J$7:$K$11,2,FALSE)&amp;" - Per "&amp;VLOOKUP($C$4,'Writing Logic'!$G$8:$H$14,2,FALSE),YES_Writing_ELA[#Headers],0)))="INS",'Writing Logic'!$B$7,IF(INDEX(_xlfn.VSTACK(YES_Writing_ELA[#Data],YES_Writing_FLA[#Data]),MATCH($A575,_xlfn.VSTACK(YES_Writing_ELA[Student Number],YES_Writing_FLA[Student Number]),0),MATCH(VLOOKUP(H$7,'Writing Logic'!$J$7:$K$11,2,FALSE)&amp;" - Per "&amp;VLOOKUP($C$4,'Writing Logic'!$G$8:$H$14,2,FALSE),YES_Writing_ELA[#Headers],0))=0,"",INDEX(_xlfn.VSTACK(YES_Writing_ELA[#Data],YES_Writing_FLA[#Data]),MATCH($A575,_xlfn.VSTACK(YES_Writing_ELA[Student Number],YES_Writing_FLA[Student Number]),0),MATCH(VLOOKUP(H$7,'Writing Logic'!$J$7:$K$11,2,FALSE)&amp;" - Per "&amp;VLOOKUP($C$4,'Writing Logic'!$G$8:$H$14,2,FALSE),YES_Writing_ELA[#Headers],0)))),"")</f>
        <v/>
      </c>
    </row>
    <row r="576" spans="1:8" x14ac:dyDescent="0.25">
      <c r="A576" s="137"/>
      <c r="B576" s="137" t="str">
        <f>IFERROR(INDEX(_xlfn.VSTACK(YES_Writing_ELA[#Data], YES_Writing_FLA[#Data]),MATCH($A576,_xlfn.VSTACK(YES_Writing_ELA[Student Number], YES_Writing_FLA[Student Number]),0),MATCH(B$7,YES_Writing_ELA[#Headers],0)),"")</f>
        <v/>
      </c>
      <c r="C576" s="137" t="str">
        <f>IFERROR(INDEX(_xlfn.VSTACK(YES_Writing_ELA[#Data], YES_Writing_FLA[#Data]),MATCH($A576,_xlfn.VSTACK(YES_Writing_ELA[Student Number], YES_Writing_FLA[Student Number]),0),MATCH(C$7,YES_Writing_ELA[#Headers],0)),"")</f>
        <v/>
      </c>
      <c r="D576" s="138" t="str">
        <f>IFERROR(IF(IF(INDEX(_xlfn.VSTACK(YES_Writing_ELA[#Data],YES_Writing_FLA[#Data]),MATCH($A576,_xlfn.VSTACK(YES_Writing_ELA[Student Number],YES_Writing_FLA[Student Number]),0),MATCH(VLOOKUP(D$7,'Writing Logic'!$J$7:$K$11,2,FALSE)&amp;" - Per "&amp;VLOOKUP($C$4,'Writing Logic'!$G$8:$H$14,2,FALSE),YES_Writing_ELA[#Headers],0))=0,"",INDEX(_xlfn.VSTACK(YES_Writing_ELA[#Data],YES_Writing_FLA[#Data]),MATCH($A576,_xlfn.VSTACK(YES_Writing_ELA[Student Number],YES_Writing_FLA[Student Number]),0),MATCH(VLOOKUP(D$7,'Writing Logic'!$J$7:$K$11,2,FALSE)&amp;" - Per "&amp;VLOOKUP($C$4,'Writing Logic'!$G$8:$H$14,2,FALSE),YES_Writing_ELA[#Headers],0)))="INS",'Writing Logic'!$B$7,IF(INDEX(_xlfn.VSTACK(YES_Writing_ELA[#Data],YES_Writing_FLA[#Data]),MATCH($A576,_xlfn.VSTACK(YES_Writing_ELA[Student Number],YES_Writing_FLA[Student Number]),0),MATCH(VLOOKUP(D$7,'Writing Logic'!$J$7:$K$11,2,FALSE)&amp;" - Per "&amp;VLOOKUP($C$4,'Writing Logic'!$G$8:$H$14,2,FALSE),YES_Writing_ELA[#Headers],0))=0,"",INDEX(_xlfn.VSTACK(YES_Writing_ELA[#Data],YES_Writing_FLA[#Data]),MATCH($A576,_xlfn.VSTACK(YES_Writing_ELA[Student Number],YES_Writing_FLA[Student Number]),0),MATCH(VLOOKUP(D$7,'Writing Logic'!$J$7:$K$11,2,FALSE)&amp;" - Per "&amp;VLOOKUP($C$4,'Writing Logic'!$G$8:$H$14,2,FALSE),YES_Writing_ELA[#Headers],0)))),"")</f>
        <v/>
      </c>
      <c r="E576" s="138" t="str">
        <f>IFERROR(IF(IF(INDEX(_xlfn.VSTACK(YES_Writing_ELA[#Data],YES_Writing_FLA[#Data]),MATCH($A576,_xlfn.VSTACK(YES_Writing_ELA[Student Number],YES_Writing_FLA[Student Number]),0),MATCH(VLOOKUP(E$7,'Writing Logic'!$J$7:$K$11,2,FALSE)&amp;" - Per "&amp;VLOOKUP($C$4,'Writing Logic'!$G$8:$H$14,2,FALSE),YES_Writing_ELA[#Headers],0))=0,"",INDEX(_xlfn.VSTACK(YES_Writing_ELA[#Data],YES_Writing_FLA[#Data]),MATCH($A576,_xlfn.VSTACK(YES_Writing_ELA[Student Number],YES_Writing_FLA[Student Number]),0),MATCH(VLOOKUP(E$7,'Writing Logic'!$J$7:$K$11,2,FALSE)&amp;" - Per "&amp;VLOOKUP($C$4,'Writing Logic'!$G$8:$H$14,2,FALSE),YES_Writing_ELA[#Headers],0)))="INS",'Writing Logic'!$B$7,IF(INDEX(_xlfn.VSTACK(YES_Writing_ELA[#Data],YES_Writing_FLA[#Data]),MATCH($A576,_xlfn.VSTACK(YES_Writing_ELA[Student Number],YES_Writing_FLA[Student Number]),0),MATCH(VLOOKUP(E$7,'Writing Logic'!$J$7:$K$11,2,FALSE)&amp;" - Per "&amp;VLOOKUP($C$4,'Writing Logic'!$G$8:$H$14,2,FALSE),YES_Writing_ELA[#Headers],0))=0,"",INDEX(_xlfn.VSTACK(YES_Writing_ELA[#Data],YES_Writing_FLA[#Data]),MATCH($A576,_xlfn.VSTACK(YES_Writing_ELA[Student Number],YES_Writing_FLA[Student Number]),0),MATCH(VLOOKUP(E$7,'Writing Logic'!$J$7:$K$11,2,FALSE)&amp;" - Per "&amp;VLOOKUP($C$4,'Writing Logic'!$G$8:$H$14,2,FALSE),YES_Writing_ELA[#Headers],0)))),"")</f>
        <v/>
      </c>
      <c r="F576" s="138" t="str">
        <f>IFERROR(IF(IF(INDEX(_xlfn.VSTACK(YES_Writing_ELA[#Data],YES_Writing_FLA[#Data]),MATCH($A576,_xlfn.VSTACK(YES_Writing_ELA[Student Number],YES_Writing_FLA[Student Number]),0),MATCH(VLOOKUP(F$7,'Writing Logic'!$J$7:$K$11,2,FALSE)&amp;" - Per "&amp;VLOOKUP($C$4,'Writing Logic'!$G$8:$H$14,2,FALSE),YES_Writing_ELA[#Headers],0))=0,"",INDEX(_xlfn.VSTACK(YES_Writing_ELA[#Data],YES_Writing_FLA[#Data]),MATCH($A576,_xlfn.VSTACK(YES_Writing_ELA[Student Number],YES_Writing_FLA[Student Number]),0),MATCH(VLOOKUP(F$7,'Writing Logic'!$J$7:$K$11,2,FALSE)&amp;" - Per "&amp;VLOOKUP($C$4,'Writing Logic'!$G$8:$H$14,2,FALSE),YES_Writing_ELA[#Headers],0)))="INS",'Writing Logic'!$B$7,IF(INDEX(_xlfn.VSTACK(YES_Writing_ELA[#Data],YES_Writing_FLA[#Data]),MATCH($A576,_xlfn.VSTACK(YES_Writing_ELA[Student Number],YES_Writing_FLA[Student Number]),0),MATCH(VLOOKUP(F$7,'Writing Logic'!$J$7:$K$11,2,FALSE)&amp;" - Per "&amp;VLOOKUP($C$4,'Writing Logic'!$G$8:$H$14,2,FALSE),YES_Writing_ELA[#Headers],0))=0,"",INDEX(_xlfn.VSTACK(YES_Writing_ELA[#Data],YES_Writing_FLA[#Data]),MATCH($A576,_xlfn.VSTACK(YES_Writing_ELA[Student Number],YES_Writing_FLA[Student Number]),0),MATCH(VLOOKUP(F$7,'Writing Logic'!$J$7:$K$11,2,FALSE)&amp;" - Per "&amp;VLOOKUP($C$4,'Writing Logic'!$G$8:$H$14,2,FALSE),YES_Writing_ELA[#Headers],0)))),"")</f>
        <v/>
      </c>
      <c r="G576" s="138" t="str">
        <f>IFERROR(IF(IF(INDEX(_xlfn.VSTACK(YES_Writing_ELA[#Data],YES_Writing_FLA[#Data]),MATCH($A576,_xlfn.VSTACK(YES_Writing_ELA[Student Number],YES_Writing_FLA[Student Number]),0),MATCH(VLOOKUP(G$7,'Writing Logic'!$J$7:$K$11,2,FALSE)&amp;" - Per "&amp;VLOOKUP($C$4,'Writing Logic'!$G$8:$H$14,2,FALSE),YES_Writing_ELA[#Headers],0))=0,"",INDEX(_xlfn.VSTACK(YES_Writing_ELA[#Data],YES_Writing_FLA[#Data]),MATCH($A576,_xlfn.VSTACK(YES_Writing_ELA[Student Number],YES_Writing_FLA[Student Number]),0),MATCH(VLOOKUP(G$7,'Writing Logic'!$J$7:$K$11,2,FALSE)&amp;" - Per "&amp;VLOOKUP($C$4,'Writing Logic'!$G$8:$H$14,2,FALSE),YES_Writing_ELA[#Headers],0)))="INS",'Writing Logic'!$B$7,IF(INDEX(_xlfn.VSTACK(YES_Writing_ELA[#Data],YES_Writing_FLA[#Data]),MATCH($A576,_xlfn.VSTACK(YES_Writing_ELA[Student Number],YES_Writing_FLA[Student Number]),0),MATCH(VLOOKUP(G$7,'Writing Logic'!$J$7:$K$11,2,FALSE)&amp;" - Per "&amp;VLOOKUP($C$4,'Writing Logic'!$G$8:$H$14,2,FALSE),YES_Writing_ELA[#Headers],0))=0,"",INDEX(_xlfn.VSTACK(YES_Writing_ELA[#Data],YES_Writing_FLA[#Data]),MATCH($A576,_xlfn.VSTACK(YES_Writing_ELA[Student Number],YES_Writing_FLA[Student Number]),0),MATCH(VLOOKUP(G$7,'Writing Logic'!$J$7:$K$11,2,FALSE)&amp;" - Per "&amp;VLOOKUP($C$4,'Writing Logic'!$G$8:$H$14,2,FALSE),YES_Writing_ELA[#Headers],0)))),"")</f>
        <v/>
      </c>
      <c r="H576" s="138" t="str">
        <f>IFERROR(IF(IF(INDEX(_xlfn.VSTACK(YES_Writing_ELA[#Data],YES_Writing_FLA[#Data]),MATCH($A576,_xlfn.VSTACK(YES_Writing_ELA[Student Number],YES_Writing_FLA[Student Number]),0),MATCH(VLOOKUP(H$7,'Writing Logic'!$J$7:$K$11,2,FALSE)&amp;" - Per "&amp;VLOOKUP($C$4,'Writing Logic'!$G$8:$H$14,2,FALSE),YES_Writing_ELA[#Headers],0))=0,"",INDEX(_xlfn.VSTACK(YES_Writing_ELA[#Data],YES_Writing_FLA[#Data]),MATCH($A576,_xlfn.VSTACK(YES_Writing_ELA[Student Number],YES_Writing_FLA[Student Number]),0),MATCH(VLOOKUP(H$7,'Writing Logic'!$J$7:$K$11,2,FALSE)&amp;" - Per "&amp;VLOOKUP($C$4,'Writing Logic'!$G$8:$H$14,2,FALSE),YES_Writing_ELA[#Headers],0)))="INS",'Writing Logic'!$B$7,IF(INDEX(_xlfn.VSTACK(YES_Writing_ELA[#Data],YES_Writing_FLA[#Data]),MATCH($A576,_xlfn.VSTACK(YES_Writing_ELA[Student Number],YES_Writing_FLA[Student Number]),0),MATCH(VLOOKUP(H$7,'Writing Logic'!$J$7:$K$11,2,FALSE)&amp;" - Per "&amp;VLOOKUP($C$4,'Writing Logic'!$G$8:$H$14,2,FALSE),YES_Writing_ELA[#Headers],0))=0,"",INDEX(_xlfn.VSTACK(YES_Writing_ELA[#Data],YES_Writing_FLA[#Data]),MATCH($A576,_xlfn.VSTACK(YES_Writing_ELA[Student Number],YES_Writing_FLA[Student Number]),0),MATCH(VLOOKUP(H$7,'Writing Logic'!$J$7:$K$11,2,FALSE)&amp;" - Per "&amp;VLOOKUP($C$4,'Writing Logic'!$G$8:$H$14,2,FALSE),YES_Writing_ELA[#Headers],0)))),"")</f>
        <v/>
      </c>
    </row>
    <row r="577" spans="1:8" x14ac:dyDescent="0.25">
      <c r="A577" s="137"/>
      <c r="B577" s="137" t="str">
        <f>IFERROR(INDEX(_xlfn.VSTACK(YES_Writing_ELA[#Data], YES_Writing_FLA[#Data]),MATCH($A577,_xlfn.VSTACK(YES_Writing_ELA[Student Number], YES_Writing_FLA[Student Number]),0),MATCH(B$7,YES_Writing_ELA[#Headers],0)),"")</f>
        <v/>
      </c>
      <c r="C577" s="137" t="str">
        <f>IFERROR(INDEX(_xlfn.VSTACK(YES_Writing_ELA[#Data], YES_Writing_FLA[#Data]),MATCH($A577,_xlfn.VSTACK(YES_Writing_ELA[Student Number], YES_Writing_FLA[Student Number]),0),MATCH(C$7,YES_Writing_ELA[#Headers],0)),"")</f>
        <v/>
      </c>
      <c r="D577" s="138" t="str">
        <f>IFERROR(IF(IF(INDEX(_xlfn.VSTACK(YES_Writing_ELA[#Data],YES_Writing_FLA[#Data]),MATCH($A577,_xlfn.VSTACK(YES_Writing_ELA[Student Number],YES_Writing_FLA[Student Number]),0),MATCH(VLOOKUP(D$7,'Writing Logic'!$J$7:$K$11,2,FALSE)&amp;" - Per "&amp;VLOOKUP($C$4,'Writing Logic'!$G$8:$H$14,2,FALSE),YES_Writing_ELA[#Headers],0))=0,"",INDEX(_xlfn.VSTACK(YES_Writing_ELA[#Data],YES_Writing_FLA[#Data]),MATCH($A577,_xlfn.VSTACK(YES_Writing_ELA[Student Number],YES_Writing_FLA[Student Number]),0),MATCH(VLOOKUP(D$7,'Writing Logic'!$J$7:$K$11,2,FALSE)&amp;" - Per "&amp;VLOOKUP($C$4,'Writing Logic'!$G$8:$H$14,2,FALSE),YES_Writing_ELA[#Headers],0)))="INS",'Writing Logic'!$B$7,IF(INDEX(_xlfn.VSTACK(YES_Writing_ELA[#Data],YES_Writing_FLA[#Data]),MATCH($A577,_xlfn.VSTACK(YES_Writing_ELA[Student Number],YES_Writing_FLA[Student Number]),0),MATCH(VLOOKUP(D$7,'Writing Logic'!$J$7:$K$11,2,FALSE)&amp;" - Per "&amp;VLOOKUP($C$4,'Writing Logic'!$G$8:$H$14,2,FALSE),YES_Writing_ELA[#Headers],0))=0,"",INDEX(_xlfn.VSTACK(YES_Writing_ELA[#Data],YES_Writing_FLA[#Data]),MATCH($A577,_xlfn.VSTACK(YES_Writing_ELA[Student Number],YES_Writing_FLA[Student Number]),0),MATCH(VLOOKUP(D$7,'Writing Logic'!$J$7:$K$11,2,FALSE)&amp;" - Per "&amp;VLOOKUP($C$4,'Writing Logic'!$G$8:$H$14,2,FALSE),YES_Writing_ELA[#Headers],0)))),"")</f>
        <v/>
      </c>
      <c r="E577" s="138" t="str">
        <f>IFERROR(IF(IF(INDEX(_xlfn.VSTACK(YES_Writing_ELA[#Data],YES_Writing_FLA[#Data]),MATCH($A577,_xlfn.VSTACK(YES_Writing_ELA[Student Number],YES_Writing_FLA[Student Number]),0),MATCH(VLOOKUP(E$7,'Writing Logic'!$J$7:$K$11,2,FALSE)&amp;" - Per "&amp;VLOOKUP($C$4,'Writing Logic'!$G$8:$H$14,2,FALSE),YES_Writing_ELA[#Headers],0))=0,"",INDEX(_xlfn.VSTACK(YES_Writing_ELA[#Data],YES_Writing_FLA[#Data]),MATCH($A577,_xlfn.VSTACK(YES_Writing_ELA[Student Number],YES_Writing_FLA[Student Number]),0),MATCH(VLOOKUP(E$7,'Writing Logic'!$J$7:$K$11,2,FALSE)&amp;" - Per "&amp;VLOOKUP($C$4,'Writing Logic'!$G$8:$H$14,2,FALSE),YES_Writing_ELA[#Headers],0)))="INS",'Writing Logic'!$B$7,IF(INDEX(_xlfn.VSTACK(YES_Writing_ELA[#Data],YES_Writing_FLA[#Data]),MATCH($A577,_xlfn.VSTACK(YES_Writing_ELA[Student Number],YES_Writing_FLA[Student Number]),0),MATCH(VLOOKUP(E$7,'Writing Logic'!$J$7:$K$11,2,FALSE)&amp;" - Per "&amp;VLOOKUP($C$4,'Writing Logic'!$G$8:$H$14,2,FALSE),YES_Writing_ELA[#Headers],0))=0,"",INDEX(_xlfn.VSTACK(YES_Writing_ELA[#Data],YES_Writing_FLA[#Data]),MATCH($A577,_xlfn.VSTACK(YES_Writing_ELA[Student Number],YES_Writing_FLA[Student Number]),0),MATCH(VLOOKUP(E$7,'Writing Logic'!$J$7:$K$11,2,FALSE)&amp;" - Per "&amp;VLOOKUP($C$4,'Writing Logic'!$G$8:$H$14,2,FALSE),YES_Writing_ELA[#Headers],0)))),"")</f>
        <v/>
      </c>
      <c r="F577" s="138" t="str">
        <f>IFERROR(IF(IF(INDEX(_xlfn.VSTACK(YES_Writing_ELA[#Data],YES_Writing_FLA[#Data]),MATCH($A577,_xlfn.VSTACK(YES_Writing_ELA[Student Number],YES_Writing_FLA[Student Number]),0),MATCH(VLOOKUP(F$7,'Writing Logic'!$J$7:$K$11,2,FALSE)&amp;" - Per "&amp;VLOOKUP($C$4,'Writing Logic'!$G$8:$H$14,2,FALSE),YES_Writing_ELA[#Headers],0))=0,"",INDEX(_xlfn.VSTACK(YES_Writing_ELA[#Data],YES_Writing_FLA[#Data]),MATCH($A577,_xlfn.VSTACK(YES_Writing_ELA[Student Number],YES_Writing_FLA[Student Number]),0),MATCH(VLOOKUP(F$7,'Writing Logic'!$J$7:$K$11,2,FALSE)&amp;" - Per "&amp;VLOOKUP($C$4,'Writing Logic'!$G$8:$H$14,2,FALSE),YES_Writing_ELA[#Headers],0)))="INS",'Writing Logic'!$B$7,IF(INDEX(_xlfn.VSTACK(YES_Writing_ELA[#Data],YES_Writing_FLA[#Data]),MATCH($A577,_xlfn.VSTACK(YES_Writing_ELA[Student Number],YES_Writing_FLA[Student Number]),0),MATCH(VLOOKUP(F$7,'Writing Logic'!$J$7:$K$11,2,FALSE)&amp;" - Per "&amp;VLOOKUP($C$4,'Writing Logic'!$G$8:$H$14,2,FALSE),YES_Writing_ELA[#Headers],0))=0,"",INDEX(_xlfn.VSTACK(YES_Writing_ELA[#Data],YES_Writing_FLA[#Data]),MATCH($A577,_xlfn.VSTACK(YES_Writing_ELA[Student Number],YES_Writing_FLA[Student Number]),0),MATCH(VLOOKUP(F$7,'Writing Logic'!$J$7:$K$11,2,FALSE)&amp;" - Per "&amp;VLOOKUP($C$4,'Writing Logic'!$G$8:$H$14,2,FALSE),YES_Writing_ELA[#Headers],0)))),"")</f>
        <v/>
      </c>
      <c r="G577" s="138" t="str">
        <f>IFERROR(IF(IF(INDEX(_xlfn.VSTACK(YES_Writing_ELA[#Data],YES_Writing_FLA[#Data]),MATCH($A577,_xlfn.VSTACK(YES_Writing_ELA[Student Number],YES_Writing_FLA[Student Number]),0),MATCH(VLOOKUP(G$7,'Writing Logic'!$J$7:$K$11,2,FALSE)&amp;" - Per "&amp;VLOOKUP($C$4,'Writing Logic'!$G$8:$H$14,2,FALSE),YES_Writing_ELA[#Headers],0))=0,"",INDEX(_xlfn.VSTACK(YES_Writing_ELA[#Data],YES_Writing_FLA[#Data]),MATCH($A577,_xlfn.VSTACK(YES_Writing_ELA[Student Number],YES_Writing_FLA[Student Number]),0),MATCH(VLOOKUP(G$7,'Writing Logic'!$J$7:$K$11,2,FALSE)&amp;" - Per "&amp;VLOOKUP($C$4,'Writing Logic'!$G$8:$H$14,2,FALSE),YES_Writing_ELA[#Headers],0)))="INS",'Writing Logic'!$B$7,IF(INDEX(_xlfn.VSTACK(YES_Writing_ELA[#Data],YES_Writing_FLA[#Data]),MATCH($A577,_xlfn.VSTACK(YES_Writing_ELA[Student Number],YES_Writing_FLA[Student Number]),0),MATCH(VLOOKUP(G$7,'Writing Logic'!$J$7:$K$11,2,FALSE)&amp;" - Per "&amp;VLOOKUP($C$4,'Writing Logic'!$G$8:$H$14,2,FALSE),YES_Writing_ELA[#Headers],0))=0,"",INDEX(_xlfn.VSTACK(YES_Writing_ELA[#Data],YES_Writing_FLA[#Data]),MATCH($A577,_xlfn.VSTACK(YES_Writing_ELA[Student Number],YES_Writing_FLA[Student Number]),0),MATCH(VLOOKUP(G$7,'Writing Logic'!$J$7:$K$11,2,FALSE)&amp;" - Per "&amp;VLOOKUP($C$4,'Writing Logic'!$G$8:$H$14,2,FALSE),YES_Writing_ELA[#Headers],0)))),"")</f>
        <v/>
      </c>
      <c r="H577" s="138" t="str">
        <f>IFERROR(IF(IF(INDEX(_xlfn.VSTACK(YES_Writing_ELA[#Data],YES_Writing_FLA[#Data]),MATCH($A577,_xlfn.VSTACK(YES_Writing_ELA[Student Number],YES_Writing_FLA[Student Number]),0),MATCH(VLOOKUP(H$7,'Writing Logic'!$J$7:$K$11,2,FALSE)&amp;" - Per "&amp;VLOOKUP($C$4,'Writing Logic'!$G$8:$H$14,2,FALSE),YES_Writing_ELA[#Headers],0))=0,"",INDEX(_xlfn.VSTACK(YES_Writing_ELA[#Data],YES_Writing_FLA[#Data]),MATCH($A577,_xlfn.VSTACK(YES_Writing_ELA[Student Number],YES_Writing_FLA[Student Number]),0),MATCH(VLOOKUP(H$7,'Writing Logic'!$J$7:$K$11,2,FALSE)&amp;" - Per "&amp;VLOOKUP($C$4,'Writing Logic'!$G$8:$H$14,2,FALSE),YES_Writing_ELA[#Headers],0)))="INS",'Writing Logic'!$B$7,IF(INDEX(_xlfn.VSTACK(YES_Writing_ELA[#Data],YES_Writing_FLA[#Data]),MATCH($A577,_xlfn.VSTACK(YES_Writing_ELA[Student Number],YES_Writing_FLA[Student Number]),0),MATCH(VLOOKUP(H$7,'Writing Logic'!$J$7:$K$11,2,FALSE)&amp;" - Per "&amp;VLOOKUP($C$4,'Writing Logic'!$G$8:$H$14,2,FALSE),YES_Writing_ELA[#Headers],0))=0,"",INDEX(_xlfn.VSTACK(YES_Writing_ELA[#Data],YES_Writing_FLA[#Data]),MATCH($A577,_xlfn.VSTACK(YES_Writing_ELA[Student Number],YES_Writing_FLA[Student Number]),0),MATCH(VLOOKUP(H$7,'Writing Logic'!$J$7:$K$11,2,FALSE)&amp;" - Per "&amp;VLOOKUP($C$4,'Writing Logic'!$G$8:$H$14,2,FALSE),YES_Writing_ELA[#Headers],0)))),"")</f>
        <v/>
      </c>
    </row>
    <row r="578" spans="1:8" x14ac:dyDescent="0.25">
      <c r="A578" s="137"/>
      <c r="B578" s="137" t="str">
        <f>IFERROR(INDEX(_xlfn.VSTACK(YES_Writing_ELA[#Data], YES_Writing_FLA[#Data]),MATCH($A578,_xlfn.VSTACK(YES_Writing_ELA[Student Number], YES_Writing_FLA[Student Number]),0),MATCH(B$7,YES_Writing_ELA[#Headers],0)),"")</f>
        <v/>
      </c>
      <c r="C578" s="137" t="str">
        <f>IFERROR(INDEX(_xlfn.VSTACK(YES_Writing_ELA[#Data], YES_Writing_FLA[#Data]),MATCH($A578,_xlfn.VSTACK(YES_Writing_ELA[Student Number], YES_Writing_FLA[Student Number]),0),MATCH(C$7,YES_Writing_ELA[#Headers],0)),"")</f>
        <v/>
      </c>
      <c r="D578" s="138" t="str">
        <f>IFERROR(IF(IF(INDEX(_xlfn.VSTACK(YES_Writing_ELA[#Data],YES_Writing_FLA[#Data]),MATCH($A578,_xlfn.VSTACK(YES_Writing_ELA[Student Number],YES_Writing_FLA[Student Number]),0),MATCH(VLOOKUP(D$7,'Writing Logic'!$J$7:$K$11,2,FALSE)&amp;" - Per "&amp;VLOOKUP($C$4,'Writing Logic'!$G$8:$H$14,2,FALSE),YES_Writing_ELA[#Headers],0))=0,"",INDEX(_xlfn.VSTACK(YES_Writing_ELA[#Data],YES_Writing_FLA[#Data]),MATCH($A578,_xlfn.VSTACK(YES_Writing_ELA[Student Number],YES_Writing_FLA[Student Number]),0),MATCH(VLOOKUP(D$7,'Writing Logic'!$J$7:$K$11,2,FALSE)&amp;" - Per "&amp;VLOOKUP($C$4,'Writing Logic'!$G$8:$H$14,2,FALSE),YES_Writing_ELA[#Headers],0)))="INS",'Writing Logic'!$B$7,IF(INDEX(_xlfn.VSTACK(YES_Writing_ELA[#Data],YES_Writing_FLA[#Data]),MATCH($A578,_xlfn.VSTACK(YES_Writing_ELA[Student Number],YES_Writing_FLA[Student Number]),0),MATCH(VLOOKUP(D$7,'Writing Logic'!$J$7:$K$11,2,FALSE)&amp;" - Per "&amp;VLOOKUP($C$4,'Writing Logic'!$G$8:$H$14,2,FALSE),YES_Writing_ELA[#Headers],0))=0,"",INDEX(_xlfn.VSTACK(YES_Writing_ELA[#Data],YES_Writing_FLA[#Data]),MATCH($A578,_xlfn.VSTACK(YES_Writing_ELA[Student Number],YES_Writing_FLA[Student Number]),0),MATCH(VLOOKUP(D$7,'Writing Logic'!$J$7:$K$11,2,FALSE)&amp;" - Per "&amp;VLOOKUP($C$4,'Writing Logic'!$G$8:$H$14,2,FALSE),YES_Writing_ELA[#Headers],0)))),"")</f>
        <v/>
      </c>
      <c r="E578" s="138" t="str">
        <f>IFERROR(IF(IF(INDEX(_xlfn.VSTACK(YES_Writing_ELA[#Data],YES_Writing_FLA[#Data]),MATCH($A578,_xlfn.VSTACK(YES_Writing_ELA[Student Number],YES_Writing_FLA[Student Number]),0),MATCH(VLOOKUP(E$7,'Writing Logic'!$J$7:$K$11,2,FALSE)&amp;" - Per "&amp;VLOOKUP($C$4,'Writing Logic'!$G$8:$H$14,2,FALSE),YES_Writing_ELA[#Headers],0))=0,"",INDEX(_xlfn.VSTACK(YES_Writing_ELA[#Data],YES_Writing_FLA[#Data]),MATCH($A578,_xlfn.VSTACK(YES_Writing_ELA[Student Number],YES_Writing_FLA[Student Number]),0),MATCH(VLOOKUP(E$7,'Writing Logic'!$J$7:$K$11,2,FALSE)&amp;" - Per "&amp;VLOOKUP($C$4,'Writing Logic'!$G$8:$H$14,2,FALSE),YES_Writing_ELA[#Headers],0)))="INS",'Writing Logic'!$B$7,IF(INDEX(_xlfn.VSTACK(YES_Writing_ELA[#Data],YES_Writing_FLA[#Data]),MATCH($A578,_xlfn.VSTACK(YES_Writing_ELA[Student Number],YES_Writing_FLA[Student Number]),0),MATCH(VLOOKUP(E$7,'Writing Logic'!$J$7:$K$11,2,FALSE)&amp;" - Per "&amp;VLOOKUP($C$4,'Writing Logic'!$G$8:$H$14,2,FALSE),YES_Writing_ELA[#Headers],0))=0,"",INDEX(_xlfn.VSTACK(YES_Writing_ELA[#Data],YES_Writing_FLA[#Data]),MATCH($A578,_xlfn.VSTACK(YES_Writing_ELA[Student Number],YES_Writing_FLA[Student Number]),0),MATCH(VLOOKUP(E$7,'Writing Logic'!$J$7:$K$11,2,FALSE)&amp;" - Per "&amp;VLOOKUP($C$4,'Writing Logic'!$G$8:$H$14,2,FALSE),YES_Writing_ELA[#Headers],0)))),"")</f>
        <v/>
      </c>
      <c r="F578" s="138" t="str">
        <f>IFERROR(IF(IF(INDEX(_xlfn.VSTACK(YES_Writing_ELA[#Data],YES_Writing_FLA[#Data]),MATCH($A578,_xlfn.VSTACK(YES_Writing_ELA[Student Number],YES_Writing_FLA[Student Number]),0),MATCH(VLOOKUP(F$7,'Writing Logic'!$J$7:$K$11,2,FALSE)&amp;" - Per "&amp;VLOOKUP($C$4,'Writing Logic'!$G$8:$H$14,2,FALSE),YES_Writing_ELA[#Headers],0))=0,"",INDEX(_xlfn.VSTACK(YES_Writing_ELA[#Data],YES_Writing_FLA[#Data]),MATCH($A578,_xlfn.VSTACK(YES_Writing_ELA[Student Number],YES_Writing_FLA[Student Number]),0),MATCH(VLOOKUP(F$7,'Writing Logic'!$J$7:$K$11,2,FALSE)&amp;" - Per "&amp;VLOOKUP($C$4,'Writing Logic'!$G$8:$H$14,2,FALSE),YES_Writing_ELA[#Headers],0)))="INS",'Writing Logic'!$B$7,IF(INDEX(_xlfn.VSTACK(YES_Writing_ELA[#Data],YES_Writing_FLA[#Data]),MATCH($A578,_xlfn.VSTACK(YES_Writing_ELA[Student Number],YES_Writing_FLA[Student Number]),0),MATCH(VLOOKUP(F$7,'Writing Logic'!$J$7:$K$11,2,FALSE)&amp;" - Per "&amp;VLOOKUP($C$4,'Writing Logic'!$G$8:$H$14,2,FALSE),YES_Writing_ELA[#Headers],0))=0,"",INDEX(_xlfn.VSTACK(YES_Writing_ELA[#Data],YES_Writing_FLA[#Data]),MATCH($A578,_xlfn.VSTACK(YES_Writing_ELA[Student Number],YES_Writing_FLA[Student Number]),0),MATCH(VLOOKUP(F$7,'Writing Logic'!$J$7:$K$11,2,FALSE)&amp;" - Per "&amp;VLOOKUP($C$4,'Writing Logic'!$G$8:$H$14,2,FALSE),YES_Writing_ELA[#Headers],0)))),"")</f>
        <v/>
      </c>
      <c r="G578" s="138" t="str">
        <f>IFERROR(IF(IF(INDEX(_xlfn.VSTACK(YES_Writing_ELA[#Data],YES_Writing_FLA[#Data]),MATCH($A578,_xlfn.VSTACK(YES_Writing_ELA[Student Number],YES_Writing_FLA[Student Number]),0),MATCH(VLOOKUP(G$7,'Writing Logic'!$J$7:$K$11,2,FALSE)&amp;" - Per "&amp;VLOOKUP($C$4,'Writing Logic'!$G$8:$H$14,2,FALSE),YES_Writing_ELA[#Headers],0))=0,"",INDEX(_xlfn.VSTACK(YES_Writing_ELA[#Data],YES_Writing_FLA[#Data]),MATCH($A578,_xlfn.VSTACK(YES_Writing_ELA[Student Number],YES_Writing_FLA[Student Number]),0),MATCH(VLOOKUP(G$7,'Writing Logic'!$J$7:$K$11,2,FALSE)&amp;" - Per "&amp;VLOOKUP($C$4,'Writing Logic'!$G$8:$H$14,2,FALSE),YES_Writing_ELA[#Headers],0)))="INS",'Writing Logic'!$B$7,IF(INDEX(_xlfn.VSTACK(YES_Writing_ELA[#Data],YES_Writing_FLA[#Data]),MATCH($A578,_xlfn.VSTACK(YES_Writing_ELA[Student Number],YES_Writing_FLA[Student Number]),0),MATCH(VLOOKUP(G$7,'Writing Logic'!$J$7:$K$11,2,FALSE)&amp;" - Per "&amp;VLOOKUP($C$4,'Writing Logic'!$G$8:$H$14,2,FALSE),YES_Writing_ELA[#Headers],0))=0,"",INDEX(_xlfn.VSTACK(YES_Writing_ELA[#Data],YES_Writing_FLA[#Data]),MATCH($A578,_xlfn.VSTACK(YES_Writing_ELA[Student Number],YES_Writing_FLA[Student Number]),0),MATCH(VLOOKUP(G$7,'Writing Logic'!$J$7:$K$11,2,FALSE)&amp;" - Per "&amp;VLOOKUP($C$4,'Writing Logic'!$G$8:$H$14,2,FALSE),YES_Writing_ELA[#Headers],0)))),"")</f>
        <v/>
      </c>
      <c r="H578" s="138" t="str">
        <f>IFERROR(IF(IF(INDEX(_xlfn.VSTACK(YES_Writing_ELA[#Data],YES_Writing_FLA[#Data]),MATCH($A578,_xlfn.VSTACK(YES_Writing_ELA[Student Number],YES_Writing_FLA[Student Number]),0),MATCH(VLOOKUP(H$7,'Writing Logic'!$J$7:$K$11,2,FALSE)&amp;" - Per "&amp;VLOOKUP($C$4,'Writing Logic'!$G$8:$H$14,2,FALSE),YES_Writing_ELA[#Headers],0))=0,"",INDEX(_xlfn.VSTACK(YES_Writing_ELA[#Data],YES_Writing_FLA[#Data]),MATCH($A578,_xlfn.VSTACK(YES_Writing_ELA[Student Number],YES_Writing_FLA[Student Number]),0),MATCH(VLOOKUP(H$7,'Writing Logic'!$J$7:$K$11,2,FALSE)&amp;" - Per "&amp;VLOOKUP($C$4,'Writing Logic'!$G$8:$H$14,2,FALSE),YES_Writing_ELA[#Headers],0)))="INS",'Writing Logic'!$B$7,IF(INDEX(_xlfn.VSTACK(YES_Writing_ELA[#Data],YES_Writing_FLA[#Data]),MATCH($A578,_xlfn.VSTACK(YES_Writing_ELA[Student Number],YES_Writing_FLA[Student Number]),0),MATCH(VLOOKUP(H$7,'Writing Logic'!$J$7:$K$11,2,FALSE)&amp;" - Per "&amp;VLOOKUP($C$4,'Writing Logic'!$G$8:$H$14,2,FALSE),YES_Writing_ELA[#Headers],0))=0,"",INDEX(_xlfn.VSTACK(YES_Writing_ELA[#Data],YES_Writing_FLA[#Data]),MATCH($A578,_xlfn.VSTACK(YES_Writing_ELA[Student Number],YES_Writing_FLA[Student Number]),0),MATCH(VLOOKUP(H$7,'Writing Logic'!$J$7:$K$11,2,FALSE)&amp;" - Per "&amp;VLOOKUP($C$4,'Writing Logic'!$G$8:$H$14,2,FALSE),YES_Writing_ELA[#Headers],0)))),"")</f>
        <v/>
      </c>
    </row>
    <row r="579" spans="1:8" x14ac:dyDescent="0.25">
      <c r="A579" s="137"/>
      <c r="B579" s="137" t="str">
        <f>IFERROR(INDEX(_xlfn.VSTACK(YES_Writing_ELA[#Data], YES_Writing_FLA[#Data]),MATCH($A579,_xlfn.VSTACK(YES_Writing_ELA[Student Number], YES_Writing_FLA[Student Number]),0),MATCH(B$7,YES_Writing_ELA[#Headers],0)),"")</f>
        <v/>
      </c>
      <c r="C579" s="137" t="str">
        <f>IFERROR(INDEX(_xlfn.VSTACK(YES_Writing_ELA[#Data], YES_Writing_FLA[#Data]),MATCH($A579,_xlfn.VSTACK(YES_Writing_ELA[Student Number], YES_Writing_FLA[Student Number]),0),MATCH(C$7,YES_Writing_ELA[#Headers],0)),"")</f>
        <v/>
      </c>
      <c r="D579" s="138" t="str">
        <f>IFERROR(IF(IF(INDEX(_xlfn.VSTACK(YES_Writing_ELA[#Data],YES_Writing_FLA[#Data]),MATCH($A579,_xlfn.VSTACK(YES_Writing_ELA[Student Number],YES_Writing_FLA[Student Number]),0),MATCH(VLOOKUP(D$7,'Writing Logic'!$J$7:$K$11,2,FALSE)&amp;" - Per "&amp;VLOOKUP($C$4,'Writing Logic'!$G$8:$H$14,2,FALSE),YES_Writing_ELA[#Headers],0))=0,"",INDEX(_xlfn.VSTACK(YES_Writing_ELA[#Data],YES_Writing_FLA[#Data]),MATCH($A579,_xlfn.VSTACK(YES_Writing_ELA[Student Number],YES_Writing_FLA[Student Number]),0),MATCH(VLOOKUP(D$7,'Writing Logic'!$J$7:$K$11,2,FALSE)&amp;" - Per "&amp;VLOOKUP($C$4,'Writing Logic'!$G$8:$H$14,2,FALSE),YES_Writing_ELA[#Headers],0)))="INS",'Writing Logic'!$B$7,IF(INDEX(_xlfn.VSTACK(YES_Writing_ELA[#Data],YES_Writing_FLA[#Data]),MATCH($A579,_xlfn.VSTACK(YES_Writing_ELA[Student Number],YES_Writing_FLA[Student Number]),0),MATCH(VLOOKUP(D$7,'Writing Logic'!$J$7:$K$11,2,FALSE)&amp;" - Per "&amp;VLOOKUP($C$4,'Writing Logic'!$G$8:$H$14,2,FALSE),YES_Writing_ELA[#Headers],0))=0,"",INDEX(_xlfn.VSTACK(YES_Writing_ELA[#Data],YES_Writing_FLA[#Data]),MATCH($A579,_xlfn.VSTACK(YES_Writing_ELA[Student Number],YES_Writing_FLA[Student Number]),0),MATCH(VLOOKUP(D$7,'Writing Logic'!$J$7:$K$11,2,FALSE)&amp;" - Per "&amp;VLOOKUP($C$4,'Writing Logic'!$G$8:$H$14,2,FALSE),YES_Writing_ELA[#Headers],0)))),"")</f>
        <v/>
      </c>
      <c r="E579" s="138" t="str">
        <f>IFERROR(IF(IF(INDEX(_xlfn.VSTACK(YES_Writing_ELA[#Data],YES_Writing_FLA[#Data]),MATCH($A579,_xlfn.VSTACK(YES_Writing_ELA[Student Number],YES_Writing_FLA[Student Number]),0),MATCH(VLOOKUP(E$7,'Writing Logic'!$J$7:$K$11,2,FALSE)&amp;" - Per "&amp;VLOOKUP($C$4,'Writing Logic'!$G$8:$H$14,2,FALSE),YES_Writing_ELA[#Headers],0))=0,"",INDEX(_xlfn.VSTACK(YES_Writing_ELA[#Data],YES_Writing_FLA[#Data]),MATCH($A579,_xlfn.VSTACK(YES_Writing_ELA[Student Number],YES_Writing_FLA[Student Number]),0),MATCH(VLOOKUP(E$7,'Writing Logic'!$J$7:$K$11,2,FALSE)&amp;" - Per "&amp;VLOOKUP($C$4,'Writing Logic'!$G$8:$H$14,2,FALSE),YES_Writing_ELA[#Headers],0)))="INS",'Writing Logic'!$B$7,IF(INDEX(_xlfn.VSTACK(YES_Writing_ELA[#Data],YES_Writing_FLA[#Data]),MATCH($A579,_xlfn.VSTACK(YES_Writing_ELA[Student Number],YES_Writing_FLA[Student Number]),0),MATCH(VLOOKUP(E$7,'Writing Logic'!$J$7:$K$11,2,FALSE)&amp;" - Per "&amp;VLOOKUP($C$4,'Writing Logic'!$G$8:$H$14,2,FALSE),YES_Writing_ELA[#Headers],0))=0,"",INDEX(_xlfn.VSTACK(YES_Writing_ELA[#Data],YES_Writing_FLA[#Data]),MATCH($A579,_xlfn.VSTACK(YES_Writing_ELA[Student Number],YES_Writing_FLA[Student Number]),0),MATCH(VLOOKUP(E$7,'Writing Logic'!$J$7:$K$11,2,FALSE)&amp;" - Per "&amp;VLOOKUP($C$4,'Writing Logic'!$G$8:$H$14,2,FALSE),YES_Writing_ELA[#Headers],0)))),"")</f>
        <v/>
      </c>
      <c r="F579" s="138" t="str">
        <f>IFERROR(IF(IF(INDEX(_xlfn.VSTACK(YES_Writing_ELA[#Data],YES_Writing_FLA[#Data]),MATCH($A579,_xlfn.VSTACK(YES_Writing_ELA[Student Number],YES_Writing_FLA[Student Number]),0),MATCH(VLOOKUP(F$7,'Writing Logic'!$J$7:$K$11,2,FALSE)&amp;" - Per "&amp;VLOOKUP($C$4,'Writing Logic'!$G$8:$H$14,2,FALSE),YES_Writing_ELA[#Headers],0))=0,"",INDEX(_xlfn.VSTACK(YES_Writing_ELA[#Data],YES_Writing_FLA[#Data]),MATCH($A579,_xlfn.VSTACK(YES_Writing_ELA[Student Number],YES_Writing_FLA[Student Number]),0),MATCH(VLOOKUP(F$7,'Writing Logic'!$J$7:$K$11,2,FALSE)&amp;" - Per "&amp;VLOOKUP($C$4,'Writing Logic'!$G$8:$H$14,2,FALSE),YES_Writing_ELA[#Headers],0)))="INS",'Writing Logic'!$B$7,IF(INDEX(_xlfn.VSTACK(YES_Writing_ELA[#Data],YES_Writing_FLA[#Data]),MATCH($A579,_xlfn.VSTACK(YES_Writing_ELA[Student Number],YES_Writing_FLA[Student Number]),0),MATCH(VLOOKUP(F$7,'Writing Logic'!$J$7:$K$11,2,FALSE)&amp;" - Per "&amp;VLOOKUP($C$4,'Writing Logic'!$G$8:$H$14,2,FALSE),YES_Writing_ELA[#Headers],0))=0,"",INDEX(_xlfn.VSTACK(YES_Writing_ELA[#Data],YES_Writing_FLA[#Data]),MATCH($A579,_xlfn.VSTACK(YES_Writing_ELA[Student Number],YES_Writing_FLA[Student Number]),0),MATCH(VLOOKUP(F$7,'Writing Logic'!$J$7:$K$11,2,FALSE)&amp;" - Per "&amp;VLOOKUP($C$4,'Writing Logic'!$G$8:$H$14,2,FALSE),YES_Writing_ELA[#Headers],0)))),"")</f>
        <v/>
      </c>
      <c r="G579" s="138" t="str">
        <f>IFERROR(IF(IF(INDEX(_xlfn.VSTACK(YES_Writing_ELA[#Data],YES_Writing_FLA[#Data]),MATCH($A579,_xlfn.VSTACK(YES_Writing_ELA[Student Number],YES_Writing_FLA[Student Number]),0),MATCH(VLOOKUP(G$7,'Writing Logic'!$J$7:$K$11,2,FALSE)&amp;" - Per "&amp;VLOOKUP($C$4,'Writing Logic'!$G$8:$H$14,2,FALSE),YES_Writing_ELA[#Headers],0))=0,"",INDEX(_xlfn.VSTACK(YES_Writing_ELA[#Data],YES_Writing_FLA[#Data]),MATCH($A579,_xlfn.VSTACK(YES_Writing_ELA[Student Number],YES_Writing_FLA[Student Number]),0),MATCH(VLOOKUP(G$7,'Writing Logic'!$J$7:$K$11,2,FALSE)&amp;" - Per "&amp;VLOOKUP($C$4,'Writing Logic'!$G$8:$H$14,2,FALSE),YES_Writing_ELA[#Headers],0)))="INS",'Writing Logic'!$B$7,IF(INDEX(_xlfn.VSTACK(YES_Writing_ELA[#Data],YES_Writing_FLA[#Data]),MATCH($A579,_xlfn.VSTACK(YES_Writing_ELA[Student Number],YES_Writing_FLA[Student Number]),0),MATCH(VLOOKUP(G$7,'Writing Logic'!$J$7:$K$11,2,FALSE)&amp;" - Per "&amp;VLOOKUP($C$4,'Writing Logic'!$G$8:$H$14,2,FALSE),YES_Writing_ELA[#Headers],0))=0,"",INDEX(_xlfn.VSTACK(YES_Writing_ELA[#Data],YES_Writing_FLA[#Data]),MATCH($A579,_xlfn.VSTACK(YES_Writing_ELA[Student Number],YES_Writing_FLA[Student Number]),0),MATCH(VLOOKUP(G$7,'Writing Logic'!$J$7:$K$11,2,FALSE)&amp;" - Per "&amp;VLOOKUP($C$4,'Writing Logic'!$G$8:$H$14,2,FALSE),YES_Writing_ELA[#Headers],0)))),"")</f>
        <v/>
      </c>
      <c r="H579" s="138" t="str">
        <f>IFERROR(IF(IF(INDEX(_xlfn.VSTACK(YES_Writing_ELA[#Data],YES_Writing_FLA[#Data]),MATCH($A579,_xlfn.VSTACK(YES_Writing_ELA[Student Number],YES_Writing_FLA[Student Number]),0),MATCH(VLOOKUP(H$7,'Writing Logic'!$J$7:$K$11,2,FALSE)&amp;" - Per "&amp;VLOOKUP($C$4,'Writing Logic'!$G$8:$H$14,2,FALSE),YES_Writing_ELA[#Headers],0))=0,"",INDEX(_xlfn.VSTACK(YES_Writing_ELA[#Data],YES_Writing_FLA[#Data]),MATCH($A579,_xlfn.VSTACK(YES_Writing_ELA[Student Number],YES_Writing_FLA[Student Number]),0),MATCH(VLOOKUP(H$7,'Writing Logic'!$J$7:$K$11,2,FALSE)&amp;" - Per "&amp;VLOOKUP($C$4,'Writing Logic'!$G$8:$H$14,2,FALSE),YES_Writing_ELA[#Headers],0)))="INS",'Writing Logic'!$B$7,IF(INDEX(_xlfn.VSTACK(YES_Writing_ELA[#Data],YES_Writing_FLA[#Data]),MATCH($A579,_xlfn.VSTACK(YES_Writing_ELA[Student Number],YES_Writing_FLA[Student Number]),0),MATCH(VLOOKUP(H$7,'Writing Logic'!$J$7:$K$11,2,FALSE)&amp;" - Per "&amp;VLOOKUP($C$4,'Writing Logic'!$G$8:$H$14,2,FALSE),YES_Writing_ELA[#Headers],0))=0,"",INDEX(_xlfn.VSTACK(YES_Writing_ELA[#Data],YES_Writing_FLA[#Data]),MATCH($A579,_xlfn.VSTACK(YES_Writing_ELA[Student Number],YES_Writing_FLA[Student Number]),0),MATCH(VLOOKUP(H$7,'Writing Logic'!$J$7:$K$11,2,FALSE)&amp;" - Per "&amp;VLOOKUP($C$4,'Writing Logic'!$G$8:$H$14,2,FALSE),YES_Writing_ELA[#Headers],0)))),"")</f>
        <v/>
      </c>
    </row>
    <row r="580" spans="1:8" x14ac:dyDescent="0.25">
      <c r="A580" s="137"/>
      <c r="B580" s="137" t="str">
        <f>IFERROR(INDEX(_xlfn.VSTACK(YES_Writing_ELA[#Data], YES_Writing_FLA[#Data]),MATCH($A580,_xlfn.VSTACK(YES_Writing_ELA[Student Number], YES_Writing_FLA[Student Number]),0),MATCH(B$7,YES_Writing_ELA[#Headers],0)),"")</f>
        <v/>
      </c>
      <c r="C580" s="137" t="str">
        <f>IFERROR(INDEX(_xlfn.VSTACK(YES_Writing_ELA[#Data], YES_Writing_FLA[#Data]),MATCH($A580,_xlfn.VSTACK(YES_Writing_ELA[Student Number], YES_Writing_FLA[Student Number]),0),MATCH(C$7,YES_Writing_ELA[#Headers],0)),"")</f>
        <v/>
      </c>
      <c r="D580" s="138" t="str">
        <f>IFERROR(IF(IF(INDEX(_xlfn.VSTACK(YES_Writing_ELA[#Data],YES_Writing_FLA[#Data]),MATCH($A580,_xlfn.VSTACK(YES_Writing_ELA[Student Number],YES_Writing_FLA[Student Number]),0),MATCH(VLOOKUP(D$7,'Writing Logic'!$J$7:$K$11,2,FALSE)&amp;" - Per "&amp;VLOOKUP($C$4,'Writing Logic'!$G$8:$H$14,2,FALSE),YES_Writing_ELA[#Headers],0))=0,"",INDEX(_xlfn.VSTACK(YES_Writing_ELA[#Data],YES_Writing_FLA[#Data]),MATCH($A580,_xlfn.VSTACK(YES_Writing_ELA[Student Number],YES_Writing_FLA[Student Number]),0),MATCH(VLOOKUP(D$7,'Writing Logic'!$J$7:$K$11,2,FALSE)&amp;" - Per "&amp;VLOOKUP($C$4,'Writing Logic'!$G$8:$H$14,2,FALSE),YES_Writing_ELA[#Headers],0)))="INS",'Writing Logic'!$B$7,IF(INDEX(_xlfn.VSTACK(YES_Writing_ELA[#Data],YES_Writing_FLA[#Data]),MATCH($A580,_xlfn.VSTACK(YES_Writing_ELA[Student Number],YES_Writing_FLA[Student Number]),0),MATCH(VLOOKUP(D$7,'Writing Logic'!$J$7:$K$11,2,FALSE)&amp;" - Per "&amp;VLOOKUP($C$4,'Writing Logic'!$G$8:$H$14,2,FALSE),YES_Writing_ELA[#Headers],0))=0,"",INDEX(_xlfn.VSTACK(YES_Writing_ELA[#Data],YES_Writing_FLA[#Data]),MATCH($A580,_xlfn.VSTACK(YES_Writing_ELA[Student Number],YES_Writing_FLA[Student Number]),0),MATCH(VLOOKUP(D$7,'Writing Logic'!$J$7:$K$11,2,FALSE)&amp;" - Per "&amp;VLOOKUP($C$4,'Writing Logic'!$G$8:$H$14,2,FALSE),YES_Writing_ELA[#Headers],0)))),"")</f>
        <v/>
      </c>
      <c r="E580" s="138" t="str">
        <f>IFERROR(IF(IF(INDEX(_xlfn.VSTACK(YES_Writing_ELA[#Data],YES_Writing_FLA[#Data]),MATCH($A580,_xlfn.VSTACK(YES_Writing_ELA[Student Number],YES_Writing_FLA[Student Number]),0),MATCH(VLOOKUP(E$7,'Writing Logic'!$J$7:$K$11,2,FALSE)&amp;" - Per "&amp;VLOOKUP($C$4,'Writing Logic'!$G$8:$H$14,2,FALSE),YES_Writing_ELA[#Headers],0))=0,"",INDEX(_xlfn.VSTACK(YES_Writing_ELA[#Data],YES_Writing_FLA[#Data]),MATCH($A580,_xlfn.VSTACK(YES_Writing_ELA[Student Number],YES_Writing_FLA[Student Number]),0),MATCH(VLOOKUP(E$7,'Writing Logic'!$J$7:$K$11,2,FALSE)&amp;" - Per "&amp;VLOOKUP($C$4,'Writing Logic'!$G$8:$H$14,2,FALSE),YES_Writing_ELA[#Headers],0)))="INS",'Writing Logic'!$B$7,IF(INDEX(_xlfn.VSTACK(YES_Writing_ELA[#Data],YES_Writing_FLA[#Data]),MATCH($A580,_xlfn.VSTACK(YES_Writing_ELA[Student Number],YES_Writing_FLA[Student Number]),0),MATCH(VLOOKUP(E$7,'Writing Logic'!$J$7:$K$11,2,FALSE)&amp;" - Per "&amp;VLOOKUP($C$4,'Writing Logic'!$G$8:$H$14,2,FALSE),YES_Writing_ELA[#Headers],0))=0,"",INDEX(_xlfn.VSTACK(YES_Writing_ELA[#Data],YES_Writing_FLA[#Data]),MATCH($A580,_xlfn.VSTACK(YES_Writing_ELA[Student Number],YES_Writing_FLA[Student Number]),0),MATCH(VLOOKUP(E$7,'Writing Logic'!$J$7:$K$11,2,FALSE)&amp;" - Per "&amp;VLOOKUP($C$4,'Writing Logic'!$G$8:$H$14,2,FALSE),YES_Writing_ELA[#Headers],0)))),"")</f>
        <v/>
      </c>
      <c r="F580" s="138" t="str">
        <f>IFERROR(IF(IF(INDEX(_xlfn.VSTACK(YES_Writing_ELA[#Data],YES_Writing_FLA[#Data]),MATCH($A580,_xlfn.VSTACK(YES_Writing_ELA[Student Number],YES_Writing_FLA[Student Number]),0),MATCH(VLOOKUP(F$7,'Writing Logic'!$J$7:$K$11,2,FALSE)&amp;" - Per "&amp;VLOOKUP($C$4,'Writing Logic'!$G$8:$H$14,2,FALSE),YES_Writing_ELA[#Headers],0))=0,"",INDEX(_xlfn.VSTACK(YES_Writing_ELA[#Data],YES_Writing_FLA[#Data]),MATCH($A580,_xlfn.VSTACK(YES_Writing_ELA[Student Number],YES_Writing_FLA[Student Number]),0),MATCH(VLOOKUP(F$7,'Writing Logic'!$J$7:$K$11,2,FALSE)&amp;" - Per "&amp;VLOOKUP($C$4,'Writing Logic'!$G$8:$H$14,2,FALSE),YES_Writing_ELA[#Headers],0)))="INS",'Writing Logic'!$B$7,IF(INDEX(_xlfn.VSTACK(YES_Writing_ELA[#Data],YES_Writing_FLA[#Data]),MATCH($A580,_xlfn.VSTACK(YES_Writing_ELA[Student Number],YES_Writing_FLA[Student Number]),0),MATCH(VLOOKUP(F$7,'Writing Logic'!$J$7:$K$11,2,FALSE)&amp;" - Per "&amp;VLOOKUP($C$4,'Writing Logic'!$G$8:$H$14,2,FALSE),YES_Writing_ELA[#Headers],0))=0,"",INDEX(_xlfn.VSTACK(YES_Writing_ELA[#Data],YES_Writing_FLA[#Data]),MATCH($A580,_xlfn.VSTACK(YES_Writing_ELA[Student Number],YES_Writing_FLA[Student Number]),0),MATCH(VLOOKUP(F$7,'Writing Logic'!$J$7:$K$11,2,FALSE)&amp;" - Per "&amp;VLOOKUP($C$4,'Writing Logic'!$G$8:$H$14,2,FALSE),YES_Writing_ELA[#Headers],0)))),"")</f>
        <v/>
      </c>
      <c r="G580" s="138" t="str">
        <f>IFERROR(IF(IF(INDEX(_xlfn.VSTACK(YES_Writing_ELA[#Data],YES_Writing_FLA[#Data]),MATCH($A580,_xlfn.VSTACK(YES_Writing_ELA[Student Number],YES_Writing_FLA[Student Number]),0),MATCH(VLOOKUP(G$7,'Writing Logic'!$J$7:$K$11,2,FALSE)&amp;" - Per "&amp;VLOOKUP($C$4,'Writing Logic'!$G$8:$H$14,2,FALSE),YES_Writing_ELA[#Headers],0))=0,"",INDEX(_xlfn.VSTACK(YES_Writing_ELA[#Data],YES_Writing_FLA[#Data]),MATCH($A580,_xlfn.VSTACK(YES_Writing_ELA[Student Number],YES_Writing_FLA[Student Number]),0),MATCH(VLOOKUP(G$7,'Writing Logic'!$J$7:$K$11,2,FALSE)&amp;" - Per "&amp;VLOOKUP($C$4,'Writing Logic'!$G$8:$H$14,2,FALSE),YES_Writing_ELA[#Headers],0)))="INS",'Writing Logic'!$B$7,IF(INDEX(_xlfn.VSTACK(YES_Writing_ELA[#Data],YES_Writing_FLA[#Data]),MATCH($A580,_xlfn.VSTACK(YES_Writing_ELA[Student Number],YES_Writing_FLA[Student Number]),0),MATCH(VLOOKUP(G$7,'Writing Logic'!$J$7:$K$11,2,FALSE)&amp;" - Per "&amp;VLOOKUP($C$4,'Writing Logic'!$G$8:$H$14,2,FALSE),YES_Writing_ELA[#Headers],0))=0,"",INDEX(_xlfn.VSTACK(YES_Writing_ELA[#Data],YES_Writing_FLA[#Data]),MATCH($A580,_xlfn.VSTACK(YES_Writing_ELA[Student Number],YES_Writing_FLA[Student Number]),0),MATCH(VLOOKUP(G$7,'Writing Logic'!$J$7:$K$11,2,FALSE)&amp;" - Per "&amp;VLOOKUP($C$4,'Writing Logic'!$G$8:$H$14,2,FALSE),YES_Writing_ELA[#Headers],0)))),"")</f>
        <v/>
      </c>
      <c r="H580" s="138" t="str">
        <f>IFERROR(IF(IF(INDEX(_xlfn.VSTACK(YES_Writing_ELA[#Data],YES_Writing_FLA[#Data]),MATCH($A580,_xlfn.VSTACK(YES_Writing_ELA[Student Number],YES_Writing_FLA[Student Number]),0),MATCH(VLOOKUP(H$7,'Writing Logic'!$J$7:$K$11,2,FALSE)&amp;" - Per "&amp;VLOOKUP($C$4,'Writing Logic'!$G$8:$H$14,2,FALSE),YES_Writing_ELA[#Headers],0))=0,"",INDEX(_xlfn.VSTACK(YES_Writing_ELA[#Data],YES_Writing_FLA[#Data]),MATCH($A580,_xlfn.VSTACK(YES_Writing_ELA[Student Number],YES_Writing_FLA[Student Number]),0),MATCH(VLOOKUP(H$7,'Writing Logic'!$J$7:$K$11,2,FALSE)&amp;" - Per "&amp;VLOOKUP($C$4,'Writing Logic'!$G$8:$H$14,2,FALSE),YES_Writing_ELA[#Headers],0)))="INS",'Writing Logic'!$B$7,IF(INDEX(_xlfn.VSTACK(YES_Writing_ELA[#Data],YES_Writing_FLA[#Data]),MATCH($A580,_xlfn.VSTACK(YES_Writing_ELA[Student Number],YES_Writing_FLA[Student Number]),0),MATCH(VLOOKUP(H$7,'Writing Logic'!$J$7:$K$11,2,FALSE)&amp;" - Per "&amp;VLOOKUP($C$4,'Writing Logic'!$G$8:$H$14,2,FALSE),YES_Writing_ELA[#Headers],0))=0,"",INDEX(_xlfn.VSTACK(YES_Writing_ELA[#Data],YES_Writing_FLA[#Data]),MATCH($A580,_xlfn.VSTACK(YES_Writing_ELA[Student Number],YES_Writing_FLA[Student Number]),0),MATCH(VLOOKUP(H$7,'Writing Logic'!$J$7:$K$11,2,FALSE)&amp;" - Per "&amp;VLOOKUP($C$4,'Writing Logic'!$G$8:$H$14,2,FALSE),YES_Writing_ELA[#Headers],0)))),"")</f>
        <v/>
      </c>
    </row>
    <row r="581" spans="1:8" x14ac:dyDescent="0.25">
      <c r="A581" s="137"/>
      <c r="B581" s="137" t="str">
        <f>IFERROR(INDEX(_xlfn.VSTACK(YES_Writing_ELA[#Data], YES_Writing_FLA[#Data]),MATCH($A581,_xlfn.VSTACK(YES_Writing_ELA[Student Number], YES_Writing_FLA[Student Number]),0),MATCH(B$7,YES_Writing_ELA[#Headers],0)),"")</f>
        <v/>
      </c>
      <c r="C581" s="137" t="str">
        <f>IFERROR(INDEX(_xlfn.VSTACK(YES_Writing_ELA[#Data], YES_Writing_FLA[#Data]),MATCH($A581,_xlfn.VSTACK(YES_Writing_ELA[Student Number], YES_Writing_FLA[Student Number]),0),MATCH(C$7,YES_Writing_ELA[#Headers],0)),"")</f>
        <v/>
      </c>
      <c r="D581" s="138" t="str">
        <f>IFERROR(IF(IF(INDEX(_xlfn.VSTACK(YES_Writing_ELA[#Data],YES_Writing_FLA[#Data]),MATCH($A581,_xlfn.VSTACK(YES_Writing_ELA[Student Number],YES_Writing_FLA[Student Number]),0),MATCH(VLOOKUP(D$7,'Writing Logic'!$J$7:$K$11,2,FALSE)&amp;" - Per "&amp;VLOOKUP($C$4,'Writing Logic'!$G$8:$H$14,2,FALSE),YES_Writing_ELA[#Headers],0))=0,"",INDEX(_xlfn.VSTACK(YES_Writing_ELA[#Data],YES_Writing_FLA[#Data]),MATCH($A581,_xlfn.VSTACK(YES_Writing_ELA[Student Number],YES_Writing_FLA[Student Number]),0),MATCH(VLOOKUP(D$7,'Writing Logic'!$J$7:$K$11,2,FALSE)&amp;" - Per "&amp;VLOOKUP($C$4,'Writing Logic'!$G$8:$H$14,2,FALSE),YES_Writing_ELA[#Headers],0)))="INS",'Writing Logic'!$B$7,IF(INDEX(_xlfn.VSTACK(YES_Writing_ELA[#Data],YES_Writing_FLA[#Data]),MATCH($A581,_xlfn.VSTACK(YES_Writing_ELA[Student Number],YES_Writing_FLA[Student Number]),0),MATCH(VLOOKUP(D$7,'Writing Logic'!$J$7:$K$11,2,FALSE)&amp;" - Per "&amp;VLOOKUP($C$4,'Writing Logic'!$G$8:$H$14,2,FALSE),YES_Writing_ELA[#Headers],0))=0,"",INDEX(_xlfn.VSTACK(YES_Writing_ELA[#Data],YES_Writing_FLA[#Data]),MATCH($A581,_xlfn.VSTACK(YES_Writing_ELA[Student Number],YES_Writing_FLA[Student Number]),0),MATCH(VLOOKUP(D$7,'Writing Logic'!$J$7:$K$11,2,FALSE)&amp;" - Per "&amp;VLOOKUP($C$4,'Writing Logic'!$G$8:$H$14,2,FALSE),YES_Writing_ELA[#Headers],0)))),"")</f>
        <v/>
      </c>
      <c r="E581" s="138" t="str">
        <f>IFERROR(IF(IF(INDEX(_xlfn.VSTACK(YES_Writing_ELA[#Data],YES_Writing_FLA[#Data]),MATCH($A581,_xlfn.VSTACK(YES_Writing_ELA[Student Number],YES_Writing_FLA[Student Number]),0),MATCH(VLOOKUP(E$7,'Writing Logic'!$J$7:$K$11,2,FALSE)&amp;" - Per "&amp;VLOOKUP($C$4,'Writing Logic'!$G$8:$H$14,2,FALSE),YES_Writing_ELA[#Headers],0))=0,"",INDEX(_xlfn.VSTACK(YES_Writing_ELA[#Data],YES_Writing_FLA[#Data]),MATCH($A581,_xlfn.VSTACK(YES_Writing_ELA[Student Number],YES_Writing_FLA[Student Number]),0),MATCH(VLOOKUP(E$7,'Writing Logic'!$J$7:$K$11,2,FALSE)&amp;" - Per "&amp;VLOOKUP($C$4,'Writing Logic'!$G$8:$H$14,2,FALSE),YES_Writing_ELA[#Headers],0)))="INS",'Writing Logic'!$B$7,IF(INDEX(_xlfn.VSTACK(YES_Writing_ELA[#Data],YES_Writing_FLA[#Data]),MATCH($A581,_xlfn.VSTACK(YES_Writing_ELA[Student Number],YES_Writing_FLA[Student Number]),0),MATCH(VLOOKUP(E$7,'Writing Logic'!$J$7:$K$11,2,FALSE)&amp;" - Per "&amp;VLOOKUP($C$4,'Writing Logic'!$G$8:$H$14,2,FALSE),YES_Writing_ELA[#Headers],0))=0,"",INDEX(_xlfn.VSTACK(YES_Writing_ELA[#Data],YES_Writing_FLA[#Data]),MATCH($A581,_xlfn.VSTACK(YES_Writing_ELA[Student Number],YES_Writing_FLA[Student Number]),0),MATCH(VLOOKUP(E$7,'Writing Logic'!$J$7:$K$11,2,FALSE)&amp;" - Per "&amp;VLOOKUP($C$4,'Writing Logic'!$G$8:$H$14,2,FALSE),YES_Writing_ELA[#Headers],0)))),"")</f>
        <v/>
      </c>
      <c r="F581" s="138" t="str">
        <f>IFERROR(IF(IF(INDEX(_xlfn.VSTACK(YES_Writing_ELA[#Data],YES_Writing_FLA[#Data]),MATCH($A581,_xlfn.VSTACK(YES_Writing_ELA[Student Number],YES_Writing_FLA[Student Number]),0),MATCH(VLOOKUP(F$7,'Writing Logic'!$J$7:$K$11,2,FALSE)&amp;" - Per "&amp;VLOOKUP($C$4,'Writing Logic'!$G$8:$H$14,2,FALSE),YES_Writing_ELA[#Headers],0))=0,"",INDEX(_xlfn.VSTACK(YES_Writing_ELA[#Data],YES_Writing_FLA[#Data]),MATCH($A581,_xlfn.VSTACK(YES_Writing_ELA[Student Number],YES_Writing_FLA[Student Number]),0),MATCH(VLOOKUP(F$7,'Writing Logic'!$J$7:$K$11,2,FALSE)&amp;" - Per "&amp;VLOOKUP($C$4,'Writing Logic'!$G$8:$H$14,2,FALSE),YES_Writing_ELA[#Headers],0)))="INS",'Writing Logic'!$B$7,IF(INDEX(_xlfn.VSTACK(YES_Writing_ELA[#Data],YES_Writing_FLA[#Data]),MATCH($A581,_xlfn.VSTACK(YES_Writing_ELA[Student Number],YES_Writing_FLA[Student Number]),0),MATCH(VLOOKUP(F$7,'Writing Logic'!$J$7:$K$11,2,FALSE)&amp;" - Per "&amp;VLOOKUP($C$4,'Writing Logic'!$G$8:$H$14,2,FALSE),YES_Writing_ELA[#Headers],0))=0,"",INDEX(_xlfn.VSTACK(YES_Writing_ELA[#Data],YES_Writing_FLA[#Data]),MATCH($A581,_xlfn.VSTACK(YES_Writing_ELA[Student Number],YES_Writing_FLA[Student Number]),0),MATCH(VLOOKUP(F$7,'Writing Logic'!$J$7:$K$11,2,FALSE)&amp;" - Per "&amp;VLOOKUP($C$4,'Writing Logic'!$G$8:$H$14,2,FALSE),YES_Writing_ELA[#Headers],0)))),"")</f>
        <v/>
      </c>
      <c r="G581" s="138" t="str">
        <f>IFERROR(IF(IF(INDEX(_xlfn.VSTACK(YES_Writing_ELA[#Data],YES_Writing_FLA[#Data]),MATCH($A581,_xlfn.VSTACK(YES_Writing_ELA[Student Number],YES_Writing_FLA[Student Number]),0),MATCH(VLOOKUP(G$7,'Writing Logic'!$J$7:$K$11,2,FALSE)&amp;" - Per "&amp;VLOOKUP($C$4,'Writing Logic'!$G$8:$H$14,2,FALSE),YES_Writing_ELA[#Headers],0))=0,"",INDEX(_xlfn.VSTACK(YES_Writing_ELA[#Data],YES_Writing_FLA[#Data]),MATCH($A581,_xlfn.VSTACK(YES_Writing_ELA[Student Number],YES_Writing_FLA[Student Number]),0),MATCH(VLOOKUP(G$7,'Writing Logic'!$J$7:$K$11,2,FALSE)&amp;" - Per "&amp;VLOOKUP($C$4,'Writing Logic'!$G$8:$H$14,2,FALSE),YES_Writing_ELA[#Headers],0)))="INS",'Writing Logic'!$B$7,IF(INDEX(_xlfn.VSTACK(YES_Writing_ELA[#Data],YES_Writing_FLA[#Data]),MATCH($A581,_xlfn.VSTACK(YES_Writing_ELA[Student Number],YES_Writing_FLA[Student Number]),0),MATCH(VLOOKUP(G$7,'Writing Logic'!$J$7:$K$11,2,FALSE)&amp;" - Per "&amp;VLOOKUP($C$4,'Writing Logic'!$G$8:$H$14,2,FALSE),YES_Writing_ELA[#Headers],0))=0,"",INDEX(_xlfn.VSTACK(YES_Writing_ELA[#Data],YES_Writing_FLA[#Data]),MATCH($A581,_xlfn.VSTACK(YES_Writing_ELA[Student Number],YES_Writing_FLA[Student Number]),0),MATCH(VLOOKUP(G$7,'Writing Logic'!$J$7:$K$11,2,FALSE)&amp;" - Per "&amp;VLOOKUP($C$4,'Writing Logic'!$G$8:$H$14,2,FALSE),YES_Writing_ELA[#Headers],0)))),"")</f>
        <v/>
      </c>
      <c r="H581" s="138" t="str">
        <f>IFERROR(IF(IF(INDEX(_xlfn.VSTACK(YES_Writing_ELA[#Data],YES_Writing_FLA[#Data]),MATCH($A581,_xlfn.VSTACK(YES_Writing_ELA[Student Number],YES_Writing_FLA[Student Number]),0),MATCH(VLOOKUP(H$7,'Writing Logic'!$J$7:$K$11,2,FALSE)&amp;" - Per "&amp;VLOOKUP($C$4,'Writing Logic'!$G$8:$H$14,2,FALSE),YES_Writing_ELA[#Headers],0))=0,"",INDEX(_xlfn.VSTACK(YES_Writing_ELA[#Data],YES_Writing_FLA[#Data]),MATCH($A581,_xlfn.VSTACK(YES_Writing_ELA[Student Number],YES_Writing_FLA[Student Number]),0),MATCH(VLOOKUP(H$7,'Writing Logic'!$J$7:$K$11,2,FALSE)&amp;" - Per "&amp;VLOOKUP($C$4,'Writing Logic'!$G$8:$H$14,2,FALSE),YES_Writing_ELA[#Headers],0)))="INS",'Writing Logic'!$B$7,IF(INDEX(_xlfn.VSTACK(YES_Writing_ELA[#Data],YES_Writing_FLA[#Data]),MATCH($A581,_xlfn.VSTACK(YES_Writing_ELA[Student Number],YES_Writing_FLA[Student Number]),0),MATCH(VLOOKUP(H$7,'Writing Logic'!$J$7:$K$11,2,FALSE)&amp;" - Per "&amp;VLOOKUP($C$4,'Writing Logic'!$G$8:$H$14,2,FALSE),YES_Writing_ELA[#Headers],0))=0,"",INDEX(_xlfn.VSTACK(YES_Writing_ELA[#Data],YES_Writing_FLA[#Data]),MATCH($A581,_xlfn.VSTACK(YES_Writing_ELA[Student Number],YES_Writing_FLA[Student Number]),0),MATCH(VLOOKUP(H$7,'Writing Logic'!$J$7:$K$11,2,FALSE)&amp;" - Per "&amp;VLOOKUP($C$4,'Writing Logic'!$G$8:$H$14,2,FALSE),YES_Writing_ELA[#Headers],0)))),"")</f>
        <v/>
      </c>
    </row>
    <row r="582" spans="1:8" x14ac:dyDescent="0.25">
      <c r="A582" s="137"/>
      <c r="B582" s="137" t="str">
        <f>IFERROR(INDEX(_xlfn.VSTACK(YES_Writing_ELA[#Data], YES_Writing_FLA[#Data]),MATCH($A582,_xlfn.VSTACK(YES_Writing_ELA[Student Number], YES_Writing_FLA[Student Number]),0),MATCH(B$7,YES_Writing_ELA[#Headers],0)),"")</f>
        <v/>
      </c>
      <c r="C582" s="137" t="str">
        <f>IFERROR(INDEX(_xlfn.VSTACK(YES_Writing_ELA[#Data], YES_Writing_FLA[#Data]),MATCH($A582,_xlfn.VSTACK(YES_Writing_ELA[Student Number], YES_Writing_FLA[Student Number]),0),MATCH(C$7,YES_Writing_ELA[#Headers],0)),"")</f>
        <v/>
      </c>
      <c r="D582" s="138" t="str">
        <f>IFERROR(IF(IF(INDEX(_xlfn.VSTACK(YES_Writing_ELA[#Data],YES_Writing_FLA[#Data]),MATCH($A582,_xlfn.VSTACK(YES_Writing_ELA[Student Number],YES_Writing_FLA[Student Number]),0),MATCH(VLOOKUP(D$7,'Writing Logic'!$J$7:$K$11,2,FALSE)&amp;" - Per "&amp;VLOOKUP($C$4,'Writing Logic'!$G$8:$H$14,2,FALSE),YES_Writing_ELA[#Headers],0))=0,"",INDEX(_xlfn.VSTACK(YES_Writing_ELA[#Data],YES_Writing_FLA[#Data]),MATCH($A582,_xlfn.VSTACK(YES_Writing_ELA[Student Number],YES_Writing_FLA[Student Number]),0),MATCH(VLOOKUP(D$7,'Writing Logic'!$J$7:$K$11,2,FALSE)&amp;" - Per "&amp;VLOOKUP($C$4,'Writing Logic'!$G$8:$H$14,2,FALSE),YES_Writing_ELA[#Headers],0)))="INS",'Writing Logic'!$B$7,IF(INDEX(_xlfn.VSTACK(YES_Writing_ELA[#Data],YES_Writing_FLA[#Data]),MATCH($A582,_xlfn.VSTACK(YES_Writing_ELA[Student Number],YES_Writing_FLA[Student Number]),0),MATCH(VLOOKUP(D$7,'Writing Logic'!$J$7:$K$11,2,FALSE)&amp;" - Per "&amp;VLOOKUP($C$4,'Writing Logic'!$G$8:$H$14,2,FALSE),YES_Writing_ELA[#Headers],0))=0,"",INDEX(_xlfn.VSTACK(YES_Writing_ELA[#Data],YES_Writing_FLA[#Data]),MATCH($A582,_xlfn.VSTACK(YES_Writing_ELA[Student Number],YES_Writing_FLA[Student Number]),0),MATCH(VLOOKUP(D$7,'Writing Logic'!$J$7:$K$11,2,FALSE)&amp;" - Per "&amp;VLOOKUP($C$4,'Writing Logic'!$G$8:$H$14,2,FALSE),YES_Writing_ELA[#Headers],0)))),"")</f>
        <v/>
      </c>
      <c r="E582" s="138" t="str">
        <f>IFERROR(IF(IF(INDEX(_xlfn.VSTACK(YES_Writing_ELA[#Data],YES_Writing_FLA[#Data]),MATCH($A582,_xlfn.VSTACK(YES_Writing_ELA[Student Number],YES_Writing_FLA[Student Number]),0),MATCH(VLOOKUP(E$7,'Writing Logic'!$J$7:$K$11,2,FALSE)&amp;" - Per "&amp;VLOOKUP($C$4,'Writing Logic'!$G$8:$H$14,2,FALSE),YES_Writing_ELA[#Headers],0))=0,"",INDEX(_xlfn.VSTACK(YES_Writing_ELA[#Data],YES_Writing_FLA[#Data]),MATCH($A582,_xlfn.VSTACK(YES_Writing_ELA[Student Number],YES_Writing_FLA[Student Number]),0),MATCH(VLOOKUP(E$7,'Writing Logic'!$J$7:$K$11,2,FALSE)&amp;" - Per "&amp;VLOOKUP($C$4,'Writing Logic'!$G$8:$H$14,2,FALSE),YES_Writing_ELA[#Headers],0)))="INS",'Writing Logic'!$B$7,IF(INDEX(_xlfn.VSTACK(YES_Writing_ELA[#Data],YES_Writing_FLA[#Data]),MATCH($A582,_xlfn.VSTACK(YES_Writing_ELA[Student Number],YES_Writing_FLA[Student Number]),0),MATCH(VLOOKUP(E$7,'Writing Logic'!$J$7:$K$11,2,FALSE)&amp;" - Per "&amp;VLOOKUP($C$4,'Writing Logic'!$G$8:$H$14,2,FALSE),YES_Writing_ELA[#Headers],0))=0,"",INDEX(_xlfn.VSTACK(YES_Writing_ELA[#Data],YES_Writing_FLA[#Data]),MATCH($A582,_xlfn.VSTACK(YES_Writing_ELA[Student Number],YES_Writing_FLA[Student Number]),0),MATCH(VLOOKUP(E$7,'Writing Logic'!$J$7:$K$11,2,FALSE)&amp;" - Per "&amp;VLOOKUP($C$4,'Writing Logic'!$G$8:$H$14,2,FALSE),YES_Writing_ELA[#Headers],0)))),"")</f>
        <v/>
      </c>
      <c r="F582" s="138" t="str">
        <f>IFERROR(IF(IF(INDEX(_xlfn.VSTACK(YES_Writing_ELA[#Data],YES_Writing_FLA[#Data]),MATCH($A582,_xlfn.VSTACK(YES_Writing_ELA[Student Number],YES_Writing_FLA[Student Number]),0),MATCH(VLOOKUP(F$7,'Writing Logic'!$J$7:$K$11,2,FALSE)&amp;" - Per "&amp;VLOOKUP($C$4,'Writing Logic'!$G$8:$H$14,2,FALSE),YES_Writing_ELA[#Headers],0))=0,"",INDEX(_xlfn.VSTACK(YES_Writing_ELA[#Data],YES_Writing_FLA[#Data]),MATCH($A582,_xlfn.VSTACK(YES_Writing_ELA[Student Number],YES_Writing_FLA[Student Number]),0),MATCH(VLOOKUP(F$7,'Writing Logic'!$J$7:$K$11,2,FALSE)&amp;" - Per "&amp;VLOOKUP($C$4,'Writing Logic'!$G$8:$H$14,2,FALSE),YES_Writing_ELA[#Headers],0)))="INS",'Writing Logic'!$B$7,IF(INDEX(_xlfn.VSTACK(YES_Writing_ELA[#Data],YES_Writing_FLA[#Data]),MATCH($A582,_xlfn.VSTACK(YES_Writing_ELA[Student Number],YES_Writing_FLA[Student Number]),0),MATCH(VLOOKUP(F$7,'Writing Logic'!$J$7:$K$11,2,FALSE)&amp;" - Per "&amp;VLOOKUP($C$4,'Writing Logic'!$G$8:$H$14,2,FALSE),YES_Writing_ELA[#Headers],0))=0,"",INDEX(_xlfn.VSTACK(YES_Writing_ELA[#Data],YES_Writing_FLA[#Data]),MATCH($A582,_xlfn.VSTACK(YES_Writing_ELA[Student Number],YES_Writing_FLA[Student Number]),0),MATCH(VLOOKUP(F$7,'Writing Logic'!$J$7:$K$11,2,FALSE)&amp;" - Per "&amp;VLOOKUP($C$4,'Writing Logic'!$G$8:$H$14,2,FALSE),YES_Writing_ELA[#Headers],0)))),"")</f>
        <v/>
      </c>
      <c r="G582" s="138" t="str">
        <f>IFERROR(IF(IF(INDEX(_xlfn.VSTACK(YES_Writing_ELA[#Data],YES_Writing_FLA[#Data]),MATCH($A582,_xlfn.VSTACK(YES_Writing_ELA[Student Number],YES_Writing_FLA[Student Number]),0),MATCH(VLOOKUP(G$7,'Writing Logic'!$J$7:$K$11,2,FALSE)&amp;" - Per "&amp;VLOOKUP($C$4,'Writing Logic'!$G$8:$H$14,2,FALSE),YES_Writing_ELA[#Headers],0))=0,"",INDEX(_xlfn.VSTACK(YES_Writing_ELA[#Data],YES_Writing_FLA[#Data]),MATCH($A582,_xlfn.VSTACK(YES_Writing_ELA[Student Number],YES_Writing_FLA[Student Number]),0),MATCH(VLOOKUP(G$7,'Writing Logic'!$J$7:$K$11,2,FALSE)&amp;" - Per "&amp;VLOOKUP($C$4,'Writing Logic'!$G$8:$H$14,2,FALSE),YES_Writing_ELA[#Headers],0)))="INS",'Writing Logic'!$B$7,IF(INDEX(_xlfn.VSTACK(YES_Writing_ELA[#Data],YES_Writing_FLA[#Data]),MATCH($A582,_xlfn.VSTACK(YES_Writing_ELA[Student Number],YES_Writing_FLA[Student Number]),0),MATCH(VLOOKUP(G$7,'Writing Logic'!$J$7:$K$11,2,FALSE)&amp;" - Per "&amp;VLOOKUP($C$4,'Writing Logic'!$G$8:$H$14,2,FALSE),YES_Writing_ELA[#Headers],0))=0,"",INDEX(_xlfn.VSTACK(YES_Writing_ELA[#Data],YES_Writing_FLA[#Data]),MATCH($A582,_xlfn.VSTACK(YES_Writing_ELA[Student Number],YES_Writing_FLA[Student Number]),0),MATCH(VLOOKUP(G$7,'Writing Logic'!$J$7:$K$11,2,FALSE)&amp;" - Per "&amp;VLOOKUP($C$4,'Writing Logic'!$G$8:$H$14,2,FALSE),YES_Writing_ELA[#Headers],0)))),"")</f>
        <v/>
      </c>
      <c r="H582" s="138" t="str">
        <f>IFERROR(IF(IF(INDEX(_xlfn.VSTACK(YES_Writing_ELA[#Data],YES_Writing_FLA[#Data]),MATCH($A582,_xlfn.VSTACK(YES_Writing_ELA[Student Number],YES_Writing_FLA[Student Number]),0),MATCH(VLOOKUP(H$7,'Writing Logic'!$J$7:$K$11,2,FALSE)&amp;" - Per "&amp;VLOOKUP($C$4,'Writing Logic'!$G$8:$H$14,2,FALSE),YES_Writing_ELA[#Headers],0))=0,"",INDEX(_xlfn.VSTACK(YES_Writing_ELA[#Data],YES_Writing_FLA[#Data]),MATCH($A582,_xlfn.VSTACK(YES_Writing_ELA[Student Number],YES_Writing_FLA[Student Number]),0),MATCH(VLOOKUP(H$7,'Writing Logic'!$J$7:$K$11,2,FALSE)&amp;" - Per "&amp;VLOOKUP($C$4,'Writing Logic'!$G$8:$H$14,2,FALSE),YES_Writing_ELA[#Headers],0)))="INS",'Writing Logic'!$B$7,IF(INDEX(_xlfn.VSTACK(YES_Writing_ELA[#Data],YES_Writing_FLA[#Data]),MATCH($A582,_xlfn.VSTACK(YES_Writing_ELA[Student Number],YES_Writing_FLA[Student Number]),0),MATCH(VLOOKUP(H$7,'Writing Logic'!$J$7:$K$11,2,FALSE)&amp;" - Per "&amp;VLOOKUP($C$4,'Writing Logic'!$G$8:$H$14,2,FALSE),YES_Writing_ELA[#Headers],0))=0,"",INDEX(_xlfn.VSTACK(YES_Writing_ELA[#Data],YES_Writing_FLA[#Data]),MATCH($A582,_xlfn.VSTACK(YES_Writing_ELA[Student Number],YES_Writing_FLA[Student Number]),0),MATCH(VLOOKUP(H$7,'Writing Logic'!$J$7:$K$11,2,FALSE)&amp;" - Per "&amp;VLOOKUP($C$4,'Writing Logic'!$G$8:$H$14,2,FALSE),YES_Writing_ELA[#Headers],0)))),"")</f>
        <v/>
      </c>
    </row>
    <row r="583" spans="1:8" x14ac:dyDescent="0.25">
      <c r="A583" s="137"/>
      <c r="B583" s="137" t="str">
        <f>IFERROR(INDEX(_xlfn.VSTACK(YES_Writing_ELA[#Data], YES_Writing_FLA[#Data]),MATCH($A583,_xlfn.VSTACK(YES_Writing_ELA[Student Number], YES_Writing_FLA[Student Number]),0),MATCH(B$7,YES_Writing_ELA[#Headers],0)),"")</f>
        <v/>
      </c>
      <c r="C583" s="137" t="str">
        <f>IFERROR(INDEX(_xlfn.VSTACK(YES_Writing_ELA[#Data], YES_Writing_FLA[#Data]),MATCH($A583,_xlfn.VSTACK(YES_Writing_ELA[Student Number], YES_Writing_FLA[Student Number]),0),MATCH(C$7,YES_Writing_ELA[#Headers],0)),"")</f>
        <v/>
      </c>
      <c r="D583" s="138" t="str">
        <f>IFERROR(IF(IF(INDEX(_xlfn.VSTACK(YES_Writing_ELA[#Data],YES_Writing_FLA[#Data]),MATCH($A583,_xlfn.VSTACK(YES_Writing_ELA[Student Number],YES_Writing_FLA[Student Number]),0),MATCH(VLOOKUP(D$7,'Writing Logic'!$J$7:$K$11,2,FALSE)&amp;" - Per "&amp;VLOOKUP($C$4,'Writing Logic'!$G$8:$H$14,2,FALSE),YES_Writing_ELA[#Headers],0))=0,"",INDEX(_xlfn.VSTACK(YES_Writing_ELA[#Data],YES_Writing_FLA[#Data]),MATCH($A583,_xlfn.VSTACK(YES_Writing_ELA[Student Number],YES_Writing_FLA[Student Number]),0),MATCH(VLOOKUP(D$7,'Writing Logic'!$J$7:$K$11,2,FALSE)&amp;" - Per "&amp;VLOOKUP($C$4,'Writing Logic'!$G$8:$H$14,2,FALSE),YES_Writing_ELA[#Headers],0)))="INS",'Writing Logic'!$B$7,IF(INDEX(_xlfn.VSTACK(YES_Writing_ELA[#Data],YES_Writing_FLA[#Data]),MATCH($A583,_xlfn.VSTACK(YES_Writing_ELA[Student Number],YES_Writing_FLA[Student Number]),0),MATCH(VLOOKUP(D$7,'Writing Logic'!$J$7:$K$11,2,FALSE)&amp;" - Per "&amp;VLOOKUP($C$4,'Writing Logic'!$G$8:$H$14,2,FALSE),YES_Writing_ELA[#Headers],0))=0,"",INDEX(_xlfn.VSTACK(YES_Writing_ELA[#Data],YES_Writing_FLA[#Data]),MATCH($A583,_xlfn.VSTACK(YES_Writing_ELA[Student Number],YES_Writing_FLA[Student Number]),0),MATCH(VLOOKUP(D$7,'Writing Logic'!$J$7:$K$11,2,FALSE)&amp;" - Per "&amp;VLOOKUP($C$4,'Writing Logic'!$G$8:$H$14,2,FALSE),YES_Writing_ELA[#Headers],0)))),"")</f>
        <v/>
      </c>
      <c r="E583" s="138" t="str">
        <f>IFERROR(IF(IF(INDEX(_xlfn.VSTACK(YES_Writing_ELA[#Data],YES_Writing_FLA[#Data]),MATCH($A583,_xlfn.VSTACK(YES_Writing_ELA[Student Number],YES_Writing_FLA[Student Number]),0),MATCH(VLOOKUP(E$7,'Writing Logic'!$J$7:$K$11,2,FALSE)&amp;" - Per "&amp;VLOOKUP($C$4,'Writing Logic'!$G$8:$H$14,2,FALSE),YES_Writing_ELA[#Headers],0))=0,"",INDEX(_xlfn.VSTACK(YES_Writing_ELA[#Data],YES_Writing_FLA[#Data]),MATCH($A583,_xlfn.VSTACK(YES_Writing_ELA[Student Number],YES_Writing_FLA[Student Number]),0),MATCH(VLOOKUP(E$7,'Writing Logic'!$J$7:$K$11,2,FALSE)&amp;" - Per "&amp;VLOOKUP($C$4,'Writing Logic'!$G$8:$H$14,2,FALSE),YES_Writing_ELA[#Headers],0)))="INS",'Writing Logic'!$B$7,IF(INDEX(_xlfn.VSTACK(YES_Writing_ELA[#Data],YES_Writing_FLA[#Data]),MATCH($A583,_xlfn.VSTACK(YES_Writing_ELA[Student Number],YES_Writing_FLA[Student Number]),0),MATCH(VLOOKUP(E$7,'Writing Logic'!$J$7:$K$11,2,FALSE)&amp;" - Per "&amp;VLOOKUP($C$4,'Writing Logic'!$G$8:$H$14,2,FALSE),YES_Writing_ELA[#Headers],0))=0,"",INDEX(_xlfn.VSTACK(YES_Writing_ELA[#Data],YES_Writing_FLA[#Data]),MATCH($A583,_xlfn.VSTACK(YES_Writing_ELA[Student Number],YES_Writing_FLA[Student Number]),0),MATCH(VLOOKUP(E$7,'Writing Logic'!$J$7:$K$11,2,FALSE)&amp;" - Per "&amp;VLOOKUP($C$4,'Writing Logic'!$G$8:$H$14,2,FALSE),YES_Writing_ELA[#Headers],0)))),"")</f>
        <v/>
      </c>
      <c r="F583" s="138" t="str">
        <f>IFERROR(IF(IF(INDEX(_xlfn.VSTACK(YES_Writing_ELA[#Data],YES_Writing_FLA[#Data]),MATCH($A583,_xlfn.VSTACK(YES_Writing_ELA[Student Number],YES_Writing_FLA[Student Number]),0),MATCH(VLOOKUP(F$7,'Writing Logic'!$J$7:$K$11,2,FALSE)&amp;" - Per "&amp;VLOOKUP($C$4,'Writing Logic'!$G$8:$H$14,2,FALSE),YES_Writing_ELA[#Headers],0))=0,"",INDEX(_xlfn.VSTACK(YES_Writing_ELA[#Data],YES_Writing_FLA[#Data]),MATCH($A583,_xlfn.VSTACK(YES_Writing_ELA[Student Number],YES_Writing_FLA[Student Number]),0),MATCH(VLOOKUP(F$7,'Writing Logic'!$J$7:$K$11,2,FALSE)&amp;" - Per "&amp;VLOOKUP($C$4,'Writing Logic'!$G$8:$H$14,2,FALSE),YES_Writing_ELA[#Headers],0)))="INS",'Writing Logic'!$B$7,IF(INDEX(_xlfn.VSTACK(YES_Writing_ELA[#Data],YES_Writing_FLA[#Data]),MATCH($A583,_xlfn.VSTACK(YES_Writing_ELA[Student Number],YES_Writing_FLA[Student Number]),0),MATCH(VLOOKUP(F$7,'Writing Logic'!$J$7:$K$11,2,FALSE)&amp;" - Per "&amp;VLOOKUP($C$4,'Writing Logic'!$G$8:$H$14,2,FALSE),YES_Writing_ELA[#Headers],0))=0,"",INDEX(_xlfn.VSTACK(YES_Writing_ELA[#Data],YES_Writing_FLA[#Data]),MATCH($A583,_xlfn.VSTACK(YES_Writing_ELA[Student Number],YES_Writing_FLA[Student Number]),0),MATCH(VLOOKUP(F$7,'Writing Logic'!$J$7:$K$11,2,FALSE)&amp;" - Per "&amp;VLOOKUP($C$4,'Writing Logic'!$G$8:$H$14,2,FALSE),YES_Writing_ELA[#Headers],0)))),"")</f>
        <v/>
      </c>
      <c r="G583" s="138" t="str">
        <f>IFERROR(IF(IF(INDEX(_xlfn.VSTACK(YES_Writing_ELA[#Data],YES_Writing_FLA[#Data]),MATCH($A583,_xlfn.VSTACK(YES_Writing_ELA[Student Number],YES_Writing_FLA[Student Number]),0),MATCH(VLOOKUP(G$7,'Writing Logic'!$J$7:$K$11,2,FALSE)&amp;" - Per "&amp;VLOOKUP($C$4,'Writing Logic'!$G$8:$H$14,2,FALSE),YES_Writing_ELA[#Headers],0))=0,"",INDEX(_xlfn.VSTACK(YES_Writing_ELA[#Data],YES_Writing_FLA[#Data]),MATCH($A583,_xlfn.VSTACK(YES_Writing_ELA[Student Number],YES_Writing_FLA[Student Number]),0),MATCH(VLOOKUP(G$7,'Writing Logic'!$J$7:$K$11,2,FALSE)&amp;" - Per "&amp;VLOOKUP($C$4,'Writing Logic'!$G$8:$H$14,2,FALSE),YES_Writing_ELA[#Headers],0)))="INS",'Writing Logic'!$B$7,IF(INDEX(_xlfn.VSTACK(YES_Writing_ELA[#Data],YES_Writing_FLA[#Data]),MATCH($A583,_xlfn.VSTACK(YES_Writing_ELA[Student Number],YES_Writing_FLA[Student Number]),0),MATCH(VLOOKUP(G$7,'Writing Logic'!$J$7:$K$11,2,FALSE)&amp;" - Per "&amp;VLOOKUP($C$4,'Writing Logic'!$G$8:$H$14,2,FALSE),YES_Writing_ELA[#Headers],0))=0,"",INDEX(_xlfn.VSTACK(YES_Writing_ELA[#Data],YES_Writing_FLA[#Data]),MATCH($A583,_xlfn.VSTACK(YES_Writing_ELA[Student Number],YES_Writing_FLA[Student Number]),0),MATCH(VLOOKUP(G$7,'Writing Logic'!$J$7:$K$11,2,FALSE)&amp;" - Per "&amp;VLOOKUP($C$4,'Writing Logic'!$G$8:$H$14,2,FALSE),YES_Writing_ELA[#Headers],0)))),"")</f>
        <v/>
      </c>
      <c r="H583" s="138" t="str">
        <f>IFERROR(IF(IF(INDEX(_xlfn.VSTACK(YES_Writing_ELA[#Data],YES_Writing_FLA[#Data]),MATCH($A583,_xlfn.VSTACK(YES_Writing_ELA[Student Number],YES_Writing_FLA[Student Number]),0),MATCH(VLOOKUP(H$7,'Writing Logic'!$J$7:$K$11,2,FALSE)&amp;" - Per "&amp;VLOOKUP($C$4,'Writing Logic'!$G$8:$H$14,2,FALSE),YES_Writing_ELA[#Headers],0))=0,"",INDEX(_xlfn.VSTACK(YES_Writing_ELA[#Data],YES_Writing_FLA[#Data]),MATCH($A583,_xlfn.VSTACK(YES_Writing_ELA[Student Number],YES_Writing_FLA[Student Number]),0),MATCH(VLOOKUP(H$7,'Writing Logic'!$J$7:$K$11,2,FALSE)&amp;" - Per "&amp;VLOOKUP($C$4,'Writing Logic'!$G$8:$H$14,2,FALSE),YES_Writing_ELA[#Headers],0)))="INS",'Writing Logic'!$B$7,IF(INDEX(_xlfn.VSTACK(YES_Writing_ELA[#Data],YES_Writing_FLA[#Data]),MATCH($A583,_xlfn.VSTACK(YES_Writing_ELA[Student Number],YES_Writing_FLA[Student Number]),0),MATCH(VLOOKUP(H$7,'Writing Logic'!$J$7:$K$11,2,FALSE)&amp;" - Per "&amp;VLOOKUP($C$4,'Writing Logic'!$G$8:$H$14,2,FALSE),YES_Writing_ELA[#Headers],0))=0,"",INDEX(_xlfn.VSTACK(YES_Writing_ELA[#Data],YES_Writing_FLA[#Data]),MATCH($A583,_xlfn.VSTACK(YES_Writing_ELA[Student Number],YES_Writing_FLA[Student Number]),0),MATCH(VLOOKUP(H$7,'Writing Logic'!$J$7:$K$11,2,FALSE)&amp;" - Per "&amp;VLOOKUP($C$4,'Writing Logic'!$G$8:$H$14,2,FALSE),YES_Writing_ELA[#Headers],0)))),"")</f>
        <v/>
      </c>
    </row>
    <row r="584" spans="1:8" x14ac:dyDescent="0.25">
      <c r="A584" s="137"/>
      <c r="B584" s="137" t="str">
        <f>IFERROR(INDEX(_xlfn.VSTACK(YES_Writing_ELA[#Data], YES_Writing_FLA[#Data]),MATCH($A584,_xlfn.VSTACK(YES_Writing_ELA[Student Number], YES_Writing_FLA[Student Number]),0),MATCH(B$7,YES_Writing_ELA[#Headers],0)),"")</f>
        <v/>
      </c>
      <c r="C584" s="137" t="str">
        <f>IFERROR(INDEX(_xlfn.VSTACK(YES_Writing_ELA[#Data], YES_Writing_FLA[#Data]),MATCH($A584,_xlfn.VSTACK(YES_Writing_ELA[Student Number], YES_Writing_FLA[Student Number]),0),MATCH(C$7,YES_Writing_ELA[#Headers],0)),"")</f>
        <v/>
      </c>
      <c r="D584" s="138" t="str">
        <f>IFERROR(IF(IF(INDEX(_xlfn.VSTACK(YES_Writing_ELA[#Data],YES_Writing_FLA[#Data]),MATCH($A584,_xlfn.VSTACK(YES_Writing_ELA[Student Number],YES_Writing_FLA[Student Number]),0),MATCH(VLOOKUP(D$7,'Writing Logic'!$J$7:$K$11,2,FALSE)&amp;" - Per "&amp;VLOOKUP($C$4,'Writing Logic'!$G$8:$H$14,2,FALSE),YES_Writing_ELA[#Headers],0))=0,"",INDEX(_xlfn.VSTACK(YES_Writing_ELA[#Data],YES_Writing_FLA[#Data]),MATCH($A584,_xlfn.VSTACK(YES_Writing_ELA[Student Number],YES_Writing_FLA[Student Number]),0),MATCH(VLOOKUP(D$7,'Writing Logic'!$J$7:$K$11,2,FALSE)&amp;" - Per "&amp;VLOOKUP($C$4,'Writing Logic'!$G$8:$H$14,2,FALSE),YES_Writing_ELA[#Headers],0)))="INS",'Writing Logic'!$B$7,IF(INDEX(_xlfn.VSTACK(YES_Writing_ELA[#Data],YES_Writing_FLA[#Data]),MATCH($A584,_xlfn.VSTACK(YES_Writing_ELA[Student Number],YES_Writing_FLA[Student Number]),0),MATCH(VLOOKUP(D$7,'Writing Logic'!$J$7:$K$11,2,FALSE)&amp;" - Per "&amp;VLOOKUP($C$4,'Writing Logic'!$G$8:$H$14,2,FALSE),YES_Writing_ELA[#Headers],0))=0,"",INDEX(_xlfn.VSTACK(YES_Writing_ELA[#Data],YES_Writing_FLA[#Data]),MATCH($A584,_xlfn.VSTACK(YES_Writing_ELA[Student Number],YES_Writing_FLA[Student Number]),0),MATCH(VLOOKUP(D$7,'Writing Logic'!$J$7:$K$11,2,FALSE)&amp;" - Per "&amp;VLOOKUP($C$4,'Writing Logic'!$G$8:$H$14,2,FALSE),YES_Writing_ELA[#Headers],0)))),"")</f>
        <v/>
      </c>
      <c r="E584" s="138" t="str">
        <f>IFERROR(IF(IF(INDEX(_xlfn.VSTACK(YES_Writing_ELA[#Data],YES_Writing_FLA[#Data]),MATCH($A584,_xlfn.VSTACK(YES_Writing_ELA[Student Number],YES_Writing_FLA[Student Number]),0),MATCH(VLOOKUP(E$7,'Writing Logic'!$J$7:$K$11,2,FALSE)&amp;" - Per "&amp;VLOOKUP($C$4,'Writing Logic'!$G$8:$H$14,2,FALSE),YES_Writing_ELA[#Headers],0))=0,"",INDEX(_xlfn.VSTACK(YES_Writing_ELA[#Data],YES_Writing_FLA[#Data]),MATCH($A584,_xlfn.VSTACK(YES_Writing_ELA[Student Number],YES_Writing_FLA[Student Number]),0),MATCH(VLOOKUP(E$7,'Writing Logic'!$J$7:$K$11,2,FALSE)&amp;" - Per "&amp;VLOOKUP($C$4,'Writing Logic'!$G$8:$H$14,2,FALSE),YES_Writing_ELA[#Headers],0)))="INS",'Writing Logic'!$B$7,IF(INDEX(_xlfn.VSTACK(YES_Writing_ELA[#Data],YES_Writing_FLA[#Data]),MATCH($A584,_xlfn.VSTACK(YES_Writing_ELA[Student Number],YES_Writing_FLA[Student Number]),0),MATCH(VLOOKUP(E$7,'Writing Logic'!$J$7:$K$11,2,FALSE)&amp;" - Per "&amp;VLOOKUP($C$4,'Writing Logic'!$G$8:$H$14,2,FALSE),YES_Writing_ELA[#Headers],0))=0,"",INDEX(_xlfn.VSTACK(YES_Writing_ELA[#Data],YES_Writing_FLA[#Data]),MATCH($A584,_xlfn.VSTACK(YES_Writing_ELA[Student Number],YES_Writing_FLA[Student Number]),0),MATCH(VLOOKUP(E$7,'Writing Logic'!$J$7:$K$11,2,FALSE)&amp;" - Per "&amp;VLOOKUP($C$4,'Writing Logic'!$G$8:$H$14,2,FALSE),YES_Writing_ELA[#Headers],0)))),"")</f>
        <v/>
      </c>
      <c r="F584" s="138" t="str">
        <f>IFERROR(IF(IF(INDEX(_xlfn.VSTACK(YES_Writing_ELA[#Data],YES_Writing_FLA[#Data]),MATCH($A584,_xlfn.VSTACK(YES_Writing_ELA[Student Number],YES_Writing_FLA[Student Number]),0),MATCH(VLOOKUP(F$7,'Writing Logic'!$J$7:$K$11,2,FALSE)&amp;" - Per "&amp;VLOOKUP($C$4,'Writing Logic'!$G$8:$H$14,2,FALSE),YES_Writing_ELA[#Headers],0))=0,"",INDEX(_xlfn.VSTACK(YES_Writing_ELA[#Data],YES_Writing_FLA[#Data]),MATCH($A584,_xlfn.VSTACK(YES_Writing_ELA[Student Number],YES_Writing_FLA[Student Number]),0),MATCH(VLOOKUP(F$7,'Writing Logic'!$J$7:$K$11,2,FALSE)&amp;" - Per "&amp;VLOOKUP($C$4,'Writing Logic'!$G$8:$H$14,2,FALSE),YES_Writing_ELA[#Headers],0)))="INS",'Writing Logic'!$B$7,IF(INDEX(_xlfn.VSTACK(YES_Writing_ELA[#Data],YES_Writing_FLA[#Data]),MATCH($A584,_xlfn.VSTACK(YES_Writing_ELA[Student Number],YES_Writing_FLA[Student Number]),0),MATCH(VLOOKUP(F$7,'Writing Logic'!$J$7:$K$11,2,FALSE)&amp;" - Per "&amp;VLOOKUP($C$4,'Writing Logic'!$G$8:$H$14,2,FALSE),YES_Writing_ELA[#Headers],0))=0,"",INDEX(_xlfn.VSTACK(YES_Writing_ELA[#Data],YES_Writing_FLA[#Data]),MATCH($A584,_xlfn.VSTACK(YES_Writing_ELA[Student Number],YES_Writing_FLA[Student Number]),0),MATCH(VLOOKUP(F$7,'Writing Logic'!$J$7:$K$11,2,FALSE)&amp;" - Per "&amp;VLOOKUP($C$4,'Writing Logic'!$G$8:$H$14,2,FALSE),YES_Writing_ELA[#Headers],0)))),"")</f>
        <v/>
      </c>
      <c r="G584" s="138" t="str">
        <f>IFERROR(IF(IF(INDEX(_xlfn.VSTACK(YES_Writing_ELA[#Data],YES_Writing_FLA[#Data]),MATCH($A584,_xlfn.VSTACK(YES_Writing_ELA[Student Number],YES_Writing_FLA[Student Number]),0),MATCH(VLOOKUP(G$7,'Writing Logic'!$J$7:$K$11,2,FALSE)&amp;" - Per "&amp;VLOOKUP($C$4,'Writing Logic'!$G$8:$H$14,2,FALSE),YES_Writing_ELA[#Headers],0))=0,"",INDEX(_xlfn.VSTACK(YES_Writing_ELA[#Data],YES_Writing_FLA[#Data]),MATCH($A584,_xlfn.VSTACK(YES_Writing_ELA[Student Number],YES_Writing_FLA[Student Number]),0),MATCH(VLOOKUP(G$7,'Writing Logic'!$J$7:$K$11,2,FALSE)&amp;" - Per "&amp;VLOOKUP($C$4,'Writing Logic'!$G$8:$H$14,2,FALSE),YES_Writing_ELA[#Headers],0)))="INS",'Writing Logic'!$B$7,IF(INDEX(_xlfn.VSTACK(YES_Writing_ELA[#Data],YES_Writing_FLA[#Data]),MATCH($A584,_xlfn.VSTACK(YES_Writing_ELA[Student Number],YES_Writing_FLA[Student Number]),0),MATCH(VLOOKUP(G$7,'Writing Logic'!$J$7:$K$11,2,FALSE)&amp;" - Per "&amp;VLOOKUP($C$4,'Writing Logic'!$G$8:$H$14,2,FALSE),YES_Writing_ELA[#Headers],0))=0,"",INDEX(_xlfn.VSTACK(YES_Writing_ELA[#Data],YES_Writing_FLA[#Data]),MATCH($A584,_xlfn.VSTACK(YES_Writing_ELA[Student Number],YES_Writing_FLA[Student Number]),0),MATCH(VLOOKUP(G$7,'Writing Logic'!$J$7:$K$11,2,FALSE)&amp;" - Per "&amp;VLOOKUP($C$4,'Writing Logic'!$G$8:$H$14,2,FALSE),YES_Writing_ELA[#Headers],0)))),"")</f>
        <v/>
      </c>
      <c r="H584" s="138" t="str">
        <f>IFERROR(IF(IF(INDEX(_xlfn.VSTACK(YES_Writing_ELA[#Data],YES_Writing_FLA[#Data]),MATCH($A584,_xlfn.VSTACK(YES_Writing_ELA[Student Number],YES_Writing_FLA[Student Number]),0),MATCH(VLOOKUP(H$7,'Writing Logic'!$J$7:$K$11,2,FALSE)&amp;" - Per "&amp;VLOOKUP($C$4,'Writing Logic'!$G$8:$H$14,2,FALSE),YES_Writing_ELA[#Headers],0))=0,"",INDEX(_xlfn.VSTACK(YES_Writing_ELA[#Data],YES_Writing_FLA[#Data]),MATCH($A584,_xlfn.VSTACK(YES_Writing_ELA[Student Number],YES_Writing_FLA[Student Number]),0),MATCH(VLOOKUP(H$7,'Writing Logic'!$J$7:$K$11,2,FALSE)&amp;" - Per "&amp;VLOOKUP($C$4,'Writing Logic'!$G$8:$H$14,2,FALSE),YES_Writing_ELA[#Headers],0)))="INS",'Writing Logic'!$B$7,IF(INDEX(_xlfn.VSTACK(YES_Writing_ELA[#Data],YES_Writing_FLA[#Data]),MATCH($A584,_xlfn.VSTACK(YES_Writing_ELA[Student Number],YES_Writing_FLA[Student Number]),0),MATCH(VLOOKUP(H$7,'Writing Logic'!$J$7:$K$11,2,FALSE)&amp;" - Per "&amp;VLOOKUP($C$4,'Writing Logic'!$G$8:$H$14,2,FALSE),YES_Writing_ELA[#Headers],0))=0,"",INDEX(_xlfn.VSTACK(YES_Writing_ELA[#Data],YES_Writing_FLA[#Data]),MATCH($A584,_xlfn.VSTACK(YES_Writing_ELA[Student Number],YES_Writing_FLA[Student Number]),0),MATCH(VLOOKUP(H$7,'Writing Logic'!$J$7:$K$11,2,FALSE)&amp;" - Per "&amp;VLOOKUP($C$4,'Writing Logic'!$G$8:$H$14,2,FALSE),YES_Writing_ELA[#Headers],0)))),"")</f>
        <v/>
      </c>
    </row>
    <row r="585" spans="1:8" x14ac:dyDescent="0.25">
      <c r="A585" s="137"/>
      <c r="B585" s="137" t="str">
        <f>IFERROR(INDEX(_xlfn.VSTACK(YES_Writing_ELA[#Data], YES_Writing_FLA[#Data]),MATCH($A585,_xlfn.VSTACK(YES_Writing_ELA[Student Number], YES_Writing_FLA[Student Number]),0),MATCH(B$7,YES_Writing_ELA[#Headers],0)),"")</f>
        <v/>
      </c>
      <c r="C585" s="137" t="str">
        <f>IFERROR(INDEX(_xlfn.VSTACK(YES_Writing_ELA[#Data], YES_Writing_FLA[#Data]),MATCH($A585,_xlfn.VSTACK(YES_Writing_ELA[Student Number], YES_Writing_FLA[Student Number]),0),MATCH(C$7,YES_Writing_ELA[#Headers],0)),"")</f>
        <v/>
      </c>
      <c r="D585" s="138" t="str">
        <f>IFERROR(IF(IF(INDEX(_xlfn.VSTACK(YES_Writing_ELA[#Data],YES_Writing_FLA[#Data]),MATCH($A585,_xlfn.VSTACK(YES_Writing_ELA[Student Number],YES_Writing_FLA[Student Number]),0),MATCH(VLOOKUP(D$7,'Writing Logic'!$J$7:$K$11,2,FALSE)&amp;" - Per "&amp;VLOOKUP($C$4,'Writing Logic'!$G$8:$H$14,2,FALSE),YES_Writing_ELA[#Headers],0))=0,"",INDEX(_xlfn.VSTACK(YES_Writing_ELA[#Data],YES_Writing_FLA[#Data]),MATCH($A585,_xlfn.VSTACK(YES_Writing_ELA[Student Number],YES_Writing_FLA[Student Number]),0),MATCH(VLOOKUP(D$7,'Writing Logic'!$J$7:$K$11,2,FALSE)&amp;" - Per "&amp;VLOOKUP($C$4,'Writing Logic'!$G$8:$H$14,2,FALSE),YES_Writing_ELA[#Headers],0)))="INS",'Writing Logic'!$B$7,IF(INDEX(_xlfn.VSTACK(YES_Writing_ELA[#Data],YES_Writing_FLA[#Data]),MATCH($A585,_xlfn.VSTACK(YES_Writing_ELA[Student Number],YES_Writing_FLA[Student Number]),0),MATCH(VLOOKUP(D$7,'Writing Logic'!$J$7:$K$11,2,FALSE)&amp;" - Per "&amp;VLOOKUP($C$4,'Writing Logic'!$G$8:$H$14,2,FALSE),YES_Writing_ELA[#Headers],0))=0,"",INDEX(_xlfn.VSTACK(YES_Writing_ELA[#Data],YES_Writing_FLA[#Data]),MATCH($A585,_xlfn.VSTACK(YES_Writing_ELA[Student Number],YES_Writing_FLA[Student Number]),0),MATCH(VLOOKUP(D$7,'Writing Logic'!$J$7:$K$11,2,FALSE)&amp;" - Per "&amp;VLOOKUP($C$4,'Writing Logic'!$G$8:$H$14,2,FALSE),YES_Writing_ELA[#Headers],0)))),"")</f>
        <v/>
      </c>
      <c r="E585" s="138" t="str">
        <f>IFERROR(IF(IF(INDEX(_xlfn.VSTACK(YES_Writing_ELA[#Data],YES_Writing_FLA[#Data]),MATCH($A585,_xlfn.VSTACK(YES_Writing_ELA[Student Number],YES_Writing_FLA[Student Number]),0),MATCH(VLOOKUP(E$7,'Writing Logic'!$J$7:$K$11,2,FALSE)&amp;" - Per "&amp;VLOOKUP($C$4,'Writing Logic'!$G$8:$H$14,2,FALSE),YES_Writing_ELA[#Headers],0))=0,"",INDEX(_xlfn.VSTACK(YES_Writing_ELA[#Data],YES_Writing_FLA[#Data]),MATCH($A585,_xlfn.VSTACK(YES_Writing_ELA[Student Number],YES_Writing_FLA[Student Number]),0),MATCH(VLOOKUP(E$7,'Writing Logic'!$J$7:$K$11,2,FALSE)&amp;" - Per "&amp;VLOOKUP($C$4,'Writing Logic'!$G$8:$H$14,2,FALSE),YES_Writing_ELA[#Headers],0)))="INS",'Writing Logic'!$B$7,IF(INDEX(_xlfn.VSTACK(YES_Writing_ELA[#Data],YES_Writing_FLA[#Data]),MATCH($A585,_xlfn.VSTACK(YES_Writing_ELA[Student Number],YES_Writing_FLA[Student Number]),0),MATCH(VLOOKUP(E$7,'Writing Logic'!$J$7:$K$11,2,FALSE)&amp;" - Per "&amp;VLOOKUP($C$4,'Writing Logic'!$G$8:$H$14,2,FALSE),YES_Writing_ELA[#Headers],0))=0,"",INDEX(_xlfn.VSTACK(YES_Writing_ELA[#Data],YES_Writing_FLA[#Data]),MATCH($A585,_xlfn.VSTACK(YES_Writing_ELA[Student Number],YES_Writing_FLA[Student Number]),0),MATCH(VLOOKUP(E$7,'Writing Logic'!$J$7:$K$11,2,FALSE)&amp;" - Per "&amp;VLOOKUP($C$4,'Writing Logic'!$G$8:$H$14,2,FALSE),YES_Writing_ELA[#Headers],0)))),"")</f>
        <v/>
      </c>
      <c r="F585" s="138" t="str">
        <f>IFERROR(IF(IF(INDEX(_xlfn.VSTACK(YES_Writing_ELA[#Data],YES_Writing_FLA[#Data]),MATCH($A585,_xlfn.VSTACK(YES_Writing_ELA[Student Number],YES_Writing_FLA[Student Number]),0),MATCH(VLOOKUP(F$7,'Writing Logic'!$J$7:$K$11,2,FALSE)&amp;" - Per "&amp;VLOOKUP($C$4,'Writing Logic'!$G$8:$H$14,2,FALSE),YES_Writing_ELA[#Headers],0))=0,"",INDEX(_xlfn.VSTACK(YES_Writing_ELA[#Data],YES_Writing_FLA[#Data]),MATCH($A585,_xlfn.VSTACK(YES_Writing_ELA[Student Number],YES_Writing_FLA[Student Number]),0),MATCH(VLOOKUP(F$7,'Writing Logic'!$J$7:$K$11,2,FALSE)&amp;" - Per "&amp;VLOOKUP($C$4,'Writing Logic'!$G$8:$H$14,2,FALSE),YES_Writing_ELA[#Headers],0)))="INS",'Writing Logic'!$B$7,IF(INDEX(_xlfn.VSTACK(YES_Writing_ELA[#Data],YES_Writing_FLA[#Data]),MATCH($A585,_xlfn.VSTACK(YES_Writing_ELA[Student Number],YES_Writing_FLA[Student Number]),0),MATCH(VLOOKUP(F$7,'Writing Logic'!$J$7:$K$11,2,FALSE)&amp;" - Per "&amp;VLOOKUP($C$4,'Writing Logic'!$G$8:$H$14,2,FALSE),YES_Writing_ELA[#Headers],0))=0,"",INDEX(_xlfn.VSTACK(YES_Writing_ELA[#Data],YES_Writing_FLA[#Data]),MATCH($A585,_xlfn.VSTACK(YES_Writing_ELA[Student Number],YES_Writing_FLA[Student Number]),0),MATCH(VLOOKUP(F$7,'Writing Logic'!$J$7:$K$11,2,FALSE)&amp;" - Per "&amp;VLOOKUP($C$4,'Writing Logic'!$G$8:$H$14,2,FALSE),YES_Writing_ELA[#Headers],0)))),"")</f>
        <v/>
      </c>
      <c r="G585" s="138" t="str">
        <f>IFERROR(IF(IF(INDEX(_xlfn.VSTACK(YES_Writing_ELA[#Data],YES_Writing_FLA[#Data]),MATCH($A585,_xlfn.VSTACK(YES_Writing_ELA[Student Number],YES_Writing_FLA[Student Number]),0),MATCH(VLOOKUP(G$7,'Writing Logic'!$J$7:$K$11,2,FALSE)&amp;" - Per "&amp;VLOOKUP($C$4,'Writing Logic'!$G$8:$H$14,2,FALSE),YES_Writing_ELA[#Headers],0))=0,"",INDEX(_xlfn.VSTACK(YES_Writing_ELA[#Data],YES_Writing_FLA[#Data]),MATCH($A585,_xlfn.VSTACK(YES_Writing_ELA[Student Number],YES_Writing_FLA[Student Number]),0),MATCH(VLOOKUP(G$7,'Writing Logic'!$J$7:$K$11,2,FALSE)&amp;" - Per "&amp;VLOOKUP($C$4,'Writing Logic'!$G$8:$H$14,2,FALSE),YES_Writing_ELA[#Headers],0)))="INS",'Writing Logic'!$B$7,IF(INDEX(_xlfn.VSTACK(YES_Writing_ELA[#Data],YES_Writing_FLA[#Data]),MATCH($A585,_xlfn.VSTACK(YES_Writing_ELA[Student Number],YES_Writing_FLA[Student Number]),0),MATCH(VLOOKUP(G$7,'Writing Logic'!$J$7:$K$11,2,FALSE)&amp;" - Per "&amp;VLOOKUP($C$4,'Writing Logic'!$G$8:$H$14,2,FALSE),YES_Writing_ELA[#Headers],0))=0,"",INDEX(_xlfn.VSTACK(YES_Writing_ELA[#Data],YES_Writing_FLA[#Data]),MATCH($A585,_xlfn.VSTACK(YES_Writing_ELA[Student Number],YES_Writing_FLA[Student Number]),0),MATCH(VLOOKUP(G$7,'Writing Logic'!$J$7:$K$11,2,FALSE)&amp;" - Per "&amp;VLOOKUP($C$4,'Writing Logic'!$G$8:$H$14,2,FALSE),YES_Writing_ELA[#Headers],0)))),"")</f>
        <v/>
      </c>
      <c r="H585" s="138" t="str">
        <f>IFERROR(IF(IF(INDEX(_xlfn.VSTACK(YES_Writing_ELA[#Data],YES_Writing_FLA[#Data]),MATCH($A585,_xlfn.VSTACK(YES_Writing_ELA[Student Number],YES_Writing_FLA[Student Number]),0),MATCH(VLOOKUP(H$7,'Writing Logic'!$J$7:$K$11,2,FALSE)&amp;" - Per "&amp;VLOOKUP($C$4,'Writing Logic'!$G$8:$H$14,2,FALSE),YES_Writing_ELA[#Headers],0))=0,"",INDEX(_xlfn.VSTACK(YES_Writing_ELA[#Data],YES_Writing_FLA[#Data]),MATCH($A585,_xlfn.VSTACK(YES_Writing_ELA[Student Number],YES_Writing_FLA[Student Number]),0),MATCH(VLOOKUP(H$7,'Writing Logic'!$J$7:$K$11,2,FALSE)&amp;" - Per "&amp;VLOOKUP($C$4,'Writing Logic'!$G$8:$H$14,2,FALSE),YES_Writing_ELA[#Headers],0)))="INS",'Writing Logic'!$B$7,IF(INDEX(_xlfn.VSTACK(YES_Writing_ELA[#Data],YES_Writing_FLA[#Data]),MATCH($A585,_xlfn.VSTACK(YES_Writing_ELA[Student Number],YES_Writing_FLA[Student Number]),0),MATCH(VLOOKUP(H$7,'Writing Logic'!$J$7:$K$11,2,FALSE)&amp;" - Per "&amp;VLOOKUP($C$4,'Writing Logic'!$G$8:$H$14,2,FALSE),YES_Writing_ELA[#Headers],0))=0,"",INDEX(_xlfn.VSTACK(YES_Writing_ELA[#Data],YES_Writing_FLA[#Data]),MATCH($A585,_xlfn.VSTACK(YES_Writing_ELA[Student Number],YES_Writing_FLA[Student Number]),0),MATCH(VLOOKUP(H$7,'Writing Logic'!$J$7:$K$11,2,FALSE)&amp;" - Per "&amp;VLOOKUP($C$4,'Writing Logic'!$G$8:$H$14,2,FALSE),YES_Writing_ELA[#Headers],0)))),"")</f>
        <v/>
      </c>
    </row>
    <row r="586" spans="1:8" x14ac:dyDescent="0.25">
      <c r="A586" s="137"/>
      <c r="B586" s="137" t="str">
        <f>IFERROR(INDEX(_xlfn.VSTACK(YES_Writing_ELA[#Data], YES_Writing_FLA[#Data]),MATCH($A586,_xlfn.VSTACK(YES_Writing_ELA[Student Number], YES_Writing_FLA[Student Number]),0),MATCH(B$7,YES_Writing_ELA[#Headers],0)),"")</f>
        <v/>
      </c>
      <c r="C586" s="137" t="str">
        <f>IFERROR(INDEX(_xlfn.VSTACK(YES_Writing_ELA[#Data], YES_Writing_FLA[#Data]),MATCH($A586,_xlfn.VSTACK(YES_Writing_ELA[Student Number], YES_Writing_FLA[Student Number]),0),MATCH(C$7,YES_Writing_ELA[#Headers],0)),"")</f>
        <v/>
      </c>
      <c r="D586" s="138" t="str">
        <f>IFERROR(IF(IF(INDEX(_xlfn.VSTACK(YES_Writing_ELA[#Data],YES_Writing_FLA[#Data]),MATCH($A586,_xlfn.VSTACK(YES_Writing_ELA[Student Number],YES_Writing_FLA[Student Number]),0),MATCH(VLOOKUP(D$7,'Writing Logic'!$J$7:$K$11,2,FALSE)&amp;" - Per "&amp;VLOOKUP($C$4,'Writing Logic'!$G$8:$H$14,2,FALSE),YES_Writing_ELA[#Headers],0))=0,"",INDEX(_xlfn.VSTACK(YES_Writing_ELA[#Data],YES_Writing_FLA[#Data]),MATCH($A586,_xlfn.VSTACK(YES_Writing_ELA[Student Number],YES_Writing_FLA[Student Number]),0),MATCH(VLOOKUP(D$7,'Writing Logic'!$J$7:$K$11,2,FALSE)&amp;" - Per "&amp;VLOOKUP($C$4,'Writing Logic'!$G$8:$H$14,2,FALSE),YES_Writing_ELA[#Headers],0)))="INS",'Writing Logic'!$B$7,IF(INDEX(_xlfn.VSTACK(YES_Writing_ELA[#Data],YES_Writing_FLA[#Data]),MATCH($A586,_xlfn.VSTACK(YES_Writing_ELA[Student Number],YES_Writing_FLA[Student Number]),0),MATCH(VLOOKUP(D$7,'Writing Logic'!$J$7:$K$11,2,FALSE)&amp;" - Per "&amp;VLOOKUP($C$4,'Writing Logic'!$G$8:$H$14,2,FALSE),YES_Writing_ELA[#Headers],0))=0,"",INDEX(_xlfn.VSTACK(YES_Writing_ELA[#Data],YES_Writing_FLA[#Data]),MATCH($A586,_xlfn.VSTACK(YES_Writing_ELA[Student Number],YES_Writing_FLA[Student Number]),0),MATCH(VLOOKUP(D$7,'Writing Logic'!$J$7:$K$11,2,FALSE)&amp;" - Per "&amp;VLOOKUP($C$4,'Writing Logic'!$G$8:$H$14,2,FALSE),YES_Writing_ELA[#Headers],0)))),"")</f>
        <v/>
      </c>
      <c r="E586" s="138" t="str">
        <f>IFERROR(IF(IF(INDEX(_xlfn.VSTACK(YES_Writing_ELA[#Data],YES_Writing_FLA[#Data]),MATCH($A586,_xlfn.VSTACK(YES_Writing_ELA[Student Number],YES_Writing_FLA[Student Number]),0),MATCH(VLOOKUP(E$7,'Writing Logic'!$J$7:$K$11,2,FALSE)&amp;" - Per "&amp;VLOOKUP($C$4,'Writing Logic'!$G$8:$H$14,2,FALSE),YES_Writing_ELA[#Headers],0))=0,"",INDEX(_xlfn.VSTACK(YES_Writing_ELA[#Data],YES_Writing_FLA[#Data]),MATCH($A586,_xlfn.VSTACK(YES_Writing_ELA[Student Number],YES_Writing_FLA[Student Number]),0),MATCH(VLOOKUP(E$7,'Writing Logic'!$J$7:$K$11,2,FALSE)&amp;" - Per "&amp;VLOOKUP($C$4,'Writing Logic'!$G$8:$H$14,2,FALSE),YES_Writing_ELA[#Headers],0)))="INS",'Writing Logic'!$B$7,IF(INDEX(_xlfn.VSTACK(YES_Writing_ELA[#Data],YES_Writing_FLA[#Data]),MATCH($A586,_xlfn.VSTACK(YES_Writing_ELA[Student Number],YES_Writing_FLA[Student Number]),0),MATCH(VLOOKUP(E$7,'Writing Logic'!$J$7:$K$11,2,FALSE)&amp;" - Per "&amp;VLOOKUP($C$4,'Writing Logic'!$G$8:$H$14,2,FALSE),YES_Writing_ELA[#Headers],0))=0,"",INDEX(_xlfn.VSTACK(YES_Writing_ELA[#Data],YES_Writing_FLA[#Data]),MATCH($A586,_xlfn.VSTACK(YES_Writing_ELA[Student Number],YES_Writing_FLA[Student Number]),0),MATCH(VLOOKUP(E$7,'Writing Logic'!$J$7:$K$11,2,FALSE)&amp;" - Per "&amp;VLOOKUP($C$4,'Writing Logic'!$G$8:$H$14,2,FALSE),YES_Writing_ELA[#Headers],0)))),"")</f>
        <v/>
      </c>
      <c r="F586" s="138" t="str">
        <f>IFERROR(IF(IF(INDEX(_xlfn.VSTACK(YES_Writing_ELA[#Data],YES_Writing_FLA[#Data]),MATCH($A586,_xlfn.VSTACK(YES_Writing_ELA[Student Number],YES_Writing_FLA[Student Number]),0),MATCH(VLOOKUP(F$7,'Writing Logic'!$J$7:$K$11,2,FALSE)&amp;" - Per "&amp;VLOOKUP($C$4,'Writing Logic'!$G$8:$H$14,2,FALSE),YES_Writing_ELA[#Headers],0))=0,"",INDEX(_xlfn.VSTACK(YES_Writing_ELA[#Data],YES_Writing_FLA[#Data]),MATCH($A586,_xlfn.VSTACK(YES_Writing_ELA[Student Number],YES_Writing_FLA[Student Number]),0),MATCH(VLOOKUP(F$7,'Writing Logic'!$J$7:$K$11,2,FALSE)&amp;" - Per "&amp;VLOOKUP($C$4,'Writing Logic'!$G$8:$H$14,2,FALSE),YES_Writing_ELA[#Headers],0)))="INS",'Writing Logic'!$B$7,IF(INDEX(_xlfn.VSTACK(YES_Writing_ELA[#Data],YES_Writing_FLA[#Data]),MATCH($A586,_xlfn.VSTACK(YES_Writing_ELA[Student Number],YES_Writing_FLA[Student Number]),0),MATCH(VLOOKUP(F$7,'Writing Logic'!$J$7:$K$11,2,FALSE)&amp;" - Per "&amp;VLOOKUP($C$4,'Writing Logic'!$G$8:$H$14,2,FALSE),YES_Writing_ELA[#Headers],0))=0,"",INDEX(_xlfn.VSTACK(YES_Writing_ELA[#Data],YES_Writing_FLA[#Data]),MATCH($A586,_xlfn.VSTACK(YES_Writing_ELA[Student Number],YES_Writing_FLA[Student Number]),0),MATCH(VLOOKUP(F$7,'Writing Logic'!$J$7:$K$11,2,FALSE)&amp;" - Per "&amp;VLOOKUP($C$4,'Writing Logic'!$G$8:$H$14,2,FALSE),YES_Writing_ELA[#Headers],0)))),"")</f>
        <v/>
      </c>
      <c r="G586" s="138" t="str">
        <f>IFERROR(IF(IF(INDEX(_xlfn.VSTACK(YES_Writing_ELA[#Data],YES_Writing_FLA[#Data]),MATCH($A586,_xlfn.VSTACK(YES_Writing_ELA[Student Number],YES_Writing_FLA[Student Number]),0),MATCH(VLOOKUP(G$7,'Writing Logic'!$J$7:$K$11,2,FALSE)&amp;" - Per "&amp;VLOOKUP($C$4,'Writing Logic'!$G$8:$H$14,2,FALSE),YES_Writing_ELA[#Headers],0))=0,"",INDEX(_xlfn.VSTACK(YES_Writing_ELA[#Data],YES_Writing_FLA[#Data]),MATCH($A586,_xlfn.VSTACK(YES_Writing_ELA[Student Number],YES_Writing_FLA[Student Number]),0),MATCH(VLOOKUP(G$7,'Writing Logic'!$J$7:$K$11,2,FALSE)&amp;" - Per "&amp;VLOOKUP($C$4,'Writing Logic'!$G$8:$H$14,2,FALSE),YES_Writing_ELA[#Headers],0)))="INS",'Writing Logic'!$B$7,IF(INDEX(_xlfn.VSTACK(YES_Writing_ELA[#Data],YES_Writing_FLA[#Data]),MATCH($A586,_xlfn.VSTACK(YES_Writing_ELA[Student Number],YES_Writing_FLA[Student Number]),0),MATCH(VLOOKUP(G$7,'Writing Logic'!$J$7:$K$11,2,FALSE)&amp;" - Per "&amp;VLOOKUP($C$4,'Writing Logic'!$G$8:$H$14,2,FALSE),YES_Writing_ELA[#Headers],0))=0,"",INDEX(_xlfn.VSTACK(YES_Writing_ELA[#Data],YES_Writing_FLA[#Data]),MATCH($A586,_xlfn.VSTACK(YES_Writing_ELA[Student Number],YES_Writing_FLA[Student Number]),0),MATCH(VLOOKUP(G$7,'Writing Logic'!$J$7:$K$11,2,FALSE)&amp;" - Per "&amp;VLOOKUP($C$4,'Writing Logic'!$G$8:$H$14,2,FALSE),YES_Writing_ELA[#Headers],0)))),"")</f>
        <v/>
      </c>
      <c r="H586" s="138" t="str">
        <f>IFERROR(IF(IF(INDEX(_xlfn.VSTACK(YES_Writing_ELA[#Data],YES_Writing_FLA[#Data]),MATCH($A586,_xlfn.VSTACK(YES_Writing_ELA[Student Number],YES_Writing_FLA[Student Number]),0),MATCH(VLOOKUP(H$7,'Writing Logic'!$J$7:$K$11,2,FALSE)&amp;" - Per "&amp;VLOOKUP($C$4,'Writing Logic'!$G$8:$H$14,2,FALSE),YES_Writing_ELA[#Headers],0))=0,"",INDEX(_xlfn.VSTACK(YES_Writing_ELA[#Data],YES_Writing_FLA[#Data]),MATCH($A586,_xlfn.VSTACK(YES_Writing_ELA[Student Number],YES_Writing_FLA[Student Number]),0),MATCH(VLOOKUP(H$7,'Writing Logic'!$J$7:$K$11,2,FALSE)&amp;" - Per "&amp;VLOOKUP($C$4,'Writing Logic'!$G$8:$H$14,2,FALSE),YES_Writing_ELA[#Headers],0)))="INS",'Writing Logic'!$B$7,IF(INDEX(_xlfn.VSTACK(YES_Writing_ELA[#Data],YES_Writing_FLA[#Data]),MATCH($A586,_xlfn.VSTACK(YES_Writing_ELA[Student Number],YES_Writing_FLA[Student Number]),0),MATCH(VLOOKUP(H$7,'Writing Logic'!$J$7:$K$11,2,FALSE)&amp;" - Per "&amp;VLOOKUP($C$4,'Writing Logic'!$G$8:$H$14,2,FALSE),YES_Writing_ELA[#Headers],0))=0,"",INDEX(_xlfn.VSTACK(YES_Writing_ELA[#Data],YES_Writing_FLA[#Data]),MATCH($A586,_xlfn.VSTACK(YES_Writing_ELA[Student Number],YES_Writing_FLA[Student Number]),0),MATCH(VLOOKUP(H$7,'Writing Logic'!$J$7:$K$11,2,FALSE)&amp;" - Per "&amp;VLOOKUP($C$4,'Writing Logic'!$G$8:$H$14,2,FALSE),YES_Writing_ELA[#Headers],0)))),"")</f>
        <v/>
      </c>
    </row>
    <row r="587" spans="1:8" x14ac:dyDescent="0.25">
      <c r="A587" s="137"/>
      <c r="B587" s="137" t="str">
        <f>IFERROR(INDEX(_xlfn.VSTACK(YES_Writing_ELA[#Data], YES_Writing_FLA[#Data]),MATCH($A587,_xlfn.VSTACK(YES_Writing_ELA[Student Number], YES_Writing_FLA[Student Number]),0),MATCH(B$7,YES_Writing_ELA[#Headers],0)),"")</f>
        <v/>
      </c>
      <c r="C587" s="137" t="str">
        <f>IFERROR(INDEX(_xlfn.VSTACK(YES_Writing_ELA[#Data], YES_Writing_FLA[#Data]),MATCH($A587,_xlfn.VSTACK(YES_Writing_ELA[Student Number], YES_Writing_FLA[Student Number]),0),MATCH(C$7,YES_Writing_ELA[#Headers],0)),"")</f>
        <v/>
      </c>
      <c r="D587" s="138" t="str">
        <f>IFERROR(IF(IF(INDEX(_xlfn.VSTACK(YES_Writing_ELA[#Data],YES_Writing_FLA[#Data]),MATCH($A587,_xlfn.VSTACK(YES_Writing_ELA[Student Number],YES_Writing_FLA[Student Number]),0),MATCH(VLOOKUP(D$7,'Writing Logic'!$J$7:$K$11,2,FALSE)&amp;" - Per "&amp;VLOOKUP($C$4,'Writing Logic'!$G$8:$H$14,2,FALSE),YES_Writing_ELA[#Headers],0))=0,"",INDEX(_xlfn.VSTACK(YES_Writing_ELA[#Data],YES_Writing_FLA[#Data]),MATCH($A587,_xlfn.VSTACK(YES_Writing_ELA[Student Number],YES_Writing_FLA[Student Number]),0),MATCH(VLOOKUP(D$7,'Writing Logic'!$J$7:$K$11,2,FALSE)&amp;" - Per "&amp;VLOOKUP($C$4,'Writing Logic'!$G$8:$H$14,2,FALSE),YES_Writing_ELA[#Headers],0)))="INS",'Writing Logic'!$B$7,IF(INDEX(_xlfn.VSTACK(YES_Writing_ELA[#Data],YES_Writing_FLA[#Data]),MATCH($A587,_xlfn.VSTACK(YES_Writing_ELA[Student Number],YES_Writing_FLA[Student Number]),0),MATCH(VLOOKUP(D$7,'Writing Logic'!$J$7:$K$11,2,FALSE)&amp;" - Per "&amp;VLOOKUP($C$4,'Writing Logic'!$G$8:$H$14,2,FALSE),YES_Writing_ELA[#Headers],0))=0,"",INDEX(_xlfn.VSTACK(YES_Writing_ELA[#Data],YES_Writing_FLA[#Data]),MATCH($A587,_xlfn.VSTACK(YES_Writing_ELA[Student Number],YES_Writing_FLA[Student Number]),0),MATCH(VLOOKUP(D$7,'Writing Logic'!$J$7:$K$11,2,FALSE)&amp;" - Per "&amp;VLOOKUP($C$4,'Writing Logic'!$G$8:$H$14,2,FALSE),YES_Writing_ELA[#Headers],0)))),"")</f>
        <v/>
      </c>
      <c r="E587" s="138" t="str">
        <f>IFERROR(IF(IF(INDEX(_xlfn.VSTACK(YES_Writing_ELA[#Data],YES_Writing_FLA[#Data]),MATCH($A587,_xlfn.VSTACK(YES_Writing_ELA[Student Number],YES_Writing_FLA[Student Number]),0),MATCH(VLOOKUP(E$7,'Writing Logic'!$J$7:$K$11,2,FALSE)&amp;" - Per "&amp;VLOOKUP($C$4,'Writing Logic'!$G$8:$H$14,2,FALSE),YES_Writing_ELA[#Headers],0))=0,"",INDEX(_xlfn.VSTACK(YES_Writing_ELA[#Data],YES_Writing_FLA[#Data]),MATCH($A587,_xlfn.VSTACK(YES_Writing_ELA[Student Number],YES_Writing_FLA[Student Number]),0),MATCH(VLOOKUP(E$7,'Writing Logic'!$J$7:$K$11,2,FALSE)&amp;" - Per "&amp;VLOOKUP($C$4,'Writing Logic'!$G$8:$H$14,2,FALSE),YES_Writing_ELA[#Headers],0)))="INS",'Writing Logic'!$B$7,IF(INDEX(_xlfn.VSTACK(YES_Writing_ELA[#Data],YES_Writing_FLA[#Data]),MATCH($A587,_xlfn.VSTACK(YES_Writing_ELA[Student Number],YES_Writing_FLA[Student Number]),0),MATCH(VLOOKUP(E$7,'Writing Logic'!$J$7:$K$11,2,FALSE)&amp;" - Per "&amp;VLOOKUP($C$4,'Writing Logic'!$G$8:$H$14,2,FALSE),YES_Writing_ELA[#Headers],0))=0,"",INDEX(_xlfn.VSTACK(YES_Writing_ELA[#Data],YES_Writing_FLA[#Data]),MATCH($A587,_xlfn.VSTACK(YES_Writing_ELA[Student Number],YES_Writing_FLA[Student Number]),0),MATCH(VLOOKUP(E$7,'Writing Logic'!$J$7:$K$11,2,FALSE)&amp;" - Per "&amp;VLOOKUP($C$4,'Writing Logic'!$G$8:$H$14,2,FALSE),YES_Writing_ELA[#Headers],0)))),"")</f>
        <v/>
      </c>
      <c r="F587" s="138" t="str">
        <f>IFERROR(IF(IF(INDEX(_xlfn.VSTACK(YES_Writing_ELA[#Data],YES_Writing_FLA[#Data]),MATCH($A587,_xlfn.VSTACK(YES_Writing_ELA[Student Number],YES_Writing_FLA[Student Number]),0),MATCH(VLOOKUP(F$7,'Writing Logic'!$J$7:$K$11,2,FALSE)&amp;" - Per "&amp;VLOOKUP($C$4,'Writing Logic'!$G$8:$H$14,2,FALSE),YES_Writing_ELA[#Headers],0))=0,"",INDEX(_xlfn.VSTACK(YES_Writing_ELA[#Data],YES_Writing_FLA[#Data]),MATCH($A587,_xlfn.VSTACK(YES_Writing_ELA[Student Number],YES_Writing_FLA[Student Number]),0),MATCH(VLOOKUP(F$7,'Writing Logic'!$J$7:$K$11,2,FALSE)&amp;" - Per "&amp;VLOOKUP($C$4,'Writing Logic'!$G$8:$H$14,2,FALSE),YES_Writing_ELA[#Headers],0)))="INS",'Writing Logic'!$B$7,IF(INDEX(_xlfn.VSTACK(YES_Writing_ELA[#Data],YES_Writing_FLA[#Data]),MATCH($A587,_xlfn.VSTACK(YES_Writing_ELA[Student Number],YES_Writing_FLA[Student Number]),0),MATCH(VLOOKUP(F$7,'Writing Logic'!$J$7:$K$11,2,FALSE)&amp;" - Per "&amp;VLOOKUP($C$4,'Writing Logic'!$G$8:$H$14,2,FALSE),YES_Writing_ELA[#Headers],0))=0,"",INDEX(_xlfn.VSTACK(YES_Writing_ELA[#Data],YES_Writing_FLA[#Data]),MATCH($A587,_xlfn.VSTACK(YES_Writing_ELA[Student Number],YES_Writing_FLA[Student Number]),0),MATCH(VLOOKUP(F$7,'Writing Logic'!$J$7:$K$11,2,FALSE)&amp;" - Per "&amp;VLOOKUP($C$4,'Writing Logic'!$G$8:$H$14,2,FALSE),YES_Writing_ELA[#Headers],0)))),"")</f>
        <v/>
      </c>
      <c r="G587" s="138" t="str">
        <f>IFERROR(IF(IF(INDEX(_xlfn.VSTACK(YES_Writing_ELA[#Data],YES_Writing_FLA[#Data]),MATCH($A587,_xlfn.VSTACK(YES_Writing_ELA[Student Number],YES_Writing_FLA[Student Number]),0),MATCH(VLOOKUP(G$7,'Writing Logic'!$J$7:$K$11,2,FALSE)&amp;" - Per "&amp;VLOOKUP($C$4,'Writing Logic'!$G$8:$H$14,2,FALSE),YES_Writing_ELA[#Headers],0))=0,"",INDEX(_xlfn.VSTACK(YES_Writing_ELA[#Data],YES_Writing_FLA[#Data]),MATCH($A587,_xlfn.VSTACK(YES_Writing_ELA[Student Number],YES_Writing_FLA[Student Number]),0),MATCH(VLOOKUP(G$7,'Writing Logic'!$J$7:$K$11,2,FALSE)&amp;" - Per "&amp;VLOOKUP($C$4,'Writing Logic'!$G$8:$H$14,2,FALSE),YES_Writing_ELA[#Headers],0)))="INS",'Writing Logic'!$B$7,IF(INDEX(_xlfn.VSTACK(YES_Writing_ELA[#Data],YES_Writing_FLA[#Data]),MATCH($A587,_xlfn.VSTACK(YES_Writing_ELA[Student Number],YES_Writing_FLA[Student Number]),0),MATCH(VLOOKUP(G$7,'Writing Logic'!$J$7:$K$11,2,FALSE)&amp;" - Per "&amp;VLOOKUP($C$4,'Writing Logic'!$G$8:$H$14,2,FALSE),YES_Writing_ELA[#Headers],0))=0,"",INDEX(_xlfn.VSTACK(YES_Writing_ELA[#Data],YES_Writing_FLA[#Data]),MATCH($A587,_xlfn.VSTACK(YES_Writing_ELA[Student Number],YES_Writing_FLA[Student Number]),0),MATCH(VLOOKUP(G$7,'Writing Logic'!$J$7:$K$11,2,FALSE)&amp;" - Per "&amp;VLOOKUP($C$4,'Writing Logic'!$G$8:$H$14,2,FALSE),YES_Writing_ELA[#Headers],0)))),"")</f>
        <v/>
      </c>
      <c r="H587" s="138" t="str">
        <f>IFERROR(IF(IF(INDEX(_xlfn.VSTACK(YES_Writing_ELA[#Data],YES_Writing_FLA[#Data]),MATCH($A587,_xlfn.VSTACK(YES_Writing_ELA[Student Number],YES_Writing_FLA[Student Number]),0),MATCH(VLOOKUP(H$7,'Writing Logic'!$J$7:$K$11,2,FALSE)&amp;" - Per "&amp;VLOOKUP($C$4,'Writing Logic'!$G$8:$H$14,2,FALSE),YES_Writing_ELA[#Headers],0))=0,"",INDEX(_xlfn.VSTACK(YES_Writing_ELA[#Data],YES_Writing_FLA[#Data]),MATCH($A587,_xlfn.VSTACK(YES_Writing_ELA[Student Number],YES_Writing_FLA[Student Number]),0),MATCH(VLOOKUP(H$7,'Writing Logic'!$J$7:$K$11,2,FALSE)&amp;" - Per "&amp;VLOOKUP($C$4,'Writing Logic'!$G$8:$H$14,2,FALSE),YES_Writing_ELA[#Headers],0)))="INS",'Writing Logic'!$B$7,IF(INDEX(_xlfn.VSTACK(YES_Writing_ELA[#Data],YES_Writing_FLA[#Data]),MATCH($A587,_xlfn.VSTACK(YES_Writing_ELA[Student Number],YES_Writing_FLA[Student Number]),0),MATCH(VLOOKUP(H$7,'Writing Logic'!$J$7:$K$11,2,FALSE)&amp;" - Per "&amp;VLOOKUP($C$4,'Writing Logic'!$G$8:$H$14,2,FALSE),YES_Writing_ELA[#Headers],0))=0,"",INDEX(_xlfn.VSTACK(YES_Writing_ELA[#Data],YES_Writing_FLA[#Data]),MATCH($A587,_xlfn.VSTACK(YES_Writing_ELA[Student Number],YES_Writing_FLA[Student Number]),0),MATCH(VLOOKUP(H$7,'Writing Logic'!$J$7:$K$11,2,FALSE)&amp;" - Per "&amp;VLOOKUP($C$4,'Writing Logic'!$G$8:$H$14,2,FALSE),YES_Writing_ELA[#Headers],0)))),"")</f>
        <v/>
      </c>
    </row>
    <row r="588" spans="1:8" x14ac:dyDescent="0.25">
      <c r="A588" s="137"/>
      <c r="B588" s="137" t="str">
        <f>IFERROR(INDEX(_xlfn.VSTACK(YES_Writing_ELA[#Data], YES_Writing_FLA[#Data]),MATCH($A588,_xlfn.VSTACK(YES_Writing_ELA[Student Number], YES_Writing_FLA[Student Number]),0),MATCH(B$7,YES_Writing_ELA[#Headers],0)),"")</f>
        <v/>
      </c>
      <c r="C588" s="137" t="str">
        <f>IFERROR(INDEX(_xlfn.VSTACK(YES_Writing_ELA[#Data], YES_Writing_FLA[#Data]),MATCH($A588,_xlfn.VSTACK(YES_Writing_ELA[Student Number], YES_Writing_FLA[Student Number]),0),MATCH(C$7,YES_Writing_ELA[#Headers],0)),"")</f>
        <v/>
      </c>
      <c r="D588" s="138" t="str">
        <f>IFERROR(IF(IF(INDEX(_xlfn.VSTACK(YES_Writing_ELA[#Data],YES_Writing_FLA[#Data]),MATCH($A588,_xlfn.VSTACK(YES_Writing_ELA[Student Number],YES_Writing_FLA[Student Number]),0),MATCH(VLOOKUP(D$7,'Writing Logic'!$J$7:$K$11,2,FALSE)&amp;" - Per "&amp;VLOOKUP($C$4,'Writing Logic'!$G$8:$H$14,2,FALSE),YES_Writing_ELA[#Headers],0))=0,"",INDEX(_xlfn.VSTACK(YES_Writing_ELA[#Data],YES_Writing_FLA[#Data]),MATCH($A588,_xlfn.VSTACK(YES_Writing_ELA[Student Number],YES_Writing_FLA[Student Number]),0),MATCH(VLOOKUP(D$7,'Writing Logic'!$J$7:$K$11,2,FALSE)&amp;" - Per "&amp;VLOOKUP($C$4,'Writing Logic'!$G$8:$H$14,2,FALSE),YES_Writing_ELA[#Headers],0)))="INS",'Writing Logic'!$B$7,IF(INDEX(_xlfn.VSTACK(YES_Writing_ELA[#Data],YES_Writing_FLA[#Data]),MATCH($A588,_xlfn.VSTACK(YES_Writing_ELA[Student Number],YES_Writing_FLA[Student Number]),0),MATCH(VLOOKUP(D$7,'Writing Logic'!$J$7:$K$11,2,FALSE)&amp;" - Per "&amp;VLOOKUP($C$4,'Writing Logic'!$G$8:$H$14,2,FALSE),YES_Writing_ELA[#Headers],0))=0,"",INDEX(_xlfn.VSTACK(YES_Writing_ELA[#Data],YES_Writing_FLA[#Data]),MATCH($A588,_xlfn.VSTACK(YES_Writing_ELA[Student Number],YES_Writing_FLA[Student Number]),0),MATCH(VLOOKUP(D$7,'Writing Logic'!$J$7:$K$11,2,FALSE)&amp;" - Per "&amp;VLOOKUP($C$4,'Writing Logic'!$G$8:$H$14,2,FALSE),YES_Writing_ELA[#Headers],0)))),"")</f>
        <v/>
      </c>
      <c r="E588" s="138" t="str">
        <f>IFERROR(IF(IF(INDEX(_xlfn.VSTACK(YES_Writing_ELA[#Data],YES_Writing_FLA[#Data]),MATCH($A588,_xlfn.VSTACK(YES_Writing_ELA[Student Number],YES_Writing_FLA[Student Number]),0),MATCH(VLOOKUP(E$7,'Writing Logic'!$J$7:$K$11,2,FALSE)&amp;" - Per "&amp;VLOOKUP($C$4,'Writing Logic'!$G$8:$H$14,2,FALSE),YES_Writing_ELA[#Headers],0))=0,"",INDEX(_xlfn.VSTACK(YES_Writing_ELA[#Data],YES_Writing_FLA[#Data]),MATCH($A588,_xlfn.VSTACK(YES_Writing_ELA[Student Number],YES_Writing_FLA[Student Number]),0),MATCH(VLOOKUP(E$7,'Writing Logic'!$J$7:$K$11,2,FALSE)&amp;" - Per "&amp;VLOOKUP($C$4,'Writing Logic'!$G$8:$H$14,2,FALSE),YES_Writing_ELA[#Headers],0)))="INS",'Writing Logic'!$B$7,IF(INDEX(_xlfn.VSTACK(YES_Writing_ELA[#Data],YES_Writing_FLA[#Data]),MATCH($A588,_xlfn.VSTACK(YES_Writing_ELA[Student Number],YES_Writing_FLA[Student Number]),0),MATCH(VLOOKUP(E$7,'Writing Logic'!$J$7:$K$11,2,FALSE)&amp;" - Per "&amp;VLOOKUP($C$4,'Writing Logic'!$G$8:$H$14,2,FALSE),YES_Writing_ELA[#Headers],0))=0,"",INDEX(_xlfn.VSTACK(YES_Writing_ELA[#Data],YES_Writing_FLA[#Data]),MATCH($A588,_xlfn.VSTACK(YES_Writing_ELA[Student Number],YES_Writing_FLA[Student Number]),0),MATCH(VLOOKUP(E$7,'Writing Logic'!$J$7:$K$11,2,FALSE)&amp;" - Per "&amp;VLOOKUP($C$4,'Writing Logic'!$G$8:$H$14,2,FALSE),YES_Writing_ELA[#Headers],0)))),"")</f>
        <v/>
      </c>
      <c r="F588" s="138" t="str">
        <f>IFERROR(IF(IF(INDEX(_xlfn.VSTACK(YES_Writing_ELA[#Data],YES_Writing_FLA[#Data]),MATCH($A588,_xlfn.VSTACK(YES_Writing_ELA[Student Number],YES_Writing_FLA[Student Number]),0),MATCH(VLOOKUP(F$7,'Writing Logic'!$J$7:$K$11,2,FALSE)&amp;" - Per "&amp;VLOOKUP($C$4,'Writing Logic'!$G$8:$H$14,2,FALSE),YES_Writing_ELA[#Headers],0))=0,"",INDEX(_xlfn.VSTACK(YES_Writing_ELA[#Data],YES_Writing_FLA[#Data]),MATCH($A588,_xlfn.VSTACK(YES_Writing_ELA[Student Number],YES_Writing_FLA[Student Number]),0),MATCH(VLOOKUP(F$7,'Writing Logic'!$J$7:$K$11,2,FALSE)&amp;" - Per "&amp;VLOOKUP($C$4,'Writing Logic'!$G$8:$H$14,2,FALSE),YES_Writing_ELA[#Headers],0)))="INS",'Writing Logic'!$B$7,IF(INDEX(_xlfn.VSTACK(YES_Writing_ELA[#Data],YES_Writing_FLA[#Data]),MATCH($A588,_xlfn.VSTACK(YES_Writing_ELA[Student Number],YES_Writing_FLA[Student Number]),0),MATCH(VLOOKUP(F$7,'Writing Logic'!$J$7:$K$11,2,FALSE)&amp;" - Per "&amp;VLOOKUP($C$4,'Writing Logic'!$G$8:$H$14,2,FALSE),YES_Writing_ELA[#Headers],0))=0,"",INDEX(_xlfn.VSTACK(YES_Writing_ELA[#Data],YES_Writing_FLA[#Data]),MATCH($A588,_xlfn.VSTACK(YES_Writing_ELA[Student Number],YES_Writing_FLA[Student Number]),0),MATCH(VLOOKUP(F$7,'Writing Logic'!$J$7:$K$11,2,FALSE)&amp;" - Per "&amp;VLOOKUP($C$4,'Writing Logic'!$G$8:$H$14,2,FALSE),YES_Writing_ELA[#Headers],0)))),"")</f>
        <v/>
      </c>
      <c r="G588" s="138" t="str">
        <f>IFERROR(IF(IF(INDEX(_xlfn.VSTACK(YES_Writing_ELA[#Data],YES_Writing_FLA[#Data]),MATCH($A588,_xlfn.VSTACK(YES_Writing_ELA[Student Number],YES_Writing_FLA[Student Number]),0),MATCH(VLOOKUP(G$7,'Writing Logic'!$J$7:$K$11,2,FALSE)&amp;" - Per "&amp;VLOOKUP($C$4,'Writing Logic'!$G$8:$H$14,2,FALSE),YES_Writing_ELA[#Headers],0))=0,"",INDEX(_xlfn.VSTACK(YES_Writing_ELA[#Data],YES_Writing_FLA[#Data]),MATCH($A588,_xlfn.VSTACK(YES_Writing_ELA[Student Number],YES_Writing_FLA[Student Number]),0),MATCH(VLOOKUP(G$7,'Writing Logic'!$J$7:$K$11,2,FALSE)&amp;" - Per "&amp;VLOOKUP($C$4,'Writing Logic'!$G$8:$H$14,2,FALSE),YES_Writing_ELA[#Headers],0)))="INS",'Writing Logic'!$B$7,IF(INDEX(_xlfn.VSTACK(YES_Writing_ELA[#Data],YES_Writing_FLA[#Data]),MATCH($A588,_xlfn.VSTACK(YES_Writing_ELA[Student Number],YES_Writing_FLA[Student Number]),0),MATCH(VLOOKUP(G$7,'Writing Logic'!$J$7:$K$11,2,FALSE)&amp;" - Per "&amp;VLOOKUP($C$4,'Writing Logic'!$G$8:$H$14,2,FALSE),YES_Writing_ELA[#Headers],0))=0,"",INDEX(_xlfn.VSTACK(YES_Writing_ELA[#Data],YES_Writing_FLA[#Data]),MATCH($A588,_xlfn.VSTACK(YES_Writing_ELA[Student Number],YES_Writing_FLA[Student Number]),0),MATCH(VLOOKUP(G$7,'Writing Logic'!$J$7:$K$11,2,FALSE)&amp;" - Per "&amp;VLOOKUP($C$4,'Writing Logic'!$G$8:$H$14,2,FALSE),YES_Writing_ELA[#Headers],0)))),"")</f>
        <v/>
      </c>
      <c r="H588" s="138" t="str">
        <f>IFERROR(IF(IF(INDEX(_xlfn.VSTACK(YES_Writing_ELA[#Data],YES_Writing_FLA[#Data]),MATCH($A588,_xlfn.VSTACK(YES_Writing_ELA[Student Number],YES_Writing_FLA[Student Number]),0),MATCH(VLOOKUP(H$7,'Writing Logic'!$J$7:$K$11,2,FALSE)&amp;" - Per "&amp;VLOOKUP($C$4,'Writing Logic'!$G$8:$H$14,2,FALSE),YES_Writing_ELA[#Headers],0))=0,"",INDEX(_xlfn.VSTACK(YES_Writing_ELA[#Data],YES_Writing_FLA[#Data]),MATCH($A588,_xlfn.VSTACK(YES_Writing_ELA[Student Number],YES_Writing_FLA[Student Number]),0),MATCH(VLOOKUP(H$7,'Writing Logic'!$J$7:$K$11,2,FALSE)&amp;" - Per "&amp;VLOOKUP($C$4,'Writing Logic'!$G$8:$H$14,2,FALSE),YES_Writing_ELA[#Headers],0)))="INS",'Writing Logic'!$B$7,IF(INDEX(_xlfn.VSTACK(YES_Writing_ELA[#Data],YES_Writing_FLA[#Data]),MATCH($A588,_xlfn.VSTACK(YES_Writing_ELA[Student Number],YES_Writing_FLA[Student Number]),0),MATCH(VLOOKUP(H$7,'Writing Logic'!$J$7:$K$11,2,FALSE)&amp;" - Per "&amp;VLOOKUP($C$4,'Writing Logic'!$G$8:$H$14,2,FALSE),YES_Writing_ELA[#Headers],0))=0,"",INDEX(_xlfn.VSTACK(YES_Writing_ELA[#Data],YES_Writing_FLA[#Data]),MATCH($A588,_xlfn.VSTACK(YES_Writing_ELA[Student Number],YES_Writing_FLA[Student Number]),0),MATCH(VLOOKUP(H$7,'Writing Logic'!$J$7:$K$11,2,FALSE)&amp;" - Per "&amp;VLOOKUP($C$4,'Writing Logic'!$G$8:$H$14,2,FALSE),YES_Writing_ELA[#Headers],0)))),"")</f>
        <v/>
      </c>
    </row>
    <row r="589" spans="1:8" x14ac:dyDescent="0.25">
      <c r="A589" s="137"/>
      <c r="B589" s="137" t="str">
        <f>IFERROR(INDEX(_xlfn.VSTACK(YES_Writing_ELA[#Data], YES_Writing_FLA[#Data]),MATCH($A589,_xlfn.VSTACK(YES_Writing_ELA[Student Number], YES_Writing_FLA[Student Number]),0),MATCH(B$7,YES_Writing_ELA[#Headers],0)),"")</f>
        <v/>
      </c>
      <c r="C589" s="137" t="str">
        <f>IFERROR(INDEX(_xlfn.VSTACK(YES_Writing_ELA[#Data], YES_Writing_FLA[#Data]),MATCH($A589,_xlfn.VSTACK(YES_Writing_ELA[Student Number], YES_Writing_FLA[Student Number]),0),MATCH(C$7,YES_Writing_ELA[#Headers],0)),"")</f>
        <v/>
      </c>
      <c r="D589" s="138" t="str">
        <f>IFERROR(IF(IF(INDEX(_xlfn.VSTACK(YES_Writing_ELA[#Data],YES_Writing_FLA[#Data]),MATCH($A589,_xlfn.VSTACK(YES_Writing_ELA[Student Number],YES_Writing_FLA[Student Number]),0),MATCH(VLOOKUP(D$7,'Writing Logic'!$J$7:$K$11,2,FALSE)&amp;" - Per "&amp;VLOOKUP($C$4,'Writing Logic'!$G$8:$H$14,2,FALSE),YES_Writing_ELA[#Headers],0))=0,"",INDEX(_xlfn.VSTACK(YES_Writing_ELA[#Data],YES_Writing_FLA[#Data]),MATCH($A589,_xlfn.VSTACK(YES_Writing_ELA[Student Number],YES_Writing_FLA[Student Number]),0),MATCH(VLOOKUP(D$7,'Writing Logic'!$J$7:$K$11,2,FALSE)&amp;" - Per "&amp;VLOOKUP($C$4,'Writing Logic'!$G$8:$H$14,2,FALSE),YES_Writing_ELA[#Headers],0)))="INS",'Writing Logic'!$B$7,IF(INDEX(_xlfn.VSTACK(YES_Writing_ELA[#Data],YES_Writing_FLA[#Data]),MATCH($A589,_xlfn.VSTACK(YES_Writing_ELA[Student Number],YES_Writing_FLA[Student Number]),0),MATCH(VLOOKUP(D$7,'Writing Logic'!$J$7:$K$11,2,FALSE)&amp;" - Per "&amp;VLOOKUP($C$4,'Writing Logic'!$G$8:$H$14,2,FALSE),YES_Writing_ELA[#Headers],0))=0,"",INDEX(_xlfn.VSTACK(YES_Writing_ELA[#Data],YES_Writing_FLA[#Data]),MATCH($A589,_xlfn.VSTACK(YES_Writing_ELA[Student Number],YES_Writing_FLA[Student Number]),0),MATCH(VLOOKUP(D$7,'Writing Logic'!$J$7:$K$11,2,FALSE)&amp;" - Per "&amp;VLOOKUP($C$4,'Writing Logic'!$G$8:$H$14,2,FALSE),YES_Writing_ELA[#Headers],0)))),"")</f>
        <v/>
      </c>
      <c r="E589" s="138" t="str">
        <f>IFERROR(IF(IF(INDEX(_xlfn.VSTACK(YES_Writing_ELA[#Data],YES_Writing_FLA[#Data]),MATCH($A589,_xlfn.VSTACK(YES_Writing_ELA[Student Number],YES_Writing_FLA[Student Number]),0),MATCH(VLOOKUP(E$7,'Writing Logic'!$J$7:$K$11,2,FALSE)&amp;" - Per "&amp;VLOOKUP($C$4,'Writing Logic'!$G$8:$H$14,2,FALSE),YES_Writing_ELA[#Headers],0))=0,"",INDEX(_xlfn.VSTACK(YES_Writing_ELA[#Data],YES_Writing_FLA[#Data]),MATCH($A589,_xlfn.VSTACK(YES_Writing_ELA[Student Number],YES_Writing_FLA[Student Number]),0),MATCH(VLOOKUP(E$7,'Writing Logic'!$J$7:$K$11,2,FALSE)&amp;" - Per "&amp;VLOOKUP($C$4,'Writing Logic'!$G$8:$H$14,2,FALSE),YES_Writing_ELA[#Headers],0)))="INS",'Writing Logic'!$B$7,IF(INDEX(_xlfn.VSTACK(YES_Writing_ELA[#Data],YES_Writing_FLA[#Data]),MATCH($A589,_xlfn.VSTACK(YES_Writing_ELA[Student Number],YES_Writing_FLA[Student Number]),0),MATCH(VLOOKUP(E$7,'Writing Logic'!$J$7:$K$11,2,FALSE)&amp;" - Per "&amp;VLOOKUP($C$4,'Writing Logic'!$G$8:$H$14,2,FALSE),YES_Writing_ELA[#Headers],0))=0,"",INDEX(_xlfn.VSTACK(YES_Writing_ELA[#Data],YES_Writing_FLA[#Data]),MATCH($A589,_xlfn.VSTACK(YES_Writing_ELA[Student Number],YES_Writing_FLA[Student Number]),0),MATCH(VLOOKUP(E$7,'Writing Logic'!$J$7:$K$11,2,FALSE)&amp;" - Per "&amp;VLOOKUP($C$4,'Writing Logic'!$G$8:$H$14,2,FALSE),YES_Writing_ELA[#Headers],0)))),"")</f>
        <v/>
      </c>
      <c r="F589" s="138" t="str">
        <f>IFERROR(IF(IF(INDEX(_xlfn.VSTACK(YES_Writing_ELA[#Data],YES_Writing_FLA[#Data]),MATCH($A589,_xlfn.VSTACK(YES_Writing_ELA[Student Number],YES_Writing_FLA[Student Number]),0),MATCH(VLOOKUP(F$7,'Writing Logic'!$J$7:$K$11,2,FALSE)&amp;" - Per "&amp;VLOOKUP($C$4,'Writing Logic'!$G$8:$H$14,2,FALSE),YES_Writing_ELA[#Headers],0))=0,"",INDEX(_xlfn.VSTACK(YES_Writing_ELA[#Data],YES_Writing_FLA[#Data]),MATCH($A589,_xlfn.VSTACK(YES_Writing_ELA[Student Number],YES_Writing_FLA[Student Number]),0),MATCH(VLOOKUP(F$7,'Writing Logic'!$J$7:$K$11,2,FALSE)&amp;" - Per "&amp;VLOOKUP($C$4,'Writing Logic'!$G$8:$H$14,2,FALSE),YES_Writing_ELA[#Headers],0)))="INS",'Writing Logic'!$B$7,IF(INDEX(_xlfn.VSTACK(YES_Writing_ELA[#Data],YES_Writing_FLA[#Data]),MATCH($A589,_xlfn.VSTACK(YES_Writing_ELA[Student Number],YES_Writing_FLA[Student Number]),0),MATCH(VLOOKUP(F$7,'Writing Logic'!$J$7:$K$11,2,FALSE)&amp;" - Per "&amp;VLOOKUP($C$4,'Writing Logic'!$G$8:$H$14,2,FALSE),YES_Writing_ELA[#Headers],0))=0,"",INDEX(_xlfn.VSTACK(YES_Writing_ELA[#Data],YES_Writing_FLA[#Data]),MATCH($A589,_xlfn.VSTACK(YES_Writing_ELA[Student Number],YES_Writing_FLA[Student Number]),0),MATCH(VLOOKUP(F$7,'Writing Logic'!$J$7:$K$11,2,FALSE)&amp;" - Per "&amp;VLOOKUP($C$4,'Writing Logic'!$G$8:$H$14,2,FALSE),YES_Writing_ELA[#Headers],0)))),"")</f>
        <v/>
      </c>
      <c r="G589" s="138" t="str">
        <f>IFERROR(IF(IF(INDEX(_xlfn.VSTACK(YES_Writing_ELA[#Data],YES_Writing_FLA[#Data]),MATCH($A589,_xlfn.VSTACK(YES_Writing_ELA[Student Number],YES_Writing_FLA[Student Number]),0),MATCH(VLOOKUP(G$7,'Writing Logic'!$J$7:$K$11,2,FALSE)&amp;" - Per "&amp;VLOOKUP($C$4,'Writing Logic'!$G$8:$H$14,2,FALSE),YES_Writing_ELA[#Headers],0))=0,"",INDEX(_xlfn.VSTACK(YES_Writing_ELA[#Data],YES_Writing_FLA[#Data]),MATCH($A589,_xlfn.VSTACK(YES_Writing_ELA[Student Number],YES_Writing_FLA[Student Number]),0),MATCH(VLOOKUP(G$7,'Writing Logic'!$J$7:$K$11,2,FALSE)&amp;" - Per "&amp;VLOOKUP($C$4,'Writing Logic'!$G$8:$H$14,2,FALSE),YES_Writing_ELA[#Headers],0)))="INS",'Writing Logic'!$B$7,IF(INDEX(_xlfn.VSTACK(YES_Writing_ELA[#Data],YES_Writing_FLA[#Data]),MATCH($A589,_xlfn.VSTACK(YES_Writing_ELA[Student Number],YES_Writing_FLA[Student Number]),0),MATCH(VLOOKUP(G$7,'Writing Logic'!$J$7:$K$11,2,FALSE)&amp;" - Per "&amp;VLOOKUP($C$4,'Writing Logic'!$G$8:$H$14,2,FALSE),YES_Writing_ELA[#Headers],0))=0,"",INDEX(_xlfn.VSTACK(YES_Writing_ELA[#Data],YES_Writing_FLA[#Data]),MATCH($A589,_xlfn.VSTACK(YES_Writing_ELA[Student Number],YES_Writing_FLA[Student Number]),0),MATCH(VLOOKUP(G$7,'Writing Logic'!$J$7:$K$11,2,FALSE)&amp;" - Per "&amp;VLOOKUP($C$4,'Writing Logic'!$G$8:$H$14,2,FALSE),YES_Writing_ELA[#Headers],0)))),"")</f>
        <v/>
      </c>
      <c r="H589" s="138" t="str">
        <f>IFERROR(IF(IF(INDEX(_xlfn.VSTACK(YES_Writing_ELA[#Data],YES_Writing_FLA[#Data]),MATCH($A589,_xlfn.VSTACK(YES_Writing_ELA[Student Number],YES_Writing_FLA[Student Number]),0),MATCH(VLOOKUP(H$7,'Writing Logic'!$J$7:$K$11,2,FALSE)&amp;" - Per "&amp;VLOOKUP($C$4,'Writing Logic'!$G$8:$H$14,2,FALSE),YES_Writing_ELA[#Headers],0))=0,"",INDEX(_xlfn.VSTACK(YES_Writing_ELA[#Data],YES_Writing_FLA[#Data]),MATCH($A589,_xlfn.VSTACK(YES_Writing_ELA[Student Number],YES_Writing_FLA[Student Number]),0),MATCH(VLOOKUP(H$7,'Writing Logic'!$J$7:$K$11,2,FALSE)&amp;" - Per "&amp;VLOOKUP($C$4,'Writing Logic'!$G$8:$H$14,2,FALSE),YES_Writing_ELA[#Headers],0)))="INS",'Writing Logic'!$B$7,IF(INDEX(_xlfn.VSTACK(YES_Writing_ELA[#Data],YES_Writing_FLA[#Data]),MATCH($A589,_xlfn.VSTACK(YES_Writing_ELA[Student Number],YES_Writing_FLA[Student Number]),0),MATCH(VLOOKUP(H$7,'Writing Logic'!$J$7:$K$11,2,FALSE)&amp;" - Per "&amp;VLOOKUP($C$4,'Writing Logic'!$G$8:$H$14,2,FALSE),YES_Writing_ELA[#Headers],0))=0,"",INDEX(_xlfn.VSTACK(YES_Writing_ELA[#Data],YES_Writing_FLA[#Data]),MATCH($A589,_xlfn.VSTACK(YES_Writing_ELA[Student Number],YES_Writing_FLA[Student Number]),0),MATCH(VLOOKUP(H$7,'Writing Logic'!$J$7:$K$11,2,FALSE)&amp;" - Per "&amp;VLOOKUP($C$4,'Writing Logic'!$G$8:$H$14,2,FALSE),YES_Writing_ELA[#Headers],0)))),"")</f>
        <v/>
      </c>
    </row>
    <row r="590" spans="1:8" x14ac:dyDescent="0.25">
      <c r="A590" s="137"/>
      <c r="B590" s="137" t="str">
        <f>IFERROR(INDEX(_xlfn.VSTACK(YES_Writing_ELA[#Data], YES_Writing_FLA[#Data]),MATCH($A590,_xlfn.VSTACK(YES_Writing_ELA[Student Number], YES_Writing_FLA[Student Number]),0),MATCH(B$7,YES_Writing_ELA[#Headers],0)),"")</f>
        <v/>
      </c>
      <c r="C590" s="137" t="str">
        <f>IFERROR(INDEX(_xlfn.VSTACK(YES_Writing_ELA[#Data], YES_Writing_FLA[#Data]),MATCH($A590,_xlfn.VSTACK(YES_Writing_ELA[Student Number], YES_Writing_FLA[Student Number]),0),MATCH(C$7,YES_Writing_ELA[#Headers],0)),"")</f>
        <v/>
      </c>
      <c r="D590" s="138" t="str">
        <f>IFERROR(IF(IF(INDEX(_xlfn.VSTACK(YES_Writing_ELA[#Data],YES_Writing_FLA[#Data]),MATCH($A590,_xlfn.VSTACK(YES_Writing_ELA[Student Number],YES_Writing_FLA[Student Number]),0),MATCH(VLOOKUP(D$7,'Writing Logic'!$J$7:$K$11,2,FALSE)&amp;" - Per "&amp;VLOOKUP($C$4,'Writing Logic'!$G$8:$H$14,2,FALSE),YES_Writing_ELA[#Headers],0))=0,"",INDEX(_xlfn.VSTACK(YES_Writing_ELA[#Data],YES_Writing_FLA[#Data]),MATCH($A590,_xlfn.VSTACK(YES_Writing_ELA[Student Number],YES_Writing_FLA[Student Number]),0),MATCH(VLOOKUP(D$7,'Writing Logic'!$J$7:$K$11,2,FALSE)&amp;" - Per "&amp;VLOOKUP($C$4,'Writing Logic'!$G$8:$H$14,2,FALSE),YES_Writing_ELA[#Headers],0)))="INS",'Writing Logic'!$B$7,IF(INDEX(_xlfn.VSTACK(YES_Writing_ELA[#Data],YES_Writing_FLA[#Data]),MATCH($A590,_xlfn.VSTACK(YES_Writing_ELA[Student Number],YES_Writing_FLA[Student Number]),0),MATCH(VLOOKUP(D$7,'Writing Logic'!$J$7:$K$11,2,FALSE)&amp;" - Per "&amp;VLOOKUP($C$4,'Writing Logic'!$G$8:$H$14,2,FALSE),YES_Writing_ELA[#Headers],0))=0,"",INDEX(_xlfn.VSTACK(YES_Writing_ELA[#Data],YES_Writing_FLA[#Data]),MATCH($A590,_xlfn.VSTACK(YES_Writing_ELA[Student Number],YES_Writing_FLA[Student Number]),0),MATCH(VLOOKUP(D$7,'Writing Logic'!$J$7:$K$11,2,FALSE)&amp;" - Per "&amp;VLOOKUP($C$4,'Writing Logic'!$G$8:$H$14,2,FALSE),YES_Writing_ELA[#Headers],0)))),"")</f>
        <v/>
      </c>
      <c r="E590" s="138" t="str">
        <f>IFERROR(IF(IF(INDEX(_xlfn.VSTACK(YES_Writing_ELA[#Data],YES_Writing_FLA[#Data]),MATCH($A590,_xlfn.VSTACK(YES_Writing_ELA[Student Number],YES_Writing_FLA[Student Number]),0),MATCH(VLOOKUP(E$7,'Writing Logic'!$J$7:$K$11,2,FALSE)&amp;" - Per "&amp;VLOOKUP($C$4,'Writing Logic'!$G$8:$H$14,2,FALSE),YES_Writing_ELA[#Headers],0))=0,"",INDEX(_xlfn.VSTACK(YES_Writing_ELA[#Data],YES_Writing_FLA[#Data]),MATCH($A590,_xlfn.VSTACK(YES_Writing_ELA[Student Number],YES_Writing_FLA[Student Number]),0),MATCH(VLOOKUP(E$7,'Writing Logic'!$J$7:$K$11,2,FALSE)&amp;" - Per "&amp;VLOOKUP($C$4,'Writing Logic'!$G$8:$H$14,2,FALSE),YES_Writing_ELA[#Headers],0)))="INS",'Writing Logic'!$B$7,IF(INDEX(_xlfn.VSTACK(YES_Writing_ELA[#Data],YES_Writing_FLA[#Data]),MATCH($A590,_xlfn.VSTACK(YES_Writing_ELA[Student Number],YES_Writing_FLA[Student Number]),0),MATCH(VLOOKUP(E$7,'Writing Logic'!$J$7:$K$11,2,FALSE)&amp;" - Per "&amp;VLOOKUP($C$4,'Writing Logic'!$G$8:$H$14,2,FALSE),YES_Writing_ELA[#Headers],0))=0,"",INDEX(_xlfn.VSTACK(YES_Writing_ELA[#Data],YES_Writing_FLA[#Data]),MATCH($A590,_xlfn.VSTACK(YES_Writing_ELA[Student Number],YES_Writing_FLA[Student Number]),0),MATCH(VLOOKUP(E$7,'Writing Logic'!$J$7:$K$11,2,FALSE)&amp;" - Per "&amp;VLOOKUP($C$4,'Writing Logic'!$G$8:$H$14,2,FALSE),YES_Writing_ELA[#Headers],0)))),"")</f>
        <v/>
      </c>
      <c r="F590" s="138" t="str">
        <f>IFERROR(IF(IF(INDEX(_xlfn.VSTACK(YES_Writing_ELA[#Data],YES_Writing_FLA[#Data]),MATCH($A590,_xlfn.VSTACK(YES_Writing_ELA[Student Number],YES_Writing_FLA[Student Number]),0),MATCH(VLOOKUP(F$7,'Writing Logic'!$J$7:$K$11,2,FALSE)&amp;" - Per "&amp;VLOOKUP($C$4,'Writing Logic'!$G$8:$H$14,2,FALSE),YES_Writing_ELA[#Headers],0))=0,"",INDEX(_xlfn.VSTACK(YES_Writing_ELA[#Data],YES_Writing_FLA[#Data]),MATCH($A590,_xlfn.VSTACK(YES_Writing_ELA[Student Number],YES_Writing_FLA[Student Number]),0),MATCH(VLOOKUP(F$7,'Writing Logic'!$J$7:$K$11,2,FALSE)&amp;" - Per "&amp;VLOOKUP($C$4,'Writing Logic'!$G$8:$H$14,2,FALSE),YES_Writing_ELA[#Headers],0)))="INS",'Writing Logic'!$B$7,IF(INDEX(_xlfn.VSTACK(YES_Writing_ELA[#Data],YES_Writing_FLA[#Data]),MATCH($A590,_xlfn.VSTACK(YES_Writing_ELA[Student Number],YES_Writing_FLA[Student Number]),0),MATCH(VLOOKUP(F$7,'Writing Logic'!$J$7:$K$11,2,FALSE)&amp;" - Per "&amp;VLOOKUP($C$4,'Writing Logic'!$G$8:$H$14,2,FALSE),YES_Writing_ELA[#Headers],0))=0,"",INDEX(_xlfn.VSTACK(YES_Writing_ELA[#Data],YES_Writing_FLA[#Data]),MATCH($A590,_xlfn.VSTACK(YES_Writing_ELA[Student Number],YES_Writing_FLA[Student Number]),0),MATCH(VLOOKUP(F$7,'Writing Logic'!$J$7:$K$11,2,FALSE)&amp;" - Per "&amp;VLOOKUP($C$4,'Writing Logic'!$G$8:$H$14,2,FALSE),YES_Writing_ELA[#Headers],0)))),"")</f>
        <v/>
      </c>
      <c r="G590" s="138" t="str">
        <f>IFERROR(IF(IF(INDEX(_xlfn.VSTACK(YES_Writing_ELA[#Data],YES_Writing_FLA[#Data]),MATCH($A590,_xlfn.VSTACK(YES_Writing_ELA[Student Number],YES_Writing_FLA[Student Number]),0),MATCH(VLOOKUP(G$7,'Writing Logic'!$J$7:$K$11,2,FALSE)&amp;" - Per "&amp;VLOOKUP($C$4,'Writing Logic'!$G$8:$H$14,2,FALSE),YES_Writing_ELA[#Headers],0))=0,"",INDEX(_xlfn.VSTACK(YES_Writing_ELA[#Data],YES_Writing_FLA[#Data]),MATCH($A590,_xlfn.VSTACK(YES_Writing_ELA[Student Number],YES_Writing_FLA[Student Number]),0),MATCH(VLOOKUP(G$7,'Writing Logic'!$J$7:$K$11,2,FALSE)&amp;" - Per "&amp;VLOOKUP($C$4,'Writing Logic'!$G$8:$H$14,2,FALSE),YES_Writing_ELA[#Headers],0)))="INS",'Writing Logic'!$B$7,IF(INDEX(_xlfn.VSTACK(YES_Writing_ELA[#Data],YES_Writing_FLA[#Data]),MATCH($A590,_xlfn.VSTACK(YES_Writing_ELA[Student Number],YES_Writing_FLA[Student Number]),0),MATCH(VLOOKUP(G$7,'Writing Logic'!$J$7:$K$11,2,FALSE)&amp;" - Per "&amp;VLOOKUP($C$4,'Writing Logic'!$G$8:$H$14,2,FALSE),YES_Writing_ELA[#Headers],0))=0,"",INDEX(_xlfn.VSTACK(YES_Writing_ELA[#Data],YES_Writing_FLA[#Data]),MATCH($A590,_xlfn.VSTACK(YES_Writing_ELA[Student Number],YES_Writing_FLA[Student Number]),0),MATCH(VLOOKUP(G$7,'Writing Logic'!$J$7:$K$11,2,FALSE)&amp;" - Per "&amp;VLOOKUP($C$4,'Writing Logic'!$G$8:$H$14,2,FALSE),YES_Writing_ELA[#Headers],0)))),"")</f>
        <v/>
      </c>
      <c r="H590" s="138" t="str">
        <f>IFERROR(IF(IF(INDEX(_xlfn.VSTACK(YES_Writing_ELA[#Data],YES_Writing_FLA[#Data]),MATCH($A590,_xlfn.VSTACK(YES_Writing_ELA[Student Number],YES_Writing_FLA[Student Number]),0),MATCH(VLOOKUP(H$7,'Writing Logic'!$J$7:$K$11,2,FALSE)&amp;" - Per "&amp;VLOOKUP($C$4,'Writing Logic'!$G$8:$H$14,2,FALSE),YES_Writing_ELA[#Headers],0))=0,"",INDEX(_xlfn.VSTACK(YES_Writing_ELA[#Data],YES_Writing_FLA[#Data]),MATCH($A590,_xlfn.VSTACK(YES_Writing_ELA[Student Number],YES_Writing_FLA[Student Number]),0),MATCH(VLOOKUP(H$7,'Writing Logic'!$J$7:$K$11,2,FALSE)&amp;" - Per "&amp;VLOOKUP($C$4,'Writing Logic'!$G$8:$H$14,2,FALSE),YES_Writing_ELA[#Headers],0)))="INS",'Writing Logic'!$B$7,IF(INDEX(_xlfn.VSTACK(YES_Writing_ELA[#Data],YES_Writing_FLA[#Data]),MATCH($A590,_xlfn.VSTACK(YES_Writing_ELA[Student Number],YES_Writing_FLA[Student Number]),0),MATCH(VLOOKUP(H$7,'Writing Logic'!$J$7:$K$11,2,FALSE)&amp;" - Per "&amp;VLOOKUP($C$4,'Writing Logic'!$G$8:$H$14,2,FALSE),YES_Writing_ELA[#Headers],0))=0,"",INDEX(_xlfn.VSTACK(YES_Writing_ELA[#Data],YES_Writing_FLA[#Data]),MATCH($A590,_xlfn.VSTACK(YES_Writing_ELA[Student Number],YES_Writing_FLA[Student Number]),0),MATCH(VLOOKUP(H$7,'Writing Logic'!$J$7:$K$11,2,FALSE)&amp;" - Per "&amp;VLOOKUP($C$4,'Writing Logic'!$G$8:$H$14,2,FALSE),YES_Writing_ELA[#Headers],0)))),"")</f>
        <v/>
      </c>
    </row>
    <row r="591" spans="1:8" x14ac:dyDescent="0.25">
      <c r="A591" s="137"/>
      <c r="B591" s="137" t="str">
        <f>IFERROR(INDEX(_xlfn.VSTACK(YES_Writing_ELA[#Data], YES_Writing_FLA[#Data]),MATCH($A591,_xlfn.VSTACK(YES_Writing_ELA[Student Number], YES_Writing_FLA[Student Number]),0),MATCH(B$7,YES_Writing_ELA[#Headers],0)),"")</f>
        <v/>
      </c>
      <c r="C591" s="137" t="str">
        <f>IFERROR(INDEX(_xlfn.VSTACK(YES_Writing_ELA[#Data], YES_Writing_FLA[#Data]),MATCH($A591,_xlfn.VSTACK(YES_Writing_ELA[Student Number], YES_Writing_FLA[Student Number]),0),MATCH(C$7,YES_Writing_ELA[#Headers],0)),"")</f>
        <v/>
      </c>
      <c r="D591" s="138" t="str">
        <f>IFERROR(IF(IF(INDEX(_xlfn.VSTACK(YES_Writing_ELA[#Data],YES_Writing_FLA[#Data]),MATCH($A591,_xlfn.VSTACK(YES_Writing_ELA[Student Number],YES_Writing_FLA[Student Number]),0),MATCH(VLOOKUP(D$7,'Writing Logic'!$J$7:$K$11,2,FALSE)&amp;" - Per "&amp;VLOOKUP($C$4,'Writing Logic'!$G$8:$H$14,2,FALSE),YES_Writing_ELA[#Headers],0))=0,"",INDEX(_xlfn.VSTACK(YES_Writing_ELA[#Data],YES_Writing_FLA[#Data]),MATCH($A591,_xlfn.VSTACK(YES_Writing_ELA[Student Number],YES_Writing_FLA[Student Number]),0),MATCH(VLOOKUP(D$7,'Writing Logic'!$J$7:$K$11,2,FALSE)&amp;" - Per "&amp;VLOOKUP($C$4,'Writing Logic'!$G$8:$H$14,2,FALSE),YES_Writing_ELA[#Headers],0)))="INS",'Writing Logic'!$B$7,IF(INDEX(_xlfn.VSTACK(YES_Writing_ELA[#Data],YES_Writing_FLA[#Data]),MATCH($A591,_xlfn.VSTACK(YES_Writing_ELA[Student Number],YES_Writing_FLA[Student Number]),0),MATCH(VLOOKUP(D$7,'Writing Logic'!$J$7:$K$11,2,FALSE)&amp;" - Per "&amp;VLOOKUP($C$4,'Writing Logic'!$G$8:$H$14,2,FALSE),YES_Writing_ELA[#Headers],0))=0,"",INDEX(_xlfn.VSTACK(YES_Writing_ELA[#Data],YES_Writing_FLA[#Data]),MATCH($A591,_xlfn.VSTACK(YES_Writing_ELA[Student Number],YES_Writing_FLA[Student Number]),0),MATCH(VLOOKUP(D$7,'Writing Logic'!$J$7:$K$11,2,FALSE)&amp;" - Per "&amp;VLOOKUP($C$4,'Writing Logic'!$G$8:$H$14,2,FALSE),YES_Writing_ELA[#Headers],0)))),"")</f>
        <v/>
      </c>
      <c r="E591" s="138" t="str">
        <f>IFERROR(IF(IF(INDEX(_xlfn.VSTACK(YES_Writing_ELA[#Data],YES_Writing_FLA[#Data]),MATCH($A591,_xlfn.VSTACK(YES_Writing_ELA[Student Number],YES_Writing_FLA[Student Number]),0),MATCH(VLOOKUP(E$7,'Writing Logic'!$J$7:$K$11,2,FALSE)&amp;" - Per "&amp;VLOOKUP($C$4,'Writing Logic'!$G$8:$H$14,2,FALSE),YES_Writing_ELA[#Headers],0))=0,"",INDEX(_xlfn.VSTACK(YES_Writing_ELA[#Data],YES_Writing_FLA[#Data]),MATCH($A591,_xlfn.VSTACK(YES_Writing_ELA[Student Number],YES_Writing_FLA[Student Number]),0),MATCH(VLOOKUP(E$7,'Writing Logic'!$J$7:$K$11,2,FALSE)&amp;" - Per "&amp;VLOOKUP($C$4,'Writing Logic'!$G$8:$H$14,2,FALSE),YES_Writing_ELA[#Headers],0)))="INS",'Writing Logic'!$B$7,IF(INDEX(_xlfn.VSTACK(YES_Writing_ELA[#Data],YES_Writing_FLA[#Data]),MATCH($A591,_xlfn.VSTACK(YES_Writing_ELA[Student Number],YES_Writing_FLA[Student Number]),0),MATCH(VLOOKUP(E$7,'Writing Logic'!$J$7:$K$11,2,FALSE)&amp;" - Per "&amp;VLOOKUP($C$4,'Writing Logic'!$G$8:$H$14,2,FALSE),YES_Writing_ELA[#Headers],0))=0,"",INDEX(_xlfn.VSTACK(YES_Writing_ELA[#Data],YES_Writing_FLA[#Data]),MATCH($A591,_xlfn.VSTACK(YES_Writing_ELA[Student Number],YES_Writing_FLA[Student Number]),0),MATCH(VLOOKUP(E$7,'Writing Logic'!$J$7:$K$11,2,FALSE)&amp;" - Per "&amp;VLOOKUP($C$4,'Writing Logic'!$G$8:$H$14,2,FALSE),YES_Writing_ELA[#Headers],0)))),"")</f>
        <v/>
      </c>
      <c r="F591" s="138" t="str">
        <f>IFERROR(IF(IF(INDEX(_xlfn.VSTACK(YES_Writing_ELA[#Data],YES_Writing_FLA[#Data]),MATCH($A591,_xlfn.VSTACK(YES_Writing_ELA[Student Number],YES_Writing_FLA[Student Number]),0),MATCH(VLOOKUP(F$7,'Writing Logic'!$J$7:$K$11,2,FALSE)&amp;" - Per "&amp;VLOOKUP($C$4,'Writing Logic'!$G$8:$H$14,2,FALSE),YES_Writing_ELA[#Headers],0))=0,"",INDEX(_xlfn.VSTACK(YES_Writing_ELA[#Data],YES_Writing_FLA[#Data]),MATCH($A591,_xlfn.VSTACK(YES_Writing_ELA[Student Number],YES_Writing_FLA[Student Number]),0),MATCH(VLOOKUP(F$7,'Writing Logic'!$J$7:$K$11,2,FALSE)&amp;" - Per "&amp;VLOOKUP($C$4,'Writing Logic'!$G$8:$H$14,2,FALSE),YES_Writing_ELA[#Headers],0)))="INS",'Writing Logic'!$B$7,IF(INDEX(_xlfn.VSTACK(YES_Writing_ELA[#Data],YES_Writing_FLA[#Data]),MATCH($A591,_xlfn.VSTACK(YES_Writing_ELA[Student Number],YES_Writing_FLA[Student Number]),0),MATCH(VLOOKUP(F$7,'Writing Logic'!$J$7:$K$11,2,FALSE)&amp;" - Per "&amp;VLOOKUP($C$4,'Writing Logic'!$G$8:$H$14,2,FALSE),YES_Writing_ELA[#Headers],0))=0,"",INDEX(_xlfn.VSTACK(YES_Writing_ELA[#Data],YES_Writing_FLA[#Data]),MATCH($A591,_xlfn.VSTACK(YES_Writing_ELA[Student Number],YES_Writing_FLA[Student Number]),0),MATCH(VLOOKUP(F$7,'Writing Logic'!$J$7:$K$11,2,FALSE)&amp;" - Per "&amp;VLOOKUP($C$4,'Writing Logic'!$G$8:$H$14,2,FALSE),YES_Writing_ELA[#Headers],0)))),"")</f>
        <v/>
      </c>
      <c r="G591" s="138" t="str">
        <f>IFERROR(IF(IF(INDEX(_xlfn.VSTACK(YES_Writing_ELA[#Data],YES_Writing_FLA[#Data]),MATCH($A591,_xlfn.VSTACK(YES_Writing_ELA[Student Number],YES_Writing_FLA[Student Number]),0),MATCH(VLOOKUP(G$7,'Writing Logic'!$J$7:$K$11,2,FALSE)&amp;" - Per "&amp;VLOOKUP($C$4,'Writing Logic'!$G$8:$H$14,2,FALSE),YES_Writing_ELA[#Headers],0))=0,"",INDEX(_xlfn.VSTACK(YES_Writing_ELA[#Data],YES_Writing_FLA[#Data]),MATCH($A591,_xlfn.VSTACK(YES_Writing_ELA[Student Number],YES_Writing_FLA[Student Number]),0),MATCH(VLOOKUP(G$7,'Writing Logic'!$J$7:$K$11,2,FALSE)&amp;" - Per "&amp;VLOOKUP($C$4,'Writing Logic'!$G$8:$H$14,2,FALSE),YES_Writing_ELA[#Headers],0)))="INS",'Writing Logic'!$B$7,IF(INDEX(_xlfn.VSTACK(YES_Writing_ELA[#Data],YES_Writing_FLA[#Data]),MATCH($A591,_xlfn.VSTACK(YES_Writing_ELA[Student Number],YES_Writing_FLA[Student Number]),0),MATCH(VLOOKUP(G$7,'Writing Logic'!$J$7:$K$11,2,FALSE)&amp;" - Per "&amp;VLOOKUP($C$4,'Writing Logic'!$G$8:$H$14,2,FALSE),YES_Writing_ELA[#Headers],0))=0,"",INDEX(_xlfn.VSTACK(YES_Writing_ELA[#Data],YES_Writing_FLA[#Data]),MATCH($A591,_xlfn.VSTACK(YES_Writing_ELA[Student Number],YES_Writing_FLA[Student Number]),0),MATCH(VLOOKUP(G$7,'Writing Logic'!$J$7:$K$11,2,FALSE)&amp;" - Per "&amp;VLOOKUP($C$4,'Writing Logic'!$G$8:$H$14,2,FALSE),YES_Writing_ELA[#Headers],0)))),"")</f>
        <v/>
      </c>
      <c r="H591" s="138" t="str">
        <f>IFERROR(IF(IF(INDEX(_xlfn.VSTACK(YES_Writing_ELA[#Data],YES_Writing_FLA[#Data]),MATCH($A591,_xlfn.VSTACK(YES_Writing_ELA[Student Number],YES_Writing_FLA[Student Number]),0),MATCH(VLOOKUP(H$7,'Writing Logic'!$J$7:$K$11,2,FALSE)&amp;" - Per "&amp;VLOOKUP($C$4,'Writing Logic'!$G$8:$H$14,2,FALSE),YES_Writing_ELA[#Headers],0))=0,"",INDEX(_xlfn.VSTACK(YES_Writing_ELA[#Data],YES_Writing_FLA[#Data]),MATCH($A591,_xlfn.VSTACK(YES_Writing_ELA[Student Number],YES_Writing_FLA[Student Number]),0),MATCH(VLOOKUP(H$7,'Writing Logic'!$J$7:$K$11,2,FALSE)&amp;" - Per "&amp;VLOOKUP($C$4,'Writing Logic'!$G$8:$H$14,2,FALSE),YES_Writing_ELA[#Headers],0)))="INS",'Writing Logic'!$B$7,IF(INDEX(_xlfn.VSTACK(YES_Writing_ELA[#Data],YES_Writing_FLA[#Data]),MATCH($A591,_xlfn.VSTACK(YES_Writing_ELA[Student Number],YES_Writing_FLA[Student Number]),0),MATCH(VLOOKUP(H$7,'Writing Logic'!$J$7:$K$11,2,FALSE)&amp;" - Per "&amp;VLOOKUP($C$4,'Writing Logic'!$G$8:$H$14,2,FALSE),YES_Writing_ELA[#Headers],0))=0,"",INDEX(_xlfn.VSTACK(YES_Writing_ELA[#Data],YES_Writing_FLA[#Data]),MATCH($A591,_xlfn.VSTACK(YES_Writing_ELA[Student Number],YES_Writing_FLA[Student Number]),0),MATCH(VLOOKUP(H$7,'Writing Logic'!$J$7:$K$11,2,FALSE)&amp;" - Per "&amp;VLOOKUP($C$4,'Writing Logic'!$G$8:$H$14,2,FALSE),YES_Writing_ELA[#Headers],0)))),"")</f>
        <v/>
      </c>
    </row>
    <row r="592" spans="1:8" x14ac:dyDescent="0.25">
      <c r="A592" s="137"/>
      <c r="B592" s="137" t="str">
        <f>IFERROR(INDEX(_xlfn.VSTACK(YES_Writing_ELA[#Data], YES_Writing_FLA[#Data]),MATCH($A592,_xlfn.VSTACK(YES_Writing_ELA[Student Number], YES_Writing_FLA[Student Number]),0),MATCH(B$7,YES_Writing_ELA[#Headers],0)),"")</f>
        <v/>
      </c>
      <c r="C592" s="137" t="str">
        <f>IFERROR(INDEX(_xlfn.VSTACK(YES_Writing_ELA[#Data], YES_Writing_FLA[#Data]),MATCH($A592,_xlfn.VSTACK(YES_Writing_ELA[Student Number], YES_Writing_FLA[Student Number]),0),MATCH(C$7,YES_Writing_ELA[#Headers],0)),"")</f>
        <v/>
      </c>
      <c r="D592" s="138" t="str">
        <f>IFERROR(IF(IF(INDEX(_xlfn.VSTACK(YES_Writing_ELA[#Data],YES_Writing_FLA[#Data]),MATCH($A592,_xlfn.VSTACK(YES_Writing_ELA[Student Number],YES_Writing_FLA[Student Number]),0),MATCH(VLOOKUP(D$7,'Writing Logic'!$J$7:$K$11,2,FALSE)&amp;" - Per "&amp;VLOOKUP($C$4,'Writing Logic'!$G$8:$H$14,2,FALSE),YES_Writing_ELA[#Headers],0))=0,"",INDEX(_xlfn.VSTACK(YES_Writing_ELA[#Data],YES_Writing_FLA[#Data]),MATCH($A592,_xlfn.VSTACK(YES_Writing_ELA[Student Number],YES_Writing_FLA[Student Number]),0),MATCH(VLOOKUP(D$7,'Writing Logic'!$J$7:$K$11,2,FALSE)&amp;" - Per "&amp;VLOOKUP($C$4,'Writing Logic'!$G$8:$H$14,2,FALSE),YES_Writing_ELA[#Headers],0)))="INS",'Writing Logic'!$B$7,IF(INDEX(_xlfn.VSTACK(YES_Writing_ELA[#Data],YES_Writing_FLA[#Data]),MATCH($A592,_xlfn.VSTACK(YES_Writing_ELA[Student Number],YES_Writing_FLA[Student Number]),0),MATCH(VLOOKUP(D$7,'Writing Logic'!$J$7:$K$11,2,FALSE)&amp;" - Per "&amp;VLOOKUP($C$4,'Writing Logic'!$G$8:$H$14,2,FALSE),YES_Writing_ELA[#Headers],0))=0,"",INDEX(_xlfn.VSTACK(YES_Writing_ELA[#Data],YES_Writing_FLA[#Data]),MATCH($A592,_xlfn.VSTACK(YES_Writing_ELA[Student Number],YES_Writing_FLA[Student Number]),0),MATCH(VLOOKUP(D$7,'Writing Logic'!$J$7:$K$11,2,FALSE)&amp;" - Per "&amp;VLOOKUP($C$4,'Writing Logic'!$G$8:$H$14,2,FALSE),YES_Writing_ELA[#Headers],0)))),"")</f>
        <v/>
      </c>
      <c r="E592" s="138" t="str">
        <f>IFERROR(IF(IF(INDEX(_xlfn.VSTACK(YES_Writing_ELA[#Data],YES_Writing_FLA[#Data]),MATCH($A592,_xlfn.VSTACK(YES_Writing_ELA[Student Number],YES_Writing_FLA[Student Number]),0),MATCH(VLOOKUP(E$7,'Writing Logic'!$J$7:$K$11,2,FALSE)&amp;" - Per "&amp;VLOOKUP($C$4,'Writing Logic'!$G$8:$H$14,2,FALSE),YES_Writing_ELA[#Headers],0))=0,"",INDEX(_xlfn.VSTACK(YES_Writing_ELA[#Data],YES_Writing_FLA[#Data]),MATCH($A592,_xlfn.VSTACK(YES_Writing_ELA[Student Number],YES_Writing_FLA[Student Number]),0),MATCH(VLOOKUP(E$7,'Writing Logic'!$J$7:$K$11,2,FALSE)&amp;" - Per "&amp;VLOOKUP($C$4,'Writing Logic'!$G$8:$H$14,2,FALSE),YES_Writing_ELA[#Headers],0)))="INS",'Writing Logic'!$B$7,IF(INDEX(_xlfn.VSTACK(YES_Writing_ELA[#Data],YES_Writing_FLA[#Data]),MATCH($A592,_xlfn.VSTACK(YES_Writing_ELA[Student Number],YES_Writing_FLA[Student Number]),0),MATCH(VLOOKUP(E$7,'Writing Logic'!$J$7:$K$11,2,FALSE)&amp;" - Per "&amp;VLOOKUP($C$4,'Writing Logic'!$G$8:$H$14,2,FALSE),YES_Writing_ELA[#Headers],0))=0,"",INDEX(_xlfn.VSTACK(YES_Writing_ELA[#Data],YES_Writing_FLA[#Data]),MATCH($A592,_xlfn.VSTACK(YES_Writing_ELA[Student Number],YES_Writing_FLA[Student Number]),0),MATCH(VLOOKUP(E$7,'Writing Logic'!$J$7:$K$11,2,FALSE)&amp;" - Per "&amp;VLOOKUP($C$4,'Writing Logic'!$G$8:$H$14,2,FALSE),YES_Writing_ELA[#Headers],0)))),"")</f>
        <v/>
      </c>
      <c r="F592" s="138" t="str">
        <f>IFERROR(IF(IF(INDEX(_xlfn.VSTACK(YES_Writing_ELA[#Data],YES_Writing_FLA[#Data]),MATCH($A592,_xlfn.VSTACK(YES_Writing_ELA[Student Number],YES_Writing_FLA[Student Number]),0),MATCH(VLOOKUP(F$7,'Writing Logic'!$J$7:$K$11,2,FALSE)&amp;" - Per "&amp;VLOOKUP($C$4,'Writing Logic'!$G$8:$H$14,2,FALSE),YES_Writing_ELA[#Headers],0))=0,"",INDEX(_xlfn.VSTACK(YES_Writing_ELA[#Data],YES_Writing_FLA[#Data]),MATCH($A592,_xlfn.VSTACK(YES_Writing_ELA[Student Number],YES_Writing_FLA[Student Number]),0),MATCH(VLOOKUP(F$7,'Writing Logic'!$J$7:$K$11,2,FALSE)&amp;" - Per "&amp;VLOOKUP($C$4,'Writing Logic'!$G$8:$H$14,2,FALSE),YES_Writing_ELA[#Headers],0)))="INS",'Writing Logic'!$B$7,IF(INDEX(_xlfn.VSTACK(YES_Writing_ELA[#Data],YES_Writing_FLA[#Data]),MATCH($A592,_xlfn.VSTACK(YES_Writing_ELA[Student Number],YES_Writing_FLA[Student Number]),0),MATCH(VLOOKUP(F$7,'Writing Logic'!$J$7:$K$11,2,FALSE)&amp;" - Per "&amp;VLOOKUP($C$4,'Writing Logic'!$G$8:$H$14,2,FALSE),YES_Writing_ELA[#Headers],0))=0,"",INDEX(_xlfn.VSTACK(YES_Writing_ELA[#Data],YES_Writing_FLA[#Data]),MATCH($A592,_xlfn.VSTACK(YES_Writing_ELA[Student Number],YES_Writing_FLA[Student Number]),0),MATCH(VLOOKUP(F$7,'Writing Logic'!$J$7:$K$11,2,FALSE)&amp;" - Per "&amp;VLOOKUP($C$4,'Writing Logic'!$G$8:$H$14,2,FALSE),YES_Writing_ELA[#Headers],0)))),"")</f>
        <v/>
      </c>
      <c r="G592" s="138" t="str">
        <f>IFERROR(IF(IF(INDEX(_xlfn.VSTACK(YES_Writing_ELA[#Data],YES_Writing_FLA[#Data]),MATCH($A592,_xlfn.VSTACK(YES_Writing_ELA[Student Number],YES_Writing_FLA[Student Number]),0),MATCH(VLOOKUP(G$7,'Writing Logic'!$J$7:$K$11,2,FALSE)&amp;" - Per "&amp;VLOOKUP($C$4,'Writing Logic'!$G$8:$H$14,2,FALSE),YES_Writing_ELA[#Headers],0))=0,"",INDEX(_xlfn.VSTACK(YES_Writing_ELA[#Data],YES_Writing_FLA[#Data]),MATCH($A592,_xlfn.VSTACK(YES_Writing_ELA[Student Number],YES_Writing_FLA[Student Number]),0),MATCH(VLOOKUP(G$7,'Writing Logic'!$J$7:$K$11,2,FALSE)&amp;" - Per "&amp;VLOOKUP($C$4,'Writing Logic'!$G$8:$H$14,2,FALSE),YES_Writing_ELA[#Headers],0)))="INS",'Writing Logic'!$B$7,IF(INDEX(_xlfn.VSTACK(YES_Writing_ELA[#Data],YES_Writing_FLA[#Data]),MATCH($A592,_xlfn.VSTACK(YES_Writing_ELA[Student Number],YES_Writing_FLA[Student Number]),0),MATCH(VLOOKUP(G$7,'Writing Logic'!$J$7:$K$11,2,FALSE)&amp;" - Per "&amp;VLOOKUP($C$4,'Writing Logic'!$G$8:$H$14,2,FALSE),YES_Writing_ELA[#Headers],0))=0,"",INDEX(_xlfn.VSTACK(YES_Writing_ELA[#Data],YES_Writing_FLA[#Data]),MATCH($A592,_xlfn.VSTACK(YES_Writing_ELA[Student Number],YES_Writing_FLA[Student Number]),0),MATCH(VLOOKUP(G$7,'Writing Logic'!$J$7:$K$11,2,FALSE)&amp;" - Per "&amp;VLOOKUP($C$4,'Writing Logic'!$G$8:$H$14,2,FALSE),YES_Writing_ELA[#Headers],0)))),"")</f>
        <v/>
      </c>
      <c r="H592" s="138" t="str">
        <f>IFERROR(IF(IF(INDEX(_xlfn.VSTACK(YES_Writing_ELA[#Data],YES_Writing_FLA[#Data]),MATCH($A592,_xlfn.VSTACK(YES_Writing_ELA[Student Number],YES_Writing_FLA[Student Number]),0),MATCH(VLOOKUP(H$7,'Writing Logic'!$J$7:$K$11,2,FALSE)&amp;" - Per "&amp;VLOOKUP($C$4,'Writing Logic'!$G$8:$H$14,2,FALSE),YES_Writing_ELA[#Headers],0))=0,"",INDEX(_xlfn.VSTACK(YES_Writing_ELA[#Data],YES_Writing_FLA[#Data]),MATCH($A592,_xlfn.VSTACK(YES_Writing_ELA[Student Number],YES_Writing_FLA[Student Number]),0),MATCH(VLOOKUP(H$7,'Writing Logic'!$J$7:$K$11,2,FALSE)&amp;" - Per "&amp;VLOOKUP($C$4,'Writing Logic'!$G$8:$H$14,2,FALSE),YES_Writing_ELA[#Headers],0)))="INS",'Writing Logic'!$B$7,IF(INDEX(_xlfn.VSTACK(YES_Writing_ELA[#Data],YES_Writing_FLA[#Data]),MATCH($A592,_xlfn.VSTACK(YES_Writing_ELA[Student Number],YES_Writing_FLA[Student Number]),0),MATCH(VLOOKUP(H$7,'Writing Logic'!$J$7:$K$11,2,FALSE)&amp;" - Per "&amp;VLOOKUP($C$4,'Writing Logic'!$G$8:$H$14,2,FALSE),YES_Writing_ELA[#Headers],0))=0,"",INDEX(_xlfn.VSTACK(YES_Writing_ELA[#Data],YES_Writing_FLA[#Data]),MATCH($A592,_xlfn.VSTACK(YES_Writing_ELA[Student Number],YES_Writing_FLA[Student Number]),0),MATCH(VLOOKUP(H$7,'Writing Logic'!$J$7:$K$11,2,FALSE)&amp;" - Per "&amp;VLOOKUP($C$4,'Writing Logic'!$G$8:$H$14,2,FALSE),YES_Writing_ELA[#Headers],0)))),"")</f>
        <v/>
      </c>
    </row>
    <row r="593" spans="1:8" x14ac:dyDescent="0.25">
      <c r="A593" s="137"/>
      <c r="B593" s="137" t="str">
        <f>IFERROR(INDEX(_xlfn.VSTACK(YES_Writing_ELA[#Data], YES_Writing_FLA[#Data]),MATCH($A593,_xlfn.VSTACK(YES_Writing_ELA[Student Number], YES_Writing_FLA[Student Number]),0),MATCH(B$7,YES_Writing_ELA[#Headers],0)),"")</f>
        <v/>
      </c>
      <c r="C593" s="137" t="str">
        <f>IFERROR(INDEX(_xlfn.VSTACK(YES_Writing_ELA[#Data], YES_Writing_FLA[#Data]),MATCH($A593,_xlfn.VSTACK(YES_Writing_ELA[Student Number], YES_Writing_FLA[Student Number]),0),MATCH(C$7,YES_Writing_ELA[#Headers],0)),"")</f>
        <v/>
      </c>
      <c r="D593" s="138" t="str">
        <f>IFERROR(IF(IF(INDEX(_xlfn.VSTACK(YES_Writing_ELA[#Data],YES_Writing_FLA[#Data]),MATCH($A593,_xlfn.VSTACK(YES_Writing_ELA[Student Number],YES_Writing_FLA[Student Number]),0),MATCH(VLOOKUP(D$7,'Writing Logic'!$J$7:$K$11,2,FALSE)&amp;" - Per "&amp;VLOOKUP($C$4,'Writing Logic'!$G$8:$H$14,2,FALSE),YES_Writing_ELA[#Headers],0))=0,"",INDEX(_xlfn.VSTACK(YES_Writing_ELA[#Data],YES_Writing_FLA[#Data]),MATCH($A593,_xlfn.VSTACK(YES_Writing_ELA[Student Number],YES_Writing_FLA[Student Number]),0),MATCH(VLOOKUP(D$7,'Writing Logic'!$J$7:$K$11,2,FALSE)&amp;" - Per "&amp;VLOOKUP($C$4,'Writing Logic'!$G$8:$H$14,2,FALSE),YES_Writing_ELA[#Headers],0)))="INS",'Writing Logic'!$B$7,IF(INDEX(_xlfn.VSTACK(YES_Writing_ELA[#Data],YES_Writing_FLA[#Data]),MATCH($A593,_xlfn.VSTACK(YES_Writing_ELA[Student Number],YES_Writing_FLA[Student Number]),0),MATCH(VLOOKUP(D$7,'Writing Logic'!$J$7:$K$11,2,FALSE)&amp;" - Per "&amp;VLOOKUP($C$4,'Writing Logic'!$G$8:$H$14,2,FALSE),YES_Writing_ELA[#Headers],0))=0,"",INDEX(_xlfn.VSTACK(YES_Writing_ELA[#Data],YES_Writing_FLA[#Data]),MATCH($A593,_xlfn.VSTACK(YES_Writing_ELA[Student Number],YES_Writing_FLA[Student Number]),0),MATCH(VLOOKUP(D$7,'Writing Logic'!$J$7:$K$11,2,FALSE)&amp;" - Per "&amp;VLOOKUP($C$4,'Writing Logic'!$G$8:$H$14,2,FALSE),YES_Writing_ELA[#Headers],0)))),"")</f>
        <v/>
      </c>
      <c r="E593" s="138" t="str">
        <f>IFERROR(IF(IF(INDEX(_xlfn.VSTACK(YES_Writing_ELA[#Data],YES_Writing_FLA[#Data]),MATCH($A593,_xlfn.VSTACK(YES_Writing_ELA[Student Number],YES_Writing_FLA[Student Number]),0),MATCH(VLOOKUP(E$7,'Writing Logic'!$J$7:$K$11,2,FALSE)&amp;" - Per "&amp;VLOOKUP($C$4,'Writing Logic'!$G$8:$H$14,2,FALSE),YES_Writing_ELA[#Headers],0))=0,"",INDEX(_xlfn.VSTACK(YES_Writing_ELA[#Data],YES_Writing_FLA[#Data]),MATCH($A593,_xlfn.VSTACK(YES_Writing_ELA[Student Number],YES_Writing_FLA[Student Number]),0),MATCH(VLOOKUP(E$7,'Writing Logic'!$J$7:$K$11,2,FALSE)&amp;" - Per "&amp;VLOOKUP($C$4,'Writing Logic'!$G$8:$H$14,2,FALSE),YES_Writing_ELA[#Headers],0)))="INS",'Writing Logic'!$B$7,IF(INDEX(_xlfn.VSTACK(YES_Writing_ELA[#Data],YES_Writing_FLA[#Data]),MATCH($A593,_xlfn.VSTACK(YES_Writing_ELA[Student Number],YES_Writing_FLA[Student Number]),0),MATCH(VLOOKUP(E$7,'Writing Logic'!$J$7:$K$11,2,FALSE)&amp;" - Per "&amp;VLOOKUP($C$4,'Writing Logic'!$G$8:$H$14,2,FALSE),YES_Writing_ELA[#Headers],0))=0,"",INDEX(_xlfn.VSTACK(YES_Writing_ELA[#Data],YES_Writing_FLA[#Data]),MATCH($A593,_xlfn.VSTACK(YES_Writing_ELA[Student Number],YES_Writing_FLA[Student Number]),0),MATCH(VLOOKUP(E$7,'Writing Logic'!$J$7:$K$11,2,FALSE)&amp;" - Per "&amp;VLOOKUP($C$4,'Writing Logic'!$G$8:$H$14,2,FALSE),YES_Writing_ELA[#Headers],0)))),"")</f>
        <v/>
      </c>
      <c r="F593" s="138" t="str">
        <f>IFERROR(IF(IF(INDEX(_xlfn.VSTACK(YES_Writing_ELA[#Data],YES_Writing_FLA[#Data]),MATCH($A593,_xlfn.VSTACK(YES_Writing_ELA[Student Number],YES_Writing_FLA[Student Number]),0),MATCH(VLOOKUP(F$7,'Writing Logic'!$J$7:$K$11,2,FALSE)&amp;" - Per "&amp;VLOOKUP($C$4,'Writing Logic'!$G$8:$H$14,2,FALSE),YES_Writing_ELA[#Headers],0))=0,"",INDEX(_xlfn.VSTACK(YES_Writing_ELA[#Data],YES_Writing_FLA[#Data]),MATCH($A593,_xlfn.VSTACK(YES_Writing_ELA[Student Number],YES_Writing_FLA[Student Number]),0),MATCH(VLOOKUP(F$7,'Writing Logic'!$J$7:$K$11,2,FALSE)&amp;" - Per "&amp;VLOOKUP($C$4,'Writing Logic'!$G$8:$H$14,2,FALSE),YES_Writing_ELA[#Headers],0)))="INS",'Writing Logic'!$B$7,IF(INDEX(_xlfn.VSTACK(YES_Writing_ELA[#Data],YES_Writing_FLA[#Data]),MATCH($A593,_xlfn.VSTACK(YES_Writing_ELA[Student Number],YES_Writing_FLA[Student Number]),0),MATCH(VLOOKUP(F$7,'Writing Logic'!$J$7:$K$11,2,FALSE)&amp;" - Per "&amp;VLOOKUP($C$4,'Writing Logic'!$G$8:$H$14,2,FALSE),YES_Writing_ELA[#Headers],0))=0,"",INDEX(_xlfn.VSTACK(YES_Writing_ELA[#Data],YES_Writing_FLA[#Data]),MATCH($A593,_xlfn.VSTACK(YES_Writing_ELA[Student Number],YES_Writing_FLA[Student Number]),0),MATCH(VLOOKUP(F$7,'Writing Logic'!$J$7:$K$11,2,FALSE)&amp;" - Per "&amp;VLOOKUP($C$4,'Writing Logic'!$G$8:$H$14,2,FALSE),YES_Writing_ELA[#Headers],0)))),"")</f>
        <v/>
      </c>
      <c r="G593" s="138" t="str">
        <f>IFERROR(IF(IF(INDEX(_xlfn.VSTACK(YES_Writing_ELA[#Data],YES_Writing_FLA[#Data]),MATCH($A593,_xlfn.VSTACK(YES_Writing_ELA[Student Number],YES_Writing_FLA[Student Number]),0),MATCH(VLOOKUP(G$7,'Writing Logic'!$J$7:$K$11,2,FALSE)&amp;" - Per "&amp;VLOOKUP($C$4,'Writing Logic'!$G$8:$H$14,2,FALSE),YES_Writing_ELA[#Headers],0))=0,"",INDEX(_xlfn.VSTACK(YES_Writing_ELA[#Data],YES_Writing_FLA[#Data]),MATCH($A593,_xlfn.VSTACK(YES_Writing_ELA[Student Number],YES_Writing_FLA[Student Number]),0),MATCH(VLOOKUP(G$7,'Writing Logic'!$J$7:$K$11,2,FALSE)&amp;" - Per "&amp;VLOOKUP($C$4,'Writing Logic'!$G$8:$H$14,2,FALSE),YES_Writing_ELA[#Headers],0)))="INS",'Writing Logic'!$B$7,IF(INDEX(_xlfn.VSTACK(YES_Writing_ELA[#Data],YES_Writing_FLA[#Data]),MATCH($A593,_xlfn.VSTACK(YES_Writing_ELA[Student Number],YES_Writing_FLA[Student Number]),0),MATCH(VLOOKUP(G$7,'Writing Logic'!$J$7:$K$11,2,FALSE)&amp;" - Per "&amp;VLOOKUP($C$4,'Writing Logic'!$G$8:$H$14,2,FALSE),YES_Writing_ELA[#Headers],0))=0,"",INDEX(_xlfn.VSTACK(YES_Writing_ELA[#Data],YES_Writing_FLA[#Data]),MATCH($A593,_xlfn.VSTACK(YES_Writing_ELA[Student Number],YES_Writing_FLA[Student Number]),0),MATCH(VLOOKUP(G$7,'Writing Logic'!$J$7:$K$11,2,FALSE)&amp;" - Per "&amp;VLOOKUP($C$4,'Writing Logic'!$G$8:$H$14,2,FALSE),YES_Writing_ELA[#Headers],0)))),"")</f>
        <v/>
      </c>
      <c r="H593" s="138" t="str">
        <f>IFERROR(IF(IF(INDEX(_xlfn.VSTACK(YES_Writing_ELA[#Data],YES_Writing_FLA[#Data]),MATCH($A593,_xlfn.VSTACK(YES_Writing_ELA[Student Number],YES_Writing_FLA[Student Number]),0),MATCH(VLOOKUP(H$7,'Writing Logic'!$J$7:$K$11,2,FALSE)&amp;" - Per "&amp;VLOOKUP($C$4,'Writing Logic'!$G$8:$H$14,2,FALSE),YES_Writing_ELA[#Headers],0))=0,"",INDEX(_xlfn.VSTACK(YES_Writing_ELA[#Data],YES_Writing_FLA[#Data]),MATCH($A593,_xlfn.VSTACK(YES_Writing_ELA[Student Number],YES_Writing_FLA[Student Number]),0),MATCH(VLOOKUP(H$7,'Writing Logic'!$J$7:$K$11,2,FALSE)&amp;" - Per "&amp;VLOOKUP($C$4,'Writing Logic'!$G$8:$H$14,2,FALSE),YES_Writing_ELA[#Headers],0)))="INS",'Writing Logic'!$B$7,IF(INDEX(_xlfn.VSTACK(YES_Writing_ELA[#Data],YES_Writing_FLA[#Data]),MATCH($A593,_xlfn.VSTACK(YES_Writing_ELA[Student Number],YES_Writing_FLA[Student Number]),0),MATCH(VLOOKUP(H$7,'Writing Logic'!$J$7:$K$11,2,FALSE)&amp;" - Per "&amp;VLOOKUP($C$4,'Writing Logic'!$G$8:$H$14,2,FALSE),YES_Writing_ELA[#Headers],0))=0,"",INDEX(_xlfn.VSTACK(YES_Writing_ELA[#Data],YES_Writing_FLA[#Data]),MATCH($A593,_xlfn.VSTACK(YES_Writing_ELA[Student Number],YES_Writing_FLA[Student Number]),0),MATCH(VLOOKUP(H$7,'Writing Logic'!$J$7:$K$11,2,FALSE)&amp;" - Per "&amp;VLOOKUP($C$4,'Writing Logic'!$G$8:$H$14,2,FALSE),YES_Writing_ELA[#Headers],0)))),"")</f>
        <v/>
      </c>
    </row>
    <row r="594" spans="1:8" x14ac:dyDescent="0.25">
      <c r="A594" s="137"/>
      <c r="B594" s="137" t="str">
        <f>IFERROR(INDEX(_xlfn.VSTACK(YES_Writing_ELA[#Data], YES_Writing_FLA[#Data]),MATCH($A594,_xlfn.VSTACK(YES_Writing_ELA[Student Number], YES_Writing_FLA[Student Number]),0),MATCH(B$7,YES_Writing_ELA[#Headers],0)),"")</f>
        <v/>
      </c>
      <c r="C594" s="137" t="str">
        <f>IFERROR(INDEX(_xlfn.VSTACK(YES_Writing_ELA[#Data], YES_Writing_FLA[#Data]),MATCH($A594,_xlfn.VSTACK(YES_Writing_ELA[Student Number], YES_Writing_FLA[Student Number]),0),MATCH(C$7,YES_Writing_ELA[#Headers],0)),"")</f>
        <v/>
      </c>
      <c r="D594" s="138" t="str">
        <f>IFERROR(IF(IF(INDEX(_xlfn.VSTACK(YES_Writing_ELA[#Data],YES_Writing_FLA[#Data]),MATCH($A594,_xlfn.VSTACK(YES_Writing_ELA[Student Number],YES_Writing_FLA[Student Number]),0),MATCH(VLOOKUP(D$7,'Writing Logic'!$J$7:$K$11,2,FALSE)&amp;" - Per "&amp;VLOOKUP($C$4,'Writing Logic'!$G$8:$H$14,2,FALSE),YES_Writing_ELA[#Headers],0))=0,"",INDEX(_xlfn.VSTACK(YES_Writing_ELA[#Data],YES_Writing_FLA[#Data]),MATCH($A594,_xlfn.VSTACK(YES_Writing_ELA[Student Number],YES_Writing_FLA[Student Number]),0),MATCH(VLOOKUP(D$7,'Writing Logic'!$J$7:$K$11,2,FALSE)&amp;" - Per "&amp;VLOOKUP($C$4,'Writing Logic'!$G$8:$H$14,2,FALSE),YES_Writing_ELA[#Headers],0)))="INS",'Writing Logic'!$B$7,IF(INDEX(_xlfn.VSTACK(YES_Writing_ELA[#Data],YES_Writing_FLA[#Data]),MATCH($A594,_xlfn.VSTACK(YES_Writing_ELA[Student Number],YES_Writing_FLA[Student Number]),0),MATCH(VLOOKUP(D$7,'Writing Logic'!$J$7:$K$11,2,FALSE)&amp;" - Per "&amp;VLOOKUP($C$4,'Writing Logic'!$G$8:$H$14,2,FALSE),YES_Writing_ELA[#Headers],0))=0,"",INDEX(_xlfn.VSTACK(YES_Writing_ELA[#Data],YES_Writing_FLA[#Data]),MATCH($A594,_xlfn.VSTACK(YES_Writing_ELA[Student Number],YES_Writing_FLA[Student Number]),0),MATCH(VLOOKUP(D$7,'Writing Logic'!$J$7:$K$11,2,FALSE)&amp;" - Per "&amp;VLOOKUP($C$4,'Writing Logic'!$G$8:$H$14,2,FALSE),YES_Writing_ELA[#Headers],0)))),"")</f>
        <v/>
      </c>
      <c r="E594" s="138" t="str">
        <f>IFERROR(IF(IF(INDEX(_xlfn.VSTACK(YES_Writing_ELA[#Data],YES_Writing_FLA[#Data]),MATCH($A594,_xlfn.VSTACK(YES_Writing_ELA[Student Number],YES_Writing_FLA[Student Number]),0),MATCH(VLOOKUP(E$7,'Writing Logic'!$J$7:$K$11,2,FALSE)&amp;" - Per "&amp;VLOOKUP($C$4,'Writing Logic'!$G$8:$H$14,2,FALSE),YES_Writing_ELA[#Headers],0))=0,"",INDEX(_xlfn.VSTACK(YES_Writing_ELA[#Data],YES_Writing_FLA[#Data]),MATCH($A594,_xlfn.VSTACK(YES_Writing_ELA[Student Number],YES_Writing_FLA[Student Number]),0),MATCH(VLOOKUP(E$7,'Writing Logic'!$J$7:$K$11,2,FALSE)&amp;" - Per "&amp;VLOOKUP($C$4,'Writing Logic'!$G$8:$H$14,2,FALSE),YES_Writing_ELA[#Headers],0)))="INS",'Writing Logic'!$B$7,IF(INDEX(_xlfn.VSTACK(YES_Writing_ELA[#Data],YES_Writing_FLA[#Data]),MATCH($A594,_xlfn.VSTACK(YES_Writing_ELA[Student Number],YES_Writing_FLA[Student Number]),0),MATCH(VLOOKUP(E$7,'Writing Logic'!$J$7:$K$11,2,FALSE)&amp;" - Per "&amp;VLOOKUP($C$4,'Writing Logic'!$G$8:$H$14,2,FALSE),YES_Writing_ELA[#Headers],0))=0,"",INDEX(_xlfn.VSTACK(YES_Writing_ELA[#Data],YES_Writing_FLA[#Data]),MATCH($A594,_xlfn.VSTACK(YES_Writing_ELA[Student Number],YES_Writing_FLA[Student Number]),0),MATCH(VLOOKUP(E$7,'Writing Logic'!$J$7:$K$11,2,FALSE)&amp;" - Per "&amp;VLOOKUP($C$4,'Writing Logic'!$G$8:$H$14,2,FALSE),YES_Writing_ELA[#Headers],0)))),"")</f>
        <v/>
      </c>
      <c r="F594" s="138" t="str">
        <f>IFERROR(IF(IF(INDEX(_xlfn.VSTACK(YES_Writing_ELA[#Data],YES_Writing_FLA[#Data]),MATCH($A594,_xlfn.VSTACK(YES_Writing_ELA[Student Number],YES_Writing_FLA[Student Number]),0),MATCH(VLOOKUP(F$7,'Writing Logic'!$J$7:$K$11,2,FALSE)&amp;" - Per "&amp;VLOOKUP($C$4,'Writing Logic'!$G$8:$H$14,2,FALSE),YES_Writing_ELA[#Headers],0))=0,"",INDEX(_xlfn.VSTACK(YES_Writing_ELA[#Data],YES_Writing_FLA[#Data]),MATCH($A594,_xlfn.VSTACK(YES_Writing_ELA[Student Number],YES_Writing_FLA[Student Number]),0),MATCH(VLOOKUP(F$7,'Writing Logic'!$J$7:$K$11,2,FALSE)&amp;" - Per "&amp;VLOOKUP($C$4,'Writing Logic'!$G$8:$H$14,2,FALSE),YES_Writing_ELA[#Headers],0)))="INS",'Writing Logic'!$B$7,IF(INDEX(_xlfn.VSTACK(YES_Writing_ELA[#Data],YES_Writing_FLA[#Data]),MATCH($A594,_xlfn.VSTACK(YES_Writing_ELA[Student Number],YES_Writing_FLA[Student Number]),0),MATCH(VLOOKUP(F$7,'Writing Logic'!$J$7:$K$11,2,FALSE)&amp;" - Per "&amp;VLOOKUP($C$4,'Writing Logic'!$G$8:$H$14,2,FALSE),YES_Writing_ELA[#Headers],0))=0,"",INDEX(_xlfn.VSTACK(YES_Writing_ELA[#Data],YES_Writing_FLA[#Data]),MATCH($A594,_xlfn.VSTACK(YES_Writing_ELA[Student Number],YES_Writing_FLA[Student Number]),0),MATCH(VLOOKUP(F$7,'Writing Logic'!$J$7:$K$11,2,FALSE)&amp;" - Per "&amp;VLOOKUP($C$4,'Writing Logic'!$G$8:$H$14,2,FALSE),YES_Writing_ELA[#Headers],0)))),"")</f>
        <v/>
      </c>
      <c r="G594" s="138" t="str">
        <f>IFERROR(IF(IF(INDEX(_xlfn.VSTACK(YES_Writing_ELA[#Data],YES_Writing_FLA[#Data]),MATCH($A594,_xlfn.VSTACK(YES_Writing_ELA[Student Number],YES_Writing_FLA[Student Number]),0),MATCH(VLOOKUP(G$7,'Writing Logic'!$J$7:$K$11,2,FALSE)&amp;" - Per "&amp;VLOOKUP($C$4,'Writing Logic'!$G$8:$H$14,2,FALSE),YES_Writing_ELA[#Headers],0))=0,"",INDEX(_xlfn.VSTACK(YES_Writing_ELA[#Data],YES_Writing_FLA[#Data]),MATCH($A594,_xlfn.VSTACK(YES_Writing_ELA[Student Number],YES_Writing_FLA[Student Number]),0),MATCH(VLOOKUP(G$7,'Writing Logic'!$J$7:$K$11,2,FALSE)&amp;" - Per "&amp;VLOOKUP($C$4,'Writing Logic'!$G$8:$H$14,2,FALSE),YES_Writing_ELA[#Headers],0)))="INS",'Writing Logic'!$B$7,IF(INDEX(_xlfn.VSTACK(YES_Writing_ELA[#Data],YES_Writing_FLA[#Data]),MATCH($A594,_xlfn.VSTACK(YES_Writing_ELA[Student Number],YES_Writing_FLA[Student Number]),0),MATCH(VLOOKUP(G$7,'Writing Logic'!$J$7:$K$11,2,FALSE)&amp;" - Per "&amp;VLOOKUP($C$4,'Writing Logic'!$G$8:$H$14,2,FALSE),YES_Writing_ELA[#Headers],0))=0,"",INDEX(_xlfn.VSTACK(YES_Writing_ELA[#Data],YES_Writing_FLA[#Data]),MATCH($A594,_xlfn.VSTACK(YES_Writing_ELA[Student Number],YES_Writing_FLA[Student Number]),0),MATCH(VLOOKUP(G$7,'Writing Logic'!$J$7:$K$11,2,FALSE)&amp;" - Per "&amp;VLOOKUP($C$4,'Writing Logic'!$G$8:$H$14,2,FALSE),YES_Writing_ELA[#Headers],0)))),"")</f>
        <v/>
      </c>
      <c r="H594" s="138" t="str">
        <f>IFERROR(IF(IF(INDEX(_xlfn.VSTACK(YES_Writing_ELA[#Data],YES_Writing_FLA[#Data]),MATCH($A594,_xlfn.VSTACK(YES_Writing_ELA[Student Number],YES_Writing_FLA[Student Number]),0),MATCH(VLOOKUP(H$7,'Writing Logic'!$J$7:$K$11,2,FALSE)&amp;" - Per "&amp;VLOOKUP($C$4,'Writing Logic'!$G$8:$H$14,2,FALSE),YES_Writing_ELA[#Headers],0))=0,"",INDEX(_xlfn.VSTACK(YES_Writing_ELA[#Data],YES_Writing_FLA[#Data]),MATCH($A594,_xlfn.VSTACK(YES_Writing_ELA[Student Number],YES_Writing_FLA[Student Number]),0),MATCH(VLOOKUP(H$7,'Writing Logic'!$J$7:$K$11,2,FALSE)&amp;" - Per "&amp;VLOOKUP($C$4,'Writing Logic'!$G$8:$H$14,2,FALSE),YES_Writing_ELA[#Headers],0)))="INS",'Writing Logic'!$B$7,IF(INDEX(_xlfn.VSTACK(YES_Writing_ELA[#Data],YES_Writing_FLA[#Data]),MATCH($A594,_xlfn.VSTACK(YES_Writing_ELA[Student Number],YES_Writing_FLA[Student Number]),0),MATCH(VLOOKUP(H$7,'Writing Logic'!$J$7:$K$11,2,FALSE)&amp;" - Per "&amp;VLOOKUP($C$4,'Writing Logic'!$G$8:$H$14,2,FALSE),YES_Writing_ELA[#Headers],0))=0,"",INDEX(_xlfn.VSTACK(YES_Writing_ELA[#Data],YES_Writing_FLA[#Data]),MATCH($A594,_xlfn.VSTACK(YES_Writing_ELA[Student Number],YES_Writing_FLA[Student Number]),0),MATCH(VLOOKUP(H$7,'Writing Logic'!$J$7:$K$11,2,FALSE)&amp;" - Per "&amp;VLOOKUP($C$4,'Writing Logic'!$G$8:$H$14,2,FALSE),YES_Writing_ELA[#Headers],0)))),"")</f>
        <v/>
      </c>
    </row>
    <row r="595" spans="1:8" x14ac:dyDescent="0.25">
      <c r="A595" s="137"/>
      <c r="B595" s="137" t="str">
        <f>IFERROR(INDEX(_xlfn.VSTACK(YES_Writing_ELA[#Data], YES_Writing_FLA[#Data]),MATCH($A595,_xlfn.VSTACK(YES_Writing_ELA[Student Number], YES_Writing_FLA[Student Number]),0),MATCH(B$7,YES_Writing_ELA[#Headers],0)),"")</f>
        <v/>
      </c>
      <c r="C595" s="137" t="str">
        <f>IFERROR(INDEX(_xlfn.VSTACK(YES_Writing_ELA[#Data], YES_Writing_FLA[#Data]),MATCH($A595,_xlfn.VSTACK(YES_Writing_ELA[Student Number], YES_Writing_FLA[Student Number]),0),MATCH(C$7,YES_Writing_ELA[#Headers],0)),"")</f>
        <v/>
      </c>
      <c r="D595" s="138" t="str">
        <f>IFERROR(IF(IF(INDEX(_xlfn.VSTACK(YES_Writing_ELA[#Data],YES_Writing_FLA[#Data]),MATCH($A595,_xlfn.VSTACK(YES_Writing_ELA[Student Number],YES_Writing_FLA[Student Number]),0),MATCH(VLOOKUP(D$7,'Writing Logic'!$J$7:$K$11,2,FALSE)&amp;" - Per "&amp;VLOOKUP($C$4,'Writing Logic'!$G$8:$H$14,2,FALSE),YES_Writing_ELA[#Headers],0))=0,"",INDEX(_xlfn.VSTACK(YES_Writing_ELA[#Data],YES_Writing_FLA[#Data]),MATCH($A595,_xlfn.VSTACK(YES_Writing_ELA[Student Number],YES_Writing_FLA[Student Number]),0),MATCH(VLOOKUP(D$7,'Writing Logic'!$J$7:$K$11,2,FALSE)&amp;" - Per "&amp;VLOOKUP($C$4,'Writing Logic'!$G$8:$H$14,2,FALSE),YES_Writing_ELA[#Headers],0)))="INS",'Writing Logic'!$B$7,IF(INDEX(_xlfn.VSTACK(YES_Writing_ELA[#Data],YES_Writing_FLA[#Data]),MATCH($A595,_xlfn.VSTACK(YES_Writing_ELA[Student Number],YES_Writing_FLA[Student Number]),0),MATCH(VLOOKUP(D$7,'Writing Logic'!$J$7:$K$11,2,FALSE)&amp;" - Per "&amp;VLOOKUP($C$4,'Writing Logic'!$G$8:$H$14,2,FALSE),YES_Writing_ELA[#Headers],0))=0,"",INDEX(_xlfn.VSTACK(YES_Writing_ELA[#Data],YES_Writing_FLA[#Data]),MATCH($A595,_xlfn.VSTACK(YES_Writing_ELA[Student Number],YES_Writing_FLA[Student Number]),0),MATCH(VLOOKUP(D$7,'Writing Logic'!$J$7:$K$11,2,FALSE)&amp;" - Per "&amp;VLOOKUP($C$4,'Writing Logic'!$G$8:$H$14,2,FALSE),YES_Writing_ELA[#Headers],0)))),"")</f>
        <v/>
      </c>
      <c r="E595" s="138" t="str">
        <f>IFERROR(IF(IF(INDEX(_xlfn.VSTACK(YES_Writing_ELA[#Data],YES_Writing_FLA[#Data]),MATCH($A595,_xlfn.VSTACK(YES_Writing_ELA[Student Number],YES_Writing_FLA[Student Number]),0),MATCH(VLOOKUP(E$7,'Writing Logic'!$J$7:$K$11,2,FALSE)&amp;" - Per "&amp;VLOOKUP($C$4,'Writing Logic'!$G$8:$H$14,2,FALSE),YES_Writing_ELA[#Headers],0))=0,"",INDEX(_xlfn.VSTACK(YES_Writing_ELA[#Data],YES_Writing_FLA[#Data]),MATCH($A595,_xlfn.VSTACK(YES_Writing_ELA[Student Number],YES_Writing_FLA[Student Number]),0),MATCH(VLOOKUP(E$7,'Writing Logic'!$J$7:$K$11,2,FALSE)&amp;" - Per "&amp;VLOOKUP($C$4,'Writing Logic'!$G$8:$H$14,2,FALSE),YES_Writing_ELA[#Headers],0)))="INS",'Writing Logic'!$B$7,IF(INDEX(_xlfn.VSTACK(YES_Writing_ELA[#Data],YES_Writing_FLA[#Data]),MATCH($A595,_xlfn.VSTACK(YES_Writing_ELA[Student Number],YES_Writing_FLA[Student Number]),0),MATCH(VLOOKUP(E$7,'Writing Logic'!$J$7:$K$11,2,FALSE)&amp;" - Per "&amp;VLOOKUP($C$4,'Writing Logic'!$G$8:$H$14,2,FALSE),YES_Writing_ELA[#Headers],0))=0,"",INDEX(_xlfn.VSTACK(YES_Writing_ELA[#Data],YES_Writing_FLA[#Data]),MATCH($A595,_xlfn.VSTACK(YES_Writing_ELA[Student Number],YES_Writing_FLA[Student Number]),0),MATCH(VLOOKUP(E$7,'Writing Logic'!$J$7:$K$11,2,FALSE)&amp;" - Per "&amp;VLOOKUP($C$4,'Writing Logic'!$G$8:$H$14,2,FALSE),YES_Writing_ELA[#Headers],0)))),"")</f>
        <v/>
      </c>
      <c r="F595" s="138" t="str">
        <f>IFERROR(IF(IF(INDEX(_xlfn.VSTACK(YES_Writing_ELA[#Data],YES_Writing_FLA[#Data]),MATCH($A595,_xlfn.VSTACK(YES_Writing_ELA[Student Number],YES_Writing_FLA[Student Number]),0),MATCH(VLOOKUP(F$7,'Writing Logic'!$J$7:$K$11,2,FALSE)&amp;" - Per "&amp;VLOOKUP($C$4,'Writing Logic'!$G$8:$H$14,2,FALSE),YES_Writing_ELA[#Headers],0))=0,"",INDEX(_xlfn.VSTACK(YES_Writing_ELA[#Data],YES_Writing_FLA[#Data]),MATCH($A595,_xlfn.VSTACK(YES_Writing_ELA[Student Number],YES_Writing_FLA[Student Number]),0),MATCH(VLOOKUP(F$7,'Writing Logic'!$J$7:$K$11,2,FALSE)&amp;" - Per "&amp;VLOOKUP($C$4,'Writing Logic'!$G$8:$H$14,2,FALSE),YES_Writing_ELA[#Headers],0)))="INS",'Writing Logic'!$B$7,IF(INDEX(_xlfn.VSTACK(YES_Writing_ELA[#Data],YES_Writing_FLA[#Data]),MATCH($A595,_xlfn.VSTACK(YES_Writing_ELA[Student Number],YES_Writing_FLA[Student Number]),0),MATCH(VLOOKUP(F$7,'Writing Logic'!$J$7:$K$11,2,FALSE)&amp;" - Per "&amp;VLOOKUP($C$4,'Writing Logic'!$G$8:$H$14,2,FALSE),YES_Writing_ELA[#Headers],0))=0,"",INDEX(_xlfn.VSTACK(YES_Writing_ELA[#Data],YES_Writing_FLA[#Data]),MATCH($A595,_xlfn.VSTACK(YES_Writing_ELA[Student Number],YES_Writing_FLA[Student Number]),0),MATCH(VLOOKUP(F$7,'Writing Logic'!$J$7:$K$11,2,FALSE)&amp;" - Per "&amp;VLOOKUP($C$4,'Writing Logic'!$G$8:$H$14,2,FALSE),YES_Writing_ELA[#Headers],0)))),"")</f>
        <v/>
      </c>
      <c r="G595" s="138" t="str">
        <f>IFERROR(IF(IF(INDEX(_xlfn.VSTACK(YES_Writing_ELA[#Data],YES_Writing_FLA[#Data]),MATCH($A595,_xlfn.VSTACK(YES_Writing_ELA[Student Number],YES_Writing_FLA[Student Number]),0),MATCH(VLOOKUP(G$7,'Writing Logic'!$J$7:$K$11,2,FALSE)&amp;" - Per "&amp;VLOOKUP($C$4,'Writing Logic'!$G$8:$H$14,2,FALSE),YES_Writing_ELA[#Headers],0))=0,"",INDEX(_xlfn.VSTACK(YES_Writing_ELA[#Data],YES_Writing_FLA[#Data]),MATCH($A595,_xlfn.VSTACK(YES_Writing_ELA[Student Number],YES_Writing_FLA[Student Number]),0),MATCH(VLOOKUP(G$7,'Writing Logic'!$J$7:$K$11,2,FALSE)&amp;" - Per "&amp;VLOOKUP($C$4,'Writing Logic'!$G$8:$H$14,2,FALSE),YES_Writing_ELA[#Headers],0)))="INS",'Writing Logic'!$B$7,IF(INDEX(_xlfn.VSTACK(YES_Writing_ELA[#Data],YES_Writing_FLA[#Data]),MATCH($A595,_xlfn.VSTACK(YES_Writing_ELA[Student Number],YES_Writing_FLA[Student Number]),0),MATCH(VLOOKUP(G$7,'Writing Logic'!$J$7:$K$11,2,FALSE)&amp;" - Per "&amp;VLOOKUP($C$4,'Writing Logic'!$G$8:$H$14,2,FALSE),YES_Writing_ELA[#Headers],0))=0,"",INDEX(_xlfn.VSTACK(YES_Writing_ELA[#Data],YES_Writing_FLA[#Data]),MATCH($A595,_xlfn.VSTACK(YES_Writing_ELA[Student Number],YES_Writing_FLA[Student Number]),0),MATCH(VLOOKUP(G$7,'Writing Logic'!$J$7:$K$11,2,FALSE)&amp;" - Per "&amp;VLOOKUP($C$4,'Writing Logic'!$G$8:$H$14,2,FALSE),YES_Writing_ELA[#Headers],0)))),"")</f>
        <v/>
      </c>
      <c r="H595" s="138" t="str">
        <f>IFERROR(IF(IF(INDEX(_xlfn.VSTACK(YES_Writing_ELA[#Data],YES_Writing_FLA[#Data]),MATCH($A595,_xlfn.VSTACK(YES_Writing_ELA[Student Number],YES_Writing_FLA[Student Number]),0),MATCH(VLOOKUP(H$7,'Writing Logic'!$J$7:$K$11,2,FALSE)&amp;" - Per "&amp;VLOOKUP($C$4,'Writing Logic'!$G$8:$H$14,2,FALSE),YES_Writing_ELA[#Headers],0))=0,"",INDEX(_xlfn.VSTACK(YES_Writing_ELA[#Data],YES_Writing_FLA[#Data]),MATCH($A595,_xlfn.VSTACK(YES_Writing_ELA[Student Number],YES_Writing_FLA[Student Number]),0),MATCH(VLOOKUP(H$7,'Writing Logic'!$J$7:$K$11,2,FALSE)&amp;" - Per "&amp;VLOOKUP($C$4,'Writing Logic'!$G$8:$H$14,2,FALSE),YES_Writing_ELA[#Headers],0)))="INS",'Writing Logic'!$B$7,IF(INDEX(_xlfn.VSTACK(YES_Writing_ELA[#Data],YES_Writing_FLA[#Data]),MATCH($A595,_xlfn.VSTACK(YES_Writing_ELA[Student Number],YES_Writing_FLA[Student Number]),0),MATCH(VLOOKUP(H$7,'Writing Logic'!$J$7:$K$11,2,FALSE)&amp;" - Per "&amp;VLOOKUP($C$4,'Writing Logic'!$G$8:$H$14,2,FALSE),YES_Writing_ELA[#Headers],0))=0,"",INDEX(_xlfn.VSTACK(YES_Writing_ELA[#Data],YES_Writing_FLA[#Data]),MATCH($A595,_xlfn.VSTACK(YES_Writing_ELA[Student Number],YES_Writing_FLA[Student Number]),0),MATCH(VLOOKUP(H$7,'Writing Logic'!$J$7:$K$11,2,FALSE)&amp;" - Per "&amp;VLOOKUP($C$4,'Writing Logic'!$G$8:$H$14,2,FALSE),YES_Writing_ELA[#Headers],0)))),"")</f>
        <v/>
      </c>
    </row>
    <row r="596" spans="1:8" x14ac:dyDescent="0.25">
      <c r="A596" s="137"/>
      <c r="B596" s="137" t="str">
        <f>IFERROR(INDEX(_xlfn.VSTACK(YES_Writing_ELA[#Data], YES_Writing_FLA[#Data]),MATCH($A596,_xlfn.VSTACK(YES_Writing_ELA[Student Number], YES_Writing_FLA[Student Number]),0),MATCH(B$7,YES_Writing_ELA[#Headers],0)),"")</f>
        <v/>
      </c>
      <c r="C596" s="137" t="str">
        <f>IFERROR(INDEX(_xlfn.VSTACK(YES_Writing_ELA[#Data], YES_Writing_FLA[#Data]),MATCH($A596,_xlfn.VSTACK(YES_Writing_ELA[Student Number], YES_Writing_FLA[Student Number]),0),MATCH(C$7,YES_Writing_ELA[#Headers],0)),"")</f>
        <v/>
      </c>
      <c r="D596" s="138" t="str">
        <f>IFERROR(IF(IF(INDEX(_xlfn.VSTACK(YES_Writing_ELA[#Data],YES_Writing_FLA[#Data]),MATCH($A596,_xlfn.VSTACK(YES_Writing_ELA[Student Number],YES_Writing_FLA[Student Number]),0),MATCH(VLOOKUP(D$7,'Writing Logic'!$J$7:$K$11,2,FALSE)&amp;" - Per "&amp;VLOOKUP($C$4,'Writing Logic'!$G$8:$H$14,2,FALSE),YES_Writing_ELA[#Headers],0))=0,"",INDEX(_xlfn.VSTACK(YES_Writing_ELA[#Data],YES_Writing_FLA[#Data]),MATCH($A596,_xlfn.VSTACK(YES_Writing_ELA[Student Number],YES_Writing_FLA[Student Number]),0),MATCH(VLOOKUP(D$7,'Writing Logic'!$J$7:$K$11,2,FALSE)&amp;" - Per "&amp;VLOOKUP($C$4,'Writing Logic'!$G$8:$H$14,2,FALSE),YES_Writing_ELA[#Headers],0)))="INS",'Writing Logic'!$B$7,IF(INDEX(_xlfn.VSTACK(YES_Writing_ELA[#Data],YES_Writing_FLA[#Data]),MATCH($A596,_xlfn.VSTACK(YES_Writing_ELA[Student Number],YES_Writing_FLA[Student Number]),0),MATCH(VLOOKUP(D$7,'Writing Logic'!$J$7:$K$11,2,FALSE)&amp;" - Per "&amp;VLOOKUP($C$4,'Writing Logic'!$G$8:$H$14,2,FALSE),YES_Writing_ELA[#Headers],0))=0,"",INDEX(_xlfn.VSTACK(YES_Writing_ELA[#Data],YES_Writing_FLA[#Data]),MATCH($A596,_xlfn.VSTACK(YES_Writing_ELA[Student Number],YES_Writing_FLA[Student Number]),0),MATCH(VLOOKUP(D$7,'Writing Logic'!$J$7:$K$11,2,FALSE)&amp;" - Per "&amp;VLOOKUP($C$4,'Writing Logic'!$G$8:$H$14,2,FALSE),YES_Writing_ELA[#Headers],0)))),"")</f>
        <v/>
      </c>
      <c r="E596" s="138" t="str">
        <f>IFERROR(IF(IF(INDEX(_xlfn.VSTACK(YES_Writing_ELA[#Data],YES_Writing_FLA[#Data]),MATCH($A596,_xlfn.VSTACK(YES_Writing_ELA[Student Number],YES_Writing_FLA[Student Number]),0),MATCH(VLOOKUP(E$7,'Writing Logic'!$J$7:$K$11,2,FALSE)&amp;" - Per "&amp;VLOOKUP($C$4,'Writing Logic'!$G$8:$H$14,2,FALSE),YES_Writing_ELA[#Headers],0))=0,"",INDEX(_xlfn.VSTACK(YES_Writing_ELA[#Data],YES_Writing_FLA[#Data]),MATCH($A596,_xlfn.VSTACK(YES_Writing_ELA[Student Number],YES_Writing_FLA[Student Number]),0),MATCH(VLOOKUP(E$7,'Writing Logic'!$J$7:$K$11,2,FALSE)&amp;" - Per "&amp;VLOOKUP($C$4,'Writing Logic'!$G$8:$H$14,2,FALSE),YES_Writing_ELA[#Headers],0)))="INS",'Writing Logic'!$B$7,IF(INDEX(_xlfn.VSTACK(YES_Writing_ELA[#Data],YES_Writing_FLA[#Data]),MATCH($A596,_xlfn.VSTACK(YES_Writing_ELA[Student Number],YES_Writing_FLA[Student Number]),0),MATCH(VLOOKUP(E$7,'Writing Logic'!$J$7:$K$11,2,FALSE)&amp;" - Per "&amp;VLOOKUP($C$4,'Writing Logic'!$G$8:$H$14,2,FALSE),YES_Writing_ELA[#Headers],0))=0,"",INDEX(_xlfn.VSTACK(YES_Writing_ELA[#Data],YES_Writing_FLA[#Data]),MATCH($A596,_xlfn.VSTACK(YES_Writing_ELA[Student Number],YES_Writing_FLA[Student Number]),0),MATCH(VLOOKUP(E$7,'Writing Logic'!$J$7:$K$11,2,FALSE)&amp;" - Per "&amp;VLOOKUP($C$4,'Writing Logic'!$G$8:$H$14,2,FALSE),YES_Writing_ELA[#Headers],0)))),"")</f>
        <v/>
      </c>
      <c r="F596" s="138" t="str">
        <f>IFERROR(IF(IF(INDEX(_xlfn.VSTACK(YES_Writing_ELA[#Data],YES_Writing_FLA[#Data]),MATCH($A596,_xlfn.VSTACK(YES_Writing_ELA[Student Number],YES_Writing_FLA[Student Number]),0),MATCH(VLOOKUP(F$7,'Writing Logic'!$J$7:$K$11,2,FALSE)&amp;" - Per "&amp;VLOOKUP($C$4,'Writing Logic'!$G$8:$H$14,2,FALSE),YES_Writing_ELA[#Headers],0))=0,"",INDEX(_xlfn.VSTACK(YES_Writing_ELA[#Data],YES_Writing_FLA[#Data]),MATCH($A596,_xlfn.VSTACK(YES_Writing_ELA[Student Number],YES_Writing_FLA[Student Number]),0),MATCH(VLOOKUP(F$7,'Writing Logic'!$J$7:$K$11,2,FALSE)&amp;" - Per "&amp;VLOOKUP($C$4,'Writing Logic'!$G$8:$H$14,2,FALSE),YES_Writing_ELA[#Headers],0)))="INS",'Writing Logic'!$B$7,IF(INDEX(_xlfn.VSTACK(YES_Writing_ELA[#Data],YES_Writing_FLA[#Data]),MATCH($A596,_xlfn.VSTACK(YES_Writing_ELA[Student Number],YES_Writing_FLA[Student Number]),0),MATCH(VLOOKUP(F$7,'Writing Logic'!$J$7:$K$11,2,FALSE)&amp;" - Per "&amp;VLOOKUP($C$4,'Writing Logic'!$G$8:$H$14,2,FALSE),YES_Writing_ELA[#Headers],0))=0,"",INDEX(_xlfn.VSTACK(YES_Writing_ELA[#Data],YES_Writing_FLA[#Data]),MATCH($A596,_xlfn.VSTACK(YES_Writing_ELA[Student Number],YES_Writing_FLA[Student Number]),0),MATCH(VLOOKUP(F$7,'Writing Logic'!$J$7:$K$11,2,FALSE)&amp;" - Per "&amp;VLOOKUP($C$4,'Writing Logic'!$G$8:$H$14,2,FALSE),YES_Writing_ELA[#Headers],0)))),"")</f>
        <v/>
      </c>
      <c r="G596" s="138" t="str">
        <f>IFERROR(IF(IF(INDEX(_xlfn.VSTACK(YES_Writing_ELA[#Data],YES_Writing_FLA[#Data]),MATCH($A596,_xlfn.VSTACK(YES_Writing_ELA[Student Number],YES_Writing_FLA[Student Number]),0),MATCH(VLOOKUP(G$7,'Writing Logic'!$J$7:$K$11,2,FALSE)&amp;" - Per "&amp;VLOOKUP($C$4,'Writing Logic'!$G$8:$H$14,2,FALSE),YES_Writing_ELA[#Headers],0))=0,"",INDEX(_xlfn.VSTACK(YES_Writing_ELA[#Data],YES_Writing_FLA[#Data]),MATCH($A596,_xlfn.VSTACK(YES_Writing_ELA[Student Number],YES_Writing_FLA[Student Number]),0),MATCH(VLOOKUP(G$7,'Writing Logic'!$J$7:$K$11,2,FALSE)&amp;" - Per "&amp;VLOOKUP($C$4,'Writing Logic'!$G$8:$H$14,2,FALSE),YES_Writing_ELA[#Headers],0)))="INS",'Writing Logic'!$B$7,IF(INDEX(_xlfn.VSTACK(YES_Writing_ELA[#Data],YES_Writing_FLA[#Data]),MATCH($A596,_xlfn.VSTACK(YES_Writing_ELA[Student Number],YES_Writing_FLA[Student Number]),0),MATCH(VLOOKUP(G$7,'Writing Logic'!$J$7:$K$11,2,FALSE)&amp;" - Per "&amp;VLOOKUP($C$4,'Writing Logic'!$G$8:$H$14,2,FALSE),YES_Writing_ELA[#Headers],0))=0,"",INDEX(_xlfn.VSTACK(YES_Writing_ELA[#Data],YES_Writing_FLA[#Data]),MATCH($A596,_xlfn.VSTACK(YES_Writing_ELA[Student Number],YES_Writing_FLA[Student Number]),0),MATCH(VLOOKUP(G$7,'Writing Logic'!$J$7:$K$11,2,FALSE)&amp;" - Per "&amp;VLOOKUP($C$4,'Writing Logic'!$G$8:$H$14,2,FALSE),YES_Writing_ELA[#Headers],0)))),"")</f>
        <v/>
      </c>
      <c r="H596" s="138" t="str">
        <f>IFERROR(IF(IF(INDEX(_xlfn.VSTACK(YES_Writing_ELA[#Data],YES_Writing_FLA[#Data]),MATCH($A596,_xlfn.VSTACK(YES_Writing_ELA[Student Number],YES_Writing_FLA[Student Number]),0),MATCH(VLOOKUP(H$7,'Writing Logic'!$J$7:$K$11,2,FALSE)&amp;" - Per "&amp;VLOOKUP($C$4,'Writing Logic'!$G$8:$H$14,2,FALSE),YES_Writing_ELA[#Headers],0))=0,"",INDEX(_xlfn.VSTACK(YES_Writing_ELA[#Data],YES_Writing_FLA[#Data]),MATCH($A596,_xlfn.VSTACK(YES_Writing_ELA[Student Number],YES_Writing_FLA[Student Number]),0),MATCH(VLOOKUP(H$7,'Writing Logic'!$J$7:$K$11,2,FALSE)&amp;" - Per "&amp;VLOOKUP($C$4,'Writing Logic'!$G$8:$H$14,2,FALSE),YES_Writing_ELA[#Headers],0)))="INS",'Writing Logic'!$B$7,IF(INDEX(_xlfn.VSTACK(YES_Writing_ELA[#Data],YES_Writing_FLA[#Data]),MATCH($A596,_xlfn.VSTACK(YES_Writing_ELA[Student Number],YES_Writing_FLA[Student Number]),0),MATCH(VLOOKUP(H$7,'Writing Logic'!$J$7:$K$11,2,FALSE)&amp;" - Per "&amp;VLOOKUP($C$4,'Writing Logic'!$G$8:$H$14,2,FALSE),YES_Writing_ELA[#Headers],0))=0,"",INDEX(_xlfn.VSTACK(YES_Writing_ELA[#Data],YES_Writing_FLA[#Data]),MATCH($A596,_xlfn.VSTACK(YES_Writing_ELA[Student Number],YES_Writing_FLA[Student Number]),0),MATCH(VLOOKUP(H$7,'Writing Logic'!$J$7:$K$11,2,FALSE)&amp;" - Per "&amp;VLOOKUP($C$4,'Writing Logic'!$G$8:$H$14,2,FALSE),YES_Writing_ELA[#Headers],0)))),"")</f>
        <v/>
      </c>
    </row>
    <row r="597" spans="1:8" x14ac:dyDescent="0.25">
      <c r="A597" s="137"/>
      <c r="B597" s="137" t="str">
        <f>IFERROR(INDEX(_xlfn.VSTACK(YES_Writing_ELA[#Data], YES_Writing_FLA[#Data]),MATCH($A597,_xlfn.VSTACK(YES_Writing_ELA[Student Number], YES_Writing_FLA[Student Number]),0),MATCH(B$7,YES_Writing_ELA[#Headers],0)),"")</f>
        <v/>
      </c>
      <c r="C597" s="137" t="str">
        <f>IFERROR(INDEX(_xlfn.VSTACK(YES_Writing_ELA[#Data], YES_Writing_FLA[#Data]),MATCH($A597,_xlfn.VSTACK(YES_Writing_ELA[Student Number], YES_Writing_FLA[Student Number]),0),MATCH(C$7,YES_Writing_ELA[#Headers],0)),"")</f>
        <v/>
      </c>
      <c r="D597" s="138" t="str">
        <f>IFERROR(IF(IF(INDEX(_xlfn.VSTACK(YES_Writing_ELA[#Data],YES_Writing_FLA[#Data]),MATCH($A597,_xlfn.VSTACK(YES_Writing_ELA[Student Number],YES_Writing_FLA[Student Number]),0),MATCH(VLOOKUP(D$7,'Writing Logic'!$J$7:$K$11,2,FALSE)&amp;" - Per "&amp;VLOOKUP($C$4,'Writing Logic'!$G$8:$H$14,2,FALSE),YES_Writing_ELA[#Headers],0))=0,"",INDEX(_xlfn.VSTACK(YES_Writing_ELA[#Data],YES_Writing_FLA[#Data]),MATCH($A597,_xlfn.VSTACK(YES_Writing_ELA[Student Number],YES_Writing_FLA[Student Number]),0),MATCH(VLOOKUP(D$7,'Writing Logic'!$J$7:$K$11,2,FALSE)&amp;" - Per "&amp;VLOOKUP($C$4,'Writing Logic'!$G$8:$H$14,2,FALSE),YES_Writing_ELA[#Headers],0)))="INS",'Writing Logic'!$B$7,IF(INDEX(_xlfn.VSTACK(YES_Writing_ELA[#Data],YES_Writing_FLA[#Data]),MATCH($A597,_xlfn.VSTACK(YES_Writing_ELA[Student Number],YES_Writing_FLA[Student Number]),0),MATCH(VLOOKUP(D$7,'Writing Logic'!$J$7:$K$11,2,FALSE)&amp;" - Per "&amp;VLOOKUP($C$4,'Writing Logic'!$G$8:$H$14,2,FALSE),YES_Writing_ELA[#Headers],0))=0,"",INDEX(_xlfn.VSTACK(YES_Writing_ELA[#Data],YES_Writing_FLA[#Data]),MATCH($A597,_xlfn.VSTACK(YES_Writing_ELA[Student Number],YES_Writing_FLA[Student Number]),0),MATCH(VLOOKUP(D$7,'Writing Logic'!$J$7:$K$11,2,FALSE)&amp;" - Per "&amp;VLOOKUP($C$4,'Writing Logic'!$G$8:$H$14,2,FALSE),YES_Writing_ELA[#Headers],0)))),"")</f>
        <v/>
      </c>
      <c r="E597" s="138" t="str">
        <f>IFERROR(IF(IF(INDEX(_xlfn.VSTACK(YES_Writing_ELA[#Data],YES_Writing_FLA[#Data]),MATCH($A597,_xlfn.VSTACK(YES_Writing_ELA[Student Number],YES_Writing_FLA[Student Number]),0),MATCH(VLOOKUP(E$7,'Writing Logic'!$J$7:$K$11,2,FALSE)&amp;" - Per "&amp;VLOOKUP($C$4,'Writing Logic'!$G$8:$H$14,2,FALSE),YES_Writing_ELA[#Headers],0))=0,"",INDEX(_xlfn.VSTACK(YES_Writing_ELA[#Data],YES_Writing_FLA[#Data]),MATCH($A597,_xlfn.VSTACK(YES_Writing_ELA[Student Number],YES_Writing_FLA[Student Number]),0),MATCH(VLOOKUP(E$7,'Writing Logic'!$J$7:$K$11,2,FALSE)&amp;" - Per "&amp;VLOOKUP($C$4,'Writing Logic'!$G$8:$H$14,2,FALSE),YES_Writing_ELA[#Headers],0)))="INS",'Writing Logic'!$B$7,IF(INDEX(_xlfn.VSTACK(YES_Writing_ELA[#Data],YES_Writing_FLA[#Data]),MATCH($A597,_xlfn.VSTACK(YES_Writing_ELA[Student Number],YES_Writing_FLA[Student Number]),0),MATCH(VLOOKUP(E$7,'Writing Logic'!$J$7:$K$11,2,FALSE)&amp;" - Per "&amp;VLOOKUP($C$4,'Writing Logic'!$G$8:$H$14,2,FALSE),YES_Writing_ELA[#Headers],0))=0,"",INDEX(_xlfn.VSTACK(YES_Writing_ELA[#Data],YES_Writing_FLA[#Data]),MATCH($A597,_xlfn.VSTACK(YES_Writing_ELA[Student Number],YES_Writing_FLA[Student Number]),0),MATCH(VLOOKUP(E$7,'Writing Logic'!$J$7:$K$11,2,FALSE)&amp;" - Per "&amp;VLOOKUP($C$4,'Writing Logic'!$G$8:$H$14,2,FALSE),YES_Writing_ELA[#Headers],0)))),"")</f>
        <v/>
      </c>
      <c r="F597" s="138" t="str">
        <f>IFERROR(IF(IF(INDEX(_xlfn.VSTACK(YES_Writing_ELA[#Data],YES_Writing_FLA[#Data]),MATCH($A597,_xlfn.VSTACK(YES_Writing_ELA[Student Number],YES_Writing_FLA[Student Number]),0),MATCH(VLOOKUP(F$7,'Writing Logic'!$J$7:$K$11,2,FALSE)&amp;" - Per "&amp;VLOOKUP($C$4,'Writing Logic'!$G$8:$H$14,2,FALSE),YES_Writing_ELA[#Headers],0))=0,"",INDEX(_xlfn.VSTACK(YES_Writing_ELA[#Data],YES_Writing_FLA[#Data]),MATCH($A597,_xlfn.VSTACK(YES_Writing_ELA[Student Number],YES_Writing_FLA[Student Number]),0),MATCH(VLOOKUP(F$7,'Writing Logic'!$J$7:$K$11,2,FALSE)&amp;" - Per "&amp;VLOOKUP($C$4,'Writing Logic'!$G$8:$H$14,2,FALSE),YES_Writing_ELA[#Headers],0)))="INS",'Writing Logic'!$B$7,IF(INDEX(_xlfn.VSTACK(YES_Writing_ELA[#Data],YES_Writing_FLA[#Data]),MATCH($A597,_xlfn.VSTACK(YES_Writing_ELA[Student Number],YES_Writing_FLA[Student Number]),0),MATCH(VLOOKUP(F$7,'Writing Logic'!$J$7:$K$11,2,FALSE)&amp;" - Per "&amp;VLOOKUP($C$4,'Writing Logic'!$G$8:$H$14,2,FALSE),YES_Writing_ELA[#Headers],0))=0,"",INDEX(_xlfn.VSTACK(YES_Writing_ELA[#Data],YES_Writing_FLA[#Data]),MATCH($A597,_xlfn.VSTACK(YES_Writing_ELA[Student Number],YES_Writing_FLA[Student Number]),0),MATCH(VLOOKUP(F$7,'Writing Logic'!$J$7:$K$11,2,FALSE)&amp;" - Per "&amp;VLOOKUP($C$4,'Writing Logic'!$G$8:$H$14,2,FALSE),YES_Writing_ELA[#Headers],0)))),"")</f>
        <v/>
      </c>
      <c r="G597" s="138" t="str">
        <f>IFERROR(IF(IF(INDEX(_xlfn.VSTACK(YES_Writing_ELA[#Data],YES_Writing_FLA[#Data]),MATCH($A597,_xlfn.VSTACK(YES_Writing_ELA[Student Number],YES_Writing_FLA[Student Number]),0),MATCH(VLOOKUP(G$7,'Writing Logic'!$J$7:$K$11,2,FALSE)&amp;" - Per "&amp;VLOOKUP($C$4,'Writing Logic'!$G$8:$H$14,2,FALSE),YES_Writing_ELA[#Headers],0))=0,"",INDEX(_xlfn.VSTACK(YES_Writing_ELA[#Data],YES_Writing_FLA[#Data]),MATCH($A597,_xlfn.VSTACK(YES_Writing_ELA[Student Number],YES_Writing_FLA[Student Number]),0),MATCH(VLOOKUP(G$7,'Writing Logic'!$J$7:$K$11,2,FALSE)&amp;" - Per "&amp;VLOOKUP($C$4,'Writing Logic'!$G$8:$H$14,2,FALSE),YES_Writing_ELA[#Headers],0)))="INS",'Writing Logic'!$B$7,IF(INDEX(_xlfn.VSTACK(YES_Writing_ELA[#Data],YES_Writing_FLA[#Data]),MATCH($A597,_xlfn.VSTACK(YES_Writing_ELA[Student Number],YES_Writing_FLA[Student Number]),0),MATCH(VLOOKUP(G$7,'Writing Logic'!$J$7:$K$11,2,FALSE)&amp;" - Per "&amp;VLOOKUP($C$4,'Writing Logic'!$G$8:$H$14,2,FALSE),YES_Writing_ELA[#Headers],0))=0,"",INDEX(_xlfn.VSTACK(YES_Writing_ELA[#Data],YES_Writing_FLA[#Data]),MATCH($A597,_xlfn.VSTACK(YES_Writing_ELA[Student Number],YES_Writing_FLA[Student Number]),0),MATCH(VLOOKUP(G$7,'Writing Logic'!$J$7:$K$11,2,FALSE)&amp;" - Per "&amp;VLOOKUP($C$4,'Writing Logic'!$G$8:$H$14,2,FALSE),YES_Writing_ELA[#Headers],0)))),"")</f>
        <v/>
      </c>
      <c r="H597" s="138" t="str">
        <f>IFERROR(IF(IF(INDEX(_xlfn.VSTACK(YES_Writing_ELA[#Data],YES_Writing_FLA[#Data]),MATCH($A597,_xlfn.VSTACK(YES_Writing_ELA[Student Number],YES_Writing_FLA[Student Number]),0),MATCH(VLOOKUP(H$7,'Writing Logic'!$J$7:$K$11,2,FALSE)&amp;" - Per "&amp;VLOOKUP($C$4,'Writing Logic'!$G$8:$H$14,2,FALSE),YES_Writing_ELA[#Headers],0))=0,"",INDEX(_xlfn.VSTACK(YES_Writing_ELA[#Data],YES_Writing_FLA[#Data]),MATCH($A597,_xlfn.VSTACK(YES_Writing_ELA[Student Number],YES_Writing_FLA[Student Number]),0),MATCH(VLOOKUP(H$7,'Writing Logic'!$J$7:$K$11,2,FALSE)&amp;" - Per "&amp;VLOOKUP($C$4,'Writing Logic'!$G$8:$H$14,2,FALSE),YES_Writing_ELA[#Headers],0)))="INS",'Writing Logic'!$B$7,IF(INDEX(_xlfn.VSTACK(YES_Writing_ELA[#Data],YES_Writing_FLA[#Data]),MATCH($A597,_xlfn.VSTACK(YES_Writing_ELA[Student Number],YES_Writing_FLA[Student Number]),0),MATCH(VLOOKUP(H$7,'Writing Logic'!$J$7:$K$11,2,FALSE)&amp;" - Per "&amp;VLOOKUP($C$4,'Writing Logic'!$G$8:$H$14,2,FALSE),YES_Writing_ELA[#Headers],0))=0,"",INDEX(_xlfn.VSTACK(YES_Writing_ELA[#Data],YES_Writing_FLA[#Data]),MATCH($A597,_xlfn.VSTACK(YES_Writing_ELA[Student Number],YES_Writing_FLA[Student Number]),0),MATCH(VLOOKUP(H$7,'Writing Logic'!$J$7:$K$11,2,FALSE)&amp;" - Per "&amp;VLOOKUP($C$4,'Writing Logic'!$G$8:$H$14,2,FALSE),YES_Writing_ELA[#Headers],0)))),"")</f>
        <v/>
      </c>
    </row>
    <row r="598" spans="1:8" x14ac:dyDescent="0.25">
      <c r="A598" s="137"/>
      <c r="B598" s="137" t="str">
        <f>IFERROR(INDEX(_xlfn.VSTACK(YES_Writing_ELA[#Data], YES_Writing_FLA[#Data]),MATCH($A598,_xlfn.VSTACK(YES_Writing_ELA[Student Number], YES_Writing_FLA[Student Number]),0),MATCH(B$7,YES_Writing_ELA[#Headers],0)),"")</f>
        <v/>
      </c>
      <c r="C598" s="137" t="str">
        <f>IFERROR(INDEX(_xlfn.VSTACK(YES_Writing_ELA[#Data], YES_Writing_FLA[#Data]),MATCH($A598,_xlfn.VSTACK(YES_Writing_ELA[Student Number], YES_Writing_FLA[Student Number]),0),MATCH(C$7,YES_Writing_ELA[#Headers],0)),"")</f>
        <v/>
      </c>
      <c r="D598" s="138" t="str">
        <f>IFERROR(IF(IF(INDEX(_xlfn.VSTACK(YES_Writing_ELA[#Data],YES_Writing_FLA[#Data]),MATCH($A598,_xlfn.VSTACK(YES_Writing_ELA[Student Number],YES_Writing_FLA[Student Number]),0),MATCH(VLOOKUP(D$7,'Writing Logic'!$J$7:$K$11,2,FALSE)&amp;" - Per "&amp;VLOOKUP($C$4,'Writing Logic'!$G$8:$H$14,2,FALSE),YES_Writing_ELA[#Headers],0))=0,"",INDEX(_xlfn.VSTACK(YES_Writing_ELA[#Data],YES_Writing_FLA[#Data]),MATCH($A598,_xlfn.VSTACK(YES_Writing_ELA[Student Number],YES_Writing_FLA[Student Number]),0),MATCH(VLOOKUP(D$7,'Writing Logic'!$J$7:$K$11,2,FALSE)&amp;" - Per "&amp;VLOOKUP($C$4,'Writing Logic'!$G$8:$H$14,2,FALSE),YES_Writing_ELA[#Headers],0)))="INS",'Writing Logic'!$B$7,IF(INDEX(_xlfn.VSTACK(YES_Writing_ELA[#Data],YES_Writing_FLA[#Data]),MATCH($A598,_xlfn.VSTACK(YES_Writing_ELA[Student Number],YES_Writing_FLA[Student Number]),0),MATCH(VLOOKUP(D$7,'Writing Logic'!$J$7:$K$11,2,FALSE)&amp;" - Per "&amp;VLOOKUP($C$4,'Writing Logic'!$G$8:$H$14,2,FALSE),YES_Writing_ELA[#Headers],0))=0,"",INDEX(_xlfn.VSTACK(YES_Writing_ELA[#Data],YES_Writing_FLA[#Data]),MATCH($A598,_xlfn.VSTACK(YES_Writing_ELA[Student Number],YES_Writing_FLA[Student Number]),0),MATCH(VLOOKUP(D$7,'Writing Logic'!$J$7:$K$11,2,FALSE)&amp;" - Per "&amp;VLOOKUP($C$4,'Writing Logic'!$G$8:$H$14,2,FALSE),YES_Writing_ELA[#Headers],0)))),"")</f>
        <v/>
      </c>
      <c r="E598" s="138" t="str">
        <f>IFERROR(IF(IF(INDEX(_xlfn.VSTACK(YES_Writing_ELA[#Data],YES_Writing_FLA[#Data]),MATCH($A598,_xlfn.VSTACK(YES_Writing_ELA[Student Number],YES_Writing_FLA[Student Number]),0),MATCH(VLOOKUP(E$7,'Writing Logic'!$J$7:$K$11,2,FALSE)&amp;" - Per "&amp;VLOOKUP($C$4,'Writing Logic'!$G$8:$H$14,2,FALSE),YES_Writing_ELA[#Headers],0))=0,"",INDEX(_xlfn.VSTACK(YES_Writing_ELA[#Data],YES_Writing_FLA[#Data]),MATCH($A598,_xlfn.VSTACK(YES_Writing_ELA[Student Number],YES_Writing_FLA[Student Number]),0),MATCH(VLOOKUP(E$7,'Writing Logic'!$J$7:$K$11,2,FALSE)&amp;" - Per "&amp;VLOOKUP($C$4,'Writing Logic'!$G$8:$H$14,2,FALSE),YES_Writing_ELA[#Headers],0)))="INS",'Writing Logic'!$B$7,IF(INDEX(_xlfn.VSTACK(YES_Writing_ELA[#Data],YES_Writing_FLA[#Data]),MATCH($A598,_xlfn.VSTACK(YES_Writing_ELA[Student Number],YES_Writing_FLA[Student Number]),0),MATCH(VLOOKUP(E$7,'Writing Logic'!$J$7:$K$11,2,FALSE)&amp;" - Per "&amp;VLOOKUP($C$4,'Writing Logic'!$G$8:$H$14,2,FALSE),YES_Writing_ELA[#Headers],0))=0,"",INDEX(_xlfn.VSTACK(YES_Writing_ELA[#Data],YES_Writing_FLA[#Data]),MATCH($A598,_xlfn.VSTACK(YES_Writing_ELA[Student Number],YES_Writing_FLA[Student Number]),0),MATCH(VLOOKUP(E$7,'Writing Logic'!$J$7:$K$11,2,FALSE)&amp;" - Per "&amp;VLOOKUP($C$4,'Writing Logic'!$G$8:$H$14,2,FALSE),YES_Writing_ELA[#Headers],0)))),"")</f>
        <v/>
      </c>
      <c r="F598" s="138" t="str">
        <f>IFERROR(IF(IF(INDEX(_xlfn.VSTACK(YES_Writing_ELA[#Data],YES_Writing_FLA[#Data]),MATCH($A598,_xlfn.VSTACK(YES_Writing_ELA[Student Number],YES_Writing_FLA[Student Number]),0),MATCH(VLOOKUP(F$7,'Writing Logic'!$J$7:$K$11,2,FALSE)&amp;" - Per "&amp;VLOOKUP($C$4,'Writing Logic'!$G$8:$H$14,2,FALSE),YES_Writing_ELA[#Headers],0))=0,"",INDEX(_xlfn.VSTACK(YES_Writing_ELA[#Data],YES_Writing_FLA[#Data]),MATCH($A598,_xlfn.VSTACK(YES_Writing_ELA[Student Number],YES_Writing_FLA[Student Number]),0),MATCH(VLOOKUP(F$7,'Writing Logic'!$J$7:$K$11,2,FALSE)&amp;" - Per "&amp;VLOOKUP($C$4,'Writing Logic'!$G$8:$H$14,2,FALSE),YES_Writing_ELA[#Headers],0)))="INS",'Writing Logic'!$B$7,IF(INDEX(_xlfn.VSTACK(YES_Writing_ELA[#Data],YES_Writing_FLA[#Data]),MATCH($A598,_xlfn.VSTACK(YES_Writing_ELA[Student Number],YES_Writing_FLA[Student Number]),0),MATCH(VLOOKUP(F$7,'Writing Logic'!$J$7:$K$11,2,FALSE)&amp;" - Per "&amp;VLOOKUP($C$4,'Writing Logic'!$G$8:$H$14,2,FALSE),YES_Writing_ELA[#Headers],0))=0,"",INDEX(_xlfn.VSTACK(YES_Writing_ELA[#Data],YES_Writing_FLA[#Data]),MATCH($A598,_xlfn.VSTACK(YES_Writing_ELA[Student Number],YES_Writing_FLA[Student Number]),0),MATCH(VLOOKUP(F$7,'Writing Logic'!$J$7:$K$11,2,FALSE)&amp;" - Per "&amp;VLOOKUP($C$4,'Writing Logic'!$G$8:$H$14,2,FALSE),YES_Writing_ELA[#Headers],0)))),"")</f>
        <v/>
      </c>
      <c r="G598" s="138" t="str">
        <f>IFERROR(IF(IF(INDEX(_xlfn.VSTACK(YES_Writing_ELA[#Data],YES_Writing_FLA[#Data]),MATCH($A598,_xlfn.VSTACK(YES_Writing_ELA[Student Number],YES_Writing_FLA[Student Number]),0),MATCH(VLOOKUP(G$7,'Writing Logic'!$J$7:$K$11,2,FALSE)&amp;" - Per "&amp;VLOOKUP($C$4,'Writing Logic'!$G$8:$H$14,2,FALSE),YES_Writing_ELA[#Headers],0))=0,"",INDEX(_xlfn.VSTACK(YES_Writing_ELA[#Data],YES_Writing_FLA[#Data]),MATCH($A598,_xlfn.VSTACK(YES_Writing_ELA[Student Number],YES_Writing_FLA[Student Number]),0),MATCH(VLOOKUP(G$7,'Writing Logic'!$J$7:$K$11,2,FALSE)&amp;" - Per "&amp;VLOOKUP($C$4,'Writing Logic'!$G$8:$H$14,2,FALSE),YES_Writing_ELA[#Headers],0)))="INS",'Writing Logic'!$B$7,IF(INDEX(_xlfn.VSTACK(YES_Writing_ELA[#Data],YES_Writing_FLA[#Data]),MATCH($A598,_xlfn.VSTACK(YES_Writing_ELA[Student Number],YES_Writing_FLA[Student Number]),0),MATCH(VLOOKUP(G$7,'Writing Logic'!$J$7:$K$11,2,FALSE)&amp;" - Per "&amp;VLOOKUP($C$4,'Writing Logic'!$G$8:$H$14,2,FALSE),YES_Writing_ELA[#Headers],0))=0,"",INDEX(_xlfn.VSTACK(YES_Writing_ELA[#Data],YES_Writing_FLA[#Data]),MATCH($A598,_xlfn.VSTACK(YES_Writing_ELA[Student Number],YES_Writing_FLA[Student Number]),0),MATCH(VLOOKUP(G$7,'Writing Logic'!$J$7:$K$11,2,FALSE)&amp;" - Per "&amp;VLOOKUP($C$4,'Writing Logic'!$G$8:$H$14,2,FALSE),YES_Writing_ELA[#Headers],0)))),"")</f>
        <v/>
      </c>
      <c r="H598" s="138" t="str">
        <f>IFERROR(IF(IF(INDEX(_xlfn.VSTACK(YES_Writing_ELA[#Data],YES_Writing_FLA[#Data]),MATCH($A598,_xlfn.VSTACK(YES_Writing_ELA[Student Number],YES_Writing_FLA[Student Number]),0),MATCH(VLOOKUP(H$7,'Writing Logic'!$J$7:$K$11,2,FALSE)&amp;" - Per "&amp;VLOOKUP($C$4,'Writing Logic'!$G$8:$H$14,2,FALSE),YES_Writing_ELA[#Headers],0))=0,"",INDEX(_xlfn.VSTACK(YES_Writing_ELA[#Data],YES_Writing_FLA[#Data]),MATCH($A598,_xlfn.VSTACK(YES_Writing_ELA[Student Number],YES_Writing_FLA[Student Number]),0),MATCH(VLOOKUP(H$7,'Writing Logic'!$J$7:$K$11,2,FALSE)&amp;" - Per "&amp;VLOOKUP($C$4,'Writing Logic'!$G$8:$H$14,2,FALSE),YES_Writing_ELA[#Headers],0)))="INS",'Writing Logic'!$B$7,IF(INDEX(_xlfn.VSTACK(YES_Writing_ELA[#Data],YES_Writing_FLA[#Data]),MATCH($A598,_xlfn.VSTACK(YES_Writing_ELA[Student Number],YES_Writing_FLA[Student Number]),0),MATCH(VLOOKUP(H$7,'Writing Logic'!$J$7:$K$11,2,FALSE)&amp;" - Per "&amp;VLOOKUP($C$4,'Writing Logic'!$G$8:$H$14,2,FALSE),YES_Writing_ELA[#Headers],0))=0,"",INDEX(_xlfn.VSTACK(YES_Writing_ELA[#Data],YES_Writing_FLA[#Data]),MATCH($A598,_xlfn.VSTACK(YES_Writing_ELA[Student Number],YES_Writing_FLA[Student Number]),0),MATCH(VLOOKUP(H$7,'Writing Logic'!$J$7:$K$11,2,FALSE)&amp;" - Per "&amp;VLOOKUP($C$4,'Writing Logic'!$G$8:$H$14,2,FALSE),YES_Writing_ELA[#Headers],0)))),"")</f>
        <v/>
      </c>
    </row>
    <row r="599" spans="1:8" x14ac:dyDescent="0.25">
      <c r="A599" s="137"/>
      <c r="B599" s="137" t="str">
        <f>IFERROR(INDEX(_xlfn.VSTACK(YES_Writing_ELA[#Data], YES_Writing_FLA[#Data]),MATCH($A599,_xlfn.VSTACK(YES_Writing_ELA[Student Number], YES_Writing_FLA[Student Number]),0),MATCH(B$7,YES_Writing_ELA[#Headers],0)),"")</f>
        <v/>
      </c>
      <c r="C599" s="137" t="str">
        <f>IFERROR(INDEX(_xlfn.VSTACK(YES_Writing_ELA[#Data], YES_Writing_FLA[#Data]),MATCH($A599,_xlfn.VSTACK(YES_Writing_ELA[Student Number], YES_Writing_FLA[Student Number]),0),MATCH(C$7,YES_Writing_ELA[#Headers],0)),"")</f>
        <v/>
      </c>
      <c r="D599" s="138" t="str">
        <f>IFERROR(IF(IF(INDEX(_xlfn.VSTACK(YES_Writing_ELA[#Data],YES_Writing_FLA[#Data]),MATCH($A599,_xlfn.VSTACK(YES_Writing_ELA[Student Number],YES_Writing_FLA[Student Number]),0),MATCH(VLOOKUP(D$7,'Writing Logic'!$J$7:$K$11,2,FALSE)&amp;" - Per "&amp;VLOOKUP($C$4,'Writing Logic'!$G$8:$H$14,2,FALSE),YES_Writing_ELA[#Headers],0))=0,"",INDEX(_xlfn.VSTACK(YES_Writing_ELA[#Data],YES_Writing_FLA[#Data]),MATCH($A599,_xlfn.VSTACK(YES_Writing_ELA[Student Number],YES_Writing_FLA[Student Number]),0),MATCH(VLOOKUP(D$7,'Writing Logic'!$J$7:$K$11,2,FALSE)&amp;" - Per "&amp;VLOOKUP($C$4,'Writing Logic'!$G$8:$H$14,2,FALSE),YES_Writing_ELA[#Headers],0)))="INS",'Writing Logic'!$B$7,IF(INDEX(_xlfn.VSTACK(YES_Writing_ELA[#Data],YES_Writing_FLA[#Data]),MATCH($A599,_xlfn.VSTACK(YES_Writing_ELA[Student Number],YES_Writing_FLA[Student Number]),0),MATCH(VLOOKUP(D$7,'Writing Logic'!$J$7:$K$11,2,FALSE)&amp;" - Per "&amp;VLOOKUP($C$4,'Writing Logic'!$G$8:$H$14,2,FALSE),YES_Writing_ELA[#Headers],0))=0,"",INDEX(_xlfn.VSTACK(YES_Writing_ELA[#Data],YES_Writing_FLA[#Data]),MATCH($A599,_xlfn.VSTACK(YES_Writing_ELA[Student Number],YES_Writing_FLA[Student Number]),0),MATCH(VLOOKUP(D$7,'Writing Logic'!$J$7:$K$11,2,FALSE)&amp;" - Per "&amp;VLOOKUP($C$4,'Writing Logic'!$G$8:$H$14,2,FALSE),YES_Writing_ELA[#Headers],0)))),"")</f>
        <v/>
      </c>
      <c r="E599" s="138" t="str">
        <f>IFERROR(IF(IF(INDEX(_xlfn.VSTACK(YES_Writing_ELA[#Data],YES_Writing_FLA[#Data]),MATCH($A599,_xlfn.VSTACK(YES_Writing_ELA[Student Number],YES_Writing_FLA[Student Number]),0),MATCH(VLOOKUP(E$7,'Writing Logic'!$J$7:$K$11,2,FALSE)&amp;" - Per "&amp;VLOOKUP($C$4,'Writing Logic'!$G$8:$H$14,2,FALSE),YES_Writing_ELA[#Headers],0))=0,"",INDEX(_xlfn.VSTACK(YES_Writing_ELA[#Data],YES_Writing_FLA[#Data]),MATCH($A599,_xlfn.VSTACK(YES_Writing_ELA[Student Number],YES_Writing_FLA[Student Number]),0),MATCH(VLOOKUP(E$7,'Writing Logic'!$J$7:$K$11,2,FALSE)&amp;" - Per "&amp;VLOOKUP($C$4,'Writing Logic'!$G$8:$H$14,2,FALSE),YES_Writing_ELA[#Headers],0)))="INS",'Writing Logic'!$B$7,IF(INDEX(_xlfn.VSTACK(YES_Writing_ELA[#Data],YES_Writing_FLA[#Data]),MATCH($A599,_xlfn.VSTACK(YES_Writing_ELA[Student Number],YES_Writing_FLA[Student Number]),0),MATCH(VLOOKUP(E$7,'Writing Logic'!$J$7:$K$11,2,FALSE)&amp;" - Per "&amp;VLOOKUP($C$4,'Writing Logic'!$G$8:$H$14,2,FALSE),YES_Writing_ELA[#Headers],0))=0,"",INDEX(_xlfn.VSTACK(YES_Writing_ELA[#Data],YES_Writing_FLA[#Data]),MATCH($A599,_xlfn.VSTACK(YES_Writing_ELA[Student Number],YES_Writing_FLA[Student Number]),0),MATCH(VLOOKUP(E$7,'Writing Logic'!$J$7:$K$11,2,FALSE)&amp;" - Per "&amp;VLOOKUP($C$4,'Writing Logic'!$G$8:$H$14,2,FALSE),YES_Writing_ELA[#Headers],0)))),"")</f>
        <v/>
      </c>
      <c r="F599" s="138" t="str">
        <f>IFERROR(IF(IF(INDEX(_xlfn.VSTACK(YES_Writing_ELA[#Data],YES_Writing_FLA[#Data]),MATCH($A599,_xlfn.VSTACK(YES_Writing_ELA[Student Number],YES_Writing_FLA[Student Number]),0),MATCH(VLOOKUP(F$7,'Writing Logic'!$J$7:$K$11,2,FALSE)&amp;" - Per "&amp;VLOOKUP($C$4,'Writing Logic'!$G$8:$H$14,2,FALSE),YES_Writing_ELA[#Headers],0))=0,"",INDEX(_xlfn.VSTACK(YES_Writing_ELA[#Data],YES_Writing_FLA[#Data]),MATCH($A599,_xlfn.VSTACK(YES_Writing_ELA[Student Number],YES_Writing_FLA[Student Number]),0),MATCH(VLOOKUP(F$7,'Writing Logic'!$J$7:$K$11,2,FALSE)&amp;" - Per "&amp;VLOOKUP($C$4,'Writing Logic'!$G$8:$H$14,2,FALSE),YES_Writing_ELA[#Headers],0)))="INS",'Writing Logic'!$B$7,IF(INDEX(_xlfn.VSTACK(YES_Writing_ELA[#Data],YES_Writing_FLA[#Data]),MATCH($A599,_xlfn.VSTACK(YES_Writing_ELA[Student Number],YES_Writing_FLA[Student Number]),0),MATCH(VLOOKUP(F$7,'Writing Logic'!$J$7:$K$11,2,FALSE)&amp;" - Per "&amp;VLOOKUP($C$4,'Writing Logic'!$G$8:$H$14,2,FALSE),YES_Writing_ELA[#Headers],0))=0,"",INDEX(_xlfn.VSTACK(YES_Writing_ELA[#Data],YES_Writing_FLA[#Data]),MATCH($A599,_xlfn.VSTACK(YES_Writing_ELA[Student Number],YES_Writing_FLA[Student Number]),0),MATCH(VLOOKUP(F$7,'Writing Logic'!$J$7:$K$11,2,FALSE)&amp;" - Per "&amp;VLOOKUP($C$4,'Writing Logic'!$G$8:$H$14,2,FALSE),YES_Writing_ELA[#Headers],0)))),"")</f>
        <v/>
      </c>
      <c r="G599" s="138" t="str">
        <f>IFERROR(IF(IF(INDEX(_xlfn.VSTACK(YES_Writing_ELA[#Data],YES_Writing_FLA[#Data]),MATCH($A599,_xlfn.VSTACK(YES_Writing_ELA[Student Number],YES_Writing_FLA[Student Number]),0),MATCH(VLOOKUP(G$7,'Writing Logic'!$J$7:$K$11,2,FALSE)&amp;" - Per "&amp;VLOOKUP($C$4,'Writing Logic'!$G$8:$H$14,2,FALSE),YES_Writing_ELA[#Headers],0))=0,"",INDEX(_xlfn.VSTACK(YES_Writing_ELA[#Data],YES_Writing_FLA[#Data]),MATCH($A599,_xlfn.VSTACK(YES_Writing_ELA[Student Number],YES_Writing_FLA[Student Number]),0),MATCH(VLOOKUP(G$7,'Writing Logic'!$J$7:$K$11,2,FALSE)&amp;" - Per "&amp;VLOOKUP($C$4,'Writing Logic'!$G$8:$H$14,2,FALSE),YES_Writing_ELA[#Headers],0)))="INS",'Writing Logic'!$B$7,IF(INDEX(_xlfn.VSTACK(YES_Writing_ELA[#Data],YES_Writing_FLA[#Data]),MATCH($A599,_xlfn.VSTACK(YES_Writing_ELA[Student Number],YES_Writing_FLA[Student Number]),0),MATCH(VLOOKUP(G$7,'Writing Logic'!$J$7:$K$11,2,FALSE)&amp;" - Per "&amp;VLOOKUP($C$4,'Writing Logic'!$G$8:$H$14,2,FALSE),YES_Writing_ELA[#Headers],0))=0,"",INDEX(_xlfn.VSTACK(YES_Writing_ELA[#Data],YES_Writing_FLA[#Data]),MATCH($A599,_xlfn.VSTACK(YES_Writing_ELA[Student Number],YES_Writing_FLA[Student Number]),0),MATCH(VLOOKUP(G$7,'Writing Logic'!$J$7:$K$11,2,FALSE)&amp;" - Per "&amp;VLOOKUP($C$4,'Writing Logic'!$G$8:$H$14,2,FALSE),YES_Writing_ELA[#Headers],0)))),"")</f>
        <v/>
      </c>
      <c r="H599" s="138" t="str">
        <f>IFERROR(IF(IF(INDEX(_xlfn.VSTACK(YES_Writing_ELA[#Data],YES_Writing_FLA[#Data]),MATCH($A599,_xlfn.VSTACK(YES_Writing_ELA[Student Number],YES_Writing_FLA[Student Number]),0),MATCH(VLOOKUP(H$7,'Writing Logic'!$J$7:$K$11,2,FALSE)&amp;" - Per "&amp;VLOOKUP($C$4,'Writing Logic'!$G$8:$H$14,2,FALSE),YES_Writing_ELA[#Headers],0))=0,"",INDEX(_xlfn.VSTACK(YES_Writing_ELA[#Data],YES_Writing_FLA[#Data]),MATCH($A599,_xlfn.VSTACK(YES_Writing_ELA[Student Number],YES_Writing_FLA[Student Number]),0),MATCH(VLOOKUP(H$7,'Writing Logic'!$J$7:$K$11,2,FALSE)&amp;" - Per "&amp;VLOOKUP($C$4,'Writing Logic'!$G$8:$H$14,2,FALSE),YES_Writing_ELA[#Headers],0)))="INS",'Writing Logic'!$B$7,IF(INDEX(_xlfn.VSTACK(YES_Writing_ELA[#Data],YES_Writing_FLA[#Data]),MATCH($A599,_xlfn.VSTACK(YES_Writing_ELA[Student Number],YES_Writing_FLA[Student Number]),0),MATCH(VLOOKUP(H$7,'Writing Logic'!$J$7:$K$11,2,FALSE)&amp;" - Per "&amp;VLOOKUP($C$4,'Writing Logic'!$G$8:$H$14,2,FALSE),YES_Writing_ELA[#Headers],0))=0,"",INDEX(_xlfn.VSTACK(YES_Writing_ELA[#Data],YES_Writing_FLA[#Data]),MATCH($A599,_xlfn.VSTACK(YES_Writing_ELA[Student Number],YES_Writing_FLA[Student Number]),0),MATCH(VLOOKUP(H$7,'Writing Logic'!$J$7:$K$11,2,FALSE)&amp;" - Per "&amp;VLOOKUP($C$4,'Writing Logic'!$G$8:$H$14,2,FALSE),YES_Writing_ELA[#Headers],0)))),"")</f>
        <v/>
      </c>
    </row>
    <row r="600" spans="1:8" x14ac:dyDescent="0.25">
      <c r="A600" s="137"/>
      <c r="B600" s="137" t="str">
        <f>IFERROR(INDEX(_xlfn.VSTACK(YES_Writing_ELA[#Data], YES_Writing_FLA[#Data]),MATCH($A600,_xlfn.VSTACK(YES_Writing_ELA[Student Number], YES_Writing_FLA[Student Number]),0),MATCH(B$7,YES_Writing_ELA[#Headers],0)),"")</f>
        <v/>
      </c>
      <c r="C600" s="137" t="str">
        <f>IFERROR(INDEX(_xlfn.VSTACK(YES_Writing_ELA[#Data], YES_Writing_FLA[#Data]),MATCH($A600,_xlfn.VSTACK(YES_Writing_ELA[Student Number], YES_Writing_FLA[Student Number]),0),MATCH(C$7,YES_Writing_ELA[#Headers],0)),"")</f>
        <v/>
      </c>
      <c r="D600" s="138" t="str">
        <f>IFERROR(IF(IF(INDEX(_xlfn.VSTACK(YES_Writing_ELA[#Data],YES_Writing_FLA[#Data]),MATCH($A600,_xlfn.VSTACK(YES_Writing_ELA[Student Number],YES_Writing_FLA[Student Number]),0),MATCH(VLOOKUP(D$7,'Writing Logic'!$J$7:$K$11,2,FALSE)&amp;" - Per "&amp;VLOOKUP($C$4,'Writing Logic'!$G$8:$H$14,2,FALSE),YES_Writing_ELA[#Headers],0))=0,"",INDEX(_xlfn.VSTACK(YES_Writing_ELA[#Data],YES_Writing_FLA[#Data]),MATCH($A600,_xlfn.VSTACK(YES_Writing_ELA[Student Number],YES_Writing_FLA[Student Number]),0),MATCH(VLOOKUP(D$7,'Writing Logic'!$J$7:$K$11,2,FALSE)&amp;" - Per "&amp;VLOOKUP($C$4,'Writing Logic'!$G$8:$H$14,2,FALSE),YES_Writing_ELA[#Headers],0)))="INS",'Writing Logic'!$B$7,IF(INDEX(_xlfn.VSTACK(YES_Writing_ELA[#Data],YES_Writing_FLA[#Data]),MATCH($A600,_xlfn.VSTACK(YES_Writing_ELA[Student Number],YES_Writing_FLA[Student Number]),0),MATCH(VLOOKUP(D$7,'Writing Logic'!$J$7:$K$11,2,FALSE)&amp;" - Per "&amp;VLOOKUP($C$4,'Writing Logic'!$G$8:$H$14,2,FALSE),YES_Writing_ELA[#Headers],0))=0,"",INDEX(_xlfn.VSTACK(YES_Writing_ELA[#Data],YES_Writing_FLA[#Data]),MATCH($A600,_xlfn.VSTACK(YES_Writing_ELA[Student Number],YES_Writing_FLA[Student Number]),0),MATCH(VLOOKUP(D$7,'Writing Logic'!$J$7:$K$11,2,FALSE)&amp;" - Per "&amp;VLOOKUP($C$4,'Writing Logic'!$G$8:$H$14,2,FALSE),YES_Writing_ELA[#Headers],0)))),"")</f>
        <v/>
      </c>
      <c r="E600" s="138" t="str">
        <f>IFERROR(IF(IF(INDEX(_xlfn.VSTACK(YES_Writing_ELA[#Data],YES_Writing_FLA[#Data]),MATCH($A600,_xlfn.VSTACK(YES_Writing_ELA[Student Number],YES_Writing_FLA[Student Number]),0),MATCH(VLOOKUP(E$7,'Writing Logic'!$J$7:$K$11,2,FALSE)&amp;" - Per "&amp;VLOOKUP($C$4,'Writing Logic'!$G$8:$H$14,2,FALSE),YES_Writing_ELA[#Headers],0))=0,"",INDEX(_xlfn.VSTACK(YES_Writing_ELA[#Data],YES_Writing_FLA[#Data]),MATCH($A600,_xlfn.VSTACK(YES_Writing_ELA[Student Number],YES_Writing_FLA[Student Number]),0),MATCH(VLOOKUP(E$7,'Writing Logic'!$J$7:$K$11,2,FALSE)&amp;" - Per "&amp;VLOOKUP($C$4,'Writing Logic'!$G$8:$H$14,2,FALSE),YES_Writing_ELA[#Headers],0)))="INS",'Writing Logic'!$B$7,IF(INDEX(_xlfn.VSTACK(YES_Writing_ELA[#Data],YES_Writing_FLA[#Data]),MATCH($A600,_xlfn.VSTACK(YES_Writing_ELA[Student Number],YES_Writing_FLA[Student Number]),0),MATCH(VLOOKUP(E$7,'Writing Logic'!$J$7:$K$11,2,FALSE)&amp;" - Per "&amp;VLOOKUP($C$4,'Writing Logic'!$G$8:$H$14,2,FALSE),YES_Writing_ELA[#Headers],0))=0,"",INDEX(_xlfn.VSTACK(YES_Writing_ELA[#Data],YES_Writing_FLA[#Data]),MATCH($A600,_xlfn.VSTACK(YES_Writing_ELA[Student Number],YES_Writing_FLA[Student Number]),0),MATCH(VLOOKUP(E$7,'Writing Logic'!$J$7:$K$11,2,FALSE)&amp;" - Per "&amp;VLOOKUP($C$4,'Writing Logic'!$G$8:$H$14,2,FALSE),YES_Writing_ELA[#Headers],0)))),"")</f>
        <v/>
      </c>
      <c r="F600" s="138" t="str">
        <f>IFERROR(IF(IF(INDEX(_xlfn.VSTACK(YES_Writing_ELA[#Data],YES_Writing_FLA[#Data]),MATCH($A600,_xlfn.VSTACK(YES_Writing_ELA[Student Number],YES_Writing_FLA[Student Number]),0),MATCH(VLOOKUP(F$7,'Writing Logic'!$J$7:$K$11,2,FALSE)&amp;" - Per "&amp;VLOOKUP($C$4,'Writing Logic'!$G$8:$H$14,2,FALSE),YES_Writing_ELA[#Headers],0))=0,"",INDEX(_xlfn.VSTACK(YES_Writing_ELA[#Data],YES_Writing_FLA[#Data]),MATCH($A600,_xlfn.VSTACK(YES_Writing_ELA[Student Number],YES_Writing_FLA[Student Number]),0),MATCH(VLOOKUP(F$7,'Writing Logic'!$J$7:$K$11,2,FALSE)&amp;" - Per "&amp;VLOOKUP($C$4,'Writing Logic'!$G$8:$H$14,2,FALSE),YES_Writing_ELA[#Headers],0)))="INS",'Writing Logic'!$B$7,IF(INDEX(_xlfn.VSTACK(YES_Writing_ELA[#Data],YES_Writing_FLA[#Data]),MATCH($A600,_xlfn.VSTACK(YES_Writing_ELA[Student Number],YES_Writing_FLA[Student Number]),0),MATCH(VLOOKUP(F$7,'Writing Logic'!$J$7:$K$11,2,FALSE)&amp;" - Per "&amp;VLOOKUP($C$4,'Writing Logic'!$G$8:$H$14,2,FALSE),YES_Writing_ELA[#Headers],0))=0,"",INDEX(_xlfn.VSTACK(YES_Writing_ELA[#Data],YES_Writing_FLA[#Data]),MATCH($A600,_xlfn.VSTACK(YES_Writing_ELA[Student Number],YES_Writing_FLA[Student Number]),0),MATCH(VLOOKUP(F$7,'Writing Logic'!$J$7:$K$11,2,FALSE)&amp;" - Per "&amp;VLOOKUP($C$4,'Writing Logic'!$G$8:$H$14,2,FALSE),YES_Writing_ELA[#Headers],0)))),"")</f>
        <v/>
      </c>
      <c r="G600" s="138" t="str">
        <f>IFERROR(IF(IF(INDEX(_xlfn.VSTACK(YES_Writing_ELA[#Data],YES_Writing_FLA[#Data]),MATCH($A600,_xlfn.VSTACK(YES_Writing_ELA[Student Number],YES_Writing_FLA[Student Number]),0),MATCH(VLOOKUP(G$7,'Writing Logic'!$J$7:$K$11,2,FALSE)&amp;" - Per "&amp;VLOOKUP($C$4,'Writing Logic'!$G$8:$H$14,2,FALSE),YES_Writing_ELA[#Headers],0))=0,"",INDEX(_xlfn.VSTACK(YES_Writing_ELA[#Data],YES_Writing_FLA[#Data]),MATCH($A600,_xlfn.VSTACK(YES_Writing_ELA[Student Number],YES_Writing_FLA[Student Number]),0),MATCH(VLOOKUP(G$7,'Writing Logic'!$J$7:$K$11,2,FALSE)&amp;" - Per "&amp;VLOOKUP($C$4,'Writing Logic'!$G$8:$H$14,2,FALSE),YES_Writing_ELA[#Headers],0)))="INS",'Writing Logic'!$B$7,IF(INDEX(_xlfn.VSTACK(YES_Writing_ELA[#Data],YES_Writing_FLA[#Data]),MATCH($A600,_xlfn.VSTACK(YES_Writing_ELA[Student Number],YES_Writing_FLA[Student Number]),0),MATCH(VLOOKUP(G$7,'Writing Logic'!$J$7:$K$11,2,FALSE)&amp;" - Per "&amp;VLOOKUP($C$4,'Writing Logic'!$G$8:$H$14,2,FALSE),YES_Writing_ELA[#Headers],0))=0,"",INDEX(_xlfn.VSTACK(YES_Writing_ELA[#Data],YES_Writing_FLA[#Data]),MATCH($A600,_xlfn.VSTACK(YES_Writing_ELA[Student Number],YES_Writing_FLA[Student Number]),0),MATCH(VLOOKUP(G$7,'Writing Logic'!$J$7:$K$11,2,FALSE)&amp;" - Per "&amp;VLOOKUP($C$4,'Writing Logic'!$G$8:$H$14,2,FALSE),YES_Writing_ELA[#Headers],0)))),"")</f>
        <v/>
      </c>
      <c r="H600" s="138" t="str">
        <f>IFERROR(IF(IF(INDEX(_xlfn.VSTACK(YES_Writing_ELA[#Data],YES_Writing_FLA[#Data]),MATCH($A600,_xlfn.VSTACK(YES_Writing_ELA[Student Number],YES_Writing_FLA[Student Number]),0),MATCH(VLOOKUP(H$7,'Writing Logic'!$J$7:$K$11,2,FALSE)&amp;" - Per "&amp;VLOOKUP($C$4,'Writing Logic'!$G$8:$H$14,2,FALSE),YES_Writing_ELA[#Headers],0))=0,"",INDEX(_xlfn.VSTACK(YES_Writing_ELA[#Data],YES_Writing_FLA[#Data]),MATCH($A600,_xlfn.VSTACK(YES_Writing_ELA[Student Number],YES_Writing_FLA[Student Number]),0),MATCH(VLOOKUP(H$7,'Writing Logic'!$J$7:$K$11,2,FALSE)&amp;" - Per "&amp;VLOOKUP($C$4,'Writing Logic'!$G$8:$H$14,2,FALSE),YES_Writing_ELA[#Headers],0)))="INS",'Writing Logic'!$B$7,IF(INDEX(_xlfn.VSTACK(YES_Writing_ELA[#Data],YES_Writing_FLA[#Data]),MATCH($A600,_xlfn.VSTACK(YES_Writing_ELA[Student Number],YES_Writing_FLA[Student Number]),0),MATCH(VLOOKUP(H$7,'Writing Logic'!$J$7:$K$11,2,FALSE)&amp;" - Per "&amp;VLOOKUP($C$4,'Writing Logic'!$G$8:$H$14,2,FALSE),YES_Writing_ELA[#Headers],0))=0,"",INDEX(_xlfn.VSTACK(YES_Writing_ELA[#Data],YES_Writing_FLA[#Data]),MATCH($A600,_xlfn.VSTACK(YES_Writing_ELA[Student Number],YES_Writing_FLA[Student Number]),0),MATCH(VLOOKUP(H$7,'Writing Logic'!$J$7:$K$11,2,FALSE)&amp;" - Per "&amp;VLOOKUP($C$4,'Writing Logic'!$G$8:$H$14,2,FALSE),YES_Writing_ELA[#Headers],0)))),"")</f>
        <v/>
      </c>
    </row>
  </sheetData>
  <mergeCells count="11">
    <mergeCell ref="H7:H8"/>
    <mergeCell ref="A1:L1"/>
    <mergeCell ref="C2:G2"/>
    <mergeCell ref="C4:D4"/>
    <mergeCell ref="A7:A8"/>
    <mergeCell ref="B7:B8"/>
    <mergeCell ref="C7:C8"/>
    <mergeCell ref="D7:D8"/>
    <mergeCell ref="E7:E8"/>
    <mergeCell ref="F7:F8"/>
    <mergeCell ref="G7:G8"/>
  </mergeCells>
  <conditionalFormatting sqref="D9:H600">
    <cfRule type="cellIs" priority="1" stopIfTrue="1" operator="equal">
      <formula>"Fill All 4"</formula>
    </cfRule>
    <cfRule type="cellIs" priority="2" stopIfTrue="1" operator="equal">
      <formula>""</formula>
    </cfRule>
  </conditionalFormatting>
  <pageMargins left="0.25" right="0.25" top="0.75" bottom="0.75" header="0.3" footer="0.3"/>
  <pageSetup paperSize="5" fitToHeight="0" orientation="landscape" r:id="rId1"/>
  <extLst>
    <ext xmlns:x14="http://schemas.microsoft.com/office/spreadsheetml/2009/9/main" uri="{78C0D931-6437-407d-A8EE-F0AAD7539E65}">
      <x14:conditionalFormattings>
        <x14:conditionalFormatting xmlns:xm="http://schemas.microsoft.com/office/excel/2006/main">
          <x14:cfRule type="cellIs" priority="3" operator="between" id="{EE33E353-BB79-4772-AB7A-79EC8939B322}">
            <xm:f>'Writing Logic'!$F$5</xm:f>
            <xm:f>'Writing Logic'!$G$5</xm:f>
            <x14:dxf>
              <font>
                <color rgb="FF9C5700"/>
              </font>
              <fill>
                <patternFill>
                  <bgColor rgb="FFFFEB9C"/>
                </patternFill>
              </fill>
            </x14:dxf>
          </x14:cfRule>
          <x14:cfRule type="cellIs" priority="4" operator="lessThan" id="{F0ACAB39-196E-425B-9EB9-3BE13D47A360}">
            <xm:f>'Writing Logic'!$F$4</xm:f>
            <x14:dxf>
              <font>
                <color rgb="FF9C0006"/>
              </font>
              <fill>
                <patternFill>
                  <bgColor rgb="FFFFC7CE"/>
                </patternFill>
              </fill>
            </x14:dxf>
          </x14:cfRule>
          <x14:cfRule type="cellIs" priority="5" operator="greaterThan" id="{7E8F01C9-9C3D-46E7-8C49-93EC7E32BD5B}">
            <xm:f>'Writing Logic'!$F$3</xm:f>
            <x14:dxf>
              <font>
                <color rgb="FF006100"/>
              </font>
              <fill>
                <patternFill>
                  <bgColor rgb="FFC6EFCE"/>
                </patternFill>
              </fill>
            </x14:dxf>
          </x14:cfRule>
          <xm:sqref>D9:H600</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90B1C02F-27A3-4F72-8128-11C906CA5029}">
          <x14:formula1>
            <xm:f>'Writing Logic'!$A$12:$A$35</xm:f>
          </x14:formula1>
          <xm:sqref>C2:G2</xm:sqref>
        </x14:dataValidation>
        <x14:dataValidation type="list" allowBlank="1" showInputMessage="1" showErrorMessage="1" xr:uid="{9BF7B307-A2C3-490E-86D3-5F5965756368}">
          <x14:formula1>
            <xm:f>'Writing Logic'!$F$7:$F$21</xm:f>
          </x14:formula1>
          <xm:sqref>C3</xm:sqref>
        </x14:dataValidation>
        <x14:dataValidation type="list" allowBlank="1" showInputMessage="1" showErrorMessage="1" xr:uid="{812121B3-6CE1-4824-82E0-B4B783AEF124}">
          <x14:formula1>
            <xm:f>'Writing Logic'!$G$8:$G$14</xm:f>
          </x14:formula1>
          <xm:sqref>C4:D4</xm:sqref>
        </x14:dataValidation>
        <x14:dataValidation type="list" allowBlank="1" showInputMessage="1" showErrorMessage="1" xr:uid="{6B9838B0-258D-433A-BFDF-663497B36C7D}">
          <x14:formula1>
            <xm:f>'Writing Logic'!$J$2:$J$4</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867FD-4964-4C06-A102-1312BE1E986D}">
  <sheetPr codeName="Sheet10"/>
  <dimension ref="A1:O24"/>
  <sheetViews>
    <sheetView workbookViewId="0">
      <selection activeCell="L35" sqref="L35"/>
    </sheetView>
  </sheetViews>
  <sheetFormatPr defaultRowHeight="15" x14ac:dyDescent="0.25"/>
  <cols>
    <col min="1" max="4" width="9.28515625" customWidth="1"/>
    <col min="5" max="5" width="7.7109375" customWidth="1"/>
    <col min="10" max="10" width="7.7109375" customWidth="1"/>
    <col min="15" max="15" width="7.7109375" customWidth="1"/>
  </cols>
  <sheetData>
    <row r="1" spans="1:15" ht="24" x14ac:dyDescent="0.4">
      <c r="A1" s="321" t="str">
        <f>K3&amp;" Pull Details"</f>
        <v>Nov 20(P-6) Pull Details</v>
      </c>
      <c r="B1" s="321"/>
      <c r="C1" s="321"/>
      <c r="D1" s="321"/>
      <c r="E1" s="321"/>
      <c r="F1" s="321"/>
      <c r="G1" s="321"/>
      <c r="H1" s="321"/>
      <c r="I1" s="321"/>
      <c r="J1" s="321"/>
      <c r="K1" s="321"/>
      <c r="L1" s="321"/>
      <c r="M1" s="321"/>
      <c r="N1" s="321"/>
      <c r="O1" s="321"/>
    </row>
    <row r="2" spans="1:15" ht="7.5" customHeight="1" x14ac:dyDescent="0.25"/>
    <row r="3" spans="1:15" x14ac:dyDescent="0.25">
      <c r="A3" s="122" t="s">
        <v>53</v>
      </c>
      <c r="B3" s="123" t="s">
        <v>175</v>
      </c>
      <c r="C3" s="122" t="s">
        <v>46</v>
      </c>
      <c r="D3" s="310" t="s">
        <v>193</v>
      </c>
      <c r="E3" s="310"/>
      <c r="F3" s="310"/>
      <c r="G3" s="310"/>
      <c r="H3" s="310"/>
      <c r="J3" s="122" t="s">
        <v>191</v>
      </c>
      <c r="K3" s="322" t="s">
        <v>324</v>
      </c>
      <c r="L3" s="322"/>
      <c r="M3" s="124" t="s">
        <v>176</v>
      </c>
      <c r="N3" s="125" t="s">
        <v>194</v>
      </c>
    </row>
    <row r="4" spans="1:15" ht="7.5" customHeight="1" x14ac:dyDescent="0.25">
      <c r="A4" s="88"/>
      <c r="B4" s="99"/>
      <c r="E4" s="88"/>
      <c r="F4" s="88"/>
      <c r="G4" s="88"/>
      <c r="H4" s="88"/>
      <c r="I4" s="88"/>
    </row>
    <row r="5" spans="1:15" x14ac:dyDescent="0.25">
      <c r="A5" s="323" t="s">
        <v>195</v>
      </c>
      <c r="B5" s="323"/>
      <c r="C5" s="323"/>
      <c r="D5" s="323"/>
      <c r="E5" s="88"/>
      <c r="F5" s="323" t="s">
        <v>196</v>
      </c>
      <c r="G5" s="323"/>
      <c r="H5" s="323"/>
      <c r="I5" s="323"/>
      <c r="K5" s="323" t="s">
        <v>197</v>
      </c>
      <c r="L5" s="323"/>
      <c r="M5" s="323"/>
      <c r="N5" s="323"/>
    </row>
    <row r="6" spans="1:15" x14ac:dyDescent="0.25">
      <c r="A6" s="324" t="s">
        <v>198</v>
      </c>
      <c r="B6" s="324"/>
      <c r="C6" s="319" t="s">
        <v>199</v>
      </c>
      <c r="D6" s="320"/>
      <c r="E6" s="127"/>
      <c r="F6" s="324" t="s">
        <v>198</v>
      </c>
      <c r="G6" s="324"/>
      <c r="H6" s="319" t="s">
        <v>199</v>
      </c>
      <c r="I6" s="320"/>
      <c r="J6" s="127"/>
      <c r="K6" s="324" t="s">
        <v>198</v>
      </c>
      <c r="L6" s="324"/>
      <c r="M6" s="319" t="s">
        <v>199</v>
      </c>
      <c r="N6" s="320"/>
    </row>
    <row r="7" spans="1:15" x14ac:dyDescent="0.25">
      <c r="A7" s="126" t="s">
        <v>200</v>
      </c>
      <c r="B7" s="126" t="s">
        <v>201</v>
      </c>
      <c r="C7" s="128" t="s">
        <v>200</v>
      </c>
      <c r="D7" s="128" t="s">
        <v>201</v>
      </c>
      <c r="E7" s="127"/>
      <c r="F7" s="126" t="s">
        <v>200</v>
      </c>
      <c r="G7" s="126" t="s">
        <v>201</v>
      </c>
      <c r="H7" s="128" t="s">
        <v>200</v>
      </c>
      <c r="I7" s="128" t="s">
        <v>201</v>
      </c>
      <c r="J7" s="127"/>
      <c r="K7" s="126" t="s">
        <v>200</v>
      </c>
      <c r="L7" s="126" t="s">
        <v>201</v>
      </c>
      <c r="M7" s="128" t="s">
        <v>200</v>
      </c>
      <c r="N7" s="128" t="s">
        <v>201</v>
      </c>
    </row>
    <row r="8" spans="1:15" x14ac:dyDescent="0.25">
      <c r="A8" s="131" cm="1">
        <f t="array" aca="1" ref="A8" ca="1">SUM(COUNTIFS(INDIRECT("YES_Writing_"&amp;IF($N$3="Combined",{"ELA","FLA"},VLOOKUP($N$3,'Writing Logic'!$J$2:$K$4,2,FALSE))&amp;"[Writing Average - Per "&amp;VLOOKUP($K$3,'Writing Logic'!$G$8:$H$14,2,FALSE)&amp;"]"),"&gt;="&amp;'Writing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f>
        <v>0</v>
      </c>
      <c r="B8" s="130" t="str">
        <f ca="1">IFERROR(A8/($C8+$A8),"")</f>
        <v/>
      </c>
      <c r="C8" s="129" cm="1">
        <f t="array" aca="1" ref="C8" ca="1">SUM(COUNTIFS(INDIRECT("YES_Writing_"&amp;IF($N$3="Combined",{"ELA","FLA"},VLOOKUP($N$3,'Writing Logic'!$J$2:$K$4,2,FALSE))&amp;"[Writing Average - Per "&amp;VLOOKUP($K$3,'Writing Logic'!$G$8:$H$14,2,FALSE)&amp;"]"),"&lt;"&amp;'Writing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f>
        <v>0</v>
      </c>
      <c r="D8" s="130" t="str">
        <f ca="1">IFERROR(C8/($C8+$A8),"")</f>
        <v/>
      </c>
      <c r="E8" s="127"/>
      <c r="F8" s="131" cm="1">
        <f t="array" aca="1" ref="F8" ca="1">SUM(COUNTIFS(INDIRECT("YES_Writing_"&amp;IF($N$3="Combined",{"ELA","FLA"},VLOOKUP($N$3,'Writing Logic'!$J$2:$K$4,2,FALSE))&amp;"[Writing Average - Per "&amp;VLOOKUP($K$3,'Writing Logic'!$G$8:$H$14,2,FALSE)&amp;"]"),"&gt;="&amp;'Writing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Logic'!$J$2:$K$4,2,FALSE))&amp;"[School]"),IF($D$3="TCRCE","*",$D$3),INDIRECT("YES_Writing_"&amp;IF($N$3="Combined",{"ELA","FLA"},VLOOKUP($N$3,'Writing Logic'!$J$2:$K$4,2,FALSE))&amp;"[Self-Identified as AFRican Descent]"),"&lt;&gt;Yes",INDIRECT("YES_Writing_"&amp;IF($N$3="Combined",{"ELA","FLA"},VLOOKUP($N$3,'Writing Logic'!$J$2:$K$4,2,FALSE))&amp;"[Self-Identified as Indigenous]"),"&lt;&gt;1"))</f>
        <v>0</v>
      </c>
      <c r="G8" s="130" t="str">
        <f ca="1">IFERROR(F8/($H8+$F8),"")</f>
        <v/>
      </c>
      <c r="H8" s="129" cm="1">
        <f t="array" aca="1" ref="H8" ca="1">SUM(COUNTIFS(INDIRECT("YES_Writing_"&amp;IF($N$3="Combined",{"ELA","FLA"},VLOOKUP($N$3,'Writing Logic'!$J$2:$K$4,2,FALSE))&amp;"[Writing Average - Per "&amp;VLOOKUP($K$3,'Writing Logic'!$G$8:$H$14,2,FALSE)&amp;"]"),"&lt;"&amp;'Writing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Logic'!$J$2:$K$4,2,FALSE))&amp;"[School]"),IF($D$3="TCRCE","*",$D$3),INDIRECT("YES_Writing_"&amp;IF($N$3="Combined",{"ELA","FLA"},VLOOKUP($N$3,'Writing Logic'!$J$2:$K$4,2,FALSE))&amp;"[Self-Identified as AFRican Descent]"),"&lt;&gt;Yes",INDIRECT("YES_Writing_"&amp;IF($N$3="Combined",{"ELA","FLA"},VLOOKUP($N$3,'Writing Logic'!$J$2:$K$4,2,FALSE))&amp;"[Self-Identified as Indigenous]"),"&lt;&gt;1"))</f>
        <v>0</v>
      </c>
      <c r="I8" s="130" t="str">
        <f ca="1">IFERROR(H8/($H8+$F8),"")</f>
        <v/>
      </c>
      <c r="J8" s="127"/>
      <c r="K8" s="131" cm="1">
        <f t="array" aca="1" ref="K8" ca="1">SUM(COUNTIFS(INDIRECT("YES_Writing_"&amp;IF($N$3="Combined",{"ELA","FLA"},VLOOKUP($N$3,'Writing Logic'!$J$2:$K$4,2,FALSE))&amp;"[Writing Average - Per "&amp;VLOOKUP($K$3,'Writing Logic'!$G$8:$H$14,2,FALSE)&amp;"]"),"&gt;="&amp;'Writing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Logic'!$J$2:$K$4,2,FALSE))&amp;"[School]"),IF($D$3="TCRCE","*",$D$3),INDIRECT("YES_Writing_"&amp;IF($N$3="Combined",{"ELA","FLA"},VLOOKUP($N$3,'Writing Logic'!$J$2:$K$4,2,FALSE))&amp;"[Self-Identified as AFRican Descent]"),"Yes",INDIRECT("YES_Writing_"&amp;IF($N$3="Combined",{"ELA","FLA"},VLOOKUP($N$3,'Writing Logic'!$J$2:$K$4,2,FALSE))&amp;"[Self-Identified as Indigenous]"),"&lt;&gt;1"))</f>
        <v>0</v>
      </c>
      <c r="L8" s="130" t="str">
        <f ca="1">IFERROR(K8/($M8+$K8),"")</f>
        <v/>
      </c>
      <c r="M8" s="129" cm="1">
        <f t="array" aca="1" ref="M8" ca="1">SUM(COUNTIFS(INDIRECT("YES_Writing_"&amp;IF($N$3="Combined",{"ELA","FLA"},VLOOKUP($N$3,'Writing Logic'!$J$2:$K$4,2,FALSE))&amp;"[Writing Average - Per "&amp;VLOOKUP($K$3,'Writing Logic'!$G$8:$H$14,2,FALSE)&amp;"]"),"&lt;"&amp;'Writing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Logic'!$J$2:$K$4,2,FALSE))&amp;"[School]"),IF($D$3="TCRCE","*",$D$3),INDIRECT("YES_Writing_"&amp;IF($N$3="Combined",{"ELA","FLA"},VLOOKUP($N$3,'Writing Logic'!$J$2:$K$4,2,FALSE))&amp;"[Self-Identified as AFRican Descent]"),"Yes",INDIRECT("YES_Writing_"&amp;IF($N$3="Combined",{"ELA","FLA"},VLOOKUP($N$3,'Writing Logic'!$J$2:$K$4,2,FALSE))&amp;"[Self-Identified as Indigenous]"),"&lt;&gt;1"))</f>
        <v>0</v>
      </c>
      <c r="N8" s="130" t="str">
        <f ca="1">IFERROR(M8/($M8+$K8),"")</f>
        <v/>
      </c>
    </row>
    <row r="9" spans="1:15" ht="7.5" customHeight="1" x14ac:dyDescent="0.25">
      <c r="A9" s="127"/>
      <c r="B9" s="127"/>
      <c r="C9" s="127"/>
      <c r="D9" s="127"/>
      <c r="E9" s="127"/>
      <c r="F9" s="127"/>
      <c r="G9" s="127"/>
      <c r="H9" s="127"/>
      <c r="I9" s="127"/>
      <c r="J9" s="127"/>
      <c r="K9" s="127"/>
      <c r="L9" s="127"/>
      <c r="M9" s="127"/>
      <c r="N9" s="127"/>
    </row>
    <row r="10" spans="1:15" x14ac:dyDescent="0.25">
      <c r="A10" s="325" t="s">
        <v>202</v>
      </c>
      <c r="B10" s="325"/>
      <c r="C10" s="325"/>
      <c r="D10" s="325"/>
      <c r="E10" s="127"/>
      <c r="F10" s="325" t="s">
        <v>203</v>
      </c>
      <c r="G10" s="325"/>
      <c r="H10" s="325"/>
      <c r="I10" s="325"/>
      <c r="J10" s="127"/>
      <c r="K10" s="127"/>
      <c r="L10" s="127"/>
      <c r="M10" s="127"/>
      <c r="N10" s="127"/>
    </row>
    <row r="11" spans="1:15" x14ac:dyDescent="0.25">
      <c r="A11" s="324" t="s">
        <v>198</v>
      </c>
      <c r="B11" s="324"/>
      <c r="C11" s="319" t="s">
        <v>199</v>
      </c>
      <c r="D11" s="320"/>
      <c r="E11" s="127"/>
      <c r="F11" s="324" t="s">
        <v>198</v>
      </c>
      <c r="G11" s="324"/>
      <c r="H11" s="319" t="s">
        <v>199</v>
      </c>
      <c r="I11" s="320"/>
      <c r="J11" s="127"/>
      <c r="K11" s="127"/>
      <c r="L11" s="127"/>
      <c r="M11" s="127"/>
      <c r="N11" s="127"/>
    </row>
    <row r="12" spans="1:15" x14ac:dyDescent="0.25">
      <c r="A12" s="126" t="s">
        <v>200</v>
      </c>
      <c r="B12" s="126" t="s">
        <v>201</v>
      </c>
      <c r="C12" s="128" t="s">
        <v>200</v>
      </c>
      <c r="D12" s="128" t="s">
        <v>201</v>
      </c>
      <c r="E12" s="127"/>
      <c r="F12" s="126" t="s">
        <v>200</v>
      </c>
      <c r="G12" s="126" t="s">
        <v>201</v>
      </c>
      <c r="H12" s="128" t="s">
        <v>200</v>
      </c>
      <c r="I12" s="128" t="s">
        <v>201</v>
      </c>
      <c r="J12" s="127"/>
      <c r="K12" s="127"/>
      <c r="L12" s="127"/>
      <c r="M12" s="127"/>
      <c r="N12" s="127"/>
    </row>
    <row r="13" spans="1:15" x14ac:dyDescent="0.25">
      <c r="A13" s="131" cm="1">
        <f t="array" aca="1" ref="A13" ca="1">SUM(COUNTIFS(INDIRECT("YES_Writing_"&amp;IF($N$3="Combined",{"ELA","FLA"},VLOOKUP($N$3,'Writing Logic'!$J$2:$K$4,2,FALSE))&amp;"[Writing Average - Per "&amp;VLOOKUP($K$3,'Writing Logic'!$G$8:$H$14,2,FALSE)&amp;"]"),"&gt;="&amp;'Writing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Logic'!$J$2:$K$4,2,FALSE))&amp;"[School]"),IF($D$3="TCRCE","*",$D$3),INDIRECT("YES_Writing_"&amp;IF($N$3="Combined",{"ELA","FLA"},VLOOKUP($N$3,'Writing Logic'!$J$2:$K$4,2,FALSE))&amp;"[Self-Identified as AFRican Descent]"),"&lt;&gt;Yes",INDIRECT("YES_Writing_"&amp;IF($N$3="Combined",{"ELA","FLA"},VLOOKUP($N$3,'Writing Logic'!$J$2:$K$4,2,FALSE))&amp;"[Self-Identified as Indigenous]"),"1"))</f>
        <v>0</v>
      </c>
      <c r="B13" s="130" t="str">
        <f ca="1">IFERROR(A13/($C13+$A13),"")</f>
        <v/>
      </c>
      <c r="C13" s="129" cm="1">
        <f t="array" aca="1" ref="C13" ca="1">SUM(COUNTIFS(INDIRECT("YES_Writing_"&amp;IF($N$3="Combined",{"ELA","FLA"},VLOOKUP($N$3,'Writing Logic'!$J$2:$K$4,2,FALSE))&amp;"[Writing Average - Per "&amp;VLOOKUP($K$3,'Writing Logic'!$G$8:$H$14,2,FALSE)&amp;"]"),"&lt;"&amp;'Writing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Logic'!$J$2:$K$4,2,FALSE))&amp;"[School]"),IF($D$3="TCRCE","*",$D$3),INDIRECT("YES_Writing_"&amp;IF($N$3="Combined",{"ELA","FLA"},VLOOKUP($N$3,'Writing Logic'!$J$2:$K$4,2,FALSE))&amp;"[Self-Identified as AFRican Descent]"),"&lt;&gt;Yes",INDIRECT("YES_Writing_"&amp;IF($N$3="Combined",{"ELA","FLA"},VLOOKUP($N$3,'Writing Logic'!$J$2:$K$4,2,FALSE))&amp;"[Self-Identified as Indigenous]"),"1"))</f>
        <v>0</v>
      </c>
      <c r="D13" s="130" t="str">
        <f ca="1">IFERROR(C13/($C13+$A13),"")</f>
        <v/>
      </c>
      <c r="E13" s="127"/>
      <c r="F13" s="131" cm="1">
        <f t="array" aca="1" ref="F13" ca="1">SUM(COUNTIFS(INDIRECT("YES_Writing_"&amp;IF($N$3="Combined",{"ELA","FLA"},VLOOKUP($N$3,'Writing Logic'!$J$2:$K$4,2,FALSE))&amp;"[Writing Average - Per "&amp;VLOOKUP($K$3,'Writing Logic'!$G$8:$H$14,2,FALSE)&amp;"]"),"&gt;="&amp;'Writing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Logic'!$J$2:$K$4,2,FALSE))&amp;"[School]"),IF($D$3="TCRCE","*",$D$3),INDIRECT("YES_Writing_"&amp;IF($N$3="Combined",{"ELA","FLA"},VLOOKUP($N$3,'Writing Logic'!$J$2:$K$4,2,FALSE))&amp;"[Self-Identified as AFRican Descent]"),"Yes",INDIRECT("YES_Writing_"&amp;IF($N$3="Combined",{"ELA","FLA"},VLOOKUP($N$3,'Writing Logic'!$J$2:$K$4,2,FALSE))&amp;"[Self-Identified as Indigenous]"),"1"))</f>
        <v>0</v>
      </c>
      <c r="G13" s="130" t="str">
        <f ca="1">IFERROR(F13/($H13+$F13),"")</f>
        <v/>
      </c>
      <c r="H13" s="129" cm="1">
        <f t="array" aca="1" ref="H13" ca="1">SUM(COUNTIFS(INDIRECT("YES_Writing_"&amp;IF($N$3="Combined",{"ELA","FLA"},VLOOKUP($N$3,'Writing Logic'!$J$2:$K$4,2,FALSE))&amp;"[Writing Average - Per "&amp;VLOOKUP($K$3,'Writing Logic'!$G$8:$H$14,2,FALSE)&amp;"]"),"&lt;"&amp;'Writing Logic'!$F$1,INDIRECT("YES_Writing_"&amp;IF($N$3="Combined",{"ELA","FLA"},VLOOKUP($N$3,'Writing Logic'!$J$2:$K$4,2,FALSE))&amp;"[Grade]"),IF($B$3="All","&lt;&gt;",$B$3),INDIRECT("YES_Writing_"&amp;IF($N$3="Combined",{"ELA","FLA"},VLOOKUP($N$3,'Writing Logic'!$J$2:$K$4,2,FALSE))&amp;"[Literacy IPP]"),"&lt;&gt;Yes",INDIRECT("YES_Writing_"&amp;IF($N$3="Combined",{"ELA","FLA"},VLOOKUP($N$3,'Writing Logic'!$J$2:$K$4,2,FALSE))&amp;"[School]"),IF($D$3="TCRCE","*",$D$3),INDIRECT("YES_Writing_"&amp;IF($N$3="Combined",{"ELA","FLA"},VLOOKUP($N$3,'Writing Logic'!$J$2:$K$4,2,FALSE))&amp;"[Self-Identified as AFRican Descent]"),"Yes",INDIRECT("YES_Writing_"&amp;IF($N$3="Combined",{"ELA","FLA"},VLOOKUP($N$3,'Writing Logic'!$J$2:$K$4,2,FALSE))&amp;"[Self-Identified as Indigenous]"),"1"))</f>
        <v>0</v>
      </c>
      <c r="I13" s="130" t="str">
        <f ca="1">IFERROR(H13/($H13+$F13),"")</f>
        <v/>
      </c>
      <c r="J13" s="127"/>
      <c r="K13" s="127"/>
      <c r="L13" s="127"/>
      <c r="M13" s="127"/>
      <c r="N13" s="127"/>
    </row>
    <row r="14" spans="1:15" ht="7.5" customHeight="1" x14ac:dyDescent="0.25"/>
    <row r="24" ht="7.5" customHeight="1" x14ac:dyDescent="0.25"/>
  </sheetData>
  <mergeCells count="18">
    <mergeCell ref="A10:D10"/>
    <mergeCell ref="F10:I10"/>
    <mergeCell ref="A11:B11"/>
    <mergeCell ref="C11:D11"/>
    <mergeCell ref="F11:G11"/>
    <mergeCell ref="H11:I11"/>
    <mergeCell ref="M6:N6"/>
    <mergeCell ref="A1:O1"/>
    <mergeCell ref="D3:H3"/>
    <mergeCell ref="K3:L3"/>
    <mergeCell ref="A5:D5"/>
    <mergeCell ref="F5:I5"/>
    <mergeCell ref="K5:N5"/>
    <mergeCell ref="A6:B6"/>
    <mergeCell ref="C6:D6"/>
    <mergeCell ref="F6:G6"/>
    <mergeCell ref="H6:I6"/>
    <mergeCell ref="K6:L6"/>
  </mergeCells>
  <pageMargins left="0.25" right="0.25" top="0.75" bottom="0.75" header="0.3" footer="0.3"/>
  <pageSetup orientation="landscape"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3A61E9-1EEF-4F0D-BE15-5259A7BC50CA}">
          <x14:formula1>
            <xm:f>'Writing Logic'!$J$2:$J$4</xm:f>
          </x14:formula1>
          <xm:sqref>N3</xm:sqref>
        </x14:dataValidation>
        <x14:dataValidation type="list" allowBlank="1" showInputMessage="1" showErrorMessage="1" xr:uid="{C2971162-4192-44A0-AF53-3EA73733FBB6}">
          <x14:formula1>
            <xm:f>'Writing Logic'!$G$8:$G$14</xm:f>
          </x14:formula1>
          <xm:sqref>K3:L3</xm:sqref>
        </x14:dataValidation>
        <x14:dataValidation type="list" allowBlank="1" showInputMessage="1" showErrorMessage="1" xr:uid="{30D6957D-2D59-4AD1-8CB6-3B31437C4384}">
          <x14:formula1>
            <xm:f>'Writing Logic'!$A$12:$A$35</xm:f>
          </x14:formula1>
          <xm:sqref>D3:H3</xm:sqref>
        </x14:dataValidation>
        <x14:dataValidation type="list" allowBlank="1" showInputMessage="1" showErrorMessage="1" xr:uid="{02E9BC7E-0B6A-4B99-BE16-43300CA7A130}">
          <x14:formula1>
            <xm:f>'Writing Logic'!$F$7:$F$21</xm:f>
          </x14:formula1>
          <xm:sqref>B3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74947-A6AD-4852-ACC7-E6F50EBD6048}">
  <sheetPr codeName="Sheet11">
    <pageSetUpPr fitToPage="1"/>
  </sheetPr>
  <dimension ref="A1:V207"/>
  <sheetViews>
    <sheetView zoomScaleNormal="100" workbookViewId="0">
      <selection activeCell="L35" sqref="L35"/>
    </sheetView>
  </sheetViews>
  <sheetFormatPr defaultRowHeight="15" x14ac:dyDescent="0.25"/>
  <cols>
    <col min="1" max="1" width="9.28515625" customWidth="1"/>
    <col min="2" max="21" width="6.140625" style="99" customWidth="1"/>
    <col min="22" max="22" width="6.140625" customWidth="1"/>
  </cols>
  <sheetData>
    <row r="1" spans="1:22" ht="24" x14ac:dyDescent="0.4">
      <c r="A1" s="313" t="s">
        <v>172</v>
      </c>
      <c r="B1" s="313"/>
      <c r="C1" s="313"/>
      <c r="D1" s="313"/>
      <c r="E1" s="313"/>
      <c r="F1" s="313"/>
      <c r="G1" s="313"/>
      <c r="H1" s="313"/>
      <c r="I1" s="313"/>
      <c r="J1" s="313"/>
      <c r="K1" s="313"/>
      <c r="L1" s="313"/>
      <c r="M1" s="313"/>
      <c r="N1" s="313"/>
      <c r="O1" s="313"/>
      <c r="P1" s="313"/>
      <c r="Q1" s="313"/>
      <c r="R1" s="313"/>
      <c r="S1" s="313"/>
      <c r="T1" s="313"/>
      <c r="U1" s="313"/>
      <c r="V1" s="313"/>
    </row>
    <row r="2" spans="1:22" ht="14.25" customHeight="1" x14ac:dyDescent="0.25">
      <c r="B2" s="122" t="s">
        <v>173</v>
      </c>
      <c r="C2" s="330" t="s">
        <v>90</v>
      </c>
      <c r="D2" s="330"/>
      <c r="E2" s="330"/>
      <c r="F2" s="330"/>
      <c r="G2" s="330"/>
      <c r="H2" s="330"/>
      <c r="I2" s="330"/>
      <c r="J2" s="330"/>
      <c r="K2" s="330"/>
    </row>
    <row r="3" spans="1:22" ht="14.25" customHeight="1" x14ac:dyDescent="0.25">
      <c r="B3" s="122" t="s">
        <v>191</v>
      </c>
      <c r="C3" s="322" t="s">
        <v>324</v>
      </c>
      <c r="D3" s="322"/>
      <c r="E3" s="322"/>
      <c r="G3" s="308" t="s">
        <v>176</v>
      </c>
      <c r="H3" s="308"/>
      <c r="I3" s="330" t="s">
        <v>194</v>
      </c>
      <c r="J3" s="330"/>
    </row>
    <row r="4" spans="1:22" ht="14.25" customHeight="1" x14ac:dyDescent="0.25">
      <c r="B4" s="122" t="s">
        <v>180</v>
      </c>
      <c r="C4" s="331">
        <f ca="1">NOW()</f>
        <v>46168.387202314814</v>
      </c>
      <c r="D4" s="331"/>
      <c r="E4" s="331"/>
      <c r="F4" s="331"/>
      <c r="G4" s="331"/>
      <c r="H4" s="331"/>
    </row>
    <row r="5" spans="1:22" ht="14.25" customHeight="1" thickBot="1" x14ac:dyDescent="0.3"/>
    <row r="6" spans="1:22" s="99" customFormat="1" ht="14.25" customHeight="1" thickBot="1" x14ac:dyDescent="0.3">
      <c r="B6" s="326" t="s">
        <v>182</v>
      </c>
      <c r="C6" s="327"/>
      <c r="D6" s="327"/>
      <c r="E6" s="327"/>
      <c r="F6" s="327"/>
      <c r="G6" s="328"/>
      <c r="H6" s="326" t="s">
        <v>183</v>
      </c>
      <c r="I6" s="327"/>
      <c r="J6" s="327"/>
      <c r="K6" s="327"/>
      <c r="L6" s="328"/>
      <c r="M6" s="326" t="s">
        <v>184</v>
      </c>
      <c r="N6" s="327"/>
      <c r="O6" s="327"/>
      <c r="P6" s="327"/>
      <c r="Q6" s="328"/>
      <c r="R6" s="329" t="s">
        <v>185</v>
      </c>
      <c r="S6" s="327"/>
      <c r="T6" s="327"/>
      <c r="U6" s="327"/>
      <c r="V6" s="328"/>
    </row>
    <row r="7" spans="1:22" s="99" customFormat="1" ht="14.25" customHeight="1" thickBot="1" x14ac:dyDescent="0.3">
      <c r="A7" s="139" t="s">
        <v>53</v>
      </c>
      <c r="B7" s="140" t="s">
        <v>168</v>
      </c>
      <c r="C7" s="141">
        <v>4</v>
      </c>
      <c r="D7" s="141">
        <v>3</v>
      </c>
      <c r="E7" s="141">
        <v>2</v>
      </c>
      <c r="F7" s="141">
        <v>1</v>
      </c>
      <c r="G7" s="141" t="s">
        <v>171</v>
      </c>
      <c r="H7" s="141">
        <v>4</v>
      </c>
      <c r="I7" s="141">
        <v>3</v>
      </c>
      <c r="J7" s="141">
        <v>2</v>
      </c>
      <c r="K7" s="141">
        <v>1</v>
      </c>
      <c r="L7" s="141" t="s">
        <v>171</v>
      </c>
      <c r="M7" s="141">
        <v>4</v>
      </c>
      <c r="N7" s="141">
        <v>3</v>
      </c>
      <c r="O7" s="141">
        <v>2</v>
      </c>
      <c r="P7" s="141">
        <v>1</v>
      </c>
      <c r="Q7" s="141" t="s">
        <v>171</v>
      </c>
      <c r="R7" s="141">
        <v>4</v>
      </c>
      <c r="S7" s="141">
        <v>3</v>
      </c>
      <c r="T7" s="141">
        <v>2</v>
      </c>
      <c r="U7" s="141">
        <v>1</v>
      </c>
      <c r="V7" s="141" t="s">
        <v>171</v>
      </c>
    </row>
    <row r="8" spans="1:22" s="99" customFormat="1" ht="14.25" customHeight="1" x14ac:dyDescent="0.25">
      <c r="A8" s="142" t="s">
        <v>104</v>
      </c>
      <c r="B8" s="57" cm="1">
        <f t="array" aca="1" ref="B8" ca="1">SUM(COUNTIFS(INDIRECT("YES_Writing_"&amp;IF($I$3="Combined",{"ELA","FLA"},VLOOKUP($I$3,'Writing Logic'!$J$2:$K$4,2,FALSE))&amp;"["&amp;VLOOKUP(B$6,'Writing Logic'!$J$7:$K$11,2,FALSE)&amp;" - Per "&amp;VLOOKUP($C$3,'Writing Logic'!$G$8:$H$14,2,FALSE)&amp;"]"),"="&amp;B$7,INDIRECT("YES_Writing_"&amp;IF($I$3="Combined",{"ELA","FLA"},VLOOKUP($I$3,'Writing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C8" s="58" cm="1">
        <f t="array" aca="1" ref="C8" ca="1">SUM(COUNTIFS(INDIRECT("YES_Writing_"&amp;IF($I$3="Combined",{"ELA","FLA"},VLOOKUP($I$3,'Writing Logic'!$J$2:$K$4,2,FALSE))&amp;"["&amp;VLOOKUP(B$6,'Writing Logic'!$J$7:$K$11,2,FALSE)&amp;" - Per "&amp;VLOOKUP($C$3,'Writing Logic'!$G$8:$H$14,2,FALSE)&amp;"]"),"="&amp;C$7,INDIRECT("YES_Writing_"&amp;IF($I$3="Combined",{"ELA","FLA"},VLOOKUP($I$3,'Writing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D8" s="58" cm="1">
        <f t="array" aca="1" ref="D8" ca="1">SUM(COUNTIFS(INDIRECT("YES_Writing_"&amp;IF($I$3="Combined",{"ELA","FLA"},VLOOKUP($I$3,'Writing Logic'!$J$2:$K$4,2,FALSE))&amp;"["&amp;VLOOKUP(B$6,'Writing Logic'!$J$7:$K$11,2,FALSE)&amp;" - Per "&amp;VLOOKUP($C$3,'Writing Logic'!$G$8:$H$14,2,FALSE)&amp;"]"),"="&amp;D$7,INDIRECT("YES_Writing_"&amp;IF($I$3="Combined",{"ELA","FLA"},VLOOKUP($I$3,'Writing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E8" s="58" cm="1">
        <f t="array" aca="1" ref="E8" ca="1">SUM(COUNTIFS(INDIRECT("YES_Writing_"&amp;IF($I$3="Combined",{"ELA","FLA"},VLOOKUP($I$3,'Writing Logic'!$J$2:$K$4,2,FALSE))&amp;"["&amp;VLOOKUP(B$6,'Writing Logic'!$J$7:$K$11,2,FALSE)&amp;" - Per "&amp;VLOOKUP($C$3,'Writing Logic'!$G$8:$H$14,2,FALSE)&amp;"]"),"="&amp;E$7,INDIRECT("YES_Writing_"&amp;IF($I$3="Combined",{"ELA","FLA"},VLOOKUP($I$3,'Writing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F8" s="58" cm="1">
        <f t="array" aca="1" ref="F8" ca="1">SUM(COUNTIFS(INDIRECT("YES_Writing_"&amp;IF($I$3="Combined",{"ELA","FLA"},VLOOKUP($I$3,'Writing Logic'!$J$2:$K$4,2,FALSE))&amp;"["&amp;VLOOKUP(B$6,'Writing Logic'!$J$7:$K$11,2,FALSE)&amp;" - Per "&amp;VLOOKUP($C$3,'Writing Logic'!$G$8:$H$14,2,FALSE)&amp;"]"),"="&amp;F$7,INDIRECT("YES_Writing_"&amp;IF($I$3="Combined",{"ELA","FLA"},VLOOKUP($I$3,'Writing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G8" s="143" cm="1">
        <f t="array" aca="1" ref="G8" ca="1">SUM(COUNTIFS(INDIRECT("YES_Writing_"&amp;IF($I$3="Combined",{"ELA","FLA"},VLOOKUP($I$3,'Writing Logic'!$J$2:$K$4,2,FALSE))&amp;"["&amp;VLOOKUP(B$6,'Writing Logic'!$J$7:$K$11,2,FALSE)&amp;" - Per "&amp;VLOOKUP($C$3,'Writing Logic'!$G$8:$H$14,2,FALSE)&amp;"]"),"="&amp;G$7,INDIRECT("YES_Writing_"&amp;IF($I$3="Combined",{"ELA","FLA"},VLOOKUP($I$3,'Writing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H8" s="57" cm="1">
        <f t="array" aca="1" ref="H8" ca="1">SUM(COUNTIFS(INDIRECT("YES_Writing_"&amp;IF($I$3="Combined",{"ELA","FLA"},VLOOKUP($I$3,'Writing Logic'!$J$2:$K$4,2,FALSE))&amp;"["&amp;VLOOKUP(H$6,'Writing Logic'!$J$7:$K$11,2,FALSE)&amp;" - Per "&amp;VLOOKUP($C$3,'Writing Logic'!$G$8:$H$14,2,FALSE)&amp;"]"),"="&amp;H$7,INDIRECT("YES_Writing_"&amp;IF($I$3="Combined",{"ELA","FLA"},VLOOKUP($I$3,'Writing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I8" s="58" cm="1">
        <f t="array" aca="1" ref="I8" ca="1">SUM(COUNTIFS(INDIRECT("YES_Writing_"&amp;IF($I$3="Combined",{"ELA","FLA"},VLOOKUP($I$3,'Writing Logic'!$J$2:$K$4,2,FALSE))&amp;"["&amp;VLOOKUP(H$6,'Writing Logic'!$J$7:$K$11,2,FALSE)&amp;" - Per "&amp;VLOOKUP($C$3,'Writing Logic'!$G$8:$H$14,2,FALSE)&amp;"]"),"="&amp;I$7,INDIRECT("YES_Writing_"&amp;IF($I$3="Combined",{"ELA","FLA"},VLOOKUP($I$3,'Writing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J8" s="58" cm="1">
        <f t="array" aca="1" ref="J8" ca="1">SUM(COUNTIFS(INDIRECT("YES_Writing_"&amp;IF($I$3="Combined",{"ELA","FLA"},VLOOKUP($I$3,'Writing Logic'!$J$2:$K$4,2,FALSE))&amp;"["&amp;VLOOKUP(H$6,'Writing Logic'!$J$7:$K$11,2,FALSE)&amp;" - Per "&amp;VLOOKUP($C$3,'Writing Logic'!$G$8:$H$14,2,FALSE)&amp;"]"),"="&amp;J$7,INDIRECT("YES_Writing_"&amp;IF($I$3="Combined",{"ELA","FLA"},VLOOKUP($I$3,'Writing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K8" s="58" cm="1">
        <f t="array" aca="1" ref="K8" ca="1">SUM(COUNTIFS(INDIRECT("YES_Writing_"&amp;IF($I$3="Combined",{"ELA","FLA"},VLOOKUP($I$3,'Writing Logic'!$J$2:$K$4,2,FALSE))&amp;"["&amp;VLOOKUP(H$6,'Writing Logic'!$J$7:$K$11,2,FALSE)&amp;" - Per "&amp;VLOOKUP($C$3,'Writing Logic'!$G$8:$H$14,2,FALSE)&amp;"]"),"="&amp;K$7,INDIRECT("YES_Writing_"&amp;IF($I$3="Combined",{"ELA","FLA"},VLOOKUP($I$3,'Writing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L8" s="143" cm="1">
        <f t="array" aca="1" ref="L8" ca="1">SUM(COUNTIFS(INDIRECT("YES_Writing_"&amp;IF($I$3="Combined",{"ELA","FLA"},VLOOKUP($I$3,'Writing Logic'!$J$2:$K$4,2,FALSE))&amp;"["&amp;VLOOKUP(H$6,'Writing Logic'!$J$7:$K$11,2,FALSE)&amp;" - Per "&amp;VLOOKUP($C$3,'Writing Logic'!$G$8:$H$14,2,FALSE)&amp;"]"),"="&amp;L$7,INDIRECT("YES_Writing_"&amp;IF($I$3="Combined",{"ELA","FLA"},VLOOKUP($I$3,'Writing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M8" s="57" cm="1">
        <f t="array" aca="1" ref="M8" ca="1">SUM(COUNTIFS(INDIRECT("YES_Writing_"&amp;IF($I$3="Combined",{"ELA","FLA"},VLOOKUP($I$3,'Writing Logic'!$J$2:$K$4,2,FALSE))&amp;"["&amp;VLOOKUP(M$6,'Writing Logic'!$J$7:$K$11,2,FALSE)&amp;" - Per "&amp;VLOOKUP($C$3,'Writing Logic'!$G$8:$H$14,2,FALSE)&amp;"]"),"="&amp;M$7,INDIRECT("YES_Writing_"&amp;IF($I$3="Combined",{"ELA","FLA"},VLOOKUP($I$3,'Writing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N8" s="58" cm="1">
        <f t="array" aca="1" ref="N8" ca="1">SUM(COUNTIFS(INDIRECT("YES_Writing_"&amp;IF($I$3="Combined",{"ELA","FLA"},VLOOKUP($I$3,'Writing Logic'!$J$2:$K$4,2,FALSE))&amp;"["&amp;VLOOKUP(M$6,'Writing Logic'!$J$7:$K$11,2,FALSE)&amp;" - Per "&amp;VLOOKUP($C$3,'Writing Logic'!$G$8:$H$14,2,FALSE)&amp;"]"),"="&amp;N$7,INDIRECT("YES_Writing_"&amp;IF($I$3="Combined",{"ELA","FLA"},VLOOKUP($I$3,'Writing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O8" s="58" cm="1">
        <f t="array" aca="1" ref="O8" ca="1">SUM(COUNTIFS(INDIRECT("YES_Writing_"&amp;IF($I$3="Combined",{"ELA","FLA"},VLOOKUP($I$3,'Writing Logic'!$J$2:$K$4,2,FALSE))&amp;"["&amp;VLOOKUP(M$6,'Writing Logic'!$J$7:$K$11,2,FALSE)&amp;" - Per "&amp;VLOOKUP($C$3,'Writing Logic'!$G$8:$H$14,2,FALSE)&amp;"]"),"="&amp;O$7,INDIRECT("YES_Writing_"&amp;IF($I$3="Combined",{"ELA","FLA"},VLOOKUP($I$3,'Writing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P8" s="58" cm="1">
        <f t="array" aca="1" ref="P8" ca="1">SUM(COUNTIFS(INDIRECT("YES_Writing_"&amp;IF($I$3="Combined",{"ELA","FLA"},VLOOKUP($I$3,'Writing Logic'!$J$2:$K$4,2,FALSE))&amp;"["&amp;VLOOKUP(M$6,'Writing Logic'!$J$7:$K$11,2,FALSE)&amp;" - Per "&amp;VLOOKUP($C$3,'Writing Logic'!$G$8:$H$14,2,FALSE)&amp;"]"),"="&amp;P$7,INDIRECT("YES_Writing_"&amp;IF($I$3="Combined",{"ELA","FLA"},VLOOKUP($I$3,'Writing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Q8" s="143" cm="1">
        <f t="array" aca="1" ref="Q8" ca="1">SUM(COUNTIFS(INDIRECT("YES_Writing_"&amp;IF($I$3="Combined",{"ELA","FLA"},VLOOKUP($I$3,'Writing Logic'!$J$2:$K$4,2,FALSE))&amp;"["&amp;VLOOKUP(M$6,'Writing Logic'!$J$7:$K$11,2,FALSE)&amp;" - Per "&amp;VLOOKUP($C$3,'Writing Logic'!$G$8:$H$14,2,FALSE)&amp;"]"),"="&amp;Q$7,INDIRECT("YES_Writing_"&amp;IF($I$3="Combined",{"ELA","FLA"},VLOOKUP($I$3,'Writing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R8" s="144" cm="1">
        <f t="array" aca="1" ref="R8" ca="1">SUM(COUNTIFS(INDIRECT("YES_Writing_"&amp;IF($I$3="Combined",{"ELA","FLA"},VLOOKUP($I$3,'Writing Logic'!$J$2:$K$4,2,FALSE))&amp;"["&amp;VLOOKUP(R$6,'Writing Logic'!$J$7:$K$11,2,FALSE)&amp;" - Per "&amp;VLOOKUP($C$3,'Writing Logic'!$G$8:$H$14,2,FALSE)&amp;"]"),"="&amp;R$7,INDIRECT("YES_Writing_"&amp;IF($I$3="Combined",{"ELA","FLA"},VLOOKUP($I$3,'Writing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S8" s="58" cm="1">
        <f t="array" aca="1" ref="S8" ca="1">SUM(COUNTIFS(INDIRECT("YES_Writing_"&amp;IF($I$3="Combined",{"ELA","FLA"},VLOOKUP($I$3,'Writing Logic'!$J$2:$K$4,2,FALSE))&amp;"["&amp;VLOOKUP(R$6,'Writing Logic'!$J$7:$K$11,2,FALSE)&amp;" - Per "&amp;VLOOKUP($C$3,'Writing Logic'!$G$8:$H$14,2,FALSE)&amp;"]"),"="&amp;S$7,INDIRECT("YES_Writing_"&amp;IF($I$3="Combined",{"ELA","FLA"},VLOOKUP($I$3,'Writing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T8" s="58" cm="1">
        <f t="array" aca="1" ref="T8" ca="1">SUM(COUNTIFS(INDIRECT("YES_Writing_"&amp;IF($I$3="Combined",{"ELA","FLA"},VLOOKUP($I$3,'Writing Logic'!$J$2:$K$4,2,FALSE))&amp;"["&amp;VLOOKUP(R$6,'Writing Logic'!$J$7:$K$11,2,FALSE)&amp;" - Per "&amp;VLOOKUP($C$3,'Writing Logic'!$G$8:$H$14,2,FALSE)&amp;"]"),"="&amp;T$7,INDIRECT("YES_Writing_"&amp;IF($I$3="Combined",{"ELA","FLA"},VLOOKUP($I$3,'Writing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U8" s="58" cm="1">
        <f t="array" aca="1" ref="U8" ca="1">SUM(COUNTIFS(INDIRECT("YES_Writing_"&amp;IF($I$3="Combined",{"ELA","FLA"},VLOOKUP($I$3,'Writing Logic'!$J$2:$K$4,2,FALSE))&amp;"["&amp;VLOOKUP(R$6,'Writing Logic'!$J$7:$K$11,2,FALSE)&amp;" - Per "&amp;VLOOKUP($C$3,'Writing Logic'!$G$8:$H$14,2,FALSE)&amp;"]"),"="&amp;U$7,INDIRECT("YES_Writing_"&amp;IF($I$3="Combined",{"ELA","FLA"},VLOOKUP($I$3,'Writing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c r="V8" s="143" cm="1">
        <f t="array" aca="1" ref="V8" ca="1">SUM(COUNTIFS(INDIRECT("YES_Writing_"&amp;IF($I$3="Combined",{"ELA","FLA"},VLOOKUP($I$3,'Writing Logic'!$J$2:$K$4,2,FALSE))&amp;"["&amp;VLOOKUP(R$6,'Writing Logic'!$J$7:$K$11,2,FALSE)&amp;" - Per "&amp;VLOOKUP($C$3,'Writing Logic'!$G$8:$H$14,2,FALSE)&amp;"]"),"="&amp;V$7,INDIRECT("YES_Writing_"&amp;IF($I$3="Combined",{"ELA","FLA"},VLOOKUP($I$3,'Writing Logic'!$J$2:$K$4,2,FALSE))&amp;"[Grade]"),$A8,INDIRECT("YES_Writing_"&amp;IF($I$3="Combined",{"ELA","FLA"},VLOOKUP($I$3,'Writing Logic'!$J$2:$K$4,2,FALSE))&amp;"[Literacy IPP]"),"&lt;&gt;Yes",INDIRECT("YES_Writing_"&amp;IF($I$3="Combined",{"ELA","FLA"},VLOOKUP($I$3,'Writing Logic'!$J$2:$K$4,2,FALSE))&amp;"[School]"),IF($C$2="TCRCE","*",$C$2)))</f>
        <v>0</v>
      </c>
    </row>
    <row r="9" spans="1:22" s="99" customFormat="1" ht="14.25" customHeight="1" x14ac:dyDescent="0.25">
      <c r="A9" s="145">
        <v>1</v>
      </c>
      <c r="B9" s="52" cm="1">
        <f t="array" aca="1" ref="B9" ca="1">SUM(COUNTIFS(INDIRECT("YES_Writing_"&amp;IF($I$3="Combined",{"ELA","FLA"},VLOOKUP($I$3,'Writing Logic'!$J$2:$K$4,2,FALSE))&amp;"["&amp;VLOOKUP(B$6,'Writing Logic'!$J$7:$K$11,2,FALSE)&amp;" - Per "&amp;VLOOKUP($C$3,'Writing Logic'!$G$8:$H$14,2,FALSE)&amp;"]"),"="&amp;B$7,INDIRECT("YES_Writing_"&amp;IF($I$3="Combined",{"ELA","FLA"},VLOOKUP($I$3,'Writing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C9" s="49" cm="1">
        <f t="array" aca="1" ref="C9" ca="1">SUM(COUNTIFS(INDIRECT("YES_Writing_"&amp;IF($I$3="Combined",{"ELA","FLA"},VLOOKUP($I$3,'Writing Logic'!$J$2:$K$4,2,FALSE))&amp;"["&amp;VLOOKUP(B$6,'Writing Logic'!$J$7:$K$11,2,FALSE)&amp;" - Per "&amp;VLOOKUP($C$3,'Writing Logic'!$G$8:$H$14,2,FALSE)&amp;"]"),"="&amp;C$7,INDIRECT("YES_Writing_"&amp;IF($I$3="Combined",{"ELA","FLA"},VLOOKUP($I$3,'Writing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D9" s="49" cm="1">
        <f t="array" aca="1" ref="D9" ca="1">SUM(COUNTIFS(INDIRECT("YES_Writing_"&amp;IF($I$3="Combined",{"ELA","FLA"},VLOOKUP($I$3,'Writing Logic'!$J$2:$K$4,2,FALSE))&amp;"["&amp;VLOOKUP(B$6,'Writing Logic'!$J$7:$K$11,2,FALSE)&amp;" - Per "&amp;VLOOKUP($C$3,'Writing Logic'!$G$8:$H$14,2,FALSE)&amp;"]"),"="&amp;D$7,INDIRECT("YES_Writing_"&amp;IF($I$3="Combined",{"ELA","FLA"},VLOOKUP($I$3,'Writing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E9" s="49" cm="1">
        <f t="array" aca="1" ref="E9" ca="1">SUM(COUNTIFS(INDIRECT("YES_Writing_"&amp;IF($I$3="Combined",{"ELA","FLA"},VLOOKUP($I$3,'Writing Logic'!$J$2:$K$4,2,FALSE))&amp;"["&amp;VLOOKUP(B$6,'Writing Logic'!$J$7:$K$11,2,FALSE)&amp;" - Per "&amp;VLOOKUP($C$3,'Writing Logic'!$G$8:$H$14,2,FALSE)&amp;"]"),"="&amp;E$7,INDIRECT("YES_Writing_"&amp;IF($I$3="Combined",{"ELA","FLA"},VLOOKUP($I$3,'Writing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F9" s="49" cm="1">
        <f t="array" aca="1" ref="F9" ca="1">SUM(COUNTIFS(INDIRECT("YES_Writing_"&amp;IF($I$3="Combined",{"ELA","FLA"},VLOOKUP($I$3,'Writing Logic'!$J$2:$K$4,2,FALSE))&amp;"["&amp;VLOOKUP(B$6,'Writing Logic'!$J$7:$K$11,2,FALSE)&amp;" - Per "&amp;VLOOKUP($C$3,'Writing Logic'!$G$8:$H$14,2,FALSE)&amp;"]"),"="&amp;F$7,INDIRECT("YES_Writing_"&amp;IF($I$3="Combined",{"ELA","FLA"},VLOOKUP($I$3,'Writing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G9" s="146" cm="1">
        <f t="array" aca="1" ref="G9" ca="1">SUM(COUNTIFS(INDIRECT("YES_Writing_"&amp;IF($I$3="Combined",{"ELA","FLA"},VLOOKUP($I$3,'Writing Logic'!$J$2:$K$4,2,FALSE))&amp;"["&amp;VLOOKUP(B$6,'Writing Logic'!$J$7:$K$11,2,FALSE)&amp;" - Per "&amp;VLOOKUP($C$3,'Writing Logic'!$G$8:$H$14,2,FALSE)&amp;"]"),"="&amp;G$7,INDIRECT("YES_Writing_"&amp;IF($I$3="Combined",{"ELA","FLA"},VLOOKUP($I$3,'Writing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H9" s="52" cm="1">
        <f t="array" aca="1" ref="H9" ca="1">SUM(COUNTIFS(INDIRECT("YES_Writing_"&amp;IF($I$3="Combined",{"ELA","FLA"},VLOOKUP($I$3,'Writing Logic'!$J$2:$K$4,2,FALSE))&amp;"["&amp;VLOOKUP(H$6,'Writing Logic'!$J$7:$K$11,2,FALSE)&amp;" - Per "&amp;VLOOKUP($C$3,'Writing Logic'!$G$8:$H$14,2,FALSE)&amp;"]"),"="&amp;H$7,INDIRECT("YES_Writing_"&amp;IF($I$3="Combined",{"ELA","FLA"},VLOOKUP($I$3,'Writing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I9" s="49" cm="1">
        <f t="array" aca="1" ref="I9" ca="1">SUM(COUNTIFS(INDIRECT("YES_Writing_"&amp;IF($I$3="Combined",{"ELA","FLA"},VLOOKUP($I$3,'Writing Logic'!$J$2:$K$4,2,FALSE))&amp;"["&amp;VLOOKUP(H$6,'Writing Logic'!$J$7:$K$11,2,FALSE)&amp;" - Per "&amp;VLOOKUP($C$3,'Writing Logic'!$G$8:$H$14,2,FALSE)&amp;"]"),"="&amp;I$7,INDIRECT("YES_Writing_"&amp;IF($I$3="Combined",{"ELA","FLA"},VLOOKUP($I$3,'Writing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J9" s="49" cm="1">
        <f t="array" aca="1" ref="J9" ca="1">SUM(COUNTIFS(INDIRECT("YES_Writing_"&amp;IF($I$3="Combined",{"ELA","FLA"},VLOOKUP($I$3,'Writing Logic'!$J$2:$K$4,2,FALSE))&amp;"["&amp;VLOOKUP(H$6,'Writing Logic'!$J$7:$K$11,2,FALSE)&amp;" - Per "&amp;VLOOKUP($C$3,'Writing Logic'!$G$8:$H$14,2,FALSE)&amp;"]"),"="&amp;J$7,INDIRECT("YES_Writing_"&amp;IF($I$3="Combined",{"ELA","FLA"},VLOOKUP($I$3,'Writing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K9" s="49" cm="1">
        <f t="array" aca="1" ref="K9" ca="1">SUM(COUNTIFS(INDIRECT("YES_Writing_"&amp;IF($I$3="Combined",{"ELA","FLA"},VLOOKUP($I$3,'Writing Logic'!$J$2:$K$4,2,FALSE))&amp;"["&amp;VLOOKUP(H$6,'Writing Logic'!$J$7:$K$11,2,FALSE)&amp;" - Per "&amp;VLOOKUP($C$3,'Writing Logic'!$G$8:$H$14,2,FALSE)&amp;"]"),"="&amp;K$7,INDIRECT("YES_Writing_"&amp;IF($I$3="Combined",{"ELA","FLA"},VLOOKUP($I$3,'Writing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L9" s="146" cm="1">
        <f t="array" aca="1" ref="L9" ca="1">SUM(COUNTIFS(INDIRECT("YES_Writing_"&amp;IF($I$3="Combined",{"ELA","FLA"},VLOOKUP($I$3,'Writing Logic'!$J$2:$K$4,2,FALSE))&amp;"["&amp;VLOOKUP(H$6,'Writing Logic'!$J$7:$K$11,2,FALSE)&amp;" - Per "&amp;VLOOKUP($C$3,'Writing Logic'!$G$8:$H$14,2,FALSE)&amp;"]"),"="&amp;L$7,INDIRECT("YES_Writing_"&amp;IF($I$3="Combined",{"ELA","FLA"},VLOOKUP($I$3,'Writing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M9" s="52" cm="1">
        <f t="array" aca="1" ref="M9" ca="1">SUM(COUNTIFS(INDIRECT("YES_Writing_"&amp;IF($I$3="Combined",{"ELA","FLA"},VLOOKUP($I$3,'Writing Logic'!$J$2:$K$4,2,FALSE))&amp;"["&amp;VLOOKUP(M$6,'Writing Logic'!$J$7:$K$11,2,FALSE)&amp;" - Per "&amp;VLOOKUP($C$3,'Writing Logic'!$G$8:$H$14,2,FALSE)&amp;"]"),"="&amp;M$7,INDIRECT("YES_Writing_"&amp;IF($I$3="Combined",{"ELA","FLA"},VLOOKUP($I$3,'Writing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N9" s="49" cm="1">
        <f t="array" aca="1" ref="N9" ca="1">SUM(COUNTIFS(INDIRECT("YES_Writing_"&amp;IF($I$3="Combined",{"ELA","FLA"},VLOOKUP($I$3,'Writing Logic'!$J$2:$K$4,2,FALSE))&amp;"["&amp;VLOOKUP(M$6,'Writing Logic'!$J$7:$K$11,2,FALSE)&amp;" - Per "&amp;VLOOKUP($C$3,'Writing Logic'!$G$8:$H$14,2,FALSE)&amp;"]"),"="&amp;N$7,INDIRECT("YES_Writing_"&amp;IF($I$3="Combined",{"ELA","FLA"},VLOOKUP($I$3,'Writing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O9" s="49" cm="1">
        <f t="array" aca="1" ref="O9" ca="1">SUM(COUNTIFS(INDIRECT("YES_Writing_"&amp;IF($I$3="Combined",{"ELA","FLA"},VLOOKUP($I$3,'Writing Logic'!$J$2:$K$4,2,FALSE))&amp;"["&amp;VLOOKUP(M$6,'Writing Logic'!$J$7:$K$11,2,FALSE)&amp;" - Per "&amp;VLOOKUP($C$3,'Writing Logic'!$G$8:$H$14,2,FALSE)&amp;"]"),"="&amp;O$7,INDIRECT("YES_Writing_"&amp;IF($I$3="Combined",{"ELA","FLA"},VLOOKUP($I$3,'Writing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P9" s="49" cm="1">
        <f t="array" aca="1" ref="P9" ca="1">SUM(COUNTIFS(INDIRECT("YES_Writing_"&amp;IF($I$3="Combined",{"ELA","FLA"},VLOOKUP($I$3,'Writing Logic'!$J$2:$K$4,2,FALSE))&amp;"["&amp;VLOOKUP(M$6,'Writing Logic'!$J$7:$K$11,2,FALSE)&amp;" - Per "&amp;VLOOKUP($C$3,'Writing Logic'!$G$8:$H$14,2,FALSE)&amp;"]"),"="&amp;P$7,INDIRECT("YES_Writing_"&amp;IF($I$3="Combined",{"ELA","FLA"},VLOOKUP($I$3,'Writing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Q9" s="146" cm="1">
        <f t="array" aca="1" ref="Q9" ca="1">SUM(COUNTIFS(INDIRECT("YES_Writing_"&amp;IF($I$3="Combined",{"ELA","FLA"},VLOOKUP($I$3,'Writing Logic'!$J$2:$K$4,2,FALSE))&amp;"["&amp;VLOOKUP(M$6,'Writing Logic'!$J$7:$K$11,2,FALSE)&amp;" - Per "&amp;VLOOKUP($C$3,'Writing Logic'!$G$8:$H$14,2,FALSE)&amp;"]"),"="&amp;Q$7,INDIRECT("YES_Writing_"&amp;IF($I$3="Combined",{"ELA","FLA"},VLOOKUP($I$3,'Writing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R9" s="147" cm="1">
        <f t="array" aca="1" ref="R9" ca="1">SUM(COUNTIFS(INDIRECT("YES_Writing_"&amp;IF($I$3="Combined",{"ELA","FLA"},VLOOKUP($I$3,'Writing Logic'!$J$2:$K$4,2,FALSE))&amp;"["&amp;VLOOKUP(R$6,'Writing Logic'!$J$7:$K$11,2,FALSE)&amp;" - Per "&amp;VLOOKUP($C$3,'Writing Logic'!$G$8:$H$14,2,FALSE)&amp;"]"),"="&amp;R$7,INDIRECT("YES_Writing_"&amp;IF($I$3="Combined",{"ELA","FLA"},VLOOKUP($I$3,'Writing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S9" s="49" cm="1">
        <f t="array" aca="1" ref="S9" ca="1">SUM(COUNTIFS(INDIRECT("YES_Writing_"&amp;IF($I$3="Combined",{"ELA","FLA"},VLOOKUP($I$3,'Writing Logic'!$J$2:$K$4,2,FALSE))&amp;"["&amp;VLOOKUP(R$6,'Writing Logic'!$J$7:$K$11,2,FALSE)&amp;" - Per "&amp;VLOOKUP($C$3,'Writing Logic'!$G$8:$H$14,2,FALSE)&amp;"]"),"="&amp;S$7,INDIRECT("YES_Writing_"&amp;IF($I$3="Combined",{"ELA","FLA"},VLOOKUP($I$3,'Writing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T9" s="49" cm="1">
        <f t="array" aca="1" ref="T9" ca="1">SUM(COUNTIFS(INDIRECT("YES_Writing_"&amp;IF($I$3="Combined",{"ELA","FLA"},VLOOKUP($I$3,'Writing Logic'!$J$2:$K$4,2,FALSE))&amp;"["&amp;VLOOKUP(R$6,'Writing Logic'!$J$7:$K$11,2,FALSE)&amp;" - Per "&amp;VLOOKUP($C$3,'Writing Logic'!$G$8:$H$14,2,FALSE)&amp;"]"),"="&amp;T$7,INDIRECT("YES_Writing_"&amp;IF($I$3="Combined",{"ELA","FLA"},VLOOKUP($I$3,'Writing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U9" s="49" cm="1">
        <f t="array" aca="1" ref="U9" ca="1">SUM(COUNTIFS(INDIRECT("YES_Writing_"&amp;IF($I$3="Combined",{"ELA","FLA"},VLOOKUP($I$3,'Writing Logic'!$J$2:$K$4,2,FALSE))&amp;"["&amp;VLOOKUP(R$6,'Writing Logic'!$J$7:$K$11,2,FALSE)&amp;" - Per "&amp;VLOOKUP($C$3,'Writing Logic'!$G$8:$H$14,2,FALSE)&amp;"]"),"="&amp;U$7,INDIRECT("YES_Writing_"&amp;IF($I$3="Combined",{"ELA","FLA"},VLOOKUP($I$3,'Writing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c r="V9" s="146" cm="1">
        <f t="array" aca="1" ref="V9" ca="1">SUM(COUNTIFS(INDIRECT("YES_Writing_"&amp;IF($I$3="Combined",{"ELA","FLA"},VLOOKUP($I$3,'Writing Logic'!$J$2:$K$4,2,FALSE))&amp;"["&amp;VLOOKUP(R$6,'Writing Logic'!$J$7:$K$11,2,FALSE)&amp;" - Per "&amp;VLOOKUP($C$3,'Writing Logic'!$G$8:$H$14,2,FALSE)&amp;"]"),"="&amp;V$7,INDIRECT("YES_Writing_"&amp;IF($I$3="Combined",{"ELA","FLA"},VLOOKUP($I$3,'Writing Logic'!$J$2:$K$4,2,FALSE))&amp;"[Grade]"),$A9,INDIRECT("YES_Writing_"&amp;IF($I$3="Combined",{"ELA","FLA"},VLOOKUP($I$3,'Writing Logic'!$J$2:$K$4,2,FALSE))&amp;"[Literacy IPP]"),"&lt;&gt;Yes",INDIRECT("YES_Writing_"&amp;IF($I$3="Combined",{"ELA","FLA"},VLOOKUP($I$3,'Writing Logic'!$J$2:$K$4,2,FALSE))&amp;"[School]"),IF($C$2="TCRCE","*",$C$2)))</f>
        <v>0</v>
      </c>
    </row>
    <row r="10" spans="1:22" s="99" customFormat="1" ht="14.25" customHeight="1" x14ac:dyDescent="0.25">
      <c r="A10" s="145">
        <v>2</v>
      </c>
      <c r="B10" s="52" cm="1">
        <f t="array" aca="1" ref="B10" ca="1">SUM(COUNTIFS(INDIRECT("YES_Writing_"&amp;IF($I$3="Combined",{"ELA","FLA"},VLOOKUP($I$3,'Writing Logic'!$J$2:$K$4,2,FALSE))&amp;"["&amp;VLOOKUP(B$6,'Writing Logic'!$J$7:$K$11,2,FALSE)&amp;" - Per "&amp;VLOOKUP($C$3,'Writing Logic'!$G$8:$H$14,2,FALSE)&amp;"]"),"="&amp;B$7,INDIRECT("YES_Writing_"&amp;IF($I$3="Combined",{"ELA","FLA"},VLOOKUP($I$3,'Writing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C10" s="49" cm="1">
        <f t="array" aca="1" ref="C10" ca="1">SUM(COUNTIFS(INDIRECT("YES_Writing_"&amp;IF($I$3="Combined",{"ELA","FLA"},VLOOKUP($I$3,'Writing Logic'!$J$2:$K$4,2,FALSE))&amp;"["&amp;VLOOKUP(B$6,'Writing Logic'!$J$7:$K$11,2,FALSE)&amp;" - Per "&amp;VLOOKUP($C$3,'Writing Logic'!$G$8:$H$14,2,FALSE)&amp;"]"),"="&amp;C$7,INDIRECT("YES_Writing_"&amp;IF($I$3="Combined",{"ELA","FLA"},VLOOKUP($I$3,'Writing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D10" s="49" cm="1">
        <f t="array" aca="1" ref="D10" ca="1">SUM(COUNTIFS(INDIRECT("YES_Writing_"&amp;IF($I$3="Combined",{"ELA","FLA"},VLOOKUP($I$3,'Writing Logic'!$J$2:$K$4,2,FALSE))&amp;"["&amp;VLOOKUP(B$6,'Writing Logic'!$J$7:$K$11,2,FALSE)&amp;" - Per "&amp;VLOOKUP($C$3,'Writing Logic'!$G$8:$H$14,2,FALSE)&amp;"]"),"="&amp;D$7,INDIRECT("YES_Writing_"&amp;IF($I$3="Combined",{"ELA","FLA"},VLOOKUP($I$3,'Writing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E10" s="49" cm="1">
        <f t="array" aca="1" ref="E10" ca="1">SUM(COUNTIFS(INDIRECT("YES_Writing_"&amp;IF($I$3="Combined",{"ELA","FLA"},VLOOKUP($I$3,'Writing Logic'!$J$2:$K$4,2,FALSE))&amp;"["&amp;VLOOKUP(B$6,'Writing Logic'!$J$7:$K$11,2,FALSE)&amp;" - Per "&amp;VLOOKUP($C$3,'Writing Logic'!$G$8:$H$14,2,FALSE)&amp;"]"),"="&amp;E$7,INDIRECT("YES_Writing_"&amp;IF($I$3="Combined",{"ELA","FLA"},VLOOKUP($I$3,'Writing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F10" s="49" cm="1">
        <f t="array" aca="1" ref="F10" ca="1">SUM(COUNTIFS(INDIRECT("YES_Writing_"&amp;IF($I$3="Combined",{"ELA","FLA"},VLOOKUP($I$3,'Writing Logic'!$J$2:$K$4,2,FALSE))&amp;"["&amp;VLOOKUP(B$6,'Writing Logic'!$J$7:$K$11,2,FALSE)&amp;" - Per "&amp;VLOOKUP($C$3,'Writing Logic'!$G$8:$H$14,2,FALSE)&amp;"]"),"="&amp;F$7,INDIRECT("YES_Writing_"&amp;IF($I$3="Combined",{"ELA","FLA"},VLOOKUP($I$3,'Writing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G10" s="146" cm="1">
        <f t="array" aca="1" ref="G10" ca="1">SUM(COUNTIFS(INDIRECT("YES_Writing_"&amp;IF($I$3="Combined",{"ELA","FLA"},VLOOKUP($I$3,'Writing Logic'!$J$2:$K$4,2,FALSE))&amp;"["&amp;VLOOKUP(B$6,'Writing Logic'!$J$7:$K$11,2,FALSE)&amp;" - Per "&amp;VLOOKUP($C$3,'Writing Logic'!$G$8:$H$14,2,FALSE)&amp;"]"),"="&amp;G$7,INDIRECT("YES_Writing_"&amp;IF($I$3="Combined",{"ELA","FLA"},VLOOKUP($I$3,'Writing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H10" s="52" cm="1">
        <f t="array" aca="1" ref="H10" ca="1">SUM(COUNTIFS(INDIRECT("YES_Writing_"&amp;IF($I$3="Combined",{"ELA","FLA"},VLOOKUP($I$3,'Writing Logic'!$J$2:$K$4,2,FALSE))&amp;"["&amp;VLOOKUP(H$6,'Writing Logic'!$J$7:$K$11,2,FALSE)&amp;" - Per "&amp;VLOOKUP($C$3,'Writing Logic'!$G$8:$H$14,2,FALSE)&amp;"]"),"="&amp;H$7,INDIRECT("YES_Writing_"&amp;IF($I$3="Combined",{"ELA","FLA"},VLOOKUP($I$3,'Writing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I10" s="49" cm="1">
        <f t="array" aca="1" ref="I10" ca="1">SUM(COUNTIFS(INDIRECT("YES_Writing_"&amp;IF($I$3="Combined",{"ELA","FLA"},VLOOKUP($I$3,'Writing Logic'!$J$2:$K$4,2,FALSE))&amp;"["&amp;VLOOKUP(H$6,'Writing Logic'!$J$7:$K$11,2,FALSE)&amp;" - Per "&amp;VLOOKUP($C$3,'Writing Logic'!$G$8:$H$14,2,FALSE)&amp;"]"),"="&amp;I$7,INDIRECT("YES_Writing_"&amp;IF($I$3="Combined",{"ELA","FLA"},VLOOKUP($I$3,'Writing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J10" s="49" cm="1">
        <f t="array" aca="1" ref="J10" ca="1">SUM(COUNTIFS(INDIRECT("YES_Writing_"&amp;IF($I$3="Combined",{"ELA","FLA"},VLOOKUP($I$3,'Writing Logic'!$J$2:$K$4,2,FALSE))&amp;"["&amp;VLOOKUP(H$6,'Writing Logic'!$J$7:$K$11,2,FALSE)&amp;" - Per "&amp;VLOOKUP($C$3,'Writing Logic'!$G$8:$H$14,2,FALSE)&amp;"]"),"="&amp;J$7,INDIRECT("YES_Writing_"&amp;IF($I$3="Combined",{"ELA","FLA"},VLOOKUP($I$3,'Writing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K10" s="49" cm="1">
        <f t="array" aca="1" ref="K10" ca="1">SUM(COUNTIFS(INDIRECT("YES_Writing_"&amp;IF($I$3="Combined",{"ELA","FLA"},VLOOKUP($I$3,'Writing Logic'!$J$2:$K$4,2,FALSE))&amp;"["&amp;VLOOKUP(H$6,'Writing Logic'!$J$7:$K$11,2,FALSE)&amp;" - Per "&amp;VLOOKUP($C$3,'Writing Logic'!$G$8:$H$14,2,FALSE)&amp;"]"),"="&amp;K$7,INDIRECT("YES_Writing_"&amp;IF($I$3="Combined",{"ELA","FLA"},VLOOKUP($I$3,'Writing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L10" s="146" cm="1">
        <f t="array" aca="1" ref="L10" ca="1">SUM(COUNTIFS(INDIRECT("YES_Writing_"&amp;IF($I$3="Combined",{"ELA","FLA"},VLOOKUP($I$3,'Writing Logic'!$J$2:$K$4,2,FALSE))&amp;"["&amp;VLOOKUP(H$6,'Writing Logic'!$J$7:$K$11,2,FALSE)&amp;" - Per "&amp;VLOOKUP($C$3,'Writing Logic'!$G$8:$H$14,2,FALSE)&amp;"]"),"="&amp;L$7,INDIRECT("YES_Writing_"&amp;IF($I$3="Combined",{"ELA","FLA"},VLOOKUP($I$3,'Writing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M10" s="52" cm="1">
        <f t="array" aca="1" ref="M10" ca="1">SUM(COUNTIFS(INDIRECT("YES_Writing_"&amp;IF($I$3="Combined",{"ELA","FLA"},VLOOKUP($I$3,'Writing Logic'!$J$2:$K$4,2,FALSE))&amp;"["&amp;VLOOKUP(M$6,'Writing Logic'!$J$7:$K$11,2,FALSE)&amp;" - Per "&amp;VLOOKUP($C$3,'Writing Logic'!$G$8:$H$14,2,FALSE)&amp;"]"),"="&amp;M$7,INDIRECT("YES_Writing_"&amp;IF($I$3="Combined",{"ELA","FLA"},VLOOKUP($I$3,'Writing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N10" s="49" cm="1">
        <f t="array" aca="1" ref="N10" ca="1">SUM(COUNTIFS(INDIRECT("YES_Writing_"&amp;IF($I$3="Combined",{"ELA","FLA"},VLOOKUP($I$3,'Writing Logic'!$J$2:$K$4,2,FALSE))&amp;"["&amp;VLOOKUP(M$6,'Writing Logic'!$J$7:$K$11,2,FALSE)&amp;" - Per "&amp;VLOOKUP($C$3,'Writing Logic'!$G$8:$H$14,2,FALSE)&amp;"]"),"="&amp;N$7,INDIRECT("YES_Writing_"&amp;IF($I$3="Combined",{"ELA","FLA"},VLOOKUP($I$3,'Writing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O10" s="49" cm="1">
        <f t="array" aca="1" ref="O10" ca="1">SUM(COUNTIFS(INDIRECT("YES_Writing_"&amp;IF($I$3="Combined",{"ELA","FLA"},VLOOKUP($I$3,'Writing Logic'!$J$2:$K$4,2,FALSE))&amp;"["&amp;VLOOKUP(M$6,'Writing Logic'!$J$7:$K$11,2,FALSE)&amp;" - Per "&amp;VLOOKUP($C$3,'Writing Logic'!$G$8:$H$14,2,FALSE)&amp;"]"),"="&amp;O$7,INDIRECT("YES_Writing_"&amp;IF($I$3="Combined",{"ELA","FLA"},VLOOKUP($I$3,'Writing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P10" s="49" cm="1">
        <f t="array" aca="1" ref="P10" ca="1">SUM(COUNTIFS(INDIRECT("YES_Writing_"&amp;IF($I$3="Combined",{"ELA","FLA"},VLOOKUP($I$3,'Writing Logic'!$J$2:$K$4,2,FALSE))&amp;"["&amp;VLOOKUP(M$6,'Writing Logic'!$J$7:$K$11,2,FALSE)&amp;" - Per "&amp;VLOOKUP($C$3,'Writing Logic'!$G$8:$H$14,2,FALSE)&amp;"]"),"="&amp;P$7,INDIRECT("YES_Writing_"&amp;IF($I$3="Combined",{"ELA","FLA"},VLOOKUP($I$3,'Writing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Q10" s="146" cm="1">
        <f t="array" aca="1" ref="Q10" ca="1">SUM(COUNTIFS(INDIRECT("YES_Writing_"&amp;IF($I$3="Combined",{"ELA","FLA"},VLOOKUP($I$3,'Writing Logic'!$J$2:$K$4,2,FALSE))&amp;"["&amp;VLOOKUP(M$6,'Writing Logic'!$J$7:$K$11,2,FALSE)&amp;" - Per "&amp;VLOOKUP($C$3,'Writing Logic'!$G$8:$H$14,2,FALSE)&amp;"]"),"="&amp;Q$7,INDIRECT("YES_Writing_"&amp;IF($I$3="Combined",{"ELA","FLA"},VLOOKUP($I$3,'Writing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R10" s="147" cm="1">
        <f t="array" aca="1" ref="R10" ca="1">SUM(COUNTIFS(INDIRECT("YES_Writing_"&amp;IF($I$3="Combined",{"ELA","FLA"},VLOOKUP($I$3,'Writing Logic'!$J$2:$K$4,2,FALSE))&amp;"["&amp;VLOOKUP(R$6,'Writing Logic'!$J$7:$K$11,2,FALSE)&amp;" - Per "&amp;VLOOKUP($C$3,'Writing Logic'!$G$8:$H$14,2,FALSE)&amp;"]"),"="&amp;R$7,INDIRECT("YES_Writing_"&amp;IF($I$3="Combined",{"ELA","FLA"},VLOOKUP($I$3,'Writing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S10" s="49" cm="1">
        <f t="array" aca="1" ref="S10" ca="1">SUM(COUNTIFS(INDIRECT("YES_Writing_"&amp;IF($I$3="Combined",{"ELA","FLA"},VLOOKUP($I$3,'Writing Logic'!$J$2:$K$4,2,FALSE))&amp;"["&amp;VLOOKUP(R$6,'Writing Logic'!$J$7:$K$11,2,FALSE)&amp;" - Per "&amp;VLOOKUP($C$3,'Writing Logic'!$G$8:$H$14,2,FALSE)&amp;"]"),"="&amp;S$7,INDIRECT("YES_Writing_"&amp;IF($I$3="Combined",{"ELA","FLA"},VLOOKUP($I$3,'Writing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T10" s="49" cm="1">
        <f t="array" aca="1" ref="T10" ca="1">SUM(COUNTIFS(INDIRECT("YES_Writing_"&amp;IF($I$3="Combined",{"ELA","FLA"},VLOOKUP($I$3,'Writing Logic'!$J$2:$K$4,2,FALSE))&amp;"["&amp;VLOOKUP(R$6,'Writing Logic'!$J$7:$K$11,2,FALSE)&amp;" - Per "&amp;VLOOKUP($C$3,'Writing Logic'!$G$8:$H$14,2,FALSE)&amp;"]"),"="&amp;T$7,INDIRECT("YES_Writing_"&amp;IF($I$3="Combined",{"ELA","FLA"},VLOOKUP($I$3,'Writing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U10" s="49" cm="1">
        <f t="array" aca="1" ref="U10" ca="1">SUM(COUNTIFS(INDIRECT("YES_Writing_"&amp;IF($I$3="Combined",{"ELA","FLA"},VLOOKUP($I$3,'Writing Logic'!$J$2:$K$4,2,FALSE))&amp;"["&amp;VLOOKUP(R$6,'Writing Logic'!$J$7:$K$11,2,FALSE)&amp;" - Per "&amp;VLOOKUP($C$3,'Writing Logic'!$G$8:$H$14,2,FALSE)&amp;"]"),"="&amp;U$7,INDIRECT("YES_Writing_"&amp;IF($I$3="Combined",{"ELA","FLA"},VLOOKUP($I$3,'Writing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c r="V10" s="146" cm="1">
        <f t="array" aca="1" ref="V10" ca="1">SUM(COUNTIFS(INDIRECT("YES_Writing_"&amp;IF($I$3="Combined",{"ELA","FLA"},VLOOKUP($I$3,'Writing Logic'!$J$2:$K$4,2,FALSE))&amp;"["&amp;VLOOKUP(R$6,'Writing Logic'!$J$7:$K$11,2,FALSE)&amp;" - Per "&amp;VLOOKUP($C$3,'Writing Logic'!$G$8:$H$14,2,FALSE)&amp;"]"),"="&amp;V$7,INDIRECT("YES_Writing_"&amp;IF($I$3="Combined",{"ELA","FLA"},VLOOKUP($I$3,'Writing Logic'!$J$2:$K$4,2,FALSE))&amp;"[Grade]"),$A10,INDIRECT("YES_Writing_"&amp;IF($I$3="Combined",{"ELA","FLA"},VLOOKUP($I$3,'Writing Logic'!$J$2:$K$4,2,FALSE))&amp;"[Literacy IPP]"),"&lt;&gt;Yes",INDIRECT("YES_Writing_"&amp;IF($I$3="Combined",{"ELA","FLA"},VLOOKUP($I$3,'Writing Logic'!$J$2:$K$4,2,FALSE))&amp;"[School]"),IF($C$2="TCRCE","*",$C$2)))</f>
        <v>0</v>
      </c>
    </row>
    <row r="11" spans="1:22" s="99" customFormat="1" ht="14.25" customHeight="1" x14ac:dyDescent="0.25">
      <c r="A11" s="145">
        <v>3</v>
      </c>
      <c r="B11" s="52" cm="1">
        <f t="array" aca="1" ref="B11" ca="1">SUM(COUNTIFS(INDIRECT("YES_Writing_"&amp;IF($I$3="Combined",{"ELA","FLA"},VLOOKUP($I$3,'Writing Logic'!$J$2:$K$4,2,FALSE))&amp;"["&amp;VLOOKUP(B$6,'Writing Logic'!$J$7:$K$11,2,FALSE)&amp;" - Per "&amp;VLOOKUP($C$3,'Writing Logic'!$G$8:$H$14,2,FALSE)&amp;"]"),"="&amp;B$7,INDIRECT("YES_Writing_"&amp;IF($I$3="Combined",{"ELA","FLA"},VLOOKUP($I$3,'Writing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C11" s="49" cm="1">
        <f t="array" aca="1" ref="C11" ca="1">SUM(COUNTIFS(INDIRECT("YES_Writing_"&amp;IF($I$3="Combined",{"ELA","FLA"},VLOOKUP($I$3,'Writing Logic'!$J$2:$K$4,2,FALSE))&amp;"["&amp;VLOOKUP(B$6,'Writing Logic'!$J$7:$K$11,2,FALSE)&amp;" - Per "&amp;VLOOKUP($C$3,'Writing Logic'!$G$8:$H$14,2,FALSE)&amp;"]"),"="&amp;C$7,INDIRECT("YES_Writing_"&amp;IF($I$3="Combined",{"ELA","FLA"},VLOOKUP($I$3,'Writing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D11" s="49" cm="1">
        <f t="array" aca="1" ref="D11" ca="1">SUM(COUNTIFS(INDIRECT("YES_Writing_"&amp;IF($I$3="Combined",{"ELA","FLA"},VLOOKUP($I$3,'Writing Logic'!$J$2:$K$4,2,FALSE))&amp;"["&amp;VLOOKUP(B$6,'Writing Logic'!$J$7:$K$11,2,FALSE)&amp;" - Per "&amp;VLOOKUP($C$3,'Writing Logic'!$G$8:$H$14,2,FALSE)&amp;"]"),"="&amp;D$7,INDIRECT("YES_Writing_"&amp;IF($I$3="Combined",{"ELA","FLA"},VLOOKUP($I$3,'Writing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E11" s="49" cm="1">
        <f t="array" aca="1" ref="E11" ca="1">SUM(COUNTIFS(INDIRECT("YES_Writing_"&amp;IF($I$3="Combined",{"ELA","FLA"},VLOOKUP($I$3,'Writing Logic'!$J$2:$K$4,2,FALSE))&amp;"["&amp;VLOOKUP(B$6,'Writing Logic'!$J$7:$K$11,2,FALSE)&amp;" - Per "&amp;VLOOKUP($C$3,'Writing Logic'!$G$8:$H$14,2,FALSE)&amp;"]"),"="&amp;E$7,INDIRECT("YES_Writing_"&amp;IF($I$3="Combined",{"ELA","FLA"},VLOOKUP($I$3,'Writing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F11" s="49" cm="1">
        <f t="array" aca="1" ref="F11" ca="1">SUM(COUNTIFS(INDIRECT("YES_Writing_"&amp;IF($I$3="Combined",{"ELA","FLA"},VLOOKUP($I$3,'Writing Logic'!$J$2:$K$4,2,FALSE))&amp;"["&amp;VLOOKUP(B$6,'Writing Logic'!$J$7:$K$11,2,FALSE)&amp;" - Per "&amp;VLOOKUP($C$3,'Writing Logic'!$G$8:$H$14,2,FALSE)&amp;"]"),"="&amp;F$7,INDIRECT("YES_Writing_"&amp;IF($I$3="Combined",{"ELA","FLA"},VLOOKUP($I$3,'Writing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G11" s="146" cm="1">
        <f t="array" aca="1" ref="G11" ca="1">SUM(COUNTIFS(INDIRECT("YES_Writing_"&amp;IF($I$3="Combined",{"ELA","FLA"},VLOOKUP($I$3,'Writing Logic'!$J$2:$K$4,2,FALSE))&amp;"["&amp;VLOOKUP(B$6,'Writing Logic'!$J$7:$K$11,2,FALSE)&amp;" - Per "&amp;VLOOKUP($C$3,'Writing Logic'!$G$8:$H$14,2,FALSE)&amp;"]"),"="&amp;G$7,INDIRECT("YES_Writing_"&amp;IF($I$3="Combined",{"ELA","FLA"},VLOOKUP($I$3,'Writing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H11" s="52" cm="1">
        <f t="array" aca="1" ref="H11" ca="1">SUM(COUNTIFS(INDIRECT("YES_Writing_"&amp;IF($I$3="Combined",{"ELA","FLA"},VLOOKUP($I$3,'Writing Logic'!$J$2:$K$4,2,FALSE))&amp;"["&amp;VLOOKUP(H$6,'Writing Logic'!$J$7:$K$11,2,FALSE)&amp;" - Per "&amp;VLOOKUP($C$3,'Writing Logic'!$G$8:$H$14,2,FALSE)&amp;"]"),"="&amp;H$7,INDIRECT("YES_Writing_"&amp;IF($I$3="Combined",{"ELA","FLA"},VLOOKUP($I$3,'Writing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I11" s="49" cm="1">
        <f t="array" aca="1" ref="I11" ca="1">SUM(COUNTIFS(INDIRECT("YES_Writing_"&amp;IF($I$3="Combined",{"ELA","FLA"},VLOOKUP($I$3,'Writing Logic'!$J$2:$K$4,2,FALSE))&amp;"["&amp;VLOOKUP(H$6,'Writing Logic'!$J$7:$K$11,2,FALSE)&amp;" - Per "&amp;VLOOKUP($C$3,'Writing Logic'!$G$8:$H$14,2,FALSE)&amp;"]"),"="&amp;I$7,INDIRECT("YES_Writing_"&amp;IF($I$3="Combined",{"ELA","FLA"},VLOOKUP($I$3,'Writing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J11" s="49" cm="1">
        <f t="array" aca="1" ref="J11" ca="1">SUM(COUNTIFS(INDIRECT("YES_Writing_"&amp;IF($I$3="Combined",{"ELA","FLA"},VLOOKUP($I$3,'Writing Logic'!$J$2:$K$4,2,FALSE))&amp;"["&amp;VLOOKUP(H$6,'Writing Logic'!$J$7:$K$11,2,FALSE)&amp;" - Per "&amp;VLOOKUP($C$3,'Writing Logic'!$G$8:$H$14,2,FALSE)&amp;"]"),"="&amp;J$7,INDIRECT("YES_Writing_"&amp;IF($I$3="Combined",{"ELA","FLA"},VLOOKUP($I$3,'Writing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K11" s="49" cm="1">
        <f t="array" aca="1" ref="K11" ca="1">SUM(COUNTIFS(INDIRECT("YES_Writing_"&amp;IF($I$3="Combined",{"ELA","FLA"},VLOOKUP($I$3,'Writing Logic'!$J$2:$K$4,2,FALSE))&amp;"["&amp;VLOOKUP(H$6,'Writing Logic'!$J$7:$K$11,2,FALSE)&amp;" - Per "&amp;VLOOKUP($C$3,'Writing Logic'!$G$8:$H$14,2,FALSE)&amp;"]"),"="&amp;K$7,INDIRECT("YES_Writing_"&amp;IF($I$3="Combined",{"ELA","FLA"},VLOOKUP($I$3,'Writing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L11" s="146" cm="1">
        <f t="array" aca="1" ref="L11" ca="1">SUM(COUNTIFS(INDIRECT("YES_Writing_"&amp;IF($I$3="Combined",{"ELA","FLA"},VLOOKUP($I$3,'Writing Logic'!$J$2:$K$4,2,FALSE))&amp;"["&amp;VLOOKUP(H$6,'Writing Logic'!$J$7:$K$11,2,FALSE)&amp;" - Per "&amp;VLOOKUP($C$3,'Writing Logic'!$G$8:$H$14,2,FALSE)&amp;"]"),"="&amp;L$7,INDIRECT("YES_Writing_"&amp;IF($I$3="Combined",{"ELA","FLA"},VLOOKUP($I$3,'Writing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M11" s="52" cm="1">
        <f t="array" aca="1" ref="M11" ca="1">SUM(COUNTIFS(INDIRECT("YES_Writing_"&amp;IF($I$3="Combined",{"ELA","FLA"},VLOOKUP($I$3,'Writing Logic'!$J$2:$K$4,2,FALSE))&amp;"["&amp;VLOOKUP(M$6,'Writing Logic'!$J$7:$K$11,2,FALSE)&amp;" - Per "&amp;VLOOKUP($C$3,'Writing Logic'!$G$8:$H$14,2,FALSE)&amp;"]"),"="&amp;M$7,INDIRECT("YES_Writing_"&amp;IF($I$3="Combined",{"ELA","FLA"},VLOOKUP($I$3,'Writing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N11" s="49" cm="1">
        <f t="array" aca="1" ref="N11" ca="1">SUM(COUNTIFS(INDIRECT("YES_Writing_"&amp;IF($I$3="Combined",{"ELA","FLA"},VLOOKUP($I$3,'Writing Logic'!$J$2:$K$4,2,FALSE))&amp;"["&amp;VLOOKUP(M$6,'Writing Logic'!$J$7:$K$11,2,FALSE)&amp;" - Per "&amp;VLOOKUP($C$3,'Writing Logic'!$G$8:$H$14,2,FALSE)&amp;"]"),"="&amp;N$7,INDIRECT("YES_Writing_"&amp;IF($I$3="Combined",{"ELA","FLA"},VLOOKUP($I$3,'Writing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O11" s="49" cm="1">
        <f t="array" aca="1" ref="O11" ca="1">SUM(COUNTIFS(INDIRECT("YES_Writing_"&amp;IF($I$3="Combined",{"ELA","FLA"},VLOOKUP($I$3,'Writing Logic'!$J$2:$K$4,2,FALSE))&amp;"["&amp;VLOOKUP(M$6,'Writing Logic'!$J$7:$K$11,2,FALSE)&amp;" - Per "&amp;VLOOKUP($C$3,'Writing Logic'!$G$8:$H$14,2,FALSE)&amp;"]"),"="&amp;O$7,INDIRECT("YES_Writing_"&amp;IF($I$3="Combined",{"ELA","FLA"},VLOOKUP($I$3,'Writing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P11" s="49" cm="1">
        <f t="array" aca="1" ref="P11" ca="1">SUM(COUNTIFS(INDIRECT("YES_Writing_"&amp;IF($I$3="Combined",{"ELA","FLA"},VLOOKUP($I$3,'Writing Logic'!$J$2:$K$4,2,FALSE))&amp;"["&amp;VLOOKUP(M$6,'Writing Logic'!$J$7:$K$11,2,FALSE)&amp;" - Per "&amp;VLOOKUP($C$3,'Writing Logic'!$G$8:$H$14,2,FALSE)&amp;"]"),"="&amp;P$7,INDIRECT("YES_Writing_"&amp;IF($I$3="Combined",{"ELA","FLA"},VLOOKUP($I$3,'Writing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Q11" s="146" cm="1">
        <f t="array" aca="1" ref="Q11" ca="1">SUM(COUNTIFS(INDIRECT("YES_Writing_"&amp;IF($I$3="Combined",{"ELA","FLA"},VLOOKUP($I$3,'Writing Logic'!$J$2:$K$4,2,FALSE))&amp;"["&amp;VLOOKUP(M$6,'Writing Logic'!$J$7:$K$11,2,FALSE)&amp;" - Per "&amp;VLOOKUP($C$3,'Writing Logic'!$G$8:$H$14,2,FALSE)&amp;"]"),"="&amp;Q$7,INDIRECT("YES_Writing_"&amp;IF($I$3="Combined",{"ELA","FLA"},VLOOKUP($I$3,'Writing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R11" s="147" cm="1">
        <f t="array" aca="1" ref="R11" ca="1">SUM(COUNTIFS(INDIRECT("YES_Writing_"&amp;IF($I$3="Combined",{"ELA","FLA"},VLOOKUP($I$3,'Writing Logic'!$J$2:$K$4,2,FALSE))&amp;"["&amp;VLOOKUP(R$6,'Writing Logic'!$J$7:$K$11,2,FALSE)&amp;" - Per "&amp;VLOOKUP($C$3,'Writing Logic'!$G$8:$H$14,2,FALSE)&amp;"]"),"="&amp;R$7,INDIRECT("YES_Writing_"&amp;IF($I$3="Combined",{"ELA","FLA"},VLOOKUP($I$3,'Writing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S11" s="49" cm="1">
        <f t="array" aca="1" ref="S11" ca="1">SUM(COUNTIFS(INDIRECT("YES_Writing_"&amp;IF($I$3="Combined",{"ELA","FLA"},VLOOKUP($I$3,'Writing Logic'!$J$2:$K$4,2,FALSE))&amp;"["&amp;VLOOKUP(R$6,'Writing Logic'!$J$7:$K$11,2,FALSE)&amp;" - Per "&amp;VLOOKUP($C$3,'Writing Logic'!$G$8:$H$14,2,FALSE)&amp;"]"),"="&amp;S$7,INDIRECT("YES_Writing_"&amp;IF($I$3="Combined",{"ELA","FLA"},VLOOKUP($I$3,'Writing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T11" s="49" cm="1">
        <f t="array" aca="1" ref="T11" ca="1">SUM(COUNTIFS(INDIRECT("YES_Writing_"&amp;IF($I$3="Combined",{"ELA","FLA"},VLOOKUP($I$3,'Writing Logic'!$J$2:$K$4,2,FALSE))&amp;"["&amp;VLOOKUP(R$6,'Writing Logic'!$J$7:$K$11,2,FALSE)&amp;" - Per "&amp;VLOOKUP($C$3,'Writing Logic'!$G$8:$H$14,2,FALSE)&amp;"]"),"="&amp;T$7,INDIRECT("YES_Writing_"&amp;IF($I$3="Combined",{"ELA","FLA"},VLOOKUP($I$3,'Writing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U11" s="49" cm="1">
        <f t="array" aca="1" ref="U11" ca="1">SUM(COUNTIFS(INDIRECT("YES_Writing_"&amp;IF($I$3="Combined",{"ELA","FLA"},VLOOKUP($I$3,'Writing Logic'!$J$2:$K$4,2,FALSE))&amp;"["&amp;VLOOKUP(R$6,'Writing Logic'!$J$7:$K$11,2,FALSE)&amp;" - Per "&amp;VLOOKUP($C$3,'Writing Logic'!$G$8:$H$14,2,FALSE)&amp;"]"),"="&amp;U$7,INDIRECT("YES_Writing_"&amp;IF($I$3="Combined",{"ELA","FLA"},VLOOKUP($I$3,'Writing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c r="V11" s="146" cm="1">
        <f t="array" aca="1" ref="V11" ca="1">SUM(COUNTIFS(INDIRECT("YES_Writing_"&amp;IF($I$3="Combined",{"ELA","FLA"},VLOOKUP($I$3,'Writing Logic'!$J$2:$K$4,2,FALSE))&amp;"["&amp;VLOOKUP(R$6,'Writing Logic'!$J$7:$K$11,2,FALSE)&amp;" - Per "&amp;VLOOKUP($C$3,'Writing Logic'!$G$8:$H$14,2,FALSE)&amp;"]"),"="&amp;V$7,INDIRECT("YES_Writing_"&amp;IF($I$3="Combined",{"ELA","FLA"},VLOOKUP($I$3,'Writing Logic'!$J$2:$K$4,2,FALSE))&amp;"[Grade]"),$A11,INDIRECT("YES_Writing_"&amp;IF($I$3="Combined",{"ELA","FLA"},VLOOKUP($I$3,'Writing Logic'!$J$2:$K$4,2,FALSE))&amp;"[Literacy IPP]"),"&lt;&gt;Yes",INDIRECT("YES_Writing_"&amp;IF($I$3="Combined",{"ELA","FLA"},VLOOKUP($I$3,'Writing Logic'!$J$2:$K$4,2,FALSE))&amp;"[School]"),IF($C$2="TCRCE","*",$C$2)))</f>
        <v>0</v>
      </c>
    </row>
    <row r="12" spans="1:22" s="99" customFormat="1" ht="14.25" customHeight="1" x14ac:dyDescent="0.25">
      <c r="A12" s="145">
        <v>4</v>
      </c>
      <c r="B12" s="52" cm="1">
        <f t="array" aca="1" ref="B12" ca="1">SUM(COUNTIFS(INDIRECT("YES_Writing_"&amp;IF($I$3="Combined",{"ELA","FLA"},VLOOKUP($I$3,'Writing Logic'!$J$2:$K$4,2,FALSE))&amp;"["&amp;VLOOKUP(B$6,'Writing Logic'!$J$7:$K$11,2,FALSE)&amp;" - Per "&amp;VLOOKUP($C$3,'Writing Logic'!$G$8:$H$14,2,FALSE)&amp;"]"),"="&amp;B$7,INDIRECT("YES_Writing_"&amp;IF($I$3="Combined",{"ELA","FLA"},VLOOKUP($I$3,'Writing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C12" s="49" cm="1">
        <f t="array" aca="1" ref="C12" ca="1">SUM(COUNTIFS(INDIRECT("YES_Writing_"&amp;IF($I$3="Combined",{"ELA","FLA"},VLOOKUP($I$3,'Writing Logic'!$J$2:$K$4,2,FALSE))&amp;"["&amp;VLOOKUP(B$6,'Writing Logic'!$J$7:$K$11,2,FALSE)&amp;" - Per "&amp;VLOOKUP($C$3,'Writing Logic'!$G$8:$H$14,2,FALSE)&amp;"]"),"="&amp;C$7,INDIRECT("YES_Writing_"&amp;IF($I$3="Combined",{"ELA","FLA"},VLOOKUP($I$3,'Writing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D12" s="49" cm="1">
        <f t="array" aca="1" ref="D12" ca="1">SUM(COUNTIFS(INDIRECT("YES_Writing_"&amp;IF($I$3="Combined",{"ELA","FLA"},VLOOKUP($I$3,'Writing Logic'!$J$2:$K$4,2,FALSE))&amp;"["&amp;VLOOKUP(B$6,'Writing Logic'!$J$7:$K$11,2,FALSE)&amp;" - Per "&amp;VLOOKUP($C$3,'Writing Logic'!$G$8:$H$14,2,FALSE)&amp;"]"),"="&amp;D$7,INDIRECT("YES_Writing_"&amp;IF($I$3="Combined",{"ELA","FLA"},VLOOKUP($I$3,'Writing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E12" s="49" cm="1">
        <f t="array" aca="1" ref="E12" ca="1">SUM(COUNTIFS(INDIRECT("YES_Writing_"&amp;IF($I$3="Combined",{"ELA","FLA"},VLOOKUP($I$3,'Writing Logic'!$J$2:$K$4,2,FALSE))&amp;"["&amp;VLOOKUP(B$6,'Writing Logic'!$J$7:$K$11,2,FALSE)&amp;" - Per "&amp;VLOOKUP($C$3,'Writing Logic'!$G$8:$H$14,2,FALSE)&amp;"]"),"="&amp;E$7,INDIRECT("YES_Writing_"&amp;IF($I$3="Combined",{"ELA","FLA"},VLOOKUP($I$3,'Writing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F12" s="49" cm="1">
        <f t="array" aca="1" ref="F12" ca="1">SUM(COUNTIFS(INDIRECT("YES_Writing_"&amp;IF($I$3="Combined",{"ELA","FLA"},VLOOKUP($I$3,'Writing Logic'!$J$2:$K$4,2,FALSE))&amp;"["&amp;VLOOKUP(B$6,'Writing Logic'!$J$7:$K$11,2,FALSE)&amp;" - Per "&amp;VLOOKUP($C$3,'Writing Logic'!$G$8:$H$14,2,FALSE)&amp;"]"),"="&amp;F$7,INDIRECT("YES_Writing_"&amp;IF($I$3="Combined",{"ELA","FLA"},VLOOKUP($I$3,'Writing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G12" s="146" cm="1">
        <f t="array" aca="1" ref="G12" ca="1">SUM(COUNTIFS(INDIRECT("YES_Writing_"&amp;IF($I$3="Combined",{"ELA","FLA"},VLOOKUP($I$3,'Writing Logic'!$J$2:$K$4,2,FALSE))&amp;"["&amp;VLOOKUP(B$6,'Writing Logic'!$J$7:$K$11,2,FALSE)&amp;" - Per "&amp;VLOOKUP($C$3,'Writing Logic'!$G$8:$H$14,2,FALSE)&amp;"]"),"="&amp;G$7,INDIRECT("YES_Writing_"&amp;IF($I$3="Combined",{"ELA","FLA"},VLOOKUP($I$3,'Writing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H12" s="52" cm="1">
        <f t="array" aca="1" ref="H12" ca="1">SUM(COUNTIFS(INDIRECT("YES_Writing_"&amp;IF($I$3="Combined",{"ELA","FLA"},VLOOKUP($I$3,'Writing Logic'!$J$2:$K$4,2,FALSE))&amp;"["&amp;VLOOKUP(H$6,'Writing Logic'!$J$7:$K$11,2,FALSE)&amp;" - Per "&amp;VLOOKUP($C$3,'Writing Logic'!$G$8:$H$14,2,FALSE)&amp;"]"),"="&amp;H$7,INDIRECT("YES_Writing_"&amp;IF($I$3="Combined",{"ELA","FLA"},VLOOKUP($I$3,'Writing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I12" s="49" cm="1">
        <f t="array" aca="1" ref="I12" ca="1">SUM(COUNTIFS(INDIRECT("YES_Writing_"&amp;IF($I$3="Combined",{"ELA","FLA"},VLOOKUP($I$3,'Writing Logic'!$J$2:$K$4,2,FALSE))&amp;"["&amp;VLOOKUP(H$6,'Writing Logic'!$J$7:$K$11,2,FALSE)&amp;" - Per "&amp;VLOOKUP($C$3,'Writing Logic'!$G$8:$H$14,2,FALSE)&amp;"]"),"="&amp;I$7,INDIRECT("YES_Writing_"&amp;IF($I$3="Combined",{"ELA","FLA"},VLOOKUP($I$3,'Writing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J12" s="49" cm="1">
        <f t="array" aca="1" ref="J12" ca="1">SUM(COUNTIFS(INDIRECT("YES_Writing_"&amp;IF($I$3="Combined",{"ELA","FLA"},VLOOKUP($I$3,'Writing Logic'!$J$2:$K$4,2,FALSE))&amp;"["&amp;VLOOKUP(H$6,'Writing Logic'!$J$7:$K$11,2,FALSE)&amp;" - Per "&amp;VLOOKUP($C$3,'Writing Logic'!$G$8:$H$14,2,FALSE)&amp;"]"),"="&amp;J$7,INDIRECT("YES_Writing_"&amp;IF($I$3="Combined",{"ELA","FLA"},VLOOKUP($I$3,'Writing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K12" s="49" cm="1">
        <f t="array" aca="1" ref="K12" ca="1">SUM(COUNTIFS(INDIRECT("YES_Writing_"&amp;IF($I$3="Combined",{"ELA","FLA"},VLOOKUP($I$3,'Writing Logic'!$J$2:$K$4,2,FALSE))&amp;"["&amp;VLOOKUP(H$6,'Writing Logic'!$J$7:$K$11,2,FALSE)&amp;" - Per "&amp;VLOOKUP($C$3,'Writing Logic'!$G$8:$H$14,2,FALSE)&amp;"]"),"="&amp;K$7,INDIRECT("YES_Writing_"&amp;IF($I$3="Combined",{"ELA","FLA"},VLOOKUP($I$3,'Writing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L12" s="146" cm="1">
        <f t="array" aca="1" ref="L12" ca="1">SUM(COUNTIFS(INDIRECT("YES_Writing_"&amp;IF($I$3="Combined",{"ELA","FLA"},VLOOKUP($I$3,'Writing Logic'!$J$2:$K$4,2,FALSE))&amp;"["&amp;VLOOKUP(H$6,'Writing Logic'!$J$7:$K$11,2,FALSE)&amp;" - Per "&amp;VLOOKUP($C$3,'Writing Logic'!$G$8:$H$14,2,FALSE)&amp;"]"),"="&amp;L$7,INDIRECT("YES_Writing_"&amp;IF($I$3="Combined",{"ELA","FLA"},VLOOKUP($I$3,'Writing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M12" s="52" cm="1">
        <f t="array" aca="1" ref="M12" ca="1">SUM(COUNTIFS(INDIRECT("YES_Writing_"&amp;IF($I$3="Combined",{"ELA","FLA"},VLOOKUP($I$3,'Writing Logic'!$J$2:$K$4,2,FALSE))&amp;"["&amp;VLOOKUP(M$6,'Writing Logic'!$J$7:$K$11,2,FALSE)&amp;" - Per "&amp;VLOOKUP($C$3,'Writing Logic'!$G$8:$H$14,2,FALSE)&amp;"]"),"="&amp;M$7,INDIRECT("YES_Writing_"&amp;IF($I$3="Combined",{"ELA","FLA"},VLOOKUP($I$3,'Writing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N12" s="49" cm="1">
        <f t="array" aca="1" ref="N12" ca="1">SUM(COUNTIFS(INDIRECT("YES_Writing_"&amp;IF($I$3="Combined",{"ELA","FLA"},VLOOKUP($I$3,'Writing Logic'!$J$2:$K$4,2,FALSE))&amp;"["&amp;VLOOKUP(M$6,'Writing Logic'!$J$7:$K$11,2,FALSE)&amp;" - Per "&amp;VLOOKUP($C$3,'Writing Logic'!$G$8:$H$14,2,FALSE)&amp;"]"),"="&amp;N$7,INDIRECT("YES_Writing_"&amp;IF($I$3="Combined",{"ELA","FLA"},VLOOKUP($I$3,'Writing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O12" s="49" cm="1">
        <f t="array" aca="1" ref="O12" ca="1">SUM(COUNTIFS(INDIRECT("YES_Writing_"&amp;IF($I$3="Combined",{"ELA","FLA"},VLOOKUP($I$3,'Writing Logic'!$J$2:$K$4,2,FALSE))&amp;"["&amp;VLOOKUP(M$6,'Writing Logic'!$J$7:$K$11,2,FALSE)&amp;" - Per "&amp;VLOOKUP($C$3,'Writing Logic'!$G$8:$H$14,2,FALSE)&amp;"]"),"="&amp;O$7,INDIRECT("YES_Writing_"&amp;IF($I$3="Combined",{"ELA","FLA"},VLOOKUP($I$3,'Writing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P12" s="49" cm="1">
        <f t="array" aca="1" ref="P12" ca="1">SUM(COUNTIFS(INDIRECT("YES_Writing_"&amp;IF($I$3="Combined",{"ELA","FLA"},VLOOKUP($I$3,'Writing Logic'!$J$2:$K$4,2,FALSE))&amp;"["&amp;VLOOKUP(M$6,'Writing Logic'!$J$7:$K$11,2,FALSE)&amp;" - Per "&amp;VLOOKUP($C$3,'Writing Logic'!$G$8:$H$14,2,FALSE)&amp;"]"),"="&amp;P$7,INDIRECT("YES_Writing_"&amp;IF($I$3="Combined",{"ELA","FLA"},VLOOKUP($I$3,'Writing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Q12" s="146" cm="1">
        <f t="array" aca="1" ref="Q12" ca="1">SUM(COUNTIFS(INDIRECT("YES_Writing_"&amp;IF($I$3="Combined",{"ELA","FLA"},VLOOKUP($I$3,'Writing Logic'!$J$2:$K$4,2,FALSE))&amp;"["&amp;VLOOKUP(M$6,'Writing Logic'!$J$7:$K$11,2,FALSE)&amp;" - Per "&amp;VLOOKUP($C$3,'Writing Logic'!$G$8:$H$14,2,FALSE)&amp;"]"),"="&amp;Q$7,INDIRECT("YES_Writing_"&amp;IF($I$3="Combined",{"ELA","FLA"},VLOOKUP($I$3,'Writing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R12" s="147" cm="1">
        <f t="array" aca="1" ref="R12" ca="1">SUM(COUNTIFS(INDIRECT("YES_Writing_"&amp;IF($I$3="Combined",{"ELA","FLA"},VLOOKUP($I$3,'Writing Logic'!$J$2:$K$4,2,FALSE))&amp;"["&amp;VLOOKUP(R$6,'Writing Logic'!$J$7:$K$11,2,FALSE)&amp;" - Per "&amp;VLOOKUP($C$3,'Writing Logic'!$G$8:$H$14,2,FALSE)&amp;"]"),"="&amp;R$7,INDIRECT("YES_Writing_"&amp;IF($I$3="Combined",{"ELA","FLA"},VLOOKUP($I$3,'Writing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S12" s="49" cm="1">
        <f t="array" aca="1" ref="S12" ca="1">SUM(COUNTIFS(INDIRECT("YES_Writing_"&amp;IF($I$3="Combined",{"ELA","FLA"},VLOOKUP($I$3,'Writing Logic'!$J$2:$K$4,2,FALSE))&amp;"["&amp;VLOOKUP(R$6,'Writing Logic'!$J$7:$K$11,2,FALSE)&amp;" - Per "&amp;VLOOKUP($C$3,'Writing Logic'!$G$8:$H$14,2,FALSE)&amp;"]"),"="&amp;S$7,INDIRECT("YES_Writing_"&amp;IF($I$3="Combined",{"ELA","FLA"},VLOOKUP($I$3,'Writing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T12" s="49" cm="1">
        <f t="array" aca="1" ref="T12" ca="1">SUM(COUNTIFS(INDIRECT("YES_Writing_"&amp;IF($I$3="Combined",{"ELA","FLA"},VLOOKUP($I$3,'Writing Logic'!$J$2:$K$4,2,FALSE))&amp;"["&amp;VLOOKUP(R$6,'Writing Logic'!$J$7:$K$11,2,FALSE)&amp;" - Per "&amp;VLOOKUP($C$3,'Writing Logic'!$G$8:$H$14,2,FALSE)&amp;"]"),"="&amp;T$7,INDIRECT("YES_Writing_"&amp;IF($I$3="Combined",{"ELA","FLA"},VLOOKUP($I$3,'Writing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U12" s="49" cm="1">
        <f t="array" aca="1" ref="U12" ca="1">SUM(COUNTIFS(INDIRECT("YES_Writing_"&amp;IF($I$3="Combined",{"ELA","FLA"},VLOOKUP($I$3,'Writing Logic'!$J$2:$K$4,2,FALSE))&amp;"["&amp;VLOOKUP(R$6,'Writing Logic'!$J$7:$K$11,2,FALSE)&amp;" - Per "&amp;VLOOKUP($C$3,'Writing Logic'!$G$8:$H$14,2,FALSE)&amp;"]"),"="&amp;U$7,INDIRECT("YES_Writing_"&amp;IF($I$3="Combined",{"ELA","FLA"},VLOOKUP($I$3,'Writing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c r="V12" s="146" cm="1">
        <f t="array" aca="1" ref="V12" ca="1">SUM(COUNTIFS(INDIRECT("YES_Writing_"&amp;IF($I$3="Combined",{"ELA","FLA"},VLOOKUP($I$3,'Writing Logic'!$J$2:$K$4,2,FALSE))&amp;"["&amp;VLOOKUP(R$6,'Writing Logic'!$J$7:$K$11,2,FALSE)&amp;" - Per "&amp;VLOOKUP($C$3,'Writing Logic'!$G$8:$H$14,2,FALSE)&amp;"]"),"="&amp;V$7,INDIRECT("YES_Writing_"&amp;IF($I$3="Combined",{"ELA","FLA"},VLOOKUP($I$3,'Writing Logic'!$J$2:$K$4,2,FALSE))&amp;"[Grade]"),$A12,INDIRECT("YES_Writing_"&amp;IF($I$3="Combined",{"ELA","FLA"},VLOOKUP($I$3,'Writing Logic'!$J$2:$K$4,2,FALSE))&amp;"[Literacy IPP]"),"&lt;&gt;Yes",INDIRECT("YES_Writing_"&amp;IF($I$3="Combined",{"ELA","FLA"},VLOOKUP($I$3,'Writing Logic'!$J$2:$K$4,2,FALSE))&amp;"[School]"),IF($C$2="TCRCE","*",$C$2)))</f>
        <v>0</v>
      </c>
    </row>
    <row r="13" spans="1:22" s="99" customFormat="1" ht="14.25" customHeight="1" x14ac:dyDescent="0.25">
      <c r="A13" s="145">
        <v>5</v>
      </c>
      <c r="B13" s="52" cm="1">
        <f t="array" aca="1" ref="B13" ca="1">SUM(COUNTIFS(INDIRECT("YES_Writing_"&amp;IF($I$3="Combined",{"ELA","FLA"},VLOOKUP($I$3,'Writing Logic'!$J$2:$K$4,2,FALSE))&amp;"["&amp;VLOOKUP(B$6,'Writing Logic'!$J$7:$K$11,2,FALSE)&amp;" - Per "&amp;VLOOKUP($C$3,'Writing Logic'!$G$8:$H$14,2,FALSE)&amp;"]"),"="&amp;B$7,INDIRECT("YES_Writing_"&amp;IF($I$3="Combined",{"ELA","FLA"},VLOOKUP($I$3,'Writing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C13" s="49" cm="1">
        <f t="array" aca="1" ref="C13" ca="1">SUM(COUNTIFS(INDIRECT("YES_Writing_"&amp;IF($I$3="Combined",{"ELA","FLA"},VLOOKUP($I$3,'Writing Logic'!$J$2:$K$4,2,FALSE))&amp;"["&amp;VLOOKUP(B$6,'Writing Logic'!$J$7:$K$11,2,FALSE)&amp;" - Per "&amp;VLOOKUP($C$3,'Writing Logic'!$G$8:$H$14,2,FALSE)&amp;"]"),"="&amp;C$7,INDIRECT("YES_Writing_"&amp;IF($I$3="Combined",{"ELA","FLA"},VLOOKUP($I$3,'Writing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D13" s="49" cm="1">
        <f t="array" aca="1" ref="D13" ca="1">SUM(COUNTIFS(INDIRECT("YES_Writing_"&amp;IF($I$3="Combined",{"ELA","FLA"},VLOOKUP($I$3,'Writing Logic'!$J$2:$K$4,2,FALSE))&amp;"["&amp;VLOOKUP(B$6,'Writing Logic'!$J$7:$K$11,2,FALSE)&amp;" - Per "&amp;VLOOKUP($C$3,'Writing Logic'!$G$8:$H$14,2,FALSE)&amp;"]"),"="&amp;D$7,INDIRECT("YES_Writing_"&amp;IF($I$3="Combined",{"ELA","FLA"},VLOOKUP($I$3,'Writing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E13" s="49" cm="1">
        <f t="array" aca="1" ref="E13" ca="1">SUM(COUNTIFS(INDIRECT("YES_Writing_"&amp;IF($I$3="Combined",{"ELA","FLA"},VLOOKUP($I$3,'Writing Logic'!$J$2:$K$4,2,FALSE))&amp;"["&amp;VLOOKUP(B$6,'Writing Logic'!$J$7:$K$11,2,FALSE)&amp;" - Per "&amp;VLOOKUP($C$3,'Writing Logic'!$G$8:$H$14,2,FALSE)&amp;"]"),"="&amp;E$7,INDIRECT("YES_Writing_"&amp;IF($I$3="Combined",{"ELA","FLA"},VLOOKUP($I$3,'Writing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F13" s="49" cm="1">
        <f t="array" aca="1" ref="F13" ca="1">SUM(COUNTIFS(INDIRECT("YES_Writing_"&amp;IF($I$3="Combined",{"ELA","FLA"},VLOOKUP($I$3,'Writing Logic'!$J$2:$K$4,2,FALSE))&amp;"["&amp;VLOOKUP(B$6,'Writing Logic'!$J$7:$K$11,2,FALSE)&amp;" - Per "&amp;VLOOKUP($C$3,'Writing Logic'!$G$8:$H$14,2,FALSE)&amp;"]"),"="&amp;F$7,INDIRECT("YES_Writing_"&amp;IF($I$3="Combined",{"ELA","FLA"},VLOOKUP($I$3,'Writing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G13" s="146" cm="1">
        <f t="array" aca="1" ref="G13" ca="1">SUM(COUNTIFS(INDIRECT("YES_Writing_"&amp;IF($I$3="Combined",{"ELA","FLA"},VLOOKUP($I$3,'Writing Logic'!$J$2:$K$4,2,FALSE))&amp;"["&amp;VLOOKUP(B$6,'Writing Logic'!$J$7:$K$11,2,FALSE)&amp;" - Per "&amp;VLOOKUP($C$3,'Writing Logic'!$G$8:$H$14,2,FALSE)&amp;"]"),"="&amp;G$7,INDIRECT("YES_Writing_"&amp;IF($I$3="Combined",{"ELA","FLA"},VLOOKUP($I$3,'Writing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H13" s="52" cm="1">
        <f t="array" aca="1" ref="H13" ca="1">SUM(COUNTIFS(INDIRECT("YES_Writing_"&amp;IF($I$3="Combined",{"ELA","FLA"},VLOOKUP($I$3,'Writing Logic'!$J$2:$K$4,2,FALSE))&amp;"["&amp;VLOOKUP(H$6,'Writing Logic'!$J$7:$K$11,2,FALSE)&amp;" - Per "&amp;VLOOKUP($C$3,'Writing Logic'!$G$8:$H$14,2,FALSE)&amp;"]"),"="&amp;H$7,INDIRECT("YES_Writing_"&amp;IF($I$3="Combined",{"ELA","FLA"},VLOOKUP($I$3,'Writing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I13" s="49" cm="1">
        <f t="array" aca="1" ref="I13" ca="1">SUM(COUNTIFS(INDIRECT("YES_Writing_"&amp;IF($I$3="Combined",{"ELA","FLA"},VLOOKUP($I$3,'Writing Logic'!$J$2:$K$4,2,FALSE))&amp;"["&amp;VLOOKUP(H$6,'Writing Logic'!$J$7:$K$11,2,FALSE)&amp;" - Per "&amp;VLOOKUP($C$3,'Writing Logic'!$G$8:$H$14,2,FALSE)&amp;"]"),"="&amp;I$7,INDIRECT("YES_Writing_"&amp;IF($I$3="Combined",{"ELA","FLA"},VLOOKUP($I$3,'Writing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J13" s="49" cm="1">
        <f t="array" aca="1" ref="J13" ca="1">SUM(COUNTIFS(INDIRECT("YES_Writing_"&amp;IF($I$3="Combined",{"ELA","FLA"},VLOOKUP($I$3,'Writing Logic'!$J$2:$K$4,2,FALSE))&amp;"["&amp;VLOOKUP(H$6,'Writing Logic'!$J$7:$K$11,2,FALSE)&amp;" - Per "&amp;VLOOKUP($C$3,'Writing Logic'!$G$8:$H$14,2,FALSE)&amp;"]"),"="&amp;J$7,INDIRECT("YES_Writing_"&amp;IF($I$3="Combined",{"ELA","FLA"},VLOOKUP($I$3,'Writing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K13" s="49" cm="1">
        <f t="array" aca="1" ref="K13" ca="1">SUM(COUNTIFS(INDIRECT("YES_Writing_"&amp;IF($I$3="Combined",{"ELA","FLA"},VLOOKUP($I$3,'Writing Logic'!$J$2:$K$4,2,FALSE))&amp;"["&amp;VLOOKUP(H$6,'Writing Logic'!$J$7:$K$11,2,FALSE)&amp;" - Per "&amp;VLOOKUP($C$3,'Writing Logic'!$G$8:$H$14,2,FALSE)&amp;"]"),"="&amp;K$7,INDIRECT("YES_Writing_"&amp;IF($I$3="Combined",{"ELA","FLA"},VLOOKUP($I$3,'Writing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L13" s="146" cm="1">
        <f t="array" aca="1" ref="L13" ca="1">SUM(COUNTIFS(INDIRECT("YES_Writing_"&amp;IF($I$3="Combined",{"ELA","FLA"},VLOOKUP($I$3,'Writing Logic'!$J$2:$K$4,2,FALSE))&amp;"["&amp;VLOOKUP(H$6,'Writing Logic'!$J$7:$K$11,2,FALSE)&amp;" - Per "&amp;VLOOKUP($C$3,'Writing Logic'!$G$8:$H$14,2,FALSE)&amp;"]"),"="&amp;L$7,INDIRECT("YES_Writing_"&amp;IF($I$3="Combined",{"ELA","FLA"},VLOOKUP($I$3,'Writing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M13" s="52" cm="1">
        <f t="array" aca="1" ref="M13" ca="1">SUM(COUNTIFS(INDIRECT("YES_Writing_"&amp;IF($I$3="Combined",{"ELA","FLA"},VLOOKUP($I$3,'Writing Logic'!$J$2:$K$4,2,FALSE))&amp;"["&amp;VLOOKUP(M$6,'Writing Logic'!$J$7:$K$11,2,FALSE)&amp;" - Per "&amp;VLOOKUP($C$3,'Writing Logic'!$G$8:$H$14,2,FALSE)&amp;"]"),"="&amp;M$7,INDIRECT("YES_Writing_"&amp;IF($I$3="Combined",{"ELA","FLA"},VLOOKUP($I$3,'Writing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N13" s="49" cm="1">
        <f t="array" aca="1" ref="N13" ca="1">SUM(COUNTIFS(INDIRECT("YES_Writing_"&amp;IF($I$3="Combined",{"ELA","FLA"},VLOOKUP($I$3,'Writing Logic'!$J$2:$K$4,2,FALSE))&amp;"["&amp;VLOOKUP(M$6,'Writing Logic'!$J$7:$K$11,2,FALSE)&amp;" - Per "&amp;VLOOKUP($C$3,'Writing Logic'!$G$8:$H$14,2,FALSE)&amp;"]"),"="&amp;N$7,INDIRECT("YES_Writing_"&amp;IF($I$3="Combined",{"ELA","FLA"},VLOOKUP($I$3,'Writing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O13" s="49" cm="1">
        <f t="array" aca="1" ref="O13" ca="1">SUM(COUNTIFS(INDIRECT("YES_Writing_"&amp;IF($I$3="Combined",{"ELA","FLA"},VLOOKUP($I$3,'Writing Logic'!$J$2:$K$4,2,FALSE))&amp;"["&amp;VLOOKUP(M$6,'Writing Logic'!$J$7:$K$11,2,FALSE)&amp;" - Per "&amp;VLOOKUP($C$3,'Writing Logic'!$G$8:$H$14,2,FALSE)&amp;"]"),"="&amp;O$7,INDIRECT("YES_Writing_"&amp;IF($I$3="Combined",{"ELA","FLA"},VLOOKUP($I$3,'Writing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P13" s="49" cm="1">
        <f t="array" aca="1" ref="P13" ca="1">SUM(COUNTIFS(INDIRECT("YES_Writing_"&amp;IF($I$3="Combined",{"ELA","FLA"},VLOOKUP($I$3,'Writing Logic'!$J$2:$K$4,2,FALSE))&amp;"["&amp;VLOOKUP(M$6,'Writing Logic'!$J$7:$K$11,2,FALSE)&amp;" - Per "&amp;VLOOKUP($C$3,'Writing Logic'!$G$8:$H$14,2,FALSE)&amp;"]"),"="&amp;P$7,INDIRECT("YES_Writing_"&amp;IF($I$3="Combined",{"ELA","FLA"},VLOOKUP($I$3,'Writing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Q13" s="146" cm="1">
        <f t="array" aca="1" ref="Q13" ca="1">SUM(COUNTIFS(INDIRECT("YES_Writing_"&amp;IF($I$3="Combined",{"ELA","FLA"},VLOOKUP($I$3,'Writing Logic'!$J$2:$K$4,2,FALSE))&amp;"["&amp;VLOOKUP(M$6,'Writing Logic'!$J$7:$K$11,2,FALSE)&amp;" - Per "&amp;VLOOKUP($C$3,'Writing Logic'!$G$8:$H$14,2,FALSE)&amp;"]"),"="&amp;Q$7,INDIRECT("YES_Writing_"&amp;IF($I$3="Combined",{"ELA","FLA"},VLOOKUP($I$3,'Writing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R13" s="147" cm="1">
        <f t="array" aca="1" ref="R13" ca="1">SUM(COUNTIFS(INDIRECT("YES_Writing_"&amp;IF($I$3="Combined",{"ELA","FLA"},VLOOKUP($I$3,'Writing Logic'!$J$2:$K$4,2,FALSE))&amp;"["&amp;VLOOKUP(R$6,'Writing Logic'!$J$7:$K$11,2,FALSE)&amp;" - Per "&amp;VLOOKUP($C$3,'Writing Logic'!$G$8:$H$14,2,FALSE)&amp;"]"),"="&amp;R$7,INDIRECT("YES_Writing_"&amp;IF($I$3="Combined",{"ELA","FLA"},VLOOKUP($I$3,'Writing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S13" s="49" cm="1">
        <f t="array" aca="1" ref="S13" ca="1">SUM(COUNTIFS(INDIRECT("YES_Writing_"&amp;IF($I$3="Combined",{"ELA","FLA"},VLOOKUP($I$3,'Writing Logic'!$J$2:$K$4,2,FALSE))&amp;"["&amp;VLOOKUP(R$6,'Writing Logic'!$J$7:$K$11,2,FALSE)&amp;" - Per "&amp;VLOOKUP($C$3,'Writing Logic'!$G$8:$H$14,2,FALSE)&amp;"]"),"="&amp;S$7,INDIRECT("YES_Writing_"&amp;IF($I$3="Combined",{"ELA","FLA"},VLOOKUP($I$3,'Writing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T13" s="49" cm="1">
        <f t="array" aca="1" ref="T13" ca="1">SUM(COUNTIFS(INDIRECT("YES_Writing_"&amp;IF($I$3="Combined",{"ELA","FLA"},VLOOKUP($I$3,'Writing Logic'!$J$2:$K$4,2,FALSE))&amp;"["&amp;VLOOKUP(R$6,'Writing Logic'!$J$7:$K$11,2,FALSE)&amp;" - Per "&amp;VLOOKUP($C$3,'Writing Logic'!$G$8:$H$14,2,FALSE)&amp;"]"),"="&amp;T$7,INDIRECT("YES_Writing_"&amp;IF($I$3="Combined",{"ELA","FLA"},VLOOKUP($I$3,'Writing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U13" s="49" cm="1">
        <f t="array" aca="1" ref="U13" ca="1">SUM(COUNTIFS(INDIRECT("YES_Writing_"&amp;IF($I$3="Combined",{"ELA","FLA"},VLOOKUP($I$3,'Writing Logic'!$J$2:$K$4,2,FALSE))&amp;"["&amp;VLOOKUP(R$6,'Writing Logic'!$J$7:$K$11,2,FALSE)&amp;" - Per "&amp;VLOOKUP($C$3,'Writing Logic'!$G$8:$H$14,2,FALSE)&amp;"]"),"="&amp;U$7,INDIRECT("YES_Writing_"&amp;IF($I$3="Combined",{"ELA","FLA"},VLOOKUP($I$3,'Writing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c r="V13" s="146" cm="1">
        <f t="array" aca="1" ref="V13" ca="1">SUM(COUNTIFS(INDIRECT("YES_Writing_"&amp;IF($I$3="Combined",{"ELA","FLA"},VLOOKUP($I$3,'Writing Logic'!$J$2:$K$4,2,FALSE))&amp;"["&amp;VLOOKUP(R$6,'Writing Logic'!$J$7:$K$11,2,FALSE)&amp;" - Per "&amp;VLOOKUP($C$3,'Writing Logic'!$G$8:$H$14,2,FALSE)&amp;"]"),"="&amp;V$7,INDIRECT("YES_Writing_"&amp;IF($I$3="Combined",{"ELA","FLA"},VLOOKUP($I$3,'Writing Logic'!$J$2:$K$4,2,FALSE))&amp;"[Grade]"),$A13,INDIRECT("YES_Writing_"&amp;IF($I$3="Combined",{"ELA","FLA"},VLOOKUP($I$3,'Writing Logic'!$J$2:$K$4,2,FALSE))&amp;"[Literacy IPP]"),"&lt;&gt;Yes",INDIRECT("YES_Writing_"&amp;IF($I$3="Combined",{"ELA","FLA"},VLOOKUP($I$3,'Writing Logic'!$J$2:$K$4,2,FALSE))&amp;"[School]"),IF($C$2="TCRCE","*",$C$2)))</f>
        <v>0</v>
      </c>
    </row>
    <row r="14" spans="1:22" s="99" customFormat="1" ht="14.25" customHeight="1" x14ac:dyDescent="0.25">
      <c r="A14" s="145">
        <v>6</v>
      </c>
      <c r="B14" s="52" cm="1">
        <f t="array" aca="1" ref="B14" ca="1">SUM(COUNTIFS(INDIRECT("YES_Writing_"&amp;IF($I$3="Combined",{"ELA","FLA"},VLOOKUP($I$3,'Writing Logic'!$J$2:$K$4,2,FALSE))&amp;"["&amp;VLOOKUP(B$6,'Writing Logic'!$J$7:$K$11,2,FALSE)&amp;" - Per "&amp;VLOOKUP($C$3,'Writing Logic'!$G$8:$H$14,2,FALSE)&amp;"]"),"="&amp;B$7,INDIRECT("YES_Writing_"&amp;IF($I$3="Combined",{"ELA","FLA"},VLOOKUP($I$3,'Writing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C14" s="49" cm="1">
        <f t="array" aca="1" ref="C14" ca="1">SUM(COUNTIFS(INDIRECT("YES_Writing_"&amp;IF($I$3="Combined",{"ELA","FLA"},VLOOKUP($I$3,'Writing Logic'!$J$2:$K$4,2,FALSE))&amp;"["&amp;VLOOKUP(B$6,'Writing Logic'!$J$7:$K$11,2,FALSE)&amp;" - Per "&amp;VLOOKUP($C$3,'Writing Logic'!$G$8:$H$14,2,FALSE)&amp;"]"),"="&amp;C$7,INDIRECT("YES_Writing_"&amp;IF($I$3="Combined",{"ELA","FLA"},VLOOKUP($I$3,'Writing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D14" s="49" cm="1">
        <f t="array" aca="1" ref="D14" ca="1">SUM(COUNTIFS(INDIRECT("YES_Writing_"&amp;IF($I$3="Combined",{"ELA","FLA"},VLOOKUP($I$3,'Writing Logic'!$J$2:$K$4,2,FALSE))&amp;"["&amp;VLOOKUP(B$6,'Writing Logic'!$J$7:$K$11,2,FALSE)&amp;" - Per "&amp;VLOOKUP($C$3,'Writing Logic'!$G$8:$H$14,2,FALSE)&amp;"]"),"="&amp;D$7,INDIRECT("YES_Writing_"&amp;IF($I$3="Combined",{"ELA","FLA"},VLOOKUP($I$3,'Writing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E14" s="49" cm="1">
        <f t="array" aca="1" ref="E14" ca="1">SUM(COUNTIFS(INDIRECT("YES_Writing_"&amp;IF($I$3="Combined",{"ELA","FLA"},VLOOKUP($I$3,'Writing Logic'!$J$2:$K$4,2,FALSE))&amp;"["&amp;VLOOKUP(B$6,'Writing Logic'!$J$7:$K$11,2,FALSE)&amp;" - Per "&amp;VLOOKUP($C$3,'Writing Logic'!$G$8:$H$14,2,FALSE)&amp;"]"),"="&amp;E$7,INDIRECT("YES_Writing_"&amp;IF($I$3="Combined",{"ELA","FLA"},VLOOKUP($I$3,'Writing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F14" s="49" cm="1">
        <f t="array" aca="1" ref="F14" ca="1">SUM(COUNTIFS(INDIRECT("YES_Writing_"&amp;IF($I$3="Combined",{"ELA","FLA"},VLOOKUP($I$3,'Writing Logic'!$J$2:$K$4,2,FALSE))&amp;"["&amp;VLOOKUP(B$6,'Writing Logic'!$J$7:$K$11,2,FALSE)&amp;" - Per "&amp;VLOOKUP($C$3,'Writing Logic'!$G$8:$H$14,2,FALSE)&amp;"]"),"="&amp;F$7,INDIRECT("YES_Writing_"&amp;IF($I$3="Combined",{"ELA","FLA"},VLOOKUP($I$3,'Writing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G14" s="146" cm="1">
        <f t="array" aca="1" ref="G14" ca="1">SUM(COUNTIFS(INDIRECT("YES_Writing_"&amp;IF($I$3="Combined",{"ELA","FLA"},VLOOKUP($I$3,'Writing Logic'!$J$2:$K$4,2,FALSE))&amp;"["&amp;VLOOKUP(B$6,'Writing Logic'!$J$7:$K$11,2,FALSE)&amp;" - Per "&amp;VLOOKUP($C$3,'Writing Logic'!$G$8:$H$14,2,FALSE)&amp;"]"),"="&amp;G$7,INDIRECT("YES_Writing_"&amp;IF($I$3="Combined",{"ELA","FLA"},VLOOKUP($I$3,'Writing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H14" s="52" cm="1">
        <f t="array" aca="1" ref="H14" ca="1">SUM(COUNTIFS(INDIRECT("YES_Writing_"&amp;IF($I$3="Combined",{"ELA","FLA"},VLOOKUP($I$3,'Writing Logic'!$J$2:$K$4,2,FALSE))&amp;"["&amp;VLOOKUP(H$6,'Writing Logic'!$J$7:$K$11,2,FALSE)&amp;" - Per "&amp;VLOOKUP($C$3,'Writing Logic'!$G$8:$H$14,2,FALSE)&amp;"]"),"="&amp;H$7,INDIRECT("YES_Writing_"&amp;IF($I$3="Combined",{"ELA","FLA"},VLOOKUP($I$3,'Writing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I14" s="49" cm="1">
        <f t="array" aca="1" ref="I14" ca="1">SUM(COUNTIFS(INDIRECT("YES_Writing_"&amp;IF($I$3="Combined",{"ELA","FLA"},VLOOKUP($I$3,'Writing Logic'!$J$2:$K$4,2,FALSE))&amp;"["&amp;VLOOKUP(H$6,'Writing Logic'!$J$7:$K$11,2,FALSE)&amp;" - Per "&amp;VLOOKUP($C$3,'Writing Logic'!$G$8:$H$14,2,FALSE)&amp;"]"),"="&amp;I$7,INDIRECT("YES_Writing_"&amp;IF($I$3="Combined",{"ELA","FLA"},VLOOKUP($I$3,'Writing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J14" s="49" cm="1">
        <f t="array" aca="1" ref="J14" ca="1">SUM(COUNTIFS(INDIRECT("YES_Writing_"&amp;IF($I$3="Combined",{"ELA","FLA"},VLOOKUP($I$3,'Writing Logic'!$J$2:$K$4,2,FALSE))&amp;"["&amp;VLOOKUP(H$6,'Writing Logic'!$J$7:$K$11,2,FALSE)&amp;" - Per "&amp;VLOOKUP($C$3,'Writing Logic'!$G$8:$H$14,2,FALSE)&amp;"]"),"="&amp;J$7,INDIRECT("YES_Writing_"&amp;IF($I$3="Combined",{"ELA","FLA"},VLOOKUP($I$3,'Writing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K14" s="49" cm="1">
        <f t="array" aca="1" ref="K14" ca="1">SUM(COUNTIFS(INDIRECT("YES_Writing_"&amp;IF($I$3="Combined",{"ELA","FLA"},VLOOKUP($I$3,'Writing Logic'!$J$2:$K$4,2,FALSE))&amp;"["&amp;VLOOKUP(H$6,'Writing Logic'!$J$7:$K$11,2,FALSE)&amp;" - Per "&amp;VLOOKUP($C$3,'Writing Logic'!$G$8:$H$14,2,FALSE)&amp;"]"),"="&amp;K$7,INDIRECT("YES_Writing_"&amp;IF($I$3="Combined",{"ELA","FLA"},VLOOKUP($I$3,'Writing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L14" s="146" cm="1">
        <f t="array" aca="1" ref="L14" ca="1">SUM(COUNTIFS(INDIRECT("YES_Writing_"&amp;IF($I$3="Combined",{"ELA","FLA"},VLOOKUP($I$3,'Writing Logic'!$J$2:$K$4,2,FALSE))&amp;"["&amp;VLOOKUP(H$6,'Writing Logic'!$J$7:$K$11,2,FALSE)&amp;" - Per "&amp;VLOOKUP($C$3,'Writing Logic'!$G$8:$H$14,2,FALSE)&amp;"]"),"="&amp;L$7,INDIRECT("YES_Writing_"&amp;IF($I$3="Combined",{"ELA","FLA"},VLOOKUP($I$3,'Writing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M14" s="52" cm="1">
        <f t="array" aca="1" ref="M14" ca="1">SUM(COUNTIFS(INDIRECT("YES_Writing_"&amp;IF($I$3="Combined",{"ELA","FLA"},VLOOKUP($I$3,'Writing Logic'!$J$2:$K$4,2,FALSE))&amp;"["&amp;VLOOKUP(M$6,'Writing Logic'!$J$7:$K$11,2,FALSE)&amp;" - Per "&amp;VLOOKUP($C$3,'Writing Logic'!$G$8:$H$14,2,FALSE)&amp;"]"),"="&amp;M$7,INDIRECT("YES_Writing_"&amp;IF($I$3="Combined",{"ELA","FLA"},VLOOKUP($I$3,'Writing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N14" s="49" cm="1">
        <f t="array" aca="1" ref="N14" ca="1">SUM(COUNTIFS(INDIRECT("YES_Writing_"&amp;IF($I$3="Combined",{"ELA","FLA"},VLOOKUP($I$3,'Writing Logic'!$J$2:$K$4,2,FALSE))&amp;"["&amp;VLOOKUP(M$6,'Writing Logic'!$J$7:$K$11,2,FALSE)&amp;" - Per "&amp;VLOOKUP($C$3,'Writing Logic'!$G$8:$H$14,2,FALSE)&amp;"]"),"="&amp;N$7,INDIRECT("YES_Writing_"&amp;IF($I$3="Combined",{"ELA","FLA"},VLOOKUP($I$3,'Writing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O14" s="49" cm="1">
        <f t="array" aca="1" ref="O14" ca="1">SUM(COUNTIFS(INDIRECT("YES_Writing_"&amp;IF($I$3="Combined",{"ELA","FLA"},VLOOKUP($I$3,'Writing Logic'!$J$2:$K$4,2,FALSE))&amp;"["&amp;VLOOKUP(M$6,'Writing Logic'!$J$7:$K$11,2,FALSE)&amp;" - Per "&amp;VLOOKUP($C$3,'Writing Logic'!$G$8:$H$14,2,FALSE)&amp;"]"),"="&amp;O$7,INDIRECT("YES_Writing_"&amp;IF($I$3="Combined",{"ELA","FLA"},VLOOKUP($I$3,'Writing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P14" s="49" cm="1">
        <f t="array" aca="1" ref="P14" ca="1">SUM(COUNTIFS(INDIRECT("YES_Writing_"&amp;IF($I$3="Combined",{"ELA","FLA"},VLOOKUP($I$3,'Writing Logic'!$J$2:$K$4,2,FALSE))&amp;"["&amp;VLOOKUP(M$6,'Writing Logic'!$J$7:$K$11,2,FALSE)&amp;" - Per "&amp;VLOOKUP($C$3,'Writing Logic'!$G$8:$H$14,2,FALSE)&amp;"]"),"="&amp;P$7,INDIRECT("YES_Writing_"&amp;IF($I$3="Combined",{"ELA","FLA"},VLOOKUP($I$3,'Writing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Q14" s="146" cm="1">
        <f t="array" aca="1" ref="Q14" ca="1">SUM(COUNTIFS(INDIRECT("YES_Writing_"&amp;IF($I$3="Combined",{"ELA","FLA"},VLOOKUP($I$3,'Writing Logic'!$J$2:$K$4,2,FALSE))&amp;"["&amp;VLOOKUP(M$6,'Writing Logic'!$J$7:$K$11,2,FALSE)&amp;" - Per "&amp;VLOOKUP($C$3,'Writing Logic'!$G$8:$H$14,2,FALSE)&amp;"]"),"="&amp;Q$7,INDIRECT("YES_Writing_"&amp;IF($I$3="Combined",{"ELA","FLA"},VLOOKUP($I$3,'Writing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R14" s="147" cm="1">
        <f t="array" aca="1" ref="R14" ca="1">SUM(COUNTIFS(INDIRECT("YES_Writing_"&amp;IF($I$3="Combined",{"ELA","FLA"},VLOOKUP($I$3,'Writing Logic'!$J$2:$K$4,2,FALSE))&amp;"["&amp;VLOOKUP(R$6,'Writing Logic'!$J$7:$K$11,2,FALSE)&amp;" - Per "&amp;VLOOKUP($C$3,'Writing Logic'!$G$8:$H$14,2,FALSE)&amp;"]"),"="&amp;R$7,INDIRECT("YES_Writing_"&amp;IF($I$3="Combined",{"ELA","FLA"},VLOOKUP($I$3,'Writing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S14" s="49" cm="1">
        <f t="array" aca="1" ref="S14" ca="1">SUM(COUNTIFS(INDIRECT("YES_Writing_"&amp;IF($I$3="Combined",{"ELA","FLA"},VLOOKUP($I$3,'Writing Logic'!$J$2:$K$4,2,FALSE))&amp;"["&amp;VLOOKUP(R$6,'Writing Logic'!$J$7:$K$11,2,FALSE)&amp;" - Per "&amp;VLOOKUP($C$3,'Writing Logic'!$G$8:$H$14,2,FALSE)&amp;"]"),"="&amp;S$7,INDIRECT("YES_Writing_"&amp;IF($I$3="Combined",{"ELA","FLA"},VLOOKUP($I$3,'Writing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T14" s="49" cm="1">
        <f t="array" aca="1" ref="T14" ca="1">SUM(COUNTIFS(INDIRECT("YES_Writing_"&amp;IF($I$3="Combined",{"ELA","FLA"},VLOOKUP($I$3,'Writing Logic'!$J$2:$K$4,2,FALSE))&amp;"["&amp;VLOOKUP(R$6,'Writing Logic'!$J$7:$K$11,2,FALSE)&amp;" - Per "&amp;VLOOKUP($C$3,'Writing Logic'!$G$8:$H$14,2,FALSE)&amp;"]"),"="&amp;T$7,INDIRECT("YES_Writing_"&amp;IF($I$3="Combined",{"ELA","FLA"},VLOOKUP($I$3,'Writing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U14" s="49" cm="1">
        <f t="array" aca="1" ref="U14" ca="1">SUM(COUNTIFS(INDIRECT("YES_Writing_"&amp;IF($I$3="Combined",{"ELA","FLA"},VLOOKUP($I$3,'Writing Logic'!$J$2:$K$4,2,FALSE))&amp;"["&amp;VLOOKUP(R$6,'Writing Logic'!$J$7:$K$11,2,FALSE)&amp;" - Per "&amp;VLOOKUP($C$3,'Writing Logic'!$G$8:$H$14,2,FALSE)&amp;"]"),"="&amp;U$7,INDIRECT("YES_Writing_"&amp;IF($I$3="Combined",{"ELA","FLA"},VLOOKUP($I$3,'Writing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c r="V14" s="146" cm="1">
        <f t="array" aca="1" ref="V14" ca="1">SUM(COUNTIFS(INDIRECT("YES_Writing_"&amp;IF($I$3="Combined",{"ELA","FLA"},VLOOKUP($I$3,'Writing Logic'!$J$2:$K$4,2,FALSE))&amp;"["&amp;VLOOKUP(R$6,'Writing Logic'!$J$7:$K$11,2,FALSE)&amp;" - Per "&amp;VLOOKUP($C$3,'Writing Logic'!$G$8:$H$14,2,FALSE)&amp;"]"),"="&amp;V$7,INDIRECT("YES_Writing_"&amp;IF($I$3="Combined",{"ELA","FLA"},VLOOKUP($I$3,'Writing Logic'!$J$2:$K$4,2,FALSE))&amp;"[Grade]"),$A14,INDIRECT("YES_Writing_"&amp;IF($I$3="Combined",{"ELA","FLA"},VLOOKUP($I$3,'Writing Logic'!$J$2:$K$4,2,FALSE))&amp;"[Literacy IPP]"),"&lt;&gt;Yes",INDIRECT("YES_Writing_"&amp;IF($I$3="Combined",{"ELA","FLA"},VLOOKUP($I$3,'Writing Logic'!$J$2:$K$4,2,FALSE))&amp;"[School]"),IF($C$2="TCRCE","*",$C$2)))</f>
        <v>0</v>
      </c>
    </row>
    <row r="15" spans="1:22" s="99" customFormat="1" ht="14.25" customHeight="1" x14ac:dyDescent="0.25">
      <c r="A15" s="145">
        <v>7</v>
      </c>
      <c r="B15" s="52" cm="1">
        <f t="array" aca="1" ref="B15" ca="1">SUM(COUNTIFS(INDIRECT("YES_Writing_"&amp;IF($I$3="Combined",{"ELA","FLA"},VLOOKUP($I$3,'Writing Logic'!$J$2:$K$4,2,FALSE))&amp;"["&amp;VLOOKUP(B$6,'Writing Logic'!$J$7:$K$11,2,FALSE)&amp;" - Per "&amp;VLOOKUP($C$3,'Writing Logic'!$G$8:$H$14,2,FALSE)&amp;"]"),"="&amp;B$7,INDIRECT("YES_Writing_"&amp;IF($I$3="Combined",{"ELA","FLA"},VLOOKUP($I$3,'Writing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C15" s="49" cm="1">
        <f t="array" aca="1" ref="C15" ca="1">SUM(COUNTIFS(INDIRECT("YES_Writing_"&amp;IF($I$3="Combined",{"ELA","FLA"},VLOOKUP($I$3,'Writing Logic'!$J$2:$K$4,2,FALSE))&amp;"["&amp;VLOOKUP(B$6,'Writing Logic'!$J$7:$K$11,2,FALSE)&amp;" - Per "&amp;VLOOKUP($C$3,'Writing Logic'!$G$8:$H$14,2,FALSE)&amp;"]"),"="&amp;C$7,INDIRECT("YES_Writing_"&amp;IF($I$3="Combined",{"ELA","FLA"},VLOOKUP($I$3,'Writing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D15" s="49" cm="1">
        <f t="array" aca="1" ref="D15" ca="1">SUM(COUNTIFS(INDIRECT("YES_Writing_"&amp;IF($I$3="Combined",{"ELA","FLA"},VLOOKUP($I$3,'Writing Logic'!$J$2:$K$4,2,FALSE))&amp;"["&amp;VLOOKUP(B$6,'Writing Logic'!$J$7:$K$11,2,FALSE)&amp;" - Per "&amp;VLOOKUP($C$3,'Writing Logic'!$G$8:$H$14,2,FALSE)&amp;"]"),"="&amp;D$7,INDIRECT("YES_Writing_"&amp;IF($I$3="Combined",{"ELA","FLA"},VLOOKUP($I$3,'Writing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E15" s="49" cm="1">
        <f t="array" aca="1" ref="E15" ca="1">SUM(COUNTIFS(INDIRECT("YES_Writing_"&amp;IF($I$3="Combined",{"ELA","FLA"},VLOOKUP($I$3,'Writing Logic'!$J$2:$K$4,2,FALSE))&amp;"["&amp;VLOOKUP(B$6,'Writing Logic'!$J$7:$K$11,2,FALSE)&amp;" - Per "&amp;VLOOKUP($C$3,'Writing Logic'!$G$8:$H$14,2,FALSE)&amp;"]"),"="&amp;E$7,INDIRECT("YES_Writing_"&amp;IF($I$3="Combined",{"ELA","FLA"},VLOOKUP($I$3,'Writing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F15" s="49" cm="1">
        <f t="array" aca="1" ref="F15" ca="1">SUM(COUNTIFS(INDIRECT("YES_Writing_"&amp;IF($I$3="Combined",{"ELA","FLA"},VLOOKUP($I$3,'Writing Logic'!$J$2:$K$4,2,FALSE))&amp;"["&amp;VLOOKUP(B$6,'Writing Logic'!$J$7:$K$11,2,FALSE)&amp;" - Per "&amp;VLOOKUP($C$3,'Writing Logic'!$G$8:$H$14,2,FALSE)&amp;"]"),"="&amp;F$7,INDIRECT("YES_Writing_"&amp;IF($I$3="Combined",{"ELA","FLA"},VLOOKUP($I$3,'Writing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G15" s="146" cm="1">
        <f t="array" aca="1" ref="G15" ca="1">SUM(COUNTIFS(INDIRECT("YES_Writing_"&amp;IF($I$3="Combined",{"ELA","FLA"},VLOOKUP($I$3,'Writing Logic'!$J$2:$K$4,2,FALSE))&amp;"["&amp;VLOOKUP(B$6,'Writing Logic'!$J$7:$K$11,2,FALSE)&amp;" - Per "&amp;VLOOKUP($C$3,'Writing Logic'!$G$8:$H$14,2,FALSE)&amp;"]"),"="&amp;G$7,INDIRECT("YES_Writing_"&amp;IF($I$3="Combined",{"ELA","FLA"},VLOOKUP($I$3,'Writing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H15" s="52" cm="1">
        <f t="array" aca="1" ref="H15" ca="1">SUM(COUNTIFS(INDIRECT("YES_Writing_"&amp;IF($I$3="Combined",{"ELA","FLA"},VLOOKUP($I$3,'Writing Logic'!$J$2:$K$4,2,FALSE))&amp;"["&amp;VLOOKUP(H$6,'Writing Logic'!$J$7:$K$11,2,FALSE)&amp;" - Per "&amp;VLOOKUP($C$3,'Writing Logic'!$G$8:$H$14,2,FALSE)&amp;"]"),"="&amp;H$7,INDIRECT("YES_Writing_"&amp;IF($I$3="Combined",{"ELA","FLA"},VLOOKUP($I$3,'Writing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I15" s="49" cm="1">
        <f t="array" aca="1" ref="I15" ca="1">SUM(COUNTIFS(INDIRECT("YES_Writing_"&amp;IF($I$3="Combined",{"ELA","FLA"},VLOOKUP($I$3,'Writing Logic'!$J$2:$K$4,2,FALSE))&amp;"["&amp;VLOOKUP(H$6,'Writing Logic'!$J$7:$K$11,2,FALSE)&amp;" - Per "&amp;VLOOKUP($C$3,'Writing Logic'!$G$8:$H$14,2,FALSE)&amp;"]"),"="&amp;I$7,INDIRECT("YES_Writing_"&amp;IF($I$3="Combined",{"ELA","FLA"},VLOOKUP($I$3,'Writing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J15" s="49" cm="1">
        <f t="array" aca="1" ref="J15" ca="1">SUM(COUNTIFS(INDIRECT("YES_Writing_"&amp;IF($I$3="Combined",{"ELA","FLA"},VLOOKUP($I$3,'Writing Logic'!$J$2:$K$4,2,FALSE))&amp;"["&amp;VLOOKUP(H$6,'Writing Logic'!$J$7:$K$11,2,FALSE)&amp;" - Per "&amp;VLOOKUP($C$3,'Writing Logic'!$G$8:$H$14,2,FALSE)&amp;"]"),"="&amp;J$7,INDIRECT("YES_Writing_"&amp;IF($I$3="Combined",{"ELA","FLA"},VLOOKUP($I$3,'Writing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K15" s="49" cm="1">
        <f t="array" aca="1" ref="K15" ca="1">SUM(COUNTIFS(INDIRECT("YES_Writing_"&amp;IF($I$3="Combined",{"ELA","FLA"},VLOOKUP($I$3,'Writing Logic'!$J$2:$K$4,2,FALSE))&amp;"["&amp;VLOOKUP(H$6,'Writing Logic'!$J$7:$K$11,2,FALSE)&amp;" - Per "&amp;VLOOKUP($C$3,'Writing Logic'!$G$8:$H$14,2,FALSE)&amp;"]"),"="&amp;K$7,INDIRECT("YES_Writing_"&amp;IF($I$3="Combined",{"ELA","FLA"},VLOOKUP($I$3,'Writing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L15" s="146" cm="1">
        <f t="array" aca="1" ref="L15" ca="1">SUM(COUNTIFS(INDIRECT("YES_Writing_"&amp;IF($I$3="Combined",{"ELA","FLA"},VLOOKUP($I$3,'Writing Logic'!$J$2:$K$4,2,FALSE))&amp;"["&amp;VLOOKUP(H$6,'Writing Logic'!$J$7:$K$11,2,FALSE)&amp;" - Per "&amp;VLOOKUP($C$3,'Writing Logic'!$G$8:$H$14,2,FALSE)&amp;"]"),"="&amp;L$7,INDIRECT("YES_Writing_"&amp;IF($I$3="Combined",{"ELA","FLA"},VLOOKUP($I$3,'Writing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M15" s="52" cm="1">
        <f t="array" aca="1" ref="M15" ca="1">SUM(COUNTIFS(INDIRECT("YES_Writing_"&amp;IF($I$3="Combined",{"ELA","FLA"},VLOOKUP($I$3,'Writing Logic'!$J$2:$K$4,2,FALSE))&amp;"["&amp;VLOOKUP(M$6,'Writing Logic'!$J$7:$K$11,2,FALSE)&amp;" - Per "&amp;VLOOKUP($C$3,'Writing Logic'!$G$8:$H$14,2,FALSE)&amp;"]"),"="&amp;M$7,INDIRECT("YES_Writing_"&amp;IF($I$3="Combined",{"ELA","FLA"},VLOOKUP($I$3,'Writing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N15" s="49" cm="1">
        <f t="array" aca="1" ref="N15" ca="1">SUM(COUNTIFS(INDIRECT("YES_Writing_"&amp;IF($I$3="Combined",{"ELA","FLA"},VLOOKUP($I$3,'Writing Logic'!$J$2:$K$4,2,FALSE))&amp;"["&amp;VLOOKUP(M$6,'Writing Logic'!$J$7:$K$11,2,FALSE)&amp;" - Per "&amp;VLOOKUP($C$3,'Writing Logic'!$G$8:$H$14,2,FALSE)&amp;"]"),"="&amp;N$7,INDIRECT("YES_Writing_"&amp;IF($I$3="Combined",{"ELA","FLA"},VLOOKUP($I$3,'Writing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O15" s="49" cm="1">
        <f t="array" aca="1" ref="O15" ca="1">SUM(COUNTIFS(INDIRECT("YES_Writing_"&amp;IF($I$3="Combined",{"ELA","FLA"},VLOOKUP($I$3,'Writing Logic'!$J$2:$K$4,2,FALSE))&amp;"["&amp;VLOOKUP(M$6,'Writing Logic'!$J$7:$K$11,2,FALSE)&amp;" - Per "&amp;VLOOKUP($C$3,'Writing Logic'!$G$8:$H$14,2,FALSE)&amp;"]"),"="&amp;O$7,INDIRECT("YES_Writing_"&amp;IF($I$3="Combined",{"ELA","FLA"},VLOOKUP($I$3,'Writing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P15" s="49" cm="1">
        <f t="array" aca="1" ref="P15" ca="1">SUM(COUNTIFS(INDIRECT("YES_Writing_"&amp;IF($I$3="Combined",{"ELA","FLA"},VLOOKUP($I$3,'Writing Logic'!$J$2:$K$4,2,FALSE))&amp;"["&amp;VLOOKUP(M$6,'Writing Logic'!$J$7:$K$11,2,FALSE)&amp;" - Per "&amp;VLOOKUP($C$3,'Writing Logic'!$G$8:$H$14,2,FALSE)&amp;"]"),"="&amp;P$7,INDIRECT("YES_Writing_"&amp;IF($I$3="Combined",{"ELA","FLA"},VLOOKUP($I$3,'Writing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Q15" s="146" cm="1">
        <f t="array" aca="1" ref="Q15" ca="1">SUM(COUNTIFS(INDIRECT("YES_Writing_"&amp;IF($I$3="Combined",{"ELA","FLA"},VLOOKUP($I$3,'Writing Logic'!$J$2:$K$4,2,FALSE))&amp;"["&amp;VLOOKUP(M$6,'Writing Logic'!$J$7:$K$11,2,FALSE)&amp;" - Per "&amp;VLOOKUP($C$3,'Writing Logic'!$G$8:$H$14,2,FALSE)&amp;"]"),"="&amp;Q$7,INDIRECT("YES_Writing_"&amp;IF($I$3="Combined",{"ELA","FLA"},VLOOKUP($I$3,'Writing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R15" s="147" cm="1">
        <f t="array" aca="1" ref="R15" ca="1">SUM(COUNTIFS(INDIRECT("YES_Writing_"&amp;IF($I$3="Combined",{"ELA","FLA"},VLOOKUP($I$3,'Writing Logic'!$J$2:$K$4,2,FALSE))&amp;"["&amp;VLOOKUP(R$6,'Writing Logic'!$J$7:$K$11,2,FALSE)&amp;" - Per "&amp;VLOOKUP($C$3,'Writing Logic'!$G$8:$H$14,2,FALSE)&amp;"]"),"="&amp;R$7,INDIRECT("YES_Writing_"&amp;IF($I$3="Combined",{"ELA","FLA"},VLOOKUP($I$3,'Writing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S15" s="49" cm="1">
        <f t="array" aca="1" ref="S15" ca="1">SUM(COUNTIFS(INDIRECT("YES_Writing_"&amp;IF($I$3="Combined",{"ELA","FLA"},VLOOKUP($I$3,'Writing Logic'!$J$2:$K$4,2,FALSE))&amp;"["&amp;VLOOKUP(R$6,'Writing Logic'!$J$7:$K$11,2,FALSE)&amp;" - Per "&amp;VLOOKUP($C$3,'Writing Logic'!$G$8:$H$14,2,FALSE)&amp;"]"),"="&amp;S$7,INDIRECT("YES_Writing_"&amp;IF($I$3="Combined",{"ELA","FLA"},VLOOKUP($I$3,'Writing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T15" s="49" cm="1">
        <f t="array" aca="1" ref="T15" ca="1">SUM(COUNTIFS(INDIRECT("YES_Writing_"&amp;IF($I$3="Combined",{"ELA","FLA"},VLOOKUP($I$3,'Writing Logic'!$J$2:$K$4,2,FALSE))&amp;"["&amp;VLOOKUP(R$6,'Writing Logic'!$J$7:$K$11,2,FALSE)&amp;" - Per "&amp;VLOOKUP($C$3,'Writing Logic'!$G$8:$H$14,2,FALSE)&amp;"]"),"="&amp;T$7,INDIRECT("YES_Writing_"&amp;IF($I$3="Combined",{"ELA","FLA"},VLOOKUP($I$3,'Writing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U15" s="49" cm="1">
        <f t="array" aca="1" ref="U15" ca="1">SUM(COUNTIFS(INDIRECT("YES_Writing_"&amp;IF($I$3="Combined",{"ELA","FLA"},VLOOKUP($I$3,'Writing Logic'!$J$2:$K$4,2,FALSE))&amp;"["&amp;VLOOKUP(R$6,'Writing Logic'!$J$7:$K$11,2,FALSE)&amp;" - Per "&amp;VLOOKUP($C$3,'Writing Logic'!$G$8:$H$14,2,FALSE)&amp;"]"),"="&amp;U$7,INDIRECT("YES_Writing_"&amp;IF($I$3="Combined",{"ELA","FLA"},VLOOKUP($I$3,'Writing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c r="V15" s="146" cm="1">
        <f t="array" aca="1" ref="V15" ca="1">SUM(COUNTIFS(INDIRECT("YES_Writing_"&amp;IF($I$3="Combined",{"ELA","FLA"},VLOOKUP($I$3,'Writing Logic'!$J$2:$K$4,2,FALSE))&amp;"["&amp;VLOOKUP(R$6,'Writing Logic'!$J$7:$K$11,2,FALSE)&amp;" - Per "&amp;VLOOKUP($C$3,'Writing Logic'!$G$8:$H$14,2,FALSE)&amp;"]"),"="&amp;V$7,INDIRECT("YES_Writing_"&amp;IF($I$3="Combined",{"ELA","FLA"},VLOOKUP($I$3,'Writing Logic'!$J$2:$K$4,2,FALSE))&amp;"[Grade]"),$A15,INDIRECT("YES_Writing_"&amp;IF($I$3="Combined",{"ELA","FLA"},VLOOKUP($I$3,'Writing Logic'!$J$2:$K$4,2,FALSE))&amp;"[Literacy IPP]"),"&lt;&gt;Yes",INDIRECT("YES_Writing_"&amp;IF($I$3="Combined",{"ELA","FLA"},VLOOKUP($I$3,'Writing Logic'!$J$2:$K$4,2,FALSE))&amp;"[School]"),IF($C$2="TCRCE","*",$C$2)))</f>
        <v>0</v>
      </c>
    </row>
    <row r="16" spans="1:22" s="99" customFormat="1" ht="14.25" customHeight="1" x14ac:dyDescent="0.25">
      <c r="A16" s="145">
        <v>8</v>
      </c>
      <c r="B16" s="52" cm="1">
        <f t="array" aca="1" ref="B16" ca="1">SUM(COUNTIFS(INDIRECT("YES_Writing_"&amp;IF($I$3="Combined",{"ELA","FLA"},VLOOKUP($I$3,'Writing Logic'!$J$2:$K$4,2,FALSE))&amp;"["&amp;VLOOKUP(B$6,'Writing Logic'!$J$7:$K$11,2,FALSE)&amp;" - Per "&amp;VLOOKUP($C$3,'Writing Logic'!$G$8:$H$14,2,FALSE)&amp;"]"),"="&amp;B$7,INDIRECT("YES_Writing_"&amp;IF($I$3="Combined",{"ELA","FLA"},VLOOKUP($I$3,'Writing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C16" s="49" cm="1">
        <f t="array" aca="1" ref="C16" ca="1">SUM(COUNTIFS(INDIRECT("YES_Writing_"&amp;IF($I$3="Combined",{"ELA","FLA"},VLOOKUP($I$3,'Writing Logic'!$J$2:$K$4,2,FALSE))&amp;"["&amp;VLOOKUP(B$6,'Writing Logic'!$J$7:$K$11,2,FALSE)&amp;" - Per "&amp;VLOOKUP($C$3,'Writing Logic'!$G$8:$H$14,2,FALSE)&amp;"]"),"="&amp;C$7,INDIRECT("YES_Writing_"&amp;IF($I$3="Combined",{"ELA","FLA"},VLOOKUP($I$3,'Writing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D16" s="49" cm="1">
        <f t="array" aca="1" ref="D16" ca="1">SUM(COUNTIFS(INDIRECT("YES_Writing_"&amp;IF($I$3="Combined",{"ELA","FLA"},VLOOKUP($I$3,'Writing Logic'!$J$2:$K$4,2,FALSE))&amp;"["&amp;VLOOKUP(B$6,'Writing Logic'!$J$7:$K$11,2,FALSE)&amp;" - Per "&amp;VLOOKUP($C$3,'Writing Logic'!$G$8:$H$14,2,FALSE)&amp;"]"),"="&amp;D$7,INDIRECT("YES_Writing_"&amp;IF($I$3="Combined",{"ELA","FLA"},VLOOKUP($I$3,'Writing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E16" s="49" cm="1">
        <f t="array" aca="1" ref="E16" ca="1">SUM(COUNTIFS(INDIRECT("YES_Writing_"&amp;IF($I$3="Combined",{"ELA","FLA"},VLOOKUP($I$3,'Writing Logic'!$J$2:$K$4,2,FALSE))&amp;"["&amp;VLOOKUP(B$6,'Writing Logic'!$J$7:$K$11,2,FALSE)&amp;" - Per "&amp;VLOOKUP($C$3,'Writing Logic'!$G$8:$H$14,2,FALSE)&amp;"]"),"="&amp;E$7,INDIRECT("YES_Writing_"&amp;IF($I$3="Combined",{"ELA","FLA"},VLOOKUP($I$3,'Writing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F16" s="49" cm="1">
        <f t="array" aca="1" ref="F16" ca="1">SUM(COUNTIFS(INDIRECT("YES_Writing_"&amp;IF($I$3="Combined",{"ELA","FLA"},VLOOKUP($I$3,'Writing Logic'!$J$2:$K$4,2,FALSE))&amp;"["&amp;VLOOKUP(B$6,'Writing Logic'!$J$7:$K$11,2,FALSE)&amp;" - Per "&amp;VLOOKUP($C$3,'Writing Logic'!$G$8:$H$14,2,FALSE)&amp;"]"),"="&amp;F$7,INDIRECT("YES_Writing_"&amp;IF($I$3="Combined",{"ELA","FLA"},VLOOKUP($I$3,'Writing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G16" s="146" cm="1">
        <f t="array" aca="1" ref="G16" ca="1">SUM(COUNTIFS(INDIRECT("YES_Writing_"&amp;IF($I$3="Combined",{"ELA","FLA"},VLOOKUP($I$3,'Writing Logic'!$J$2:$K$4,2,FALSE))&amp;"["&amp;VLOOKUP(B$6,'Writing Logic'!$J$7:$K$11,2,FALSE)&amp;" - Per "&amp;VLOOKUP($C$3,'Writing Logic'!$G$8:$H$14,2,FALSE)&amp;"]"),"="&amp;G$7,INDIRECT("YES_Writing_"&amp;IF($I$3="Combined",{"ELA","FLA"},VLOOKUP($I$3,'Writing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H16" s="52" cm="1">
        <f t="array" aca="1" ref="H16" ca="1">SUM(COUNTIFS(INDIRECT("YES_Writing_"&amp;IF($I$3="Combined",{"ELA","FLA"},VLOOKUP($I$3,'Writing Logic'!$J$2:$K$4,2,FALSE))&amp;"["&amp;VLOOKUP(H$6,'Writing Logic'!$J$7:$K$11,2,FALSE)&amp;" - Per "&amp;VLOOKUP($C$3,'Writing Logic'!$G$8:$H$14,2,FALSE)&amp;"]"),"="&amp;H$7,INDIRECT("YES_Writing_"&amp;IF($I$3="Combined",{"ELA","FLA"},VLOOKUP($I$3,'Writing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I16" s="49" cm="1">
        <f t="array" aca="1" ref="I16" ca="1">SUM(COUNTIFS(INDIRECT("YES_Writing_"&amp;IF($I$3="Combined",{"ELA","FLA"},VLOOKUP($I$3,'Writing Logic'!$J$2:$K$4,2,FALSE))&amp;"["&amp;VLOOKUP(H$6,'Writing Logic'!$J$7:$K$11,2,FALSE)&amp;" - Per "&amp;VLOOKUP($C$3,'Writing Logic'!$G$8:$H$14,2,FALSE)&amp;"]"),"="&amp;I$7,INDIRECT("YES_Writing_"&amp;IF($I$3="Combined",{"ELA","FLA"},VLOOKUP($I$3,'Writing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J16" s="49" cm="1">
        <f t="array" aca="1" ref="J16" ca="1">SUM(COUNTIFS(INDIRECT("YES_Writing_"&amp;IF($I$3="Combined",{"ELA","FLA"},VLOOKUP($I$3,'Writing Logic'!$J$2:$K$4,2,FALSE))&amp;"["&amp;VLOOKUP(H$6,'Writing Logic'!$J$7:$K$11,2,FALSE)&amp;" - Per "&amp;VLOOKUP($C$3,'Writing Logic'!$G$8:$H$14,2,FALSE)&amp;"]"),"="&amp;J$7,INDIRECT("YES_Writing_"&amp;IF($I$3="Combined",{"ELA","FLA"},VLOOKUP($I$3,'Writing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K16" s="49" cm="1">
        <f t="array" aca="1" ref="K16" ca="1">SUM(COUNTIFS(INDIRECT("YES_Writing_"&amp;IF($I$3="Combined",{"ELA","FLA"},VLOOKUP($I$3,'Writing Logic'!$J$2:$K$4,2,FALSE))&amp;"["&amp;VLOOKUP(H$6,'Writing Logic'!$J$7:$K$11,2,FALSE)&amp;" - Per "&amp;VLOOKUP($C$3,'Writing Logic'!$G$8:$H$14,2,FALSE)&amp;"]"),"="&amp;K$7,INDIRECT("YES_Writing_"&amp;IF($I$3="Combined",{"ELA","FLA"},VLOOKUP($I$3,'Writing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L16" s="146" cm="1">
        <f t="array" aca="1" ref="L16" ca="1">SUM(COUNTIFS(INDIRECT("YES_Writing_"&amp;IF($I$3="Combined",{"ELA","FLA"},VLOOKUP($I$3,'Writing Logic'!$J$2:$K$4,2,FALSE))&amp;"["&amp;VLOOKUP(H$6,'Writing Logic'!$J$7:$K$11,2,FALSE)&amp;" - Per "&amp;VLOOKUP($C$3,'Writing Logic'!$G$8:$H$14,2,FALSE)&amp;"]"),"="&amp;L$7,INDIRECT("YES_Writing_"&amp;IF($I$3="Combined",{"ELA","FLA"},VLOOKUP($I$3,'Writing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M16" s="52" cm="1">
        <f t="array" aca="1" ref="M16" ca="1">SUM(COUNTIFS(INDIRECT("YES_Writing_"&amp;IF($I$3="Combined",{"ELA","FLA"},VLOOKUP($I$3,'Writing Logic'!$J$2:$K$4,2,FALSE))&amp;"["&amp;VLOOKUP(M$6,'Writing Logic'!$J$7:$K$11,2,FALSE)&amp;" - Per "&amp;VLOOKUP($C$3,'Writing Logic'!$G$8:$H$14,2,FALSE)&amp;"]"),"="&amp;M$7,INDIRECT("YES_Writing_"&amp;IF($I$3="Combined",{"ELA","FLA"},VLOOKUP($I$3,'Writing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N16" s="49" cm="1">
        <f t="array" aca="1" ref="N16" ca="1">SUM(COUNTIFS(INDIRECT("YES_Writing_"&amp;IF($I$3="Combined",{"ELA","FLA"},VLOOKUP($I$3,'Writing Logic'!$J$2:$K$4,2,FALSE))&amp;"["&amp;VLOOKUP(M$6,'Writing Logic'!$J$7:$K$11,2,FALSE)&amp;" - Per "&amp;VLOOKUP($C$3,'Writing Logic'!$G$8:$H$14,2,FALSE)&amp;"]"),"="&amp;N$7,INDIRECT("YES_Writing_"&amp;IF($I$3="Combined",{"ELA","FLA"},VLOOKUP($I$3,'Writing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O16" s="49" cm="1">
        <f t="array" aca="1" ref="O16" ca="1">SUM(COUNTIFS(INDIRECT("YES_Writing_"&amp;IF($I$3="Combined",{"ELA","FLA"},VLOOKUP($I$3,'Writing Logic'!$J$2:$K$4,2,FALSE))&amp;"["&amp;VLOOKUP(M$6,'Writing Logic'!$J$7:$K$11,2,FALSE)&amp;" - Per "&amp;VLOOKUP($C$3,'Writing Logic'!$G$8:$H$14,2,FALSE)&amp;"]"),"="&amp;O$7,INDIRECT("YES_Writing_"&amp;IF($I$3="Combined",{"ELA","FLA"},VLOOKUP($I$3,'Writing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P16" s="49" cm="1">
        <f t="array" aca="1" ref="P16" ca="1">SUM(COUNTIFS(INDIRECT("YES_Writing_"&amp;IF($I$3="Combined",{"ELA","FLA"},VLOOKUP($I$3,'Writing Logic'!$J$2:$K$4,2,FALSE))&amp;"["&amp;VLOOKUP(M$6,'Writing Logic'!$J$7:$K$11,2,FALSE)&amp;" - Per "&amp;VLOOKUP($C$3,'Writing Logic'!$G$8:$H$14,2,FALSE)&amp;"]"),"="&amp;P$7,INDIRECT("YES_Writing_"&amp;IF($I$3="Combined",{"ELA","FLA"},VLOOKUP($I$3,'Writing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Q16" s="146" cm="1">
        <f t="array" aca="1" ref="Q16" ca="1">SUM(COUNTIFS(INDIRECT("YES_Writing_"&amp;IF($I$3="Combined",{"ELA","FLA"},VLOOKUP($I$3,'Writing Logic'!$J$2:$K$4,2,FALSE))&amp;"["&amp;VLOOKUP(M$6,'Writing Logic'!$J$7:$K$11,2,FALSE)&amp;" - Per "&amp;VLOOKUP($C$3,'Writing Logic'!$G$8:$H$14,2,FALSE)&amp;"]"),"="&amp;Q$7,INDIRECT("YES_Writing_"&amp;IF($I$3="Combined",{"ELA","FLA"},VLOOKUP($I$3,'Writing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R16" s="147" cm="1">
        <f t="array" aca="1" ref="R16" ca="1">SUM(COUNTIFS(INDIRECT("YES_Writing_"&amp;IF($I$3="Combined",{"ELA","FLA"},VLOOKUP($I$3,'Writing Logic'!$J$2:$K$4,2,FALSE))&amp;"["&amp;VLOOKUP(R$6,'Writing Logic'!$J$7:$K$11,2,FALSE)&amp;" - Per "&amp;VLOOKUP($C$3,'Writing Logic'!$G$8:$H$14,2,FALSE)&amp;"]"),"="&amp;R$7,INDIRECT("YES_Writing_"&amp;IF($I$3="Combined",{"ELA","FLA"},VLOOKUP($I$3,'Writing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S16" s="49" cm="1">
        <f t="array" aca="1" ref="S16" ca="1">SUM(COUNTIFS(INDIRECT("YES_Writing_"&amp;IF($I$3="Combined",{"ELA","FLA"},VLOOKUP($I$3,'Writing Logic'!$J$2:$K$4,2,FALSE))&amp;"["&amp;VLOOKUP(R$6,'Writing Logic'!$J$7:$K$11,2,FALSE)&amp;" - Per "&amp;VLOOKUP($C$3,'Writing Logic'!$G$8:$H$14,2,FALSE)&amp;"]"),"="&amp;S$7,INDIRECT("YES_Writing_"&amp;IF($I$3="Combined",{"ELA","FLA"},VLOOKUP($I$3,'Writing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T16" s="49" cm="1">
        <f t="array" aca="1" ref="T16" ca="1">SUM(COUNTIFS(INDIRECT("YES_Writing_"&amp;IF($I$3="Combined",{"ELA","FLA"},VLOOKUP($I$3,'Writing Logic'!$J$2:$K$4,2,FALSE))&amp;"["&amp;VLOOKUP(R$6,'Writing Logic'!$J$7:$K$11,2,FALSE)&amp;" - Per "&amp;VLOOKUP($C$3,'Writing Logic'!$G$8:$H$14,2,FALSE)&amp;"]"),"="&amp;T$7,INDIRECT("YES_Writing_"&amp;IF($I$3="Combined",{"ELA","FLA"},VLOOKUP($I$3,'Writing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U16" s="49" cm="1">
        <f t="array" aca="1" ref="U16" ca="1">SUM(COUNTIFS(INDIRECT("YES_Writing_"&amp;IF($I$3="Combined",{"ELA","FLA"},VLOOKUP($I$3,'Writing Logic'!$J$2:$K$4,2,FALSE))&amp;"["&amp;VLOOKUP(R$6,'Writing Logic'!$J$7:$K$11,2,FALSE)&amp;" - Per "&amp;VLOOKUP($C$3,'Writing Logic'!$G$8:$H$14,2,FALSE)&amp;"]"),"="&amp;U$7,INDIRECT("YES_Writing_"&amp;IF($I$3="Combined",{"ELA","FLA"},VLOOKUP($I$3,'Writing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c r="V16" s="146" cm="1">
        <f t="array" aca="1" ref="V16" ca="1">SUM(COUNTIFS(INDIRECT("YES_Writing_"&amp;IF($I$3="Combined",{"ELA","FLA"},VLOOKUP($I$3,'Writing Logic'!$J$2:$K$4,2,FALSE))&amp;"["&amp;VLOOKUP(R$6,'Writing Logic'!$J$7:$K$11,2,FALSE)&amp;" - Per "&amp;VLOOKUP($C$3,'Writing Logic'!$G$8:$H$14,2,FALSE)&amp;"]"),"="&amp;V$7,INDIRECT("YES_Writing_"&amp;IF($I$3="Combined",{"ELA","FLA"},VLOOKUP($I$3,'Writing Logic'!$J$2:$K$4,2,FALSE))&amp;"[Grade]"),$A16,INDIRECT("YES_Writing_"&amp;IF($I$3="Combined",{"ELA","FLA"},VLOOKUP($I$3,'Writing Logic'!$J$2:$K$4,2,FALSE))&amp;"[Literacy IPP]"),"&lt;&gt;Yes",INDIRECT("YES_Writing_"&amp;IF($I$3="Combined",{"ELA","FLA"},VLOOKUP($I$3,'Writing Logic'!$J$2:$K$4,2,FALSE))&amp;"[School]"),IF($C$2="TCRCE","*",$C$2)))</f>
        <v>0</v>
      </c>
    </row>
    <row r="17" spans="1:22" s="99" customFormat="1" ht="14.25" customHeight="1" x14ac:dyDescent="0.25">
      <c r="A17" s="145">
        <v>9</v>
      </c>
      <c r="B17" s="52" cm="1">
        <f t="array" aca="1" ref="B17" ca="1">SUM(COUNTIFS(INDIRECT("YES_Writing_"&amp;IF($I$3="Combined",{"ELA","FLA"},VLOOKUP($I$3,'Writing Logic'!$J$2:$K$4,2,FALSE))&amp;"["&amp;VLOOKUP(B$6,'Writing Logic'!$J$7:$K$11,2,FALSE)&amp;" - Per "&amp;VLOOKUP($C$3,'Writing Logic'!$G$8:$H$14,2,FALSE)&amp;"]"),"="&amp;B$7,INDIRECT("YES_Writing_"&amp;IF($I$3="Combined",{"ELA","FLA"},VLOOKUP($I$3,'Writing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C17" s="49" cm="1">
        <f t="array" aca="1" ref="C17" ca="1">SUM(COUNTIFS(INDIRECT("YES_Writing_"&amp;IF($I$3="Combined",{"ELA","FLA"},VLOOKUP($I$3,'Writing Logic'!$J$2:$K$4,2,FALSE))&amp;"["&amp;VLOOKUP(B$6,'Writing Logic'!$J$7:$K$11,2,FALSE)&amp;" - Per "&amp;VLOOKUP($C$3,'Writing Logic'!$G$8:$H$14,2,FALSE)&amp;"]"),"="&amp;C$7,INDIRECT("YES_Writing_"&amp;IF($I$3="Combined",{"ELA","FLA"},VLOOKUP($I$3,'Writing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D17" s="49" cm="1">
        <f t="array" aca="1" ref="D17" ca="1">SUM(COUNTIFS(INDIRECT("YES_Writing_"&amp;IF($I$3="Combined",{"ELA","FLA"},VLOOKUP($I$3,'Writing Logic'!$J$2:$K$4,2,FALSE))&amp;"["&amp;VLOOKUP(B$6,'Writing Logic'!$J$7:$K$11,2,FALSE)&amp;" - Per "&amp;VLOOKUP($C$3,'Writing Logic'!$G$8:$H$14,2,FALSE)&amp;"]"),"="&amp;D$7,INDIRECT("YES_Writing_"&amp;IF($I$3="Combined",{"ELA","FLA"},VLOOKUP($I$3,'Writing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E17" s="49" cm="1">
        <f t="array" aca="1" ref="E17" ca="1">SUM(COUNTIFS(INDIRECT("YES_Writing_"&amp;IF($I$3="Combined",{"ELA","FLA"},VLOOKUP($I$3,'Writing Logic'!$J$2:$K$4,2,FALSE))&amp;"["&amp;VLOOKUP(B$6,'Writing Logic'!$J$7:$K$11,2,FALSE)&amp;" - Per "&amp;VLOOKUP($C$3,'Writing Logic'!$G$8:$H$14,2,FALSE)&amp;"]"),"="&amp;E$7,INDIRECT("YES_Writing_"&amp;IF($I$3="Combined",{"ELA","FLA"},VLOOKUP($I$3,'Writing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F17" s="49" cm="1">
        <f t="array" aca="1" ref="F17" ca="1">SUM(COUNTIFS(INDIRECT("YES_Writing_"&amp;IF($I$3="Combined",{"ELA","FLA"},VLOOKUP($I$3,'Writing Logic'!$J$2:$K$4,2,FALSE))&amp;"["&amp;VLOOKUP(B$6,'Writing Logic'!$J$7:$K$11,2,FALSE)&amp;" - Per "&amp;VLOOKUP($C$3,'Writing Logic'!$G$8:$H$14,2,FALSE)&amp;"]"),"="&amp;F$7,INDIRECT("YES_Writing_"&amp;IF($I$3="Combined",{"ELA","FLA"},VLOOKUP($I$3,'Writing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G17" s="146" cm="1">
        <f t="array" aca="1" ref="G17" ca="1">SUM(COUNTIFS(INDIRECT("YES_Writing_"&amp;IF($I$3="Combined",{"ELA","FLA"},VLOOKUP($I$3,'Writing Logic'!$J$2:$K$4,2,FALSE))&amp;"["&amp;VLOOKUP(B$6,'Writing Logic'!$J$7:$K$11,2,FALSE)&amp;" - Per "&amp;VLOOKUP($C$3,'Writing Logic'!$G$8:$H$14,2,FALSE)&amp;"]"),"="&amp;G$7,INDIRECT("YES_Writing_"&amp;IF($I$3="Combined",{"ELA","FLA"},VLOOKUP($I$3,'Writing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H17" s="52" cm="1">
        <f t="array" aca="1" ref="H17" ca="1">SUM(COUNTIFS(INDIRECT("YES_Writing_"&amp;IF($I$3="Combined",{"ELA","FLA"},VLOOKUP($I$3,'Writing Logic'!$J$2:$K$4,2,FALSE))&amp;"["&amp;VLOOKUP(H$6,'Writing Logic'!$J$7:$K$11,2,FALSE)&amp;" - Per "&amp;VLOOKUP($C$3,'Writing Logic'!$G$8:$H$14,2,FALSE)&amp;"]"),"="&amp;H$7,INDIRECT("YES_Writing_"&amp;IF($I$3="Combined",{"ELA","FLA"},VLOOKUP($I$3,'Writing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I17" s="49" cm="1">
        <f t="array" aca="1" ref="I17" ca="1">SUM(COUNTIFS(INDIRECT("YES_Writing_"&amp;IF($I$3="Combined",{"ELA","FLA"},VLOOKUP($I$3,'Writing Logic'!$J$2:$K$4,2,FALSE))&amp;"["&amp;VLOOKUP(H$6,'Writing Logic'!$J$7:$K$11,2,FALSE)&amp;" - Per "&amp;VLOOKUP($C$3,'Writing Logic'!$G$8:$H$14,2,FALSE)&amp;"]"),"="&amp;I$7,INDIRECT("YES_Writing_"&amp;IF($I$3="Combined",{"ELA","FLA"},VLOOKUP($I$3,'Writing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J17" s="49" cm="1">
        <f t="array" aca="1" ref="J17" ca="1">SUM(COUNTIFS(INDIRECT("YES_Writing_"&amp;IF($I$3="Combined",{"ELA","FLA"},VLOOKUP($I$3,'Writing Logic'!$J$2:$K$4,2,FALSE))&amp;"["&amp;VLOOKUP(H$6,'Writing Logic'!$J$7:$K$11,2,FALSE)&amp;" - Per "&amp;VLOOKUP($C$3,'Writing Logic'!$G$8:$H$14,2,FALSE)&amp;"]"),"="&amp;J$7,INDIRECT("YES_Writing_"&amp;IF($I$3="Combined",{"ELA","FLA"},VLOOKUP($I$3,'Writing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K17" s="49" cm="1">
        <f t="array" aca="1" ref="K17" ca="1">SUM(COUNTIFS(INDIRECT("YES_Writing_"&amp;IF($I$3="Combined",{"ELA","FLA"},VLOOKUP($I$3,'Writing Logic'!$J$2:$K$4,2,FALSE))&amp;"["&amp;VLOOKUP(H$6,'Writing Logic'!$J$7:$K$11,2,FALSE)&amp;" - Per "&amp;VLOOKUP($C$3,'Writing Logic'!$G$8:$H$14,2,FALSE)&amp;"]"),"="&amp;K$7,INDIRECT("YES_Writing_"&amp;IF($I$3="Combined",{"ELA","FLA"},VLOOKUP($I$3,'Writing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L17" s="146" cm="1">
        <f t="array" aca="1" ref="L17" ca="1">SUM(COUNTIFS(INDIRECT("YES_Writing_"&amp;IF($I$3="Combined",{"ELA","FLA"},VLOOKUP($I$3,'Writing Logic'!$J$2:$K$4,2,FALSE))&amp;"["&amp;VLOOKUP(H$6,'Writing Logic'!$J$7:$K$11,2,FALSE)&amp;" - Per "&amp;VLOOKUP($C$3,'Writing Logic'!$G$8:$H$14,2,FALSE)&amp;"]"),"="&amp;L$7,INDIRECT("YES_Writing_"&amp;IF($I$3="Combined",{"ELA","FLA"},VLOOKUP($I$3,'Writing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M17" s="52" cm="1">
        <f t="array" aca="1" ref="M17" ca="1">SUM(COUNTIFS(INDIRECT("YES_Writing_"&amp;IF($I$3="Combined",{"ELA","FLA"},VLOOKUP($I$3,'Writing Logic'!$J$2:$K$4,2,FALSE))&amp;"["&amp;VLOOKUP(M$6,'Writing Logic'!$J$7:$K$11,2,FALSE)&amp;" - Per "&amp;VLOOKUP($C$3,'Writing Logic'!$G$8:$H$14,2,FALSE)&amp;"]"),"="&amp;M$7,INDIRECT("YES_Writing_"&amp;IF($I$3="Combined",{"ELA","FLA"},VLOOKUP($I$3,'Writing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N17" s="49" cm="1">
        <f t="array" aca="1" ref="N17" ca="1">SUM(COUNTIFS(INDIRECT("YES_Writing_"&amp;IF($I$3="Combined",{"ELA","FLA"},VLOOKUP($I$3,'Writing Logic'!$J$2:$K$4,2,FALSE))&amp;"["&amp;VLOOKUP(M$6,'Writing Logic'!$J$7:$K$11,2,FALSE)&amp;" - Per "&amp;VLOOKUP($C$3,'Writing Logic'!$G$8:$H$14,2,FALSE)&amp;"]"),"="&amp;N$7,INDIRECT("YES_Writing_"&amp;IF($I$3="Combined",{"ELA","FLA"},VLOOKUP($I$3,'Writing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O17" s="49" cm="1">
        <f t="array" aca="1" ref="O17" ca="1">SUM(COUNTIFS(INDIRECT("YES_Writing_"&amp;IF($I$3="Combined",{"ELA","FLA"},VLOOKUP($I$3,'Writing Logic'!$J$2:$K$4,2,FALSE))&amp;"["&amp;VLOOKUP(M$6,'Writing Logic'!$J$7:$K$11,2,FALSE)&amp;" - Per "&amp;VLOOKUP($C$3,'Writing Logic'!$G$8:$H$14,2,FALSE)&amp;"]"),"="&amp;O$7,INDIRECT("YES_Writing_"&amp;IF($I$3="Combined",{"ELA","FLA"},VLOOKUP($I$3,'Writing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P17" s="49" cm="1">
        <f t="array" aca="1" ref="P17" ca="1">SUM(COUNTIFS(INDIRECT("YES_Writing_"&amp;IF($I$3="Combined",{"ELA","FLA"},VLOOKUP($I$3,'Writing Logic'!$J$2:$K$4,2,FALSE))&amp;"["&amp;VLOOKUP(M$6,'Writing Logic'!$J$7:$K$11,2,FALSE)&amp;" - Per "&amp;VLOOKUP($C$3,'Writing Logic'!$G$8:$H$14,2,FALSE)&amp;"]"),"="&amp;P$7,INDIRECT("YES_Writing_"&amp;IF($I$3="Combined",{"ELA","FLA"},VLOOKUP($I$3,'Writing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Q17" s="146" cm="1">
        <f t="array" aca="1" ref="Q17" ca="1">SUM(COUNTIFS(INDIRECT("YES_Writing_"&amp;IF($I$3="Combined",{"ELA","FLA"},VLOOKUP($I$3,'Writing Logic'!$J$2:$K$4,2,FALSE))&amp;"["&amp;VLOOKUP(M$6,'Writing Logic'!$J$7:$K$11,2,FALSE)&amp;" - Per "&amp;VLOOKUP($C$3,'Writing Logic'!$G$8:$H$14,2,FALSE)&amp;"]"),"="&amp;Q$7,INDIRECT("YES_Writing_"&amp;IF($I$3="Combined",{"ELA","FLA"},VLOOKUP($I$3,'Writing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R17" s="147" cm="1">
        <f t="array" aca="1" ref="R17" ca="1">SUM(COUNTIFS(INDIRECT("YES_Writing_"&amp;IF($I$3="Combined",{"ELA","FLA"},VLOOKUP($I$3,'Writing Logic'!$J$2:$K$4,2,FALSE))&amp;"["&amp;VLOOKUP(R$6,'Writing Logic'!$J$7:$K$11,2,FALSE)&amp;" - Per "&amp;VLOOKUP($C$3,'Writing Logic'!$G$8:$H$14,2,FALSE)&amp;"]"),"="&amp;R$7,INDIRECT("YES_Writing_"&amp;IF($I$3="Combined",{"ELA","FLA"},VLOOKUP($I$3,'Writing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S17" s="49" cm="1">
        <f t="array" aca="1" ref="S17" ca="1">SUM(COUNTIFS(INDIRECT("YES_Writing_"&amp;IF($I$3="Combined",{"ELA","FLA"},VLOOKUP($I$3,'Writing Logic'!$J$2:$K$4,2,FALSE))&amp;"["&amp;VLOOKUP(R$6,'Writing Logic'!$J$7:$K$11,2,FALSE)&amp;" - Per "&amp;VLOOKUP($C$3,'Writing Logic'!$G$8:$H$14,2,FALSE)&amp;"]"),"="&amp;S$7,INDIRECT("YES_Writing_"&amp;IF($I$3="Combined",{"ELA","FLA"},VLOOKUP($I$3,'Writing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T17" s="49" cm="1">
        <f t="array" aca="1" ref="T17" ca="1">SUM(COUNTIFS(INDIRECT("YES_Writing_"&amp;IF($I$3="Combined",{"ELA","FLA"},VLOOKUP($I$3,'Writing Logic'!$J$2:$K$4,2,FALSE))&amp;"["&amp;VLOOKUP(R$6,'Writing Logic'!$J$7:$K$11,2,FALSE)&amp;" - Per "&amp;VLOOKUP($C$3,'Writing Logic'!$G$8:$H$14,2,FALSE)&amp;"]"),"="&amp;T$7,INDIRECT("YES_Writing_"&amp;IF($I$3="Combined",{"ELA","FLA"},VLOOKUP($I$3,'Writing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U17" s="49" cm="1">
        <f t="array" aca="1" ref="U17" ca="1">SUM(COUNTIFS(INDIRECT("YES_Writing_"&amp;IF($I$3="Combined",{"ELA","FLA"},VLOOKUP($I$3,'Writing Logic'!$J$2:$K$4,2,FALSE))&amp;"["&amp;VLOOKUP(R$6,'Writing Logic'!$J$7:$K$11,2,FALSE)&amp;" - Per "&amp;VLOOKUP($C$3,'Writing Logic'!$G$8:$H$14,2,FALSE)&amp;"]"),"="&amp;U$7,INDIRECT("YES_Writing_"&amp;IF($I$3="Combined",{"ELA","FLA"},VLOOKUP($I$3,'Writing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c r="V17" s="146" cm="1">
        <f t="array" aca="1" ref="V17" ca="1">SUM(COUNTIFS(INDIRECT("YES_Writing_"&amp;IF($I$3="Combined",{"ELA","FLA"},VLOOKUP($I$3,'Writing Logic'!$J$2:$K$4,2,FALSE))&amp;"["&amp;VLOOKUP(R$6,'Writing Logic'!$J$7:$K$11,2,FALSE)&amp;" - Per "&amp;VLOOKUP($C$3,'Writing Logic'!$G$8:$H$14,2,FALSE)&amp;"]"),"="&amp;V$7,INDIRECT("YES_Writing_"&amp;IF($I$3="Combined",{"ELA","FLA"},VLOOKUP($I$3,'Writing Logic'!$J$2:$K$4,2,FALSE))&amp;"[Grade]"),$A17,INDIRECT("YES_Writing_"&amp;IF($I$3="Combined",{"ELA","FLA"},VLOOKUP($I$3,'Writing Logic'!$J$2:$K$4,2,FALSE))&amp;"[Literacy IPP]"),"&lt;&gt;Yes",INDIRECT("YES_Writing_"&amp;IF($I$3="Combined",{"ELA","FLA"},VLOOKUP($I$3,'Writing Logic'!$J$2:$K$4,2,FALSE))&amp;"[School]"),IF($C$2="TCRCE","*",$C$2)))</f>
        <v>0</v>
      </c>
    </row>
    <row r="18" spans="1:22" s="99" customFormat="1" ht="14.25" customHeight="1" x14ac:dyDescent="0.25">
      <c r="A18" s="145">
        <v>10</v>
      </c>
      <c r="B18" s="52" cm="1">
        <f t="array" aca="1" ref="B18" ca="1">SUM(COUNTIFS(INDIRECT("YES_Writing_"&amp;IF($I$3="Combined",{"ELA","FLA"},VLOOKUP($I$3,'Writing Logic'!$J$2:$K$4,2,FALSE))&amp;"["&amp;VLOOKUP(B$6,'Writing Logic'!$J$7:$K$11,2,FALSE)&amp;" - Per "&amp;VLOOKUP($C$3,'Writing Logic'!$G$8:$H$14,2,FALSE)&amp;"]"),"="&amp;B$7,INDIRECT("YES_Writing_"&amp;IF($I$3="Combined",{"ELA","FLA"},VLOOKUP($I$3,'Writing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C18" s="49" cm="1">
        <f t="array" aca="1" ref="C18" ca="1">SUM(COUNTIFS(INDIRECT("YES_Writing_"&amp;IF($I$3="Combined",{"ELA","FLA"},VLOOKUP($I$3,'Writing Logic'!$J$2:$K$4,2,FALSE))&amp;"["&amp;VLOOKUP(B$6,'Writing Logic'!$J$7:$K$11,2,FALSE)&amp;" - Per "&amp;VLOOKUP($C$3,'Writing Logic'!$G$8:$H$14,2,FALSE)&amp;"]"),"="&amp;C$7,INDIRECT("YES_Writing_"&amp;IF($I$3="Combined",{"ELA","FLA"},VLOOKUP($I$3,'Writing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D18" s="49" cm="1">
        <f t="array" aca="1" ref="D18" ca="1">SUM(COUNTIFS(INDIRECT("YES_Writing_"&amp;IF($I$3="Combined",{"ELA","FLA"},VLOOKUP($I$3,'Writing Logic'!$J$2:$K$4,2,FALSE))&amp;"["&amp;VLOOKUP(B$6,'Writing Logic'!$J$7:$K$11,2,FALSE)&amp;" - Per "&amp;VLOOKUP($C$3,'Writing Logic'!$G$8:$H$14,2,FALSE)&amp;"]"),"="&amp;D$7,INDIRECT("YES_Writing_"&amp;IF($I$3="Combined",{"ELA","FLA"},VLOOKUP($I$3,'Writing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E18" s="49" cm="1">
        <f t="array" aca="1" ref="E18" ca="1">SUM(COUNTIFS(INDIRECT("YES_Writing_"&amp;IF($I$3="Combined",{"ELA","FLA"},VLOOKUP($I$3,'Writing Logic'!$J$2:$K$4,2,FALSE))&amp;"["&amp;VLOOKUP(B$6,'Writing Logic'!$J$7:$K$11,2,FALSE)&amp;" - Per "&amp;VLOOKUP($C$3,'Writing Logic'!$G$8:$H$14,2,FALSE)&amp;"]"),"="&amp;E$7,INDIRECT("YES_Writing_"&amp;IF($I$3="Combined",{"ELA","FLA"},VLOOKUP($I$3,'Writing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F18" s="49" cm="1">
        <f t="array" aca="1" ref="F18" ca="1">SUM(COUNTIFS(INDIRECT("YES_Writing_"&amp;IF($I$3="Combined",{"ELA","FLA"},VLOOKUP($I$3,'Writing Logic'!$J$2:$K$4,2,FALSE))&amp;"["&amp;VLOOKUP(B$6,'Writing Logic'!$J$7:$K$11,2,FALSE)&amp;" - Per "&amp;VLOOKUP($C$3,'Writing Logic'!$G$8:$H$14,2,FALSE)&amp;"]"),"="&amp;F$7,INDIRECT("YES_Writing_"&amp;IF($I$3="Combined",{"ELA","FLA"},VLOOKUP($I$3,'Writing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G18" s="146" cm="1">
        <f t="array" aca="1" ref="G18" ca="1">SUM(COUNTIFS(INDIRECT("YES_Writing_"&amp;IF($I$3="Combined",{"ELA","FLA"},VLOOKUP($I$3,'Writing Logic'!$J$2:$K$4,2,FALSE))&amp;"["&amp;VLOOKUP(B$6,'Writing Logic'!$J$7:$K$11,2,FALSE)&amp;" - Per "&amp;VLOOKUP($C$3,'Writing Logic'!$G$8:$H$14,2,FALSE)&amp;"]"),"="&amp;G$7,INDIRECT("YES_Writing_"&amp;IF($I$3="Combined",{"ELA","FLA"},VLOOKUP($I$3,'Writing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H18" s="52" cm="1">
        <f t="array" aca="1" ref="H18" ca="1">SUM(COUNTIFS(INDIRECT("YES_Writing_"&amp;IF($I$3="Combined",{"ELA","FLA"},VLOOKUP($I$3,'Writing Logic'!$J$2:$K$4,2,FALSE))&amp;"["&amp;VLOOKUP(H$6,'Writing Logic'!$J$7:$K$11,2,FALSE)&amp;" - Per "&amp;VLOOKUP($C$3,'Writing Logic'!$G$8:$H$14,2,FALSE)&amp;"]"),"="&amp;H$7,INDIRECT("YES_Writing_"&amp;IF($I$3="Combined",{"ELA","FLA"},VLOOKUP($I$3,'Writing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I18" s="49" cm="1">
        <f t="array" aca="1" ref="I18" ca="1">SUM(COUNTIFS(INDIRECT("YES_Writing_"&amp;IF($I$3="Combined",{"ELA","FLA"},VLOOKUP($I$3,'Writing Logic'!$J$2:$K$4,2,FALSE))&amp;"["&amp;VLOOKUP(H$6,'Writing Logic'!$J$7:$K$11,2,FALSE)&amp;" - Per "&amp;VLOOKUP($C$3,'Writing Logic'!$G$8:$H$14,2,FALSE)&amp;"]"),"="&amp;I$7,INDIRECT("YES_Writing_"&amp;IF($I$3="Combined",{"ELA","FLA"},VLOOKUP($I$3,'Writing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J18" s="49" cm="1">
        <f t="array" aca="1" ref="J18" ca="1">SUM(COUNTIFS(INDIRECT("YES_Writing_"&amp;IF($I$3="Combined",{"ELA","FLA"},VLOOKUP($I$3,'Writing Logic'!$J$2:$K$4,2,FALSE))&amp;"["&amp;VLOOKUP(H$6,'Writing Logic'!$J$7:$K$11,2,FALSE)&amp;" - Per "&amp;VLOOKUP($C$3,'Writing Logic'!$G$8:$H$14,2,FALSE)&amp;"]"),"="&amp;J$7,INDIRECT("YES_Writing_"&amp;IF($I$3="Combined",{"ELA","FLA"},VLOOKUP($I$3,'Writing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K18" s="49" cm="1">
        <f t="array" aca="1" ref="K18" ca="1">SUM(COUNTIFS(INDIRECT("YES_Writing_"&amp;IF($I$3="Combined",{"ELA","FLA"},VLOOKUP($I$3,'Writing Logic'!$J$2:$K$4,2,FALSE))&amp;"["&amp;VLOOKUP(H$6,'Writing Logic'!$J$7:$K$11,2,FALSE)&amp;" - Per "&amp;VLOOKUP($C$3,'Writing Logic'!$G$8:$H$14,2,FALSE)&amp;"]"),"="&amp;K$7,INDIRECT("YES_Writing_"&amp;IF($I$3="Combined",{"ELA","FLA"},VLOOKUP($I$3,'Writing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L18" s="146" cm="1">
        <f t="array" aca="1" ref="L18" ca="1">SUM(COUNTIFS(INDIRECT("YES_Writing_"&amp;IF($I$3="Combined",{"ELA","FLA"},VLOOKUP($I$3,'Writing Logic'!$J$2:$K$4,2,FALSE))&amp;"["&amp;VLOOKUP(H$6,'Writing Logic'!$J$7:$K$11,2,FALSE)&amp;" - Per "&amp;VLOOKUP($C$3,'Writing Logic'!$G$8:$H$14,2,FALSE)&amp;"]"),"="&amp;L$7,INDIRECT("YES_Writing_"&amp;IF($I$3="Combined",{"ELA","FLA"},VLOOKUP($I$3,'Writing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M18" s="52" cm="1">
        <f t="array" aca="1" ref="M18" ca="1">SUM(COUNTIFS(INDIRECT("YES_Writing_"&amp;IF($I$3="Combined",{"ELA","FLA"},VLOOKUP($I$3,'Writing Logic'!$J$2:$K$4,2,FALSE))&amp;"["&amp;VLOOKUP(M$6,'Writing Logic'!$J$7:$K$11,2,FALSE)&amp;" - Per "&amp;VLOOKUP($C$3,'Writing Logic'!$G$8:$H$14,2,FALSE)&amp;"]"),"="&amp;M$7,INDIRECT("YES_Writing_"&amp;IF($I$3="Combined",{"ELA","FLA"},VLOOKUP($I$3,'Writing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N18" s="49" cm="1">
        <f t="array" aca="1" ref="N18" ca="1">SUM(COUNTIFS(INDIRECT("YES_Writing_"&amp;IF($I$3="Combined",{"ELA","FLA"},VLOOKUP($I$3,'Writing Logic'!$J$2:$K$4,2,FALSE))&amp;"["&amp;VLOOKUP(M$6,'Writing Logic'!$J$7:$K$11,2,FALSE)&amp;" - Per "&amp;VLOOKUP($C$3,'Writing Logic'!$G$8:$H$14,2,FALSE)&amp;"]"),"="&amp;N$7,INDIRECT("YES_Writing_"&amp;IF($I$3="Combined",{"ELA","FLA"},VLOOKUP($I$3,'Writing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O18" s="49" cm="1">
        <f t="array" aca="1" ref="O18" ca="1">SUM(COUNTIFS(INDIRECT("YES_Writing_"&amp;IF($I$3="Combined",{"ELA","FLA"},VLOOKUP($I$3,'Writing Logic'!$J$2:$K$4,2,FALSE))&amp;"["&amp;VLOOKUP(M$6,'Writing Logic'!$J$7:$K$11,2,FALSE)&amp;" - Per "&amp;VLOOKUP($C$3,'Writing Logic'!$G$8:$H$14,2,FALSE)&amp;"]"),"="&amp;O$7,INDIRECT("YES_Writing_"&amp;IF($I$3="Combined",{"ELA","FLA"},VLOOKUP($I$3,'Writing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P18" s="49" cm="1">
        <f t="array" aca="1" ref="P18" ca="1">SUM(COUNTIFS(INDIRECT("YES_Writing_"&amp;IF($I$3="Combined",{"ELA","FLA"},VLOOKUP($I$3,'Writing Logic'!$J$2:$K$4,2,FALSE))&amp;"["&amp;VLOOKUP(M$6,'Writing Logic'!$J$7:$K$11,2,FALSE)&amp;" - Per "&amp;VLOOKUP($C$3,'Writing Logic'!$G$8:$H$14,2,FALSE)&amp;"]"),"="&amp;P$7,INDIRECT("YES_Writing_"&amp;IF($I$3="Combined",{"ELA","FLA"},VLOOKUP($I$3,'Writing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Q18" s="146" cm="1">
        <f t="array" aca="1" ref="Q18" ca="1">SUM(COUNTIFS(INDIRECT("YES_Writing_"&amp;IF($I$3="Combined",{"ELA","FLA"},VLOOKUP($I$3,'Writing Logic'!$J$2:$K$4,2,FALSE))&amp;"["&amp;VLOOKUP(M$6,'Writing Logic'!$J$7:$K$11,2,FALSE)&amp;" - Per "&amp;VLOOKUP($C$3,'Writing Logic'!$G$8:$H$14,2,FALSE)&amp;"]"),"="&amp;Q$7,INDIRECT("YES_Writing_"&amp;IF($I$3="Combined",{"ELA","FLA"},VLOOKUP($I$3,'Writing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R18" s="147" cm="1">
        <f t="array" aca="1" ref="R18" ca="1">SUM(COUNTIFS(INDIRECT("YES_Writing_"&amp;IF($I$3="Combined",{"ELA","FLA"},VLOOKUP($I$3,'Writing Logic'!$J$2:$K$4,2,FALSE))&amp;"["&amp;VLOOKUP(R$6,'Writing Logic'!$J$7:$K$11,2,FALSE)&amp;" - Per "&amp;VLOOKUP($C$3,'Writing Logic'!$G$8:$H$14,2,FALSE)&amp;"]"),"="&amp;R$7,INDIRECT("YES_Writing_"&amp;IF($I$3="Combined",{"ELA","FLA"},VLOOKUP($I$3,'Writing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S18" s="49" cm="1">
        <f t="array" aca="1" ref="S18" ca="1">SUM(COUNTIFS(INDIRECT("YES_Writing_"&amp;IF($I$3="Combined",{"ELA","FLA"},VLOOKUP($I$3,'Writing Logic'!$J$2:$K$4,2,FALSE))&amp;"["&amp;VLOOKUP(R$6,'Writing Logic'!$J$7:$K$11,2,FALSE)&amp;" - Per "&amp;VLOOKUP($C$3,'Writing Logic'!$G$8:$H$14,2,FALSE)&amp;"]"),"="&amp;S$7,INDIRECT("YES_Writing_"&amp;IF($I$3="Combined",{"ELA","FLA"},VLOOKUP($I$3,'Writing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T18" s="49" cm="1">
        <f t="array" aca="1" ref="T18" ca="1">SUM(COUNTIFS(INDIRECT("YES_Writing_"&amp;IF($I$3="Combined",{"ELA","FLA"},VLOOKUP($I$3,'Writing Logic'!$J$2:$K$4,2,FALSE))&amp;"["&amp;VLOOKUP(R$6,'Writing Logic'!$J$7:$K$11,2,FALSE)&amp;" - Per "&amp;VLOOKUP($C$3,'Writing Logic'!$G$8:$H$14,2,FALSE)&amp;"]"),"="&amp;T$7,INDIRECT("YES_Writing_"&amp;IF($I$3="Combined",{"ELA","FLA"},VLOOKUP($I$3,'Writing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U18" s="49" cm="1">
        <f t="array" aca="1" ref="U18" ca="1">SUM(COUNTIFS(INDIRECT("YES_Writing_"&amp;IF($I$3="Combined",{"ELA","FLA"},VLOOKUP($I$3,'Writing Logic'!$J$2:$K$4,2,FALSE))&amp;"["&amp;VLOOKUP(R$6,'Writing Logic'!$J$7:$K$11,2,FALSE)&amp;" - Per "&amp;VLOOKUP($C$3,'Writing Logic'!$G$8:$H$14,2,FALSE)&amp;"]"),"="&amp;U$7,INDIRECT("YES_Writing_"&amp;IF($I$3="Combined",{"ELA","FLA"},VLOOKUP($I$3,'Writing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c r="V18" s="146" cm="1">
        <f t="array" aca="1" ref="V18" ca="1">SUM(COUNTIFS(INDIRECT("YES_Writing_"&amp;IF($I$3="Combined",{"ELA","FLA"},VLOOKUP($I$3,'Writing Logic'!$J$2:$K$4,2,FALSE))&amp;"["&amp;VLOOKUP(R$6,'Writing Logic'!$J$7:$K$11,2,FALSE)&amp;" - Per "&amp;VLOOKUP($C$3,'Writing Logic'!$G$8:$H$14,2,FALSE)&amp;"]"),"="&amp;V$7,INDIRECT("YES_Writing_"&amp;IF($I$3="Combined",{"ELA","FLA"},VLOOKUP($I$3,'Writing Logic'!$J$2:$K$4,2,FALSE))&amp;"[Grade]"),$A18,INDIRECT("YES_Writing_"&amp;IF($I$3="Combined",{"ELA","FLA"},VLOOKUP($I$3,'Writing Logic'!$J$2:$K$4,2,FALSE))&amp;"[Literacy IPP]"),"&lt;&gt;Yes",INDIRECT("YES_Writing_"&amp;IF($I$3="Combined",{"ELA","FLA"},VLOOKUP($I$3,'Writing Logic'!$J$2:$K$4,2,FALSE))&amp;"[School]"),IF($C$2="TCRCE","*",$C$2)))</f>
        <v>0</v>
      </c>
    </row>
    <row r="19" spans="1:22" s="99" customFormat="1" ht="14.25" customHeight="1" x14ac:dyDescent="0.25">
      <c r="A19" s="145">
        <v>11</v>
      </c>
      <c r="B19" s="52" cm="1">
        <f t="array" aca="1" ref="B19" ca="1">SUM(COUNTIFS(INDIRECT("YES_Writing_"&amp;IF($I$3="Combined",{"ELA","FLA"},VLOOKUP($I$3,'Writing Logic'!$J$2:$K$4,2,FALSE))&amp;"["&amp;VLOOKUP(B$6,'Writing Logic'!$J$7:$K$11,2,FALSE)&amp;" - Per "&amp;VLOOKUP($C$3,'Writing Logic'!$G$8:$H$14,2,FALSE)&amp;"]"),"="&amp;B$7,INDIRECT("YES_Writing_"&amp;IF($I$3="Combined",{"ELA","FLA"},VLOOKUP($I$3,'Writing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C19" s="49" cm="1">
        <f t="array" aca="1" ref="C19" ca="1">SUM(COUNTIFS(INDIRECT("YES_Writing_"&amp;IF($I$3="Combined",{"ELA","FLA"},VLOOKUP($I$3,'Writing Logic'!$J$2:$K$4,2,FALSE))&amp;"["&amp;VLOOKUP(B$6,'Writing Logic'!$J$7:$K$11,2,FALSE)&amp;" - Per "&amp;VLOOKUP($C$3,'Writing Logic'!$G$8:$H$14,2,FALSE)&amp;"]"),"="&amp;C$7,INDIRECT("YES_Writing_"&amp;IF($I$3="Combined",{"ELA","FLA"},VLOOKUP($I$3,'Writing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D19" s="49" cm="1">
        <f t="array" aca="1" ref="D19" ca="1">SUM(COUNTIFS(INDIRECT("YES_Writing_"&amp;IF($I$3="Combined",{"ELA","FLA"},VLOOKUP($I$3,'Writing Logic'!$J$2:$K$4,2,FALSE))&amp;"["&amp;VLOOKUP(B$6,'Writing Logic'!$J$7:$K$11,2,FALSE)&amp;" - Per "&amp;VLOOKUP($C$3,'Writing Logic'!$G$8:$H$14,2,FALSE)&amp;"]"),"="&amp;D$7,INDIRECT("YES_Writing_"&amp;IF($I$3="Combined",{"ELA","FLA"},VLOOKUP($I$3,'Writing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E19" s="49" cm="1">
        <f t="array" aca="1" ref="E19" ca="1">SUM(COUNTIFS(INDIRECT("YES_Writing_"&amp;IF($I$3="Combined",{"ELA","FLA"},VLOOKUP($I$3,'Writing Logic'!$J$2:$K$4,2,FALSE))&amp;"["&amp;VLOOKUP(B$6,'Writing Logic'!$J$7:$K$11,2,FALSE)&amp;" - Per "&amp;VLOOKUP($C$3,'Writing Logic'!$G$8:$H$14,2,FALSE)&amp;"]"),"="&amp;E$7,INDIRECT("YES_Writing_"&amp;IF($I$3="Combined",{"ELA","FLA"},VLOOKUP($I$3,'Writing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F19" s="49" cm="1">
        <f t="array" aca="1" ref="F19" ca="1">SUM(COUNTIFS(INDIRECT("YES_Writing_"&amp;IF($I$3="Combined",{"ELA","FLA"},VLOOKUP($I$3,'Writing Logic'!$J$2:$K$4,2,FALSE))&amp;"["&amp;VLOOKUP(B$6,'Writing Logic'!$J$7:$K$11,2,FALSE)&amp;" - Per "&amp;VLOOKUP($C$3,'Writing Logic'!$G$8:$H$14,2,FALSE)&amp;"]"),"="&amp;F$7,INDIRECT("YES_Writing_"&amp;IF($I$3="Combined",{"ELA","FLA"},VLOOKUP($I$3,'Writing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G19" s="146" cm="1">
        <f t="array" aca="1" ref="G19" ca="1">SUM(COUNTIFS(INDIRECT("YES_Writing_"&amp;IF($I$3="Combined",{"ELA","FLA"},VLOOKUP($I$3,'Writing Logic'!$J$2:$K$4,2,FALSE))&amp;"["&amp;VLOOKUP(B$6,'Writing Logic'!$J$7:$K$11,2,FALSE)&amp;" - Per "&amp;VLOOKUP($C$3,'Writing Logic'!$G$8:$H$14,2,FALSE)&amp;"]"),"="&amp;G$7,INDIRECT("YES_Writing_"&amp;IF($I$3="Combined",{"ELA","FLA"},VLOOKUP($I$3,'Writing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H19" s="52" cm="1">
        <f t="array" aca="1" ref="H19" ca="1">SUM(COUNTIFS(INDIRECT("YES_Writing_"&amp;IF($I$3="Combined",{"ELA","FLA"},VLOOKUP($I$3,'Writing Logic'!$J$2:$K$4,2,FALSE))&amp;"["&amp;VLOOKUP(H$6,'Writing Logic'!$J$7:$K$11,2,FALSE)&amp;" - Per "&amp;VLOOKUP($C$3,'Writing Logic'!$G$8:$H$14,2,FALSE)&amp;"]"),"="&amp;H$7,INDIRECT("YES_Writing_"&amp;IF($I$3="Combined",{"ELA","FLA"},VLOOKUP($I$3,'Writing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I19" s="49" cm="1">
        <f t="array" aca="1" ref="I19" ca="1">SUM(COUNTIFS(INDIRECT("YES_Writing_"&amp;IF($I$3="Combined",{"ELA","FLA"},VLOOKUP($I$3,'Writing Logic'!$J$2:$K$4,2,FALSE))&amp;"["&amp;VLOOKUP(H$6,'Writing Logic'!$J$7:$K$11,2,FALSE)&amp;" - Per "&amp;VLOOKUP($C$3,'Writing Logic'!$G$8:$H$14,2,FALSE)&amp;"]"),"="&amp;I$7,INDIRECT("YES_Writing_"&amp;IF($I$3="Combined",{"ELA","FLA"},VLOOKUP($I$3,'Writing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J19" s="49" cm="1">
        <f t="array" aca="1" ref="J19" ca="1">SUM(COUNTIFS(INDIRECT("YES_Writing_"&amp;IF($I$3="Combined",{"ELA","FLA"},VLOOKUP($I$3,'Writing Logic'!$J$2:$K$4,2,FALSE))&amp;"["&amp;VLOOKUP(H$6,'Writing Logic'!$J$7:$K$11,2,FALSE)&amp;" - Per "&amp;VLOOKUP($C$3,'Writing Logic'!$G$8:$H$14,2,FALSE)&amp;"]"),"="&amp;J$7,INDIRECT("YES_Writing_"&amp;IF($I$3="Combined",{"ELA","FLA"},VLOOKUP($I$3,'Writing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K19" s="49" cm="1">
        <f t="array" aca="1" ref="K19" ca="1">SUM(COUNTIFS(INDIRECT("YES_Writing_"&amp;IF($I$3="Combined",{"ELA","FLA"},VLOOKUP($I$3,'Writing Logic'!$J$2:$K$4,2,FALSE))&amp;"["&amp;VLOOKUP(H$6,'Writing Logic'!$J$7:$K$11,2,FALSE)&amp;" - Per "&amp;VLOOKUP($C$3,'Writing Logic'!$G$8:$H$14,2,FALSE)&amp;"]"),"="&amp;K$7,INDIRECT("YES_Writing_"&amp;IF($I$3="Combined",{"ELA","FLA"},VLOOKUP($I$3,'Writing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L19" s="146" cm="1">
        <f t="array" aca="1" ref="L19" ca="1">SUM(COUNTIFS(INDIRECT("YES_Writing_"&amp;IF($I$3="Combined",{"ELA","FLA"},VLOOKUP($I$3,'Writing Logic'!$J$2:$K$4,2,FALSE))&amp;"["&amp;VLOOKUP(H$6,'Writing Logic'!$J$7:$K$11,2,FALSE)&amp;" - Per "&amp;VLOOKUP($C$3,'Writing Logic'!$G$8:$H$14,2,FALSE)&amp;"]"),"="&amp;L$7,INDIRECT("YES_Writing_"&amp;IF($I$3="Combined",{"ELA","FLA"},VLOOKUP($I$3,'Writing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M19" s="52" cm="1">
        <f t="array" aca="1" ref="M19" ca="1">SUM(COUNTIFS(INDIRECT("YES_Writing_"&amp;IF($I$3="Combined",{"ELA","FLA"},VLOOKUP($I$3,'Writing Logic'!$J$2:$K$4,2,FALSE))&amp;"["&amp;VLOOKUP(M$6,'Writing Logic'!$J$7:$K$11,2,FALSE)&amp;" - Per "&amp;VLOOKUP($C$3,'Writing Logic'!$G$8:$H$14,2,FALSE)&amp;"]"),"="&amp;M$7,INDIRECT("YES_Writing_"&amp;IF($I$3="Combined",{"ELA","FLA"},VLOOKUP($I$3,'Writing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N19" s="49" cm="1">
        <f t="array" aca="1" ref="N19" ca="1">SUM(COUNTIFS(INDIRECT("YES_Writing_"&amp;IF($I$3="Combined",{"ELA","FLA"},VLOOKUP($I$3,'Writing Logic'!$J$2:$K$4,2,FALSE))&amp;"["&amp;VLOOKUP(M$6,'Writing Logic'!$J$7:$K$11,2,FALSE)&amp;" - Per "&amp;VLOOKUP($C$3,'Writing Logic'!$G$8:$H$14,2,FALSE)&amp;"]"),"="&amp;N$7,INDIRECT("YES_Writing_"&amp;IF($I$3="Combined",{"ELA","FLA"},VLOOKUP($I$3,'Writing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O19" s="49" cm="1">
        <f t="array" aca="1" ref="O19" ca="1">SUM(COUNTIFS(INDIRECT("YES_Writing_"&amp;IF($I$3="Combined",{"ELA","FLA"},VLOOKUP($I$3,'Writing Logic'!$J$2:$K$4,2,FALSE))&amp;"["&amp;VLOOKUP(M$6,'Writing Logic'!$J$7:$K$11,2,FALSE)&amp;" - Per "&amp;VLOOKUP($C$3,'Writing Logic'!$G$8:$H$14,2,FALSE)&amp;"]"),"="&amp;O$7,INDIRECT("YES_Writing_"&amp;IF($I$3="Combined",{"ELA","FLA"},VLOOKUP($I$3,'Writing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P19" s="49" cm="1">
        <f t="array" aca="1" ref="P19" ca="1">SUM(COUNTIFS(INDIRECT("YES_Writing_"&amp;IF($I$3="Combined",{"ELA","FLA"},VLOOKUP($I$3,'Writing Logic'!$J$2:$K$4,2,FALSE))&amp;"["&amp;VLOOKUP(M$6,'Writing Logic'!$J$7:$K$11,2,FALSE)&amp;" - Per "&amp;VLOOKUP($C$3,'Writing Logic'!$G$8:$H$14,2,FALSE)&amp;"]"),"="&amp;P$7,INDIRECT("YES_Writing_"&amp;IF($I$3="Combined",{"ELA","FLA"},VLOOKUP($I$3,'Writing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Q19" s="146" cm="1">
        <f t="array" aca="1" ref="Q19" ca="1">SUM(COUNTIFS(INDIRECT("YES_Writing_"&amp;IF($I$3="Combined",{"ELA","FLA"},VLOOKUP($I$3,'Writing Logic'!$J$2:$K$4,2,FALSE))&amp;"["&amp;VLOOKUP(M$6,'Writing Logic'!$J$7:$K$11,2,FALSE)&amp;" - Per "&amp;VLOOKUP($C$3,'Writing Logic'!$G$8:$H$14,2,FALSE)&amp;"]"),"="&amp;Q$7,INDIRECT("YES_Writing_"&amp;IF($I$3="Combined",{"ELA","FLA"},VLOOKUP($I$3,'Writing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R19" s="147" cm="1">
        <f t="array" aca="1" ref="R19" ca="1">SUM(COUNTIFS(INDIRECT("YES_Writing_"&amp;IF($I$3="Combined",{"ELA","FLA"},VLOOKUP($I$3,'Writing Logic'!$J$2:$K$4,2,FALSE))&amp;"["&amp;VLOOKUP(R$6,'Writing Logic'!$J$7:$K$11,2,FALSE)&amp;" - Per "&amp;VLOOKUP($C$3,'Writing Logic'!$G$8:$H$14,2,FALSE)&amp;"]"),"="&amp;R$7,INDIRECT("YES_Writing_"&amp;IF($I$3="Combined",{"ELA","FLA"},VLOOKUP($I$3,'Writing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S19" s="49" cm="1">
        <f t="array" aca="1" ref="S19" ca="1">SUM(COUNTIFS(INDIRECT("YES_Writing_"&amp;IF($I$3="Combined",{"ELA","FLA"},VLOOKUP($I$3,'Writing Logic'!$J$2:$K$4,2,FALSE))&amp;"["&amp;VLOOKUP(R$6,'Writing Logic'!$J$7:$K$11,2,FALSE)&amp;" - Per "&amp;VLOOKUP($C$3,'Writing Logic'!$G$8:$H$14,2,FALSE)&amp;"]"),"="&amp;S$7,INDIRECT("YES_Writing_"&amp;IF($I$3="Combined",{"ELA","FLA"},VLOOKUP($I$3,'Writing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T19" s="49" cm="1">
        <f t="array" aca="1" ref="T19" ca="1">SUM(COUNTIFS(INDIRECT("YES_Writing_"&amp;IF($I$3="Combined",{"ELA","FLA"},VLOOKUP($I$3,'Writing Logic'!$J$2:$K$4,2,FALSE))&amp;"["&amp;VLOOKUP(R$6,'Writing Logic'!$J$7:$K$11,2,FALSE)&amp;" - Per "&amp;VLOOKUP($C$3,'Writing Logic'!$G$8:$H$14,2,FALSE)&amp;"]"),"="&amp;T$7,INDIRECT("YES_Writing_"&amp;IF($I$3="Combined",{"ELA","FLA"},VLOOKUP($I$3,'Writing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U19" s="49" cm="1">
        <f t="array" aca="1" ref="U19" ca="1">SUM(COUNTIFS(INDIRECT("YES_Writing_"&amp;IF($I$3="Combined",{"ELA","FLA"},VLOOKUP($I$3,'Writing Logic'!$J$2:$K$4,2,FALSE))&amp;"["&amp;VLOOKUP(R$6,'Writing Logic'!$J$7:$K$11,2,FALSE)&amp;" - Per "&amp;VLOOKUP($C$3,'Writing Logic'!$G$8:$H$14,2,FALSE)&amp;"]"),"="&amp;U$7,INDIRECT("YES_Writing_"&amp;IF($I$3="Combined",{"ELA","FLA"},VLOOKUP($I$3,'Writing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c r="V19" s="146" cm="1">
        <f t="array" aca="1" ref="V19" ca="1">SUM(COUNTIFS(INDIRECT("YES_Writing_"&amp;IF($I$3="Combined",{"ELA","FLA"},VLOOKUP($I$3,'Writing Logic'!$J$2:$K$4,2,FALSE))&amp;"["&amp;VLOOKUP(R$6,'Writing Logic'!$J$7:$K$11,2,FALSE)&amp;" - Per "&amp;VLOOKUP($C$3,'Writing Logic'!$G$8:$H$14,2,FALSE)&amp;"]"),"="&amp;V$7,INDIRECT("YES_Writing_"&amp;IF($I$3="Combined",{"ELA","FLA"},VLOOKUP($I$3,'Writing Logic'!$J$2:$K$4,2,FALSE))&amp;"[Grade]"),$A19,INDIRECT("YES_Writing_"&amp;IF($I$3="Combined",{"ELA","FLA"},VLOOKUP($I$3,'Writing Logic'!$J$2:$K$4,2,FALSE))&amp;"[Literacy IPP]"),"&lt;&gt;Yes",INDIRECT("YES_Writing_"&amp;IF($I$3="Combined",{"ELA","FLA"},VLOOKUP($I$3,'Writing Logic'!$J$2:$K$4,2,FALSE))&amp;"[School]"),IF($C$2="TCRCE","*",$C$2)))</f>
        <v>0</v>
      </c>
    </row>
    <row r="20" spans="1:22" s="99" customFormat="1" ht="14.25" customHeight="1" x14ac:dyDescent="0.25">
      <c r="A20" s="145">
        <v>12</v>
      </c>
      <c r="B20" s="52" cm="1">
        <f t="array" aca="1" ref="B20" ca="1">SUM(COUNTIFS(INDIRECT("YES_Writing_"&amp;IF($I$3="Combined",{"ELA","FLA"},VLOOKUP($I$3,'Writing Logic'!$J$2:$K$4,2,FALSE))&amp;"["&amp;VLOOKUP(B$6,'Writing Logic'!$J$7:$K$11,2,FALSE)&amp;" - Per "&amp;VLOOKUP($C$3,'Writing Logic'!$G$8:$H$14,2,FALSE)&amp;"]"),"="&amp;B$7,INDIRECT("YES_Writing_"&amp;IF($I$3="Combined",{"ELA","FLA"},VLOOKUP($I$3,'Writing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C20" s="49" cm="1">
        <f t="array" aca="1" ref="C20" ca="1">SUM(COUNTIFS(INDIRECT("YES_Writing_"&amp;IF($I$3="Combined",{"ELA","FLA"},VLOOKUP($I$3,'Writing Logic'!$J$2:$K$4,2,FALSE))&amp;"["&amp;VLOOKUP(B$6,'Writing Logic'!$J$7:$K$11,2,FALSE)&amp;" - Per "&amp;VLOOKUP($C$3,'Writing Logic'!$G$8:$H$14,2,FALSE)&amp;"]"),"="&amp;C$7,INDIRECT("YES_Writing_"&amp;IF($I$3="Combined",{"ELA","FLA"},VLOOKUP($I$3,'Writing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D20" s="49" cm="1">
        <f t="array" aca="1" ref="D20" ca="1">SUM(COUNTIFS(INDIRECT("YES_Writing_"&amp;IF($I$3="Combined",{"ELA","FLA"},VLOOKUP($I$3,'Writing Logic'!$J$2:$K$4,2,FALSE))&amp;"["&amp;VLOOKUP(B$6,'Writing Logic'!$J$7:$K$11,2,FALSE)&amp;" - Per "&amp;VLOOKUP($C$3,'Writing Logic'!$G$8:$H$14,2,FALSE)&amp;"]"),"="&amp;D$7,INDIRECT("YES_Writing_"&amp;IF($I$3="Combined",{"ELA","FLA"},VLOOKUP($I$3,'Writing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E20" s="49" cm="1">
        <f t="array" aca="1" ref="E20" ca="1">SUM(COUNTIFS(INDIRECT("YES_Writing_"&amp;IF($I$3="Combined",{"ELA","FLA"},VLOOKUP($I$3,'Writing Logic'!$J$2:$K$4,2,FALSE))&amp;"["&amp;VLOOKUP(B$6,'Writing Logic'!$J$7:$K$11,2,FALSE)&amp;" - Per "&amp;VLOOKUP($C$3,'Writing Logic'!$G$8:$H$14,2,FALSE)&amp;"]"),"="&amp;E$7,INDIRECT("YES_Writing_"&amp;IF($I$3="Combined",{"ELA","FLA"},VLOOKUP($I$3,'Writing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F20" s="49" cm="1">
        <f t="array" aca="1" ref="F20" ca="1">SUM(COUNTIFS(INDIRECT("YES_Writing_"&amp;IF($I$3="Combined",{"ELA","FLA"},VLOOKUP($I$3,'Writing Logic'!$J$2:$K$4,2,FALSE))&amp;"["&amp;VLOOKUP(B$6,'Writing Logic'!$J$7:$K$11,2,FALSE)&amp;" - Per "&amp;VLOOKUP($C$3,'Writing Logic'!$G$8:$H$14,2,FALSE)&amp;"]"),"="&amp;F$7,INDIRECT("YES_Writing_"&amp;IF($I$3="Combined",{"ELA","FLA"},VLOOKUP($I$3,'Writing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G20" s="146" cm="1">
        <f t="array" aca="1" ref="G20" ca="1">SUM(COUNTIFS(INDIRECT("YES_Writing_"&amp;IF($I$3="Combined",{"ELA","FLA"},VLOOKUP($I$3,'Writing Logic'!$J$2:$K$4,2,FALSE))&amp;"["&amp;VLOOKUP(B$6,'Writing Logic'!$J$7:$K$11,2,FALSE)&amp;" - Per "&amp;VLOOKUP($C$3,'Writing Logic'!$G$8:$H$14,2,FALSE)&amp;"]"),"="&amp;G$7,INDIRECT("YES_Writing_"&amp;IF($I$3="Combined",{"ELA","FLA"},VLOOKUP($I$3,'Writing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H20" s="52" cm="1">
        <f t="array" aca="1" ref="H20" ca="1">SUM(COUNTIFS(INDIRECT("YES_Writing_"&amp;IF($I$3="Combined",{"ELA","FLA"},VLOOKUP($I$3,'Writing Logic'!$J$2:$K$4,2,FALSE))&amp;"["&amp;VLOOKUP(H$6,'Writing Logic'!$J$7:$K$11,2,FALSE)&amp;" - Per "&amp;VLOOKUP($C$3,'Writing Logic'!$G$8:$H$14,2,FALSE)&amp;"]"),"="&amp;H$7,INDIRECT("YES_Writing_"&amp;IF($I$3="Combined",{"ELA","FLA"},VLOOKUP($I$3,'Writing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I20" s="49" cm="1">
        <f t="array" aca="1" ref="I20" ca="1">SUM(COUNTIFS(INDIRECT("YES_Writing_"&amp;IF($I$3="Combined",{"ELA","FLA"},VLOOKUP($I$3,'Writing Logic'!$J$2:$K$4,2,FALSE))&amp;"["&amp;VLOOKUP(H$6,'Writing Logic'!$J$7:$K$11,2,FALSE)&amp;" - Per "&amp;VLOOKUP($C$3,'Writing Logic'!$G$8:$H$14,2,FALSE)&amp;"]"),"="&amp;I$7,INDIRECT("YES_Writing_"&amp;IF($I$3="Combined",{"ELA","FLA"},VLOOKUP($I$3,'Writing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J20" s="49" cm="1">
        <f t="array" aca="1" ref="J20" ca="1">SUM(COUNTIFS(INDIRECT("YES_Writing_"&amp;IF($I$3="Combined",{"ELA","FLA"},VLOOKUP($I$3,'Writing Logic'!$J$2:$K$4,2,FALSE))&amp;"["&amp;VLOOKUP(H$6,'Writing Logic'!$J$7:$K$11,2,FALSE)&amp;" - Per "&amp;VLOOKUP($C$3,'Writing Logic'!$G$8:$H$14,2,FALSE)&amp;"]"),"="&amp;J$7,INDIRECT("YES_Writing_"&amp;IF($I$3="Combined",{"ELA","FLA"},VLOOKUP($I$3,'Writing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K20" s="49" cm="1">
        <f t="array" aca="1" ref="K20" ca="1">SUM(COUNTIFS(INDIRECT("YES_Writing_"&amp;IF($I$3="Combined",{"ELA","FLA"},VLOOKUP($I$3,'Writing Logic'!$J$2:$K$4,2,FALSE))&amp;"["&amp;VLOOKUP(H$6,'Writing Logic'!$J$7:$K$11,2,FALSE)&amp;" - Per "&amp;VLOOKUP($C$3,'Writing Logic'!$G$8:$H$14,2,FALSE)&amp;"]"),"="&amp;K$7,INDIRECT("YES_Writing_"&amp;IF($I$3="Combined",{"ELA","FLA"},VLOOKUP($I$3,'Writing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L20" s="146" cm="1">
        <f t="array" aca="1" ref="L20" ca="1">SUM(COUNTIFS(INDIRECT("YES_Writing_"&amp;IF($I$3="Combined",{"ELA","FLA"},VLOOKUP($I$3,'Writing Logic'!$J$2:$K$4,2,FALSE))&amp;"["&amp;VLOOKUP(H$6,'Writing Logic'!$J$7:$K$11,2,FALSE)&amp;" - Per "&amp;VLOOKUP($C$3,'Writing Logic'!$G$8:$H$14,2,FALSE)&amp;"]"),"="&amp;L$7,INDIRECT("YES_Writing_"&amp;IF($I$3="Combined",{"ELA","FLA"},VLOOKUP($I$3,'Writing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M20" s="52" cm="1">
        <f t="array" aca="1" ref="M20" ca="1">SUM(COUNTIFS(INDIRECT("YES_Writing_"&amp;IF($I$3="Combined",{"ELA","FLA"},VLOOKUP($I$3,'Writing Logic'!$J$2:$K$4,2,FALSE))&amp;"["&amp;VLOOKUP(M$6,'Writing Logic'!$J$7:$K$11,2,FALSE)&amp;" - Per "&amp;VLOOKUP($C$3,'Writing Logic'!$G$8:$H$14,2,FALSE)&amp;"]"),"="&amp;M$7,INDIRECT("YES_Writing_"&amp;IF($I$3="Combined",{"ELA","FLA"},VLOOKUP($I$3,'Writing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N20" s="49" cm="1">
        <f t="array" aca="1" ref="N20" ca="1">SUM(COUNTIFS(INDIRECT("YES_Writing_"&amp;IF($I$3="Combined",{"ELA","FLA"},VLOOKUP($I$3,'Writing Logic'!$J$2:$K$4,2,FALSE))&amp;"["&amp;VLOOKUP(M$6,'Writing Logic'!$J$7:$K$11,2,FALSE)&amp;" - Per "&amp;VLOOKUP($C$3,'Writing Logic'!$G$8:$H$14,2,FALSE)&amp;"]"),"="&amp;N$7,INDIRECT("YES_Writing_"&amp;IF($I$3="Combined",{"ELA","FLA"},VLOOKUP($I$3,'Writing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O20" s="49" cm="1">
        <f t="array" aca="1" ref="O20" ca="1">SUM(COUNTIFS(INDIRECT("YES_Writing_"&amp;IF($I$3="Combined",{"ELA","FLA"},VLOOKUP($I$3,'Writing Logic'!$J$2:$K$4,2,FALSE))&amp;"["&amp;VLOOKUP(M$6,'Writing Logic'!$J$7:$K$11,2,FALSE)&amp;" - Per "&amp;VLOOKUP($C$3,'Writing Logic'!$G$8:$H$14,2,FALSE)&amp;"]"),"="&amp;O$7,INDIRECT("YES_Writing_"&amp;IF($I$3="Combined",{"ELA","FLA"},VLOOKUP($I$3,'Writing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P20" s="49" cm="1">
        <f t="array" aca="1" ref="P20" ca="1">SUM(COUNTIFS(INDIRECT("YES_Writing_"&amp;IF($I$3="Combined",{"ELA","FLA"},VLOOKUP($I$3,'Writing Logic'!$J$2:$K$4,2,FALSE))&amp;"["&amp;VLOOKUP(M$6,'Writing Logic'!$J$7:$K$11,2,FALSE)&amp;" - Per "&amp;VLOOKUP($C$3,'Writing Logic'!$G$8:$H$14,2,FALSE)&amp;"]"),"="&amp;P$7,INDIRECT("YES_Writing_"&amp;IF($I$3="Combined",{"ELA","FLA"},VLOOKUP($I$3,'Writing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Q20" s="146" cm="1">
        <f t="array" aca="1" ref="Q20" ca="1">SUM(COUNTIFS(INDIRECT("YES_Writing_"&amp;IF($I$3="Combined",{"ELA","FLA"},VLOOKUP($I$3,'Writing Logic'!$J$2:$K$4,2,FALSE))&amp;"["&amp;VLOOKUP(M$6,'Writing Logic'!$J$7:$K$11,2,FALSE)&amp;" - Per "&amp;VLOOKUP($C$3,'Writing Logic'!$G$8:$H$14,2,FALSE)&amp;"]"),"="&amp;Q$7,INDIRECT("YES_Writing_"&amp;IF($I$3="Combined",{"ELA","FLA"},VLOOKUP($I$3,'Writing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R20" s="147" cm="1">
        <f t="array" aca="1" ref="R20" ca="1">SUM(COUNTIFS(INDIRECT("YES_Writing_"&amp;IF($I$3="Combined",{"ELA","FLA"},VLOOKUP($I$3,'Writing Logic'!$J$2:$K$4,2,FALSE))&amp;"["&amp;VLOOKUP(R$6,'Writing Logic'!$J$7:$K$11,2,FALSE)&amp;" - Per "&amp;VLOOKUP($C$3,'Writing Logic'!$G$8:$H$14,2,FALSE)&amp;"]"),"="&amp;R$7,INDIRECT("YES_Writing_"&amp;IF($I$3="Combined",{"ELA","FLA"},VLOOKUP($I$3,'Writing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S20" s="49" cm="1">
        <f t="array" aca="1" ref="S20" ca="1">SUM(COUNTIFS(INDIRECT("YES_Writing_"&amp;IF($I$3="Combined",{"ELA","FLA"},VLOOKUP($I$3,'Writing Logic'!$J$2:$K$4,2,FALSE))&amp;"["&amp;VLOOKUP(R$6,'Writing Logic'!$J$7:$K$11,2,FALSE)&amp;" - Per "&amp;VLOOKUP($C$3,'Writing Logic'!$G$8:$H$14,2,FALSE)&amp;"]"),"="&amp;S$7,INDIRECT("YES_Writing_"&amp;IF($I$3="Combined",{"ELA","FLA"},VLOOKUP($I$3,'Writing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T20" s="49" cm="1">
        <f t="array" aca="1" ref="T20" ca="1">SUM(COUNTIFS(INDIRECT("YES_Writing_"&amp;IF($I$3="Combined",{"ELA","FLA"},VLOOKUP($I$3,'Writing Logic'!$J$2:$K$4,2,FALSE))&amp;"["&amp;VLOOKUP(R$6,'Writing Logic'!$J$7:$K$11,2,FALSE)&amp;" - Per "&amp;VLOOKUP($C$3,'Writing Logic'!$G$8:$H$14,2,FALSE)&amp;"]"),"="&amp;T$7,INDIRECT("YES_Writing_"&amp;IF($I$3="Combined",{"ELA","FLA"},VLOOKUP($I$3,'Writing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U20" s="49" cm="1">
        <f t="array" aca="1" ref="U20" ca="1">SUM(COUNTIFS(INDIRECT("YES_Writing_"&amp;IF($I$3="Combined",{"ELA","FLA"},VLOOKUP($I$3,'Writing Logic'!$J$2:$K$4,2,FALSE))&amp;"["&amp;VLOOKUP(R$6,'Writing Logic'!$J$7:$K$11,2,FALSE)&amp;" - Per "&amp;VLOOKUP($C$3,'Writing Logic'!$G$8:$H$14,2,FALSE)&amp;"]"),"="&amp;U$7,INDIRECT("YES_Writing_"&amp;IF($I$3="Combined",{"ELA","FLA"},VLOOKUP($I$3,'Writing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c r="V20" s="146" cm="1">
        <f t="array" aca="1" ref="V20" ca="1">SUM(COUNTIFS(INDIRECT("YES_Writing_"&amp;IF($I$3="Combined",{"ELA","FLA"},VLOOKUP($I$3,'Writing Logic'!$J$2:$K$4,2,FALSE))&amp;"["&amp;VLOOKUP(R$6,'Writing Logic'!$J$7:$K$11,2,FALSE)&amp;" - Per "&amp;VLOOKUP($C$3,'Writing Logic'!$G$8:$H$14,2,FALSE)&amp;"]"),"="&amp;V$7,INDIRECT("YES_Writing_"&amp;IF($I$3="Combined",{"ELA","FLA"},VLOOKUP($I$3,'Writing Logic'!$J$2:$K$4,2,FALSE))&amp;"[Grade]"),$A20,INDIRECT("YES_Writing_"&amp;IF($I$3="Combined",{"ELA","FLA"},VLOOKUP($I$3,'Writing Logic'!$J$2:$K$4,2,FALSE))&amp;"[Literacy IPP]"),"&lt;&gt;Yes",INDIRECT("YES_Writing_"&amp;IF($I$3="Combined",{"ELA","FLA"},VLOOKUP($I$3,'Writing Logic'!$J$2:$K$4,2,FALSE))&amp;"[School]"),IF($C$2="TCRCE","*",$C$2)))</f>
        <v>0</v>
      </c>
    </row>
    <row r="21" spans="1:22" s="99" customFormat="1" ht="14.25" customHeight="1" thickBot="1" x14ac:dyDescent="0.3">
      <c r="A21" s="148">
        <v>13</v>
      </c>
      <c r="B21" s="149" cm="1">
        <f t="array" aca="1" ref="B21" ca="1">SUM(COUNTIFS(INDIRECT("YES_Writing_"&amp;IF($I$3="Combined",{"ELA","FLA"},VLOOKUP($I$3,'Writing Logic'!$J$2:$K$4,2,FALSE))&amp;"["&amp;VLOOKUP(B$6,'Writing Logic'!$J$7:$K$11,2,FALSE)&amp;" - Per "&amp;VLOOKUP($C$3,'Writing Logic'!$G$8:$H$14,2,FALSE)&amp;"]"),"="&amp;B$7,INDIRECT("YES_Writing_"&amp;IF($I$3="Combined",{"ELA","FLA"},VLOOKUP($I$3,'Writing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C21" s="119" cm="1">
        <f t="array" aca="1" ref="C21" ca="1">SUM(COUNTIFS(INDIRECT("YES_Writing_"&amp;IF($I$3="Combined",{"ELA","FLA"},VLOOKUP($I$3,'Writing Logic'!$J$2:$K$4,2,FALSE))&amp;"["&amp;VLOOKUP(B$6,'Writing Logic'!$J$7:$K$11,2,FALSE)&amp;" - Per "&amp;VLOOKUP($C$3,'Writing Logic'!$G$8:$H$14,2,FALSE)&amp;"]"),"="&amp;C$7,INDIRECT("YES_Writing_"&amp;IF($I$3="Combined",{"ELA","FLA"},VLOOKUP($I$3,'Writing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D21" s="119" cm="1">
        <f t="array" aca="1" ref="D21" ca="1">SUM(COUNTIFS(INDIRECT("YES_Writing_"&amp;IF($I$3="Combined",{"ELA","FLA"},VLOOKUP($I$3,'Writing Logic'!$J$2:$K$4,2,FALSE))&amp;"["&amp;VLOOKUP(B$6,'Writing Logic'!$J$7:$K$11,2,FALSE)&amp;" - Per "&amp;VLOOKUP($C$3,'Writing Logic'!$G$8:$H$14,2,FALSE)&amp;"]"),"="&amp;D$7,INDIRECT("YES_Writing_"&amp;IF($I$3="Combined",{"ELA","FLA"},VLOOKUP($I$3,'Writing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E21" s="119" cm="1">
        <f t="array" aca="1" ref="E21" ca="1">SUM(COUNTIFS(INDIRECT("YES_Writing_"&amp;IF($I$3="Combined",{"ELA","FLA"},VLOOKUP($I$3,'Writing Logic'!$J$2:$K$4,2,FALSE))&amp;"["&amp;VLOOKUP(B$6,'Writing Logic'!$J$7:$K$11,2,FALSE)&amp;" - Per "&amp;VLOOKUP($C$3,'Writing Logic'!$G$8:$H$14,2,FALSE)&amp;"]"),"="&amp;E$7,INDIRECT("YES_Writing_"&amp;IF($I$3="Combined",{"ELA","FLA"},VLOOKUP($I$3,'Writing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F21" s="119" cm="1">
        <f t="array" aca="1" ref="F21" ca="1">SUM(COUNTIFS(INDIRECT("YES_Writing_"&amp;IF($I$3="Combined",{"ELA","FLA"},VLOOKUP($I$3,'Writing Logic'!$J$2:$K$4,2,FALSE))&amp;"["&amp;VLOOKUP(B$6,'Writing Logic'!$J$7:$K$11,2,FALSE)&amp;" - Per "&amp;VLOOKUP($C$3,'Writing Logic'!$G$8:$H$14,2,FALSE)&amp;"]"),"="&amp;F$7,INDIRECT("YES_Writing_"&amp;IF($I$3="Combined",{"ELA","FLA"},VLOOKUP($I$3,'Writing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G21" s="150" cm="1">
        <f t="array" aca="1" ref="G21" ca="1">SUM(COUNTIFS(INDIRECT("YES_Writing_"&amp;IF($I$3="Combined",{"ELA","FLA"},VLOOKUP($I$3,'Writing Logic'!$J$2:$K$4,2,FALSE))&amp;"["&amp;VLOOKUP(B$6,'Writing Logic'!$J$7:$K$11,2,FALSE)&amp;" - Per "&amp;VLOOKUP($C$3,'Writing Logic'!$G$8:$H$14,2,FALSE)&amp;"]"),"="&amp;G$7,INDIRECT("YES_Writing_"&amp;IF($I$3="Combined",{"ELA","FLA"},VLOOKUP($I$3,'Writing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H21" s="149" cm="1">
        <f t="array" aca="1" ref="H21" ca="1">SUM(COUNTIFS(INDIRECT("YES_Writing_"&amp;IF($I$3="Combined",{"ELA","FLA"},VLOOKUP($I$3,'Writing Logic'!$J$2:$K$4,2,FALSE))&amp;"["&amp;VLOOKUP(H$6,'Writing Logic'!$J$7:$K$11,2,FALSE)&amp;" - Per "&amp;VLOOKUP($C$3,'Writing Logic'!$G$8:$H$14,2,FALSE)&amp;"]"),"="&amp;H$7,INDIRECT("YES_Writing_"&amp;IF($I$3="Combined",{"ELA","FLA"},VLOOKUP($I$3,'Writing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I21" s="119" cm="1">
        <f t="array" aca="1" ref="I21" ca="1">SUM(COUNTIFS(INDIRECT("YES_Writing_"&amp;IF($I$3="Combined",{"ELA","FLA"},VLOOKUP($I$3,'Writing Logic'!$J$2:$K$4,2,FALSE))&amp;"["&amp;VLOOKUP(H$6,'Writing Logic'!$J$7:$K$11,2,FALSE)&amp;" - Per "&amp;VLOOKUP($C$3,'Writing Logic'!$G$8:$H$14,2,FALSE)&amp;"]"),"="&amp;I$7,INDIRECT("YES_Writing_"&amp;IF($I$3="Combined",{"ELA","FLA"},VLOOKUP($I$3,'Writing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J21" s="119" cm="1">
        <f t="array" aca="1" ref="J21" ca="1">SUM(COUNTIFS(INDIRECT("YES_Writing_"&amp;IF($I$3="Combined",{"ELA","FLA"},VLOOKUP($I$3,'Writing Logic'!$J$2:$K$4,2,FALSE))&amp;"["&amp;VLOOKUP(H$6,'Writing Logic'!$J$7:$K$11,2,FALSE)&amp;" - Per "&amp;VLOOKUP($C$3,'Writing Logic'!$G$8:$H$14,2,FALSE)&amp;"]"),"="&amp;J$7,INDIRECT("YES_Writing_"&amp;IF($I$3="Combined",{"ELA","FLA"},VLOOKUP($I$3,'Writing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K21" s="119" cm="1">
        <f t="array" aca="1" ref="K21" ca="1">SUM(COUNTIFS(INDIRECT("YES_Writing_"&amp;IF($I$3="Combined",{"ELA","FLA"},VLOOKUP($I$3,'Writing Logic'!$J$2:$K$4,2,FALSE))&amp;"["&amp;VLOOKUP(H$6,'Writing Logic'!$J$7:$K$11,2,FALSE)&amp;" - Per "&amp;VLOOKUP($C$3,'Writing Logic'!$G$8:$H$14,2,FALSE)&amp;"]"),"="&amp;K$7,INDIRECT("YES_Writing_"&amp;IF($I$3="Combined",{"ELA","FLA"},VLOOKUP($I$3,'Writing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L21" s="150" cm="1">
        <f t="array" aca="1" ref="L21" ca="1">SUM(COUNTIFS(INDIRECT("YES_Writing_"&amp;IF($I$3="Combined",{"ELA","FLA"},VLOOKUP($I$3,'Writing Logic'!$J$2:$K$4,2,FALSE))&amp;"["&amp;VLOOKUP(H$6,'Writing Logic'!$J$7:$K$11,2,FALSE)&amp;" - Per "&amp;VLOOKUP($C$3,'Writing Logic'!$G$8:$H$14,2,FALSE)&amp;"]"),"="&amp;L$7,INDIRECT("YES_Writing_"&amp;IF($I$3="Combined",{"ELA","FLA"},VLOOKUP($I$3,'Writing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M21" s="149" cm="1">
        <f t="array" aca="1" ref="M21" ca="1">SUM(COUNTIFS(INDIRECT("YES_Writing_"&amp;IF($I$3="Combined",{"ELA","FLA"},VLOOKUP($I$3,'Writing Logic'!$J$2:$K$4,2,FALSE))&amp;"["&amp;VLOOKUP(M$6,'Writing Logic'!$J$7:$K$11,2,FALSE)&amp;" - Per "&amp;VLOOKUP($C$3,'Writing Logic'!$G$8:$H$14,2,FALSE)&amp;"]"),"="&amp;M$7,INDIRECT("YES_Writing_"&amp;IF($I$3="Combined",{"ELA","FLA"},VLOOKUP($I$3,'Writing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N21" s="119" cm="1">
        <f t="array" aca="1" ref="N21" ca="1">SUM(COUNTIFS(INDIRECT("YES_Writing_"&amp;IF($I$3="Combined",{"ELA","FLA"},VLOOKUP($I$3,'Writing Logic'!$J$2:$K$4,2,FALSE))&amp;"["&amp;VLOOKUP(M$6,'Writing Logic'!$J$7:$K$11,2,FALSE)&amp;" - Per "&amp;VLOOKUP($C$3,'Writing Logic'!$G$8:$H$14,2,FALSE)&amp;"]"),"="&amp;N$7,INDIRECT("YES_Writing_"&amp;IF($I$3="Combined",{"ELA","FLA"},VLOOKUP($I$3,'Writing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O21" s="119" cm="1">
        <f t="array" aca="1" ref="O21" ca="1">SUM(COUNTIFS(INDIRECT("YES_Writing_"&amp;IF($I$3="Combined",{"ELA","FLA"},VLOOKUP($I$3,'Writing Logic'!$J$2:$K$4,2,FALSE))&amp;"["&amp;VLOOKUP(M$6,'Writing Logic'!$J$7:$K$11,2,FALSE)&amp;" - Per "&amp;VLOOKUP($C$3,'Writing Logic'!$G$8:$H$14,2,FALSE)&amp;"]"),"="&amp;O$7,INDIRECT("YES_Writing_"&amp;IF($I$3="Combined",{"ELA","FLA"},VLOOKUP($I$3,'Writing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P21" s="119" cm="1">
        <f t="array" aca="1" ref="P21" ca="1">SUM(COUNTIFS(INDIRECT("YES_Writing_"&amp;IF($I$3="Combined",{"ELA","FLA"},VLOOKUP($I$3,'Writing Logic'!$J$2:$K$4,2,FALSE))&amp;"["&amp;VLOOKUP(M$6,'Writing Logic'!$J$7:$K$11,2,FALSE)&amp;" - Per "&amp;VLOOKUP($C$3,'Writing Logic'!$G$8:$H$14,2,FALSE)&amp;"]"),"="&amp;P$7,INDIRECT("YES_Writing_"&amp;IF($I$3="Combined",{"ELA","FLA"},VLOOKUP($I$3,'Writing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Q21" s="150" cm="1">
        <f t="array" aca="1" ref="Q21" ca="1">SUM(COUNTIFS(INDIRECT("YES_Writing_"&amp;IF($I$3="Combined",{"ELA","FLA"},VLOOKUP($I$3,'Writing Logic'!$J$2:$K$4,2,FALSE))&amp;"["&amp;VLOOKUP(M$6,'Writing Logic'!$J$7:$K$11,2,FALSE)&amp;" - Per "&amp;VLOOKUP($C$3,'Writing Logic'!$G$8:$H$14,2,FALSE)&amp;"]"),"="&amp;Q$7,INDIRECT("YES_Writing_"&amp;IF($I$3="Combined",{"ELA","FLA"},VLOOKUP($I$3,'Writing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R21" s="118" cm="1">
        <f t="array" aca="1" ref="R21" ca="1">SUM(COUNTIFS(INDIRECT("YES_Writing_"&amp;IF($I$3="Combined",{"ELA","FLA"},VLOOKUP($I$3,'Writing Logic'!$J$2:$K$4,2,FALSE))&amp;"["&amp;VLOOKUP(R$6,'Writing Logic'!$J$7:$K$11,2,FALSE)&amp;" - Per "&amp;VLOOKUP($C$3,'Writing Logic'!$G$8:$H$14,2,FALSE)&amp;"]"),"="&amp;R$7,INDIRECT("YES_Writing_"&amp;IF($I$3="Combined",{"ELA","FLA"},VLOOKUP($I$3,'Writing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S21" s="119" cm="1">
        <f t="array" aca="1" ref="S21" ca="1">SUM(COUNTIFS(INDIRECT("YES_Writing_"&amp;IF($I$3="Combined",{"ELA","FLA"},VLOOKUP($I$3,'Writing Logic'!$J$2:$K$4,2,FALSE))&amp;"["&amp;VLOOKUP(R$6,'Writing Logic'!$J$7:$K$11,2,FALSE)&amp;" - Per "&amp;VLOOKUP($C$3,'Writing Logic'!$G$8:$H$14,2,FALSE)&amp;"]"),"="&amp;S$7,INDIRECT("YES_Writing_"&amp;IF($I$3="Combined",{"ELA","FLA"},VLOOKUP($I$3,'Writing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T21" s="119" cm="1">
        <f t="array" aca="1" ref="T21" ca="1">SUM(COUNTIFS(INDIRECT("YES_Writing_"&amp;IF($I$3="Combined",{"ELA","FLA"},VLOOKUP($I$3,'Writing Logic'!$J$2:$K$4,2,FALSE))&amp;"["&amp;VLOOKUP(R$6,'Writing Logic'!$J$7:$K$11,2,FALSE)&amp;" - Per "&amp;VLOOKUP($C$3,'Writing Logic'!$G$8:$H$14,2,FALSE)&amp;"]"),"="&amp;T$7,INDIRECT("YES_Writing_"&amp;IF($I$3="Combined",{"ELA","FLA"},VLOOKUP($I$3,'Writing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U21" s="119" cm="1">
        <f t="array" aca="1" ref="U21" ca="1">SUM(COUNTIFS(INDIRECT("YES_Writing_"&amp;IF($I$3="Combined",{"ELA","FLA"},VLOOKUP($I$3,'Writing Logic'!$J$2:$K$4,2,FALSE))&amp;"["&amp;VLOOKUP(R$6,'Writing Logic'!$J$7:$K$11,2,FALSE)&amp;" - Per "&amp;VLOOKUP($C$3,'Writing Logic'!$G$8:$H$14,2,FALSE)&amp;"]"),"="&amp;U$7,INDIRECT("YES_Writing_"&amp;IF($I$3="Combined",{"ELA","FLA"},VLOOKUP($I$3,'Writing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c r="V21" s="150" cm="1">
        <f t="array" aca="1" ref="V21" ca="1">SUM(COUNTIFS(INDIRECT("YES_Writing_"&amp;IF($I$3="Combined",{"ELA","FLA"},VLOOKUP($I$3,'Writing Logic'!$J$2:$K$4,2,FALSE))&amp;"["&amp;VLOOKUP(R$6,'Writing Logic'!$J$7:$K$11,2,FALSE)&amp;" - Per "&amp;VLOOKUP($C$3,'Writing Logic'!$G$8:$H$14,2,FALSE)&amp;"]"),"="&amp;V$7,INDIRECT("YES_Writing_"&amp;IF($I$3="Combined",{"ELA","FLA"},VLOOKUP($I$3,'Writing Logic'!$J$2:$K$4,2,FALSE))&amp;"[Grade]"),$A21,INDIRECT("YES_Writing_"&amp;IF($I$3="Combined",{"ELA","FLA"},VLOOKUP($I$3,'Writing Logic'!$J$2:$K$4,2,FALSE))&amp;"[Literacy IPP]"),"&lt;&gt;Yes",INDIRECT("YES_Writing_"&amp;IF($I$3="Combined",{"ELA","FLA"},VLOOKUP($I$3,'Writing Logic'!$J$2:$K$4,2,FALSE))&amp;"[School]"),IF($C$2="TCRCE","*",$C$2)))</f>
        <v>0</v>
      </c>
    </row>
    <row r="22" spans="1:22" s="99" customFormat="1" ht="14.25" customHeight="1" thickBot="1" x14ac:dyDescent="0.3">
      <c r="A22" s="151" t="s">
        <v>204</v>
      </c>
      <c r="B22" s="152">
        <f ca="1">SUM(B8:B21)</f>
        <v>0</v>
      </c>
      <c r="C22" s="153">
        <f t="shared" ref="C22:V22" ca="1" si="0">SUM(C8:C21)</f>
        <v>0</v>
      </c>
      <c r="D22" s="153">
        <f t="shared" ca="1" si="0"/>
        <v>0</v>
      </c>
      <c r="E22" s="153">
        <f t="shared" ca="1" si="0"/>
        <v>0</v>
      </c>
      <c r="F22" s="153">
        <f t="shared" ca="1" si="0"/>
        <v>0</v>
      </c>
      <c r="G22" s="154">
        <f t="shared" ca="1" si="0"/>
        <v>0</v>
      </c>
      <c r="H22" s="152">
        <f t="shared" ca="1" si="0"/>
        <v>0</v>
      </c>
      <c r="I22" s="153">
        <f t="shared" ca="1" si="0"/>
        <v>0</v>
      </c>
      <c r="J22" s="153">
        <f t="shared" ca="1" si="0"/>
        <v>0</v>
      </c>
      <c r="K22" s="153">
        <f t="shared" ca="1" si="0"/>
        <v>0</v>
      </c>
      <c r="L22" s="154">
        <f t="shared" ca="1" si="0"/>
        <v>0</v>
      </c>
      <c r="M22" s="152">
        <f t="shared" ca="1" si="0"/>
        <v>0</v>
      </c>
      <c r="N22" s="153">
        <f t="shared" ca="1" si="0"/>
        <v>0</v>
      </c>
      <c r="O22" s="153">
        <f t="shared" ca="1" si="0"/>
        <v>0</v>
      </c>
      <c r="P22" s="153">
        <f t="shared" ca="1" si="0"/>
        <v>0</v>
      </c>
      <c r="Q22" s="154">
        <f t="shared" ca="1" si="0"/>
        <v>0</v>
      </c>
      <c r="R22" s="155">
        <f t="shared" ca="1" si="0"/>
        <v>0</v>
      </c>
      <c r="S22" s="153">
        <f t="shared" ca="1" si="0"/>
        <v>0</v>
      </c>
      <c r="T22" s="153">
        <f t="shared" ca="1" si="0"/>
        <v>0</v>
      </c>
      <c r="U22" s="153">
        <f t="shared" ca="1" si="0"/>
        <v>0</v>
      </c>
      <c r="V22" s="154">
        <f t="shared" ca="1" si="0"/>
        <v>0</v>
      </c>
    </row>
    <row r="23" spans="1:22" s="99" customFormat="1" ht="14.25" customHeight="1" thickBot="1" x14ac:dyDescent="0.3">
      <c r="A23" s="151" t="s">
        <v>201</v>
      </c>
      <c r="B23" s="156" t="str">
        <f ca="1">IFERROR(B22/SUM($B$22:$G$22),"")</f>
        <v/>
      </c>
      <c r="C23" s="157" t="str">
        <f t="shared" ref="C23:G23" ca="1" si="1">IFERROR(C22/SUM($B$22:$G$22),"")</f>
        <v/>
      </c>
      <c r="D23" s="157" t="str">
        <f t="shared" ca="1" si="1"/>
        <v/>
      </c>
      <c r="E23" s="157" t="str">
        <f t="shared" ca="1" si="1"/>
        <v/>
      </c>
      <c r="F23" s="157" t="str">
        <f t="shared" ca="1" si="1"/>
        <v/>
      </c>
      <c r="G23" s="158" t="str">
        <f t="shared" ca="1" si="1"/>
        <v/>
      </c>
      <c r="H23" s="156" t="str">
        <f ca="1">IFERROR(H22/SUM($H$22:$L$22),"")</f>
        <v/>
      </c>
      <c r="I23" s="157" t="str">
        <f t="shared" ref="I23:L23" ca="1" si="2">IFERROR(I22/SUM($H$22:$L$22),"")</f>
        <v/>
      </c>
      <c r="J23" s="157" t="str">
        <f t="shared" ca="1" si="2"/>
        <v/>
      </c>
      <c r="K23" s="157" t="str">
        <f t="shared" ca="1" si="2"/>
        <v/>
      </c>
      <c r="L23" s="158" t="str">
        <f t="shared" ca="1" si="2"/>
        <v/>
      </c>
      <c r="M23" s="156" t="str">
        <f ca="1">IFERROR(M22/SUM($M$22:$Q$22),"")</f>
        <v/>
      </c>
      <c r="N23" s="157" t="str">
        <f t="shared" ref="N23:Q23" ca="1" si="3">IFERROR(N22/SUM($M$22:$Q$22),"")</f>
        <v/>
      </c>
      <c r="O23" s="157" t="str">
        <f t="shared" ca="1" si="3"/>
        <v/>
      </c>
      <c r="P23" s="157" t="str">
        <f t="shared" ca="1" si="3"/>
        <v/>
      </c>
      <c r="Q23" s="158" t="str">
        <f t="shared" ca="1" si="3"/>
        <v/>
      </c>
      <c r="R23" s="156" t="str">
        <f ca="1">IFERROR(R22/SUM($R$22:$V$22),"")</f>
        <v/>
      </c>
      <c r="S23" s="157" t="str">
        <f t="shared" ref="S23:V23" ca="1" si="4">IFERROR(S22/SUM($R$22:$V$22),"")</f>
        <v/>
      </c>
      <c r="T23" s="157" t="str">
        <f t="shared" ca="1" si="4"/>
        <v/>
      </c>
      <c r="U23" s="157" t="str">
        <f t="shared" ca="1" si="4"/>
        <v/>
      </c>
      <c r="V23" s="158" t="str">
        <f t="shared" ca="1" si="4"/>
        <v/>
      </c>
    </row>
    <row r="24" spans="1:22" s="99" customFormat="1" ht="14.25" customHeight="1" x14ac:dyDescent="0.25">
      <c r="A24"/>
    </row>
    <row r="25" spans="1:22" s="99" customFormat="1" ht="14.25" customHeight="1" x14ac:dyDescent="0.25">
      <c r="A25"/>
    </row>
    <row r="26" spans="1:22" s="99" customFormat="1" ht="14.25" customHeight="1" x14ac:dyDescent="0.25">
      <c r="A26"/>
    </row>
    <row r="27" spans="1:22" s="99" customFormat="1" ht="14.25" customHeight="1" x14ac:dyDescent="0.25">
      <c r="A27"/>
    </row>
    <row r="28" spans="1:22" s="99" customFormat="1" ht="14.25" customHeight="1" x14ac:dyDescent="0.25">
      <c r="A28"/>
    </row>
    <row r="29" spans="1:22" s="99" customFormat="1" ht="14.25" customHeight="1" x14ac:dyDescent="0.25">
      <c r="A29"/>
    </row>
    <row r="30" spans="1:22" s="99" customFormat="1" ht="14.25" customHeight="1" x14ac:dyDescent="0.25">
      <c r="A30"/>
    </row>
    <row r="31" spans="1:22" s="99" customFormat="1" ht="14.25" customHeight="1" x14ac:dyDescent="0.25">
      <c r="A31"/>
    </row>
    <row r="32" spans="1:22" s="99" customFormat="1" ht="14.25" customHeight="1" x14ac:dyDescent="0.25">
      <c r="A32"/>
    </row>
    <row r="33" spans="1:1" s="99" customFormat="1" ht="14.25" customHeight="1" x14ac:dyDescent="0.25">
      <c r="A33"/>
    </row>
    <row r="34" spans="1:1" s="99" customFormat="1" ht="14.25" customHeight="1" x14ac:dyDescent="0.25">
      <c r="A34"/>
    </row>
    <row r="35" spans="1:1" s="99" customFormat="1" ht="14.25" customHeight="1" x14ac:dyDescent="0.25">
      <c r="A35"/>
    </row>
    <row r="36" spans="1:1" s="99" customFormat="1" ht="14.25" customHeight="1" x14ac:dyDescent="0.25">
      <c r="A36"/>
    </row>
    <row r="37" spans="1:1" ht="14.25" customHeight="1" x14ac:dyDescent="0.25"/>
    <row r="38" spans="1:1" ht="14.25" customHeight="1" x14ac:dyDescent="0.25"/>
    <row r="39" spans="1:1" ht="14.25" customHeight="1" x14ac:dyDescent="0.25"/>
    <row r="40" spans="1:1" ht="14.25" customHeight="1" x14ac:dyDescent="0.25"/>
    <row r="41" spans="1:1" ht="14.25" customHeight="1" x14ac:dyDescent="0.25"/>
    <row r="42" spans="1:1" ht="14.25" customHeight="1" x14ac:dyDescent="0.25"/>
    <row r="43" spans="1:1" ht="14.25" customHeight="1" x14ac:dyDescent="0.25"/>
    <row r="44" spans="1:1" ht="14.25" customHeight="1" x14ac:dyDescent="0.25"/>
    <row r="45" spans="1:1" ht="14.25" customHeight="1" x14ac:dyDescent="0.25"/>
    <row r="46" spans="1:1" ht="14.25" customHeight="1" x14ac:dyDescent="0.25"/>
    <row r="47" spans="1:1" ht="14.25" customHeight="1" x14ac:dyDescent="0.25"/>
    <row r="48" spans="1:1"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spans="1:1" ht="14.25" customHeight="1" x14ac:dyDescent="0.25"/>
    <row r="66" spans="1:1" ht="14.25" customHeight="1" x14ac:dyDescent="0.25"/>
    <row r="67" spans="1:1" ht="14.25" customHeight="1" x14ac:dyDescent="0.25"/>
    <row r="68" spans="1:1" ht="14.25" customHeight="1" x14ac:dyDescent="0.25"/>
    <row r="69" spans="1:1" ht="14.25" customHeight="1" x14ac:dyDescent="0.25"/>
    <row r="70" spans="1:1" ht="14.25" customHeight="1" x14ac:dyDescent="0.25"/>
    <row r="71" spans="1:1" ht="14.25" customHeight="1" x14ac:dyDescent="0.25"/>
    <row r="72" spans="1:1" ht="14.25" customHeight="1" x14ac:dyDescent="0.25"/>
    <row r="73" spans="1:1" s="99" customFormat="1" ht="14.25" customHeight="1" x14ac:dyDescent="0.25">
      <c r="A73"/>
    </row>
    <row r="74" spans="1:1" s="99" customFormat="1" ht="14.25" customHeight="1" x14ac:dyDescent="0.25">
      <c r="A74"/>
    </row>
    <row r="75" spans="1:1" s="99" customFormat="1" ht="14.25" customHeight="1" x14ac:dyDescent="0.25">
      <c r="A75"/>
    </row>
    <row r="76" spans="1:1" s="99" customFormat="1" ht="14.25" customHeight="1" x14ac:dyDescent="0.25">
      <c r="A76"/>
    </row>
    <row r="77" spans="1:1" s="99" customFormat="1" ht="14.25" customHeight="1" x14ac:dyDescent="0.25">
      <c r="A77"/>
    </row>
    <row r="78" spans="1:1" s="99" customFormat="1" ht="14.25" customHeight="1" x14ac:dyDescent="0.25">
      <c r="A78"/>
    </row>
    <row r="79" spans="1:1" ht="14.25" customHeight="1" x14ac:dyDescent="0.25"/>
    <row r="80" spans="1:1"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sheetData>
  <mergeCells count="10">
    <mergeCell ref="B6:G6"/>
    <mergeCell ref="H6:L6"/>
    <mergeCell ref="M6:Q6"/>
    <mergeCell ref="R6:V6"/>
    <mergeCell ref="A1:V1"/>
    <mergeCell ref="C2:K2"/>
    <mergeCell ref="C3:E3"/>
    <mergeCell ref="G3:H3"/>
    <mergeCell ref="I3:J3"/>
    <mergeCell ref="C4:H4"/>
  </mergeCells>
  <pageMargins left="0.25" right="0.25" top="0.75" bottom="0.75" header="0.3" footer="0.3"/>
  <pageSetup paperSize="5" fitToHeight="0" orientation="landscape"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AC1B32-BC44-4FB7-A852-B69F6E5E4F64}">
          <x14:formula1>
            <xm:f>'Writing Logic'!$A$12:$A$35</xm:f>
          </x14:formula1>
          <xm:sqref>C2:K2</xm:sqref>
        </x14:dataValidation>
        <x14:dataValidation type="list" allowBlank="1" showInputMessage="1" showErrorMessage="1" xr:uid="{A4C38008-0E28-4B39-9F92-B2E1E5CF5534}">
          <x14:formula1>
            <xm:f>'Writing Logic'!$G$8:$G$14</xm:f>
          </x14:formula1>
          <xm:sqref>C3:E3</xm:sqref>
        </x14:dataValidation>
        <x14:dataValidation type="list" allowBlank="1" showInputMessage="1" showErrorMessage="1" xr:uid="{3746C90D-F2F4-4289-BE33-4E7E4FF85987}">
          <x14:formula1>
            <xm:f>'Writing Logic'!$J$2:$J$4</xm:f>
          </x14:formula1>
          <xm:sqref>I3:J3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3415C-5268-4846-97D3-9FDD63B02618}">
  <sheetPr codeName="Sheet4">
    <pageSetUpPr fitToPage="1"/>
  </sheetPr>
  <dimension ref="A1:U26"/>
  <sheetViews>
    <sheetView zoomScale="77" zoomScaleNormal="100" workbookViewId="0">
      <selection activeCell="L35" sqref="L35"/>
    </sheetView>
  </sheetViews>
  <sheetFormatPr defaultRowHeight="15" x14ac:dyDescent="0.25"/>
  <cols>
    <col min="1" max="1" width="40.7109375" bestFit="1" customWidth="1"/>
    <col min="2" max="2" width="12.7109375" customWidth="1"/>
    <col min="20" max="21" width="9.140625" hidden="1" customWidth="1"/>
  </cols>
  <sheetData>
    <row r="1" spans="1:21" ht="24" x14ac:dyDescent="0.4">
      <c r="A1" s="321" t="s">
        <v>205</v>
      </c>
      <c r="B1" s="335"/>
      <c r="C1" s="335"/>
      <c r="D1" s="335"/>
      <c r="E1" s="335"/>
      <c r="F1" s="335"/>
      <c r="G1" s="335"/>
      <c r="H1" s="335"/>
      <c r="I1" s="335"/>
      <c r="J1" s="335"/>
      <c r="K1" s="335"/>
      <c r="L1" s="335"/>
      <c r="M1" s="335"/>
      <c r="N1" s="335"/>
      <c r="O1" s="335"/>
      <c r="P1" s="335"/>
      <c r="Q1" s="335"/>
      <c r="R1" s="335"/>
      <c r="S1" s="335"/>
    </row>
    <row r="2" spans="1:21" ht="9.9499999999999993" customHeight="1" x14ac:dyDescent="0.25"/>
    <row r="3" spans="1:21" x14ac:dyDescent="0.25">
      <c r="A3" s="46" t="s">
        <v>191</v>
      </c>
      <c r="B3" s="309" t="s">
        <v>330</v>
      </c>
      <c r="C3" s="309"/>
      <c r="E3" s="46" t="s">
        <v>173</v>
      </c>
      <c r="F3" s="310" t="s">
        <v>90</v>
      </c>
      <c r="G3" s="310"/>
      <c r="H3" s="310"/>
      <c r="I3" s="310"/>
      <c r="J3" s="310"/>
      <c r="N3" s="336" t="s">
        <v>180</v>
      </c>
      <c r="O3" s="336"/>
      <c r="P3" s="336"/>
      <c r="Q3" s="337">
        <f ca="1">NOW()</f>
        <v>46168.387202314814</v>
      </c>
      <c r="R3" s="337"/>
      <c r="S3" s="337"/>
    </row>
    <row r="4" spans="1:21" x14ac:dyDescent="0.25">
      <c r="A4" s="46" t="s">
        <v>174</v>
      </c>
      <c r="B4" s="42" t="s">
        <v>175</v>
      </c>
    </row>
    <row r="5" spans="1:21" ht="9.9499999999999993" customHeight="1" thickBot="1" x14ac:dyDescent="0.3"/>
    <row r="6" spans="1:21" ht="15.75" thickBot="1" x14ac:dyDescent="0.3">
      <c r="B6" s="332" t="s">
        <v>195</v>
      </c>
      <c r="C6" s="333"/>
      <c r="D6" s="334"/>
      <c r="E6" s="332" t="s">
        <v>206</v>
      </c>
      <c r="F6" s="333"/>
      <c r="G6" s="334"/>
      <c r="H6" s="332" t="s">
        <v>207</v>
      </c>
      <c r="I6" s="333"/>
      <c r="J6" s="334"/>
      <c r="K6" s="332" t="s">
        <v>208</v>
      </c>
      <c r="L6" s="333"/>
      <c r="M6" s="334"/>
      <c r="N6" s="332" t="s">
        <v>209</v>
      </c>
      <c r="O6" s="333"/>
      <c r="P6" s="334"/>
      <c r="Q6" s="332" t="s">
        <v>210</v>
      </c>
      <c r="R6" s="333"/>
      <c r="S6" s="334"/>
    </row>
    <row r="7" spans="1:21" ht="102.75" customHeight="1" thickBot="1" x14ac:dyDescent="0.3">
      <c r="A7" s="41"/>
      <c r="B7" s="26" t="s">
        <v>211</v>
      </c>
      <c r="C7" s="27" t="s">
        <v>212</v>
      </c>
      <c r="D7" s="28" t="s">
        <v>213</v>
      </c>
      <c r="E7" s="26" t="s">
        <v>214</v>
      </c>
      <c r="F7" s="27" t="s">
        <v>215</v>
      </c>
      <c r="G7" s="28" t="s">
        <v>216</v>
      </c>
      <c r="H7" s="26" t="s">
        <v>217</v>
      </c>
      <c r="I7" s="27" t="s">
        <v>218</v>
      </c>
      <c r="J7" s="28" t="s">
        <v>219</v>
      </c>
      <c r="K7" s="26" t="s">
        <v>220</v>
      </c>
      <c r="L7" s="27" t="s">
        <v>221</v>
      </c>
      <c r="M7" s="28" t="s">
        <v>222</v>
      </c>
      <c r="N7" s="26" t="s">
        <v>223</v>
      </c>
      <c r="O7" s="27" t="s">
        <v>224</v>
      </c>
      <c r="P7" s="28" t="s">
        <v>225</v>
      </c>
      <c r="Q7" s="26" t="s">
        <v>226</v>
      </c>
      <c r="R7" s="27" t="s">
        <v>227</v>
      </c>
      <c r="S7" s="28" t="s">
        <v>228</v>
      </c>
    </row>
    <row r="8" spans="1:21" x14ac:dyDescent="0.25">
      <c r="A8" s="44" t="s">
        <v>194</v>
      </c>
      <c r="B8" s="24">
        <f ca="1">COUNTIFS(YES_Reading_ELA[School],IF($F$3="TCRCE","*",$F$3),YES_Reading_ELA[Literacy IPP],"&lt;&gt;Yes",INDIRECT("YES_Reading_ELA[Difference - Per "&amp;VLOOKUP($B$3,'Reading Report Logic'!$A$2:$B$8,2,FALSE)&amp;"]"),"&gt;=0",YES_Reading_ELA[Grade],VLOOKUP($B$4,'Reading Report Logic'!$D$2:$E$9,2,FALSE))</f>
        <v>0</v>
      </c>
      <c r="C8" s="25">
        <f ca="1">COUNTIFS(YES_Reading_ELA[School],IF($F$3="TCRCE","*",$F$3),YES_Reading_ELA[Literacy IPP],"&lt;&gt;Yes",INDIRECT("YES_Reading_ELA[Instructional Reading Level - Per "&amp;VLOOKUP($B$3,'Reading Report Logic'!$A$2:$B$8,2,FALSE)&amp;"]"),"&gt;&lt;",YES_Reading_ELA[Grade],VLOOKUP($B$4,'Reading Report Logic'!$D$2:$E$9,2,FALSE))</f>
        <v>0</v>
      </c>
      <c r="D8" s="22" t="str">
        <f t="shared" ref="D8:D9" ca="1" si="0">IFERROR(B8/C8,"")</f>
        <v/>
      </c>
      <c r="E8" s="24">
        <f ca="1">COUNTIFS(YES_Reading_ELA[School],IF($F$3="TCRCE","*",$F$3),YES_Reading_ELA[Literacy IPP],"&lt;&gt;Yes",INDIRECT("YES_Reading_ELA[Difference - Per "&amp;VLOOKUP($B$3,'Reading Report Logic'!$A$2:$B$8,2,FALSE)&amp;"]"),"&gt;=0",YES_Reading_ELA[Self-Identified as African Descent],"&lt;&gt;YES",YES_Reading_ELA[Self-Identified as Indigenous],"&lt;&gt;1",YES_Reading_ELA[Grade],VLOOKUP($B$4,'Reading Report Logic'!$D$2:$E$9,2,FALSE))</f>
        <v>0</v>
      </c>
      <c r="F8" s="25">
        <f ca="1">COUNTIFS(YES_Reading_ELA[School],IF($F$3="TCRCE","*",$F$3),YES_Reading_ELA[Literacy IPP],"&lt;&gt;Yes",YES_Reading_ELA[Self-Identified as African Descent],"&lt;&gt;YES",YES_Reading_ELA[Self-Identified as Indigenous],"&lt;&gt;1",INDIRECT("YES_Reading_ELA[Instructional Reading Level - Per "&amp;VLOOKUP($B$3,'Reading Report Logic'!$A$2:$B$8,2,FALSE)&amp;"]"),"&gt;&lt;",YES_Reading_ELA[Grade],VLOOKUP($B$4,'Reading Report Logic'!$D$2:$E$9,2,FALSE))</f>
        <v>0</v>
      </c>
      <c r="G8" s="22" t="str">
        <f t="shared" ref="G8:G9" ca="1" si="1">IFERROR(E8/F8,"")</f>
        <v/>
      </c>
      <c r="H8" s="24">
        <f ca="1">COUNTIFS(YES_Reading_ELA[School],IF($F$3="TCRCE","*",$F$3),YES_Reading_ELA[Literacy IPP],"&lt;&gt;Yes",INDIRECT("YES_Reading_ELA[Difference - Per "&amp;VLOOKUP($B$3,'Reading Report Logic'!$A$2:$B$8,2,FALSE)&amp;"]"),"&gt;=0",YES_Reading_ELA[Self-Identified as African Descent],"YES",YES_Reading_ELA[Self-Identified as Indigenous],"&lt;&gt;1",YES_Reading_ELA[Grade],VLOOKUP($B$4,'Reading Report Logic'!$D$2:$E$9,2,FALSE))</f>
        <v>0</v>
      </c>
      <c r="I8" s="25">
        <f ca="1">COUNTIFS(YES_Reading_ELA[School],IF($F$3="TCRCE","*",$F$3),YES_Reading_ELA[Literacy IPP],"&lt;&gt;Yes",YES_Reading_ELA[Self-Identified as African Descent],"YES",YES_Reading_ELA[Self-Identified as Indigenous],"&lt;&gt;1",INDIRECT("YES_Reading_ELA[Instructional Reading Level - Per "&amp;VLOOKUP($B$3,'Reading Report Logic'!$A$2:$B$8,2,FALSE)&amp;"]"),"&gt;&lt;",YES_Reading_ELA[Grade],VLOOKUP($B$4,'Reading Report Logic'!$D$2:$E$9,2,FALSE))</f>
        <v>0</v>
      </c>
      <c r="J8" s="22" t="str">
        <f t="shared" ref="J8:J9" ca="1" si="2">IFERROR(H8/I8,"")</f>
        <v/>
      </c>
      <c r="K8" s="24">
        <f ca="1">COUNTIFS(YES_Reading_ELA[School],IF($F$3="TCRCE","*",$F$3),YES_Reading_ELA[Literacy IPP],"&lt;&gt;Yes",INDIRECT("YES_Reading_ELA[Difference - Per "&amp;VLOOKUP($B$3,'Reading Report Logic'!$A$2:$B$8,2,FALSE)&amp;"]"),"&gt;=0",YES_Reading_ELA[Self-Identified as African Descent],"&lt;&gt;YES",YES_Reading_ELA[Self-Identified as Indigenous],"=1", YES_Reading_ELA[Grade],VLOOKUP($B$4,'Reading Report Logic'!$D$2:$E$9,2,FALSE))</f>
        <v>0</v>
      </c>
      <c r="L8" s="25">
        <f ca="1">COUNTIFS(YES_Reading_ELA[School],IF($F$3="TCRCE","*",$F$3),YES_Reading_ELA[Literacy IPP],"&lt;&gt;Yes",YES_Reading_ELA[Self-Identified as African Descent],"&lt;&gt;YES",YES_Reading_ELA[Self-Identified as Indigenous],"=1",INDIRECT("YES_Reading_ELA[Instructional Reading Level - Per "&amp;VLOOKUP($B$3,'Reading Report Logic'!$A$2:$B$8,2,FALSE)&amp;"]"),"&gt;&lt;", YES_Reading_ELA[Grade],VLOOKUP($B$4,'Reading Report Logic'!$D$2:$E$9,2,FALSE))</f>
        <v>0</v>
      </c>
      <c r="M8" s="22" t="str">
        <f t="shared" ref="M8:M9" ca="1" si="3">IFERROR(K8/L8,"")</f>
        <v/>
      </c>
      <c r="N8" s="24">
        <f ca="1">COUNTIFS(YES_Reading_ELA[School],IF($F$3="TCRCE","*",$F$3),YES_Reading_ELA[Literacy IPP],"&lt;&gt;Yes",INDIRECT("YES_Reading_ELA[Difference - Per "&amp;VLOOKUP($B$3,'Reading Report Logic'!$A$2:$B$8,2,FALSE)&amp;"]"),"&gt;=0",YES_Reading_ELA[Self-Identified as African Descent],"YES",YES_Reading_ELA[Self-Identified as Indigenous],"=1", YES_Reading_ELA[Grade],VLOOKUP($B$4,'Reading Report Logic'!$D$2:$E$9,2,FALSE))</f>
        <v>0</v>
      </c>
      <c r="O8" s="25">
        <f ca="1">COUNTIFS(YES_Reading_ELA[School],IF($F$3="TCRCE","*",$F$3),YES_Reading_ELA[Literacy IPP],"&lt;&gt;Yes",YES_Reading_ELA[Self-Identified as African Descent],"YES",YES_Reading_ELA[Self-Identified as Indigenous],"=1",INDIRECT("YES_Reading_ELA[Instructional Reading Level - Per "&amp;VLOOKUP($B$3,'Reading Report Logic'!$A$2:$B$8,2,FALSE)&amp;"]"),"&gt;&lt;", YES_Reading_ELA[Grade],VLOOKUP($B$4,'Reading Report Logic'!$D$2:$E$9,2,FALSE))</f>
        <v>0</v>
      </c>
      <c r="P8" s="22" t="str">
        <f t="shared" ref="P8:P9" ca="1" si="4">IFERROR(N8/O8,"")</f>
        <v/>
      </c>
      <c r="Q8" s="23" t="str">
        <f t="shared" ref="Q8:Q9" ca="1" si="5">IFERROR(J8-G8,"")</f>
        <v/>
      </c>
      <c r="R8" s="20" t="str">
        <f t="shared" ref="R8:R9" ca="1" si="6">IFERROR(M8-G8,"")</f>
        <v/>
      </c>
      <c r="S8" s="21" t="str">
        <f t="shared" ref="S8:S9" ca="1" si="7">IFERROR(P8-G8,"")</f>
        <v/>
      </c>
      <c r="U8" t="s">
        <v>229</v>
      </c>
    </row>
    <row r="9" spans="1:21" ht="15.75" thickBot="1" x14ac:dyDescent="0.3">
      <c r="A9" s="47" t="s">
        <v>230</v>
      </c>
      <c r="B9" s="29">
        <f ca="1">COUNTIFS(YES_Reading_FLA[School],IF($F$3="TCRCE","*",$F$3),YES_Reading_FLA[Literacy IPP],"&lt;&gt;Yes",INDIRECT("YES_Reading_FLA[Difference - Per "&amp;VLOOKUP($B$3,'Reading Report Logic'!$A$2:$B$8,2,FALSE)&amp;"]"),"&gt;=0",YES_Reading_FLA[Grade],VLOOKUP($B$4,'Reading Report Logic'!$D$2:$E$9,2,FALSE))</f>
        <v>0</v>
      </c>
      <c r="C9" s="30" cm="1">
        <f t="array" aca="1" ref="C9" ca="1">SUM(COUNTIFS(YES_Reading_FLA[School],IF($F$3="TCRCE","*",$F$3),YES_Reading_FLA[Literacy IPP],"&lt;&gt;Yes",INDIRECT("YES_Reading_FLA[Instructional Reading Level - Per "&amp;VLOOKUP($B$3,'Reading Report Logic'!$A$2:$B$8,2,FALSE)&amp;"]"),{"&gt;=1","&gt;&lt;"},YES_Reading_FLA[Grade],VLOOKUP($B$4,'Reading Report Logic'!$D$2:$E$9,2,FALSE)))</f>
        <v>0</v>
      </c>
      <c r="D9" s="31" t="str">
        <f t="shared" ca="1" si="0"/>
        <v/>
      </c>
      <c r="E9" s="29">
        <f ca="1">COUNTIFS(YES_Reading_FLA[School],IF($F$3="TCRCE","*",$F$3),YES_Reading_FLA[Literacy IPP],"&lt;&gt;Yes",INDIRECT("YES_Reading_FLA[Difference - Per "&amp;VLOOKUP($B$3,'Reading Report Logic'!$A$2:$B$8,2,FALSE)&amp;"]"),"&gt;=0",YES_Reading_FLA[Self-Identified as African Descent],"&lt;&gt;YES",YES_Reading_FLA[Self-Identified as Indigenous],"&lt;&gt;1",YES_Reading_FLA[Grade],VLOOKUP($B$4,'Reading Report Logic'!$D$2:$E$9,2,FALSE))</f>
        <v>0</v>
      </c>
      <c r="F9" s="30" cm="1">
        <f t="array" aca="1" ref="F9" ca="1">SUM(COUNTIFS(YES_Reading_FLA[School],IF($F$3="TCRCE","*",$F$3),YES_Reading_FLA[Literacy IPP],"&lt;&gt;Yes",YES_Reading_FLA[Self-Identified as African Descent],"&lt;&gt;YES",YES_Reading_FLA[Self-Identified as Indigenous],"&lt;&gt;1",INDIRECT("YES_Reading_FLA[Instructional Reading Level - Per "&amp;VLOOKUP($B$3,'Reading Report Logic'!$A$2:$B$8,2,FALSE)&amp;"]"),{"&gt;=1","&gt;&lt;"},YES_Reading_FLA[Grade],VLOOKUP($B$4,'Reading Report Logic'!$D$2:$E$9,2,FALSE)))</f>
        <v>0</v>
      </c>
      <c r="G9" s="31" t="str">
        <f t="shared" ca="1" si="1"/>
        <v/>
      </c>
      <c r="H9" s="29">
        <f ca="1">COUNTIFS(YES_Reading_FLA[School],IF($F$3="TCRCE","*",$F$3),YES_Reading_FLA[Literacy IPP],"&lt;&gt;Yes",INDIRECT("YES_Reading_FLA[Difference - Per "&amp;VLOOKUP($B$3,'Reading Report Logic'!$A$2:$B$8,2,FALSE)&amp;"]"),"&gt;=0",YES_Reading_FLA[Self-Identified as African Descent],"YES",YES_Reading_FLA[Self-Identified as Indigenous],"&lt;&gt;1",YES_Reading_FLA[Grade],VLOOKUP($B$4,'Reading Report Logic'!$D$2:$E$9,2,FALSE))</f>
        <v>0</v>
      </c>
      <c r="I9" s="30" cm="1">
        <f t="array" aca="1" ref="I9" ca="1">SUM(COUNTIFS(YES_Reading_FLA[School],IF($F$3="TCRCE","*",$F$3),YES_Reading_FLA[Literacy IPP],"&lt;&gt;Yes",YES_Reading_FLA[Self-Identified as African Descent],"YES",YES_Reading_FLA[Self-Identified as Indigenous],"&lt;&gt;1",INDIRECT("YES_Reading_FLA[Instructional Reading Level - Per "&amp;VLOOKUP($B$3,'Reading Report Logic'!$A$2:$B$8,2,FALSE)&amp;"]"),{"&gt;=1","&gt;&lt;"},YES_Reading_FLA[Grade],VLOOKUP($B$4,'Reading Report Logic'!$D$2:$E$9,2,FALSE)))</f>
        <v>0</v>
      </c>
      <c r="J9" s="31" t="str">
        <f t="shared" ca="1" si="2"/>
        <v/>
      </c>
      <c r="K9" s="29">
        <f ca="1">COUNTIFS(YES_Reading_FLA[School],IF($F$3="TCRCE","*",$F$3),YES_Reading_FLA[Literacy IPP],"&lt;&gt;Yes",INDIRECT("YES_Reading_FLA[Difference - Per "&amp;VLOOKUP($B$3,'Reading Report Logic'!$A$2:$B$8,2,FALSE)&amp;"]"),"&gt;=0",YES_Reading_FLA[Self-Identified as African Descent],"&lt;&gt;YES",YES_Reading_FLA[Self-Identified as Indigenous],"=1",YES_Reading_FLA[Grade],VLOOKUP($B$4,'Reading Report Logic'!$D$2:$E$9,2,FALSE))</f>
        <v>0</v>
      </c>
      <c r="L9" s="30" cm="1">
        <f t="array" aca="1" ref="L9" ca="1">SUM(COUNTIFS(YES_Reading_FLA[School],IF($F$3="TCRCE","*",$F$3),YES_Reading_FLA[Literacy IPP],"&lt;&gt;Yes",YES_Reading_FLA[Self-Identified as African Descent],"&lt;&gt;YES",YES_Reading_FLA[Self-Identified as Indigenous],"=1",INDIRECT("YES_Reading_FLA[Instructional Reading Level - Per "&amp;VLOOKUP($B$3,'Reading Report Logic'!$A$2:$B$8,2,FALSE)&amp;"]"),{"&gt;=1","&gt;&lt;"},YES_Reading_FLA[Grade],VLOOKUP($B$4,'Reading Report Logic'!$D$2:$E$9,2,FALSE)))</f>
        <v>0</v>
      </c>
      <c r="M9" s="31" t="str">
        <f t="shared" ca="1" si="3"/>
        <v/>
      </c>
      <c r="N9" s="29">
        <f ca="1">COUNTIFS(YES_Reading_FLA[School],IF($F$3="TCRCE","*",$F$3),YES_Reading_FLA[Literacy IPP],"&lt;&gt;Yes",INDIRECT("YES_Reading_FLA[Difference - Per "&amp;VLOOKUP($B$3,'Reading Report Logic'!$A$2:$B$8,2,FALSE)&amp;"]"),"&gt;=0",YES_Reading_FLA[Self-Identified as African Descent],"YES",YES_Reading_FLA[Self-Identified as Indigenous],"=1",YES_Reading_FLA[Grade],VLOOKUP($B$4,'Reading Report Logic'!$D$2:$E$9,2,FALSE))</f>
        <v>0</v>
      </c>
      <c r="O9" s="30" cm="1">
        <f t="array" aca="1" ref="O9" ca="1">SUM(COUNTIFS(YES_Reading_FLA[School],IF($F$3="TCRCE","*",$F$3),YES_Reading_FLA[Literacy IPP],"&lt;&gt;Yes",YES_Reading_FLA[Self-Identified as African Descent],"YES",YES_Reading_FLA[Self-Identified as Indigenous],"=1",INDIRECT("YES_Reading_FLA[Instructional Reading Level - Per "&amp;VLOOKUP($B$3,'Reading Report Logic'!$A$2:$B$8,2,FALSE)&amp;"]"),{"&gt;=1","&gt;&lt;"},YES_Reading_FLA[Grade],VLOOKUP($B$4,'Reading Report Logic'!$D$2:$E$9,2,FALSE)))</f>
        <v>0</v>
      </c>
      <c r="P9" s="31" t="str">
        <f t="shared" ca="1" si="4"/>
        <v/>
      </c>
      <c r="Q9" s="32" t="str">
        <f t="shared" ca="1" si="5"/>
        <v/>
      </c>
      <c r="R9" s="33" t="str">
        <f t="shared" ca="1" si="6"/>
        <v/>
      </c>
      <c r="S9" s="34" t="str">
        <f t="shared" ca="1" si="7"/>
        <v/>
      </c>
      <c r="T9" t="s">
        <v>198</v>
      </c>
      <c r="U9">
        <f ca="1">B10</f>
        <v>0</v>
      </c>
    </row>
    <row r="10" spans="1:21" ht="15.75" thickBot="1" x14ac:dyDescent="0.3">
      <c r="A10" s="48" t="s">
        <v>195</v>
      </c>
      <c r="B10" s="39" cm="1">
        <f t="array" aca="1" ref="B10" ca="1">SUM(COUNTIFS(INDIRECT("YES_Reading_"&amp;{"ELA","FLA"}&amp;"[School]"),IF($F$3="TCRCE","*",$F$3),INDIRECT("YES_Reading_"&amp;{"ELA","FLA"}&amp;"[Literacy IPP]"),"&lt;&gt;Yes",INDIRECT("YES_Reading_"&amp;{"ELA","FLA"}&amp;"[Difference - Per "&amp;VLOOKUP($B$3,'Reading Report Logic'!$A$2:$B$8,2,FALSE)&amp;"]"),"&gt;=0",INDIRECT("YES_Reading_"&amp;{"ELA","FLA"}&amp;"[Grade]"),VLOOKUP($B$4,'Reading Report Logic'!$D$2:$E$9,2,FALSE)))</f>
        <v>0</v>
      </c>
      <c r="C10" s="35" cm="1">
        <f t="array" aca="1" ref="C10" ca="1">SUM(COUNTIFS(INDIRECT("YES_Reading_"&amp;{"ELA","FLA"}&amp;"[School]"),IF($F$3="TCRCE","*",$F$3),INDIRECT("YES_Reading_"&amp;{"ELA","FLA"}&amp;"[Literacy IPP]"),"&lt;&gt;Yes",INDIRECT("YES_Reading_"&amp;{"ELA","FLA"}&amp;"[Instructional Reading Level - Per "&amp;VLOOKUP($B$3,'Reading Report Logic'!$A$2:$B$8,2,FALSE)&amp;"]"),"&gt;=1",INDIRECT("YES_Reading_"&amp;{"ELA","FLA"}&amp;"[Grade]"),VLOOKUP($B$4,'Reading Report Logic'!$D$2:$E$9,2,FALSE)),COUNTIFS(INDIRECT("YES_Reading_"&amp;{"ELA","FLA"}&amp;"[School]"),IF($F$3="TCRCE","*",$F$3),INDIRECT("YES_Reading_"&amp;{"ELA","FLA"}&amp;"[Literacy IPP]"),"&lt;&gt;Yes",INDIRECT("YES_Reading_"&amp;{"ELA","FLA"}&amp;"[Instructional Reading Level - Per "&amp;VLOOKUP($B$3,'Reading Report Logic'!$A$2:$B$8,2,FALSE)&amp;"]"),"&gt;&lt;",INDIRECT("YES_Reading_"&amp;{"ELA","FLA"}&amp;"[Grade]"),VLOOKUP($B$4,'Reading Report Logic'!$D$2:$E$9,2,FALSE)))</f>
        <v>0</v>
      </c>
      <c r="D10" s="40" t="str">
        <f t="shared" ref="D10" ca="1" si="8">IFERROR(B10/C10,"")</f>
        <v/>
      </c>
      <c r="E10" s="39" cm="1">
        <f t="array" aca="1" ref="E10" ca="1">SUM(COUNTIFS(INDIRECT("YES_Reading_"&amp;{"ELA","FLA"}&amp;"[School]"),IF($F$3="TCRCE","*",$F$3),INDIRECT("YES_Reading_"&amp;{"ELA","FLA"}&amp;"[Literacy IPP]"),"&lt;&gt;Yes",INDIRECT("YES_Reading_"&amp;{"ELA","FLA"}&amp;"[Difference - Per "&amp;VLOOKUP($B$3,'Reading Report Logic'!$A$2:$B$8,2,FALSE)&amp;"]"),"&gt;=0",INDIRECT("YES_Reading_"&amp;{"ELA","FLA"}&amp;"[Grade]"),VLOOKUP($B$4,'Reading Report Logic'!$D$2:$E$9,2,FALSE),INDIRECT("YES_Reading_"&amp;{"ELA","FLA"}&amp;"[Self-Identified as African Descent]"),"&lt;&gt;YES",INDIRECT("YES_Reading_"&amp;{"ELA","FLA"}&amp;"[Self-Identified as Indigenous]"),"&lt;&gt;1"))</f>
        <v>0</v>
      </c>
      <c r="F10" s="35" cm="1">
        <f t="array" aca="1" ref="F10" ca="1">SUM(COUNTIFS(INDIRECT("YES_Reading_"&amp;{"ELA","FLA"}&amp;"[School]"),IF($F$3="TCRCE","*",$F$3),INDIRECT("YES_Reading_"&amp;{"ELA","FLA"}&amp;"[Literacy IPP]"),"&lt;&gt;Yes",INDIRECT("YES_Reading_"&amp;{"ELA","FLA"}&amp;"[Instructional Reading Level - Per "&amp;VLOOKUP($B$3,'Reading Report Logic'!$A$2:$B$8,2,FALSE)&amp;"]"),"&gt;=1",INDIRECT("YES_Reading_"&amp;{"ELA","FLA"}&amp;"[Grade]"),VLOOKUP($B$4,'Reading Report Logic'!$D$2:$E$9,2,FALSE),INDIRECT("YES_Reading_"&amp;{"ELA","FLA"}&amp;"[Self-Identified as African Descent]"),"&lt;&gt;YES",INDIRECT("YES_Reading_"&amp;{"ELA","FLA"}&amp;"[Self-Identified as Indigenous]"),"&lt;&gt;1"),COUNTIFS(INDIRECT("YES_Reading_"&amp;{"ELA","FLA"}&amp;"[School]"),IF($F$3="TCRCE","*",$F$3),INDIRECT("YES_Reading_"&amp;{"ELA","FLA"}&amp;"[Literacy IPP]"),"&lt;&gt;Yes",INDIRECT("YES_Reading_"&amp;{"ELA","FLA"}&amp;"[Instructional Reading Level - Per "&amp;VLOOKUP($B$3,'Reading Report Logic'!$A$2:$B$8,2,FALSE)&amp;"]"),"&gt;&lt;",INDIRECT("YES_Reading_"&amp;{"ELA","FLA"}&amp;"[Grade]"),VLOOKUP($B$4,'Reading Report Logic'!$D$2:$E$9,2,FALSE),INDIRECT("YES_Reading_"&amp;{"ELA","FLA"}&amp;"[Self-Identified as African Descent]"),"&lt;&gt;YES",INDIRECT("YES_Reading_"&amp;{"ELA","FLA"}&amp;"[Self-Identified as Indigenous]"),"&lt;&gt;1"))</f>
        <v>0</v>
      </c>
      <c r="G10" s="40" t="str">
        <f ca="1">IFERROR(E10/F10,"")</f>
        <v/>
      </c>
      <c r="H10" s="39" cm="1">
        <f t="array" aca="1" ref="H10" ca="1">SUM(COUNTIFS(INDIRECT("YES_Reading_"&amp;{"ELA","FLA"}&amp;"[School]"),IF($F$3="TCRCE","*",$F$3),INDIRECT("YES_Reading_"&amp;{"ELA","FLA"}&amp;"[Literacy IPP]"),"&lt;&gt;Yes",INDIRECT("YES_Reading_"&amp;{"ELA","FLA"}&amp;"[Difference - Per "&amp;VLOOKUP($B$3,'Reading Report Logic'!$A$2:$B$8,2,FALSE)&amp;"]"),"&gt;=0",INDIRECT("YES_Reading_"&amp;{"ELA","FLA"}&amp;"[Grade]"),VLOOKUP($B$4,'Reading Report Logic'!$D$2:$E$9,2,FALSE),INDIRECT("YES_Reading_"&amp;{"ELA","FLA"}&amp;"[Self-Identified as African Descent]"),"YES",INDIRECT("YES_Reading_"&amp;{"ELA","FLA"}&amp;"[Self-Identified as Indigenous]"),"&lt;&gt;1"))</f>
        <v>0</v>
      </c>
      <c r="I10" s="35" cm="1">
        <f t="array" aca="1" ref="I10" ca="1">SUM(COUNTIFS(INDIRECT("YES_Reading_"&amp;{"ELA","FLA"}&amp;"[School]"),IF($F$3="TCRCE","*",$F$3),INDIRECT("YES_Reading_"&amp;{"ELA","FLA"}&amp;"[Literacy IPP]"),"&lt;&gt;Yes",INDIRECT("YES_Reading_"&amp;{"ELA","FLA"}&amp;"[Instructional Reading Level - Per "&amp;VLOOKUP($B$3,'Reading Report Logic'!$A$2:$B$8,2,FALSE)&amp;"]"),"&gt;=1",INDIRECT("YES_Reading_"&amp;{"ELA","FLA"}&amp;"[Grade]"),VLOOKUP($B$4,'Reading Report Logic'!$D$2:$E$9,2,FALSE),INDIRECT("YES_Reading_"&amp;{"ELA","FLA"}&amp;"[Self-Identified as African Descent]"),"YES",INDIRECT("YES_Reading_"&amp;{"ELA","FLA"}&amp;"[Self-Identified as Indigenous]"),"&lt;&gt;1"),COUNTIFS(INDIRECT("YES_Reading_"&amp;{"ELA","FLA"}&amp;"[School]"),IF($F$3="TCRCE","*",$F$3),INDIRECT("YES_Reading_"&amp;{"ELA","FLA"}&amp;"[Literacy IPP]"),"&lt;&gt;Yes",INDIRECT("YES_Reading_"&amp;{"ELA","FLA"}&amp;"[Instructional Reading Level - Per "&amp;VLOOKUP($B$3,'Reading Report Logic'!$A$2:$B$8,2,FALSE)&amp;"]"),"&gt;&lt;",INDIRECT("YES_Reading_"&amp;{"ELA","FLA"}&amp;"[Grade]"),VLOOKUP($B$4,'Reading Report Logic'!$D$2:$E$9,2,FALSE),INDIRECT("YES_Reading_"&amp;{"ELA","FLA"}&amp;"[Self-Identified as African Descent]"),"YES",INDIRECT("YES_Reading_"&amp;{"ELA","FLA"}&amp;"[Self-Identified as Indigenous]"),"&lt;&gt;1"))</f>
        <v>0</v>
      </c>
      <c r="J10" s="40" t="str">
        <f t="shared" ref="J10" ca="1" si="9">IFERROR(H10/I10,"")</f>
        <v/>
      </c>
      <c r="K10" s="39" cm="1">
        <f t="array" aca="1" ref="K10" ca="1">SUM(COUNTIFS(INDIRECT("YES_Reading_"&amp;{"ELA","FLA"}&amp;"[School]"),IF($F$3="TCRCE","*",$F$3),INDIRECT("YES_Reading_"&amp;{"ELA","FLA"}&amp;"[Literacy IPP]"),"&lt;&gt;Yes",INDIRECT("YES_Reading_"&amp;{"ELA","FLA"}&amp;"[Difference - Per "&amp;VLOOKUP($B$3,'Reading Report Logic'!$A$2:$B$8,2,FALSE)&amp;"]"),"&gt;=0",INDIRECT("YES_Reading_"&amp;{"ELA","FLA"}&amp;"[Grade]"),VLOOKUP($B$4,'Reading Report Logic'!$D$2:$E$9,2,FALSE),INDIRECT("YES_Reading_"&amp;{"ELA","FLA"}&amp;"[Self-Identified as African Descent]"),"&lt;&gt;YES",INDIRECT("YES_Reading_"&amp;{"ELA","FLA"}&amp;"[Self-Identified as Indigenous]"),"1"))</f>
        <v>0</v>
      </c>
      <c r="L10" s="35" cm="1">
        <f t="array" aca="1" ref="L10" ca="1">SUM(COUNTIFS(INDIRECT("YES_Reading_"&amp;{"ELA","FLA"}&amp;"[School]"),IF($F$3="TCRCE","*",$F$3),INDIRECT("YES_Reading_"&amp;{"ELA","FLA"}&amp;"[Literacy IPP]"),"&lt;&gt;Yes",INDIRECT("YES_Reading_"&amp;{"ELA","FLA"}&amp;"[Instructional Reading Level - Per "&amp;VLOOKUP($B$3,'Reading Report Logic'!$A$2:$B$8,2,FALSE)&amp;"]"),"&gt;=1",INDIRECT("YES_Reading_"&amp;{"ELA","FLA"}&amp;"[Grade]"),VLOOKUP($B$4,'Reading Report Logic'!$D$2:$E$9,2,FALSE),INDIRECT("YES_Reading_"&amp;{"ELA","FLA"}&amp;"[Self-Identified as African Descent]"),"&lt;&gt;YES",INDIRECT("YES_Reading_"&amp;{"ELA","FLA"}&amp;"[Self-Identified as Indigenous]"),"1"),COUNTIFS(INDIRECT("YES_Reading_"&amp;{"ELA","FLA"}&amp;"[School]"),IF($F$3="TCRCE","*",$F$3),INDIRECT("YES_Reading_"&amp;{"ELA","FLA"}&amp;"[Literacy IPP]"),"&lt;&gt;Yes",INDIRECT("YES_Reading_"&amp;{"ELA","FLA"}&amp;"[Instructional Reading Level - Per "&amp;VLOOKUP($B$3,'Reading Report Logic'!$A$2:$B$8,2,FALSE)&amp;"]"),"&gt;&lt;",INDIRECT("YES_Reading_"&amp;{"ELA","FLA"}&amp;"[Grade]"),VLOOKUP($B$4,'Reading Report Logic'!$D$2:$E$9,2,FALSE),INDIRECT("YES_Reading_"&amp;{"ELA","FLA"}&amp;"[Self-Identified as African Descent]"),"&lt;&gt;YES",INDIRECT("YES_Reading_"&amp;{"ELA","FLA"}&amp;"[Self-Identified as Indigenous]"),"1"))</f>
        <v>0</v>
      </c>
      <c r="M10" s="40" t="str">
        <f t="shared" ref="M10" ca="1" si="10">IFERROR(K10/L10,"")</f>
        <v/>
      </c>
      <c r="N10" s="39" cm="1">
        <f t="array" aca="1" ref="N10" ca="1">SUM(COUNTIFS(INDIRECT("YES_Reading_"&amp;{"ELA","FLA"}&amp;"[School]"),IF($F$3="TCRCE","*",$F$3),INDIRECT("YES_Reading_"&amp;{"ELA","FLA"}&amp;"[Literacy IPP]"),"&lt;&gt;Yes",INDIRECT("YES_Reading_"&amp;{"ELA","FLA"}&amp;"[Difference - Per "&amp;VLOOKUP($B$3,'Reading Report Logic'!$A$2:$B$8,2,FALSE)&amp;"]"),"&gt;=0",INDIRECT("YES_Reading_"&amp;{"ELA","FLA"}&amp;"[Grade]"),VLOOKUP($B$4,'Reading Report Logic'!$D$2:$E$9,2,FALSE),INDIRECT("YES_Reading_"&amp;{"ELA","FLA"}&amp;"[Self-Identified as African Descent]"),"YES",INDIRECT("YES_Reading_"&amp;{"ELA","FLA"}&amp;"[Self-Identified as Indigenous]"),"1"))</f>
        <v>0</v>
      </c>
      <c r="O10" s="35" cm="1">
        <f t="array" aca="1" ref="O10" ca="1">SUM(COUNTIFS(INDIRECT("YES_Reading_"&amp;{"ELA","FLA"}&amp;"[School]"),IF($F$3="TCRCE","*",$F$3),INDIRECT("YES_Reading_"&amp;{"ELA","FLA"}&amp;"[Literacy IPP]"),"&lt;&gt;Yes",INDIRECT("YES_Reading_"&amp;{"ELA","FLA"}&amp;"[Instructional Reading Level - Per "&amp;VLOOKUP($B$3,'Reading Report Logic'!$A$2:$B$8,2,FALSE)&amp;"]"),"&gt;=1",INDIRECT("YES_Reading_"&amp;{"ELA","FLA"}&amp;"[Grade]"),VLOOKUP($B$4,'Reading Report Logic'!$D$2:$E$9,2,FALSE),INDIRECT("YES_Reading_"&amp;{"ELA","FLA"}&amp;"[Self-Identified as African Descent]"),"YES",INDIRECT("YES_Reading_"&amp;{"ELA","FLA"}&amp;"[Self-Identified as Indigenous]"),"1"),COUNTIFS(INDIRECT("YES_Reading_"&amp;{"ELA","FLA"}&amp;"[School]"),IF($F$3="TCRCE","*",$F$3),INDIRECT("YES_Reading_"&amp;{"ELA","FLA"}&amp;"[Literacy IPP]"),"&lt;&gt;Yes",INDIRECT("YES_Reading_"&amp;{"ELA","FLA"}&amp;"[Instructional Reading Level - Per "&amp;VLOOKUP($B$3,'Reading Report Logic'!$A$2:$B$8,2,FALSE)&amp;"]"),"&gt;&lt;",INDIRECT("YES_Reading_"&amp;{"ELA","FLA"}&amp;"[Grade]"),VLOOKUP($B$4,'Reading Report Logic'!$D$2:$E$9,2,FALSE),INDIRECT("YES_Reading_"&amp;{"ELA","FLA"}&amp;"[Self-Identified as African Descent]"),"YES",INDIRECT("YES_Reading_"&amp;{"ELA","FLA"}&amp;"[Self-Identified as Indigenous]"),"1"))</f>
        <v>0</v>
      </c>
      <c r="P10" s="40" t="str">
        <f t="shared" ref="P10" ca="1" si="11">IFERROR(N10/O10,"")</f>
        <v/>
      </c>
      <c r="Q10" s="38" t="str">
        <f ca="1">IFERROR(J10-G10,"")</f>
        <v/>
      </c>
      <c r="R10" s="36" t="str">
        <f ca="1">IFERROR(M10-G10,"")</f>
        <v/>
      </c>
      <c r="S10" s="37" t="str">
        <f ca="1">IFERROR(P10-G10,"")</f>
        <v/>
      </c>
      <c r="T10" t="s">
        <v>199</v>
      </c>
      <c r="U10">
        <f ca="1">C10-B10</f>
        <v>0</v>
      </c>
    </row>
    <row r="12" spans="1:21" x14ac:dyDescent="0.25">
      <c r="U12" t="s">
        <v>231</v>
      </c>
    </row>
    <row r="13" spans="1:21" x14ac:dyDescent="0.25">
      <c r="T13" t="s">
        <v>198</v>
      </c>
      <c r="U13">
        <f ca="1">E10</f>
        <v>0</v>
      </c>
    </row>
    <row r="14" spans="1:21" x14ac:dyDescent="0.25">
      <c r="T14" t="s">
        <v>199</v>
      </c>
      <c r="U14">
        <f ca="1">F10-E10</f>
        <v>0</v>
      </c>
    </row>
    <row r="16" spans="1:21" x14ac:dyDescent="0.25">
      <c r="U16" t="s">
        <v>232</v>
      </c>
    </row>
    <row r="17" spans="20:21" x14ac:dyDescent="0.25">
      <c r="T17" t="s">
        <v>198</v>
      </c>
      <c r="U17">
        <f ca="1">H10</f>
        <v>0</v>
      </c>
    </row>
    <row r="18" spans="20:21" x14ac:dyDescent="0.25">
      <c r="T18" t="s">
        <v>199</v>
      </c>
      <c r="U18">
        <f ca="1">I10-H10</f>
        <v>0</v>
      </c>
    </row>
    <row r="20" spans="20:21" x14ac:dyDescent="0.25">
      <c r="U20" t="s">
        <v>233</v>
      </c>
    </row>
    <row r="21" spans="20:21" x14ac:dyDescent="0.25">
      <c r="T21" t="s">
        <v>198</v>
      </c>
      <c r="U21">
        <f ca="1">K10</f>
        <v>0</v>
      </c>
    </row>
    <row r="22" spans="20:21" x14ac:dyDescent="0.25">
      <c r="T22" t="s">
        <v>199</v>
      </c>
      <c r="U22">
        <f ca="1">L10-K10</f>
        <v>0</v>
      </c>
    </row>
    <row r="24" spans="20:21" x14ac:dyDescent="0.25">
      <c r="U24" t="s">
        <v>209</v>
      </c>
    </row>
    <row r="25" spans="20:21" x14ac:dyDescent="0.25">
      <c r="T25" t="s">
        <v>198</v>
      </c>
      <c r="U25">
        <f ca="1">N10</f>
        <v>0</v>
      </c>
    </row>
    <row r="26" spans="20:21" x14ac:dyDescent="0.25">
      <c r="T26" t="s">
        <v>199</v>
      </c>
      <c r="U26">
        <f ca="1">O10-N10</f>
        <v>0</v>
      </c>
    </row>
  </sheetData>
  <mergeCells count="11">
    <mergeCell ref="Q6:S6"/>
    <mergeCell ref="A1:S1"/>
    <mergeCell ref="B3:C3"/>
    <mergeCell ref="N3:P3"/>
    <mergeCell ref="Q3:S3"/>
    <mergeCell ref="F3:J3"/>
    <mergeCell ref="B6:D6"/>
    <mergeCell ref="E6:G6"/>
    <mergeCell ref="H6:J6"/>
    <mergeCell ref="K6:M6"/>
    <mergeCell ref="N6:P6"/>
  </mergeCells>
  <conditionalFormatting sqref="Q8:S10">
    <cfRule type="cellIs" priority="1" stopIfTrue="1" operator="equal">
      <formula>""</formula>
    </cfRule>
    <cfRule type="cellIs" dxfId="188" priority="2" operator="equal">
      <formula>0</formula>
    </cfRule>
    <cfRule type="cellIs" dxfId="187" priority="3" operator="lessThan">
      <formula>0</formula>
    </cfRule>
    <cfRule type="cellIs" dxfId="186" priority="4" operator="greaterThan">
      <formula>0</formula>
    </cfRule>
  </conditionalFormatting>
  <pageMargins left="0.23622047244094491" right="0.23622047244094491" top="0.23622047244094491" bottom="0.23622047244094491" header="0" footer="0"/>
  <pageSetup paperSize="5" scale="84" fitToHeight="0" orientation="landscape"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AA73CCBF-1825-46D4-8EC0-ECC20AAAB668}">
          <x14:formula1>
            <xm:f>'Reading Report Logic'!$A$2:$A$8</xm:f>
          </x14:formula1>
          <xm:sqref>B3</xm:sqref>
        </x14:dataValidation>
        <x14:dataValidation type="list" allowBlank="1" showInputMessage="1" showErrorMessage="1" xr:uid="{CD8FEEA7-9D29-4704-A1FC-5F9C103D7D8D}">
          <x14:formula1>
            <xm:f>'Reading Report Logic'!$D$2:$D$9</xm:f>
          </x14:formula1>
          <xm:sqref>B4</xm:sqref>
        </x14:dataValidation>
        <x14:dataValidation type="list" allowBlank="1" showInputMessage="1" showErrorMessage="1" xr:uid="{2B76B8C0-CBC8-400B-82DF-8295FCAFF9AD}">
          <x14:formula1>
            <xm:f>'Reading Report Logic'!$A$12:$A$28</xm:f>
          </x14:formula1>
          <xm:sqref>F3:J3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2B04-3842-4986-A4AB-FEA06E927B2A}">
  <sheetPr codeName="Sheet5"/>
  <dimension ref="A1:S53"/>
  <sheetViews>
    <sheetView workbookViewId="0">
      <selection activeCell="L35" sqref="L35"/>
    </sheetView>
  </sheetViews>
  <sheetFormatPr defaultRowHeight="15" x14ac:dyDescent="0.25"/>
  <cols>
    <col min="1" max="1" width="18.140625" customWidth="1"/>
  </cols>
  <sheetData>
    <row r="1" spans="1:19" ht="24" x14ac:dyDescent="0.4">
      <c r="A1" s="321" t="s">
        <v>205</v>
      </c>
      <c r="B1" s="335"/>
      <c r="C1" s="335"/>
      <c r="D1" s="335"/>
      <c r="E1" s="335"/>
      <c r="F1" s="335"/>
      <c r="G1" s="335"/>
      <c r="H1" s="335"/>
      <c r="I1" s="335"/>
      <c r="J1" s="335"/>
      <c r="K1" s="335"/>
      <c r="L1" s="335"/>
      <c r="M1" s="335"/>
      <c r="N1" s="335"/>
      <c r="O1" s="335"/>
      <c r="P1" s="335"/>
      <c r="Q1" s="335"/>
      <c r="R1" s="335"/>
      <c r="S1" s="335"/>
    </row>
    <row r="3" spans="1:19" x14ac:dyDescent="0.25">
      <c r="A3" s="46" t="s">
        <v>173</v>
      </c>
      <c r="B3" s="310" t="s">
        <v>90</v>
      </c>
      <c r="C3" s="310"/>
      <c r="D3" s="310"/>
      <c r="E3" s="310"/>
      <c r="F3" s="310"/>
      <c r="N3" s="336" t="s">
        <v>180</v>
      </c>
      <c r="O3" s="336"/>
      <c r="P3" s="336"/>
      <c r="Q3" s="337">
        <f ca="1">NOW()</f>
        <v>46168.387202314814</v>
      </c>
      <c r="R3" s="337"/>
      <c r="S3" s="337"/>
    </row>
    <row r="4" spans="1:19" x14ac:dyDescent="0.25">
      <c r="A4" s="46" t="s">
        <v>174</v>
      </c>
      <c r="B4" s="42" t="s">
        <v>175</v>
      </c>
      <c r="D4" s="46" t="s">
        <v>176</v>
      </c>
      <c r="E4" s="45" t="s">
        <v>177</v>
      </c>
    </row>
    <row r="6" spans="1:19" x14ac:dyDescent="0.25">
      <c r="A6" s="159" t="s">
        <v>234</v>
      </c>
      <c r="B6" s="83" t="s">
        <v>200</v>
      </c>
      <c r="C6" s="83" t="s">
        <v>201</v>
      </c>
    </row>
    <row r="7" spans="1:19" x14ac:dyDescent="0.25">
      <c r="A7" s="160" t="s">
        <v>235</v>
      </c>
      <c r="B7" s="82" cm="1">
        <f t="array" aca="1" ref="B7"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Logic'!$G$2:$H$4,2,FALSE))&amp;"[Starting Difference]"),"&gt;0",INDIRECT("YES_Reading_"&amp;IF(E4="Combined",{"ELA","FLA"},VLOOKUP($E$4,'Reading Report Logic'!$G$2:$H$4,2,FALSE))&amp;"[Grade]"),VLOOKUP($B$4,'Reading Report Logic'!$D$2:$E$9,2,FALSE)))</f>
        <v>0</v>
      </c>
      <c r="C7" s="161" t="str">
        <f ca="1">IFERROR(B7/SUM(B7:B10),"")</f>
        <v/>
      </c>
      <c r="D7" s="340">
        <f ca="1">B7+B8</f>
        <v>0</v>
      </c>
      <c r="E7" s="341" t="str">
        <f ca="1">IFERROR(C7+C8,"")</f>
        <v/>
      </c>
    </row>
    <row r="8" spans="1:19" x14ac:dyDescent="0.25">
      <c r="A8" s="162" t="s">
        <v>236</v>
      </c>
      <c r="B8" s="81" cm="1">
        <f t="array" aca="1" ref="B8"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Logic'!$G$2:$H$4,2,FALSE))&amp;"[Starting Difference]"),"=0",INDIRECT("YES_Reading_"&amp;IF(E4="Combined",{"ELA","FLA"},VLOOKUP($E$4,'Reading Report Logic'!$G$2:$H$4,2,FALSE))&amp;"[Grade]"),VLOOKUP($B$4,'Reading Report Logic'!$D$2:$E$9,2,FALSE)))</f>
        <v>0</v>
      </c>
      <c r="C8" s="163" t="str">
        <f ca="1">IFERROR(B8/SUM(B7:B10),"")</f>
        <v/>
      </c>
      <c r="D8" s="340"/>
      <c r="E8" s="341"/>
    </row>
    <row r="9" spans="1:19" x14ac:dyDescent="0.25">
      <c r="A9" s="164" t="s">
        <v>237</v>
      </c>
      <c r="B9" s="80" cm="1">
        <f t="array" aca="1" ref="B9"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Logic'!$G$2:$H$4,2,FALSE))&amp;"[Starting Difference]"),"&gt;=-2",INDIRECT("YES_Reading_"&amp;IF(E4="Combined",{"ELA","FLA"},VLOOKUP($E$4,'Reading Report Logic'!$G$2:$H$4,2,FALSE))&amp;"[Starting Difference]"),"&lt;=-1",INDIRECT("YES_Reading_"&amp;IF(E4="Combined",{"ELA","FLA"},VLOOKUP($E$4,'Reading Report Logic'!$G$2:$H$4,2,FALSE))&amp;"[Grade]"),VLOOKUP($B$4,'Reading Report Logic'!$D$2:$E$9,2,FALSE)))</f>
        <v>0</v>
      </c>
      <c r="C9" s="165" t="str">
        <f ca="1">IFERROR(B9/SUM(B7:B10),"")</f>
        <v/>
      </c>
      <c r="D9" s="338">
        <f ca="1">B9+B10</f>
        <v>0</v>
      </c>
      <c r="E9" s="339" t="str">
        <f ca="1">IFERROR(C9+C10,"")</f>
        <v/>
      </c>
    </row>
    <row r="10" spans="1:19" x14ac:dyDescent="0.25">
      <c r="A10" s="166" t="s">
        <v>199</v>
      </c>
      <c r="B10" s="79" cm="1">
        <f t="array" aca="1" ref="B10"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Logic'!$G$2:$H$4,2,FALSE))&amp;"[Starting Difference]"),"&lt;-2",INDIRECT("YES_Reading_"&amp;IF(E4="Combined",{"ELA","FLA"},VLOOKUP($E$4,'Reading Report Logic'!$G$2:$H$4,2,FALSE))&amp;"[Grade]"),VLOOKUP($B$4,'Reading Report Logic'!$D$2:$E$9,2,FALSE)))</f>
        <v>0</v>
      </c>
      <c r="C10" s="167" t="str">
        <f ca="1">IFERROR(B10/SUM(B7:B10),"")</f>
        <v/>
      </c>
      <c r="D10" s="338"/>
      <c r="E10" s="339"/>
    </row>
    <row r="11" spans="1:19" x14ac:dyDescent="0.25">
      <c r="A11" s="77"/>
      <c r="B11" s="77"/>
      <c r="C11" s="77"/>
    </row>
    <row r="12" spans="1:19" x14ac:dyDescent="0.25">
      <c r="A12" s="159" t="s">
        <v>238</v>
      </c>
      <c r="B12" s="83" t="s">
        <v>200</v>
      </c>
      <c r="C12" s="83" t="s">
        <v>201</v>
      </c>
    </row>
    <row r="13" spans="1:19" x14ac:dyDescent="0.25">
      <c r="A13" s="160" t="s">
        <v>235</v>
      </c>
      <c r="B13" s="82" t="str">
        <f ca="1">IFERROR(IF(SUM($B$55:$B$58)=0,IF(SUM($B$49:$B$52)=0,IF(SUM($B$43:$B$46)=0,IF(SUM($B$37:$B$40)=0,IF(SUM($B$31:$B$34)=0,IF(SUM($B$25:$B$28)=0,"",B25),B31),B37),B43),B49),B55)-B19,"")</f>
        <v/>
      </c>
      <c r="C13" s="168" t="str">
        <f ca="1">IFERROR(IF(SUM($B$55:$B$58)=0,IF(SUM($B$49:$B$52)=0,IF(SUM($B$43:$B$46)=0,IF(SUM($B$37:$B$40)=0,IF(SUM($B$31:$B$34)=0,IF(SUM($B$25:$B$28)=0,"",C25),C31),C37),C43),C49),C55)-C19,"")</f>
        <v/>
      </c>
      <c r="D13" s="340"/>
      <c r="E13" s="342"/>
    </row>
    <row r="14" spans="1:19" x14ac:dyDescent="0.25">
      <c r="A14" s="162" t="s">
        <v>236</v>
      </c>
      <c r="B14" s="81" t="str">
        <f t="shared" ref="B14:C16" ca="1" si="0">IFERROR(IF(SUM($B$55:$B$58)=0,IF(SUM($B$49:$B$52)=0,IF(SUM($B$43:$B$46)=0,IF(SUM($B$37:$B$40)=0,IF(SUM($B$31:$B$34)=0,IF(SUM($B$25:$B$28)=0,"",B26),B32),B38),B44),B50),B56)-B20,"")</f>
        <v/>
      </c>
      <c r="C14" s="169" t="str">
        <f t="shared" ca="1" si="0"/>
        <v/>
      </c>
      <c r="D14" s="340"/>
      <c r="E14" s="342"/>
    </row>
    <row r="15" spans="1:19" x14ac:dyDescent="0.25">
      <c r="A15" s="164" t="s">
        <v>237</v>
      </c>
      <c r="B15" s="80" t="str">
        <f t="shared" ca="1" si="0"/>
        <v/>
      </c>
      <c r="C15" s="170" t="str">
        <f t="shared" ca="1" si="0"/>
        <v/>
      </c>
      <c r="D15" s="338"/>
      <c r="E15" s="343"/>
    </row>
    <row r="16" spans="1:19" x14ac:dyDescent="0.25">
      <c r="A16" s="166" t="s">
        <v>199</v>
      </c>
      <c r="B16" s="79" t="str">
        <f t="shared" ca="1" si="0"/>
        <v/>
      </c>
      <c r="C16" s="171" t="str">
        <f t="shared" ca="1" si="0"/>
        <v/>
      </c>
      <c r="D16" s="338"/>
      <c r="E16" s="343"/>
    </row>
    <row r="17" spans="1:5" x14ac:dyDescent="0.25">
      <c r="A17" s="77"/>
      <c r="B17" s="77"/>
      <c r="C17" s="77"/>
    </row>
    <row r="18" spans="1:5" x14ac:dyDescent="0.25">
      <c r="A18" s="172" t="s">
        <v>330</v>
      </c>
      <c r="B18" s="83" t="s">
        <v>200</v>
      </c>
      <c r="C18" s="83" t="s">
        <v>201</v>
      </c>
    </row>
    <row r="19" spans="1:5" x14ac:dyDescent="0.25">
      <c r="A19" s="160" t="s">
        <v>235</v>
      </c>
      <c r="B19" s="82" cm="1">
        <f t="array" aca="1" ref="B19"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"&amp;VLOOKUP($A18,'Reading Report Logic'!$A$2:$B$8,2,FALSE)&amp;"]"),"&gt;0",INDIRECT("YES_Reading_"&amp;IF(E4="Combined",{"ELA","FLA"},VLOOKUP($E$4,'Reading Report Logic'!$G$2:$H$4,2,FALSE))&amp;"[Grade]"),VLOOKUP($B$4,'Reading Report Logic'!$D$2:$E$9,2,FALSE)))</f>
        <v>0</v>
      </c>
      <c r="C19" s="161" t="str">
        <f ca="1">IFERROR(B19/SUM(B19:B22),"")</f>
        <v/>
      </c>
      <c r="D19" s="340">
        <f ca="1">B19+B20</f>
        <v>0</v>
      </c>
      <c r="E19" s="341" t="str">
        <f ca="1">IFERROR(C19+C20,"")</f>
        <v/>
      </c>
    </row>
    <row r="20" spans="1:5" x14ac:dyDescent="0.25">
      <c r="A20" s="162" t="s">
        <v>236</v>
      </c>
      <c r="B20" s="81" cm="1">
        <f t="array" aca="1" ref="B20"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"&amp;VLOOKUP($A18,'Reading Report Logic'!$A$2:$B$8,2,FALSE)&amp;"]"),"=0",INDIRECT("YES_Reading_"&amp;IF(E4="Combined",{"ELA","FLA"},VLOOKUP($E$4,'Reading Report Logic'!$G$2:$H$4,2,FALSE))&amp;"[Grade]"),VLOOKUP($B$4,'Reading Report Logic'!$D$2:$E$9,2,FALSE)))</f>
        <v>0</v>
      </c>
      <c r="C20" s="163" t="str">
        <f ca="1">IFERROR(B20/SUM(B19:B22),"")</f>
        <v/>
      </c>
      <c r="D20" s="340"/>
      <c r="E20" s="341"/>
    </row>
    <row r="21" spans="1:5" x14ac:dyDescent="0.25">
      <c r="A21" s="164" t="s">
        <v>237</v>
      </c>
      <c r="B21" s="80" cm="1">
        <f t="array" aca="1" ref="B21"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"&amp;VLOOKUP($A18,'Reading Report Logic'!$A$2:$B$8,2,FALSE)&amp;"]"),"&gt;=-2",INDIRECT("YES_Reading_"&amp;IF(E4="Combined",{"ELA","FLA"},VLOOKUP($E$4,'Reading Report Logic'!$G$2:$H$4,2,FALSE))&amp;"[Difference - Per "&amp;VLOOKUP($A18,'Reading Report Logic'!$A$2:$B$8,2,FALSE)&amp;"]"),"&lt;=-1",INDIRECT("YES_Reading_"&amp;IF(E4="Combined",{"ELA","FLA"},VLOOKUP($E$4,'Reading Report Logic'!$G$2:$H$4,2,FALSE))&amp;"[Grade]"),VLOOKUP($B$4,'Reading Report Logic'!$D$2:$E$9,2,FALSE)))</f>
        <v>0</v>
      </c>
      <c r="C21" s="165" t="str">
        <f ca="1">IFERROR(B21/SUM(B19:B22),"")</f>
        <v/>
      </c>
      <c r="D21" s="338">
        <f ca="1">B21+B22</f>
        <v>0</v>
      </c>
      <c r="E21" s="339" t="str">
        <f ca="1">IFERROR(C21+C22,"")</f>
        <v/>
      </c>
    </row>
    <row r="22" spans="1:5" x14ac:dyDescent="0.25">
      <c r="A22" s="166" t="s">
        <v>199</v>
      </c>
      <c r="B22" s="79" cm="1">
        <f t="array" aca="1" ref="B22"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"&amp;VLOOKUP($A18,'Reading Report Logic'!$A$2:$B$8,2,FALSE)&amp;"]"),"&lt;-2",INDIRECT("YES_Reading_"&amp;IF(E4="Combined",{"ELA","FLA"},VLOOKUP($E$4,'Reading Report Logic'!$G$2:$H$4,2,FALSE))&amp;"[Grade]"),VLOOKUP($B$4,'Reading Report Logic'!$D$2:$E$9,2,FALSE)))</f>
        <v>0</v>
      </c>
      <c r="C22" s="167" t="str">
        <f ca="1">IFERROR(B22/SUM(B19:B22),"")</f>
        <v/>
      </c>
      <c r="D22" s="338"/>
      <c r="E22" s="339"/>
    </row>
    <row r="23" spans="1:5" x14ac:dyDescent="0.25">
      <c r="A23" s="77"/>
      <c r="B23" s="78"/>
      <c r="C23" s="78"/>
    </row>
    <row r="24" spans="1:5" x14ac:dyDescent="0.25">
      <c r="A24" s="172" t="s">
        <v>331</v>
      </c>
      <c r="B24" s="83" t="s">
        <v>200</v>
      </c>
      <c r="C24" s="83" t="s">
        <v>201</v>
      </c>
    </row>
    <row r="25" spans="1:5" x14ac:dyDescent="0.25">
      <c r="A25" s="160" t="s">
        <v>235</v>
      </c>
      <c r="B25" s="82" cm="1">
        <f t="array" aca="1" ref="B25"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"&amp;VLOOKUP($A24,'Reading Report Logic'!$A$2:$B$8,2,FALSE)&amp;"]"),"&gt;0",INDIRECT("YES_Reading_"&amp;IF(E4="Combined",{"ELA","FLA"},VLOOKUP($E$4,'Reading Report Logic'!$G$2:$H$4,2,FALSE))&amp;"[Grade]"),VLOOKUP($B$4,'Reading Report Logic'!$D$2:$E$9,2,FALSE)))</f>
        <v>0</v>
      </c>
      <c r="C25" s="161" t="str">
        <f ca="1">IFERROR(B25/SUM(B25:B28),"")</f>
        <v/>
      </c>
      <c r="D25" s="340">
        <f ca="1">B25+B26</f>
        <v>0</v>
      </c>
      <c r="E25" s="341" t="str">
        <f ca="1">IFERROR(C25+C26,"")</f>
        <v/>
      </c>
    </row>
    <row r="26" spans="1:5" x14ac:dyDescent="0.25">
      <c r="A26" s="162" t="s">
        <v>236</v>
      </c>
      <c r="B26" s="81" cm="1">
        <f t="array" aca="1" ref="B26"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"&amp;VLOOKUP($A24,'Reading Report Logic'!$A$2:$B$8,2,FALSE)&amp;"]"),"=0",INDIRECT("YES_Reading_"&amp;IF(E4="Combined",{"ELA","FLA"},VLOOKUP($E$4,'Reading Report Logic'!$G$2:$H$4,2,FALSE))&amp;"[Grade]"),VLOOKUP($B$4,'Reading Report Logic'!$D$2:$E$9,2,FALSE)))</f>
        <v>0</v>
      </c>
      <c r="C26" s="163" t="str">
        <f ca="1">IFERROR(B26/SUM(B25:B28),"")</f>
        <v/>
      </c>
      <c r="D26" s="340"/>
      <c r="E26" s="341"/>
    </row>
    <row r="27" spans="1:5" x14ac:dyDescent="0.25">
      <c r="A27" s="164" t="s">
        <v>237</v>
      </c>
      <c r="B27" s="80" cm="1">
        <f t="array" aca="1" ref="B27"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"&amp;VLOOKUP($A24,'Reading Report Logic'!$A$2:$B$8,2,FALSE)&amp;"]"),"&gt;=-2",INDIRECT("YES_Reading_"&amp;IF(E4="Combined",{"ELA","FLA"},VLOOKUP($E$4,'Reading Report Logic'!$G$2:$H$4,2,FALSE))&amp;"[Difference - Per "&amp;VLOOKUP($A24,'Reading Report Logic'!$A$2:$B$8,2,FALSE)&amp;"]"),"&lt;=-1",INDIRECT("YES_Reading_"&amp;IF(E4="Combined",{"ELA","FLA"},VLOOKUP($E$4,'Reading Report Logic'!$G$2:$H$4,2,FALSE))&amp;"[Grade]"),VLOOKUP($B$4,'Reading Report Logic'!$D$2:$E$9,2,FALSE)))</f>
        <v>0</v>
      </c>
      <c r="C27" s="165" t="str">
        <f ca="1">IFERROR(B27/SUM(B25:B28),"")</f>
        <v/>
      </c>
      <c r="D27" s="338">
        <f ca="1">B27+B28</f>
        <v>0</v>
      </c>
      <c r="E27" s="339" t="str">
        <f ca="1">IFERROR(C27+C28,"")</f>
        <v/>
      </c>
    </row>
    <row r="28" spans="1:5" x14ac:dyDescent="0.25">
      <c r="A28" s="166" t="s">
        <v>199</v>
      </c>
      <c r="B28" s="79" cm="1">
        <f t="array" aca="1" ref="B28"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"&amp;VLOOKUP($A24,'Reading Report Logic'!$A$2:$B$8,2,FALSE)&amp;"]"),"&lt;-2",INDIRECT("YES_Reading_"&amp;IF(E4="Combined",{"ELA","FLA"},VLOOKUP($E$4,'Reading Report Logic'!$G$2:$H$4,2,FALSE))&amp;"[Grade]"),VLOOKUP($B$4,'Reading Report Logic'!$D$2:$E$9,2,FALSE)))</f>
        <v>0</v>
      </c>
      <c r="C28" s="167" t="str">
        <f ca="1">IFERROR(B28/SUM(B25:B28),"")</f>
        <v/>
      </c>
      <c r="D28" s="338"/>
      <c r="E28" s="339"/>
    </row>
    <row r="29" spans="1:5" x14ac:dyDescent="0.25">
      <c r="A29" s="77"/>
      <c r="B29" s="78"/>
      <c r="C29" s="78"/>
    </row>
    <row r="30" spans="1:5" x14ac:dyDescent="0.25">
      <c r="A30" s="172" t="s">
        <v>332</v>
      </c>
      <c r="B30" s="83" t="s">
        <v>200</v>
      </c>
      <c r="C30" s="83" t="s">
        <v>201</v>
      </c>
    </row>
    <row r="31" spans="1:5" x14ac:dyDescent="0.25">
      <c r="A31" s="160" t="s">
        <v>235</v>
      </c>
      <c r="B31" s="82" cm="1">
        <f t="array" aca="1" ref="B31"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"&amp;VLOOKUP($A30,'Reading Report Logic'!$A$2:$B$8,2,FALSE)&amp;"]"),"&gt;0",INDIRECT("YES_Reading_"&amp;IF(E4="Combined",{"ELA","FLA"},VLOOKUP($E$4,'Reading Report Logic'!$G$2:$H$4,2,FALSE))&amp;"[Grade]"),VLOOKUP($B$4,'Reading Report Logic'!$D$2:$E$9,2,FALSE)))</f>
        <v>0</v>
      </c>
      <c r="C31" s="161" t="str">
        <f ca="1">IFERROR(B31/SUM(B31:B34),"")</f>
        <v/>
      </c>
      <c r="D31" s="340">
        <f ca="1">B31+B32</f>
        <v>0</v>
      </c>
      <c r="E31" s="341" t="str">
        <f ca="1">IFERROR(C31+C32,"")</f>
        <v/>
      </c>
    </row>
    <row r="32" spans="1:5" x14ac:dyDescent="0.25">
      <c r="A32" s="162" t="s">
        <v>236</v>
      </c>
      <c r="B32" s="81" cm="1">
        <f t="array" aca="1" ref="B32"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"&amp;VLOOKUP($A30,'Reading Report Logic'!$A$2:$B$8,2,FALSE)&amp;"]"),"=0",INDIRECT("YES_Reading_"&amp;IF(E4="Combined",{"ELA","FLA"},VLOOKUP($E$4,'Reading Report Logic'!$G$2:$H$4,2,FALSE))&amp;"[Grade]"),VLOOKUP($B$4,'Reading Report Logic'!$D$2:$E$9,2,FALSE)))</f>
        <v>0</v>
      </c>
      <c r="C32" s="163" t="str">
        <f ca="1">IFERROR(B32/SUM(B31:B34),"")</f>
        <v/>
      </c>
      <c r="D32" s="340"/>
      <c r="E32" s="341"/>
    </row>
    <row r="33" spans="1:5" x14ac:dyDescent="0.25">
      <c r="A33" s="164" t="s">
        <v>237</v>
      </c>
      <c r="B33" s="80" cm="1">
        <f t="array" aca="1" ref="B33"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"&amp;VLOOKUP($A30,'Reading Report Logic'!$A$2:$B$8,2,FALSE)&amp;"]"),"&gt;=-2",INDIRECT("YES_Reading_"&amp;IF(E4="Combined",{"ELA","FLA"},VLOOKUP($E$4,'Reading Report Logic'!$G$2:$H$4,2,FALSE))&amp;"[Difference - Per "&amp;VLOOKUP($A30,'Reading Report Logic'!$A$2:$B$8,2,FALSE)&amp;"]"),"&lt;=-1",INDIRECT("YES_Reading_"&amp;IF(E4="Combined",{"ELA","FLA"},VLOOKUP($E$4,'Reading Report Logic'!$G$2:$H$4,2,FALSE))&amp;"[Grade]"),VLOOKUP($B$4,'Reading Report Logic'!$D$2:$E$9,2,FALSE)))</f>
        <v>0</v>
      </c>
      <c r="C33" s="165" t="str">
        <f ca="1">IFERROR(B33/SUM(B31:B34),"")</f>
        <v/>
      </c>
      <c r="D33" s="338">
        <f ca="1">B33+B34</f>
        <v>0</v>
      </c>
      <c r="E33" s="339" t="str">
        <f ca="1">IFERROR(C33+C34,"")</f>
        <v/>
      </c>
    </row>
    <row r="34" spans="1:5" x14ac:dyDescent="0.25">
      <c r="A34" s="166" t="s">
        <v>199</v>
      </c>
      <c r="B34" s="79" cm="1">
        <f t="array" aca="1" ref="B34"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"&amp;VLOOKUP($A30,'Reading Report Logic'!$A$2:$B$8,2,FALSE)&amp;"]"),"&lt;-2",INDIRECT("YES_Reading_"&amp;IF(E4="Combined",{"ELA","FLA"},VLOOKUP($E$4,'Reading Report Logic'!$G$2:$H$4,2,FALSE))&amp;"[Grade]"),VLOOKUP($B$4,'Reading Report Logic'!$D$2:$E$9,2,FALSE)))</f>
        <v>0</v>
      </c>
      <c r="C34" s="167" t="str">
        <f ca="1">IFERROR(B34/SUM(B31:B34),"")</f>
        <v/>
      </c>
      <c r="D34" s="338"/>
      <c r="E34" s="339"/>
    </row>
    <row r="35" spans="1:5" x14ac:dyDescent="0.25">
      <c r="A35" s="77"/>
      <c r="B35" s="78"/>
      <c r="C35" s="78"/>
    </row>
    <row r="36" spans="1:5" x14ac:dyDescent="0.25">
      <c r="A36" s="172" t="s">
        <v>333</v>
      </c>
      <c r="B36" s="83" t="s">
        <v>200</v>
      </c>
      <c r="C36" s="83" t="s">
        <v>201</v>
      </c>
    </row>
    <row r="37" spans="1:5" x14ac:dyDescent="0.25">
      <c r="A37" s="160" t="s">
        <v>235</v>
      </c>
      <c r="B37" s="82" cm="1">
        <f t="array" aca="1" ref="B37"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"&amp;VLOOKUP($A36,'Reading Report Logic'!$A$2:$B$8,2,FALSE)&amp;"]"),"&gt;0",INDIRECT("YES_Reading_"&amp;IF(E4="Combined",{"ELA","FLA"},VLOOKUP($E$4,'Reading Report Logic'!$G$2:$H$4,2,FALSE))&amp;"[Grade]"),VLOOKUP($B$4,'Reading Report Logic'!$D$2:$E$9,2,FALSE)))</f>
        <v>0</v>
      </c>
      <c r="C37" s="161" t="str">
        <f ca="1">IFERROR(B37/SUM(B37:B40),"")</f>
        <v/>
      </c>
      <c r="D37" s="340">
        <f ca="1">B37+B38</f>
        <v>0</v>
      </c>
      <c r="E37" s="341" t="str">
        <f ca="1">IFERROR(C37+C38,"")</f>
        <v/>
      </c>
    </row>
    <row r="38" spans="1:5" x14ac:dyDescent="0.25">
      <c r="A38" s="162" t="s">
        <v>236</v>
      </c>
      <c r="B38" s="81" cm="1">
        <f t="array" aca="1" ref="B38"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"&amp;VLOOKUP($A36,'Reading Report Logic'!$A$2:$B$8,2,FALSE)&amp;"]"),"=0",INDIRECT("YES_Reading_"&amp;IF(E4="Combined",{"ELA","FLA"},VLOOKUP($E$4,'Reading Report Logic'!$G$2:$H$4,2,FALSE))&amp;"[Grade]"),VLOOKUP($B$4,'Reading Report Logic'!$D$2:$E$9,2,FALSE)))</f>
        <v>0</v>
      </c>
      <c r="C38" s="163" t="str">
        <f ca="1">IFERROR(B38/SUM(B37:B40),"")</f>
        <v/>
      </c>
      <c r="D38" s="340"/>
      <c r="E38" s="341"/>
    </row>
    <row r="39" spans="1:5" x14ac:dyDescent="0.25">
      <c r="A39" s="164" t="s">
        <v>237</v>
      </c>
      <c r="B39" s="80" cm="1">
        <f t="array" aca="1" ref="B39"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"&amp;VLOOKUP($A36,'Reading Report Logic'!$A$2:$B$8,2,FALSE)&amp;"]"),"&gt;=-2",INDIRECT("YES_Reading_"&amp;IF(E4="Combined",{"ELA","FLA"},VLOOKUP($E$4,'Reading Report Logic'!$G$2:$H$4,2,FALSE))&amp;"[Difference - Per "&amp;VLOOKUP($A36,'Reading Report Logic'!$A$2:$B$8,2,FALSE)&amp;"]"),"&lt;=-1",INDIRECT("YES_Reading_"&amp;IF(E4="Combined",{"ELA","FLA"},VLOOKUP($E$4,'Reading Report Logic'!$G$2:$H$4,2,FALSE))&amp;"[Grade]"),VLOOKUP($B$4,'Reading Report Logic'!$D$2:$E$9,2,FALSE)))</f>
        <v>0</v>
      </c>
      <c r="C39" s="165" t="str">
        <f ca="1">IFERROR(B39/SUM(B37:B40),"")</f>
        <v/>
      </c>
      <c r="D39" s="338">
        <f ca="1">B39+B40</f>
        <v>0</v>
      </c>
      <c r="E39" s="339" t="str">
        <f ca="1">IFERROR(C39+C40,"")</f>
        <v/>
      </c>
    </row>
    <row r="40" spans="1:5" x14ac:dyDescent="0.25">
      <c r="A40" s="166" t="s">
        <v>199</v>
      </c>
      <c r="B40" s="79" cm="1">
        <f t="array" aca="1" ref="B40"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"&amp;VLOOKUP($A36,'Reading Report Logic'!$A$2:$B$8,2,FALSE)&amp;"]"),"&lt;-2",INDIRECT("YES_Reading_"&amp;IF(E4="Combined",{"ELA","FLA"},VLOOKUP($E$4,'Reading Report Logic'!$G$2:$H$4,2,FALSE))&amp;"[Grade]"),VLOOKUP($B$4,'Reading Report Logic'!$D$2:$E$9,2,FALSE)))</f>
        <v>0</v>
      </c>
      <c r="C40" s="167" t="str">
        <f ca="1">IFERROR(B40/SUM(B37:B40),"")</f>
        <v/>
      </c>
      <c r="D40" s="338"/>
      <c r="E40" s="339"/>
    </row>
    <row r="41" spans="1:5" x14ac:dyDescent="0.25">
      <c r="A41" s="77"/>
      <c r="B41" s="78"/>
      <c r="C41" s="78"/>
    </row>
    <row r="42" spans="1:5" x14ac:dyDescent="0.25">
      <c r="A42" s="172" t="s">
        <v>334</v>
      </c>
      <c r="B42" s="83" t="s">
        <v>200</v>
      </c>
      <c r="C42" s="83" t="s">
        <v>201</v>
      </c>
    </row>
    <row r="43" spans="1:5" x14ac:dyDescent="0.25">
      <c r="A43" s="160" t="s">
        <v>235</v>
      </c>
      <c r="B43" s="82" cm="1">
        <f t="array" aca="1" ref="B43"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"&amp;VLOOKUP($A42,'Reading Report Logic'!$A$2:$B$8,2,FALSE)&amp;"]"),"&gt;0",INDIRECT("YES_Reading_"&amp;IF(E4="Combined",{"ELA","FLA"},VLOOKUP($E$4,'Reading Report Logic'!$G$2:$H$4,2,FALSE))&amp;"[Grade]"),VLOOKUP($B$4,'Reading Report Logic'!$D$2:$E$9,2,FALSE)))</f>
        <v>0</v>
      </c>
      <c r="C43" s="161" t="str">
        <f ca="1">IFERROR(B43/SUM(B43:B46),"")</f>
        <v/>
      </c>
      <c r="D43" s="340">
        <f ca="1">B43+B44</f>
        <v>0</v>
      </c>
      <c r="E43" s="341" t="str">
        <f ca="1">IFERROR(C43+C44,"")</f>
        <v/>
      </c>
    </row>
    <row r="44" spans="1:5" x14ac:dyDescent="0.25">
      <c r="A44" s="162" t="s">
        <v>236</v>
      </c>
      <c r="B44" s="81" cm="1">
        <f t="array" aca="1" ref="B44"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"&amp;VLOOKUP($A42,'Reading Report Logic'!$A$2:$B$8,2,FALSE)&amp;"]"),"=0",INDIRECT("YES_Reading_"&amp;IF(E4="Combined",{"ELA","FLA"},VLOOKUP($E$4,'Reading Report Logic'!$G$2:$H$4,2,FALSE))&amp;"[Grade]"),VLOOKUP($B$4,'Reading Report Logic'!$D$2:$E$9,2,FALSE)))</f>
        <v>0</v>
      </c>
      <c r="C44" s="163" t="str">
        <f ca="1">IFERROR(B44/SUM(B43:B46),"")</f>
        <v/>
      </c>
      <c r="D44" s="340"/>
      <c r="E44" s="341"/>
    </row>
    <row r="45" spans="1:5" x14ac:dyDescent="0.25">
      <c r="A45" s="164" t="s">
        <v>237</v>
      </c>
      <c r="B45" s="80" cm="1">
        <f t="array" aca="1" ref="B45"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"&amp;VLOOKUP($A42,'Reading Report Logic'!$A$2:$B$8,2,FALSE)&amp;"]"),"&gt;=-2",INDIRECT("YES_Reading_"&amp;IF(E4="Combined",{"ELA","FLA"},VLOOKUP($E$4,'Reading Report Logic'!$G$2:$H$4,2,FALSE))&amp;"[Difference - Per "&amp;VLOOKUP($A42,'Reading Report Logic'!$A$2:$B$8,2,FALSE)&amp;"]"),"&lt;=-1",INDIRECT("YES_Reading_"&amp;IF(E4="Combined",{"ELA","FLA"},VLOOKUP($E$4,'Reading Report Logic'!$G$2:$H$4,2,FALSE))&amp;"[Grade]"),VLOOKUP($B$4,'Reading Report Logic'!$D$2:$E$9,2,FALSE)))</f>
        <v>0</v>
      </c>
      <c r="C45" s="165" t="str">
        <f ca="1">IFERROR(B45/SUM(B43:B46),"")</f>
        <v/>
      </c>
      <c r="D45" s="338">
        <f ca="1">B45+B46</f>
        <v>0</v>
      </c>
      <c r="E45" s="339" t="str">
        <f ca="1">IFERROR(C45+C46,"")</f>
        <v/>
      </c>
    </row>
    <row r="46" spans="1:5" x14ac:dyDescent="0.25">
      <c r="A46" s="166" t="s">
        <v>199</v>
      </c>
      <c r="B46" s="79" cm="1">
        <f t="array" aca="1" ref="B46"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"&amp;VLOOKUP($A42,'Reading Report Logic'!$A$2:$B$8,2,FALSE)&amp;"]"),"&lt;-2",INDIRECT("YES_Reading_"&amp;IF(E4="Combined",{"ELA","FLA"},VLOOKUP($E$4,'Reading Report Logic'!$G$2:$H$4,2,FALSE))&amp;"[Grade]"),VLOOKUP($B$4,'Reading Report Logic'!$D$2:$E$9,2,FALSE)))</f>
        <v>0</v>
      </c>
      <c r="C46" s="167" t="str">
        <f ca="1">IFERROR(B46/SUM(B43:B46),"")</f>
        <v/>
      </c>
      <c r="D46" s="338"/>
      <c r="E46" s="339"/>
    </row>
    <row r="47" spans="1:5" x14ac:dyDescent="0.25">
      <c r="A47" s="77"/>
      <c r="B47" s="78"/>
      <c r="C47" s="78"/>
    </row>
    <row r="48" spans="1:5" x14ac:dyDescent="0.25">
      <c r="A48" s="172" t="s">
        <v>335</v>
      </c>
      <c r="B48" s="83" t="s">
        <v>200</v>
      </c>
      <c r="C48" s="83" t="s">
        <v>201</v>
      </c>
    </row>
    <row r="49" spans="1:5" x14ac:dyDescent="0.25">
      <c r="A49" s="160" t="s">
        <v>235</v>
      </c>
      <c r="B49" s="82" cm="1">
        <f t="array" aca="1" ref="B49"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"&amp;VLOOKUP($A48,'Reading Report Logic'!$A$2:$B$8,2,FALSE)&amp;"]"),"&gt;0",INDIRECT("YES_Reading_"&amp;IF(E4="Combined",{"ELA","FLA"},VLOOKUP($E$4,'Reading Report Logic'!$G$2:$H$4,2,FALSE))&amp;"[Grade]"),VLOOKUP($B$4,'Reading Report Logic'!$D$2:$E$9,2,FALSE)))</f>
        <v>0</v>
      </c>
      <c r="C49" s="161" t="str">
        <f ca="1">IFERROR(B49/SUM(B49:B52),"")</f>
        <v/>
      </c>
      <c r="D49" s="340">
        <f ca="1">B49+B50</f>
        <v>0</v>
      </c>
      <c r="E49" s="341" t="str">
        <f ca="1">IFERROR(C49+C50,"")</f>
        <v/>
      </c>
    </row>
    <row r="50" spans="1:5" x14ac:dyDescent="0.25">
      <c r="A50" s="162" t="s">
        <v>236</v>
      </c>
      <c r="B50" s="81" cm="1">
        <f t="array" aca="1" ref="B50"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"&amp;VLOOKUP($A48,'Reading Report Logic'!$A$2:$B$8,2,FALSE)&amp;"]"),"=0",INDIRECT("YES_Reading_"&amp;IF(E4="Combined",{"ELA","FLA"},VLOOKUP($E$4,'Reading Report Logic'!$G$2:$H$4,2,FALSE))&amp;"[Grade]"),VLOOKUP($B$4,'Reading Report Logic'!$D$2:$E$9,2,FALSE)))</f>
        <v>0</v>
      </c>
      <c r="C50" s="163" t="str">
        <f ca="1">IFERROR(B50/SUM(B49:B52),"")</f>
        <v/>
      </c>
      <c r="D50" s="340"/>
      <c r="E50" s="341"/>
    </row>
    <row r="51" spans="1:5" x14ac:dyDescent="0.25">
      <c r="A51" s="164" t="s">
        <v>237</v>
      </c>
      <c r="B51" s="80" cm="1">
        <f t="array" aca="1" ref="B51"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"&amp;VLOOKUP($A48,'Reading Report Logic'!$A$2:$B$8,2,FALSE)&amp;"]"),"&gt;=-2",INDIRECT("YES_Reading_"&amp;IF(E4="Combined",{"ELA","FLA"},VLOOKUP($E$4,'Reading Report Logic'!$G$2:$H$4,2,FALSE))&amp;"[Difference - Per "&amp;VLOOKUP($A48,'Reading Report Logic'!$A$2:$B$8,2,FALSE)&amp;"]"),"&lt;=-1",INDIRECT("YES_Reading_"&amp;IF(E4="Combined",{"ELA","FLA"},VLOOKUP($E$4,'Reading Report Logic'!$G$2:$H$4,2,FALSE))&amp;"[Grade]"),VLOOKUP($B$4,'Reading Report Logic'!$D$2:$E$9,2,FALSE)))</f>
        <v>0</v>
      </c>
      <c r="C51" s="165" t="str">
        <f ca="1">IFERROR(B51/SUM(B49:B52),"")</f>
        <v/>
      </c>
      <c r="D51" s="338">
        <f ca="1">B51+B52</f>
        <v>0</v>
      </c>
      <c r="E51" s="339" t="str">
        <f ca="1">IFERROR(C51+C52,"")</f>
        <v/>
      </c>
    </row>
    <row r="52" spans="1:5" x14ac:dyDescent="0.25">
      <c r="A52" s="166" t="s">
        <v>199</v>
      </c>
      <c r="B52" s="79" cm="1">
        <f t="array" aca="1" ref="B52" ca="1">SUM(COUNTIFS(INDIRECT("YES_Reading_"&amp;IF(E4="Combined",{"ELA","FLA"},VLOOKUP($E$4,'Reading Report Logic'!$G$2:$H$4,2,FALSE))&amp;"[School]"),IF($B$3="TCRCE","*",$B$3),INDIRECT("YES_Reading_"&amp;IF(E4="Combined",{"ELA","FLA"},VLOOKUP($E$4,'Reading Report Logic'!$G$2:$H$4,2,FALSE))&amp;"[Literacy IPP]"),"&lt;&gt;Yes",INDIRECT("YES_Reading_"&amp;IF(E4="Combined",{"ELA","FLA"},VLOOKUP($E$4,'Reading Report Logic'!$G$2:$H$4,2,FALSE))&amp;"[Difference - Per "&amp;VLOOKUP($A48,'Reading Report Logic'!$A$2:$B$8,2,FALSE)&amp;"]"),"&lt;-2",INDIRECT("YES_Reading_"&amp;IF(E4="Combined",{"ELA","FLA"},VLOOKUP($E$4,'Reading Report Logic'!$G$2:$H$4,2,FALSE))&amp;"[Grade]"),VLOOKUP($B$4,'Reading Report Logic'!$D$2:$E$9,2,FALSE)))</f>
        <v>0</v>
      </c>
      <c r="C52" s="167" t="str">
        <f ca="1">IFERROR(B52/SUM(B49:B52),"")</f>
        <v/>
      </c>
      <c r="D52" s="338"/>
      <c r="E52" s="339"/>
    </row>
    <row r="53" spans="1:5" x14ac:dyDescent="0.25">
      <c r="A53" s="77"/>
      <c r="B53" s="77"/>
      <c r="C53" s="77"/>
    </row>
  </sheetData>
  <mergeCells count="36">
    <mergeCell ref="A1:S1"/>
    <mergeCell ref="B3:F3"/>
    <mergeCell ref="N3:P3"/>
    <mergeCell ref="Q3:S3"/>
    <mergeCell ref="D7:D8"/>
    <mergeCell ref="E7:E8"/>
    <mergeCell ref="D9:D10"/>
    <mergeCell ref="E9:E10"/>
    <mergeCell ref="D13:D14"/>
    <mergeCell ref="E13:E14"/>
    <mergeCell ref="D15:D16"/>
    <mergeCell ref="E15:E16"/>
    <mergeCell ref="D19:D20"/>
    <mergeCell ref="E19:E20"/>
    <mergeCell ref="D21:D22"/>
    <mergeCell ref="E21:E22"/>
    <mergeCell ref="D25:D26"/>
    <mergeCell ref="E25:E26"/>
    <mergeCell ref="D27:D28"/>
    <mergeCell ref="E27:E28"/>
    <mergeCell ref="D31:D32"/>
    <mergeCell ref="E31:E32"/>
    <mergeCell ref="D33:D34"/>
    <mergeCell ref="E33:E34"/>
    <mergeCell ref="D37:D38"/>
    <mergeCell ref="E37:E38"/>
    <mergeCell ref="D39:D40"/>
    <mergeCell ref="E39:E40"/>
    <mergeCell ref="D43:D44"/>
    <mergeCell ref="E43:E44"/>
    <mergeCell ref="D45:D46"/>
    <mergeCell ref="E45:E46"/>
    <mergeCell ref="D49:D50"/>
    <mergeCell ref="E49:E50"/>
    <mergeCell ref="D51:D52"/>
    <mergeCell ref="E51:E52"/>
  </mergeCell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DA27C916-0B63-41AC-A1B0-19ECA9159688}">
          <x14:formula1>
            <xm:f>'Reading Report Logic'!$A$2:$A$8</xm:f>
          </x14:formula1>
          <xm:sqref>A48 A18 A24 A30 A36 A42</xm:sqref>
        </x14:dataValidation>
        <x14:dataValidation type="list" allowBlank="1" showInputMessage="1" showErrorMessage="1" xr:uid="{D3DF49F7-1546-4C0C-A172-4E965C093925}">
          <x14:formula1>
            <xm:f>'Reading Report Logic'!$D$2:$D$9</xm:f>
          </x14:formula1>
          <xm:sqref>B4</xm:sqref>
        </x14:dataValidation>
        <x14:dataValidation type="list" allowBlank="1" showInputMessage="1" showErrorMessage="1" xr:uid="{36ABEB17-7A00-4046-A4CA-5BF903039668}">
          <x14:formula1>
            <xm:f>'Reading Report Logic'!$A$12:$A$28</xm:f>
          </x14:formula1>
          <xm:sqref>B3</xm:sqref>
        </x14:dataValidation>
        <x14:dataValidation type="list" allowBlank="1" showInputMessage="1" showErrorMessage="1" xr:uid="{36B494FB-6FA5-4BEE-86B4-D56EF15CF660}">
          <x14:formula1>
            <xm:f>'Reading Report Logic'!$G$2:$G$4</xm:f>
          </x14:formula1>
          <xm:sqref>E4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2EF62-9B1B-4AEB-9EA4-D02A597F57F3}">
  <sheetPr codeName="Sheet6"/>
  <dimension ref="A1:S43"/>
  <sheetViews>
    <sheetView workbookViewId="0">
      <selection activeCell="L35" sqref="L35"/>
    </sheetView>
  </sheetViews>
  <sheetFormatPr defaultRowHeight="15" x14ac:dyDescent="0.25"/>
  <cols>
    <col min="1" max="1" width="17.140625" customWidth="1"/>
    <col min="2" max="11" width="10.28515625" customWidth="1"/>
    <col min="12" max="12" width="5.7109375" customWidth="1"/>
  </cols>
  <sheetData>
    <row r="1" spans="1:19" ht="24" x14ac:dyDescent="0.4">
      <c r="A1" s="321" t="s">
        <v>205</v>
      </c>
      <c r="B1" s="321"/>
      <c r="C1" s="321"/>
      <c r="D1" s="321"/>
      <c r="E1" s="321"/>
      <c r="F1" s="321"/>
      <c r="G1" s="321"/>
      <c r="H1" s="321"/>
      <c r="I1" s="321"/>
      <c r="J1" s="89"/>
      <c r="K1" s="89"/>
      <c r="L1" s="89"/>
      <c r="M1" s="89"/>
      <c r="N1" s="86"/>
      <c r="O1" s="86"/>
      <c r="P1" s="86"/>
      <c r="Q1" s="86"/>
      <c r="R1" s="86"/>
      <c r="S1" s="86"/>
    </row>
    <row r="3" spans="1:19" x14ac:dyDescent="0.25">
      <c r="B3" s="46" t="s">
        <v>173</v>
      </c>
      <c r="C3" s="310" t="s">
        <v>90</v>
      </c>
      <c r="D3" s="310"/>
      <c r="E3" s="310"/>
      <c r="F3" s="310"/>
      <c r="G3" s="310"/>
    </row>
    <row r="4" spans="1:19" x14ac:dyDescent="0.25">
      <c r="B4" s="46" t="s">
        <v>191</v>
      </c>
      <c r="C4" s="314" t="s">
        <v>330</v>
      </c>
      <c r="D4" s="314"/>
      <c r="E4" s="46" t="s">
        <v>176</v>
      </c>
      <c r="F4" s="45" t="s">
        <v>177</v>
      </c>
    </row>
    <row r="5" spans="1:19" x14ac:dyDescent="0.25">
      <c r="B5" s="336" t="s">
        <v>180</v>
      </c>
      <c r="C5" s="336"/>
      <c r="D5" s="336"/>
      <c r="E5" s="337">
        <f ca="1">NOW()</f>
        <v>46168.387202314814</v>
      </c>
      <c r="F5" s="337"/>
      <c r="G5" s="337"/>
    </row>
    <row r="7" spans="1:19" x14ac:dyDescent="0.25">
      <c r="A7" s="352" t="str">
        <f>TEXT(C4,"mmmm")&amp;" Details"</f>
        <v>Oct 30(P-6) Details</v>
      </c>
      <c r="B7" s="352"/>
      <c r="C7" s="352"/>
      <c r="D7" s="352"/>
      <c r="E7" s="352"/>
      <c r="F7" s="352"/>
      <c r="G7" s="352"/>
      <c r="H7" s="352"/>
      <c r="I7" s="352"/>
    </row>
    <row r="8" spans="1:19" x14ac:dyDescent="0.25">
      <c r="A8" s="77"/>
      <c r="B8" s="344" t="s">
        <v>199</v>
      </c>
      <c r="C8" s="345"/>
      <c r="D8" s="346" t="s">
        <v>237</v>
      </c>
      <c r="E8" s="347"/>
      <c r="F8" s="348" t="s">
        <v>236</v>
      </c>
      <c r="G8" s="349"/>
      <c r="H8" s="350" t="s">
        <v>235</v>
      </c>
      <c r="I8" s="351"/>
    </row>
    <row r="9" spans="1:19" x14ac:dyDescent="0.25">
      <c r="A9" s="77"/>
      <c r="B9" s="79" t="s">
        <v>200</v>
      </c>
      <c r="C9" s="79" t="s">
        <v>201</v>
      </c>
      <c r="D9" s="80" t="s">
        <v>200</v>
      </c>
      <c r="E9" s="80" t="s">
        <v>201</v>
      </c>
      <c r="F9" s="81" t="s">
        <v>200</v>
      </c>
      <c r="G9" s="81" t="s">
        <v>201</v>
      </c>
      <c r="H9" s="82" t="s">
        <v>200</v>
      </c>
      <c r="I9" s="82" t="s">
        <v>201</v>
      </c>
    </row>
    <row r="10" spans="1:19" x14ac:dyDescent="0.25">
      <c r="A10" s="83" t="s">
        <v>104</v>
      </c>
      <c r="B10" s="84" cm="1">
        <f t="array" aca="1" ref="B1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Logic'!$G$2:$H$4,2,FALSE))&amp;"[Grade]"),VLOOKUP($A10,'Reading Report Logic'!$D$2:$E$9,2,FALSE)))</f>
        <v>0</v>
      </c>
      <c r="C10" s="85" t="str">
        <f ca="1">IFERROR(B10/($B10+$D10+$F10+$H10),"")</f>
        <v/>
      </c>
      <c r="D10" s="84" cm="1">
        <f t="array" aca="1" ref="D1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Logic'!$G$2:$H$4,2,FALSE))&amp;"[Grade]"),VLOOKUP($A10,'Reading Report Logic'!$D$2:$E$9,2,FALSE)))</f>
        <v>0</v>
      </c>
      <c r="E10" s="85" t="str">
        <f ca="1">IFERROR(D10/($B10+$D10+$F10+$H10),"")</f>
        <v/>
      </c>
      <c r="F10" s="84" cm="1">
        <f t="array" aca="1" ref="F1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Logic'!$G$2:$H$4,2,FALSE))&amp;"[Grade]"),VLOOKUP($A10,'Reading Report Logic'!$D$2:$E$9,2,FALSE)))</f>
        <v>0</v>
      </c>
      <c r="G10" s="85" t="str">
        <f ca="1">IFERROR(F10/($B10+$D10+$F10+$H10),"")</f>
        <v/>
      </c>
      <c r="H10" s="84" cm="1">
        <f t="array" aca="1" ref="H1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Logic'!$G$2:$H$4,2,FALSE))&amp;"[Grade]"),VLOOKUP($A10,'Reading Report Logic'!$D$2:$E$9,2,FALSE)))</f>
        <v>0</v>
      </c>
      <c r="I10" s="85" t="str">
        <f ca="1">IFERROR(H10/($B10+$D10+$F10+$H10),"")</f>
        <v/>
      </c>
    </row>
    <row r="11" spans="1:19" x14ac:dyDescent="0.25">
      <c r="A11" s="83">
        <v>1</v>
      </c>
      <c r="B11" s="84" cm="1">
        <f t="array" aca="1" ref="B1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Logic'!$G$2:$H$4,2,FALSE))&amp;"[Grade]"),VLOOKUP($A11,'Reading Report Logic'!$D$2:$E$9,2,FALSE)))</f>
        <v>0</v>
      </c>
      <c r="C11" s="85" t="str">
        <f t="shared" ref="C11:C17" ca="1" si="0">IFERROR(B11/($B11+$D11+$F11+$H11),"")</f>
        <v/>
      </c>
      <c r="D11" s="84" cm="1">
        <f t="array" aca="1" ref="D1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Logic'!$G$2:$H$4,2,FALSE))&amp;"[Grade]"),VLOOKUP($A11,'Reading Report Logic'!$D$2:$E$9,2,FALSE)))</f>
        <v>0</v>
      </c>
      <c r="E11" s="85" t="str">
        <f t="shared" ref="E11:E17" ca="1" si="1">IFERROR(D11/($B11+$D11+$F11+$H11),"")</f>
        <v/>
      </c>
      <c r="F11" s="84" cm="1">
        <f t="array" aca="1" ref="F1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Logic'!$G$2:$H$4,2,FALSE))&amp;"[Grade]"),VLOOKUP($A11,'Reading Report Logic'!$D$2:$E$9,2,FALSE)))</f>
        <v>0</v>
      </c>
      <c r="G11" s="85" t="str">
        <f t="shared" ref="G11:G17" ca="1" si="2">IFERROR(F11/($B11+$D11+$F11+$H11),"")</f>
        <v/>
      </c>
      <c r="H11" s="84" cm="1">
        <f t="array" aca="1" ref="H1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Logic'!$G$2:$H$4,2,FALSE))&amp;"[Grade]"),VLOOKUP($A11,'Reading Report Logic'!$D$2:$E$9,2,FALSE)))</f>
        <v>0</v>
      </c>
      <c r="I11" s="85" t="str">
        <f t="shared" ref="I11:I17" ca="1" si="3">IFERROR(H11/($B11+$D11+$F11+$H11),"")</f>
        <v/>
      </c>
    </row>
    <row r="12" spans="1:19" x14ac:dyDescent="0.25">
      <c r="A12" s="83">
        <v>2</v>
      </c>
      <c r="B12" s="84" cm="1">
        <f t="array" aca="1" ref="B1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Logic'!$G$2:$H$4,2,FALSE))&amp;"[Grade]"),VLOOKUP($A12,'Reading Report Logic'!$D$2:$E$9,2,FALSE)))</f>
        <v>0</v>
      </c>
      <c r="C12" s="85" t="str">
        <f t="shared" ca="1" si="0"/>
        <v/>
      </c>
      <c r="D12" s="84" cm="1">
        <f t="array" aca="1" ref="D1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Logic'!$G$2:$H$4,2,FALSE))&amp;"[Grade]"),VLOOKUP($A12,'Reading Report Logic'!$D$2:$E$9,2,FALSE)))</f>
        <v>0</v>
      </c>
      <c r="E12" s="85" t="str">
        <f t="shared" ca="1" si="1"/>
        <v/>
      </c>
      <c r="F12" s="84" cm="1">
        <f t="array" aca="1" ref="F1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Logic'!$G$2:$H$4,2,FALSE))&amp;"[Grade]"),VLOOKUP($A12,'Reading Report Logic'!$D$2:$E$9,2,FALSE)))</f>
        <v>0</v>
      </c>
      <c r="G12" s="85" t="str">
        <f t="shared" ca="1" si="2"/>
        <v/>
      </c>
      <c r="H12" s="84" cm="1">
        <f t="array" aca="1" ref="H1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Logic'!$G$2:$H$4,2,FALSE))&amp;"[Grade]"),VLOOKUP($A12,'Reading Report Logic'!$D$2:$E$9,2,FALSE)))</f>
        <v>0</v>
      </c>
      <c r="I12" s="85" t="str">
        <f t="shared" ca="1" si="3"/>
        <v/>
      </c>
    </row>
    <row r="13" spans="1:19" x14ac:dyDescent="0.25">
      <c r="A13" s="83">
        <v>3</v>
      </c>
      <c r="B13" s="84" cm="1">
        <f t="array" aca="1" ref="B1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Logic'!$G$2:$H$4,2,FALSE))&amp;"[Grade]"),VLOOKUP($A13,'Reading Report Logic'!$D$2:$E$9,2,FALSE)))</f>
        <v>0</v>
      </c>
      <c r="C13" s="85" t="str">
        <f t="shared" ca="1" si="0"/>
        <v/>
      </c>
      <c r="D13" s="84" cm="1">
        <f t="array" aca="1" ref="D1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Logic'!$G$2:$H$4,2,FALSE))&amp;"[Grade]"),VLOOKUP($A13,'Reading Report Logic'!$D$2:$E$9,2,FALSE)))</f>
        <v>0</v>
      </c>
      <c r="E13" s="85" t="str">
        <f t="shared" ca="1" si="1"/>
        <v/>
      </c>
      <c r="F13" s="84" cm="1">
        <f t="array" aca="1" ref="F1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Logic'!$G$2:$H$4,2,FALSE))&amp;"[Grade]"),VLOOKUP($A13,'Reading Report Logic'!$D$2:$E$9,2,FALSE)))</f>
        <v>0</v>
      </c>
      <c r="G13" s="85" t="str">
        <f t="shared" ca="1" si="2"/>
        <v/>
      </c>
      <c r="H13" s="84" cm="1">
        <f t="array" aca="1" ref="H1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Logic'!$G$2:$H$4,2,FALSE))&amp;"[Grade]"),VLOOKUP($A13,'Reading Report Logic'!$D$2:$E$9,2,FALSE)))</f>
        <v>0</v>
      </c>
      <c r="I13" s="85" t="str">
        <f t="shared" ca="1" si="3"/>
        <v/>
      </c>
    </row>
    <row r="14" spans="1:19" x14ac:dyDescent="0.25">
      <c r="A14" s="83">
        <v>4</v>
      </c>
      <c r="B14" s="84" cm="1">
        <f t="array" aca="1" ref="B1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Logic'!$G$2:$H$4,2,FALSE))&amp;"[Grade]"),VLOOKUP($A14,'Reading Report Logic'!$D$2:$E$9,2,FALSE)))</f>
        <v>0</v>
      </c>
      <c r="C14" s="85" t="str">
        <f t="shared" ca="1" si="0"/>
        <v/>
      </c>
      <c r="D14" s="84" cm="1">
        <f t="array" aca="1" ref="D1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Logic'!$G$2:$H$4,2,FALSE))&amp;"[Grade]"),VLOOKUP($A14,'Reading Report Logic'!$D$2:$E$9,2,FALSE)))</f>
        <v>0</v>
      </c>
      <c r="E14" s="85" t="str">
        <f t="shared" ca="1" si="1"/>
        <v/>
      </c>
      <c r="F14" s="84" cm="1">
        <f t="array" aca="1" ref="F1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Logic'!$G$2:$H$4,2,FALSE))&amp;"[Grade]"),VLOOKUP($A14,'Reading Report Logic'!$D$2:$E$9,2,FALSE)))</f>
        <v>0</v>
      </c>
      <c r="G14" s="85" t="str">
        <f t="shared" ca="1" si="2"/>
        <v/>
      </c>
      <c r="H14" s="84" cm="1">
        <f t="array" aca="1" ref="H1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Logic'!$G$2:$H$4,2,FALSE))&amp;"[Grade]"),VLOOKUP($A14,'Reading Report Logic'!$D$2:$E$9,2,FALSE)))</f>
        <v>0</v>
      </c>
      <c r="I14" s="85" t="str">
        <f t="shared" ca="1" si="3"/>
        <v/>
      </c>
    </row>
    <row r="15" spans="1:19" x14ac:dyDescent="0.25">
      <c r="A15" s="83">
        <v>5</v>
      </c>
      <c r="B15" s="84" cm="1">
        <f t="array" aca="1" ref="B1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Logic'!$G$2:$H$4,2,FALSE))&amp;"[Grade]"),VLOOKUP($A15,'Reading Report Logic'!$D$2:$E$9,2,FALSE)))</f>
        <v>0</v>
      </c>
      <c r="C15" s="85" t="str">
        <f t="shared" ca="1" si="0"/>
        <v/>
      </c>
      <c r="D15" s="84" cm="1">
        <f t="array" aca="1" ref="D1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Logic'!$G$2:$H$4,2,FALSE))&amp;"[Grade]"),VLOOKUP($A15,'Reading Report Logic'!$D$2:$E$9,2,FALSE)))</f>
        <v>0</v>
      </c>
      <c r="E15" s="85" t="str">
        <f t="shared" ca="1" si="1"/>
        <v/>
      </c>
      <c r="F15" s="84" cm="1">
        <f t="array" aca="1" ref="F1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Logic'!$G$2:$H$4,2,FALSE))&amp;"[Grade]"),VLOOKUP($A15,'Reading Report Logic'!$D$2:$E$9,2,FALSE)))</f>
        <v>0</v>
      </c>
      <c r="G15" s="85" t="str">
        <f t="shared" ca="1" si="2"/>
        <v/>
      </c>
      <c r="H15" s="84" cm="1">
        <f t="array" aca="1" ref="H1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Logic'!$G$2:$H$4,2,FALSE))&amp;"[Grade]"),VLOOKUP($A15,'Reading Report Logic'!$D$2:$E$9,2,FALSE)))</f>
        <v>0</v>
      </c>
      <c r="I15" s="85" t="str">
        <f t="shared" ca="1" si="3"/>
        <v/>
      </c>
    </row>
    <row r="16" spans="1:19" x14ac:dyDescent="0.25">
      <c r="A16" s="83">
        <v>6</v>
      </c>
      <c r="B16" s="84" cm="1">
        <f t="array" aca="1" ref="B1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Logic'!$G$2:$H$4,2,FALSE))&amp;"[Grade]"),VLOOKUP($A16,'Reading Report Logic'!$D$2:$E$9,2,FALSE)))</f>
        <v>0</v>
      </c>
      <c r="C16" s="85" t="str">
        <f t="shared" ca="1" si="0"/>
        <v/>
      </c>
      <c r="D16" s="84" cm="1">
        <f t="array" aca="1" ref="D1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Logic'!$G$2:$H$4,2,FALSE))&amp;"[Grade]"),VLOOKUP($A16,'Reading Report Logic'!$D$2:$E$9,2,FALSE)))</f>
        <v>0</v>
      </c>
      <c r="E16" s="85" t="str">
        <f t="shared" ca="1" si="1"/>
        <v/>
      </c>
      <c r="F16" s="84" cm="1">
        <f t="array" aca="1" ref="F1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Logic'!$G$2:$H$4,2,FALSE))&amp;"[Grade]"),VLOOKUP($A16,'Reading Report Logic'!$D$2:$E$9,2,FALSE)))</f>
        <v>0</v>
      </c>
      <c r="G16" s="85" t="str">
        <f t="shared" ca="1" si="2"/>
        <v/>
      </c>
      <c r="H16" s="84" cm="1">
        <f t="array" aca="1" ref="H1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Logic'!$G$2:$H$4,2,FALSE))&amp;"[Grade]"),VLOOKUP($A16,'Reading Report Logic'!$D$2:$E$9,2,FALSE)))</f>
        <v>0</v>
      </c>
      <c r="I16" s="85" t="str">
        <f t="shared" ca="1" si="3"/>
        <v/>
      </c>
    </row>
    <row r="17" spans="1:9" x14ac:dyDescent="0.25">
      <c r="A17" s="173" t="s">
        <v>204</v>
      </c>
      <c r="B17" s="84">
        <f ca="1">SUM(B10:B16)</f>
        <v>0</v>
      </c>
      <c r="C17" s="85" t="str">
        <f t="shared" ca="1" si="0"/>
        <v/>
      </c>
      <c r="D17" s="84">
        <f t="shared" ref="D17:H17" ca="1" si="4">SUM(D10:D16)</f>
        <v>0</v>
      </c>
      <c r="E17" s="85" t="str">
        <f t="shared" ca="1" si="1"/>
        <v/>
      </c>
      <c r="F17" s="84">
        <f t="shared" ca="1" si="4"/>
        <v>0</v>
      </c>
      <c r="G17" s="85" t="str">
        <f t="shared" ca="1" si="2"/>
        <v/>
      </c>
      <c r="H17" s="84">
        <f t="shared" ca="1" si="4"/>
        <v>0</v>
      </c>
      <c r="I17" s="85" t="str">
        <f t="shared" ca="1" si="3"/>
        <v/>
      </c>
    </row>
    <row r="19" spans="1:9" x14ac:dyDescent="0.25">
      <c r="B19" s="344" t="s">
        <v>199</v>
      </c>
      <c r="C19" s="345"/>
      <c r="D19" s="346" t="s">
        <v>237</v>
      </c>
      <c r="E19" s="347"/>
      <c r="F19" s="348" t="s">
        <v>236</v>
      </c>
      <c r="G19" s="349"/>
      <c r="H19" s="350" t="s">
        <v>235</v>
      </c>
      <c r="I19" s="351"/>
    </row>
    <row r="20" spans="1:9" x14ac:dyDescent="0.25">
      <c r="B20" s="79" t="s">
        <v>200</v>
      </c>
      <c r="C20" s="79" t="s">
        <v>201</v>
      </c>
      <c r="D20" s="80" t="s">
        <v>200</v>
      </c>
      <c r="E20" s="80" t="s">
        <v>201</v>
      </c>
      <c r="F20" s="81" t="s">
        <v>200</v>
      </c>
      <c r="G20" s="81" t="s">
        <v>201</v>
      </c>
      <c r="H20" s="82" t="s">
        <v>200</v>
      </c>
      <c r="I20" s="82" t="s">
        <v>201</v>
      </c>
    </row>
    <row r="21" spans="1:9" x14ac:dyDescent="0.25">
      <c r="A21" s="13" t="str" cm="1">
        <f t="array" ref="A21">IFERROR(_xlfn.UNIQUE(_xlfn._xlws.SORT(_xlfn._xlws.FILTER(_xlfn.VSTACK(YES_Reading_ELA[HomeRoom],YES_Reading_FLA[Homeroom]),IF($C$3="TCRCE",_xlfn.VSTACK(YES_Reading_ELA[HomeRoom],YES_Reading_FLA[Homeroom])&lt;&gt;"",_xlfn.VSTACK(YES_Reading_ELA[School],YES_Reading_FLA[School])=$C$3)),1,1,FALSE),FALSE,FALSE),"")</f>
        <v/>
      </c>
      <c r="B21" s="84" t="str" cm="1">
        <f t="array" aca="1" ref="B21" ca="1">IF($A21="","",SUM(COUNTIFS(INDIRECT("YES_Reading_"&amp;IF($F$4="Combined",{"ELA","FLA"},VLOOKUP($F$4,'Reading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Logic'!$G$2:$H$4,2,FALSE))&amp;"[HomeRoom]"),$A21)))</f>
        <v/>
      </c>
      <c r="C21" s="85" t="str">
        <f ca="1">IFERROR(B21/($B21+$D21+$F21+$H21),"")</f>
        <v/>
      </c>
      <c r="D21" s="84" t="str" cm="1">
        <f t="array" aca="1" ref="D21" ca="1">IF($A21="","",SUM(COUNTIFS(INDIRECT("YES_Reading_"&amp;IF($F$4="Combined",{"ELA","FLA"},VLOOKUP($F$4,'Reading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Logic'!$G$2:$H$4,2,FALSE))&amp;"[HomeRoom]"),$A21)))</f>
        <v/>
      </c>
      <c r="E21" s="85" t="str">
        <f ca="1">IFERROR(D21/($B21+$D21+$F21+$H21),"")</f>
        <v/>
      </c>
      <c r="F21" s="84" t="str" cm="1">
        <f t="array" aca="1" ref="F21" ca="1">IF($A21="","",SUM(COUNTIFS(INDIRECT("YES_Reading_"&amp;IF($F$4="Combined",{"ELA","FLA"},VLOOKUP($F$4,'Reading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Logic'!$G$2:$H$4,2,FALSE))&amp;"[HomeRoom]"),$A21)))</f>
        <v/>
      </c>
      <c r="G21" s="85" t="str">
        <f ca="1">IFERROR(F21/($B21+$D21+$F21+$H21),"")</f>
        <v/>
      </c>
      <c r="H21" s="84" t="str" cm="1">
        <f t="array" aca="1" ref="H21" ca="1">IF($A21="","",SUM(COUNTIFS(INDIRECT("YES_Reading_"&amp;IF($F$4="Combined",{"ELA","FLA"},VLOOKUP($F$4,'Reading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Logic'!$G$2:$H$4,2,FALSE))&amp;"[HomeRoom]"),$A21)))</f>
        <v/>
      </c>
      <c r="I21" s="85" t="str">
        <f ca="1">IFERROR(H21/($B21+$D21+$F21+$H21),"")</f>
        <v/>
      </c>
    </row>
    <row r="22" spans="1:9" x14ac:dyDescent="0.25">
      <c r="A22" s="13"/>
      <c r="B22" s="84" t="str" cm="1">
        <f t="array" aca="1" ref="B22" ca="1">IF($A22="","",SUM(COUNTIFS(INDIRECT("YES_Reading_"&amp;IF($F$4="Combined",{"ELA","FLA"},VLOOKUP($F$4,'Reading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Logic'!$G$2:$H$4,2,FALSE))&amp;"[HomeRoom]"),$A22)))</f>
        <v/>
      </c>
      <c r="C22" s="85" t="str">
        <f t="shared" ref="C22:C43" ca="1" si="5">IFERROR(B22/($B22+$D22+$F22+$H22),"")</f>
        <v/>
      </c>
      <c r="D22" s="84" cm="1">
        <f t="array" aca="1" ref="D2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Logic'!$G$2:$H$4,2,FALSE))&amp;"[HomeRoom]"),$A22))</f>
        <v>0</v>
      </c>
      <c r="E22" s="85" t="str">
        <f t="shared" ref="E22:E43" ca="1" si="6">IFERROR(D22/($B22+$D22+$F22+$H22),"")</f>
        <v/>
      </c>
      <c r="F22" s="84" cm="1">
        <f t="array" aca="1" ref="F2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Logic'!$G$2:$H$4,2,FALSE))&amp;"[HomeRoom]"),$A22))</f>
        <v>0</v>
      </c>
      <c r="G22" s="85" t="str">
        <f t="shared" ref="G22:G43" ca="1" si="7">IFERROR(F22/($B22+$D22+$F22+$H22),"")</f>
        <v/>
      </c>
      <c r="H22" s="84" cm="1">
        <f t="array" aca="1" ref="H2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Logic'!$G$2:$H$4,2,FALSE))&amp;"[HomeRoom]"),$A22))</f>
        <v>0</v>
      </c>
      <c r="I22" s="85" t="str">
        <f t="shared" ref="I22:I43" ca="1" si="8">IFERROR(H22/($B22+$D22+$F22+$H22),"")</f>
        <v/>
      </c>
    </row>
    <row r="23" spans="1:9" x14ac:dyDescent="0.25">
      <c r="A23" s="13"/>
      <c r="B23" s="84" t="str" cm="1">
        <f t="array" aca="1" ref="B23" ca="1">IF($A23="","",SUM(COUNTIFS(INDIRECT("YES_Reading_"&amp;IF($F$4="Combined",{"ELA","FLA"},VLOOKUP($F$4,'Reading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Logic'!$G$2:$H$4,2,FALSE))&amp;"[HomeRoom]"),$A23)))</f>
        <v/>
      </c>
      <c r="C23" s="85" t="str">
        <f t="shared" ca="1" si="5"/>
        <v/>
      </c>
      <c r="D23" s="84" cm="1">
        <f t="array" aca="1" ref="D2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Logic'!$G$2:$H$4,2,FALSE))&amp;"[HomeRoom]"),$A23))</f>
        <v>0</v>
      </c>
      <c r="E23" s="85" t="str">
        <f t="shared" ca="1" si="6"/>
        <v/>
      </c>
      <c r="F23" s="84" cm="1">
        <f t="array" aca="1" ref="F2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Logic'!$G$2:$H$4,2,FALSE))&amp;"[HomeRoom]"),$A23))</f>
        <v>0</v>
      </c>
      <c r="G23" s="85" t="str">
        <f t="shared" ca="1" si="7"/>
        <v/>
      </c>
      <c r="H23" s="84" cm="1">
        <f t="array" aca="1" ref="H2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Logic'!$G$2:$H$4,2,FALSE))&amp;"[HomeRoom]"),$A23))</f>
        <v>0</v>
      </c>
      <c r="I23" s="85" t="str">
        <f t="shared" ca="1" si="8"/>
        <v/>
      </c>
    </row>
    <row r="24" spans="1:9" x14ac:dyDescent="0.25">
      <c r="A24" s="13"/>
      <c r="B24" s="84" t="str" cm="1">
        <f t="array" aca="1" ref="B24" ca="1">IF($A24="","",SUM(COUNTIFS(INDIRECT("YES_Reading_"&amp;IF($F$4="Combined",{"ELA","FLA"},VLOOKUP($F$4,'Reading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Logic'!$G$2:$H$4,2,FALSE))&amp;"[HomeRoom]"),$A24)))</f>
        <v/>
      </c>
      <c r="C24" s="85" t="str">
        <f t="shared" ca="1" si="5"/>
        <v/>
      </c>
      <c r="D24" s="84" cm="1">
        <f t="array" aca="1" ref="D2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Logic'!$G$2:$H$4,2,FALSE))&amp;"[HomeRoom]"),$A24))</f>
        <v>0</v>
      </c>
      <c r="E24" s="85" t="str">
        <f t="shared" ca="1" si="6"/>
        <v/>
      </c>
      <c r="F24" s="84" cm="1">
        <f t="array" aca="1" ref="F2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Logic'!$G$2:$H$4,2,FALSE))&amp;"[HomeRoom]"),$A24))</f>
        <v>0</v>
      </c>
      <c r="G24" s="85" t="str">
        <f t="shared" ca="1" si="7"/>
        <v/>
      </c>
      <c r="H24" s="84" cm="1">
        <f t="array" aca="1" ref="H2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Logic'!$G$2:$H$4,2,FALSE))&amp;"[HomeRoom]"),$A24))</f>
        <v>0</v>
      </c>
      <c r="I24" s="85" t="str">
        <f t="shared" ca="1" si="8"/>
        <v/>
      </c>
    </row>
    <row r="25" spans="1:9" x14ac:dyDescent="0.25">
      <c r="A25" s="13"/>
      <c r="B25" s="84" t="str" cm="1">
        <f t="array" aca="1" ref="B25" ca="1">IF($A25="","",SUM(COUNTIFS(INDIRECT("YES_Reading_"&amp;IF($F$4="Combined",{"ELA","FLA"},VLOOKUP($F$4,'Reading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Logic'!$G$2:$H$4,2,FALSE))&amp;"[HomeRoom]"),$A25)))</f>
        <v/>
      </c>
      <c r="C25" s="85" t="str">
        <f t="shared" ca="1" si="5"/>
        <v/>
      </c>
      <c r="D25" s="84" cm="1">
        <f t="array" aca="1" ref="D2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Logic'!$G$2:$H$4,2,FALSE))&amp;"[HomeRoom]"),$A25))</f>
        <v>0</v>
      </c>
      <c r="E25" s="85" t="str">
        <f t="shared" ca="1" si="6"/>
        <v/>
      </c>
      <c r="F25" s="84" cm="1">
        <f t="array" aca="1" ref="F2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Logic'!$G$2:$H$4,2,FALSE))&amp;"[HomeRoom]"),$A25))</f>
        <v>0</v>
      </c>
      <c r="G25" s="85" t="str">
        <f t="shared" ca="1" si="7"/>
        <v/>
      </c>
      <c r="H25" s="84" cm="1">
        <f t="array" aca="1" ref="H2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Logic'!$G$2:$H$4,2,FALSE))&amp;"[HomeRoom]"),$A25))</f>
        <v>0</v>
      </c>
      <c r="I25" s="85" t="str">
        <f t="shared" ca="1" si="8"/>
        <v/>
      </c>
    </row>
    <row r="26" spans="1:9" x14ac:dyDescent="0.25">
      <c r="A26" s="13"/>
      <c r="B26" s="84" t="str" cm="1">
        <f t="array" aca="1" ref="B26" ca="1">IF($A26="","",SUM(COUNTIFS(INDIRECT("YES_Reading_"&amp;IF($F$4="Combined",{"ELA","FLA"},VLOOKUP($F$4,'Reading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Logic'!$G$2:$H$4,2,FALSE))&amp;"[HomeRoom]"),$A26)))</f>
        <v/>
      </c>
      <c r="C26" s="85" t="str">
        <f t="shared" ca="1" si="5"/>
        <v/>
      </c>
      <c r="D26" s="84" cm="1">
        <f t="array" aca="1" ref="D2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Logic'!$G$2:$H$4,2,FALSE))&amp;"[HomeRoom]"),$A26))</f>
        <v>0</v>
      </c>
      <c r="E26" s="85" t="str">
        <f t="shared" ca="1" si="6"/>
        <v/>
      </c>
      <c r="F26" s="84" cm="1">
        <f t="array" aca="1" ref="F2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Logic'!$G$2:$H$4,2,FALSE))&amp;"[HomeRoom]"),$A26))</f>
        <v>0</v>
      </c>
      <c r="G26" s="85" t="str">
        <f t="shared" ca="1" si="7"/>
        <v/>
      </c>
      <c r="H26" s="84" cm="1">
        <f t="array" aca="1" ref="H2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Logic'!$G$2:$H$4,2,FALSE))&amp;"[HomeRoom]"),$A26))</f>
        <v>0</v>
      </c>
      <c r="I26" s="85" t="str">
        <f t="shared" ca="1" si="8"/>
        <v/>
      </c>
    </row>
    <row r="27" spans="1:9" x14ac:dyDescent="0.25">
      <c r="A27" s="13"/>
      <c r="B27" s="84" t="str" cm="1">
        <f t="array" aca="1" ref="B27" ca="1">IF($A27="","",SUM(COUNTIFS(INDIRECT("YES_Reading_"&amp;IF($F$4="Combined",{"ELA","FLA"},VLOOKUP($F$4,'Reading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Logic'!$G$2:$H$4,2,FALSE))&amp;"[HomeRoom]"),$A27)))</f>
        <v/>
      </c>
      <c r="C27" s="85" t="str">
        <f t="shared" ca="1" si="5"/>
        <v/>
      </c>
      <c r="D27" s="84" cm="1">
        <f t="array" aca="1" ref="D27"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Logic'!$G$2:$H$4,2,FALSE))&amp;"[HomeRoom]"),$A27))</f>
        <v>0</v>
      </c>
      <c r="E27" s="85" t="str">
        <f t="shared" ca="1" si="6"/>
        <v/>
      </c>
      <c r="F27" s="84" cm="1">
        <f t="array" aca="1" ref="F27"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Logic'!$G$2:$H$4,2,FALSE))&amp;"[HomeRoom]"),$A27))</f>
        <v>0</v>
      </c>
      <c r="G27" s="85" t="str">
        <f t="shared" ca="1" si="7"/>
        <v/>
      </c>
      <c r="H27" s="84" cm="1">
        <f t="array" aca="1" ref="H27"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Logic'!$G$2:$H$4,2,FALSE))&amp;"[HomeRoom]"),$A27))</f>
        <v>0</v>
      </c>
      <c r="I27" s="85" t="str">
        <f t="shared" ca="1" si="8"/>
        <v/>
      </c>
    </row>
    <row r="28" spans="1:9" x14ac:dyDescent="0.25">
      <c r="A28" s="13"/>
      <c r="B28" s="84" t="str" cm="1">
        <f t="array" aca="1" ref="B28" ca="1">IF($A28="","",SUM(COUNTIFS(INDIRECT("YES_Reading_"&amp;IF($F$4="Combined",{"ELA","FLA"},VLOOKUP($F$4,'Reading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Logic'!$G$2:$H$4,2,FALSE))&amp;"[HomeRoom]"),$A28)))</f>
        <v/>
      </c>
      <c r="C28" s="85" t="str">
        <f t="shared" ca="1" si="5"/>
        <v/>
      </c>
      <c r="D28" s="84" cm="1">
        <f t="array" aca="1" ref="D28"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Logic'!$G$2:$H$4,2,FALSE))&amp;"[HomeRoom]"),$A28))</f>
        <v>0</v>
      </c>
      <c r="E28" s="85" t="str">
        <f t="shared" ca="1" si="6"/>
        <v/>
      </c>
      <c r="F28" s="84" cm="1">
        <f t="array" aca="1" ref="F28"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Logic'!$G$2:$H$4,2,FALSE))&amp;"[HomeRoom]"),$A28))</f>
        <v>0</v>
      </c>
      <c r="G28" s="85" t="str">
        <f t="shared" ca="1" si="7"/>
        <v/>
      </c>
      <c r="H28" s="84" cm="1">
        <f t="array" aca="1" ref="H28"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Logic'!$G$2:$H$4,2,FALSE))&amp;"[HomeRoom]"),$A28))</f>
        <v>0</v>
      </c>
      <c r="I28" s="85" t="str">
        <f t="shared" ca="1" si="8"/>
        <v/>
      </c>
    </row>
    <row r="29" spans="1:9" x14ac:dyDescent="0.25">
      <c r="A29" s="13"/>
      <c r="B29" s="84" t="str" cm="1">
        <f t="array" aca="1" ref="B29" ca="1">IF($A29="","",SUM(COUNTIFS(INDIRECT("YES_Reading_"&amp;IF($F$4="Combined",{"ELA","FLA"},VLOOKUP($F$4,'Reading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Logic'!$G$2:$H$4,2,FALSE))&amp;"[HomeRoom]"),$A29)))</f>
        <v/>
      </c>
      <c r="C29" s="85" t="str">
        <f t="shared" ca="1" si="5"/>
        <v/>
      </c>
      <c r="D29" s="84" cm="1">
        <f t="array" aca="1" ref="D29"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Logic'!$G$2:$H$4,2,FALSE))&amp;"[HomeRoom]"),$A29))</f>
        <v>0</v>
      </c>
      <c r="E29" s="85" t="str">
        <f t="shared" ca="1" si="6"/>
        <v/>
      </c>
      <c r="F29" s="84" cm="1">
        <f t="array" aca="1" ref="F29"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Logic'!$G$2:$H$4,2,FALSE))&amp;"[HomeRoom]"),$A29))</f>
        <v>0</v>
      </c>
      <c r="G29" s="85" t="str">
        <f t="shared" ca="1" si="7"/>
        <v/>
      </c>
      <c r="H29" s="84" cm="1">
        <f t="array" aca="1" ref="H29"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Logic'!$G$2:$H$4,2,FALSE))&amp;"[HomeRoom]"),$A29))</f>
        <v>0</v>
      </c>
      <c r="I29" s="85" t="str">
        <f t="shared" ca="1" si="8"/>
        <v/>
      </c>
    </row>
    <row r="30" spans="1:9" x14ac:dyDescent="0.25">
      <c r="A30" s="13"/>
      <c r="B30" s="84" t="str" cm="1">
        <f t="array" aca="1" ref="B30" ca="1">IF($A30="","",SUM(COUNTIFS(INDIRECT("YES_Reading_"&amp;IF($F$4="Combined",{"ELA","FLA"},VLOOKUP($F$4,'Reading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Logic'!$G$2:$H$4,2,FALSE))&amp;"[HomeRoom]"),$A30)))</f>
        <v/>
      </c>
      <c r="C30" s="85" t="str">
        <f t="shared" ca="1" si="5"/>
        <v/>
      </c>
      <c r="D30" s="84" cm="1">
        <f t="array" aca="1" ref="D3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Logic'!$G$2:$H$4,2,FALSE))&amp;"[HomeRoom]"),$A30))</f>
        <v>0</v>
      </c>
      <c r="E30" s="85" t="str">
        <f t="shared" ca="1" si="6"/>
        <v/>
      </c>
      <c r="F30" s="84" cm="1">
        <f t="array" aca="1" ref="F3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Logic'!$G$2:$H$4,2,FALSE))&amp;"[HomeRoom]"),$A30))</f>
        <v>0</v>
      </c>
      <c r="G30" s="85" t="str">
        <f t="shared" ca="1" si="7"/>
        <v/>
      </c>
      <c r="H30" s="84" cm="1">
        <f t="array" aca="1" ref="H3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Logic'!$G$2:$H$4,2,FALSE))&amp;"[HomeRoom]"),$A30))</f>
        <v>0</v>
      </c>
      <c r="I30" s="85" t="str">
        <f t="shared" ca="1" si="8"/>
        <v/>
      </c>
    </row>
    <row r="31" spans="1:9" x14ac:dyDescent="0.25">
      <c r="A31" s="13"/>
      <c r="B31" s="84" t="str" cm="1">
        <f t="array" aca="1" ref="B31" ca="1">IF($A31="","",SUM(COUNTIFS(INDIRECT("YES_Reading_"&amp;IF($F$4="Combined",{"ELA","FLA"},VLOOKUP($F$4,'Reading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Logic'!$G$2:$H$4,2,FALSE))&amp;"[HomeRoom]"),$A31)))</f>
        <v/>
      </c>
      <c r="C31" s="85" t="str">
        <f t="shared" ca="1" si="5"/>
        <v/>
      </c>
      <c r="D31" s="84" cm="1">
        <f t="array" aca="1" ref="D3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Logic'!$G$2:$H$4,2,FALSE))&amp;"[HomeRoom]"),$A31))</f>
        <v>0</v>
      </c>
      <c r="E31" s="85" t="str">
        <f t="shared" ca="1" si="6"/>
        <v/>
      </c>
      <c r="F31" s="84" cm="1">
        <f t="array" aca="1" ref="F3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Logic'!$G$2:$H$4,2,FALSE))&amp;"[HomeRoom]"),$A31))</f>
        <v>0</v>
      </c>
      <c r="G31" s="85" t="str">
        <f t="shared" ca="1" si="7"/>
        <v/>
      </c>
      <c r="H31" s="84" cm="1">
        <f t="array" aca="1" ref="H3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Logic'!$G$2:$H$4,2,FALSE))&amp;"[HomeRoom]"),$A31))</f>
        <v>0</v>
      </c>
      <c r="I31" s="85" t="str">
        <f t="shared" ca="1" si="8"/>
        <v/>
      </c>
    </row>
    <row r="32" spans="1:9" x14ac:dyDescent="0.25">
      <c r="A32" s="13"/>
      <c r="B32" s="84" t="str" cm="1">
        <f t="array" aca="1" ref="B32" ca="1">IF($A32="","",SUM(COUNTIFS(INDIRECT("YES_Reading_"&amp;IF($F$4="Combined",{"ELA","FLA"},VLOOKUP($F$4,'Reading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Logic'!$G$2:$H$4,2,FALSE))&amp;"[HomeRoom]"),$A32)))</f>
        <v/>
      </c>
      <c r="C32" s="85" t="str">
        <f t="shared" ca="1" si="5"/>
        <v/>
      </c>
      <c r="D32" s="84" cm="1">
        <f t="array" aca="1" ref="D3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Logic'!$G$2:$H$4,2,FALSE))&amp;"[HomeRoom]"),$A32))</f>
        <v>0</v>
      </c>
      <c r="E32" s="85" t="str">
        <f t="shared" ca="1" si="6"/>
        <v/>
      </c>
      <c r="F32" s="84" cm="1">
        <f t="array" aca="1" ref="F3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Logic'!$G$2:$H$4,2,FALSE))&amp;"[HomeRoom]"),$A32))</f>
        <v>0</v>
      </c>
      <c r="G32" s="85" t="str">
        <f t="shared" ca="1" si="7"/>
        <v/>
      </c>
      <c r="H32" s="84" cm="1">
        <f t="array" aca="1" ref="H3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Logic'!$G$2:$H$4,2,FALSE))&amp;"[HomeRoom]"),$A32))</f>
        <v>0</v>
      </c>
      <c r="I32" s="85" t="str">
        <f t="shared" ca="1" si="8"/>
        <v/>
      </c>
    </row>
    <row r="33" spans="1:9" x14ac:dyDescent="0.25">
      <c r="A33" s="13"/>
      <c r="B33" s="84" t="str" cm="1">
        <f t="array" aca="1" ref="B33" ca="1">IF($A33="","",SUM(COUNTIFS(INDIRECT("YES_Reading_"&amp;IF($F$4="Combined",{"ELA","FLA"},VLOOKUP($F$4,'Reading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Logic'!$G$2:$H$4,2,FALSE))&amp;"[HomeRoom]"),$A33)))</f>
        <v/>
      </c>
      <c r="C33" s="85" t="str">
        <f t="shared" ca="1" si="5"/>
        <v/>
      </c>
      <c r="D33" s="84" cm="1">
        <f t="array" aca="1" ref="D3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Logic'!$G$2:$H$4,2,FALSE))&amp;"[HomeRoom]"),$A33))</f>
        <v>0</v>
      </c>
      <c r="E33" s="85" t="str">
        <f t="shared" ca="1" si="6"/>
        <v/>
      </c>
      <c r="F33" s="84" cm="1">
        <f t="array" aca="1" ref="F3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Logic'!$G$2:$H$4,2,FALSE))&amp;"[HomeRoom]"),$A33))</f>
        <v>0</v>
      </c>
      <c r="G33" s="85" t="str">
        <f t="shared" ca="1" si="7"/>
        <v/>
      </c>
      <c r="H33" s="84" cm="1">
        <f t="array" aca="1" ref="H3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Logic'!$G$2:$H$4,2,FALSE))&amp;"[HomeRoom]"),$A33))</f>
        <v>0</v>
      </c>
      <c r="I33" s="85" t="str">
        <f t="shared" ca="1" si="8"/>
        <v/>
      </c>
    </row>
    <row r="34" spans="1:9" x14ac:dyDescent="0.25">
      <c r="A34" s="13"/>
      <c r="B34" s="84" t="str" cm="1">
        <f t="array" aca="1" ref="B34" ca="1">IF($A34="","",SUM(COUNTIFS(INDIRECT("YES_Reading_"&amp;IF($F$4="Combined",{"ELA","FLA"},VLOOKUP($F$4,'Reading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Logic'!$G$2:$H$4,2,FALSE))&amp;"[HomeRoom]"),$A34)))</f>
        <v/>
      </c>
      <c r="C34" s="85" t="str">
        <f t="shared" ca="1" si="5"/>
        <v/>
      </c>
      <c r="D34" s="84" cm="1">
        <f t="array" aca="1" ref="D3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Logic'!$G$2:$H$4,2,FALSE))&amp;"[HomeRoom]"),$A34))</f>
        <v>0</v>
      </c>
      <c r="E34" s="85" t="str">
        <f t="shared" ca="1" si="6"/>
        <v/>
      </c>
      <c r="F34" s="84" cm="1">
        <f t="array" aca="1" ref="F3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Logic'!$G$2:$H$4,2,FALSE))&amp;"[HomeRoom]"),$A34))</f>
        <v>0</v>
      </c>
      <c r="G34" s="85" t="str">
        <f t="shared" ca="1" si="7"/>
        <v/>
      </c>
      <c r="H34" s="84" cm="1">
        <f t="array" aca="1" ref="H34"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Logic'!$G$2:$H$4,2,FALSE))&amp;"[HomeRoom]"),$A34))</f>
        <v>0</v>
      </c>
      <c r="I34" s="85" t="str">
        <f t="shared" ca="1" si="8"/>
        <v/>
      </c>
    </row>
    <row r="35" spans="1:9" x14ac:dyDescent="0.25">
      <c r="A35" s="13"/>
      <c r="B35" s="84" t="str" cm="1">
        <f t="array" aca="1" ref="B35" ca="1">IF($A35="","",SUM(COUNTIFS(INDIRECT("YES_Reading_"&amp;IF($F$4="Combined",{"ELA","FLA"},VLOOKUP($F$4,'Reading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Logic'!$G$2:$H$4,2,FALSE))&amp;"[HomeRoom]"),$A35)))</f>
        <v/>
      </c>
      <c r="C35" s="85" t="str">
        <f t="shared" ca="1" si="5"/>
        <v/>
      </c>
      <c r="D35" s="84" cm="1">
        <f t="array" aca="1" ref="D3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Logic'!$G$2:$H$4,2,FALSE))&amp;"[HomeRoom]"),$A35))</f>
        <v>0</v>
      </c>
      <c r="E35" s="85" t="str">
        <f t="shared" ca="1" si="6"/>
        <v/>
      </c>
      <c r="F35" s="84" cm="1">
        <f t="array" aca="1" ref="F3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Logic'!$G$2:$H$4,2,FALSE))&amp;"[HomeRoom]"),$A35))</f>
        <v>0</v>
      </c>
      <c r="G35" s="85" t="str">
        <f t="shared" ca="1" si="7"/>
        <v/>
      </c>
      <c r="H35" s="84" cm="1">
        <f t="array" aca="1" ref="H35"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Logic'!$G$2:$H$4,2,FALSE))&amp;"[HomeRoom]"),$A35))</f>
        <v>0</v>
      </c>
      <c r="I35" s="85" t="str">
        <f t="shared" ca="1" si="8"/>
        <v/>
      </c>
    </row>
    <row r="36" spans="1:9" x14ac:dyDescent="0.25">
      <c r="A36" s="13"/>
      <c r="B36" s="84" t="str" cm="1">
        <f t="array" aca="1" ref="B36" ca="1">IF($A36="","",SUM(COUNTIFS(INDIRECT("YES_Reading_"&amp;IF($F$4="Combined",{"ELA","FLA"},VLOOKUP($F$4,'Reading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Logic'!$G$2:$H$4,2,FALSE))&amp;"[HomeRoom]"),$A36)))</f>
        <v/>
      </c>
      <c r="C36" s="85" t="str">
        <f t="shared" ca="1" si="5"/>
        <v/>
      </c>
      <c r="D36" s="84" cm="1">
        <f t="array" aca="1" ref="D3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Logic'!$G$2:$H$4,2,FALSE))&amp;"[HomeRoom]"),$A36))</f>
        <v>0</v>
      </c>
      <c r="E36" s="85" t="str">
        <f t="shared" ca="1" si="6"/>
        <v/>
      </c>
      <c r="F36" s="84" cm="1">
        <f t="array" aca="1" ref="F3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Logic'!$G$2:$H$4,2,FALSE))&amp;"[HomeRoom]"),$A36))</f>
        <v>0</v>
      </c>
      <c r="G36" s="85" t="str">
        <f t="shared" ca="1" si="7"/>
        <v/>
      </c>
      <c r="H36" s="84" cm="1">
        <f t="array" aca="1" ref="H36"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Logic'!$G$2:$H$4,2,FALSE))&amp;"[HomeRoom]"),$A36))</f>
        <v>0</v>
      </c>
      <c r="I36" s="85" t="str">
        <f t="shared" ca="1" si="8"/>
        <v/>
      </c>
    </row>
    <row r="37" spans="1:9" x14ac:dyDescent="0.25">
      <c r="A37" s="13"/>
      <c r="B37" s="84" t="str" cm="1">
        <f t="array" aca="1" ref="B37" ca="1">IF($A37="","",SUM(COUNTIFS(INDIRECT("YES_Reading_"&amp;IF($F$4="Combined",{"ELA","FLA"},VLOOKUP($F$4,'Reading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Logic'!$G$2:$H$4,2,FALSE))&amp;"[HomeRoom]"),$A37)))</f>
        <v/>
      </c>
      <c r="C37" s="85" t="str">
        <f t="shared" ca="1" si="5"/>
        <v/>
      </c>
      <c r="D37" s="84" cm="1">
        <f t="array" aca="1" ref="D37"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Logic'!$G$2:$H$4,2,FALSE))&amp;"[HomeRoom]"),$A37))</f>
        <v>0</v>
      </c>
      <c r="E37" s="85" t="str">
        <f t="shared" ca="1" si="6"/>
        <v/>
      </c>
      <c r="F37" s="84" cm="1">
        <f t="array" aca="1" ref="F37"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Logic'!$G$2:$H$4,2,FALSE))&amp;"[HomeRoom]"),$A37))</f>
        <v>0</v>
      </c>
      <c r="G37" s="85" t="str">
        <f t="shared" ca="1" si="7"/>
        <v/>
      </c>
      <c r="H37" s="84" cm="1">
        <f t="array" aca="1" ref="H37"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Logic'!$G$2:$H$4,2,FALSE))&amp;"[HomeRoom]"),$A37))</f>
        <v>0</v>
      </c>
      <c r="I37" s="85" t="str">
        <f t="shared" ca="1" si="8"/>
        <v/>
      </c>
    </row>
    <row r="38" spans="1:9" x14ac:dyDescent="0.25">
      <c r="A38" s="13"/>
      <c r="B38" s="84" t="str" cm="1">
        <f t="array" aca="1" ref="B38" ca="1">IF($A38="","",SUM(COUNTIFS(INDIRECT("YES_Reading_"&amp;IF($F$4="Combined",{"ELA","FLA"},VLOOKUP($F$4,'Reading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Logic'!$G$2:$H$4,2,FALSE))&amp;"[HomeRoom]"),$A38)))</f>
        <v/>
      </c>
      <c r="C38" s="85" t="str">
        <f t="shared" ca="1" si="5"/>
        <v/>
      </c>
      <c r="D38" s="84" cm="1">
        <f t="array" aca="1" ref="D38"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Logic'!$G$2:$H$4,2,FALSE))&amp;"[HomeRoom]"),$A38))</f>
        <v>0</v>
      </c>
      <c r="E38" s="85" t="str">
        <f t="shared" ca="1" si="6"/>
        <v/>
      </c>
      <c r="F38" s="84" cm="1">
        <f t="array" aca="1" ref="F38"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Logic'!$G$2:$H$4,2,FALSE))&amp;"[HomeRoom]"),$A38))</f>
        <v>0</v>
      </c>
      <c r="G38" s="85" t="str">
        <f t="shared" ca="1" si="7"/>
        <v/>
      </c>
      <c r="H38" s="84" cm="1">
        <f t="array" aca="1" ref="H38"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Logic'!$G$2:$H$4,2,FALSE))&amp;"[HomeRoom]"),$A38))</f>
        <v>0</v>
      </c>
      <c r="I38" s="85" t="str">
        <f t="shared" ca="1" si="8"/>
        <v/>
      </c>
    </row>
    <row r="39" spans="1:9" x14ac:dyDescent="0.25">
      <c r="A39" s="13"/>
      <c r="B39" s="84" t="str" cm="1">
        <f t="array" aca="1" ref="B39" ca="1">IF($A39="","",SUM(COUNTIFS(INDIRECT("YES_Reading_"&amp;IF($F$4="Combined",{"ELA","FLA"},VLOOKUP($F$4,'Reading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Logic'!$G$2:$H$4,2,FALSE))&amp;"[HomeRoom]"),$A39)))</f>
        <v/>
      </c>
      <c r="C39" s="85" t="str">
        <f t="shared" ca="1" si="5"/>
        <v/>
      </c>
      <c r="D39" s="84" cm="1">
        <f t="array" aca="1" ref="D39"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Logic'!$G$2:$H$4,2,FALSE))&amp;"[HomeRoom]"),$A39))</f>
        <v>0</v>
      </c>
      <c r="E39" s="85" t="str">
        <f t="shared" ca="1" si="6"/>
        <v/>
      </c>
      <c r="F39" s="84" cm="1">
        <f t="array" aca="1" ref="F39"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Logic'!$G$2:$H$4,2,FALSE))&amp;"[HomeRoom]"),$A39))</f>
        <v>0</v>
      </c>
      <c r="G39" s="85" t="str">
        <f t="shared" ca="1" si="7"/>
        <v/>
      </c>
      <c r="H39" s="84" cm="1">
        <f t="array" aca="1" ref="H39"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Logic'!$G$2:$H$4,2,FALSE))&amp;"[HomeRoom]"),$A39))</f>
        <v>0</v>
      </c>
      <c r="I39" s="85" t="str">
        <f t="shared" ca="1" si="8"/>
        <v/>
      </c>
    </row>
    <row r="40" spans="1:9" x14ac:dyDescent="0.25">
      <c r="A40" s="13"/>
      <c r="B40" s="84" t="str" cm="1">
        <f t="array" aca="1" ref="B40" ca="1">IF($A40="","",SUM(COUNTIFS(INDIRECT("YES_Reading_"&amp;IF($F$4="Combined",{"ELA","FLA"},VLOOKUP($F$4,'Reading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Logic'!$G$2:$H$4,2,FALSE))&amp;"[HomeRoom]"),$A40)))</f>
        <v/>
      </c>
      <c r="C40" s="85" t="str">
        <f t="shared" ca="1" si="5"/>
        <v/>
      </c>
      <c r="D40" s="84" cm="1">
        <f t="array" aca="1" ref="D4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Logic'!$G$2:$H$4,2,FALSE))&amp;"[HomeRoom]"),$A40))</f>
        <v>0</v>
      </c>
      <c r="E40" s="85" t="str">
        <f t="shared" ca="1" si="6"/>
        <v/>
      </c>
      <c r="F40" s="84" cm="1">
        <f t="array" aca="1" ref="F4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Logic'!$G$2:$H$4,2,FALSE))&amp;"[HomeRoom]"),$A40))</f>
        <v>0</v>
      </c>
      <c r="G40" s="85" t="str">
        <f t="shared" ca="1" si="7"/>
        <v/>
      </c>
      <c r="H40" s="84" cm="1">
        <f t="array" aca="1" ref="H40"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Logic'!$G$2:$H$4,2,FALSE))&amp;"[HomeRoom]"),$A40))</f>
        <v>0</v>
      </c>
      <c r="I40" s="85" t="str">
        <f t="shared" ca="1" si="8"/>
        <v/>
      </c>
    </row>
    <row r="41" spans="1:9" x14ac:dyDescent="0.25">
      <c r="A41" s="13"/>
      <c r="B41" s="84" t="str" cm="1">
        <f t="array" aca="1" ref="B41" ca="1">IF($A41="","",SUM(COUNTIFS(INDIRECT("YES_Reading_"&amp;IF($F$4="Combined",{"ELA","FLA"},VLOOKUP($F$4,'Reading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Logic'!$G$2:$H$4,2,FALSE))&amp;"[HomeRoom]"),$A41)))</f>
        <v/>
      </c>
      <c r="C41" s="85" t="str">
        <f t="shared" ca="1" si="5"/>
        <v/>
      </c>
      <c r="D41" s="84" cm="1">
        <f t="array" aca="1" ref="D4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Logic'!$G$2:$H$4,2,FALSE))&amp;"[HomeRoom]"),$A41))</f>
        <v>0</v>
      </c>
      <c r="E41" s="85" t="str">
        <f t="shared" ca="1" si="6"/>
        <v/>
      </c>
      <c r="F41" s="84" cm="1">
        <f t="array" aca="1" ref="F4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Logic'!$G$2:$H$4,2,FALSE))&amp;"[HomeRoom]"),$A41))</f>
        <v>0</v>
      </c>
      <c r="G41" s="85" t="str">
        <f t="shared" ca="1" si="7"/>
        <v/>
      </c>
      <c r="H41" s="84" cm="1">
        <f t="array" aca="1" ref="H41"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Logic'!$G$2:$H$4,2,FALSE))&amp;"[HomeRoom]"),$A41))</f>
        <v>0</v>
      </c>
      <c r="I41" s="85" t="str">
        <f t="shared" ca="1" si="8"/>
        <v/>
      </c>
    </row>
    <row r="42" spans="1:9" x14ac:dyDescent="0.25">
      <c r="A42" s="13"/>
      <c r="B42" s="84" t="str" cm="1">
        <f t="array" aca="1" ref="B42" ca="1">IF($A42="","",SUM(COUNTIFS(INDIRECT("YES_Reading_"&amp;IF($F$4="Combined",{"ELA","FLA"},VLOOKUP($F$4,'Reading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Logic'!$G$2:$H$4,2,FALSE))&amp;"[HomeRoom]"),$A42)))</f>
        <v/>
      </c>
      <c r="C42" s="85" t="str">
        <f t="shared" ca="1" si="5"/>
        <v/>
      </c>
      <c r="D42" s="84" cm="1">
        <f t="array" aca="1" ref="D4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Logic'!$G$2:$H$4,2,FALSE))&amp;"[HomeRoom]"),$A42))</f>
        <v>0</v>
      </c>
      <c r="E42" s="85" t="str">
        <f t="shared" ca="1" si="6"/>
        <v/>
      </c>
      <c r="F42" s="84" cm="1">
        <f t="array" aca="1" ref="F4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Logic'!$G$2:$H$4,2,FALSE))&amp;"[HomeRoom]"),$A42))</f>
        <v>0</v>
      </c>
      <c r="G42" s="85" t="str">
        <f t="shared" ca="1" si="7"/>
        <v/>
      </c>
      <c r="H42" s="84" cm="1">
        <f t="array" aca="1" ref="H42"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Logic'!$G$2:$H$4,2,FALSE))&amp;"[HomeRoom]"),$A42))</f>
        <v>0</v>
      </c>
      <c r="I42" s="85" t="str">
        <f t="shared" ca="1" si="8"/>
        <v/>
      </c>
    </row>
    <row r="43" spans="1:9" x14ac:dyDescent="0.25">
      <c r="A43" s="13"/>
      <c r="B43" s="84" t="str" cm="1">
        <f t="array" aca="1" ref="B43" ca="1">IF($A43="","",SUM(COUNTIFS(INDIRECT("YES_Reading_"&amp;IF($F$4="Combined",{"ELA","FLA"},VLOOKUP($F$4,'Reading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Logic'!$A$2:$B$8,2,FALSE)&amp;"]"),"&lt;-2",INDIRECT("YES_Reading_"&amp;IF($F$4="Combined",{"ELA","FLA"},VLOOKUP($F$4,'Reading Report Logic'!$G$2:$H$4,2,FALSE))&amp;"[HomeRoom]"),$A43)))</f>
        <v/>
      </c>
      <c r="C43" s="85" t="str">
        <f t="shared" ca="1" si="5"/>
        <v/>
      </c>
      <c r="D43" s="84" cm="1">
        <f t="array" aca="1" ref="D4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Logic'!$A$2:$B$8,2,FALSE)&amp;"]"),"&gt;=-2",INDIRECT("YES_Reading_"&amp;IF($F$4="Combined",{"ELA","FLA"},VLOOKUP($F$4,'Reading Report Logic'!$G$2:$H$4,2,FALSE))&amp;"[Difference - Per "&amp;VLOOKUP($C$4,'Reading Report Logic'!$A$2:$B$8,2,FALSE)&amp;"]"),"&lt;=-1",INDIRECT("YES_Reading_"&amp;IF($F$4="Combined",{"ELA","FLA"},VLOOKUP($F$4,'Reading Report Logic'!$G$2:$H$4,2,FALSE))&amp;"[HomeRoom]"),$A43))</f>
        <v>0</v>
      </c>
      <c r="E43" s="85" t="str">
        <f t="shared" ca="1" si="6"/>
        <v/>
      </c>
      <c r="F43" s="84" cm="1">
        <f t="array" aca="1" ref="F4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Logic'!$A$2:$B$8,2,FALSE)&amp;"]"),"=0",INDIRECT("YES_Reading_"&amp;IF($F$4="Combined",{"ELA","FLA"},VLOOKUP($F$4,'Reading Report Logic'!$G$2:$H$4,2,FALSE))&amp;"[HomeRoom]"),$A43))</f>
        <v>0</v>
      </c>
      <c r="G43" s="85" t="str">
        <f t="shared" ca="1" si="7"/>
        <v/>
      </c>
      <c r="H43" s="84" cm="1">
        <f t="array" aca="1" ref="H43" ca="1">SUM(COUNTIFS(INDIRECT("YES_Reading_"&amp;IF($F$4="Combined",{"ELA","FLA"},VLOOKUP($F$4,'Reading Report Logic'!$G$2:$H$4,2,FALSE))&amp;"[School]"),IF($C$3="TCRCE","*",$C$3),INDIRECT("YES_Reading_"&amp;IF($F$4="Combined",{"ELA","FLA"},VLOOKUP($F$4,'Reading Report Logic'!$G$2:$H$4,2,FALSE))&amp;"[Literacy IPP]"),"&lt;&gt;Yes",INDIRECT("YES_Reading_"&amp;IF($F$4="Combined",{"ELA","FLA"},VLOOKUP($F$4,'Reading Report Logic'!$G$2:$H$4,2,FALSE))&amp;"[Difference - Per "&amp;VLOOKUP($C$4,'Reading Report Logic'!$A$2:$B$8,2,FALSE)&amp;"]"),"&gt;0",INDIRECT("YES_Reading_"&amp;IF($F$4="Combined",{"ELA","FLA"},VLOOKUP($F$4,'Reading Report Logic'!$G$2:$H$4,2,FALSE))&amp;"[HomeRoom]"),$A43))</f>
        <v>0</v>
      </c>
      <c r="I43" s="85" t="str">
        <f t="shared" ca="1" si="8"/>
        <v/>
      </c>
    </row>
  </sheetData>
  <mergeCells count="14">
    <mergeCell ref="C3:G3"/>
    <mergeCell ref="E5:G5"/>
    <mergeCell ref="A1:I1"/>
    <mergeCell ref="H8:I8"/>
    <mergeCell ref="C4:D4"/>
    <mergeCell ref="B5:D5"/>
    <mergeCell ref="B19:C19"/>
    <mergeCell ref="D19:E19"/>
    <mergeCell ref="F19:G19"/>
    <mergeCell ref="H19:I19"/>
    <mergeCell ref="A7:I7"/>
    <mergeCell ref="B8:C8"/>
    <mergeCell ref="D8:E8"/>
    <mergeCell ref="F8:G8"/>
  </mergeCells>
  <pageMargins left="0.25" right="0.25" top="0.75" bottom="0.75" header="0.3" footer="0.3"/>
  <pageSetup fitToHeight="0"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26C5B8C-751B-4084-B2CC-46714A1525C9}">
          <x14:formula1>
            <xm:f>'Reading Report Logic'!$G$2:$G$4</xm:f>
          </x14:formula1>
          <xm:sqref>F4</xm:sqref>
        </x14:dataValidation>
        <x14:dataValidation type="list" allowBlank="1" showInputMessage="1" showErrorMessage="1" xr:uid="{627224BE-EF14-4F93-8F42-85693BA3F35B}">
          <x14:formula1>
            <xm:f>'Reading Report Logic'!$A$12:$A$28</xm:f>
          </x14:formula1>
          <xm:sqref>C3</xm:sqref>
        </x14:dataValidation>
        <x14:dataValidation type="list" allowBlank="1" showInputMessage="1" showErrorMessage="1" xr:uid="{73B28461-D327-47F7-BB30-2F7A9146B11B}">
          <x14:formula1>
            <xm:f>'Reading Report Logic'!$A$2:$A$8</xm:f>
          </x14:formula1>
          <xm:sqref>C4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95D08-80D7-4BC1-B3A1-6179C64F2E49}">
  <dimension ref="A1:M1011"/>
  <sheetViews>
    <sheetView zoomScaleNormal="100" workbookViewId="0">
      <selection activeCell="B9" sqref="B9"/>
    </sheetView>
  </sheetViews>
  <sheetFormatPr defaultRowHeight="15" x14ac:dyDescent="0.25"/>
  <cols>
    <col min="1" max="1" width="11.7109375" customWidth="1"/>
    <col min="2" max="2" width="28.7109375" customWidth="1"/>
    <col min="3" max="4" width="5.7109375" customWidth="1"/>
    <col min="5" max="5" width="0.140625" hidden="1" customWidth="1"/>
    <col min="6" max="6" width="5.7109375" hidden="1" customWidth="1"/>
    <col min="7" max="7" width="5.7109375" customWidth="1"/>
    <col min="8" max="8" width="9.140625" customWidth="1"/>
    <col min="9" max="10" width="19.140625" customWidth="1"/>
    <col min="11" max="12" width="6.7109375" hidden="1" customWidth="1"/>
  </cols>
  <sheetData>
    <row r="1" spans="1:13" x14ac:dyDescent="0.25">
      <c r="A1" s="46"/>
      <c r="B1" s="46"/>
      <c r="C1" s="46" t="s">
        <v>173</v>
      </c>
      <c r="D1" s="310" t="s">
        <v>90</v>
      </c>
      <c r="E1" s="310"/>
      <c r="F1" s="310"/>
      <c r="G1" s="310"/>
      <c r="H1" s="310"/>
      <c r="I1" s="310"/>
    </row>
    <row r="2" spans="1:13" x14ac:dyDescent="0.25">
      <c r="A2" s="46"/>
      <c r="B2" s="46"/>
      <c r="C2" s="46" t="s">
        <v>191</v>
      </c>
      <c r="D2" s="359" t="s">
        <v>330</v>
      </c>
      <c r="E2" s="359"/>
      <c r="F2" s="359"/>
      <c r="G2" s="359"/>
      <c r="H2" s="43"/>
      <c r="I2" s="46" t="s">
        <v>176</v>
      </c>
      <c r="J2" s="45" t="s">
        <v>177</v>
      </c>
    </row>
    <row r="3" spans="1:13" x14ac:dyDescent="0.25">
      <c r="A3" s="86"/>
      <c r="C3" s="46" t="s">
        <v>239</v>
      </c>
      <c r="D3" s="360"/>
      <c r="E3" s="360"/>
      <c r="F3" s="360"/>
      <c r="G3" s="360"/>
      <c r="H3" s="86" t="s">
        <v>180</v>
      </c>
      <c r="I3" s="337">
        <f ca="1">NOW()</f>
        <v>46168.387202314814</v>
      </c>
      <c r="J3" s="337"/>
      <c r="M3" s="186"/>
    </row>
    <row r="4" spans="1:13" ht="15.75" thickBot="1" x14ac:dyDescent="0.3">
      <c r="A4" s="363" t="s">
        <v>240</v>
      </c>
      <c r="B4" s="335"/>
      <c r="C4" s="335"/>
      <c r="D4" s="335"/>
      <c r="E4" s="335"/>
      <c r="F4" s="335"/>
      <c r="G4" s="335"/>
      <c r="H4" s="335"/>
      <c r="I4" s="335"/>
      <c r="J4" s="335"/>
      <c r="M4" s="186"/>
    </row>
    <row r="5" spans="1:13" x14ac:dyDescent="0.25">
      <c r="A5" s="185"/>
      <c r="B5" s="214" t="s">
        <v>241</v>
      </c>
      <c r="C5" s="214"/>
      <c r="D5" s="215" t="str" cm="1">
        <f t="array" ref="D5">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f>
        <v/>
      </c>
      <c r="E5" s="215"/>
      <c r="F5" s="215"/>
      <c r="G5" s="215"/>
      <c r="H5" s="355" t="s">
        <v>242</v>
      </c>
      <c r="I5" s="356"/>
      <c r="J5" s="215"/>
    </row>
    <row r="6" spans="1:13" x14ac:dyDescent="0.25">
      <c r="A6" s="185"/>
      <c r="B6" s="214" t="str">
        <f>"Date: "&amp;$D$3</f>
        <v xml:space="preserve">Date: </v>
      </c>
      <c r="C6" s="214"/>
      <c r="D6" s="215"/>
      <c r="E6" s="215"/>
      <c r="F6" s="215"/>
      <c r="G6" s="215"/>
      <c r="H6" s="357" t="s">
        <v>243</v>
      </c>
      <c r="I6" s="358"/>
      <c r="J6" s="215"/>
    </row>
    <row r="7" spans="1:13" ht="15.75" thickBot="1" x14ac:dyDescent="0.3">
      <c r="A7" s="186"/>
      <c r="B7" s="215"/>
      <c r="C7" s="215"/>
      <c r="D7" s="215"/>
      <c r="E7" s="215"/>
      <c r="F7" s="215"/>
      <c r="G7" s="215"/>
      <c r="H7" s="353" t="s">
        <v>244</v>
      </c>
      <c r="I7" s="354"/>
      <c r="J7" s="215"/>
    </row>
    <row r="8" spans="1:13" ht="85.5" customHeight="1" thickBot="1" x14ac:dyDescent="0.3">
      <c r="A8" s="192" t="s">
        <v>44</v>
      </c>
      <c r="B8" s="193" t="s">
        <v>245</v>
      </c>
      <c r="C8" s="195" t="s">
        <v>246</v>
      </c>
      <c r="D8" s="188" t="s">
        <v>247</v>
      </c>
      <c r="E8" s="188" t="s">
        <v>248</v>
      </c>
      <c r="F8" s="188" t="s">
        <v>249</v>
      </c>
      <c r="G8" s="188" t="s">
        <v>250</v>
      </c>
      <c r="H8" s="196" t="s">
        <v>251</v>
      </c>
      <c r="I8" s="194" t="s">
        <v>252</v>
      </c>
      <c r="J8" s="191" t="s">
        <v>253</v>
      </c>
      <c r="K8" s="200" t="s">
        <v>254</v>
      </c>
      <c r="L8" s="201" t="s">
        <v>255</v>
      </c>
    </row>
    <row r="9" spans="1:13" ht="19.5" customHeight="1" x14ac:dyDescent="0.25">
      <c r="A9" s="216" t="e" cm="1" vm="1">
        <f t="array" aca="1" ref="A9" ca="1">_xlfn._xlws.FILTER(_xlfn.VSTACK(YES_Reading_ELA[Student Number],YES_Reading_FLA[Student Number]),_xlfn.VSTACK(YES_Reading_ELA[HomeRoom],YES_Reading_FLA[Homeroom])=D5)</f>
        <v>#VALUE!</v>
      </c>
      <c r="B9" s="219" t="str">
        <f ca="1">IFERROR(VLOOKUP(A9,_xlfn.VSTACK(YES_Reading_ELA[],YES_Reading_FLA[]),2,FALSE),"")</f>
        <v/>
      </c>
      <c r="C9" s="203"/>
      <c r="D9" s="204" t="str" cm="1">
        <f t="array" aca="1" ref="D9" ca="1">IFERROR(
IF($J$2="ELA",
IF(VLOOKUP($A9, YES_Reading_ELA[], COLUMN(INDIRECT("YES_Reading_ELA[Instructional Reading Level - Per "&amp;VLOOKUP($D$2, 'Reading Report Logic'!$A$2:$B$8, 2, FALSE)&amp;"]")), FALSE)="", "",
VLOOKUP($A9,YES_Reading_ELA[], COLUMN(INDIRECT("YES_Reading_ELA[Instructional Reading Level - Per "&amp;VLOOKUP($D$2,'Reading Report Logic'!$A$2:$B$8,2,FALSE)&amp;"]")), FALSE)),
IF($J$2="FLA",
IF(VLOOKUP($A9, YES_Reading_FLA[], COLUMN(INDIRECT("YES_Reading_FLA[Instructional Reading Level - Per "&amp;VLOOKUP($D$2,'Reading Report Logic'!$A$2:$B$8,2,FALSE)&amp;"]")),FALSE)="","",
VLOOKUP($A9,YES_Reading_FLA[],COLUMN(INDIRECT("YES_Reading_FLA[Instructional Reading Level - Per "&amp;VLOOKUP($D$2,'Reading Report Logic'!$A$2:$B$8,2,FALSE)&amp;"]")),FALSE)),
IF($J$2="Combined",
IFERROR(
IF(VLOOKUP($A9, YES_Reading_ELA[], COLUMN(INDIRECT("YES_Reading_ELA[Instructional Reading Level - Per "&amp;VLOOKUP($D$2, 'Reading Report Logic'!$A$2:$B$8,2,FALSE)&amp;"]")), FALSE)="", "",
VLOOKUP($A9,YES_Reading_ELA[],COLUMN(INDIRECT("YES_Reading_ELA[Instructional Reading Level - Per "&amp;VLOOKUP($D$2,'Reading Report Logic'!$A$2:$B$8,2,FALSE)&amp;"]")),FALSE)),
IF(VLOOKUP($A9, YES_Reading_FLA[], COLUMN(INDIRECT("YES_Reading_FLA[Instructional Reading Level - Per "&amp;VLOOKUP($D$2, 'Reading Report Logic'!$A$2:$B$8, 2, FALSE)&amp;"]")),FALSE)="", "", VLOOKUP($A9,YES_Reading_FLA[],COLUMN(INDIRECT("YES_Reading_FLA[Instructional Reading Level - Per "&amp;VLOOKUP($D$2, 'Reading Report Logic'!$A$2:$B$8, 2, FALSE)&amp;"]")),FALSE))),""))),"")</f>
        <v/>
      </c>
      <c r="E9" s="205" t="str" cm="1">
        <f t="array" aca="1" ref="E9" ca="1">IFERROR(
IF($J$2="ELA",
IF(VLOOKUP($A9, YES_Reading_ELA[], COLUMN(INDIRECT("YES_Reading_ELA[Min Expectation - Per "&amp;VLOOKUP($D$2, 'Reading Report Logic'!$A$2:$B$8, 2, FALSE)&amp;"]")), FALSE)="", "",
VLOOKUP($A9,YES_Reading_ELA[], COLUMN(INDIRECT("YES_Reading_ELA[Min Expectation - Per "&amp;VLOOKUP($D$2,'Reading Report Logic'!$A$2:$B$8,2,FALSE)&amp;"]")), FALSE)),
IF($J$2="FLA",
IF(VLOOKUP($A9, YES_Reading_FLA[], COLUMN(INDIRECT("YES_Reading_FLA[Min Expectation - Per "&amp;VLOOKUP($D$2,'Reading Report Logic'!$A$2:$B$8,2,FALSE)&amp;"]")),FALSE)="","",
VLOOKUP($A9,YES_Reading_FLA[],COLUMN(INDIRECT("YES_Reading_FLA[Min Expectation - Per "&amp;VLOOKUP($D$2,'Reading Report Logic'!$A$2:$B$8,2,FALSE)&amp;"]")),FALSE)),
IF($J$2="Combined",
IFERROR(
IF(VLOOKUP($A9, YES_Reading_ELA[], COLUMN(INDIRECT("YES_Reading_ELA[Min Expectation - Per "&amp;VLOOKUP($D$2, 'Reading Report Logic'!$A$2:$B$8,2,FALSE)&amp;"]")), FALSE)="", "",
VLOOKUP($A9,YES_Reading_ELA[],COLUMN(INDIRECT("YES_Reading_ELA[Min Expectation - Per "&amp;VLOOKUP($D$2,'Reading Report Logic'!$A$2:$B$8,2,FALSE)&amp;"]")),FALSE)),
IF(VLOOKUP($A9, YES_Reading_FLA[], COLUMN(INDIRECT("YES_Reading_FLA[Min Expectation - Per "&amp;VLOOKUP($D$2, 'Reading Report Logic'!$A$2:$B$8, 2, FALSE)&amp;"]")),FALSE)="", "", VLOOKUP($A9,YES_Reading_FLA[],COLUMN(INDIRECT("YES_Reading_FLA[Min Expectation - Per "&amp;VLOOKUP($D$2, 'Reading Report Logic'!$A$2:$B$8, 2, FALSE)&amp;"]")),FALSE))),""))),"")</f>
        <v/>
      </c>
      <c r="F9" s="205" t="str" cm="1">
        <f t="array" aca="1" ref="F9" ca="1">IFERROR(
IF($J$2="ELA",
IF(VLOOKUP($A9, YES_Reading_ELA[], COLUMN(INDIRECT("YES_Reading_ELA[Max Expectation - Per "&amp;VLOOKUP($D$2, 'Reading Report Logic'!$A$2:$B$8, 2, FALSE)&amp;"]")), FALSE)="", "",
VLOOKUP($A9,YES_Reading_ELA[], COLUMN(INDIRECT("YES_Reading_ELA[Max Expectation - Per "&amp;VLOOKUP($D$2,'Reading Report Logic'!$A$2:$B$8,2,FALSE)&amp;"]")), FALSE)),
IF($J$2="FLA",
IF(VLOOKUP($A9, YES_Reading_FLA[], COLUMN(INDIRECT("YES_Reading_FLA[Max Expectation - Per "&amp;VLOOKUP($D$2,'Reading Report Logic'!$A$2:$B$8,2,FALSE)&amp;"]")),FALSE)="","",
VLOOKUP($A9,YES_Reading_FLA[],COLUMN(INDIRECT("YES_Reading_FLA[Max Expectation - Per "&amp;VLOOKUP($D$2,'Reading Report Logic'!$A$2:$B$8,2,FALSE)&amp;"]")),FALSE)),
IF($J$2="Combined",
IFERROR(
IF(VLOOKUP($A9, YES_Reading_ELA[], COLUMN(INDIRECT("YES_Reading_ELA[Max Expectation - Per "&amp;VLOOKUP($D$2, 'Reading Report Logic'!$A$2:$B$8,2,FALSE)&amp;"]")), FALSE)="", "",
VLOOKUP($A9,YES_Reading_ELA[],COLUMN(INDIRECT("YES_Reading_ELA[Max Expectation - Per "&amp;VLOOKUP($D$2,'Reading Report Logic'!$A$2:$B$8,2,FALSE)&amp;"]")),FALSE)),
IF(VLOOKUP($A9, YES_Reading_FLA[], COLUMN(INDIRECT("YES_Reading_FLA[Max Expectation - Per "&amp;VLOOKUP($D$2, 'Reading Report Logic'!$A$2:$B$8, 2, FALSE)&amp;"]")),FALSE)="", "", VLOOKUP($A9,YES_Reading_FLA[],COLUMN(INDIRECT("YES_Reading_FLA[Max Expectation - Per "&amp;VLOOKUP($D$2, 'Reading Report Logic'!$A$2:$B$8, 2, FALSE)&amp;"]")),FALSE))),""))),"")</f>
        <v/>
      </c>
      <c r="G9" s="205" t="str" cm="1">
        <f t="array" aca="1" ref="G9" ca="1">IFERROR(
IF($J$2="ELA",
IF(VLOOKUP($A9, YES_Reading_ELA[], COLUMN(INDIRECT("YES_Reading_ELA[Difference - Per "&amp;VLOOKUP($D$2, 'Reading Report Logic'!$A$2:$B$8, 2, FALSE)&amp;"]")), FALSE)="", "",
VLOOKUP($A9,YES_Reading_ELA[], COLUMN(INDIRECT("YES_Reading_ELA[Difference - Per "&amp;VLOOKUP($D$2,'Reading Report Logic'!$A$2:$B$8,2,FALSE)&amp;"]")), FALSE)),
IF($J$2="FLA",
IF(VLOOKUP($A9, YES_Reading_FLA[], COLUMN(INDIRECT("YES_Reading_FLA[Difference - Per "&amp;VLOOKUP($D$2,'Reading Report Logic'!$A$2:$B$8,2,FALSE)&amp;"]")),FALSE)="","",
VLOOKUP($A9,YES_Reading_FLA[],COLUMN(INDIRECT("YES_Reading_FLA[Difference - Per "&amp;VLOOKUP($D$2,'Reading Report Logic'!$A$2:$B$8,2,FALSE)&amp;"]")),FALSE)),
IF($J$2="Combined",
IFERROR(
IF(VLOOKUP($A9, YES_Reading_ELA[], COLUMN(INDIRECT("YES_Reading_ELA[Difference - Per "&amp;VLOOKUP($D$2, 'Reading Report Logic'!$A$2:$B$8,2,FALSE)&amp;"]")), FALSE)="", "",
VLOOKUP($A9,YES_Reading_ELA[],COLUMN(INDIRECT("YES_Reading_ELA[Difference - Per "&amp;VLOOKUP($D$2,'Reading Report Logic'!$A$2:$B$8,2,FALSE)&amp;"]")),FALSE)),
IF(VLOOKUP($A9, YES_Reading_FLA[], COLUMN(INDIRECT("YES_Reading_FLA[Difference - Per "&amp;VLOOKUP($D$2, 'Reading Report Logic'!$A$2:$B$8, 2, FALSE)&amp;"]")),FALSE)="", "", VLOOKUP($A9,YES_Reading_FLA[],COLUMN(INDIRECT("YES_Reading_FLA[Difference - Per "&amp;VLOOKUP($D$2, 'Reading Report Logic'!$A$2:$B$8, 2, FALSE)&amp;"]")),FALSE))),""))),"")</f>
        <v/>
      </c>
      <c r="H9" s="206" t="str">
        <f ca="1">IFERROR(VLOOKUP('Teacher Reading Pull Sheets'!$D9,_xlfn.VSTACK('ELA Reading Logic'!$A$22:$B$48,'FLA Reading Logic'!$A$22:$B$53),2,FALSE)-VLOOKUP('Teacher Reading Pull Sheets'!$C9,_xlfn.VSTACK('ELA Reading Logic'!$A$22:$B$48,'FLA Reading Logic'!$A$22:$B$53),2,FALSE),"")</f>
        <v/>
      </c>
      <c r="I9" s="235"/>
      <c r="J9" s="206"/>
      <c r="K9" s="24" t="str" cm="1">
        <f t="array" aca="1" ref="K9" ca="1">IFERROR(
IF($J$2="ELA",
IF(VLOOKUP($A9, YES_Reading_ELA[], COLUMN(YES_Reading_ELA[Self-Identified as African Descent]), FALSE)="", "",
VLOOKUP($A9,YES_Reading_ELA[], COLUMN(YES_Reading_ELA[Self-Identified as African Descent]), FALSE)),
IF($J$2="FLA",
IF(VLOOKUP($A9, YES_Reading_FLA[], COLUMN(YES_Reading_FLA[Self-Identified as African Descent]),FALSE)="","",
VLOOKUP($A9,YES_Reading_FLA[],COLUMN(YES_Reading_FLA[Self-Identified as African Descent]),FALSE)),
IF($J$2="Combined",
IFERROR(
IF(VLOOKUP($A9, YES_Reading_ELA[], COLUMN(YES_Reading_ELA[Self-Identified as African Descent]), FALSE)="", "",
VLOOKUP($A9,YES_Reading_ELA[],COLUMN(YES_Reading_ELA[Self-Identified as African Descent]),FALSE)),
IF(VLOOKUP($A9, YES_Reading_FLA[], COLUMN(YES_Reading_FLA[Self-Identified as African Descent]),FALSE)="", "", VLOOKUP($A9,YES_Reading_FLA[],COLUMN(YES_Reading_FLA[Self-Identified as African Descent]),FALSE))),""))),"")</f>
        <v/>
      </c>
      <c r="L9" s="199" t="str" cm="1">
        <f t="array" aca="1" ref="L9" ca="1">IFERROR(
IF($J$2="ELA",
IF(VLOOKUP($A9, YES_Reading_ELA[], COLUMN(YES_Reading_ELA[Self-Identified as Indigenous]), FALSE)="", "",
VLOOKUP($A9,YES_Reading_ELA[], COLUMN(YES_Reading_ELA[Self-Identified as Indigenous]), FALSE)),
IF($J$2="FLA",
IF(VLOOKUP($A9, YES_Reading_FLA[], COLUMN(YES_Reading_FLA[Self-Identified as Indigenous]),FALSE)="","",
VLOOKUP($A9,YES_Reading_FLA[],COLUMN(YES_Reading_FLA[Self-Identified as Indigenous]),FALSE)),
IF($J$2="Combined",
IFERROR(
IF(VLOOKUP($A9, YES_Reading_ELA[], COLUMN(YES_Reading_ELA[Self-Identified as Indigenous]), FALSE)="", "",
VLOOKUP($A9,YES_Reading_ELA[],COLUMN(YES_Reading_ELA[Self-Identified as Indigenous]),FALSE)),
IF(VLOOKUP($A9, YES_Reading_FLA[], COLUMN(YES_Reading_FLA[Self-Identified as Indigenous]),FALSE)="", "", VLOOKUP($A9,YES_Reading_FLA[],COLUMN(YES_Reading_FLA[Self-Identified as Indigenous]),FALSE))),""))),"")</f>
        <v/>
      </c>
    </row>
    <row r="10" spans="1:13" ht="19.5" customHeight="1" x14ac:dyDescent="0.25">
      <c r="A10" s="217"/>
      <c r="B10" s="220" t="str">
        <f>IFERROR(VLOOKUP(A10,_xlfn.VSTACK(YES_Reading_ELA[],YES_Reading_FLA[]),2,FALSE),"")</f>
        <v/>
      </c>
      <c r="C10" s="203"/>
      <c r="D10" s="204" t="str" cm="1">
        <f t="array" aca="1" ref="D10" ca="1">IFERROR(
IF($J$2="ELA",
IF(VLOOKUP($A10, YES_Reading_ELA[], COLUMN(INDIRECT("YES_Reading_ELA[Instructional Reading Level - Per "&amp;VLOOKUP($D$2, 'Reading Report Logic'!$A$2:$B$8, 2, FALSE)&amp;"]")), FALSE)="", "",
VLOOKUP($A10,YES_Reading_ELA[], COLUMN(INDIRECT("YES_Reading_ELA[Instructional Reading Level - Per "&amp;VLOOKUP($D$2,'Reading Report Logic'!$A$2:$B$8,2,FALSE)&amp;"]")), FALSE)),
IF($J$2="FLA",
IF(VLOOKUP($A10, YES_Reading_FLA[], COLUMN(INDIRECT("YES_Reading_FLA[Instructional Reading Level - Per "&amp;VLOOKUP($D$2,'Reading Report Logic'!$A$2:$B$8,2,FALSE)&amp;"]")),FALSE)="","",
VLOOKUP($A10,YES_Reading_FLA[],COLUMN(INDIRECT("YES_Reading_FLA[Instructional Reading Level - Per "&amp;VLOOKUP($D$2,'Reading Report Logic'!$A$2:$B$8,2,FALSE)&amp;"]")),FALSE)),
IF($J$2="Combined",
IFERROR(
IF(VLOOKUP($A10, YES_Reading_ELA[], COLUMN(INDIRECT("YES_Reading_ELA[Instructional Reading Level - Per "&amp;VLOOKUP($D$2, 'Reading Report Logic'!$A$2:$B$8,2,FALSE)&amp;"]")), FALSE)="", "",
VLOOKUP($A10,YES_Reading_ELA[],COLUMN(INDIRECT("YES_Reading_ELA[Instructional Reading Level - Per "&amp;VLOOKUP($D$2,'Reading Report Logic'!$A$2:$B$8,2,FALSE)&amp;"]")),FALSE)),
IF(VLOOKUP($A10, YES_Reading_FLA[], COLUMN(INDIRECT("YES_Reading_FLA[Instructional Reading Level - Per "&amp;VLOOKUP($D$2, 'Reading Report Logic'!$A$2:$B$8, 2, FALSE)&amp;"]")),FALSE)="", "", VLOOKUP($A10,YES_Reading_FLA[],COLUMN(INDIRECT("YES_Reading_FLA[Instructional Reading Level - Per "&amp;VLOOKUP($D$2, 'Reading Report Logic'!$A$2:$B$8, 2, FALSE)&amp;"]")),FALSE))),""))),"")</f>
        <v/>
      </c>
      <c r="E10" s="205" t="str" cm="1">
        <f t="array" aca="1" ref="E10" ca="1">IFERROR(
IF($J$2="ELA",
IF(VLOOKUP($A10, YES_Reading_ELA[], COLUMN(INDIRECT("YES_Reading_ELA[Min Expectation - Per "&amp;VLOOKUP($D$2, 'Reading Report Logic'!$A$2:$B$8, 2, FALSE)&amp;"]")), FALSE)="", "",
VLOOKUP($A10,YES_Reading_ELA[], COLUMN(INDIRECT("YES_Reading_ELA[Min Expectation - Per "&amp;VLOOKUP($D$2,'Reading Report Logic'!$A$2:$B$8,2,FALSE)&amp;"]")), FALSE)),
IF($J$2="FLA",
IF(VLOOKUP($A10, YES_Reading_FLA[], COLUMN(INDIRECT("YES_Reading_FLA[Min Expectation - Per "&amp;VLOOKUP($D$2,'Reading Report Logic'!$A$2:$B$8,2,FALSE)&amp;"]")),FALSE)="","",
VLOOKUP($A10,YES_Reading_FLA[],COLUMN(INDIRECT("YES_Reading_FLA[Min Expectation - Per "&amp;VLOOKUP($D$2,'Reading Report Logic'!$A$2:$B$8,2,FALSE)&amp;"]")),FALSE)),
IF($J$2="Combined",
IFERROR(
IF(VLOOKUP($A10, YES_Reading_ELA[], COLUMN(INDIRECT("YES_Reading_ELA[Min Expectation - Per "&amp;VLOOKUP($D$2, 'Reading Report Logic'!$A$2:$B$8,2,FALSE)&amp;"]")), FALSE)="", "",
VLOOKUP($A10,YES_Reading_ELA[],COLUMN(INDIRECT("YES_Reading_ELA[Min Expectation - Per "&amp;VLOOKUP($D$2,'Reading Report Logic'!$A$2:$B$8,2,FALSE)&amp;"]")),FALSE)),
IF(VLOOKUP($A10, YES_Reading_FLA[], COLUMN(INDIRECT("YES_Reading_FLA[Min Expectation - Per "&amp;VLOOKUP($D$2, 'Reading Report Logic'!$A$2:$B$8, 2, FALSE)&amp;"]")),FALSE)="", "", VLOOKUP($A10,YES_Reading_FLA[],COLUMN(INDIRECT("YES_Reading_FLA[Min Expectation - Per "&amp;VLOOKUP($D$2, 'Reading Report Logic'!$A$2:$B$8, 2, FALSE)&amp;"]")),FALSE))),""))),"")</f>
        <v/>
      </c>
      <c r="F10" s="205" t="str" cm="1">
        <f t="array" aca="1" ref="F10" ca="1">IFERROR(
IF($J$2="ELA",
IF(VLOOKUP($A10, YES_Reading_ELA[], COLUMN(INDIRECT("YES_Reading_ELA[Max Expectation - Per "&amp;VLOOKUP($D$2, 'Reading Report Logic'!$A$2:$B$8, 2, FALSE)&amp;"]")), FALSE)="", "",
VLOOKUP($A10,YES_Reading_ELA[], COLUMN(INDIRECT("YES_Reading_ELA[Max Expectation - Per "&amp;VLOOKUP($D$2,'Reading Report Logic'!$A$2:$B$8,2,FALSE)&amp;"]")), FALSE)),
IF($J$2="FLA",
IF(VLOOKUP($A10, YES_Reading_FLA[], COLUMN(INDIRECT("YES_Reading_FLA[Max Expectation - Per "&amp;VLOOKUP($D$2,'Reading Report Logic'!$A$2:$B$8,2,FALSE)&amp;"]")),FALSE)="","",
VLOOKUP($A10,YES_Reading_FLA[],COLUMN(INDIRECT("YES_Reading_FLA[Max Expectation - Per "&amp;VLOOKUP($D$2,'Reading Report Logic'!$A$2:$B$8,2,FALSE)&amp;"]")),FALSE)),
IF($J$2="Combined",
IFERROR(
IF(VLOOKUP($A10, YES_Reading_ELA[], COLUMN(INDIRECT("YES_Reading_ELA[Max Expectation - Per "&amp;VLOOKUP($D$2, 'Reading Report Logic'!$A$2:$B$8,2,FALSE)&amp;"]")), FALSE)="", "",
VLOOKUP($A10,YES_Reading_ELA[],COLUMN(INDIRECT("YES_Reading_ELA[Max Expectation - Per "&amp;VLOOKUP($D$2,'Reading Report Logic'!$A$2:$B$8,2,FALSE)&amp;"]")),FALSE)),
IF(VLOOKUP($A10, YES_Reading_FLA[], COLUMN(INDIRECT("YES_Reading_FLA[Max Expectation - Per "&amp;VLOOKUP($D$2, 'Reading Report Logic'!$A$2:$B$8, 2, FALSE)&amp;"]")),FALSE)="", "", VLOOKUP($A10,YES_Reading_FLA[],COLUMN(INDIRECT("YES_Reading_FLA[Max Expectation - Per "&amp;VLOOKUP($D$2, 'Reading Report Logic'!$A$2:$B$8, 2, FALSE)&amp;"]")),FALSE))),""))),"")</f>
        <v/>
      </c>
      <c r="G10" s="205" t="str" cm="1">
        <f t="array" aca="1" ref="G10" ca="1">IFERROR(
IF($J$2="ELA",
IF(VLOOKUP($A10, YES_Reading_ELA[], COLUMN(INDIRECT("YES_Reading_ELA[Difference - Per "&amp;VLOOKUP($D$2, 'Reading Report Logic'!$A$2:$B$8, 2, FALSE)&amp;"]")), FALSE)="", "",
VLOOKUP($A10,YES_Reading_ELA[], COLUMN(INDIRECT("YES_Reading_ELA[Difference - Per "&amp;VLOOKUP($D$2,'Reading Report Logic'!$A$2:$B$8,2,FALSE)&amp;"]")), FALSE)),
IF($J$2="FLA",
IF(VLOOKUP($A10, YES_Reading_FLA[], COLUMN(INDIRECT("YES_Reading_FLA[Difference - Per "&amp;VLOOKUP($D$2,'Reading Report Logic'!$A$2:$B$8,2,FALSE)&amp;"]")),FALSE)="","",
VLOOKUP($A10,YES_Reading_FLA[],COLUMN(INDIRECT("YES_Reading_FLA[Difference - Per "&amp;VLOOKUP($D$2,'Reading Report Logic'!$A$2:$B$8,2,FALSE)&amp;"]")),FALSE)),
IF($J$2="Combined",
IFERROR(
IF(VLOOKUP($A10, YES_Reading_ELA[], COLUMN(INDIRECT("YES_Reading_ELA[Difference - Per "&amp;VLOOKUP($D$2, 'Reading Report Logic'!$A$2:$B$8,2,FALSE)&amp;"]")), FALSE)="", "",
VLOOKUP($A10,YES_Reading_ELA[],COLUMN(INDIRECT("YES_Reading_ELA[Difference - Per "&amp;VLOOKUP($D$2,'Reading Report Logic'!$A$2:$B$8,2,FALSE)&amp;"]")),FALSE)),
IF(VLOOKUP($A10, YES_Reading_FLA[], COLUMN(INDIRECT("YES_Reading_FLA[Difference - Per "&amp;VLOOKUP($D$2, 'Reading Report Logic'!$A$2:$B$8, 2, FALSE)&amp;"]")),FALSE)="", "", VLOOKUP($A10,YES_Reading_FLA[],COLUMN(INDIRECT("YES_Reading_FLA[Difference - Per "&amp;VLOOKUP($D$2, 'Reading Report Logic'!$A$2:$B$8, 2, FALSE)&amp;"]")),FALSE))),""))),"")</f>
        <v/>
      </c>
      <c r="H10" s="206" t="str">
        <f ca="1">IFERROR(VLOOKUP('Teacher Reading Pull Sheets'!$D10,_xlfn.VSTACK('ELA Reading Logic'!$A$22:$B$48,'FLA Reading Logic'!$A$22:$B$53),2,FALSE)-VLOOKUP('Teacher Reading Pull Sheets'!$C10,_xlfn.VSTACK('ELA Reading Logic'!$A$22:$B$48,'FLA Reading Logic'!$A$22:$B$53),2,FALSE),"")</f>
        <v/>
      </c>
      <c r="I10" s="207"/>
      <c r="J10" s="206"/>
      <c r="K10" s="197" t="str" cm="1">
        <f t="array" ref="K10">IFERROR(
IF($J$2="ELA",
IF(VLOOKUP($A10, YES_Reading_ELA[], COLUMN(YES_Reading_ELA[Self-Identified as African Descent]), FALSE)="", "",
VLOOKUP($A10,YES_Reading_ELA[], COLUMN(YES_Reading_ELA[Self-Identified as African Descent]), FALSE)),
IF($J$2="FLA",
IF(VLOOKUP($A10, YES_Reading_FLA[], COLUMN(YES_Reading_FLA[Self-Identified as African Descent]),FALSE)="","",
VLOOKUP($A10,YES_Reading_FLA[],COLUMN(YES_Reading_FLA[Self-Identified as African Descent]),FALSE)),
IF($J$2="Combined",
IFERROR(
IF(VLOOKUP($A10, YES_Reading_ELA[], COLUMN(YES_Reading_ELA[Self-Identified as African Descent]), FALSE)="", "",
VLOOKUP($A10,YES_Reading_ELA[],COLUMN(YES_Reading_ELA[Self-Identified as African Descent]),FALSE)),
IF(VLOOKUP($A10, YES_Reading_FLA[], COLUMN(YES_Reading_FLA[Self-Identified as African Descent]),FALSE)="", "", VLOOKUP($A10,YES_Reading_FLA[],COLUMN(YES_Reading_FLA[Self-Identified as African Descent]),FALSE))),""))),"")</f>
        <v/>
      </c>
      <c r="L10" s="73" t="str" cm="1">
        <f t="array" ref="L10">IFERROR(
IF($J$2="ELA",
IF(VLOOKUP($A10, YES_Reading_ELA[], COLUMN(YES_Reading_ELA[Self-Identified as Indigenous]), FALSE)="", "",
VLOOKUP($A10,YES_Reading_ELA[], COLUMN(YES_Reading_ELA[Self-Identified as Indigenous]), FALSE)),
IF($J$2="FLA",
IF(VLOOKUP($A10, YES_Reading_FLA[], COLUMN(YES_Reading_FLA[Self-Identified as Indigenous]),FALSE)="","",
VLOOKUP($A10,YES_Reading_FLA[],COLUMN(YES_Reading_FLA[Self-Identified as Indigenous]),FALSE)),
IF($J$2="Combined",
IFERROR(
IF(VLOOKUP($A10, YES_Reading_ELA[], COLUMN(YES_Reading_ELA[Self-Identified as Indigenous]), FALSE)="", "",
VLOOKUP($A10,YES_Reading_ELA[],COLUMN(YES_Reading_ELA[Self-Identified as Indigenous]),FALSE)),
IF(VLOOKUP($A10, YES_Reading_FLA[], COLUMN(YES_Reading_FLA[Self-Identified as Indigenous]),FALSE)="", "", VLOOKUP($A10,YES_Reading_FLA[],COLUMN(YES_Reading_FLA[Self-Identified as Indigenous]),FALSE))),""))),"")</f>
        <v/>
      </c>
    </row>
    <row r="11" spans="1:13" ht="19.5" customHeight="1" x14ac:dyDescent="0.25">
      <c r="A11" s="217"/>
      <c r="B11" s="220" t="str">
        <f>IFERROR(VLOOKUP(A11,_xlfn.VSTACK(YES_Reading_ELA[],YES_Reading_FLA[]),2,FALSE),"")</f>
        <v/>
      </c>
      <c r="C11" s="203"/>
      <c r="D11" s="204" t="str" cm="1">
        <f t="array" aca="1" ref="D11" ca="1">IFERROR(
IF($J$2="ELA",
IF(VLOOKUP($A11, YES_Reading_ELA[], COLUMN(INDIRECT("YES_Reading_ELA[Instructional Reading Level - Per "&amp;VLOOKUP($D$2, 'Reading Report Logic'!$A$2:$B$8, 2, FALSE)&amp;"]")), FALSE)="", "",
VLOOKUP($A11,YES_Reading_ELA[], COLUMN(INDIRECT("YES_Reading_ELA[Instructional Reading Level - Per "&amp;VLOOKUP($D$2,'Reading Report Logic'!$A$2:$B$8,2,FALSE)&amp;"]")), FALSE)),
IF($J$2="FLA",
IF(VLOOKUP($A11, YES_Reading_FLA[], COLUMN(INDIRECT("YES_Reading_FLA[Instructional Reading Level - Per "&amp;VLOOKUP($D$2,'Reading Report Logic'!$A$2:$B$8,2,FALSE)&amp;"]")),FALSE)="","",
VLOOKUP($A11,YES_Reading_FLA[],COLUMN(INDIRECT("YES_Reading_FLA[Instructional Reading Level - Per "&amp;VLOOKUP($D$2,'Reading Report Logic'!$A$2:$B$8,2,FALSE)&amp;"]")),FALSE)),
IF($J$2="Combined",
IFERROR(
IF(VLOOKUP($A11, YES_Reading_ELA[], COLUMN(INDIRECT("YES_Reading_ELA[Instructional Reading Level - Per "&amp;VLOOKUP($D$2, 'Reading Report Logic'!$A$2:$B$8,2,FALSE)&amp;"]")), FALSE)="", "",
VLOOKUP($A11,YES_Reading_ELA[],COLUMN(INDIRECT("YES_Reading_ELA[Instructional Reading Level - Per "&amp;VLOOKUP($D$2,'Reading Report Logic'!$A$2:$B$8,2,FALSE)&amp;"]")),FALSE)),
IF(VLOOKUP($A11, YES_Reading_FLA[], COLUMN(INDIRECT("YES_Reading_FLA[Instructional Reading Level - Per "&amp;VLOOKUP($D$2, 'Reading Report Logic'!$A$2:$B$8, 2, FALSE)&amp;"]")),FALSE)="", "", VLOOKUP($A11,YES_Reading_FLA[],COLUMN(INDIRECT("YES_Reading_FLA[Instructional Reading Level - Per "&amp;VLOOKUP($D$2, 'Reading Report Logic'!$A$2:$B$8, 2, FALSE)&amp;"]")),FALSE))),""))),"")</f>
        <v/>
      </c>
      <c r="E11" s="205" t="str" cm="1">
        <f t="array" aca="1" ref="E11" ca="1">IFERROR(
IF($J$2="ELA",
IF(VLOOKUP($A11, YES_Reading_ELA[], COLUMN(INDIRECT("YES_Reading_ELA[Min Expectation - Per "&amp;VLOOKUP($D$2, 'Reading Report Logic'!$A$2:$B$8, 2, FALSE)&amp;"]")), FALSE)="", "",
VLOOKUP($A11,YES_Reading_ELA[], COLUMN(INDIRECT("YES_Reading_ELA[Min Expectation - Per "&amp;VLOOKUP($D$2,'Reading Report Logic'!$A$2:$B$8,2,FALSE)&amp;"]")), FALSE)),
IF($J$2="FLA",
IF(VLOOKUP($A11, YES_Reading_FLA[], COLUMN(INDIRECT("YES_Reading_FLA[Min Expectation - Per "&amp;VLOOKUP($D$2,'Reading Report Logic'!$A$2:$B$8,2,FALSE)&amp;"]")),FALSE)="","",
VLOOKUP($A11,YES_Reading_FLA[],COLUMN(INDIRECT("YES_Reading_FLA[Min Expectation - Per "&amp;VLOOKUP($D$2,'Reading Report Logic'!$A$2:$B$8,2,FALSE)&amp;"]")),FALSE)),
IF($J$2="Combined",
IFERROR(
IF(VLOOKUP($A11, YES_Reading_ELA[], COLUMN(INDIRECT("YES_Reading_ELA[Min Expectation - Per "&amp;VLOOKUP($D$2, 'Reading Report Logic'!$A$2:$B$8,2,FALSE)&amp;"]")), FALSE)="", "",
VLOOKUP($A11,YES_Reading_ELA[],COLUMN(INDIRECT("YES_Reading_ELA[Min Expectation - Per "&amp;VLOOKUP($D$2,'Reading Report Logic'!$A$2:$B$8,2,FALSE)&amp;"]")),FALSE)),
IF(VLOOKUP($A11, YES_Reading_FLA[], COLUMN(INDIRECT("YES_Reading_FLA[Min Expectation - Per "&amp;VLOOKUP($D$2, 'Reading Report Logic'!$A$2:$B$8, 2, FALSE)&amp;"]")),FALSE)="", "", VLOOKUP($A11,YES_Reading_FLA[],COLUMN(INDIRECT("YES_Reading_FLA[Min Expectation - Per "&amp;VLOOKUP($D$2, 'Reading Report Logic'!$A$2:$B$8, 2, FALSE)&amp;"]")),FALSE))),""))),"")</f>
        <v/>
      </c>
      <c r="F11" s="205" t="str" cm="1">
        <f t="array" aca="1" ref="F11" ca="1">IFERROR(
IF($J$2="ELA",
IF(VLOOKUP($A11, YES_Reading_ELA[], COLUMN(INDIRECT("YES_Reading_ELA[Max Expectation - Per "&amp;VLOOKUP($D$2, 'Reading Report Logic'!$A$2:$B$8, 2, FALSE)&amp;"]")), FALSE)="", "",
VLOOKUP($A11,YES_Reading_ELA[], COLUMN(INDIRECT("YES_Reading_ELA[Max Expectation - Per "&amp;VLOOKUP($D$2,'Reading Report Logic'!$A$2:$B$8,2,FALSE)&amp;"]")), FALSE)),
IF($J$2="FLA",
IF(VLOOKUP($A11, YES_Reading_FLA[], COLUMN(INDIRECT("YES_Reading_FLA[Max Expectation - Per "&amp;VLOOKUP($D$2,'Reading Report Logic'!$A$2:$B$8,2,FALSE)&amp;"]")),FALSE)="","",
VLOOKUP($A11,YES_Reading_FLA[],COLUMN(INDIRECT("YES_Reading_FLA[Max Expectation - Per "&amp;VLOOKUP($D$2,'Reading Report Logic'!$A$2:$B$8,2,FALSE)&amp;"]")),FALSE)),
IF($J$2="Combined",
IFERROR(
IF(VLOOKUP($A11, YES_Reading_ELA[], COLUMN(INDIRECT("YES_Reading_ELA[Max Expectation - Per "&amp;VLOOKUP($D$2, 'Reading Report Logic'!$A$2:$B$8,2,FALSE)&amp;"]")), FALSE)="", "",
VLOOKUP($A11,YES_Reading_ELA[],COLUMN(INDIRECT("YES_Reading_ELA[Max Expectation - Per "&amp;VLOOKUP($D$2,'Reading Report Logic'!$A$2:$B$8,2,FALSE)&amp;"]")),FALSE)),
IF(VLOOKUP($A11, YES_Reading_FLA[], COLUMN(INDIRECT("YES_Reading_FLA[Max Expectation - Per "&amp;VLOOKUP($D$2, 'Reading Report Logic'!$A$2:$B$8, 2, FALSE)&amp;"]")),FALSE)="", "", VLOOKUP($A11,YES_Reading_FLA[],COLUMN(INDIRECT("YES_Reading_FLA[Max Expectation - Per "&amp;VLOOKUP($D$2, 'Reading Report Logic'!$A$2:$B$8, 2, FALSE)&amp;"]")),FALSE))),""))),"")</f>
        <v/>
      </c>
      <c r="G11" s="205" t="str" cm="1">
        <f t="array" aca="1" ref="G11" ca="1">IFERROR(
IF($J$2="ELA",
IF(VLOOKUP($A11, YES_Reading_ELA[], COLUMN(INDIRECT("YES_Reading_ELA[Difference - Per "&amp;VLOOKUP($D$2, 'Reading Report Logic'!$A$2:$B$8, 2, FALSE)&amp;"]")), FALSE)="", "",
VLOOKUP($A11,YES_Reading_ELA[], COLUMN(INDIRECT("YES_Reading_ELA[Difference - Per "&amp;VLOOKUP($D$2,'Reading Report Logic'!$A$2:$B$8,2,FALSE)&amp;"]")), FALSE)),
IF($J$2="FLA",
IF(VLOOKUP($A11, YES_Reading_FLA[], COLUMN(INDIRECT("YES_Reading_FLA[Difference - Per "&amp;VLOOKUP($D$2,'Reading Report Logic'!$A$2:$B$8,2,FALSE)&amp;"]")),FALSE)="","",
VLOOKUP($A11,YES_Reading_FLA[],COLUMN(INDIRECT("YES_Reading_FLA[Difference - Per "&amp;VLOOKUP($D$2,'Reading Report Logic'!$A$2:$B$8,2,FALSE)&amp;"]")),FALSE)),
IF($J$2="Combined",
IFERROR(
IF(VLOOKUP($A11, YES_Reading_ELA[], COLUMN(INDIRECT("YES_Reading_ELA[Difference - Per "&amp;VLOOKUP($D$2, 'Reading Report Logic'!$A$2:$B$8,2,FALSE)&amp;"]")), FALSE)="", "",
VLOOKUP($A11,YES_Reading_ELA[],COLUMN(INDIRECT("YES_Reading_ELA[Difference - Per "&amp;VLOOKUP($D$2,'Reading Report Logic'!$A$2:$B$8,2,FALSE)&amp;"]")),FALSE)),
IF(VLOOKUP($A11, YES_Reading_FLA[], COLUMN(INDIRECT("YES_Reading_FLA[Difference - Per "&amp;VLOOKUP($D$2, 'Reading Report Logic'!$A$2:$B$8, 2, FALSE)&amp;"]")),FALSE)="", "", VLOOKUP($A11,YES_Reading_FLA[],COLUMN(INDIRECT("YES_Reading_FLA[Difference - Per "&amp;VLOOKUP($D$2, 'Reading Report Logic'!$A$2:$B$8, 2, FALSE)&amp;"]")),FALSE))),""))),"")</f>
        <v/>
      </c>
      <c r="H11" s="206" t="str">
        <f ca="1">IFERROR(VLOOKUP('Teacher Reading Pull Sheets'!$D11,_xlfn.VSTACK('ELA Reading Logic'!$A$22:$B$48,'FLA Reading Logic'!$A$22:$B$53),2,FALSE)-VLOOKUP('Teacher Reading Pull Sheets'!$C11,_xlfn.VSTACK('ELA Reading Logic'!$A$22:$B$48,'FLA Reading Logic'!$A$22:$B$53),2,FALSE),"")</f>
        <v/>
      </c>
      <c r="I11" s="207"/>
      <c r="J11" s="206"/>
      <c r="K11" s="197" t="str" cm="1">
        <f t="array" ref="K11">IFERROR(
IF($J$2="ELA",
IF(VLOOKUP($A11, YES_Reading_ELA[], COLUMN(YES_Reading_ELA[Self-Identified as African Descent]), FALSE)="", "",
VLOOKUP($A11,YES_Reading_ELA[], COLUMN(YES_Reading_ELA[Self-Identified as African Descent]), FALSE)),
IF($J$2="FLA",
IF(VLOOKUP($A11, YES_Reading_FLA[], COLUMN(YES_Reading_FLA[Self-Identified as African Descent]),FALSE)="","",
VLOOKUP($A11,YES_Reading_FLA[],COLUMN(YES_Reading_FLA[Self-Identified as African Descent]),FALSE)),
IF($J$2="Combined",
IFERROR(
IF(VLOOKUP($A11, YES_Reading_ELA[], COLUMN(YES_Reading_ELA[Self-Identified as African Descent]), FALSE)="", "",
VLOOKUP($A11,YES_Reading_ELA[],COLUMN(YES_Reading_ELA[Self-Identified as African Descent]),FALSE)),
IF(VLOOKUP($A11, YES_Reading_FLA[], COLUMN(YES_Reading_FLA[Self-Identified as African Descent]),FALSE)="", "", VLOOKUP($A11,YES_Reading_FLA[],COLUMN(YES_Reading_FLA[Self-Identified as African Descent]),FALSE))),""))),"")</f>
        <v/>
      </c>
      <c r="L11" s="73" t="str" cm="1">
        <f t="array" ref="L11">IFERROR(
IF($J$2="ELA",
IF(VLOOKUP($A11, YES_Reading_ELA[], COLUMN(YES_Reading_ELA[Self-Identified as Indigenous]), FALSE)="", "",
VLOOKUP($A11,YES_Reading_ELA[], COLUMN(YES_Reading_ELA[Self-Identified as Indigenous]), FALSE)),
IF($J$2="FLA",
IF(VLOOKUP($A11, YES_Reading_FLA[], COLUMN(YES_Reading_FLA[Self-Identified as Indigenous]),FALSE)="","",
VLOOKUP($A11,YES_Reading_FLA[],COLUMN(YES_Reading_FLA[Self-Identified as Indigenous]),FALSE)),
IF($J$2="Combined",
IFERROR(
IF(VLOOKUP($A11, YES_Reading_ELA[], COLUMN(YES_Reading_ELA[Self-Identified as Indigenous]), FALSE)="", "",
VLOOKUP($A11,YES_Reading_ELA[],COLUMN(YES_Reading_ELA[Self-Identified as Indigenous]),FALSE)),
IF(VLOOKUP($A11, YES_Reading_FLA[], COLUMN(YES_Reading_FLA[Self-Identified as Indigenous]),FALSE)="", "", VLOOKUP($A11,YES_Reading_FLA[],COLUMN(YES_Reading_FLA[Self-Identified as Indigenous]),FALSE))),""))),"")</f>
        <v/>
      </c>
    </row>
    <row r="12" spans="1:13" ht="19.5" customHeight="1" x14ac:dyDescent="0.25">
      <c r="A12" s="217"/>
      <c r="B12" s="220" t="str">
        <f>IFERROR(VLOOKUP(A12,_xlfn.VSTACK(YES_Reading_ELA[],YES_Reading_FLA[]),2,FALSE),"")</f>
        <v/>
      </c>
      <c r="C12" s="203"/>
      <c r="D12" s="204" t="str" cm="1">
        <f t="array" aca="1" ref="D12" ca="1">IFERROR(
IF($J$2="ELA",
IF(VLOOKUP($A12, YES_Reading_ELA[], COLUMN(INDIRECT("YES_Reading_ELA[Instructional Reading Level - Per "&amp;VLOOKUP($D$2, 'Reading Report Logic'!$A$2:$B$8, 2, FALSE)&amp;"]")), FALSE)="", "",
VLOOKUP($A12,YES_Reading_ELA[], COLUMN(INDIRECT("YES_Reading_ELA[Instructional Reading Level - Per "&amp;VLOOKUP($D$2,'Reading Report Logic'!$A$2:$B$8,2,FALSE)&amp;"]")), FALSE)),
IF($J$2="FLA",
IF(VLOOKUP($A12, YES_Reading_FLA[], COLUMN(INDIRECT("YES_Reading_FLA[Instructional Reading Level - Per "&amp;VLOOKUP($D$2,'Reading Report Logic'!$A$2:$B$8,2,FALSE)&amp;"]")),FALSE)="","",
VLOOKUP($A12,YES_Reading_FLA[],COLUMN(INDIRECT("YES_Reading_FLA[Instructional Reading Level - Per "&amp;VLOOKUP($D$2,'Reading Report Logic'!$A$2:$B$8,2,FALSE)&amp;"]")),FALSE)),
IF($J$2="Combined",
IFERROR(
IF(VLOOKUP($A12, YES_Reading_ELA[], COLUMN(INDIRECT("YES_Reading_ELA[Instructional Reading Level - Per "&amp;VLOOKUP($D$2, 'Reading Report Logic'!$A$2:$B$8,2,FALSE)&amp;"]")), FALSE)="", "",
VLOOKUP($A12,YES_Reading_ELA[],COLUMN(INDIRECT("YES_Reading_ELA[Instructional Reading Level - Per "&amp;VLOOKUP($D$2,'Reading Report Logic'!$A$2:$B$8,2,FALSE)&amp;"]")),FALSE)),
IF(VLOOKUP($A12, YES_Reading_FLA[], COLUMN(INDIRECT("YES_Reading_FLA[Instructional Reading Level - Per "&amp;VLOOKUP($D$2, 'Reading Report Logic'!$A$2:$B$8, 2, FALSE)&amp;"]")),FALSE)="", "", VLOOKUP($A12,YES_Reading_FLA[],COLUMN(INDIRECT("YES_Reading_FLA[Instructional Reading Level - Per "&amp;VLOOKUP($D$2, 'Reading Report Logic'!$A$2:$B$8, 2, FALSE)&amp;"]")),FALSE))),""))),"")</f>
        <v/>
      </c>
      <c r="E12" s="205" t="str" cm="1">
        <f t="array" aca="1" ref="E12" ca="1">IFERROR(
IF($J$2="ELA",
IF(VLOOKUP($A12, YES_Reading_ELA[], COLUMN(INDIRECT("YES_Reading_ELA[Min Expectation - Per "&amp;VLOOKUP($D$2, 'Reading Report Logic'!$A$2:$B$8, 2, FALSE)&amp;"]")), FALSE)="", "",
VLOOKUP($A12,YES_Reading_ELA[], COLUMN(INDIRECT("YES_Reading_ELA[Min Expectation - Per "&amp;VLOOKUP($D$2,'Reading Report Logic'!$A$2:$B$8,2,FALSE)&amp;"]")), FALSE)),
IF($J$2="FLA",
IF(VLOOKUP($A12, YES_Reading_FLA[], COLUMN(INDIRECT("YES_Reading_FLA[Min Expectation - Per "&amp;VLOOKUP($D$2,'Reading Report Logic'!$A$2:$B$8,2,FALSE)&amp;"]")),FALSE)="","",
VLOOKUP($A12,YES_Reading_FLA[],COLUMN(INDIRECT("YES_Reading_FLA[Min Expectation - Per "&amp;VLOOKUP($D$2,'Reading Report Logic'!$A$2:$B$8,2,FALSE)&amp;"]")),FALSE)),
IF($J$2="Combined",
IFERROR(
IF(VLOOKUP($A12, YES_Reading_ELA[], COLUMN(INDIRECT("YES_Reading_ELA[Min Expectation - Per "&amp;VLOOKUP($D$2, 'Reading Report Logic'!$A$2:$B$8,2,FALSE)&amp;"]")), FALSE)="", "",
VLOOKUP($A12,YES_Reading_ELA[],COLUMN(INDIRECT("YES_Reading_ELA[Min Expectation - Per "&amp;VLOOKUP($D$2,'Reading Report Logic'!$A$2:$B$8,2,FALSE)&amp;"]")),FALSE)),
IF(VLOOKUP($A12, YES_Reading_FLA[], COLUMN(INDIRECT("YES_Reading_FLA[Min Expectation - Per "&amp;VLOOKUP($D$2, 'Reading Report Logic'!$A$2:$B$8, 2, FALSE)&amp;"]")),FALSE)="", "", VLOOKUP($A12,YES_Reading_FLA[],COLUMN(INDIRECT("YES_Reading_FLA[Min Expectation - Per "&amp;VLOOKUP($D$2, 'Reading Report Logic'!$A$2:$B$8, 2, FALSE)&amp;"]")),FALSE))),""))),"")</f>
        <v/>
      </c>
      <c r="F12" s="205" t="str" cm="1">
        <f t="array" aca="1" ref="F12" ca="1">IFERROR(
IF($J$2="ELA",
IF(VLOOKUP($A12, YES_Reading_ELA[], COLUMN(INDIRECT("YES_Reading_ELA[Max Expectation - Per "&amp;VLOOKUP($D$2, 'Reading Report Logic'!$A$2:$B$8, 2, FALSE)&amp;"]")), FALSE)="", "",
VLOOKUP($A12,YES_Reading_ELA[], COLUMN(INDIRECT("YES_Reading_ELA[Max Expectation - Per "&amp;VLOOKUP($D$2,'Reading Report Logic'!$A$2:$B$8,2,FALSE)&amp;"]")), FALSE)),
IF($J$2="FLA",
IF(VLOOKUP($A12, YES_Reading_FLA[], COLUMN(INDIRECT("YES_Reading_FLA[Max Expectation - Per "&amp;VLOOKUP($D$2,'Reading Report Logic'!$A$2:$B$8,2,FALSE)&amp;"]")),FALSE)="","",
VLOOKUP($A12,YES_Reading_FLA[],COLUMN(INDIRECT("YES_Reading_FLA[Max Expectation - Per "&amp;VLOOKUP($D$2,'Reading Report Logic'!$A$2:$B$8,2,FALSE)&amp;"]")),FALSE)),
IF($J$2="Combined",
IFERROR(
IF(VLOOKUP($A12, YES_Reading_ELA[], COLUMN(INDIRECT("YES_Reading_ELA[Max Expectation - Per "&amp;VLOOKUP($D$2, 'Reading Report Logic'!$A$2:$B$8,2,FALSE)&amp;"]")), FALSE)="", "",
VLOOKUP($A12,YES_Reading_ELA[],COLUMN(INDIRECT("YES_Reading_ELA[Max Expectation - Per "&amp;VLOOKUP($D$2,'Reading Report Logic'!$A$2:$B$8,2,FALSE)&amp;"]")),FALSE)),
IF(VLOOKUP($A12, YES_Reading_FLA[], COLUMN(INDIRECT("YES_Reading_FLA[Max Expectation - Per "&amp;VLOOKUP($D$2, 'Reading Report Logic'!$A$2:$B$8, 2, FALSE)&amp;"]")),FALSE)="", "", VLOOKUP($A12,YES_Reading_FLA[],COLUMN(INDIRECT("YES_Reading_FLA[Max Expectation - Per "&amp;VLOOKUP($D$2, 'Reading Report Logic'!$A$2:$B$8, 2, FALSE)&amp;"]")),FALSE))),""))),"")</f>
        <v/>
      </c>
      <c r="G12" s="205" t="str" cm="1">
        <f t="array" aca="1" ref="G12" ca="1">IFERROR(
IF($J$2="ELA",
IF(VLOOKUP($A12, YES_Reading_ELA[], COLUMN(INDIRECT("YES_Reading_ELA[Difference - Per "&amp;VLOOKUP($D$2, 'Reading Report Logic'!$A$2:$B$8, 2, FALSE)&amp;"]")), FALSE)="", "",
VLOOKUP($A12,YES_Reading_ELA[], COLUMN(INDIRECT("YES_Reading_ELA[Difference - Per "&amp;VLOOKUP($D$2,'Reading Report Logic'!$A$2:$B$8,2,FALSE)&amp;"]")), FALSE)),
IF($J$2="FLA",
IF(VLOOKUP($A12, YES_Reading_FLA[], COLUMN(INDIRECT("YES_Reading_FLA[Difference - Per "&amp;VLOOKUP($D$2,'Reading Report Logic'!$A$2:$B$8,2,FALSE)&amp;"]")),FALSE)="","",
VLOOKUP($A12,YES_Reading_FLA[],COLUMN(INDIRECT("YES_Reading_FLA[Difference - Per "&amp;VLOOKUP($D$2,'Reading Report Logic'!$A$2:$B$8,2,FALSE)&amp;"]")),FALSE)),
IF($J$2="Combined",
IFERROR(
IF(VLOOKUP($A12, YES_Reading_ELA[], COLUMN(INDIRECT("YES_Reading_ELA[Difference - Per "&amp;VLOOKUP($D$2, 'Reading Report Logic'!$A$2:$B$8,2,FALSE)&amp;"]")), FALSE)="", "",
VLOOKUP($A12,YES_Reading_ELA[],COLUMN(INDIRECT("YES_Reading_ELA[Difference - Per "&amp;VLOOKUP($D$2,'Reading Report Logic'!$A$2:$B$8,2,FALSE)&amp;"]")),FALSE)),
IF(VLOOKUP($A12, YES_Reading_FLA[], COLUMN(INDIRECT("YES_Reading_FLA[Difference - Per "&amp;VLOOKUP($D$2, 'Reading Report Logic'!$A$2:$B$8, 2, FALSE)&amp;"]")),FALSE)="", "", VLOOKUP($A12,YES_Reading_FLA[],COLUMN(INDIRECT("YES_Reading_FLA[Difference - Per "&amp;VLOOKUP($D$2, 'Reading Report Logic'!$A$2:$B$8, 2, FALSE)&amp;"]")),FALSE))),""))),"")</f>
        <v/>
      </c>
      <c r="H12" s="206" t="str">
        <f ca="1">IFERROR(VLOOKUP('Teacher Reading Pull Sheets'!$D12,_xlfn.VSTACK('ELA Reading Logic'!$A$22:$B$48,'FLA Reading Logic'!$A$22:$B$53),2,FALSE)-VLOOKUP('Teacher Reading Pull Sheets'!$C12,_xlfn.VSTACK('ELA Reading Logic'!$A$22:$B$48,'FLA Reading Logic'!$A$22:$B$53),2,FALSE),"")</f>
        <v/>
      </c>
      <c r="I12" s="207"/>
      <c r="J12" s="206"/>
      <c r="K12" s="197" t="str" cm="1">
        <f t="array" ref="K12">IFERROR(
IF($J$2="ELA",
IF(VLOOKUP($A12, YES_Reading_ELA[], COLUMN(YES_Reading_ELA[Self-Identified as African Descent]), FALSE)="", "",
VLOOKUP($A12,YES_Reading_ELA[], COLUMN(YES_Reading_ELA[Self-Identified as African Descent]), FALSE)),
IF($J$2="FLA",
IF(VLOOKUP($A12, YES_Reading_FLA[], COLUMN(YES_Reading_FLA[Self-Identified as African Descent]),FALSE)="","",
VLOOKUP($A12,YES_Reading_FLA[],COLUMN(YES_Reading_FLA[Self-Identified as African Descent]),FALSE)),
IF($J$2="Combined",
IFERROR(
IF(VLOOKUP($A12, YES_Reading_ELA[], COLUMN(YES_Reading_ELA[Self-Identified as African Descent]), FALSE)="", "",
VLOOKUP($A12,YES_Reading_ELA[],COLUMN(YES_Reading_ELA[Self-Identified as African Descent]),FALSE)),
IF(VLOOKUP($A12, YES_Reading_FLA[], COLUMN(YES_Reading_FLA[Self-Identified as African Descent]),FALSE)="", "", VLOOKUP($A12,YES_Reading_FLA[],COLUMN(YES_Reading_FLA[Self-Identified as African Descent]),FALSE))),""))),"")</f>
        <v/>
      </c>
      <c r="L12" s="73" t="str" cm="1">
        <f t="array" ref="L12">IFERROR(
IF($J$2="ELA",
IF(VLOOKUP($A12, YES_Reading_ELA[], COLUMN(YES_Reading_ELA[Self-Identified as Indigenous]), FALSE)="", "",
VLOOKUP($A12,YES_Reading_ELA[], COLUMN(YES_Reading_ELA[Self-Identified as Indigenous]), FALSE)),
IF($J$2="FLA",
IF(VLOOKUP($A12, YES_Reading_FLA[], COLUMN(YES_Reading_FLA[Self-Identified as Indigenous]),FALSE)="","",
VLOOKUP($A12,YES_Reading_FLA[],COLUMN(YES_Reading_FLA[Self-Identified as Indigenous]),FALSE)),
IF($J$2="Combined",
IFERROR(
IF(VLOOKUP($A12, YES_Reading_ELA[], COLUMN(YES_Reading_ELA[Self-Identified as Indigenous]), FALSE)="", "",
VLOOKUP($A12,YES_Reading_ELA[],COLUMN(YES_Reading_ELA[Self-Identified as Indigenous]),FALSE)),
IF(VLOOKUP($A12, YES_Reading_FLA[], COLUMN(YES_Reading_FLA[Self-Identified as Indigenous]),FALSE)="", "", VLOOKUP($A12,YES_Reading_FLA[],COLUMN(YES_Reading_FLA[Self-Identified as Indigenous]),FALSE))),""))),"")</f>
        <v/>
      </c>
    </row>
    <row r="13" spans="1:13" ht="19.5" customHeight="1" x14ac:dyDescent="0.25">
      <c r="A13" s="217"/>
      <c r="B13" s="220" t="str">
        <f>IFERROR(VLOOKUP(A13,_xlfn.VSTACK(YES_Reading_ELA[],YES_Reading_FLA[]),2,FALSE),"")</f>
        <v/>
      </c>
      <c r="C13" s="203"/>
      <c r="D13" s="204" t="str" cm="1">
        <f t="array" aca="1" ref="D13" ca="1">IFERROR(
IF($J$2="ELA",
IF(VLOOKUP($A13, YES_Reading_ELA[], COLUMN(INDIRECT("YES_Reading_ELA[Instructional Reading Level - Per "&amp;VLOOKUP($D$2, 'Reading Report Logic'!$A$2:$B$8, 2, FALSE)&amp;"]")), FALSE)="", "",
VLOOKUP($A13,YES_Reading_ELA[], COLUMN(INDIRECT("YES_Reading_ELA[Instructional Reading Level - Per "&amp;VLOOKUP($D$2,'Reading Report Logic'!$A$2:$B$8,2,FALSE)&amp;"]")), FALSE)),
IF($J$2="FLA",
IF(VLOOKUP($A13, YES_Reading_FLA[], COLUMN(INDIRECT("YES_Reading_FLA[Instructional Reading Level - Per "&amp;VLOOKUP($D$2,'Reading Report Logic'!$A$2:$B$8,2,FALSE)&amp;"]")),FALSE)="","",
VLOOKUP($A13,YES_Reading_FLA[],COLUMN(INDIRECT("YES_Reading_FLA[Instructional Reading Level - Per "&amp;VLOOKUP($D$2,'Reading Report Logic'!$A$2:$B$8,2,FALSE)&amp;"]")),FALSE)),
IF($J$2="Combined",
IFERROR(
IF(VLOOKUP($A13, YES_Reading_ELA[], COLUMN(INDIRECT("YES_Reading_ELA[Instructional Reading Level - Per "&amp;VLOOKUP($D$2, 'Reading Report Logic'!$A$2:$B$8,2,FALSE)&amp;"]")), FALSE)="", "",
VLOOKUP($A13,YES_Reading_ELA[],COLUMN(INDIRECT("YES_Reading_ELA[Instructional Reading Level - Per "&amp;VLOOKUP($D$2,'Reading Report Logic'!$A$2:$B$8,2,FALSE)&amp;"]")),FALSE)),
IF(VLOOKUP($A13, YES_Reading_FLA[], COLUMN(INDIRECT("YES_Reading_FLA[Instructional Reading Level - Per "&amp;VLOOKUP($D$2, 'Reading Report Logic'!$A$2:$B$8, 2, FALSE)&amp;"]")),FALSE)="", "", VLOOKUP($A13,YES_Reading_FLA[],COLUMN(INDIRECT("YES_Reading_FLA[Instructional Reading Level - Per "&amp;VLOOKUP($D$2, 'Reading Report Logic'!$A$2:$B$8, 2, FALSE)&amp;"]")),FALSE))),""))),"")</f>
        <v/>
      </c>
      <c r="E13" s="205" t="str" cm="1">
        <f t="array" aca="1" ref="E13" ca="1">IFERROR(
IF($J$2="ELA",
IF(VLOOKUP($A13, YES_Reading_ELA[], COLUMN(INDIRECT("YES_Reading_ELA[Min Expectation - Per "&amp;VLOOKUP($D$2, 'Reading Report Logic'!$A$2:$B$8, 2, FALSE)&amp;"]")), FALSE)="", "",
VLOOKUP($A13,YES_Reading_ELA[], COLUMN(INDIRECT("YES_Reading_ELA[Min Expectation - Per "&amp;VLOOKUP($D$2,'Reading Report Logic'!$A$2:$B$8,2,FALSE)&amp;"]")), FALSE)),
IF($J$2="FLA",
IF(VLOOKUP($A13, YES_Reading_FLA[], COLUMN(INDIRECT("YES_Reading_FLA[Min Expectation - Per "&amp;VLOOKUP($D$2,'Reading Report Logic'!$A$2:$B$8,2,FALSE)&amp;"]")),FALSE)="","",
VLOOKUP($A13,YES_Reading_FLA[],COLUMN(INDIRECT("YES_Reading_FLA[Min Expectation - Per "&amp;VLOOKUP($D$2,'Reading Report Logic'!$A$2:$B$8,2,FALSE)&amp;"]")),FALSE)),
IF($J$2="Combined",
IFERROR(
IF(VLOOKUP($A13, YES_Reading_ELA[], COLUMN(INDIRECT("YES_Reading_ELA[Min Expectation - Per "&amp;VLOOKUP($D$2, 'Reading Report Logic'!$A$2:$B$8,2,FALSE)&amp;"]")), FALSE)="", "",
VLOOKUP($A13,YES_Reading_ELA[],COLUMN(INDIRECT("YES_Reading_ELA[Min Expectation - Per "&amp;VLOOKUP($D$2,'Reading Report Logic'!$A$2:$B$8,2,FALSE)&amp;"]")),FALSE)),
IF(VLOOKUP($A13, YES_Reading_FLA[], COLUMN(INDIRECT("YES_Reading_FLA[Min Expectation - Per "&amp;VLOOKUP($D$2, 'Reading Report Logic'!$A$2:$B$8, 2, FALSE)&amp;"]")),FALSE)="", "", VLOOKUP($A13,YES_Reading_FLA[],COLUMN(INDIRECT("YES_Reading_FLA[Min Expectation - Per "&amp;VLOOKUP($D$2, 'Reading Report Logic'!$A$2:$B$8, 2, FALSE)&amp;"]")),FALSE))),""))),"")</f>
        <v/>
      </c>
      <c r="F13" s="205" t="str" cm="1">
        <f t="array" aca="1" ref="F13" ca="1">IFERROR(
IF($J$2="ELA",
IF(VLOOKUP($A13, YES_Reading_ELA[], COLUMN(INDIRECT("YES_Reading_ELA[Max Expectation - Per "&amp;VLOOKUP($D$2, 'Reading Report Logic'!$A$2:$B$8, 2, FALSE)&amp;"]")), FALSE)="", "",
VLOOKUP($A13,YES_Reading_ELA[], COLUMN(INDIRECT("YES_Reading_ELA[Max Expectation - Per "&amp;VLOOKUP($D$2,'Reading Report Logic'!$A$2:$B$8,2,FALSE)&amp;"]")), FALSE)),
IF($J$2="FLA",
IF(VLOOKUP($A13, YES_Reading_FLA[], COLUMN(INDIRECT("YES_Reading_FLA[Max Expectation - Per "&amp;VLOOKUP($D$2,'Reading Report Logic'!$A$2:$B$8,2,FALSE)&amp;"]")),FALSE)="","",
VLOOKUP($A13,YES_Reading_FLA[],COLUMN(INDIRECT("YES_Reading_FLA[Max Expectation - Per "&amp;VLOOKUP($D$2,'Reading Report Logic'!$A$2:$B$8,2,FALSE)&amp;"]")),FALSE)),
IF($J$2="Combined",
IFERROR(
IF(VLOOKUP($A13, YES_Reading_ELA[], COLUMN(INDIRECT("YES_Reading_ELA[Max Expectation - Per "&amp;VLOOKUP($D$2, 'Reading Report Logic'!$A$2:$B$8,2,FALSE)&amp;"]")), FALSE)="", "",
VLOOKUP($A13,YES_Reading_ELA[],COLUMN(INDIRECT("YES_Reading_ELA[Max Expectation - Per "&amp;VLOOKUP($D$2,'Reading Report Logic'!$A$2:$B$8,2,FALSE)&amp;"]")),FALSE)),
IF(VLOOKUP($A13, YES_Reading_FLA[], COLUMN(INDIRECT("YES_Reading_FLA[Max Expectation - Per "&amp;VLOOKUP($D$2, 'Reading Report Logic'!$A$2:$B$8, 2, FALSE)&amp;"]")),FALSE)="", "", VLOOKUP($A13,YES_Reading_FLA[],COLUMN(INDIRECT("YES_Reading_FLA[Max Expectation - Per "&amp;VLOOKUP($D$2, 'Reading Report Logic'!$A$2:$B$8, 2, FALSE)&amp;"]")),FALSE))),""))),"")</f>
        <v/>
      </c>
      <c r="G13" s="205" t="str" cm="1">
        <f t="array" aca="1" ref="G13" ca="1">IFERROR(
IF($J$2="ELA",
IF(VLOOKUP($A13, YES_Reading_ELA[], COLUMN(INDIRECT("YES_Reading_ELA[Difference - Per "&amp;VLOOKUP($D$2, 'Reading Report Logic'!$A$2:$B$8, 2, FALSE)&amp;"]")), FALSE)="", "",
VLOOKUP($A13,YES_Reading_ELA[], COLUMN(INDIRECT("YES_Reading_ELA[Difference - Per "&amp;VLOOKUP($D$2,'Reading Report Logic'!$A$2:$B$8,2,FALSE)&amp;"]")), FALSE)),
IF($J$2="FLA",
IF(VLOOKUP($A13, YES_Reading_FLA[], COLUMN(INDIRECT("YES_Reading_FLA[Difference - Per "&amp;VLOOKUP($D$2,'Reading Report Logic'!$A$2:$B$8,2,FALSE)&amp;"]")),FALSE)="","",
VLOOKUP($A13,YES_Reading_FLA[],COLUMN(INDIRECT("YES_Reading_FLA[Difference - Per "&amp;VLOOKUP($D$2,'Reading Report Logic'!$A$2:$B$8,2,FALSE)&amp;"]")),FALSE)),
IF($J$2="Combined",
IFERROR(
IF(VLOOKUP($A13, YES_Reading_ELA[], COLUMN(INDIRECT("YES_Reading_ELA[Difference - Per "&amp;VLOOKUP($D$2, 'Reading Report Logic'!$A$2:$B$8,2,FALSE)&amp;"]")), FALSE)="", "",
VLOOKUP($A13,YES_Reading_ELA[],COLUMN(INDIRECT("YES_Reading_ELA[Difference - Per "&amp;VLOOKUP($D$2,'Reading Report Logic'!$A$2:$B$8,2,FALSE)&amp;"]")),FALSE)),
IF(VLOOKUP($A13, YES_Reading_FLA[], COLUMN(INDIRECT("YES_Reading_FLA[Difference - Per "&amp;VLOOKUP($D$2, 'Reading Report Logic'!$A$2:$B$8, 2, FALSE)&amp;"]")),FALSE)="", "", VLOOKUP($A13,YES_Reading_FLA[],COLUMN(INDIRECT("YES_Reading_FLA[Difference - Per "&amp;VLOOKUP($D$2, 'Reading Report Logic'!$A$2:$B$8, 2, FALSE)&amp;"]")),FALSE))),""))),"")</f>
        <v/>
      </c>
      <c r="H13" s="206" t="str">
        <f ca="1">IFERROR(VLOOKUP('Teacher Reading Pull Sheets'!$D13,_xlfn.VSTACK('ELA Reading Logic'!$A$22:$B$48,'FLA Reading Logic'!$A$22:$B$53),2,FALSE)-VLOOKUP('Teacher Reading Pull Sheets'!$C13,_xlfn.VSTACK('ELA Reading Logic'!$A$22:$B$48,'FLA Reading Logic'!$A$22:$B$53),2,FALSE),"")</f>
        <v/>
      </c>
      <c r="I13" s="207"/>
      <c r="J13" s="230"/>
      <c r="K13" s="197" t="str" cm="1">
        <f t="array" ref="K13">IFERROR(
IF($J$2="ELA",
IF(VLOOKUP($A13, YES_Reading_ELA[], COLUMN(YES_Reading_ELA[Self-Identified as African Descent]), FALSE)="", "",
VLOOKUP($A13,YES_Reading_ELA[], COLUMN(YES_Reading_ELA[Self-Identified as African Descent]), FALSE)),
IF($J$2="FLA",
IF(VLOOKUP($A13, YES_Reading_FLA[], COLUMN(YES_Reading_FLA[Self-Identified as African Descent]),FALSE)="","",
VLOOKUP($A13,YES_Reading_FLA[],COLUMN(YES_Reading_FLA[Self-Identified as African Descent]),FALSE)),
IF($J$2="Combined",
IFERROR(
IF(VLOOKUP($A13, YES_Reading_ELA[], COLUMN(YES_Reading_ELA[Self-Identified as African Descent]), FALSE)="", "",
VLOOKUP($A13,YES_Reading_ELA[],COLUMN(YES_Reading_ELA[Self-Identified as African Descent]),FALSE)),
IF(VLOOKUP($A13, YES_Reading_FLA[], COLUMN(YES_Reading_FLA[Self-Identified as African Descent]),FALSE)="", "", VLOOKUP($A13,YES_Reading_FLA[],COLUMN(YES_Reading_FLA[Self-Identified as African Descent]),FALSE))),""))),"")</f>
        <v/>
      </c>
      <c r="L13" s="73" t="str" cm="1">
        <f t="array" ref="L13">IFERROR(
IF($J$2="ELA",
IF(VLOOKUP($A13, YES_Reading_ELA[], COLUMN(YES_Reading_ELA[Self-Identified as Indigenous]), FALSE)="", "",
VLOOKUP($A13,YES_Reading_ELA[], COLUMN(YES_Reading_ELA[Self-Identified as Indigenous]), FALSE)),
IF($J$2="FLA",
IF(VLOOKUP($A13, YES_Reading_FLA[], COLUMN(YES_Reading_FLA[Self-Identified as Indigenous]),FALSE)="","",
VLOOKUP($A13,YES_Reading_FLA[],COLUMN(YES_Reading_FLA[Self-Identified as Indigenous]),FALSE)),
IF($J$2="Combined",
IFERROR(
IF(VLOOKUP($A13, YES_Reading_ELA[], COLUMN(YES_Reading_ELA[Self-Identified as Indigenous]), FALSE)="", "",
VLOOKUP($A13,YES_Reading_ELA[],COLUMN(YES_Reading_ELA[Self-Identified as Indigenous]),FALSE)),
IF(VLOOKUP($A13, YES_Reading_FLA[], COLUMN(YES_Reading_FLA[Self-Identified as Indigenous]),FALSE)="", "", VLOOKUP($A13,YES_Reading_FLA[],COLUMN(YES_Reading_FLA[Self-Identified as Indigenous]),FALSE))),""))),"")</f>
        <v/>
      </c>
    </row>
    <row r="14" spans="1:13" ht="19.5" customHeight="1" x14ac:dyDescent="0.25">
      <c r="A14" s="217"/>
      <c r="B14" s="220" t="str">
        <f>IFERROR(VLOOKUP(A14,_xlfn.VSTACK(YES_Reading_ELA[],YES_Reading_FLA[]),2,FALSE),"")</f>
        <v/>
      </c>
      <c r="C14" s="203"/>
      <c r="D14" s="204" t="str" cm="1">
        <f t="array" aca="1" ref="D14" ca="1">IFERROR(
IF($J$2="ELA",
IF(VLOOKUP($A14, YES_Reading_ELA[], COLUMN(INDIRECT("YES_Reading_ELA[Instructional Reading Level - Per "&amp;VLOOKUP($D$2, 'Reading Report Logic'!$A$2:$B$8, 2, FALSE)&amp;"]")), FALSE)="", "",
VLOOKUP($A14,YES_Reading_ELA[], COLUMN(INDIRECT("YES_Reading_ELA[Instructional Reading Level - Per "&amp;VLOOKUP($D$2,'Reading Report Logic'!$A$2:$B$8,2,FALSE)&amp;"]")), FALSE)),
IF($J$2="FLA",
IF(VLOOKUP($A14, YES_Reading_FLA[], COLUMN(INDIRECT("YES_Reading_FLA[Instructional Reading Level - Per "&amp;VLOOKUP($D$2,'Reading Report Logic'!$A$2:$B$8,2,FALSE)&amp;"]")),FALSE)="","",
VLOOKUP($A14,YES_Reading_FLA[],COLUMN(INDIRECT("YES_Reading_FLA[Instructional Reading Level - Per "&amp;VLOOKUP($D$2,'Reading Report Logic'!$A$2:$B$8,2,FALSE)&amp;"]")),FALSE)),
IF($J$2="Combined",
IFERROR(
IF(VLOOKUP($A14, YES_Reading_ELA[], COLUMN(INDIRECT("YES_Reading_ELA[Instructional Reading Level - Per "&amp;VLOOKUP($D$2, 'Reading Report Logic'!$A$2:$B$8,2,FALSE)&amp;"]")), FALSE)="", "",
VLOOKUP($A14,YES_Reading_ELA[],COLUMN(INDIRECT("YES_Reading_ELA[Instructional Reading Level - Per "&amp;VLOOKUP($D$2,'Reading Report Logic'!$A$2:$B$8,2,FALSE)&amp;"]")),FALSE)),
IF(VLOOKUP($A14, YES_Reading_FLA[], COLUMN(INDIRECT("YES_Reading_FLA[Instructional Reading Level - Per "&amp;VLOOKUP($D$2, 'Reading Report Logic'!$A$2:$B$8, 2, FALSE)&amp;"]")),FALSE)="", "", VLOOKUP($A14,YES_Reading_FLA[],COLUMN(INDIRECT("YES_Reading_FLA[Instructional Reading Level - Per "&amp;VLOOKUP($D$2, 'Reading Report Logic'!$A$2:$B$8, 2, FALSE)&amp;"]")),FALSE))),""))),"")</f>
        <v/>
      </c>
      <c r="E14" s="205" t="str" cm="1">
        <f t="array" aca="1" ref="E14" ca="1">IFERROR(
IF($J$2="ELA",
IF(VLOOKUP($A14, YES_Reading_ELA[], COLUMN(INDIRECT("YES_Reading_ELA[Min Expectation - Per "&amp;VLOOKUP($D$2, 'Reading Report Logic'!$A$2:$B$8, 2, FALSE)&amp;"]")), FALSE)="", "",
VLOOKUP($A14,YES_Reading_ELA[], COLUMN(INDIRECT("YES_Reading_ELA[Min Expectation - Per "&amp;VLOOKUP($D$2,'Reading Report Logic'!$A$2:$B$8,2,FALSE)&amp;"]")), FALSE)),
IF($J$2="FLA",
IF(VLOOKUP($A14, YES_Reading_FLA[], COLUMN(INDIRECT("YES_Reading_FLA[Min Expectation - Per "&amp;VLOOKUP($D$2,'Reading Report Logic'!$A$2:$B$8,2,FALSE)&amp;"]")),FALSE)="","",
VLOOKUP($A14,YES_Reading_FLA[],COLUMN(INDIRECT("YES_Reading_FLA[Min Expectation - Per "&amp;VLOOKUP($D$2,'Reading Report Logic'!$A$2:$B$8,2,FALSE)&amp;"]")),FALSE)),
IF($J$2="Combined",
IFERROR(
IF(VLOOKUP($A14, YES_Reading_ELA[], COLUMN(INDIRECT("YES_Reading_ELA[Min Expectation - Per "&amp;VLOOKUP($D$2, 'Reading Report Logic'!$A$2:$B$8,2,FALSE)&amp;"]")), FALSE)="", "",
VLOOKUP($A14,YES_Reading_ELA[],COLUMN(INDIRECT("YES_Reading_ELA[Min Expectation - Per "&amp;VLOOKUP($D$2,'Reading Report Logic'!$A$2:$B$8,2,FALSE)&amp;"]")),FALSE)),
IF(VLOOKUP($A14, YES_Reading_FLA[], COLUMN(INDIRECT("YES_Reading_FLA[Min Expectation - Per "&amp;VLOOKUP($D$2, 'Reading Report Logic'!$A$2:$B$8, 2, FALSE)&amp;"]")),FALSE)="", "", VLOOKUP($A14,YES_Reading_FLA[],COLUMN(INDIRECT("YES_Reading_FLA[Min Expectation - Per "&amp;VLOOKUP($D$2, 'Reading Report Logic'!$A$2:$B$8, 2, FALSE)&amp;"]")),FALSE))),""))),"")</f>
        <v/>
      </c>
      <c r="F14" s="205" t="str" cm="1">
        <f t="array" aca="1" ref="F14" ca="1">IFERROR(
IF($J$2="ELA",
IF(VLOOKUP($A14, YES_Reading_ELA[], COLUMN(INDIRECT("YES_Reading_ELA[Max Expectation - Per "&amp;VLOOKUP($D$2, 'Reading Report Logic'!$A$2:$B$8, 2, FALSE)&amp;"]")), FALSE)="", "",
VLOOKUP($A14,YES_Reading_ELA[], COLUMN(INDIRECT("YES_Reading_ELA[Max Expectation - Per "&amp;VLOOKUP($D$2,'Reading Report Logic'!$A$2:$B$8,2,FALSE)&amp;"]")), FALSE)),
IF($J$2="FLA",
IF(VLOOKUP($A14, YES_Reading_FLA[], COLUMN(INDIRECT("YES_Reading_FLA[Max Expectation - Per "&amp;VLOOKUP($D$2,'Reading Report Logic'!$A$2:$B$8,2,FALSE)&amp;"]")),FALSE)="","",
VLOOKUP($A14,YES_Reading_FLA[],COLUMN(INDIRECT("YES_Reading_FLA[Max Expectation - Per "&amp;VLOOKUP($D$2,'Reading Report Logic'!$A$2:$B$8,2,FALSE)&amp;"]")),FALSE)),
IF($J$2="Combined",
IFERROR(
IF(VLOOKUP($A14, YES_Reading_ELA[], COLUMN(INDIRECT("YES_Reading_ELA[Max Expectation - Per "&amp;VLOOKUP($D$2, 'Reading Report Logic'!$A$2:$B$8,2,FALSE)&amp;"]")), FALSE)="", "",
VLOOKUP($A14,YES_Reading_ELA[],COLUMN(INDIRECT("YES_Reading_ELA[Max Expectation - Per "&amp;VLOOKUP($D$2,'Reading Report Logic'!$A$2:$B$8,2,FALSE)&amp;"]")),FALSE)),
IF(VLOOKUP($A14, YES_Reading_FLA[], COLUMN(INDIRECT("YES_Reading_FLA[Max Expectation - Per "&amp;VLOOKUP($D$2, 'Reading Report Logic'!$A$2:$B$8, 2, FALSE)&amp;"]")),FALSE)="", "", VLOOKUP($A14,YES_Reading_FLA[],COLUMN(INDIRECT("YES_Reading_FLA[Max Expectation - Per "&amp;VLOOKUP($D$2, 'Reading Report Logic'!$A$2:$B$8, 2, FALSE)&amp;"]")),FALSE))),""))),"")</f>
        <v/>
      </c>
      <c r="G14" s="205" t="str" cm="1">
        <f t="array" aca="1" ref="G14" ca="1">IFERROR(
IF($J$2="ELA",
IF(VLOOKUP($A14, YES_Reading_ELA[], COLUMN(INDIRECT("YES_Reading_ELA[Difference - Per "&amp;VLOOKUP($D$2, 'Reading Report Logic'!$A$2:$B$8, 2, FALSE)&amp;"]")), FALSE)="", "",
VLOOKUP($A14,YES_Reading_ELA[], COLUMN(INDIRECT("YES_Reading_ELA[Difference - Per "&amp;VLOOKUP($D$2,'Reading Report Logic'!$A$2:$B$8,2,FALSE)&amp;"]")), FALSE)),
IF($J$2="FLA",
IF(VLOOKUP($A14, YES_Reading_FLA[], COLUMN(INDIRECT("YES_Reading_FLA[Difference - Per "&amp;VLOOKUP($D$2,'Reading Report Logic'!$A$2:$B$8,2,FALSE)&amp;"]")),FALSE)="","",
VLOOKUP($A14,YES_Reading_FLA[],COLUMN(INDIRECT("YES_Reading_FLA[Difference - Per "&amp;VLOOKUP($D$2,'Reading Report Logic'!$A$2:$B$8,2,FALSE)&amp;"]")),FALSE)),
IF($J$2="Combined",
IFERROR(
IF(VLOOKUP($A14, YES_Reading_ELA[], COLUMN(INDIRECT("YES_Reading_ELA[Difference - Per "&amp;VLOOKUP($D$2, 'Reading Report Logic'!$A$2:$B$8,2,FALSE)&amp;"]")), FALSE)="", "",
VLOOKUP($A14,YES_Reading_ELA[],COLUMN(INDIRECT("YES_Reading_ELA[Difference - Per "&amp;VLOOKUP($D$2,'Reading Report Logic'!$A$2:$B$8,2,FALSE)&amp;"]")),FALSE)),
IF(VLOOKUP($A14, YES_Reading_FLA[], COLUMN(INDIRECT("YES_Reading_FLA[Difference - Per "&amp;VLOOKUP($D$2, 'Reading Report Logic'!$A$2:$B$8, 2, FALSE)&amp;"]")),FALSE)="", "", VLOOKUP($A14,YES_Reading_FLA[],COLUMN(INDIRECT("YES_Reading_FLA[Difference - Per "&amp;VLOOKUP($D$2, 'Reading Report Logic'!$A$2:$B$8, 2, FALSE)&amp;"]")),FALSE))),""))),"")</f>
        <v/>
      </c>
      <c r="H14" s="206" t="str">
        <f ca="1">IFERROR(VLOOKUP('Teacher Reading Pull Sheets'!$D14,_xlfn.VSTACK('ELA Reading Logic'!$A$22:$B$48,'FLA Reading Logic'!$A$22:$B$53),2,FALSE)-VLOOKUP('Teacher Reading Pull Sheets'!$C14,_xlfn.VSTACK('ELA Reading Logic'!$A$22:$B$48,'FLA Reading Logic'!$A$22:$B$53),2,FALSE),"")</f>
        <v/>
      </c>
      <c r="I14" s="207"/>
      <c r="J14" s="206"/>
      <c r="K14" s="197" t="str" cm="1">
        <f t="array" ref="K14">IFERROR(
IF($J$2="ELA",
IF(VLOOKUP($A14, YES_Reading_ELA[], COLUMN(YES_Reading_ELA[Self-Identified as African Descent]), FALSE)="", "",
VLOOKUP($A14,YES_Reading_ELA[], COLUMN(YES_Reading_ELA[Self-Identified as African Descent]), FALSE)),
IF($J$2="FLA",
IF(VLOOKUP($A14, YES_Reading_FLA[], COLUMN(YES_Reading_FLA[Self-Identified as African Descent]),FALSE)="","",
VLOOKUP($A14,YES_Reading_FLA[],COLUMN(YES_Reading_FLA[Self-Identified as African Descent]),FALSE)),
IF($J$2="Combined",
IFERROR(
IF(VLOOKUP($A14, YES_Reading_ELA[], COLUMN(YES_Reading_ELA[Self-Identified as African Descent]), FALSE)="", "",
VLOOKUP($A14,YES_Reading_ELA[],COLUMN(YES_Reading_ELA[Self-Identified as African Descent]),FALSE)),
IF(VLOOKUP($A14, YES_Reading_FLA[], COLUMN(YES_Reading_FLA[Self-Identified as African Descent]),FALSE)="", "", VLOOKUP($A14,YES_Reading_FLA[],COLUMN(YES_Reading_FLA[Self-Identified as African Descent]),FALSE))),""))),"")</f>
        <v/>
      </c>
      <c r="L14" s="73" t="str" cm="1">
        <f t="array" ref="L14">IFERROR(
IF($J$2="ELA",
IF(VLOOKUP($A14, YES_Reading_ELA[], COLUMN(YES_Reading_ELA[Self-Identified as Indigenous]), FALSE)="", "",
VLOOKUP($A14,YES_Reading_ELA[], COLUMN(YES_Reading_ELA[Self-Identified as Indigenous]), FALSE)),
IF($J$2="FLA",
IF(VLOOKUP($A14, YES_Reading_FLA[], COLUMN(YES_Reading_FLA[Self-Identified as Indigenous]),FALSE)="","",
VLOOKUP($A14,YES_Reading_FLA[],COLUMN(YES_Reading_FLA[Self-Identified as Indigenous]),FALSE)),
IF($J$2="Combined",
IFERROR(
IF(VLOOKUP($A14, YES_Reading_ELA[], COLUMN(YES_Reading_ELA[Self-Identified as Indigenous]), FALSE)="", "",
VLOOKUP($A14,YES_Reading_ELA[],COLUMN(YES_Reading_ELA[Self-Identified as Indigenous]),FALSE)),
IF(VLOOKUP($A14, YES_Reading_FLA[], COLUMN(YES_Reading_FLA[Self-Identified as Indigenous]),FALSE)="", "", VLOOKUP($A14,YES_Reading_FLA[],COLUMN(YES_Reading_FLA[Self-Identified as Indigenous]),FALSE))),""))),"")</f>
        <v/>
      </c>
    </row>
    <row r="15" spans="1:13" ht="19.5" customHeight="1" x14ac:dyDescent="0.25">
      <c r="A15" s="217"/>
      <c r="B15" s="220" t="str">
        <f>IFERROR(VLOOKUP(A15,_xlfn.VSTACK(YES_Reading_ELA[],YES_Reading_FLA[]),2,FALSE),"")</f>
        <v/>
      </c>
      <c r="C15" s="203"/>
      <c r="D15" s="204" t="str" cm="1">
        <f t="array" aca="1" ref="D15" ca="1">IFERROR(
IF($J$2="ELA",
IF(VLOOKUP($A15, YES_Reading_ELA[], COLUMN(INDIRECT("YES_Reading_ELA[Instructional Reading Level - Per "&amp;VLOOKUP($D$2, 'Reading Report Logic'!$A$2:$B$8, 2, FALSE)&amp;"]")), FALSE)="", "",
VLOOKUP($A15,YES_Reading_ELA[], COLUMN(INDIRECT("YES_Reading_ELA[Instructional Reading Level - Per "&amp;VLOOKUP($D$2,'Reading Report Logic'!$A$2:$B$8,2,FALSE)&amp;"]")), FALSE)),
IF($J$2="FLA",
IF(VLOOKUP($A15, YES_Reading_FLA[], COLUMN(INDIRECT("YES_Reading_FLA[Instructional Reading Level - Per "&amp;VLOOKUP($D$2,'Reading Report Logic'!$A$2:$B$8,2,FALSE)&amp;"]")),FALSE)="","",
VLOOKUP($A15,YES_Reading_FLA[],COLUMN(INDIRECT("YES_Reading_FLA[Instructional Reading Level - Per "&amp;VLOOKUP($D$2,'Reading Report Logic'!$A$2:$B$8,2,FALSE)&amp;"]")),FALSE)),
IF($J$2="Combined",
IFERROR(
IF(VLOOKUP($A15, YES_Reading_ELA[], COLUMN(INDIRECT("YES_Reading_ELA[Instructional Reading Level - Per "&amp;VLOOKUP($D$2, 'Reading Report Logic'!$A$2:$B$8,2,FALSE)&amp;"]")), FALSE)="", "",
VLOOKUP($A15,YES_Reading_ELA[],COLUMN(INDIRECT("YES_Reading_ELA[Instructional Reading Level - Per "&amp;VLOOKUP($D$2,'Reading Report Logic'!$A$2:$B$8,2,FALSE)&amp;"]")),FALSE)),
IF(VLOOKUP($A15, YES_Reading_FLA[], COLUMN(INDIRECT("YES_Reading_FLA[Instructional Reading Level - Per "&amp;VLOOKUP($D$2, 'Reading Report Logic'!$A$2:$B$8, 2, FALSE)&amp;"]")),FALSE)="", "", VLOOKUP($A15,YES_Reading_FLA[],COLUMN(INDIRECT("YES_Reading_FLA[Instructional Reading Level - Per "&amp;VLOOKUP($D$2, 'Reading Report Logic'!$A$2:$B$8, 2, FALSE)&amp;"]")),FALSE))),""))),"")</f>
        <v/>
      </c>
      <c r="E15" s="205" t="str" cm="1">
        <f t="array" aca="1" ref="E15" ca="1">IFERROR(
IF($J$2="ELA",
IF(VLOOKUP($A15, YES_Reading_ELA[], COLUMN(INDIRECT("YES_Reading_ELA[Min Expectation - Per "&amp;VLOOKUP($D$2, 'Reading Report Logic'!$A$2:$B$8, 2, FALSE)&amp;"]")), FALSE)="", "",
VLOOKUP($A15,YES_Reading_ELA[], COLUMN(INDIRECT("YES_Reading_ELA[Min Expectation - Per "&amp;VLOOKUP($D$2,'Reading Report Logic'!$A$2:$B$8,2,FALSE)&amp;"]")), FALSE)),
IF($J$2="FLA",
IF(VLOOKUP($A15, YES_Reading_FLA[], COLUMN(INDIRECT("YES_Reading_FLA[Min Expectation - Per "&amp;VLOOKUP($D$2,'Reading Report Logic'!$A$2:$B$8,2,FALSE)&amp;"]")),FALSE)="","",
VLOOKUP($A15,YES_Reading_FLA[],COLUMN(INDIRECT("YES_Reading_FLA[Min Expectation - Per "&amp;VLOOKUP($D$2,'Reading Report Logic'!$A$2:$B$8,2,FALSE)&amp;"]")),FALSE)),
IF($J$2="Combined",
IFERROR(
IF(VLOOKUP($A15, YES_Reading_ELA[], COLUMN(INDIRECT("YES_Reading_ELA[Min Expectation - Per "&amp;VLOOKUP($D$2, 'Reading Report Logic'!$A$2:$B$8,2,FALSE)&amp;"]")), FALSE)="", "",
VLOOKUP($A15,YES_Reading_ELA[],COLUMN(INDIRECT("YES_Reading_ELA[Min Expectation - Per "&amp;VLOOKUP($D$2,'Reading Report Logic'!$A$2:$B$8,2,FALSE)&amp;"]")),FALSE)),
IF(VLOOKUP($A15, YES_Reading_FLA[], COLUMN(INDIRECT("YES_Reading_FLA[Min Expectation - Per "&amp;VLOOKUP($D$2, 'Reading Report Logic'!$A$2:$B$8, 2, FALSE)&amp;"]")),FALSE)="", "", VLOOKUP($A15,YES_Reading_FLA[],COLUMN(INDIRECT("YES_Reading_FLA[Min Expectation - Per "&amp;VLOOKUP($D$2, 'Reading Report Logic'!$A$2:$B$8, 2, FALSE)&amp;"]")),FALSE))),""))),"")</f>
        <v/>
      </c>
      <c r="F15" s="205" t="str" cm="1">
        <f t="array" aca="1" ref="F15" ca="1">IFERROR(
IF($J$2="ELA",
IF(VLOOKUP($A15, YES_Reading_ELA[], COLUMN(INDIRECT("YES_Reading_ELA[Max Expectation - Per "&amp;VLOOKUP($D$2, 'Reading Report Logic'!$A$2:$B$8, 2, FALSE)&amp;"]")), FALSE)="", "",
VLOOKUP($A15,YES_Reading_ELA[], COLUMN(INDIRECT("YES_Reading_ELA[Max Expectation - Per "&amp;VLOOKUP($D$2,'Reading Report Logic'!$A$2:$B$8,2,FALSE)&amp;"]")), FALSE)),
IF($J$2="FLA",
IF(VLOOKUP($A15, YES_Reading_FLA[], COLUMN(INDIRECT("YES_Reading_FLA[Max Expectation - Per "&amp;VLOOKUP($D$2,'Reading Report Logic'!$A$2:$B$8,2,FALSE)&amp;"]")),FALSE)="","",
VLOOKUP($A15,YES_Reading_FLA[],COLUMN(INDIRECT("YES_Reading_FLA[Max Expectation - Per "&amp;VLOOKUP($D$2,'Reading Report Logic'!$A$2:$B$8,2,FALSE)&amp;"]")),FALSE)),
IF($J$2="Combined",
IFERROR(
IF(VLOOKUP($A15, YES_Reading_ELA[], COLUMN(INDIRECT("YES_Reading_ELA[Max Expectation - Per "&amp;VLOOKUP($D$2, 'Reading Report Logic'!$A$2:$B$8,2,FALSE)&amp;"]")), FALSE)="", "",
VLOOKUP($A15,YES_Reading_ELA[],COLUMN(INDIRECT("YES_Reading_ELA[Max Expectation - Per "&amp;VLOOKUP($D$2,'Reading Report Logic'!$A$2:$B$8,2,FALSE)&amp;"]")),FALSE)),
IF(VLOOKUP($A15, YES_Reading_FLA[], COLUMN(INDIRECT("YES_Reading_FLA[Max Expectation - Per "&amp;VLOOKUP($D$2, 'Reading Report Logic'!$A$2:$B$8, 2, FALSE)&amp;"]")),FALSE)="", "", VLOOKUP($A15,YES_Reading_FLA[],COLUMN(INDIRECT("YES_Reading_FLA[Max Expectation - Per "&amp;VLOOKUP($D$2, 'Reading Report Logic'!$A$2:$B$8, 2, FALSE)&amp;"]")),FALSE))),""))),"")</f>
        <v/>
      </c>
      <c r="G15" s="205" t="str" cm="1">
        <f t="array" aca="1" ref="G15" ca="1">IFERROR(
IF($J$2="ELA",
IF(VLOOKUP($A15, YES_Reading_ELA[], COLUMN(INDIRECT("YES_Reading_ELA[Difference - Per "&amp;VLOOKUP($D$2, 'Reading Report Logic'!$A$2:$B$8, 2, FALSE)&amp;"]")), FALSE)="", "",
VLOOKUP($A15,YES_Reading_ELA[], COLUMN(INDIRECT("YES_Reading_ELA[Difference - Per "&amp;VLOOKUP($D$2,'Reading Report Logic'!$A$2:$B$8,2,FALSE)&amp;"]")), FALSE)),
IF($J$2="FLA",
IF(VLOOKUP($A15, YES_Reading_FLA[], COLUMN(INDIRECT("YES_Reading_FLA[Difference - Per "&amp;VLOOKUP($D$2,'Reading Report Logic'!$A$2:$B$8,2,FALSE)&amp;"]")),FALSE)="","",
VLOOKUP($A15,YES_Reading_FLA[],COLUMN(INDIRECT("YES_Reading_FLA[Difference - Per "&amp;VLOOKUP($D$2,'Reading Report Logic'!$A$2:$B$8,2,FALSE)&amp;"]")),FALSE)),
IF($J$2="Combined",
IFERROR(
IF(VLOOKUP($A15, YES_Reading_ELA[], COLUMN(INDIRECT("YES_Reading_ELA[Difference - Per "&amp;VLOOKUP($D$2, 'Reading Report Logic'!$A$2:$B$8,2,FALSE)&amp;"]")), FALSE)="", "",
VLOOKUP($A15,YES_Reading_ELA[],COLUMN(INDIRECT("YES_Reading_ELA[Difference - Per "&amp;VLOOKUP($D$2,'Reading Report Logic'!$A$2:$B$8,2,FALSE)&amp;"]")),FALSE)),
IF(VLOOKUP($A15, YES_Reading_FLA[], COLUMN(INDIRECT("YES_Reading_FLA[Difference - Per "&amp;VLOOKUP($D$2, 'Reading Report Logic'!$A$2:$B$8, 2, FALSE)&amp;"]")),FALSE)="", "", VLOOKUP($A15,YES_Reading_FLA[],COLUMN(INDIRECT("YES_Reading_FLA[Difference - Per "&amp;VLOOKUP($D$2, 'Reading Report Logic'!$A$2:$B$8, 2, FALSE)&amp;"]")),FALSE))),""))),"")</f>
        <v/>
      </c>
      <c r="H15" s="206" t="str">
        <f ca="1">IFERROR(VLOOKUP('Teacher Reading Pull Sheets'!$D15,_xlfn.VSTACK('ELA Reading Logic'!$A$22:$B$48,'FLA Reading Logic'!$A$22:$B$53),2,FALSE)-VLOOKUP('Teacher Reading Pull Sheets'!$C15,_xlfn.VSTACK('ELA Reading Logic'!$A$22:$B$48,'FLA Reading Logic'!$A$22:$B$53),2,FALSE),"")</f>
        <v/>
      </c>
      <c r="I15" s="207"/>
      <c r="J15" s="206"/>
      <c r="K15" s="197" t="str" cm="1">
        <f t="array" ref="K15">IFERROR(
IF($J$2="ELA",
IF(VLOOKUP($A15, YES_Reading_ELA[], COLUMN(YES_Reading_ELA[Self-Identified as African Descent]), FALSE)="", "",
VLOOKUP($A15,YES_Reading_ELA[], COLUMN(YES_Reading_ELA[Self-Identified as African Descent]), FALSE)),
IF($J$2="FLA",
IF(VLOOKUP($A15, YES_Reading_FLA[], COLUMN(YES_Reading_FLA[Self-Identified as African Descent]),FALSE)="","",
VLOOKUP($A15,YES_Reading_FLA[],COLUMN(YES_Reading_FLA[Self-Identified as African Descent]),FALSE)),
IF($J$2="Combined",
IFERROR(
IF(VLOOKUP($A15, YES_Reading_ELA[], COLUMN(YES_Reading_ELA[Self-Identified as African Descent]), FALSE)="", "",
VLOOKUP($A15,YES_Reading_ELA[],COLUMN(YES_Reading_ELA[Self-Identified as African Descent]),FALSE)),
IF(VLOOKUP($A15, YES_Reading_FLA[], COLUMN(YES_Reading_FLA[Self-Identified as African Descent]),FALSE)="", "", VLOOKUP($A15,YES_Reading_FLA[],COLUMN(YES_Reading_FLA[Self-Identified as African Descent]),FALSE))),""))),"")</f>
        <v/>
      </c>
      <c r="L15" s="73" t="str" cm="1">
        <f t="array" ref="L15">IFERROR(
IF($J$2="ELA",
IF(VLOOKUP($A15, YES_Reading_ELA[], COLUMN(YES_Reading_ELA[Self-Identified as Indigenous]), FALSE)="", "",
VLOOKUP($A15,YES_Reading_ELA[], COLUMN(YES_Reading_ELA[Self-Identified as Indigenous]), FALSE)),
IF($J$2="FLA",
IF(VLOOKUP($A15, YES_Reading_FLA[], COLUMN(YES_Reading_FLA[Self-Identified as Indigenous]),FALSE)="","",
VLOOKUP($A15,YES_Reading_FLA[],COLUMN(YES_Reading_FLA[Self-Identified as Indigenous]),FALSE)),
IF($J$2="Combined",
IFERROR(
IF(VLOOKUP($A15, YES_Reading_ELA[], COLUMN(YES_Reading_ELA[Self-Identified as Indigenous]), FALSE)="", "",
VLOOKUP($A15,YES_Reading_ELA[],COLUMN(YES_Reading_ELA[Self-Identified as Indigenous]),FALSE)),
IF(VLOOKUP($A15, YES_Reading_FLA[], COLUMN(YES_Reading_FLA[Self-Identified as Indigenous]),FALSE)="", "", VLOOKUP($A15,YES_Reading_FLA[],COLUMN(YES_Reading_FLA[Self-Identified as Indigenous]),FALSE))),""))),"")</f>
        <v/>
      </c>
    </row>
    <row r="16" spans="1:13" ht="19.5" customHeight="1" x14ac:dyDescent="0.25">
      <c r="A16" s="217"/>
      <c r="B16" s="220" t="str">
        <f>IFERROR(VLOOKUP(A16,_xlfn.VSTACK(YES_Reading_ELA[],YES_Reading_FLA[]),2,FALSE),"")</f>
        <v/>
      </c>
      <c r="C16" s="203"/>
      <c r="D16" s="204" t="str" cm="1">
        <f t="array" aca="1" ref="D16" ca="1">IFERROR(
IF($J$2="ELA",
IF(VLOOKUP($A16, YES_Reading_ELA[], COLUMN(INDIRECT("YES_Reading_ELA[Instructional Reading Level - Per "&amp;VLOOKUP($D$2, 'Reading Report Logic'!$A$2:$B$8, 2, FALSE)&amp;"]")), FALSE)="", "",
VLOOKUP($A16,YES_Reading_ELA[], COLUMN(INDIRECT("YES_Reading_ELA[Instructional Reading Level - Per "&amp;VLOOKUP($D$2,'Reading Report Logic'!$A$2:$B$8,2,FALSE)&amp;"]")), FALSE)),
IF($J$2="FLA",
IF(VLOOKUP($A16, YES_Reading_FLA[], COLUMN(INDIRECT("YES_Reading_FLA[Instructional Reading Level - Per "&amp;VLOOKUP($D$2,'Reading Report Logic'!$A$2:$B$8,2,FALSE)&amp;"]")),FALSE)="","",
VLOOKUP($A16,YES_Reading_FLA[],COLUMN(INDIRECT("YES_Reading_FLA[Instructional Reading Level - Per "&amp;VLOOKUP($D$2,'Reading Report Logic'!$A$2:$B$8,2,FALSE)&amp;"]")),FALSE)),
IF($J$2="Combined",
IFERROR(
IF(VLOOKUP($A16, YES_Reading_ELA[], COLUMN(INDIRECT("YES_Reading_ELA[Instructional Reading Level - Per "&amp;VLOOKUP($D$2, 'Reading Report Logic'!$A$2:$B$8,2,FALSE)&amp;"]")), FALSE)="", "",
VLOOKUP($A16,YES_Reading_ELA[],COLUMN(INDIRECT("YES_Reading_ELA[Instructional Reading Level - Per "&amp;VLOOKUP($D$2,'Reading Report Logic'!$A$2:$B$8,2,FALSE)&amp;"]")),FALSE)),
IF(VLOOKUP($A16, YES_Reading_FLA[], COLUMN(INDIRECT("YES_Reading_FLA[Instructional Reading Level - Per "&amp;VLOOKUP($D$2, 'Reading Report Logic'!$A$2:$B$8, 2, FALSE)&amp;"]")),FALSE)="", "", VLOOKUP($A16,YES_Reading_FLA[],COLUMN(INDIRECT("YES_Reading_FLA[Instructional Reading Level - Per "&amp;VLOOKUP($D$2, 'Reading Report Logic'!$A$2:$B$8, 2, FALSE)&amp;"]")),FALSE))),""))),"")</f>
        <v/>
      </c>
      <c r="E16" s="205" t="str" cm="1">
        <f t="array" aca="1" ref="E16" ca="1">IFERROR(
IF($J$2="ELA",
IF(VLOOKUP($A16, YES_Reading_ELA[], COLUMN(INDIRECT("YES_Reading_ELA[Min Expectation - Per "&amp;VLOOKUP($D$2, 'Reading Report Logic'!$A$2:$B$8, 2, FALSE)&amp;"]")), FALSE)="", "",
VLOOKUP($A16,YES_Reading_ELA[], COLUMN(INDIRECT("YES_Reading_ELA[Min Expectation - Per "&amp;VLOOKUP($D$2,'Reading Report Logic'!$A$2:$B$8,2,FALSE)&amp;"]")), FALSE)),
IF($J$2="FLA",
IF(VLOOKUP($A16, YES_Reading_FLA[], COLUMN(INDIRECT("YES_Reading_FLA[Min Expectation - Per "&amp;VLOOKUP($D$2,'Reading Report Logic'!$A$2:$B$8,2,FALSE)&amp;"]")),FALSE)="","",
VLOOKUP($A16,YES_Reading_FLA[],COLUMN(INDIRECT("YES_Reading_FLA[Min Expectation - Per "&amp;VLOOKUP($D$2,'Reading Report Logic'!$A$2:$B$8,2,FALSE)&amp;"]")),FALSE)),
IF($J$2="Combined",
IFERROR(
IF(VLOOKUP($A16, YES_Reading_ELA[], COLUMN(INDIRECT("YES_Reading_ELA[Min Expectation - Per "&amp;VLOOKUP($D$2, 'Reading Report Logic'!$A$2:$B$8,2,FALSE)&amp;"]")), FALSE)="", "",
VLOOKUP($A16,YES_Reading_ELA[],COLUMN(INDIRECT("YES_Reading_ELA[Min Expectation - Per "&amp;VLOOKUP($D$2,'Reading Report Logic'!$A$2:$B$8,2,FALSE)&amp;"]")),FALSE)),
IF(VLOOKUP($A16, YES_Reading_FLA[], COLUMN(INDIRECT("YES_Reading_FLA[Min Expectation - Per "&amp;VLOOKUP($D$2, 'Reading Report Logic'!$A$2:$B$8, 2, FALSE)&amp;"]")),FALSE)="", "", VLOOKUP($A16,YES_Reading_FLA[],COLUMN(INDIRECT("YES_Reading_FLA[Min Expectation - Per "&amp;VLOOKUP($D$2, 'Reading Report Logic'!$A$2:$B$8, 2, FALSE)&amp;"]")),FALSE))),""))),"")</f>
        <v/>
      </c>
      <c r="F16" s="205" t="str" cm="1">
        <f t="array" aca="1" ref="F16" ca="1">IFERROR(
IF($J$2="ELA",
IF(VLOOKUP($A16, YES_Reading_ELA[], COLUMN(INDIRECT("YES_Reading_ELA[Max Expectation - Per "&amp;VLOOKUP($D$2, 'Reading Report Logic'!$A$2:$B$8, 2, FALSE)&amp;"]")), FALSE)="", "",
VLOOKUP($A16,YES_Reading_ELA[], COLUMN(INDIRECT("YES_Reading_ELA[Max Expectation - Per "&amp;VLOOKUP($D$2,'Reading Report Logic'!$A$2:$B$8,2,FALSE)&amp;"]")), FALSE)),
IF($J$2="FLA",
IF(VLOOKUP($A16, YES_Reading_FLA[], COLUMN(INDIRECT("YES_Reading_FLA[Max Expectation - Per "&amp;VLOOKUP($D$2,'Reading Report Logic'!$A$2:$B$8,2,FALSE)&amp;"]")),FALSE)="","",
VLOOKUP($A16,YES_Reading_FLA[],COLUMN(INDIRECT("YES_Reading_FLA[Max Expectation - Per "&amp;VLOOKUP($D$2,'Reading Report Logic'!$A$2:$B$8,2,FALSE)&amp;"]")),FALSE)),
IF($J$2="Combined",
IFERROR(
IF(VLOOKUP($A16, YES_Reading_ELA[], COLUMN(INDIRECT("YES_Reading_ELA[Max Expectation - Per "&amp;VLOOKUP($D$2, 'Reading Report Logic'!$A$2:$B$8,2,FALSE)&amp;"]")), FALSE)="", "",
VLOOKUP($A16,YES_Reading_ELA[],COLUMN(INDIRECT("YES_Reading_ELA[Max Expectation - Per "&amp;VLOOKUP($D$2,'Reading Report Logic'!$A$2:$B$8,2,FALSE)&amp;"]")),FALSE)),
IF(VLOOKUP($A16, YES_Reading_FLA[], COLUMN(INDIRECT("YES_Reading_FLA[Max Expectation - Per "&amp;VLOOKUP($D$2, 'Reading Report Logic'!$A$2:$B$8, 2, FALSE)&amp;"]")),FALSE)="", "", VLOOKUP($A16,YES_Reading_FLA[],COLUMN(INDIRECT("YES_Reading_FLA[Max Expectation - Per "&amp;VLOOKUP($D$2, 'Reading Report Logic'!$A$2:$B$8, 2, FALSE)&amp;"]")),FALSE))),""))),"")</f>
        <v/>
      </c>
      <c r="G16" s="205" t="str" cm="1">
        <f t="array" aca="1" ref="G16" ca="1">IFERROR(
IF($J$2="ELA",
IF(VLOOKUP($A16, YES_Reading_ELA[], COLUMN(INDIRECT("YES_Reading_ELA[Difference - Per "&amp;VLOOKUP($D$2, 'Reading Report Logic'!$A$2:$B$8, 2, FALSE)&amp;"]")), FALSE)="", "",
VLOOKUP($A16,YES_Reading_ELA[], COLUMN(INDIRECT("YES_Reading_ELA[Difference - Per "&amp;VLOOKUP($D$2,'Reading Report Logic'!$A$2:$B$8,2,FALSE)&amp;"]")), FALSE)),
IF($J$2="FLA",
IF(VLOOKUP($A16, YES_Reading_FLA[], COLUMN(INDIRECT("YES_Reading_FLA[Difference - Per "&amp;VLOOKUP($D$2,'Reading Report Logic'!$A$2:$B$8,2,FALSE)&amp;"]")),FALSE)="","",
VLOOKUP($A16,YES_Reading_FLA[],COLUMN(INDIRECT("YES_Reading_FLA[Difference - Per "&amp;VLOOKUP($D$2,'Reading Report Logic'!$A$2:$B$8,2,FALSE)&amp;"]")),FALSE)),
IF($J$2="Combined",
IFERROR(
IF(VLOOKUP($A16, YES_Reading_ELA[], COLUMN(INDIRECT("YES_Reading_ELA[Difference - Per "&amp;VLOOKUP($D$2, 'Reading Report Logic'!$A$2:$B$8,2,FALSE)&amp;"]")), FALSE)="", "",
VLOOKUP($A16,YES_Reading_ELA[],COLUMN(INDIRECT("YES_Reading_ELA[Difference - Per "&amp;VLOOKUP($D$2,'Reading Report Logic'!$A$2:$B$8,2,FALSE)&amp;"]")),FALSE)),
IF(VLOOKUP($A16, YES_Reading_FLA[], COLUMN(INDIRECT("YES_Reading_FLA[Difference - Per "&amp;VLOOKUP($D$2, 'Reading Report Logic'!$A$2:$B$8, 2, FALSE)&amp;"]")),FALSE)="", "", VLOOKUP($A16,YES_Reading_FLA[],COLUMN(INDIRECT("YES_Reading_FLA[Difference - Per "&amp;VLOOKUP($D$2, 'Reading Report Logic'!$A$2:$B$8, 2, FALSE)&amp;"]")),FALSE))),""))),"")</f>
        <v/>
      </c>
      <c r="H16" s="206" t="str">
        <f ca="1">IFERROR(VLOOKUP('Teacher Reading Pull Sheets'!$D16,_xlfn.VSTACK('ELA Reading Logic'!$A$22:$B$48,'FLA Reading Logic'!$A$22:$B$53),2,FALSE)-VLOOKUP('Teacher Reading Pull Sheets'!$C16,_xlfn.VSTACK('ELA Reading Logic'!$A$22:$B$48,'FLA Reading Logic'!$A$22:$B$53),2,FALSE),"")</f>
        <v/>
      </c>
      <c r="I16" s="207"/>
      <c r="J16" s="206"/>
      <c r="K16" s="197" t="str" cm="1">
        <f t="array" ref="K16">IFERROR(
IF($J$2="ELA",
IF(VLOOKUP($A16, YES_Reading_ELA[], COLUMN(YES_Reading_ELA[Self-Identified as African Descent]), FALSE)="", "",
VLOOKUP($A16,YES_Reading_ELA[], COLUMN(YES_Reading_ELA[Self-Identified as African Descent]), FALSE)),
IF($J$2="FLA",
IF(VLOOKUP($A16, YES_Reading_FLA[], COLUMN(YES_Reading_FLA[Self-Identified as African Descent]),FALSE)="","",
VLOOKUP($A16,YES_Reading_FLA[],COLUMN(YES_Reading_FLA[Self-Identified as African Descent]),FALSE)),
IF($J$2="Combined",
IFERROR(
IF(VLOOKUP($A16, YES_Reading_ELA[], COLUMN(YES_Reading_ELA[Self-Identified as African Descent]), FALSE)="", "",
VLOOKUP($A16,YES_Reading_ELA[],COLUMN(YES_Reading_ELA[Self-Identified as African Descent]),FALSE)),
IF(VLOOKUP($A16, YES_Reading_FLA[], COLUMN(YES_Reading_FLA[Self-Identified as African Descent]),FALSE)="", "", VLOOKUP($A16,YES_Reading_FLA[],COLUMN(YES_Reading_FLA[Self-Identified as African Descent]),FALSE))),""))),"")</f>
        <v/>
      </c>
      <c r="L16" s="73" t="str" cm="1">
        <f t="array" ref="L16">IFERROR(
IF($J$2="ELA",
IF(VLOOKUP($A16, YES_Reading_ELA[], COLUMN(YES_Reading_ELA[Self-Identified as Indigenous]), FALSE)="", "",
VLOOKUP($A16,YES_Reading_ELA[], COLUMN(YES_Reading_ELA[Self-Identified as Indigenous]), FALSE)),
IF($J$2="FLA",
IF(VLOOKUP($A16, YES_Reading_FLA[], COLUMN(YES_Reading_FLA[Self-Identified as Indigenous]),FALSE)="","",
VLOOKUP($A16,YES_Reading_FLA[],COLUMN(YES_Reading_FLA[Self-Identified as Indigenous]),FALSE)),
IF($J$2="Combined",
IFERROR(
IF(VLOOKUP($A16, YES_Reading_ELA[], COLUMN(YES_Reading_ELA[Self-Identified as Indigenous]), FALSE)="", "",
VLOOKUP($A16,YES_Reading_ELA[],COLUMN(YES_Reading_ELA[Self-Identified as Indigenous]),FALSE)),
IF(VLOOKUP($A16, YES_Reading_FLA[], COLUMN(YES_Reading_FLA[Self-Identified as Indigenous]),FALSE)="", "", VLOOKUP($A16,YES_Reading_FLA[],COLUMN(YES_Reading_FLA[Self-Identified as Indigenous]),FALSE))),""))),"")</f>
        <v/>
      </c>
    </row>
    <row r="17" spans="1:12" ht="19.5" customHeight="1" x14ac:dyDescent="0.25">
      <c r="A17" s="217"/>
      <c r="B17" s="220" t="str">
        <f>IFERROR(VLOOKUP(A17,_xlfn.VSTACK(YES_Reading_ELA[],YES_Reading_FLA[]),2,FALSE),"")</f>
        <v/>
      </c>
      <c r="C17" s="203"/>
      <c r="D17" s="204" t="str" cm="1">
        <f t="array" aca="1" ref="D17" ca="1">IFERROR(
IF($J$2="ELA",
IF(VLOOKUP($A17, YES_Reading_ELA[], COLUMN(INDIRECT("YES_Reading_ELA[Instructional Reading Level - Per "&amp;VLOOKUP($D$2, 'Reading Report Logic'!$A$2:$B$8, 2, FALSE)&amp;"]")), FALSE)="", "",
VLOOKUP($A17,YES_Reading_ELA[], COLUMN(INDIRECT("YES_Reading_ELA[Instructional Reading Level - Per "&amp;VLOOKUP($D$2,'Reading Report Logic'!$A$2:$B$8,2,FALSE)&amp;"]")), FALSE)),
IF($J$2="FLA",
IF(VLOOKUP($A17, YES_Reading_FLA[], COLUMN(INDIRECT("YES_Reading_FLA[Instructional Reading Level - Per "&amp;VLOOKUP($D$2,'Reading Report Logic'!$A$2:$B$8,2,FALSE)&amp;"]")),FALSE)="","",
VLOOKUP($A17,YES_Reading_FLA[],COLUMN(INDIRECT("YES_Reading_FLA[Instructional Reading Level - Per "&amp;VLOOKUP($D$2,'Reading Report Logic'!$A$2:$B$8,2,FALSE)&amp;"]")),FALSE)),
IF($J$2="Combined",
IFERROR(
IF(VLOOKUP($A17, YES_Reading_ELA[], COLUMN(INDIRECT("YES_Reading_ELA[Instructional Reading Level - Per "&amp;VLOOKUP($D$2, 'Reading Report Logic'!$A$2:$B$8,2,FALSE)&amp;"]")), FALSE)="", "",
VLOOKUP($A17,YES_Reading_ELA[],COLUMN(INDIRECT("YES_Reading_ELA[Instructional Reading Level - Per "&amp;VLOOKUP($D$2,'Reading Report Logic'!$A$2:$B$8,2,FALSE)&amp;"]")),FALSE)),
IF(VLOOKUP($A17, YES_Reading_FLA[], COLUMN(INDIRECT("YES_Reading_FLA[Instructional Reading Level - Per "&amp;VLOOKUP($D$2, 'Reading Report Logic'!$A$2:$B$8, 2, FALSE)&amp;"]")),FALSE)="", "", VLOOKUP($A17,YES_Reading_FLA[],COLUMN(INDIRECT("YES_Reading_FLA[Instructional Reading Level - Per "&amp;VLOOKUP($D$2, 'Reading Report Logic'!$A$2:$B$8, 2, FALSE)&amp;"]")),FALSE))),""))),"")</f>
        <v/>
      </c>
      <c r="E17" s="205" t="str" cm="1">
        <f t="array" aca="1" ref="E17" ca="1">IFERROR(
IF($J$2="ELA",
IF(VLOOKUP($A17, YES_Reading_ELA[], COLUMN(INDIRECT("YES_Reading_ELA[Min Expectation - Per "&amp;VLOOKUP($D$2, 'Reading Report Logic'!$A$2:$B$8, 2, FALSE)&amp;"]")), FALSE)="", "",
VLOOKUP($A17,YES_Reading_ELA[], COLUMN(INDIRECT("YES_Reading_ELA[Min Expectation - Per "&amp;VLOOKUP($D$2,'Reading Report Logic'!$A$2:$B$8,2,FALSE)&amp;"]")), FALSE)),
IF($J$2="FLA",
IF(VLOOKUP($A17, YES_Reading_FLA[], COLUMN(INDIRECT("YES_Reading_FLA[Min Expectation - Per "&amp;VLOOKUP($D$2,'Reading Report Logic'!$A$2:$B$8,2,FALSE)&amp;"]")),FALSE)="","",
VLOOKUP($A17,YES_Reading_FLA[],COLUMN(INDIRECT("YES_Reading_FLA[Min Expectation - Per "&amp;VLOOKUP($D$2,'Reading Report Logic'!$A$2:$B$8,2,FALSE)&amp;"]")),FALSE)),
IF($J$2="Combined",
IFERROR(
IF(VLOOKUP($A17, YES_Reading_ELA[], COLUMN(INDIRECT("YES_Reading_ELA[Min Expectation - Per "&amp;VLOOKUP($D$2, 'Reading Report Logic'!$A$2:$B$8,2,FALSE)&amp;"]")), FALSE)="", "",
VLOOKUP($A17,YES_Reading_ELA[],COLUMN(INDIRECT("YES_Reading_ELA[Min Expectation - Per "&amp;VLOOKUP($D$2,'Reading Report Logic'!$A$2:$B$8,2,FALSE)&amp;"]")),FALSE)),
IF(VLOOKUP($A17, YES_Reading_FLA[], COLUMN(INDIRECT("YES_Reading_FLA[Min Expectation - Per "&amp;VLOOKUP($D$2, 'Reading Report Logic'!$A$2:$B$8, 2, FALSE)&amp;"]")),FALSE)="", "", VLOOKUP($A17,YES_Reading_FLA[],COLUMN(INDIRECT("YES_Reading_FLA[Min Expectation - Per "&amp;VLOOKUP($D$2, 'Reading Report Logic'!$A$2:$B$8, 2, FALSE)&amp;"]")),FALSE))),""))),"")</f>
        <v/>
      </c>
      <c r="F17" s="205" t="str" cm="1">
        <f t="array" aca="1" ref="F17" ca="1">IFERROR(
IF($J$2="ELA",
IF(VLOOKUP($A17, YES_Reading_ELA[], COLUMN(INDIRECT("YES_Reading_ELA[Max Expectation - Per "&amp;VLOOKUP($D$2, 'Reading Report Logic'!$A$2:$B$8, 2, FALSE)&amp;"]")), FALSE)="", "",
VLOOKUP($A17,YES_Reading_ELA[], COLUMN(INDIRECT("YES_Reading_ELA[Max Expectation - Per "&amp;VLOOKUP($D$2,'Reading Report Logic'!$A$2:$B$8,2,FALSE)&amp;"]")), FALSE)),
IF($J$2="FLA",
IF(VLOOKUP($A17, YES_Reading_FLA[], COLUMN(INDIRECT("YES_Reading_FLA[Max Expectation - Per "&amp;VLOOKUP($D$2,'Reading Report Logic'!$A$2:$B$8,2,FALSE)&amp;"]")),FALSE)="","",
VLOOKUP($A17,YES_Reading_FLA[],COLUMN(INDIRECT("YES_Reading_FLA[Max Expectation - Per "&amp;VLOOKUP($D$2,'Reading Report Logic'!$A$2:$B$8,2,FALSE)&amp;"]")),FALSE)),
IF($J$2="Combined",
IFERROR(
IF(VLOOKUP($A17, YES_Reading_ELA[], COLUMN(INDIRECT("YES_Reading_ELA[Max Expectation - Per "&amp;VLOOKUP($D$2, 'Reading Report Logic'!$A$2:$B$8,2,FALSE)&amp;"]")), FALSE)="", "",
VLOOKUP($A17,YES_Reading_ELA[],COLUMN(INDIRECT("YES_Reading_ELA[Max Expectation - Per "&amp;VLOOKUP($D$2,'Reading Report Logic'!$A$2:$B$8,2,FALSE)&amp;"]")),FALSE)),
IF(VLOOKUP($A17, YES_Reading_FLA[], COLUMN(INDIRECT("YES_Reading_FLA[Max Expectation - Per "&amp;VLOOKUP($D$2, 'Reading Report Logic'!$A$2:$B$8, 2, FALSE)&amp;"]")),FALSE)="", "", VLOOKUP($A17,YES_Reading_FLA[],COLUMN(INDIRECT("YES_Reading_FLA[Max Expectation - Per "&amp;VLOOKUP($D$2, 'Reading Report Logic'!$A$2:$B$8, 2, FALSE)&amp;"]")),FALSE))),""))),"")</f>
        <v/>
      </c>
      <c r="G17" s="205" t="str" cm="1">
        <f t="array" aca="1" ref="G17" ca="1">IFERROR(
IF($J$2="ELA",
IF(VLOOKUP($A17, YES_Reading_ELA[], COLUMN(INDIRECT("YES_Reading_ELA[Difference - Per "&amp;VLOOKUP($D$2, 'Reading Report Logic'!$A$2:$B$8, 2, FALSE)&amp;"]")), FALSE)="", "",
VLOOKUP($A17,YES_Reading_ELA[], COLUMN(INDIRECT("YES_Reading_ELA[Difference - Per "&amp;VLOOKUP($D$2,'Reading Report Logic'!$A$2:$B$8,2,FALSE)&amp;"]")), FALSE)),
IF($J$2="FLA",
IF(VLOOKUP($A17, YES_Reading_FLA[], COLUMN(INDIRECT("YES_Reading_FLA[Difference - Per "&amp;VLOOKUP($D$2,'Reading Report Logic'!$A$2:$B$8,2,FALSE)&amp;"]")),FALSE)="","",
VLOOKUP($A17,YES_Reading_FLA[],COLUMN(INDIRECT("YES_Reading_FLA[Difference - Per "&amp;VLOOKUP($D$2,'Reading Report Logic'!$A$2:$B$8,2,FALSE)&amp;"]")),FALSE)),
IF($J$2="Combined",
IFERROR(
IF(VLOOKUP($A17, YES_Reading_ELA[], COLUMN(INDIRECT("YES_Reading_ELA[Difference - Per "&amp;VLOOKUP($D$2, 'Reading Report Logic'!$A$2:$B$8,2,FALSE)&amp;"]")), FALSE)="", "",
VLOOKUP($A17,YES_Reading_ELA[],COLUMN(INDIRECT("YES_Reading_ELA[Difference - Per "&amp;VLOOKUP($D$2,'Reading Report Logic'!$A$2:$B$8,2,FALSE)&amp;"]")),FALSE)),
IF(VLOOKUP($A17, YES_Reading_FLA[], COLUMN(INDIRECT("YES_Reading_FLA[Difference - Per "&amp;VLOOKUP($D$2, 'Reading Report Logic'!$A$2:$B$8, 2, FALSE)&amp;"]")),FALSE)="", "", VLOOKUP($A17,YES_Reading_FLA[],COLUMN(INDIRECT("YES_Reading_FLA[Difference - Per "&amp;VLOOKUP($D$2, 'Reading Report Logic'!$A$2:$B$8, 2, FALSE)&amp;"]")),FALSE))),""))),"")</f>
        <v/>
      </c>
      <c r="H17" s="206" t="str">
        <f ca="1">IFERROR(VLOOKUP('Teacher Reading Pull Sheets'!$D17,_xlfn.VSTACK('ELA Reading Logic'!$A$22:$B$48,'FLA Reading Logic'!$A$22:$B$53),2,FALSE)-VLOOKUP('Teacher Reading Pull Sheets'!$C17,_xlfn.VSTACK('ELA Reading Logic'!$A$22:$B$48,'FLA Reading Logic'!$A$22:$B$53),2,FALSE),"")</f>
        <v/>
      </c>
      <c r="I17" s="207"/>
      <c r="J17" s="206"/>
      <c r="K17" s="197" t="str" cm="1">
        <f t="array" ref="K17">IFERROR(
IF($J$2="ELA",
IF(VLOOKUP($A17, YES_Reading_ELA[], COLUMN(YES_Reading_ELA[Self-Identified as African Descent]), FALSE)="", "",
VLOOKUP($A17,YES_Reading_ELA[], COLUMN(YES_Reading_ELA[Self-Identified as African Descent]), FALSE)),
IF($J$2="FLA",
IF(VLOOKUP($A17, YES_Reading_FLA[], COLUMN(YES_Reading_FLA[Self-Identified as African Descent]),FALSE)="","",
VLOOKUP($A17,YES_Reading_FLA[],COLUMN(YES_Reading_FLA[Self-Identified as African Descent]),FALSE)),
IF($J$2="Combined",
IFERROR(
IF(VLOOKUP($A17, YES_Reading_ELA[], COLUMN(YES_Reading_ELA[Self-Identified as African Descent]), FALSE)="", "",
VLOOKUP($A17,YES_Reading_ELA[],COLUMN(YES_Reading_ELA[Self-Identified as African Descent]),FALSE)),
IF(VLOOKUP($A17, YES_Reading_FLA[], COLUMN(YES_Reading_FLA[Self-Identified as African Descent]),FALSE)="", "", VLOOKUP($A17,YES_Reading_FLA[],COLUMN(YES_Reading_FLA[Self-Identified as African Descent]),FALSE))),""))),"")</f>
        <v/>
      </c>
      <c r="L17" s="73" t="str" cm="1">
        <f t="array" ref="L17">IFERROR(
IF($J$2="ELA",
IF(VLOOKUP($A17, YES_Reading_ELA[], COLUMN(YES_Reading_ELA[Self-Identified as Indigenous]), FALSE)="", "",
VLOOKUP($A17,YES_Reading_ELA[], COLUMN(YES_Reading_ELA[Self-Identified as Indigenous]), FALSE)),
IF($J$2="FLA",
IF(VLOOKUP($A17, YES_Reading_FLA[], COLUMN(YES_Reading_FLA[Self-Identified as Indigenous]),FALSE)="","",
VLOOKUP($A17,YES_Reading_FLA[],COLUMN(YES_Reading_FLA[Self-Identified as Indigenous]),FALSE)),
IF($J$2="Combined",
IFERROR(
IF(VLOOKUP($A17, YES_Reading_ELA[], COLUMN(YES_Reading_ELA[Self-Identified as Indigenous]), FALSE)="", "",
VLOOKUP($A17,YES_Reading_ELA[],COLUMN(YES_Reading_ELA[Self-Identified as Indigenous]),FALSE)),
IF(VLOOKUP($A17, YES_Reading_FLA[], COLUMN(YES_Reading_FLA[Self-Identified as Indigenous]),FALSE)="", "", VLOOKUP($A17,YES_Reading_FLA[],COLUMN(YES_Reading_FLA[Self-Identified as Indigenous]),FALSE))),""))),"")</f>
        <v/>
      </c>
    </row>
    <row r="18" spans="1:12" ht="19.5" customHeight="1" x14ac:dyDescent="0.25">
      <c r="A18" s="217"/>
      <c r="B18" s="220" t="str">
        <f>IFERROR(VLOOKUP(A18,_xlfn.VSTACK(YES_Reading_ELA[],YES_Reading_FLA[]),2,FALSE),"")</f>
        <v/>
      </c>
      <c r="C18" s="203"/>
      <c r="D18" s="204" t="str" cm="1">
        <f t="array" aca="1" ref="D18" ca="1">IFERROR(
IF($J$2="ELA",
IF(VLOOKUP($A18, YES_Reading_ELA[], COLUMN(INDIRECT("YES_Reading_ELA[Instructional Reading Level - Per "&amp;VLOOKUP($D$2, 'Reading Report Logic'!$A$2:$B$8, 2, FALSE)&amp;"]")), FALSE)="", "",
VLOOKUP($A18,YES_Reading_ELA[], COLUMN(INDIRECT("YES_Reading_ELA[Instructional Reading Level - Per "&amp;VLOOKUP($D$2,'Reading Report Logic'!$A$2:$B$8,2,FALSE)&amp;"]")), FALSE)),
IF($J$2="FLA",
IF(VLOOKUP($A18, YES_Reading_FLA[], COLUMN(INDIRECT("YES_Reading_FLA[Instructional Reading Level - Per "&amp;VLOOKUP($D$2,'Reading Report Logic'!$A$2:$B$8,2,FALSE)&amp;"]")),FALSE)="","",
VLOOKUP($A18,YES_Reading_FLA[],COLUMN(INDIRECT("YES_Reading_FLA[Instructional Reading Level - Per "&amp;VLOOKUP($D$2,'Reading Report Logic'!$A$2:$B$8,2,FALSE)&amp;"]")),FALSE)),
IF($J$2="Combined",
IFERROR(
IF(VLOOKUP($A18, YES_Reading_ELA[], COLUMN(INDIRECT("YES_Reading_ELA[Instructional Reading Level - Per "&amp;VLOOKUP($D$2, 'Reading Report Logic'!$A$2:$B$8,2,FALSE)&amp;"]")), FALSE)="", "",
VLOOKUP($A18,YES_Reading_ELA[],COLUMN(INDIRECT("YES_Reading_ELA[Instructional Reading Level - Per "&amp;VLOOKUP($D$2,'Reading Report Logic'!$A$2:$B$8,2,FALSE)&amp;"]")),FALSE)),
IF(VLOOKUP($A18, YES_Reading_FLA[], COLUMN(INDIRECT("YES_Reading_FLA[Instructional Reading Level - Per "&amp;VLOOKUP($D$2, 'Reading Report Logic'!$A$2:$B$8, 2, FALSE)&amp;"]")),FALSE)="", "", VLOOKUP($A18,YES_Reading_FLA[],COLUMN(INDIRECT("YES_Reading_FLA[Instructional Reading Level - Per "&amp;VLOOKUP($D$2, 'Reading Report Logic'!$A$2:$B$8, 2, FALSE)&amp;"]")),FALSE))),""))),"")</f>
        <v/>
      </c>
      <c r="E18" s="205" t="str" cm="1">
        <f t="array" aca="1" ref="E18" ca="1">IFERROR(
IF($J$2="ELA",
IF(VLOOKUP($A18, YES_Reading_ELA[], COLUMN(INDIRECT("YES_Reading_ELA[Min Expectation - Per "&amp;VLOOKUP($D$2, 'Reading Report Logic'!$A$2:$B$8, 2, FALSE)&amp;"]")), FALSE)="", "",
VLOOKUP($A18,YES_Reading_ELA[], COLUMN(INDIRECT("YES_Reading_ELA[Min Expectation - Per "&amp;VLOOKUP($D$2,'Reading Report Logic'!$A$2:$B$8,2,FALSE)&amp;"]")), FALSE)),
IF($J$2="FLA",
IF(VLOOKUP($A18, YES_Reading_FLA[], COLUMN(INDIRECT("YES_Reading_FLA[Min Expectation - Per "&amp;VLOOKUP($D$2,'Reading Report Logic'!$A$2:$B$8,2,FALSE)&amp;"]")),FALSE)="","",
VLOOKUP($A18,YES_Reading_FLA[],COLUMN(INDIRECT("YES_Reading_FLA[Min Expectation - Per "&amp;VLOOKUP($D$2,'Reading Report Logic'!$A$2:$B$8,2,FALSE)&amp;"]")),FALSE)),
IF($J$2="Combined",
IFERROR(
IF(VLOOKUP($A18, YES_Reading_ELA[], COLUMN(INDIRECT("YES_Reading_ELA[Min Expectation - Per "&amp;VLOOKUP($D$2, 'Reading Report Logic'!$A$2:$B$8,2,FALSE)&amp;"]")), FALSE)="", "",
VLOOKUP($A18,YES_Reading_ELA[],COLUMN(INDIRECT("YES_Reading_ELA[Min Expectation - Per "&amp;VLOOKUP($D$2,'Reading Report Logic'!$A$2:$B$8,2,FALSE)&amp;"]")),FALSE)),
IF(VLOOKUP($A18, YES_Reading_FLA[], COLUMN(INDIRECT("YES_Reading_FLA[Min Expectation - Per "&amp;VLOOKUP($D$2, 'Reading Report Logic'!$A$2:$B$8, 2, FALSE)&amp;"]")),FALSE)="", "", VLOOKUP($A18,YES_Reading_FLA[],COLUMN(INDIRECT("YES_Reading_FLA[Min Expectation - Per "&amp;VLOOKUP($D$2, 'Reading Report Logic'!$A$2:$B$8, 2, FALSE)&amp;"]")),FALSE))),""))),"")</f>
        <v/>
      </c>
      <c r="F18" s="205" t="str" cm="1">
        <f t="array" aca="1" ref="F18" ca="1">IFERROR(
IF($J$2="ELA",
IF(VLOOKUP($A18, YES_Reading_ELA[], COLUMN(INDIRECT("YES_Reading_ELA[Max Expectation - Per "&amp;VLOOKUP($D$2, 'Reading Report Logic'!$A$2:$B$8, 2, FALSE)&amp;"]")), FALSE)="", "",
VLOOKUP($A18,YES_Reading_ELA[], COLUMN(INDIRECT("YES_Reading_ELA[Max Expectation - Per "&amp;VLOOKUP($D$2,'Reading Report Logic'!$A$2:$B$8,2,FALSE)&amp;"]")), FALSE)),
IF($J$2="FLA",
IF(VLOOKUP($A18, YES_Reading_FLA[], COLUMN(INDIRECT("YES_Reading_FLA[Max Expectation - Per "&amp;VLOOKUP($D$2,'Reading Report Logic'!$A$2:$B$8,2,FALSE)&amp;"]")),FALSE)="","",
VLOOKUP($A18,YES_Reading_FLA[],COLUMN(INDIRECT("YES_Reading_FLA[Max Expectation - Per "&amp;VLOOKUP($D$2,'Reading Report Logic'!$A$2:$B$8,2,FALSE)&amp;"]")),FALSE)),
IF($J$2="Combined",
IFERROR(
IF(VLOOKUP($A18, YES_Reading_ELA[], COLUMN(INDIRECT("YES_Reading_ELA[Max Expectation - Per "&amp;VLOOKUP($D$2, 'Reading Report Logic'!$A$2:$B$8,2,FALSE)&amp;"]")), FALSE)="", "",
VLOOKUP($A18,YES_Reading_ELA[],COLUMN(INDIRECT("YES_Reading_ELA[Max Expectation - Per "&amp;VLOOKUP($D$2,'Reading Report Logic'!$A$2:$B$8,2,FALSE)&amp;"]")),FALSE)),
IF(VLOOKUP($A18, YES_Reading_FLA[], COLUMN(INDIRECT("YES_Reading_FLA[Max Expectation - Per "&amp;VLOOKUP($D$2, 'Reading Report Logic'!$A$2:$B$8, 2, FALSE)&amp;"]")),FALSE)="", "", VLOOKUP($A18,YES_Reading_FLA[],COLUMN(INDIRECT("YES_Reading_FLA[Max Expectation - Per "&amp;VLOOKUP($D$2, 'Reading Report Logic'!$A$2:$B$8, 2, FALSE)&amp;"]")),FALSE))),""))),"")</f>
        <v/>
      </c>
      <c r="G18" s="205" t="str" cm="1">
        <f t="array" aca="1" ref="G18" ca="1">IFERROR(
IF($J$2="ELA",
IF(VLOOKUP($A18, YES_Reading_ELA[], COLUMN(INDIRECT("YES_Reading_ELA[Difference - Per "&amp;VLOOKUP($D$2, 'Reading Report Logic'!$A$2:$B$8, 2, FALSE)&amp;"]")), FALSE)="", "",
VLOOKUP($A18,YES_Reading_ELA[], COLUMN(INDIRECT("YES_Reading_ELA[Difference - Per "&amp;VLOOKUP($D$2,'Reading Report Logic'!$A$2:$B$8,2,FALSE)&amp;"]")), FALSE)),
IF($J$2="FLA",
IF(VLOOKUP($A18, YES_Reading_FLA[], COLUMN(INDIRECT("YES_Reading_FLA[Difference - Per "&amp;VLOOKUP($D$2,'Reading Report Logic'!$A$2:$B$8,2,FALSE)&amp;"]")),FALSE)="","",
VLOOKUP($A18,YES_Reading_FLA[],COLUMN(INDIRECT("YES_Reading_FLA[Difference - Per "&amp;VLOOKUP($D$2,'Reading Report Logic'!$A$2:$B$8,2,FALSE)&amp;"]")),FALSE)),
IF($J$2="Combined",
IFERROR(
IF(VLOOKUP($A18, YES_Reading_ELA[], COLUMN(INDIRECT("YES_Reading_ELA[Difference - Per "&amp;VLOOKUP($D$2, 'Reading Report Logic'!$A$2:$B$8,2,FALSE)&amp;"]")), FALSE)="", "",
VLOOKUP($A18,YES_Reading_ELA[],COLUMN(INDIRECT("YES_Reading_ELA[Difference - Per "&amp;VLOOKUP($D$2,'Reading Report Logic'!$A$2:$B$8,2,FALSE)&amp;"]")),FALSE)),
IF(VLOOKUP($A18, YES_Reading_FLA[], COLUMN(INDIRECT("YES_Reading_FLA[Difference - Per "&amp;VLOOKUP($D$2, 'Reading Report Logic'!$A$2:$B$8, 2, FALSE)&amp;"]")),FALSE)="", "", VLOOKUP($A18,YES_Reading_FLA[],COLUMN(INDIRECT("YES_Reading_FLA[Difference - Per "&amp;VLOOKUP($D$2, 'Reading Report Logic'!$A$2:$B$8, 2, FALSE)&amp;"]")),FALSE))),""))),"")</f>
        <v/>
      </c>
      <c r="H18" s="206" t="str">
        <f ca="1">IFERROR(VLOOKUP('Teacher Reading Pull Sheets'!$D18,_xlfn.VSTACK('ELA Reading Logic'!$A$22:$B$48,'FLA Reading Logic'!$A$22:$B$53),2,FALSE)-VLOOKUP('Teacher Reading Pull Sheets'!$C18,_xlfn.VSTACK('ELA Reading Logic'!$A$22:$B$48,'FLA Reading Logic'!$A$22:$B$53),2,FALSE),"")</f>
        <v/>
      </c>
      <c r="I18" s="238"/>
      <c r="J18" s="206"/>
      <c r="K18" s="197" t="str" cm="1">
        <f t="array" ref="K18">IFERROR(
IF($J$2="ELA",
IF(VLOOKUP($A18, YES_Reading_ELA[], COLUMN(YES_Reading_ELA[Self-Identified as African Descent]), FALSE)="", "",
VLOOKUP($A18,YES_Reading_ELA[], COLUMN(YES_Reading_ELA[Self-Identified as African Descent]), FALSE)),
IF($J$2="FLA",
IF(VLOOKUP($A18, YES_Reading_FLA[], COLUMN(YES_Reading_FLA[Self-Identified as African Descent]),FALSE)="","",
VLOOKUP($A18,YES_Reading_FLA[],COLUMN(YES_Reading_FLA[Self-Identified as African Descent]),FALSE)),
IF($J$2="Combined",
IFERROR(
IF(VLOOKUP($A18, YES_Reading_ELA[], COLUMN(YES_Reading_ELA[Self-Identified as African Descent]), FALSE)="", "",
VLOOKUP($A18,YES_Reading_ELA[],COLUMN(YES_Reading_ELA[Self-Identified as African Descent]),FALSE)),
IF(VLOOKUP($A18, YES_Reading_FLA[], COLUMN(YES_Reading_FLA[Self-Identified as African Descent]),FALSE)="", "", VLOOKUP($A18,YES_Reading_FLA[],COLUMN(YES_Reading_FLA[Self-Identified as African Descent]),FALSE))),""))),"")</f>
        <v/>
      </c>
      <c r="L18" s="73" t="str" cm="1">
        <f t="array" ref="L18">IFERROR(
IF($J$2="ELA",
IF(VLOOKUP($A18, YES_Reading_ELA[], COLUMN(YES_Reading_ELA[Self-Identified as Indigenous]), FALSE)="", "",
VLOOKUP($A18,YES_Reading_ELA[], COLUMN(YES_Reading_ELA[Self-Identified as Indigenous]), FALSE)),
IF($J$2="FLA",
IF(VLOOKUP($A18, YES_Reading_FLA[], COLUMN(YES_Reading_FLA[Self-Identified as Indigenous]),FALSE)="","",
VLOOKUP($A18,YES_Reading_FLA[],COLUMN(YES_Reading_FLA[Self-Identified as Indigenous]),FALSE)),
IF($J$2="Combined",
IFERROR(
IF(VLOOKUP($A18, YES_Reading_ELA[], COLUMN(YES_Reading_ELA[Self-Identified as Indigenous]), FALSE)="", "",
VLOOKUP($A18,YES_Reading_ELA[],COLUMN(YES_Reading_ELA[Self-Identified as Indigenous]),FALSE)),
IF(VLOOKUP($A18, YES_Reading_FLA[], COLUMN(YES_Reading_FLA[Self-Identified as Indigenous]),FALSE)="", "", VLOOKUP($A18,YES_Reading_FLA[],COLUMN(YES_Reading_FLA[Self-Identified as Indigenous]),FALSE))),""))),"")</f>
        <v/>
      </c>
    </row>
    <row r="19" spans="1:12" ht="19.5" customHeight="1" x14ac:dyDescent="0.25">
      <c r="A19" s="217"/>
      <c r="B19" s="220" t="str">
        <f>IFERROR(VLOOKUP(A19,_xlfn.VSTACK(YES_Reading_ELA[],YES_Reading_FLA[]),2,FALSE),"")</f>
        <v/>
      </c>
      <c r="C19" s="203"/>
      <c r="D19" s="204" t="str" cm="1">
        <f t="array" aca="1" ref="D19" ca="1">IFERROR(
IF($J$2="ELA",
IF(VLOOKUP($A19, YES_Reading_ELA[], COLUMN(INDIRECT("YES_Reading_ELA[Instructional Reading Level - Per "&amp;VLOOKUP($D$2, 'Reading Report Logic'!$A$2:$B$8, 2, FALSE)&amp;"]")), FALSE)="", "",
VLOOKUP($A19,YES_Reading_ELA[], COLUMN(INDIRECT("YES_Reading_ELA[Instructional Reading Level - Per "&amp;VLOOKUP($D$2,'Reading Report Logic'!$A$2:$B$8,2,FALSE)&amp;"]")), FALSE)),
IF($J$2="FLA",
IF(VLOOKUP($A19, YES_Reading_FLA[], COLUMN(INDIRECT("YES_Reading_FLA[Instructional Reading Level - Per "&amp;VLOOKUP($D$2,'Reading Report Logic'!$A$2:$B$8,2,FALSE)&amp;"]")),FALSE)="","",
VLOOKUP($A19,YES_Reading_FLA[],COLUMN(INDIRECT("YES_Reading_FLA[Instructional Reading Level - Per "&amp;VLOOKUP($D$2,'Reading Report Logic'!$A$2:$B$8,2,FALSE)&amp;"]")),FALSE)),
IF($J$2="Combined",
IFERROR(
IF(VLOOKUP($A19, YES_Reading_ELA[], COLUMN(INDIRECT("YES_Reading_ELA[Instructional Reading Level - Per "&amp;VLOOKUP($D$2, 'Reading Report Logic'!$A$2:$B$8,2,FALSE)&amp;"]")), FALSE)="", "",
VLOOKUP($A19,YES_Reading_ELA[],COLUMN(INDIRECT("YES_Reading_ELA[Instructional Reading Level - Per "&amp;VLOOKUP($D$2,'Reading Report Logic'!$A$2:$B$8,2,FALSE)&amp;"]")),FALSE)),
IF(VLOOKUP($A19, YES_Reading_FLA[], COLUMN(INDIRECT("YES_Reading_FLA[Instructional Reading Level - Per "&amp;VLOOKUP($D$2, 'Reading Report Logic'!$A$2:$B$8, 2, FALSE)&amp;"]")),FALSE)="", "", VLOOKUP($A19,YES_Reading_FLA[],COLUMN(INDIRECT("YES_Reading_FLA[Instructional Reading Level - Per "&amp;VLOOKUP($D$2, 'Reading Report Logic'!$A$2:$B$8, 2, FALSE)&amp;"]")),FALSE))),""))),"")</f>
        <v/>
      </c>
      <c r="E19" s="205" t="str" cm="1">
        <f t="array" aca="1" ref="E19" ca="1">IFERROR(
IF($J$2="ELA",
IF(VLOOKUP($A19, YES_Reading_ELA[], COLUMN(INDIRECT("YES_Reading_ELA[Min Expectation - Per "&amp;VLOOKUP($D$2, 'Reading Report Logic'!$A$2:$B$8, 2, FALSE)&amp;"]")), FALSE)="", "",
VLOOKUP($A19,YES_Reading_ELA[], COLUMN(INDIRECT("YES_Reading_ELA[Min Expectation - Per "&amp;VLOOKUP($D$2,'Reading Report Logic'!$A$2:$B$8,2,FALSE)&amp;"]")), FALSE)),
IF($J$2="FLA",
IF(VLOOKUP($A19, YES_Reading_FLA[], COLUMN(INDIRECT("YES_Reading_FLA[Min Expectation - Per "&amp;VLOOKUP($D$2,'Reading Report Logic'!$A$2:$B$8,2,FALSE)&amp;"]")),FALSE)="","",
VLOOKUP($A19,YES_Reading_FLA[],COLUMN(INDIRECT("YES_Reading_FLA[Min Expectation - Per "&amp;VLOOKUP($D$2,'Reading Report Logic'!$A$2:$B$8,2,FALSE)&amp;"]")),FALSE)),
IF($J$2="Combined",
IFERROR(
IF(VLOOKUP($A19, YES_Reading_ELA[], COLUMN(INDIRECT("YES_Reading_ELA[Min Expectation - Per "&amp;VLOOKUP($D$2, 'Reading Report Logic'!$A$2:$B$8,2,FALSE)&amp;"]")), FALSE)="", "",
VLOOKUP($A19,YES_Reading_ELA[],COLUMN(INDIRECT("YES_Reading_ELA[Min Expectation - Per "&amp;VLOOKUP($D$2,'Reading Report Logic'!$A$2:$B$8,2,FALSE)&amp;"]")),FALSE)),
IF(VLOOKUP($A19, YES_Reading_FLA[], COLUMN(INDIRECT("YES_Reading_FLA[Min Expectation - Per "&amp;VLOOKUP($D$2, 'Reading Report Logic'!$A$2:$B$8, 2, FALSE)&amp;"]")),FALSE)="", "", VLOOKUP($A19,YES_Reading_FLA[],COLUMN(INDIRECT("YES_Reading_FLA[Min Expectation - Per "&amp;VLOOKUP($D$2, 'Reading Report Logic'!$A$2:$B$8, 2, FALSE)&amp;"]")),FALSE))),""))),"")</f>
        <v/>
      </c>
      <c r="F19" s="205" t="str" cm="1">
        <f t="array" aca="1" ref="F19" ca="1">IFERROR(
IF($J$2="ELA",
IF(VLOOKUP($A19, YES_Reading_ELA[], COLUMN(INDIRECT("YES_Reading_ELA[Max Expectation - Per "&amp;VLOOKUP($D$2, 'Reading Report Logic'!$A$2:$B$8, 2, FALSE)&amp;"]")), FALSE)="", "",
VLOOKUP($A19,YES_Reading_ELA[], COLUMN(INDIRECT("YES_Reading_ELA[Max Expectation - Per "&amp;VLOOKUP($D$2,'Reading Report Logic'!$A$2:$B$8,2,FALSE)&amp;"]")), FALSE)),
IF($J$2="FLA",
IF(VLOOKUP($A19, YES_Reading_FLA[], COLUMN(INDIRECT("YES_Reading_FLA[Max Expectation - Per "&amp;VLOOKUP($D$2,'Reading Report Logic'!$A$2:$B$8,2,FALSE)&amp;"]")),FALSE)="","",
VLOOKUP($A19,YES_Reading_FLA[],COLUMN(INDIRECT("YES_Reading_FLA[Max Expectation - Per "&amp;VLOOKUP($D$2,'Reading Report Logic'!$A$2:$B$8,2,FALSE)&amp;"]")),FALSE)),
IF($J$2="Combined",
IFERROR(
IF(VLOOKUP($A19, YES_Reading_ELA[], COLUMN(INDIRECT("YES_Reading_ELA[Max Expectation - Per "&amp;VLOOKUP($D$2, 'Reading Report Logic'!$A$2:$B$8,2,FALSE)&amp;"]")), FALSE)="", "",
VLOOKUP($A19,YES_Reading_ELA[],COLUMN(INDIRECT("YES_Reading_ELA[Max Expectation - Per "&amp;VLOOKUP($D$2,'Reading Report Logic'!$A$2:$B$8,2,FALSE)&amp;"]")),FALSE)),
IF(VLOOKUP($A19, YES_Reading_FLA[], COLUMN(INDIRECT("YES_Reading_FLA[Max Expectation - Per "&amp;VLOOKUP($D$2, 'Reading Report Logic'!$A$2:$B$8, 2, FALSE)&amp;"]")),FALSE)="", "", VLOOKUP($A19,YES_Reading_FLA[],COLUMN(INDIRECT("YES_Reading_FLA[Max Expectation - Per "&amp;VLOOKUP($D$2, 'Reading Report Logic'!$A$2:$B$8, 2, FALSE)&amp;"]")),FALSE))),""))),"")</f>
        <v/>
      </c>
      <c r="G19" s="205" t="str" cm="1">
        <f t="array" aca="1" ref="G19" ca="1">IFERROR(
IF($J$2="ELA",
IF(VLOOKUP($A19, YES_Reading_ELA[], COLUMN(INDIRECT("YES_Reading_ELA[Difference - Per "&amp;VLOOKUP($D$2, 'Reading Report Logic'!$A$2:$B$8, 2, FALSE)&amp;"]")), FALSE)="", "",
VLOOKUP($A19,YES_Reading_ELA[], COLUMN(INDIRECT("YES_Reading_ELA[Difference - Per "&amp;VLOOKUP($D$2,'Reading Report Logic'!$A$2:$B$8,2,FALSE)&amp;"]")), FALSE)),
IF($J$2="FLA",
IF(VLOOKUP($A19, YES_Reading_FLA[], COLUMN(INDIRECT("YES_Reading_FLA[Difference - Per "&amp;VLOOKUP($D$2,'Reading Report Logic'!$A$2:$B$8,2,FALSE)&amp;"]")),FALSE)="","",
VLOOKUP($A19,YES_Reading_FLA[],COLUMN(INDIRECT("YES_Reading_FLA[Difference - Per "&amp;VLOOKUP($D$2,'Reading Report Logic'!$A$2:$B$8,2,FALSE)&amp;"]")),FALSE)),
IF($J$2="Combined",
IFERROR(
IF(VLOOKUP($A19, YES_Reading_ELA[], COLUMN(INDIRECT("YES_Reading_ELA[Difference - Per "&amp;VLOOKUP($D$2, 'Reading Report Logic'!$A$2:$B$8,2,FALSE)&amp;"]")), FALSE)="", "",
VLOOKUP($A19,YES_Reading_ELA[],COLUMN(INDIRECT("YES_Reading_ELA[Difference - Per "&amp;VLOOKUP($D$2,'Reading Report Logic'!$A$2:$B$8,2,FALSE)&amp;"]")),FALSE)),
IF(VLOOKUP($A19, YES_Reading_FLA[], COLUMN(INDIRECT("YES_Reading_FLA[Difference - Per "&amp;VLOOKUP($D$2, 'Reading Report Logic'!$A$2:$B$8, 2, FALSE)&amp;"]")),FALSE)="", "", VLOOKUP($A19,YES_Reading_FLA[],COLUMN(INDIRECT("YES_Reading_FLA[Difference - Per "&amp;VLOOKUP($D$2, 'Reading Report Logic'!$A$2:$B$8, 2, FALSE)&amp;"]")),FALSE))),""))),"")</f>
        <v/>
      </c>
      <c r="H19" s="206" t="str">
        <f ca="1">IFERROR(VLOOKUP('Teacher Reading Pull Sheets'!$D19,_xlfn.VSTACK('ELA Reading Logic'!$A$22:$B$48,'FLA Reading Logic'!$A$22:$B$53),2,FALSE)-VLOOKUP('Teacher Reading Pull Sheets'!$C19,_xlfn.VSTACK('ELA Reading Logic'!$A$22:$B$48,'FLA Reading Logic'!$A$22:$B$53),2,FALSE),"")</f>
        <v/>
      </c>
      <c r="I19" s="207"/>
      <c r="J19" s="206"/>
      <c r="K19" s="197" t="str" cm="1">
        <f t="array" ref="K19">IFERROR(
IF($J$2="ELA",
IF(VLOOKUP($A19, YES_Reading_ELA[], COLUMN(YES_Reading_ELA[Self-Identified as African Descent]), FALSE)="", "",
VLOOKUP($A19,YES_Reading_ELA[], COLUMN(YES_Reading_ELA[Self-Identified as African Descent]), FALSE)),
IF($J$2="FLA",
IF(VLOOKUP($A19, YES_Reading_FLA[], COLUMN(YES_Reading_FLA[Self-Identified as African Descent]),FALSE)="","",
VLOOKUP($A19,YES_Reading_FLA[],COLUMN(YES_Reading_FLA[Self-Identified as African Descent]),FALSE)),
IF($J$2="Combined",
IFERROR(
IF(VLOOKUP($A19, YES_Reading_ELA[], COLUMN(YES_Reading_ELA[Self-Identified as African Descent]), FALSE)="", "",
VLOOKUP($A19,YES_Reading_ELA[],COLUMN(YES_Reading_ELA[Self-Identified as African Descent]),FALSE)),
IF(VLOOKUP($A19, YES_Reading_FLA[], COLUMN(YES_Reading_FLA[Self-Identified as African Descent]),FALSE)="", "", VLOOKUP($A19,YES_Reading_FLA[],COLUMN(YES_Reading_FLA[Self-Identified as African Descent]),FALSE))),""))),"")</f>
        <v/>
      </c>
      <c r="L19" s="73" t="str" cm="1">
        <f t="array" ref="L19">IFERROR(
IF($J$2="ELA",
IF(VLOOKUP($A19, YES_Reading_ELA[], COLUMN(YES_Reading_ELA[Self-Identified as Indigenous]), FALSE)="", "",
VLOOKUP($A19,YES_Reading_ELA[], COLUMN(YES_Reading_ELA[Self-Identified as Indigenous]), FALSE)),
IF($J$2="FLA",
IF(VLOOKUP($A19, YES_Reading_FLA[], COLUMN(YES_Reading_FLA[Self-Identified as Indigenous]),FALSE)="","",
VLOOKUP($A19,YES_Reading_FLA[],COLUMN(YES_Reading_FLA[Self-Identified as Indigenous]),FALSE)),
IF($J$2="Combined",
IFERROR(
IF(VLOOKUP($A19, YES_Reading_ELA[], COLUMN(YES_Reading_ELA[Self-Identified as Indigenous]), FALSE)="", "",
VLOOKUP($A19,YES_Reading_ELA[],COLUMN(YES_Reading_ELA[Self-Identified as Indigenous]),FALSE)),
IF(VLOOKUP($A19, YES_Reading_FLA[], COLUMN(YES_Reading_FLA[Self-Identified as Indigenous]),FALSE)="", "", VLOOKUP($A19,YES_Reading_FLA[],COLUMN(YES_Reading_FLA[Self-Identified as Indigenous]),FALSE))),""))),"")</f>
        <v/>
      </c>
    </row>
    <row r="20" spans="1:12" ht="19.5" customHeight="1" x14ac:dyDescent="0.25">
      <c r="A20" s="217"/>
      <c r="B20" s="220" t="str">
        <f>IFERROR(VLOOKUP(A20,_xlfn.VSTACK(YES_Reading_ELA[],YES_Reading_FLA[]),2,FALSE),"")</f>
        <v/>
      </c>
      <c r="C20" s="203"/>
      <c r="D20" s="204" t="str" cm="1">
        <f t="array" aca="1" ref="D20" ca="1">IFERROR(
IF($J$2="ELA",
IF(VLOOKUP($A20, YES_Reading_ELA[], COLUMN(INDIRECT("YES_Reading_ELA[Instructional Reading Level - Per "&amp;VLOOKUP($D$2, 'Reading Report Logic'!$A$2:$B$8, 2, FALSE)&amp;"]")), FALSE)="", "",
VLOOKUP($A20,YES_Reading_ELA[], COLUMN(INDIRECT("YES_Reading_ELA[Instructional Reading Level - Per "&amp;VLOOKUP($D$2,'Reading Report Logic'!$A$2:$B$8,2,FALSE)&amp;"]")), FALSE)),
IF($J$2="FLA",
IF(VLOOKUP($A20, YES_Reading_FLA[], COLUMN(INDIRECT("YES_Reading_FLA[Instructional Reading Level - Per "&amp;VLOOKUP($D$2,'Reading Report Logic'!$A$2:$B$8,2,FALSE)&amp;"]")),FALSE)="","",
VLOOKUP($A20,YES_Reading_FLA[],COLUMN(INDIRECT("YES_Reading_FLA[Instructional Reading Level - Per "&amp;VLOOKUP($D$2,'Reading Report Logic'!$A$2:$B$8,2,FALSE)&amp;"]")),FALSE)),
IF($J$2="Combined",
IFERROR(
IF(VLOOKUP($A20, YES_Reading_ELA[], COLUMN(INDIRECT("YES_Reading_ELA[Instructional Reading Level - Per "&amp;VLOOKUP($D$2, 'Reading Report Logic'!$A$2:$B$8,2,FALSE)&amp;"]")), FALSE)="", "",
VLOOKUP($A20,YES_Reading_ELA[],COLUMN(INDIRECT("YES_Reading_ELA[Instructional Reading Level - Per "&amp;VLOOKUP($D$2,'Reading Report Logic'!$A$2:$B$8,2,FALSE)&amp;"]")),FALSE)),
IF(VLOOKUP($A20, YES_Reading_FLA[], COLUMN(INDIRECT("YES_Reading_FLA[Instructional Reading Level - Per "&amp;VLOOKUP($D$2, 'Reading Report Logic'!$A$2:$B$8, 2, FALSE)&amp;"]")),FALSE)="", "", VLOOKUP($A20,YES_Reading_FLA[],COLUMN(INDIRECT("YES_Reading_FLA[Instructional Reading Level - Per "&amp;VLOOKUP($D$2, 'Reading Report Logic'!$A$2:$B$8, 2, FALSE)&amp;"]")),FALSE))),""))),"")</f>
        <v/>
      </c>
      <c r="E20" s="205" t="str" cm="1">
        <f t="array" aca="1" ref="E20" ca="1">IFERROR(
IF($J$2="ELA",
IF(VLOOKUP($A20, YES_Reading_ELA[], COLUMN(INDIRECT("YES_Reading_ELA[Min Expectation - Per "&amp;VLOOKUP($D$2, 'Reading Report Logic'!$A$2:$B$8, 2, FALSE)&amp;"]")), FALSE)="", "",
VLOOKUP($A20,YES_Reading_ELA[], COLUMN(INDIRECT("YES_Reading_ELA[Min Expectation - Per "&amp;VLOOKUP($D$2,'Reading Report Logic'!$A$2:$B$8,2,FALSE)&amp;"]")), FALSE)),
IF($J$2="FLA",
IF(VLOOKUP($A20, YES_Reading_FLA[], COLUMN(INDIRECT("YES_Reading_FLA[Min Expectation - Per "&amp;VLOOKUP($D$2,'Reading Report Logic'!$A$2:$B$8,2,FALSE)&amp;"]")),FALSE)="","",
VLOOKUP($A20,YES_Reading_FLA[],COLUMN(INDIRECT("YES_Reading_FLA[Min Expectation - Per "&amp;VLOOKUP($D$2,'Reading Report Logic'!$A$2:$B$8,2,FALSE)&amp;"]")),FALSE)),
IF($J$2="Combined",
IFERROR(
IF(VLOOKUP($A20, YES_Reading_ELA[], COLUMN(INDIRECT("YES_Reading_ELA[Min Expectation - Per "&amp;VLOOKUP($D$2, 'Reading Report Logic'!$A$2:$B$8,2,FALSE)&amp;"]")), FALSE)="", "",
VLOOKUP($A20,YES_Reading_ELA[],COLUMN(INDIRECT("YES_Reading_ELA[Min Expectation - Per "&amp;VLOOKUP($D$2,'Reading Report Logic'!$A$2:$B$8,2,FALSE)&amp;"]")),FALSE)),
IF(VLOOKUP($A20, YES_Reading_FLA[], COLUMN(INDIRECT("YES_Reading_FLA[Min Expectation - Per "&amp;VLOOKUP($D$2, 'Reading Report Logic'!$A$2:$B$8, 2, FALSE)&amp;"]")),FALSE)="", "", VLOOKUP($A20,YES_Reading_FLA[],COLUMN(INDIRECT("YES_Reading_FLA[Min Expectation - Per "&amp;VLOOKUP($D$2, 'Reading Report Logic'!$A$2:$B$8, 2, FALSE)&amp;"]")),FALSE))),""))),"")</f>
        <v/>
      </c>
      <c r="F20" s="205" t="str" cm="1">
        <f t="array" aca="1" ref="F20" ca="1">IFERROR(
IF($J$2="ELA",
IF(VLOOKUP($A20, YES_Reading_ELA[], COLUMN(INDIRECT("YES_Reading_ELA[Max Expectation - Per "&amp;VLOOKUP($D$2, 'Reading Report Logic'!$A$2:$B$8, 2, FALSE)&amp;"]")), FALSE)="", "",
VLOOKUP($A20,YES_Reading_ELA[], COLUMN(INDIRECT("YES_Reading_ELA[Max Expectation - Per "&amp;VLOOKUP($D$2,'Reading Report Logic'!$A$2:$B$8,2,FALSE)&amp;"]")), FALSE)),
IF($J$2="FLA",
IF(VLOOKUP($A20, YES_Reading_FLA[], COLUMN(INDIRECT("YES_Reading_FLA[Max Expectation - Per "&amp;VLOOKUP($D$2,'Reading Report Logic'!$A$2:$B$8,2,FALSE)&amp;"]")),FALSE)="","",
VLOOKUP($A20,YES_Reading_FLA[],COLUMN(INDIRECT("YES_Reading_FLA[Max Expectation - Per "&amp;VLOOKUP($D$2,'Reading Report Logic'!$A$2:$B$8,2,FALSE)&amp;"]")),FALSE)),
IF($J$2="Combined",
IFERROR(
IF(VLOOKUP($A20, YES_Reading_ELA[], COLUMN(INDIRECT("YES_Reading_ELA[Max Expectation - Per "&amp;VLOOKUP($D$2, 'Reading Report Logic'!$A$2:$B$8,2,FALSE)&amp;"]")), FALSE)="", "",
VLOOKUP($A20,YES_Reading_ELA[],COLUMN(INDIRECT("YES_Reading_ELA[Max Expectation - Per "&amp;VLOOKUP($D$2,'Reading Report Logic'!$A$2:$B$8,2,FALSE)&amp;"]")),FALSE)),
IF(VLOOKUP($A20, YES_Reading_FLA[], COLUMN(INDIRECT("YES_Reading_FLA[Max Expectation - Per "&amp;VLOOKUP($D$2, 'Reading Report Logic'!$A$2:$B$8, 2, FALSE)&amp;"]")),FALSE)="", "", VLOOKUP($A20,YES_Reading_FLA[],COLUMN(INDIRECT("YES_Reading_FLA[Max Expectation - Per "&amp;VLOOKUP($D$2, 'Reading Report Logic'!$A$2:$B$8, 2, FALSE)&amp;"]")),FALSE))),""))),"")</f>
        <v/>
      </c>
      <c r="G20" s="205" t="str" cm="1">
        <f t="array" aca="1" ref="G20" ca="1">IFERROR(
IF($J$2="ELA",
IF(VLOOKUP($A20, YES_Reading_ELA[], COLUMN(INDIRECT("YES_Reading_ELA[Difference - Per "&amp;VLOOKUP($D$2, 'Reading Report Logic'!$A$2:$B$8, 2, FALSE)&amp;"]")), FALSE)="", "",
VLOOKUP($A20,YES_Reading_ELA[], COLUMN(INDIRECT("YES_Reading_ELA[Difference - Per "&amp;VLOOKUP($D$2,'Reading Report Logic'!$A$2:$B$8,2,FALSE)&amp;"]")), FALSE)),
IF($J$2="FLA",
IF(VLOOKUP($A20, YES_Reading_FLA[], COLUMN(INDIRECT("YES_Reading_FLA[Difference - Per "&amp;VLOOKUP($D$2,'Reading Report Logic'!$A$2:$B$8,2,FALSE)&amp;"]")),FALSE)="","",
VLOOKUP($A20,YES_Reading_FLA[],COLUMN(INDIRECT("YES_Reading_FLA[Difference - Per "&amp;VLOOKUP($D$2,'Reading Report Logic'!$A$2:$B$8,2,FALSE)&amp;"]")),FALSE)),
IF($J$2="Combined",
IFERROR(
IF(VLOOKUP($A20, YES_Reading_ELA[], COLUMN(INDIRECT("YES_Reading_ELA[Difference - Per "&amp;VLOOKUP($D$2, 'Reading Report Logic'!$A$2:$B$8,2,FALSE)&amp;"]")), FALSE)="", "",
VLOOKUP($A20,YES_Reading_ELA[],COLUMN(INDIRECT("YES_Reading_ELA[Difference - Per "&amp;VLOOKUP($D$2,'Reading Report Logic'!$A$2:$B$8,2,FALSE)&amp;"]")),FALSE)),
IF(VLOOKUP($A20, YES_Reading_FLA[], COLUMN(INDIRECT("YES_Reading_FLA[Difference - Per "&amp;VLOOKUP($D$2, 'Reading Report Logic'!$A$2:$B$8, 2, FALSE)&amp;"]")),FALSE)="", "", VLOOKUP($A20,YES_Reading_FLA[],COLUMN(INDIRECT("YES_Reading_FLA[Difference - Per "&amp;VLOOKUP($D$2, 'Reading Report Logic'!$A$2:$B$8, 2, FALSE)&amp;"]")),FALSE))),""))),"")</f>
        <v/>
      </c>
      <c r="H20" s="206" t="str">
        <f ca="1">IFERROR(VLOOKUP('Teacher Reading Pull Sheets'!$D20,_xlfn.VSTACK('ELA Reading Logic'!$A$22:$B$48,'FLA Reading Logic'!$A$22:$B$53),2,FALSE)-VLOOKUP('Teacher Reading Pull Sheets'!$C20,_xlfn.VSTACK('ELA Reading Logic'!$A$22:$B$48,'FLA Reading Logic'!$A$22:$B$53),2,FALSE),"")</f>
        <v/>
      </c>
      <c r="I20" s="207"/>
      <c r="J20" s="230"/>
      <c r="K20" s="197" t="str" cm="1">
        <f t="array" ref="K20">IFERROR(
IF($J$2="ELA",
IF(VLOOKUP($A20, YES_Reading_ELA[], COLUMN(YES_Reading_ELA[Self-Identified as African Descent]), FALSE)="", "",
VLOOKUP($A20,YES_Reading_ELA[], COLUMN(YES_Reading_ELA[Self-Identified as African Descent]), FALSE)),
IF($J$2="FLA",
IF(VLOOKUP($A20, YES_Reading_FLA[], COLUMN(YES_Reading_FLA[Self-Identified as African Descent]),FALSE)="","",
VLOOKUP($A20,YES_Reading_FLA[],COLUMN(YES_Reading_FLA[Self-Identified as African Descent]),FALSE)),
IF($J$2="Combined",
IFERROR(
IF(VLOOKUP($A20, YES_Reading_ELA[], COLUMN(YES_Reading_ELA[Self-Identified as African Descent]), FALSE)="", "",
VLOOKUP($A20,YES_Reading_ELA[],COLUMN(YES_Reading_ELA[Self-Identified as African Descent]),FALSE)),
IF(VLOOKUP($A20, YES_Reading_FLA[], COLUMN(YES_Reading_FLA[Self-Identified as African Descent]),FALSE)="", "", VLOOKUP($A20,YES_Reading_FLA[],COLUMN(YES_Reading_FLA[Self-Identified as African Descent]),FALSE))),""))),"")</f>
        <v/>
      </c>
      <c r="L20" s="73" t="str" cm="1">
        <f t="array" ref="L20">IFERROR(
IF($J$2="ELA",
IF(VLOOKUP($A20, YES_Reading_ELA[], COLUMN(YES_Reading_ELA[Self-Identified as Indigenous]), FALSE)="", "",
VLOOKUP($A20,YES_Reading_ELA[], COLUMN(YES_Reading_ELA[Self-Identified as Indigenous]), FALSE)),
IF($J$2="FLA",
IF(VLOOKUP($A20, YES_Reading_FLA[], COLUMN(YES_Reading_FLA[Self-Identified as Indigenous]),FALSE)="","",
VLOOKUP($A20,YES_Reading_FLA[],COLUMN(YES_Reading_FLA[Self-Identified as Indigenous]),FALSE)),
IF($J$2="Combined",
IFERROR(
IF(VLOOKUP($A20, YES_Reading_ELA[], COLUMN(YES_Reading_ELA[Self-Identified as Indigenous]), FALSE)="", "",
VLOOKUP($A20,YES_Reading_ELA[],COLUMN(YES_Reading_ELA[Self-Identified as Indigenous]),FALSE)),
IF(VLOOKUP($A20, YES_Reading_FLA[], COLUMN(YES_Reading_FLA[Self-Identified as Indigenous]),FALSE)="", "", VLOOKUP($A20,YES_Reading_FLA[],COLUMN(YES_Reading_FLA[Self-Identified as Indigenous]),FALSE))),""))),"")</f>
        <v/>
      </c>
    </row>
    <row r="21" spans="1:12" ht="19.5" customHeight="1" x14ac:dyDescent="0.25">
      <c r="A21" s="217"/>
      <c r="B21" s="220" t="str">
        <f>IFERROR(VLOOKUP(A21,_xlfn.VSTACK(YES_Reading_ELA[],YES_Reading_FLA[]),2,FALSE),"")</f>
        <v/>
      </c>
      <c r="C21" s="203"/>
      <c r="D21" s="204" t="str" cm="1">
        <f t="array" aca="1" ref="D21" ca="1">IFERROR(
IF($J$2="ELA",
IF(VLOOKUP($A21, YES_Reading_ELA[], COLUMN(INDIRECT("YES_Reading_ELA[Instructional Reading Level - Per "&amp;VLOOKUP($D$2, 'Reading Report Logic'!$A$2:$B$8, 2, FALSE)&amp;"]")), FALSE)="", "",
VLOOKUP($A21,YES_Reading_ELA[], COLUMN(INDIRECT("YES_Reading_ELA[Instructional Reading Level - Per "&amp;VLOOKUP($D$2,'Reading Report Logic'!$A$2:$B$8,2,FALSE)&amp;"]")), FALSE)),
IF($J$2="FLA",
IF(VLOOKUP($A21, YES_Reading_FLA[], COLUMN(INDIRECT("YES_Reading_FLA[Instructional Reading Level - Per "&amp;VLOOKUP($D$2,'Reading Report Logic'!$A$2:$B$8,2,FALSE)&amp;"]")),FALSE)="","",
VLOOKUP($A21,YES_Reading_FLA[],COLUMN(INDIRECT("YES_Reading_FLA[Instructional Reading Level - Per "&amp;VLOOKUP($D$2,'Reading Report Logic'!$A$2:$B$8,2,FALSE)&amp;"]")),FALSE)),
IF($J$2="Combined",
IFERROR(
IF(VLOOKUP($A21, YES_Reading_ELA[], COLUMN(INDIRECT("YES_Reading_ELA[Instructional Reading Level - Per "&amp;VLOOKUP($D$2, 'Reading Report Logic'!$A$2:$B$8,2,FALSE)&amp;"]")), FALSE)="", "",
VLOOKUP($A21,YES_Reading_ELA[],COLUMN(INDIRECT("YES_Reading_ELA[Instructional Reading Level - Per "&amp;VLOOKUP($D$2,'Reading Report Logic'!$A$2:$B$8,2,FALSE)&amp;"]")),FALSE)),
IF(VLOOKUP($A21, YES_Reading_FLA[], COLUMN(INDIRECT("YES_Reading_FLA[Instructional Reading Level - Per "&amp;VLOOKUP($D$2, 'Reading Report Logic'!$A$2:$B$8, 2, FALSE)&amp;"]")),FALSE)="", "", VLOOKUP($A21,YES_Reading_FLA[],COLUMN(INDIRECT("YES_Reading_FLA[Instructional Reading Level - Per "&amp;VLOOKUP($D$2, 'Reading Report Logic'!$A$2:$B$8, 2, FALSE)&amp;"]")),FALSE))),""))),"")</f>
        <v/>
      </c>
      <c r="E21" s="205" t="str" cm="1">
        <f t="array" aca="1" ref="E21" ca="1">IFERROR(
IF($J$2="ELA",
IF(VLOOKUP($A21, YES_Reading_ELA[], COLUMN(INDIRECT("YES_Reading_ELA[Min Expectation - Per "&amp;VLOOKUP($D$2, 'Reading Report Logic'!$A$2:$B$8, 2, FALSE)&amp;"]")), FALSE)="", "",
VLOOKUP($A21,YES_Reading_ELA[], COLUMN(INDIRECT("YES_Reading_ELA[Min Expectation - Per "&amp;VLOOKUP($D$2,'Reading Report Logic'!$A$2:$B$8,2,FALSE)&amp;"]")), FALSE)),
IF($J$2="FLA",
IF(VLOOKUP($A21, YES_Reading_FLA[], COLUMN(INDIRECT("YES_Reading_FLA[Min Expectation - Per "&amp;VLOOKUP($D$2,'Reading Report Logic'!$A$2:$B$8,2,FALSE)&amp;"]")),FALSE)="","",
VLOOKUP($A21,YES_Reading_FLA[],COLUMN(INDIRECT("YES_Reading_FLA[Min Expectation - Per "&amp;VLOOKUP($D$2,'Reading Report Logic'!$A$2:$B$8,2,FALSE)&amp;"]")),FALSE)),
IF($J$2="Combined",
IFERROR(
IF(VLOOKUP($A21, YES_Reading_ELA[], COLUMN(INDIRECT("YES_Reading_ELA[Min Expectation - Per "&amp;VLOOKUP($D$2, 'Reading Report Logic'!$A$2:$B$8,2,FALSE)&amp;"]")), FALSE)="", "",
VLOOKUP($A21,YES_Reading_ELA[],COLUMN(INDIRECT("YES_Reading_ELA[Min Expectation - Per "&amp;VLOOKUP($D$2,'Reading Report Logic'!$A$2:$B$8,2,FALSE)&amp;"]")),FALSE)),
IF(VLOOKUP($A21, YES_Reading_FLA[], COLUMN(INDIRECT("YES_Reading_FLA[Min Expectation - Per "&amp;VLOOKUP($D$2, 'Reading Report Logic'!$A$2:$B$8, 2, FALSE)&amp;"]")),FALSE)="", "", VLOOKUP($A21,YES_Reading_FLA[],COLUMN(INDIRECT("YES_Reading_FLA[Min Expectation - Per "&amp;VLOOKUP($D$2, 'Reading Report Logic'!$A$2:$B$8, 2, FALSE)&amp;"]")),FALSE))),""))),"")</f>
        <v/>
      </c>
      <c r="F21" s="205" t="str" cm="1">
        <f t="array" aca="1" ref="F21" ca="1">IFERROR(
IF($J$2="ELA",
IF(VLOOKUP($A21, YES_Reading_ELA[], COLUMN(INDIRECT("YES_Reading_ELA[Max Expectation - Per "&amp;VLOOKUP($D$2, 'Reading Report Logic'!$A$2:$B$8, 2, FALSE)&amp;"]")), FALSE)="", "",
VLOOKUP($A21,YES_Reading_ELA[], COLUMN(INDIRECT("YES_Reading_ELA[Max Expectation - Per "&amp;VLOOKUP($D$2,'Reading Report Logic'!$A$2:$B$8,2,FALSE)&amp;"]")), FALSE)),
IF($J$2="FLA",
IF(VLOOKUP($A21, YES_Reading_FLA[], COLUMN(INDIRECT("YES_Reading_FLA[Max Expectation - Per "&amp;VLOOKUP($D$2,'Reading Report Logic'!$A$2:$B$8,2,FALSE)&amp;"]")),FALSE)="","",
VLOOKUP($A21,YES_Reading_FLA[],COLUMN(INDIRECT("YES_Reading_FLA[Max Expectation - Per "&amp;VLOOKUP($D$2,'Reading Report Logic'!$A$2:$B$8,2,FALSE)&amp;"]")),FALSE)),
IF($J$2="Combined",
IFERROR(
IF(VLOOKUP($A21, YES_Reading_ELA[], COLUMN(INDIRECT("YES_Reading_ELA[Max Expectation - Per "&amp;VLOOKUP($D$2, 'Reading Report Logic'!$A$2:$B$8,2,FALSE)&amp;"]")), FALSE)="", "",
VLOOKUP($A21,YES_Reading_ELA[],COLUMN(INDIRECT("YES_Reading_ELA[Max Expectation - Per "&amp;VLOOKUP($D$2,'Reading Report Logic'!$A$2:$B$8,2,FALSE)&amp;"]")),FALSE)),
IF(VLOOKUP($A21, YES_Reading_FLA[], COLUMN(INDIRECT("YES_Reading_FLA[Max Expectation - Per "&amp;VLOOKUP($D$2, 'Reading Report Logic'!$A$2:$B$8, 2, FALSE)&amp;"]")),FALSE)="", "", VLOOKUP($A21,YES_Reading_FLA[],COLUMN(INDIRECT("YES_Reading_FLA[Max Expectation - Per "&amp;VLOOKUP($D$2, 'Reading Report Logic'!$A$2:$B$8, 2, FALSE)&amp;"]")),FALSE))),""))),"")</f>
        <v/>
      </c>
      <c r="G21" s="205" t="str" cm="1">
        <f t="array" aca="1" ref="G21" ca="1">IFERROR(
IF($J$2="ELA",
IF(VLOOKUP($A21, YES_Reading_ELA[], COLUMN(INDIRECT("YES_Reading_ELA[Difference - Per "&amp;VLOOKUP($D$2, 'Reading Report Logic'!$A$2:$B$8, 2, FALSE)&amp;"]")), FALSE)="", "",
VLOOKUP($A21,YES_Reading_ELA[], COLUMN(INDIRECT("YES_Reading_ELA[Difference - Per "&amp;VLOOKUP($D$2,'Reading Report Logic'!$A$2:$B$8,2,FALSE)&amp;"]")), FALSE)),
IF($J$2="FLA",
IF(VLOOKUP($A21, YES_Reading_FLA[], COLUMN(INDIRECT("YES_Reading_FLA[Difference - Per "&amp;VLOOKUP($D$2,'Reading Report Logic'!$A$2:$B$8,2,FALSE)&amp;"]")),FALSE)="","",
VLOOKUP($A21,YES_Reading_FLA[],COLUMN(INDIRECT("YES_Reading_FLA[Difference - Per "&amp;VLOOKUP($D$2,'Reading Report Logic'!$A$2:$B$8,2,FALSE)&amp;"]")),FALSE)),
IF($J$2="Combined",
IFERROR(
IF(VLOOKUP($A21, YES_Reading_ELA[], COLUMN(INDIRECT("YES_Reading_ELA[Difference - Per "&amp;VLOOKUP($D$2, 'Reading Report Logic'!$A$2:$B$8,2,FALSE)&amp;"]")), FALSE)="", "",
VLOOKUP($A21,YES_Reading_ELA[],COLUMN(INDIRECT("YES_Reading_ELA[Difference - Per "&amp;VLOOKUP($D$2,'Reading Report Logic'!$A$2:$B$8,2,FALSE)&amp;"]")),FALSE)),
IF(VLOOKUP($A21, YES_Reading_FLA[], COLUMN(INDIRECT("YES_Reading_FLA[Difference - Per "&amp;VLOOKUP($D$2, 'Reading Report Logic'!$A$2:$B$8, 2, FALSE)&amp;"]")),FALSE)="", "", VLOOKUP($A21,YES_Reading_FLA[],COLUMN(INDIRECT("YES_Reading_FLA[Difference - Per "&amp;VLOOKUP($D$2, 'Reading Report Logic'!$A$2:$B$8, 2, FALSE)&amp;"]")),FALSE))),""))),"")</f>
        <v/>
      </c>
      <c r="H21" s="206" t="str">
        <f ca="1">IFERROR(VLOOKUP('Teacher Reading Pull Sheets'!$D21,_xlfn.VSTACK('ELA Reading Logic'!$A$22:$B$48,'FLA Reading Logic'!$A$22:$B$53),2,FALSE)-VLOOKUP('Teacher Reading Pull Sheets'!$C21,_xlfn.VSTACK('ELA Reading Logic'!$A$22:$B$48,'FLA Reading Logic'!$A$22:$B$53),2,FALSE),"")</f>
        <v/>
      </c>
      <c r="I21" s="207"/>
      <c r="J21" s="206"/>
      <c r="K21" s="197" t="str" cm="1">
        <f t="array" ref="K21">IFERROR(
IF($J$2="ELA",
IF(VLOOKUP($A21, YES_Reading_ELA[], COLUMN(YES_Reading_ELA[Self-Identified as African Descent]), FALSE)="", "",
VLOOKUP($A21,YES_Reading_ELA[], COLUMN(YES_Reading_ELA[Self-Identified as African Descent]), FALSE)),
IF($J$2="FLA",
IF(VLOOKUP($A21, YES_Reading_FLA[], COLUMN(YES_Reading_FLA[Self-Identified as African Descent]),FALSE)="","",
VLOOKUP($A21,YES_Reading_FLA[],COLUMN(YES_Reading_FLA[Self-Identified as African Descent]),FALSE)),
IF($J$2="Combined",
IFERROR(
IF(VLOOKUP($A21, YES_Reading_ELA[], COLUMN(YES_Reading_ELA[Self-Identified as African Descent]), FALSE)="", "",
VLOOKUP($A21,YES_Reading_ELA[],COLUMN(YES_Reading_ELA[Self-Identified as African Descent]),FALSE)),
IF(VLOOKUP($A21, YES_Reading_FLA[], COLUMN(YES_Reading_FLA[Self-Identified as African Descent]),FALSE)="", "", VLOOKUP($A21,YES_Reading_FLA[],COLUMN(YES_Reading_FLA[Self-Identified as African Descent]),FALSE))),""))),"")</f>
        <v/>
      </c>
      <c r="L21" s="73" t="str" cm="1">
        <f t="array" ref="L21">IFERROR(
IF($J$2="ELA",
IF(VLOOKUP($A21, YES_Reading_ELA[], COLUMN(YES_Reading_ELA[Self-Identified as Indigenous]), FALSE)="", "",
VLOOKUP($A21,YES_Reading_ELA[], COLUMN(YES_Reading_ELA[Self-Identified as Indigenous]), FALSE)),
IF($J$2="FLA",
IF(VLOOKUP($A21, YES_Reading_FLA[], COLUMN(YES_Reading_FLA[Self-Identified as Indigenous]),FALSE)="","",
VLOOKUP($A21,YES_Reading_FLA[],COLUMN(YES_Reading_FLA[Self-Identified as Indigenous]),FALSE)),
IF($J$2="Combined",
IFERROR(
IF(VLOOKUP($A21, YES_Reading_ELA[], COLUMN(YES_Reading_ELA[Self-Identified as Indigenous]), FALSE)="", "",
VLOOKUP($A21,YES_Reading_ELA[],COLUMN(YES_Reading_ELA[Self-Identified as Indigenous]),FALSE)),
IF(VLOOKUP($A21, YES_Reading_FLA[], COLUMN(YES_Reading_FLA[Self-Identified as Indigenous]),FALSE)="", "", VLOOKUP($A21,YES_Reading_FLA[],COLUMN(YES_Reading_FLA[Self-Identified as Indigenous]),FALSE))),""))),"")</f>
        <v/>
      </c>
    </row>
    <row r="22" spans="1:12" ht="19.5" customHeight="1" x14ac:dyDescent="0.25">
      <c r="A22" s="217"/>
      <c r="B22" s="220" t="str">
        <f>IFERROR(VLOOKUP(A22,_xlfn.VSTACK(YES_Reading_ELA[],YES_Reading_FLA[]),2,FALSE),"")</f>
        <v/>
      </c>
      <c r="C22" s="203" t="str" cm="1">
        <f t="array" aca="1" ref="C22" ca="1">IFERROR(
IF($J$2="ELA",
IF(VLOOKUP($A22, YES_Reading_ELA[], COLUMN(IF(VLOOKUP($D$2, 'Reading Report Logic'!$A$2:$B$8, 2, FALSE)=1, YES_Reading_ELA[Reading Level June of Previous School Year], INDIRECT("YES_Reading_ELA[Instructional Reading Level - Per "&amp;(VLOOKUP($D$2,'Reading Report Logic'!$A$2:$B$8,2,FALSE)-1)&amp;"]"))), FALSE)="", "",
VLOOKUP($A22,YES_Reading_ELA[], COLUMN(IF(VLOOKUP($D$2,'Reading Report Logic'!$A$2:$B$8,2,FALSE)=1, YES_Reading_ELA[Reading Level June of Previous School Year],INDIRECT("YES_Reading_ELA[Instructional Reading Level - Per "&amp;(VLOOKUP($D$2,'Reading Report Logic'!$A$2:$B$8,2,FALSE)-1)&amp;"]"))), FALSE)),
IF($J$2="FLA",
IF(VLOOKUP($A22, YES_Reading_FLA[], COLUMN(IF(VLOOKUP($D$2,'Reading Report Logic'!$A$2:$B$8,2,FALSE)=1, YES_Reading_FLA[Reading Level June of Previous School Year],INDIRECT("YES_Reading_FLA[Instructional Reading Level - Per "&amp;(VLOOKUP($D$2,'Reading Report Logic'!$A$2:$B$8,2,FALSE)-1)&amp;"]"))),FALSE)="","",
VLOOKUP($A22,YES_Reading_FLA[], COLUMN(IF(VLOOKUP($D$2,'Reading Report Logic'!$A$2:$B$8,2,FALSE)=1, YES_Reading_FLA[Reading Level June of Previous School Year],INDIRECT("YES_Reading_FLA[Instructional Reading Level - Per "&amp;(VLOOKUP($D$2,'Reading Report Logic'!$A$2:$B$8,2,FALSE)-1)&amp;"]"))),FALSE)),
IF($J$2="Combined",
IFERROR(
IF(VLOOKUP($A22, YES_Reading_ELA[], COLUMN(IF(VLOOKUP($D$2,'Reading Report Logic'!$A$2:$B$8,2,FALSE)=1, YES_Reading_ELA[Reading Level June of Previous School Year],INDIRECT("YES_Reading_ELA[Instructional Reading Level - Per "&amp;(VLOOKUP($D$2,'Reading Report Logic'!$A$2:$B$8,2,FALSE)-1)&amp;"]"))), FALSE)="", "",
VLOOKUP($A22,YES_Reading_ELA[],COLUMN(IF(VLOOKUP($D$2,'Reading Report Logic'!$A$2:$B$8,2,FALSE)=1, YES_Reading_ELA[Reading Level June of Previous School Year],INDIRECT("YES_Reading_ELA[Instructional Reading Level - Per "&amp;(VLOOKUP($D$2,'Reading Report Logic'!$A$2:$B$8,2,FALSE)-1)&amp;"]"))),FALSE)),
IF(VLOOKUP($A22, YES_Reading_FLA[], COLUMN(IF(VLOOKUP($D$2,'Reading Report Logic'!$A$2:$B$8,2,FALSE)=1, YES_Reading_FLA[Reading Level June of Previous School Year],INDIRECT("YES_Reading_FLA[Instructional Reading Level - Per "&amp;(VLOOKUP($D$2,'Reading Report Logic'!$A$2:$B$8,2,FALSE)-1)&amp;"]"))),FALSE)="", "", VLOOKUP($A22,YES_Reading_FLA[],COLUMN(IF(VLOOKUP($D$2,'Reading Report Logic'!$A$2:$B$8,2,FALSE)=1, YES_Reading_FLA[Reading Level June of Previous School Year],INDIRECT("YES_Reading_FLA[Instructional Reading Level - Per "&amp;(VLOOKUP($D$2,'Reading Report Logic'!$A$2:$B$8,2,FALSE)-1)&amp;"]"))), FALSE))),""))),"")</f>
        <v/>
      </c>
      <c r="D22" s="204" t="str" cm="1">
        <f t="array" aca="1" ref="D22" ca="1">IFERROR(
IF($J$2="ELA",
IF(VLOOKUP($A22, YES_Reading_ELA[], COLUMN(INDIRECT("YES_Reading_ELA[Instructional Reading Level - Per "&amp;VLOOKUP($D$2, 'Reading Report Logic'!$A$2:$B$8, 2, FALSE)&amp;"]")), FALSE)="", "",
VLOOKUP($A22,YES_Reading_ELA[], COLUMN(INDIRECT("YES_Reading_ELA[Instructional Reading Level - Per "&amp;VLOOKUP($D$2,'Reading Report Logic'!$A$2:$B$8,2,FALSE)&amp;"]")), FALSE)),
IF($J$2="FLA",
IF(VLOOKUP($A22, YES_Reading_FLA[], COLUMN(INDIRECT("YES_Reading_FLA[Instructional Reading Level - Per "&amp;VLOOKUP($D$2,'Reading Report Logic'!$A$2:$B$8,2,FALSE)&amp;"]")),FALSE)="","",
VLOOKUP($A22,YES_Reading_FLA[],COLUMN(INDIRECT("YES_Reading_FLA[Instructional Reading Level - Per "&amp;VLOOKUP($D$2,'Reading Report Logic'!$A$2:$B$8,2,FALSE)&amp;"]")),FALSE)),
IF($J$2="Combined",
IFERROR(
IF(VLOOKUP($A22, YES_Reading_ELA[], COLUMN(INDIRECT("YES_Reading_ELA[Instructional Reading Level - Per "&amp;VLOOKUP($D$2, 'Reading Report Logic'!$A$2:$B$8,2,FALSE)&amp;"]")), FALSE)="", "",
VLOOKUP($A22,YES_Reading_ELA[],COLUMN(INDIRECT("YES_Reading_ELA[Instructional Reading Level - Per "&amp;VLOOKUP($D$2,'Reading Report Logic'!$A$2:$B$8,2,FALSE)&amp;"]")),FALSE)),
IF(VLOOKUP($A22, YES_Reading_FLA[], COLUMN(INDIRECT("YES_Reading_FLA[Instructional Reading Level - Per "&amp;VLOOKUP($D$2, 'Reading Report Logic'!$A$2:$B$8, 2, FALSE)&amp;"]")),FALSE)="", "", VLOOKUP($A22,YES_Reading_FLA[],COLUMN(INDIRECT("YES_Reading_FLA[Instructional Reading Level - Per "&amp;VLOOKUP($D$2, 'Reading Report Logic'!$A$2:$B$8, 2, FALSE)&amp;"]")),FALSE))),""))),"")</f>
        <v/>
      </c>
      <c r="E22" s="205" t="str" cm="1">
        <f t="array" aca="1" ref="E22" ca="1">IFERROR(
IF($J$2="ELA",
IF(VLOOKUP($A22, YES_Reading_ELA[], COLUMN(INDIRECT("YES_Reading_ELA[Min Expectation - Per "&amp;VLOOKUP($D$2, 'Reading Report Logic'!$A$2:$B$8, 2, FALSE)&amp;"]")), FALSE)="", "",
VLOOKUP($A22,YES_Reading_ELA[], COLUMN(INDIRECT("YES_Reading_ELA[Min Expectation - Per "&amp;VLOOKUP($D$2,'Reading Report Logic'!$A$2:$B$8,2,FALSE)&amp;"]")), FALSE)),
IF($J$2="FLA",
IF(VLOOKUP($A22, YES_Reading_FLA[], COLUMN(INDIRECT("YES_Reading_FLA[Min Expectation - Per "&amp;VLOOKUP($D$2,'Reading Report Logic'!$A$2:$B$8,2,FALSE)&amp;"]")),FALSE)="","",
VLOOKUP($A22,YES_Reading_FLA[],COLUMN(INDIRECT("YES_Reading_FLA[Min Expectation - Per "&amp;VLOOKUP($D$2,'Reading Report Logic'!$A$2:$B$8,2,FALSE)&amp;"]")),FALSE)),
IF($J$2="Combined",
IFERROR(
IF(VLOOKUP($A22, YES_Reading_ELA[], COLUMN(INDIRECT("YES_Reading_ELA[Min Expectation - Per "&amp;VLOOKUP($D$2, 'Reading Report Logic'!$A$2:$B$8,2,FALSE)&amp;"]")), FALSE)="", "",
VLOOKUP($A22,YES_Reading_ELA[],COLUMN(INDIRECT("YES_Reading_ELA[Min Expectation - Per "&amp;VLOOKUP($D$2,'Reading Report Logic'!$A$2:$B$8,2,FALSE)&amp;"]")),FALSE)),
IF(VLOOKUP($A22, YES_Reading_FLA[], COLUMN(INDIRECT("YES_Reading_FLA[Min Expectation - Per "&amp;VLOOKUP($D$2, 'Reading Report Logic'!$A$2:$B$8, 2, FALSE)&amp;"]")),FALSE)="", "", VLOOKUP($A22,YES_Reading_FLA[],COLUMN(INDIRECT("YES_Reading_FLA[Min Expectation - Per "&amp;VLOOKUP($D$2, 'Reading Report Logic'!$A$2:$B$8, 2, FALSE)&amp;"]")),FALSE))),""))),"")</f>
        <v/>
      </c>
      <c r="F22" s="205" t="str" cm="1">
        <f t="array" aca="1" ref="F22" ca="1">IFERROR(
IF($J$2="ELA",
IF(VLOOKUP($A22, YES_Reading_ELA[], COLUMN(INDIRECT("YES_Reading_ELA[Max Expectation - Per "&amp;VLOOKUP($D$2, 'Reading Report Logic'!$A$2:$B$8, 2, FALSE)&amp;"]")), FALSE)="", "",
VLOOKUP($A22,YES_Reading_ELA[], COLUMN(INDIRECT("YES_Reading_ELA[Max Expectation - Per "&amp;VLOOKUP($D$2,'Reading Report Logic'!$A$2:$B$8,2,FALSE)&amp;"]")), FALSE)),
IF($J$2="FLA",
IF(VLOOKUP($A22, YES_Reading_FLA[], COLUMN(INDIRECT("YES_Reading_FLA[Max Expectation - Per "&amp;VLOOKUP($D$2,'Reading Report Logic'!$A$2:$B$8,2,FALSE)&amp;"]")),FALSE)="","",
VLOOKUP($A22,YES_Reading_FLA[],COLUMN(INDIRECT("YES_Reading_FLA[Max Expectation - Per "&amp;VLOOKUP($D$2,'Reading Report Logic'!$A$2:$B$8,2,FALSE)&amp;"]")),FALSE)),
IF($J$2="Combined",
IFERROR(
IF(VLOOKUP($A22, YES_Reading_ELA[], COLUMN(INDIRECT("YES_Reading_ELA[Max Expectation - Per "&amp;VLOOKUP($D$2, 'Reading Report Logic'!$A$2:$B$8,2,FALSE)&amp;"]")), FALSE)="", "",
VLOOKUP($A22,YES_Reading_ELA[],COLUMN(INDIRECT("YES_Reading_ELA[Max Expectation - Per "&amp;VLOOKUP($D$2,'Reading Report Logic'!$A$2:$B$8,2,FALSE)&amp;"]")),FALSE)),
IF(VLOOKUP($A22, YES_Reading_FLA[], COLUMN(INDIRECT("YES_Reading_FLA[Max Expectation - Per "&amp;VLOOKUP($D$2, 'Reading Report Logic'!$A$2:$B$8, 2, FALSE)&amp;"]")),FALSE)="", "", VLOOKUP($A22,YES_Reading_FLA[],COLUMN(INDIRECT("YES_Reading_FLA[Max Expectation - Per "&amp;VLOOKUP($D$2, 'Reading Report Logic'!$A$2:$B$8, 2, FALSE)&amp;"]")),FALSE))),""))),"")</f>
        <v/>
      </c>
      <c r="G22" s="205" t="str" cm="1">
        <f t="array" aca="1" ref="G22" ca="1">IFERROR(
IF($J$2="ELA",
IF(VLOOKUP($A22, YES_Reading_ELA[], COLUMN(INDIRECT("YES_Reading_ELA[Difference - Per "&amp;VLOOKUP($D$2, 'Reading Report Logic'!$A$2:$B$8, 2, FALSE)&amp;"]")), FALSE)="", "",
VLOOKUP($A22,YES_Reading_ELA[], COLUMN(INDIRECT("YES_Reading_ELA[Difference - Per "&amp;VLOOKUP($D$2,'Reading Report Logic'!$A$2:$B$8,2,FALSE)&amp;"]")), FALSE)),
IF($J$2="FLA",
IF(VLOOKUP($A22, YES_Reading_FLA[], COLUMN(INDIRECT("YES_Reading_FLA[Difference - Per "&amp;VLOOKUP($D$2,'Reading Report Logic'!$A$2:$B$8,2,FALSE)&amp;"]")),FALSE)="","",
VLOOKUP($A22,YES_Reading_FLA[],COLUMN(INDIRECT("YES_Reading_FLA[Difference - Per "&amp;VLOOKUP($D$2,'Reading Report Logic'!$A$2:$B$8,2,FALSE)&amp;"]")),FALSE)),
IF($J$2="Combined",
IFERROR(
IF(VLOOKUP($A22, YES_Reading_ELA[], COLUMN(INDIRECT("YES_Reading_ELA[Difference - Per "&amp;VLOOKUP($D$2, 'Reading Report Logic'!$A$2:$B$8,2,FALSE)&amp;"]")), FALSE)="", "",
VLOOKUP($A22,YES_Reading_ELA[],COLUMN(INDIRECT("YES_Reading_ELA[Difference - Per "&amp;VLOOKUP($D$2,'Reading Report Logic'!$A$2:$B$8,2,FALSE)&amp;"]")),FALSE)),
IF(VLOOKUP($A22, YES_Reading_FLA[], COLUMN(INDIRECT("YES_Reading_FLA[Difference - Per "&amp;VLOOKUP($D$2, 'Reading Report Logic'!$A$2:$B$8, 2, FALSE)&amp;"]")),FALSE)="", "", VLOOKUP($A22,YES_Reading_FLA[],COLUMN(INDIRECT("YES_Reading_FLA[Difference - Per "&amp;VLOOKUP($D$2, 'Reading Report Logic'!$A$2:$B$8, 2, FALSE)&amp;"]")),FALSE))),""))),"")</f>
        <v/>
      </c>
      <c r="H22" s="206" t="str">
        <f ca="1">IFERROR(VLOOKUP('Teacher Reading Pull Sheets'!$D22,_xlfn.VSTACK('ELA Reading Logic'!$A$22:$B$48,'FLA Reading Logic'!$A$22:$B$53),2,FALSE)-VLOOKUP('Teacher Reading Pull Sheets'!$C22,_xlfn.VSTACK('ELA Reading Logic'!$A$22:$B$48,'FLA Reading Logic'!$A$22:$B$53),2,FALSE),"")</f>
        <v/>
      </c>
      <c r="I22" s="207"/>
      <c r="J22" s="206"/>
      <c r="K22" s="197" t="str" cm="1">
        <f t="array" ref="K22">IFERROR(
IF($J$2="ELA",
IF(VLOOKUP($A22, YES_Reading_ELA[], COLUMN(YES_Reading_ELA[Self-Identified as African Descent]), FALSE)="", "",
VLOOKUP($A22,YES_Reading_ELA[], COLUMN(YES_Reading_ELA[Self-Identified as African Descent]), FALSE)),
IF($J$2="FLA",
IF(VLOOKUP($A22, YES_Reading_FLA[], COLUMN(YES_Reading_FLA[Self-Identified as African Descent]),FALSE)="","",
VLOOKUP($A22,YES_Reading_FLA[],COLUMN(YES_Reading_FLA[Self-Identified as African Descent]),FALSE)),
IF($J$2="Combined",
IFERROR(
IF(VLOOKUP($A22, YES_Reading_ELA[], COLUMN(YES_Reading_ELA[Self-Identified as African Descent]), FALSE)="", "",
VLOOKUP($A22,YES_Reading_ELA[],COLUMN(YES_Reading_ELA[Self-Identified as African Descent]),FALSE)),
IF(VLOOKUP($A22, YES_Reading_FLA[], COLUMN(YES_Reading_FLA[Self-Identified as African Descent]),FALSE)="", "", VLOOKUP($A22,YES_Reading_FLA[],COLUMN(YES_Reading_FLA[Self-Identified as African Descent]),FALSE))),""))),"")</f>
        <v/>
      </c>
      <c r="L22" s="73" t="str" cm="1">
        <f t="array" ref="L22">IFERROR(
IF($J$2="ELA",
IF(VLOOKUP($A22, YES_Reading_ELA[], COLUMN(YES_Reading_ELA[Self-Identified as Indigenous]), FALSE)="", "",
VLOOKUP($A22,YES_Reading_ELA[], COLUMN(YES_Reading_ELA[Self-Identified as Indigenous]), FALSE)),
IF($J$2="FLA",
IF(VLOOKUP($A22, YES_Reading_FLA[], COLUMN(YES_Reading_FLA[Self-Identified as Indigenous]),FALSE)="","",
VLOOKUP($A22,YES_Reading_FLA[],COLUMN(YES_Reading_FLA[Self-Identified as Indigenous]),FALSE)),
IF($J$2="Combined",
IFERROR(
IF(VLOOKUP($A22, YES_Reading_ELA[], COLUMN(YES_Reading_ELA[Self-Identified as Indigenous]), FALSE)="", "",
VLOOKUP($A22,YES_Reading_ELA[],COLUMN(YES_Reading_ELA[Self-Identified as Indigenous]),FALSE)),
IF(VLOOKUP($A22, YES_Reading_FLA[], COLUMN(YES_Reading_FLA[Self-Identified as Indigenous]),FALSE)="", "", VLOOKUP($A22,YES_Reading_FLA[],COLUMN(YES_Reading_FLA[Self-Identified as Indigenous]),FALSE))),""))),"")</f>
        <v/>
      </c>
    </row>
    <row r="23" spans="1:12" ht="19.5" customHeight="1" x14ac:dyDescent="0.25">
      <c r="A23" s="217"/>
      <c r="B23" s="220" t="str">
        <f>IFERROR(VLOOKUP(A23,_xlfn.VSTACK(YES_Reading_ELA[],YES_Reading_FLA[]),2,FALSE),"")</f>
        <v/>
      </c>
      <c r="C23" s="203" t="str" cm="1">
        <f t="array" aca="1" ref="C23" ca="1">IFERROR(
IF($J$2="ELA",
IF(VLOOKUP($A23, YES_Reading_ELA[], COLUMN(IF(VLOOKUP($D$2, 'Reading Report Logic'!$A$2:$B$8, 2, FALSE)=1, YES_Reading_ELA[Reading Level June of Previous School Year], INDIRECT("YES_Reading_ELA[Instructional Reading Level - Per "&amp;(VLOOKUP($D$2,'Reading Report Logic'!$A$2:$B$8,2,FALSE)-1)&amp;"]"))), FALSE)="", "",
VLOOKUP($A23,YES_Reading_ELA[], COLUMN(IF(VLOOKUP($D$2,'Reading Report Logic'!$A$2:$B$8,2,FALSE)=1, YES_Reading_ELA[Reading Level June of Previous School Year],INDIRECT("YES_Reading_ELA[Instructional Reading Level - Per "&amp;(VLOOKUP($D$2,'Reading Report Logic'!$A$2:$B$8,2,FALSE)-1)&amp;"]"))), FALSE)),
IF($J$2="FLA",
IF(VLOOKUP($A23, YES_Reading_FLA[], COLUMN(IF(VLOOKUP($D$2,'Reading Report Logic'!$A$2:$B$8,2,FALSE)=1, YES_Reading_FLA[Reading Level June of Previous School Year],INDIRECT("YES_Reading_FLA[Instructional Reading Level - Per "&amp;(VLOOKUP($D$2,'Reading Report Logic'!$A$2:$B$8,2,FALSE)-1)&amp;"]"))),FALSE)="","",
VLOOKUP($A23,YES_Reading_FLA[], COLUMN(IF(VLOOKUP($D$2,'Reading Report Logic'!$A$2:$B$8,2,FALSE)=1, YES_Reading_FLA[Reading Level June of Previous School Year],INDIRECT("YES_Reading_FLA[Instructional Reading Level - Per "&amp;(VLOOKUP($D$2,'Reading Report Logic'!$A$2:$B$8,2,FALSE)-1)&amp;"]"))),FALSE)),
IF($J$2="Combined",
IFERROR(
IF(VLOOKUP($A23, YES_Reading_ELA[], COLUMN(IF(VLOOKUP($D$2,'Reading Report Logic'!$A$2:$B$8,2,FALSE)=1, YES_Reading_ELA[Reading Level June of Previous School Year],INDIRECT("YES_Reading_ELA[Instructional Reading Level - Per "&amp;(VLOOKUP($D$2,'Reading Report Logic'!$A$2:$B$8,2,FALSE)-1)&amp;"]"))), FALSE)="", "",
VLOOKUP($A23,YES_Reading_ELA[],COLUMN(IF(VLOOKUP($D$2,'Reading Report Logic'!$A$2:$B$8,2,FALSE)=1, YES_Reading_ELA[Reading Level June of Previous School Year],INDIRECT("YES_Reading_ELA[Instructional Reading Level - Per "&amp;(VLOOKUP($D$2,'Reading Report Logic'!$A$2:$B$8,2,FALSE)-1)&amp;"]"))),FALSE)),
IF(VLOOKUP($A23, YES_Reading_FLA[], COLUMN(IF(VLOOKUP($D$2,'Reading Report Logic'!$A$2:$B$8,2,FALSE)=1, YES_Reading_FLA[Reading Level June of Previous School Year],INDIRECT("YES_Reading_FLA[Instructional Reading Level - Per "&amp;(VLOOKUP($D$2,'Reading Report Logic'!$A$2:$B$8,2,FALSE)-1)&amp;"]"))),FALSE)="", "", VLOOKUP($A23,YES_Reading_FLA[],COLUMN(IF(VLOOKUP($D$2,'Reading Report Logic'!$A$2:$B$8,2,FALSE)=1, YES_Reading_FLA[Reading Level June of Previous School Year],INDIRECT("YES_Reading_FLA[Instructional Reading Level - Per "&amp;(VLOOKUP($D$2,'Reading Report Logic'!$A$2:$B$8,2,FALSE)-1)&amp;"]"))), FALSE))),""))),"")</f>
        <v/>
      </c>
      <c r="D23" s="204" t="str" cm="1">
        <f t="array" aca="1" ref="D23" ca="1">IFERROR(
IF($J$2="ELA",
IF(VLOOKUP($A23, YES_Reading_ELA[], COLUMN(INDIRECT("YES_Reading_ELA[Instructional Reading Level - Per "&amp;VLOOKUP($D$2, 'Reading Report Logic'!$A$2:$B$8, 2, FALSE)&amp;"]")), FALSE)="", "",
VLOOKUP($A23,YES_Reading_ELA[], COLUMN(INDIRECT("YES_Reading_ELA[Instructional Reading Level - Per "&amp;VLOOKUP($D$2,'Reading Report Logic'!$A$2:$B$8,2,FALSE)&amp;"]")), FALSE)),
IF($J$2="FLA",
IF(VLOOKUP($A23, YES_Reading_FLA[], COLUMN(INDIRECT("YES_Reading_FLA[Instructional Reading Level - Per "&amp;VLOOKUP($D$2,'Reading Report Logic'!$A$2:$B$8,2,FALSE)&amp;"]")),FALSE)="","",
VLOOKUP($A23,YES_Reading_FLA[],COLUMN(INDIRECT("YES_Reading_FLA[Instructional Reading Level - Per "&amp;VLOOKUP($D$2,'Reading Report Logic'!$A$2:$B$8,2,FALSE)&amp;"]")),FALSE)),
IF($J$2="Combined",
IFERROR(
IF(VLOOKUP($A23, YES_Reading_ELA[], COLUMN(INDIRECT("YES_Reading_ELA[Instructional Reading Level - Per "&amp;VLOOKUP($D$2, 'Reading Report Logic'!$A$2:$B$8,2,FALSE)&amp;"]")), FALSE)="", "",
VLOOKUP($A23,YES_Reading_ELA[],COLUMN(INDIRECT("YES_Reading_ELA[Instructional Reading Level - Per "&amp;VLOOKUP($D$2,'Reading Report Logic'!$A$2:$B$8,2,FALSE)&amp;"]")),FALSE)),
IF(VLOOKUP($A23, YES_Reading_FLA[], COLUMN(INDIRECT("YES_Reading_FLA[Instructional Reading Level - Per "&amp;VLOOKUP($D$2, 'Reading Report Logic'!$A$2:$B$8, 2, FALSE)&amp;"]")),FALSE)="", "", VLOOKUP($A23,YES_Reading_FLA[],COLUMN(INDIRECT("YES_Reading_FLA[Instructional Reading Level - Per "&amp;VLOOKUP($D$2, 'Reading Report Logic'!$A$2:$B$8, 2, FALSE)&amp;"]")),FALSE))),""))),"")</f>
        <v/>
      </c>
      <c r="E23" s="205" t="str" cm="1">
        <f t="array" aca="1" ref="E23" ca="1">IFERROR(
IF($J$2="ELA",
IF(VLOOKUP($A23, YES_Reading_ELA[], COLUMN(INDIRECT("YES_Reading_ELA[Min Expectation - Per "&amp;VLOOKUP($D$2, 'Reading Report Logic'!$A$2:$B$8, 2, FALSE)&amp;"]")), FALSE)="", "",
VLOOKUP($A23,YES_Reading_ELA[], COLUMN(INDIRECT("YES_Reading_ELA[Min Expectation - Per "&amp;VLOOKUP($D$2,'Reading Report Logic'!$A$2:$B$8,2,FALSE)&amp;"]")), FALSE)),
IF($J$2="FLA",
IF(VLOOKUP($A23, YES_Reading_FLA[], COLUMN(INDIRECT("YES_Reading_FLA[Min Expectation - Per "&amp;VLOOKUP($D$2,'Reading Report Logic'!$A$2:$B$8,2,FALSE)&amp;"]")),FALSE)="","",
VLOOKUP($A23,YES_Reading_FLA[],COLUMN(INDIRECT("YES_Reading_FLA[Min Expectation - Per "&amp;VLOOKUP($D$2,'Reading Report Logic'!$A$2:$B$8,2,FALSE)&amp;"]")),FALSE)),
IF($J$2="Combined",
IFERROR(
IF(VLOOKUP($A23, YES_Reading_ELA[], COLUMN(INDIRECT("YES_Reading_ELA[Min Expectation - Per "&amp;VLOOKUP($D$2, 'Reading Report Logic'!$A$2:$B$8,2,FALSE)&amp;"]")), FALSE)="", "",
VLOOKUP($A23,YES_Reading_ELA[],COLUMN(INDIRECT("YES_Reading_ELA[Min Expectation - Per "&amp;VLOOKUP($D$2,'Reading Report Logic'!$A$2:$B$8,2,FALSE)&amp;"]")),FALSE)),
IF(VLOOKUP($A23, YES_Reading_FLA[], COLUMN(INDIRECT("YES_Reading_FLA[Min Expectation - Per "&amp;VLOOKUP($D$2, 'Reading Report Logic'!$A$2:$B$8, 2, FALSE)&amp;"]")),FALSE)="", "", VLOOKUP($A23,YES_Reading_FLA[],COLUMN(INDIRECT("YES_Reading_FLA[Min Expectation - Per "&amp;VLOOKUP($D$2, 'Reading Report Logic'!$A$2:$B$8, 2, FALSE)&amp;"]")),FALSE))),""))),"")</f>
        <v/>
      </c>
      <c r="F23" s="205" t="str" cm="1">
        <f t="array" aca="1" ref="F23" ca="1">IFERROR(
IF($J$2="ELA",
IF(VLOOKUP($A23, YES_Reading_ELA[], COLUMN(INDIRECT("YES_Reading_ELA[Max Expectation - Per "&amp;VLOOKUP($D$2, 'Reading Report Logic'!$A$2:$B$8, 2, FALSE)&amp;"]")), FALSE)="", "",
VLOOKUP($A23,YES_Reading_ELA[], COLUMN(INDIRECT("YES_Reading_ELA[Max Expectation - Per "&amp;VLOOKUP($D$2,'Reading Report Logic'!$A$2:$B$8,2,FALSE)&amp;"]")), FALSE)),
IF($J$2="FLA",
IF(VLOOKUP($A23, YES_Reading_FLA[], COLUMN(INDIRECT("YES_Reading_FLA[Max Expectation - Per "&amp;VLOOKUP($D$2,'Reading Report Logic'!$A$2:$B$8,2,FALSE)&amp;"]")),FALSE)="","",
VLOOKUP($A23,YES_Reading_FLA[],COLUMN(INDIRECT("YES_Reading_FLA[Max Expectation - Per "&amp;VLOOKUP($D$2,'Reading Report Logic'!$A$2:$B$8,2,FALSE)&amp;"]")),FALSE)),
IF($J$2="Combined",
IFERROR(
IF(VLOOKUP($A23, YES_Reading_ELA[], COLUMN(INDIRECT("YES_Reading_ELA[Max Expectation - Per "&amp;VLOOKUP($D$2, 'Reading Report Logic'!$A$2:$B$8,2,FALSE)&amp;"]")), FALSE)="", "",
VLOOKUP($A23,YES_Reading_ELA[],COLUMN(INDIRECT("YES_Reading_ELA[Max Expectation - Per "&amp;VLOOKUP($D$2,'Reading Report Logic'!$A$2:$B$8,2,FALSE)&amp;"]")),FALSE)),
IF(VLOOKUP($A23, YES_Reading_FLA[], COLUMN(INDIRECT("YES_Reading_FLA[Max Expectation - Per "&amp;VLOOKUP($D$2, 'Reading Report Logic'!$A$2:$B$8, 2, FALSE)&amp;"]")),FALSE)="", "", VLOOKUP($A23,YES_Reading_FLA[],COLUMN(INDIRECT("YES_Reading_FLA[Max Expectation - Per "&amp;VLOOKUP($D$2, 'Reading Report Logic'!$A$2:$B$8, 2, FALSE)&amp;"]")),FALSE))),""))),"")</f>
        <v/>
      </c>
      <c r="G23" s="205" t="str" cm="1">
        <f t="array" aca="1" ref="G23" ca="1">IFERROR(
IF($J$2="ELA",
IF(VLOOKUP($A23, YES_Reading_ELA[], COLUMN(INDIRECT("YES_Reading_ELA[Difference - Per "&amp;VLOOKUP($D$2, 'Reading Report Logic'!$A$2:$B$8, 2, FALSE)&amp;"]")), FALSE)="", "",
VLOOKUP($A23,YES_Reading_ELA[], COLUMN(INDIRECT("YES_Reading_ELA[Difference - Per "&amp;VLOOKUP($D$2,'Reading Report Logic'!$A$2:$B$8,2,FALSE)&amp;"]")), FALSE)),
IF($J$2="FLA",
IF(VLOOKUP($A23, YES_Reading_FLA[], COLUMN(INDIRECT("YES_Reading_FLA[Difference - Per "&amp;VLOOKUP($D$2,'Reading Report Logic'!$A$2:$B$8,2,FALSE)&amp;"]")),FALSE)="","",
VLOOKUP($A23,YES_Reading_FLA[],COLUMN(INDIRECT("YES_Reading_FLA[Difference - Per "&amp;VLOOKUP($D$2,'Reading Report Logic'!$A$2:$B$8,2,FALSE)&amp;"]")),FALSE)),
IF($J$2="Combined",
IFERROR(
IF(VLOOKUP($A23, YES_Reading_ELA[], COLUMN(INDIRECT("YES_Reading_ELA[Difference - Per "&amp;VLOOKUP($D$2, 'Reading Report Logic'!$A$2:$B$8,2,FALSE)&amp;"]")), FALSE)="", "",
VLOOKUP($A23,YES_Reading_ELA[],COLUMN(INDIRECT("YES_Reading_ELA[Difference - Per "&amp;VLOOKUP($D$2,'Reading Report Logic'!$A$2:$B$8,2,FALSE)&amp;"]")),FALSE)),
IF(VLOOKUP($A23, YES_Reading_FLA[], COLUMN(INDIRECT("YES_Reading_FLA[Difference - Per "&amp;VLOOKUP($D$2, 'Reading Report Logic'!$A$2:$B$8, 2, FALSE)&amp;"]")),FALSE)="", "", VLOOKUP($A23,YES_Reading_FLA[],COLUMN(INDIRECT("YES_Reading_FLA[Difference - Per "&amp;VLOOKUP($D$2, 'Reading Report Logic'!$A$2:$B$8, 2, FALSE)&amp;"]")),FALSE))),""))),"")</f>
        <v/>
      </c>
      <c r="H23" s="206" t="str">
        <f ca="1">IFERROR(VLOOKUP('Teacher Reading Pull Sheets'!$D23,_xlfn.VSTACK('ELA Reading Logic'!$A$22:$B$48,'FLA Reading Logic'!$A$22:$B$53),2,FALSE)-VLOOKUP('Teacher Reading Pull Sheets'!$C23,_xlfn.VSTACK('ELA Reading Logic'!$A$22:$B$48,'FLA Reading Logic'!$A$22:$B$53),2,FALSE),"")</f>
        <v/>
      </c>
      <c r="I23" s="238"/>
      <c r="J23" s="206"/>
      <c r="K23" s="197" t="str" cm="1">
        <f t="array" ref="K23">IFERROR(
IF($J$2="ELA",
IF(VLOOKUP($A23, YES_Reading_ELA[], COLUMN(YES_Reading_ELA[Self-Identified as African Descent]), FALSE)="", "",
VLOOKUP($A23,YES_Reading_ELA[], COLUMN(YES_Reading_ELA[Self-Identified as African Descent]), FALSE)),
IF($J$2="FLA",
IF(VLOOKUP($A23, YES_Reading_FLA[], COLUMN(YES_Reading_FLA[Self-Identified as African Descent]),FALSE)="","",
VLOOKUP($A23,YES_Reading_FLA[],COLUMN(YES_Reading_FLA[Self-Identified as African Descent]),FALSE)),
IF($J$2="Combined",
IFERROR(
IF(VLOOKUP($A23, YES_Reading_ELA[], COLUMN(YES_Reading_ELA[Self-Identified as African Descent]), FALSE)="", "",
VLOOKUP($A23,YES_Reading_ELA[],COLUMN(YES_Reading_ELA[Self-Identified as African Descent]),FALSE)),
IF(VLOOKUP($A23, YES_Reading_FLA[], COLUMN(YES_Reading_FLA[Self-Identified as African Descent]),FALSE)="", "", VLOOKUP($A23,YES_Reading_FLA[],COLUMN(YES_Reading_FLA[Self-Identified as African Descent]),FALSE))),""))),"")</f>
        <v/>
      </c>
      <c r="L23" s="73" t="str" cm="1">
        <f t="array" ref="L23">IFERROR(
IF($J$2="ELA",
IF(VLOOKUP($A23, YES_Reading_ELA[], COLUMN(YES_Reading_ELA[Self-Identified as Indigenous]), FALSE)="", "",
VLOOKUP($A23,YES_Reading_ELA[], COLUMN(YES_Reading_ELA[Self-Identified as Indigenous]), FALSE)),
IF($J$2="FLA",
IF(VLOOKUP($A23, YES_Reading_FLA[], COLUMN(YES_Reading_FLA[Self-Identified as Indigenous]),FALSE)="","",
VLOOKUP($A23,YES_Reading_FLA[],COLUMN(YES_Reading_FLA[Self-Identified as Indigenous]),FALSE)),
IF($J$2="Combined",
IFERROR(
IF(VLOOKUP($A23, YES_Reading_ELA[], COLUMN(YES_Reading_ELA[Self-Identified as Indigenous]), FALSE)="", "",
VLOOKUP($A23,YES_Reading_ELA[],COLUMN(YES_Reading_ELA[Self-Identified as Indigenous]),FALSE)),
IF(VLOOKUP($A23, YES_Reading_FLA[], COLUMN(YES_Reading_FLA[Self-Identified as Indigenous]),FALSE)="", "", VLOOKUP($A23,YES_Reading_FLA[],COLUMN(YES_Reading_FLA[Self-Identified as Indigenous]),FALSE))),""))),"")</f>
        <v/>
      </c>
    </row>
    <row r="24" spans="1:12" ht="19.5" customHeight="1" x14ac:dyDescent="0.25">
      <c r="A24" s="217"/>
      <c r="B24" s="220" t="str">
        <f>IFERROR(VLOOKUP(A24,_xlfn.VSTACK(YES_Reading_ELA[],YES_Reading_FLA[]),2,FALSE),"")</f>
        <v/>
      </c>
      <c r="C24" s="203" t="str" cm="1">
        <f t="array" aca="1" ref="C24" ca="1">IFERROR(
IF($J$2="ELA",
IF(VLOOKUP($A24, YES_Reading_ELA[], COLUMN(IF(VLOOKUP($D$2, 'Reading Report Logic'!$A$2:$B$8, 2, FALSE)=1, YES_Reading_ELA[Reading Level June of Previous School Year], INDIRECT("YES_Reading_ELA[Instructional Reading Level - Per "&amp;(VLOOKUP($D$2,'Reading Report Logic'!$A$2:$B$8,2,FALSE)-1)&amp;"]"))), FALSE)="", "",
VLOOKUP($A24,YES_Reading_ELA[], COLUMN(IF(VLOOKUP($D$2,'Reading Report Logic'!$A$2:$B$8,2,FALSE)=1, YES_Reading_ELA[Reading Level June of Previous School Year],INDIRECT("YES_Reading_ELA[Instructional Reading Level - Per "&amp;(VLOOKUP($D$2,'Reading Report Logic'!$A$2:$B$8,2,FALSE)-1)&amp;"]"))), FALSE)),
IF($J$2="FLA",
IF(VLOOKUP($A24, YES_Reading_FLA[], COLUMN(IF(VLOOKUP($D$2,'Reading Report Logic'!$A$2:$B$8,2,FALSE)=1, YES_Reading_FLA[Reading Level June of Previous School Year],INDIRECT("YES_Reading_FLA[Instructional Reading Level - Per "&amp;(VLOOKUP($D$2,'Reading Report Logic'!$A$2:$B$8,2,FALSE)-1)&amp;"]"))),FALSE)="","",
VLOOKUP($A24,YES_Reading_FLA[], COLUMN(IF(VLOOKUP($D$2,'Reading Report Logic'!$A$2:$B$8,2,FALSE)=1, YES_Reading_FLA[Reading Level June of Previous School Year],INDIRECT("YES_Reading_FLA[Instructional Reading Level - Per "&amp;(VLOOKUP($D$2,'Reading Report Logic'!$A$2:$B$8,2,FALSE)-1)&amp;"]"))),FALSE)),
IF($J$2="Combined",
IFERROR(
IF(VLOOKUP($A24, YES_Reading_ELA[], COLUMN(IF(VLOOKUP($D$2,'Reading Report Logic'!$A$2:$B$8,2,FALSE)=1, YES_Reading_ELA[Reading Level June of Previous School Year],INDIRECT("YES_Reading_ELA[Instructional Reading Level - Per "&amp;(VLOOKUP($D$2,'Reading Report Logic'!$A$2:$B$8,2,FALSE)-1)&amp;"]"))), FALSE)="", "",
VLOOKUP($A24,YES_Reading_ELA[],COLUMN(IF(VLOOKUP($D$2,'Reading Report Logic'!$A$2:$B$8,2,FALSE)=1, YES_Reading_ELA[Reading Level June of Previous School Year],INDIRECT("YES_Reading_ELA[Instructional Reading Level - Per "&amp;(VLOOKUP($D$2,'Reading Report Logic'!$A$2:$B$8,2,FALSE)-1)&amp;"]"))),FALSE)),
IF(VLOOKUP($A24, YES_Reading_FLA[], COLUMN(IF(VLOOKUP($D$2,'Reading Report Logic'!$A$2:$B$8,2,FALSE)=1, YES_Reading_FLA[Reading Level June of Previous School Year],INDIRECT("YES_Reading_FLA[Instructional Reading Level - Per "&amp;(VLOOKUP($D$2,'Reading Report Logic'!$A$2:$B$8,2,FALSE)-1)&amp;"]"))),FALSE)="", "", VLOOKUP($A24,YES_Reading_FLA[],COLUMN(IF(VLOOKUP($D$2,'Reading Report Logic'!$A$2:$B$8,2,FALSE)=1, YES_Reading_FLA[Reading Level June of Previous School Year],INDIRECT("YES_Reading_FLA[Instructional Reading Level - Per "&amp;(VLOOKUP($D$2,'Reading Report Logic'!$A$2:$B$8,2,FALSE)-1)&amp;"]"))), FALSE))),""))),"")</f>
        <v/>
      </c>
      <c r="D24" s="204" t="str" cm="1">
        <f t="array" aca="1" ref="D24" ca="1">IFERROR(
IF($J$2="ELA",
IF(VLOOKUP($A24, YES_Reading_ELA[], COLUMN(INDIRECT("YES_Reading_ELA[Instructional Reading Level - Per "&amp;VLOOKUP($D$2, 'Reading Report Logic'!$A$2:$B$8, 2, FALSE)&amp;"]")), FALSE)="", "",
VLOOKUP($A24,YES_Reading_ELA[], COLUMN(INDIRECT("YES_Reading_ELA[Instructional Reading Level - Per "&amp;VLOOKUP($D$2,'Reading Report Logic'!$A$2:$B$8,2,FALSE)&amp;"]")), FALSE)),
IF($J$2="FLA",
IF(VLOOKUP($A24, YES_Reading_FLA[], COLUMN(INDIRECT("YES_Reading_FLA[Instructional Reading Level - Per "&amp;VLOOKUP($D$2,'Reading Report Logic'!$A$2:$B$8,2,FALSE)&amp;"]")),FALSE)="","",
VLOOKUP($A24,YES_Reading_FLA[],COLUMN(INDIRECT("YES_Reading_FLA[Instructional Reading Level - Per "&amp;VLOOKUP($D$2,'Reading Report Logic'!$A$2:$B$8,2,FALSE)&amp;"]")),FALSE)),
IF($J$2="Combined",
IFERROR(
IF(VLOOKUP($A24, YES_Reading_ELA[], COLUMN(INDIRECT("YES_Reading_ELA[Instructional Reading Level - Per "&amp;VLOOKUP($D$2, 'Reading Report Logic'!$A$2:$B$8,2,FALSE)&amp;"]")), FALSE)="", "",
VLOOKUP($A24,YES_Reading_ELA[],COLUMN(INDIRECT("YES_Reading_ELA[Instructional Reading Level - Per "&amp;VLOOKUP($D$2,'Reading Report Logic'!$A$2:$B$8,2,FALSE)&amp;"]")),FALSE)),
IF(VLOOKUP($A24, YES_Reading_FLA[], COLUMN(INDIRECT("YES_Reading_FLA[Instructional Reading Level - Per "&amp;VLOOKUP($D$2, 'Reading Report Logic'!$A$2:$B$8, 2, FALSE)&amp;"]")),FALSE)="", "", VLOOKUP($A24,YES_Reading_FLA[],COLUMN(INDIRECT("YES_Reading_FLA[Instructional Reading Level - Per "&amp;VLOOKUP($D$2, 'Reading Report Logic'!$A$2:$B$8, 2, FALSE)&amp;"]")),FALSE))),""))),"")</f>
        <v/>
      </c>
      <c r="E24" s="205" t="str" cm="1">
        <f t="array" aca="1" ref="E24" ca="1">IFERROR(
IF($J$2="ELA",
IF(VLOOKUP($A24, YES_Reading_ELA[], COLUMN(INDIRECT("YES_Reading_ELA[Min Expectation - Per "&amp;VLOOKUP($D$2, 'Reading Report Logic'!$A$2:$B$8, 2, FALSE)&amp;"]")), FALSE)="", "",
VLOOKUP($A24,YES_Reading_ELA[], COLUMN(INDIRECT("YES_Reading_ELA[Min Expectation - Per "&amp;VLOOKUP($D$2,'Reading Report Logic'!$A$2:$B$8,2,FALSE)&amp;"]")), FALSE)),
IF($J$2="FLA",
IF(VLOOKUP($A24, YES_Reading_FLA[], COLUMN(INDIRECT("YES_Reading_FLA[Min Expectation - Per "&amp;VLOOKUP($D$2,'Reading Report Logic'!$A$2:$B$8,2,FALSE)&amp;"]")),FALSE)="","",
VLOOKUP($A24,YES_Reading_FLA[],COLUMN(INDIRECT("YES_Reading_FLA[Min Expectation - Per "&amp;VLOOKUP($D$2,'Reading Report Logic'!$A$2:$B$8,2,FALSE)&amp;"]")),FALSE)),
IF($J$2="Combined",
IFERROR(
IF(VLOOKUP($A24, YES_Reading_ELA[], COLUMN(INDIRECT("YES_Reading_ELA[Min Expectation - Per "&amp;VLOOKUP($D$2, 'Reading Report Logic'!$A$2:$B$8,2,FALSE)&amp;"]")), FALSE)="", "",
VLOOKUP($A24,YES_Reading_ELA[],COLUMN(INDIRECT("YES_Reading_ELA[Min Expectation - Per "&amp;VLOOKUP($D$2,'Reading Report Logic'!$A$2:$B$8,2,FALSE)&amp;"]")),FALSE)),
IF(VLOOKUP($A24, YES_Reading_FLA[], COLUMN(INDIRECT("YES_Reading_FLA[Min Expectation - Per "&amp;VLOOKUP($D$2, 'Reading Report Logic'!$A$2:$B$8, 2, FALSE)&amp;"]")),FALSE)="", "", VLOOKUP($A24,YES_Reading_FLA[],COLUMN(INDIRECT("YES_Reading_FLA[Min Expectation - Per "&amp;VLOOKUP($D$2, 'Reading Report Logic'!$A$2:$B$8, 2, FALSE)&amp;"]")),FALSE))),""))),"")</f>
        <v/>
      </c>
      <c r="F24" s="205" t="str" cm="1">
        <f t="array" aca="1" ref="F24" ca="1">IFERROR(
IF($J$2="ELA",
IF(VLOOKUP($A24, YES_Reading_ELA[], COLUMN(INDIRECT("YES_Reading_ELA[Max Expectation - Per "&amp;VLOOKUP($D$2, 'Reading Report Logic'!$A$2:$B$8, 2, FALSE)&amp;"]")), FALSE)="", "",
VLOOKUP($A24,YES_Reading_ELA[], COLUMN(INDIRECT("YES_Reading_ELA[Max Expectation - Per "&amp;VLOOKUP($D$2,'Reading Report Logic'!$A$2:$B$8,2,FALSE)&amp;"]")), FALSE)),
IF($J$2="FLA",
IF(VLOOKUP($A24, YES_Reading_FLA[], COLUMN(INDIRECT("YES_Reading_FLA[Max Expectation - Per "&amp;VLOOKUP($D$2,'Reading Report Logic'!$A$2:$B$8,2,FALSE)&amp;"]")),FALSE)="","",
VLOOKUP($A24,YES_Reading_FLA[],COLUMN(INDIRECT("YES_Reading_FLA[Max Expectation - Per "&amp;VLOOKUP($D$2,'Reading Report Logic'!$A$2:$B$8,2,FALSE)&amp;"]")),FALSE)),
IF($J$2="Combined",
IFERROR(
IF(VLOOKUP($A24, YES_Reading_ELA[], COLUMN(INDIRECT("YES_Reading_ELA[Max Expectation - Per "&amp;VLOOKUP($D$2, 'Reading Report Logic'!$A$2:$B$8,2,FALSE)&amp;"]")), FALSE)="", "",
VLOOKUP($A24,YES_Reading_ELA[],COLUMN(INDIRECT("YES_Reading_ELA[Max Expectation - Per "&amp;VLOOKUP($D$2,'Reading Report Logic'!$A$2:$B$8,2,FALSE)&amp;"]")),FALSE)),
IF(VLOOKUP($A24, YES_Reading_FLA[], COLUMN(INDIRECT("YES_Reading_FLA[Max Expectation - Per "&amp;VLOOKUP($D$2, 'Reading Report Logic'!$A$2:$B$8, 2, FALSE)&amp;"]")),FALSE)="", "", VLOOKUP($A24,YES_Reading_FLA[],COLUMN(INDIRECT("YES_Reading_FLA[Max Expectation - Per "&amp;VLOOKUP($D$2, 'Reading Report Logic'!$A$2:$B$8, 2, FALSE)&amp;"]")),FALSE))),""))),"")</f>
        <v/>
      </c>
      <c r="G24" s="205" t="str" cm="1">
        <f t="array" aca="1" ref="G24" ca="1">IFERROR(
IF($J$2="ELA",
IF(VLOOKUP($A24, YES_Reading_ELA[], COLUMN(INDIRECT("YES_Reading_ELA[Difference - Per "&amp;VLOOKUP($D$2, 'Reading Report Logic'!$A$2:$B$8, 2, FALSE)&amp;"]")), FALSE)="", "",
VLOOKUP($A24,YES_Reading_ELA[], COLUMN(INDIRECT("YES_Reading_ELA[Difference - Per "&amp;VLOOKUP($D$2,'Reading Report Logic'!$A$2:$B$8,2,FALSE)&amp;"]")), FALSE)),
IF($J$2="FLA",
IF(VLOOKUP($A24, YES_Reading_FLA[], COLUMN(INDIRECT("YES_Reading_FLA[Difference - Per "&amp;VLOOKUP($D$2,'Reading Report Logic'!$A$2:$B$8,2,FALSE)&amp;"]")),FALSE)="","",
VLOOKUP($A24,YES_Reading_FLA[],COLUMN(INDIRECT("YES_Reading_FLA[Difference - Per "&amp;VLOOKUP($D$2,'Reading Report Logic'!$A$2:$B$8,2,FALSE)&amp;"]")),FALSE)),
IF($J$2="Combined",
IFERROR(
IF(VLOOKUP($A24, YES_Reading_ELA[], COLUMN(INDIRECT("YES_Reading_ELA[Difference - Per "&amp;VLOOKUP($D$2, 'Reading Report Logic'!$A$2:$B$8,2,FALSE)&amp;"]")), FALSE)="", "",
VLOOKUP($A24,YES_Reading_ELA[],COLUMN(INDIRECT("YES_Reading_ELA[Difference - Per "&amp;VLOOKUP($D$2,'Reading Report Logic'!$A$2:$B$8,2,FALSE)&amp;"]")),FALSE)),
IF(VLOOKUP($A24, YES_Reading_FLA[], COLUMN(INDIRECT("YES_Reading_FLA[Difference - Per "&amp;VLOOKUP($D$2, 'Reading Report Logic'!$A$2:$B$8, 2, FALSE)&amp;"]")),FALSE)="", "", VLOOKUP($A24,YES_Reading_FLA[],COLUMN(INDIRECT("YES_Reading_FLA[Difference - Per "&amp;VLOOKUP($D$2, 'Reading Report Logic'!$A$2:$B$8, 2, FALSE)&amp;"]")),FALSE))),""))),"")</f>
        <v/>
      </c>
      <c r="H24" s="206" t="str">
        <f ca="1">IFERROR(VLOOKUP('Teacher Reading Pull Sheets'!$D24,_xlfn.VSTACK('ELA Reading Logic'!$A$22:$B$48,'FLA Reading Logic'!$A$22:$B$53),2,FALSE)-VLOOKUP('Teacher Reading Pull Sheets'!$C24,_xlfn.VSTACK('ELA Reading Logic'!$A$22:$B$48,'FLA Reading Logic'!$A$22:$B$53),2,FALSE),"")</f>
        <v/>
      </c>
      <c r="I24" s="207"/>
      <c r="J24" s="206"/>
      <c r="K24" s="197" t="str" cm="1">
        <f t="array" ref="K24">IFERROR(
IF($J$2="ELA",
IF(VLOOKUP($A24, YES_Reading_ELA[], COLUMN(YES_Reading_ELA[Self-Identified as African Descent]), FALSE)="", "",
VLOOKUP($A24,YES_Reading_ELA[], COLUMN(YES_Reading_ELA[Self-Identified as African Descent]), FALSE)),
IF($J$2="FLA",
IF(VLOOKUP($A24, YES_Reading_FLA[], COLUMN(YES_Reading_FLA[Self-Identified as African Descent]),FALSE)="","",
VLOOKUP($A24,YES_Reading_FLA[],COLUMN(YES_Reading_FLA[Self-Identified as African Descent]),FALSE)),
IF($J$2="Combined",
IFERROR(
IF(VLOOKUP($A24, YES_Reading_ELA[], COLUMN(YES_Reading_ELA[Self-Identified as African Descent]), FALSE)="", "",
VLOOKUP($A24,YES_Reading_ELA[],COLUMN(YES_Reading_ELA[Self-Identified as African Descent]),FALSE)),
IF(VLOOKUP($A24, YES_Reading_FLA[], COLUMN(YES_Reading_FLA[Self-Identified as African Descent]),FALSE)="", "", VLOOKUP($A24,YES_Reading_FLA[],COLUMN(YES_Reading_FLA[Self-Identified as African Descent]),FALSE))),""))),"")</f>
        <v/>
      </c>
      <c r="L24" s="73" t="str" cm="1">
        <f t="array" ref="L24">IFERROR(
IF($J$2="ELA",
IF(VLOOKUP($A24, YES_Reading_ELA[], COLUMN(YES_Reading_ELA[Self-Identified as Indigenous]), FALSE)="", "",
VLOOKUP($A24,YES_Reading_ELA[], COLUMN(YES_Reading_ELA[Self-Identified as Indigenous]), FALSE)),
IF($J$2="FLA",
IF(VLOOKUP($A24, YES_Reading_FLA[], COLUMN(YES_Reading_FLA[Self-Identified as Indigenous]),FALSE)="","",
VLOOKUP($A24,YES_Reading_FLA[],COLUMN(YES_Reading_FLA[Self-Identified as Indigenous]),FALSE)),
IF($J$2="Combined",
IFERROR(
IF(VLOOKUP($A24, YES_Reading_ELA[], COLUMN(YES_Reading_ELA[Self-Identified as Indigenous]), FALSE)="", "",
VLOOKUP($A24,YES_Reading_ELA[],COLUMN(YES_Reading_ELA[Self-Identified as Indigenous]),FALSE)),
IF(VLOOKUP($A24, YES_Reading_FLA[], COLUMN(YES_Reading_FLA[Self-Identified as Indigenous]),FALSE)="", "", VLOOKUP($A24,YES_Reading_FLA[],COLUMN(YES_Reading_FLA[Self-Identified as Indigenous]),FALSE))),""))),"")</f>
        <v/>
      </c>
    </row>
    <row r="25" spans="1:12" ht="19.5" customHeight="1" x14ac:dyDescent="0.25">
      <c r="A25" s="217"/>
      <c r="B25" s="220" t="str">
        <f>IFERROR(VLOOKUP(A25,_xlfn.VSTACK(YES_Reading_ELA[],YES_Reading_FLA[]),2,FALSE),"")</f>
        <v/>
      </c>
      <c r="C25" s="203" t="str" cm="1">
        <f t="array" aca="1" ref="C25" ca="1">IFERROR(
IF($J$2="ELA",
IF(VLOOKUP($A25, YES_Reading_ELA[], COLUMN(IF(VLOOKUP($D$2, 'Reading Report Logic'!$A$2:$B$8, 2, FALSE)=1, YES_Reading_ELA[Reading Level June of Previous School Year], INDIRECT("YES_Reading_ELA[Instructional Reading Level - Per "&amp;(VLOOKUP($D$2,'Reading Report Logic'!$A$2:$B$8,2,FALSE)-1)&amp;"]"))), FALSE)="", "",
VLOOKUP($A25,YES_Reading_ELA[], COLUMN(IF(VLOOKUP($D$2,'Reading Report Logic'!$A$2:$B$8,2,FALSE)=1, YES_Reading_ELA[Reading Level June of Previous School Year],INDIRECT("YES_Reading_ELA[Instructional Reading Level - Per "&amp;(VLOOKUP($D$2,'Reading Report Logic'!$A$2:$B$8,2,FALSE)-1)&amp;"]"))), FALSE)),
IF($J$2="FLA",
IF(VLOOKUP($A25, YES_Reading_FLA[], COLUMN(IF(VLOOKUP($D$2,'Reading Report Logic'!$A$2:$B$8,2,FALSE)=1, YES_Reading_FLA[Reading Level June of Previous School Year],INDIRECT("YES_Reading_FLA[Instructional Reading Level - Per "&amp;(VLOOKUP($D$2,'Reading Report Logic'!$A$2:$B$8,2,FALSE)-1)&amp;"]"))),FALSE)="","",
VLOOKUP($A25,YES_Reading_FLA[], COLUMN(IF(VLOOKUP($D$2,'Reading Report Logic'!$A$2:$B$8,2,FALSE)=1, YES_Reading_FLA[Reading Level June of Previous School Year],INDIRECT("YES_Reading_FLA[Instructional Reading Level - Per "&amp;(VLOOKUP($D$2,'Reading Report Logic'!$A$2:$B$8,2,FALSE)-1)&amp;"]"))),FALSE)),
IF($J$2="Combined",
IFERROR(
IF(VLOOKUP($A25, YES_Reading_ELA[], COLUMN(IF(VLOOKUP($D$2,'Reading Report Logic'!$A$2:$B$8,2,FALSE)=1, YES_Reading_ELA[Reading Level June of Previous School Year],INDIRECT("YES_Reading_ELA[Instructional Reading Level - Per "&amp;(VLOOKUP($D$2,'Reading Report Logic'!$A$2:$B$8,2,FALSE)-1)&amp;"]"))), FALSE)="", "",
VLOOKUP($A25,YES_Reading_ELA[],COLUMN(IF(VLOOKUP($D$2,'Reading Report Logic'!$A$2:$B$8,2,FALSE)=1, YES_Reading_ELA[Reading Level June of Previous School Year],INDIRECT("YES_Reading_ELA[Instructional Reading Level - Per "&amp;(VLOOKUP($D$2,'Reading Report Logic'!$A$2:$B$8,2,FALSE)-1)&amp;"]"))),FALSE)),
IF(VLOOKUP($A25, YES_Reading_FLA[], COLUMN(IF(VLOOKUP($D$2,'Reading Report Logic'!$A$2:$B$8,2,FALSE)=1, YES_Reading_FLA[Reading Level June of Previous School Year],INDIRECT("YES_Reading_FLA[Instructional Reading Level - Per "&amp;(VLOOKUP($D$2,'Reading Report Logic'!$A$2:$B$8,2,FALSE)-1)&amp;"]"))),FALSE)="", "", VLOOKUP($A25,YES_Reading_FLA[],COLUMN(IF(VLOOKUP($D$2,'Reading Report Logic'!$A$2:$B$8,2,FALSE)=1, YES_Reading_FLA[Reading Level June of Previous School Year],INDIRECT("YES_Reading_FLA[Instructional Reading Level - Per "&amp;(VLOOKUP($D$2,'Reading Report Logic'!$A$2:$B$8,2,FALSE)-1)&amp;"]"))), FALSE))),""))),"")</f>
        <v/>
      </c>
      <c r="D25" s="204" t="str" cm="1">
        <f t="array" aca="1" ref="D25" ca="1">IFERROR(
IF($J$2="ELA",
IF(VLOOKUP($A25, YES_Reading_ELA[], COLUMN(INDIRECT("YES_Reading_ELA[Instructional Reading Level - Per "&amp;VLOOKUP($D$2, 'Reading Report Logic'!$A$2:$B$8, 2, FALSE)&amp;"]")), FALSE)="", "",
VLOOKUP($A25,YES_Reading_ELA[], COLUMN(INDIRECT("YES_Reading_ELA[Instructional Reading Level - Per "&amp;VLOOKUP($D$2,'Reading Report Logic'!$A$2:$B$8,2,FALSE)&amp;"]")), FALSE)),
IF($J$2="FLA",
IF(VLOOKUP($A25, YES_Reading_FLA[], COLUMN(INDIRECT("YES_Reading_FLA[Instructional Reading Level - Per "&amp;VLOOKUP($D$2,'Reading Report Logic'!$A$2:$B$8,2,FALSE)&amp;"]")),FALSE)="","",
VLOOKUP($A25,YES_Reading_FLA[],COLUMN(INDIRECT("YES_Reading_FLA[Instructional Reading Level - Per "&amp;VLOOKUP($D$2,'Reading Report Logic'!$A$2:$B$8,2,FALSE)&amp;"]")),FALSE)),
IF($J$2="Combined",
IFERROR(
IF(VLOOKUP($A25, YES_Reading_ELA[], COLUMN(INDIRECT("YES_Reading_ELA[Instructional Reading Level - Per "&amp;VLOOKUP($D$2, 'Reading Report Logic'!$A$2:$B$8,2,FALSE)&amp;"]")), FALSE)="", "",
VLOOKUP($A25,YES_Reading_ELA[],COLUMN(INDIRECT("YES_Reading_ELA[Instructional Reading Level - Per "&amp;VLOOKUP($D$2,'Reading Report Logic'!$A$2:$B$8,2,FALSE)&amp;"]")),FALSE)),
IF(VLOOKUP($A25, YES_Reading_FLA[], COLUMN(INDIRECT("YES_Reading_FLA[Instructional Reading Level - Per "&amp;VLOOKUP($D$2, 'Reading Report Logic'!$A$2:$B$8, 2, FALSE)&amp;"]")),FALSE)="", "", VLOOKUP($A25,YES_Reading_FLA[],COLUMN(INDIRECT("YES_Reading_FLA[Instructional Reading Level - Per "&amp;VLOOKUP($D$2, 'Reading Report Logic'!$A$2:$B$8, 2, FALSE)&amp;"]")),FALSE))),""))),"")</f>
        <v/>
      </c>
      <c r="E25" s="205" t="str" cm="1">
        <f t="array" aca="1" ref="E25" ca="1">IFERROR(
IF($J$2="ELA",
IF(VLOOKUP($A25, YES_Reading_ELA[], COLUMN(INDIRECT("YES_Reading_ELA[Min Expectation - Per "&amp;VLOOKUP($D$2, 'Reading Report Logic'!$A$2:$B$8, 2, FALSE)&amp;"]")), FALSE)="", "",
VLOOKUP($A25,YES_Reading_ELA[], COLUMN(INDIRECT("YES_Reading_ELA[Min Expectation - Per "&amp;VLOOKUP($D$2,'Reading Report Logic'!$A$2:$B$8,2,FALSE)&amp;"]")), FALSE)),
IF($J$2="FLA",
IF(VLOOKUP($A25, YES_Reading_FLA[], COLUMN(INDIRECT("YES_Reading_FLA[Min Expectation - Per "&amp;VLOOKUP($D$2,'Reading Report Logic'!$A$2:$B$8,2,FALSE)&amp;"]")),FALSE)="","",
VLOOKUP($A25,YES_Reading_FLA[],COLUMN(INDIRECT("YES_Reading_FLA[Min Expectation - Per "&amp;VLOOKUP($D$2,'Reading Report Logic'!$A$2:$B$8,2,FALSE)&amp;"]")),FALSE)),
IF($J$2="Combined",
IFERROR(
IF(VLOOKUP($A25, YES_Reading_ELA[], COLUMN(INDIRECT("YES_Reading_ELA[Min Expectation - Per "&amp;VLOOKUP($D$2, 'Reading Report Logic'!$A$2:$B$8,2,FALSE)&amp;"]")), FALSE)="", "",
VLOOKUP($A25,YES_Reading_ELA[],COLUMN(INDIRECT("YES_Reading_ELA[Min Expectation - Per "&amp;VLOOKUP($D$2,'Reading Report Logic'!$A$2:$B$8,2,FALSE)&amp;"]")),FALSE)),
IF(VLOOKUP($A25, YES_Reading_FLA[], COLUMN(INDIRECT("YES_Reading_FLA[Min Expectation - Per "&amp;VLOOKUP($D$2, 'Reading Report Logic'!$A$2:$B$8, 2, FALSE)&amp;"]")),FALSE)="", "", VLOOKUP($A25,YES_Reading_FLA[],COLUMN(INDIRECT("YES_Reading_FLA[Min Expectation - Per "&amp;VLOOKUP($D$2, 'Reading Report Logic'!$A$2:$B$8, 2, FALSE)&amp;"]")),FALSE))),""))),"")</f>
        <v/>
      </c>
      <c r="F25" s="205" t="str" cm="1">
        <f t="array" aca="1" ref="F25" ca="1">IFERROR(
IF($J$2="ELA",
IF(VLOOKUP($A25, YES_Reading_ELA[], COLUMN(INDIRECT("YES_Reading_ELA[Max Expectation - Per "&amp;VLOOKUP($D$2, 'Reading Report Logic'!$A$2:$B$8, 2, FALSE)&amp;"]")), FALSE)="", "",
VLOOKUP($A25,YES_Reading_ELA[], COLUMN(INDIRECT("YES_Reading_ELA[Max Expectation - Per "&amp;VLOOKUP($D$2,'Reading Report Logic'!$A$2:$B$8,2,FALSE)&amp;"]")), FALSE)),
IF($J$2="FLA",
IF(VLOOKUP($A25, YES_Reading_FLA[], COLUMN(INDIRECT("YES_Reading_FLA[Max Expectation - Per "&amp;VLOOKUP($D$2,'Reading Report Logic'!$A$2:$B$8,2,FALSE)&amp;"]")),FALSE)="","",
VLOOKUP($A25,YES_Reading_FLA[],COLUMN(INDIRECT("YES_Reading_FLA[Max Expectation - Per "&amp;VLOOKUP($D$2,'Reading Report Logic'!$A$2:$B$8,2,FALSE)&amp;"]")),FALSE)),
IF($J$2="Combined",
IFERROR(
IF(VLOOKUP($A25, YES_Reading_ELA[], COLUMN(INDIRECT("YES_Reading_ELA[Max Expectation - Per "&amp;VLOOKUP($D$2, 'Reading Report Logic'!$A$2:$B$8,2,FALSE)&amp;"]")), FALSE)="", "",
VLOOKUP($A25,YES_Reading_ELA[],COLUMN(INDIRECT("YES_Reading_ELA[Max Expectation - Per "&amp;VLOOKUP($D$2,'Reading Report Logic'!$A$2:$B$8,2,FALSE)&amp;"]")),FALSE)),
IF(VLOOKUP($A25, YES_Reading_FLA[], COLUMN(INDIRECT("YES_Reading_FLA[Max Expectation - Per "&amp;VLOOKUP($D$2, 'Reading Report Logic'!$A$2:$B$8, 2, FALSE)&amp;"]")),FALSE)="", "", VLOOKUP($A25,YES_Reading_FLA[],COLUMN(INDIRECT("YES_Reading_FLA[Max Expectation - Per "&amp;VLOOKUP($D$2, 'Reading Report Logic'!$A$2:$B$8, 2, FALSE)&amp;"]")),FALSE))),""))),"")</f>
        <v/>
      </c>
      <c r="G25" s="205" t="str" cm="1">
        <f t="array" aca="1" ref="G25" ca="1">IFERROR(
IF($J$2="ELA",
IF(VLOOKUP($A25, YES_Reading_ELA[], COLUMN(INDIRECT("YES_Reading_ELA[Difference - Per "&amp;VLOOKUP($D$2, 'Reading Report Logic'!$A$2:$B$8, 2, FALSE)&amp;"]")), FALSE)="", "",
VLOOKUP($A25,YES_Reading_ELA[], COLUMN(INDIRECT("YES_Reading_ELA[Difference - Per "&amp;VLOOKUP($D$2,'Reading Report Logic'!$A$2:$B$8,2,FALSE)&amp;"]")), FALSE)),
IF($J$2="FLA",
IF(VLOOKUP($A25, YES_Reading_FLA[], COLUMN(INDIRECT("YES_Reading_FLA[Difference - Per "&amp;VLOOKUP($D$2,'Reading Report Logic'!$A$2:$B$8,2,FALSE)&amp;"]")),FALSE)="","",
VLOOKUP($A25,YES_Reading_FLA[],COLUMN(INDIRECT("YES_Reading_FLA[Difference - Per "&amp;VLOOKUP($D$2,'Reading Report Logic'!$A$2:$B$8,2,FALSE)&amp;"]")),FALSE)),
IF($J$2="Combined",
IFERROR(
IF(VLOOKUP($A25, YES_Reading_ELA[], COLUMN(INDIRECT("YES_Reading_ELA[Difference - Per "&amp;VLOOKUP($D$2, 'Reading Report Logic'!$A$2:$B$8,2,FALSE)&amp;"]")), FALSE)="", "",
VLOOKUP($A25,YES_Reading_ELA[],COLUMN(INDIRECT("YES_Reading_ELA[Difference - Per "&amp;VLOOKUP($D$2,'Reading Report Logic'!$A$2:$B$8,2,FALSE)&amp;"]")),FALSE)),
IF(VLOOKUP($A25, YES_Reading_FLA[], COLUMN(INDIRECT("YES_Reading_FLA[Difference - Per "&amp;VLOOKUP($D$2, 'Reading Report Logic'!$A$2:$B$8, 2, FALSE)&amp;"]")),FALSE)="", "", VLOOKUP($A25,YES_Reading_FLA[],COLUMN(INDIRECT("YES_Reading_FLA[Difference - Per "&amp;VLOOKUP($D$2, 'Reading Report Logic'!$A$2:$B$8, 2, FALSE)&amp;"]")),FALSE))),""))),"")</f>
        <v/>
      </c>
      <c r="H25" s="206" t="str">
        <f ca="1">IFERROR(VLOOKUP('Teacher Reading Pull Sheets'!$D25,_xlfn.VSTACK('ELA Reading Logic'!$A$22:$B$48,'FLA Reading Logic'!$A$22:$B$53),2,FALSE)-VLOOKUP('Teacher Reading Pull Sheets'!$C25,_xlfn.VSTACK('ELA Reading Logic'!$A$22:$B$48,'FLA Reading Logic'!$A$22:$B$53),2,FALSE),"")</f>
        <v/>
      </c>
      <c r="I25" s="207"/>
      <c r="J25" s="206"/>
      <c r="K25" s="197" t="str" cm="1">
        <f t="array" ref="K25">IFERROR(
IF($J$2="ELA",
IF(VLOOKUP($A25, YES_Reading_ELA[], COLUMN(YES_Reading_ELA[Self-Identified as African Descent]), FALSE)="", "",
VLOOKUP($A25,YES_Reading_ELA[], COLUMN(YES_Reading_ELA[Self-Identified as African Descent]), FALSE)),
IF($J$2="FLA",
IF(VLOOKUP($A25, YES_Reading_FLA[], COLUMN(YES_Reading_FLA[Self-Identified as African Descent]),FALSE)="","",
VLOOKUP($A25,YES_Reading_FLA[],COLUMN(YES_Reading_FLA[Self-Identified as African Descent]),FALSE)),
IF($J$2="Combined",
IFERROR(
IF(VLOOKUP($A25, YES_Reading_ELA[], COLUMN(YES_Reading_ELA[Self-Identified as African Descent]), FALSE)="", "",
VLOOKUP($A25,YES_Reading_ELA[],COLUMN(YES_Reading_ELA[Self-Identified as African Descent]),FALSE)),
IF(VLOOKUP($A25, YES_Reading_FLA[], COLUMN(YES_Reading_FLA[Self-Identified as African Descent]),FALSE)="", "", VLOOKUP($A25,YES_Reading_FLA[],COLUMN(YES_Reading_FLA[Self-Identified as African Descent]),FALSE))),""))),"")</f>
        <v/>
      </c>
      <c r="L25" s="73" t="str" cm="1">
        <f t="array" ref="L25">IFERROR(
IF($J$2="ELA",
IF(VLOOKUP($A25, YES_Reading_ELA[], COLUMN(YES_Reading_ELA[Self-Identified as Indigenous]), FALSE)="", "",
VLOOKUP($A25,YES_Reading_ELA[], COLUMN(YES_Reading_ELA[Self-Identified as Indigenous]), FALSE)),
IF($J$2="FLA",
IF(VLOOKUP($A25, YES_Reading_FLA[], COLUMN(YES_Reading_FLA[Self-Identified as Indigenous]),FALSE)="","",
VLOOKUP($A25,YES_Reading_FLA[],COLUMN(YES_Reading_FLA[Self-Identified as Indigenous]),FALSE)),
IF($J$2="Combined",
IFERROR(
IF(VLOOKUP($A25, YES_Reading_ELA[], COLUMN(YES_Reading_ELA[Self-Identified as Indigenous]), FALSE)="", "",
VLOOKUP($A25,YES_Reading_ELA[],COLUMN(YES_Reading_ELA[Self-Identified as Indigenous]),FALSE)),
IF(VLOOKUP($A25, YES_Reading_FLA[], COLUMN(YES_Reading_FLA[Self-Identified as Indigenous]),FALSE)="", "", VLOOKUP($A25,YES_Reading_FLA[],COLUMN(YES_Reading_FLA[Self-Identified as Indigenous]),FALSE))),""))),"")</f>
        <v/>
      </c>
    </row>
    <row r="26" spans="1:12" ht="19.5" customHeight="1" x14ac:dyDescent="0.25">
      <c r="A26" s="217"/>
      <c r="B26" s="220" t="str">
        <f>IFERROR(VLOOKUP(A26,_xlfn.VSTACK(YES_Reading_ELA[],YES_Reading_FLA[]),2,FALSE),"")</f>
        <v/>
      </c>
      <c r="C26" s="203" t="str" cm="1">
        <f t="array" aca="1" ref="C26" ca="1">IFERROR(
IF($J$2="ELA",
IF(VLOOKUP($A26, YES_Reading_ELA[], COLUMN(IF(VLOOKUP($D$2, 'Reading Report Logic'!$A$2:$B$8, 2, FALSE)=1, YES_Reading_ELA[Reading Level June of Previous School Year], INDIRECT("YES_Reading_ELA[Instructional Reading Level - Per "&amp;(VLOOKUP($D$2,'Reading Report Logic'!$A$2:$B$8,2,FALSE)-1)&amp;"]"))), FALSE)="", "",
VLOOKUP($A26,YES_Reading_ELA[], COLUMN(IF(VLOOKUP($D$2,'Reading Report Logic'!$A$2:$B$8,2,FALSE)=1, YES_Reading_ELA[Reading Level June of Previous School Year],INDIRECT("YES_Reading_ELA[Instructional Reading Level - Per "&amp;(VLOOKUP($D$2,'Reading Report Logic'!$A$2:$B$8,2,FALSE)-1)&amp;"]"))), FALSE)),
IF($J$2="FLA",
IF(VLOOKUP($A26, YES_Reading_FLA[], COLUMN(IF(VLOOKUP($D$2,'Reading Report Logic'!$A$2:$B$8,2,FALSE)=1, YES_Reading_FLA[Reading Level June of Previous School Year],INDIRECT("YES_Reading_FLA[Instructional Reading Level - Per "&amp;(VLOOKUP($D$2,'Reading Report Logic'!$A$2:$B$8,2,FALSE)-1)&amp;"]"))),FALSE)="","",
VLOOKUP($A26,YES_Reading_FLA[], COLUMN(IF(VLOOKUP($D$2,'Reading Report Logic'!$A$2:$B$8,2,FALSE)=1, YES_Reading_FLA[Reading Level June of Previous School Year],INDIRECT("YES_Reading_FLA[Instructional Reading Level - Per "&amp;(VLOOKUP($D$2,'Reading Report Logic'!$A$2:$B$8,2,FALSE)-1)&amp;"]"))),FALSE)),
IF($J$2="Combined",
IFERROR(
IF(VLOOKUP($A26, YES_Reading_ELA[], COLUMN(IF(VLOOKUP($D$2,'Reading Report Logic'!$A$2:$B$8,2,FALSE)=1, YES_Reading_ELA[Reading Level June of Previous School Year],INDIRECT("YES_Reading_ELA[Instructional Reading Level - Per "&amp;(VLOOKUP($D$2,'Reading Report Logic'!$A$2:$B$8,2,FALSE)-1)&amp;"]"))), FALSE)="", "",
VLOOKUP($A26,YES_Reading_ELA[],COLUMN(IF(VLOOKUP($D$2,'Reading Report Logic'!$A$2:$B$8,2,FALSE)=1, YES_Reading_ELA[Reading Level June of Previous School Year],INDIRECT("YES_Reading_ELA[Instructional Reading Level - Per "&amp;(VLOOKUP($D$2,'Reading Report Logic'!$A$2:$B$8,2,FALSE)-1)&amp;"]"))),FALSE)),
IF(VLOOKUP($A26, YES_Reading_FLA[], COLUMN(IF(VLOOKUP($D$2,'Reading Report Logic'!$A$2:$B$8,2,FALSE)=1, YES_Reading_FLA[Reading Level June of Previous School Year],INDIRECT("YES_Reading_FLA[Instructional Reading Level - Per "&amp;(VLOOKUP($D$2,'Reading Report Logic'!$A$2:$B$8,2,FALSE)-1)&amp;"]"))),FALSE)="", "", VLOOKUP($A26,YES_Reading_FLA[],COLUMN(IF(VLOOKUP($D$2,'Reading Report Logic'!$A$2:$B$8,2,FALSE)=1, YES_Reading_FLA[Reading Level June of Previous School Year],INDIRECT("YES_Reading_FLA[Instructional Reading Level - Per "&amp;(VLOOKUP($D$2,'Reading Report Logic'!$A$2:$B$8,2,FALSE)-1)&amp;"]"))), FALSE))),""))),"")</f>
        <v/>
      </c>
      <c r="D26" s="204" t="str" cm="1">
        <f t="array" aca="1" ref="D26" ca="1">IFERROR(
IF($J$2="ELA",
IF(VLOOKUP($A26, YES_Reading_ELA[], COLUMN(INDIRECT("YES_Reading_ELA[Instructional Reading Level - Per "&amp;VLOOKUP($D$2, 'Reading Report Logic'!$A$2:$B$8, 2, FALSE)&amp;"]")), FALSE)="", "",
VLOOKUP($A26,YES_Reading_ELA[], COLUMN(INDIRECT("YES_Reading_ELA[Instructional Reading Level - Per "&amp;VLOOKUP($D$2,'Reading Report Logic'!$A$2:$B$8,2,FALSE)&amp;"]")), FALSE)),
IF($J$2="FLA",
IF(VLOOKUP($A26, YES_Reading_FLA[], COLUMN(INDIRECT("YES_Reading_FLA[Instructional Reading Level - Per "&amp;VLOOKUP($D$2,'Reading Report Logic'!$A$2:$B$8,2,FALSE)&amp;"]")),FALSE)="","",
VLOOKUP($A26,YES_Reading_FLA[],COLUMN(INDIRECT("YES_Reading_FLA[Instructional Reading Level - Per "&amp;VLOOKUP($D$2,'Reading Report Logic'!$A$2:$B$8,2,FALSE)&amp;"]")),FALSE)),
IF($J$2="Combined",
IFERROR(
IF(VLOOKUP($A26, YES_Reading_ELA[], COLUMN(INDIRECT("YES_Reading_ELA[Instructional Reading Level - Per "&amp;VLOOKUP($D$2, 'Reading Report Logic'!$A$2:$B$8,2,FALSE)&amp;"]")), FALSE)="", "",
VLOOKUP($A26,YES_Reading_ELA[],COLUMN(INDIRECT("YES_Reading_ELA[Instructional Reading Level - Per "&amp;VLOOKUP($D$2,'Reading Report Logic'!$A$2:$B$8,2,FALSE)&amp;"]")),FALSE)),
IF(VLOOKUP($A26, YES_Reading_FLA[], COLUMN(INDIRECT("YES_Reading_FLA[Instructional Reading Level - Per "&amp;VLOOKUP($D$2, 'Reading Report Logic'!$A$2:$B$8, 2, FALSE)&amp;"]")),FALSE)="", "", VLOOKUP($A26,YES_Reading_FLA[],COLUMN(INDIRECT("YES_Reading_FLA[Instructional Reading Level - Per "&amp;VLOOKUP($D$2, 'Reading Report Logic'!$A$2:$B$8, 2, FALSE)&amp;"]")),FALSE))),""))),"")</f>
        <v/>
      </c>
      <c r="E26" s="205" t="str" cm="1">
        <f t="array" aca="1" ref="E26" ca="1">IFERROR(
IF($J$2="ELA",
IF(VLOOKUP($A26, YES_Reading_ELA[], COLUMN(INDIRECT("YES_Reading_ELA[Min Expectation - Per "&amp;VLOOKUP($D$2, 'Reading Report Logic'!$A$2:$B$8, 2, FALSE)&amp;"]")), FALSE)="", "",
VLOOKUP($A26,YES_Reading_ELA[], COLUMN(INDIRECT("YES_Reading_ELA[Min Expectation - Per "&amp;VLOOKUP($D$2,'Reading Report Logic'!$A$2:$B$8,2,FALSE)&amp;"]")), FALSE)),
IF($J$2="FLA",
IF(VLOOKUP($A26, YES_Reading_FLA[], COLUMN(INDIRECT("YES_Reading_FLA[Min Expectation - Per "&amp;VLOOKUP($D$2,'Reading Report Logic'!$A$2:$B$8,2,FALSE)&amp;"]")),FALSE)="","",
VLOOKUP($A26,YES_Reading_FLA[],COLUMN(INDIRECT("YES_Reading_FLA[Min Expectation - Per "&amp;VLOOKUP($D$2,'Reading Report Logic'!$A$2:$B$8,2,FALSE)&amp;"]")),FALSE)),
IF($J$2="Combined",
IFERROR(
IF(VLOOKUP($A26, YES_Reading_ELA[], COLUMN(INDIRECT("YES_Reading_ELA[Min Expectation - Per "&amp;VLOOKUP($D$2, 'Reading Report Logic'!$A$2:$B$8,2,FALSE)&amp;"]")), FALSE)="", "",
VLOOKUP($A26,YES_Reading_ELA[],COLUMN(INDIRECT("YES_Reading_ELA[Min Expectation - Per "&amp;VLOOKUP($D$2,'Reading Report Logic'!$A$2:$B$8,2,FALSE)&amp;"]")),FALSE)),
IF(VLOOKUP($A26, YES_Reading_FLA[], COLUMN(INDIRECT("YES_Reading_FLA[Min Expectation - Per "&amp;VLOOKUP($D$2, 'Reading Report Logic'!$A$2:$B$8, 2, FALSE)&amp;"]")),FALSE)="", "", VLOOKUP($A26,YES_Reading_FLA[],COLUMN(INDIRECT("YES_Reading_FLA[Min Expectation - Per "&amp;VLOOKUP($D$2, 'Reading Report Logic'!$A$2:$B$8, 2, FALSE)&amp;"]")),FALSE))),""))),"")</f>
        <v/>
      </c>
      <c r="F26" s="205" t="str" cm="1">
        <f t="array" aca="1" ref="F26" ca="1">IFERROR(
IF($J$2="ELA",
IF(VLOOKUP($A26, YES_Reading_ELA[], COLUMN(INDIRECT("YES_Reading_ELA[Max Expectation - Per "&amp;VLOOKUP($D$2, 'Reading Report Logic'!$A$2:$B$8, 2, FALSE)&amp;"]")), FALSE)="", "",
VLOOKUP($A26,YES_Reading_ELA[], COLUMN(INDIRECT("YES_Reading_ELA[Max Expectation - Per "&amp;VLOOKUP($D$2,'Reading Report Logic'!$A$2:$B$8,2,FALSE)&amp;"]")), FALSE)),
IF($J$2="FLA",
IF(VLOOKUP($A26, YES_Reading_FLA[], COLUMN(INDIRECT("YES_Reading_FLA[Max Expectation - Per "&amp;VLOOKUP($D$2,'Reading Report Logic'!$A$2:$B$8,2,FALSE)&amp;"]")),FALSE)="","",
VLOOKUP($A26,YES_Reading_FLA[],COLUMN(INDIRECT("YES_Reading_FLA[Max Expectation - Per "&amp;VLOOKUP($D$2,'Reading Report Logic'!$A$2:$B$8,2,FALSE)&amp;"]")),FALSE)),
IF($J$2="Combined",
IFERROR(
IF(VLOOKUP($A26, YES_Reading_ELA[], COLUMN(INDIRECT("YES_Reading_ELA[Max Expectation - Per "&amp;VLOOKUP($D$2, 'Reading Report Logic'!$A$2:$B$8,2,FALSE)&amp;"]")), FALSE)="", "",
VLOOKUP($A26,YES_Reading_ELA[],COLUMN(INDIRECT("YES_Reading_ELA[Max Expectation - Per "&amp;VLOOKUP($D$2,'Reading Report Logic'!$A$2:$B$8,2,FALSE)&amp;"]")),FALSE)),
IF(VLOOKUP($A26, YES_Reading_FLA[], COLUMN(INDIRECT("YES_Reading_FLA[Max Expectation - Per "&amp;VLOOKUP($D$2, 'Reading Report Logic'!$A$2:$B$8, 2, FALSE)&amp;"]")),FALSE)="", "", VLOOKUP($A26,YES_Reading_FLA[],COLUMN(INDIRECT("YES_Reading_FLA[Max Expectation - Per "&amp;VLOOKUP($D$2, 'Reading Report Logic'!$A$2:$B$8, 2, FALSE)&amp;"]")),FALSE))),""))),"")</f>
        <v/>
      </c>
      <c r="G26" s="205" t="str" cm="1">
        <f t="array" aca="1" ref="G26" ca="1">IFERROR(
IF($J$2="ELA",
IF(VLOOKUP($A26, YES_Reading_ELA[], COLUMN(INDIRECT("YES_Reading_ELA[Difference - Per "&amp;VLOOKUP($D$2, 'Reading Report Logic'!$A$2:$B$8, 2, FALSE)&amp;"]")), FALSE)="", "",
VLOOKUP($A26,YES_Reading_ELA[], COLUMN(INDIRECT("YES_Reading_ELA[Difference - Per "&amp;VLOOKUP($D$2,'Reading Report Logic'!$A$2:$B$8,2,FALSE)&amp;"]")), FALSE)),
IF($J$2="FLA",
IF(VLOOKUP($A26, YES_Reading_FLA[], COLUMN(INDIRECT("YES_Reading_FLA[Difference - Per "&amp;VLOOKUP($D$2,'Reading Report Logic'!$A$2:$B$8,2,FALSE)&amp;"]")),FALSE)="","",
VLOOKUP($A26,YES_Reading_FLA[],COLUMN(INDIRECT("YES_Reading_FLA[Difference - Per "&amp;VLOOKUP($D$2,'Reading Report Logic'!$A$2:$B$8,2,FALSE)&amp;"]")),FALSE)),
IF($J$2="Combined",
IFERROR(
IF(VLOOKUP($A26, YES_Reading_ELA[], COLUMN(INDIRECT("YES_Reading_ELA[Difference - Per "&amp;VLOOKUP($D$2, 'Reading Report Logic'!$A$2:$B$8,2,FALSE)&amp;"]")), FALSE)="", "",
VLOOKUP($A26,YES_Reading_ELA[],COLUMN(INDIRECT("YES_Reading_ELA[Difference - Per "&amp;VLOOKUP($D$2,'Reading Report Logic'!$A$2:$B$8,2,FALSE)&amp;"]")),FALSE)),
IF(VLOOKUP($A26, YES_Reading_FLA[], COLUMN(INDIRECT("YES_Reading_FLA[Difference - Per "&amp;VLOOKUP($D$2, 'Reading Report Logic'!$A$2:$B$8, 2, FALSE)&amp;"]")),FALSE)="", "", VLOOKUP($A26,YES_Reading_FLA[],COLUMN(INDIRECT("YES_Reading_FLA[Difference - Per "&amp;VLOOKUP($D$2, 'Reading Report Logic'!$A$2:$B$8, 2, FALSE)&amp;"]")),FALSE))),""))),"")</f>
        <v/>
      </c>
      <c r="H26" s="206" t="str">
        <f ca="1">IFERROR(VLOOKUP('Teacher Reading Pull Sheets'!$D26,_xlfn.VSTACK('ELA Reading Logic'!$A$22:$B$48,'FLA Reading Logic'!$A$22:$B$53),2,FALSE)-VLOOKUP('Teacher Reading Pull Sheets'!$C26,_xlfn.VSTACK('ELA Reading Logic'!$A$22:$B$48,'FLA Reading Logic'!$A$22:$B$53),2,FALSE),"")</f>
        <v/>
      </c>
      <c r="I26" s="246"/>
      <c r="J26" s="206"/>
      <c r="K26" s="197" t="str" cm="1">
        <f t="array" ref="K26">IFERROR(
IF($J$2="ELA",
IF(VLOOKUP($A26, YES_Reading_ELA[], COLUMN(YES_Reading_ELA[Self-Identified as African Descent]), FALSE)="", "",
VLOOKUP($A26,YES_Reading_ELA[], COLUMN(YES_Reading_ELA[Self-Identified as African Descent]), FALSE)),
IF($J$2="FLA",
IF(VLOOKUP($A26, YES_Reading_FLA[], COLUMN(YES_Reading_FLA[Self-Identified as African Descent]),FALSE)="","",
VLOOKUP($A26,YES_Reading_FLA[],COLUMN(YES_Reading_FLA[Self-Identified as African Descent]),FALSE)),
IF($J$2="Combined",
IFERROR(
IF(VLOOKUP($A26, YES_Reading_ELA[], COLUMN(YES_Reading_ELA[Self-Identified as African Descent]), FALSE)="", "",
VLOOKUP($A26,YES_Reading_ELA[],COLUMN(YES_Reading_ELA[Self-Identified as African Descent]),FALSE)),
IF(VLOOKUP($A26, YES_Reading_FLA[], COLUMN(YES_Reading_FLA[Self-Identified as African Descent]),FALSE)="", "", VLOOKUP($A26,YES_Reading_FLA[],COLUMN(YES_Reading_FLA[Self-Identified as African Descent]),FALSE))),""))),"")</f>
        <v/>
      </c>
      <c r="L26" s="73" t="str" cm="1">
        <f t="array" ref="L26">IFERROR(
IF($J$2="ELA",
IF(VLOOKUP($A26, YES_Reading_ELA[], COLUMN(YES_Reading_ELA[Self-Identified as Indigenous]), FALSE)="", "",
VLOOKUP($A26,YES_Reading_ELA[], COLUMN(YES_Reading_ELA[Self-Identified as Indigenous]), FALSE)),
IF($J$2="FLA",
IF(VLOOKUP($A26, YES_Reading_FLA[], COLUMN(YES_Reading_FLA[Self-Identified as Indigenous]),FALSE)="","",
VLOOKUP($A26,YES_Reading_FLA[],COLUMN(YES_Reading_FLA[Self-Identified as Indigenous]),FALSE)),
IF($J$2="Combined",
IFERROR(
IF(VLOOKUP($A26, YES_Reading_ELA[], COLUMN(YES_Reading_ELA[Self-Identified as Indigenous]), FALSE)="", "",
VLOOKUP($A26,YES_Reading_ELA[],COLUMN(YES_Reading_ELA[Self-Identified as Indigenous]),FALSE)),
IF(VLOOKUP($A26, YES_Reading_FLA[], COLUMN(YES_Reading_FLA[Self-Identified as Indigenous]),FALSE)="", "", VLOOKUP($A26,YES_Reading_FLA[],COLUMN(YES_Reading_FLA[Self-Identified as Indigenous]),FALSE))),""))),"")</f>
        <v/>
      </c>
    </row>
    <row r="27" spans="1:12" ht="19.5" customHeight="1" x14ac:dyDescent="0.25">
      <c r="A27" s="217"/>
      <c r="B27" s="220" t="str">
        <f>IFERROR(VLOOKUP(A27,_xlfn.VSTACK(YES_Reading_ELA[],YES_Reading_FLA[]),2,FALSE),"")</f>
        <v/>
      </c>
      <c r="C27" s="203" t="str" cm="1">
        <f t="array" aca="1" ref="C27" ca="1">IFERROR(
IF($J$2="ELA",
IF(VLOOKUP($A27, YES_Reading_ELA[], COLUMN(IF(VLOOKUP($D$2, 'Reading Report Logic'!$A$2:$B$8, 2, FALSE)=1, YES_Reading_ELA[Reading Level June of Previous School Year], INDIRECT("YES_Reading_ELA[Instructional Reading Level - Per "&amp;(VLOOKUP($D$2,'Reading Report Logic'!$A$2:$B$8,2,FALSE)-1)&amp;"]"))), FALSE)="", "",
VLOOKUP($A27,YES_Reading_ELA[], COLUMN(IF(VLOOKUP($D$2,'Reading Report Logic'!$A$2:$B$8,2,FALSE)=1, YES_Reading_ELA[Reading Level June of Previous School Year],INDIRECT("YES_Reading_ELA[Instructional Reading Level - Per "&amp;(VLOOKUP($D$2,'Reading Report Logic'!$A$2:$B$8,2,FALSE)-1)&amp;"]"))), FALSE)),
IF($J$2="FLA",
IF(VLOOKUP($A27, YES_Reading_FLA[], COLUMN(IF(VLOOKUP($D$2,'Reading Report Logic'!$A$2:$B$8,2,FALSE)=1, YES_Reading_FLA[Reading Level June of Previous School Year],INDIRECT("YES_Reading_FLA[Instructional Reading Level - Per "&amp;(VLOOKUP($D$2,'Reading Report Logic'!$A$2:$B$8,2,FALSE)-1)&amp;"]"))),FALSE)="","",
VLOOKUP($A27,YES_Reading_FLA[], COLUMN(IF(VLOOKUP($D$2,'Reading Report Logic'!$A$2:$B$8,2,FALSE)=1, YES_Reading_FLA[Reading Level June of Previous School Year],INDIRECT("YES_Reading_FLA[Instructional Reading Level - Per "&amp;(VLOOKUP($D$2,'Reading Report Logic'!$A$2:$B$8,2,FALSE)-1)&amp;"]"))),FALSE)),
IF($J$2="Combined",
IFERROR(
IF(VLOOKUP($A27, YES_Reading_ELA[], COLUMN(IF(VLOOKUP($D$2,'Reading Report Logic'!$A$2:$B$8,2,FALSE)=1, YES_Reading_ELA[Reading Level June of Previous School Year],INDIRECT("YES_Reading_ELA[Instructional Reading Level - Per "&amp;(VLOOKUP($D$2,'Reading Report Logic'!$A$2:$B$8,2,FALSE)-1)&amp;"]"))), FALSE)="", "",
VLOOKUP($A27,YES_Reading_ELA[],COLUMN(IF(VLOOKUP($D$2,'Reading Report Logic'!$A$2:$B$8,2,FALSE)=1, YES_Reading_ELA[Reading Level June of Previous School Year],INDIRECT("YES_Reading_ELA[Instructional Reading Level - Per "&amp;(VLOOKUP($D$2,'Reading Report Logic'!$A$2:$B$8,2,FALSE)-1)&amp;"]"))),FALSE)),
IF(VLOOKUP($A27, YES_Reading_FLA[], COLUMN(IF(VLOOKUP($D$2,'Reading Report Logic'!$A$2:$B$8,2,FALSE)=1, YES_Reading_FLA[Reading Level June of Previous School Year],INDIRECT("YES_Reading_FLA[Instructional Reading Level - Per "&amp;(VLOOKUP($D$2,'Reading Report Logic'!$A$2:$B$8,2,FALSE)-1)&amp;"]"))),FALSE)="", "", VLOOKUP($A27,YES_Reading_FLA[],COLUMN(IF(VLOOKUP($D$2,'Reading Report Logic'!$A$2:$B$8,2,FALSE)=1, YES_Reading_FLA[Reading Level June of Previous School Year],INDIRECT("YES_Reading_FLA[Instructional Reading Level - Per "&amp;(VLOOKUP($D$2,'Reading Report Logic'!$A$2:$B$8,2,FALSE)-1)&amp;"]"))), FALSE))),""))),"")</f>
        <v/>
      </c>
      <c r="D27" s="204" t="str" cm="1">
        <f t="array" aca="1" ref="D27" ca="1">IFERROR(
IF($J$2="ELA",
IF(VLOOKUP($A27, YES_Reading_ELA[], COLUMN(INDIRECT("YES_Reading_ELA[Instructional Reading Level - Per "&amp;VLOOKUP($D$2, 'Reading Report Logic'!$A$2:$B$8, 2, FALSE)&amp;"]")), FALSE)="", "",
VLOOKUP($A27,YES_Reading_ELA[], COLUMN(INDIRECT("YES_Reading_ELA[Instructional Reading Level - Per "&amp;VLOOKUP($D$2,'Reading Report Logic'!$A$2:$B$8,2,FALSE)&amp;"]")), FALSE)),
IF($J$2="FLA",
IF(VLOOKUP($A27, YES_Reading_FLA[], COLUMN(INDIRECT("YES_Reading_FLA[Instructional Reading Level - Per "&amp;VLOOKUP($D$2,'Reading Report Logic'!$A$2:$B$8,2,FALSE)&amp;"]")),FALSE)="","",
VLOOKUP($A27,YES_Reading_FLA[],COLUMN(INDIRECT("YES_Reading_FLA[Instructional Reading Level - Per "&amp;VLOOKUP($D$2,'Reading Report Logic'!$A$2:$B$8,2,FALSE)&amp;"]")),FALSE)),
IF($J$2="Combined",
IFERROR(
IF(VLOOKUP($A27, YES_Reading_ELA[], COLUMN(INDIRECT("YES_Reading_ELA[Instructional Reading Level - Per "&amp;VLOOKUP($D$2, 'Reading Report Logic'!$A$2:$B$8,2,FALSE)&amp;"]")), FALSE)="", "",
VLOOKUP($A27,YES_Reading_ELA[],COLUMN(INDIRECT("YES_Reading_ELA[Instructional Reading Level - Per "&amp;VLOOKUP($D$2,'Reading Report Logic'!$A$2:$B$8,2,FALSE)&amp;"]")),FALSE)),
IF(VLOOKUP($A27, YES_Reading_FLA[], COLUMN(INDIRECT("YES_Reading_FLA[Instructional Reading Level - Per "&amp;VLOOKUP($D$2, 'Reading Report Logic'!$A$2:$B$8, 2, FALSE)&amp;"]")),FALSE)="", "", VLOOKUP($A27,YES_Reading_FLA[],COLUMN(INDIRECT("YES_Reading_FLA[Instructional Reading Level - Per "&amp;VLOOKUP($D$2, 'Reading Report Logic'!$A$2:$B$8, 2, FALSE)&amp;"]")),FALSE))),""))),"")</f>
        <v/>
      </c>
      <c r="E27" s="205" t="str" cm="1">
        <f t="array" aca="1" ref="E27" ca="1">IFERROR(
IF($J$2="ELA",
IF(VLOOKUP($A27, YES_Reading_ELA[], COLUMN(INDIRECT("YES_Reading_ELA[Min Expectation - Per "&amp;VLOOKUP($D$2, 'Reading Report Logic'!$A$2:$B$8, 2, FALSE)&amp;"]")), FALSE)="", "",
VLOOKUP($A27,YES_Reading_ELA[], COLUMN(INDIRECT("YES_Reading_ELA[Min Expectation - Per "&amp;VLOOKUP($D$2,'Reading Report Logic'!$A$2:$B$8,2,FALSE)&amp;"]")), FALSE)),
IF($J$2="FLA",
IF(VLOOKUP($A27, YES_Reading_FLA[], COLUMN(INDIRECT("YES_Reading_FLA[Min Expectation - Per "&amp;VLOOKUP($D$2,'Reading Report Logic'!$A$2:$B$8,2,FALSE)&amp;"]")),FALSE)="","",
VLOOKUP($A27,YES_Reading_FLA[],COLUMN(INDIRECT("YES_Reading_FLA[Min Expectation - Per "&amp;VLOOKUP($D$2,'Reading Report Logic'!$A$2:$B$8,2,FALSE)&amp;"]")),FALSE)),
IF($J$2="Combined",
IFERROR(
IF(VLOOKUP($A27, YES_Reading_ELA[], COLUMN(INDIRECT("YES_Reading_ELA[Min Expectation - Per "&amp;VLOOKUP($D$2, 'Reading Report Logic'!$A$2:$B$8,2,FALSE)&amp;"]")), FALSE)="", "",
VLOOKUP($A27,YES_Reading_ELA[],COLUMN(INDIRECT("YES_Reading_ELA[Min Expectation - Per "&amp;VLOOKUP($D$2,'Reading Report Logic'!$A$2:$B$8,2,FALSE)&amp;"]")),FALSE)),
IF(VLOOKUP($A27, YES_Reading_FLA[], COLUMN(INDIRECT("YES_Reading_FLA[Min Expectation - Per "&amp;VLOOKUP($D$2, 'Reading Report Logic'!$A$2:$B$8, 2, FALSE)&amp;"]")),FALSE)="", "", VLOOKUP($A27,YES_Reading_FLA[],COLUMN(INDIRECT("YES_Reading_FLA[Min Expectation - Per "&amp;VLOOKUP($D$2, 'Reading Report Logic'!$A$2:$B$8, 2, FALSE)&amp;"]")),FALSE))),""))),"")</f>
        <v/>
      </c>
      <c r="F27" s="205" t="str" cm="1">
        <f t="array" aca="1" ref="F27" ca="1">IFERROR(
IF($J$2="ELA",
IF(VLOOKUP($A27, YES_Reading_ELA[], COLUMN(INDIRECT("YES_Reading_ELA[Max Expectation - Per "&amp;VLOOKUP($D$2, 'Reading Report Logic'!$A$2:$B$8, 2, FALSE)&amp;"]")), FALSE)="", "",
VLOOKUP($A27,YES_Reading_ELA[], COLUMN(INDIRECT("YES_Reading_ELA[Max Expectation - Per "&amp;VLOOKUP($D$2,'Reading Report Logic'!$A$2:$B$8,2,FALSE)&amp;"]")), FALSE)),
IF($J$2="FLA",
IF(VLOOKUP($A27, YES_Reading_FLA[], COLUMN(INDIRECT("YES_Reading_FLA[Max Expectation - Per "&amp;VLOOKUP($D$2,'Reading Report Logic'!$A$2:$B$8,2,FALSE)&amp;"]")),FALSE)="","",
VLOOKUP($A27,YES_Reading_FLA[],COLUMN(INDIRECT("YES_Reading_FLA[Max Expectation - Per "&amp;VLOOKUP($D$2,'Reading Report Logic'!$A$2:$B$8,2,FALSE)&amp;"]")),FALSE)),
IF($J$2="Combined",
IFERROR(
IF(VLOOKUP($A27, YES_Reading_ELA[], COLUMN(INDIRECT("YES_Reading_ELA[Max Expectation - Per "&amp;VLOOKUP($D$2, 'Reading Report Logic'!$A$2:$B$8,2,FALSE)&amp;"]")), FALSE)="", "",
VLOOKUP($A27,YES_Reading_ELA[],COLUMN(INDIRECT("YES_Reading_ELA[Max Expectation - Per "&amp;VLOOKUP($D$2,'Reading Report Logic'!$A$2:$B$8,2,FALSE)&amp;"]")),FALSE)),
IF(VLOOKUP($A27, YES_Reading_FLA[], COLUMN(INDIRECT("YES_Reading_FLA[Max Expectation - Per "&amp;VLOOKUP($D$2, 'Reading Report Logic'!$A$2:$B$8, 2, FALSE)&amp;"]")),FALSE)="", "", VLOOKUP($A27,YES_Reading_FLA[],COLUMN(INDIRECT("YES_Reading_FLA[Max Expectation - Per "&amp;VLOOKUP($D$2, 'Reading Report Logic'!$A$2:$B$8, 2, FALSE)&amp;"]")),FALSE))),""))),"")</f>
        <v/>
      </c>
      <c r="G27" s="205" t="str" cm="1">
        <f t="array" aca="1" ref="G27" ca="1">IFERROR(
IF($J$2="ELA",
IF(VLOOKUP($A27, YES_Reading_ELA[], COLUMN(INDIRECT("YES_Reading_ELA[Difference - Per "&amp;VLOOKUP($D$2, 'Reading Report Logic'!$A$2:$B$8, 2, FALSE)&amp;"]")), FALSE)="", "",
VLOOKUP($A27,YES_Reading_ELA[], COLUMN(INDIRECT("YES_Reading_ELA[Difference - Per "&amp;VLOOKUP($D$2,'Reading Report Logic'!$A$2:$B$8,2,FALSE)&amp;"]")), FALSE)),
IF($J$2="FLA",
IF(VLOOKUP($A27, YES_Reading_FLA[], COLUMN(INDIRECT("YES_Reading_FLA[Difference - Per "&amp;VLOOKUP($D$2,'Reading Report Logic'!$A$2:$B$8,2,FALSE)&amp;"]")),FALSE)="","",
VLOOKUP($A27,YES_Reading_FLA[],COLUMN(INDIRECT("YES_Reading_FLA[Difference - Per "&amp;VLOOKUP($D$2,'Reading Report Logic'!$A$2:$B$8,2,FALSE)&amp;"]")),FALSE)),
IF($J$2="Combined",
IFERROR(
IF(VLOOKUP($A27, YES_Reading_ELA[], COLUMN(INDIRECT("YES_Reading_ELA[Difference - Per "&amp;VLOOKUP($D$2, 'Reading Report Logic'!$A$2:$B$8,2,FALSE)&amp;"]")), FALSE)="", "",
VLOOKUP($A27,YES_Reading_ELA[],COLUMN(INDIRECT("YES_Reading_ELA[Difference - Per "&amp;VLOOKUP($D$2,'Reading Report Logic'!$A$2:$B$8,2,FALSE)&amp;"]")),FALSE)),
IF(VLOOKUP($A27, YES_Reading_FLA[], COLUMN(INDIRECT("YES_Reading_FLA[Difference - Per "&amp;VLOOKUP($D$2, 'Reading Report Logic'!$A$2:$B$8, 2, FALSE)&amp;"]")),FALSE)="", "", VLOOKUP($A27,YES_Reading_FLA[],COLUMN(INDIRECT("YES_Reading_FLA[Difference - Per "&amp;VLOOKUP($D$2, 'Reading Report Logic'!$A$2:$B$8, 2, FALSE)&amp;"]")),FALSE))),""))),"")</f>
        <v/>
      </c>
      <c r="H27" s="206" t="str">
        <f ca="1">IFERROR(VLOOKUP('Teacher Reading Pull Sheets'!$D27,_xlfn.VSTACK('ELA Reading Logic'!$A$22:$B$48,'FLA Reading Logic'!$A$22:$B$53),2,FALSE)-VLOOKUP('Teacher Reading Pull Sheets'!$C27,_xlfn.VSTACK('ELA Reading Logic'!$A$22:$B$48,'FLA Reading Logic'!$A$22:$B$53),2,FALSE),"")</f>
        <v/>
      </c>
      <c r="I27" s="207"/>
      <c r="J27" s="206"/>
      <c r="K27" s="197" t="str" cm="1">
        <f t="array" ref="K27">IFERROR(
IF($J$2="ELA",
IF(VLOOKUP($A27, YES_Reading_ELA[], COLUMN(YES_Reading_ELA[Self-Identified as African Descent]), FALSE)="", "",
VLOOKUP($A27,YES_Reading_ELA[], COLUMN(YES_Reading_ELA[Self-Identified as African Descent]), FALSE)),
IF($J$2="FLA",
IF(VLOOKUP($A27, YES_Reading_FLA[], COLUMN(YES_Reading_FLA[Self-Identified as African Descent]),FALSE)="","",
VLOOKUP($A27,YES_Reading_FLA[],COLUMN(YES_Reading_FLA[Self-Identified as African Descent]),FALSE)),
IF($J$2="Combined",
IFERROR(
IF(VLOOKUP($A27, YES_Reading_ELA[], COLUMN(YES_Reading_ELA[Self-Identified as African Descent]), FALSE)="", "",
VLOOKUP($A27,YES_Reading_ELA[],COLUMN(YES_Reading_ELA[Self-Identified as African Descent]),FALSE)),
IF(VLOOKUP($A27, YES_Reading_FLA[], COLUMN(YES_Reading_FLA[Self-Identified as African Descent]),FALSE)="", "", VLOOKUP($A27,YES_Reading_FLA[],COLUMN(YES_Reading_FLA[Self-Identified as African Descent]),FALSE))),""))),"")</f>
        <v/>
      </c>
      <c r="L27" s="73" t="str" cm="1">
        <f t="array" ref="L27">IFERROR(
IF($J$2="ELA",
IF(VLOOKUP($A27, YES_Reading_ELA[], COLUMN(YES_Reading_ELA[Self-Identified as Indigenous]), FALSE)="", "",
VLOOKUP($A27,YES_Reading_ELA[], COLUMN(YES_Reading_ELA[Self-Identified as Indigenous]), FALSE)),
IF($J$2="FLA",
IF(VLOOKUP($A27, YES_Reading_FLA[], COLUMN(YES_Reading_FLA[Self-Identified as Indigenous]),FALSE)="","",
VLOOKUP($A27,YES_Reading_FLA[],COLUMN(YES_Reading_FLA[Self-Identified as Indigenous]),FALSE)),
IF($J$2="Combined",
IFERROR(
IF(VLOOKUP($A27, YES_Reading_ELA[], COLUMN(YES_Reading_ELA[Self-Identified as Indigenous]), FALSE)="", "",
VLOOKUP($A27,YES_Reading_ELA[],COLUMN(YES_Reading_ELA[Self-Identified as Indigenous]),FALSE)),
IF(VLOOKUP($A27, YES_Reading_FLA[], COLUMN(YES_Reading_FLA[Self-Identified as Indigenous]),FALSE)="", "", VLOOKUP($A27,YES_Reading_FLA[],COLUMN(YES_Reading_FLA[Self-Identified as Indigenous]),FALSE))),""))),"")</f>
        <v/>
      </c>
    </row>
    <row r="28" spans="1:12" ht="19.5" customHeight="1" x14ac:dyDescent="0.25">
      <c r="A28" s="217"/>
      <c r="B28" s="220" t="str">
        <f>IFERROR(VLOOKUP(A28,_xlfn.VSTACK(YES_Reading_ELA[],YES_Reading_FLA[]),2,FALSE),"")</f>
        <v/>
      </c>
      <c r="C28" s="203" t="str" cm="1">
        <f t="array" aca="1" ref="C28" ca="1">IFERROR(
IF($J$2="ELA",
IF(VLOOKUP($A28, YES_Reading_ELA[], COLUMN(IF(VLOOKUP($D$2, 'Reading Report Logic'!$A$2:$B$8, 2, FALSE)=1, YES_Reading_ELA[Reading Level June of Previous School Year], INDIRECT("YES_Reading_ELA[Instructional Reading Level - Per "&amp;(VLOOKUP($D$2,'Reading Report Logic'!$A$2:$B$8,2,FALSE)-1)&amp;"]"))), FALSE)="", "",
VLOOKUP($A28,YES_Reading_ELA[], COLUMN(IF(VLOOKUP($D$2,'Reading Report Logic'!$A$2:$B$8,2,FALSE)=1, YES_Reading_ELA[Reading Level June of Previous School Year],INDIRECT("YES_Reading_ELA[Instructional Reading Level - Per "&amp;(VLOOKUP($D$2,'Reading Report Logic'!$A$2:$B$8,2,FALSE)-1)&amp;"]"))), FALSE)),
IF($J$2="FLA",
IF(VLOOKUP($A28, YES_Reading_FLA[], COLUMN(IF(VLOOKUP($D$2,'Reading Report Logic'!$A$2:$B$8,2,FALSE)=1, YES_Reading_FLA[Reading Level June of Previous School Year],INDIRECT("YES_Reading_FLA[Instructional Reading Level - Per "&amp;(VLOOKUP($D$2,'Reading Report Logic'!$A$2:$B$8,2,FALSE)-1)&amp;"]"))),FALSE)="","",
VLOOKUP($A28,YES_Reading_FLA[], COLUMN(IF(VLOOKUP($D$2,'Reading Report Logic'!$A$2:$B$8,2,FALSE)=1, YES_Reading_FLA[Reading Level June of Previous School Year],INDIRECT("YES_Reading_FLA[Instructional Reading Level - Per "&amp;(VLOOKUP($D$2,'Reading Report Logic'!$A$2:$B$8,2,FALSE)-1)&amp;"]"))),FALSE)),
IF($J$2="Combined",
IFERROR(
IF(VLOOKUP($A28, YES_Reading_ELA[], COLUMN(IF(VLOOKUP($D$2,'Reading Report Logic'!$A$2:$B$8,2,FALSE)=1, YES_Reading_ELA[Reading Level June of Previous School Year],INDIRECT("YES_Reading_ELA[Instructional Reading Level - Per "&amp;(VLOOKUP($D$2,'Reading Report Logic'!$A$2:$B$8,2,FALSE)-1)&amp;"]"))), FALSE)="", "",
VLOOKUP($A28,YES_Reading_ELA[],COLUMN(IF(VLOOKUP($D$2,'Reading Report Logic'!$A$2:$B$8,2,FALSE)=1, YES_Reading_ELA[Reading Level June of Previous School Year],INDIRECT("YES_Reading_ELA[Instructional Reading Level - Per "&amp;(VLOOKUP($D$2,'Reading Report Logic'!$A$2:$B$8,2,FALSE)-1)&amp;"]"))),FALSE)),
IF(VLOOKUP($A28, YES_Reading_FLA[], COLUMN(IF(VLOOKUP($D$2,'Reading Report Logic'!$A$2:$B$8,2,FALSE)=1, YES_Reading_FLA[Reading Level June of Previous School Year],INDIRECT("YES_Reading_FLA[Instructional Reading Level - Per "&amp;(VLOOKUP($D$2,'Reading Report Logic'!$A$2:$B$8,2,FALSE)-1)&amp;"]"))),FALSE)="", "", VLOOKUP($A28,YES_Reading_FLA[],COLUMN(IF(VLOOKUP($D$2,'Reading Report Logic'!$A$2:$B$8,2,FALSE)=1, YES_Reading_FLA[Reading Level June of Previous School Year],INDIRECT("YES_Reading_FLA[Instructional Reading Level - Per "&amp;(VLOOKUP($D$2,'Reading Report Logic'!$A$2:$B$8,2,FALSE)-1)&amp;"]"))), FALSE))),""))),"")</f>
        <v/>
      </c>
      <c r="D28" s="204" t="str" cm="1">
        <f t="array" aca="1" ref="D28" ca="1">IFERROR(
IF($J$2="ELA",
IF(VLOOKUP($A28, YES_Reading_ELA[], COLUMN(INDIRECT("YES_Reading_ELA[Instructional Reading Level - Per "&amp;VLOOKUP($D$2, 'Reading Report Logic'!$A$2:$B$8, 2, FALSE)&amp;"]")), FALSE)="", "",
VLOOKUP($A28,YES_Reading_ELA[], COLUMN(INDIRECT("YES_Reading_ELA[Instructional Reading Level - Per "&amp;VLOOKUP($D$2,'Reading Report Logic'!$A$2:$B$8,2,FALSE)&amp;"]")), FALSE)),
IF($J$2="FLA",
IF(VLOOKUP($A28, YES_Reading_FLA[], COLUMN(INDIRECT("YES_Reading_FLA[Instructional Reading Level - Per "&amp;VLOOKUP($D$2,'Reading Report Logic'!$A$2:$B$8,2,FALSE)&amp;"]")),FALSE)="","",
VLOOKUP($A28,YES_Reading_FLA[],COLUMN(INDIRECT("YES_Reading_FLA[Instructional Reading Level - Per "&amp;VLOOKUP($D$2,'Reading Report Logic'!$A$2:$B$8,2,FALSE)&amp;"]")),FALSE)),
IF($J$2="Combined",
IFERROR(
IF(VLOOKUP($A28, YES_Reading_ELA[], COLUMN(INDIRECT("YES_Reading_ELA[Instructional Reading Level - Per "&amp;VLOOKUP($D$2, 'Reading Report Logic'!$A$2:$B$8,2,FALSE)&amp;"]")), FALSE)="", "",
VLOOKUP($A28,YES_Reading_ELA[],COLUMN(INDIRECT("YES_Reading_ELA[Instructional Reading Level - Per "&amp;VLOOKUP($D$2,'Reading Report Logic'!$A$2:$B$8,2,FALSE)&amp;"]")),FALSE)),
IF(VLOOKUP($A28, YES_Reading_FLA[], COLUMN(INDIRECT("YES_Reading_FLA[Instructional Reading Level - Per "&amp;VLOOKUP($D$2, 'Reading Report Logic'!$A$2:$B$8, 2, FALSE)&amp;"]")),FALSE)="", "", VLOOKUP($A28,YES_Reading_FLA[],COLUMN(INDIRECT("YES_Reading_FLA[Instructional Reading Level - Per "&amp;VLOOKUP($D$2, 'Reading Report Logic'!$A$2:$B$8, 2, FALSE)&amp;"]")),FALSE))),""))),"")</f>
        <v/>
      </c>
      <c r="E28" s="205" t="str" cm="1">
        <f t="array" aca="1" ref="E28" ca="1">IFERROR(
IF($J$2="ELA",
IF(VLOOKUP($A28, YES_Reading_ELA[], COLUMN(INDIRECT("YES_Reading_ELA[Min Expectation - Per "&amp;VLOOKUP($D$2, 'Reading Report Logic'!$A$2:$B$8, 2, FALSE)&amp;"]")), FALSE)="", "",
VLOOKUP($A28,YES_Reading_ELA[], COLUMN(INDIRECT("YES_Reading_ELA[Min Expectation - Per "&amp;VLOOKUP($D$2,'Reading Report Logic'!$A$2:$B$8,2,FALSE)&amp;"]")), FALSE)),
IF($J$2="FLA",
IF(VLOOKUP($A28, YES_Reading_FLA[], COLUMN(INDIRECT("YES_Reading_FLA[Min Expectation - Per "&amp;VLOOKUP($D$2,'Reading Report Logic'!$A$2:$B$8,2,FALSE)&amp;"]")),FALSE)="","",
VLOOKUP($A28,YES_Reading_FLA[],COLUMN(INDIRECT("YES_Reading_FLA[Min Expectation - Per "&amp;VLOOKUP($D$2,'Reading Report Logic'!$A$2:$B$8,2,FALSE)&amp;"]")),FALSE)),
IF($J$2="Combined",
IFERROR(
IF(VLOOKUP($A28, YES_Reading_ELA[], COLUMN(INDIRECT("YES_Reading_ELA[Min Expectation - Per "&amp;VLOOKUP($D$2, 'Reading Report Logic'!$A$2:$B$8,2,FALSE)&amp;"]")), FALSE)="", "",
VLOOKUP($A28,YES_Reading_ELA[],COLUMN(INDIRECT("YES_Reading_ELA[Min Expectation - Per "&amp;VLOOKUP($D$2,'Reading Report Logic'!$A$2:$B$8,2,FALSE)&amp;"]")),FALSE)),
IF(VLOOKUP($A28, YES_Reading_FLA[], COLUMN(INDIRECT("YES_Reading_FLA[Min Expectation - Per "&amp;VLOOKUP($D$2, 'Reading Report Logic'!$A$2:$B$8, 2, FALSE)&amp;"]")),FALSE)="", "", VLOOKUP($A28,YES_Reading_FLA[],COLUMN(INDIRECT("YES_Reading_FLA[Min Expectation - Per "&amp;VLOOKUP($D$2, 'Reading Report Logic'!$A$2:$B$8, 2, FALSE)&amp;"]")),FALSE))),""))),"")</f>
        <v/>
      </c>
      <c r="F28" s="205" t="str" cm="1">
        <f t="array" aca="1" ref="F28" ca="1">IFERROR(
IF($J$2="ELA",
IF(VLOOKUP($A28, YES_Reading_ELA[], COLUMN(INDIRECT("YES_Reading_ELA[Max Expectation - Per "&amp;VLOOKUP($D$2, 'Reading Report Logic'!$A$2:$B$8, 2, FALSE)&amp;"]")), FALSE)="", "",
VLOOKUP($A28,YES_Reading_ELA[], COLUMN(INDIRECT("YES_Reading_ELA[Max Expectation - Per "&amp;VLOOKUP($D$2,'Reading Report Logic'!$A$2:$B$8,2,FALSE)&amp;"]")), FALSE)),
IF($J$2="FLA",
IF(VLOOKUP($A28, YES_Reading_FLA[], COLUMN(INDIRECT("YES_Reading_FLA[Max Expectation - Per "&amp;VLOOKUP($D$2,'Reading Report Logic'!$A$2:$B$8,2,FALSE)&amp;"]")),FALSE)="","",
VLOOKUP($A28,YES_Reading_FLA[],COLUMN(INDIRECT("YES_Reading_FLA[Max Expectation - Per "&amp;VLOOKUP($D$2,'Reading Report Logic'!$A$2:$B$8,2,FALSE)&amp;"]")),FALSE)),
IF($J$2="Combined",
IFERROR(
IF(VLOOKUP($A28, YES_Reading_ELA[], COLUMN(INDIRECT("YES_Reading_ELA[Max Expectation - Per "&amp;VLOOKUP($D$2, 'Reading Report Logic'!$A$2:$B$8,2,FALSE)&amp;"]")), FALSE)="", "",
VLOOKUP($A28,YES_Reading_ELA[],COLUMN(INDIRECT("YES_Reading_ELA[Max Expectation - Per "&amp;VLOOKUP($D$2,'Reading Report Logic'!$A$2:$B$8,2,FALSE)&amp;"]")),FALSE)),
IF(VLOOKUP($A28, YES_Reading_FLA[], COLUMN(INDIRECT("YES_Reading_FLA[Max Expectation - Per "&amp;VLOOKUP($D$2, 'Reading Report Logic'!$A$2:$B$8, 2, FALSE)&amp;"]")),FALSE)="", "", VLOOKUP($A28,YES_Reading_FLA[],COLUMN(INDIRECT("YES_Reading_FLA[Max Expectation - Per "&amp;VLOOKUP($D$2, 'Reading Report Logic'!$A$2:$B$8, 2, FALSE)&amp;"]")),FALSE))),""))),"")</f>
        <v/>
      </c>
      <c r="G28" s="205" t="str" cm="1">
        <f t="array" aca="1" ref="G28" ca="1">IFERROR(
IF($J$2="ELA",
IF(VLOOKUP($A28, YES_Reading_ELA[], COLUMN(INDIRECT("YES_Reading_ELA[Difference - Per "&amp;VLOOKUP($D$2, 'Reading Report Logic'!$A$2:$B$8, 2, FALSE)&amp;"]")), FALSE)="", "",
VLOOKUP($A28,YES_Reading_ELA[], COLUMN(INDIRECT("YES_Reading_ELA[Difference - Per "&amp;VLOOKUP($D$2,'Reading Report Logic'!$A$2:$B$8,2,FALSE)&amp;"]")), FALSE)),
IF($J$2="FLA",
IF(VLOOKUP($A28, YES_Reading_FLA[], COLUMN(INDIRECT("YES_Reading_FLA[Difference - Per "&amp;VLOOKUP($D$2,'Reading Report Logic'!$A$2:$B$8,2,FALSE)&amp;"]")),FALSE)="","",
VLOOKUP($A28,YES_Reading_FLA[],COLUMN(INDIRECT("YES_Reading_FLA[Difference - Per "&amp;VLOOKUP($D$2,'Reading Report Logic'!$A$2:$B$8,2,FALSE)&amp;"]")),FALSE)),
IF($J$2="Combined",
IFERROR(
IF(VLOOKUP($A28, YES_Reading_ELA[], COLUMN(INDIRECT("YES_Reading_ELA[Difference - Per "&amp;VLOOKUP($D$2, 'Reading Report Logic'!$A$2:$B$8,2,FALSE)&amp;"]")), FALSE)="", "",
VLOOKUP($A28,YES_Reading_ELA[],COLUMN(INDIRECT("YES_Reading_ELA[Difference - Per "&amp;VLOOKUP($D$2,'Reading Report Logic'!$A$2:$B$8,2,FALSE)&amp;"]")),FALSE)),
IF(VLOOKUP($A28, YES_Reading_FLA[], COLUMN(INDIRECT("YES_Reading_FLA[Difference - Per "&amp;VLOOKUP($D$2, 'Reading Report Logic'!$A$2:$B$8, 2, FALSE)&amp;"]")),FALSE)="", "", VLOOKUP($A28,YES_Reading_FLA[],COLUMN(INDIRECT("YES_Reading_FLA[Difference - Per "&amp;VLOOKUP($D$2, 'Reading Report Logic'!$A$2:$B$8, 2, FALSE)&amp;"]")),FALSE))),""))),"")</f>
        <v/>
      </c>
      <c r="H28" s="206" t="str">
        <f ca="1">IFERROR(VLOOKUP('Teacher Reading Pull Sheets'!$D28,_xlfn.VSTACK('ELA Reading Logic'!$A$22:$B$48,'FLA Reading Logic'!$A$22:$B$53),2,FALSE)-VLOOKUP('Teacher Reading Pull Sheets'!$C28,_xlfn.VSTACK('ELA Reading Logic'!$A$22:$B$48,'FLA Reading Logic'!$A$22:$B$53),2,FALSE),"")</f>
        <v/>
      </c>
      <c r="I28" s="207"/>
      <c r="J28" s="206"/>
      <c r="K28" s="197" t="str" cm="1">
        <f t="array" ref="K28">IFERROR(
IF($J$2="ELA",
IF(VLOOKUP($A28, YES_Reading_ELA[], COLUMN(YES_Reading_ELA[Self-Identified as African Descent]), FALSE)="", "",
VLOOKUP($A28,YES_Reading_ELA[], COLUMN(YES_Reading_ELA[Self-Identified as African Descent]), FALSE)),
IF($J$2="FLA",
IF(VLOOKUP($A28, YES_Reading_FLA[], COLUMN(YES_Reading_FLA[Self-Identified as African Descent]),FALSE)="","",
VLOOKUP($A28,YES_Reading_FLA[],COLUMN(YES_Reading_FLA[Self-Identified as African Descent]),FALSE)),
IF($J$2="Combined",
IFERROR(
IF(VLOOKUP($A28, YES_Reading_ELA[], COLUMN(YES_Reading_ELA[Self-Identified as African Descent]), FALSE)="", "",
VLOOKUP($A28,YES_Reading_ELA[],COLUMN(YES_Reading_ELA[Self-Identified as African Descent]),FALSE)),
IF(VLOOKUP($A28, YES_Reading_FLA[], COLUMN(YES_Reading_FLA[Self-Identified as African Descent]),FALSE)="", "", VLOOKUP($A28,YES_Reading_FLA[],COLUMN(YES_Reading_FLA[Self-Identified as African Descent]),FALSE))),""))),"")</f>
        <v/>
      </c>
      <c r="L28" s="73" t="str" cm="1">
        <f t="array" ref="L28">IFERROR(
IF($J$2="ELA",
IF(VLOOKUP($A28, YES_Reading_ELA[], COLUMN(YES_Reading_ELA[Self-Identified as Indigenous]), FALSE)="", "",
VLOOKUP($A28,YES_Reading_ELA[], COLUMN(YES_Reading_ELA[Self-Identified as Indigenous]), FALSE)),
IF($J$2="FLA",
IF(VLOOKUP($A28, YES_Reading_FLA[], COLUMN(YES_Reading_FLA[Self-Identified as Indigenous]),FALSE)="","",
VLOOKUP($A28,YES_Reading_FLA[],COLUMN(YES_Reading_FLA[Self-Identified as Indigenous]),FALSE)),
IF($J$2="Combined",
IFERROR(
IF(VLOOKUP($A28, YES_Reading_ELA[], COLUMN(YES_Reading_ELA[Self-Identified as Indigenous]), FALSE)="", "",
VLOOKUP($A28,YES_Reading_ELA[],COLUMN(YES_Reading_ELA[Self-Identified as Indigenous]),FALSE)),
IF(VLOOKUP($A28, YES_Reading_FLA[], COLUMN(YES_Reading_FLA[Self-Identified as Indigenous]),FALSE)="", "", VLOOKUP($A28,YES_Reading_FLA[],COLUMN(YES_Reading_FLA[Self-Identified as Indigenous]),FALSE))),""))),"")</f>
        <v/>
      </c>
    </row>
    <row r="29" spans="1:12" ht="19.5" customHeight="1" x14ac:dyDescent="0.25">
      <c r="A29" s="217"/>
      <c r="B29" s="220" t="str">
        <f>IFERROR(VLOOKUP(A29,_xlfn.VSTACK(YES_Reading_ELA[],YES_Reading_FLA[]),2,FALSE),"")</f>
        <v/>
      </c>
      <c r="C29" s="203" t="str" cm="1">
        <f t="array" aca="1" ref="C29" ca="1">IFERROR(
IF($J$2="ELA",
IF(VLOOKUP($A29, YES_Reading_ELA[], COLUMN(IF(VLOOKUP($D$2, 'Reading Report Logic'!$A$2:$B$8, 2, FALSE)=1, YES_Reading_ELA[Reading Level June of Previous School Year], INDIRECT("YES_Reading_ELA[Instructional Reading Level - Per "&amp;(VLOOKUP($D$2,'Reading Report Logic'!$A$2:$B$8,2,FALSE)-1)&amp;"]"))), FALSE)="", "",
VLOOKUP($A29,YES_Reading_ELA[], COLUMN(IF(VLOOKUP($D$2,'Reading Report Logic'!$A$2:$B$8,2,FALSE)=1, YES_Reading_ELA[Reading Level June of Previous School Year],INDIRECT("YES_Reading_ELA[Instructional Reading Level - Per "&amp;(VLOOKUP($D$2,'Reading Report Logic'!$A$2:$B$8,2,FALSE)-1)&amp;"]"))), FALSE)),
IF($J$2="FLA",
IF(VLOOKUP($A29, YES_Reading_FLA[], COLUMN(IF(VLOOKUP($D$2,'Reading Report Logic'!$A$2:$B$8,2,FALSE)=1, YES_Reading_FLA[Reading Level June of Previous School Year],INDIRECT("YES_Reading_FLA[Instructional Reading Level - Per "&amp;(VLOOKUP($D$2,'Reading Report Logic'!$A$2:$B$8,2,FALSE)-1)&amp;"]"))),FALSE)="","",
VLOOKUP($A29,YES_Reading_FLA[], COLUMN(IF(VLOOKUP($D$2,'Reading Report Logic'!$A$2:$B$8,2,FALSE)=1, YES_Reading_FLA[Reading Level June of Previous School Year],INDIRECT("YES_Reading_FLA[Instructional Reading Level - Per "&amp;(VLOOKUP($D$2,'Reading Report Logic'!$A$2:$B$8,2,FALSE)-1)&amp;"]"))),FALSE)),
IF($J$2="Combined",
IFERROR(
IF(VLOOKUP($A29, YES_Reading_ELA[], COLUMN(IF(VLOOKUP($D$2,'Reading Report Logic'!$A$2:$B$8,2,FALSE)=1, YES_Reading_ELA[Reading Level June of Previous School Year],INDIRECT("YES_Reading_ELA[Instructional Reading Level - Per "&amp;(VLOOKUP($D$2,'Reading Report Logic'!$A$2:$B$8,2,FALSE)-1)&amp;"]"))), FALSE)="", "",
VLOOKUP($A29,YES_Reading_ELA[],COLUMN(IF(VLOOKUP($D$2,'Reading Report Logic'!$A$2:$B$8,2,FALSE)=1, YES_Reading_ELA[Reading Level June of Previous School Year],INDIRECT("YES_Reading_ELA[Instructional Reading Level - Per "&amp;(VLOOKUP($D$2,'Reading Report Logic'!$A$2:$B$8,2,FALSE)-1)&amp;"]"))),FALSE)),
IF(VLOOKUP($A29, YES_Reading_FLA[], COLUMN(IF(VLOOKUP($D$2,'Reading Report Logic'!$A$2:$B$8,2,FALSE)=1, YES_Reading_FLA[Reading Level June of Previous School Year],INDIRECT("YES_Reading_FLA[Instructional Reading Level - Per "&amp;(VLOOKUP($D$2,'Reading Report Logic'!$A$2:$B$8,2,FALSE)-1)&amp;"]"))),FALSE)="", "", VLOOKUP($A29,YES_Reading_FLA[],COLUMN(IF(VLOOKUP($D$2,'Reading Report Logic'!$A$2:$B$8,2,FALSE)=1, YES_Reading_FLA[Reading Level June of Previous School Year],INDIRECT("YES_Reading_FLA[Instructional Reading Level - Per "&amp;(VLOOKUP($D$2,'Reading Report Logic'!$A$2:$B$8,2,FALSE)-1)&amp;"]"))), FALSE))),""))),"")</f>
        <v/>
      </c>
      <c r="D29" s="204" t="str" cm="1">
        <f t="array" aca="1" ref="D29" ca="1">IFERROR(
IF($J$2="ELA",
IF(VLOOKUP($A29, YES_Reading_ELA[], COLUMN(INDIRECT("YES_Reading_ELA[Instructional Reading Level - Per "&amp;VLOOKUP($D$2, 'Reading Report Logic'!$A$2:$B$8, 2, FALSE)&amp;"]")), FALSE)="", "",
VLOOKUP($A29,YES_Reading_ELA[], COLUMN(INDIRECT("YES_Reading_ELA[Instructional Reading Level - Per "&amp;VLOOKUP($D$2,'Reading Report Logic'!$A$2:$B$8,2,FALSE)&amp;"]")), FALSE)),
IF($J$2="FLA",
IF(VLOOKUP($A29, YES_Reading_FLA[], COLUMN(INDIRECT("YES_Reading_FLA[Instructional Reading Level - Per "&amp;VLOOKUP($D$2,'Reading Report Logic'!$A$2:$B$8,2,FALSE)&amp;"]")),FALSE)="","",
VLOOKUP($A29,YES_Reading_FLA[],COLUMN(INDIRECT("YES_Reading_FLA[Instructional Reading Level - Per "&amp;VLOOKUP($D$2,'Reading Report Logic'!$A$2:$B$8,2,FALSE)&amp;"]")),FALSE)),
IF($J$2="Combined",
IFERROR(
IF(VLOOKUP($A29, YES_Reading_ELA[], COLUMN(INDIRECT("YES_Reading_ELA[Instructional Reading Level - Per "&amp;VLOOKUP($D$2, 'Reading Report Logic'!$A$2:$B$8,2,FALSE)&amp;"]")), FALSE)="", "",
VLOOKUP($A29,YES_Reading_ELA[],COLUMN(INDIRECT("YES_Reading_ELA[Instructional Reading Level - Per "&amp;VLOOKUP($D$2,'Reading Report Logic'!$A$2:$B$8,2,FALSE)&amp;"]")),FALSE)),
IF(VLOOKUP($A29, YES_Reading_FLA[], COLUMN(INDIRECT("YES_Reading_FLA[Instructional Reading Level - Per "&amp;VLOOKUP($D$2, 'Reading Report Logic'!$A$2:$B$8, 2, FALSE)&amp;"]")),FALSE)="", "", VLOOKUP($A29,YES_Reading_FLA[],COLUMN(INDIRECT("YES_Reading_FLA[Instructional Reading Level - Per "&amp;VLOOKUP($D$2, 'Reading Report Logic'!$A$2:$B$8, 2, FALSE)&amp;"]")),FALSE))),""))),"")</f>
        <v/>
      </c>
      <c r="E29" s="205" t="str" cm="1">
        <f t="array" aca="1" ref="E29" ca="1">IFERROR(
IF($J$2="ELA",
IF(VLOOKUP($A29, YES_Reading_ELA[], COLUMN(INDIRECT("YES_Reading_ELA[Min Expectation - Per "&amp;VLOOKUP($D$2, 'Reading Report Logic'!$A$2:$B$8, 2, FALSE)&amp;"]")), FALSE)="", "",
VLOOKUP($A29,YES_Reading_ELA[], COLUMN(INDIRECT("YES_Reading_ELA[Min Expectation - Per "&amp;VLOOKUP($D$2,'Reading Report Logic'!$A$2:$B$8,2,FALSE)&amp;"]")), FALSE)),
IF($J$2="FLA",
IF(VLOOKUP($A29, YES_Reading_FLA[], COLUMN(INDIRECT("YES_Reading_FLA[Min Expectation - Per "&amp;VLOOKUP($D$2,'Reading Report Logic'!$A$2:$B$8,2,FALSE)&amp;"]")),FALSE)="","",
VLOOKUP($A29,YES_Reading_FLA[],COLUMN(INDIRECT("YES_Reading_FLA[Min Expectation - Per "&amp;VLOOKUP($D$2,'Reading Report Logic'!$A$2:$B$8,2,FALSE)&amp;"]")),FALSE)),
IF($J$2="Combined",
IFERROR(
IF(VLOOKUP($A29, YES_Reading_ELA[], COLUMN(INDIRECT("YES_Reading_ELA[Min Expectation - Per "&amp;VLOOKUP($D$2, 'Reading Report Logic'!$A$2:$B$8,2,FALSE)&amp;"]")), FALSE)="", "",
VLOOKUP($A29,YES_Reading_ELA[],COLUMN(INDIRECT("YES_Reading_ELA[Min Expectation - Per "&amp;VLOOKUP($D$2,'Reading Report Logic'!$A$2:$B$8,2,FALSE)&amp;"]")),FALSE)),
IF(VLOOKUP($A29, YES_Reading_FLA[], COLUMN(INDIRECT("YES_Reading_FLA[Min Expectation - Per "&amp;VLOOKUP($D$2, 'Reading Report Logic'!$A$2:$B$8, 2, FALSE)&amp;"]")),FALSE)="", "", VLOOKUP($A29,YES_Reading_FLA[],COLUMN(INDIRECT("YES_Reading_FLA[Min Expectation - Per "&amp;VLOOKUP($D$2, 'Reading Report Logic'!$A$2:$B$8, 2, FALSE)&amp;"]")),FALSE))),""))),"")</f>
        <v/>
      </c>
      <c r="F29" s="205" t="str" cm="1">
        <f t="array" aca="1" ref="F29" ca="1">IFERROR(
IF($J$2="ELA",
IF(VLOOKUP($A29, YES_Reading_ELA[], COLUMN(INDIRECT("YES_Reading_ELA[Max Expectation - Per "&amp;VLOOKUP($D$2, 'Reading Report Logic'!$A$2:$B$8, 2, FALSE)&amp;"]")), FALSE)="", "",
VLOOKUP($A29,YES_Reading_ELA[], COLUMN(INDIRECT("YES_Reading_ELA[Max Expectation - Per "&amp;VLOOKUP($D$2,'Reading Report Logic'!$A$2:$B$8,2,FALSE)&amp;"]")), FALSE)),
IF($J$2="FLA",
IF(VLOOKUP($A29, YES_Reading_FLA[], COLUMN(INDIRECT("YES_Reading_FLA[Max Expectation - Per "&amp;VLOOKUP($D$2,'Reading Report Logic'!$A$2:$B$8,2,FALSE)&amp;"]")),FALSE)="","",
VLOOKUP($A29,YES_Reading_FLA[],COLUMN(INDIRECT("YES_Reading_FLA[Max Expectation - Per "&amp;VLOOKUP($D$2,'Reading Report Logic'!$A$2:$B$8,2,FALSE)&amp;"]")),FALSE)),
IF($J$2="Combined",
IFERROR(
IF(VLOOKUP($A29, YES_Reading_ELA[], COLUMN(INDIRECT("YES_Reading_ELA[Max Expectation - Per "&amp;VLOOKUP($D$2, 'Reading Report Logic'!$A$2:$B$8,2,FALSE)&amp;"]")), FALSE)="", "",
VLOOKUP($A29,YES_Reading_ELA[],COLUMN(INDIRECT("YES_Reading_ELA[Max Expectation - Per "&amp;VLOOKUP($D$2,'Reading Report Logic'!$A$2:$B$8,2,FALSE)&amp;"]")),FALSE)),
IF(VLOOKUP($A29, YES_Reading_FLA[], COLUMN(INDIRECT("YES_Reading_FLA[Max Expectation - Per "&amp;VLOOKUP($D$2, 'Reading Report Logic'!$A$2:$B$8, 2, FALSE)&amp;"]")),FALSE)="", "", VLOOKUP($A29,YES_Reading_FLA[],COLUMN(INDIRECT("YES_Reading_FLA[Max Expectation - Per "&amp;VLOOKUP($D$2, 'Reading Report Logic'!$A$2:$B$8, 2, FALSE)&amp;"]")),FALSE))),""))),"")</f>
        <v/>
      </c>
      <c r="G29" s="205" t="str" cm="1">
        <f t="array" aca="1" ref="G29" ca="1">IFERROR(
IF($J$2="ELA",
IF(VLOOKUP($A29, YES_Reading_ELA[], COLUMN(INDIRECT("YES_Reading_ELA[Difference - Per "&amp;VLOOKUP($D$2, 'Reading Report Logic'!$A$2:$B$8, 2, FALSE)&amp;"]")), FALSE)="", "",
VLOOKUP($A29,YES_Reading_ELA[], COLUMN(INDIRECT("YES_Reading_ELA[Difference - Per "&amp;VLOOKUP($D$2,'Reading Report Logic'!$A$2:$B$8,2,FALSE)&amp;"]")), FALSE)),
IF($J$2="FLA",
IF(VLOOKUP($A29, YES_Reading_FLA[], COLUMN(INDIRECT("YES_Reading_FLA[Difference - Per "&amp;VLOOKUP($D$2,'Reading Report Logic'!$A$2:$B$8,2,FALSE)&amp;"]")),FALSE)="","",
VLOOKUP($A29,YES_Reading_FLA[],COLUMN(INDIRECT("YES_Reading_FLA[Difference - Per "&amp;VLOOKUP($D$2,'Reading Report Logic'!$A$2:$B$8,2,FALSE)&amp;"]")),FALSE)),
IF($J$2="Combined",
IFERROR(
IF(VLOOKUP($A29, YES_Reading_ELA[], COLUMN(INDIRECT("YES_Reading_ELA[Difference - Per "&amp;VLOOKUP($D$2, 'Reading Report Logic'!$A$2:$B$8,2,FALSE)&amp;"]")), FALSE)="", "",
VLOOKUP($A29,YES_Reading_ELA[],COLUMN(INDIRECT("YES_Reading_ELA[Difference - Per "&amp;VLOOKUP($D$2,'Reading Report Logic'!$A$2:$B$8,2,FALSE)&amp;"]")),FALSE)),
IF(VLOOKUP($A29, YES_Reading_FLA[], COLUMN(INDIRECT("YES_Reading_FLA[Difference - Per "&amp;VLOOKUP($D$2, 'Reading Report Logic'!$A$2:$B$8, 2, FALSE)&amp;"]")),FALSE)="", "", VLOOKUP($A29,YES_Reading_FLA[],COLUMN(INDIRECT("YES_Reading_FLA[Difference - Per "&amp;VLOOKUP($D$2, 'Reading Report Logic'!$A$2:$B$8, 2, FALSE)&amp;"]")),FALSE))),""))),"")</f>
        <v/>
      </c>
      <c r="H29" s="206" t="str">
        <f ca="1">IFERROR(VLOOKUP('Teacher Reading Pull Sheets'!$D29,_xlfn.VSTACK('ELA Reading Logic'!$A$22:$B$48,'FLA Reading Logic'!$A$22:$B$53),2,FALSE)-VLOOKUP('Teacher Reading Pull Sheets'!$C29,_xlfn.VSTACK('ELA Reading Logic'!$A$22:$B$48,'FLA Reading Logic'!$A$22:$B$53),2,FALSE),"")</f>
        <v/>
      </c>
      <c r="I29" s="207"/>
      <c r="J29" s="206"/>
      <c r="K29" s="197" t="str" cm="1">
        <f t="array" ref="K29">IFERROR(
IF($J$2="ELA",
IF(VLOOKUP($A29, YES_Reading_ELA[], COLUMN(YES_Reading_ELA[Self-Identified as African Descent]), FALSE)="", "",
VLOOKUP($A29,YES_Reading_ELA[], COLUMN(YES_Reading_ELA[Self-Identified as African Descent]), FALSE)),
IF($J$2="FLA",
IF(VLOOKUP($A29, YES_Reading_FLA[], COLUMN(YES_Reading_FLA[Self-Identified as African Descent]),FALSE)="","",
VLOOKUP($A29,YES_Reading_FLA[],COLUMN(YES_Reading_FLA[Self-Identified as African Descent]),FALSE)),
IF($J$2="Combined",
IFERROR(
IF(VLOOKUP($A29, YES_Reading_ELA[], COLUMN(YES_Reading_ELA[Self-Identified as African Descent]), FALSE)="", "",
VLOOKUP($A29,YES_Reading_ELA[],COLUMN(YES_Reading_ELA[Self-Identified as African Descent]),FALSE)),
IF(VLOOKUP($A29, YES_Reading_FLA[], COLUMN(YES_Reading_FLA[Self-Identified as African Descent]),FALSE)="", "", VLOOKUP($A29,YES_Reading_FLA[],COLUMN(YES_Reading_FLA[Self-Identified as African Descent]),FALSE))),""))),"")</f>
        <v/>
      </c>
      <c r="L29" s="73" t="str" cm="1">
        <f t="array" ref="L29">IFERROR(
IF($J$2="ELA",
IF(VLOOKUP($A29, YES_Reading_ELA[], COLUMN(YES_Reading_ELA[Self-Identified as Indigenous]), FALSE)="", "",
VLOOKUP($A29,YES_Reading_ELA[], COLUMN(YES_Reading_ELA[Self-Identified as Indigenous]), FALSE)),
IF($J$2="FLA",
IF(VLOOKUP($A29, YES_Reading_FLA[], COLUMN(YES_Reading_FLA[Self-Identified as Indigenous]),FALSE)="","",
VLOOKUP($A29,YES_Reading_FLA[],COLUMN(YES_Reading_FLA[Self-Identified as Indigenous]),FALSE)),
IF($J$2="Combined",
IFERROR(
IF(VLOOKUP($A29, YES_Reading_ELA[], COLUMN(YES_Reading_ELA[Self-Identified as Indigenous]), FALSE)="", "",
VLOOKUP($A29,YES_Reading_ELA[],COLUMN(YES_Reading_ELA[Self-Identified as Indigenous]),FALSE)),
IF(VLOOKUP($A29, YES_Reading_FLA[], COLUMN(YES_Reading_FLA[Self-Identified as Indigenous]),FALSE)="", "", VLOOKUP($A29,YES_Reading_FLA[],COLUMN(YES_Reading_FLA[Self-Identified as Indigenous]),FALSE))),""))),"")</f>
        <v/>
      </c>
    </row>
    <row r="30" spans="1:12" ht="19.5" customHeight="1" x14ac:dyDescent="0.25">
      <c r="A30" s="217"/>
      <c r="B30" s="220" t="str">
        <f>IFERROR(VLOOKUP(A30,_xlfn.VSTACK(YES_Reading_ELA[],YES_Reading_FLA[]),2,FALSE),"")</f>
        <v/>
      </c>
      <c r="C30" s="203" t="str" cm="1">
        <f t="array" aca="1" ref="C30" ca="1">IFERROR(
IF($J$2="ELA",
IF(VLOOKUP($A30, YES_Reading_ELA[], COLUMN(IF(VLOOKUP($D$2, 'Reading Report Logic'!$A$2:$B$8, 2, FALSE)=1, YES_Reading_ELA[Reading Level June of Previous School Year], INDIRECT("YES_Reading_ELA[Instructional Reading Level - Per "&amp;(VLOOKUP($D$2,'Reading Report Logic'!$A$2:$B$8,2,FALSE)-1)&amp;"]"))), FALSE)="", "",
VLOOKUP($A30,YES_Reading_ELA[], COLUMN(IF(VLOOKUP($D$2,'Reading Report Logic'!$A$2:$B$8,2,FALSE)=1, YES_Reading_ELA[Reading Level June of Previous School Year],INDIRECT("YES_Reading_ELA[Instructional Reading Level - Per "&amp;(VLOOKUP($D$2,'Reading Report Logic'!$A$2:$B$8,2,FALSE)-1)&amp;"]"))), FALSE)),
IF($J$2="FLA",
IF(VLOOKUP($A30, YES_Reading_FLA[], COLUMN(IF(VLOOKUP($D$2,'Reading Report Logic'!$A$2:$B$8,2,FALSE)=1, YES_Reading_FLA[Reading Level June of Previous School Year],INDIRECT("YES_Reading_FLA[Instructional Reading Level - Per "&amp;(VLOOKUP($D$2,'Reading Report Logic'!$A$2:$B$8,2,FALSE)-1)&amp;"]"))),FALSE)="","",
VLOOKUP($A30,YES_Reading_FLA[], COLUMN(IF(VLOOKUP($D$2,'Reading Report Logic'!$A$2:$B$8,2,FALSE)=1, YES_Reading_FLA[Reading Level June of Previous School Year],INDIRECT("YES_Reading_FLA[Instructional Reading Level - Per "&amp;(VLOOKUP($D$2,'Reading Report Logic'!$A$2:$B$8,2,FALSE)-1)&amp;"]"))),FALSE)),
IF($J$2="Combined",
IFERROR(
IF(VLOOKUP($A30, YES_Reading_ELA[], COLUMN(IF(VLOOKUP($D$2,'Reading Report Logic'!$A$2:$B$8,2,FALSE)=1, YES_Reading_ELA[Reading Level June of Previous School Year],INDIRECT("YES_Reading_ELA[Instructional Reading Level - Per "&amp;(VLOOKUP($D$2,'Reading Report Logic'!$A$2:$B$8,2,FALSE)-1)&amp;"]"))), FALSE)="", "",
VLOOKUP($A30,YES_Reading_ELA[],COLUMN(IF(VLOOKUP($D$2,'Reading Report Logic'!$A$2:$B$8,2,FALSE)=1, YES_Reading_ELA[Reading Level June of Previous School Year],INDIRECT("YES_Reading_ELA[Instructional Reading Level - Per "&amp;(VLOOKUP($D$2,'Reading Report Logic'!$A$2:$B$8,2,FALSE)-1)&amp;"]"))),FALSE)),
IF(VLOOKUP($A30, YES_Reading_FLA[], COLUMN(IF(VLOOKUP($D$2,'Reading Report Logic'!$A$2:$B$8,2,FALSE)=1, YES_Reading_FLA[Reading Level June of Previous School Year],INDIRECT("YES_Reading_FLA[Instructional Reading Level - Per "&amp;(VLOOKUP($D$2,'Reading Report Logic'!$A$2:$B$8,2,FALSE)-1)&amp;"]"))),FALSE)="", "", VLOOKUP($A30,YES_Reading_FLA[],COLUMN(IF(VLOOKUP($D$2,'Reading Report Logic'!$A$2:$B$8,2,FALSE)=1, YES_Reading_FLA[Reading Level June of Previous School Year],INDIRECT("YES_Reading_FLA[Instructional Reading Level - Per "&amp;(VLOOKUP($D$2,'Reading Report Logic'!$A$2:$B$8,2,FALSE)-1)&amp;"]"))), FALSE))),""))),"")</f>
        <v/>
      </c>
      <c r="D30" s="204" t="str" cm="1">
        <f t="array" aca="1" ref="D30" ca="1">IFERROR(
IF($J$2="ELA",
IF(VLOOKUP($A30, YES_Reading_ELA[], COLUMN(INDIRECT("YES_Reading_ELA[Instructional Reading Level - Per "&amp;VLOOKUP($D$2, 'Reading Report Logic'!$A$2:$B$8, 2, FALSE)&amp;"]")), FALSE)="", "",
VLOOKUP($A30,YES_Reading_ELA[], COLUMN(INDIRECT("YES_Reading_ELA[Instructional Reading Level - Per "&amp;VLOOKUP($D$2,'Reading Report Logic'!$A$2:$B$8,2,FALSE)&amp;"]")), FALSE)),
IF($J$2="FLA",
IF(VLOOKUP($A30, YES_Reading_FLA[], COLUMN(INDIRECT("YES_Reading_FLA[Instructional Reading Level - Per "&amp;VLOOKUP($D$2,'Reading Report Logic'!$A$2:$B$8,2,FALSE)&amp;"]")),FALSE)="","",
VLOOKUP($A30,YES_Reading_FLA[],COLUMN(INDIRECT("YES_Reading_FLA[Instructional Reading Level - Per "&amp;VLOOKUP($D$2,'Reading Report Logic'!$A$2:$B$8,2,FALSE)&amp;"]")),FALSE)),
IF($J$2="Combined",
IFERROR(
IF(VLOOKUP($A30, YES_Reading_ELA[], COLUMN(INDIRECT("YES_Reading_ELA[Instructional Reading Level - Per "&amp;VLOOKUP($D$2, 'Reading Report Logic'!$A$2:$B$8,2,FALSE)&amp;"]")), FALSE)="", "",
VLOOKUP($A30,YES_Reading_ELA[],COLUMN(INDIRECT("YES_Reading_ELA[Instructional Reading Level - Per "&amp;VLOOKUP($D$2,'Reading Report Logic'!$A$2:$B$8,2,FALSE)&amp;"]")),FALSE)),
IF(VLOOKUP($A30, YES_Reading_FLA[], COLUMN(INDIRECT("YES_Reading_FLA[Instructional Reading Level - Per "&amp;VLOOKUP($D$2, 'Reading Report Logic'!$A$2:$B$8, 2, FALSE)&amp;"]")),FALSE)="", "", VLOOKUP($A30,YES_Reading_FLA[],COLUMN(INDIRECT("YES_Reading_FLA[Instructional Reading Level - Per "&amp;VLOOKUP($D$2, 'Reading Report Logic'!$A$2:$B$8, 2, FALSE)&amp;"]")),FALSE))),""))),"")</f>
        <v/>
      </c>
      <c r="E30" s="205" t="str" cm="1">
        <f t="array" aca="1" ref="E30" ca="1">IFERROR(
IF($J$2="ELA",
IF(VLOOKUP($A30, YES_Reading_ELA[], COLUMN(INDIRECT("YES_Reading_ELA[Min Expectation - Per "&amp;VLOOKUP($D$2, 'Reading Report Logic'!$A$2:$B$8, 2, FALSE)&amp;"]")), FALSE)="", "",
VLOOKUP($A30,YES_Reading_ELA[], COLUMN(INDIRECT("YES_Reading_ELA[Min Expectation - Per "&amp;VLOOKUP($D$2,'Reading Report Logic'!$A$2:$B$8,2,FALSE)&amp;"]")), FALSE)),
IF($J$2="FLA",
IF(VLOOKUP($A30, YES_Reading_FLA[], COLUMN(INDIRECT("YES_Reading_FLA[Min Expectation - Per "&amp;VLOOKUP($D$2,'Reading Report Logic'!$A$2:$B$8,2,FALSE)&amp;"]")),FALSE)="","",
VLOOKUP($A30,YES_Reading_FLA[],COLUMN(INDIRECT("YES_Reading_FLA[Min Expectation - Per "&amp;VLOOKUP($D$2,'Reading Report Logic'!$A$2:$B$8,2,FALSE)&amp;"]")),FALSE)),
IF($J$2="Combined",
IFERROR(
IF(VLOOKUP($A30, YES_Reading_ELA[], COLUMN(INDIRECT("YES_Reading_ELA[Min Expectation - Per "&amp;VLOOKUP($D$2, 'Reading Report Logic'!$A$2:$B$8,2,FALSE)&amp;"]")), FALSE)="", "",
VLOOKUP($A30,YES_Reading_ELA[],COLUMN(INDIRECT("YES_Reading_ELA[Min Expectation - Per "&amp;VLOOKUP($D$2,'Reading Report Logic'!$A$2:$B$8,2,FALSE)&amp;"]")),FALSE)),
IF(VLOOKUP($A30, YES_Reading_FLA[], COLUMN(INDIRECT("YES_Reading_FLA[Min Expectation - Per "&amp;VLOOKUP($D$2, 'Reading Report Logic'!$A$2:$B$8, 2, FALSE)&amp;"]")),FALSE)="", "", VLOOKUP($A30,YES_Reading_FLA[],COLUMN(INDIRECT("YES_Reading_FLA[Min Expectation - Per "&amp;VLOOKUP($D$2, 'Reading Report Logic'!$A$2:$B$8, 2, FALSE)&amp;"]")),FALSE))),""))),"")</f>
        <v/>
      </c>
      <c r="F30" s="205" t="str" cm="1">
        <f t="array" aca="1" ref="F30" ca="1">IFERROR(
IF($J$2="ELA",
IF(VLOOKUP($A30, YES_Reading_ELA[], COLUMN(INDIRECT("YES_Reading_ELA[Max Expectation - Per "&amp;VLOOKUP($D$2, 'Reading Report Logic'!$A$2:$B$8, 2, FALSE)&amp;"]")), FALSE)="", "",
VLOOKUP($A30,YES_Reading_ELA[], COLUMN(INDIRECT("YES_Reading_ELA[Max Expectation - Per "&amp;VLOOKUP($D$2,'Reading Report Logic'!$A$2:$B$8,2,FALSE)&amp;"]")), FALSE)),
IF($J$2="FLA",
IF(VLOOKUP($A30, YES_Reading_FLA[], COLUMN(INDIRECT("YES_Reading_FLA[Max Expectation - Per "&amp;VLOOKUP($D$2,'Reading Report Logic'!$A$2:$B$8,2,FALSE)&amp;"]")),FALSE)="","",
VLOOKUP($A30,YES_Reading_FLA[],COLUMN(INDIRECT("YES_Reading_FLA[Max Expectation - Per "&amp;VLOOKUP($D$2,'Reading Report Logic'!$A$2:$B$8,2,FALSE)&amp;"]")),FALSE)),
IF($J$2="Combined",
IFERROR(
IF(VLOOKUP($A30, YES_Reading_ELA[], COLUMN(INDIRECT("YES_Reading_ELA[Max Expectation - Per "&amp;VLOOKUP($D$2, 'Reading Report Logic'!$A$2:$B$8,2,FALSE)&amp;"]")), FALSE)="", "",
VLOOKUP($A30,YES_Reading_ELA[],COLUMN(INDIRECT("YES_Reading_ELA[Max Expectation - Per "&amp;VLOOKUP($D$2,'Reading Report Logic'!$A$2:$B$8,2,FALSE)&amp;"]")),FALSE)),
IF(VLOOKUP($A30, YES_Reading_FLA[], COLUMN(INDIRECT("YES_Reading_FLA[Max Expectation - Per "&amp;VLOOKUP($D$2, 'Reading Report Logic'!$A$2:$B$8, 2, FALSE)&amp;"]")),FALSE)="", "", VLOOKUP($A30,YES_Reading_FLA[],COLUMN(INDIRECT("YES_Reading_FLA[Max Expectation - Per "&amp;VLOOKUP($D$2, 'Reading Report Logic'!$A$2:$B$8, 2, FALSE)&amp;"]")),FALSE))),""))),"")</f>
        <v/>
      </c>
      <c r="G30" s="205" t="str" cm="1">
        <f t="array" aca="1" ref="G30" ca="1">IFERROR(
IF($J$2="ELA",
IF(VLOOKUP($A30, YES_Reading_ELA[], COLUMN(INDIRECT("YES_Reading_ELA[Difference - Per "&amp;VLOOKUP($D$2, 'Reading Report Logic'!$A$2:$B$8, 2, FALSE)&amp;"]")), FALSE)="", "",
VLOOKUP($A30,YES_Reading_ELA[], COLUMN(INDIRECT("YES_Reading_ELA[Difference - Per "&amp;VLOOKUP($D$2,'Reading Report Logic'!$A$2:$B$8,2,FALSE)&amp;"]")), FALSE)),
IF($J$2="FLA",
IF(VLOOKUP($A30, YES_Reading_FLA[], COLUMN(INDIRECT("YES_Reading_FLA[Difference - Per "&amp;VLOOKUP($D$2,'Reading Report Logic'!$A$2:$B$8,2,FALSE)&amp;"]")),FALSE)="","",
VLOOKUP($A30,YES_Reading_FLA[],COLUMN(INDIRECT("YES_Reading_FLA[Difference - Per "&amp;VLOOKUP($D$2,'Reading Report Logic'!$A$2:$B$8,2,FALSE)&amp;"]")),FALSE)),
IF($J$2="Combined",
IFERROR(
IF(VLOOKUP($A30, YES_Reading_ELA[], COLUMN(INDIRECT("YES_Reading_ELA[Difference - Per "&amp;VLOOKUP($D$2, 'Reading Report Logic'!$A$2:$B$8,2,FALSE)&amp;"]")), FALSE)="", "",
VLOOKUP($A30,YES_Reading_ELA[],COLUMN(INDIRECT("YES_Reading_ELA[Difference - Per "&amp;VLOOKUP($D$2,'Reading Report Logic'!$A$2:$B$8,2,FALSE)&amp;"]")),FALSE)),
IF(VLOOKUP($A30, YES_Reading_FLA[], COLUMN(INDIRECT("YES_Reading_FLA[Difference - Per "&amp;VLOOKUP($D$2, 'Reading Report Logic'!$A$2:$B$8, 2, FALSE)&amp;"]")),FALSE)="", "", VLOOKUP($A30,YES_Reading_FLA[],COLUMN(INDIRECT("YES_Reading_FLA[Difference - Per "&amp;VLOOKUP($D$2, 'Reading Report Logic'!$A$2:$B$8, 2, FALSE)&amp;"]")),FALSE))),""))),"")</f>
        <v/>
      </c>
      <c r="H30" s="206" t="str">
        <f ca="1">IFERROR(VLOOKUP('Teacher Reading Pull Sheets'!$D30,_xlfn.VSTACK('ELA Reading Logic'!$A$22:$B$48,'FLA Reading Logic'!$A$22:$B$53),2,FALSE)-VLOOKUP('Teacher Reading Pull Sheets'!$C30,_xlfn.VSTACK('ELA Reading Logic'!$A$22:$B$48,'FLA Reading Logic'!$A$22:$B$53),2,FALSE),"")</f>
        <v/>
      </c>
      <c r="I30" s="207"/>
      <c r="J30" s="206"/>
      <c r="K30" s="197" t="str" cm="1">
        <f t="array" ref="K30">IFERROR(
IF($J$2="ELA",
IF(VLOOKUP($A30, YES_Reading_ELA[], COLUMN(YES_Reading_ELA[Self-Identified as African Descent]), FALSE)="", "",
VLOOKUP($A30,YES_Reading_ELA[], COLUMN(YES_Reading_ELA[Self-Identified as African Descent]), FALSE)),
IF($J$2="FLA",
IF(VLOOKUP($A30, YES_Reading_FLA[], COLUMN(YES_Reading_FLA[Self-Identified as African Descent]),FALSE)="","",
VLOOKUP($A30,YES_Reading_FLA[],COLUMN(YES_Reading_FLA[Self-Identified as African Descent]),FALSE)),
IF($J$2="Combined",
IFERROR(
IF(VLOOKUP($A30, YES_Reading_ELA[], COLUMN(YES_Reading_ELA[Self-Identified as African Descent]), FALSE)="", "",
VLOOKUP($A30,YES_Reading_ELA[],COLUMN(YES_Reading_ELA[Self-Identified as African Descent]),FALSE)),
IF(VLOOKUP($A30, YES_Reading_FLA[], COLUMN(YES_Reading_FLA[Self-Identified as African Descent]),FALSE)="", "", VLOOKUP($A30,YES_Reading_FLA[],COLUMN(YES_Reading_FLA[Self-Identified as African Descent]),FALSE))),""))),"")</f>
        <v/>
      </c>
      <c r="L30" s="73" t="str" cm="1">
        <f t="array" ref="L30">IFERROR(
IF($J$2="ELA",
IF(VLOOKUP($A30, YES_Reading_ELA[], COLUMN(YES_Reading_ELA[Self-Identified as Indigenous]), FALSE)="", "",
VLOOKUP($A30,YES_Reading_ELA[], COLUMN(YES_Reading_ELA[Self-Identified as Indigenous]), FALSE)),
IF($J$2="FLA",
IF(VLOOKUP($A30, YES_Reading_FLA[], COLUMN(YES_Reading_FLA[Self-Identified as Indigenous]),FALSE)="","",
VLOOKUP($A30,YES_Reading_FLA[],COLUMN(YES_Reading_FLA[Self-Identified as Indigenous]),FALSE)),
IF($J$2="Combined",
IFERROR(
IF(VLOOKUP($A30, YES_Reading_ELA[], COLUMN(YES_Reading_ELA[Self-Identified as Indigenous]), FALSE)="", "",
VLOOKUP($A30,YES_Reading_ELA[],COLUMN(YES_Reading_ELA[Self-Identified as Indigenous]),FALSE)),
IF(VLOOKUP($A30, YES_Reading_FLA[], COLUMN(YES_Reading_FLA[Self-Identified as Indigenous]),FALSE)="", "", VLOOKUP($A30,YES_Reading_FLA[],COLUMN(YES_Reading_FLA[Self-Identified as Indigenous]),FALSE))),""))),"")</f>
        <v/>
      </c>
    </row>
    <row r="31" spans="1:12" ht="19.5" customHeight="1" x14ac:dyDescent="0.25">
      <c r="A31" s="217"/>
      <c r="B31" s="220" t="str">
        <f>IFERROR(VLOOKUP(A31,_xlfn.VSTACK(YES_Reading_ELA[],YES_Reading_FLA[]),2,FALSE),"")</f>
        <v/>
      </c>
      <c r="C31" s="203" t="str" cm="1">
        <f t="array" aca="1" ref="C31" ca="1">IFERROR(
IF($J$2="ELA",
IF(VLOOKUP($A31, YES_Reading_ELA[], COLUMN(IF(VLOOKUP($D$2, 'Reading Report Logic'!$A$2:$B$8, 2, FALSE)=1, YES_Reading_ELA[Reading Level June of Previous School Year], INDIRECT("YES_Reading_ELA[Instructional Reading Level - Per "&amp;(VLOOKUP($D$2,'Reading Report Logic'!$A$2:$B$8,2,FALSE)-1)&amp;"]"))), FALSE)="", "",
VLOOKUP($A31,YES_Reading_ELA[], COLUMN(IF(VLOOKUP($D$2,'Reading Report Logic'!$A$2:$B$8,2,FALSE)=1, YES_Reading_ELA[Reading Level June of Previous School Year],INDIRECT("YES_Reading_ELA[Instructional Reading Level - Per "&amp;(VLOOKUP($D$2,'Reading Report Logic'!$A$2:$B$8,2,FALSE)-1)&amp;"]"))), FALSE)),
IF($J$2="FLA",
IF(VLOOKUP($A31, YES_Reading_FLA[], COLUMN(IF(VLOOKUP($D$2,'Reading Report Logic'!$A$2:$B$8,2,FALSE)=1, YES_Reading_FLA[Reading Level June of Previous School Year],INDIRECT("YES_Reading_FLA[Instructional Reading Level - Per "&amp;(VLOOKUP($D$2,'Reading Report Logic'!$A$2:$B$8,2,FALSE)-1)&amp;"]"))),FALSE)="","",
VLOOKUP($A31,YES_Reading_FLA[], COLUMN(IF(VLOOKUP($D$2,'Reading Report Logic'!$A$2:$B$8,2,FALSE)=1, YES_Reading_FLA[Reading Level June of Previous School Year],INDIRECT("YES_Reading_FLA[Instructional Reading Level - Per "&amp;(VLOOKUP($D$2,'Reading Report Logic'!$A$2:$B$8,2,FALSE)-1)&amp;"]"))),FALSE)),
IF($J$2="Combined",
IFERROR(
IF(VLOOKUP($A31, YES_Reading_ELA[], COLUMN(IF(VLOOKUP($D$2,'Reading Report Logic'!$A$2:$B$8,2,FALSE)=1, YES_Reading_ELA[Reading Level June of Previous School Year],INDIRECT("YES_Reading_ELA[Instructional Reading Level - Per "&amp;(VLOOKUP($D$2,'Reading Report Logic'!$A$2:$B$8,2,FALSE)-1)&amp;"]"))), FALSE)="", "",
VLOOKUP($A31,YES_Reading_ELA[],COLUMN(IF(VLOOKUP($D$2,'Reading Report Logic'!$A$2:$B$8,2,FALSE)=1, YES_Reading_ELA[Reading Level June of Previous School Year],INDIRECT("YES_Reading_ELA[Instructional Reading Level - Per "&amp;(VLOOKUP($D$2,'Reading Report Logic'!$A$2:$B$8,2,FALSE)-1)&amp;"]"))),FALSE)),
IF(VLOOKUP($A31, YES_Reading_FLA[], COLUMN(IF(VLOOKUP($D$2,'Reading Report Logic'!$A$2:$B$8,2,FALSE)=1, YES_Reading_FLA[Reading Level June of Previous School Year],INDIRECT("YES_Reading_FLA[Instructional Reading Level - Per "&amp;(VLOOKUP($D$2,'Reading Report Logic'!$A$2:$B$8,2,FALSE)-1)&amp;"]"))),FALSE)="", "", VLOOKUP($A31,YES_Reading_FLA[],COLUMN(IF(VLOOKUP($D$2,'Reading Report Logic'!$A$2:$B$8,2,FALSE)=1, YES_Reading_FLA[Reading Level June of Previous School Year],INDIRECT("YES_Reading_FLA[Instructional Reading Level - Per "&amp;(VLOOKUP($D$2,'Reading Report Logic'!$A$2:$B$8,2,FALSE)-1)&amp;"]"))), FALSE))),""))),"")</f>
        <v/>
      </c>
      <c r="D31" s="204" t="str" cm="1">
        <f t="array" aca="1" ref="D31" ca="1">IFERROR(
IF($J$2="ELA",
IF(VLOOKUP($A31, YES_Reading_ELA[], COLUMN(INDIRECT("YES_Reading_ELA[Instructional Reading Level - Per "&amp;VLOOKUP($D$2, 'Reading Report Logic'!$A$2:$B$8, 2, FALSE)&amp;"]")), FALSE)="", "",
VLOOKUP($A31,YES_Reading_ELA[], COLUMN(INDIRECT("YES_Reading_ELA[Instructional Reading Level - Per "&amp;VLOOKUP($D$2,'Reading Report Logic'!$A$2:$B$8,2,FALSE)&amp;"]")), FALSE)),
IF($J$2="FLA",
IF(VLOOKUP($A31, YES_Reading_FLA[], COLUMN(INDIRECT("YES_Reading_FLA[Instructional Reading Level - Per "&amp;VLOOKUP($D$2,'Reading Report Logic'!$A$2:$B$8,2,FALSE)&amp;"]")),FALSE)="","",
VLOOKUP($A31,YES_Reading_FLA[],COLUMN(INDIRECT("YES_Reading_FLA[Instructional Reading Level - Per "&amp;VLOOKUP($D$2,'Reading Report Logic'!$A$2:$B$8,2,FALSE)&amp;"]")),FALSE)),
IF($J$2="Combined",
IFERROR(
IF(VLOOKUP($A31, YES_Reading_ELA[], COLUMN(INDIRECT("YES_Reading_ELA[Instructional Reading Level - Per "&amp;VLOOKUP($D$2, 'Reading Report Logic'!$A$2:$B$8,2,FALSE)&amp;"]")), FALSE)="", "",
VLOOKUP($A31,YES_Reading_ELA[],COLUMN(INDIRECT("YES_Reading_ELA[Instructional Reading Level - Per "&amp;VLOOKUP($D$2,'Reading Report Logic'!$A$2:$B$8,2,FALSE)&amp;"]")),FALSE)),
IF(VLOOKUP($A31, YES_Reading_FLA[], COLUMN(INDIRECT("YES_Reading_FLA[Instructional Reading Level - Per "&amp;VLOOKUP($D$2, 'Reading Report Logic'!$A$2:$B$8, 2, FALSE)&amp;"]")),FALSE)="", "", VLOOKUP($A31,YES_Reading_FLA[],COLUMN(INDIRECT("YES_Reading_FLA[Instructional Reading Level - Per "&amp;VLOOKUP($D$2, 'Reading Report Logic'!$A$2:$B$8, 2, FALSE)&amp;"]")),FALSE))),""))),"")</f>
        <v/>
      </c>
      <c r="E31" s="205" t="str" cm="1">
        <f t="array" aca="1" ref="E31" ca="1">IFERROR(
IF($J$2="ELA",
IF(VLOOKUP($A31, YES_Reading_ELA[], COLUMN(INDIRECT("YES_Reading_ELA[Min Expectation - Per "&amp;VLOOKUP($D$2, 'Reading Report Logic'!$A$2:$B$8, 2, FALSE)&amp;"]")), FALSE)="", "",
VLOOKUP($A31,YES_Reading_ELA[], COLUMN(INDIRECT("YES_Reading_ELA[Min Expectation - Per "&amp;VLOOKUP($D$2,'Reading Report Logic'!$A$2:$B$8,2,FALSE)&amp;"]")), FALSE)),
IF($J$2="FLA",
IF(VLOOKUP($A31, YES_Reading_FLA[], COLUMN(INDIRECT("YES_Reading_FLA[Min Expectation - Per "&amp;VLOOKUP($D$2,'Reading Report Logic'!$A$2:$B$8,2,FALSE)&amp;"]")),FALSE)="","",
VLOOKUP($A31,YES_Reading_FLA[],COLUMN(INDIRECT("YES_Reading_FLA[Min Expectation - Per "&amp;VLOOKUP($D$2,'Reading Report Logic'!$A$2:$B$8,2,FALSE)&amp;"]")),FALSE)),
IF($J$2="Combined",
IFERROR(
IF(VLOOKUP($A31, YES_Reading_ELA[], COLUMN(INDIRECT("YES_Reading_ELA[Min Expectation - Per "&amp;VLOOKUP($D$2, 'Reading Report Logic'!$A$2:$B$8,2,FALSE)&amp;"]")), FALSE)="", "",
VLOOKUP($A31,YES_Reading_ELA[],COLUMN(INDIRECT("YES_Reading_ELA[Min Expectation - Per "&amp;VLOOKUP($D$2,'Reading Report Logic'!$A$2:$B$8,2,FALSE)&amp;"]")),FALSE)),
IF(VLOOKUP($A31, YES_Reading_FLA[], COLUMN(INDIRECT("YES_Reading_FLA[Min Expectation - Per "&amp;VLOOKUP($D$2, 'Reading Report Logic'!$A$2:$B$8, 2, FALSE)&amp;"]")),FALSE)="", "", VLOOKUP($A31,YES_Reading_FLA[],COLUMN(INDIRECT("YES_Reading_FLA[Min Expectation - Per "&amp;VLOOKUP($D$2, 'Reading Report Logic'!$A$2:$B$8, 2, FALSE)&amp;"]")),FALSE))),""))),"")</f>
        <v/>
      </c>
      <c r="F31" s="205" t="str" cm="1">
        <f t="array" aca="1" ref="F31" ca="1">IFERROR(
IF($J$2="ELA",
IF(VLOOKUP($A31, YES_Reading_ELA[], COLUMN(INDIRECT("YES_Reading_ELA[Max Expectation - Per "&amp;VLOOKUP($D$2, 'Reading Report Logic'!$A$2:$B$8, 2, FALSE)&amp;"]")), FALSE)="", "",
VLOOKUP($A31,YES_Reading_ELA[], COLUMN(INDIRECT("YES_Reading_ELA[Max Expectation - Per "&amp;VLOOKUP($D$2,'Reading Report Logic'!$A$2:$B$8,2,FALSE)&amp;"]")), FALSE)),
IF($J$2="FLA",
IF(VLOOKUP($A31, YES_Reading_FLA[], COLUMN(INDIRECT("YES_Reading_FLA[Max Expectation - Per "&amp;VLOOKUP($D$2,'Reading Report Logic'!$A$2:$B$8,2,FALSE)&amp;"]")),FALSE)="","",
VLOOKUP($A31,YES_Reading_FLA[],COLUMN(INDIRECT("YES_Reading_FLA[Max Expectation - Per "&amp;VLOOKUP($D$2,'Reading Report Logic'!$A$2:$B$8,2,FALSE)&amp;"]")),FALSE)),
IF($J$2="Combined",
IFERROR(
IF(VLOOKUP($A31, YES_Reading_ELA[], COLUMN(INDIRECT("YES_Reading_ELA[Max Expectation - Per "&amp;VLOOKUP($D$2, 'Reading Report Logic'!$A$2:$B$8,2,FALSE)&amp;"]")), FALSE)="", "",
VLOOKUP($A31,YES_Reading_ELA[],COLUMN(INDIRECT("YES_Reading_ELA[Max Expectation - Per "&amp;VLOOKUP($D$2,'Reading Report Logic'!$A$2:$B$8,2,FALSE)&amp;"]")),FALSE)),
IF(VLOOKUP($A31, YES_Reading_FLA[], COLUMN(INDIRECT("YES_Reading_FLA[Max Expectation - Per "&amp;VLOOKUP($D$2, 'Reading Report Logic'!$A$2:$B$8, 2, FALSE)&amp;"]")),FALSE)="", "", VLOOKUP($A31,YES_Reading_FLA[],COLUMN(INDIRECT("YES_Reading_FLA[Max Expectation - Per "&amp;VLOOKUP($D$2, 'Reading Report Logic'!$A$2:$B$8, 2, FALSE)&amp;"]")),FALSE))),""))),"")</f>
        <v/>
      </c>
      <c r="G31" s="205" t="str" cm="1">
        <f t="array" aca="1" ref="G31" ca="1">IFERROR(
IF($J$2="ELA",
IF(VLOOKUP($A31, YES_Reading_ELA[], COLUMN(INDIRECT("YES_Reading_ELA[Difference - Per "&amp;VLOOKUP($D$2, 'Reading Report Logic'!$A$2:$B$8, 2, FALSE)&amp;"]")), FALSE)="", "",
VLOOKUP($A31,YES_Reading_ELA[], COLUMN(INDIRECT("YES_Reading_ELA[Difference - Per "&amp;VLOOKUP($D$2,'Reading Report Logic'!$A$2:$B$8,2,FALSE)&amp;"]")), FALSE)),
IF($J$2="FLA",
IF(VLOOKUP($A31, YES_Reading_FLA[], COLUMN(INDIRECT("YES_Reading_FLA[Difference - Per "&amp;VLOOKUP($D$2,'Reading Report Logic'!$A$2:$B$8,2,FALSE)&amp;"]")),FALSE)="","",
VLOOKUP($A31,YES_Reading_FLA[],COLUMN(INDIRECT("YES_Reading_FLA[Difference - Per "&amp;VLOOKUP($D$2,'Reading Report Logic'!$A$2:$B$8,2,FALSE)&amp;"]")),FALSE)),
IF($J$2="Combined",
IFERROR(
IF(VLOOKUP($A31, YES_Reading_ELA[], COLUMN(INDIRECT("YES_Reading_ELA[Difference - Per "&amp;VLOOKUP($D$2, 'Reading Report Logic'!$A$2:$B$8,2,FALSE)&amp;"]")), FALSE)="", "",
VLOOKUP($A31,YES_Reading_ELA[],COLUMN(INDIRECT("YES_Reading_ELA[Difference - Per "&amp;VLOOKUP($D$2,'Reading Report Logic'!$A$2:$B$8,2,FALSE)&amp;"]")),FALSE)),
IF(VLOOKUP($A31, YES_Reading_FLA[], COLUMN(INDIRECT("YES_Reading_FLA[Difference - Per "&amp;VLOOKUP($D$2, 'Reading Report Logic'!$A$2:$B$8, 2, FALSE)&amp;"]")),FALSE)="", "", VLOOKUP($A31,YES_Reading_FLA[],COLUMN(INDIRECT("YES_Reading_FLA[Difference - Per "&amp;VLOOKUP($D$2, 'Reading Report Logic'!$A$2:$B$8, 2, FALSE)&amp;"]")),FALSE))),""))),"")</f>
        <v/>
      </c>
      <c r="H31" s="206" t="str">
        <f ca="1">IFERROR(VLOOKUP('Teacher Reading Pull Sheets'!$D31,_xlfn.VSTACK('ELA Reading Logic'!$A$22:$B$48,'FLA Reading Logic'!$A$22:$B$53),2,FALSE)-VLOOKUP('Teacher Reading Pull Sheets'!$C31,_xlfn.VSTACK('ELA Reading Logic'!$A$22:$B$48,'FLA Reading Logic'!$A$22:$B$53),2,FALSE),"")</f>
        <v/>
      </c>
      <c r="I31" s="207"/>
      <c r="J31" s="206"/>
      <c r="K31" s="197" t="str" cm="1">
        <f t="array" ref="K31">IFERROR(
IF($J$2="ELA",
IF(VLOOKUP($A31, YES_Reading_ELA[], COLUMN(YES_Reading_ELA[Self-Identified as African Descent]), FALSE)="", "",
VLOOKUP($A31,YES_Reading_ELA[], COLUMN(YES_Reading_ELA[Self-Identified as African Descent]), FALSE)),
IF($J$2="FLA",
IF(VLOOKUP($A31, YES_Reading_FLA[], COLUMN(YES_Reading_FLA[Self-Identified as African Descent]),FALSE)="","",
VLOOKUP($A31,YES_Reading_FLA[],COLUMN(YES_Reading_FLA[Self-Identified as African Descent]),FALSE)),
IF($J$2="Combined",
IFERROR(
IF(VLOOKUP($A31, YES_Reading_ELA[], COLUMN(YES_Reading_ELA[Self-Identified as African Descent]), FALSE)="", "",
VLOOKUP($A31,YES_Reading_ELA[],COLUMN(YES_Reading_ELA[Self-Identified as African Descent]),FALSE)),
IF(VLOOKUP($A31, YES_Reading_FLA[], COLUMN(YES_Reading_FLA[Self-Identified as African Descent]),FALSE)="", "", VLOOKUP($A31,YES_Reading_FLA[],COLUMN(YES_Reading_FLA[Self-Identified as African Descent]),FALSE))),""))),"")</f>
        <v/>
      </c>
      <c r="L31" s="73" t="str" cm="1">
        <f t="array" ref="L31">IFERROR(
IF($J$2="ELA",
IF(VLOOKUP($A31, YES_Reading_ELA[], COLUMN(YES_Reading_ELA[Self-Identified as Indigenous]), FALSE)="", "",
VLOOKUP($A31,YES_Reading_ELA[], COLUMN(YES_Reading_ELA[Self-Identified as Indigenous]), FALSE)),
IF($J$2="FLA",
IF(VLOOKUP($A31, YES_Reading_FLA[], COLUMN(YES_Reading_FLA[Self-Identified as Indigenous]),FALSE)="","",
VLOOKUP($A31,YES_Reading_FLA[],COLUMN(YES_Reading_FLA[Self-Identified as Indigenous]),FALSE)),
IF($J$2="Combined",
IFERROR(
IF(VLOOKUP($A31, YES_Reading_ELA[], COLUMN(YES_Reading_ELA[Self-Identified as Indigenous]), FALSE)="", "",
VLOOKUP($A31,YES_Reading_ELA[],COLUMN(YES_Reading_ELA[Self-Identified as Indigenous]),FALSE)),
IF(VLOOKUP($A31, YES_Reading_FLA[], COLUMN(YES_Reading_FLA[Self-Identified as Indigenous]),FALSE)="", "", VLOOKUP($A31,YES_Reading_FLA[],COLUMN(YES_Reading_FLA[Self-Identified as Indigenous]),FALSE))),""))),"")</f>
        <v/>
      </c>
    </row>
    <row r="32" spans="1:12" ht="19.5" customHeight="1" x14ac:dyDescent="0.25">
      <c r="A32" s="217"/>
      <c r="B32" s="220" t="str">
        <f>IFERROR(VLOOKUP(A32,_xlfn.VSTACK(YES_Reading_ELA[],YES_Reading_FLA[]),2,FALSE),"")</f>
        <v/>
      </c>
      <c r="C32" s="203" t="str" cm="1">
        <f t="array" aca="1" ref="C32" ca="1">IFERROR(
IF($J$2="ELA",
IF(VLOOKUP($A32, YES_Reading_ELA[], COLUMN(IF(VLOOKUP($D$2, 'Reading Report Logic'!$A$2:$B$8, 2, FALSE)=1, YES_Reading_ELA[Reading Level June of Previous School Year], INDIRECT("YES_Reading_ELA[Instructional Reading Level - Per "&amp;(VLOOKUP($D$2,'Reading Report Logic'!$A$2:$B$8,2,FALSE)-1)&amp;"]"))), FALSE)="", "",
VLOOKUP($A32,YES_Reading_ELA[], COLUMN(IF(VLOOKUP($D$2,'Reading Report Logic'!$A$2:$B$8,2,FALSE)=1, YES_Reading_ELA[Reading Level June of Previous School Year],INDIRECT("YES_Reading_ELA[Instructional Reading Level - Per "&amp;(VLOOKUP($D$2,'Reading Report Logic'!$A$2:$B$8,2,FALSE)-1)&amp;"]"))), FALSE)),
IF($J$2="FLA",
IF(VLOOKUP($A32, YES_Reading_FLA[], COLUMN(IF(VLOOKUP($D$2,'Reading Report Logic'!$A$2:$B$8,2,FALSE)=1, YES_Reading_FLA[Reading Level June of Previous School Year],INDIRECT("YES_Reading_FLA[Instructional Reading Level - Per "&amp;(VLOOKUP($D$2,'Reading Report Logic'!$A$2:$B$8,2,FALSE)-1)&amp;"]"))),FALSE)="","",
VLOOKUP($A32,YES_Reading_FLA[], COLUMN(IF(VLOOKUP($D$2,'Reading Report Logic'!$A$2:$B$8,2,FALSE)=1, YES_Reading_FLA[Reading Level June of Previous School Year],INDIRECT("YES_Reading_FLA[Instructional Reading Level - Per "&amp;(VLOOKUP($D$2,'Reading Report Logic'!$A$2:$B$8,2,FALSE)-1)&amp;"]"))),FALSE)),
IF($J$2="Combined",
IFERROR(
IF(VLOOKUP($A32, YES_Reading_ELA[], COLUMN(IF(VLOOKUP($D$2,'Reading Report Logic'!$A$2:$B$8,2,FALSE)=1, YES_Reading_ELA[Reading Level June of Previous School Year],INDIRECT("YES_Reading_ELA[Instructional Reading Level - Per "&amp;(VLOOKUP($D$2,'Reading Report Logic'!$A$2:$B$8,2,FALSE)-1)&amp;"]"))), FALSE)="", "",
VLOOKUP($A32,YES_Reading_ELA[],COLUMN(IF(VLOOKUP($D$2,'Reading Report Logic'!$A$2:$B$8,2,FALSE)=1, YES_Reading_ELA[Reading Level June of Previous School Year],INDIRECT("YES_Reading_ELA[Instructional Reading Level - Per "&amp;(VLOOKUP($D$2,'Reading Report Logic'!$A$2:$B$8,2,FALSE)-1)&amp;"]"))),FALSE)),
IF(VLOOKUP($A32, YES_Reading_FLA[], COLUMN(IF(VLOOKUP($D$2,'Reading Report Logic'!$A$2:$B$8,2,FALSE)=1, YES_Reading_FLA[Reading Level June of Previous School Year],INDIRECT("YES_Reading_FLA[Instructional Reading Level - Per "&amp;(VLOOKUP($D$2,'Reading Report Logic'!$A$2:$B$8,2,FALSE)-1)&amp;"]"))),FALSE)="", "", VLOOKUP($A32,YES_Reading_FLA[],COLUMN(IF(VLOOKUP($D$2,'Reading Report Logic'!$A$2:$B$8,2,FALSE)=1, YES_Reading_FLA[Reading Level June of Previous School Year],INDIRECT("YES_Reading_FLA[Instructional Reading Level - Per "&amp;(VLOOKUP($D$2,'Reading Report Logic'!$A$2:$B$8,2,FALSE)-1)&amp;"]"))), FALSE))),""))),"")</f>
        <v/>
      </c>
      <c r="D32" s="204" t="str" cm="1">
        <f t="array" aca="1" ref="D32" ca="1">IFERROR(
IF($J$2="ELA",
IF(VLOOKUP($A32, YES_Reading_ELA[], COLUMN(INDIRECT("YES_Reading_ELA[Instructional Reading Level - Per "&amp;VLOOKUP($D$2, 'Reading Report Logic'!$A$2:$B$8, 2, FALSE)&amp;"]")), FALSE)="", "",
VLOOKUP($A32,YES_Reading_ELA[], COLUMN(INDIRECT("YES_Reading_ELA[Instructional Reading Level - Per "&amp;VLOOKUP($D$2,'Reading Report Logic'!$A$2:$B$8,2,FALSE)&amp;"]")), FALSE)),
IF($J$2="FLA",
IF(VLOOKUP($A32, YES_Reading_FLA[], COLUMN(INDIRECT("YES_Reading_FLA[Instructional Reading Level - Per "&amp;VLOOKUP($D$2,'Reading Report Logic'!$A$2:$B$8,2,FALSE)&amp;"]")),FALSE)="","",
VLOOKUP($A32,YES_Reading_FLA[],COLUMN(INDIRECT("YES_Reading_FLA[Instructional Reading Level - Per "&amp;VLOOKUP($D$2,'Reading Report Logic'!$A$2:$B$8,2,FALSE)&amp;"]")),FALSE)),
IF($J$2="Combined",
IFERROR(
IF(VLOOKUP($A32, YES_Reading_ELA[], COLUMN(INDIRECT("YES_Reading_ELA[Instructional Reading Level - Per "&amp;VLOOKUP($D$2, 'Reading Report Logic'!$A$2:$B$8,2,FALSE)&amp;"]")), FALSE)="", "",
VLOOKUP($A32,YES_Reading_ELA[],COLUMN(INDIRECT("YES_Reading_ELA[Instructional Reading Level - Per "&amp;VLOOKUP($D$2,'Reading Report Logic'!$A$2:$B$8,2,FALSE)&amp;"]")),FALSE)),
IF(VLOOKUP($A32, YES_Reading_FLA[], COLUMN(INDIRECT("YES_Reading_FLA[Instructional Reading Level - Per "&amp;VLOOKUP($D$2, 'Reading Report Logic'!$A$2:$B$8, 2, FALSE)&amp;"]")),FALSE)="", "", VLOOKUP($A32,YES_Reading_FLA[],COLUMN(INDIRECT("YES_Reading_FLA[Instructional Reading Level - Per "&amp;VLOOKUP($D$2, 'Reading Report Logic'!$A$2:$B$8, 2, FALSE)&amp;"]")),FALSE))),""))),"")</f>
        <v/>
      </c>
      <c r="E32" s="205" t="str" cm="1">
        <f t="array" aca="1" ref="E32" ca="1">IFERROR(
IF($J$2="ELA",
IF(VLOOKUP($A32, YES_Reading_ELA[], COLUMN(INDIRECT("YES_Reading_ELA[Min Expectation - Per "&amp;VLOOKUP($D$2, 'Reading Report Logic'!$A$2:$B$8, 2, FALSE)&amp;"]")), FALSE)="", "",
VLOOKUP($A32,YES_Reading_ELA[], COLUMN(INDIRECT("YES_Reading_ELA[Min Expectation - Per "&amp;VLOOKUP($D$2,'Reading Report Logic'!$A$2:$B$8,2,FALSE)&amp;"]")), FALSE)),
IF($J$2="FLA",
IF(VLOOKUP($A32, YES_Reading_FLA[], COLUMN(INDIRECT("YES_Reading_FLA[Min Expectation - Per "&amp;VLOOKUP($D$2,'Reading Report Logic'!$A$2:$B$8,2,FALSE)&amp;"]")),FALSE)="","",
VLOOKUP($A32,YES_Reading_FLA[],COLUMN(INDIRECT("YES_Reading_FLA[Min Expectation - Per "&amp;VLOOKUP($D$2,'Reading Report Logic'!$A$2:$B$8,2,FALSE)&amp;"]")),FALSE)),
IF($J$2="Combined",
IFERROR(
IF(VLOOKUP($A32, YES_Reading_ELA[], COLUMN(INDIRECT("YES_Reading_ELA[Min Expectation - Per "&amp;VLOOKUP($D$2, 'Reading Report Logic'!$A$2:$B$8,2,FALSE)&amp;"]")), FALSE)="", "",
VLOOKUP($A32,YES_Reading_ELA[],COLUMN(INDIRECT("YES_Reading_ELA[Min Expectation - Per "&amp;VLOOKUP($D$2,'Reading Report Logic'!$A$2:$B$8,2,FALSE)&amp;"]")),FALSE)),
IF(VLOOKUP($A32, YES_Reading_FLA[], COLUMN(INDIRECT("YES_Reading_FLA[Min Expectation - Per "&amp;VLOOKUP($D$2, 'Reading Report Logic'!$A$2:$B$8, 2, FALSE)&amp;"]")),FALSE)="", "", VLOOKUP($A32,YES_Reading_FLA[],COLUMN(INDIRECT("YES_Reading_FLA[Min Expectation - Per "&amp;VLOOKUP($D$2, 'Reading Report Logic'!$A$2:$B$8, 2, FALSE)&amp;"]")),FALSE))),""))),"")</f>
        <v/>
      </c>
      <c r="F32" s="205" t="str" cm="1">
        <f t="array" aca="1" ref="F32" ca="1">IFERROR(
IF($J$2="ELA",
IF(VLOOKUP($A32, YES_Reading_ELA[], COLUMN(INDIRECT("YES_Reading_ELA[Max Expectation - Per "&amp;VLOOKUP($D$2, 'Reading Report Logic'!$A$2:$B$8, 2, FALSE)&amp;"]")), FALSE)="", "",
VLOOKUP($A32,YES_Reading_ELA[], COLUMN(INDIRECT("YES_Reading_ELA[Max Expectation - Per "&amp;VLOOKUP($D$2,'Reading Report Logic'!$A$2:$B$8,2,FALSE)&amp;"]")), FALSE)),
IF($J$2="FLA",
IF(VLOOKUP($A32, YES_Reading_FLA[], COLUMN(INDIRECT("YES_Reading_FLA[Max Expectation - Per "&amp;VLOOKUP($D$2,'Reading Report Logic'!$A$2:$B$8,2,FALSE)&amp;"]")),FALSE)="","",
VLOOKUP($A32,YES_Reading_FLA[],COLUMN(INDIRECT("YES_Reading_FLA[Max Expectation - Per "&amp;VLOOKUP($D$2,'Reading Report Logic'!$A$2:$B$8,2,FALSE)&amp;"]")),FALSE)),
IF($J$2="Combined",
IFERROR(
IF(VLOOKUP($A32, YES_Reading_ELA[], COLUMN(INDIRECT("YES_Reading_ELA[Max Expectation - Per "&amp;VLOOKUP($D$2, 'Reading Report Logic'!$A$2:$B$8,2,FALSE)&amp;"]")), FALSE)="", "",
VLOOKUP($A32,YES_Reading_ELA[],COLUMN(INDIRECT("YES_Reading_ELA[Max Expectation - Per "&amp;VLOOKUP($D$2,'Reading Report Logic'!$A$2:$B$8,2,FALSE)&amp;"]")),FALSE)),
IF(VLOOKUP($A32, YES_Reading_FLA[], COLUMN(INDIRECT("YES_Reading_FLA[Max Expectation - Per "&amp;VLOOKUP($D$2, 'Reading Report Logic'!$A$2:$B$8, 2, FALSE)&amp;"]")),FALSE)="", "", VLOOKUP($A32,YES_Reading_FLA[],COLUMN(INDIRECT("YES_Reading_FLA[Max Expectation - Per "&amp;VLOOKUP($D$2, 'Reading Report Logic'!$A$2:$B$8, 2, FALSE)&amp;"]")),FALSE))),""))),"")</f>
        <v/>
      </c>
      <c r="G32" s="205" t="str" cm="1">
        <f t="array" aca="1" ref="G32" ca="1">IFERROR(
IF($J$2="ELA",
IF(VLOOKUP($A32, YES_Reading_ELA[], COLUMN(INDIRECT("YES_Reading_ELA[Difference - Per "&amp;VLOOKUP($D$2, 'Reading Report Logic'!$A$2:$B$8, 2, FALSE)&amp;"]")), FALSE)="", "",
VLOOKUP($A32,YES_Reading_ELA[], COLUMN(INDIRECT("YES_Reading_ELA[Difference - Per "&amp;VLOOKUP($D$2,'Reading Report Logic'!$A$2:$B$8,2,FALSE)&amp;"]")), FALSE)),
IF($J$2="FLA",
IF(VLOOKUP($A32, YES_Reading_FLA[], COLUMN(INDIRECT("YES_Reading_FLA[Difference - Per "&amp;VLOOKUP($D$2,'Reading Report Logic'!$A$2:$B$8,2,FALSE)&amp;"]")),FALSE)="","",
VLOOKUP($A32,YES_Reading_FLA[],COLUMN(INDIRECT("YES_Reading_FLA[Difference - Per "&amp;VLOOKUP($D$2,'Reading Report Logic'!$A$2:$B$8,2,FALSE)&amp;"]")),FALSE)),
IF($J$2="Combined",
IFERROR(
IF(VLOOKUP($A32, YES_Reading_ELA[], COLUMN(INDIRECT("YES_Reading_ELA[Difference - Per "&amp;VLOOKUP($D$2, 'Reading Report Logic'!$A$2:$B$8,2,FALSE)&amp;"]")), FALSE)="", "",
VLOOKUP($A32,YES_Reading_ELA[],COLUMN(INDIRECT("YES_Reading_ELA[Difference - Per "&amp;VLOOKUP($D$2,'Reading Report Logic'!$A$2:$B$8,2,FALSE)&amp;"]")),FALSE)),
IF(VLOOKUP($A32, YES_Reading_FLA[], COLUMN(INDIRECT("YES_Reading_FLA[Difference - Per "&amp;VLOOKUP($D$2, 'Reading Report Logic'!$A$2:$B$8, 2, FALSE)&amp;"]")),FALSE)="", "", VLOOKUP($A32,YES_Reading_FLA[],COLUMN(INDIRECT("YES_Reading_FLA[Difference - Per "&amp;VLOOKUP($D$2, 'Reading Report Logic'!$A$2:$B$8, 2, FALSE)&amp;"]")),FALSE))),""))),"")</f>
        <v/>
      </c>
      <c r="H32" s="206" t="str">
        <f ca="1">IFERROR(VLOOKUP('Teacher Reading Pull Sheets'!$D32,_xlfn.VSTACK('ELA Reading Logic'!$A$22:$B$48,'FLA Reading Logic'!$A$22:$B$53),2,FALSE)-VLOOKUP('Teacher Reading Pull Sheets'!$C32,_xlfn.VSTACK('ELA Reading Logic'!$A$22:$B$48,'FLA Reading Logic'!$A$22:$B$53),2,FALSE),"")</f>
        <v/>
      </c>
      <c r="I32" s="207"/>
      <c r="J32" s="206"/>
      <c r="K32" s="197" t="str" cm="1">
        <f t="array" ref="K32">IFERROR(
IF($J$2="ELA",
IF(VLOOKUP($A32, YES_Reading_ELA[], COLUMN(YES_Reading_ELA[Self-Identified as African Descent]), FALSE)="", "",
VLOOKUP($A32,YES_Reading_ELA[], COLUMN(YES_Reading_ELA[Self-Identified as African Descent]), FALSE)),
IF($J$2="FLA",
IF(VLOOKUP($A32, YES_Reading_FLA[], COLUMN(YES_Reading_FLA[Self-Identified as African Descent]),FALSE)="","",
VLOOKUP($A32,YES_Reading_FLA[],COLUMN(YES_Reading_FLA[Self-Identified as African Descent]),FALSE)),
IF($J$2="Combined",
IFERROR(
IF(VLOOKUP($A32, YES_Reading_ELA[], COLUMN(YES_Reading_ELA[Self-Identified as African Descent]), FALSE)="", "",
VLOOKUP($A32,YES_Reading_ELA[],COLUMN(YES_Reading_ELA[Self-Identified as African Descent]),FALSE)),
IF(VLOOKUP($A32, YES_Reading_FLA[], COLUMN(YES_Reading_FLA[Self-Identified as African Descent]),FALSE)="", "", VLOOKUP($A32,YES_Reading_FLA[],COLUMN(YES_Reading_FLA[Self-Identified as African Descent]),FALSE))),""))),"")</f>
        <v/>
      </c>
      <c r="L32" s="73" t="str" cm="1">
        <f t="array" ref="L32">IFERROR(
IF($J$2="ELA",
IF(VLOOKUP($A32, YES_Reading_ELA[], COLUMN(YES_Reading_ELA[Self-Identified as Indigenous]), FALSE)="", "",
VLOOKUP($A32,YES_Reading_ELA[], COLUMN(YES_Reading_ELA[Self-Identified as Indigenous]), FALSE)),
IF($J$2="FLA",
IF(VLOOKUP($A32, YES_Reading_FLA[], COLUMN(YES_Reading_FLA[Self-Identified as Indigenous]),FALSE)="","",
VLOOKUP($A32,YES_Reading_FLA[],COLUMN(YES_Reading_FLA[Self-Identified as Indigenous]),FALSE)),
IF($J$2="Combined",
IFERROR(
IF(VLOOKUP($A32, YES_Reading_ELA[], COLUMN(YES_Reading_ELA[Self-Identified as Indigenous]), FALSE)="", "",
VLOOKUP($A32,YES_Reading_ELA[],COLUMN(YES_Reading_ELA[Self-Identified as Indigenous]),FALSE)),
IF(VLOOKUP($A32, YES_Reading_FLA[], COLUMN(YES_Reading_FLA[Self-Identified as Indigenous]),FALSE)="", "", VLOOKUP($A32,YES_Reading_FLA[],COLUMN(YES_Reading_FLA[Self-Identified as Indigenous]),FALSE))),""))),"")</f>
        <v/>
      </c>
    </row>
    <row r="33" spans="1:12" ht="19.5" customHeight="1" x14ac:dyDescent="0.25">
      <c r="A33" s="217"/>
      <c r="B33" s="220" t="str">
        <f>IFERROR(VLOOKUP(A33,_xlfn.VSTACK(YES_Reading_ELA[],YES_Reading_FLA[]),2,FALSE),"")</f>
        <v/>
      </c>
      <c r="C33" s="203" t="str" cm="1">
        <f t="array" aca="1" ref="C33" ca="1">IFERROR(
IF($J$2="ELA",
IF(VLOOKUP($A33, YES_Reading_ELA[], COLUMN(IF(VLOOKUP($D$2, 'Reading Report Logic'!$A$2:$B$8, 2, FALSE)=1, YES_Reading_ELA[Reading Level June of Previous School Year], INDIRECT("YES_Reading_ELA[Instructional Reading Level - Per "&amp;(VLOOKUP($D$2,'Reading Report Logic'!$A$2:$B$8,2,FALSE)-1)&amp;"]"))), FALSE)="", "",
VLOOKUP($A33,YES_Reading_ELA[], COLUMN(IF(VLOOKUP($D$2,'Reading Report Logic'!$A$2:$B$8,2,FALSE)=1, YES_Reading_ELA[Reading Level June of Previous School Year],INDIRECT("YES_Reading_ELA[Instructional Reading Level - Per "&amp;(VLOOKUP($D$2,'Reading Report Logic'!$A$2:$B$8,2,FALSE)-1)&amp;"]"))), FALSE)),
IF($J$2="FLA",
IF(VLOOKUP($A33, YES_Reading_FLA[], COLUMN(IF(VLOOKUP($D$2,'Reading Report Logic'!$A$2:$B$8,2,FALSE)=1, YES_Reading_FLA[Reading Level June of Previous School Year],INDIRECT("YES_Reading_FLA[Instructional Reading Level - Per "&amp;(VLOOKUP($D$2,'Reading Report Logic'!$A$2:$B$8,2,FALSE)-1)&amp;"]"))),FALSE)="","",
VLOOKUP($A33,YES_Reading_FLA[], COLUMN(IF(VLOOKUP($D$2,'Reading Report Logic'!$A$2:$B$8,2,FALSE)=1, YES_Reading_FLA[Reading Level June of Previous School Year],INDIRECT("YES_Reading_FLA[Instructional Reading Level - Per "&amp;(VLOOKUP($D$2,'Reading Report Logic'!$A$2:$B$8,2,FALSE)-1)&amp;"]"))),FALSE)),
IF($J$2="Combined",
IFERROR(
IF(VLOOKUP($A33, YES_Reading_ELA[], COLUMN(IF(VLOOKUP($D$2,'Reading Report Logic'!$A$2:$B$8,2,FALSE)=1, YES_Reading_ELA[Reading Level June of Previous School Year],INDIRECT("YES_Reading_ELA[Instructional Reading Level - Per "&amp;(VLOOKUP($D$2,'Reading Report Logic'!$A$2:$B$8,2,FALSE)-1)&amp;"]"))), FALSE)="", "",
VLOOKUP($A33,YES_Reading_ELA[],COLUMN(IF(VLOOKUP($D$2,'Reading Report Logic'!$A$2:$B$8,2,FALSE)=1, YES_Reading_ELA[Reading Level June of Previous School Year],INDIRECT("YES_Reading_ELA[Instructional Reading Level - Per "&amp;(VLOOKUP($D$2,'Reading Report Logic'!$A$2:$B$8,2,FALSE)-1)&amp;"]"))),FALSE)),
IF(VLOOKUP($A33, YES_Reading_FLA[], COLUMN(IF(VLOOKUP($D$2,'Reading Report Logic'!$A$2:$B$8,2,FALSE)=1, YES_Reading_FLA[Reading Level June of Previous School Year],INDIRECT("YES_Reading_FLA[Instructional Reading Level - Per "&amp;(VLOOKUP($D$2,'Reading Report Logic'!$A$2:$B$8,2,FALSE)-1)&amp;"]"))),FALSE)="", "", VLOOKUP($A33,YES_Reading_FLA[],COLUMN(IF(VLOOKUP($D$2,'Reading Report Logic'!$A$2:$B$8,2,FALSE)=1, YES_Reading_FLA[Reading Level June of Previous School Year],INDIRECT("YES_Reading_FLA[Instructional Reading Level - Per "&amp;(VLOOKUP($D$2,'Reading Report Logic'!$A$2:$B$8,2,FALSE)-1)&amp;"]"))), FALSE))),""))),"")</f>
        <v/>
      </c>
      <c r="D33" s="204" t="str" cm="1">
        <f t="array" aca="1" ref="D33" ca="1">IFERROR(
IF($J$2="ELA",
IF(VLOOKUP($A33, YES_Reading_ELA[], COLUMN(INDIRECT("YES_Reading_ELA[Instructional Reading Level - Per "&amp;VLOOKUP($D$2, 'Reading Report Logic'!$A$2:$B$8, 2, FALSE)&amp;"]")), FALSE)="", "",
VLOOKUP($A33,YES_Reading_ELA[], COLUMN(INDIRECT("YES_Reading_ELA[Instructional Reading Level - Per "&amp;VLOOKUP($D$2,'Reading Report Logic'!$A$2:$B$8,2,FALSE)&amp;"]")), FALSE)),
IF($J$2="FLA",
IF(VLOOKUP($A33, YES_Reading_FLA[], COLUMN(INDIRECT("YES_Reading_FLA[Instructional Reading Level - Per "&amp;VLOOKUP($D$2,'Reading Report Logic'!$A$2:$B$8,2,FALSE)&amp;"]")),FALSE)="","",
VLOOKUP($A33,YES_Reading_FLA[],COLUMN(INDIRECT("YES_Reading_FLA[Instructional Reading Level - Per "&amp;VLOOKUP($D$2,'Reading Report Logic'!$A$2:$B$8,2,FALSE)&amp;"]")),FALSE)),
IF($J$2="Combined",
IFERROR(
IF(VLOOKUP($A33, YES_Reading_ELA[], COLUMN(INDIRECT("YES_Reading_ELA[Instructional Reading Level - Per "&amp;VLOOKUP($D$2, 'Reading Report Logic'!$A$2:$B$8,2,FALSE)&amp;"]")), FALSE)="", "",
VLOOKUP($A33,YES_Reading_ELA[],COLUMN(INDIRECT("YES_Reading_ELA[Instructional Reading Level - Per "&amp;VLOOKUP($D$2,'Reading Report Logic'!$A$2:$B$8,2,FALSE)&amp;"]")),FALSE)),
IF(VLOOKUP($A33, YES_Reading_FLA[], COLUMN(INDIRECT("YES_Reading_FLA[Instructional Reading Level - Per "&amp;VLOOKUP($D$2, 'Reading Report Logic'!$A$2:$B$8, 2, FALSE)&amp;"]")),FALSE)="", "", VLOOKUP($A33,YES_Reading_FLA[],COLUMN(INDIRECT("YES_Reading_FLA[Instructional Reading Level - Per "&amp;VLOOKUP($D$2, 'Reading Report Logic'!$A$2:$B$8, 2, FALSE)&amp;"]")),FALSE))),""))),"")</f>
        <v/>
      </c>
      <c r="E33" s="205" t="str" cm="1">
        <f t="array" aca="1" ref="E33" ca="1">IFERROR(
IF($J$2="ELA",
IF(VLOOKUP($A33, YES_Reading_ELA[], COLUMN(INDIRECT("YES_Reading_ELA[Min Expectation - Per "&amp;VLOOKUP($D$2, 'Reading Report Logic'!$A$2:$B$8, 2, FALSE)&amp;"]")), FALSE)="", "",
VLOOKUP($A33,YES_Reading_ELA[], COLUMN(INDIRECT("YES_Reading_ELA[Min Expectation - Per "&amp;VLOOKUP($D$2,'Reading Report Logic'!$A$2:$B$8,2,FALSE)&amp;"]")), FALSE)),
IF($J$2="FLA",
IF(VLOOKUP($A33, YES_Reading_FLA[], COLUMN(INDIRECT("YES_Reading_FLA[Min Expectation - Per "&amp;VLOOKUP($D$2,'Reading Report Logic'!$A$2:$B$8,2,FALSE)&amp;"]")),FALSE)="","",
VLOOKUP($A33,YES_Reading_FLA[],COLUMN(INDIRECT("YES_Reading_FLA[Min Expectation - Per "&amp;VLOOKUP($D$2,'Reading Report Logic'!$A$2:$B$8,2,FALSE)&amp;"]")),FALSE)),
IF($J$2="Combined",
IFERROR(
IF(VLOOKUP($A33, YES_Reading_ELA[], COLUMN(INDIRECT("YES_Reading_ELA[Min Expectation - Per "&amp;VLOOKUP($D$2, 'Reading Report Logic'!$A$2:$B$8,2,FALSE)&amp;"]")), FALSE)="", "",
VLOOKUP($A33,YES_Reading_ELA[],COLUMN(INDIRECT("YES_Reading_ELA[Min Expectation - Per "&amp;VLOOKUP($D$2,'Reading Report Logic'!$A$2:$B$8,2,FALSE)&amp;"]")),FALSE)),
IF(VLOOKUP($A33, YES_Reading_FLA[], COLUMN(INDIRECT("YES_Reading_FLA[Min Expectation - Per "&amp;VLOOKUP($D$2, 'Reading Report Logic'!$A$2:$B$8, 2, FALSE)&amp;"]")),FALSE)="", "", VLOOKUP($A33,YES_Reading_FLA[],COLUMN(INDIRECT("YES_Reading_FLA[Min Expectation - Per "&amp;VLOOKUP($D$2, 'Reading Report Logic'!$A$2:$B$8, 2, FALSE)&amp;"]")),FALSE))),""))),"")</f>
        <v/>
      </c>
      <c r="F33" s="205" t="str" cm="1">
        <f t="array" aca="1" ref="F33" ca="1">IFERROR(
IF($J$2="ELA",
IF(VLOOKUP($A33, YES_Reading_ELA[], COLUMN(INDIRECT("YES_Reading_ELA[Max Expectation - Per "&amp;VLOOKUP($D$2, 'Reading Report Logic'!$A$2:$B$8, 2, FALSE)&amp;"]")), FALSE)="", "",
VLOOKUP($A33,YES_Reading_ELA[], COLUMN(INDIRECT("YES_Reading_ELA[Max Expectation - Per "&amp;VLOOKUP($D$2,'Reading Report Logic'!$A$2:$B$8,2,FALSE)&amp;"]")), FALSE)),
IF($J$2="FLA",
IF(VLOOKUP($A33, YES_Reading_FLA[], COLUMN(INDIRECT("YES_Reading_FLA[Max Expectation - Per "&amp;VLOOKUP($D$2,'Reading Report Logic'!$A$2:$B$8,2,FALSE)&amp;"]")),FALSE)="","",
VLOOKUP($A33,YES_Reading_FLA[],COLUMN(INDIRECT("YES_Reading_FLA[Max Expectation - Per "&amp;VLOOKUP($D$2,'Reading Report Logic'!$A$2:$B$8,2,FALSE)&amp;"]")),FALSE)),
IF($J$2="Combined",
IFERROR(
IF(VLOOKUP($A33, YES_Reading_ELA[], COLUMN(INDIRECT("YES_Reading_ELA[Max Expectation - Per "&amp;VLOOKUP($D$2, 'Reading Report Logic'!$A$2:$B$8,2,FALSE)&amp;"]")), FALSE)="", "",
VLOOKUP($A33,YES_Reading_ELA[],COLUMN(INDIRECT("YES_Reading_ELA[Max Expectation - Per "&amp;VLOOKUP($D$2,'Reading Report Logic'!$A$2:$B$8,2,FALSE)&amp;"]")),FALSE)),
IF(VLOOKUP($A33, YES_Reading_FLA[], COLUMN(INDIRECT("YES_Reading_FLA[Max Expectation - Per "&amp;VLOOKUP($D$2, 'Reading Report Logic'!$A$2:$B$8, 2, FALSE)&amp;"]")),FALSE)="", "", VLOOKUP($A33,YES_Reading_FLA[],COLUMN(INDIRECT("YES_Reading_FLA[Max Expectation - Per "&amp;VLOOKUP($D$2, 'Reading Report Logic'!$A$2:$B$8, 2, FALSE)&amp;"]")),FALSE))),""))),"")</f>
        <v/>
      </c>
      <c r="G33" s="205" t="str" cm="1">
        <f t="array" aca="1" ref="G33" ca="1">IFERROR(
IF($J$2="ELA",
IF(VLOOKUP($A33, YES_Reading_ELA[], COLUMN(INDIRECT("YES_Reading_ELA[Difference - Per "&amp;VLOOKUP($D$2, 'Reading Report Logic'!$A$2:$B$8, 2, FALSE)&amp;"]")), FALSE)="", "",
VLOOKUP($A33,YES_Reading_ELA[], COLUMN(INDIRECT("YES_Reading_ELA[Difference - Per "&amp;VLOOKUP($D$2,'Reading Report Logic'!$A$2:$B$8,2,FALSE)&amp;"]")), FALSE)),
IF($J$2="FLA",
IF(VLOOKUP($A33, YES_Reading_FLA[], COLUMN(INDIRECT("YES_Reading_FLA[Difference - Per "&amp;VLOOKUP($D$2,'Reading Report Logic'!$A$2:$B$8,2,FALSE)&amp;"]")),FALSE)="","",
VLOOKUP($A33,YES_Reading_FLA[],COLUMN(INDIRECT("YES_Reading_FLA[Difference - Per "&amp;VLOOKUP($D$2,'Reading Report Logic'!$A$2:$B$8,2,FALSE)&amp;"]")),FALSE)),
IF($J$2="Combined",
IFERROR(
IF(VLOOKUP($A33, YES_Reading_ELA[], COLUMN(INDIRECT("YES_Reading_ELA[Difference - Per "&amp;VLOOKUP($D$2, 'Reading Report Logic'!$A$2:$B$8,2,FALSE)&amp;"]")), FALSE)="", "",
VLOOKUP($A33,YES_Reading_ELA[],COLUMN(INDIRECT("YES_Reading_ELA[Difference - Per "&amp;VLOOKUP($D$2,'Reading Report Logic'!$A$2:$B$8,2,FALSE)&amp;"]")),FALSE)),
IF(VLOOKUP($A33, YES_Reading_FLA[], COLUMN(INDIRECT("YES_Reading_FLA[Difference - Per "&amp;VLOOKUP($D$2, 'Reading Report Logic'!$A$2:$B$8, 2, FALSE)&amp;"]")),FALSE)="", "", VLOOKUP($A33,YES_Reading_FLA[],COLUMN(INDIRECT("YES_Reading_FLA[Difference - Per "&amp;VLOOKUP($D$2, 'Reading Report Logic'!$A$2:$B$8, 2, FALSE)&amp;"]")),FALSE))),""))),"")</f>
        <v/>
      </c>
      <c r="H33" s="206" t="str">
        <f ca="1">IFERROR(VLOOKUP('Teacher Reading Pull Sheets'!$D33,_xlfn.VSTACK('ELA Reading Logic'!$A$22:$B$48,'FLA Reading Logic'!$A$22:$B$53),2,FALSE)-VLOOKUP('Teacher Reading Pull Sheets'!$C33,_xlfn.VSTACK('ELA Reading Logic'!$A$22:$B$48,'FLA Reading Logic'!$A$22:$B$53),2,FALSE),"")</f>
        <v/>
      </c>
      <c r="I33" s="207"/>
      <c r="J33" s="206"/>
      <c r="K33" s="197" t="str" cm="1">
        <f t="array" ref="K33">IFERROR(
IF($J$2="ELA",
IF(VLOOKUP($A33, YES_Reading_ELA[], COLUMN(YES_Reading_ELA[Self-Identified as African Descent]), FALSE)="", "",
VLOOKUP($A33,YES_Reading_ELA[], COLUMN(YES_Reading_ELA[Self-Identified as African Descent]), FALSE)),
IF($J$2="FLA",
IF(VLOOKUP($A33, YES_Reading_FLA[], COLUMN(YES_Reading_FLA[Self-Identified as African Descent]),FALSE)="","",
VLOOKUP($A33,YES_Reading_FLA[],COLUMN(YES_Reading_FLA[Self-Identified as African Descent]),FALSE)),
IF($J$2="Combined",
IFERROR(
IF(VLOOKUP($A33, YES_Reading_ELA[], COLUMN(YES_Reading_ELA[Self-Identified as African Descent]), FALSE)="", "",
VLOOKUP($A33,YES_Reading_ELA[],COLUMN(YES_Reading_ELA[Self-Identified as African Descent]),FALSE)),
IF(VLOOKUP($A33, YES_Reading_FLA[], COLUMN(YES_Reading_FLA[Self-Identified as African Descent]),FALSE)="", "", VLOOKUP($A33,YES_Reading_FLA[],COLUMN(YES_Reading_FLA[Self-Identified as African Descent]),FALSE))),""))),"")</f>
        <v/>
      </c>
      <c r="L33" s="73" t="str" cm="1">
        <f t="array" ref="L33">IFERROR(
IF($J$2="ELA",
IF(VLOOKUP($A33, YES_Reading_ELA[], COLUMN(YES_Reading_ELA[Self-Identified as Indigenous]), FALSE)="", "",
VLOOKUP($A33,YES_Reading_ELA[], COLUMN(YES_Reading_ELA[Self-Identified as Indigenous]), FALSE)),
IF($J$2="FLA",
IF(VLOOKUP($A33, YES_Reading_FLA[], COLUMN(YES_Reading_FLA[Self-Identified as Indigenous]),FALSE)="","",
VLOOKUP($A33,YES_Reading_FLA[],COLUMN(YES_Reading_FLA[Self-Identified as Indigenous]),FALSE)),
IF($J$2="Combined",
IFERROR(
IF(VLOOKUP($A33, YES_Reading_ELA[], COLUMN(YES_Reading_ELA[Self-Identified as Indigenous]), FALSE)="", "",
VLOOKUP($A33,YES_Reading_ELA[],COLUMN(YES_Reading_ELA[Self-Identified as Indigenous]),FALSE)),
IF(VLOOKUP($A33, YES_Reading_FLA[], COLUMN(YES_Reading_FLA[Self-Identified as Indigenous]),FALSE)="", "", VLOOKUP($A33,YES_Reading_FLA[],COLUMN(YES_Reading_FLA[Self-Identified as Indigenous]),FALSE))),""))),"")</f>
        <v/>
      </c>
    </row>
    <row r="34" spans="1:12" ht="19.5" customHeight="1" x14ac:dyDescent="0.25">
      <c r="A34" s="247"/>
      <c r="B34" s="248" t="str">
        <f>IFERROR(VLOOKUP(A34,_xlfn.VSTACK(YES_Reading_ELA[],YES_Reading_FLA[]),2,FALSE),"")</f>
        <v/>
      </c>
      <c r="C34" s="249" t="str" cm="1">
        <f t="array" aca="1" ref="C34" ca="1">IFERROR(
IF($J$2="ELA",
IF(VLOOKUP($A34, YES_Reading_ELA[], COLUMN(IF(VLOOKUP($D$2, 'Reading Report Logic'!$A$2:$B$8, 2, FALSE)=1, YES_Reading_ELA[Reading Level June of Previous School Year], INDIRECT("YES_Reading_ELA[Instructional Reading Level - Per "&amp;(VLOOKUP($D$2,'Reading Report Logic'!$A$2:$B$8,2,FALSE)-1)&amp;"]"))), FALSE)="", "",
VLOOKUP($A34,YES_Reading_ELA[], COLUMN(IF(VLOOKUP($D$2,'Reading Report Logic'!$A$2:$B$8,2,FALSE)=1, YES_Reading_ELA[Reading Level June of Previous School Year],INDIRECT("YES_Reading_ELA[Instructional Reading Level - Per "&amp;(VLOOKUP($D$2,'Reading Report Logic'!$A$2:$B$8,2,FALSE)-1)&amp;"]"))), FALSE)),
IF($J$2="FLA",
IF(VLOOKUP($A34, YES_Reading_FLA[], COLUMN(IF(VLOOKUP($D$2,'Reading Report Logic'!$A$2:$B$8,2,FALSE)=1, YES_Reading_FLA[Reading Level June of Previous School Year],INDIRECT("YES_Reading_FLA[Instructional Reading Level - Per "&amp;(VLOOKUP($D$2,'Reading Report Logic'!$A$2:$B$8,2,FALSE)-1)&amp;"]"))),FALSE)="","",
VLOOKUP($A34,YES_Reading_FLA[], COLUMN(IF(VLOOKUP($D$2,'Reading Report Logic'!$A$2:$B$8,2,FALSE)=1, YES_Reading_FLA[Reading Level June of Previous School Year],INDIRECT("YES_Reading_FLA[Instructional Reading Level - Per "&amp;(VLOOKUP($D$2,'Reading Report Logic'!$A$2:$B$8,2,FALSE)-1)&amp;"]"))),FALSE)),
IF($J$2="Combined",
IFERROR(
IF(VLOOKUP($A34, YES_Reading_ELA[], COLUMN(IF(VLOOKUP($D$2,'Reading Report Logic'!$A$2:$B$8,2,FALSE)=1, YES_Reading_ELA[Reading Level June of Previous School Year],INDIRECT("YES_Reading_ELA[Instructional Reading Level - Per "&amp;(VLOOKUP($D$2,'Reading Report Logic'!$A$2:$B$8,2,FALSE)-1)&amp;"]"))), FALSE)="", "",
VLOOKUP($A34,YES_Reading_ELA[],COLUMN(IF(VLOOKUP($D$2,'Reading Report Logic'!$A$2:$B$8,2,FALSE)=1, YES_Reading_ELA[Reading Level June of Previous School Year],INDIRECT("YES_Reading_ELA[Instructional Reading Level - Per "&amp;(VLOOKUP($D$2,'Reading Report Logic'!$A$2:$B$8,2,FALSE)-1)&amp;"]"))),FALSE)),
IF(VLOOKUP($A34, YES_Reading_FLA[], COLUMN(IF(VLOOKUP($D$2,'Reading Report Logic'!$A$2:$B$8,2,FALSE)=1, YES_Reading_FLA[Reading Level June of Previous School Year],INDIRECT("YES_Reading_FLA[Instructional Reading Level - Per "&amp;(VLOOKUP($D$2,'Reading Report Logic'!$A$2:$B$8,2,FALSE)-1)&amp;"]"))),FALSE)="", "", VLOOKUP($A34,YES_Reading_FLA[],COLUMN(IF(VLOOKUP($D$2,'Reading Report Logic'!$A$2:$B$8,2,FALSE)=1, YES_Reading_FLA[Reading Level June of Previous School Year],INDIRECT("YES_Reading_FLA[Instructional Reading Level - Per "&amp;(VLOOKUP($D$2,'Reading Report Logic'!$A$2:$B$8,2,FALSE)-1)&amp;"]"))), FALSE))),""))),"")</f>
        <v/>
      </c>
      <c r="D34" s="250" t="str" cm="1">
        <f t="array" aca="1" ref="D34" ca="1">IFERROR(
IF($J$2="ELA",
IF(VLOOKUP($A34, YES_Reading_ELA[], COLUMN(INDIRECT("YES_Reading_ELA[Instructional Reading Level - Per "&amp;VLOOKUP($D$2, 'Reading Report Logic'!$A$2:$B$8, 2, FALSE)&amp;"]")), FALSE)="", "",
VLOOKUP($A34,YES_Reading_ELA[], COLUMN(INDIRECT("YES_Reading_ELA[Instructional Reading Level - Per "&amp;VLOOKUP($D$2,'Reading Report Logic'!$A$2:$B$8,2,FALSE)&amp;"]")), FALSE)),
IF($J$2="FLA",
IF(VLOOKUP($A34, YES_Reading_FLA[], COLUMN(INDIRECT("YES_Reading_FLA[Instructional Reading Level - Per "&amp;VLOOKUP($D$2,'Reading Report Logic'!$A$2:$B$8,2,FALSE)&amp;"]")),FALSE)="","",
VLOOKUP($A34,YES_Reading_FLA[],COLUMN(INDIRECT("YES_Reading_FLA[Instructional Reading Level - Per "&amp;VLOOKUP($D$2,'Reading Report Logic'!$A$2:$B$8,2,FALSE)&amp;"]")),FALSE)),
IF($J$2="Combined",
IFERROR(
IF(VLOOKUP($A34, YES_Reading_ELA[], COLUMN(INDIRECT("YES_Reading_ELA[Instructional Reading Level - Per "&amp;VLOOKUP($D$2, 'Reading Report Logic'!$A$2:$B$8,2,FALSE)&amp;"]")), FALSE)="", "",
VLOOKUP($A34,YES_Reading_ELA[],COLUMN(INDIRECT("YES_Reading_ELA[Instructional Reading Level - Per "&amp;VLOOKUP($D$2,'Reading Report Logic'!$A$2:$B$8,2,FALSE)&amp;"]")),FALSE)),
IF(VLOOKUP($A34, YES_Reading_FLA[], COLUMN(INDIRECT("YES_Reading_FLA[Instructional Reading Level - Per "&amp;VLOOKUP($D$2, 'Reading Report Logic'!$A$2:$B$8, 2, FALSE)&amp;"]")),FALSE)="", "", VLOOKUP($A34,YES_Reading_FLA[],COLUMN(INDIRECT("YES_Reading_FLA[Instructional Reading Level - Per "&amp;VLOOKUP($D$2, 'Reading Report Logic'!$A$2:$B$8, 2, FALSE)&amp;"]")),FALSE))),""))),"")</f>
        <v/>
      </c>
      <c r="E34" s="251" t="str" cm="1">
        <f t="array" aca="1" ref="E34" ca="1">IFERROR(
IF($J$2="ELA",
IF(VLOOKUP($A34, YES_Reading_ELA[], COLUMN(INDIRECT("YES_Reading_ELA[Min Expectation - Per "&amp;VLOOKUP($D$2, 'Reading Report Logic'!$A$2:$B$8, 2, FALSE)&amp;"]")), FALSE)="", "",
VLOOKUP($A34,YES_Reading_ELA[], COLUMN(INDIRECT("YES_Reading_ELA[Min Expectation - Per "&amp;VLOOKUP($D$2,'Reading Report Logic'!$A$2:$B$8,2,FALSE)&amp;"]")), FALSE)),
IF($J$2="FLA",
IF(VLOOKUP($A34, YES_Reading_FLA[], COLUMN(INDIRECT("YES_Reading_FLA[Min Expectation - Per "&amp;VLOOKUP($D$2,'Reading Report Logic'!$A$2:$B$8,2,FALSE)&amp;"]")),FALSE)="","",
VLOOKUP($A34,YES_Reading_FLA[],COLUMN(INDIRECT("YES_Reading_FLA[Min Expectation - Per "&amp;VLOOKUP($D$2,'Reading Report Logic'!$A$2:$B$8,2,FALSE)&amp;"]")),FALSE)),
IF($J$2="Combined",
IFERROR(
IF(VLOOKUP($A34, YES_Reading_ELA[], COLUMN(INDIRECT("YES_Reading_ELA[Min Expectation - Per "&amp;VLOOKUP($D$2, 'Reading Report Logic'!$A$2:$B$8,2,FALSE)&amp;"]")), FALSE)="", "",
VLOOKUP($A34,YES_Reading_ELA[],COLUMN(INDIRECT("YES_Reading_ELA[Min Expectation - Per "&amp;VLOOKUP($D$2,'Reading Report Logic'!$A$2:$B$8,2,FALSE)&amp;"]")),FALSE)),
IF(VLOOKUP($A34, YES_Reading_FLA[], COLUMN(INDIRECT("YES_Reading_FLA[Min Expectation - Per "&amp;VLOOKUP($D$2, 'Reading Report Logic'!$A$2:$B$8, 2, FALSE)&amp;"]")),FALSE)="", "", VLOOKUP($A34,YES_Reading_FLA[],COLUMN(INDIRECT("YES_Reading_FLA[Min Expectation - Per "&amp;VLOOKUP($D$2, 'Reading Report Logic'!$A$2:$B$8, 2, FALSE)&amp;"]")),FALSE))),""))),"")</f>
        <v/>
      </c>
      <c r="F34" s="251" t="str" cm="1">
        <f t="array" aca="1" ref="F34" ca="1">IFERROR(
IF($J$2="ELA",
IF(VLOOKUP($A34, YES_Reading_ELA[], COLUMN(INDIRECT("YES_Reading_ELA[Max Expectation - Per "&amp;VLOOKUP($D$2, 'Reading Report Logic'!$A$2:$B$8, 2, FALSE)&amp;"]")), FALSE)="", "",
VLOOKUP($A34,YES_Reading_ELA[], COLUMN(INDIRECT("YES_Reading_ELA[Max Expectation - Per "&amp;VLOOKUP($D$2,'Reading Report Logic'!$A$2:$B$8,2,FALSE)&amp;"]")), FALSE)),
IF($J$2="FLA",
IF(VLOOKUP($A34, YES_Reading_FLA[], COLUMN(INDIRECT("YES_Reading_FLA[Max Expectation - Per "&amp;VLOOKUP($D$2,'Reading Report Logic'!$A$2:$B$8,2,FALSE)&amp;"]")),FALSE)="","",
VLOOKUP($A34,YES_Reading_FLA[],COLUMN(INDIRECT("YES_Reading_FLA[Max Expectation - Per "&amp;VLOOKUP($D$2,'Reading Report Logic'!$A$2:$B$8,2,FALSE)&amp;"]")),FALSE)),
IF($J$2="Combined",
IFERROR(
IF(VLOOKUP($A34, YES_Reading_ELA[], COLUMN(INDIRECT("YES_Reading_ELA[Max Expectation - Per "&amp;VLOOKUP($D$2, 'Reading Report Logic'!$A$2:$B$8,2,FALSE)&amp;"]")), FALSE)="", "",
VLOOKUP($A34,YES_Reading_ELA[],COLUMN(INDIRECT("YES_Reading_ELA[Max Expectation - Per "&amp;VLOOKUP($D$2,'Reading Report Logic'!$A$2:$B$8,2,FALSE)&amp;"]")),FALSE)),
IF(VLOOKUP($A34, YES_Reading_FLA[], COLUMN(INDIRECT("YES_Reading_FLA[Max Expectation - Per "&amp;VLOOKUP($D$2, 'Reading Report Logic'!$A$2:$B$8, 2, FALSE)&amp;"]")),FALSE)="", "", VLOOKUP($A34,YES_Reading_FLA[],COLUMN(INDIRECT("YES_Reading_FLA[Max Expectation - Per "&amp;VLOOKUP($D$2, 'Reading Report Logic'!$A$2:$B$8, 2, FALSE)&amp;"]")),FALSE))),""))),"")</f>
        <v/>
      </c>
      <c r="G34" s="251" t="str" cm="1">
        <f t="array" aca="1" ref="G34" ca="1">IFERROR(
IF($J$2="ELA",
IF(VLOOKUP($A34, YES_Reading_ELA[], COLUMN(INDIRECT("YES_Reading_ELA[Difference - Per "&amp;VLOOKUP($D$2, 'Reading Report Logic'!$A$2:$B$8, 2, FALSE)&amp;"]")), FALSE)="", "",
VLOOKUP($A34,YES_Reading_ELA[], COLUMN(INDIRECT("YES_Reading_ELA[Difference - Per "&amp;VLOOKUP($D$2,'Reading Report Logic'!$A$2:$B$8,2,FALSE)&amp;"]")), FALSE)),
IF($J$2="FLA",
IF(VLOOKUP($A34, YES_Reading_FLA[], COLUMN(INDIRECT("YES_Reading_FLA[Difference - Per "&amp;VLOOKUP($D$2,'Reading Report Logic'!$A$2:$B$8,2,FALSE)&amp;"]")),FALSE)="","",
VLOOKUP($A34,YES_Reading_FLA[],COLUMN(INDIRECT("YES_Reading_FLA[Difference - Per "&amp;VLOOKUP($D$2,'Reading Report Logic'!$A$2:$B$8,2,FALSE)&amp;"]")),FALSE)),
IF($J$2="Combined",
IFERROR(
IF(VLOOKUP($A34, YES_Reading_ELA[], COLUMN(INDIRECT("YES_Reading_ELA[Difference - Per "&amp;VLOOKUP($D$2, 'Reading Report Logic'!$A$2:$B$8,2,FALSE)&amp;"]")), FALSE)="", "",
VLOOKUP($A34,YES_Reading_ELA[],COLUMN(INDIRECT("YES_Reading_ELA[Difference - Per "&amp;VLOOKUP($D$2,'Reading Report Logic'!$A$2:$B$8,2,FALSE)&amp;"]")),FALSE)),
IF(VLOOKUP($A34, YES_Reading_FLA[], COLUMN(INDIRECT("YES_Reading_FLA[Difference - Per "&amp;VLOOKUP($D$2, 'Reading Report Logic'!$A$2:$B$8, 2, FALSE)&amp;"]")),FALSE)="", "", VLOOKUP($A34,YES_Reading_FLA[],COLUMN(INDIRECT("YES_Reading_FLA[Difference - Per "&amp;VLOOKUP($D$2, 'Reading Report Logic'!$A$2:$B$8, 2, FALSE)&amp;"]")),FALSE))),""))),"")</f>
        <v/>
      </c>
      <c r="H34" s="252" t="str">
        <f ca="1">IFERROR(VLOOKUP('Teacher Reading Pull Sheets'!$D34,_xlfn.VSTACK('ELA Reading Logic'!$A$22:$B$48,'FLA Reading Logic'!$A$22:$B$53),2,FALSE)-VLOOKUP('Teacher Reading Pull Sheets'!$C34,_xlfn.VSTACK('ELA Reading Logic'!$A$22:$B$48,'FLA Reading Logic'!$A$22:$B$53),2,FALSE),"")</f>
        <v/>
      </c>
      <c r="I34" s="253"/>
      <c r="J34" s="252"/>
      <c r="K34" s="197" t="str" cm="1">
        <f t="array" ref="K34">IFERROR(
IF($J$2="ELA",
IF(VLOOKUP($A34, YES_Reading_ELA[], COLUMN(YES_Reading_ELA[Self-Identified as African Descent]), FALSE)="", "",
VLOOKUP($A34,YES_Reading_ELA[], COLUMN(YES_Reading_ELA[Self-Identified as African Descent]), FALSE)),
IF($J$2="FLA",
IF(VLOOKUP($A34, YES_Reading_FLA[], COLUMN(YES_Reading_FLA[Self-Identified as African Descent]),FALSE)="","",
VLOOKUP($A34,YES_Reading_FLA[],COLUMN(YES_Reading_FLA[Self-Identified as African Descent]),FALSE)),
IF($J$2="Combined",
IFERROR(
IF(VLOOKUP($A34, YES_Reading_ELA[], COLUMN(YES_Reading_ELA[Self-Identified as African Descent]), FALSE)="", "",
VLOOKUP($A34,YES_Reading_ELA[],COLUMN(YES_Reading_ELA[Self-Identified as African Descent]),FALSE)),
IF(VLOOKUP($A34, YES_Reading_FLA[], COLUMN(YES_Reading_FLA[Self-Identified as African Descent]),FALSE)="", "", VLOOKUP($A34,YES_Reading_FLA[],COLUMN(YES_Reading_FLA[Self-Identified as African Descent]),FALSE))),""))),"")</f>
        <v/>
      </c>
      <c r="L34" s="73" t="str" cm="1">
        <f t="array" ref="L34">IFERROR(
IF($J$2="ELA",
IF(VLOOKUP($A34, YES_Reading_ELA[], COLUMN(YES_Reading_ELA[Self-Identified as Indigenous]), FALSE)="", "",
VLOOKUP($A34,YES_Reading_ELA[], COLUMN(YES_Reading_ELA[Self-Identified as Indigenous]), FALSE)),
IF($J$2="FLA",
IF(VLOOKUP($A34, YES_Reading_FLA[], COLUMN(YES_Reading_FLA[Self-Identified as Indigenous]),FALSE)="","",
VLOOKUP($A34,YES_Reading_FLA[],COLUMN(YES_Reading_FLA[Self-Identified as Indigenous]),FALSE)),
IF($J$2="Combined",
IFERROR(
IF(VLOOKUP($A34, YES_Reading_ELA[], COLUMN(YES_Reading_ELA[Self-Identified as Indigenous]), FALSE)="", "",
VLOOKUP($A34,YES_Reading_ELA[],COLUMN(YES_Reading_ELA[Self-Identified as Indigenous]),FALSE)),
IF(VLOOKUP($A34, YES_Reading_FLA[], COLUMN(YES_Reading_FLA[Self-Identified as Indigenous]),FALSE)="", "", VLOOKUP($A34,YES_Reading_FLA[],COLUMN(YES_Reading_FLA[Self-Identified as Indigenous]),FALSE))),""))),"")</f>
        <v/>
      </c>
    </row>
    <row r="35" spans="1:12" ht="19.5" customHeight="1" x14ac:dyDescent="0.25">
      <c r="A35" s="258"/>
      <c r="B35" s="259"/>
      <c r="C35" s="260"/>
      <c r="D35" s="260"/>
      <c r="E35" s="260"/>
      <c r="F35" s="260"/>
      <c r="G35" s="260"/>
      <c r="H35" s="260"/>
      <c r="I35" s="258"/>
      <c r="J35" s="260"/>
      <c r="K35" s="256"/>
      <c r="L35" s="254"/>
    </row>
    <row r="36" spans="1:12" ht="19.5" customHeight="1" thickBot="1" x14ac:dyDescent="0.3">
      <c r="A36" s="258"/>
      <c r="B36" s="259" t="str">
        <f>IFERROR(VLOOKUP(A36,_xlfn.VSTACK(YES_Reading_ELA[],YES_Reading_FLA[]),2,FALSE),"")</f>
        <v/>
      </c>
      <c r="C36" s="260" t="str" cm="1">
        <f t="array" aca="1" ref="C36" ca="1">IFERROR(
IF($J$2="ELA",
IF(VLOOKUP($A36, YES_Reading_ELA[], COLUMN(IF(VLOOKUP($D$2, 'Reading Report Logic'!$A$2:$B$8, 2, FALSE)=1, YES_Reading_ELA[Reading Level June of Previous School Year], INDIRECT("YES_Reading_ELA[Instructional Reading Level - Per "&amp;(VLOOKUP($D$2,'Reading Report Logic'!$A$2:$B$8,2,FALSE)-1)&amp;"]"))), FALSE)="", "",
VLOOKUP($A36,YES_Reading_ELA[], COLUMN(IF(VLOOKUP($D$2,'Reading Report Logic'!$A$2:$B$8,2,FALSE)=1, YES_Reading_ELA[Reading Level June of Previous School Year],INDIRECT("YES_Reading_ELA[Instructional Reading Level - Per "&amp;(VLOOKUP($D$2,'Reading Report Logic'!$A$2:$B$8,2,FALSE)-1)&amp;"]"))), FALSE)),
IF($J$2="FLA",
IF(VLOOKUP($A36, YES_Reading_FLA[], COLUMN(IF(VLOOKUP($D$2,'Reading Report Logic'!$A$2:$B$8,2,FALSE)=1, YES_Reading_FLA[Reading Level June of Previous School Year],INDIRECT("YES_Reading_FLA[Instructional Reading Level - Per "&amp;(VLOOKUP($D$2,'Reading Report Logic'!$A$2:$B$8,2,FALSE)-1)&amp;"]"))),FALSE)="","",
VLOOKUP($A36,YES_Reading_FLA[], COLUMN(IF(VLOOKUP($D$2,'Reading Report Logic'!$A$2:$B$8,2,FALSE)=1, YES_Reading_FLA[Reading Level June of Previous School Year],INDIRECT("YES_Reading_FLA[Instructional Reading Level - Per "&amp;(VLOOKUP($D$2,'Reading Report Logic'!$A$2:$B$8,2,FALSE)-1)&amp;"]"))),FALSE)),
IF($J$2="Combined",
IFERROR(
IF(VLOOKUP($A36, YES_Reading_ELA[], COLUMN(IF(VLOOKUP($D$2,'Reading Report Logic'!$A$2:$B$8,2,FALSE)=1, YES_Reading_ELA[Reading Level June of Previous School Year],INDIRECT("YES_Reading_ELA[Instructional Reading Level - Per "&amp;(VLOOKUP($D$2,'Reading Report Logic'!$A$2:$B$8,2,FALSE)-1)&amp;"]"))), FALSE)="", "",
VLOOKUP($A36,YES_Reading_ELA[],COLUMN(IF(VLOOKUP($D$2,'Reading Report Logic'!$A$2:$B$8,2,FALSE)=1, YES_Reading_ELA[Reading Level June of Previous School Year],INDIRECT("YES_Reading_ELA[Instructional Reading Level - Per "&amp;(VLOOKUP($D$2,'Reading Report Logic'!$A$2:$B$8,2,FALSE)-1)&amp;"]"))),FALSE)),
IF(VLOOKUP($A36, YES_Reading_FLA[], COLUMN(IF(VLOOKUP($D$2,'Reading Report Logic'!$A$2:$B$8,2,FALSE)=1, YES_Reading_FLA[Reading Level June of Previous School Year],INDIRECT("YES_Reading_FLA[Instructional Reading Level - Per "&amp;(VLOOKUP($D$2,'Reading Report Logic'!$A$2:$B$8,2,FALSE)-1)&amp;"]"))),FALSE)="", "", VLOOKUP($A36,YES_Reading_FLA[],COLUMN(IF(VLOOKUP($D$2,'Reading Report Logic'!$A$2:$B$8,2,FALSE)=1, YES_Reading_FLA[Reading Level June of Previous School Year],INDIRECT("YES_Reading_FLA[Instructional Reading Level - Per "&amp;(VLOOKUP($D$2,'Reading Report Logic'!$A$2:$B$8,2,FALSE)-1)&amp;"]"))), FALSE))),""))),"")</f>
        <v/>
      </c>
      <c r="D36" s="260" t="str" cm="1">
        <f t="array" aca="1" ref="D36" ca="1">IFERROR(
IF($J$2="ELA",
IF(VLOOKUP($A36, YES_Reading_ELA[], COLUMN(INDIRECT("YES_Reading_ELA[Instructional Reading Level - Per "&amp;VLOOKUP($D$2, 'Reading Report Logic'!$A$2:$B$8, 2, FALSE)&amp;"]")), FALSE)="", "",
VLOOKUP($A36,YES_Reading_ELA[], COLUMN(INDIRECT("YES_Reading_ELA[Instructional Reading Level - Per "&amp;VLOOKUP($D$2,'Reading Report Logic'!$A$2:$B$8,2,FALSE)&amp;"]")), FALSE)),
IF($J$2="FLA",
IF(VLOOKUP($A36, YES_Reading_FLA[], COLUMN(INDIRECT("YES_Reading_FLA[Instructional Reading Level - Per "&amp;VLOOKUP($D$2,'Reading Report Logic'!$A$2:$B$8,2,FALSE)&amp;"]")),FALSE)="","",
VLOOKUP($A36,YES_Reading_FLA[],COLUMN(INDIRECT("YES_Reading_FLA[Instructional Reading Level - Per "&amp;VLOOKUP($D$2,'Reading Report Logic'!$A$2:$B$8,2,FALSE)&amp;"]")),FALSE)),
IF($J$2="Combined",
IFERROR(
IF(VLOOKUP($A36, YES_Reading_ELA[], COLUMN(INDIRECT("YES_Reading_ELA[Instructional Reading Level - Per "&amp;VLOOKUP($D$2, 'Reading Report Logic'!$A$2:$B$8,2,FALSE)&amp;"]")), FALSE)="", "",
VLOOKUP($A36,YES_Reading_ELA[],COLUMN(INDIRECT("YES_Reading_ELA[Instructional Reading Level - Per "&amp;VLOOKUP($D$2,'Reading Report Logic'!$A$2:$B$8,2,FALSE)&amp;"]")),FALSE)),
IF(VLOOKUP($A36, YES_Reading_FLA[], COLUMN(INDIRECT("YES_Reading_FLA[Instructional Reading Level - Per "&amp;VLOOKUP($D$2, 'Reading Report Logic'!$A$2:$B$8, 2, FALSE)&amp;"]")),FALSE)="", "", VLOOKUP($A36,YES_Reading_FLA[],COLUMN(INDIRECT("YES_Reading_FLA[Instructional Reading Level - Per "&amp;VLOOKUP($D$2, 'Reading Report Logic'!$A$2:$B$8, 2, FALSE)&amp;"]")),FALSE))),""))),"")</f>
        <v/>
      </c>
      <c r="E36" s="260" t="str" cm="1">
        <f t="array" aca="1" ref="E36" ca="1">IFERROR(
IF($J$2="ELA",
IF(VLOOKUP($A36, YES_Reading_ELA[], COLUMN(INDIRECT("YES_Reading_ELA[Min Expectation - Per "&amp;VLOOKUP($D$2, 'Reading Report Logic'!$A$2:$B$8, 2, FALSE)&amp;"]")), FALSE)="", "",
VLOOKUP($A36,YES_Reading_ELA[], COLUMN(INDIRECT("YES_Reading_ELA[Min Expectation - Per "&amp;VLOOKUP($D$2,'Reading Report Logic'!$A$2:$B$8,2,FALSE)&amp;"]")), FALSE)),
IF($J$2="FLA",
IF(VLOOKUP($A36, YES_Reading_FLA[], COLUMN(INDIRECT("YES_Reading_FLA[Min Expectation - Per "&amp;VLOOKUP($D$2,'Reading Report Logic'!$A$2:$B$8,2,FALSE)&amp;"]")),FALSE)="","",
VLOOKUP($A36,YES_Reading_FLA[],COLUMN(INDIRECT("YES_Reading_FLA[Min Expectation - Per "&amp;VLOOKUP($D$2,'Reading Report Logic'!$A$2:$B$8,2,FALSE)&amp;"]")),FALSE)),
IF($J$2="Combined",
IFERROR(
IF(VLOOKUP($A36, YES_Reading_ELA[], COLUMN(INDIRECT("YES_Reading_ELA[Min Expectation - Per "&amp;VLOOKUP($D$2, 'Reading Report Logic'!$A$2:$B$8,2,FALSE)&amp;"]")), FALSE)="", "",
VLOOKUP($A36,YES_Reading_ELA[],COLUMN(INDIRECT("YES_Reading_ELA[Min Expectation - Per "&amp;VLOOKUP($D$2,'Reading Report Logic'!$A$2:$B$8,2,FALSE)&amp;"]")),FALSE)),
IF(VLOOKUP($A36, YES_Reading_FLA[], COLUMN(INDIRECT("YES_Reading_FLA[Min Expectation - Per "&amp;VLOOKUP($D$2, 'Reading Report Logic'!$A$2:$B$8, 2, FALSE)&amp;"]")),FALSE)="", "", VLOOKUP($A36,YES_Reading_FLA[],COLUMN(INDIRECT("YES_Reading_FLA[Min Expectation - Per "&amp;VLOOKUP($D$2, 'Reading Report Logic'!$A$2:$B$8, 2, FALSE)&amp;"]")),FALSE))),""))),"")</f>
        <v/>
      </c>
      <c r="F36" s="260" t="str" cm="1">
        <f t="array" aca="1" ref="F36" ca="1">IFERROR(
IF($J$2="ELA",
IF(VLOOKUP($A36, YES_Reading_ELA[], COLUMN(INDIRECT("YES_Reading_ELA[Max Expectation - Per "&amp;VLOOKUP($D$2, 'Reading Report Logic'!$A$2:$B$8, 2, FALSE)&amp;"]")), FALSE)="", "",
VLOOKUP($A36,YES_Reading_ELA[], COLUMN(INDIRECT("YES_Reading_ELA[Max Expectation - Per "&amp;VLOOKUP($D$2,'Reading Report Logic'!$A$2:$B$8,2,FALSE)&amp;"]")), FALSE)),
IF($J$2="FLA",
IF(VLOOKUP($A36, YES_Reading_FLA[], COLUMN(INDIRECT("YES_Reading_FLA[Max Expectation - Per "&amp;VLOOKUP($D$2,'Reading Report Logic'!$A$2:$B$8,2,FALSE)&amp;"]")),FALSE)="","",
VLOOKUP($A36,YES_Reading_FLA[],COLUMN(INDIRECT("YES_Reading_FLA[Max Expectation - Per "&amp;VLOOKUP($D$2,'Reading Report Logic'!$A$2:$B$8,2,FALSE)&amp;"]")),FALSE)),
IF($J$2="Combined",
IFERROR(
IF(VLOOKUP($A36, YES_Reading_ELA[], COLUMN(INDIRECT("YES_Reading_ELA[Max Expectation - Per "&amp;VLOOKUP($D$2, 'Reading Report Logic'!$A$2:$B$8,2,FALSE)&amp;"]")), FALSE)="", "",
VLOOKUP($A36,YES_Reading_ELA[],COLUMN(INDIRECT("YES_Reading_ELA[Max Expectation - Per "&amp;VLOOKUP($D$2,'Reading Report Logic'!$A$2:$B$8,2,FALSE)&amp;"]")),FALSE)),
IF(VLOOKUP($A36, YES_Reading_FLA[], COLUMN(INDIRECT("YES_Reading_FLA[Max Expectation - Per "&amp;VLOOKUP($D$2, 'Reading Report Logic'!$A$2:$B$8, 2, FALSE)&amp;"]")),FALSE)="", "", VLOOKUP($A36,YES_Reading_FLA[],COLUMN(INDIRECT("YES_Reading_FLA[Max Expectation - Per "&amp;VLOOKUP($D$2, 'Reading Report Logic'!$A$2:$B$8, 2, FALSE)&amp;"]")),FALSE))),""))),"")</f>
        <v/>
      </c>
      <c r="G36" s="260" t="str" cm="1">
        <f t="array" aca="1" ref="G36" ca="1">IFERROR(
IF($J$2="ELA",
IF(VLOOKUP($A36, YES_Reading_ELA[], COLUMN(INDIRECT("YES_Reading_ELA[Difference - Per "&amp;VLOOKUP($D$2, 'Reading Report Logic'!$A$2:$B$8, 2, FALSE)&amp;"]")), FALSE)="", "",
VLOOKUP($A36,YES_Reading_ELA[], COLUMN(INDIRECT("YES_Reading_ELA[Difference - Per "&amp;VLOOKUP($D$2,'Reading Report Logic'!$A$2:$B$8,2,FALSE)&amp;"]")), FALSE)),
IF($J$2="FLA",
IF(VLOOKUP($A36, YES_Reading_FLA[], COLUMN(INDIRECT("YES_Reading_FLA[Difference - Per "&amp;VLOOKUP($D$2,'Reading Report Logic'!$A$2:$B$8,2,FALSE)&amp;"]")),FALSE)="","",
VLOOKUP($A36,YES_Reading_FLA[],COLUMN(INDIRECT("YES_Reading_FLA[Difference - Per "&amp;VLOOKUP($D$2,'Reading Report Logic'!$A$2:$B$8,2,FALSE)&amp;"]")),FALSE)),
IF($J$2="Combined",
IFERROR(
IF(VLOOKUP($A36, YES_Reading_ELA[], COLUMN(INDIRECT("YES_Reading_ELA[Difference - Per "&amp;VLOOKUP($D$2, 'Reading Report Logic'!$A$2:$B$8,2,FALSE)&amp;"]")), FALSE)="", "",
VLOOKUP($A36,YES_Reading_ELA[],COLUMN(INDIRECT("YES_Reading_ELA[Difference - Per "&amp;VLOOKUP($D$2,'Reading Report Logic'!$A$2:$B$8,2,FALSE)&amp;"]")),FALSE)),
IF(VLOOKUP($A36, YES_Reading_FLA[], COLUMN(INDIRECT("YES_Reading_FLA[Difference - Per "&amp;VLOOKUP($D$2, 'Reading Report Logic'!$A$2:$B$8, 2, FALSE)&amp;"]")),FALSE)="", "", VLOOKUP($A36,YES_Reading_FLA[],COLUMN(INDIRECT("YES_Reading_FLA[Difference - Per "&amp;VLOOKUP($D$2, 'Reading Report Logic'!$A$2:$B$8, 2, FALSE)&amp;"]")),FALSE))),""))),"")</f>
        <v/>
      </c>
      <c r="H36" s="260" t="str">
        <f ca="1">IFERROR(VLOOKUP('Teacher Reading Pull Sheets'!$D36,_xlfn.VSTACK('ELA Reading Logic'!$A$22:$B$48,'FLA Reading Logic'!$A$22:$B$53),2,FALSE)-VLOOKUP('Teacher Reading Pull Sheets'!$C36,_xlfn.VSTACK('ELA Reading Logic'!$A$22:$B$48,'FLA Reading Logic'!$A$22:$B$53),2,FALSE),"")</f>
        <v/>
      </c>
      <c r="I36" s="258"/>
      <c r="J36" s="260"/>
      <c r="K36" s="257" t="str" cm="1">
        <f t="array" ref="K36">IFERROR(
IF($J$2="ELA",
IF(VLOOKUP($A36, YES_Reading_ELA[], COLUMN(YES_Reading_ELA[Self-Identified as African Descent]), FALSE)="", "",
VLOOKUP($A36,YES_Reading_ELA[], COLUMN(YES_Reading_ELA[Self-Identified as African Descent]), FALSE)),
IF($J$2="FLA",
IF(VLOOKUP($A36, YES_Reading_FLA[], COLUMN(YES_Reading_FLA[Self-Identified as African Descent]),FALSE)="","",
VLOOKUP($A36,YES_Reading_FLA[],COLUMN(YES_Reading_FLA[Self-Identified as African Descent]),FALSE)),
IF($J$2="Combined",
IFERROR(
IF(VLOOKUP($A36, YES_Reading_ELA[], COLUMN(YES_Reading_ELA[Self-Identified as African Descent]), FALSE)="", "",
VLOOKUP($A36,YES_Reading_ELA[],COLUMN(YES_Reading_ELA[Self-Identified as African Descent]),FALSE)),
IF(VLOOKUP($A36, YES_Reading_FLA[], COLUMN(YES_Reading_FLA[Self-Identified as African Descent]),FALSE)="", "", VLOOKUP($A36,YES_Reading_FLA[],COLUMN(YES_Reading_FLA[Self-Identified as African Descent]),FALSE))),""))),"")</f>
        <v/>
      </c>
      <c r="L36" s="74" t="str" cm="1">
        <f t="array" ref="L36">IFERROR(
IF($J$2="ELA",
IF(VLOOKUP($A36, YES_Reading_ELA[], COLUMN(YES_Reading_ELA[Self-Identified as Indigenous]), FALSE)="", "",
VLOOKUP($A36,YES_Reading_ELA[], COLUMN(YES_Reading_ELA[Self-Identified as Indigenous]), FALSE)),
IF($J$2="FLA",
IF(VLOOKUP($A36, YES_Reading_FLA[], COLUMN(YES_Reading_FLA[Self-Identified as Indigenous]),FALSE)="","",
VLOOKUP($A36,YES_Reading_FLA[],COLUMN(YES_Reading_FLA[Self-Identified as Indigenous]),FALSE)),
IF($J$2="Combined",
IFERROR(
IF(VLOOKUP($A36, YES_Reading_ELA[], COLUMN(YES_Reading_ELA[Self-Identified as Indigenous]), FALSE)="", "",
VLOOKUP($A36,YES_Reading_ELA[],COLUMN(YES_Reading_ELA[Self-Identified as Indigenous]),FALSE)),
IF(VLOOKUP($A36, YES_Reading_FLA[], COLUMN(YES_Reading_FLA[Self-Identified as Indigenous]),FALSE)="", "", VLOOKUP($A36,YES_Reading_FLA[],COLUMN(YES_Reading_FLA[Self-Identified as Indigenous]),FALSE))),""))),"")</f>
        <v/>
      </c>
    </row>
    <row r="37" spans="1:12" x14ac:dyDescent="0.25">
      <c r="A37" s="214"/>
      <c r="B37" s="214" t="s">
        <v>241</v>
      </c>
      <c r="C37" s="214"/>
      <c r="D37" s="215" t="str" cm="1">
        <f t="array" ref="D37">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Set")))=$D$1)),1,1,FALSE),FALSE,FALSE),2),"")</f>
        <v/>
      </c>
      <c r="E37" s="215"/>
      <c r="F37" s="215"/>
      <c r="G37" s="215"/>
      <c r="H37" s="361" t="s">
        <v>242</v>
      </c>
      <c r="I37" s="362"/>
      <c r="J37" s="215"/>
    </row>
    <row r="38" spans="1:12" x14ac:dyDescent="0.25">
      <c r="A38" s="214"/>
      <c r="B38" s="214" t="str">
        <f>"Date: "&amp;$D$3</f>
        <v xml:space="preserve">Date: </v>
      </c>
      <c r="C38" s="214"/>
      <c r="D38" s="215"/>
      <c r="E38" s="215"/>
      <c r="F38" s="215"/>
      <c r="G38" s="215"/>
      <c r="H38" s="357" t="s">
        <v>243</v>
      </c>
      <c r="I38" s="358"/>
      <c r="J38" s="215"/>
    </row>
    <row r="39" spans="1:12" ht="15.75" thickBot="1" x14ac:dyDescent="0.3">
      <c r="A39" s="215"/>
      <c r="B39" s="215"/>
      <c r="C39" s="215"/>
      <c r="D39" s="215"/>
      <c r="E39" s="215"/>
      <c r="F39" s="215"/>
      <c r="G39" s="215"/>
      <c r="H39" s="353" t="s">
        <v>244</v>
      </c>
      <c r="I39" s="354"/>
      <c r="J39" s="215"/>
    </row>
    <row r="40" spans="1:12" ht="85.5" customHeight="1" thickBot="1" x14ac:dyDescent="0.3">
      <c r="A40" s="192" t="s">
        <v>44</v>
      </c>
      <c r="B40" s="187" t="s">
        <v>245</v>
      </c>
      <c r="C40" s="188" t="s">
        <v>246</v>
      </c>
      <c r="D40" s="188" t="s">
        <v>247</v>
      </c>
      <c r="E40" s="188" t="s">
        <v>248</v>
      </c>
      <c r="F40" s="188" t="s">
        <v>249</v>
      </c>
      <c r="G40" s="188" t="s">
        <v>250</v>
      </c>
      <c r="H40" s="189" t="s">
        <v>251</v>
      </c>
      <c r="I40" s="190" t="s">
        <v>252</v>
      </c>
      <c r="J40" s="191" t="s">
        <v>253</v>
      </c>
      <c r="K40" s="200" t="s">
        <v>256</v>
      </c>
      <c r="L40" s="201" t="s">
        <v>257</v>
      </c>
    </row>
    <row r="41" spans="1:12" ht="19.5" customHeight="1" x14ac:dyDescent="0.25">
      <c r="A41" s="216" t="e" cm="1" vm="1">
        <f t="array" aca="1" ref="A41" ca="1">_xlfn._xlws.FILTER(_xlfn.VSTACK(YES_Reading_ELA[Student Number],YES_Reading_FLA[Student Number]),_xlfn.VSTACK(YES_Reading_ELA[HomeRoom],YES_Reading_FLA[Homeroom])=D37)</f>
        <v>#VALUE!</v>
      </c>
      <c r="B41" s="219"/>
      <c r="C41" s="203"/>
      <c r="D41" s="204"/>
      <c r="E41" s="205"/>
      <c r="F41" s="205"/>
      <c r="G41" s="205"/>
      <c r="H41" s="206"/>
      <c r="I41" s="227"/>
      <c r="J41" s="206"/>
      <c r="K41" s="24" t="str" cm="1">
        <f t="array" aca="1" ref="K41" ca="1">IFERROR(
IF($J$2="ELA",
IF(VLOOKUP($A41, YES_Reading_ELA[], COLUMN(YES_Reading_ELA[Self-Identified as African Descent]), FALSE)="", "",
VLOOKUP($A41,YES_Reading_ELA[], COLUMN(YES_Reading_ELA[Self-Identified as African Descent]), FALSE)),
IF($J$2="FLA",
IF(VLOOKUP($A41, YES_Reading_FLA[], COLUMN(YES_Reading_FLA[Self-Identified as African Descent]),FALSE)="","",
VLOOKUP($A41,YES_Reading_FLA[],COLUMN(YES_Reading_FLA[Self-Identified as African Descent]),FALSE)),
IF($J$2="Combined",
IFERROR(
IF(VLOOKUP($A41, YES_Reading_ELA[], COLUMN(YES_Reading_ELA[Self-Identified as African Descent]), FALSE)="", "",
VLOOKUP($A41,YES_Reading_ELA[],COLUMN(YES_Reading_ELA[Self-Identified as African Descent]),FALSE)),
IF(VLOOKUP($A41, YES_Reading_FLA[], COLUMN(YES_Reading_FLA[Self-Identified as African Descent]),FALSE)="", "", VLOOKUP($A41,YES_Reading_FLA[],COLUMN(YES_Reading_FLA[Self-Identified as African Descent]),FALSE))),""))),"")</f>
        <v/>
      </c>
      <c r="L41" s="199" t="str" cm="1">
        <f t="array" aca="1" ref="L41" ca="1">IFERROR(
IF($J$2="ELA",
IF(VLOOKUP($A41, YES_Reading_ELA[], COLUMN(YES_Reading_ELA[Self-Identified as Indigenous]), FALSE)="", "",
VLOOKUP($A41,YES_Reading_ELA[], COLUMN(YES_Reading_ELA[Self-Identified as Indigenous]), FALSE)),
IF($J$2="FLA",
IF(VLOOKUP($A41, YES_Reading_FLA[], COLUMN(YES_Reading_FLA[Self-Identified as Indigenous]),FALSE)="","",
VLOOKUP($A41,YES_Reading_FLA[],COLUMN(YES_Reading_FLA[Self-Identified as Indigenous]),FALSE)),
IF($J$2="Combined",
IFERROR(
IF(VLOOKUP($A41, YES_Reading_ELA[], COLUMN(YES_Reading_ELA[Self-Identified as Indigenous]), FALSE)="", "",
VLOOKUP($A41,YES_Reading_ELA[],COLUMN(YES_Reading_ELA[Self-Identified as Indigenous]),FALSE)),
IF(VLOOKUP($A41, YES_Reading_FLA[], COLUMN(YES_Reading_FLA[Self-Identified as Indigenous]),FALSE)="", "", VLOOKUP($A41,YES_Reading_FLA[],COLUMN(YES_Reading_FLA[Self-Identified as Indigenous]),FALSE))),""))),"")</f>
        <v/>
      </c>
    </row>
    <row r="42" spans="1:12" ht="19.5" customHeight="1" x14ac:dyDescent="0.25">
      <c r="A42" s="217"/>
      <c r="B42" s="220"/>
      <c r="C42" s="203"/>
      <c r="D42" s="204"/>
      <c r="E42" s="205"/>
      <c r="F42" s="205"/>
      <c r="G42" s="205"/>
      <c r="H42" s="206"/>
      <c r="I42" s="212"/>
      <c r="J42" s="206"/>
      <c r="K42" s="197" t="str" cm="1">
        <f t="array" ref="K42">IFERROR(
IF($J$2="ELA",
IF(VLOOKUP($A42, YES_Reading_ELA[], COLUMN(YES_Reading_ELA[Self-Identified as African Descent]), FALSE)="", "",
VLOOKUP($A42,YES_Reading_ELA[], COLUMN(YES_Reading_ELA[Self-Identified as African Descent]), FALSE)),
IF($J$2="FLA",
IF(VLOOKUP($A42, YES_Reading_FLA[], COLUMN(YES_Reading_FLA[Self-Identified as African Descent]),FALSE)="","",
VLOOKUP($A42,YES_Reading_FLA[],COLUMN(YES_Reading_FLA[Self-Identified as African Descent]),FALSE)),
IF($J$2="Combined",
IFERROR(
IF(VLOOKUP($A42, YES_Reading_ELA[], COLUMN(YES_Reading_ELA[Self-Identified as African Descent]), FALSE)="", "",
VLOOKUP($A42,YES_Reading_ELA[],COLUMN(YES_Reading_ELA[Self-Identified as African Descent]),FALSE)),
IF(VLOOKUP($A42, YES_Reading_FLA[], COLUMN(YES_Reading_FLA[Self-Identified as African Descent]),FALSE)="", "", VLOOKUP($A42,YES_Reading_FLA[],COLUMN(YES_Reading_FLA[Self-Identified as African Descent]),FALSE))),""))),"")</f>
        <v/>
      </c>
      <c r="L42" s="73" t="str" cm="1">
        <f t="array" ref="L42">IFERROR(
IF($J$2="ELA",
IF(VLOOKUP($A42, YES_Reading_ELA[], COLUMN(YES_Reading_ELA[Self-Identified as Indigenous]), FALSE)="", "",
VLOOKUP($A42,YES_Reading_ELA[], COLUMN(YES_Reading_ELA[Self-Identified as Indigenous]), FALSE)),
IF($J$2="FLA",
IF(VLOOKUP($A42, YES_Reading_FLA[], COLUMN(YES_Reading_FLA[Self-Identified as Indigenous]),FALSE)="","",
VLOOKUP($A42,YES_Reading_FLA[],COLUMN(YES_Reading_FLA[Self-Identified as Indigenous]),FALSE)),
IF($J$2="Combined",
IFERROR(
IF(VLOOKUP($A42, YES_Reading_ELA[], COLUMN(YES_Reading_ELA[Self-Identified as Indigenous]), FALSE)="", "",
VLOOKUP($A42,YES_Reading_ELA[],COLUMN(YES_Reading_ELA[Self-Identified as Indigenous]),FALSE)),
IF(VLOOKUP($A42, YES_Reading_FLA[], COLUMN(YES_Reading_FLA[Self-Identified as Indigenous]),FALSE)="", "", VLOOKUP($A42,YES_Reading_FLA[],COLUMN(YES_Reading_FLA[Self-Identified as Indigenous]),FALSE))),""))),"")</f>
        <v/>
      </c>
    </row>
    <row r="43" spans="1:12" ht="19.5" customHeight="1" x14ac:dyDescent="0.25">
      <c r="A43" s="217"/>
      <c r="B43" s="220"/>
      <c r="C43" s="203"/>
      <c r="D43" s="204"/>
      <c r="E43" s="205"/>
      <c r="F43" s="205"/>
      <c r="G43" s="205"/>
      <c r="H43" s="206"/>
      <c r="I43" s="212"/>
      <c r="J43" s="206"/>
      <c r="K43" s="197" t="str" cm="1">
        <f t="array" ref="K43">IFERROR(
IF($J$2="ELA",
IF(VLOOKUP($A43, YES_Reading_ELA[], COLUMN(YES_Reading_ELA[Self-Identified as African Descent]), FALSE)="", "",
VLOOKUP($A43,YES_Reading_ELA[], COLUMN(YES_Reading_ELA[Self-Identified as African Descent]), FALSE)),
IF($J$2="FLA",
IF(VLOOKUP($A43, YES_Reading_FLA[], COLUMN(YES_Reading_FLA[Self-Identified as African Descent]),FALSE)="","",
VLOOKUP($A43,YES_Reading_FLA[],COLUMN(YES_Reading_FLA[Self-Identified as African Descent]),FALSE)),
IF($J$2="Combined",
IFERROR(
IF(VLOOKUP($A43, YES_Reading_ELA[], COLUMN(YES_Reading_ELA[Self-Identified as African Descent]), FALSE)="", "",
VLOOKUP($A43,YES_Reading_ELA[],COLUMN(YES_Reading_ELA[Self-Identified as African Descent]),FALSE)),
IF(VLOOKUP($A43, YES_Reading_FLA[], COLUMN(YES_Reading_FLA[Self-Identified as African Descent]),FALSE)="", "", VLOOKUP($A43,YES_Reading_FLA[],COLUMN(YES_Reading_FLA[Self-Identified as African Descent]),FALSE))),""))),"")</f>
        <v/>
      </c>
      <c r="L43" s="73" t="str" cm="1">
        <f t="array" ref="L43">IFERROR(
IF($J$2="ELA",
IF(VLOOKUP($A43, YES_Reading_ELA[], COLUMN(YES_Reading_ELA[Self-Identified as Indigenous]), FALSE)="", "",
VLOOKUP($A43,YES_Reading_ELA[], COLUMN(YES_Reading_ELA[Self-Identified as Indigenous]), FALSE)),
IF($J$2="FLA",
IF(VLOOKUP($A43, YES_Reading_FLA[], COLUMN(YES_Reading_FLA[Self-Identified as Indigenous]),FALSE)="","",
VLOOKUP($A43,YES_Reading_FLA[],COLUMN(YES_Reading_FLA[Self-Identified as Indigenous]),FALSE)),
IF($J$2="Combined",
IFERROR(
IF(VLOOKUP($A43, YES_Reading_ELA[], COLUMN(YES_Reading_ELA[Self-Identified as Indigenous]), FALSE)="", "",
VLOOKUP($A43,YES_Reading_ELA[],COLUMN(YES_Reading_ELA[Self-Identified as Indigenous]),FALSE)),
IF(VLOOKUP($A43, YES_Reading_FLA[], COLUMN(YES_Reading_FLA[Self-Identified as Indigenous]),FALSE)="", "", VLOOKUP($A43,YES_Reading_FLA[],COLUMN(YES_Reading_FLA[Self-Identified as Indigenous]),FALSE))),""))),"")</f>
        <v/>
      </c>
    </row>
    <row r="44" spans="1:12" ht="19.5" customHeight="1" x14ac:dyDescent="0.25">
      <c r="A44" s="217"/>
      <c r="B44" s="220"/>
      <c r="C44" s="203"/>
      <c r="D44" s="204"/>
      <c r="E44" s="205"/>
      <c r="F44" s="205"/>
      <c r="G44" s="205"/>
      <c r="H44" s="206"/>
      <c r="I44" s="212"/>
      <c r="J44" s="206"/>
      <c r="K44" s="197" t="str" cm="1">
        <f t="array" ref="K44">IFERROR(
IF($J$2="ELA",
IF(VLOOKUP($A44, YES_Reading_ELA[], COLUMN(YES_Reading_ELA[Self-Identified as African Descent]), FALSE)="", "",
VLOOKUP($A44,YES_Reading_ELA[], COLUMN(YES_Reading_ELA[Self-Identified as African Descent]), FALSE)),
IF($J$2="FLA",
IF(VLOOKUP($A44, YES_Reading_FLA[], COLUMN(YES_Reading_FLA[Self-Identified as African Descent]),FALSE)="","",
VLOOKUP($A44,YES_Reading_FLA[],COLUMN(YES_Reading_FLA[Self-Identified as African Descent]),FALSE)),
IF($J$2="Combined",
IFERROR(
IF(VLOOKUP($A44, YES_Reading_ELA[], COLUMN(YES_Reading_ELA[Self-Identified as African Descent]), FALSE)="", "",
VLOOKUP($A44,YES_Reading_ELA[],COLUMN(YES_Reading_ELA[Self-Identified as African Descent]),FALSE)),
IF(VLOOKUP($A44, YES_Reading_FLA[], COLUMN(YES_Reading_FLA[Self-Identified as African Descent]),FALSE)="", "", VLOOKUP($A44,YES_Reading_FLA[],COLUMN(YES_Reading_FLA[Self-Identified as African Descent]),FALSE))),""))),"")</f>
        <v/>
      </c>
      <c r="L44" s="73" t="str" cm="1">
        <f t="array" ref="L44">IFERROR(
IF($J$2="ELA",
IF(VLOOKUP($A44, YES_Reading_ELA[], COLUMN(YES_Reading_ELA[Self-Identified as Indigenous]), FALSE)="", "",
VLOOKUP($A44,YES_Reading_ELA[], COLUMN(YES_Reading_ELA[Self-Identified as Indigenous]), FALSE)),
IF($J$2="FLA",
IF(VLOOKUP($A44, YES_Reading_FLA[], COLUMN(YES_Reading_FLA[Self-Identified as Indigenous]),FALSE)="","",
VLOOKUP($A44,YES_Reading_FLA[],COLUMN(YES_Reading_FLA[Self-Identified as Indigenous]),FALSE)),
IF($J$2="Combined",
IFERROR(
IF(VLOOKUP($A44, YES_Reading_ELA[], COLUMN(YES_Reading_ELA[Self-Identified as Indigenous]), FALSE)="", "",
VLOOKUP($A44,YES_Reading_ELA[],COLUMN(YES_Reading_ELA[Self-Identified as Indigenous]),FALSE)),
IF(VLOOKUP($A44, YES_Reading_FLA[], COLUMN(YES_Reading_FLA[Self-Identified as Indigenous]),FALSE)="", "", VLOOKUP($A44,YES_Reading_FLA[],COLUMN(YES_Reading_FLA[Self-Identified as Indigenous]),FALSE))),""))),"")</f>
        <v/>
      </c>
    </row>
    <row r="45" spans="1:12" ht="19.5" customHeight="1" x14ac:dyDescent="0.25">
      <c r="A45" s="217"/>
      <c r="B45" s="220"/>
      <c r="C45" s="203"/>
      <c r="D45" s="204"/>
      <c r="E45" s="205"/>
      <c r="F45" s="205"/>
      <c r="G45" s="205"/>
      <c r="H45" s="206"/>
      <c r="I45" s="212"/>
      <c r="J45" s="206"/>
      <c r="K45" s="197" t="str" cm="1">
        <f t="array" ref="K45">IFERROR(
IF($J$2="ELA",
IF(VLOOKUP($A45, YES_Reading_ELA[], COLUMN(YES_Reading_ELA[Self-Identified as African Descent]), FALSE)="", "",
VLOOKUP($A45,YES_Reading_ELA[], COLUMN(YES_Reading_ELA[Self-Identified as African Descent]), FALSE)),
IF($J$2="FLA",
IF(VLOOKUP($A45, YES_Reading_FLA[], COLUMN(YES_Reading_FLA[Self-Identified as African Descent]),FALSE)="","",
VLOOKUP($A45,YES_Reading_FLA[],COLUMN(YES_Reading_FLA[Self-Identified as African Descent]),FALSE)),
IF($J$2="Combined",
IFERROR(
IF(VLOOKUP($A45, YES_Reading_ELA[], COLUMN(YES_Reading_ELA[Self-Identified as African Descent]), FALSE)="", "",
VLOOKUP($A45,YES_Reading_ELA[],COLUMN(YES_Reading_ELA[Self-Identified as African Descent]),FALSE)),
IF(VLOOKUP($A45, YES_Reading_FLA[], COLUMN(YES_Reading_FLA[Self-Identified as African Descent]),FALSE)="", "", VLOOKUP($A45,YES_Reading_FLA[],COLUMN(YES_Reading_FLA[Self-Identified as African Descent]),FALSE))),""))),"")</f>
        <v/>
      </c>
      <c r="L45" s="73" t="str" cm="1">
        <f t="array" ref="L45">IFERROR(
IF($J$2="ELA",
IF(VLOOKUP($A45, YES_Reading_ELA[], COLUMN(YES_Reading_ELA[Self-Identified as Indigenous]), FALSE)="", "",
VLOOKUP($A45,YES_Reading_ELA[], COLUMN(YES_Reading_ELA[Self-Identified as Indigenous]), FALSE)),
IF($J$2="FLA",
IF(VLOOKUP($A45, YES_Reading_FLA[], COLUMN(YES_Reading_FLA[Self-Identified as Indigenous]),FALSE)="","",
VLOOKUP($A45,YES_Reading_FLA[],COLUMN(YES_Reading_FLA[Self-Identified as Indigenous]),FALSE)),
IF($J$2="Combined",
IFERROR(
IF(VLOOKUP($A45, YES_Reading_ELA[], COLUMN(YES_Reading_ELA[Self-Identified as Indigenous]), FALSE)="", "",
VLOOKUP($A45,YES_Reading_ELA[],COLUMN(YES_Reading_ELA[Self-Identified as Indigenous]),FALSE)),
IF(VLOOKUP($A45, YES_Reading_FLA[], COLUMN(YES_Reading_FLA[Self-Identified as Indigenous]),FALSE)="", "", VLOOKUP($A45,YES_Reading_FLA[],COLUMN(YES_Reading_FLA[Self-Identified as Indigenous]),FALSE))),""))),"")</f>
        <v/>
      </c>
    </row>
    <row r="46" spans="1:12" ht="19.5" customHeight="1" x14ac:dyDescent="0.25">
      <c r="A46" s="217"/>
      <c r="B46" s="220"/>
      <c r="C46" s="203"/>
      <c r="D46" s="204"/>
      <c r="E46" s="205"/>
      <c r="F46" s="205"/>
      <c r="G46" s="205"/>
      <c r="H46" s="206"/>
      <c r="I46" s="212"/>
      <c r="J46" s="206"/>
      <c r="K46" s="197" t="str" cm="1">
        <f t="array" ref="K46">IFERROR(
IF($J$2="ELA",
IF(VLOOKUP($A46, YES_Reading_ELA[], COLUMN(YES_Reading_ELA[Self-Identified as African Descent]), FALSE)="", "",
VLOOKUP($A46,YES_Reading_ELA[], COLUMN(YES_Reading_ELA[Self-Identified as African Descent]), FALSE)),
IF($J$2="FLA",
IF(VLOOKUP($A46, YES_Reading_FLA[], COLUMN(YES_Reading_FLA[Self-Identified as African Descent]),FALSE)="","",
VLOOKUP($A46,YES_Reading_FLA[],COLUMN(YES_Reading_FLA[Self-Identified as African Descent]),FALSE)),
IF($J$2="Combined",
IFERROR(
IF(VLOOKUP($A46, YES_Reading_ELA[], COLUMN(YES_Reading_ELA[Self-Identified as African Descent]), FALSE)="", "",
VLOOKUP($A46,YES_Reading_ELA[],COLUMN(YES_Reading_ELA[Self-Identified as African Descent]),FALSE)),
IF(VLOOKUP($A46, YES_Reading_FLA[], COLUMN(YES_Reading_FLA[Self-Identified as African Descent]),FALSE)="", "", VLOOKUP($A46,YES_Reading_FLA[],COLUMN(YES_Reading_FLA[Self-Identified as African Descent]),FALSE))),""))),"")</f>
        <v/>
      </c>
      <c r="L46" s="73" t="str" cm="1">
        <f t="array" ref="L46">IFERROR(
IF($J$2="ELA",
IF(VLOOKUP($A46, YES_Reading_ELA[], COLUMN(YES_Reading_ELA[Self-Identified as Indigenous]), FALSE)="", "",
VLOOKUP($A46,YES_Reading_ELA[], COLUMN(YES_Reading_ELA[Self-Identified as Indigenous]), FALSE)),
IF($J$2="FLA",
IF(VLOOKUP($A46, YES_Reading_FLA[], COLUMN(YES_Reading_FLA[Self-Identified as Indigenous]),FALSE)="","",
VLOOKUP($A46,YES_Reading_FLA[],COLUMN(YES_Reading_FLA[Self-Identified as Indigenous]),FALSE)),
IF($J$2="Combined",
IFERROR(
IF(VLOOKUP($A46, YES_Reading_ELA[], COLUMN(YES_Reading_ELA[Self-Identified as Indigenous]), FALSE)="", "",
VLOOKUP($A46,YES_Reading_ELA[],COLUMN(YES_Reading_ELA[Self-Identified as Indigenous]),FALSE)),
IF(VLOOKUP($A46, YES_Reading_FLA[], COLUMN(YES_Reading_FLA[Self-Identified as Indigenous]),FALSE)="", "", VLOOKUP($A46,YES_Reading_FLA[],COLUMN(YES_Reading_FLA[Self-Identified as Indigenous]),FALSE))),""))),"")</f>
        <v/>
      </c>
    </row>
    <row r="47" spans="1:12" ht="19.5" customHeight="1" x14ac:dyDescent="0.25">
      <c r="A47" s="217"/>
      <c r="B47" s="220"/>
      <c r="C47" s="203"/>
      <c r="D47" s="204"/>
      <c r="E47" s="205"/>
      <c r="F47" s="205"/>
      <c r="G47" s="205"/>
      <c r="H47" s="206"/>
      <c r="I47" s="212"/>
      <c r="J47" s="206"/>
      <c r="K47" s="197" t="str" cm="1">
        <f t="array" ref="K47">IFERROR(
IF($J$2="ELA",
IF(VLOOKUP($A47, YES_Reading_ELA[], COLUMN(YES_Reading_ELA[Self-Identified as African Descent]), FALSE)="", "",
VLOOKUP($A47,YES_Reading_ELA[], COLUMN(YES_Reading_ELA[Self-Identified as African Descent]), FALSE)),
IF($J$2="FLA",
IF(VLOOKUP($A47, YES_Reading_FLA[], COLUMN(YES_Reading_FLA[Self-Identified as African Descent]),FALSE)="","",
VLOOKUP($A47,YES_Reading_FLA[],COLUMN(YES_Reading_FLA[Self-Identified as African Descent]),FALSE)),
IF($J$2="Combined",
IFERROR(
IF(VLOOKUP($A47, YES_Reading_ELA[], COLUMN(YES_Reading_ELA[Self-Identified as African Descent]), FALSE)="", "",
VLOOKUP($A47,YES_Reading_ELA[],COLUMN(YES_Reading_ELA[Self-Identified as African Descent]),FALSE)),
IF(VLOOKUP($A47, YES_Reading_FLA[], COLUMN(YES_Reading_FLA[Self-Identified as African Descent]),FALSE)="", "", VLOOKUP($A47,YES_Reading_FLA[],COLUMN(YES_Reading_FLA[Self-Identified as African Descent]),FALSE))),""))),"")</f>
        <v/>
      </c>
      <c r="L47" s="73" t="str" cm="1">
        <f t="array" ref="L47">IFERROR(
IF($J$2="ELA",
IF(VLOOKUP($A47, YES_Reading_ELA[], COLUMN(YES_Reading_ELA[Self-Identified as Indigenous]), FALSE)="", "",
VLOOKUP($A47,YES_Reading_ELA[], COLUMN(YES_Reading_ELA[Self-Identified as Indigenous]), FALSE)),
IF($J$2="FLA",
IF(VLOOKUP($A47, YES_Reading_FLA[], COLUMN(YES_Reading_FLA[Self-Identified as Indigenous]),FALSE)="","",
VLOOKUP($A47,YES_Reading_FLA[],COLUMN(YES_Reading_FLA[Self-Identified as Indigenous]),FALSE)),
IF($J$2="Combined",
IFERROR(
IF(VLOOKUP($A47, YES_Reading_ELA[], COLUMN(YES_Reading_ELA[Self-Identified as Indigenous]), FALSE)="", "",
VLOOKUP($A47,YES_Reading_ELA[],COLUMN(YES_Reading_ELA[Self-Identified as Indigenous]),FALSE)),
IF(VLOOKUP($A47, YES_Reading_FLA[], COLUMN(YES_Reading_FLA[Self-Identified as Indigenous]),FALSE)="", "", VLOOKUP($A47,YES_Reading_FLA[],COLUMN(YES_Reading_FLA[Self-Identified as Indigenous]),FALSE))),""))),"")</f>
        <v/>
      </c>
    </row>
    <row r="48" spans="1:12" ht="19.5" customHeight="1" x14ac:dyDescent="0.25">
      <c r="A48" s="217"/>
      <c r="B48" s="220"/>
      <c r="C48" s="203"/>
      <c r="D48" s="204"/>
      <c r="E48" s="205"/>
      <c r="F48" s="205"/>
      <c r="G48" s="205"/>
      <c r="H48" s="206"/>
      <c r="I48" s="212"/>
      <c r="J48" s="206"/>
      <c r="K48" s="197" t="str" cm="1">
        <f t="array" ref="K48">IFERROR(
IF($J$2="ELA",
IF(VLOOKUP($A48, YES_Reading_ELA[], COLUMN(YES_Reading_ELA[Self-Identified as African Descent]), FALSE)="", "",
VLOOKUP($A48,YES_Reading_ELA[], COLUMN(YES_Reading_ELA[Self-Identified as African Descent]), FALSE)),
IF($J$2="FLA",
IF(VLOOKUP($A48, YES_Reading_FLA[], COLUMN(YES_Reading_FLA[Self-Identified as African Descent]),FALSE)="","",
VLOOKUP($A48,YES_Reading_FLA[],COLUMN(YES_Reading_FLA[Self-Identified as African Descent]),FALSE)),
IF($J$2="Combined",
IFERROR(
IF(VLOOKUP($A48, YES_Reading_ELA[], COLUMN(YES_Reading_ELA[Self-Identified as African Descent]), FALSE)="", "",
VLOOKUP($A48,YES_Reading_ELA[],COLUMN(YES_Reading_ELA[Self-Identified as African Descent]),FALSE)),
IF(VLOOKUP($A48, YES_Reading_FLA[], COLUMN(YES_Reading_FLA[Self-Identified as African Descent]),FALSE)="", "", VLOOKUP($A48,YES_Reading_FLA[],COLUMN(YES_Reading_FLA[Self-Identified as African Descent]),FALSE))),""))),"")</f>
        <v/>
      </c>
      <c r="L48" s="73" t="str" cm="1">
        <f t="array" ref="L48">IFERROR(
IF($J$2="ELA",
IF(VLOOKUP($A48, YES_Reading_ELA[], COLUMN(YES_Reading_ELA[Self-Identified as Indigenous]), FALSE)="", "",
VLOOKUP($A48,YES_Reading_ELA[], COLUMN(YES_Reading_ELA[Self-Identified as Indigenous]), FALSE)),
IF($J$2="FLA",
IF(VLOOKUP($A48, YES_Reading_FLA[], COLUMN(YES_Reading_FLA[Self-Identified as Indigenous]),FALSE)="","",
VLOOKUP($A48,YES_Reading_FLA[],COLUMN(YES_Reading_FLA[Self-Identified as Indigenous]),FALSE)),
IF($J$2="Combined",
IFERROR(
IF(VLOOKUP($A48, YES_Reading_ELA[], COLUMN(YES_Reading_ELA[Self-Identified as Indigenous]), FALSE)="", "",
VLOOKUP($A48,YES_Reading_ELA[],COLUMN(YES_Reading_ELA[Self-Identified as Indigenous]),FALSE)),
IF(VLOOKUP($A48, YES_Reading_FLA[], COLUMN(YES_Reading_FLA[Self-Identified as Indigenous]),FALSE)="", "", VLOOKUP($A48,YES_Reading_FLA[],COLUMN(YES_Reading_FLA[Self-Identified as Indigenous]),FALSE))),""))),"")</f>
        <v/>
      </c>
    </row>
    <row r="49" spans="1:12" ht="19.5" customHeight="1" x14ac:dyDescent="0.25">
      <c r="A49" s="217"/>
      <c r="B49" s="220"/>
      <c r="C49" s="203"/>
      <c r="D49" s="204"/>
      <c r="E49" s="205"/>
      <c r="F49" s="205"/>
      <c r="G49" s="205"/>
      <c r="H49" s="206"/>
      <c r="I49" s="212"/>
      <c r="J49" s="206"/>
      <c r="K49" s="197" t="str" cm="1">
        <f t="array" ref="K49">IFERROR(
IF($J$2="ELA",
IF(VLOOKUP($A49, YES_Reading_ELA[], COLUMN(YES_Reading_ELA[Self-Identified as African Descent]), FALSE)="", "",
VLOOKUP($A49,YES_Reading_ELA[], COLUMN(YES_Reading_ELA[Self-Identified as African Descent]), FALSE)),
IF($J$2="FLA",
IF(VLOOKUP($A49, YES_Reading_FLA[], COLUMN(YES_Reading_FLA[Self-Identified as African Descent]),FALSE)="","",
VLOOKUP($A49,YES_Reading_FLA[],COLUMN(YES_Reading_FLA[Self-Identified as African Descent]),FALSE)),
IF($J$2="Combined",
IFERROR(
IF(VLOOKUP($A49, YES_Reading_ELA[], COLUMN(YES_Reading_ELA[Self-Identified as African Descent]), FALSE)="", "",
VLOOKUP($A49,YES_Reading_ELA[],COLUMN(YES_Reading_ELA[Self-Identified as African Descent]),FALSE)),
IF(VLOOKUP($A49, YES_Reading_FLA[], COLUMN(YES_Reading_FLA[Self-Identified as African Descent]),FALSE)="", "", VLOOKUP($A49,YES_Reading_FLA[],COLUMN(YES_Reading_FLA[Self-Identified as African Descent]),FALSE))),""))),"")</f>
        <v/>
      </c>
      <c r="L49" s="73" t="str" cm="1">
        <f t="array" ref="L49">IFERROR(
IF($J$2="ELA",
IF(VLOOKUP($A49, YES_Reading_ELA[], COLUMN(YES_Reading_ELA[Self-Identified as Indigenous]), FALSE)="", "",
VLOOKUP($A49,YES_Reading_ELA[], COLUMN(YES_Reading_ELA[Self-Identified as Indigenous]), FALSE)),
IF($J$2="FLA",
IF(VLOOKUP($A49, YES_Reading_FLA[], COLUMN(YES_Reading_FLA[Self-Identified as Indigenous]),FALSE)="","",
VLOOKUP($A49,YES_Reading_FLA[],COLUMN(YES_Reading_FLA[Self-Identified as Indigenous]),FALSE)),
IF($J$2="Combined",
IFERROR(
IF(VLOOKUP($A49, YES_Reading_ELA[], COLUMN(YES_Reading_ELA[Self-Identified as Indigenous]), FALSE)="", "",
VLOOKUP($A49,YES_Reading_ELA[],COLUMN(YES_Reading_ELA[Self-Identified as Indigenous]),FALSE)),
IF(VLOOKUP($A49, YES_Reading_FLA[], COLUMN(YES_Reading_FLA[Self-Identified as Indigenous]),FALSE)="", "", VLOOKUP($A49,YES_Reading_FLA[],COLUMN(YES_Reading_FLA[Self-Identified as Indigenous]),FALSE))),""))),"")</f>
        <v/>
      </c>
    </row>
    <row r="50" spans="1:12" ht="19.5" customHeight="1" x14ac:dyDescent="0.25">
      <c r="A50" s="217"/>
      <c r="B50" s="220"/>
      <c r="C50" s="203"/>
      <c r="D50" s="204"/>
      <c r="E50" s="205"/>
      <c r="F50" s="205"/>
      <c r="G50" s="205"/>
      <c r="H50" s="206"/>
      <c r="I50" s="212"/>
      <c r="J50" s="206"/>
      <c r="K50" s="197" t="str" cm="1">
        <f t="array" ref="K50">IFERROR(
IF($J$2="ELA",
IF(VLOOKUP($A50, YES_Reading_ELA[], COLUMN(YES_Reading_ELA[Self-Identified as African Descent]), FALSE)="", "",
VLOOKUP($A50,YES_Reading_ELA[], COLUMN(YES_Reading_ELA[Self-Identified as African Descent]), FALSE)),
IF($J$2="FLA",
IF(VLOOKUP($A50, YES_Reading_FLA[], COLUMN(YES_Reading_FLA[Self-Identified as African Descent]),FALSE)="","",
VLOOKUP($A50,YES_Reading_FLA[],COLUMN(YES_Reading_FLA[Self-Identified as African Descent]),FALSE)),
IF($J$2="Combined",
IFERROR(
IF(VLOOKUP($A50, YES_Reading_ELA[], COLUMN(YES_Reading_ELA[Self-Identified as African Descent]), FALSE)="", "",
VLOOKUP($A50,YES_Reading_ELA[],COLUMN(YES_Reading_ELA[Self-Identified as African Descent]),FALSE)),
IF(VLOOKUP($A50, YES_Reading_FLA[], COLUMN(YES_Reading_FLA[Self-Identified as African Descent]),FALSE)="", "", VLOOKUP($A50,YES_Reading_FLA[],COLUMN(YES_Reading_FLA[Self-Identified as African Descent]),FALSE))),""))),"")</f>
        <v/>
      </c>
      <c r="L50" s="73" t="str" cm="1">
        <f t="array" ref="L50">IFERROR(
IF($J$2="ELA",
IF(VLOOKUP($A50, YES_Reading_ELA[], COLUMN(YES_Reading_ELA[Self-Identified as Indigenous]), FALSE)="", "",
VLOOKUP($A50,YES_Reading_ELA[], COLUMN(YES_Reading_ELA[Self-Identified as Indigenous]), FALSE)),
IF($J$2="FLA",
IF(VLOOKUP($A50, YES_Reading_FLA[], COLUMN(YES_Reading_FLA[Self-Identified as Indigenous]),FALSE)="","",
VLOOKUP($A50,YES_Reading_FLA[],COLUMN(YES_Reading_FLA[Self-Identified as Indigenous]),FALSE)),
IF($J$2="Combined",
IFERROR(
IF(VLOOKUP($A50, YES_Reading_ELA[], COLUMN(YES_Reading_ELA[Self-Identified as Indigenous]), FALSE)="", "",
VLOOKUP($A50,YES_Reading_ELA[],COLUMN(YES_Reading_ELA[Self-Identified as Indigenous]),FALSE)),
IF(VLOOKUP($A50, YES_Reading_FLA[], COLUMN(YES_Reading_FLA[Self-Identified as Indigenous]),FALSE)="", "", VLOOKUP($A50,YES_Reading_FLA[],COLUMN(YES_Reading_FLA[Self-Identified as Indigenous]),FALSE))),""))),"")</f>
        <v/>
      </c>
    </row>
    <row r="51" spans="1:12" ht="19.5" customHeight="1" x14ac:dyDescent="0.25">
      <c r="A51" s="217"/>
      <c r="B51" s="220"/>
      <c r="C51" s="203"/>
      <c r="D51" s="204"/>
      <c r="E51" s="205"/>
      <c r="F51" s="205"/>
      <c r="G51" s="205"/>
      <c r="H51" s="206"/>
      <c r="I51" s="212"/>
      <c r="J51" s="206"/>
      <c r="K51" s="197" t="str" cm="1">
        <f t="array" ref="K51">IFERROR(
IF($J$2="ELA",
IF(VLOOKUP($A51, YES_Reading_ELA[], COLUMN(YES_Reading_ELA[Self-Identified as African Descent]), FALSE)="", "",
VLOOKUP($A51,YES_Reading_ELA[], COLUMN(YES_Reading_ELA[Self-Identified as African Descent]), FALSE)),
IF($J$2="FLA",
IF(VLOOKUP($A51, YES_Reading_FLA[], COLUMN(YES_Reading_FLA[Self-Identified as African Descent]),FALSE)="","",
VLOOKUP($A51,YES_Reading_FLA[],COLUMN(YES_Reading_FLA[Self-Identified as African Descent]),FALSE)),
IF($J$2="Combined",
IFERROR(
IF(VLOOKUP($A51, YES_Reading_ELA[], COLUMN(YES_Reading_ELA[Self-Identified as African Descent]), FALSE)="", "",
VLOOKUP($A51,YES_Reading_ELA[],COLUMN(YES_Reading_ELA[Self-Identified as African Descent]),FALSE)),
IF(VLOOKUP($A51, YES_Reading_FLA[], COLUMN(YES_Reading_FLA[Self-Identified as African Descent]),FALSE)="", "", VLOOKUP($A51,YES_Reading_FLA[],COLUMN(YES_Reading_FLA[Self-Identified as African Descent]),FALSE))),""))),"")</f>
        <v/>
      </c>
      <c r="L51" s="73" t="str" cm="1">
        <f t="array" ref="L51">IFERROR(
IF($J$2="ELA",
IF(VLOOKUP($A51, YES_Reading_ELA[], COLUMN(YES_Reading_ELA[Self-Identified as Indigenous]), FALSE)="", "",
VLOOKUP($A51,YES_Reading_ELA[], COLUMN(YES_Reading_ELA[Self-Identified as Indigenous]), FALSE)),
IF($J$2="FLA",
IF(VLOOKUP($A51, YES_Reading_FLA[], COLUMN(YES_Reading_FLA[Self-Identified as Indigenous]),FALSE)="","",
VLOOKUP($A51,YES_Reading_FLA[],COLUMN(YES_Reading_FLA[Self-Identified as Indigenous]),FALSE)),
IF($J$2="Combined",
IFERROR(
IF(VLOOKUP($A51, YES_Reading_ELA[], COLUMN(YES_Reading_ELA[Self-Identified as Indigenous]), FALSE)="", "",
VLOOKUP($A51,YES_Reading_ELA[],COLUMN(YES_Reading_ELA[Self-Identified as Indigenous]),FALSE)),
IF(VLOOKUP($A51, YES_Reading_FLA[], COLUMN(YES_Reading_FLA[Self-Identified as Indigenous]),FALSE)="", "", VLOOKUP($A51,YES_Reading_FLA[],COLUMN(YES_Reading_FLA[Self-Identified as Indigenous]),FALSE))),""))),"")</f>
        <v/>
      </c>
    </row>
    <row r="52" spans="1:12" ht="19.5" customHeight="1" x14ac:dyDescent="0.25">
      <c r="A52" s="217"/>
      <c r="B52" s="220"/>
      <c r="C52" s="203"/>
      <c r="D52" s="204"/>
      <c r="E52" s="205"/>
      <c r="F52" s="205"/>
      <c r="G52" s="205"/>
      <c r="H52" s="206"/>
      <c r="I52" s="212"/>
      <c r="J52" s="206"/>
      <c r="K52" s="197" t="str" cm="1">
        <f t="array" ref="K52">IFERROR(
IF($J$2="ELA",
IF(VLOOKUP($A52, YES_Reading_ELA[], COLUMN(YES_Reading_ELA[Self-Identified as African Descent]), FALSE)="", "",
VLOOKUP($A52,YES_Reading_ELA[], COLUMN(YES_Reading_ELA[Self-Identified as African Descent]), FALSE)),
IF($J$2="FLA",
IF(VLOOKUP($A52, YES_Reading_FLA[], COLUMN(YES_Reading_FLA[Self-Identified as African Descent]),FALSE)="","",
VLOOKUP($A52,YES_Reading_FLA[],COLUMN(YES_Reading_FLA[Self-Identified as African Descent]),FALSE)),
IF($J$2="Combined",
IFERROR(
IF(VLOOKUP($A52, YES_Reading_ELA[], COLUMN(YES_Reading_ELA[Self-Identified as African Descent]), FALSE)="", "",
VLOOKUP($A52,YES_Reading_ELA[],COLUMN(YES_Reading_ELA[Self-Identified as African Descent]),FALSE)),
IF(VLOOKUP($A52, YES_Reading_FLA[], COLUMN(YES_Reading_FLA[Self-Identified as African Descent]),FALSE)="", "", VLOOKUP($A52,YES_Reading_FLA[],COLUMN(YES_Reading_FLA[Self-Identified as African Descent]),FALSE))),""))),"")</f>
        <v/>
      </c>
      <c r="L52" s="73" t="str" cm="1">
        <f t="array" ref="L52">IFERROR(
IF($J$2="ELA",
IF(VLOOKUP($A52, YES_Reading_ELA[], COLUMN(YES_Reading_ELA[Self-Identified as Indigenous]), FALSE)="", "",
VLOOKUP($A52,YES_Reading_ELA[], COLUMN(YES_Reading_ELA[Self-Identified as Indigenous]), FALSE)),
IF($J$2="FLA",
IF(VLOOKUP($A52, YES_Reading_FLA[], COLUMN(YES_Reading_FLA[Self-Identified as Indigenous]),FALSE)="","",
VLOOKUP($A52,YES_Reading_FLA[],COLUMN(YES_Reading_FLA[Self-Identified as Indigenous]),FALSE)),
IF($J$2="Combined",
IFERROR(
IF(VLOOKUP($A52, YES_Reading_ELA[], COLUMN(YES_Reading_ELA[Self-Identified as Indigenous]), FALSE)="", "",
VLOOKUP($A52,YES_Reading_ELA[],COLUMN(YES_Reading_ELA[Self-Identified as Indigenous]),FALSE)),
IF(VLOOKUP($A52, YES_Reading_FLA[], COLUMN(YES_Reading_FLA[Self-Identified as Indigenous]),FALSE)="", "", VLOOKUP($A52,YES_Reading_FLA[],COLUMN(YES_Reading_FLA[Self-Identified as Indigenous]),FALSE))),""))),"")</f>
        <v/>
      </c>
    </row>
    <row r="53" spans="1:12" ht="19.5" customHeight="1" x14ac:dyDescent="0.25">
      <c r="A53" s="217"/>
      <c r="B53" s="220"/>
      <c r="C53" s="203"/>
      <c r="D53" s="204"/>
      <c r="E53" s="205"/>
      <c r="F53" s="205"/>
      <c r="G53" s="205"/>
      <c r="H53" s="206"/>
      <c r="I53" s="212"/>
      <c r="J53" s="206"/>
      <c r="K53" s="197" t="str" cm="1">
        <f t="array" ref="K53">IFERROR(
IF($J$2="ELA",
IF(VLOOKUP($A53, YES_Reading_ELA[], COLUMN(YES_Reading_ELA[Self-Identified as African Descent]), FALSE)="", "",
VLOOKUP($A53,YES_Reading_ELA[], COLUMN(YES_Reading_ELA[Self-Identified as African Descent]), FALSE)),
IF($J$2="FLA",
IF(VLOOKUP($A53, YES_Reading_FLA[], COLUMN(YES_Reading_FLA[Self-Identified as African Descent]),FALSE)="","",
VLOOKUP($A53,YES_Reading_FLA[],COLUMN(YES_Reading_FLA[Self-Identified as African Descent]),FALSE)),
IF($J$2="Combined",
IFERROR(
IF(VLOOKUP($A53, YES_Reading_ELA[], COLUMN(YES_Reading_ELA[Self-Identified as African Descent]), FALSE)="", "",
VLOOKUP($A53,YES_Reading_ELA[],COLUMN(YES_Reading_ELA[Self-Identified as African Descent]),FALSE)),
IF(VLOOKUP($A53, YES_Reading_FLA[], COLUMN(YES_Reading_FLA[Self-Identified as African Descent]),FALSE)="", "", VLOOKUP($A53,YES_Reading_FLA[],COLUMN(YES_Reading_FLA[Self-Identified as African Descent]),FALSE))),""))),"")</f>
        <v/>
      </c>
      <c r="L53" s="73" t="str" cm="1">
        <f t="array" ref="L53">IFERROR(
IF($J$2="ELA",
IF(VLOOKUP($A53, YES_Reading_ELA[], COLUMN(YES_Reading_ELA[Self-Identified as Indigenous]), FALSE)="", "",
VLOOKUP($A53,YES_Reading_ELA[], COLUMN(YES_Reading_ELA[Self-Identified as Indigenous]), FALSE)),
IF($J$2="FLA",
IF(VLOOKUP($A53, YES_Reading_FLA[], COLUMN(YES_Reading_FLA[Self-Identified as Indigenous]),FALSE)="","",
VLOOKUP($A53,YES_Reading_FLA[],COLUMN(YES_Reading_FLA[Self-Identified as Indigenous]),FALSE)),
IF($J$2="Combined",
IFERROR(
IF(VLOOKUP($A53, YES_Reading_ELA[], COLUMN(YES_Reading_ELA[Self-Identified as Indigenous]), FALSE)="", "",
VLOOKUP($A53,YES_Reading_ELA[],COLUMN(YES_Reading_ELA[Self-Identified as Indigenous]),FALSE)),
IF(VLOOKUP($A53, YES_Reading_FLA[], COLUMN(YES_Reading_FLA[Self-Identified as Indigenous]),FALSE)="", "", VLOOKUP($A53,YES_Reading_FLA[],COLUMN(YES_Reading_FLA[Self-Identified as Indigenous]),FALSE))),""))),"")</f>
        <v/>
      </c>
    </row>
    <row r="54" spans="1:12" ht="19.5" customHeight="1" x14ac:dyDescent="0.25">
      <c r="A54" s="217"/>
      <c r="B54" s="220"/>
      <c r="C54" s="203"/>
      <c r="D54" s="204"/>
      <c r="E54" s="205"/>
      <c r="F54" s="205"/>
      <c r="G54" s="205"/>
      <c r="H54" s="206"/>
      <c r="I54" s="212"/>
      <c r="J54" s="206"/>
      <c r="K54" s="197" t="str" cm="1">
        <f t="array" ref="K54">IFERROR(
IF($J$2="ELA",
IF(VLOOKUP($A54, YES_Reading_ELA[], COLUMN(YES_Reading_ELA[Self-Identified as African Descent]), FALSE)="", "",
VLOOKUP($A54,YES_Reading_ELA[], COLUMN(YES_Reading_ELA[Self-Identified as African Descent]), FALSE)),
IF($J$2="FLA",
IF(VLOOKUP($A54, YES_Reading_FLA[], COLUMN(YES_Reading_FLA[Self-Identified as African Descent]),FALSE)="","",
VLOOKUP($A54,YES_Reading_FLA[],COLUMN(YES_Reading_FLA[Self-Identified as African Descent]),FALSE)),
IF($J$2="Combined",
IFERROR(
IF(VLOOKUP($A54, YES_Reading_ELA[], COLUMN(YES_Reading_ELA[Self-Identified as African Descent]), FALSE)="", "",
VLOOKUP($A54,YES_Reading_ELA[],COLUMN(YES_Reading_ELA[Self-Identified as African Descent]),FALSE)),
IF(VLOOKUP($A54, YES_Reading_FLA[], COLUMN(YES_Reading_FLA[Self-Identified as African Descent]),FALSE)="", "", VLOOKUP($A54,YES_Reading_FLA[],COLUMN(YES_Reading_FLA[Self-Identified as African Descent]),FALSE))),""))),"")</f>
        <v/>
      </c>
      <c r="L54" s="73" t="str" cm="1">
        <f t="array" ref="L54">IFERROR(
IF($J$2="ELA",
IF(VLOOKUP($A54, YES_Reading_ELA[], COLUMN(YES_Reading_ELA[Self-Identified as Indigenous]), FALSE)="", "",
VLOOKUP($A54,YES_Reading_ELA[], COLUMN(YES_Reading_ELA[Self-Identified as Indigenous]), FALSE)),
IF($J$2="FLA",
IF(VLOOKUP($A54, YES_Reading_FLA[], COLUMN(YES_Reading_FLA[Self-Identified as Indigenous]),FALSE)="","",
VLOOKUP($A54,YES_Reading_FLA[],COLUMN(YES_Reading_FLA[Self-Identified as Indigenous]),FALSE)),
IF($J$2="Combined",
IFERROR(
IF(VLOOKUP($A54, YES_Reading_ELA[], COLUMN(YES_Reading_ELA[Self-Identified as Indigenous]), FALSE)="", "",
VLOOKUP($A54,YES_Reading_ELA[],COLUMN(YES_Reading_ELA[Self-Identified as Indigenous]),FALSE)),
IF(VLOOKUP($A54, YES_Reading_FLA[], COLUMN(YES_Reading_FLA[Self-Identified as Indigenous]),FALSE)="", "", VLOOKUP($A54,YES_Reading_FLA[],COLUMN(YES_Reading_FLA[Self-Identified as Indigenous]),FALSE))),""))),"")</f>
        <v/>
      </c>
    </row>
    <row r="55" spans="1:12" ht="19.5" customHeight="1" x14ac:dyDescent="0.25">
      <c r="A55" s="217"/>
      <c r="B55" s="220"/>
      <c r="C55" s="203"/>
      <c r="D55" s="204"/>
      <c r="E55" s="205"/>
      <c r="F55" s="205"/>
      <c r="G55" s="205"/>
      <c r="H55" s="206"/>
      <c r="I55" s="212"/>
      <c r="J55" s="206"/>
      <c r="K55" s="197" t="str" cm="1">
        <f t="array" ref="K55">IFERROR(
IF($J$2="ELA",
IF(VLOOKUP($A55, YES_Reading_ELA[], COLUMN(YES_Reading_ELA[Self-Identified as African Descent]), FALSE)="", "",
VLOOKUP($A55,YES_Reading_ELA[], COLUMN(YES_Reading_ELA[Self-Identified as African Descent]), FALSE)),
IF($J$2="FLA",
IF(VLOOKUP($A55, YES_Reading_FLA[], COLUMN(YES_Reading_FLA[Self-Identified as African Descent]),FALSE)="","",
VLOOKUP($A55,YES_Reading_FLA[],COLUMN(YES_Reading_FLA[Self-Identified as African Descent]),FALSE)),
IF($J$2="Combined",
IFERROR(
IF(VLOOKUP($A55, YES_Reading_ELA[], COLUMN(YES_Reading_ELA[Self-Identified as African Descent]), FALSE)="", "",
VLOOKUP($A55,YES_Reading_ELA[],COLUMN(YES_Reading_ELA[Self-Identified as African Descent]),FALSE)),
IF(VLOOKUP($A55, YES_Reading_FLA[], COLUMN(YES_Reading_FLA[Self-Identified as African Descent]),FALSE)="", "", VLOOKUP($A55,YES_Reading_FLA[],COLUMN(YES_Reading_FLA[Self-Identified as African Descent]),FALSE))),""))),"")</f>
        <v/>
      </c>
      <c r="L55" s="73" t="str" cm="1">
        <f t="array" ref="L55">IFERROR(
IF($J$2="ELA",
IF(VLOOKUP($A55, YES_Reading_ELA[], COLUMN(YES_Reading_ELA[Self-Identified as Indigenous]), FALSE)="", "",
VLOOKUP($A55,YES_Reading_ELA[], COLUMN(YES_Reading_ELA[Self-Identified as Indigenous]), FALSE)),
IF($J$2="FLA",
IF(VLOOKUP($A55, YES_Reading_FLA[], COLUMN(YES_Reading_FLA[Self-Identified as Indigenous]),FALSE)="","",
VLOOKUP($A55,YES_Reading_FLA[],COLUMN(YES_Reading_FLA[Self-Identified as Indigenous]),FALSE)),
IF($J$2="Combined",
IFERROR(
IF(VLOOKUP($A55, YES_Reading_ELA[], COLUMN(YES_Reading_ELA[Self-Identified as Indigenous]), FALSE)="", "",
VLOOKUP($A55,YES_Reading_ELA[],COLUMN(YES_Reading_ELA[Self-Identified as Indigenous]),FALSE)),
IF(VLOOKUP($A55, YES_Reading_FLA[], COLUMN(YES_Reading_FLA[Self-Identified as Indigenous]),FALSE)="", "", VLOOKUP($A55,YES_Reading_FLA[],COLUMN(YES_Reading_FLA[Self-Identified as Indigenous]),FALSE))),""))),"")</f>
        <v/>
      </c>
    </row>
    <row r="56" spans="1:12" ht="19.5" customHeight="1" x14ac:dyDescent="0.25">
      <c r="A56" s="217"/>
      <c r="B56" s="220"/>
      <c r="C56" s="203"/>
      <c r="D56" s="204"/>
      <c r="E56" s="205"/>
      <c r="F56" s="205"/>
      <c r="G56" s="205"/>
      <c r="H56" s="206"/>
      <c r="I56" s="212"/>
      <c r="J56" s="206"/>
      <c r="K56" s="197" t="str" cm="1">
        <f t="array" ref="K56">IFERROR(
IF($J$2="ELA",
IF(VLOOKUP($A56, YES_Reading_ELA[], COLUMN(YES_Reading_ELA[Self-Identified as African Descent]), FALSE)="", "",
VLOOKUP($A56,YES_Reading_ELA[], COLUMN(YES_Reading_ELA[Self-Identified as African Descent]), FALSE)),
IF($J$2="FLA",
IF(VLOOKUP($A56, YES_Reading_FLA[], COLUMN(YES_Reading_FLA[Self-Identified as African Descent]),FALSE)="","",
VLOOKUP($A56,YES_Reading_FLA[],COLUMN(YES_Reading_FLA[Self-Identified as African Descent]),FALSE)),
IF($J$2="Combined",
IFERROR(
IF(VLOOKUP($A56, YES_Reading_ELA[], COLUMN(YES_Reading_ELA[Self-Identified as African Descent]), FALSE)="", "",
VLOOKUP($A56,YES_Reading_ELA[],COLUMN(YES_Reading_ELA[Self-Identified as African Descent]),FALSE)),
IF(VLOOKUP($A56, YES_Reading_FLA[], COLUMN(YES_Reading_FLA[Self-Identified as African Descent]),FALSE)="", "", VLOOKUP($A56,YES_Reading_FLA[],COLUMN(YES_Reading_FLA[Self-Identified as African Descent]),FALSE))),""))),"")</f>
        <v/>
      </c>
      <c r="L56" s="73" t="str" cm="1">
        <f t="array" ref="L56">IFERROR(
IF($J$2="ELA",
IF(VLOOKUP($A56, YES_Reading_ELA[], COLUMN(YES_Reading_ELA[Self-Identified as Indigenous]), FALSE)="", "",
VLOOKUP($A56,YES_Reading_ELA[], COLUMN(YES_Reading_ELA[Self-Identified as Indigenous]), FALSE)),
IF($J$2="FLA",
IF(VLOOKUP($A56, YES_Reading_FLA[], COLUMN(YES_Reading_FLA[Self-Identified as Indigenous]),FALSE)="","",
VLOOKUP($A56,YES_Reading_FLA[],COLUMN(YES_Reading_FLA[Self-Identified as Indigenous]),FALSE)),
IF($J$2="Combined",
IFERROR(
IF(VLOOKUP($A56, YES_Reading_ELA[], COLUMN(YES_Reading_ELA[Self-Identified as Indigenous]), FALSE)="", "",
VLOOKUP($A56,YES_Reading_ELA[],COLUMN(YES_Reading_ELA[Self-Identified as Indigenous]),FALSE)),
IF(VLOOKUP($A56, YES_Reading_FLA[], COLUMN(YES_Reading_FLA[Self-Identified as Indigenous]),FALSE)="", "", VLOOKUP($A56,YES_Reading_FLA[],COLUMN(YES_Reading_FLA[Self-Identified as Indigenous]),FALSE))),""))),"")</f>
        <v/>
      </c>
    </row>
    <row r="57" spans="1:12" ht="19.5" customHeight="1" x14ac:dyDescent="0.25">
      <c r="A57" s="217"/>
      <c r="B57" s="220"/>
      <c r="C57" s="203"/>
      <c r="D57" s="204"/>
      <c r="E57" s="205"/>
      <c r="F57" s="205"/>
      <c r="G57" s="205"/>
      <c r="H57" s="206"/>
      <c r="I57" s="212"/>
      <c r="J57" s="206"/>
      <c r="K57" s="197" t="str" cm="1">
        <f t="array" ref="K57">IFERROR(
IF($J$2="ELA",
IF(VLOOKUP($A57, YES_Reading_ELA[], COLUMN(YES_Reading_ELA[Self-Identified as African Descent]), FALSE)="", "",
VLOOKUP($A57,YES_Reading_ELA[], COLUMN(YES_Reading_ELA[Self-Identified as African Descent]), FALSE)),
IF($J$2="FLA",
IF(VLOOKUP($A57, YES_Reading_FLA[], COLUMN(YES_Reading_FLA[Self-Identified as African Descent]),FALSE)="","",
VLOOKUP($A57,YES_Reading_FLA[],COLUMN(YES_Reading_FLA[Self-Identified as African Descent]),FALSE)),
IF($J$2="Combined",
IFERROR(
IF(VLOOKUP($A57, YES_Reading_ELA[], COLUMN(YES_Reading_ELA[Self-Identified as African Descent]), FALSE)="", "",
VLOOKUP($A57,YES_Reading_ELA[],COLUMN(YES_Reading_ELA[Self-Identified as African Descent]),FALSE)),
IF(VLOOKUP($A57, YES_Reading_FLA[], COLUMN(YES_Reading_FLA[Self-Identified as African Descent]),FALSE)="", "", VLOOKUP($A57,YES_Reading_FLA[],COLUMN(YES_Reading_FLA[Self-Identified as African Descent]),FALSE))),""))),"")</f>
        <v/>
      </c>
      <c r="L57" s="73" t="str" cm="1">
        <f t="array" ref="L57">IFERROR(
IF($J$2="ELA",
IF(VLOOKUP($A57, YES_Reading_ELA[], COLUMN(YES_Reading_ELA[Self-Identified as Indigenous]), FALSE)="", "",
VLOOKUP($A57,YES_Reading_ELA[], COLUMN(YES_Reading_ELA[Self-Identified as Indigenous]), FALSE)),
IF($J$2="FLA",
IF(VLOOKUP($A57, YES_Reading_FLA[], COLUMN(YES_Reading_FLA[Self-Identified as Indigenous]),FALSE)="","",
VLOOKUP($A57,YES_Reading_FLA[],COLUMN(YES_Reading_FLA[Self-Identified as Indigenous]),FALSE)),
IF($J$2="Combined",
IFERROR(
IF(VLOOKUP($A57, YES_Reading_ELA[], COLUMN(YES_Reading_ELA[Self-Identified as Indigenous]), FALSE)="", "",
VLOOKUP($A57,YES_Reading_ELA[],COLUMN(YES_Reading_ELA[Self-Identified as Indigenous]),FALSE)),
IF(VLOOKUP($A57, YES_Reading_FLA[], COLUMN(YES_Reading_FLA[Self-Identified as Indigenous]),FALSE)="", "", VLOOKUP($A57,YES_Reading_FLA[],COLUMN(YES_Reading_FLA[Self-Identified as Indigenous]),FALSE))),""))),"")</f>
        <v/>
      </c>
    </row>
    <row r="58" spans="1:12" ht="19.5" customHeight="1" x14ac:dyDescent="0.25">
      <c r="A58" s="217"/>
      <c r="B58" s="220"/>
      <c r="C58" s="203"/>
      <c r="D58" s="204"/>
      <c r="E58" s="205"/>
      <c r="F58" s="205"/>
      <c r="G58" s="205"/>
      <c r="H58" s="206"/>
      <c r="I58" s="212"/>
      <c r="J58" s="206"/>
      <c r="K58" s="197" t="str" cm="1">
        <f t="array" ref="K58">IFERROR(
IF($J$2="ELA",
IF(VLOOKUP($A58, YES_Reading_ELA[], COLUMN(YES_Reading_ELA[Self-Identified as African Descent]), FALSE)="", "",
VLOOKUP($A58,YES_Reading_ELA[], COLUMN(YES_Reading_ELA[Self-Identified as African Descent]), FALSE)),
IF($J$2="FLA",
IF(VLOOKUP($A58, YES_Reading_FLA[], COLUMN(YES_Reading_FLA[Self-Identified as African Descent]),FALSE)="","",
VLOOKUP($A58,YES_Reading_FLA[],COLUMN(YES_Reading_FLA[Self-Identified as African Descent]),FALSE)),
IF($J$2="Combined",
IFERROR(
IF(VLOOKUP($A58, YES_Reading_ELA[], COLUMN(YES_Reading_ELA[Self-Identified as African Descent]), FALSE)="", "",
VLOOKUP($A58,YES_Reading_ELA[],COLUMN(YES_Reading_ELA[Self-Identified as African Descent]),FALSE)),
IF(VLOOKUP($A58, YES_Reading_FLA[], COLUMN(YES_Reading_FLA[Self-Identified as African Descent]),FALSE)="", "", VLOOKUP($A58,YES_Reading_FLA[],COLUMN(YES_Reading_FLA[Self-Identified as African Descent]),FALSE))),""))),"")</f>
        <v/>
      </c>
      <c r="L58" s="73" t="str" cm="1">
        <f t="array" ref="L58">IFERROR(
IF($J$2="ELA",
IF(VLOOKUP($A58, YES_Reading_ELA[], COLUMN(YES_Reading_ELA[Self-Identified as Indigenous]), FALSE)="", "",
VLOOKUP($A58,YES_Reading_ELA[], COLUMN(YES_Reading_ELA[Self-Identified as Indigenous]), FALSE)),
IF($J$2="FLA",
IF(VLOOKUP($A58, YES_Reading_FLA[], COLUMN(YES_Reading_FLA[Self-Identified as Indigenous]),FALSE)="","",
VLOOKUP($A58,YES_Reading_FLA[],COLUMN(YES_Reading_FLA[Self-Identified as Indigenous]),FALSE)),
IF($J$2="Combined",
IFERROR(
IF(VLOOKUP($A58, YES_Reading_ELA[], COLUMN(YES_Reading_ELA[Self-Identified as Indigenous]), FALSE)="", "",
VLOOKUP($A58,YES_Reading_ELA[],COLUMN(YES_Reading_ELA[Self-Identified as Indigenous]),FALSE)),
IF(VLOOKUP($A58, YES_Reading_FLA[], COLUMN(YES_Reading_FLA[Self-Identified as Indigenous]),FALSE)="", "", VLOOKUP($A58,YES_Reading_FLA[],COLUMN(YES_Reading_FLA[Self-Identified as Indigenous]),FALSE))),""))),"")</f>
        <v/>
      </c>
    </row>
    <row r="59" spans="1:12" ht="19.5" customHeight="1" x14ac:dyDescent="0.25">
      <c r="A59" s="217"/>
      <c r="B59" s="220"/>
      <c r="C59" s="203"/>
      <c r="D59" s="204"/>
      <c r="E59" s="205"/>
      <c r="F59" s="205"/>
      <c r="G59" s="205"/>
      <c r="H59" s="206"/>
      <c r="I59" s="212"/>
      <c r="J59" s="206"/>
      <c r="K59" s="197" t="str" cm="1">
        <f t="array" ref="K59">IFERROR(
IF($J$2="ELA",
IF(VLOOKUP($A59, YES_Reading_ELA[], COLUMN(YES_Reading_ELA[Self-Identified as African Descent]), FALSE)="", "",
VLOOKUP($A59,YES_Reading_ELA[], COLUMN(YES_Reading_ELA[Self-Identified as African Descent]), FALSE)),
IF($J$2="FLA",
IF(VLOOKUP($A59, YES_Reading_FLA[], COLUMN(YES_Reading_FLA[Self-Identified as African Descent]),FALSE)="","",
VLOOKUP($A59,YES_Reading_FLA[],COLUMN(YES_Reading_FLA[Self-Identified as African Descent]),FALSE)),
IF($J$2="Combined",
IFERROR(
IF(VLOOKUP($A59, YES_Reading_ELA[], COLUMN(YES_Reading_ELA[Self-Identified as African Descent]), FALSE)="", "",
VLOOKUP($A59,YES_Reading_ELA[],COLUMN(YES_Reading_ELA[Self-Identified as African Descent]),FALSE)),
IF(VLOOKUP($A59, YES_Reading_FLA[], COLUMN(YES_Reading_FLA[Self-Identified as African Descent]),FALSE)="", "", VLOOKUP($A59,YES_Reading_FLA[],COLUMN(YES_Reading_FLA[Self-Identified as African Descent]),FALSE))),""))),"")</f>
        <v/>
      </c>
      <c r="L59" s="73" t="str" cm="1">
        <f t="array" ref="L59">IFERROR(
IF($J$2="ELA",
IF(VLOOKUP($A59, YES_Reading_ELA[], COLUMN(YES_Reading_ELA[Self-Identified as Indigenous]), FALSE)="", "",
VLOOKUP($A59,YES_Reading_ELA[], COLUMN(YES_Reading_ELA[Self-Identified as Indigenous]), FALSE)),
IF($J$2="FLA",
IF(VLOOKUP($A59, YES_Reading_FLA[], COLUMN(YES_Reading_FLA[Self-Identified as Indigenous]),FALSE)="","",
VLOOKUP($A59,YES_Reading_FLA[],COLUMN(YES_Reading_FLA[Self-Identified as Indigenous]),FALSE)),
IF($J$2="Combined",
IFERROR(
IF(VLOOKUP($A59, YES_Reading_ELA[], COLUMN(YES_Reading_ELA[Self-Identified as Indigenous]), FALSE)="", "",
VLOOKUP($A59,YES_Reading_ELA[],COLUMN(YES_Reading_ELA[Self-Identified as Indigenous]),FALSE)),
IF(VLOOKUP($A59, YES_Reading_FLA[], COLUMN(YES_Reading_FLA[Self-Identified as Indigenous]),FALSE)="", "", VLOOKUP($A59,YES_Reading_FLA[],COLUMN(YES_Reading_FLA[Self-Identified as Indigenous]),FALSE))),""))),"")</f>
        <v/>
      </c>
    </row>
    <row r="60" spans="1:12" ht="19.5" customHeight="1" x14ac:dyDescent="0.25">
      <c r="A60" s="217"/>
      <c r="B60" s="220"/>
      <c r="C60" s="203"/>
      <c r="D60" s="204"/>
      <c r="E60" s="205"/>
      <c r="F60" s="205"/>
      <c r="G60" s="205"/>
      <c r="H60" s="206"/>
      <c r="I60" s="212"/>
      <c r="J60" s="206"/>
      <c r="K60" s="197" t="str" cm="1">
        <f t="array" ref="K60">IFERROR(
IF($J$2="ELA",
IF(VLOOKUP($A60, YES_Reading_ELA[], COLUMN(YES_Reading_ELA[Self-Identified as African Descent]), FALSE)="", "",
VLOOKUP($A60,YES_Reading_ELA[], COLUMN(YES_Reading_ELA[Self-Identified as African Descent]), FALSE)),
IF($J$2="FLA",
IF(VLOOKUP($A60, YES_Reading_FLA[], COLUMN(YES_Reading_FLA[Self-Identified as African Descent]),FALSE)="","",
VLOOKUP($A60,YES_Reading_FLA[],COLUMN(YES_Reading_FLA[Self-Identified as African Descent]),FALSE)),
IF($J$2="Combined",
IFERROR(
IF(VLOOKUP($A60, YES_Reading_ELA[], COLUMN(YES_Reading_ELA[Self-Identified as African Descent]), FALSE)="", "",
VLOOKUP($A60,YES_Reading_ELA[],COLUMN(YES_Reading_ELA[Self-Identified as African Descent]),FALSE)),
IF(VLOOKUP($A60, YES_Reading_FLA[], COLUMN(YES_Reading_FLA[Self-Identified as African Descent]),FALSE)="", "", VLOOKUP($A60,YES_Reading_FLA[],COLUMN(YES_Reading_FLA[Self-Identified as African Descent]),FALSE))),""))),"")</f>
        <v/>
      </c>
      <c r="L60" s="73" t="str" cm="1">
        <f t="array" ref="L60">IFERROR(
IF($J$2="ELA",
IF(VLOOKUP($A60, YES_Reading_ELA[], COLUMN(YES_Reading_ELA[Self-Identified as Indigenous]), FALSE)="", "",
VLOOKUP($A60,YES_Reading_ELA[], COLUMN(YES_Reading_ELA[Self-Identified as Indigenous]), FALSE)),
IF($J$2="FLA",
IF(VLOOKUP($A60, YES_Reading_FLA[], COLUMN(YES_Reading_FLA[Self-Identified as Indigenous]),FALSE)="","",
VLOOKUP($A60,YES_Reading_FLA[],COLUMN(YES_Reading_FLA[Self-Identified as Indigenous]),FALSE)),
IF($J$2="Combined",
IFERROR(
IF(VLOOKUP($A60, YES_Reading_ELA[], COLUMN(YES_Reading_ELA[Self-Identified as Indigenous]), FALSE)="", "",
VLOOKUP($A60,YES_Reading_ELA[],COLUMN(YES_Reading_ELA[Self-Identified as Indigenous]),FALSE)),
IF(VLOOKUP($A60, YES_Reading_FLA[], COLUMN(YES_Reading_FLA[Self-Identified as Indigenous]),FALSE)="", "", VLOOKUP($A60,YES_Reading_FLA[],COLUMN(YES_Reading_FLA[Self-Identified as Indigenous]),FALSE))),""))),"")</f>
        <v/>
      </c>
    </row>
    <row r="61" spans="1:12" ht="19.5" customHeight="1" x14ac:dyDescent="0.25">
      <c r="A61" s="217"/>
      <c r="B61" s="220"/>
      <c r="C61" s="203"/>
      <c r="D61" s="204"/>
      <c r="E61" s="205"/>
      <c r="F61" s="205"/>
      <c r="G61" s="205"/>
      <c r="H61" s="206"/>
      <c r="I61" s="212"/>
      <c r="J61" s="206"/>
      <c r="K61" s="197" t="str" cm="1">
        <f t="array" ref="K61">IFERROR(
IF($J$2="ELA",
IF(VLOOKUP($A61, YES_Reading_ELA[], COLUMN(YES_Reading_ELA[Self-Identified as African Descent]), FALSE)="", "",
VLOOKUP($A61,YES_Reading_ELA[], COLUMN(YES_Reading_ELA[Self-Identified as African Descent]), FALSE)),
IF($J$2="FLA",
IF(VLOOKUP($A61, YES_Reading_FLA[], COLUMN(YES_Reading_FLA[Self-Identified as African Descent]),FALSE)="","",
VLOOKUP($A61,YES_Reading_FLA[],COLUMN(YES_Reading_FLA[Self-Identified as African Descent]),FALSE)),
IF($J$2="Combined",
IFERROR(
IF(VLOOKUP($A61, YES_Reading_ELA[], COLUMN(YES_Reading_ELA[Self-Identified as African Descent]), FALSE)="", "",
VLOOKUP($A61,YES_Reading_ELA[],COLUMN(YES_Reading_ELA[Self-Identified as African Descent]),FALSE)),
IF(VLOOKUP($A61, YES_Reading_FLA[], COLUMN(YES_Reading_FLA[Self-Identified as African Descent]),FALSE)="", "", VLOOKUP($A61,YES_Reading_FLA[],COLUMN(YES_Reading_FLA[Self-Identified as African Descent]),FALSE))),""))),"")</f>
        <v/>
      </c>
      <c r="L61" s="73" t="str" cm="1">
        <f t="array" ref="L61">IFERROR(
IF($J$2="ELA",
IF(VLOOKUP($A61, YES_Reading_ELA[], COLUMN(YES_Reading_ELA[Self-Identified as Indigenous]), FALSE)="", "",
VLOOKUP($A61,YES_Reading_ELA[], COLUMN(YES_Reading_ELA[Self-Identified as Indigenous]), FALSE)),
IF($J$2="FLA",
IF(VLOOKUP($A61, YES_Reading_FLA[], COLUMN(YES_Reading_FLA[Self-Identified as Indigenous]),FALSE)="","",
VLOOKUP($A61,YES_Reading_FLA[],COLUMN(YES_Reading_FLA[Self-Identified as Indigenous]),FALSE)),
IF($J$2="Combined",
IFERROR(
IF(VLOOKUP($A61, YES_Reading_ELA[], COLUMN(YES_Reading_ELA[Self-Identified as Indigenous]), FALSE)="", "",
VLOOKUP($A61,YES_Reading_ELA[],COLUMN(YES_Reading_ELA[Self-Identified as Indigenous]),FALSE)),
IF(VLOOKUP($A61, YES_Reading_FLA[], COLUMN(YES_Reading_FLA[Self-Identified as Indigenous]),FALSE)="", "", VLOOKUP($A61,YES_Reading_FLA[],COLUMN(YES_Reading_FLA[Self-Identified as Indigenous]),FALSE))),""))),"")</f>
        <v/>
      </c>
    </row>
    <row r="62" spans="1:12" ht="19.5" customHeight="1" x14ac:dyDescent="0.25">
      <c r="A62" s="217"/>
      <c r="B62" s="220"/>
      <c r="C62" s="203"/>
      <c r="D62" s="204"/>
      <c r="E62" s="205"/>
      <c r="F62" s="205"/>
      <c r="G62" s="205"/>
      <c r="H62" s="206"/>
      <c r="I62" s="212"/>
      <c r="J62" s="206"/>
      <c r="K62" s="197" t="str" cm="1">
        <f t="array" ref="K62">IFERROR(
IF($J$2="ELA",
IF(VLOOKUP($A62, YES_Reading_ELA[], COLUMN(YES_Reading_ELA[Self-Identified as African Descent]), FALSE)="", "",
VLOOKUP($A62,YES_Reading_ELA[], COLUMN(YES_Reading_ELA[Self-Identified as African Descent]), FALSE)),
IF($J$2="FLA",
IF(VLOOKUP($A62, YES_Reading_FLA[], COLUMN(YES_Reading_FLA[Self-Identified as African Descent]),FALSE)="","",
VLOOKUP($A62,YES_Reading_FLA[],COLUMN(YES_Reading_FLA[Self-Identified as African Descent]),FALSE)),
IF($J$2="Combined",
IFERROR(
IF(VLOOKUP($A62, YES_Reading_ELA[], COLUMN(YES_Reading_ELA[Self-Identified as African Descent]), FALSE)="", "",
VLOOKUP($A62,YES_Reading_ELA[],COLUMN(YES_Reading_ELA[Self-Identified as African Descent]),FALSE)),
IF(VLOOKUP($A62, YES_Reading_FLA[], COLUMN(YES_Reading_FLA[Self-Identified as African Descent]),FALSE)="", "", VLOOKUP($A62,YES_Reading_FLA[],COLUMN(YES_Reading_FLA[Self-Identified as African Descent]),FALSE))),""))),"")</f>
        <v/>
      </c>
      <c r="L62" s="73" t="str" cm="1">
        <f t="array" ref="L62">IFERROR(
IF($J$2="ELA",
IF(VLOOKUP($A62, YES_Reading_ELA[], COLUMN(YES_Reading_ELA[Self-Identified as Indigenous]), FALSE)="", "",
VLOOKUP($A62,YES_Reading_ELA[], COLUMN(YES_Reading_ELA[Self-Identified as Indigenous]), FALSE)),
IF($J$2="FLA",
IF(VLOOKUP($A62, YES_Reading_FLA[], COLUMN(YES_Reading_FLA[Self-Identified as Indigenous]),FALSE)="","",
VLOOKUP($A62,YES_Reading_FLA[],COLUMN(YES_Reading_FLA[Self-Identified as Indigenous]),FALSE)),
IF($J$2="Combined",
IFERROR(
IF(VLOOKUP($A62, YES_Reading_ELA[], COLUMN(YES_Reading_ELA[Self-Identified as Indigenous]), FALSE)="", "",
VLOOKUP($A62,YES_Reading_ELA[],COLUMN(YES_Reading_ELA[Self-Identified as Indigenous]),FALSE)),
IF(VLOOKUP($A62, YES_Reading_FLA[], COLUMN(YES_Reading_FLA[Self-Identified as Indigenous]),FALSE)="", "", VLOOKUP($A62,YES_Reading_FLA[],COLUMN(YES_Reading_FLA[Self-Identified as Indigenous]),FALSE))),""))),"")</f>
        <v/>
      </c>
    </row>
    <row r="63" spans="1:12" ht="19.5" customHeight="1" x14ac:dyDescent="0.25">
      <c r="A63" s="217"/>
      <c r="B63" s="220"/>
      <c r="C63" s="203"/>
      <c r="D63" s="204"/>
      <c r="E63" s="205"/>
      <c r="F63" s="205"/>
      <c r="G63" s="205"/>
      <c r="H63" s="206"/>
      <c r="I63" s="212"/>
      <c r="J63" s="206"/>
      <c r="K63" s="197" t="str" cm="1">
        <f t="array" ref="K63">IFERROR(
IF($J$2="ELA",
IF(VLOOKUP($A63, YES_Reading_ELA[], COLUMN(YES_Reading_ELA[Self-Identified as African Descent]), FALSE)="", "",
VLOOKUP($A63,YES_Reading_ELA[], COLUMN(YES_Reading_ELA[Self-Identified as African Descent]), FALSE)),
IF($J$2="FLA",
IF(VLOOKUP($A63, YES_Reading_FLA[], COLUMN(YES_Reading_FLA[Self-Identified as African Descent]),FALSE)="","",
VLOOKUP($A63,YES_Reading_FLA[],COLUMN(YES_Reading_FLA[Self-Identified as African Descent]),FALSE)),
IF($J$2="Combined",
IFERROR(
IF(VLOOKUP($A63, YES_Reading_ELA[], COLUMN(YES_Reading_ELA[Self-Identified as African Descent]), FALSE)="", "",
VLOOKUP($A63,YES_Reading_ELA[],COLUMN(YES_Reading_ELA[Self-Identified as African Descent]),FALSE)),
IF(VLOOKUP($A63, YES_Reading_FLA[], COLUMN(YES_Reading_FLA[Self-Identified as African Descent]),FALSE)="", "", VLOOKUP($A63,YES_Reading_FLA[],COLUMN(YES_Reading_FLA[Self-Identified as African Descent]),FALSE))),""))),"")</f>
        <v/>
      </c>
      <c r="L63" s="73" t="str" cm="1">
        <f t="array" ref="L63">IFERROR(
IF($J$2="ELA",
IF(VLOOKUP($A63, YES_Reading_ELA[], COLUMN(YES_Reading_ELA[Self-Identified as Indigenous]), FALSE)="", "",
VLOOKUP($A63,YES_Reading_ELA[], COLUMN(YES_Reading_ELA[Self-Identified as Indigenous]), FALSE)),
IF($J$2="FLA",
IF(VLOOKUP($A63, YES_Reading_FLA[], COLUMN(YES_Reading_FLA[Self-Identified as Indigenous]),FALSE)="","",
VLOOKUP($A63,YES_Reading_FLA[],COLUMN(YES_Reading_FLA[Self-Identified as Indigenous]),FALSE)),
IF($J$2="Combined",
IFERROR(
IF(VLOOKUP($A63, YES_Reading_ELA[], COLUMN(YES_Reading_ELA[Self-Identified as Indigenous]), FALSE)="", "",
VLOOKUP($A63,YES_Reading_ELA[],COLUMN(YES_Reading_ELA[Self-Identified as Indigenous]),FALSE)),
IF(VLOOKUP($A63, YES_Reading_FLA[], COLUMN(YES_Reading_FLA[Self-Identified as Indigenous]),FALSE)="", "", VLOOKUP($A63,YES_Reading_FLA[],COLUMN(YES_Reading_FLA[Self-Identified as Indigenous]),FALSE))),""))),"")</f>
        <v/>
      </c>
    </row>
    <row r="64" spans="1:12" ht="19.5" customHeight="1" x14ac:dyDescent="0.25">
      <c r="A64" s="217"/>
      <c r="B64" s="220"/>
      <c r="C64" s="203"/>
      <c r="D64" s="204"/>
      <c r="E64" s="205"/>
      <c r="F64" s="205"/>
      <c r="G64" s="205"/>
      <c r="H64" s="206"/>
      <c r="I64" s="212"/>
      <c r="J64" s="206"/>
      <c r="K64" s="197" t="str" cm="1">
        <f t="array" ref="K64">IFERROR(
IF($J$2="ELA",
IF(VLOOKUP($A64, YES_Reading_ELA[], COLUMN(YES_Reading_ELA[Self-Identified as African Descent]), FALSE)="", "",
VLOOKUP($A64,YES_Reading_ELA[], COLUMN(YES_Reading_ELA[Self-Identified as African Descent]), FALSE)),
IF($J$2="FLA",
IF(VLOOKUP($A64, YES_Reading_FLA[], COLUMN(YES_Reading_FLA[Self-Identified as African Descent]),FALSE)="","",
VLOOKUP($A64,YES_Reading_FLA[],COLUMN(YES_Reading_FLA[Self-Identified as African Descent]),FALSE)),
IF($J$2="Combined",
IFERROR(
IF(VLOOKUP($A64, YES_Reading_ELA[], COLUMN(YES_Reading_ELA[Self-Identified as African Descent]), FALSE)="", "",
VLOOKUP($A64,YES_Reading_ELA[],COLUMN(YES_Reading_ELA[Self-Identified as African Descent]),FALSE)),
IF(VLOOKUP($A64, YES_Reading_FLA[], COLUMN(YES_Reading_FLA[Self-Identified as African Descent]),FALSE)="", "", VLOOKUP($A64,YES_Reading_FLA[],COLUMN(YES_Reading_FLA[Self-Identified as African Descent]),FALSE))),""))),"")</f>
        <v/>
      </c>
      <c r="L64" s="73" t="str" cm="1">
        <f t="array" ref="L64">IFERROR(
IF($J$2="ELA",
IF(VLOOKUP($A64, YES_Reading_ELA[], COLUMN(YES_Reading_ELA[Self-Identified as Indigenous]), FALSE)="", "",
VLOOKUP($A64,YES_Reading_ELA[], COLUMN(YES_Reading_ELA[Self-Identified as Indigenous]), FALSE)),
IF($J$2="FLA",
IF(VLOOKUP($A64, YES_Reading_FLA[], COLUMN(YES_Reading_FLA[Self-Identified as Indigenous]),FALSE)="","",
VLOOKUP($A64,YES_Reading_FLA[],COLUMN(YES_Reading_FLA[Self-Identified as Indigenous]),FALSE)),
IF($J$2="Combined",
IFERROR(
IF(VLOOKUP($A64, YES_Reading_ELA[], COLUMN(YES_Reading_ELA[Self-Identified as Indigenous]), FALSE)="", "",
VLOOKUP($A64,YES_Reading_ELA[],COLUMN(YES_Reading_ELA[Self-Identified as Indigenous]),FALSE)),
IF(VLOOKUP($A64, YES_Reading_FLA[], COLUMN(YES_Reading_FLA[Self-Identified as Indigenous]),FALSE)="", "", VLOOKUP($A64,YES_Reading_FLA[],COLUMN(YES_Reading_FLA[Self-Identified as Indigenous]),FALSE))),""))),"")</f>
        <v/>
      </c>
    </row>
    <row r="65" spans="1:12" ht="19.5" customHeight="1" x14ac:dyDescent="0.25">
      <c r="A65" s="217"/>
      <c r="B65" s="220"/>
      <c r="C65" s="203"/>
      <c r="D65" s="204"/>
      <c r="E65" s="205"/>
      <c r="F65" s="205"/>
      <c r="G65" s="205"/>
      <c r="H65" s="206"/>
      <c r="I65" s="212"/>
      <c r="J65" s="206"/>
      <c r="K65" s="197" t="str" cm="1">
        <f t="array" ref="K65">IFERROR(
IF($J$2="ELA",
IF(VLOOKUP($A65, YES_Reading_ELA[], COLUMN(YES_Reading_ELA[Self-Identified as African Descent]), FALSE)="", "",
VLOOKUP($A65,YES_Reading_ELA[], COLUMN(YES_Reading_ELA[Self-Identified as African Descent]), FALSE)),
IF($J$2="FLA",
IF(VLOOKUP($A65, YES_Reading_FLA[], COLUMN(YES_Reading_FLA[Self-Identified as African Descent]),FALSE)="","",
VLOOKUP($A65,YES_Reading_FLA[],COLUMN(YES_Reading_FLA[Self-Identified as African Descent]),FALSE)),
IF($J$2="Combined",
IFERROR(
IF(VLOOKUP($A65, YES_Reading_ELA[], COLUMN(YES_Reading_ELA[Self-Identified as African Descent]), FALSE)="", "",
VLOOKUP($A65,YES_Reading_ELA[],COLUMN(YES_Reading_ELA[Self-Identified as African Descent]),FALSE)),
IF(VLOOKUP($A65, YES_Reading_FLA[], COLUMN(YES_Reading_FLA[Self-Identified as African Descent]),FALSE)="", "", VLOOKUP($A65,YES_Reading_FLA[],COLUMN(YES_Reading_FLA[Self-Identified as African Descent]),FALSE))),""))),"")</f>
        <v/>
      </c>
      <c r="L65" s="73" t="str" cm="1">
        <f t="array" ref="L65">IFERROR(
IF($J$2="ELA",
IF(VLOOKUP($A65, YES_Reading_ELA[], COLUMN(YES_Reading_ELA[Self-Identified as Indigenous]), FALSE)="", "",
VLOOKUP($A65,YES_Reading_ELA[], COLUMN(YES_Reading_ELA[Self-Identified as Indigenous]), FALSE)),
IF($J$2="FLA",
IF(VLOOKUP($A65, YES_Reading_FLA[], COLUMN(YES_Reading_FLA[Self-Identified as Indigenous]),FALSE)="","",
VLOOKUP($A65,YES_Reading_FLA[],COLUMN(YES_Reading_FLA[Self-Identified as Indigenous]),FALSE)),
IF($J$2="Combined",
IFERROR(
IF(VLOOKUP($A65, YES_Reading_ELA[], COLUMN(YES_Reading_ELA[Self-Identified as Indigenous]), FALSE)="", "",
VLOOKUP($A65,YES_Reading_ELA[],COLUMN(YES_Reading_ELA[Self-Identified as Indigenous]),FALSE)),
IF(VLOOKUP($A65, YES_Reading_FLA[], COLUMN(YES_Reading_FLA[Self-Identified as Indigenous]),FALSE)="", "", VLOOKUP($A65,YES_Reading_FLA[],COLUMN(YES_Reading_FLA[Self-Identified as Indigenous]),FALSE))),""))),"")</f>
        <v/>
      </c>
    </row>
    <row r="66" spans="1:12" ht="19.5" customHeight="1" x14ac:dyDescent="0.25">
      <c r="A66" s="217"/>
      <c r="B66" s="220"/>
      <c r="C66" s="203"/>
      <c r="D66" s="204"/>
      <c r="E66" s="205"/>
      <c r="F66" s="205"/>
      <c r="G66" s="205"/>
      <c r="H66" s="206"/>
      <c r="I66" s="212"/>
      <c r="J66" s="206"/>
      <c r="K66" s="197" t="str" cm="1">
        <f t="array" ref="K66">IFERROR(
IF($J$2="ELA",
IF(VLOOKUP($A66, YES_Reading_ELA[], COLUMN(YES_Reading_ELA[Self-Identified as African Descent]), FALSE)="", "",
VLOOKUP($A66,YES_Reading_ELA[], COLUMN(YES_Reading_ELA[Self-Identified as African Descent]), FALSE)),
IF($J$2="FLA",
IF(VLOOKUP($A66, YES_Reading_FLA[], COLUMN(YES_Reading_FLA[Self-Identified as African Descent]),FALSE)="","",
VLOOKUP($A66,YES_Reading_FLA[],COLUMN(YES_Reading_FLA[Self-Identified as African Descent]),FALSE)),
IF($J$2="Combined",
IFERROR(
IF(VLOOKUP($A66, YES_Reading_ELA[], COLUMN(YES_Reading_ELA[Self-Identified as African Descent]), FALSE)="", "",
VLOOKUP($A66,YES_Reading_ELA[],COLUMN(YES_Reading_ELA[Self-Identified as African Descent]),FALSE)),
IF(VLOOKUP($A66, YES_Reading_FLA[], COLUMN(YES_Reading_FLA[Self-Identified as African Descent]),FALSE)="", "", VLOOKUP($A66,YES_Reading_FLA[],COLUMN(YES_Reading_FLA[Self-Identified as African Descent]),FALSE))),""))),"")</f>
        <v/>
      </c>
      <c r="L66" s="73" t="str" cm="1">
        <f t="array" ref="L66">IFERROR(
IF($J$2="ELA",
IF(VLOOKUP($A66, YES_Reading_ELA[], COLUMN(YES_Reading_ELA[Self-Identified as Indigenous]), FALSE)="", "",
VLOOKUP($A66,YES_Reading_ELA[], COLUMN(YES_Reading_ELA[Self-Identified as Indigenous]), FALSE)),
IF($J$2="FLA",
IF(VLOOKUP($A66, YES_Reading_FLA[], COLUMN(YES_Reading_FLA[Self-Identified as Indigenous]),FALSE)="","",
VLOOKUP($A66,YES_Reading_FLA[],COLUMN(YES_Reading_FLA[Self-Identified as Indigenous]),FALSE)),
IF($J$2="Combined",
IFERROR(
IF(VLOOKUP($A66, YES_Reading_ELA[], COLUMN(YES_Reading_ELA[Self-Identified as Indigenous]), FALSE)="", "",
VLOOKUP($A66,YES_Reading_ELA[],COLUMN(YES_Reading_ELA[Self-Identified as Indigenous]),FALSE)),
IF(VLOOKUP($A66, YES_Reading_FLA[], COLUMN(YES_Reading_FLA[Self-Identified as Indigenous]),FALSE)="", "", VLOOKUP($A66,YES_Reading_FLA[],COLUMN(YES_Reading_FLA[Self-Identified as Indigenous]),FALSE))),""))),"")</f>
        <v/>
      </c>
    </row>
    <row r="67" spans="1:12" ht="19.5" customHeight="1" thickBot="1" x14ac:dyDescent="0.3">
      <c r="A67" s="218"/>
      <c r="B67" s="221"/>
      <c r="C67" s="208"/>
      <c r="D67" s="209"/>
      <c r="E67" s="210"/>
      <c r="F67" s="210"/>
      <c r="G67" s="210"/>
      <c r="H67" s="211"/>
      <c r="I67" s="213"/>
      <c r="J67" s="211"/>
      <c r="K67" s="198" t="str" cm="1">
        <f t="array" ref="K67">IFERROR(
IF($J$2="ELA",
IF(VLOOKUP($A67, YES_Reading_ELA[], COLUMN(YES_Reading_ELA[Self-Identified as African Descent]), FALSE)="", "",
VLOOKUP($A67,YES_Reading_ELA[], COLUMN(YES_Reading_ELA[Self-Identified as African Descent]), FALSE)),
IF($J$2="FLA",
IF(VLOOKUP($A67, YES_Reading_FLA[], COLUMN(YES_Reading_FLA[Self-Identified as African Descent]),FALSE)="","",
VLOOKUP($A67,YES_Reading_FLA[],COLUMN(YES_Reading_FLA[Self-Identified as African Descent]),FALSE)),
IF($J$2="Combined",
IFERROR(
IF(VLOOKUP($A67, YES_Reading_ELA[], COLUMN(YES_Reading_ELA[Self-Identified as African Descent]), FALSE)="", "",
VLOOKUP($A67,YES_Reading_ELA[],COLUMN(YES_Reading_ELA[Self-Identified as African Descent]),FALSE)),
IF(VLOOKUP($A67, YES_Reading_FLA[], COLUMN(YES_Reading_FLA[Self-Identified as African Descent]),FALSE)="", "", VLOOKUP($A67,YES_Reading_FLA[],COLUMN(YES_Reading_FLA[Self-Identified as African Descent]),FALSE))),""))),"")</f>
        <v/>
      </c>
      <c r="L67" s="74" t="str" cm="1">
        <f t="array" ref="L67">IFERROR(
IF($J$2="ELA",
IF(VLOOKUP($A67, YES_Reading_ELA[], COLUMN(YES_Reading_ELA[Self-Identified as Indigenous]), FALSE)="", "",
VLOOKUP($A67,YES_Reading_ELA[], COLUMN(YES_Reading_ELA[Self-Identified as Indigenous]), FALSE)),
IF($J$2="FLA",
IF(VLOOKUP($A67, YES_Reading_FLA[], COLUMN(YES_Reading_FLA[Self-Identified as Indigenous]),FALSE)="","",
VLOOKUP($A67,YES_Reading_FLA[],COLUMN(YES_Reading_FLA[Self-Identified as Indigenous]),FALSE)),
IF($J$2="Combined",
IFERROR(
IF(VLOOKUP($A67, YES_Reading_ELA[], COLUMN(YES_Reading_ELA[Self-Identified as Indigenous]), FALSE)="", "",
VLOOKUP($A67,YES_Reading_ELA[],COLUMN(YES_Reading_ELA[Self-Identified as Indigenous]),FALSE)),
IF(VLOOKUP($A67, YES_Reading_FLA[], COLUMN(YES_Reading_FLA[Self-Identified as Indigenous]),FALSE)="", "", VLOOKUP($A67,YES_Reading_FLA[],COLUMN(YES_Reading_FLA[Self-Identified as Indigenous]),FALSE))),""))),"")</f>
        <v/>
      </c>
    </row>
    <row r="68" spans="1:12" x14ac:dyDescent="0.25">
      <c r="A68" s="214"/>
      <c r="B68" s="214" t="s">
        <v>241</v>
      </c>
      <c r="C68" s="214"/>
      <c r="D68" s="215" t="str" cm="1">
        <f t="array" ref="D68">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Set")))=$D$1)),1,1,FALSE),FALSE,FALSE),3),"")</f>
        <v/>
      </c>
      <c r="E68" s="215"/>
      <c r="F68" s="215"/>
      <c r="G68" s="215"/>
      <c r="H68" s="355" t="s">
        <v>242</v>
      </c>
      <c r="I68" s="356"/>
      <c r="J68" s="215"/>
    </row>
    <row r="69" spans="1:12" x14ac:dyDescent="0.25">
      <c r="A69" s="214"/>
      <c r="B69" s="214" t="str">
        <f>"Date: "&amp;$D$3</f>
        <v xml:space="preserve">Date: </v>
      </c>
      <c r="C69" s="214"/>
      <c r="D69" s="215"/>
      <c r="E69" s="215"/>
      <c r="F69" s="215"/>
      <c r="G69" s="215"/>
      <c r="H69" s="357" t="s">
        <v>243</v>
      </c>
      <c r="I69" s="358"/>
      <c r="J69" s="215"/>
    </row>
    <row r="70" spans="1:12" ht="15.75" thickBot="1" x14ac:dyDescent="0.3">
      <c r="A70" s="215"/>
      <c r="B70" s="215"/>
      <c r="C70" s="215"/>
      <c r="D70" s="215"/>
      <c r="E70" s="215"/>
      <c r="F70" s="215"/>
      <c r="G70" s="215"/>
      <c r="H70" s="353" t="s">
        <v>244</v>
      </c>
      <c r="I70" s="354"/>
      <c r="J70" s="215"/>
    </row>
    <row r="71" spans="1:12" ht="85.5" customHeight="1" thickBot="1" x14ac:dyDescent="0.3">
      <c r="A71" s="192" t="s">
        <v>44</v>
      </c>
      <c r="B71" s="187" t="s">
        <v>245</v>
      </c>
      <c r="C71" s="188" t="s">
        <v>246</v>
      </c>
      <c r="D71" s="188" t="s">
        <v>247</v>
      </c>
      <c r="E71" s="188" t="s">
        <v>248</v>
      </c>
      <c r="F71" s="188" t="s">
        <v>249</v>
      </c>
      <c r="G71" s="188" t="s">
        <v>250</v>
      </c>
      <c r="H71" s="189" t="s">
        <v>251</v>
      </c>
      <c r="I71" s="190" t="s">
        <v>252</v>
      </c>
      <c r="J71" s="191" t="s">
        <v>253</v>
      </c>
      <c r="K71" s="200" t="s">
        <v>256</v>
      </c>
      <c r="L71" s="201" t="s">
        <v>257</v>
      </c>
    </row>
    <row r="72" spans="1:12" ht="19.5" customHeight="1" x14ac:dyDescent="0.25">
      <c r="A72" s="216" t="e" cm="1" vm="1">
        <f t="array" aca="1" ref="A72" ca="1">_xlfn._xlws.FILTER(_xlfn.VSTACK(YES_Reading_ELA[Student Number],YES_Reading_FLA[Student Number]),_xlfn.VSTACK(YES_Reading_ELA[HomeRoom],YES_Reading_FLA[Homeroom])=D68)</f>
        <v>#VALUE!</v>
      </c>
      <c r="B72" s="219"/>
      <c r="C72" s="203"/>
      <c r="D72" s="204"/>
      <c r="E72" s="205"/>
      <c r="F72" s="205"/>
      <c r="G72" s="205"/>
      <c r="H72" s="206"/>
      <c r="I72" s="227"/>
      <c r="J72" s="206"/>
      <c r="K72" s="24" t="str" cm="1">
        <f t="array" aca="1" ref="K72" ca="1">IFERROR(
IF($J$2="ELA",
IF(VLOOKUP($A72, YES_Reading_ELA[], COLUMN(YES_Reading_ELA[Self-Identified as African Descent]), FALSE)="", "",
VLOOKUP($A72,YES_Reading_ELA[], COLUMN(YES_Reading_ELA[Self-Identified as African Descent]), FALSE)),
IF($J$2="FLA",
IF(VLOOKUP($A72, YES_Reading_FLA[], COLUMN(YES_Reading_FLA[Self-Identified as African Descent]),FALSE)="","",
VLOOKUP($A72,YES_Reading_FLA[],COLUMN(YES_Reading_FLA[Self-Identified as African Descent]),FALSE)),
IF($J$2="Combined",
IFERROR(
IF(VLOOKUP($A72, YES_Reading_ELA[], COLUMN(YES_Reading_ELA[Self-Identified as African Descent]), FALSE)="", "",
VLOOKUP($A72,YES_Reading_ELA[],COLUMN(YES_Reading_ELA[Self-Identified as African Descent]),FALSE)),
IF(VLOOKUP($A72, YES_Reading_FLA[], COLUMN(YES_Reading_FLA[Self-Identified as African Descent]),FALSE)="", "", VLOOKUP($A72,YES_Reading_FLA[],COLUMN(YES_Reading_FLA[Self-Identified as African Descent]),FALSE))),""))),"")</f>
        <v/>
      </c>
      <c r="L72" s="199" t="str" cm="1">
        <f t="array" aca="1" ref="L72" ca="1">IFERROR(
IF($J$2="ELA",
IF(VLOOKUP($A72, YES_Reading_ELA[], COLUMN(YES_Reading_ELA[Self-Identified as Indigenous]), FALSE)="", "",
VLOOKUP($A72,YES_Reading_ELA[], COLUMN(YES_Reading_ELA[Self-Identified as Indigenous]), FALSE)),
IF($J$2="FLA",
IF(VLOOKUP($A72, YES_Reading_FLA[], COLUMN(YES_Reading_FLA[Self-Identified as Indigenous]),FALSE)="","",
VLOOKUP($A72,YES_Reading_FLA[],COLUMN(YES_Reading_FLA[Self-Identified as Indigenous]),FALSE)),
IF($J$2="Combined",
IFERROR(
IF(VLOOKUP($A72, YES_Reading_ELA[], COLUMN(YES_Reading_ELA[Self-Identified as Indigenous]), FALSE)="", "",
VLOOKUP($A72,YES_Reading_ELA[],COLUMN(YES_Reading_ELA[Self-Identified as Indigenous]),FALSE)),
IF(VLOOKUP($A72, YES_Reading_FLA[], COLUMN(YES_Reading_FLA[Self-Identified as Indigenous]),FALSE)="", "", VLOOKUP($A72,YES_Reading_FLA[],COLUMN(YES_Reading_FLA[Self-Identified as Indigenous]),FALSE))),""))),"")</f>
        <v/>
      </c>
    </row>
    <row r="73" spans="1:12" ht="19.5" customHeight="1" x14ac:dyDescent="0.25">
      <c r="A73" s="217"/>
      <c r="B73" s="220"/>
      <c r="C73" s="203"/>
      <c r="D73" s="204"/>
      <c r="E73" s="205"/>
      <c r="F73" s="205"/>
      <c r="G73" s="205"/>
      <c r="H73" s="206"/>
      <c r="I73" s="212"/>
      <c r="J73" s="206"/>
      <c r="K73" s="197" t="str" cm="1">
        <f t="array" ref="K73">IFERROR(
IF($J$2="ELA",
IF(VLOOKUP($A73, YES_Reading_ELA[], COLUMN(YES_Reading_ELA[Self-Identified as African Descent]), FALSE)="", "",
VLOOKUP($A73,YES_Reading_ELA[], COLUMN(YES_Reading_ELA[Self-Identified as African Descent]), FALSE)),
IF($J$2="FLA",
IF(VLOOKUP($A73, YES_Reading_FLA[], COLUMN(YES_Reading_FLA[Self-Identified as African Descent]),FALSE)="","",
VLOOKUP($A73,YES_Reading_FLA[],COLUMN(YES_Reading_FLA[Self-Identified as African Descent]),FALSE)),
IF($J$2="Combined",
IFERROR(
IF(VLOOKUP($A73, YES_Reading_ELA[], COLUMN(YES_Reading_ELA[Self-Identified as African Descent]), FALSE)="", "",
VLOOKUP($A73,YES_Reading_ELA[],COLUMN(YES_Reading_ELA[Self-Identified as African Descent]),FALSE)),
IF(VLOOKUP($A73, YES_Reading_FLA[], COLUMN(YES_Reading_FLA[Self-Identified as African Descent]),FALSE)="", "", VLOOKUP($A73,YES_Reading_FLA[],COLUMN(YES_Reading_FLA[Self-Identified as African Descent]),FALSE))),""))),"")</f>
        <v/>
      </c>
      <c r="L73" s="73" t="str" cm="1">
        <f t="array" ref="L73">IFERROR(
IF($J$2="ELA",
IF(VLOOKUP($A73, YES_Reading_ELA[], COLUMN(YES_Reading_ELA[Self-Identified as Indigenous]), FALSE)="", "",
VLOOKUP($A73,YES_Reading_ELA[], COLUMN(YES_Reading_ELA[Self-Identified as Indigenous]), FALSE)),
IF($J$2="FLA",
IF(VLOOKUP($A73, YES_Reading_FLA[], COLUMN(YES_Reading_FLA[Self-Identified as Indigenous]),FALSE)="","",
VLOOKUP($A73,YES_Reading_FLA[],COLUMN(YES_Reading_FLA[Self-Identified as Indigenous]),FALSE)),
IF($J$2="Combined",
IFERROR(
IF(VLOOKUP($A73, YES_Reading_ELA[], COLUMN(YES_Reading_ELA[Self-Identified as Indigenous]), FALSE)="", "",
VLOOKUP($A73,YES_Reading_ELA[],COLUMN(YES_Reading_ELA[Self-Identified as Indigenous]),FALSE)),
IF(VLOOKUP($A73, YES_Reading_FLA[], COLUMN(YES_Reading_FLA[Self-Identified as Indigenous]),FALSE)="", "", VLOOKUP($A73,YES_Reading_FLA[],COLUMN(YES_Reading_FLA[Self-Identified as Indigenous]),FALSE))),""))),"")</f>
        <v/>
      </c>
    </row>
    <row r="74" spans="1:12" ht="19.5" customHeight="1" x14ac:dyDescent="0.25">
      <c r="A74" s="217"/>
      <c r="B74" s="220"/>
      <c r="C74" s="203"/>
      <c r="D74" s="204"/>
      <c r="E74" s="205"/>
      <c r="F74" s="205"/>
      <c r="G74" s="205"/>
      <c r="H74" s="206"/>
      <c r="I74" s="212"/>
      <c r="J74" s="206"/>
      <c r="K74" s="197" t="str" cm="1">
        <f t="array" ref="K74">IFERROR(
IF($J$2="ELA",
IF(VLOOKUP($A74, YES_Reading_ELA[], COLUMN(YES_Reading_ELA[Self-Identified as African Descent]), FALSE)="", "",
VLOOKUP($A74,YES_Reading_ELA[], COLUMN(YES_Reading_ELA[Self-Identified as African Descent]), FALSE)),
IF($J$2="FLA",
IF(VLOOKUP($A74, YES_Reading_FLA[], COLUMN(YES_Reading_FLA[Self-Identified as African Descent]),FALSE)="","",
VLOOKUP($A74,YES_Reading_FLA[],COLUMN(YES_Reading_FLA[Self-Identified as African Descent]),FALSE)),
IF($J$2="Combined",
IFERROR(
IF(VLOOKUP($A74, YES_Reading_ELA[], COLUMN(YES_Reading_ELA[Self-Identified as African Descent]), FALSE)="", "",
VLOOKUP($A74,YES_Reading_ELA[],COLUMN(YES_Reading_ELA[Self-Identified as African Descent]),FALSE)),
IF(VLOOKUP($A74, YES_Reading_FLA[], COLUMN(YES_Reading_FLA[Self-Identified as African Descent]),FALSE)="", "", VLOOKUP($A74,YES_Reading_FLA[],COLUMN(YES_Reading_FLA[Self-Identified as African Descent]),FALSE))),""))),"")</f>
        <v/>
      </c>
      <c r="L74" s="73" t="str" cm="1">
        <f t="array" ref="L74">IFERROR(
IF($J$2="ELA",
IF(VLOOKUP($A74, YES_Reading_ELA[], COLUMN(YES_Reading_ELA[Self-Identified as Indigenous]), FALSE)="", "",
VLOOKUP($A74,YES_Reading_ELA[], COLUMN(YES_Reading_ELA[Self-Identified as Indigenous]), FALSE)),
IF($J$2="FLA",
IF(VLOOKUP($A74, YES_Reading_FLA[], COLUMN(YES_Reading_FLA[Self-Identified as Indigenous]),FALSE)="","",
VLOOKUP($A74,YES_Reading_FLA[],COLUMN(YES_Reading_FLA[Self-Identified as Indigenous]),FALSE)),
IF($J$2="Combined",
IFERROR(
IF(VLOOKUP($A74, YES_Reading_ELA[], COLUMN(YES_Reading_ELA[Self-Identified as Indigenous]), FALSE)="", "",
VLOOKUP($A74,YES_Reading_ELA[],COLUMN(YES_Reading_ELA[Self-Identified as Indigenous]),FALSE)),
IF(VLOOKUP($A74, YES_Reading_FLA[], COLUMN(YES_Reading_FLA[Self-Identified as Indigenous]),FALSE)="", "", VLOOKUP($A74,YES_Reading_FLA[],COLUMN(YES_Reading_FLA[Self-Identified as Indigenous]),FALSE))),""))),"")</f>
        <v/>
      </c>
    </row>
    <row r="75" spans="1:12" ht="19.5" customHeight="1" x14ac:dyDescent="0.25">
      <c r="A75" s="217"/>
      <c r="B75" s="220"/>
      <c r="C75" s="203"/>
      <c r="D75" s="204"/>
      <c r="E75" s="205"/>
      <c r="F75" s="205"/>
      <c r="G75" s="205"/>
      <c r="H75" s="206"/>
      <c r="I75" s="212"/>
      <c r="J75" s="206"/>
      <c r="K75" s="197" t="str" cm="1">
        <f t="array" ref="K75">IFERROR(
IF($J$2="ELA",
IF(VLOOKUP($A75, YES_Reading_ELA[], COLUMN(YES_Reading_ELA[Self-Identified as African Descent]), FALSE)="", "",
VLOOKUP($A75,YES_Reading_ELA[], COLUMN(YES_Reading_ELA[Self-Identified as African Descent]), FALSE)),
IF($J$2="FLA",
IF(VLOOKUP($A75, YES_Reading_FLA[], COLUMN(YES_Reading_FLA[Self-Identified as African Descent]),FALSE)="","",
VLOOKUP($A75,YES_Reading_FLA[],COLUMN(YES_Reading_FLA[Self-Identified as African Descent]),FALSE)),
IF($J$2="Combined",
IFERROR(
IF(VLOOKUP($A75, YES_Reading_ELA[], COLUMN(YES_Reading_ELA[Self-Identified as African Descent]), FALSE)="", "",
VLOOKUP($A75,YES_Reading_ELA[],COLUMN(YES_Reading_ELA[Self-Identified as African Descent]),FALSE)),
IF(VLOOKUP($A75, YES_Reading_FLA[], COLUMN(YES_Reading_FLA[Self-Identified as African Descent]),FALSE)="", "", VLOOKUP($A75,YES_Reading_FLA[],COLUMN(YES_Reading_FLA[Self-Identified as African Descent]),FALSE))),""))),"")</f>
        <v/>
      </c>
      <c r="L75" s="73" t="str" cm="1">
        <f t="array" ref="L75">IFERROR(
IF($J$2="ELA",
IF(VLOOKUP($A75, YES_Reading_ELA[], COLUMN(YES_Reading_ELA[Self-Identified as Indigenous]), FALSE)="", "",
VLOOKUP($A75,YES_Reading_ELA[], COLUMN(YES_Reading_ELA[Self-Identified as Indigenous]), FALSE)),
IF($J$2="FLA",
IF(VLOOKUP($A75, YES_Reading_FLA[], COLUMN(YES_Reading_FLA[Self-Identified as Indigenous]),FALSE)="","",
VLOOKUP($A75,YES_Reading_FLA[],COLUMN(YES_Reading_FLA[Self-Identified as Indigenous]),FALSE)),
IF($J$2="Combined",
IFERROR(
IF(VLOOKUP($A75, YES_Reading_ELA[], COLUMN(YES_Reading_ELA[Self-Identified as Indigenous]), FALSE)="", "",
VLOOKUP($A75,YES_Reading_ELA[],COLUMN(YES_Reading_ELA[Self-Identified as Indigenous]),FALSE)),
IF(VLOOKUP($A75, YES_Reading_FLA[], COLUMN(YES_Reading_FLA[Self-Identified as Indigenous]),FALSE)="", "", VLOOKUP($A75,YES_Reading_FLA[],COLUMN(YES_Reading_FLA[Self-Identified as Indigenous]),FALSE))),""))),"")</f>
        <v/>
      </c>
    </row>
    <row r="76" spans="1:12" ht="19.5" customHeight="1" x14ac:dyDescent="0.25">
      <c r="A76" s="217"/>
      <c r="B76" s="220"/>
      <c r="C76" s="203"/>
      <c r="D76" s="204"/>
      <c r="E76" s="205"/>
      <c r="F76" s="205"/>
      <c r="G76" s="205"/>
      <c r="H76" s="206"/>
      <c r="I76" s="212"/>
      <c r="J76" s="206"/>
      <c r="K76" s="197" t="str" cm="1">
        <f t="array" ref="K76">IFERROR(
IF($J$2="ELA",
IF(VLOOKUP($A76, YES_Reading_ELA[], COLUMN(YES_Reading_ELA[Self-Identified as African Descent]), FALSE)="", "",
VLOOKUP($A76,YES_Reading_ELA[], COLUMN(YES_Reading_ELA[Self-Identified as African Descent]), FALSE)),
IF($J$2="FLA",
IF(VLOOKUP($A76, YES_Reading_FLA[], COLUMN(YES_Reading_FLA[Self-Identified as African Descent]),FALSE)="","",
VLOOKUP($A76,YES_Reading_FLA[],COLUMN(YES_Reading_FLA[Self-Identified as African Descent]),FALSE)),
IF($J$2="Combined",
IFERROR(
IF(VLOOKUP($A76, YES_Reading_ELA[], COLUMN(YES_Reading_ELA[Self-Identified as African Descent]), FALSE)="", "",
VLOOKUP($A76,YES_Reading_ELA[],COLUMN(YES_Reading_ELA[Self-Identified as African Descent]),FALSE)),
IF(VLOOKUP($A76, YES_Reading_FLA[], COLUMN(YES_Reading_FLA[Self-Identified as African Descent]),FALSE)="", "", VLOOKUP($A76,YES_Reading_FLA[],COLUMN(YES_Reading_FLA[Self-Identified as African Descent]),FALSE))),""))),"")</f>
        <v/>
      </c>
      <c r="L76" s="73" t="str" cm="1">
        <f t="array" ref="L76">IFERROR(
IF($J$2="ELA",
IF(VLOOKUP($A76, YES_Reading_ELA[], COLUMN(YES_Reading_ELA[Self-Identified as Indigenous]), FALSE)="", "",
VLOOKUP($A76,YES_Reading_ELA[], COLUMN(YES_Reading_ELA[Self-Identified as Indigenous]), FALSE)),
IF($J$2="FLA",
IF(VLOOKUP($A76, YES_Reading_FLA[], COLUMN(YES_Reading_FLA[Self-Identified as Indigenous]),FALSE)="","",
VLOOKUP($A76,YES_Reading_FLA[],COLUMN(YES_Reading_FLA[Self-Identified as Indigenous]),FALSE)),
IF($J$2="Combined",
IFERROR(
IF(VLOOKUP($A76, YES_Reading_ELA[], COLUMN(YES_Reading_ELA[Self-Identified as Indigenous]), FALSE)="", "",
VLOOKUP($A76,YES_Reading_ELA[],COLUMN(YES_Reading_ELA[Self-Identified as Indigenous]),FALSE)),
IF(VLOOKUP($A76, YES_Reading_FLA[], COLUMN(YES_Reading_FLA[Self-Identified as Indigenous]),FALSE)="", "", VLOOKUP($A76,YES_Reading_FLA[],COLUMN(YES_Reading_FLA[Self-Identified as Indigenous]),FALSE))),""))),"")</f>
        <v/>
      </c>
    </row>
    <row r="77" spans="1:12" ht="19.5" customHeight="1" x14ac:dyDescent="0.25">
      <c r="A77" s="217"/>
      <c r="B77" s="220"/>
      <c r="C77" s="203"/>
      <c r="D77" s="204"/>
      <c r="E77" s="205"/>
      <c r="F77" s="205"/>
      <c r="G77" s="205"/>
      <c r="H77" s="206"/>
      <c r="I77" s="212"/>
      <c r="J77" s="206"/>
      <c r="K77" s="197" t="str" cm="1">
        <f t="array" ref="K77">IFERROR(
IF($J$2="ELA",
IF(VLOOKUP($A77, YES_Reading_ELA[], COLUMN(YES_Reading_ELA[Self-Identified as African Descent]), FALSE)="", "",
VLOOKUP($A77,YES_Reading_ELA[], COLUMN(YES_Reading_ELA[Self-Identified as African Descent]), FALSE)),
IF($J$2="FLA",
IF(VLOOKUP($A77, YES_Reading_FLA[], COLUMN(YES_Reading_FLA[Self-Identified as African Descent]),FALSE)="","",
VLOOKUP($A77,YES_Reading_FLA[],COLUMN(YES_Reading_FLA[Self-Identified as African Descent]),FALSE)),
IF($J$2="Combined",
IFERROR(
IF(VLOOKUP($A77, YES_Reading_ELA[], COLUMN(YES_Reading_ELA[Self-Identified as African Descent]), FALSE)="", "",
VLOOKUP($A77,YES_Reading_ELA[],COLUMN(YES_Reading_ELA[Self-Identified as African Descent]),FALSE)),
IF(VLOOKUP($A77, YES_Reading_FLA[], COLUMN(YES_Reading_FLA[Self-Identified as African Descent]),FALSE)="", "", VLOOKUP($A77,YES_Reading_FLA[],COLUMN(YES_Reading_FLA[Self-Identified as African Descent]),FALSE))),""))),"")</f>
        <v/>
      </c>
      <c r="L77" s="73" t="str" cm="1">
        <f t="array" ref="L77">IFERROR(
IF($J$2="ELA",
IF(VLOOKUP($A77, YES_Reading_ELA[], COLUMN(YES_Reading_ELA[Self-Identified as Indigenous]), FALSE)="", "",
VLOOKUP($A77,YES_Reading_ELA[], COLUMN(YES_Reading_ELA[Self-Identified as Indigenous]), FALSE)),
IF($J$2="FLA",
IF(VLOOKUP($A77, YES_Reading_FLA[], COLUMN(YES_Reading_FLA[Self-Identified as Indigenous]),FALSE)="","",
VLOOKUP($A77,YES_Reading_FLA[],COLUMN(YES_Reading_FLA[Self-Identified as Indigenous]),FALSE)),
IF($J$2="Combined",
IFERROR(
IF(VLOOKUP($A77, YES_Reading_ELA[], COLUMN(YES_Reading_ELA[Self-Identified as Indigenous]), FALSE)="", "",
VLOOKUP($A77,YES_Reading_ELA[],COLUMN(YES_Reading_ELA[Self-Identified as Indigenous]),FALSE)),
IF(VLOOKUP($A77, YES_Reading_FLA[], COLUMN(YES_Reading_FLA[Self-Identified as Indigenous]),FALSE)="", "", VLOOKUP($A77,YES_Reading_FLA[],COLUMN(YES_Reading_FLA[Self-Identified as Indigenous]),FALSE))),""))),"")</f>
        <v/>
      </c>
    </row>
    <row r="78" spans="1:12" ht="19.5" customHeight="1" x14ac:dyDescent="0.25">
      <c r="A78" s="217"/>
      <c r="B78" s="220"/>
      <c r="C78" s="203"/>
      <c r="D78" s="204"/>
      <c r="E78" s="205"/>
      <c r="F78" s="205"/>
      <c r="G78" s="205"/>
      <c r="H78" s="206"/>
      <c r="I78" s="212"/>
      <c r="J78" s="206"/>
      <c r="K78" s="197" t="str" cm="1">
        <f t="array" ref="K78">IFERROR(
IF($J$2="ELA",
IF(VLOOKUP($A78, YES_Reading_ELA[], COLUMN(YES_Reading_ELA[Self-Identified as African Descent]), FALSE)="", "",
VLOOKUP($A78,YES_Reading_ELA[], COLUMN(YES_Reading_ELA[Self-Identified as African Descent]), FALSE)),
IF($J$2="FLA",
IF(VLOOKUP($A78, YES_Reading_FLA[], COLUMN(YES_Reading_FLA[Self-Identified as African Descent]),FALSE)="","",
VLOOKUP($A78,YES_Reading_FLA[],COLUMN(YES_Reading_FLA[Self-Identified as African Descent]),FALSE)),
IF($J$2="Combined",
IFERROR(
IF(VLOOKUP($A78, YES_Reading_ELA[], COLUMN(YES_Reading_ELA[Self-Identified as African Descent]), FALSE)="", "",
VLOOKUP($A78,YES_Reading_ELA[],COLUMN(YES_Reading_ELA[Self-Identified as African Descent]),FALSE)),
IF(VLOOKUP($A78, YES_Reading_FLA[], COLUMN(YES_Reading_FLA[Self-Identified as African Descent]),FALSE)="", "", VLOOKUP($A78,YES_Reading_FLA[],COLUMN(YES_Reading_FLA[Self-Identified as African Descent]),FALSE))),""))),"")</f>
        <v/>
      </c>
      <c r="L78" s="73" t="str" cm="1">
        <f t="array" ref="L78">IFERROR(
IF($J$2="ELA",
IF(VLOOKUP($A78, YES_Reading_ELA[], COLUMN(YES_Reading_ELA[Self-Identified as Indigenous]), FALSE)="", "",
VLOOKUP($A78,YES_Reading_ELA[], COLUMN(YES_Reading_ELA[Self-Identified as Indigenous]), FALSE)),
IF($J$2="FLA",
IF(VLOOKUP($A78, YES_Reading_FLA[], COLUMN(YES_Reading_FLA[Self-Identified as Indigenous]),FALSE)="","",
VLOOKUP($A78,YES_Reading_FLA[],COLUMN(YES_Reading_FLA[Self-Identified as Indigenous]),FALSE)),
IF($J$2="Combined",
IFERROR(
IF(VLOOKUP($A78, YES_Reading_ELA[], COLUMN(YES_Reading_ELA[Self-Identified as Indigenous]), FALSE)="", "",
VLOOKUP($A78,YES_Reading_ELA[],COLUMN(YES_Reading_ELA[Self-Identified as Indigenous]),FALSE)),
IF(VLOOKUP($A78, YES_Reading_FLA[], COLUMN(YES_Reading_FLA[Self-Identified as Indigenous]),FALSE)="", "", VLOOKUP($A78,YES_Reading_FLA[],COLUMN(YES_Reading_FLA[Self-Identified as Indigenous]),FALSE))),""))),"")</f>
        <v/>
      </c>
    </row>
    <row r="79" spans="1:12" ht="19.5" customHeight="1" x14ac:dyDescent="0.25">
      <c r="A79" s="217"/>
      <c r="B79" s="220"/>
      <c r="C79" s="203"/>
      <c r="D79" s="204"/>
      <c r="E79" s="205"/>
      <c r="F79" s="205"/>
      <c r="G79" s="205"/>
      <c r="H79" s="206"/>
      <c r="I79" s="226"/>
      <c r="J79" s="206"/>
      <c r="K79" s="197" t="str" cm="1">
        <f t="array" ref="K79">IFERROR(
IF($J$2="ELA",
IF(VLOOKUP($A79, YES_Reading_ELA[], COLUMN(YES_Reading_ELA[Self-Identified as African Descent]), FALSE)="", "",
VLOOKUP($A79,YES_Reading_ELA[], COLUMN(YES_Reading_ELA[Self-Identified as African Descent]), FALSE)),
IF($J$2="FLA",
IF(VLOOKUP($A79, YES_Reading_FLA[], COLUMN(YES_Reading_FLA[Self-Identified as African Descent]),FALSE)="","",
VLOOKUP($A79,YES_Reading_FLA[],COLUMN(YES_Reading_FLA[Self-Identified as African Descent]),FALSE)),
IF($J$2="Combined",
IFERROR(
IF(VLOOKUP($A79, YES_Reading_ELA[], COLUMN(YES_Reading_ELA[Self-Identified as African Descent]), FALSE)="", "",
VLOOKUP($A79,YES_Reading_ELA[],COLUMN(YES_Reading_ELA[Self-Identified as African Descent]),FALSE)),
IF(VLOOKUP($A79, YES_Reading_FLA[], COLUMN(YES_Reading_FLA[Self-Identified as African Descent]),FALSE)="", "", VLOOKUP($A79,YES_Reading_FLA[],COLUMN(YES_Reading_FLA[Self-Identified as African Descent]),FALSE))),""))),"")</f>
        <v/>
      </c>
      <c r="L79" s="73" t="str" cm="1">
        <f t="array" ref="L79">IFERROR(
IF($J$2="ELA",
IF(VLOOKUP($A79, YES_Reading_ELA[], COLUMN(YES_Reading_ELA[Self-Identified as Indigenous]), FALSE)="", "",
VLOOKUP($A79,YES_Reading_ELA[], COLUMN(YES_Reading_ELA[Self-Identified as Indigenous]), FALSE)),
IF($J$2="FLA",
IF(VLOOKUP($A79, YES_Reading_FLA[], COLUMN(YES_Reading_FLA[Self-Identified as Indigenous]),FALSE)="","",
VLOOKUP($A79,YES_Reading_FLA[],COLUMN(YES_Reading_FLA[Self-Identified as Indigenous]),FALSE)),
IF($J$2="Combined",
IFERROR(
IF(VLOOKUP($A79, YES_Reading_ELA[], COLUMN(YES_Reading_ELA[Self-Identified as Indigenous]), FALSE)="", "",
VLOOKUP($A79,YES_Reading_ELA[],COLUMN(YES_Reading_ELA[Self-Identified as Indigenous]),FALSE)),
IF(VLOOKUP($A79, YES_Reading_FLA[], COLUMN(YES_Reading_FLA[Self-Identified as Indigenous]),FALSE)="", "", VLOOKUP($A79,YES_Reading_FLA[],COLUMN(YES_Reading_FLA[Self-Identified as Indigenous]),FALSE))),""))),"")</f>
        <v/>
      </c>
    </row>
    <row r="80" spans="1:12" ht="19.5" customHeight="1" x14ac:dyDescent="0.25">
      <c r="A80" s="217"/>
      <c r="B80" s="220"/>
      <c r="C80" s="203"/>
      <c r="D80" s="204"/>
      <c r="E80" s="205"/>
      <c r="F80" s="205"/>
      <c r="G80" s="205"/>
      <c r="H80" s="206"/>
      <c r="I80" s="212"/>
      <c r="J80" s="206"/>
      <c r="K80" s="197" t="str" cm="1">
        <f t="array" ref="K80">IFERROR(
IF($J$2="ELA",
IF(VLOOKUP($A80, YES_Reading_ELA[], COLUMN(YES_Reading_ELA[Self-Identified as African Descent]), FALSE)="", "",
VLOOKUP($A80,YES_Reading_ELA[], COLUMN(YES_Reading_ELA[Self-Identified as African Descent]), FALSE)),
IF($J$2="FLA",
IF(VLOOKUP($A80, YES_Reading_FLA[], COLUMN(YES_Reading_FLA[Self-Identified as African Descent]),FALSE)="","",
VLOOKUP($A80,YES_Reading_FLA[],COLUMN(YES_Reading_FLA[Self-Identified as African Descent]),FALSE)),
IF($J$2="Combined",
IFERROR(
IF(VLOOKUP($A80, YES_Reading_ELA[], COLUMN(YES_Reading_ELA[Self-Identified as African Descent]), FALSE)="", "",
VLOOKUP($A80,YES_Reading_ELA[],COLUMN(YES_Reading_ELA[Self-Identified as African Descent]),FALSE)),
IF(VLOOKUP($A80, YES_Reading_FLA[], COLUMN(YES_Reading_FLA[Self-Identified as African Descent]),FALSE)="", "", VLOOKUP($A80,YES_Reading_FLA[],COLUMN(YES_Reading_FLA[Self-Identified as African Descent]),FALSE))),""))),"")</f>
        <v/>
      </c>
      <c r="L80" s="73" t="str" cm="1">
        <f t="array" ref="L80">IFERROR(
IF($J$2="ELA",
IF(VLOOKUP($A80, YES_Reading_ELA[], COLUMN(YES_Reading_ELA[Self-Identified as Indigenous]), FALSE)="", "",
VLOOKUP($A80,YES_Reading_ELA[], COLUMN(YES_Reading_ELA[Self-Identified as Indigenous]), FALSE)),
IF($J$2="FLA",
IF(VLOOKUP($A80, YES_Reading_FLA[], COLUMN(YES_Reading_FLA[Self-Identified as Indigenous]),FALSE)="","",
VLOOKUP($A80,YES_Reading_FLA[],COLUMN(YES_Reading_FLA[Self-Identified as Indigenous]),FALSE)),
IF($J$2="Combined",
IFERROR(
IF(VLOOKUP($A80, YES_Reading_ELA[], COLUMN(YES_Reading_ELA[Self-Identified as Indigenous]), FALSE)="", "",
VLOOKUP($A80,YES_Reading_ELA[],COLUMN(YES_Reading_ELA[Self-Identified as Indigenous]),FALSE)),
IF(VLOOKUP($A80, YES_Reading_FLA[], COLUMN(YES_Reading_FLA[Self-Identified as Indigenous]),FALSE)="", "", VLOOKUP($A80,YES_Reading_FLA[],COLUMN(YES_Reading_FLA[Self-Identified as Indigenous]),FALSE))),""))),"")</f>
        <v/>
      </c>
    </row>
    <row r="81" spans="1:12" ht="19.5" customHeight="1" x14ac:dyDescent="0.25">
      <c r="A81" s="217"/>
      <c r="B81" s="220"/>
      <c r="C81" s="203"/>
      <c r="D81" s="204"/>
      <c r="E81" s="205"/>
      <c r="F81" s="205"/>
      <c r="G81" s="205"/>
      <c r="H81" s="206"/>
      <c r="I81" s="212"/>
      <c r="J81" s="206"/>
      <c r="K81" s="197" t="str" cm="1">
        <f t="array" ref="K81">IFERROR(
IF($J$2="ELA",
IF(VLOOKUP($A81, YES_Reading_ELA[], COLUMN(YES_Reading_ELA[Self-Identified as African Descent]), FALSE)="", "",
VLOOKUP($A81,YES_Reading_ELA[], COLUMN(YES_Reading_ELA[Self-Identified as African Descent]), FALSE)),
IF($J$2="FLA",
IF(VLOOKUP($A81, YES_Reading_FLA[], COLUMN(YES_Reading_FLA[Self-Identified as African Descent]),FALSE)="","",
VLOOKUP($A81,YES_Reading_FLA[],COLUMN(YES_Reading_FLA[Self-Identified as African Descent]),FALSE)),
IF($J$2="Combined",
IFERROR(
IF(VLOOKUP($A81, YES_Reading_ELA[], COLUMN(YES_Reading_ELA[Self-Identified as African Descent]), FALSE)="", "",
VLOOKUP($A81,YES_Reading_ELA[],COLUMN(YES_Reading_ELA[Self-Identified as African Descent]),FALSE)),
IF(VLOOKUP($A81, YES_Reading_FLA[], COLUMN(YES_Reading_FLA[Self-Identified as African Descent]),FALSE)="", "", VLOOKUP($A81,YES_Reading_FLA[],COLUMN(YES_Reading_FLA[Self-Identified as African Descent]),FALSE))),""))),"")</f>
        <v/>
      </c>
      <c r="L81" s="73" t="str" cm="1">
        <f t="array" ref="L81">IFERROR(
IF($J$2="ELA",
IF(VLOOKUP($A81, YES_Reading_ELA[], COLUMN(YES_Reading_ELA[Self-Identified as Indigenous]), FALSE)="", "",
VLOOKUP($A81,YES_Reading_ELA[], COLUMN(YES_Reading_ELA[Self-Identified as Indigenous]), FALSE)),
IF($J$2="FLA",
IF(VLOOKUP($A81, YES_Reading_FLA[], COLUMN(YES_Reading_FLA[Self-Identified as Indigenous]),FALSE)="","",
VLOOKUP($A81,YES_Reading_FLA[],COLUMN(YES_Reading_FLA[Self-Identified as Indigenous]),FALSE)),
IF($J$2="Combined",
IFERROR(
IF(VLOOKUP($A81, YES_Reading_ELA[], COLUMN(YES_Reading_ELA[Self-Identified as Indigenous]), FALSE)="", "",
VLOOKUP($A81,YES_Reading_ELA[],COLUMN(YES_Reading_ELA[Self-Identified as Indigenous]),FALSE)),
IF(VLOOKUP($A81, YES_Reading_FLA[], COLUMN(YES_Reading_FLA[Self-Identified as Indigenous]),FALSE)="", "", VLOOKUP($A81,YES_Reading_FLA[],COLUMN(YES_Reading_FLA[Self-Identified as Indigenous]),FALSE))),""))),"")</f>
        <v/>
      </c>
    </row>
    <row r="82" spans="1:12" ht="19.5" customHeight="1" x14ac:dyDescent="0.25">
      <c r="A82" s="217"/>
      <c r="B82" s="220"/>
      <c r="C82" s="203"/>
      <c r="D82" s="204"/>
      <c r="E82" s="205"/>
      <c r="F82" s="205"/>
      <c r="G82" s="205"/>
      <c r="H82" s="206"/>
      <c r="I82" s="212"/>
      <c r="J82" s="206"/>
      <c r="K82" s="197" t="str" cm="1">
        <f t="array" ref="K82">IFERROR(
IF($J$2="ELA",
IF(VLOOKUP($A82, YES_Reading_ELA[], COLUMN(YES_Reading_ELA[Self-Identified as African Descent]), FALSE)="", "",
VLOOKUP($A82,YES_Reading_ELA[], COLUMN(YES_Reading_ELA[Self-Identified as African Descent]), FALSE)),
IF($J$2="FLA",
IF(VLOOKUP($A82, YES_Reading_FLA[], COLUMN(YES_Reading_FLA[Self-Identified as African Descent]),FALSE)="","",
VLOOKUP($A82,YES_Reading_FLA[],COLUMN(YES_Reading_FLA[Self-Identified as African Descent]),FALSE)),
IF($J$2="Combined",
IFERROR(
IF(VLOOKUP($A82, YES_Reading_ELA[], COLUMN(YES_Reading_ELA[Self-Identified as African Descent]), FALSE)="", "",
VLOOKUP($A82,YES_Reading_ELA[],COLUMN(YES_Reading_ELA[Self-Identified as African Descent]),FALSE)),
IF(VLOOKUP($A82, YES_Reading_FLA[], COLUMN(YES_Reading_FLA[Self-Identified as African Descent]),FALSE)="", "", VLOOKUP($A82,YES_Reading_FLA[],COLUMN(YES_Reading_FLA[Self-Identified as African Descent]),FALSE))),""))),"")</f>
        <v/>
      </c>
      <c r="L82" s="73" t="str" cm="1">
        <f t="array" ref="L82">IFERROR(
IF($J$2="ELA",
IF(VLOOKUP($A82, YES_Reading_ELA[], COLUMN(YES_Reading_ELA[Self-Identified as Indigenous]), FALSE)="", "",
VLOOKUP($A82,YES_Reading_ELA[], COLUMN(YES_Reading_ELA[Self-Identified as Indigenous]), FALSE)),
IF($J$2="FLA",
IF(VLOOKUP($A82, YES_Reading_FLA[], COLUMN(YES_Reading_FLA[Self-Identified as Indigenous]),FALSE)="","",
VLOOKUP($A82,YES_Reading_FLA[],COLUMN(YES_Reading_FLA[Self-Identified as Indigenous]),FALSE)),
IF($J$2="Combined",
IFERROR(
IF(VLOOKUP($A82, YES_Reading_ELA[], COLUMN(YES_Reading_ELA[Self-Identified as Indigenous]), FALSE)="", "",
VLOOKUP($A82,YES_Reading_ELA[],COLUMN(YES_Reading_ELA[Self-Identified as Indigenous]),FALSE)),
IF(VLOOKUP($A82, YES_Reading_FLA[], COLUMN(YES_Reading_FLA[Self-Identified as Indigenous]),FALSE)="", "", VLOOKUP($A82,YES_Reading_FLA[],COLUMN(YES_Reading_FLA[Self-Identified as Indigenous]),FALSE))),""))),"")</f>
        <v/>
      </c>
    </row>
    <row r="83" spans="1:12" ht="19.5" customHeight="1" x14ac:dyDescent="0.25">
      <c r="A83" s="217"/>
      <c r="B83" s="220"/>
      <c r="C83" s="203"/>
      <c r="D83" s="204"/>
      <c r="E83" s="205"/>
      <c r="F83" s="205"/>
      <c r="G83" s="205"/>
      <c r="H83" s="206"/>
      <c r="I83" s="212"/>
      <c r="J83" s="206"/>
      <c r="K83" s="197" t="str" cm="1">
        <f t="array" ref="K83">IFERROR(
IF($J$2="ELA",
IF(VLOOKUP($A83, YES_Reading_ELA[], COLUMN(YES_Reading_ELA[Self-Identified as African Descent]), FALSE)="", "",
VLOOKUP($A83,YES_Reading_ELA[], COLUMN(YES_Reading_ELA[Self-Identified as African Descent]), FALSE)),
IF($J$2="FLA",
IF(VLOOKUP($A83, YES_Reading_FLA[], COLUMN(YES_Reading_FLA[Self-Identified as African Descent]),FALSE)="","",
VLOOKUP($A83,YES_Reading_FLA[],COLUMN(YES_Reading_FLA[Self-Identified as African Descent]),FALSE)),
IF($J$2="Combined",
IFERROR(
IF(VLOOKUP($A83, YES_Reading_ELA[], COLUMN(YES_Reading_ELA[Self-Identified as African Descent]), FALSE)="", "",
VLOOKUP($A83,YES_Reading_ELA[],COLUMN(YES_Reading_ELA[Self-Identified as African Descent]),FALSE)),
IF(VLOOKUP($A83, YES_Reading_FLA[], COLUMN(YES_Reading_FLA[Self-Identified as African Descent]),FALSE)="", "", VLOOKUP($A83,YES_Reading_FLA[],COLUMN(YES_Reading_FLA[Self-Identified as African Descent]),FALSE))),""))),"")</f>
        <v/>
      </c>
      <c r="L83" s="73" t="str" cm="1">
        <f t="array" ref="L83">IFERROR(
IF($J$2="ELA",
IF(VLOOKUP($A83, YES_Reading_ELA[], COLUMN(YES_Reading_ELA[Self-Identified as Indigenous]), FALSE)="", "",
VLOOKUP($A83,YES_Reading_ELA[], COLUMN(YES_Reading_ELA[Self-Identified as Indigenous]), FALSE)),
IF($J$2="FLA",
IF(VLOOKUP($A83, YES_Reading_FLA[], COLUMN(YES_Reading_FLA[Self-Identified as Indigenous]),FALSE)="","",
VLOOKUP($A83,YES_Reading_FLA[],COLUMN(YES_Reading_FLA[Self-Identified as Indigenous]),FALSE)),
IF($J$2="Combined",
IFERROR(
IF(VLOOKUP($A83, YES_Reading_ELA[], COLUMN(YES_Reading_ELA[Self-Identified as Indigenous]), FALSE)="", "",
VLOOKUP($A83,YES_Reading_ELA[],COLUMN(YES_Reading_ELA[Self-Identified as Indigenous]),FALSE)),
IF(VLOOKUP($A83, YES_Reading_FLA[], COLUMN(YES_Reading_FLA[Self-Identified as Indigenous]),FALSE)="", "", VLOOKUP($A83,YES_Reading_FLA[],COLUMN(YES_Reading_FLA[Self-Identified as Indigenous]),FALSE))),""))),"")</f>
        <v/>
      </c>
    </row>
    <row r="84" spans="1:12" ht="19.5" customHeight="1" x14ac:dyDescent="0.25">
      <c r="A84" s="217"/>
      <c r="B84" s="220"/>
      <c r="C84" s="203"/>
      <c r="D84" s="204"/>
      <c r="E84" s="205"/>
      <c r="F84" s="205"/>
      <c r="G84" s="205"/>
      <c r="H84" s="206"/>
      <c r="I84" s="212"/>
      <c r="J84" s="206"/>
      <c r="K84" s="197" t="str" cm="1">
        <f t="array" ref="K84">IFERROR(
IF($J$2="ELA",
IF(VLOOKUP($A84, YES_Reading_ELA[], COLUMN(YES_Reading_ELA[Self-Identified as African Descent]), FALSE)="", "",
VLOOKUP($A84,YES_Reading_ELA[], COLUMN(YES_Reading_ELA[Self-Identified as African Descent]), FALSE)),
IF($J$2="FLA",
IF(VLOOKUP($A84, YES_Reading_FLA[], COLUMN(YES_Reading_FLA[Self-Identified as African Descent]),FALSE)="","",
VLOOKUP($A84,YES_Reading_FLA[],COLUMN(YES_Reading_FLA[Self-Identified as African Descent]),FALSE)),
IF($J$2="Combined",
IFERROR(
IF(VLOOKUP($A84, YES_Reading_ELA[], COLUMN(YES_Reading_ELA[Self-Identified as African Descent]), FALSE)="", "",
VLOOKUP($A84,YES_Reading_ELA[],COLUMN(YES_Reading_ELA[Self-Identified as African Descent]),FALSE)),
IF(VLOOKUP($A84, YES_Reading_FLA[], COLUMN(YES_Reading_FLA[Self-Identified as African Descent]),FALSE)="", "", VLOOKUP($A84,YES_Reading_FLA[],COLUMN(YES_Reading_FLA[Self-Identified as African Descent]),FALSE))),""))),"")</f>
        <v/>
      </c>
      <c r="L84" s="73" t="str" cm="1">
        <f t="array" ref="L84">IFERROR(
IF($J$2="ELA",
IF(VLOOKUP($A84, YES_Reading_ELA[], COLUMN(YES_Reading_ELA[Self-Identified as Indigenous]), FALSE)="", "",
VLOOKUP($A84,YES_Reading_ELA[], COLUMN(YES_Reading_ELA[Self-Identified as Indigenous]), FALSE)),
IF($J$2="FLA",
IF(VLOOKUP($A84, YES_Reading_FLA[], COLUMN(YES_Reading_FLA[Self-Identified as Indigenous]),FALSE)="","",
VLOOKUP($A84,YES_Reading_FLA[],COLUMN(YES_Reading_FLA[Self-Identified as Indigenous]),FALSE)),
IF($J$2="Combined",
IFERROR(
IF(VLOOKUP($A84, YES_Reading_ELA[], COLUMN(YES_Reading_ELA[Self-Identified as Indigenous]), FALSE)="", "",
VLOOKUP($A84,YES_Reading_ELA[],COLUMN(YES_Reading_ELA[Self-Identified as Indigenous]),FALSE)),
IF(VLOOKUP($A84, YES_Reading_FLA[], COLUMN(YES_Reading_FLA[Self-Identified as Indigenous]),FALSE)="", "", VLOOKUP($A84,YES_Reading_FLA[],COLUMN(YES_Reading_FLA[Self-Identified as Indigenous]),FALSE))),""))),"")</f>
        <v/>
      </c>
    </row>
    <row r="85" spans="1:12" ht="19.5" customHeight="1" x14ac:dyDescent="0.25">
      <c r="A85" s="217"/>
      <c r="B85" s="220"/>
      <c r="C85" s="203"/>
      <c r="D85" s="204"/>
      <c r="E85" s="205"/>
      <c r="F85" s="205"/>
      <c r="G85" s="205"/>
      <c r="H85" s="206"/>
      <c r="I85" s="212"/>
      <c r="J85" s="206"/>
      <c r="K85" s="197" t="str" cm="1">
        <f t="array" ref="K85">IFERROR(
IF($J$2="ELA",
IF(VLOOKUP($A85, YES_Reading_ELA[], COLUMN(YES_Reading_ELA[Self-Identified as African Descent]), FALSE)="", "",
VLOOKUP($A85,YES_Reading_ELA[], COLUMN(YES_Reading_ELA[Self-Identified as African Descent]), FALSE)),
IF($J$2="FLA",
IF(VLOOKUP($A85, YES_Reading_FLA[], COLUMN(YES_Reading_FLA[Self-Identified as African Descent]),FALSE)="","",
VLOOKUP($A85,YES_Reading_FLA[],COLUMN(YES_Reading_FLA[Self-Identified as African Descent]),FALSE)),
IF($J$2="Combined",
IFERROR(
IF(VLOOKUP($A85, YES_Reading_ELA[], COLUMN(YES_Reading_ELA[Self-Identified as African Descent]), FALSE)="", "",
VLOOKUP($A85,YES_Reading_ELA[],COLUMN(YES_Reading_ELA[Self-Identified as African Descent]),FALSE)),
IF(VLOOKUP($A85, YES_Reading_FLA[], COLUMN(YES_Reading_FLA[Self-Identified as African Descent]),FALSE)="", "", VLOOKUP($A85,YES_Reading_FLA[],COLUMN(YES_Reading_FLA[Self-Identified as African Descent]),FALSE))),""))),"")</f>
        <v/>
      </c>
      <c r="L85" s="73" t="str" cm="1">
        <f t="array" ref="L85">IFERROR(
IF($J$2="ELA",
IF(VLOOKUP($A85, YES_Reading_ELA[], COLUMN(YES_Reading_ELA[Self-Identified as Indigenous]), FALSE)="", "",
VLOOKUP($A85,YES_Reading_ELA[], COLUMN(YES_Reading_ELA[Self-Identified as Indigenous]), FALSE)),
IF($J$2="FLA",
IF(VLOOKUP($A85, YES_Reading_FLA[], COLUMN(YES_Reading_FLA[Self-Identified as Indigenous]),FALSE)="","",
VLOOKUP($A85,YES_Reading_FLA[],COLUMN(YES_Reading_FLA[Self-Identified as Indigenous]),FALSE)),
IF($J$2="Combined",
IFERROR(
IF(VLOOKUP($A85, YES_Reading_ELA[], COLUMN(YES_Reading_ELA[Self-Identified as Indigenous]), FALSE)="", "",
VLOOKUP($A85,YES_Reading_ELA[],COLUMN(YES_Reading_ELA[Self-Identified as Indigenous]),FALSE)),
IF(VLOOKUP($A85, YES_Reading_FLA[], COLUMN(YES_Reading_FLA[Self-Identified as Indigenous]),FALSE)="", "", VLOOKUP($A85,YES_Reading_FLA[],COLUMN(YES_Reading_FLA[Self-Identified as Indigenous]),FALSE))),""))),"")</f>
        <v/>
      </c>
    </row>
    <row r="86" spans="1:12" ht="19.5" customHeight="1" x14ac:dyDescent="0.25">
      <c r="A86" s="217"/>
      <c r="B86" s="220"/>
      <c r="C86" s="203"/>
      <c r="D86" s="204"/>
      <c r="E86" s="205"/>
      <c r="F86" s="205"/>
      <c r="G86" s="205"/>
      <c r="H86" s="206"/>
      <c r="I86" s="212"/>
      <c r="J86" s="206"/>
      <c r="K86" s="197" t="str" cm="1">
        <f t="array" ref="K86">IFERROR(
IF($J$2="ELA",
IF(VLOOKUP($A86, YES_Reading_ELA[], COLUMN(YES_Reading_ELA[Self-Identified as African Descent]), FALSE)="", "",
VLOOKUP($A86,YES_Reading_ELA[], COLUMN(YES_Reading_ELA[Self-Identified as African Descent]), FALSE)),
IF($J$2="FLA",
IF(VLOOKUP($A86, YES_Reading_FLA[], COLUMN(YES_Reading_FLA[Self-Identified as African Descent]),FALSE)="","",
VLOOKUP($A86,YES_Reading_FLA[],COLUMN(YES_Reading_FLA[Self-Identified as African Descent]),FALSE)),
IF($J$2="Combined",
IFERROR(
IF(VLOOKUP($A86, YES_Reading_ELA[], COLUMN(YES_Reading_ELA[Self-Identified as African Descent]), FALSE)="", "",
VLOOKUP($A86,YES_Reading_ELA[],COLUMN(YES_Reading_ELA[Self-Identified as African Descent]),FALSE)),
IF(VLOOKUP($A86, YES_Reading_FLA[], COLUMN(YES_Reading_FLA[Self-Identified as African Descent]),FALSE)="", "", VLOOKUP($A86,YES_Reading_FLA[],COLUMN(YES_Reading_FLA[Self-Identified as African Descent]),FALSE))),""))),"")</f>
        <v/>
      </c>
      <c r="L86" s="73" t="str" cm="1">
        <f t="array" ref="L86">IFERROR(
IF($J$2="ELA",
IF(VLOOKUP($A86, YES_Reading_ELA[], COLUMN(YES_Reading_ELA[Self-Identified as Indigenous]), FALSE)="", "",
VLOOKUP($A86,YES_Reading_ELA[], COLUMN(YES_Reading_ELA[Self-Identified as Indigenous]), FALSE)),
IF($J$2="FLA",
IF(VLOOKUP($A86, YES_Reading_FLA[], COLUMN(YES_Reading_FLA[Self-Identified as Indigenous]),FALSE)="","",
VLOOKUP($A86,YES_Reading_FLA[],COLUMN(YES_Reading_FLA[Self-Identified as Indigenous]),FALSE)),
IF($J$2="Combined",
IFERROR(
IF(VLOOKUP($A86, YES_Reading_ELA[], COLUMN(YES_Reading_ELA[Self-Identified as Indigenous]), FALSE)="", "",
VLOOKUP($A86,YES_Reading_ELA[],COLUMN(YES_Reading_ELA[Self-Identified as Indigenous]),FALSE)),
IF(VLOOKUP($A86, YES_Reading_FLA[], COLUMN(YES_Reading_FLA[Self-Identified as Indigenous]),FALSE)="", "", VLOOKUP($A86,YES_Reading_FLA[],COLUMN(YES_Reading_FLA[Self-Identified as Indigenous]),FALSE))),""))),"")</f>
        <v/>
      </c>
    </row>
    <row r="87" spans="1:12" ht="19.5" customHeight="1" x14ac:dyDescent="0.25">
      <c r="A87" s="217"/>
      <c r="B87" s="220"/>
      <c r="C87" s="203"/>
      <c r="D87" s="204"/>
      <c r="E87" s="205"/>
      <c r="F87" s="205"/>
      <c r="G87" s="205"/>
      <c r="H87" s="206"/>
      <c r="I87" s="212"/>
      <c r="J87" s="206"/>
      <c r="K87" s="197" t="str" cm="1">
        <f t="array" ref="K87">IFERROR(
IF($J$2="ELA",
IF(VLOOKUP($A87, YES_Reading_ELA[], COLUMN(YES_Reading_ELA[Self-Identified as African Descent]), FALSE)="", "",
VLOOKUP($A87,YES_Reading_ELA[], COLUMN(YES_Reading_ELA[Self-Identified as African Descent]), FALSE)),
IF($J$2="FLA",
IF(VLOOKUP($A87, YES_Reading_FLA[], COLUMN(YES_Reading_FLA[Self-Identified as African Descent]),FALSE)="","",
VLOOKUP($A87,YES_Reading_FLA[],COLUMN(YES_Reading_FLA[Self-Identified as African Descent]),FALSE)),
IF($J$2="Combined",
IFERROR(
IF(VLOOKUP($A87, YES_Reading_ELA[], COLUMN(YES_Reading_ELA[Self-Identified as African Descent]), FALSE)="", "",
VLOOKUP($A87,YES_Reading_ELA[],COLUMN(YES_Reading_ELA[Self-Identified as African Descent]),FALSE)),
IF(VLOOKUP($A87, YES_Reading_FLA[], COLUMN(YES_Reading_FLA[Self-Identified as African Descent]),FALSE)="", "", VLOOKUP($A87,YES_Reading_FLA[],COLUMN(YES_Reading_FLA[Self-Identified as African Descent]),FALSE))),""))),"")</f>
        <v/>
      </c>
      <c r="L87" s="73" t="str" cm="1">
        <f t="array" ref="L87">IFERROR(
IF($J$2="ELA",
IF(VLOOKUP($A87, YES_Reading_ELA[], COLUMN(YES_Reading_ELA[Self-Identified as Indigenous]), FALSE)="", "",
VLOOKUP($A87,YES_Reading_ELA[], COLUMN(YES_Reading_ELA[Self-Identified as Indigenous]), FALSE)),
IF($J$2="FLA",
IF(VLOOKUP($A87, YES_Reading_FLA[], COLUMN(YES_Reading_FLA[Self-Identified as Indigenous]),FALSE)="","",
VLOOKUP($A87,YES_Reading_FLA[],COLUMN(YES_Reading_FLA[Self-Identified as Indigenous]),FALSE)),
IF($J$2="Combined",
IFERROR(
IF(VLOOKUP($A87, YES_Reading_ELA[], COLUMN(YES_Reading_ELA[Self-Identified as Indigenous]), FALSE)="", "",
VLOOKUP($A87,YES_Reading_ELA[],COLUMN(YES_Reading_ELA[Self-Identified as Indigenous]),FALSE)),
IF(VLOOKUP($A87, YES_Reading_FLA[], COLUMN(YES_Reading_FLA[Self-Identified as Indigenous]),FALSE)="", "", VLOOKUP($A87,YES_Reading_FLA[],COLUMN(YES_Reading_FLA[Self-Identified as Indigenous]),FALSE))),""))),"")</f>
        <v/>
      </c>
    </row>
    <row r="88" spans="1:12" ht="19.5" customHeight="1" x14ac:dyDescent="0.25">
      <c r="A88" s="217"/>
      <c r="B88" s="220"/>
      <c r="C88" s="203"/>
      <c r="D88" s="204"/>
      <c r="E88" s="205"/>
      <c r="F88" s="205"/>
      <c r="G88" s="205"/>
      <c r="H88" s="206"/>
      <c r="I88" s="212"/>
      <c r="J88" s="206"/>
      <c r="K88" s="197" t="str" cm="1">
        <f t="array" ref="K88">IFERROR(
IF($J$2="ELA",
IF(VLOOKUP($A88, YES_Reading_ELA[], COLUMN(YES_Reading_ELA[Self-Identified as African Descent]), FALSE)="", "",
VLOOKUP($A88,YES_Reading_ELA[], COLUMN(YES_Reading_ELA[Self-Identified as African Descent]), FALSE)),
IF($J$2="FLA",
IF(VLOOKUP($A88, YES_Reading_FLA[], COLUMN(YES_Reading_FLA[Self-Identified as African Descent]),FALSE)="","",
VLOOKUP($A88,YES_Reading_FLA[],COLUMN(YES_Reading_FLA[Self-Identified as African Descent]),FALSE)),
IF($J$2="Combined",
IFERROR(
IF(VLOOKUP($A88, YES_Reading_ELA[], COLUMN(YES_Reading_ELA[Self-Identified as African Descent]), FALSE)="", "",
VLOOKUP($A88,YES_Reading_ELA[],COLUMN(YES_Reading_ELA[Self-Identified as African Descent]),FALSE)),
IF(VLOOKUP($A88, YES_Reading_FLA[], COLUMN(YES_Reading_FLA[Self-Identified as African Descent]),FALSE)="", "", VLOOKUP($A88,YES_Reading_FLA[],COLUMN(YES_Reading_FLA[Self-Identified as African Descent]),FALSE))),""))),"")</f>
        <v/>
      </c>
      <c r="L88" s="73" t="str" cm="1">
        <f t="array" ref="L88">IFERROR(
IF($J$2="ELA",
IF(VLOOKUP($A88, YES_Reading_ELA[], COLUMN(YES_Reading_ELA[Self-Identified as Indigenous]), FALSE)="", "",
VLOOKUP($A88,YES_Reading_ELA[], COLUMN(YES_Reading_ELA[Self-Identified as Indigenous]), FALSE)),
IF($J$2="FLA",
IF(VLOOKUP($A88, YES_Reading_FLA[], COLUMN(YES_Reading_FLA[Self-Identified as Indigenous]),FALSE)="","",
VLOOKUP($A88,YES_Reading_FLA[],COLUMN(YES_Reading_FLA[Self-Identified as Indigenous]),FALSE)),
IF($J$2="Combined",
IFERROR(
IF(VLOOKUP($A88, YES_Reading_ELA[], COLUMN(YES_Reading_ELA[Self-Identified as Indigenous]), FALSE)="", "",
VLOOKUP($A88,YES_Reading_ELA[],COLUMN(YES_Reading_ELA[Self-Identified as Indigenous]),FALSE)),
IF(VLOOKUP($A88, YES_Reading_FLA[], COLUMN(YES_Reading_FLA[Self-Identified as Indigenous]),FALSE)="", "", VLOOKUP($A88,YES_Reading_FLA[],COLUMN(YES_Reading_FLA[Self-Identified as Indigenous]),FALSE))),""))),"")</f>
        <v/>
      </c>
    </row>
    <row r="89" spans="1:12" ht="19.5" customHeight="1" x14ac:dyDescent="0.25">
      <c r="A89" s="217"/>
      <c r="B89" s="220"/>
      <c r="C89" s="203"/>
      <c r="D89" s="204"/>
      <c r="E89" s="205"/>
      <c r="F89" s="205"/>
      <c r="G89" s="205"/>
      <c r="H89" s="206"/>
      <c r="I89" s="212"/>
      <c r="J89" s="206"/>
      <c r="K89" s="197" t="str" cm="1">
        <f t="array" ref="K89">IFERROR(
IF($J$2="ELA",
IF(VLOOKUP($A89, YES_Reading_ELA[], COLUMN(YES_Reading_ELA[Self-Identified as African Descent]), FALSE)="", "",
VLOOKUP($A89,YES_Reading_ELA[], COLUMN(YES_Reading_ELA[Self-Identified as African Descent]), FALSE)),
IF($J$2="FLA",
IF(VLOOKUP($A89, YES_Reading_FLA[], COLUMN(YES_Reading_FLA[Self-Identified as African Descent]),FALSE)="","",
VLOOKUP($A89,YES_Reading_FLA[],COLUMN(YES_Reading_FLA[Self-Identified as African Descent]),FALSE)),
IF($J$2="Combined",
IFERROR(
IF(VLOOKUP($A89, YES_Reading_ELA[], COLUMN(YES_Reading_ELA[Self-Identified as African Descent]), FALSE)="", "",
VLOOKUP($A89,YES_Reading_ELA[],COLUMN(YES_Reading_ELA[Self-Identified as African Descent]),FALSE)),
IF(VLOOKUP($A89, YES_Reading_FLA[], COLUMN(YES_Reading_FLA[Self-Identified as African Descent]),FALSE)="", "", VLOOKUP($A89,YES_Reading_FLA[],COLUMN(YES_Reading_FLA[Self-Identified as African Descent]),FALSE))),""))),"")</f>
        <v/>
      </c>
      <c r="L89" s="73" t="str" cm="1">
        <f t="array" ref="L89">IFERROR(
IF($J$2="ELA",
IF(VLOOKUP($A89, YES_Reading_ELA[], COLUMN(YES_Reading_ELA[Self-Identified as Indigenous]), FALSE)="", "",
VLOOKUP($A89,YES_Reading_ELA[], COLUMN(YES_Reading_ELA[Self-Identified as Indigenous]), FALSE)),
IF($J$2="FLA",
IF(VLOOKUP($A89, YES_Reading_FLA[], COLUMN(YES_Reading_FLA[Self-Identified as Indigenous]),FALSE)="","",
VLOOKUP($A89,YES_Reading_FLA[],COLUMN(YES_Reading_FLA[Self-Identified as Indigenous]),FALSE)),
IF($J$2="Combined",
IFERROR(
IF(VLOOKUP($A89, YES_Reading_ELA[], COLUMN(YES_Reading_ELA[Self-Identified as Indigenous]), FALSE)="", "",
VLOOKUP($A89,YES_Reading_ELA[],COLUMN(YES_Reading_ELA[Self-Identified as Indigenous]),FALSE)),
IF(VLOOKUP($A89, YES_Reading_FLA[], COLUMN(YES_Reading_FLA[Self-Identified as Indigenous]),FALSE)="", "", VLOOKUP($A89,YES_Reading_FLA[],COLUMN(YES_Reading_FLA[Self-Identified as Indigenous]),FALSE))),""))),"")</f>
        <v/>
      </c>
    </row>
    <row r="90" spans="1:12" ht="19.5" customHeight="1" x14ac:dyDescent="0.25">
      <c r="A90" s="217"/>
      <c r="B90" s="220"/>
      <c r="C90" s="203"/>
      <c r="D90" s="204"/>
      <c r="E90" s="205"/>
      <c r="F90" s="205"/>
      <c r="G90" s="205"/>
      <c r="H90" s="206"/>
      <c r="I90" s="212"/>
      <c r="J90" s="206"/>
      <c r="K90" s="197" t="str" cm="1">
        <f t="array" ref="K90">IFERROR(
IF($J$2="ELA",
IF(VLOOKUP($A90, YES_Reading_ELA[], COLUMN(YES_Reading_ELA[Self-Identified as African Descent]), FALSE)="", "",
VLOOKUP($A90,YES_Reading_ELA[], COLUMN(YES_Reading_ELA[Self-Identified as African Descent]), FALSE)),
IF($J$2="FLA",
IF(VLOOKUP($A90, YES_Reading_FLA[], COLUMN(YES_Reading_FLA[Self-Identified as African Descent]),FALSE)="","",
VLOOKUP($A90,YES_Reading_FLA[],COLUMN(YES_Reading_FLA[Self-Identified as African Descent]),FALSE)),
IF($J$2="Combined",
IFERROR(
IF(VLOOKUP($A90, YES_Reading_ELA[], COLUMN(YES_Reading_ELA[Self-Identified as African Descent]), FALSE)="", "",
VLOOKUP($A90,YES_Reading_ELA[],COLUMN(YES_Reading_ELA[Self-Identified as African Descent]),FALSE)),
IF(VLOOKUP($A90, YES_Reading_FLA[], COLUMN(YES_Reading_FLA[Self-Identified as African Descent]),FALSE)="", "", VLOOKUP($A90,YES_Reading_FLA[],COLUMN(YES_Reading_FLA[Self-Identified as African Descent]),FALSE))),""))),"")</f>
        <v/>
      </c>
      <c r="L90" s="73" t="str" cm="1">
        <f t="array" ref="L90">IFERROR(
IF($J$2="ELA",
IF(VLOOKUP($A90, YES_Reading_ELA[], COLUMN(YES_Reading_ELA[Self-Identified as Indigenous]), FALSE)="", "",
VLOOKUP($A90,YES_Reading_ELA[], COLUMN(YES_Reading_ELA[Self-Identified as Indigenous]), FALSE)),
IF($J$2="FLA",
IF(VLOOKUP($A90, YES_Reading_FLA[], COLUMN(YES_Reading_FLA[Self-Identified as Indigenous]),FALSE)="","",
VLOOKUP($A90,YES_Reading_FLA[],COLUMN(YES_Reading_FLA[Self-Identified as Indigenous]),FALSE)),
IF($J$2="Combined",
IFERROR(
IF(VLOOKUP($A90, YES_Reading_ELA[], COLUMN(YES_Reading_ELA[Self-Identified as Indigenous]), FALSE)="", "",
VLOOKUP($A90,YES_Reading_ELA[],COLUMN(YES_Reading_ELA[Self-Identified as Indigenous]),FALSE)),
IF(VLOOKUP($A90, YES_Reading_FLA[], COLUMN(YES_Reading_FLA[Self-Identified as Indigenous]),FALSE)="", "", VLOOKUP($A90,YES_Reading_FLA[],COLUMN(YES_Reading_FLA[Self-Identified as Indigenous]),FALSE))),""))),"")</f>
        <v/>
      </c>
    </row>
    <row r="91" spans="1:12" ht="19.5" customHeight="1" x14ac:dyDescent="0.25">
      <c r="A91" s="217"/>
      <c r="B91" s="220"/>
      <c r="C91" s="203"/>
      <c r="D91" s="204"/>
      <c r="E91" s="205"/>
      <c r="F91" s="205"/>
      <c r="G91" s="205"/>
      <c r="H91" s="206"/>
      <c r="I91" s="212"/>
      <c r="J91" s="206"/>
      <c r="K91" s="197" t="str" cm="1">
        <f t="array" ref="K91">IFERROR(
IF($J$2="ELA",
IF(VLOOKUP($A91, YES_Reading_ELA[], COLUMN(YES_Reading_ELA[Self-Identified as African Descent]), FALSE)="", "",
VLOOKUP($A91,YES_Reading_ELA[], COLUMN(YES_Reading_ELA[Self-Identified as African Descent]), FALSE)),
IF($J$2="FLA",
IF(VLOOKUP($A91, YES_Reading_FLA[], COLUMN(YES_Reading_FLA[Self-Identified as African Descent]),FALSE)="","",
VLOOKUP($A91,YES_Reading_FLA[],COLUMN(YES_Reading_FLA[Self-Identified as African Descent]),FALSE)),
IF($J$2="Combined",
IFERROR(
IF(VLOOKUP($A91, YES_Reading_ELA[], COLUMN(YES_Reading_ELA[Self-Identified as African Descent]), FALSE)="", "",
VLOOKUP($A91,YES_Reading_ELA[],COLUMN(YES_Reading_ELA[Self-Identified as African Descent]),FALSE)),
IF(VLOOKUP($A91, YES_Reading_FLA[], COLUMN(YES_Reading_FLA[Self-Identified as African Descent]),FALSE)="", "", VLOOKUP($A91,YES_Reading_FLA[],COLUMN(YES_Reading_FLA[Self-Identified as African Descent]),FALSE))),""))),"")</f>
        <v/>
      </c>
      <c r="L91" s="73" t="str" cm="1">
        <f t="array" ref="L91">IFERROR(
IF($J$2="ELA",
IF(VLOOKUP($A91, YES_Reading_ELA[], COLUMN(YES_Reading_ELA[Self-Identified as Indigenous]), FALSE)="", "",
VLOOKUP($A91,YES_Reading_ELA[], COLUMN(YES_Reading_ELA[Self-Identified as Indigenous]), FALSE)),
IF($J$2="FLA",
IF(VLOOKUP($A91, YES_Reading_FLA[], COLUMN(YES_Reading_FLA[Self-Identified as Indigenous]),FALSE)="","",
VLOOKUP($A91,YES_Reading_FLA[],COLUMN(YES_Reading_FLA[Self-Identified as Indigenous]),FALSE)),
IF($J$2="Combined",
IFERROR(
IF(VLOOKUP($A91, YES_Reading_ELA[], COLUMN(YES_Reading_ELA[Self-Identified as Indigenous]), FALSE)="", "",
VLOOKUP($A91,YES_Reading_ELA[],COLUMN(YES_Reading_ELA[Self-Identified as Indigenous]),FALSE)),
IF(VLOOKUP($A91, YES_Reading_FLA[], COLUMN(YES_Reading_FLA[Self-Identified as Indigenous]),FALSE)="", "", VLOOKUP($A91,YES_Reading_FLA[],COLUMN(YES_Reading_FLA[Self-Identified as Indigenous]),FALSE))),""))),"")</f>
        <v/>
      </c>
    </row>
    <row r="92" spans="1:12" ht="19.5" customHeight="1" x14ac:dyDescent="0.25">
      <c r="A92" s="217"/>
      <c r="B92" s="220"/>
      <c r="C92" s="203"/>
      <c r="D92" s="204"/>
      <c r="E92" s="205"/>
      <c r="F92" s="205"/>
      <c r="G92" s="205"/>
      <c r="H92" s="206"/>
      <c r="I92" s="212"/>
      <c r="J92" s="206"/>
      <c r="K92" s="197" t="str" cm="1">
        <f t="array" ref="K92">IFERROR(
IF($J$2="ELA",
IF(VLOOKUP($A92, YES_Reading_ELA[], COLUMN(YES_Reading_ELA[Self-Identified as African Descent]), FALSE)="", "",
VLOOKUP($A92,YES_Reading_ELA[], COLUMN(YES_Reading_ELA[Self-Identified as African Descent]), FALSE)),
IF($J$2="FLA",
IF(VLOOKUP($A92, YES_Reading_FLA[], COLUMN(YES_Reading_FLA[Self-Identified as African Descent]),FALSE)="","",
VLOOKUP($A92,YES_Reading_FLA[],COLUMN(YES_Reading_FLA[Self-Identified as African Descent]),FALSE)),
IF($J$2="Combined",
IFERROR(
IF(VLOOKUP($A92, YES_Reading_ELA[], COLUMN(YES_Reading_ELA[Self-Identified as African Descent]), FALSE)="", "",
VLOOKUP($A92,YES_Reading_ELA[],COLUMN(YES_Reading_ELA[Self-Identified as African Descent]),FALSE)),
IF(VLOOKUP($A92, YES_Reading_FLA[], COLUMN(YES_Reading_FLA[Self-Identified as African Descent]),FALSE)="", "", VLOOKUP($A92,YES_Reading_FLA[],COLUMN(YES_Reading_FLA[Self-Identified as African Descent]),FALSE))),""))),"")</f>
        <v/>
      </c>
      <c r="L92" s="73" t="str" cm="1">
        <f t="array" ref="L92">IFERROR(
IF($J$2="ELA",
IF(VLOOKUP($A92, YES_Reading_ELA[], COLUMN(YES_Reading_ELA[Self-Identified as Indigenous]), FALSE)="", "",
VLOOKUP($A92,YES_Reading_ELA[], COLUMN(YES_Reading_ELA[Self-Identified as Indigenous]), FALSE)),
IF($J$2="FLA",
IF(VLOOKUP($A92, YES_Reading_FLA[], COLUMN(YES_Reading_FLA[Self-Identified as Indigenous]),FALSE)="","",
VLOOKUP($A92,YES_Reading_FLA[],COLUMN(YES_Reading_FLA[Self-Identified as Indigenous]),FALSE)),
IF($J$2="Combined",
IFERROR(
IF(VLOOKUP($A92, YES_Reading_ELA[], COLUMN(YES_Reading_ELA[Self-Identified as Indigenous]), FALSE)="", "",
VLOOKUP($A92,YES_Reading_ELA[],COLUMN(YES_Reading_ELA[Self-Identified as Indigenous]),FALSE)),
IF(VLOOKUP($A92, YES_Reading_FLA[], COLUMN(YES_Reading_FLA[Self-Identified as Indigenous]),FALSE)="", "", VLOOKUP($A92,YES_Reading_FLA[],COLUMN(YES_Reading_FLA[Self-Identified as Indigenous]),FALSE))),""))),"")</f>
        <v/>
      </c>
    </row>
    <row r="93" spans="1:12" ht="19.5" customHeight="1" x14ac:dyDescent="0.25">
      <c r="A93" s="217"/>
      <c r="B93" s="220"/>
      <c r="C93" s="203"/>
      <c r="D93" s="204"/>
      <c r="E93" s="205"/>
      <c r="F93" s="205"/>
      <c r="G93" s="205"/>
      <c r="H93" s="206"/>
      <c r="I93" s="212"/>
      <c r="J93" s="206"/>
      <c r="K93" s="197" t="str" cm="1">
        <f t="array" ref="K93">IFERROR(
IF($J$2="ELA",
IF(VLOOKUP($A93, YES_Reading_ELA[], COLUMN(YES_Reading_ELA[Self-Identified as African Descent]), FALSE)="", "",
VLOOKUP($A93,YES_Reading_ELA[], COLUMN(YES_Reading_ELA[Self-Identified as African Descent]), FALSE)),
IF($J$2="FLA",
IF(VLOOKUP($A93, YES_Reading_FLA[], COLUMN(YES_Reading_FLA[Self-Identified as African Descent]),FALSE)="","",
VLOOKUP($A93,YES_Reading_FLA[],COLUMN(YES_Reading_FLA[Self-Identified as African Descent]),FALSE)),
IF($J$2="Combined",
IFERROR(
IF(VLOOKUP($A93, YES_Reading_ELA[], COLUMN(YES_Reading_ELA[Self-Identified as African Descent]), FALSE)="", "",
VLOOKUP($A93,YES_Reading_ELA[],COLUMN(YES_Reading_ELA[Self-Identified as African Descent]),FALSE)),
IF(VLOOKUP($A93, YES_Reading_FLA[], COLUMN(YES_Reading_FLA[Self-Identified as African Descent]),FALSE)="", "", VLOOKUP($A93,YES_Reading_FLA[],COLUMN(YES_Reading_FLA[Self-Identified as African Descent]),FALSE))),""))),"")</f>
        <v/>
      </c>
      <c r="L93" s="73" t="str" cm="1">
        <f t="array" ref="L93">IFERROR(
IF($J$2="ELA",
IF(VLOOKUP($A93, YES_Reading_ELA[], COLUMN(YES_Reading_ELA[Self-Identified as Indigenous]), FALSE)="", "",
VLOOKUP($A93,YES_Reading_ELA[], COLUMN(YES_Reading_ELA[Self-Identified as Indigenous]), FALSE)),
IF($J$2="FLA",
IF(VLOOKUP($A93, YES_Reading_FLA[], COLUMN(YES_Reading_FLA[Self-Identified as Indigenous]),FALSE)="","",
VLOOKUP($A93,YES_Reading_FLA[],COLUMN(YES_Reading_FLA[Self-Identified as Indigenous]),FALSE)),
IF($J$2="Combined",
IFERROR(
IF(VLOOKUP($A93, YES_Reading_ELA[], COLUMN(YES_Reading_ELA[Self-Identified as Indigenous]), FALSE)="", "",
VLOOKUP($A93,YES_Reading_ELA[],COLUMN(YES_Reading_ELA[Self-Identified as Indigenous]),FALSE)),
IF(VLOOKUP($A93, YES_Reading_FLA[], COLUMN(YES_Reading_FLA[Self-Identified as Indigenous]),FALSE)="", "", VLOOKUP($A93,YES_Reading_FLA[],COLUMN(YES_Reading_FLA[Self-Identified as Indigenous]),FALSE))),""))),"")</f>
        <v/>
      </c>
    </row>
    <row r="94" spans="1:12" ht="19.5" customHeight="1" x14ac:dyDescent="0.25">
      <c r="A94" s="217"/>
      <c r="B94" s="220"/>
      <c r="C94" s="203"/>
      <c r="D94" s="204"/>
      <c r="E94" s="205"/>
      <c r="F94" s="205"/>
      <c r="G94" s="205"/>
      <c r="H94" s="206"/>
      <c r="I94" s="212"/>
      <c r="J94" s="206"/>
      <c r="K94" s="197" t="str" cm="1">
        <f t="array" ref="K94">IFERROR(
IF($J$2="ELA",
IF(VLOOKUP($A94, YES_Reading_ELA[], COLUMN(YES_Reading_ELA[Self-Identified as African Descent]), FALSE)="", "",
VLOOKUP($A94,YES_Reading_ELA[], COLUMN(YES_Reading_ELA[Self-Identified as African Descent]), FALSE)),
IF($J$2="FLA",
IF(VLOOKUP($A94, YES_Reading_FLA[], COLUMN(YES_Reading_FLA[Self-Identified as African Descent]),FALSE)="","",
VLOOKUP($A94,YES_Reading_FLA[],COLUMN(YES_Reading_FLA[Self-Identified as African Descent]),FALSE)),
IF($J$2="Combined",
IFERROR(
IF(VLOOKUP($A94, YES_Reading_ELA[], COLUMN(YES_Reading_ELA[Self-Identified as African Descent]), FALSE)="", "",
VLOOKUP($A94,YES_Reading_ELA[],COLUMN(YES_Reading_ELA[Self-Identified as African Descent]),FALSE)),
IF(VLOOKUP($A94, YES_Reading_FLA[], COLUMN(YES_Reading_FLA[Self-Identified as African Descent]),FALSE)="", "", VLOOKUP($A94,YES_Reading_FLA[],COLUMN(YES_Reading_FLA[Self-Identified as African Descent]),FALSE))),""))),"")</f>
        <v/>
      </c>
      <c r="L94" s="73" t="str" cm="1">
        <f t="array" ref="L94">IFERROR(
IF($J$2="ELA",
IF(VLOOKUP($A94, YES_Reading_ELA[], COLUMN(YES_Reading_ELA[Self-Identified as Indigenous]), FALSE)="", "",
VLOOKUP($A94,YES_Reading_ELA[], COLUMN(YES_Reading_ELA[Self-Identified as Indigenous]), FALSE)),
IF($J$2="FLA",
IF(VLOOKUP($A94, YES_Reading_FLA[], COLUMN(YES_Reading_FLA[Self-Identified as Indigenous]),FALSE)="","",
VLOOKUP($A94,YES_Reading_FLA[],COLUMN(YES_Reading_FLA[Self-Identified as Indigenous]),FALSE)),
IF($J$2="Combined",
IFERROR(
IF(VLOOKUP($A94, YES_Reading_ELA[], COLUMN(YES_Reading_ELA[Self-Identified as Indigenous]), FALSE)="", "",
VLOOKUP($A94,YES_Reading_ELA[],COLUMN(YES_Reading_ELA[Self-Identified as Indigenous]),FALSE)),
IF(VLOOKUP($A94, YES_Reading_FLA[], COLUMN(YES_Reading_FLA[Self-Identified as Indigenous]),FALSE)="", "", VLOOKUP($A94,YES_Reading_FLA[],COLUMN(YES_Reading_FLA[Self-Identified as Indigenous]),FALSE))),""))),"")</f>
        <v/>
      </c>
    </row>
    <row r="95" spans="1:12" ht="19.5" customHeight="1" x14ac:dyDescent="0.25">
      <c r="A95" s="217"/>
      <c r="B95" s="220"/>
      <c r="C95" s="203"/>
      <c r="D95" s="204"/>
      <c r="E95" s="205"/>
      <c r="F95" s="205"/>
      <c r="G95" s="205"/>
      <c r="H95" s="206"/>
      <c r="I95" s="212"/>
      <c r="J95" s="206"/>
      <c r="K95" s="197" t="str" cm="1">
        <f t="array" ref="K95">IFERROR(
IF($J$2="ELA",
IF(VLOOKUP($A95, YES_Reading_ELA[], COLUMN(YES_Reading_ELA[Self-Identified as African Descent]), FALSE)="", "",
VLOOKUP($A95,YES_Reading_ELA[], COLUMN(YES_Reading_ELA[Self-Identified as African Descent]), FALSE)),
IF($J$2="FLA",
IF(VLOOKUP($A95, YES_Reading_FLA[], COLUMN(YES_Reading_FLA[Self-Identified as African Descent]),FALSE)="","",
VLOOKUP($A95,YES_Reading_FLA[],COLUMN(YES_Reading_FLA[Self-Identified as African Descent]),FALSE)),
IF($J$2="Combined",
IFERROR(
IF(VLOOKUP($A95, YES_Reading_ELA[], COLUMN(YES_Reading_ELA[Self-Identified as African Descent]), FALSE)="", "",
VLOOKUP($A95,YES_Reading_ELA[],COLUMN(YES_Reading_ELA[Self-Identified as African Descent]),FALSE)),
IF(VLOOKUP($A95, YES_Reading_FLA[], COLUMN(YES_Reading_FLA[Self-Identified as African Descent]),FALSE)="", "", VLOOKUP($A95,YES_Reading_FLA[],COLUMN(YES_Reading_FLA[Self-Identified as African Descent]),FALSE))),""))),"")</f>
        <v/>
      </c>
      <c r="L95" s="73" t="str" cm="1">
        <f t="array" ref="L95">IFERROR(
IF($J$2="ELA",
IF(VLOOKUP($A95, YES_Reading_ELA[], COLUMN(YES_Reading_ELA[Self-Identified as Indigenous]), FALSE)="", "",
VLOOKUP($A95,YES_Reading_ELA[], COLUMN(YES_Reading_ELA[Self-Identified as Indigenous]), FALSE)),
IF($J$2="FLA",
IF(VLOOKUP($A95, YES_Reading_FLA[], COLUMN(YES_Reading_FLA[Self-Identified as Indigenous]),FALSE)="","",
VLOOKUP($A95,YES_Reading_FLA[],COLUMN(YES_Reading_FLA[Self-Identified as Indigenous]),FALSE)),
IF($J$2="Combined",
IFERROR(
IF(VLOOKUP($A95, YES_Reading_ELA[], COLUMN(YES_Reading_ELA[Self-Identified as Indigenous]), FALSE)="", "",
VLOOKUP($A95,YES_Reading_ELA[],COLUMN(YES_Reading_ELA[Self-Identified as Indigenous]),FALSE)),
IF(VLOOKUP($A95, YES_Reading_FLA[], COLUMN(YES_Reading_FLA[Self-Identified as Indigenous]),FALSE)="", "", VLOOKUP($A95,YES_Reading_FLA[],COLUMN(YES_Reading_FLA[Self-Identified as Indigenous]),FALSE))),""))),"")</f>
        <v/>
      </c>
    </row>
    <row r="96" spans="1:12" ht="19.5" customHeight="1" x14ac:dyDescent="0.25">
      <c r="A96" s="217"/>
      <c r="B96" s="220"/>
      <c r="C96" s="203"/>
      <c r="D96" s="204"/>
      <c r="E96" s="205"/>
      <c r="F96" s="205"/>
      <c r="G96" s="205"/>
      <c r="H96" s="206"/>
      <c r="I96" s="212"/>
      <c r="J96" s="206"/>
      <c r="K96" s="197" t="str" cm="1">
        <f t="array" ref="K96">IFERROR(
IF($J$2="ELA",
IF(VLOOKUP($A96, YES_Reading_ELA[], COLUMN(YES_Reading_ELA[Self-Identified as African Descent]), FALSE)="", "",
VLOOKUP($A96,YES_Reading_ELA[], COLUMN(YES_Reading_ELA[Self-Identified as African Descent]), FALSE)),
IF($J$2="FLA",
IF(VLOOKUP($A96, YES_Reading_FLA[], COLUMN(YES_Reading_FLA[Self-Identified as African Descent]),FALSE)="","",
VLOOKUP($A96,YES_Reading_FLA[],COLUMN(YES_Reading_FLA[Self-Identified as African Descent]),FALSE)),
IF($J$2="Combined",
IFERROR(
IF(VLOOKUP($A96, YES_Reading_ELA[], COLUMN(YES_Reading_ELA[Self-Identified as African Descent]), FALSE)="", "",
VLOOKUP($A96,YES_Reading_ELA[],COLUMN(YES_Reading_ELA[Self-Identified as African Descent]),FALSE)),
IF(VLOOKUP($A96, YES_Reading_FLA[], COLUMN(YES_Reading_FLA[Self-Identified as African Descent]),FALSE)="", "", VLOOKUP($A96,YES_Reading_FLA[],COLUMN(YES_Reading_FLA[Self-Identified as African Descent]),FALSE))),""))),"")</f>
        <v/>
      </c>
      <c r="L96" s="73" t="str" cm="1">
        <f t="array" ref="L96">IFERROR(
IF($J$2="ELA",
IF(VLOOKUP($A96, YES_Reading_ELA[], COLUMN(YES_Reading_ELA[Self-Identified as Indigenous]), FALSE)="", "",
VLOOKUP($A96,YES_Reading_ELA[], COLUMN(YES_Reading_ELA[Self-Identified as Indigenous]), FALSE)),
IF($J$2="FLA",
IF(VLOOKUP($A96, YES_Reading_FLA[], COLUMN(YES_Reading_FLA[Self-Identified as Indigenous]),FALSE)="","",
VLOOKUP($A96,YES_Reading_FLA[],COLUMN(YES_Reading_FLA[Self-Identified as Indigenous]),FALSE)),
IF($J$2="Combined",
IFERROR(
IF(VLOOKUP($A96, YES_Reading_ELA[], COLUMN(YES_Reading_ELA[Self-Identified as Indigenous]), FALSE)="", "",
VLOOKUP($A96,YES_Reading_ELA[],COLUMN(YES_Reading_ELA[Self-Identified as Indigenous]),FALSE)),
IF(VLOOKUP($A96, YES_Reading_FLA[], COLUMN(YES_Reading_FLA[Self-Identified as Indigenous]),FALSE)="", "", VLOOKUP($A96,YES_Reading_FLA[],COLUMN(YES_Reading_FLA[Self-Identified as Indigenous]),FALSE))),""))),"")</f>
        <v/>
      </c>
    </row>
    <row r="97" spans="1:12" ht="19.5" customHeight="1" x14ac:dyDescent="0.25">
      <c r="A97" s="217"/>
      <c r="B97" s="220"/>
      <c r="C97" s="203"/>
      <c r="D97" s="204"/>
      <c r="E97" s="205"/>
      <c r="F97" s="205"/>
      <c r="G97" s="205"/>
      <c r="H97" s="206"/>
      <c r="I97" s="212"/>
      <c r="J97" s="206"/>
      <c r="K97" s="197" t="str" cm="1">
        <f t="array" ref="K97">IFERROR(
IF($J$2="ELA",
IF(VLOOKUP($A97, YES_Reading_ELA[], COLUMN(YES_Reading_ELA[Self-Identified as African Descent]), FALSE)="", "",
VLOOKUP($A97,YES_Reading_ELA[], COLUMN(YES_Reading_ELA[Self-Identified as African Descent]), FALSE)),
IF($J$2="FLA",
IF(VLOOKUP($A97, YES_Reading_FLA[], COLUMN(YES_Reading_FLA[Self-Identified as African Descent]),FALSE)="","",
VLOOKUP($A97,YES_Reading_FLA[],COLUMN(YES_Reading_FLA[Self-Identified as African Descent]),FALSE)),
IF($J$2="Combined",
IFERROR(
IF(VLOOKUP($A97, YES_Reading_ELA[], COLUMN(YES_Reading_ELA[Self-Identified as African Descent]), FALSE)="", "",
VLOOKUP($A97,YES_Reading_ELA[],COLUMN(YES_Reading_ELA[Self-Identified as African Descent]),FALSE)),
IF(VLOOKUP($A97, YES_Reading_FLA[], COLUMN(YES_Reading_FLA[Self-Identified as African Descent]),FALSE)="", "", VLOOKUP($A97,YES_Reading_FLA[],COLUMN(YES_Reading_FLA[Self-Identified as African Descent]),FALSE))),""))),"")</f>
        <v/>
      </c>
      <c r="L97" s="73" t="str" cm="1">
        <f t="array" ref="L97">IFERROR(
IF($J$2="ELA",
IF(VLOOKUP($A97, YES_Reading_ELA[], COLUMN(YES_Reading_ELA[Self-Identified as Indigenous]), FALSE)="", "",
VLOOKUP($A97,YES_Reading_ELA[], COLUMN(YES_Reading_ELA[Self-Identified as Indigenous]), FALSE)),
IF($J$2="FLA",
IF(VLOOKUP($A97, YES_Reading_FLA[], COLUMN(YES_Reading_FLA[Self-Identified as Indigenous]),FALSE)="","",
VLOOKUP($A97,YES_Reading_FLA[],COLUMN(YES_Reading_FLA[Self-Identified as Indigenous]),FALSE)),
IF($J$2="Combined",
IFERROR(
IF(VLOOKUP($A97, YES_Reading_ELA[], COLUMN(YES_Reading_ELA[Self-Identified as Indigenous]), FALSE)="", "",
VLOOKUP($A97,YES_Reading_ELA[],COLUMN(YES_Reading_ELA[Self-Identified as Indigenous]),FALSE)),
IF(VLOOKUP($A97, YES_Reading_FLA[], COLUMN(YES_Reading_FLA[Self-Identified as Indigenous]),FALSE)="", "", VLOOKUP($A97,YES_Reading_FLA[],COLUMN(YES_Reading_FLA[Self-Identified as Indigenous]),FALSE))),""))),"")</f>
        <v/>
      </c>
    </row>
    <row r="98" spans="1:12" ht="19.5" customHeight="1" thickBot="1" x14ac:dyDescent="0.3">
      <c r="A98" s="218"/>
      <c r="B98" s="221"/>
      <c r="C98" s="208"/>
      <c r="D98" s="209"/>
      <c r="E98" s="210"/>
      <c r="F98" s="210"/>
      <c r="G98" s="210"/>
      <c r="H98" s="211"/>
      <c r="I98" s="213"/>
      <c r="J98" s="211"/>
      <c r="K98" s="198" t="str" cm="1">
        <f t="array" ref="K98">IFERROR(
IF($J$2="ELA",
IF(VLOOKUP($A98, YES_Reading_ELA[], COLUMN(YES_Reading_ELA[Self-Identified as African Descent]), FALSE)="", "",
VLOOKUP($A98,YES_Reading_ELA[], COLUMN(YES_Reading_ELA[Self-Identified as African Descent]), FALSE)),
IF($J$2="FLA",
IF(VLOOKUP($A98, YES_Reading_FLA[], COLUMN(YES_Reading_FLA[Self-Identified as African Descent]),FALSE)="","",
VLOOKUP($A98,YES_Reading_FLA[],COLUMN(YES_Reading_FLA[Self-Identified as African Descent]),FALSE)),
IF($J$2="Combined",
IFERROR(
IF(VLOOKUP($A98, YES_Reading_ELA[], COLUMN(YES_Reading_ELA[Self-Identified as African Descent]), FALSE)="", "",
VLOOKUP($A98,YES_Reading_ELA[],COLUMN(YES_Reading_ELA[Self-Identified as African Descent]),FALSE)),
IF(VLOOKUP($A98, YES_Reading_FLA[], COLUMN(YES_Reading_FLA[Self-Identified as African Descent]),FALSE)="", "", VLOOKUP($A98,YES_Reading_FLA[],COLUMN(YES_Reading_FLA[Self-Identified as African Descent]),FALSE))),""))),"")</f>
        <v/>
      </c>
      <c r="L98" s="74" t="str" cm="1">
        <f t="array" ref="L98">IFERROR(
IF($J$2="ELA",
IF(VLOOKUP($A98, YES_Reading_ELA[], COLUMN(YES_Reading_ELA[Self-Identified as Indigenous]), FALSE)="", "",
VLOOKUP($A98,YES_Reading_ELA[], COLUMN(YES_Reading_ELA[Self-Identified as Indigenous]), FALSE)),
IF($J$2="FLA",
IF(VLOOKUP($A98, YES_Reading_FLA[], COLUMN(YES_Reading_FLA[Self-Identified as Indigenous]),FALSE)="","",
VLOOKUP($A98,YES_Reading_FLA[],COLUMN(YES_Reading_FLA[Self-Identified as Indigenous]),FALSE)),
IF($J$2="Combined",
IFERROR(
IF(VLOOKUP($A98, YES_Reading_ELA[], COLUMN(YES_Reading_ELA[Self-Identified as Indigenous]), FALSE)="", "",
VLOOKUP($A98,YES_Reading_ELA[],COLUMN(YES_Reading_ELA[Self-Identified as Indigenous]),FALSE)),
IF(VLOOKUP($A98, YES_Reading_FLA[], COLUMN(YES_Reading_FLA[Self-Identified as Indigenous]),FALSE)="", "", VLOOKUP($A98,YES_Reading_FLA[],COLUMN(YES_Reading_FLA[Self-Identified as Indigenous]),FALSE))),""))),"")</f>
        <v/>
      </c>
    </row>
    <row r="99" spans="1:12" x14ac:dyDescent="0.25">
      <c r="A99" s="214"/>
      <c r="B99" s="214" t="s">
        <v>241</v>
      </c>
      <c r="C99" s="214"/>
      <c r="D99" s="215" t="str" cm="1">
        <f t="array" ref="D99">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Set")))=$D$1)),1,1,FALSE),FALSE,FALSE),4),"")</f>
        <v/>
      </c>
      <c r="E99" s="215"/>
      <c r="F99" s="215"/>
      <c r="G99" s="215"/>
      <c r="H99" s="355" t="s">
        <v>242</v>
      </c>
      <c r="I99" s="356"/>
      <c r="J99" s="215"/>
    </row>
    <row r="100" spans="1:12" x14ac:dyDescent="0.25">
      <c r="A100" s="214"/>
      <c r="B100" s="214" t="str">
        <f>"Date: "&amp;$D$3</f>
        <v xml:space="preserve">Date: </v>
      </c>
      <c r="C100" s="214"/>
      <c r="D100" s="215"/>
      <c r="E100" s="215"/>
      <c r="F100" s="215"/>
      <c r="G100" s="215"/>
      <c r="H100" s="357" t="s">
        <v>243</v>
      </c>
      <c r="I100" s="358"/>
      <c r="J100" s="215"/>
    </row>
    <row r="101" spans="1:12" ht="15.75" thickBot="1" x14ac:dyDescent="0.3">
      <c r="A101" s="215"/>
      <c r="B101" s="215"/>
      <c r="C101" s="215"/>
      <c r="D101" s="215"/>
      <c r="E101" s="215"/>
      <c r="F101" s="215"/>
      <c r="G101" s="215"/>
      <c r="H101" s="353" t="s">
        <v>244</v>
      </c>
      <c r="I101" s="354"/>
      <c r="J101" s="215"/>
    </row>
    <row r="102" spans="1:12" ht="85.5" customHeight="1" thickBot="1" x14ac:dyDescent="0.3">
      <c r="A102" s="192" t="s">
        <v>44</v>
      </c>
      <c r="B102" s="187" t="s">
        <v>245</v>
      </c>
      <c r="C102" s="188" t="s">
        <v>246</v>
      </c>
      <c r="D102" s="188" t="s">
        <v>247</v>
      </c>
      <c r="E102" s="188" t="s">
        <v>248</v>
      </c>
      <c r="F102" s="188" t="s">
        <v>249</v>
      </c>
      <c r="G102" s="188" t="s">
        <v>250</v>
      </c>
      <c r="H102" s="189" t="s">
        <v>251</v>
      </c>
      <c r="I102" s="190" t="s">
        <v>252</v>
      </c>
      <c r="J102" s="191" t="s">
        <v>253</v>
      </c>
      <c r="K102" s="200" t="s">
        <v>256</v>
      </c>
      <c r="L102" s="201" t="s">
        <v>257</v>
      </c>
    </row>
    <row r="103" spans="1:12" ht="19.5" customHeight="1" x14ac:dyDescent="0.25">
      <c r="A103" s="216" t="e" cm="1" vm="1">
        <f t="array" aca="1" ref="A103" ca="1">_xlfn._xlws.FILTER(_xlfn.VSTACK(YES_Reading_ELA[Student Number],YES_Reading_FLA[Student Number]),_xlfn.VSTACK(YES_Reading_ELA[HomeRoom],YES_Reading_FLA[Homeroom])=D99)</f>
        <v>#VALUE!</v>
      </c>
      <c r="B103" s="219"/>
      <c r="C103" s="203"/>
      <c r="D103" s="204"/>
      <c r="E103" s="205"/>
      <c r="F103" s="205"/>
      <c r="G103" s="205"/>
      <c r="H103" s="206"/>
      <c r="I103" s="205"/>
      <c r="J103" s="206"/>
      <c r="K103" s="24" t="str" cm="1">
        <f t="array" aca="1" ref="K103" ca="1">IFERROR(
IF($J$2="ELA",
IF(VLOOKUP($A103, YES_Reading_ELA[], COLUMN(YES_Reading_ELA[Self-Identified as African Descent]), FALSE)="", "",
VLOOKUP($A103,YES_Reading_ELA[], COLUMN(YES_Reading_ELA[Self-Identified as African Descent]), FALSE)),
IF($J$2="FLA",
IF(VLOOKUP($A103, YES_Reading_FLA[], COLUMN(YES_Reading_FLA[Self-Identified as African Descent]),FALSE)="","",
VLOOKUP($A103,YES_Reading_FLA[],COLUMN(YES_Reading_FLA[Self-Identified as African Descent]),FALSE)),
IF($J$2="Combined",
IFERROR(
IF(VLOOKUP($A103, YES_Reading_ELA[], COLUMN(YES_Reading_ELA[Self-Identified as African Descent]), FALSE)="", "",
VLOOKUP($A103,YES_Reading_ELA[],COLUMN(YES_Reading_ELA[Self-Identified as African Descent]),FALSE)),
IF(VLOOKUP($A103, YES_Reading_FLA[], COLUMN(YES_Reading_FLA[Self-Identified as African Descent]),FALSE)="", "", VLOOKUP($A103,YES_Reading_FLA[],COLUMN(YES_Reading_FLA[Self-Identified as African Descent]),FALSE))),""))),"")</f>
        <v/>
      </c>
      <c r="L103" s="199" t="str" cm="1">
        <f t="array" aca="1" ref="L103" ca="1">IFERROR(
IF($J$2="ELA",
IF(VLOOKUP($A103, YES_Reading_ELA[], COLUMN(YES_Reading_ELA[Self-Identified as Indigenous]), FALSE)="", "",
VLOOKUP($A103,YES_Reading_ELA[], COLUMN(YES_Reading_ELA[Self-Identified as Indigenous]), FALSE)),
IF($J$2="FLA",
IF(VLOOKUP($A103, YES_Reading_FLA[], COLUMN(YES_Reading_FLA[Self-Identified as Indigenous]),FALSE)="","",
VLOOKUP($A103,YES_Reading_FLA[],COLUMN(YES_Reading_FLA[Self-Identified as Indigenous]),FALSE)),
IF($J$2="Combined",
IFERROR(
IF(VLOOKUP($A103, YES_Reading_ELA[], COLUMN(YES_Reading_ELA[Self-Identified as Indigenous]), FALSE)="", "",
VLOOKUP($A103,YES_Reading_ELA[],COLUMN(YES_Reading_ELA[Self-Identified as Indigenous]),FALSE)),
IF(VLOOKUP($A103, YES_Reading_FLA[], COLUMN(YES_Reading_FLA[Self-Identified as Indigenous]),FALSE)="", "", VLOOKUP($A103,YES_Reading_FLA[],COLUMN(YES_Reading_FLA[Self-Identified as Indigenous]),FALSE))),""))),"")</f>
        <v/>
      </c>
    </row>
    <row r="104" spans="1:12" ht="19.5" customHeight="1" x14ac:dyDescent="0.25">
      <c r="A104" s="217"/>
      <c r="B104" s="220"/>
      <c r="C104" s="203"/>
      <c r="D104" s="204"/>
      <c r="E104" s="205"/>
      <c r="F104" s="205"/>
      <c r="G104" s="205"/>
      <c r="H104" s="206"/>
      <c r="I104" s="226"/>
      <c r="J104" s="206"/>
      <c r="K104" s="197" t="str" cm="1">
        <f t="array" ref="K104">IFERROR(
IF($J$2="ELA",
IF(VLOOKUP($A104, YES_Reading_ELA[], COLUMN(YES_Reading_ELA[Self-Identified as African Descent]), FALSE)="", "",
VLOOKUP($A104,YES_Reading_ELA[], COLUMN(YES_Reading_ELA[Self-Identified as African Descent]), FALSE)),
IF($J$2="FLA",
IF(VLOOKUP($A104, YES_Reading_FLA[], COLUMN(YES_Reading_FLA[Self-Identified as African Descent]),FALSE)="","",
VLOOKUP($A104,YES_Reading_FLA[],COLUMN(YES_Reading_FLA[Self-Identified as African Descent]),FALSE)),
IF($J$2="Combined",
IFERROR(
IF(VLOOKUP($A104, YES_Reading_ELA[], COLUMN(YES_Reading_ELA[Self-Identified as African Descent]), FALSE)="", "",
VLOOKUP($A104,YES_Reading_ELA[],COLUMN(YES_Reading_ELA[Self-Identified as African Descent]),FALSE)),
IF(VLOOKUP($A104, YES_Reading_FLA[], COLUMN(YES_Reading_FLA[Self-Identified as African Descent]),FALSE)="", "", VLOOKUP($A104,YES_Reading_FLA[],COLUMN(YES_Reading_FLA[Self-Identified as African Descent]),FALSE))),""))),"")</f>
        <v/>
      </c>
      <c r="L104" s="73" t="str" cm="1">
        <f t="array" ref="L104">IFERROR(
IF($J$2="ELA",
IF(VLOOKUP($A104, YES_Reading_ELA[], COLUMN(YES_Reading_ELA[Self-Identified as Indigenous]), FALSE)="", "",
VLOOKUP($A104,YES_Reading_ELA[], COLUMN(YES_Reading_ELA[Self-Identified as Indigenous]), FALSE)),
IF($J$2="FLA",
IF(VLOOKUP($A104, YES_Reading_FLA[], COLUMN(YES_Reading_FLA[Self-Identified as Indigenous]),FALSE)="","",
VLOOKUP($A104,YES_Reading_FLA[],COLUMN(YES_Reading_FLA[Self-Identified as Indigenous]),FALSE)),
IF($J$2="Combined",
IFERROR(
IF(VLOOKUP($A104, YES_Reading_ELA[], COLUMN(YES_Reading_ELA[Self-Identified as Indigenous]), FALSE)="", "",
VLOOKUP($A104,YES_Reading_ELA[],COLUMN(YES_Reading_ELA[Self-Identified as Indigenous]),FALSE)),
IF(VLOOKUP($A104, YES_Reading_FLA[], COLUMN(YES_Reading_FLA[Self-Identified as Indigenous]),FALSE)="", "", VLOOKUP($A104,YES_Reading_FLA[],COLUMN(YES_Reading_FLA[Self-Identified as Indigenous]),FALSE))),""))),"")</f>
        <v/>
      </c>
    </row>
    <row r="105" spans="1:12" ht="19.5" customHeight="1" x14ac:dyDescent="0.25">
      <c r="A105" s="217"/>
      <c r="B105" s="220"/>
      <c r="C105" s="203"/>
      <c r="D105" s="204"/>
      <c r="E105" s="205"/>
      <c r="F105" s="205"/>
      <c r="G105" s="205"/>
      <c r="H105" s="206"/>
      <c r="I105" s="212"/>
      <c r="J105" s="206"/>
      <c r="K105" s="197" t="str" cm="1">
        <f t="array" ref="K105">IFERROR(
IF($J$2="ELA",
IF(VLOOKUP($A105, YES_Reading_ELA[], COLUMN(YES_Reading_ELA[Self-Identified as African Descent]), FALSE)="", "",
VLOOKUP($A105,YES_Reading_ELA[], COLUMN(YES_Reading_ELA[Self-Identified as African Descent]), FALSE)),
IF($J$2="FLA",
IF(VLOOKUP($A105, YES_Reading_FLA[], COLUMN(YES_Reading_FLA[Self-Identified as African Descent]),FALSE)="","",
VLOOKUP($A105,YES_Reading_FLA[],COLUMN(YES_Reading_FLA[Self-Identified as African Descent]),FALSE)),
IF($J$2="Combined",
IFERROR(
IF(VLOOKUP($A105, YES_Reading_ELA[], COLUMN(YES_Reading_ELA[Self-Identified as African Descent]), FALSE)="", "",
VLOOKUP($A105,YES_Reading_ELA[],COLUMN(YES_Reading_ELA[Self-Identified as African Descent]),FALSE)),
IF(VLOOKUP($A105, YES_Reading_FLA[], COLUMN(YES_Reading_FLA[Self-Identified as African Descent]),FALSE)="", "", VLOOKUP($A105,YES_Reading_FLA[],COLUMN(YES_Reading_FLA[Self-Identified as African Descent]),FALSE))),""))),"")</f>
        <v/>
      </c>
      <c r="L105" s="73" t="str" cm="1">
        <f t="array" ref="L105">IFERROR(
IF($J$2="ELA",
IF(VLOOKUP($A105, YES_Reading_ELA[], COLUMN(YES_Reading_ELA[Self-Identified as Indigenous]), FALSE)="", "",
VLOOKUP($A105,YES_Reading_ELA[], COLUMN(YES_Reading_ELA[Self-Identified as Indigenous]), FALSE)),
IF($J$2="FLA",
IF(VLOOKUP($A105, YES_Reading_FLA[], COLUMN(YES_Reading_FLA[Self-Identified as Indigenous]),FALSE)="","",
VLOOKUP($A105,YES_Reading_FLA[],COLUMN(YES_Reading_FLA[Self-Identified as Indigenous]),FALSE)),
IF($J$2="Combined",
IFERROR(
IF(VLOOKUP($A105, YES_Reading_ELA[], COLUMN(YES_Reading_ELA[Self-Identified as Indigenous]), FALSE)="", "",
VLOOKUP($A105,YES_Reading_ELA[],COLUMN(YES_Reading_ELA[Self-Identified as Indigenous]),FALSE)),
IF(VLOOKUP($A105, YES_Reading_FLA[], COLUMN(YES_Reading_FLA[Self-Identified as Indigenous]),FALSE)="", "", VLOOKUP($A105,YES_Reading_FLA[],COLUMN(YES_Reading_FLA[Self-Identified as Indigenous]),FALSE))),""))),"")</f>
        <v/>
      </c>
    </row>
    <row r="106" spans="1:12" ht="19.5" customHeight="1" x14ac:dyDescent="0.25">
      <c r="A106" s="217"/>
      <c r="B106" s="220"/>
      <c r="C106" s="203"/>
      <c r="D106" s="204"/>
      <c r="E106" s="205"/>
      <c r="F106" s="205"/>
      <c r="G106" s="205"/>
      <c r="H106" s="206"/>
      <c r="I106" s="212"/>
      <c r="J106" s="206"/>
      <c r="K106" s="197" t="str" cm="1">
        <f t="array" ref="K106">IFERROR(
IF($J$2="ELA",
IF(VLOOKUP($A106, YES_Reading_ELA[], COLUMN(YES_Reading_ELA[Self-Identified as African Descent]), FALSE)="", "",
VLOOKUP($A106,YES_Reading_ELA[], COLUMN(YES_Reading_ELA[Self-Identified as African Descent]), FALSE)),
IF($J$2="FLA",
IF(VLOOKUP($A106, YES_Reading_FLA[], COLUMN(YES_Reading_FLA[Self-Identified as African Descent]),FALSE)="","",
VLOOKUP($A106,YES_Reading_FLA[],COLUMN(YES_Reading_FLA[Self-Identified as African Descent]),FALSE)),
IF($J$2="Combined",
IFERROR(
IF(VLOOKUP($A106, YES_Reading_ELA[], COLUMN(YES_Reading_ELA[Self-Identified as African Descent]), FALSE)="", "",
VLOOKUP($A106,YES_Reading_ELA[],COLUMN(YES_Reading_ELA[Self-Identified as African Descent]),FALSE)),
IF(VLOOKUP($A106, YES_Reading_FLA[], COLUMN(YES_Reading_FLA[Self-Identified as African Descent]),FALSE)="", "", VLOOKUP($A106,YES_Reading_FLA[],COLUMN(YES_Reading_FLA[Self-Identified as African Descent]),FALSE))),""))),"")</f>
        <v/>
      </c>
      <c r="L106" s="73" t="str" cm="1">
        <f t="array" ref="L106">IFERROR(
IF($J$2="ELA",
IF(VLOOKUP($A106, YES_Reading_ELA[], COLUMN(YES_Reading_ELA[Self-Identified as Indigenous]), FALSE)="", "",
VLOOKUP($A106,YES_Reading_ELA[], COLUMN(YES_Reading_ELA[Self-Identified as Indigenous]), FALSE)),
IF($J$2="FLA",
IF(VLOOKUP($A106, YES_Reading_FLA[], COLUMN(YES_Reading_FLA[Self-Identified as Indigenous]),FALSE)="","",
VLOOKUP($A106,YES_Reading_FLA[],COLUMN(YES_Reading_FLA[Self-Identified as Indigenous]),FALSE)),
IF($J$2="Combined",
IFERROR(
IF(VLOOKUP($A106, YES_Reading_ELA[], COLUMN(YES_Reading_ELA[Self-Identified as Indigenous]), FALSE)="", "",
VLOOKUP($A106,YES_Reading_ELA[],COLUMN(YES_Reading_ELA[Self-Identified as Indigenous]),FALSE)),
IF(VLOOKUP($A106, YES_Reading_FLA[], COLUMN(YES_Reading_FLA[Self-Identified as Indigenous]),FALSE)="", "", VLOOKUP($A106,YES_Reading_FLA[],COLUMN(YES_Reading_FLA[Self-Identified as Indigenous]),FALSE))),""))),"")</f>
        <v/>
      </c>
    </row>
    <row r="107" spans="1:12" ht="19.5" customHeight="1" x14ac:dyDescent="0.25">
      <c r="A107" s="217"/>
      <c r="B107" s="220"/>
      <c r="C107" s="203"/>
      <c r="D107" s="204"/>
      <c r="E107" s="205"/>
      <c r="F107" s="205"/>
      <c r="G107" s="205"/>
      <c r="H107" s="206"/>
      <c r="I107" s="212"/>
      <c r="J107" s="206"/>
      <c r="K107" s="197" t="str" cm="1">
        <f t="array" ref="K107">IFERROR(
IF($J$2="ELA",
IF(VLOOKUP($A107, YES_Reading_ELA[], COLUMN(YES_Reading_ELA[Self-Identified as African Descent]), FALSE)="", "",
VLOOKUP($A107,YES_Reading_ELA[], COLUMN(YES_Reading_ELA[Self-Identified as African Descent]), FALSE)),
IF($J$2="FLA",
IF(VLOOKUP($A107, YES_Reading_FLA[], COLUMN(YES_Reading_FLA[Self-Identified as African Descent]),FALSE)="","",
VLOOKUP($A107,YES_Reading_FLA[],COLUMN(YES_Reading_FLA[Self-Identified as African Descent]),FALSE)),
IF($J$2="Combined",
IFERROR(
IF(VLOOKUP($A107, YES_Reading_ELA[], COLUMN(YES_Reading_ELA[Self-Identified as African Descent]), FALSE)="", "",
VLOOKUP($A107,YES_Reading_ELA[],COLUMN(YES_Reading_ELA[Self-Identified as African Descent]),FALSE)),
IF(VLOOKUP($A107, YES_Reading_FLA[], COLUMN(YES_Reading_FLA[Self-Identified as African Descent]),FALSE)="", "", VLOOKUP($A107,YES_Reading_FLA[],COLUMN(YES_Reading_FLA[Self-Identified as African Descent]),FALSE))),""))),"")</f>
        <v/>
      </c>
      <c r="L107" s="73" t="str" cm="1">
        <f t="array" ref="L107">IFERROR(
IF($J$2="ELA",
IF(VLOOKUP($A107, YES_Reading_ELA[], COLUMN(YES_Reading_ELA[Self-Identified as Indigenous]), FALSE)="", "",
VLOOKUP($A107,YES_Reading_ELA[], COLUMN(YES_Reading_ELA[Self-Identified as Indigenous]), FALSE)),
IF($J$2="FLA",
IF(VLOOKUP($A107, YES_Reading_FLA[], COLUMN(YES_Reading_FLA[Self-Identified as Indigenous]),FALSE)="","",
VLOOKUP($A107,YES_Reading_FLA[],COLUMN(YES_Reading_FLA[Self-Identified as Indigenous]),FALSE)),
IF($J$2="Combined",
IFERROR(
IF(VLOOKUP($A107, YES_Reading_ELA[], COLUMN(YES_Reading_ELA[Self-Identified as Indigenous]), FALSE)="", "",
VLOOKUP($A107,YES_Reading_ELA[],COLUMN(YES_Reading_ELA[Self-Identified as Indigenous]),FALSE)),
IF(VLOOKUP($A107, YES_Reading_FLA[], COLUMN(YES_Reading_FLA[Self-Identified as Indigenous]),FALSE)="", "", VLOOKUP($A107,YES_Reading_FLA[],COLUMN(YES_Reading_FLA[Self-Identified as Indigenous]),FALSE))),""))),"")</f>
        <v/>
      </c>
    </row>
    <row r="108" spans="1:12" ht="19.5" customHeight="1" x14ac:dyDescent="0.25">
      <c r="A108" s="217"/>
      <c r="B108" s="220"/>
      <c r="C108" s="203"/>
      <c r="D108" s="204"/>
      <c r="E108" s="205"/>
      <c r="F108" s="205"/>
      <c r="G108" s="205"/>
      <c r="H108" s="206"/>
      <c r="I108" s="212"/>
      <c r="J108" s="206"/>
      <c r="K108" s="197" t="str" cm="1">
        <f t="array" ref="K108">IFERROR(
IF($J$2="ELA",
IF(VLOOKUP($A108, YES_Reading_ELA[], COLUMN(YES_Reading_ELA[Self-Identified as African Descent]), FALSE)="", "",
VLOOKUP($A108,YES_Reading_ELA[], COLUMN(YES_Reading_ELA[Self-Identified as African Descent]), FALSE)),
IF($J$2="FLA",
IF(VLOOKUP($A108, YES_Reading_FLA[], COLUMN(YES_Reading_FLA[Self-Identified as African Descent]),FALSE)="","",
VLOOKUP($A108,YES_Reading_FLA[],COLUMN(YES_Reading_FLA[Self-Identified as African Descent]),FALSE)),
IF($J$2="Combined",
IFERROR(
IF(VLOOKUP($A108, YES_Reading_ELA[], COLUMN(YES_Reading_ELA[Self-Identified as African Descent]), FALSE)="", "",
VLOOKUP($A108,YES_Reading_ELA[],COLUMN(YES_Reading_ELA[Self-Identified as African Descent]),FALSE)),
IF(VLOOKUP($A108, YES_Reading_FLA[], COLUMN(YES_Reading_FLA[Self-Identified as African Descent]),FALSE)="", "", VLOOKUP($A108,YES_Reading_FLA[],COLUMN(YES_Reading_FLA[Self-Identified as African Descent]),FALSE))),""))),"")</f>
        <v/>
      </c>
      <c r="L108" s="73" t="str" cm="1">
        <f t="array" ref="L108">IFERROR(
IF($J$2="ELA",
IF(VLOOKUP($A108, YES_Reading_ELA[], COLUMN(YES_Reading_ELA[Self-Identified as Indigenous]), FALSE)="", "",
VLOOKUP($A108,YES_Reading_ELA[], COLUMN(YES_Reading_ELA[Self-Identified as Indigenous]), FALSE)),
IF($J$2="FLA",
IF(VLOOKUP($A108, YES_Reading_FLA[], COLUMN(YES_Reading_FLA[Self-Identified as Indigenous]),FALSE)="","",
VLOOKUP($A108,YES_Reading_FLA[],COLUMN(YES_Reading_FLA[Self-Identified as Indigenous]),FALSE)),
IF($J$2="Combined",
IFERROR(
IF(VLOOKUP($A108, YES_Reading_ELA[], COLUMN(YES_Reading_ELA[Self-Identified as Indigenous]), FALSE)="", "",
VLOOKUP($A108,YES_Reading_ELA[],COLUMN(YES_Reading_ELA[Self-Identified as Indigenous]),FALSE)),
IF(VLOOKUP($A108, YES_Reading_FLA[], COLUMN(YES_Reading_FLA[Self-Identified as Indigenous]),FALSE)="", "", VLOOKUP($A108,YES_Reading_FLA[],COLUMN(YES_Reading_FLA[Self-Identified as Indigenous]),FALSE))),""))),"")</f>
        <v/>
      </c>
    </row>
    <row r="109" spans="1:12" ht="19.5" customHeight="1" x14ac:dyDescent="0.25">
      <c r="A109" s="217"/>
      <c r="B109" s="220"/>
      <c r="C109" s="203"/>
      <c r="D109" s="204"/>
      <c r="E109" s="205"/>
      <c r="F109" s="205"/>
      <c r="G109" s="205"/>
      <c r="H109" s="206"/>
      <c r="I109" s="226"/>
      <c r="J109" s="206"/>
      <c r="K109" s="197" t="str" cm="1">
        <f t="array" ref="K109">IFERROR(
IF($J$2="ELA",
IF(VLOOKUP($A109, YES_Reading_ELA[], COLUMN(YES_Reading_ELA[Self-Identified as African Descent]), FALSE)="", "",
VLOOKUP($A109,YES_Reading_ELA[], COLUMN(YES_Reading_ELA[Self-Identified as African Descent]), FALSE)),
IF($J$2="FLA",
IF(VLOOKUP($A109, YES_Reading_FLA[], COLUMN(YES_Reading_FLA[Self-Identified as African Descent]),FALSE)="","",
VLOOKUP($A109,YES_Reading_FLA[],COLUMN(YES_Reading_FLA[Self-Identified as African Descent]),FALSE)),
IF($J$2="Combined",
IFERROR(
IF(VLOOKUP($A109, YES_Reading_ELA[], COLUMN(YES_Reading_ELA[Self-Identified as African Descent]), FALSE)="", "",
VLOOKUP($A109,YES_Reading_ELA[],COLUMN(YES_Reading_ELA[Self-Identified as African Descent]),FALSE)),
IF(VLOOKUP($A109, YES_Reading_FLA[], COLUMN(YES_Reading_FLA[Self-Identified as African Descent]),FALSE)="", "", VLOOKUP($A109,YES_Reading_FLA[],COLUMN(YES_Reading_FLA[Self-Identified as African Descent]),FALSE))),""))),"")</f>
        <v/>
      </c>
      <c r="L109" s="73" t="str" cm="1">
        <f t="array" ref="L109">IFERROR(
IF($J$2="ELA",
IF(VLOOKUP($A109, YES_Reading_ELA[], COLUMN(YES_Reading_ELA[Self-Identified as Indigenous]), FALSE)="", "",
VLOOKUP($A109,YES_Reading_ELA[], COLUMN(YES_Reading_ELA[Self-Identified as Indigenous]), FALSE)),
IF($J$2="FLA",
IF(VLOOKUP($A109, YES_Reading_FLA[], COLUMN(YES_Reading_FLA[Self-Identified as Indigenous]),FALSE)="","",
VLOOKUP($A109,YES_Reading_FLA[],COLUMN(YES_Reading_FLA[Self-Identified as Indigenous]),FALSE)),
IF($J$2="Combined",
IFERROR(
IF(VLOOKUP($A109, YES_Reading_ELA[], COLUMN(YES_Reading_ELA[Self-Identified as Indigenous]), FALSE)="", "",
VLOOKUP($A109,YES_Reading_ELA[],COLUMN(YES_Reading_ELA[Self-Identified as Indigenous]),FALSE)),
IF(VLOOKUP($A109, YES_Reading_FLA[], COLUMN(YES_Reading_FLA[Self-Identified as Indigenous]),FALSE)="", "", VLOOKUP($A109,YES_Reading_FLA[],COLUMN(YES_Reading_FLA[Self-Identified as Indigenous]),FALSE))),""))),"")</f>
        <v/>
      </c>
    </row>
    <row r="110" spans="1:12" ht="19.5" customHeight="1" x14ac:dyDescent="0.25">
      <c r="A110" s="217"/>
      <c r="B110" s="220"/>
      <c r="C110" s="203"/>
      <c r="D110" s="204"/>
      <c r="E110" s="205"/>
      <c r="F110" s="205"/>
      <c r="G110" s="205"/>
      <c r="H110" s="206"/>
      <c r="I110" s="212"/>
      <c r="J110" s="206"/>
      <c r="K110" s="197" t="str" cm="1">
        <f t="array" ref="K110">IFERROR(
IF($J$2="ELA",
IF(VLOOKUP($A110, YES_Reading_ELA[], COLUMN(YES_Reading_ELA[Self-Identified as African Descent]), FALSE)="", "",
VLOOKUP($A110,YES_Reading_ELA[], COLUMN(YES_Reading_ELA[Self-Identified as African Descent]), FALSE)),
IF($J$2="FLA",
IF(VLOOKUP($A110, YES_Reading_FLA[], COLUMN(YES_Reading_FLA[Self-Identified as African Descent]),FALSE)="","",
VLOOKUP($A110,YES_Reading_FLA[],COLUMN(YES_Reading_FLA[Self-Identified as African Descent]),FALSE)),
IF($J$2="Combined",
IFERROR(
IF(VLOOKUP($A110, YES_Reading_ELA[], COLUMN(YES_Reading_ELA[Self-Identified as African Descent]), FALSE)="", "",
VLOOKUP($A110,YES_Reading_ELA[],COLUMN(YES_Reading_ELA[Self-Identified as African Descent]),FALSE)),
IF(VLOOKUP($A110, YES_Reading_FLA[], COLUMN(YES_Reading_FLA[Self-Identified as African Descent]),FALSE)="", "", VLOOKUP($A110,YES_Reading_FLA[],COLUMN(YES_Reading_FLA[Self-Identified as African Descent]),FALSE))),""))),"")</f>
        <v/>
      </c>
      <c r="L110" s="73" t="str" cm="1">
        <f t="array" ref="L110">IFERROR(
IF($J$2="ELA",
IF(VLOOKUP($A110, YES_Reading_ELA[], COLUMN(YES_Reading_ELA[Self-Identified as Indigenous]), FALSE)="", "",
VLOOKUP($A110,YES_Reading_ELA[], COLUMN(YES_Reading_ELA[Self-Identified as Indigenous]), FALSE)),
IF($J$2="FLA",
IF(VLOOKUP($A110, YES_Reading_FLA[], COLUMN(YES_Reading_FLA[Self-Identified as Indigenous]),FALSE)="","",
VLOOKUP($A110,YES_Reading_FLA[],COLUMN(YES_Reading_FLA[Self-Identified as Indigenous]),FALSE)),
IF($J$2="Combined",
IFERROR(
IF(VLOOKUP($A110, YES_Reading_ELA[], COLUMN(YES_Reading_ELA[Self-Identified as Indigenous]), FALSE)="", "",
VLOOKUP($A110,YES_Reading_ELA[],COLUMN(YES_Reading_ELA[Self-Identified as Indigenous]),FALSE)),
IF(VLOOKUP($A110, YES_Reading_FLA[], COLUMN(YES_Reading_FLA[Self-Identified as Indigenous]),FALSE)="", "", VLOOKUP($A110,YES_Reading_FLA[],COLUMN(YES_Reading_FLA[Self-Identified as Indigenous]),FALSE))),""))),"")</f>
        <v/>
      </c>
    </row>
    <row r="111" spans="1:12" ht="19.5" customHeight="1" x14ac:dyDescent="0.25">
      <c r="A111" s="217"/>
      <c r="B111" s="220"/>
      <c r="C111" s="203"/>
      <c r="D111" s="204"/>
      <c r="E111" s="205"/>
      <c r="F111" s="205"/>
      <c r="G111" s="205"/>
      <c r="H111" s="206"/>
      <c r="I111" s="212"/>
      <c r="J111" s="206"/>
      <c r="K111" s="197" t="str" cm="1">
        <f t="array" ref="K111">IFERROR(
IF($J$2="ELA",
IF(VLOOKUP($A111, YES_Reading_ELA[], COLUMN(YES_Reading_ELA[Self-Identified as African Descent]), FALSE)="", "",
VLOOKUP($A111,YES_Reading_ELA[], COLUMN(YES_Reading_ELA[Self-Identified as African Descent]), FALSE)),
IF($J$2="FLA",
IF(VLOOKUP($A111, YES_Reading_FLA[], COLUMN(YES_Reading_FLA[Self-Identified as African Descent]),FALSE)="","",
VLOOKUP($A111,YES_Reading_FLA[],COLUMN(YES_Reading_FLA[Self-Identified as African Descent]),FALSE)),
IF($J$2="Combined",
IFERROR(
IF(VLOOKUP($A111, YES_Reading_ELA[], COLUMN(YES_Reading_ELA[Self-Identified as African Descent]), FALSE)="", "",
VLOOKUP($A111,YES_Reading_ELA[],COLUMN(YES_Reading_ELA[Self-Identified as African Descent]),FALSE)),
IF(VLOOKUP($A111, YES_Reading_FLA[], COLUMN(YES_Reading_FLA[Self-Identified as African Descent]),FALSE)="", "", VLOOKUP($A111,YES_Reading_FLA[],COLUMN(YES_Reading_FLA[Self-Identified as African Descent]),FALSE))),""))),"")</f>
        <v/>
      </c>
      <c r="L111" s="73" t="str" cm="1">
        <f t="array" ref="L111">IFERROR(
IF($J$2="ELA",
IF(VLOOKUP($A111, YES_Reading_ELA[], COLUMN(YES_Reading_ELA[Self-Identified as Indigenous]), FALSE)="", "",
VLOOKUP($A111,YES_Reading_ELA[], COLUMN(YES_Reading_ELA[Self-Identified as Indigenous]), FALSE)),
IF($J$2="FLA",
IF(VLOOKUP($A111, YES_Reading_FLA[], COLUMN(YES_Reading_FLA[Self-Identified as Indigenous]),FALSE)="","",
VLOOKUP($A111,YES_Reading_FLA[],COLUMN(YES_Reading_FLA[Self-Identified as Indigenous]),FALSE)),
IF($J$2="Combined",
IFERROR(
IF(VLOOKUP($A111, YES_Reading_ELA[], COLUMN(YES_Reading_ELA[Self-Identified as Indigenous]), FALSE)="", "",
VLOOKUP($A111,YES_Reading_ELA[],COLUMN(YES_Reading_ELA[Self-Identified as Indigenous]),FALSE)),
IF(VLOOKUP($A111, YES_Reading_FLA[], COLUMN(YES_Reading_FLA[Self-Identified as Indigenous]),FALSE)="", "", VLOOKUP($A111,YES_Reading_FLA[],COLUMN(YES_Reading_FLA[Self-Identified as Indigenous]),FALSE))),""))),"")</f>
        <v/>
      </c>
    </row>
    <row r="112" spans="1:12" ht="19.5" customHeight="1" x14ac:dyDescent="0.25">
      <c r="A112" s="217"/>
      <c r="B112" s="220"/>
      <c r="C112" s="203"/>
      <c r="D112" s="204"/>
      <c r="E112" s="205"/>
      <c r="F112" s="205"/>
      <c r="G112" s="205"/>
      <c r="H112" s="206"/>
      <c r="I112" s="205"/>
      <c r="J112" s="206"/>
      <c r="K112" s="197" t="str" cm="1">
        <f t="array" ref="K112">IFERROR(
IF($J$2="ELA",
IF(VLOOKUP($A112, YES_Reading_ELA[], COLUMN(YES_Reading_ELA[Self-Identified as African Descent]), FALSE)="", "",
VLOOKUP($A112,YES_Reading_ELA[], COLUMN(YES_Reading_ELA[Self-Identified as African Descent]), FALSE)),
IF($J$2="FLA",
IF(VLOOKUP($A112, YES_Reading_FLA[], COLUMN(YES_Reading_FLA[Self-Identified as African Descent]),FALSE)="","",
VLOOKUP($A112,YES_Reading_FLA[],COLUMN(YES_Reading_FLA[Self-Identified as African Descent]),FALSE)),
IF($J$2="Combined",
IFERROR(
IF(VLOOKUP($A112, YES_Reading_ELA[], COLUMN(YES_Reading_ELA[Self-Identified as African Descent]), FALSE)="", "",
VLOOKUP($A112,YES_Reading_ELA[],COLUMN(YES_Reading_ELA[Self-Identified as African Descent]),FALSE)),
IF(VLOOKUP($A112, YES_Reading_FLA[], COLUMN(YES_Reading_FLA[Self-Identified as African Descent]),FALSE)="", "", VLOOKUP($A112,YES_Reading_FLA[],COLUMN(YES_Reading_FLA[Self-Identified as African Descent]),FALSE))),""))),"")</f>
        <v/>
      </c>
      <c r="L112" s="73" t="str" cm="1">
        <f t="array" ref="L112">IFERROR(
IF($J$2="ELA",
IF(VLOOKUP($A112, YES_Reading_ELA[], COLUMN(YES_Reading_ELA[Self-Identified as Indigenous]), FALSE)="", "",
VLOOKUP($A112,YES_Reading_ELA[], COLUMN(YES_Reading_ELA[Self-Identified as Indigenous]), FALSE)),
IF($J$2="FLA",
IF(VLOOKUP($A112, YES_Reading_FLA[], COLUMN(YES_Reading_FLA[Self-Identified as Indigenous]),FALSE)="","",
VLOOKUP($A112,YES_Reading_FLA[],COLUMN(YES_Reading_FLA[Self-Identified as Indigenous]),FALSE)),
IF($J$2="Combined",
IFERROR(
IF(VLOOKUP($A112, YES_Reading_ELA[], COLUMN(YES_Reading_ELA[Self-Identified as Indigenous]), FALSE)="", "",
VLOOKUP($A112,YES_Reading_ELA[],COLUMN(YES_Reading_ELA[Self-Identified as Indigenous]),FALSE)),
IF(VLOOKUP($A112, YES_Reading_FLA[], COLUMN(YES_Reading_FLA[Self-Identified as Indigenous]),FALSE)="", "", VLOOKUP($A112,YES_Reading_FLA[],COLUMN(YES_Reading_FLA[Self-Identified as Indigenous]),FALSE))),""))),"")</f>
        <v/>
      </c>
    </row>
    <row r="113" spans="1:12" ht="19.5" customHeight="1" x14ac:dyDescent="0.25">
      <c r="A113" s="217"/>
      <c r="B113" s="220"/>
      <c r="C113" s="203"/>
      <c r="D113" s="204"/>
      <c r="E113" s="205"/>
      <c r="F113" s="205"/>
      <c r="G113" s="205"/>
      <c r="H113" s="206"/>
      <c r="I113" s="226"/>
      <c r="J113" s="206"/>
      <c r="K113" s="197" t="str" cm="1">
        <f t="array" ref="K113">IFERROR(
IF($J$2="ELA",
IF(VLOOKUP($A113, YES_Reading_ELA[], COLUMN(YES_Reading_ELA[Self-Identified as African Descent]), FALSE)="", "",
VLOOKUP($A113,YES_Reading_ELA[], COLUMN(YES_Reading_ELA[Self-Identified as African Descent]), FALSE)),
IF($J$2="FLA",
IF(VLOOKUP($A113, YES_Reading_FLA[], COLUMN(YES_Reading_FLA[Self-Identified as African Descent]),FALSE)="","",
VLOOKUP($A113,YES_Reading_FLA[],COLUMN(YES_Reading_FLA[Self-Identified as African Descent]),FALSE)),
IF($J$2="Combined",
IFERROR(
IF(VLOOKUP($A113, YES_Reading_ELA[], COLUMN(YES_Reading_ELA[Self-Identified as African Descent]), FALSE)="", "",
VLOOKUP($A113,YES_Reading_ELA[],COLUMN(YES_Reading_ELA[Self-Identified as African Descent]),FALSE)),
IF(VLOOKUP($A113, YES_Reading_FLA[], COLUMN(YES_Reading_FLA[Self-Identified as African Descent]),FALSE)="", "", VLOOKUP($A113,YES_Reading_FLA[],COLUMN(YES_Reading_FLA[Self-Identified as African Descent]),FALSE))),""))),"")</f>
        <v/>
      </c>
      <c r="L113" s="73" t="str" cm="1">
        <f t="array" ref="L113">IFERROR(
IF($J$2="ELA",
IF(VLOOKUP($A113, YES_Reading_ELA[], COLUMN(YES_Reading_ELA[Self-Identified as Indigenous]), FALSE)="", "",
VLOOKUP($A113,YES_Reading_ELA[], COLUMN(YES_Reading_ELA[Self-Identified as Indigenous]), FALSE)),
IF($J$2="FLA",
IF(VLOOKUP($A113, YES_Reading_FLA[], COLUMN(YES_Reading_FLA[Self-Identified as Indigenous]),FALSE)="","",
VLOOKUP($A113,YES_Reading_FLA[],COLUMN(YES_Reading_FLA[Self-Identified as Indigenous]),FALSE)),
IF($J$2="Combined",
IFERROR(
IF(VLOOKUP($A113, YES_Reading_ELA[], COLUMN(YES_Reading_ELA[Self-Identified as Indigenous]), FALSE)="", "",
VLOOKUP($A113,YES_Reading_ELA[],COLUMN(YES_Reading_ELA[Self-Identified as Indigenous]),FALSE)),
IF(VLOOKUP($A113, YES_Reading_FLA[], COLUMN(YES_Reading_FLA[Self-Identified as Indigenous]),FALSE)="", "", VLOOKUP($A113,YES_Reading_FLA[],COLUMN(YES_Reading_FLA[Self-Identified as Indigenous]),FALSE))),""))),"")</f>
        <v/>
      </c>
    </row>
    <row r="114" spans="1:12" ht="19.5" customHeight="1" x14ac:dyDescent="0.25">
      <c r="A114" s="217"/>
      <c r="B114" s="220"/>
      <c r="C114" s="203"/>
      <c r="D114" s="204"/>
      <c r="E114" s="205"/>
      <c r="F114" s="205"/>
      <c r="G114" s="205"/>
      <c r="H114" s="206"/>
      <c r="I114" s="212"/>
      <c r="J114" s="206"/>
      <c r="K114" s="197" t="str" cm="1">
        <f t="array" ref="K114">IFERROR(
IF($J$2="ELA",
IF(VLOOKUP($A114, YES_Reading_ELA[], COLUMN(YES_Reading_ELA[Self-Identified as African Descent]), FALSE)="", "",
VLOOKUP($A114,YES_Reading_ELA[], COLUMN(YES_Reading_ELA[Self-Identified as African Descent]), FALSE)),
IF($J$2="FLA",
IF(VLOOKUP($A114, YES_Reading_FLA[], COLUMN(YES_Reading_FLA[Self-Identified as African Descent]),FALSE)="","",
VLOOKUP($A114,YES_Reading_FLA[],COLUMN(YES_Reading_FLA[Self-Identified as African Descent]),FALSE)),
IF($J$2="Combined",
IFERROR(
IF(VLOOKUP($A114, YES_Reading_ELA[], COLUMN(YES_Reading_ELA[Self-Identified as African Descent]), FALSE)="", "",
VLOOKUP($A114,YES_Reading_ELA[],COLUMN(YES_Reading_ELA[Self-Identified as African Descent]),FALSE)),
IF(VLOOKUP($A114, YES_Reading_FLA[], COLUMN(YES_Reading_FLA[Self-Identified as African Descent]),FALSE)="", "", VLOOKUP($A114,YES_Reading_FLA[],COLUMN(YES_Reading_FLA[Self-Identified as African Descent]),FALSE))),""))),"")</f>
        <v/>
      </c>
      <c r="L114" s="73" t="str" cm="1">
        <f t="array" ref="L114">IFERROR(
IF($J$2="ELA",
IF(VLOOKUP($A114, YES_Reading_ELA[], COLUMN(YES_Reading_ELA[Self-Identified as Indigenous]), FALSE)="", "",
VLOOKUP($A114,YES_Reading_ELA[], COLUMN(YES_Reading_ELA[Self-Identified as Indigenous]), FALSE)),
IF($J$2="FLA",
IF(VLOOKUP($A114, YES_Reading_FLA[], COLUMN(YES_Reading_FLA[Self-Identified as Indigenous]),FALSE)="","",
VLOOKUP($A114,YES_Reading_FLA[],COLUMN(YES_Reading_FLA[Self-Identified as Indigenous]),FALSE)),
IF($J$2="Combined",
IFERROR(
IF(VLOOKUP($A114, YES_Reading_ELA[], COLUMN(YES_Reading_ELA[Self-Identified as Indigenous]), FALSE)="", "",
VLOOKUP($A114,YES_Reading_ELA[],COLUMN(YES_Reading_ELA[Self-Identified as Indigenous]),FALSE)),
IF(VLOOKUP($A114, YES_Reading_FLA[], COLUMN(YES_Reading_FLA[Self-Identified as Indigenous]),FALSE)="", "", VLOOKUP($A114,YES_Reading_FLA[],COLUMN(YES_Reading_FLA[Self-Identified as Indigenous]),FALSE))),""))),"")</f>
        <v/>
      </c>
    </row>
    <row r="115" spans="1:12" ht="19.5" customHeight="1" x14ac:dyDescent="0.25">
      <c r="A115" s="217"/>
      <c r="B115" s="220"/>
      <c r="C115" s="203"/>
      <c r="D115" s="204"/>
      <c r="E115" s="205"/>
      <c r="F115" s="205"/>
      <c r="G115" s="205"/>
      <c r="H115" s="206"/>
      <c r="I115" s="212"/>
      <c r="J115" s="206"/>
      <c r="K115" s="197" t="str" cm="1">
        <f t="array" ref="K115">IFERROR(
IF($J$2="ELA",
IF(VLOOKUP($A115, YES_Reading_ELA[], COLUMN(YES_Reading_ELA[Self-Identified as African Descent]), FALSE)="", "",
VLOOKUP($A115,YES_Reading_ELA[], COLUMN(YES_Reading_ELA[Self-Identified as African Descent]), FALSE)),
IF($J$2="FLA",
IF(VLOOKUP($A115, YES_Reading_FLA[], COLUMN(YES_Reading_FLA[Self-Identified as African Descent]),FALSE)="","",
VLOOKUP($A115,YES_Reading_FLA[],COLUMN(YES_Reading_FLA[Self-Identified as African Descent]),FALSE)),
IF($J$2="Combined",
IFERROR(
IF(VLOOKUP($A115, YES_Reading_ELA[], COLUMN(YES_Reading_ELA[Self-Identified as African Descent]), FALSE)="", "",
VLOOKUP($A115,YES_Reading_ELA[],COLUMN(YES_Reading_ELA[Self-Identified as African Descent]),FALSE)),
IF(VLOOKUP($A115, YES_Reading_FLA[], COLUMN(YES_Reading_FLA[Self-Identified as African Descent]),FALSE)="", "", VLOOKUP($A115,YES_Reading_FLA[],COLUMN(YES_Reading_FLA[Self-Identified as African Descent]),FALSE))),""))),"")</f>
        <v/>
      </c>
      <c r="L115" s="73" t="str" cm="1">
        <f t="array" ref="L115">IFERROR(
IF($J$2="ELA",
IF(VLOOKUP($A115, YES_Reading_ELA[], COLUMN(YES_Reading_ELA[Self-Identified as Indigenous]), FALSE)="", "",
VLOOKUP($A115,YES_Reading_ELA[], COLUMN(YES_Reading_ELA[Self-Identified as Indigenous]), FALSE)),
IF($J$2="FLA",
IF(VLOOKUP($A115, YES_Reading_FLA[], COLUMN(YES_Reading_FLA[Self-Identified as Indigenous]),FALSE)="","",
VLOOKUP($A115,YES_Reading_FLA[],COLUMN(YES_Reading_FLA[Self-Identified as Indigenous]),FALSE)),
IF($J$2="Combined",
IFERROR(
IF(VLOOKUP($A115, YES_Reading_ELA[], COLUMN(YES_Reading_ELA[Self-Identified as Indigenous]), FALSE)="", "",
VLOOKUP($A115,YES_Reading_ELA[],COLUMN(YES_Reading_ELA[Self-Identified as Indigenous]),FALSE)),
IF(VLOOKUP($A115, YES_Reading_FLA[], COLUMN(YES_Reading_FLA[Self-Identified as Indigenous]),FALSE)="", "", VLOOKUP($A115,YES_Reading_FLA[],COLUMN(YES_Reading_FLA[Self-Identified as Indigenous]),FALSE))),""))),"")</f>
        <v/>
      </c>
    </row>
    <row r="116" spans="1:12" ht="19.5" customHeight="1" x14ac:dyDescent="0.25">
      <c r="A116" s="217"/>
      <c r="B116" s="220"/>
      <c r="C116" s="203"/>
      <c r="D116" s="204"/>
      <c r="E116" s="205"/>
      <c r="F116" s="205"/>
      <c r="G116" s="205"/>
      <c r="H116" s="206"/>
      <c r="I116" s="212"/>
      <c r="J116" s="206"/>
      <c r="K116" s="197" t="str" cm="1">
        <f t="array" ref="K116">IFERROR(
IF($J$2="ELA",
IF(VLOOKUP($A116, YES_Reading_ELA[], COLUMN(YES_Reading_ELA[Self-Identified as African Descent]), FALSE)="", "",
VLOOKUP($A116,YES_Reading_ELA[], COLUMN(YES_Reading_ELA[Self-Identified as African Descent]), FALSE)),
IF($J$2="FLA",
IF(VLOOKUP($A116, YES_Reading_FLA[], COLUMN(YES_Reading_FLA[Self-Identified as African Descent]),FALSE)="","",
VLOOKUP($A116,YES_Reading_FLA[],COLUMN(YES_Reading_FLA[Self-Identified as African Descent]),FALSE)),
IF($J$2="Combined",
IFERROR(
IF(VLOOKUP($A116, YES_Reading_ELA[], COLUMN(YES_Reading_ELA[Self-Identified as African Descent]), FALSE)="", "",
VLOOKUP($A116,YES_Reading_ELA[],COLUMN(YES_Reading_ELA[Self-Identified as African Descent]),FALSE)),
IF(VLOOKUP($A116, YES_Reading_FLA[], COLUMN(YES_Reading_FLA[Self-Identified as African Descent]),FALSE)="", "", VLOOKUP($A116,YES_Reading_FLA[],COLUMN(YES_Reading_FLA[Self-Identified as African Descent]),FALSE))),""))),"")</f>
        <v/>
      </c>
      <c r="L116" s="73" t="str" cm="1">
        <f t="array" ref="L116">IFERROR(
IF($J$2="ELA",
IF(VLOOKUP($A116, YES_Reading_ELA[], COLUMN(YES_Reading_ELA[Self-Identified as Indigenous]), FALSE)="", "",
VLOOKUP($A116,YES_Reading_ELA[], COLUMN(YES_Reading_ELA[Self-Identified as Indigenous]), FALSE)),
IF($J$2="FLA",
IF(VLOOKUP($A116, YES_Reading_FLA[], COLUMN(YES_Reading_FLA[Self-Identified as Indigenous]),FALSE)="","",
VLOOKUP($A116,YES_Reading_FLA[],COLUMN(YES_Reading_FLA[Self-Identified as Indigenous]),FALSE)),
IF($J$2="Combined",
IFERROR(
IF(VLOOKUP($A116, YES_Reading_ELA[], COLUMN(YES_Reading_ELA[Self-Identified as Indigenous]), FALSE)="", "",
VLOOKUP($A116,YES_Reading_ELA[],COLUMN(YES_Reading_ELA[Self-Identified as Indigenous]),FALSE)),
IF(VLOOKUP($A116, YES_Reading_FLA[], COLUMN(YES_Reading_FLA[Self-Identified as Indigenous]),FALSE)="", "", VLOOKUP($A116,YES_Reading_FLA[],COLUMN(YES_Reading_FLA[Self-Identified as Indigenous]),FALSE))),""))),"")</f>
        <v/>
      </c>
    </row>
    <row r="117" spans="1:12" ht="19.5" customHeight="1" x14ac:dyDescent="0.25">
      <c r="A117" s="217"/>
      <c r="B117" s="220"/>
      <c r="C117" s="203"/>
      <c r="D117" s="204"/>
      <c r="E117" s="205"/>
      <c r="F117" s="205"/>
      <c r="G117" s="205"/>
      <c r="H117" s="206"/>
      <c r="I117" s="212"/>
      <c r="J117" s="206"/>
      <c r="K117" s="197" t="str" cm="1">
        <f t="array" ref="K117">IFERROR(
IF($J$2="ELA",
IF(VLOOKUP($A117, YES_Reading_ELA[], COLUMN(YES_Reading_ELA[Self-Identified as African Descent]), FALSE)="", "",
VLOOKUP($A117,YES_Reading_ELA[], COLUMN(YES_Reading_ELA[Self-Identified as African Descent]), FALSE)),
IF($J$2="FLA",
IF(VLOOKUP($A117, YES_Reading_FLA[], COLUMN(YES_Reading_FLA[Self-Identified as African Descent]),FALSE)="","",
VLOOKUP($A117,YES_Reading_FLA[],COLUMN(YES_Reading_FLA[Self-Identified as African Descent]),FALSE)),
IF($J$2="Combined",
IFERROR(
IF(VLOOKUP($A117, YES_Reading_ELA[], COLUMN(YES_Reading_ELA[Self-Identified as African Descent]), FALSE)="", "",
VLOOKUP($A117,YES_Reading_ELA[],COLUMN(YES_Reading_ELA[Self-Identified as African Descent]),FALSE)),
IF(VLOOKUP($A117, YES_Reading_FLA[], COLUMN(YES_Reading_FLA[Self-Identified as African Descent]),FALSE)="", "", VLOOKUP($A117,YES_Reading_FLA[],COLUMN(YES_Reading_FLA[Self-Identified as African Descent]),FALSE))),""))),"")</f>
        <v/>
      </c>
      <c r="L117" s="73" t="str" cm="1">
        <f t="array" ref="L117">IFERROR(
IF($J$2="ELA",
IF(VLOOKUP($A117, YES_Reading_ELA[], COLUMN(YES_Reading_ELA[Self-Identified as Indigenous]), FALSE)="", "",
VLOOKUP($A117,YES_Reading_ELA[], COLUMN(YES_Reading_ELA[Self-Identified as Indigenous]), FALSE)),
IF($J$2="FLA",
IF(VLOOKUP($A117, YES_Reading_FLA[], COLUMN(YES_Reading_FLA[Self-Identified as Indigenous]),FALSE)="","",
VLOOKUP($A117,YES_Reading_FLA[],COLUMN(YES_Reading_FLA[Self-Identified as Indigenous]),FALSE)),
IF($J$2="Combined",
IFERROR(
IF(VLOOKUP($A117, YES_Reading_ELA[], COLUMN(YES_Reading_ELA[Self-Identified as Indigenous]), FALSE)="", "",
VLOOKUP($A117,YES_Reading_ELA[],COLUMN(YES_Reading_ELA[Self-Identified as Indigenous]),FALSE)),
IF(VLOOKUP($A117, YES_Reading_FLA[], COLUMN(YES_Reading_FLA[Self-Identified as Indigenous]),FALSE)="", "", VLOOKUP($A117,YES_Reading_FLA[],COLUMN(YES_Reading_FLA[Self-Identified as Indigenous]),FALSE))),""))),"")</f>
        <v/>
      </c>
    </row>
    <row r="118" spans="1:12" ht="19.5" customHeight="1" x14ac:dyDescent="0.25">
      <c r="A118" s="217"/>
      <c r="B118" s="220"/>
      <c r="C118" s="203"/>
      <c r="D118" s="204"/>
      <c r="E118" s="205"/>
      <c r="F118" s="205"/>
      <c r="G118" s="205"/>
      <c r="H118" s="206"/>
      <c r="I118" s="212"/>
      <c r="J118" s="206"/>
      <c r="K118" s="197" t="str" cm="1">
        <f t="array" ref="K118">IFERROR(
IF($J$2="ELA",
IF(VLOOKUP($A118, YES_Reading_ELA[], COLUMN(YES_Reading_ELA[Self-Identified as African Descent]), FALSE)="", "",
VLOOKUP($A118,YES_Reading_ELA[], COLUMN(YES_Reading_ELA[Self-Identified as African Descent]), FALSE)),
IF($J$2="FLA",
IF(VLOOKUP($A118, YES_Reading_FLA[], COLUMN(YES_Reading_FLA[Self-Identified as African Descent]),FALSE)="","",
VLOOKUP($A118,YES_Reading_FLA[],COLUMN(YES_Reading_FLA[Self-Identified as African Descent]),FALSE)),
IF($J$2="Combined",
IFERROR(
IF(VLOOKUP($A118, YES_Reading_ELA[], COLUMN(YES_Reading_ELA[Self-Identified as African Descent]), FALSE)="", "",
VLOOKUP($A118,YES_Reading_ELA[],COLUMN(YES_Reading_ELA[Self-Identified as African Descent]),FALSE)),
IF(VLOOKUP($A118, YES_Reading_FLA[], COLUMN(YES_Reading_FLA[Self-Identified as African Descent]),FALSE)="", "", VLOOKUP($A118,YES_Reading_FLA[],COLUMN(YES_Reading_FLA[Self-Identified as African Descent]),FALSE))),""))),"")</f>
        <v/>
      </c>
      <c r="L118" s="73" t="str" cm="1">
        <f t="array" ref="L118">IFERROR(
IF($J$2="ELA",
IF(VLOOKUP($A118, YES_Reading_ELA[], COLUMN(YES_Reading_ELA[Self-Identified as Indigenous]), FALSE)="", "",
VLOOKUP($A118,YES_Reading_ELA[], COLUMN(YES_Reading_ELA[Self-Identified as Indigenous]), FALSE)),
IF($J$2="FLA",
IF(VLOOKUP($A118, YES_Reading_FLA[], COLUMN(YES_Reading_FLA[Self-Identified as Indigenous]),FALSE)="","",
VLOOKUP($A118,YES_Reading_FLA[],COLUMN(YES_Reading_FLA[Self-Identified as Indigenous]),FALSE)),
IF($J$2="Combined",
IFERROR(
IF(VLOOKUP($A118, YES_Reading_ELA[], COLUMN(YES_Reading_ELA[Self-Identified as Indigenous]), FALSE)="", "",
VLOOKUP($A118,YES_Reading_ELA[],COLUMN(YES_Reading_ELA[Self-Identified as Indigenous]),FALSE)),
IF(VLOOKUP($A118, YES_Reading_FLA[], COLUMN(YES_Reading_FLA[Self-Identified as Indigenous]),FALSE)="", "", VLOOKUP($A118,YES_Reading_FLA[],COLUMN(YES_Reading_FLA[Self-Identified as Indigenous]),FALSE))),""))),"")</f>
        <v/>
      </c>
    </row>
    <row r="119" spans="1:12" ht="19.5" customHeight="1" x14ac:dyDescent="0.25">
      <c r="A119" s="217"/>
      <c r="B119" s="220"/>
      <c r="C119" s="203"/>
      <c r="D119" s="204"/>
      <c r="E119" s="205"/>
      <c r="F119" s="205"/>
      <c r="G119" s="205"/>
      <c r="H119" s="206"/>
      <c r="I119" s="212"/>
      <c r="J119" s="206"/>
      <c r="K119" s="197" t="str" cm="1">
        <f t="array" ref="K119">IFERROR(
IF($J$2="ELA",
IF(VLOOKUP($A119, YES_Reading_ELA[], COLUMN(YES_Reading_ELA[Self-Identified as African Descent]), FALSE)="", "",
VLOOKUP($A119,YES_Reading_ELA[], COLUMN(YES_Reading_ELA[Self-Identified as African Descent]), FALSE)),
IF($J$2="FLA",
IF(VLOOKUP($A119, YES_Reading_FLA[], COLUMN(YES_Reading_FLA[Self-Identified as African Descent]),FALSE)="","",
VLOOKUP($A119,YES_Reading_FLA[],COLUMN(YES_Reading_FLA[Self-Identified as African Descent]),FALSE)),
IF($J$2="Combined",
IFERROR(
IF(VLOOKUP($A119, YES_Reading_ELA[], COLUMN(YES_Reading_ELA[Self-Identified as African Descent]), FALSE)="", "",
VLOOKUP($A119,YES_Reading_ELA[],COLUMN(YES_Reading_ELA[Self-Identified as African Descent]),FALSE)),
IF(VLOOKUP($A119, YES_Reading_FLA[], COLUMN(YES_Reading_FLA[Self-Identified as African Descent]),FALSE)="", "", VLOOKUP($A119,YES_Reading_FLA[],COLUMN(YES_Reading_FLA[Self-Identified as African Descent]),FALSE))),""))),"")</f>
        <v/>
      </c>
      <c r="L119" s="73" t="str" cm="1">
        <f t="array" ref="L119">IFERROR(
IF($J$2="ELA",
IF(VLOOKUP($A119, YES_Reading_ELA[], COLUMN(YES_Reading_ELA[Self-Identified as Indigenous]), FALSE)="", "",
VLOOKUP($A119,YES_Reading_ELA[], COLUMN(YES_Reading_ELA[Self-Identified as Indigenous]), FALSE)),
IF($J$2="FLA",
IF(VLOOKUP($A119, YES_Reading_FLA[], COLUMN(YES_Reading_FLA[Self-Identified as Indigenous]),FALSE)="","",
VLOOKUP($A119,YES_Reading_FLA[],COLUMN(YES_Reading_FLA[Self-Identified as Indigenous]),FALSE)),
IF($J$2="Combined",
IFERROR(
IF(VLOOKUP($A119, YES_Reading_ELA[], COLUMN(YES_Reading_ELA[Self-Identified as Indigenous]), FALSE)="", "",
VLOOKUP($A119,YES_Reading_ELA[],COLUMN(YES_Reading_ELA[Self-Identified as Indigenous]),FALSE)),
IF(VLOOKUP($A119, YES_Reading_FLA[], COLUMN(YES_Reading_FLA[Self-Identified as Indigenous]),FALSE)="", "", VLOOKUP($A119,YES_Reading_FLA[],COLUMN(YES_Reading_FLA[Self-Identified as Indigenous]),FALSE))),""))),"")</f>
        <v/>
      </c>
    </row>
    <row r="120" spans="1:12" ht="19.5" customHeight="1" x14ac:dyDescent="0.25">
      <c r="A120" s="217"/>
      <c r="B120" s="220"/>
      <c r="C120" s="203"/>
      <c r="D120" s="204"/>
      <c r="E120" s="205"/>
      <c r="F120" s="205"/>
      <c r="G120" s="205"/>
      <c r="H120" s="206"/>
      <c r="I120" s="212"/>
      <c r="J120" s="206"/>
      <c r="K120" s="197" t="str" cm="1">
        <f t="array" ref="K120">IFERROR(
IF($J$2="ELA",
IF(VLOOKUP($A120, YES_Reading_ELA[], COLUMN(YES_Reading_ELA[Self-Identified as African Descent]), FALSE)="", "",
VLOOKUP($A120,YES_Reading_ELA[], COLUMN(YES_Reading_ELA[Self-Identified as African Descent]), FALSE)),
IF($J$2="FLA",
IF(VLOOKUP($A120, YES_Reading_FLA[], COLUMN(YES_Reading_FLA[Self-Identified as African Descent]),FALSE)="","",
VLOOKUP($A120,YES_Reading_FLA[],COLUMN(YES_Reading_FLA[Self-Identified as African Descent]),FALSE)),
IF($J$2="Combined",
IFERROR(
IF(VLOOKUP($A120, YES_Reading_ELA[], COLUMN(YES_Reading_ELA[Self-Identified as African Descent]), FALSE)="", "",
VLOOKUP($A120,YES_Reading_ELA[],COLUMN(YES_Reading_ELA[Self-Identified as African Descent]),FALSE)),
IF(VLOOKUP($A120, YES_Reading_FLA[], COLUMN(YES_Reading_FLA[Self-Identified as African Descent]),FALSE)="", "", VLOOKUP($A120,YES_Reading_FLA[],COLUMN(YES_Reading_FLA[Self-Identified as African Descent]),FALSE))),""))),"")</f>
        <v/>
      </c>
      <c r="L120" s="73" t="str" cm="1">
        <f t="array" ref="L120">IFERROR(
IF($J$2="ELA",
IF(VLOOKUP($A120, YES_Reading_ELA[], COLUMN(YES_Reading_ELA[Self-Identified as Indigenous]), FALSE)="", "",
VLOOKUP($A120,YES_Reading_ELA[], COLUMN(YES_Reading_ELA[Self-Identified as Indigenous]), FALSE)),
IF($J$2="FLA",
IF(VLOOKUP($A120, YES_Reading_FLA[], COLUMN(YES_Reading_FLA[Self-Identified as Indigenous]),FALSE)="","",
VLOOKUP($A120,YES_Reading_FLA[],COLUMN(YES_Reading_FLA[Self-Identified as Indigenous]),FALSE)),
IF($J$2="Combined",
IFERROR(
IF(VLOOKUP($A120, YES_Reading_ELA[], COLUMN(YES_Reading_ELA[Self-Identified as Indigenous]), FALSE)="", "",
VLOOKUP($A120,YES_Reading_ELA[],COLUMN(YES_Reading_ELA[Self-Identified as Indigenous]),FALSE)),
IF(VLOOKUP($A120, YES_Reading_FLA[], COLUMN(YES_Reading_FLA[Self-Identified as Indigenous]),FALSE)="", "", VLOOKUP($A120,YES_Reading_FLA[],COLUMN(YES_Reading_FLA[Self-Identified as Indigenous]),FALSE))),""))),"")</f>
        <v/>
      </c>
    </row>
    <row r="121" spans="1:12" ht="19.5" customHeight="1" x14ac:dyDescent="0.25">
      <c r="A121" s="217"/>
      <c r="B121" s="220"/>
      <c r="C121" s="203"/>
      <c r="D121" s="204"/>
      <c r="E121" s="205"/>
      <c r="F121" s="205"/>
      <c r="G121" s="205"/>
      <c r="H121" s="206"/>
      <c r="I121" s="212"/>
      <c r="J121" s="206"/>
      <c r="K121" s="197" t="str" cm="1">
        <f t="array" ref="K121">IFERROR(
IF($J$2="ELA",
IF(VLOOKUP($A121, YES_Reading_ELA[], COLUMN(YES_Reading_ELA[Self-Identified as African Descent]), FALSE)="", "",
VLOOKUP($A121,YES_Reading_ELA[], COLUMN(YES_Reading_ELA[Self-Identified as African Descent]), FALSE)),
IF($J$2="FLA",
IF(VLOOKUP($A121, YES_Reading_FLA[], COLUMN(YES_Reading_FLA[Self-Identified as African Descent]),FALSE)="","",
VLOOKUP($A121,YES_Reading_FLA[],COLUMN(YES_Reading_FLA[Self-Identified as African Descent]),FALSE)),
IF($J$2="Combined",
IFERROR(
IF(VLOOKUP($A121, YES_Reading_ELA[], COLUMN(YES_Reading_ELA[Self-Identified as African Descent]), FALSE)="", "",
VLOOKUP($A121,YES_Reading_ELA[],COLUMN(YES_Reading_ELA[Self-Identified as African Descent]),FALSE)),
IF(VLOOKUP($A121, YES_Reading_FLA[], COLUMN(YES_Reading_FLA[Self-Identified as African Descent]),FALSE)="", "", VLOOKUP($A121,YES_Reading_FLA[],COLUMN(YES_Reading_FLA[Self-Identified as African Descent]),FALSE))),""))),"")</f>
        <v/>
      </c>
      <c r="L121" s="73" t="str" cm="1">
        <f t="array" ref="L121">IFERROR(
IF($J$2="ELA",
IF(VLOOKUP($A121, YES_Reading_ELA[], COLUMN(YES_Reading_ELA[Self-Identified as Indigenous]), FALSE)="", "",
VLOOKUP($A121,YES_Reading_ELA[], COLUMN(YES_Reading_ELA[Self-Identified as Indigenous]), FALSE)),
IF($J$2="FLA",
IF(VLOOKUP($A121, YES_Reading_FLA[], COLUMN(YES_Reading_FLA[Self-Identified as Indigenous]),FALSE)="","",
VLOOKUP($A121,YES_Reading_FLA[],COLUMN(YES_Reading_FLA[Self-Identified as Indigenous]),FALSE)),
IF($J$2="Combined",
IFERROR(
IF(VLOOKUP($A121, YES_Reading_ELA[], COLUMN(YES_Reading_ELA[Self-Identified as Indigenous]), FALSE)="", "",
VLOOKUP($A121,YES_Reading_ELA[],COLUMN(YES_Reading_ELA[Self-Identified as Indigenous]),FALSE)),
IF(VLOOKUP($A121, YES_Reading_FLA[], COLUMN(YES_Reading_FLA[Self-Identified as Indigenous]),FALSE)="", "", VLOOKUP($A121,YES_Reading_FLA[],COLUMN(YES_Reading_FLA[Self-Identified as Indigenous]),FALSE))),""))),"")</f>
        <v/>
      </c>
    </row>
    <row r="122" spans="1:12" ht="19.5" customHeight="1" x14ac:dyDescent="0.25">
      <c r="A122" s="217"/>
      <c r="B122" s="220"/>
      <c r="C122" s="203"/>
      <c r="D122" s="204"/>
      <c r="E122" s="205"/>
      <c r="F122" s="205"/>
      <c r="G122" s="205"/>
      <c r="H122" s="206"/>
      <c r="I122" s="212"/>
      <c r="J122" s="206"/>
      <c r="K122" s="197" t="str" cm="1">
        <f t="array" ref="K122">IFERROR(
IF($J$2="ELA",
IF(VLOOKUP($A122, YES_Reading_ELA[], COLUMN(YES_Reading_ELA[Self-Identified as African Descent]), FALSE)="", "",
VLOOKUP($A122,YES_Reading_ELA[], COLUMN(YES_Reading_ELA[Self-Identified as African Descent]), FALSE)),
IF($J$2="FLA",
IF(VLOOKUP($A122, YES_Reading_FLA[], COLUMN(YES_Reading_FLA[Self-Identified as African Descent]),FALSE)="","",
VLOOKUP($A122,YES_Reading_FLA[],COLUMN(YES_Reading_FLA[Self-Identified as African Descent]),FALSE)),
IF($J$2="Combined",
IFERROR(
IF(VLOOKUP($A122, YES_Reading_ELA[], COLUMN(YES_Reading_ELA[Self-Identified as African Descent]), FALSE)="", "",
VLOOKUP($A122,YES_Reading_ELA[],COLUMN(YES_Reading_ELA[Self-Identified as African Descent]),FALSE)),
IF(VLOOKUP($A122, YES_Reading_FLA[], COLUMN(YES_Reading_FLA[Self-Identified as African Descent]),FALSE)="", "", VLOOKUP($A122,YES_Reading_FLA[],COLUMN(YES_Reading_FLA[Self-Identified as African Descent]),FALSE))),""))),"")</f>
        <v/>
      </c>
      <c r="L122" s="73" t="str" cm="1">
        <f t="array" ref="L122">IFERROR(
IF($J$2="ELA",
IF(VLOOKUP($A122, YES_Reading_ELA[], COLUMN(YES_Reading_ELA[Self-Identified as Indigenous]), FALSE)="", "",
VLOOKUP($A122,YES_Reading_ELA[], COLUMN(YES_Reading_ELA[Self-Identified as Indigenous]), FALSE)),
IF($J$2="FLA",
IF(VLOOKUP($A122, YES_Reading_FLA[], COLUMN(YES_Reading_FLA[Self-Identified as Indigenous]),FALSE)="","",
VLOOKUP($A122,YES_Reading_FLA[],COLUMN(YES_Reading_FLA[Self-Identified as Indigenous]),FALSE)),
IF($J$2="Combined",
IFERROR(
IF(VLOOKUP($A122, YES_Reading_ELA[], COLUMN(YES_Reading_ELA[Self-Identified as Indigenous]), FALSE)="", "",
VLOOKUP($A122,YES_Reading_ELA[],COLUMN(YES_Reading_ELA[Self-Identified as Indigenous]),FALSE)),
IF(VLOOKUP($A122, YES_Reading_FLA[], COLUMN(YES_Reading_FLA[Self-Identified as Indigenous]),FALSE)="", "", VLOOKUP($A122,YES_Reading_FLA[],COLUMN(YES_Reading_FLA[Self-Identified as Indigenous]),FALSE))),""))),"")</f>
        <v/>
      </c>
    </row>
    <row r="123" spans="1:12" ht="19.5" customHeight="1" x14ac:dyDescent="0.25">
      <c r="A123" s="217"/>
      <c r="B123" s="220"/>
      <c r="C123" s="203"/>
      <c r="D123" s="204"/>
      <c r="E123" s="205"/>
      <c r="F123" s="205"/>
      <c r="G123" s="205"/>
      <c r="H123" s="206"/>
      <c r="I123" s="212"/>
      <c r="J123" s="206"/>
      <c r="K123" s="197" t="str" cm="1">
        <f t="array" ref="K123">IFERROR(
IF($J$2="ELA",
IF(VLOOKUP($A123, YES_Reading_ELA[], COLUMN(YES_Reading_ELA[Self-Identified as African Descent]), FALSE)="", "",
VLOOKUP($A123,YES_Reading_ELA[], COLUMN(YES_Reading_ELA[Self-Identified as African Descent]), FALSE)),
IF($J$2="FLA",
IF(VLOOKUP($A123, YES_Reading_FLA[], COLUMN(YES_Reading_FLA[Self-Identified as African Descent]),FALSE)="","",
VLOOKUP($A123,YES_Reading_FLA[],COLUMN(YES_Reading_FLA[Self-Identified as African Descent]),FALSE)),
IF($J$2="Combined",
IFERROR(
IF(VLOOKUP($A123, YES_Reading_ELA[], COLUMN(YES_Reading_ELA[Self-Identified as African Descent]), FALSE)="", "",
VLOOKUP($A123,YES_Reading_ELA[],COLUMN(YES_Reading_ELA[Self-Identified as African Descent]),FALSE)),
IF(VLOOKUP($A123, YES_Reading_FLA[], COLUMN(YES_Reading_FLA[Self-Identified as African Descent]),FALSE)="", "", VLOOKUP($A123,YES_Reading_FLA[],COLUMN(YES_Reading_FLA[Self-Identified as African Descent]),FALSE))),""))),"")</f>
        <v/>
      </c>
      <c r="L123" s="73" t="str" cm="1">
        <f t="array" ref="L123">IFERROR(
IF($J$2="ELA",
IF(VLOOKUP($A123, YES_Reading_ELA[], COLUMN(YES_Reading_ELA[Self-Identified as Indigenous]), FALSE)="", "",
VLOOKUP($A123,YES_Reading_ELA[], COLUMN(YES_Reading_ELA[Self-Identified as Indigenous]), FALSE)),
IF($J$2="FLA",
IF(VLOOKUP($A123, YES_Reading_FLA[], COLUMN(YES_Reading_FLA[Self-Identified as Indigenous]),FALSE)="","",
VLOOKUP($A123,YES_Reading_FLA[],COLUMN(YES_Reading_FLA[Self-Identified as Indigenous]),FALSE)),
IF($J$2="Combined",
IFERROR(
IF(VLOOKUP($A123, YES_Reading_ELA[], COLUMN(YES_Reading_ELA[Self-Identified as Indigenous]), FALSE)="", "",
VLOOKUP($A123,YES_Reading_ELA[],COLUMN(YES_Reading_ELA[Self-Identified as Indigenous]),FALSE)),
IF(VLOOKUP($A123, YES_Reading_FLA[], COLUMN(YES_Reading_FLA[Self-Identified as Indigenous]),FALSE)="", "", VLOOKUP($A123,YES_Reading_FLA[],COLUMN(YES_Reading_FLA[Self-Identified as Indigenous]),FALSE))),""))),"")</f>
        <v/>
      </c>
    </row>
    <row r="124" spans="1:12" ht="19.5" customHeight="1" x14ac:dyDescent="0.25">
      <c r="A124" s="217"/>
      <c r="B124" s="220"/>
      <c r="C124" s="203"/>
      <c r="D124" s="204"/>
      <c r="E124" s="205"/>
      <c r="F124" s="205"/>
      <c r="G124" s="205"/>
      <c r="H124" s="206"/>
      <c r="I124" s="212"/>
      <c r="J124" s="206"/>
      <c r="K124" s="197" t="str" cm="1">
        <f t="array" ref="K124">IFERROR(
IF($J$2="ELA",
IF(VLOOKUP($A124, YES_Reading_ELA[], COLUMN(YES_Reading_ELA[Self-Identified as African Descent]), FALSE)="", "",
VLOOKUP($A124,YES_Reading_ELA[], COLUMN(YES_Reading_ELA[Self-Identified as African Descent]), FALSE)),
IF($J$2="FLA",
IF(VLOOKUP($A124, YES_Reading_FLA[], COLUMN(YES_Reading_FLA[Self-Identified as African Descent]),FALSE)="","",
VLOOKUP($A124,YES_Reading_FLA[],COLUMN(YES_Reading_FLA[Self-Identified as African Descent]),FALSE)),
IF($J$2="Combined",
IFERROR(
IF(VLOOKUP($A124, YES_Reading_ELA[], COLUMN(YES_Reading_ELA[Self-Identified as African Descent]), FALSE)="", "",
VLOOKUP($A124,YES_Reading_ELA[],COLUMN(YES_Reading_ELA[Self-Identified as African Descent]),FALSE)),
IF(VLOOKUP($A124, YES_Reading_FLA[], COLUMN(YES_Reading_FLA[Self-Identified as African Descent]),FALSE)="", "", VLOOKUP($A124,YES_Reading_FLA[],COLUMN(YES_Reading_FLA[Self-Identified as African Descent]),FALSE))),""))),"")</f>
        <v/>
      </c>
      <c r="L124" s="73" t="str" cm="1">
        <f t="array" ref="L124">IFERROR(
IF($J$2="ELA",
IF(VLOOKUP($A124, YES_Reading_ELA[], COLUMN(YES_Reading_ELA[Self-Identified as Indigenous]), FALSE)="", "",
VLOOKUP($A124,YES_Reading_ELA[], COLUMN(YES_Reading_ELA[Self-Identified as Indigenous]), FALSE)),
IF($J$2="FLA",
IF(VLOOKUP($A124, YES_Reading_FLA[], COLUMN(YES_Reading_FLA[Self-Identified as Indigenous]),FALSE)="","",
VLOOKUP($A124,YES_Reading_FLA[],COLUMN(YES_Reading_FLA[Self-Identified as Indigenous]),FALSE)),
IF($J$2="Combined",
IFERROR(
IF(VLOOKUP($A124, YES_Reading_ELA[], COLUMN(YES_Reading_ELA[Self-Identified as Indigenous]), FALSE)="", "",
VLOOKUP($A124,YES_Reading_ELA[],COLUMN(YES_Reading_ELA[Self-Identified as Indigenous]),FALSE)),
IF(VLOOKUP($A124, YES_Reading_FLA[], COLUMN(YES_Reading_FLA[Self-Identified as Indigenous]),FALSE)="", "", VLOOKUP($A124,YES_Reading_FLA[],COLUMN(YES_Reading_FLA[Self-Identified as Indigenous]),FALSE))),""))),"")</f>
        <v/>
      </c>
    </row>
    <row r="125" spans="1:12" ht="19.5" customHeight="1" x14ac:dyDescent="0.25">
      <c r="A125" s="217"/>
      <c r="B125" s="220"/>
      <c r="C125" s="203"/>
      <c r="D125" s="204"/>
      <c r="E125" s="205"/>
      <c r="F125" s="205"/>
      <c r="G125" s="205"/>
      <c r="H125" s="206"/>
      <c r="I125" s="212"/>
      <c r="J125" s="206"/>
      <c r="K125" s="197" t="str" cm="1">
        <f t="array" ref="K125">IFERROR(
IF($J$2="ELA",
IF(VLOOKUP($A125, YES_Reading_ELA[], COLUMN(YES_Reading_ELA[Self-Identified as African Descent]), FALSE)="", "",
VLOOKUP($A125,YES_Reading_ELA[], COLUMN(YES_Reading_ELA[Self-Identified as African Descent]), FALSE)),
IF($J$2="FLA",
IF(VLOOKUP($A125, YES_Reading_FLA[], COLUMN(YES_Reading_FLA[Self-Identified as African Descent]),FALSE)="","",
VLOOKUP($A125,YES_Reading_FLA[],COLUMN(YES_Reading_FLA[Self-Identified as African Descent]),FALSE)),
IF($J$2="Combined",
IFERROR(
IF(VLOOKUP($A125, YES_Reading_ELA[], COLUMN(YES_Reading_ELA[Self-Identified as African Descent]), FALSE)="", "",
VLOOKUP($A125,YES_Reading_ELA[],COLUMN(YES_Reading_ELA[Self-Identified as African Descent]),FALSE)),
IF(VLOOKUP($A125, YES_Reading_FLA[], COLUMN(YES_Reading_FLA[Self-Identified as African Descent]),FALSE)="", "", VLOOKUP($A125,YES_Reading_FLA[],COLUMN(YES_Reading_FLA[Self-Identified as African Descent]),FALSE))),""))),"")</f>
        <v/>
      </c>
      <c r="L125" s="73" t="str" cm="1">
        <f t="array" ref="L125">IFERROR(
IF($J$2="ELA",
IF(VLOOKUP($A125, YES_Reading_ELA[], COLUMN(YES_Reading_ELA[Self-Identified as Indigenous]), FALSE)="", "",
VLOOKUP($A125,YES_Reading_ELA[], COLUMN(YES_Reading_ELA[Self-Identified as Indigenous]), FALSE)),
IF($J$2="FLA",
IF(VLOOKUP($A125, YES_Reading_FLA[], COLUMN(YES_Reading_FLA[Self-Identified as Indigenous]),FALSE)="","",
VLOOKUP($A125,YES_Reading_FLA[],COLUMN(YES_Reading_FLA[Self-Identified as Indigenous]),FALSE)),
IF($J$2="Combined",
IFERROR(
IF(VLOOKUP($A125, YES_Reading_ELA[], COLUMN(YES_Reading_ELA[Self-Identified as Indigenous]), FALSE)="", "",
VLOOKUP($A125,YES_Reading_ELA[],COLUMN(YES_Reading_ELA[Self-Identified as Indigenous]),FALSE)),
IF(VLOOKUP($A125, YES_Reading_FLA[], COLUMN(YES_Reading_FLA[Self-Identified as Indigenous]),FALSE)="", "", VLOOKUP($A125,YES_Reading_FLA[],COLUMN(YES_Reading_FLA[Self-Identified as Indigenous]),FALSE))),""))),"")</f>
        <v/>
      </c>
    </row>
    <row r="126" spans="1:12" ht="19.5" customHeight="1" x14ac:dyDescent="0.25">
      <c r="A126" s="217"/>
      <c r="B126" s="220"/>
      <c r="C126" s="203"/>
      <c r="D126" s="204"/>
      <c r="E126" s="205"/>
      <c r="F126" s="205"/>
      <c r="G126" s="205"/>
      <c r="H126" s="206"/>
      <c r="I126" s="212"/>
      <c r="J126" s="206"/>
      <c r="K126" s="197" t="str" cm="1">
        <f t="array" ref="K126">IFERROR(
IF($J$2="ELA",
IF(VLOOKUP($A126, YES_Reading_ELA[], COLUMN(YES_Reading_ELA[Self-Identified as African Descent]), FALSE)="", "",
VLOOKUP($A126,YES_Reading_ELA[], COLUMN(YES_Reading_ELA[Self-Identified as African Descent]), FALSE)),
IF($J$2="FLA",
IF(VLOOKUP($A126, YES_Reading_FLA[], COLUMN(YES_Reading_FLA[Self-Identified as African Descent]),FALSE)="","",
VLOOKUP($A126,YES_Reading_FLA[],COLUMN(YES_Reading_FLA[Self-Identified as African Descent]),FALSE)),
IF($J$2="Combined",
IFERROR(
IF(VLOOKUP($A126, YES_Reading_ELA[], COLUMN(YES_Reading_ELA[Self-Identified as African Descent]), FALSE)="", "",
VLOOKUP($A126,YES_Reading_ELA[],COLUMN(YES_Reading_ELA[Self-Identified as African Descent]),FALSE)),
IF(VLOOKUP($A126, YES_Reading_FLA[], COLUMN(YES_Reading_FLA[Self-Identified as African Descent]),FALSE)="", "", VLOOKUP($A126,YES_Reading_FLA[],COLUMN(YES_Reading_FLA[Self-Identified as African Descent]),FALSE))),""))),"")</f>
        <v/>
      </c>
      <c r="L126" s="73" t="str" cm="1">
        <f t="array" ref="L126">IFERROR(
IF($J$2="ELA",
IF(VLOOKUP($A126, YES_Reading_ELA[], COLUMN(YES_Reading_ELA[Self-Identified as Indigenous]), FALSE)="", "",
VLOOKUP($A126,YES_Reading_ELA[], COLUMN(YES_Reading_ELA[Self-Identified as Indigenous]), FALSE)),
IF($J$2="FLA",
IF(VLOOKUP($A126, YES_Reading_FLA[], COLUMN(YES_Reading_FLA[Self-Identified as Indigenous]),FALSE)="","",
VLOOKUP($A126,YES_Reading_FLA[],COLUMN(YES_Reading_FLA[Self-Identified as Indigenous]),FALSE)),
IF($J$2="Combined",
IFERROR(
IF(VLOOKUP($A126, YES_Reading_ELA[], COLUMN(YES_Reading_ELA[Self-Identified as Indigenous]), FALSE)="", "",
VLOOKUP($A126,YES_Reading_ELA[],COLUMN(YES_Reading_ELA[Self-Identified as Indigenous]),FALSE)),
IF(VLOOKUP($A126, YES_Reading_FLA[], COLUMN(YES_Reading_FLA[Self-Identified as Indigenous]),FALSE)="", "", VLOOKUP($A126,YES_Reading_FLA[],COLUMN(YES_Reading_FLA[Self-Identified as Indigenous]),FALSE))),""))),"")</f>
        <v/>
      </c>
    </row>
    <row r="127" spans="1:12" ht="19.5" customHeight="1" x14ac:dyDescent="0.25">
      <c r="A127" s="217"/>
      <c r="B127" s="220"/>
      <c r="C127" s="203"/>
      <c r="D127" s="204"/>
      <c r="E127" s="205"/>
      <c r="F127" s="205"/>
      <c r="G127" s="205"/>
      <c r="H127" s="206"/>
      <c r="I127" s="212"/>
      <c r="J127" s="206"/>
      <c r="K127" s="197" t="str" cm="1">
        <f t="array" ref="K127">IFERROR(
IF($J$2="ELA",
IF(VLOOKUP($A127, YES_Reading_ELA[], COLUMN(YES_Reading_ELA[Self-Identified as African Descent]), FALSE)="", "",
VLOOKUP($A127,YES_Reading_ELA[], COLUMN(YES_Reading_ELA[Self-Identified as African Descent]), FALSE)),
IF($J$2="FLA",
IF(VLOOKUP($A127, YES_Reading_FLA[], COLUMN(YES_Reading_FLA[Self-Identified as African Descent]),FALSE)="","",
VLOOKUP($A127,YES_Reading_FLA[],COLUMN(YES_Reading_FLA[Self-Identified as African Descent]),FALSE)),
IF($J$2="Combined",
IFERROR(
IF(VLOOKUP($A127, YES_Reading_ELA[], COLUMN(YES_Reading_ELA[Self-Identified as African Descent]), FALSE)="", "",
VLOOKUP($A127,YES_Reading_ELA[],COLUMN(YES_Reading_ELA[Self-Identified as African Descent]),FALSE)),
IF(VLOOKUP($A127, YES_Reading_FLA[], COLUMN(YES_Reading_FLA[Self-Identified as African Descent]),FALSE)="", "", VLOOKUP($A127,YES_Reading_FLA[],COLUMN(YES_Reading_FLA[Self-Identified as African Descent]),FALSE))),""))),"")</f>
        <v/>
      </c>
      <c r="L127" s="73" t="str" cm="1">
        <f t="array" ref="L127">IFERROR(
IF($J$2="ELA",
IF(VLOOKUP($A127, YES_Reading_ELA[], COLUMN(YES_Reading_ELA[Self-Identified as Indigenous]), FALSE)="", "",
VLOOKUP($A127,YES_Reading_ELA[], COLUMN(YES_Reading_ELA[Self-Identified as Indigenous]), FALSE)),
IF($J$2="FLA",
IF(VLOOKUP($A127, YES_Reading_FLA[], COLUMN(YES_Reading_FLA[Self-Identified as Indigenous]),FALSE)="","",
VLOOKUP($A127,YES_Reading_FLA[],COLUMN(YES_Reading_FLA[Self-Identified as Indigenous]),FALSE)),
IF($J$2="Combined",
IFERROR(
IF(VLOOKUP($A127, YES_Reading_ELA[], COLUMN(YES_Reading_ELA[Self-Identified as Indigenous]), FALSE)="", "",
VLOOKUP($A127,YES_Reading_ELA[],COLUMN(YES_Reading_ELA[Self-Identified as Indigenous]),FALSE)),
IF(VLOOKUP($A127, YES_Reading_FLA[], COLUMN(YES_Reading_FLA[Self-Identified as Indigenous]),FALSE)="", "", VLOOKUP($A127,YES_Reading_FLA[],COLUMN(YES_Reading_FLA[Self-Identified as Indigenous]),FALSE))),""))),"")</f>
        <v/>
      </c>
    </row>
    <row r="128" spans="1:12" ht="19.5" customHeight="1" x14ac:dyDescent="0.25">
      <c r="A128" s="217"/>
      <c r="B128" s="220"/>
      <c r="C128" s="203"/>
      <c r="D128" s="204"/>
      <c r="E128" s="205"/>
      <c r="F128" s="205"/>
      <c r="G128" s="205"/>
      <c r="H128" s="206"/>
      <c r="I128" s="212"/>
      <c r="J128" s="206"/>
      <c r="K128" s="197" t="str" cm="1">
        <f t="array" ref="K128">IFERROR(
IF($J$2="ELA",
IF(VLOOKUP($A128, YES_Reading_ELA[], COLUMN(YES_Reading_ELA[Self-Identified as African Descent]), FALSE)="", "",
VLOOKUP($A128,YES_Reading_ELA[], COLUMN(YES_Reading_ELA[Self-Identified as African Descent]), FALSE)),
IF($J$2="FLA",
IF(VLOOKUP($A128, YES_Reading_FLA[], COLUMN(YES_Reading_FLA[Self-Identified as African Descent]),FALSE)="","",
VLOOKUP($A128,YES_Reading_FLA[],COLUMN(YES_Reading_FLA[Self-Identified as African Descent]),FALSE)),
IF($J$2="Combined",
IFERROR(
IF(VLOOKUP($A128, YES_Reading_ELA[], COLUMN(YES_Reading_ELA[Self-Identified as African Descent]), FALSE)="", "",
VLOOKUP($A128,YES_Reading_ELA[],COLUMN(YES_Reading_ELA[Self-Identified as African Descent]),FALSE)),
IF(VLOOKUP($A128, YES_Reading_FLA[], COLUMN(YES_Reading_FLA[Self-Identified as African Descent]),FALSE)="", "", VLOOKUP($A128,YES_Reading_FLA[],COLUMN(YES_Reading_FLA[Self-Identified as African Descent]),FALSE))),""))),"")</f>
        <v/>
      </c>
      <c r="L128" s="73" t="str" cm="1">
        <f t="array" ref="L128">IFERROR(
IF($J$2="ELA",
IF(VLOOKUP($A128, YES_Reading_ELA[], COLUMN(YES_Reading_ELA[Self-Identified as Indigenous]), FALSE)="", "",
VLOOKUP($A128,YES_Reading_ELA[], COLUMN(YES_Reading_ELA[Self-Identified as Indigenous]), FALSE)),
IF($J$2="FLA",
IF(VLOOKUP($A128, YES_Reading_FLA[], COLUMN(YES_Reading_FLA[Self-Identified as Indigenous]),FALSE)="","",
VLOOKUP($A128,YES_Reading_FLA[],COLUMN(YES_Reading_FLA[Self-Identified as Indigenous]),FALSE)),
IF($J$2="Combined",
IFERROR(
IF(VLOOKUP($A128, YES_Reading_ELA[], COLUMN(YES_Reading_ELA[Self-Identified as Indigenous]), FALSE)="", "",
VLOOKUP($A128,YES_Reading_ELA[],COLUMN(YES_Reading_ELA[Self-Identified as Indigenous]),FALSE)),
IF(VLOOKUP($A128, YES_Reading_FLA[], COLUMN(YES_Reading_FLA[Self-Identified as Indigenous]),FALSE)="", "", VLOOKUP($A128,YES_Reading_FLA[],COLUMN(YES_Reading_FLA[Self-Identified as Indigenous]),FALSE))),""))),"")</f>
        <v/>
      </c>
    </row>
    <row r="129" spans="1:12" ht="19.5" customHeight="1" thickBot="1" x14ac:dyDescent="0.3">
      <c r="A129" s="218"/>
      <c r="B129" s="221"/>
      <c r="C129" s="208"/>
      <c r="D129" s="209"/>
      <c r="E129" s="210"/>
      <c r="F129" s="210"/>
      <c r="G129" s="210"/>
      <c r="H129" s="211"/>
      <c r="I129" s="213"/>
      <c r="J129" s="211"/>
      <c r="K129" s="198" t="str" cm="1">
        <f t="array" ref="K129">IFERROR(
IF($J$2="ELA",
IF(VLOOKUP($A129, YES_Reading_ELA[], COLUMN(YES_Reading_ELA[Self-Identified as African Descent]), FALSE)="", "",
VLOOKUP($A129,YES_Reading_ELA[], COLUMN(YES_Reading_ELA[Self-Identified as African Descent]), FALSE)),
IF($J$2="FLA",
IF(VLOOKUP($A129, YES_Reading_FLA[], COLUMN(YES_Reading_FLA[Self-Identified as African Descent]),FALSE)="","",
VLOOKUP($A129,YES_Reading_FLA[],COLUMN(YES_Reading_FLA[Self-Identified as African Descent]),FALSE)),
IF($J$2="Combined",
IFERROR(
IF(VLOOKUP($A129, YES_Reading_ELA[], COLUMN(YES_Reading_ELA[Self-Identified as African Descent]), FALSE)="", "",
VLOOKUP($A129,YES_Reading_ELA[],COLUMN(YES_Reading_ELA[Self-Identified as African Descent]),FALSE)),
IF(VLOOKUP($A129, YES_Reading_FLA[], COLUMN(YES_Reading_FLA[Self-Identified as African Descent]),FALSE)="", "", VLOOKUP($A129,YES_Reading_FLA[],COLUMN(YES_Reading_FLA[Self-Identified as African Descent]),FALSE))),""))),"")</f>
        <v/>
      </c>
      <c r="L129" s="74" t="str" cm="1">
        <f t="array" ref="L129">IFERROR(
IF($J$2="ELA",
IF(VLOOKUP($A129, YES_Reading_ELA[], COLUMN(YES_Reading_ELA[Self-Identified as Indigenous]), FALSE)="", "",
VLOOKUP($A129,YES_Reading_ELA[], COLUMN(YES_Reading_ELA[Self-Identified as Indigenous]), FALSE)),
IF($J$2="FLA",
IF(VLOOKUP($A129, YES_Reading_FLA[], COLUMN(YES_Reading_FLA[Self-Identified as Indigenous]),FALSE)="","",
VLOOKUP($A129,YES_Reading_FLA[],COLUMN(YES_Reading_FLA[Self-Identified as Indigenous]),FALSE)),
IF($J$2="Combined",
IFERROR(
IF(VLOOKUP($A129, YES_Reading_ELA[], COLUMN(YES_Reading_ELA[Self-Identified as Indigenous]), FALSE)="", "",
VLOOKUP($A129,YES_Reading_ELA[],COLUMN(YES_Reading_ELA[Self-Identified as Indigenous]),FALSE)),
IF(VLOOKUP($A129, YES_Reading_FLA[], COLUMN(YES_Reading_FLA[Self-Identified as Indigenous]),FALSE)="", "", VLOOKUP($A129,YES_Reading_FLA[],COLUMN(YES_Reading_FLA[Self-Identified as Indigenous]),FALSE))),""))),"")</f>
        <v/>
      </c>
    </row>
    <row r="130" spans="1:12" x14ac:dyDescent="0.25">
      <c r="A130" s="214"/>
      <c r="B130" s="214" t="s">
        <v>241</v>
      </c>
      <c r="C130" s="214"/>
      <c r="D130" s="215" t="str" cm="1">
        <f t="array" ref="D130">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Set")))=$D$1)),1,1,FALSE),FALSE,FALSE),5),"")</f>
        <v/>
      </c>
      <c r="E130" s="215"/>
      <c r="F130" s="215"/>
      <c r="G130" s="215"/>
      <c r="H130" s="355" t="s">
        <v>242</v>
      </c>
      <c r="I130" s="356"/>
      <c r="J130" s="215"/>
    </row>
    <row r="131" spans="1:12" x14ac:dyDescent="0.25">
      <c r="A131" s="214"/>
      <c r="B131" s="214" t="str">
        <f>"Date: "&amp;$D$3</f>
        <v xml:space="preserve">Date: </v>
      </c>
      <c r="C131" s="214"/>
      <c r="D131" s="215"/>
      <c r="E131" s="215"/>
      <c r="F131" s="215"/>
      <c r="G131" s="215"/>
      <c r="H131" s="357" t="s">
        <v>243</v>
      </c>
      <c r="I131" s="358"/>
      <c r="J131" s="215"/>
    </row>
    <row r="132" spans="1:12" ht="15.75" thickBot="1" x14ac:dyDescent="0.3">
      <c r="A132" s="215"/>
      <c r="B132" s="215"/>
      <c r="C132" s="215"/>
      <c r="D132" s="215"/>
      <c r="E132" s="215"/>
      <c r="F132" s="215"/>
      <c r="G132" s="215"/>
      <c r="H132" s="353" t="s">
        <v>244</v>
      </c>
      <c r="I132" s="354"/>
      <c r="J132" s="215"/>
    </row>
    <row r="133" spans="1:12" ht="85.5" customHeight="1" thickBot="1" x14ac:dyDescent="0.3">
      <c r="A133" s="192" t="s">
        <v>44</v>
      </c>
      <c r="B133" s="187" t="s">
        <v>245</v>
      </c>
      <c r="C133" s="188" t="s">
        <v>246</v>
      </c>
      <c r="D133" s="188" t="s">
        <v>247</v>
      </c>
      <c r="E133" s="188" t="s">
        <v>248</v>
      </c>
      <c r="F133" s="188" t="s">
        <v>249</v>
      </c>
      <c r="G133" s="188" t="s">
        <v>250</v>
      </c>
      <c r="H133" s="189" t="s">
        <v>251</v>
      </c>
      <c r="I133" s="190" t="s">
        <v>252</v>
      </c>
      <c r="J133" s="191" t="s">
        <v>253</v>
      </c>
      <c r="K133" s="200" t="s">
        <v>256</v>
      </c>
      <c r="L133" s="201" t="s">
        <v>257</v>
      </c>
    </row>
    <row r="134" spans="1:12" ht="19.5" customHeight="1" x14ac:dyDescent="0.25">
      <c r="A134" s="216" t="e" cm="1" vm="1">
        <f t="array" aca="1" ref="A134" ca="1">_xlfn._xlws.FILTER(_xlfn.VSTACK(YES_Reading_ELA[Student Number],YES_Reading_FLA[Student Number]),_xlfn.VSTACK(YES_Reading_ELA[HomeRoom],YES_Reading_FLA[Homeroom])=D130)</f>
        <v>#VALUE!</v>
      </c>
      <c r="B134" s="219"/>
      <c r="C134" s="203"/>
      <c r="D134" s="204"/>
      <c r="E134" s="205"/>
      <c r="F134" s="205"/>
      <c r="G134" s="205"/>
      <c r="H134" s="206"/>
      <c r="I134" s="227"/>
      <c r="J134" s="206"/>
      <c r="K134" s="24" t="str" cm="1">
        <f t="array" aca="1" ref="K134" ca="1">IFERROR(
IF($J$2="ELA",
IF(VLOOKUP($A134, YES_Reading_ELA[], COLUMN(YES_Reading_ELA[Self-Identified as African Descent]), FALSE)="", "",
VLOOKUP($A134,YES_Reading_ELA[], COLUMN(YES_Reading_ELA[Self-Identified as African Descent]), FALSE)),
IF($J$2="FLA",
IF(VLOOKUP($A134, YES_Reading_FLA[], COLUMN(YES_Reading_FLA[Self-Identified as African Descent]),FALSE)="","",
VLOOKUP($A134,YES_Reading_FLA[],COLUMN(YES_Reading_FLA[Self-Identified as African Descent]),FALSE)),
IF($J$2="Combined",
IFERROR(
IF(VLOOKUP($A134, YES_Reading_ELA[], COLUMN(YES_Reading_ELA[Self-Identified as African Descent]), FALSE)="", "",
VLOOKUP($A134,YES_Reading_ELA[],COLUMN(YES_Reading_ELA[Self-Identified as African Descent]),FALSE)),
IF(VLOOKUP($A134, YES_Reading_FLA[], COLUMN(YES_Reading_FLA[Self-Identified as African Descent]),FALSE)="", "", VLOOKUP($A134,YES_Reading_FLA[],COLUMN(YES_Reading_FLA[Self-Identified as African Descent]),FALSE))),""))),"")</f>
        <v/>
      </c>
      <c r="L134" s="199" t="str" cm="1">
        <f t="array" aca="1" ref="L134" ca="1">IFERROR(
IF($J$2="ELA",
IF(VLOOKUP($A134, YES_Reading_ELA[], COLUMN(YES_Reading_ELA[Self-Identified as Indigenous]), FALSE)="", "",
VLOOKUP($A134,YES_Reading_ELA[], COLUMN(YES_Reading_ELA[Self-Identified as Indigenous]), FALSE)),
IF($J$2="FLA",
IF(VLOOKUP($A134, YES_Reading_FLA[], COLUMN(YES_Reading_FLA[Self-Identified as Indigenous]),FALSE)="","",
VLOOKUP($A134,YES_Reading_FLA[],COLUMN(YES_Reading_FLA[Self-Identified as Indigenous]),FALSE)),
IF($J$2="Combined",
IFERROR(
IF(VLOOKUP($A134, YES_Reading_ELA[], COLUMN(YES_Reading_ELA[Self-Identified as Indigenous]), FALSE)="", "",
VLOOKUP($A134,YES_Reading_ELA[],COLUMN(YES_Reading_ELA[Self-Identified as Indigenous]),FALSE)),
IF(VLOOKUP($A134, YES_Reading_FLA[], COLUMN(YES_Reading_FLA[Self-Identified as Indigenous]),FALSE)="", "", VLOOKUP($A134,YES_Reading_FLA[],COLUMN(YES_Reading_FLA[Self-Identified as Indigenous]),FALSE))),""))),"")</f>
        <v/>
      </c>
    </row>
    <row r="135" spans="1:12" ht="19.5" customHeight="1" x14ac:dyDescent="0.25">
      <c r="A135" s="217"/>
      <c r="B135" s="220"/>
      <c r="C135" s="203"/>
      <c r="D135" s="204"/>
      <c r="E135" s="205"/>
      <c r="F135" s="205"/>
      <c r="G135" s="205"/>
      <c r="H135" s="206"/>
      <c r="I135" s="212"/>
      <c r="J135" s="206"/>
      <c r="K135" s="197" t="str" cm="1">
        <f t="array" ref="K135">IFERROR(
IF($J$2="ELA",
IF(VLOOKUP($A135, YES_Reading_ELA[], COLUMN(YES_Reading_ELA[Self-Identified as African Descent]), FALSE)="", "",
VLOOKUP($A135,YES_Reading_ELA[], COLUMN(YES_Reading_ELA[Self-Identified as African Descent]), FALSE)),
IF($J$2="FLA",
IF(VLOOKUP($A135, YES_Reading_FLA[], COLUMN(YES_Reading_FLA[Self-Identified as African Descent]),FALSE)="","",
VLOOKUP($A135,YES_Reading_FLA[],COLUMN(YES_Reading_FLA[Self-Identified as African Descent]),FALSE)),
IF($J$2="Combined",
IFERROR(
IF(VLOOKUP($A135, YES_Reading_ELA[], COLUMN(YES_Reading_ELA[Self-Identified as African Descent]), FALSE)="", "",
VLOOKUP($A135,YES_Reading_ELA[],COLUMN(YES_Reading_ELA[Self-Identified as African Descent]),FALSE)),
IF(VLOOKUP($A135, YES_Reading_FLA[], COLUMN(YES_Reading_FLA[Self-Identified as African Descent]),FALSE)="", "", VLOOKUP($A135,YES_Reading_FLA[],COLUMN(YES_Reading_FLA[Self-Identified as African Descent]),FALSE))),""))),"")</f>
        <v/>
      </c>
      <c r="L135" s="73" t="str" cm="1">
        <f t="array" ref="L135">IFERROR(
IF($J$2="ELA",
IF(VLOOKUP($A135, YES_Reading_ELA[], COLUMN(YES_Reading_ELA[Self-Identified as Indigenous]), FALSE)="", "",
VLOOKUP($A135,YES_Reading_ELA[], COLUMN(YES_Reading_ELA[Self-Identified as Indigenous]), FALSE)),
IF($J$2="FLA",
IF(VLOOKUP($A135, YES_Reading_FLA[], COLUMN(YES_Reading_FLA[Self-Identified as Indigenous]),FALSE)="","",
VLOOKUP($A135,YES_Reading_FLA[],COLUMN(YES_Reading_FLA[Self-Identified as Indigenous]),FALSE)),
IF($J$2="Combined",
IFERROR(
IF(VLOOKUP($A135, YES_Reading_ELA[], COLUMN(YES_Reading_ELA[Self-Identified as Indigenous]), FALSE)="", "",
VLOOKUP($A135,YES_Reading_ELA[],COLUMN(YES_Reading_ELA[Self-Identified as Indigenous]),FALSE)),
IF(VLOOKUP($A135, YES_Reading_FLA[], COLUMN(YES_Reading_FLA[Self-Identified as Indigenous]),FALSE)="", "", VLOOKUP($A135,YES_Reading_FLA[],COLUMN(YES_Reading_FLA[Self-Identified as Indigenous]),FALSE))),""))),"")</f>
        <v/>
      </c>
    </row>
    <row r="136" spans="1:12" ht="19.5" customHeight="1" x14ac:dyDescent="0.25">
      <c r="A136" s="217"/>
      <c r="B136" s="220"/>
      <c r="C136" s="203"/>
      <c r="D136" s="204"/>
      <c r="E136" s="205"/>
      <c r="F136" s="205"/>
      <c r="G136" s="205"/>
      <c r="H136" s="206"/>
      <c r="I136" s="212"/>
      <c r="J136" s="206"/>
      <c r="K136" s="197" t="str" cm="1">
        <f t="array" ref="K136">IFERROR(
IF($J$2="ELA",
IF(VLOOKUP($A136, YES_Reading_ELA[], COLUMN(YES_Reading_ELA[Self-Identified as African Descent]), FALSE)="", "",
VLOOKUP($A136,YES_Reading_ELA[], COLUMN(YES_Reading_ELA[Self-Identified as African Descent]), FALSE)),
IF($J$2="FLA",
IF(VLOOKUP($A136, YES_Reading_FLA[], COLUMN(YES_Reading_FLA[Self-Identified as African Descent]),FALSE)="","",
VLOOKUP($A136,YES_Reading_FLA[],COLUMN(YES_Reading_FLA[Self-Identified as African Descent]),FALSE)),
IF($J$2="Combined",
IFERROR(
IF(VLOOKUP($A136, YES_Reading_ELA[], COLUMN(YES_Reading_ELA[Self-Identified as African Descent]), FALSE)="", "",
VLOOKUP($A136,YES_Reading_ELA[],COLUMN(YES_Reading_ELA[Self-Identified as African Descent]),FALSE)),
IF(VLOOKUP($A136, YES_Reading_FLA[], COLUMN(YES_Reading_FLA[Self-Identified as African Descent]),FALSE)="", "", VLOOKUP($A136,YES_Reading_FLA[],COLUMN(YES_Reading_FLA[Self-Identified as African Descent]),FALSE))),""))),"")</f>
        <v/>
      </c>
      <c r="L136" s="73" t="str" cm="1">
        <f t="array" ref="L136">IFERROR(
IF($J$2="ELA",
IF(VLOOKUP($A136, YES_Reading_ELA[], COLUMN(YES_Reading_ELA[Self-Identified as Indigenous]), FALSE)="", "",
VLOOKUP($A136,YES_Reading_ELA[], COLUMN(YES_Reading_ELA[Self-Identified as Indigenous]), FALSE)),
IF($J$2="FLA",
IF(VLOOKUP($A136, YES_Reading_FLA[], COLUMN(YES_Reading_FLA[Self-Identified as Indigenous]),FALSE)="","",
VLOOKUP($A136,YES_Reading_FLA[],COLUMN(YES_Reading_FLA[Self-Identified as Indigenous]),FALSE)),
IF($J$2="Combined",
IFERROR(
IF(VLOOKUP($A136, YES_Reading_ELA[], COLUMN(YES_Reading_ELA[Self-Identified as Indigenous]), FALSE)="", "",
VLOOKUP($A136,YES_Reading_ELA[],COLUMN(YES_Reading_ELA[Self-Identified as Indigenous]),FALSE)),
IF(VLOOKUP($A136, YES_Reading_FLA[], COLUMN(YES_Reading_FLA[Self-Identified as Indigenous]),FALSE)="", "", VLOOKUP($A136,YES_Reading_FLA[],COLUMN(YES_Reading_FLA[Self-Identified as Indigenous]),FALSE))),""))),"")</f>
        <v/>
      </c>
    </row>
    <row r="137" spans="1:12" ht="19.5" customHeight="1" x14ac:dyDescent="0.25">
      <c r="A137" s="217"/>
      <c r="B137" s="220"/>
      <c r="C137" s="203"/>
      <c r="D137" s="204"/>
      <c r="E137" s="205"/>
      <c r="F137" s="205"/>
      <c r="G137" s="205"/>
      <c r="H137" s="206"/>
      <c r="I137" s="212"/>
      <c r="J137" s="206"/>
      <c r="K137" s="197" t="str" cm="1">
        <f t="array" ref="K137">IFERROR(
IF($J$2="ELA",
IF(VLOOKUP($A137, YES_Reading_ELA[], COLUMN(YES_Reading_ELA[Self-Identified as African Descent]), FALSE)="", "",
VLOOKUP($A137,YES_Reading_ELA[], COLUMN(YES_Reading_ELA[Self-Identified as African Descent]), FALSE)),
IF($J$2="FLA",
IF(VLOOKUP($A137, YES_Reading_FLA[], COLUMN(YES_Reading_FLA[Self-Identified as African Descent]),FALSE)="","",
VLOOKUP($A137,YES_Reading_FLA[],COLUMN(YES_Reading_FLA[Self-Identified as African Descent]),FALSE)),
IF($J$2="Combined",
IFERROR(
IF(VLOOKUP($A137, YES_Reading_ELA[], COLUMN(YES_Reading_ELA[Self-Identified as African Descent]), FALSE)="", "",
VLOOKUP($A137,YES_Reading_ELA[],COLUMN(YES_Reading_ELA[Self-Identified as African Descent]),FALSE)),
IF(VLOOKUP($A137, YES_Reading_FLA[], COLUMN(YES_Reading_FLA[Self-Identified as African Descent]),FALSE)="", "", VLOOKUP($A137,YES_Reading_FLA[],COLUMN(YES_Reading_FLA[Self-Identified as African Descent]),FALSE))),""))),"")</f>
        <v/>
      </c>
      <c r="L137" s="73" t="str" cm="1">
        <f t="array" ref="L137">IFERROR(
IF($J$2="ELA",
IF(VLOOKUP($A137, YES_Reading_ELA[], COLUMN(YES_Reading_ELA[Self-Identified as Indigenous]), FALSE)="", "",
VLOOKUP($A137,YES_Reading_ELA[], COLUMN(YES_Reading_ELA[Self-Identified as Indigenous]), FALSE)),
IF($J$2="FLA",
IF(VLOOKUP($A137, YES_Reading_FLA[], COLUMN(YES_Reading_FLA[Self-Identified as Indigenous]),FALSE)="","",
VLOOKUP($A137,YES_Reading_FLA[],COLUMN(YES_Reading_FLA[Self-Identified as Indigenous]),FALSE)),
IF($J$2="Combined",
IFERROR(
IF(VLOOKUP($A137, YES_Reading_ELA[], COLUMN(YES_Reading_ELA[Self-Identified as Indigenous]), FALSE)="", "",
VLOOKUP($A137,YES_Reading_ELA[],COLUMN(YES_Reading_ELA[Self-Identified as Indigenous]),FALSE)),
IF(VLOOKUP($A137, YES_Reading_FLA[], COLUMN(YES_Reading_FLA[Self-Identified as Indigenous]),FALSE)="", "", VLOOKUP($A137,YES_Reading_FLA[],COLUMN(YES_Reading_FLA[Self-Identified as Indigenous]),FALSE))),""))),"")</f>
        <v/>
      </c>
    </row>
    <row r="138" spans="1:12" ht="19.5" customHeight="1" x14ac:dyDescent="0.25">
      <c r="A138" s="217"/>
      <c r="B138" s="220"/>
      <c r="C138" s="203"/>
      <c r="D138" s="204"/>
      <c r="E138" s="205"/>
      <c r="F138" s="205"/>
      <c r="G138" s="205"/>
      <c r="H138" s="206"/>
      <c r="I138" s="212"/>
      <c r="J138" s="206"/>
      <c r="K138" s="197" t="str" cm="1">
        <f t="array" ref="K138">IFERROR(
IF($J$2="ELA",
IF(VLOOKUP($A138, YES_Reading_ELA[], COLUMN(YES_Reading_ELA[Self-Identified as African Descent]), FALSE)="", "",
VLOOKUP($A138,YES_Reading_ELA[], COLUMN(YES_Reading_ELA[Self-Identified as African Descent]), FALSE)),
IF($J$2="FLA",
IF(VLOOKUP($A138, YES_Reading_FLA[], COLUMN(YES_Reading_FLA[Self-Identified as African Descent]),FALSE)="","",
VLOOKUP($A138,YES_Reading_FLA[],COLUMN(YES_Reading_FLA[Self-Identified as African Descent]),FALSE)),
IF($J$2="Combined",
IFERROR(
IF(VLOOKUP($A138, YES_Reading_ELA[], COLUMN(YES_Reading_ELA[Self-Identified as African Descent]), FALSE)="", "",
VLOOKUP($A138,YES_Reading_ELA[],COLUMN(YES_Reading_ELA[Self-Identified as African Descent]),FALSE)),
IF(VLOOKUP($A138, YES_Reading_FLA[], COLUMN(YES_Reading_FLA[Self-Identified as African Descent]),FALSE)="", "", VLOOKUP($A138,YES_Reading_FLA[],COLUMN(YES_Reading_FLA[Self-Identified as African Descent]),FALSE))),""))),"")</f>
        <v/>
      </c>
      <c r="L138" s="73" t="str" cm="1">
        <f t="array" ref="L138">IFERROR(
IF($J$2="ELA",
IF(VLOOKUP($A138, YES_Reading_ELA[], COLUMN(YES_Reading_ELA[Self-Identified as Indigenous]), FALSE)="", "",
VLOOKUP($A138,YES_Reading_ELA[], COLUMN(YES_Reading_ELA[Self-Identified as Indigenous]), FALSE)),
IF($J$2="FLA",
IF(VLOOKUP($A138, YES_Reading_FLA[], COLUMN(YES_Reading_FLA[Self-Identified as Indigenous]),FALSE)="","",
VLOOKUP($A138,YES_Reading_FLA[],COLUMN(YES_Reading_FLA[Self-Identified as Indigenous]),FALSE)),
IF($J$2="Combined",
IFERROR(
IF(VLOOKUP($A138, YES_Reading_ELA[], COLUMN(YES_Reading_ELA[Self-Identified as Indigenous]), FALSE)="", "",
VLOOKUP($A138,YES_Reading_ELA[],COLUMN(YES_Reading_ELA[Self-Identified as Indigenous]),FALSE)),
IF(VLOOKUP($A138, YES_Reading_FLA[], COLUMN(YES_Reading_FLA[Self-Identified as Indigenous]),FALSE)="", "", VLOOKUP($A138,YES_Reading_FLA[],COLUMN(YES_Reading_FLA[Self-Identified as Indigenous]),FALSE))),""))),"")</f>
        <v/>
      </c>
    </row>
    <row r="139" spans="1:12" ht="19.5" customHeight="1" x14ac:dyDescent="0.25">
      <c r="A139" s="217"/>
      <c r="B139" s="220"/>
      <c r="C139" s="203"/>
      <c r="D139" s="204"/>
      <c r="E139" s="205"/>
      <c r="F139" s="205"/>
      <c r="G139" s="205"/>
      <c r="H139" s="206"/>
      <c r="I139" s="212"/>
      <c r="J139" s="206"/>
      <c r="K139" s="197" t="str" cm="1">
        <f t="array" ref="K139">IFERROR(
IF($J$2="ELA",
IF(VLOOKUP($A139, YES_Reading_ELA[], COLUMN(YES_Reading_ELA[Self-Identified as African Descent]), FALSE)="", "",
VLOOKUP($A139,YES_Reading_ELA[], COLUMN(YES_Reading_ELA[Self-Identified as African Descent]), FALSE)),
IF($J$2="FLA",
IF(VLOOKUP($A139, YES_Reading_FLA[], COLUMN(YES_Reading_FLA[Self-Identified as African Descent]),FALSE)="","",
VLOOKUP($A139,YES_Reading_FLA[],COLUMN(YES_Reading_FLA[Self-Identified as African Descent]),FALSE)),
IF($J$2="Combined",
IFERROR(
IF(VLOOKUP($A139, YES_Reading_ELA[], COLUMN(YES_Reading_ELA[Self-Identified as African Descent]), FALSE)="", "",
VLOOKUP($A139,YES_Reading_ELA[],COLUMN(YES_Reading_ELA[Self-Identified as African Descent]),FALSE)),
IF(VLOOKUP($A139, YES_Reading_FLA[], COLUMN(YES_Reading_FLA[Self-Identified as African Descent]),FALSE)="", "", VLOOKUP($A139,YES_Reading_FLA[],COLUMN(YES_Reading_FLA[Self-Identified as African Descent]),FALSE))),""))),"")</f>
        <v/>
      </c>
      <c r="L139" s="73" t="str" cm="1">
        <f t="array" ref="L139">IFERROR(
IF($J$2="ELA",
IF(VLOOKUP($A139, YES_Reading_ELA[], COLUMN(YES_Reading_ELA[Self-Identified as Indigenous]), FALSE)="", "",
VLOOKUP($A139,YES_Reading_ELA[], COLUMN(YES_Reading_ELA[Self-Identified as Indigenous]), FALSE)),
IF($J$2="FLA",
IF(VLOOKUP($A139, YES_Reading_FLA[], COLUMN(YES_Reading_FLA[Self-Identified as Indigenous]),FALSE)="","",
VLOOKUP($A139,YES_Reading_FLA[],COLUMN(YES_Reading_FLA[Self-Identified as Indigenous]),FALSE)),
IF($J$2="Combined",
IFERROR(
IF(VLOOKUP($A139, YES_Reading_ELA[], COLUMN(YES_Reading_ELA[Self-Identified as Indigenous]), FALSE)="", "",
VLOOKUP($A139,YES_Reading_ELA[],COLUMN(YES_Reading_ELA[Self-Identified as Indigenous]),FALSE)),
IF(VLOOKUP($A139, YES_Reading_FLA[], COLUMN(YES_Reading_FLA[Self-Identified as Indigenous]),FALSE)="", "", VLOOKUP($A139,YES_Reading_FLA[],COLUMN(YES_Reading_FLA[Self-Identified as Indigenous]),FALSE))),""))),"")</f>
        <v/>
      </c>
    </row>
    <row r="140" spans="1:12" ht="19.5" customHeight="1" x14ac:dyDescent="0.25">
      <c r="A140" s="217"/>
      <c r="B140" s="220"/>
      <c r="C140" s="203"/>
      <c r="D140" s="204"/>
      <c r="E140" s="205"/>
      <c r="F140" s="205"/>
      <c r="G140" s="205"/>
      <c r="H140" s="206"/>
      <c r="I140" s="212"/>
      <c r="J140" s="230"/>
      <c r="K140" s="197" t="str" cm="1">
        <f t="array" ref="K140">IFERROR(
IF($J$2="ELA",
IF(VLOOKUP($A140, YES_Reading_ELA[], COLUMN(YES_Reading_ELA[Self-Identified as African Descent]), FALSE)="", "",
VLOOKUP($A140,YES_Reading_ELA[], COLUMN(YES_Reading_ELA[Self-Identified as African Descent]), FALSE)),
IF($J$2="FLA",
IF(VLOOKUP($A140, YES_Reading_FLA[], COLUMN(YES_Reading_FLA[Self-Identified as African Descent]),FALSE)="","",
VLOOKUP($A140,YES_Reading_FLA[],COLUMN(YES_Reading_FLA[Self-Identified as African Descent]),FALSE)),
IF($J$2="Combined",
IFERROR(
IF(VLOOKUP($A140, YES_Reading_ELA[], COLUMN(YES_Reading_ELA[Self-Identified as African Descent]), FALSE)="", "",
VLOOKUP($A140,YES_Reading_ELA[],COLUMN(YES_Reading_ELA[Self-Identified as African Descent]),FALSE)),
IF(VLOOKUP($A140, YES_Reading_FLA[], COLUMN(YES_Reading_FLA[Self-Identified as African Descent]),FALSE)="", "", VLOOKUP($A140,YES_Reading_FLA[],COLUMN(YES_Reading_FLA[Self-Identified as African Descent]),FALSE))),""))),"")</f>
        <v/>
      </c>
      <c r="L140" s="73" t="str" cm="1">
        <f t="array" ref="L140">IFERROR(
IF($J$2="ELA",
IF(VLOOKUP($A140, YES_Reading_ELA[], COLUMN(YES_Reading_ELA[Self-Identified as Indigenous]), FALSE)="", "",
VLOOKUP($A140,YES_Reading_ELA[], COLUMN(YES_Reading_ELA[Self-Identified as Indigenous]), FALSE)),
IF($J$2="FLA",
IF(VLOOKUP($A140, YES_Reading_FLA[], COLUMN(YES_Reading_FLA[Self-Identified as Indigenous]),FALSE)="","",
VLOOKUP($A140,YES_Reading_FLA[],COLUMN(YES_Reading_FLA[Self-Identified as Indigenous]),FALSE)),
IF($J$2="Combined",
IFERROR(
IF(VLOOKUP($A140, YES_Reading_ELA[], COLUMN(YES_Reading_ELA[Self-Identified as Indigenous]), FALSE)="", "",
VLOOKUP($A140,YES_Reading_ELA[],COLUMN(YES_Reading_ELA[Self-Identified as Indigenous]),FALSE)),
IF(VLOOKUP($A140, YES_Reading_FLA[], COLUMN(YES_Reading_FLA[Self-Identified as Indigenous]),FALSE)="", "", VLOOKUP($A140,YES_Reading_FLA[],COLUMN(YES_Reading_FLA[Self-Identified as Indigenous]),FALSE))),""))),"")</f>
        <v/>
      </c>
    </row>
    <row r="141" spans="1:12" ht="19.5" customHeight="1" x14ac:dyDescent="0.25">
      <c r="A141" s="217"/>
      <c r="B141" s="220"/>
      <c r="C141" s="203"/>
      <c r="D141" s="204"/>
      <c r="E141" s="205"/>
      <c r="F141" s="205"/>
      <c r="G141" s="205"/>
      <c r="H141" s="206"/>
      <c r="I141" s="212"/>
      <c r="J141" s="206"/>
      <c r="K141" s="197" t="str" cm="1">
        <f t="array" ref="K141">IFERROR(
IF($J$2="ELA",
IF(VLOOKUP($A141, YES_Reading_ELA[], COLUMN(YES_Reading_ELA[Self-Identified as African Descent]), FALSE)="", "",
VLOOKUP($A141,YES_Reading_ELA[], COLUMN(YES_Reading_ELA[Self-Identified as African Descent]), FALSE)),
IF($J$2="FLA",
IF(VLOOKUP($A141, YES_Reading_FLA[], COLUMN(YES_Reading_FLA[Self-Identified as African Descent]),FALSE)="","",
VLOOKUP($A141,YES_Reading_FLA[],COLUMN(YES_Reading_FLA[Self-Identified as African Descent]),FALSE)),
IF($J$2="Combined",
IFERROR(
IF(VLOOKUP($A141, YES_Reading_ELA[], COLUMN(YES_Reading_ELA[Self-Identified as African Descent]), FALSE)="", "",
VLOOKUP($A141,YES_Reading_ELA[],COLUMN(YES_Reading_ELA[Self-Identified as African Descent]),FALSE)),
IF(VLOOKUP($A141, YES_Reading_FLA[], COLUMN(YES_Reading_FLA[Self-Identified as African Descent]),FALSE)="", "", VLOOKUP($A141,YES_Reading_FLA[],COLUMN(YES_Reading_FLA[Self-Identified as African Descent]),FALSE))),""))),"")</f>
        <v/>
      </c>
      <c r="L141" s="73" t="str" cm="1">
        <f t="array" ref="L141">IFERROR(
IF($J$2="ELA",
IF(VLOOKUP($A141, YES_Reading_ELA[], COLUMN(YES_Reading_ELA[Self-Identified as Indigenous]), FALSE)="", "",
VLOOKUP($A141,YES_Reading_ELA[], COLUMN(YES_Reading_ELA[Self-Identified as Indigenous]), FALSE)),
IF($J$2="FLA",
IF(VLOOKUP($A141, YES_Reading_FLA[], COLUMN(YES_Reading_FLA[Self-Identified as Indigenous]),FALSE)="","",
VLOOKUP($A141,YES_Reading_FLA[],COLUMN(YES_Reading_FLA[Self-Identified as Indigenous]),FALSE)),
IF($J$2="Combined",
IFERROR(
IF(VLOOKUP($A141, YES_Reading_ELA[], COLUMN(YES_Reading_ELA[Self-Identified as Indigenous]), FALSE)="", "",
VLOOKUP($A141,YES_Reading_ELA[],COLUMN(YES_Reading_ELA[Self-Identified as Indigenous]),FALSE)),
IF(VLOOKUP($A141, YES_Reading_FLA[], COLUMN(YES_Reading_FLA[Self-Identified as Indigenous]),FALSE)="", "", VLOOKUP($A141,YES_Reading_FLA[],COLUMN(YES_Reading_FLA[Self-Identified as Indigenous]),FALSE))),""))),"")</f>
        <v/>
      </c>
    </row>
    <row r="142" spans="1:12" ht="19.5" customHeight="1" x14ac:dyDescent="0.25">
      <c r="A142" s="217"/>
      <c r="B142" s="220"/>
      <c r="C142" s="203"/>
      <c r="D142" s="204"/>
      <c r="E142" s="205"/>
      <c r="F142" s="205"/>
      <c r="G142" s="205"/>
      <c r="H142" s="206"/>
      <c r="I142" s="212"/>
      <c r="J142" s="206"/>
      <c r="K142" s="197" t="str" cm="1">
        <f t="array" ref="K142">IFERROR(
IF($J$2="ELA",
IF(VLOOKUP($A142, YES_Reading_ELA[], COLUMN(YES_Reading_ELA[Self-Identified as African Descent]), FALSE)="", "",
VLOOKUP($A142,YES_Reading_ELA[], COLUMN(YES_Reading_ELA[Self-Identified as African Descent]), FALSE)),
IF($J$2="FLA",
IF(VLOOKUP($A142, YES_Reading_FLA[], COLUMN(YES_Reading_FLA[Self-Identified as African Descent]),FALSE)="","",
VLOOKUP($A142,YES_Reading_FLA[],COLUMN(YES_Reading_FLA[Self-Identified as African Descent]),FALSE)),
IF($J$2="Combined",
IFERROR(
IF(VLOOKUP($A142, YES_Reading_ELA[], COLUMN(YES_Reading_ELA[Self-Identified as African Descent]), FALSE)="", "",
VLOOKUP($A142,YES_Reading_ELA[],COLUMN(YES_Reading_ELA[Self-Identified as African Descent]),FALSE)),
IF(VLOOKUP($A142, YES_Reading_FLA[], COLUMN(YES_Reading_FLA[Self-Identified as African Descent]),FALSE)="", "", VLOOKUP($A142,YES_Reading_FLA[],COLUMN(YES_Reading_FLA[Self-Identified as African Descent]),FALSE))),""))),"")</f>
        <v/>
      </c>
      <c r="L142" s="73" t="str" cm="1">
        <f t="array" ref="L142">IFERROR(
IF($J$2="ELA",
IF(VLOOKUP($A142, YES_Reading_ELA[], COLUMN(YES_Reading_ELA[Self-Identified as Indigenous]), FALSE)="", "",
VLOOKUP($A142,YES_Reading_ELA[], COLUMN(YES_Reading_ELA[Self-Identified as Indigenous]), FALSE)),
IF($J$2="FLA",
IF(VLOOKUP($A142, YES_Reading_FLA[], COLUMN(YES_Reading_FLA[Self-Identified as Indigenous]),FALSE)="","",
VLOOKUP($A142,YES_Reading_FLA[],COLUMN(YES_Reading_FLA[Self-Identified as Indigenous]),FALSE)),
IF($J$2="Combined",
IFERROR(
IF(VLOOKUP($A142, YES_Reading_ELA[], COLUMN(YES_Reading_ELA[Self-Identified as Indigenous]), FALSE)="", "",
VLOOKUP($A142,YES_Reading_ELA[],COLUMN(YES_Reading_ELA[Self-Identified as Indigenous]),FALSE)),
IF(VLOOKUP($A142, YES_Reading_FLA[], COLUMN(YES_Reading_FLA[Self-Identified as Indigenous]),FALSE)="", "", VLOOKUP($A142,YES_Reading_FLA[],COLUMN(YES_Reading_FLA[Self-Identified as Indigenous]),FALSE))),""))),"")</f>
        <v/>
      </c>
    </row>
    <row r="143" spans="1:12" ht="19.5" customHeight="1" x14ac:dyDescent="0.25">
      <c r="A143" s="217"/>
      <c r="B143" s="220"/>
      <c r="C143" s="203"/>
      <c r="D143" s="204"/>
      <c r="E143" s="205"/>
      <c r="F143" s="205"/>
      <c r="G143" s="205"/>
      <c r="H143" s="206"/>
      <c r="I143" s="212"/>
      <c r="J143" s="206"/>
      <c r="K143" s="197" t="str" cm="1">
        <f t="array" ref="K143">IFERROR(
IF($J$2="ELA",
IF(VLOOKUP($A143, YES_Reading_ELA[], COLUMN(YES_Reading_ELA[Self-Identified as African Descent]), FALSE)="", "",
VLOOKUP($A143,YES_Reading_ELA[], COLUMN(YES_Reading_ELA[Self-Identified as African Descent]), FALSE)),
IF($J$2="FLA",
IF(VLOOKUP($A143, YES_Reading_FLA[], COLUMN(YES_Reading_FLA[Self-Identified as African Descent]),FALSE)="","",
VLOOKUP($A143,YES_Reading_FLA[],COLUMN(YES_Reading_FLA[Self-Identified as African Descent]),FALSE)),
IF($J$2="Combined",
IFERROR(
IF(VLOOKUP($A143, YES_Reading_ELA[], COLUMN(YES_Reading_ELA[Self-Identified as African Descent]), FALSE)="", "",
VLOOKUP($A143,YES_Reading_ELA[],COLUMN(YES_Reading_ELA[Self-Identified as African Descent]),FALSE)),
IF(VLOOKUP($A143, YES_Reading_FLA[], COLUMN(YES_Reading_FLA[Self-Identified as African Descent]),FALSE)="", "", VLOOKUP($A143,YES_Reading_FLA[],COLUMN(YES_Reading_FLA[Self-Identified as African Descent]),FALSE))),""))),"")</f>
        <v/>
      </c>
      <c r="L143" s="73" t="str" cm="1">
        <f t="array" ref="L143">IFERROR(
IF($J$2="ELA",
IF(VLOOKUP($A143, YES_Reading_ELA[], COLUMN(YES_Reading_ELA[Self-Identified as Indigenous]), FALSE)="", "",
VLOOKUP($A143,YES_Reading_ELA[], COLUMN(YES_Reading_ELA[Self-Identified as Indigenous]), FALSE)),
IF($J$2="FLA",
IF(VLOOKUP($A143, YES_Reading_FLA[], COLUMN(YES_Reading_FLA[Self-Identified as Indigenous]),FALSE)="","",
VLOOKUP($A143,YES_Reading_FLA[],COLUMN(YES_Reading_FLA[Self-Identified as Indigenous]),FALSE)),
IF($J$2="Combined",
IFERROR(
IF(VLOOKUP($A143, YES_Reading_ELA[], COLUMN(YES_Reading_ELA[Self-Identified as Indigenous]), FALSE)="", "",
VLOOKUP($A143,YES_Reading_ELA[],COLUMN(YES_Reading_ELA[Self-Identified as Indigenous]),FALSE)),
IF(VLOOKUP($A143, YES_Reading_FLA[], COLUMN(YES_Reading_FLA[Self-Identified as Indigenous]),FALSE)="", "", VLOOKUP($A143,YES_Reading_FLA[],COLUMN(YES_Reading_FLA[Self-Identified as Indigenous]),FALSE))),""))),"")</f>
        <v/>
      </c>
    </row>
    <row r="144" spans="1:12" ht="19.5" customHeight="1" x14ac:dyDescent="0.25">
      <c r="A144" s="217"/>
      <c r="B144" s="220"/>
      <c r="C144" s="203"/>
      <c r="D144" s="204"/>
      <c r="E144" s="205"/>
      <c r="F144" s="205"/>
      <c r="G144" s="205"/>
      <c r="H144" s="206"/>
      <c r="I144" s="212"/>
      <c r="J144" s="206"/>
      <c r="K144" s="197" t="str" cm="1">
        <f t="array" ref="K144">IFERROR(
IF($J$2="ELA",
IF(VLOOKUP($A144, YES_Reading_ELA[], COLUMN(YES_Reading_ELA[Self-Identified as African Descent]), FALSE)="", "",
VLOOKUP($A144,YES_Reading_ELA[], COLUMN(YES_Reading_ELA[Self-Identified as African Descent]), FALSE)),
IF($J$2="FLA",
IF(VLOOKUP($A144, YES_Reading_FLA[], COLUMN(YES_Reading_FLA[Self-Identified as African Descent]),FALSE)="","",
VLOOKUP($A144,YES_Reading_FLA[],COLUMN(YES_Reading_FLA[Self-Identified as African Descent]),FALSE)),
IF($J$2="Combined",
IFERROR(
IF(VLOOKUP($A144, YES_Reading_ELA[], COLUMN(YES_Reading_ELA[Self-Identified as African Descent]), FALSE)="", "",
VLOOKUP($A144,YES_Reading_ELA[],COLUMN(YES_Reading_ELA[Self-Identified as African Descent]),FALSE)),
IF(VLOOKUP($A144, YES_Reading_FLA[], COLUMN(YES_Reading_FLA[Self-Identified as African Descent]),FALSE)="", "", VLOOKUP($A144,YES_Reading_FLA[],COLUMN(YES_Reading_FLA[Self-Identified as African Descent]),FALSE))),""))),"")</f>
        <v/>
      </c>
      <c r="L144" s="73" t="str" cm="1">
        <f t="array" ref="L144">IFERROR(
IF($J$2="ELA",
IF(VLOOKUP($A144, YES_Reading_ELA[], COLUMN(YES_Reading_ELA[Self-Identified as Indigenous]), FALSE)="", "",
VLOOKUP($A144,YES_Reading_ELA[], COLUMN(YES_Reading_ELA[Self-Identified as Indigenous]), FALSE)),
IF($J$2="FLA",
IF(VLOOKUP($A144, YES_Reading_FLA[], COLUMN(YES_Reading_FLA[Self-Identified as Indigenous]),FALSE)="","",
VLOOKUP($A144,YES_Reading_FLA[],COLUMN(YES_Reading_FLA[Self-Identified as Indigenous]),FALSE)),
IF($J$2="Combined",
IFERROR(
IF(VLOOKUP($A144, YES_Reading_ELA[], COLUMN(YES_Reading_ELA[Self-Identified as Indigenous]), FALSE)="", "",
VLOOKUP($A144,YES_Reading_ELA[],COLUMN(YES_Reading_ELA[Self-Identified as Indigenous]),FALSE)),
IF(VLOOKUP($A144, YES_Reading_FLA[], COLUMN(YES_Reading_FLA[Self-Identified as Indigenous]),FALSE)="", "", VLOOKUP($A144,YES_Reading_FLA[],COLUMN(YES_Reading_FLA[Self-Identified as Indigenous]),FALSE))),""))),"")</f>
        <v/>
      </c>
    </row>
    <row r="145" spans="1:12" ht="19.5" customHeight="1" x14ac:dyDescent="0.25">
      <c r="A145" s="217"/>
      <c r="B145" s="220"/>
      <c r="C145" s="203"/>
      <c r="D145" s="204"/>
      <c r="E145" s="205"/>
      <c r="F145" s="205"/>
      <c r="G145" s="205"/>
      <c r="H145" s="206"/>
      <c r="I145" s="212"/>
      <c r="J145" s="206"/>
      <c r="K145" s="197" t="str" cm="1">
        <f t="array" ref="K145">IFERROR(
IF($J$2="ELA",
IF(VLOOKUP($A145, YES_Reading_ELA[], COLUMN(YES_Reading_ELA[Self-Identified as African Descent]), FALSE)="", "",
VLOOKUP($A145,YES_Reading_ELA[], COLUMN(YES_Reading_ELA[Self-Identified as African Descent]), FALSE)),
IF($J$2="FLA",
IF(VLOOKUP($A145, YES_Reading_FLA[], COLUMN(YES_Reading_FLA[Self-Identified as African Descent]),FALSE)="","",
VLOOKUP($A145,YES_Reading_FLA[],COLUMN(YES_Reading_FLA[Self-Identified as African Descent]),FALSE)),
IF($J$2="Combined",
IFERROR(
IF(VLOOKUP($A145, YES_Reading_ELA[], COLUMN(YES_Reading_ELA[Self-Identified as African Descent]), FALSE)="", "",
VLOOKUP($A145,YES_Reading_ELA[],COLUMN(YES_Reading_ELA[Self-Identified as African Descent]),FALSE)),
IF(VLOOKUP($A145, YES_Reading_FLA[], COLUMN(YES_Reading_FLA[Self-Identified as African Descent]),FALSE)="", "", VLOOKUP($A145,YES_Reading_FLA[],COLUMN(YES_Reading_FLA[Self-Identified as African Descent]),FALSE))),""))),"")</f>
        <v/>
      </c>
      <c r="L145" s="73" t="str" cm="1">
        <f t="array" ref="L145">IFERROR(
IF($J$2="ELA",
IF(VLOOKUP($A145, YES_Reading_ELA[], COLUMN(YES_Reading_ELA[Self-Identified as Indigenous]), FALSE)="", "",
VLOOKUP($A145,YES_Reading_ELA[], COLUMN(YES_Reading_ELA[Self-Identified as Indigenous]), FALSE)),
IF($J$2="FLA",
IF(VLOOKUP($A145, YES_Reading_FLA[], COLUMN(YES_Reading_FLA[Self-Identified as Indigenous]),FALSE)="","",
VLOOKUP($A145,YES_Reading_FLA[],COLUMN(YES_Reading_FLA[Self-Identified as Indigenous]),FALSE)),
IF($J$2="Combined",
IFERROR(
IF(VLOOKUP($A145, YES_Reading_ELA[], COLUMN(YES_Reading_ELA[Self-Identified as Indigenous]), FALSE)="", "",
VLOOKUP($A145,YES_Reading_ELA[],COLUMN(YES_Reading_ELA[Self-Identified as Indigenous]),FALSE)),
IF(VLOOKUP($A145, YES_Reading_FLA[], COLUMN(YES_Reading_FLA[Self-Identified as Indigenous]),FALSE)="", "", VLOOKUP($A145,YES_Reading_FLA[],COLUMN(YES_Reading_FLA[Self-Identified as Indigenous]),FALSE))),""))),"")</f>
        <v/>
      </c>
    </row>
    <row r="146" spans="1:12" ht="19.5" customHeight="1" x14ac:dyDescent="0.25">
      <c r="A146" s="217"/>
      <c r="B146" s="220"/>
      <c r="C146" s="203"/>
      <c r="D146" s="204"/>
      <c r="E146" s="205"/>
      <c r="F146" s="205"/>
      <c r="G146" s="205"/>
      <c r="H146" s="206"/>
      <c r="I146" s="212"/>
      <c r="J146" s="206"/>
      <c r="K146" s="197" t="str" cm="1">
        <f t="array" ref="K146">IFERROR(
IF($J$2="ELA",
IF(VLOOKUP($A146, YES_Reading_ELA[], COLUMN(YES_Reading_ELA[Self-Identified as African Descent]), FALSE)="", "",
VLOOKUP($A146,YES_Reading_ELA[], COLUMN(YES_Reading_ELA[Self-Identified as African Descent]), FALSE)),
IF($J$2="FLA",
IF(VLOOKUP($A146, YES_Reading_FLA[], COLUMN(YES_Reading_FLA[Self-Identified as African Descent]),FALSE)="","",
VLOOKUP($A146,YES_Reading_FLA[],COLUMN(YES_Reading_FLA[Self-Identified as African Descent]),FALSE)),
IF($J$2="Combined",
IFERROR(
IF(VLOOKUP($A146, YES_Reading_ELA[], COLUMN(YES_Reading_ELA[Self-Identified as African Descent]), FALSE)="", "",
VLOOKUP($A146,YES_Reading_ELA[],COLUMN(YES_Reading_ELA[Self-Identified as African Descent]),FALSE)),
IF(VLOOKUP($A146, YES_Reading_FLA[], COLUMN(YES_Reading_FLA[Self-Identified as African Descent]),FALSE)="", "", VLOOKUP($A146,YES_Reading_FLA[],COLUMN(YES_Reading_FLA[Self-Identified as African Descent]),FALSE))),""))),"")</f>
        <v/>
      </c>
      <c r="L146" s="73" t="str" cm="1">
        <f t="array" ref="L146">IFERROR(
IF($J$2="ELA",
IF(VLOOKUP($A146, YES_Reading_ELA[], COLUMN(YES_Reading_ELA[Self-Identified as Indigenous]), FALSE)="", "",
VLOOKUP($A146,YES_Reading_ELA[], COLUMN(YES_Reading_ELA[Self-Identified as Indigenous]), FALSE)),
IF($J$2="FLA",
IF(VLOOKUP($A146, YES_Reading_FLA[], COLUMN(YES_Reading_FLA[Self-Identified as Indigenous]),FALSE)="","",
VLOOKUP($A146,YES_Reading_FLA[],COLUMN(YES_Reading_FLA[Self-Identified as Indigenous]),FALSE)),
IF($J$2="Combined",
IFERROR(
IF(VLOOKUP($A146, YES_Reading_ELA[], COLUMN(YES_Reading_ELA[Self-Identified as Indigenous]), FALSE)="", "",
VLOOKUP($A146,YES_Reading_ELA[],COLUMN(YES_Reading_ELA[Self-Identified as Indigenous]),FALSE)),
IF(VLOOKUP($A146, YES_Reading_FLA[], COLUMN(YES_Reading_FLA[Self-Identified as Indigenous]),FALSE)="", "", VLOOKUP($A146,YES_Reading_FLA[],COLUMN(YES_Reading_FLA[Self-Identified as Indigenous]),FALSE))),""))),"")</f>
        <v/>
      </c>
    </row>
    <row r="147" spans="1:12" ht="19.5" customHeight="1" x14ac:dyDescent="0.25">
      <c r="A147" s="217"/>
      <c r="B147" s="220"/>
      <c r="C147" s="203"/>
      <c r="D147" s="204"/>
      <c r="E147" s="205"/>
      <c r="F147" s="205"/>
      <c r="G147" s="205"/>
      <c r="H147" s="206"/>
      <c r="I147" s="212"/>
      <c r="J147" s="206"/>
      <c r="K147" s="197" t="str" cm="1">
        <f t="array" ref="K147">IFERROR(
IF($J$2="ELA",
IF(VLOOKUP($A147, YES_Reading_ELA[], COLUMN(YES_Reading_ELA[Self-Identified as African Descent]), FALSE)="", "",
VLOOKUP($A147,YES_Reading_ELA[], COLUMN(YES_Reading_ELA[Self-Identified as African Descent]), FALSE)),
IF($J$2="FLA",
IF(VLOOKUP($A147, YES_Reading_FLA[], COLUMN(YES_Reading_FLA[Self-Identified as African Descent]),FALSE)="","",
VLOOKUP($A147,YES_Reading_FLA[],COLUMN(YES_Reading_FLA[Self-Identified as African Descent]),FALSE)),
IF($J$2="Combined",
IFERROR(
IF(VLOOKUP($A147, YES_Reading_ELA[], COLUMN(YES_Reading_ELA[Self-Identified as African Descent]), FALSE)="", "",
VLOOKUP($A147,YES_Reading_ELA[],COLUMN(YES_Reading_ELA[Self-Identified as African Descent]),FALSE)),
IF(VLOOKUP($A147, YES_Reading_FLA[], COLUMN(YES_Reading_FLA[Self-Identified as African Descent]),FALSE)="", "", VLOOKUP($A147,YES_Reading_FLA[],COLUMN(YES_Reading_FLA[Self-Identified as African Descent]),FALSE))),""))),"")</f>
        <v/>
      </c>
      <c r="L147" s="73" t="str" cm="1">
        <f t="array" ref="L147">IFERROR(
IF($J$2="ELA",
IF(VLOOKUP($A147, YES_Reading_ELA[], COLUMN(YES_Reading_ELA[Self-Identified as Indigenous]), FALSE)="", "",
VLOOKUP($A147,YES_Reading_ELA[], COLUMN(YES_Reading_ELA[Self-Identified as Indigenous]), FALSE)),
IF($J$2="FLA",
IF(VLOOKUP($A147, YES_Reading_FLA[], COLUMN(YES_Reading_FLA[Self-Identified as Indigenous]),FALSE)="","",
VLOOKUP($A147,YES_Reading_FLA[],COLUMN(YES_Reading_FLA[Self-Identified as Indigenous]),FALSE)),
IF($J$2="Combined",
IFERROR(
IF(VLOOKUP($A147, YES_Reading_ELA[], COLUMN(YES_Reading_ELA[Self-Identified as Indigenous]), FALSE)="", "",
VLOOKUP($A147,YES_Reading_ELA[],COLUMN(YES_Reading_ELA[Self-Identified as Indigenous]),FALSE)),
IF(VLOOKUP($A147, YES_Reading_FLA[], COLUMN(YES_Reading_FLA[Self-Identified as Indigenous]),FALSE)="", "", VLOOKUP($A147,YES_Reading_FLA[],COLUMN(YES_Reading_FLA[Self-Identified as Indigenous]),FALSE))),""))),"")</f>
        <v/>
      </c>
    </row>
    <row r="148" spans="1:12" ht="19.5" customHeight="1" x14ac:dyDescent="0.25">
      <c r="A148" s="217"/>
      <c r="B148" s="220"/>
      <c r="C148" s="203"/>
      <c r="D148" s="204"/>
      <c r="E148" s="205"/>
      <c r="F148" s="205"/>
      <c r="G148" s="205"/>
      <c r="H148" s="206"/>
      <c r="I148" s="212"/>
      <c r="J148" s="206"/>
      <c r="K148" s="197" t="str" cm="1">
        <f t="array" ref="K148">IFERROR(
IF($J$2="ELA",
IF(VLOOKUP($A148, YES_Reading_ELA[], COLUMN(YES_Reading_ELA[Self-Identified as African Descent]), FALSE)="", "",
VLOOKUP($A148,YES_Reading_ELA[], COLUMN(YES_Reading_ELA[Self-Identified as African Descent]), FALSE)),
IF($J$2="FLA",
IF(VLOOKUP($A148, YES_Reading_FLA[], COLUMN(YES_Reading_FLA[Self-Identified as African Descent]),FALSE)="","",
VLOOKUP($A148,YES_Reading_FLA[],COLUMN(YES_Reading_FLA[Self-Identified as African Descent]),FALSE)),
IF($J$2="Combined",
IFERROR(
IF(VLOOKUP($A148, YES_Reading_ELA[], COLUMN(YES_Reading_ELA[Self-Identified as African Descent]), FALSE)="", "",
VLOOKUP($A148,YES_Reading_ELA[],COLUMN(YES_Reading_ELA[Self-Identified as African Descent]),FALSE)),
IF(VLOOKUP($A148, YES_Reading_FLA[], COLUMN(YES_Reading_FLA[Self-Identified as African Descent]),FALSE)="", "", VLOOKUP($A148,YES_Reading_FLA[],COLUMN(YES_Reading_FLA[Self-Identified as African Descent]),FALSE))),""))),"")</f>
        <v/>
      </c>
      <c r="L148" s="73" t="str" cm="1">
        <f t="array" ref="L148">IFERROR(
IF($J$2="ELA",
IF(VLOOKUP($A148, YES_Reading_ELA[], COLUMN(YES_Reading_ELA[Self-Identified as Indigenous]), FALSE)="", "",
VLOOKUP($A148,YES_Reading_ELA[], COLUMN(YES_Reading_ELA[Self-Identified as Indigenous]), FALSE)),
IF($J$2="FLA",
IF(VLOOKUP($A148, YES_Reading_FLA[], COLUMN(YES_Reading_FLA[Self-Identified as Indigenous]),FALSE)="","",
VLOOKUP($A148,YES_Reading_FLA[],COLUMN(YES_Reading_FLA[Self-Identified as Indigenous]),FALSE)),
IF($J$2="Combined",
IFERROR(
IF(VLOOKUP($A148, YES_Reading_ELA[], COLUMN(YES_Reading_ELA[Self-Identified as Indigenous]), FALSE)="", "",
VLOOKUP($A148,YES_Reading_ELA[],COLUMN(YES_Reading_ELA[Self-Identified as Indigenous]),FALSE)),
IF(VLOOKUP($A148, YES_Reading_FLA[], COLUMN(YES_Reading_FLA[Self-Identified as Indigenous]),FALSE)="", "", VLOOKUP($A148,YES_Reading_FLA[],COLUMN(YES_Reading_FLA[Self-Identified as Indigenous]),FALSE))),""))),"")</f>
        <v/>
      </c>
    </row>
    <row r="149" spans="1:12" ht="19.5" customHeight="1" x14ac:dyDescent="0.25">
      <c r="A149" s="217"/>
      <c r="B149" s="220"/>
      <c r="C149" s="203"/>
      <c r="D149" s="204"/>
      <c r="E149" s="205"/>
      <c r="F149" s="205"/>
      <c r="G149" s="205"/>
      <c r="H149" s="206"/>
      <c r="I149" s="212"/>
      <c r="J149" s="206"/>
      <c r="K149" s="197" t="str" cm="1">
        <f t="array" ref="K149">IFERROR(
IF($J$2="ELA",
IF(VLOOKUP($A149, YES_Reading_ELA[], COLUMN(YES_Reading_ELA[Self-Identified as African Descent]), FALSE)="", "",
VLOOKUP($A149,YES_Reading_ELA[], COLUMN(YES_Reading_ELA[Self-Identified as African Descent]), FALSE)),
IF($J$2="FLA",
IF(VLOOKUP($A149, YES_Reading_FLA[], COLUMN(YES_Reading_FLA[Self-Identified as African Descent]),FALSE)="","",
VLOOKUP($A149,YES_Reading_FLA[],COLUMN(YES_Reading_FLA[Self-Identified as African Descent]),FALSE)),
IF($J$2="Combined",
IFERROR(
IF(VLOOKUP($A149, YES_Reading_ELA[], COLUMN(YES_Reading_ELA[Self-Identified as African Descent]), FALSE)="", "",
VLOOKUP($A149,YES_Reading_ELA[],COLUMN(YES_Reading_ELA[Self-Identified as African Descent]),FALSE)),
IF(VLOOKUP($A149, YES_Reading_FLA[], COLUMN(YES_Reading_FLA[Self-Identified as African Descent]),FALSE)="", "", VLOOKUP($A149,YES_Reading_FLA[],COLUMN(YES_Reading_FLA[Self-Identified as African Descent]),FALSE))),""))),"")</f>
        <v/>
      </c>
      <c r="L149" s="73" t="str" cm="1">
        <f t="array" ref="L149">IFERROR(
IF($J$2="ELA",
IF(VLOOKUP($A149, YES_Reading_ELA[], COLUMN(YES_Reading_ELA[Self-Identified as Indigenous]), FALSE)="", "",
VLOOKUP($A149,YES_Reading_ELA[], COLUMN(YES_Reading_ELA[Self-Identified as Indigenous]), FALSE)),
IF($J$2="FLA",
IF(VLOOKUP($A149, YES_Reading_FLA[], COLUMN(YES_Reading_FLA[Self-Identified as Indigenous]),FALSE)="","",
VLOOKUP($A149,YES_Reading_FLA[],COLUMN(YES_Reading_FLA[Self-Identified as Indigenous]),FALSE)),
IF($J$2="Combined",
IFERROR(
IF(VLOOKUP($A149, YES_Reading_ELA[], COLUMN(YES_Reading_ELA[Self-Identified as Indigenous]), FALSE)="", "",
VLOOKUP($A149,YES_Reading_ELA[],COLUMN(YES_Reading_ELA[Self-Identified as Indigenous]),FALSE)),
IF(VLOOKUP($A149, YES_Reading_FLA[], COLUMN(YES_Reading_FLA[Self-Identified as Indigenous]),FALSE)="", "", VLOOKUP($A149,YES_Reading_FLA[],COLUMN(YES_Reading_FLA[Self-Identified as Indigenous]),FALSE))),""))),"")</f>
        <v/>
      </c>
    </row>
    <row r="150" spans="1:12" ht="19.5" customHeight="1" x14ac:dyDescent="0.25">
      <c r="A150" s="217"/>
      <c r="B150" s="220"/>
      <c r="C150" s="203"/>
      <c r="D150" s="204"/>
      <c r="E150" s="205"/>
      <c r="F150" s="205"/>
      <c r="G150" s="205"/>
      <c r="H150" s="206"/>
      <c r="I150" s="212"/>
      <c r="J150" s="206"/>
      <c r="K150" s="197" t="str" cm="1">
        <f t="array" ref="K150">IFERROR(
IF($J$2="ELA",
IF(VLOOKUP($A150, YES_Reading_ELA[], COLUMN(YES_Reading_ELA[Self-Identified as African Descent]), FALSE)="", "",
VLOOKUP($A150,YES_Reading_ELA[], COLUMN(YES_Reading_ELA[Self-Identified as African Descent]), FALSE)),
IF($J$2="FLA",
IF(VLOOKUP($A150, YES_Reading_FLA[], COLUMN(YES_Reading_FLA[Self-Identified as African Descent]),FALSE)="","",
VLOOKUP($A150,YES_Reading_FLA[],COLUMN(YES_Reading_FLA[Self-Identified as African Descent]),FALSE)),
IF($J$2="Combined",
IFERROR(
IF(VLOOKUP($A150, YES_Reading_ELA[], COLUMN(YES_Reading_ELA[Self-Identified as African Descent]), FALSE)="", "",
VLOOKUP($A150,YES_Reading_ELA[],COLUMN(YES_Reading_ELA[Self-Identified as African Descent]),FALSE)),
IF(VLOOKUP($A150, YES_Reading_FLA[], COLUMN(YES_Reading_FLA[Self-Identified as African Descent]),FALSE)="", "", VLOOKUP($A150,YES_Reading_FLA[],COLUMN(YES_Reading_FLA[Self-Identified as African Descent]),FALSE))),""))),"")</f>
        <v/>
      </c>
      <c r="L150" s="73" t="str" cm="1">
        <f t="array" ref="L150">IFERROR(
IF($J$2="ELA",
IF(VLOOKUP($A150, YES_Reading_ELA[], COLUMN(YES_Reading_ELA[Self-Identified as Indigenous]), FALSE)="", "",
VLOOKUP($A150,YES_Reading_ELA[], COLUMN(YES_Reading_ELA[Self-Identified as Indigenous]), FALSE)),
IF($J$2="FLA",
IF(VLOOKUP($A150, YES_Reading_FLA[], COLUMN(YES_Reading_FLA[Self-Identified as Indigenous]),FALSE)="","",
VLOOKUP($A150,YES_Reading_FLA[],COLUMN(YES_Reading_FLA[Self-Identified as Indigenous]),FALSE)),
IF($J$2="Combined",
IFERROR(
IF(VLOOKUP($A150, YES_Reading_ELA[], COLUMN(YES_Reading_ELA[Self-Identified as Indigenous]), FALSE)="", "",
VLOOKUP($A150,YES_Reading_ELA[],COLUMN(YES_Reading_ELA[Self-Identified as Indigenous]),FALSE)),
IF(VLOOKUP($A150, YES_Reading_FLA[], COLUMN(YES_Reading_FLA[Self-Identified as Indigenous]),FALSE)="", "", VLOOKUP($A150,YES_Reading_FLA[],COLUMN(YES_Reading_FLA[Self-Identified as Indigenous]),FALSE))),""))),"")</f>
        <v/>
      </c>
    </row>
    <row r="151" spans="1:12" ht="19.5" customHeight="1" x14ac:dyDescent="0.25">
      <c r="A151" s="217"/>
      <c r="B151" s="220"/>
      <c r="C151" s="203"/>
      <c r="D151" s="204"/>
      <c r="E151" s="205"/>
      <c r="F151" s="205"/>
      <c r="G151" s="205"/>
      <c r="H151" s="206"/>
      <c r="I151" s="212"/>
      <c r="J151" s="206"/>
      <c r="K151" s="197" t="str" cm="1">
        <f t="array" ref="K151">IFERROR(
IF($J$2="ELA",
IF(VLOOKUP($A151, YES_Reading_ELA[], COLUMN(YES_Reading_ELA[Self-Identified as African Descent]), FALSE)="", "",
VLOOKUP($A151,YES_Reading_ELA[], COLUMN(YES_Reading_ELA[Self-Identified as African Descent]), FALSE)),
IF($J$2="FLA",
IF(VLOOKUP($A151, YES_Reading_FLA[], COLUMN(YES_Reading_FLA[Self-Identified as African Descent]),FALSE)="","",
VLOOKUP($A151,YES_Reading_FLA[],COLUMN(YES_Reading_FLA[Self-Identified as African Descent]),FALSE)),
IF($J$2="Combined",
IFERROR(
IF(VLOOKUP($A151, YES_Reading_ELA[], COLUMN(YES_Reading_ELA[Self-Identified as African Descent]), FALSE)="", "",
VLOOKUP($A151,YES_Reading_ELA[],COLUMN(YES_Reading_ELA[Self-Identified as African Descent]),FALSE)),
IF(VLOOKUP($A151, YES_Reading_FLA[], COLUMN(YES_Reading_FLA[Self-Identified as African Descent]),FALSE)="", "", VLOOKUP($A151,YES_Reading_FLA[],COLUMN(YES_Reading_FLA[Self-Identified as African Descent]),FALSE))),""))),"")</f>
        <v/>
      </c>
      <c r="L151" s="73" t="str" cm="1">
        <f t="array" ref="L151">IFERROR(
IF($J$2="ELA",
IF(VLOOKUP($A151, YES_Reading_ELA[], COLUMN(YES_Reading_ELA[Self-Identified as Indigenous]), FALSE)="", "",
VLOOKUP($A151,YES_Reading_ELA[], COLUMN(YES_Reading_ELA[Self-Identified as Indigenous]), FALSE)),
IF($J$2="FLA",
IF(VLOOKUP($A151, YES_Reading_FLA[], COLUMN(YES_Reading_FLA[Self-Identified as Indigenous]),FALSE)="","",
VLOOKUP($A151,YES_Reading_FLA[],COLUMN(YES_Reading_FLA[Self-Identified as Indigenous]),FALSE)),
IF($J$2="Combined",
IFERROR(
IF(VLOOKUP($A151, YES_Reading_ELA[], COLUMN(YES_Reading_ELA[Self-Identified as Indigenous]), FALSE)="", "",
VLOOKUP($A151,YES_Reading_ELA[],COLUMN(YES_Reading_ELA[Self-Identified as Indigenous]),FALSE)),
IF(VLOOKUP($A151, YES_Reading_FLA[], COLUMN(YES_Reading_FLA[Self-Identified as Indigenous]),FALSE)="", "", VLOOKUP($A151,YES_Reading_FLA[],COLUMN(YES_Reading_FLA[Self-Identified as Indigenous]),FALSE))),""))),"")</f>
        <v/>
      </c>
    </row>
    <row r="152" spans="1:12" ht="19.5" customHeight="1" x14ac:dyDescent="0.25">
      <c r="A152" s="217"/>
      <c r="B152" s="220"/>
      <c r="C152" s="203"/>
      <c r="D152" s="204"/>
      <c r="E152" s="205"/>
      <c r="F152" s="205"/>
      <c r="G152" s="205"/>
      <c r="H152" s="206"/>
      <c r="I152" s="212"/>
      <c r="J152" s="206"/>
      <c r="K152" s="197" t="str" cm="1">
        <f t="array" ref="K152">IFERROR(
IF($J$2="ELA",
IF(VLOOKUP($A152, YES_Reading_ELA[], COLUMN(YES_Reading_ELA[Self-Identified as African Descent]), FALSE)="", "",
VLOOKUP($A152,YES_Reading_ELA[], COLUMN(YES_Reading_ELA[Self-Identified as African Descent]), FALSE)),
IF($J$2="FLA",
IF(VLOOKUP($A152, YES_Reading_FLA[], COLUMN(YES_Reading_FLA[Self-Identified as African Descent]),FALSE)="","",
VLOOKUP($A152,YES_Reading_FLA[],COLUMN(YES_Reading_FLA[Self-Identified as African Descent]),FALSE)),
IF($J$2="Combined",
IFERROR(
IF(VLOOKUP($A152, YES_Reading_ELA[], COLUMN(YES_Reading_ELA[Self-Identified as African Descent]), FALSE)="", "",
VLOOKUP($A152,YES_Reading_ELA[],COLUMN(YES_Reading_ELA[Self-Identified as African Descent]),FALSE)),
IF(VLOOKUP($A152, YES_Reading_FLA[], COLUMN(YES_Reading_FLA[Self-Identified as African Descent]),FALSE)="", "", VLOOKUP($A152,YES_Reading_FLA[],COLUMN(YES_Reading_FLA[Self-Identified as African Descent]),FALSE))),""))),"")</f>
        <v/>
      </c>
      <c r="L152" s="73" t="str" cm="1">
        <f t="array" ref="L152">IFERROR(
IF($J$2="ELA",
IF(VLOOKUP($A152, YES_Reading_ELA[], COLUMN(YES_Reading_ELA[Self-Identified as Indigenous]), FALSE)="", "",
VLOOKUP($A152,YES_Reading_ELA[], COLUMN(YES_Reading_ELA[Self-Identified as Indigenous]), FALSE)),
IF($J$2="FLA",
IF(VLOOKUP($A152, YES_Reading_FLA[], COLUMN(YES_Reading_FLA[Self-Identified as Indigenous]),FALSE)="","",
VLOOKUP($A152,YES_Reading_FLA[],COLUMN(YES_Reading_FLA[Self-Identified as Indigenous]),FALSE)),
IF($J$2="Combined",
IFERROR(
IF(VLOOKUP($A152, YES_Reading_ELA[], COLUMN(YES_Reading_ELA[Self-Identified as Indigenous]), FALSE)="", "",
VLOOKUP($A152,YES_Reading_ELA[],COLUMN(YES_Reading_ELA[Self-Identified as Indigenous]),FALSE)),
IF(VLOOKUP($A152, YES_Reading_FLA[], COLUMN(YES_Reading_FLA[Self-Identified as Indigenous]),FALSE)="", "", VLOOKUP($A152,YES_Reading_FLA[],COLUMN(YES_Reading_FLA[Self-Identified as Indigenous]),FALSE))),""))),"")</f>
        <v/>
      </c>
    </row>
    <row r="153" spans="1:12" ht="19.5" customHeight="1" x14ac:dyDescent="0.25">
      <c r="A153" s="217"/>
      <c r="B153" s="220"/>
      <c r="C153" s="203"/>
      <c r="D153" s="204"/>
      <c r="E153" s="205"/>
      <c r="F153" s="205"/>
      <c r="G153" s="205"/>
      <c r="H153" s="206"/>
      <c r="I153" s="212"/>
      <c r="J153" s="206"/>
      <c r="K153" s="197" t="str" cm="1">
        <f t="array" ref="K153">IFERROR(
IF($J$2="ELA",
IF(VLOOKUP($A153, YES_Reading_ELA[], COLUMN(YES_Reading_ELA[Self-Identified as African Descent]), FALSE)="", "",
VLOOKUP($A153,YES_Reading_ELA[], COLUMN(YES_Reading_ELA[Self-Identified as African Descent]), FALSE)),
IF($J$2="FLA",
IF(VLOOKUP($A153, YES_Reading_FLA[], COLUMN(YES_Reading_FLA[Self-Identified as African Descent]),FALSE)="","",
VLOOKUP($A153,YES_Reading_FLA[],COLUMN(YES_Reading_FLA[Self-Identified as African Descent]),FALSE)),
IF($J$2="Combined",
IFERROR(
IF(VLOOKUP($A153, YES_Reading_ELA[], COLUMN(YES_Reading_ELA[Self-Identified as African Descent]), FALSE)="", "",
VLOOKUP($A153,YES_Reading_ELA[],COLUMN(YES_Reading_ELA[Self-Identified as African Descent]),FALSE)),
IF(VLOOKUP($A153, YES_Reading_FLA[], COLUMN(YES_Reading_FLA[Self-Identified as African Descent]),FALSE)="", "", VLOOKUP($A153,YES_Reading_FLA[],COLUMN(YES_Reading_FLA[Self-Identified as African Descent]),FALSE))),""))),"")</f>
        <v/>
      </c>
      <c r="L153" s="73" t="str" cm="1">
        <f t="array" ref="L153">IFERROR(
IF($J$2="ELA",
IF(VLOOKUP($A153, YES_Reading_ELA[], COLUMN(YES_Reading_ELA[Self-Identified as Indigenous]), FALSE)="", "",
VLOOKUP($A153,YES_Reading_ELA[], COLUMN(YES_Reading_ELA[Self-Identified as Indigenous]), FALSE)),
IF($J$2="FLA",
IF(VLOOKUP($A153, YES_Reading_FLA[], COLUMN(YES_Reading_FLA[Self-Identified as Indigenous]),FALSE)="","",
VLOOKUP($A153,YES_Reading_FLA[],COLUMN(YES_Reading_FLA[Self-Identified as Indigenous]),FALSE)),
IF($J$2="Combined",
IFERROR(
IF(VLOOKUP($A153, YES_Reading_ELA[], COLUMN(YES_Reading_ELA[Self-Identified as Indigenous]), FALSE)="", "",
VLOOKUP($A153,YES_Reading_ELA[],COLUMN(YES_Reading_ELA[Self-Identified as Indigenous]),FALSE)),
IF(VLOOKUP($A153, YES_Reading_FLA[], COLUMN(YES_Reading_FLA[Self-Identified as Indigenous]),FALSE)="", "", VLOOKUP($A153,YES_Reading_FLA[],COLUMN(YES_Reading_FLA[Self-Identified as Indigenous]),FALSE))),""))),"")</f>
        <v/>
      </c>
    </row>
    <row r="154" spans="1:12" ht="19.5" customHeight="1" x14ac:dyDescent="0.25">
      <c r="A154" s="217"/>
      <c r="B154" s="220"/>
      <c r="C154" s="203"/>
      <c r="D154" s="204"/>
      <c r="E154" s="205"/>
      <c r="F154" s="205"/>
      <c r="G154" s="205"/>
      <c r="H154" s="206"/>
      <c r="I154" s="212"/>
      <c r="J154" s="206"/>
      <c r="K154" s="197" t="str" cm="1">
        <f t="array" ref="K154">IFERROR(
IF($J$2="ELA",
IF(VLOOKUP($A154, YES_Reading_ELA[], COLUMN(YES_Reading_ELA[Self-Identified as African Descent]), FALSE)="", "",
VLOOKUP($A154,YES_Reading_ELA[], COLUMN(YES_Reading_ELA[Self-Identified as African Descent]), FALSE)),
IF($J$2="FLA",
IF(VLOOKUP($A154, YES_Reading_FLA[], COLUMN(YES_Reading_FLA[Self-Identified as African Descent]),FALSE)="","",
VLOOKUP($A154,YES_Reading_FLA[],COLUMN(YES_Reading_FLA[Self-Identified as African Descent]),FALSE)),
IF($J$2="Combined",
IFERROR(
IF(VLOOKUP($A154, YES_Reading_ELA[], COLUMN(YES_Reading_ELA[Self-Identified as African Descent]), FALSE)="", "",
VLOOKUP($A154,YES_Reading_ELA[],COLUMN(YES_Reading_ELA[Self-Identified as African Descent]),FALSE)),
IF(VLOOKUP($A154, YES_Reading_FLA[], COLUMN(YES_Reading_FLA[Self-Identified as African Descent]),FALSE)="", "", VLOOKUP($A154,YES_Reading_FLA[],COLUMN(YES_Reading_FLA[Self-Identified as African Descent]),FALSE))),""))),"")</f>
        <v/>
      </c>
      <c r="L154" s="73" t="str" cm="1">
        <f t="array" ref="L154">IFERROR(
IF($J$2="ELA",
IF(VLOOKUP($A154, YES_Reading_ELA[], COLUMN(YES_Reading_ELA[Self-Identified as Indigenous]), FALSE)="", "",
VLOOKUP($A154,YES_Reading_ELA[], COLUMN(YES_Reading_ELA[Self-Identified as Indigenous]), FALSE)),
IF($J$2="FLA",
IF(VLOOKUP($A154, YES_Reading_FLA[], COLUMN(YES_Reading_FLA[Self-Identified as Indigenous]),FALSE)="","",
VLOOKUP($A154,YES_Reading_FLA[],COLUMN(YES_Reading_FLA[Self-Identified as Indigenous]),FALSE)),
IF($J$2="Combined",
IFERROR(
IF(VLOOKUP($A154, YES_Reading_ELA[], COLUMN(YES_Reading_ELA[Self-Identified as Indigenous]), FALSE)="", "",
VLOOKUP($A154,YES_Reading_ELA[],COLUMN(YES_Reading_ELA[Self-Identified as Indigenous]),FALSE)),
IF(VLOOKUP($A154, YES_Reading_FLA[], COLUMN(YES_Reading_FLA[Self-Identified as Indigenous]),FALSE)="", "", VLOOKUP($A154,YES_Reading_FLA[],COLUMN(YES_Reading_FLA[Self-Identified as Indigenous]),FALSE))),""))),"")</f>
        <v/>
      </c>
    </row>
    <row r="155" spans="1:12" ht="19.5" customHeight="1" x14ac:dyDescent="0.25">
      <c r="A155" s="217"/>
      <c r="B155" s="220"/>
      <c r="C155" s="203"/>
      <c r="D155" s="204"/>
      <c r="E155" s="205"/>
      <c r="F155" s="205"/>
      <c r="G155" s="205"/>
      <c r="H155" s="206"/>
      <c r="I155" s="212"/>
      <c r="J155" s="206"/>
      <c r="K155" s="197" t="str" cm="1">
        <f t="array" ref="K155">IFERROR(
IF($J$2="ELA",
IF(VLOOKUP($A155, YES_Reading_ELA[], COLUMN(YES_Reading_ELA[Self-Identified as African Descent]), FALSE)="", "",
VLOOKUP($A155,YES_Reading_ELA[], COLUMN(YES_Reading_ELA[Self-Identified as African Descent]), FALSE)),
IF($J$2="FLA",
IF(VLOOKUP($A155, YES_Reading_FLA[], COLUMN(YES_Reading_FLA[Self-Identified as African Descent]),FALSE)="","",
VLOOKUP($A155,YES_Reading_FLA[],COLUMN(YES_Reading_FLA[Self-Identified as African Descent]),FALSE)),
IF($J$2="Combined",
IFERROR(
IF(VLOOKUP($A155, YES_Reading_ELA[], COLUMN(YES_Reading_ELA[Self-Identified as African Descent]), FALSE)="", "",
VLOOKUP($A155,YES_Reading_ELA[],COLUMN(YES_Reading_ELA[Self-Identified as African Descent]),FALSE)),
IF(VLOOKUP($A155, YES_Reading_FLA[], COLUMN(YES_Reading_FLA[Self-Identified as African Descent]),FALSE)="", "", VLOOKUP($A155,YES_Reading_FLA[],COLUMN(YES_Reading_FLA[Self-Identified as African Descent]),FALSE))),""))),"")</f>
        <v/>
      </c>
      <c r="L155" s="73" t="str" cm="1">
        <f t="array" ref="L155">IFERROR(
IF($J$2="ELA",
IF(VLOOKUP($A155, YES_Reading_ELA[], COLUMN(YES_Reading_ELA[Self-Identified as Indigenous]), FALSE)="", "",
VLOOKUP($A155,YES_Reading_ELA[], COLUMN(YES_Reading_ELA[Self-Identified as Indigenous]), FALSE)),
IF($J$2="FLA",
IF(VLOOKUP($A155, YES_Reading_FLA[], COLUMN(YES_Reading_FLA[Self-Identified as Indigenous]),FALSE)="","",
VLOOKUP($A155,YES_Reading_FLA[],COLUMN(YES_Reading_FLA[Self-Identified as Indigenous]),FALSE)),
IF($J$2="Combined",
IFERROR(
IF(VLOOKUP($A155, YES_Reading_ELA[], COLUMN(YES_Reading_ELA[Self-Identified as Indigenous]), FALSE)="", "",
VLOOKUP($A155,YES_Reading_ELA[],COLUMN(YES_Reading_ELA[Self-Identified as Indigenous]),FALSE)),
IF(VLOOKUP($A155, YES_Reading_FLA[], COLUMN(YES_Reading_FLA[Self-Identified as Indigenous]),FALSE)="", "", VLOOKUP($A155,YES_Reading_FLA[],COLUMN(YES_Reading_FLA[Self-Identified as Indigenous]),FALSE))),""))),"")</f>
        <v/>
      </c>
    </row>
    <row r="156" spans="1:12" ht="19.5" customHeight="1" x14ac:dyDescent="0.25">
      <c r="A156" s="217"/>
      <c r="B156" s="220"/>
      <c r="C156" s="203"/>
      <c r="D156" s="204"/>
      <c r="E156" s="205"/>
      <c r="F156" s="205"/>
      <c r="G156" s="205"/>
      <c r="H156" s="206"/>
      <c r="I156" s="212"/>
      <c r="J156" s="206"/>
      <c r="K156" s="197" t="str" cm="1">
        <f t="array" ref="K156">IFERROR(
IF($J$2="ELA",
IF(VLOOKUP($A156, YES_Reading_ELA[], COLUMN(YES_Reading_ELA[Self-Identified as African Descent]), FALSE)="", "",
VLOOKUP($A156,YES_Reading_ELA[], COLUMN(YES_Reading_ELA[Self-Identified as African Descent]), FALSE)),
IF($J$2="FLA",
IF(VLOOKUP($A156, YES_Reading_FLA[], COLUMN(YES_Reading_FLA[Self-Identified as African Descent]),FALSE)="","",
VLOOKUP($A156,YES_Reading_FLA[],COLUMN(YES_Reading_FLA[Self-Identified as African Descent]),FALSE)),
IF($J$2="Combined",
IFERROR(
IF(VLOOKUP($A156, YES_Reading_ELA[], COLUMN(YES_Reading_ELA[Self-Identified as African Descent]), FALSE)="", "",
VLOOKUP($A156,YES_Reading_ELA[],COLUMN(YES_Reading_ELA[Self-Identified as African Descent]),FALSE)),
IF(VLOOKUP($A156, YES_Reading_FLA[], COLUMN(YES_Reading_FLA[Self-Identified as African Descent]),FALSE)="", "", VLOOKUP($A156,YES_Reading_FLA[],COLUMN(YES_Reading_FLA[Self-Identified as African Descent]),FALSE))),""))),"")</f>
        <v/>
      </c>
      <c r="L156" s="73" t="str" cm="1">
        <f t="array" ref="L156">IFERROR(
IF($J$2="ELA",
IF(VLOOKUP($A156, YES_Reading_ELA[], COLUMN(YES_Reading_ELA[Self-Identified as Indigenous]), FALSE)="", "",
VLOOKUP($A156,YES_Reading_ELA[], COLUMN(YES_Reading_ELA[Self-Identified as Indigenous]), FALSE)),
IF($J$2="FLA",
IF(VLOOKUP($A156, YES_Reading_FLA[], COLUMN(YES_Reading_FLA[Self-Identified as Indigenous]),FALSE)="","",
VLOOKUP($A156,YES_Reading_FLA[],COLUMN(YES_Reading_FLA[Self-Identified as Indigenous]),FALSE)),
IF($J$2="Combined",
IFERROR(
IF(VLOOKUP($A156, YES_Reading_ELA[], COLUMN(YES_Reading_ELA[Self-Identified as Indigenous]), FALSE)="", "",
VLOOKUP($A156,YES_Reading_ELA[],COLUMN(YES_Reading_ELA[Self-Identified as Indigenous]),FALSE)),
IF(VLOOKUP($A156, YES_Reading_FLA[], COLUMN(YES_Reading_FLA[Self-Identified as Indigenous]),FALSE)="", "", VLOOKUP($A156,YES_Reading_FLA[],COLUMN(YES_Reading_FLA[Self-Identified as Indigenous]),FALSE))),""))),"")</f>
        <v/>
      </c>
    </row>
    <row r="157" spans="1:12" ht="19.5" customHeight="1" x14ac:dyDescent="0.25">
      <c r="A157" s="217"/>
      <c r="B157" s="220"/>
      <c r="C157" s="203"/>
      <c r="D157" s="204"/>
      <c r="E157" s="205"/>
      <c r="F157" s="205"/>
      <c r="G157" s="205"/>
      <c r="H157" s="206"/>
      <c r="I157" s="212"/>
      <c r="J157" s="206"/>
      <c r="K157" s="197" t="str" cm="1">
        <f t="array" ref="K157">IFERROR(
IF($J$2="ELA",
IF(VLOOKUP($A157, YES_Reading_ELA[], COLUMN(YES_Reading_ELA[Self-Identified as African Descent]), FALSE)="", "",
VLOOKUP($A157,YES_Reading_ELA[], COLUMN(YES_Reading_ELA[Self-Identified as African Descent]), FALSE)),
IF($J$2="FLA",
IF(VLOOKUP($A157, YES_Reading_FLA[], COLUMN(YES_Reading_FLA[Self-Identified as African Descent]),FALSE)="","",
VLOOKUP($A157,YES_Reading_FLA[],COLUMN(YES_Reading_FLA[Self-Identified as African Descent]),FALSE)),
IF($J$2="Combined",
IFERROR(
IF(VLOOKUP($A157, YES_Reading_ELA[], COLUMN(YES_Reading_ELA[Self-Identified as African Descent]), FALSE)="", "",
VLOOKUP($A157,YES_Reading_ELA[],COLUMN(YES_Reading_ELA[Self-Identified as African Descent]),FALSE)),
IF(VLOOKUP($A157, YES_Reading_FLA[], COLUMN(YES_Reading_FLA[Self-Identified as African Descent]),FALSE)="", "", VLOOKUP($A157,YES_Reading_FLA[],COLUMN(YES_Reading_FLA[Self-Identified as African Descent]),FALSE))),""))),"")</f>
        <v/>
      </c>
      <c r="L157" s="73" t="str" cm="1">
        <f t="array" ref="L157">IFERROR(
IF($J$2="ELA",
IF(VLOOKUP($A157, YES_Reading_ELA[], COLUMN(YES_Reading_ELA[Self-Identified as Indigenous]), FALSE)="", "",
VLOOKUP($A157,YES_Reading_ELA[], COLUMN(YES_Reading_ELA[Self-Identified as Indigenous]), FALSE)),
IF($J$2="FLA",
IF(VLOOKUP($A157, YES_Reading_FLA[], COLUMN(YES_Reading_FLA[Self-Identified as Indigenous]),FALSE)="","",
VLOOKUP($A157,YES_Reading_FLA[],COLUMN(YES_Reading_FLA[Self-Identified as Indigenous]),FALSE)),
IF($J$2="Combined",
IFERROR(
IF(VLOOKUP($A157, YES_Reading_ELA[], COLUMN(YES_Reading_ELA[Self-Identified as Indigenous]), FALSE)="", "",
VLOOKUP($A157,YES_Reading_ELA[],COLUMN(YES_Reading_ELA[Self-Identified as Indigenous]),FALSE)),
IF(VLOOKUP($A157, YES_Reading_FLA[], COLUMN(YES_Reading_FLA[Self-Identified as Indigenous]),FALSE)="", "", VLOOKUP($A157,YES_Reading_FLA[],COLUMN(YES_Reading_FLA[Self-Identified as Indigenous]),FALSE))),""))),"")</f>
        <v/>
      </c>
    </row>
    <row r="158" spans="1:12" ht="19.5" customHeight="1" x14ac:dyDescent="0.25">
      <c r="A158" s="217"/>
      <c r="B158" s="220"/>
      <c r="C158" s="203"/>
      <c r="D158" s="204"/>
      <c r="E158" s="205"/>
      <c r="F158" s="205"/>
      <c r="G158" s="205"/>
      <c r="H158" s="206"/>
      <c r="I158" s="212"/>
      <c r="J158" s="206"/>
      <c r="K158" s="197" t="str" cm="1">
        <f t="array" ref="K158">IFERROR(
IF($J$2="ELA",
IF(VLOOKUP($A158, YES_Reading_ELA[], COLUMN(YES_Reading_ELA[Self-Identified as African Descent]), FALSE)="", "",
VLOOKUP($A158,YES_Reading_ELA[], COLUMN(YES_Reading_ELA[Self-Identified as African Descent]), FALSE)),
IF($J$2="FLA",
IF(VLOOKUP($A158, YES_Reading_FLA[], COLUMN(YES_Reading_FLA[Self-Identified as African Descent]),FALSE)="","",
VLOOKUP($A158,YES_Reading_FLA[],COLUMN(YES_Reading_FLA[Self-Identified as African Descent]),FALSE)),
IF($J$2="Combined",
IFERROR(
IF(VLOOKUP($A158, YES_Reading_ELA[], COLUMN(YES_Reading_ELA[Self-Identified as African Descent]), FALSE)="", "",
VLOOKUP($A158,YES_Reading_ELA[],COLUMN(YES_Reading_ELA[Self-Identified as African Descent]),FALSE)),
IF(VLOOKUP($A158, YES_Reading_FLA[], COLUMN(YES_Reading_FLA[Self-Identified as African Descent]),FALSE)="", "", VLOOKUP($A158,YES_Reading_FLA[],COLUMN(YES_Reading_FLA[Self-Identified as African Descent]),FALSE))),""))),"")</f>
        <v/>
      </c>
      <c r="L158" s="73" t="str" cm="1">
        <f t="array" ref="L158">IFERROR(
IF($J$2="ELA",
IF(VLOOKUP($A158, YES_Reading_ELA[], COLUMN(YES_Reading_ELA[Self-Identified as Indigenous]), FALSE)="", "",
VLOOKUP($A158,YES_Reading_ELA[], COLUMN(YES_Reading_ELA[Self-Identified as Indigenous]), FALSE)),
IF($J$2="FLA",
IF(VLOOKUP($A158, YES_Reading_FLA[], COLUMN(YES_Reading_FLA[Self-Identified as Indigenous]),FALSE)="","",
VLOOKUP($A158,YES_Reading_FLA[],COLUMN(YES_Reading_FLA[Self-Identified as Indigenous]),FALSE)),
IF($J$2="Combined",
IFERROR(
IF(VLOOKUP($A158, YES_Reading_ELA[], COLUMN(YES_Reading_ELA[Self-Identified as Indigenous]), FALSE)="", "",
VLOOKUP($A158,YES_Reading_ELA[],COLUMN(YES_Reading_ELA[Self-Identified as Indigenous]),FALSE)),
IF(VLOOKUP($A158, YES_Reading_FLA[], COLUMN(YES_Reading_FLA[Self-Identified as Indigenous]),FALSE)="", "", VLOOKUP($A158,YES_Reading_FLA[],COLUMN(YES_Reading_FLA[Self-Identified as Indigenous]),FALSE))),""))),"")</f>
        <v/>
      </c>
    </row>
    <row r="159" spans="1:12" ht="19.5" customHeight="1" x14ac:dyDescent="0.25">
      <c r="A159" s="217"/>
      <c r="B159" s="220"/>
      <c r="C159" s="203"/>
      <c r="D159" s="204"/>
      <c r="E159" s="205"/>
      <c r="F159" s="205"/>
      <c r="G159" s="205"/>
      <c r="H159" s="206"/>
      <c r="I159" s="212"/>
      <c r="J159" s="206"/>
      <c r="K159" s="197" t="str" cm="1">
        <f t="array" ref="K159">IFERROR(
IF($J$2="ELA",
IF(VLOOKUP($A159, YES_Reading_ELA[], COLUMN(YES_Reading_ELA[Self-Identified as African Descent]), FALSE)="", "",
VLOOKUP($A159,YES_Reading_ELA[], COLUMN(YES_Reading_ELA[Self-Identified as African Descent]), FALSE)),
IF($J$2="FLA",
IF(VLOOKUP($A159, YES_Reading_FLA[], COLUMN(YES_Reading_FLA[Self-Identified as African Descent]),FALSE)="","",
VLOOKUP($A159,YES_Reading_FLA[],COLUMN(YES_Reading_FLA[Self-Identified as African Descent]),FALSE)),
IF($J$2="Combined",
IFERROR(
IF(VLOOKUP($A159, YES_Reading_ELA[], COLUMN(YES_Reading_ELA[Self-Identified as African Descent]), FALSE)="", "",
VLOOKUP($A159,YES_Reading_ELA[],COLUMN(YES_Reading_ELA[Self-Identified as African Descent]),FALSE)),
IF(VLOOKUP($A159, YES_Reading_FLA[], COLUMN(YES_Reading_FLA[Self-Identified as African Descent]),FALSE)="", "", VLOOKUP($A159,YES_Reading_FLA[],COLUMN(YES_Reading_FLA[Self-Identified as African Descent]),FALSE))),""))),"")</f>
        <v/>
      </c>
      <c r="L159" s="73" t="str" cm="1">
        <f t="array" ref="L159">IFERROR(
IF($J$2="ELA",
IF(VLOOKUP($A159, YES_Reading_ELA[], COLUMN(YES_Reading_ELA[Self-Identified as Indigenous]), FALSE)="", "",
VLOOKUP($A159,YES_Reading_ELA[], COLUMN(YES_Reading_ELA[Self-Identified as Indigenous]), FALSE)),
IF($J$2="FLA",
IF(VLOOKUP($A159, YES_Reading_FLA[], COLUMN(YES_Reading_FLA[Self-Identified as Indigenous]),FALSE)="","",
VLOOKUP($A159,YES_Reading_FLA[],COLUMN(YES_Reading_FLA[Self-Identified as Indigenous]),FALSE)),
IF($J$2="Combined",
IFERROR(
IF(VLOOKUP($A159, YES_Reading_ELA[], COLUMN(YES_Reading_ELA[Self-Identified as Indigenous]), FALSE)="", "",
VLOOKUP($A159,YES_Reading_ELA[],COLUMN(YES_Reading_ELA[Self-Identified as Indigenous]),FALSE)),
IF(VLOOKUP($A159, YES_Reading_FLA[], COLUMN(YES_Reading_FLA[Self-Identified as Indigenous]),FALSE)="", "", VLOOKUP($A159,YES_Reading_FLA[],COLUMN(YES_Reading_FLA[Self-Identified as Indigenous]),FALSE))),""))),"")</f>
        <v/>
      </c>
    </row>
    <row r="160" spans="1:12" ht="19.5" customHeight="1" thickBot="1" x14ac:dyDescent="0.3">
      <c r="A160" s="218"/>
      <c r="B160" s="221"/>
      <c r="C160" s="208"/>
      <c r="D160" s="209"/>
      <c r="E160" s="210"/>
      <c r="F160" s="210"/>
      <c r="G160" s="210"/>
      <c r="H160" s="211"/>
      <c r="I160" s="213"/>
      <c r="J160" s="211"/>
      <c r="K160" s="198" t="str" cm="1">
        <f t="array" ref="K160">IFERROR(
IF($J$2="ELA",
IF(VLOOKUP($A160, YES_Reading_ELA[], COLUMN(YES_Reading_ELA[Self-Identified as African Descent]), FALSE)="", "",
VLOOKUP($A160,YES_Reading_ELA[], COLUMN(YES_Reading_ELA[Self-Identified as African Descent]), FALSE)),
IF($J$2="FLA",
IF(VLOOKUP($A160, YES_Reading_FLA[], COLUMN(YES_Reading_FLA[Self-Identified as African Descent]),FALSE)="","",
VLOOKUP($A160,YES_Reading_FLA[],COLUMN(YES_Reading_FLA[Self-Identified as African Descent]),FALSE)),
IF($J$2="Combined",
IFERROR(
IF(VLOOKUP($A160, YES_Reading_ELA[], COLUMN(YES_Reading_ELA[Self-Identified as African Descent]), FALSE)="", "",
VLOOKUP($A160,YES_Reading_ELA[],COLUMN(YES_Reading_ELA[Self-Identified as African Descent]),FALSE)),
IF(VLOOKUP($A160, YES_Reading_FLA[], COLUMN(YES_Reading_FLA[Self-Identified as African Descent]),FALSE)="", "", VLOOKUP($A160,YES_Reading_FLA[],COLUMN(YES_Reading_FLA[Self-Identified as African Descent]),FALSE))),""))),"")</f>
        <v/>
      </c>
      <c r="L160" s="74" t="str" cm="1">
        <f t="array" ref="L160">IFERROR(
IF($J$2="ELA",
IF(VLOOKUP($A160, YES_Reading_ELA[], COLUMN(YES_Reading_ELA[Self-Identified as Indigenous]), FALSE)="", "",
VLOOKUP($A160,YES_Reading_ELA[], COLUMN(YES_Reading_ELA[Self-Identified as Indigenous]), FALSE)),
IF($J$2="FLA",
IF(VLOOKUP($A160, YES_Reading_FLA[], COLUMN(YES_Reading_FLA[Self-Identified as Indigenous]),FALSE)="","",
VLOOKUP($A160,YES_Reading_FLA[],COLUMN(YES_Reading_FLA[Self-Identified as Indigenous]),FALSE)),
IF($J$2="Combined",
IFERROR(
IF(VLOOKUP($A160, YES_Reading_ELA[], COLUMN(YES_Reading_ELA[Self-Identified as Indigenous]), FALSE)="", "",
VLOOKUP($A160,YES_Reading_ELA[],COLUMN(YES_Reading_ELA[Self-Identified as Indigenous]),FALSE)),
IF(VLOOKUP($A160, YES_Reading_FLA[], COLUMN(YES_Reading_FLA[Self-Identified as Indigenous]),FALSE)="", "", VLOOKUP($A160,YES_Reading_FLA[],COLUMN(YES_Reading_FLA[Self-Identified as Indigenous]),FALSE))),""))),"")</f>
        <v/>
      </c>
    </row>
    <row r="161" spans="1:12" x14ac:dyDescent="0.25">
      <c r="A161" s="214"/>
      <c r="B161" s="214" t="s">
        <v>241</v>
      </c>
      <c r="C161" s="214"/>
      <c r="D161" s="215" t="str" cm="1">
        <f t="array" ref="D161">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Set")))=$D$1)),1,1,FALSE),FALSE,FALSE),6),"")</f>
        <v/>
      </c>
      <c r="E161" s="215"/>
      <c r="F161" s="215"/>
      <c r="G161" s="215"/>
      <c r="H161" s="355" t="s">
        <v>242</v>
      </c>
      <c r="I161" s="356"/>
      <c r="J161" s="215"/>
    </row>
    <row r="162" spans="1:12" x14ac:dyDescent="0.25">
      <c r="A162" s="214"/>
      <c r="B162" s="214" t="str">
        <f>"Date: "&amp;$D$3</f>
        <v xml:space="preserve">Date: </v>
      </c>
      <c r="C162" s="214"/>
      <c r="D162" s="215"/>
      <c r="E162" s="215"/>
      <c r="F162" s="215"/>
      <c r="G162" s="215"/>
      <c r="H162" s="357" t="s">
        <v>243</v>
      </c>
      <c r="I162" s="358"/>
      <c r="J162" s="215"/>
    </row>
    <row r="163" spans="1:12" ht="15.75" thickBot="1" x14ac:dyDescent="0.3">
      <c r="A163" s="215"/>
      <c r="B163" s="215"/>
      <c r="C163" s="215"/>
      <c r="D163" s="215"/>
      <c r="E163" s="215"/>
      <c r="F163" s="215"/>
      <c r="G163" s="215"/>
      <c r="H163" s="353" t="s">
        <v>244</v>
      </c>
      <c r="I163" s="354"/>
      <c r="J163" s="215"/>
    </row>
    <row r="164" spans="1:12" ht="85.5" customHeight="1" thickBot="1" x14ac:dyDescent="0.3">
      <c r="A164" s="192" t="s">
        <v>44</v>
      </c>
      <c r="B164" s="187" t="s">
        <v>245</v>
      </c>
      <c r="C164" s="188" t="s">
        <v>246</v>
      </c>
      <c r="D164" s="188" t="s">
        <v>247</v>
      </c>
      <c r="E164" s="188" t="s">
        <v>248</v>
      </c>
      <c r="F164" s="188" t="s">
        <v>249</v>
      </c>
      <c r="G164" s="188" t="s">
        <v>250</v>
      </c>
      <c r="H164" s="189" t="s">
        <v>251</v>
      </c>
      <c r="I164" s="190" t="s">
        <v>252</v>
      </c>
      <c r="J164" s="191" t="s">
        <v>253</v>
      </c>
      <c r="K164" s="200" t="s">
        <v>256</v>
      </c>
      <c r="L164" s="201" t="s">
        <v>257</v>
      </c>
    </row>
    <row r="165" spans="1:12" ht="19.5" customHeight="1" x14ac:dyDescent="0.25">
      <c r="A165" s="216" t="e" cm="1" vm="1">
        <f t="array" aca="1" ref="A165" ca="1">_xlfn._xlws.FILTER(_xlfn.VSTACK(YES_Reading_ELA[Student Number],YES_Reading_FLA[Student Number]),_xlfn.VSTACK(YES_Reading_ELA[HomeRoom],YES_Reading_FLA[Homeroom])=D161)</f>
        <v>#VALUE!</v>
      </c>
      <c r="B165" s="219"/>
      <c r="C165" s="203"/>
      <c r="D165" s="204"/>
      <c r="E165" s="205"/>
      <c r="F165" s="205"/>
      <c r="G165" s="205"/>
      <c r="H165" s="206"/>
      <c r="I165" s="227"/>
      <c r="J165" s="206"/>
      <c r="K165" s="24" t="str" cm="1">
        <f t="array" aca="1" ref="K165" ca="1">IFERROR(
IF($J$2="ELA",
IF(VLOOKUP($A165, YES_Reading_ELA[], COLUMN(YES_Reading_ELA[Self-Identified as African Descent]), FALSE)="", "",
VLOOKUP($A165,YES_Reading_ELA[], COLUMN(YES_Reading_ELA[Self-Identified as African Descent]), FALSE)),
IF($J$2="FLA",
IF(VLOOKUP($A165, YES_Reading_FLA[], COLUMN(YES_Reading_FLA[Self-Identified as African Descent]),FALSE)="","",
VLOOKUP($A165,YES_Reading_FLA[],COLUMN(YES_Reading_FLA[Self-Identified as African Descent]),FALSE)),
IF($J$2="Combined",
IFERROR(
IF(VLOOKUP($A165, YES_Reading_ELA[], COLUMN(YES_Reading_ELA[Self-Identified as African Descent]), FALSE)="", "",
VLOOKUP($A165,YES_Reading_ELA[],COLUMN(YES_Reading_ELA[Self-Identified as African Descent]),FALSE)),
IF(VLOOKUP($A165, YES_Reading_FLA[], COLUMN(YES_Reading_FLA[Self-Identified as African Descent]),FALSE)="", "", VLOOKUP($A165,YES_Reading_FLA[],COLUMN(YES_Reading_FLA[Self-Identified as African Descent]),FALSE))),""))),"")</f>
        <v/>
      </c>
      <c r="L165" s="199" t="str" cm="1">
        <f t="array" aca="1" ref="L165" ca="1">IFERROR(
IF($J$2="ELA",
IF(VLOOKUP($A165, YES_Reading_ELA[], COLUMN(YES_Reading_ELA[Self-Identified as Indigenous]), FALSE)="", "",
VLOOKUP($A165,YES_Reading_ELA[], COLUMN(YES_Reading_ELA[Self-Identified as Indigenous]), FALSE)),
IF($J$2="FLA",
IF(VLOOKUP($A165, YES_Reading_FLA[], COLUMN(YES_Reading_FLA[Self-Identified as Indigenous]),FALSE)="","",
VLOOKUP($A165,YES_Reading_FLA[],COLUMN(YES_Reading_FLA[Self-Identified as Indigenous]),FALSE)),
IF($J$2="Combined",
IFERROR(
IF(VLOOKUP($A165, YES_Reading_ELA[], COLUMN(YES_Reading_ELA[Self-Identified as Indigenous]), FALSE)="", "",
VLOOKUP($A165,YES_Reading_ELA[],COLUMN(YES_Reading_ELA[Self-Identified as Indigenous]),FALSE)),
IF(VLOOKUP($A165, YES_Reading_FLA[], COLUMN(YES_Reading_FLA[Self-Identified as Indigenous]),FALSE)="", "", VLOOKUP($A165,YES_Reading_FLA[],COLUMN(YES_Reading_FLA[Self-Identified as Indigenous]),FALSE))),""))),"")</f>
        <v/>
      </c>
    </row>
    <row r="166" spans="1:12" ht="19.5" customHeight="1" x14ac:dyDescent="0.25">
      <c r="A166" s="217"/>
      <c r="B166" s="220"/>
      <c r="C166" s="203"/>
      <c r="D166" s="204"/>
      <c r="E166" s="205"/>
      <c r="F166" s="205"/>
      <c r="G166" s="205"/>
      <c r="H166" s="206"/>
      <c r="I166" s="212"/>
      <c r="J166" s="206"/>
      <c r="K166" s="197" t="str" cm="1">
        <f t="array" ref="K166">IFERROR(
IF($J$2="ELA",
IF(VLOOKUP($A166, YES_Reading_ELA[], COLUMN(YES_Reading_ELA[Self-Identified as African Descent]), FALSE)="", "",
VLOOKUP($A166,YES_Reading_ELA[], COLUMN(YES_Reading_ELA[Self-Identified as African Descent]), FALSE)),
IF($J$2="FLA",
IF(VLOOKUP($A166, YES_Reading_FLA[], COLUMN(YES_Reading_FLA[Self-Identified as African Descent]),FALSE)="","",
VLOOKUP($A166,YES_Reading_FLA[],COLUMN(YES_Reading_FLA[Self-Identified as African Descent]),FALSE)),
IF($J$2="Combined",
IFERROR(
IF(VLOOKUP($A166, YES_Reading_ELA[], COLUMN(YES_Reading_ELA[Self-Identified as African Descent]), FALSE)="", "",
VLOOKUP($A166,YES_Reading_ELA[],COLUMN(YES_Reading_ELA[Self-Identified as African Descent]),FALSE)),
IF(VLOOKUP($A166, YES_Reading_FLA[], COLUMN(YES_Reading_FLA[Self-Identified as African Descent]),FALSE)="", "", VLOOKUP($A166,YES_Reading_FLA[],COLUMN(YES_Reading_FLA[Self-Identified as African Descent]),FALSE))),""))),"")</f>
        <v/>
      </c>
      <c r="L166" s="73" t="str" cm="1">
        <f t="array" ref="L166">IFERROR(
IF($J$2="ELA",
IF(VLOOKUP($A166, YES_Reading_ELA[], COLUMN(YES_Reading_ELA[Self-Identified as Indigenous]), FALSE)="", "",
VLOOKUP($A166,YES_Reading_ELA[], COLUMN(YES_Reading_ELA[Self-Identified as Indigenous]), FALSE)),
IF($J$2="FLA",
IF(VLOOKUP($A166, YES_Reading_FLA[], COLUMN(YES_Reading_FLA[Self-Identified as Indigenous]),FALSE)="","",
VLOOKUP($A166,YES_Reading_FLA[],COLUMN(YES_Reading_FLA[Self-Identified as Indigenous]),FALSE)),
IF($J$2="Combined",
IFERROR(
IF(VLOOKUP($A166, YES_Reading_ELA[], COLUMN(YES_Reading_ELA[Self-Identified as Indigenous]), FALSE)="", "",
VLOOKUP($A166,YES_Reading_ELA[],COLUMN(YES_Reading_ELA[Self-Identified as Indigenous]),FALSE)),
IF(VLOOKUP($A166, YES_Reading_FLA[], COLUMN(YES_Reading_FLA[Self-Identified as Indigenous]),FALSE)="", "", VLOOKUP($A166,YES_Reading_FLA[],COLUMN(YES_Reading_FLA[Self-Identified as Indigenous]),FALSE))),""))),"")</f>
        <v/>
      </c>
    </row>
    <row r="167" spans="1:12" ht="19.5" customHeight="1" x14ac:dyDescent="0.25">
      <c r="A167" s="217"/>
      <c r="B167" s="220"/>
      <c r="C167" s="203"/>
      <c r="D167" s="204"/>
      <c r="E167" s="205"/>
      <c r="F167" s="205"/>
      <c r="G167" s="205"/>
      <c r="H167" s="206"/>
      <c r="I167" s="212"/>
      <c r="J167" s="206"/>
      <c r="K167" s="197" t="str" cm="1">
        <f t="array" ref="K167">IFERROR(
IF($J$2="ELA",
IF(VLOOKUP($A167, YES_Reading_ELA[], COLUMN(YES_Reading_ELA[Self-Identified as African Descent]), FALSE)="", "",
VLOOKUP($A167,YES_Reading_ELA[], COLUMN(YES_Reading_ELA[Self-Identified as African Descent]), FALSE)),
IF($J$2="FLA",
IF(VLOOKUP($A167, YES_Reading_FLA[], COLUMN(YES_Reading_FLA[Self-Identified as African Descent]),FALSE)="","",
VLOOKUP($A167,YES_Reading_FLA[],COLUMN(YES_Reading_FLA[Self-Identified as African Descent]),FALSE)),
IF($J$2="Combined",
IFERROR(
IF(VLOOKUP($A167, YES_Reading_ELA[], COLUMN(YES_Reading_ELA[Self-Identified as African Descent]), FALSE)="", "",
VLOOKUP($A167,YES_Reading_ELA[],COLUMN(YES_Reading_ELA[Self-Identified as African Descent]),FALSE)),
IF(VLOOKUP($A167, YES_Reading_FLA[], COLUMN(YES_Reading_FLA[Self-Identified as African Descent]),FALSE)="", "", VLOOKUP($A167,YES_Reading_FLA[],COLUMN(YES_Reading_FLA[Self-Identified as African Descent]),FALSE))),""))),"")</f>
        <v/>
      </c>
      <c r="L167" s="73" t="str" cm="1">
        <f t="array" ref="L167">IFERROR(
IF($J$2="ELA",
IF(VLOOKUP($A167, YES_Reading_ELA[], COLUMN(YES_Reading_ELA[Self-Identified as Indigenous]), FALSE)="", "",
VLOOKUP($A167,YES_Reading_ELA[], COLUMN(YES_Reading_ELA[Self-Identified as Indigenous]), FALSE)),
IF($J$2="FLA",
IF(VLOOKUP($A167, YES_Reading_FLA[], COLUMN(YES_Reading_FLA[Self-Identified as Indigenous]),FALSE)="","",
VLOOKUP($A167,YES_Reading_FLA[],COLUMN(YES_Reading_FLA[Self-Identified as Indigenous]),FALSE)),
IF($J$2="Combined",
IFERROR(
IF(VLOOKUP($A167, YES_Reading_ELA[], COLUMN(YES_Reading_ELA[Self-Identified as Indigenous]), FALSE)="", "",
VLOOKUP($A167,YES_Reading_ELA[],COLUMN(YES_Reading_ELA[Self-Identified as Indigenous]),FALSE)),
IF(VLOOKUP($A167, YES_Reading_FLA[], COLUMN(YES_Reading_FLA[Self-Identified as Indigenous]),FALSE)="", "", VLOOKUP($A167,YES_Reading_FLA[],COLUMN(YES_Reading_FLA[Self-Identified as Indigenous]),FALSE))),""))),"")</f>
        <v/>
      </c>
    </row>
    <row r="168" spans="1:12" ht="19.5" customHeight="1" x14ac:dyDescent="0.25">
      <c r="A168" s="217"/>
      <c r="B168" s="220"/>
      <c r="C168" s="203"/>
      <c r="D168" s="204"/>
      <c r="E168" s="205"/>
      <c r="F168" s="205"/>
      <c r="G168" s="205"/>
      <c r="H168" s="206"/>
      <c r="I168" s="212"/>
      <c r="J168" s="206"/>
      <c r="K168" s="197" t="str" cm="1">
        <f t="array" ref="K168">IFERROR(
IF($J$2="ELA",
IF(VLOOKUP($A168, YES_Reading_ELA[], COLUMN(YES_Reading_ELA[Self-Identified as African Descent]), FALSE)="", "",
VLOOKUP($A168,YES_Reading_ELA[], COLUMN(YES_Reading_ELA[Self-Identified as African Descent]), FALSE)),
IF($J$2="FLA",
IF(VLOOKUP($A168, YES_Reading_FLA[], COLUMN(YES_Reading_FLA[Self-Identified as African Descent]),FALSE)="","",
VLOOKUP($A168,YES_Reading_FLA[],COLUMN(YES_Reading_FLA[Self-Identified as African Descent]),FALSE)),
IF($J$2="Combined",
IFERROR(
IF(VLOOKUP($A168, YES_Reading_ELA[], COLUMN(YES_Reading_ELA[Self-Identified as African Descent]), FALSE)="", "",
VLOOKUP($A168,YES_Reading_ELA[],COLUMN(YES_Reading_ELA[Self-Identified as African Descent]),FALSE)),
IF(VLOOKUP($A168, YES_Reading_FLA[], COLUMN(YES_Reading_FLA[Self-Identified as African Descent]),FALSE)="", "", VLOOKUP($A168,YES_Reading_FLA[],COLUMN(YES_Reading_FLA[Self-Identified as African Descent]),FALSE))),""))),"")</f>
        <v/>
      </c>
      <c r="L168" s="73" t="str" cm="1">
        <f t="array" ref="L168">IFERROR(
IF($J$2="ELA",
IF(VLOOKUP($A168, YES_Reading_ELA[], COLUMN(YES_Reading_ELA[Self-Identified as Indigenous]), FALSE)="", "",
VLOOKUP($A168,YES_Reading_ELA[], COLUMN(YES_Reading_ELA[Self-Identified as Indigenous]), FALSE)),
IF($J$2="FLA",
IF(VLOOKUP($A168, YES_Reading_FLA[], COLUMN(YES_Reading_FLA[Self-Identified as Indigenous]),FALSE)="","",
VLOOKUP($A168,YES_Reading_FLA[],COLUMN(YES_Reading_FLA[Self-Identified as Indigenous]),FALSE)),
IF($J$2="Combined",
IFERROR(
IF(VLOOKUP($A168, YES_Reading_ELA[], COLUMN(YES_Reading_ELA[Self-Identified as Indigenous]), FALSE)="", "",
VLOOKUP($A168,YES_Reading_ELA[],COLUMN(YES_Reading_ELA[Self-Identified as Indigenous]),FALSE)),
IF(VLOOKUP($A168, YES_Reading_FLA[], COLUMN(YES_Reading_FLA[Self-Identified as Indigenous]),FALSE)="", "", VLOOKUP($A168,YES_Reading_FLA[],COLUMN(YES_Reading_FLA[Self-Identified as Indigenous]),FALSE))),""))),"")</f>
        <v/>
      </c>
    </row>
    <row r="169" spans="1:12" ht="19.5" customHeight="1" x14ac:dyDescent="0.25">
      <c r="A169" s="217"/>
      <c r="B169" s="220"/>
      <c r="C169" s="203"/>
      <c r="D169" s="204"/>
      <c r="E169" s="205"/>
      <c r="F169" s="205"/>
      <c r="G169" s="205"/>
      <c r="H169" s="206"/>
      <c r="I169" s="212"/>
      <c r="J169" s="206"/>
      <c r="K169" s="197" t="str" cm="1">
        <f t="array" ref="K169">IFERROR(
IF($J$2="ELA",
IF(VLOOKUP($A169, YES_Reading_ELA[], COLUMN(YES_Reading_ELA[Self-Identified as African Descent]), FALSE)="", "",
VLOOKUP($A169,YES_Reading_ELA[], COLUMN(YES_Reading_ELA[Self-Identified as African Descent]), FALSE)),
IF($J$2="FLA",
IF(VLOOKUP($A169, YES_Reading_FLA[], COLUMN(YES_Reading_FLA[Self-Identified as African Descent]),FALSE)="","",
VLOOKUP($A169,YES_Reading_FLA[],COLUMN(YES_Reading_FLA[Self-Identified as African Descent]),FALSE)),
IF($J$2="Combined",
IFERROR(
IF(VLOOKUP($A169, YES_Reading_ELA[], COLUMN(YES_Reading_ELA[Self-Identified as African Descent]), FALSE)="", "",
VLOOKUP($A169,YES_Reading_ELA[],COLUMN(YES_Reading_ELA[Self-Identified as African Descent]),FALSE)),
IF(VLOOKUP($A169, YES_Reading_FLA[], COLUMN(YES_Reading_FLA[Self-Identified as African Descent]),FALSE)="", "", VLOOKUP($A169,YES_Reading_FLA[],COLUMN(YES_Reading_FLA[Self-Identified as African Descent]),FALSE))),""))),"")</f>
        <v/>
      </c>
      <c r="L169" s="73" t="str" cm="1">
        <f t="array" ref="L169">IFERROR(
IF($J$2="ELA",
IF(VLOOKUP($A169, YES_Reading_ELA[], COLUMN(YES_Reading_ELA[Self-Identified as Indigenous]), FALSE)="", "",
VLOOKUP($A169,YES_Reading_ELA[], COLUMN(YES_Reading_ELA[Self-Identified as Indigenous]), FALSE)),
IF($J$2="FLA",
IF(VLOOKUP($A169, YES_Reading_FLA[], COLUMN(YES_Reading_FLA[Self-Identified as Indigenous]),FALSE)="","",
VLOOKUP($A169,YES_Reading_FLA[],COLUMN(YES_Reading_FLA[Self-Identified as Indigenous]),FALSE)),
IF($J$2="Combined",
IFERROR(
IF(VLOOKUP($A169, YES_Reading_ELA[], COLUMN(YES_Reading_ELA[Self-Identified as Indigenous]), FALSE)="", "",
VLOOKUP($A169,YES_Reading_ELA[],COLUMN(YES_Reading_ELA[Self-Identified as Indigenous]),FALSE)),
IF(VLOOKUP($A169, YES_Reading_FLA[], COLUMN(YES_Reading_FLA[Self-Identified as Indigenous]),FALSE)="", "", VLOOKUP($A169,YES_Reading_FLA[],COLUMN(YES_Reading_FLA[Self-Identified as Indigenous]),FALSE))),""))),"")</f>
        <v/>
      </c>
    </row>
    <row r="170" spans="1:12" ht="19.5" customHeight="1" x14ac:dyDescent="0.25">
      <c r="A170" s="217"/>
      <c r="B170" s="220"/>
      <c r="C170" s="203"/>
      <c r="D170" s="204"/>
      <c r="E170" s="205"/>
      <c r="F170" s="205"/>
      <c r="G170" s="205"/>
      <c r="H170" s="206"/>
      <c r="I170" s="212"/>
      <c r="J170" s="206"/>
      <c r="K170" s="197" t="str" cm="1">
        <f t="array" ref="K170">IFERROR(
IF($J$2="ELA",
IF(VLOOKUP($A170, YES_Reading_ELA[], COLUMN(YES_Reading_ELA[Self-Identified as African Descent]), FALSE)="", "",
VLOOKUP($A170,YES_Reading_ELA[], COLUMN(YES_Reading_ELA[Self-Identified as African Descent]), FALSE)),
IF($J$2="FLA",
IF(VLOOKUP($A170, YES_Reading_FLA[], COLUMN(YES_Reading_FLA[Self-Identified as African Descent]),FALSE)="","",
VLOOKUP($A170,YES_Reading_FLA[],COLUMN(YES_Reading_FLA[Self-Identified as African Descent]),FALSE)),
IF($J$2="Combined",
IFERROR(
IF(VLOOKUP($A170, YES_Reading_ELA[], COLUMN(YES_Reading_ELA[Self-Identified as African Descent]), FALSE)="", "",
VLOOKUP($A170,YES_Reading_ELA[],COLUMN(YES_Reading_ELA[Self-Identified as African Descent]),FALSE)),
IF(VLOOKUP($A170, YES_Reading_FLA[], COLUMN(YES_Reading_FLA[Self-Identified as African Descent]),FALSE)="", "", VLOOKUP($A170,YES_Reading_FLA[],COLUMN(YES_Reading_FLA[Self-Identified as African Descent]),FALSE))),""))),"")</f>
        <v/>
      </c>
      <c r="L170" s="73" t="str" cm="1">
        <f t="array" ref="L170">IFERROR(
IF($J$2="ELA",
IF(VLOOKUP($A170, YES_Reading_ELA[], COLUMN(YES_Reading_ELA[Self-Identified as Indigenous]), FALSE)="", "",
VLOOKUP($A170,YES_Reading_ELA[], COLUMN(YES_Reading_ELA[Self-Identified as Indigenous]), FALSE)),
IF($J$2="FLA",
IF(VLOOKUP($A170, YES_Reading_FLA[], COLUMN(YES_Reading_FLA[Self-Identified as Indigenous]),FALSE)="","",
VLOOKUP($A170,YES_Reading_FLA[],COLUMN(YES_Reading_FLA[Self-Identified as Indigenous]),FALSE)),
IF($J$2="Combined",
IFERROR(
IF(VLOOKUP($A170, YES_Reading_ELA[], COLUMN(YES_Reading_ELA[Self-Identified as Indigenous]), FALSE)="", "",
VLOOKUP($A170,YES_Reading_ELA[],COLUMN(YES_Reading_ELA[Self-Identified as Indigenous]),FALSE)),
IF(VLOOKUP($A170, YES_Reading_FLA[], COLUMN(YES_Reading_FLA[Self-Identified as Indigenous]),FALSE)="", "", VLOOKUP($A170,YES_Reading_FLA[],COLUMN(YES_Reading_FLA[Self-Identified as Indigenous]),FALSE))),""))),"")</f>
        <v/>
      </c>
    </row>
    <row r="171" spans="1:12" ht="19.5" customHeight="1" x14ac:dyDescent="0.25">
      <c r="A171" s="217"/>
      <c r="B171" s="220"/>
      <c r="C171" s="203"/>
      <c r="D171" s="204"/>
      <c r="E171" s="205"/>
      <c r="F171" s="205"/>
      <c r="G171" s="205"/>
      <c r="H171" s="206"/>
      <c r="I171" s="212"/>
      <c r="J171" s="206"/>
      <c r="K171" s="197" t="str" cm="1">
        <f t="array" ref="K171">IFERROR(
IF($J$2="ELA",
IF(VLOOKUP($A171, YES_Reading_ELA[], COLUMN(YES_Reading_ELA[Self-Identified as African Descent]), FALSE)="", "",
VLOOKUP($A171,YES_Reading_ELA[], COLUMN(YES_Reading_ELA[Self-Identified as African Descent]), FALSE)),
IF($J$2="FLA",
IF(VLOOKUP($A171, YES_Reading_FLA[], COLUMN(YES_Reading_FLA[Self-Identified as African Descent]),FALSE)="","",
VLOOKUP($A171,YES_Reading_FLA[],COLUMN(YES_Reading_FLA[Self-Identified as African Descent]),FALSE)),
IF($J$2="Combined",
IFERROR(
IF(VLOOKUP($A171, YES_Reading_ELA[], COLUMN(YES_Reading_ELA[Self-Identified as African Descent]), FALSE)="", "",
VLOOKUP($A171,YES_Reading_ELA[],COLUMN(YES_Reading_ELA[Self-Identified as African Descent]),FALSE)),
IF(VLOOKUP($A171, YES_Reading_FLA[], COLUMN(YES_Reading_FLA[Self-Identified as African Descent]),FALSE)="", "", VLOOKUP($A171,YES_Reading_FLA[],COLUMN(YES_Reading_FLA[Self-Identified as African Descent]),FALSE))),""))),"")</f>
        <v/>
      </c>
      <c r="L171" s="73" t="str" cm="1">
        <f t="array" ref="L171">IFERROR(
IF($J$2="ELA",
IF(VLOOKUP($A171, YES_Reading_ELA[], COLUMN(YES_Reading_ELA[Self-Identified as Indigenous]), FALSE)="", "",
VLOOKUP($A171,YES_Reading_ELA[], COLUMN(YES_Reading_ELA[Self-Identified as Indigenous]), FALSE)),
IF($J$2="FLA",
IF(VLOOKUP($A171, YES_Reading_FLA[], COLUMN(YES_Reading_FLA[Self-Identified as Indigenous]),FALSE)="","",
VLOOKUP($A171,YES_Reading_FLA[],COLUMN(YES_Reading_FLA[Self-Identified as Indigenous]),FALSE)),
IF($J$2="Combined",
IFERROR(
IF(VLOOKUP($A171, YES_Reading_ELA[], COLUMN(YES_Reading_ELA[Self-Identified as Indigenous]), FALSE)="", "",
VLOOKUP($A171,YES_Reading_ELA[],COLUMN(YES_Reading_ELA[Self-Identified as Indigenous]),FALSE)),
IF(VLOOKUP($A171, YES_Reading_FLA[], COLUMN(YES_Reading_FLA[Self-Identified as Indigenous]),FALSE)="", "", VLOOKUP($A171,YES_Reading_FLA[],COLUMN(YES_Reading_FLA[Self-Identified as Indigenous]),FALSE))),""))),"")</f>
        <v/>
      </c>
    </row>
    <row r="172" spans="1:12" ht="19.5" customHeight="1" x14ac:dyDescent="0.25">
      <c r="A172" s="217"/>
      <c r="B172" s="220"/>
      <c r="C172" s="203"/>
      <c r="D172" s="204"/>
      <c r="E172" s="205"/>
      <c r="F172" s="205"/>
      <c r="G172" s="205"/>
      <c r="H172" s="206"/>
      <c r="I172" s="212"/>
      <c r="J172" s="206"/>
      <c r="K172" s="197" t="str" cm="1">
        <f t="array" ref="K172">IFERROR(
IF($J$2="ELA",
IF(VLOOKUP($A172, YES_Reading_ELA[], COLUMN(YES_Reading_ELA[Self-Identified as African Descent]), FALSE)="", "",
VLOOKUP($A172,YES_Reading_ELA[], COLUMN(YES_Reading_ELA[Self-Identified as African Descent]), FALSE)),
IF($J$2="FLA",
IF(VLOOKUP($A172, YES_Reading_FLA[], COLUMN(YES_Reading_FLA[Self-Identified as African Descent]),FALSE)="","",
VLOOKUP($A172,YES_Reading_FLA[],COLUMN(YES_Reading_FLA[Self-Identified as African Descent]),FALSE)),
IF($J$2="Combined",
IFERROR(
IF(VLOOKUP($A172, YES_Reading_ELA[], COLUMN(YES_Reading_ELA[Self-Identified as African Descent]), FALSE)="", "",
VLOOKUP($A172,YES_Reading_ELA[],COLUMN(YES_Reading_ELA[Self-Identified as African Descent]),FALSE)),
IF(VLOOKUP($A172, YES_Reading_FLA[], COLUMN(YES_Reading_FLA[Self-Identified as African Descent]),FALSE)="", "", VLOOKUP($A172,YES_Reading_FLA[],COLUMN(YES_Reading_FLA[Self-Identified as African Descent]),FALSE))),""))),"")</f>
        <v/>
      </c>
      <c r="L172" s="73" t="str" cm="1">
        <f t="array" ref="L172">IFERROR(
IF($J$2="ELA",
IF(VLOOKUP($A172, YES_Reading_ELA[], COLUMN(YES_Reading_ELA[Self-Identified as Indigenous]), FALSE)="", "",
VLOOKUP($A172,YES_Reading_ELA[], COLUMN(YES_Reading_ELA[Self-Identified as Indigenous]), FALSE)),
IF($J$2="FLA",
IF(VLOOKUP($A172, YES_Reading_FLA[], COLUMN(YES_Reading_FLA[Self-Identified as Indigenous]),FALSE)="","",
VLOOKUP($A172,YES_Reading_FLA[],COLUMN(YES_Reading_FLA[Self-Identified as Indigenous]),FALSE)),
IF($J$2="Combined",
IFERROR(
IF(VLOOKUP($A172, YES_Reading_ELA[], COLUMN(YES_Reading_ELA[Self-Identified as Indigenous]), FALSE)="", "",
VLOOKUP($A172,YES_Reading_ELA[],COLUMN(YES_Reading_ELA[Self-Identified as Indigenous]),FALSE)),
IF(VLOOKUP($A172, YES_Reading_FLA[], COLUMN(YES_Reading_FLA[Self-Identified as Indigenous]),FALSE)="", "", VLOOKUP($A172,YES_Reading_FLA[],COLUMN(YES_Reading_FLA[Self-Identified as Indigenous]),FALSE))),""))),"")</f>
        <v/>
      </c>
    </row>
    <row r="173" spans="1:12" ht="19.5" customHeight="1" x14ac:dyDescent="0.25">
      <c r="A173" s="217"/>
      <c r="B173" s="220"/>
      <c r="C173" s="203"/>
      <c r="D173" s="204"/>
      <c r="E173" s="205"/>
      <c r="F173" s="205"/>
      <c r="G173" s="205"/>
      <c r="H173" s="206"/>
      <c r="I173" s="212"/>
      <c r="J173" s="206"/>
      <c r="K173" s="197" t="str" cm="1">
        <f t="array" ref="K173">IFERROR(
IF($J$2="ELA",
IF(VLOOKUP($A173, YES_Reading_ELA[], COLUMN(YES_Reading_ELA[Self-Identified as African Descent]), FALSE)="", "",
VLOOKUP($A173,YES_Reading_ELA[], COLUMN(YES_Reading_ELA[Self-Identified as African Descent]), FALSE)),
IF($J$2="FLA",
IF(VLOOKUP($A173, YES_Reading_FLA[], COLUMN(YES_Reading_FLA[Self-Identified as African Descent]),FALSE)="","",
VLOOKUP($A173,YES_Reading_FLA[],COLUMN(YES_Reading_FLA[Self-Identified as African Descent]),FALSE)),
IF($J$2="Combined",
IFERROR(
IF(VLOOKUP($A173, YES_Reading_ELA[], COLUMN(YES_Reading_ELA[Self-Identified as African Descent]), FALSE)="", "",
VLOOKUP($A173,YES_Reading_ELA[],COLUMN(YES_Reading_ELA[Self-Identified as African Descent]),FALSE)),
IF(VLOOKUP($A173, YES_Reading_FLA[], COLUMN(YES_Reading_FLA[Self-Identified as African Descent]),FALSE)="", "", VLOOKUP($A173,YES_Reading_FLA[],COLUMN(YES_Reading_FLA[Self-Identified as African Descent]),FALSE))),""))),"")</f>
        <v/>
      </c>
      <c r="L173" s="73" t="str" cm="1">
        <f t="array" ref="L173">IFERROR(
IF($J$2="ELA",
IF(VLOOKUP($A173, YES_Reading_ELA[], COLUMN(YES_Reading_ELA[Self-Identified as Indigenous]), FALSE)="", "",
VLOOKUP($A173,YES_Reading_ELA[], COLUMN(YES_Reading_ELA[Self-Identified as Indigenous]), FALSE)),
IF($J$2="FLA",
IF(VLOOKUP($A173, YES_Reading_FLA[], COLUMN(YES_Reading_FLA[Self-Identified as Indigenous]),FALSE)="","",
VLOOKUP($A173,YES_Reading_FLA[],COLUMN(YES_Reading_FLA[Self-Identified as Indigenous]),FALSE)),
IF($J$2="Combined",
IFERROR(
IF(VLOOKUP($A173, YES_Reading_ELA[], COLUMN(YES_Reading_ELA[Self-Identified as Indigenous]), FALSE)="", "",
VLOOKUP($A173,YES_Reading_ELA[],COLUMN(YES_Reading_ELA[Self-Identified as Indigenous]),FALSE)),
IF(VLOOKUP($A173, YES_Reading_FLA[], COLUMN(YES_Reading_FLA[Self-Identified as Indigenous]),FALSE)="", "", VLOOKUP($A173,YES_Reading_FLA[],COLUMN(YES_Reading_FLA[Self-Identified as Indigenous]),FALSE))),""))),"")</f>
        <v/>
      </c>
    </row>
    <row r="174" spans="1:12" ht="19.5" customHeight="1" x14ac:dyDescent="0.25">
      <c r="A174" s="217"/>
      <c r="B174" s="220"/>
      <c r="C174" s="203"/>
      <c r="D174" s="204"/>
      <c r="E174" s="205"/>
      <c r="F174" s="205"/>
      <c r="G174" s="205"/>
      <c r="H174" s="206"/>
      <c r="I174" s="212"/>
      <c r="J174" s="206"/>
      <c r="K174" s="197" t="str" cm="1">
        <f t="array" ref="K174">IFERROR(
IF($J$2="ELA",
IF(VLOOKUP($A174, YES_Reading_ELA[], COLUMN(YES_Reading_ELA[Self-Identified as African Descent]), FALSE)="", "",
VLOOKUP($A174,YES_Reading_ELA[], COLUMN(YES_Reading_ELA[Self-Identified as African Descent]), FALSE)),
IF($J$2="FLA",
IF(VLOOKUP($A174, YES_Reading_FLA[], COLUMN(YES_Reading_FLA[Self-Identified as African Descent]),FALSE)="","",
VLOOKUP($A174,YES_Reading_FLA[],COLUMN(YES_Reading_FLA[Self-Identified as African Descent]),FALSE)),
IF($J$2="Combined",
IFERROR(
IF(VLOOKUP($A174, YES_Reading_ELA[], COLUMN(YES_Reading_ELA[Self-Identified as African Descent]), FALSE)="", "",
VLOOKUP($A174,YES_Reading_ELA[],COLUMN(YES_Reading_ELA[Self-Identified as African Descent]),FALSE)),
IF(VLOOKUP($A174, YES_Reading_FLA[], COLUMN(YES_Reading_FLA[Self-Identified as African Descent]),FALSE)="", "", VLOOKUP($A174,YES_Reading_FLA[],COLUMN(YES_Reading_FLA[Self-Identified as African Descent]),FALSE))),""))),"")</f>
        <v/>
      </c>
      <c r="L174" s="73" t="str" cm="1">
        <f t="array" ref="L174">IFERROR(
IF($J$2="ELA",
IF(VLOOKUP($A174, YES_Reading_ELA[], COLUMN(YES_Reading_ELA[Self-Identified as Indigenous]), FALSE)="", "",
VLOOKUP($A174,YES_Reading_ELA[], COLUMN(YES_Reading_ELA[Self-Identified as Indigenous]), FALSE)),
IF($J$2="FLA",
IF(VLOOKUP($A174, YES_Reading_FLA[], COLUMN(YES_Reading_FLA[Self-Identified as Indigenous]),FALSE)="","",
VLOOKUP($A174,YES_Reading_FLA[],COLUMN(YES_Reading_FLA[Self-Identified as Indigenous]),FALSE)),
IF($J$2="Combined",
IFERROR(
IF(VLOOKUP($A174, YES_Reading_ELA[], COLUMN(YES_Reading_ELA[Self-Identified as Indigenous]), FALSE)="", "",
VLOOKUP($A174,YES_Reading_ELA[],COLUMN(YES_Reading_ELA[Self-Identified as Indigenous]),FALSE)),
IF(VLOOKUP($A174, YES_Reading_FLA[], COLUMN(YES_Reading_FLA[Self-Identified as Indigenous]),FALSE)="", "", VLOOKUP($A174,YES_Reading_FLA[],COLUMN(YES_Reading_FLA[Self-Identified as Indigenous]),FALSE))),""))),"")</f>
        <v/>
      </c>
    </row>
    <row r="175" spans="1:12" ht="19.5" customHeight="1" x14ac:dyDescent="0.25">
      <c r="A175" s="217"/>
      <c r="B175" s="220"/>
      <c r="C175" s="203"/>
      <c r="D175" s="204"/>
      <c r="E175" s="205"/>
      <c r="F175" s="205"/>
      <c r="G175" s="205"/>
      <c r="H175" s="206"/>
      <c r="I175" s="212"/>
      <c r="J175" s="206"/>
      <c r="K175" s="197" t="str" cm="1">
        <f t="array" ref="K175">IFERROR(
IF($J$2="ELA",
IF(VLOOKUP($A175, YES_Reading_ELA[], COLUMN(YES_Reading_ELA[Self-Identified as African Descent]), FALSE)="", "",
VLOOKUP($A175,YES_Reading_ELA[], COLUMN(YES_Reading_ELA[Self-Identified as African Descent]), FALSE)),
IF($J$2="FLA",
IF(VLOOKUP($A175, YES_Reading_FLA[], COLUMN(YES_Reading_FLA[Self-Identified as African Descent]),FALSE)="","",
VLOOKUP($A175,YES_Reading_FLA[],COLUMN(YES_Reading_FLA[Self-Identified as African Descent]),FALSE)),
IF($J$2="Combined",
IFERROR(
IF(VLOOKUP($A175, YES_Reading_ELA[], COLUMN(YES_Reading_ELA[Self-Identified as African Descent]), FALSE)="", "",
VLOOKUP($A175,YES_Reading_ELA[],COLUMN(YES_Reading_ELA[Self-Identified as African Descent]),FALSE)),
IF(VLOOKUP($A175, YES_Reading_FLA[], COLUMN(YES_Reading_FLA[Self-Identified as African Descent]),FALSE)="", "", VLOOKUP($A175,YES_Reading_FLA[],COLUMN(YES_Reading_FLA[Self-Identified as African Descent]),FALSE))),""))),"")</f>
        <v/>
      </c>
      <c r="L175" s="73" t="str" cm="1">
        <f t="array" ref="L175">IFERROR(
IF($J$2="ELA",
IF(VLOOKUP($A175, YES_Reading_ELA[], COLUMN(YES_Reading_ELA[Self-Identified as Indigenous]), FALSE)="", "",
VLOOKUP($A175,YES_Reading_ELA[], COLUMN(YES_Reading_ELA[Self-Identified as Indigenous]), FALSE)),
IF($J$2="FLA",
IF(VLOOKUP($A175, YES_Reading_FLA[], COLUMN(YES_Reading_FLA[Self-Identified as Indigenous]),FALSE)="","",
VLOOKUP($A175,YES_Reading_FLA[],COLUMN(YES_Reading_FLA[Self-Identified as Indigenous]),FALSE)),
IF($J$2="Combined",
IFERROR(
IF(VLOOKUP($A175, YES_Reading_ELA[], COLUMN(YES_Reading_ELA[Self-Identified as Indigenous]), FALSE)="", "",
VLOOKUP($A175,YES_Reading_ELA[],COLUMN(YES_Reading_ELA[Self-Identified as Indigenous]),FALSE)),
IF(VLOOKUP($A175, YES_Reading_FLA[], COLUMN(YES_Reading_FLA[Self-Identified as Indigenous]),FALSE)="", "", VLOOKUP($A175,YES_Reading_FLA[],COLUMN(YES_Reading_FLA[Self-Identified as Indigenous]),FALSE))),""))),"")</f>
        <v/>
      </c>
    </row>
    <row r="176" spans="1:12" ht="19.5" customHeight="1" x14ac:dyDescent="0.25">
      <c r="A176" s="217"/>
      <c r="B176" s="220"/>
      <c r="C176" s="203"/>
      <c r="D176" s="204"/>
      <c r="E176" s="205"/>
      <c r="F176" s="205"/>
      <c r="G176" s="205"/>
      <c r="H176" s="206"/>
      <c r="I176" s="212"/>
      <c r="J176" s="206"/>
      <c r="K176" s="197" t="str" cm="1">
        <f t="array" ref="K176">IFERROR(
IF($J$2="ELA",
IF(VLOOKUP($A176, YES_Reading_ELA[], COLUMN(YES_Reading_ELA[Self-Identified as African Descent]), FALSE)="", "",
VLOOKUP($A176,YES_Reading_ELA[], COLUMN(YES_Reading_ELA[Self-Identified as African Descent]), FALSE)),
IF($J$2="FLA",
IF(VLOOKUP($A176, YES_Reading_FLA[], COLUMN(YES_Reading_FLA[Self-Identified as African Descent]),FALSE)="","",
VLOOKUP($A176,YES_Reading_FLA[],COLUMN(YES_Reading_FLA[Self-Identified as African Descent]),FALSE)),
IF($J$2="Combined",
IFERROR(
IF(VLOOKUP($A176, YES_Reading_ELA[], COLUMN(YES_Reading_ELA[Self-Identified as African Descent]), FALSE)="", "",
VLOOKUP($A176,YES_Reading_ELA[],COLUMN(YES_Reading_ELA[Self-Identified as African Descent]),FALSE)),
IF(VLOOKUP($A176, YES_Reading_FLA[], COLUMN(YES_Reading_FLA[Self-Identified as African Descent]),FALSE)="", "", VLOOKUP($A176,YES_Reading_FLA[],COLUMN(YES_Reading_FLA[Self-Identified as African Descent]),FALSE))),""))),"")</f>
        <v/>
      </c>
      <c r="L176" s="73" t="str" cm="1">
        <f t="array" ref="L176">IFERROR(
IF($J$2="ELA",
IF(VLOOKUP($A176, YES_Reading_ELA[], COLUMN(YES_Reading_ELA[Self-Identified as Indigenous]), FALSE)="", "",
VLOOKUP($A176,YES_Reading_ELA[], COLUMN(YES_Reading_ELA[Self-Identified as Indigenous]), FALSE)),
IF($J$2="FLA",
IF(VLOOKUP($A176, YES_Reading_FLA[], COLUMN(YES_Reading_FLA[Self-Identified as Indigenous]),FALSE)="","",
VLOOKUP($A176,YES_Reading_FLA[],COLUMN(YES_Reading_FLA[Self-Identified as Indigenous]),FALSE)),
IF($J$2="Combined",
IFERROR(
IF(VLOOKUP($A176, YES_Reading_ELA[], COLUMN(YES_Reading_ELA[Self-Identified as Indigenous]), FALSE)="", "",
VLOOKUP($A176,YES_Reading_ELA[],COLUMN(YES_Reading_ELA[Self-Identified as Indigenous]),FALSE)),
IF(VLOOKUP($A176, YES_Reading_FLA[], COLUMN(YES_Reading_FLA[Self-Identified as Indigenous]),FALSE)="", "", VLOOKUP($A176,YES_Reading_FLA[],COLUMN(YES_Reading_FLA[Self-Identified as Indigenous]),FALSE))),""))),"")</f>
        <v/>
      </c>
    </row>
    <row r="177" spans="1:12" ht="19.5" customHeight="1" x14ac:dyDescent="0.25">
      <c r="A177" s="217"/>
      <c r="B177" s="220"/>
      <c r="C177" s="203"/>
      <c r="D177" s="204"/>
      <c r="E177" s="205"/>
      <c r="F177" s="205"/>
      <c r="G177" s="205"/>
      <c r="H177" s="206"/>
      <c r="I177" s="212"/>
      <c r="J177" s="206"/>
      <c r="K177" s="197" t="str" cm="1">
        <f t="array" ref="K177">IFERROR(
IF($J$2="ELA",
IF(VLOOKUP($A177, YES_Reading_ELA[], COLUMN(YES_Reading_ELA[Self-Identified as African Descent]), FALSE)="", "",
VLOOKUP($A177,YES_Reading_ELA[], COLUMN(YES_Reading_ELA[Self-Identified as African Descent]), FALSE)),
IF($J$2="FLA",
IF(VLOOKUP($A177, YES_Reading_FLA[], COLUMN(YES_Reading_FLA[Self-Identified as African Descent]),FALSE)="","",
VLOOKUP($A177,YES_Reading_FLA[],COLUMN(YES_Reading_FLA[Self-Identified as African Descent]),FALSE)),
IF($J$2="Combined",
IFERROR(
IF(VLOOKUP($A177, YES_Reading_ELA[], COLUMN(YES_Reading_ELA[Self-Identified as African Descent]), FALSE)="", "",
VLOOKUP($A177,YES_Reading_ELA[],COLUMN(YES_Reading_ELA[Self-Identified as African Descent]),FALSE)),
IF(VLOOKUP($A177, YES_Reading_FLA[], COLUMN(YES_Reading_FLA[Self-Identified as African Descent]),FALSE)="", "", VLOOKUP($A177,YES_Reading_FLA[],COLUMN(YES_Reading_FLA[Self-Identified as African Descent]),FALSE))),""))),"")</f>
        <v/>
      </c>
      <c r="L177" s="73" t="str" cm="1">
        <f t="array" ref="L177">IFERROR(
IF($J$2="ELA",
IF(VLOOKUP($A177, YES_Reading_ELA[], COLUMN(YES_Reading_ELA[Self-Identified as Indigenous]), FALSE)="", "",
VLOOKUP($A177,YES_Reading_ELA[], COLUMN(YES_Reading_ELA[Self-Identified as Indigenous]), FALSE)),
IF($J$2="FLA",
IF(VLOOKUP($A177, YES_Reading_FLA[], COLUMN(YES_Reading_FLA[Self-Identified as Indigenous]),FALSE)="","",
VLOOKUP($A177,YES_Reading_FLA[],COLUMN(YES_Reading_FLA[Self-Identified as Indigenous]),FALSE)),
IF($J$2="Combined",
IFERROR(
IF(VLOOKUP($A177, YES_Reading_ELA[], COLUMN(YES_Reading_ELA[Self-Identified as Indigenous]), FALSE)="", "",
VLOOKUP($A177,YES_Reading_ELA[],COLUMN(YES_Reading_ELA[Self-Identified as Indigenous]),FALSE)),
IF(VLOOKUP($A177, YES_Reading_FLA[], COLUMN(YES_Reading_FLA[Self-Identified as Indigenous]),FALSE)="", "", VLOOKUP($A177,YES_Reading_FLA[],COLUMN(YES_Reading_FLA[Self-Identified as Indigenous]),FALSE))),""))),"")</f>
        <v/>
      </c>
    </row>
    <row r="178" spans="1:12" ht="19.5" customHeight="1" x14ac:dyDescent="0.25">
      <c r="A178" s="217"/>
      <c r="B178" s="220"/>
      <c r="C178" s="203"/>
      <c r="D178" s="204"/>
      <c r="E178" s="205"/>
      <c r="F178" s="205"/>
      <c r="G178" s="205"/>
      <c r="H178" s="206"/>
      <c r="I178" s="212"/>
      <c r="J178" s="206"/>
      <c r="K178" s="197" t="str" cm="1">
        <f t="array" ref="K178">IFERROR(
IF($J$2="ELA",
IF(VLOOKUP($A178, YES_Reading_ELA[], COLUMN(YES_Reading_ELA[Self-Identified as African Descent]), FALSE)="", "",
VLOOKUP($A178,YES_Reading_ELA[], COLUMN(YES_Reading_ELA[Self-Identified as African Descent]), FALSE)),
IF($J$2="FLA",
IF(VLOOKUP($A178, YES_Reading_FLA[], COLUMN(YES_Reading_FLA[Self-Identified as African Descent]),FALSE)="","",
VLOOKUP($A178,YES_Reading_FLA[],COLUMN(YES_Reading_FLA[Self-Identified as African Descent]),FALSE)),
IF($J$2="Combined",
IFERROR(
IF(VLOOKUP($A178, YES_Reading_ELA[], COLUMN(YES_Reading_ELA[Self-Identified as African Descent]), FALSE)="", "",
VLOOKUP($A178,YES_Reading_ELA[],COLUMN(YES_Reading_ELA[Self-Identified as African Descent]),FALSE)),
IF(VLOOKUP($A178, YES_Reading_FLA[], COLUMN(YES_Reading_FLA[Self-Identified as African Descent]),FALSE)="", "", VLOOKUP($A178,YES_Reading_FLA[],COLUMN(YES_Reading_FLA[Self-Identified as African Descent]),FALSE))),""))),"")</f>
        <v/>
      </c>
      <c r="L178" s="73" t="str" cm="1">
        <f t="array" ref="L178">IFERROR(
IF($J$2="ELA",
IF(VLOOKUP($A178, YES_Reading_ELA[], COLUMN(YES_Reading_ELA[Self-Identified as Indigenous]), FALSE)="", "",
VLOOKUP($A178,YES_Reading_ELA[], COLUMN(YES_Reading_ELA[Self-Identified as Indigenous]), FALSE)),
IF($J$2="FLA",
IF(VLOOKUP($A178, YES_Reading_FLA[], COLUMN(YES_Reading_FLA[Self-Identified as Indigenous]),FALSE)="","",
VLOOKUP($A178,YES_Reading_FLA[],COLUMN(YES_Reading_FLA[Self-Identified as Indigenous]),FALSE)),
IF($J$2="Combined",
IFERROR(
IF(VLOOKUP($A178, YES_Reading_ELA[], COLUMN(YES_Reading_ELA[Self-Identified as Indigenous]), FALSE)="", "",
VLOOKUP($A178,YES_Reading_ELA[],COLUMN(YES_Reading_ELA[Self-Identified as Indigenous]),FALSE)),
IF(VLOOKUP($A178, YES_Reading_FLA[], COLUMN(YES_Reading_FLA[Self-Identified as Indigenous]),FALSE)="", "", VLOOKUP($A178,YES_Reading_FLA[],COLUMN(YES_Reading_FLA[Self-Identified as Indigenous]),FALSE))),""))),"")</f>
        <v/>
      </c>
    </row>
    <row r="179" spans="1:12" ht="19.5" customHeight="1" x14ac:dyDescent="0.25">
      <c r="A179" s="217"/>
      <c r="B179" s="220"/>
      <c r="C179" s="203"/>
      <c r="D179" s="204"/>
      <c r="E179" s="205"/>
      <c r="F179" s="205"/>
      <c r="G179" s="205"/>
      <c r="H179" s="206"/>
      <c r="I179" s="212"/>
      <c r="J179" s="206"/>
      <c r="K179" s="197" t="str" cm="1">
        <f t="array" ref="K179">IFERROR(
IF($J$2="ELA",
IF(VLOOKUP($A179, YES_Reading_ELA[], COLUMN(YES_Reading_ELA[Self-Identified as African Descent]), FALSE)="", "",
VLOOKUP($A179,YES_Reading_ELA[], COLUMN(YES_Reading_ELA[Self-Identified as African Descent]), FALSE)),
IF($J$2="FLA",
IF(VLOOKUP($A179, YES_Reading_FLA[], COLUMN(YES_Reading_FLA[Self-Identified as African Descent]),FALSE)="","",
VLOOKUP($A179,YES_Reading_FLA[],COLUMN(YES_Reading_FLA[Self-Identified as African Descent]),FALSE)),
IF($J$2="Combined",
IFERROR(
IF(VLOOKUP($A179, YES_Reading_ELA[], COLUMN(YES_Reading_ELA[Self-Identified as African Descent]), FALSE)="", "",
VLOOKUP($A179,YES_Reading_ELA[],COLUMN(YES_Reading_ELA[Self-Identified as African Descent]),FALSE)),
IF(VLOOKUP($A179, YES_Reading_FLA[], COLUMN(YES_Reading_FLA[Self-Identified as African Descent]),FALSE)="", "", VLOOKUP($A179,YES_Reading_FLA[],COLUMN(YES_Reading_FLA[Self-Identified as African Descent]),FALSE))),""))),"")</f>
        <v/>
      </c>
      <c r="L179" s="73" t="str" cm="1">
        <f t="array" ref="L179">IFERROR(
IF($J$2="ELA",
IF(VLOOKUP($A179, YES_Reading_ELA[], COLUMN(YES_Reading_ELA[Self-Identified as Indigenous]), FALSE)="", "",
VLOOKUP($A179,YES_Reading_ELA[], COLUMN(YES_Reading_ELA[Self-Identified as Indigenous]), FALSE)),
IF($J$2="FLA",
IF(VLOOKUP($A179, YES_Reading_FLA[], COLUMN(YES_Reading_FLA[Self-Identified as Indigenous]),FALSE)="","",
VLOOKUP($A179,YES_Reading_FLA[],COLUMN(YES_Reading_FLA[Self-Identified as Indigenous]),FALSE)),
IF($J$2="Combined",
IFERROR(
IF(VLOOKUP($A179, YES_Reading_ELA[], COLUMN(YES_Reading_ELA[Self-Identified as Indigenous]), FALSE)="", "",
VLOOKUP($A179,YES_Reading_ELA[],COLUMN(YES_Reading_ELA[Self-Identified as Indigenous]),FALSE)),
IF(VLOOKUP($A179, YES_Reading_FLA[], COLUMN(YES_Reading_FLA[Self-Identified as Indigenous]),FALSE)="", "", VLOOKUP($A179,YES_Reading_FLA[],COLUMN(YES_Reading_FLA[Self-Identified as Indigenous]),FALSE))),""))),"")</f>
        <v/>
      </c>
    </row>
    <row r="180" spans="1:12" ht="19.5" customHeight="1" x14ac:dyDescent="0.25">
      <c r="A180" s="217"/>
      <c r="B180" s="220"/>
      <c r="C180" s="203"/>
      <c r="D180" s="204"/>
      <c r="E180" s="205"/>
      <c r="F180" s="205"/>
      <c r="G180" s="205"/>
      <c r="H180" s="206"/>
      <c r="I180" s="212"/>
      <c r="J180" s="206"/>
      <c r="K180" s="197" t="str" cm="1">
        <f t="array" ref="K180">IFERROR(
IF($J$2="ELA",
IF(VLOOKUP($A180, YES_Reading_ELA[], COLUMN(YES_Reading_ELA[Self-Identified as African Descent]), FALSE)="", "",
VLOOKUP($A180,YES_Reading_ELA[], COLUMN(YES_Reading_ELA[Self-Identified as African Descent]), FALSE)),
IF($J$2="FLA",
IF(VLOOKUP($A180, YES_Reading_FLA[], COLUMN(YES_Reading_FLA[Self-Identified as African Descent]),FALSE)="","",
VLOOKUP($A180,YES_Reading_FLA[],COLUMN(YES_Reading_FLA[Self-Identified as African Descent]),FALSE)),
IF($J$2="Combined",
IFERROR(
IF(VLOOKUP($A180, YES_Reading_ELA[], COLUMN(YES_Reading_ELA[Self-Identified as African Descent]), FALSE)="", "",
VLOOKUP($A180,YES_Reading_ELA[],COLUMN(YES_Reading_ELA[Self-Identified as African Descent]),FALSE)),
IF(VLOOKUP($A180, YES_Reading_FLA[], COLUMN(YES_Reading_FLA[Self-Identified as African Descent]),FALSE)="", "", VLOOKUP($A180,YES_Reading_FLA[],COLUMN(YES_Reading_FLA[Self-Identified as African Descent]),FALSE))),""))),"")</f>
        <v/>
      </c>
      <c r="L180" s="73" t="str" cm="1">
        <f t="array" ref="L180">IFERROR(
IF($J$2="ELA",
IF(VLOOKUP($A180, YES_Reading_ELA[], COLUMN(YES_Reading_ELA[Self-Identified as Indigenous]), FALSE)="", "",
VLOOKUP($A180,YES_Reading_ELA[], COLUMN(YES_Reading_ELA[Self-Identified as Indigenous]), FALSE)),
IF($J$2="FLA",
IF(VLOOKUP($A180, YES_Reading_FLA[], COLUMN(YES_Reading_FLA[Self-Identified as Indigenous]),FALSE)="","",
VLOOKUP($A180,YES_Reading_FLA[],COLUMN(YES_Reading_FLA[Self-Identified as Indigenous]),FALSE)),
IF($J$2="Combined",
IFERROR(
IF(VLOOKUP($A180, YES_Reading_ELA[], COLUMN(YES_Reading_ELA[Self-Identified as Indigenous]), FALSE)="", "",
VLOOKUP($A180,YES_Reading_ELA[],COLUMN(YES_Reading_ELA[Self-Identified as Indigenous]),FALSE)),
IF(VLOOKUP($A180, YES_Reading_FLA[], COLUMN(YES_Reading_FLA[Self-Identified as Indigenous]),FALSE)="", "", VLOOKUP($A180,YES_Reading_FLA[],COLUMN(YES_Reading_FLA[Self-Identified as Indigenous]),FALSE))),""))),"")</f>
        <v/>
      </c>
    </row>
    <row r="181" spans="1:12" ht="19.5" customHeight="1" x14ac:dyDescent="0.25">
      <c r="A181" s="217"/>
      <c r="B181" s="220"/>
      <c r="C181" s="203"/>
      <c r="D181" s="204"/>
      <c r="E181" s="205"/>
      <c r="F181" s="205"/>
      <c r="G181" s="205"/>
      <c r="H181" s="206"/>
      <c r="I181" s="212"/>
      <c r="J181" s="206"/>
      <c r="K181" s="197" t="str" cm="1">
        <f t="array" ref="K181">IFERROR(
IF($J$2="ELA",
IF(VLOOKUP($A181, YES_Reading_ELA[], COLUMN(YES_Reading_ELA[Self-Identified as African Descent]), FALSE)="", "",
VLOOKUP($A181,YES_Reading_ELA[], COLUMN(YES_Reading_ELA[Self-Identified as African Descent]), FALSE)),
IF($J$2="FLA",
IF(VLOOKUP($A181, YES_Reading_FLA[], COLUMN(YES_Reading_FLA[Self-Identified as African Descent]),FALSE)="","",
VLOOKUP($A181,YES_Reading_FLA[],COLUMN(YES_Reading_FLA[Self-Identified as African Descent]),FALSE)),
IF($J$2="Combined",
IFERROR(
IF(VLOOKUP($A181, YES_Reading_ELA[], COLUMN(YES_Reading_ELA[Self-Identified as African Descent]), FALSE)="", "",
VLOOKUP($A181,YES_Reading_ELA[],COLUMN(YES_Reading_ELA[Self-Identified as African Descent]),FALSE)),
IF(VLOOKUP($A181, YES_Reading_FLA[], COLUMN(YES_Reading_FLA[Self-Identified as African Descent]),FALSE)="", "", VLOOKUP($A181,YES_Reading_FLA[],COLUMN(YES_Reading_FLA[Self-Identified as African Descent]),FALSE))),""))),"")</f>
        <v/>
      </c>
      <c r="L181" s="73" t="str" cm="1">
        <f t="array" ref="L181">IFERROR(
IF($J$2="ELA",
IF(VLOOKUP($A181, YES_Reading_ELA[], COLUMN(YES_Reading_ELA[Self-Identified as Indigenous]), FALSE)="", "",
VLOOKUP($A181,YES_Reading_ELA[], COLUMN(YES_Reading_ELA[Self-Identified as Indigenous]), FALSE)),
IF($J$2="FLA",
IF(VLOOKUP($A181, YES_Reading_FLA[], COLUMN(YES_Reading_FLA[Self-Identified as Indigenous]),FALSE)="","",
VLOOKUP($A181,YES_Reading_FLA[],COLUMN(YES_Reading_FLA[Self-Identified as Indigenous]),FALSE)),
IF($J$2="Combined",
IFERROR(
IF(VLOOKUP($A181, YES_Reading_ELA[], COLUMN(YES_Reading_ELA[Self-Identified as Indigenous]), FALSE)="", "",
VLOOKUP($A181,YES_Reading_ELA[],COLUMN(YES_Reading_ELA[Self-Identified as Indigenous]),FALSE)),
IF(VLOOKUP($A181, YES_Reading_FLA[], COLUMN(YES_Reading_FLA[Self-Identified as Indigenous]),FALSE)="", "", VLOOKUP($A181,YES_Reading_FLA[],COLUMN(YES_Reading_FLA[Self-Identified as Indigenous]),FALSE))),""))),"")</f>
        <v/>
      </c>
    </row>
    <row r="182" spans="1:12" ht="19.5" customHeight="1" x14ac:dyDescent="0.25">
      <c r="A182" s="217"/>
      <c r="B182" s="220"/>
      <c r="C182" s="203"/>
      <c r="D182" s="204"/>
      <c r="E182" s="205"/>
      <c r="F182" s="205"/>
      <c r="G182" s="205"/>
      <c r="H182" s="206"/>
      <c r="I182" s="212"/>
      <c r="J182" s="206"/>
      <c r="K182" s="197" t="str" cm="1">
        <f t="array" ref="K182">IFERROR(
IF($J$2="ELA",
IF(VLOOKUP($A182, YES_Reading_ELA[], COLUMN(YES_Reading_ELA[Self-Identified as African Descent]), FALSE)="", "",
VLOOKUP($A182,YES_Reading_ELA[], COLUMN(YES_Reading_ELA[Self-Identified as African Descent]), FALSE)),
IF($J$2="FLA",
IF(VLOOKUP($A182, YES_Reading_FLA[], COLUMN(YES_Reading_FLA[Self-Identified as African Descent]),FALSE)="","",
VLOOKUP($A182,YES_Reading_FLA[],COLUMN(YES_Reading_FLA[Self-Identified as African Descent]),FALSE)),
IF($J$2="Combined",
IFERROR(
IF(VLOOKUP($A182, YES_Reading_ELA[], COLUMN(YES_Reading_ELA[Self-Identified as African Descent]), FALSE)="", "",
VLOOKUP($A182,YES_Reading_ELA[],COLUMN(YES_Reading_ELA[Self-Identified as African Descent]),FALSE)),
IF(VLOOKUP($A182, YES_Reading_FLA[], COLUMN(YES_Reading_FLA[Self-Identified as African Descent]),FALSE)="", "", VLOOKUP($A182,YES_Reading_FLA[],COLUMN(YES_Reading_FLA[Self-Identified as African Descent]),FALSE))),""))),"")</f>
        <v/>
      </c>
      <c r="L182" s="73" t="str" cm="1">
        <f t="array" ref="L182">IFERROR(
IF($J$2="ELA",
IF(VLOOKUP($A182, YES_Reading_ELA[], COLUMN(YES_Reading_ELA[Self-Identified as Indigenous]), FALSE)="", "",
VLOOKUP($A182,YES_Reading_ELA[], COLUMN(YES_Reading_ELA[Self-Identified as Indigenous]), FALSE)),
IF($J$2="FLA",
IF(VLOOKUP($A182, YES_Reading_FLA[], COLUMN(YES_Reading_FLA[Self-Identified as Indigenous]),FALSE)="","",
VLOOKUP($A182,YES_Reading_FLA[],COLUMN(YES_Reading_FLA[Self-Identified as Indigenous]),FALSE)),
IF($J$2="Combined",
IFERROR(
IF(VLOOKUP($A182, YES_Reading_ELA[], COLUMN(YES_Reading_ELA[Self-Identified as Indigenous]), FALSE)="", "",
VLOOKUP($A182,YES_Reading_ELA[],COLUMN(YES_Reading_ELA[Self-Identified as Indigenous]),FALSE)),
IF(VLOOKUP($A182, YES_Reading_FLA[], COLUMN(YES_Reading_FLA[Self-Identified as Indigenous]),FALSE)="", "", VLOOKUP($A182,YES_Reading_FLA[],COLUMN(YES_Reading_FLA[Self-Identified as Indigenous]),FALSE))),""))),"")</f>
        <v/>
      </c>
    </row>
    <row r="183" spans="1:12" ht="19.5" customHeight="1" x14ac:dyDescent="0.25">
      <c r="A183" s="217"/>
      <c r="B183" s="220"/>
      <c r="C183" s="203"/>
      <c r="D183" s="204"/>
      <c r="E183" s="205"/>
      <c r="F183" s="205"/>
      <c r="G183" s="205"/>
      <c r="H183" s="206"/>
      <c r="I183" s="212"/>
      <c r="J183" s="206"/>
      <c r="K183" s="197" t="str" cm="1">
        <f t="array" ref="K183">IFERROR(
IF($J$2="ELA",
IF(VLOOKUP($A183, YES_Reading_ELA[], COLUMN(YES_Reading_ELA[Self-Identified as African Descent]), FALSE)="", "",
VLOOKUP($A183,YES_Reading_ELA[], COLUMN(YES_Reading_ELA[Self-Identified as African Descent]), FALSE)),
IF($J$2="FLA",
IF(VLOOKUP($A183, YES_Reading_FLA[], COLUMN(YES_Reading_FLA[Self-Identified as African Descent]),FALSE)="","",
VLOOKUP($A183,YES_Reading_FLA[],COLUMN(YES_Reading_FLA[Self-Identified as African Descent]),FALSE)),
IF($J$2="Combined",
IFERROR(
IF(VLOOKUP($A183, YES_Reading_ELA[], COLUMN(YES_Reading_ELA[Self-Identified as African Descent]), FALSE)="", "",
VLOOKUP($A183,YES_Reading_ELA[],COLUMN(YES_Reading_ELA[Self-Identified as African Descent]),FALSE)),
IF(VLOOKUP($A183, YES_Reading_FLA[], COLUMN(YES_Reading_FLA[Self-Identified as African Descent]),FALSE)="", "", VLOOKUP($A183,YES_Reading_FLA[],COLUMN(YES_Reading_FLA[Self-Identified as African Descent]),FALSE))),""))),"")</f>
        <v/>
      </c>
      <c r="L183" s="73" t="str" cm="1">
        <f t="array" ref="L183">IFERROR(
IF($J$2="ELA",
IF(VLOOKUP($A183, YES_Reading_ELA[], COLUMN(YES_Reading_ELA[Self-Identified as Indigenous]), FALSE)="", "",
VLOOKUP($A183,YES_Reading_ELA[], COLUMN(YES_Reading_ELA[Self-Identified as Indigenous]), FALSE)),
IF($J$2="FLA",
IF(VLOOKUP($A183, YES_Reading_FLA[], COLUMN(YES_Reading_FLA[Self-Identified as Indigenous]),FALSE)="","",
VLOOKUP($A183,YES_Reading_FLA[],COLUMN(YES_Reading_FLA[Self-Identified as Indigenous]),FALSE)),
IF($J$2="Combined",
IFERROR(
IF(VLOOKUP($A183, YES_Reading_ELA[], COLUMN(YES_Reading_ELA[Self-Identified as Indigenous]), FALSE)="", "",
VLOOKUP($A183,YES_Reading_ELA[],COLUMN(YES_Reading_ELA[Self-Identified as Indigenous]),FALSE)),
IF(VLOOKUP($A183, YES_Reading_FLA[], COLUMN(YES_Reading_FLA[Self-Identified as Indigenous]),FALSE)="", "", VLOOKUP($A183,YES_Reading_FLA[],COLUMN(YES_Reading_FLA[Self-Identified as Indigenous]),FALSE))),""))),"")</f>
        <v/>
      </c>
    </row>
    <row r="184" spans="1:12" ht="19.5" customHeight="1" x14ac:dyDescent="0.25">
      <c r="A184" s="217"/>
      <c r="B184" s="220"/>
      <c r="C184" s="203"/>
      <c r="D184" s="204"/>
      <c r="E184" s="205"/>
      <c r="F184" s="205"/>
      <c r="G184" s="205"/>
      <c r="H184" s="206"/>
      <c r="I184" s="212"/>
      <c r="J184" s="206"/>
      <c r="K184" s="197" t="str" cm="1">
        <f t="array" ref="K184">IFERROR(
IF($J$2="ELA",
IF(VLOOKUP($A184, YES_Reading_ELA[], COLUMN(YES_Reading_ELA[Self-Identified as African Descent]), FALSE)="", "",
VLOOKUP($A184,YES_Reading_ELA[], COLUMN(YES_Reading_ELA[Self-Identified as African Descent]), FALSE)),
IF($J$2="FLA",
IF(VLOOKUP($A184, YES_Reading_FLA[], COLUMN(YES_Reading_FLA[Self-Identified as African Descent]),FALSE)="","",
VLOOKUP($A184,YES_Reading_FLA[],COLUMN(YES_Reading_FLA[Self-Identified as African Descent]),FALSE)),
IF($J$2="Combined",
IFERROR(
IF(VLOOKUP($A184, YES_Reading_ELA[], COLUMN(YES_Reading_ELA[Self-Identified as African Descent]), FALSE)="", "",
VLOOKUP($A184,YES_Reading_ELA[],COLUMN(YES_Reading_ELA[Self-Identified as African Descent]),FALSE)),
IF(VLOOKUP($A184, YES_Reading_FLA[], COLUMN(YES_Reading_FLA[Self-Identified as African Descent]),FALSE)="", "", VLOOKUP($A184,YES_Reading_FLA[],COLUMN(YES_Reading_FLA[Self-Identified as African Descent]),FALSE))),""))),"")</f>
        <v/>
      </c>
      <c r="L184" s="73" t="str" cm="1">
        <f t="array" ref="L184">IFERROR(
IF($J$2="ELA",
IF(VLOOKUP($A184, YES_Reading_ELA[], COLUMN(YES_Reading_ELA[Self-Identified as Indigenous]), FALSE)="", "",
VLOOKUP($A184,YES_Reading_ELA[], COLUMN(YES_Reading_ELA[Self-Identified as Indigenous]), FALSE)),
IF($J$2="FLA",
IF(VLOOKUP($A184, YES_Reading_FLA[], COLUMN(YES_Reading_FLA[Self-Identified as Indigenous]),FALSE)="","",
VLOOKUP($A184,YES_Reading_FLA[],COLUMN(YES_Reading_FLA[Self-Identified as Indigenous]),FALSE)),
IF($J$2="Combined",
IFERROR(
IF(VLOOKUP($A184, YES_Reading_ELA[], COLUMN(YES_Reading_ELA[Self-Identified as Indigenous]), FALSE)="", "",
VLOOKUP($A184,YES_Reading_ELA[],COLUMN(YES_Reading_ELA[Self-Identified as Indigenous]),FALSE)),
IF(VLOOKUP($A184, YES_Reading_FLA[], COLUMN(YES_Reading_FLA[Self-Identified as Indigenous]),FALSE)="", "", VLOOKUP($A184,YES_Reading_FLA[],COLUMN(YES_Reading_FLA[Self-Identified as Indigenous]),FALSE))),""))),"")</f>
        <v/>
      </c>
    </row>
    <row r="185" spans="1:12" ht="19.5" customHeight="1" x14ac:dyDescent="0.25">
      <c r="A185" s="217"/>
      <c r="B185" s="220"/>
      <c r="C185" s="203"/>
      <c r="D185" s="204"/>
      <c r="E185" s="205"/>
      <c r="F185" s="205"/>
      <c r="G185" s="205"/>
      <c r="H185" s="206"/>
      <c r="I185" s="212"/>
      <c r="J185" s="206"/>
      <c r="K185" s="197" t="str" cm="1">
        <f t="array" ref="K185">IFERROR(
IF($J$2="ELA",
IF(VLOOKUP($A185, YES_Reading_ELA[], COLUMN(YES_Reading_ELA[Self-Identified as African Descent]), FALSE)="", "",
VLOOKUP($A185,YES_Reading_ELA[], COLUMN(YES_Reading_ELA[Self-Identified as African Descent]), FALSE)),
IF($J$2="FLA",
IF(VLOOKUP($A185, YES_Reading_FLA[], COLUMN(YES_Reading_FLA[Self-Identified as African Descent]),FALSE)="","",
VLOOKUP($A185,YES_Reading_FLA[],COLUMN(YES_Reading_FLA[Self-Identified as African Descent]),FALSE)),
IF($J$2="Combined",
IFERROR(
IF(VLOOKUP($A185, YES_Reading_ELA[], COLUMN(YES_Reading_ELA[Self-Identified as African Descent]), FALSE)="", "",
VLOOKUP($A185,YES_Reading_ELA[],COLUMN(YES_Reading_ELA[Self-Identified as African Descent]),FALSE)),
IF(VLOOKUP($A185, YES_Reading_FLA[], COLUMN(YES_Reading_FLA[Self-Identified as African Descent]),FALSE)="", "", VLOOKUP($A185,YES_Reading_FLA[],COLUMN(YES_Reading_FLA[Self-Identified as African Descent]),FALSE))),""))),"")</f>
        <v/>
      </c>
      <c r="L185" s="73" t="str" cm="1">
        <f t="array" ref="L185">IFERROR(
IF($J$2="ELA",
IF(VLOOKUP($A185, YES_Reading_ELA[], COLUMN(YES_Reading_ELA[Self-Identified as Indigenous]), FALSE)="", "",
VLOOKUP($A185,YES_Reading_ELA[], COLUMN(YES_Reading_ELA[Self-Identified as Indigenous]), FALSE)),
IF($J$2="FLA",
IF(VLOOKUP($A185, YES_Reading_FLA[], COLUMN(YES_Reading_FLA[Self-Identified as Indigenous]),FALSE)="","",
VLOOKUP($A185,YES_Reading_FLA[],COLUMN(YES_Reading_FLA[Self-Identified as Indigenous]),FALSE)),
IF($J$2="Combined",
IFERROR(
IF(VLOOKUP($A185, YES_Reading_ELA[], COLUMN(YES_Reading_ELA[Self-Identified as Indigenous]), FALSE)="", "",
VLOOKUP($A185,YES_Reading_ELA[],COLUMN(YES_Reading_ELA[Self-Identified as Indigenous]),FALSE)),
IF(VLOOKUP($A185, YES_Reading_FLA[], COLUMN(YES_Reading_FLA[Self-Identified as Indigenous]),FALSE)="", "", VLOOKUP($A185,YES_Reading_FLA[],COLUMN(YES_Reading_FLA[Self-Identified as Indigenous]),FALSE))),""))),"")</f>
        <v/>
      </c>
    </row>
    <row r="186" spans="1:12" ht="19.5" customHeight="1" x14ac:dyDescent="0.25">
      <c r="A186" s="217"/>
      <c r="B186" s="220"/>
      <c r="C186" s="203"/>
      <c r="D186" s="204"/>
      <c r="E186" s="205"/>
      <c r="F186" s="205"/>
      <c r="G186" s="205"/>
      <c r="H186" s="206"/>
      <c r="I186" s="212"/>
      <c r="J186" s="206"/>
      <c r="K186" s="197" t="str" cm="1">
        <f t="array" ref="K186">IFERROR(
IF($J$2="ELA",
IF(VLOOKUP($A186, YES_Reading_ELA[], COLUMN(YES_Reading_ELA[Self-Identified as African Descent]), FALSE)="", "",
VLOOKUP($A186,YES_Reading_ELA[], COLUMN(YES_Reading_ELA[Self-Identified as African Descent]), FALSE)),
IF($J$2="FLA",
IF(VLOOKUP($A186, YES_Reading_FLA[], COLUMN(YES_Reading_FLA[Self-Identified as African Descent]),FALSE)="","",
VLOOKUP($A186,YES_Reading_FLA[],COLUMN(YES_Reading_FLA[Self-Identified as African Descent]),FALSE)),
IF($J$2="Combined",
IFERROR(
IF(VLOOKUP($A186, YES_Reading_ELA[], COLUMN(YES_Reading_ELA[Self-Identified as African Descent]), FALSE)="", "",
VLOOKUP($A186,YES_Reading_ELA[],COLUMN(YES_Reading_ELA[Self-Identified as African Descent]),FALSE)),
IF(VLOOKUP($A186, YES_Reading_FLA[], COLUMN(YES_Reading_FLA[Self-Identified as African Descent]),FALSE)="", "", VLOOKUP($A186,YES_Reading_FLA[],COLUMN(YES_Reading_FLA[Self-Identified as African Descent]),FALSE))),""))),"")</f>
        <v/>
      </c>
      <c r="L186" s="73" t="str" cm="1">
        <f t="array" ref="L186">IFERROR(
IF($J$2="ELA",
IF(VLOOKUP($A186, YES_Reading_ELA[], COLUMN(YES_Reading_ELA[Self-Identified as Indigenous]), FALSE)="", "",
VLOOKUP($A186,YES_Reading_ELA[], COLUMN(YES_Reading_ELA[Self-Identified as Indigenous]), FALSE)),
IF($J$2="FLA",
IF(VLOOKUP($A186, YES_Reading_FLA[], COLUMN(YES_Reading_FLA[Self-Identified as Indigenous]),FALSE)="","",
VLOOKUP($A186,YES_Reading_FLA[],COLUMN(YES_Reading_FLA[Self-Identified as Indigenous]),FALSE)),
IF($J$2="Combined",
IFERROR(
IF(VLOOKUP($A186, YES_Reading_ELA[], COLUMN(YES_Reading_ELA[Self-Identified as Indigenous]), FALSE)="", "",
VLOOKUP($A186,YES_Reading_ELA[],COLUMN(YES_Reading_ELA[Self-Identified as Indigenous]),FALSE)),
IF(VLOOKUP($A186, YES_Reading_FLA[], COLUMN(YES_Reading_FLA[Self-Identified as Indigenous]),FALSE)="", "", VLOOKUP($A186,YES_Reading_FLA[],COLUMN(YES_Reading_FLA[Self-Identified as Indigenous]),FALSE))),""))),"")</f>
        <v/>
      </c>
    </row>
    <row r="187" spans="1:12" ht="19.5" customHeight="1" x14ac:dyDescent="0.25">
      <c r="A187" s="217"/>
      <c r="B187" s="220"/>
      <c r="C187" s="203"/>
      <c r="D187" s="204"/>
      <c r="E187" s="205"/>
      <c r="F187" s="205"/>
      <c r="G187" s="205"/>
      <c r="H187" s="206"/>
      <c r="I187" s="212"/>
      <c r="J187" s="206"/>
      <c r="K187" s="197" t="str" cm="1">
        <f t="array" ref="K187">IFERROR(
IF($J$2="ELA",
IF(VLOOKUP($A187, YES_Reading_ELA[], COLUMN(YES_Reading_ELA[Self-Identified as African Descent]), FALSE)="", "",
VLOOKUP($A187,YES_Reading_ELA[], COLUMN(YES_Reading_ELA[Self-Identified as African Descent]), FALSE)),
IF($J$2="FLA",
IF(VLOOKUP($A187, YES_Reading_FLA[], COLUMN(YES_Reading_FLA[Self-Identified as African Descent]),FALSE)="","",
VLOOKUP($A187,YES_Reading_FLA[],COLUMN(YES_Reading_FLA[Self-Identified as African Descent]),FALSE)),
IF($J$2="Combined",
IFERROR(
IF(VLOOKUP($A187, YES_Reading_ELA[], COLUMN(YES_Reading_ELA[Self-Identified as African Descent]), FALSE)="", "",
VLOOKUP($A187,YES_Reading_ELA[],COLUMN(YES_Reading_ELA[Self-Identified as African Descent]),FALSE)),
IF(VLOOKUP($A187, YES_Reading_FLA[], COLUMN(YES_Reading_FLA[Self-Identified as African Descent]),FALSE)="", "", VLOOKUP($A187,YES_Reading_FLA[],COLUMN(YES_Reading_FLA[Self-Identified as African Descent]),FALSE))),""))),"")</f>
        <v/>
      </c>
      <c r="L187" s="73" t="str" cm="1">
        <f t="array" ref="L187">IFERROR(
IF($J$2="ELA",
IF(VLOOKUP($A187, YES_Reading_ELA[], COLUMN(YES_Reading_ELA[Self-Identified as Indigenous]), FALSE)="", "",
VLOOKUP($A187,YES_Reading_ELA[], COLUMN(YES_Reading_ELA[Self-Identified as Indigenous]), FALSE)),
IF($J$2="FLA",
IF(VLOOKUP($A187, YES_Reading_FLA[], COLUMN(YES_Reading_FLA[Self-Identified as Indigenous]),FALSE)="","",
VLOOKUP($A187,YES_Reading_FLA[],COLUMN(YES_Reading_FLA[Self-Identified as Indigenous]),FALSE)),
IF($J$2="Combined",
IFERROR(
IF(VLOOKUP($A187, YES_Reading_ELA[], COLUMN(YES_Reading_ELA[Self-Identified as Indigenous]), FALSE)="", "",
VLOOKUP($A187,YES_Reading_ELA[],COLUMN(YES_Reading_ELA[Self-Identified as Indigenous]),FALSE)),
IF(VLOOKUP($A187, YES_Reading_FLA[], COLUMN(YES_Reading_FLA[Self-Identified as Indigenous]),FALSE)="", "", VLOOKUP($A187,YES_Reading_FLA[],COLUMN(YES_Reading_FLA[Self-Identified as Indigenous]),FALSE))),""))),"")</f>
        <v/>
      </c>
    </row>
    <row r="188" spans="1:12" ht="19.5" customHeight="1" x14ac:dyDescent="0.25">
      <c r="A188" s="217"/>
      <c r="B188" s="220"/>
      <c r="C188" s="203"/>
      <c r="D188" s="204"/>
      <c r="E188" s="205"/>
      <c r="F188" s="205"/>
      <c r="G188" s="205"/>
      <c r="H188" s="206"/>
      <c r="I188" s="212"/>
      <c r="J188" s="206"/>
      <c r="K188" s="197" t="str" cm="1">
        <f t="array" ref="K188">IFERROR(
IF($J$2="ELA",
IF(VLOOKUP($A188, YES_Reading_ELA[], COLUMN(YES_Reading_ELA[Self-Identified as African Descent]), FALSE)="", "",
VLOOKUP($A188,YES_Reading_ELA[], COLUMN(YES_Reading_ELA[Self-Identified as African Descent]), FALSE)),
IF($J$2="FLA",
IF(VLOOKUP($A188, YES_Reading_FLA[], COLUMN(YES_Reading_FLA[Self-Identified as African Descent]),FALSE)="","",
VLOOKUP($A188,YES_Reading_FLA[],COLUMN(YES_Reading_FLA[Self-Identified as African Descent]),FALSE)),
IF($J$2="Combined",
IFERROR(
IF(VLOOKUP($A188, YES_Reading_ELA[], COLUMN(YES_Reading_ELA[Self-Identified as African Descent]), FALSE)="", "",
VLOOKUP($A188,YES_Reading_ELA[],COLUMN(YES_Reading_ELA[Self-Identified as African Descent]),FALSE)),
IF(VLOOKUP($A188, YES_Reading_FLA[], COLUMN(YES_Reading_FLA[Self-Identified as African Descent]),FALSE)="", "", VLOOKUP($A188,YES_Reading_FLA[],COLUMN(YES_Reading_FLA[Self-Identified as African Descent]),FALSE))),""))),"")</f>
        <v/>
      </c>
      <c r="L188" s="73" t="str" cm="1">
        <f t="array" ref="L188">IFERROR(
IF($J$2="ELA",
IF(VLOOKUP($A188, YES_Reading_ELA[], COLUMN(YES_Reading_ELA[Self-Identified as Indigenous]), FALSE)="", "",
VLOOKUP($A188,YES_Reading_ELA[], COLUMN(YES_Reading_ELA[Self-Identified as Indigenous]), FALSE)),
IF($J$2="FLA",
IF(VLOOKUP($A188, YES_Reading_FLA[], COLUMN(YES_Reading_FLA[Self-Identified as Indigenous]),FALSE)="","",
VLOOKUP($A188,YES_Reading_FLA[],COLUMN(YES_Reading_FLA[Self-Identified as Indigenous]),FALSE)),
IF($J$2="Combined",
IFERROR(
IF(VLOOKUP($A188, YES_Reading_ELA[], COLUMN(YES_Reading_ELA[Self-Identified as Indigenous]), FALSE)="", "",
VLOOKUP($A188,YES_Reading_ELA[],COLUMN(YES_Reading_ELA[Self-Identified as Indigenous]),FALSE)),
IF(VLOOKUP($A188, YES_Reading_FLA[], COLUMN(YES_Reading_FLA[Self-Identified as Indigenous]),FALSE)="", "", VLOOKUP($A188,YES_Reading_FLA[],COLUMN(YES_Reading_FLA[Self-Identified as Indigenous]),FALSE))),""))),"")</f>
        <v/>
      </c>
    </row>
    <row r="189" spans="1:12" ht="19.5" customHeight="1" x14ac:dyDescent="0.25">
      <c r="A189" s="217"/>
      <c r="B189" s="220"/>
      <c r="C189" s="203"/>
      <c r="D189" s="204"/>
      <c r="E189" s="205"/>
      <c r="F189" s="205"/>
      <c r="G189" s="205"/>
      <c r="H189" s="206"/>
      <c r="I189" s="212"/>
      <c r="J189" s="206"/>
      <c r="K189" s="197" t="str" cm="1">
        <f t="array" ref="K189">IFERROR(
IF($J$2="ELA",
IF(VLOOKUP($A189, YES_Reading_ELA[], COLUMN(YES_Reading_ELA[Self-Identified as African Descent]), FALSE)="", "",
VLOOKUP($A189,YES_Reading_ELA[], COLUMN(YES_Reading_ELA[Self-Identified as African Descent]), FALSE)),
IF($J$2="FLA",
IF(VLOOKUP($A189, YES_Reading_FLA[], COLUMN(YES_Reading_FLA[Self-Identified as African Descent]),FALSE)="","",
VLOOKUP($A189,YES_Reading_FLA[],COLUMN(YES_Reading_FLA[Self-Identified as African Descent]),FALSE)),
IF($J$2="Combined",
IFERROR(
IF(VLOOKUP($A189, YES_Reading_ELA[], COLUMN(YES_Reading_ELA[Self-Identified as African Descent]), FALSE)="", "",
VLOOKUP($A189,YES_Reading_ELA[],COLUMN(YES_Reading_ELA[Self-Identified as African Descent]),FALSE)),
IF(VLOOKUP($A189, YES_Reading_FLA[], COLUMN(YES_Reading_FLA[Self-Identified as African Descent]),FALSE)="", "", VLOOKUP($A189,YES_Reading_FLA[],COLUMN(YES_Reading_FLA[Self-Identified as African Descent]),FALSE))),""))),"")</f>
        <v/>
      </c>
      <c r="L189" s="73" t="str" cm="1">
        <f t="array" ref="L189">IFERROR(
IF($J$2="ELA",
IF(VLOOKUP($A189, YES_Reading_ELA[], COLUMN(YES_Reading_ELA[Self-Identified as Indigenous]), FALSE)="", "",
VLOOKUP($A189,YES_Reading_ELA[], COLUMN(YES_Reading_ELA[Self-Identified as Indigenous]), FALSE)),
IF($J$2="FLA",
IF(VLOOKUP($A189, YES_Reading_FLA[], COLUMN(YES_Reading_FLA[Self-Identified as Indigenous]),FALSE)="","",
VLOOKUP($A189,YES_Reading_FLA[],COLUMN(YES_Reading_FLA[Self-Identified as Indigenous]),FALSE)),
IF($J$2="Combined",
IFERROR(
IF(VLOOKUP($A189, YES_Reading_ELA[], COLUMN(YES_Reading_ELA[Self-Identified as Indigenous]), FALSE)="", "",
VLOOKUP($A189,YES_Reading_ELA[],COLUMN(YES_Reading_ELA[Self-Identified as Indigenous]),FALSE)),
IF(VLOOKUP($A189, YES_Reading_FLA[], COLUMN(YES_Reading_FLA[Self-Identified as Indigenous]),FALSE)="", "", VLOOKUP($A189,YES_Reading_FLA[],COLUMN(YES_Reading_FLA[Self-Identified as Indigenous]),FALSE))),""))),"")</f>
        <v/>
      </c>
    </row>
    <row r="190" spans="1:12" ht="19.5" customHeight="1" x14ac:dyDescent="0.25">
      <c r="A190" s="217"/>
      <c r="B190" s="220"/>
      <c r="C190" s="203"/>
      <c r="D190" s="204"/>
      <c r="E190" s="205"/>
      <c r="F190" s="205"/>
      <c r="G190" s="205"/>
      <c r="H190" s="206"/>
      <c r="I190" s="212"/>
      <c r="J190" s="206"/>
      <c r="K190" s="197" t="str" cm="1">
        <f t="array" ref="K190">IFERROR(
IF($J$2="ELA",
IF(VLOOKUP($A190, YES_Reading_ELA[], COLUMN(YES_Reading_ELA[Self-Identified as African Descent]), FALSE)="", "",
VLOOKUP($A190,YES_Reading_ELA[], COLUMN(YES_Reading_ELA[Self-Identified as African Descent]), FALSE)),
IF($J$2="FLA",
IF(VLOOKUP($A190, YES_Reading_FLA[], COLUMN(YES_Reading_FLA[Self-Identified as African Descent]),FALSE)="","",
VLOOKUP($A190,YES_Reading_FLA[],COLUMN(YES_Reading_FLA[Self-Identified as African Descent]),FALSE)),
IF($J$2="Combined",
IFERROR(
IF(VLOOKUP($A190, YES_Reading_ELA[], COLUMN(YES_Reading_ELA[Self-Identified as African Descent]), FALSE)="", "",
VLOOKUP($A190,YES_Reading_ELA[],COLUMN(YES_Reading_ELA[Self-Identified as African Descent]),FALSE)),
IF(VLOOKUP($A190, YES_Reading_FLA[], COLUMN(YES_Reading_FLA[Self-Identified as African Descent]),FALSE)="", "", VLOOKUP($A190,YES_Reading_FLA[],COLUMN(YES_Reading_FLA[Self-Identified as African Descent]),FALSE))),""))),"")</f>
        <v/>
      </c>
      <c r="L190" s="73" t="str" cm="1">
        <f t="array" ref="L190">IFERROR(
IF($J$2="ELA",
IF(VLOOKUP($A190, YES_Reading_ELA[], COLUMN(YES_Reading_ELA[Self-Identified as Indigenous]), FALSE)="", "",
VLOOKUP($A190,YES_Reading_ELA[], COLUMN(YES_Reading_ELA[Self-Identified as Indigenous]), FALSE)),
IF($J$2="FLA",
IF(VLOOKUP($A190, YES_Reading_FLA[], COLUMN(YES_Reading_FLA[Self-Identified as Indigenous]),FALSE)="","",
VLOOKUP($A190,YES_Reading_FLA[],COLUMN(YES_Reading_FLA[Self-Identified as Indigenous]),FALSE)),
IF($J$2="Combined",
IFERROR(
IF(VLOOKUP($A190, YES_Reading_ELA[], COLUMN(YES_Reading_ELA[Self-Identified as Indigenous]), FALSE)="", "",
VLOOKUP($A190,YES_Reading_ELA[],COLUMN(YES_Reading_ELA[Self-Identified as Indigenous]),FALSE)),
IF(VLOOKUP($A190, YES_Reading_FLA[], COLUMN(YES_Reading_FLA[Self-Identified as Indigenous]),FALSE)="", "", VLOOKUP($A190,YES_Reading_FLA[],COLUMN(YES_Reading_FLA[Self-Identified as Indigenous]),FALSE))),""))),"")</f>
        <v/>
      </c>
    </row>
    <row r="191" spans="1:12" ht="19.5" customHeight="1" thickBot="1" x14ac:dyDescent="0.3">
      <c r="A191" s="218"/>
      <c r="B191" s="221"/>
      <c r="C191" s="208"/>
      <c r="D191" s="209"/>
      <c r="E191" s="210"/>
      <c r="F191" s="210"/>
      <c r="G191" s="210"/>
      <c r="H191" s="211"/>
      <c r="I191" s="213"/>
      <c r="J191" s="211"/>
      <c r="K191" s="198" t="str" cm="1">
        <f t="array" ref="K191">IFERROR(
IF($J$2="ELA",
IF(VLOOKUP($A191, YES_Reading_ELA[], COLUMN(YES_Reading_ELA[Self-Identified as African Descent]), FALSE)="", "",
VLOOKUP($A191,YES_Reading_ELA[], COLUMN(YES_Reading_ELA[Self-Identified as African Descent]), FALSE)),
IF($J$2="FLA",
IF(VLOOKUP($A191, YES_Reading_FLA[], COLUMN(YES_Reading_FLA[Self-Identified as African Descent]),FALSE)="","",
VLOOKUP($A191,YES_Reading_FLA[],COLUMN(YES_Reading_FLA[Self-Identified as African Descent]),FALSE)),
IF($J$2="Combined",
IFERROR(
IF(VLOOKUP($A191, YES_Reading_ELA[], COLUMN(YES_Reading_ELA[Self-Identified as African Descent]), FALSE)="", "",
VLOOKUP($A191,YES_Reading_ELA[],COLUMN(YES_Reading_ELA[Self-Identified as African Descent]),FALSE)),
IF(VLOOKUP($A191, YES_Reading_FLA[], COLUMN(YES_Reading_FLA[Self-Identified as African Descent]),FALSE)="", "", VLOOKUP($A191,YES_Reading_FLA[],COLUMN(YES_Reading_FLA[Self-Identified as African Descent]),FALSE))),""))),"")</f>
        <v/>
      </c>
      <c r="L191" s="74" t="str" cm="1">
        <f t="array" ref="L191">IFERROR(
IF($J$2="ELA",
IF(VLOOKUP($A191, YES_Reading_ELA[], COLUMN(YES_Reading_ELA[Self-Identified as Indigenous]), FALSE)="", "",
VLOOKUP($A191,YES_Reading_ELA[], COLUMN(YES_Reading_ELA[Self-Identified as Indigenous]), FALSE)),
IF($J$2="FLA",
IF(VLOOKUP($A191, YES_Reading_FLA[], COLUMN(YES_Reading_FLA[Self-Identified as Indigenous]),FALSE)="","",
VLOOKUP($A191,YES_Reading_FLA[],COLUMN(YES_Reading_FLA[Self-Identified as Indigenous]),FALSE)),
IF($J$2="Combined",
IFERROR(
IF(VLOOKUP($A191, YES_Reading_ELA[], COLUMN(YES_Reading_ELA[Self-Identified as Indigenous]), FALSE)="", "",
VLOOKUP($A191,YES_Reading_ELA[],COLUMN(YES_Reading_ELA[Self-Identified as Indigenous]),FALSE)),
IF(VLOOKUP($A191, YES_Reading_FLA[], COLUMN(YES_Reading_FLA[Self-Identified as Indigenous]),FALSE)="", "", VLOOKUP($A191,YES_Reading_FLA[],COLUMN(YES_Reading_FLA[Self-Identified as Indigenous]),FALSE))),""))),"")</f>
        <v/>
      </c>
    </row>
    <row r="192" spans="1:12" x14ac:dyDescent="0.25">
      <c r="A192" s="214"/>
      <c r="B192" s="214" t="s">
        <v>241</v>
      </c>
      <c r="C192" s="214"/>
      <c r="D192" s="215" t="str" cm="1">
        <f t="array" ref="D192">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Set")))=$D$1)),1,1,FALSE),FALSE,FALSE),7),"")</f>
        <v/>
      </c>
      <c r="E192" s="215"/>
      <c r="F192" s="215"/>
      <c r="G192" s="215"/>
      <c r="H192" s="355" t="s">
        <v>242</v>
      </c>
      <c r="I192" s="356"/>
      <c r="J192" s="215"/>
    </row>
    <row r="193" spans="1:12" x14ac:dyDescent="0.25">
      <c r="A193" s="214"/>
      <c r="B193" s="214" t="str">
        <f>"Date: "&amp;$D$3</f>
        <v xml:space="preserve">Date: </v>
      </c>
      <c r="C193" s="214"/>
      <c r="D193" s="215"/>
      <c r="E193" s="215"/>
      <c r="F193" s="215"/>
      <c r="G193" s="215"/>
      <c r="H193" s="357" t="s">
        <v>243</v>
      </c>
      <c r="I193" s="358"/>
      <c r="J193" s="215"/>
    </row>
    <row r="194" spans="1:12" ht="15.75" thickBot="1" x14ac:dyDescent="0.3">
      <c r="A194" s="215"/>
      <c r="B194" s="215"/>
      <c r="C194" s="215"/>
      <c r="D194" s="215"/>
      <c r="E194" s="215"/>
      <c r="F194" s="215"/>
      <c r="G194" s="215"/>
      <c r="H194" s="353" t="s">
        <v>244</v>
      </c>
      <c r="I194" s="354"/>
      <c r="J194" s="215"/>
    </row>
    <row r="195" spans="1:12" ht="85.5" customHeight="1" thickBot="1" x14ac:dyDescent="0.3">
      <c r="A195" s="192" t="s">
        <v>44</v>
      </c>
      <c r="B195" s="187" t="s">
        <v>245</v>
      </c>
      <c r="C195" s="188" t="s">
        <v>246</v>
      </c>
      <c r="D195" s="188" t="s">
        <v>247</v>
      </c>
      <c r="E195" s="188" t="s">
        <v>248</v>
      </c>
      <c r="F195" s="188" t="s">
        <v>249</v>
      </c>
      <c r="G195" s="188" t="s">
        <v>250</v>
      </c>
      <c r="H195" s="189" t="s">
        <v>251</v>
      </c>
      <c r="I195" s="190" t="s">
        <v>252</v>
      </c>
      <c r="J195" s="191" t="s">
        <v>253</v>
      </c>
      <c r="K195" s="200" t="s">
        <v>256</v>
      </c>
      <c r="L195" s="201" t="s">
        <v>257</v>
      </c>
    </row>
    <row r="196" spans="1:12" ht="19.5" customHeight="1" x14ac:dyDescent="0.25">
      <c r="A196" s="216" t="e" cm="1" vm="1">
        <f t="array" aca="1" ref="A196" ca="1">_xlfn._xlws.FILTER(_xlfn.VSTACK(YES_Reading_ELA[Student Number],YES_Reading_FLA[Student Number]),_xlfn.VSTACK(YES_Reading_ELA[HomeRoom],YES_Reading_FLA[Homeroom])=D192)</f>
        <v>#VALUE!</v>
      </c>
      <c r="B196" s="219"/>
      <c r="C196" s="203"/>
      <c r="D196" s="204"/>
      <c r="E196" s="205"/>
      <c r="F196" s="205"/>
      <c r="G196" s="205"/>
      <c r="H196" s="206"/>
      <c r="I196" s="212"/>
      <c r="J196" s="206"/>
      <c r="K196" s="24" t="str" cm="1">
        <f t="array" aca="1" ref="K196" ca="1">IFERROR(
IF($J$2="ELA",
IF(VLOOKUP($A196, YES_Reading_ELA[], COLUMN(YES_Reading_ELA[Self-Identified as African Descent]), FALSE)="", "",
VLOOKUP($A196,YES_Reading_ELA[], COLUMN(YES_Reading_ELA[Self-Identified as African Descent]), FALSE)),
IF($J$2="FLA",
IF(VLOOKUP($A196, YES_Reading_FLA[], COLUMN(YES_Reading_FLA[Self-Identified as African Descent]),FALSE)="","",
VLOOKUP($A196,YES_Reading_FLA[],COLUMN(YES_Reading_FLA[Self-Identified as African Descent]),FALSE)),
IF($J$2="Combined",
IFERROR(
IF(VLOOKUP($A196, YES_Reading_ELA[], COLUMN(YES_Reading_ELA[Self-Identified as African Descent]), FALSE)="", "",
VLOOKUP($A196,YES_Reading_ELA[],COLUMN(YES_Reading_ELA[Self-Identified as African Descent]),FALSE)),
IF(VLOOKUP($A196, YES_Reading_FLA[], COLUMN(YES_Reading_FLA[Self-Identified as African Descent]),FALSE)="", "", VLOOKUP($A196,YES_Reading_FLA[],COLUMN(YES_Reading_FLA[Self-Identified as African Descent]),FALSE))),""))),"")</f>
        <v/>
      </c>
      <c r="L196" s="199" t="str" cm="1">
        <f t="array" aca="1" ref="L196" ca="1">IFERROR(
IF($J$2="ELA",
IF(VLOOKUP($A196, YES_Reading_ELA[], COLUMN(YES_Reading_ELA[Self-Identified as Indigenous]), FALSE)="", "",
VLOOKUP($A196,YES_Reading_ELA[], COLUMN(YES_Reading_ELA[Self-Identified as Indigenous]), FALSE)),
IF($J$2="FLA",
IF(VLOOKUP($A196, YES_Reading_FLA[], COLUMN(YES_Reading_FLA[Self-Identified as Indigenous]),FALSE)="","",
VLOOKUP($A196,YES_Reading_FLA[],COLUMN(YES_Reading_FLA[Self-Identified as Indigenous]),FALSE)),
IF($J$2="Combined",
IFERROR(
IF(VLOOKUP($A196, YES_Reading_ELA[], COLUMN(YES_Reading_ELA[Self-Identified as Indigenous]), FALSE)="", "",
VLOOKUP($A196,YES_Reading_ELA[],COLUMN(YES_Reading_ELA[Self-Identified as Indigenous]),FALSE)),
IF(VLOOKUP($A196, YES_Reading_FLA[], COLUMN(YES_Reading_FLA[Self-Identified as Indigenous]),FALSE)="", "", VLOOKUP($A196,YES_Reading_FLA[],COLUMN(YES_Reading_FLA[Self-Identified as Indigenous]),FALSE))),""))),"")</f>
        <v/>
      </c>
    </row>
    <row r="197" spans="1:12" ht="19.5" customHeight="1" x14ac:dyDescent="0.25">
      <c r="A197" s="217"/>
      <c r="B197" s="220"/>
      <c r="C197" s="203"/>
      <c r="D197" s="204"/>
      <c r="E197" s="205"/>
      <c r="F197" s="205"/>
      <c r="G197" s="205"/>
      <c r="H197" s="206"/>
      <c r="I197" s="212"/>
      <c r="J197" s="206"/>
      <c r="K197" s="197" t="str" cm="1">
        <f t="array" ref="K197">IFERROR(
IF($J$2="ELA",
IF(VLOOKUP($A197, YES_Reading_ELA[], COLUMN(YES_Reading_ELA[Self-Identified as African Descent]), FALSE)="", "",
VLOOKUP($A197,YES_Reading_ELA[], COLUMN(YES_Reading_ELA[Self-Identified as African Descent]), FALSE)),
IF($J$2="FLA",
IF(VLOOKUP($A197, YES_Reading_FLA[], COLUMN(YES_Reading_FLA[Self-Identified as African Descent]),FALSE)="","",
VLOOKUP($A197,YES_Reading_FLA[],COLUMN(YES_Reading_FLA[Self-Identified as African Descent]),FALSE)),
IF($J$2="Combined",
IFERROR(
IF(VLOOKUP($A197, YES_Reading_ELA[], COLUMN(YES_Reading_ELA[Self-Identified as African Descent]), FALSE)="", "",
VLOOKUP($A197,YES_Reading_ELA[],COLUMN(YES_Reading_ELA[Self-Identified as African Descent]),FALSE)),
IF(VLOOKUP($A197, YES_Reading_FLA[], COLUMN(YES_Reading_FLA[Self-Identified as African Descent]),FALSE)="", "", VLOOKUP($A197,YES_Reading_FLA[],COLUMN(YES_Reading_FLA[Self-Identified as African Descent]),FALSE))),""))),"")</f>
        <v/>
      </c>
      <c r="L197" s="73" t="str" cm="1">
        <f t="array" ref="L197">IFERROR(
IF($J$2="ELA",
IF(VLOOKUP($A197, YES_Reading_ELA[], COLUMN(YES_Reading_ELA[Self-Identified as Indigenous]), FALSE)="", "",
VLOOKUP($A197,YES_Reading_ELA[], COLUMN(YES_Reading_ELA[Self-Identified as Indigenous]), FALSE)),
IF($J$2="FLA",
IF(VLOOKUP($A197, YES_Reading_FLA[], COLUMN(YES_Reading_FLA[Self-Identified as Indigenous]),FALSE)="","",
VLOOKUP($A197,YES_Reading_FLA[],COLUMN(YES_Reading_FLA[Self-Identified as Indigenous]),FALSE)),
IF($J$2="Combined",
IFERROR(
IF(VLOOKUP($A197, YES_Reading_ELA[], COLUMN(YES_Reading_ELA[Self-Identified as Indigenous]), FALSE)="", "",
VLOOKUP($A197,YES_Reading_ELA[],COLUMN(YES_Reading_ELA[Self-Identified as Indigenous]),FALSE)),
IF(VLOOKUP($A197, YES_Reading_FLA[], COLUMN(YES_Reading_FLA[Self-Identified as Indigenous]),FALSE)="", "", VLOOKUP($A197,YES_Reading_FLA[],COLUMN(YES_Reading_FLA[Self-Identified as Indigenous]),FALSE))),""))),"")</f>
        <v/>
      </c>
    </row>
    <row r="198" spans="1:12" ht="19.5" customHeight="1" x14ac:dyDescent="0.25">
      <c r="A198" s="217"/>
      <c r="B198" s="220"/>
      <c r="C198" s="203"/>
      <c r="D198" s="204"/>
      <c r="E198" s="205"/>
      <c r="F198" s="205"/>
      <c r="G198" s="205"/>
      <c r="H198" s="206"/>
      <c r="I198" s="212"/>
      <c r="J198" s="206"/>
      <c r="K198" s="197" t="str" cm="1">
        <f t="array" ref="K198">IFERROR(
IF($J$2="ELA",
IF(VLOOKUP($A198, YES_Reading_ELA[], COLUMN(YES_Reading_ELA[Self-Identified as African Descent]), FALSE)="", "",
VLOOKUP($A198,YES_Reading_ELA[], COLUMN(YES_Reading_ELA[Self-Identified as African Descent]), FALSE)),
IF($J$2="FLA",
IF(VLOOKUP($A198, YES_Reading_FLA[], COLUMN(YES_Reading_FLA[Self-Identified as African Descent]),FALSE)="","",
VLOOKUP($A198,YES_Reading_FLA[],COLUMN(YES_Reading_FLA[Self-Identified as African Descent]),FALSE)),
IF($J$2="Combined",
IFERROR(
IF(VLOOKUP($A198, YES_Reading_ELA[], COLUMN(YES_Reading_ELA[Self-Identified as African Descent]), FALSE)="", "",
VLOOKUP($A198,YES_Reading_ELA[],COLUMN(YES_Reading_ELA[Self-Identified as African Descent]),FALSE)),
IF(VLOOKUP($A198, YES_Reading_FLA[], COLUMN(YES_Reading_FLA[Self-Identified as African Descent]),FALSE)="", "", VLOOKUP($A198,YES_Reading_FLA[],COLUMN(YES_Reading_FLA[Self-Identified as African Descent]),FALSE))),""))),"")</f>
        <v/>
      </c>
      <c r="L198" s="73" t="str" cm="1">
        <f t="array" ref="L198">IFERROR(
IF($J$2="ELA",
IF(VLOOKUP($A198, YES_Reading_ELA[], COLUMN(YES_Reading_ELA[Self-Identified as Indigenous]), FALSE)="", "",
VLOOKUP($A198,YES_Reading_ELA[], COLUMN(YES_Reading_ELA[Self-Identified as Indigenous]), FALSE)),
IF($J$2="FLA",
IF(VLOOKUP($A198, YES_Reading_FLA[], COLUMN(YES_Reading_FLA[Self-Identified as Indigenous]),FALSE)="","",
VLOOKUP($A198,YES_Reading_FLA[],COLUMN(YES_Reading_FLA[Self-Identified as Indigenous]),FALSE)),
IF($J$2="Combined",
IFERROR(
IF(VLOOKUP($A198, YES_Reading_ELA[], COLUMN(YES_Reading_ELA[Self-Identified as Indigenous]), FALSE)="", "",
VLOOKUP($A198,YES_Reading_ELA[],COLUMN(YES_Reading_ELA[Self-Identified as Indigenous]),FALSE)),
IF(VLOOKUP($A198, YES_Reading_FLA[], COLUMN(YES_Reading_FLA[Self-Identified as Indigenous]),FALSE)="", "", VLOOKUP($A198,YES_Reading_FLA[],COLUMN(YES_Reading_FLA[Self-Identified as Indigenous]),FALSE))),""))),"")</f>
        <v/>
      </c>
    </row>
    <row r="199" spans="1:12" ht="19.5" customHeight="1" x14ac:dyDescent="0.25">
      <c r="A199" s="217"/>
      <c r="B199" s="220"/>
      <c r="C199" s="203"/>
      <c r="D199" s="204"/>
      <c r="E199" s="205"/>
      <c r="F199" s="205"/>
      <c r="G199" s="205"/>
      <c r="H199" s="206"/>
      <c r="I199" s="212"/>
      <c r="J199" s="206"/>
      <c r="K199" s="197" t="str" cm="1">
        <f t="array" ref="K199">IFERROR(
IF($J$2="ELA",
IF(VLOOKUP($A199, YES_Reading_ELA[], COLUMN(YES_Reading_ELA[Self-Identified as African Descent]), FALSE)="", "",
VLOOKUP($A199,YES_Reading_ELA[], COLUMN(YES_Reading_ELA[Self-Identified as African Descent]), FALSE)),
IF($J$2="FLA",
IF(VLOOKUP($A199, YES_Reading_FLA[], COLUMN(YES_Reading_FLA[Self-Identified as African Descent]),FALSE)="","",
VLOOKUP($A199,YES_Reading_FLA[],COLUMN(YES_Reading_FLA[Self-Identified as African Descent]),FALSE)),
IF($J$2="Combined",
IFERROR(
IF(VLOOKUP($A199, YES_Reading_ELA[], COLUMN(YES_Reading_ELA[Self-Identified as African Descent]), FALSE)="", "",
VLOOKUP($A199,YES_Reading_ELA[],COLUMN(YES_Reading_ELA[Self-Identified as African Descent]),FALSE)),
IF(VLOOKUP($A199, YES_Reading_FLA[], COLUMN(YES_Reading_FLA[Self-Identified as African Descent]),FALSE)="", "", VLOOKUP($A199,YES_Reading_FLA[],COLUMN(YES_Reading_FLA[Self-Identified as African Descent]),FALSE))),""))),"")</f>
        <v/>
      </c>
      <c r="L199" s="73" t="str" cm="1">
        <f t="array" ref="L199">IFERROR(
IF($J$2="ELA",
IF(VLOOKUP($A199, YES_Reading_ELA[], COLUMN(YES_Reading_ELA[Self-Identified as Indigenous]), FALSE)="", "",
VLOOKUP($A199,YES_Reading_ELA[], COLUMN(YES_Reading_ELA[Self-Identified as Indigenous]), FALSE)),
IF($J$2="FLA",
IF(VLOOKUP($A199, YES_Reading_FLA[], COLUMN(YES_Reading_FLA[Self-Identified as Indigenous]),FALSE)="","",
VLOOKUP($A199,YES_Reading_FLA[],COLUMN(YES_Reading_FLA[Self-Identified as Indigenous]),FALSE)),
IF($J$2="Combined",
IFERROR(
IF(VLOOKUP($A199, YES_Reading_ELA[], COLUMN(YES_Reading_ELA[Self-Identified as Indigenous]), FALSE)="", "",
VLOOKUP($A199,YES_Reading_ELA[],COLUMN(YES_Reading_ELA[Self-Identified as Indigenous]),FALSE)),
IF(VLOOKUP($A199, YES_Reading_FLA[], COLUMN(YES_Reading_FLA[Self-Identified as Indigenous]),FALSE)="", "", VLOOKUP($A199,YES_Reading_FLA[],COLUMN(YES_Reading_FLA[Self-Identified as Indigenous]),FALSE))),""))),"")</f>
        <v/>
      </c>
    </row>
    <row r="200" spans="1:12" ht="19.5" customHeight="1" x14ac:dyDescent="0.25">
      <c r="A200" s="217"/>
      <c r="B200" s="220"/>
      <c r="C200" s="203"/>
      <c r="D200" s="204"/>
      <c r="E200" s="205"/>
      <c r="F200" s="205"/>
      <c r="G200" s="205"/>
      <c r="H200" s="206"/>
      <c r="I200" s="212"/>
      <c r="J200" s="206"/>
      <c r="K200" s="197" t="str" cm="1">
        <f t="array" ref="K200">IFERROR(
IF($J$2="ELA",
IF(VLOOKUP($A200, YES_Reading_ELA[], COLUMN(YES_Reading_ELA[Self-Identified as African Descent]), FALSE)="", "",
VLOOKUP($A200,YES_Reading_ELA[], COLUMN(YES_Reading_ELA[Self-Identified as African Descent]), FALSE)),
IF($J$2="FLA",
IF(VLOOKUP($A200, YES_Reading_FLA[], COLUMN(YES_Reading_FLA[Self-Identified as African Descent]),FALSE)="","",
VLOOKUP($A200,YES_Reading_FLA[],COLUMN(YES_Reading_FLA[Self-Identified as African Descent]),FALSE)),
IF($J$2="Combined",
IFERROR(
IF(VLOOKUP($A200, YES_Reading_ELA[], COLUMN(YES_Reading_ELA[Self-Identified as African Descent]), FALSE)="", "",
VLOOKUP($A200,YES_Reading_ELA[],COLUMN(YES_Reading_ELA[Self-Identified as African Descent]),FALSE)),
IF(VLOOKUP($A200, YES_Reading_FLA[], COLUMN(YES_Reading_FLA[Self-Identified as African Descent]),FALSE)="", "", VLOOKUP($A200,YES_Reading_FLA[],COLUMN(YES_Reading_FLA[Self-Identified as African Descent]),FALSE))),""))),"")</f>
        <v/>
      </c>
      <c r="L200" s="73" t="str" cm="1">
        <f t="array" ref="L200">IFERROR(
IF($J$2="ELA",
IF(VLOOKUP($A200, YES_Reading_ELA[], COLUMN(YES_Reading_ELA[Self-Identified as Indigenous]), FALSE)="", "",
VLOOKUP($A200,YES_Reading_ELA[], COLUMN(YES_Reading_ELA[Self-Identified as Indigenous]), FALSE)),
IF($J$2="FLA",
IF(VLOOKUP($A200, YES_Reading_FLA[], COLUMN(YES_Reading_FLA[Self-Identified as Indigenous]),FALSE)="","",
VLOOKUP($A200,YES_Reading_FLA[],COLUMN(YES_Reading_FLA[Self-Identified as Indigenous]),FALSE)),
IF($J$2="Combined",
IFERROR(
IF(VLOOKUP($A200, YES_Reading_ELA[], COLUMN(YES_Reading_ELA[Self-Identified as Indigenous]), FALSE)="", "",
VLOOKUP($A200,YES_Reading_ELA[],COLUMN(YES_Reading_ELA[Self-Identified as Indigenous]),FALSE)),
IF(VLOOKUP($A200, YES_Reading_FLA[], COLUMN(YES_Reading_FLA[Self-Identified as Indigenous]),FALSE)="", "", VLOOKUP($A200,YES_Reading_FLA[],COLUMN(YES_Reading_FLA[Self-Identified as Indigenous]),FALSE))),""))),"")</f>
        <v/>
      </c>
    </row>
    <row r="201" spans="1:12" ht="19.5" customHeight="1" x14ac:dyDescent="0.25">
      <c r="A201" s="217"/>
      <c r="B201" s="220"/>
      <c r="C201" s="203"/>
      <c r="D201" s="204"/>
      <c r="E201" s="205"/>
      <c r="F201" s="205"/>
      <c r="G201" s="205"/>
      <c r="H201" s="206"/>
      <c r="I201" s="212"/>
      <c r="J201" s="206"/>
      <c r="K201" s="197" t="str" cm="1">
        <f t="array" ref="K201">IFERROR(
IF($J$2="ELA",
IF(VLOOKUP($A201, YES_Reading_ELA[], COLUMN(YES_Reading_ELA[Self-Identified as African Descent]), FALSE)="", "",
VLOOKUP($A201,YES_Reading_ELA[], COLUMN(YES_Reading_ELA[Self-Identified as African Descent]), FALSE)),
IF($J$2="FLA",
IF(VLOOKUP($A201, YES_Reading_FLA[], COLUMN(YES_Reading_FLA[Self-Identified as African Descent]),FALSE)="","",
VLOOKUP($A201,YES_Reading_FLA[],COLUMN(YES_Reading_FLA[Self-Identified as African Descent]),FALSE)),
IF($J$2="Combined",
IFERROR(
IF(VLOOKUP($A201, YES_Reading_ELA[], COLUMN(YES_Reading_ELA[Self-Identified as African Descent]), FALSE)="", "",
VLOOKUP($A201,YES_Reading_ELA[],COLUMN(YES_Reading_ELA[Self-Identified as African Descent]),FALSE)),
IF(VLOOKUP($A201, YES_Reading_FLA[], COLUMN(YES_Reading_FLA[Self-Identified as African Descent]),FALSE)="", "", VLOOKUP($A201,YES_Reading_FLA[],COLUMN(YES_Reading_FLA[Self-Identified as African Descent]),FALSE))),""))),"")</f>
        <v/>
      </c>
      <c r="L201" s="73" t="str" cm="1">
        <f t="array" ref="L201">IFERROR(
IF($J$2="ELA",
IF(VLOOKUP($A201, YES_Reading_ELA[], COLUMN(YES_Reading_ELA[Self-Identified as Indigenous]), FALSE)="", "",
VLOOKUP($A201,YES_Reading_ELA[], COLUMN(YES_Reading_ELA[Self-Identified as Indigenous]), FALSE)),
IF($J$2="FLA",
IF(VLOOKUP($A201, YES_Reading_FLA[], COLUMN(YES_Reading_FLA[Self-Identified as Indigenous]),FALSE)="","",
VLOOKUP($A201,YES_Reading_FLA[],COLUMN(YES_Reading_FLA[Self-Identified as Indigenous]),FALSE)),
IF($J$2="Combined",
IFERROR(
IF(VLOOKUP($A201, YES_Reading_ELA[], COLUMN(YES_Reading_ELA[Self-Identified as Indigenous]), FALSE)="", "",
VLOOKUP($A201,YES_Reading_ELA[],COLUMN(YES_Reading_ELA[Self-Identified as Indigenous]),FALSE)),
IF(VLOOKUP($A201, YES_Reading_FLA[], COLUMN(YES_Reading_FLA[Self-Identified as Indigenous]),FALSE)="", "", VLOOKUP($A201,YES_Reading_FLA[],COLUMN(YES_Reading_FLA[Self-Identified as Indigenous]),FALSE))),""))),"")</f>
        <v/>
      </c>
    </row>
    <row r="202" spans="1:12" ht="19.5" customHeight="1" x14ac:dyDescent="0.25">
      <c r="A202" s="217"/>
      <c r="B202" s="220"/>
      <c r="C202" s="203"/>
      <c r="D202" s="204"/>
      <c r="E202" s="205"/>
      <c r="F202" s="205"/>
      <c r="G202" s="205"/>
      <c r="H202" s="206"/>
      <c r="I202" s="212"/>
      <c r="J202" s="206"/>
      <c r="K202" s="197" t="str" cm="1">
        <f t="array" ref="K202">IFERROR(
IF($J$2="ELA",
IF(VLOOKUP($A202, YES_Reading_ELA[], COLUMN(YES_Reading_ELA[Self-Identified as African Descent]), FALSE)="", "",
VLOOKUP($A202,YES_Reading_ELA[], COLUMN(YES_Reading_ELA[Self-Identified as African Descent]), FALSE)),
IF($J$2="FLA",
IF(VLOOKUP($A202, YES_Reading_FLA[], COLUMN(YES_Reading_FLA[Self-Identified as African Descent]),FALSE)="","",
VLOOKUP($A202,YES_Reading_FLA[],COLUMN(YES_Reading_FLA[Self-Identified as African Descent]),FALSE)),
IF($J$2="Combined",
IFERROR(
IF(VLOOKUP($A202, YES_Reading_ELA[], COLUMN(YES_Reading_ELA[Self-Identified as African Descent]), FALSE)="", "",
VLOOKUP($A202,YES_Reading_ELA[],COLUMN(YES_Reading_ELA[Self-Identified as African Descent]),FALSE)),
IF(VLOOKUP($A202, YES_Reading_FLA[], COLUMN(YES_Reading_FLA[Self-Identified as African Descent]),FALSE)="", "", VLOOKUP($A202,YES_Reading_FLA[],COLUMN(YES_Reading_FLA[Self-Identified as African Descent]),FALSE))),""))),"")</f>
        <v/>
      </c>
      <c r="L202" s="73" t="str" cm="1">
        <f t="array" ref="L202">IFERROR(
IF($J$2="ELA",
IF(VLOOKUP($A202, YES_Reading_ELA[], COLUMN(YES_Reading_ELA[Self-Identified as Indigenous]), FALSE)="", "",
VLOOKUP($A202,YES_Reading_ELA[], COLUMN(YES_Reading_ELA[Self-Identified as Indigenous]), FALSE)),
IF($J$2="FLA",
IF(VLOOKUP($A202, YES_Reading_FLA[], COLUMN(YES_Reading_FLA[Self-Identified as Indigenous]),FALSE)="","",
VLOOKUP($A202,YES_Reading_FLA[],COLUMN(YES_Reading_FLA[Self-Identified as Indigenous]),FALSE)),
IF($J$2="Combined",
IFERROR(
IF(VLOOKUP($A202, YES_Reading_ELA[], COLUMN(YES_Reading_ELA[Self-Identified as Indigenous]), FALSE)="", "",
VLOOKUP($A202,YES_Reading_ELA[],COLUMN(YES_Reading_ELA[Self-Identified as Indigenous]),FALSE)),
IF(VLOOKUP($A202, YES_Reading_FLA[], COLUMN(YES_Reading_FLA[Self-Identified as Indigenous]),FALSE)="", "", VLOOKUP($A202,YES_Reading_FLA[],COLUMN(YES_Reading_FLA[Self-Identified as Indigenous]),FALSE))),""))),"")</f>
        <v/>
      </c>
    </row>
    <row r="203" spans="1:12" ht="19.5" customHeight="1" x14ac:dyDescent="0.25">
      <c r="A203" s="217"/>
      <c r="B203" s="220"/>
      <c r="C203" s="203"/>
      <c r="D203" s="204"/>
      <c r="E203" s="205"/>
      <c r="F203" s="205"/>
      <c r="G203" s="205"/>
      <c r="H203" s="206"/>
      <c r="I203" s="212"/>
      <c r="J203" s="206"/>
      <c r="K203" s="197" t="str" cm="1">
        <f t="array" ref="K203">IFERROR(
IF($J$2="ELA",
IF(VLOOKUP($A203, YES_Reading_ELA[], COLUMN(YES_Reading_ELA[Self-Identified as African Descent]), FALSE)="", "",
VLOOKUP($A203,YES_Reading_ELA[], COLUMN(YES_Reading_ELA[Self-Identified as African Descent]), FALSE)),
IF($J$2="FLA",
IF(VLOOKUP($A203, YES_Reading_FLA[], COLUMN(YES_Reading_FLA[Self-Identified as African Descent]),FALSE)="","",
VLOOKUP($A203,YES_Reading_FLA[],COLUMN(YES_Reading_FLA[Self-Identified as African Descent]),FALSE)),
IF($J$2="Combined",
IFERROR(
IF(VLOOKUP($A203, YES_Reading_ELA[], COLUMN(YES_Reading_ELA[Self-Identified as African Descent]), FALSE)="", "",
VLOOKUP($A203,YES_Reading_ELA[],COLUMN(YES_Reading_ELA[Self-Identified as African Descent]),FALSE)),
IF(VLOOKUP($A203, YES_Reading_FLA[], COLUMN(YES_Reading_FLA[Self-Identified as African Descent]),FALSE)="", "", VLOOKUP($A203,YES_Reading_FLA[],COLUMN(YES_Reading_FLA[Self-Identified as African Descent]),FALSE))),""))),"")</f>
        <v/>
      </c>
      <c r="L203" s="73" t="str" cm="1">
        <f t="array" ref="L203">IFERROR(
IF($J$2="ELA",
IF(VLOOKUP($A203, YES_Reading_ELA[], COLUMN(YES_Reading_ELA[Self-Identified as Indigenous]), FALSE)="", "",
VLOOKUP($A203,YES_Reading_ELA[], COLUMN(YES_Reading_ELA[Self-Identified as Indigenous]), FALSE)),
IF($J$2="FLA",
IF(VLOOKUP($A203, YES_Reading_FLA[], COLUMN(YES_Reading_FLA[Self-Identified as Indigenous]),FALSE)="","",
VLOOKUP($A203,YES_Reading_FLA[],COLUMN(YES_Reading_FLA[Self-Identified as Indigenous]),FALSE)),
IF($J$2="Combined",
IFERROR(
IF(VLOOKUP($A203, YES_Reading_ELA[], COLUMN(YES_Reading_ELA[Self-Identified as Indigenous]), FALSE)="", "",
VLOOKUP($A203,YES_Reading_ELA[],COLUMN(YES_Reading_ELA[Self-Identified as Indigenous]),FALSE)),
IF(VLOOKUP($A203, YES_Reading_FLA[], COLUMN(YES_Reading_FLA[Self-Identified as Indigenous]),FALSE)="", "", VLOOKUP($A203,YES_Reading_FLA[],COLUMN(YES_Reading_FLA[Self-Identified as Indigenous]),FALSE))),""))),"")</f>
        <v/>
      </c>
    </row>
    <row r="204" spans="1:12" ht="19.5" customHeight="1" x14ac:dyDescent="0.25">
      <c r="A204" s="217"/>
      <c r="B204" s="220"/>
      <c r="C204" s="203"/>
      <c r="D204" s="204"/>
      <c r="E204" s="205"/>
      <c r="F204" s="205"/>
      <c r="G204" s="205"/>
      <c r="H204" s="206"/>
      <c r="I204" s="212"/>
      <c r="J204" s="206"/>
      <c r="K204" s="197" t="str" cm="1">
        <f t="array" ref="K204">IFERROR(
IF($J$2="ELA",
IF(VLOOKUP($A204, YES_Reading_ELA[], COLUMN(YES_Reading_ELA[Self-Identified as African Descent]), FALSE)="", "",
VLOOKUP($A204,YES_Reading_ELA[], COLUMN(YES_Reading_ELA[Self-Identified as African Descent]), FALSE)),
IF($J$2="FLA",
IF(VLOOKUP($A204, YES_Reading_FLA[], COLUMN(YES_Reading_FLA[Self-Identified as African Descent]),FALSE)="","",
VLOOKUP($A204,YES_Reading_FLA[],COLUMN(YES_Reading_FLA[Self-Identified as African Descent]),FALSE)),
IF($J$2="Combined",
IFERROR(
IF(VLOOKUP($A204, YES_Reading_ELA[], COLUMN(YES_Reading_ELA[Self-Identified as African Descent]), FALSE)="", "",
VLOOKUP($A204,YES_Reading_ELA[],COLUMN(YES_Reading_ELA[Self-Identified as African Descent]),FALSE)),
IF(VLOOKUP($A204, YES_Reading_FLA[], COLUMN(YES_Reading_FLA[Self-Identified as African Descent]),FALSE)="", "", VLOOKUP($A204,YES_Reading_FLA[],COLUMN(YES_Reading_FLA[Self-Identified as African Descent]),FALSE))),""))),"")</f>
        <v/>
      </c>
      <c r="L204" s="73" t="str" cm="1">
        <f t="array" ref="L204">IFERROR(
IF($J$2="ELA",
IF(VLOOKUP($A204, YES_Reading_ELA[], COLUMN(YES_Reading_ELA[Self-Identified as Indigenous]), FALSE)="", "",
VLOOKUP($A204,YES_Reading_ELA[], COLUMN(YES_Reading_ELA[Self-Identified as Indigenous]), FALSE)),
IF($J$2="FLA",
IF(VLOOKUP($A204, YES_Reading_FLA[], COLUMN(YES_Reading_FLA[Self-Identified as Indigenous]),FALSE)="","",
VLOOKUP($A204,YES_Reading_FLA[],COLUMN(YES_Reading_FLA[Self-Identified as Indigenous]),FALSE)),
IF($J$2="Combined",
IFERROR(
IF(VLOOKUP($A204, YES_Reading_ELA[], COLUMN(YES_Reading_ELA[Self-Identified as Indigenous]), FALSE)="", "",
VLOOKUP($A204,YES_Reading_ELA[],COLUMN(YES_Reading_ELA[Self-Identified as Indigenous]),FALSE)),
IF(VLOOKUP($A204, YES_Reading_FLA[], COLUMN(YES_Reading_FLA[Self-Identified as Indigenous]),FALSE)="", "", VLOOKUP($A204,YES_Reading_FLA[],COLUMN(YES_Reading_FLA[Self-Identified as Indigenous]),FALSE))),""))),"")</f>
        <v/>
      </c>
    </row>
    <row r="205" spans="1:12" ht="19.5" customHeight="1" x14ac:dyDescent="0.25">
      <c r="A205" s="217"/>
      <c r="B205" s="220"/>
      <c r="C205" s="203"/>
      <c r="D205" s="204"/>
      <c r="E205" s="205"/>
      <c r="F205" s="205"/>
      <c r="G205" s="205"/>
      <c r="H205" s="206"/>
      <c r="I205" s="212"/>
      <c r="J205" s="206"/>
      <c r="K205" s="197" t="str" cm="1">
        <f t="array" ref="K205">IFERROR(
IF($J$2="ELA",
IF(VLOOKUP($A205, YES_Reading_ELA[], COLUMN(YES_Reading_ELA[Self-Identified as African Descent]), FALSE)="", "",
VLOOKUP($A205,YES_Reading_ELA[], COLUMN(YES_Reading_ELA[Self-Identified as African Descent]), FALSE)),
IF($J$2="FLA",
IF(VLOOKUP($A205, YES_Reading_FLA[], COLUMN(YES_Reading_FLA[Self-Identified as African Descent]),FALSE)="","",
VLOOKUP($A205,YES_Reading_FLA[],COLUMN(YES_Reading_FLA[Self-Identified as African Descent]),FALSE)),
IF($J$2="Combined",
IFERROR(
IF(VLOOKUP($A205, YES_Reading_ELA[], COLUMN(YES_Reading_ELA[Self-Identified as African Descent]), FALSE)="", "",
VLOOKUP($A205,YES_Reading_ELA[],COLUMN(YES_Reading_ELA[Self-Identified as African Descent]),FALSE)),
IF(VLOOKUP($A205, YES_Reading_FLA[], COLUMN(YES_Reading_FLA[Self-Identified as African Descent]),FALSE)="", "", VLOOKUP($A205,YES_Reading_FLA[],COLUMN(YES_Reading_FLA[Self-Identified as African Descent]),FALSE))),""))),"")</f>
        <v/>
      </c>
      <c r="L205" s="73" t="str" cm="1">
        <f t="array" ref="L205">IFERROR(
IF($J$2="ELA",
IF(VLOOKUP($A205, YES_Reading_ELA[], COLUMN(YES_Reading_ELA[Self-Identified as Indigenous]), FALSE)="", "",
VLOOKUP($A205,YES_Reading_ELA[], COLUMN(YES_Reading_ELA[Self-Identified as Indigenous]), FALSE)),
IF($J$2="FLA",
IF(VLOOKUP($A205, YES_Reading_FLA[], COLUMN(YES_Reading_FLA[Self-Identified as Indigenous]),FALSE)="","",
VLOOKUP($A205,YES_Reading_FLA[],COLUMN(YES_Reading_FLA[Self-Identified as Indigenous]),FALSE)),
IF($J$2="Combined",
IFERROR(
IF(VLOOKUP($A205, YES_Reading_ELA[], COLUMN(YES_Reading_ELA[Self-Identified as Indigenous]), FALSE)="", "",
VLOOKUP($A205,YES_Reading_ELA[],COLUMN(YES_Reading_ELA[Self-Identified as Indigenous]),FALSE)),
IF(VLOOKUP($A205, YES_Reading_FLA[], COLUMN(YES_Reading_FLA[Self-Identified as Indigenous]),FALSE)="", "", VLOOKUP($A205,YES_Reading_FLA[],COLUMN(YES_Reading_FLA[Self-Identified as Indigenous]),FALSE))),""))),"")</f>
        <v/>
      </c>
    </row>
    <row r="206" spans="1:12" ht="19.5" customHeight="1" x14ac:dyDescent="0.25">
      <c r="A206" s="217"/>
      <c r="B206" s="220"/>
      <c r="C206" s="203"/>
      <c r="D206" s="204"/>
      <c r="E206" s="205"/>
      <c r="F206" s="205"/>
      <c r="G206" s="205"/>
      <c r="H206" s="206"/>
      <c r="I206" s="212"/>
      <c r="J206" s="206"/>
      <c r="K206" s="197" t="str" cm="1">
        <f t="array" ref="K206">IFERROR(
IF($J$2="ELA",
IF(VLOOKUP($A206, YES_Reading_ELA[], COLUMN(YES_Reading_ELA[Self-Identified as African Descent]), FALSE)="", "",
VLOOKUP($A206,YES_Reading_ELA[], COLUMN(YES_Reading_ELA[Self-Identified as African Descent]), FALSE)),
IF($J$2="FLA",
IF(VLOOKUP($A206, YES_Reading_FLA[], COLUMN(YES_Reading_FLA[Self-Identified as African Descent]),FALSE)="","",
VLOOKUP($A206,YES_Reading_FLA[],COLUMN(YES_Reading_FLA[Self-Identified as African Descent]),FALSE)),
IF($J$2="Combined",
IFERROR(
IF(VLOOKUP($A206, YES_Reading_ELA[], COLUMN(YES_Reading_ELA[Self-Identified as African Descent]), FALSE)="", "",
VLOOKUP($A206,YES_Reading_ELA[],COLUMN(YES_Reading_ELA[Self-Identified as African Descent]),FALSE)),
IF(VLOOKUP($A206, YES_Reading_FLA[], COLUMN(YES_Reading_FLA[Self-Identified as African Descent]),FALSE)="", "", VLOOKUP($A206,YES_Reading_FLA[],COLUMN(YES_Reading_FLA[Self-Identified as African Descent]),FALSE))),""))),"")</f>
        <v/>
      </c>
      <c r="L206" s="73" t="str" cm="1">
        <f t="array" ref="L206">IFERROR(
IF($J$2="ELA",
IF(VLOOKUP($A206, YES_Reading_ELA[], COLUMN(YES_Reading_ELA[Self-Identified as Indigenous]), FALSE)="", "",
VLOOKUP($A206,YES_Reading_ELA[], COLUMN(YES_Reading_ELA[Self-Identified as Indigenous]), FALSE)),
IF($J$2="FLA",
IF(VLOOKUP($A206, YES_Reading_FLA[], COLUMN(YES_Reading_FLA[Self-Identified as Indigenous]),FALSE)="","",
VLOOKUP($A206,YES_Reading_FLA[],COLUMN(YES_Reading_FLA[Self-Identified as Indigenous]),FALSE)),
IF($J$2="Combined",
IFERROR(
IF(VLOOKUP($A206, YES_Reading_ELA[], COLUMN(YES_Reading_ELA[Self-Identified as Indigenous]), FALSE)="", "",
VLOOKUP($A206,YES_Reading_ELA[],COLUMN(YES_Reading_ELA[Self-Identified as Indigenous]),FALSE)),
IF(VLOOKUP($A206, YES_Reading_FLA[], COLUMN(YES_Reading_FLA[Self-Identified as Indigenous]),FALSE)="", "", VLOOKUP($A206,YES_Reading_FLA[],COLUMN(YES_Reading_FLA[Self-Identified as Indigenous]),FALSE))),""))),"")</f>
        <v/>
      </c>
    </row>
    <row r="207" spans="1:12" ht="19.5" customHeight="1" x14ac:dyDescent="0.25">
      <c r="A207" s="217"/>
      <c r="B207" s="220"/>
      <c r="C207" s="203"/>
      <c r="D207" s="204"/>
      <c r="E207" s="205"/>
      <c r="F207" s="205"/>
      <c r="G207" s="205"/>
      <c r="H207" s="206"/>
      <c r="I207" s="212"/>
      <c r="J207" s="206"/>
      <c r="K207" s="197" t="str" cm="1">
        <f t="array" ref="K207">IFERROR(
IF($J$2="ELA",
IF(VLOOKUP($A207, YES_Reading_ELA[], COLUMN(YES_Reading_ELA[Self-Identified as African Descent]), FALSE)="", "",
VLOOKUP($A207,YES_Reading_ELA[], COLUMN(YES_Reading_ELA[Self-Identified as African Descent]), FALSE)),
IF($J$2="FLA",
IF(VLOOKUP($A207, YES_Reading_FLA[], COLUMN(YES_Reading_FLA[Self-Identified as African Descent]),FALSE)="","",
VLOOKUP($A207,YES_Reading_FLA[],COLUMN(YES_Reading_FLA[Self-Identified as African Descent]),FALSE)),
IF($J$2="Combined",
IFERROR(
IF(VLOOKUP($A207, YES_Reading_ELA[], COLUMN(YES_Reading_ELA[Self-Identified as African Descent]), FALSE)="", "",
VLOOKUP($A207,YES_Reading_ELA[],COLUMN(YES_Reading_ELA[Self-Identified as African Descent]),FALSE)),
IF(VLOOKUP($A207, YES_Reading_FLA[], COLUMN(YES_Reading_FLA[Self-Identified as African Descent]),FALSE)="", "", VLOOKUP($A207,YES_Reading_FLA[],COLUMN(YES_Reading_FLA[Self-Identified as African Descent]),FALSE))),""))),"")</f>
        <v/>
      </c>
      <c r="L207" s="73" t="str" cm="1">
        <f t="array" ref="L207">IFERROR(
IF($J$2="ELA",
IF(VLOOKUP($A207, YES_Reading_ELA[], COLUMN(YES_Reading_ELA[Self-Identified as Indigenous]), FALSE)="", "",
VLOOKUP($A207,YES_Reading_ELA[], COLUMN(YES_Reading_ELA[Self-Identified as Indigenous]), FALSE)),
IF($J$2="FLA",
IF(VLOOKUP($A207, YES_Reading_FLA[], COLUMN(YES_Reading_FLA[Self-Identified as Indigenous]),FALSE)="","",
VLOOKUP($A207,YES_Reading_FLA[],COLUMN(YES_Reading_FLA[Self-Identified as Indigenous]),FALSE)),
IF($J$2="Combined",
IFERROR(
IF(VLOOKUP($A207, YES_Reading_ELA[], COLUMN(YES_Reading_ELA[Self-Identified as Indigenous]), FALSE)="", "",
VLOOKUP($A207,YES_Reading_ELA[],COLUMN(YES_Reading_ELA[Self-Identified as Indigenous]),FALSE)),
IF(VLOOKUP($A207, YES_Reading_FLA[], COLUMN(YES_Reading_FLA[Self-Identified as Indigenous]),FALSE)="", "", VLOOKUP($A207,YES_Reading_FLA[],COLUMN(YES_Reading_FLA[Self-Identified as Indigenous]),FALSE))),""))),"")</f>
        <v/>
      </c>
    </row>
    <row r="208" spans="1:12" ht="19.5" customHeight="1" x14ac:dyDescent="0.25">
      <c r="A208" s="217"/>
      <c r="B208" s="220"/>
      <c r="C208" s="203"/>
      <c r="D208" s="204"/>
      <c r="E208" s="205"/>
      <c r="F208" s="205"/>
      <c r="G208" s="205"/>
      <c r="H208" s="206"/>
      <c r="I208" s="212"/>
      <c r="J208" s="206"/>
      <c r="K208" s="197" t="str" cm="1">
        <f t="array" ref="K208">IFERROR(
IF($J$2="ELA",
IF(VLOOKUP($A208, YES_Reading_ELA[], COLUMN(YES_Reading_ELA[Self-Identified as African Descent]), FALSE)="", "",
VLOOKUP($A208,YES_Reading_ELA[], COLUMN(YES_Reading_ELA[Self-Identified as African Descent]), FALSE)),
IF($J$2="FLA",
IF(VLOOKUP($A208, YES_Reading_FLA[], COLUMN(YES_Reading_FLA[Self-Identified as African Descent]),FALSE)="","",
VLOOKUP($A208,YES_Reading_FLA[],COLUMN(YES_Reading_FLA[Self-Identified as African Descent]),FALSE)),
IF($J$2="Combined",
IFERROR(
IF(VLOOKUP($A208, YES_Reading_ELA[], COLUMN(YES_Reading_ELA[Self-Identified as African Descent]), FALSE)="", "",
VLOOKUP($A208,YES_Reading_ELA[],COLUMN(YES_Reading_ELA[Self-Identified as African Descent]),FALSE)),
IF(VLOOKUP($A208, YES_Reading_FLA[], COLUMN(YES_Reading_FLA[Self-Identified as African Descent]),FALSE)="", "", VLOOKUP($A208,YES_Reading_FLA[],COLUMN(YES_Reading_FLA[Self-Identified as African Descent]),FALSE))),""))),"")</f>
        <v/>
      </c>
      <c r="L208" s="73" t="str" cm="1">
        <f t="array" ref="L208">IFERROR(
IF($J$2="ELA",
IF(VLOOKUP($A208, YES_Reading_ELA[], COLUMN(YES_Reading_ELA[Self-Identified as Indigenous]), FALSE)="", "",
VLOOKUP($A208,YES_Reading_ELA[], COLUMN(YES_Reading_ELA[Self-Identified as Indigenous]), FALSE)),
IF($J$2="FLA",
IF(VLOOKUP($A208, YES_Reading_FLA[], COLUMN(YES_Reading_FLA[Self-Identified as Indigenous]),FALSE)="","",
VLOOKUP($A208,YES_Reading_FLA[],COLUMN(YES_Reading_FLA[Self-Identified as Indigenous]),FALSE)),
IF($J$2="Combined",
IFERROR(
IF(VLOOKUP($A208, YES_Reading_ELA[], COLUMN(YES_Reading_ELA[Self-Identified as Indigenous]), FALSE)="", "",
VLOOKUP($A208,YES_Reading_ELA[],COLUMN(YES_Reading_ELA[Self-Identified as Indigenous]),FALSE)),
IF(VLOOKUP($A208, YES_Reading_FLA[], COLUMN(YES_Reading_FLA[Self-Identified as Indigenous]),FALSE)="", "", VLOOKUP($A208,YES_Reading_FLA[],COLUMN(YES_Reading_FLA[Self-Identified as Indigenous]),FALSE))),""))),"")</f>
        <v/>
      </c>
    </row>
    <row r="209" spans="1:12" ht="19.5" customHeight="1" x14ac:dyDescent="0.25">
      <c r="A209" s="217"/>
      <c r="B209" s="220"/>
      <c r="C209" s="203"/>
      <c r="D209" s="204"/>
      <c r="E209" s="205"/>
      <c r="F209" s="205"/>
      <c r="G209" s="205"/>
      <c r="H209" s="206"/>
      <c r="I209" s="212"/>
      <c r="J209" s="206"/>
      <c r="K209" s="197" t="str" cm="1">
        <f t="array" ref="K209">IFERROR(
IF($J$2="ELA",
IF(VLOOKUP($A209, YES_Reading_ELA[], COLUMN(YES_Reading_ELA[Self-Identified as African Descent]), FALSE)="", "",
VLOOKUP($A209,YES_Reading_ELA[], COLUMN(YES_Reading_ELA[Self-Identified as African Descent]), FALSE)),
IF($J$2="FLA",
IF(VLOOKUP($A209, YES_Reading_FLA[], COLUMN(YES_Reading_FLA[Self-Identified as African Descent]),FALSE)="","",
VLOOKUP($A209,YES_Reading_FLA[],COLUMN(YES_Reading_FLA[Self-Identified as African Descent]),FALSE)),
IF($J$2="Combined",
IFERROR(
IF(VLOOKUP($A209, YES_Reading_ELA[], COLUMN(YES_Reading_ELA[Self-Identified as African Descent]), FALSE)="", "",
VLOOKUP($A209,YES_Reading_ELA[],COLUMN(YES_Reading_ELA[Self-Identified as African Descent]),FALSE)),
IF(VLOOKUP($A209, YES_Reading_FLA[], COLUMN(YES_Reading_FLA[Self-Identified as African Descent]),FALSE)="", "", VLOOKUP($A209,YES_Reading_FLA[],COLUMN(YES_Reading_FLA[Self-Identified as African Descent]),FALSE))),""))),"")</f>
        <v/>
      </c>
      <c r="L209" s="73" t="str" cm="1">
        <f t="array" ref="L209">IFERROR(
IF($J$2="ELA",
IF(VLOOKUP($A209, YES_Reading_ELA[], COLUMN(YES_Reading_ELA[Self-Identified as Indigenous]), FALSE)="", "",
VLOOKUP($A209,YES_Reading_ELA[], COLUMN(YES_Reading_ELA[Self-Identified as Indigenous]), FALSE)),
IF($J$2="FLA",
IF(VLOOKUP($A209, YES_Reading_FLA[], COLUMN(YES_Reading_FLA[Self-Identified as Indigenous]),FALSE)="","",
VLOOKUP($A209,YES_Reading_FLA[],COLUMN(YES_Reading_FLA[Self-Identified as Indigenous]),FALSE)),
IF($J$2="Combined",
IFERROR(
IF(VLOOKUP($A209, YES_Reading_ELA[], COLUMN(YES_Reading_ELA[Self-Identified as Indigenous]), FALSE)="", "",
VLOOKUP($A209,YES_Reading_ELA[],COLUMN(YES_Reading_ELA[Self-Identified as Indigenous]),FALSE)),
IF(VLOOKUP($A209, YES_Reading_FLA[], COLUMN(YES_Reading_FLA[Self-Identified as Indigenous]),FALSE)="", "", VLOOKUP($A209,YES_Reading_FLA[],COLUMN(YES_Reading_FLA[Self-Identified as Indigenous]),FALSE))),""))),"")</f>
        <v/>
      </c>
    </row>
    <row r="210" spans="1:12" ht="19.5" customHeight="1" x14ac:dyDescent="0.25">
      <c r="A210" s="217"/>
      <c r="B210" s="220"/>
      <c r="C210" s="203"/>
      <c r="D210" s="204"/>
      <c r="E210" s="205"/>
      <c r="F210" s="205"/>
      <c r="G210" s="205"/>
      <c r="H210" s="206"/>
      <c r="I210" s="212"/>
      <c r="J210" s="206"/>
      <c r="K210" s="197" t="str" cm="1">
        <f t="array" ref="K210">IFERROR(
IF($J$2="ELA",
IF(VLOOKUP($A210, YES_Reading_ELA[], COLUMN(YES_Reading_ELA[Self-Identified as African Descent]), FALSE)="", "",
VLOOKUP($A210,YES_Reading_ELA[], COLUMN(YES_Reading_ELA[Self-Identified as African Descent]), FALSE)),
IF($J$2="FLA",
IF(VLOOKUP($A210, YES_Reading_FLA[], COLUMN(YES_Reading_FLA[Self-Identified as African Descent]),FALSE)="","",
VLOOKUP($A210,YES_Reading_FLA[],COLUMN(YES_Reading_FLA[Self-Identified as African Descent]),FALSE)),
IF($J$2="Combined",
IFERROR(
IF(VLOOKUP($A210, YES_Reading_ELA[], COLUMN(YES_Reading_ELA[Self-Identified as African Descent]), FALSE)="", "",
VLOOKUP($A210,YES_Reading_ELA[],COLUMN(YES_Reading_ELA[Self-Identified as African Descent]),FALSE)),
IF(VLOOKUP($A210, YES_Reading_FLA[], COLUMN(YES_Reading_FLA[Self-Identified as African Descent]),FALSE)="", "", VLOOKUP($A210,YES_Reading_FLA[],COLUMN(YES_Reading_FLA[Self-Identified as African Descent]),FALSE))),""))),"")</f>
        <v/>
      </c>
      <c r="L210" s="73" t="str" cm="1">
        <f t="array" ref="L210">IFERROR(
IF($J$2="ELA",
IF(VLOOKUP($A210, YES_Reading_ELA[], COLUMN(YES_Reading_ELA[Self-Identified as Indigenous]), FALSE)="", "",
VLOOKUP($A210,YES_Reading_ELA[], COLUMN(YES_Reading_ELA[Self-Identified as Indigenous]), FALSE)),
IF($J$2="FLA",
IF(VLOOKUP($A210, YES_Reading_FLA[], COLUMN(YES_Reading_FLA[Self-Identified as Indigenous]),FALSE)="","",
VLOOKUP($A210,YES_Reading_FLA[],COLUMN(YES_Reading_FLA[Self-Identified as Indigenous]),FALSE)),
IF($J$2="Combined",
IFERROR(
IF(VLOOKUP($A210, YES_Reading_ELA[], COLUMN(YES_Reading_ELA[Self-Identified as Indigenous]), FALSE)="", "",
VLOOKUP($A210,YES_Reading_ELA[],COLUMN(YES_Reading_ELA[Self-Identified as Indigenous]),FALSE)),
IF(VLOOKUP($A210, YES_Reading_FLA[], COLUMN(YES_Reading_FLA[Self-Identified as Indigenous]),FALSE)="", "", VLOOKUP($A210,YES_Reading_FLA[],COLUMN(YES_Reading_FLA[Self-Identified as Indigenous]),FALSE))),""))),"")</f>
        <v/>
      </c>
    </row>
    <row r="211" spans="1:12" ht="19.5" customHeight="1" x14ac:dyDescent="0.25">
      <c r="A211" s="217"/>
      <c r="B211" s="220"/>
      <c r="C211" s="203"/>
      <c r="D211" s="204"/>
      <c r="E211" s="205"/>
      <c r="F211" s="205"/>
      <c r="G211" s="205"/>
      <c r="H211" s="206"/>
      <c r="I211" s="212"/>
      <c r="J211" s="206"/>
      <c r="K211" s="197" t="str" cm="1">
        <f t="array" ref="K211">IFERROR(
IF($J$2="ELA",
IF(VLOOKUP($A211, YES_Reading_ELA[], COLUMN(YES_Reading_ELA[Self-Identified as African Descent]), FALSE)="", "",
VLOOKUP($A211,YES_Reading_ELA[], COLUMN(YES_Reading_ELA[Self-Identified as African Descent]), FALSE)),
IF($J$2="FLA",
IF(VLOOKUP($A211, YES_Reading_FLA[], COLUMN(YES_Reading_FLA[Self-Identified as African Descent]),FALSE)="","",
VLOOKUP($A211,YES_Reading_FLA[],COLUMN(YES_Reading_FLA[Self-Identified as African Descent]),FALSE)),
IF($J$2="Combined",
IFERROR(
IF(VLOOKUP($A211, YES_Reading_ELA[], COLUMN(YES_Reading_ELA[Self-Identified as African Descent]), FALSE)="", "",
VLOOKUP($A211,YES_Reading_ELA[],COLUMN(YES_Reading_ELA[Self-Identified as African Descent]),FALSE)),
IF(VLOOKUP($A211, YES_Reading_FLA[], COLUMN(YES_Reading_FLA[Self-Identified as African Descent]),FALSE)="", "", VLOOKUP($A211,YES_Reading_FLA[],COLUMN(YES_Reading_FLA[Self-Identified as African Descent]),FALSE))),""))),"")</f>
        <v/>
      </c>
      <c r="L211" s="73" t="str" cm="1">
        <f t="array" ref="L211">IFERROR(
IF($J$2="ELA",
IF(VLOOKUP($A211, YES_Reading_ELA[], COLUMN(YES_Reading_ELA[Self-Identified as Indigenous]), FALSE)="", "",
VLOOKUP($A211,YES_Reading_ELA[], COLUMN(YES_Reading_ELA[Self-Identified as Indigenous]), FALSE)),
IF($J$2="FLA",
IF(VLOOKUP($A211, YES_Reading_FLA[], COLUMN(YES_Reading_FLA[Self-Identified as Indigenous]),FALSE)="","",
VLOOKUP($A211,YES_Reading_FLA[],COLUMN(YES_Reading_FLA[Self-Identified as Indigenous]),FALSE)),
IF($J$2="Combined",
IFERROR(
IF(VLOOKUP($A211, YES_Reading_ELA[], COLUMN(YES_Reading_ELA[Self-Identified as Indigenous]), FALSE)="", "",
VLOOKUP($A211,YES_Reading_ELA[],COLUMN(YES_Reading_ELA[Self-Identified as Indigenous]),FALSE)),
IF(VLOOKUP($A211, YES_Reading_FLA[], COLUMN(YES_Reading_FLA[Self-Identified as Indigenous]),FALSE)="", "", VLOOKUP($A211,YES_Reading_FLA[],COLUMN(YES_Reading_FLA[Self-Identified as Indigenous]),FALSE))),""))),"")</f>
        <v/>
      </c>
    </row>
    <row r="212" spans="1:12" ht="19.5" customHeight="1" x14ac:dyDescent="0.25">
      <c r="A212" s="217"/>
      <c r="B212" s="220"/>
      <c r="C212" s="203"/>
      <c r="D212" s="204"/>
      <c r="E212" s="205"/>
      <c r="F212" s="205"/>
      <c r="G212" s="205"/>
      <c r="H212" s="206"/>
      <c r="I212" s="212"/>
      <c r="J212" s="206"/>
      <c r="K212" s="197" t="str" cm="1">
        <f t="array" ref="K212">IFERROR(
IF($J$2="ELA",
IF(VLOOKUP($A212, YES_Reading_ELA[], COLUMN(YES_Reading_ELA[Self-Identified as African Descent]), FALSE)="", "",
VLOOKUP($A212,YES_Reading_ELA[], COLUMN(YES_Reading_ELA[Self-Identified as African Descent]), FALSE)),
IF($J$2="FLA",
IF(VLOOKUP($A212, YES_Reading_FLA[], COLUMN(YES_Reading_FLA[Self-Identified as African Descent]),FALSE)="","",
VLOOKUP($A212,YES_Reading_FLA[],COLUMN(YES_Reading_FLA[Self-Identified as African Descent]),FALSE)),
IF($J$2="Combined",
IFERROR(
IF(VLOOKUP($A212, YES_Reading_ELA[], COLUMN(YES_Reading_ELA[Self-Identified as African Descent]), FALSE)="", "",
VLOOKUP($A212,YES_Reading_ELA[],COLUMN(YES_Reading_ELA[Self-Identified as African Descent]),FALSE)),
IF(VLOOKUP($A212, YES_Reading_FLA[], COLUMN(YES_Reading_FLA[Self-Identified as African Descent]),FALSE)="", "", VLOOKUP($A212,YES_Reading_FLA[],COLUMN(YES_Reading_FLA[Self-Identified as African Descent]),FALSE))),""))),"")</f>
        <v/>
      </c>
      <c r="L212" s="73" t="str" cm="1">
        <f t="array" ref="L212">IFERROR(
IF($J$2="ELA",
IF(VLOOKUP($A212, YES_Reading_ELA[], COLUMN(YES_Reading_ELA[Self-Identified as Indigenous]), FALSE)="", "",
VLOOKUP($A212,YES_Reading_ELA[], COLUMN(YES_Reading_ELA[Self-Identified as Indigenous]), FALSE)),
IF($J$2="FLA",
IF(VLOOKUP($A212, YES_Reading_FLA[], COLUMN(YES_Reading_FLA[Self-Identified as Indigenous]),FALSE)="","",
VLOOKUP($A212,YES_Reading_FLA[],COLUMN(YES_Reading_FLA[Self-Identified as Indigenous]),FALSE)),
IF($J$2="Combined",
IFERROR(
IF(VLOOKUP($A212, YES_Reading_ELA[], COLUMN(YES_Reading_ELA[Self-Identified as Indigenous]), FALSE)="", "",
VLOOKUP($A212,YES_Reading_ELA[],COLUMN(YES_Reading_ELA[Self-Identified as Indigenous]),FALSE)),
IF(VLOOKUP($A212, YES_Reading_FLA[], COLUMN(YES_Reading_FLA[Self-Identified as Indigenous]),FALSE)="", "", VLOOKUP($A212,YES_Reading_FLA[],COLUMN(YES_Reading_FLA[Self-Identified as Indigenous]),FALSE))),""))),"")</f>
        <v/>
      </c>
    </row>
    <row r="213" spans="1:12" ht="19.5" customHeight="1" x14ac:dyDescent="0.25">
      <c r="A213" s="217"/>
      <c r="B213" s="220"/>
      <c r="C213" s="203"/>
      <c r="D213" s="204"/>
      <c r="E213" s="205"/>
      <c r="F213" s="205"/>
      <c r="G213" s="205"/>
      <c r="H213" s="206"/>
      <c r="I213" s="212"/>
      <c r="J213" s="206"/>
      <c r="K213" s="197" t="str" cm="1">
        <f t="array" ref="K213">IFERROR(
IF($J$2="ELA",
IF(VLOOKUP($A213, YES_Reading_ELA[], COLUMN(YES_Reading_ELA[Self-Identified as African Descent]), FALSE)="", "",
VLOOKUP($A213,YES_Reading_ELA[], COLUMN(YES_Reading_ELA[Self-Identified as African Descent]), FALSE)),
IF($J$2="FLA",
IF(VLOOKUP($A213, YES_Reading_FLA[], COLUMN(YES_Reading_FLA[Self-Identified as African Descent]),FALSE)="","",
VLOOKUP($A213,YES_Reading_FLA[],COLUMN(YES_Reading_FLA[Self-Identified as African Descent]),FALSE)),
IF($J$2="Combined",
IFERROR(
IF(VLOOKUP($A213, YES_Reading_ELA[], COLUMN(YES_Reading_ELA[Self-Identified as African Descent]), FALSE)="", "",
VLOOKUP($A213,YES_Reading_ELA[],COLUMN(YES_Reading_ELA[Self-Identified as African Descent]),FALSE)),
IF(VLOOKUP($A213, YES_Reading_FLA[], COLUMN(YES_Reading_FLA[Self-Identified as African Descent]),FALSE)="", "", VLOOKUP($A213,YES_Reading_FLA[],COLUMN(YES_Reading_FLA[Self-Identified as African Descent]),FALSE))),""))),"")</f>
        <v/>
      </c>
      <c r="L213" s="73" t="str" cm="1">
        <f t="array" ref="L213">IFERROR(
IF($J$2="ELA",
IF(VLOOKUP($A213, YES_Reading_ELA[], COLUMN(YES_Reading_ELA[Self-Identified as Indigenous]), FALSE)="", "",
VLOOKUP($A213,YES_Reading_ELA[], COLUMN(YES_Reading_ELA[Self-Identified as Indigenous]), FALSE)),
IF($J$2="FLA",
IF(VLOOKUP($A213, YES_Reading_FLA[], COLUMN(YES_Reading_FLA[Self-Identified as Indigenous]),FALSE)="","",
VLOOKUP($A213,YES_Reading_FLA[],COLUMN(YES_Reading_FLA[Self-Identified as Indigenous]),FALSE)),
IF($J$2="Combined",
IFERROR(
IF(VLOOKUP($A213, YES_Reading_ELA[], COLUMN(YES_Reading_ELA[Self-Identified as Indigenous]), FALSE)="", "",
VLOOKUP($A213,YES_Reading_ELA[],COLUMN(YES_Reading_ELA[Self-Identified as Indigenous]),FALSE)),
IF(VLOOKUP($A213, YES_Reading_FLA[], COLUMN(YES_Reading_FLA[Self-Identified as Indigenous]),FALSE)="", "", VLOOKUP($A213,YES_Reading_FLA[],COLUMN(YES_Reading_FLA[Self-Identified as Indigenous]),FALSE))),""))),"")</f>
        <v/>
      </c>
    </row>
    <row r="214" spans="1:12" ht="19.5" customHeight="1" x14ac:dyDescent="0.25">
      <c r="A214" s="217"/>
      <c r="B214" s="220"/>
      <c r="C214" s="203"/>
      <c r="D214" s="204"/>
      <c r="E214" s="205"/>
      <c r="F214" s="205"/>
      <c r="G214" s="205"/>
      <c r="H214" s="206"/>
      <c r="I214" s="212"/>
      <c r="J214" s="206"/>
      <c r="K214" s="197" t="str" cm="1">
        <f t="array" ref="K214">IFERROR(
IF($J$2="ELA",
IF(VLOOKUP($A214, YES_Reading_ELA[], COLUMN(YES_Reading_ELA[Self-Identified as African Descent]), FALSE)="", "",
VLOOKUP($A214,YES_Reading_ELA[], COLUMN(YES_Reading_ELA[Self-Identified as African Descent]), FALSE)),
IF($J$2="FLA",
IF(VLOOKUP($A214, YES_Reading_FLA[], COLUMN(YES_Reading_FLA[Self-Identified as African Descent]),FALSE)="","",
VLOOKUP($A214,YES_Reading_FLA[],COLUMN(YES_Reading_FLA[Self-Identified as African Descent]),FALSE)),
IF($J$2="Combined",
IFERROR(
IF(VLOOKUP($A214, YES_Reading_ELA[], COLUMN(YES_Reading_ELA[Self-Identified as African Descent]), FALSE)="", "",
VLOOKUP($A214,YES_Reading_ELA[],COLUMN(YES_Reading_ELA[Self-Identified as African Descent]),FALSE)),
IF(VLOOKUP($A214, YES_Reading_FLA[], COLUMN(YES_Reading_FLA[Self-Identified as African Descent]),FALSE)="", "", VLOOKUP($A214,YES_Reading_FLA[],COLUMN(YES_Reading_FLA[Self-Identified as African Descent]),FALSE))),""))),"")</f>
        <v/>
      </c>
      <c r="L214" s="73" t="str" cm="1">
        <f t="array" ref="L214">IFERROR(
IF($J$2="ELA",
IF(VLOOKUP($A214, YES_Reading_ELA[], COLUMN(YES_Reading_ELA[Self-Identified as Indigenous]), FALSE)="", "",
VLOOKUP($A214,YES_Reading_ELA[], COLUMN(YES_Reading_ELA[Self-Identified as Indigenous]), FALSE)),
IF($J$2="FLA",
IF(VLOOKUP($A214, YES_Reading_FLA[], COLUMN(YES_Reading_FLA[Self-Identified as Indigenous]),FALSE)="","",
VLOOKUP($A214,YES_Reading_FLA[],COLUMN(YES_Reading_FLA[Self-Identified as Indigenous]),FALSE)),
IF($J$2="Combined",
IFERROR(
IF(VLOOKUP($A214, YES_Reading_ELA[], COLUMN(YES_Reading_ELA[Self-Identified as Indigenous]), FALSE)="", "",
VLOOKUP($A214,YES_Reading_ELA[],COLUMN(YES_Reading_ELA[Self-Identified as Indigenous]),FALSE)),
IF(VLOOKUP($A214, YES_Reading_FLA[], COLUMN(YES_Reading_FLA[Self-Identified as Indigenous]),FALSE)="", "", VLOOKUP($A214,YES_Reading_FLA[],COLUMN(YES_Reading_FLA[Self-Identified as Indigenous]),FALSE))),""))),"")</f>
        <v/>
      </c>
    </row>
    <row r="215" spans="1:12" ht="19.5" customHeight="1" x14ac:dyDescent="0.25">
      <c r="A215" s="217"/>
      <c r="B215" s="220"/>
      <c r="C215" s="203"/>
      <c r="D215" s="204"/>
      <c r="E215" s="205"/>
      <c r="F215" s="205"/>
      <c r="G215" s="205"/>
      <c r="H215" s="206"/>
      <c r="I215" s="212"/>
      <c r="J215" s="206"/>
      <c r="K215" s="197" t="str" cm="1">
        <f t="array" ref="K215">IFERROR(
IF($J$2="ELA",
IF(VLOOKUP($A215, YES_Reading_ELA[], COLUMN(YES_Reading_ELA[Self-Identified as African Descent]), FALSE)="", "",
VLOOKUP($A215,YES_Reading_ELA[], COLUMN(YES_Reading_ELA[Self-Identified as African Descent]), FALSE)),
IF($J$2="FLA",
IF(VLOOKUP($A215, YES_Reading_FLA[], COLUMN(YES_Reading_FLA[Self-Identified as African Descent]),FALSE)="","",
VLOOKUP($A215,YES_Reading_FLA[],COLUMN(YES_Reading_FLA[Self-Identified as African Descent]),FALSE)),
IF($J$2="Combined",
IFERROR(
IF(VLOOKUP($A215, YES_Reading_ELA[], COLUMN(YES_Reading_ELA[Self-Identified as African Descent]), FALSE)="", "",
VLOOKUP($A215,YES_Reading_ELA[],COLUMN(YES_Reading_ELA[Self-Identified as African Descent]),FALSE)),
IF(VLOOKUP($A215, YES_Reading_FLA[], COLUMN(YES_Reading_FLA[Self-Identified as African Descent]),FALSE)="", "", VLOOKUP($A215,YES_Reading_FLA[],COLUMN(YES_Reading_FLA[Self-Identified as African Descent]),FALSE))),""))),"")</f>
        <v/>
      </c>
      <c r="L215" s="73" t="str" cm="1">
        <f t="array" ref="L215">IFERROR(
IF($J$2="ELA",
IF(VLOOKUP($A215, YES_Reading_ELA[], COLUMN(YES_Reading_ELA[Self-Identified as Indigenous]), FALSE)="", "",
VLOOKUP($A215,YES_Reading_ELA[], COLUMN(YES_Reading_ELA[Self-Identified as Indigenous]), FALSE)),
IF($J$2="FLA",
IF(VLOOKUP($A215, YES_Reading_FLA[], COLUMN(YES_Reading_FLA[Self-Identified as Indigenous]),FALSE)="","",
VLOOKUP($A215,YES_Reading_FLA[],COLUMN(YES_Reading_FLA[Self-Identified as Indigenous]),FALSE)),
IF($J$2="Combined",
IFERROR(
IF(VLOOKUP($A215, YES_Reading_ELA[], COLUMN(YES_Reading_ELA[Self-Identified as Indigenous]), FALSE)="", "",
VLOOKUP($A215,YES_Reading_ELA[],COLUMN(YES_Reading_ELA[Self-Identified as Indigenous]),FALSE)),
IF(VLOOKUP($A215, YES_Reading_FLA[], COLUMN(YES_Reading_FLA[Self-Identified as Indigenous]),FALSE)="", "", VLOOKUP($A215,YES_Reading_FLA[],COLUMN(YES_Reading_FLA[Self-Identified as Indigenous]),FALSE))),""))),"")</f>
        <v/>
      </c>
    </row>
    <row r="216" spans="1:12" ht="19.5" customHeight="1" x14ac:dyDescent="0.25">
      <c r="A216" s="217"/>
      <c r="B216" s="220"/>
      <c r="C216" s="203"/>
      <c r="D216" s="204"/>
      <c r="E216" s="205"/>
      <c r="F216" s="205"/>
      <c r="G216" s="205"/>
      <c r="H216" s="206"/>
      <c r="I216" s="212"/>
      <c r="J216" s="206"/>
      <c r="K216" s="197" t="str" cm="1">
        <f t="array" ref="K216">IFERROR(
IF($J$2="ELA",
IF(VLOOKUP($A216, YES_Reading_ELA[], COLUMN(YES_Reading_ELA[Self-Identified as African Descent]), FALSE)="", "",
VLOOKUP($A216,YES_Reading_ELA[], COLUMN(YES_Reading_ELA[Self-Identified as African Descent]), FALSE)),
IF($J$2="FLA",
IF(VLOOKUP($A216, YES_Reading_FLA[], COLUMN(YES_Reading_FLA[Self-Identified as African Descent]),FALSE)="","",
VLOOKUP($A216,YES_Reading_FLA[],COLUMN(YES_Reading_FLA[Self-Identified as African Descent]),FALSE)),
IF($J$2="Combined",
IFERROR(
IF(VLOOKUP($A216, YES_Reading_ELA[], COLUMN(YES_Reading_ELA[Self-Identified as African Descent]), FALSE)="", "",
VLOOKUP($A216,YES_Reading_ELA[],COLUMN(YES_Reading_ELA[Self-Identified as African Descent]),FALSE)),
IF(VLOOKUP($A216, YES_Reading_FLA[], COLUMN(YES_Reading_FLA[Self-Identified as African Descent]),FALSE)="", "", VLOOKUP($A216,YES_Reading_FLA[],COLUMN(YES_Reading_FLA[Self-Identified as African Descent]),FALSE))),""))),"")</f>
        <v/>
      </c>
      <c r="L216" s="73" t="str" cm="1">
        <f t="array" ref="L216">IFERROR(
IF($J$2="ELA",
IF(VLOOKUP($A216, YES_Reading_ELA[], COLUMN(YES_Reading_ELA[Self-Identified as Indigenous]), FALSE)="", "",
VLOOKUP($A216,YES_Reading_ELA[], COLUMN(YES_Reading_ELA[Self-Identified as Indigenous]), FALSE)),
IF($J$2="FLA",
IF(VLOOKUP($A216, YES_Reading_FLA[], COLUMN(YES_Reading_FLA[Self-Identified as Indigenous]),FALSE)="","",
VLOOKUP($A216,YES_Reading_FLA[],COLUMN(YES_Reading_FLA[Self-Identified as Indigenous]),FALSE)),
IF($J$2="Combined",
IFERROR(
IF(VLOOKUP($A216, YES_Reading_ELA[], COLUMN(YES_Reading_ELA[Self-Identified as Indigenous]), FALSE)="", "",
VLOOKUP($A216,YES_Reading_ELA[],COLUMN(YES_Reading_ELA[Self-Identified as Indigenous]),FALSE)),
IF(VLOOKUP($A216, YES_Reading_FLA[], COLUMN(YES_Reading_FLA[Self-Identified as Indigenous]),FALSE)="", "", VLOOKUP($A216,YES_Reading_FLA[],COLUMN(YES_Reading_FLA[Self-Identified as Indigenous]),FALSE))),""))),"")</f>
        <v/>
      </c>
    </row>
    <row r="217" spans="1:12" ht="19.5" customHeight="1" x14ac:dyDescent="0.25">
      <c r="A217" s="217"/>
      <c r="B217" s="220"/>
      <c r="C217" s="203"/>
      <c r="D217" s="204"/>
      <c r="E217" s="205"/>
      <c r="F217" s="205"/>
      <c r="G217" s="205"/>
      <c r="H217" s="206"/>
      <c r="I217" s="212"/>
      <c r="J217" s="206"/>
      <c r="K217" s="197" t="str" cm="1">
        <f t="array" ref="K217">IFERROR(
IF($J$2="ELA",
IF(VLOOKUP($A217, YES_Reading_ELA[], COLUMN(YES_Reading_ELA[Self-Identified as African Descent]), FALSE)="", "",
VLOOKUP($A217,YES_Reading_ELA[], COLUMN(YES_Reading_ELA[Self-Identified as African Descent]), FALSE)),
IF($J$2="FLA",
IF(VLOOKUP($A217, YES_Reading_FLA[], COLUMN(YES_Reading_FLA[Self-Identified as African Descent]),FALSE)="","",
VLOOKUP($A217,YES_Reading_FLA[],COLUMN(YES_Reading_FLA[Self-Identified as African Descent]),FALSE)),
IF($J$2="Combined",
IFERROR(
IF(VLOOKUP($A217, YES_Reading_ELA[], COLUMN(YES_Reading_ELA[Self-Identified as African Descent]), FALSE)="", "",
VLOOKUP($A217,YES_Reading_ELA[],COLUMN(YES_Reading_ELA[Self-Identified as African Descent]),FALSE)),
IF(VLOOKUP($A217, YES_Reading_FLA[], COLUMN(YES_Reading_FLA[Self-Identified as African Descent]),FALSE)="", "", VLOOKUP($A217,YES_Reading_FLA[],COLUMN(YES_Reading_FLA[Self-Identified as African Descent]),FALSE))),""))),"")</f>
        <v/>
      </c>
      <c r="L217" s="73" t="str" cm="1">
        <f t="array" ref="L217">IFERROR(
IF($J$2="ELA",
IF(VLOOKUP($A217, YES_Reading_ELA[], COLUMN(YES_Reading_ELA[Self-Identified as Indigenous]), FALSE)="", "",
VLOOKUP($A217,YES_Reading_ELA[], COLUMN(YES_Reading_ELA[Self-Identified as Indigenous]), FALSE)),
IF($J$2="FLA",
IF(VLOOKUP($A217, YES_Reading_FLA[], COLUMN(YES_Reading_FLA[Self-Identified as Indigenous]),FALSE)="","",
VLOOKUP($A217,YES_Reading_FLA[],COLUMN(YES_Reading_FLA[Self-Identified as Indigenous]),FALSE)),
IF($J$2="Combined",
IFERROR(
IF(VLOOKUP($A217, YES_Reading_ELA[], COLUMN(YES_Reading_ELA[Self-Identified as Indigenous]), FALSE)="", "",
VLOOKUP($A217,YES_Reading_ELA[],COLUMN(YES_Reading_ELA[Self-Identified as Indigenous]),FALSE)),
IF(VLOOKUP($A217, YES_Reading_FLA[], COLUMN(YES_Reading_FLA[Self-Identified as Indigenous]),FALSE)="", "", VLOOKUP($A217,YES_Reading_FLA[],COLUMN(YES_Reading_FLA[Self-Identified as Indigenous]),FALSE))),""))),"")</f>
        <v/>
      </c>
    </row>
    <row r="218" spans="1:12" ht="19.5" customHeight="1" x14ac:dyDescent="0.25">
      <c r="A218" s="217"/>
      <c r="B218" s="220"/>
      <c r="C218" s="203"/>
      <c r="D218" s="204"/>
      <c r="E218" s="205"/>
      <c r="F218" s="205"/>
      <c r="G218" s="205"/>
      <c r="H218" s="206"/>
      <c r="I218" s="212"/>
      <c r="J218" s="206"/>
      <c r="K218" s="197" t="str" cm="1">
        <f t="array" ref="K218">IFERROR(
IF($J$2="ELA",
IF(VLOOKUP($A218, YES_Reading_ELA[], COLUMN(YES_Reading_ELA[Self-Identified as African Descent]), FALSE)="", "",
VLOOKUP($A218,YES_Reading_ELA[], COLUMN(YES_Reading_ELA[Self-Identified as African Descent]), FALSE)),
IF($J$2="FLA",
IF(VLOOKUP($A218, YES_Reading_FLA[], COLUMN(YES_Reading_FLA[Self-Identified as African Descent]),FALSE)="","",
VLOOKUP($A218,YES_Reading_FLA[],COLUMN(YES_Reading_FLA[Self-Identified as African Descent]),FALSE)),
IF($J$2="Combined",
IFERROR(
IF(VLOOKUP($A218, YES_Reading_ELA[], COLUMN(YES_Reading_ELA[Self-Identified as African Descent]), FALSE)="", "",
VLOOKUP($A218,YES_Reading_ELA[],COLUMN(YES_Reading_ELA[Self-Identified as African Descent]),FALSE)),
IF(VLOOKUP($A218, YES_Reading_FLA[], COLUMN(YES_Reading_FLA[Self-Identified as African Descent]),FALSE)="", "", VLOOKUP($A218,YES_Reading_FLA[],COLUMN(YES_Reading_FLA[Self-Identified as African Descent]),FALSE))),""))),"")</f>
        <v/>
      </c>
      <c r="L218" s="73" t="str" cm="1">
        <f t="array" ref="L218">IFERROR(
IF($J$2="ELA",
IF(VLOOKUP($A218, YES_Reading_ELA[], COLUMN(YES_Reading_ELA[Self-Identified as Indigenous]), FALSE)="", "",
VLOOKUP($A218,YES_Reading_ELA[], COLUMN(YES_Reading_ELA[Self-Identified as Indigenous]), FALSE)),
IF($J$2="FLA",
IF(VLOOKUP($A218, YES_Reading_FLA[], COLUMN(YES_Reading_FLA[Self-Identified as Indigenous]),FALSE)="","",
VLOOKUP($A218,YES_Reading_FLA[],COLUMN(YES_Reading_FLA[Self-Identified as Indigenous]),FALSE)),
IF($J$2="Combined",
IFERROR(
IF(VLOOKUP($A218, YES_Reading_ELA[], COLUMN(YES_Reading_ELA[Self-Identified as Indigenous]), FALSE)="", "",
VLOOKUP($A218,YES_Reading_ELA[],COLUMN(YES_Reading_ELA[Self-Identified as Indigenous]),FALSE)),
IF(VLOOKUP($A218, YES_Reading_FLA[], COLUMN(YES_Reading_FLA[Self-Identified as Indigenous]),FALSE)="", "", VLOOKUP($A218,YES_Reading_FLA[],COLUMN(YES_Reading_FLA[Self-Identified as Indigenous]),FALSE))),""))),"")</f>
        <v/>
      </c>
    </row>
    <row r="219" spans="1:12" ht="19.5" customHeight="1" x14ac:dyDescent="0.25">
      <c r="A219" s="217"/>
      <c r="B219" s="220"/>
      <c r="C219" s="203"/>
      <c r="D219" s="204"/>
      <c r="E219" s="205"/>
      <c r="F219" s="205"/>
      <c r="G219" s="205"/>
      <c r="H219" s="206"/>
      <c r="I219" s="212"/>
      <c r="J219" s="206"/>
      <c r="K219" s="197" t="str" cm="1">
        <f t="array" ref="K219">IFERROR(
IF($J$2="ELA",
IF(VLOOKUP($A219, YES_Reading_ELA[], COLUMN(YES_Reading_ELA[Self-Identified as African Descent]), FALSE)="", "",
VLOOKUP($A219,YES_Reading_ELA[], COLUMN(YES_Reading_ELA[Self-Identified as African Descent]), FALSE)),
IF($J$2="FLA",
IF(VLOOKUP($A219, YES_Reading_FLA[], COLUMN(YES_Reading_FLA[Self-Identified as African Descent]),FALSE)="","",
VLOOKUP($A219,YES_Reading_FLA[],COLUMN(YES_Reading_FLA[Self-Identified as African Descent]),FALSE)),
IF($J$2="Combined",
IFERROR(
IF(VLOOKUP($A219, YES_Reading_ELA[], COLUMN(YES_Reading_ELA[Self-Identified as African Descent]), FALSE)="", "",
VLOOKUP($A219,YES_Reading_ELA[],COLUMN(YES_Reading_ELA[Self-Identified as African Descent]),FALSE)),
IF(VLOOKUP($A219, YES_Reading_FLA[], COLUMN(YES_Reading_FLA[Self-Identified as African Descent]),FALSE)="", "", VLOOKUP($A219,YES_Reading_FLA[],COLUMN(YES_Reading_FLA[Self-Identified as African Descent]),FALSE))),""))),"")</f>
        <v/>
      </c>
      <c r="L219" s="73" t="str" cm="1">
        <f t="array" ref="L219">IFERROR(
IF($J$2="ELA",
IF(VLOOKUP($A219, YES_Reading_ELA[], COLUMN(YES_Reading_ELA[Self-Identified as Indigenous]), FALSE)="", "",
VLOOKUP($A219,YES_Reading_ELA[], COLUMN(YES_Reading_ELA[Self-Identified as Indigenous]), FALSE)),
IF($J$2="FLA",
IF(VLOOKUP($A219, YES_Reading_FLA[], COLUMN(YES_Reading_FLA[Self-Identified as Indigenous]),FALSE)="","",
VLOOKUP($A219,YES_Reading_FLA[],COLUMN(YES_Reading_FLA[Self-Identified as Indigenous]),FALSE)),
IF($J$2="Combined",
IFERROR(
IF(VLOOKUP($A219, YES_Reading_ELA[], COLUMN(YES_Reading_ELA[Self-Identified as Indigenous]), FALSE)="", "",
VLOOKUP($A219,YES_Reading_ELA[],COLUMN(YES_Reading_ELA[Self-Identified as Indigenous]),FALSE)),
IF(VLOOKUP($A219, YES_Reading_FLA[], COLUMN(YES_Reading_FLA[Self-Identified as Indigenous]),FALSE)="", "", VLOOKUP($A219,YES_Reading_FLA[],COLUMN(YES_Reading_FLA[Self-Identified as Indigenous]),FALSE))),""))),"")</f>
        <v/>
      </c>
    </row>
    <row r="220" spans="1:12" ht="19.5" customHeight="1" x14ac:dyDescent="0.25">
      <c r="A220" s="217"/>
      <c r="B220" s="220"/>
      <c r="C220" s="203"/>
      <c r="D220" s="204"/>
      <c r="E220" s="205"/>
      <c r="F220" s="205"/>
      <c r="G220" s="205"/>
      <c r="H220" s="206"/>
      <c r="I220" s="212"/>
      <c r="J220" s="206"/>
      <c r="K220" s="197" t="str" cm="1">
        <f t="array" ref="K220">IFERROR(
IF($J$2="ELA",
IF(VLOOKUP($A220, YES_Reading_ELA[], COLUMN(YES_Reading_ELA[Self-Identified as African Descent]), FALSE)="", "",
VLOOKUP($A220,YES_Reading_ELA[], COLUMN(YES_Reading_ELA[Self-Identified as African Descent]), FALSE)),
IF($J$2="FLA",
IF(VLOOKUP($A220, YES_Reading_FLA[], COLUMN(YES_Reading_FLA[Self-Identified as African Descent]),FALSE)="","",
VLOOKUP($A220,YES_Reading_FLA[],COLUMN(YES_Reading_FLA[Self-Identified as African Descent]),FALSE)),
IF($J$2="Combined",
IFERROR(
IF(VLOOKUP($A220, YES_Reading_ELA[], COLUMN(YES_Reading_ELA[Self-Identified as African Descent]), FALSE)="", "",
VLOOKUP($A220,YES_Reading_ELA[],COLUMN(YES_Reading_ELA[Self-Identified as African Descent]),FALSE)),
IF(VLOOKUP($A220, YES_Reading_FLA[], COLUMN(YES_Reading_FLA[Self-Identified as African Descent]),FALSE)="", "", VLOOKUP($A220,YES_Reading_FLA[],COLUMN(YES_Reading_FLA[Self-Identified as African Descent]),FALSE))),""))),"")</f>
        <v/>
      </c>
      <c r="L220" s="73" t="str" cm="1">
        <f t="array" ref="L220">IFERROR(
IF($J$2="ELA",
IF(VLOOKUP($A220, YES_Reading_ELA[], COLUMN(YES_Reading_ELA[Self-Identified as Indigenous]), FALSE)="", "",
VLOOKUP($A220,YES_Reading_ELA[], COLUMN(YES_Reading_ELA[Self-Identified as Indigenous]), FALSE)),
IF($J$2="FLA",
IF(VLOOKUP($A220, YES_Reading_FLA[], COLUMN(YES_Reading_FLA[Self-Identified as Indigenous]),FALSE)="","",
VLOOKUP($A220,YES_Reading_FLA[],COLUMN(YES_Reading_FLA[Self-Identified as Indigenous]),FALSE)),
IF($J$2="Combined",
IFERROR(
IF(VLOOKUP($A220, YES_Reading_ELA[], COLUMN(YES_Reading_ELA[Self-Identified as Indigenous]), FALSE)="", "",
VLOOKUP($A220,YES_Reading_ELA[],COLUMN(YES_Reading_ELA[Self-Identified as Indigenous]),FALSE)),
IF(VLOOKUP($A220, YES_Reading_FLA[], COLUMN(YES_Reading_FLA[Self-Identified as Indigenous]),FALSE)="", "", VLOOKUP($A220,YES_Reading_FLA[],COLUMN(YES_Reading_FLA[Self-Identified as Indigenous]),FALSE))),""))),"")</f>
        <v/>
      </c>
    </row>
    <row r="221" spans="1:12" ht="19.5" customHeight="1" x14ac:dyDescent="0.25">
      <c r="A221" s="217"/>
      <c r="B221" s="220"/>
      <c r="C221" s="203"/>
      <c r="D221" s="204"/>
      <c r="E221" s="205"/>
      <c r="F221" s="205"/>
      <c r="G221" s="205"/>
      <c r="H221" s="206"/>
      <c r="I221" s="212"/>
      <c r="J221" s="206"/>
      <c r="K221" s="197" t="str" cm="1">
        <f t="array" ref="K221">IFERROR(
IF($J$2="ELA",
IF(VLOOKUP($A221, YES_Reading_ELA[], COLUMN(YES_Reading_ELA[Self-Identified as African Descent]), FALSE)="", "",
VLOOKUP($A221,YES_Reading_ELA[], COLUMN(YES_Reading_ELA[Self-Identified as African Descent]), FALSE)),
IF($J$2="FLA",
IF(VLOOKUP($A221, YES_Reading_FLA[], COLUMN(YES_Reading_FLA[Self-Identified as African Descent]),FALSE)="","",
VLOOKUP($A221,YES_Reading_FLA[],COLUMN(YES_Reading_FLA[Self-Identified as African Descent]),FALSE)),
IF($J$2="Combined",
IFERROR(
IF(VLOOKUP($A221, YES_Reading_ELA[], COLUMN(YES_Reading_ELA[Self-Identified as African Descent]), FALSE)="", "",
VLOOKUP($A221,YES_Reading_ELA[],COLUMN(YES_Reading_ELA[Self-Identified as African Descent]),FALSE)),
IF(VLOOKUP($A221, YES_Reading_FLA[], COLUMN(YES_Reading_FLA[Self-Identified as African Descent]),FALSE)="", "", VLOOKUP($A221,YES_Reading_FLA[],COLUMN(YES_Reading_FLA[Self-Identified as African Descent]),FALSE))),""))),"")</f>
        <v/>
      </c>
      <c r="L221" s="73" t="str" cm="1">
        <f t="array" ref="L221">IFERROR(
IF($J$2="ELA",
IF(VLOOKUP($A221, YES_Reading_ELA[], COLUMN(YES_Reading_ELA[Self-Identified as Indigenous]), FALSE)="", "",
VLOOKUP($A221,YES_Reading_ELA[], COLUMN(YES_Reading_ELA[Self-Identified as Indigenous]), FALSE)),
IF($J$2="FLA",
IF(VLOOKUP($A221, YES_Reading_FLA[], COLUMN(YES_Reading_FLA[Self-Identified as Indigenous]),FALSE)="","",
VLOOKUP($A221,YES_Reading_FLA[],COLUMN(YES_Reading_FLA[Self-Identified as Indigenous]),FALSE)),
IF($J$2="Combined",
IFERROR(
IF(VLOOKUP($A221, YES_Reading_ELA[], COLUMN(YES_Reading_ELA[Self-Identified as Indigenous]), FALSE)="", "",
VLOOKUP($A221,YES_Reading_ELA[],COLUMN(YES_Reading_ELA[Self-Identified as Indigenous]),FALSE)),
IF(VLOOKUP($A221, YES_Reading_FLA[], COLUMN(YES_Reading_FLA[Self-Identified as Indigenous]),FALSE)="", "", VLOOKUP($A221,YES_Reading_FLA[],COLUMN(YES_Reading_FLA[Self-Identified as Indigenous]),FALSE))),""))),"")</f>
        <v/>
      </c>
    </row>
    <row r="222" spans="1:12" ht="19.5" customHeight="1" thickBot="1" x14ac:dyDescent="0.3">
      <c r="A222" s="218"/>
      <c r="B222" s="221"/>
      <c r="C222" s="208"/>
      <c r="D222" s="209"/>
      <c r="E222" s="210"/>
      <c r="F222" s="210"/>
      <c r="G222" s="210"/>
      <c r="H222" s="211"/>
      <c r="I222" s="213"/>
      <c r="J222" s="211"/>
      <c r="K222" s="198" t="str" cm="1">
        <f t="array" ref="K222">IFERROR(
IF($J$2="ELA",
IF(VLOOKUP($A222, YES_Reading_ELA[], COLUMN(YES_Reading_ELA[Self-Identified as African Descent]), FALSE)="", "",
VLOOKUP($A222,YES_Reading_ELA[], COLUMN(YES_Reading_ELA[Self-Identified as African Descent]), FALSE)),
IF($J$2="FLA",
IF(VLOOKUP($A222, YES_Reading_FLA[], COLUMN(YES_Reading_FLA[Self-Identified as African Descent]),FALSE)="","",
VLOOKUP($A222,YES_Reading_FLA[],COLUMN(YES_Reading_FLA[Self-Identified as African Descent]),FALSE)),
IF($J$2="Combined",
IFERROR(
IF(VLOOKUP($A222, YES_Reading_ELA[], COLUMN(YES_Reading_ELA[Self-Identified as African Descent]), FALSE)="", "",
VLOOKUP($A222,YES_Reading_ELA[],COLUMN(YES_Reading_ELA[Self-Identified as African Descent]),FALSE)),
IF(VLOOKUP($A222, YES_Reading_FLA[], COLUMN(YES_Reading_FLA[Self-Identified as African Descent]),FALSE)="", "", VLOOKUP($A222,YES_Reading_FLA[],COLUMN(YES_Reading_FLA[Self-Identified as African Descent]),FALSE))),""))),"")</f>
        <v/>
      </c>
      <c r="L222" s="74" t="str" cm="1">
        <f t="array" ref="L222">IFERROR(
IF($J$2="ELA",
IF(VLOOKUP($A222, YES_Reading_ELA[], COLUMN(YES_Reading_ELA[Self-Identified as Indigenous]), FALSE)="", "",
VLOOKUP($A222,YES_Reading_ELA[], COLUMN(YES_Reading_ELA[Self-Identified as Indigenous]), FALSE)),
IF($J$2="FLA",
IF(VLOOKUP($A222, YES_Reading_FLA[], COLUMN(YES_Reading_FLA[Self-Identified as Indigenous]),FALSE)="","",
VLOOKUP($A222,YES_Reading_FLA[],COLUMN(YES_Reading_FLA[Self-Identified as Indigenous]),FALSE)),
IF($J$2="Combined",
IFERROR(
IF(VLOOKUP($A222, YES_Reading_ELA[], COLUMN(YES_Reading_ELA[Self-Identified as Indigenous]), FALSE)="", "",
VLOOKUP($A222,YES_Reading_ELA[],COLUMN(YES_Reading_ELA[Self-Identified as Indigenous]),FALSE)),
IF(VLOOKUP($A222, YES_Reading_FLA[], COLUMN(YES_Reading_FLA[Self-Identified as Indigenous]),FALSE)="", "", VLOOKUP($A222,YES_Reading_FLA[],COLUMN(YES_Reading_FLA[Self-Identified as Indigenous]),FALSE))),""))),"")</f>
        <v/>
      </c>
    </row>
    <row r="223" spans="1:12" x14ac:dyDescent="0.25">
      <c r="A223" s="214"/>
      <c r="B223" s="214" t="s">
        <v>241</v>
      </c>
      <c r="C223" s="214"/>
      <c r="D223" s="215" t="str" cm="1">
        <f t="array" ref="D223">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Set")))=$D$1)),1,1,FALSE),FALSE,FALSE),8),"")</f>
        <v/>
      </c>
      <c r="E223" s="215"/>
      <c r="F223" s="215"/>
      <c r="G223" s="215"/>
      <c r="H223" s="355" t="s">
        <v>242</v>
      </c>
      <c r="I223" s="356"/>
      <c r="J223" s="215"/>
    </row>
    <row r="224" spans="1:12" x14ac:dyDescent="0.25">
      <c r="A224" s="214"/>
      <c r="B224" s="214" t="str">
        <f>"Date: "&amp;$D$3</f>
        <v xml:space="preserve">Date: </v>
      </c>
      <c r="C224" s="214"/>
      <c r="D224" s="215"/>
      <c r="E224" s="215"/>
      <c r="F224" s="215"/>
      <c r="G224" s="215"/>
      <c r="H224" s="357" t="s">
        <v>243</v>
      </c>
      <c r="I224" s="358"/>
      <c r="J224" s="215"/>
    </row>
    <row r="225" spans="1:12" ht="15.75" thickBot="1" x14ac:dyDescent="0.3">
      <c r="A225" s="215"/>
      <c r="B225" s="215"/>
      <c r="C225" s="215"/>
      <c r="D225" s="215"/>
      <c r="E225" s="215"/>
      <c r="F225" s="215"/>
      <c r="G225" s="215"/>
      <c r="H225" s="353" t="s">
        <v>244</v>
      </c>
      <c r="I225" s="354"/>
      <c r="J225" s="215"/>
    </row>
    <row r="226" spans="1:12" ht="85.5" customHeight="1" thickBot="1" x14ac:dyDescent="0.3">
      <c r="A226" s="192" t="s">
        <v>44</v>
      </c>
      <c r="B226" s="187" t="s">
        <v>245</v>
      </c>
      <c r="C226" s="188" t="s">
        <v>246</v>
      </c>
      <c r="D226" s="188" t="s">
        <v>247</v>
      </c>
      <c r="E226" s="188" t="s">
        <v>248</v>
      </c>
      <c r="F226" s="188" t="s">
        <v>249</v>
      </c>
      <c r="G226" s="188" t="s">
        <v>250</v>
      </c>
      <c r="H226" s="189" t="s">
        <v>251</v>
      </c>
      <c r="I226" s="190" t="s">
        <v>252</v>
      </c>
      <c r="J226" s="191" t="s">
        <v>253</v>
      </c>
      <c r="K226" s="200" t="s">
        <v>256</v>
      </c>
      <c r="L226" s="201" t="s">
        <v>257</v>
      </c>
    </row>
    <row r="227" spans="1:12" ht="19.5" customHeight="1" x14ac:dyDescent="0.25">
      <c r="A227" s="216" t="e" cm="1" vm="1">
        <f t="array" aca="1" ref="A227" ca="1">_xlfn._xlws.FILTER(_xlfn.VSTACK(YES_Reading_ELA[Student Number],YES_Reading_FLA[Student Number]),_xlfn.VSTACK(YES_Reading_ELA[HomeRoom],YES_Reading_FLA[Homeroom])=D223)</f>
        <v>#VALUE!</v>
      </c>
      <c r="B227" s="219"/>
      <c r="C227" s="203"/>
      <c r="D227" s="204"/>
      <c r="E227" s="205"/>
      <c r="F227" s="205"/>
      <c r="G227" s="205"/>
      <c r="H227" s="206"/>
      <c r="I227" s="227"/>
      <c r="J227" s="206"/>
      <c r="K227" s="24" t="str" cm="1">
        <f t="array" aca="1" ref="K227" ca="1">IFERROR(
IF($J$2="ELA",
IF(VLOOKUP($A227, YES_Reading_ELA[], COLUMN(YES_Reading_ELA[Self-Identified as African Descent]), FALSE)="", "",
VLOOKUP($A227,YES_Reading_ELA[], COLUMN(YES_Reading_ELA[Self-Identified as African Descent]), FALSE)),
IF($J$2="FLA",
IF(VLOOKUP($A227, YES_Reading_FLA[], COLUMN(YES_Reading_FLA[Self-Identified as African Descent]),FALSE)="","",
VLOOKUP($A227,YES_Reading_FLA[],COLUMN(YES_Reading_FLA[Self-Identified as African Descent]),FALSE)),
IF($J$2="Combined",
IFERROR(
IF(VLOOKUP($A227, YES_Reading_ELA[], COLUMN(YES_Reading_ELA[Self-Identified as African Descent]), FALSE)="", "",
VLOOKUP($A227,YES_Reading_ELA[],COLUMN(YES_Reading_ELA[Self-Identified as African Descent]),FALSE)),
IF(VLOOKUP($A227, YES_Reading_FLA[], COLUMN(YES_Reading_FLA[Self-Identified as African Descent]),FALSE)="", "", VLOOKUP($A227,YES_Reading_FLA[],COLUMN(YES_Reading_FLA[Self-Identified as African Descent]),FALSE))),""))),"")</f>
        <v/>
      </c>
      <c r="L227" s="199" t="str" cm="1">
        <f t="array" aca="1" ref="L227" ca="1">IFERROR(
IF($J$2="ELA",
IF(VLOOKUP($A227, YES_Reading_ELA[], COLUMN(YES_Reading_ELA[Self-Identified as Indigenous]), FALSE)="", "",
VLOOKUP($A227,YES_Reading_ELA[], COLUMN(YES_Reading_ELA[Self-Identified as Indigenous]), FALSE)),
IF($J$2="FLA",
IF(VLOOKUP($A227, YES_Reading_FLA[], COLUMN(YES_Reading_FLA[Self-Identified as Indigenous]),FALSE)="","",
VLOOKUP($A227,YES_Reading_FLA[],COLUMN(YES_Reading_FLA[Self-Identified as Indigenous]),FALSE)),
IF($J$2="Combined",
IFERROR(
IF(VLOOKUP($A227, YES_Reading_ELA[], COLUMN(YES_Reading_ELA[Self-Identified as Indigenous]), FALSE)="", "",
VLOOKUP($A227,YES_Reading_ELA[],COLUMN(YES_Reading_ELA[Self-Identified as Indigenous]),FALSE)),
IF(VLOOKUP($A227, YES_Reading_FLA[], COLUMN(YES_Reading_FLA[Self-Identified as Indigenous]),FALSE)="", "", VLOOKUP($A227,YES_Reading_FLA[],COLUMN(YES_Reading_FLA[Self-Identified as Indigenous]),FALSE))),""))),"")</f>
        <v/>
      </c>
    </row>
    <row r="228" spans="1:12" ht="19.5" customHeight="1" x14ac:dyDescent="0.25">
      <c r="A228" s="217"/>
      <c r="B228" s="220"/>
      <c r="C228" s="203"/>
      <c r="D228" s="204"/>
      <c r="E228" s="205"/>
      <c r="F228" s="205"/>
      <c r="G228" s="205"/>
      <c r="H228" s="206"/>
      <c r="I228" s="212"/>
      <c r="J228" s="206"/>
      <c r="K228" s="197" t="str" cm="1">
        <f t="array" ref="K228">IFERROR(
IF($J$2="ELA",
IF(VLOOKUP($A228, YES_Reading_ELA[], COLUMN(YES_Reading_ELA[Self-Identified as African Descent]), FALSE)="", "",
VLOOKUP($A228,YES_Reading_ELA[], COLUMN(YES_Reading_ELA[Self-Identified as African Descent]), FALSE)),
IF($J$2="FLA",
IF(VLOOKUP($A228, YES_Reading_FLA[], COLUMN(YES_Reading_FLA[Self-Identified as African Descent]),FALSE)="","",
VLOOKUP($A228,YES_Reading_FLA[],COLUMN(YES_Reading_FLA[Self-Identified as African Descent]),FALSE)),
IF($J$2="Combined",
IFERROR(
IF(VLOOKUP($A228, YES_Reading_ELA[], COLUMN(YES_Reading_ELA[Self-Identified as African Descent]), FALSE)="", "",
VLOOKUP($A228,YES_Reading_ELA[],COLUMN(YES_Reading_ELA[Self-Identified as African Descent]),FALSE)),
IF(VLOOKUP($A228, YES_Reading_FLA[], COLUMN(YES_Reading_FLA[Self-Identified as African Descent]),FALSE)="", "", VLOOKUP($A228,YES_Reading_FLA[],COLUMN(YES_Reading_FLA[Self-Identified as African Descent]),FALSE))),""))),"")</f>
        <v/>
      </c>
      <c r="L228" s="73" t="str" cm="1">
        <f t="array" ref="L228">IFERROR(
IF($J$2="ELA",
IF(VLOOKUP($A228, YES_Reading_ELA[], COLUMN(YES_Reading_ELA[Self-Identified as Indigenous]), FALSE)="", "",
VLOOKUP($A228,YES_Reading_ELA[], COLUMN(YES_Reading_ELA[Self-Identified as Indigenous]), FALSE)),
IF($J$2="FLA",
IF(VLOOKUP($A228, YES_Reading_FLA[], COLUMN(YES_Reading_FLA[Self-Identified as Indigenous]),FALSE)="","",
VLOOKUP($A228,YES_Reading_FLA[],COLUMN(YES_Reading_FLA[Self-Identified as Indigenous]),FALSE)),
IF($J$2="Combined",
IFERROR(
IF(VLOOKUP($A228, YES_Reading_ELA[], COLUMN(YES_Reading_ELA[Self-Identified as Indigenous]), FALSE)="", "",
VLOOKUP($A228,YES_Reading_ELA[],COLUMN(YES_Reading_ELA[Self-Identified as Indigenous]),FALSE)),
IF(VLOOKUP($A228, YES_Reading_FLA[], COLUMN(YES_Reading_FLA[Self-Identified as Indigenous]),FALSE)="", "", VLOOKUP($A228,YES_Reading_FLA[],COLUMN(YES_Reading_FLA[Self-Identified as Indigenous]),FALSE))),""))),"")</f>
        <v/>
      </c>
    </row>
    <row r="229" spans="1:12" ht="19.5" customHeight="1" x14ac:dyDescent="0.25">
      <c r="A229" s="217"/>
      <c r="B229" s="220"/>
      <c r="C229" s="203"/>
      <c r="D229" s="204"/>
      <c r="E229" s="205"/>
      <c r="F229" s="205"/>
      <c r="G229" s="205"/>
      <c r="H229" s="206"/>
      <c r="I229" s="212"/>
      <c r="J229" s="206"/>
      <c r="K229" s="197" t="str" cm="1">
        <f t="array" ref="K229">IFERROR(
IF($J$2="ELA",
IF(VLOOKUP($A229, YES_Reading_ELA[], COLUMN(YES_Reading_ELA[Self-Identified as African Descent]), FALSE)="", "",
VLOOKUP($A229,YES_Reading_ELA[], COLUMN(YES_Reading_ELA[Self-Identified as African Descent]), FALSE)),
IF($J$2="FLA",
IF(VLOOKUP($A229, YES_Reading_FLA[], COLUMN(YES_Reading_FLA[Self-Identified as African Descent]),FALSE)="","",
VLOOKUP($A229,YES_Reading_FLA[],COLUMN(YES_Reading_FLA[Self-Identified as African Descent]),FALSE)),
IF($J$2="Combined",
IFERROR(
IF(VLOOKUP($A229, YES_Reading_ELA[], COLUMN(YES_Reading_ELA[Self-Identified as African Descent]), FALSE)="", "",
VLOOKUP($A229,YES_Reading_ELA[],COLUMN(YES_Reading_ELA[Self-Identified as African Descent]),FALSE)),
IF(VLOOKUP($A229, YES_Reading_FLA[], COLUMN(YES_Reading_FLA[Self-Identified as African Descent]),FALSE)="", "", VLOOKUP($A229,YES_Reading_FLA[],COLUMN(YES_Reading_FLA[Self-Identified as African Descent]),FALSE))),""))),"")</f>
        <v/>
      </c>
      <c r="L229" s="73" t="str" cm="1">
        <f t="array" ref="L229">IFERROR(
IF($J$2="ELA",
IF(VLOOKUP($A229, YES_Reading_ELA[], COLUMN(YES_Reading_ELA[Self-Identified as Indigenous]), FALSE)="", "",
VLOOKUP($A229,YES_Reading_ELA[], COLUMN(YES_Reading_ELA[Self-Identified as Indigenous]), FALSE)),
IF($J$2="FLA",
IF(VLOOKUP($A229, YES_Reading_FLA[], COLUMN(YES_Reading_FLA[Self-Identified as Indigenous]),FALSE)="","",
VLOOKUP($A229,YES_Reading_FLA[],COLUMN(YES_Reading_FLA[Self-Identified as Indigenous]),FALSE)),
IF($J$2="Combined",
IFERROR(
IF(VLOOKUP($A229, YES_Reading_ELA[], COLUMN(YES_Reading_ELA[Self-Identified as Indigenous]), FALSE)="", "",
VLOOKUP($A229,YES_Reading_ELA[],COLUMN(YES_Reading_ELA[Self-Identified as Indigenous]),FALSE)),
IF(VLOOKUP($A229, YES_Reading_FLA[], COLUMN(YES_Reading_FLA[Self-Identified as Indigenous]),FALSE)="", "", VLOOKUP($A229,YES_Reading_FLA[],COLUMN(YES_Reading_FLA[Self-Identified as Indigenous]),FALSE))),""))),"")</f>
        <v/>
      </c>
    </row>
    <row r="230" spans="1:12" ht="19.5" customHeight="1" x14ac:dyDescent="0.25">
      <c r="A230" s="217"/>
      <c r="B230" s="220"/>
      <c r="C230" s="203"/>
      <c r="D230" s="204"/>
      <c r="E230" s="205"/>
      <c r="F230" s="205"/>
      <c r="G230" s="205"/>
      <c r="H230" s="206"/>
      <c r="I230" s="212"/>
      <c r="J230" s="206"/>
      <c r="K230" s="197" t="str" cm="1">
        <f t="array" ref="K230">IFERROR(
IF($J$2="ELA",
IF(VLOOKUP($A230, YES_Reading_ELA[], COLUMN(YES_Reading_ELA[Self-Identified as African Descent]), FALSE)="", "",
VLOOKUP($A230,YES_Reading_ELA[], COLUMN(YES_Reading_ELA[Self-Identified as African Descent]), FALSE)),
IF($J$2="FLA",
IF(VLOOKUP($A230, YES_Reading_FLA[], COLUMN(YES_Reading_FLA[Self-Identified as African Descent]),FALSE)="","",
VLOOKUP($A230,YES_Reading_FLA[],COLUMN(YES_Reading_FLA[Self-Identified as African Descent]),FALSE)),
IF($J$2="Combined",
IFERROR(
IF(VLOOKUP($A230, YES_Reading_ELA[], COLUMN(YES_Reading_ELA[Self-Identified as African Descent]), FALSE)="", "",
VLOOKUP($A230,YES_Reading_ELA[],COLUMN(YES_Reading_ELA[Self-Identified as African Descent]),FALSE)),
IF(VLOOKUP($A230, YES_Reading_FLA[], COLUMN(YES_Reading_FLA[Self-Identified as African Descent]),FALSE)="", "", VLOOKUP($A230,YES_Reading_FLA[],COLUMN(YES_Reading_FLA[Self-Identified as African Descent]),FALSE))),""))),"")</f>
        <v/>
      </c>
      <c r="L230" s="73" t="str" cm="1">
        <f t="array" ref="L230">IFERROR(
IF($J$2="ELA",
IF(VLOOKUP($A230, YES_Reading_ELA[], COLUMN(YES_Reading_ELA[Self-Identified as Indigenous]), FALSE)="", "",
VLOOKUP($A230,YES_Reading_ELA[], COLUMN(YES_Reading_ELA[Self-Identified as Indigenous]), FALSE)),
IF($J$2="FLA",
IF(VLOOKUP($A230, YES_Reading_FLA[], COLUMN(YES_Reading_FLA[Self-Identified as Indigenous]),FALSE)="","",
VLOOKUP($A230,YES_Reading_FLA[],COLUMN(YES_Reading_FLA[Self-Identified as Indigenous]),FALSE)),
IF($J$2="Combined",
IFERROR(
IF(VLOOKUP($A230, YES_Reading_ELA[], COLUMN(YES_Reading_ELA[Self-Identified as Indigenous]), FALSE)="", "",
VLOOKUP($A230,YES_Reading_ELA[],COLUMN(YES_Reading_ELA[Self-Identified as Indigenous]),FALSE)),
IF(VLOOKUP($A230, YES_Reading_FLA[], COLUMN(YES_Reading_FLA[Self-Identified as Indigenous]),FALSE)="", "", VLOOKUP($A230,YES_Reading_FLA[],COLUMN(YES_Reading_FLA[Self-Identified as Indigenous]),FALSE))),""))),"")</f>
        <v/>
      </c>
    </row>
    <row r="231" spans="1:12" ht="19.5" customHeight="1" x14ac:dyDescent="0.25">
      <c r="A231" s="217"/>
      <c r="B231" s="220"/>
      <c r="C231" s="203"/>
      <c r="D231" s="204"/>
      <c r="E231" s="205"/>
      <c r="F231" s="205"/>
      <c r="G231" s="205"/>
      <c r="H231" s="206"/>
      <c r="I231" s="212"/>
      <c r="J231" s="206"/>
      <c r="K231" s="197" t="str" cm="1">
        <f t="array" ref="K231">IFERROR(
IF($J$2="ELA",
IF(VLOOKUP($A231, YES_Reading_ELA[], COLUMN(YES_Reading_ELA[Self-Identified as African Descent]), FALSE)="", "",
VLOOKUP($A231,YES_Reading_ELA[], COLUMN(YES_Reading_ELA[Self-Identified as African Descent]), FALSE)),
IF($J$2="FLA",
IF(VLOOKUP($A231, YES_Reading_FLA[], COLUMN(YES_Reading_FLA[Self-Identified as African Descent]),FALSE)="","",
VLOOKUP($A231,YES_Reading_FLA[],COLUMN(YES_Reading_FLA[Self-Identified as African Descent]),FALSE)),
IF($J$2="Combined",
IFERROR(
IF(VLOOKUP($A231, YES_Reading_ELA[], COLUMN(YES_Reading_ELA[Self-Identified as African Descent]), FALSE)="", "",
VLOOKUP($A231,YES_Reading_ELA[],COLUMN(YES_Reading_ELA[Self-Identified as African Descent]),FALSE)),
IF(VLOOKUP($A231, YES_Reading_FLA[], COLUMN(YES_Reading_FLA[Self-Identified as African Descent]),FALSE)="", "", VLOOKUP($A231,YES_Reading_FLA[],COLUMN(YES_Reading_FLA[Self-Identified as African Descent]),FALSE))),""))),"")</f>
        <v/>
      </c>
      <c r="L231" s="73" t="str" cm="1">
        <f t="array" ref="L231">IFERROR(
IF($J$2="ELA",
IF(VLOOKUP($A231, YES_Reading_ELA[], COLUMN(YES_Reading_ELA[Self-Identified as Indigenous]), FALSE)="", "",
VLOOKUP($A231,YES_Reading_ELA[], COLUMN(YES_Reading_ELA[Self-Identified as Indigenous]), FALSE)),
IF($J$2="FLA",
IF(VLOOKUP($A231, YES_Reading_FLA[], COLUMN(YES_Reading_FLA[Self-Identified as Indigenous]),FALSE)="","",
VLOOKUP($A231,YES_Reading_FLA[],COLUMN(YES_Reading_FLA[Self-Identified as Indigenous]),FALSE)),
IF($J$2="Combined",
IFERROR(
IF(VLOOKUP($A231, YES_Reading_ELA[], COLUMN(YES_Reading_ELA[Self-Identified as Indigenous]), FALSE)="", "",
VLOOKUP($A231,YES_Reading_ELA[],COLUMN(YES_Reading_ELA[Self-Identified as Indigenous]),FALSE)),
IF(VLOOKUP($A231, YES_Reading_FLA[], COLUMN(YES_Reading_FLA[Self-Identified as Indigenous]),FALSE)="", "", VLOOKUP($A231,YES_Reading_FLA[],COLUMN(YES_Reading_FLA[Self-Identified as Indigenous]),FALSE))),""))),"")</f>
        <v/>
      </c>
    </row>
    <row r="232" spans="1:12" ht="19.5" customHeight="1" x14ac:dyDescent="0.25">
      <c r="A232" s="217"/>
      <c r="B232" s="220"/>
      <c r="C232" s="203"/>
      <c r="D232" s="204"/>
      <c r="E232" s="205"/>
      <c r="F232" s="205"/>
      <c r="G232" s="205"/>
      <c r="H232" s="206"/>
      <c r="I232" s="212"/>
      <c r="J232" s="206"/>
      <c r="K232" s="197" t="str" cm="1">
        <f t="array" ref="K232">IFERROR(
IF($J$2="ELA",
IF(VLOOKUP($A232, YES_Reading_ELA[], COLUMN(YES_Reading_ELA[Self-Identified as African Descent]), FALSE)="", "",
VLOOKUP($A232,YES_Reading_ELA[], COLUMN(YES_Reading_ELA[Self-Identified as African Descent]), FALSE)),
IF($J$2="FLA",
IF(VLOOKUP($A232, YES_Reading_FLA[], COLUMN(YES_Reading_FLA[Self-Identified as African Descent]),FALSE)="","",
VLOOKUP($A232,YES_Reading_FLA[],COLUMN(YES_Reading_FLA[Self-Identified as African Descent]),FALSE)),
IF($J$2="Combined",
IFERROR(
IF(VLOOKUP($A232, YES_Reading_ELA[], COLUMN(YES_Reading_ELA[Self-Identified as African Descent]), FALSE)="", "",
VLOOKUP($A232,YES_Reading_ELA[],COLUMN(YES_Reading_ELA[Self-Identified as African Descent]),FALSE)),
IF(VLOOKUP($A232, YES_Reading_FLA[], COLUMN(YES_Reading_FLA[Self-Identified as African Descent]),FALSE)="", "", VLOOKUP($A232,YES_Reading_FLA[],COLUMN(YES_Reading_FLA[Self-Identified as African Descent]),FALSE))),""))),"")</f>
        <v/>
      </c>
      <c r="L232" s="73" t="str" cm="1">
        <f t="array" ref="L232">IFERROR(
IF($J$2="ELA",
IF(VLOOKUP($A232, YES_Reading_ELA[], COLUMN(YES_Reading_ELA[Self-Identified as Indigenous]), FALSE)="", "",
VLOOKUP($A232,YES_Reading_ELA[], COLUMN(YES_Reading_ELA[Self-Identified as Indigenous]), FALSE)),
IF($J$2="FLA",
IF(VLOOKUP($A232, YES_Reading_FLA[], COLUMN(YES_Reading_FLA[Self-Identified as Indigenous]),FALSE)="","",
VLOOKUP($A232,YES_Reading_FLA[],COLUMN(YES_Reading_FLA[Self-Identified as Indigenous]),FALSE)),
IF($J$2="Combined",
IFERROR(
IF(VLOOKUP($A232, YES_Reading_ELA[], COLUMN(YES_Reading_ELA[Self-Identified as Indigenous]), FALSE)="", "",
VLOOKUP($A232,YES_Reading_ELA[],COLUMN(YES_Reading_ELA[Self-Identified as Indigenous]),FALSE)),
IF(VLOOKUP($A232, YES_Reading_FLA[], COLUMN(YES_Reading_FLA[Self-Identified as Indigenous]),FALSE)="", "", VLOOKUP($A232,YES_Reading_FLA[],COLUMN(YES_Reading_FLA[Self-Identified as Indigenous]),FALSE))),""))),"")</f>
        <v/>
      </c>
    </row>
    <row r="233" spans="1:12" ht="19.5" customHeight="1" x14ac:dyDescent="0.25">
      <c r="A233" s="217"/>
      <c r="B233" s="220"/>
      <c r="C233" s="203"/>
      <c r="D233" s="204"/>
      <c r="E233" s="205"/>
      <c r="F233" s="205"/>
      <c r="G233" s="205"/>
      <c r="H233" s="206"/>
      <c r="I233" s="212"/>
      <c r="J233" s="206"/>
      <c r="K233" s="197" t="str" cm="1">
        <f t="array" ref="K233">IFERROR(
IF($J$2="ELA",
IF(VLOOKUP($A233, YES_Reading_ELA[], COLUMN(YES_Reading_ELA[Self-Identified as African Descent]), FALSE)="", "",
VLOOKUP($A233,YES_Reading_ELA[], COLUMN(YES_Reading_ELA[Self-Identified as African Descent]), FALSE)),
IF($J$2="FLA",
IF(VLOOKUP($A233, YES_Reading_FLA[], COLUMN(YES_Reading_FLA[Self-Identified as African Descent]),FALSE)="","",
VLOOKUP($A233,YES_Reading_FLA[],COLUMN(YES_Reading_FLA[Self-Identified as African Descent]),FALSE)),
IF($J$2="Combined",
IFERROR(
IF(VLOOKUP($A233, YES_Reading_ELA[], COLUMN(YES_Reading_ELA[Self-Identified as African Descent]), FALSE)="", "",
VLOOKUP($A233,YES_Reading_ELA[],COLUMN(YES_Reading_ELA[Self-Identified as African Descent]),FALSE)),
IF(VLOOKUP($A233, YES_Reading_FLA[], COLUMN(YES_Reading_FLA[Self-Identified as African Descent]),FALSE)="", "", VLOOKUP($A233,YES_Reading_FLA[],COLUMN(YES_Reading_FLA[Self-Identified as African Descent]),FALSE))),""))),"")</f>
        <v/>
      </c>
      <c r="L233" s="73" t="str" cm="1">
        <f t="array" ref="L233">IFERROR(
IF($J$2="ELA",
IF(VLOOKUP($A233, YES_Reading_ELA[], COLUMN(YES_Reading_ELA[Self-Identified as Indigenous]), FALSE)="", "",
VLOOKUP($A233,YES_Reading_ELA[], COLUMN(YES_Reading_ELA[Self-Identified as Indigenous]), FALSE)),
IF($J$2="FLA",
IF(VLOOKUP($A233, YES_Reading_FLA[], COLUMN(YES_Reading_FLA[Self-Identified as Indigenous]),FALSE)="","",
VLOOKUP($A233,YES_Reading_FLA[],COLUMN(YES_Reading_FLA[Self-Identified as Indigenous]),FALSE)),
IF($J$2="Combined",
IFERROR(
IF(VLOOKUP($A233, YES_Reading_ELA[], COLUMN(YES_Reading_ELA[Self-Identified as Indigenous]), FALSE)="", "",
VLOOKUP($A233,YES_Reading_ELA[],COLUMN(YES_Reading_ELA[Self-Identified as Indigenous]),FALSE)),
IF(VLOOKUP($A233, YES_Reading_FLA[], COLUMN(YES_Reading_FLA[Self-Identified as Indigenous]),FALSE)="", "", VLOOKUP($A233,YES_Reading_FLA[],COLUMN(YES_Reading_FLA[Self-Identified as Indigenous]),FALSE))),""))),"")</f>
        <v/>
      </c>
    </row>
    <row r="234" spans="1:12" ht="19.5" customHeight="1" x14ac:dyDescent="0.25">
      <c r="A234" s="217"/>
      <c r="B234" s="220"/>
      <c r="C234" s="203"/>
      <c r="D234" s="204"/>
      <c r="E234" s="205"/>
      <c r="F234" s="205"/>
      <c r="G234" s="205"/>
      <c r="H234" s="206"/>
      <c r="I234" s="212"/>
      <c r="J234" s="206"/>
      <c r="K234" s="197" t="str" cm="1">
        <f t="array" ref="K234">IFERROR(
IF($J$2="ELA",
IF(VLOOKUP($A234, YES_Reading_ELA[], COLUMN(YES_Reading_ELA[Self-Identified as African Descent]), FALSE)="", "",
VLOOKUP($A234,YES_Reading_ELA[], COLUMN(YES_Reading_ELA[Self-Identified as African Descent]), FALSE)),
IF($J$2="FLA",
IF(VLOOKUP($A234, YES_Reading_FLA[], COLUMN(YES_Reading_FLA[Self-Identified as African Descent]),FALSE)="","",
VLOOKUP($A234,YES_Reading_FLA[],COLUMN(YES_Reading_FLA[Self-Identified as African Descent]),FALSE)),
IF($J$2="Combined",
IFERROR(
IF(VLOOKUP($A234, YES_Reading_ELA[], COLUMN(YES_Reading_ELA[Self-Identified as African Descent]), FALSE)="", "",
VLOOKUP($A234,YES_Reading_ELA[],COLUMN(YES_Reading_ELA[Self-Identified as African Descent]),FALSE)),
IF(VLOOKUP($A234, YES_Reading_FLA[], COLUMN(YES_Reading_FLA[Self-Identified as African Descent]),FALSE)="", "", VLOOKUP($A234,YES_Reading_FLA[],COLUMN(YES_Reading_FLA[Self-Identified as African Descent]),FALSE))),""))),"")</f>
        <v/>
      </c>
      <c r="L234" s="73" t="str" cm="1">
        <f t="array" ref="L234">IFERROR(
IF($J$2="ELA",
IF(VLOOKUP($A234, YES_Reading_ELA[], COLUMN(YES_Reading_ELA[Self-Identified as Indigenous]), FALSE)="", "",
VLOOKUP($A234,YES_Reading_ELA[], COLUMN(YES_Reading_ELA[Self-Identified as Indigenous]), FALSE)),
IF($J$2="FLA",
IF(VLOOKUP($A234, YES_Reading_FLA[], COLUMN(YES_Reading_FLA[Self-Identified as Indigenous]),FALSE)="","",
VLOOKUP($A234,YES_Reading_FLA[],COLUMN(YES_Reading_FLA[Self-Identified as Indigenous]),FALSE)),
IF($J$2="Combined",
IFERROR(
IF(VLOOKUP($A234, YES_Reading_ELA[], COLUMN(YES_Reading_ELA[Self-Identified as Indigenous]), FALSE)="", "",
VLOOKUP($A234,YES_Reading_ELA[],COLUMN(YES_Reading_ELA[Self-Identified as Indigenous]),FALSE)),
IF(VLOOKUP($A234, YES_Reading_FLA[], COLUMN(YES_Reading_FLA[Self-Identified as Indigenous]),FALSE)="", "", VLOOKUP($A234,YES_Reading_FLA[],COLUMN(YES_Reading_FLA[Self-Identified as Indigenous]),FALSE))),""))),"")</f>
        <v/>
      </c>
    </row>
    <row r="235" spans="1:12" ht="19.5" customHeight="1" x14ac:dyDescent="0.25">
      <c r="A235" s="217"/>
      <c r="B235" s="220"/>
      <c r="C235" s="203"/>
      <c r="D235" s="204"/>
      <c r="E235" s="205"/>
      <c r="F235" s="205"/>
      <c r="G235" s="205"/>
      <c r="H235" s="206"/>
      <c r="I235" s="212"/>
      <c r="J235" s="206"/>
      <c r="K235" s="197" t="str" cm="1">
        <f t="array" ref="K235">IFERROR(
IF($J$2="ELA",
IF(VLOOKUP($A235, YES_Reading_ELA[], COLUMN(YES_Reading_ELA[Self-Identified as African Descent]), FALSE)="", "",
VLOOKUP($A235,YES_Reading_ELA[], COLUMN(YES_Reading_ELA[Self-Identified as African Descent]), FALSE)),
IF($J$2="FLA",
IF(VLOOKUP($A235, YES_Reading_FLA[], COLUMN(YES_Reading_FLA[Self-Identified as African Descent]),FALSE)="","",
VLOOKUP($A235,YES_Reading_FLA[],COLUMN(YES_Reading_FLA[Self-Identified as African Descent]),FALSE)),
IF($J$2="Combined",
IFERROR(
IF(VLOOKUP($A235, YES_Reading_ELA[], COLUMN(YES_Reading_ELA[Self-Identified as African Descent]), FALSE)="", "",
VLOOKUP($A235,YES_Reading_ELA[],COLUMN(YES_Reading_ELA[Self-Identified as African Descent]),FALSE)),
IF(VLOOKUP($A235, YES_Reading_FLA[], COLUMN(YES_Reading_FLA[Self-Identified as African Descent]),FALSE)="", "", VLOOKUP($A235,YES_Reading_FLA[],COLUMN(YES_Reading_FLA[Self-Identified as African Descent]),FALSE))),""))),"")</f>
        <v/>
      </c>
      <c r="L235" s="73" t="str" cm="1">
        <f t="array" ref="L235">IFERROR(
IF($J$2="ELA",
IF(VLOOKUP($A235, YES_Reading_ELA[], COLUMN(YES_Reading_ELA[Self-Identified as Indigenous]), FALSE)="", "",
VLOOKUP($A235,YES_Reading_ELA[], COLUMN(YES_Reading_ELA[Self-Identified as Indigenous]), FALSE)),
IF($J$2="FLA",
IF(VLOOKUP($A235, YES_Reading_FLA[], COLUMN(YES_Reading_FLA[Self-Identified as Indigenous]),FALSE)="","",
VLOOKUP($A235,YES_Reading_FLA[],COLUMN(YES_Reading_FLA[Self-Identified as Indigenous]),FALSE)),
IF($J$2="Combined",
IFERROR(
IF(VLOOKUP($A235, YES_Reading_ELA[], COLUMN(YES_Reading_ELA[Self-Identified as Indigenous]), FALSE)="", "",
VLOOKUP($A235,YES_Reading_ELA[],COLUMN(YES_Reading_ELA[Self-Identified as Indigenous]),FALSE)),
IF(VLOOKUP($A235, YES_Reading_FLA[], COLUMN(YES_Reading_FLA[Self-Identified as Indigenous]),FALSE)="", "", VLOOKUP($A235,YES_Reading_FLA[],COLUMN(YES_Reading_FLA[Self-Identified as Indigenous]),FALSE))),""))),"")</f>
        <v/>
      </c>
    </row>
    <row r="236" spans="1:12" ht="19.5" customHeight="1" x14ac:dyDescent="0.25">
      <c r="A236" s="217"/>
      <c r="B236" s="220"/>
      <c r="C236" s="203"/>
      <c r="D236" s="204"/>
      <c r="E236" s="205"/>
      <c r="F236" s="205"/>
      <c r="G236" s="205"/>
      <c r="H236" s="206"/>
      <c r="I236" s="212"/>
      <c r="J236" s="206"/>
      <c r="K236" s="197" t="str" cm="1">
        <f t="array" ref="K236">IFERROR(
IF($J$2="ELA",
IF(VLOOKUP($A236, YES_Reading_ELA[], COLUMN(YES_Reading_ELA[Self-Identified as African Descent]), FALSE)="", "",
VLOOKUP($A236,YES_Reading_ELA[], COLUMN(YES_Reading_ELA[Self-Identified as African Descent]), FALSE)),
IF($J$2="FLA",
IF(VLOOKUP($A236, YES_Reading_FLA[], COLUMN(YES_Reading_FLA[Self-Identified as African Descent]),FALSE)="","",
VLOOKUP($A236,YES_Reading_FLA[],COLUMN(YES_Reading_FLA[Self-Identified as African Descent]),FALSE)),
IF($J$2="Combined",
IFERROR(
IF(VLOOKUP($A236, YES_Reading_ELA[], COLUMN(YES_Reading_ELA[Self-Identified as African Descent]), FALSE)="", "",
VLOOKUP($A236,YES_Reading_ELA[],COLUMN(YES_Reading_ELA[Self-Identified as African Descent]),FALSE)),
IF(VLOOKUP($A236, YES_Reading_FLA[], COLUMN(YES_Reading_FLA[Self-Identified as African Descent]),FALSE)="", "", VLOOKUP($A236,YES_Reading_FLA[],COLUMN(YES_Reading_FLA[Self-Identified as African Descent]),FALSE))),""))),"")</f>
        <v/>
      </c>
      <c r="L236" s="73" t="str" cm="1">
        <f t="array" ref="L236">IFERROR(
IF($J$2="ELA",
IF(VLOOKUP($A236, YES_Reading_ELA[], COLUMN(YES_Reading_ELA[Self-Identified as Indigenous]), FALSE)="", "",
VLOOKUP($A236,YES_Reading_ELA[], COLUMN(YES_Reading_ELA[Self-Identified as Indigenous]), FALSE)),
IF($J$2="FLA",
IF(VLOOKUP($A236, YES_Reading_FLA[], COLUMN(YES_Reading_FLA[Self-Identified as Indigenous]),FALSE)="","",
VLOOKUP($A236,YES_Reading_FLA[],COLUMN(YES_Reading_FLA[Self-Identified as Indigenous]),FALSE)),
IF($J$2="Combined",
IFERROR(
IF(VLOOKUP($A236, YES_Reading_ELA[], COLUMN(YES_Reading_ELA[Self-Identified as Indigenous]), FALSE)="", "",
VLOOKUP($A236,YES_Reading_ELA[],COLUMN(YES_Reading_ELA[Self-Identified as Indigenous]),FALSE)),
IF(VLOOKUP($A236, YES_Reading_FLA[], COLUMN(YES_Reading_FLA[Self-Identified as Indigenous]),FALSE)="", "", VLOOKUP($A236,YES_Reading_FLA[],COLUMN(YES_Reading_FLA[Self-Identified as Indigenous]),FALSE))),""))),"")</f>
        <v/>
      </c>
    </row>
    <row r="237" spans="1:12" ht="19.5" customHeight="1" x14ac:dyDescent="0.25">
      <c r="A237" s="217"/>
      <c r="B237" s="220"/>
      <c r="C237" s="203"/>
      <c r="D237" s="204"/>
      <c r="E237" s="205"/>
      <c r="F237" s="205"/>
      <c r="G237" s="205"/>
      <c r="H237" s="206"/>
      <c r="I237" s="212"/>
      <c r="J237" s="206"/>
      <c r="K237" s="197" t="str" cm="1">
        <f t="array" ref="K237">IFERROR(
IF($J$2="ELA",
IF(VLOOKUP($A237, YES_Reading_ELA[], COLUMN(YES_Reading_ELA[Self-Identified as African Descent]), FALSE)="", "",
VLOOKUP($A237,YES_Reading_ELA[], COLUMN(YES_Reading_ELA[Self-Identified as African Descent]), FALSE)),
IF($J$2="FLA",
IF(VLOOKUP($A237, YES_Reading_FLA[], COLUMN(YES_Reading_FLA[Self-Identified as African Descent]),FALSE)="","",
VLOOKUP($A237,YES_Reading_FLA[],COLUMN(YES_Reading_FLA[Self-Identified as African Descent]),FALSE)),
IF($J$2="Combined",
IFERROR(
IF(VLOOKUP($A237, YES_Reading_ELA[], COLUMN(YES_Reading_ELA[Self-Identified as African Descent]), FALSE)="", "",
VLOOKUP($A237,YES_Reading_ELA[],COLUMN(YES_Reading_ELA[Self-Identified as African Descent]),FALSE)),
IF(VLOOKUP($A237, YES_Reading_FLA[], COLUMN(YES_Reading_FLA[Self-Identified as African Descent]),FALSE)="", "", VLOOKUP($A237,YES_Reading_FLA[],COLUMN(YES_Reading_FLA[Self-Identified as African Descent]),FALSE))),""))),"")</f>
        <v/>
      </c>
      <c r="L237" s="73" t="str" cm="1">
        <f t="array" ref="L237">IFERROR(
IF($J$2="ELA",
IF(VLOOKUP($A237, YES_Reading_ELA[], COLUMN(YES_Reading_ELA[Self-Identified as Indigenous]), FALSE)="", "",
VLOOKUP($A237,YES_Reading_ELA[], COLUMN(YES_Reading_ELA[Self-Identified as Indigenous]), FALSE)),
IF($J$2="FLA",
IF(VLOOKUP($A237, YES_Reading_FLA[], COLUMN(YES_Reading_FLA[Self-Identified as Indigenous]),FALSE)="","",
VLOOKUP($A237,YES_Reading_FLA[],COLUMN(YES_Reading_FLA[Self-Identified as Indigenous]),FALSE)),
IF($J$2="Combined",
IFERROR(
IF(VLOOKUP($A237, YES_Reading_ELA[], COLUMN(YES_Reading_ELA[Self-Identified as Indigenous]), FALSE)="", "",
VLOOKUP($A237,YES_Reading_ELA[],COLUMN(YES_Reading_ELA[Self-Identified as Indigenous]),FALSE)),
IF(VLOOKUP($A237, YES_Reading_FLA[], COLUMN(YES_Reading_FLA[Self-Identified as Indigenous]),FALSE)="", "", VLOOKUP($A237,YES_Reading_FLA[],COLUMN(YES_Reading_FLA[Self-Identified as Indigenous]),FALSE))),""))),"")</f>
        <v/>
      </c>
    </row>
    <row r="238" spans="1:12" ht="19.5" customHeight="1" x14ac:dyDescent="0.25">
      <c r="A238" s="217"/>
      <c r="B238" s="220"/>
      <c r="C238" s="203"/>
      <c r="D238" s="204"/>
      <c r="E238" s="205"/>
      <c r="F238" s="205"/>
      <c r="G238" s="205"/>
      <c r="H238" s="206"/>
      <c r="I238" s="212"/>
      <c r="J238" s="206"/>
      <c r="K238" s="197" t="str" cm="1">
        <f t="array" ref="K238">IFERROR(
IF($J$2="ELA",
IF(VLOOKUP($A238, YES_Reading_ELA[], COLUMN(YES_Reading_ELA[Self-Identified as African Descent]), FALSE)="", "",
VLOOKUP($A238,YES_Reading_ELA[], COLUMN(YES_Reading_ELA[Self-Identified as African Descent]), FALSE)),
IF($J$2="FLA",
IF(VLOOKUP($A238, YES_Reading_FLA[], COLUMN(YES_Reading_FLA[Self-Identified as African Descent]),FALSE)="","",
VLOOKUP($A238,YES_Reading_FLA[],COLUMN(YES_Reading_FLA[Self-Identified as African Descent]),FALSE)),
IF($J$2="Combined",
IFERROR(
IF(VLOOKUP($A238, YES_Reading_ELA[], COLUMN(YES_Reading_ELA[Self-Identified as African Descent]), FALSE)="", "",
VLOOKUP($A238,YES_Reading_ELA[],COLUMN(YES_Reading_ELA[Self-Identified as African Descent]),FALSE)),
IF(VLOOKUP($A238, YES_Reading_FLA[], COLUMN(YES_Reading_FLA[Self-Identified as African Descent]),FALSE)="", "", VLOOKUP($A238,YES_Reading_FLA[],COLUMN(YES_Reading_FLA[Self-Identified as African Descent]),FALSE))),""))),"")</f>
        <v/>
      </c>
      <c r="L238" s="73" t="str" cm="1">
        <f t="array" ref="L238">IFERROR(
IF($J$2="ELA",
IF(VLOOKUP($A238, YES_Reading_ELA[], COLUMN(YES_Reading_ELA[Self-Identified as Indigenous]), FALSE)="", "",
VLOOKUP($A238,YES_Reading_ELA[], COLUMN(YES_Reading_ELA[Self-Identified as Indigenous]), FALSE)),
IF($J$2="FLA",
IF(VLOOKUP($A238, YES_Reading_FLA[], COLUMN(YES_Reading_FLA[Self-Identified as Indigenous]),FALSE)="","",
VLOOKUP($A238,YES_Reading_FLA[],COLUMN(YES_Reading_FLA[Self-Identified as Indigenous]),FALSE)),
IF($J$2="Combined",
IFERROR(
IF(VLOOKUP($A238, YES_Reading_ELA[], COLUMN(YES_Reading_ELA[Self-Identified as Indigenous]), FALSE)="", "",
VLOOKUP($A238,YES_Reading_ELA[],COLUMN(YES_Reading_ELA[Self-Identified as Indigenous]),FALSE)),
IF(VLOOKUP($A238, YES_Reading_FLA[], COLUMN(YES_Reading_FLA[Self-Identified as Indigenous]),FALSE)="", "", VLOOKUP($A238,YES_Reading_FLA[],COLUMN(YES_Reading_FLA[Self-Identified as Indigenous]),FALSE))),""))),"")</f>
        <v/>
      </c>
    </row>
    <row r="239" spans="1:12" ht="19.5" customHeight="1" x14ac:dyDescent="0.25">
      <c r="A239" s="217"/>
      <c r="B239" s="220"/>
      <c r="C239" s="203"/>
      <c r="D239" s="204"/>
      <c r="E239" s="205"/>
      <c r="F239" s="205"/>
      <c r="G239" s="205"/>
      <c r="H239" s="206"/>
      <c r="I239" s="212"/>
      <c r="J239" s="206"/>
      <c r="K239" s="197" t="str" cm="1">
        <f t="array" ref="K239">IFERROR(
IF($J$2="ELA",
IF(VLOOKUP($A239, YES_Reading_ELA[], COLUMN(YES_Reading_ELA[Self-Identified as African Descent]), FALSE)="", "",
VLOOKUP($A239,YES_Reading_ELA[], COLUMN(YES_Reading_ELA[Self-Identified as African Descent]), FALSE)),
IF($J$2="FLA",
IF(VLOOKUP($A239, YES_Reading_FLA[], COLUMN(YES_Reading_FLA[Self-Identified as African Descent]),FALSE)="","",
VLOOKUP($A239,YES_Reading_FLA[],COLUMN(YES_Reading_FLA[Self-Identified as African Descent]),FALSE)),
IF($J$2="Combined",
IFERROR(
IF(VLOOKUP($A239, YES_Reading_ELA[], COLUMN(YES_Reading_ELA[Self-Identified as African Descent]), FALSE)="", "",
VLOOKUP($A239,YES_Reading_ELA[],COLUMN(YES_Reading_ELA[Self-Identified as African Descent]),FALSE)),
IF(VLOOKUP($A239, YES_Reading_FLA[], COLUMN(YES_Reading_FLA[Self-Identified as African Descent]),FALSE)="", "", VLOOKUP($A239,YES_Reading_FLA[],COLUMN(YES_Reading_FLA[Self-Identified as African Descent]),FALSE))),""))),"")</f>
        <v/>
      </c>
      <c r="L239" s="73" t="str" cm="1">
        <f t="array" ref="L239">IFERROR(
IF($J$2="ELA",
IF(VLOOKUP($A239, YES_Reading_ELA[], COLUMN(YES_Reading_ELA[Self-Identified as Indigenous]), FALSE)="", "",
VLOOKUP($A239,YES_Reading_ELA[], COLUMN(YES_Reading_ELA[Self-Identified as Indigenous]), FALSE)),
IF($J$2="FLA",
IF(VLOOKUP($A239, YES_Reading_FLA[], COLUMN(YES_Reading_FLA[Self-Identified as Indigenous]),FALSE)="","",
VLOOKUP($A239,YES_Reading_FLA[],COLUMN(YES_Reading_FLA[Self-Identified as Indigenous]),FALSE)),
IF($J$2="Combined",
IFERROR(
IF(VLOOKUP($A239, YES_Reading_ELA[], COLUMN(YES_Reading_ELA[Self-Identified as Indigenous]), FALSE)="", "",
VLOOKUP($A239,YES_Reading_ELA[],COLUMN(YES_Reading_ELA[Self-Identified as Indigenous]),FALSE)),
IF(VLOOKUP($A239, YES_Reading_FLA[], COLUMN(YES_Reading_FLA[Self-Identified as Indigenous]),FALSE)="", "", VLOOKUP($A239,YES_Reading_FLA[],COLUMN(YES_Reading_FLA[Self-Identified as Indigenous]),FALSE))),""))),"")</f>
        <v/>
      </c>
    </row>
    <row r="240" spans="1:12" ht="19.5" customHeight="1" x14ac:dyDescent="0.25">
      <c r="A240" s="217"/>
      <c r="B240" s="220"/>
      <c r="C240" s="203"/>
      <c r="D240" s="204"/>
      <c r="E240" s="205"/>
      <c r="F240" s="205"/>
      <c r="G240" s="205"/>
      <c r="H240" s="206"/>
      <c r="I240" s="212"/>
      <c r="J240" s="206"/>
      <c r="K240" s="197" t="str" cm="1">
        <f t="array" ref="K240">IFERROR(
IF($J$2="ELA",
IF(VLOOKUP($A240, YES_Reading_ELA[], COLUMN(YES_Reading_ELA[Self-Identified as African Descent]), FALSE)="", "",
VLOOKUP($A240,YES_Reading_ELA[], COLUMN(YES_Reading_ELA[Self-Identified as African Descent]), FALSE)),
IF($J$2="FLA",
IF(VLOOKUP($A240, YES_Reading_FLA[], COLUMN(YES_Reading_FLA[Self-Identified as African Descent]),FALSE)="","",
VLOOKUP($A240,YES_Reading_FLA[],COLUMN(YES_Reading_FLA[Self-Identified as African Descent]),FALSE)),
IF($J$2="Combined",
IFERROR(
IF(VLOOKUP($A240, YES_Reading_ELA[], COLUMN(YES_Reading_ELA[Self-Identified as African Descent]), FALSE)="", "",
VLOOKUP($A240,YES_Reading_ELA[],COLUMN(YES_Reading_ELA[Self-Identified as African Descent]),FALSE)),
IF(VLOOKUP($A240, YES_Reading_FLA[], COLUMN(YES_Reading_FLA[Self-Identified as African Descent]),FALSE)="", "", VLOOKUP($A240,YES_Reading_FLA[],COLUMN(YES_Reading_FLA[Self-Identified as African Descent]),FALSE))),""))),"")</f>
        <v/>
      </c>
      <c r="L240" s="73" t="str" cm="1">
        <f t="array" ref="L240">IFERROR(
IF($J$2="ELA",
IF(VLOOKUP($A240, YES_Reading_ELA[], COLUMN(YES_Reading_ELA[Self-Identified as Indigenous]), FALSE)="", "",
VLOOKUP($A240,YES_Reading_ELA[], COLUMN(YES_Reading_ELA[Self-Identified as Indigenous]), FALSE)),
IF($J$2="FLA",
IF(VLOOKUP($A240, YES_Reading_FLA[], COLUMN(YES_Reading_FLA[Self-Identified as Indigenous]),FALSE)="","",
VLOOKUP($A240,YES_Reading_FLA[],COLUMN(YES_Reading_FLA[Self-Identified as Indigenous]),FALSE)),
IF($J$2="Combined",
IFERROR(
IF(VLOOKUP($A240, YES_Reading_ELA[], COLUMN(YES_Reading_ELA[Self-Identified as Indigenous]), FALSE)="", "",
VLOOKUP($A240,YES_Reading_ELA[],COLUMN(YES_Reading_ELA[Self-Identified as Indigenous]),FALSE)),
IF(VLOOKUP($A240, YES_Reading_FLA[], COLUMN(YES_Reading_FLA[Self-Identified as Indigenous]),FALSE)="", "", VLOOKUP($A240,YES_Reading_FLA[],COLUMN(YES_Reading_FLA[Self-Identified as Indigenous]),FALSE))),""))),"")</f>
        <v/>
      </c>
    </row>
    <row r="241" spans="1:12" ht="19.5" customHeight="1" x14ac:dyDescent="0.25">
      <c r="A241" s="217"/>
      <c r="B241" s="220"/>
      <c r="C241" s="203"/>
      <c r="D241" s="204"/>
      <c r="E241" s="205"/>
      <c r="F241" s="205"/>
      <c r="G241" s="205"/>
      <c r="H241" s="206"/>
      <c r="I241" s="212"/>
      <c r="J241" s="206"/>
      <c r="K241" s="197" t="str" cm="1">
        <f t="array" ref="K241">IFERROR(
IF($J$2="ELA",
IF(VLOOKUP($A241, YES_Reading_ELA[], COLUMN(YES_Reading_ELA[Self-Identified as African Descent]), FALSE)="", "",
VLOOKUP($A241,YES_Reading_ELA[], COLUMN(YES_Reading_ELA[Self-Identified as African Descent]), FALSE)),
IF($J$2="FLA",
IF(VLOOKUP($A241, YES_Reading_FLA[], COLUMN(YES_Reading_FLA[Self-Identified as African Descent]),FALSE)="","",
VLOOKUP($A241,YES_Reading_FLA[],COLUMN(YES_Reading_FLA[Self-Identified as African Descent]),FALSE)),
IF($J$2="Combined",
IFERROR(
IF(VLOOKUP($A241, YES_Reading_ELA[], COLUMN(YES_Reading_ELA[Self-Identified as African Descent]), FALSE)="", "",
VLOOKUP($A241,YES_Reading_ELA[],COLUMN(YES_Reading_ELA[Self-Identified as African Descent]),FALSE)),
IF(VLOOKUP($A241, YES_Reading_FLA[], COLUMN(YES_Reading_FLA[Self-Identified as African Descent]),FALSE)="", "", VLOOKUP($A241,YES_Reading_FLA[],COLUMN(YES_Reading_FLA[Self-Identified as African Descent]),FALSE))),""))),"")</f>
        <v/>
      </c>
      <c r="L241" s="73" t="str" cm="1">
        <f t="array" ref="L241">IFERROR(
IF($J$2="ELA",
IF(VLOOKUP($A241, YES_Reading_ELA[], COLUMN(YES_Reading_ELA[Self-Identified as Indigenous]), FALSE)="", "",
VLOOKUP($A241,YES_Reading_ELA[], COLUMN(YES_Reading_ELA[Self-Identified as Indigenous]), FALSE)),
IF($J$2="FLA",
IF(VLOOKUP($A241, YES_Reading_FLA[], COLUMN(YES_Reading_FLA[Self-Identified as Indigenous]),FALSE)="","",
VLOOKUP($A241,YES_Reading_FLA[],COLUMN(YES_Reading_FLA[Self-Identified as Indigenous]),FALSE)),
IF($J$2="Combined",
IFERROR(
IF(VLOOKUP($A241, YES_Reading_ELA[], COLUMN(YES_Reading_ELA[Self-Identified as Indigenous]), FALSE)="", "",
VLOOKUP($A241,YES_Reading_ELA[],COLUMN(YES_Reading_ELA[Self-Identified as Indigenous]),FALSE)),
IF(VLOOKUP($A241, YES_Reading_FLA[], COLUMN(YES_Reading_FLA[Self-Identified as Indigenous]),FALSE)="", "", VLOOKUP($A241,YES_Reading_FLA[],COLUMN(YES_Reading_FLA[Self-Identified as Indigenous]),FALSE))),""))),"")</f>
        <v/>
      </c>
    </row>
    <row r="242" spans="1:12" ht="19.5" customHeight="1" x14ac:dyDescent="0.25">
      <c r="A242" s="217"/>
      <c r="B242" s="220"/>
      <c r="C242" s="203"/>
      <c r="D242" s="204"/>
      <c r="E242" s="205"/>
      <c r="F242" s="205"/>
      <c r="G242" s="205"/>
      <c r="H242" s="206"/>
      <c r="I242" s="212"/>
      <c r="J242" s="206"/>
      <c r="K242" s="197" t="str" cm="1">
        <f t="array" ref="K242">IFERROR(
IF($J$2="ELA",
IF(VLOOKUP($A242, YES_Reading_ELA[], COLUMN(YES_Reading_ELA[Self-Identified as African Descent]), FALSE)="", "",
VLOOKUP($A242,YES_Reading_ELA[], COLUMN(YES_Reading_ELA[Self-Identified as African Descent]), FALSE)),
IF($J$2="FLA",
IF(VLOOKUP($A242, YES_Reading_FLA[], COLUMN(YES_Reading_FLA[Self-Identified as African Descent]),FALSE)="","",
VLOOKUP($A242,YES_Reading_FLA[],COLUMN(YES_Reading_FLA[Self-Identified as African Descent]),FALSE)),
IF($J$2="Combined",
IFERROR(
IF(VLOOKUP($A242, YES_Reading_ELA[], COLUMN(YES_Reading_ELA[Self-Identified as African Descent]), FALSE)="", "",
VLOOKUP($A242,YES_Reading_ELA[],COLUMN(YES_Reading_ELA[Self-Identified as African Descent]),FALSE)),
IF(VLOOKUP($A242, YES_Reading_FLA[], COLUMN(YES_Reading_FLA[Self-Identified as African Descent]),FALSE)="", "", VLOOKUP($A242,YES_Reading_FLA[],COLUMN(YES_Reading_FLA[Self-Identified as African Descent]),FALSE))),""))),"")</f>
        <v/>
      </c>
      <c r="L242" s="73" t="str" cm="1">
        <f t="array" ref="L242">IFERROR(
IF($J$2="ELA",
IF(VLOOKUP($A242, YES_Reading_ELA[], COLUMN(YES_Reading_ELA[Self-Identified as Indigenous]), FALSE)="", "",
VLOOKUP($A242,YES_Reading_ELA[], COLUMN(YES_Reading_ELA[Self-Identified as Indigenous]), FALSE)),
IF($J$2="FLA",
IF(VLOOKUP($A242, YES_Reading_FLA[], COLUMN(YES_Reading_FLA[Self-Identified as Indigenous]),FALSE)="","",
VLOOKUP($A242,YES_Reading_FLA[],COLUMN(YES_Reading_FLA[Self-Identified as Indigenous]),FALSE)),
IF($J$2="Combined",
IFERROR(
IF(VLOOKUP($A242, YES_Reading_ELA[], COLUMN(YES_Reading_ELA[Self-Identified as Indigenous]), FALSE)="", "",
VLOOKUP($A242,YES_Reading_ELA[],COLUMN(YES_Reading_ELA[Self-Identified as Indigenous]),FALSE)),
IF(VLOOKUP($A242, YES_Reading_FLA[], COLUMN(YES_Reading_FLA[Self-Identified as Indigenous]),FALSE)="", "", VLOOKUP($A242,YES_Reading_FLA[],COLUMN(YES_Reading_FLA[Self-Identified as Indigenous]),FALSE))),""))),"")</f>
        <v/>
      </c>
    </row>
    <row r="243" spans="1:12" ht="19.5" customHeight="1" x14ac:dyDescent="0.25">
      <c r="A243" s="217"/>
      <c r="B243" s="220"/>
      <c r="C243" s="203"/>
      <c r="D243" s="204"/>
      <c r="E243" s="205"/>
      <c r="F243" s="205"/>
      <c r="G243" s="205"/>
      <c r="H243" s="206"/>
      <c r="I243" s="212"/>
      <c r="J243" s="206"/>
      <c r="K243" s="197" t="str" cm="1">
        <f t="array" ref="K243">IFERROR(
IF($J$2="ELA",
IF(VLOOKUP($A243, YES_Reading_ELA[], COLUMN(YES_Reading_ELA[Self-Identified as African Descent]), FALSE)="", "",
VLOOKUP($A243,YES_Reading_ELA[], COLUMN(YES_Reading_ELA[Self-Identified as African Descent]), FALSE)),
IF($J$2="FLA",
IF(VLOOKUP($A243, YES_Reading_FLA[], COLUMN(YES_Reading_FLA[Self-Identified as African Descent]),FALSE)="","",
VLOOKUP($A243,YES_Reading_FLA[],COLUMN(YES_Reading_FLA[Self-Identified as African Descent]),FALSE)),
IF($J$2="Combined",
IFERROR(
IF(VLOOKUP($A243, YES_Reading_ELA[], COLUMN(YES_Reading_ELA[Self-Identified as African Descent]), FALSE)="", "",
VLOOKUP($A243,YES_Reading_ELA[],COLUMN(YES_Reading_ELA[Self-Identified as African Descent]),FALSE)),
IF(VLOOKUP($A243, YES_Reading_FLA[], COLUMN(YES_Reading_FLA[Self-Identified as African Descent]),FALSE)="", "", VLOOKUP($A243,YES_Reading_FLA[],COLUMN(YES_Reading_FLA[Self-Identified as African Descent]),FALSE))),""))),"")</f>
        <v/>
      </c>
      <c r="L243" s="73" t="str" cm="1">
        <f t="array" ref="L243">IFERROR(
IF($J$2="ELA",
IF(VLOOKUP($A243, YES_Reading_ELA[], COLUMN(YES_Reading_ELA[Self-Identified as Indigenous]), FALSE)="", "",
VLOOKUP($A243,YES_Reading_ELA[], COLUMN(YES_Reading_ELA[Self-Identified as Indigenous]), FALSE)),
IF($J$2="FLA",
IF(VLOOKUP($A243, YES_Reading_FLA[], COLUMN(YES_Reading_FLA[Self-Identified as Indigenous]),FALSE)="","",
VLOOKUP($A243,YES_Reading_FLA[],COLUMN(YES_Reading_FLA[Self-Identified as Indigenous]),FALSE)),
IF($J$2="Combined",
IFERROR(
IF(VLOOKUP($A243, YES_Reading_ELA[], COLUMN(YES_Reading_ELA[Self-Identified as Indigenous]), FALSE)="", "",
VLOOKUP($A243,YES_Reading_ELA[],COLUMN(YES_Reading_ELA[Self-Identified as Indigenous]),FALSE)),
IF(VLOOKUP($A243, YES_Reading_FLA[], COLUMN(YES_Reading_FLA[Self-Identified as Indigenous]),FALSE)="", "", VLOOKUP($A243,YES_Reading_FLA[],COLUMN(YES_Reading_FLA[Self-Identified as Indigenous]),FALSE))),""))),"")</f>
        <v/>
      </c>
    </row>
    <row r="244" spans="1:12" ht="19.5" customHeight="1" x14ac:dyDescent="0.25">
      <c r="A244" s="217"/>
      <c r="B244" s="220"/>
      <c r="C244" s="203"/>
      <c r="D244" s="204"/>
      <c r="E244" s="205"/>
      <c r="F244" s="205"/>
      <c r="G244" s="205"/>
      <c r="H244" s="206"/>
      <c r="I244" s="212"/>
      <c r="J244" s="206"/>
      <c r="K244" s="197" t="str" cm="1">
        <f t="array" ref="K244">IFERROR(
IF($J$2="ELA",
IF(VLOOKUP($A244, YES_Reading_ELA[], COLUMN(YES_Reading_ELA[Self-Identified as African Descent]), FALSE)="", "",
VLOOKUP($A244,YES_Reading_ELA[], COLUMN(YES_Reading_ELA[Self-Identified as African Descent]), FALSE)),
IF($J$2="FLA",
IF(VLOOKUP($A244, YES_Reading_FLA[], COLUMN(YES_Reading_FLA[Self-Identified as African Descent]),FALSE)="","",
VLOOKUP($A244,YES_Reading_FLA[],COLUMN(YES_Reading_FLA[Self-Identified as African Descent]),FALSE)),
IF($J$2="Combined",
IFERROR(
IF(VLOOKUP($A244, YES_Reading_ELA[], COLUMN(YES_Reading_ELA[Self-Identified as African Descent]), FALSE)="", "",
VLOOKUP($A244,YES_Reading_ELA[],COLUMN(YES_Reading_ELA[Self-Identified as African Descent]),FALSE)),
IF(VLOOKUP($A244, YES_Reading_FLA[], COLUMN(YES_Reading_FLA[Self-Identified as African Descent]),FALSE)="", "", VLOOKUP($A244,YES_Reading_FLA[],COLUMN(YES_Reading_FLA[Self-Identified as African Descent]),FALSE))),""))),"")</f>
        <v/>
      </c>
      <c r="L244" s="73" t="str" cm="1">
        <f t="array" ref="L244">IFERROR(
IF($J$2="ELA",
IF(VLOOKUP($A244, YES_Reading_ELA[], COLUMN(YES_Reading_ELA[Self-Identified as Indigenous]), FALSE)="", "",
VLOOKUP($A244,YES_Reading_ELA[], COLUMN(YES_Reading_ELA[Self-Identified as Indigenous]), FALSE)),
IF($J$2="FLA",
IF(VLOOKUP($A244, YES_Reading_FLA[], COLUMN(YES_Reading_FLA[Self-Identified as Indigenous]),FALSE)="","",
VLOOKUP($A244,YES_Reading_FLA[],COLUMN(YES_Reading_FLA[Self-Identified as Indigenous]),FALSE)),
IF($J$2="Combined",
IFERROR(
IF(VLOOKUP($A244, YES_Reading_ELA[], COLUMN(YES_Reading_ELA[Self-Identified as Indigenous]), FALSE)="", "",
VLOOKUP($A244,YES_Reading_ELA[],COLUMN(YES_Reading_ELA[Self-Identified as Indigenous]),FALSE)),
IF(VLOOKUP($A244, YES_Reading_FLA[], COLUMN(YES_Reading_FLA[Self-Identified as Indigenous]),FALSE)="", "", VLOOKUP($A244,YES_Reading_FLA[],COLUMN(YES_Reading_FLA[Self-Identified as Indigenous]),FALSE))),""))),"")</f>
        <v/>
      </c>
    </row>
    <row r="245" spans="1:12" ht="19.5" customHeight="1" x14ac:dyDescent="0.25">
      <c r="A245" s="217"/>
      <c r="B245" s="220"/>
      <c r="C245" s="203"/>
      <c r="D245" s="204"/>
      <c r="E245" s="205"/>
      <c r="F245" s="205"/>
      <c r="G245" s="205"/>
      <c r="H245" s="206"/>
      <c r="I245" s="212"/>
      <c r="J245" s="206"/>
      <c r="K245" s="197" t="str" cm="1">
        <f t="array" ref="K245">IFERROR(
IF($J$2="ELA",
IF(VLOOKUP($A245, YES_Reading_ELA[], COLUMN(YES_Reading_ELA[Self-Identified as African Descent]), FALSE)="", "",
VLOOKUP($A245,YES_Reading_ELA[], COLUMN(YES_Reading_ELA[Self-Identified as African Descent]), FALSE)),
IF($J$2="FLA",
IF(VLOOKUP($A245, YES_Reading_FLA[], COLUMN(YES_Reading_FLA[Self-Identified as African Descent]),FALSE)="","",
VLOOKUP($A245,YES_Reading_FLA[],COLUMN(YES_Reading_FLA[Self-Identified as African Descent]),FALSE)),
IF($J$2="Combined",
IFERROR(
IF(VLOOKUP($A245, YES_Reading_ELA[], COLUMN(YES_Reading_ELA[Self-Identified as African Descent]), FALSE)="", "",
VLOOKUP($A245,YES_Reading_ELA[],COLUMN(YES_Reading_ELA[Self-Identified as African Descent]),FALSE)),
IF(VLOOKUP($A245, YES_Reading_FLA[], COLUMN(YES_Reading_FLA[Self-Identified as African Descent]),FALSE)="", "", VLOOKUP($A245,YES_Reading_FLA[],COLUMN(YES_Reading_FLA[Self-Identified as African Descent]),FALSE))),""))),"")</f>
        <v/>
      </c>
      <c r="L245" s="73" t="str" cm="1">
        <f t="array" ref="L245">IFERROR(
IF($J$2="ELA",
IF(VLOOKUP($A245, YES_Reading_ELA[], COLUMN(YES_Reading_ELA[Self-Identified as Indigenous]), FALSE)="", "",
VLOOKUP($A245,YES_Reading_ELA[], COLUMN(YES_Reading_ELA[Self-Identified as Indigenous]), FALSE)),
IF($J$2="FLA",
IF(VLOOKUP($A245, YES_Reading_FLA[], COLUMN(YES_Reading_FLA[Self-Identified as Indigenous]),FALSE)="","",
VLOOKUP($A245,YES_Reading_FLA[],COLUMN(YES_Reading_FLA[Self-Identified as Indigenous]),FALSE)),
IF($J$2="Combined",
IFERROR(
IF(VLOOKUP($A245, YES_Reading_ELA[], COLUMN(YES_Reading_ELA[Self-Identified as Indigenous]), FALSE)="", "",
VLOOKUP($A245,YES_Reading_ELA[],COLUMN(YES_Reading_ELA[Self-Identified as Indigenous]),FALSE)),
IF(VLOOKUP($A245, YES_Reading_FLA[], COLUMN(YES_Reading_FLA[Self-Identified as Indigenous]),FALSE)="", "", VLOOKUP($A245,YES_Reading_FLA[],COLUMN(YES_Reading_FLA[Self-Identified as Indigenous]),FALSE))),""))),"")</f>
        <v/>
      </c>
    </row>
    <row r="246" spans="1:12" ht="19.5" customHeight="1" x14ac:dyDescent="0.25">
      <c r="A246" s="217"/>
      <c r="B246" s="220"/>
      <c r="C246" s="203"/>
      <c r="D246" s="204"/>
      <c r="E246" s="205"/>
      <c r="F246" s="205"/>
      <c r="G246" s="205"/>
      <c r="H246" s="206"/>
      <c r="I246" s="212"/>
      <c r="J246" s="206"/>
      <c r="K246" s="197" t="str" cm="1">
        <f t="array" ref="K246">IFERROR(
IF($J$2="ELA",
IF(VLOOKUP($A246, YES_Reading_ELA[], COLUMN(YES_Reading_ELA[Self-Identified as African Descent]), FALSE)="", "",
VLOOKUP($A246,YES_Reading_ELA[], COLUMN(YES_Reading_ELA[Self-Identified as African Descent]), FALSE)),
IF($J$2="FLA",
IF(VLOOKUP($A246, YES_Reading_FLA[], COLUMN(YES_Reading_FLA[Self-Identified as African Descent]),FALSE)="","",
VLOOKUP($A246,YES_Reading_FLA[],COLUMN(YES_Reading_FLA[Self-Identified as African Descent]),FALSE)),
IF($J$2="Combined",
IFERROR(
IF(VLOOKUP($A246, YES_Reading_ELA[], COLUMN(YES_Reading_ELA[Self-Identified as African Descent]), FALSE)="", "",
VLOOKUP($A246,YES_Reading_ELA[],COLUMN(YES_Reading_ELA[Self-Identified as African Descent]),FALSE)),
IF(VLOOKUP($A246, YES_Reading_FLA[], COLUMN(YES_Reading_FLA[Self-Identified as African Descent]),FALSE)="", "", VLOOKUP($A246,YES_Reading_FLA[],COLUMN(YES_Reading_FLA[Self-Identified as African Descent]),FALSE))),""))),"")</f>
        <v/>
      </c>
      <c r="L246" s="73" t="str" cm="1">
        <f t="array" ref="L246">IFERROR(
IF($J$2="ELA",
IF(VLOOKUP($A246, YES_Reading_ELA[], COLUMN(YES_Reading_ELA[Self-Identified as Indigenous]), FALSE)="", "",
VLOOKUP($A246,YES_Reading_ELA[], COLUMN(YES_Reading_ELA[Self-Identified as Indigenous]), FALSE)),
IF($J$2="FLA",
IF(VLOOKUP($A246, YES_Reading_FLA[], COLUMN(YES_Reading_FLA[Self-Identified as Indigenous]),FALSE)="","",
VLOOKUP($A246,YES_Reading_FLA[],COLUMN(YES_Reading_FLA[Self-Identified as Indigenous]),FALSE)),
IF($J$2="Combined",
IFERROR(
IF(VLOOKUP($A246, YES_Reading_ELA[], COLUMN(YES_Reading_ELA[Self-Identified as Indigenous]), FALSE)="", "",
VLOOKUP($A246,YES_Reading_ELA[],COLUMN(YES_Reading_ELA[Self-Identified as Indigenous]),FALSE)),
IF(VLOOKUP($A246, YES_Reading_FLA[], COLUMN(YES_Reading_FLA[Self-Identified as Indigenous]),FALSE)="", "", VLOOKUP($A246,YES_Reading_FLA[],COLUMN(YES_Reading_FLA[Self-Identified as Indigenous]),FALSE))),""))),"")</f>
        <v/>
      </c>
    </row>
    <row r="247" spans="1:12" ht="19.5" customHeight="1" x14ac:dyDescent="0.25">
      <c r="A247" s="217"/>
      <c r="B247" s="220"/>
      <c r="C247" s="203"/>
      <c r="D247" s="204"/>
      <c r="E247" s="205"/>
      <c r="F247" s="205"/>
      <c r="G247" s="205"/>
      <c r="H247" s="206"/>
      <c r="I247" s="212"/>
      <c r="J247" s="206"/>
      <c r="K247" s="197" t="str" cm="1">
        <f t="array" ref="K247">IFERROR(
IF($J$2="ELA",
IF(VLOOKUP($A247, YES_Reading_ELA[], COLUMN(YES_Reading_ELA[Self-Identified as African Descent]), FALSE)="", "",
VLOOKUP($A247,YES_Reading_ELA[], COLUMN(YES_Reading_ELA[Self-Identified as African Descent]), FALSE)),
IF($J$2="FLA",
IF(VLOOKUP($A247, YES_Reading_FLA[], COLUMN(YES_Reading_FLA[Self-Identified as African Descent]),FALSE)="","",
VLOOKUP($A247,YES_Reading_FLA[],COLUMN(YES_Reading_FLA[Self-Identified as African Descent]),FALSE)),
IF($J$2="Combined",
IFERROR(
IF(VLOOKUP($A247, YES_Reading_ELA[], COLUMN(YES_Reading_ELA[Self-Identified as African Descent]), FALSE)="", "",
VLOOKUP($A247,YES_Reading_ELA[],COLUMN(YES_Reading_ELA[Self-Identified as African Descent]),FALSE)),
IF(VLOOKUP($A247, YES_Reading_FLA[], COLUMN(YES_Reading_FLA[Self-Identified as African Descent]),FALSE)="", "", VLOOKUP($A247,YES_Reading_FLA[],COLUMN(YES_Reading_FLA[Self-Identified as African Descent]),FALSE))),""))),"")</f>
        <v/>
      </c>
      <c r="L247" s="73" t="str" cm="1">
        <f t="array" ref="L247">IFERROR(
IF($J$2="ELA",
IF(VLOOKUP($A247, YES_Reading_ELA[], COLUMN(YES_Reading_ELA[Self-Identified as Indigenous]), FALSE)="", "",
VLOOKUP($A247,YES_Reading_ELA[], COLUMN(YES_Reading_ELA[Self-Identified as Indigenous]), FALSE)),
IF($J$2="FLA",
IF(VLOOKUP($A247, YES_Reading_FLA[], COLUMN(YES_Reading_FLA[Self-Identified as Indigenous]),FALSE)="","",
VLOOKUP($A247,YES_Reading_FLA[],COLUMN(YES_Reading_FLA[Self-Identified as Indigenous]),FALSE)),
IF($J$2="Combined",
IFERROR(
IF(VLOOKUP($A247, YES_Reading_ELA[], COLUMN(YES_Reading_ELA[Self-Identified as Indigenous]), FALSE)="", "",
VLOOKUP($A247,YES_Reading_ELA[],COLUMN(YES_Reading_ELA[Self-Identified as Indigenous]),FALSE)),
IF(VLOOKUP($A247, YES_Reading_FLA[], COLUMN(YES_Reading_FLA[Self-Identified as Indigenous]),FALSE)="", "", VLOOKUP($A247,YES_Reading_FLA[],COLUMN(YES_Reading_FLA[Self-Identified as Indigenous]),FALSE))),""))),"")</f>
        <v/>
      </c>
    </row>
    <row r="248" spans="1:12" ht="19.5" customHeight="1" x14ac:dyDescent="0.25">
      <c r="A248" s="217"/>
      <c r="B248" s="220"/>
      <c r="C248" s="203"/>
      <c r="D248" s="204"/>
      <c r="E248" s="205"/>
      <c r="F248" s="205"/>
      <c r="G248" s="205"/>
      <c r="H248" s="206"/>
      <c r="I248" s="212"/>
      <c r="J248" s="206"/>
      <c r="K248" s="197" t="str" cm="1">
        <f t="array" ref="K248">IFERROR(
IF($J$2="ELA",
IF(VLOOKUP($A248, YES_Reading_ELA[], COLUMN(YES_Reading_ELA[Self-Identified as African Descent]), FALSE)="", "",
VLOOKUP($A248,YES_Reading_ELA[], COLUMN(YES_Reading_ELA[Self-Identified as African Descent]), FALSE)),
IF($J$2="FLA",
IF(VLOOKUP($A248, YES_Reading_FLA[], COLUMN(YES_Reading_FLA[Self-Identified as African Descent]),FALSE)="","",
VLOOKUP($A248,YES_Reading_FLA[],COLUMN(YES_Reading_FLA[Self-Identified as African Descent]),FALSE)),
IF($J$2="Combined",
IFERROR(
IF(VLOOKUP($A248, YES_Reading_ELA[], COLUMN(YES_Reading_ELA[Self-Identified as African Descent]), FALSE)="", "",
VLOOKUP($A248,YES_Reading_ELA[],COLUMN(YES_Reading_ELA[Self-Identified as African Descent]),FALSE)),
IF(VLOOKUP($A248, YES_Reading_FLA[], COLUMN(YES_Reading_FLA[Self-Identified as African Descent]),FALSE)="", "", VLOOKUP($A248,YES_Reading_FLA[],COLUMN(YES_Reading_FLA[Self-Identified as African Descent]),FALSE))),""))),"")</f>
        <v/>
      </c>
      <c r="L248" s="73" t="str" cm="1">
        <f t="array" ref="L248">IFERROR(
IF($J$2="ELA",
IF(VLOOKUP($A248, YES_Reading_ELA[], COLUMN(YES_Reading_ELA[Self-Identified as Indigenous]), FALSE)="", "",
VLOOKUP($A248,YES_Reading_ELA[], COLUMN(YES_Reading_ELA[Self-Identified as Indigenous]), FALSE)),
IF($J$2="FLA",
IF(VLOOKUP($A248, YES_Reading_FLA[], COLUMN(YES_Reading_FLA[Self-Identified as Indigenous]),FALSE)="","",
VLOOKUP($A248,YES_Reading_FLA[],COLUMN(YES_Reading_FLA[Self-Identified as Indigenous]),FALSE)),
IF($J$2="Combined",
IFERROR(
IF(VLOOKUP($A248, YES_Reading_ELA[], COLUMN(YES_Reading_ELA[Self-Identified as Indigenous]), FALSE)="", "",
VLOOKUP($A248,YES_Reading_ELA[],COLUMN(YES_Reading_ELA[Self-Identified as Indigenous]),FALSE)),
IF(VLOOKUP($A248, YES_Reading_FLA[], COLUMN(YES_Reading_FLA[Self-Identified as Indigenous]),FALSE)="", "", VLOOKUP($A248,YES_Reading_FLA[],COLUMN(YES_Reading_FLA[Self-Identified as Indigenous]),FALSE))),""))),"")</f>
        <v/>
      </c>
    </row>
    <row r="249" spans="1:12" ht="19.5" customHeight="1" x14ac:dyDescent="0.25">
      <c r="A249" s="217"/>
      <c r="B249" s="220"/>
      <c r="C249" s="203"/>
      <c r="D249" s="204"/>
      <c r="E249" s="205"/>
      <c r="F249" s="205"/>
      <c r="G249" s="205"/>
      <c r="H249" s="206"/>
      <c r="I249" s="212"/>
      <c r="J249" s="206"/>
      <c r="K249" s="197" t="str" cm="1">
        <f t="array" ref="K249">IFERROR(
IF($J$2="ELA",
IF(VLOOKUP($A249, YES_Reading_ELA[], COLUMN(YES_Reading_ELA[Self-Identified as African Descent]), FALSE)="", "",
VLOOKUP($A249,YES_Reading_ELA[], COLUMN(YES_Reading_ELA[Self-Identified as African Descent]), FALSE)),
IF($J$2="FLA",
IF(VLOOKUP($A249, YES_Reading_FLA[], COLUMN(YES_Reading_FLA[Self-Identified as African Descent]),FALSE)="","",
VLOOKUP($A249,YES_Reading_FLA[],COLUMN(YES_Reading_FLA[Self-Identified as African Descent]),FALSE)),
IF($J$2="Combined",
IFERROR(
IF(VLOOKUP($A249, YES_Reading_ELA[], COLUMN(YES_Reading_ELA[Self-Identified as African Descent]), FALSE)="", "",
VLOOKUP($A249,YES_Reading_ELA[],COLUMN(YES_Reading_ELA[Self-Identified as African Descent]),FALSE)),
IF(VLOOKUP($A249, YES_Reading_FLA[], COLUMN(YES_Reading_FLA[Self-Identified as African Descent]),FALSE)="", "", VLOOKUP($A249,YES_Reading_FLA[],COLUMN(YES_Reading_FLA[Self-Identified as African Descent]),FALSE))),""))),"")</f>
        <v/>
      </c>
      <c r="L249" s="73" t="str" cm="1">
        <f t="array" ref="L249">IFERROR(
IF($J$2="ELA",
IF(VLOOKUP($A249, YES_Reading_ELA[], COLUMN(YES_Reading_ELA[Self-Identified as Indigenous]), FALSE)="", "",
VLOOKUP($A249,YES_Reading_ELA[], COLUMN(YES_Reading_ELA[Self-Identified as Indigenous]), FALSE)),
IF($J$2="FLA",
IF(VLOOKUP($A249, YES_Reading_FLA[], COLUMN(YES_Reading_FLA[Self-Identified as Indigenous]),FALSE)="","",
VLOOKUP($A249,YES_Reading_FLA[],COLUMN(YES_Reading_FLA[Self-Identified as Indigenous]),FALSE)),
IF($J$2="Combined",
IFERROR(
IF(VLOOKUP($A249, YES_Reading_ELA[], COLUMN(YES_Reading_ELA[Self-Identified as Indigenous]), FALSE)="", "",
VLOOKUP($A249,YES_Reading_ELA[],COLUMN(YES_Reading_ELA[Self-Identified as Indigenous]),FALSE)),
IF(VLOOKUP($A249, YES_Reading_FLA[], COLUMN(YES_Reading_FLA[Self-Identified as Indigenous]),FALSE)="", "", VLOOKUP($A249,YES_Reading_FLA[],COLUMN(YES_Reading_FLA[Self-Identified as Indigenous]),FALSE))),""))),"")</f>
        <v/>
      </c>
    </row>
    <row r="250" spans="1:12" ht="19.5" customHeight="1" x14ac:dyDescent="0.25">
      <c r="A250" s="217"/>
      <c r="B250" s="220"/>
      <c r="C250" s="203"/>
      <c r="D250" s="204"/>
      <c r="E250" s="205"/>
      <c r="F250" s="205"/>
      <c r="G250" s="205"/>
      <c r="H250" s="206"/>
      <c r="I250" s="212"/>
      <c r="J250" s="206"/>
      <c r="K250" s="197" t="str" cm="1">
        <f t="array" ref="K250">IFERROR(
IF($J$2="ELA",
IF(VLOOKUP($A250, YES_Reading_ELA[], COLUMN(YES_Reading_ELA[Self-Identified as African Descent]), FALSE)="", "",
VLOOKUP($A250,YES_Reading_ELA[], COLUMN(YES_Reading_ELA[Self-Identified as African Descent]), FALSE)),
IF($J$2="FLA",
IF(VLOOKUP($A250, YES_Reading_FLA[], COLUMN(YES_Reading_FLA[Self-Identified as African Descent]),FALSE)="","",
VLOOKUP($A250,YES_Reading_FLA[],COLUMN(YES_Reading_FLA[Self-Identified as African Descent]),FALSE)),
IF($J$2="Combined",
IFERROR(
IF(VLOOKUP($A250, YES_Reading_ELA[], COLUMN(YES_Reading_ELA[Self-Identified as African Descent]), FALSE)="", "",
VLOOKUP($A250,YES_Reading_ELA[],COLUMN(YES_Reading_ELA[Self-Identified as African Descent]),FALSE)),
IF(VLOOKUP($A250, YES_Reading_FLA[], COLUMN(YES_Reading_FLA[Self-Identified as African Descent]),FALSE)="", "", VLOOKUP($A250,YES_Reading_FLA[],COLUMN(YES_Reading_FLA[Self-Identified as African Descent]),FALSE))),""))),"")</f>
        <v/>
      </c>
      <c r="L250" s="73" t="str" cm="1">
        <f t="array" ref="L250">IFERROR(
IF($J$2="ELA",
IF(VLOOKUP($A250, YES_Reading_ELA[], COLUMN(YES_Reading_ELA[Self-Identified as Indigenous]), FALSE)="", "",
VLOOKUP($A250,YES_Reading_ELA[], COLUMN(YES_Reading_ELA[Self-Identified as Indigenous]), FALSE)),
IF($J$2="FLA",
IF(VLOOKUP($A250, YES_Reading_FLA[], COLUMN(YES_Reading_FLA[Self-Identified as Indigenous]),FALSE)="","",
VLOOKUP($A250,YES_Reading_FLA[],COLUMN(YES_Reading_FLA[Self-Identified as Indigenous]),FALSE)),
IF($J$2="Combined",
IFERROR(
IF(VLOOKUP($A250, YES_Reading_ELA[], COLUMN(YES_Reading_ELA[Self-Identified as Indigenous]), FALSE)="", "",
VLOOKUP($A250,YES_Reading_ELA[],COLUMN(YES_Reading_ELA[Self-Identified as Indigenous]),FALSE)),
IF(VLOOKUP($A250, YES_Reading_FLA[], COLUMN(YES_Reading_FLA[Self-Identified as Indigenous]),FALSE)="", "", VLOOKUP($A250,YES_Reading_FLA[],COLUMN(YES_Reading_FLA[Self-Identified as Indigenous]),FALSE))),""))),"")</f>
        <v/>
      </c>
    </row>
    <row r="251" spans="1:12" ht="19.5" customHeight="1" x14ac:dyDescent="0.25">
      <c r="A251" s="217"/>
      <c r="B251" s="220"/>
      <c r="C251" s="203"/>
      <c r="D251" s="204"/>
      <c r="E251" s="205"/>
      <c r="F251" s="205"/>
      <c r="G251" s="205"/>
      <c r="H251" s="206"/>
      <c r="I251" s="212"/>
      <c r="J251" s="206"/>
      <c r="K251" s="197" t="str" cm="1">
        <f t="array" ref="K251">IFERROR(
IF($J$2="ELA",
IF(VLOOKUP($A251, YES_Reading_ELA[], COLUMN(YES_Reading_ELA[Self-Identified as African Descent]), FALSE)="", "",
VLOOKUP($A251,YES_Reading_ELA[], COLUMN(YES_Reading_ELA[Self-Identified as African Descent]), FALSE)),
IF($J$2="FLA",
IF(VLOOKUP($A251, YES_Reading_FLA[], COLUMN(YES_Reading_FLA[Self-Identified as African Descent]),FALSE)="","",
VLOOKUP($A251,YES_Reading_FLA[],COLUMN(YES_Reading_FLA[Self-Identified as African Descent]),FALSE)),
IF($J$2="Combined",
IFERROR(
IF(VLOOKUP($A251, YES_Reading_ELA[], COLUMN(YES_Reading_ELA[Self-Identified as African Descent]), FALSE)="", "",
VLOOKUP($A251,YES_Reading_ELA[],COLUMN(YES_Reading_ELA[Self-Identified as African Descent]),FALSE)),
IF(VLOOKUP($A251, YES_Reading_FLA[], COLUMN(YES_Reading_FLA[Self-Identified as African Descent]),FALSE)="", "", VLOOKUP($A251,YES_Reading_FLA[],COLUMN(YES_Reading_FLA[Self-Identified as African Descent]),FALSE))),""))),"")</f>
        <v/>
      </c>
      <c r="L251" s="73" t="str" cm="1">
        <f t="array" ref="L251">IFERROR(
IF($J$2="ELA",
IF(VLOOKUP($A251, YES_Reading_ELA[], COLUMN(YES_Reading_ELA[Self-Identified as Indigenous]), FALSE)="", "",
VLOOKUP($A251,YES_Reading_ELA[], COLUMN(YES_Reading_ELA[Self-Identified as Indigenous]), FALSE)),
IF($J$2="FLA",
IF(VLOOKUP($A251, YES_Reading_FLA[], COLUMN(YES_Reading_FLA[Self-Identified as Indigenous]),FALSE)="","",
VLOOKUP($A251,YES_Reading_FLA[],COLUMN(YES_Reading_FLA[Self-Identified as Indigenous]),FALSE)),
IF($J$2="Combined",
IFERROR(
IF(VLOOKUP($A251, YES_Reading_ELA[], COLUMN(YES_Reading_ELA[Self-Identified as Indigenous]), FALSE)="", "",
VLOOKUP($A251,YES_Reading_ELA[],COLUMN(YES_Reading_ELA[Self-Identified as Indigenous]),FALSE)),
IF(VLOOKUP($A251, YES_Reading_FLA[], COLUMN(YES_Reading_FLA[Self-Identified as Indigenous]),FALSE)="", "", VLOOKUP($A251,YES_Reading_FLA[],COLUMN(YES_Reading_FLA[Self-Identified as Indigenous]),FALSE))),""))),"")</f>
        <v/>
      </c>
    </row>
    <row r="252" spans="1:12" ht="19.5" customHeight="1" x14ac:dyDescent="0.25">
      <c r="A252" s="217"/>
      <c r="B252" s="220"/>
      <c r="C252" s="203"/>
      <c r="D252" s="204"/>
      <c r="E252" s="205"/>
      <c r="F252" s="205"/>
      <c r="G252" s="205"/>
      <c r="H252" s="206"/>
      <c r="I252" s="212"/>
      <c r="J252" s="206"/>
      <c r="K252" s="197" t="str" cm="1">
        <f t="array" ref="K252">IFERROR(
IF($J$2="ELA",
IF(VLOOKUP($A252, YES_Reading_ELA[], COLUMN(YES_Reading_ELA[Self-Identified as African Descent]), FALSE)="", "",
VLOOKUP($A252,YES_Reading_ELA[], COLUMN(YES_Reading_ELA[Self-Identified as African Descent]), FALSE)),
IF($J$2="FLA",
IF(VLOOKUP($A252, YES_Reading_FLA[], COLUMN(YES_Reading_FLA[Self-Identified as African Descent]),FALSE)="","",
VLOOKUP($A252,YES_Reading_FLA[],COLUMN(YES_Reading_FLA[Self-Identified as African Descent]),FALSE)),
IF($J$2="Combined",
IFERROR(
IF(VLOOKUP($A252, YES_Reading_ELA[], COLUMN(YES_Reading_ELA[Self-Identified as African Descent]), FALSE)="", "",
VLOOKUP($A252,YES_Reading_ELA[],COLUMN(YES_Reading_ELA[Self-Identified as African Descent]),FALSE)),
IF(VLOOKUP($A252, YES_Reading_FLA[], COLUMN(YES_Reading_FLA[Self-Identified as African Descent]),FALSE)="", "", VLOOKUP($A252,YES_Reading_FLA[],COLUMN(YES_Reading_FLA[Self-Identified as African Descent]),FALSE))),""))),"")</f>
        <v/>
      </c>
      <c r="L252" s="73" t="str" cm="1">
        <f t="array" ref="L252">IFERROR(
IF($J$2="ELA",
IF(VLOOKUP($A252, YES_Reading_ELA[], COLUMN(YES_Reading_ELA[Self-Identified as Indigenous]), FALSE)="", "",
VLOOKUP($A252,YES_Reading_ELA[], COLUMN(YES_Reading_ELA[Self-Identified as Indigenous]), FALSE)),
IF($J$2="FLA",
IF(VLOOKUP($A252, YES_Reading_FLA[], COLUMN(YES_Reading_FLA[Self-Identified as Indigenous]),FALSE)="","",
VLOOKUP($A252,YES_Reading_FLA[],COLUMN(YES_Reading_FLA[Self-Identified as Indigenous]),FALSE)),
IF($J$2="Combined",
IFERROR(
IF(VLOOKUP($A252, YES_Reading_ELA[], COLUMN(YES_Reading_ELA[Self-Identified as Indigenous]), FALSE)="", "",
VLOOKUP($A252,YES_Reading_ELA[],COLUMN(YES_Reading_ELA[Self-Identified as Indigenous]),FALSE)),
IF(VLOOKUP($A252, YES_Reading_FLA[], COLUMN(YES_Reading_FLA[Self-Identified as Indigenous]),FALSE)="", "", VLOOKUP($A252,YES_Reading_FLA[],COLUMN(YES_Reading_FLA[Self-Identified as Indigenous]),FALSE))),""))),"")</f>
        <v/>
      </c>
    </row>
    <row r="253" spans="1:12" ht="19.5" customHeight="1" thickBot="1" x14ac:dyDescent="0.3">
      <c r="A253" s="218"/>
      <c r="B253" s="221"/>
      <c r="C253" s="208"/>
      <c r="D253" s="209"/>
      <c r="E253" s="210"/>
      <c r="F253" s="210"/>
      <c r="G253" s="210"/>
      <c r="H253" s="211"/>
      <c r="I253" s="213"/>
      <c r="J253" s="211"/>
      <c r="K253" s="198" t="str" cm="1">
        <f t="array" ref="K253">IFERROR(
IF($J$2="ELA",
IF(VLOOKUP($A253, YES_Reading_ELA[], COLUMN(YES_Reading_ELA[Self-Identified as African Descent]), FALSE)="", "",
VLOOKUP($A253,YES_Reading_ELA[], COLUMN(YES_Reading_ELA[Self-Identified as African Descent]), FALSE)),
IF($J$2="FLA",
IF(VLOOKUP($A253, YES_Reading_FLA[], COLUMN(YES_Reading_FLA[Self-Identified as African Descent]),FALSE)="","",
VLOOKUP($A253,YES_Reading_FLA[],COLUMN(YES_Reading_FLA[Self-Identified as African Descent]),FALSE)),
IF($J$2="Combined",
IFERROR(
IF(VLOOKUP($A253, YES_Reading_ELA[], COLUMN(YES_Reading_ELA[Self-Identified as African Descent]), FALSE)="", "",
VLOOKUP($A253,YES_Reading_ELA[],COLUMN(YES_Reading_ELA[Self-Identified as African Descent]),FALSE)),
IF(VLOOKUP($A253, YES_Reading_FLA[], COLUMN(YES_Reading_FLA[Self-Identified as African Descent]),FALSE)="", "", VLOOKUP($A253,YES_Reading_FLA[],COLUMN(YES_Reading_FLA[Self-Identified as African Descent]),FALSE))),""))),"")</f>
        <v/>
      </c>
      <c r="L253" s="74" t="str" cm="1">
        <f t="array" ref="L253">IFERROR(
IF($J$2="ELA",
IF(VLOOKUP($A253, YES_Reading_ELA[], COLUMN(YES_Reading_ELA[Self-Identified as Indigenous]), FALSE)="", "",
VLOOKUP($A253,YES_Reading_ELA[], COLUMN(YES_Reading_ELA[Self-Identified as Indigenous]), FALSE)),
IF($J$2="FLA",
IF(VLOOKUP($A253, YES_Reading_FLA[], COLUMN(YES_Reading_FLA[Self-Identified as Indigenous]),FALSE)="","",
VLOOKUP($A253,YES_Reading_FLA[],COLUMN(YES_Reading_FLA[Self-Identified as Indigenous]),FALSE)),
IF($J$2="Combined",
IFERROR(
IF(VLOOKUP($A253, YES_Reading_ELA[], COLUMN(YES_Reading_ELA[Self-Identified as Indigenous]), FALSE)="", "",
VLOOKUP($A253,YES_Reading_ELA[],COLUMN(YES_Reading_ELA[Self-Identified as Indigenous]),FALSE)),
IF(VLOOKUP($A253, YES_Reading_FLA[], COLUMN(YES_Reading_FLA[Self-Identified as Indigenous]),FALSE)="", "", VLOOKUP($A253,YES_Reading_FLA[],COLUMN(YES_Reading_FLA[Self-Identified as Indigenous]),FALSE))),""))),"")</f>
        <v/>
      </c>
    </row>
    <row r="254" spans="1:12" x14ac:dyDescent="0.25">
      <c r="A254" s="214"/>
      <c r="B254" s="214" t="s">
        <v>241</v>
      </c>
      <c r="C254" s="214"/>
      <c r="D254" s="215" t="str" cm="1">
        <f t="array" ref="D254">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Set")))=$D$1)),1,1,FALSE),FALSE,FALSE),9),"")</f>
        <v/>
      </c>
      <c r="E254" s="215"/>
      <c r="F254" s="215"/>
      <c r="G254" s="215"/>
      <c r="H254" s="355" t="s">
        <v>242</v>
      </c>
      <c r="I254" s="356"/>
      <c r="J254" s="215"/>
    </row>
    <row r="255" spans="1:12" x14ac:dyDescent="0.25">
      <c r="A255" s="214"/>
      <c r="B255" s="214" t="str">
        <f>"Date: "&amp;$D$3</f>
        <v xml:space="preserve">Date: </v>
      </c>
      <c r="C255" s="214"/>
      <c r="D255" s="215"/>
      <c r="E255" s="215"/>
      <c r="F255" s="215"/>
      <c r="G255" s="215"/>
      <c r="H255" s="357" t="s">
        <v>243</v>
      </c>
      <c r="I255" s="358"/>
      <c r="J255" s="215"/>
    </row>
    <row r="256" spans="1:12" ht="15.75" thickBot="1" x14ac:dyDescent="0.3">
      <c r="A256" s="215"/>
      <c r="B256" s="215"/>
      <c r="C256" s="215"/>
      <c r="D256" s="215"/>
      <c r="E256" s="215"/>
      <c r="F256" s="215"/>
      <c r="G256" s="215"/>
      <c r="H256" s="353" t="s">
        <v>244</v>
      </c>
      <c r="I256" s="354"/>
      <c r="J256" s="215"/>
    </row>
    <row r="257" spans="1:12" ht="85.5" customHeight="1" thickBot="1" x14ac:dyDescent="0.3">
      <c r="A257" s="192" t="s">
        <v>44</v>
      </c>
      <c r="B257" s="187" t="s">
        <v>245</v>
      </c>
      <c r="C257" s="188" t="s">
        <v>246</v>
      </c>
      <c r="D257" s="188" t="s">
        <v>247</v>
      </c>
      <c r="E257" s="188" t="s">
        <v>248</v>
      </c>
      <c r="F257" s="188" t="s">
        <v>249</v>
      </c>
      <c r="G257" s="188" t="s">
        <v>250</v>
      </c>
      <c r="H257" s="189" t="s">
        <v>251</v>
      </c>
      <c r="I257" s="190" t="s">
        <v>252</v>
      </c>
      <c r="J257" s="191" t="s">
        <v>253</v>
      </c>
      <c r="K257" s="200" t="s">
        <v>256</v>
      </c>
      <c r="L257" s="201" t="s">
        <v>257</v>
      </c>
    </row>
    <row r="258" spans="1:12" ht="19.5" customHeight="1" x14ac:dyDescent="0.25">
      <c r="A258" s="216" t="e" cm="1" vm="1">
        <f t="array" aca="1" ref="A258" ca="1">_xlfn._xlws.FILTER(_xlfn.VSTACK(YES_Reading_ELA[Student Number],YES_Reading_FLA[Student Number]),_xlfn.VSTACK(YES_Reading_ELA[HomeRoom],YES_Reading_FLA[Homeroom])=D254)</f>
        <v>#VALUE!</v>
      </c>
      <c r="B258" s="219"/>
      <c r="C258" s="203"/>
      <c r="D258" s="204"/>
      <c r="E258" s="205"/>
      <c r="F258" s="205"/>
      <c r="G258" s="205"/>
      <c r="H258" s="206"/>
      <c r="I258" s="205"/>
      <c r="J258" s="206"/>
      <c r="K258" s="24" t="str" cm="1">
        <f t="array" aca="1" ref="K258" ca="1">IFERROR(
IF($J$2="ELA",
IF(VLOOKUP($A258, YES_Reading_ELA[], COLUMN(YES_Reading_ELA[Self-Identified as African Descent]), FALSE)="", "",
VLOOKUP($A258,YES_Reading_ELA[], COLUMN(YES_Reading_ELA[Self-Identified as African Descent]), FALSE)),
IF($J$2="FLA",
IF(VLOOKUP($A258, YES_Reading_FLA[], COLUMN(YES_Reading_FLA[Self-Identified as African Descent]),FALSE)="","",
VLOOKUP($A258,YES_Reading_FLA[],COLUMN(YES_Reading_FLA[Self-Identified as African Descent]),FALSE)),
IF($J$2="Combined",
IFERROR(
IF(VLOOKUP($A258, YES_Reading_ELA[], COLUMN(YES_Reading_ELA[Self-Identified as African Descent]), FALSE)="", "",
VLOOKUP($A258,YES_Reading_ELA[],COLUMN(YES_Reading_ELA[Self-Identified as African Descent]),FALSE)),
IF(VLOOKUP($A258, YES_Reading_FLA[], COLUMN(YES_Reading_FLA[Self-Identified as African Descent]),FALSE)="", "", VLOOKUP($A258,YES_Reading_FLA[],COLUMN(YES_Reading_FLA[Self-Identified as African Descent]),FALSE))),""))),"")</f>
        <v/>
      </c>
      <c r="L258" s="199" t="str" cm="1">
        <f t="array" aca="1" ref="L258" ca="1">IFERROR(
IF($J$2="ELA",
IF(VLOOKUP($A258, YES_Reading_ELA[], COLUMN(YES_Reading_ELA[Self-Identified as Indigenous]), FALSE)="", "",
VLOOKUP($A258,YES_Reading_ELA[], COLUMN(YES_Reading_ELA[Self-Identified as Indigenous]), FALSE)),
IF($J$2="FLA",
IF(VLOOKUP($A258, YES_Reading_FLA[], COLUMN(YES_Reading_FLA[Self-Identified as Indigenous]),FALSE)="","",
VLOOKUP($A258,YES_Reading_FLA[],COLUMN(YES_Reading_FLA[Self-Identified as Indigenous]),FALSE)),
IF($J$2="Combined",
IFERROR(
IF(VLOOKUP($A258, YES_Reading_ELA[], COLUMN(YES_Reading_ELA[Self-Identified as Indigenous]), FALSE)="", "",
VLOOKUP($A258,YES_Reading_ELA[],COLUMN(YES_Reading_ELA[Self-Identified as Indigenous]),FALSE)),
IF(VLOOKUP($A258, YES_Reading_FLA[], COLUMN(YES_Reading_FLA[Self-Identified as Indigenous]),FALSE)="", "", VLOOKUP($A258,YES_Reading_FLA[],COLUMN(YES_Reading_FLA[Self-Identified as Indigenous]),FALSE))),""))),"")</f>
        <v/>
      </c>
    </row>
    <row r="259" spans="1:12" ht="19.5" customHeight="1" x14ac:dyDescent="0.25">
      <c r="A259" s="217"/>
      <c r="B259" s="220"/>
      <c r="C259" s="203"/>
      <c r="D259" s="204"/>
      <c r="E259" s="205"/>
      <c r="F259" s="205"/>
      <c r="G259" s="205"/>
      <c r="H259" s="206"/>
      <c r="I259" s="212"/>
      <c r="J259" s="206"/>
      <c r="K259" s="197" t="str" cm="1">
        <f t="array" ref="K259">IFERROR(
IF($J$2="ELA",
IF(VLOOKUP($A259, YES_Reading_ELA[], COLUMN(YES_Reading_ELA[Self-Identified as African Descent]), FALSE)="", "",
VLOOKUP($A259,YES_Reading_ELA[], COLUMN(YES_Reading_ELA[Self-Identified as African Descent]), FALSE)),
IF($J$2="FLA",
IF(VLOOKUP($A259, YES_Reading_FLA[], COLUMN(YES_Reading_FLA[Self-Identified as African Descent]),FALSE)="","",
VLOOKUP($A259,YES_Reading_FLA[],COLUMN(YES_Reading_FLA[Self-Identified as African Descent]),FALSE)),
IF($J$2="Combined",
IFERROR(
IF(VLOOKUP($A259, YES_Reading_ELA[], COLUMN(YES_Reading_ELA[Self-Identified as African Descent]), FALSE)="", "",
VLOOKUP($A259,YES_Reading_ELA[],COLUMN(YES_Reading_ELA[Self-Identified as African Descent]),FALSE)),
IF(VLOOKUP($A259, YES_Reading_FLA[], COLUMN(YES_Reading_FLA[Self-Identified as African Descent]),FALSE)="", "", VLOOKUP($A259,YES_Reading_FLA[],COLUMN(YES_Reading_FLA[Self-Identified as African Descent]),FALSE))),""))),"")</f>
        <v/>
      </c>
      <c r="L259" s="73" t="str" cm="1">
        <f t="array" ref="L259">IFERROR(
IF($J$2="ELA",
IF(VLOOKUP($A259, YES_Reading_ELA[], COLUMN(YES_Reading_ELA[Self-Identified as Indigenous]), FALSE)="", "",
VLOOKUP($A259,YES_Reading_ELA[], COLUMN(YES_Reading_ELA[Self-Identified as Indigenous]), FALSE)),
IF($J$2="FLA",
IF(VLOOKUP($A259, YES_Reading_FLA[], COLUMN(YES_Reading_FLA[Self-Identified as Indigenous]),FALSE)="","",
VLOOKUP($A259,YES_Reading_FLA[],COLUMN(YES_Reading_FLA[Self-Identified as Indigenous]),FALSE)),
IF($J$2="Combined",
IFERROR(
IF(VLOOKUP($A259, YES_Reading_ELA[], COLUMN(YES_Reading_ELA[Self-Identified as Indigenous]), FALSE)="", "",
VLOOKUP($A259,YES_Reading_ELA[],COLUMN(YES_Reading_ELA[Self-Identified as Indigenous]),FALSE)),
IF(VLOOKUP($A259, YES_Reading_FLA[], COLUMN(YES_Reading_FLA[Self-Identified as Indigenous]),FALSE)="", "", VLOOKUP($A259,YES_Reading_FLA[],COLUMN(YES_Reading_FLA[Self-Identified as Indigenous]),FALSE))),""))),"")</f>
        <v/>
      </c>
    </row>
    <row r="260" spans="1:12" ht="19.5" customHeight="1" x14ac:dyDescent="0.25">
      <c r="A260" s="217"/>
      <c r="B260" s="220"/>
      <c r="C260" s="203"/>
      <c r="D260" s="204"/>
      <c r="E260" s="205"/>
      <c r="F260" s="205"/>
      <c r="G260" s="205"/>
      <c r="H260" s="206"/>
      <c r="I260" s="212"/>
      <c r="J260" s="206"/>
      <c r="K260" s="197" t="str" cm="1">
        <f t="array" ref="K260">IFERROR(
IF($J$2="ELA",
IF(VLOOKUP($A260, YES_Reading_ELA[], COLUMN(YES_Reading_ELA[Self-Identified as African Descent]), FALSE)="", "",
VLOOKUP($A260,YES_Reading_ELA[], COLUMN(YES_Reading_ELA[Self-Identified as African Descent]), FALSE)),
IF($J$2="FLA",
IF(VLOOKUP($A260, YES_Reading_FLA[], COLUMN(YES_Reading_FLA[Self-Identified as African Descent]),FALSE)="","",
VLOOKUP($A260,YES_Reading_FLA[],COLUMN(YES_Reading_FLA[Self-Identified as African Descent]),FALSE)),
IF($J$2="Combined",
IFERROR(
IF(VLOOKUP($A260, YES_Reading_ELA[], COLUMN(YES_Reading_ELA[Self-Identified as African Descent]), FALSE)="", "",
VLOOKUP($A260,YES_Reading_ELA[],COLUMN(YES_Reading_ELA[Self-Identified as African Descent]),FALSE)),
IF(VLOOKUP($A260, YES_Reading_FLA[], COLUMN(YES_Reading_FLA[Self-Identified as African Descent]),FALSE)="", "", VLOOKUP($A260,YES_Reading_FLA[],COLUMN(YES_Reading_FLA[Self-Identified as African Descent]),FALSE))),""))),"")</f>
        <v/>
      </c>
      <c r="L260" s="73" t="str" cm="1">
        <f t="array" ref="L260">IFERROR(
IF($J$2="ELA",
IF(VLOOKUP($A260, YES_Reading_ELA[], COLUMN(YES_Reading_ELA[Self-Identified as Indigenous]), FALSE)="", "",
VLOOKUP($A260,YES_Reading_ELA[], COLUMN(YES_Reading_ELA[Self-Identified as Indigenous]), FALSE)),
IF($J$2="FLA",
IF(VLOOKUP($A260, YES_Reading_FLA[], COLUMN(YES_Reading_FLA[Self-Identified as Indigenous]),FALSE)="","",
VLOOKUP($A260,YES_Reading_FLA[],COLUMN(YES_Reading_FLA[Self-Identified as Indigenous]),FALSE)),
IF($J$2="Combined",
IFERROR(
IF(VLOOKUP($A260, YES_Reading_ELA[], COLUMN(YES_Reading_ELA[Self-Identified as Indigenous]), FALSE)="", "",
VLOOKUP($A260,YES_Reading_ELA[],COLUMN(YES_Reading_ELA[Self-Identified as Indigenous]),FALSE)),
IF(VLOOKUP($A260, YES_Reading_FLA[], COLUMN(YES_Reading_FLA[Self-Identified as Indigenous]),FALSE)="", "", VLOOKUP($A260,YES_Reading_FLA[],COLUMN(YES_Reading_FLA[Self-Identified as Indigenous]),FALSE))),""))),"")</f>
        <v/>
      </c>
    </row>
    <row r="261" spans="1:12" ht="19.5" customHeight="1" x14ac:dyDescent="0.25">
      <c r="A261" s="217"/>
      <c r="B261" s="220"/>
      <c r="C261" s="203"/>
      <c r="D261" s="204"/>
      <c r="E261" s="205"/>
      <c r="F261" s="205"/>
      <c r="G261" s="205"/>
      <c r="H261" s="206"/>
      <c r="I261" s="212"/>
      <c r="J261" s="206"/>
      <c r="K261" s="197" t="str" cm="1">
        <f t="array" ref="K261">IFERROR(
IF($J$2="ELA",
IF(VLOOKUP($A261, YES_Reading_ELA[], COLUMN(YES_Reading_ELA[Self-Identified as African Descent]), FALSE)="", "",
VLOOKUP($A261,YES_Reading_ELA[], COLUMN(YES_Reading_ELA[Self-Identified as African Descent]), FALSE)),
IF($J$2="FLA",
IF(VLOOKUP($A261, YES_Reading_FLA[], COLUMN(YES_Reading_FLA[Self-Identified as African Descent]),FALSE)="","",
VLOOKUP($A261,YES_Reading_FLA[],COLUMN(YES_Reading_FLA[Self-Identified as African Descent]),FALSE)),
IF($J$2="Combined",
IFERROR(
IF(VLOOKUP($A261, YES_Reading_ELA[], COLUMN(YES_Reading_ELA[Self-Identified as African Descent]), FALSE)="", "",
VLOOKUP($A261,YES_Reading_ELA[],COLUMN(YES_Reading_ELA[Self-Identified as African Descent]),FALSE)),
IF(VLOOKUP($A261, YES_Reading_FLA[], COLUMN(YES_Reading_FLA[Self-Identified as African Descent]),FALSE)="", "", VLOOKUP($A261,YES_Reading_FLA[],COLUMN(YES_Reading_FLA[Self-Identified as African Descent]),FALSE))),""))),"")</f>
        <v/>
      </c>
      <c r="L261" s="73" t="str" cm="1">
        <f t="array" ref="L261">IFERROR(
IF($J$2="ELA",
IF(VLOOKUP($A261, YES_Reading_ELA[], COLUMN(YES_Reading_ELA[Self-Identified as Indigenous]), FALSE)="", "",
VLOOKUP($A261,YES_Reading_ELA[], COLUMN(YES_Reading_ELA[Self-Identified as Indigenous]), FALSE)),
IF($J$2="FLA",
IF(VLOOKUP($A261, YES_Reading_FLA[], COLUMN(YES_Reading_FLA[Self-Identified as Indigenous]),FALSE)="","",
VLOOKUP($A261,YES_Reading_FLA[],COLUMN(YES_Reading_FLA[Self-Identified as Indigenous]),FALSE)),
IF($J$2="Combined",
IFERROR(
IF(VLOOKUP($A261, YES_Reading_ELA[], COLUMN(YES_Reading_ELA[Self-Identified as Indigenous]), FALSE)="", "",
VLOOKUP($A261,YES_Reading_ELA[],COLUMN(YES_Reading_ELA[Self-Identified as Indigenous]),FALSE)),
IF(VLOOKUP($A261, YES_Reading_FLA[], COLUMN(YES_Reading_FLA[Self-Identified as Indigenous]),FALSE)="", "", VLOOKUP($A261,YES_Reading_FLA[],COLUMN(YES_Reading_FLA[Self-Identified as Indigenous]),FALSE))),""))),"")</f>
        <v/>
      </c>
    </row>
    <row r="262" spans="1:12" ht="19.5" customHeight="1" x14ac:dyDescent="0.25">
      <c r="A262" s="217"/>
      <c r="B262" s="220"/>
      <c r="C262" s="203"/>
      <c r="D262" s="204"/>
      <c r="E262" s="205"/>
      <c r="F262" s="205"/>
      <c r="G262" s="205"/>
      <c r="H262" s="206"/>
      <c r="I262" s="212"/>
      <c r="J262" s="206"/>
      <c r="K262" s="197" t="str" cm="1">
        <f t="array" ref="K262">IFERROR(
IF($J$2="ELA",
IF(VLOOKUP($A262, YES_Reading_ELA[], COLUMN(YES_Reading_ELA[Self-Identified as African Descent]), FALSE)="", "",
VLOOKUP($A262,YES_Reading_ELA[], COLUMN(YES_Reading_ELA[Self-Identified as African Descent]), FALSE)),
IF($J$2="FLA",
IF(VLOOKUP($A262, YES_Reading_FLA[], COLUMN(YES_Reading_FLA[Self-Identified as African Descent]),FALSE)="","",
VLOOKUP($A262,YES_Reading_FLA[],COLUMN(YES_Reading_FLA[Self-Identified as African Descent]),FALSE)),
IF($J$2="Combined",
IFERROR(
IF(VLOOKUP($A262, YES_Reading_ELA[], COLUMN(YES_Reading_ELA[Self-Identified as African Descent]), FALSE)="", "",
VLOOKUP($A262,YES_Reading_ELA[],COLUMN(YES_Reading_ELA[Self-Identified as African Descent]),FALSE)),
IF(VLOOKUP($A262, YES_Reading_FLA[], COLUMN(YES_Reading_FLA[Self-Identified as African Descent]),FALSE)="", "", VLOOKUP($A262,YES_Reading_FLA[],COLUMN(YES_Reading_FLA[Self-Identified as African Descent]),FALSE))),""))),"")</f>
        <v/>
      </c>
      <c r="L262" s="73" t="str" cm="1">
        <f t="array" ref="L262">IFERROR(
IF($J$2="ELA",
IF(VLOOKUP($A262, YES_Reading_ELA[], COLUMN(YES_Reading_ELA[Self-Identified as Indigenous]), FALSE)="", "",
VLOOKUP($A262,YES_Reading_ELA[], COLUMN(YES_Reading_ELA[Self-Identified as Indigenous]), FALSE)),
IF($J$2="FLA",
IF(VLOOKUP($A262, YES_Reading_FLA[], COLUMN(YES_Reading_FLA[Self-Identified as Indigenous]),FALSE)="","",
VLOOKUP($A262,YES_Reading_FLA[],COLUMN(YES_Reading_FLA[Self-Identified as Indigenous]),FALSE)),
IF($J$2="Combined",
IFERROR(
IF(VLOOKUP($A262, YES_Reading_ELA[], COLUMN(YES_Reading_ELA[Self-Identified as Indigenous]), FALSE)="", "",
VLOOKUP($A262,YES_Reading_ELA[],COLUMN(YES_Reading_ELA[Self-Identified as Indigenous]),FALSE)),
IF(VLOOKUP($A262, YES_Reading_FLA[], COLUMN(YES_Reading_FLA[Self-Identified as Indigenous]),FALSE)="", "", VLOOKUP($A262,YES_Reading_FLA[],COLUMN(YES_Reading_FLA[Self-Identified as Indigenous]),FALSE))),""))),"")</f>
        <v/>
      </c>
    </row>
    <row r="263" spans="1:12" ht="19.5" customHeight="1" x14ac:dyDescent="0.25">
      <c r="A263" s="217"/>
      <c r="B263" s="220"/>
      <c r="C263" s="203"/>
      <c r="D263" s="204"/>
      <c r="E263" s="205"/>
      <c r="F263" s="205"/>
      <c r="G263" s="205"/>
      <c r="H263" s="206"/>
      <c r="I263" s="212"/>
      <c r="J263" s="206"/>
      <c r="K263" s="197" t="str" cm="1">
        <f t="array" ref="K263">IFERROR(
IF($J$2="ELA",
IF(VLOOKUP($A263, YES_Reading_ELA[], COLUMN(YES_Reading_ELA[Self-Identified as African Descent]), FALSE)="", "",
VLOOKUP($A263,YES_Reading_ELA[], COLUMN(YES_Reading_ELA[Self-Identified as African Descent]), FALSE)),
IF($J$2="FLA",
IF(VLOOKUP($A263, YES_Reading_FLA[], COLUMN(YES_Reading_FLA[Self-Identified as African Descent]),FALSE)="","",
VLOOKUP($A263,YES_Reading_FLA[],COLUMN(YES_Reading_FLA[Self-Identified as African Descent]),FALSE)),
IF($J$2="Combined",
IFERROR(
IF(VLOOKUP($A263, YES_Reading_ELA[], COLUMN(YES_Reading_ELA[Self-Identified as African Descent]), FALSE)="", "",
VLOOKUP($A263,YES_Reading_ELA[],COLUMN(YES_Reading_ELA[Self-Identified as African Descent]),FALSE)),
IF(VLOOKUP($A263, YES_Reading_FLA[], COLUMN(YES_Reading_FLA[Self-Identified as African Descent]),FALSE)="", "", VLOOKUP($A263,YES_Reading_FLA[],COLUMN(YES_Reading_FLA[Self-Identified as African Descent]),FALSE))),""))),"")</f>
        <v/>
      </c>
      <c r="L263" s="73" t="str" cm="1">
        <f t="array" ref="L263">IFERROR(
IF($J$2="ELA",
IF(VLOOKUP($A263, YES_Reading_ELA[], COLUMN(YES_Reading_ELA[Self-Identified as Indigenous]), FALSE)="", "",
VLOOKUP($A263,YES_Reading_ELA[], COLUMN(YES_Reading_ELA[Self-Identified as Indigenous]), FALSE)),
IF($J$2="FLA",
IF(VLOOKUP($A263, YES_Reading_FLA[], COLUMN(YES_Reading_FLA[Self-Identified as Indigenous]),FALSE)="","",
VLOOKUP($A263,YES_Reading_FLA[],COLUMN(YES_Reading_FLA[Self-Identified as Indigenous]),FALSE)),
IF($J$2="Combined",
IFERROR(
IF(VLOOKUP($A263, YES_Reading_ELA[], COLUMN(YES_Reading_ELA[Self-Identified as Indigenous]), FALSE)="", "",
VLOOKUP($A263,YES_Reading_ELA[],COLUMN(YES_Reading_ELA[Self-Identified as Indigenous]),FALSE)),
IF(VLOOKUP($A263, YES_Reading_FLA[], COLUMN(YES_Reading_FLA[Self-Identified as Indigenous]),FALSE)="", "", VLOOKUP($A263,YES_Reading_FLA[],COLUMN(YES_Reading_FLA[Self-Identified as Indigenous]),FALSE))),""))),"")</f>
        <v/>
      </c>
    </row>
    <row r="264" spans="1:12" ht="19.5" customHeight="1" x14ac:dyDescent="0.25">
      <c r="A264" s="217"/>
      <c r="B264" s="220"/>
      <c r="C264" s="203"/>
      <c r="D264" s="204"/>
      <c r="E264" s="205"/>
      <c r="F264" s="205"/>
      <c r="G264" s="205"/>
      <c r="H264" s="206"/>
      <c r="I264" s="212"/>
      <c r="J264" s="206"/>
      <c r="K264" s="197" t="str" cm="1">
        <f t="array" ref="K264">IFERROR(
IF($J$2="ELA",
IF(VLOOKUP($A264, YES_Reading_ELA[], COLUMN(YES_Reading_ELA[Self-Identified as African Descent]), FALSE)="", "",
VLOOKUP($A264,YES_Reading_ELA[], COLUMN(YES_Reading_ELA[Self-Identified as African Descent]), FALSE)),
IF($J$2="FLA",
IF(VLOOKUP($A264, YES_Reading_FLA[], COLUMN(YES_Reading_FLA[Self-Identified as African Descent]),FALSE)="","",
VLOOKUP($A264,YES_Reading_FLA[],COLUMN(YES_Reading_FLA[Self-Identified as African Descent]),FALSE)),
IF($J$2="Combined",
IFERROR(
IF(VLOOKUP($A264, YES_Reading_ELA[], COLUMN(YES_Reading_ELA[Self-Identified as African Descent]), FALSE)="", "",
VLOOKUP($A264,YES_Reading_ELA[],COLUMN(YES_Reading_ELA[Self-Identified as African Descent]),FALSE)),
IF(VLOOKUP($A264, YES_Reading_FLA[], COLUMN(YES_Reading_FLA[Self-Identified as African Descent]),FALSE)="", "", VLOOKUP($A264,YES_Reading_FLA[],COLUMN(YES_Reading_FLA[Self-Identified as African Descent]),FALSE))),""))),"")</f>
        <v/>
      </c>
      <c r="L264" s="73" t="str" cm="1">
        <f t="array" ref="L264">IFERROR(
IF($J$2="ELA",
IF(VLOOKUP($A264, YES_Reading_ELA[], COLUMN(YES_Reading_ELA[Self-Identified as Indigenous]), FALSE)="", "",
VLOOKUP($A264,YES_Reading_ELA[], COLUMN(YES_Reading_ELA[Self-Identified as Indigenous]), FALSE)),
IF($J$2="FLA",
IF(VLOOKUP($A264, YES_Reading_FLA[], COLUMN(YES_Reading_FLA[Self-Identified as Indigenous]),FALSE)="","",
VLOOKUP($A264,YES_Reading_FLA[],COLUMN(YES_Reading_FLA[Self-Identified as Indigenous]),FALSE)),
IF($J$2="Combined",
IFERROR(
IF(VLOOKUP($A264, YES_Reading_ELA[], COLUMN(YES_Reading_ELA[Self-Identified as Indigenous]), FALSE)="", "",
VLOOKUP($A264,YES_Reading_ELA[],COLUMN(YES_Reading_ELA[Self-Identified as Indigenous]),FALSE)),
IF(VLOOKUP($A264, YES_Reading_FLA[], COLUMN(YES_Reading_FLA[Self-Identified as Indigenous]),FALSE)="", "", VLOOKUP($A264,YES_Reading_FLA[],COLUMN(YES_Reading_FLA[Self-Identified as Indigenous]),FALSE))),""))),"")</f>
        <v/>
      </c>
    </row>
    <row r="265" spans="1:12" ht="19.5" customHeight="1" x14ac:dyDescent="0.25">
      <c r="A265" s="217"/>
      <c r="B265" s="220"/>
      <c r="C265" s="203"/>
      <c r="D265" s="204"/>
      <c r="E265" s="205"/>
      <c r="F265" s="205"/>
      <c r="G265" s="205"/>
      <c r="H265" s="206"/>
      <c r="I265" s="212"/>
      <c r="J265" s="206"/>
      <c r="K265" s="197" t="str" cm="1">
        <f t="array" ref="K265">IFERROR(
IF($J$2="ELA",
IF(VLOOKUP($A265, YES_Reading_ELA[], COLUMN(YES_Reading_ELA[Self-Identified as African Descent]), FALSE)="", "",
VLOOKUP($A265,YES_Reading_ELA[], COLUMN(YES_Reading_ELA[Self-Identified as African Descent]), FALSE)),
IF($J$2="FLA",
IF(VLOOKUP($A265, YES_Reading_FLA[], COLUMN(YES_Reading_FLA[Self-Identified as African Descent]),FALSE)="","",
VLOOKUP($A265,YES_Reading_FLA[],COLUMN(YES_Reading_FLA[Self-Identified as African Descent]),FALSE)),
IF($J$2="Combined",
IFERROR(
IF(VLOOKUP($A265, YES_Reading_ELA[], COLUMN(YES_Reading_ELA[Self-Identified as African Descent]), FALSE)="", "",
VLOOKUP($A265,YES_Reading_ELA[],COLUMN(YES_Reading_ELA[Self-Identified as African Descent]),FALSE)),
IF(VLOOKUP($A265, YES_Reading_FLA[], COLUMN(YES_Reading_FLA[Self-Identified as African Descent]),FALSE)="", "", VLOOKUP($A265,YES_Reading_FLA[],COLUMN(YES_Reading_FLA[Self-Identified as African Descent]),FALSE))),""))),"")</f>
        <v/>
      </c>
      <c r="L265" s="73" t="str" cm="1">
        <f t="array" ref="L265">IFERROR(
IF($J$2="ELA",
IF(VLOOKUP($A265, YES_Reading_ELA[], COLUMN(YES_Reading_ELA[Self-Identified as Indigenous]), FALSE)="", "",
VLOOKUP($A265,YES_Reading_ELA[], COLUMN(YES_Reading_ELA[Self-Identified as Indigenous]), FALSE)),
IF($J$2="FLA",
IF(VLOOKUP($A265, YES_Reading_FLA[], COLUMN(YES_Reading_FLA[Self-Identified as Indigenous]),FALSE)="","",
VLOOKUP($A265,YES_Reading_FLA[],COLUMN(YES_Reading_FLA[Self-Identified as Indigenous]),FALSE)),
IF($J$2="Combined",
IFERROR(
IF(VLOOKUP($A265, YES_Reading_ELA[], COLUMN(YES_Reading_ELA[Self-Identified as Indigenous]), FALSE)="", "",
VLOOKUP($A265,YES_Reading_ELA[],COLUMN(YES_Reading_ELA[Self-Identified as Indigenous]),FALSE)),
IF(VLOOKUP($A265, YES_Reading_FLA[], COLUMN(YES_Reading_FLA[Self-Identified as Indigenous]),FALSE)="", "", VLOOKUP($A265,YES_Reading_FLA[],COLUMN(YES_Reading_FLA[Self-Identified as Indigenous]),FALSE))),""))),"")</f>
        <v/>
      </c>
    </row>
    <row r="266" spans="1:12" ht="19.5" customHeight="1" x14ac:dyDescent="0.25">
      <c r="A266" s="217"/>
      <c r="B266" s="220"/>
      <c r="C266" s="203"/>
      <c r="D266" s="204"/>
      <c r="E266" s="205"/>
      <c r="F266" s="205"/>
      <c r="G266" s="205"/>
      <c r="H266" s="206"/>
      <c r="I266" s="212"/>
      <c r="J266" s="206"/>
      <c r="K266" s="197" t="str" cm="1">
        <f t="array" ref="K266">IFERROR(
IF($J$2="ELA",
IF(VLOOKUP($A266, YES_Reading_ELA[], COLUMN(YES_Reading_ELA[Self-Identified as African Descent]), FALSE)="", "",
VLOOKUP($A266,YES_Reading_ELA[], COLUMN(YES_Reading_ELA[Self-Identified as African Descent]), FALSE)),
IF($J$2="FLA",
IF(VLOOKUP($A266, YES_Reading_FLA[], COLUMN(YES_Reading_FLA[Self-Identified as African Descent]),FALSE)="","",
VLOOKUP($A266,YES_Reading_FLA[],COLUMN(YES_Reading_FLA[Self-Identified as African Descent]),FALSE)),
IF($J$2="Combined",
IFERROR(
IF(VLOOKUP($A266, YES_Reading_ELA[], COLUMN(YES_Reading_ELA[Self-Identified as African Descent]), FALSE)="", "",
VLOOKUP($A266,YES_Reading_ELA[],COLUMN(YES_Reading_ELA[Self-Identified as African Descent]),FALSE)),
IF(VLOOKUP($A266, YES_Reading_FLA[], COLUMN(YES_Reading_FLA[Self-Identified as African Descent]),FALSE)="", "", VLOOKUP($A266,YES_Reading_FLA[],COLUMN(YES_Reading_FLA[Self-Identified as African Descent]),FALSE))),""))),"")</f>
        <v/>
      </c>
      <c r="L266" s="73" t="str" cm="1">
        <f t="array" ref="L266">IFERROR(
IF($J$2="ELA",
IF(VLOOKUP($A266, YES_Reading_ELA[], COLUMN(YES_Reading_ELA[Self-Identified as Indigenous]), FALSE)="", "",
VLOOKUP($A266,YES_Reading_ELA[], COLUMN(YES_Reading_ELA[Self-Identified as Indigenous]), FALSE)),
IF($J$2="FLA",
IF(VLOOKUP($A266, YES_Reading_FLA[], COLUMN(YES_Reading_FLA[Self-Identified as Indigenous]),FALSE)="","",
VLOOKUP($A266,YES_Reading_FLA[],COLUMN(YES_Reading_FLA[Self-Identified as Indigenous]),FALSE)),
IF($J$2="Combined",
IFERROR(
IF(VLOOKUP($A266, YES_Reading_ELA[], COLUMN(YES_Reading_ELA[Self-Identified as Indigenous]), FALSE)="", "",
VLOOKUP($A266,YES_Reading_ELA[],COLUMN(YES_Reading_ELA[Self-Identified as Indigenous]),FALSE)),
IF(VLOOKUP($A266, YES_Reading_FLA[], COLUMN(YES_Reading_FLA[Self-Identified as Indigenous]),FALSE)="", "", VLOOKUP($A266,YES_Reading_FLA[],COLUMN(YES_Reading_FLA[Self-Identified as Indigenous]),FALSE))),""))),"")</f>
        <v/>
      </c>
    </row>
    <row r="267" spans="1:12" ht="19.5" customHeight="1" x14ac:dyDescent="0.25">
      <c r="A267" s="217"/>
      <c r="B267" s="220"/>
      <c r="C267" s="203"/>
      <c r="D267" s="204"/>
      <c r="E267" s="205"/>
      <c r="F267" s="205"/>
      <c r="G267" s="205"/>
      <c r="H267" s="206"/>
      <c r="I267" s="212"/>
      <c r="J267" s="206"/>
      <c r="K267" s="197" t="str" cm="1">
        <f t="array" ref="K267">IFERROR(
IF($J$2="ELA",
IF(VLOOKUP($A267, YES_Reading_ELA[], COLUMN(YES_Reading_ELA[Self-Identified as African Descent]), FALSE)="", "",
VLOOKUP($A267,YES_Reading_ELA[], COLUMN(YES_Reading_ELA[Self-Identified as African Descent]), FALSE)),
IF($J$2="FLA",
IF(VLOOKUP($A267, YES_Reading_FLA[], COLUMN(YES_Reading_FLA[Self-Identified as African Descent]),FALSE)="","",
VLOOKUP($A267,YES_Reading_FLA[],COLUMN(YES_Reading_FLA[Self-Identified as African Descent]),FALSE)),
IF($J$2="Combined",
IFERROR(
IF(VLOOKUP($A267, YES_Reading_ELA[], COLUMN(YES_Reading_ELA[Self-Identified as African Descent]), FALSE)="", "",
VLOOKUP($A267,YES_Reading_ELA[],COLUMN(YES_Reading_ELA[Self-Identified as African Descent]),FALSE)),
IF(VLOOKUP($A267, YES_Reading_FLA[], COLUMN(YES_Reading_FLA[Self-Identified as African Descent]),FALSE)="", "", VLOOKUP($A267,YES_Reading_FLA[],COLUMN(YES_Reading_FLA[Self-Identified as African Descent]),FALSE))),""))),"")</f>
        <v/>
      </c>
      <c r="L267" s="73" t="str" cm="1">
        <f t="array" ref="L267">IFERROR(
IF($J$2="ELA",
IF(VLOOKUP($A267, YES_Reading_ELA[], COLUMN(YES_Reading_ELA[Self-Identified as Indigenous]), FALSE)="", "",
VLOOKUP($A267,YES_Reading_ELA[], COLUMN(YES_Reading_ELA[Self-Identified as Indigenous]), FALSE)),
IF($J$2="FLA",
IF(VLOOKUP($A267, YES_Reading_FLA[], COLUMN(YES_Reading_FLA[Self-Identified as Indigenous]),FALSE)="","",
VLOOKUP($A267,YES_Reading_FLA[],COLUMN(YES_Reading_FLA[Self-Identified as Indigenous]),FALSE)),
IF($J$2="Combined",
IFERROR(
IF(VLOOKUP($A267, YES_Reading_ELA[], COLUMN(YES_Reading_ELA[Self-Identified as Indigenous]), FALSE)="", "",
VLOOKUP($A267,YES_Reading_ELA[],COLUMN(YES_Reading_ELA[Self-Identified as Indigenous]),FALSE)),
IF(VLOOKUP($A267, YES_Reading_FLA[], COLUMN(YES_Reading_FLA[Self-Identified as Indigenous]),FALSE)="", "", VLOOKUP($A267,YES_Reading_FLA[],COLUMN(YES_Reading_FLA[Self-Identified as Indigenous]),FALSE))),""))),"")</f>
        <v/>
      </c>
    </row>
    <row r="268" spans="1:12" ht="19.5" customHeight="1" x14ac:dyDescent="0.25">
      <c r="A268" s="217"/>
      <c r="B268" s="220"/>
      <c r="C268" s="203"/>
      <c r="D268" s="204"/>
      <c r="E268" s="205"/>
      <c r="F268" s="205"/>
      <c r="G268" s="205"/>
      <c r="H268" s="206"/>
      <c r="I268" s="212"/>
      <c r="J268" s="206"/>
      <c r="K268" s="197" t="str" cm="1">
        <f t="array" ref="K268">IFERROR(
IF($J$2="ELA",
IF(VLOOKUP($A268, YES_Reading_ELA[], COLUMN(YES_Reading_ELA[Self-Identified as African Descent]), FALSE)="", "",
VLOOKUP($A268,YES_Reading_ELA[], COLUMN(YES_Reading_ELA[Self-Identified as African Descent]), FALSE)),
IF($J$2="FLA",
IF(VLOOKUP($A268, YES_Reading_FLA[], COLUMN(YES_Reading_FLA[Self-Identified as African Descent]),FALSE)="","",
VLOOKUP($A268,YES_Reading_FLA[],COLUMN(YES_Reading_FLA[Self-Identified as African Descent]),FALSE)),
IF($J$2="Combined",
IFERROR(
IF(VLOOKUP($A268, YES_Reading_ELA[], COLUMN(YES_Reading_ELA[Self-Identified as African Descent]), FALSE)="", "",
VLOOKUP($A268,YES_Reading_ELA[],COLUMN(YES_Reading_ELA[Self-Identified as African Descent]),FALSE)),
IF(VLOOKUP($A268, YES_Reading_FLA[], COLUMN(YES_Reading_FLA[Self-Identified as African Descent]),FALSE)="", "", VLOOKUP($A268,YES_Reading_FLA[],COLUMN(YES_Reading_FLA[Self-Identified as African Descent]),FALSE))),""))),"")</f>
        <v/>
      </c>
      <c r="L268" s="73" t="str" cm="1">
        <f t="array" ref="L268">IFERROR(
IF($J$2="ELA",
IF(VLOOKUP($A268, YES_Reading_ELA[], COLUMN(YES_Reading_ELA[Self-Identified as Indigenous]), FALSE)="", "",
VLOOKUP($A268,YES_Reading_ELA[], COLUMN(YES_Reading_ELA[Self-Identified as Indigenous]), FALSE)),
IF($J$2="FLA",
IF(VLOOKUP($A268, YES_Reading_FLA[], COLUMN(YES_Reading_FLA[Self-Identified as Indigenous]),FALSE)="","",
VLOOKUP($A268,YES_Reading_FLA[],COLUMN(YES_Reading_FLA[Self-Identified as Indigenous]),FALSE)),
IF($J$2="Combined",
IFERROR(
IF(VLOOKUP($A268, YES_Reading_ELA[], COLUMN(YES_Reading_ELA[Self-Identified as Indigenous]), FALSE)="", "",
VLOOKUP($A268,YES_Reading_ELA[],COLUMN(YES_Reading_ELA[Self-Identified as Indigenous]),FALSE)),
IF(VLOOKUP($A268, YES_Reading_FLA[], COLUMN(YES_Reading_FLA[Self-Identified as Indigenous]),FALSE)="", "", VLOOKUP($A268,YES_Reading_FLA[],COLUMN(YES_Reading_FLA[Self-Identified as Indigenous]),FALSE))),""))),"")</f>
        <v/>
      </c>
    </row>
    <row r="269" spans="1:12" ht="19.5" customHeight="1" x14ac:dyDescent="0.25">
      <c r="A269" s="217"/>
      <c r="B269" s="220"/>
      <c r="C269" s="203"/>
      <c r="D269" s="204"/>
      <c r="E269" s="205"/>
      <c r="F269" s="205"/>
      <c r="G269" s="205"/>
      <c r="H269" s="206"/>
      <c r="I269" s="212"/>
      <c r="J269" s="206"/>
      <c r="K269" s="197" t="str" cm="1">
        <f t="array" ref="K269">IFERROR(
IF($J$2="ELA",
IF(VLOOKUP($A269, YES_Reading_ELA[], COLUMN(YES_Reading_ELA[Self-Identified as African Descent]), FALSE)="", "",
VLOOKUP($A269,YES_Reading_ELA[], COLUMN(YES_Reading_ELA[Self-Identified as African Descent]), FALSE)),
IF($J$2="FLA",
IF(VLOOKUP($A269, YES_Reading_FLA[], COLUMN(YES_Reading_FLA[Self-Identified as African Descent]),FALSE)="","",
VLOOKUP($A269,YES_Reading_FLA[],COLUMN(YES_Reading_FLA[Self-Identified as African Descent]),FALSE)),
IF($J$2="Combined",
IFERROR(
IF(VLOOKUP($A269, YES_Reading_ELA[], COLUMN(YES_Reading_ELA[Self-Identified as African Descent]), FALSE)="", "",
VLOOKUP($A269,YES_Reading_ELA[],COLUMN(YES_Reading_ELA[Self-Identified as African Descent]),FALSE)),
IF(VLOOKUP($A269, YES_Reading_FLA[], COLUMN(YES_Reading_FLA[Self-Identified as African Descent]),FALSE)="", "", VLOOKUP($A269,YES_Reading_FLA[],COLUMN(YES_Reading_FLA[Self-Identified as African Descent]),FALSE))),""))),"")</f>
        <v/>
      </c>
      <c r="L269" s="73" t="str" cm="1">
        <f t="array" ref="L269">IFERROR(
IF($J$2="ELA",
IF(VLOOKUP($A269, YES_Reading_ELA[], COLUMN(YES_Reading_ELA[Self-Identified as Indigenous]), FALSE)="", "",
VLOOKUP($A269,YES_Reading_ELA[], COLUMN(YES_Reading_ELA[Self-Identified as Indigenous]), FALSE)),
IF($J$2="FLA",
IF(VLOOKUP($A269, YES_Reading_FLA[], COLUMN(YES_Reading_FLA[Self-Identified as Indigenous]),FALSE)="","",
VLOOKUP($A269,YES_Reading_FLA[],COLUMN(YES_Reading_FLA[Self-Identified as Indigenous]),FALSE)),
IF($J$2="Combined",
IFERROR(
IF(VLOOKUP($A269, YES_Reading_ELA[], COLUMN(YES_Reading_ELA[Self-Identified as Indigenous]), FALSE)="", "",
VLOOKUP($A269,YES_Reading_ELA[],COLUMN(YES_Reading_ELA[Self-Identified as Indigenous]),FALSE)),
IF(VLOOKUP($A269, YES_Reading_FLA[], COLUMN(YES_Reading_FLA[Self-Identified as Indigenous]),FALSE)="", "", VLOOKUP($A269,YES_Reading_FLA[],COLUMN(YES_Reading_FLA[Self-Identified as Indigenous]),FALSE))),""))),"")</f>
        <v/>
      </c>
    </row>
    <row r="270" spans="1:12" ht="19.5" customHeight="1" x14ac:dyDescent="0.25">
      <c r="A270" s="217"/>
      <c r="B270" s="220"/>
      <c r="C270" s="203"/>
      <c r="D270" s="204"/>
      <c r="E270" s="205"/>
      <c r="F270" s="205"/>
      <c r="G270" s="205"/>
      <c r="H270" s="206"/>
      <c r="I270" s="212"/>
      <c r="J270" s="206"/>
      <c r="K270" s="197" t="str" cm="1">
        <f t="array" ref="K270">IFERROR(
IF($J$2="ELA",
IF(VLOOKUP($A270, YES_Reading_ELA[], COLUMN(YES_Reading_ELA[Self-Identified as African Descent]), FALSE)="", "",
VLOOKUP($A270,YES_Reading_ELA[], COLUMN(YES_Reading_ELA[Self-Identified as African Descent]), FALSE)),
IF($J$2="FLA",
IF(VLOOKUP($A270, YES_Reading_FLA[], COLUMN(YES_Reading_FLA[Self-Identified as African Descent]),FALSE)="","",
VLOOKUP($A270,YES_Reading_FLA[],COLUMN(YES_Reading_FLA[Self-Identified as African Descent]),FALSE)),
IF($J$2="Combined",
IFERROR(
IF(VLOOKUP($A270, YES_Reading_ELA[], COLUMN(YES_Reading_ELA[Self-Identified as African Descent]), FALSE)="", "",
VLOOKUP($A270,YES_Reading_ELA[],COLUMN(YES_Reading_ELA[Self-Identified as African Descent]),FALSE)),
IF(VLOOKUP($A270, YES_Reading_FLA[], COLUMN(YES_Reading_FLA[Self-Identified as African Descent]),FALSE)="", "", VLOOKUP($A270,YES_Reading_FLA[],COLUMN(YES_Reading_FLA[Self-Identified as African Descent]),FALSE))),""))),"")</f>
        <v/>
      </c>
      <c r="L270" s="73" t="str" cm="1">
        <f t="array" ref="L270">IFERROR(
IF($J$2="ELA",
IF(VLOOKUP($A270, YES_Reading_ELA[], COLUMN(YES_Reading_ELA[Self-Identified as Indigenous]), FALSE)="", "",
VLOOKUP($A270,YES_Reading_ELA[], COLUMN(YES_Reading_ELA[Self-Identified as Indigenous]), FALSE)),
IF($J$2="FLA",
IF(VLOOKUP($A270, YES_Reading_FLA[], COLUMN(YES_Reading_FLA[Self-Identified as Indigenous]),FALSE)="","",
VLOOKUP($A270,YES_Reading_FLA[],COLUMN(YES_Reading_FLA[Self-Identified as Indigenous]),FALSE)),
IF($J$2="Combined",
IFERROR(
IF(VLOOKUP($A270, YES_Reading_ELA[], COLUMN(YES_Reading_ELA[Self-Identified as Indigenous]), FALSE)="", "",
VLOOKUP($A270,YES_Reading_ELA[],COLUMN(YES_Reading_ELA[Self-Identified as Indigenous]),FALSE)),
IF(VLOOKUP($A270, YES_Reading_FLA[], COLUMN(YES_Reading_FLA[Self-Identified as Indigenous]),FALSE)="", "", VLOOKUP($A270,YES_Reading_FLA[],COLUMN(YES_Reading_FLA[Self-Identified as Indigenous]),FALSE))),""))),"")</f>
        <v/>
      </c>
    </row>
    <row r="271" spans="1:12" ht="19.5" customHeight="1" x14ac:dyDescent="0.25">
      <c r="A271" s="217"/>
      <c r="B271" s="220"/>
      <c r="C271" s="203"/>
      <c r="D271" s="204"/>
      <c r="E271" s="205"/>
      <c r="F271" s="205"/>
      <c r="G271" s="205"/>
      <c r="H271" s="206"/>
      <c r="I271" s="212"/>
      <c r="J271" s="206"/>
      <c r="K271" s="197" t="str" cm="1">
        <f t="array" ref="K271">IFERROR(
IF($J$2="ELA",
IF(VLOOKUP($A271, YES_Reading_ELA[], COLUMN(YES_Reading_ELA[Self-Identified as African Descent]), FALSE)="", "",
VLOOKUP($A271,YES_Reading_ELA[], COLUMN(YES_Reading_ELA[Self-Identified as African Descent]), FALSE)),
IF($J$2="FLA",
IF(VLOOKUP($A271, YES_Reading_FLA[], COLUMN(YES_Reading_FLA[Self-Identified as African Descent]),FALSE)="","",
VLOOKUP($A271,YES_Reading_FLA[],COLUMN(YES_Reading_FLA[Self-Identified as African Descent]),FALSE)),
IF($J$2="Combined",
IFERROR(
IF(VLOOKUP($A271, YES_Reading_ELA[], COLUMN(YES_Reading_ELA[Self-Identified as African Descent]), FALSE)="", "",
VLOOKUP($A271,YES_Reading_ELA[],COLUMN(YES_Reading_ELA[Self-Identified as African Descent]),FALSE)),
IF(VLOOKUP($A271, YES_Reading_FLA[], COLUMN(YES_Reading_FLA[Self-Identified as African Descent]),FALSE)="", "", VLOOKUP($A271,YES_Reading_FLA[],COLUMN(YES_Reading_FLA[Self-Identified as African Descent]),FALSE))),""))),"")</f>
        <v/>
      </c>
      <c r="L271" s="73" t="str" cm="1">
        <f t="array" ref="L271">IFERROR(
IF($J$2="ELA",
IF(VLOOKUP($A271, YES_Reading_ELA[], COLUMN(YES_Reading_ELA[Self-Identified as Indigenous]), FALSE)="", "",
VLOOKUP($A271,YES_Reading_ELA[], COLUMN(YES_Reading_ELA[Self-Identified as Indigenous]), FALSE)),
IF($J$2="FLA",
IF(VLOOKUP($A271, YES_Reading_FLA[], COLUMN(YES_Reading_FLA[Self-Identified as Indigenous]),FALSE)="","",
VLOOKUP($A271,YES_Reading_FLA[],COLUMN(YES_Reading_FLA[Self-Identified as Indigenous]),FALSE)),
IF($J$2="Combined",
IFERROR(
IF(VLOOKUP($A271, YES_Reading_ELA[], COLUMN(YES_Reading_ELA[Self-Identified as Indigenous]), FALSE)="", "",
VLOOKUP($A271,YES_Reading_ELA[],COLUMN(YES_Reading_ELA[Self-Identified as Indigenous]),FALSE)),
IF(VLOOKUP($A271, YES_Reading_FLA[], COLUMN(YES_Reading_FLA[Self-Identified as Indigenous]),FALSE)="", "", VLOOKUP($A271,YES_Reading_FLA[],COLUMN(YES_Reading_FLA[Self-Identified as Indigenous]),FALSE))),""))),"")</f>
        <v/>
      </c>
    </row>
    <row r="272" spans="1:12" ht="19.5" customHeight="1" x14ac:dyDescent="0.25">
      <c r="A272" s="217"/>
      <c r="B272" s="220"/>
      <c r="C272" s="203"/>
      <c r="D272" s="204"/>
      <c r="E272" s="205"/>
      <c r="F272" s="205"/>
      <c r="G272" s="205"/>
      <c r="H272" s="206"/>
      <c r="I272" s="212"/>
      <c r="J272" s="206"/>
      <c r="K272" s="197" t="str" cm="1">
        <f t="array" ref="K272">IFERROR(
IF($J$2="ELA",
IF(VLOOKUP($A272, YES_Reading_ELA[], COLUMN(YES_Reading_ELA[Self-Identified as African Descent]), FALSE)="", "",
VLOOKUP($A272,YES_Reading_ELA[], COLUMN(YES_Reading_ELA[Self-Identified as African Descent]), FALSE)),
IF($J$2="FLA",
IF(VLOOKUP($A272, YES_Reading_FLA[], COLUMN(YES_Reading_FLA[Self-Identified as African Descent]),FALSE)="","",
VLOOKUP($A272,YES_Reading_FLA[],COLUMN(YES_Reading_FLA[Self-Identified as African Descent]),FALSE)),
IF($J$2="Combined",
IFERROR(
IF(VLOOKUP($A272, YES_Reading_ELA[], COLUMN(YES_Reading_ELA[Self-Identified as African Descent]), FALSE)="", "",
VLOOKUP($A272,YES_Reading_ELA[],COLUMN(YES_Reading_ELA[Self-Identified as African Descent]),FALSE)),
IF(VLOOKUP($A272, YES_Reading_FLA[], COLUMN(YES_Reading_FLA[Self-Identified as African Descent]),FALSE)="", "", VLOOKUP($A272,YES_Reading_FLA[],COLUMN(YES_Reading_FLA[Self-Identified as African Descent]),FALSE))),""))),"")</f>
        <v/>
      </c>
      <c r="L272" s="73" t="str" cm="1">
        <f t="array" ref="L272">IFERROR(
IF($J$2="ELA",
IF(VLOOKUP($A272, YES_Reading_ELA[], COLUMN(YES_Reading_ELA[Self-Identified as Indigenous]), FALSE)="", "",
VLOOKUP($A272,YES_Reading_ELA[], COLUMN(YES_Reading_ELA[Self-Identified as Indigenous]), FALSE)),
IF($J$2="FLA",
IF(VLOOKUP($A272, YES_Reading_FLA[], COLUMN(YES_Reading_FLA[Self-Identified as Indigenous]),FALSE)="","",
VLOOKUP($A272,YES_Reading_FLA[],COLUMN(YES_Reading_FLA[Self-Identified as Indigenous]),FALSE)),
IF($J$2="Combined",
IFERROR(
IF(VLOOKUP($A272, YES_Reading_ELA[], COLUMN(YES_Reading_ELA[Self-Identified as Indigenous]), FALSE)="", "",
VLOOKUP($A272,YES_Reading_ELA[],COLUMN(YES_Reading_ELA[Self-Identified as Indigenous]),FALSE)),
IF(VLOOKUP($A272, YES_Reading_FLA[], COLUMN(YES_Reading_FLA[Self-Identified as Indigenous]),FALSE)="", "", VLOOKUP($A272,YES_Reading_FLA[],COLUMN(YES_Reading_FLA[Self-Identified as Indigenous]),FALSE))),""))),"")</f>
        <v/>
      </c>
    </row>
    <row r="273" spans="1:12" ht="19.5" customHeight="1" x14ac:dyDescent="0.25">
      <c r="A273" s="217"/>
      <c r="B273" s="220"/>
      <c r="C273" s="203"/>
      <c r="D273" s="204"/>
      <c r="E273" s="205"/>
      <c r="F273" s="205"/>
      <c r="G273" s="205"/>
      <c r="H273" s="206"/>
      <c r="I273" s="212"/>
      <c r="J273" s="206"/>
      <c r="K273" s="197" t="str" cm="1">
        <f t="array" ref="K273">IFERROR(
IF($J$2="ELA",
IF(VLOOKUP($A273, YES_Reading_ELA[], COLUMN(YES_Reading_ELA[Self-Identified as African Descent]), FALSE)="", "",
VLOOKUP($A273,YES_Reading_ELA[], COLUMN(YES_Reading_ELA[Self-Identified as African Descent]), FALSE)),
IF($J$2="FLA",
IF(VLOOKUP($A273, YES_Reading_FLA[], COLUMN(YES_Reading_FLA[Self-Identified as African Descent]),FALSE)="","",
VLOOKUP($A273,YES_Reading_FLA[],COLUMN(YES_Reading_FLA[Self-Identified as African Descent]),FALSE)),
IF($J$2="Combined",
IFERROR(
IF(VLOOKUP($A273, YES_Reading_ELA[], COLUMN(YES_Reading_ELA[Self-Identified as African Descent]), FALSE)="", "",
VLOOKUP($A273,YES_Reading_ELA[],COLUMN(YES_Reading_ELA[Self-Identified as African Descent]),FALSE)),
IF(VLOOKUP($A273, YES_Reading_FLA[], COLUMN(YES_Reading_FLA[Self-Identified as African Descent]),FALSE)="", "", VLOOKUP($A273,YES_Reading_FLA[],COLUMN(YES_Reading_FLA[Self-Identified as African Descent]),FALSE))),""))),"")</f>
        <v/>
      </c>
      <c r="L273" s="73" t="str" cm="1">
        <f t="array" ref="L273">IFERROR(
IF($J$2="ELA",
IF(VLOOKUP($A273, YES_Reading_ELA[], COLUMN(YES_Reading_ELA[Self-Identified as Indigenous]), FALSE)="", "",
VLOOKUP($A273,YES_Reading_ELA[], COLUMN(YES_Reading_ELA[Self-Identified as Indigenous]), FALSE)),
IF($J$2="FLA",
IF(VLOOKUP($A273, YES_Reading_FLA[], COLUMN(YES_Reading_FLA[Self-Identified as Indigenous]),FALSE)="","",
VLOOKUP($A273,YES_Reading_FLA[],COLUMN(YES_Reading_FLA[Self-Identified as Indigenous]),FALSE)),
IF($J$2="Combined",
IFERROR(
IF(VLOOKUP($A273, YES_Reading_ELA[], COLUMN(YES_Reading_ELA[Self-Identified as Indigenous]), FALSE)="", "",
VLOOKUP($A273,YES_Reading_ELA[],COLUMN(YES_Reading_ELA[Self-Identified as Indigenous]),FALSE)),
IF(VLOOKUP($A273, YES_Reading_FLA[], COLUMN(YES_Reading_FLA[Self-Identified as Indigenous]),FALSE)="", "", VLOOKUP($A273,YES_Reading_FLA[],COLUMN(YES_Reading_FLA[Self-Identified as Indigenous]),FALSE))),""))),"")</f>
        <v/>
      </c>
    </row>
    <row r="274" spans="1:12" ht="19.5" customHeight="1" x14ac:dyDescent="0.25">
      <c r="A274" s="217"/>
      <c r="B274" s="220"/>
      <c r="C274" s="203"/>
      <c r="D274" s="204"/>
      <c r="E274" s="205"/>
      <c r="F274" s="205"/>
      <c r="G274" s="205"/>
      <c r="H274" s="206"/>
      <c r="I274" s="212"/>
      <c r="J274" s="206"/>
      <c r="K274" s="197" t="str" cm="1">
        <f t="array" ref="K274">IFERROR(
IF($J$2="ELA",
IF(VLOOKUP($A274, YES_Reading_ELA[], COLUMN(YES_Reading_ELA[Self-Identified as African Descent]), FALSE)="", "",
VLOOKUP($A274,YES_Reading_ELA[], COLUMN(YES_Reading_ELA[Self-Identified as African Descent]), FALSE)),
IF($J$2="FLA",
IF(VLOOKUP($A274, YES_Reading_FLA[], COLUMN(YES_Reading_FLA[Self-Identified as African Descent]),FALSE)="","",
VLOOKUP($A274,YES_Reading_FLA[],COLUMN(YES_Reading_FLA[Self-Identified as African Descent]),FALSE)),
IF($J$2="Combined",
IFERROR(
IF(VLOOKUP($A274, YES_Reading_ELA[], COLUMN(YES_Reading_ELA[Self-Identified as African Descent]), FALSE)="", "",
VLOOKUP($A274,YES_Reading_ELA[],COLUMN(YES_Reading_ELA[Self-Identified as African Descent]),FALSE)),
IF(VLOOKUP($A274, YES_Reading_FLA[], COLUMN(YES_Reading_FLA[Self-Identified as African Descent]),FALSE)="", "", VLOOKUP($A274,YES_Reading_FLA[],COLUMN(YES_Reading_FLA[Self-Identified as African Descent]),FALSE))),""))),"")</f>
        <v/>
      </c>
      <c r="L274" s="73" t="str" cm="1">
        <f t="array" ref="L274">IFERROR(
IF($J$2="ELA",
IF(VLOOKUP($A274, YES_Reading_ELA[], COLUMN(YES_Reading_ELA[Self-Identified as Indigenous]), FALSE)="", "",
VLOOKUP($A274,YES_Reading_ELA[], COLUMN(YES_Reading_ELA[Self-Identified as Indigenous]), FALSE)),
IF($J$2="FLA",
IF(VLOOKUP($A274, YES_Reading_FLA[], COLUMN(YES_Reading_FLA[Self-Identified as Indigenous]),FALSE)="","",
VLOOKUP($A274,YES_Reading_FLA[],COLUMN(YES_Reading_FLA[Self-Identified as Indigenous]),FALSE)),
IF($J$2="Combined",
IFERROR(
IF(VLOOKUP($A274, YES_Reading_ELA[], COLUMN(YES_Reading_ELA[Self-Identified as Indigenous]), FALSE)="", "",
VLOOKUP($A274,YES_Reading_ELA[],COLUMN(YES_Reading_ELA[Self-Identified as Indigenous]),FALSE)),
IF(VLOOKUP($A274, YES_Reading_FLA[], COLUMN(YES_Reading_FLA[Self-Identified as Indigenous]),FALSE)="", "", VLOOKUP($A274,YES_Reading_FLA[],COLUMN(YES_Reading_FLA[Self-Identified as Indigenous]),FALSE))),""))),"")</f>
        <v/>
      </c>
    </row>
    <row r="275" spans="1:12" ht="19.5" customHeight="1" x14ac:dyDescent="0.25">
      <c r="A275" s="217"/>
      <c r="B275" s="220"/>
      <c r="C275" s="203"/>
      <c r="D275" s="204"/>
      <c r="E275" s="205"/>
      <c r="F275" s="205"/>
      <c r="G275" s="205"/>
      <c r="H275" s="206"/>
      <c r="I275" s="212"/>
      <c r="J275" s="206"/>
      <c r="K275" s="197" t="str" cm="1">
        <f t="array" ref="K275">IFERROR(
IF($J$2="ELA",
IF(VLOOKUP($A275, YES_Reading_ELA[], COLUMN(YES_Reading_ELA[Self-Identified as African Descent]), FALSE)="", "",
VLOOKUP($A275,YES_Reading_ELA[], COLUMN(YES_Reading_ELA[Self-Identified as African Descent]), FALSE)),
IF($J$2="FLA",
IF(VLOOKUP($A275, YES_Reading_FLA[], COLUMN(YES_Reading_FLA[Self-Identified as African Descent]),FALSE)="","",
VLOOKUP($A275,YES_Reading_FLA[],COLUMN(YES_Reading_FLA[Self-Identified as African Descent]),FALSE)),
IF($J$2="Combined",
IFERROR(
IF(VLOOKUP($A275, YES_Reading_ELA[], COLUMN(YES_Reading_ELA[Self-Identified as African Descent]), FALSE)="", "",
VLOOKUP($A275,YES_Reading_ELA[],COLUMN(YES_Reading_ELA[Self-Identified as African Descent]),FALSE)),
IF(VLOOKUP($A275, YES_Reading_FLA[], COLUMN(YES_Reading_FLA[Self-Identified as African Descent]),FALSE)="", "", VLOOKUP($A275,YES_Reading_FLA[],COLUMN(YES_Reading_FLA[Self-Identified as African Descent]),FALSE))),""))),"")</f>
        <v/>
      </c>
      <c r="L275" s="73" t="str" cm="1">
        <f t="array" ref="L275">IFERROR(
IF($J$2="ELA",
IF(VLOOKUP($A275, YES_Reading_ELA[], COLUMN(YES_Reading_ELA[Self-Identified as Indigenous]), FALSE)="", "",
VLOOKUP($A275,YES_Reading_ELA[], COLUMN(YES_Reading_ELA[Self-Identified as Indigenous]), FALSE)),
IF($J$2="FLA",
IF(VLOOKUP($A275, YES_Reading_FLA[], COLUMN(YES_Reading_FLA[Self-Identified as Indigenous]),FALSE)="","",
VLOOKUP($A275,YES_Reading_FLA[],COLUMN(YES_Reading_FLA[Self-Identified as Indigenous]),FALSE)),
IF($J$2="Combined",
IFERROR(
IF(VLOOKUP($A275, YES_Reading_ELA[], COLUMN(YES_Reading_ELA[Self-Identified as Indigenous]), FALSE)="", "",
VLOOKUP($A275,YES_Reading_ELA[],COLUMN(YES_Reading_ELA[Self-Identified as Indigenous]),FALSE)),
IF(VLOOKUP($A275, YES_Reading_FLA[], COLUMN(YES_Reading_FLA[Self-Identified as Indigenous]),FALSE)="", "", VLOOKUP($A275,YES_Reading_FLA[],COLUMN(YES_Reading_FLA[Self-Identified as Indigenous]),FALSE))),""))),"")</f>
        <v/>
      </c>
    </row>
    <row r="276" spans="1:12" ht="19.5" customHeight="1" x14ac:dyDescent="0.25">
      <c r="A276" s="217"/>
      <c r="B276" s="220"/>
      <c r="C276" s="203"/>
      <c r="D276" s="204"/>
      <c r="E276" s="205"/>
      <c r="F276" s="205"/>
      <c r="G276" s="205"/>
      <c r="H276" s="206"/>
      <c r="I276" s="212"/>
      <c r="J276" s="206"/>
      <c r="K276" s="197" t="str" cm="1">
        <f t="array" ref="K276">IFERROR(
IF($J$2="ELA",
IF(VLOOKUP($A276, YES_Reading_ELA[], COLUMN(YES_Reading_ELA[Self-Identified as African Descent]), FALSE)="", "",
VLOOKUP($A276,YES_Reading_ELA[], COLUMN(YES_Reading_ELA[Self-Identified as African Descent]), FALSE)),
IF($J$2="FLA",
IF(VLOOKUP($A276, YES_Reading_FLA[], COLUMN(YES_Reading_FLA[Self-Identified as African Descent]),FALSE)="","",
VLOOKUP($A276,YES_Reading_FLA[],COLUMN(YES_Reading_FLA[Self-Identified as African Descent]),FALSE)),
IF($J$2="Combined",
IFERROR(
IF(VLOOKUP($A276, YES_Reading_ELA[], COLUMN(YES_Reading_ELA[Self-Identified as African Descent]), FALSE)="", "",
VLOOKUP($A276,YES_Reading_ELA[],COLUMN(YES_Reading_ELA[Self-Identified as African Descent]),FALSE)),
IF(VLOOKUP($A276, YES_Reading_FLA[], COLUMN(YES_Reading_FLA[Self-Identified as African Descent]),FALSE)="", "", VLOOKUP($A276,YES_Reading_FLA[],COLUMN(YES_Reading_FLA[Self-Identified as African Descent]),FALSE))),""))),"")</f>
        <v/>
      </c>
      <c r="L276" s="73" t="str" cm="1">
        <f t="array" ref="L276">IFERROR(
IF($J$2="ELA",
IF(VLOOKUP($A276, YES_Reading_ELA[], COLUMN(YES_Reading_ELA[Self-Identified as Indigenous]), FALSE)="", "",
VLOOKUP($A276,YES_Reading_ELA[], COLUMN(YES_Reading_ELA[Self-Identified as Indigenous]), FALSE)),
IF($J$2="FLA",
IF(VLOOKUP($A276, YES_Reading_FLA[], COLUMN(YES_Reading_FLA[Self-Identified as Indigenous]),FALSE)="","",
VLOOKUP($A276,YES_Reading_FLA[],COLUMN(YES_Reading_FLA[Self-Identified as Indigenous]),FALSE)),
IF($J$2="Combined",
IFERROR(
IF(VLOOKUP($A276, YES_Reading_ELA[], COLUMN(YES_Reading_ELA[Self-Identified as Indigenous]), FALSE)="", "",
VLOOKUP($A276,YES_Reading_ELA[],COLUMN(YES_Reading_ELA[Self-Identified as Indigenous]),FALSE)),
IF(VLOOKUP($A276, YES_Reading_FLA[], COLUMN(YES_Reading_FLA[Self-Identified as Indigenous]),FALSE)="", "", VLOOKUP($A276,YES_Reading_FLA[],COLUMN(YES_Reading_FLA[Self-Identified as Indigenous]),FALSE))),""))),"")</f>
        <v/>
      </c>
    </row>
    <row r="277" spans="1:12" ht="19.5" customHeight="1" x14ac:dyDescent="0.25">
      <c r="A277" s="217"/>
      <c r="B277" s="220"/>
      <c r="C277" s="203"/>
      <c r="D277" s="204"/>
      <c r="E277" s="205"/>
      <c r="F277" s="205"/>
      <c r="G277" s="205"/>
      <c r="H277" s="206"/>
      <c r="I277" s="212"/>
      <c r="J277" s="206"/>
      <c r="K277" s="197" t="str" cm="1">
        <f t="array" ref="K277">IFERROR(
IF($J$2="ELA",
IF(VLOOKUP($A277, YES_Reading_ELA[], COLUMN(YES_Reading_ELA[Self-Identified as African Descent]), FALSE)="", "",
VLOOKUP($A277,YES_Reading_ELA[], COLUMN(YES_Reading_ELA[Self-Identified as African Descent]), FALSE)),
IF($J$2="FLA",
IF(VLOOKUP($A277, YES_Reading_FLA[], COLUMN(YES_Reading_FLA[Self-Identified as African Descent]),FALSE)="","",
VLOOKUP($A277,YES_Reading_FLA[],COLUMN(YES_Reading_FLA[Self-Identified as African Descent]),FALSE)),
IF($J$2="Combined",
IFERROR(
IF(VLOOKUP($A277, YES_Reading_ELA[], COLUMN(YES_Reading_ELA[Self-Identified as African Descent]), FALSE)="", "",
VLOOKUP($A277,YES_Reading_ELA[],COLUMN(YES_Reading_ELA[Self-Identified as African Descent]),FALSE)),
IF(VLOOKUP($A277, YES_Reading_FLA[], COLUMN(YES_Reading_FLA[Self-Identified as African Descent]),FALSE)="", "", VLOOKUP($A277,YES_Reading_FLA[],COLUMN(YES_Reading_FLA[Self-Identified as African Descent]),FALSE))),""))),"")</f>
        <v/>
      </c>
      <c r="L277" s="73" t="str" cm="1">
        <f t="array" ref="L277">IFERROR(
IF($J$2="ELA",
IF(VLOOKUP($A277, YES_Reading_ELA[], COLUMN(YES_Reading_ELA[Self-Identified as Indigenous]), FALSE)="", "",
VLOOKUP($A277,YES_Reading_ELA[], COLUMN(YES_Reading_ELA[Self-Identified as Indigenous]), FALSE)),
IF($J$2="FLA",
IF(VLOOKUP($A277, YES_Reading_FLA[], COLUMN(YES_Reading_FLA[Self-Identified as Indigenous]),FALSE)="","",
VLOOKUP($A277,YES_Reading_FLA[],COLUMN(YES_Reading_FLA[Self-Identified as Indigenous]),FALSE)),
IF($J$2="Combined",
IFERROR(
IF(VLOOKUP($A277, YES_Reading_ELA[], COLUMN(YES_Reading_ELA[Self-Identified as Indigenous]), FALSE)="", "",
VLOOKUP($A277,YES_Reading_ELA[],COLUMN(YES_Reading_ELA[Self-Identified as Indigenous]),FALSE)),
IF(VLOOKUP($A277, YES_Reading_FLA[], COLUMN(YES_Reading_FLA[Self-Identified as Indigenous]),FALSE)="", "", VLOOKUP($A277,YES_Reading_FLA[],COLUMN(YES_Reading_FLA[Self-Identified as Indigenous]),FALSE))),""))),"")</f>
        <v/>
      </c>
    </row>
    <row r="278" spans="1:12" ht="19.5" customHeight="1" x14ac:dyDescent="0.25">
      <c r="A278" s="217"/>
      <c r="B278" s="220"/>
      <c r="C278" s="203"/>
      <c r="D278" s="204"/>
      <c r="E278" s="205"/>
      <c r="F278" s="205"/>
      <c r="G278" s="205"/>
      <c r="H278" s="206"/>
      <c r="I278" s="212"/>
      <c r="J278" s="206"/>
      <c r="K278" s="197" t="str" cm="1">
        <f t="array" ref="K278">IFERROR(
IF($J$2="ELA",
IF(VLOOKUP($A278, YES_Reading_ELA[], COLUMN(YES_Reading_ELA[Self-Identified as African Descent]), FALSE)="", "",
VLOOKUP($A278,YES_Reading_ELA[], COLUMN(YES_Reading_ELA[Self-Identified as African Descent]), FALSE)),
IF($J$2="FLA",
IF(VLOOKUP($A278, YES_Reading_FLA[], COLUMN(YES_Reading_FLA[Self-Identified as African Descent]),FALSE)="","",
VLOOKUP($A278,YES_Reading_FLA[],COLUMN(YES_Reading_FLA[Self-Identified as African Descent]),FALSE)),
IF($J$2="Combined",
IFERROR(
IF(VLOOKUP($A278, YES_Reading_ELA[], COLUMN(YES_Reading_ELA[Self-Identified as African Descent]), FALSE)="", "",
VLOOKUP($A278,YES_Reading_ELA[],COLUMN(YES_Reading_ELA[Self-Identified as African Descent]),FALSE)),
IF(VLOOKUP($A278, YES_Reading_FLA[], COLUMN(YES_Reading_FLA[Self-Identified as African Descent]),FALSE)="", "", VLOOKUP($A278,YES_Reading_FLA[],COLUMN(YES_Reading_FLA[Self-Identified as African Descent]),FALSE))),""))),"")</f>
        <v/>
      </c>
      <c r="L278" s="73" t="str" cm="1">
        <f t="array" ref="L278">IFERROR(
IF($J$2="ELA",
IF(VLOOKUP($A278, YES_Reading_ELA[], COLUMN(YES_Reading_ELA[Self-Identified as Indigenous]), FALSE)="", "",
VLOOKUP($A278,YES_Reading_ELA[], COLUMN(YES_Reading_ELA[Self-Identified as Indigenous]), FALSE)),
IF($J$2="FLA",
IF(VLOOKUP($A278, YES_Reading_FLA[], COLUMN(YES_Reading_FLA[Self-Identified as Indigenous]),FALSE)="","",
VLOOKUP($A278,YES_Reading_FLA[],COLUMN(YES_Reading_FLA[Self-Identified as Indigenous]),FALSE)),
IF($J$2="Combined",
IFERROR(
IF(VLOOKUP($A278, YES_Reading_ELA[], COLUMN(YES_Reading_ELA[Self-Identified as Indigenous]), FALSE)="", "",
VLOOKUP($A278,YES_Reading_ELA[],COLUMN(YES_Reading_ELA[Self-Identified as Indigenous]),FALSE)),
IF(VLOOKUP($A278, YES_Reading_FLA[], COLUMN(YES_Reading_FLA[Self-Identified as Indigenous]),FALSE)="", "", VLOOKUP($A278,YES_Reading_FLA[],COLUMN(YES_Reading_FLA[Self-Identified as Indigenous]),FALSE))),""))),"")</f>
        <v/>
      </c>
    </row>
    <row r="279" spans="1:12" ht="19.5" customHeight="1" x14ac:dyDescent="0.25">
      <c r="A279" s="217"/>
      <c r="B279" s="220"/>
      <c r="C279" s="203"/>
      <c r="D279" s="204"/>
      <c r="E279" s="205"/>
      <c r="F279" s="205"/>
      <c r="G279" s="205"/>
      <c r="H279" s="206"/>
      <c r="I279" s="212"/>
      <c r="J279" s="206"/>
      <c r="K279" s="197" t="str" cm="1">
        <f t="array" ref="K279">IFERROR(
IF($J$2="ELA",
IF(VLOOKUP($A279, YES_Reading_ELA[], COLUMN(YES_Reading_ELA[Self-Identified as African Descent]), FALSE)="", "",
VLOOKUP($A279,YES_Reading_ELA[], COLUMN(YES_Reading_ELA[Self-Identified as African Descent]), FALSE)),
IF($J$2="FLA",
IF(VLOOKUP($A279, YES_Reading_FLA[], COLUMN(YES_Reading_FLA[Self-Identified as African Descent]),FALSE)="","",
VLOOKUP($A279,YES_Reading_FLA[],COLUMN(YES_Reading_FLA[Self-Identified as African Descent]),FALSE)),
IF($J$2="Combined",
IFERROR(
IF(VLOOKUP($A279, YES_Reading_ELA[], COLUMN(YES_Reading_ELA[Self-Identified as African Descent]), FALSE)="", "",
VLOOKUP($A279,YES_Reading_ELA[],COLUMN(YES_Reading_ELA[Self-Identified as African Descent]),FALSE)),
IF(VLOOKUP($A279, YES_Reading_FLA[], COLUMN(YES_Reading_FLA[Self-Identified as African Descent]),FALSE)="", "", VLOOKUP($A279,YES_Reading_FLA[],COLUMN(YES_Reading_FLA[Self-Identified as African Descent]),FALSE))),""))),"")</f>
        <v/>
      </c>
      <c r="L279" s="73" t="str" cm="1">
        <f t="array" ref="L279">IFERROR(
IF($J$2="ELA",
IF(VLOOKUP($A279, YES_Reading_ELA[], COLUMN(YES_Reading_ELA[Self-Identified as Indigenous]), FALSE)="", "",
VLOOKUP($A279,YES_Reading_ELA[], COLUMN(YES_Reading_ELA[Self-Identified as Indigenous]), FALSE)),
IF($J$2="FLA",
IF(VLOOKUP($A279, YES_Reading_FLA[], COLUMN(YES_Reading_FLA[Self-Identified as Indigenous]),FALSE)="","",
VLOOKUP($A279,YES_Reading_FLA[],COLUMN(YES_Reading_FLA[Self-Identified as Indigenous]),FALSE)),
IF($J$2="Combined",
IFERROR(
IF(VLOOKUP($A279, YES_Reading_ELA[], COLUMN(YES_Reading_ELA[Self-Identified as Indigenous]), FALSE)="", "",
VLOOKUP($A279,YES_Reading_ELA[],COLUMN(YES_Reading_ELA[Self-Identified as Indigenous]),FALSE)),
IF(VLOOKUP($A279, YES_Reading_FLA[], COLUMN(YES_Reading_FLA[Self-Identified as Indigenous]),FALSE)="", "", VLOOKUP($A279,YES_Reading_FLA[],COLUMN(YES_Reading_FLA[Self-Identified as Indigenous]),FALSE))),""))),"")</f>
        <v/>
      </c>
    </row>
    <row r="280" spans="1:12" ht="19.5" customHeight="1" x14ac:dyDescent="0.25">
      <c r="A280" s="217"/>
      <c r="B280" s="220"/>
      <c r="C280" s="203"/>
      <c r="D280" s="204"/>
      <c r="E280" s="205"/>
      <c r="F280" s="205"/>
      <c r="G280" s="205"/>
      <c r="H280" s="206"/>
      <c r="I280" s="212"/>
      <c r="J280" s="206"/>
      <c r="K280" s="197" t="str" cm="1">
        <f t="array" ref="K280">IFERROR(
IF($J$2="ELA",
IF(VLOOKUP($A280, YES_Reading_ELA[], COLUMN(YES_Reading_ELA[Self-Identified as African Descent]), FALSE)="", "",
VLOOKUP($A280,YES_Reading_ELA[], COLUMN(YES_Reading_ELA[Self-Identified as African Descent]), FALSE)),
IF($J$2="FLA",
IF(VLOOKUP($A280, YES_Reading_FLA[], COLUMN(YES_Reading_FLA[Self-Identified as African Descent]),FALSE)="","",
VLOOKUP($A280,YES_Reading_FLA[],COLUMN(YES_Reading_FLA[Self-Identified as African Descent]),FALSE)),
IF($J$2="Combined",
IFERROR(
IF(VLOOKUP($A280, YES_Reading_ELA[], COLUMN(YES_Reading_ELA[Self-Identified as African Descent]), FALSE)="", "",
VLOOKUP($A280,YES_Reading_ELA[],COLUMN(YES_Reading_ELA[Self-Identified as African Descent]),FALSE)),
IF(VLOOKUP($A280, YES_Reading_FLA[], COLUMN(YES_Reading_FLA[Self-Identified as African Descent]),FALSE)="", "", VLOOKUP($A280,YES_Reading_FLA[],COLUMN(YES_Reading_FLA[Self-Identified as African Descent]),FALSE))),""))),"")</f>
        <v/>
      </c>
      <c r="L280" s="73" t="str" cm="1">
        <f t="array" ref="L280">IFERROR(
IF($J$2="ELA",
IF(VLOOKUP($A280, YES_Reading_ELA[], COLUMN(YES_Reading_ELA[Self-Identified as Indigenous]), FALSE)="", "",
VLOOKUP($A280,YES_Reading_ELA[], COLUMN(YES_Reading_ELA[Self-Identified as Indigenous]), FALSE)),
IF($J$2="FLA",
IF(VLOOKUP($A280, YES_Reading_FLA[], COLUMN(YES_Reading_FLA[Self-Identified as Indigenous]),FALSE)="","",
VLOOKUP($A280,YES_Reading_FLA[],COLUMN(YES_Reading_FLA[Self-Identified as Indigenous]),FALSE)),
IF($J$2="Combined",
IFERROR(
IF(VLOOKUP($A280, YES_Reading_ELA[], COLUMN(YES_Reading_ELA[Self-Identified as Indigenous]), FALSE)="", "",
VLOOKUP($A280,YES_Reading_ELA[],COLUMN(YES_Reading_ELA[Self-Identified as Indigenous]),FALSE)),
IF(VLOOKUP($A280, YES_Reading_FLA[], COLUMN(YES_Reading_FLA[Self-Identified as Indigenous]),FALSE)="", "", VLOOKUP($A280,YES_Reading_FLA[],COLUMN(YES_Reading_FLA[Self-Identified as Indigenous]),FALSE))),""))),"")</f>
        <v/>
      </c>
    </row>
    <row r="281" spans="1:12" ht="19.5" customHeight="1" x14ac:dyDescent="0.25">
      <c r="A281" s="217"/>
      <c r="B281" s="220"/>
      <c r="C281" s="203"/>
      <c r="D281" s="204"/>
      <c r="E281" s="205"/>
      <c r="F281" s="205"/>
      <c r="G281" s="205"/>
      <c r="H281" s="206"/>
      <c r="I281" s="212"/>
      <c r="J281" s="206"/>
      <c r="K281" s="197" t="str" cm="1">
        <f t="array" ref="K281">IFERROR(
IF($J$2="ELA",
IF(VLOOKUP($A281, YES_Reading_ELA[], COLUMN(YES_Reading_ELA[Self-Identified as African Descent]), FALSE)="", "",
VLOOKUP($A281,YES_Reading_ELA[], COLUMN(YES_Reading_ELA[Self-Identified as African Descent]), FALSE)),
IF($J$2="FLA",
IF(VLOOKUP($A281, YES_Reading_FLA[], COLUMN(YES_Reading_FLA[Self-Identified as African Descent]),FALSE)="","",
VLOOKUP($A281,YES_Reading_FLA[],COLUMN(YES_Reading_FLA[Self-Identified as African Descent]),FALSE)),
IF($J$2="Combined",
IFERROR(
IF(VLOOKUP($A281, YES_Reading_ELA[], COLUMN(YES_Reading_ELA[Self-Identified as African Descent]), FALSE)="", "",
VLOOKUP($A281,YES_Reading_ELA[],COLUMN(YES_Reading_ELA[Self-Identified as African Descent]),FALSE)),
IF(VLOOKUP($A281, YES_Reading_FLA[], COLUMN(YES_Reading_FLA[Self-Identified as African Descent]),FALSE)="", "", VLOOKUP($A281,YES_Reading_FLA[],COLUMN(YES_Reading_FLA[Self-Identified as African Descent]),FALSE))),""))),"")</f>
        <v/>
      </c>
      <c r="L281" s="73" t="str" cm="1">
        <f t="array" ref="L281">IFERROR(
IF($J$2="ELA",
IF(VLOOKUP($A281, YES_Reading_ELA[], COLUMN(YES_Reading_ELA[Self-Identified as Indigenous]), FALSE)="", "",
VLOOKUP($A281,YES_Reading_ELA[], COLUMN(YES_Reading_ELA[Self-Identified as Indigenous]), FALSE)),
IF($J$2="FLA",
IF(VLOOKUP($A281, YES_Reading_FLA[], COLUMN(YES_Reading_FLA[Self-Identified as Indigenous]),FALSE)="","",
VLOOKUP($A281,YES_Reading_FLA[],COLUMN(YES_Reading_FLA[Self-Identified as Indigenous]),FALSE)),
IF($J$2="Combined",
IFERROR(
IF(VLOOKUP($A281, YES_Reading_ELA[], COLUMN(YES_Reading_ELA[Self-Identified as Indigenous]), FALSE)="", "",
VLOOKUP($A281,YES_Reading_ELA[],COLUMN(YES_Reading_ELA[Self-Identified as Indigenous]),FALSE)),
IF(VLOOKUP($A281, YES_Reading_FLA[], COLUMN(YES_Reading_FLA[Self-Identified as Indigenous]),FALSE)="", "", VLOOKUP($A281,YES_Reading_FLA[],COLUMN(YES_Reading_FLA[Self-Identified as Indigenous]),FALSE))),""))),"")</f>
        <v/>
      </c>
    </row>
    <row r="282" spans="1:12" ht="19.5" customHeight="1" x14ac:dyDescent="0.25">
      <c r="A282" s="217"/>
      <c r="B282" s="220"/>
      <c r="C282" s="203"/>
      <c r="D282" s="204"/>
      <c r="E282" s="205"/>
      <c r="F282" s="205"/>
      <c r="G282" s="205"/>
      <c r="H282" s="206"/>
      <c r="I282" s="212"/>
      <c r="J282" s="206"/>
      <c r="K282" s="197" t="str" cm="1">
        <f t="array" ref="K282">IFERROR(
IF($J$2="ELA",
IF(VLOOKUP($A282, YES_Reading_ELA[], COLUMN(YES_Reading_ELA[Self-Identified as African Descent]), FALSE)="", "",
VLOOKUP($A282,YES_Reading_ELA[], COLUMN(YES_Reading_ELA[Self-Identified as African Descent]), FALSE)),
IF($J$2="FLA",
IF(VLOOKUP($A282, YES_Reading_FLA[], COLUMN(YES_Reading_FLA[Self-Identified as African Descent]),FALSE)="","",
VLOOKUP($A282,YES_Reading_FLA[],COLUMN(YES_Reading_FLA[Self-Identified as African Descent]),FALSE)),
IF($J$2="Combined",
IFERROR(
IF(VLOOKUP($A282, YES_Reading_ELA[], COLUMN(YES_Reading_ELA[Self-Identified as African Descent]), FALSE)="", "",
VLOOKUP($A282,YES_Reading_ELA[],COLUMN(YES_Reading_ELA[Self-Identified as African Descent]),FALSE)),
IF(VLOOKUP($A282, YES_Reading_FLA[], COLUMN(YES_Reading_FLA[Self-Identified as African Descent]),FALSE)="", "", VLOOKUP($A282,YES_Reading_FLA[],COLUMN(YES_Reading_FLA[Self-Identified as African Descent]),FALSE))),""))),"")</f>
        <v/>
      </c>
      <c r="L282" s="73" t="str" cm="1">
        <f t="array" ref="L282">IFERROR(
IF($J$2="ELA",
IF(VLOOKUP($A282, YES_Reading_ELA[], COLUMN(YES_Reading_ELA[Self-Identified as Indigenous]), FALSE)="", "",
VLOOKUP($A282,YES_Reading_ELA[], COLUMN(YES_Reading_ELA[Self-Identified as Indigenous]), FALSE)),
IF($J$2="FLA",
IF(VLOOKUP($A282, YES_Reading_FLA[], COLUMN(YES_Reading_FLA[Self-Identified as Indigenous]),FALSE)="","",
VLOOKUP($A282,YES_Reading_FLA[],COLUMN(YES_Reading_FLA[Self-Identified as Indigenous]),FALSE)),
IF($J$2="Combined",
IFERROR(
IF(VLOOKUP($A282, YES_Reading_ELA[], COLUMN(YES_Reading_ELA[Self-Identified as Indigenous]), FALSE)="", "",
VLOOKUP($A282,YES_Reading_ELA[],COLUMN(YES_Reading_ELA[Self-Identified as Indigenous]),FALSE)),
IF(VLOOKUP($A282, YES_Reading_FLA[], COLUMN(YES_Reading_FLA[Self-Identified as Indigenous]),FALSE)="", "", VLOOKUP($A282,YES_Reading_FLA[],COLUMN(YES_Reading_FLA[Self-Identified as Indigenous]),FALSE))),""))),"")</f>
        <v/>
      </c>
    </row>
    <row r="283" spans="1:12" ht="19.5" customHeight="1" x14ac:dyDescent="0.25">
      <c r="A283" s="217"/>
      <c r="B283" s="220"/>
      <c r="C283" s="203"/>
      <c r="D283" s="204"/>
      <c r="E283" s="205"/>
      <c r="F283" s="205"/>
      <c r="G283" s="205"/>
      <c r="H283" s="206"/>
      <c r="I283" s="212"/>
      <c r="J283" s="206"/>
      <c r="K283" s="197" t="str" cm="1">
        <f t="array" ref="K283">IFERROR(
IF($J$2="ELA",
IF(VLOOKUP($A283, YES_Reading_ELA[], COLUMN(YES_Reading_ELA[Self-Identified as African Descent]), FALSE)="", "",
VLOOKUP($A283,YES_Reading_ELA[], COLUMN(YES_Reading_ELA[Self-Identified as African Descent]), FALSE)),
IF($J$2="FLA",
IF(VLOOKUP($A283, YES_Reading_FLA[], COLUMN(YES_Reading_FLA[Self-Identified as African Descent]),FALSE)="","",
VLOOKUP($A283,YES_Reading_FLA[],COLUMN(YES_Reading_FLA[Self-Identified as African Descent]),FALSE)),
IF($J$2="Combined",
IFERROR(
IF(VLOOKUP($A283, YES_Reading_ELA[], COLUMN(YES_Reading_ELA[Self-Identified as African Descent]), FALSE)="", "",
VLOOKUP($A283,YES_Reading_ELA[],COLUMN(YES_Reading_ELA[Self-Identified as African Descent]),FALSE)),
IF(VLOOKUP($A283, YES_Reading_FLA[], COLUMN(YES_Reading_FLA[Self-Identified as African Descent]),FALSE)="", "", VLOOKUP($A283,YES_Reading_FLA[],COLUMN(YES_Reading_FLA[Self-Identified as African Descent]),FALSE))),""))),"")</f>
        <v/>
      </c>
      <c r="L283" s="73" t="str" cm="1">
        <f t="array" ref="L283">IFERROR(
IF($J$2="ELA",
IF(VLOOKUP($A283, YES_Reading_ELA[], COLUMN(YES_Reading_ELA[Self-Identified as Indigenous]), FALSE)="", "",
VLOOKUP($A283,YES_Reading_ELA[], COLUMN(YES_Reading_ELA[Self-Identified as Indigenous]), FALSE)),
IF($J$2="FLA",
IF(VLOOKUP($A283, YES_Reading_FLA[], COLUMN(YES_Reading_FLA[Self-Identified as Indigenous]),FALSE)="","",
VLOOKUP($A283,YES_Reading_FLA[],COLUMN(YES_Reading_FLA[Self-Identified as Indigenous]),FALSE)),
IF($J$2="Combined",
IFERROR(
IF(VLOOKUP($A283, YES_Reading_ELA[], COLUMN(YES_Reading_ELA[Self-Identified as Indigenous]), FALSE)="", "",
VLOOKUP($A283,YES_Reading_ELA[],COLUMN(YES_Reading_ELA[Self-Identified as Indigenous]),FALSE)),
IF(VLOOKUP($A283, YES_Reading_FLA[], COLUMN(YES_Reading_FLA[Self-Identified as Indigenous]),FALSE)="", "", VLOOKUP($A283,YES_Reading_FLA[],COLUMN(YES_Reading_FLA[Self-Identified as Indigenous]),FALSE))),""))),"")</f>
        <v/>
      </c>
    </row>
    <row r="284" spans="1:12" ht="19.5" customHeight="1" thickBot="1" x14ac:dyDescent="0.3">
      <c r="A284" s="218"/>
      <c r="B284" s="221"/>
      <c r="C284" s="208"/>
      <c r="D284" s="209"/>
      <c r="E284" s="210"/>
      <c r="F284" s="210"/>
      <c r="G284" s="210"/>
      <c r="H284" s="211"/>
      <c r="I284" s="213"/>
      <c r="J284" s="211"/>
      <c r="K284" s="198" t="str" cm="1">
        <f t="array" ref="K284">IFERROR(
IF($J$2="ELA",
IF(VLOOKUP($A284, YES_Reading_ELA[], COLUMN(YES_Reading_ELA[Self-Identified as African Descent]), FALSE)="", "",
VLOOKUP($A284,YES_Reading_ELA[], COLUMN(YES_Reading_ELA[Self-Identified as African Descent]), FALSE)),
IF($J$2="FLA",
IF(VLOOKUP($A284, YES_Reading_FLA[], COLUMN(YES_Reading_FLA[Self-Identified as African Descent]),FALSE)="","",
VLOOKUP($A284,YES_Reading_FLA[],COLUMN(YES_Reading_FLA[Self-Identified as African Descent]),FALSE)),
IF($J$2="Combined",
IFERROR(
IF(VLOOKUP($A284, YES_Reading_ELA[], COLUMN(YES_Reading_ELA[Self-Identified as African Descent]), FALSE)="", "",
VLOOKUP($A284,YES_Reading_ELA[],COLUMN(YES_Reading_ELA[Self-Identified as African Descent]),FALSE)),
IF(VLOOKUP($A284, YES_Reading_FLA[], COLUMN(YES_Reading_FLA[Self-Identified as African Descent]),FALSE)="", "", VLOOKUP($A284,YES_Reading_FLA[],COLUMN(YES_Reading_FLA[Self-Identified as African Descent]),FALSE))),""))),"")</f>
        <v/>
      </c>
      <c r="L284" s="74" t="str" cm="1">
        <f t="array" ref="L284">IFERROR(
IF($J$2="ELA",
IF(VLOOKUP($A284, YES_Reading_ELA[], COLUMN(YES_Reading_ELA[Self-Identified as Indigenous]), FALSE)="", "",
VLOOKUP($A284,YES_Reading_ELA[], COLUMN(YES_Reading_ELA[Self-Identified as Indigenous]), FALSE)),
IF($J$2="FLA",
IF(VLOOKUP($A284, YES_Reading_FLA[], COLUMN(YES_Reading_FLA[Self-Identified as Indigenous]),FALSE)="","",
VLOOKUP($A284,YES_Reading_FLA[],COLUMN(YES_Reading_FLA[Self-Identified as Indigenous]),FALSE)),
IF($J$2="Combined",
IFERROR(
IF(VLOOKUP($A284, YES_Reading_ELA[], COLUMN(YES_Reading_ELA[Self-Identified as Indigenous]), FALSE)="", "",
VLOOKUP($A284,YES_Reading_ELA[],COLUMN(YES_Reading_ELA[Self-Identified as Indigenous]),FALSE)),
IF(VLOOKUP($A284, YES_Reading_FLA[], COLUMN(YES_Reading_FLA[Self-Identified as Indigenous]),FALSE)="", "", VLOOKUP($A284,YES_Reading_FLA[],COLUMN(YES_Reading_FLA[Self-Identified as Indigenous]),FALSE))),""))),"")</f>
        <v/>
      </c>
    </row>
    <row r="285" spans="1:12" x14ac:dyDescent="0.25">
      <c r="A285" s="214"/>
      <c r="B285" s="214" t="s">
        <v>241</v>
      </c>
      <c r="C285" s="214"/>
      <c r="D285" s="215" t="str" cm="1">
        <f t="array" ref="D285">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Set")))=$D$1)),1,1,FALSE),FALSE,FALSE),10),"")</f>
        <v/>
      </c>
      <c r="E285" s="215"/>
      <c r="F285" s="215"/>
      <c r="G285" s="215"/>
      <c r="H285" s="355" t="s">
        <v>242</v>
      </c>
      <c r="I285" s="356"/>
      <c r="J285" s="215"/>
    </row>
    <row r="286" spans="1:12" x14ac:dyDescent="0.25">
      <c r="A286" s="214"/>
      <c r="B286" s="214" t="str">
        <f>"Date: "&amp;$D$3</f>
        <v xml:space="preserve">Date: </v>
      </c>
      <c r="C286" s="214"/>
      <c r="D286" s="215"/>
      <c r="E286" s="215"/>
      <c r="F286" s="215"/>
      <c r="G286" s="215"/>
      <c r="H286" s="357" t="s">
        <v>243</v>
      </c>
      <c r="I286" s="358"/>
      <c r="J286" s="215"/>
    </row>
    <row r="287" spans="1:12" ht="15.75" thickBot="1" x14ac:dyDescent="0.3">
      <c r="A287" s="215"/>
      <c r="B287" s="215"/>
      <c r="C287" s="215"/>
      <c r="D287" s="215"/>
      <c r="E287" s="215"/>
      <c r="F287" s="215"/>
      <c r="G287" s="215"/>
      <c r="H287" s="353" t="s">
        <v>244</v>
      </c>
      <c r="I287" s="354"/>
      <c r="J287" s="215"/>
    </row>
    <row r="288" spans="1:12" ht="85.5" customHeight="1" thickBot="1" x14ac:dyDescent="0.3">
      <c r="A288" s="192" t="s">
        <v>44</v>
      </c>
      <c r="B288" s="187" t="s">
        <v>245</v>
      </c>
      <c r="C288" s="188" t="s">
        <v>246</v>
      </c>
      <c r="D288" s="188" t="s">
        <v>247</v>
      </c>
      <c r="E288" s="188" t="s">
        <v>248</v>
      </c>
      <c r="F288" s="188" t="s">
        <v>249</v>
      </c>
      <c r="G288" s="188" t="s">
        <v>250</v>
      </c>
      <c r="H288" s="189" t="s">
        <v>251</v>
      </c>
      <c r="I288" s="190" t="s">
        <v>252</v>
      </c>
      <c r="J288" s="191" t="s">
        <v>253</v>
      </c>
      <c r="K288" s="200" t="s">
        <v>256</v>
      </c>
      <c r="L288" s="201" t="s">
        <v>257</v>
      </c>
    </row>
    <row r="289" spans="1:12" ht="19.5" customHeight="1" x14ac:dyDescent="0.25">
      <c r="A289" s="216" t="e" cm="1" vm="1">
        <f t="array" aca="1" ref="A289" ca="1">_xlfn._xlws.FILTER(_xlfn.VSTACK(YES_Reading_ELA[Student Number],YES_Reading_FLA[Student Number]),_xlfn.VSTACK(YES_Reading_ELA[HomeRoom],YES_Reading_FLA[Homeroom])=D285)</f>
        <v>#VALUE!</v>
      </c>
      <c r="B289" s="219"/>
      <c r="C289" s="203"/>
      <c r="D289" s="204"/>
      <c r="E289" s="205"/>
      <c r="F289" s="205"/>
      <c r="G289" s="205"/>
      <c r="H289" s="206"/>
      <c r="I289" s="227"/>
      <c r="J289" s="206"/>
      <c r="K289" s="24" t="str" cm="1">
        <f t="array" aca="1" ref="K289" ca="1">IFERROR(
IF($J$2="ELA",
IF(VLOOKUP($A289, YES_Reading_ELA[], COLUMN(YES_Reading_ELA[Self-Identified as African Descent]), FALSE)="", "",
VLOOKUP($A289,YES_Reading_ELA[], COLUMN(YES_Reading_ELA[Self-Identified as African Descent]), FALSE)),
IF($J$2="FLA",
IF(VLOOKUP($A289, YES_Reading_FLA[], COLUMN(YES_Reading_FLA[Self-Identified as African Descent]),FALSE)="","",
VLOOKUP($A289,YES_Reading_FLA[],COLUMN(YES_Reading_FLA[Self-Identified as African Descent]),FALSE)),
IF($J$2="Combined",
IFERROR(
IF(VLOOKUP($A289, YES_Reading_ELA[], COLUMN(YES_Reading_ELA[Self-Identified as African Descent]), FALSE)="", "",
VLOOKUP($A289,YES_Reading_ELA[],COLUMN(YES_Reading_ELA[Self-Identified as African Descent]),FALSE)),
IF(VLOOKUP($A289, YES_Reading_FLA[], COLUMN(YES_Reading_FLA[Self-Identified as African Descent]),FALSE)="", "", VLOOKUP($A289,YES_Reading_FLA[],COLUMN(YES_Reading_FLA[Self-Identified as African Descent]),FALSE))),""))),"")</f>
        <v/>
      </c>
      <c r="L289" s="199" t="str" cm="1">
        <f t="array" aca="1" ref="L289" ca="1">IFERROR(
IF($J$2="ELA",
IF(VLOOKUP($A289, YES_Reading_ELA[], COLUMN(YES_Reading_ELA[Self-Identified as Indigenous]), FALSE)="", "",
VLOOKUP($A289,YES_Reading_ELA[], COLUMN(YES_Reading_ELA[Self-Identified as Indigenous]), FALSE)),
IF($J$2="FLA",
IF(VLOOKUP($A289, YES_Reading_FLA[], COLUMN(YES_Reading_FLA[Self-Identified as Indigenous]),FALSE)="","",
VLOOKUP($A289,YES_Reading_FLA[],COLUMN(YES_Reading_FLA[Self-Identified as Indigenous]),FALSE)),
IF($J$2="Combined",
IFERROR(
IF(VLOOKUP($A289, YES_Reading_ELA[], COLUMN(YES_Reading_ELA[Self-Identified as Indigenous]), FALSE)="", "",
VLOOKUP($A289,YES_Reading_ELA[],COLUMN(YES_Reading_ELA[Self-Identified as Indigenous]),FALSE)),
IF(VLOOKUP($A289, YES_Reading_FLA[], COLUMN(YES_Reading_FLA[Self-Identified as Indigenous]),FALSE)="", "", VLOOKUP($A289,YES_Reading_FLA[],COLUMN(YES_Reading_FLA[Self-Identified as Indigenous]),FALSE))),""))),"")</f>
        <v/>
      </c>
    </row>
    <row r="290" spans="1:12" ht="19.5" customHeight="1" x14ac:dyDescent="0.25">
      <c r="A290" s="217"/>
      <c r="B290" s="220"/>
      <c r="C290" s="203"/>
      <c r="D290" s="204"/>
      <c r="E290" s="205"/>
      <c r="F290" s="205"/>
      <c r="G290" s="205"/>
      <c r="H290" s="206"/>
      <c r="I290" s="212"/>
      <c r="J290" s="206"/>
      <c r="K290" s="197" t="str" cm="1">
        <f t="array" ref="K290">IFERROR(
IF($J$2="ELA",
IF(VLOOKUP($A290, YES_Reading_ELA[], COLUMN(YES_Reading_ELA[Self-Identified as African Descent]), FALSE)="", "",
VLOOKUP($A290,YES_Reading_ELA[], COLUMN(YES_Reading_ELA[Self-Identified as African Descent]), FALSE)),
IF($J$2="FLA",
IF(VLOOKUP($A290, YES_Reading_FLA[], COLUMN(YES_Reading_FLA[Self-Identified as African Descent]),FALSE)="","",
VLOOKUP($A290,YES_Reading_FLA[],COLUMN(YES_Reading_FLA[Self-Identified as African Descent]),FALSE)),
IF($J$2="Combined",
IFERROR(
IF(VLOOKUP($A290, YES_Reading_ELA[], COLUMN(YES_Reading_ELA[Self-Identified as African Descent]), FALSE)="", "",
VLOOKUP($A290,YES_Reading_ELA[],COLUMN(YES_Reading_ELA[Self-Identified as African Descent]),FALSE)),
IF(VLOOKUP($A290, YES_Reading_FLA[], COLUMN(YES_Reading_FLA[Self-Identified as African Descent]),FALSE)="", "", VLOOKUP($A290,YES_Reading_FLA[],COLUMN(YES_Reading_FLA[Self-Identified as African Descent]),FALSE))),""))),"")</f>
        <v/>
      </c>
      <c r="L290" s="73" t="str" cm="1">
        <f t="array" ref="L290">IFERROR(
IF($J$2="ELA",
IF(VLOOKUP($A290, YES_Reading_ELA[], COLUMN(YES_Reading_ELA[Self-Identified as Indigenous]), FALSE)="", "",
VLOOKUP($A290,YES_Reading_ELA[], COLUMN(YES_Reading_ELA[Self-Identified as Indigenous]), FALSE)),
IF($J$2="FLA",
IF(VLOOKUP($A290, YES_Reading_FLA[], COLUMN(YES_Reading_FLA[Self-Identified as Indigenous]),FALSE)="","",
VLOOKUP($A290,YES_Reading_FLA[],COLUMN(YES_Reading_FLA[Self-Identified as Indigenous]),FALSE)),
IF($J$2="Combined",
IFERROR(
IF(VLOOKUP($A290, YES_Reading_ELA[], COLUMN(YES_Reading_ELA[Self-Identified as Indigenous]), FALSE)="", "",
VLOOKUP($A290,YES_Reading_ELA[],COLUMN(YES_Reading_ELA[Self-Identified as Indigenous]),FALSE)),
IF(VLOOKUP($A290, YES_Reading_FLA[], COLUMN(YES_Reading_FLA[Self-Identified as Indigenous]),FALSE)="", "", VLOOKUP($A290,YES_Reading_FLA[],COLUMN(YES_Reading_FLA[Self-Identified as Indigenous]),FALSE))),""))),"")</f>
        <v/>
      </c>
    </row>
    <row r="291" spans="1:12" ht="19.5" customHeight="1" x14ac:dyDescent="0.25">
      <c r="A291" s="217"/>
      <c r="B291" s="220"/>
      <c r="C291" s="203"/>
      <c r="D291" s="204"/>
      <c r="E291" s="205"/>
      <c r="F291" s="205"/>
      <c r="G291" s="205"/>
      <c r="H291" s="206"/>
      <c r="I291" s="212"/>
      <c r="J291" s="206"/>
      <c r="K291" s="197" t="str" cm="1">
        <f t="array" ref="K291">IFERROR(
IF($J$2="ELA",
IF(VLOOKUP($A291, YES_Reading_ELA[], COLUMN(YES_Reading_ELA[Self-Identified as African Descent]), FALSE)="", "",
VLOOKUP($A291,YES_Reading_ELA[], COLUMN(YES_Reading_ELA[Self-Identified as African Descent]), FALSE)),
IF($J$2="FLA",
IF(VLOOKUP($A291, YES_Reading_FLA[], COLUMN(YES_Reading_FLA[Self-Identified as African Descent]),FALSE)="","",
VLOOKUP($A291,YES_Reading_FLA[],COLUMN(YES_Reading_FLA[Self-Identified as African Descent]),FALSE)),
IF($J$2="Combined",
IFERROR(
IF(VLOOKUP($A291, YES_Reading_ELA[], COLUMN(YES_Reading_ELA[Self-Identified as African Descent]), FALSE)="", "",
VLOOKUP($A291,YES_Reading_ELA[],COLUMN(YES_Reading_ELA[Self-Identified as African Descent]),FALSE)),
IF(VLOOKUP($A291, YES_Reading_FLA[], COLUMN(YES_Reading_FLA[Self-Identified as African Descent]),FALSE)="", "", VLOOKUP($A291,YES_Reading_FLA[],COLUMN(YES_Reading_FLA[Self-Identified as African Descent]),FALSE))),""))),"")</f>
        <v/>
      </c>
      <c r="L291" s="73" t="str" cm="1">
        <f t="array" ref="L291">IFERROR(
IF($J$2="ELA",
IF(VLOOKUP($A291, YES_Reading_ELA[], COLUMN(YES_Reading_ELA[Self-Identified as Indigenous]), FALSE)="", "",
VLOOKUP($A291,YES_Reading_ELA[], COLUMN(YES_Reading_ELA[Self-Identified as Indigenous]), FALSE)),
IF($J$2="FLA",
IF(VLOOKUP($A291, YES_Reading_FLA[], COLUMN(YES_Reading_FLA[Self-Identified as Indigenous]),FALSE)="","",
VLOOKUP($A291,YES_Reading_FLA[],COLUMN(YES_Reading_FLA[Self-Identified as Indigenous]),FALSE)),
IF($J$2="Combined",
IFERROR(
IF(VLOOKUP($A291, YES_Reading_ELA[], COLUMN(YES_Reading_ELA[Self-Identified as Indigenous]), FALSE)="", "",
VLOOKUP($A291,YES_Reading_ELA[],COLUMN(YES_Reading_ELA[Self-Identified as Indigenous]),FALSE)),
IF(VLOOKUP($A291, YES_Reading_FLA[], COLUMN(YES_Reading_FLA[Self-Identified as Indigenous]),FALSE)="", "", VLOOKUP($A291,YES_Reading_FLA[],COLUMN(YES_Reading_FLA[Self-Identified as Indigenous]),FALSE))),""))),"")</f>
        <v/>
      </c>
    </row>
    <row r="292" spans="1:12" ht="19.5" customHeight="1" x14ac:dyDescent="0.25">
      <c r="A292" s="217"/>
      <c r="B292" s="220"/>
      <c r="C292" s="203"/>
      <c r="D292" s="204"/>
      <c r="E292" s="205"/>
      <c r="F292" s="205"/>
      <c r="G292" s="205"/>
      <c r="H292" s="206"/>
      <c r="I292" s="226"/>
      <c r="J292" s="206"/>
      <c r="K292" s="197" t="str" cm="1">
        <f t="array" ref="K292">IFERROR(
IF($J$2="ELA",
IF(VLOOKUP($A292, YES_Reading_ELA[], COLUMN(YES_Reading_ELA[Self-Identified as African Descent]), FALSE)="", "",
VLOOKUP($A292,YES_Reading_ELA[], COLUMN(YES_Reading_ELA[Self-Identified as African Descent]), FALSE)),
IF($J$2="FLA",
IF(VLOOKUP($A292, YES_Reading_FLA[], COLUMN(YES_Reading_FLA[Self-Identified as African Descent]),FALSE)="","",
VLOOKUP($A292,YES_Reading_FLA[],COLUMN(YES_Reading_FLA[Self-Identified as African Descent]),FALSE)),
IF($J$2="Combined",
IFERROR(
IF(VLOOKUP($A292, YES_Reading_ELA[], COLUMN(YES_Reading_ELA[Self-Identified as African Descent]), FALSE)="", "",
VLOOKUP($A292,YES_Reading_ELA[],COLUMN(YES_Reading_ELA[Self-Identified as African Descent]),FALSE)),
IF(VLOOKUP($A292, YES_Reading_FLA[], COLUMN(YES_Reading_FLA[Self-Identified as African Descent]),FALSE)="", "", VLOOKUP($A292,YES_Reading_FLA[],COLUMN(YES_Reading_FLA[Self-Identified as African Descent]),FALSE))),""))),"")</f>
        <v/>
      </c>
      <c r="L292" s="73" t="str" cm="1">
        <f t="array" ref="L292">IFERROR(
IF($J$2="ELA",
IF(VLOOKUP($A292, YES_Reading_ELA[], COLUMN(YES_Reading_ELA[Self-Identified as Indigenous]), FALSE)="", "",
VLOOKUP($A292,YES_Reading_ELA[], COLUMN(YES_Reading_ELA[Self-Identified as Indigenous]), FALSE)),
IF($J$2="FLA",
IF(VLOOKUP($A292, YES_Reading_FLA[], COLUMN(YES_Reading_FLA[Self-Identified as Indigenous]),FALSE)="","",
VLOOKUP($A292,YES_Reading_FLA[],COLUMN(YES_Reading_FLA[Self-Identified as Indigenous]),FALSE)),
IF($J$2="Combined",
IFERROR(
IF(VLOOKUP($A292, YES_Reading_ELA[], COLUMN(YES_Reading_ELA[Self-Identified as Indigenous]), FALSE)="", "",
VLOOKUP($A292,YES_Reading_ELA[],COLUMN(YES_Reading_ELA[Self-Identified as Indigenous]),FALSE)),
IF(VLOOKUP($A292, YES_Reading_FLA[], COLUMN(YES_Reading_FLA[Self-Identified as Indigenous]),FALSE)="", "", VLOOKUP($A292,YES_Reading_FLA[],COLUMN(YES_Reading_FLA[Self-Identified as Indigenous]),FALSE))),""))),"")</f>
        <v/>
      </c>
    </row>
    <row r="293" spans="1:12" ht="19.5" customHeight="1" x14ac:dyDescent="0.25">
      <c r="A293" s="217"/>
      <c r="B293" s="220"/>
      <c r="C293" s="203"/>
      <c r="D293" s="204"/>
      <c r="E293" s="205"/>
      <c r="F293" s="205"/>
      <c r="G293" s="205"/>
      <c r="H293" s="206"/>
      <c r="I293" s="212"/>
      <c r="J293" s="206"/>
      <c r="K293" s="197" t="str" cm="1">
        <f t="array" ref="K293">IFERROR(
IF($J$2="ELA",
IF(VLOOKUP($A293, YES_Reading_ELA[], COLUMN(YES_Reading_ELA[Self-Identified as African Descent]), FALSE)="", "",
VLOOKUP($A293,YES_Reading_ELA[], COLUMN(YES_Reading_ELA[Self-Identified as African Descent]), FALSE)),
IF($J$2="FLA",
IF(VLOOKUP($A293, YES_Reading_FLA[], COLUMN(YES_Reading_FLA[Self-Identified as African Descent]),FALSE)="","",
VLOOKUP($A293,YES_Reading_FLA[],COLUMN(YES_Reading_FLA[Self-Identified as African Descent]),FALSE)),
IF($J$2="Combined",
IFERROR(
IF(VLOOKUP($A293, YES_Reading_ELA[], COLUMN(YES_Reading_ELA[Self-Identified as African Descent]), FALSE)="", "",
VLOOKUP($A293,YES_Reading_ELA[],COLUMN(YES_Reading_ELA[Self-Identified as African Descent]),FALSE)),
IF(VLOOKUP($A293, YES_Reading_FLA[], COLUMN(YES_Reading_FLA[Self-Identified as African Descent]),FALSE)="", "", VLOOKUP($A293,YES_Reading_FLA[],COLUMN(YES_Reading_FLA[Self-Identified as African Descent]),FALSE))),""))),"")</f>
        <v/>
      </c>
      <c r="L293" s="73" t="str" cm="1">
        <f t="array" ref="L293">IFERROR(
IF($J$2="ELA",
IF(VLOOKUP($A293, YES_Reading_ELA[], COLUMN(YES_Reading_ELA[Self-Identified as Indigenous]), FALSE)="", "",
VLOOKUP($A293,YES_Reading_ELA[], COLUMN(YES_Reading_ELA[Self-Identified as Indigenous]), FALSE)),
IF($J$2="FLA",
IF(VLOOKUP($A293, YES_Reading_FLA[], COLUMN(YES_Reading_FLA[Self-Identified as Indigenous]),FALSE)="","",
VLOOKUP($A293,YES_Reading_FLA[],COLUMN(YES_Reading_FLA[Self-Identified as Indigenous]),FALSE)),
IF($J$2="Combined",
IFERROR(
IF(VLOOKUP($A293, YES_Reading_ELA[], COLUMN(YES_Reading_ELA[Self-Identified as Indigenous]), FALSE)="", "",
VLOOKUP($A293,YES_Reading_ELA[],COLUMN(YES_Reading_ELA[Self-Identified as Indigenous]),FALSE)),
IF(VLOOKUP($A293, YES_Reading_FLA[], COLUMN(YES_Reading_FLA[Self-Identified as Indigenous]),FALSE)="", "", VLOOKUP($A293,YES_Reading_FLA[],COLUMN(YES_Reading_FLA[Self-Identified as Indigenous]),FALSE))),""))),"")</f>
        <v/>
      </c>
    </row>
    <row r="294" spans="1:12" ht="19.5" customHeight="1" x14ac:dyDescent="0.25">
      <c r="A294" s="217"/>
      <c r="B294" s="220"/>
      <c r="C294" s="203"/>
      <c r="D294" s="204"/>
      <c r="E294" s="205"/>
      <c r="F294" s="205"/>
      <c r="G294" s="205"/>
      <c r="H294" s="206"/>
      <c r="I294" s="212"/>
      <c r="J294" s="206"/>
      <c r="K294" s="197" t="str" cm="1">
        <f t="array" ref="K294">IFERROR(
IF($J$2="ELA",
IF(VLOOKUP($A294, YES_Reading_ELA[], COLUMN(YES_Reading_ELA[Self-Identified as African Descent]), FALSE)="", "",
VLOOKUP($A294,YES_Reading_ELA[], COLUMN(YES_Reading_ELA[Self-Identified as African Descent]), FALSE)),
IF($J$2="FLA",
IF(VLOOKUP($A294, YES_Reading_FLA[], COLUMN(YES_Reading_FLA[Self-Identified as African Descent]),FALSE)="","",
VLOOKUP($A294,YES_Reading_FLA[],COLUMN(YES_Reading_FLA[Self-Identified as African Descent]),FALSE)),
IF($J$2="Combined",
IFERROR(
IF(VLOOKUP($A294, YES_Reading_ELA[], COLUMN(YES_Reading_ELA[Self-Identified as African Descent]), FALSE)="", "",
VLOOKUP($A294,YES_Reading_ELA[],COLUMN(YES_Reading_ELA[Self-Identified as African Descent]),FALSE)),
IF(VLOOKUP($A294, YES_Reading_FLA[], COLUMN(YES_Reading_FLA[Self-Identified as African Descent]),FALSE)="", "", VLOOKUP($A294,YES_Reading_FLA[],COLUMN(YES_Reading_FLA[Self-Identified as African Descent]),FALSE))),""))),"")</f>
        <v/>
      </c>
      <c r="L294" s="73" t="str" cm="1">
        <f t="array" ref="L294">IFERROR(
IF($J$2="ELA",
IF(VLOOKUP($A294, YES_Reading_ELA[], COLUMN(YES_Reading_ELA[Self-Identified as Indigenous]), FALSE)="", "",
VLOOKUP($A294,YES_Reading_ELA[], COLUMN(YES_Reading_ELA[Self-Identified as Indigenous]), FALSE)),
IF($J$2="FLA",
IF(VLOOKUP($A294, YES_Reading_FLA[], COLUMN(YES_Reading_FLA[Self-Identified as Indigenous]),FALSE)="","",
VLOOKUP($A294,YES_Reading_FLA[],COLUMN(YES_Reading_FLA[Self-Identified as Indigenous]),FALSE)),
IF($J$2="Combined",
IFERROR(
IF(VLOOKUP($A294, YES_Reading_ELA[], COLUMN(YES_Reading_ELA[Self-Identified as Indigenous]), FALSE)="", "",
VLOOKUP($A294,YES_Reading_ELA[],COLUMN(YES_Reading_ELA[Self-Identified as Indigenous]),FALSE)),
IF(VLOOKUP($A294, YES_Reading_FLA[], COLUMN(YES_Reading_FLA[Self-Identified as Indigenous]),FALSE)="", "", VLOOKUP($A294,YES_Reading_FLA[],COLUMN(YES_Reading_FLA[Self-Identified as Indigenous]),FALSE))),""))),"")</f>
        <v/>
      </c>
    </row>
    <row r="295" spans="1:12" ht="19.5" customHeight="1" x14ac:dyDescent="0.25">
      <c r="A295" s="217"/>
      <c r="B295" s="220"/>
      <c r="C295" s="203"/>
      <c r="D295" s="204"/>
      <c r="E295" s="205"/>
      <c r="F295" s="205"/>
      <c r="G295" s="205"/>
      <c r="H295" s="206"/>
      <c r="I295" s="212"/>
      <c r="J295" s="206"/>
      <c r="K295" s="197" t="str" cm="1">
        <f t="array" ref="K295">IFERROR(
IF($J$2="ELA",
IF(VLOOKUP($A295, YES_Reading_ELA[], COLUMN(YES_Reading_ELA[Self-Identified as African Descent]), FALSE)="", "",
VLOOKUP($A295,YES_Reading_ELA[], COLUMN(YES_Reading_ELA[Self-Identified as African Descent]), FALSE)),
IF($J$2="FLA",
IF(VLOOKUP($A295, YES_Reading_FLA[], COLUMN(YES_Reading_FLA[Self-Identified as African Descent]),FALSE)="","",
VLOOKUP($A295,YES_Reading_FLA[],COLUMN(YES_Reading_FLA[Self-Identified as African Descent]),FALSE)),
IF($J$2="Combined",
IFERROR(
IF(VLOOKUP($A295, YES_Reading_ELA[], COLUMN(YES_Reading_ELA[Self-Identified as African Descent]), FALSE)="", "",
VLOOKUP($A295,YES_Reading_ELA[],COLUMN(YES_Reading_ELA[Self-Identified as African Descent]),FALSE)),
IF(VLOOKUP($A295, YES_Reading_FLA[], COLUMN(YES_Reading_FLA[Self-Identified as African Descent]),FALSE)="", "", VLOOKUP($A295,YES_Reading_FLA[],COLUMN(YES_Reading_FLA[Self-Identified as African Descent]),FALSE))),""))),"")</f>
        <v/>
      </c>
      <c r="L295" s="73" t="str" cm="1">
        <f t="array" ref="L295">IFERROR(
IF($J$2="ELA",
IF(VLOOKUP($A295, YES_Reading_ELA[], COLUMN(YES_Reading_ELA[Self-Identified as Indigenous]), FALSE)="", "",
VLOOKUP($A295,YES_Reading_ELA[], COLUMN(YES_Reading_ELA[Self-Identified as Indigenous]), FALSE)),
IF($J$2="FLA",
IF(VLOOKUP($A295, YES_Reading_FLA[], COLUMN(YES_Reading_FLA[Self-Identified as Indigenous]),FALSE)="","",
VLOOKUP($A295,YES_Reading_FLA[],COLUMN(YES_Reading_FLA[Self-Identified as Indigenous]),FALSE)),
IF($J$2="Combined",
IFERROR(
IF(VLOOKUP($A295, YES_Reading_ELA[], COLUMN(YES_Reading_ELA[Self-Identified as Indigenous]), FALSE)="", "",
VLOOKUP($A295,YES_Reading_ELA[],COLUMN(YES_Reading_ELA[Self-Identified as Indigenous]),FALSE)),
IF(VLOOKUP($A295, YES_Reading_FLA[], COLUMN(YES_Reading_FLA[Self-Identified as Indigenous]),FALSE)="", "", VLOOKUP($A295,YES_Reading_FLA[],COLUMN(YES_Reading_FLA[Self-Identified as Indigenous]),FALSE))),""))),"")</f>
        <v/>
      </c>
    </row>
    <row r="296" spans="1:12" ht="19.5" customHeight="1" x14ac:dyDescent="0.25">
      <c r="A296" s="217"/>
      <c r="B296" s="220"/>
      <c r="C296" s="203"/>
      <c r="D296" s="204"/>
      <c r="E296" s="205"/>
      <c r="F296" s="205"/>
      <c r="G296" s="205"/>
      <c r="H296" s="206"/>
      <c r="I296" s="212"/>
      <c r="J296" s="206"/>
      <c r="K296" s="197" t="str" cm="1">
        <f t="array" ref="K296">IFERROR(
IF($J$2="ELA",
IF(VLOOKUP($A296, YES_Reading_ELA[], COLUMN(YES_Reading_ELA[Self-Identified as African Descent]), FALSE)="", "",
VLOOKUP($A296,YES_Reading_ELA[], COLUMN(YES_Reading_ELA[Self-Identified as African Descent]), FALSE)),
IF($J$2="FLA",
IF(VLOOKUP($A296, YES_Reading_FLA[], COLUMN(YES_Reading_FLA[Self-Identified as African Descent]),FALSE)="","",
VLOOKUP($A296,YES_Reading_FLA[],COLUMN(YES_Reading_FLA[Self-Identified as African Descent]),FALSE)),
IF($J$2="Combined",
IFERROR(
IF(VLOOKUP($A296, YES_Reading_ELA[], COLUMN(YES_Reading_ELA[Self-Identified as African Descent]), FALSE)="", "",
VLOOKUP($A296,YES_Reading_ELA[],COLUMN(YES_Reading_ELA[Self-Identified as African Descent]),FALSE)),
IF(VLOOKUP($A296, YES_Reading_FLA[], COLUMN(YES_Reading_FLA[Self-Identified as African Descent]),FALSE)="", "", VLOOKUP($A296,YES_Reading_FLA[],COLUMN(YES_Reading_FLA[Self-Identified as African Descent]),FALSE))),""))),"")</f>
        <v/>
      </c>
      <c r="L296" s="73" t="str" cm="1">
        <f t="array" ref="L296">IFERROR(
IF($J$2="ELA",
IF(VLOOKUP($A296, YES_Reading_ELA[], COLUMN(YES_Reading_ELA[Self-Identified as Indigenous]), FALSE)="", "",
VLOOKUP($A296,YES_Reading_ELA[], COLUMN(YES_Reading_ELA[Self-Identified as Indigenous]), FALSE)),
IF($J$2="FLA",
IF(VLOOKUP($A296, YES_Reading_FLA[], COLUMN(YES_Reading_FLA[Self-Identified as Indigenous]),FALSE)="","",
VLOOKUP($A296,YES_Reading_FLA[],COLUMN(YES_Reading_FLA[Self-Identified as Indigenous]),FALSE)),
IF($J$2="Combined",
IFERROR(
IF(VLOOKUP($A296, YES_Reading_ELA[], COLUMN(YES_Reading_ELA[Self-Identified as Indigenous]), FALSE)="", "",
VLOOKUP($A296,YES_Reading_ELA[],COLUMN(YES_Reading_ELA[Self-Identified as Indigenous]),FALSE)),
IF(VLOOKUP($A296, YES_Reading_FLA[], COLUMN(YES_Reading_FLA[Self-Identified as Indigenous]),FALSE)="", "", VLOOKUP($A296,YES_Reading_FLA[],COLUMN(YES_Reading_FLA[Self-Identified as Indigenous]),FALSE))),""))),"")</f>
        <v/>
      </c>
    </row>
    <row r="297" spans="1:12" ht="19.5" customHeight="1" x14ac:dyDescent="0.25">
      <c r="A297" s="217"/>
      <c r="B297" s="220"/>
      <c r="C297" s="203"/>
      <c r="D297" s="204"/>
      <c r="E297" s="205"/>
      <c r="F297" s="205"/>
      <c r="G297" s="205"/>
      <c r="H297" s="206"/>
      <c r="I297" s="212"/>
      <c r="J297" s="206"/>
      <c r="K297" s="197" t="str" cm="1">
        <f t="array" ref="K297">IFERROR(
IF($J$2="ELA",
IF(VLOOKUP($A297, YES_Reading_ELA[], COLUMN(YES_Reading_ELA[Self-Identified as African Descent]), FALSE)="", "",
VLOOKUP($A297,YES_Reading_ELA[], COLUMN(YES_Reading_ELA[Self-Identified as African Descent]), FALSE)),
IF($J$2="FLA",
IF(VLOOKUP($A297, YES_Reading_FLA[], COLUMN(YES_Reading_FLA[Self-Identified as African Descent]),FALSE)="","",
VLOOKUP($A297,YES_Reading_FLA[],COLUMN(YES_Reading_FLA[Self-Identified as African Descent]),FALSE)),
IF($J$2="Combined",
IFERROR(
IF(VLOOKUP($A297, YES_Reading_ELA[], COLUMN(YES_Reading_ELA[Self-Identified as African Descent]), FALSE)="", "",
VLOOKUP($A297,YES_Reading_ELA[],COLUMN(YES_Reading_ELA[Self-Identified as African Descent]),FALSE)),
IF(VLOOKUP($A297, YES_Reading_FLA[], COLUMN(YES_Reading_FLA[Self-Identified as African Descent]),FALSE)="", "", VLOOKUP($A297,YES_Reading_FLA[],COLUMN(YES_Reading_FLA[Self-Identified as African Descent]),FALSE))),""))),"")</f>
        <v/>
      </c>
      <c r="L297" s="73" t="str" cm="1">
        <f t="array" ref="L297">IFERROR(
IF($J$2="ELA",
IF(VLOOKUP($A297, YES_Reading_ELA[], COLUMN(YES_Reading_ELA[Self-Identified as Indigenous]), FALSE)="", "",
VLOOKUP($A297,YES_Reading_ELA[], COLUMN(YES_Reading_ELA[Self-Identified as Indigenous]), FALSE)),
IF($J$2="FLA",
IF(VLOOKUP($A297, YES_Reading_FLA[], COLUMN(YES_Reading_FLA[Self-Identified as Indigenous]),FALSE)="","",
VLOOKUP($A297,YES_Reading_FLA[],COLUMN(YES_Reading_FLA[Self-Identified as Indigenous]),FALSE)),
IF($J$2="Combined",
IFERROR(
IF(VLOOKUP($A297, YES_Reading_ELA[], COLUMN(YES_Reading_ELA[Self-Identified as Indigenous]), FALSE)="", "",
VLOOKUP($A297,YES_Reading_ELA[],COLUMN(YES_Reading_ELA[Self-Identified as Indigenous]),FALSE)),
IF(VLOOKUP($A297, YES_Reading_FLA[], COLUMN(YES_Reading_FLA[Self-Identified as Indigenous]),FALSE)="", "", VLOOKUP($A297,YES_Reading_FLA[],COLUMN(YES_Reading_FLA[Self-Identified as Indigenous]),FALSE))),""))),"")</f>
        <v/>
      </c>
    </row>
    <row r="298" spans="1:12" ht="19.5" customHeight="1" x14ac:dyDescent="0.25">
      <c r="A298" s="217"/>
      <c r="B298" s="220"/>
      <c r="C298" s="203"/>
      <c r="D298" s="204"/>
      <c r="E298" s="205"/>
      <c r="F298" s="205"/>
      <c r="G298" s="205"/>
      <c r="H298" s="206"/>
      <c r="I298" s="212"/>
      <c r="J298" s="206"/>
      <c r="K298" s="197" t="str" cm="1">
        <f t="array" ref="K298">IFERROR(
IF($J$2="ELA",
IF(VLOOKUP($A298, YES_Reading_ELA[], COLUMN(YES_Reading_ELA[Self-Identified as African Descent]), FALSE)="", "",
VLOOKUP($A298,YES_Reading_ELA[], COLUMN(YES_Reading_ELA[Self-Identified as African Descent]), FALSE)),
IF($J$2="FLA",
IF(VLOOKUP($A298, YES_Reading_FLA[], COLUMN(YES_Reading_FLA[Self-Identified as African Descent]),FALSE)="","",
VLOOKUP($A298,YES_Reading_FLA[],COLUMN(YES_Reading_FLA[Self-Identified as African Descent]),FALSE)),
IF($J$2="Combined",
IFERROR(
IF(VLOOKUP($A298, YES_Reading_ELA[], COLUMN(YES_Reading_ELA[Self-Identified as African Descent]), FALSE)="", "",
VLOOKUP($A298,YES_Reading_ELA[],COLUMN(YES_Reading_ELA[Self-Identified as African Descent]),FALSE)),
IF(VLOOKUP($A298, YES_Reading_FLA[], COLUMN(YES_Reading_FLA[Self-Identified as African Descent]),FALSE)="", "", VLOOKUP($A298,YES_Reading_FLA[],COLUMN(YES_Reading_FLA[Self-Identified as African Descent]),FALSE))),""))),"")</f>
        <v/>
      </c>
      <c r="L298" s="73" t="str" cm="1">
        <f t="array" ref="L298">IFERROR(
IF($J$2="ELA",
IF(VLOOKUP($A298, YES_Reading_ELA[], COLUMN(YES_Reading_ELA[Self-Identified as Indigenous]), FALSE)="", "",
VLOOKUP($A298,YES_Reading_ELA[], COLUMN(YES_Reading_ELA[Self-Identified as Indigenous]), FALSE)),
IF($J$2="FLA",
IF(VLOOKUP($A298, YES_Reading_FLA[], COLUMN(YES_Reading_FLA[Self-Identified as Indigenous]),FALSE)="","",
VLOOKUP($A298,YES_Reading_FLA[],COLUMN(YES_Reading_FLA[Self-Identified as Indigenous]),FALSE)),
IF($J$2="Combined",
IFERROR(
IF(VLOOKUP($A298, YES_Reading_ELA[], COLUMN(YES_Reading_ELA[Self-Identified as Indigenous]), FALSE)="", "",
VLOOKUP($A298,YES_Reading_ELA[],COLUMN(YES_Reading_ELA[Self-Identified as Indigenous]),FALSE)),
IF(VLOOKUP($A298, YES_Reading_FLA[], COLUMN(YES_Reading_FLA[Self-Identified as Indigenous]),FALSE)="", "", VLOOKUP($A298,YES_Reading_FLA[],COLUMN(YES_Reading_FLA[Self-Identified as Indigenous]),FALSE))),""))),"")</f>
        <v/>
      </c>
    </row>
    <row r="299" spans="1:12" ht="19.5" customHeight="1" x14ac:dyDescent="0.25">
      <c r="A299" s="217"/>
      <c r="B299" s="220"/>
      <c r="C299" s="203"/>
      <c r="D299" s="204"/>
      <c r="E299" s="205"/>
      <c r="F299" s="205"/>
      <c r="G299" s="205"/>
      <c r="H299" s="206"/>
      <c r="I299" s="212"/>
      <c r="J299" s="206"/>
      <c r="K299" s="197" t="str" cm="1">
        <f t="array" ref="K299">IFERROR(
IF($J$2="ELA",
IF(VLOOKUP($A299, YES_Reading_ELA[], COLUMN(YES_Reading_ELA[Self-Identified as African Descent]), FALSE)="", "",
VLOOKUP($A299,YES_Reading_ELA[], COLUMN(YES_Reading_ELA[Self-Identified as African Descent]), FALSE)),
IF($J$2="FLA",
IF(VLOOKUP($A299, YES_Reading_FLA[], COLUMN(YES_Reading_FLA[Self-Identified as African Descent]),FALSE)="","",
VLOOKUP($A299,YES_Reading_FLA[],COLUMN(YES_Reading_FLA[Self-Identified as African Descent]),FALSE)),
IF($J$2="Combined",
IFERROR(
IF(VLOOKUP($A299, YES_Reading_ELA[], COLUMN(YES_Reading_ELA[Self-Identified as African Descent]), FALSE)="", "",
VLOOKUP($A299,YES_Reading_ELA[],COLUMN(YES_Reading_ELA[Self-Identified as African Descent]),FALSE)),
IF(VLOOKUP($A299, YES_Reading_FLA[], COLUMN(YES_Reading_FLA[Self-Identified as African Descent]),FALSE)="", "", VLOOKUP($A299,YES_Reading_FLA[],COLUMN(YES_Reading_FLA[Self-Identified as African Descent]),FALSE))),""))),"")</f>
        <v/>
      </c>
      <c r="L299" s="73" t="str" cm="1">
        <f t="array" ref="L299">IFERROR(
IF($J$2="ELA",
IF(VLOOKUP($A299, YES_Reading_ELA[], COLUMN(YES_Reading_ELA[Self-Identified as Indigenous]), FALSE)="", "",
VLOOKUP($A299,YES_Reading_ELA[], COLUMN(YES_Reading_ELA[Self-Identified as Indigenous]), FALSE)),
IF($J$2="FLA",
IF(VLOOKUP($A299, YES_Reading_FLA[], COLUMN(YES_Reading_FLA[Self-Identified as Indigenous]),FALSE)="","",
VLOOKUP($A299,YES_Reading_FLA[],COLUMN(YES_Reading_FLA[Self-Identified as Indigenous]),FALSE)),
IF($J$2="Combined",
IFERROR(
IF(VLOOKUP($A299, YES_Reading_ELA[], COLUMN(YES_Reading_ELA[Self-Identified as Indigenous]), FALSE)="", "",
VLOOKUP($A299,YES_Reading_ELA[],COLUMN(YES_Reading_ELA[Self-Identified as Indigenous]),FALSE)),
IF(VLOOKUP($A299, YES_Reading_FLA[], COLUMN(YES_Reading_FLA[Self-Identified as Indigenous]),FALSE)="", "", VLOOKUP($A299,YES_Reading_FLA[],COLUMN(YES_Reading_FLA[Self-Identified as Indigenous]),FALSE))),""))),"")</f>
        <v/>
      </c>
    </row>
    <row r="300" spans="1:12" ht="19.5" customHeight="1" x14ac:dyDescent="0.25">
      <c r="A300" s="217"/>
      <c r="B300" s="220"/>
      <c r="C300" s="203"/>
      <c r="D300" s="204"/>
      <c r="E300" s="205"/>
      <c r="F300" s="205"/>
      <c r="G300" s="205"/>
      <c r="H300" s="206"/>
      <c r="I300" s="212"/>
      <c r="J300" s="206"/>
      <c r="K300" s="197" t="str" cm="1">
        <f t="array" ref="K300">IFERROR(
IF($J$2="ELA",
IF(VLOOKUP($A300, YES_Reading_ELA[], COLUMN(YES_Reading_ELA[Self-Identified as African Descent]), FALSE)="", "",
VLOOKUP($A300,YES_Reading_ELA[], COLUMN(YES_Reading_ELA[Self-Identified as African Descent]), FALSE)),
IF($J$2="FLA",
IF(VLOOKUP($A300, YES_Reading_FLA[], COLUMN(YES_Reading_FLA[Self-Identified as African Descent]),FALSE)="","",
VLOOKUP($A300,YES_Reading_FLA[],COLUMN(YES_Reading_FLA[Self-Identified as African Descent]),FALSE)),
IF($J$2="Combined",
IFERROR(
IF(VLOOKUP($A300, YES_Reading_ELA[], COLUMN(YES_Reading_ELA[Self-Identified as African Descent]), FALSE)="", "",
VLOOKUP($A300,YES_Reading_ELA[],COLUMN(YES_Reading_ELA[Self-Identified as African Descent]),FALSE)),
IF(VLOOKUP($A300, YES_Reading_FLA[], COLUMN(YES_Reading_FLA[Self-Identified as African Descent]),FALSE)="", "", VLOOKUP($A300,YES_Reading_FLA[],COLUMN(YES_Reading_FLA[Self-Identified as African Descent]),FALSE))),""))),"")</f>
        <v/>
      </c>
      <c r="L300" s="73" t="str" cm="1">
        <f t="array" ref="L300">IFERROR(
IF($J$2="ELA",
IF(VLOOKUP($A300, YES_Reading_ELA[], COLUMN(YES_Reading_ELA[Self-Identified as Indigenous]), FALSE)="", "",
VLOOKUP($A300,YES_Reading_ELA[], COLUMN(YES_Reading_ELA[Self-Identified as Indigenous]), FALSE)),
IF($J$2="FLA",
IF(VLOOKUP($A300, YES_Reading_FLA[], COLUMN(YES_Reading_FLA[Self-Identified as Indigenous]),FALSE)="","",
VLOOKUP($A300,YES_Reading_FLA[],COLUMN(YES_Reading_FLA[Self-Identified as Indigenous]),FALSE)),
IF($J$2="Combined",
IFERROR(
IF(VLOOKUP($A300, YES_Reading_ELA[], COLUMN(YES_Reading_ELA[Self-Identified as Indigenous]), FALSE)="", "",
VLOOKUP($A300,YES_Reading_ELA[],COLUMN(YES_Reading_ELA[Self-Identified as Indigenous]),FALSE)),
IF(VLOOKUP($A300, YES_Reading_FLA[], COLUMN(YES_Reading_FLA[Self-Identified as Indigenous]),FALSE)="", "", VLOOKUP($A300,YES_Reading_FLA[],COLUMN(YES_Reading_FLA[Self-Identified as Indigenous]),FALSE))),""))),"")</f>
        <v/>
      </c>
    </row>
    <row r="301" spans="1:12" ht="19.5" customHeight="1" x14ac:dyDescent="0.25">
      <c r="A301" s="217"/>
      <c r="B301" s="220"/>
      <c r="C301" s="203"/>
      <c r="D301" s="204"/>
      <c r="E301" s="205"/>
      <c r="F301" s="205"/>
      <c r="G301" s="205"/>
      <c r="H301" s="206"/>
      <c r="I301" s="212"/>
      <c r="J301" s="206"/>
      <c r="K301" s="197" t="str" cm="1">
        <f t="array" ref="K301">IFERROR(
IF($J$2="ELA",
IF(VLOOKUP($A301, YES_Reading_ELA[], COLUMN(YES_Reading_ELA[Self-Identified as African Descent]), FALSE)="", "",
VLOOKUP($A301,YES_Reading_ELA[], COLUMN(YES_Reading_ELA[Self-Identified as African Descent]), FALSE)),
IF($J$2="FLA",
IF(VLOOKUP($A301, YES_Reading_FLA[], COLUMN(YES_Reading_FLA[Self-Identified as African Descent]),FALSE)="","",
VLOOKUP($A301,YES_Reading_FLA[],COLUMN(YES_Reading_FLA[Self-Identified as African Descent]),FALSE)),
IF($J$2="Combined",
IFERROR(
IF(VLOOKUP($A301, YES_Reading_ELA[], COLUMN(YES_Reading_ELA[Self-Identified as African Descent]), FALSE)="", "",
VLOOKUP($A301,YES_Reading_ELA[],COLUMN(YES_Reading_ELA[Self-Identified as African Descent]),FALSE)),
IF(VLOOKUP($A301, YES_Reading_FLA[], COLUMN(YES_Reading_FLA[Self-Identified as African Descent]),FALSE)="", "", VLOOKUP($A301,YES_Reading_FLA[],COLUMN(YES_Reading_FLA[Self-Identified as African Descent]),FALSE))),""))),"")</f>
        <v/>
      </c>
      <c r="L301" s="73" t="str" cm="1">
        <f t="array" ref="L301">IFERROR(
IF($J$2="ELA",
IF(VLOOKUP($A301, YES_Reading_ELA[], COLUMN(YES_Reading_ELA[Self-Identified as Indigenous]), FALSE)="", "",
VLOOKUP($A301,YES_Reading_ELA[], COLUMN(YES_Reading_ELA[Self-Identified as Indigenous]), FALSE)),
IF($J$2="FLA",
IF(VLOOKUP($A301, YES_Reading_FLA[], COLUMN(YES_Reading_FLA[Self-Identified as Indigenous]),FALSE)="","",
VLOOKUP($A301,YES_Reading_FLA[],COLUMN(YES_Reading_FLA[Self-Identified as Indigenous]),FALSE)),
IF($J$2="Combined",
IFERROR(
IF(VLOOKUP($A301, YES_Reading_ELA[], COLUMN(YES_Reading_ELA[Self-Identified as Indigenous]), FALSE)="", "",
VLOOKUP($A301,YES_Reading_ELA[],COLUMN(YES_Reading_ELA[Self-Identified as Indigenous]),FALSE)),
IF(VLOOKUP($A301, YES_Reading_FLA[], COLUMN(YES_Reading_FLA[Self-Identified as Indigenous]),FALSE)="", "", VLOOKUP($A301,YES_Reading_FLA[],COLUMN(YES_Reading_FLA[Self-Identified as Indigenous]),FALSE))),""))),"")</f>
        <v/>
      </c>
    </row>
    <row r="302" spans="1:12" ht="19.5" customHeight="1" x14ac:dyDescent="0.25">
      <c r="A302" s="217"/>
      <c r="B302" s="220"/>
      <c r="C302" s="203"/>
      <c r="D302" s="204"/>
      <c r="E302" s="205"/>
      <c r="F302" s="205"/>
      <c r="G302" s="205"/>
      <c r="H302" s="206"/>
      <c r="I302" s="212"/>
      <c r="J302" s="206"/>
      <c r="K302" s="197" t="str" cm="1">
        <f t="array" ref="K302">IFERROR(
IF($J$2="ELA",
IF(VLOOKUP($A302, YES_Reading_ELA[], COLUMN(YES_Reading_ELA[Self-Identified as African Descent]), FALSE)="", "",
VLOOKUP($A302,YES_Reading_ELA[], COLUMN(YES_Reading_ELA[Self-Identified as African Descent]), FALSE)),
IF($J$2="FLA",
IF(VLOOKUP($A302, YES_Reading_FLA[], COLUMN(YES_Reading_FLA[Self-Identified as African Descent]),FALSE)="","",
VLOOKUP($A302,YES_Reading_FLA[],COLUMN(YES_Reading_FLA[Self-Identified as African Descent]),FALSE)),
IF($J$2="Combined",
IFERROR(
IF(VLOOKUP($A302, YES_Reading_ELA[], COLUMN(YES_Reading_ELA[Self-Identified as African Descent]), FALSE)="", "",
VLOOKUP($A302,YES_Reading_ELA[],COLUMN(YES_Reading_ELA[Self-Identified as African Descent]),FALSE)),
IF(VLOOKUP($A302, YES_Reading_FLA[], COLUMN(YES_Reading_FLA[Self-Identified as African Descent]),FALSE)="", "", VLOOKUP($A302,YES_Reading_FLA[],COLUMN(YES_Reading_FLA[Self-Identified as African Descent]),FALSE))),""))),"")</f>
        <v/>
      </c>
      <c r="L302" s="73" t="str" cm="1">
        <f t="array" ref="L302">IFERROR(
IF($J$2="ELA",
IF(VLOOKUP($A302, YES_Reading_ELA[], COLUMN(YES_Reading_ELA[Self-Identified as Indigenous]), FALSE)="", "",
VLOOKUP($A302,YES_Reading_ELA[], COLUMN(YES_Reading_ELA[Self-Identified as Indigenous]), FALSE)),
IF($J$2="FLA",
IF(VLOOKUP($A302, YES_Reading_FLA[], COLUMN(YES_Reading_FLA[Self-Identified as Indigenous]),FALSE)="","",
VLOOKUP($A302,YES_Reading_FLA[],COLUMN(YES_Reading_FLA[Self-Identified as Indigenous]),FALSE)),
IF($J$2="Combined",
IFERROR(
IF(VLOOKUP($A302, YES_Reading_ELA[], COLUMN(YES_Reading_ELA[Self-Identified as Indigenous]), FALSE)="", "",
VLOOKUP($A302,YES_Reading_ELA[],COLUMN(YES_Reading_ELA[Self-Identified as Indigenous]),FALSE)),
IF(VLOOKUP($A302, YES_Reading_FLA[], COLUMN(YES_Reading_FLA[Self-Identified as Indigenous]),FALSE)="", "", VLOOKUP($A302,YES_Reading_FLA[],COLUMN(YES_Reading_FLA[Self-Identified as Indigenous]),FALSE))),""))),"")</f>
        <v/>
      </c>
    </row>
    <row r="303" spans="1:12" ht="19.5" customHeight="1" x14ac:dyDescent="0.25">
      <c r="A303" s="217"/>
      <c r="B303" s="220"/>
      <c r="C303" s="203"/>
      <c r="D303" s="204"/>
      <c r="E303" s="205"/>
      <c r="F303" s="205"/>
      <c r="G303" s="205"/>
      <c r="H303" s="206"/>
      <c r="I303" s="212"/>
      <c r="J303" s="206"/>
      <c r="K303" s="197" t="str" cm="1">
        <f t="array" ref="K303">IFERROR(
IF($J$2="ELA",
IF(VLOOKUP($A303, YES_Reading_ELA[], COLUMN(YES_Reading_ELA[Self-Identified as African Descent]), FALSE)="", "",
VLOOKUP($A303,YES_Reading_ELA[], COLUMN(YES_Reading_ELA[Self-Identified as African Descent]), FALSE)),
IF($J$2="FLA",
IF(VLOOKUP($A303, YES_Reading_FLA[], COLUMN(YES_Reading_FLA[Self-Identified as African Descent]),FALSE)="","",
VLOOKUP($A303,YES_Reading_FLA[],COLUMN(YES_Reading_FLA[Self-Identified as African Descent]),FALSE)),
IF($J$2="Combined",
IFERROR(
IF(VLOOKUP($A303, YES_Reading_ELA[], COLUMN(YES_Reading_ELA[Self-Identified as African Descent]), FALSE)="", "",
VLOOKUP($A303,YES_Reading_ELA[],COLUMN(YES_Reading_ELA[Self-Identified as African Descent]),FALSE)),
IF(VLOOKUP($A303, YES_Reading_FLA[], COLUMN(YES_Reading_FLA[Self-Identified as African Descent]),FALSE)="", "", VLOOKUP($A303,YES_Reading_FLA[],COLUMN(YES_Reading_FLA[Self-Identified as African Descent]),FALSE))),""))),"")</f>
        <v/>
      </c>
      <c r="L303" s="73" t="str" cm="1">
        <f t="array" ref="L303">IFERROR(
IF($J$2="ELA",
IF(VLOOKUP($A303, YES_Reading_ELA[], COLUMN(YES_Reading_ELA[Self-Identified as Indigenous]), FALSE)="", "",
VLOOKUP($A303,YES_Reading_ELA[], COLUMN(YES_Reading_ELA[Self-Identified as Indigenous]), FALSE)),
IF($J$2="FLA",
IF(VLOOKUP($A303, YES_Reading_FLA[], COLUMN(YES_Reading_FLA[Self-Identified as Indigenous]),FALSE)="","",
VLOOKUP($A303,YES_Reading_FLA[],COLUMN(YES_Reading_FLA[Self-Identified as Indigenous]),FALSE)),
IF($J$2="Combined",
IFERROR(
IF(VLOOKUP($A303, YES_Reading_ELA[], COLUMN(YES_Reading_ELA[Self-Identified as Indigenous]), FALSE)="", "",
VLOOKUP($A303,YES_Reading_ELA[],COLUMN(YES_Reading_ELA[Self-Identified as Indigenous]),FALSE)),
IF(VLOOKUP($A303, YES_Reading_FLA[], COLUMN(YES_Reading_FLA[Self-Identified as Indigenous]),FALSE)="", "", VLOOKUP($A303,YES_Reading_FLA[],COLUMN(YES_Reading_FLA[Self-Identified as Indigenous]),FALSE))),""))),"")</f>
        <v/>
      </c>
    </row>
    <row r="304" spans="1:12" ht="19.5" customHeight="1" x14ac:dyDescent="0.25">
      <c r="A304" s="217"/>
      <c r="B304" s="220"/>
      <c r="C304" s="203"/>
      <c r="D304" s="204"/>
      <c r="E304" s="205"/>
      <c r="F304" s="205"/>
      <c r="G304" s="205"/>
      <c r="H304" s="206"/>
      <c r="I304" s="212"/>
      <c r="J304" s="206"/>
      <c r="K304" s="197" t="str" cm="1">
        <f t="array" ref="K304">IFERROR(
IF($J$2="ELA",
IF(VLOOKUP($A304, YES_Reading_ELA[], COLUMN(YES_Reading_ELA[Self-Identified as African Descent]), FALSE)="", "",
VLOOKUP($A304,YES_Reading_ELA[], COLUMN(YES_Reading_ELA[Self-Identified as African Descent]), FALSE)),
IF($J$2="FLA",
IF(VLOOKUP($A304, YES_Reading_FLA[], COLUMN(YES_Reading_FLA[Self-Identified as African Descent]),FALSE)="","",
VLOOKUP($A304,YES_Reading_FLA[],COLUMN(YES_Reading_FLA[Self-Identified as African Descent]),FALSE)),
IF($J$2="Combined",
IFERROR(
IF(VLOOKUP($A304, YES_Reading_ELA[], COLUMN(YES_Reading_ELA[Self-Identified as African Descent]), FALSE)="", "",
VLOOKUP($A304,YES_Reading_ELA[],COLUMN(YES_Reading_ELA[Self-Identified as African Descent]),FALSE)),
IF(VLOOKUP($A304, YES_Reading_FLA[], COLUMN(YES_Reading_FLA[Self-Identified as African Descent]),FALSE)="", "", VLOOKUP($A304,YES_Reading_FLA[],COLUMN(YES_Reading_FLA[Self-Identified as African Descent]),FALSE))),""))),"")</f>
        <v/>
      </c>
      <c r="L304" s="73" t="str" cm="1">
        <f t="array" ref="L304">IFERROR(
IF($J$2="ELA",
IF(VLOOKUP($A304, YES_Reading_ELA[], COLUMN(YES_Reading_ELA[Self-Identified as Indigenous]), FALSE)="", "",
VLOOKUP($A304,YES_Reading_ELA[], COLUMN(YES_Reading_ELA[Self-Identified as Indigenous]), FALSE)),
IF($J$2="FLA",
IF(VLOOKUP($A304, YES_Reading_FLA[], COLUMN(YES_Reading_FLA[Self-Identified as Indigenous]),FALSE)="","",
VLOOKUP($A304,YES_Reading_FLA[],COLUMN(YES_Reading_FLA[Self-Identified as Indigenous]),FALSE)),
IF($J$2="Combined",
IFERROR(
IF(VLOOKUP($A304, YES_Reading_ELA[], COLUMN(YES_Reading_ELA[Self-Identified as Indigenous]), FALSE)="", "",
VLOOKUP($A304,YES_Reading_ELA[],COLUMN(YES_Reading_ELA[Self-Identified as Indigenous]),FALSE)),
IF(VLOOKUP($A304, YES_Reading_FLA[], COLUMN(YES_Reading_FLA[Self-Identified as Indigenous]),FALSE)="", "", VLOOKUP($A304,YES_Reading_FLA[],COLUMN(YES_Reading_FLA[Self-Identified as Indigenous]),FALSE))),""))),"")</f>
        <v/>
      </c>
    </row>
    <row r="305" spans="1:12" ht="19.5" customHeight="1" x14ac:dyDescent="0.25">
      <c r="A305" s="217"/>
      <c r="B305" s="220"/>
      <c r="C305" s="203"/>
      <c r="D305" s="204"/>
      <c r="E305" s="205"/>
      <c r="F305" s="205"/>
      <c r="G305" s="205"/>
      <c r="H305" s="206"/>
      <c r="I305" s="212"/>
      <c r="J305" s="206"/>
      <c r="K305" s="197" t="str" cm="1">
        <f t="array" ref="K305">IFERROR(
IF($J$2="ELA",
IF(VLOOKUP($A305, YES_Reading_ELA[], COLUMN(YES_Reading_ELA[Self-Identified as African Descent]), FALSE)="", "",
VLOOKUP($A305,YES_Reading_ELA[], COLUMN(YES_Reading_ELA[Self-Identified as African Descent]), FALSE)),
IF($J$2="FLA",
IF(VLOOKUP($A305, YES_Reading_FLA[], COLUMN(YES_Reading_FLA[Self-Identified as African Descent]),FALSE)="","",
VLOOKUP($A305,YES_Reading_FLA[],COLUMN(YES_Reading_FLA[Self-Identified as African Descent]),FALSE)),
IF($J$2="Combined",
IFERROR(
IF(VLOOKUP($A305, YES_Reading_ELA[], COLUMN(YES_Reading_ELA[Self-Identified as African Descent]), FALSE)="", "",
VLOOKUP($A305,YES_Reading_ELA[],COLUMN(YES_Reading_ELA[Self-Identified as African Descent]),FALSE)),
IF(VLOOKUP($A305, YES_Reading_FLA[], COLUMN(YES_Reading_FLA[Self-Identified as African Descent]),FALSE)="", "", VLOOKUP($A305,YES_Reading_FLA[],COLUMN(YES_Reading_FLA[Self-Identified as African Descent]),FALSE))),""))),"")</f>
        <v/>
      </c>
      <c r="L305" s="73" t="str" cm="1">
        <f t="array" ref="L305">IFERROR(
IF($J$2="ELA",
IF(VLOOKUP($A305, YES_Reading_ELA[], COLUMN(YES_Reading_ELA[Self-Identified as Indigenous]), FALSE)="", "",
VLOOKUP($A305,YES_Reading_ELA[], COLUMN(YES_Reading_ELA[Self-Identified as Indigenous]), FALSE)),
IF($J$2="FLA",
IF(VLOOKUP($A305, YES_Reading_FLA[], COLUMN(YES_Reading_FLA[Self-Identified as Indigenous]),FALSE)="","",
VLOOKUP($A305,YES_Reading_FLA[],COLUMN(YES_Reading_FLA[Self-Identified as Indigenous]),FALSE)),
IF($J$2="Combined",
IFERROR(
IF(VLOOKUP($A305, YES_Reading_ELA[], COLUMN(YES_Reading_ELA[Self-Identified as Indigenous]), FALSE)="", "",
VLOOKUP($A305,YES_Reading_ELA[],COLUMN(YES_Reading_ELA[Self-Identified as Indigenous]),FALSE)),
IF(VLOOKUP($A305, YES_Reading_FLA[], COLUMN(YES_Reading_FLA[Self-Identified as Indigenous]),FALSE)="", "", VLOOKUP($A305,YES_Reading_FLA[],COLUMN(YES_Reading_FLA[Self-Identified as Indigenous]),FALSE))),""))),"")</f>
        <v/>
      </c>
    </row>
    <row r="306" spans="1:12" ht="19.5" customHeight="1" x14ac:dyDescent="0.25">
      <c r="A306" s="217"/>
      <c r="B306" s="220"/>
      <c r="C306" s="203"/>
      <c r="D306" s="204"/>
      <c r="E306" s="205"/>
      <c r="F306" s="205"/>
      <c r="G306" s="205"/>
      <c r="H306" s="206"/>
      <c r="I306" s="212"/>
      <c r="J306" s="206"/>
      <c r="K306" s="197" t="str" cm="1">
        <f t="array" ref="K306">IFERROR(
IF($J$2="ELA",
IF(VLOOKUP($A306, YES_Reading_ELA[], COLUMN(YES_Reading_ELA[Self-Identified as African Descent]), FALSE)="", "",
VLOOKUP($A306,YES_Reading_ELA[], COLUMN(YES_Reading_ELA[Self-Identified as African Descent]), FALSE)),
IF($J$2="FLA",
IF(VLOOKUP($A306, YES_Reading_FLA[], COLUMN(YES_Reading_FLA[Self-Identified as African Descent]),FALSE)="","",
VLOOKUP($A306,YES_Reading_FLA[],COLUMN(YES_Reading_FLA[Self-Identified as African Descent]),FALSE)),
IF($J$2="Combined",
IFERROR(
IF(VLOOKUP($A306, YES_Reading_ELA[], COLUMN(YES_Reading_ELA[Self-Identified as African Descent]), FALSE)="", "",
VLOOKUP($A306,YES_Reading_ELA[],COLUMN(YES_Reading_ELA[Self-Identified as African Descent]),FALSE)),
IF(VLOOKUP($A306, YES_Reading_FLA[], COLUMN(YES_Reading_FLA[Self-Identified as African Descent]),FALSE)="", "", VLOOKUP($A306,YES_Reading_FLA[],COLUMN(YES_Reading_FLA[Self-Identified as African Descent]),FALSE))),""))),"")</f>
        <v/>
      </c>
      <c r="L306" s="73" t="str" cm="1">
        <f t="array" ref="L306">IFERROR(
IF($J$2="ELA",
IF(VLOOKUP($A306, YES_Reading_ELA[], COLUMN(YES_Reading_ELA[Self-Identified as Indigenous]), FALSE)="", "",
VLOOKUP($A306,YES_Reading_ELA[], COLUMN(YES_Reading_ELA[Self-Identified as Indigenous]), FALSE)),
IF($J$2="FLA",
IF(VLOOKUP($A306, YES_Reading_FLA[], COLUMN(YES_Reading_FLA[Self-Identified as Indigenous]),FALSE)="","",
VLOOKUP($A306,YES_Reading_FLA[],COLUMN(YES_Reading_FLA[Self-Identified as Indigenous]),FALSE)),
IF($J$2="Combined",
IFERROR(
IF(VLOOKUP($A306, YES_Reading_ELA[], COLUMN(YES_Reading_ELA[Self-Identified as Indigenous]), FALSE)="", "",
VLOOKUP($A306,YES_Reading_ELA[],COLUMN(YES_Reading_ELA[Self-Identified as Indigenous]),FALSE)),
IF(VLOOKUP($A306, YES_Reading_FLA[], COLUMN(YES_Reading_FLA[Self-Identified as Indigenous]),FALSE)="", "", VLOOKUP($A306,YES_Reading_FLA[],COLUMN(YES_Reading_FLA[Self-Identified as Indigenous]),FALSE))),""))),"")</f>
        <v/>
      </c>
    </row>
    <row r="307" spans="1:12" ht="19.5" customHeight="1" x14ac:dyDescent="0.25">
      <c r="A307" s="217"/>
      <c r="B307" s="220"/>
      <c r="C307" s="203"/>
      <c r="D307" s="204"/>
      <c r="E307" s="205"/>
      <c r="F307" s="205"/>
      <c r="G307" s="205"/>
      <c r="H307" s="206"/>
      <c r="I307" s="212"/>
      <c r="J307" s="206"/>
      <c r="K307" s="197" t="str" cm="1">
        <f t="array" ref="K307">IFERROR(
IF($J$2="ELA",
IF(VLOOKUP($A307, YES_Reading_ELA[], COLUMN(YES_Reading_ELA[Self-Identified as African Descent]), FALSE)="", "",
VLOOKUP($A307,YES_Reading_ELA[], COLUMN(YES_Reading_ELA[Self-Identified as African Descent]), FALSE)),
IF($J$2="FLA",
IF(VLOOKUP($A307, YES_Reading_FLA[], COLUMN(YES_Reading_FLA[Self-Identified as African Descent]),FALSE)="","",
VLOOKUP($A307,YES_Reading_FLA[],COLUMN(YES_Reading_FLA[Self-Identified as African Descent]),FALSE)),
IF($J$2="Combined",
IFERROR(
IF(VLOOKUP($A307, YES_Reading_ELA[], COLUMN(YES_Reading_ELA[Self-Identified as African Descent]), FALSE)="", "",
VLOOKUP($A307,YES_Reading_ELA[],COLUMN(YES_Reading_ELA[Self-Identified as African Descent]),FALSE)),
IF(VLOOKUP($A307, YES_Reading_FLA[], COLUMN(YES_Reading_FLA[Self-Identified as African Descent]),FALSE)="", "", VLOOKUP($A307,YES_Reading_FLA[],COLUMN(YES_Reading_FLA[Self-Identified as African Descent]),FALSE))),""))),"")</f>
        <v/>
      </c>
      <c r="L307" s="73" t="str" cm="1">
        <f t="array" ref="L307">IFERROR(
IF($J$2="ELA",
IF(VLOOKUP($A307, YES_Reading_ELA[], COLUMN(YES_Reading_ELA[Self-Identified as Indigenous]), FALSE)="", "",
VLOOKUP($A307,YES_Reading_ELA[], COLUMN(YES_Reading_ELA[Self-Identified as Indigenous]), FALSE)),
IF($J$2="FLA",
IF(VLOOKUP($A307, YES_Reading_FLA[], COLUMN(YES_Reading_FLA[Self-Identified as Indigenous]),FALSE)="","",
VLOOKUP($A307,YES_Reading_FLA[],COLUMN(YES_Reading_FLA[Self-Identified as Indigenous]),FALSE)),
IF($J$2="Combined",
IFERROR(
IF(VLOOKUP($A307, YES_Reading_ELA[], COLUMN(YES_Reading_ELA[Self-Identified as Indigenous]), FALSE)="", "",
VLOOKUP($A307,YES_Reading_ELA[],COLUMN(YES_Reading_ELA[Self-Identified as Indigenous]),FALSE)),
IF(VLOOKUP($A307, YES_Reading_FLA[], COLUMN(YES_Reading_FLA[Self-Identified as Indigenous]),FALSE)="", "", VLOOKUP($A307,YES_Reading_FLA[],COLUMN(YES_Reading_FLA[Self-Identified as Indigenous]),FALSE))),""))),"")</f>
        <v/>
      </c>
    </row>
    <row r="308" spans="1:12" ht="19.5" customHeight="1" x14ac:dyDescent="0.25">
      <c r="A308" s="217"/>
      <c r="B308" s="220"/>
      <c r="C308" s="203"/>
      <c r="D308" s="204"/>
      <c r="E308" s="205"/>
      <c r="F308" s="205"/>
      <c r="G308" s="205"/>
      <c r="H308" s="206"/>
      <c r="I308" s="212"/>
      <c r="J308" s="206"/>
      <c r="K308" s="197" t="str" cm="1">
        <f t="array" ref="K308">IFERROR(
IF($J$2="ELA",
IF(VLOOKUP($A308, YES_Reading_ELA[], COLUMN(YES_Reading_ELA[Self-Identified as African Descent]), FALSE)="", "",
VLOOKUP($A308,YES_Reading_ELA[], COLUMN(YES_Reading_ELA[Self-Identified as African Descent]), FALSE)),
IF($J$2="FLA",
IF(VLOOKUP($A308, YES_Reading_FLA[], COLUMN(YES_Reading_FLA[Self-Identified as African Descent]),FALSE)="","",
VLOOKUP($A308,YES_Reading_FLA[],COLUMN(YES_Reading_FLA[Self-Identified as African Descent]),FALSE)),
IF($J$2="Combined",
IFERROR(
IF(VLOOKUP($A308, YES_Reading_ELA[], COLUMN(YES_Reading_ELA[Self-Identified as African Descent]), FALSE)="", "",
VLOOKUP($A308,YES_Reading_ELA[],COLUMN(YES_Reading_ELA[Self-Identified as African Descent]),FALSE)),
IF(VLOOKUP($A308, YES_Reading_FLA[], COLUMN(YES_Reading_FLA[Self-Identified as African Descent]),FALSE)="", "", VLOOKUP($A308,YES_Reading_FLA[],COLUMN(YES_Reading_FLA[Self-Identified as African Descent]),FALSE))),""))),"")</f>
        <v/>
      </c>
      <c r="L308" s="73" t="str" cm="1">
        <f t="array" ref="L308">IFERROR(
IF($J$2="ELA",
IF(VLOOKUP($A308, YES_Reading_ELA[], COLUMN(YES_Reading_ELA[Self-Identified as Indigenous]), FALSE)="", "",
VLOOKUP($A308,YES_Reading_ELA[], COLUMN(YES_Reading_ELA[Self-Identified as Indigenous]), FALSE)),
IF($J$2="FLA",
IF(VLOOKUP($A308, YES_Reading_FLA[], COLUMN(YES_Reading_FLA[Self-Identified as Indigenous]),FALSE)="","",
VLOOKUP($A308,YES_Reading_FLA[],COLUMN(YES_Reading_FLA[Self-Identified as Indigenous]),FALSE)),
IF($J$2="Combined",
IFERROR(
IF(VLOOKUP($A308, YES_Reading_ELA[], COLUMN(YES_Reading_ELA[Self-Identified as Indigenous]), FALSE)="", "",
VLOOKUP($A308,YES_Reading_ELA[],COLUMN(YES_Reading_ELA[Self-Identified as Indigenous]),FALSE)),
IF(VLOOKUP($A308, YES_Reading_FLA[], COLUMN(YES_Reading_FLA[Self-Identified as Indigenous]),FALSE)="", "", VLOOKUP($A308,YES_Reading_FLA[],COLUMN(YES_Reading_FLA[Self-Identified as Indigenous]),FALSE))),""))),"")</f>
        <v/>
      </c>
    </row>
    <row r="309" spans="1:12" ht="19.5" customHeight="1" x14ac:dyDescent="0.25">
      <c r="A309" s="217"/>
      <c r="B309" s="220"/>
      <c r="C309" s="203"/>
      <c r="D309" s="204"/>
      <c r="E309" s="205"/>
      <c r="F309" s="205"/>
      <c r="G309" s="205"/>
      <c r="H309" s="206"/>
      <c r="I309" s="212"/>
      <c r="J309" s="206"/>
      <c r="K309" s="197" t="str" cm="1">
        <f t="array" ref="K309">IFERROR(
IF($J$2="ELA",
IF(VLOOKUP($A309, YES_Reading_ELA[], COLUMN(YES_Reading_ELA[Self-Identified as African Descent]), FALSE)="", "",
VLOOKUP($A309,YES_Reading_ELA[], COLUMN(YES_Reading_ELA[Self-Identified as African Descent]), FALSE)),
IF($J$2="FLA",
IF(VLOOKUP($A309, YES_Reading_FLA[], COLUMN(YES_Reading_FLA[Self-Identified as African Descent]),FALSE)="","",
VLOOKUP($A309,YES_Reading_FLA[],COLUMN(YES_Reading_FLA[Self-Identified as African Descent]),FALSE)),
IF($J$2="Combined",
IFERROR(
IF(VLOOKUP($A309, YES_Reading_ELA[], COLUMN(YES_Reading_ELA[Self-Identified as African Descent]), FALSE)="", "",
VLOOKUP($A309,YES_Reading_ELA[],COLUMN(YES_Reading_ELA[Self-Identified as African Descent]),FALSE)),
IF(VLOOKUP($A309, YES_Reading_FLA[], COLUMN(YES_Reading_FLA[Self-Identified as African Descent]),FALSE)="", "", VLOOKUP($A309,YES_Reading_FLA[],COLUMN(YES_Reading_FLA[Self-Identified as African Descent]),FALSE))),""))),"")</f>
        <v/>
      </c>
      <c r="L309" s="73" t="str" cm="1">
        <f t="array" ref="L309">IFERROR(
IF($J$2="ELA",
IF(VLOOKUP($A309, YES_Reading_ELA[], COLUMN(YES_Reading_ELA[Self-Identified as Indigenous]), FALSE)="", "",
VLOOKUP($A309,YES_Reading_ELA[], COLUMN(YES_Reading_ELA[Self-Identified as Indigenous]), FALSE)),
IF($J$2="FLA",
IF(VLOOKUP($A309, YES_Reading_FLA[], COLUMN(YES_Reading_FLA[Self-Identified as Indigenous]),FALSE)="","",
VLOOKUP($A309,YES_Reading_FLA[],COLUMN(YES_Reading_FLA[Self-Identified as Indigenous]),FALSE)),
IF($J$2="Combined",
IFERROR(
IF(VLOOKUP($A309, YES_Reading_ELA[], COLUMN(YES_Reading_ELA[Self-Identified as Indigenous]), FALSE)="", "",
VLOOKUP($A309,YES_Reading_ELA[],COLUMN(YES_Reading_ELA[Self-Identified as Indigenous]),FALSE)),
IF(VLOOKUP($A309, YES_Reading_FLA[], COLUMN(YES_Reading_FLA[Self-Identified as Indigenous]),FALSE)="", "", VLOOKUP($A309,YES_Reading_FLA[],COLUMN(YES_Reading_FLA[Self-Identified as Indigenous]),FALSE))),""))),"")</f>
        <v/>
      </c>
    </row>
    <row r="310" spans="1:12" ht="19.5" customHeight="1" x14ac:dyDescent="0.25">
      <c r="A310" s="217"/>
      <c r="B310" s="220"/>
      <c r="C310" s="203"/>
      <c r="D310" s="204"/>
      <c r="E310" s="205"/>
      <c r="F310" s="205"/>
      <c r="G310" s="205"/>
      <c r="H310" s="206"/>
      <c r="I310" s="212"/>
      <c r="J310" s="206"/>
      <c r="K310" s="197" t="str" cm="1">
        <f t="array" ref="K310">IFERROR(
IF($J$2="ELA",
IF(VLOOKUP($A310, YES_Reading_ELA[], COLUMN(YES_Reading_ELA[Self-Identified as African Descent]), FALSE)="", "",
VLOOKUP($A310,YES_Reading_ELA[], COLUMN(YES_Reading_ELA[Self-Identified as African Descent]), FALSE)),
IF($J$2="FLA",
IF(VLOOKUP($A310, YES_Reading_FLA[], COLUMN(YES_Reading_FLA[Self-Identified as African Descent]),FALSE)="","",
VLOOKUP($A310,YES_Reading_FLA[],COLUMN(YES_Reading_FLA[Self-Identified as African Descent]),FALSE)),
IF($J$2="Combined",
IFERROR(
IF(VLOOKUP($A310, YES_Reading_ELA[], COLUMN(YES_Reading_ELA[Self-Identified as African Descent]), FALSE)="", "",
VLOOKUP($A310,YES_Reading_ELA[],COLUMN(YES_Reading_ELA[Self-Identified as African Descent]),FALSE)),
IF(VLOOKUP($A310, YES_Reading_FLA[], COLUMN(YES_Reading_FLA[Self-Identified as African Descent]),FALSE)="", "", VLOOKUP($A310,YES_Reading_FLA[],COLUMN(YES_Reading_FLA[Self-Identified as African Descent]),FALSE))),""))),"")</f>
        <v/>
      </c>
      <c r="L310" s="73" t="str" cm="1">
        <f t="array" ref="L310">IFERROR(
IF($J$2="ELA",
IF(VLOOKUP($A310, YES_Reading_ELA[], COLUMN(YES_Reading_ELA[Self-Identified as Indigenous]), FALSE)="", "",
VLOOKUP($A310,YES_Reading_ELA[], COLUMN(YES_Reading_ELA[Self-Identified as Indigenous]), FALSE)),
IF($J$2="FLA",
IF(VLOOKUP($A310, YES_Reading_FLA[], COLUMN(YES_Reading_FLA[Self-Identified as Indigenous]),FALSE)="","",
VLOOKUP($A310,YES_Reading_FLA[],COLUMN(YES_Reading_FLA[Self-Identified as Indigenous]),FALSE)),
IF($J$2="Combined",
IFERROR(
IF(VLOOKUP($A310, YES_Reading_ELA[], COLUMN(YES_Reading_ELA[Self-Identified as Indigenous]), FALSE)="", "",
VLOOKUP($A310,YES_Reading_ELA[],COLUMN(YES_Reading_ELA[Self-Identified as Indigenous]),FALSE)),
IF(VLOOKUP($A310, YES_Reading_FLA[], COLUMN(YES_Reading_FLA[Self-Identified as Indigenous]),FALSE)="", "", VLOOKUP($A310,YES_Reading_FLA[],COLUMN(YES_Reading_FLA[Self-Identified as Indigenous]),FALSE))),""))),"")</f>
        <v/>
      </c>
    </row>
    <row r="311" spans="1:12" ht="19.5" customHeight="1" x14ac:dyDescent="0.25">
      <c r="A311" s="217"/>
      <c r="B311" s="220"/>
      <c r="C311" s="203"/>
      <c r="D311" s="204"/>
      <c r="E311" s="205"/>
      <c r="F311" s="205"/>
      <c r="G311" s="205"/>
      <c r="H311" s="206"/>
      <c r="I311" s="212"/>
      <c r="J311" s="206"/>
      <c r="K311" s="197" t="str" cm="1">
        <f t="array" ref="K311">IFERROR(
IF($J$2="ELA",
IF(VLOOKUP($A311, YES_Reading_ELA[], COLUMN(YES_Reading_ELA[Self-Identified as African Descent]), FALSE)="", "",
VLOOKUP($A311,YES_Reading_ELA[], COLUMN(YES_Reading_ELA[Self-Identified as African Descent]), FALSE)),
IF($J$2="FLA",
IF(VLOOKUP($A311, YES_Reading_FLA[], COLUMN(YES_Reading_FLA[Self-Identified as African Descent]),FALSE)="","",
VLOOKUP($A311,YES_Reading_FLA[],COLUMN(YES_Reading_FLA[Self-Identified as African Descent]),FALSE)),
IF($J$2="Combined",
IFERROR(
IF(VLOOKUP($A311, YES_Reading_ELA[], COLUMN(YES_Reading_ELA[Self-Identified as African Descent]), FALSE)="", "",
VLOOKUP($A311,YES_Reading_ELA[],COLUMN(YES_Reading_ELA[Self-Identified as African Descent]),FALSE)),
IF(VLOOKUP($A311, YES_Reading_FLA[], COLUMN(YES_Reading_FLA[Self-Identified as African Descent]),FALSE)="", "", VLOOKUP($A311,YES_Reading_FLA[],COLUMN(YES_Reading_FLA[Self-Identified as African Descent]),FALSE))),""))),"")</f>
        <v/>
      </c>
      <c r="L311" s="73" t="str" cm="1">
        <f t="array" ref="L311">IFERROR(
IF($J$2="ELA",
IF(VLOOKUP($A311, YES_Reading_ELA[], COLUMN(YES_Reading_ELA[Self-Identified as Indigenous]), FALSE)="", "",
VLOOKUP($A311,YES_Reading_ELA[], COLUMN(YES_Reading_ELA[Self-Identified as Indigenous]), FALSE)),
IF($J$2="FLA",
IF(VLOOKUP($A311, YES_Reading_FLA[], COLUMN(YES_Reading_FLA[Self-Identified as Indigenous]),FALSE)="","",
VLOOKUP($A311,YES_Reading_FLA[],COLUMN(YES_Reading_FLA[Self-Identified as Indigenous]),FALSE)),
IF($J$2="Combined",
IFERROR(
IF(VLOOKUP($A311, YES_Reading_ELA[], COLUMN(YES_Reading_ELA[Self-Identified as Indigenous]), FALSE)="", "",
VLOOKUP($A311,YES_Reading_ELA[],COLUMN(YES_Reading_ELA[Self-Identified as Indigenous]),FALSE)),
IF(VLOOKUP($A311, YES_Reading_FLA[], COLUMN(YES_Reading_FLA[Self-Identified as Indigenous]),FALSE)="", "", VLOOKUP($A311,YES_Reading_FLA[],COLUMN(YES_Reading_FLA[Self-Identified as Indigenous]),FALSE))),""))),"")</f>
        <v/>
      </c>
    </row>
    <row r="312" spans="1:12" ht="19.5" customHeight="1" x14ac:dyDescent="0.25">
      <c r="A312" s="217"/>
      <c r="B312" s="220"/>
      <c r="C312" s="203"/>
      <c r="D312" s="204"/>
      <c r="E312" s="205"/>
      <c r="F312" s="205"/>
      <c r="G312" s="205"/>
      <c r="H312" s="206"/>
      <c r="I312" s="212"/>
      <c r="J312" s="206"/>
      <c r="K312" s="197" t="str" cm="1">
        <f t="array" ref="K312">IFERROR(
IF($J$2="ELA",
IF(VLOOKUP($A312, YES_Reading_ELA[], COLUMN(YES_Reading_ELA[Self-Identified as African Descent]), FALSE)="", "",
VLOOKUP($A312,YES_Reading_ELA[], COLUMN(YES_Reading_ELA[Self-Identified as African Descent]), FALSE)),
IF($J$2="FLA",
IF(VLOOKUP($A312, YES_Reading_FLA[], COLUMN(YES_Reading_FLA[Self-Identified as African Descent]),FALSE)="","",
VLOOKUP($A312,YES_Reading_FLA[],COLUMN(YES_Reading_FLA[Self-Identified as African Descent]),FALSE)),
IF($J$2="Combined",
IFERROR(
IF(VLOOKUP($A312, YES_Reading_ELA[], COLUMN(YES_Reading_ELA[Self-Identified as African Descent]), FALSE)="", "",
VLOOKUP($A312,YES_Reading_ELA[],COLUMN(YES_Reading_ELA[Self-Identified as African Descent]),FALSE)),
IF(VLOOKUP($A312, YES_Reading_FLA[], COLUMN(YES_Reading_FLA[Self-Identified as African Descent]),FALSE)="", "", VLOOKUP($A312,YES_Reading_FLA[],COLUMN(YES_Reading_FLA[Self-Identified as African Descent]),FALSE))),""))),"")</f>
        <v/>
      </c>
      <c r="L312" s="73" t="str" cm="1">
        <f t="array" ref="L312">IFERROR(
IF($J$2="ELA",
IF(VLOOKUP($A312, YES_Reading_ELA[], COLUMN(YES_Reading_ELA[Self-Identified as Indigenous]), FALSE)="", "",
VLOOKUP($A312,YES_Reading_ELA[], COLUMN(YES_Reading_ELA[Self-Identified as Indigenous]), FALSE)),
IF($J$2="FLA",
IF(VLOOKUP($A312, YES_Reading_FLA[], COLUMN(YES_Reading_FLA[Self-Identified as Indigenous]),FALSE)="","",
VLOOKUP($A312,YES_Reading_FLA[],COLUMN(YES_Reading_FLA[Self-Identified as Indigenous]),FALSE)),
IF($J$2="Combined",
IFERROR(
IF(VLOOKUP($A312, YES_Reading_ELA[], COLUMN(YES_Reading_ELA[Self-Identified as Indigenous]), FALSE)="", "",
VLOOKUP($A312,YES_Reading_ELA[],COLUMN(YES_Reading_ELA[Self-Identified as Indigenous]),FALSE)),
IF(VLOOKUP($A312, YES_Reading_FLA[], COLUMN(YES_Reading_FLA[Self-Identified as Indigenous]),FALSE)="", "", VLOOKUP($A312,YES_Reading_FLA[],COLUMN(YES_Reading_FLA[Self-Identified as Indigenous]),FALSE))),""))),"")</f>
        <v/>
      </c>
    </row>
    <row r="313" spans="1:12" ht="19.5" customHeight="1" x14ac:dyDescent="0.25">
      <c r="A313" s="217"/>
      <c r="B313" s="220"/>
      <c r="C313" s="203"/>
      <c r="D313" s="204"/>
      <c r="E313" s="205"/>
      <c r="F313" s="205"/>
      <c r="G313" s="205"/>
      <c r="H313" s="206"/>
      <c r="I313" s="212"/>
      <c r="J313" s="206"/>
      <c r="K313" s="197" t="str" cm="1">
        <f t="array" ref="K313">IFERROR(
IF($J$2="ELA",
IF(VLOOKUP($A313, YES_Reading_ELA[], COLUMN(YES_Reading_ELA[Self-Identified as African Descent]), FALSE)="", "",
VLOOKUP($A313,YES_Reading_ELA[], COLUMN(YES_Reading_ELA[Self-Identified as African Descent]), FALSE)),
IF($J$2="FLA",
IF(VLOOKUP($A313, YES_Reading_FLA[], COLUMN(YES_Reading_FLA[Self-Identified as African Descent]),FALSE)="","",
VLOOKUP($A313,YES_Reading_FLA[],COLUMN(YES_Reading_FLA[Self-Identified as African Descent]),FALSE)),
IF($J$2="Combined",
IFERROR(
IF(VLOOKUP($A313, YES_Reading_ELA[], COLUMN(YES_Reading_ELA[Self-Identified as African Descent]), FALSE)="", "",
VLOOKUP($A313,YES_Reading_ELA[],COLUMN(YES_Reading_ELA[Self-Identified as African Descent]),FALSE)),
IF(VLOOKUP($A313, YES_Reading_FLA[], COLUMN(YES_Reading_FLA[Self-Identified as African Descent]),FALSE)="", "", VLOOKUP($A313,YES_Reading_FLA[],COLUMN(YES_Reading_FLA[Self-Identified as African Descent]),FALSE))),""))),"")</f>
        <v/>
      </c>
      <c r="L313" s="73" t="str" cm="1">
        <f t="array" ref="L313">IFERROR(
IF($J$2="ELA",
IF(VLOOKUP($A313, YES_Reading_ELA[], COLUMN(YES_Reading_ELA[Self-Identified as Indigenous]), FALSE)="", "",
VLOOKUP($A313,YES_Reading_ELA[], COLUMN(YES_Reading_ELA[Self-Identified as Indigenous]), FALSE)),
IF($J$2="FLA",
IF(VLOOKUP($A313, YES_Reading_FLA[], COLUMN(YES_Reading_FLA[Self-Identified as Indigenous]),FALSE)="","",
VLOOKUP($A313,YES_Reading_FLA[],COLUMN(YES_Reading_FLA[Self-Identified as Indigenous]),FALSE)),
IF($J$2="Combined",
IFERROR(
IF(VLOOKUP($A313, YES_Reading_ELA[], COLUMN(YES_Reading_ELA[Self-Identified as Indigenous]), FALSE)="", "",
VLOOKUP($A313,YES_Reading_ELA[],COLUMN(YES_Reading_ELA[Self-Identified as Indigenous]),FALSE)),
IF(VLOOKUP($A313, YES_Reading_FLA[], COLUMN(YES_Reading_FLA[Self-Identified as Indigenous]),FALSE)="", "", VLOOKUP($A313,YES_Reading_FLA[],COLUMN(YES_Reading_FLA[Self-Identified as Indigenous]),FALSE))),""))),"")</f>
        <v/>
      </c>
    </row>
    <row r="314" spans="1:12" ht="19.5" customHeight="1" x14ac:dyDescent="0.25">
      <c r="A314" s="217"/>
      <c r="B314" s="220"/>
      <c r="C314" s="203"/>
      <c r="D314" s="204"/>
      <c r="E314" s="205"/>
      <c r="F314" s="205"/>
      <c r="G314" s="205"/>
      <c r="H314" s="206"/>
      <c r="I314" s="212"/>
      <c r="J314" s="206"/>
      <c r="K314" s="197" t="str" cm="1">
        <f t="array" ref="K314">IFERROR(
IF($J$2="ELA",
IF(VLOOKUP($A314, YES_Reading_ELA[], COLUMN(YES_Reading_ELA[Self-Identified as African Descent]), FALSE)="", "",
VLOOKUP($A314,YES_Reading_ELA[], COLUMN(YES_Reading_ELA[Self-Identified as African Descent]), FALSE)),
IF($J$2="FLA",
IF(VLOOKUP($A314, YES_Reading_FLA[], COLUMN(YES_Reading_FLA[Self-Identified as African Descent]),FALSE)="","",
VLOOKUP($A314,YES_Reading_FLA[],COLUMN(YES_Reading_FLA[Self-Identified as African Descent]),FALSE)),
IF($J$2="Combined",
IFERROR(
IF(VLOOKUP($A314, YES_Reading_ELA[], COLUMN(YES_Reading_ELA[Self-Identified as African Descent]), FALSE)="", "",
VLOOKUP($A314,YES_Reading_ELA[],COLUMN(YES_Reading_ELA[Self-Identified as African Descent]),FALSE)),
IF(VLOOKUP($A314, YES_Reading_FLA[], COLUMN(YES_Reading_FLA[Self-Identified as African Descent]),FALSE)="", "", VLOOKUP($A314,YES_Reading_FLA[],COLUMN(YES_Reading_FLA[Self-Identified as African Descent]),FALSE))),""))),"")</f>
        <v/>
      </c>
      <c r="L314" s="73" t="str" cm="1">
        <f t="array" ref="L314">IFERROR(
IF($J$2="ELA",
IF(VLOOKUP($A314, YES_Reading_ELA[], COLUMN(YES_Reading_ELA[Self-Identified as Indigenous]), FALSE)="", "",
VLOOKUP($A314,YES_Reading_ELA[], COLUMN(YES_Reading_ELA[Self-Identified as Indigenous]), FALSE)),
IF($J$2="FLA",
IF(VLOOKUP($A314, YES_Reading_FLA[], COLUMN(YES_Reading_FLA[Self-Identified as Indigenous]),FALSE)="","",
VLOOKUP($A314,YES_Reading_FLA[],COLUMN(YES_Reading_FLA[Self-Identified as Indigenous]),FALSE)),
IF($J$2="Combined",
IFERROR(
IF(VLOOKUP($A314, YES_Reading_ELA[], COLUMN(YES_Reading_ELA[Self-Identified as Indigenous]), FALSE)="", "",
VLOOKUP($A314,YES_Reading_ELA[],COLUMN(YES_Reading_ELA[Self-Identified as Indigenous]),FALSE)),
IF(VLOOKUP($A314, YES_Reading_FLA[], COLUMN(YES_Reading_FLA[Self-Identified as Indigenous]),FALSE)="", "", VLOOKUP($A314,YES_Reading_FLA[],COLUMN(YES_Reading_FLA[Self-Identified as Indigenous]),FALSE))),""))),"")</f>
        <v/>
      </c>
    </row>
    <row r="315" spans="1:12" ht="19.5" customHeight="1" thickBot="1" x14ac:dyDescent="0.3">
      <c r="A315" s="218"/>
      <c r="B315" s="221"/>
      <c r="C315" s="208"/>
      <c r="D315" s="209"/>
      <c r="E315" s="210"/>
      <c r="F315" s="210"/>
      <c r="G315" s="210"/>
      <c r="H315" s="211"/>
      <c r="I315" s="213"/>
      <c r="J315" s="211"/>
      <c r="K315" s="198" t="str" cm="1">
        <f t="array" ref="K315">IFERROR(
IF($J$2="ELA",
IF(VLOOKUP($A315, YES_Reading_ELA[], COLUMN(YES_Reading_ELA[Self-Identified as African Descent]), FALSE)="", "",
VLOOKUP($A315,YES_Reading_ELA[], COLUMN(YES_Reading_ELA[Self-Identified as African Descent]), FALSE)),
IF($J$2="FLA",
IF(VLOOKUP($A315, YES_Reading_FLA[], COLUMN(YES_Reading_FLA[Self-Identified as African Descent]),FALSE)="","",
VLOOKUP($A315,YES_Reading_FLA[],COLUMN(YES_Reading_FLA[Self-Identified as African Descent]),FALSE)),
IF($J$2="Combined",
IFERROR(
IF(VLOOKUP($A315, YES_Reading_ELA[], COLUMN(YES_Reading_ELA[Self-Identified as African Descent]), FALSE)="", "",
VLOOKUP($A315,YES_Reading_ELA[],COLUMN(YES_Reading_ELA[Self-Identified as African Descent]),FALSE)),
IF(VLOOKUP($A315, YES_Reading_FLA[], COLUMN(YES_Reading_FLA[Self-Identified as African Descent]),FALSE)="", "", VLOOKUP($A315,YES_Reading_FLA[],COLUMN(YES_Reading_FLA[Self-Identified as African Descent]),FALSE))),""))),"")</f>
        <v/>
      </c>
      <c r="L315" s="74" t="str" cm="1">
        <f t="array" ref="L315">IFERROR(
IF($J$2="ELA",
IF(VLOOKUP($A315, YES_Reading_ELA[], COLUMN(YES_Reading_ELA[Self-Identified as Indigenous]), FALSE)="", "",
VLOOKUP($A315,YES_Reading_ELA[], COLUMN(YES_Reading_ELA[Self-Identified as Indigenous]), FALSE)),
IF($J$2="FLA",
IF(VLOOKUP($A315, YES_Reading_FLA[], COLUMN(YES_Reading_FLA[Self-Identified as Indigenous]),FALSE)="","",
VLOOKUP($A315,YES_Reading_FLA[],COLUMN(YES_Reading_FLA[Self-Identified as Indigenous]),FALSE)),
IF($J$2="Combined",
IFERROR(
IF(VLOOKUP($A315, YES_Reading_ELA[], COLUMN(YES_Reading_ELA[Self-Identified as Indigenous]), FALSE)="", "",
VLOOKUP($A315,YES_Reading_ELA[],COLUMN(YES_Reading_ELA[Self-Identified as Indigenous]),FALSE)),
IF(VLOOKUP($A315, YES_Reading_FLA[], COLUMN(YES_Reading_FLA[Self-Identified as Indigenous]),FALSE)="", "", VLOOKUP($A315,YES_Reading_FLA[],COLUMN(YES_Reading_FLA[Self-Identified as Indigenous]),FALSE))),""))),"")</f>
        <v/>
      </c>
    </row>
    <row r="316" spans="1:12" x14ac:dyDescent="0.25">
      <c r="A316" s="214"/>
      <c r="B316" s="214" t="s">
        <v>241</v>
      </c>
      <c r="C316" s="214"/>
      <c r="D316" s="215" t="str" cm="1">
        <f t="array" ref="D316">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Set")))=$D$1)),1,1,FALSE),FALSE,FALSE),11),"")</f>
        <v/>
      </c>
      <c r="E316" s="215"/>
      <c r="F316" s="215"/>
      <c r="G316" s="215"/>
      <c r="H316" s="355" t="s">
        <v>242</v>
      </c>
      <c r="I316" s="356"/>
      <c r="J316" s="215"/>
    </row>
    <row r="317" spans="1:12" x14ac:dyDescent="0.25">
      <c r="A317" s="214"/>
      <c r="B317" s="214" t="str">
        <f>"Date: "&amp;$D$3</f>
        <v xml:space="preserve">Date: </v>
      </c>
      <c r="C317" s="214"/>
      <c r="D317" s="215"/>
      <c r="E317" s="215"/>
      <c r="F317" s="215"/>
      <c r="G317" s="215"/>
      <c r="H317" s="357" t="s">
        <v>243</v>
      </c>
      <c r="I317" s="358"/>
      <c r="J317" s="215"/>
    </row>
    <row r="318" spans="1:12" ht="15.75" thickBot="1" x14ac:dyDescent="0.3">
      <c r="A318" s="215"/>
      <c r="B318" s="215"/>
      <c r="C318" s="215"/>
      <c r="D318" s="215"/>
      <c r="E318" s="215"/>
      <c r="F318" s="215"/>
      <c r="G318" s="215"/>
      <c r="H318" s="353" t="s">
        <v>244</v>
      </c>
      <c r="I318" s="354"/>
      <c r="J318" s="215"/>
    </row>
    <row r="319" spans="1:12" ht="85.5" customHeight="1" thickBot="1" x14ac:dyDescent="0.3">
      <c r="A319" s="192" t="s">
        <v>44</v>
      </c>
      <c r="B319" s="187" t="s">
        <v>245</v>
      </c>
      <c r="C319" s="188" t="s">
        <v>246</v>
      </c>
      <c r="D319" s="188" t="s">
        <v>247</v>
      </c>
      <c r="E319" s="188" t="s">
        <v>248</v>
      </c>
      <c r="F319" s="188" t="s">
        <v>249</v>
      </c>
      <c r="G319" s="188" t="s">
        <v>250</v>
      </c>
      <c r="H319" s="189" t="s">
        <v>251</v>
      </c>
      <c r="I319" s="190" t="s">
        <v>252</v>
      </c>
      <c r="J319" s="191" t="s">
        <v>253</v>
      </c>
      <c r="K319" s="200" t="s">
        <v>256</v>
      </c>
      <c r="L319" s="201" t="s">
        <v>257</v>
      </c>
    </row>
    <row r="320" spans="1:12" ht="19.5" customHeight="1" x14ac:dyDescent="0.25">
      <c r="A320" s="216" t="e" cm="1" vm="1">
        <f t="array" aca="1" ref="A320" ca="1">_xlfn._xlws.FILTER(_xlfn.VSTACK(YES_Reading_ELA[Student Number],YES_Reading_FLA[Student Number]),_xlfn.VSTACK(YES_Reading_ELA[HomeRoom],YES_Reading_FLA[Homeroom])=D316)</f>
        <v>#VALUE!</v>
      </c>
      <c r="B320" s="219"/>
      <c r="C320" s="203"/>
      <c r="D320" s="204"/>
      <c r="E320" s="205"/>
      <c r="F320" s="205"/>
      <c r="G320" s="205"/>
      <c r="H320" s="206"/>
      <c r="I320" s="227"/>
      <c r="J320" s="206"/>
      <c r="K320" s="24" t="str" cm="1">
        <f t="array" aca="1" ref="K320" ca="1">IFERROR(
IF($J$2="ELA",
IF(VLOOKUP($A320, YES_Reading_ELA[], COLUMN(YES_Reading_ELA[Self-Identified as African Descent]), FALSE)="", "",
VLOOKUP($A320,YES_Reading_ELA[], COLUMN(YES_Reading_ELA[Self-Identified as African Descent]), FALSE)),
IF($J$2="FLA",
IF(VLOOKUP($A320, YES_Reading_FLA[], COLUMN(YES_Reading_FLA[Self-Identified as African Descent]),FALSE)="","",
VLOOKUP($A320,YES_Reading_FLA[],COLUMN(YES_Reading_FLA[Self-Identified as African Descent]),FALSE)),
IF($J$2="Combined",
IFERROR(
IF(VLOOKUP($A320, YES_Reading_ELA[], COLUMN(YES_Reading_ELA[Self-Identified as African Descent]), FALSE)="", "",
VLOOKUP($A320,YES_Reading_ELA[],COLUMN(YES_Reading_ELA[Self-Identified as African Descent]),FALSE)),
IF(VLOOKUP($A320, YES_Reading_FLA[], COLUMN(YES_Reading_FLA[Self-Identified as African Descent]),FALSE)="", "", VLOOKUP($A320,YES_Reading_FLA[],COLUMN(YES_Reading_FLA[Self-Identified as African Descent]),FALSE))),""))),"")</f>
        <v/>
      </c>
      <c r="L320" s="199" t="str" cm="1">
        <f t="array" aca="1" ref="L320" ca="1">IFERROR(
IF($J$2="ELA",
IF(VLOOKUP($A320, YES_Reading_ELA[], COLUMN(YES_Reading_ELA[Self-Identified as Indigenous]), FALSE)="", "",
VLOOKUP($A320,YES_Reading_ELA[], COLUMN(YES_Reading_ELA[Self-Identified as Indigenous]), FALSE)),
IF($J$2="FLA",
IF(VLOOKUP($A320, YES_Reading_FLA[], COLUMN(YES_Reading_FLA[Self-Identified as Indigenous]),FALSE)="","",
VLOOKUP($A320,YES_Reading_FLA[],COLUMN(YES_Reading_FLA[Self-Identified as Indigenous]),FALSE)),
IF($J$2="Combined",
IFERROR(
IF(VLOOKUP($A320, YES_Reading_ELA[], COLUMN(YES_Reading_ELA[Self-Identified as Indigenous]), FALSE)="", "",
VLOOKUP($A320,YES_Reading_ELA[],COLUMN(YES_Reading_ELA[Self-Identified as Indigenous]),FALSE)),
IF(VLOOKUP($A320, YES_Reading_FLA[], COLUMN(YES_Reading_FLA[Self-Identified as Indigenous]),FALSE)="", "", VLOOKUP($A320,YES_Reading_FLA[],COLUMN(YES_Reading_FLA[Self-Identified as Indigenous]),FALSE))),""))),"")</f>
        <v/>
      </c>
    </row>
    <row r="321" spans="1:12" ht="19.5" customHeight="1" x14ac:dyDescent="0.25">
      <c r="A321" s="217"/>
      <c r="B321" s="220"/>
      <c r="C321" s="203"/>
      <c r="D321" s="204"/>
      <c r="E321" s="205"/>
      <c r="F321" s="205"/>
      <c r="G321" s="205"/>
      <c r="H321" s="206"/>
      <c r="I321" s="212"/>
      <c r="J321" s="206"/>
      <c r="K321" s="197" t="str" cm="1">
        <f t="array" ref="K321">IFERROR(
IF($J$2="ELA",
IF(VLOOKUP($A321, YES_Reading_ELA[], COLUMN(YES_Reading_ELA[Self-Identified as African Descent]), FALSE)="", "",
VLOOKUP($A321,YES_Reading_ELA[], COLUMN(YES_Reading_ELA[Self-Identified as African Descent]), FALSE)),
IF($J$2="FLA",
IF(VLOOKUP($A321, YES_Reading_FLA[], COLUMN(YES_Reading_FLA[Self-Identified as African Descent]),FALSE)="","",
VLOOKUP($A321,YES_Reading_FLA[],COLUMN(YES_Reading_FLA[Self-Identified as African Descent]),FALSE)),
IF($J$2="Combined",
IFERROR(
IF(VLOOKUP($A321, YES_Reading_ELA[], COLUMN(YES_Reading_ELA[Self-Identified as African Descent]), FALSE)="", "",
VLOOKUP($A321,YES_Reading_ELA[],COLUMN(YES_Reading_ELA[Self-Identified as African Descent]),FALSE)),
IF(VLOOKUP($A321, YES_Reading_FLA[], COLUMN(YES_Reading_FLA[Self-Identified as African Descent]),FALSE)="", "", VLOOKUP($A321,YES_Reading_FLA[],COLUMN(YES_Reading_FLA[Self-Identified as African Descent]),FALSE))),""))),"")</f>
        <v/>
      </c>
      <c r="L321" s="73" t="str" cm="1">
        <f t="array" ref="L321">IFERROR(
IF($J$2="ELA",
IF(VLOOKUP($A321, YES_Reading_ELA[], COLUMN(YES_Reading_ELA[Self-Identified as Indigenous]), FALSE)="", "",
VLOOKUP($A321,YES_Reading_ELA[], COLUMN(YES_Reading_ELA[Self-Identified as Indigenous]), FALSE)),
IF($J$2="FLA",
IF(VLOOKUP($A321, YES_Reading_FLA[], COLUMN(YES_Reading_FLA[Self-Identified as Indigenous]),FALSE)="","",
VLOOKUP($A321,YES_Reading_FLA[],COLUMN(YES_Reading_FLA[Self-Identified as Indigenous]),FALSE)),
IF($J$2="Combined",
IFERROR(
IF(VLOOKUP($A321, YES_Reading_ELA[], COLUMN(YES_Reading_ELA[Self-Identified as Indigenous]), FALSE)="", "",
VLOOKUP($A321,YES_Reading_ELA[],COLUMN(YES_Reading_ELA[Self-Identified as Indigenous]),FALSE)),
IF(VLOOKUP($A321, YES_Reading_FLA[], COLUMN(YES_Reading_FLA[Self-Identified as Indigenous]),FALSE)="", "", VLOOKUP($A321,YES_Reading_FLA[],COLUMN(YES_Reading_FLA[Self-Identified as Indigenous]),FALSE))),""))),"")</f>
        <v/>
      </c>
    </row>
    <row r="322" spans="1:12" ht="19.5" customHeight="1" x14ac:dyDescent="0.25">
      <c r="A322" s="217"/>
      <c r="B322" s="220"/>
      <c r="C322" s="203"/>
      <c r="D322" s="204"/>
      <c r="E322" s="205"/>
      <c r="F322" s="205"/>
      <c r="G322" s="205"/>
      <c r="H322" s="206"/>
      <c r="I322" s="212"/>
      <c r="J322" s="206"/>
      <c r="K322" s="197" t="str" cm="1">
        <f t="array" ref="K322">IFERROR(
IF($J$2="ELA",
IF(VLOOKUP($A322, YES_Reading_ELA[], COLUMN(YES_Reading_ELA[Self-Identified as African Descent]), FALSE)="", "",
VLOOKUP($A322,YES_Reading_ELA[], COLUMN(YES_Reading_ELA[Self-Identified as African Descent]), FALSE)),
IF($J$2="FLA",
IF(VLOOKUP($A322, YES_Reading_FLA[], COLUMN(YES_Reading_FLA[Self-Identified as African Descent]),FALSE)="","",
VLOOKUP($A322,YES_Reading_FLA[],COLUMN(YES_Reading_FLA[Self-Identified as African Descent]),FALSE)),
IF($J$2="Combined",
IFERROR(
IF(VLOOKUP($A322, YES_Reading_ELA[], COLUMN(YES_Reading_ELA[Self-Identified as African Descent]), FALSE)="", "",
VLOOKUP($A322,YES_Reading_ELA[],COLUMN(YES_Reading_ELA[Self-Identified as African Descent]),FALSE)),
IF(VLOOKUP($A322, YES_Reading_FLA[], COLUMN(YES_Reading_FLA[Self-Identified as African Descent]),FALSE)="", "", VLOOKUP($A322,YES_Reading_FLA[],COLUMN(YES_Reading_FLA[Self-Identified as African Descent]),FALSE))),""))),"")</f>
        <v/>
      </c>
      <c r="L322" s="73" t="str" cm="1">
        <f t="array" ref="L322">IFERROR(
IF($J$2="ELA",
IF(VLOOKUP($A322, YES_Reading_ELA[], COLUMN(YES_Reading_ELA[Self-Identified as Indigenous]), FALSE)="", "",
VLOOKUP($A322,YES_Reading_ELA[], COLUMN(YES_Reading_ELA[Self-Identified as Indigenous]), FALSE)),
IF($J$2="FLA",
IF(VLOOKUP($A322, YES_Reading_FLA[], COLUMN(YES_Reading_FLA[Self-Identified as Indigenous]),FALSE)="","",
VLOOKUP($A322,YES_Reading_FLA[],COLUMN(YES_Reading_FLA[Self-Identified as Indigenous]),FALSE)),
IF($J$2="Combined",
IFERROR(
IF(VLOOKUP($A322, YES_Reading_ELA[], COLUMN(YES_Reading_ELA[Self-Identified as Indigenous]), FALSE)="", "",
VLOOKUP($A322,YES_Reading_ELA[],COLUMN(YES_Reading_ELA[Self-Identified as Indigenous]),FALSE)),
IF(VLOOKUP($A322, YES_Reading_FLA[], COLUMN(YES_Reading_FLA[Self-Identified as Indigenous]),FALSE)="", "", VLOOKUP($A322,YES_Reading_FLA[],COLUMN(YES_Reading_FLA[Self-Identified as Indigenous]),FALSE))),""))),"")</f>
        <v/>
      </c>
    </row>
    <row r="323" spans="1:12" ht="19.5" customHeight="1" x14ac:dyDescent="0.25">
      <c r="A323" s="217"/>
      <c r="B323" s="220"/>
      <c r="C323" s="203"/>
      <c r="D323" s="204"/>
      <c r="E323" s="205"/>
      <c r="F323" s="205"/>
      <c r="G323" s="205"/>
      <c r="H323" s="206"/>
      <c r="I323" s="212"/>
      <c r="J323" s="206"/>
      <c r="K323" s="197" t="str" cm="1">
        <f t="array" ref="K323">IFERROR(
IF($J$2="ELA",
IF(VLOOKUP($A323, YES_Reading_ELA[], COLUMN(YES_Reading_ELA[Self-Identified as African Descent]), FALSE)="", "",
VLOOKUP($A323,YES_Reading_ELA[], COLUMN(YES_Reading_ELA[Self-Identified as African Descent]), FALSE)),
IF($J$2="FLA",
IF(VLOOKUP($A323, YES_Reading_FLA[], COLUMN(YES_Reading_FLA[Self-Identified as African Descent]),FALSE)="","",
VLOOKUP($A323,YES_Reading_FLA[],COLUMN(YES_Reading_FLA[Self-Identified as African Descent]),FALSE)),
IF($J$2="Combined",
IFERROR(
IF(VLOOKUP($A323, YES_Reading_ELA[], COLUMN(YES_Reading_ELA[Self-Identified as African Descent]), FALSE)="", "",
VLOOKUP($A323,YES_Reading_ELA[],COLUMN(YES_Reading_ELA[Self-Identified as African Descent]),FALSE)),
IF(VLOOKUP($A323, YES_Reading_FLA[], COLUMN(YES_Reading_FLA[Self-Identified as African Descent]),FALSE)="", "", VLOOKUP($A323,YES_Reading_FLA[],COLUMN(YES_Reading_FLA[Self-Identified as African Descent]),FALSE))),""))),"")</f>
        <v/>
      </c>
      <c r="L323" s="73" t="str" cm="1">
        <f t="array" ref="L323">IFERROR(
IF($J$2="ELA",
IF(VLOOKUP($A323, YES_Reading_ELA[], COLUMN(YES_Reading_ELA[Self-Identified as Indigenous]), FALSE)="", "",
VLOOKUP($A323,YES_Reading_ELA[], COLUMN(YES_Reading_ELA[Self-Identified as Indigenous]), FALSE)),
IF($J$2="FLA",
IF(VLOOKUP($A323, YES_Reading_FLA[], COLUMN(YES_Reading_FLA[Self-Identified as Indigenous]),FALSE)="","",
VLOOKUP($A323,YES_Reading_FLA[],COLUMN(YES_Reading_FLA[Self-Identified as Indigenous]),FALSE)),
IF($J$2="Combined",
IFERROR(
IF(VLOOKUP($A323, YES_Reading_ELA[], COLUMN(YES_Reading_ELA[Self-Identified as Indigenous]), FALSE)="", "",
VLOOKUP($A323,YES_Reading_ELA[],COLUMN(YES_Reading_ELA[Self-Identified as Indigenous]),FALSE)),
IF(VLOOKUP($A323, YES_Reading_FLA[], COLUMN(YES_Reading_FLA[Self-Identified as Indigenous]),FALSE)="", "", VLOOKUP($A323,YES_Reading_FLA[],COLUMN(YES_Reading_FLA[Self-Identified as Indigenous]),FALSE))),""))),"")</f>
        <v/>
      </c>
    </row>
    <row r="324" spans="1:12" ht="19.5" customHeight="1" x14ac:dyDescent="0.25">
      <c r="A324" s="217"/>
      <c r="B324" s="220"/>
      <c r="C324" s="203"/>
      <c r="D324" s="204"/>
      <c r="E324" s="205"/>
      <c r="F324" s="205"/>
      <c r="G324" s="205"/>
      <c r="H324" s="206"/>
      <c r="I324" s="212"/>
      <c r="J324" s="206"/>
      <c r="K324" s="197" t="str" cm="1">
        <f t="array" ref="K324">IFERROR(
IF($J$2="ELA",
IF(VLOOKUP($A324, YES_Reading_ELA[], COLUMN(YES_Reading_ELA[Self-Identified as African Descent]), FALSE)="", "",
VLOOKUP($A324,YES_Reading_ELA[], COLUMN(YES_Reading_ELA[Self-Identified as African Descent]), FALSE)),
IF($J$2="FLA",
IF(VLOOKUP($A324, YES_Reading_FLA[], COLUMN(YES_Reading_FLA[Self-Identified as African Descent]),FALSE)="","",
VLOOKUP($A324,YES_Reading_FLA[],COLUMN(YES_Reading_FLA[Self-Identified as African Descent]),FALSE)),
IF($J$2="Combined",
IFERROR(
IF(VLOOKUP($A324, YES_Reading_ELA[], COLUMN(YES_Reading_ELA[Self-Identified as African Descent]), FALSE)="", "",
VLOOKUP($A324,YES_Reading_ELA[],COLUMN(YES_Reading_ELA[Self-Identified as African Descent]),FALSE)),
IF(VLOOKUP($A324, YES_Reading_FLA[], COLUMN(YES_Reading_FLA[Self-Identified as African Descent]),FALSE)="", "", VLOOKUP($A324,YES_Reading_FLA[],COLUMN(YES_Reading_FLA[Self-Identified as African Descent]),FALSE))),""))),"")</f>
        <v/>
      </c>
      <c r="L324" s="73" t="str" cm="1">
        <f t="array" ref="L324">IFERROR(
IF($J$2="ELA",
IF(VLOOKUP($A324, YES_Reading_ELA[], COLUMN(YES_Reading_ELA[Self-Identified as Indigenous]), FALSE)="", "",
VLOOKUP($A324,YES_Reading_ELA[], COLUMN(YES_Reading_ELA[Self-Identified as Indigenous]), FALSE)),
IF($J$2="FLA",
IF(VLOOKUP($A324, YES_Reading_FLA[], COLUMN(YES_Reading_FLA[Self-Identified as Indigenous]),FALSE)="","",
VLOOKUP($A324,YES_Reading_FLA[],COLUMN(YES_Reading_FLA[Self-Identified as Indigenous]),FALSE)),
IF($J$2="Combined",
IFERROR(
IF(VLOOKUP($A324, YES_Reading_ELA[], COLUMN(YES_Reading_ELA[Self-Identified as Indigenous]), FALSE)="", "",
VLOOKUP($A324,YES_Reading_ELA[],COLUMN(YES_Reading_ELA[Self-Identified as Indigenous]),FALSE)),
IF(VLOOKUP($A324, YES_Reading_FLA[], COLUMN(YES_Reading_FLA[Self-Identified as Indigenous]),FALSE)="", "", VLOOKUP($A324,YES_Reading_FLA[],COLUMN(YES_Reading_FLA[Self-Identified as Indigenous]),FALSE))),""))),"")</f>
        <v/>
      </c>
    </row>
    <row r="325" spans="1:12" ht="19.5" customHeight="1" x14ac:dyDescent="0.25">
      <c r="A325" s="217"/>
      <c r="B325" s="220"/>
      <c r="C325" s="203"/>
      <c r="D325" s="204"/>
      <c r="E325" s="205"/>
      <c r="F325" s="205"/>
      <c r="G325" s="205"/>
      <c r="H325" s="206"/>
      <c r="I325" s="212"/>
      <c r="J325" s="206"/>
      <c r="K325" s="197" t="str" cm="1">
        <f t="array" ref="K325">IFERROR(
IF($J$2="ELA",
IF(VLOOKUP($A325, YES_Reading_ELA[], COLUMN(YES_Reading_ELA[Self-Identified as African Descent]), FALSE)="", "",
VLOOKUP($A325,YES_Reading_ELA[], COLUMN(YES_Reading_ELA[Self-Identified as African Descent]), FALSE)),
IF($J$2="FLA",
IF(VLOOKUP($A325, YES_Reading_FLA[], COLUMN(YES_Reading_FLA[Self-Identified as African Descent]),FALSE)="","",
VLOOKUP($A325,YES_Reading_FLA[],COLUMN(YES_Reading_FLA[Self-Identified as African Descent]),FALSE)),
IF($J$2="Combined",
IFERROR(
IF(VLOOKUP($A325, YES_Reading_ELA[], COLUMN(YES_Reading_ELA[Self-Identified as African Descent]), FALSE)="", "",
VLOOKUP($A325,YES_Reading_ELA[],COLUMN(YES_Reading_ELA[Self-Identified as African Descent]),FALSE)),
IF(VLOOKUP($A325, YES_Reading_FLA[], COLUMN(YES_Reading_FLA[Self-Identified as African Descent]),FALSE)="", "", VLOOKUP($A325,YES_Reading_FLA[],COLUMN(YES_Reading_FLA[Self-Identified as African Descent]),FALSE))),""))),"")</f>
        <v/>
      </c>
      <c r="L325" s="73" t="str" cm="1">
        <f t="array" ref="L325">IFERROR(
IF($J$2="ELA",
IF(VLOOKUP($A325, YES_Reading_ELA[], COLUMN(YES_Reading_ELA[Self-Identified as Indigenous]), FALSE)="", "",
VLOOKUP($A325,YES_Reading_ELA[], COLUMN(YES_Reading_ELA[Self-Identified as Indigenous]), FALSE)),
IF($J$2="FLA",
IF(VLOOKUP($A325, YES_Reading_FLA[], COLUMN(YES_Reading_FLA[Self-Identified as Indigenous]),FALSE)="","",
VLOOKUP($A325,YES_Reading_FLA[],COLUMN(YES_Reading_FLA[Self-Identified as Indigenous]),FALSE)),
IF($J$2="Combined",
IFERROR(
IF(VLOOKUP($A325, YES_Reading_ELA[], COLUMN(YES_Reading_ELA[Self-Identified as Indigenous]), FALSE)="", "",
VLOOKUP($A325,YES_Reading_ELA[],COLUMN(YES_Reading_ELA[Self-Identified as Indigenous]),FALSE)),
IF(VLOOKUP($A325, YES_Reading_FLA[], COLUMN(YES_Reading_FLA[Self-Identified as Indigenous]),FALSE)="", "", VLOOKUP($A325,YES_Reading_FLA[],COLUMN(YES_Reading_FLA[Self-Identified as Indigenous]),FALSE))),""))),"")</f>
        <v/>
      </c>
    </row>
    <row r="326" spans="1:12" ht="19.5" customHeight="1" x14ac:dyDescent="0.25">
      <c r="A326" s="217"/>
      <c r="B326" s="220"/>
      <c r="C326" s="203"/>
      <c r="D326" s="204"/>
      <c r="E326" s="205"/>
      <c r="F326" s="205"/>
      <c r="G326" s="205"/>
      <c r="H326" s="206"/>
      <c r="I326" s="212"/>
      <c r="J326" s="206"/>
      <c r="K326" s="197" t="str" cm="1">
        <f t="array" ref="K326">IFERROR(
IF($J$2="ELA",
IF(VLOOKUP($A326, YES_Reading_ELA[], COLUMN(YES_Reading_ELA[Self-Identified as African Descent]), FALSE)="", "",
VLOOKUP($A326,YES_Reading_ELA[], COLUMN(YES_Reading_ELA[Self-Identified as African Descent]), FALSE)),
IF($J$2="FLA",
IF(VLOOKUP($A326, YES_Reading_FLA[], COLUMN(YES_Reading_FLA[Self-Identified as African Descent]),FALSE)="","",
VLOOKUP($A326,YES_Reading_FLA[],COLUMN(YES_Reading_FLA[Self-Identified as African Descent]),FALSE)),
IF($J$2="Combined",
IFERROR(
IF(VLOOKUP($A326, YES_Reading_ELA[], COLUMN(YES_Reading_ELA[Self-Identified as African Descent]), FALSE)="", "",
VLOOKUP($A326,YES_Reading_ELA[],COLUMN(YES_Reading_ELA[Self-Identified as African Descent]),FALSE)),
IF(VLOOKUP($A326, YES_Reading_FLA[], COLUMN(YES_Reading_FLA[Self-Identified as African Descent]),FALSE)="", "", VLOOKUP($A326,YES_Reading_FLA[],COLUMN(YES_Reading_FLA[Self-Identified as African Descent]),FALSE))),""))),"")</f>
        <v/>
      </c>
      <c r="L326" s="73" t="str" cm="1">
        <f t="array" ref="L326">IFERROR(
IF($J$2="ELA",
IF(VLOOKUP($A326, YES_Reading_ELA[], COLUMN(YES_Reading_ELA[Self-Identified as Indigenous]), FALSE)="", "",
VLOOKUP($A326,YES_Reading_ELA[], COLUMN(YES_Reading_ELA[Self-Identified as Indigenous]), FALSE)),
IF($J$2="FLA",
IF(VLOOKUP($A326, YES_Reading_FLA[], COLUMN(YES_Reading_FLA[Self-Identified as Indigenous]),FALSE)="","",
VLOOKUP($A326,YES_Reading_FLA[],COLUMN(YES_Reading_FLA[Self-Identified as Indigenous]),FALSE)),
IF($J$2="Combined",
IFERROR(
IF(VLOOKUP($A326, YES_Reading_ELA[], COLUMN(YES_Reading_ELA[Self-Identified as Indigenous]), FALSE)="", "",
VLOOKUP($A326,YES_Reading_ELA[],COLUMN(YES_Reading_ELA[Self-Identified as Indigenous]),FALSE)),
IF(VLOOKUP($A326, YES_Reading_FLA[], COLUMN(YES_Reading_FLA[Self-Identified as Indigenous]),FALSE)="", "", VLOOKUP($A326,YES_Reading_FLA[],COLUMN(YES_Reading_FLA[Self-Identified as Indigenous]),FALSE))),""))),"")</f>
        <v/>
      </c>
    </row>
    <row r="327" spans="1:12" ht="19.5" customHeight="1" x14ac:dyDescent="0.25">
      <c r="A327" s="217"/>
      <c r="B327" s="220"/>
      <c r="C327" s="203"/>
      <c r="D327" s="204"/>
      <c r="E327" s="205"/>
      <c r="F327" s="205"/>
      <c r="G327" s="205"/>
      <c r="H327" s="206"/>
      <c r="I327" s="212"/>
      <c r="J327" s="206"/>
      <c r="K327" s="197" t="str" cm="1">
        <f t="array" ref="K327">IFERROR(
IF($J$2="ELA",
IF(VLOOKUP($A327, YES_Reading_ELA[], COLUMN(YES_Reading_ELA[Self-Identified as African Descent]), FALSE)="", "",
VLOOKUP($A327,YES_Reading_ELA[], COLUMN(YES_Reading_ELA[Self-Identified as African Descent]), FALSE)),
IF($J$2="FLA",
IF(VLOOKUP($A327, YES_Reading_FLA[], COLUMN(YES_Reading_FLA[Self-Identified as African Descent]),FALSE)="","",
VLOOKUP($A327,YES_Reading_FLA[],COLUMN(YES_Reading_FLA[Self-Identified as African Descent]),FALSE)),
IF($J$2="Combined",
IFERROR(
IF(VLOOKUP($A327, YES_Reading_ELA[], COLUMN(YES_Reading_ELA[Self-Identified as African Descent]), FALSE)="", "",
VLOOKUP($A327,YES_Reading_ELA[],COLUMN(YES_Reading_ELA[Self-Identified as African Descent]),FALSE)),
IF(VLOOKUP($A327, YES_Reading_FLA[], COLUMN(YES_Reading_FLA[Self-Identified as African Descent]),FALSE)="", "", VLOOKUP($A327,YES_Reading_FLA[],COLUMN(YES_Reading_FLA[Self-Identified as African Descent]),FALSE))),""))),"")</f>
        <v/>
      </c>
      <c r="L327" s="73" t="str" cm="1">
        <f t="array" ref="L327">IFERROR(
IF($J$2="ELA",
IF(VLOOKUP($A327, YES_Reading_ELA[], COLUMN(YES_Reading_ELA[Self-Identified as Indigenous]), FALSE)="", "",
VLOOKUP($A327,YES_Reading_ELA[], COLUMN(YES_Reading_ELA[Self-Identified as Indigenous]), FALSE)),
IF($J$2="FLA",
IF(VLOOKUP($A327, YES_Reading_FLA[], COLUMN(YES_Reading_FLA[Self-Identified as Indigenous]),FALSE)="","",
VLOOKUP($A327,YES_Reading_FLA[],COLUMN(YES_Reading_FLA[Self-Identified as Indigenous]),FALSE)),
IF($J$2="Combined",
IFERROR(
IF(VLOOKUP($A327, YES_Reading_ELA[], COLUMN(YES_Reading_ELA[Self-Identified as Indigenous]), FALSE)="", "",
VLOOKUP($A327,YES_Reading_ELA[],COLUMN(YES_Reading_ELA[Self-Identified as Indigenous]),FALSE)),
IF(VLOOKUP($A327, YES_Reading_FLA[], COLUMN(YES_Reading_FLA[Self-Identified as Indigenous]),FALSE)="", "", VLOOKUP($A327,YES_Reading_FLA[],COLUMN(YES_Reading_FLA[Self-Identified as Indigenous]),FALSE))),""))),"")</f>
        <v/>
      </c>
    </row>
    <row r="328" spans="1:12" ht="19.5" customHeight="1" x14ac:dyDescent="0.25">
      <c r="A328" s="217"/>
      <c r="B328" s="220"/>
      <c r="C328" s="203"/>
      <c r="D328" s="204"/>
      <c r="E328" s="205"/>
      <c r="F328" s="205"/>
      <c r="G328" s="205"/>
      <c r="H328" s="206"/>
      <c r="I328" s="212"/>
      <c r="J328" s="206"/>
      <c r="K328" s="197" t="str" cm="1">
        <f t="array" ref="K328">IFERROR(
IF($J$2="ELA",
IF(VLOOKUP($A328, YES_Reading_ELA[], COLUMN(YES_Reading_ELA[Self-Identified as African Descent]), FALSE)="", "",
VLOOKUP($A328,YES_Reading_ELA[], COLUMN(YES_Reading_ELA[Self-Identified as African Descent]), FALSE)),
IF($J$2="FLA",
IF(VLOOKUP($A328, YES_Reading_FLA[], COLUMN(YES_Reading_FLA[Self-Identified as African Descent]),FALSE)="","",
VLOOKUP($A328,YES_Reading_FLA[],COLUMN(YES_Reading_FLA[Self-Identified as African Descent]),FALSE)),
IF($J$2="Combined",
IFERROR(
IF(VLOOKUP($A328, YES_Reading_ELA[], COLUMN(YES_Reading_ELA[Self-Identified as African Descent]), FALSE)="", "",
VLOOKUP($A328,YES_Reading_ELA[],COLUMN(YES_Reading_ELA[Self-Identified as African Descent]),FALSE)),
IF(VLOOKUP($A328, YES_Reading_FLA[], COLUMN(YES_Reading_FLA[Self-Identified as African Descent]),FALSE)="", "", VLOOKUP($A328,YES_Reading_FLA[],COLUMN(YES_Reading_FLA[Self-Identified as African Descent]),FALSE))),""))),"")</f>
        <v/>
      </c>
      <c r="L328" s="73" t="str" cm="1">
        <f t="array" ref="L328">IFERROR(
IF($J$2="ELA",
IF(VLOOKUP($A328, YES_Reading_ELA[], COLUMN(YES_Reading_ELA[Self-Identified as Indigenous]), FALSE)="", "",
VLOOKUP($A328,YES_Reading_ELA[], COLUMN(YES_Reading_ELA[Self-Identified as Indigenous]), FALSE)),
IF($J$2="FLA",
IF(VLOOKUP($A328, YES_Reading_FLA[], COLUMN(YES_Reading_FLA[Self-Identified as Indigenous]),FALSE)="","",
VLOOKUP($A328,YES_Reading_FLA[],COLUMN(YES_Reading_FLA[Self-Identified as Indigenous]),FALSE)),
IF($J$2="Combined",
IFERROR(
IF(VLOOKUP($A328, YES_Reading_ELA[], COLUMN(YES_Reading_ELA[Self-Identified as Indigenous]), FALSE)="", "",
VLOOKUP($A328,YES_Reading_ELA[],COLUMN(YES_Reading_ELA[Self-Identified as Indigenous]),FALSE)),
IF(VLOOKUP($A328, YES_Reading_FLA[], COLUMN(YES_Reading_FLA[Self-Identified as Indigenous]),FALSE)="", "", VLOOKUP($A328,YES_Reading_FLA[],COLUMN(YES_Reading_FLA[Self-Identified as Indigenous]),FALSE))),""))),"")</f>
        <v/>
      </c>
    </row>
    <row r="329" spans="1:12" ht="19.5" customHeight="1" x14ac:dyDescent="0.25">
      <c r="A329" s="217"/>
      <c r="B329" s="220"/>
      <c r="C329" s="203"/>
      <c r="D329" s="204"/>
      <c r="E329" s="205"/>
      <c r="F329" s="205"/>
      <c r="G329" s="205"/>
      <c r="H329" s="206"/>
      <c r="I329" s="212"/>
      <c r="J329" s="206"/>
      <c r="K329" s="197" t="str" cm="1">
        <f t="array" ref="K329">IFERROR(
IF($J$2="ELA",
IF(VLOOKUP($A329, YES_Reading_ELA[], COLUMN(YES_Reading_ELA[Self-Identified as African Descent]), FALSE)="", "",
VLOOKUP($A329,YES_Reading_ELA[], COLUMN(YES_Reading_ELA[Self-Identified as African Descent]), FALSE)),
IF($J$2="FLA",
IF(VLOOKUP($A329, YES_Reading_FLA[], COLUMN(YES_Reading_FLA[Self-Identified as African Descent]),FALSE)="","",
VLOOKUP($A329,YES_Reading_FLA[],COLUMN(YES_Reading_FLA[Self-Identified as African Descent]),FALSE)),
IF($J$2="Combined",
IFERROR(
IF(VLOOKUP($A329, YES_Reading_ELA[], COLUMN(YES_Reading_ELA[Self-Identified as African Descent]), FALSE)="", "",
VLOOKUP($A329,YES_Reading_ELA[],COLUMN(YES_Reading_ELA[Self-Identified as African Descent]),FALSE)),
IF(VLOOKUP($A329, YES_Reading_FLA[], COLUMN(YES_Reading_FLA[Self-Identified as African Descent]),FALSE)="", "", VLOOKUP($A329,YES_Reading_FLA[],COLUMN(YES_Reading_FLA[Self-Identified as African Descent]),FALSE))),""))),"")</f>
        <v/>
      </c>
      <c r="L329" s="73" t="str" cm="1">
        <f t="array" ref="L329">IFERROR(
IF($J$2="ELA",
IF(VLOOKUP($A329, YES_Reading_ELA[], COLUMN(YES_Reading_ELA[Self-Identified as Indigenous]), FALSE)="", "",
VLOOKUP($A329,YES_Reading_ELA[], COLUMN(YES_Reading_ELA[Self-Identified as Indigenous]), FALSE)),
IF($J$2="FLA",
IF(VLOOKUP($A329, YES_Reading_FLA[], COLUMN(YES_Reading_FLA[Self-Identified as Indigenous]),FALSE)="","",
VLOOKUP($A329,YES_Reading_FLA[],COLUMN(YES_Reading_FLA[Self-Identified as Indigenous]),FALSE)),
IF($J$2="Combined",
IFERROR(
IF(VLOOKUP($A329, YES_Reading_ELA[], COLUMN(YES_Reading_ELA[Self-Identified as Indigenous]), FALSE)="", "",
VLOOKUP($A329,YES_Reading_ELA[],COLUMN(YES_Reading_ELA[Self-Identified as Indigenous]),FALSE)),
IF(VLOOKUP($A329, YES_Reading_FLA[], COLUMN(YES_Reading_FLA[Self-Identified as Indigenous]),FALSE)="", "", VLOOKUP($A329,YES_Reading_FLA[],COLUMN(YES_Reading_FLA[Self-Identified as Indigenous]),FALSE))),""))),"")</f>
        <v/>
      </c>
    </row>
    <row r="330" spans="1:12" ht="19.5" customHeight="1" x14ac:dyDescent="0.25">
      <c r="A330" s="217"/>
      <c r="B330" s="220"/>
      <c r="C330" s="203"/>
      <c r="D330" s="204"/>
      <c r="E330" s="205"/>
      <c r="F330" s="205"/>
      <c r="G330" s="205"/>
      <c r="H330" s="206"/>
      <c r="I330" s="212"/>
      <c r="J330" s="206"/>
      <c r="K330" s="197" t="str" cm="1">
        <f t="array" ref="K330">IFERROR(
IF($J$2="ELA",
IF(VLOOKUP($A330, YES_Reading_ELA[], COLUMN(YES_Reading_ELA[Self-Identified as African Descent]), FALSE)="", "",
VLOOKUP($A330,YES_Reading_ELA[], COLUMN(YES_Reading_ELA[Self-Identified as African Descent]), FALSE)),
IF($J$2="FLA",
IF(VLOOKUP($A330, YES_Reading_FLA[], COLUMN(YES_Reading_FLA[Self-Identified as African Descent]),FALSE)="","",
VLOOKUP($A330,YES_Reading_FLA[],COLUMN(YES_Reading_FLA[Self-Identified as African Descent]),FALSE)),
IF($J$2="Combined",
IFERROR(
IF(VLOOKUP($A330, YES_Reading_ELA[], COLUMN(YES_Reading_ELA[Self-Identified as African Descent]), FALSE)="", "",
VLOOKUP($A330,YES_Reading_ELA[],COLUMN(YES_Reading_ELA[Self-Identified as African Descent]),FALSE)),
IF(VLOOKUP($A330, YES_Reading_FLA[], COLUMN(YES_Reading_FLA[Self-Identified as African Descent]),FALSE)="", "", VLOOKUP($A330,YES_Reading_FLA[],COLUMN(YES_Reading_FLA[Self-Identified as African Descent]),FALSE))),""))),"")</f>
        <v/>
      </c>
      <c r="L330" s="73" t="str" cm="1">
        <f t="array" ref="L330">IFERROR(
IF($J$2="ELA",
IF(VLOOKUP($A330, YES_Reading_ELA[], COLUMN(YES_Reading_ELA[Self-Identified as Indigenous]), FALSE)="", "",
VLOOKUP($A330,YES_Reading_ELA[], COLUMN(YES_Reading_ELA[Self-Identified as Indigenous]), FALSE)),
IF($J$2="FLA",
IF(VLOOKUP($A330, YES_Reading_FLA[], COLUMN(YES_Reading_FLA[Self-Identified as Indigenous]),FALSE)="","",
VLOOKUP($A330,YES_Reading_FLA[],COLUMN(YES_Reading_FLA[Self-Identified as Indigenous]),FALSE)),
IF($J$2="Combined",
IFERROR(
IF(VLOOKUP($A330, YES_Reading_ELA[], COLUMN(YES_Reading_ELA[Self-Identified as Indigenous]), FALSE)="", "",
VLOOKUP($A330,YES_Reading_ELA[],COLUMN(YES_Reading_ELA[Self-Identified as Indigenous]),FALSE)),
IF(VLOOKUP($A330, YES_Reading_FLA[], COLUMN(YES_Reading_FLA[Self-Identified as Indigenous]),FALSE)="", "", VLOOKUP($A330,YES_Reading_FLA[],COLUMN(YES_Reading_FLA[Self-Identified as Indigenous]),FALSE))),""))),"")</f>
        <v/>
      </c>
    </row>
    <row r="331" spans="1:12" ht="19.5" customHeight="1" x14ac:dyDescent="0.25">
      <c r="A331" s="217"/>
      <c r="B331" s="220"/>
      <c r="C331" s="203"/>
      <c r="D331" s="204"/>
      <c r="E331" s="205"/>
      <c r="F331" s="205"/>
      <c r="G331" s="205"/>
      <c r="H331" s="206"/>
      <c r="I331" s="212"/>
      <c r="J331" s="206"/>
      <c r="K331" s="197" t="str" cm="1">
        <f t="array" ref="K331">IFERROR(
IF($J$2="ELA",
IF(VLOOKUP($A331, YES_Reading_ELA[], COLUMN(YES_Reading_ELA[Self-Identified as African Descent]), FALSE)="", "",
VLOOKUP($A331,YES_Reading_ELA[], COLUMN(YES_Reading_ELA[Self-Identified as African Descent]), FALSE)),
IF($J$2="FLA",
IF(VLOOKUP($A331, YES_Reading_FLA[], COLUMN(YES_Reading_FLA[Self-Identified as African Descent]),FALSE)="","",
VLOOKUP($A331,YES_Reading_FLA[],COLUMN(YES_Reading_FLA[Self-Identified as African Descent]),FALSE)),
IF($J$2="Combined",
IFERROR(
IF(VLOOKUP($A331, YES_Reading_ELA[], COLUMN(YES_Reading_ELA[Self-Identified as African Descent]), FALSE)="", "",
VLOOKUP($A331,YES_Reading_ELA[],COLUMN(YES_Reading_ELA[Self-Identified as African Descent]),FALSE)),
IF(VLOOKUP($A331, YES_Reading_FLA[], COLUMN(YES_Reading_FLA[Self-Identified as African Descent]),FALSE)="", "", VLOOKUP($A331,YES_Reading_FLA[],COLUMN(YES_Reading_FLA[Self-Identified as African Descent]),FALSE))),""))),"")</f>
        <v/>
      </c>
      <c r="L331" s="73" t="str" cm="1">
        <f t="array" ref="L331">IFERROR(
IF($J$2="ELA",
IF(VLOOKUP($A331, YES_Reading_ELA[], COLUMN(YES_Reading_ELA[Self-Identified as Indigenous]), FALSE)="", "",
VLOOKUP($A331,YES_Reading_ELA[], COLUMN(YES_Reading_ELA[Self-Identified as Indigenous]), FALSE)),
IF($J$2="FLA",
IF(VLOOKUP($A331, YES_Reading_FLA[], COLUMN(YES_Reading_FLA[Self-Identified as Indigenous]),FALSE)="","",
VLOOKUP($A331,YES_Reading_FLA[],COLUMN(YES_Reading_FLA[Self-Identified as Indigenous]),FALSE)),
IF($J$2="Combined",
IFERROR(
IF(VLOOKUP($A331, YES_Reading_ELA[], COLUMN(YES_Reading_ELA[Self-Identified as Indigenous]), FALSE)="", "",
VLOOKUP($A331,YES_Reading_ELA[],COLUMN(YES_Reading_ELA[Self-Identified as Indigenous]),FALSE)),
IF(VLOOKUP($A331, YES_Reading_FLA[], COLUMN(YES_Reading_FLA[Self-Identified as Indigenous]),FALSE)="", "", VLOOKUP($A331,YES_Reading_FLA[],COLUMN(YES_Reading_FLA[Self-Identified as Indigenous]),FALSE))),""))),"")</f>
        <v/>
      </c>
    </row>
    <row r="332" spans="1:12" ht="19.5" customHeight="1" x14ac:dyDescent="0.25">
      <c r="A332" s="217"/>
      <c r="B332" s="220"/>
      <c r="C332" s="203"/>
      <c r="D332" s="204"/>
      <c r="E332" s="205"/>
      <c r="F332" s="205"/>
      <c r="G332" s="205"/>
      <c r="H332" s="206"/>
      <c r="I332" s="212"/>
      <c r="J332" s="206"/>
      <c r="K332" s="197" t="str" cm="1">
        <f t="array" ref="K332">IFERROR(
IF($J$2="ELA",
IF(VLOOKUP($A332, YES_Reading_ELA[], COLUMN(YES_Reading_ELA[Self-Identified as African Descent]), FALSE)="", "",
VLOOKUP($A332,YES_Reading_ELA[], COLUMN(YES_Reading_ELA[Self-Identified as African Descent]), FALSE)),
IF($J$2="FLA",
IF(VLOOKUP($A332, YES_Reading_FLA[], COLUMN(YES_Reading_FLA[Self-Identified as African Descent]),FALSE)="","",
VLOOKUP($A332,YES_Reading_FLA[],COLUMN(YES_Reading_FLA[Self-Identified as African Descent]),FALSE)),
IF($J$2="Combined",
IFERROR(
IF(VLOOKUP($A332, YES_Reading_ELA[], COLUMN(YES_Reading_ELA[Self-Identified as African Descent]), FALSE)="", "",
VLOOKUP($A332,YES_Reading_ELA[],COLUMN(YES_Reading_ELA[Self-Identified as African Descent]),FALSE)),
IF(VLOOKUP($A332, YES_Reading_FLA[], COLUMN(YES_Reading_FLA[Self-Identified as African Descent]),FALSE)="", "", VLOOKUP($A332,YES_Reading_FLA[],COLUMN(YES_Reading_FLA[Self-Identified as African Descent]),FALSE))),""))),"")</f>
        <v/>
      </c>
      <c r="L332" s="73" t="str" cm="1">
        <f t="array" ref="L332">IFERROR(
IF($J$2="ELA",
IF(VLOOKUP($A332, YES_Reading_ELA[], COLUMN(YES_Reading_ELA[Self-Identified as Indigenous]), FALSE)="", "",
VLOOKUP($A332,YES_Reading_ELA[], COLUMN(YES_Reading_ELA[Self-Identified as Indigenous]), FALSE)),
IF($J$2="FLA",
IF(VLOOKUP($A332, YES_Reading_FLA[], COLUMN(YES_Reading_FLA[Self-Identified as Indigenous]),FALSE)="","",
VLOOKUP($A332,YES_Reading_FLA[],COLUMN(YES_Reading_FLA[Self-Identified as Indigenous]),FALSE)),
IF($J$2="Combined",
IFERROR(
IF(VLOOKUP($A332, YES_Reading_ELA[], COLUMN(YES_Reading_ELA[Self-Identified as Indigenous]), FALSE)="", "",
VLOOKUP($A332,YES_Reading_ELA[],COLUMN(YES_Reading_ELA[Self-Identified as Indigenous]),FALSE)),
IF(VLOOKUP($A332, YES_Reading_FLA[], COLUMN(YES_Reading_FLA[Self-Identified as Indigenous]),FALSE)="", "", VLOOKUP($A332,YES_Reading_FLA[],COLUMN(YES_Reading_FLA[Self-Identified as Indigenous]),FALSE))),""))),"")</f>
        <v/>
      </c>
    </row>
    <row r="333" spans="1:12" ht="19.5" customHeight="1" x14ac:dyDescent="0.25">
      <c r="A333" s="217"/>
      <c r="B333" s="220"/>
      <c r="C333" s="203"/>
      <c r="D333" s="204"/>
      <c r="E333" s="205"/>
      <c r="F333" s="205"/>
      <c r="G333" s="205"/>
      <c r="H333" s="206"/>
      <c r="I333" s="212"/>
      <c r="J333" s="206"/>
      <c r="K333" s="197" t="str" cm="1">
        <f t="array" ref="K333">IFERROR(
IF($J$2="ELA",
IF(VLOOKUP($A333, YES_Reading_ELA[], COLUMN(YES_Reading_ELA[Self-Identified as African Descent]), FALSE)="", "",
VLOOKUP($A333,YES_Reading_ELA[], COLUMN(YES_Reading_ELA[Self-Identified as African Descent]), FALSE)),
IF($J$2="FLA",
IF(VLOOKUP($A333, YES_Reading_FLA[], COLUMN(YES_Reading_FLA[Self-Identified as African Descent]),FALSE)="","",
VLOOKUP($A333,YES_Reading_FLA[],COLUMN(YES_Reading_FLA[Self-Identified as African Descent]),FALSE)),
IF($J$2="Combined",
IFERROR(
IF(VLOOKUP($A333, YES_Reading_ELA[], COLUMN(YES_Reading_ELA[Self-Identified as African Descent]), FALSE)="", "",
VLOOKUP($A333,YES_Reading_ELA[],COLUMN(YES_Reading_ELA[Self-Identified as African Descent]),FALSE)),
IF(VLOOKUP($A333, YES_Reading_FLA[], COLUMN(YES_Reading_FLA[Self-Identified as African Descent]),FALSE)="", "", VLOOKUP($A333,YES_Reading_FLA[],COLUMN(YES_Reading_FLA[Self-Identified as African Descent]),FALSE))),""))),"")</f>
        <v/>
      </c>
      <c r="L333" s="73" t="str" cm="1">
        <f t="array" ref="L333">IFERROR(
IF($J$2="ELA",
IF(VLOOKUP($A333, YES_Reading_ELA[], COLUMN(YES_Reading_ELA[Self-Identified as Indigenous]), FALSE)="", "",
VLOOKUP($A333,YES_Reading_ELA[], COLUMN(YES_Reading_ELA[Self-Identified as Indigenous]), FALSE)),
IF($J$2="FLA",
IF(VLOOKUP($A333, YES_Reading_FLA[], COLUMN(YES_Reading_FLA[Self-Identified as Indigenous]),FALSE)="","",
VLOOKUP($A333,YES_Reading_FLA[],COLUMN(YES_Reading_FLA[Self-Identified as Indigenous]),FALSE)),
IF($J$2="Combined",
IFERROR(
IF(VLOOKUP($A333, YES_Reading_ELA[], COLUMN(YES_Reading_ELA[Self-Identified as Indigenous]), FALSE)="", "",
VLOOKUP($A333,YES_Reading_ELA[],COLUMN(YES_Reading_ELA[Self-Identified as Indigenous]),FALSE)),
IF(VLOOKUP($A333, YES_Reading_FLA[], COLUMN(YES_Reading_FLA[Self-Identified as Indigenous]),FALSE)="", "", VLOOKUP($A333,YES_Reading_FLA[],COLUMN(YES_Reading_FLA[Self-Identified as Indigenous]),FALSE))),""))),"")</f>
        <v/>
      </c>
    </row>
    <row r="334" spans="1:12" ht="19.5" customHeight="1" x14ac:dyDescent="0.25">
      <c r="A334" s="217"/>
      <c r="B334" s="220"/>
      <c r="C334" s="203"/>
      <c r="D334" s="204"/>
      <c r="E334" s="205"/>
      <c r="F334" s="205"/>
      <c r="G334" s="205"/>
      <c r="H334" s="206"/>
      <c r="I334" s="212"/>
      <c r="J334" s="206"/>
      <c r="K334" s="197" t="str" cm="1">
        <f t="array" ref="K334">IFERROR(
IF($J$2="ELA",
IF(VLOOKUP($A334, YES_Reading_ELA[], COLUMN(YES_Reading_ELA[Self-Identified as African Descent]), FALSE)="", "",
VLOOKUP($A334,YES_Reading_ELA[], COLUMN(YES_Reading_ELA[Self-Identified as African Descent]), FALSE)),
IF($J$2="FLA",
IF(VLOOKUP($A334, YES_Reading_FLA[], COLUMN(YES_Reading_FLA[Self-Identified as African Descent]),FALSE)="","",
VLOOKUP($A334,YES_Reading_FLA[],COLUMN(YES_Reading_FLA[Self-Identified as African Descent]),FALSE)),
IF($J$2="Combined",
IFERROR(
IF(VLOOKUP($A334, YES_Reading_ELA[], COLUMN(YES_Reading_ELA[Self-Identified as African Descent]), FALSE)="", "",
VLOOKUP($A334,YES_Reading_ELA[],COLUMN(YES_Reading_ELA[Self-Identified as African Descent]),FALSE)),
IF(VLOOKUP($A334, YES_Reading_FLA[], COLUMN(YES_Reading_FLA[Self-Identified as African Descent]),FALSE)="", "", VLOOKUP($A334,YES_Reading_FLA[],COLUMN(YES_Reading_FLA[Self-Identified as African Descent]),FALSE))),""))),"")</f>
        <v/>
      </c>
      <c r="L334" s="73" t="str" cm="1">
        <f t="array" ref="L334">IFERROR(
IF($J$2="ELA",
IF(VLOOKUP($A334, YES_Reading_ELA[], COLUMN(YES_Reading_ELA[Self-Identified as Indigenous]), FALSE)="", "",
VLOOKUP($A334,YES_Reading_ELA[], COLUMN(YES_Reading_ELA[Self-Identified as Indigenous]), FALSE)),
IF($J$2="FLA",
IF(VLOOKUP($A334, YES_Reading_FLA[], COLUMN(YES_Reading_FLA[Self-Identified as Indigenous]),FALSE)="","",
VLOOKUP($A334,YES_Reading_FLA[],COLUMN(YES_Reading_FLA[Self-Identified as Indigenous]),FALSE)),
IF($J$2="Combined",
IFERROR(
IF(VLOOKUP($A334, YES_Reading_ELA[], COLUMN(YES_Reading_ELA[Self-Identified as Indigenous]), FALSE)="", "",
VLOOKUP($A334,YES_Reading_ELA[],COLUMN(YES_Reading_ELA[Self-Identified as Indigenous]),FALSE)),
IF(VLOOKUP($A334, YES_Reading_FLA[], COLUMN(YES_Reading_FLA[Self-Identified as Indigenous]),FALSE)="", "", VLOOKUP($A334,YES_Reading_FLA[],COLUMN(YES_Reading_FLA[Self-Identified as Indigenous]),FALSE))),""))),"")</f>
        <v/>
      </c>
    </row>
    <row r="335" spans="1:12" ht="19.5" customHeight="1" x14ac:dyDescent="0.25">
      <c r="A335" s="217"/>
      <c r="B335" s="220"/>
      <c r="C335" s="203"/>
      <c r="D335" s="204"/>
      <c r="E335" s="205"/>
      <c r="F335" s="205"/>
      <c r="G335" s="205"/>
      <c r="H335" s="206"/>
      <c r="I335" s="212"/>
      <c r="J335" s="206"/>
      <c r="K335" s="197" t="str" cm="1">
        <f t="array" ref="K335">IFERROR(
IF($J$2="ELA",
IF(VLOOKUP($A335, YES_Reading_ELA[], COLUMN(YES_Reading_ELA[Self-Identified as African Descent]), FALSE)="", "",
VLOOKUP($A335,YES_Reading_ELA[], COLUMN(YES_Reading_ELA[Self-Identified as African Descent]), FALSE)),
IF($J$2="FLA",
IF(VLOOKUP($A335, YES_Reading_FLA[], COLUMN(YES_Reading_FLA[Self-Identified as African Descent]),FALSE)="","",
VLOOKUP($A335,YES_Reading_FLA[],COLUMN(YES_Reading_FLA[Self-Identified as African Descent]),FALSE)),
IF($J$2="Combined",
IFERROR(
IF(VLOOKUP($A335, YES_Reading_ELA[], COLUMN(YES_Reading_ELA[Self-Identified as African Descent]), FALSE)="", "",
VLOOKUP($A335,YES_Reading_ELA[],COLUMN(YES_Reading_ELA[Self-Identified as African Descent]),FALSE)),
IF(VLOOKUP($A335, YES_Reading_FLA[], COLUMN(YES_Reading_FLA[Self-Identified as African Descent]),FALSE)="", "", VLOOKUP($A335,YES_Reading_FLA[],COLUMN(YES_Reading_FLA[Self-Identified as African Descent]),FALSE))),""))),"")</f>
        <v/>
      </c>
      <c r="L335" s="73" t="str" cm="1">
        <f t="array" ref="L335">IFERROR(
IF($J$2="ELA",
IF(VLOOKUP($A335, YES_Reading_ELA[], COLUMN(YES_Reading_ELA[Self-Identified as Indigenous]), FALSE)="", "",
VLOOKUP($A335,YES_Reading_ELA[], COLUMN(YES_Reading_ELA[Self-Identified as Indigenous]), FALSE)),
IF($J$2="FLA",
IF(VLOOKUP($A335, YES_Reading_FLA[], COLUMN(YES_Reading_FLA[Self-Identified as Indigenous]),FALSE)="","",
VLOOKUP($A335,YES_Reading_FLA[],COLUMN(YES_Reading_FLA[Self-Identified as Indigenous]),FALSE)),
IF($J$2="Combined",
IFERROR(
IF(VLOOKUP($A335, YES_Reading_ELA[], COLUMN(YES_Reading_ELA[Self-Identified as Indigenous]), FALSE)="", "",
VLOOKUP($A335,YES_Reading_ELA[],COLUMN(YES_Reading_ELA[Self-Identified as Indigenous]),FALSE)),
IF(VLOOKUP($A335, YES_Reading_FLA[], COLUMN(YES_Reading_FLA[Self-Identified as Indigenous]),FALSE)="", "", VLOOKUP($A335,YES_Reading_FLA[],COLUMN(YES_Reading_FLA[Self-Identified as Indigenous]),FALSE))),""))),"")</f>
        <v/>
      </c>
    </row>
    <row r="336" spans="1:12" ht="19.5" customHeight="1" x14ac:dyDescent="0.25">
      <c r="A336" s="217"/>
      <c r="B336" s="220"/>
      <c r="C336" s="203"/>
      <c r="D336" s="204"/>
      <c r="E336" s="205"/>
      <c r="F336" s="205"/>
      <c r="G336" s="205"/>
      <c r="H336" s="206"/>
      <c r="I336" s="212"/>
      <c r="J336" s="206"/>
      <c r="K336" s="197" t="str" cm="1">
        <f t="array" ref="K336">IFERROR(
IF($J$2="ELA",
IF(VLOOKUP($A336, YES_Reading_ELA[], COLUMN(YES_Reading_ELA[Self-Identified as African Descent]), FALSE)="", "",
VLOOKUP($A336,YES_Reading_ELA[], COLUMN(YES_Reading_ELA[Self-Identified as African Descent]), FALSE)),
IF($J$2="FLA",
IF(VLOOKUP($A336, YES_Reading_FLA[], COLUMN(YES_Reading_FLA[Self-Identified as African Descent]),FALSE)="","",
VLOOKUP($A336,YES_Reading_FLA[],COLUMN(YES_Reading_FLA[Self-Identified as African Descent]),FALSE)),
IF($J$2="Combined",
IFERROR(
IF(VLOOKUP($A336, YES_Reading_ELA[], COLUMN(YES_Reading_ELA[Self-Identified as African Descent]), FALSE)="", "",
VLOOKUP($A336,YES_Reading_ELA[],COLUMN(YES_Reading_ELA[Self-Identified as African Descent]),FALSE)),
IF(VLOOKUP($A336, YES_Reading_FLA[], COLUMN(YES_Reading_FLA[Self-Identified as African Descent]),FALSE)="", "", VLOOKUP($A336,YES_Reading_FLA[],COLUMN(YES_Reading_FLA[Self-Identified as African Descent]),FALSE))),""))),"")</f>
        <v/>
      </c>
      <c r="L336" s="73" t="str" cm="1">
        <f t="array" ref="L336">IFERROR(
IF($J$2="ELA",
IF(VLOOKUP($A336, YES_Reading_ELA[], COLUMN(YES_Reading_ELA[Self-Identified as Indigenous]), FALSE)="", "",
VLOOKUP($A336,YES_Reading_ELA[], COLUMN(YES_Reading_ELA[Self-Identified as Indigenous]), FALSE)),
IF($J$2="FLA",
IF(VLOOKUP($A336, YES_Reading_FLA[], COLUMN(YES_Reading_FLA[Self-Identified as Indigenous]),FALSE)="","",
VLOOKUP($A336,YES_Reading_FLA[],COLUMN(YES_Reading_FLA[Self-Identified as Indigenous]),FALSE)),
IF($J$2="Combined",
IFERROR(
IF(VLOOKUP($A336, YES_Reading_ELA[], COLUMN(YES_Reading_ELA[Self-Identified as Indigenous]), FALSE)="", "",
VLOOKUP($A336,YES_Reading_ELA[],COLUMN(YES_Reading_ELA[Self-Identified as Indigenous]),FALSE)),
IF(VLOOKUP($A336, YES_Reading_FLA[], COLUMN(YES_Reading_FLA[Self-Identified as Indigenous]),FALSE)="", "", VLOOKUP($A336,YES_Reading_FLA[],COLUMN(YES_Reading_FLA[Self-Identified as Indigenous]),FALSE))),""))),"")</f>
        <v/>
      </c>
    </row>
    <row r="337" spans="1:12" ht="19.5" customHeight="1" x14ac:dyDescent="0.25">
      <c r="A337" s="217"/>
      <c r="B337" s="220"/>
      <c r="C337" s="203"/>
      <c r="D337" s="204"/>
      <c r="E337" s="205"/>
      <c r="F337" s="205"/>
      <c r="G337" s="205"/>
      <c r="H337" s="206"/>
      <c r="I337" s="212"/>
      <c r="J337" s="206"/>
      <c r="K337" s="197" t="str" cm="1">
        <f t="array" ref="K337">IFERROR(
IF($J$2="ELA",
IF(VLOOKUP($A337, YES_Reading_ELA[], COLUMN(YES_Reading_ELA[Self-Identified as African Descent]), FALSE)="", "",
VLOOKUP($A337,YES_Reading_ELA[], COLUMN(YES_Reading_ELA[Self-Identified as African Descent]), FALSE)),
IF($J$2="FLA",
IF(VLOOKUP($A337, YES_Reading_FLA[], COLUMN(YES_Reading_FLA[Self-Identified as African Descent]),FALSE)="","",
VLOOKUP($A337,YES_Reading_FLA[],COLUMN(YES_Reading_FLA[Self-Identified as African Descent]),FALSE)),
IF($J$2="Combined",
IFERROR(
IF(VLOOKUP($A337, YES_Reading_ELA[], COLUMN(YES_Reading_ELA[Self-Identified as African Descent]), FALSE)="", "",
VLOOKUP($A337,YES_Reading_ELA[],COLUMN(YES_Reading_ELA[Self-Identified as African Descent]),FALSE)),
IF(VLOOKUP($A337, YES_Reading_FLA[], COLUMN(YES_Reading_FLA[Self-Identified as African Descent]),FALSE)="", "", VLOOKUP($A337,YES_Reading_FLA[],COLUMN(YES_Reading_FLA[Self-Identified as African Descent]),FALSE))),""))),"")</f>
        <v/>
      </c>
      <c r="L337" s="73" t="str" cm="1">
        <f t="array" ref="L337">IFERROR(
IF($J$2="ELA",
IF(VLOOKUP($A337, YES_Reading_ELA[], COLUMN(YES_Reading_ELA[Self-Identified as Indigenous]), FALSE)="", "",
VLOOKUP($A337,YES_Reading_ELA[], COLUMN(YES_Reading_ELA[Self-Identified as Indigenous]), FALSE)),
IF($J$2="FLA",
IF(VLOOKUP($A337, YES_Reading_FLA[], COLUMN(YES_Reading_FLA[Self-Identified as Indigenous]),FALSE)="","",
VLOOKUP($A337,YES_Reading_FLA[],COLUMN(YES_Reading_FLA[Self-Identified as Indigenous]),FALSE)),
IF($J$2="Combined",
IFERROR(
IF(VLOOKUP($A337, YES_Reading_ELA[], COLUMN(YES_Reading_ELA[Self-Identified as Indigenous]), FALSE)="", "",
VLOOKUP($A337,YES_Reading_ELA[],COLUMN(YES_Reading_ELA[Self-Identified as Indigenous]),FALSE)),
IF(VLOOKUP($A337, YES_Reading_FLA[], COLUMN(YES_Reading_FLA[Self-Identified as Indigenous]),FALSE)="", "", VLOOKUP($A337,YES_Reading_FLA[],COLUMN(YES_Reading_FLA[Self-Identified as Indigenous]),FALSE))),""))),"")</f>
        <v/>
      </c>
    </row>
    <row r="338" spans="1:12" ht="19.5" customHeight="1" x14ac:dyDescent="0.25">
      <c r="A338" s="217"/>
      <c r="B338" s="220"/>
      <c r="C338" s="203"/>
      <c r="D338" s="204"/>
      <c r="E338" s="205"/>
      <c r="F338" s="205"/>
      <c r="G338" s="205"/>
      <c r="H338" s="206"/>
      <c r="I338" s="212"/>
      <c r="J338" s="206"/>
      <c r="K338" s="197" t="str" cm="1">
        <f t="array" ref="K338">IFERROR(
IF($J$2="ELA",
IF(VLOOKUP($A338, YES_Reading_ELA[], COLUMN(YES_Reading_ELA[Self-Identified as African Descent]), FALSE)="", "",
VLOOKUP($A338,YES_Reading_ELA[], COLUMN(YES_Reading_ELA[Self-Identified as African Descent]), FALSE)),
IF($J$2="FLA",
IF(VLOOKUP($A338, YES_Reading_FLA[], COLUMN(YES_Reading_FLA[Self-Identified as African Descent]),FALSE)="","",
VLOOKUP($A338,YES_Reading_FLA[],COLUMN(YES_Reading_FLA[Self-Identified as African Descent]),FALSE)),
IF($J$2="Combined",
IFERROR(
IF(VLOOKUP($A338, YES_Reading_ELA[], COLUMN(YES_Reading_ELA[Self-Identified as African Descent]), FALSE)="", "",
VLOOKUP($A338,YES_Reading_ELA[],COLUMN(YES_Reading_ELA[Self-Identified as African Descent]),FALSE)),
IF(VLOOKUP($A338, YES_Reading_FLA[], COLUMN(YES_Reading_FLA[Self-Identified as African Descent]),FALSE)="", "", VLOOKUP($A338,YES_Reading_FLA[],COLUMN(YES_Reading_FLA[Self-Identified as African Descent]),FALSE))),""))),"")</f>
        <v/>
      </c>
      <c r="L338" s="73" t="str" cm="1">
        <f t="array" ref="L338">IFERROR(
IF($J$2="ELA",
IF(VLOOKUP($A338, YES_Reading_ELA[], COLUMN(YES_Reading_ELA[Self-Identified as Indigenous]), FALSE)="", "",
VLOOKUP($A338,YES_Reading_ELA[], COLUMN(YES_Reading_ELA[Self-Identified as Indigenous]), FALSE)),
IF($J$2="FLA",
IF(VLOOKUP($A338, YES_Reading_FLA[], COLUMN(YES_Reading_FLA[Self-Identified as Indigenous]),FALSE)="","",
VLOOKUP($A338,YES_Reading_FLA[],COLUMN(YES_Reading_FLA[Self-Identified as Indigenous]),FALSE)),
IF($J$2="Combined",
IFERROR(
IF(VLOOKUP($A338, YES_Reading_ELA[], COLUMN(YES_Reading_ELA[Self-Identified as Indigenous]), FALSE)="", "",
VLOOKUP($A338,YES_Reading_ELA[],COLUMN(YES_Reading_ELA[Self-Identified as Indigenous]),FALSE)),
IF(VLOOKUP($A338, YES_Reading_FLA[], COLUMN(YES_Reading_FLA[Self-Identified as Indigenous]),FALSE)="", "", VLOOKUP($A338,YES_Reading_FLA[],COLUMN(YES_Reading_FLA[Self-Identified as Indigenous]),FALSE))),""))),"")</f>
        <v/>
      </c>
    </row>
    <row r="339" spans="1:12" ht="19.5" customHeight="1" x14ac:dyDescent="0.25">
      <c r="A339" s="217"/>
      <c r="B339" s="220"/>
      <c r="C339" s="203"/>
      <c r="D339" s="204"/>
      <c r="E339" s="205"/>
      <c r="F339" s="205"/>
      <c r="G339" s="205"/>
      <c r="H339" s="206"/>
      <c r="I339" s="212"/>
      <c r="J339" s="206"/>
      <c r="K339" s="197" t="str" cm="1">
        <f t="array" ref="K339">IFERROR(
IF($J$2="ELA",
IF(VLOOKUP($A339, YES_Reading_ELA[], COLUMN(YES_Reading_ELA[Self-Identified as African Descent]), FALSE)="", "",
VLOOKUP($A339,YES_Reading_ELA[], COLUMN(YES_Reading_ELA[Self-Identified as African Descent]), FALSE)),
IF($J$2="FLA",
IF(VLOOKUP($A339, YES_Reading_FLA[], COLUMN(YES_Reading_FLA[Self-Identified as African Descent]),FALSE)="","",
VLOOKUP($A339,YES_Reading_FLA[],COLUMN(YES_Reading_FLA[Self-Identified as African Descent]),FALSE)),
IF($J$2="Combined",
IFERROR(
IF(VLOOKUP($A339, YES_Reading_ELA[], COLUMN(YES_Reading_ELA[Self-Identified as African Descent]), FALSE)="", "",
VLOOKUP($A339,YES_Reading_ELA[],COLUMN(YES_Reading_ELA[Self-Identified as African Descent]),FALSE)),
IF(VLOOKUP($A339, YES_Reading_FLA[], COLUMN(YES_Reading_FLA[Self-Identified as African Descent]),FALSE)="", "", VLOOKUP($A339,YES_Reading_FLA[],COLUMN(YES_Reading_FLA[Self-Identified as African Descent]),FALSE))),""))),"")</f>
        <v/>
      </c>
      <c r="L339" s="73" t="str" cm="1">
        <f t="array" ref="L339">IFERROR(
IF($J$2="ELA",
IF(VLOOKUP($A339, YES_Reading_ELA[], COLUMN(YES_Reading_ELA[Self-Identified as Indigenous]), FALSE)="", "",
VLOOKUP($A339,YES_Reading_ELA[], COLUMN(YES_Reading_ELA[Self-Identified as Indigenous]), FALSE)),
IF($J$2="FLA",
IF(VLOOKUP($A339, YES_Reading_FLA[], COLUMN(YES_Reading_FLA[Self-Identified as Indigenous]),FALSE)="","",
VLOOKUP($A339,YES_Reading_FLA[],COLUMN(YES_Reading_FLA[Self-Identified as Indigenous]),FALSE)),
IF($J$2="Combined",
IFERROR(
IF(VLOOKUP($A339, YES_Reading_ELA[], COLUMN(YES_Reading_ELA[Self-Identified as Indigenous]), FALSE)="", "",
VLOOKUP($A339,YES_Reading_ELA[],COLUMN(YES_Reading_ELA[Self-Identified as Indigenous]),FALSE)),
IF(VLOOKUP($A339, YES_Reading_FLA[], COLUMN(YES_Reading_FLA[Self-Identified as Indigenous]),FALSE)="", "", VLOOKUP($A339,YES_Reading_FLA[],COLUMN(YES_Reading_FLA[Self-Identified as Indigenous]),FALSE))),""))),"")</f>
        <v/>
      </c>
    </row>
    <row r="340" spans="1:12" ht="19.5" customHeight="1" x14ac:dyDescent="0.25">
      <c r="A340" s="217"/>
      <c r="B340" s="220"/>
      <c r="C340" s="203"/>
      <c r="D340" s="204"/>
      <c r="E340" s="205"/>
      <c r="F340" s="205"/>
      <c r="G340" s="205"/>
      <c r="H340" s="206"/>
      <c r="I340" s="212"/>
      <c r="J340" s="206"/>
      <c r="K340" s="197" t="str" cm="1">
        <f t="array" ref="K340">IFERROR(
IF($J$2="ELA",
IF(VLOOKUP($A340, YES_Reading_ELA[], COLUMN(YES_Reading_ELA[Self-Identified as African Descent]), FALSE)="", "",
VLOOKUP($A340,YES_Reading_ELA[], COLUMN(YES_Reading_ELA[Self-Identified as African Descent]), FALSE)),
IF($J$2="FLA",
IF(VLOOKUP($A340, YES_Reading_FLA[], COLUMN(YES_Reading_FLA[Self-Identified as African Descent]),FALSE)="","",
VLOOKUP($A340,YES_Reading_FLA[],COLUMN(YES_Reading_FLA[Self-Identified as African Descent]),FALSE)),
IF($J$2="Combined",
IFERROR(
IF(VLOOKUP($A340, YES_Reading_ELA[], COLUMN(YES_Reading_ELA[Self-Identified as African Descent]), FALSE)="", "",
VLOOKUP($A340,YES_Reading_ELA[],COLUMN(YES_Reading_ELA[Self-Identified as African Descent]),FALSE)),
IF(VLOOKUP($A340, YES_Reading_FLA[], COLUMN(YES_Reading_FLA[Self-Identified as African Descent]),FALSE)="", "", VLOOKUP($A340,YES_Reading_FLA[],COLUMN(YES_Reading_FLA[Self-Identified as African Descent]),FALSE))),""))),"")</f>
        <v/>
      </c>
      <c r="L340" s="73" t="str" cm="1">
        <f t="array" ref="L340">IFERROR(
IF($J$2="ELA",
IF(VLOOKUP($A340, YES_Reading_ELA[], COLUMN(YES_Reading_ELA[Self-Identified as Indigenous]), FALSE)="", "",
VLOOKUP($A340,YES_Reading_ELA[], COLUMN(YES_Reading_ELA[Self-Identified as Indigenous]), FALSE)),
IF($J$2="FLA",
IF(VLOOKUP($A340, YES_Reading_FLA[], COLUMN(YES_Reading_FLA[Self-Identified as Indigenous]),FALSE)="","",
VLOOKUP($A340,YES_Reading_FLA[],COLUMN(YES_Reading_FLA[Self-Identified as Indigenous]),FALSE)),
IF($J$2="Combined",
IFERROR(
IF(VLOOKUP($A340, YES_Reading_ELA[], COLUMN(YES_Reading_ELA[Self-Identified as Indigenous]), FALSE)="", "",
VLOOKUP($A340,YES_Reading_ELA[],COLUMN(YES_Reading_ELA[Self-Identified as Indigenous]),FALSE)),
IF(VLOOKUP($A340, YES_Reading_FLA[], COLUMN(YES_Reading_FLA[Self-Identified as Indigenous]),FALSE)="", "", VLOOKUP($A340,YES_Reading_FLA[],COLUMN(YES_Reading_FLA[Self-Identified as Indigenous]),FALSE))),""))),"")</f>
        <v/>
      </c>
    </row>
    <row r="341" spans="1:12" ht="19.5" customHeight="1" x14ac:dyDescent="0.25">
      <c r="A341" s="217"/>
      <c r="B341" s="220"/>
      <c r="C341" s="203"/>
      <c r="D341" s="204"/>
      <c r="E341" s="205"/>
      <c r="F341" s="205"/>
      <c r="G341" s="205"/>
      <c r="H341" s="206"/>
      <c r="I341" s="212"/>
      <c r="J341" s="206"/>
      <c r="K341" s="197" t="str" cm="1">
        <f t="array" ref="K341">IFERROR(
IF($J$2="ELA",
IF(VLOOKUP($A341, YES_Reading_ELA[], COLUMN(YES_Reading_ELA[Self-Identified as African Descent]), FALSE)="", "",
VLOOKUP($A341,YES_Reading_ELA[], COLUMN(YES_Reading_ELA[Self-Identified as African Descent]), FALSE)),
IF($J$2="FLA",
IF(VLOOKUP($A341, YES_Reading_FLA[], COLUMN(YES_Reading_FLA[Self-Identified as African Descent]),FALSE)="","",
VLOOKUP($A341,YES_Reading_FLA[],COLUMN(YES_Reading_FLA[Self-Identified as African Descent]),FALSE)),
IF($J$2="Combined",
IFERROR(
IF(VLOOKUP($A341, YES_Reading_ELA[], COLUMN(YES_Reading_ELA[Self-Identified as African Descent]), FALSE)="", "",
VLOOKUP($A341,YES_Reading_ELA[],COLUMN(YES_Reading_ELA[Self-Identified as African Descent]),FALSE)),
IF(VLOOKUP($A341, YES_Reading_FLA[], COLUMN(YES_Reading_FLA[Self-Identified as African Descent]),FALSE)="", "", VLOOKUP($A341,YES_Reading_FLA[],COLUMN(YES_Reading_FLA[Self-Identified as African Descent]),FALSE))),""))),"")</f>
        <v/>
      </c>
      <c r="L341" s="73" t="str" cm="1">
        <f t="array" ref="L341">IFERROR(
IF($J$2="ELA",
IF(VLOOKUP($A341, YES_Reading_ELA[], COLUMN(YES_Reading_ELA[Self-Identified as Indigenous]), FALSE)="", "",
VLOOKUP($A341,YES_Reading_ELA[], COLUMN(YES_Reading_ELA[Self-Identified as Indigenous]), FALSE)),
IF($J$2="FLA",
IF(VLOOKUP($A341, YES_Reading_FLA[], COLUMN(YES_Reading_FLA[Self-Identified as Indigenous]),FALSE)="","",
VLOOKUP($A341,YES_Reading_FLA[],COLUMN(YES_Reading_FLA[Self-Identified as Indigenous]),FALSE)),
IF($J$2="Combined",
IFERROR(
IF(VLOOKUP($A341, YES_Reading_ELA[], COLUMN(YES_Reading_ELA[Self-Identified as Indigenous]), FALSE)="", "",
VLOOKUP($A341,YES_Reading_ELA[],COLUMN(YES_Reading_ELA[Self-Identified as Indigenous]),FALSE)),
IF(VLOOKUP($A341, YES_Reading_FLA[], COLUMN(YES_Reading_FLA[Self-Identified as Indigenous]),FALSE)="", "", VLOOKUP($A341,YES_Reading_FLA[],COLUMN(YES_Reading_FLA[Self-Identified as Indigenous]),FALSE))),""))),"")</f>
        <v/>
      </c>
    </row>
    <row r="342" spans="1:12" ht="19.5" customHeight="1" x14ac:dyDescent="0.25">
      <c r="A342" s="217"/>
      <c r="B342" s="220"/>
      <c r="C342" s="203"/>
      <c r="D342" s="204"/>
      <c r="E342" s="205"/>
      <c r="F342" s="205"/>
      <c r="G342" s="205"/>
      <c r="H342" s="206"/>
      <c r="I342" s="212"/>
      <c r="J342" s="206"/>
      <c r="K342" s="197" t="str" cm="1">
        <f t="array" ref="K342">IFERROR(
IF($J$2="ELA",
IF(VLOOKUP($A342, YES_Reading_ELA[], COLUMN(YES_Reading_ELA[Self-Identified as African Descent]), FALSE)="", "",
VLOOKUP($A342,YES_Reading_ELA[], COLUMN(YES_Reading_ELA[Self-Identified as African Descent]), FALSE)),
IF($J$2="FLA",
IF(VLOOKUP($A342, YES_Reading_FLA[], COLUMN(YES_Reading_FLA[Self-Identified as African Descent]),FALSE)="","",
VLOOKUP($A342,YES_Reading_FLA[],COLUMN(YES_Reading_FLA[Self-Identified as African Descent]),FALSE)),
IF($J$2="Combined",
IFERROR(
IF(VLOOKUP($A342, YES_Reading_ELA[], COLUMN(YES_Reading_ELA[Self-Identified as African Descent]), FALSE)="", "",
VLOOKUP($A342,YES_Reading_ELA[],COLUMN(YES_Reading_ELA[Self-Identified as African Descent]),FALSE)),
IF(VLOOKUP($A342, YES_Reading_FLA[], COLUMN(YES_Reading_FLA[Self-Identified as African Descent]),FALSE)="", "", VLOOKUP($A342,YES_Reading_FLA[],COLUMN(YES_Reading_FLA[Self-Identified as African Descent]),FALSE))),""))),"")</f>
        <v/>
      </c>
      <c r="L342" s="73" t="str" cm="1">
        <f t="array" ref="L342">IFERROR(
IF($J$2="ELA",
IF(VLOOKUP($A342, YES_Reading_ELA[], COLUMN(YES_Reading_ELA[Self-Identified as Indigenous]), FALSE)="", "",
VLOOKUP($A342,YES_Reading_ELA[], COLUMN(YES_Reading_ELA[Self-Identified as Indigenous]), FALSE)),
IF($J$2="FLA",
IF(VLOOKUP($A342, YES_Reading_FLA[], COLUMN(YES_Reading_FLA[Self-Identified as Indigenous]),FALSE)="","",
VLOOKUP($A342,YES_Reading_FLA[],COLUMN(YES_Reading_FLA[Self-Identified as Indigenous]),FALSE)),
IF($J$2="Combined",
IFERROR(
IF(VLOOKUP($A342, YES_Reading_ELA[], COLUMN(YES_Reading_ELA[Self-Identified as Indigenous]), FALSE)="", "",
VLOOKUP($A342,YES_Reading_ELA[],COLUMN(YES_Reading_ELA[Self-Identified as Indigenous]),FALSE)),
IF(VLOOKUP($A342, YES_Reading_FLA[], COLUMN(YES_Reading_FLA[Self-Identified as Indigenous]),FALSE)="", "", VLOOKUP($A342,YES_Reading_FLA[],COLUMN(YES_Reading_FLA[Self-Identified as Indigenous]),FALSE))),""))),"")</f>
        <v/>
      </c>
    </row>
    <row r="343" spans="1:12" ht="19.5" customHeight="1" x14ac:dyDescent="0.25">
      <c r="A343" s="217"/>
      <c r="B343" s="220"/>
      <c r="C343" s="203"/>
      <c r="D343" s="204"/>
      <c r="E343" s="205"/>
      <c r="F343" s="205"/>
      <c r="G343" s="205"/>
      <c r="H343" s="206"/>
      <c r="I343" s="212"/>
      <c r="J343" s="206"/>
      <c r="K343" s="197" t="str" cm="1">
        <f t="array" ref="K343">IFERROR(
IF($J$2="ELA",
IF(VLOOKUP($A343, YES_Reading_ELA[], COLUMN(YES_Reading_ELA[Self-Identified as African Descent]), FALSE)="", "",
VLOOKUP($A343,YES_Reading_ELA[], COLUMN(YES_Reading_ELA[Self-Identified as African Descent]), FALSE)),
IF($J$2="FLA",
IF(VLOOKUP($A343, YES_Reading_FLA[], COLUMN(YES_Reading_FLA[Self-Identified as African Descent]),FALSE)="","",
VLOOKUP($A343,YES_Reading_FLA[],COLUMN(YES_Reading_FLA[Self-Identified as African Descent]),FALSE)),
IF($J$2="Combined",
IFERROR(
IF(VLOOKUP($A343, YES_Reading_ELA[], COLUMN(YES_Reading_ELA[Self-Identified as African Descent]), FALSE)="", "",
VLOOKUP($A343,YES_Reading_ELA[],COLUMN(YES_Reading_ELA[Self-Identified as African Descent]),FALSE)),
IF(VLOOKUP($A343, YES_Reading_FLA[], COLUMN(YES_Reading_FLA[Self-Identified as African Descent]),FALSE)="", "", VLOOKUP($A343,YES_Reading_FLA[],COLUMN(YES_Reading_FLA[Self-Identified as African Descent]),FALSE))),""))),"")</f>
        <v/>
      </c>
      <c r="L343" s="73" t="str" cm="1">
        <f t="array" ref="L343">IFERROR(
IF($J$2="ELA",
IF(VLOOKUP($A343, YES_Reading_ELA[], COLUMN(YES_Reading_ELA[Self-Identified as Indigenous]), FALSE)="", "",
VLOOKUP($A343,YES_Reading_ELA[], COLUMN(YES_Reading_ELA[Self-Identified as Indigenous]), FALSE)),
IF($J$2="FLA",
IF(VLOOKUP($A343, YES_Reading_FLA[], COLUMN(YES_Reading_FLA[Self-Identified as Indigenous]),FALSE)="","",
VLOOKUP($A343,YES_Reading_FLA[],COLUMN(YES_Reading_FLA[Self-Identified as Indigenous]),FALSE)),
IF($J$2="Combined",
IFERROR(
IF(VLOOKUP($A343, YES_Reading_ELA[], COLUMN(YES_Reading_ELA[Self-Identified as Indigenous]), FALSE)="", "",
VLOOKUP($A343,YES_Reading_ELA[],COLUMN(YES_Reading_ELA[Self-Identified as Indigenous]),FALSE)),
IF(VLOOKUP($A343, YES_Reading_FLA[], COLUMN(YES_Reading_FLA[Self-Identified as Indigenous]),FALSE)="", "", VLOOKUP($A343,YES_Reading_FLA[],COLUMN(YES_Reading_FLA[Self-Identified as Indigenous]),FALSE))),""))),"")</f>
        <v/>
      </c>
    </row>
    <row r="344" spans="1:12" ht="19.5" customHeight="1" x14ac:dyDescent="0.25">
      <c r="A344" s="217"/>
      <c r="B344" s="220"/>
      <c r="C344" s="203"/>
      <c r="D344" s="204"/>
      <c r="E344" s="205"/>
      <c r="F344" s="205"/>
      <c r="G344" s="205"/>
      <c r="H344" s="206"/>
      <c r="I344" s="212"/>
      <c r="J344" s="206"/>
      <c r="K344" s="197" t="str" cm="1">
        <f t="array" ref="K344">IFERROR(
IF($J$2="ELA",
IF(VLOOKUP($A344, YES_Reading_ELA[], COLUMN(YES_Reading_ELA[Self-Identified as African Descent]), FALSE)="", "",
VLOOKUP($A344,YES_Reading_ELA[], COLUMN(YES_Reading_ELA[Self-Identified as African Descent]), FALSE)),
IF($J$2="FLA",
IF(VLOOKUP($A344, YES_Reading_FLA[], COLUMN(YES_Reading_FLA[Self-Identified as African Descent]),FALSE)="","",
VLOOKUP($A344,YES_Reading_FLA[],COLUMN(YES_Reading_FLA[Self-Identified as African Descent]),FALSE)),
IF($J$2="Combined",
IFERROR(
IF(VLOOKUP($A344, YES_Reading_ELA[], COLUMN(YES_Reading_ELA[Self-Identified as African Descent]), FALSE)="", "",
VLOOKUP($A344,YES_Reading_ELA[],COLUMN(YES_Reading_ELA[Self-Identified as African Descent]),FALSE)),
IF(VLOOKUP($A344, YES_Reading_FLA[], COLUMN(YES_Reading_FLA[Self-Identified as African Descent]),FALSE)="", "", VLOOKUP($A344,YES_Reading_FLA[],COLUMN(YES_Reading_FLA[Self-Identified as African Descent]),FALSE))),""))),"")</f>
        <v/>
      </c>
      <c r="L344" s="73" t="str" cm="1">
        <f t="array" ref="L344">IFERROR(
IF($J$2="ELA",
IF(VLOOKUP($A344, YES_Reading_ELA[], COLUMN(YES_Reading_ELA[Self-Identified as Indigenous]), FALSE)="", "",
VLOOKUP($A344,YES_Reading_ELA[], COLUMN(YES_Reading_ELA[Self-Identified as Indigenous]), FALSE)),
IF($J$2="FLA",
IF(VLOOKUP($A344, YES_Reading_FLA[], COLUMN(YES_Reading_FLA[Self-Identified as Indigenous]),FALSE)="","",
VLOOKUP($A344,YES_Reading_FLA[],COLUMN(YES_Reading_FLA[Self-Identified as Indigenous]),FALSE)),
IF($J$2="Combined",
IFERROR(
IF(VLOOKUP($A344, YES_Reading_ELA[], COLUMN(YES_Reading_ELA[Self-Identified as Indigenous]), FALSE)="", "",
VLOOKUP($A344,YES_Reading_ELA[],COLUMN(YES_Reading_ELA[Self-Identified as Indigenous]),FALSE)),
IF(VLOOKUP($A344, YES_Reading_FLA[], COLUMN(YES_Reading_FLA[Self-Identified as Indigenous]),FALSE)="", "", VLOOKUP($A344,YES_Reading_FLA[],COLUMN(YES_Reading_FLA[Self-Identified as Indigenous]),FALSE))),""))),"")</f>
        <v/>
      </c>
    </row>
    <row r="345" spans="1:12" ht="19.5" customHeight="1" x14ac:dyDescent="0.25">
      <c r="A345" s="217"/>
      <c r="B345" s="220"/>
      <c r="C345" s="203"/>
      <c r="D345" s="204"/>
      <c r="E345" s="205"/>
      <c r="F345" s="205"/>
      <c r="G345" s="205"/>
      <c r="H345" s="206"/>
      <c r="I345" s="212"/>
      <c r="J345" s="206"/>
      <c r="K345" s="197" t="str" cm="1">
        <f t="array" ref="K345">IFERROR(
IF($J$2="ELA",
IF(VLOOKUP($A345, YES_Reading_ELA[], COLUMN(YES_Reading_ELA[Self-Identified as African Descent]), FALSE)="", "",
VLOOKUP($A345,YES_Reading_ELA[], COLUMN(YES_Reading_ELA[Self-Identified as African Descent]), FALSE)),
IF($J$2="FLA",
IF(VLOOKUP($A345, YES_Reading_FLA[], COLUMN(YES_Reading_FLA[Self-Identified as African Descent]),FALSE)="","",
VLOOKUP($A345,YES_Reading_FLA[],COLUMN(YES_Reading_FLA[Self-Identified as African Descent]),FALSE)),
IF($J$2="Combined",
IFERROR(
IF(VLOOKUP($A345, YES_Reading_ELA[], COLUMN(YES_Reading_ELA[Self-Identified as African Descent]), FALSE)="", "",
VLOOKUP($A345,YES_Reading_ELA[],COLUMN(YES_Reading_ELA[Self-Identified as African Descent]),FALSE)),
IF(VLOOKUP($A345, YES_Reading_FLA[], COLUMN(YES_Reading_FLA[Self-Identified as African Descent]),FALSE)="", "", VLOOKUP($A345,YES_Reading_FLA[],COLUMN(YES_Reading_FLA[Self-Identified as African Descent]),FALSE))),""))),"")</f>
        <v/>
      </c>
      <c r="L345" s="73" t="str" cm="1">
        <f t="array" ref="L345">IFERROR(
IF($J$2="ELA",
IF(VLOOKUP($A345, YES_Reading_ELA[], COLUMN(YES_Reading_ELA[Self-Identified as Indigenous]), FALSE)="", "",
VLOOKUP($A345,YES_Reading_ELA[], COLUMN(YES_Reading_ELA[Self-Identified as Indigenous]), FALSE)),
IF($J$2="FLA",
IF(VLOOKUP($A345, YES_Reading_FLA[], COLUMN(YES_Reading_FLA[Self-Identified as Indigenous]),FALSE)="","",
VLOOKUP($A345,YES_Reading_FLA[],COLUMN(YES_Reading_FLA[Self-Identified as Indigenous]),FALSE)),
IF($J$2="Combined",
IFERROR(
IF(VLOOKUP($A345, YES_Reading_ELA[], COLUMN(YES_Reading_ELA[Self-Identified as Indigenous]), FALSE)="", "",
VLOOKUP($A345,YES_Reading_ELA[],COLUMN(YES_Reading_ELA[Self-Identified as Indigenous]),FALSE)),
IF(VLOOKUP($A345, YES_Reading_FLA[], COLUMN(YES_Reading_FLA[Self-Identified as Indigenous]),FALSE)="", "", VLOOKUP($A345,YES_Reading_FLA[],COLUMN(YES_Reading_FLA[Self-Identified as Indigenous]),FALSE))),""))),"")</f>
        <v/>
      </c>
    </row>
    <row r="346" spans="1:12" ht="19.5" customHeight="1" thickBot="1" x14ac:dyDescent="0.3">
      <c r="A346" s="218"/>
      <c r="B346" s="221"/>
      <c r="C346" s="208"/>
      <c r="D346" s="209"/>
      <c r="E346" s="210"/>
      <c r="F346" s="210"/>
      <c r="G346" s="210"/>
      <c r="H346" s="211"/>
      <c r="I346" s="213"/>
      <c r="J346" s="211"/>
      <c r="K346" s="198" t="str" cm="1">
        <f t="array" ref="K346">IFERROR(
IF($J$2="ELA",
IF(VLOOKUP($A346, YES_Reading_ELA[], COLUMN(YES_Reading_ELA[Self-Identified as African Descent]), FALSE)="", "",
VLOOKUP($A346,YES_Reading_ELA[], COLUMN(YES_Reading_ELA[Self-Identified as African Descent]), FALSE)),
IF($J$2="FLA",
IF(VLOOKUP($A346, YES_Reading_FLA[], COLUMN(YES_Reading_FLA[Self-Identified as African Descent]),FALSE)="","",
VLOOKUP($A346,YES_Reading_FLA[],COLUMN(YES_Reading_FLA[Self-Identified as African Descent]),FALSE)),
IF($J$2="Combined",
IFERROR(
IF(VLOOKUP($A346, YES_Reading_ELA[], COLUMN(YES_Reading_ELA[Self-Identified as African Descent]), FALSE)="", "",
VLOOKUP($A346,YES_Reading_ELA[],COLUMN(YES_Reading_ELA[Self-Identified as African Descent]),FALSE)),
IF(VLOOKUP($A346, YES_Reading_FLA[], COLUMN(YES_Reading_FLA[Self-Identified as African Descent]),FALSE)="", "", VLOOKUP($A346,YES_Reading_FLA[],COLUMN(YES_Reading_FLA[Self-Identified as African Descent]),FALSE))),""))),"")</f>
        <v/>
      </c>
      <c r="L346" s="74" t="str" cm="1">
        <f t="array" ref="L346">IFERROR(
IF($J$2="ELA",
IF(VLOOKUP($A346, YES_Reading_ELA[], COLUMN(YES_Reading_ELA[Self-Identified as Indigenous]), FALSE)="", "",
VLOOKUP($A346,YES_Reading_ELA[], COLUMN(YES_Reading_ELA[Self-Identified as Indigenous]), FALSE)),
IF($J$2="FLA",
IF(VLOOKUP($A346, YES_Reading_FLA[], COLUMN(YES_Reading_FLA[Self-Identified as Indigenous]),FALSE)="","",
VLOOKUP($A346,YES_Reading_FLA[],COLUMN(YES_Reading_FLA[Self-Identified as Indigenous]),FALSE)),
IF($J$2="Combined",
IFERROR(
IF(VLOOKUP($A346, YES_Reading_ELA[], COLUMN(YES_Reading_ELA[Self-Identified as Indigenous]), FALSE)="", "",
VLOOKUP($A346,YES_Reading_ELA[],COLUMN(YES_Reading_ELA[Self-Identified as Indigenous]),FALSE)),
IF(VLOOKUP($A346, YES_Reading_FLA[], COLUMN(YES_Reading_FLA[Self-Identified as Indigenous]),FALSE)="", "", VLOOKUP($A346,YES_Reading_FLA[],COLUMN(YES_Reading_FLA[Self-Identified as Indigenous]),FALSE))),""))),"")</f>
        <v/>
      </c>
    </row>
    <row r="347" spans="1:12" x14ac:dyDescent="0.25">
      <c r="A347" s="214"/>
      <c r="B347" s="214" t="s">
        <v>241</v>
      </c>
      <c r="C347" s="214"/>
      <c r="D347" s="215" t="str" cm="1">
        <f t="array" ref="D347">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Set")))=$D$1)),1,1,FALSE),FALSE,FALSE),12),"")</f>
        <v/>
      </c>
      <c r="E347" s="215"/>
      <c r="F347" s="215"/>
      <c r="G347" s="215"/>
      <c r="H347" s="355" t="s">
        <v>242</v>
      </c>
      <c r="I347" s="356"/>
      <c r="J347" s="215"/>
    </row>
    <row r="348" spans="1:12" x14ac:dyDescent="0.25">
      <c r="A348" s="214"/>
      <c r="B348" s="214" t="str">
        <f>"Date: "&amp;$D$3</f>
        <v xml:space="preserve">Date: </v>
      </c>
      <c r="C348" s="214"/>
      <c r="D348" s="215"/>
      <c r="E348" s="215"/>
      <c r="F348" s="215"/>
      <c r="G348" s="215"/>
      <c r="H348" s="357" t="s">
        <v>243</v>
      </c>
      <c r="I348" s="358"/>
      <c r="J348" s="215"/>
    </row>
    <row r="349" spans="1:12" ht="15.75" thickBot="1" x14ac:dyDescent="0.3">
      <c r="A349" s="215"/>
      <c r="B349" s="215"/>
      <c r="C349" s="215"/>
      <c r="D349" s="215"/>
      <c r="E349" s="215"/>
      <c r="F349" s="215"/>
      <c r="G349" s="215"/>
      <c r="H349" s="353" t="s">
        <v>244</v>
      </c>
      <c r="I349" s="354"/>
      <c r="J349" s="215"/>
    </row>
    <row r="350" spans="1:12" ht="85.5" customHeight="1" thickBot="1" x14ac:dyDescent="0.3">
      <c r="A350" s="192" t="s">
        <v>44</v>
      </c>
      <c r="B350" s="187" t="s">
        <v>245</v>
      </c>
      <c r="C350" s="188" t="s">
        <v>246</v>
      </c>
      <c r="D350" s="188" t="s">
        <v>247</v>
      </c>
      <c r="E350" s="188" t="s">
        <v>248</v>
      </c>
      <c r="F350" s="188" t="s">
        <v>249</v>
      </c>
      <c r="G350" s="188" t="s">
        <v>250</v>
      </c>
      <c r="H350" s="189" t="s">
        <v>251</v>
      </c>
      <c r="I350" s="190" t="s">
        <v>252</v>
      </c>
      <c r="J350" s="191" t="s">
        <v>253</v>
      </c>
      <c r="K350" s="200" t="s">
        <v>256</v>
      </c>
      <c r="L350" s="201" t="s">
        <v>257</v>
      </c>
    </row>
    <row r="351" spans="1:12" ht="19.5" customHeight="1" x14ac:dyDescent="0.25">
      <c r="A351" s="216" t="e" cm="1" vm="1">
        <f t="array" aca="1" ref="A351" ca="1">_xlfn._xlws.FILTER(_xlfn.VSTACK(YES_Reading_ELA[Student Number],YES_Reading_FLA[Student Number]),_xlfn.VSTACK(YES_Reading_ELA[HomeRoom],YES_Reading_FLA[Homeroom])=D347)</f>
        <v>#VALUE!</v>
      </c>
      <c r="B351" s="219"/>
      <c r="C351" s="203"/>
      <c r="D351" s="204"/>
      <c r="E351" s="205"/>
      <c r="F351" s="205"/>
      <c r="G351" s="205"/>
      <c r="H351" s="206"/>
      <c r="I351" s="227"/>
      <c r="J351" s="206"/>
      <c r="K351" s="24" t="str" cm="1">
        <f t="array" aca="1" ref="K351" ca="1">IFERROR(
IF($J$2="ELA",
IF(VLOOKUP($A351, YES_Reading_ELA[], COLUMN(YES_Reading_ELA[Self-Identified as African Descent]), FALSE)="", "",
VLOOKUP($A351,YES_Reading_ELA[], COLUMN(YES_Reading_ELA[Self-Identified as African Descent]), FALSE)),
IF($J$2="FLA",
IF(VLOOKUP($A351, YES_Reading_FLA[], COLUMN(YES_Reading_FLA[Self-Identified as African Descent]),FALSE)="","",
VLOOKUP($A351,YES_Reading_FLA[],COLUMN(YES_Reading_FLA[Self-Identified as African Descent]),FALSE)),
IF($J$2="Combined",
IFERROR(
IF(VLOOKUP($A351, YES_Reading_ELA[], COLUMN(YES_Reading_ELA[Self-Identified as African Descent]), FALSE)="", "",
VLOOKUP($A351,YES_Reading_ELA[],COLUMN(YES_Reading_ELA[Self-Identified as African Descent]),FALSE)),
IF(VLOOKUP($A351, YES_Reading_FLA[], COLUMN(YES_Reading_FLA[Self-Identified as African Descent]),FALSE)="", "", VLOOKUP($A351,YES_Reading_FLA[],COLUMN(YES_Reading_FLA[Self-Identified as African Descent]),FALSE))),""))),"")</f>
        <v/>
      </c>
      <c r="L351" s="199" t="str" cm="1">
        <f t="array" aca="1" ref="L351" ca="1">IFERROR(
IF($J$2="ELA",
IF(VLOOKUP($A351, YES_Reading_ELA[], COLUMN(YES_Reading_ELA[Self-Identified as Indigenous]), FALSE)="", "",
VLOOKUP($A351,YES_Reading_ELA[], COLUMN(YES_Reading_ELA[Self-Identified as Indigenous]), FALSE)),
IF($J$2="FLA",
IF(VLOOKUP($A351, YES_Reading_FLA[], COLUMN(YES_Reading_FLA[Self-Identified as Indigenous]),FALSE)="","",
VLOOKUP($A351,YES_Reading_FLA[],COLUMN(YES_Reading_FLA[Self-Identified as Indigenous]),FALSE)),
IF($J$2="Combined",
IFERROR(
IF(VLOOKUP($A351, YES_Reading_ELA[], COLUMN(YES_Reading_ELA[Self-Identified as Indigenous]), FALSE)="", "",
VLOOKUP($A351,YES_Reading_ELA[],COLUMN(YES_Reading_ELA[Self-Identified as Indigenous]),FALSE)),
IF(VLOOKUP($A351, YES_Reading_FLA[], COLUMN(YES_Reading_FLA[Self-Identified as Indigenous]),FALSE)="", "", VLOOKUP($A351,YES_Reading_FLA[],COLUMN(YES_Reading_FLA[Self-Identified as Indigenous]),FALSE))),""))),"")</f>
        <v/>
      </c>
    </row>
    <row r="352" spans="1:12" ht="19.5" customHeight="1" x14ac:dyDescent="0.25">
      <c r="A352" s="217"/>
      <c r="B352" s="220"/>
      <c r="C352" s="203"/>
      <c r="D352" s="204"/>
      <c r="E352" s="205"/>
      <c r="F352" s="205"/>
      <c r="G352" s="205"/>
      <c r="H352" s="206"/>
      <c r="I352" s="212"/>
      <c r="J352" s="206"/>
      <c r="K352" s="197" t="str" cm="1">
        <f t="array" ref="K352">IFERROR(
IF($J$2="ELA",
IF(VLOOKUP($A352, YES_Reading_ELA[], COLUMN(YES_Reading_ELA[Self-Identified as African Descent]), FALSE)="", "",
VLOOKUP($A352,YES_Reading_ELA[], COLUMN(YES_Reading_ELA[Self-Identified as African Descent]), FALSE)),
IF($J$2="FLA",
IF(VLOOKUP($A352, YES_Reading_FLA[], COLUMN(YES_Reading_FLA[Self-Identified as African Descent]),FALSE)="","",
VLOOKUP($A352,YES_Reading_FLA[],COLUMN(YES_Reading_FLA[Self-Identified as African Descent]),FALSE)),
IF($J$2="Combined",
IFERROR(
IF(VLOOKUP($A352, YES_Reading_ELA[], COLUMN(YES_Reading_ELA[Self-Identified as African Descent]), FALSE)="", "",
VLOOKUP($A352,YES_Reading_ELA[],COLUMN(YES_Reading_ELA[Self-Identified as African Descent]),FALSE)),
IF(VLOOKUP($A352, YES_Reading_FLA[], COLUMN(YES_Reading_FLA[Self-Identified as African Descent]),FALSE)="", "", VLOOKUP($A352,YES_Reading_FLA[],COLUMN(YES_Reading_FLA[Self-Identified as African Descent]),FALSE))),""))),"")</f>
        <v/>
      </c>
      <c r="L352" s="73" t="str" cm="1">
        <f t="array" ref="L352">IFERROR(
IF($J$2="ELA",
IF(VLOOKUP($A352, YES_Reading_ELA[], COLUMN(YES_Reading_ELA[Self-Identified as Indigenous]), FALSE)="", "",
VLOOKUP($A352,YES_Reading_ELA[], COLUMN(YES_Reading_ELA[Self-Identified as Indigenous]), FALSE)),
IF($J$2="FLA",
IF(VLOOKUP($A352, YES_Reading_FLA[], COLUMN(YES_Reading_FLA[Self-Identified as Indigenous]),FALSE)="","",
VLOOKUP($A352,YES_Reading_FLA[],COLUMN(YES_Reading_FLA[Self-Identified as Indigenous]),FALSE)),
IF($J$2="Combined",
IFERROR(
IF(VLOOKUP($A352, YES_Reading_ELA[], COLUMN(YES_Reading_ELA[Self-Identified as Indigenous]), FALSE)="", "",
VLOOKUP($A352,YES_Reading_ELA[],COLUMN(YES_Reading_ELA[Self-Identified as Indigenous]),FALSE)),
IF(VLOOKUP($A352, YES_Reading_FLA[], COLUMN(YES_Reading_FLA[Self-Identified as Indigenous]),FALSE)="", "", VLOOKUP($A352,YES_Reading_FLA[],COLUMN(YES_Reading_FLA[Self-Identified as Indigenous]),FALSE))),""))),"")</f>
        <v/>
      </c>
    </row>
    <row r="353" spans="1:12" ht="19.5" customHeight="1" x14ac:dyDescent="0.25">
      <c r="A353" s="217"/>
      <c r="B353" s="220"/>
      <c r="C353" s="203"/>
      <c r="D353" s="204"/>
      <c r="E353" s="205"/>
      <c r="F353" s="205"/>
      <c r="G353" s="205"/>
      <c r="H353" s="206"/>
      <c r="I353" s="212"/>
      <c r="J353" s="206"/>
      <c r="K353" s="197" t="str" cm="1">
        <f t="array" ref="K353">IFERROR(
IF($J$2="ELA",
IF(VLOOKUP($A353, YES_Reading_ELA[], COLUMN(YES_Reading_ELA[Self-Identified as African Descent]), FALSE)="", "",
VLOOKUP($A353,YES_Reading_ELA[], COLUMN(YES_Reading_ELA[Self-Identified as African Descent]), FALSE)),
IF($J$2="FLA",
IF(VLOOKUP($A353, YES_Reading_FLA[], COLUMN(YES_Reading_FLA[Self-Identified as African Descent]),FALSE)="","",
VLOOKUP($A353,YES_Reading_FLA[],COLUMN(YES_Reading_FLA[Self-Identified as African Descent]),FALSE)),
IF($J$2="Combined",
IFERROR(
IF(VLOOKUP($A353, YES_Reading_ELA[], COLUMN(YES_Reading_ELA[Self-Identified as African Descent]), FALSE)="", "",
VLOOKUP($A353,YES_Reading_ELA[],COLUMN(YES_Reading_ELA[Self-Identified as African Descent]),FALSE)),
IF(VLOOKUP($A353, YES_Reading_FLA[], COLUMN(YES_Reading_FLA[Self-Identified as African Descent]),FALSE)="", "", VLOOKUP($A353,YES_Reading_FLA[],COLUMN(YES_Reading_FLA[Self-Identified as African Descent]),FALSE))),""))),"")</f>
        <v/>
      </c>
      <c r="L353" s="73" t="str" cm="1">
        <f t="array" ref="L353">IFERROR(
IF($J$2="ELA",
IF(VLOOKUP($A353, YES_Reading_ELA[], COLUMN(YES_Reading_ELA[Self-Identified as Indigenous]), FALSE)="", "",
VLOOKUP($A353,YES_Reading_ELA[], COLUMN(YES_Reading_ELA[Self-Identified as Indigenous]), FALSE)),
IF($J$2="FLA",
IF(VLOOKUP($A353, YES_Reading_FLA[], COLUMN(YES_Reading_FLA[Self-Identified as Indigenous]),FALSE)="","",
VLOOKUP($A353,YES_Reading_FLA[],COLUMN(YES_Reading_FLA[Self-Identified as Indigenous]),FALSE)),
IF($J$2="Combined",
IFERROR(
IF(VLOOKUP($A353, YES_Reading_ELA[], COLUMN(YES_Reading_ELA[Self-Identified as Indigenous]), FALSE)="", "",
VLOOKUP($A353,YES_Reading_ELA[],COLUMN(YES_Reading_ELA[Self-Identified as Indigenous]),FALSE)),
IF(VLOOKUP($A353, YES_Reading_FLA[], COLUMN(YES_Reading_FLA[Self-Identified as Indigenous]),FALSE)="", "", VLOOKUP($A353,YES_Reading_FLA[],COLUMN(YES_Reading_FLA[Self-Identified as Indigenous]),FALSE))),""))),"")</f>
        <v/>
      </c>
    </row>
    <row r="354" spans="1:12" ht="19.5" customHeight="1" x14ac:dyDescent="0.25">
      <c r="A354" s="217"/>
      <c r="B354" s="220"/>
      <c r="C354" s="203"/>
      <c r="D354" s="204"/>
      <c r="E354" s="205"/>
      <c r="F354" s="205"/>
      <c r="G354" s="205"/>
      <c r="H354" s="206"/>
      <c r="I354" s="212"/>
      <c r="J354" s="206"/>
      <c r="K354" s="197" t="str" cm="1">
        <f t="array" ref="K354">IFERROR(
IF($J$2="ELA",
IF(VLOOKUP($A354, YES_Reading_ELA[], COLUMN(YES_Reading_ELA[Self-Identified as African Descent]), FALSE)="", "",
VLOOKUP($A354,YES_Reading_ELA[], COLUMN(YES_Reading_ELA[Self-Identified as African Descent]), FALSE)),
IF($J$2="FLA",
IF(VLOOKUP($A354, YES_Reading_FLA[], COLUMN(YES_Reading_FLA[Self-Identified as African Descent]),FALSE)="","",
VLOOKUP($A354,YES_Reading_FLA[],COLUMN(YES_Reading_FLA[Self-Identified as African Descent]),FALSE)),
IF($J$2="Combined",
IFERROR(
IF(VLOOKUP($A354, YES_Reading_ELA[], COLUMN(YES_Reading_ELA[Self-Identified as African Descent]), FALSE)="", "",
VLOOKUP($A354,YES_Reading_ELA[],COLUMN(YES_Reading_ELA[Self-Identified as African Descent]),FALSE)),
IF(VLOOKUP($A354, YES_Reading_FLA[], COLUMN(YES_Reading_FLA[Self-Identified as African Descent]),FALSE)="", "", VLOOKUP($A354,YES_Reading_FLA[],COLUMN(YES_Reading_FLA[Self-Identified as African Descent]),FALSE))),""))),"")</f>
        <v/>
      </c>
      <c r="L354" s="73" t="str" cm="1">
        <f t="array" ref="L354">IFERROR(
IF($J$2="ELA",
IF(VLOOKUP($A354, YES_Reading_ELA[], COLUMN(YES_Reading_ELA[Self-Identified as Indigenous]), FALSE)="", "",
VLOOKUP($A354,YES_Reading_ELA[], COLUMN(YES_Reading_ELA[Self-Identified as Indigenous]), FALSE)),
IF($J$2="FLA",
IF(VLOOKUP($A354, YES_Reading_FLA[], COLUMN(YES_Reading_FLA[Self-Identified as Indigenous]),FALSE)="","",
VLOOKUP($A354,YES_Reading_FLA[],COLUMN(YES_Reading_FLA[Self-Identified as Indigenous]),FALSE)),
IF($J$2="Combined",
IFERROR(
IF(VLOOKUP($A354, YES_Reading_ELA[], COLUMN(YES_Reading_ELA[Self-Identified as Indigenous]), FALSE)="", "",
VLOOKUP($A354,YES_Reading_ELA[],COLUMN(YES_Reading_ELA[Self-Identified as Indigenous]),FALSE)),
IF(VLOOKUP($A354, YES_Reading_FLA[], COLUMN(YES_Reading_FLA[Self-Identified as Indigenous]),FALSE)="", "", VLOOKUP($A354,YES_Reading_FLA[],COLUMN(YES_Reading_FLA[Self-Identified as Indigenous]),FALSE))),""))),"")</f>
        <v/>
      </c>
    </row>
    <row r="355" spans="1:12" ht="19.5" customHeight="1" x14ac:dyDescent="0.25">
      <c r="A355" s="217"/>
      <c r="B355" s="220"/>
      <c r="C355" s="203"/>
      <c r="D355" s="204"/>
      <c r="E355" s="205"/>
      <c r="F355" s="205"/>
      <c r="G355" s="205"/>
      <c r="H355" s="206"/>
      <c r="I355" s="212"/>
      <c r="J355" s="206"/>
      <c r="K355" s="197" t="str" cm="1">
        <f t="array" ref="K355">IFERROR(
IF($J$2="ELA",
IF(VLOOKUP($A355, YES_Reading_ELA[], COLUMN(YES_Reading_ELA[Self-Identified as African Descent]), FALSE)="", "",
VLOOKUP($A355,YES_Reading_ELA[], COLUMN(YES_Reading_ELA[Self-Identified as African Descent]), FALSE)),
IF($J$2="FLA",
IF(VLOOKUP($A355, YES_Reading_FLA[], COLUMN(YES_Reading_FLA[Self-Identified as African Descent]),FALSE)="","",
VLOOKUP($A355,YES_Reading_FLA[],COLUMN(YES_Reading_FLA[Self-Identified as African Descent]),FALSE)),
IF($J$2="Combined",
IFERROR(
IF(VLOOKUP($A355, YES_Reading_ELA[], COLUMN(YES_Reading_ELA[Self-Identified as African Descent]), FALSE)="", "",
VLOOKUP($A355,YES_Reading_ELA[],COLUMN(YES_Reading_ELA[Self-Identified as African Descent]),FALSE)),
IF(VLOOKUP($A355, YES_Reading_FLA[], COLUMN(YES_Reading_FLA[Self-Identified as African Descent]),FALSE)="", "", VLOOKUP($A355,YES_Reading_FLA[],COLUMN(YES_Reading_FLA[Self-Identified as African Descent]),FALSE))),""))),"")</f>
        <v/>
      </c>
      <c r="L355" s="73" t="str" cm="1">
        <f t="array" ref="L355">IFERROR(
IF($J$2="ELA",
IF(VLOOKUP($A355, YES_Reading_ELA[], COLUMN(YES_Reading_ELA[Self-Identified as Indigenous]), FALSE)="", "",
VLOOKUP($A355,YES_Reading_ELA[], COLUMN(YES_Reading_ELA[Self-Identified as Indigenous]), FALSE)),
IF($J$2="FLA",
IF(VLOOKUP($A355, YES_Reading_FLA[], COLUMN(YES_Reading_FLA[Self-Identified as Indigenous]),FALSE)="","",
VLOOKUP($A355,YES_Reading_FLA[],COLUMN(YES_Reading_FLA[Self-Identified as Indigenous]),FALSE)),
IF($J$2="Combined",
IFERROR(
IF(VLOOKUP($A355, YES_Reading_ELA[], COLUMN(YES_Reading_ELA[Self-Identified as Indigenous]), FALSE)="", "",
VLOOKUP($A355,YES_Reading_ELA[],COLUMN(YES_Reading_ELA[Self-Identified as Indigenous]),FALSE)),
IF(VLOOKUP($A355, YES_Reading_FLA[], COLUMN(YES_Reading_FLA[Self-Identified as Indigenous]),FALSE)="", "", VLOOKUP($A355,YES_Reading_FLA[],COLUMN(YES_Reading_FLA[Self-Identified as Indigenous]),FALSE))),""))),"")</f>
        <v/>
      </c>
    </row>
    <row r="356" spans="1:12" ht="19.5" customHeight="1" x14ac:dyDescent="0.25">
      <c r="A356" s="217"/>
      <c r="B356" s="220"/>
      <c r="C356" s="203"/>
      <c r="D356" s="204"/>
      <c r="E356" s="205"/>
      <c r="F356" s="205"/>
      <c r="G356" s="205"/>
      <c r="H356" s="206"/>
      <c r="I356" s="212"/>
      <c r="J356" s="206"/>
      <c r="K356" s="197" t="str" cm="1">
        <f t="array" ref="K356">IFERROR(
IF($J$2="ELA",
IF(VLOOKUP($A356, YES_Reading_ELA[], COLUMN(YES_Reading_ELA[Self-Identified as African Descent]), FALSE)="", "",
VLOOKUP($A356,YES_Reading_ELA[], COLUMN(YES_Reading_ELA[Self-Identified as African Descent]), FALSE)),
IF($J$2="FLA",
IF(VLOOKUP($A356, YES_Reading_FLA[], COLUMN(YES_Reading_FLA[Self-Identified as African Descent]),FALSE)="","",
VLOOKUP($A356,YES_Reading_FLA[],COLUMN(YES_Reading_FLA[Self-Identified as African Descent]),FALSE)),
IF($J$2="Combined",
IFERROR(
IF(VLOOKUP($A356, YES_Reading_ELA[], COLUMN(YES_Reading_ELA[Self-Identified as African Descent]), FALSE)="", "",
VLOOKUP($A356,YES_Reading_ELA[],COLUMN(YES_Reading_ELA[Self-Identified as African Descent]),FALSE)),
IF(VLOOKUP($A356, YES_Reading_FLA[], COLUMN(YES_Reading_FLA[Self-Identified as African Descent]),FALSE)="", "", VLOOKUP($A356,YES_Reading_FLA[],COLUMN(YES_Reading_FLA[Self-Identified as African Descent]),FALSE))),""))),"")</f>
        <v/>
      </c>
      <c r="L356" s="73" t="str" cm="1">
        <f t="array" ref="L356">IFERROR(
IF($J$2="ELA",
IF(VLOOKUP($A356, YES_Reading_ELA[], COLUMN(YES_Reading_ELA[Self-Identified as Indigenous]), FALSE)="", "",
VLOOKUP($A356,YES_Reading_ELA[], COLUMN(YES_Reading_ELA[Self-Identified as Indigenous]), FALSE)),
IF($J$2="FLA",
IF(VLOOKUP($A356, YES_Reading_FLA[], COLUMN(YES_Reading_FLA[Self-Identified as Indigenous]),FALSE)="","",
VLOOKUP($A356,YES_Reading_FLA[],COLUMN(YES_Reading_FLA[Self-Identified as Indigenous]),FALSE)),
IF($J$2="Combined",
IFERROR(
IF(VLOOKUP($A356, YES_Reading_ELA[], COLUMN(YES_Reading_ELA[Self-Identified as Indigenous]), FALSE)="", "",
VLOOKUP($A356,YES_Reading_ELA[],COLUMN(YES_Reading_ELA[Self-Identified as Indigenous]),FALSE)),
IF(VLOOKUP($A356, YES_Reading_FLA[], COLUMN(YES_Reading_FLA[Self-Identified as Indigenous]),FALSE)="", "", VLOOKUP($A356,YES_Reading_FLA[],COLUMN(YES_Reading_FLA[Self-Identified as Indigenous]),FALSE))),""))),"")</f>
        <v/>
      </c>
    </row>
    <row r="357" spans="1:12" ht="19.5" customHeight="1" x14ac:dyDescent="0.25">
      <c r="A357" s="217"/>
      <c r="B357" s="220"/>
      <c r="C357" s="203"/>
      <c r="D357" s="204"/>
      <c r="E357" s="205"/>
      <c r="F357" s="205"/>
      <c r="G357" s="205"/>
      <c r="H357" s="206"/>
      <c r="I357" s="212"/>
      <c r="J357" s="206"/>
      <c r="K357" s="197" t="str" cm="1">
        <f t="array" ref="K357">IFERROR(
IF($J$2="ELA",
IF(VLOOKUP($A357, YES_Reading_ELA[], COLUMN(YES_Reading_ELA[Self-Identified as African Descent]), FALSE)="", "",
VLOOKUP($A357,YES_Reading_ELA[], COLUMN(YES_Reading_ELA[Self-Identified as African Descent]), FALSE)),
IF($J$2="FLA",
IF(VLOOKUP($A357, YES_Reading_FLA[], COLUMN(YES_Reading_FLA[Self-Identified as African Descent]),FALSE)="","",
VLOOKUP($A357,YES_Reading_FLA[],COLUMN(YES_Reading_FLA[Self-Identified as African Descent]),FALSE)),
IF($J$2="Combined",
IFERROR(
IF(VLOOKUP($A357, YES_Reading_ELA[], COLUMN(YES_Reading_ELA[Self-Identified as African Descent]), FALSE)="", "",
VLOOKUP($A357,YES_Reading_ELA[],COLUMN(YES_Reading_ELA[Self-Identified as African Descent]),FALSE)),
IF(VLOOKUP($A357, YES_Reading_FLA[], COLUMN(YES_Reading_FLA[Self-Identified as African Descent]),FALSE)="", "", VLOOKUP($A357,YES_Reading_FLA[],COLUMN(YES_Reading_FLA[Self-Identified as African Descent]),FALSE))),""))),"")</f>
        <v/>
      </c>
      <c r="L357" s="73" t="str" cm="1">
        <f t="array" ref="L357">IFERROR(
IF($J$2="ELA",
IF(VLOOKUP($A357, YES_Reading_ELA[], COLUMN(YES_Reading_ELA[Self-Identified as Indigenous]), FALSE)="", "",
VLOOKUP($A357,YES_Reading_ELA[], COLUMN(YES_Reading_ELA[Self-Identified as Indigenous]), FALSE)),
IF($J$2="FLA",
IF(VLOOKUP($A357, YES_Reading_FLA[], COLUMN(YES_Reading_FLA[Self-Identified as Indigenous]),FALSE)="","",
VLOOKUP($A357,YES_Reading_FLA[],COLUMN(YES_Reading_FLA[Self-Identified as Indigenous]),FALSE)),
IF($J$2="Combined",
IFERROR(
IF(VLOOKUP($A357, YES_Reading_ELA[], COLUMN(YES_Reading_ELA[Self-Identified as Indigenous]), FALSE)="", "",
VLOOKUP($A357,YES_Reading_ELA[],COLUMN(YES_Reading_ELA[Self-Identified as Indigenous]),FALSE)),
IF(VLOOKUP($A357, YES_Reading_FLA[], COLUMN(YES_Reading_FLA[Self-Identified as Indigenous]),FALSE)="", "", VLOOKUP($A357,YES_Reading_FLA[],COLUMN(YES_Reading_FLA[Self-Identified as Indigenous]),FALSE))),""))),"")</f>
        <v/>
      </c>
    </row>
    <row r="358" spans="1:12" ht="19.5" customHeight="1" x14ac:dyDescent="0.25">
      <c r="A358" s="217"/>
      <c r="B358" s="220"/>
      <c r="C358" s="203"/>
      <c r="D358" s="204"/>
      <c r="E358" s="205"/>
      <c r="F358" s="205"/>
      <c r="G358" s="205"/>
      <c r="H358" s="206"/>
      <c r="I358" s="212"/>
      <c r="J358" s="206"/>
      <c r="K358" s="197" t="str" cm="1">
        <f t="array" ref="K358">IFERROR(
IF($J$2="ELA",
IF(VLOOKUP($A358, YES_Reading_ELA[], COLUMN(YES_Reading_ELA[Self-Identified as African Descent]), FALSE)="", "",
VLOOKUP($A358,YES_Reading_ELA[], COLUMN(YES_Reading_ELA[Self-Identified as African Descent]), FALSE)),
IF($J$2="FLA",
IF(VLOOKUP($A358, YES_Reading_FLA[], COLUMN(YES_Reading_FLA[Self-Identified as African Descent]),FALSE)="","",
VLOOKUP($A358,YES_Reading_FLA[],COLUMN(YES_Reading_FLA[Self-Identified as African Descent]),FALSE)),
IF($J$2="Combined",
IFERROR(
IF(VLOOKUP($A358, YES_Reading_ELA[], COLUMN(YES_Reading_ELA[Self-Identified as African Descent]), FALSE)="", "",
VLOOKUP($A358,YES_Reading_ELA[],COLUMN(YES_Reading_ELA[Self-Identified as African Descent]),FALSE)),
IF(VLOOKUP($A358, YES_Reading_FLA[], COLUMN(YES_Reading_FLA[Self-Identified as African Descent]),FALSE)="", "", VLOOKUP($A358,YES_Reading_FLA[],COLUMN(YES_Reading_FLA[Self-Identified as African Descent]),FALSE))),""))),"")</f>
        <v/>
      </c>
      <c r="L358" s="73" t="str" cm="1">
        <f t="array" ref="L358">IFERROR(
IF($J$2="ELA",
IF(VLOOKUP($A358, YES_Reading_ELA[], COLUMN(YES_Reading_ELA[Self-Identified as Indigenous]), FALSE)="", "",
VLOOKUP($A358,YES_Reading_ELA[], COLUMN(YES_Reading_ELA[Self-Identified as Indigenous]), FALSE)),
IF($J$2="FLA",
IF(VLOOKUP($A358, YES_Reading_FLA[], COLUMN(YES_Reading_FLA[Self-Identified as Indigenous]),FALSE)="","",
VLOOKUP($A358,YES_Reading_FLA[],COLUMN(YES_Reading_FLA[Self-Identified as Indigenous]),FALSE)),
IF($J$2="Combined",
IFERROR(
IF(VLOOKUP($A358, YES_Reading_ELA[], COLUMN(YES_Reading_ELA[Self-Identified as Indigenous]), FALSE)="", "",
VLOOKUP($A358,YES_Reading_ELA[],COLUMN(YES_Reading_ELA[Self-Identified as Indigenous]),FALSE)),
IF(VLOOKUP($A358, YES_Reading_FLA[], COLUMN(YES_Reading_FLA[Self-Identified as Indigenous]),FALSE)="", "", VLOOKUP($A358,YES_Reading_FLA[],COLUMN(YES_Reading_FLA[Self-Identified as Indigenous]),FALSE))),""))),"")</f>
        <v/>
      </c>
    </row>
    <row r="359" spans="1:12" ht="19.5" customHeight="1" x14ac:dyDescent="0.25">
      <c r="A359" s="217"/>
      <c r="B359" s="220"/>
      <c r="C359" s="203"/>
      <c r="D359" s="204"/>
      <c r="E359" s="205"/>
      <c r="F359" s="205"/>
      <c r="G359" s="205"/>
      <c r="H359" s="206"/>
      <c r="I359" s="212"/>
      <c r="J359" s="206"/>
      <c r="K359" s="197" t="str" cm="1">
        <f t="array" ref="K359">IFERROR(
IF($J$2="ELA",
IF(VLOOKUP($A359, YES_Reading_ELA[], COLUMN(YES_Reading_ELA[Self-Identified as African Descent]), FALSE)="", "",
VLOOKUP($A359,YES_Reading_ELA[], COLUMN(YES_Reading_ELA[Self-Identified as African Descent]), FALSE)),
IF($J$2="FLA",
IF(VLOOKUP($A359, YES_Reading_FLA[], COLUMN(YES_Reading_FLA[Self-Identified as African Descent]),FALSE)="","",
VLOOKUP($A359,YES_Reading_FLA[],COLUMN(YES_Reading_FLA[Self-Identified as African Descent]),FALSE)),
IF($J$2="Combined",
IFERROR(
IF(VLOOKUP($A359, YES_Reading_ELA[], COLUMN(YES_Reading_ELA[Self-Identified as African Descent]), FALSE)="", "",
VLOOKUP($A359,YES_Reading_ELA[],COLUMN(YES_Reading_ELA[Self-Identified as African Descent]),FALSE)),
IF(VLOOKUP($A359, YES_Reading_FLA[], COLUMN(YES_Reading_FLA[Self-Identified as African Descent]),FALSE)="", "", VLOOKUP($A359,YES_Reading_FLA[],COLUMN(YES_Reading_FLA[Self-Identified as African Descent]),FALSE))),""))),"")</f>
        <v/>
      </c>
      <c r="L359" s="73" t="str" cm="1">
        <f t="array" ref="L359">IFERROR(
IF($J$2="ELA",
IF(VLOOKUP($A359, YES_Reading_ELA[], COLUMN(YES_Reading_ELA[Self-Identified as Indigenous]), FALSE)="", "",
VLOOKUP($A359,YES_Reading_ELA[], COLUMN(YES_Reading_ELA[Self-Identified as Indigenous]), FALSE)),
IF($J$2="FLA",
IF(VLOOKUP($A359, YES_Reading_FLA[], COLUMN(YES_Reading_FLA[Self-Identified as Indigenous]),FALSE)="","",
VLOOKUP($A359,YES_Reading_FLA[],COLUMN(YES_Reading_FLA[Self-Identified as Indigenous]),FALSE)),
IF($J$2="Combined",
IFERROR(
IF(VLOOKUP($A359, YES_Reading_ELA[], COLUMN(YES_Reading_ELA[Self-Identified as Indigenous]), FALSE)="", "",
VLOOKUP($A359,YES_Reading_ELA[],COLUMN(YES_Reading_ELA[Self-Identified as Indigenous]),FALSE)),
IF(VLOOKUP($A359, YES_Reading_FLA[], COLUMN(YES_Reading_FLA[Self-Identified as Indigenous]),FALSE)="", "", VLOOKUP($A359,YES_Reading_FLA[],COLUMN(YES_Reading_FLA[Self-Identified as Indigenous]),FALSE))),""))),"")</f>
        <v/>
      </c>
    </row>
    <row r="360" spans="1:12" ht="19.5" customHeight="1" x14ac:dyDescent="0.25">
      <c r="A360" s="217"/>
      <c r="B360" s="220"/>
      <c r="C360" s="203"/>
      <c r="D360" s="204"/>
      <c r="E360" s="205"/>
      <c r="F360" s="205"/>
      <c r="G360" s="205"/>
      <c r="H360" s="206"/>
      <c r="I360" s="212"/>
      <c r="J360" s="206"/>
      <c r="K360" s="197" t="str" cm="1">
        <f t="array" ref="K360">IFERROR(
IF($J$2="ELA",
IF(VLOOKUP($A360, YES_Reading_ELA[], COLUMN(YES_Reading_ELA[Self-Identified as African Descent]), FALSE)="", "",
VLOOKUP($A360,YES_Reading_ELA[], COLUMN(YES_Reading_ELA[Self-Identified as African Descent]), FALSE)),
IF($J$2="FLA",
IF(VLOOKUP($A360, YES_Reading_FLA[], COLUMN(YES_Reading_FLA[Self-Identified as African Descent]),FALSE)="","",
VLOOKUP($A360,YES_Reading_FLA[],COLUMN(YES_Reading_FLA[Self-Identified as African Descent]),FALSE)),
IF($J$2="Combined",
IFERROR(
IF(VLOOKUP($A360, YES_Reading_ELA[], COLUMN(YES_Reading_ELA[Self-Identified as African Descent]), FALSE)="", "",
VLOOKUP($A360,YES_Reading_ELA[],COLUMN(YES_Reading_ELA[Self-Identified as African Descent]),FALSE)),
IF(VLOOKUP($A360, YES_Reading_FLA[], COLUMN(YES_Reading_FLA[Self-Identified as African Descent]),FALSE)="", "", VLOOKUP($A360,YES_Reading_FLA[],COLUMN(YES_Reading_FLA[Self-Identified as African Descent]),FALSE))),""))),"")</f>
        <v/>
      </c>
      <c r="L360" s="73" t="str" cm="1">
        <f t="array" ref="L360">IFERROR(
IF($J$2="ELA",
IF(VLOOKUP($A360, YES_Reading_ELA[], COLUMN(YES_Reading_ELA[Self-Identified as Indigenous]), FALSE)="", "",
VLOOKUP($A360,YES_Reading_ELA[], COLUMN(YES_Reading_ELA[Self-Identified as Indigenous]), FALSE)),
IF($J$2="FLA",
IF(VLOOKUP($A360, YES_Reading_FLA[], COLUMN(YES_Reading_FLA[Self-Identified as Indigenous]),FALSE)="","",
VLOOKUP($A360,YES_Reading_FLA[],COLUMN(YES_Reading_FLA[Self-Identified as Indigenous]),FALSE)),
IF($J$2="Combined",
IFERROR(
IF(VLOOKUP($A360, YES_Reading_ELA[], COLUMN(YES_Reading_ELA[Self-Identified as Indigenous]), FALSE)="", "",
VLOOKUP($A360,YES_Reading_ELA[],COLUMN(YES_Reading_ELA[Self-Identified as Indigenous]),FALSE)),
IF(VLOOKUP($A360, YES_Reading_FLA[], COLUMN(YES_Reading_FLA[Self-Identified as Indigenous]),FALSE)="", "", VLOOKUP($A360,YES_Reading_FLA[],COLUMN(YES_Reading_FLA[Self-Identified as Indigenous]),FALSE))),""))),"")</f>
        <v/>
      </c>
    </row>
    <row r="361" spans="1:12" ht="19.5" customHeight="1" x14ac:dyDescent="0.25">
      <c r="A361" s="217"/>
      <c r="B361" s="220"/>
      <c r="C361" s="203"/>
      <c r="D361" s="204"/>
      <c r="E361" s="205"/>
      <c r="F361" s="205"/>
      <c r="G361" s="205"/>
      <c r="H361" s="206"/>
      <c r="I361" s="212"/>
      <c r="J361" s="206"/>
      <c r="K361" s="197" t="str" cm="1">
        <f t="array" ref="K361">IFERROR(
IF($J$2="ELA",
IF(VLOOKUP($A361, YES_Reading_ELA[], COLUMN(YES_Reading_ELA[Self-Identified as African Descent]), FALSE)="", "",
VLOOKUP($A361,YES_Reading_ELA[], COLUMN(YES_Reading_ELA[Self-Identified as African Descent]), FALSE)),
IF($J$2="FLA",
IF(VLOOKUP($A361, YES_Reading_FLA[], COLUMN(YES_Reading_FLA[Self-Identified as African Descent]),FALSE)="","",
VLOOKUP($A361,YES_Reading_FLA[],COLUMN(YES_Reading_FLA[Self-Identified as African Descent]),FALSE)),
IF($J$2="Combined",
IFERROR(
IF(VLOOKUP($A361, YES_Reading_ELA[], COLUMN(YES_Reading_ELA[Self-Identified as African Descent]), FALSE)="", "",
VLOOKUP($A361,YES_Reading_ELA[],COLUMN(YES_Reading_ELA[Self-Identified as African Descent]),FALSE)),
IF(VLOOKUP($A361, YES_Reading_FLA[], COLUMN(YES_Reading_FLA[Self-Identified as African Descent]),FALSE)="", "", VLOOKUP($A361,YES_Reading_FLA[],COLUMN(YES_Reading_FLA[Self-Identified as African Descent]),FALSE))),""))),"")</f>
        <v/>
      </c>
      <c r="L361" s="73" t="str" cm="1">
        <f t="array" ref="L361">IFERROR(
IF($J$2="ELA",
IF(VLOOKUP($A361, YES_Reading_ELA[], COLUMN(YES_Reading_ELA[Self-Identified as Indigenous]), FALSE)="", "",
VLOOKUP($A361,YES_Reading_ELA[], COLUMN(YES_Reading_ELA[Self-Identified as Indigenous]), FALSE)),
IF($J$2="FLA",
IF(VLOOKUP($A361, YES_Reading_FLA[], COLUMN(YES_Reading_FLA[Self-Identified as Indigenous]),FALSE)="","",
VLOOKUP($A361,YES_Reading_FLA[],COLUMN(YES_Reading_FLA[Self-Identified as Indigenous]),FALSE)),
IF($J$2="Combined",
IFERROR(
IF(VLOOKUP($A361, YES_Reading_ELA[], COLUMN(YES_Reading_ELA[Self-Identified as Indigenous]), FALSE)="", "",
VLOOKUP($A361,YES_Reading_ELA[],COLUMN(YES_Reading_ELA[Self-Identified as Indigenous]),FALSE)),
IF(VLOOKUP($A361, YES_Reading_FLA[], COLUMN(YES_Reading_FLA[Self-Identified as Indigenous]),FALSE)="", "", VLOOKUP($A361,YES_Reading_FLA[],COLUMN(YES_Reading_FLA[Self-Identified as Indigenous]),FALSE))),""))),"")</f>
        <v/>
      </c>
    </row>
    <row r="362" spans="1:12" ht="19.5" customHeight="1" x14ac:dyDescent="0.25">
      <c r="A362" s="217"/>
      <c r="B362" s="220"/>
      <c r="C362" s="203"/>
      <c r="D362" s="204"/>
      <c r="E362" s="205"/>
      <c r="F362" s="205"/>
      <c r="G362" s="205"/>
      <c r="H362" s="206"/>
      <c r="I362" s="212"/>
      <c r="J362" s="206"/>
      <c r="K362" s="197" t="str" cm="1">
        <f t="array" ref="K362">IFERROR(
IF($J$2="ELA",
IF(VLOOKUP($A362, YES_Reading_ELA[], COLUMN(YES_Reading_ELA[Self-Identified as African Descent]), FALSE)="", "",
VLOOKUP($A362,YES_Reading_ELA[], COLUMN(YES_Reading_ELA[Self-Identified as African Descent]), FALSE)),
IF($J$2="FLA",
IF(VLOOKUP($A362, YES_Reading_FLA[], COLUMN(YES_Reading_FLA[Self-Identified as African Descent]),FALSE)="","",
VLOOKUP($A362,YES_Reading_FLA[],COLUMN(YES_Reading_FLA[Self-Identified as African Descent]),FALSE)),
IF($J$2="Combined",
IFERROR(
IF(VLOOKUP($A362, YES_Reading_ELA[], COLUMN(YES_Reading_ELA[Self-Identified as African Descent]), FALSE)="", "",
VLOOKUP($A362,YES_Reading_ELA[],COLUMN(YES_Reading_ELA[Self-Identified as African Descent]),FALSE)),
IF(VLOOKUP($A362, YES_Reading_FLA[], COLUMN(YES_Reading_FLA[Self-Identified as African Descent]),FALSE)="", "", VLOOKUP($A362,YES_Reading_FLA[],COLUMN(YES_Reading_FLA[Self-Identified as African Descent]),FALSE))),""))),"")</f>
        <v/>
      </c>
      <c r="L362" s="73" t="str" cm="1">
        <f t="array" ref="L362">IFERROR(
IF($J$2="ELA",
IF(VLOOKUP($A362, YES_Reading_ELA[], COLUMN(YES_Reading_ELA[Self-Identified as Indigenous]), FALSE)="", "",
VLOOKUP($A362,YES_Reading_ELA[], COLUMN(YES_Reading_ELA[Self-Identified as Indigenous]), FALSE)),
IF($J$2="FLA",
IF(VLOOKUP($A362, YES_Reading_FLA[], COLUMN(YES_Reading_FLA[Self-Identified as Indigenous]),FALSE)="","",
VLOOKUP($A362,YES_Reading_FLA[],COLUMN(YES_Reading_FLA[Self-Identified as Indigenous]),FALSE)),
IF($J$2="Combined",
IFERROR(
IF(VLOOKUP($A362, YES_Reading_ELA[], COLUMN(YES_Reading_ELA[Self-Identified as Indigenous]), FALSE)="", "",
VLOOKUP($A362,YES_Reading_ELA[],COLUMN(YES_Reading_ELA[Self-Identified as Indigenous]),FALSE)),
IF(VLOOKUP($A362, YES_Reading_FLA[], COLUMN(YES_Reading_FLA[Self-Identified as Indigenous]),FALSE)="", "", VLOOKUP($A362,YES_Reading_FLA[],COLUMN(YES_Reading_FLA[Self-Identified as Indigenous]),FALSE))),""))),"")</f>
        <v/>
      </c>
    </row>
    <row r="363" spans="1:12" ht="19.5" customHeight="1" x14ac:dyDescent="0.25">
      <c r="A363" s="217"/>
      <c r="B363" s="220"/>
      <c r="C363" s="203"/>
      <c r="D363" s="204"/>
      <c r="E363" s="205"/>
      <c r="F363" s="205"/>
      <c r="G363" s="205"/>
      <c r="H363" s="206"/>
      <c r="I363" s="212"/>
      <c r="J363" s="206"/>
      <c r="K363" s="197" t="str" cm="1">
        <f t="array" ref="K363">IFERROR(
IF($J$2="ELA",
IF(VLOOKUP($A363, YES_Reading_ELA[], COLUMN(YES_Reading_ELA[Self-Identified as African Descent]), FALSE)="", "",
VLOOKUP($A363,YES_Reading_ELA[], COLUMN(YES_Reading_ELA[Self-Identified as African Descent]), FALSE)),
IF($J$2="FLA",
IF(VLOOKUP($A363, YES_Reading_FLA[], COLUMN(YES_Reading_FLA[Self-Identified as African Descent]),FALSE)="","",
VLOOKUP($A363,YES_Reading_FLA[],COLUMN(YES_Reading_FLA[Self-Identified as African Descent]),FALSE)),
IF($J$2="Combined",
IFERROR(
IF(VLOOKUP($A363, YES_Reading_ELA[], COLUMN(YES_Reading_ELA[Self-Identified as African Descent]), FALSE)="", "",
VLOOKUP($A363,YES_Reading_ELA[],COLUMN(YES_Reading_ELA[Self-Identified as African Descent]),FALSE)),
IF(VLOOKUP($A363, YES_Reading_FLA[], COLUMN(YES_Reading_FLA[Self-Identified as African Descent]),FALSE)="", "", VLOOKUP($A363,YES_Reading_FLA[],COLUMN(YES_Reading_FLA[Self-Identified as African Descent]),FALSE))),""))),"")</f>
        <v/>
      </c>
      <c r="L363" s="73" t="str" cm="1">
        <f t="array" ref="L363">IFERROR(
IF($J$2="ELA",
IF(VLOOKUP($A363, YES_Reading_ELA[], COLUMN(YES_Reading_ELA[Self-Identified as Indigenous]), FALSE)="", "",
VLOOKUP($A363,YES_Reading_ELA[], COLUMN(YES_Reading_ELA[Self-Identified as Indigenous]), FALSE)),
IF($J$2="FLA",
IF(VLOOKUP($A363, YES_Reading_FLA[], COLUMN(YES_Reading_FLA[Self-Identified as Indigenous]),FALSE)="","",
VLOOKUP($A363,YES_Reading_FLA[],COLUMN(YES_Reading_FLA[Self-Identified as Indigenous]),FALSE)),
IF($J$2="Combined",
IFERROR(
IF(VLOOKUP($A363, YES_Reading_ELA[], COLUMN(YES_Reading_ELA[Self-Identified as Indigenous]), FALSE)="", "",
VLOOKUP($A363,YES_Reading_ELA[],COLUMN(YES_Reading_ELA[Self-Identified as Indigenous]),FALSE)),
IF(VLOOKUP($A363, YES_Reading_FLA[], COLUMN(YES_Reading_FLA[Self-Identified as Indigenous]),FALSE)="", "", VLOOKUP($A363,YES_Reading_FLA[],COLUMN(YES_Reading_FLA[Self-Identified as Indigenous]),FALSE))),""))),"")</f>
        <v/>
      </c>
    </row>
    <row r="364" spans="1:12" ht="19.5" customHeight="1" x14ac:dyDescent="0.25">
      <c r="A364" s="217"/>
      <c r="B364" s="220"/>
      <c r="C364" s="203"/>
      <c r="D364" s="204"/>
      <c r="E364" s="205"/>
      <c r="F364" s="205"/>
      <c r="G364" s="205"/>
      <c r="H364" s="206"/>
      <c r="I364" s="212"/>
      <c r="J364" s="206"/>
      <c r="K364" s="197" t="str" cm="1">
        <f t="array" ref="K364">IFERROR(
IF($J$2="ELA",
IF(VLOOKUP($A364, YES_Reading_ELA[], COLUMN(YES_Reading_ELA[Self-Identified as African Descent]), FALSE)="", "",
VLOOKUP($A364,YES_Reading_ELA[], COLUMN(YES_Reading_ELA[Self-Identified as African Descent]), FALSE)),
IF($J$2="FLA",
IF(VLOOKUP($A364, YES_Reading_FLA[], COLUMN(YES_Reading_FLA[Self-Identified as African Descent]),FALSE)="","",
VLOOKUP($A364,YES_Reading_FLA[],COLUMN(YES_Reading_FLA[Self-Identified as African Descent]),FALSE)),
IF($J$2="Combined",
IFERROR(
IF(VLOOKUP($A364, YES_Reading_ELA[], COLUMN(YES_Reading_ELA[Self-Identified as African Descent]), FALSE)="", "",
VLOOKUP($A364,YES_Reading_ELA[],COLUMN(YES_Reading_ELA[Self-Identified as African Descent]),FALSE)),
IF(VLOOKUP($A364, YES_Reading_FLA[], COLUMN(YES_Reading_FLA[Self-Identified as African Descent]),FALSE)="", "", VLOOKUP($A364,YES_Reading_FLA[],COLUMN(YES_Reading_FLA[Self-Identified as African Descent]),FALSE))),""))),"")</f>
        <v/>
      </c>
      <c r="L364" s="73" t="str" cm="1">
        <f t="array" ref="L364">IFERROR(
IF($J$2="ELA",
IF(VLOOKUP($A364, YES_Reading_ELA[], COLUMN(YES_Reading_ELA[Self-Identified as Indigenous]), FALSE)="", "",
VLOOKUP($A364,YES_Reading_ELA[], COLUMN(YES_Reading_ELA[Self-Identified as Indigenous]), FALSE)),
IF($J$2="FLA",
IF(VLOOKUP($A364, YES_Reading_FLA[], COLUMN(YES_Reading_FLA[Self-Identified as Indigenous]),FALSE)="","",
VLOOKUP($A364,YES_Reading_FLA[],COLUMN(YES_Reading_FLA[Self-Identified as Indigenous]),FALSE)),
IF($J$2="Combined",
IFERROR(
IF(VLOOKUP($A364, YES_Reading_ELA[], COLUMN(YES_Reading_ELA[Self-Identified as Indigenous]), FALSE)="", "",
VLOOKUP($A364,YES_Reading_ELA[],COLUMN(YES_Reading_ELA[Self-Identified as Indigenous]),FALSE)),
IF(VLOOKUP($A364, YES_Reading_FLA[], COLUMN(YES_Reading_FLA[Self-Identified as Indigenous]),FALSE)="", "", VLOOKUP($A364,YES_Reading_FLA[],COLUMN(YES_Reading_FLA[Self-Identified as Indigenous]),FALSE))),""))),"")</f>
        <v/>
      </c>
    </row>
    <row r="365" spans="1:12" ht="19.5" customHeight="1" x14ac:dyDescent="0.25">
      <c r="A365" s="217"/>
      <c r="B365" s="220"/>
      <c r="C365" s="203"/>
      <c r="D365" s="204"/>
      <c r="E365" s="205"/>
      <c r="F365" s="205"/>
      <c r="G365" s="205"/>
      <c r="H365" s="206"/>
      <c r="I365" s="212"/>
      <c r="J365" s="206"/>
      <c r="K365" s="197" t="str" cm="1">
        <f t="array" ref="K365">IFERROR(
IF($J$2="ELA",
IF(VLOOKUP($A365, YES_Reading_ELA[], COLUMN(YES_Reading_ELA[Self-Identified as African Descent]), FALSE)="", "",
VLOOKUP($A365,YES_Reading_ELA[], COLUMN(YES_Reading_ELA[Self-Identified as African Descent]), FALSE)),
IF($J$2="FLA",
IF(VLOOKUP($A365, YES_Reading_FLA[], COLUMN(YES_Reading_FLA[Self-Identified as African Descent]),FALSE)="","",
VLOOKUP($A365,YES_Reading_FLA[],COLUMN(YES_Reading_FLA[Self-Identified as African Descent]),FALSE)),
IF($J$2="Combined",
IFERROR(
IF(VLOOKUP($A365, YES_Reading_ELA[], COLUMN(YES_Reading_ELA[Self-Identified as African Descent]), FALSE)="", "",
VLOOKUP($A365,YES_Reading_ELA[],COLUMN(YES_Reading_ELA[Self-Identified as African Descent]),FALSE)),
IF(VLOOKUP($A365, YES_Reading_FLA[], COLUMN(YES_Reading_FLA[Self-Identified as African Descent]),FALSE)="", "", VLOOKUP($A365,YES_Reading_FLA[],COLUMN(YES_Reading_FLA[Self-Identified as African Descent]),FALSE))),""))),"")</f>
        <v/>
      </c>
      <c r="L365" s="73" t="str" cm="1">
        <f t="array" ref="L365">IFERROR(
IF($J$2="ELA",
IF(VLOOKUP($A365, YES_Reading_ELA[], COLUMN(YES_Reading_ELA[Self-Identified as Indigenous]), FALSE)="", "",
VLOOKUP($A365,YES_Reading_ELA[], COLUMN(YES_Reading_ELA[Self-Identified as Indigenous]), FALSE)),
IF($J$2="FLA",
IF(VLOOKUP($A365, YES_Reading_FLA[], COLUMN(YES_Reading_FLA[Self-Identified as Indigenous]),FALSE)="","",
VLOOKUP($A365,YES_Reading_FLA[],COLUMN(YES_Reading_FLA[Self-Identified as Indigenous]),FALSE)),
IF($J$2="Combined",
IFERROR(
IF(VLOOKUP($A365, YES_Reading_ELA[], COLUMN(YES_Reading_ELA[Self-Identified as Indigenous]), FALSE)="", "",
VLOOKUP($A365,YES_Reading_ELA[],COLUMN(YES_Reading_ELA[Self-Identified as Indigenous]),FALSE)),
IF(VLOOKUP($A365, YES_Reading_FLA[], COLUMN(YES_Reading_FLA[Self-Identified as Indigenous]),FALSE)="", "", VLOOKUP($A365,YES_Reading_FLA[],COLUMN(YES_Reading_FLA[Self-Identified as Indigenous]),FALSE))),""))),"")</f>
        <v/>
      </c>
    </row>
    <row r="366" spans="1:12" ht="19.5" customHeight="1" x14ac:dyDescent="0.25">
      <c r="A366" s="217"/>
      <c r="B366" s="220"/>
      <c r="C366" s="203"/>
      <c r="D366" s="204"/>
      <c r="E366" s="205"/>
      <c r="F366" s="205"/>
      <c r="G366" s="205"/>
      <c r="H366" s="206"/>
      <c r="I366" s="212"/>
      <c r="J366" s="206"/>
      <c r="K366" s="197" t="str" cm="1">
        <f t="array" ref="K366">IFERROR(
IF($J$2="ELA",
IF(VLOOKUP($A366, YES_Reading_ELA[], COLUMN(YES_Reading_ELA[Self-Identified as African Descent]), FALSE)="", "",
VLOOKUP($A366,YES_Reading_ELA[], COLUMN(YES_Reading_ELA[Self-Identified as African Descent]), FALSE)),
IF($J$2="FLA",
IF(VLOOKUP($A366, YES_Reading_FLA[], COLUMN(YES_Reading_FLA[Self-Identified as African Descent]),FALSE)="","",
VLOOKUP($A366,YES_Reading_FLA[],COLUMN(YES_Reading_FLA[Self-Identified as African Descent]),FALSE)),
IF($J$2="Combined",
IFERROR(
IF(VLOOKUP($A366, YES_Reading_ELA[], COLUMN(YES_Reading_ELA[Self-Identified as African Descent]), FALSE)="", "",
VLOOKUP($A366,YES_Reading_ELA[],COLUMN(YES_Reading_ELA[Self-Identified as African Descent]),FALSE)),
IF(VLOOKUP($A366, YES_Reading_FLA[], COLUMN(YES_Reading_FLA[Self-Identified as African Descent]),FALSE)="", "", VLOOKUP($A366,YES_Reading_FLA[],COLUMN(YES_Reading_FLA[Self-Identified as African Descent]),FALSE))),""))),"")</f>
        <v/>
      </c>
      <c r="L366" s="73" t="str" cm="1">
        <f t="array" ref="L366">IFERROR(
IF($J$2="ELA",
IF(VLOOKUP($A366, YES_Reading_ELA[], COLUMN(YES_Reading_ELA[Self-Identified as Indigenous]), FALSE)="", "",
VLOOKUP($A366,YES_Reading_ELA[], COLUMN(YES_Reading_ELA[Self-Identified as Indigenous]), FALSE)),
IF($J$2="FLA",
IF(VLOOKUP($A366, YES_Reading_FLA[], COLUMN(YES_Reading_FLA[Self-Identified as Indigenous]),FALSE)="","",
VLOOKUP($A366,YES_Reading_FLA[],COLUMN(YES_Reading_FLA[Self-Identified as Indigenous]),FALSE)),
IF($J$2="Combined",
IFERROR(
IF(VLOOKUP($A366, YES_Reading_ELA[], COLUMN(YES_Reading_ELA[Self-Identified as Indigenous]), FALSE)="", "",
VLOOKUP($A366,YES_Reading_ELA[],COLUMN(YES_Reading_ELA[Self-Identified as Indigenous]),FALSE)),
IF(VLOOKUP($A366, YES_Reading_FLA[], COLUMN(YES_Reading_FLA[Self-Identified as Indigenous]),FALSE)="", "", VLOOKUP($A366,YES_Reading_FLA[],COLUMN(YES_Reading_FLA[Self-Identified as Indigenous]),FALSE))),""))),"")</f>
        <v/>
      </c>
    </row>
    <row r="367" spans="1:12" ht="19.5" customHeight="1" x14ac:dyDescent="0.25">
      <c r="A367" s="217"/>
      <c r="B367" s="220"/>
      <c r="C367" s="203"/>
      <c r="D367" s="204"/>
      <c r="E367" s="205"/>
      <c r="F367" s="205"/>
      <c r="G367" s="205"/>
      <c r="H367" s="206"/>
      <c r="I367" s="212"/>
      <c r="J367" s="206"/>
      <c r="K367" s="197" t="str" cm="1">
        <f t="array" ref="K367">IFERROR(
IF($J$2="ELA",
IF(VLOOKUP($A367, YES_Reading_ELA[], COLUMN(YES_Reading_ELA[Self-Identified as African Descent]), FALSE)="", "",
VLOOKUP($A367,YES_Reading_ELA[], COLUMN(YES_Reading_ELA[Self-Identified as African Descent]), FALSE)),
IF($J$2="FLA",
IF(VLOOKUP($A367, YES_Reading_FLA[], COLUMN(YES_Reading_FLA[Self-Identified as African Descent]),FALSE)="","",
VLOOKUP($A367,YES_Reading_FLA[],COLUMN(YES_Reading_FLA[Self-Identified as African Descent]),FALSE)),
IF($J$2="Combined",
IFERROR(
IF(VLOOKUP($A367, YES_Reading_ELA[], COLUMN(YES_Reading_ELA[Self-Identified as African Descent]), FALSE)="", "",
VLOOKUP($A367,YES_Reading_ELA[],COLUMN(YES_Reading_ELA[Self-Identified as African Descent]),FALSE)),
IF(VLOOKUP($A367, YES_Reading_FLA[], COLUMN(YES_Reading_FLA[Self-Identified as African Descent]),FALSE)="", "", VLOOKUP($A367,YES_Reading_FLA[],COLUMN(YES_Reading_FLA[Self-Identified as African Descent]),FALSE))),""))),"")</f>
        <v/>
      </c>
      <c r="L367" s="73" t="str" cm="1">
        <f t="array" ref="L367">IFERROR(
IF($J$2="ELA",
IF(VLOOKUP($A367, YES_Reading_ELA[], COLUMN(YES_Reading_ELA[Self-Identified as Indigenous]), FALSE)="", "",
VLOOKUP($A367,YES_Reading_ELA[], COLUMN(YES_Reading_ELA[Self-Identified as Indigenous]), FALSE)),
IF($J$2="FLA",
IF(VLOOKUP($A367, YES_Reading_FLA[], COLUMN(YES_Reading_FLA[Self-Identified as Indigenous]),FALSE)="","",
VLOOKUP($A367,YES_Reading_FLA[],COLUMN(YES_Reading_FLA[Self-Identified as Indigenous]),FALSE)),
IF($J$2="Combined",
IFERROR(
IF(VLOOKUP($A367, YES_Reading_ELA[], COLUMN(YES_Reading_ELA[Self-Identified as Indigenous]), FALSE)="", "",
VLOOKUP($A367,YES_Reading_ELA[],COLUMN(YES_Reading_ELA[Self-Identified as Indigenous]),FALSE)),
IF(VLOOKUP($A367, YES_Reading_FLA[], COLUMN(YES_Reading_FLA[Self-Identified as Indigenous]),FALSE)="", "", VLOOKUP($A367,YES_Reading_FLA[],COLUMN(YES_Reading_FLA[Self-Identified as Indigenous]),FALSE))),""))),"")</f>
        <v/>
      </c>
    </row>
    <row r="368" spans="1:12" ht="19.5" customHeight="1" x14ac:dyDescent="0.25">
      <c r="A368" s="217"/>
      <c r="B368" s="220"/>
      <c r="C368" s="203"/>
      <c r="D368" s="204"/>
      <c r="E368" s="205"/>
      <c r="F368" s="205"/>
      <c r="G368" s="205"/>
      <c r="H368" s="206"/>
      <c r="I368" s="212"/>
      <c r="J368" s="206"/>
      <c r="K368" s="197" t="str" cm="1">
        <f t="array" ref="K368">IFERROR(
IF($J$2="ELA",
IF(VLOOKUP($A368, YES_Reading_ELA[], COLUMN(YES_Reading_ELA[Self-Identified as African Descent]), FALSE)="", "",
VLOOKUP($A368,YES_Reading_ELA[], COLUMN(YES_Reading_ELA[Self-Identified as African Descent]), FALSE)),
IF($J$2="FLA",
IF(VLOOKUP($A368, YES_Reading_FLA[], COLUMN(YES_Reading_FLA[Self-Identified as African Descent]),FALSE)="","",
VLOOKUP($A368,YES_Reading_FLA[],COLUMN(YES_Reading_FLA[Self-Identified as African Descent]),FALSE)),
IF($J$2="Combined",
IFERROR(
IF(VLOOKUP($A368, YES_Reading_ELA[], COLUMN(YES_Reading_ELA[Self-Identified as African Descent]), FALSE)="", "",
VLOOKUP($A368,YES_Reading_ELA[],COLUMN(YES_Reading_ELA[Self-Identified as African Descent]),FALSE)),
IF(VLOOKUP($A368, YES_Reading_FLA[], COLUMN(YES_Reading_FLA[Self-Identified as African Descent]),FALSE)="", "", VLOOKUP($A368,YES_Reading_FLA[],COLUMN(YES_Reading_FLA[Self-Identified as African Descent]),FALSE))),""))),"")</f>
        <v/>
      </c>
      <c r="L368" s="73" t="str" cm="1">
        <f t="array" ref="L368">IFERROR(
IF($J$2="ELA",
IF(VLOOKUP($A368, YES_Reading_ELA[], COLUMN(YES_Reading_ELA[Self-Identified as Indigenous]), FALSE)="", "",
VLOOKUP($A368,YES_Reading_ELA[], COLUMN(YES_Reading_ELA[Self-Identified as Indigenous]), FALSE)),
IF($J$2="FLA",
IF(VLOOKUP($A368, YES_Reading_FLA[], COLUMN(YES_Reading_FLA[Self-Identified as Indigenous]),FALSE)="","",
VLOOKUP($A368,YES_Reading_FLA[],COLUMN(YES_Reading_FLA[Self-Identified as Indigenous]),FALSE)),
IF($J$2="Combined",
IFERROR(
IF(VLOOKUP($A368, YES_Reading_ELA[], COLUMN(YES_Reading_ELA[Self-Identified as Indigenous]), FALSE)="", "",
VLOOKUP($A368,YES_Reading_ELA[],COLUMN(YES_Reading_ELA[Self-Identified as Indigenous]),FALSE)),
IF(VLOOKUP($A368, YES_Reading_FLA[], COLUMN(YES_Reading_FLA[Self-Identified as Indigenous]),FALSE)="", "", VLOOKUP($A368,YES_Reading_FLA[],COLUMN(YES_Reading_FLA[Self-Identified as Indigenous]),FALSE))),""))),"")</f>
        <v/>
      </c>
    </row>
    <row r="369" spans="1:12" ht="19.5" customHeight="1" x14ac:dyDescent="0.25">
      <c r="A369" s="217"/>
      <c r="B369" s="220"/>
      <c r="C369" s="203"/>
      <c r="D369" s="204"/>
      <c r="E369" s="205"/>
      <c r="F369" s="205"/>
      <c r="G369" s="205"/>
      <c r="H369" s="206"/>
      <c r="I369" s="212"/>
      <c r="J369" s="206"/>
      <c r="K369" s="197" t="str" cm="1">
        <f t="array" ref="K369">IFERROR(
IF($J$2="ELA",
IF(VLOOKUP($A369, YES_Reading_ELA[], COLUMN(YES_Reading_ELA[Self-Identified as African Descent]), FALSE)="", "",
VLOOKUP($A369,YES_Reading_ELA[], COLUMN(YES_Reading_ELA[Self-Identified as African Descent]), FALSE)),
IF($J$2="FLA",
IF(VLOOKUP($A369, YES_Reading_FLA[], COLUMN(YES_Reading_FLA[Self-Identified as African Descent]),FALSE)="","",
VLOOKUP($A369,YES_Reading_FLA[],COLUMN(YES_Reading_FLA[Self-Identified as African Descent]),FALSE)),
IF($J$2="Combined",
IFERROR(
IF(VLOOKUP($A369, YES_Reading_ELA[], COLUMN(YES_Reading_ELA[Self-Identified as African Descent]), FALSE)="", "",
VLOOKUP($A369,YES_Reading_ELA[],COLUMN(YES_Reading_ELA[Self-Identified as African Descent]),FALSE)),
IF(VLOOKUP($A369, YES_Reading_FLA[], COLUMN(YES_Reading_FLA[Self-Identified as African Descent]),FALSE)="", "", VLOOKUP($A369,YES_Reading_FLA[],COLUMN(YES_Reading_FLA[Self-Identified as African Descent]),FALSE))),""))),"")</f>
        <v/>
      </c>
      <c r="L369" s="73" t="str" cm="1">
        <f t="array" ref="L369">IFERROR(
IF($J$2="ELA",
IF(VLOOKUP($A369, YES_Reading_ELA[], COLUMN(YES_Reading_ELA[Self-Identified as Indigenous]), FALSE)="", "",
VLOOKUP($A369,YES_Reading_ELA[], COLUMN(YES_Reading_ELA[Self-Identified as Indigenous]), FALSE)),
IF($J$2="FLA",
IF(VLOOKUP($A369, YES_Reading_FLA[], COLUMN(YES_Reading_FLA[Self-Identified as Indigenous]),FALSE)="","",
VLOOKUP($A369,YES_Reading_FLA[],COLUMN(YES_Reading_FLA[Self-Identified as Indigenous]),FALSE)),
IF($J$2="Combined",
IFERROR(
IF(VLOOKUP($A369, YES_Reading_ELA[], COLUMN(YES_Reading_ELA[Self-Identified as Indigenous]), FALSE)="", "",
VLOOKUP($A369,YES_Reading_ELA[],COLUMN(YES_Reading_ELA[Self-Identified as Indigenous]),FALSE)),
IF(VLOOKUP($A369, YES_Reading_FLA[], COLUMN(YES_Reading_FLA[Self-Identified as Indigenous]),FALSE)="", "", VLOOKUP($A369,YES_Reading_FLA[],COLUMN(YES_Reading_FLA[Self-Identified as Indigenous]),FALSE))),""))),"")</f>
        <v/>
      </c>
    </row>
    <row r="370" spans="1:12" ht="19.5" customHeight="1" x14ac:dyDescent="0.25">
      <c r="A370" s="217"/>
      <c r="B370" s="220"/>
      <c r="C370" s="203"/>
      <c r="D370" s="204"/>
      <c r="E370" s="205"/>
      <c r="F370" s="205"/>
      <c r="G370" s="205"/>
      <c r="H370" s="206"/>
      <c r="I370" s="212"/>
      <c r="J370" s="206"/>
      <c r="K370" s="197" t="str" cm="1">
        <f t="array" ref="K370">IFERROR(
IF($J$2="ELA",
IF(VLOOKUP($A370, YES_Reading_ELA[], COLUMN(YES_Reading_ELA[Self-Identified as African Descent]), FALSE)="", "",
VLOOKUP($A370,YES_Reading_ELA[], COLUMN(YES_Reading_ELA[Self-Identified as African Descent]), FALSE)),
IF($J$2="FLA",
IF(VLOOKUP($A370, YES_Reading_FLA[], COLUMN(YES_Reading_FLA[Self-Identified as African Descent]),FALSE)="","",
VLOOKUP($A370,YES_Reading_FLA[],COLUMN(YES_Reading_FLA[Self-Identified as African Descent]),FALSE)),
IF($J$2="Combined",
IFERROR(
IF(VLOOKUP($A370, YES_Reading_ELA[], COLUMN(YES_Reading_ELA[Self-Identified as African Descent]), FALSE)="", "",
VLOOKUP($A370,YES_Reading_ELA[],COLUMN(YES_Reading_ELA[Self-Identified as African Descent]),FALSE)),
IF(VLOOKUP($A370, YES_Reading_FLA[], COLUMN(YES_Reading_FLA[Self-Identified as African Descent]),FALSE)="", "", VLOOKUP($A370,YES_Reading_FLA[],COLUMN(YES_Reading_FLA[Self-Identified as African Descent]),FALSE))),""))),"")</f>
        <v/>
      </c>
      <c r="L370" s="73" t="str" cm="1">
        <f t="array" ref="L370">IFERROR(
IF($J$2="ELA",
IF(VLOOKUP($A370, YES_Reading_ELA[], COLUMN(YES_Reading_ELA[Self-Identified as Indigenous]), FALSE)="", "",
VLOOKUP($A370,YES_Reading_ELA[], COLUMN(YES_Reading_ELA[Self-Identified as Indigenous]), FALSE)),
IF($J$2="FLA",
IF(VLOOKUP($A370, YES_Reading_FLA[], COLUMN(YES_Reading_FLA[Self-Identified as Indigenous]),FALSE)="","",
VLOOKUP($A370,YES_Reading_FLA[],COLUMN(YES_Reading_FLA[Self-Identified as Indigenous]),FALSE)),
IF($J$2="Combined",
IFERROR(
IF(VLOOKUP($A370, YES_Reading_ELA[], COLUMN(YES_Reading_ELA[Self-Identified as Indigenous]), FALSE)="", "",
VLOOKUP($A370,YES_Reading_ELA[],COLUMN(YES_Reading_ELA[Self-Identified as Indigenous]),FALSE)),
IF(VLOOKUP($A370, YES_Reading_FLA[], COLUMN(YES_Reading_FLA[Self-Identified as Indigenous]),FALSE)="", "", VLOOKUP($A370,YES_Reading_FLA[],COLUMN(YES_Reading_FLA[Self-Identified as Indigenous]),FALSE))),""))),"")</f>
        <v/>
      </c>
    </row>
    <row r="371" spans="1:12" ht="19.5" customHeight="1" x14ac:dyDescent="0.25">
      <c r="A371" s="217"/>
      <c r="B371" s="220"/>
      <c r="C371" s="203"/>
      <c r="D371" s="204"/>
      <c r="E371" s="205"/>
      <c r="F371" s="205"/>
      <c r="G371" s="205"/>
      <c r="H371" s="206"/>
      <c r="I371" s="212"/>
      <c r="J371" s="206"/>
      <c r="K371" s="197" t="str" cm="1">
        <f t="array" ref="K371">IFERROR(
IF($J$2="ELA",
IF(VLOOKUP($A371, YES_Reading_ELA[], COLUMN(YES_Reading_ELA[Self-Identified as African Descent]), FALSE)="", "",
VLOOKUP($A371,YES_Reading_ELA[], COLUMN(YES_Reading_ELA[Self-Identified as African Descent]), FALSE)),
IF($J$2="FLA",
IF(VLOOKUP($A371, YES_Reading_FLA[], COLUMN(YES_Reading_FLA[Self-Identified as African Descent]),FALSE)="","",
VLOOKUP($A371,YES_Reading_FLA[],COLUMN(YES_Reading_FLA[Self-Identified as African Descent]),FALSE)),
IF($J$2="Combined",
IFERROR(
IF(VLOOKUP($A371, YES_Reading_ELA[], COLUMN(YES_Reading_ELA[Self-Identified as African Descent]), FALSE)="", "",
VLOOKUP($A371,YES_Reading_ELA[],COLUMN(YES_Reading_ELA[Self-Identified as African Descent]),FALSE)),
IF(VLOOKUP($A371, YES_Reading_FLA[], COLUMN(YES_Reading_FLA[Self-Identified as African Descent]),FALSE)="", "", VLOOKUP($A371,YES_Reading_FLA[],COLUMN(YES_Reading_FLA[Self-Identified as African Descent]),FALSE))),""))),"")</f>
        <v/>
      </c>
      <c r="L371" s="73" t="str" cm="1">
        <f t="array" ref="L371">IFERROR(
IF($J$2="ELA",
IF(VLOOKUP($A371, YES_Reading_ELA[], COLUMN(YES_Reading_ELA[Self-Identified as Indigenous]), FALSE)="", "",
VLOOKUP($A371,YES_Reading_ELA[], COLUMN(YES_Reading_ELA[Self-Identified as Indigenous]), FALSE)),
IF($J$2="FLA",
IF(VLOOKUP($A371, YES_Reading_FLA[], COLUMN(YES_Reading_FLA[Self-Identified as Indigenous]),FALSE)="","",
VLOOKUP($A371,YES_Reading_FLA[],COLUMN(YES_Reading_FLA[Self-Identified as Indigenous]),FALSE)),
IF($J$2="Combined",
IFERROR(
IF(VLOOKUP($A371, YES_Reading_ELA[], COLUMN(YES_Reading_ELA[Self-Identified as Indigenous]), FALSE)="", "",
VLOOKUP($A371,YES_Reading_ELA[],COLUMN(YES_Reading_ELA[Self-Identified as Indigenous]),FALSE)),
IF(VLOOKUP($A371, YES_Reading_FLA[], COLUMN(YES_Reading_FLA[Self-Identified as Indigenous]),FALSE)="", "", VLOOKUP($A371,YES_Reading_FLA[],COLUMN(YES_Reading_FLA[Self-Identified as Indigenous]),FALSE))),""))),"")</f>
        <v/>
      </c>
    </row>
    <row r="372" spans="1:12" ht="19.5" customHeight="1" x14ac:dyDescent="0.25">
      <c r="A372" s="217"/>
      <c r="B372" s="220"/>
      <c r="C372" s="203"/>
      <c r="D372" s="204"/>
      <c r="E372" s="205"/>
      <c r="F372" s="205"/>
      <c r="G372" s="205"/>
      <c r="H372" s="206"/>
      <c r="I372" s="212"/>
      <c r="J372" s="206"/>
      <c r="K372" s="197" t="str" cm="1">
        <f t="array" ref="K372">IFERROR(
IF($J$2="ELA",
IF(VLOOKUP($A372, YES_Reading_ELA[], COLUMN(YES_Reading_ELA[Self-Identified as African Descent]), FALSE)="", "",
VLOOKUP($A372,YES_Reading_ELA[], COLUMN(YES_Reading_ELA[Self-Identified as African Descent]), FALSE)),
IF($J$2="FLA",
IF(VLOOKUP($A372, YES_Reading_FLA[], COLUMN(YES_Reading_FLA[Self-Identified as African Descent]),FALSE)="","",
VLOOKUP($A372,YES_Reading_FLA[],COLUMN(YES_Reading_FLA[Self-Identified as African Descent]),FALSE)),
IF($J$2="Combined",
IFERROR(
IF(VLOOKUP($A372, YES_Reading_ELA[], COLUMN(YES_Reading_ELA[Self-Identified as African Descent]), FALSE)="", "",
VLOOKUP($A372,YES_Reading_ELA[],COLUMN(YES_Reading_ELA[Self-Identified as African Descent]),FALSE)),
IF(VLOOKUP($A372, YES_Reading_FLA[], COLUMN(YES_Reading_FLA[Self-Identified as African Descent]),FALSE)="", "", VLOOKUP($A372,YES_Reading_FLA[],COLUMN(YES_Reading_FLA[Self-Identified as African Descent]),FALSE))),""))),"")</f>
        <v/>
      </c>
      <c r="L372" s="73" t="str" cm="1">
        <f t="array" ref="L372">IFERROR(
IF($J$2="ELA",
IF(VLOOKUP($A372, YES_Reading_ELA[], COLUMN(YES_Reading_ELA[Self-Identified as Indigenous]), FALSE)="", "",
VLOOKUP($A372,YES_Reading_ELA[], COLUMN(YES_Reading_ELA[Self-Identified as Indigenous]), FALSE)),
IF($J$2="FLA",
IF(VLOOKUP($A372, YES_Reading_FLA[], COLUMN(YES_Reading_FLA[Self-Identified as Indigenous]),FALSE)="","",
VLOOKUP($A372,YES_Reading_FLA[],COLUMN(YES_Reading_FLA[Self-Identified as Indigenous]),FALSE)),
IF($J$2="Combined",
IFERROR(
IF(VLOOKUP($A372, YES_Reading_ELA[], COLUMN(YES_Reading_ELA[Self-Identified as Indigenous]), FALSE)="", "",
VLOOKUP($A372,YES_Reading_ELA[],COLUMN(YES_Reading_ELA[Self-Identified as Indigenous]),FALSE)),
IF(VLOOKUP($A372, YES_Reading_FLA[], COLUMN(YES_Reading_FLA[Self-Identified as Indigenous]),FALSE)="", "", VLOOKUP($A372,YES_Reading_FLA[],COLUMN(YES_Reading_FLA[Self-Identified as Indigenous]),FALSE))),""))),"")</f>
        <v/>
      </c>
    </row>
    <row r="373" spans="1:12" ht="19.5" customHeight="1" x14ac:dyDescent="0.25">
      <c r="A373" s="217"/>
      <c r="B373" s="220"/>
      <c r="C373" s="203"/>
      <c r="D373" s="204"/>
      <c r="E373" s="205"/>
      <c r="F373" s="205"/>
      <c r="G373" s="205"/>
      <c r="H373" s="206"/>
      <c r="I373" s="212"/>
      <c r="J373" s="206"/>
      <c r="K373" s="197" t="str" cm="1">
        <f t="array" ref="K373">IFERROR(
IF($J$2="ELA",
IF(VLOOKUP($A373, YES_Reading_ELA[], COLUMN(YES_Reading_ELA[Self-Identified as African Descent]), FALSE)="", "",
VLOOKUP($A373,YES_Reading_ELA[], COLUMN(YES_Reading_ELA[Self-Identified as African Descent]), FALSE)),
IF($J$2="FLA",
IF(VLOOKUP($A373, YES_Reading_FLA[], COLUMN(YES_Reading_FLA[Self-Identified as African Descent]),FALSE)="","",
VLOOKUP($A373,YES_Reading_FLA[],COLUMN(YES_Reading_FLA[Self-Identified as African Descent]),FALSE)),
IF($J$2="Combined",
IFERROR(
IF(VLOOKUP($A373, YES_Reading_ELA[], COLUMN(YES_Reading_ELA[Self-Identified as African Descent]), FALSE)="", "",
VLOOKUP($A373,YES_Reading_ELA[],COLUMN(YES_Reading_ELA[Self-Identified as African Descent]),FALSE)),
IF(VLOOKUP($A373, YES_Reading_FLA[], COLUMN(YES_Reading_FLA[Self-Identified as African Descent]),FALSE)="", "", VLOOKUP($A373,YES_Reading_FLA[],COLUMN(YES_Reading_FLA[Self-Identified as African Descent]),FALSE))),""))),"")</f>
        <v/>
      </c>
      <c r="L373" s="73" t="str" cm="1">
        <f t="array" ref="L373">IFERROR(
IF($J$2="ELA",
IF(VLOOKUP($A373, YES_Reading_ELA[], COLUMN(YES_Reading_ELA[Self-Identified as Indigenous]), FALSE)="", "",
VLOOKUP($A373,YES_Reading_ELA[], COLUMN(YES_Reading_ELA[Self-Identified as Indigenous]), FALSE)),
IF($J$2="FLA",
IF(VLOOKUP($A373, YES_Reading_FLA[], COLUMN(YES_Reading_FLA[Self-Identified as Indigenous]),FALSE)="","",
VLOOKUP($A373,YES_Reading_FLA[],COLUMN(YES_Reading_FLA[Self-Identified as Indigenous]),FALSE)),
IF($J$2="Combined",
IFERROR(
IF(VLOOKUP($A373, YES_Reading_ELA[], COLUMN(YES_Reading_ELA[Self-Identified as Indigenous]), FALSE)="", "",
VLOOKUP($A373,YES_Reading_ELA[],COLUMN(YES_Reading_ELA[Self-Identified as Indigenous]),FALSE)),
IF(VLOOKUP($A373, YES_Reading_FLA[], COLUMN(YES_Reading_FLA[Self-Identified as Indigenous]),FALSE)="", "", VLOOKUP($A373,YES_Reading_FLA[],COLUMN(YES_Reading_FLA[Self-Identified as Indigenous]),FALSE))),""))),"")</f>
        <v/>
      </c>
    </row>
    <row r="374" spans="1:12" ht="19.5" customHeight="1" x14ac:dyDescent="0.25">
      <c r="A374" s="217"/>
      <c r="B374" s="220"/>
      <c r="C374" s="203"/>
      <c r="D374" s="204"/>
      <c r="E374" s="205"/>
      <c r="F374" s="205"/>
      <c r="G374" s="205"/>
      <c r="H374" s="206"/>
      <c r="I374" s="212"/>
      <c r="J374" s="206"/>
      <c r="K374" s="197" t="str" cm="1">
        <f t="array" ref="K374">IFERROR(
IF($J$2="ELA",
IF(VLOOKUP($A374, YES_Reading_ELA[], COLUMN(YES_Reading_ELA[Self-Identified as African Descent]), FALSE)="", "",
VLOOKUP($A374,YES_Reading_ELA[], COLUMN(YES_Reading_ELA[Self-Identified as African Descent]), FALSE)),
IF($J$2="FLA",
IF(VLOOKUP($A374, YES_Reading_FLA[], COLUMN(YES_Reading_FLA[Self-Identified as African Descent]),FALSE)="","",
VLOOKUP($A374,YES_Reading_FLA[],COLUMN(YES_Reading_FLA[Self-Identified as African Descent]),FALSE)),
IF($J$2="Combined",
IFERROR(
IF(VLOOKUP($A374, YES_Reading_ELA[], COLUMN(YES_Reading_ELA[Self-Identified as African Descent]), FALSE)="", "",
VLOOKUP($A374,YES_Reading_ELA[],COLUMN(YES_Reading_ELA[Self-Identified as African Descent]),FALSE)),
IF(VLOOKUP($A374, YES_Reading_FLA[], COLUMN(YES_Reading_FLA[Self-Identified as African Descent]),FALSE)="", "", VLOOKUP($A374,YES_Reading_FLA[],COLUMN(YES_Reading_FLA[Self-Identified as African Descent]),FALSE))),""))),"")</f>
        <v/>
      </c>
      <c r="L374" s="73" t="str" cm="1">
        <f t="array" ref="L374">IFERROR(
IF($J$2="ELA",
IF(VLOOKUP($A374, YES_Reading_ELA[], COLUMN(YES_Reading_ELA[Self-Identified as Indigenous]), FALSE)="", "",
VLOOKUP($A374,YES_Reading_ELA[], COLUMN(YES_Reading_ELA[Self-Identified as Indigenous]), FALSE)),
IF($J$2="FLA",
IF(VLOOKUP($A374, YES_Reading_FLA[], COLUMN(YES_Reading_FLA[Self-Identified as Indigenous]),FALSE)="","",
VLOOKUP($A374,YES_Reading_FLA[],COLUMN(YES_Reading_FLA[Self-Identified as Indigenous]),FALSE)),
IF($J$2="Combined",
IFERROR(
IF(VLOOKUP($A374, YES_Reading_ELA[], COLUMN(YES_Reading_ELA[Self-Identified as Indigenous]), FALSE)="", "",
VLOOKUP($A374,YES_Reading_ELA[],COLUMN(YES_Reading_ELA[Self-Identified as Indigenous]),FALSE)),
IF(VLOOKUP($A374, YES_Reading_FLA[], COLUMN(YES_Reading_FLA[Self-Identified as Indigenous]),FALSE)="", "", VLOOKUP($A374,YES_Reading_FLA[],COLUMN(YES_Reading_FLA[Self-Identified as Indigenous]),FALSE))),""))),"")</f>
        <v/>
      </c>
    </row>
    <row r="375" spans="1:12" ht="19.5" customHeight="1" x14ac:dyDescent="0.25">
      <c r="A375" s="217"/>
      <c r="B375" s="220"/>
      <c r="C375" s="203"/>
      <c r="D375" s="204"/>
      <c r="E375" s="205"/>
      <c r="F375" s="205"/>
      <c r="G375" s="205"/>
      <c r="H375" s="206"/>
      <c r="I375" s="212"/>
      <c r="J375" s="206"/>
      <c r="K375" s="197" t="str" cm="1">
        <f t="array" ref="K375">IFERROR(
IF($J$2="ELA",
IF(VLOOKUP($A375, YES_Reading_ELA[], COLUMN(YES_Reading_ELA[Self-Identified as African Descent]), FALSE)="", "",
VLOOKUP($A375,YES_Reading_ELA[], COLUMN(YES_Reading_ELA[Self-Identified as African Descent]), FALSE)),
IF($J$2="FLA",
IF(VLOOKUP($A375, YES_Reading_FLA[], COLUMN(YES_Reading_FLA[Self-Identified as African Descent]),FALSE)="","",
VLOOKUP($A375,YES_Reading_FLA[],COLUMN(YES_Reading_FLA[Self-Identified as African Descent]),FALSE)),
IF($J$2="Combined",
IFERROR(
IF(VLOOKUP($A375, YES_Reading_ELA[], COLUMN(YES_Reading_ELA[Self-Identified as African Descent]), FALSE)="", "",
VLOOKUP($A375,YES_Reading_ELA[],COLUMN(YES_Reading_ELA[Self-Identified as African Descent]),FALSE)),
IF(VLOOKUP($A375, YES_Reading_FLA[], COLUMN(YES_Reading_FLA[Self-Identified as African Descent]),FALSE)="", "", VLOOKUP($A375,YES_Reading_FLA[],COLUMN(YES_Reading_FLA[Self-Identified as African Descent]),FALSE))),""))),"")</f>
        <v/>
      </c>
      <c r="L375" s="73" t="str" cm="1">
        <f t="array" ref="L375">IFERROR(
IF($J$2="ELA",
IF(VLOOKUP($A375, YES_Reading_ELA[], COLUMN(YES_Reading_ELA[Self-Identified as Indigenous]), FALSE)="", "",
VLOOKUP($A375,YES_Reading_ELA[], COLUMN(YES_Reading_ELA[Self-Identified as Indigenous]), FALSE)),
IF($J$2="FLA",
IF(VLOOKUP($A375, YES_Reading_FLA[], COLUMN(YES_Reading_FLA[Self-Identified as Indigenous]),FALSE)="","",
VLOOKUP($A375,YES_Reading_FLA[],COLUMN(YES_Reading_FLA[Self-Identified as Indigenous]),FALSE)),
IF($J$2="Combined",
IFERROR(
IF(VLOOKUP($A375, YES_Reading_ELA[], COLUMN(YES_Reading_ELA[Self-Identified as Indigenous]), FALSE)="", "",
VLOOKUP($A375,YES_Reading_ELA[],COLUMN(YES_Reading_ELA[Self-Identified as Indigenous]),FALSE)),
IF(VLOOKUP($A375, YES_Reading_FLA[], COLUMN(YES_Reading_FLA[Self-Identified as Indigenous]),FALSE)="", "", VLOOKUP($A375,YES_Reading_FLA[],COLUMN(YES_Reading_FLA[Self-Identified as Indigenous]),FALSE))),""))),"")</f>
        <v/>
      </c>
    </row>
    <row r="376" spans="1:12" ht="19.5" customHeight="1" x14ac:dyDescent="0.25">
      <c r="A376" s="217"/>
      <c r="B376" s="220"/>
      <c r="C376" s="203"/>
      <c r="D376" s="204"/>
      <c r="E376" s="205"/>
      <c r="F376" s="205"/>
      <c r="G376" s="205"/>
      <c r="H376" s="206"/>
      <c r="I376" s="212"/>
      <c r="J376" s="206"/>
      <c r="K376" s="197" t="str" cm="1">
        <f t="array" ref="K376">IFERROR(
IF($J$2="ELA",
IF(VLOOKUP($A376, YES_Reading_ELA[], COLUMN(YES_Reading_ELA[Self-Identified as African Descent]), FALSE)="", "",
VLOOKUP($A376,YES_Reading_ELA[], COLUMN(YES_Reading_ELA[Self-Identified as African Descent]), FALSE)),
IF($J$2="FLA",
IF(VLOOKUP($A376, YES_Reading_FLA[], COLUMN(YES_Reading_FLA[Self-Identified as African Descent]),FALSE)="","",
VLOOKUP($A376,YES_Reading_FLA[],COLUMN(YES_Reading_FLA[Self-Identified as African Descent]),FALSE)),
IF($J$2="Combined",
IFERROR(
IF(VLOOKUP($A376, YES_Reading_ELA[], COLUMN(YES_Reading_ELA[Self-Identified as African Descent]), FALSE)="", "",
VLOOKUP($A376,YES_Reading_ELA[],COLUMN(YES_Reading_ELA[Self-Identified as African Descent]),FALSE)),
IF(VLOOKUP($A376, YES_Reading_FLA[], COLUMN(YES_Reading_FLA[Self-Identified as African Descent]),FALSE)="", "", VLOOKUP($A376,YES_Reading_FLA[],COLUMN(YES_Reading_FLA[Self-Identified as African Descent]),FALSE))),""))),"")</f>
        <v/>
      </c>
      <c r="L376" s="73" t="str" cm="1">
        <f t="array" ref="L376">IFERROR(
IF($J$2="ELA",
IF(VLOOKUP($A376, YES_Reading_ELA[], COLUMN(YES_Reading_ELA[Self-Identified as Indigenous]), FALSE)="", "",
VLOOKUP($A376,YES_Reading_ELA[], COLUMN(YES_Reading_ELA[Self-Identified as Indigenous]), FALSE)),
IF($J$2="FLA",
IF(VLOOKUP($A376, YES_Reading_FLA[], COLUMN(YES_Reading_FLA[Self-Identified as Indigenous]),FALSE)="","",
VLOOKUP($A376,YES_Reading_FLA[],COLUMN(YES_Reading_FLA[Self-Identified as Indigenous]),FALSE)),
IF($J$2="Combined",
IFERROR(
IF(VLOOKUP($A376, YES_Reading_ELA[], COLUMN(YES_Reading_ELA[Self-Identified as Indigenous]), FALSE)="", "",
VLOOKUP($A376,YES_Reading_ELA[],COLUMN(YES_Reading_ELA[Self-Identified as Indigenous]),FALSE)),
IF(VLOOKUP($A376, YES_Reading_FLA[], COLUMN(YES_Reading_FLA[Self-Identified as Indigenous]),FALSE)="", "", VLOOKUP($A376,YES_Reading_FLA[],COLUMN(YES_Reading_FLA[Self-Identified as Indigenous]),FALSE))),""))),"")</f>
        <v/>
      </c>
    </row>
    <row r="377" spans="1:12" ht="19.5" customHeight="1" thickBot="1" x14ac:dyDescent="0.3">
      <c r="A377" s="218"/>
      <c r="B377" s="221"/>
      <c r="C377" s="208"/>
      <c r="D377" s="209"/>
      <c r="E377" s="210"/>
      <c r="F377" s="210"/>
      <c r="G377" s="210"/>
      <c r="H377" s="211"/>
      <c r="I377" s="213"/>
      <c r="J377" s="211"/>
      <c r="K377" s="198" t="str" cm="1">
        <f t="array" ref="K377">IFERROR(
IF($J$2="ELA",
IF(VLOOKUP($A377, YES_Reading_ELA[], COLUMN(YES_Reading_ELA[Self-Identified as African Descent]), FALSE)="", "",
VLOOKUP($A377,YES_Reading_ELA[], COLUMN(YES_Reading_ELA[Self-Identified as African Descent]), FALSE)),
IF($J$2="FLA",
IF(VLOOKUP($A377, YES_Reading_FLA[], COLUMN(YES_Reading_FLA[Self-Identified as African Descent]),FALSE)="","",
VLOOKUP($A377,YES_Reading_FLA[],COLUMN(YES_Reading_FLA[Self-Identified as African Descent]),FALSE)),
IF($J$2="Combined",
IFERROR(
IF(VLOOKUP($A377, YES_Reading_ELA[], COLUMN(YES_Reading_ELA[Self-Identified as African Descent]), FALSE)="", "",
VLOOKUP($A377,YES_Reading_ELA[],COLUMN(YES_Reading_ELA[Self-Identified as African Descent]),FALSE)),
IF(VLOOKUP($A377, YES_Reading_FLA[], COLUMN(YES_Reading_FLA[Self-Identified as African Descent]),FALSE)="", "", VLOOKUP($A377,YES_Reading_FLA[],COLUMN(YES_Reading_FLA[Self-Identified as African Descent]),FALSE))),""))),"")</f>
        <v/>
      </c>
      <c r="L377" s="74" t="str" cm="1">
        <f t="array" ref="L377">IFERROR(
IF($J$2="ELA",
IF(VLOOKUP($A377, YES_Reading_ELA[], COLUMN(YES_Reading_ELA[Self-Identified as Indigenous]), FALSE)="", "",
VLOOKUP($A377,YES_Reading_ELA[], COLUMN(YES_Reading_ELA[Self-Identified as Indigenous]), FALSE)),
IF($J$2="FLA",
IF(VLOOKUP($A377, YES_Reading_FLA[], COLUMN(YES_Reading_FLA[Self-Identified as Indigenous]),FALSE)="","",
VLOOKUP($A377,YES_Reading_FLA[],COLUMN(YES_Reading_FLA[Self-Identified as Indigenous]),FALSE)),
IF($J$2="Combined",
IFERROR(
IF(VLOOKUP($A377, YES_Reading_ELA[], COLUMN(YES_Reading_ELA[Self-Identified as Indigenous]), FALSE)="", "",
VLOOKUP($A377,YES_Reading_ELA[],COLUMN(YES_Reading_ELA[Self-Identified as Indigenous]),FALSE)),
IF(VLOOKUP($A377, YES_Reading_FLA[], COLUMN(YES_Reading_FLA[Self-Identified as Indigenous]),FALSE)="", "", VLOOKUP($A377,YES_Reading_FLA[],COLUMN(YES_Reading_FLA[Self-Identified as Indigenous]),FALSE))),""))),"")</f>
        <v/>
      </c>
    </row>
    <row r="378" spans="1:12" x14ac:dyDescent="0.25">
      <c r="A378" s="214"/>
      <c r="B378" s="214" t="s">
        <v>241</v>
      </c>
      <c r="C378" s="214"/>
      <c r="D378" s="215" t="str" cm="1">
        <f t="array" ref="D378">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Set")))=$D$1)),1,1,FALSE),FALSE,FALSE),13),"")</f>
        <v/>
      </c>
      <c r="E378" s="215"/>
      <c r="F378" s="215"/>
      <c r="G378" s="215"/>
      <c r="H378" s="355" t="s">
        <v>242</v>
      </c>
      <c r="I378" s="356"/>
      <c r="J378" s="215"/>
    </row>
    <row r="379" spans="1:12" x14ac:dyDescent="0.25">
      <c r="A379" s="214"/>
      <c r="B379" s="214" t="str">
        <f>"Date: "&amp;$D$3</f>
        <v xml:space="preserve">Date: </v>
      </c>
      <c r="C379" s="214"/>
      <c r="D379" s="215"/>
      <c r="E379" s="215"/>
      <c r="F379" s="215"/>
      <c r="G379" s="215"/>
      <c r="H379" s="357" t="s">
        <v>243</v>
      </c>
      <c r="I379" s="358"/>
      <c r="J379" s="215"/>
    </row>
    <row r="380" spans="1:12" ht="15.75" thickBot="1" x14ac:dyDescent="0.3">
      <c r="A380" s="215"/>
      <c r="B380" s="215"/>
      <c r="C380" s="215"/>
      <c r="D380" s="215"/>
      <c r="E380" s="215"/>
      <c r="F380" s="215"/>
      <c r="G380" s="215"/>
      <c r="H380" s="353" t="s">
        <v>244</v>
      </c>
      <c r="I380" s="354"/>
      <c r="J380" s="215"/>
    </row>
    <row r="381" spans="1:12" ht="85.5" customHeight="1" thickBot="1" x14ac:dyDescent="0.3">
      <c r="A381" s="192" t="s">
        <v>44</v>
      </c>
      <c r="B381" s="187" t="s">
        <v>245</v>
      </c>
      <c r="C381" s="188" t="s">
        <v>246</v>
      </c>
      <c r="D381" s="188" t="s">
        <v>247</v>
      </c>
      <c r="E381" s="188" t="s">
        <v>248</v>
      </c>
      <c r="F381" s="188" t="s">
        <v>249</v>
      </c>
      <c r="G381" s="188" t="s">
        <v>250</v>
      </c>
      <c r="H381" s="189" t="s">
        <v>251</v>
      </c>
      <c r="I381" s="190" t="s">
        <v>252</v>
      </c>
      <c r="J381" s="191" t="s">
        <v>253</v>
      </c>
      <c r="K381" s="200" t="s">
        <v>256</v>
      </c>
      <c r="L381" s="201" t="s">
        <v>257</v>
      </c>
    </row>
    <row r="382" spans="1:12" ht="19.5" customHeight="1" x14ac:dyDescent="0.25">
      <c r="A382" s="216" t="e" cm="1" vm="1">
        <f t="array" aca="1" ref="A382" ca="1">_xlfn._xlws.FILTER(_xlfn.VSTACK(YES_Reading_ELA[Student Number],YES_Reading_FLA[Student Number]),_xlfn.VSTACK(YES_Reading_ELA[HomeRoom],YES_Reading_FLA[Homeroom])=D378)</f>
        <v>#VALUE!</v>
      </c>
      <c r="B382" s="219"/>
      <c r="C382" s="203"/>
      <c r="D382" s="204"/>
      <c r="E382" s="205"/>
      <c r="F382" s="205"/>
      <c r="G382" s="205"/>
      <c r="H382" s="206"/>
      <c r="I382" s="227"/>
      <c r="J382" s="206"/>
      <c r="K382" s="24" t="str" cm="1">
        <f t="array" aca="1" ref="K382" ca="1">IFERROR(
IF($J$2="ELA",
IF(VLOOKUP($A382, YES_Reading_ELA[], COLUMN(YES_Reading_ELA[Self-Identified as African Descent]), FALSE)="", "",
VLOOKUP($A382,YES_Reading_ELA[], COLUMN(YES_Reading_ELA[Self-Identified as African Descent]), FALSE)),
IF($J$2="FLA",
IF(VLOOKUP($A382, YES_Reading_FLA[], COLUMN(YES_Reading_FLA[Self-Identified as African Descent]),FALSE)="","",
VLOOKUP($A382,YES_Reading_FLA[],COLUMN(YES_Reading_FLA[Self-Identified as African Descent]),FALSE)),
IF($J$2="Combined",
IFERROR(
IF(VLOOKUP($A382, YES_Reading_ELA[], COLUMN(YES_Reading_ELA[Self-Identified as African Descent]), FALSE)="", "",
VLOOKUP($A382,YES_Reading_ELA[],COLUMN(YES_Reading_ELA[Self-Identified as African Descent]),FALSE)),
IF(VLOOKUP($A382, YES_Reading_FLA[], COLUMN(YES_Reading_FLA[Self-Identified as African Descent]),FALSE)="", "", VLOOKUP($A382,YES_Reading_FLA[],COLUMN(YES_Reading_FLA[Self-Identified as African Descent]),FALSE))),""))),"")</f>
        <v/>
      </c>
      <c r="L382" s="199" t="str" cm="1">
        <f t="array" aca="1" ref="L382" ca="1">IFERROR(
IF($J$2="ELA",
IF(VLOOKUP($A382, YES_Reading_ELA[], COLUMN(YES_Reading_ELA[Self-Identified as Indigenous]), FALSE)="", "",
VLOOKUP($A382,YES_Reading_ELA[], COLUMN(YES_Reading_ELA[Self-Identified as Indigenous]), FALSE)),
IF($J$2="FLA",
IF(VLOOKUP($A382, YES_Reading_FLA[], COLUMN(YES_Reading_FLA[Self-Identified as Indigenous]),FALSE)="","",
VLOOKUP($A382,YES_Reading_FLA[],COLUMN(YES_Reading_FLA[Self-Identified as Indigenous]),FALSE)),
IF($J$2="Combined",
IFERROR(
IF(VLOOKUP($A382, YES_Reading_ELA[], COLUMN(YES_Reading_ELA[Self-Identified as Indigenous]), FALSE)="", "",
VLOOKUP($A382,YES_Reading_ELA[],COLUMN(YES_Reading_ELA[Self-Identified as Indigenous]),FALSE)),
IF(VLOOKUP($A382, YES_Reading_FLA[], COLUMN(YES_Reading_FLA[Self-Identified as Indigenous]),FALSE)="", "", VLOOKUP($A382,YES_Reading_FLA[],COLUMN(YES_Reading_FLA[Self-Identified as Indigenous]),FALSE))),""))),"")</f>
        <v/>
      </c>
    </row>
    <row r="383" spans="1:12" ht="19.5" customHeight="1" x14ac:dyDescent="0.25">
      <c r="A383" s="217"/>
      <c r="B383" s="220"/>
      <c r="C383" s="203"/>
      <c r="D383" s="204"/>
      <c r="E383" s="205"/>
      <c r="F383" s="205"/>
      <c r="G383" s="205"/>
      <c r="H383" s="206"/>
      <c r="I383" s="227"/>
      <c r="J383" s="206"/>
      <c r="K383" s="197" t="str" cm="1">
        <f t="array" ref="K383">IFERROR(
IF($J$2="ELA",
IF(VLOOKUP($A383, YES_Reading_ELA[], COLUMN(YES_Reading_ELA[Self-Identified as African Descent]), FALSE)="", "",
VLOOKUP($A383,YES_Reading_ELA[], COLUMN(YES_Reading_ELA[Self-Identified as African Descent]), FALSE)),
IF($J$2="FLA",
IF(VLOOKUP($A383, YES_Reading_FLA[], COLUMN(YES_Reading_FLA[Self-Identified as African Descent]),FALSE)="","",
VLOOKUP($A383,YES_Reading_FLA[],COLUMN(YES_Reading_FLA[Self-Identified as African Descent]),FALSE)),
IF($J$2="Combined",
IFERROR(
IF(VLOOKUP($A383, YES_Reading_ELA[], COLUMN(YES_Reading_ELA[Self-Identified as African Descent]), FALSE)="", "",
VLOOKUP($A383,YES_Reading_ELA[],COLUMN(YES_Reading_ELA[Self-Identified as African Descent]),FALSE)),
IF(VLOOKUP($A383, YES_Reading_FLA[], COLUMN(YES_Reading_FLA[Self-Identified as African Descent]),FALSE)="", "", VLOOKUP($A383,YES_Reading_FLA[],COLUMN(YES_Reading_FLA[Self-Identified as African Descent]),FALSE))),""))),"")</f>
        <v/>
      </c>
      <c r="L383" s="73" t="str" cm="1">
        <f t="array" ref="L383">IFERROR(
IF($J$2="ELA",
IF(VLOOKUP($A383, YES_Reading_ELA[], COLUMN(YES_Reading_ELA[Self-Identified as Indigenous]), FALSE)="", "",
VLOOKUP($A383,YES_Reading_ELA[], COLUMN(YES_Reading_ELA[Self-Identified as Indigenous]), FALSE)),
IF($J$2="FLA",
IF(VLOOKUP($A383, YES_Reading_FLA[], COLUMN(YES_Reading_FLA[Self-Identified as Indigenous]),FALSE)="","",
VLOOKUP($A383,YES_Reading_FLA[],COLUMN(YES_Reading_FLA[Self-Identified as Indigenous]),FALSE)),
IF($J$2="Combined",
IFERROR(
IF(VLOOKUP($A383, YES_Reading_ELA[], COLUMN(YES_Reading_ELA[Self-Identified as Indigenous]), FALSE)="", "",
VLOOKUP($A383,YES_Reading_ELA[],COLUMN(YES_Reading_ELA[Self-Identified as Indigenous]),FALSE)),
IF(VLOOKUP($A383, YES_Reading_FLA[], COLUMN(YES_Reading_FLA[Self-Identified as Indigenous]),FALSE)="", "", VLOOKUP($A383,YES_Reading_FLA[],COLUMN(YES_Reading_FLA[Self-Identified as Indigenous]),FALSE))),""))),"")</f>
        <v/>
      </c>
    </row>
    <row r="384" spans="1:12" ht="19.5" customHeight="1" x14ac:dyDescent="0.25">
      <c r="A384" s="217"/>
      <c r="B384" s="220"/>
      <c r="C384" s="203"/>
      <c r="D384" s="204"/>
      <c r="E384" s="205"/>
      <c r="F384" s="205"/>
      <c r="G384" s="205"/>
      <c r="H384" s="206"/>
      <c r="I384" s="227"/>
      <c r="J384" s="206"/>
      <c r="K384" s="197" t="str" cm="1">
        <f t="array" ref="K384">IFERROR(
IF($J$2="ELA",
IF(VLOOKUP($A384, YES_Reading_ELA[], COLUMN(YES_Reading_ELA[Self-Identified as African Descent]), FALSE)="", "",
VLOOKUP($A384,YES_Reading_ELA[], COLUMN(YES_Reading_ELA[Self-Identified as African Descent]), FALSE)),
IF($J$2="FLA",
IF(VLOOKUP($A384, YES_Reading_FLA[], COLUMN(YES_Reading_FLA[Self-Identified as African Descent]),FALSE)="","",
VLOOKUP($A384,YES_Reading_FLA[],COLUMN(YES_Reading_FLA[Self-Identified as African Descent]),FALSE)),
IF($J$2="Combined",
IFERROR(
IF(VLOOKUP($A384, YES_Reading_ELA[], COLUMN(YES_Reading_ELA[Self-Identified as African Descent]), FALSE)="", "",
VLOOKUP($A384,YES_Reading_ELA[],COLUMN(YES_Reading_ELA[Self-Identified as African Descent]),FALSE)),
IF(VLOOKUP($A384, YES_Reading_FLA[], COLUMN(YES_Reading_FLA[Self-Identified as African Descent]),FALSE)="", "", VLOOKUP($A384,YES_Reading_FLA[],COLUMN(YES_Reading_FLA[Self-Identified as African Descent]),FALSE))),""))),"")</f>
        <v/>
      </c>
      <c r="L384" s="73" t="str" cm="1">
        <f t="array" ref="L384">IFERROR(
IF($J$2="ELA",
IF(VLOOKUP($A384, YES_Reading_ELA[], COLUMN(YES_Reading_ELA[Self-Identified as Indigenous]), FALSE)="", "",
VLOOKUP($A384,YES_Reading_ELA[], COLUMN(YES_Reading_ELA[Self-Identified as Indigenous]), FALSE)),
IF($J$2="FLA",
IF(VLOOKUP($A384, YES_Reading_FLA[], COLUMN(YES_Reading_FLA[Self-Identified as Indigenous]),FALSE)="","",
VLOOKUP($A384,YES_Reading_FLA[],COLUMN(YES_Reading_FLA[Self-Identified as Indigenous]),FALSE)),
IF($J$2="Combined",
IFERROR(
IF(VLOOKUP($A384, YES_Reading_ELA[], COLUMN(YES_Reading_ELA[Self-Identified as Indigenous]), FALSE)="", "",
VLOOKUP($A384,YES_Reading_ELA[],COLUMN(YES_Reading_ELA[Self-Identified as Indigenous]),FALSE)),
IF(VLOOKUP($A384, YES_Reading_FLA[], COLUMN(YES_Reading_FLA[Self-Identified as Indigenous]),FALSE)="", "", VLOOKUP($A384,YES_Reading_FLA[],COLUMN(YES_Reading_FLA[Self-Identified as Indigenous]),FALSE))),""))),"")</f>
        <v/>
      </c>
    </row>
    <row r="385" spans="1:12" ht="19.5" customHeight="1" x14ac:dyDescent="0.25">
      <c r="A385" s="217"/>
      <c r="B385" s="220"/>
      <c r="C385" s="203"/>
      <c r="D385" s="204"/>
      <c r="E385" s="205"/>
      <c r="F385" s="205"/>
      <c r="G385" s="205"/>
      <c r="H385" s="206"/>
      <c r="I385" s="227"/>
      <c r="J385" s="206"/>
      <c r="K385" s="197" t="str" cm="1">
        <f t="array" ref="K385">IFERROR(
IF($J$2="ELA",
IF(VLOOKUP($A385, YES_Reading_ELA[], COLUMN(YES_Reading_ELA[Self-Identified as African Descent]), FALSE)="", "",
VLOOKUP($A385,YES_Reading_ELA[], COLUMN(YES_Reading_ELA[Self-Identified as African Descent]), FALSE)),
IF($J$2="FLA",
IF(VLOOKUP($A385, YES_Reading_FLA[], COLUMN(YES_Reading_FLA[Self-Identified as African Descent]),FALSE)="","",
VLOOKUP($A385,YES_Reading_FLA[],COLUMN(YES_Reading_FLA[Self-Identified as African Descent]),FALSE)),
IF($J$2="Combined",
IFERROR(
IF(VLOOKUP($A385, YES_Reading_ELA[], COLUMN(YES_Reading_ELA[Self-Identified as African Descent]), FALSE)="", "",
VLOOKUP($A385,YES_Reading_ELA[],COLUMN(YES_Reading_ELA[Self-Identified as African Descent]),FALSE)),
IF(VLOOKUP($A385, YES_Reading_FLA[], COLUMN(YES_Reading_FLA[Self-Identified as African Descent]),FALSE)="", "", VLOOKUP($A385,YES_Reading_FLA[],COLUMN(YES_Reading_FLA[Self-Identified as African Descent]),FALSE))),""))),"")</f>
        <v/>
      </c>
      <c r="L385" s="73" t="str" cm="1">
        <f t="array" ref="L385">IFERROR(
IF($J$2="ELA",
IF(VLOOKUP($A385, YES_Reading_ELA[], COLUMN(YES_Reading_ELA[Self-Identified as Indigenous]), FALSE)="", "",
VLOOKUP($A385,YES_Reading_ELA[], COLUMN(YES_Reading_ELA[Self-Identified as Indigenous]), FALSE)),
IF($J$2="FLA",
IF(VLOOKUP($A385, YES_Reading_FLA[], COLUMN(YES_Reading_FLA[Self-Identified as Indigenous]),FALSE)="","",
VLOOKUP($A385,YES_Reading_FLA[],COLUMN(YES_Reading_FLA[Self-Identified as Indigenous]),FALSE)),
IF($J$2="Combined",
IFERROR(
IF(VLOOKUP($A385, YES_Reading_ELA[], COLUMN(YES_Reading_ELA[Self-Identified as Indigenous]), FALSE)="", "",
VLOOKUP($A385,YES_Reading_ELA[],COLUMN(YES_Reading_ELA[Self-Identified as Indigenous]),FALSE)),
IF(VLOOKUP($A385, YES_Reading_FLA[], COLUMN(YES_Reading_FLA[Self-Identified as Indigenous]),FALSE)="", "", VLOOKUP($A385,YES_Reading_FLA[],COLUMN(YES_Reading_FLA[Self-Identified as Indigenous]),FALSE))),""))),"")</f>
        <v/>
      </c>
    </row>
    <row r="386" spans="1:12" ht="19.5" customHeight="1" x14ac:dyDescent="0.25">
      <c r="A386" s="217"/>
      <c r="B386" s="220"/>
      <c r="C386" s="203"/>
      <c r="D386" s="204"/>
      <c r="E386" s="205"/>
      <c r="F386" s="205"/>
      <c r="G386" s="205"/>
      <c r="H386" s="206"/>
      <c r="I386" s="227"/>
      <c r="J386" s="206"/>
      <c r="K386" s="197" t="str" cm="1">
        <f t="array" ref="K386">IFERROR(
IF($J$2="ELA",
IF(VLOOKUP($A386, YES_Reading_ELA[], COLUMN(YES_Reading_ELA[Self-Identified as African Descent]), FALSE)="", "",
VLOOKUP($A386,YES_Reading_ELA[], COLUMN(YES_Reading_ELA[Self-Identified as African Descent]), FALSE)),
IF($J$2="FLA",
IF(VLOOKUP($A386, YES_Reading_FLA[], COLUMN(YES_Reading_FLA[Self-Identified as African Descent]),FALSE)="","",
VLOOKUP($A386,YES_Reading_FLA[],COLUMN(YES_Reading_FLA[Self-Identified as African Descent]),FALSE)),
IF($J$2="Combined",
IFERROR(
IF(VLOOKUP($A386, YES_Reading_ELA[], COLUMN(YES_Reading_ELA[Self-Identified as African Descent]), FALSE)="", "",
VLOOKUP($A386,YES_Reading_ELA[],COLUMN(YES_Reading_ELA[Self-Identified as African Descent]),FALSE)),
IF(VLOOKUP($A386, YES_Reading_FLA[], COLUMN(YES_Reading_FLA[Self-Identified as African Descent]),FALSE)="", "", VLOOKUP($A386,YES_Reading_FLA[],COLUMN(YES_Reading_FLA[Self-Identified as African Descent]),FALSE))),""))),"")</f>
        <v/>
      </c>
      <c r="L386" s="73" t="str" cm="1">
        <f t="array" ref="L386">IFERROR(
IF($J$2="ELA",
IF(VLOOKUP($A386, YES_Reading_ELA[], COLUMN(YES_Reading_ELA[Self-Identified as Indigenous]), FALSE)="", "",
VLOOKUP($A386,YES_Reading_ELA[], COLUMN(YES_Reading_ELA[Self-Identified as Indigenous]), FALSE)),
IF($J$2="FLA",
IF(VLOOKUP($A386, YES_Reading_FLA[], COLUMN(YES_Reading_FLA[Self-Identified as Indigenous]),FALSE)="","",
VLOOKUP($A386,YES_Reading_FLA[],COLUMN(YES_Reading_FLA[Self-Identified as Indigenous]),FALSE)),
IF($J$2="Combined",
IFERROR(
IF(VLOOKUP($A386, YES_Reading_ELA[], COLUMN(YES_Reading_ELA[Self-Identified as Indigenous]), FALSE)="", "",
VLOOKUP($A386,YES_Reading_ELA[],COLUMN(YES_Reading_ELA[Self-Identified as Indigenous]),FALSE)),
IF(VLOOKUP($A386, YES_Reading_FLA[], COLUMN(YES_Reading_FLA[Self-Identified as Indigenous]),FALSE)="", "", VLOOKUP($A386,YES_Reading_FLA[],COLUMN(YES_Reading_FLA[Self-Identified as Indigenous]),FALSE))),""))),"")</f>
        <v/>
      </c>
    </row>
    <row r="387" spans="1:12" ht="19.5" customHeight="1" x14ac:dyDescent="0.25">
      <c r="A387" s="217"/>
      <c r="B387" s="220"/>
      <c r="C387" s="203"/>
      <c r="D387" s="204"/>
      <c r="E387" s="205"/>
      <c r="F387" s="205"/>
      <c r="G387" s="205"/>
      <c r="H387" s="206"/>
      <c r="I387" s="227"/>
      <c r="J387" s="206"/>
      <c r="K387" s="197" t="str" cm="1">
        <f t="array" ref="K387">IFERROR(
IF($J$2="ELA",
IF(VLOOKUP($A387, YES_Reading_ELA[], COLUMN(YES_Reading_ELA[Self-Identified as African Descent]), FALSE)="", "",
VLOOKUP($A387,YES_Reading_ELA[], COLUMN(YES_Reading_ELA[Self-Identified as African Descent]), FALSE)),
IF($J$2="FLA",
IF(VLOOKUP($A387, YES_Reading_FLA[], COLUMN(YES_Reading_FLA[Self-Identified as African Descent]),FALSE)="","",
VLOOKUP($A387,YES_Reading_FLA[],COLUMN(YES_Reading_FLA[Self-Identified as African Descent]),FALSE)),
IF($J$2="Combined",
IFERROR(
IF(VLOOKUP($A387, YES_Reading_ELA[], COLUMN(YES_Reading_ELA[Self-Identified as African Descent]), FALSE)="", "",
VLOOKUP($A387,YES_Reading_ELA[],COLUMN(YES_Reading_ELA[Self-Identified as African Descent]),FALSE)),
IF(VLOOKUP($A387, YES_Reading_FLA[], COLUMN(YES_Reading_FLA[Self-Identified as African Descent]),FALSE)="", "", VLOOKUP($A387,YES_Reading_FLA[],COLUMN(YES_Reading_FLA[Self-Identified as African Descent]),FALSE))),""))),"")</f>
        <v/>
      </c>
      <c r="L387" s="73" t="str" cm="1">
        <f t="array" ref="L387">IFERROR(
IF($J$2="ELA",
IF(VLOOKUP($A387, YES_Reading_ELA[], COLUMN(YES_Reading_ELA[Self-Identified as Indigenous]), FALSE)="", "",
VLOOKUP($A387,YES_Reading_ELA[], COLUMN(YES_Reading_ELA[Self-Identified as Indigenous]), FALSE)),
IF($J$2="FLA",
IF(VLOOKUP($A387, YES_Reading_FLA[], COLUMN(YES_Reading_FLA[Self-Identified as Indigenous]),FALSE)="","",
VLOOKUP($A387,YES_Reading_FLA[],COLUMN(YES_Reading_FLA[Self-Identified as Indigenous]),FALSE)),
IF($J$2="Combined",
IFERROR(
IF(VLOOKUP($A387, YES_Reading_ELA[], COLUMN(YES_Reading_ELA[Self-Identified as Indigenous]), FALSE)="", "",
VLOOKUP($A387,YES_Reading_ELA[],COLUMN(YES_Reading_ELA[Self-Identified as Indigenous]),FALSE)),
IF(VLOOKUP($A387, YES_Reading_FLA[], COLUMN(YES_Reading_FLA[Self-Identified as Indigenous]),FALSE)="", "", VLOOKUP($A387,YES_Reading_FLA[],COLUMN(YES_Reading_FLA[Self-Identified as Indigenous]),FALSE))),""))),"")</f>
        <v/>
      </c>
    </row>
    <row r="388" spans="1:12" ht="19.5" customHeight="1" x14ac:dyDescent="0.25">
      <c r="A388" s="217"/>
      <c r="B388" s="220"/>
      <c r="C388" s="203"/>
      <c r="D388" s="204"/>
      <c r="E388" s="205"/>
      <c r="F388" s="205"/>
      <c r="G388" s="205"/>
      <c r="H388" s="206"/>
      <c r="I388" s="227"/>
      <c r="J388" s="206"/>
      <c r="K388" s="197" t="str" cm="1">
        <f t="array" ref="K388">IFERROR(
IF($J$2="ELA",
IF(VLOOKUP($A388, YES_Reading_ELA[], COLUMN(YES_Reading_ELA[Self-Identified as African Descent]), FALSE)="", "",
VLOOKUP($A388,YES_Reading_ELA[], COLUMN(YES_Reading_ELA[Self-Identified as African Descent]), FALSE)),
IF($J$2="FLA",
IF(VLOOKUP($A388, YES_Reading_FLA[], COLUMN(YES_Reading_FLA[Self-Identified as African Descent]),FALSE)="","",
VLOOKUP($A388,YES_Reading_FLA[],COLUMN(YES_Reading_FLA[Self-Identified as African Descent]),FALSE)),
IF($J$2="Combined",
IFERROR(
IF(VLOOKUP($A388, YES_Reading_ELA[], COLUMN(YES_Reading_ELA[Self-Identified as African Descent]), FALSE)="", "",
VLOOKUP($A388,YES_Reading_ELA[],COLUMN(YES_Reading_ELA[Self-Identified as African Descent]),FALSE)),
IF(VLOOKUP($A388, YES_Reading_FLA[], COLUMN(YES_Reading_FLA[Self-Identified as African Descent]),FALSE)="", "", VLOOKUP($A388,YES_Reading_FLA[],COLUMN(YES_Reading_FLA[Self-Identified as African Descent]),FALSE))),""))),"")</f>
        <v/>
      </c>
      <c r="L388" s="73" t="str" cm="1">
        <f t="array" ref="L388">IFERROR(
IF($J$2="ELA",
IF(VLOOKUP($A388, YES_Reading_ELA[], COLUMN(YES_Reading_ELA[Self-Identified as Indigenous]), FALSE)="", "",
VLOOKUP($A388,YES_Reading_ELA[], COLUMN(YES_Reading_ELA[Self-Identified as Indigenous]), FALSE)),
IF($J$2="FLA",
IF(VLOOKUP($A388, YES_Reading_FLA[], COLUMN(YES_Reading_FLA[Self-Identified as Indigenous]),FALSE)="","",
VLOOKUP($A388,YES_Reading_FLA[],COLUMN(YES_Reading_FLA[Self-Identified as Indigenous]),FALSE)),
IF($J$2="Combined",
IFERROR(
IF(VLOOKUP($A388, YES_Reading_ELA[], COLUMN(YES_Reading_ELA[Self-Identified as Indigenous]), FALSE)="", "",
VLOOKUP($A388,YES_Reading_ELA[],COLUMN(YES_Reading_ELA[Self-Identified as Indigenous]),FALSE)),
IF(VLOOKUP($A388, YES_Reading_FLA[], COLUMN(YES_Reading_FLA[Self-Identified as Indigenous]),FALSE)="", "", VLOOKUP($A388,YES_Reading_FLA[],COLUMN(YES_Reading_FLA[Self-Identified as Indigenous]),FALSE))),""))),"")</f>
        <v/>
      </c>
    </row>
    <row r="389" spans="1:12" ht="19.5" customHeight="1" x14ac:dyDescent="0.25">
      <c r="A389" s="217"/>
      <c r="B389" s="220"/>
      <c r="C389" s="203"/>
      <c r="D389" s="204"/>
      <c r="E389" s="205"/>
      <c r="F389" s="205"/>
      <c r="G389" s="205"/>
      <c r="H389" s="206"/>
      <c r="I389" s="227"/>
      <c r="J389" s="206"/>
      <c r="K389" s="197" t="str" cm="1">
        <f t="array" ref="K389">IFERROR(
IF($J$2="ELA",
IF(VLOOKUP($A389, YES_Reading_ELA[], COLUMN(YES_Reading_ELA[Self-Identified as African Descent]), FALSE)="", "",
VLOOKUP($A389,YES_Reading_ELA[], COLUMN(YES_Reading_ELA[Self-Identified as African Descent]), FALSE)),
IF($J$2="FLA",
IF(VLOOKUP($A389, YES_Reading_FLA[], COLUMN(YES_Reading_FLA[Self-Identified as African Descent]),FALSE)="","",
VLOOKUP($A389,YES_Reading_FLA[],COLUMN(YES_Reading_FLA[Self-Identified as African Descent]),FALSE)),
IF($J$2="Combined",
IFERROR(
IF(VLOOKUP($A389, YES_Reading_ELA[], COLUMN(YES_Reading_ELA[Self-Identified as African Descent]), FALSE)="", "",
VLOOKUP($A389,YES_Reading_ELA[],COLUMN(YES_Reading_ELA[Self-Identified as African Descent]),FALSE)),
IF(VLOOKUP($A389, YES_Reading_FLA[], COLUMN(YES_Reading_FLA[Self-Identified as African Descent]),FALSE)="", "", VLOOKUP($A389,YES_Reading_FLA[],COLUMN(YES_Reading_FLA[Self-Identified as African Descent]),FALSE))),""))),"")</f>
        <v/>
      </c>
      <c r="L389" s="73" t="str" cm="1">
        <f t="array" ref="L389">IFERROR(
IF($J$2="ELA",
IF(VLOOKUP($A389, YES_Reading_ELA[], COLUMN(YES_Reading_ELA[Self-Identified as Indigenous]), FALSE)="", "",
VLOOKUP($A389,YES_Reading_ELA[], COLUMN(YES_Reading_ELA[Self-Identified as Indigenous]), FALSE)),
IF($J$2="FLA",
IF(VLOOKUP($A389, YES_Reading_FLA[], COLUMN(YES_Reading_FLA[Self-Identified as Indigenous]),FALSE)="","",
VLOOKUP($A389,YES_Reading_FLA[],COLUMN(YES_Reading_FLA[Self-Identified as Indigenous]),FALSE)),
IF($J$2="Combined",
IFERROR(
IF(VLOOKUP($A389, YES_Reading_ELA[], COLUMN(YES_Reading_ELA[Self-Identified as Indigenous]), FALSE)="", "",
VLOOKUP($A389,YES_Reading_ELA[],COLUMN(YES_Reading_ELA[Self-Identified as Indigenous]),FALSE)),
IF(VLOOKUP($A389, YES_Reading_FLA[], COLUMN(YES_Reading_FLA[Self-Identified as Indigenous]),FALSE)="", "", VLOOKUP($A389,YES_Reading_FLA[],COLUMN(YES_Reading_FLA[Self-Identified as Indigenous]),FALSE))),""))),"")</f>
        <v/>
      </c>
    </row>
    <row r="390" spans="1:12" ht="19.5" customHeight="1" x14ac:dyDescent="0.25">
      <c r="A390" s="217"/>
      <c r="B390" s="220"/>
      <c r="C390" s="203"/>
      <c r="D390" s="204"/>
      <c r="E390" s="205"/>
      <c r="F390" s="205"/>
      <c r="G390" s="205"/>
      <c r="H390" s="206"/>
      <c r="I390" s="227"/>
      <c r="J390" s="206"/>
      <c r="K390" s="197" t="str" cm="1">
        <f t="array" ref="K390">IFERROR(
IF($J$2="ELA",
IF(VLOOKUP($A390, YES_Reading_ELA[], COLUMN(YES_Reading_ELA[Self-Identified as African Descent]), FALSE)="", "",
VLOOKUP($A390,YES_Reading_ELA[], COLUMN(YES_Reading_ELA[Self-Identified as African Descent]), FALSE)),
IF($J$2="FLA",
IF(VLOOKUP($A390, YES_Reading_FLA[], COLUMN(YES_Reading_FLA[Self-Identified as African Descent]),FALSE)="","",
VLOOKUP($A390,YES_Reading_FLA[],COLUMN(YES_Reading_FLA[Self-Identified as African Descent]),FALSE)),
IF($J$2="Combined",
IFERROR(
IF(VLOOKUP($A390, YES_Reading_ELA[], COLUMN(YES_Reading_ELA[Self-Identified as African Descent]), FALSE)="", "",
VLOOKUP($A390,YES_Reading_ELA[],COLUMN(YES_Reading_ELA[Self-Identified as African Descent]),FALSE)),
IF(VLOOKUP($A390, YES_Reading_FLA[], COLUMN(YES_Reading_FLA[Self-Identified as African Descent]),FALSE)="", "", VLOOKUP($A390,YES_Reading_FLA[],COLUMN(YES_Reading_FLA[Self-Identified as African Descent]),FALSE))),""))),"")</f>
        <v/>
      </c>
      <c r="L390" s="73" t="str" cm="1">
        <f t="array" ref="L390">IFERROR(
IF($J$2="ELA",
IF(VLOOKUP($A390, YES_Reading_ELA[], COLUMN(YES_Reading_ELA[Self-Identified as Indigenous]), FALSE)="", "",
VLOOKUP($A390,YES_Reading_ELA[], COLUMN(YES_Reading_ELA[Self-Identified as Indigenous]), FALSE)),
IF($J$2="FLA",
IF(VLOOKUP($A390, YES_Reading_FLA[], COLUMN(YES_Reading_FLA[Self-Identified as Indigenous]),FALSE)="","",
VLOOKUP($A390,YES_Reading_FLA[],COLUMN(YES_Reading_FLA[Self-Identified as Indigenous]),FALSE)),
IF($J$2="Combined",
IFERROR(
IF(VLOOKUP($A390, YES_Reading_ELA[], COLUMN(YES_Reading_ELA[Self-Identified as Indigenous]), FALSE)="", "",
VLOOKUP($A390,YES_Reading_ELA[],COLUMN(YES_Reading_ELA[Self-Identified as Indigenous]),FALSE)),
IF(VLOOKUP($A390, YES_Reading_FLA[], COLUMN(YES_Reading_FLA[Self-Identified as Indigenous]),FALSE)="", "", VLOOKUP($A390,YES_Reading_FLA[],COLUMN(YES_Reading_FLA[Self-Identified as Indigenous]),FALSE))),""))),"")</f>
        <v/>
      </c>
    </row>
    <row r="391" spans="1:12" ht="19.5" customHeight="1" x14ac:dyDescent="0.25">
      <c r="A391" s="217"/>
      <c r="B391" s="220"/>
      <c r="C391" s="203"/>
      <c r="D391" s="204"/>
      <c r="E391" s="205"/>
      <c r="F391" s="205"/>
      <c r="G391" s="205"/>
      <c r="H391" s="206"/>
      <c r="I391" s="227"/>
      <c r="J391" s="206"/>
      <c r="K391" s="197" t="str" cm="1">
        <f t="array" ref="K391">IFERROR(
IF($J$2="ELA",
IF(VLOOKUP($A391, YES_Reading_ELA[], COLUMN(YES_Reading_ELA[Self-Identified as African Descent]), FALSE)="", "",
VLOOKUP($A391,YES_Reading_ELA[], COLUMN(YES_Reading_ELA[Self-Identified as African Descent]), FALSE)),
IF($J$2="FLA",
IF(VLOOKUP($A391, YES_Reading_FLA[], COLUMN(YES_Reading_FLA[Self-Identified as African Descent]),FALSE)="","",
VLOOKUP($A391,YES_Reading_FLA[],COLUMN(YES_Reading_FLA[Self-Identified as African Descent]),FALSE)),
IF($J$2="Combined",
IFERROR(
IF(VLOOKUP($A391, YES_Reading_ELA[], COLUMN(YES_Reading_ELA[Self-Identified as African Descent]), FALSE)="", "",
VLOOKUP($A391,YES_Reading_ELA[],COLUMN(YES_Reading_ELA[Self-Identified as African Descent]),FALSE)),
IF(VLOOKUP($A391, YES_Reading_FLA[], COLUMN(YES_Reading_FLA[Self-Identified as African Descent]),FALSE)="", "", VLOOKUP($A391,YES_Reading_FLA[],COLUMN(YES_Reading_FLA[Self-Identified as African Descent]),FALSE))),""))),"")</f>
        <v/>
      </c>
      <c r="L391" s="73" t="str" cm="1">
        <f t="array" ref="L391">IFERROR(
IF($J$2="ELA",
IF(VLOOKUP($A391, YES_Reading_ELA[], COLUMN(YES_Reading_ELA[Self-Identified as Indigenous]), FALSE)="", "",
VLOOKUP($A391,YES_Reading_ELA[], COLUMN(YES_Reading_ELA[Self-Identified as Indigenous]), FALSE)),
IF($J$2="FLA",
IF(VLOOKUP($A391, YES_Reading_FLA[], COLUMN(YES_Reading_FLA[Self-Identified as Indigenous]),FALSE)="","",
VLOOKUP($A391,YES_Reading_FLA[],COLUMN(YES_Reading_FLA[Self-Identified as Indigenous]),FALSE)),
IF($J$2="Combined",
IFERROR(
IF(VLOOKUP($A391, YES_Reading_ELA[], COLUMN(YES_Reading_ELA[Self-Identified as Indigenous]), FALSE)="", "",
VLOOKUP($A391,YES_Reading_ELA[],COLUMN(YES_Reading_ELA[Self-Identified as Indigenous]),FALSE)),
IF(VLOOKUP($A391, YES_Reading_FLA[], COLUMN(YES_Reading_FLA[Self-Identified as Indigenous]),FALSE)="", "", VLOOKUP($A391,YES_Reading_FLA[],COLUMN(YES_Reading_FLA[Self-Identified as Indigenous]),FALSE))),""))),"")</f>
        <v/>
      </c>
    </row>
    <row r="392" spans="1:12" ht="19.5" customHeight="1" x14ac:dyDescent="0.25">
      <c r="A392" s="217"/>
      <c r="B392" s="220"/>
      <c r="C392" s="203"/>
      <c r="D392" s="204"/>
      <c r="E392" s="205"/>
      <c r="F392" s="205"/>
      <c r="G392" s="205"/>
      <c r="H392" s="206"/>
      <c r="I392" s="227"/>
      <c r="J392" s="206"/>
      <c r="K392" s="197" t="str" cm="1">
        <f t="array" ref="K392">IFERROR(
IF($J$2="ELA",
IF(VLOOKUP($A392, YES_Reading_ELA[], COLUMN(YES_Reading_ELA[Self-Identified as African Descent]), FALSE)="", "",
VLOOKUP($A392,YES_Reading_ELA[], COLUMN(YES_Reading_ELA[Self-Identified as African Descent]), FALSE)),
IF($J$2="FLA",
IF(VLOOKUP($A392, YES_Reading_FLA[], COLUMN(YES_Reading_FLA[Self-Identified as African Descent]),FALSE)="","",
VLOOKUP($A392,YES_Reading_FLA[],COLUMN(YES_Reading_FLA[Self-Identified as African Descent]),FALSE)),
IF($J$2="Combined",
IFERROR(
IF(VLOOKUP($A392, YES_Reading_ELA[], COLUMN(YES_Reading_ELA[Self-Identified as African Descent]), FALSE)="", "",
VLOOKUP($A392,YES_Reading_ELA[],COLUMN(YES_Reading_ELA[Self-Identified as African Descent]),FALSE)),
IF(VLOOKUP($A392, YES_Reading_FLA[], COLUMN(YES_Reading_FLA[Self-Identified as African Descent]),FALSE)="", "", VLOOKUP($A392,YES_Reading_FLA[],COLUMN(YES_Reading_FLA[Self-Identified as African Descent]),FALSE))),""))),"")</f>
        <v/>
      </c>
      <c r="L392" s="73" t="str" cm="1">
        <f t="array" ref="L392">IFERROR(
IF($J$2="ELA",
IF(VLOOKUP($A392, YES_Reading_ELA[], COLUMN(YES_Reading_ELA[Self-Identified as Indigenous]), FALSE)="", "",
VLOOKUP($A392,YES_Reading_ELA[], COLUMN(YES_Reading_ELA[Self-Identified as Indigenous]), FALSE)),
IF($J$2="FLA",
IF(VLOOKUP($A392, YES_Reading_FLA[], COLUMN(YES_Reading_FLA[Self-Identified as Indigenous]),FALSE)="","",
VLOOKUP($A392,YES_Reading_FLA[],COLUMN(YES_Reading_FLA[Self-Identified as Indigenous]),FALSE)),
IF($J$2="Combined",
IFERROR(
IF(VLOOKUP($A392, YES_Reading_ELA[], COLUMN(YES_Reading_ELA[Self-Identified as Indigenous]), FALSE)="", "",
VLOOKUP($A392,YES_Reading_ELA[],COLUMN(YES_Reading_ELA[Self-Identified as Indigenous]),FALSE)),
IF(VLOOKUP($A392, YES_Reading_FLA[], COLUMN(YES_Reading_FLA[Self-Identified as Indigenous]),FALSE)="", "", VLOOKUP($A392,YES_Reading_FLA[],COLUMN(YES_Reading_FLA[Self-Identified as Indigenous]),FALSE))),""))),"")</f>
        <v/>
      </c>
    </row>
    <row r="393" spans="1:12" ht="19.5" customHeight="1" x14ac:dyDescent="0.25">
      <c r="A393" s="217"/>
      <c r="B393" s="220"/>
      <c r="C393" s="203"/>
      <c r="D393" s="204"/>
      <c r="E393" s="205"/>
      <c r="F393" s="205"/>
      <c r="G393" s="205"/>
      <c r="H393" s="206"/>
      <c r="I393" s="227"/>
      <c r="J393" s="206"/>
      <c r="K393" s="197" t="str" cm="1">
        <f t="array" ref="K393">IFERROR(
IF($J$2="ELA",
IF(VLOOKUP($A393, YES_Reading_ELA[], COLUMN(YES_Reading_ELA[Self-Identified as African Descent]), FALSE)="", "",
VLOOKUP($A393,YES_Reading_ELA[], COLUMN(YES_Reading_ELA[Self-Identified as African Descent]), FALSE)),
IF($J$2="FLA",
IF(VLOOKUP($A393, YES_Reading_FLA[], COLUMN(YES_Reading_FLA[Self-Identified as African Descent]),FALSE)="","",
VLOOKUP($A393,YES_Reading_FLA[],COLUMN(YES_Reading_FLA[Self-Identified as African Descent]),FALSE)),
IF($J$2="Combined",
IFERROR(
IF(VLOOKUP($A393, YES_Reading_ELA[], COLUMN(YES_Reading_ELA[Self-Identified as African Descent]), FALSE)="", "",
VLOOKUP($A393,YES_Reading_ELA[],COLUMN(YES_Reading_ELA[Self-Identified as African Descent]),FALSE)),
IF(VLOOKUP($A393, YES_Reading_FLA[], COLUMN(YES_Reading_FLA[Self-Identified as African Descent]),FALSE)="", "", VLOOKUP($A393,YES_Reading_FLA[],COLUMN(YES_Reading_FLA[Self-Identified as African Descent]),FALSE))),""))),"")</f>
        <v/>
      </c>
      <c r="L393" s="73" t="str" cm="1">
        <f t="array" ref="L393">IFERROR(
IF($J$2="ELA",
IF(VLOOKUP($A393, YES_Reading_ELA[], COLUMN(YES_Reading_ELA[Self-Identified as Indigenous]), FALSE)="", "",
VLOOKUP($A393,YES_Reading_ELA[], COLUMN(YES_Reading_ELA[Self-Identified as Indigenous]), FALSE)),
IF($J$2="FLA",
IF(VLOOKUP($A393, YES_Reading_FLA[], COLUMN(YES_Reading_FLA[Self-Identified as Indigenous]),FALSE)="","",
VLOOKUP($A393,YES_Reading_FLA[],COLUMN(YES_Reading_FLA[Self-Identified as Indigenous]),FALSE)),
IF($J$2="Combined",
IFERROR(
IF(VLOOKUP($A393, YES_Reading_ELA[], COLUMN(YES_Reading_ELA[Self-Identified as Indigenous]), FALSE)="", "",
VLOOKUP($A393,YES_Reading_ELA[],COLUMN(YES_Reading_ELA[Self-Identified as Indigenous]),FALSE)),
IF(VLOOKUP($A393, YES_Reading_FLA[], COLUMN(YES_Reading_FLA[Self-Identified as Indigenous]),FALSE)="", "", VLOOKUP($A393,YES_Reading_FLA[],COLUMN(YES_Reading_FLA[Self-Identified as Indigenous]),FALSE))),""))),"")</f>
        <v/>
      </c>
    </row>
    <row r="394" spans="1:12" ht="19.5" customHeight="1" x14ac:dyDescent="0.25">
      <c r="A394" s="217"/>
      <c r="B394" s="220"/>
      <c r="C394" s="203"/>
      <c r="D394" s="204"/>
      <c r="E394" s="205"/>
      <c r="F394" s="205"/>
      <c r="G394" s="205"/>
      <c r="H394" s="206"/>
      <c r="I394" s="227"/>
      <c r="J394" s="206"/>
      <c r="K394" s="197" t="str" cm="1">
        <f t="array" ref="K394">IFERROR(
IF($J$2="ELA",
IF(VLOOKUP($A394, YES_Reading_ELA[], COLUMN(YES_Reading_ELA[Self-Identified as African Descent]), FALSE)="", "",
VLOOKUP($A394,YES_Reading_ELA[], COLUMN(YES_Reading_ELA[Self-Identified as African Descent]), FALSE)),
IF($J$2="FLA",
IF(VLOOKUP($A394, YES_Reading_FLA[], COLUMN(YES_Reading_FLA[Self-Identified as African Descent]),FALSE)="","",
VLOOKUP($A394,YES_Reading_FLA[],COLUMN(YES_Reading_FLA[Self-Identified as African Descent]),FALSE)),
IF($J$2="Combined",
IFERROR(
IF(VLOOKUP($A394, YES_Reading_ELA[], COLUMN(YES_Reading_ELA[Self-Identified as African Descent]), FALSE)="", "",
VLOOKUP($A394,YES_Reading_ELA[],COLUMN(YES_Reading_ELA[Self-Identified as African Descent]),FALSE)),
IF(VLOOKUP($A394, YES_Reading_FLA[], COLUMN(YES_Reading_FLA[Self-Identified as African Descent]),FALSE)="", "", VLOOKUP($A394,YES_Reading_FLA[],COLUMN(YES_Reading_FLA[Self-Identified as African Descent]),FALSE))),""))),"")</f>
        <v/>
      </c>
      <c r="L394" s="73" t="str" cm="1">
        <f t="array" ref="L394">IFERROR(
IF($J$2="ELA",
IF(VLOOKUP($A394, YES_Reading_ELA[], COLUMN(YES_Reading_ELA[Self-Identified as Indigenous]), FALSE)="", "",
VLOOKUP($A394,YES_Reading_ELA[], COLUMN(YES_Reading_ELA[Self-Identified as Indigenous]), FALSE)),
IF($J$2="FLA",
IF(VLOOKUP($A394, YES_Reading_FLA[], COLUMN(YES_Reading_FLA[Self-Identified as Indigenous]),FALSE)="","",
VLOOKUP($A394,YES_Reading_FLA[],COLUMN(YES_Reading_FLA[Self-Identified as Indigenous]),FALSE)),
IF($J$2="Combined",
IFERROR(
IF(VLOOKUP($A394, YES_Reading_ELA[], COLUMN(YES_Reading_ELA[Self-Identified as Indigenous]), FALSE)="", "",
VLOOKUP($A394,YES_Reading_ELA[],COLUMN(YES_Reading_ELA[Self-Identified as Indigenous]),FALSE)),
IF(VLOOKUP($A394, YES_Reading_FLA[], COLUMN(YES_Reading_FLA[Self-Identified as Indigenous]),FALSE)="", "", VLOOKUP($A394,YES_Reading_FLA[],COLUMN(YES_Reading_FLA[Self-Identified as Indigenous]),FALSE))),""))),"")</f>
        <v/>
      </c>
    </row>
    <row r="395" spans="1:12" ht="19.5" customHeight="1" x14ac:dyDescent="0.25">
      <c r="A395" s="217"/>
      <c r="B395" s="220"/>
      <c r="C395" s="203"/>
      <c r="D395" s="204"/>
      <c r="E395" s="205"/>
      <c r="F395" s="205"/>
      <c r="G395" s="205"/>
      <c r="H395" s="206"/>
      <c r="I395" s="227"/>
      <c r="J395" s="206"/>
      <c r="K395" s="197" t="str" cm="1">
        <f t="array" ref="K395">IFERROR(
IF($J$2="ELA",
IF(VLOOKUP($A395, YES_Reading_ELA[], COLUMN(YES_Reading_ELA[Self-Identified as African Descent]), FALSE)="", "",
VLOOKUP($A395,YES_Reading_ELA[], COLUMN(YES_Reading_ELA[Self-Identified as African Descent]), FALSE)),
IF($J$2="FLA",
IF(VLOOKUP($A395, YES_Reading_FLA[], COLUMN(YES_Reading_FLA[Self-Identified as African Descent]),FALSE)="","",
VLOOKUP($A395,YES_Reading_FLA[],COLUMN(YES_Reading_FLA[Self-Identified as African Descent]),FALSE)),
IF($J$2="Combined",
IFERROR(
IF(VLOOKUP($A395, YES_Reading_ELA[], COLUMN(YES_Reading_ELA[Self-Identified as African Descent]), FALSE)="", "",
VLOOKUP($A395,YES_Reading_ELA[],COLUMN(YES_Reading_ELA[Self-Identified as African Descent]),FALSE)),
IF(VLOOKUP($A395, YES_Reading_FLA[], COLUMN(YES_Reading_FLA[Self-Identified as African Descent]),FALSE)="", "", VLOOKUP($A395,YES_Reading_FLA[],COLUMN(YES_Reading_FLA[Self-Identified as African Descent]),FALSE))),""))),"")</f>
        <v/>
      </c>
      <c r="L395" s="73" t="str" cm="1">
        <f t="array" ref="L395">IFERROR(
IF($J$2="ELA",
IF(VLOOKUP($A395, YES_Reading_ELA[], COLUMN(YES_Reading_ELA[Self-Identified as Indigenous]), FALSE)="", "",
VLOOKUP($A395,YES_Reading_ELA[], COLUMN(YES_Reading_ELA[Self-Identified as Indigenous]), FALSE)),
IF($J$2="FLA",
IF(VLOOKUP($A395, YES_Reading_FLA[], COLUMN(YES_Reading_FLA[Self-Identified as Indigenous]),FALSE)="","",
VLOOKUP($A395,YES_Reading_FLA[],COLUMN(YES_Reading_FLA[Self-Identified as Indigenous]),FALSE)),
IF($J$2="Combined",
IFERROR(
IF(VLOOKUP($A395, YES_Reading_ELA[], COLUMN(YES_Reading_ELA[Self-Identified as Indigenous]), FALSE)="", "",
VLOOKUP($A395,YES_Reading_ELA[],COLUMN(YES_Reading_ELA[Self-Identified as Indigenous]),FALSE)),
IF(VLOOKUP($A395, YES_Reading_FLA[], COLUMN(YES_Reading_FLA[Self-Identified as Indigenous]),FALSE)="", "", VLOOKUP($A395,YES_Reading_FLA[],COLUMN(YES_Reading_FLA[Self-Identified as Indigenous]),FALSE))),""))),"")</f>
        <v/>
      </c>
    </row>
    <row r="396" spans="1:12" ht="19.5" customHeight="1" x14ac:dyDescent="0.25">
      <c r="A396" s="217"/>
      <c r="B396" s="220"/>
      <c r="C396" s="203"/>
      <c r="D396" s="204"/>
      <c r="E396" s="205"/>
      <c r="F396" s="205"/>
      <c r="G396" s="205"/>
      <c r="H396" s="206"/>
      <c r="I396" s="227"/>
      <c r="J396" s="206"/>
      <c r="K396" s="197" t="str" cm="1">
        <f t="array" ref="K396">IFERROR(
IF($J$2="ELA",
IF(VLOOKUP($A396, YES_Reading_ELA[], COLUMN(YES_Reading_ELA[Self-Identified as African Descent]), FALSE)="", "",
VLOOKUP($A396,YES_Reading_ELA[], COLUMN(YES_Reading_ELA[Self-Identified as African Descent]), FALSE)),
IF($J$2="FLA",
IF(VLOOKUP($A396, YES_Reading_FLA[], COLUMN(YES_Reading_FLA[Self-Identified as African Descent]),FALSE)="","",
VLOOKUP($A396,YES_Reading_FLA[],COLUMN(YES_Reading_FLA[Self-Identified as African Descent]),FALSE)),
IF($J$2="Combined",
IFERROR(
IF(VLOOKUP($A396, YES_Reading_ELA[], COLUMN(YES_Reading_ELA[Self-Identified as African Descent]), FALSE)="", "",
VLOOKUP($A396,YES_Reading_ELA[],COLUMN(YES_Reading_ELA[Self-Identified as African Descent]),FALSE)),
IF(VLOOKUP($A396, YES_Reading_FLA[], COLUMN(YES_Reading_FLA[Self-Identified as African Descent]),FALSE)="", "", VLOOKUP($A396,YES_Reading_FLA[],COLUMN(YES_Reading_FLA[Self-Identified as African Descent]),FALSE))),""))),"")</f>
        <v/>
      </c>
      <c r="L396" s="73" t="str" cm="1">
        <f t="array" ref="L396">IFERROR(
IF($J$2="ELA",
IF(VLOOKUP($A396, YES_Reading_ELA[], COLUMN(YES_Reading_ELA[Self-Identified as Indigenous]), FALSE)="", "",
VLOOKUP($A396,YES_Reading_ELA[], COLUMN(YES_Reading_ELA[Self-Identified as Indigenous]), FALSE)),
IF($J$2="FLA",
IF(VLOOKUP($A396, YES_Reading_FLA[], COLUMN(YES_Reading_FLA[Self-Identified as Indigenous]),FALSE)="","",
VLOOKUP($A396,YES_Reading_FLA[],COLUMN(YES_Reading_FLA[Self-Identified as Indigenous]),FALSE)),
IF($J$2="Combined",
IFERROR(
IF(VLOOKUP($A396, YES_Reading_ELA[], COLUMN(YES_Reading_ELA[Self-Identified as Indigenous]), FALSE)="", "",
VLOOKUP($A396,YES_Reading_ELA[],COLUMN(YES_Reading_ELA[Self-Identified as Indigenous]),FALSE)),
IF(VLOOKUP($A396, YES_Reading_FLA[], COLUMN(YES_Reading_FLA[Self-Identified as Indigenous]),FALSE)="", "", VLOOKUP($A396,YES_Reading_FLA[],COLUMN(YES_Reading_FLA[Self-Identified as Indigenous]),FALSE))),""))),"")</f>
        <v/>
      </c>
    </row>
    <row r="397" spans="1:12" ht="19.5" customHeight="1" x14ac:dyDescent="0.25">
      <c r="A397" s="217"/>
      <c r="B397" s="220"/>
      <c r="C397" s="203"/>
      <c r="D397" s="204"/>
      <c r="E397" s="205"/>
      <c r="F397" s="205"/>
      <c r="G397" s="205"/>
      <c r="H397" s="206"/>
      <c r="I397" s="227"/>
      <c r="J397" s="206"/>
      <c r="K397" s="197" t="str" cm="1">
        <f t="array" ref="K397">IFERROR(
IF($J$2="ELA",
IF(VLOOKUP($A397, YES_Reading_ELA[], COLUMN(YES_Reading_ELA[Self-Identified as African Descent]), FALSE)="", "",
VLOOKUP($A397,YES_Reading_ELA[], COLUMN(YES_Reading_ELA[Self-Identified as African Descent]), FALSE)),
IF($J$2="FLA",
IF(VLOOKUP($A397, YES_Reading_FLA[], COLUMN(YES_Reading_FLA[Self-Identified as African Descent]),FALSE)="","",
VLOOKUP($A397,YES_Reading_FLA[],COLUMN(YES_Reading_FLA[Self-Identified as African Descent]),FALSE)),
IF($J$2="Combined",
IFERROR(
IF(VLOOKUP($A397, YES_Reading_ELA[], COLUMN(YES_Reading_ELA[Self-Identified as African Descent]), FALSE)="", "",
VLOOKUP($A397,YES_Reading_ELA[],COLUMN(YES_Reading_ELA[Self-Identified as African Descent]),FALSE)),
IF(VLOOKUP($A397, YES_Reading_FLA[], COLUMN(YES_Reading_FLA[Self-Identified as African Descent]),FALSE)="", "", VLOOKUP($A397,YES_Reading_FLA[],COLUMN(YES_Reading_FLA[Self-Identified as African Descent]),FALSE))),""))),"")</f>
        <v/>
      </c>
      <c r="L397" s="73" t="str" cm="1">
        <f t="array" ref="L397">IFERROR(
IF($J$2="ELA",
IF(VLOOKUP($A397, YES_Reading_ELA[], COLUMN(YES_Reading_ELA[Self-Identified as Indigenous]), FALSE)="", "",
VLOOKUP($A397,YES_Reading_ELA[], COLUMN(YES_Reading_ELA[Self-Identified as Indigenous]), FALSE)),
IF($J$2="FLA",
IF(VLOOKUP($A397, YES_Reading_FLA[], COLUMN(YES_Reading_FLA[Self-Identified as Indigenous]),FALSE)="","",
VLOOKUP($A397,YES_Reading_FLA[],COLUMN(YES_Reading_FLA[Self-Identified as Indigenous]),FALSE)),
IF($J$2="Combined",
IFERROR(
IF(VLOOKUP($A397, YES_Reading_ELA[], COLUMN(YES_Reading_ELA[Self-Identified as Indigenous]), FALSE)="", "",
VLOOKUP($A397,YES_Reading_ELA[],COLUMN(YES_Reading_ELA[Self-Identified as Indigenous]),FALSE)),
IF(VLOOKUP($A397, YES_Reading_FLA[], COLUMN(YES_Reading_FLA[Self-Identified as Indigenous]),FALSE)="", "", VLOOKUP($A397,YES_Reading_FLA[],COLUMN(YES_Reading_FLA[Self-Identified as Indigenous]),FALSE))),""))),"")</f>
        <v/>
      </c>
    </row>
    <row r="398" spans="1:12" ht="19.5" customHeight="1" x14ac:dyDescent="0.25">
      <c r="A398" s="217"/>
      <c r="B398" s="220"/>
      <c r="C398" s="203"/>
      <c r="D398" s="204"/>
      <c r="E398" s="205"/>
      <c r="F398" s="205"/>
      <c r="G398" s="205"/>
      <c r="H398" s="206"/>
      <c r="I398" s="227"/>
      <c r="J398" s="206"/>
      <c r="K398" s="197" t="str" cm="1">
        <f t="array" ref="K398">IFERROR(
IF($J$2="ELA",
IF(VLOOKUP($A398, YES_Reading_ELA[], COLUMN(YES_Reading_ELA[Self-Identified as African Descent]), FALSE)="", "",
VLOOKUP($A398,YES_Reading_ELA[], COLUMN(YES_Reading_ELA[Self-Identified as African Descent]), FALSE)),
IF($J$2="FLA",
IF(VLOOKUP($A398, YES_Reading_FLA[], COLUMN(YES_Reading_FLA[Self-Identified as African Descent]),FALSE)="","",
VLOOKUP($A398,YES_Reading_FLA[],COLUMN(YES_Reading_FLA[Self-Identified as African Descent]),FALSE)),
IF($J$2="Combined",
IFERROR(
IF(VLOOKUP($A398, YES_Reading_ELA[], COLUMN(YES_Reading_ELA[Self-Identified as African Descent]), FALSE)="", "",
VLOOKUP($A398,YES_Reading_ELA[],COLUMN(YES_Reading_ELA[Self-Identified as African Descent]),FALSE)),
IF(VLOOKUP($A398, YES_Reading_FLA[], COLUMN(YES_Reading_FLA[Self-Identified as African Descent]),FALSE)="", "", VLOOKUP($A398,YES_Reading_FLA[],COLUMN(YES_Reading_FLA[Self-Identified as African Descent]),FALSE))),""))),"")</f>
        <v/>
      </c>
      <c r="L398" s="73" t="str" cm="1">
        <f t="array" ref="L398">IFERROR(
IF($J$2="ELA",
IF(VLOOKUP($A398, YES_Reading_ELA[], COLUMN(YES_Reading_ELA[Self-Identified as Indigenous]), FALSE)="", "",
VLOOKUP($A398,YES_Reading_ELA[], COLUMN(YES_Reading_ELA[Self-Identified as Indigenous]), FALSE)),
IF($J$2="FLA",
IF(VLOOKUP($A398, YES_Reading_FLA[], COLUMN(YES_Reading_FLA[Self-Identified as Indigenous]),FALSE)="","",
VLOOKUP($A398,YES_Reading_FLA[],COLUMN(YES_Reading_FLA[Self-Identified as Indigenous]),FALSE)),
IF($J$2="Combined",
IFERROR(
IF(VLOOKUP($A398, YES_Reading_ELA[], COLUMN(YES_Reading_ELA[Self-Identified as Indigenous]), FALSE)="", "",
VLOOKUP($A398,YES_Reading_ELA[],COLUMN(YES_Reading_ELA[Self-Identified as Indigenous]),FALSE)),
IF(VLOOKUP($A398, YES_Reading_FLA[], COLUMN(YES_Reading_FLA[Self-Identified as Indigenous]),FALSE)="", "", VLOOKUP($A398,YES_Reading_FLA[],COLUMN(YES_Reading_FLA[Self-Identified as Indigenous]),FALSE))),""))),"")</f>
        <v/>
      </c>
    </row>
    <row r="399" spans="1:12" ht="19.5" customHeight="1" x14ac:dyDescent="0.25">
      <c r="A399" s="217"/>
      <c r="B399" s="220"/>
      <c r="C399" s="203"/>
      <c r="D399" s="204"/>
      <c r="E399" s="205"/>
      <c r="F399" s="205"/>
      <c r="G399" s="205"/>
      <c r="H399" s="206"/>
      <c r="I399" s="212"/>
      <c r="J399" s="206"/>
      <c r="K399" s="197" t="str" cm="1">
        <f t="array" ref="K399">IFERROR(
IF($J$2="ELA",
IF(VLOOKUP($A399, YES_Reading_ELA[], COLUMN(YES_Reading_ELA[Self-Identified as African Descent]), FALSE)="", "",
VLOOKUP($A399,YES_Reading_ELA[], COLUMN(YES_Reading_ELA[Self-Identified as African Descent]), FALSE)),
IF($J$2="FLA",
IF(VLOOKUP($A399, YES_Reading_FLA[], COLUMN(YES_Reading_FLA[Self-Identified as African Descent]),FALSE)="","",
VLOOKUP($A399,YES_Reading_FLA[],COLUMN(YES_Reading_FLA[Self-Identified as African Descent]),FALSE)),
IF($J$2="Combined",
IFERROR(
IF(VLOOKUP($A399, YES_Reading_ELA[], COLUMN(YES_Reading_ELA[Self-Identified as African Descent]), FALSE)="", "",
VLOOKUP($A399,YES_Reading_ELA[],COLUMN(YES_Reading_ELA[Self-Identified as African Descent]),FALSE)),
IF(VLOOKUP($A399, YES_Reading_FLA[], COLUMN(YES_Reading_FLA[Self-Identified as African Descent]),FALSE)="", "", VLOOKUP($A399,YES_Reading_FLA[],COLUMN(YES_Reading_FLA[Self-Identified as African Descent]),FALSE))),""))),"")</f>
        <v/>
      </c>
      <c r="L399" s="73" t="str" cm="1">
        <f t="array" ref="L399">IFERROR(
IF($J$2="ELA",
IF(VLOOKUP($A399, YES_Reading_ELA[], COLUMN(YES_Reading_ELA[Self-Identified as Indigenous]), FALSE)="", "",
VLOOKUP($A399,YES_Reading_ELA[], COLUMN(YES_Reading_ELA[Self-Identified as Indigenous]), FALSE)),
IF($J$2="FLA",
IF(VLOOKUP($A399, YES_Reading_FLA[], COLUMN(YES_Reading_FLA[Self-Identified as Indigenous]),FALSE)="","",
VLOOKUP($A399,YES_Reading_FLA[],COLUMN(YES_Reading_FLA[Self-Identified as Indigenous]),FALSE)),
IF($J$2="Combined",
IFERROR(
IF(VLOOKUP($A399, YES_Reading_ELA[], COLUMN(YES_Reading_ELA[Self-Identified as Indigenous]), FALSE)="", "",
VLOOKUP($A399,YES_Reading_ELA[],COLUMN(YES_Reading_ELA[Self-Identified as Indigenous]),FALSE)),
IF(VLOOKUP($A399, YES_Reading_FLA[], COLUMN(YES_Reading_FLA[Self-Identified as Indigenous]),FALSE)="", "", VLOOKUP($A399,YES_Reading_FLA[],COLUMN(YES_Reading_FLA[Self-Identified as Indigenous]),FALSE))),""))),"")</f>
        <v/>
      </c>
    </row>
    <row r="400" spans="1:12" ht="19.5" customHeight="1" x14ac:dyDescent="0.25">
      <c r="A400" s="217"/>
      <c r="B400" s="220"/>
      <c r="C400" s="203"/>
      <c r="D400" s="204"/>
      <c r="E400" s="205"/>
      <c r="F400" s="205"/>
      <c r="G400" s="205"/>
      <c r="H400" s="206"/>
      <c r="I400" s="212"/>
      <c r="J400" s="206"/>
      <c r="K400" s="197" t="str" cm="1">
        <f t="array" ref="K400">IFERROR(
IF($J$2="ELA",
IF(VLOOKUP($A400, YES_Reading_ELA[], COLUMN(YES_Reading_ELA[Self-Identified as African Descent]), FALSE)="", "",
VLOOKUP($A400,YES_Reading_ELA[], COLUMN(YES_Reading_ELA[Self-Identified as African Descent]), FALSE)),
IF($J$2="FLA",
IF(VLOOKUP($A400, YES_Reading_FLA[], COLUMN(YES_Reading_FLA[Self-Identified as African Descent]),FALSE)="","",
VLOOKUP($A400,YES_Reading_FLA[],COLUMN(YES_Reading_FLA[Self-Identified as African Descent]),FALSE)),
IF($J$2="Combined",
IFERROR(
IF(VLOOKUP($A400, YES_Reading_ELA[], COLUMN(YES_Reading_ELA[Self-Identified as African Descent]), FALSE)="", "",
VLOOKUP($A400,YES_Reading_ELA[],COLUMN(YES_Reading_ELA[Self-Identified as African Descent]),FALSE)),
IF(VLOOKUP($A400, YES_Reading_FLA[], COLUMN(YES_Reading_FLA[Self-Identified as African Descent]),FALSE)="", "", VLOOKUP($A400,YES_Reading_FLA[],COLUMN(YES_Reading_FLA[Self-Identified as African Descent]),FALSE))),""))),"")</f>
        <v/>
      </c>
      <c r="L400" s="73" t="str" cm="1">
        <f t="array" ref="L400">IFERROR(
IF($J$2="ELA",
IF(VLOOKUP($A400, YES_Reading_ELA[], COLUMN(YES_Reading_ELA[Self-Identified as Indigenous]), FALSE)="", "",
VLOOKUP($A400,YES_Reading_ELA[], COLUMN(YES_Reading_ELA[Self-Identified as Indigenous]), FALSE)),
IF($J$2="FLA",
IF(VLOOKUP($A400, YES_Reading_FLA[], COLUMN(YES_Reading_FLA[Self-Identified as Indigenous]),FALSE)="","",
VLOOKUP($A400,YES_Reading_FLA[],COLUMN(YES_Reading_FLA[Self-Identified as Indigenous]),FALSE)),
IF($J$2="Combined",
IFERROR(
IF(VLOOKUP($A400, YES_Reading_ELA[], COLUMN(YES_Reading_ELA[Self-Identified as Indigenous]), FALSE)="", "",
VLOOKUP($A400,YES_Reading_ELA[],COLUMN(YES_Reading_ELA[Self-Identified as Indigenous]),FALSE)),
IF(VLOOKUP($A400, YES_Reading_FLA[], COLUMN(YES_Reading_FLA[Self-Identified as Indigenous]),FALSE)="", "", VLOOKUP($A400,YES_Reading_FLA[],COLUMN(YES_Reading_FLA[Self-Identified as Indigenous]),FALSE))),""))),"")</f>
        <v/>
      </c>
    </row>
    <row r="401" spans="1:12" ht="19.5" customHeight="1" x14ac:dyDescent="0.25">
      <c r="A401" s="217"/>
      <c r="B401" s="220"/>
      <c r="C401" s="203"/>
      <c r="D401" s="204"/>
      <c r="E401" s="205"/>
      <c r="F401" s="205"/>
      <c r="G401" s="205"/>
      <c r="H401" s="206"/>
      <c r="I401" s="212"/>
      <c r="J401" s="206"/>
      <c r="K401" s="197" t="str" cm="1">
        <f t="array" ref="K401">IFERROR(
IF($J$2="ELA",
IF(VLOOKUP($A401, YES_Reading_ELA[], COLUMN(YES_Reading_ELA[Self-Identified as African Descent]), FALSE)="", "",
VLOOKUP($A401,YES_Reading_ELA[], COLUMN(YES_Reading_ELA[Self-Identified as African Descent]), FALSE)),
IF($J$2="FLA",
IF(VLOOKUP($A401, YES_Reading_FLA[], COLUMN(YES_Reading_FLA[Self-Identified as African Descent]),FALSE)="","",
VLOOKUP($A401,YES_Reading_FLA[],COLUMN(YES_Reading_FLA[Self-Identified as African Descent]),FALSE)),
IF($J$2="Combined",
IFERROR(
IF(VLOOKUP($A401, YES_Reading_ELA[], COLUMN(YES_Reading_ELA[Self-Identified as African Descent]), FALSE)="", "",
VLOOKUP($A401,YES_Reading_ELA[],COLUMN(YES_Reading_ELA[Self-Identified as African Descent]),FALSE)),
IF(VLOOKUP($A401, YES_Reading_FLA[], COLUMN(YES_Reading_FLA[Self-Identified as African Descent]),FALSE)="", "", VLOOKUP($A401,YES_Reading_FLA[],COLUMN(YES_Reading_FLA[Self-Identified as African Descent]),FALSE))),""))),"")</f>
        <v/>
      </c>
      <c r="L401" s="73" t="str" cm="1">
        <f t="array" ref="L401">IFERROR(
IF($J$2="ELA",
IF(VLOOKUP($A401, YES_Reading_ELA[], COLUMN(YES_Reading_ELA[Self-Identified as Indigenous]), FALSE)="", "",
VLOOKUP($A401,YES_Reading_ELA[], COLUMN(YES_Reading_ELA[Self-Identified as Indigenous]), FALSE)),
IF($J$2="FLA",
IF(VLOOKUP($A401, YES_Reading_FLA[], COLUMN(YES_Reading_FLA[Self-Identified as Indigenous]),FALSE)="","",
VLOOKUP($A401,YES_Reading_FLA[],COLUMN(YES_Reading_FLA[Self-Identified as Indigenous]),FALSE)),
IF($J$2="Combined",
IFERROR(
IF(VLOOKUP($A401, YES_Reading_ELA[], COLUMN(YES_Reading_ELA[Self-Identified as Indigenous]), FALSE)="", "",
VLOOKUP($A401,YES_Reading_ELA[],COLUMN(YES_Reading_ELA[Self-Identified as Indigenous]),FALSE)),
IF(VLOOKUP($A401, YES_Reading_FLA[], COLUMN(YES_Reading_FLA[Self-Identified as Indigenous]),FALSE)="", "", VLOOKUP($A401,YES_Reading_FLA[],COLUMN(YES_Reading_FLA[Self-Identified as Indigenous]),FALSE))),""))),"")</f>
        <v/>
      </c>
    </row>
    <row r="402" spans="1:12" ht="19.5" customHeight="1" x14ac:dyDescent="0.25">
      <c r="A402" s="217"/>
      <c r="B402" s="220"/>
      <c r="C402" s="203"/>
      <c r="D402" s="204"/>
      <c r="E402" s="205"/>
      <c r="F402" s="205"/>
      <c r="G402" s="205"/>
      <c r="H402" s="206"/>
      <c r="I402" s="212"/>
      <c r="J402" s="206"/>
      <c r="K402" s="197" t="str" cm="1">
        <f t="array" ref="K402">IFERROR(
IF($J$2="ELA",
IF(VLOOKUP($A402, YES_Reading_ELA[], COLUMN(YES_Reading_ELA[Self-Identified as African Descent]), FALSE)="", "",
VLOOKUP($A402,YES_Reading_ELA[], COLUMN(YES_Reading_ELA[Self-Identified as African Descent]), FALSE)),
IF($J$2="FLA",
IF(VLOOKUP($A402, YES_Reading_FLA[], COLUMN(YES_Reading_FLA[Self-Identified as African Descent]),FALSE)="","",
VLOOKUP($A402,YES_Reading_FLA[],COLUMN(YES_Reading_FLA[Self-Identified as African Descent]),FALSE)),
IF($J$2="Combined",
IFERROR(
IF(VLOOKUP($A402, YES_Reading_ELA[], COLUMN(YES_Reading_ELA[Self-Identified as African Descent]), FALSE)="", "",
VLOOKUP($A402,YES_Reading_ELA[],COLUMN(YES_Reading_ELA[Self-Identified as African Descent]),FALSE)),
IF(VLOOKUP($A402, YES_Reading_FLA[], COLUMN(YES_Reading_FLA[Self-Identified as African Descent]),FALSE)="", "", VLOOKUP($A402,YES_Reading_FLA[],COLUMN(YES_Reading_FLA[Self-Identified as African Descent]),FALSE))),""))),"")</f>
        <v/>
      </c>
      <c r="L402" s="73" t="str" cm="1">
        <f t="array" ref="L402">IFERROR(
IF($J$2="ELA",
IF(VLOOKUP($A402, YES_Reading_ELA[], COLUMN(YES_Reading_ELA[Self-Identified as Indigenous]), FALSE)="", "",
VLOOKUP($A402,YES_Reading_ELA[], COLUMN(YES_Reading_ELA[Self-Identified as Indigenous]), FALSE)),
IF($J$2="FLA",
IF(VLOOKUP($A402, YES_Reading_FLA[], COLUMN(YES_Reading_FLA[Self-Identified as Indigenous]),FALSE)="","",
VLOOKUP($A402,YES_Reading_FLA[],COLUMN(YES_Reading_FLA[Self-Identified as Indigenous]),FALSE)),
IF($J$2="Combined",
IFERROR(
IF(VLOOKUP($A402, YES_Reading_ELA[], COLUMN(YES_Reading_ELA[Self-Identified as Indigenous]), FALSE)="", "",
VLOOKUP($A402,YES_Reading_ELA[],COLUMN(YES_Reading_ELA[Self-Identified as Indigenous]),FALSE)),
IF(VLOOKUP($A402, YES_Reading_FLA[], COLUMN(YES_Reading_FLA[Self-Identified as Indigenous]),FALSE)="", "", VLOOKUP($A402,YES_Reading_FLA[],COLUMN(YES_Reading_FLA[Self-Identified as Indigenous]),FALSE))),""))),"")</f>
        <v/>
      </c>
    </row>
    <row r="403" spans="1:12" ht="19.5" customHeight="1" x14ac:dyDescent="0.25">
      <c r="A403" s="217"/>
      <c r="B403" s="220"/>
      <c r="C403" s="203"/>
      <c r="D403" s="204"/>
      <c r="E403" s="205"/>
      <c r="F403" s="205"/>
      <c r="G403" s="205"/>
      <c r="H403" s="206"/>
      <c r="I403" s="212"/>
      <c r="J403" s="206"/>
      <c r="K403" s="197" t="str" cm="1">
        <f t="array" ref="K403">IFERROR(
IF($J$2="ELA",
IF(VLOOKUP($A403, YES_Reading_ELA[], COLUMN(YES_Reading_ELA[Self-Identified as African Descent]), FALSE)="", "",
VLOOKUP($A403,YES_Reading_ELA[], COLUMN(YES_Reading_ELA[Self-Identified as African Descent]), FALSE)),
IF($J$2="FLA",
IF(VLOOKUP($A403, YES_Reading_FLA[], COLUMN(YES_Reading_FLA[Self-Identified as African Descent]),FALSE)="","",
VLOOKUP($A403,YES_Reading_FLA[],COLUMN(YES_Reading_FLA[Self-Identified as African Descent]),FALSE)),
IF($J$2="Combined",
IFERROR(
IF(VLOOKUP($A403, YES_Reading_ELA[], COLUMN(YES_Reading_ELA[Self-Identified as African Descent]), FALSE)="", "",
VLOOKUP($A403,YES_Reading_ELA[],COLUMN(YES_Reading_ELA[Self-Identified as African Descent]),FALSE)),
IF(VLOOKUP($A403, YES_Reading_FLA[], COLUMN(YES_Reading_FLA[Self-Identified as African Descent]),FALSE)="", "", VLOOKUP($A403,YES_Reading_FLA[],COLUMN(YES_Reading_FLA[Self-Identified as African Descent]),FALSE))),""))),"")</f>
        <v/>
      </c>
      <c r="L403" s="73" t="str" cm="1">
        <f t="array" ref="L403">IFERROR(
IF($J$2="ELA",
IF(VLOOKUP($A403, YES_Reading_ELA[], COLUMN(YES_Reading_ELA[Self-Identified as Indigenous]), FALSE)="", "",
VLOOKUP($A403,YES_Reading_ELA[], COLUMN(YES_Reading_ELA[Self-Identified as Indigenous]), FALSE)),
IF($J$2="FLA",
IF(VLOOKUP($A403, YES_Reading_FLA[], COLUMN(YES_Reading_FLA[Self-Identified as Indigenous]),FALSE)="","",
VLOOKUP($A403,YES_Reading_FLA[],COLUMN(YES_Reading_FLA[Self-Identified as Indigenous]),FALSE)),
IF($J$2="Combined",
IFERROR(
IF(VLOOKUP($A403, YES_Reading_ELA[], COLUMN(YES_Reading_ELA[Self-Identified as Indigenous]), FALSE)="", "",
VLOOKUP($A403,YES_Reading_ELA[],COLUMN(YES_Reading_ELA[Self-Identified as Indigenous]),FALSE)),
IF(VLOOKUP($A403, YES_Reading_FLA[], COLUMN(YES_Reading_FLA[Self-Identified as Indigenous]),FALSE)="", "", VLOOKUP($A403,YES_Reading_FLA[],COLUMN(YES_Reading_FLA[Self-Identified as Indigenous]),FALSE))),""))),"")</f>
        <v/>
      </c>
    </row>
    <row r="404" spans="1:12" ht="19.5" customHeight="1" x14ac:dyDescent="0.25">
      <c r="A404" s="217"/>
      <c r="B404" s="220"/>
      <c r="C404" s="203"/>
      <c r="D404" s="204"/>
      <c r="E404" s="205"/>
      <c r="F404" s="205"/>
      <c r="G404" s="205"/>
      <c r="H404" s="206"/>
      <c r="I404" s="212"/>
      <c r="J404" s="206"/>
      <c r="K404" s="197" t="str" cm="1">
        <f t="array" ref="K404">IFERROR(
IF($J$2="ELA",
IF(VLOOKUP($A404, YES_Reading_ELA[], COLUMN(YES_Reading_ELA[Self-Identified as African Descent]), FALSE)="", "",
VLOOKUP($A404,YES_Reading_ELA[], COLUMN(YES_Reading_ELA[Self-Identified as African Descent]), FALSE)),
IF($J$2="FLA",
IF(VLOOKUP($A404, YES_Reading_FLA[], COLUMN(YES_Reading_FLA[Self-Identified as African Descent]),FALSE)="","",
VLOOKUP($A404,YES_Reading_FLA[],COLUMN(YES_Reading_FLA[Self-Identified as African Descent]),FALSE)),
IF($J$2="Combined",
IFERROR(
IF(VLOOKUP($A404, YES_Reading_ELA[], COLUMN(YES_Reading_ELA[Self-Identified as African Descent]), FALSE)="", "",
VLOOKUP($A404,YES_Reading_ELA[],COLUMN(YES_Reading_ELA[Self-Identified as African Descent]),FALSE)),
IF(VLOOKUP($A404, YES_Reading_FLA[], COLUMN(YES_Reading_FLA[Self-Identified as African Descent]),FALSE)="", "", VLOOKUP($A404,YES_Reading_FLA[],COLUMN(YES_Reading_FLA[Self-Identified as African Descent]),FALSE))),""))),"")</f>
        <v/>
      </c>
      <c r="L404" s="73" t="str" cm="1">
        <f t="array" ref="L404">IFERROR(
IF($J$2="ELA",
IF(VLOOKUP($A404, YES_Reading_ELA[], COLUMN(YES_Reading_ELA[Self-Identified as Indigenous]), FALSE)="", "",
VLOOKUP($A404,YES_Reading_ELA[], COLUMN(YES_Reading_ELA[Self-Identified as Indigenous]), FALSE)),
IF($J$2="FLA",
IF(VLOOKUP($A404, YES_Reading_FLA[], COLUMN(YES_Reading_FLA[Self-Identified as Indigenous]),FALSE)="","",
VLOOKUP($A404,YES_Reading_FLA[],COLUMN(YES_Reading_FLA[Self-Identified as Indigenous]),FALSE)),
IF($J$2="Combined",
IFERROR(
IF(VLOOKUP($A404, YES_Reading_ELA[], COLUMN(YES_Reading_ELA[Self-Identified as Indigenous]), FALSE)="", "",
VLOOKUP($A404,YES_Reading_ELA[],COLUMN(YES_Reading_ELA[Self-Identified as Indigenous]),FALSE)),
IF(VLOOKUP($A404, YES_Reading_FLA[], COLUMN(YES_Reading_FLA[Self-Identified as Indigenous]),FALSE)="", "", VLOOKUP($A404,YES_Reading_FLA[],COLUMN(YES_Reading_FLA[Self-Identified as Indigenous]),FALSE))),""))),"")</f>
        <v/>
      </c>
    </row>
    <row r="405" spans="1:12" ht="19.5" customHeight="1" x14ac:dyDescent="0.25">
      <c r="A405" s="217"/>
      <c r="B405" s="220"/>
      <c r="C405" s="203"/>
      <c r="D405" s="204"/>
      <c r="E405" s="205"/>
      <c r="F405" s="205"/>
      <c r="G405" s="205"/>
      <c r="H405" s="206"/>
      <c r="I405" s="212"/>
      <c r="J405" s="206"/>
      <c r="K405" s="197" t="str" cm="1">
        <f t="array" ref="K405">IFERROR(
IF($J$2="ELA",
IF(VLOOKUP($A405, YES_Reading_ELA[], COLUMN(YES_Reading_ELA[Self-Identified as African Descent]), FALSE)="", "",
VLOOKUP($A405,YES_Reading_ELA[], COLUMN(YES_Reading_ELA[Self-Identified as African Descent]), FALSE)),
IF($J$2="FLA",
IF(VLOOKUP($A405, YES_Reading_FLA[], COLUMN(YES_Reading_FLA[Self-Identified as African Descent]),FALSE)="","",
VLOOKUP($A405,YES_Reading_FLA[],COLUMN(YES_Reading_FLA[Self-Identified as African Descent]),FALSE)),
IF($J$2="Combined",
IFERROR(
IF(VLOOKUP($A405, YES_Reading_ELA[], COLUMN(YES_Reading_ELA[Self-Identified as African Descent]), FALSE)="", "",
VLOOKUP($A405,YES_Reading_ELA[],COLUMN(YES_Reading_ELA[Self-Identified as African Descent]),FALSE)),
IF(VLOOKUP($A405, YES_Reading_FLA[], COLUMN(YES_Reading_FLA[Self-Identified as African Descent]),FALSE)="", "", VLOOKUP($A405,YES_Reading_FLA[],COLUMN(YES_Reading_FLA[Self-Identified as African Descent]),FALSE))),""))),"")</f>
        <v/>
      </c>
      <c r="L405" s="73" t="str" cm="1">
        <f t="array" ref="L405">IFERROR(
IF($J$2="ELA",
IF(VLOOKUP($A405, YES_Reading_ELA[], COLUMN(YES_Reading_ELA[Self-Identified as Indigenous]), FALSE)="", "",
VLOOKUP($A405,YES_Reading_ELA[], COLUMN(YES_Reading_ELA[Self-Identified as Indigenous]), FALSE)),
IF($J$2="FLA",
IF(VLOOKUP($A405, YES_Reading_FLA[], COLUMN(YES_Reading_FLA[Self-Identified as Indigenous]),FALSE)="","",
VLOOKUP($A405,YES_Reading_FLA[],COLUMN(YES_Reading_FLA[Self-Identified as Indigenous]),FALSE)),
IF($J$2="Combined",
IFERROR(
IF(VLOOKUP($A405, YES_Reading_ELA[], COLUMN(YES_Reading_ELA[Self-Identified as Indigenous]), FALSE)="", "",
VLOOKUP($A405,YES_Reading_ELA[],COLUMN(YES_Reading_ELA[Self-Identified as Indigenous]),FALSE)),
IF(VLOOKUP($A405, YES_Reading_FLA[], COLUMN(YES_Reading_FLA[Self-Identified as Indigenous]),FALSE)="", "", VLOOKUP($A405,YES_Reading_FLA[],COLUMN(YES_Reading_FLA[Self-Identified as Indigenous]),FALSE))),""))),"")</f>
        <v/>
      </c>
    </row>
    <row r="406" spans="1:12" ht="19.5" customHeight="1" x14ac:dyDescent="0.25">
      <c r="A406" s="217"/>
      <c r="B406" s="220"/>
      <c r="C406" s="203"/>
      <c r="D406" s="204"/>
      <c r="E406" s="205"/>
      <c r="F406" s="205"/>
      <c r="G406" s="205"/>
      <c r="H406" s="206"/>
      <c r="I406" s="212"/>
      <c r="J406" s="206"/>
      <c r="K406" s="197" t="str" cm="1">
        <f t="array" ref="K406">IFERROR(
IF($J$2="ELA",
IF(VLOOKUP($A406, YES_Reading_ELA[], COLUMN(YES_Reading_ELA[Self-Identified as African Descent]), FALSE)="", "",
VLOOKUP($A406,YES_Reading_ELA[], COLUMN(YES_Reading_ELA[Self-Identified as African Descent]), FALSE)),
IF($J$2="FLA",
IF(VLOOKUP($A406, YES_Reading_FLA[], COLUMN(YES_Reading_FLA[Self-Identified as African Descent]),FALSE)="","",
VLOOKUP($A406,YES_Reading_FLA[],COLUMN(YES_Reading_FLA[Self-Identified as African Descent]),FALSE)),
IF($J$2="Combined",
IFERROR(
IF(VLOOKUP($A406, YES_Reading_ELA[], COLUMN(YES_Reading_ELA[Self-Identified as African Descent]), FALSE)="", "",
VLOOKUP($A406,YES_Reading_ELA[],COLUMN(YES_Reading_ELA[Self-Identified as African Descent]),FALSE)),
IF(VLOOKUP($A406, YES_Reading_FLA[], COLUMN(YES_Reading_FLA[Self-Identified as African Descent]),FALSE)="", "", VLOOKUP($A406,YES_Reading_FLA[],COLUMN(YES_Reading_FLA[Self-Identified as African Descent]),FALSE))),""))),"")</f>
        <v/>
      </c>
      <c r="L406" s="73" t="str" cm="1">
        <f t="array" ref="L406">IFERROR(
IF($J$2="ELA",
IF(VLOOKUP($A406, YES_Reading_ELA[], COLUMN(YES_Reading_ELA[Self-Identified as Indigenous]), FALSE)="", "",
VLOOKUP($A406,YES_Reading_ELA[], COLUMN(YES_Reading_ELA[Self-Identified as Indigenous]), FALSE)),
IF($J$2="FLA",
IF(VLOOKUP($A406, YES_Reading_FLA[], COLUMN(YES_Reading_FLA[Self-Identified as Indigenous]),FALSE)="","",
VLOOKUP($A406,YES_Reading_FLA[],COLUMN(YES_Reading_FLA[Self-Identified as Indigenous]),FALSE)),
IF($J$2="Combined",
IFERROR(
IF(VLOOKUP($A406, YES_Reading_ELA[], COLUMN(YES_Reading_ELA[Self-Identified as Indigenous]), FALSE)="", "",
VLOOKUP($A406,YES_Reading_ELA[],COLUMN(YES_Reading_ELA[Self-Identified as Indigenous]),FALSE)),
IF(VLOOKUP($A406, YES_Reading_FLA[], COLUMN(YES_Reading_FLA[Self-Identified as Indigenous]),FALSE)="", "", VLOOKUP($A406,YES_Reading_FLA[],COLUMN(YES_Reading_FLA[Self-Identified as Indigenous]),FALSE))),""))),"")</f>
        <v/>
      </c>
    </row>
    <row r="407" spans="1:12" ht="19.5" customHeight="1" x14ac:dyDescent="0.25">
      <c r="A407" s="217"/>
      <c r="B407" s="220"/>
      <c r="C407" s="203"/>
      <c r="D407" s="204"/>
      <c r="E407" s="205"/>
      <c r="F407" s="205"/>
      <c r="G407" s="205"/>
      <c r="H407" s="206"/>
      <c r="I407" s="212"/>
      <c r="J407" s="206"/>
      <c r="K407" s="197" t="str" cm="1">
        <f t="array" ref="K407">IFERROR(
IF($J$2="ELA",
IF(VLOOKUP($A407, YES_Reading_ELA[], COLUMN(YES_Reading_ELA[Self-Identified as African Descent]), FALSE)="", "",
VLOOKUP($A407,YES_Reading_ELA[], COLUMN(YES_Reading_ELA[Self-Identified as African Descent]), FALSE)),
IF($J$2="FLA",
IF(VLOOKUP($A407, YES_Reading_FLA[], COLUMN(YES_Reading_FLA[Self-Identified as African Descent]),FALSE)="","",
VLOOKUP($A407,YES_Reading_FLA[],COLUMN(YES_Reading_FLA[Self-Identified as African Descent]),FALSE)),
IF($J$2="Combined",
IFERROR(
IF(VLOOKUP($A407, YES_Reading_ELA[], COLUMN(YES_Reading_ELA[Self-Identified as African Descent]), FALSE)="", "",
VLOOKUP($A407,YES_Reading_ELA[],COLUMN(YES_Reading_ELA[Self-Identified as African Descent]),FALSE)),
IF(VLOOKUP($A407, YES_Reading_FLA[], COLUMN(YES_Reading_FLA[Self-Identified as African Descent]),FALSE)="", "", VLOOKUP($A407,YES_Reading_FLA[],COLUMN(YES_Reading_FLA[Self-Identified as African Descent]),FALSE))),""))),"")</f>
        <v/>
      </c>
      <c r="L407" s="73" t="str" cm="1">
        <f t="array" ref="L407">IFERROR(
IF($J$2="ELA",
IF(VLOOKUP($A407, YES_Reading_ELA[], COLUMN(YES_Reading_ELA[Self-Identified as Indigenous]), FALSE)="", "",
VLOOKUP($A407,YES_Reading_ELA[], COLUMN(YES_Reading_ELA[Self-Identified as Indigenous]), FALSE)),
IF($J$2="FLA",
IF(VLOOKUP($A407, YES_Reading_FLA[], COLUMN(YES_Reading_FLA[Self-Identified as Indigenous]),FALSE)="","",
VLOOKUP($A407,YES_Reading_FLA[],COLUMN(YES_Reading_FLA[Self-Identified as Indigenous]),FALSE)),
IF($J$2="Combined",
IFERROR(
IF(VLOOKUP($A407, YES_Reading_ELA[], COLUMN(YES_Reading_ELA[Self-Identified as Indigenous]), FALSE)="", "",
VLOOKUP($A407,YES_Reading_ELA[],COLUMN(YES_Reading_ELA[Self-Identified as Indigenous]),FALSE)),
IF(VLOOKUP($A407, YES_Reading_FLA[], COLUMN(YES_Reading_FLA[Self-Identified as Indigenous]),FALSE)="", "", VLOOKUP($A407,YES_Reading_FLA[],COLUMN(YES_Reading_FLA[Self-Identified as Indigenous]),FALSE))),""))),"")</f>
        <v/>
      </c>
    </row>
    <row r="408" spans="1:12" ht="19.5" customHeight="1" thickBot="1" x14ac:dyDescent="0.3">
      <c r="A408" s="218"/>
      <c r="B408" s="221"/>
      <c r="C408" s="208"/>
      <c r="D408" s="209"/>
      <c r="E408" s="210"/>
      <c r="F408" s="210"/>
      <c r="G408" s="210"/>
      <c r="H408" s="211"/>
      <c r="I408" s="213"/>
      <c r="J408" s="211"/>
      <c r="K408" s="198" t="str" cm="1">
        <f t="array" ref="K408">IFERROR(
IF($J$2="ELA",
IF(VLOOKUP($A408, YES_Reading_ELA[], COLUMN(YES_Reading_ELA[Self-Identified as African Descent]), FALSE)="", "",
VLOOKUP($A408,YES_Reading_ELA[], COLUMN(YES_Reading_ELA[Self-Identified as African Descent]), FALSE)),
IF($J$2="FLA",
IF(VLOOKUP($A408, YES_Reading_FLA[], COLUMN(YES_Reading_FLA[Self-Identified as African Descent]),FALSE)="","",
VLOOKUP($A408,YES_Reading_FLA[],COLUMN(YES_Reading_FLA[Self-Identified as African Descent]),FALSE)),
IF($J$2="Combined",
IFERROR(
IF(VLOOKUP($A408, YES_Reading_ELA[], COLUMN(YES_Reading_ELA[Self-Identified as African Descent]), FALSE)="", "",
VLOOKUP($A408,YES_Reading_ELA[],COLUMN(YES_Reading_ELA[Self-Identified as African Descent]),FALSE)),
IF(VLOOKUP($A408, YES_Reading_FLA[], COLUMN(YES_Reading_FLA[Self-Identified as African Descent]),FALSE)="", "", VLOOKUP($A408,YES_Reading_FLA[],COLUMN(YES_Reading_FLA[Self-Identified as African Descent]),FALSE))),""))),"")</f>
        <v/>
      </c>
      <c r="L408" s="74" t="str" cm="1">
        <f t="array" ref="L408">IFERROR(
IF($J$2="ELA",
IF(VLOOKUP($A408, YES_Reading_ELA[], COLUMN(YES_Reading_ELA[Self-Identified as Indigenous]), FALSE)="", "",
VLOOKUP($A408,YES_Reading_ELA[], COLUMN(YES_Reading_ELA[Self-Identified as Indigenous]), FALSE)),
IF($J$2="FLA",
IF(VLOOKUP($A408, YES_Reading_FLA[], COLUMN(YES_Reading_FLA[Self-Identified as Indigenous]),FALSE)="","",
VLOOKUP($A408,YES_Reading_FLA[],COLUMN(YES_Reading_FLA[Self-Identified as Indigenous]),FALSE)),
IF($J$2="Combined",
IFERROR(
IF(VLOOKUP($A408, YES_Reading_ELA[], COLUMN(YES_Reading_ELA[Self-Identified as Indigenous]), FALSE)="", "",
VLOOKUP($A408,YES_Reading_ELA[],COLUMN(YES_Reading_ELA[Self-Identified as Indigenous]),FALSE)),
IF(VLOOKUP($A408, YES_Reading_FLA[], COLUMN(YES_Reading_FLA[Self-Identified as Indigenous]),FALSE)="", "", VLOOKUP($A408,YES_Reading_FLA[],COLUMN(YES_Reading_FLA[Self-Identified as Indigenous]),FALSE))),""))),"")</f>
        <v/>
      </c>
    </row>
    <row r="409" spans="1:12" x14ac:dyDescent="0.25">
      <c r="A409" s="214"/>
      <c r="B409" s="214" t="s">
        <v>241</v>
      </c>
      <c r="C409" s="214"/>
      <c r="D409" s="215" t="str" cm="1">
        <f t="array" ref="D409">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Set")))=$D$1)),1,1,FALSE),FALSE,FALSE),14),"")</f>
        <v/>
      </c>
      <c r="E409" s="215"/>
      <c r="F409" s="215"/>
      <c r="G409" s="215"/>
      <c r="H409" s="355" t="s">
        <v>242</v>
      </c>
      <c r="I409" s="356"/>
      <c r="J409" s="215"/>
    </row>
    <row r="410" spans="1:12" x14ac:dyDescent="0.25">
      <c r="A410" s="214"/>
      <c r="B410" s="214" t="str">
        <f>"Date: "&amp;$D$3</f>
        <v xml:space="preserve">Date: </v>
      </c>
      <c r="C410" s="214"/>
      <c r="D410" s="215"/>
      <c r="E410" s="215"/>
      <c r="F410" s="215"/>
      <c r="G410" s="215"/>
      <c r="H410" s="357" t="s">
        <v>243</v>
      </c>
      <c r="I410" s="358"/>
      <c r="J410" s="215"/>
    </row>
    <row r="411" spans="1:12" ht="15.75" thickBot="1" x14ac:dyDescent="0.3">
      <c r="A411" s="215"/>
      <c r="B411" s="215"/>
      <c r="C411" s="215"/>
      <c r="D411" s="215"/>
      <c r="E411" s="215"/>
      <c r="F411" s="215"/>
      <c r="G411" s="215"/>
      <c r="H411" s="353" t="s">
        <v>244</v>
      </c>
      <c r="I411" s="354"/>
      <c r="J411" s="215"/>
    </row>
    <row r="412" spans="1:12" ht="85.5" customHeight="1" thickBot="1" x14ac:dyDescent="0.3">
      <c r="A412" s="192" t="s">
        <v>44</v>
      </c>
      <c r="B412" s="187" t="s">
        <v>245</v>
      </c>
      <c r="C412" s="188" t="s">
        <v>246</v>
      </c>
      <c r="D412" s="188" t="s">
        <v>247</v>
      </c>
      <c r="E412" s="188" t="s">
        <v>248</v>
      </c>
      <c r="F412" s="188" t="s">
        <v>249</v>
      </c>
      <c r="G412" s="188" t="s">
        <v>250</v>
      </c>
      <c r="H412" s="189" t="s">
        <v>251</v>
      </c>
      <c r="I412" s="190" t="s">
        <v>252</v>
      </c>
      <c r="J412" s="191" t="s">
        <v>253</v>
      </c>
      <c r="K412" s="200" t="s">
        <v>256</v>
      </c>
      <c r="L412" s="201" t="s">
        <v>257</v>
      </c>
    </row>
    <row r="413" spans="1:12" ht="19.5" customHeight="1" x14ac:dyDescent="0.25">
      <c r="A413" s="216" t="e" cm="1" vm="1">
        <f t="array" aca="1" ref="A413" ca="1">_xlfn._xlws.FILTER(_xlfn.VSTACK(YES_Reading_ELA[Student Number],YES_Reading_FLA[Student Number]),_xlfn.VSTACK(YES_Reading_ELA[HomeRoom],YES_Reading_FLA[Homeroom])=D409)</f>
        <v>#VALUE!</v>
      </c>
      <c r="B413" s="219"/>
      <c r="C413" s="203"/>
      <c r="D413" s="204"/>
      <c r="E413" s="205"/>
      <c r="F413" s="205"/>
      <c r="G413" s="205"/>
      <c r="H413" s="206"/>
      <c r="I413" s="227"/>
      <c r="J413" s="206"/>
      <c r="K413" s="24" t="str" cm="1">
        <f t="array" aca="1" ref="K413" ca="1">IFERROR(
IF($J$2="ELA",
IF(VLOOKUP($A413, YES_Reading_ELA[], COLUMN(YES_Reading_ELA[Self-Identified as African Descent]), FALSE)="", "",
VLOOKUP($A413,YES_Reading_ELA[], COLUMN(YES_Reading_ELA[Self-Identified as African Descent]), FALSE)),
IF($J$2="FLA",
IF(VLOOKUP($A413, YES_Reading_FLA[], COLUMN(YES_Reading_FLA[Self-Identified as African Descent]),FALSE)="","",
VLOOKUP($A413,YES_Reading_FLA[],COLUMN(YES_Reading_FLA[Self-Identified as African Descent]),FALSE)),
IF($J$2="Combined",
IFERROR(
IF(VLOOKUP($A413, YES_Reading_ELA[], COLUMN(YES_Reading_ELA[Self-Identified as African Descent]), FALSE)="", "",
VLOOKUP($A413,YES_Reading_ELA[],COLUMN(YES_Reading_ELA[Self-Identified as African Descent]),FALSE)),
IF(VLOOKUP($A413, YES_Reading_FLA[], COLUMN(YES_Reading_FLA[Self-Identified as African Descent]),FALSE)="", "", VLOOKUP($A413,YES_Reading_FLA[],COLUMN(YES_Reading_FLA[Self-Identified as African Descent]),FALSE))),""))),"")</f>
        <v/>
      </c>
      <c r="L413" s="199" t="str" cm="1">
        <f t="array" aca="1" ref="L413" ca="1">IFERROR(
IF($J$2="ELA",
IF(VLOOKUP($A413, YES_Reading_ELA[], COLUMN(YES_Reading_ELA[Self-Identified as Indigenous]), FALSE)="", "",
VLOOKUP($A413,YES_Reading_ELA[], COLUMN(YES_Reading_ELA[Self-Identified as Indigenous]), FALSE)),
IF($J$2="FLA",
IF(VLOOKUP($A413, YES_Reading_FLA[], COLUMN(YES_Reading_FLA[Self-Identified as Indigenous]),FALSE)="","",
VLOOKUP($A413,YES_Reading_FLA[],COLUMN(YES_Reading_FLA[Self-Identified as Indigenous]),FALSE)),
IF($J$2="Combined",
IFERROR(
IF(VLOOKUP($A413, YES_Reading_ELA[], COLUMN(YES_Reading_ELA[Self-Identified as Indigenous]), FALSE)="", "",
VLOOKUP($A413,YES_Reading_ELA[],COLUMN(YES_Reading_ELA[Self-Identified as Indigenous]),FALSE)),
IF(VLOOKUP($A413, YES_Reading_FLA[], COLUMN(YES_Reading_FLA[Self-Identified as Indigenous]),FALSE)="", "", VLOOKUP($A413,YES_Reading_FLA[],COLUMN(YES_Reading_FLA[Self-Identified as Indigenous]),FALSE))),""))),"")</f>
        <v/>
      </c>
    </row>
    <row r="414" spans="1:12" ht="19.5" customHeight="1" x14ac:dyDescent="0.25">
      <c r="A414" s="217"/>
      <c r="B414" s="220"/>
      <c r="C414" s="203"/>
      <c r="D414" s="204"/>
      <c r="E414" s="205"/>
      <c r="F414" s="205"/>
      <c r="G414" s="205"/>
      <c r="H414" s="206"/>
      <c r="I414" s="212"/>
      <c r="J414" s="206"/>
      <c r="K414" s="197" t="str" cm="1">
        <f t="array" ref="K414">IFERROR(
IF($J$2="ELA",
IF(VLOOKUP($A414, YES_Reading_ELA[], COLUMN(YES_Reading_ELA[Self-Identified as African Descent]), FALSE)="", "",
VLOOKUP($A414,YES_Reading_ELA[], COLUMN(YES_Reading_ELA[Self-Identified as African Descent]), FALSE)),
IF($J$2="FLA",
IF(VLOOKUP($A414, YES_Reading_FLA[], COLUMN(YES_Reading_FLA[Self-Identified as African Descent]),FALSE)="","",
VLOOKUP($A414,YES_Reading_FLA[],COLUMN(YES_Reading_FLA[Self-Identified as African Descent]),FALSE)),
IF($J$2="Combined",
IFERROR(
IF(VLOOKUP($A414, YES_Reading_ELA[], COLUMN(YES_Reading_ELA[Self-Identified as African Descent]), FALSE)="", "",
VLOOKUP($A414,YES_Reading_ELA[],COLUMN(YES_Reading_ELA[Self-Identified as African Descent]),FALSE)),
IF(VLOOKUP($A414, YES_Reading_FLA[], COLUMN(YES_Reading_FLA[Self-Identified as African Descent]),FALSE)="", "", VLOOKUP($A414,YES_Reading_FLA[],COLUMN(YES_Reading_FLA[Self-Identified as African Descent]),FALSE))),""))),"")</f>
        <v/>
      </c>
      <c r="L414" s="73" t="str" cm="1">
        <f t="array" ref="L414">IFERROR(
IF($J$2="ELA",
IF(VLOOKUP($A414, YES_Reading_ELA[], COLUMN(YES_Reading_ELA[Self-Identified as Indigenous]), FALSE)="", "",
VLOOKUP($A414,YES_Reading_ELA[], COLUMN(YES_Reading_ELA[Self-Identified as Indigenous]), FALSE)),
IF($J$2="FLA",
IF(VLOOKUP($A414, YES_Reading_FLA[], COLUMN(YES_Reading_FLA[Self-Identified as Indigenous]),FALSE)="","",
VLOOKUP($A414,YES_Reading_FLA[],COLUMN(YES_Reading_FLA[Self-Identified as Indigenous]),FALSE)),
IF($J$2="Combined",
IFERROR(
IF(VLOOKUP($A414, YES_Reading_ELA[], COLUMN(YES_Reading_ELA[Self-Identified as Indigenous]), FALSE)="", "",
VLOOKUP($A414,YES_Reading_ELA[],COLUMN(YES_Reading_ELA[Self-Identified as Indigenous]),FALSE)),
IF(VLOOKUP($A414, YES_Reading_FLA[], COLUMN(YES_Reading_FLA[Self-Identified as Indigenous]),FALSE)="", "", VLOOKUP($A414,YES_Reading_FLA[],COLUMN(YES_Reading_FLA[Self-Identified as Indigenous]),FALSE))),""))),"")</f>
        <v/>
      </c>
    </row>
    <row r="415" spans="1:12" ht="19.5" customHeight="1" x14ac:dyDescent="0.25">
      <c r="A415" s="217"/>
      <c r="B415" s="220"/>
      <c r="C415" s="203"/>
      <c r="D415" s="204"/>
      <c r="E415" s="205"/>
      <c r="F415" s="205"/>
      <c r="G415" s="205"/>
      <c r="H415" s="206"/>
      <c r="I415" s="212"/>
      <c r="J415" s="206"/>
      <c r="K415" s="197" t="str" cm="1">
        <f t="array" ref="K415">IFERROR(
IF($J$2="ELA",
IF(VLOOKUP($A415, YES_Reading_ELA[], COLUMN(YES_Reading_ELA[Self-Identified as African Descent]), FALSE)="", "",
VLOOKUP($A415,YES_Reading_ELA[], COLUMN(YES_Reading_ELA[Self-Identified as African Descent]), FALSE)),
IF($J$2="FLA",
IF(VLOOKUP($A415, YES_Reading_FLA[], COLUMN(YES_Reading_FLA[Self-Identified as African Descent]),FALSE)="","",
VLOOKUP($A415,YES_Reading_FLA[],COLUMN(YES_Reading_FLA[Self-Identified as African Descent]),FALSE)),
IF($J$2="Combined",
IFERROR(
IF(VLOOKUP($A415, YES_Reading_ELA[], COLUMN(YES_Reading_ELA[Self-Identified as African Descent]), FALSE)="", "",
VLOOKUP($A415,YES_Reading_ELA[],COLUMN(YES_Reading_ELA[Self-Identified as African Descent]),FALSE)),
IF(VLOOKUP($A415, YES_Reading_FLA[], COLUMN(YES_Reading_FLA[Self-Identified as African Descent]),FALSE)="", "", VLOOKUP($A415,YES_Reading_FLA[],COLUMN(YES_Reading_FLA[Self-Identified as African Descent]),FALSE))),""))),"")</f>
        <v/>
      </c>
      <c r="L415" s="73" t="str" cm="1">
        <f t="array" ref="L415">IFERROR(
IF($J$2="ELA",
IF(VLOOKUP($A415, YES_Reading_ELA[], COLUMN(YES_Reading_ELA[Self-Identified as Indigenous]), FALSE)="", "",
VLOOKUP($A415,YES_Reading_ELA[], COLUMN(YES_Reading_ELA[Self-Identified as Indigenous]), FALSE)),
IF($J$2="FLA",
IF(VLOOKUP($A415, YES_Reading_FLA[], COLUMN(YES_Reading_FLA[Self-Identified as Indigenous]),FALSE)="","",
VLOOKUP($A415,YES_Reading_FLA[],COLUMN(YES_Reading_FLA[Self-Identified as Indigenous]),FALSE)),
IF($J$2="Combined",
IFERROR(
IF(VLOOKUP($A415, YES_Reading_ELA[], COLUMN(YES_Reading_ELA[Self-Identified as Indigenous]), FALSE)="", "",
VLOOKUP($A415,YES_Reading_ELA[],COLUMN(YES_Reading_ELA[Self-Identified as Indigenous]),FALSE)),
IF(VLOOKUP($A415, YES_Reading_FLA[], COLUMN(YES_Reading_FLA[Self-Identified as Indigenous]),FALSE)="", "", VLOOKUP($A415,YES_Reading_FLA[],COLUMN(YES_Reading_FLA[Self-Identified as Indigenous]),FALSE))),""))),"")</f>
        <v/>
      </c>
    </row>
    <row r="416" spans="1:12" ht="19.5" customHeight="1" x14ac:dyDescent="0.25">
      <c r="A416" s="217"/>
      <c r="B416" s="220"/>
      <c r="C416" s="203"/>
      <c r="D416" s="204"/>
      <c r="E416" s="205"/>
      <c r="F416" s="205"/>
      <c r="G416" s="205"/>
      <c r="H416" s="206"/>
      <c r="I416" s="212"/>
      <c r="J416" s="239"/>
      <c r="K416" s="197" t="str" cm="1">
        <f t="array" ref="K416">IFERROR(
IF($J$2="ELA",
IF(VLOOKUP($A416, YES_Reading_ELA[], COLUMN(YES_Reading_ELA[Self-Identified as African Descent]), FALSE)="", "",
VLOOKUP($A416,YES_Reading_ELA[], COLUMN(YES_Reading_ELA[Self-Identified as African Descent]), FALSE)),
IF($J$2="FLA",
IF(VLOOKUP($A416, YES_Reading_FLA[], COLUMN(YES_Reading_FLA[Self-Identified as African Descent]),FALSE)="","",
VLOOKUP($A416,YES_Reading_FLA[],COLUMN(YES_Reading_FLA[Self-Identified as African Descent]),FALSE)),
IF($J$2="Combined",
IFERROR(
IF(VLOOKUP($A416, YES_Reading_ELA[], COLUMN(YES_Reading_ELA[Self-Identified as African Descent]), FALSE)="", "",
VLOOKUP($A416,YES_Reading_ELA[],COLUMN(YES_Reading_ELA[Self-Identified as African Descent]),FALSE)),
IF(VLOOKUP($A416, YES_Reading_FLA[], COLUMN(YES_Reading_FLA[Self-Identified as African Descent]),FALSE)="", "", VLOOKUP($A416,YES_Reading_FLA[],COLUMN(YES_Reading_FLA[Self-Identified as African Descent]),FALSE))),""))),"")</f>
        <v/>
      </c>
      <c r="L416" s="73" t="str" cm="1">
        <f t="array" ref="L416">IFERROR(
IF($J$2="ELA",
IF(VLOOKUP($A416, YES_Reading_ELA[], COLUMN(YES_Reading_ELA[Self-Identified as Indigenous]), FALSE)="", "",
VLOOKUP($A416,YES_Reading_ELA[], COLUMN(YES_Reading_ELA[Self-Identified as Indigenous]), FALSE)),
IF($J$2="FLA",
IF(VLOOKUP($A416, YES_Reading_FLA[], COLUMN(YES_Reading_FLA[Self-Identified as Indigenous]),FALSE)="","",
VLOOKUP($A416,YES_Reading_FLA[],COLUMN(YES_Reading_FLA[Self-Identified as Indigenous]),FALSE)),
IF($J$2="Combined",
IFERROR(
IF(VLOOKUP($A416, YES_Reading_ELA[], COLUMN(YES_Reading_ELA[Self-Identified as Indigenous]), FALSE)="", "",
VLOOKUP($A416,YES_Reading_ELA[],COLUMN(YES_Reading_ELA[Self-Identified as Indigenous]),FALSE)),
IF(VLOOKUP($A416, YES_Reading_FLA[], COLUMN(YES_Reading_FLA[Self-Identified as Indigenous]),FALSE)="", "", VLOOKUP($A416,YES_Reading_FLA[],COLUMN(YES_Reading_FLA[Self-Identified as Indigenous]),FALSE))),""))),"")</f>
        <v/>
      </c>
    </row>
    <row r="417" spans="1:12" ht="19.5" customHeight="1" x14ac:dyDescent="0.25">
      <c r="A417" s="217"/>
      <c r="B417" s="220"/>
      <c r="C417" s="203"/>
      <c r="D417" s="204"/>
      <c r="E417" s="205"/>
      <c r="F417" s="205"/>
      <c r="G417" s="205"/>
      <c r="H417" s="206"/>
      <c r="I417" s="212"/>
      <c r="J417" s="206"/>
      <c r="K417" s="197" t="str" cm="1">
        <f t="array" ref="K417">IFERROR(
IF($J$2="ELA",
IF(VLOOKUP($A417, YES_Reading_ELA[], COLUMN(YES_Reading_ELA[Self-Identified as African Descent]), FALSE)="", "",
VLOOKUP($A417,YES_Reading_ELA[], COLUMN(YES_Reading_ELA[Self-Identified as African Descent]), FALSE)),
IF($J$2="FLA",
IF(VLOOKUP($A417, YES_Reading_FLA[], COLUMN(YES_Reading_FLA[Self-Identified as African Descent]),FALSE)="","",
VLOOKUP($A417,YES_Reading_FLA[],COLUMN(YES_Reading_FLA[Self-Identified as African Descent]),FALSE)),
IF($J$2="Combined",
IFERROR(
IF(VLOOKUP($A417, YES_Reading_ELA[], COLUMN(YES_Reading_ELA[Self-Identified as African Descent]), FALSE)="", "",
VLOOKUP($A417,YES_Reading_ELA[],COLUMN(YES_Reading_ELA[Self-Identified as African Descent]),FALSE)),
IF(VLOOKUP($A417, YES_Reading_FLA[], COLUMN(YES_Reading_FLA[Self-Identified as African Descent]),FALSE)="", "", VLOOKUP($A417,YES_Reading_FLA[],COLUMN(YES_Reading_FLA[Self-Identified as African Descent]),FALSE))),""))),"")</f>
        <v/>
      </c>
      <c r="L417" s="73" t="str" cm="1">
        <f t="array" ref="L417">IFERROR(
IF($J$2="ELA",
IF(VLOOKUP($A417, YES_Reading_ELA[], COLUMN(YES_Reading_ELA[Self-Identified as Indigenous]), FALSE)="", "",
VLOOKUP($A417,YES_Reading_ELA[], COLUMN(YES_Reading_ELA[Self-Identified as Indigenous]), FALSE)),
IF($J$2="FLA",
IF(VLOOKUP($A417, YES_Reading_FLA[], COLUMN(YES_Reading_FLA[Self-Identified as Indigenous]),FALSE)="","",
VLOOKUP($A417,YES_Reading_FLA[],COLUMN(YES_Reading_FLA[Self-Identified as Indigenous]),FALSE)),
IF($J$2="Combined",
IFERROR(
IF(VLOOKUP($A417, YES_Reading_ELA[], COLUMN(YES_Reading_ELA[Self-Identified as Indigenous]), FALSE)="", "",
VLOOKUP($A417,YES_Reading_ELA[],COLUMN(YES_Reading_ELA[Self-Identified as Indigenous]),FALSE)),
IF(VLOOKUP($A417, YES_Reading_FLA[], COLUMN(YES_Reading_FLA[Self-Identified as Indigenous]),FALSE)="", "", VLOOKUP($A417,YES_Reading_FLA[],COLUMN(YES_Reading_FLA[Self-Identified as Indigenous]),FALSE))),""))),"")</f>
        <v/>
      </c>
    </row>
    <row r="418" spans="1:12" ht="19.5" customHeight="1" x14ac:dyDescent="0.25">
      <c r="A418" s="217"/>
      <c r="B418" s="220"/>
      <c r="C418" s="203"/>
      <c r="D418" s="204"/>
      <c r="E418" s="205"/>
      <c r="F418" s="205"/>
      <c r="G418" s="205"/>
      <c r="H418" s="206"/>
      <c r="I418" s="212"/>
      <c r="J418" s="206"/>
      <c r="K418" s="197" t="str" cm="1">
        <f t="array" ref="K418">IFERROR(
IF($J$2="ELA",
IF(VLOOKUP($A418, YES_Reading_ELA[], COLUMN(YES_Reading_ELA[Self-Identified as African Descent]), FALSE)="", "",
VLOOKUP($A418,YES_Reading_ELA[], COLUMN(YES_Reading_ELA[Self-Identified as African Descent]), FALSE)),
IF($J$2="FLA",
IF(VLOOKUP($A418, YES_Reading_FLA[], COLUMN(YES_Reading_FLA[Self-Identified as African Descent]),FALSE)="","",
VLOOKUP($A418,YES_Reading_FLA[],COLUMN(YES_Reading_FLA[Self-Identified as African Descent]),FALSE)),
IF($J$2="Combined",
IFERROR(
IF(VLOOKUP($A418, YES_Reading_ELA[], COLUMN(YES_Reading_ELA[Self-Identified as African Descent]), FALSE)="", "",
VLOOKUP($A418,YES_Reading_ELA[],COLUMN(YES_Reading_ELA[Self-Identified as African Descent]),FALSE)),
IF(VLOOKUP($A418, YES_Reading_FLA[], COLUMN(YES_Reading_FLA[Self-Identified as African Descent]),FALSE)="", "", VLOOKUP($A418,YES_Reading_FLA[],COLUMN(YES_Reading_FLA[Self-Identified as African Descent]),FALSE))),""))),"")</f>
        <v/>
      </c>
      <c r="L418" s="73" t="str" cm="1">
        <f t="array" ref="L418">IFERROR(
IF($J$2="ELA",
IF(VLOOKUP($A418, YES_Reading_ELA[], COLUMN(YES_Reading_ELA[Self-Identified as Indigenous]), FALSE)="", "",
VLOOKUP($A418,YES_Reading_ELA[], COLUMN(YES_Reading_ELA[Self-Identified as Indigenous]), FALSE)),
IF($J$2="FLA",
IF(VLOOKUP($A418, YES_Reading_FLA[], COLUMN(YES_Reading_FLA[Self-Identified as Indigenous]),FALSE)="","",
VLOOKUP($A418,YES_Reading_FLA[],COLUMN(YES_Reading_FLA[Self-Identified as Indigenous]),FALSE)),
IF($J$2="Combined",
IFERROR(
IF(VLOOKUP($A418, YES_Reading_ELA[], COLUMN(YES_Reading_ELA[Self-Identified as Indigenous]), FALSE)="", "",
VLOOKUP($A418,YES_Reading_ELA[],COLUMN(YES_Reading_ELA[Self-Identified as Indigenous]),FALSE)),
IF(VLOOKUP($A418, YES_Reading_FLA[], COLUMN(YES_Reading_FLA[Self-Identified as Indigenous]),FALSE)="", "", VLOOKUP($A418,YES_Reading_FLA[],COLUMN(YES_Reading_FLA[Self-Identified as Indigenous]),FALSE))),""))),"")</f>
        <v/>
      </c>
    </row>
    <row r="419" spans="1:12" ht="19.5" customHeight="1" x14ac:dyDescent="0.25">
      <c r="A419" s="217"/>
      <c r="B419" s="220"/>
      <c r="C419" s="203"/>
      <c r="D419" s="204"/>
      <c r="E419" s="205"/>
      <c r="F419" s="205"/>
      <c r="G419" s="205"/>
      <c r="H419" s="206"/>
      <c r="I419" s="212"/>
      <c r="J419" s="206"/>
      <c r="K419" s="197" t="str" cm="1">
        <f t="array" ref="K419">IFERROR(
IF($J$2="ELA",
IF(VLOOKUP($A419, YES_Reading_ELA[], COLUMN(YES_Reading_ELA[Self-Identified as African Descent]), FALSE)="", "",
VLOOKUP($A419,YES_Reading_ELA[], COLUMN(YES_Reading_ELA[Self-Identified as African Descent]), FALSE)),
IF($J$2="FLA",
IF(VLOOKUP($A419, YES_Reading_FLA[], COLUMN(YES_Reading_FLA[Self-Identified as African Descent]),FALSE)="","",
VLOOKUP($A419,YES_Reading_FLA[],COLUMN(YES_Reading_FLA[Self-Identified as African Descent]),FALSE)),
IF($J$2="Combined",
IFERROR(
IF(VLOOKUP($A419, YES_Reading_ELA[], COLUMN(YES_Reading_ELA[Self-Identified as African Descent]), FALSE)="", "",
VLOOKUP($A419,YES_Reading_ELA[],COLUMN(YES_Reading_ELA[Self-Identified as African Descent]),FALSE)),
IF(VLOOKUP($A419, YES_Reading_FLA[], COLUMN(YES_Reading_FLA[Self-Identified as African Descent]),FALSE)="", "", VLOOKUP($A419,YES_Reading_FLA[],COLUMN(YES_Reading_FLA[Self-Identified as African Descent]),FALSE))),""))),"")</f>
        <v/>
      </c>
      <c r="L419" s="73" t="str" cm="1">
        <f t="array" ref="L419">IFERROR(
IF($J$2="ELA",
IF(VLOOKUP($A419, YES_Reading_ELA[], COLUMN(YES_Reading_ELA[Self-Identified as Indigenous]), FALSE)="", "",
VLOOKUP($A419,YES_Reading_ELA[], COLUMN(YES_Reading_ELA[Self-Identified as Indigenous]), FALSE)),
IF($J$2="FLA",
IF(VLOOKUP($A419, YES_Reading_FLA[], COLUMN(YES_Reading_FLA[Self-Identified as Indigenous]),FALSE)="","",
VLOOKUP($A419,YES_Reading_FLA[],COLUMN(YES_Reading_FLA[Self-Identified as Indigenous]),FALSE)),
IF($J$2="Combined",
IFERROR(
IF(VLOOKUP($A419, YES_Reading_ELA[], COLUMN(YES_Reading_ELA[Self-Identified as Indigenous]), FALSE)="", "",
VLOOKUP($A419,YES_Reading_ELA[],COLUMN(YES_Reading_ELA[Self-Identified as Indigenous]),FALSE)),
IF(VLOOKUP($A419, YES_Reading_FLA[], COLUMN(YES_Reading_FLA[Self-Identified as Indigenous]),FALSE)="", "", VLOOKUP($A419,YES_Reading_FLA[],COLUMN(YES_Reading_FLA[Self-Identified as Indigenous]),FALSE))),""))),"")</f>
        <v/>
      </c>
    </row>
    <row r="420" spans="1:12" ht="19.5" customHeight="1" x14ac:dyDescent="0.25">
      <c r="A420" s="217"/>
      <c r="B420" s="220"/>
      <c r="C420" s="203"/>
      <c r="D420" s="204"/>
      <c r="E420" s="205"/>
      <c r="F420" s="205"/>
      <c r="G420" s="205"/>
      <c r="H420" s="206"/>
      <c r="I420" s="212"/>
      <c r="J420" s="206"/>
      <c r="K420" s="197" t="str" cm="1">
        <f t="array" ref="K420">IFERROR(
IF($J$2="ELA",
IF(VLOOKUP($A420, YES_Reading_ELA[], COLUMN(YES_Reading_ELA[Self-Identified as African Descent]), FALSE)="", "",
VLOOKUP($A420,YES_Reading_ELA[], COLUMN(YES_Reading_ELA[Self-Identified as African Descent]), FALSE)),
IF($J$2="FLA",
IF(VLOOKUP($A420, YES_Reading_FLA[], COLUMN(YES_Reading_FLA[Self-Identified as African Descent]),FALSE)="","",
VLOOKUP($A420,YES_Reading_FLA[],COLUMN(YES_Reading_FLA[Self-Identified as African Descent]),FALSE)),
IF($J$2="Combined",
IFERROR(
IF(VLOOKUP($A420, YES_Reading_ELA[], COLUMN(YES_Reading_ELA[Self-Identified as African Descent]), FALSE)="", "",
VLOOKUP($A420,YES_Reading_ELA[],COLUMN(YES_Reading_ELA[Self-Identified as African Descent]),FALSE)),
IF(VLOOKUP($A420, YES_Reading_FLA[], COLUMN(YES_Reading_FLA[Self-Identified as African Descent]),FALSE)="", "", VLOOKUP($A420,YES_Reading_FLA[],COLUMN(YES_Reading_FLA[Self-Identified as African Descent]),FALSE))),""))),"")</f>
        <v/>
      </c>
      <c r="L420" s="73" t="str" cm="1">
        <f t="array" ref="L420">IFERROR(
IF($J$2="ELA",
IF(VLOOKUP($A420, YES_Reading_ELA[], COLUMN(YES_Reading_ELA[Self-Identified as Indigenous]), FALSE)="", "",
VLOOKUP($A420,YES_Reading_ELA[], COLUMN(YES_Reading_ELA[Self-Identified as Indigenous]), FALSE)),
IF($J$2="FLA",
IF(VLOOKUP($A420, YES_Reading_FLA[], COLUMN(YES_Reading_FLA[Self-Identified as Indigenous]),FALSE)="","",
VLOOKUP($A420,YES_Reading_FLA[],COLUMN(YES_Reading_FLA[Self-Identified as Indigenous]),FALSE)),
IF($J$2="Combined",
IFERROR(
IF(VLOOKUP($A420, YES_Reading_ELA[], COLUMN(YES_Reading_ELA[Self-Identified as Indigenous]), FALSE)="", "",
VLOOKUP($A420,YES_Reading_ELA[],COLUMN(YES_Reading_ELA[Self-Identified as Indigenous]),FALSE)),
IF(VLOOKUP($A420, YES_Reading_FLA[], COLUMN(YES_Reading_FLA[Self-Identified as Indigenous]),FALSE)="", "", VLOOKUP($A420,YES_Reading_FLA[],COLUMN(YES_Reading_FLA[Self-Identified as Indigenous]),FALSE))),""))),"")</f>
        <v/>
      </c>
    </row>
    <row r="421" spans="1:12" ht="19.5" customHeight="1" x14ac:dyDescent="0.25">
      <c r="A421" s="217"/>
      <c r="B421" s="220"/>
      <c r="C421" s="203"/>
      <c r="D421" s="204"/>
      <c r="E421" s="205"/>
      <c r="F421" s="205"/>
      <c r="G421" s="205"/>
      <c r="H421" s="206"/>
      <c r="I421" s="212"/>
      <c r="J421" s="206"/>
      <c r="K421" s="197" t="str" cm="1">
        <f t="array" ref="K421">IFERROR(
IF($J$2="ELA",
IF(VLOOKUP($A421, YES_Reading_ELA[], COLUMN(YES_Reading_ELA[Self-Identified as African Descent]), FALSE)="", "",
VLOOKUP($A421,YES_Reading_ELA[], COLUMN(YES_Reading_ELA[Self-Identified as African Descent]), FALSE)),
IF($J$2="FLA",
IF(VLOOKUP($A421, YES_Reading_FLA[], COLUMN(YES_Reading_FLA[Self-Identified as African Descent]),FALSE)="","",
VLOOKUP($A421,YES_Reading_FLA[],COLUMN(YES_Reading_FLA[Self-Identified as African Descent]),FALSE)),
IF($J$2="Combined",
IFERROR(
IF(VLOOKUP($A421, YES_Reading_ELA[], COLUMN(YES_Reading_ELA[Self-Identified as African Descent]), FALSE)="", "",
VLOOKUP($A421,YES_Reading_ELA[],COLUMN(YES_Reading_ELA[Self-Identified as African Descent]),FALSE)),
IF(VLOOKUP($A421, YES_Reading_FLA[], COLUMN(YES_Reading_FLA[Self-Identified as African Descent]),FALSE)="", "", VLOOKUP($A421,YES_Reading_FLA[],COLUMN(YES_Reading_FLA[Self-Identified as African Descent]),FALSE))),""))),"")</f>
        <v/>
      </c>
      <c r="L421" s="73" t="str" cm="1">
        <f t="array" ref="L421">IFERROR(
IF($J$2="ELA",
IF(VLOOKUP($A421, YES_Reading_ELA[], COLUMN(YES_Reading_ELA[Self-Identified as Indigenous]), FALSE)="", "",
VLOOKUP($A421,YES_Reading_ELA[], COLUMN(YES_Reading_ELA[Self-Identified as Indigenous]), FALSE)),
IF($J$2="FLA",
IF(VLOOKUP($A421, YES_Reading_FLA[], COLUMN(YES_Reading_FLA[Self-Identified as Indigenous]),FALSE)="","",
VLOOKUP($A421,YES_Reading_FLA[],COLUMN(YES_Reading_FLA[Self-Identified as Indigenous]),FALSE)),
IF($J$2="Combined",
IFERROR(
IF(VLOOKUP($A421, YES_Reading_ELA[], COLUMN(YES_Reading_ELA[Self-Identified as Indigenous]), FALSE)="", "",
VLOOKUP($A421,YES_Reading_ELA[],COLUMN(YES_Reading_ELA[Self-Identified as Indigenous]),FALSE)),
IF(VLOOKUP($A421, YES_Reading_FLA[], COLUMN(YES_Reading_FLA[Self-Identified as Indigenous]),FALSE)="", "", VLOOKUP($A421,YES_Reading_FLA[],COLUMN(YES_Reading_FLA[Self-Identified as Indigenous]),FALSE))),""))),"")</f>
        <v/>
      </c>
    </row>
    <row r="422" spans="1:12" ht="19.5" customHeight="1" x14ac:dyDescent="0.25">
      <c r="A422" s="217"/>
      <c r="B422" s="220"/>
      <c r="C422" s="203"/>
      <c r="D422" s="204"/>
      <c r="E422" s="205"/>
      <c r="F422" s="205"/>
      <c r="G422" s="205"/>
      <c r="H422" s="206"/>
      <c r="I422" s="212"/>
      <c r="J422" s="206"/>
      <c r="K422" s="197" t="str" cm="1">
        <f t="array" ref="K422">IFERROR(
IF($J$2="ELA",
IF(VLOOKUP($A422, YES_Reading_ELA[], COLUMN(YES_Reading_ELA[Self-Identified as African Descent]), FALSE)="", "",
VLOOKUP($A422,YES_Reading_ELA[], COLUMN(YES_Reading_ELA[Self-Identified as African Descent]), FALSE)),
IF($J$2="FLA",
IF(VLOOKUP($A422, YES_Reading_FLA[], COLUMN(YES_Reading_FLA[Self-Identified as African Descent]),FALSE)="","",
VLOOKUP($A422,YES_Reading_FLA[],COLUMN(YES_Reading_FLA[Self-Identified as African Descent]),FALSE)),
IF($J$2="Combined",
IFERROR(
IF(VLOOKUP($A422, YES_Reading_ELA[], COLUMN(YES_Reading_ELA[Self-Identified as African Descent]), FALSE)="", "",
VLOOKUP($A422,YES_Reading_ELA[],COLUMN(YES_Reading_ELA[Self-Identified as African Descent]),FALSE)),
IF(VLOOKUP($A422, YES_Reading_FLA[], COLUMN(YES_Reading_FLA[Self-Identified as African Descent]),FALSE)="", "", VLOOKUP($A422,YES_Reading_FLA[],COLUMN(YES_Reading_FLA[Self-Identified as African Descent]),FALSE))),""))),"")</f>
        <v/>
      </c>
      <c r="L422" s="73" t="str" cm="1">
        <f t="array" ref="L422">IFERROR(
IF($J$2="ELA",
IF(VLOOKUP($A422, YES_Reading_ELA[], COLUMN(YES_Reading_ELA[Self-Identified as Indigenous]), FALSE)="", "",
VLOOKUP($A422,YES_Reading_ELA[], COLUMN(YES_Reading_ELA[Self-Identified as Indigenous]), FALSE)),
IF($J$2="FLA",
IF(VLOOKUP($A422, YES_Reading_FLA[], COLUMN(YES_Reading_FLA[Self-Identified as Indigenous]),FALSE)="","",
VLOOKUP($A422,YES_Reading_FLA[],COLUMN(YES_Reading_FLA[Self-Identified as Indigenous]),FALSE)),
IF($J$2="Combined",
IFERROR(
IF(VLOOKUP($A422, YES_Reading_ELA[], COLUMN(YES_Reading_ELA[Self-Identified as Indigenous]), FALSE)="", "",
VLOOKUP($A422,YES_Reading_ELA[],COLUMN(YES_Reading_ELA[Self-Identified as Indigenous]),FALSE)),
IF(VLOOKUP($A422, YES_Reading_FLA[], COLUMN(YES_Reading_FLA[Self-Identified as Indigenous]),FALSE)="", "", VLOOKUP($A422,YES_Reading_FLA[],COLUMN(YES_Reading_FLA[Self-Identified as Indigenous]),FALSE))),""))),"")</f>
        <v/>
      </c>
    </row>
    <row r="423" spans="1:12" ht="19.5" customHeight="1" x14ac:dyDescent="0.25">
      <c r="A423" s="217"/>
      <c r="B423" s="220"/>
      <c r="C423" s="203"/>
      <c r="D423" s="204"/>
      <c r="E423" s="205"/>
      <c r="F423" s="205"/>
      <c r="G423" s="205"/>
      <c r="H423" s="206"/>
      <c r="I423" s="212"/>
      <c r="J423" s="206"/>
      <c r="K423" s="197" t="str" cm="1">
        <f t="array" ref="K423">IFERROR(
IF($J$2="ELA",
IF(VLOOKUP($A423, YES_Reading_ELA[], COLUMN(YES_Reading_ELA[Self-Identified as African Descent]), FALSE)="", "",
VLOOKUP($A423,YES_Reading_ELA[], COLUMN(YES_Reading_ELA[Self-Identified as African Descent]), FALSE)),
IF($J$2="FLA",
IF(VLOOKUP($A423, YES_Reading_FLA[], COLUMN(YES_Reading_FLA[Self-Identified as African Descent]),FALSE)="","",
VLOOKUP($A423,YES_Reading_FLA[],COLUMN(YES_Reading_FLA[Self-Identified as African Descent]),FALSE)),
IF($J$2="Combined",
IFERROR(
IF(VLOOKUP($A423, YES_Reading_ELA[], COLUMN(YES_Reading_ELA[Self-Identified as African Descent]), FALSE)="", "",
VLOOKUP($A423,YES_Reading_ELA[],COLUMN(YES_Reading_ELA[Self-Identified as African Descent]),FALSE)),
IF(VLOOKUP($A423, YES_Reading_FLA[], COLUMN(YES_Reading_FLA[Self-Identified as African Descent]),FALSE)="", "", VLOOKUP($A423,YES_Reading_FLA[],COLUMN(YES_Reading_FLA[Self-Identified as African Descent]),FALSE))),""))),"")</f>
        <v/>
      </c>
      <c r="L423" s="73" t="str" cm="1">
        <f t="array" ref="L423">IFERROR(
IF($J$2="ELA",
IF(VLOOKUP($A423, YES_Reading_ELA[], COLUMN(YES_Reading_ELA[Self-Identified as Indigenous]), FALSE)="", "",
VLOOKUP($A423,YES_Reading_ELA[], COLUMN(YES_Reading_ELA[Self-Identified as Indigenous]), FALSE)),
IF($J$2="FLA",
IF(VLOOKUP($A423, YES_Reading_FLA[], COLUMN(YES_Reading_FLA[Self-Identified as Indigenous]),FALSE)="","",
VLOOKUP($A423,YES_Reading_FLA[],COLUMN(YES_Reading_FLA[Self-Identified as Indigenous]),FALSE)),
IF($J$2="Combined",
IFERROR(
IF(VLOOKUP($A423, YES_Reading_ELA[], COLUMN(YES_Reading_ELA[Self-Identified as Indigenous]), FALSE)="", "",
VLOOKUP($A423,YES_Reading_ELA[],COLUMN(YES_Reading_ELA[Self-Identified as Indigenous]),FALSE)),
IF(VLOOKUP($A423, YES_Reading_FLA[], COLUMN(YES_Reading_FLA[Self-Identified as Indigenous]),FALSE)="", "", VLOOKUP($A423,YES_Reading_FLA[],COLUMN(YES_Reading_FLA[Self-Identified as Indigenous]),FALSE))),""))),"")</f>
        <v/>
      </c>
    </row>
    <row r="424" spans="1:12" ht="19.5" customHeight="1" x14ac:dyDescent="0.25">
      <c r="A424" s="217"/>
      <c r="B424" s="220"/>
      <c r="C424" s="203"/>
      <c r="D424" s="204"/>
      <c r="E424" s="205"/>
      <c r="F424" s="205"/>
      <c r="G424" s="205"/>
      <c r="H424" s="206"/>
      <c r="I424" s="212"/>
      <c r="J424" s="206"/>
      <c r="K424" s="197" t="str" cm="1">
        <f t="array" ref="K424">IFERROR(
IF($J$2="ELA",
IF(VLOOKUP($A424, YES_Reading_ELA[], COLUMN(YES_Reading_ELA[Self-Identified as African Descent]), FALSE)="", "",
VLOOKUP($A424,YES_Reading_ELA[], COLUMN(YES_Reading_ELA[Self-Identified as African Descent]), FALSE)),
IF($J$2="FLA",
IF(VLOOKUP($A424, YES_Reading_FLA[], COLUMN(YES_Reading_FLA[Self-Identified as African Descent]),FALSE)="","",
VLOOKUP($A424,YES_Reading_FLA[],COLUMN(YES_Reading_FLA[Self-Identified as African Descent]),FALSE)),
IF($J$2="Combined",
IFERROR(
IF(VLOOKUP($A424, YES_Reading_ELA[], COLUMN(YES_Reading_ELA[Self-Identified as African Descent]), FALSE)="", "",
VLOOKUP($A424,YES_Reading_ELA[],COLUMN(YES_Reading_ELA[Self-Identified as African Descent]),FALSE)),
IF(VLOOKUP($A424, YES_Reading_FLA[], COLUMN(YES_Reading_FLA[Self-Identified as African Descent]),FALSE)="", "", VLOOKUP($A424,YES_Reading_FLA[],COLUMN(YES_Reading_FLA[Self-Identified as African Descent]),FALSE))),""))),"")</f>
        <v/>
      </c>
      <c r="L424" s="73" t="str" cm="1">
        <f t="array" ref="L424">IFERROR(
IF($J$2="ELA",
IF(VLOOKUP($A424, YES_Reading_ELA[], COLUMN(YES_Reading_ELA[Self-Identified as Indigenous]), FALSE)="", "",
VLOOKUP($A424,YES_Reading_ELA[], COLUMN(YES_Reading_ELA[Self-Identified as Indigenous]), FALSE)),
IF($J$2="FLA",
IF(VLOOKUP($A424, YES_Reading_FLA[], COLUMN(YES_Reading_FLA[Self-Identified as Indigenous]),FALSE)="","",
VLOOKUP($A424,YES_Reading_FLA[],COLUMN(YES_Reading_FLA[Self-Identified as Indigenous]),FALSE)),
IF($J$2="Combined",
IFERROR(
IF(VLOOKUP($A424, YES_Reading_ELA[], COLUMN(YES_Reading_ELA[Self-Identified as Indigenous]), FALSE)="", "",
VLOOKUP($A424,YES_Reading_ELA[],COLUMN(YES_Reading_ELA[Self-Identified as Indigenous]),FALSE)),
IF(VLOOKUP($A424, YES_Reading_FLA[], COLUMN(YES_Reading_FLA[Self-Identified as Indigenous]),FALSE)="", "", VLOOKUP($A424,YES_Reading_FLA[],COLUMN(YES_Reading_FLA[Self-Identified as Indigenous]),FALSE))),""))),"")</f>
        <v/>
      </c>
    </row>
    <row r="425" spans="1:12" ht="19.5" customHeight="1" x14ac:dyDescent="0.25">
      <c r="A425" s="217"/>
      <c r="B425" s="220"/>
      <c r="C425" s="203"/>
      <c r="D425" s="204"/>
      <c r="E425" s="205"/>
      <c r="F425" s="205"/>
      <c r="G425" s="205"/>
      <c r="H425" s="206"/>
      <c r="I425" s="212"/>
      <c r="J425" s="206"/>
      <c r="K425" s="197" t="str" cm="1">
        <f t="array" ref="K425">IFERROR(
IF($J$2="ELA",
IF(VLOOKUP($A425, YES_Reading_ELA[], COLUMN(YES_Reading_ELA[Self-Identified as African Descent]), FALSE)="", "",
VLOOKUP($A425,YES_Reading_ELA[], COLUMN(YES_Reading_ELA[Self-Identified as African Descent]), FALSE)),
IF($J$2="FLA",
IF(VLOOKUP($A425, YES_Reading_FLA[], COLUMN(YES_Reading_FLA[Self-Identified as African Descent]),FALSE)="","",
VLOOKUP($A425,YES_Reading_FLA[],COLUMN(YES_Reading_FLA[Self-Identified as African Descent]),FALSE)),
IF($J$2="Combined",
IFERROR(
IF(VLOOKUP($A425, YES_Reading_ELA[], COLUMN(YES_Reading_ELA[Self-Identified as African Descent]), FALSE)="", "",
VLOOKUP($A425,YES_Reading_ELA[],COLUMN(YES_Reading_ELA[Self-Identified as African Descent]),FALSE)),
IF(VLOOKUP($A425, YES_Reading_FLA[], COLUMN(YES_Reading_FLA[Self-Identified as African Descent]),FALSE)="", "", VLOOKUP($A425,YES_Reading_FLA[],COLUMN(YES_Reading_FLA[Self-Identified as African Descent]),FALSE))),""))),"")</f>
        <v/>
      </c>
      <c r="L425" s="73" t="str" cm="1">
        <f t="array" ref="L425">IFERROR(
IF($J$2="ELA",
IF(VLOOKUP($A425, YES_Reading_ELA[], COLUMN(YES_Reading_ELA[Self-Identified as Indigenous]), FALSE)="", "",
VLOOKUP($A425,YES_Reading_ELA[], COLUMN(YES_Reading_ELA[Self-Identified as Indigenous]), FALSE)),
IF($J$2="FLA",
IF(VLOOKUP($A425, YES_Reading_FLA[], COLUMN(YES_Reading_FLA[Self-Identified as Indigenous]),FALSE)="","",
VLOOKUP($A425,YES_Reading_FLA[],COLUMN(YES_Reading_FLA[Self-Identified as Indigenous]),FALSE)),
IF($J$2="Combined",
IFERROR(
IF(VLOOKUP($A425, YES_Reading_ELA[], COLUMN(YES_Reading_ELA[Self-Identified as Indigenous]), FALSE)="", "",
VLOOKUP($A425,YES_Reading_ELA[],COLUMN(YES_Reading_ELA[Self-Identified as Indigenous]),FALSE)),
IF(VLOOKUP($A425, YES_Reading_FLA[], COLUMN(YES_Reading_FLA[Self-Identified as Indigenous]),FALSE)="", "", VLOOKUP($A425,YES_Reading_FLA[],COLUMN(YES_Reading_FLA[Self-Identified as Indigenous]),FALSE))),""))),"")</f>
        <v/>
      </c>
    </row>
    <row r="426" spans="1:12" ht="19.5" customHeight="1" x14ac:dyDescent="0.25">
      <c r="A426" s="217"/>
      <c r="B426" s="220"/>
      <c r="C426" s="203"/>
      <c r="D426" s="204"/>
      <c r="E426" s="205"/>
      <c r="F426" s="205"/>
      <c r="G426" s="205"/>
      <c r="H426" s="206"/>
      <c r="I426" s="212"/>
      <c r="J426" s="206"/>
      <c r="K426" s="197" t="str" cm="1">
        <f t="array" ref="K426">IFERROR(
IF($J$2="ELA",
IF(VLOOKUP($A426, YES_Reading_ELA[], COLUMN(YES_Reading_ELA[Self-Identified as African Descent]), FALSE)="", "",
VLOOKUP($A426,YES_Reading_ELA[], COLUMN(YES_Reading_ELA[Self-Identified as African Descent]), FALSE)),
IF($J$2="FLA",
IF(VLOOKUP($A426, YES_Reading_FLA[], COLUMN(YES_Reading_FLA[Self-Identified as African Descent]),FALSE)="","",
VLOOKUP($A426,YES_Reading_FLA[],COLUMN(YES_Reading_FLA[Self-Identified as African Descent]),FALSE)),
IF($J$2="Combined",
IFERROR(
IF(VLOOKUP($A426, YES_Reading_ELA[], COLUMN(YES_Reading_ELA[Self-Identified as African Descent]), FALSE)="", "",
VLOOKUP($A426,YES_Reading_ELA[],COLUMN(YES_Reading_ELA[Self-Identified as African Descent]),FALSE)),
IF(VLOOKUP($A426, YES_Reading_FLA[], COLUMN(YES_Reading_FLA[Self-Identified as African Descent]),FALSE)="", "", VLOOKUP($A426,YES_Reading_FLA[],COLUMN(YES_Reading_FLA[Self-Identified as African Descent]),FALSE))),""))),"")</f>
        <v/>
      </c>
      <c r="L426" s="73" t="str" cm="1">
        <f t="array" ref="L426">IFERROR(
IF($J$2="ELA",
IF(VLOOKUP($A426, YES_Reading_ELA[], COLUMN(YES_Reading_ELA[Self-Identified as Indigenous]), FALSE)="", "",
VLOOKUP($A426,YES_Reading_ELA[], COLUMN(YES_Reading_ELA[Self-Identified as Indigenous]), FALSE)),
IF($J$2="FLA",
IF(VLOOKUP($A426, YES_Reading_FLA[], COLUMN(YES_Reading_FLA[Self-Identified as Indigenous]),FALSE)="","",
VLOOKUP($A426,YES_Reading_FLA[],COLUMN(YES_Reading_FLA[Self-Identified as Indigenous]),FALSE)),
IF($J$2="Combined",
IFERROR(
IF(VLOOKUP($A426, YES_Reading_ELA[], COLUMN(YES_Reading_ELA[Self-Identified as Indigenous]), FALSE)="", "",
VLOOKUP($A426,YES_Reading_ELA[],COLUMN(YES_Reading_ELA[Self-Identified as Indigenous]),FALSE)),
IF(VLOOKUP($A426, YES_Reading_FLA[], COLUMN(YES_Reading_FLA[Self-Identified as Indigenous]),FALSE)="", "", VLOOKUP($A426,YES_Reading_FLA[],COLUMN(YES_Reading_FLA[Self-Identified as Indigenous]),FALSE))),""))),"")</f>
        <v/>
      </c>
    </row>
    <row r="427" spans="1:12" ht="19.5" customHeight="1" x14ac:dyDescent="0.25">
      <c r="A427" s="217"/>
      <c r="B427" s="220"/>
      <c r="C427" s="203"/>
      <c r="D427" s="204"/>
      <c r="E427" s="205"/>
      <c r="F427" s="205"/>
      <c r="G427" s="205"/>
      <c r="H427" s="206"/>
      <c r="I427" s="212"/>
      <c r="J427" s="206"/>
      <c r="K427" s="197" t="str" cm="1">
        <f t="array" ref="K427">IFERROR(
IF($J$2="ELA",
IF(VLOOKUP($A427, YES_Reading_ELA[], COLUMN(YES_Reading_ELA[Self-Identified as African Descent]), FALSE)="", "",
VLOOKUP($A427,YES_Reading_ELA[], COLUMN(YES_Reading_ELA[Self-Identified as African Descent]), FALSE)),
IF($J$2="FLA",
IF(VLOOKUP($A427, YES_Reading_FLA[], COLUMN(YES_Reading_FLA[Self-Identified as African Descent]),FALSE)="","",
VLOOKUP($A427,YES_Reading_FLA[],COLUMN(YES_Reading_FLA[Self-Identified as African Descent]),FALSE)),
IF($J$2="Combined",
IFERROR(
IF(VLOOKUP($A427, YES_Reading_ELA[], COLUMN(YES_Reading_ELA[Self-Identified as African Descent]), FALSE)="", "",
VLOOKUP($A427,YES_Reading_ELA[],COLUMN(YES_Reading_ELA[Self-Identified as African Descent]),FALSE)),
IF(VLOOKUP($A427, YES_Reading_FLA[], COLUMN(YES_Reading_FLA[Self-Identified as African Descent]),FALSE)="", "", VLOOKUP($A427,YES_Reading_FLA[],COLUMN(YES_Reading_FLA[Self-Identified as African Descent]),FALSE))),""))),"")</f>
        <v/>
      </c>
      <c r="L427" s="73" t="str" cm="1">
        <f t="array" ref="L427">IFERROR(
IF($J$2="ELA",
IF(VLOOKUP($A427, YES_Reading_ELA[], COLUMN(YES_Reading_ELA[Self-Identified as Indigenous]), FALSE)="", "",
VLOOKUP($A427,YES_Reading_ELA[], COLUMN(YES_Reading_ELA[Self-Identified as Indigenous]), FALSE)),
IF($J$2="FLA",
IF(VLOOKUP($A427, YES_Reading_FLA[], COLUMN(YES_Reading_FLA[Self-Identified as Indigenous]),FALSE)="","",
VLOOKUP($A427,YES_Reading_FLA[],COLUMN(YES_Reading_FLA[Self-Identified as Indigenous]),FALSE)),
IF($J$2="Combined",
IFERROR(
IF(VLOOKUP($A427, YES_Reading_ELA[], COLUMN(YES_Reading_ELA[Self-Identified as Indigenous]), FALSE)="", "",
VLOOKUP($A427,YES_Reading_ELA[],COLUMN(YES_Reading_ELA[Self-Identified as Indigenous]),FALSE)),
IF(VLOOKUP($A427, YES_Reading_FLA[], COLUMN(YES_Reading_FLA[Self-Identified as Indigenous]),FALSE)="", "", VLOOKUP($A427,YES_Reading_FLA[],COLUMN(YES_Reading_FLA[Self-Identified as Indigenous]),FALSE))),""))),"")</f>
        <v/>
      </c>
    </row>
    <row r="428" spans="1:12" ht="19.5" customHeight="1" x14ac:dyDescent="0.25">
      <c r="A428" s="217"/>
      <c r="B428" s="220"/>
      <c r="C428" s="203"/>
      <c r="D428" s="204"/>
      <c r="E428" s="205"/>
      <c r="F428" s="205"/>
      <c r="G428" s="205"/>
      <c r="H428" s="206"/>
      <c r="I428" s="212"/>
      <c r="J428" s="206"/>
      <c r="K428" s="197" t="str" cm="1">
        <f t="array" ref="K428">IFERROR(
IF($J$2="ELA",
IF(VLOOKUP($A428, YES_Reading_ELA[], COLUMN(YES_Reading_ELA[Self-Identified as African Descent]), FALSE)="", "",
VLOOKUP($A428,YES_Reading_ELA[], COLUMN(YES_Reading_ELA[Self-Identified as African Descent]), FALSE)),
IF($J$2="FLA",
IF(VLOOKUP($A428, YES_Reading_FLA[], COLUMN(YES_Reading_FLA[Self-Identified as African Descent]),FALSE)="","",
VLOOKUP($A428,YES_Reading_FLA[],COLUMN(YES_Reading_FLA[Self-Identified as African Descent]),FALSE)),
IF($J$2="Combined",
IFERROR(
IF(VLOOKUP($A428, YES_Reading_ELA[], COLUMN(YES_Reading_ELA[Self-Identified as African Descent]), FALSE)="", "",
VLOOKUP($A428,YES_Reading_ELA[],COLUMN(YES_Reading_ELA[Self-Identified as African Descent]),FALSE)),
IF(VLOOKUP($A428, YES_Reading_FLA[], COLUMN(YES_Reading_FLA[Self-Identified as African Descent]),FALSE)="", "", VLOOKUP($A428,YES_Reading_FLA[],COLUMN(YES_Reading_FLA[Self-Identified as African Descent]),FALSE))),""))),"")</f>
        <v/>
      </c>
      <c r="L428" s="73" t="str" cm="1">
        <f t="array" ref="L428">IFERROR(
IF($J$2="ELA",
IF(VLOOKUP($A428, YES_Reading_ELA[], COLUMN(YES_Reading_ELA[Self-Identified as Indigenous]), FALSE)="", "",
VLOOKUP($A428,YES_Reading_ELA[], COLUMN(YES_Reading_ELA[Self-Identified as Indigenous]), FALSE)),
IF($J$2="FLA",
IF(VLOOKUP($A428, YES_Reading_FLA[], COLUMN(YES_Reading_FLA[Self-Identified as Indigenous]),FALSE)="","",
VLOOKUP($A428,YES_Reading_FLA[],COLUMN(YES_Reading_FLA[Self-Identified as Indigenous]),FALSE)),
IF($J$2="Combined",
IFERROR(
IF(VLOOKUP($A428, YES_Reading_ELA[], COLUMN(YES_Reading_ELA[Self-Identified as Indigenous]), FALSE)="", "",
VLOOKUP($A428,YES_Reading_ELA[],COLUMN(YES_Reading_ELA[Self-Identified as Indigenous]),FALSE)),
IF(VLOOKUP($A428, YES_Reading_FLA[], COLUMN(YES_Reading_FLA[Self-Identified as Indigenous]),FALSE)="", "", VLOOKUP($A428,YES_Reading_FLA[],COLUMN(YES_Reading_FLA[Self-Identified as Indigenous]),FALSE))),""))),"")</f>
        <v/>
      </c>
    </row>
    <row r="429" spans="1:12" ht="19.5" customHeight="1" x14ac:dyDescent="0.25">
      <c r="A429" s="217"/>
      <c r="B429" s="220"/>
      <c r="C429" s="203"/>
      <c r="D429" s="204"/>
      <c r="E429" s="205"/>
      <c r="F429" s="205"/>
      <c r="G429" s="205"/>
      <c r="H429" s="206"/>
      <c r="I429" s="212"/>
      <c r="J429" s="206"/>
      <c r="K429" s="197" t="str" cm="1">
        <f t="array" ref="K429">IFERROR(
IF($J$2="ELA",
IF(VLOOKUP($A429, YES_Reading_ELA[], COLUMN(YES_Reading_ELA[Self-Identified as African Descent]), FALSE)="", "",
VLOOKUP($A429,YES_Reading_ELA[], COLUMN(YES_Reading_ELA[Self-Identified as African Descent]), FALSE)),
IF($J$2="FLA",
IF(VLOOKUP($A429, YES_Reading_FLA[], COLUMN(YES_Reading_FLA[Self-Identified as African Descent]),FALSE)="","",
VLOOKUP($A429,YES_Reading_FLA[],COLUMN(YES_Reading_FLA[Self-Identified as African Descent]),FALSE)),
IF($J$2="Combined",
IFERROR(
IF(VLOOKUP($A429, YES_Reading_ELA[], COLUMN(YES_Reading_ELA[Self-Identified as African Descent]), FALSE)="", "",
VLOOKUP($A429,YES_Reading_ELA[],COLUMN(YES_Reading_ELA[Self-Identified as African Descent]),FALSE)),
IF(VLOOKUP($A429, YES_Reading_FLA[], COLUMN(YES_Reading_FLA[Self-Identified as African Descent]),FALSE)="", "", VLOOKUP($A429,YES_Reading_FLA[],COLUMN(YES_Reading_FLA[Self-Identified as African Descent]),FALSE))),""))),"")</f>
        <v/>
      </c>
      <c r="L429" s="73" t="str" cm="1">
        <f t="array" ref="L429">IFERROR(
IF($J$2="ELA",
IF(VLOOKUP($A429, YES_Reading_ELA[], COLUMN(YES_Reading_ELA[Self-Identified as Indigenous]), FALSE)="", "",
VLOOKUP($A429,YES_Reading_ELA[], COLUMN(YES_Reading_ELA[Self-Identified as Indigenous]), FALSE)),
IF($J$2="FLA",
IF(VLOOKUP($A429, YES_Reading_FLA[], COLUMN(YES_Reading_FLA[Self-Identified as Indigenous]),FALSE)="","",
VLOOKUP($A429,YES_Reading_FLA[],COLUMN(YES_Reading_FLA[Self-Identified as Indigenous]),FALSE)),
IF($J$2="Combined",
IFERROR(
IF(VLOOKUP($A429, YES_Reading_ELA[], COLUMN(YES_Reading_ELA[Self-Identified as Indigenous]), FALSE)="", "",
VLOOKUP($A429,YES_Reading_ELA[],COLUMN(YES_Reading_ELA[Self-Identified as Indigenous]),FALSE)),
IF(VLOOKUP($A429, YES_Reading_FLA[], COLUMN(YES_Reading_FLA[Self-Identified as Indigenous]),FALSE)="", "", VLOOKUP($A429,YES_Reading_FLA[],COLUMN(YES_Reading_FLA[Self-Identified as Indigenous]),FALSE))),""))),"")</f>
        <v/>
      </c>
    </row>
    <row r="430" spans="1:12" ht="19.5" customHeight="1" x14ac:dyDescent="0.25">
      <c r="A430" s="217"/>
      <c r="B430" s="220"/>
      <c r="C430" s="203"/>
      <c r="D430" s="204"/>
      <c r="E430" s="205"/>
      <c r="F430" s="205"/>
      <c r="G430" s="205"/>
      <c r="H430" s="206"/>
      <c r="I430" s="212"/>
      <c r="J430" s="206"/>
      <c r="K430" s="197" t="str" cm="1">
        <f t="array" ref="K430">IFERROR(
IF($J$2="ELA",
IF(VLOOKUP($A430, YES_Reading_ELA[], COLUMN(YES_Reading_ELA[Self-Identified as African Descent]), FALSE)="", "",
VLOOKUP($A430,YES_Reading_ELA[], COLUMN(YES_Reading_ELA[Self-Identified as African Descent]), FALSE)),
IF($J$2="FLA",
IF(VLOOKUP($A430, YES_Reading_FLA[], COLUMN(YES_Reading_FLA[Self-Identified as African Descent]),FALSE)="","",
VLOOKUP($A430,YES_Reading_FLA[],COLUMN(YES_Reading_FLA[Self-Identified as African Descent]),FALSE)),
IF($J$2="Combined",
IFERROR(
IF(VLOOKUP($A430, YES_Reading_ELA[], COLUMN(YES_Reading_ELA[Self-Identified as African Descent]), FALSE)="", "",
VLOOKUP($A430,YES_Reading_ELA[],COLUMN(YES_Reading_ELA[Self-Identified as African Descent]),FALSE)),
IF(VLOOKUP($A430, YES_Reading_FLA[], COLUMN(YES_Reading_FLA[Self-Identified as African Descent]),FALSE)="", "", VLOOKUP($A430,YES_Reading_FLA[],COLUMN(YES_Reading_FLA[Self-Identified as African Descent]),FALSE))),""))),"")</f>
        <v/>
      </c>
      <c r="L430" s="73" t="str" cm="1">
        <f t="array" ref="L430">IFERROR(
IF($J$2="ELA",
IF(VLOOKUP($A430, YES_Reading_ELA[], COLUMN(YES_Reading_ELA[Self-Identified as Indigenous]), FALSE)="", "",
VLOOKUP($A430,YES_Reading_ELA[], COLUMN(YES_Reading_ELA[Self-Identified as Indigenous]), FALSE)),
IF($J$2="FLA",
IF(VLOOKUP($A430, YES_Reading_FLA[], COLUMN(YES_Reading_FLA[Self-Identified as Indigenous]),FALSE)="","",
VLOOKUP($A430,YES_Reading_FLA[],COLUMN(YES_Reading_FLA[Self-Identified as Indigenous]),FALSE)),
IF($J$2="Combined",
IFERROR(
IF(VLOOKUP($A430, YES_Reading_ELA[], COLUMN(YES_Reading_ELA[Self-Identified as Indigenous]), FALSE)="", "",
VLOOKUP($A430,YES_Reading_ELA[],COLUMN(YES_Reading_ELA[Self-Identified as Indigenous]),FALSE)),
IF(VLOOKUP($A430, YES_Reading_FLA[], COLUMN(YES_Reading_FLA[Self-Identified as Indigenous]),FALSE)="", "", VLOOKUP($A430,YES_Reading_FLA[],COLUMN(YES_Reading_FLA[Self-Identified as Indigenous]),FALSE))),""))),"")</f>
        <v/>
      </c>
    </row>
    <row r="431" spans="1:12" ht="19.5" customHeight="1" x14ac:dyDescent="0.25">
      <c r="A431" s="217"/>
      <c r="B431" s="220"/>
      <c r="C431" s="203"/>
      <c r="D431" s="204"/>
      <c r="E431" s="205"/>
      <c r="F431" s="205"/>
      <c r="G431" s="205"/>
      <c r="H431" s="206"/>
      <c r="I431" s="212"/>
      <c r="J431" s="206"/>
      <c r="K431" s="197" t="str" cm="1">
        <f t="array" ref="K431">IFERROR(
IF($J$2="ELA",
IF(VLOOKUP($A431, YES_Reading_ELA[], COLUMN(YES_Reading_ELA[Self-Identified as African Descent]), FALSE)="", "",
VLOOKUP($A431,YES_Reading_ELA[], COLUMN(YES_Reading_ELA[Self-Identified as African Descent]), FALSE)),
IF($J$2="FLA",
IF(VLOOKUP($A431, YES_Reading_FLA[], COLUMN(YES_Reading_FLA[Self-Identified as African Descent]),FALSE)="","",
VLOOKUP($A431,YES_Reading_FLA[],COLUMN(YES_Reading_FLA[Self-Identified as African Descent]),FALSE)),
IF($J$2="Combined",
IFERROR(
IF(VLOOKUP($A431, YES_Reading_ELA[], COLUMN(YES_Reading_ELA[Self-Identified as African Descent]), FALSE)="", "",
VLOOKUP($A431,YES_Reading_ELA[],COLUMN(YES_Reading_ELA[Self-Identified as African Descent]),FALSE)),
IF(VLOOKUP($A431, YES_Reading_FLA[], COLUMN(YES_Reading_FLA[Self-Identified as African Descent]),FALSE)="", "", VLOOKUP($A431,YES_Reading_FLA[],COLUMN(YES_Reading_FLA[Self-Identified as African Descent]),FALSE))),""))),"")</f>
        <v/>
      </c>
      <c r="L431" s="73" t="str" cm="1">
        <f t="array" ref="L431">IFERROR(
IF($J$2="ELA",
IF(VLOOKUP($A431, YES_Reading_ELA[], COLUMN(YES_Reading_ELA[Self-Identified as Indigenous]), FALSE)="", "",
VLOOKUP($A431,YES_Reading_ELA[], COLUMN(YES_Reading_ELA[Self-Identified as Indigenous]), FALSE)),
IF($J$2="FLA",
IF(VLOOKUP($A431, YES_Reading_FLA[], COLUMN(YES_Reading_FLA[Self-Identified as Indigenous]),FALSE)="","",
VLOOKUP($A431,YES_Reading_FLA[],COLUMN(YES_Reading_FLA[Self-Identified as Indigenous]),FALSE)),
IF($J$2="Combined",
IFERROR(
IF(VLOOKUP($A431, YES_Reading_ELA[], COLUMN(YES_Reading_ELA[Self-Identified as Indigenous]), FALSE)="", "",
VLOOKUP($A431,YES_Reading_ELA[],COLUMN(YES_Reading_ELA[Self-Identified as Indigenous]),FALSE)),
IF(VLOOKUP($A431, YES_Reading_FLA[], COLUMN(YES_Reading_FLA[Self-Identified as Indigenous]),FALSE)="", "", VLOOKUP($A431,YES_Reading_FLA[],COLUMN(YES_Reading_FLA[Self-Identified as Indigenous]),FALSE))),""))),"")</f>
        <v/>
      </c>
    </row>
    <row r="432" spans="1:12" ht="19.5" customHeight="1" x14ac:dyDescent="0.25">
      <c r="A432" s="217"/>
      <c r="B432" s="220"/>
      <c r="C432" s="203"/>
      <c r="D432" s="204"/>
      <c r="E432" s="205"/>
      <c r="F432" s="205"/>
      <c r="G432" s="205"/>
      <c r="H432" s="206"/>
      <c r="I432" s="212"/>
      <c r="J432" s="206"/>
      <c r="K432" s="197" t="str" cm="1">
        <f t="array" ref="K432">IFERROR(
IF($J$2="ELA",
IF(VLOOKUP($A432, YES_Reading_ELA[], COLUMN(YES_Reading_ELA[Self-Identified as African Descent]), FALSE)="", "",
VLOOKUP($A432,YES_Reading_ELA[], COLUMN(YES_Reading_ELA[Self-Identified as African Descent]), FALSE)),
IF($J$2="FLA",
IF(VLOOKUP($A432, YES_Reading_FLA[], COLUMN(YES_Reading_FLA[Self-Identified as African Descent]),FALSE)="","",
VLOOKUP($A432,YES_Reading_FLA[],COLUMN(YES_Reading_FLA[Self-Identified as African Descent]),FALSE)),
IF($J$2="Combined",
IFERROR(
IF(VLOOKUP($A432, YES_Reading_ELA[], COLUMN(YES_Reading_ELA[Self-Identified as African Descent]), FALSE)="", "",
VLOOKUP($A432,YES_Reading_ELA[],COLUMN(YES_Reading_ELA[Self-Identified as African Descent]),FALSE)),
IF(VLOOKUP($A432, YES_Reading_FLA[], COLUMN(YES_Reading_FLA[Self-Identified as African Descent]),FALSE)="", "", VLOOKUP($A432,YES_Reading_FLA[],COLUMN(YES_Reading_FLA[Self-Identified as African Descent]),FALSE))),""))),"")</f>
        <v/>
      </c>
      <c r="L432" s="73" t="str" cm="1">
        <f t="array" ref="L432">IFERROR(
IF($J$2="ELA",
IF(VLOOKUP($A432, YES_Reading_ELA[], COLUMN(YES_Reading_ELA[Self-Identified as Indigenous]), FALSE)="", "",
VLOOKUP($A432,YES_Reading_ELA[], COLUMN(YES_Reading_ELA[Self-Identified as Indigenous]), FALSE)),
IF($J$2="FLA",
IF(VLOOKUP($A432, YES_Reading_FLA[], COLUMN(YES_Reading_FLA[Self-Identified as Indigenous]),FALSE)="","",
VLOOKUP($A432,YES_Reading_FLA[],COLUMN(YES_Reading_FLA[Self-Identified as Indigenous]),FALSE)),
IF($J$2="Combined",
IFERROR(
IF(VLOOKUP($A432, YES_Reading_ELA[], COLUMN(YES_Reading_ELA[Self-Identified as Indigenous]), FALSE)="", "",
VLOOKUP($A432,YES_Reading_ELA[],COLUMN(YES_Reading_ELA[Self-Identified as Indigenous]),FALSE)),
IF(VLOOKUP($A432, YES_Reading_FLA[], COLUMN(YES_Reading_FLA[Self-Identified as Indigenous]),FALSE)="", "", VLOOKUP($A432,YES_Reading_FLA[],COLUMN(YES_Reading_FLA[Self-Identified as Indigenous]),FALSE))),""))),"")</f>
        <v/>
      </c>
    </row>
    <row r="433" spans="1:12" ht="19.5" customHeight="1" x14ac:dyDescent="0.25">
      <c r="A433" s="217"/>
      <c r="B433" s="220"/>
      <c r="C433" s="203"/>
      <c r="D433" s="204"/>
      <c r="E433" s="205"/>
      <c r="F433" s="205"/>
      <c r="G433" s="205"/>
      <c r="H433" s="206"/>
      <c r="I433" s="212"/>
      <c r="J433" s="206"/>
      <c r="K433" s="197" t="str" cm="1">
        <f t="array" ref="K433">IFERROR(
IF($J$2="ELA",
IF(VLOOKUP($A433, YES_Reading_ELA[], COLUMN(YES_Reading_ELA[Self-Identified as African Descent]), FALSE)="", "",
VLOOKUP($A433,YES_Reading_ELA[], COLUMN(YES_Reading_ELA[Self-Identified as African Descent]), FALSE)),
IF($J$2="FLA",
IF(VLOOKUP($A433, YES_Reading_FLA[], COLUMN(YES_Reading_FLA[Self-Identified as African Descent]),FALSE)="","",
VLOOKUP($A433,YES_Reading_FLA[],COLUMN(YES_Reading_FLA[Self-Identified as African Descent]),FALSE)),
IF($J$2="Combined",
IFERROR(
IF(VLOOKUP($A433, YES_Reading_ELA[], COLUMN(YES_Reading_ELA[Self-Identified as African Descent]), FALSE)="", "",
VLOOKUP($A433,YES_Reading_ELA[],COLUMN(YES_Reading_ELA[Self-Identified as African Descent]),FALSE)),
IF(VLOOKUP($A433, YES_Reading_FLA[], COLUMN(YES_Reading_FLA[Self-Identified as African Descent]),FALSE)="", "", VLOOKUP($A433,YES_Reading_FLA[],COLUMN(YES_Reading_FLA[Self-Identified as African Descent]),FALSE))),""))),"")</f>
        <v/>
      </c>
      <c r="L433" s="73" t="str" cm="1">
        <f t="array" ref="L433">IFERROR(
IF($J$2="ELA",
IF(VLOOKUP($A433, YES_Reading_ELA[], COLUMN(YES_Reading_ELA[Self-Identified as Indigenous]), FALSE)="", "",
VLOOKUP($A433,YES_Reading_ELA[], COLUMN(YES_Reading_ELA[Self-Identified as Indigenous]), FALSE)),
IF($J$2="FLA",
IF(VLOOKUP($A433, YES_Reading_FLA[], COLUMN(YES_Reading_FLA[Self-Identified as Indigenous]),FALSE)="","",
VLOOKUP($A433,YES_Reading_FLA[],COLUMN(YES_Reading_FLA[Self-Identified as Indigenous]),FALSE)),
IF($J$2="Combined",
IFERROR(
IF(VLOOKUP($A433, YES_Reading_ELA[], COLUMN(YES_Reading_ELA[Self-Identified as Indigenous]), FALSE)="", "",
VLOOKUP($A433,YES_Reading_ELA[],COLUMN(YES_Reading_ELA[Self-Identified as Indigenous]),FALSE)),
IF(VLOOKUP($A433, YES_Reading_FLA[], COLUMN(YES_Reading_FLA[Self-Identified as Indigenous]),FALSE)="", "", VLOOKUP($A433,YES_Reading_FLA[],COLUMN(YES_Reading_FLA[Self-Identified as Indigenous]),FALSE))),""))),"")</f>
        <v/>
      </c>
    </row>
    <row r="434" spans="1:12" ht="19.5" customHeight="1" x14ac:dyDescent="0.25">
      <c r="A434" s="217"/>
      <c r="B434" s="220"/>
      <c r="C434" s="203"/>
      <c r="D434" s="204"/>
      <c r="E434" s="205"/>
      <c r="F434" s="205"/>
      <c r="G434" s="205"/>
      <c r="H434" s="206"/>
      <c r="I434" s="212"/>
      <c r="J434" s="206"/>
      <c r="K434" s="197" t="str" cm="1">
        <f t="array" ref="K434">IFERROR(
IF($J$2="ELA",
IF(VLOOKUP($A434, YES_Reading_ELA[], COLUMN(YES_Reading_ELA[Self-Identified as African Descent]), FALSE)="", "",
VLOOKUP($A434,YES_Reading_ELA[], COLUMN(YES_Reading_ELA[Self-Identified as African Descent]), FALSE)),
IF($J$2="FLA",
IF(VLOOKUP($A434, YES_Reading_FLA[], COLUMN(YES_Reading_FLA[Self-Identified as African Descent]),FALSE)="","",
VLOOKUP($A434,YES_Reading_FLA[],COLUMN(YES_Reading_FLA[Self-Identified as African Descent]),FALSE)),
IF($J$2="Combined",
IFERROR(
IF(VLOOKUP($A434, YES_Reading_ELA[], COLUMN(YES_Reading_ELA[Self-Identified as African Descent]), FALSE)="", "",
VLOOKUP($A434,YES_Reading_ELA[],COLUMN(YES_Reading_ELA[Self-Identified as African Descent]),FALSE)),
IF(VLOOKUP($A434, YES_Reading_FLA[], COLUMN(YES_Reading_FLA[Self-Identified as African Descent]),FALSE)="", "", VLOOKUP($A434,YES_Reading_FLA[],COLUMN(YES_Reading_FLA[Self-Identified as African Descent]),FALSE))),""))),"")</f>
        <v/>
      </c>
      <c r="L434" s="73" t="str" cm="1">
        <f t="array" ref="L434">IFERROR(
IF($J$2="ELA",
IF(VLOOKUP($A434, YES_Reading_ELA[], COLUMN(YES_Reading_ELA[Self-Identified as Indigenous]), FALSE)="", "",
VLOOKUP($A434,YES_Reading_ELA[], COLUMN(YES_Reading_ELA[Self-Identified as Indigenous]), FALSE)),
IF($J$2="FLA",
IF(VLOOKUP($A434, YES_Reading_FLA[], COLUMN(YES_Reading_FLA[Self-Identified as Indigenous]),FALSE)="","",
VLOOKUP($A434,YES_Reading_FLA[],COLUMN(YES_Reading_FLA[Self-Identified as Indigenous]),FALSE)),
IF($J$2="Combined",
IFERROR(
IF(VLOOKUP($A434, YES_Reading_ELA[], COLUMN(YES_Reading_ELA[Self-Identified as Indigenous]), FALSE)="", "",
VLOOKUP($A434,YES_Reading_ELA[],COLUMN(YES_Reading_ELA[Self-Identified as Indigenous]),FALSE)),
IF(VLOOKUP($A434, YES_Reading_FLA[], COLUMN(YES_Reading_FLA[Self-Identified as Indigenous]),FALSE)="", "", VLOOKUP($A434,YES_Reading_FLA[],COLUMN(YES_Reading_FLA[Self-Identified as Indigenous]),FALSE))),""))),"")</f>
        <v/>
      </c>
    </row>
    <row r="435" spans="1:12" ht="19.5" customHeight="1" x14ac:dyDescent="0.25">
      <c r="A435" s="217"/>
      <c r="B435" s="220"/>
      <c r="C435" s="203"/>
      <c r="D435" s="204"/>
      <c r="E435" s="205"/>
      <c r="F435" s="205"/>
      <c r="G435" s="205"/>
      <c r="H435" s="206"/>
      <c r="I435" s="212"/>
      <c r="J435" s="206"/>
      <c r="K435" s="197" t="str" cm="1">
        <f t="array" ref="K435">IFERROR(
IF($J$2="ELA",
IF(VLOOKUP($A435, YES_Reading_ELA[], COLUMN(YES_Reading_ELA[Self-Identified as African Descent]), FALSE)="", "",
VLOOKUP($A435,YES_Reading_ELA[], COLUMN(YES_Reading_ELA[Self-Identified as African Descent]), FALSE)),
IF($J$2="FLA",
IF(VLOOKUP($A435, YES_Reading_FLA[], COLUMN(YES_Reading_FLA[Self-Identified as African Descent]),FALSE)="","",
VLOOKUP($A435,YES_Reading_FLA[],COLUMN(YES_Reading_FLA[Self-Identified as African Descent]),FALSE)),
IF($J$2="Combined",
IFERROR(
IF(VLOOKUP($A435, YES_Reading_ELA[], COLUMN(YES_Reading_ELA[Self-Identified as African Descent]), FALSE)="", "",
VLOOKUP($A435,YES_Reading_ELA[],COLUMN(YES_Reading_ELA[Self-Identified as African Descent]),FALSE)),
IF(VLOOKUP($A435, YES_Reading_FLA[], COLUMN(YES_Reading_FLA[Self-Identified as African Descent]),FALSE)="", "", VLOOKUP($A435,YES_Reading_FLA[],COLUMN(YES_Reading_FLA[Self-Identified as African Descent]),FALSE))),""))),"")</f>
        <v/>
      </c>
      <c r="L435" s="73" t="str" cm="1">
        <f t="array" ref="L435">IFERROR(
IF($J$2="ELA",
IF(VLOOKUP($A435, YES_Reading_ELA[], COLUMN(YES_Reading_ELA[Self-Identified as Indigenous]), FALSE)="", "",
VLOOKUP($A435,YES_Reading_ELA[], COLUMN(YES_Reading_ELA[Self-Identified as Indigenous]), FALSE)),
IF($J$2="FLA",
IF(VLOOKUP($A435, YES_Reading_FLA[], COLUMN(YES_Reading_FLA[Self-Identified as Indigenous]),FALSE)="","",
VLOOKUP($A435,YES_Reading_FLA[],COLUMN(YES_Reading_FLA[Self-Identified as Indigenous]),FALSE)),
IF($J$2="Combined",
IFERROR(
IF(VLOOKUP($A435, YES_Reading_ELA[], COLUMN(YES_Reading_ELA[Self-Identified as Indigenous]), FALSE)="", "",
VLOOKUP($A435,YES_Reading_ELA[],COLUMN(YES_Reading_ELA[Self-Identified as Indigenous]),FALSE)),
IF(VLOOKUP($A435, YES_Reading_FLA[], COLUMN(YES_Reading_FLA[Self-Identified as Indigenous]),FALSE)="", "", VLOOKUP($A435,YES_Reading_FLA[],COLUMN(YES_Reading_FLA[Self-Identified as Indigenous]),FALSE))),""))),"")</f>
        <v/>
      </c>
    </row>
    <row r="436" spans="1:12" ht="19.5" customHeight="1" x14ac:dyDescent="0.25">
      <c r="A436" s="217"/>
      <c r="B436" s="220"/>
      <c r="C436" s="203"/>
      <c r="D436" s="204"/>
      <c r="E436" s="205"/>
      <c r="F436" s="205"/>
      <c r="G436" s="205"/>
      <c r="H436" s="206"/>
      <c r="I436" s="212"/>
      <c r="J436" s="206"/>
      <c r="K436" s="197" t="str" cm="1">
        <f t="array" ref="K436">IFERROR(
IF($J$2="ELA",
IF(VLOOKUP($A436, YES_Reading_ELA[], COLUMN(YES_Reading_ELA[Self-Identified as African Descent]), FALSE)="", "",
VLOOKUP($A436,YES_Reading_ELA[], COLUMN(YES_Reading_ELA[Self-Identified as African Descent]), FALSE)),
IF($J$2="FLA",
IF(VLOOKUP($A436, YES_Reading_FLA[], COLUMN(YES_Reading_FLA[Self-Identified as African Descent]),FALSE)="","",
VLOOKUP($A436,YES_Reading_FLA[],COLUMN(YES_Reading_FLA[Self-Identified as African Descent]),FALSE)),
IF($J$2="Combined",
IFERROR(
IF(VLOOKUP($A436, YES_Reading_ELA[], COLUMN(YES_Reading_ELA[Self-Identified as African Descent]), FALSE)="", "",
VLOOKUP($A436,YES_Reading_ELA[],COLUMN(YES_Reading_ELA[Self-Identified as African Descent]),FALSE)),
IF(VLOOKUP($A436, YES_Reading_FLA[], COLUMN(YES_Reading_FLA[Self-Identified as African Descent]),FALSE)="", "", VLOOKUP($A436,YES_Reading_FLA[],COLUMN(YES_Reading_FLA[Self-Identified as African Descent]),FALSE))),""))),"")</f>
        <v/>
      </c>
      <c r="L436" s="73" t="str" cm="1">
        <f t="array" ref="L436">IFERROR(
IF($J$2="ELA",
IF(VLOOKUP($A436, YES_Reading_ELA[], COLUMN(YES_Reading_ELA[Self-Identified as Indigenous]), FALSE)="", "",
VLOOKUP($A436,YES_Reading_ELA[], COLUMN(YES_Reading_ELA[Self-Identified as Indigenous]), FALSE)),
IF($J$2="FLA",
IF(VLOOKUP($A436, YES_Reading_FLA[], COLUMN(YES_Reading_FLA[Self-Identified as Indigenous]),FALSE)="","",
VLOOKUP($A436,YES_Reading_FLA[],COLUMN(YES_Reading_FLA[Self-Identified as Indigenous]),FALSE)),
IF($J$2="Combined",
IFERROR(
IF(VLOOKUP($A436, YES_Reading_ELA[], COLUMN(YES_Reading_ELA[Self-Identified as Indigenous]), FALSE)="", "",
VLOOKUP($A436,YES_Reading_ELA[],COLUMN(YES_Reading_ELA[Self-Identified as Indigenous]),FALSE)),
IF(VLOOKUP($A436, YES_Reading_FLA[], COLUMN(YES_Reading_FLA[Self-Identified as Indigenous]),FALSE)="", "", VLOOKUP($A436,YES_Reading_FLA[],COLUMN(YES_Reading_FLA[Self-Identified as Indigenous]),FALSE))),""))),"")</f>
        <v/>
      </c>
    </row>
    <row r="437" spans="1:12" ht="19.5" customHeight="1" x14ac:dyDescent="0.25">
      <c r="A437" s="217"/>
      <c r="B437" s="220"/>
      <c r="C437" s="203"/>
      <c r="D437" s="204"/>
      <c r="E437" s="205"/>
      <c r="F437" s="205"/>
      <c r="G437" s="205"/>
      <c r="H437" s="206"/>
      <c r="I437" s="212"/>
      <c r="J437" s="206"/>
      <c r="K437" s="197" t="str" cm="1">
        <f t="array" ref="K437">IFERROR(
IF($J$2="ELA",
IF(VLOOKUP($A437, YES_Reading_ELA[], COLUMN(YES_Reading_ELA[Self-Identified as African Descent]), FALSE)="", "",
VLOOKUP($A437,YES_Reading_ELA[], COLUMN(YES_Reading_ELA[Self-Identified as African Descent]), FALSE)),
IF($J$2="FLA",
IF(VLOOKUP($A437, YES_Reading_FLA[], COLUMN(YES_Reading_FLA[Self-Identified as African Descent]),FALSE)="","",
VLOOKUP($A437,YES_Reading_FLA[],COLUMN(YES_Reading_FLA[Self-Identified as African Descent]),FALSE)),
IF($J$2="Combined",
IFERROR(
IF(VLOOKUP($A437, YES_Reading_ELA[], COLUMN(YES_Reading_ELA[Self-Identified as African Descent]), FALSE)="", "",
VLOOKUP($A437,YES_Reading_ELA[],COLUMN(YES_Reading_ELA[Self-Identified as African Descent]),FALSE)),
IF(VLOOKUP($A437, YES_Reading_FLA[], COLUMN(YES_Reading_FLA[Self-Identified as African Descent]),FALSE)="", "", VLOOKUP($A437,YES_Reading_FLA[],COLUMN(YES_Reading_FLA[Self-Identified as African Descent]),FALSE))),""))),"")</f>
        <v/>
      </c>
      <c r="L437" s="73" t="str" cm="1">
        <f t="array" ref="L437">IFERROR(
IF($J$2="ELA",
IF(VLOOKUP($A437, YES_Reading_ELA[], COLUMN(YES_Reading_ELA[Self-Identified as Indigenous]), FALSE)="", "",
VLOOKUP($A437,YES_Reading_ELA[], COLUMN(YES_Reading_ELA[Self-Identified as Indigenous]), FALSE)),
IF($J$2="FLA",
IF(VLOOKUP($A437, YES_Reading_FLA[], COLUMN(YES_Reading_FLA[Self-Identified as Indigenous]),FALSE)="","",
VLOOKUP($A437,YES_Reading_FLA[],COLUMN(YES_Reading_FLA[Self-Identified as Indigenous]),FALSE)),
IF($J$2="Combined",
IFERROR(
IF(VLOOKUP($A437, YES_Reading_ELA[], COLUMN(YES_Reading_ELA[Self-Identified as Indigenous]), FALSE)="", "",
VLOOKUP($A437,YES_Reading_ELA[],COLUMN(YES_Reading_ELA[Self-Identified as Indigenous]),FALSE)),
IF(VLOOKUP($A437, YES_Reading_FLA[], COLUMN(YES_Reading_FLA[Self-Identified as Indigenous]),FALSE)="", "", VLOOKUP($A437,YES_Reading_FLA[],COLUMN(YES_Reading_FLA[Self-Identified as Indigenous]),FALSE))),""))),"")</f>
        <v/>
      </c>
    </row>
    <row r="438" spans="1:12" ht="19.5" customHeight="1" x14ac:dyDescent="0.25">
      <c r="A438" s="217"/>
      <c r="B438" s="220"/>
      <c r="C438" s="203"/>
      <c r="D438" s="204"/>
      <c r="E438" s="205"/>
      <c r="F438" s="205"/>
      <c r="G438" s="205"/>
      <c r="H438" s="206"/>
      <c r="I438" s="212"/>
      <c r="J438" s="206"/>
      <c r="K438" s="197" t="str" cm="1">
        <f t="array" ref="K438">IFERROR(
IF($J$2="ELA",
IF(VLOOKUP($A438, YES_Reading_ELA[], COLUMN(YES_Reading_ELA[Self-Identified as African Descent]), FALSE)="", "",
VLOOKUP($A438,YES_Reading_ELA[], COLUMN(YES_Reading_ELA[Self-Identified as African Descent]), FALSE)),
IF($J$2="FLA",
IF(VLOOKUP($A438, YES_Reading_FLA[], COLUMN(YES_Reading_FLA[Self-Identified as African Descent]),FALSE)="","",
VLOOKUP($A438,YES_Reading_FLA[],COLUMN(YES_Reading_FLA[Self-Identified as African Descent]),FALSE)),
IF($J$2="Combined",
IFERROR(
IF(VLOOKUP($A438, YES_Reading_ELA[], COLUMN(YES_Reading_ELA[Self-Identified as African Descent]), FALSE)="", "",
VLOOKUP($A438,YES_Reading_ELA[],COLUMN(YES_Reading_ELA[Self-Identified as African Descent]),FALSE)),
IF(VLOOKUP($A438, YES_Reading_FLA[], COLUMN(YES_Reading_FLA[Self-Identified as African Descent]),FALSE)="", "", VLOOKUP($A438,YES_Reading_FLA[],COLUMN(YES_Reading_FLA[Self-Identified as African Descent]),FALSE))),""))),"")</f>
        <v/>
      </c>
      <c r="L438" s="73" t="str" cm="1">
        <f t="array" ref="L438">IFERROR(
IF($J$2="ELA",
IF(VLOOKUP($A438, YES_Reading_ELA[], COLUMN(YES_Reading_ELA[Self-Identified as Indigenous]), FALSE)="", "",
VLOOKUP($A438,YES_Reading_ELA[], COLUMN(YES_Reading_ELA[Self-Identified as Indigenous]), FALSE)),
IF($J$2="FLA",
IF(VLOOKUP($A438, YES_Reading_FLA[], COLUMN(YES_Reading_FLA[Self-Identified as Indigenous]),FALSE)="","",
VLOOKUP($A438,YES_Reading_FLA[],COLUMN(YES_Reading_FLA[Self-Identified as Indigenous]),FALSE)),
IF($J$2="Combined",
IFERROR(
IF(VLOOKUP($A438, YES_Reading_ELA[], COLUMN(YES_Reading_ELA[Self-Identified as Indigenous]), FALSE)="", "",
VLOOKUP($A438,YES_Reading_ELA[],COLUMN(YES_Reading_ELA[Self-Identified as Indigenous]),FALSE)),
IF(VLOOKUP($A438, YES_Reading_FLA[], COLUMN(YES_Reading_FLA[Self-Identified as Indigenous]),FALSE)="", "", VLOOKUP($A438,YES_Reading_FLA[],COLUMN(YES_Reading_FLA[Self-Identified as Indigenous]),FALSE))),""))),"")</f>
        <v/>
      </c>
    </row>
    <row r="439" spans="1:12" ht="19.5" customHeight="1" thickBot="1" x14ac:dyDescent="0.3">
      <c r="A439" s="218"/>
      <c r="B439" s="221"/>
      <c r="C439" s="208"/>
      <c r="D439" s="209"/>
      <c r="E439" s="210"/>
      <c r="F439" s="210"/>
      <c r="G439" s="210"/>
      <c r="H439" s="211"/>
      <c r="I439" s="213"/>
      <c r="J439" s="211"/>
      <c r="K439" s="198" t="str" cm="1">
        <f t="array" ref="K439">IFERROR(
IF($J$2="ELA",
IF(VLOOKUP($A439, YES_Reading_ELA[], COLUMN(YES_Reading_ELA[Self-Identified as African Descent]), FALSE)="", "",
VLOOKUP($A439,YES_Reading_ELA[], COLUMN(YES_Reading_ELA[Self-Identified as African Descent]), FALSE)),
IF($J$2="FLA",
IF(VLOOKUP($A439, YES_Reading_FLA[], COLUMN(YES_Reading_FLA[Self-Identified as African Descent]),FALSE)="","",
VLOOKUP($A439,YES_Reading_FLA[],COLUMN(YES_Reading_FLA[Self-Identified as African Descent]),FALSE)),
IF($J$2="Combined",
IFERROR(
IF(VLOOKUP($A439, YES_Reading_ELA[], COLUMN(YES_Reading_ELA[Self-Identified as African Descent]), FALSE)="", "",
VLOOKUP($A439,YES_Reading_ELA[],COLUMN(YES_Reading_ELA[Self-Identified as African Descent]),FALSE)),
IF(VLOOKUP($A439, YES_Reading_FLA[], COLUMN(YES_Reading_FLA[Self-Identified as African Descent]),FALSE)="", "", VLOOKUP($A439,YES_Reading_FLA[],COLUMN(YES_Reading_FLA[Self-Identified as African Descent]),FALSE))),""))),"")</f>
        <v/>
      </c>
      <c r="L439" s="74" t="str" cm="1">
        <f t="array" ref="L439">IFERROR(
IF($J$2="ELA",
IF(VLOOKUP($A439, YES_Reading_ELA[], COLUMN(YES_Reading_ELA[Self-Identified as Indigenous]), FALSE)="", "",
VLOOKUP($A439,YES_Reading_ELA[], COLUMN(YES_Reading_ELA[Self-Identified as Indigenous]), FALSE)),
IF($J$2="FLA",
IF(VLOOKUP($A439, YES_Reading_FLA[], COLUMN(YES_Reading_FLA[Self-Identified as Indigenous]),FALSE)="","",
VLOOKUP($A439,YES_Reading_FLA[],COLUMN(YES_Reading_FLA[Self-Identified as Indigenous]),FALSE)),
IF($J$2="Combined",
IFERROR(
IF(VLOOKUP($A439, YES_Reading_ELA[], COLUMN(YES_Reading_ELA[Self-Identified as Indigenous]), FALSE)="", "",
VLOOKUP($A439,YES_Reading_ELA[],COLUMN(YES_Reading_ELA[Self-Identified as Indigenous]),FALSE)),
IF(VLOOKUP($A439, YES_Reading_FLA[], COLUMN(YES_Reading_FLA[Self-Identified as Indigenous]),FALSE)="", "", VLOOKUP($A439,YES_Reading_FLA[],COLUMN(YES_Reading_FLA[Self-Identified as Indigenous]),FALSE))),""))),"")</f>
        <v/>
      </c>
    </row>
    <row r="440" spans="1:12" x14ac:dyDescent="0.25">
      <c r="A440" s="214"/>
      <c r="B440" s="214" t="s">
        <v>241</v>
      </c>
      <c r="C440" s="214"/>
      <c r="D440" s="215" t="str" cm="1">
        <f t="array" ref="D440">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Set")))=$D$1)),1,1,FALSE),FALSE,FALSE),15),"")</f>
        <v/>
      </c>
      <c r="E440" s="215"/>
      <c r="F440" s="215"/>
      <c r="G440" s="215"/>
      <c r="H440" s="355" t="s">
        <v>242</v>
      </c>
      <c r="I440" s="356"/>
      <c r="J440" s="215"/>
    </row>
    <row r="441" spans="1:12" x14ac:dyDescent="0.25">
      <c r="A441" s="214"/>
      <c r="B441" s="214" t="str">
        <f>"Date: "&amp;$D$3</f>
        <v xml:space="preserve">Date: </v>
      </c>
      <c r="C441" s="214"/>
      <c r="D441" s="215"/>
      <c r="E441" s="215"/>
      <c r="F441" s="215"/>
      <c r="G441" s="215"/>
      <c r="H441" s="357" t="s">
        <v>243</v>
      </c>
      <c r="I441" s="358"/>
      <c r="J441" s="215"/>
    </row>
    <row r="442" spans="1:12" ht="15.75" thickBot="1" x14ac:dyDescent="0.3">
      <c r="A442" s="215"/>
      <c r="B442" s="215"/>
      <c r="C442" s="215"/>
      <c r="D442" s="215"/>
      <c r="E442" s="215"/>
      <c r="F442" s="215"/>
      <c r="G442" s="215"/>
      <c r="H442" s="353" t="s">
        <v>244</v>
      </c>
      <c r="I442" s="354"/>
      <c r="J442" s="215"/>
    </row>
    <row r="443" spans="1:12" ht="85.5" customHeight="1" thickBot="1" x14ac:dyDescent="0.3">
      <c r="A443" s="192" t="s">
        <v>44</v>
      </c>
      <c r="B443" s="187" t="s">
        <v>245</v>
      </c>
      <c r="C443" s="188" t="s">
        <v>246</v>
      </c>
      <c r="D443" s="188" t="s">
        <v>247</v>
      </c>
      <c r="E443" s="188" t="s">
        <v>248</v>
      </c>
      <c r="F443" s="188" t="s">
        <v>249</v>
      </c>
      <c r="G443" s="188" t="s">
        <v>250</v>
      </c>
      <c r="H443" s="189" t="s">
        <v>251</v>
      </c>
      <c r="I443" s="190" t="s">
        <v>252</v>
      </c>
      <c r="J443" s="191" t="s">
        <v>253</v>
      </c>
      <c r="K443" s="200" t="s">
        <v>256</v>
      </c>
      <c r="L443" s="201" t="s">
        <v>257</v>
      </c>
    </row>
    <row r="444" spans="1:12" ht="19.5" customHeight="1" x14ac:dyDescent="0.25">
      <c r="A444" s="216" t="e" cm="1" vm="1">
        <f t="array" aca="1" ref="A444" ca="1">_xlfn._xlws.FILTER(_xlfn.VSTACK(YES_Reading_ELA[Student Number],YES_Reading_FLA[Student Number]),_xlfn.VSTACK(YES_Reading_ELA[HomeRoom],YES_Reading_FLA[Homeroom])=D440)</f>
        <v>#VALUE!</v>
      </c>
      <c r="B444" s="219" t="str">
        <f ca="1">IFERROR(VLOOKUP(A444,_xlfn.VSTACK(YES_Reading_ELA[],YES_Reading_FLA[]),2,FALSE),"")</f>
        <v/>
      </c>
      <c r="C444" s="203" t="str" cm="1">
        <f t="array" aca="1" ref="C444" ca="1">IFERROR(
IF($J$2="ELA",
IF(VLOOKUP($A444, YES_Reading_ELA[], COLUMN(IF(VLOOKUP($D$2, 'Reading Report Logic'!$A$2:$B$8, 2, FALSE)=1, YES_Reading_ELA[Reading Level June of Previous School Year], INDIRECT("YES_Reading_ELA[Instructional Reading Level - Per "&amp;(VLOOKUP($D$2,'Reading Report Logic'!$A$2:$B$8,2,FALSE)-1)&amp;"]"))), FALSE)="", "",
VLOOKUP($A444,YES_Reading_ELA[], COLUMN(IF(VLOOKUP($D$2,'Reading Report Logic'!$A$2:$B$8,2,FALSE)=1, YES_Reading_ELA[Reading Level June of Previous School Year],INDIRECT("YES_Reading_ELA[Instructional Reading Level - Per "&amp;(VLOOKUP($D$2,'Reading Report Logic'!$A$2:$B$8,2,FALSE)-1)&amp;"]"))), FALSE)),
IF($J$2="FLA",
IF(VLOOKUP($A444, YES_Reading_FLA[], COLUMN(IF(VLOOKUP($D$2,'Reading Report Logic'!$A$2:$B$8,2,FALSE)=1, YES_Reading_FLA[Reading Level June of Previous School Year],INDIRECT("YES_Reading_FLA[Instructional Reading Level - Per "&amp;(VLOOKUP($D$2,'Reading Report Logic'!$A$2:$B$8,2,FALSE)-1)&amp;"]"))),FALSE)="","",
VLOOKUP($A444,YES_Reading_FLA[], COLUMN(IF(VLOOKUP($D$2,'Reading Report Logic'!$A$2:$B$8,2,FALSE)=1, YES_Reading_FLA[Reading Level June of Previous School Year],INDIRECT("YES_Reading_FLA[Instructional Reading Level - Per "&amp;(VLOOKUP($D$2,'Reading Report Logic'!$A$2:$B$8,2,FALSE)-1)&amp;"]"))),FALSE)),
IF($J$2="Combined",
IFERROR(
IF(VLOOKUP($A444, YES_Reading_ELA[], COLUMN(IF(VLOOKUP($D$2,'Reading Report Logic'!$A$2:$B$8,2,FALSE)=1, YES_Reading_ELA[Reading Level June of Previous School Year],INDIRECT("YES_Reading_ELA[Instructional Reading Level - Per "&amp;(VLOOKUP($D$2,'Reading Report Logic'!$A$2:$B$8,2,FALSE)-1)&amp;"]"))), FALSE)="", "",
VLOOKUP($A444,YES_Reading_ELA[],COLUMN(IF(VLOOKUP($D$2,'Reading Report Logic'!$A$2:$B$8,2,FALSE)=1, YES_Reading_ELA[Reading Level June of Previous School Year],INDIRECT("YES_Reading_ELA[Instructional Reading Level - Per "&amp;(VLOOKUP($D$2,'Reading Report Logic'!$A$2:$B$8,2,FALSE)-1)&amp;"]"))),FALSE)),
IF(VLOOKUP($A444, YES_Reading_FLA[], COLUMN(IF(VLOOKUP($D$2,'Reading Report Logic'!$A$2:$B$8,2,FALSE)=1, YES_Reading_FLA[Reading Level June of Previous School Year],INDIRECT("YES_Reading_FLA[Instructional Reading Level - Per "&amp;(VLOOKUP($D$2,'Reading Report Logic'!$A$2:$B$8,2,FALSE)-1)&amp;"]"))),FALSE)="", "", VLOOKUP($A444,YES_Reading_FLA[],COLUMN(IF(VLOOKUP($D$2,'Reading Report Logic'!$A$2:$B$8,2,FALSE)=1, YES_Reading_FLA[Reading Level June of Previous School Year],INDIRECT("YES_Reading_FLA[Instructional Reading Level - Per "&amp;(VLOOKUP($D$2,'Reading Report Logic'!$A$2:$B$8,2,FALSE)-1)&amp;"]"))), FALSE))),""))),"")</f>
        <v/>
      </c>
      <c r="D444" s="204" t="str" cm="1">
        <f t="array" aca="1" ref="D444" ca="1">IFERROR(
IF($J$2="ELA",
IF(VLOOKUP($A444, YES_Reading_ELA[], COLUMN(INDIRECT("YES_Reading_ELA[Instructional Reading Level - Per "&amp;VLOOKUP($D$2, 'Reading Report Logic'!$A$2:$B$8, 2, FALSE)&amp;"]")), FALSE)="", "",
VLOOKUP($A444,YES_Reading_ELA[], COLUMN(INDIRECT("YES_Reading_ELA[Instructional Reading Level - Per "&amp;VLOOKUP($D$2,'Reading Report Logic'!$A$2:$B$8,2,FALSE)&amp;"]")), FALSE)),
IF($J$2="FLA",
IF(VLOOKUP($A444, YES_Reading_FLA[], COLUMN(INDIRECT("YES_Reading_FLA[Instructional Reading Level - Per "&amp;VLOOKUP($D$2,'Reading Report Logic'!$A$2:$B$8,2,FALSE)&amp;"]")),FALSE)="","",
VLOOKUP($A444,YES_Reading_FLA[],COLUMN(INDIRECT("YES_Reading_FLA[Instructional Reading Level - Per "&amp;VLOOKUP($D$2,'Reading Report Logic'!$A$2:$B$8,2,FALSE)&amp;"]")),FALSE)),
IF($J$2="Combined",
IFERROR(
IF(VLOOKUP($A444, YES_Reading_ELA[], COLUMN(INDIRECT("YES_Reading_ELA[Instructional Reading Level - Per "&amp;VLOOKUP($D$2, 'Reading Report Logic'!$A$2:$B$8,2,FALSE)&amp;"]")), FALSE)="", "",
VLOOKUP($A444,YES_Reading_ELA[],COLUMN(INDIRECT("YES_Reading_ELA[Instructional Reading Level - Per "&amp;VLOOKUP($D$2,'Reading Report Logic'!$A$2:$B$8,2,FALSE)&amp;"]")),FALSE)),
IF(VLOOKUP($A444, YES_Reading_FLA[], COLUMN(INDIRECT("YES_Reading_FLA[Instructional Reading Level - Per "&amp;VLOOKUP($D$2, 'Reading Report Logic'!$A$2:$B$8, 2, FALSE)&amp;"]")),FALSE)="", "", VLOOKUP($A444,YES_Reading_FLA[],COLUMN(INDIRECT("YES_Reading_FLA[Instructional Reading Level - Per "&amp;VLOOKUP($D$2, 'Reading Report Logic'!$A$2:$B$8, 2, FALSE)&amp;"]")),FALSE))),""))),"")</f>
        <v/>
      </c>
      <c r="E444" s="205" t="str" cm="1">
        <f t="array" aca="1" ref="E444" ca="1">IFERROR(
IF($J$2="ELA",
IF(VLOOKUP($A444, YES_Reading_ELA[], COLUMN(INDIRECT("YES_Reading_ELA[Min Expectation - Per "&amp;VLOOKUP($D$2, 'Reading Report Logic'!$A$2:$B$8, 2, FALSE)&amp;"]")), FALSE)="", "",
VLOOKUP($A444,YES_Reading_ELA[], COLUMN(INDIRECT("YES_Reading_ELA[Min Expectation - Per "&amp;VLOOKUP($D$2,'Reading Report Logic'!$A$2:$B$8,2,FALSE)&amp;"]")), FALSE)),
IF($J$2="FLA",
IF(VLOOKUP($A444, YES_Reading_FLA[], COLUMN(INDIRECT("YES_Reading_FLA[Min Expectation - Per "&amp;VLOOKUP($D$2,'Reading Report Logic'!$A$2:$B$8,2,FALSE)&amp;"]")),FALSE)="","",
VLOOKUP($A444,YES_Reading_FLA[],COLUMN(INDIRECT("YES_Reading_FLA[Min Expectation - Per "&amp;VLOOKUP($D$2,'Reading Report Logic'!$A$2:$B$8,2,FALSE)&amp;"]")),FALSE)),
IF($J$2="Combined",
IFERROR(
IF(VLOOKUP($A444, YES_Reading_ELA[], COLUMN(INDIRECT("YES_Reading_ELA[Min Expectation - Per "&amp;VLOOKUP($D$2, 'Reading Report Logic'!$A$2:$B$8,2,FALSE)&amp;"]")), FALSE)="", "",
VLOOKUP($A444,YES_Reading_ELA[],COLUMN(INDIRECT("YES_Reading_ELA[Min Expectation - Per "&amp;VLOOKUP($D$2,'Reading Report Logic'!$A$2:$B$8,2,FALSE)&amp;"]")),FALSE)),
IF(VLOOKUP($A444, YES_Reading_FLA[], COLUMN(INDIRECT("YES_Reading_FLA[Min Expectation - Per "&amp;VLOOKUP($D$2, 'Reading Report Logic'!$A$2:$B$8, 2, FALSE)&amp;"]")),FALSE)="", "", VLOOKUP($A444,YES_Reading_FLA[],COLUMN(INDIRECT("YES_Reading_FLA[Min Expectation - Per "&amp;VLOOKUP($D$2, 'Reading Report Logic'!$A$2:$B$8, 2, FALSE)&amp;"]")),FALSE))),""))),"")</f>
        <v/>
      </c>
      <c r="F444" s="205" t="str" cm="1">
        <f t="array" aca="1" ref="F444" ca="1">IFERROR(
IF($J$2="ELA",
IF(VLOOKUP($A444, YES_Reading_ELA[], COLUMN(INDIRECT("YES_Reading_ELA[Max Expectation - Per "&amp;VLOOKUP($D$2, 'Reading Report Logic'!$A$2:$B$8, 2, FALSE)&amp;"]")), FALSE)="", "",
VLOOKUP($A444,YES_Reading_ELA[], COLUMN(INDIRECT("YES_Reading_ELA[Max Expectation - Per "&amp;VLOOKUP($D$2,'Reading Report Logic'!$A$2:$B$8,2,FALSE)&amp;"]")), FALSE)),
IF($J$2="FLA",
IF(VLOOKUP($A444, YES_Reading_FLA[], COLUMN(INDIRECT("YES_Reading_FLA[Max Expectation - Per "&amp;VLOOKUP($D$2,'Reading Report Logic'!$A$2:$B$8,2,FALSE)&amp;"]")),FALSE)="","",
VLOOKUP($A444,YES_Reading_FLA[],COLUMN(INDIRECT("YES_Reading_FLA[Max Expectation - Per "&amp;VLOOKUP($D$2,'Reading Report Logic'!$A$2:$B$8,2,FALSE)&amp;"]")),FALSE)),
IF($J$2="Combined",
IFERROR(
IF(VLOOKUP($A444, YES_Reading_ELA[], COLUMN(INDIRECT("YES_Reading_ELA[Max Expectation - Per "&amp;VLOOKUP($D$2, 'Reading Report Logic'!$A$2:$B$8,2,FALSE)&amp;"]")), FALSE)="", "",
VLOOKUP($A444,YES_Reading_ELA[],COLUMN(INDIRECT("YES_Reading_ELA[Max Expectation - Per "&amp;VLOOKUP($D$2,'Reading Report Logic'!$A$2:$B$8,2,FALSE)&amp;"]")),FALSE)),
IF(VLOOKUP($A444, YES_Reading_FLA[], COLUMN(INDIRECT("YES_Reading_FLA[Max Expectation - Per "&amp;VLOOKUP($D$2, 'Reading Report Logic'!$A$2:$B$8, 2, FALSE)&amp;"]")),FALSE)="", "", VLOOKUP($A444,YES_Reading_FLA[],COLUMN(INDIRECT("YES_Reading_FLA[Max Expectation - Per "&amp;VLOOKUP($D$2, 'Reading Report Logic'!$A$2:$B$8, 2, FALSE)&amp;"]")),FALSE))),""))),"")</f>
        <v/>
      </c>
      <c r="G444" s="205" t="str" cm="1">
        <f t="array" aca="1" ref="G444" ca="1">IFERROR(
IF($J$2="ELA",
IF(VLOOKUP($A444, YES_Reading_ELA[], COLUMN(INDIRECT("YES_Reading_ELA[Difference - Per "&amp;VLOOKUP($D$2, 'Reading Report Logic'!$A$2:$B$8, 2, FALSE)&amp;"]")), FALSE)="", "",
VLOOKUP($A444,YES_Reading_ELA[], COLUMN(INDIRECT("YES_Reading_ELA[Difference - Per "&amp;VLOOKUP($D$2,'Reading Report Logic'!$A$2:$B$8,2,FALSE)&amp;"]")), FALSE)),
IF($J$2="FLA",
IF(VLOOKUP($A444, YES_Reading_FLA[], COLUMN(INDIRECT("YES_Reading_FLA[Difference - Per "&amp;VLOOKUP($D$2,'Reading Report Logic'!$A$2:$B$8,2,FALSE)&amp;"]")),FALSE)="","",
VLOOKUP($A444,YES_Reading_FLA[],COLUMN(INDIRECT("YES_Reading_FLA[Difference - Per "&amp;VLOOKUP($D$2,'Reading Report Logic'!$A$2:$B$8,2,FALSE)&amp;"]")),FALSE)),
IF($J$2="Combined",
IFERROR(
IF(VLOOKUP($A444, YES_Reading_ELA[], COLUMN(INDIRECT("YES_Reading_ELA[Difference - Per "&amp;VLOOKUP($D$2, 'Reading Report Logic'!$A$2:$B$8,2,FALSE)&amp;"]")), FALSE)="", "",
VLOOKUP($A444,YES_Reading_ELA[],COLUMN(INDIRECT("YES_Reading_ELA[Difference - Per "&amp;VLOOKUP($D$2,'Reading Report Logic'!$A$2:$B$8,2,FALSE)&amp;"]")),FALSE)),
IF(VLOOKUP($A444, YES_Reading_FLA[], COLUMN(INDIRECT("YES_Reading_FLA[Difference - Per "&amp;VLOOKUP($D$2, 'Reading Report Logic'!$A$2:$B$8, 2, FALSE)&amp;"]")),FALSE)="", "", VLOOKUP($A444,YES_Reading_FLA[],COLUMN(INDIRECT("YES_Reading_FLA[Difference - Per "&amp;VLOOKUP($D$2, 'Reading Report Logic'!$A$2:$B$8, 2, FALSE)&amp;"]")),FALSE))),""))),"")</f>
        <v/>
      </c>
      <c r="H444" s="206" t="str">
        <f ca="1">IFERROR(VLOOKUP('Teacher Reading Pull Sheets'!$D444,_xlfn.VSTACK('ELA Reading Logic'!$A$22:$B$48,'FLA Reading Logic'!$A$22:$B$53),2,FALSE)-VLOOKUP('Teacher Reading Pull Sheets'!$C444,_xlfn.VSTACK('ELA Reading Logic'!$A$22:$B$48,'FLA Reading Logic'!$A$22:$B$53),2,FALSE),"")</f>
        <v/>
      </c>
      <c r="I444" s="205"/>
      <c r="J444" s="206"/>
      <c r="K444" s="24" t="str" cm="1">
        <f t="array" aca="1" ref="K444" ca="1">IFERROR(
IF($J$2="ELA",
IF(VLOOKUP($A444, YES_Reading_ELA[], COLUMN(YES_Reading_ELA[Self-Identified as African Descent]), FALSE)="", "",
VLOOKUP($A444,YES_Reading_ELA[], COLUMN(YES_Reading_ELA[Self-Identified as African Descent]), FALSE)),
IF($J$2="FLA",
IF(VLOOKUP($A444, YES_Reading_FLA[], COLUMN(YES_Reading_FLA[Self-Identified as African Descent]),FALSE)="","",
VLOOKUP($A444,YES_Reading_FLA[],COLUMN(YES_Reading_FLA[Self-Identified as African Descent]),FALSE)),
IF($J$2="Combined",
IFERROR(
IF(VLOOKUP($A444, YES_Reading_ELA[], COLUMN(YES_Reading_ELA[Self-Identified as African Descent]), FALSE)="", "",
VLOOKUP($A444,YES_Reading_ELA[],COLUMN(YES_Reading_ELA[Self-Identified as African Descent]),FALSE)),
IF(VLOOKUP($A444, YES_Reading_FLA[], COLUMN(YES_Reading_FLA[Self-Identified as African Descent]),FALSE)="", "", VLOOKUP($A444,YES_Reading_FLA[],COLUMN(YES_Reading_FLA[Self-Identified as African Descent]),FALSE))),""))),"")</f>
        <v/>
      </c>
      <c r="L444" s="199" t="str" cm="1">
        <f t="array" aca="1" ref="L444" ca="1">IFERROR(
IF($J$2="ELA",
IF(VLOOKUP($A444, YES_Reading_ELA[], COLUMN(YES_Reading_ELA[Self-Identified as Indigenous]), FALSE)="", "",
VLOOKUP($A444,YES_Reading_ELA[], COLUMN(YES_Reading_ELA[Self-Identified as Indigenous]), FALSE)),
IF($J$2="FLA",
IF(VLOOKUP($A444, YES_Reading_FLA[], COLUMN(YES_Reading_FLA[Self-Identified as Indigenous]),FALSE)="","",
VLOOKUP($A444,YES_Reading_FLA[],COLUMN(YES_Reading_FLA[Self-Identified as Indigenous]),FALSE)),
IF($J$2="Combined",
IFERROR(
IF(VLOOKUP($A444, YES_Reading_ELA[], COLUMN(YES_Reading_ELA[Self-Identified as Indigenous]), FALSE)="", "",
VLOOKUP($A444,YES_Reading_ELA[],COLUMN(YES_Reading_ELA[Self-Identified as Indigenous]),FALSE)),
IF(VLOOKUP($A444, YES_Reading_FLA[], COLUMN(YES_Reading_FLA[Self-Identified as Indigenous]),FALSE)="", "", VLOOKUP($A444,YES_Reading_FLA[],COLUMN(YES_Reading_FLA[Self-Identified as Indigenous]),FALSE))),""))),"")</f>
        <v/>
      </c>
    </row>
    <row r="445" spans="1:12" ht="19.5" customHeight="1" x14ac:dyDescent="0.25">
      <c r="A445" s="217"/>
      <c r="B445" s="220" t="str">
        <f>IFERROR(VLOOKUP(A445,_xlfn.VSTACK(YES_Reading_ELA[],YES_Reading_FLA[]),2,FALSE),"")</f>
        <v/>
      </c>
      <c r="C445" s="203" t="str" cm="1">
        <f t="array" aca="1" ref="C445" ca="1">IFERROR(
IF($J$2="ELA",
IF(VLOOKUP($A445, YES_Reading_ELA[], COLUMN(IF(VLOOKUP($D$2, 'Reading Report Logic'!$A$2:$B$8, 2, FALSE)=1, YES_Reading_ELA[Reading Level June of Previous School Year], INDIRECT("YES_Reading_ELA[Instructional Reading Level - Per "&amp;(VLOOKUP($D$2,'Reading Report Logic'!$A$2:$B$8,2,FALSE)-1)&amp;"]"))), FALSE)="", "",
VLOOKUP($A445,YES_Reading_ELA[], COLUMN(IF(VLOOKUP($D$2,'Reading Report Logic'!$A$2:$B$8,2,FALSE)=1, YES_Reading_ELA[Reading Level June of Previous School Year],INDIRECT("YES_Reading_ELA[Instructional Reading Level - Per "&amp;(VLOOKUP($D$2,'Reading Report Logic'!$A$2:$B$8,2,FALSE)-1)&amp;"]"))), FALSE)),
IF($J$2="FLA",
IF(VLOOKUP($A445, YES_Reading_FLA[], COLUMN(IF(VLOOKUP($D$2,'Reading Report Logic'!$A$2:$B$8,2,FALSE)=1, YES_Reading_FLA[Reading Level June of Previous School Year],INDIRECT("YES_Reading_FLA[Instructional Reading Level - Per "&amp;(VLOOKUP($D$2,'Reading Report Logic'!$A$2:$B$8,2,FALSE)-1)&amp;"]"))),FALSE)="","",
VLOOKUP($A445,YES_Reading_FLA[], COLUMN(IF(VLOOKUP($D$2,'Reading Report Logic'!$A$2:$B$8,2,FALSE)=1, YES_Reading_FLA[Reading Level June of Previous School Year],INDIRECT("YES_Reading_FLA[Instructional Reading Level - Per "&amp;(VLOOKUP($D$2,'Reading Report Logic'!$A$2:$B$8,2,FALSE)-1)&amp;"]"))),FALSE)),
IF($J$2="Combined",
IFERROR(
IF(VLOOKUP($A445, YES_Reading_ELA[], COLUMN(IF(VLOOKUP($D$2,'Reading Report Logic'!$A$2:$B$8,2,FALSE)=1, YES_Reading_ELA[Reading Level June of Previous School Year],INDIRECT("YES_Reading_ELA[Instructional Reading Level - Per "&amp;(VLOOKUP($D$2,'Reading Report Logic'!$A$2:$B$8,2,FALSE)-1)&amp;"]"))), FALSE)="", "",
VLOOKUP($A445,YES_Reading_ELA[],COLUMN(IF(VLOOKUP($D$2,'Reading Report Logic'!$A$2:$B$8,2,FALSE)=1, YES_Reading_ELA[Reading Level June of Previous School Year],INDIRECT("YES_Reading_ELA[Instructional Reading Level - Per "&amp;(VLOOKUP($D$2,'Reading Report Logic'!$A$2:$B$8,2,FALSE)-1)&amp;"]"))),FALSE)),
IF(VLOOKUP($A445, YES_Reading_FLA[], COLUMN(IF(VLOOKUP($D$2,'Reading Report Logic'!$A$2:$B$8,2,FALSE)=1, YES_Reading_FLA[Reading Level June of Previous School Year],INDIRECT("YES_Reading_FLA[Instructional Reading Level - Per "&amp;(VLOOKUP($D$2,'Reading Report Logic'!$A$2:$B$8,2,FALSE)-1)&amp;"]"))),FALSE)="", "", VLOOKUP($A445,YES_Reading_FLA[],COLUMN(IF(VLOOKUP($D$2,'Reading Report Logic'!$A$2:$B$8,2,FALSE)=1, YES_Reading_FLA[Reading Level June of Previous School Year],INDIRECT("YES_Reading_FLA[Instructional Reading Level - Per "&amp;(VLOOKUP($D$2,'Reading Report Logic'!$A$2:$B$8,2,FALSE)-1)&amp;"]"))), FALSE))),""))),"")</f>
        <v/>
      </c>
      <c r="D445" s="204" t="str" cm="1">
        <f t="array" aca="1" ref="D445" ca="1">IFERROR(
IF($J$2="ELA",
IF(VLOOKUP($A445, YES_Reading_ELA[], COLUMN(INDIRECT("YES_Reading_ELA[Instructional Reading Level - Per "&amp;VLOOKUP($D$2, 'Reading Report Logic'!$A$2:$B$8, 2, FALSE)&amp;"]")), FALSE)="", "",
VLOOKUP($A445,YES_Reading_ELA[], COLUMN(INDIRECT("YES_Reading_ELA[Instructional Reading Level - Per "&amp;VLOOKUP($D$2,'Reading Report Logic'!$A$2:$B$8,2,FALSE)&amp;"]")), FALSE)),
IF($J$2="FLA",
IF(VLOOKUP($A445, YES_Reading_FLA[], COLUMN(INDIRECT("YES_Reading_FLA[Instructional Reading Level - Per "&amp;VLOOKUP($D$2,'Reading Report Logic'!$A$2:$B$8,2,FALSE)&amp;"]")),FALSE)="","",
VLOOKUP($A445,YES_Reading_FLA[],COLUMN(INDIRECT("YES_Reading_FLA[Instructional Reading Level - Per "&amp;VLOOKUP($D$2,'Reading Report Logic'!$A$2:$B$8,2,FALSE)&amp;"]")),FALSE)),
IF($J$2="Combined",
IFERROR(
IF(VLOOKUP($A445, YES_Reading_ELA[], COLUMN(INDIRECT("YES_Reading_ELA[Instructional Reading Level - Per "&amp;VLOOKUP($D$2, 'Reading Report Logic'!$A$2:$B$8,2,FALSE)&amp;"]")), FALSE)="", "",
VLOOKUP($A445,YES_Reading_ELA[],COLUMN(INDIRECT("YES_Reading_ELA[Instructional Reading Level - Per "&amp;VLOOKUP($D$2,'Reading Report Logic'!$A$2:$B$8,2,FALSE)&amp;"]")),FALSE)),
IF(VLOOKUP($A445, YES_Reading_FLA[], COLUMN(INDIRECT("YES_Reading_FLA[Instructional Reading Level - Per "&amp;VLOOKUP($D$2, 'Reading Report Logic'!$A$2:$B$8, 2, FALSE)&amp;"]")),FALSE)="", "", VLOOKUP($A445,YES_Reading_FLA[],COLUMN(INDIRECT("YES_Reading_FLA[Instructional Reading Level - Per "&amp;VLOOKUP($D$2, 'Reading Report Logic'!$A$2:$B$8, 2, FALSE)&amp;"]")),FALSE))),""))),"")</f>
        <v/>
      </c>
      <c r="E445" s="205" t="str" cm="1">
        <f t="array" aca="1" ref="E445" ca="1">IFERROR(
IF($J$2="ELA",
IF(VLOOKUP($A445, YES_Reading_ELA[], COLUMN(INDIRECT("YES_Reading_ELA[Min Expectation - Per "&amp;VLOOKUP($D$2, 'Reading Report Logic'!$A$2:$B$8, 2, FALSE)&amp;"]")), FALSE)="", "",
VLOOKUP($A445,YES_Reading_ELA[], COLUMN(INDIRECT("YES_Reading_ELA[Min Expectation - Per "&amp;VLOOKUP($D$2,'Reading Report Logic'!$A$2:$B$8,2,FALSE)&amp;"]")), FALSE)),
IF($J$2="FLA",
IF(VLOOKUP($A445, YES_Reading_FLA[], COLUMN(INDIRECT("YES_Reading_FLA[Min Expectation - Per "&amp;VLOOKUP($D$2,'Reading Report Logic'!$A$2:$B$8,2,FALSE)&amp;"]")),FALSE)="","",
VLOOKUP($A445,YES_Reading_FLA[],COLUMN(INDIRECT("YES_Reading_FLA[Min Expectation - Per "&amp;VLOOKUP($D$2,'Reading Report Logic'!$A$2:$B$8,2,FALSE)&amp;"]")),FALSE)),
IF($J$2="Combined",
IFERROR(
IF(VLOOKUP($A445, YES_Reading_ELA[], COLUMN(INDIRECT("YES_Reading_ELA[Min Expectation - Per "&amp;VLOOKUP($D$2, 'Reading Report Logic'!$A$2:$B$8,2,FALSE)&amp;"]")), FALSE)="", "",
VLOOKUP($A445,YES_Reading_ELA[],COLUMN(INDIRECT("YES_Reading_ELA[Min Expectation - Per "&amp;VLOOKUP($D$2,'Reading Report Logic'!$A$2:$B$8,2,FALSE)&amp;"]")),FALSE)),
IF(VLOOKUP($A445, YES_Reading_FLA[], COLUMN(INDIRECT("YES_Reading_FLA[Min Expectation - Per "&amp;VLOOKUP($D$2, 'Reading Report Logic'!$A$2:$B$8, 2, FALSE)&amp;"]")),FALSE)="", "", VLOOKUP($A445,YES_Reading_FLA[],COLUMN(INDIRECT("YES_Reading_FLA[Min Expectation - Per "&amp;VLOOKUP($D$2, 'Reading Report Logic'!$A$2:$B$8, 2, FALSE)&amp;"]")),FALSE))),""))),"")</f>
        <v/>
      </c>
      <c r="F445" s="205" t="str" cm="1">
        <f t="array" aca="1" ref="F445" ca="1">IFERROR(
IF($J$2="ELA",
IF(VLOOKUP($A445, YES_Reading_ELA[], COLUMN(INDIRECT("YES_Reading_ELA[Max Expectation - Per "&amp;VLOOKUP($D$2, 'Reading Report Logic'!$A$2:$B$8, 2, FALSE)&amp;"]")), FALSE)="", "",
VLOOKUP($A445,YES_Reading_ELA[], COLUMN(INDIRECT("YES_Reading_ELA[Max Expectation - Per "&amp;VLOOKUP($D$2,'Reading Report Logic'!$A$2:$B$8,2,FALSE)&amp;"]")), FALSE)),
IF($J$2="FLA",
IF(VLOOKUP($A445, YES_Reading_FLA[], COLUMN(INDIRECT("YES_Reading_FLA[Max Expectation - Per "&amp;VLOOKUP($D$2,'Reading Report Logic'!$A$2:$B$8,2,FALSE)&amp;"]")),FALSE)="","",
VLOOKUP($A445,YES_Reading_FLA[],COLUMN(INDIRECT("YES_Reading_FLA[Max Expectation - Per "&amp;VLOOKUP($D$2,'Reading Report Logic'!$A$2:$B$8,2,FALSE)&amp;"]")),FALSE)),
IF($J$2="Combined",
IFERROR(
IF(VLOOKUP($A445, YES_Reading_ELA[], COLUMN(INDIRECT("YES_Reading_ELA[Max Expectation - Per "&amp;VLOOKUP($D$2, 'Reading Report Logic'!$A$2:$B$8,2,FALSE)&amp;"]")), FALSE)="", "",
VLOOKUP($A445,YES_Reading_ELA[],COLUMN(INDIRECT("YES_Reading_ELA[Max Expectation - Per "&amp;VLOOKUP($D$2,'Reading Report Logic'!$A$2:$B$8,2,FALSE)&amp;"]")),FALSE)),
IF(VLOOKUP($A445, YES_Reading_FLA[], COLUMN(INDIRECT("YES_Reading_FLA[Max Expectation - Per "&amp;VLOOKUP($D$2, 'Reading Report Logic'!$A$2:$B$8, 2, FALSE)&amp;"]")),FALSE)="", "", VLOOKUP($A445,YES_Reading_FLA[],COLUMN(INDIRECT("YES_Reading_FLA[Max Expectation - Per "&amp;VLOOKUP($D$2, 'Reading Report Logic'!$A$2:$B$8, 2, FALSE)&amp;"]")),FALSE))),""))),"")</f>
        <v/>
      </c>
      <c r="G445" s="205" t="str" cm="1">
        <f t="array" aca="1" ref="G445" ca="1">IFERROR(
IF($J$2="ELA",
IF(VLOOKUP($A445, YES_Reading_ELA[], COLUMN(INDIRECT("YES_Reading_ELA[Difference - Per "&amp;VLOOKUP($D$2, 'Reading Report Logic'!$A$2:$B$8, 2, FALSE)&amp;"]")), FALSE)="", "",
VLOOKUP($A445,YES_Reading_ELA[], COLUMN(INDIRECT("YES_Reading_ELA[Difference - Per "&amp;VLOOKUP($D$2,'Reading Report Logic'!$A$2:$B$8,2,FALSE)&amp;"]")), FALSE)),
IF($J$2="FLA",
IF(VLOOKUP($A445, YES_Reading_FLA[], COLUMN(INDIRECT("YES_Reading_FLA[Difference - Per "&amp;VLOOKUP($D$2,'Reading Report Logic'!$A$2:$B$8,2,FALSE)&amp;"]")),FALSE)="","",
VLOOKUP($A445,YES_Reading_FLA[],COLUMN(INDIRECT("YES_Reading_FLA[Difference - Per "&amp;VLOOKUP($D$2,'Reading Report Logic'!$A$2:$B$8,2,FALSE)&amp;"]")),FALSE)),
IF($J$2="Combined",
IFERROR(
IF(VLOOKUP($A445, YES_Reading_ELA[], COLUMN(INDIRECT("YES_Reading_ELA[Difference - Per "&amp;VLOOKUP($D$2, 'Reading Report Logic'!$A$2:$B$8,2,FALSE)&amp;"]")), FALSE)="", "",
VLOOKUP($A445,YES_Reading_ELA[],COLUMN(INDIRECT("YES_Reading_ELA[Difference - Per "&amp;VLOOKUP($D$2,'Reading Report Logic'!$A$2:$B$8,2,FALSE)&amp;"]")),FALSE)),
IF(VLOOKUP($A445, YES_Reading_FLA[], COLUMN(INDIRECT("YES_Reading_FLA[Difference - Per "&amp;VLOOKUP($D$2, 'Reading Report Logic'!$A$2:$B$8, 2, FALSE)&amp;"]")),FALSE)="", "", VLOOKUP($A445,YES_Reading_FLA[],COLUMN(INDIRECT("YES_Reading_FLA[Difference - Per "&amp;VLOOKUP($D$2, 'Reading Report Logic'!$A$2:$B$8, 2, FALSE)&amp;"]")),FALSE))),""))),"")</f>
        <v/>
      </c>
      <c r="H445" s="206" t="str">
        <f ca="1">IFERROR(VLOOKUP('Teacher Reading Pull Sheets'!$D445,_xlfn.VSTACK('ELA Reading Logic'!$A$22:$B$48,'FLA Reading Logic'!$A$22:$B$53),2,FALSE)-VLOOKUP('Teacher Reading Pull Sheets'!$C445,_xlfn.VSTACK('ELA Reading Logic'!$A$22:$B$48,'FLA Reading Logic'!$A$22:$B$53),2,FALSE),"")</f>
        <v/>
      </c>
      <c r="I445" s="212"/>
      <c r="J445" s="206"/>
      <c r="K445" s="197" t="str" cm="1">
        <f t="array" ref="K445">IFERROR(
IF($J$2="ELA",
IF(VLOOKUP($A445, YES_Reading_ELA[], COLUMN(YES_Reading_ELA[Self-Identified as African Descent]), FALSE)="", "",
VLOOKUP($A445,YES_Reading_ELA[], COLUMN(YES_Reading_ELA[Self-Identified as African Descent]), FALSE)),
IF($J$2="FLA",
IF(VLOOKUP($A445, YES_Reading_FLA[], COLUMN(YES_Reading_FLA[Self-Identified as African Descent]),FALSE)="","",
VLOOKUP($A445,YES_Reading_FLA[],COLUMN(YES_Reading_FLA[Self-Identified as African Descent]),FALSE)),
IF($J$2="Combined",
IFERROR(
IF(VLOOKUP($A445, YES_Reading_ELA[], COLUMN(YES_Reading_ELA[Self-Identified as African Descent]), FALSE)="", "",
VLOOKUP($A445,YES_Reading_ELA[],COLUMN(YES_Reading_ELA[Self-Identified as African Descent]),FALSE)),
IF(VLOOKUP($A445, YES_Reading_FLA[], COLUMN(YES_Reading_FLA[Self-Identified as African Descent]),FALSE)="", "", VLOOKUP($A445,YES_Reading_FLA[],COLUMN(YES_Reading_FLA[Self-Identified as African Descent]),FALSE))),""))),"")</f>
        <v/>
      </c>
      <c r="L445" s="73" t="str" cm="1">
        <f t="array" ref="L445">IFERROR(
IF($J$2="ELA",
IF(VLOOKUP($A445, YES_Reading_ELA[], COLUMN(YES_Reading_ELA[Self-Identified as Indigenous]), FALSE)="", "",
VLOOKUP($A445,YES_Reading_ELA[], COLUMN(YES_Reading_ELA[Self-Identified as Indigenous]), FALSE)),
IF($J$2="FLA",
IF(VLOOKUP($A445, YES_Reading_FLA[], COLUMN(YES_Reading_FLA[Self-Identified as Indigenous]),FALSE)="","",
VLOOKUP($A445,YES_Reading_FLA[],COLUMN(YES_Reading_FLA[Self-Identified as Indigenous]),FALSE)),
IF($J$2="Combined",
IFERROR(
IF(VLOOKUP($A445, YES_Reading_ELA[], COLUMN(YES_Reading_ELA[Self-Identified as Indigenous]), FALSE)="", "",
VLOOKUP($A445,YES_Reading_ELA[],COLUMN(YES_Reading_ELA[Self-Identified as Indigenous]),FALSE)),
IF(VLOOKUP($A445, YES_Reading_FLA[], COLUMN(YES_Reading_FLA[Self-Identified as Indigenous]),FALSE)="", "", VLOOKUP($A445,YES_Reading_FLA[],COLUMN(YES_Reading_FLA[Self-Identified as Indigenous]),FALSE))),""))),"")</f>
        <v/>
      </c>
    </row>
    <row r="446" spans="1:12" ht="19.5" customHeight="1" x14ac:dyDescent="0.25">
      <c r="A446" s="217"/>
      <c r="B446" s="220" t="str">
        <f>IFERROR(VLOOKUP(A446,_xlfn.VSTACK(YES_Reading_ELA[],YES_Reading_FLA[]),2,FALSE),"")</f>
        <v/>
      </c>
      <c r="C446" s="203" t="str" cm="1">
        <f t="array" aca="1" ref="C446" ca="1">IFERROR(
IF($J$2="ELA",
IF(VLOOKUP($A446, YES_Reading_ELA[], COLUMN(IF(VLOOKUP($D$2, 'Reading Report Logic'!$A$2:$B$8, 2, FALSE)=1, YES_Reading_ELA[Reading Level June of Previous School Year], INDIRECT("YES_Reading_ELA[Instructional Reading Level - Per "&amp;(VLOOKUP($D$2,'Reading Report Logic'!$A$2:$B$8,2,FALSE)-1)&amp;"]"))), FALSE)="", "",
VLOOKUP($A446,YES_Reading_ELA[], COLUMN(IF(VLOOKUP($D$2,'Reading Report Logic'!$A$2:$B$8,2,FALSE)=1, YES_Reading_ELA[Reading Level June of Previous School Year],INDIRECT("YES_Reading_ELA[Instructional Reading Level - Per "&amp;(VLOOKUP($D$2,'Reading Report Logic'!$A$2:$B$8,2,FALSE)-1)&amp;"]"))), FALSE)),
IF($J$2="FLA",
IF(VLOOKUP($A446, YES_Reading_FLA[], COLUMN(IF(VLOOKUP($D$2,'Reading Report Logic'!$A$2:$B$8,2,FALSE)=1, YES_Reading_FLA[Reading Level June of Previous School Year],INDIRECT("YES_Reading_FLA[Instructional Reading Level - Per "&amp;(VLOOKUP($D$2,'Reading Report Logic'!$A$2:$B$8,2,FALSE)-1)&amp;"]"))),FALSE)="","",
VLOOKUP($A446,YES_Reading_FLA[], COLUMN(IF(VLOOKUP($D$2,'Reading Report Logic'!$A$2:$B$8,2,FALSE)=1, YES_Reading_FLA[Reading Level June of Previous School Year],INDIRECT("YES_Reading_FLA[Instructional Reading Level - Per "&amp;(VLOOKUP($D$2,'Reading Report Logic'!$A$2:$B$8,2,FALSE)-1)&amp;"]"))),FALSE)),
IF($J$2="Combined",
IFERROR(
IF(VLOOKUP($A446, YES_Reading_ELA[], COLUMN(IF(VLOOKUP($D$2,'Reading Report Logic'!$A$2:$B$8,2,FALSE)=1, YES_Reading_ELA[Reading Level June of Previous School Year],INDIRECT("YES_Reading_ELA[Instructional Reading Level - Per "&amp;(VLOOKUP($D$2,'Reading Report Logic'!$A$2:$B$8,2,FALSE)-1)&amp;"]"))), FALSE)="", "",
VLOOKUP($A446,YES_Reading_ELA[],COLUMN(IF(VLOOKUP($D$2,'Reading Report Logic'!$A$2:$B$8,2,FALSE)=1, YES_Reading_ELA[Reading Level June of Previous School Year],INDIRECT("YES_Reading_ELA[Instructional Reading Level - Per "&amp;(VLOOKUP($D$2,'Reading Report Logic'!$A$2:$B$8,2,FALSE)-1)&amp;"]"))),FALSE)),
IF(VLOOKUP($A446, YES_Reading_FLA[], COLUMN(IF(VLOOKUP($D$2,'Reading Report Logic'!$A$2:$B$8,2,FALSE)=1, YES_Reading_FLA[Reading Level June of Previous School Year],INDIRECT("YES_Reading_FLA[Instructional Reading Level - Per "&amp;(VLOOKUP($D$2,'Reading Report Logic'!$A$2:$B$8,2,FALSE)-1)&amp;"]"))),FALSE)="", "", VLOOKUP($A446,YES_Reading_FLA[],COLUMN(IF(VLOOKUP($D$2,'Reading Report Logic'!$A$2:$B$8,2,FALSE)=1, YES_Reading_FLA[Reading Level June of Previous School Year],INDIRECT("YES_Reading_FLA[Instructional Reading Level - Per "&amp;(VLOOKUP($D$2,'Reading Report Logic'!$A$2:$B$8,2,FALSE)-1)&amp;"]"))), FALSE))),""))),"")</f>
        <v/>
      </c>
      <c r="D446" s="204" t="str" cm="1">
        <f t="array" aca="1" ref="D446" ca="1">IFERROR(
IF($J$2="ELA",
IF(VLOOKUP($A446, YES_Reading_ELA[], COLUMN(INDIRECT("YES_Reading_ELA[Instructional Reading Level - Per "&amp;VLOOKUP($D$2, 'Reading Report Logic'!$A$2:$B$8, 2, FALSE)&amp;"]")), FALSE)="", "",
VLOOKUP($A446,YES_Reading_ELA[], COLUMN(INDIRECT("YES_Reading_ELA[Instructional Reading Level - Per "&amp;VLOOKUP($D$2,'Reading Report Logic'!$A$2:$B$8,2,FALSE)&amp;"]")), FALSE)),
IF($J$2="FLA",
IF(VLOOKUP($A446, YES_Reading_FLA[], COLUMN(INDIRECT("YES_Reading_FLA[Instructional Reading Level - Per "&amp;VLOOKUP($D$2,'Reading Report Logic'!$A$2:$B$8,2,FALSE)&amp;"]")),FALSE)="","",
VLOOKUP($A446,YES_Reading_FLA[],COLUMN(INDIRECT("YES_Reading_FLA[Instructional Reading Level - Per "&amp;VLOOKUP($D$2,'Reading Report Logic'!$A$2:$B$8,2,FALSE)&amp;"]")),FALSE)),
IF($J$2="Combined",
IFERROR(
IF(VLOOKUP($A446, YES_Reading_ELA[], COLUMN(INDIRECT("YES_Reading_ELA[Instructional Reading Level - Per "&amp;VLOOKUP($D$2, 'Reading Report Logic'!$A$2:$B$8,2,FALSE)&amp;"]")), FALSE)="", "",
VLOOKUP($A446,YES_Reading_ELA[],COLUMN(INDIRECT("YES_Reading_ELA[Instructional Reading Level - Per "&amp;VLOOKUP($D$2,'Reading Report Logic'!$A$2:$B$8,2,FALSE)&amp;"]")),FALSE)),
IF(VLOOKUP($A446, YES_Reading_FLA[], COLUMN(INDIRECT("YES_Reading_FLA[Instructional Reading Level - Per "&amp;VLOOKUP($D$2, 'Reading Report Logic'!$A$2:$B$8, 2, FALSE)&amp;"]")),FALSE)="", "", VLOOKUP($A446,YES_Reading_FLA[],COLUMN(INDIRECT("YES_Reading_FLA[Instructional Reading Level - Per "&amp;VLOOKUP($D$2, 'Reading Report Logic'!$A$2:$B$8, 2, FALSE)&amp;"]")),FALSE))),""))),"")</f>
        <v/>
      </c>
      <c r="E446" s="205" t="str" cm="1">
        <f t="array" aca="1" ref="E446" ca="1">IFERROR(
IF($J$2="ELA",
IF(VLOOKUP($A446, YES_Reading_ELA[], COLUMN(INDIRECT("YES_Reading_ELA[Min Expectation - Per "&amp;VLOOKUP($D$2, 'Reading Report Logic'!$A$2:$B$8, 2, FALSE)&amp;"]")), FALSE)="", "",
VLOOKUP($A446,YES_Reading_ELA[], COLUMN(INDIRECT("YES_Reading_ELA[Min Expectation - Per "&amp;VLOOKUP($D$2,'Reading Report Logic'!$A$2:$B$8,2,FALSE)&amp;"]")), FALSE)),
IF($J$2="FLA",
IF(VLOOKUP($A446, YES_Reading_FLA[], COLUMN(INDIRECT("YES_Reading_FLA[Min Expectation - Per "&amp;VLOOKUP($D$2,'Reading Report Logic'!$A$2:$B$8,2,FALSE)&amp;"]")),FALSE)="","",
VLOOKUP($A446,YES_Reading_FLA[],COLUMN(INDIRECT("YES_Reading_FLA[Min Expectation - Per "&amp;VLOOKUP($D$2,'Reading Report Logic'!$A$2:$B$8,2,FALSE)&amp;"]")),FALSE)),
IF($J$2="Combined",
IFERROR(
IF(VLOOKUP($A446, YES_Reading_ELA[], COLUMN(INDIRECT("YES_Reading_ELA[Min Expectation - Per "&amp;VLOOKUP($D$2, 'Reading Report Logic'!$A$2:$B$8,2,FALSE)&amp;"]")), FALSE)="", "",
VLOOKUP($A446,YES_Reading_ELA[],COLUMN(INDIRECT("YES_Reading_ELA[Min Expectation - Per "&amp;VLOOKUP($D$2,'Reading Report Logic'!$A$2:$B$8,2,FALSE)&amp;"]")),FALSE)),
IF(VLOOKUP($A446, YES_Reading_FLA[], COLUMN(INDIRECT("YES_Reading_FLA[Min Expectation - Per "&amp;VLOOKUP($D$2, 'Reading Report Logic'!$A$2:$B$8, 2, FALSE)&amp;"]")),FALSE)="", "", VLOOKUP($A446,YES_Reading_FLA[],COLUMN(INDIRECT("YES_Reading_FLA[Min Expectation - Per "&amp;VLOOKUP($D$2, 'Reading Report Logic'!$A$2:$B$8, 2, FALSE)&amp;"]")),FALSE))),""))),"")</f>
        <v/>
      </c>
      <c r="F446" s="205" t="str" cm="1">
        <f t="array" aca="1" ref="F446" ca="1">IFERROR(
IF($J$2="ELA",
IF(VLOOKUP($A446, YES_Reading_ELA[], COLUMN(INDIRECT("YES_Reading_ELA[Max Expectation - Per "&amp;VLOOKUP($D$2, 'Reading Report Logic'!$A$2:$B$8, 2, FALSE)&amp;"]")), FALSE)="", "",
VLOOKUP($A446,YES_Reading_ELA[], COLUMN(INDIRECT("YES_Reading_ELA[Max Expectation - Per "&amp;VLOOKUP($D$2,'Reading Report Logic'!$A$2:$B$8,2,FALSE)&amp;"]")), FALSE)),
IF($J$2="FLA",
IF(VLOOKUP($A446, YES_Reading_FLA[], COLUMN(INDIRECT("YES_Reading_FLA[Max Expectation - Per "&amp;VLOOKUP($D$2,'Reading Report Logic'!$A$2:$B$8,2,FALSE)&amp;"]")),FALSE)="","",
VLOOKUP($A446,YES_Reading_FLA[],COLUMN(INDIRECT("YES_Reading_FLA[Max Expectation - Per "&amp;VLOOKUP($D$2,'Reading Report Logic'!$A$2:$B$8,2,FALSE)&amp;"]")),FALSE)),
IF($J$2="Combined",
IFERROR(
IF(VLOOKUP($A446, YES_Reading_ELA[], COLUMN(INDIRECT("YES_Reading_ELA[Max Expectation - Per "&amp;VLOOKUP($D$2, 'Reading Report Logic'!$A$2:$B$8,2,FALSE)&amp;"]")), FALSE)="", "",
VLOOKUP($A446,YES_Reading_ELA[],COLUMN(INDIRECT("YES_Reading_ELA[Max Expectation - Per "&amp;VLOOKUP($D$2,'Reading Report Logic'!$A$2:$B$8,2,FALSE)&amp;"]")),FALSE)),
IF(VLOOKUP($A446, YES_Reading_FLA[], COLUMN(INDIRECT("YES_Reading_FLA[Max Expectation - Per "&amp;VLOOKUP($D$2, 'Reading Report Logic'!$A$2:$B$8, 2, FALSE)&amp;"]")),FALSE)="", "", VLOOKUP($A446,YES_Reading_FLA[],COLUMN(INDIRECT("YES_Reading_FLA[Max Expectation - Per "&amp;VLOOKUP($D$2, 'Reading Report Logic'!$A$2:$B$8, 2, FALSE)&amp;"]")),FALSE))),""))),"")</f>
        <v/>
      </c>
      <c r="G446" s="205" t="str" cm="1">
        <f t="array" aca="1" ref="G446" ca="1">IFERROR(
IF($J$2="ELA",
IF(VLOOKUP($A446, YES_Reading_ELA[], COLUMN(INDIRECT("YES_Reading_ELA[Difference - Per "&amp;VLOOKUP($D$2, 'Reading Report Logic'!$A$2:$B$8, 2, FALSE)&amp;"]")), FALSE)="", "",
VLOOKUP($A446,YES_Reading_ELA[], COLUMN(INDIRECT("YES_Reading_ELA[Difference - Per "&amp;VLOOKUP($D$2,'Reading Report Logic'!$A$2:$B$8,2,FALSE)&amp;"]")), FALSE)),
IF($J$2="FLA",
IF(VLOOKUP($A446, YES_Reading_FLA[], COLUMN(INDIRECT("YES_Reading_FLA[Difference - Per "&amp;VLOOKUP($D$2,'Reading Report Logic'!$A$2:$B$8,2,FALSE)&amp;"]")),FALSE)="","",
VLOOKUP($A446,YES_Reading_FLA[],COLUMN(INDIRECT("YES_Reading_FLA[Difference - Per "&amp;VLOOKUP($D$2,'Reading Report Logic'!$A$2:$B$8,2,FALSE)&amp;"]")),FALSE)),
IF($J$2="Combined",
IFERROR(
IF(VLOOKUP($A446, YES_Reading_ELA[], COLUMN(INDIRECT("YES_Reading_ELA[Difference - Per "&amp;VLOOKUP($D$2, 'Reading Report Logic'!$A$2:$B$8,2,FALSE)&amp;"]")), FALSE)="", "",
VLOOKUP($A446,YES_Reading_ELA[],COLUMN(INDIRECT("YES_Reading_ELA[Difference - Per "&amp;VLOOKUP($D$2,'Reading Report Logic'!$A$2:$B$8,2,FALSE)&amp;"]")),FALSE)),
IF(VLOOKUP($A446, YES_Reading_FLA[], COLUMN(INDIRECT("YES_Reading_FLA[Difference - Per "&amp;VLOOKUP($D$2, 'Reading Report Logic'!$A$2:$B$8, 2, FALSE)&amp;"]")),FALSE)="", "", VLOOKUP($A446,YES_Reading_FLA[],COLUMN(INDIRECT("YES_Reading_FLA[Difference - Per "&amp;VLOOKUP($D$2, 'Reading Report Logic'!$A$2:$B$8, 2, FALSE)&amp;"]")),FALSE))),""))),"")</f>
        <v/>
      </c>
      <c r="H446" s="206" t="str">
        <f ca="1">IFERROR(VLOOKUP('Teacher Reading Pull Sheets'!$D446,_xlfn.VSTACK('ELA Reading Logic'!$A$22:$B$48,'FLA Reading Logic'!$A$22:$B$53),2,FALSE)-VLOOKUP('Teacher Reading Pull Sheets'!$C446,_xlfn.VSTACK('ELA Reading Logic'!$A$22:$B$48,'FLA Reading Logic'!$A$22:$B$53),2,FALSE),"")</f>
        <v/>
      </c>
      <c r="I446" s="212"/>
      <c r="J446" s="206"/>
      <c r="K446" s="197" t="str" cm="1">
        <f t="array" ref="K446">IFERROR(
IF($J$2="ELA",
IF(VLOOKUP($A446, YES_Reading_ELA[], COLUMN(YES_Reading_ELA[Self-Identified as African Descent]), FALSE)="", "",
VLOOKUP($A446,YES_Reading_ELA[], COLUMN(YES_Reading_ELA[Self-Identified as African Descent]), FALSE)),
IF($J$2="FLA",
IF(VLOOKUP($A446, YES_Reading_FLA[], COLUMN(YES_Reading_FLA[Self-Identified as African Descent]),FALSE)="","",
VLOOKUP($A446,YES_Reading_FLA[],COLUMN(YES_Reading_FLA[Self-Identified as African Descent]),FALSE)),
IF($J$2="Combined",
IFERROR(
IF(VLOOKUP($A446, YES_Reading_ELA[], COLUMN(YES_Reading_ELA[Self-Identified as African Descent]), FALSE)="", "",
VLOOKUP($A446,YES_Reading_ELA[],COLUMN(YES_Reading_ELA[Self-Identified as African Descent]),FALSE)),
IF(VLOOKUP($A446, YES_Reading_FLA[], COLUMN(YES_Reading_FLA[Self-Identified as African Descent]),FALSE)="", "", VLOOKUP($A446,YES_Reading_FLA[],COLUMN(YES_Reading_FLA[Self-Identified as African Descent]),FALSE))),""))),"")</f>
        <v/>
      </c>
      <c r="L446" s="73" t="str" cm="1">
        <f t="array" ref="L446">IFERROR(
IF($J$2="ELA",
IF(VLOOKUP($A446, YES_Reading_ELA[], COLUMN(YES_Reading_ELA[Self-Identified as Indigenous]), FALSE)="", "",
VLOOKUP($A446,YES_Reading_ELA[], COLUMN(YES_Reading_ELA[Self-Identified as Indigenous]), FALSE)),
IF($J$2="FLA",
IF(VLOOKUP($A446, YES_Reading_FLA[], COLUMN(YES_Reading_FLA[Self-Identified as Indigenous]),FALSE)="","",
VLOOKUP($A446,YES_Reading_FLA[],COLUMN(YES_Reading_FLA[Self-Identified as Indigenous]),FALSE)),
IF($J$2="Combined",
IFERROR(
IF(VLOOKUP($A446, YES_Reading_ELA[], COLUMN(YES_Reading_ELA[Self-Identified as Indigenous]), FALSE)="", "",
VLOOKUP($A446,YES_Reading_ELA[],COLUMN(YES_Reading_ELA[Self-Identified as Indigenous]),FALSE)),
IF(VLOOKUP($A446, YES_Reading_FLA[], COLUMN(YES_Reading_FLA[Self-Identified as Indigenous]),FALSE)="", "", VLOOKUP($A446,YES_Reading_FLA[],COLUMN(YES_Reading_FLA[Self-Identified as Indigenous]),FALSE))),""))),"")</f>
        <v/>
      </c>
    </row>
    <row r="447" spans="1:12" ht="19.5" customHeight="1" x14ac:dyDescent="0.25">
      <c r="A447" s="217"/>
      <c r="B447" s="220" t="str">
        <f>IFERROR(VLOOKUP(A447,_xlfn.VSTACK(YES_Reading_ELA[],YES_Reading_FLA[]),2,FALSE),"")</f>
        <v/>
      </c>
      <c r="C447" s="203" t="str" cm="1">
        <f t="array" aca="1" ref="C447" ca="1">IFERROR(
IF($J$2="ELA",
IF(VLOOKUP($A447, YES_Reading_ELA[], COLUMN(IF(VLOOKUP($D$2, 'Reading Report Logic'!$A$2:$B$8, 2, FALSE)=1, YES_Reading_ELA[Reading Level June of Previous School Year], INDIRECT("YES_Reading_ELA[Instructional Reading Level - Per "&amp;(VLOOKUP($D$2,'Reading Report Logic'!$A$2:$B$8,2,FALSE)-1)&amp;"]"))), FALSE)="", "",
VLOOKUP($A447,YES_Reading_ELA[], COLUMN(IF(VLOOKUP($D$2,'Reading Report Logic'!$A$2:$B$8,2,FALSE)=1, YES_Reading_ELA[Reading Level June of Previous School Year],INDIRECT("YES_Reading_ELA[Instructional Reading Level - Per "&amp;(VLOOKUP($D$2,'Reading Report Logic'!$A$2:$B$8,2,FALSE)-1)&amp;"]"))), FALSE)),
IF($J$2="FLA",
IF(VLOOKUP($A447, YES_Reading_FLA[], COLUMN(IF(VLOOKUP($D$2,'Reading Report Logic'!$A$2:$B$8,2,FALSE)=1, YES_Reading_FLA[Reading Level June of Previous School Year],INDIRECT("YES_Reading_FLA[Instructional Reading Level - Per "&amp;(VLOOKUP($D$2,'Reading Report Logic'!$A$2:$B$8,2,FALSE)-1)&amp;"]"))),FALSE)="","",
VLOOKUP($A447,YES_Reading_FLA[], COLUMN(IF(VLOOKUP($D$2,'Reading Report Logic'!$A$2:$B$8,2,FALSE)=1, YES_Reading_FLA[Reading Level June of Previous School Year],INDIRECT("YES_Reading_FLA[Instructional Reading Level - Per "&amp;(VLOOKUP($D$2,'Reading Report Logic'!$A$2:$B$8,2,FALSE)-1)&amp;"]"))),FALSE)),
IF($J$2="Combined",
IFERROR(
IF(VLOOKUP($A447, YES_Reading_ELA[], COLUMN(IF(VLOOKUP($D$2,'Reading Report Logic'!$A$2:$B$8,2,FALSE)=1, YES_Reading_ELA[Reading Level June of Previous School Year],INDIRECT("YES_Reading_ELA[Instructional Reading Level - Per "&amp;(VLOOKUP($D$2,'Reading Report Logic'!$A$2:$B$8,2,FALSE)-1)&amp;"]"))), FALSE)="", "",
VLOOKUP($A447,YES_Reading_ELA[],COLUMN(IF(VLOOKUP($D$2,'Reading Report Logic'!$A$2:$B$8,2,FALSE)=1, YES_Reading_ELA[Reading Level June of Previous School Year],INDIRECT("YES_Reading_ELA[Instructional Reading Level - Per "&amp;(VLOOKUP($D$2,'Reading Report Logic'!$A$2:$B$8,2,FALSE)-1)&amp;"]"))),FALSE)),
IF(VLOOKUP($A447, YES_Reading_FLA[], COLUMN(IF(VLOOKUP($D$2,'Reading Report Logic'!$A$2:$B$8,2,FALSE)=1, YES_Reading_FLA[Reading Level June of Previous School Year],INDIRECT("YES_Reading_FLA[Instructional Reading Level - Per "&amp;(VLOOKUP($D$2,'Reading Report Logic'!$A$2:$B$8,2,FALSE)-1)&amp;"]"))),FALSE)="", "", VLOOKUP($A447,YES_Reading_FLA[],COLUMN(IF(VLOOKUP($D$2,'Reading Report Logic'!$A$2:$B$8,2,FALSE)=1, YES_Reading_FLA[Reading Level June of Previous School Year],INDIRECT("YES_Reading_FLA[Instructional Reading Level - Per "&amp;(VLOOKUP($D$2,'Reading Report Logic'!$A$2:$B$8,2,FALSE)-1)&amp;"]"))), FALSE))),""))),"")</f>
        <v/>
      </c>
      <c r="D447" s="204" t="str" cm="1">
        <f t="array" aca="1" ref="D447" ca="1">IFERROR(
IF($J$2="ELA",
IF(VLOOKUP($A447, YES_Reading_ELA[], COLUMN(INDIRECT("YES_Reading_ELA[Instructional Reading Level - Per "&amp;VLOOKUP($D$2, 'Reading Report Logic'!$A$2:$B$8, 2, FALSE)&amp;"]")), FALSE)="", "",
VLOOKUP($A447,YES_Reading_ELA[], COLUMN(INDIRECT("YES_Reading_ELA[Instructional Reading Level - Per "&amp;VLOOKUP($D$2,'Reading Report Logic'!$A$2:$B$8,2,FALSE)&amp;"]")), FALSE)),
IF($J$2="FLA",
IF(VLOOKUP($A447, YES_Reading_FLA[], COLUMN(INDIRECT("YES_Reading_FLA[Instructional Reading Level - Per "&amp;VLOOKUP($D$2,'Reading Report Logic'!$A$2:$B$8,2,FALSE)&amp;"]")),FALSE)="","",
VLOOKUP($A447,YES_Reading_FLA[],COLUMN(INDIRECT("YES_Reading_FLA[Instructional Reading Level - Per "&amp;VLOOKUP($D$2,'Reading Report Logic'!$A$2:$B$8,2,FALSE)&amp;"]")),FALSE)),
IF($J$2="Combined",
IFERROR(
IF(VLOOKUP($A447, YES_Reading_ELA[], COLUMN(INDIRECT("YES_Reading_ELA[Instructional Reading Level - Per "&amp;VLOOKUP($D$2, 'Reading Report Logic'!$A$2:$B$8,2,FALSE)&amp;"]")), FALSE)="", "",
VLOOKUP($A447,YES_Reading_ELA[],COLUMN(INDIRECT("YES_Reading_ELA[Instructional Reading Level - Per "&amp;VLOOKUP($D$2,'Reading Report Logic'!$A$2:$B$8,2,FALSE)&amp;"]")),FALSE)),
IF(VLOOKUP($A447, YES_Reading_FLA[], COLUMN(INDIRECT("YES_Reading_FLA[Instructional Reading Level - Per "&amp;VLOOKUP($D$2, 'Reading Report Logic'!$A$2:$B$8, 2, FALSE)&amp;"]")),FALSE)="", "", VLOOKUP($A447,YES_Reading_FLA[],COLUMN(INDIRECT("YES_Reading_FLA[Instructional Reading Level - Per "&amp;VLOOKUP($D$2, 'Reading Report Logic'!$A$2:$B$8, 2, FALSE)&amp;"]")),FALSE))),""))),"")</f>
        <v/>
      </c>
      <c r="E447" s="205" t="str" cm="1">
        <f t="array" aca="1" ref="E447" ca="1">IFERROR(
IF($J$2="ELA",
IF(VLOOKUP($A447, YES_Reading_ELA[], COLUMN(INDIRECT("YES_Reading_ELA[Min Expectation - Per "&amp;VLOOKUP($D$2, 'Reading Report Logic'!$A$2:$B$8, 2, FALSE)&amp;"]")), FALSE)="", "",
VLOOKUP($A447,YES_Reading_ELA[], COLUMN(INDIRECT("YES_Reading_ELA[Min Expectation - Per "&amp;VLOOKUP($D$2,'Reading Report Logic'!$A$2:$B$8,2,FALSE)&amp;"]")), FALSE)),
IF($J$2="FLA",
IF(VLOOKUP($A447, YES_Reading_FLA[], COLUMN(INDIRECT("YES_Reading_FLA[Min Expectation - Per "&amp;VLOOKUP($D$2,'Reading Report Logic'!$A$2:$B$8,2,FALSE)&amp;"]")),FALSE)="","",
VLOOKUP($A447,YES_Reading_FLA[],COLUMN(INDIRECT("YES_Reading_FLA[Min Expectation - Per "&amp;VLOOKUP($D$2,'Reading Report Logic'!$A$2:$B$8,2,FALSE)&amp;"]")),FALSE)),
IF($J$2="Combined",
IFERROR(
IF(VLOOKUP($A447, YES_Reading_ELA[], COLUMN(INDIRECT("YES_Reading_ELA[Min Expectation - Per "&amp;VLOOKUP($D$2, 'Reading Report Logic'!$A$2:$B$8,2,FALSE)&amp;"]")), FALSE)="", "",
VLOOKUP($A447,YES_Reading_ELA[],COLUMN(INDIRECT("YES_Reading_ELA[Min Expectation - Per "&amp;VLOOKUP($D$2,'Reading Report Logic'!$A$2:$B$8,2,FALSE)&amp;"]")),FALSE)),
IF(VLOOKUP($A447, YES_Reading_FLA[], COLUMN(INDIRECT("YES_Reading_FLA[Min Expectation - Per "&amp;VLOOKUP($D$2, 'Reading Report Logic'!$A$2:$B$8, 2, FALSE)&amp;"]")),FALSE)="", "", VLOOKUP($A447,YES_Reading_FLA[],COLUMN(INDIRECT("YES_Reading_FLA[Min Expectation - Per "&amp;VLOOKUP($D$2, 'Reading Report Logic'!$A$2:$B$8, 2, FALSE)&amp;"]")),FALSE))),""))),"")</f>
        <v/>
      </c>
      <c r="F447" s="205" t="str" cm="1">
        <f t="array" aca="1" ref="F447" ca="1">IFERROR(
IF($J$2="ELA",
IF(VLOOKUP($A447, YES_Reading_ELA[], COLUMN(INDIRECT("YES_Reading_ELA[Max Expectation - Per "&amp;VLOOKUP($D$2, 'Reading Report Logic'!$A$2:$B$8, 2, FALSE)&amp;"]")), FALSE)="", "",
VLOOKUP($A447,YES_Reading_ELA[], COLUMN(INDIRECT("YES_Reading_ELA[Max Expectation - Per "&amp;VLOOKUP($D$2,'Reading Report Logic'!$A$2:$B$8,2,FALSE)&amp;"]")), FALSE)),
IF($J$2="FLA",
IF(VLOOKUP($A447, YES_Reading_FLA[], COLUMN(INDIRECT("YES_Reading_FLA[Max Expectation - Per "&amp;VLOOKUP($D$2,'Reading Report Logic'!$A$2:$B$8,2,FALSE)&amp;"]")),FALSE)="","",
VLOOKUP($A447,YES_Reading_FLA[],COLUMN(INDIRECT("YES_Reading_FLA[Max Expectation - Per "&amp;VLOOKUP($D$2,'Reading Report Logic'!$A$2:$B$8,2,FALSE)&amp;"]")),FALSE)),
IF($J$2="Combined",
IFERROR(
IF(VLOOKUP($A447, YES_Reading_ELA[], COLUMN(INDIRECT("YES_Reading_ELA[Max Expectation - Per "&amp;VLOOKUP($D$2, 'Reading Report Logic'!$A$2:$B$8,2,FALSE)&amp;"]")), FALSE)="", "",
VLOOKUP($A447,YES_Reading_ELA[],COLUMN(INDIRECT("YES_Reading_ELA[Max Expectation - Per "&amp;VLOOKUP($D$2,'Reading Report Logic'!$A$2:$B$8,2,FALSE)&amp;"]")),FALSE)),
IF(VLOOKUP($A447, YES_Reading_FLA[], COLUMN(INDIRECT("YES_Reading_FLA[Max Expectation - Per "&amp;VLOOKUP($D$2, 'Reading Report Logic'!$A$2:$B$8, 2, FALSE)&amp;"]")),FALSE)="", "", VLOOKUP($A447,YES_Reading_FLA[],COLUMN(INDIRECT("YES_Reading_FLA[Max Expectation - Per "&amp;VLOOKUP($D$2, 'Reading Report Logic'!$A$2:$B$8, 2, FALSE)&amp;"]")),FALSE))),""))),"")</f>
        <v/>
      </c>
      <c r="G447" s="205" t="str" cm="1">
        <f t="array" aca="1" ref="G447" ca="1">IFERROR(
IF($J$2="ELA",
IF(VLOOKUP($A447, YES_Reading_ELA[], COLUMN(INDIRECT("YES_Reading_ELA[Difference - Per "&amp;VLOOKUP($D$2, 'Reading Report Logic'!$A$2:$B$8, 2, FALSE)&amp;"]")), FALSE)="", "",
VLOOKUP($A447,YES_Reading_ELA[], COLUMN(INDIRECT("YES_Reading_ELA[Difference - Per "&amp;VLOOKUP($D$2,'Reading Report Logic'!$A$2:$B$8,2,FALSE)&amp;"]")), FALSE)),
IF($J$2="FLA",
IF(VLOOKUP($A447, YES_Reading_FLA[], COLUMN(INDIRECT("YES_Reading_FLA[Difference - Per "&amp;VLOOKUP($D$2,'Reading Report Logic'!$A$2:$B$8,2,FALSE)&amp;"]")),FALSE)="","",
VLOOKUP($A447,YES_Reading_FLA[],COLUMN(INDIRECT("YES_Reading_FLA[Difference - Per "&amp;VLOOKUP($D$2,'Reading Report Logic'!$A$2:$B$8,2,FALSE)&amp;"]")),FALSE)),
IF($J$2="Combined",
IFERROR(
IF(VLOOKUP($A447, YES_Reading_ELA[], COLUMN(INDIRECT("YES_Reading_ELA[Difference - Per "&amp;VLOOKUP($D$2, 'Reading Report Logic'!$A$2:$B$8,2,FALSE)&amp;"]")), FALSE)="", "",
VLOOKUP($A447,YES_Reading_ELA[],COLUMN(INDIRECT("YES_Reading_ELA[Difference - Per "&amp;VLOOKUP($D$2,'Reading Report Logic'!$A$2:$B$8,2,FALSE)&amp;"]")),FALSE)),
IF(VLOOKUP($A447, YES_Reading_FLA[], COLUMN(INDIRECT("YES_Reading_FLA[Difference - Per "&amp;VLOOKUP($D$2, 'Reading Report Logic'!$A$2:$B$8, 2, FALSE)&amp;"]")),FALSE)="", "", VLOOKUP($A447,YES_Reading_FLA[],COLUMN(INDIRECT("YES_Reading_FLA[Difference - Per "&amp;VLOOKUP($D$2, 'Reading Report Logic'!$A$2:$B$8, 2, FALSE)&amp;"]")),FALSE))),""))),"")</f>
        <v/>
      </c>
      <c r="H447" s="206" t="str">
        <f ca="1">IFERROR(VLOOKUP('Teacher Reading Pull Sheets'!$D447,_xlfn.VSTACK('ELA Reading Logic'!$A$22:$B$48,'FLA Reading Logic'!$A$22:$B$53),2,FALSE)-VLOOKUP('Teacher Reading Pull Sheets'!$C447,_xlfn.VSTACK('ELA Reading Logic'!$A$22:$B$48,'FLA Reading Logic'!$A$22:$B$53),2,FALSE),"")</f>
        <v/>
      </c>
      <c r="I447" s="212"/>
      <c r="J447" s="206"/>
      <c r="K447" s="197" t="str" cm="1">
        <f t="array" ref="K447">IFERROR(
IF($J$2="ELA",
IF(VLOOKUP($A447, YES_Reading_ELA[], COLUMN(YES_Reading_ELA[Self-Identified as African Descent]), FALSE)="", "",
VLOOKUP($A447,YES_Reading_ELA[], COLUMN(YES_Reading_ELA[Self-Identified as African Descent]), FALSE)),
IF($J$2="FLA",
IF(VLOOKUP($A447, YES_Reading_FLA[], COLUMN(YES_Reading_FLA[Self-Identified as African Descent]),FALSE)="","",
VLOOKUP($A447,YES_Reading_FLA[],COLUMN(YES_Reading_FLA[Self-Identified as African Descent]),FALSE)),
IF($J$2="Combined",
IFERROR(
IF(VLOOKUP($A447, YES_Reading_ELA[], COLUMN(YES_Reading_ELA[Self-Identified as African Descent]), FALSE)="", "",
VLOOKUP($A447,YES_Reading_ELA[],COLUMN(YES_Reading_ELA[Self-Identified as African Descent]),FALSE)),
IF(VLOOKUP($A447, YES_Reading_FLA[], COLUMN(YES_Reading_FLA[Self-Identified as African Descent]),FALSE)="", "", VLOOKUP($A447,YES_Reading_FLA[],COLUMN(YES_Reading_FLA[Self-Identified as African Descent]),FALSE))),""))),"")</f>
        <v/>
      </c>
      <c r="L447" s="73" t="str" cm="1">
        <f t="array" ref="L447">IFERROR(
IF($J$2="ELA",
IF(VLOOKUP($A447, YES_Reading_ELA[], COLUMN(YES_Reading_ELA[Self-Identified as Indigenous]), FALSE)="", "",
VLOOKUP($A447,YES_Reading_ELA[], COLUMN(YES_Reading_ELA[Self-Identified as Indigenous]), FALSE)),
IF($J$2="FLA",
IF(VLOOKUP($A447, YES_Reading_FLA[], COLUMN(YES_Reading_FLA[Self-Identified as Indigenous]),FALSE)="","",
VLOOKUP($A447,YES_Reading_FLA[],COLUMN(YES_Reading_FLA[Self-Identified as Indigenous]),FALSE)),
IF($J$2="Combined",
IFERROR(
IF(VLOOKUP($A447, YES_Reading_ELA[], COLUMN(YES_Reading_ELA[Self-Identified as Indigenous]), FALSE)="", "",
VLOOKUP($A447,YES_Reading_ELA[],COLUMN(YES_Reading_ELA[Self-Identified as Indigenous]),FALSE)),
IF(VLOOKUP($A447, YES_Reading_FLA[], COLUMN(YES_Reading_FLA[Self-Identified as Indigenous]),FALSE)="", "", VLOOKUP($A447,YES_Reading_FLA[],COLUMN(YES_Reading_FLA[Self-Identified as Indigenous]),FALSE))),""))),"")</f>
        <v/>
      </c>
    </row>
    <row r="448" spans="1:12" ht="19.5" customHeight="1" x14ac:dyDescent="0.25">
      <c r="A448" s="217"/>
      <c r="B448" s="220" t="str">
        <f>IFERROR(VLOOKUP(A448,_xlfn.VSTACK(YES_Reading_ELA[],YES_Reading_FLA[]),2,FALSE),"")</f>
        <v/>
      </c>
      <c r="C448" s="203" t="str" cm="1">
        <f t="array" aca="1" ref="C448" ca="1">IFERROR(
IF($J$2="ELA",
IF(VLOOKUP($A448, YES_Reading_ELA[], COLUMN(IF(VLOOKUP($D$2, 'Reading Report Logic'!$A$2:$B$8, 2, FALSE)=1, YES_Reading_ELA[Reading Level June of Previous School Year], INDIRECT("YES_Reading_ELA[Instructional Reading Level - Per "&amp;(VLOOKUP($D$2,'Reading Report Logic'!$A$2:$B$8,2,FALSE)-1)&amp;"]"))), FALSE)="", "",
VLOOKUP($A448,YES_Reading_ELA[], COLUMN(IF(VLOOKUP($D$2,'Reading Report Logic'!$A$2:$B$8,2,FALSE)=1, YES_Reading_ELA[Reading Level June of Previous School Year],INDIRECT("YES_Reading_ELA[Instructional Reading Level - Per "&amp;(VLOOKUP($D$2,'Reading Report Logic'!$A$2:$B$8,2,FALSE)-1)&amp;"]"))), FALSE)),
IF($J$2="FLA",
IF(VLOOKUP($A448, YES_Reading_FLA[], COLUMN(IF(VLOOKUP($D$2,'Reading Report Logic'!$A$2:$B$8,2,FALSE)=1, YES_Reading_FLA[Reading Level June of Previous School Year],INDIRECT("YES_Reading_FLA[Instructional Reading Level - Per "&amp;(VLOOKUP($D$2,'Reading Report Logic'!$A$2:$B$8,2,FALSE)-1)&amp;"]"))),FALSE)="","",
VLOOKUP($A448,YES_Reading_FLA[], COLUMN(IF(VLOOKUP($D$2,'Reading Report Logic'!$A$2:$B$8,2,FALSE)=1, YES_Reading_FLA[Reading Level June of Previous School Year],INDIRECT("YES_Reading_FLA[Instructional Reading Level - Per "&amp;(VLOOKUP($D$2,'Reading Report Logic'!$A$2:$B$8,2,FALSE)-1)&amp;"]"))),FALSE)),
IF($J$2="Combined",
IFERROR(
IF(VLOOKUP($A448, YES_Reading_ELA[], COLUMN(IF(VLOOKUP($D$2,'Reading Report Logic'!$A$2:$B$8,2,FALSE)=1, YES_Reading_ELA[Reading Level June of Previous School Year],INDIRECT("YES_Reading_ELA[Instructional Reading Level - Per "&amp;(VLOOKUP($D$2,'Reading Report Logic'!$A$2:$B$8,2,FALSE)-1)&amp;"]"))), FALSE)="", "",
VLOOKUP($A448,YES_Reading_ELA[],COLUMN(IF(VLOOKUP($D$2,'Reading Report Logic'!$A$2:$B$8,2,FALSE)=1, YES_Reading_ELA[Reading Level June of Previous School Year],INDIRECT("YES_Reading_ELA[Instructional Reading Level - Per "&amp;(VLOOKUP($D$2,'Reading Report Logic'!$A$2:$B$8,2,FALSE)-1)&amp;"]"))),FALSE)),
IF(VLOOKUP($A448, YES_Reading_FLA[], COLUMN(IF(VLOOKUP($D$2,'Reading Report Logic'!$A$2:$B$8,2,FALSE)=1, YES_Reading_FLA[Reading Level June of Previous School Year],INDIRECT("YES_Reading_FLA[Instructional Reading Level - Per "&amp;(VLOOKUP($D$2,'Reading Report Logic'!$A$2:$B$8,2,FALSE)-1)&amp;"]"))),FALSE)="", "", VLOOKUP($A448,YES_Reading_FLA[],COLUMN(IF(VLOOKUP($D$2,'Reading Report Logic'!$A$2:$B$8,2,FALSE)=1, YES_Reading_FLA[Reading Level June of Previous School Year],INDIRECT("YES_Reading_FLA[Instructional Reading Level - Per "&amp;(VLOOKUP($D$2,'Reading Report Logic'!$A$2:$B$8,2,FALSE)-1)&amp;"]"))), FALSE))),""))),"")</f>
        <v/>
      </c>
      <c r="D448" s="204" t="str" cm="1">
        <f t="array" aca="1" ref="D448" ca="1">IFERROR(
IF($J$2="ELA",
IF(VLOOKUP($A448, YES_Reading_ELA[], COLUMN(INDIRECT("YES_Reading_ELA[Instructional Reading Level - Per "&amp;VLOOKUP($D$2, 'Reading Report Logic'!$A$2:$B$8, 2, FALSE)&amp;"]")), FALSE)="", "",
VLOOKUP($A448,YES_Reading_ELA[], COLUMN(INDIRECT("YES_Reading_ELA[Instructional Reading Level - Per "&amp;VLOOKUP($D$2,'Reading Report Logic'!$A$2:$B$8,2,FALSE)&amp;"]")), FALSE)),
IF($J$2="FLA",
IF(VLOOKUP($A448, YES_Reading_FLA[], COLUMN(INDIRECT("YES_Reading_FLA[Instructional Reading Level - Per "&amp;VLOOKUP($D$2,'Reading Report Logic'!$A$2:$B$8,2,FALSE)&amp;"]")),FALSE)="","",
VLOOKUP($A448,YES_Reading_FLA[],COLUMN(INDIRECT("YES_Reading_FLA[Instructional Reading Level - Per "&amp;VLOOKUP($D$2,'Reading Report Logic'!$A$2:$B$8,2,FALSE)&amp;"]")),FALSE)),
IF($J$2="Combined",
IFERROR(
IF(VLOOKUP($A448, YES_Reading_ELA[], COLUMN(INDIRECT("YES_Reading_ELA[Instructional Reading Level - Per "&amp;VLOOKUP($D$2, 'Reading Report Logic'!$A$2:$B$8,2,FALSE)&amp;"]")), FALSE)="", "",
VLOOKUP($A448,YES_Reading_ELA[],COLUMN(INDIRECT("YES_Reading_ELA[Instructional Reading Level - Per "&amp;VLOOKUP($D$2,'Reading Report Logic'!$A$2:$B$8,2,FALSE)&amp;"]")),FALSE)),
IF(VLOOKUP($A448, YES_Reading_FLA[], COLUMN(INDIRECT("YES_Reading_FLA[Instructional Reading Level - Per "&amp;VLOOKUP($D$2, 'Reading Report Logic'!$A$2:$B$8, 2, FALSE)&amp;"]")),FALSE)="", "", VLOOKUP($A448,YES_Reading_FLA[],COLUMN(INDIRECT("YES_Reading_FLA[Instructional Reading Level - Per "&amp;VLOOKUP($D$2, 'Reading Report Logic'!$A$2:$B$8, 2, FALSE)&amp;"]")),FALSE))),""))),"")</f>
        <v/>
      </c>
      <c r="E448" s="205" t="str" cm="1">
        <f t="array" aca="1" ref="E448" ca="1">IFERROR(
IF($J$2="ELA",
IF(VLOOKUP($A448, YES_Reading_ELA[], COLUMN(INDIRECT("YES_Reading_ELA[Min Expectation - Per "&amp;VLOOKUP($D$2, 'Reading Report Logic'!$A$2:$B$8, 2, FALSE)&amp;"]")), FALSE)="", "",
VLOOKUP($A448,YES_Reading_ELA[], COLUMN(INDIRECT("YES_Reading_ELA[Min Expectation - Per "&amp;VLOOKUP($D$2,'Reading Report Logic'!$A$2:$B$8,2,FALSE)&amp;"]")), FALSE)),
IF($J$2="FLA",
IF(VLOOKUP($A448, YES_Reading_FLA[], COLUMN(INDIRECT("YES_Reading_FLA[Min Expectation - Per "&amp;VLOOKUP($D$2,'Reading Report Logic'!$A$2:$B$8,2,FALSE)&amp;"]")),FALSE)="","",
VLOOKUP($A448,YES_Reading_FLA[],COLUMN(INDIRECT("YES_Reading_FLA[Min Expectation - Per "&amp;VLOOKUP($D$2,'Reading Report Logic'!$A$2:$B$8,2,FALSE)&amp;"]")),FALSE)),
IF($J$2="Combined",
IFERROR(
IF(VLOOKUP($A448, YES_Reading_ELA[], COLUMN(INDIRECT("YES_Reading_ELA[Min Expectation - Per "&amp;VLOOKUP($D$2, 'Reading Report Logic'!$A$2:$B$8,2,FALSE)&amp;"]")), FALSE)="", "",
VLOOKUP($A448,YES_Reading_ELA[],COLUMN(INDIRECT("YES_Reading_ELA[Min Expectation - Per "&amp;VLOOKUP($D$2,'Reading Report Logic'!$A$2:$B$8,2,FALSE)&amp;"]")),FALSE)),
IF(VLOOKUP($A448, YES_Reading_FLA[], COLUMN(INDIRECT("YES_Reading_FLA[Min Expectation - Per "&amp;VLOOKUP($D$2, 'Reading Report Logic'!$A$2:$B$8, 2, FALSE)&amp;"]")),FALSE)="", "", VLOOKUP($A448,YES_Reading_FLA[],COLUMN(INDIRECT("YES_Reading_FLA[Min Expectation - Per "&amp;VLOOKUP($D$2, 'Reading Report Logic'!$A$2:$B$8, 2, FALSE)&amp;"]")),FALSE))),""))),"")</f>
        <v/>
      </c>
      <c r="F448" s="205" t="str" cm="1">
        <f t="array" aca="1" ref="F448" ca="1">IFERROR(
IF($J$2="ELA",
IF(VLOOKUP($A448, YES_Reading_ELA[], COLUMN(INDIRECT("YES_Reading_ELA[Max Expectation - Per "&amp;VLOOKUP($D$2, 'Reading Report Logic'!$A$2:$B$8, 2, FALSE)&amp;"]")), FALSE)="", "",
VLOOKUP($A448,YES_Reading_ELA[], COLUMN(INDIRECT("YES_Reading_ELA[Max Expectation - Per "&amp;VLOOKUP($D$2,'Reading Report Logic'!$A$2:$B$8,2,FALSE)&amp;"]")), FALSE)),
IF($J$2="FLA",
IF(VLOOKUP($A448, YES_Reading_FLA[], COLUMN(INDIRECT("YES_Reading_FLA[Max Expectation - Per "&amp;VLOOKUP($D$2,'Reading Report Logic'!$A$2:$B$8,2,FALSE)&amp;"]")),FALSE)="","",
VLOOKUP($A448,YES_Reading_FLA[],COLUMN(INDIRECT("YES_Reading_FLA[Max Expectation - Per "&amp;VLOOKUP($D$2,'Reading Report Logic'!$A$2:$B$8,2,FALSE)&amp;"]")),FALSE)),
IF($J$2="Combined",
IFERROR(
IF(VLOOKUP($A448, YES_Reading_ELA[], COLUMN(INDIRECT("YES_Reading_ELA[Max Expectation - Per "&amp;VLOOKUP($D$2, 'Reading Report Logic'!$A$2:$B$8,2,FALSE)&amp;"]")), FALSE)="", "",
VLOOKUP($A448,YES_Reading_ELA[],COLUMN(INDIRECT("YES_Reading_ELA[Max Expectation - Per "&amp;VLOOKUP($D$2,'Reading Report Logic'!$A$2:$B$8,2,FALSE)&amp;"]")),FALSE)),
IF(VLOOKUP($A448, YES_Reading_FLA[], COLUMN(INDIRECT("YES_Reading_FLA[Max Expectation - Per "&amp;VLOOKUP($D$2, 'Reading Report Logic'!$A$2:$B$8, 2, FALSE)&amp;"]")),FALSE)="", "", VLOOKUP($A448,YES_Reading_FLA[],COLUMN(INDIRECT("YES_Reading_FLA[Max Expectation - Per "&amp;VLOOKUP($D$2, 'Reading Report Logic'!$A$2:$B$8, 2, FALSE)&amp;"]")),FALSE))),""))),"")</f>
        <v/>
      </c>
      <c r="G448" s="205" t="str" cm="1">
        <f t="array" aca="1" ref="G448" ca="1">IFERROR(
IF($J$2="ELA",
IF(VLOOKUP($A448, YES_Reading_ELA[], COLUMN(INDIRECT("YES_Reading_ELA[Difference - Per "&amp;VLOOKUP($D$2, 'Reading Report Logic'!$A$2:$B$8, 2, FALSE)&amp;"]")), FALSE)="", "",
VLOOKUP($A448,YES_Reading_ELA[], COLUMN(INDIRECT("YES_Reading_ELA[Difference - Per "&amp;VLOOKUP($D$2,'Reading Report Logic'!$A$2:$B$8,2,FALSE)&amp;"]")), FALSE)),
IF($J$2="FLA",
IF(VLOOKUP($A448, YES_Reading_FLA[], COLUMN(INDIRECT("YES_Reading_FLA[Difference - Per "&amp;VLOOKUP($D$2,'Reading Report Logic'!$A$2:$B$8,2,FALSE)&amp;"]")),FALSE)="","",
VLOOKUP($A448,YES_Reading_FLA[],COLUMN(INDIRECT("YES_Reading_FLA[Difference - Per "&amp;VLOOKUP($D$2,'Reading Report Logic'!$A$2:$B$8,2,FALSE)&amp;"]")),FALSE)),
IF($J$2="Combined",
IFERROR(
IF(VLOOKUP($A448, YES_Reading_ELA[], COLUMN(INDIRECT("YES_Reading_ELA[Difference - Per "&amp;VLOOKUP($D$2, 'Reading Report Logic'!$A$2:$B$8,2,FALSE)&amp;"]")), FALSE)="", "",
VLOOKUP($A448,YES_Reading_ELA[],COLUMN(INDIRECT("YES_Reading_ELA[Difference - Per "&amp;VLOOKUP($D$2,'Reading Report Logic'!$A$2:$B$8,2,FALSE)&amp;"]")),FALSE)),
IF(VLOOKUP($A448, YES_Reading_FLA[], COLUMN(INDIRECT("YES_Reading_FLA[Difference - Per "&amp;VLOOKUP($D$2, 'Reading Report Logic'!$A$2:$B$8, 2, FALSE)&amp;"]")),FALSE)="", "", VLOOKUP($A448,YES_Reading_FLA[],COLUMN(INDIRECT("YES_Reading_FLA[Difference - Per "&amp;VLOOKUP($D$2, 'Reading Report Logic'!$A$2:$B$8, 2, FALSE)&amp;"]")),FALSE))),""))),"")</f>
        <v/>
      </c>
      <c r="H448" s="206" t="str">
        <f ca="1">IFERROR(VLOOKUP('Teacher Reading Pull Sheets'!$D448,_xlfn.VSTACK('ELA Reading Logic'!$A$22:$B$48,'FLA Reading Logic'!$A$22:$B$53),2,FALSE)-VLOOKUP('Teacher Reading Pull Sheets'!$C448,_xlfn.VSTACK('ELA Reading Logic'!$A$22:$B$48,'FLA Reading Logic'!$A$22:$B$53),2,FALSE),"")</f>
        <v/>
      </c>
      <c r="I448" s="212"/>
      <c r="J448" s="206"/>
      <c r="K448" s="197" t="str" cm="1">
        <f t="array" ref="K448">IFERROR(
IF($J$2="ELA",
IF(VLOOKUP($A448, YES_Reading_ELA[], COLUMN(YES_Reading_ELA[Self-Identified as African Descent]), FALSE)="", "",
VLOOKUP($A448,YES_Reading_ELA[], COLUMN(YES_Reading_ELA[Self-Identified as African Descent]), FALSE)),
IF($J$2="FLA",
IF(VLOOKUP($A448, YES_Reading_FLA[], COLUMN(YES_Reading_FLA[Self-Identified as African Descent]),FALSE)="","",
VLOOKUP($A448,YES_Reading_FLA[],COLUMN(YES_Reading_FLA[Self-Identified as African Descent]),FALSE)),
IF($J$2="Combined",
IFERROR(
IF(VLOOKUP($A448, YES_Reading_ELA[], COLUMN(YES_Reading_ELA[Self-Identified as African Descent]), FALSE)="", "",
VLOOKUP($A448,YES_Reading_ELA[],COLUMN(YES_Reading_ELA[Self-Identified as African Descent]),FALSE)),
IF(VLOOKUP($A448, YES_Reading_FLA[], COLUMN(YES_Reading_FLA[Self-Identified as African Descent]),FALSE)="", "", VLOOKUP($A448,YES_Reading_FLA[],COLUMN(YES_Reading_FLA[Self-Identified as African Descent]),FALSE))),""))),"")</f>
        <v/>
      </c>
      <c r="L448" s="73" t="str" cm="1">
        <f t="array" ref="L448">IFERROR(
IF($J$2="ELA",
IF(VLOOKUP($A448, YES_Reading_ELA[], COLUMN(YES_Reading_ELA[Self-Identified as Indigenous]), FALSE)="", "",
VLOOKUP($A448,YES_Reading_ELA[], COLUMN(YES_Reading_ELA[Self-Identified as Indigenous]), FALSE)),
IF($J$2="FLA",
IF(VLOOKUP($A448, YES_Reading_FLA[], COLUMN(YES_Reading_FLA[Self-Identified as Indigenous]),FALSE)="","",
VLOOKUP($A448,YES_Reading_FLA[],COLUMN(YES_Reading_FLA[Self-Identified as Indigenous]),FALSE)),
IF($J$2="Combined",
IFERROR(
IF(VLOOKUP($A448, YES_Reading_ELA[], COLUMN(YES_Reading_ELA[Self-Identified as Indigenous]), FALSE)="", "",
VLOOKUP($A448,YES_Reading_ELA[],COLUMN(YES_Reading_ELA[Self-Identified as Indigenous]),FALSE)),
IF(VLOOKUP($A448, YES_Reading_FLA[], COLUMN(YES_Reading_FLA[Self-Identified as Indigenous]),FALSE)="", "", VLOOKUP($A448,YES_Reading_FLA[],COLUMN(YES_Reading_FLA[Self-Identified as Indigenous]),FALSE))),""))),"")</f>
        <v/>
      </c>
    </row>
    <row r="449" spans="1:12" ht="19.5" customHeight="1" x14ac:dyDescent="0.25">
      <c r="A449" s="217"/>
      <c r="B449" s="220" t="str">
        <f>IFERROR(VLOOKUP(A449,_xlfn.VSTACK(YES_Reading_ELA[],YES_Reading_FLA[]),2,FALSE),"")</f>
        <v/>
      </c>
      <c r="C449" s="203" t="str" cm="1">
        <f t="array" aca="1" ref="C449" ca="1">IFERROR(
IF($J$2="ELA",
IF(VLOOKUP($A449, YES_Reading_ELA[], COLUMN(IF(VLOOKUP($D$2, 'Reading Report Logic'!$A$2:$B$8, 2, FALSE)=1, YES_Reading_ELA[Reading Level June of Previous School Year], INDIRECT("YES_Reading_ELA[Instructional Reading Level - Per "&amp;(VLOOKUP($D$2,'Reading Report Logic'!$A$2:$B$8,2,FALSE)-1)&amp;"]"))), FALSE)="", "",
VLOOKUP($A449,YES_Reading_ELA[], COLUMN(IF(VLOOKUP($D$2,'Reading Report Logic'!$A$2:$B$8,2,FALSE)=1, YES_Reading_ELA[Reading Level June of Previous School Year],INDIRECT("YES_Reading_ELA[Instructional Reading Level - Per "&amp;(VLOOKUP($D$2,'Reading Report Logic'!$A$2:$B$8,2,FALSE)-1)&amp;"]"))), FALSE)),
IF($J$2="FLA",
IF(VLOOKUP($A449, YES_Reading_FLA[], COLUMN(IF(VLOOKUP($D$2,'Reading Report Logic'!$A$2:$B$8,2,FALSE)=1, YES_Reading_FLA[Reading Level June of Previous School Year],INDIRECT("YES_Reading_FLA[Instructional Reading Level - Per "&amp;(VLOOKUP($D$2,'Reading Report Logic'!$A$2:$B$8,2,FALSE)-1)&amp;"]"))),FALSE)="","",
VLOOKUP($A449,YES_Reading_FLA[], COLUMN(IF(VLOOKUP($D$2,'Reading Report Logic'!$A$2:$B$8,2,FALSE)=1, YES_Reading_FLA[Reading Level June of Previous School Year],INDIRECT("YES_Reading_FLA[Instructional Reading Level - Per "&amp;(VLOOKUP($D$2,'Reading Report Logic'!$A$2:$B$8,2,FALSE)-1)&amp;"]"))),FALSE)),
IF($J$2="Combined",
IFERROR(
IF(VLOOKUP($A449, YES_Reading_ELA[], COLUMN(IF(VLOOKUP($D$2,'Reading Report Logic'!$A$2:$B$8,2,FALSE)=1, YES_Reading_ELA[Reading Level June of Previous School Year],INDIRECT("YES_Reading_ELA[Instructional Reading Level - Per "&amp;(VLOOKUP($D$2,'Reading Report Logic'!$A$2:$B$8,2,FALSE)-1)&amp;"]"))), FALSE)="", "",
VLOOKUP($A449,YES_Reading_ELA[],COLUMN(IF(VLOOKUP($D$2,'Reading Report Logic'!$A$2:$B$8,2,FALSE)=1, YES_Reading_ELA[Reading Level June of Previous School Year],INDIRECT("YES_Reading_ELA[Instructional Reading Level - Per "&amp;(VLOOKUP($D$2,'Reading Report Logic'!$A$2:$B$8,2,FALSE)-1)&amp;"]"))),FALSE)),
IF(VLOOKUP($A449, YES_Reading_FLA[], COLUMN(IF(VLOOKUP($D$2,'Reading Report Logic'!$A$2:$B$8,2,FALSE)=1, YES_Reading_FLA[Reading Level June of Previous School Year],INDIRECT("YES_Reading_FLA[Instructional Reading Level - Per "&amp;(VLOOKUP($D$2,'Reading Report Logic'!$A$2:$B$8,2,FALSE)-1)&amp;"]"))),FALSE)="", "", VLOOKUP($A449,YES_Reading_FLA[],COLUMN(IF(VLOOKUP($D$2,'Reading Report Logic'!$A$2:$B$8,2,FALSE)=1, YES_Reading_FLA[Reading Level June of Previous School Year],INDIRECT("YES_Reading_FLA[Instructional Reading Level - Per "&amp;(VLOOKUP($D$2,'Reading Report Logic'!$A$2:$B$8,2,FALSE)-1)&amp;"]"))), FALSE))),""))),"")</f>
        <v/>
      </c>
      <c r="D449" s="204" t="str" cm="1">
        <f t="array" aca="1" ref="D449" ca="1">IFERROR(
IF($J$2="ELA",
IF(VLOOKUP($A449, YES_Reading_ELA[], COLUMN(INDIRECT("YES_Reading_ELA[Instructional Reading Level - Per "&amp;VLOOKUP($D$2, 'Reading Report Logic'!$A$2:$B$8, 2, FALSE)&amp;"]")), FALSE)="", "",
VLOOKUP($A449,YES_Reading_ELA[], COLUMN(INDIRECT("YES_Reading_ELA[Instructional Reading Level - Per "&amp;VLOOKUP($D$2,'Reading Report Logic'!$A$2:$B$8,2,FALSE)&amp;"]")), FALSE)),
IF($J$2="FLA",
IF(VLOOKUP($A449, YES_Reading_FLA[], COLUMN(INDIRECT("YES_Reading_FLA[Instructional Reading Level - Per "&amp;VLOOKUP($D$2,'Reading Report Logic'!$A$2:$B$8,2,FALSE)&amp;"]")),FALSE)="","",
VLOOKUP($A449,YES_Reading_FLA[],COLUMN(INDIRECT("YES_Reading_FLA[Instructional Reading Level - Per "&amp;VLOOKUP($D$2,'Reading Report Logic'!$A$2:$B$8,2,FALSE)&amp;"]")),FALSE)),
IF($J$2="Combined",
IFERROR(
IF(VLOOKUP($A449, YES_Reading_ELA[], COLUMN(INDIRECT("YES_Reading_ELA[Instructional Reading Level - Per "&amp;VLOOKUP($D$2, 'Reading Report Logic'!$A$2:$B$8,2,FALSE)&amp;"]")), FALSE)="", "",
VLOOKUP($A449,YES_Reading_ELA[],COLUMN(INDIRECT("YES_Reading_ELA[Instructional Reading Level - Per "&amp;VLOOKUP($D$2,'Reading Report Logic'!$A$2:$B$8,2,FALSE)&amp;"]")),FALSE)),
IF(VLOOKUP($A449, YES_Reading_FLA[], COLUMN(INDIRECT("YES_Reading_FLA[Instructional Reading Level - Per "&amp;VLOOKUP($D$2, 'Reading Report Logic'!$A$2:$B$8, 2, FALSE)&amp;"]")),FALSE)="", "", VLOOKUP($A449,YES_Reading_FLA[],COLUMN(INDIRECT("YES_Reading_FLA[Instructional Reading Level - Per "&amp;VLOOKUP($D$2, 'Reading Report Logic'!$A$2:$B$8, 2, FALSE)&amp;"]")),FALSE))),""))),"")</f>
        <v/>
      </c>
      <c r="E449" s="205" t="str" cm="1">
        <f t="array" aca="1" ref="E449" ca="1">IFERROR(
IF($J$2="ELA",
IF(VLOOKUP($A449, YES_Reading_ELA[], COLUMN(INDIRECT("YES_Reading_ELA[Min Expectation - Per "&amp;VLOOKUP($D$2, 'Reading Report Logic'!$A$2:$B$8, 2, FALSE)&amp;"]")), FALSE)="", "",
VLOOKUP($A449,YES_Reading_ELA[], COLUMN(INDIRECT("YES_Reading_ELA[Min Expectation - Per "&amp;VLOOKUP($D$2,'Reading Report Logic'!$A$2:$B$8,2,FALSE)&amp;"]")), FALSE)),
IF($J$2="FLA",
IF(VLOOKUP($A449, YES_Reading_FLA[], COLUMN(INDIRECT("YES_Reading_FLA[Min Expectation - Per "&amp;VLOOKUP($D$2,'Reading Report Logic'!$A$2:$B$8,2,FALSE)&amp;"]")),FALSE)="","",
VLOOKUP($A449,YES_Reading_FLA[],COLUMN(INDIRECT("YES_Reading_FLA[Min Expectation - Per "&amp;VLOOKUP($D$2,'Reading Report Logic'!$A$2:$B$8,2,FALSE)&amp;"]")),FALSE)),
IF($J$2="Combined",
IFERROR(
IF(VLOOKUP($A449, YES_Reading_ELA[], COLUMN(INDIRECT("YES_Reading_ELA[Min Expectation - Per "&amp;VLOOKUP($D$2, 'Reading Report Logic'!$A$2:$B$8,2,FALSE)&amp;"]")), FALSE)="", "",
VLOOKUP($A449,YES_Reading_ELA[],COLUMN(INDIRECT("YES_Reading_ELA[Min Expectation - Per "&amp;VLOOKUP($D$2,'Reading Report Logic'!$A$2:$B$8,2,FALSE)&amp;"]")),FALSE)),
IF(VLOOKUP($A449, YES_Reading_FLA[], COLUMN(INDIRECT("YES_Reading_FLA[Min Expectation - Per "&amp;VLOOKUP($D$2, 'Reading Report Logic'!$A$2:$B$8, 2, FALSE)&amp;"]")),FALSE)="", "", VLOOKUP($A449,YES_Reading_FLA[],COLUMN(INDIRECT("YES_Reading_FLA[Min Expectation - Per "&amp;VLOOKUP($D$2, 'Reading Report Logic'!$A$2:$B$8, 2, FALSE)&amp;"]")),FALSE))),""))),"")</f>
        <v/>
      </c>
      <c r="F449" s="205" t="str" cm="1">
        <f t="array" aca="1" ref="F449" ca="1">IFERROR(
IF($J$2="ELA",
IF(VLOOKUP($A449, YES_Reading_ELA[], COLUMN(INDIRECT("YES_Reading_ELA[Max Expectation - Per "&amp;VLOOKUP($D$2, 'Reading Report Logic'!$A$2:$B$8, 2, FALSE)&amp;"]")), FALSE)="", "",
VLOOKUP($A449,YES_Reading_ELA[], COLUMN(INDIRECT("YES_Reading_ELA[Max Expectation - Per "&amp;VLOOKUP($D$2,'Reading Report Logic'!$A$2:$B$8,2,FALSE)&amp;"]")), FALSE)),
IF($J$2="FLA",
IF(VLOOKUP($A449, YES_Reading_FLA[], COLUMN(INDIRECT("YES_Reading_FLA[Max Expectation - Per "&amp;VLOOKUP($D$2,'Reading Report Logic'!$A$2:$B$8,2,FALSE)&amp;"]")),FALSE)="","",
VLOOKUP($A449,YES_Reading_FLA[],COLUMN(INDIRECT("YES_Reading_FLA[Max Expectation - Per "&amp;VLOOKUP($D$2,'Reading Report Logic'!$A$2:$B$8,2,FALSE)&amp;"]")),FALSE)),
IF($J$2="Combined",
IFERROR(
IF(VLOOKUP($A449, YES_Reading_ELA[], COLUMN(INDIRECT("YES_Reading_ELA[Max Expectation - Per "&amp;VLOOKUP($D$2, 'Reading Report Logic'!$A$2:$B$8,2,FALSE)&amp;"]")), FALSE)="", "",
VLOOKUP($A449,YES_Reading_ELA[],COLUMN(INDIRECT("YES_Reading_ELA[Max Expectation - Per "&amp;VLOOKUP($D$2,'Reading Report Logic'!$A$2:$B$8,2,FALSE)&amp;"]")),FALSE)),
IF(VLOOKUP($A449, YES_Reading_FLA[], COLUMN(INDIRECT("YES_Reading_FLA[Max Expectation - Per "&amp;VLOOKUP($D$2, 'Reading Report Logic'!$A$2:$B$8, 2, FALSE)&amp;"]")),FALSE)="", "", VLOOKUP($A449,YES_Reading_FLA[],COLUMN(INDIRECT("YES_Reading_FLA[Max Expectation - Per "&amp;VLOOKUP($D$2, 'Reading Report Logic'!$A$2:$B$8, 2, FALSE)&amp;"]")),FALSE))),""))),"")</f>
        <v/>
      </c>
      <c r="G449" s="205" t="str" cm="1">
        <f t="array" aca="1" ref="G449" ca="1">IFERROR(
IF($J$2="ELA",
IF(VLOOKUP($A449, YES_Reading_ELA[], COLUMN(INDIRECT("YES_Reading_ELA[Difference - Per "&amp;VLOOKUP($D$2, 'Reading Report Logic'!$A$2:$B$8, 2, FALSE)&amp;"]")), FALSE)="", "",
VLOOKUP($A449,YES_Reading_ELA[], COLUMN(INDIRECT("YES_Reading_ELA[Difference - Per "&amp;VLOOKUP($D$2,'Reading Report Logic'!$A$2:$B$8,2,FALSE)&amp;"]")), FALSE)),
IF($J$2="FLA",
IF(VLOOKUP($A449, YES_Reading_FLA[], COLUMN(INDIRECT("YES_Reading_FLA[Difference - Per "&amp;VLOOKUP($D$2,'Reading Report Logic'!$A$2:$B$8,2,FALSE)&amp;"]")),FALSE)="","",
VLOOKUP($A449,YES_Reading_FLA[],COLUMN(INDIRECT("YES_Reading_FLA[Difference - Per "&amp;VLOOKUP($D$2,'Reading Report Logic'!$A$2:$B$8,2,FALSE)&amp;"]")),FALSE)),
IF($J$2="Combined",
IFERROR(
IF(VLOOKUP($A449, YES_Reading_ELA[], COLUMN(INDIRECT("YES_Reading_ELA[Difference - Per "&amp;VLOOKUP($D$2, 'Reading Report Logic'!$A$2:$B$8,2,FALSE)&amp;"]")), FALSE)="", "",
VLOOKUP($A449,YES_Reading_ELA[],COLUMN(INDIRECT("YES_Reading_ELA[Difference - Per "&amp;VLOOKUP($D$2,'Reading Report Logic'!$A$2:$B$8,2,FALSE)&amp;"]")),FALSE)),
IF(VLOOKUP($A449, YES_Reading_FLA[], COLUMN(INDIRECT("YES_Reading_FLA[Difference - Per "&amp;VLOOKUP($D$2, 'Reading Report Logic'!$A$2:$B$8, 2, FALSE)&amp;"]")),FALSE)="", "", VLOOKUP($A449,YES_Reading_FLA[],COLUMN(INDIRECT("YES_Reading_FLA[Difference - Per "&amp;VLOOKUP($D$2, 'Reading Report Logic'!$A$2:$B$8, 2, FALSE)&amp;"]")),FALSE))),""))),"")</f>
        <v/>
      </c>
      <c r="H449" s="206" t="str">
        <f ca="1">IFERROR(VLOOKUP('Teacher Reading Pull Sheets'!$D449,_xlfn.VSTACK('ELA Reading Logic'!$A$22:$B$48,'FLA Reading Logic'!$A$22:$B$53),2,FALSE)-VLOOKUP('Teacher Reading Pull Sheets'!$C449,_xlfn.VSTACK('ELA Reading Logic'!$A$22:$B$48,'FLA Reading Logic'!$A$22:$B$53),2,FALSE),"")</f>
        <v/>
      </c>
      <c r="I449" s="212"/>
      <c r="J449" s="206"/>
      <c r="K449" s="197" t="str" cm="1">
        <f t="array" ref="K449">IFERROR(
IF($J$2="ELA",
IF(VLOOKUP($A449, YES_Reading_ELA[], COLUMN(YES_Reading_ELA[Self-Identified as African Descent]), FALSE)="", "",
VLOOKUP($A449,YES_Reading_ELA[], COLUMN(YES_Reading_ELA[Self-Identified as African Descent]), FALSE)),
IF($J$2="FLA",
IF(VLOOKUP($A449, YES_Reading_FLA[], COLUMN(YES_Reading_FLA[Self-Identified as African Descent]),FALSE)="","",
VLOOKUP($A449,YES_Reading_FLA[],COLUMN(YES_Reading_FLA[Self-Identified as African Descent]),FALSE)),
IF($J$2="Combined",
IFERROR(
IF(VLOOKUP($A449, YES_Reading_ELA[], COLUMN(YES_Reading_ELA[Self-Identified as African Descent]), FALSE)="", "",
VLOOKUP($A449,YES_Reading_ELA[],COLUMN(YES_Reading_ELA[Self-Identified as African Descent]),FALSE)),
IF(VLOOKUP($A449, YES_Reading_FLA[], COLUMN(YES_Reading_FLA[Self-Identified as African Descent]),FALSE)="", "", VLOOKUP($A449,YES_Reading_FLA[],COLUMN(YES_Reading_FLA[Self-Identified as African Descent]),FALSE))),""))),"")</f>
        <v/>
      </c>
      <c r="L449" s="73" t="str" cm="1">
        <f t="array" ref="L449">IFERROR(
IF($J$2="ELA",
IF(VLOOKUP($A449, YES_Reading_ELA[], COLUMN(YES_Reading_ELA[Self-Identified as Indigenous]), FALSE)="", "",
VLOOKUP($A449,YES_Reading_ELA[], COLUMN(YES_Reading_ELA[Self-Identified as Indigenous]), FALSE)),
IF($J$2="FLA",
IF(VLOOKUP($A449, YES_Reading_FLA[], COLUMN(YES_Reading_FLA[Self-Identified as Indigenous]),FALSE)="","",
VLOOKUP($A449,YES_Reading_FLA[],COLUMN(YES_Reading_FLA[Self-Identified as Indigenous]),FALSE)),
IF($J$2="Combined",
IFERROR(
IF(VLOOKUP($A449, YES_Reading_ELA[], COLUMN(YES_Reading_ELA[Self-Identified as Indigenous]), FALSE)="", "",
VLOOKUP($A449,YES_Reading_ELA[],COLUMN(YES_Reading_ELA[Self-Identified as Indigenous]),FALSE)),
IF(VLOOKUP($A449, YES_Reading_FLA[], COLUMN(YES_Reading_FLA[Self-Identified as Indigenous]),FALSE)="", "", VLOOKUP($A449,YES_Reading_FLA[],COLUMN(YES_Reading_FLA[Self-Identified as Indigenous]),FALSE))),""))),"")</f>
        <v/>
      </c>
    </row>
    <row r="450" spans="1:12" ht="19.5" customHeight="1" x14ac:dyDescent="0.25">
      <c r="A450" s="217"/>
      <c r="B450" s="220" t="str">
        <f>IFERROR(VLOOKUP(A450,_xlfn.VSTACK(YES_Reading_ELA[],YES_Reading_FLA[]),2,FALSE),"")</f>
        <v/>
      </c>
      <c r="C450" s="203" t="str" cm="1">
        <f t="array" aca="1" ref="C450" ca="1">IFERROR(
IF($J$2="ELA",
IF(VLOOKUP($A450, YES_Reading_ELA[], COLUMN(IF(VLOOKUP($D$2, 'Reading Report Logic'!$A$2:$B$8, 2, FALSE)=1, YES_Reading_ELA[Reading Level June of Previous School Year], INDIRECT("YES_Reading_ELA[Instructional Reading Level - Per "&amp;(VLOOKUP($D$2,'Reading Report Logic'!$A$2:$B$8,2,FALSE)-1)&amp;"]"))), FALSE)="", "",
VLOOKUP($A450,YES_Reading_ELA[], COLUMN(IF(VLOOKUP($D$2,'Reading Report Logic'!$A$2:$B$8,2,FALSE)=1, YES_Reading_ELA[Reading Level June of Previous School Year],INDIRECT("YES_Reading_ELA[Instructional Reading Level - Per "&amp;(VLOOKUP($D$2,'Reading Report Logic'!$A$2:$B$8,2,FALSE)-1)&amp;"]"))), FALSE)),
IF($J$2="FLA",
IF(VLOOKUP($A450, YES_Reading_FLA[], COLUMN(IF(VLOOKUP($D$2,'Reading Report Logic'!$A$2:$B$8,2,FALSE)=1, YES_Reading_FLA[Reading Level June of Previous School Year],INDIRECT("YES_Reading_FLA[Instructional Reading Level - Per "&amp;(VLOOKUP($D$2,'Reading Report Logic'!$A$2:$B$8,2,FALSE)-1)&amp;"]"))),FALSE)="","",
VLOOKUP($A450,YES_Reading_FLA[], COLUMN(IF(VLOOKUP($D$2,'Reading Report Logic'!$A$2:$B$8,2,FALSE)=1, YES_Reading_FLA[Reading Level June of Previous School Year],INDIRECT("YES_Reading_FLA[Instructional Reading Level - Per "&amp;(VLOOKUP($D$2,'Reading Report Logic'!$A$2:$B$8,2,FALSE)-1)&amp;"]"))),FALSE)),
IF($J$2="Combined",
IFERROR(
IF(VLOOKUP($A450, YES_Reading_ELA[], COLUMN(IF(VLOOKUP($D$2,'Reading Report Logic'!$A$2:$B$8,2,FALSE)=1, YES_Reading_ELA[Reading Level June of Previous School Year],INDIRECT("YES_Reading_ELA[Instructional Reading Level - Per "&amp;(VLOOKUP($D$2,'Reading Report Logic'!$A$2:$B$8,2,FALSE)-1)&amp;"]"))), FALSE)="", "",
VLOOKUP($A450,YES_Reading_ELA[],COLUMN(IF(VLOOKUP($D$2,'Reading Report Logic'!$A$2:$B$8,2,FALSE)=1, YES_Reading_ELA[Reading Level June of Previous School Year],INDIRECT("YES_Reading_ELA[Instructional Reading Level - Per "&amp;(VLOOKUP($D$2,'Reading Report Logic'!$A$2:$B$8,2,FALSE)-1)&amp;"]"))),FALSE)),
IF(VLOOKUP($A450, YES_Reading_FLA[], COLUMN(IF(VLOOKUP($D$2,'Reading Report Logic'!$A$2:$B$8,2,FALSE)=1, YES_Reading_FLA[Reading Level June of Previous School Year],INDIRECT("YES_Reading_FLA[Instructional Reading Level - Per "&amp;(VLOOKUP($D$2,'Reading Report Logic'!$A$2:$B$8,2,FALSE)-1)&amp;"]"))),FALSE)="", "", VLOOKUP($A450,YES_Reading_FLA[],COLUMN(IF(VLOOKUP($D$2,'Reading Report Logic'!$A$2:$B$8,2,FALSE)=1, YES_Reading_FLA[Reading Level June of Previous School Year],INDIRECT("YES_Reading_FLA[Instructional Reading Level - Per "&amp;(VLOOKUP($D$2,'Reading Report Logic'!$A$2:$B$8,2,FALSE)-1)&amp;"]"))), FALSE))),""))),"")</f>
        <v/>
      </c>
      <c r="D450" s="204" t="str" cm="1">
        <f t="array" aca="1" ref="D450" ca="1">IFERROR(
IF($J$2="ELA",
IF(VLOOKUP($A450, YES_Reading_ELA[], COLUMN(INDIRECT("YES_Reading_ELA[Instructional Reading Level - Per "&amp;VLOOKUP($D$2, 'Reading Report Logic'!$A$2:$B$8, 2, FALSE)&amp;"]")), FALSE)="", "",
VLOOKUP($A450,YES_Reading_ELA[], COLUMN(INDIRECT("YES_Reading_ELA[Instructional Reading Level - Per "&amp;VLOOKUP($D$2,'Reading Report Logic'!$A$2:$B$8,2,FALSE)&amp;"]")), FALSE)),
IF($J$2="FLA",
IF(VLOOKUP($A450, YES_Reading_FLA[], COLUMN(INDIRECT("YES_Reading_FLA[Instructional Reading Level - Per "&amp;VLOOKUP($D$2,'Reading Report Logic'!$A$2:$B$8,2,FALSE)&amp;"]")),FALSE)="","",
VLOOKUP($A450,YES_Reading_FLA[],COLUMN(INDIRECT("YES_Reading_FLA[Instructional Reading Level - Per "&amp;VLOOKUP($D$2,'Reading Report Logic'!$A$2:$B$8,2,FALSE)&amp;"]")),FALSE)),
IF($J$2="Combined",
IFERROR(
IF(VLOOKUP($A450, YES_Reading_ELA[], COLUMN(INDIRECT("YES_Reading_ELA[Instructional Reading Level - Per "&amp;VLOOKUP($D$2, 'Reading Report Logic'!$A$2:$B$8,2,FALSE)&amp;"]")), FALSE)="", "",
VLOOKUP($A450,YES_Reading_ELA[],COLUMN(INDIRECT("YES_Reading_ELA[Instructional Reading Level - Per "&amp;VLOOKUP($D$2,'Reading Report Logic'!$A$2:$B$8,2,FALSE)&amp;"]")),FALSE)),
IF(VLOOKUP($A450, YES_Reading_FLA[], COLUMN(INDIRECT("YES_Reading_FLA[Instructional Reading Level - Per "&amp;VLOOKUP($D$2, 'Reading Report Logic'!$A$2:$B$8, 2, FALSE)&amp;"]")),FALSE)="", "", VLOOKUP($A450,YES_Reading_FLA[],COLUMN(INDIRECT("YES_Reading_FLA[Instructional Reading Level - Per "&amp;VLOOKUP($D$2, 'Reading Report Logic'!$A$2:$B$8, 2, FALSE)&amp;"]")),FALSE))),""))),"")</f>
        <v/>
      </c>
      <c r="E450" s="205" t="str" cm="1">
        <f t="array" aca="1" ref="E450" ca="1">IFERROR(
IF($J$2="ELA",
IF(VLOOKUP($A450, YES_Reading_ELA[], COLUMN(INDIRECT("YES_Reading_ELA[Min Expectation - Per "&amp;VLOOKUP($D$2, 'Reading Report Logic'!$A$2:$B$8, 2, FALSE)&amp;"]")), FALSE)="", "",
VLOOKUP($A450,YES_Reading_ELA[], COLUMN(INDIRECT("YES_Reading_ELA[Min Expectation - Per "&amp;VLOOKUP($D$2,'Reading Report Logic'!$A$2:$B$8,2,FALSE)&amp;"]")), FALSE)),
IF($J$2="FLA",
IF(VLOOKUP($A450, YES_Reading_FLA[], COLUMN(INDIRECT("YES_Reading_FLA[Min Expectation - Per "&amp;VLOOKUP($D$2,'Reading Report Logic'!$A$2:$B$8,2,FALSE)&amp;"]")),FALSE)="","",
VLOOKUP($A450,YES_Reading_FLA[],COLUMN(INDIRECT("YES_Reading_FLA[Min Expectation - Per "&amp;VLOOKUP($D$2,'Reading Report Logic'!$A$2:$B$8,2,FALSE)&amp;"]")),FALSE)),
IF($J$2="Combined",
IFERROR(
IF(VLOOKUP($A450, YES_Reading_ELA[], COLUMN(INDIRECT("YES_Reading_ELA[Min Expectation - Per "&amp;VLOOKUP($D$2, 'Reading Report Logic'!$A$2:$B$8,2,FALSE)&amp;"]")), FALSE)="", "",
VLOOKUP($A450,YES_Reading_ELA[],COLUMN(INDIRECT("YES_Reading_ELA[Min Expectation - Per "&amp;VLOOKUP($D$2,'Reading Report Logic'!$A$2:$B$8,2,FALSE)&amp;"]")),FALSE)),
IF(VLOOKUP($A450, YES_Reading_FLA[], COLUMN(INDIRECT("YES_Reading_FLA[Min Expectation - Per "&amp;VLOOKUP($D$2, 'Reading Report Logic'!$A$2:$B$8, 2, FALSE)&amp;"]")),FALSE)="", "", VLOOKUP($A450,YES_Reading_FLA[],COLUMN(INDIRECT("YES_Reading_FLA[Min Expectation - Per "&amp;VLOOKUP($D$2, 'Reading Report Logic'!$A$2:$B$8, 2, FALSE)&amp;"]")),FALSE))),""))),"")</f>
        <v/>
      </c>
      <c r="F450" s="205" t="str" cm="1">
        <f t="array" aca="1" ref="F450" ca="1">IFERROR(
IF($J$2="ELA",
IF(VLOOKUP($A450, YES_Reading_ELA[], COLUMN(INDIRECT("YES_Reading_ELA[Max Expectation - Per "&amp;VLOOKUP($D$2, 'Reading Report Logic'!$A$2:$B$8, 2, FALSE)&amp;"]")), FALSE)="", "",
VLOOKUP($A450,YES_Reading_ELA[], COLUMN(INDIRECT("YES_Reading_ELA[Max Expectation - Per "&amp;VLOOKUP($D$2,'Reading Report Logic'!$A$2:$B$8,2,FALSE)&amp;"]")), FALSE)),
IF($J$2="FLA",
IF(VLOOKUP($A450, YES_Reading_FLA[], COLUMN(INDIRECT("YES_Reading_FLA[Max Expectation - Per "&amp;VLOOKUP($D$2,'Reading Report Logic'!$A$2:$B$8,2,FALSE)&amp;"]")),FALSE)="","",
VLOOKUP($A450,YES_Reading_FLA[],COLUMN(INDIRECT("YES_Reading_FLA[Max Expectation - Per "&amp;VLOOKUP($D$2,'Reading Report Logic'!$A$2:$B$8,2,FALSE)&amp;"]")),FALSE)),
IF($J$2="Combined",
IFERROR(
IF(VLOOKUP($A450, YES_Reading_ELA[], COLUMN(INDIRECT("YES_Reading_ELA[Max Expectation - Per "&amp;VLOOKUP($D$2, 'Reading Report Logic'!$A$2:$B$8,2,FALSE)&amp;"]")), FALSE)="", "",
VLOOKUP($A450,YES_Reading_ELA[],COLUMN(INDIRECT("YES_Reading_ELA[Max Expectation - Per "&amp;VLOOKUP($D$2,'Reading Report Logic'!$A$2:$B$8,2,FALSE)&amp;"]")),FALSE)),
IF(VLOOKUP($A450, YES_Reading_FLA[], COLUMN(INDIRECT("YES_Reading_FLA[Max Expectation - Per "&amp;VLOOKUP($D$2, 'Reading Report Logic'!$A$2:$B$8, 2, FALSE)&amp;"]")),FALSE)="", "", VLOOKUP($A450,YES_Reading_FLA[],COLUMN(INDIRECT("YES_Reading_FLA[Max Expectation - Per "&amp;VLOOKUP($D$2, 'Reading Report Logic'!$A$2:$B$8, 2, FALSE)&amp;"]")),FALSE))),""))),"")</f>
        <v/>
      </c>
      <c r="G450" s="205" t="str" cm="1">
        <f t="array" aca="1" ref="G450" ca="1">IFERROR(
IF($J$2="ELA",
IF(VLOOKUP($A450, YES_Reading_ELA[], COLUMN(INDIRECT("YES_Reading_ELA[Difference - Per "&amp;VLOOKUP($D$2, 'Reading Report Logic'!$A$2:$B$8, 2, FALSE)&amp;"]")), FALSE)="", "",
VLOOKUP($A450,YES_Reading_ELA[], COLUMN(INDIRECT("YES_Reading_ELA[Difference - Per "&amp;VLOOKUP($D$2,'Reading Report Logic'!$A$2:$B$8,2,FALSE)&amp;"]")), FALSE)),
IF($J$2="FLA",
IF(VLOOKUP($A450, YES_Reading_FLA[], COLUMN(INDIRECT("YES_Reading_FLA[Difference - Per "&amp;VLOOKUP($D$2,'Reading Report Logic'!$A$2:$B$8,2,FALSE)&amp;"]")),FALSE)="","",
VLOOKUP($A450,YES_Reading_FLA[],COLUMN(INDIRECT("YES_Reading_FLA[Difference - Per "&amp;VLOOKUP($D$2,'Reading Report Logic'!$A$2:$B$8,2,FALSE)&amp;"]")),FALSE)),
IF($J$2="Combined",
IFERROR(
IF(VLOOKUP($A450, YES_Reading_ELA[], COLUMN(INDIRECT("YES_Reading_ELA[Difference - Per "&amp;VLOOKUP($D$2, 'Reading Report Logic'!$A$2:$B$8,2,FALSE)&amp;"]")), FALSE)="", "",
VLOOKUP($A450,YES_Reading_ELA[],COLUMN(INDIRECT("YES_Reading_ELA[Difference - Per "&amp;VLOOKUP($D$2,'Reading Report Logic'!$A$2:$B$8,2,FALSE)&amp;"]")),FALSE)),
IF(VLOOKUP($A450, YES_Reading_FLA[], COLUMN(INDIRECT("YES_Reading_FLA[Difference - Per "&amp;VLOOKUP($D$2, 'Reading Report Logic'!$A$2:$B$8, 2, FALSE)&amp;"]")),FALSE)="", "", VLOOKUP($A450,YES_Reading_FLA[],COLUMN(INDIRECT("YES_Reading_FLA[Difference - Per "&amp;VLOOKUP($D$2, 'Reading Report Logic'!$A$2:$B$8, 2, FALSE)&amp;"]")),FALSE))),""))),"")</f>
        <v/>
      </c>
      <c r="H450" s="206" t="str">
        <f ca="1">IFERROR(VLOOKUP('Teacher Reading Pull Sheets'!$D450,_xlfn.VSTACK('ELA Reading Logic'!$A$22:$B$48,'FLA Reading Logic'!$A$22:$B$53),2,FALSE)-VLOOKUP('Teacher Reading Pull Sheets'!$C450,_xlfn.VSTACK('ELA Reading Logic'!$A$22:$B$48,'FLA Reading Logic'!$A$22:$B$53),2,FALSE),"")</f>
        <v/>
      </c>
      <c r="I450" s="212"/>
      <c r="J450" s="206"/>
      <c r="K450" s="197" t="str" cm="1">
        <f t="array" ref="K450">IFERROR(
IF($J$2="ELA",
IF(VLOOKUP($A450, YES_Reading_ELA[], COLUMN(YES_Reading_ELA[Self-Identified as African Descent]), FALSE)="", "",
VLOOKUP($A450,YES_Reading_ELA[], COLUMN(YES_Reading_ELA[Self-Identified as African Descent]), FALSE)),
IF($J$2="FLA",
IF(VLOOKUP($A450, YES_Reading_FLA[], COLUMN(YES_Reading_FLA[Self-Identified as African Descent]),FALSE)="","",
VLOOKUP($A450,YES_Reading_FLA[],COLUMN(YES_Reading_FLA[Self-Identified as African Descent]),FALSE)),
IF($J$2="Combined",
IFERROR(
IF(VLOOKUP($A450, YES_Reading_ELA[], COLUMN(YES_Reading_ELA[Self-Identified as African Descent]), FALSE)="", "",
VLOOKUP($A450,YES_Reading_ELA[],COLUMN(YES_Reading_ELA[Self-Identified as African Descent]),FALSE)),
IF(VLOOKUP($A450, YES_Reading_FLA[], COLUMN(YES_Reading_FLA[Self-Identified as African Descent]),FALSE)="", "", VLOOKUP($A450,YES_Reading_FLA[],COLUMN(YES_Reading_FLA[Self-Identified as African Descent]),FALSE))),""))),"")</f>
        <v/>
      </c>
      <c r="L450" s="73" t="str" cm="1">
        <f t="array" ref="L450">IFERROR(
IF($J$2="ELA",
IF(VLOOKUP($A450, YES_Reading_ELA[], COLUMN(YES_Reading_ELA[Self-Identified as Indigenous]), FALSE)="", "",
VLOOKUP($A450,YES_Reading_ELA[], COLUMN(YES_Reading_ELA[Self-Identified as Indigenous]), FALSE)),
IF($J$2="FLA",
IF(VLOOKUP($A450, YES_Reading_FLA[], COLUMN(YES_Reading_FLA[Self-Identified as Indigenous]),FALSE)="","",
VLOOKUP($A450,YES_Reading_FLA[],COLUMN(YES_Reading_FLA[Self-Identified as Indigenous]),FALSE)),
IF($J$2="Combined",
IFERROR(
IF(VLOOKUP($A450, YES_Reading_ELA[], COLUMN(YES_Reading_ELA[Self-Identified as Indigenous]), FALSE)="", "",
VLOOKUP($A450,YES_Reading_ELA[],COLUMN(YES_Reading_ELA[Self-Identified as Indigenous]),FALSE)),
IF(VLOOKUP($A450, YES_Reading_FLA[], COLUMN(YES_Reading_FLA[Self-Identified as Indigenous]),FALSE)="", "", VLOOKUP($A450,YES_Reading_FLA[],COLUMN(YES_Reading_FLA[Self-Identified as Indigenous]),FALSE))),""))),"")</f>
        <v/>
      </c>
    </row>
    <row r="451" spans="1:12" ht="19.5" customHeight="1" x14ac:dyDescent="0.25">
      <c r="A451" s="217"/>
      <c r="B451" s="220" t="str">
        <f>IFERROR(VLOOKUP(A451,_xlfn.VSTACK(YES_Reading_ELA[],YES_Reading_FLA[]),2,FALSE),"")</f>
        <v/>
      </c>
      <c r="C451" s="203" t="str" cm="1">
        <f t="array" aca="1" ref="C451" ca="1">IFERROR(
IF($J$2="ELA",
IF(VLOOKUP($A451, YES_Reading_ELA[], COLUMN(IF(VLOOKUP($D$2, 'Reading Report Logic'!$A$2:$B$8, 2, FALSE)=1, YES_Reading_ELA[Reading Level June of Previous School Year], INDIRECT("YES_Reading_ELA[Instructional Reading Level - Per "&amp;(VLOOKUP($D$2,'Reading Report Logic'!$A$2:$B$8,2,FALSE)-1)&amp;"]"))), FALSE)="", "",
VLOOKUP($A451,YES_Reading_ELA[], COLUMN(IF(VLOOKUP($D$2,'Reading Report Logic'!$A$2:$B$8,2,FALSE)=1, YES_Reading_ELA[Reading Level June of Previous School Year],INDIRECT("YES_Reading_ELA[Instructional Reading Level - Per "&amp;(VLOOKUP($D$2,'Reading Report Logic'!$A$2:$B$8,2,FALSE)-1)&amp;"]"))), FALSE)),
IF($J$2="FLA",
IF(VLOOKUP($A451, YES_Reading_FLA[], COLUMN(IF(VLOOKUP($D$2,'Reading Report Logic'!$A$2:$B$8,2,FALSE)=1, YES_Reading_FLA[Reading Level June of Previous School Year],INDIRECT("YES_Reading_FLA[Instructional Reading Level - Per "&amp;(VLOOKUP($D$2,'Reading Report Logic'!$A$2:$B$8,2,FALSE)-1)&amp;"]"))),FALSE)="","",
VLOOKUP($A451,YES_Reading_FLA[], COLUMN(IF(VLOOKUP($D$2,'Reading Report Logic'!$A$2:$B$8,2,FALSE)=1, YES_Reading_FLA[Reading Level June of Previous School Year],INDIRECT("YES_Reading_FLA[Instructional Reading Level - Per "&amp;(VLOOKUP($D$2,'Reading Report Logic'!$A$2:$B$8,2,FALSE)-1)&amp;"]"))),FALSE)),
IF($J$2="Combined",
IFERROR(
IF(VLOOKUP($A451, YES_Reading_ELA[], COLUMN(IF(VLOOKUP($D$2,'Reading Report Logic'!$A$2:$B$8,2,FALSE)=1, YES_Reading_ELA[Reading Level June of Previous School Year],INDIRECT("YES_Reading_ELA[Instructional Reading Level - Per "&amp;(VLOOKUP($D$2,'Reading Report Logic'!$A$2:$B$8,2,FALSE)-1)&amp;"]"))), FALSE)="", "",
VLOOKUP($A451,YES_Reading_ELA[],COLUMN(IF(VLOOKUP($D$2,'Reading Report Logic'!$A$2:$B$8,2,FALSE)=1, YES_Reading_ELA[Reading Level June of Previous School Year],INDIRECT("YES_Reading_ELA[Instructional Reading Level - Per "&amp;(VLOOKUP($D$2,'Reading Report Logic'!$A$2:$B$8,2,FALSE)-1)&amp;"]"))),FALSE)),
IF(VLOOKUP($A451, YES_Reading_FLA[], COLUMN(IF(VLOOKUP($D$2,'Reading Report Logic'!$A$2:$B$8,2,FALSE)=1, YES_Reading_FLA[Reading Level June of Previous School Year],INDIRECT("YES_Reading_FLA[Instructional Reading Level - Per "&amp;(VLOOKUP($D$2,'Reading Report Logic'!$A$2:$B$8,2,FALSE)-1)&amp;"]"))),FALSE)="", "", VLOOKUP($A451,YES_Reading_FLA[],COLUMN(IF(VLOOKUP($D$2,'Reading Report Logic'!$A$2:$B$8,2,FALSE)=1, YES_Reading_FLA[Reading Level June of Previous School Year],INDIRECT("YES_Reading_FLA[Instructional Reading Level - Per "&amp;(VLOOKUP($D$2,'Reading Report Logic'!$A$2:$B$8,2,FALSE)-1)&amp;"]"))), FALSE))),""))),"")</f>
        <v/>
      </c>
      <c r="D451" s="204" t="str" cm="1">
        <f t="array" aca="1" ref="D451" ca="1">IFERROR(
IF($J$2="ELA",
IF(VLOOKUP($A451, YES_Reading_ELA[], COLUMN(INDIRECT("YES_Reading_ELA[Instructional Reading Level - Per "&amp;VLOOKUP($D$2, 'Reading Report Logic'!$A$2:$B$8, 2, FALSE)&amp;"]")), FALSE)="", "",
VLOOKUP($A451,YES_Reading_ELA[], COLUMN(INDIRECT("YES_Reading_ELA[Instructional Reading Level - Per "&amp;VLOOKUP($D$2,'Reading Report Logic'!$A$2:$B$8,2,FALSE)&amp;"]")), FALSE)),
IF($J$2="FLA",
IF(VLOOKUP($A451, YES_Reading_FLA[], COLUMN(INDIRECT("YES_Reading_FLA[Instructional Reading Level - Per "&amp;VLOOKUP($D$2,'Reading Report Logic'!$A$2:$B$8,2,FALSE)&amp;"]")),FALSE)="","",
VLOOKUP($A451,YES_Reading_FLA[],COLUMN(INDIRECT("YES_Reading_FLA[Instructional Reading Level - Per "&amp;VLOOKUP($D$2,'Reading Report Logic'!$A$2:$B$8,2,FALSE)&amp;"]")),FALSE)),
IF($J$2="Combined",
IFERROR(
IF(VLOOKUP($A451, YES_Reading_ELA[], COLUMN(INDIRECT("YES_Reading_ELA[Instructional Reading Level - Per "&amp;VLOOKUP($D$2, 'Reading Report Logic'!$A$2:$B$8,2,FALSE)&amp;"]")), FALSE)="", "",
VLOOKUP($A451,YES_Reading_ELA[],COLUMN(INDIRECT("YES_Reading_ELA[Instructional Reading Level - Per "&amp;VLOOKUP($D$2,'Reading Report Logic'!$A$2:$B$8,2,FALSE)&amp;"]")),FALSE)),
IF(VLOOKUP($A451, YES_Reading_FLA[], COLUMN(INDIRECT("YES_Reading_FLA[Instructional Reading Level - Per "&amp;VLOOKUP($D$2, 'Reading Report Logic'!$A$2:$B$8, 2, FALSE)&amp;"]")),FALSE)="", "", VLOOKUP($A451,YES_Reading_FLA[],COLUMN(INDIRECT("YES_Reading_FLA[Instructional Reading Level - Per "&amp;VLOOKUP($D$2, 'Reading Report Logic'!$A$2:$B$8, 2, FALSE)&amp;"]")),FALSE))),""))),"")</f>
        <v/>
      </c>
      <c r="E451" s="205" t="str" cm="1">
        <f t="array" aca="1" ref="E451" ca="1">IFERROR(
IF($J$2="ELA",
IF(VLOOKUP($A451, YES_Reading_ELA[], COLUMN(INDIRECT("YES_Reading_ELA[Min Expectation - Per "&amp;VLOOKUP($D$2, 'Reading Report Logic'!$A$2:$B$8, 2, FALSE)&amp;"]")), FALSE)="", "",
VLOOKUP($A451,YES_Reading_ELA[], COLUMN(INDIRECT("YES_Reading_ELA[Min Expectation - Per "&amp;VLOOKUP($D$2,'Reading Report Logic'!$A$2:$B$8,2,FALSE)&amp;"]")), FALSE)),
IF($J$2="FLA",
IF(VLOOKUP($A451, YES_Reading_FLA[], COLUMN(INDIRECT("YES_Reading_FLA[Min Expectation - Per "&amp;VLOOKUP($D$2,'Reading Report Logic'!$A$2:$B$8,2,FALSE)&amp;"]")),FALSE)="","",
VLOOKUP($A451,YES_Reading_FLA[],COLUMN(INDIRECT("YES_Reading_FLA[Min Expectation - Per "&amp;VLOOKUP($D$2,'Reading Report Logic'!$A$2:$B$8,2,FALSE)&amp;"]")),FALSE)),
IF($J$2="Combined",
IFERROR(
IF(VLOOKUP($A451, YES_Reading_ELA[], COLUMN(INDIRECT("YES_Reading_ELA[Min Expectation - Per "&amp;VLOOKUP($D$2, 'Reading Report Logic'!$A$2:$B$8,2,FALSE)&amp;"]")), FALSE)="", "",
VLOOKUP($A451,YES_Reading_ELA[],COLUMN(INDIRECT("YES_Reading_ELA[Min Expectation - Per "&amp;VLOOKUP($D$2,'Reading Report Logic'!$A$2:$B$8,2,FALSE)&amp;"]")),FALSE)),
IF(VLOOKUP($A451, YES_Reading_FLA[], COLUMN(INDIRECT("YES_Reading_FLA[Min Expectation - Per "&amp;VLOOKUP($D$2, 'Reading Report Logic'!$A$2:$B$8, 2, FALSE)&amp;"]")),FALSE)="", "", VLOOKUP($A451,YES_Reading_FLA[],COLUMN(INDIRECT("YES_Reading_FLA[Min Expectation - Per "&amp;VLOOKUP($D$2, 'Reading Report Logic'!$A$2:$B$8, 2, FALSE)&amp;"]")),FALSE))),""))),"")</f>
        <v/>
      </c>
      <c r="F451" s="205" t="str" cm="1">
        <f t="array" aca="1" ref="F451" ca="1">IFERROR(
IF($J$2="ELA",
IF(VLOOKUP($A451, YES_Reading_ELA[], COLUMN(INDIRECT("YES_Reading_ELA[Max Expectation - Per "&amp;VLOOKUP($D$2, 'Reading Report Logic'!$A$2:$B$8, 2, FALSE)&amp;"]")), FALSE)="", "",
VLOOKUP($A451,YES_Reading_ELA[], COLUMN(INDIRECT("YES_Reading_ELA[Max Expectation - Per "&amp;VLOOKUP($D$2,'Reading Report Logic'!$A$2:$B$8,2,FALSE)&amp;"]")), FALSE)),
IF($J$2="FLA",
IF(VLOOKUP($A451, YES_Reading_FLA[], COLUMN(INDIRECT("YES_Reading_FLA[Max Expectation - Per "&amp;VLOOKUP($D$2,'Reading Report Logic'!$A$2:$B$8,2,FALSE)&amp;"]")),FALSE)="","",
VLOOKUP($A451,YES_Reading_FLA[],COLUMN(INDIRECT("YES_Reading_FLA[Max Expectation - Per "&amp;VLOOKUP($D$2,'Reading Report Logic'!$A$2:$B$8,2,FALSE)&amp;"]")),FALSE)),
IF($J$2="Combined",
IFERROR(
IF(VLOOKUP($A451, YES_Reading_ELA[], COLUMN(INDIRECT("YES_Reading_ELA[Max Expectation - Per "&amp;VLOOKUP($D$2, 'Reading Report Logic'!$A$2:$B$8,2,FALSE)&amp;"]")), FALSE)="", "",
VLOOKUP($A451,YES_Reading_ELA[],COLUMN(INDIRECT("YES_Reading_ELA[Max Expectation - Per "&amp;VLOOKUP($D$2,'Reading Report Logic'!$A$2:$B$8,2,FALSE)&amp;"]")),FALSE)),
IF(VLOOKUP($A451, YES_Reading_FLA[], COLUMN(INDIRECT("YES_Reading_FLA[Max Expectation - Per "&amp;VLOOKUP($D$2, 'Reading Report Logic'!$A$2:$B$8, 2, FALSE)&amp;"]")),FALSE)="", "", VLOOKUP($A451,YES_Reading_FLA[],COLUMN(INDIRECT("YES_Reading_FLA[Max Expectation - Per "&amp;VLOOKUP($D$2, 'Reading Report Logic'!$A$2:$B$8, 2, FALSE)&amp;"]")),FALSE))),""))),"")</f>
        <v/>
      </c>
      <c r="G451" s="205" t="str" cm="1">
        <f t="array" aca="1" ref="G451" ca="1">IFERROR(
IF($J$2="ELA",
IF(VLOOKUP($A451, YES_Reading_ELA[], COLUMN(INDIRECT("YES_Reading_ELA[Difference - Per "&amp;VLOOKUP($D$2, 'Reading Report Logic'!$A$2:$B$8, 2, FALSE)&amp;"]")), FALSE)="", "",
VLOOKUP($A451,YES_Reading_ELA[], COLUMN(INDIRECT("YES_Reading_ELA[Difference - Per "&amp;VLOOKUP($D$2,'Reading Report Logic'!$A$2:$B$8,2,FALSE)&amp;"]")), FALSE)),
IF($J$2="FLA",
IF(VLOOKUP($A451, YES_Reading_FLA[], COLUMN(INDIRECT("YES_Reading_FLA[Difference - Per "&amp;VLOOKUP($D$2,'Reading Report Logic'!$A$2:$B$8,2,FALSE)&amp;"]")),FALSE)="","",
VLOOKUP($A451,YES_Reading_FLA[],COLUMN(INDIRECT("YES_Reading_FLA[Difference - Per "&amp;VLOOKUP($D$2,'Reading Report Logic'!$A$2:$B$8,2,FALSE)&amp;"]")),FALSE)),
IF($J$2="Combined",
IFERROR(
IF(VLOOKUP($A451, YES_Reading_ELA[], COLUMN(INDIRECT("YES_Reading_ELA[Difference - Per "&amp;VLOOKUP($D$2, 'Reading Report Logic'!$A$2:$B$8,2,FALSE)&amp;"]")), FALSE)="", "",
VLOOKUP($A451,YES_Reading_ELA[],COLUMN(INDIRECT("YES_Reading_ELA[Difference - Per "&amp;VLOOKUP($D$2,'Reading Report Logic'!$A$2:$B$8,2,FALSE)&amp;"]")),FALSE)),
IF(VLOOKUP($A451, YES_Reading_FLA[], COLUMN(INDIRECT("YES_Reading_FLA[Difference - Per "&amp;VLOOKUP($D$2, 'Reading Report Logic'!$A$2:$B$8, 2, FALSE)&amp;"]")),FALSE)="", "", VLOOKUP($A451,YES_Reading_FLA[],COLUMN(INDIRECT("YES_Reading_FLA[Difference - Per "&amp;VLOOKUP($D$2, 'Reading Report Logic'!$A$2:$B$8, 2, FALSE)&amp;"]")),FALSE))),""))),"")</f>
        <v/>
      </c>
      <c r="H451" s="206" t="str">
        <f ca="1">IFERROR(VLOOKUP('Teacher Reading Pull Sheets'!$D451,_xlfn.VSTACK('ELA Reading Logic'!$A$22:$B$48,'FLA Reading Logic'!$A$22:$B$53),2,FALSE)-VLOOKUP('Teacher Reading Pull Sheets'!$C451,_xlfn.VSTACK('ELA Reading Logic'!$A$22:$B$48,'FLA Reading Logic'!$A$22:$B$53),2,FALSE),"")</f>
        <v/>
      </c>
      <c r="I451" s="212"/>
      <c r="J451" s="206"/>
      <c r="K451" s="197" t="str" cm="1">
        <f t="array" ref="K451">IFERROR(
IF($J$2="ELA",
IF(VLOOKUP($A451, YES_Reading_ELA[], COLUMN(YES_Reading_ELA[Self-Identified as African Descent]), FALSE)="", "",
VLOOKUP($A451,YES_Reading_ELA[], COLUMN(YES_Reading_ELA[Self-Identified as African Descent]), FALSE)),
IF($J$2="FLA",
IF(VLOOKUP($A451, YES_Reading_FLA[], COLUMN(YES_Reading_FLA[Self-Identified as African Descent]),FALSE)="","",
VLOOKUP($A451,YES_Reading_FLA[],COLUMN(YES_Reading_FLA[Self-Identified as African Descent]),FALSE)),
IF($J$2="Combined",
IFERROR(
IF(VLOOKUP($A451, YES_Reading_ELA[], COLUMN(YES_Reading_ELA[Self-Identified as African Descent]), FALSE)="", "",
VLOOKUP($A451,YES_Reading_ELA[],COLUMN(YES_Reading_ELA[Self-Identified as African Descent]),FALSE)),
IF(VLOOKUP($A451, YES_Reading_FLA[], COLUMN(YES_Reading_FLA[Self-Identified as African Descent]),FALSE)="", "", VLOOKUP($A451,YES_Reading_FLA[],COLUMN(YES_Reading_FLA[Self-Identified as African Descent]),FALSE))),""))),"")</f>
        <v/>
      </c>
      <c r="L451" s="73" t="str" cm="1">
        <f t="array" ref="L451">IFERROR(
IF($J$2="ELA",
IF(VLOOKUP($A451, YES_Reading_ELA[], COLUMN(YES_Reading_ELA[Self-Identified as Indigenous]), FALSE)="", "",
VLOOKUP($A451,YES_Reading_ELA[], COLUMN(YES_Reading_ELA[Self-Identified as Indigenous]), FALSE)),
IF($J$2="FLA",
IF(VLOOKUP($A451, YES_Reading_FLA[], COLUMN(YES_Reading_FLA[Self-Identified as Indigenous]),FALSE)="","",
VLOOKUP($A451,YES_Reading_FLA[],COLUMN(YES_Reading_FLA[Self-Identified as Indigenous]),FALSE)),
IF($J$2="Combined",
IFERROR(
IF(VLOOKUP($A451, YES_Reading_ELA[], COLUMN(YES_Reading_ELA[Self-Identified as Indigenous]), FALSE)="", "",
VLOOKUP($A451,YES_Reading_ELA[],COLUMN(YES_Reading_ELA[Self-Identified as Indigenous]),FALSE)),
IF(VLOOKUP($A451, YES_Reading_FLA[], COLUMN(YES_Reading_FLA[Self-Identified as Indigenous]),FALSE)="", "", VLOOKUP($A451,YES_Reading_FLA[],COLUMN(YES_Reading_FLA[Self-Identified as Indigenous]),FALSE))),""))),"")</f>
        <v/>
      </c>
    </row>
    <row r="452" spans="1:12" ht="19.5" customHeight="1" x14ac:dyDescent="0.25">
      <c r="A452" s="217"/>
      <c r="B452" s="220" t="str">
        <f>IFERROR(VLOOKUP(A452,_xlfn.VSTACK(YES_Reading_ELA[],YES_Reading_FLA[]),2,FALSE),"")</f>
        <v/>
      </c>
      <c r="C452" s="203" t="str" cm="1">
        <f t="array" aca="1" ref="C452" ca="1">IFERROR(
IF($J$2="ELA",
IF(VLOOKUP($A452, YES_Reading_ELA[], COLUMN(IF(VLOOKUP($D$2, 'Reading Report Logic'!$A$2:$B$8, 2, FALSE)=1, YES_Reading_ELA[Reading Level June of Previous School Year], INDIRECT("YES_Reading_ELA[Instructional Reading Level - Per "&amp;(VLOOKUP($D$2,'Reading Report Logic'!$A$2:$B$8,2,FALSE)-1)&amp;"]"))), FALSE)="", "",
VLOOKUP($A452,YES_Reading_ELA[], COLUMN(IF(VLOOKUP($D$2,'Reading Report Logic'!$A$2:$B$8,2,FALSE)=1, YES_Reading_ELA[Reading Level June of Previous School Year],INDIRECT("YES_Reading_ELA[Instructional Reading Level - Per "&amp;(VLOOKUP($D$2,'Reading Report Logic'!$A$2:$B$8,2,FALSE)-1)&amp;"]"))), FALSE)),
IF($J$2="FLA",
IF(VLOOKUP($A452, YES_Reading_FLA[], COLUMN(IF(VLOOKUP($D$2,'Reading Report Logic'!$A$2:$B$8,2,FALSE)=1, YES_Reading_FLA[Reading Level June of Previous School Year],INDIRECT("YES_Reading_FLA[Instructional Reading Level - Per "&amp;(VLOOKUP($D$2,'Reading Report Logic'!$A$2:$B$8,2,FALSE)-1)&amp;"]"))),FALSE)="","",
VLOOKUP($A452,YES_Reading_FLA[], COLUMN(IF(VLOOKUP($D$2,'Reading Report Logic'!$A$2:$B$8,2,FALSE)=1, YES_Reading_FLA[Reading Level June of Previous School Year],INDIRECT("YES_Reading_FLA[Instructional Reading Level - Per "&amp;(VLOOKUP($D$2,'Reading Report Logic'!$A$2:$B$8,2,FALSE)-1)&amp;"]"))),FALSE)),
IF($J$2="Combined",
IFERROR(
IF(VLOOKUP($A452, YES_Reading_ELA[], COLUMN(IF(VLOOKUP($D$2,'Reading Report Logic'!$A$2:$B$8,2,FALSE)=1, YES_Reading_ELA[Reading Level June of Previous School Year],INDIRECT("YES_Reading_ELA[Instructional Reading Level - Per "&amp;(VLOOKUP($D$2,'Reading Report Logic'!$A$2:$B$8,2,FALSE)-1)&amp;"]"))), FALSE)="", "",
VLOOKUP($A452,YES_Reading_ELA[],COLUMN(IF(VLOOKUP($D$2,'Reading Report Logic'!$A$2:$B$8,2,FALSE)=1, YES_Reading_ELA[Reading Level June of Previous School Year],INDIRECT("YES_Reading_ELA[Instructional Reading Level - Per "&amp;(VLOOKUP($D$2,'Reading Report Logic'!$A$2:$B$8,2,FALSE)-1)&amp;"]"))),FALSE)),
IF(VLOOKUP($A452, YES_Reading_FLA[], COLUMN(IF(VLOOKUP($D$2,'Reading Report Logic'!$A$2:$B$8,2,FALSE)=1, YES_Reading_FLA[Reading Level June of Previous School Year],INDIRECT("YES_Reading_FLA[Instructional Reading Level - Per "&amp;(VLOOKUP($D$2,'Reading Report Logic'!$A$2:$B$8,2,FALSE)-1)&amp;"]"))),FALSE)="", "", VLOOKUP($A452,YES_Reading_FLA[],COLUMN(IF(VLOOKUP($D$2,'Reading Report Logic'!$A$2:$B$8,2,FALSE)=1, YES_Reading_FLA[Reading Level June of Previous School Year],INDIRECT("YES_Reading_FLA[Instructional Reading Level - Per "&amp;(VLOOKUP($D$2,'Reading Report Logic'!$A$2:$B$8,2,FALSE)-1)&amp;"]"))), FALSE))),""))),"")</f>
        <v/>
      </c>
      <c r="D452" s="204" t="str" cm="1">
        <f t="array" aca="1" ref="D452" ca="1">IFERROR(
IF($J$2="ELA",
IF(VLOOKUP($A452, YES_Reading_ELA[], COLUMN(INDIRECT("YES_Reading_ELA[Instructional Reading Level - Per "&amp;VLOOKUP($D$2, 'Reading Report Logic'!$A$2:$B$8, 2, FALSE)&amp;"]")), FALSE)="", "",
VLOOKUP($A452,YES_Reading_ELA[], COLUMN(INDIRECT("YES_Reading_ELA[Instructional Reading Level - Per "&amp;VLOOKUP($D$2,'Reading Report Logic'!$A$2:$B$8,2,FALSE)&amp;"]")), FALSE)),
IF($J$2="FLA",
IF(VLOOKUP($A452, YES_Reading_FLA[], COLUMN(INDIRECT("YES_Reading_FLA[Instructional Reading Level - Per "&amp;VLOOKUP($D$2,'Reading Report Logic'!$A$2:$B$8,2,FALSE)&amp;"]")),FALSE)="","",
VLOOKUP($A452,YES_Reading_FLA[],COLUMN(INDIRECT("YES_Reading_FLA[Instructional Reading Level - Per "&amp;VLOOKUP($D$2,'Reading Report Logic'!$A$2:$B$8,2,FALSE)&amp;"]")),FALSE)),
IF($J$2="Combined",
IFERROR(
IF(VLOOKUP($A452, YES_Reading_ELA[], COLUMN(INDIRECT("YES_Reading_ELA[Instructional Reading Level - Per "&amp;VLOOKUP($D$2, 'Reading Report Logic'!$A$2:$B$8,2,FALSE)&amp;"]")), FALSE)="", "",
VLOOKUP($A452,YES_Reading_ELA[],COLUMN(INDIRECT("YES_Reading_ELA[Instructional Reading Level - Per "&amp;VLOOKUP($D$2,'Reading Report Logic'!$A$2:$B$8,2,FALSE)&amp;"]")),FALSE)),
IF(VLOOKUP($A452, YES_Reading_FLA[], COLUMN(INDIRECT("YES_Reading_FLA[Instructional Reading Level - Per "&amp;VLOOKUP($D$2, 'Reading Report Logic'!$A$2:$B$8, 2, FALSE)&amp;"]")),FALSE)="", "", VLOOKUP($A452,YES_Reading_FLA[],COLUMN(INDIRECT("YES_Reading_FLA[Instructional Reading Level - Per "&amp;VLOOKUP($D$2, 'Reading Report Logic'!$A$2:$B$8, 2, FALSE)&amp;"]")),FALSE))),""))),"")</f>
        <v/>
      </c>
      <c r="E452" s="205" t="str" cm="1">
        <f t="array" aca="1" ref="E452" ca="1">IFERROR(
IF($J$2="ELA",
IF(VLOOKUP($A452, YES_Reading_ELA[], COLUMN(INDIRECT("YES_Reading_ELA[Min Expectation - Per "&amp;VLOOKUP($D$2, 'Reading Report Logic'!$A$2:$B$8, 2, FALSE)&amp;"]")), FALSE)="", "",
VLOOKUP($A452,YES_Reading_ELA[], COLUMN(INDIRECT("YES_Reading_ELA[Min Expectation - Per "&amp;VLOOKUP($D$2,'Reading Report Logic'!$A$2:$B$8,2,FALSE)&amp;"]")), FALSE)),
IF($J$2="FLA",
IF(VLOOKUP($A452, YES_Reading_FLA[], COLUMN(INDIRECT("YES_Reading_FLA[Min Expectation - Per "&amp;VLOOKUP($D$2,'Reading Report Logic'!$A$2:$B$8,2,FALSE)&amp;"]")),FALSE)="","",
VLOOKUP($A452,YES_Reading_FLA[],COLUMN(INDIRECT("YES_Reading_FLA[Min Expectation - Per "&amp;VLOOKUP($D$2,'Reading Report Logic'!$A$2:$B$8,2,FALSE)&amp;"]")),FALSE)),
IF($J$2="Combined",
IFERROR(
IF(VLOOKUP($A452, YES_Reading_ELA[], COLUMN(INDIRECT("YES_Reading_ELA[Min Expectation - Per "&amp;VLOOKUP($D$2, 'Reading Report Logic'!$A$2:$B$8,2,FALSE)&amp;"]")), FALSE)="", "",
VLOOKUP($A452,YES_Reading_ELA[],COLUMN(INDIRECT("YES_Reading_ELA[Min Expectation - Per "&amp;VLOOKUP($D$2,'Reading Report Logic'!$A$2:$B$8,2,FALSE)&amp;"]")),FALSE)),
IF(VLOOKUP($A452, YES_Reading_FLA[], COLUMN(INDIRECT("YES_Reading_FLA[Min Expectation - Per "&amp;VLOOKUP($D$2, 'Reading Report Logic'!$A$2:$B$8, 2, FALSE)&amp;"]")),FALSE)="", "", VLOOKUP($A452,YES_Reading_FLA[],COLUMN(INDIRECT("YES_Reading_FLA[Min Expectation - Per "&amp;VLOOKUP($D$2, 'Reading Report Logic'!$A$2:$B$8, 2, FALSE)&amp;"]")),FALSE))),""))),"")</f>
        <v/>
      </c>
      <c r="F452" s="205" t="str" cm="1">
        <f t="array" aca="1" ref="F452" ca="1">IFERROR(
IF($J$2="ELA",
IF(VLOOKUP($A452, YES_Reading_ELA[], COLUMN(INDIRECT("YES_Reading_ELA[Max Expectation - Per "&amp;VLOOKUP($D$2, 'Reading Report Logic'!$A$2:$B$8, 2, FALSE)&amp;"]")), FALSE)="", "",
VLOOKUP($A452,YES_Reading_ELA[], COLUMN(INDIRECT("YES_Reading_ELA[Max Expectation - Per "&amp;VLOOKUP($D$2,'Reading Report Logic'!$A$2:$B$8,2,FALSE)&amp;"]")), FALSE)),
IF($J$2="FLA",
IF(VLOOKUP($A452, YES_Reading_FLA[], COLUMN(INDIRECT("YES_Reading_FLA[Max Expectation - Per "&amp;VLOOKUP($D$2,'Reading Report Logic'!$A$2:$B$8,2,FALSE)&amp;"]")),FALSE)="","",
VLOOKUP($A452,YES_Reading_FLA[],COLUMN(INDIRECT("YES_Reading_FLA[Max Expectation - Per "&amp;VLOOKUP($D$2,'Reading Report Logic'!$A$2:$B$8,2,FALSE)&amp;"]")),FALSE)),
IF($J$2="Combined",
IFERROR(
IF(VLOOKUP($A452, YES_Reading_ELA[], COLUMN(INDIRECT("YES_Reading_ELA[Max Expectation - Per "&amp;VLOOKUP($D$2, 'Reading Report Logic'!$A$2:$B$8,2,FALSE)&amp;"]")), FALSE)="", "",
VLOOKUP($A452,YES_Reading_ELA[],COLUMN(INDIRECT("YES_Reading_ELA[Max Expectation - Per "&amp;VLOOKUP($D$2,'Reading Report Logic'!$A$2:$B$8,2,FALSE)&amp;"]")),FALSE)),
IF(VLOOKUP($A452, YES_Reading_FLA[], COLUMN(INDIRECT("YES_Reading_FLA[Max Expectation - Per "&amp;VLOOKUP($D$2, 'Reading Report Logic'!$A$2:$B$8, 2, FALSE)&amp;"]")),FALSE)="", "", VLOOKUP($A452,YES_Reading_FLA[],COLUMN(INDIRECT("YES_Reading_FLA[Max Expectation - Per "&amp;VLOOKUP($D$2, 'Reading Report Logic'!$A$2:$B$8, 2, FALSE)&amp;"]")),FALSE))),""))),"")</f>
        <v/>
      </c>
      <c r="G452" s="205" t="str" cm="1">
        <f t="array" aca="1" ref="G452" ca="1">IFERROR(
IF($J$2="ELA",
IF(VLOOKUP($A452, YES_Reading_ELA[], COLUMN(INDIRECT("YES_Reading_ELA[Difference - Per "&amp;VLOOKUP($D$2, 'Reading Report Logic'!$A$2:$B$8, 2, FALSE)&amp;"]")), FALSE)="", "",
VLOOKUP($A452,YES_Reading_ELA[], COLUMN(INDIRECT("YES_Reading_ELA[Difference - Per "&amp;VLOOKUP($D$2,'Reading Report Logic'!$A$2:$B$8,2,FALSE)&amp;"]")), FALSE)),
IF($J$2="FLA",
IF(VLOOKUP($A452, YES_Reading_FLA[], COLUMN(INDIRECT("YES_Reading_FLA[Difference - Per "&amp;VLOOKUP($D$2,'Reading Report Logic'!$A$2:$B$8,2,FALSE)&amp;"]")),FALSE)="","",
VLOOKUP($A452,YES_Reading_FLA[],COLUMN(INDIRECT("YES_Reading_FLA[Difference - Per "&amp;VLOOKUP($D$2,'Reading Report Logic'!$A$2:$B$8,2,FALSE)&amp;"]")),FALSE)),
IF($J$2="Combined",
IFERROR(
IF(VLOOKUP($A452, YES_Reading_ELA[], COLUMN(INDIRECT("YES_Reading_ELA[Difference - Per "&amp;VLOOKUP($D$2, 'Reading Report Logic'!$A$2:$B$8,2,FALSE)&amp;"]")), FALSE)="", "",
VLOOKUP($A452,YES_Reading_ELA[],COLUMN(INDIRECT("YES_Reading_ELA[Difference - Per "&amp;VLOOKUP($D$2,'Reading Report Logic'!$A$2:$B$8,2,FALSE)&amp;"]")),FALSE)),
IF(VLOOKUP($A452, YES_Reading_FLA[], COLUMN(INDIRECT("YES_Reading_FLA[Difference - Per "&amp;VLOOKUP($D$2, 'Reading Report Logic'!$A$2:$B$8, 2, FALSE)&amp;"]")),FALSE)="", "", VLOOKUP($A452,YES_Reading_FLA[],COLUMN(INDIRECT("YES_Reading_FLA[Difference - Per "&amp;VLOOKUP($D$2, 'Reading Report Logic'!$A$2:$B$8, 2, FALSE)&amp;"]")),FALSE))),""))),"")</f>
        <v/>
      </c>
      <c r="H452" s="206" t="str">
        <f ca="1">IFERROR(VLOOKUP('Teacher Reading Pull Sheets'!$D452,_xlfn.VSTACK('ELA Reading Logic'!$A$22:$B$48,'FLA Reading Logic'!$A$22:$B$53),2,FALSE)-VLOOKUP('Teacher Reading Pull Sheets'!$C452,_xlfn.VSTACK('ELA Reading Logic'!$A$22:$B$48,'FLA Reading Logic'!$A$22:$B$53),2,FALSE),"")</f>
        <v/>
      </c>
      <c r="I452" s="212"/>
      <c r="J452" s="206"/>
      <c r="K452" s="197" t="str" cm="1">
        <f t="array" ref="K452">IFERROR(
IF($J$2="ELA",
IF(VLOOKUP($A452, YES_Reading_ELA[], COLUMN(YES_Reading_ELA[Self-Identified as African Descent]), FALSE)="", "",
VLOOKUP($A452,YES_Reading_ELA[], COLUMN(YES_Reading_ELA[Self-Identified as African Descent]), FALSE)),
IF($J$2="FLA",
IF(VLOOKUP($A452, YES_Reading_FLA[], COLUMN(YES_Reading_FLA[Self-Identified as African Descent]),FALSE)="","",
VLOOKUP($A452,YES_Reading_FLA[],COLUMN(YES_Reading_FLA[Self-Identified as African Descent]),FALSE)),
IF($J$2="Combined",
IFERROR(
IF(VLOOKUP($A452, YES_Reading_ELA[], COLUMN(YES_Reading_ELA[Self-Identified as African Descent]), FALSE)="", "",
VLOOKUP($A452,YES_Reading_ELA[],COLUMN(YES_Reading_ELA[Self-Identified as African Descent]),FALSE)),
IF(VLOOKUP($A452, YES_Reading_FLA[], COLUMN(YES_Reading_FLA[Self-Identified as African Descent]),FALSE)="", "", VLOOKUP($A452,YES_Reading_FLA[],COLUMN(YES_Reading_FLA[Self-Identified as African Descent]),FALSE))),""))),"")</f>
        <v/>
      </c>
      <c r="L452" s="73" t="str" cm="1">
        <f t="array" ref="L452">IFERROR(
IF($J$2="ELA",
IF(VLOOKUP($A452, YES_Reading_ELA[], COLUMN(YES_Reading_ELA[Self-Identified as Indigenous]), FALSE)="", "",
VLOOKUP($A452,YES_Reading_ELA[], COLUMN(YES_Reading_ELA[Self-Identified as Indigenous]), FALSE)),
IF($J$2="FLA",
IF(VLOOKUP($A452, YES_Reading_FLA[], COLUMN(YES_Reading_FLA[Self-Identified as Indigenous]),FALSE)="","",
VLOOKUP($A452,YES_Reading_FLA[],COLUMN(YES_Reading_FLA[Self-Identified as Indigenous]),FALSE)),
IF($J$2="Combined",
IFERROR(
IF(VLOOKUP($A452, YES_Reading_ELA[], COLUMN(YES_Reading_ELA[Self-Identified as Indigenous]), FALSE)="", "",
VLOOKUP($A452,YES_Reading_ELA[],COLUMN(YES_Reading_ELA[Self-Identified as Indigenous]),FALSE)),
IF(VLOOKUP($A452, YES_Reading_FLA[], COLUMN(YES_Reading_FLA[Self-Identified as Indigenous]),FALSE)="", "", VLOOKUP($A452,YES_Reading_FLA[],COLUMN(YES_Reading_FLA[Self-Identified as Indigenous]),FALSE))),""))),"")</f>
        <v/>
      </c>
    </row>
    <row r="453" spans="1:12" ht="19.5" customHeight="1" x14ac:dyDescent="0.25">
      <c r="A453" s="217"/>
      <c r="B453" s="220" t="str">
        <f>IFERROR(VLOOKUP(A453,_xlfn.VSTACK(YES_Reading_ELA[],YES_Reading_FLA[]),2,FALSE),"")</f>
        <v/>
      </c>
      <c r="C453" s="203" t="str" cm="1">
        <f t="array" aca="1" ref="C453" ca="1">IFERROR(
IF($J$2="ELA",
IF(VLOOKUP($A453, YES_Reading_ELA[], COLUMN(IF(VLOOKUP($D$2, 'Reading Report Logic'!$A$2:$B$8, 2, FALSE)=1, YES_Reading_ELA[Reading Level June of Previous School Year], INDIRECT("YES_Reading_ELA[Instructional Reading Level - Per "&amp;(VLOOKUP($D$2,'Reading Report Logic'!$A$2:$B$8,2,FALSE)-1)&amp;"]"))), FALSE)="", "",
VLOOKUP($A453,YES_Reading_ELA[], COLUMN(IF(VLOOKUP($D$2,'Reading Report Logic'!$A$2:$B$8,2,FALSE)=1, YES_Reading_ELA[Reading Level June of Previous School Year],INDIRECT("YES_Reading_ELA[Instructional Reading Level - Per "&amp;(VLOOKUP($D$2,'Reading Report Logic'!$A$2:$B$8,2,FALSE)-1)&amp;"]"))), FALSE)),
IF($J$2="FLA",
IF(VLOOKUP($A453, YES_Reading_FLA[], COLUMN(IF(VLOOKUP($D$2,'Reading Report Logic'!$A$2:$B$8,2,FALSE)=1, YES_Reading_FLA[Reading Level June of Previous School Year],INDIRECT("YES_Reading_FLA[Instructional Reading Level - Per "&amp;(VLOOKUP($D$2,'Reading Report Logic'!$A$2:$B$8,2,FALSE)-1)&amp;"]"))),FALSE)="","",
VLOOKUP($A453,YES_Reading_FLA[], COLUMN(IF(VLOOKUP($D$2,'Reading Report Logic'!$A$2:$B$8,2,FALSE)=1, YES_Reading_FLA[Reading Level June of Previous School Year],INDIRECT("YES_Reading_FLA[Instructional Reading Level - Per "&amp;(VLOOKUP($D$2,'Reading Report Logic'!$A$2:$B$8,2,FALSE)-1)&amp;"]"))),FALSE)),
IF($J$2="Combined",
IFERROR(
IF(VLOOKUP($A453, YES_Reading_ELA[], COLUMN(IF(VLOOKUP($D$2,'Reading Report Logic'!$A$2:$B$8,2,FALSE)=1, YES_Reading_ELA[Reading Level June of Previous School Year],INDIRECT("YES_Reading_ELA[Instructional Reading Level - Per "&amp;(VLOOKUP($D$2,'Reading Report Logic'!$A$2:$B$8,2,FALSE)-1)&amp;"]"))), FALSE)="", "",
VLOOKUP($A453,YES_Reading_ELA[],COLUMN(IF(VLOOKUP($D$2,'Reading Report Logic'!$A$2:$B$8,2,FALSE)=1, YES_Reading_ELA[Reading Level June of Previous School Year],INDIRECT("YES_Reading_ELA[Instructional Reading Level - Per "&amp;(VLOOKUP($D$2,'Reading Report Logic'!$A$2:$B$8,2,FALSE)-1)&amp;"]"))),FALSE)),
IF(VLOOKUP($A453, YES_Reading_FLA[], COLUMN(IF(VLOOKUP($D$2,'Reading Report Logic'!$A$2:$B$8,2,FALSE)=1, YES_Reading_FLA[Reading Level June of Previous School Year],INDIRECT("YES_Reading_FLA[Instructional Reading Level - Per "&amp;(VLOOKUP($D$2,'Reading Report Logic'!$A$2:$B$8,2,FALSE)-1)&amp;"]"))),FALSE)="", "", VLOOKUP($A453,YES_Reading_FLA[],COLUMN(IF(VLOOKUP($D$2,'Reading Report Logic'!$A$2:$B$8,2,FALSE)=1, YES_Reading_FLA[Reading Level June of Previous School Year],INDIRECT("YES_Reading_FLA[Instructional Reading Level - Per "&amp;(VLOOKUP($D$2,'Reading Report Logic'!$A$2:$B$8,2,FALSE)-1)&amp;"]"))), FALSE))),""))),"")</f>
        <v/>
      </c>
      <c r="D453" s="204" t="str" cm="1">
        <f t="array" aca="1" ref="D453" ca="1">IFERROR(
IF($J$2="ELA",
IF(VLOOKUP($A453, YES_Reading_ELA[], COLUMN(INDIRECT("YES_Reading_ELA[Instructional Reading Level - Per "&amp;VLOOKUP($D$2, 'Reading Report Logic'!$A$2:$B$8, 2, FALSE)&amp;"]")), FALSE)="", "",
VLOOKUP($A453,YES_Reading_ELA[], COLUMN(INDIRECT("YES_Reading_ELA[Instructional Reading Level - Per "&amp;VLOOKUP($D$2,'Reading Report Logic'!$A$2:$B$8,2,FALSE)&amp;"]")), FALSE)),
IF($J$2="FLA",
IF(VLOOKUP($A453, YES_Reading_FLA[], COLUMN(INDIRECT("YES_Reading_FLA[Instructional Reading Level - Per "&amp;VLOOKUP($D$2,'Reading Report Logic'!$A$2:$B$8,2,FALSE)&amp;"]")),FALSE)="","",
VLOOKUP($A453,YES_Reading_FLA[],COLUMN(INDIRECT("YES_Reading_FLA[Instructional Reading Level - Per "&amp;VLOOKUP($D$2,'Reading Report Logic'!$A$2:$B$8,2,FALSE)&amp;"]")),FALSE)),
IF($J$2="Combined",
IFERROR(
IF(VLOOKUP($A453, YES_Reading_ELA[], COLUMN(INDIRECT("YES_Reading_ELA[Instructional Reading Level - Per "&amp;VLOOKUP($D$2, 'Reading Report Logic'!$A$2:$B$8,2,FALSE)&amp;"]")), FALSE)="", "",
VLOOKUP($A453,YES_Reading_ELA[],COLUMN(INDIRECT("YES_Reading_ELA[Instructional Reading Level - Per "&amp;VLOOKUP($D$2,'Reading Report Logic'!$A$2:$B$8,2,FALSE)&amp;"]")),FALSE)),
IF(VLOOKUP($A453, YES_Reading_FLA[], COLUMN(INDIRECT("YES_Reading_FLA[Instructional Reading Level - Per "&amp;VLOOKUP($D$2, 'Reading Report Logic'!$A$2:$B$8, 2, FALSE)&amp;"]")),FALSE)="", "", VLOOKUP($A453,YES_Reading_FLA[],COLUMN(INDIRECT("YES_Reading_FLA[Instructional Reading Level - Per "&amp;VLOOKUP($D$2, 'Reading Report Logic'!$A$2:$B$8, 2, FALSE)&amp;"]")),FALSE))),""))),"")</f>
        <v/>
      </c>
      <c r="E453" s="205" t="str" cm="1">
        <f t="array" aca="1" ref="E453" ca="1">IFERROR(
IF($J$2="ELA",
IF(VLOOKUP($A453, YES_Reading_ELA[], COLUMN(INDIRECT("YES_Reading_ELA[Min Expectation - Per "&amp;VLOOKUP($D$2, 'Reading Report Logic'!$A$2:$B$8, 2, FALSE)&amp;"]")), FALSE)="", "",
VLOOKUP($A453,YES_Reading_ELA[], COLUMN(INDIRECT("YES_Reading_ELA[Min Expectation - Per "&amp;VLOOKUP($D$2,'Reading Report Logic'!$A$2:$B$8,2,FALSE)&amp;"]")), FALSE)),
IF($J$2="FLA",
IF(VLOOKUP($A453, YES_Reading_FLA[], COLUMN(INDIRECT("YES_Reading_FLA[Min Expectation - Per "&amp;VLOOKUP($D$2,'Reading Report Logic'!$A$2:$B$8,2,FALSE)&amp;"]")),FALSE)="","",
VLOOKUP($A453,YES_Reading_FLA[],COLUMN(INDIRECT("YES_Reading_FLA[Min Expectation - Per "&amp;VLOOKUP($D$2,'Reading Report Logic'!$A$2:$B$8,2,FALSE)&amp;"]")),FALSE)),
IF($J$2="Combined",
IFERROR(
IF(VLOOKUP($A453, YES_Reading_ELA[], COLUMN(INDIRECT("YES_Reading_ELA[Min Expectation - Per "&amp;VLOOKUP($D$2, 'Reading Report Logic'!$A$2:$B$8,2,FALSE)&amp;"]")), FALSE)="", "",
VLOOKUP($A453,YES_Reading_ELA[],COLUMN(INDIRECT("YES_Reading_ELA[Min Expectation - Per "&amp;VLOOKUP($D$2,'Reading Report Logic'!$A$2:$B$8,2,FALSE)&amp;"]")),FALSE)),
IF(VLOOKUP($A453, YES_Reading_FLA[], COLUMN(INDIRECT("YES_Reading_FLA[Min Expectation - Per "&amp;VLOOKUP($D$2, 'Reading Report Logic'!$A$2:$B$8, 2, FALSE)&amp;"]")),FALSE)="", "", VLOOKUP($A453,YES_Reading_FLA[],COLUMN(INDIRECT("YES_Reading_FLA[Min Expectation - Per "&amp;VLOOKUP($D$2, 'Reading Report Logic'!$A$2:$B$8, 2, FALSE)&amp;"]")),FALSE))),""))),"")</f>
        <v/>
      </c>
      <c r="F453" s="205" t="str" cm="1">
        <f t="array" aca="1" ref="F453" ca="1">IFERROR(
IF($J$2="ELA",
IF(VLOOKUP($A453, YES_Reading_ELA[], COLUMN(INDIRECT("YES_Reading_ELA[Max Expectation - Per "&amp;VLOOKUP($D$2, 'Reading Report Logic'!$A$2:$B$8, 2, FALSE)&amp;"]")), FALSE)="", "",
VLOOKUP($A453,YES_Reading_ELA[], COLUMN(INDIRECT("YES_Reading_ELA[Max Expectation - Per "&amp;VLOOKUP($D$2,'Reading Report Logic'!$A$2:$B$8,2,FALSE)&amp;"]")), FALSE)),
IF($J$2="FLA",
IF(VLOOKUP($A453, YES_Reading_FLA[], COLUMN(INDIRECT("YES_Reading_FLA[Max Expectation - Per "&amp;VLOOKUP($D$2,'Reading Report Logic'!$A$2:$B$8,2,FALSE)&amp;"]")),FALSE)="","",
VLOOKUP($A453,YES_Reading_FLA[],COLUMN(INDIRECT("YES_Reading_FLA[Max Expectation - Per "&amp;VLOOKUP($D$2,'Reading Report Logic'!$A$2:$B$8,2,FALSE)&amp;"]")),FALSE)),
IF($J$2="Combined",
IFERROR(
IF(VLOOKUP($A453, YES_Reading_ELA[], COLUMN(INDIRECT("YES_Reading_ELA[Max Expectation - Per "&amp;VLOOKUP($D$2, 'Reading Report Logic'!$A$2:$B$8,2,FALSE)&amp;"]")), FALSE)="", "",
VLOOKUP($A453,YES_Reading_ELA[],COLUMN(INDIRECT("YES_Reading_ELA[Max Expectation - Per "&amp;VLOOKUP($D$2,'Reading Report Logic'!$A$2:$B$8,2,FALSE)&amp;"]")),FALSE)),
IF(VLOOKUP($A453, YES_Reading_FLA[], COLUMN(INDIRECT("YES_Reading_FLA[Max Expectation - Per "&amp;VLOOKUP($D$2, 'Reading Report Logic'!$A$2:$B$8, 2, FALSE)&amp;"]")),FALSE)="", "", VLOOKUP($A453,YES_Reading_FLA[],COLUMN(INDIRECT("YES_Reading_FLA[Max Expectation - Per "&amp;VLOOKUP($D$2, 'Reading Report Logic'!$A$2:$B$8, 2, FALSE)&amp;"]")),FALSE))),""))),"")</f>
        <v/>
      </c>
      <c r="G453" s="205" t="str" cm="1">
        <f t="array" aca="1" ref="G453" ca="1">IFERROR(
IF($J$2="ELA",
IF(VLOOKUP($A453, YES_Reading_ELA[], COLUMN(INDIRECT("YES_Reading_ELA[Difference - Per "&amp;VLOOKUP($D$2, 'Reading Report Logic'!$A$2:$B$8, 2, FALSE)&amp;"]")), FALSE)="", "",
VLOOKUP($A453,YES_Reading_ELA[], COLUMN(INDIRECT("YES_Reading_ELA[Difference - Per "&amp;VLOOKUP($D$2,'Reading Report Logic'!$A$2:$B$8,2,FALSE)&amp;"]")), FALSE)),
IF($J$2="FLA",
IF(VLOOKUP($A453, YES_Reading_FLA[], COLUMN(INDIRECT("YES_Reading_FLA[Difference - Per "&amp;VLOOKUP($D$2,'Reading Report Logic'!$A$2:$B$8,2,FALSE)&amp;"]")),FALSE)="","",
VLOOKUP($A453,YES_Reading_FLA[],COLUMN(INDIRECT("YES_Reading_FLA[Difference - Per "&amp;VLOOKUP($D$2,'Reading Report Logic'!$A$2:$B$8,2,FALSE)&amp;"]")),FALSE)),
IF($J$2="Combined",
IFERROR(
IF(VLOOKUP($A453, YES_Reading_ELA[], COLUMN(INDIRECT("YES_Reading_ELA[Difference - Per "&amp;VLOOKUP($D$2, 'Reading Report Logic'!$A$2:$B$8,2,FALSE)&amp;"]")), FALSE)="", "",
VLOOKUP($A453,YES_Reading_ELA[],COLUMN(INDIRECT("YES_Reading_ELA[Difference - Per "&amp;VLOOKUP($D$2,'Reading Report Logic'!$A$2:$B$8,2,FALSE)&amp;"]")),FALSE)),
IF(VLOOKUP($A453, YES_Reading_FLA[], COLUMN(INDIRECT("YES_Reading_FLA[Difference - Per "&amp;VLOOKUP($D$2, 'Reading Report Logic'!$A$2:$B$8, 2, FALSE)&amp;"]")),FALSE)="", "", VLOOKUP($A453,YES_Reading_FLA[],COLUMN(INDIRECT("YES_Reading_FLA[Difference - Per "&amp;VLOOKUP($D$2, 'Reading Report Logic'!$A$2:$B$8, 2, FALSE)&amp;"]")),FALSE))),""))),"")</f>
        <v/>
      </c>
      <c r="H453" s="206" t="str">
        <f ca="1">IFERROR(VLOOKUP('Teacher Reading Pull Sheets'!$D453,_xlfn.VSTACK('ELA Reading Logic'!$A$22:$B$48,'FLA Reading Logic'!$A$22:$B$53),2,FALSE)-VLOOKUP('Teacher Reading Pull Sheets'!$C453,_xlfn.VSTACK('ELA Reading Logic'!$A$22:$B$48,'FLA Reading Logic'!$A$22:$B$53),2,FALSE),"")</f>
        <v/>
      </c>
      <c r="I453" s="212"/>
      <c r="J453" s="206"/>
      <c r="K453" s="197" t="str" cm="1">
        <f t="array" ref="K453">IFERROR(
IF($J$2="ELA",
IF(VLOOKUP($A453, YES_Reading_ELA[], COLUMN(YES_Reading_ELA[Self-Identified as African Descent]), FALSE)="", "",
VLOOKUP($A453,YES_Reading_ELA[], COLUMN(YES_Reading_ELA[Self-Identified as African Descent]), FALSE)),
IF($J$2="FLA",
IF(VLOOKUP($A453, YES_Reading_FLA[], COLUMN(YES_Reading_FLA[Self-Identified as African Descent]),FALSE)="","",
VLOOKUP($A453,YES_Reading_FLA[],COLUMN(YES_Reading_FLA[Self-Identified as African Descent]),FALSE)),
IF($J$2="Combined",
IFERROR(
IF(VLOOKUP($A453, YES_Reading_ELA[], COLUMN(YES_Reading_ELA[Self-Identified as African Descent]), FALSE)="", "",
VLOOKUP($A453,YES_Reading_ELA[],COLUMN(YES_Reading_ELA[Self-Identified as African Descent]),FALSE)),
IF(VLOOKUP($A453, YES_Reading_FLA[], COLUMN(YES_Reading_FLA[Self-Identified as African Descent]),FALSE)="", "", VLOOKUP($A453,YES_Reading_FLA[],COLUMN(YES_Reading_FLA[Self-Identified as African Descent]),FALSE))),""))),"")</f>
        <v/>
      </c>
      <c r="L453" s="73" t="str" cm="1">
        <f t="array" ref="L453">IFERROR(
IF($J$2="ELA",
IF(VLOOKUP($A453, YES_Reading_ELA[], COLUMN(YES_Reading_ELA[Self-Identified as Indigenous]), FALSE)="", "",
VLOOKUP($A453,YES_Reading_ELA[], COLUMN(YES_Reading_ELA[Self-Identified as Indigenous]), FALSE)),
IF($J$2="FLA",
IF(VLOOKUP($A453, YES_Reading_FLA[], COLUMN(YES_Reading_FLA[Self-Identified as Indigenous]),FALSE)="","",
VLOOKUP($A453,YES_Reading_FLA[],COLUMN(YES_Reading_FLA[Self-Identified as Indigenous]),FALSE)),
IF($J$2="Combined",
IFERROR(
IF(VLOOKUP($A453, YES_Reading_ELA[], COLUMN(YES_Reading_ELA[Self-Identified as Indigenous]), FALSE)="", "",
VLOOKUP($A453,YES_Reading_ELA[],COLUMN(YES_Reading_ELA[Self-Identified as Indigenous]),FALSE)),
IF(VLOOKUP($A453, YES_Reading_FLA[], COLUMN(YES_Reading_FLA[Self-Identified as Indigenous]),FALSE)="", "", VLOOKUP($A453,YES_Reading_FLA[],COLUMN(YES_Reading_FLA[Self-Identified as Indigenous]),FALSE))),""))),"")</f>
        <v/>
      </c>
    </row>
    <row r="454" spans="1:12" ht="19.5" customHeight="1" x14ac:dyDescent="0.25">
      <c r="A454" s="217"/>
      <c r="B454" s="220" t="str">
        <f>IFERROR(VLOOKUP(A454,_xlfn.VSTACK(YES_Reading_ELA[],YES_Reading_FLA[]),2,FALSE),"")</f>
        <v/>
      </c>
      <c r="C454" s="203" t="str" cm="1">
        <f t="array" aca="1" ref="C454" ca="1">IFERROR(
IF($J$2="ELA",
IF(VLOOKUP($A454, YES_Reading_ELA[], COLUMN(IF(VLOOKUP($D$2, 'Reading Report Logic'!$A$2:$B$8, 2, FALSE)=1, YES_Reading_ELA[Reading Level June of Previous School Year], INDIRECT("YES_Reading_ELA[Instructional Reading Level - Per "&amp;(VLOOKUP($D$2,'Reading Report Logic'!$A$2:$B$8,2,FALSE)-1)&amp;"]"))), FALSE)="", "",
VLOOKUP($A454,YES_Reading_ELA[], COLUMN(IF(VLOOKUP($D$2,'Reading Report Logic'!$A$2:$B$8,2,FALSE)=1, YES_Reading_ELA[Reading Level June of Previous School Year],INDIRECT("YES_Reading_ELA[Instructional Reading Level - Per "&amp;(VLOOKUP($D$2,'Reading Report Logic'!$A$2:$B$8,2,FALSE)-1)&amp;"]"))), FALSE)),
IF($J$2="FLA",
IF(VLOOKUP($A454, YES_Reading_FLA[], COLUMN(IF(VLOOKUP($D$2,'Reading Report Logic'!$A$2:$B$8,2,FALSE)=1, YES_Reading_FLA[Reading Level June of Previous School Year],INDIRECT("YES_Reading_FLA[Instructional Reading Level - Per "&amp;(VLOOKUP($D$2,'Reading Report Logic'!$A$2:$B$8,2,FALSE)-1)&amp;"]"))),FALSE)="","",
VLOOKUP($A454,YES_Reading_FLA[], COLUMN(IF(VLOOKUP($D$2,'Reading Report Logic'!$A$2:$B$8,2,FALSE)=1, YES_Reading_FLA[Reading Level June of Previous School Year],INDIRECT("YES_Reading_FLA[Instructional Reading Level - Per "&amp;(VLOOKUP($D$2,'Reading Report Logic'!$A$2:$B$8,2,FALSE)-1)&amp;"]"))),FALSE)),
IF($J$2="Combined",
IFERROR(
IF(VLOOKUP($A454, YES_Reading_ELA[], COLUMN(IF(VLOOKUP($D$2,'Reading Report Logic'!$A$2:$B$8,2,FALSE)=1, YES_Reading_ELA[Reading Level June of Previous School Year],INDIRECT("YES_Reading_ELA[Instructional Reading Level - Per "&amp;(VLOOKUP($D$2,'Reading Report Logic'!$A$2:$B$8,2,FALSE)-1)&amp;"]"))), FALSE)="", "",
VLOOKUP($A454,YES_Reading_ELA[],COLUMN(IF(VLOOKUP($D$2,'Reading Report Logic'!$A$2:$B$8,2,FALSE)=1, YES_Reading_ELA[Reading Level June of Previous School Year],INDIRECT("YES_Reading_ELA[Instructional Reading Level - Per "&amp;(VLOOKUP($D$2,'Reading Report Logic'!$A$2:$B$8,2,FALSE)-1)&amp;"]"))),FALSE)),
IF(VLOOKUP($A454, YES_Reading_FLA[], COLUMN(IF(VLOOKUP($D$2,'Reading Report Logic'!$A$2:$B$8,2,FALSE)=1, YES_Reading_FLA[Reading Level June of Previous School Year],INDIRECT("YES_Reading_FLA[Instructional Reading Level - Per "&amp;(VLOOKUP($D$2,'Reading Report Logic'!$A$2:$B$8,2,FALSE)-1)&amp;"]"))),FALSE)="", "", VLOOKUP($A454,YES_Reading_FLA[],COLUMN(IF(VLOOKUP($D$2,'Reading Report Logic'!$A$2:$B$8,2,FALSE)=1, YES_Reading_FLA[Reading Level June of Previous School Year],INDIRECT("YES_Reading_FLA[Instructional Reading Level - Per "&amp;(VLOOKUP($D$2,'Reading Report Logic'!$A$2:$B$8,2,FALSE)-1)&amp;"]"))), FALSE))),""))),"")</f>
        <v/>
      </c>
      <c r="D454" s="204" t="str" cm="1">
        <f t="array" aca="1" ref="D454" ca="1">IFERROR(
IF($J$2="ELA",
IF(VLOOKUP($A454, YES_Reading_ELA[], COLUMN(INDIRECT("YES_Reading_ELA[Instructional Reading Level - Per "&amp;VLOOKUP($D$2, 'Reading Report Logic'!$A$2:$B$8, 2, FALSE)&amp;"]")), FALSE)="", "",
VLOOKUP($A454,YES_Reading_ELA[], COLUMN(INDIRECT("YES_Reading_ELA[Instructional Reading Level - Per "&amp;VLOOKUP($D$2,'Reading Report Logic'!$A$2:$B$8,2,FALSE)&amp;"]")), FALSE)),
IF($J$2="FLA",
IF(VLOOKUP($A454, YES_Reading_FLA[], COLUMN(INDIRECT("YES_Reading_FLA[Instructional Reading Level - Per "&amp;VLOOKUP($D$2,'Reading Report Logic'!$A$2:$B$8,2,FALSE)&amp;"]")),FALSE)="","",
VLOOKUP($A454,YES_Reading_FLA[],COLUMN(INDIRECT("YES_Reading_FLA[Instructional Reading Level - Per "&amp;VLOOKUP($D$2,'Reading Report Logic'!$A$2:$B$8,2,FALSE)&amp;"]")),FALSE)),
IF($J$2="Combined",
IFERROR(
IF(VLOOKUP($A454, YES_Reading_ELA[], COLUMN(INDIRECT("YES_Reading_ELA[Instructional Reading Level - Per "&amp;VLOOKUP($D$2, 'Reading Report Logic'!$A$2:$B$8,2,FALSE)&amp;"]")), FALSE)="", "",
VLOOKUP($A454,YES_Reading_ELA[],COLUMN(INDIRECT("YES_Reading_ELA[Instructional Reading Level - Per "&amp;VLOOKUP($D$2,'Reading Report Logic'!$A$2:$B$8,2,FALSE)&amp;"]")),FALSE)),
IF(VLOOKUP($A454, YES_Reading_FLA[], COLUMN(INDIRECT("YES_Reading_FLA[Instructional Reading Level - Per "&amp;VLOOKUP($D$2, 'Reading Report Logic'!$A$2:$B$8, 2, FALSE)&amp;"]")),FALSE)="", "", VLOOKUP($A454,YES_Reading_FLA[],COLUMN(INDIRECT("YES_Reading_FLA[Instructional Reading Level - Per "&amp;VLOOKUP($D$2, 'Reading Report Logic'!$A$2:$B$8, 2, FALSE)&amp;"]")),FALSE))),""))),"")</f>
        <v/>
      </c>
      <c r="E454" s="205" t="str" cm="1">
        <f t="array" aca="1" ref="E454" ca="1">IFERROR(
IF($J$2="ELA",
IF(VLOOKUP($A454, YES_Reading_ELA[], COLUMN(INDIRECT("YES_Reading_ELA[Min Expectation - Per "&amp;VLOOKUP($D$2, 'Reading Report Logic'!$A$2:$B$8, 2, FALSE)&amp;"]")), FALSE)="", "",
VLOOKUP($A454,YES_Reading_ELA[], COLUMN(INDIRECT("YES_Reading_ELA[Min Expectation - Per "&amp;VLOOKUP($D$2,'Reading Report Logic'!$A$2:$B$8,2,FALSE)&amp;"]")), FALSE)),
IF($J$2="FLA",
IF(VLOOKUP($A454, YES_Reading_FLA[], COLUMN(INDIRECT("YES_Reading_FLA[Min Expectation - Per "&amp;VLOOKUP($D$2,'Reading Report Logic'!$A$2:$B$8,2,FALSE)&amp;"]")),FALSE)="","",
VLOOKUP($A454,YES_Reading_FLA[],COLUMN(INDIRECT("YES_Reading_FLA[Min Expectation - Per "&amp;VLOOKUP($D$2,'Reading Report Logic'!$A$2:$B$8,2,FALSE)&amp;"]")),FALSE)),
IF($J$2="Combined",
IFERROR(
IF(VLOOKUP($A454, YES_Reading_ELA[], COLUMN(INDIRECT("YES_Reading_ELA[Min Expectation - Per "&amp;VLOOKUP($D$2, 'Reading Report Logic'!$A$2:$B$8,2,FALSE)&amp;"]")), FALSE)="", "",
VLOOKUP($A454,YES_Reading_ELA[],COLUMN(INDIRECT("YES_Reading_ELA[Min Expectation - Per "&amp;VLOOKUP($D$2,'Reading Report Logic'!$A$2:$B$8,2,FALSE)&amp;"]")),FALSE)),
IF(VLOOKUP($A454, YES_Reading_FLA[], COLUMN(INDIRECT("YES_Reading_FLA[Min Expectation - Per "&amp;VLOOKUP($D$2, 'Reading Report Logic'!$A$2:$B$8, 2, FALSE)&amp;"]")),FALSE)="", "", VLOOKUP($A454,YES_Reading_FLA[],COLUMN(INDIRECT("YES_Reading_FLA[Min Expectation - Per "&amp;VLOOKUP($D$2, 'Reading Report Logic'!$A$2:$B$8, 2, FALSE)&amp;"]")),FALSE))),""))),"")</f>
        <v/>
      </c>
      <c r="F454" s="205" t="str" cm="1">
        <f t="array" aca="1" ref="F454" ca="1">IFERROR(
IF($J$2="ELA",
IF(VLOOKUP($A454, YES_Reading_ELA[], COLUMN(INDIRECT("YES_Reading_ELA[Max Expectation - Per "&amp;VLOOKUP($D$2, 'Reading Report Logic'!$A$2:$B$8, 2, FALSE)&amp;"]")), FALSE)="", "",
VLOOKUP($A454,YES_Reading_ELA[], COLUMN(INDIRECT("YES_Reading_ELA[Max Expectation - Per "&amp;VLOOKUP($D$2,'Reading Report Logic'!$A$2:$B$8,2,FALSE)&amp;"]")), FALSE)),
IF($J$2="FLA",
IF(VLOOKUP($A454, YES_Reading_FLA[], COLUMN(INDIRECT("YES_Reading_FLA[Max Expectation - Per "&amp;VLOOKUP($D$2,'Reading Report Logic'!$A$2:$B$8,2,FALSE)&amp;"]")),FALSE)="","",
VLOOKUP($A454,YES_Reading_FLA[],COLUMN(INDIRECT("YES_Reading_FLA[Max Expectation - Per "&amp;VLOOKUP($D$2,'Reading Report Logic'!$A$2:$B$8,2,FALSE)&amp;"]")),FALSE)),
IF($J$2="Combined",
IFERROR(
IF(VLOOKUP($A454, YES_Reading_ELA[], COLUMN(INDIRECT("YES_Reading_ELA[Max Expectation - Per "&amp;VLOOKUP($D$2, 'Reading Report Logic'!$A$2:$B$8,2,FALSE)&amp;"]")), FALSE)="", "",
VLOOKUP($A454,YES_Reading_ELA[],COLUMN(INDIRECT("YES_Reading_ELA[Max Expectation - Per "&amp;VLOOKUP($D$2,'Reading Report Logic'!$A$2:$B$8,2,FALSE)&amp;"]")),FALSE)),
IF(VLOOKUP($A454, YES_Reading_FLA[], COLUMN(INDIRECT("YES_Reading_FLA[Max Expectation - Per "&amp;VLOOKUP($D$2, 'Reading Report Logic'!$A$2:$B$8, 2, FALSE)&amp;"]")),FALSE)="", "", VLOOKUP($A454,YES_Reading_FLA[],COLUMN(INDIRECT("YES_Reading_FLA[Max Expectation - Per "&amp;VLOOKUP($D$2, 'Reading Report Logic'!$A$2:$B$8, 2, FALSE)&amp;"]")),FALSE))),""))),"")</f>
        <v/>
      </c>
      <c r="G454" s="205" t="str" cm="1">
        <f t="array" aca="1" ref="G454" ca="1">IFERROR(
IF($J$2="ELA",
IF(VLOOKUP($A454, YES_Reading_ELA[], COLUMN(INDIRECT("YES_Reading_ELA[Difference - Per "&amp;VLOOKUP($D$2, 'Reading Report Logic'!$A$2:$B$8, 2, FALSE)&amp;"]")), FALSE)="", "",
VLOOKUP($A454,YES_Reading_ELA[], COLUMN(INDIRECT("YES_Reading_ELA[Difference - Per "&amp;VLOOKUP($D$2,'Reading Report Logic'!$A$2:$B$8,2,FALSE)&amp;"]")), FALSE)),
IF($J$2="FLA",
IF(VLOOKUP($A454, YES_Reading_FLA[], COLUMN(INDIRECT("YES_Reading_FLA[Difference - Per "&amp;VLOOKUP($D$2,'Reading Report Logic'!$A$2:$B$8,2,FALSE)&amp;"]")),FALSE)="","",
VLOOKUP($A454,YES_Reading_FLA[],COLUMN(INDIRECT("YES_Reading_FLA[Difference - Per "&amp;VLOOKUP($D$2,'Reading Report Logic'!$A$2:$B$8,2,FALSE)&amp;"]")),FALSE)),
IF($J$2="Combined",
IFERROR(
IF(VLOOKUP($A454, YES_Reading_ELA[], COLUMN(INDIRECT("YES_Reading_ELA[Difference - Per "&amp;VLOOKUP($D$2, 'Reading Report Logic'!$A$2:$B$8,2,FALSE)&amp;"]")), FALSE)="", "",
VLOOKUP($A454,YES_Reading_ELA[],COLUMN(INDIRECT("YES_Reading_ELA[Difference - Per "&amp;VLOOKUP($D$2,'Reading Report Logic'!$A$2:$B$8,2,FALSE)&amp;"]")),FALSE)),
IF(VLOOKUP($A454, YES_Reading_FLA[], COLUMN(INDIRECT("YES_Reading_FLA[Difference - Per "&amp;VLOOKUP($D$2, 'Reading Report Logic'!$A$2:$B$8, 2, FALSE)&amp;"]")),FALSE)="", "", VLOOKUP($A454,YES_Reading_FLA[],COLUMN(INDIRECT("YES_Reading_FLA[Difference - Per "&amp;VLOOKUP($D$2, 'Reading Report Logic'!$A$2:$B$8, 2, FALSE)&amp;"]")),FALSE))),""))),"")</f>
        <v/>
      </c>
      <c r="H454" s="206" t="str">
        <f ca="1">IFERROR(VLOOKUP('Teacher Reading Pull Sheets'!$D454,_xlfn.VSTACK('ELA Reading Logic'!$A$22:$B$48,'FLA Reading Logic'!$A$22:$B$53),2,FALSE)-VLOOKUP('Teacher Reading Pull Sheets'!$C454,_xlfn.VSTACK('ELA Reading Logic'!$A$22:$B$48,'FLA Reading Logic'!$A$22:$B$53),2,FALSE),"")</f>
        <v/>
      </c>
      <c r="I454" s="212"/>
      <c r="J454" s="206"/>
      <c r="K454" s="197" t="str" cm="1">
        <f t="array" ref="K454">IFERROR(
IF($J$2="ELA",
IF(VLOOKUP($A454, YES_Reading_ELA[], COLUMN(YES_Reading_ELA[Self-Identified as African Descent]), FALSE)="", "",
VLOOKUP($A454,YES_Reading_ELA[], COLUMN(YES_Reading_ELA[Self-Identified as African Descent]), FALSE)),
IF($J$2="FLA",
IF(VLOOKUP($A454, YES_Reading_FLA[], COLUMN(YES_Reading_FLA[Self-Identified as African Descent]),FALSE)="","",
VLOOKUP($A454,YES_Reading_FLA[],COLUMN(YES_Reading_FLA[Self-Identified as African Descent]),FALSE)),
IF($J$2="Combined",
IFERROR(
IF(VLOOKUP($A454, YES_Reading_ELA[], COLUMN(YES_Reading_ELA[Self-Identified as African Descent]), FALSE)="", "",
VLOOKUP($A454,YES_Reading_ELA[],COLUMN(YES_Reading_ELA[Self-Identified as African Descent]),FALSE)),
IF(VLOOKUP($A454, YES_Reading_FLA[], COLUMN(YES_Reading_FLA[Self-Identified as African Descent]),FALSE)="", "", VLOOKUP($A454,YES_Reading_FLA[],COLUMN(YES_Reading_FLA[Self-Identified as African Descent]),FALSE))),""))),"")</f>
        <v/>
      </c>
      <c r="L454" s="73" t="str" cm="1">
        <f t="array" ref="L454">IFERROR(
IF($J$2="ELA",
IF(VLOOKUP($A454, YES_Reading_ELA[], COLUMN(YES_Reading_ELA[Self-Identified as Indigenous]), FALSE)="", "",
VLOOKUP($A454,YES_Reading_ELA[], COLUMN(YES_Reading_ELA[Self-Identified as Indigenous]), FALSE)),
IF($J$2="FLA",
IF(VLOOKUP($A454, YES_Reading_FLA[], COLUMN(YES_Reading_FLA[Self-Identified as Indigenous]),FALSE)="","",
VLOOKUP($A454,YES_Reading_FLA[],COLUMN(YES_Reading_FLA[Self-Identified as Indigenous]),FALSE)),
IF($J$2="Combined",
IFERROR(
IF(VLOOKUP($A454, YES_Reading_ELA[], COLUMN(YES_Reading_ELA[Self-Identified as Indigenous]), FALSE)="", "",
VLOOKUP($A454,YES_Reading_ELA[],COLUMN(YES_Reading_ELA[Self-Identified as Indigenous]),FALSE)),
IF(VLOOKUP($A454, YES_Reading_FLA[], COLUMN(YES_Reading_FLA[Self-Identified as Indigenous]),FALSE)="", "", VLOOKUP($A454,YES_Reading_FLA[],COLUMN(YES_Reading_FLA[Self-Identified as Indigenous]),FALSE))),""))),"")</f>
        <v/>
      </c>
    </row>
    <row r="455" spans="1:12" ht="19.5" customHeight="1" x14ac:dyDescent="0.25">
      <c r="A455" s="217"/>
      <c r="B455" s="220" t="str">
        <f>IFERROR(VLOOKUP(A455,_xlfn.VSTACK(YES_Reading_ELA[],YES_Reading_FLA[]),2,FALSE),"")</f>
        <v/>
      </c>
      <c r="C455" s="203" t="str" cm="1">
        <f t="array" aca="1" ref="C455" ca="1">IFERROR(
IF($J$2="ELA",
IF(VLOOKUP($A455, YES_Reading_ELA[], COLUMN(IF(VLOOKUP($D$2, 'Reading Report Logic'!$A$2:$B$8, 2, FALSE)=1, YES_Reading_ELA[Reading Level June of Previous School Year], INDIRECT("YES_Reading_ELA[Instructional Reading Level - Per "&amp;(VLOOKUP($D$2,'Reading Report Logic'!$A$2:$B$8,2,FALSE)-1)&amp;"]"))), FALSE)="", "",
VLOOKUP($A455,YES_Reading_ELA[], COLUMN(IF(VLOOKUP($D$2,'Reading Report Logic'!$A$2:$B$8,2,FALSE)=1, YES_Reading_ELA[Reading Level June of Previous School Year],INDIRECT("YES_Reading_ELA[Instructional Reading Level - Per "&amp;(VLOOKUP($D$2,'Reading Report Logic'!$A$2:$B$8,2,FALSE)-1)&amp;"]"))), FALSE)),
IF($J$2="FLA",
IF(VLOOKUP($A455, YES_Reading_FLA[], COLUMN(IF(VLOOKUP($D$2,'Reading Report Logic'!$A$2:$B$8,2,FALSE)=1, YES_Reading_FLA[Reading Level June of Previous School Year],INDIRECT("YES_Reading_FLA[Instructional Reading Level - Per "&amp;(VLOOKUP($D$2,'Reading Report Logic'!$A$2:$B$8,2,FALSE)-1)&amp;"]"))),FALSE)="","",
VLOOKUP($A455,YES_Reading_FLA[], COLUMN(IF(VLOOKUP($D$2,'Reading Report Logic'!$A$2:$B$8,2,FALSE)=1, YES_Reading_FLA[Reading Level June of Previous School Year],INDIRECT("YES_Reading_FLA[Instructional Reading Level - Per "&amp;(VLOOKUP($D$2,'Reading Report Logic'!$A$2:$B$8,2,FALSE)-1)&amp;"]"))),FALSE)),
IF($J$2="Combined",
IFERROR(
IF(VLOOKUP($A455, YES_Reading_ELA[], COLUMN(IF(VLOOKUP($D$2,'Reading Report Logic'!$A$2:$B$8,2,FALSE)=1, YES_Reading_ELA[Reading Level June of Previous School Year],INDIRECT("YES_Reading_ELA[Instructional Reading Level - Per "&amp;(VLOOKUP($D$2,'Reading Report Logic'!$A$2:$B$8,2,FALSE)-1)&amp;"]"))), FALSE)="", "",
VLOOKUP($A455,YES_Reading_ELA[],COLUMN(IF(VLOOKUP($D$2,'Reading Report Logic'!$A$2:$B$8,2,FALSE)=1, YES_Reading_ELA[Reading Level June of Previous School Year],INDIRECT("YES_Reading_ELA[Instructional Reading Level - Per "&amp;(VLOOKUP($D$2,'Reading Report Logic'!$A$2:$B$8,2,FALSE)-1)&amp;"]"))),FALSE)),
IF(VLOOKUP($A455, YES_Reading_FLA[], COLUMN(IF(VLOOKUP($D$2,'Reading Report Logic'!$A$2:$B$8,2,FALSE)=1, YES_Reading_FLA[Reading Level June of Previous School Year],INDIRECT("YES_Reading_FLA[Instructional Reading Level - Per "&amp;(VLOOKUP($D$2,'Reading Report Logic'!$A$2:$B$8,2,FALSE)-1)&amp;"]"))),FALSE)="", "", VLOOKUP($A455,YES_Reading_FLA[],COLUMN(IF(VLOOKUP($D$2,'Reading Report Logic'!$A$2:$B$8,2,FALSE)=1, YES_Reading_FLA[Reading Level June of Previous School Year],INDIRECT("YES_Reading_FLA[Instructional Reading Level - Per "&amp;(VLOOKUP($D$2,'Reading Report Logic'!$A$2:$B$8,2,FALSE)-1)&amp;"]"))), FALSE))),""))),"")</f>
        <v/>
      </c>
      <c r="D455" s="204" t="str" cm="1">
        <f t="array" aca="1" ref="D455" ca="1">IFERROR(
IF($J$2="ELA",
IF(VLOOKUP($A455, YES_Reading_ELA[], COLUMN(INDIRECT("YES_Reading_ELA[Instructional Reading Level - Per "&amp;VLOOKUP($D$2, 'Reading Report Logic'!$A$2:$B$8, 2, FALSE)&amp;"]")), FALSE)="", "",
VLOOKUP($A455,YES_Reading_ELA[], COLUMN(INDIRECT("YES_Reading_ELA[Instructional Reading Level - Per "&amp;VLOOKUP($D$2,'Reading Report Logic'!$A$2:$B$8,2,FALSE)&amp;"]")), FALSE)),
IF($J$2="FLA",
IF(VLOOKUP($A455, YES_Reading_FLA[], COLUMN(INDIRECT("YES_Reading_FLA[Instructional Reading Level - Per "&amp;VLOOKUP($D$2,'Reading Report Logic'!$A$2:$B$8,2,FALSE)&amp;"]")),FALSE)="","",
VLOOKUP($A455,YES_Reading_FLA[],COLUMN(INDIRECT("YES_Reading_FLA[Instructional Reading Level - Per "&amp;VLOOKUP($D$2,'Reading Report Logic'!$A$2:$B$8,2,FALSE)&amp;"]")),FALSE)),
IF($J$2="Combined",
IFERROR(
IF(VLOOKUP($A455, YES_Reading_ELA[], COLUMN(INDIRECT("YES_Reading_ELA[Instructional Reading Level - Per "&amp;VLOOKUP($D$2, 'Reading Report Logic'!$A$2:$B$8,2,FALSE)&amp;"]")), FALSE)="", "",
VLOOKUP($A455,YES_Reading_ELA[],COLUMN(INDIRECT("YES_Reading_ELA[Instructional Reading Level - Per "&amp;VLOOKUP($D$2,'Reading Report Logic'!$A$2:$B$8,2,FALSE)&amp;"]")),FALSE)),
IF(VLOOKUP($A455, YES_Reading_FLA[], COLUMN(INDIRECT("YES_Reading_FLA[Instructional Reading Level - Per "&amp;VLOOKUP($D$2, 'Reading Report Logic'!$A$2:$B$8, 2, FALSE)&amp;"]")),FALSE)="", "", VLOOKUP($A455,YES_Reading_FLA[],COLUMN(INDIRECT("YES_Reading_FLA[Instructional Reading Level - Per "&amp;VLOOKUP($D$2, 'Reading Report Logic'!$A$2:$B$8, 2, FALSE)&amp;"]")),FALSE))),""))),"")</f>
        <v/>
      </c>
      <c r="E455" s="205" t="str" cm="1">
        <f t="array" aca="1" ref="E455" ca="1">IFERROR(
IF($J$2="ELA",
IF(VLOOKUP($A455, YES_Reading_ELA[], COLUMN(INDIRECT("YES_Reading_ELA[Min Expectation - Per "&amp;VLOOKUP($D$2, 'Reading Report Logic'!$A$2:$B$8, 2, FALSE)&amp;"]")), FALSE)="", "",
VLOOKUP($A455,YES_Reading_ELA[], COLUMN(INDIRECT("YES_Reading_ELA[Min Expectation - Per "&amp;VLOOKUP($D$2,'Reading Report Logic'!$A$2:$B$8,2,FALSE)&amp;"]")), FALSE)),
IF($J$2="FLA",
IF(VLOOKUP($A455, YES_Reading_FLA[], COLUMN(INDIRECT("YES_Reading_FLA[Min Expectation - Per "&amp;VLOOKUP($D$2,'Reading Report Logic'!$A$2:$B$8,2,FALSE)&amp;"]")),FALSE)="","",
VLOOKUP($A455,YES_Reading_FLA[],COLUMN(INDIRECT("YES_Reading_FLA[Min Expectation - Per "&amp;VLOOKUP($D$2,'Reading Report Logic'!$A$2:$B$8,2,FALSE)&amp;"]")),FALSE)),
IF($J$2="Combined",
IFERROR(
IF(VLOOKUP($A455, YES_Reading_ELA[], COLUMN(INDIRECT("YES_Reading_ELA[Min Expectation - Per "&amp;VLOOKUP($D$2, 'Reading Report Logic'!$A$2:$B$8,2,FALSE)&amp;"]")), FALSE)="", "",
VLOOKUP($A455,YES_Reading_ELA[],COLUMN(INDIRECT("YES_Reading_ELA[Min Expectation - Per "&amp;VLOOKUP($D$2,'Reading Report Logic'!$A$2:$B$8,2,FALSE)&amp;"]")),FALSE)),
IF(VLOOKUP($A455, YES_Reading_FLA[], COLUMN(INDIRECT("YES_Reading_FLA[Min Expectation - Per "&amp;VLOOKUP($D$2, 'Reading Report Logic'!$A$2:$B$8, 2, FALSE)&amp;"]")),FALSE)="", "", VLOOKUP($A455,YES_Reading_FLA[],COLUMN(INDIRECT("YES_Reading_FLA[Min Expectation - Per "&amp;VLOOKUP($D$2, 'Reading Report Logic'!$A$2:$B$8, 2, FALSE)&amp;"]")),FALSE))),""))),"")</f>
        <v/>
      </c>
      <c r="F455" s="205" t="str" cm="1">
        <f t="array" aca="1" ref="F455" ca="1">IFERROR(
IF($J$2="ELA",
IF(VLOOKUP($A455, YES_Reading_ELA[], COLUMN(INDIRECT("YES_Reading_ELA[Max Expectation - Per "&amp;VLOOKUP($D$2, 'Reading Report Logic'!$A$2:$B$8, 2, FALSE)&amp;"]")), FALSE)="", "",
VLOOKUP($A455,YES_Reading_ELA[], COLUMN(INDIRECT("YES_Reading_ELA[Max Expectation - Per "&amp;VLOOKUP($D$2,'Reading Report Logic'!$A$2:$B$8,2,FALSE)&amp;"]")), FALSE)),
IF($J$2="FLA",
IF(VLOOKUP($A455, YES_Reading_FLA[], COLUMN(INDIRECT("YES_Reading_FLA[Max Expectation - Per "&amp;VLOOKUP($D$2,'Reading Report Logic'!$A$2:$B$8,2,FALSE)&amp;"]")),FALSE)="","",
VLOOKUP($A455,YES_Reading_FLA[],COLUMN(INDIRECT("YES_Reading_FLA[Max Expectation - Per "&amp;VLOOKUP($D$2,'Reading Report Logic'!$A$2:$B$8,2,FALSE)&amp;"]")),FALSE)),
IF($J$2="Combined",
IFERROR(
IF(VLOOKUP($A455, YES_Reading_ELA[], COLUMN(INDIRECT("YES_Reading_ELA[Max Expectation - Per "&amp;VLOOKUP($D$2, 'Reading Report Logic'!$A$2:$B$8,2,FALSE)&amp;"]")), FALSE)="", "",
VLOOKUP($A455,YES_Reading_ELA[],COLUMN(INDIRECT("YES_Reading_ELA[Max Expectation - Per "&amp;VLOOKUP($D$2,'Reading Report Logic'!$A$2:$B$8,2,FALSE)&amp;"]")),FALSE)),
IF(VLOOKUP($A455, YES_Reading_FLA[], COLUMN(INDIRECT("YES_Reading_FLA[Max Expectation - Per "&amp;VLOOKUP($D$2, 'Reading Report Logic'!$A$2:$B$8, 2, FALSE)&amp;"]")),FALSE)="", "", VLOOKUP($A455,YES_Reading_FLA[],COLUMN(INDIRECT("YES_Reading_FLA[Max Expectation - Per "&amp;VLOOKUP($D$2, 'Reading Report Logic'!$A$2:$B$8, 2, FALSE)&amp;"]")),FALSE))),""))),"")</f>
        <v/>
      </c>
      <c r="G455" s="205" t="str" cm="1">
        <f t="array" aca="1" ref="G455" ca="1">IFERROR(
IF($J$2="ELA",
IF(VLOOKUP($A455, YES_Reading_ELA[], COLUMN(INDIRECT("YES_Reading_ELA[Difference - Per "&amp;VLOOKUP($D$2, 'Reading Report Logic'!$A$2:$B$8, 2, FALSE)&amp;"]")), FALSE)="", "",
VLOOKUP($A455,YES_Reading_ELA[], COLUMN(INDIRECT("YES_Reading_ELA[Difference - Per "&amp;VLOOKUP($D$2,'Reading Report Logic'!$A$2:$B$8,2,FALSE)&amp;"]")), FALSE)),
IF($J$2="FLA",
IF(VLOOKUP($A455, YES_Reading_FLA[], COLUMN(INDIRECT("YES_Reading_FLA[Difference - Per "&amp;VLOOKUP($D$2,'Reading Report Logic'!$A$2:$B$8,2,FALSE)&amp;"]")),FALSE)="","",
VLOOKUP($A455,YES_Reading_FLA[],COLUMN(INDIRECT("YES_Reading_FLA[Difference - Per "&amp;VLOOKUP($D$2,'Reading Report Logic'!$A$2:$B$8,2,FALSE)&amp;"]")),FALSE)),
IF($J$2="Combined",
IFERROR(
IF(VLOOKUP($A455, YES_Reading_ELA[], COLUMN(INDIRECT("YES_Reading_ELA[Difference - Per "&amp;VLOOKUP($D$2, 'Reading Report Logic'!$A$2:$B$8,2,FALSE)&amp;"]")), FALSE)="", "",
VLOOKUP($A455,YES_Reading_ELA[],COLUMN(INDIRECT("YES_Reading_ELA[Difference - Per "&amp;VLOOKUP($D$2,'Reading Report Logic'!$A$2:$B$8,2,FALSE)&amp;"]")),FALSE)),
IF(VLOOKUP($A455, YES_Reading_FLA[], COLUMN(INDIRECT("YES_Reading_FLA[Difference - Per "&amp;VLOOKUP($D$2, 'Reading Report Logic'!$A$2:$B$8, 2, FALSE)&amp;"]")),FALSE)="", "", VLOOKUP($A455,YES_Reading_FLA[],COLUMN(INDIRECT("YES_Reading_FLA[Difference - Per "&amp;VLOOKUP($D$2, 'Reading Report Logic'!$A$2:$B$8, 2, FALSE)&amp;"]")),FALSE))),""))),"")</f>
        <v/>
      </c>
      <c r="H455" s="206" t="str">
        <f ca="1">IFERROR(VLOOKUP('Teacher Reading Pull Sheets'!$D455,_xlfn.VSTACK('ELA Reading Logic'!$A$22:$B$48,'FLA Reading Logic'!$A$22:$B$53),2,FALSE)-VLOOKUP('Teacher Reading Pull Sheets'!$C455,_xlfn.VSTACK('ELA Reading Logic'!$A$22:$B$48,'FLA Reading Logic'!$A$22:$B$53),2,FALSE),"")</f>
        <v/>
      </c>
      <c r="I455" s="212"/>
      <c r="J455" s="206"/>
      <c r="K455" s="197" t="str" cm="1">
        <f t="array" ref="K455">IFERROR(
IF($J$2="ELA",
IF(VLOOKUP($A455, YES_Reading_ELA[], COLUMN(YES_Reading_ELA[Self-Identified as African Descent]), FALSE)="", "",
VLOOKUP($A455,YES_Reading_ELA[], COLUMN(YES_Reading_ELA[Self-Identified as African Descent]), FALSE)),
IF($J$2="FLA",
IF(VLOOKUP($A455, YES_Reading_FLA[], COLUMN(YES_Reading_FLA[Self-Identified as African Descent]),FALSE)="","",
VLOOKUP($A455,YES_Reading_FLA[],COLUMN(YES_Reading_FLA[Self-Identified as African Descent]),FALSE)),
IF($J$2="Combined",
IFERROR(
IF(VLOOKUP($A455, YES_Reading_ELA[], COLUMN(YES_Reading_ELA[Self-Identified as African Descent]), FALSE)="", "",
VLOOKUP($A455,YES_Reading_ELA[],COLUMN(YES_Reading_ELA[Self-Identified as African Descent]),FALSE)),
IF(VLOOKUP($A455, YES_Reading_FLA[], COLUMN(YES_Reading_FLA[Self-Identified as African Descent]),FALSE)="", "", VLOOKUP($A455,YES_Reading_FLA[],COLUMN(YES_Reading_FLA[Self-Identified as African Descent]),FALSE))),""))),"")</f>
        <v/>
      </c>
      <c r="L455" s="73" t="str" cm="1">
        <f t="array" ref="L455">IFERROR(
IF($J$2="ELA",
IF(VLOOKUP($A455, YES_Reading_ELA[], COLUMN(YES_Reading_ELA[Self-Identified as Indigenous]), FALSE)="", "",
VLOOKUP($A455,YES_Reading_ELA[], COLUMN(YES_Reading_ELA[Self-Identified as Indigenous]), FALSE)),
IF($J$2="FLA",
IF(VLOOKUP($A455, YES_Reading_FLA[], COLUMN(YES_Reading_FLA[Self-Identified as Indigenous]),FALSE)="","",
VLOOKUP($A455,YES_Reading_FLA[],COLUMN(YES_Reading_FLA[Self-Identified as Indigenous]),FALSE)),
IF($J$2="Combined",
IFERROR(
IF(VLOOKUP($A455, YES_Reading_ELA[], COLUMN(YES_Reading_ELA[Self-Identified as Indigenous]), FALSE)="", "",
VLOOKUP($A455,YES_Reading_ELA[],COLUMN(YES_Reading_ELA[Self-Identified as Indigenous]),FALSE)),
IF(VLOOKUP($A455, YES_Reading_FLA[], COLUMN(YES_Reading_FLA[Self-Identified as Indigenous]),FALSE)="", "", VLOOKUP($A455,YES_Reading_FLA[],COLUMN(YES_Reading_FLA[Self-Identified as Indigenous]),FALSE))),""))),"")</f>
        <v/>
      </c>
    </row>
    <row r="456" spans="1:12" ht="19.5" customHeight="1" x14ac:dyDescent="0.25">
      <c r="A456" s="217"/>
      <c r="B456" s="220" t="str">
        <f>IFERROR(VLOOKUP(A456,_xlfn.VSTACK(YES_Reading_ELA[],YES_Reading_FLA[]),2,FALSE),"")</f>
        <v/>
      </c>
      <c r="C456" s="203" t="str" cm="1">
        <f t="array" aca="1" ref="C456" ca="1">IFERROR(
IF($J$2="ELA",
IF(VLOOKUP($A456, YES_Reading_ELA[], COLUMN(IF(VLOOKUP($D$2, 'Reading Report Logic'!$A$2:$B$8, 2, FALSE)=1, YES_Reading_ELA[Reading Level June of Previous School Year], INDIRECT("YES_Reading_ELA[Instructional Reading Level - Per "&amp;(VLOOKUP($D$2,'Reading Report Logic'!$A$2:$B$8,2,FALSE)-1)&amp;"]"))), FALSE)="", "",
VLOOKUP($A456,YES_Reading_ELA[], COLUMN(IF(VLOOKUP($D$2,'Reading Report Logic'!$A$2:$B$8,2,FALSE)=1, YES_Reading_ELA[Reading Level June of Previous School Year],INDIRECT("YES_Reading_ELA[Instructional Reading Level - Per "&amp;(VLOOKUP($D$2,'Reading Report Logic'!$A$2:$B$8,2,FALSE)-1)&amp;"]"))), FALSE)),
IF($J$2="FLA",
IF(VLOOKUP($A456, YES_Reading_FLA[], COLUMN(IF(VLOOKUP($D$2,'Reading Report Logic'!$A$2:$B$8,2,FALSE)=1, YES_Reading_FLA[Reading Level June of Previous School Year],INDIRECT("YES_Reading_FLA[Instructional Reading Level - Per "&amp;(VLOOKUP($D$2,'Reading Report Logic'!$A$2:$B$8,2,FALSE)-1)&amp;"]"))),FALSE)="","",
VLOOKUP($A456,YES_Reading_FLA[], COLUMN(IF(VLOOKUP($D$2,'Reading Report Logic'!$A$2:$B$8,2,FALSE)=1, YES_Reading_FLA[Reading Level June of Previous School Year],INDIRECT("YES_Reading_FLA[Instructional Reading Level - Per "&amp;(VLOOKUP($D$2,'Reading Report Logic'!$A$2:$B$8,2,FALSE)-1)&amp;"]"))),FALSE)),
IF($J$2="Combined",
IFERROR(
IF(VLOOKUP($A456, YES_Reading_ELA[], COLUMN(IF(VLOOKUP($D$2,'Reading Report Logic'!$A$2:$B$8,2,FALSE)=1, YES_Reading_ELA[Reading Level June of Previous School Year],INDIRECT("YES_Reading_ELA[Instructional Reading Level - Per "&amp;(VLOOKUP($D$2,'Reading Report Logic'!$A$2:$B$8,2,FALSE)-1)&amp;"]"))), FALSE)="", "",
VLOOKUP($A456,YES_Reading_ELA[],COLUMN(IF(VLOOKUP($D$2,'Reading Report Logic'!$A$2:$B$8,2,FALSE)=1, YES_Reading_ELA[Reading Level June of Previous School Year],INDIRECT("YES_Reading_ELA[Instructional Reading Level - Per "&amp;(VLOOKUP($D$2,'Reading Report Logic'!$A$2:$B$8,2,FALSE)-1)&amp;"]"))),FALSE)),
IF(VLOOKUP($A456, YES_Reading_FLA[], COLUMN(IF(VLOOKUP($D$2,'Reading Report Logic'!$A$2:$B$8,2,FALSE)=1, YES_Reading_FLA[Reading Level June of Previous School Year],INDIRECT("YES_Reading_FLA[Instructional Reading Level - Per "&amp;(VLOOKUP($D$2,'Reading Report Logic'!$A$2:$B$8,2,FALSE)-1)&amp;"]"))),FALSE)="", "", VLOOKUP($A456,YES_Reading_FLA[],COLUMN(IF(VLOOKUP($D$2,'Reading Report Logic'!$A$2:$B$8,2,FALSE)=1, YES_Reading_FLA[Reading Level June of Previous School Year],INDIRECT("YES_Reading_FLA[Instructional Reading Level - Per "&amp;(VLOOKUP($D$2,'Reading Report Logic'!$A$2:$B$8,2,FALSE)-1)&amp;"]"))), FALSE))),""))),"")</f>
        <v/>
      </c>
      <c r="D456" s="204" t="str" cm="1">
        <f t="array" aca="1" ref="D456" ca="1">IFERROR(
IF($J$2="ELA",
IF(VLOOKUP($A456, YES_Reading_ELA[], COLUMN(INDIRECT("YES_Reading_ELA[Instructional Reading Level - Per "&amp;VLOOKUP($D$2, 'Reading Report Logic'!$A$2:$B$8, 2, FALSE)&amp;"]")), FALSE)="", "",
VLOOKUP($A456,YES_Reading_ELA[], COLUMN(INDIRECT("YES_Reading_ELA[Instructional Reading Level - Per "&amp;VLOOKUP($D$2,'Reading Report Logic'!$A$2:$B$8,2,FALSE)&amp;"]")), FALSE)),
IF($J$2="FLA",
IF(VLOOKUP($A456, YES_Reading_FLA[], COLUMN(INDIRECT("YES_Reading_FLA[Instructional Reading Level - Per "&amp;VLOOKUP($D$2,'Reading Report Logic'!$A$2:$B$8,2,FALSE)&amp;"]")),FALSE)="","",
VLOOKUP($A456,YES_Reading_FLA[],COLUMN(INDIRECT("YES_Reading_FLA[Instructional Reading Level - Per "&amp;VLOOKUP($D$2,'Reading Report Logic'!$A$2:$B$8,2,FALSE)&amp;"]")),FALSE)),
IF($J$2="Combined",
IFERROR(
IF(VLOOKUP($A456, YES_Reading_ELA[], COLUMN(INDIRECT("YES_Reading_ELA[Instructional Reading Level - Per "&amp;VLOOKUP($D$2, 'Reading Report Logic'!$A$2:$B$8,2,FALSE)&amp;"]")), FALSE)="", "",
VLOOKUP($A456,YES_Reading_ELA[],COLUMN(INDIRECT("YES_Reading_ELA[Instructional Reading Level - Per "&amp;VLOOKUP($D$2,'Reading Report Logic'!$A$2:$B$8,2,FALSE)&amp;"]")),FALSE)),
IF(VLOOKUP($A456, YES_Reading_FLA[], COLUMN(INDIRECT("YES_Reading_FLA[Instructional Reading Level - Per "&amp;VLOOKUP($D$2, 'Reading Report Logic'!$A$2:$B$8, 2, FALSE)&amp;"]")),FALSE)="", "", VLOOKUP($A456,YES_Reading_FLA[],COLUMN(INDIRECT("YES_Reading_FLA[Instructional Reading Level - Per "&amp;VLOOKUP($D$2, 'Reading Report Logic'!$A$2:$B$8, 2, FALSE)&amp;"]")),FALSE))),""))),"")</f>
        <v/>
      </c>
      <c r="E456" s="205" t="str" cm="1">
        <f t="array" aca="1" ref="E456" ca="1">IFERROR(
IF($J$2="ELA",
IF(VLOOKUP($A456, YES_Reading_ELA[], COLUMN(INDIRECT("YES_Reading_ELA[Min Expectation - Per "&amp;VLOOKUP($D$2, 'Reading Report Logic'!$A$2:$B$8, 2, FALSE)&amp;"]")), FALSE)="", "",
VLOOKUP($A456,YES_Reading_ELA[], COLUMN(INDIRECT("YES_Reading_ELA[Min Expectation - Per "&amp;VLOOKUP($D$2,'Reading Report Logic'!$A$2:$B$8,2,FALSE)&amp;"]")), FALSE)),
IF($J$2="FLA",
IF(VLOOKUP($A456, YES_Reading_FLA[], COLUMN(INDIRECT("YES_Reading_FLA[Min Expectation - Per "&amp;VLOOKUP($D$2,'Reading Report Logic'!$A$2:$B$8,2,FALSE)&amp;"]")),FALSE)="","",
VLOOKUP($A456,YES_Reading_FLA[],COLUMN(INDIRECT("YES_Reading_FLA[Min Expectation - Per "&amp;VLOOKUP($D$2,'Reading Report Logic'!$A$2:$B$8,2,FALSE)&amp;"]")),FALSE)),
IF($J$2="Combined",
IFERROR(
IF(VLOOKUP($A456, YES_Reading_ELA[], COLUMN(INDIRECT("YES_Reading_ELA[Min Expectation - Per "&amp;VLOOKUP($D$2, 'Reading Report Logic'!$A$2:$B$8,2,FALSE)&amp;"]")), FALSE)="", "",
VLOOKUP($A456,YES_Reading_ELA[],COLUMN(INDIRECT("YES_Reading_ELA[Min Expectation - Per "&amp;VLOOKUP($D$2,'Reading Report Logic'!$A$2:$B$8,2,FALSE)&amp;"]")),FALSE)),
IF(VLOOKUP($A456, YES_Reading_FLA[], COLUMN(INDIRECT("YES_Reading_FLA[Min Expectation - Per "&amp;VLOOKUP($D$2, 'Reading Report Logic'!$A$2:$B$8, 2, FALSE)&amp;"]")),FALSE)="", "", VLOOKUP($A456,YES_Reading_FLA[],COLUMN(INDIRECT("YES_Reading_FLA[Min Expectation - Per "&amp;VLOOKUP($D$2, 'Reading Report Logic'!$A$2:$B$8, 2, FALSE)&amp;"]")),FALSE))),""))),"")</f>
        <v/>
      </c>
      <c r="F456" s="205" t="str" cm="1">
        <f t="array" aca="1" ref="F456" ca="1">IFERROR(
IF($J$2="ELA",
IF(VLOOKUP($A456, YES_Reading_ELA[], COLUMN(INDIRECT("YES_Reading_ELA[Max Expectation - Per "&amp;VLOOKUP($D$2, 'Reading Report Logic'!$A$2:$B$8, 2, FALSE)&amp;"]")), FALSE)="", "",
VLOOKUP($A456,YES_Reading_ELA[], COLUMN(INDIRECT("YES_Reading_ELA[Max Expectation - Per "&amp;VLOOKUP($D$2,'Reading Report Logic'!$A$2:$B$8,2,FALSE)&amp;"]")), FALSE)),
IF($J$2="FLA",
IF(VLOOKUP($A456, YES_Reading_FLA[], COLUMN(INDIRECT("YES_Reading_FLA[Max Expectation - Per "&amp;VLOOKUP($D$2,'Reading Report Logic'!$A$2:$B$8,2,FALSE)&amp;"]")),FALSE)="","",
VLOOKUP($A456,YES_Reading_FLA[],COLUMN(INDIRECT("YES_Reading_FLA[Max Expectation - Per "&amp;VLOOKUP($D$2,'Reading Report Logic'!$A$2:$B$8,2,FALSE)&amp;"]")),FALSE)),
IF($J$2="Combined",
IFERROR(
IF(VLOOKUP($A456, YES_Reading_ELA[], COLUMN(INDIRECT("YES_Reading_ELA[Max Expectation - Per "&amp;VLOOKUP($D$2, 'Reading Report Logic'!$A$2:$B$8,2,FALSE)&amp;"]")), FALSE)="", "",
VLOOKUP($A456,YES_Reading_ELA[],COLUMN(INDIRECT("YES_Reading_ELA[Max Expectation - Per "&amp;VLOOKUP($D$2,'Reading Report Logic'!$A$2:$B$8,2,FALSE)&amp;"]")),FALSE)),
IF(VLOOKUP($A456, YES_Reading_FLA[], COLUMN(INDIRECT("YES_Reading_FLA[Max Expectation - Per "&amp;VLOOKUP($D$2, 'Reading Report Logic'!$A$2:$B$8, 2, FALSE)&amp;"]")),FALSE)="", "", VLOOKUP($A456,YES_Reading_FLA[],COLUMN(INDIRECT("YES_Reading_FLA[Max Expectation - Per "&amp;VLOOKUP($D$2, 'Reading Report Logic'!$A$2:$B$8, 2, FALSE)&amp;"]")),FALSE))),""))),"")</f>
        <v/>
      </c>
      <c r="G456" s="205" t="str" cm="1">
        <f t="array" aca="1" ref="G456" ca="1">IFERROR(
IF($J$2="ELA",
IF(VLOOKUP($A456, YES_Reading_ELA[], COLUMN(INDIRECT("YES_Reading_ELA[Difference - Per "&amp;VLOOKUP($D$2, 'Reading Report Logic'!$A$2:$B$8, 2, FALSE)&amp;"]")), FALSE)="", "",
VLOOKUP($A456,YES_Reading_ELA[], COLUMN(INDIRECT("YES_Reading_ELA[Difference - Per "&amp;VLOOKUP($D$2,'Reading Report Logic'!$A$2:$B$8,2,FALSE)&amp;"]")), FALSE)),
IF($J$2="FLA",
IF(VLOOKUP($A456, YES_Reading_FLA[], COLUMN(INDIRECT("YES_Reading_FLA[Difference - Per "&amp;VLOOKUP($D$2,'Reading Report Logic'!$A$2:$B$8,2,FALSE)&amp;"]")),FALSE)="","",
VLOOKUP($A456,YES_Reading_FLA[],COLUMN(INDIRECT("YES_Reading_FLA[Difference - Per "&amp;VLOOKUP($D$2,'Reading Report Logic'!$A$2:$B$8,2,FALSE)&amp;"]")),FALSE)),
IF($J$2="Combined",
IFERROR(
IF(VLOOKUP($A456, YES_Reading_ELA[], COLUMN(INDIRECT("YES_Reading_ELA[Difference - Per "&amp;VLOOKUP($D$2, 'Reading Report Logic'!$A$2:$B$8,2,FALSE)&amp;"]")), FALSE)="", "",
VLOOKUP($A456,YES_Reading_ELA[],COLUMN(INDIRECT("YES_Reading_ELA[Difference - Per "&amp;VLOOKUP($D$2,'Reading Report Logic'!$A$2:$B$8,2,FALSE)&amp;"]")),FALSE)),
IF(VLOOKUP($A456, YES_Reading_FLA[], COLUMN(INDIRECT("YES_Reading_FLA[Difference - Per "&amp;VLOOKUP($D$2, 'Reading Report Logic'!$A$2:$B$8, 2, FALSE)&amp;"]")),FALSE)="", "", VLOOKUP($A456,YES_Reading_FLA[],COLUMN(INDIRECT("YES_Reading_FLA[Difference - Per "&amp;VLOOKUP($D$2, 'Reading Report Logic'!$A$2:$B$8, 2, FALSE)&amp;"]")),FALSE))),""))),"")</f>
        <v/>
      </c>
      <c r="H456" s="206" t="str">
        <f ca="1">IFERROR(VLOOKUP('Teacher Reading Pull Sheets'!$D456,_xlfn.VSTACK('ELA Reading Logic'!$A$22:$B$48,'FLA Reading Logic'!$A$22:$B$53),2,FALSE)-VLOOKUP('Teacher Reading Pull Sheets'!$C456,_xlfn.VSTACK('ELA Reading Logic'!$A$22:$B$48,'FLA Reading Logic'!$A$22:$B$53),2,FALSE),"")</f>
        <v/>
      </c>
      <c r="I456" s="212"/>
      <c r="J456" s="206"/>
      <c r="K456" s="197" t="str" cm="1">
        <f t="array" ref="K456">IFERROR(
IF($J$2="ELA",
IF(VLOOKUP($A456, YES_Reading_ELA[], COLUMN(YES_Reading_ELA[Self-Identified as African Descent]), FALSE)="", "",
VLOOKUP($A456,YES_Reading_ELA[], COLUMN(YES_Reading_ELA[Self-Identified as African Descent]), FALSE)),
IF($J$2="FLA",
IF(VLOOKUP($A456, YES_Reading_FLA[], COLUMN(YES_Reading_FLA[Self-Identified as African Descent]),FALSE)="","",
VLOOKUP($A456,YES_Reading_FLA[],COLUMN(YES_Reading_FLA[Self-Identified as African Descent]),FALSE)),
IF($J$2="Combined",
IFERROR(
IF(VLOOKUP($A456, YES_Reading_ELA[], COLUMN(YES_Reading_ELA[Self-Identified as African Descent]), FALSE)="", "",
VLOOKUP($A456,YES_Reading_ELA[],COLUMN(YES_Reading_ELA[Self-Identified as African Descent]),FALSE)),
IF(VLOOKUP($A456, YES_Reading_FLA[], COLUMN(YES_Reading_FLA[Self-Identified as African Descent]),FALSE)="", "", VLOOKUP($A456,YES_Reading_FLA[],COLUMN(YES_Reading_FLA[Self-Identified as African Descent]),FALSE))),""))),"")</f>
        <v/>
      </c>
      <c r="L456" s="73" t="str" cm="1">
        <f t="array" ref="L456">IFERROR(
IF($J$2="ELA",
IF(VLOOKUP($A456, YES_Reading_ELA[], COLUMN(YES_Reading_ELA[Self-Identified as Indigenous]), FALSE)="", "",
VLOOKUP($A456,YES_Reading_ELA[], COLUMN(YES_Reading_ELA[Self-Identified as Indigenous]), FALSE)),
IF($J$2="FLA",
IF(VLOOKUP($A456, YES_Reading_FLA[], COLUMN(YES_Reading_FLA[Self-Identified as Indigenous]),FALSE)="","",
VLOOKUP($A456,YES_Reading_FLA[],COLUMN(YES_Reading_FLA[Self-Identified as Indigenous]),FALSE)),
IF($J$2="Combined",
IFERROR(
IF(VLOOKUP($A456, YES_Reading_ELA[], COLUMN(YES_Reading_ELA[Self-Identified as Indigenous]), FALSE)="", "",
VLOOKUP($A456,YES_Reading_ELA[],COLUMN(YES_Reading_ELA[Self-Identified as Indigenous]),FALSE)),
IF(VLOOKUP($A456, YES_Reading_FLA[], COLUMN(YES_Reading_FLA[Self-Identified as Indigenous]),FALSE)="", "", VLOOKUP($A456,YES_Reading_FLA[],COLUMN(YES_Reading_FLA[Self-Identified as Indigenous]),FALSE))),""))),"")</f>
        <v/>
      </c>
    </row>
    <row r="457" spans="1:12" ht="19.5" customHeight="1" x14ac:dyDescent="0.25">
      <c r="A457" s="217"/>
      <c r="B457" s="220" t="str">
        <f>IFERROR(VLOOKUP(A457,_xlfn.VSTACK(YES_Reading_ELA[],YES_Reading_FLA[]),2,FALSE),"")</f>
        <v/>
      </c>
      <c r="C457" s="203" t="str" cm="1">
        <f t="array" aca="1" ref="C457" ca="1">IFERROR(
IF($J$2="ELA",
IF(VLOOKUP($A457, YES_Reading_ELA[], COLUMN(IF(VLOOKUP($D$2, 'Reading Report Logic'!$A$2:$B$8, 2, FALSE)=1, YES_Reading_ELA[Reading Level June of Previous School Year], INDIRECT("YES_Reading_ELA[Instructional Reading Level - Per "&amp;(VLOOKUP($D$2,'Reading Report Logic'!$A$2:$B$8,2,FALSE)-1)&amp;"]"))), FALSE)="", "",
VLOOKUP($A457,YES_Reading_ELA[], COLUMN(IF(VLOOKUP($D$2,'Reading Report Logic'!$A$2:$B$8,2,FALSE)=1, YES_Reading_ELA[Reading Level June of Previous School Year],INDIRECT("YES_Reading_ELA[Instructional Reading Level - Per "&amp;(VLOOKUP($D$2,'Reading Report Logic'!$A$2:$B$8,2,FALSE)-1)&amp;"]"))), FALSE)),
IF($J$2="FLA",
IF(VLOOKUP($A457, YES_Reading_FLA[], COLUMN(IF(VLOOKUP($D$2,'Reading Report Logic'!$A$2:$B$8,2,FALSE)=1, YES_Reading_FLA[Reading Level June of Previous School Year],INDIRECT("YES_Reading_FLA[Instructional Reading Level - Per "&amp;(VLOOKUP($D$2,'Reading Report Logic'!$A$2:$B$8,2,FALSE)-1)&amp;"]"))),FALSE)="","",
VLOOKUP($A457,YES_Reading_FLA[], COLUMN(IF(VLOOKUP($D$2,'Reading Report Logic'!$A$2:$B$8,2,FALSE)=1, YES_Reading_FLA[Reading Level June of Previous School Year],INDIRECT("YES_Reading_FLA[Instructional Reading Level - Per "&amp;(VLOOKUP($D$2,'Reading Report Logic'!$A$2:$B$8,2,FALSE)-1)&amp;"]"))),FALSE)),
IF($J$2="Combined",
IFERROR(
IF(VLOOKUP($A457, YES_Reading_ELA[], COLUMN(IF(VLOOKUP($D$2,'Reading Report Logic'!$A$2:$B$8,2,FALSE)=1, YES_Reading_ELA[Reading Level June of Previous School Year],INDIRECT("YES_Reading_ELA[Instructional Reading Level - Per "&amp;(VLOOKUP($D$2,'Reading Report Logic'!$A$2:$B$8,2,FALSE)-1)&amp;"]"))), FALSE)="", "",
VLOOKUP($A457,YES_Reading_ELA[],COLUMN(IF(VLOOKUP($D$2,'Reading Report Logic'!$A$2:$B$8,2,FALSE)=1, YES_Reading_ELA[Reading Level June of Previous School Year],INDIRECT("YES_Reading_ELA[Instructional Reading Level - Per "&amp;(VLOOKUP($D$2,'Reading Report Logic'!$A$2:$B$8,2,FALSE)-1)&amp;"]"))),FALSE)),
IF(VLOOKUP($A457, YES_Reading_FLA[], COLUMN(IF(VLOOKUP($D$2,'Reading Report Logic'!$A$2:$B$8,2,FALSE)=1, YES_Reading_FLA[Reading Level June of Previous School Year],INDIRECT("YES_Reading_FLA[Instructional Reading Level - Per "&amp;(VLOOKUP($D$2,'Reading Report Logic'!$A$2:$B$8,2,FALSE)-1)&amp;"]"))),FALSE)="", "", VLOOKUP($A457,YES_Reading_FLA[],COLUMN(IF(VLOOKUP($D$2,'Reading Report Logic'!$A$2:$B$8,2,FALSE)=1, YES_Reading_FLA[Reading Level June of Previous School Year],INDIRECT("YES_Reading_FLA[Instructional Reading Level - Per "&amp;(VLOOKUP($D$2,'Reading Report Logic'!$A$2:$B$8,2,FALSE)-1)&amp;"]"))), FALSE))),""))),"")</f>
        <v/>
      </c>
      <c r="D457" s="204" t="str" cm="1">
        <f t="array" aca="1" ref="D457" ca="1">IFERROR(
IF($J$2="ELA",
IF(VLOOKUP($A457, YES_Reading_ELA[], COLUMN(INDIRECT("YES_Reading_ELA[Instructional Reading Level - Per "&amp;VLOOKUP($D$2, 'Reading Report Logic'!$A$2:$B$8, 2, FALSE)&amp;"]")), FALSE)="", "",
VLOOKUP($A457,YES_Reading_ELA[], COLUMN(INDIRECT("YES_Reading_ELA[Instructional Reading Level - Per "&amp;VLOOKUP($D$2,'Reading Report Logic'!$A$2:$B$8,2,FALSE)&amp;"]")), FALSE)),
IF($J$2="FLA",
IF(VLOOKUP($A457, YES_Reading_FLA[], COLUMN(INDIRECT("YES_Reading_FLA[Instructional Reading Level - Per "&amp;VLOOKUP($D$2,'Reading Report Logic'!$A$2:$B$8,2,FALSE)&amp;"]")),FALSE)="","",
VLOOKUP($A457,YES_Reading_FLA[],COLUMN(INDIRECT("YES_Reading_FLA[Instructional Reading Level - Per "&amp;VLOOKUP($D$2,'Reading Report Logic'!$A$2:$B$8,2,FALSE)&amp;"]")),FALSE)),
IF($J$2="Combined",
IFERROR(
IF(VLOOKUP($A457, YES_Reading_ELA[], COLUMN(INDIRECT("YES_Reading_ELA[Instructional Reading Level - Per "&amp;VLOOKUP($D$2, 'Reading Report Logic'!$A$2:$B$8,2,FALSE)&amp;"]")), FALSE)="", "",
VLOOKUP($A457,YES_Reading_ELA[],COLUMN(INDIRECT("YES_Reading_ELA[Instructional Reading Level - Per "&amp;VLOOKUP($D$2,'Reading Report Logic'!$A$2:$B$8,2,FALSE)&amp;"]")),FALSE)),
IF(VLOOKUP($A457, YES_Reading_FLA[], COLUMN(INDIRECT("YES_Reading_FLA[Instructional Reading Level - Per "&amp;VLOOKUP($D$2, 'Reading Report Logic'!$A$2:$B$8, 2, FALSE)&amp;"]")),FALSE)="", "", VLOOKUP($A457,YES_Reading_FLA[],COLUMN(INDIRECT("YES_Reading_FLA[Instructional Reading Level - Per "&amp;VLOOKUP($D$2, 'Reading Report Logic'!$A$2:$B$8, 2, FALSE)&amp;"]")),FALSE))),""))),"")</f>
        <v/>
      </c>
      <c r="E457" s="205" t="str" cm="1">
        <f t="array" aca="1" ref="E457" ca="1">IFERROR(
IF($J$2="ELA",
IF(VLOOKUP($A457, YES_Reading_ELA[], COLUMN(INDIRECT("YES_Reading_ELA[Min Expectation - Per "&amp;VLOOKUP($D$2, 'Reading Report Logic'!$A$2:$B$8, 2, FALSE)&amp;"]")), FALSE)="", "",
VLOOKUP($A457,YES_Reading_ELA[], COLUMN(INDIRECT("YES_Reading_ELA[Min Expectation - Per "&amp;VLOOKUP($D$2,'Reading Report Logic'!$A$2:$B$8,2,FALSE)&amp;"]")), FALSE)),
IF($J$2="FLA",
IF(VLOOKUP($A457, YES_Reading_FLA[], COLUMN(INDIRECT("YES_Reading_FLA[Min Expectation - Per "&amp;VLOOKUP($D$2,'Reading Report Logic'!$A$2:$B$8,2,FALSE)&amp;"]")),FALSE)="","",
VLOOKUP($A457,YES_Reading_FLA[],COLUMN(INDIRECT("YES_Reading_FLA[Min Expectation - Per "&amp;VLOOKUP($D$2,'Reading Report Logic'!$A$2:$B$8,2,FALSE)&amp;"]")),FALSE)),
IF($J$2="Combined",
IFERROR(
IF(VLOOKUP($A457, YES_Reading_ELA[], COLUMN(INDIRECT("YES_Reading_ELA[Min Expectation - Per "&amp;VLOOKUP($D$2, 'Reading Report Logic'!$A$2:$B$8,2,FALSE)&amp;"]")), FALSE)="", "",
VLOOKUP($A457,YES_Reading_ELA[],COLUMN(INDIRECT("YES_Reading_ELA[Min Expectation - Per "&amp;VLOOKUP($D$2,'Reading Report Logic'!$A$2:$B$8,2,FALSE)&amp;"]")),FALSE)),
IF(VLOOKUP($A457, YES_Reading_FLA[], COLUMN(INDIRECT("YES_Reading_FLA[Min Expectation - Per "&amp;VLOOKUP($D$2, 'Reading Report Logic'!$A$2:$B$8, 2, FALSE)&amp;"]")),FALSE)="", "", VLOOKUP($A457,YES_Reading_FLA[],COLUMN(INDIRECT("YES_Reading_FLA[Min Expectation - Per "&amp;VLOOKUP($D$2, 'Reading Report Logic'!$A$2:$B$8, 2, FALSE)&amp;"]")),FALSE))),""))),"")</f>
        <v/>
      </c>
      <c r="F457" s="205" t="str" cm="1">
        <f t="array" aca="1" ref="F457" ca="1">IFERROR(
IF($J$2="ELA",
IF(VLOOKUP($A457, YES_Reading_ELA[], COLUMN(INDIRECT("YES_Reading_ELA[Max Expectation - Per "&amp;VLOOKUP($D$2, 'Reading Report Logic'!$A$2:$B$8, 2, FALSE)&amp;"]")), FALSE)="", "",
VLOOKUP($A457,YES_Reading_ELA[], COLUMN(INDIRECT("YES_Reading_ELA[Max Expectation - Per "&amp;VLOOKUP($D$2,'Reading Report Logic'!$A$2:$B$8,2,FALSE)&amp;"]")), FALSE)),
IF($J$2="FLA",
IF(VLOOKUP($A457, YES_Reading_FLA[], COLUMN(INDIRECT("YES_Reading_FLA[Max Expectation - Per "&amp;VLOOKUP($D$2,'Reading Report Logic'!$A$2:$B$8,2,FALSE)&amp;"]")),FALSE)="","",
VLOOKUP($A457,YES_Reading_FLA[],COLUMN(INDIRECT("YES_Reading_FLA[Max Expectation - Per "&amp;VLOOKUP($D$2,'Reading Report Logic'!$A$2:$B$8,2,FALSE)&amp;"]")),FALSE)),
IF($J$2="Combined",
IFERROR(
IF(VLOOKUP($A457, YES_Reading_ELA[], COLUMN(INDIRECT("YES_Reading_ELA[Max Expectation - Per "&amp;VLOOKUP($D$2, 'Reading Report Logic'!$A$2:$B$8,2,FALSE)&amp;"]")), FALSE)="", "",
VLOOKUP($A457,YES_Reading_ELA[],COLUMN(INDIRECT("YES_Reading_ELA[Max Expectation - Per "&amp;VLOOKUP($D$2,'Reading Report Logic'!$A$2:$B$8,2,FALSE)&amp;"]")),FALSE)),
IF(VLOOKUP($A457, YES_Reading_FLA[], COLUMN(INDIRECT("YES_Reading_FLA[Max Expectation - Per "&amp;VLOOKUP($D$2, 'Reading Report Logic'!$A$2:$B$8, 2, FALSE)&amp;"]")),FALSE)="", "", VLOOKUP($A457,YES_Reading_FLA[],COLUMN(INDIRECT("YES_Reading_FLA[Max Expectation - Per "&amp;VLOOKUP($D$2, 'Reading Report Logic'!$A$2:$B$8, 2, FALSE)&amp;"]")),FALSE))),""))),"")</f>
        <v/>
      </c>
      <c r="G457" s="205" t="str" cm="1">
        <f t="array" aca="1" ref="G457" ca="1">IFERROR(
IF($J$2="ELA",
IF(VLOOKUP($A457, YES_Reading_ELA[], COLUMN(INDIRECT("YES_Reading_ELA[Difference - Per "&amp;VLOOKUP($D$2, 'Reading Report Logic'!$A$2:$B$8, 2, FALSE)&amp;"]")), FALSE)="", "",
VLOOKUP($A457,YES_Reading_ELA[], COLUMN(INDIRECT("YES_Reading_ELA[Difference - Per "&amp;VLOOKUP($D$2,'Reading Report Logic'!$A$2:$B$8,2,FALSE)&amp;"]")), FALSE)),
IF($J$2="FLA",
IF(VLOOKUP($A457, YES_Reading_FLA[], COLUMN(INDIRECT("YES_Reading_FLA[Difference - Per "&amp;VLOOKUP($D$2,'Reading Report Logic'!$A$2:$B$8,2,FALSE)&amp;"]")),FALSE)="","",
VLOOKUP($A457,YES_Reading_FLA[],COLUMN(INDIRECT("YES_Reading_FLA[Difference - Per "&amp;VLOOKUP($D$2,'Reading Report Logic'!$A$2:$B$8,2,FALSE)&amp;"]")),FALSE)),
IF($J$2="Combined",
IFERROR(
IF(VLOOKUP($A457, YES_Reading_ELA[], COLUMN(INDIRECT("YES_Reading_ELA[Difference - Per "&amp;VLOOKUP($D$2, 'Reading Report Logic'!$A$2:$B$8,2,FALSE)&amp;"]")), FALSE)="", "",
VLOOKUP($A457,YES_Reading_ELA[],COLUMN(INDIRECT("YES_Reading_ELA[Difference - Per "&amp;VLOOKUP($D$2,'Reading Report Logic'!$A$2:$B$8,2,FALSE)&amp;"]")),FALSE)),
IF(VLOOKUP($A457, YES_Reading_FLA[], COLUMN(INDIRECT("YES_Reading_FLA[Difference - Per "&amp;VLOOKUP($D$2, 'Reading Report Logic'!$A$2:$B$8, 2, FALSE)&amp;"]")),FALSE)="", "", VLOOKUP($A457,YES_Reading_FLA[],COLUMN(INDIRECT("YES_Reading_FLA[Difference - Per "&amp;VLOOKUP($D$2, 'Reading Report Logic'!$A$2:$B$8, 2, FALSE)&amp;"]")),FALSE))),""))),"")</f>
        <v/>
      </c>
      <c r="H457" s="206" t="str">
        <f ca="1">IFERROR(VLOOKUP('Teacher Reading Pull Sheets'!$D457,_xlfn.VSTACK('ELA Reading Logic'!$A$22:$B$48,'FLA Reading Logic'!$A$22:$B$53),2,FALSE)-VLOOKUP('Teacher Reading Pull Sheets'!$C457,_xlfn.VSTACK('ELA Reading Logic'!$A$22:$B$48,'FLA Reading Logic'!$A$22:$B$53),2,FALSE),"")</f>
        <v/>
      </c>
      <c r="I457" s="212"/>
      <c r="J457" s="206"/>
      <c r="K457" s="197" t="str" cm="1">
        <f t="array" ref="K457">IFERROR(
IF($J$2="ELA",
IF(VLOOKUP($A457, YES_Reading_ELA[], COLUMN(YES_Reading_ELA[Self-Identified as African Descent]), FALSE)="", "",
VLOOKUP($A457,YES_Reading_ELA[], COLUMN(YES_Reading_ELA[Self-Identified as African Descent]), FALSE)),
IF($J$2="FLA",
IF(VLOOKUP($A457, YES_Reading_FLA[], COLUMN(YES_Reading_FLA[Self-Identified as African Descent]),FALSE)="","",
VLOOKUP($A457,YES_Reading_FLA[],COLUMN(YES_Reading_FLA[Self-Identified as African Descent]),FALSE)),
IF($J$2="Combined",
IFERROR(
IF(VLOOKUP($A457, YES_Reading_ELA[], COLUMN(YES_Reading_ELA[Self-Identified as African Descent]), FALSE)="", "",
VLOOKUP($A457,YES_Reading_ELA[],COLUMN(YES_Reading_ELA[Self-Identified as African Descent]),FALSE)),
IF(VLOOKUP($A457, YES_Reading_FLA[], COLUMN(YES_Reading_FLA[Self-Identified as African Descent]),FALSE)="", "", VLOOKUP($A457,YES_Reading_FLA[],COLUMN(YES_Reading_FLA[Self-Identified as African Descent]),FALSE))),""))),"")</f>
        <v/>
      </c>
      <c r="L457" s="73" t="str" cm="1">
        <f t="array" ref="L457">IFERROR(
IF($J$2="ELA",
IF(VLOOKUP($A457, YES_Reading_ELA[], COLUMN(YES_Reading_ELA[Self-Identified as Indigenous]), FALSE)="", "",
VLOOKUP($A457,YES_Reading_ELA[], COLUMN(YES_Reading_ELA[Self-Identified as Indigenous]), FALSE)),
IF($J$2="FLA",
IF(VLOOKUP($A457, YES_Reading_FLA[], COLUMN(YES_Reading_FLA[Self-Identified as Indigenous]),FALSE)="","",
VLOOKUP($A457,YES_Reading_FLA[],COLUMN(YES_Reading_FLA[Self-Identified as Indigenous]),FALSE)),
IF($J$2="Combined",
IFERROR(
IF(VLOOKUP($A457, YES_Reading_ELA[], COLUMN(YES_Reading_ELA[Self-Identified as Indigenous]), FALSE)="", "",
VLOOKUP($A457,YES_Reading_ELA[],COLUMN(YES_Reading_ELA[Self-Identified as Indigenous]),FALSE)),
IF(VLOOKUP($A457, YES_Reading_FLA[], COLUMN(YES_Reading_FLA[Self-Identified as Indigenous]),FALSE)="", "", VLOOKUP($A457,YES_Reading_FLA[],COLUMN(YES_Reading_FLA[Self-Identified as Indigenous]),FALSE))),""))),"")</f>
        <v/>
      </c>
    </row>
    <row r="458" spans="1:12" ht="19.5" customHeight="1" x14ac:dyDescent="0.25">
      <c r="A458" s="217"/>
      <c r="B458" s="220" t="str">
        <f>IFERROR(VLOOKUP(A458,_xlfn.VSTACK(YES_Reading_ELA[],YES_Reading_FLA[]),2,FALSE),"")</f>
        <v/>
      </c>
      <c r="C458" s="203" t="str" cm="1">
        <f t="array" aca="1" ref="C458" ca="1">IFERROR(
IF($J$2="ELA",
IF(VLOOKUP($A458, YES_Reading_ELA[], COLUMN(IF(VLOOKUP($D$2, 'Reading Report Logic'!$A$2:$B$8, 2, FALSE)=1, YES_Reading_ELA[Reading Level June of Previous School Year], INDIRECT("YES_Reading_ELA[Instructional Reading Level - Per "&amp;(VLOOKUP($D$2,'Reading Report Logic'!$A$2:$B$8,2,FALSE)-1)&amp;"]"))), FALSE)="", "",
VLOOKUP($A458,YES_Reading_ELA[], COLUMN(IF(VLOOKUP($D$2,'Reading Report Logic'!$A$2:$B$8,2,FALSE)=1, YES_Reading_ELA[Reading Level June of Previous School Year],INDIRECT("YES_Reading_ELA[Instructional Reading Level - Per "&amp;(VLOOKUP($D$2,'Reading Report Logic'!$A$2:$B$8,2,FALSE)-1)&amp;"]"))), FALSE)),
IF($J$2="FLA",
IF(VLOOKUP($A458, YES_Reading_FLA[], COLUMN(IF(VLOOKUP($D$2,'Reading Report Logic'!$A$2:$B$8,2,FALSE)=1, YES_Reading_FLA[Reading Level June of Previous School Year],INDIRECT("YES_Reading_FLA[Instructional Reading Level - Per "&amp;(VLOOKUP($D$2,'Reading Report Logic'!$A$2:$B$8,2,FALSE)-1)&amp;"]"))),FALSE)="","",
VLOOKUP($A458,YES_Reading_FLA[], COLUMN(IF(VLOOKUP($D$2,'Reading Report Logic'!$A$2:$B$8,2,FALSE)=1, YES_Reading_FLA[Reading Level June of Previous School Year],INDIRECT("YES_Reading_FLA[Instructional Reading Level - Per "&amp;(VLOOKUP($D$2,'Reading Report Logic'!$A$2:$B$8,2,FALSE)-1)&amp;"]"))),FALSE)),
IF($J$2="Combined",
IFERROR(
IF(VLOOKUP($A458, YES_Reading_ELA[], COLUMN(IF(VLOOKUP($D$2,'Reading Report Logic'!$A$2:$B$8,2,FALSE)=1, YES_Reading_ELA[Reading Level June of Previous School Year],INDIRECT("YES_Reading_ELA[Instructional Reading Level - Per "&amp;(VLOOKUP($D$2,'Reading Report Logic'!$A$2:$B$8,2,FALSE)-1)&amp;"]"))), FALSE)="", "",
VLOOKUP($A458,YES_Reading_ELA[],COLUMN(IF(VLOOKUP($D$2,'Reading Report Logic'!$A$2:$B$8,2,FALSE)=1, YES_Reading_ELA[Reading Level June of Previous School Year],INDIRECT("YES_Reading_ELA[Instructional Reading Level - Per "&amp;(VLOOKUP($D$2,'Reading Report Logic'!$A$2:$B$8,2,FALSE)-1)&amp;"]"))),FALSE)),
IF(VLOOKUP($A458, YES_Reading_FLA[], COLUMN(IF(VLOOKUP($D$2,'Reading Report Logic'!$A$2:$B$8,2,FALSE)=1, YES_Reading_FLA[Reading Level June of Previous School Year],INDIRECT("YES_Reading_FLA[Instructional Reading Level - Per "&amp;(VLOOKUP($D$2,'Reading Report Logic'!$A$2:$B$8,2,FALSE)-1)&amp;"]"))),FALSE)="", "", VLOOKUP($A458,YES_Reading_FLA[],COLUMN(IF(VLOOKUP($D$2,'Reading Report Logic'!$A$2:$B$8,2,FALSE)=1, YES_Reading_FLA[Reading Level June of Previous School Year],INDIRECT("YES_Reading_FLA[Instructional Reading Level - Per "&amp;(VLOOKUP($D$2,'Reading Report Logic'!$A$2:$B$8,2,FALSE)-1)&amp;"]"))), FALSE))),""))),"")</f>
        <v/>
      </c>
      <c r="D458" s="204" t="str" cm="1">
        <f t="array" aca="1" ref="D458" ca="1">IFERROR(
IF($J$2="ELA",
IF(VLOOKUP($A458, YES_Reading_ELA[], COLUMN(INDIRECT("YES_Reading_ELA[Instructional Reading Level - Per "&amp;VLOOKUP($D$2, 'Reading Report Logic'!$A$2:$B$8, 2, FALSE)&amp;"]")), FALSE)="", "",
VLOOKUP($A458,YES_Reading_ELA[], COLUMN(INDIRECT("YES_Reading_ELA[Instructional Reading Level - Per "&amp;VLOOKUP($D$2,'Reading Report Logic'!$A$2:$B$8,2,FALSE)&amp;"]")), FALSE)),
IF($J$2="FLA",
IF(VLOOKUP($A458, YES_Reading_FLA[], COLUMN(INDIRECT("YES_Reading_FLA[Instructional Reading Level - Per "&amp;VLOOKUP($D$2,'Reading Report Logic'!$A$2:$B$8,2,FALSE)&amp;"]")),FALSE)="","",
VLOOKUP($A458,YES_Reading_FLA[],COLUMN(INDIRECT("YES_Reading_FLA[Instructional Reading Level - Per "&amp;VLOOKUP($D$2,'Reading Report Logic'!$A$2:$B$8,2,FALSE)&amp;"]")),FALSE)),
IF($J$2="Combined",
IFERROR(
IF(VLOOKUP($A458, YES_Reading_ELA[], COLUMN(INDIRECT("YES_Reading_ELA[Instructional Reading Level - Per "&amp;VLOOKUP($D$2, 'Reading Report Logic'!$A$2:$B$8,2,FALSE)&amp;"]")), FALSE)="", "",
VLOOKUP($A458,YES_Reading_ELA[],COLUMN(INDIRECT("YES_Reading_ELA[Instructional Reading Level - Per "&amp;VLOOKUP($D$2,'Reading Report Logic'!$A$2:$B$8,2,FALSE)&amp;"]")),FALSE)),
IF(VLOOKUP($A458, YES_Reading_FLA[], COLUMN(INDIRECT("YES_Reading_FLA[Instructional Reading Level - Per "&amp;VLOOKUP($D$2, 'Reading Report Logic'!$A$2:$B$8, 2, FALSE)&amp;"]")),FALSE)="", "", VLOOKUP($A458,YES_Reading_FLA[],COLUMN(INDIRECT("YES_Reading_FLA[Instructional Reading Level - Per "&amp;VLOOKUP($D$2, 'Reading Report Logic'!$A$2:$B$8, 2, FALSE)&amp;"]")),FALSE))),""))),"")</f>
        <v/>
      </c>
      <c r="E458" s="205" t="str" cm="1">
        <f t="array" aca="1" ref="E458" ca="1">IFERROR(
IF($J$2="ELA",
IF(VLOOKUP($A458, YES_Reading_ELA[], COLUMN(INDIRECT("YES_Reading_ELA[Min Expectation - Per "&amp;VLOOKUP($D$2, 'Reading Report Logic'!$A$2:$B$8, 2, FALSE)&amp;"]")), FALSE)="", "",
VLOOKUP($A458,YES_Reading_ELA[], COLUMN(INDIRECT("YES_Reading_ELA[Min Expectation - Per "&amp;VLOOKUP($D$2,'Reading Report Logic'!$A$2:$B$8,2,FALSE)&amp;"]")), FALSE)),
IF($J$2="FLA",
IF(VLOOKUP($A458, YES_Reading_FLA[], COLUMN(INDIRECT("YES_Reading_FLA[Min Expectation - Per "&amp;VLOOKUP($D$2,'Reading Report Logic'!$A$2:$B$8,2,FALSE)&amp;"]")),FALSE)="","",
VLOOKUP($A458,YES_Reading_FLA[],COLUMN(INDIRECT("YES_Reading_FLA[Min Expectation - Per "&amp;VLOOKUP($D$2,'Reading Report Logic'!$A$2:$B$8,2,FALSE)&amp;"]")),FALSE)),
IF($J$2="Combined",
IFERROR(
IF(VLOOKUP($A458, YES_Reading_ELA[], COLUMN(INDIRECT("YES_Reading_ELA[Min Expectation - Per "&amp;VLOOKUP($D$2, 'Reading Report Logic'!$A$2:$B$8,2,FALSE)&amp;"]")), FALSE)="", "",
VLOOKUP($A458,YES_Reading_ELA[],COLUMN(INDIRECT("YES_Reading_ELA[Min Expectation - Per "&amp;VLOOKUP($D$2,'Reading Report Logic'!$A$2:$B$8,2,FALSE)&amp;"]")),FALSE)),
IF(VLOOKUP($A458, YES_Reading_FLA[], COLUMN(INDIRECT("YES_Reading_FLA[Min Expectation - Per "&amp;VLOOKUP($D$2, 'Reading Report Logic'!$A$2:$B$8, 2, FALSE)&amp;"]")),FALSE)="", "", VLOOKUP($A458,YES_Reading_FLA[],COLUMN(INDIRECT("YES_Reading_FLA[Min Expectation - Per "&amp;VLOOKUP($D$2, 'Reading Report Logic'!$A$2:$B$8, 2, FALSE)&amp;"]")),FALSE))),""))),"")</f>
        <v/>
      </c>
      <c r="F458" s="205" t="str" cm="1">
        <f t="array" aca="1" ref="F458" ca="1">IFERROR(
IF($J$2="ELA",
IF(VLOOKUP($A458, YES_Reading_ELA[], COLUMN(INDIRECT("YES_Reading_ELA[Max Expectation - Per "&amp;VLOOKUP($D$2, 'Reading Report Logic'!$A$2:$B$8, 2, FALSE)&amp;"]")), FALSE)="", "",
VLOOKUP($A458,YES_Reading_ELA[], COLUMN(INDIRECT("YES_Reading_ELA[Max Expectation - Per "&amp;VLOOKUP($D$2,'Reading Report Logic'!$A$2:$B$8,2,FALSE)&amp;"]")), FALSE)),
IF($J$2="FLA",
IF(VLOOKUP($A458, YES_Reading_FLA[], COLUMN(INDIRECT("YES_Reading_FLA[Max Expectation - Per "&amp;VLOOKUP($D$2,'Reading Report Logic'!$A$2:$B$8,2,FALSE)&amp;"]")),FALSE)="","",
VLOOKUP($A458,YES_Reading_FLA[],COLUMN(INDIRECT("YES_Reading_FLA[Max Expectation - Per "&amp;VLOOKUP($D$2,'Reading Report Logic'!$A$2:$B$8,2,FALSE)&amp;"]")),FALSE)),
IF($J$2="Combined",
IFERROR(
IF(VLOOKUP($A458, YES_Reading_ELA[], COLUMN(INDIRECT("YES_Reading_ELA[Max Expectation - Per "&amp;VLOOKUP($D$2, 'Reading Report Logic'!$A$2:$B$8,2,FALSE)&amp;"]")), FALSE)="", "",
VLOOKUP($A458,YES_Reading_ELA[],COLUMN(INDIRECT("YES_Reading_ELA[Max Expectation - Per "&amp;VLOOKUP($D$2,'Reading Report Logic'!$A$2:$B$8,2,FALSE)&amp;"]")),FALSE)),
IF(VLOOKUP($A458, YES_Reading_FLA[], COLUMN(INDIRECT("YES_Reading_FLA[Max Expectation - Per "&amp;VLOOKUP($D$2, 'Reading Report Logic'!$A$2:$B$8, 2, FALSE)&amp;"]")),FALSE)="", "", VLOOKUP($A458,YES_Reading_FLA[],COLUMN(INDIRECT("YES_Reading_FLA[Max Expectation - Per "&amp;VLOOKUP($D$2, 'Reading Report Logic'!$A$2:$B$8, 2, FALSE)&amp;"]")),FALSE))),""))),"")</f>
        <v/>
      </c>
      <c r="G458" s="205" t="str" cm="1">
        <f t="array" aca="1" ref="G458" ca="1">IFERROR(
IF($J$2="ELA",
IF(VLOOKUP($A458, YES_Reading_ELA[], COLUMN(INDIRECT("YES_Reading_ELA[Difference - Per "&amp;VLOOKUP($D$2, 'Reading Report Logic'!$A$2:$B$8, 2, FALSE)&amp;"]")), FALSE)="", "",
VLOOKUP($A458,YES_Reading_ELA[], COLUMN(INDIRECT("YES_Reading_ELA[Difference - Per "&amp;VLOOKUP($D$2,'Reading Report Logic'!$A$2:$B$8,2,FALSE)&amp;"]")), FALSE)),
IF($J$2="FLA",
IF(VLOOKUP($A458, YES_Reading_FLA[], COLUMN(INDIRECT("YES_Reading_FLA[Difference - Per "&amp;VLOOKUP($D$2,'Reading Report Logic'!$A$2:$B$8,2,FALSE)&amp;"]")),FALSE)="","",
VLOOKUP($A458,YES_Reading_FLA[],COLUMN(INDIRECT("YES_Reading_FLA[Difference - Per "&amp;VLOOKUP($D$2,'Reading Report Logic'!$A$2:$B$8,2,FALSE)&amp;"]")),FALSE)),
IF($J$2="Combined",
IFERROR(
IF(VLOOKUP($A458, YES_Reading_ELA[], COLUMN(INDIRECT("YES_Reading_ELA[Difference - Per "&amp;VLOOKUP($D$2, 'Reading Report Logic'!$A$2:$B$8,2,FALSE)&amp;"]")), FALSE)="", "",
VLOOKUP($A458,YES_Reading_ELA[],COLUMN(INDIRECT("YES_Reading_ELA[Difference - Per "&amp;VLOOKUP($D$2,'Reading Report Logic'!$A$2:$B$8,2,FALSE)&amp;"]")),FALSE)),
IF(VLOOKUP($A458, YES_Reading_FLA[], COLUMN(INDIRECT("YES_Reading_FLA[Difference - Per "&amp;VLOOKUP($D$2, 'Reading Report Logic'!$A$2:$B$8, 2, FALSE)&amp;"]")),FALSE)="", "", VLOOKUP($A458,YES_Reading_FLA[],COLUMN(INDIRECT("YES_Reading_FLA[Difference - Per "&amp;VLOOKUP($D$2, 'Reading Report Logic'!$A$2:$B$8, 2, FALSE)&amp;"]")),FALSE))),""))),"")</f>
        <v/>
      </c>
      <c r="H458" s="206" t="str">
        <f ca="1">IFERROR(VLOOKUP('Teacher Reading Pull Sheets'!$D458,_xlfn.VSTACK('ELA Reading Logic'!$A$22:$B$48,'FLA Reading Logic'!$A$22:$B$53),2,FALSE)-VLOOKUP('Teacher Reading Pull Sheets'!$C458,_xlfn.VSTACK('ELA Reading Logic'!$A$22:$B$48,'FLA Reading Logic'!$A$22:$B$53),2,FALSE),"")</f>
        <v/>
      </c>
      <c r="I458" s="212"/>
      <c r="J458" s="206"/>
      <c r="K458" s="197" t="str" cm="1">
        <f t="array" ref="K458">IFERROR(
IF($J$2="ELA",
IF(VLOOKUP($A458, YES_Reading_ELA[], COLUMN(YES_Reading_ELA[Self-Identified as African Descent]), FALSE)="", "",
VLOOKUP($A458,YES_Reading_ELA[], COLUMN(YES_Reading_ELA[Self-Identified as African Descent]), FALSE)),
IF($J$2="FLA",
IF(VLOOKUP($A458, YES_Reading_FLA[], COLUMN(YES_Reading_FLA[Self-Identified as African Descent]),FALSE)="","",
VLOOKUP($A458,YES_Reading_FLA[],COLUMN(YES_Reading_FLA[Self-Identified as African Descent]),FALSE)),
IF($J$2="Combined",
IFERROR(
IF(VLOOKUP($A458, YES_Reading_ELA[], COLUMN(YES_Reading_ELA[Self-Identified as African Descent]), FALSE)="", "",
VLOOKUP($A458,YES_Reading_ELA[],COLUMN(YES_Reading_ELA[Self-Identified as African Descent]),FALSE)),
IF(VLOOKUP($A458, YES_Reading_FLA[], COLUMN(YES_Reading_FLA[Self-Identified as African Descent]),FALSE)="", "", VLOOKUP($A458,YES_Reading_FLA[],COLUMN(YES_Reading_FLA[Self-Identified as African Descent]),FALSE))),""))),"")</f>
        <v/>
      </c>
      <c r="L458" s="73" t="str" cm="1">
        <f t="array" ref="L458">IFERROR(
IF($J$2="ELA",
IF(VLOOKUP($A458, YES_Reading_ELA[], COLUMN(YES_Reading_ELA[Self-Identified as Indigenous]), FALSE)="", "",
VLOOKUP($A458,YES_Reading_ELA[], COLUMN(YES_Reading_ELA[Self-Identified as Indigenous]), FALSE)),
IF($J$2="FLA",
IF(VLOOKUP($A458, YES_Reading_FLA[], COLUMN(YES_Reading_FLA[Self-Identified as Indigenous]),FALSE)="","",
VLOOKUP($A458,YES_Reading_FLA[],COLUMN(YES_Reading_FLA[Self-Identified as Indigenous]),FALSE)),
IF($J$2="Combined",
IFERROR(
IF(VLOOKUP($A458, YES_Reading_ELA[], COLUMN(YES_Reading_ELA[Self-Identified as Indigenous]), FALSE)="", "",
VLOOKUP($A458,YES_Reading_ELA[],COLUMN(YES_Reading_ELA[Self-Identified as Indigenous]),FALSE)),
IF(VLOOKUP($A458, YES_Reading_FLA[], COLUMN(YES_Reading_FLA[Self-Identified as Indigenous]),FALSE)="", "", VLOOKUP($A458,YES_Reading_FLA[],COLUMN(YES_Reading_FLA[Self-Identified as Indigenous]),FALSE))),""))),"")</f>
        <v/>
      </c>
    </row>
    <row r="459" spans="1:12" ht="19.5" customHeight="1" x14ac:dyDescent="0.25">
      <c r="A459" s="217"/>
      <c r="B459" s="220" t="str">
        <f>IFERROR(VLOOKUP(A459,_xlfn.VSTACK(YES_Reading_ELA[],YES_Reading_FLA[]),2,FALSE),"")</f>
        <v/>
      </c>
      <c r="C459" s="203" t="str" cm="1">
        <f t="array" aca="1" ref="C459" ca="1">IFERROR(
IF($J$2="ELA",
IF(VLOOKUP($A459, YES_Reading_ELA[], COLUMN(IF(VLOOKUP($D$2, 'Reading Report Logic'!$A$2:$B$8, 2, FALSE)=1, YES_Reading_ELA[Reading Level June of Previous School Year], INDIRECT("YES_Reading_ELA[Instructional Reading Level - Per "&amp;(VLOOKUP($D$2,'Reading Report Logic'!$A$2:$B$8,2,FALSE)-1)&amp;"]"))), FALSE)="", "",
VLOOKUP($A459,YES_Reading_ELA[], COLUMN(IF(VLOOKUP($D$2,'Reading Report Logic'!$A$2:$B$8,2,FALSE)=1, YES_Reading_ELA[Reading Level June of Previous School Year],INDIRECT("YES_Reading_ELA[Instructional Reading Level - Per "&amp;(VLOOKUP($D$2,'Reading Report Logic'!$A$2:$B$8,2,FALSE)-1)&amp;"]"))), FALSE)),
IF($J$2="FLA",
IF(VLOOKUP($A459, YES_Reading_FLA[], COLUMN(IF(VLOOKUP($D$2,'Reading Report Logic'!$A$2:$B$8,2,FALSE)=1, YES_Reading_FLA[Reading Level June of Previous School Year],INDIRECT("YES_Reading_FLA[Instructional Reading Level - Per "&amp;(VLOOKUP($D$2,'Reading Report Logic'!$A$2:$B$8,2,FALSE)-1)&amp;"]"))),FALSE)="","",
VLOOKUP($A459,YES_Reading_FLA[], COLUMN(IF(VLOOKUP($D$2,'Reading Report Logic'!$A$2:$B$8,2,FALSE)=1, YES_Reading_FLA[Reading Level June of Previous School Year],INDIRECT("YES_Reading_FLA[Instructional Reading Level - Per "&amp;(VLOOKUP($D$2,'Reading Report Logic'!$A$2:$B$8,2,FALSE)-1)&amp;"]"))),FALSE)),
IF($J$2="Combined",
IFERROR(
IF(VLOOKUP($A459, YES_Reading_ELA[], COLUMN(IF(VLOOKUP($D$2,'Reading Report Logic'!$A$2:$B$8,2,FALSE)=1, YES_Reading_ELA[Reading Level June of Previous School Year],INDIRECT("YES_Reading_ELA[Instructional Reading Level - Per "&amp;(VLOOKUP($D$2,'Reading Report Logic'!$A$2:$B$8,2,FALSE)-1)&amp;"]"))), FALSE)="", "",
VLOOKUP($A459,YES_Reading_ELA[],COLUMN(IF(VLOOKUP($D$2,'Reading Report Logic'!$A$2:$B$8,2,FALSE)=1, YES_Reading_ELA[Reading Level June of Previous School Year],INDIRECT("YES_Reading_ELA[Instructional Reading Level - Per "&amp;(VLOOKUP($D$2,'Reading Report Logic'!$A$2:$B$8,2,FALSE)-1)&amp;"]"))),FALSE)),
IF(VLOOKUP($A459, YES_Reading_FLA[], COLUMN(IF(VLOOKUP($D$2,'Reading Report Logic'!$A$2:$B$8,2,FALSE)=1, YES_Reading_FLA[Reading Level June of Previous School Year],INDIRECT("YES_Reading_FLA[Instructional Reading Level - Per "&amp;(VLOOKUP($D$2,'Reading Report Logic'!$A$2:$B$8,2,FALSE)-1)&amp;"]"))),FALSE)="", "", VLOOKUP($A459,YES_Reading_FLA[],COLUMN(IF(VLOOKUP($D$2,'Reading Report Logic'!$A$2:$B$8,2,FALSE)=1, YES_Reading_FLA[Reading Level June of Previous School Year],INDIRECT("YES_Reading_FLA[Instructional Reading Level - Per "&amp;(VLOOKUP($D$2,'Reading Report Logic'!$A$2:$B$8,2,FALSE)-1)&amp;"]"))), FALSE))),""))),"")</f>
        <v/>
      </c>
      <c r="D459" s="204" t="str" cm="1">
        <f t="array" aca="1" ref="D459" ca="1">IFERROR(
IF($J$2="ELA",
IF(VLOOKUP($A459, YES_Reading_ELA[], COLUMN(INDIRECT("YES_Reading_ELA[Instructional Reading Level - Per "&amp;VLOOKUP($D$2, 'Reading Report Logic'!$A$2:$B$8, 2, FALSE)&amp;"]")), FALSE)="", "",
VLOOKUP($A459,YES_Reading_ELA[], COLUMN(INDIRECT("YES_Reading_ELA[Instructional Reading Level - Per "&amp;VLOOKUP($D$2,'Reading Report Logic'!$A$2:$B$8,2,FALSE)&amp;"]")), FALSE)),
IF($J$2="FLA",
IF(VLOOKUP($A459, YES_Reading_FLA[], COLUMN(INDIRECT("YES_Reading_FLA[Instructional Reading Level - Per "&amp;VLOOKUP($D$2,'Reading Report Logic'!$A$2:$B$8,2,FALSE)&amp;"]")),FALSE)="","",
VLOOKUP($A459,YES_Reading_FLA[],COLUMN(INDIRECT("YES_Reading_FLA[Instructional Reading Level - Per "&amp;VLOOKUP($D$2,'Reading Report Logic'!$A$2:$B$8,2,FALSE)&amp;"]")),FALSE)),
IF($J$2="Combined",
IFERROR(
IF(VLOOKUP($A459, YES_Reading_ELA[], COLUMN(INDIRECT("YES_Reading_ELA[Instructional Reading Level - Per "&amp;VLOOKUP($D$2, 'Reading Report Logic'!$A$2:$B$8,2,FALSE)&amp;"]")), FALSE)="", "",
VLOOKUP($A459,YES_Reading_ELA[],COLUMN(INDIRECT("YES_Reading_ELA[Instructional Reading Level - Per "&amp;VLOOKUP($D$2,'Reading Report Logic'!$A$2:$B$8,2,FALSE)&amp;"]")),FALSE)),
IF(VLOOKUP($A459, YES_Reading_FLA[], COLUMN(INDIRECT("YES_Reading_FLA[Instructional Reading Level - Per "&amp;VLOOKUP($D$2, 'Reading Report Logic'!$A$2:$B$8, 2, FALSE)&amp;"]")),FALSE)="", "", VLOOKUP($A459,YES_Reading_FLA[],COLUMN(INDIRECT("YES_Reading_FLA[Instructional Reading Level - Per "&amp;VLOOKUP($D$2, 'Reading Report Logic'!$A$2:$B$8, 2, FALSE)&amp;"]")),FALSE))),""))),"")</f>
        <v/>
      </c>
      <c r="E459" s="205" t="str" cm="1">
        <f t="array" aca="1" ref="E459" ca="1">IFERROR(
IF($J$2="ELA",
IF(VLOOKUP($A459, YES_Reading_ELA[], COLUMN(INDIRECT("YES_Reading_ELA[Min Expectation - Per "&amp;VLOOKUP($D$2, 'Reading Report Logic'!$A$2:$B$8, 2, FALSE)&amp;"]")), FALSE)="", "",
VLOOKUP($A459,YES_Reading_ELA[], COLUMN(INDIRECT("YES_Reading_ELA[Min Expectation - Per "&amp;VLOOKUP($D$2,'Reading Report Logic'!$A$2:$B$8,2,FALSE)&amp;"]")), FALSE)),
IF($J$2="FLA",
IF(VLOOKUP($A459, YES_Reading_FLA[], COLUMN(INDIRECT("YES_Reading_FLA[Min Expectation - Per "&amp;VLOOKUP($D$2,'Reading Report Logic'!$A$2:$B$8,2,FALSE)&amp;"]")),FALSE)="","",
VLOOKUP($A459,YES_Reading_FLA[],COLUMN(INDIRECT("YES_Reading_FLA[Min Expectation - Per "&amp;VLOOKUP($D$2,'Reading Report Logic'!$A$2:$B$8,2,FALSE)&amp;"]")),FALSE)),
IF($J$2="Combined",
IFERROR(
IF(VLOOKUP($A459, YES_Reading_ELA[], COLUMN(INDIRECT("YES_Reading_ELA[Min Expectation - Per "&amp;VLOOKUP($D$2, 'Reading Report Logic'!$A$2:$B$8,2,FALSE)&amp;"]")), FALSE)="", "",
VLOOKUP($A459,YES_Reading_ELA[],COLUMN(INDIRECT("YES_Reading_ELA[Min Expectation - Per "&amp;VLOOKUP($D$2,'Reading Report Logic'!$A$2:$B$8,2,FALSE)&amp;"]")),FALSE)),
IF(VLOOKUP($A459, YES_Reading_FLA[], COLUMN(INDIRECT("YES_Reading_FLA[Min Expectation - Per "&amp;VLOOKUP($D$2, 'Reading Report Logic'!$A$2:$B$8, 2, FALSE)&amp;"]")),FALSE)="", "", VLOOKUP($A459,YES_Reading_FLA[],COLUMN(INDIRECT("YES_Reading_FLA[Min Expectation - Per "&amp;VLOOKUP($D$2, 'Reading Report Logic'!$A$2:$B$8, 2, FALSE)&amp;"]")),FALSE))),""))),"")</f>
        <v/>
      </c>
      <c r="F459" s="205" t="str" cm="1">
        <f t="array" aca="1" ref="F459" ca="1">IFERROR(
IF($J$2="ELA",
IF(VLOOKUP($A459, YES_Reading_ELA[], COLUMN(INDIRECT("YES_Reading_ELA[Max Expectation - Per "&amp;VLOOKUP($D$2, 'Reading Report Logic'!$A$2:$B$8, 2, FALSE)&amp;"]")), FALSE)="", "",
VLOOKUP($A459,YES_Reading_ELA[], COLUMN(INDIRECT("YES_Reading_ELA[Max Expectation - Per "&amp;VLOOKUP($D$2,'Reading Report Logic'!$A$2:$B$8,2,FALSE)&amp;"]")), FALSE)),
IF($J$2="FLA",
IF(VLOOKUP($A459, YES_Reading_FLA[], COLUMN(INDIRECT("YES_Reading_FLA[Max Expectation - Per "&amp;VLOOKUP($D$2,'Reading Report Logic'!$A$2:$B$8,2,FALSE)&amp;"]")),FALSE)="","",
VLOOKUP($A459,YES_Reading_FLA[],COLUMN(INDIRECT("YES_Reading_FLA[Max Expectation - Per "&amp;VLOOKUP($D$2,'Reading Report Logic'!$A$2:$B$8,2,FALSE)&amp;"]")),FALSE)),
IF($J$2="Combined",
IFERROR(
IF(VLOOKUP($A459, YES_Reading_ELA[], COLUMN(INDIRECT("YES_Reading_ELA[Max Expectation - Per "&amp;VLOOKUP($D$2, 'Reading Report Logic'!$A$2:$B$8,2,FALSE)&amp;"]")), FALSE)="", "",
VLOOKUP($A459,YES_Reading_ELA[],COLUMN(INDIRECT("YES_Reading_ELA[Max Expectation - Per "&amp;VLOOKUP($D$2,'Reading Report Logic'!$A$2:$B$8,2,FALSE)&amp;"]")),FALSE)),
IF(VLOOKUP($A459, YES_Reading_FLA[], COLUMN(INDIRECT("YES_Reading_FLA[Max Expectation - Per "&amp;VLOOKUP($D$2, 'Reading Report Logic'!$A$2:$B$8, 2, FALSE)&amp;"]")),FALSE)="", "", VLOOKUP($A459,YES_Reading_FLA[],COLUMN(INDIRECT("YES_Reading_FLA[Max Expectation - Per "&amp;VLOOKUP($D$2, 'Reading Report Logic'!$A$2:$B$8, 2, FALSE)&amp;"]")),FALSE))),""))),"")</f>
        <v/>
      </c>
      <c r="G459" s="205" t="str" cm="1">
        <f t="array" aca="1" ref="G459" ca="1">IFERROR(
IF($J$2="ELA",
IF(VLOOKUP($A459, YES_Reading_ELA[], COLUMN(INDIRECT("YES_Reading_ELA[Difference - Per "&amp;VLOOKUP($D$2, 'Reading Report Logic'!$A$2:$B$8, 2, FALSE)&amp;"]")), FALSE)="", "",
VLOOKUP($A459,YES_Reading_ELA[], COLUMN(INDIRECT("YES_Reading_ELA[Difference - Per "&amp;VLOOKUP($D$2,'Reading Report Logic'!$A$2:$B$8,2,FALSE)&amp;"]")), FALSE)),
IF($J$2="FLA",
IF(VLOOKUP($A459, YES_Reading_FLA[], COLUMN(INDIRECT("YES_Reading_FLA[Difference - Per "&amp;VLOOKUP($D$2,'Reading Report Logic'!$A$2:$B$8,2,FALSE)&amp;"]")),FALSE)="","",
VLOOKUP($A459,YES_Reading_FLA[],COLUMN(INDIRECT("YES_Reading_FLA[Difference - Per "&amp;VLOOKUP($D$2,'Reading Report Logic'!$A$2:$B$8,2,FALSE)&amp;"]")),FALSE)),
IF($J$2="Combined",
IFERROR(
IF(VLOOKUP($A459, YES_Reading_ELA[], COLUMN(INDIRECT("YES_Reading_ELA[Difference - Per "&amp;VLOOKUP($D$2, 'Reading Report Logic'!$A$2:$B$8,2,FALSE)&amp;"]")), FALSE)="", "",
VLOOKUP($A459,YES_Reading_ELA[],COLUMN(INDIRECT("YES_Reading_ELA[Difference - Per "&amp;VLOOKUP($D$2,'Reading Report Logic'!$A$2:$B$8,2,FALSE)&amp;"]")),FALSE)),
IF(VLOOKUP($A459, YES_Reading_FLA[], COLUMN(INDIRECT("YES_Reading_FLA[Difference - Per "&amp;VLOOKUP($D$2, 'Reading Report Logic'!$A$2:$B$8, 2, FALSE)&amp;"]")),FALSE)="", "", VLOOKUP($A459,YES_Reading_FLA[],COLUMN(INDIRECT("YES_Reading_FLA[Difference - Per "&amp;VLOOKUP($D$2, 'Reading Report Logic'!$A$2:$B$8, 2, FALSE)&amp;"]")),FALSE))),""))),"")</f>
        <v/>
      </c>
      <c r="H459" s="206" t="str">
        <f ca="1">IFERROR(VLOOKUP('Teacher Reading Pull Sheets'!$D459,_xlfn.VSTACK('ELA Reading Logic'!$A$22:$B$48,'FLA Reading Logic'!$A$22:$B$53),2,FALSE)-VLOOKUP('Teacher Reading Pull Sheets'!$C459,_xlfn.VSTACK('ELA Reading Logic'!$A$22:$B$48,'FLA Reading Logic'!$A$22:$B$53),2,FALSE),"")</f>
        <v/>
      </c>
      <c r="I459" s="212"/>
      <c r="J459" s="206"/>
      <c r="K459" s="197" t="str" cm="1">
        <f t="array" ref="K459">IFERROR(
IF($J$2="ELA",
IF(VLOOKUP($A459, YES_Reading_ELA[], COLUMN(YES_Reading_ELA[Self-Identified as African Descent]), FALSE)="", "",
VLOOKUP($A459,YES_Reading_ELA[], COLUMN(YES_Reading_ELA[Self-Identified as African Descent]), FALSE)),
IF($J$2="FLA",
IF(VLOOKUP($A459, YES_Reading_FLA[], COLUMN(YES_Reading_FLA[Self-Identified as African Descent]),FALSE)="","",
VLOOKUP($A459,YES_Reading_FLA[],COLUMN(YES_Reading_FLA[Self-Identified as African Descent]),FALSE)),
IF($J$2="Combined",
IFERROR(
IF(VLOOKUP($A459, YES_Reading_ELA[], COLUMN(YES_Reading_ELA[Self-Identified as African Descent]), FALSE)="", "",
VLOOKUP($A459,YES_Reading_ELA[],COLUMN(YES_Reading_ELA[Self-Identified as African Descent]),FALSE)),
IF(VLOOKUP($A459, YES_Reading_FLA[], COLUMN(YES_Reading_FLA[Self-Identified as African Descent]),FALSE)="", "", VLOOKUP($A459,YES_Reading_FLA[],COLUMN(YES_Reading_FLA[Self-Identified as African Descent]),FALSE))),""))),"")</f>
        <v/>
      </c>
      <c r="L459" s="73" t="str" cm="1">
        <f t="array" ref="L459">IFERROR(
IF($J$2="ELA",
IF(VLOOKUP($A459, YES_Reading_ELA[], COLUMN(YES_Reading_ELA[Self-Identified as Indigenous]), FALSE)="", "",
VLOOKUP($A459,YES_Reading_ELA[], COLUMN(YES_Reading_ELA[Self-Identified as Indigenous]), FALSE)),
IF($J$2="FLA",
IF(VLOOKUP($A459, YES_Reading_FLA[], COLUMN(YES_Reading_FLA[Self-Identified as Indigenous]),FALSE)="","",
VLOOKUP($A459,YES_Reading_FLA[],COLUMN(YES_Reading_FLA[Self-Identified as Indigenous]),FALSE)),
IF($J$2="Combined",
IFERROR(
IF(VLOOKUP($A459, YES_Reading_ELA[], COLUMN(YES_Reading_ELA[Self-Identified as Indigenous]), FALSE)="", "",
VLOOKUP($A459,YES_Reading_ELA[],COLUMN(YES_Reading_ELA[Self-Identified as Indigenous]),FALSE)),
IF(VLOOKUP($A459, YES_Reading_FLA[], COLUMN(YES_Reading_FLA[Self-Identified as Indigenous]),FALSE)="", "", VLOOKUP($A459,YES_Reading_FLA[],COLUMN(YES_Reading_FLA[Self-Identified as Indigenous]),FALSE))),""))),"")</f>
        <v/>
      </c>
    </row>
    <row r="460" spans="1:12" ht="19.5" customHeight="1" x14ac:dyDescent="0.25">
      <c r="A460" s="217"/>
      <c r="B460" s="220" t="str">
        <f>IFERROR(VLOOKUP(A460,_xlfn.VSTACK(YES_Reading_ELA[],YES_Reading_FLA[]),2,FALSE),"")</f>
        <v/>
      </c>
      <c r="C460" s="203" t="str" cm="1">
        <f t="array" aca="1" ref="C460" ca="1">IFERROR(
IF($J$2="ELA",
IF(VLOOKUP($A460, YES_Reading_ELA[], COLUMN(IF(VLOOKUP($D$2, 'Reading Report Logic'!$A$2:$B$8, 2, FALSE)=1, YES_Reading_ELA[Reading Level June of Previous School Year], INDIRECT("YES_Reading_ELA[Instructional Reading Level - Per "&amp;(VLOOKUP($D$2,'Reading Report Logic'!$A$2:$B$8,2,FALSE)-1)&amp;"]"))), FALSE)="", "",
VLOOKUP($A460,YES_Reading_ELA[], COLUMN(IF(VLOOKUP($D$2,'Reading Report Logic'!$A$2:$B$8,2,FALSE)=1, YES_Reading_ELA[Reading Level June of Previous School Year],INDIRECT("YES_Reading_ELA[Instructional Reading Level - Per "&amp;(VLOOKUP($D$2,'Reading Report Logic'!$A$2:$B$8,2,FALSE)-1)&amp;"]"))), FALSE)),
IF($J$2="FLA",
IF(VLOOKUP($A460, YES_Reading_FLA[], COLUMN(IF(VLOOKUP($D$2,'Reading Report Logic'!$A$2:$B$8,2,FALSE)=1, YES_Reading_FLA[Reading Level June of Previous School Year],INDIRECT("YES_Reading_FLA[Instructional Reading Level - Per "&amp;(VLOOKUP($D$2,'Reading Report Logic'!$A$2:$B$8,2,FALSE)-1)&amp;"]"))),FALSE)="","",
VLOOKUP($A460,YES_Reading_FLA[], COLUMN(IF(VLOOKUP($D$2,'Reading Report Logic'!$A$2:$B$8,2,FALSE)=1, YES_Reading_FLA[Reading Level June of Previous School Year],INDIRECT("YES_Reading_FLA[Instructional Reading Level - Per "&amp;(VLOOKUP($D$2,'Reading Report Logic'!$A$2:$B$8,2,FALSE)-1)&amp;"]"))),FALSE)),
IF($J$2="Combined",
IFERROR(
IF(VLOOKUP($A460, YES_Reading_ELA[], COLUMN(IF(VLOOKUP($D$2,'Reading Report Logic'!$A$2:$B$8,2,FALSE)=1, YES_Reading_ELA[Reading Level June of Previous School Year],INDIRECT("YES_Reading_ELA[Instructional Reading Level - Per "&amp;(VLOOKUP($D$2,'Reading Report Logic'!$A$2:$B$8,2,FALSE)-1)&amp;"]"))), FALSE)="", "",
VLOOKUP($A460,YES_Reading_ELA[],COLUMN(IF(VLOOKUP($D$2,'Reading Report Logic'!$A$2:$B$8,2,FALSE)=1, YES_Reading_ELA[Reading Level June of Previous School Year],INDIRECT("YES_Reading_ELA[Instructional Reading Level - Per "&amp;(VLOOKUP($D$2,'Reading Report Logic'!$A$2:$B$8,2,FALSE)-1)&amp;"]"))),FALSE)),
IF(VLOOKUP($A460, YES_Reading_FLA[], COLUMN(IF(VLOOKUP($D$2,'Reading Report Logic'!$A$2:$B$8,2,FALSE)=1, YES_Reading_FLA[Reading Level June of Previous School Year],INDIRECT("YES_Reading_FLA[Instructional Reading Level - Per "&amp;(VLOOKUP($D$2,'Reading Report Logic'!$A$2:$B$8,2,FALSE)-1)&amp;"]"))),FALSE)="", "", VLOOKUP($A460,YES_Reading_FLA[],COLUMN(IF(VLOOKUP($D$2,'Reading Report Logic'!$A$2:$B$8,2,FALSE)=1, YES_Reading_FLA[Reading Level June of Previous School Year],INDIRECT("YES_Reading_FLA[Instructional Reading Level - Per "&amp;(VLOOKUP($D$2,'Reading Report Logic'!$A$2:$B$8,2,FALSE)-1)&amp;"]"))), FALSE))),""))),"")</f>
        <v/>
      </c>
      <c r="D460" s="204" t="str" cm="1">
        <f t="array" aca="1" ref="D460" ca="1">IFERROR(
IF($J$2="ELA",
IF(VLOOKUP($A460, YES_Reading_ELA[], COLUMN(INDIRECT("YES_Reading_ELA[Instructional Reading Level - Per "&amp;VLOOKUP($D$2, 'Reading Report Logic'!$A$2:$B$8, 2, FALSE)&amp;"]")), FALSE)="", "",
VLOOKUP($A460,YES_Reading_ELA[], COLUMN(INDIRECT("YES_Reading_ELA[Instructional Reading Level - Per "&amp;VLOOKUP($D$2,'Reading Report Logic'!$A$2:$B$8,2,FALSE)&amp;"]")), FALSE)),
IF($J$2="FLA",
IF(VLOOKUP($A460, YES_Reading_FLA[], COLUMN(INDIRECT("YES_Reading_FLA[Instructional Reading Level - Per "&amp;VLOOKUP($D$2,'Reading Report Logic'!$A$2:$B$8,2,FALSE)&amp;"]")),FALSE)="","",
VLOOKUP($A460,YES_Reading_FLA[],COLUMN(INDIRECT("YES_Reading_FLA[Instructional Reading Level - Per "&amp;VLOOKUP($D$2,'Reading Report Logic'!$A$2:$B$8,2,FALSE)&amp;"]")),FALSE)),
IF($J$2="Combined",
IFERROR(
IF(VLOOKUP($A460, YES_Reading_ELA[], COLUMN(INDIRECT("YES_Reading_ELA[Instructional Reading Level - Per "&amp;VLOOKUP($D$2, 'Reading Report Logic'!$A$2:$B$8,2,FALSE)&amp;"]")), FALSE)="", "",
VLOOKUP($A460,YES_Reading_ELA[],COLUMN(INDIRECT("YES_Reading_ELA[Instructional Reading Level - Per "&amp;VLOOKUP($D$2,'Reading Report Logic'!$A$2:$B$8,2,FALSE)&amp;"]")),FALSE)),
IF(VLOOKUP($A460, YES_Reading_FLA[], COLUMN(INDIRECT("YES_Reading_FLA[Instructional Reading Level - Per "&amp;VLOOKUP($D$2, 'Reading Report Logic'!$A$2:$B$8, 2, FALSE)&amp;"]")),FALSE)="", "", VLOOKUP($A460,YES_Reading_FLA[],COLUMN(INDIRECT("YES_Reading_FLA[Instructional Reading Level - Per "&amp;VLOOKUP($D$2, 'Reading Report Logic'!$A$2:$B$8, 2, FALSE)&amp;"]")),FALSE))),""))),"")</f>
        <v/>
      </c>
      <c r="E460" s="205" t="str" cm="1">
        <f t="array" aca="1" ref="E460" ca="1">IFERROR(
IF($J$2="ELA",
IF(VLOOKUP($A460, YES_Reading_ELA[], COLUMN(INDIRECT("YES_Reading_ELA[Min Expectation - Per "&amp;VLOOKUP($D$2, 'Reading Report Logic'!$A$2:$B$8, 2, FALSE)&amp;"]")), FALSE)="", "",
VLOOKUP($A460,YES_Reading_ELA[], COLUMN(INDIRECT("YES_Reading_ELA[Min Expectation - Per "&amp;VLOOKUP($D$2,'Reading Report Logic'!$A$2:$B$8,2,FALSE)&amp;"]")), FALSE)),
IF($J$2="FLA",
IF(VLOOKUP($A460, YES_Reading_FLA[], COLUMN(INDIRECT("YES_Reading_FLA[Min Expectation - Per "&amp;VLOOKUP($D$2,'Reading Report Logic'!$A$2:$B$8,2,FALSE)&amp;"]")),FALSE)="","",
VLOOKUP($A460,YES_Reading_FLA[],COLUMN(INDIRECT("YES_Reading_FLA[Min Expectation - Per "&amp;VLOOKUP($D$2,'Reading Report Logic'!$A$2:$B$8,2,FALSE)&amp;"]")),FALSE)),
IF($J$2="Combined",
IFERROR(
IF(VLOOKUP($A460, YES_Reading_ELA[], COLUMN(INDIRECT("YES_Reading_ELA[Min Expectation - Per "&amp;VLOOKUP($D$2, 'Reading Report Logic'!$A$2:$B$8,2,FALSE)&amp;"]")), FALSE)="", "",
VLOOKUP($A460,YES_Reading_ELA[],COLUMN(INDIRECT("YES_Reading_ELA[Min Expectation - Per "&amp;VLOOKUP($D$2,'Reading Report Logic'!$A$2:$B$8,2,FALSE)&amp;"]")),FALSE)),
IF(VLOOKUP($A460, YES_Reading_FLA[], COLUMN(INDIRECT("YES_Reading_FLA[Min Expectation - Per "&amp;VLOOKUP($D$2, 'Reading Report Logic'!$A$2:$B$8, 2, FALSE)&amp;"]")),FALSE)="", "", VLOOKUP($A460,YES_Reading_FLA[],COLUMN(INDIRECT("YES_Reading_FLA[Min Expectation - Per "&amp;VLOOKUP($D$2, 'Reading Report Logic'!$A$2:$B$8, 2, FALSE)&amp;"]")),FALSE))),""))),"")</f>
        <v/>
      </c>
      <c r="F460" s="205" t="str" cm="1">
        <f t="array" aca="1" ref="F460" ca="1">IFERROR(
IF($J$2="ELA",
IF(VLOOKUP($A460, YES_Reading_ELA[], COLUMN(INDIRECT("YES_Reading_ELA[Max Expectation - Per "&amp;VLOOKUP($D$2, 'Reading Report Logic'!$A$2:$B$8, 2, FALSE)&amp;"]")), FALSE)="", "",
VLOOKUP($A460,YES_Reading_ELA[], COLUMN(INDIRECT("YES_Reading_ELA[Max Expectation - Per "&amp;VLOOKUP($D$2,'Reading Report Logic'!$A$2:$B$8,2,FALSE)&amp;"]")), FALSE)),
IF($J$2="FLA",
IF(VLOOKUP($A460, YES_Reading_FLA[], COLUMN(INDIRECT("YES_Reading_FLA[Max Expectation - Per "&amp;VLOOKUP($D$2,'Reading Report Logic'!$A$2:$B$8,2,FALSE)&amp;"]")),FALSE)="","",
VLOOKUP($A460,YES_Reading_FLA[],COLUMN(INDIRECT("YES_Reading_FLA[Max Expectation - Per "&amp;VLOOKUP($D$2,'Reading Report Logic'!$A$2:$B$8,2,FALSE)&amp;"]")),FALSE)),
IF($J$2="Combined",
IFERROR(
IF(VLOOKUP($A460, YES_Reading_ELA[], COLUMN(INDIRECT("YES_Reading_ELA[Max Expectation - Per "&amp;VLOOKUP($D$2, 'Reading Report Logic'!$A$2:$B$8,2,FALSE)&amp;"]")), FALSE)="", "",
VLOOKUP($A460,YES_Reading_ELA[],COLUMN(INDIRECT("YES_Reading_ELA[Max Expectation - Per "&amp;VLOOKUP($D$2,'Reading Report Logic'!$A$2:$B$8,2,FALSE)&amp;"]")),FALSE)),
IF(VLOOKUP($A460, YES_Reading_FLA[], COLUMN(INDIRECT("YES_Reading_FLA[Max Expectation - Per "&amp;VLOOKUP($D$2, 'Reading Report Logic'!$A$2:$B$8, 2, FALSE)&amp;"]")),FALSE)="", "", VLOOKUP($A460,YES_Reading_FLA[],COLUMN(INDIRECT("YES_Reading_FLA[Max Expectation - Per "&amp;VLOOKUP($D$2, 'Reading Report Logic'!$A$2:$B$8, 2, FALSE)&amp;"]")),FALSE))),""))),"")</f>
        <v/>
      </c>
      <c r="G460" s="205" t="str" cm="1">
        <f t="array" aca="1" ref="G460" ca="1">IFERROR(
IF($J$2="ELA",
IF(VLOOKUP($A460, YES_Reading_ELA[], COLUMN(INDIRECT("YES_Reading_ELA[Difference - Per "&amp;VLOOKUP($D$2, 'Reading Report Logic'!$A$2:$B$8, 2, FALSE)&amp;"]")), FALSE)="", "",
VLOOKUP($A460,YES_Reading_ELA[], COLUMN(INDIRECT("YES_Reading_ELA[Difference - Per "&amp;VLOOKUP($D$2,'Reading Report Logic'!$A$2:$B$8,2,FALSE)&amp;"]")), FALSE)),
IF($J$2="FLA",
IF(VLOOKUP($A460, YES_Reading_FLA[], COLUMN(INDIRECT("YES_Reading_FLA[Difference - Per "&amp;VLOOKUP($D$2,'Reading Report Logic'!$A$2:$B$8,2,FALSE)&amp;"]")),FALSE)="","",
VLOOKUP($A460,YES_Reading_FLA[],COLUMN(INDIRECT("YES_Reading_FLA[Difference - Per "&amp;VLOOKUP($D$2,'Reading Report Logic'!$A$2:$B$8,2,FALSE)&amp;"]")),FALSE)),
IF($J$2="Combined",
IFERROR(
IF(VLOOKUP($A460, YES_Reading_ELA[], COLUMN(INDIRECT("YES_Reading_ELA[Difference - Per "&amp;VLOOKUP($D$2, 'Reading Report Logic'!$A$2:$B$8,2,FALSE)&amp;"]")), FALSE)="", "",
VLOOKUP($A460,YES_Reading_ELA[],COLUMN(INDIRECT("YES_Reading_ELA[Difference - Per "&amp;VLOOKUP($D$2,'Reading Report Logic'!$A$2:$B$8,2,FALSE)&amp;"]")),FALSE)),
IF(VLOOKUP($A460, YES_Reading_FLA[], COLUMN(INDIRECT("YES_Reading_FLA[Difference - Per "&amp;VLOOKUP($D$2, 'Reading Report Logic'!$A$2:$B$8, 2, FALSE)&amp;"]")),FALSE)="", "", VLOOKUP($A460,YES_Reading_FLA[],COLUMN(INDIRECT("YES_Reading_FLA[Difference - Per "&amp;VLOOKUP($D$2, 'Reading Report Logic'!$A$2:$B$8, 2, FALSE)&amp;"]")),FALSE))),""))),"")</f>
        <v/>
      </c>
      <c r="H460" s="206" t="str">
        <f ca="1">IFERROR(VLOOKUP('Teacher Reading Pull Sheets'!$D460,_xlfn.VSTACK('ELA Reading Logic'!$A$22:$B$48,'FLA Reading Logic'!$A$22:$B$53),2,FALSE)-VLOOKUP('Teacher Reading Pull Sheets'!$C460,_xlfn.VSTACK('ELA Reading Logic'!$A$22:$B$48,'FLA Reading Logic'!$A$22:$B$53),2,FALSE),"")</f>
        <v/>
      </c>
      <c r="I460" s="212"/>
      <c r="J460" s="206"/>
      <c r="K460" s="197" t="str" cm="1">
        <f t="array" ref="K460">IFERROR(
IF($J$2="ELA",
IF(VLOOKUP($A460, YES_Reading_ELA[], COLUMN(YES_Reading_ELA[Self-Identified as African Descent]), FALSE)="", "",
VLOOKUP($A460,YES_Reading_ELA[], COLUMN(YES_Reading_ELA[Self-Identified as African Descent]), FALSE)),
IF($J$2="FLA",
IF(VLOOKUP($A460, YES_Reading_FLA[], COLUMN(YES_Reading_FLA[Self-Identified as African Descent]),FALSE)="","",
VLOOKUP($A460,YES_Reading_FLA[],COLUMN(YES_Reading_FLA[Self-Identified as African Descent]),FALSE)),
IF($J$2="Combined",
IFERROR(
IF(VLOOKUP($A460, YES_Reading_ELA[], COLUMN(YES_Reading_ELA[Self-Identified as African Descent]), FALSE)="", "",
VLOOKUP($A460,YES_Reading_ELA[],COLUMN(YES_Reading_ELA[Self-Identified as African Descent]),FALSE)),
IF(VLOOKUP($A460, YES_Reading_FLA[], COLUMN(YES_Reading_FLA[Self-Identified as African Descent]),FALSE)="", "", VLOOKUP($A460,YES_Reading_FLA[],COLUMN(YES_Reading_FLA[Self-Identified as African Descent]),FALSE))),""))),"")</f>
        <v/>
      </c>
      <c r="L460" s="73" t="str" cm="1">
        <f t="array" ref="L460">IFERROR(
IF($J$2="ELA",
IF(VLOOKUP($A460, YES_Reading_ELA[], COLUMN(YES_Reading_ELA[Self-Identified as Indigenous]), FALSE)="", "",
VLOOKUP($A460,YES_Reading_ELA[], COLUMN(YES_Reading_ELA[Self-Identified as Indigenous]), FALSE)),
IF($J$2="FLA",
IF(VLOOKUP($A460, YES_Reading_FLA[], COLUMN(YES_Reading_FLA[Self-Identified as Indigenous]),FALSE)="","",
VLOOKUP($A460,YES_Reading_FLA[],COLUMN(YES_Reading_FLA[Self-Identified as Indigenous]),FALSE)),
IF($J$2="Combined",
IFERROR(
IF(VLOOKUP($A460, YES_Reading_ELA[], COLUMN(YES_Reading_ELA[Self-Identified as Indigenous]), FALSE)="", "",
VLOOKUP($A460,YES_Reading_ELA[],COLUMN(YES_Reading_ELA[Self-Identified as Indigenous]),FALSE)),
IF(VLOOKUP($A460, YES_Reading_FLA[], COLUMN(YES_Reading_FLA[Self-Identified as Indigenous]),FALSE)="", "", VLOOKUP($A460,YES_Reading_FLA[],COLUMN(YES_Reading_FLA[Self-Identified as Indigenous]),FALSE))),""))),"")</f>
        <v/>
      </c>
    </row>
    <row r="461" spans="1:12" ht="19.5" customHeight="1" x14ac:dyDescent="0.25">
      <c r="A461" s="217"/>
      <c r="B461" s="220" t="str">
        <f>IFERROR(VLOOKUP(A461,_xlfn.VSTACK(YES_Reading_ELA[],YES_Reading_FLA[]),2,FALSE),"")</f>
        <v/>
      </c>
      <c r="C461" s="203" t="str" cm="1">
        <f t="array" aca="1" ref="C461" ca="1">IFERROR(
IF($J$2="ELA",
IF(VLOOKUP($A461, YES_Reading_ELA[], COLUMN(IF(VLOOKUP($D$2, 'Reading Report Logic'!$A$2:$B$8, 2, FALSE)=1, YES_Reading_ELA[Reading Level June of Previous School Year], INDIRECT("YES_Reading_ELA[Instructional Reading Level - Per "&amp;(VLOOKUP($D$2,'Reading Report Logic'!$A$2:$B$8,2,FALSE)-1)&amp;"]"))), FALSE)="", "",
VLOOKUP($A461,YES_Reading_ELA[], COLUMN(IF(VLOOKUP($D$2,'Reading Report Logic'!$A$2:$B$8,2,FALSE)=1, YES_Reading_ELA[Reading Level June of Previous School Year],INDIRECT("YES_Reading_ELA[Instructional Reading Level - Per "&amp;(VLOOKUP($D$2,'Reading Report Logic'!$A$2:$B$8,2,FALSE)-1)&amp;"]"))), FALSE)),
IF($J$2="FLA",
IF(VLOOKUP($A461, YES_Reading_FLA[], COLUMN(IF(VLOOKUP($D$2,'Reading Report Logic'!$A$2:$B$8,2,FALSE)=1, YES_Reading_FLA[Reading Level June of Previous School Year],INDIRECT("YES_Reading_FLA[Instructional Reading Level - Per "&amp;(VLOOKUP($D$2,'Reading Report Logic'!$A$2:$B$8,2,FALSE)-1)&amp;"]"))),FALSE)="","",
VLOOKUP($A461,YES_Reading_FLA[], COLUMN(IF(VLOOKUP($D$2,'Reading Report Logic'!$A$2:$B$8,2,FALSE)=1, YES_Reading_FLA[Reading Level June of Previous School Year],INDIRECT("YES_Reading_FLA[Instructional Reading Level - Per "&amp;(VLOOKUP($D$2,'Reading Report Logic'!$A$2:$B$8,2,FALSE)-1)&amp;"]"))),FALSE)),
IF($J$2="Combined",
IFERROR(
IF(VLOOKUP($A461, YES_Reading_ELA[], COLUMN(IF(VLOOKUP($D$2,'Reading Report Logic'!$A$2:$B$8,2,FALSE)=1, YES_Reading_ELA[Reading Level June of Previous School Year],INDIRECT("YES_Reading_ELA[Instructional Reading Level - Per "&amp;(VLOOKUP($D$2,'Reading Report Logic'!$A$2:$B$8,2,FALSE)-1)&amp;"]"))), FALSE)="", "",
VLOOKUP($A461,YES_Reading_ELA[],COLUMN(IF(VLOOKUP($D$2,'Reading Report Logic'!$A$2:$B$8,2,FALSE)=1, YES_Reading_ELA[Reading Level June of Previous School Year],INDIRECT("YES_Reading_ELA[Instructional Reading Level - Per "&amp;(VLOOKUP($D$2,'Reading Report Logic'!$A$2:$B$8,2,FALSE)-1)&amp;"]"))),FALSE)),
IF(VLOOKUP($A461, YES_Reading_FLA[], COLUMN(IF(VLOOKUP($D$2,'Reading Report Logic'!$A$2:$B$8,2,FALSE)=1, YES_Reading_FLA[Reading Level June of Previous School Year],INDIRECT("YES_Reading_FLA[Instructional Reading Level - Per "&amp;(VLOOKUP($D$2,'Reading Report Logic'!$A$2:$B$8,2,FALSE)-1)&amp;"]"))),FALSE)="", "", VLOOKUP($A461,YES_Reading_FLA[],COLUMN(IF(VLOOKUP($D$2,'Reading Report Logic'!$A$2:$B$8,2,FALSE)=1, YES_Reading_FLA[Reading Level June of Previous School Year],INDIRECT("YES_Reading_FLA[Instructional Reading Level - Per "&amp;(VLOOKUP($D$2,'Reading Report Logic'!$A$2:$B$8,2,FALSE)-1)&amp;"]"))), FALSE))),""))),"")</f>
        <v/>
      </c>
      <c r="D461" s="204" t="str" cm="1">
        <f t="array" aca="1" ref="D461" ca="1">IFERROR(
IF($J$2="ELA",
IF(VLOOKUP($A461, YES_Reading_ELA[], COLUMN(INDIRECT("YES_Reading_ELA[Instructional Reading Level - Per "&amp;VLOOKUP($D$2, 'Reading Report Logic'!$A$2:$B$8, 2, FALSE)&amp;"]")), FALSE)="", "",
VLOOKUP($A461,YES_Reading_ELA[], COLUMN(INDIRECT("YES_Reading_ELA[Instructional Reading Level - Per "&amp;VLOOKUP($D$2,'Reading Report Logic'!$A$2:$B$8,2,FALSE)&amp;"]")), FALSE)),
IF($J$2="FLA",
IF(VLOOKUP($A461, YES_Reading_FLA[], COLUMN(INDIRECT("YES_Reading_FLA[Instructional Reading Level - Per "&amp;VLOOKUP($D$2,'Reading Report Logic'!$A$2:$B$8,2,FALSE)&amp;"]")),FALSE)="","",
VLOOKUP($A461,YES_Reading_FLA[],COLUMN(INDIRECT("YES_Reading_FLA[Instructional Reading Level - Per "&amp;VLOOKUP($D$2,'Reading Report Logic'!$A$2:$B$8,2,FALSE)&amp;"]")),FALSE)),
IF($J$2="Combined",
IFERROR(
IF(VLOOKUP($A461, YES_Reading_ELA[], COLUMN(INDIRECT("YES_Reading_ELA[Instructional Reading Level - Per "&amp;VLOOKUP($D$2, 'Reading Report Logic'!$A$2:$B$8,2,FALSE)&amp;"]")), FALSE)="", "",
VLOOKUP($A461,YES_Reading_ELA[],COLUMN(INDIRECT("YES_Reading_ELA[Instructional Reading Level - Per "&amp;VLOOKUP($D$2,'Reading Report Logic'!$A$2:$B$8,2,FALSE)&amp;"]")),FALSE)),
IF(VLOOKUP($A461, YES_Reading_FLA[], COLUMN(INDIRECT("YES_Reading_FLA[Instructional Reading Level - Per "&amp;VLOOKUP($D$2, 'Reading Report Logic'!$A$2:$B$8, 2, FALSE)&amp;"]")),FALSE)="", "", VLOOKUP($A461,YES_Reading_FLA[],COLUMN(INDIRECT("YES_Reading_FLA[Instructional Reading Level - Per "&amp;VLOOKUP($D$2, 'Reading Report Logic'!$A$2:$B$8, 2, FALSE)&amp;"]")),FALSE))),""))),"")</f>
        <v/>
      </c>
      <c r="E461" s="205" t="str" cm="1">
        <f t="array" aca="1" ref="E461" ca="1">IFERROR(
IF($J$2="ELA",
IF(VLOOKUP($A461, YES_Reading_ELA[], COLUMN(INDIRECT("YES_Reading_ELA[Min Expectation - Per "&amp;VLOOKUP($D$2, 'Reading Report Logic'!$A$2:$B$8, 2, FALSE)&amp;"]")), FALSE)="", "",
VLOOKUP($A461,YES_Reading_ELA[], COLUMN(INDIRECT("YES_Reading_ELA[Min Expectation - Per "&amp;VLOOKUP($D$2,'Reading Report Logic'!$A$2:$B$8,2,FALSE)&amp;"]")), FALSE)),
IF($J$2="FLA",
IF(VLOOKUP($A461, YES_Reading_FLA[], COLUMN(INDIRECT("YES_Reading_FLA[Min Expectation - Per "&amp;VLOOKUP($D$2,'Reading Report Logic'!$A$2:$B$8,2,FALSE)&amp;"]")),FALSE)="","",
VLOOKUP($A461,YES_Reading_FLA[],COLUMN(INDIRECT("YES_Reading_FLA[Min Expectation - Per "&amp;VLOOKUP($D$2,'Reading Report Logic'!$A$2:$B$8,2,FALSE)&amp;"]")),FALSE)),
IF($J$2="Combined",
IFERROR(
IF(VLOOKUP($A461, YES_Reading_ELA[], COLUMN(INDIRECT("YES_Reading_ELA[Min Expectation - Per "&amp;VLOOKUP($D$2, 'Reading Report Logic'!$A$2:$B$8,2,FALSE)&amp;"]")), FALSE)="", "",
VLOOKUP($A461,YES_Reading_ELA[],COLUMN(INDIRECT("YES_Reading_ELA[Min Expectation - Per "&amp;VLOOKUP($D$2,'Reading Report Logic'!$A$2:$B$8,2,FALSE)&amp;"]")),FALSE)),
IF(VLOOKUP($A461, YES_Reading_FLA[], COLUMN(INDIRECT("YES_Reading_FLA[Min Expectation - Per "&amp;VLOOKUP($D$2, 'Reading Report Logic'!$A$2:$B$8, 2, FALSE)&amp;"]")),FALSE)="", "", VLOOKUP($A461,YES_Reading_FLA[],COLUMN(INDIRECT("YES_Reading_FLA[Min Expectation - Per "&amp;VLOOKUP($D$2, 'Reading Report Logic'!$A$2:$B$8, 2, FALSE)&amp;"]")),FALSE))),""))),"")</f>
        <v/>
      </c>
      <c r="F461" s="205" t="str" cm="1">
        <f t="array" aca="1" ref="F461" ca="1">IFERROR(
IF($J$2="ELA",
IF(VLOOKUP($A461, YES_Reading_ELA[], COLUMN(INDIRECT("YES_Reading_ELA[Max Expectation - Per "&amp;VLOOKUP($D$2, 'Reading Report Logic'!$A$2:$B$8, 2, FALSE)&amp;"]")), FALSE)="", "",
VLOOKUP($A461,YES_Reading_ELA[], COLUMN(INDIRECT("YES_Reading_ELA[Max Expectation - Per "&amp;VLOOKUP($D$2,'Reading Report Logic'!$A$2:$B$8,2,FALSE)&amp;"]")), FALSE)),
IF($J$2="FLA",
IF(VLOOKUP($A461, YES_Reading_FLA[], COLUMN(INDIRECT("YES_Reading_FLA[Max Expectation - Per "&amp;VLOOKUP($D$2,'Reading Report Logic'!$A$2:$B$8,2,FALSE)&amp;"]")),FALSE)="","",
VLOOKUP($A461,YES_Reading_FLA[],COLUMN(INDIRECT("YES_Reading_FLA[Max Expectation - Per "&amp;VLOOKUP($D$2,'Reading Report Logic'!$A$2:$B$8,2,FALSE)&amp;"]")),FALSE)),
IF($J$2="Combined",
IFERROR(
IF(VLOOKUP($A461, YES_Reading_ELA[], COLUMN(INDIRECT("YES_Reading_ELA[Max Expectation - Per "&amp;VLOOKUP($D$2, 'Reading Report Logic'!$A$2:$B$8,2,FALSE)&amp;"]")), FALSE)="", "",
VLOOKUP($A461,YES_Reading_ELA[],COLUMN(INDIRECT("YES_Reading_ELA[Max Expectation - Per "&amp;VLOOKUP($D$2,'Reading Report Logic'!$A$2:$B$8,2,FALSE)&amp;"]")),FALSE)),
IF(VLOOKUP($A461, YES_Reading_FLA[], COLUMN(INDIRECT("YES_Reading_FLA[Max Expectation - Per "&amp;VLOOKUP($D$2, 'Reading Report Logic'!$A$2:$B$8, 2, FALSE)&amp;"]")),FALSE)="", "", VLOOKUP($A461,YES_Reading_FLA[],COLUMN(INDIRECT("YES_Reading_FLA[Max Expectation - Per "&amp;VLOOKUP($D$2, 'Reading Report Logic'!$A$2:$B$8, 2, FALSE)&amp;"]")),FALSE))),""))),"")</f>
        <v/>
      </c>
      <c r="G461" s="205" t="str" cm="1">
        <f t="array" aca="1" ref="G461" ca="1">IFERROR(
IF($J$2="ELA",
IF(VLOOKUP($A461, YES_Reading_ELA[], COLUMN(INDIRECT("YES_Reading_ELA[Difference - Per "&amp;VLOOKUP($D$2, 'Reading Report Logic'!$A$2:$B$8, 2, FALSE)&amp;"]")), FALSE)="", "",
VLOOKUP($A461,YES_Reading_ELA[], COLUMN(INDIRECT("YES_Reading_ELA[Difference - Per "&amp;VLOOKUP($D$2,'Reading Report Logic'!$A$2:$B$8,2,FALSE)&amp;"]")), FALSE)),
IF($J$2="FLA",
IF(VLOOKUP($A461, YES_Reading_FLA[], COLUMN(INDIRECT("YES_Reading_FLA[Difference - Per "&amp;VLOOKUP($D$2,'Reading Report Logic'!$A$2:$B$8,2,FALSE)&amp;"]")),FALSE)="","",
VLOOKUP($A461,YES_Reading_FLA[],COLUMN(INDIRECT("YES_Reading_FLA[Difference - Per "&amp;VLOOKUP($D$2,'Reading Report Logic'!$A$2:$B$8,2,FALSE)&amp;"]")),FALSE)),
IF($J$2="Combined",
IFERROR(
IF(VLOOKUP($A461, YES_Reading_ELA[], COLUMN(INDIRECT("YES_Reading_ELA[Difference - Per "&amp;VLOOKUP($D$2, 'Reading Report Logic'!$A$2:$B$8,2,FALSE)&amp;"]")), FALSE)="", "",
VLOOKUP($A461,YES_Reading_ELA[],COLUMN(INDIRECT("YES_Reading_ELA[Difference - Per "&amp;VLOOKUP($D$2,'Reading Report Logic'!$A$2:$B$8,2,FALSE)&amp;"]")),FALSE)),
IF(VLOOKUP($A461, YES_Reading_FLA[], COLUMN(INDIRECT("YES_Reading_FLA[Difference - Per "&amp;VLOOKUP($D$2, 'Reading Report Logic'!$A$2:$B$8, 2, FALSE)&amp;"]")),FALSE)="", "", VLOOKUP($A461,YES_Reading_FLA[],COLUMN(INDIRECT("YES_Reading_FLA[Difference - Per "&amp;VLOOKUP($D$2, 'Reading Report Logic'!$A$2:$B$8, 2, FALSE)&amp;"]")),FALSE))),""))),"")</f>
        <v/>
      </c>
      <c r="H461" s="206" t="str">
        <f ca="1">IFERROR(VLOOKUP('Teacher Reading Pull Sheets'!$D461,_xlfn.VSTACK('ELA Reading Logic'!$A$22:$B$48,'FLA Reading Logic'!$A$22:$B$53),2,FALSE)-VLOOKUP('Teacher Reading Pull Sheets'!$C461,_xlfn.VSTACK('ELA Reading Logic'!$A$22:$B$48,'FLA Reading Logic'!$A$22:$B$53),2,FALSE),"")</f>
        <v/>
      </c>
      <c r="I461" s="212"/>
      <c r="J461" s="206"/>
      <c r="K461" s="197" t="str" cm="1">
        <f t="array" ref="K461">IFERROR(
IF($J$2="ELA",
IF(VLOOKUP($A461, YES_Reading_ELA[], COLUMN(YES_Reading_ELA[Self-Identified as African Descent]), FALSE)="", "",
VLOOKUP($A461,YES_Reading_ELA[], COLUMN(YES_Reading_ELA[Self-Identified as African Descent]), FALSE)),
IF($J$2="FLA",
IF(VLOOKUP($A461, YES_Reading_FLA[], COLUMN(YES_Reading_FLA[Self-Identified as African Descent]),FALSE)="","",
VLOOKUP($A461,YES_Reading_FLA[],COLUMN(YES_Reading_FLA[Self-Identified as African Descent]),FALSE)),
IF($J$2="Combined",
IFERROR(
IF(VLOOKUP($A461, YES_Reading_ELA[], COLUMN(YES_Reading_ELA[Self-Identified as African Descent]), FALSE)="", "",
VLOOKUP($A461,YES_Reading_ELA[],COLUMN(YES_Reading_ELA[Self-Identified as African Descent]),FALSE)),
IF(VLOOKUP($A461, YES_Reading_FLA[], COLUMN(YES_Reading_FLA[Self-Identified as African Descent]),FALSE)="", "", VLOOKUP($A461,YES_Reading_FLA[],COLUMN(YES_Reading_FLA[Self-Identified as African Descent]),FALSE))),""))),"")</f>
        <v/>
      </c>
      <c r="L461" s="73" t="str" cm="1">
        <f t="array" ref="L461">IFERROR(
IF($J$2="ELA",
IF(VLOOKUP($A461, YES_Reading_ELA[], COLUMN(YES_Reading_ELA[Self-Identified as Indigenous]), FALSE)="", "",
VLOOKUP($A461,YES_Reading_ELA[], COLUMN(YES_Reading_ELA[Self-Identified as Indigenous]), FALSE)),
IF($J$2="FLA",
IF(VLOOKUP($A461, YES_Reading_FLA[], COLUMN(YES_Reading_FLA[Self-Identified as Indigenous]),FALSE)="","",
VLOOKUP($A461,YES_Reading_FLA[],COLUMN(YES_Reading_FLA[Self-Identified as Indigenous]),FALSE)),
IF($J$2="Combined",
IFERROR(
IF(VLOOKUP($A461, YES_Reading_ELA[], COLUMN(YES_Reading_ELA[Self-Identified as Indigenous]), FALSE)="", "",
VLOOKUP($A461,YES_Reading_ELA[],COLUMN(YES_Reading_ELA[Self-Identified as Indigenous]),FALSE)),
IF(VLOOKUP($A461, YES_Reading_FLA[], COLUMN(YES_Reading_FLA[Self-Identified as Indigenous]),FALSE)="", "", VLOOKUP($A461,YES_Reading_FLA[],COLUMN(YES_Reading_FLA[Self-Identified as Indigenous]),FALSE))),""))),"")</f>
        <v/>
      </c>
    </row>
    <row r="462" spans="1:12" ht="19.5" customHeight="1" x14ac:dyDescent="0.25">
      <c r="A462" s="217"/>
      <c r="B462" s="220" t="str">
        <f>IFERROR(VLOOKUP(A462,_xlfn.VSTACK(YES_Reading_ELA[],YES_Reading_FLA[]),2,FALSE),"")</f>
        <v/>
      </c>
      <c r="C462" s="203" t="str" cm="1">
        <f t="array" aca="1" ref="C462" ca="1">IFERROR(
IF($J$2="ELA",
IF(VLOOKUP($A462, YES_Reading_ELA[], COLUMN(IF(VLOOKUP($D$2, 'Reading Report Logic'!$A$2:$B$8, 2, FALSE)=1, YES_Reading_ELA[Reading Level June of Previous School Year], INDIRECT("YES_Reading_ELA[Instructional Reading Level - Per "&amp;(VLOOKUP($D$2,'Reading Report Logic'!$A$2:$B$8,2,FALSE)-1)&amp;"]"))), FALSE)="", "",
VLOOKUP($A462,YES_Reading_ELA[], COLUMN(IF(VLOOKUP($D$2,'Reading Report Logic'!$A$2:$B$8,2,FALSE)=1, YES_Reading_ELA[Reading Level June of Previous School Year],INDIRECT("YES_Reading_ELA[Instructional Reading Level - Per "&amp;(VLOOKUP($D$2,'Reading Report Logic'!$A$2:$B$8,2,FALSE)-1)&amp;"]"))), FALSE)),
IF($J$2="FLA",
IF(VLOOKUP($A462, YES_Reading_FLA[], COLUMN(IF(VLOOKUP($D$2,'Reading Report Logic'!$A$2:$B$8,2,FALSE)=1, YES_Reading_FLA[Reading Level June of Previous School Year],INDIRECT("YES_Reading_FLA[Instructional Reading Level - Per "&amp;(VLOOKUP($D$2,'Reading Report Logic'!$A$2:$B$8,2,FALSE)-1)&amp;"]"))),FALSE)="","",
VLOOKUP($A462,YES_Reading_FLA[], COLUMN(IF(VLOOKUP($D$2,'Reading Report Logic'!$A$2:$B$8,2,FALSE)=1, YES_Reading_FLA[Reading Level June of Previous School Year],INDIRECT("YES_Reading_FLA[Instructional Reading Level - Per "&amp;(VLOOKUP($D$2,'Reading Report Logic'!$A$2:$B$8,2,FALSE)-1)&amp;"]"))),FALSE)),
IF($J$2="Combined",
IFERROR(
IF(VLOOKUP($A462, YES_Reading_ELA[], COLUMN(IF(VLOOKUP($D$2,'Reading Report Logic'!$A$2:$B$8,2,FALSE)=1, YES_Reading_ELA[Reading Level June of Previous School Year],INDIRECT("YES_Reading_ELA[Instructional Reading Level - Per "&amp;(VLOOKUP($D$2,'Reading Report Logic'!$A$2:$B$8,2,FALSE)-1)&amp;"]"))), FALSE)="", "",
VLOOKUP($A462,YES_Reading_ELA[],COLUMN(IF(VLOOKUP($D$2,'Reading Report Logic'!$A$2:$B$8,2,FALSE)=1, YES_Reading_ELA[Reading Level June of Previous School Year],INDIRECT("YES_Reading_ELA[Instructional Reading Level - Per "&amp;(VLOOKUP($D$2,'Reading Report Logic'!$A$2:$B$8,2,FALSE)-1)&amp;"]"))),FALSE)),
IF(VLOOKUP($A462, YES_Reading_FLA[], COLUMN(IF(VLOOKUP($D$2,'Reading Report Logic'!$A$2:$B$8,2,FALSE)=1, YES_Reading_FLA[Reading Level June of Previous School Year],INDIRECT("YES_Reading_FLA[Instructional Reading Level - Per "&amp;(VLOOKUP($D$2,'Reading Report Logic'!$A$2:$B$8,2,FALSE)-1)&amp;"]"))),FALSE)="", "", VLOOKUP($A462,YES_Reading_FLA[],COLUMN(IF(VLOOKUP($D$2,'Reading Report Logic'!$A$2:$B$8,2,FALSE)=1, YES_Reading_FLA[Reading Level June of Previous School Year],INDIRECT("YES_Reading_FLA[Instructional Reading Level - Per "&amp;(VLOOKUP($D$2,'Reading Report Logic'!$A$2:$B$8,2,FALSE)-1)&amp;"]"))), FALSE))),""))),"")</f>
        <v/>
      </c>
      <c r="D462" s="204" t="str" cm="1">
        <f t="array" aca="1" ref="D462" ca="1">IFERROR(
IF($J$2="ELA",
IF(VLOOKUP($A462, YES_Reading_ELA[], COLUMN(INDIRECT("YES_Reading_ELA[Instructional Reading Level - Per "&amp;VLOOKUP($D$2, 'Reading Report Logic'!$A$2:$B$8, 2, FALSE)&amp;"]")), FALSE)="", "",
VLOOKUP($A462,YES_Reading_ELA[], COLUMN(INDIRECT("YES_Reading_ELA[Instructional Reading Level - Per "&amp;VLOOKUP($D$2,'Reading Report Logic'!$A$2:$B$8,2,FALSE)&amp;"]")), FALSE)),
IF($J$2="FLA",
IF(VLOOKUP($A462, YES_Reading_FLA[], COLUMN(INDIRECT("YES_Reading_FLA[Instructional Reading Level - Per "&amp;VLOOKUP($D$2,'Reading Report Logic'!$A$2:$B$8,2,FALSE)&amp;"]")),FALSE)="","",
VLOOKUP($A462,YES_Reading_FLA[],COLUMN(INDIRECT("YES_Reading_FLA[Instructional Reading Level - Per "&amp;VLOOKUP($D$2,'Reading Report Logic'!$A$2:$B$8,2,FALSE)&amp;"]")),FALSE)),
IF($J$2="Combined",
IFERROR(
IF(VLOOKUP($A462, YES_Reading_ELA[], COLUMN(INDIRECT("YES_Reading_ELA[Instructional Reading Level - Per "&amp;VLOOKUP($D$2, 'Reading Report Logic'!$A$2:$B$8,2,FALSE)&amp;"]")), FALSE)="", "",
VLOOKUP($A462,YES_Reading_ELA[],COLUMN(INDIRECT("YES_Reading_ELA[Instructional Reading Level - Per "&amp;VLOOKUP($D$2,'Reading Report Logic'!$A$2:$B$8,2,FALSE)&amp;"]")),FALSE)),
IF(VLOOKUP($A462, YES_Reading_FLA[], COLUMN(INDIRECT("YES_Reading_FLA[Instructional Reading Level - Per "&amp;VLOOKUP($D$2, 'Reading Report Logic'!$A$2:$B$8, 2, FALSE)&amp;"]")),FALSE)="", "", VLOOKUP($A462,YES_Reading_FLA[],COLUMN(INDIRECT("YES_Reading_FLA[Instructional Reading Level - Per "&amp;VLOOKUP($D$2, 'Reading Report Logic'!$A$2:$B$8, 2, FALSE)&amp;"]")),FALSE))),""))),"")</f>
        <v/>
      </c>
      <c r="E462" s="205" t="str" cm="1">
        <f t="array" aca="1" ref="E462" ca="1">IFERROR(
IF($J$2="ELA",
IF(VLOOKUP($A462, YES_Reading_ELA[], COLUMN(INDIRECT("YES_Reading_ELA[Min Expectation - Per "&amp;VLOOKUP($D$2, 'Reading Report Logic'!$A$2:$B$8, 2, FALSE)&amp;"]")), FALSE)="", "",
VLOOKUP($A462,YES_Reading_ELA[], COLUMN(INDIRECT("YES_Reading_ELA[Min Expectation - Per "&amp;VLOOKUP($D$2,'Reading Report Logic'!$A$2:$B$8,2,FALSE)&amp;"]")), FALSE)),
IF($J$2="FLA",
IF(VLOOKUP($A462, YES_Reading_FLA[], COLUMN(INDIRECT("YES_Reading_FLA[Min Expectation - Per "&amp;VLOOKUP($D$2,'Reading Report Logic'!$A$2:$B$8,2,FALSE)&amp;"]")),FALSE)="","",
VLOOKUP($A462,YES_Reading_FLA[],COLUMN(INDIRECT("YES_Reading_FLA[Min Expectation - Per "&amp;VLOOKUP($D$2,'Reading Report Logic'!$A$2:$B$8,2,FALSE)&amp;"]")),FALSE)),
IF($J$2="Combined",
IFERROR(
IF(VLOOKUP($A462, YES_Reading_ELA[], COLUMN(INDIRECT("YES_Reading_ELA[Min Expectation - Per "&amp;VLOOKUP($D$2, 'Reading Report Logic'!$A$2:$B$8,2,FALSE)&amp;"]")), FALSE)="", "",
VLOOKUP($A462,YES_Reading_ELA[],COLUMN(INDIRECT("YES_Reading_ELA[Min Expectation - Per "&amp;VLOOKUP($D$2,'Reading Report Logic'!$A$2:$B$8,2,FALSE)&amp;"]")),FALSE)),
IF(VLOOKUP($A462, YES_Reading_FLA[], COLUMN(INDIRECT("YES_Reading_FLA[Min Expectation - Per "&amp;VLOOKUP($D$2, 'Reading Report Logic'!$A$2:$B$8, 2, FALSE)&amp;"]")),FALSE)="", "", VLOOKUP($A462,YES_Reading_FLA[],COLUMN(INDIRECT("YES_Reading_FLA[Min Expectation - Per "&amp;VLOOKUP($D$2, 'Reading Report Logic'!$A$2:$B$8, 2, FALSE)&amp;"]")),FALSE))),""))),"")</f>
        <v/>
      </c>
      <c r="F462" s="205" t="str" cm="1">
        <f t="array" aca="1" ref="F462" ca="1">IFERROR(
IF($J$2="ELA",
IF(VLOOKUP($A462, YES_Reading_ELA[], COLUMN(INDIRECT("YES_Reading_ELA[Max Expectation - Per "&amp;VLOOKUP($D$2, 'Reading Report Logic'!$A$2:$B$8, 2, FALSE)&amp;"]")), FALSE)="", "",
VLOOKUP($A462,YES_Reading_ELA[], COLUMN(INDIRECT("YES_Reading_ELA[Max Expectation - Per "&amp;VLOOKUP($D$2,'Reading Report Logic'!$A$2:$B$8,2,FALSE)&amp;"]")), FALSE)),
IF($J$2="FLA",
IF(VLOOKUP($A462, YES_Reading_FLA[], COLUMN(INDIRECT("YES_Reading_FLA[Max Expectation - Per "&amp;VLOOKUP($D$2,'Reading Report Logic'!$A$2:$B$8,2,FALSE)&amp;"]")),FALSE)="","",
VLOOKUP($A462,YES_Reading_FLA[],COLUMN(INDIRECT("YES_Reading_FLA[Max Expectation - Per "&amp;VLOOKUP($D$2,'Reading Report Logic'!$A$2:$B$8,2,FALSE)&amp;"]")),FALSE)),
IF($J$2="Combined",
IFERROR(
IF(VLOOKUP($A462, YES_Reading_ELA[], COLUMN(INDIRECT("YES_Reading_ELA[Max Expectation - Per "&amp;VLOOKUP($D$2, 'Reading Report Logic'!$A$2:$B$8,2,FALSE)&amp;"]")), FALSE)="", "",
VLOOKUP($A462,YES_Reading_ELA[],COLUMN(INDIRECT("YES_Reading_ELA[Max Expectation - Per "&amp;VLOOKUP($D$2,'Reading Report Logic'!$A$2:$B$8,2,FALSE)&amp;"]")),FALSE)),
IF(VLOOKUP($A462, YES_Reading_FLA[], COLUMN(INDIRECT("YES_Reading_FLA[Max Expectation - Per "&amp;VLOOKUP($D$2, 'Reading Report Logic'!$A$2:$B$8, 2, FALSE)&amp;"]")),FALSE)="", "", VLOOKUP($A462,YES_Reading_FLA[],COLUMN(INDIRECT("YES_Reading_FLA[Max Expectation - Per "&amp;VLOOKUP($D$2, 'Reading Report Logic'!$A$2:$B$8, 2, FALSE)&amp;"]")),FALSE))),""))),"")</f>
        <v/>
      </c>
      <c r="G462" s="205" t="str" cm="1">
        <f t="array" aca="1" ref="G462" ca="1">IFERROR(
IF($J$2="ELA",
IF(VLOOKUP($A462, YES_Reading_ELA[], COLUMN(INDIRECT("YES_Reading_ELA[Difference - Per "&amp;VLOOKUP($D$2, 'Reading Report Logic'!$A$2:$B$8, 2, FALSE)&amp;"]")), FALSE)="", "",
VLOOKUP($A462,YES_Reading_ELA[], COLUMN(INDIRECT("YES_Reading_ELA[Difference - Per "&amp;VLOOKUP($D$2,'Reading Report Logic'!$A$2:$B$8,2,FALSE)&amp;"]")), FALSE)),
IF($J$2="FLA",
IF(VLOOKUP($A462, YES_Reading_FLA[], COLUMN(INDIRECT("YES_Reading_FLA[Difference - Per "&amp;VLOOKUP($D$2,'Reading Report Logic'!$A$2:$B$8,2,FALSE)&amp;"]")),FALSE)="","",
VLOOKUP($A462,YES_Reading_FLA[],COLUMN(INDIRECT("YES_Reading_FLA[Difference - Per "&amp;VLOOKUP($D$2,'Reading Report Logic'!$A$2:$B$8,2,FALSE)&amp;"]")),FALSE)),
IF($J$2="Combined",
IFERROR(
IF(VLOOKUP($A462, YES_Reading_ELA[], COLUMN(INDIRECT("YES_Reading_ELA[Difference - Per "&amp;VLOOKUP($D$2, 'Reading Report Logic'!$A$2:$B$8,2,FALSE)&amp;"]")), FALSE)="", "",
VLOOKUP($A462,YES_Reading_ELA[],COLUMN(INDIRECT("YES_Reading_ELA[Difference - Per "&amp;VLOOKUP($D$2,'Reading Report Logic'!$A$2:$B$8,2,FALSE)&amp;"]")),FALSE)),
IF(VLOOKUP($A462, YES_Reading_FLA[], COLUMN(INDIRECT("YES_Reading_FLA[Difference - Per "&amp;VLOOKUP($D$2, 'Reading Report Logic'!$A$2:$B$8, 2, FALSE)&amp;"]")),FALSE)="", "", VLOOKUP($A462,YES_Reading_FLA[],COLUMN(INDIRECT("YES_Reading_FLA[Difference - Per "&amp;VLOOKUP($D$2, 'Reading Report Logic'!$A$2:$B$8, 2, FALSE)&amp;"]")),FALSE))),""))),"")</f>
        <v/>
      </c>
      <c r="H462" s="206" t="str">
        <f ca="1">IFERROR(VLOOKUP('Teacher Reading Pull Sheets'!$D462,_xlfn.VSTACK('ELA Reading Logic'!$A$22:$B$48,'FLA Reading Logic'!$A$22:$B$53),2,FALSE)-VLOOKUP('Teacher Reading Pull Sheets'!$C462,_xlfn.VSTACK('ELA Reading Logic'!$A$22:$B$48,'FLA Reading Logic'!$A$22:$B$53),2,FALSE),"")</f>
        <v/>
      </c>
      <c r="I462" s="212"/>
      <c r="J462" s="206"/>
      <c r="K462" s="197" t="str" cm="1">
        <f t="array" ref="K462">IFERROR(
IF($J$2="ELA",
IF(VLOOKUP($A462, YES_Reading_ELA[], COLUMN(YES_Reading_ELA[Self-Identified as African Descent]), FALSE)="", "",
VLOOKUP($A462,YES_Reading_ELA[], COLUMN(YES_Reading_ELA[Self-Identified as African Descent]), FALSE)),
IF($J$2="FLA",
IF(VLOOKUP($A462, YES_Reading_FLA[], COLUMN(YES_Reading_FLA[Self-Identified as African Descent]),FALSE)="","",
VLOOKUP($A462,YES_Reading_FLA[],COLUMN(YES_Reading_FLA[Self-Identified as African Descent]),FALSE)),
IF($J$2="Combined",
IFERROR(
IF(VLOOKUP($A462, YES_Reading_ELA[], COLUMN(YES_Reading_ELA[Self-Identified as African Descent]), FALSE)="", "",
VLOOKUP($A462,YES_Reading_ELA[],COLUMN(YES_Reading_ELA[Self-Identified as African Descent]),FALSE)),
IF(VLOOKUP($A462, YES_Reading_FLA[], COLUMN(YES_Reading_FLA[Self-Identified as African Descent]),FALSE)="", "", VLOOKUP($A462,YES_Reading_FLA[],COLUMN(YES_Reading_FLA[Self-Identified as African Descent]),FALSE))),""))),"")</f>
        <v/>
      </c>
      <c r="L462" s="73" t="str" cm="1">
        <f t="array" ref="L462">IFERROR(
IF($J$2="ELA",
IF(VLOOKUP($A462, YES_Reading_ELA[], COLUMN(YES_Reading_ELA[Self-Identified as Indigenous]), FALSE)="", "",
VLOOKUP($A462,YES_Reading_ELA[], COLUMN(YES_Reading_ELA[Self-Identified as Indigenous]), FALSE)),
IF($J$2="FLA",
IF(VLOOKUP($A462, YES_Reading_FLA[], COLUMN(YES_Reading_FLA[Self-Identified as Indigenous]),FALSE)="","",
VLOOKUP($A462,YES_Reading_FLA[],COLUMN(YES_Reading_FLA[Self-Identified as Indigenous]),FALSE)),
IF($J$2="Combined",
IFERROR(
IF(VLOOKUP($A462, YES_Reading_ELA[], COLUMN(YES_Reading_ELA[Self-Identified as Indigenous]), FALSE)="", "",
VLOOKUP($A462,YES_Reading_ELA[],COLUMN(YES_Reading_ELA[Self-Identified as Indigenous]),FALSE)),
IF(VLOOKUP($A462, YES_Reading_FLA[], COLUMN(YES_Reading_FLA[Self-Identified as Indigenous]),FALSE)="", "", VLOOKUP($A462,YES_Reading_FLA[],COLUMN(YES_Reading_FLA[Self-Identified as Indigenous]),FALSE))),""))),"")</f>
        <v/>
      </c>
    </row>
    <row r="463" spans="1:12" ht="19.5" customHeight="1" x14ac:dyDescent="0.25">
      <c r="A463" s="217"/>
      <c r="B463" s="220" t="str">
        <f>IFERROR(VLOOKUP(A463,_xlfn.VSTACK(YES_Reading_ELA[],YES_Reading_FLA[]),2,FALSE),"")</f>
        <v/>
      </c>
      <c r="C463" s="203" t="str" cm="1">
        <f t="array" aca="1" ref="C463" ca="1">IFERROR(
IF($J$2="ELA",
IF(VLOOKUP($A463, YES_Reading_ELA[], COLUMN(IF(VLOOKUP($D$2, 'Reading Report Logic'!$A$2:$B$8, 2, FALSE)=1, YES_Reading_ELA[Reading Level June of Previous School Year], INDIRECT("YES_Reading_ELA[Instructional Reading Level - Per "&amp;(VLOOKUP($D$2,'Reading Report Logic'!$A$2:$B$8,2,FALSE)-1)&amp;"]"))), FALSE)="", "",
VLOOKUP($A463,YES_Reading_ELA[], COLUMN(IF(VLOOKUP($D$2,'Reading Report Logic'!$A$2:$B$8,2,FALSE)=1, YES_Reading_ELA[Reading Level June of Previous School Year],INDIRECT("YES_Reading_ELA[Instructional Reading Level - Per "&amp;(VLOOKUP($D$2,'Reading Report Logic'!$A$2:$B$8,2,FALSE)-1)&amp;"]"))), FALSE)),
IF($J$2="FLA",
IF(VLOOKUP($A463, YES_Reading_FLA[], COLUMN(IF(VLOOKUP($D$2,'Reading Report Logic'!$A$2:$B$8,2,FALSE)=1, YES_Reading_FLA[Reading Level June of Previous School Year],INDIRECT("YES_Reading_FLA[Instructional Reading Level - Per "&amp;(VLOOKUP($D$2,'Reading Report Logic'!$A$2:$B$8,2,FALSE)-1)&amp;"]"))),FALSE)="","",
VLOOKUP($A463,YES_Reading_FLA[], COLUMN(IF(VLOOKUP($D$2,'Reading Report Logic'!$A$2:$B$8,2,FALSE)=1, YES_Reading_FLA[Reading Level June of Previous School Year],INDIRECT("YES_Reading_FLA[Instructional Reading Level - Per "&amp;(VLOOKUP($D$2,'Reading Report Logic'!$A$2:$B$8,2,FALSE)-1)&amp;"]"))),FALSE)),
IF($J$2="Combined",
IFERROR(
IF(VLOOKUP($A463, YES_Reading_ELA[], COLUMN(IF(VLOOKUP($D$2,'Reading Report Logic'!$A$2:$B$8,2,FALSE)=1, YES_Reading_ELA[Reading Level June of Previous School Year],INDIRECT("YES_Reading_ELA[Instructional Reading Level - Per "&amp;(VLOOKUP($D$2,'Reading Report Logic'!$A$2:$B$8,2,FALSE)-1)&amp;"]"))), FALSE)="", "",
VLOOKUP($A463,YES_Reading_ELA[],COLUMN(IF(VLOOKUP($D$2,'Reading Report Logic'!$A$2:$B$8,2,FALSE)=1, YES_Reading_ELA[Reading Level June of Previous School Year],INDIRECT("YES_Reading_ELA[Instructional Reading Level - Per "&amp;(VLOOKUP($D$2,'Reading Report Logic'!$A$2:$B$8,2,FALSE)-1)&amp;"]"))),FALSE)),
IF(VLOOKUP($A463, YES_Reading_FLA[], COLUMN(IF(VLOOKUP($D$2,'Reading Report Logic'!$A$2:$B$8,2,FALSE)=1, YES_Reading_FLA[Reading Level June of Previous School Year],INDIRECT("YES_Reading_FLA[Instructional Reading Level - Per "&amp;(VLOOKUP($D$2,'Reading Report Logic'!$A$2:$B$8,2,FALSE)-1)&amp;"]"))),FALSE)="", "", VLOOKUP($A463,YES_Reading_FLA[],COLUMN(IF(VLOOKUP($D$2,'Reading Report Logic'!$A$2:$B$8,2,FALSE)=1, YES_Reading_FLA[Reading Level June of Previous School Year],INDIRECT("YES_Reading_FLA[Instructional Reading Level - Per "&amp;(VLOOKUP($D$2,'Reading Report Logic'!$A$2:$B$8,2,FALSE)-1)&amp;"]"))), FALSE))),""))),"")</f>
        <v/>
      </c>
      <c r="D463" s="204" t="str" cm="1">
        <f t="array" aca="1" ref="D463" ca="1">IFERROR(
IF($J$2="ELA",
IF(VLOOKUP($A463, YES_Reading_ELA[], COLUMN(INDIRECT("YES_Reading_ELA[Instructional Reading Level - Per "&amp;VLOOKUP($D$2, 'Reading Report Logic'!$A$2:$B$8, 2, FALSE)&amp;"]")), FALSE)="", "",
VLOOKUP($A463,YES_Reading_ELA[], COLUMN(INDIRECT("YES_Reading_ELA[Instructional Reading Level - Per "&amp;VLOOKUP($D$2,'Reading Report Logic'!$A$2:$B$8,2,FALSE)&amp;"]")), FALSE)),
IF($J$2="FLA",
IF(VLOOKUP($A463, YES_Reading_FLA[], COLUMN(INDIRECT("YES_Reading_FLA[Instructional Reading Level - Per "&amp;VLOOKUP($D$2,'Reading Report Logic'!$A$2:$B$8,2,FALSE)&amp;"]")),FALSE)="","",
VLOOKUP($A463,YES_Reading_FLA[],COLUMN(INDIRECT("YES_Reading_FLA[Instructional Reading Level - Per "&amp;VLOOKUP($D$2,'Reading Report Logic'!$A$2:$B$8,2,FALSE)&amp;"]")),FALSE)),
IF($J$2="Combined",
IFERROR(
IF(VLOOKUP($A463, YES_Reading_ELA[], COLUMN(INDIRECT("YES_Reading_ELA[Instructional Reading Level - Per "&amp;VLOOKUP($D$2, 'Reading Report Logic'!$A$2:$B$8,2,FALSE)&amp;"]")), FALSE)="", "",
VLOOKUP($A463,YES_Reading_ELA[],COLUMN(INDIRECT("YES_Reading_ELA[Instructional Reading Level - Per "&amp;VLOOKUP($D$2,'Reading Report Logic'!$A$2:$B$8,2,FALSE)&amp;"]")),FALSE)),
IF(VLOOKUP($A463, YES_Reading_FLA[], COLUMN(INDIRECT("YES_Reading_FLA[Instructional Reading Level - Per "&amp;VLOOKUP($D$2, 'Reading Report Logic'!$A$2:$B$8, 2, FALSE)&amp;"]")),FALSE)="", "", VLOOKUP($A463,YES_Reading_FLA[],COLUMN(INDIRECT("YES_Reading_FLA[Instructional Reading Level - Per "&amp;VLOOKUP($D$2, 'Reading Report Logic'!$A$2:$B$8, 2, FALSE)&amp;"]")),FALSE))),""))),"")</f>
        <v/>
      </c>
      <c r="E463" s="205" t="str" cm="1">
        <f t="array" aca="1" ref="E463" ca="1">IFERROR(
IF($J$2="ELA",
IF(VLOOKUP($A463, YES_Reading_ELA[], COLUMN(INDIRECT("YES_Reading_ELA[Min Expectation - Per "&amp;VLOOKUP($D$2, 'Reading Report Logic'!$A$2:$B$8, 2, FALSE)&amp;"]")), FALSE)="", "",
VLOOKUP($A463,YES_Reading_ELA[], COLUMN(INDIRECT("YES_Reading_ELA[Min Expectation - Per "&amp;VLOOKUP($D$2,'Reading Report Logic'!$A$2:$B$8,2,FALSE)&amp;"]")), FALSE)),
IF($J$2="FLA",
IF(VLOOKUP($A463, YES_Reading_FLA[], COLUMN(INDIRECT("YES_Reading_FLA[Min Expectation - Per "&amp;VLOOKUP($D$2,'Reading Report Logic'!$A$2:$B$8,2,FALSE)&amp;"]")),FALSE)="","",
VLOOKUP($A463,YES_Reading_FLA[],COLUMN(INDIRECT("YES_Reading_FLA[Min Expectation - Per "&amp;VLOOKUP($D$2,'Reading Report Logic'!$A$2:$B$8,2,FALSE)&amp;"]")),FALSE)),
IF($J$2="Combined",
IFERROR(
IF(VLOOKUP($A463, YES_Reading_ELA[], COLUMN(INDIRECT("YES_Reading_ELA[Min Expectation - Per "&amp;VLOOKUP($D$2, 'Reading Report Logic'!$A$2:$B$8,2,FALSE)&amp;"]")), FALSE)="", "",
VLOOKUP($A463,YES_Reading_ELA[],COLUMN(INDIRECT("YES_Reading_ELA[Min Expectation - Per "&amp;VLOOKUP($D$2,'Reading Report Logic'!$A$2:$B$8,2,FALSE)&amp;"]")),FALSE)),
IF(VLOOKUP($A463, YES_Reading_FLA[], COLUMN(INDIRECT("YES_Reading_FLA[Min Expectation - Per "&amp;VLOOKUP($D$2, 'Reading Report Logic'!$A$2:$B$8, 2, FALSE)&amp;"]")),FALSE)="", "", VLOOKUP($A463,YES_Reading_FLA[],COLUMN(INDIRECT("YES_Reading_FLA[Min Expectation - Per "&amp;VLOOKUP($D$2, 'Reading Report Logic'!$A$2:$B$8, 2, FALSE)&amp;"]")),FALSE))),""))),"")</f>
        <v/>
      </c>
      <c r="F463" s="205" t="str" cm="1">
        <f t="array" aca="1" ref="F463" ca="1">IFERROR(
IF($J$2="ELA",
IF(VLOOKUP($A463, YES_Reading_ELA[], COLUMN(INDIRECT("YES_Reading_ELA[Max Expectation - Per "&amp;VLOOKUP($D$2, 'Reading Report Logic'!$A$2:$B$8, 2, FALSE)&amp;"]")), FALSE)="", "",
VLOOKUP($A463,YES_Reading_ELA[], COLUMN(INDIRECT("YES_Reading_ELA[Max Expectation - Per "&amp;VLOOKUP($D$2,'Reading Report Logic'!$A$2:$B$8,2,FALSE)&amp;"]")), FALSE)),
IF($J$2="FLA",
IF(VLOOKUP($A463, YES_Reading_FLA[], COLUMN(INDIRECT("YES_Reading_FLA[Max Expectation - Per "&amp;VLOOKUP($D$2,'Reading Report Logic'!$A$2:$B$8,2,FALSE)&amp;"]")),FALSE)="","",
VLOOKUP($A463,YES_Reading_FLA[],COLUMN(INDIRECT("YES_Reading_FLA[Max Expectation - Per "&amp;VLOOKUP($D$2,'Reading Report Logic'!$A$2:$B$8,2,FALSE)&amp;"]")),FALSE)),
IF($J$2="Combined",
IFERROR(
IF(VLOOKUP($A463, YES_Reading_ELA[], COLUMN(INDIRECT("YES_Reading_ELA[Max Expectation - Per "&amp;VLOOKUP($D$2, 'Reading Report Logic'!$A$2:$B$8,2,FALSE)&amp;"]")), FALSE)="", "",
VLOOKUP($A463,YES_Reading_ELA[],COLUMN(INDIRECT("YES_Reading_ELA[Max Expectation - Per "&amp;VLOOKUP($D$2,'Reading Report Logic'!$A$2:$B$8,2,FALSE)&amp;"]")),FALSE)),
IF(VLOOKUP($A463, YES_Reading_FLA[], COLUMN(INDIRECT("YES_Reading_FLA[Max Expectation - Per "&amp;VLOOKUP($D$2, 'Reading Report Logic'!$A$2:$B$8, 2, FALSE)&amp;"]")),FALSE)="", "", VLOOKUP($A463,YES_Reading_FLA[],COLUMN(INDIRECT("YES_Reading_FLA[Max Expectation - Per "&amp;VLOOKUP($D$2, 'Reading Report Logic'!$A$2:$B$8, 2, FALSE)&amp;"]")),FALSE))),""))),"")</f>
        <v/>
      </c>
      <c r="G463" s="205" t="str" cm="1">
        <f t="array" aca="1" ref="G463" ca="1">IFERROR(
IF($J$2="ELA",
IF(VLOOKUP($A463, YES_Reading_ELA[], COLUMN(INDIRECT("YES_Reading_ELA[Difference - Per "&amp;VLOOKUP($D$2, 'Reading Report Logic'!$A$2:$B$8, 2, FALSE)&amp;"]")), FALSE)="", "",
VLOOKUP($A463,YES_Reading_ELA[], COLUMN(INDIRECT("YES_Reading_ELA[Difference - Per "&amp;VLOOKUP($D$2,'Reading Report Logic'!$A$2:$B$8,2,FALSE)&amp;"]")), FALSE)),
IF($J$2="FLA",
IF(VLOOKUP($A463, YES_Reading_FLA[], COLUMN(INDIRECT("YES_Reading_FLA[Difference - Per "&amp;VLOOKUP($D$2,'Reading Report Logic'!$A$2:$B$8,2,FALSE)&amp;"]")),FALSE)="","",
VLOOKUP($A463,YES_Reading_FLA[],COLUMN(INDIRECT("YES_Reading_FLA[Difference - Per "&amp;VLOOKUP($D$2,'Reading Report Logic'!$A$2:$B$8,2,FALSE)&amp;"]")),FALSE)),
IF($J$2="Combined",
IFERROR(
IF(VLOOKUP($A463, YES_Reading_ELA[], COLUMN(INDIRECT("YES_Reading_ELA[Difference - Per "&amp;VLOOKUP($D$2, 'Reading Report Logic'!$A$2:$B$8,2,FALSE)&amp;"]")), FALSE)="", "",
VLOOKUP($A463,YES_Reading_ELA[],COLUMN(INDIRECT("YES_Reading_ELA[Difference - Per "&amp;VLOOKUP($D$2,'Reading Report Logic'!$A$2:$B$8,2,FALSE)&amp;"]")),FALSE)),
IF(VLOOKUP($A463, YES_Reading_FLA[], COLUMN(INDIRECT("YES_Reading_FLA[Difference - Per "&amp;VLOOKUP($D$2, 'Reading Report Logic'!$A$2:$B$8, 2, FALSE)&amp;"]")),FALSE)="", "", VLOOKUP($A463,YES_Reading_FLA[],COLUMN(INDIRECT("YES_Reading_FLA[Difference - Per "&amp;VLOOKUP($D$2, 'Reading Report Logic'!$A$2:$B$8, 2, FALSE)&amp;"]")),FALSE))),""))),"")</f>
        <v/>
      </c>
      <c r="H463" s="206" t="str">
        <f ca="1">IFERROR(VLOOKUP('Teacher Reading Pull Sheets'!$D463,_xlfn.VSTACK('ELA Reading Logic'!$A$22:$B$48,'FLA Reading Logic'!$A$22:$B$53),2,FALSE)-VLOOKUP('Teacher Reading Pull Sheets'!$C463,_xlfn.VSTACK('ELA Reading Logic'!$A$22:$B$48,'FLA Reading Logic'!$A$22:$B$53),2,FALSE),"")</f>
        <v/>
      </c>
      <c r="I463" s="212"/>
      <c r="J463" s="206"/>
      <c r="K463" s="197" t="str" cm="1">
        <f t="array" ref="K463">IFERROR(
IF($J$2="ELA",
IF(VLOOKUP($A463, YES_Reading_ELA[], COLUMN(YES_Reading_ELA[Self-Identified as African Descent]), FALSE)="", "",
VLOOKUP($A463,YES_Reading_ELA[], COLUMN(YES_Reading_ELA[Self-Identified as African Descent]), FALSE)),
IF($J$2="FLA",
IF(VLOOKUP($A463, YES_Reading_FLA[], COLUMN(YES_Reading_FLA[Self-Identified as African Descent]),FALSE)="","",
VLOOKUP($A463,YES_Reading_FLA[],COLUMN(YES_Reading_FLA[Self-Identified as African Descent]),FALSE)),
IF($J$2="Combined",
IFERROR(
IF(VLOOKUP($A463, YES_Reading_ELA[], COLUMN(YES_Reading_ELA[Self-Identified as African Descent]), FALSE)="", "",
VLOOKUP($A463,YES_Reading_ELA[],COLUMN(YES_Reading_ELA[Self-Identified as African Descent]),FALSE)),
IF(VLOOKUP($A463, YES_Reading_FLA[], COLUMN(YES_Reading_FLA[Self-Identified as African Descent]),FALSE)="", "", VLOOKUP($A463,YES_Reading_FLA[],COLUMN(YES_Reading_FLA[Self-Identified as African Descent]),FALSE))),""))),"")</f>
        <v/>
      </c>
      <c r="L463" s="73" t="str" cm="1">
        <f t="array" ref="L463">IFERROR(
IF($J$2="ELA",
IF(VLOOKUP($A463, YES_Reading_ELA[], COLUMN(YES_Reading_ELA[Self-Identified as Indigenous]), FALSE)="", "",
VLOOKUP($A463,YES_Reading_ELA[], COLUMN(YES_Reading_ELA[Self-Identified as Indigenous]), FALSE)),
IF($J$2="FLA",
IF(VLOOKUP($A463, YES_Reading_FLA[], COLUMN(YES_Reading_FLA[Self-Identified as Indigenous]),FALSE)="","",
VLOOKUP($A463,YES_Reading_FLA[],COLUMN(YES_Reading_FLA[Self-Identified as Indigenous]),FALSE)),
IF($J$2="Combined",
IFERROR(
IF(VLOOKUP($A463, YES_Reading_ELA[], COLUMN(YES_Reading_ELA[Self-Identified as Indigenous]), FALSE)="", "",
VLOOKUP($A463,YES_Reading_ELA[],COLUMN(YES_Reading_ELA[Self-Identified as Indigenous]),FALSE)),
IF(VLOOKUP($A463, YES_Reading_FLA[], COLUMN(YES_Reading_FLA[Self-Identified as Indigenous]),FALSE)="", "", VLOOKUP($A463,YES_Reading_FLA[],COLUMN(YES_Reading_FLA[Self-Identified as Indigenous]),FALSE))),""))),"")</f>
        <v/>
      </c>
    </row>
    <row r="464" spans="1:12" ht="19.5" customHeight="1" x14ac:dyDescent="0.25">
      <c r="A464" s="217"/>
      <c r="B464" s="220" t="str">
        <f>IFERROR(VLOOKUP(A464,_xlfn.VSTACK(YES_Reading_ELA[],YES_Reading_FLA[]),2,FALSE),"")</f>
        <v/>
      </c>
      <c r="C464" s="203" t="str" cm="1">
        <f t="array" aca="1" ref="C464" ca="1">IFERROR(
IF($J$2="ELA",
IF(VLOOKUP($A464, YES_Reading_ELA[], COLUMN(IF(VLOOKUP($D$2, 'Reading Report Logic'!$A$2:$B$8, 2, FALSE)=1, YES_Reading_ELA[Reading Level June of Previous School Year], INDIRECT("YES_Reading_ELA[Instructional Reading Level - Per "&amp;(VLOOKUP($D$2,'Reading Report Logic'!$A$2:$B$8,2,FALSE)-1)&amp;"]"))), FALSE)="", "",
VLOOKUP($A464,YES_Reading_ELA[], COLUMN(IF(VLOOKUP($D$2,'Reading Report Logic'!$A$2:$B$8,2,FALSE)=1, YES_Reading_ELA[Reading Level June of Previous School Year],INDIRECT("YES_Reading_ELA[Instructional Reading Level - Per "&amp;(VLOOKUP($D$2,'Reading Report Logic'!$A$2:$B$8,2,FALSE)-1)&amp;"]"))), FALSE)),
IF($J$2="FLA",
IF(VLOOKUP($A464, YES_Reading_FLA[], COLUMN(IF(VLOOKUP($D$2,'Reading Report Logic'!$A$2:$B$8,2,FALSE)=1, YES_Reading_FLA[Reading Level June of Previous School Year],INDIRECT("YES_Reading_FLA[Instructional Reading Level - Per "&amp;(VLOOKUP($D$2,'Reading Report Logic'!$A$2:$B$8,2,FALSE)-1)&amp;"]"))),FALSE)="","",
VLOOKUP($A464,YES_Reading_FLA[], COLUMN(IF(VLOOKUP($D$2,'Reading Report Logic'!$A$2:$B$8,2,FALSE)=1, YES_Reading_FLA[Reading Level June of Previous School Year],INDIRECT("YES_Reading_FLA[Instructional Reading Level - Per "&amp;(VLOOKUP($D$2,'Reading Report Logic'!$A$2:$B$8,2,FALSE)-1)&amp;"]"))),FALSE)),
IF($J$2="Combined",
IFERROR(
IF(VLOOKUP($A464, YES_Reading_ELA[], COLUMN(IF(VLOOKUP($D$2,'Reading Report Logic'!$A$2:$B$8,2,FALSE)=1, YES_Reading_ELA[Reading Level June of Previous School Year],INDIRECT("YES_Reading_ELA[Instructional Reading Level - Per "&amp;(VLOOKUP($D$2,'Reading Report Logic'!$A$2:$B$8,2,FALSE)-1)&amp;"]"))), FALSE)="", "",
VLOOKUP($A464,YES_Reading_ELA[],COLUMN(IF(VLOOKUP($D$2,'Reading Report Logic'!$A$2:$B$8,2,FALSE)=1, YES_Reading_ELA[Reading Level June of Previous School Year],INDIRECT("YES_Reading_ELA[Instructional Reading Level - Per "&amp;(VLOOKUP($D$2,'Reading Report Logic'!$A$2:$B$8,2,FALSE)-1)&amp;"]"))),FALSE)),
IF(VLOOKUP($A464, YES_Reading_FLA[], COLUMN(IF(VLOOKUP($D$2,'Reading Report Logic'!$A$2:$B$8,2,FALSE)=1, YES_Reading_FLA[Reading Level June of Previous School Year],INDIRECT("YES_Reading_FLA[Instructional Reading Level - Per "&amp;(VLOOKUP($D$2,'Reading Report Logic'!$A$2:$B$8,2,FALSE)-1)&amp;"]"))),FALSE)="", "", VLOOKUP($A464,YES_Reading_FLA[],COLUMN(IF(VLOOKUP($D$2,'Reading Report Logic'!$A$2:$B$8,2,FALSE)=1, YES_Reading_FLA[Reading Level June of Previous School Year],INDIRECT("YES_Reading_FLA[Instructional Reading Level - Per "&amp;(VLOOKUP($D$2,'Reading Report Logic'!$A$2:$B$8,2,FALSE)-1)&amp;"]"))), FALSE))),""))),"")</f>
        <v/>
      </c>
      <c r="D464" s="204" t="str" cm="1">
        <f t="array" aca="1" ref="D464" ca="1">IFERROR(
IF($J$2="ELA",
IF(VLOOKUP($A464, YES_Reading_ELA[], COLUMN(INDIRECT("YES_Reading_ELA[Instructional Reading Level - Per "&amp;VLOOKUP($D$2, 'Reading Report Logic'!$A$2:$B$8, 2, FALSE)&amp;"]")), FALSE)="", "",
VLOOKUP($A464,YES_Reading_ELA[], COLUMN(INDIRECT("YES_Reading_ELA[Instructional Reading Level - Per "&amp;VLOOKUP($D$2,'Reading Report Logic'!$A$2:$B$8,2,FALSE)&amp;"]")), FALSE)),
IF($J$2="FLA",
IF(VLOOKUP($A464, YES_Reading_FLA[], COLUMN(INDIRECT("YES_Reading_FLA[Instructional Reading Level - Per "&amp;VLOOKUP($D$2,'Reading Report Logic'!$A$2:$B$8,2,FALSE)&amp;"]")),FALSE)="","",
VLOOKUP($A464,YES_Reading_FLA[],COLUMN(INDIRECT("YES_Reading_FLA[Instructional Reading Level - Per "&amp;VLOOKUP($D$2,'Reading Report Logic'!$A$2:$B$8,2,FALSE)&amp;"]")),FALSE)),
IF($J$2="Combined",
IFERROR(
IF(VLOOKUP($A464, YES_Reading_ELA[], COLUMN(INDIRECT("YES_Reading_ELA[Instructional Reading Level - Per "&amp;VLOOKUP($D$2, 'Reading Report Logic'!$A$2:$B$8,2,FALSE)&amp;"]")), FALSE)="", "",
VLOOKUP($A464,YES_Reading_ELA[],COLUMN(INDIRECT("YES_Reading_ELA[Instructional Reading Level - Per "&amp;VLOOKUP($D$2,'Reading Report Logic'!$A$2:$B$8,2,FALSE)&amp;"]")),FALSE)),
IF(VLOOKUP($A464, YES_Reading_FLA[], COLUMN(INDIRECT("YES_Reading_FLA[Instructional Reading Level - Per "&amp;VLOOKUP($D$2, 'Reading Report Logic'!$A$2:$B$8, 2, FALSE)&amp;"]")),FALSE)="", "", VLOOKUP($A464,YES_Reading_FLA[],COLUMN(INDIRECT("YES_Reading_FLA[Instructional Reading Level - Per "&amp;VLOOKUP($D$2, 'Reading Report Logic'!$A$2:$B$8, 2, FALSE)&amp;"]")),FALSE))),""))),"")</f>
        <v/>
      </c>
      <c r="E464" s="205" t="str" cm="1">
        <f t="array" aca="1" ref="E464" ca="1">IFERROR(
IF($J$2="ELA",
IF(VLOOKUP($A464, YES_Reading_ELA[], COLUMN(INDIRECT("YES_Reading_ELA[Min Expectation - Per "&amp;VLOOKUP($D$2, 'Reading Report Logic'!$A$2:$B$8, 2, FALSE)&amp;"]")), FALSE)="", "",
VLOOKUP($A464,YES_Reading_ELA[], COLUMN(INDIRECT("YES_Reading_ELA[Min Expectation - Per "&amp;VLOOKUP($D$2,'Reading Report Logic'!$A$2:$B$8,2,FALSE)&amp;"]")), FALSE)),
IF($J$2="FLA",
IF(VLOOKUP($A464, YES_Reading_FLA[], COLUMN(INDIRECT("YES_Reading_FLA[Min Expectation - Per "&amp;VLOOKUP($D$2,'Reading Report Logic'!$A$2:$B$8,2,FALSE)&amp;"]")),FALSE)="","",
VLOOKUP($A464,YES_Reading_FLA[],COLUMN(INDIRECT("YES_Reading_FLA[Min Expectation - Per "&amp;VLOOKUP($D$2,'Reading Report Logic'!$A$2:$B$8,2,FALSE)&amp;"]")),FALSE)),
IF($J$2="Combined",
IFERROR(
IF(VLOOKUP($A464, YES_Reading_ELA[], COLUMN(INDIRECT("YES_Reading_ELA[Min Expectation - Per "&amp;VLOOKUP($D$2, 'Reading Report Logic'!$A$2:$B$8,2,FALSE)&amp;"]")), FALSE)="", "",
VLOOKUP($A464,YES_Reading_ELA[],COLUMN(INDIRECT("YES_Reading_ELA[Min Expectation - Per "&amp;VLOOKUP($D$2,'Reading Report Logic'!$A$2:$B$8,2,FALSE)&amp;"]")),FALSE)),
IF(VLOOKUP($A464, YES_Reading_FLA[], COLUMN(INDIRECT("YES_Reading_FLA[Min Expectation - Per "&amp;VLOOKUP($D$2, 'Reading Report Logic'!$A$2:$B$8, 2, FALSE)&amp;"]")),FALSE)="", "", VLOOKUP($A464,YES_Reading_FLA[],COLUMN(INDIRECT("YES_Reading_FLA[Min Expectation - Per "&amp;VLOOKUP($D$2, 'Reading Report Logic'!$A$2:$B$8, 2, FALSE)&amp;"]")),FALSE))),""))),"")</f>
        <v/>
      </c>
      <c r="F464" s="205" t="str" cm="1">
        <f t="array" aca="1" ref="F464" ca="1">IFERROR(
IF($J$2="ELA",
IF(VLOOKUP($A464, YES_Reading_ELA[], COLUMN(INDIRECT("YES_Reading_ELA[Max Expectation - Per "&amp;VLOOKUP($D$2, 'Reading Report Logic'!$A$2:$B$8, 2, FALSE)&amp;"]")), FALSE)="", "",
VLOOKUP($A464,YES_Reading_ELA[], COLUMN(INDIRECT("YES_Reading_ELA[Max Expectation - Per "&amp;VLOOKUP($D$2,'Reading Report Logic'!$A$2:$B$8,2,FALSE)&amp;"]")), FALSE)),
IF($J$2="FLA",
IF(VLOOKUP($A464, YES_Reading_FLA[], COLUMN(INDIRECT("YES_Reading_FLA[Max Expectation - Per "&amp;VLOOKUP($D$2,'Reading Report Logic'!$A$2:$B$8,2,FALSE)&amp;"]")),FALSE)="","",
VLOOKUP($A464,YES_Reading_FLA[],COLUMN(INDIRECT("YES_Reading_FLA[Max Expectation - Per "&amp;VLOOKUP($D$2,'Reading Report Logic'!$A$2:$B$8,2,FALSE)&amp;"]")),FALSE)),
IF($J$2="Combined",
IFERROR(
IF(VLOOKUP($A464, YES_Reading_ELA[], COLUMN(INDIRECT("YES_Reading_ELA[Max Expectation - Per "&amp;VLOOKUP($D$2, 'Reading Report Logic'!$A$2:$B$8,2,FALSE)&amp;"]")), FALSE)="", "",
VLOOKUP($A464,YES_Reading_ELA[],COLUMN(INDIRECT("YES_Reading_ELA[Max Expectation - Per "&amp;VLOOKUP($D$2,'Reading Report Logic'!$A$2:$B$8,2,FALSE)&amp;"]")),FALSE)),
IF(VLOOKUP($A464, YES_Reading_FLA[], COLUMN(INDIRECT("YES_Reading_FLA[Max Expectation - Per "&amp;VLOOKUP($D$2, 'Reading Report Logic'!$A$2:$B$8, 2, FALSE)&amp;"]")),FALSE)="", "", VLOOKUP($A464,YES_Reading_FLA[],COLUMN(INDIRECT("YES_Reading_FLA[Max Expectation - Per "&amp;VLOOKUP($D$2, 'Reading Report Logic'!$A$2:$B$8, 2, FALSE)&amp;"]")),FALSE))),""))),"")</f>
        <v/>
      </c>
      <c r="G464" s="205" t="str" cm="1">
        <f t="array" aca="1" ref="G464" ca="1">IFERROR(
IF($J$2="ELA",
IF(VLOOKUP($A464, YES_Reading_ELA[], COLUMN(INDIRECT("YES_Reading_ELA[Difference - Per "&amp;VLOOKUP($D$2, 'Reading Report Logic'!$A$2:$B$8, 2, FALSE)&amp;"]")), FALSE)="", "",
VLOOKUP($A464,YES_Reading_ELA[], COLUMN(INDIRECT("YES_Reading_ELA[Difference - Per "&amp;VLOOKUP($D$2,'Reading Report Logic'!$A$2:$B$8,2,FALSE)&amp;"]")), FALSE)),
IF($J$2="FLA",
IF(VLOOKUP($A464, YES_Reading_FLA[], COLUMN(INDIRECT("YES_Reading_FLA[Difference - Per "&amp;VLOOKUP($D$2,'Reading Report Logic'!$A$2:$B$8,2,FALSE)&amp;"]")),FALSE)="","",
VLOOKUP($A464,YES_Reading_FLA[],COLUMN(INDIRECT("YES_Reading_FLA[Difference - Per "&amp;VLOOKUP($D$2,'Reading Report Logic'!$A$2:$B$8,2,FALSE)&amp;"]")),FALSE)),
IF($J$2="Combined",
IFERROR(
IF(VLOOKUP($A464, YES_Reading_ELA[], COLUMN(INDIRECT("YES_Reading_ELA[Difference - Per "&amp;VLOOKUP($D$2, 'Reading Report Logic'!$A$2:$B$8,2,FALSE)&amp;"]")), FALSE)="", "",
VLOOKUP($A464,YES_Reading_ELA[],COLUMN(INDIRECT("YES_Reading_ELA[Difference - Per "&amp;VLOOKUP($D$2,'Reading Report Logic'!$A$2:$B$8,2,FALSE)&amp;"]")),FALSE)),
IF(VLOOKUP($A464, YES_Reading_FLA[], COLUMN(INDIRECT("YES_Reading_FLA[Difference - Per "&amp;VLOOKUP($D$2, 'Reading Report Logic'!$A$2:$B$8, 2, FALSE)&amp;"]")),FALSE)="", "", VLOOKUP($A464,YES_Reading_FLA[],COLUMN(INDIRECT("YES_Reading_FLA[Difference - Per "&amp;VLOOKUP($D$2, 'Reading Report Logic'!$A$2:$B$8, 2, FALSE)&amp;"]")),FALSE))),""))),"")</f>
        <v/>
      </c>
      <c r="H464" s="206" t="str">
        <f ca="1">IFERROR(VLOOKUP('Teacher Reading Pull Sheets'!$D464,_xlfn.VSTACK('ELA Reading Logic'!$A$22:$B$48,'FLA Reading Logic'!$A$22:$B$53),2,FALSE)-VLOOKUP('Teacher Reading Pull Sheets'!$C464,_xlfn.VSTACK('ELA Reading Logic'!$A$22:$B$48,'FLA Reading Logic'!$A$22:$B$53),2,FALSE),"")</f>
        <v/>
      </c>
      <c r="I464" s="212"/>
      <c r="J464" s="206"/>
      <c r="K464" s="197" t="str" cm="1">
        <f t="array" ref="K464">IFERROR(
IF($J$2="ELA",
IF(VLOOKUP($A464, YES_Reading_ELA[], COLUMN(YES_Reading_ELA[Self-Identified as African Descent]), FALSE)="", "",
VLOOKUP($A464,YES_Reading_ELA[], COLUMN(YES_Reading_ELA[Self-Identified as African Descent]), FALSE)),
IF($J$2="FLA",
IF(VLOOKUP($A464, YES_Reading_FLA[], COLUMN(YES_Reading_FLA[Self-Identified as African Descent]),FALSE)="","",
VLOOKUP($A464,YES_Reading_FLA[],COLUMN(YES_Reading_FLA[Self-Identified as African Descent]),FALSE)),
IF($J$2="Combined",
IFERROR(
IF(VLOOKUP($A464, YES_Reading_ELA[], COLUMN(YES_Reading_ELA[Self-Identified as African Descent]), FALSE)="", "",
VLOOKUP($A464,YES_Reading_ELA[],COLUMN(YES_Reading_ELA[Self-Identified as African Descent]),FALSE)),
IF(VLOOKUP($A464, YES_Reading_FLA[], COLUMN(YES_Reading_FLA[Self-Identified as African Descent]),FALSE)="", "", VLOOKUP($A464,YES_Reading_FLA[],COLUMN(YES_Reading_FLA[Self-Identified as African Descent]),FALSE))),""))),"")</f>
        <v/>
      </c>
      <c r="L464" s="73" t="str" cm="1">
        <f t="array" ref="L464">IFERROR(
IF($J$2="ELA",
IF(VLOOKUP($A464, YES_Reading_ELA[], COLUMN(YES_Reading_ELA[Self-Identified as Indigenous]), FALSE)="", "",
VLOOKUP($A464,YES_Reading_ELA[], COLUMN(YES_Reading_ELA[Self-Identified as Indigenous]), FALSE)),
IF($J$2="FLA",
IF(VLOOKUP($A464, YES_Reading_FLA[], COLUMN(YES_Reading_FLA[Self-Identified as Indigenous]),FALSE)="","",
VLOOKUP($A464,YES_Reading_FLA[],COLUMN(YES_Reading_FLA[Self-Identified as Indigenous]),FALSE)),
IF($J$2="Combined",
IFERROR(
IF(VLOOKUP($A464, YES_Reading_ELA[], COLUMN(YES_Reading_ELA[Self-Identified as Indigenous]), FALSE)="", "",
VLOOKUP($A464,YES_Reading_ELA[],COLUMN(YES_Reading_ELA[Self-Identified as Indigenous]),FALSE)),
IF(VLOOKUP($A464, YES_Reading_FLA[], COLUMN(YES_Reading_FLA[Self-Identified as Indigenous]),FALSE)="", "", VLOOKUP($A464,YES_Reading_FLA[],COLUMN(YES_Reading_FLA[Self-Identified as Indigenous]),FALSE))),""))),"")</f>
        <v/>
      </c>
    </row>
    <row r="465" spans="1:12" ht="19.5" customHeight="1" x14ac:dyDescent="0.25">
      <c r="A465" s="217"/>
      <c r="B465" s="220" t="str">
        <f>IFERROR(VLOOKUP(A465,_xlfn.VSTACK(YES_Reading_ELA[],YES_Reading_FLA[]),2,FALSE),"")</f>
        <v/>
      </c>
      <c r="C465" s="203" t="str" cm="1">
        <f t="array" aca="1" ref="C465" ca="1">IFERROR(
IF($J$2="ELA",
IF(VLOOKUP($A465, YES_Reading_ELA[], COLUMN(IF(VLOOKUP($D$2, 'Reading Report Logic'!$A$2:$B$8, 2, FALSE)=1, YES_Reading_ELA[Reading Level June of Previous School Year], INDIRECT("YES_Reading_ELA[Instructional Reading Level - Per "&amp;(VLOOKUP($D$2,'Reading Report Logic'!$A$2:$B$8,2,FALSE)-1)&amp;"]"))), FALSE)="", "",
VLOOKUP($A465,YES_Reading_ELA[], COLUMN(IF(VLOOKUP($D$2,'Reading Report Logic'!$A$2:$B$8,2,FALSE)=1, YES_Reading_ELA[Reading Level June of Previous School Year],INDIRECT("YES_Reading_ELA[Instructional Reading Level - Per "&amp;(VLOOKUP($D$2,'Reading Report Logic'!$A$2:$B$8,2,FALSE)-1)&amp;"]"))), FALSE)),
IF($J$2="FLA",
IF(VLOOKUP($A465, YES_Reading_FLA[], COLUMN(IF(VLOOKUP($D$2,'Reading Report Logic'!$A$2:$B$8,2,FALSE)=1, YES_Reading_FLA[Reading Level June of Previous School Year],INDIRECT("YES_Reading_FLA[Instructional Reading Level - Per "&amp;(VLOOKUP($D$2,'Reading Report Logic'!$A$2:$B$8,2,FALSE)-1)&amp;"]"))),FALSE)="","",
VLOOKUP($A465,YES_Reading_FLA[], COLUMN(IF(VLOOKUP($D$2,'Reading Report Logic'!$A$2:$B$8,2,FALSE)=1, YES_Reading_FLA[Reading Level June of Previous School Year],INDIRECT("YES_Reading_FLA[Instructional Reading Level - Per "&amp;(VLOOKUP($D$2,'Reading Report Logic'!$A$2:$B$8,2,FALSE)-1)&amp;"]"))),FALSE)),
IF($J$2="Combined",
IFERROR(
IF(VLOOKUP($A465, YES_Reading_ELA[], COLUMN(IF(VLOOKUP($D$2,'Reading Report Logic'!$A$2:$B$8,2,FALSE)=1, YES_Reading_ELA[Reading Level June of Previous School Year],INDIRECT("YES_Reading_ELA[Instructional Reading Level - Per "&amp;(VLOOKUP($D$2,'Reading Report Logic'!$A$2:$B$8,2,FALSE)-1)&amp;"]"))), FALSE)="", "",
VLOOKUP($A465,YES_Reading_ELA[],COLUMN(IF(VLOOKUP($D$2,'Reading Report Logic'!$A$2:$B$8,2,FALSE)=1, YES_Reading_ELA[Reading Level June of Previous School Year],INDIRECT("YES_Reading_ELA[Instructional Reading Level - Per "&amp;(VLOOKUP($D$2,'Reading Report Logic'!$A$2:$B$8,2,FALSE)-1)&amp;"]"))),FALSE)),
IF(VLOOKUP($A465, YES_Reading_FLA[], COLUMN(IF(VLOOKUP($D$2,'Reading Report Logic'!$A$2:$B$8,2,FALSE)=1, YES_Reading_FLA[Reading Level June of Previous School Year],INDIRECT("YES_Reading_FLA[Instructional Reading Level - Per "&amp;(VLOOKUP($D$2,'Reading Report Logic'!$A$2:$B$8,2,FALSE)-1)&amp;"]"))),FALSE)="", "", VLOOKUP($A465,YES_Reading_FLA[],COLUMN(IF(VLOOKUP($D$2,'Reading Report Logic'!$A$2:$B$8,2,FALSE)=1, YES_Reading_FLA[Reading Level June of Previous School Year],INDIRECT("YES_Reading_FLA[Instructional Reading Level - Per "&amp;(VLOOKUP($D$2,'Reading Report Logic'!$A$2:$B$8,2,FALSE)-1)&amp;"]"))), FALSE))),""))),"")</f>
        <v/>
      </c>
      <c r="D465" s="204" t="str" cm="1">
        <f t="array" aca="1" ref="D465" ca="1">IFERROR(
IF($J$2="ELA",
IF(VLOOKUP($A465, YES_Reading_ELA[], COLUMN(INDIRECT("YES_Reading_ELA[Instructional Reading Level - Per "&amp;VLOOKUP($D$2, 'Reading Report Logic'!$A$2:$B$8, 2, FALSE)&amp;"]")), FALSE)="", "",
VLOOKUP($A465,YES_Reading_ELA[], COLUMN(INDIRECT("YES_Reading_ELA[Instructional Reading Level - Per "&amp;VLOOKUP($D$2,'Reading Report Logic'!$A$2:$B$8,2,FALSE)&amp;"]")), FALSE)),
IF($J$2="FLA",
IF(VLOOKUP($A465, YES_Reading_FLA[], COLUMN(INDIRECT("YES_Reading_FLA[Instructional Reading Level - Per "&amp;VLOOKUP($D$2,'Reading Report Logic'!$A$2:$B$8,2,FALSE)&amp;"]")),FALSE)="","",
VLOOKUP($A465,YES_Reading_FLA[],COLUMN(INDIRECT("YES_Reading_FLA[Instructional Reading Level - Per "&amp;VLOOKUP($D$2,'Reading Report Logic'!$A$2:$B$8,2,FALSE)&amp;"]")),FALSE)),
IF($J$2="Combined",
IFERROR(
IF(VLOOKUP($A465, YES_Reading_ELA[], COLUMN(INDIRECT("YES_Reading_ELA[Instructional Reading Level - Per "&amp;VLOOKUP($D$2, 'Reading Report Logic'!$A$2:$B$8,2,FALSE)&amp;"]")), FALSE)="", "",
VLOOKUP($A465,YES_Reading_ELA[],COLUMN(INDIRECT("YES_Reading_ELA[Instructional Reading Level - Per "&amp;VLOOKUP($D$2,'Reading Report Logic'!$A$2:$B$8,2,FALSE)&amp;"]")),FALSE)),
IF(VLOOKUP($A465, YES_Reading_FLA[], COLUMN(INDIRECT("YES_Reading_FLA[Instructional Reading Level - Per "&amp;VLOOKUP($D$2, 'Reading Report Logic'!$A$2:$B$8, 2, FALSE)&amp;"]")),FALSE)="", "", VLOOKUP($A465,YES_Reading_FLA[],COLUMN(INDIRECT("YES_Reading_FLA[Instructional Reading Level - Per "&amp;VLOOKUP($D$2, 'Reading Report Logic'!$A$2:$B$8, 2, FALSE)&amp;"]")),FALSE))),""))),"")</f>
        <v/>
      </c>
      <c r="E465" s="205" t="str" cm="1">
        <f t="array" aca="1" ref="E465" ca="1">IFERROR(
IF($J$2="ELA",
IF(VLOOKUP($A465, YES_Reading_ELA[], COLUMN(INDIRECT("YES_Reading_ELA[Min Expectation - Per "&amp;VLOOKUP($D$2, 'Reading Report Logic'!$A$2:$B$8, 2, FALSE)&amp;"]")), FALSE)="", "",
VLOOKUP($A465,YES_Reading_ELA[], COLUMN(INDIRECT("YES_Reading_ELA[Min Expectation - Per "&amp;VLOOKUP($D$2,'Reading Report Logic'!$A$2:$B$8,2,FALSE)&amp;"]")), FALSE)),
IF($J$2="FLA",
IF(VLOOKUP($A465, YES_Reading_FLA[], COLUMN(INDIRECT("YES_Reading_FLA[Min Expectation - Per "&amp;VLOOKUP($D$2,'Reading Report Logic'!$A$2:$B$8,2,FALSE)&amp;"]")),FALSE)="","",
VLOOKUP($A465,YES_Reading_FLA[],COLUMN(INDIRECT("YES_Reading_FLA[Min Expectation - Per "&amp;VLOOKUP($D$2,'Reading Report Logic'!$A$2:$B$8,2,FALSE)&amp;"]")),FALSE)),
IF($J$2="Combined",
IFERROR(
IF(VLOOKUP($A465, YES_Reading_ELA[], COLUMN(INDIRECT("YES_Reading_ELA[Min Expectation - Per "&amp;VLOOKUP($D$2, 'Reading Report Logic'!$A$2:$B$8,2,FALSE)&amp;"]")), FALSE)="", "",
VLOOKUP($A465,YES_Reading_ELA[],COLUMN(INDIRECT("YES_Reading_ELA[Min Expectation - Per "&amp;VLOOKUP($D$2,'Reading Report Logic'!$A$2:$B$8,2,FALSE)&amp;"]")),FALSE)),
IF(VLOOKUP($A465, YES_Reading_FLA[], COLUMN(INDIRECT("YES_Reading_FLA[Min Expectation - Per "&amp;VLOOKUP($D$2, 'Reading Report Logic'!$A$2:$B$8, 2, FALSE)&amp;"]")),FALSE)="", "", VLOOKUP($A465,YES_Reading_FLA[],COLUMN(INDIRECT("YES_Reading_FLA[Min Expectation - Per "&amp;VLOOKUP($D$2, 'Reading Report Logic'!$A$2:$B$8, 2, FALSE)&amp;"]")),FALSE))),""))),"")</f>
        <v/>
      </c>
      <c r="F465" s="205" t="str" cm="1">
        <f t="array" aca="1" ref="F465" ca="1">IFERROR(
IF($J$2="ELA",
IF(VLOOKUP($A465, YES_Reading_ELA[], COLUMN(INDIRECT("YES_Reading_ELA[Max Expectation - Per "&amp;VLOOKUP($D$2, 'Reading Report Logic'!$A$2:$B$8, 2, FALSE)&amp;"]")), FALSE)="", "",
VLOOKUP($A465,YES_Reading_ELA[], COLUMN(INDIRECT("YES_Reading_ELA[Max Expectation - Per "&amp;VLOOKUP($D$2,'Reading Report Logic'!$A$2:$B$8,2,FALSE)&amp;"]")), FALSE)),
IF($J$2="FLA",
IF(VLOOKUP($A465, YES_Reading_FLA[], COLUMN(INDIRECT("YES_Reading_FLA[Max Expectation - Per "&amp;VLOOKUP($D$2,'Reading Report Logic'!$A$2:$B$8,2,FALSE)&amp;"]")),FALSE)="","",
VLOOKUP($A465,YES_Reading_FLA[],COLUMN(INDIRECT("YES_Reading_FLA[Max Expectation - Per "&amp;VLOOKUP($D$2,'Reading Report Logic'!$A$2:$B$8,2,FALSE)&amp;"]")),FALSE)),
IF($J$2="Combined",
IFERROR(
IF(VLOOKUP($A465, YES_Reading_ELA[], COLUMN(INDIRECT("YES_Reading_ELA[Max Expectation - Per "&amp;VLOOKUP($D$2, 'Reading Report Logic'!$A$2:$B$8,2,FALSE)&amp;"]")), FALSE)="", "",
VLOOKUP($A465,YES_Reading_ELA[],COLUMN(INDIRECT("YES_Reading_ELA[Max Expectation - Per "&amp;VLOOKUP($D$2,'Reading Report Logic'!$A$2:$B$8,2,FALSE)&amp;"]")),FALSE)),
IF(VLOOKUP($A465, YES_Reading_FLA[], COLUMN(INDIRECT("YES_Reading_FLA[Max Expectation - Per "&amp;VLOOKUP($D$2, 'Reading Report Logic'!$A$2:$B$8, 2, FALSE)&amp;"]")),FALSE)="", "", VLOOKUP($A465,YES_Reading_FLA[],COLUMN(INDIRECT("YES_Reading_FLA[Max Expectation - Per "&amp;VLOOKUP($D$2, 'Reading Report Logic'!$A$2:$B$8, 2, FALSE)&amp;"]")),FALSE))),""))),"")</f>
        <v/>
      </c>
      <c r="G465" s="205" t="str" cm="1">
        <f t="array" aca="1" ref="G465" ca="1">IFERROR(
IF($J$2="ELA",
IF(VLOOKUP($A465, YES_Reading_ELA[], COLUMN(INDIRECT("YES_Reading_ELA[Difference - Per "&amp;VLOOKUP($D$2, 'Reading Report Logic'!$A$2:$B$8, 2, FALSE)&amp;"]")), FALSE)="", "",
VLOOKUP($A465,YES_Reading_ELA[], COLUMN(INDIRECT("YES_Reading_ELA[Difference - Per "&amp;VLOOKUP($D$2,'Reading Report Logic'!$A$2:$B$8,2,FALSE)&amp;"]")), FALSE)),
IF($J$2="FLA",
IF(VLOOKUP($A465, YES_Reading_FLA[], COLUMN(INDIRECT("YES_Reading_FLA[Difference - Per "&amp;VLOOKUP($D$2,'Reading Report Logic'!$A$2:$B$8,2,FALSE)&amp;"]")),FALSE)="","",
VLOOKUP($A465,YES_Reading_FLA[],COLUMN(INDIRECT("YES_Reading_FLA[Difference - Per "&amp;VLOOKUP($D$2,'Reading Report Logic'!$A$2:$B$8,2,FALSE)&amp;"]")),FALSE)),
IF($J$2="Combined",
IFERROR(
IF(VLOOKUP($A465, YES_Reading_ELA[], COLUMN(INDIRECT("YES_Reading_ELA[Difference - Per "&amp;VLOOKUP($D$2, 'Reading Report Logic'!$A$2:$B$8,2,FALSE)&amp;"]")), FALSE)="", "",
VLOOKUP($A465,YES_Reading_ELA[],COLUMN(INDIRECT("YES_Reading_ELA[Difference - Per "&amp;VLOOKUP($D$2,'Reading Report Logic'!$A$2:$B$8,2,FALSE)&amp;"]")),FALSE)),
IF(VLOOKUP($A465, YES_Reading_FLA[], COLUMN(INDIRECT("YES_Reading_FLA[Difference - Per "&amp;VLOOKUP($D$2, 'Reading Report Logic'!$A$2:$B$8, 2, FALSE)&amp;"]")),FALSE)="", "", VLOOKUP($A465,YES_Reading_FLA[],COLUMN(INDIRECT("YES_Reading_FLA[Difference - Per "&amp;VLOOKUP($D$2, 'Reading Report Logic'!$A$2:$B$8, 2, FALSE)&amp;"]")),FALSE))),""))),"")</f>
        <v/>
      </c>
      <c r="H465" s="206" t="str">
        <f ca="1">IFERROR(VLOOKUP('Teacher Reading Pull Sheets'!$D465,_xlfn.VSTACK('ELA Reading Logic'!$A$22:$B$48,'FLA Reading Logic'!$A$22:$B$53),2,FALSE)-VLOOKUP('Teacher Reading Pull Sheets'!$C465,_xlfn.VSTACK('ELA Reading Logic'!$A$22:$B$48,'FLA Reading Logic'!$A$22:$B$53),2,FALSE),"")</f>
        <v/>
      </c>
      <c r="I465" s="212"/>
      <c r="J465" s="206"/>
      <c r="K465" s="197" t="str" cm="1">
        <f t="array" ref="K465">IFERROR(
IF($J$2="ELA",
IF(VLOOKUP($A465, YES_Reading_ELA[], COLUMN(YES_Reading_ELA[Self-Identified as African Descent]), FALSE)="", "",
VLOOKUP($A465,YES_Reading_ELA[], COLUMN(YES_Reading_ELA[Self-Identified as African Descent]), FALSE)),
IF($J$2="FLA",
IF(VLOOKUP($A465, YES_Reading_FLA[], COLUMN(YES_Reading_FLA[Self-Identified as African Descent]),FALSE)="","",
VLOOKUP($A465,YES_Reading_FLA[],COLUMN(YES_Reading_FLA[Self-Identified as African Descent]),FALSE)),
IF($J$2="Combined",
IFERROR(
IF(VLOOKUP($A465, YES_Reading_ELA[], COLUMN(YES_Reading_ELA[Self-Identified as African Descent]), FALSE)="", "",
VLOOKUP($A465,YES_Reading_ELA[],COLUMN(YES_Reading_ELA[Self-Identified as African Descent]),FALSE)),
IF(VLOOKUP($A465, YES_Reading_FLA[], COLUMN(YES_Reading_FLA[Self-Identified as African Descent]),FALSE)="", "", VLOOKUP($A465,YES_Reading_FLA[],COLUMN(YES_Reading_FLA[Self-Identified as African Descent]),FALSE))),""))),"")</f>
        <v/>
      </c>
      <c r="L465" s="73" t="str" cm="1">
        <f t="array" ref="L465">IFERROR(
IF($J$2="ELA",
IF(VLOOKUP($A465, YES_Reading_ELA[], COLUMN(YES_Reading_ELA[Self-Identified as Indigenous]), FALSE)="", "",
VLOOKUP($A465,YES_Reading_ELA[], COLUMN(YES_Reading_ELA[Self-Identified as Indigenous]), FALSE)),
IF($J$2="FLA",
IF(VLOOKUP($A465, YES_Reading_FLA[], COLUMN(YES_Reading_FLA[Self-Identified as Indigenous]),FALSE)="","",
VLOOKUP($A465,YES_Reading_FLA[],COLUMN(YES_Reading_FLA[Self-Identified as Indigenous]),FALSE)),
IF($J$2="Combined",
IFERROR(
IF(VLOOKUP($A465, YES_Reading_ELA[], COLUMN(YES_Reading_ELA[Self-Identified as Indigenous]), FALSE)="", "",
VLOOKUP($A465,YES_Reading_ELA[],COLUMN(YES_Reading_ELA[Self-Identified as Indigenous]),FALSE)),
IF(VLOOKUP($A465, YES_Reading_FLA[], COLUMN(YES_Reading_FLA[Self-Identified as Indigenous]),FALSE)="", "", VLOOKUP($A465,YES_Reading_FLA[],COLUMN(YES_Reading_FLA[Self-Identified as Indigenous]),FALSE))),""))),"")</f>
        <v/>
      </c>
    </row>
    <row r="466" spans="1:12" ht="19.5" customHeight="1" x14ac:dyDescent="0.25">
      <c r="A466" s="217"/>
      <c r="B466" s="220" t="str">
        <f>IFERROR(VLOOKUP(A466,_xlfn.VSTACK(YES_Reading_ELA[],YES_Reading_FLA[]),2,FALSE),"")</f>
        <v/>
      </c>
      <c r="C466" s="203" t="str" cm="1">
        <f t="array" aca="1" ref="C466" ca="1">IFERROR(
IF($J$2="ELA",
IF(VLOOKUP($A466, YES_Reading_ELA[], COLUMN(IF(VLOOKUP($D$2, 'Reading Report Logic'!$A$2:$B$8, 2, FALSE)=1, YES_Reading_ELA[Reading Level June of Previous School Year], INDIRECT("YES_Reading_ELA[Instructional Reading Level - Per "&amp;(VLOOKUP($D$2,'Reading Report Logic'!$A$2:$B$8,2,FALSE)-1)&amp;"]"))), FALSE)="", "",
VLOOKUP($A466,YES_Reading_ELA[], COLUMN(IF(VLOOKUP($D$2,'Reading Report Logic'!$A$2:$B$8,2,FALSE)=1, YES_Reading_ELA[Reading Level June of Previous School Year],INDIRECT("YES_Reading_ELA[Instructional Reading Level - Per "&amp;(VLOOKUP($D$2,'Reading Report Logic'!$A$2:$B$8,2,FALSE)-1)&amp;"]"))), FALSE)),
IF($J$2="FLA",
IF(VLOOKUP($A466, YES_Reading_FLA[], COLUMN(IF(VLOOKUP($D$2,'Reading Report Logic'!$A$2:$B$8,2,FALSE)=1, YES_Reading_FLA[Reading Level June of Previous School Year],INDIRECT("YES_Reading_FLA[Instructional Reading Level - Per "&amp;(VLOOKUP($D$2,'Reading Report Logic'!$A$2:$B$8,2,FALSE)-1)&amp;"]"))),FALSE)="","",
VLOOKUP($A466,YES_Reading_FLA[], COLUMN(IF(VLOOKUP($D$2,'Reading Report Logic'!$A$2:$B$8,2,FALSE)=1, YES_Reading_FLA[Reading Level June of Previous School Year],INDIRECT("YES_Reading_FLA[Instructional Reading Level - Per "&amp;(VLOOKUP($D$2,'Reading Report Logic'!$A$2:$B$8,2,FALSE)-1)&amp;"]"))),FALSE)),
IF($J$2="Combined",
IFERROR(
IF(VLOOKUP($A466, YES_Reading_ELA[], COLUMN(IF(VLOOKUP($D$2,'Reading Report Logic'!$A$2:$B$8,2,FALSE)=1, YES_Reading_ELA[Reading Level June of Previous School Year],INDIRECT("YES_Reading_ELA[Instructional Reading Level - Per "&amp;(VLOOKUP($D$2,'Reading Report Logic'!$A$2:$B$8,2,FALSE)-1)&amp;"]"))), FALSE)="", "",
VLOOKUP($A466,YES_Reading_ELA[],COLUMN(IF(VLOOKUP($D$2,'Reading Report Logic'!$A$2:$B$8,2,FALSE)=1, YES_Reading_ELA[Reading Level June of Previous School Year],INDIRECT("YES_Reading_ELA[Instructional Reading Level - Per "&amp;(VLOOKUP($D$2,'Reading Report Logic'!$A$2:$B$8,2,FALSE)-1)&amp;"]"))),FALSE)),
IF(VLOOKUP($A466, YES_Reading_FLA[], COLUMN(IF(VLOOKUP($D$2,'Reading Report Logic'!$A$2:$B$8,2,FALSE)=1, YES_Reading_FLA[Reading Level June of Previous School Year],INDIRECT("YES_Reading_FLA[Instructional Reading Level - Per "&amp;(VLOOKUP($D$2,'Reading Report Logic'!$A$2:$B$8,2,FALSE)-1)&amp;"]"))),FALSE)="", "", VLOOKUP($A466,YES_Reading_FLA[],COLUMN(IF(VLOOKUP($D$2,'Reading Report Logic'!$A$2:$B$8,2,FALSE)=1, YES_Reading_FLA[Reading Level June of Previous School Year],INDIRECT("YES_Reading_FLA[Instructional Reading Level - Per "&amp;(VLOOKUP($D$2,'Reading Report Logic'!$A$2:$B$8,2,FALSE)-1)&amp;"]"))), FALSE))),""))),"")</f>
        <v/>
      </c>
      <c r="D466" s="204" t="str" cm="1">
        <f t="array" aca="1" ref="D466" ca="1">IFERROR(
IF($J$2="ELA",
IF(VLOOKUP($A466, YES_Reading_ELA[], COLUMN(INDIRECT("YES_Reading_ELA[Instructional Reading Level - Per "&amp;VLOOKUP($D$2, 'Reading Report Logic'!$A$2:$B$8, 2, FALSE)&amp;"]")), FALSE)="", "",
VLOOKUP($A466,YES_Reading_ELA[], COLUMN(INDIRECT("YES_Reading_ELA[Instructional Reading Level - Per "&amp;VLOOKUP($D$2,'Reading Report Logic'!$A$2:$B$8,2,FALSE)&amp;"]")), FALSE)),
IF($J$2="FLA",
IF(VLOOKUP($A466, YES_Reading_FLA[], COLUMN(INDIRECT("YES_Reading_FLA[Instructional Reading Level - Per "&amp;VLOOKUP($D$2,'Reading Report Logic'!$A$2:$B$8,2,FALSE)&amp;"]")),FALSE)="","",
VLOOKUP($A466,YES_Reading_FLA[],COLUMN(INDIRECT("YES_Reading_FLA[Instructional Reading Level - Per "&amp;VLOOKUP($D$2,'Reading Report Logic'!$A$2:$B$8,2,FALSE)&amp;"]")),FALSE)),
IF($J$2="Combined",
IFERROR(
IF(VLOOKUP($A466, YES_Reading_ELA[], COLUMN(INDIRECT("YES_Reading_ELA[Instructional Reading Level - Per "&amp;VLOOKUP($D$2, 'Reading Report Logic'!$A$2:$B$8,2,FALSE)&amp;"]")), FALSE)="", "",
VLOOKUP($A466,YES_Reading_ELA[],COLUMN(INDIRECT("YES_Reading_ELA[Instructional Reading Level - Per "&amp;VLOOKUP($D$2,'Reading Report Logic'!$A$2:$B$8,2,FALSE)&amp;"]")),FALSE)),
IF(VLOOKUP($A466, YES_Reading_FLA[], COLUMN(INDIRECT("YES_Reading_FLA[Instructional Reading Level - Per "&amp;VLOOKUP($D$2, 'Reading Report Logic'!$A$2:$B$8, 2, FALSE)&amp;"]")),FALSE)="", "", VLOOKUP($A466,YES_Reading_FLA[],COLUMN(INDIRECT("YES_Reading_FLA[Instructional Reading Level - Per "&amp;VLOOKUP($D$2, 'Reading Report Logic'!$A$2:$B$8, 2, FALSE)&amp;"]")),FALSE))),""))),"")</f>
        <v/>
      </c>
      <c r="E466" s="205" t="str" cm="1">
        <f t="array" aca="1" ref="E466" ca="1">IFERROR(
IF($J$2="ELA",
IF(VLOOKUP($A466, YES_Reading_ELA[], COLUMN(INDIRECT("YES_Reading_ELA[Min Expectation - Per "&amp;VLOOKUP($D$2, 'Reading Report Logic'!$A$2:$B$8, 2, FALSE)&amp;"]")), FALSE)="", "",
VLOOKUP($A466,YES_Reading_ELA[], COLUMN(INDIRECT("YES_Reading_ELA[Min Expectation - Per "&amp;VLOOKUP($D$2,'Reading Report Logic'!$A$2:$B$8,2,FALSE)&amp;"]")), FALSE)),
IF($J$2="FLA",
IF(VLOOKUP($A466, YES_Reading_FLA[], COLUMN(INDIRECT("YES_Reading_FLA[Min Expectation - Per "&amp;VLOOKUP($D$2,'Reading Report Logic'!$A$2:$B$8,2,FALSE)&amp;"]")),FALSE)="","",
VLOOKUP($A466,YES_Reading_FLA[],COLUMN(INDIRECT("YES_Reading_FLA[Min Expectation - Per "&amp;VLOOKUP($D$2,'Reading Report Logic'!$A$2:$B$8,2,FALSE)&amp;"]")),FALSE)),
IF($J$2="Combined",
IFERROR(
IF(VLOOKUP($A466, YES_Reading_ELA[], COLUMN(INDIRECT("YES_Reading_ELA[Min Expectation - Per "&amp;VLOOKUP($D$2, 'Reading Report Logic'!$A$2:$B$8,2,FALSE)&amp;"]")), FALSE)="", "",
VLOOKUP($A466,YES_Reading_ELA[],COLUMN(INDIRECT("YES_Reading_ELA[Min Expectation - Per "&amp;VLOOKUP($D$2,'Reading Report Logic'!$A$2:$B$8,2,FALSE)&amp;"]")),FALSE)),
IF(VLOOKUP($A466, YES_Reading_FLA[], COLUMN(INDIRECT("YES_Reading_FLA[Min Expectation - Per "&amp;VLOOKUP($D$2, 'Reading Report Logic'!$A$2:$B$8, 2, FALSE)&amp;"]")),FALSE)="", "", VLOOKUP($A466,YES_Reading_FLA[],COLUMN(INDIRECT("YES_Reading_FLA[Min Expectation - Per "&amp;VLOOKUP($D$2, 'Reading Report Logic'!$A$2:$B$8, 2, FALSE)&amp;"]")),FALSE))),""))),"")</f>
        <v/>
      </c>
      <c r="F466" s="205" t="str" cm="1">
        <f t="array" aca="1" ref="F466" ca="1">IFERROR(
IF($J$2="ELA",
IF(VLOOKUP($A466, YES_Reading_ELA[], COLUMN(INDIRECT("YES_Reading_ELA[Max Expectation - Per "&amp;VLOOKUP($D$2, 'Reading Report Logic'!$A$2:$B$8, 2, FALSE)&amp;"]")), FALSE)="", "",
VLOOKUP($A466,YES_Reading_ELA[], COLUMN(INDIRECT("YES_Reading_ELA[Max Expectation - Per "&amp;VLOOKUP($D$2,'Reading Report Logic'!$A$2:$B$8,2,FALSE)&amp;"]")), FALSE)),
IF($J$2="FLA",
IF(VLOOKUP($A466, YES_Reading_FLA[], COLUMN(INDIRECT("YES_Reading_FLA[Max Expectation - Per "&amp;VLOOKUP($D$2,'Reading Report Logic'!$A$2:$B$8,2,FALSE)&amp;"]")),FALSE)="","",
VLOOKUP($A466,YES_Reading_FLA[],COLUMN(INDIRECT("YES_Reading_FLA[Max Expectation - Per "&amp;VLOOKUP($D$2,'Reading Report Logic'!$A$2:$B$8,2,FALSE)&amp;"]")),FALSE)),
IF($J$2="Combined",
IFERROR(
IF(VLOOKUP($A466, YES_Reading_ELA[], COLUMN(INDIRECT("YES_Reading_ELA[Max Expectation - Per "&amp;VLOOKUP($D$2, 'Reading Report Logic'!$A$2:$B$8,2,FALSE)&amp;"]")), FALSE)="", "",
VLOOKUP($A466,YES_Reading_ELA[],COLUMN(INDIRECT("YES_Reading_ELA[Max Expectation - Per "&amp;VLOOKUP($D$2,'Reading Report Logic'!$A$2:$B$8,2,FALSE)&amp;"]")),FALSE)),
IF(VLOOKUP($A466, YES_Reading_FLA[], COLUMN(INDIRECT("YES_Reading_FLA[Max Expectation - Per "&amp;VLOOKUP($D$2, 'Reading Report Logic'!$A$2:$B$8, 2, FALSE)&amp;"]")),FALSE)="", "", VLOOKUP($A466,YES_Reading_FLA[],COLUMN(INDIRECT("YES_Reading_FLA[Max Expectation - Per "&amp;VLOOKUP($D$2, 'Reading Report Logic'!$A$2:$B$8, 2, FALSE)&amp;"]")),FALSE))),""))),"")</f>
        <v/>
      </c>
      <c r="G466" s="205" t="str" cm="1">
        <f t="array" aca="1" ref="G466" ca="1">IFERROR(
IF($J$2="ELA",
IF(VLOOKUP($A466, YES_Reading_ELA[], COLUMN(INDIRECT("YES_Reading_ELA[Difference - Per "&amp;VLOOKUP($D$2, 'Reading Report Logic'!$A$2:$B$8, 2, FALSE)&amp;"]")), FALSE)="", "",
VLOOKUP($A466,YES_Reading_ELA[], COLUMN(INDIRECT("YES_Reading_ELA[Difference - Per "&amp;VLOOKUP($D$2,'Reading Report Logic'!$A$2:$B$8,2,FALSE)&amp;"]")), FALSE)),
IF($J$2="FLA",
IF(VLOOKUP($A466, YES_Reading_FLA[], COLUMN(INDIRECT("YES_Reading_FLA[Difference - Per "&amp;VLOOKUP($D$2,'Reading Report Logic'!$A$2:$B$8,2,FALSE)&amp;"]")),FALSE)="","",
VLOOKUP($A466,YES_Reading_FLA[],COLUMN(INDIRECT("YES_Reading_FLA[Difference - Per "&amp;VLOOKUP($D$2,'Reading Report Logic'!$A$2:$B$8,2,FALSE)&amp;"]")),FALSE)),
IF($J$2="Combined",
IFERROR(
IF(VLOOKUP($A466, YES_Reading_ELA[], COLUMN(INDIRECT("YES_Reading_ELA[Difference - Per "&amp;VLOOKUP($D$2, 'Reading Report Logic'!$A$2:$B$8,2,FALSE)&amp;"]")), FALSE)="", "",
VLOOKUP($A466,YES_Reading_ELA[],COLUMN(INDIRECT("YES_Reading_ELA[Difference - Per "&amp;VLOOKUP($D$2,'Reading Report Logic'!$A$2:$B$8,2,FALSE)&amp;"]")),FALSE)),
IF(VLOOKUP($A466, YES_Reading_FLA[], COLUMN(INDIRECT("YES_Reading_FLA[Difference - Per "&amp;VLOOKUP($D$2, 'Reading Report Logic'!$A$2:$B$8, 2, FALSE)&amp;"]")),FALSE)="", "", VLOOKUP($A466,YES_Reading_FLA[],COLUMN(INDIRECT("YES_Reading_FLA[Difference - Per "&amp;VLOOKUP($D$2, 'Reading Report Logic'!$A$2:$B$8, 2, FALSE)&amp;"]")),FALSE))),""))),"")</f>
        <v/>
      </c>
      <c r="H466" s="206" t="str">
        <f ca="1">IFERROR(VLOOKUP('Teacher Reading Pull Sheets'!$D466,_xlfn.VSTACK('ELA Reading Logic'!$A$22:$B$48,'FLA Reading Logic'!$A$22:$B$53),2,FALSE)-VLOOKUP('Teacher Reading Pull Sheets'!$C466,_xlfn.VSTACK('ELA Reading Logic'!$A$22:$B$48,'FLA Reading Logic'!$A$22:$B$53),2,FALSE),"")</f>
        <v/>
      </c>
      <c r="I466" s="212"/>
      <c r="J466" s="206"/>
      <c r="K466" s="197" t="str" cm="1">
        <f t="array" ref="K466">IFERROR(
IF($J$2="ELA",
IF(VLOOKUP($A466, YES_Reading_ELA[], COLUMN(YES_Reading_ELA[Self-Identified as African Descent]), FALSE)="", "",
VLOOKUP($A466,YES_Reading_ELA[], COLUMN(YES_Reading_ELA[Self-Identified as African Descent]), FALSE)),
IF($J$2="FLA",
IF(VLOOKUP($A466, YES_Reading_FLA[], COLUMN(YES_Reading_FLA[Self-Identified as African Descent]),FALSE)="","",
VLOOKUP($A466,YES_Reading_FLA[],COLUMN(YES_Reading_FLA[Self-Identified as African Descent]),FALSE)),
IF($J$2="Combined",
IFERROR(
IF(VLOOKUP($A466, YES_Reading_ELA[], COLUMN(YES_Reading_ELA[Self-Identified as African Descent]), FALSE)="", "",
VLOOKUP($A466,YES_Reading_ELA[],COLUMN(YES_Reading_ELA[Self-Identified as African Descent]),FALSE)),
IF(VLOOKUP($A466, YES_Reading_FLA[], COLUMN(YES_Reading_FLA[Self-Identified as African Descent]),FALSE)="", "", VLOOKUP($A466,YES_Reading_FLA[],COLUMN(YES_Reading_FLA[Self-Identified as African Descent]),FALSE))),""))),"")</f>
        <v/>
      </c>
      <c r="L466" s="73" t="str" cm="1">
        <f t="array" ref="L466">IFERROR(
IF($J$2="ELA",
IF(VLOOKUP($A466, YES_Reading_ELA[], COLUMN(YES_Reading_ELA[Self-Identified as Indigenous]), FALSE)="", "",
VLOOKUP($A466,YES_Reading_ELA[], COLUMN(YES_Reading_ELA[Self-Identified as Indigenous]), FALSE)),
IF($J$2="FLA",
IF(VLOOKUP($A466, YES_Reading_FLA[], COLUMN(YES_Reading_FLA[Self-Identified as Indigenous]),FALSE)="","",
VLOOKUP($A466,YES_Reading_FLA[],COLUMN(YES_Reading_FLA[Self-Identified as Indigenous]),FALSE)),
IF($J$2="Combined",
IFERROR(
IF(VLOOKUP($A466, YES_Reading_ELA[], COLUMN(YES_Reading_ELA[Self-Identified as Indigenous]), FALSE)="", "",
VLOOKUP($A466,YES_Reading_ELA[],COLUMN(YES_Reading_ELA[Self-Identified as Indigenous]),FALSE)),
IF(VLOOKUP($A466, YES_Reading_FLA[], COLUMN(YES_Reading_FLA[Self-Identified as Indigenous]),FALSE)="", "", VLOOKUP($A466,YES_Reading_FLA[],COLUMN(YES_Reading_FLA[Self-Identified as Indigenous]),FALSE))),""))),"")</f>
        <v/>
      </c>
    </row>
    <row r="467" spans="1:12" ht="19.5" customHeight="1" x14ac:dyDescent="0.25">
      <c r="A467" s="217"/>
      <c r="B467" s="220" t="str">
        <f>IFERROR(VLOOKUP(A467,_xlfn.VSTACK(YES_Reading_ELA[],YES_Reading_FLA[]),2,FALSE),"")</f>
        <v/>
      </c>
      <c r="C467" s="203" t="str" cm="1">
        <f t="array" aca="1" ref="C467" ca="1">IFERROR(
IF($J$2="ELA",
IF(VLOOKUP($A467, YES_Reading_ELA[], COLUMN(IF(VLOOKUP($D$2, 'Reading Report Logic'!$A$2:$B$8, 2, FALSE)=1, YES_Reading_ELA[Reading Level June of Previous School Year], INDIRECT("YES_Reading_ELA[Instructional Reading Level - Per "&amp;(VLOOKUP($D$2,'Reading Report Logic'!$A$2:$B$8,2,FALSE)-1)&amp;"]"))), FALSE)="", "",
VLOOKUP($A467,YES_Reading_ELA[], COLUMN(IF(VLOOKUP($D$2,'Reading Report Logic'!$A$2:$B$8,2,FALSE)=1, YES_Reading_ELA[Reading Level June of Previous School Year],INDIRECT("YES_Reading_ELA[Instructional Reading Level - Per "&amp;(VLOOKUP($D$2,'Reading Report Logic'!$A$2:$B$8,2,FALSE)-1)&amp;"]"))), FALSE)),
IF($J$2="FLA",
IF(VLOOKUP($A467, YES_Reading_FLA[], COLUMN(IF(VLOOKUP($D$2,'Reading Report Logic'!$A$2:$B$8,2,FALSE)=1, YES_Reading_FLA[Reading Level June of Previous School Year],INDIRECT("YES_Reading_FLA[Instructional Reading Level - Per "&amp;(VLOOKUP($D$2,'Reading Report Logic'!$A$2:$B$8,2,FALSE)-1)&amp;"]"))),FALSE)="","",
VLOOKUP($A467,YES_Reading_FLA[], COLUMN(IF(VLOOKUP($D$2,'Reading Report Logic'!$A$2:$B$8,2,FALSE)=1, YES_Reading_FLA[Reading Level June of Previous School Year],INDIRECT("YES_Reading_FLA[Instructional Reading Level - Per "&amp;(VLOOKUP($D$2,'Reading Report Logic'!$A$2:$B$8,2,FALSE)-1)&amp;"]"))),FALSE)),
IF($J$2="Combined",
IFERROR(
IF(VLOOKUP($A467, YES_Reading_ELA[], COLUMN(IF(VLOOKUP($D$2,'Reading Report Logic'!$A$2:$B$8,2,FALSE)=1, YES_Reading_ELA[Reading Level June of Previous School Year],INDIRECT("YES_Reading_ELA[Instructional Reading Level - Per "&amp;(VLOOKUP($D$2,'Reading Report Logic'!$A$2:$B$8,2,FALSE)-1)&amp;"]"))), FALSE)="", "",
VLOOKUP($A467,YES_Reading_ELA[],COLUMN(IF(VLOOKUP($D$2,'Reading Report Logic'!$A$2:$B$8,2,FALSE)=1, YES_Reading_ELA[Reading Level June of Previous School Year],INDIRECT("YES_Reading_ELA[Instructional Reading Level - Per "&amp;(VLOOKUP($D$2,'Reading Report Logic'!$A$2:$B$8,2,FALSE)-1)&amp;"]"))),FALSE)),
IF(VLOOKUP($A467, YES_Reading_FLA[], COLUMN(IF(VLOOKUP($D$2,'Reading Report Logic'!$A$2:$B$8,2,FALSE)=1, YES_Reading_FLA[Reading Level June of Previous School Year],INDIRECT("YES_Reading_FLA[Instructional Reading Level - Per "&amp;(VLOOKUP($D$2,'Reading Report Logic'!$A$2:$B$8,2,FALSE)-1)&amp;"]"))),FALSE)="", "", VLOOKUP($A467,YES_Reading_FLA[],COLUMN(IF(VLOOKUP($D$2,'Reading Report Logic'!$A$2:$B$8,2,FALSE)=1, YES_Reading_FLA[Reading Level June of Previous School Year],INDIRECT("YES_Reading_FLA[Instructional Reading Level - Per "&amp;(VLOOKUP($D$2,'Reading Report Logic'!$A$2:$B$8,2,FALSE)-1)&amp;"]"))), FALSE))),""))),"")</f>
        <v/>
      </c>
      <c r="D467" s="204" t="str" cm="1">
        <f t="array" aca="1" ref="D467" ca="1">IFERROR(
IF($J$2="ELA",
IF(VLOOKUP($A467, YES_Reading_ELA[], COLUMN(INDIRECT("YES_Reading_ELA[Instructional Reading Level - Per "&amp;VLOOKUP($D$2, 'Reading Report Logic'!$A$2:$B$8, 2, FALSE)&amp;"]")), FALSE)="", "",
VLOOKUP($A467,YES_Reading_ELA[], COLUMN(INDIRECT("YES_Reading_ELA[Instructional Reading Level - Per "&amp;VLOOKUP($D$2,'Reading Report Logic'!$A$2:$B$8,2,FALSE)&amp;"]")), FALSE)),
IF($J$2="FLA",
IF(VLOOKUP($A467, YES_Reading_FLA[], COLUMN(INDIRECT("YES_Reading_FLA[Instructional Reading Level - Per "&amp;VLOOKUP($D$2,'Reading Report Logic'!$A$2:$B$8,2,FALSE)&amp;"]")),FALSE)="","",
VLOOKUP($A467,YES_Reading_FLA[],COLUMN(INDIRECT("YES_Reading_FLA[Instructional Reading Level - Per "&amp;VLOOKUP($D$2,'Reading Report Logic'!$A$2:$B$8,2,FALSE)&amp;"]")),FALSE)),
IF($J$2="Combined",
IFERROR(
IF(VLOOKUP($A467, YES_Reading_ELA[], COLUMN(INDIRECT("YES_Reading_ELA[Instructional Reading Level - Per "&amp;VLOOKUP($D$2, 'Reading Report Logic'!$A$2:$B$8,2,FALSE)&amp;"]")), FALSE)="", "",
VLOOKUP($A467,YES_Reading_ELA[],COLUMN(INDIRECT("YES_Reading_ELA[Instructional Reading Level - Per "&amp;VLOOKUP($D$2,'Reading Report Logic'!$A$2:$B$8,2,FALSE)&amp;"]")),FALSE)),
IF(VLOOKUP($A467, YES_Reading_FLA[], COLUMN(INDIRECT("YES_Reading_FLA[Instructional Reading Level - Per "&amp;VLOOKUP($D$2, 'Reading Report Logic'!$A$2:$B$8, 2, FALSE)&amp;"]")),FALSE)="", "", VLOOKUP($A467,YES_Reading_FLA[],COLUMN(INDIRECT("YES_Reading_FLA[Instructional Reading Level - Per "&amp;VLOOKUP($D$2, 'Reading Report Logic'!$A$2:$B$8, 2, FALSE)&amp;"]")),FALSE))),""))),"")</f>
        <v/>
      </c>
      <c r="E467" s="205" t="str" cm="1">
        <f t="array" aca="1" ref="E467" ca="1">IFERROR(
IF($J$2="ELA",
IF(VLOOKUP($A467, YES_Reading_ELA[], COLUMN(INDIRECT("YES_Reading_ELA[Min Expectation - Per "&amp;VLOOKUP($D$2, 'Reading Report Logic'!$A$2:$B$8, 2, FALSE)&amp;"]")), FALSE)="", "",
VLOOKUP($A467,YES_Reading_ELA[], COLUMN(INDIRECT("YES_Reading_ELA[Min Expectation - Per "&amp;VLOOKUP($D$2,'Reading Report Logic'!$A$2:$B$8,2,FALSE)&amp;"]")), FALSE)),
IF($J$2="FLA",
IF(VLOOKUP($A467, YES_Reading_FLA[], COLUMN(INDIRECT("YES_Reading_FLA[Min Expectation - Per "&amp;VLOOKUP($D$2,'Reading Report Logic'!$A$2:$B$8,2,FALSE)&amp;"]")),FALSE)="","",
VLOOKUP($A467,YES_Reading_FLA[],COLUMN(INDIRECT("YES_Reading_FLA[Min Expectation - Per "&amp;VLOOKUP($D$2,'Reading Report Logic'!$A$2:$B$8,2,FALSE)&amp;"]")),FALSE)),
IF($J$2="Combined",
IFERROR(
IF(VLOOKUP($A467, YES_Reading_ELA[], COLUMN(INDIRECT("YES_Reading_ELA[Min Expectation - Per "&amp;VLOOKUP($D$2, 'Reading Report Logic'!$A$2:$B$8,2,FALSE)&amp;"]")), FALSE)="", "",
VLOOKUP($A467,YES_Reading_ELA[],COLUMN(INDIRECT("YES_Reading_ELA[Min Expectation - Per "&amp;VLOOKUP($D$2,'Reading Report Logic'!$A$2:$B$8,2,FALSE)&amp;"]")),FALSE)),
IF(VLOOKUP($A467, YES_Reading_FLA[], COLUMN(INDIRECT("YES_Reading_FLA[Min Expectation - Per "&amp;VLOOKUP($D$2, 'Reading Report Logic'!$A$2:$B$8, 2, FALSE)&amp;"]")),FALSE)="", "", VLOOKUP($A467,YES_Reading_FLA[],COLUMN(INDIRECT("YES_Reading_FLA[Min Expectation - Per "&amp;VLOOKUP($D$2, 'Reading Report Logic'!$A$2:$B$8, 2, FALSE)&amp;"]")),FALSE))),""))),"")</f>
        <v/>
      </c>
      <c r="F467" s="205" t="str" cm="1">
        <f t="array" aca="1" ref="F467" ca="1">IFERROR(
IF($J$2="ELA",
IF(VLOOKUP($A467, YES_Reading_ELA[], COLUMN(INDIRECT("YES_Reading_ELA[Max Expectation - Per "&amp;VLOOKUP($D$2, 'Reading Report Logic'!$A$2:$B$8, 2, FALSE)&amp;"]")), FALSE)="", "",
VLOOKUP($A467,YES_Reading_ELA[], COLUMN(INDIRECT("YES_Reading_ELA[Max Expectation - Per "&amp;VLOOKUP($D$2,'Reading Report Logic'!$A$2:$B$8,2,FALSE)&amp;"]")), FALSE)),
IF($J$2="FLA",
IF(VLOOKUP($A467, YES_Reading_FLA[], COLUMN(INDIRECT("YES_Reading_FLA[Max Expectation - Per "&amp;VLOOKUP($D$2,'Reading Report Logic'!$A$2:$B$8,2,FALSE)&amp;"]")),FALSE)="","",
VLOOKUP($A467,YES_Reading_FLA[],COLUMN(INDIRECT("YES_Reading_FLA[Max Expectation - Per "&amp;VLOOKUP($D$2,'Reading Report Logic'!$A$2:$B$8,2,FALSE)&amp;"]")),FALSE)),
IF($J$2="Combined",
IFERROR(
IF(VLOOKUP($A467, YES_Reading_ELA[], COLUMN(INDIRECT("YES_Reading_ELA[Max Expectation - Per "&amp;VLOOKUP($D$2, 'Reading Report Logic'!$A$2:$B$8,2,FALSE)&amp;"]")), FALSE)="", "",
VLOOKUP($A467,YES_Reading_ELA[],COLUMN(INDIRECT("YES_Reading_ELA[Max Expectation - Per "&amp;VLOOKUP($D$2,'Reading Report Logic'!$A$2:$B$8,2,FALSE)&amp;"]")),FALSE)),
IF(VLOOKUP($A467, YES_Reading_FLA[], COLUMN(INDIRECT("YES_Reading_FLA[Max Expectation - Per "&amp;VLOOKUP($D$2, 'Reading Report Logic'!$A$2:$B$8, 2, FALSE)&amp;"]")),FALSE)="", "", VLOOKUP($A467,YES_Reading_FLA[],COLUMN(INDIRECT("YES_Reading_FLA[Max Expectation - Per "&amp;VLOOKUP($D$2, 'Reading Report Logic'!$A$2:$B$8, 2, FALSE)&amp;"]")),FALSE))),""))),"")</f>
        <v/>
      </c>
      <c r="G467" s="205" t="str" cm="1">
        <f t="array" aca="1" ref="G467" ca="1">IFERROR(
IF($J$2="ELA",
IF(VLOOKUP($A467, YES_Reading_ELA[], COLUMN(INDIRECT("YES_Reading_ELA[Difference - Per "&amp;VLOOKUP($D$2, 'Reading Report Logic'!$A$2:$B$8, 2, FALSE)&amp;"]")), FALSE)="", "",
VLOOKUP($A467,YES_Reading_ELA[], COLUMN(INDIRECT("YES_Reading_ELA[Difference - Per "&amp;VLOOKUP($D$2,'Reading Report Logic'!$A$2:$B$8,2,FALSE)&amp;"]")), FALSE)),
IF($J$2="FLA",
IF(VLOOKUP($A467, YES_Reading_FLA[], COLUMN(INDIRECT("YES_Reading_FLA[Difference - Per "&amp;VLOOKUP($D$2,'Reading Report Logic'!$A$2:$B$8,2,FALSE)&amp;"]")),FALSE)="","",
VLOOKUP($A467,YES_Reading_FLA[],COLUMN(INDIRECT("YES_Reading_FLA[Difference - Per "&amp;VLOOKUP($D$2,'Reading Report Logic'!$A$2:$B$8,2,FALSE)&amp;"]")),FALSE)),
IF($J$2="Combined",
IFERROR(
IF(VLOOKUP($A467, YES_Reading_ELA[], COLUMN(INDIRECT("YES_Reading_ELA[Difference - Per "&amp;VLOOKUP($D$2, 'Reading Report Logic'!$A$2:$B$8,2,FALSE)&amp;"]")), FALSE)="", "",
VLOOKUP($A467,YES_Reading_ELA[],COLUMN(INDIRECT("YES_Reading_ELA[Difference - Per "&amp;VLOOKUP($D$2,'Reading Report Logic'!$A$2:$B$8,2,FALSE)&amp;"]")),FALSE)),
IF(VLOOKUP($A467, YES_Reading_FLA[], COLUMN(INDIRECT("YES_Reading_FLA[Difference - Per "&amp;VLOOKUP($D$2, 'Reading Report Logic'!$A$2:$B$8, 2, FALSE)&amp;"]")),FALSE)="", "", VLOOKUP($A467,YES_Reading_FLA[],COLUMN(INDIRECT("YES_Reading_FLA[Difference - Per "&amp;VLOOKUP($D$2, 'Reading Report Logic'!$A$2:$B$8, 2, FALSE)&amp;"]")),FALSE))),""))),"")</f>
        <v/>
      </c>
      <c r="H467" s="206" t="str">
        <f ca="1">IFERROR(VLOOKUP('Teacher Reading Pull Sheets'!$D467,_xlfn.VSTACK('ELA Reading Logic'!$A$22:$B$48,'FLA Reading Logic'!$A$22:$B$53),2,FALSE)-VLOOKUP('Teacher Reading Pull Sheets'!$C467,_xlfn.VSTACK('ELA Reading Logic'!$A$22:$B$48,'FLA Reading Logic'!$A$22:$B$53),2,FALSE),"")</f>
        <v/>
      </c>
      <c r="I467" s="212"/>
      <c r="J467" s="206"/>
      <c r="K467" s="197" t="str" cm="1">
        <f t="array" ref="K467">IFERROR(
IF($J$2="ELA",
IF(VLOOKUP($A467, YES_Reading_ELA[], COLUMN(YES_Reading_ELA[Self-Identified as African Descent]), FALSE)="", "",
VLOOKUP($A467,YES_Reading_ELA[], COLUMN(YES_Reading_ELA[Self-Identified as African Descent]), FALSE)),
IF($J$2="FLA",
IF(VLOOKUP($A467, YES_Reading_FLA[], COLUMN(YES_Reading_FLA[Self-Identified as African Descent]),FALSE)="","",
VLOOKUP($A467,YES_Reading_FLA[],COLUMN(YES_Reading_FLA[Self-Identified as African Descent]),FALSE)),
IF($J$2="Combined",
IFERROR(
IF(VLOOKUP($A467, YES_Reading_ELA[], COLUMN(YES_Reading_ELA[Self-Identified as African Descent]), FALSE)="", "",
VLOOKUP($A467,YES_Reading_ELA[],COLUMN(YES_Reading_ELA[Self-Identified as African Descent]),FALSE)),
IF(VLOOKUP($A467, YES_Reading_FLA[], COLUMN(YES_Reading_FLA[Self-Identified as African Descent]),FALSE)="", "", VLOOKUP($A467,YES_Reading_FLA[],COLUMN(YES_Reading_FLA[Self-Identified as African Descent]),FALSE))),""))),"")</f>
        <v/>
      </c>
      <c r="L467" s="73" t="str" cm="1">
        <f t="array" ref="L467">IFERROR(
IF($J$2="ELA",
IF(VLOOKUP($A467, YES_Reading_ELA[], COLUMN(YES_Reading_ELA[Self-Identified as Indigenous]), FALSE)="", "",
VLOOKUP($A467,YES_Reading_ELA[], COLUMN(YES_Reading_ELA[Self-Identified as Indigenous]), FALSE)),
IF($J$2="FLA",
IF(VLOOKUP($A467, YES_Reading_FLA[], COLUMN(YES_Reading_FLA[Self-Identified as Indigenous]),FALSE)="","",
VLOOKUP($A467,YES_Reading_FLA[],COLUMN(YES_Reading_FLA[Self-Identified as Indigenous]),FALSE)),
IF($J$2="Combined",
IFERROR(
IF(VLOOKUP($A467, YES_Reading_ELA[], COLUMN(YES_Reading_ELA[Self-Identified as Indigenous]), FALSE)="", "",
VLOOKUP($A467,YES_Reading_ELA[],COLUMN(YES_Reading_ELA[Self-Identified as Indigenous]),FALSE)),
IF(VLOOKUP($A467, YES_Reading_FLA[], COLUMN(YES_Reading_FLA[Self-Identified as Indigenous]),FALSE)="", "", VLOOKUP($A467,YES_Reading_FLA[],COLUMN(YES_Reading_FLA[Self-Identified as Indigenous]),FALSE))),""))),"")</f>
        <v/>
      </c>
    </row>
    <row r="468" spans="1:12" ht="19.5" customHeight="1" x14ac:dyDescent="0.25">
      <c r="A468" s="217"/>
      <c r="B468" s="220" t="str">
        <f>IFERROR(VLOOKUP(A468,_xlfn.VSTACK(YES_Reading_ELA[],YES_Reading_FLA[]),2,FALSE),"")</f>
        <v/>
      </c>
      <c r="C468" s="203" t="str" cm="1">
        <f t="array" aca="1" ref="C468" ca="1">IFERROR(
IF($J$2="ELA",
IF(VLOOKUP($A468, YES_Reading_ELA[], COLUMN(IF(VLOOKUP($D$2, 'Reading Report Logic'!$A$2:$B$8, 2, FALSE)=1, YES_Reading_ELA[Reading Level June of Previous School Year], INDIRECT("YES_Reading_ELA[Instructional Reading Level - Per "&amp;(VLOOKUP($D$2,'Reading Report Logic'!$A$2:$B$8,2,FALSE)-1)&amp;"]"))), FALSE)="", "",
VLOOKUP($A468,YES_Reading_ELA[], COLUMN(IF(VLOOKUP($D$2,'Reading Report Logic'!$A$2:$B$8,2,FALSE)=1, YES_Reading_ELA[Reading Level June of Previous School Year],INDIRECT("YES_Reading_ELA[Instructional Reading Level - Per "&amp;(VLOOKUP($D$2,'Reading Report Logic'!$A$2:$B$8,2,FALSE)-1)&amp;"]"))), FALSE)),
IF($J$2="FLA",
IF(VLOOKUP($A468, YES_Reading_FLA[], COLUMN(IF(VLOOKUP($D$2,'Reading Report Logic'!$A$2:$B$8,2,FALSE)=1, YES_Reading_FLA[Reading Level June of Previous School Year],INDIRECT("YES_Reading_FLA[Instructional Reading Level - Per "&amp;(VLOOKUP($D$2,'Reading Report Logic'!$A$2:$B$8,2,FALSE)-1)&amp;"]"))),FALSE)="","",
VLOOKUP($A468,YES_Reading_FLA[], COLUMN(IF(VLOOKUP($D$2,'Reading Report Logic'!$A$2:$B$8,2,FALSE)=1, YES_Reading_FLA[Reading Level June of Previous School Year],INDIRECT("YES_Reading_FLA[Instructional Reading Level - Per "&amp;(VLOOKUP($D$2,'Reading Report Logic'!$A$2:$B$8,2,FALSE)-1)&amp;"]"))),FALSE)),
IF($J$2="Combined",
IFERROR(
IF(VLOOKUP($A468, YES_Reading_ELA[], COLUMN(IF(VLOOKUP($D$2,'Reading Report Logic'!$A$2:$B$8,2,FALSE)=1, YES_Reading_ELA[Reading Level June of Previous School Year],INDIRECT("YES_Reading_ELA[Instructional Reading Level - Per "&amp;(VLOOKUP($D$2,'Reading Report Logic'!$A$2:$B$8,2,FALSE)-1)&amp;"]"))), FALSE)="", "",
VLOOKUP($A468,YES_Reading_ELA[],COLUMN(IF(VLOOKUP($D$2,'Reading Report Logic'!$A$2:$B$8,2,FALSE)=1, YES_Reading_ELA[Reading Level June of Previous School Year],INDIRECT("YES_Reading_ELA[Instructional Reading Level - Per "&amp;(VLOOKUP($D$2,'Reading Report Logic'!$A$2:$B$8,2,FALSE)-1)&amp;"]"))),FALSE)),
IF(VLOOKUP($A468, YES_Reading_FLA[], COLUMN(IF(VLOOKUP($D$2,'Reading Report Logic'!$A$2:$B$8,2,FALSE)=1, YES_Reading_FLA[Reading Level June of Previous School Year],INDIRECT("YES_Reading_FLA[Instructional Reading Level - Per "&amp;(VLOOKUP($D$2,'Reading Report Logic'!$A$2:$B$8,2,FALSE)-1)&amp;"]"))),FALSE)="", "", VLOOKUP($A468,YES_Reading_FLA[],COLUMN(IF(VLOOKUP($D$2,'Reading Report Logic'!$A$2:$B$8,2,FALSE)=1, YES_Reading_FLA[Reading Level June of Previous School Year],INDIRECT("YES_Reading_FLA[Instructional Reading Level - Per "&amp;(VLOOKUP($D$2,'Reading Report Logic'!$A$2:$B$8,2,FALSE)-1)&amp;"]"))), FALSE))),""))),"")</f>
        <v/>
      </c>
      <c r="D468" s="204" t="str" cm="1">
        <f t="array" aca="1" ref="D468" ca="1">IFERROR(
IF($J$2="ELA",
IF(VLOOKUP($A468, YES_Reading_ELA[], COLUMN(INDIRECT("YES_Reading_ELA[Instructional Reading Level - Per "&amp;VLOOKUP($D$2, 'Reading Report Logic'!$A$2:$B$8, 2, FALSE)&amp;"]")), FALSE)="", "",
VLOOKUP($A468,YES_Reading_ELA[], COLUMN(INDIRECT("YES_Reading_ELA[Instructional Reading Level - Per "&amp;VLOOKUP($D$2,'Reading Report Logic'!$A$2:$B$8,2,FALSE)&amp;"]")), FALSE)),
IF($J$2="FLA",
IF(VLOOKUP($A468, YES_Reading_FLA[], COLUMN(INDIRECT("YES_Reading_FLA[Instructional Reading Level - Per "&amp;VLOOKUP($D$2,'Reading Report Logic'!$A$2:$B$8,2,FALSE)&amp;"]")),FALSE)="","",
VLOOKUP($A468,YES_Reading_FLA[],COLUMN(INDIRECT("YES_Reading_FLA[Instructional Reading Level - Per "&amp;VLOOKUP($D$2,'Reading Report Logic'!$A$2:$B$8,2,FALSE)&amp;"]")),FALSE)),
IF($J$2="Combined",
IFERROR(
IF(VLOOKUP($A468, YES_Reading_ELA[], COLUMN(INDIRECT("YES_Reading_ELA[Instructional Reading Level - Per "&amp;VLOOKUP($D$2, 'Reading Report Logic'!$A$2:$B$8,2,FALSE)&amp;"]")), FALSE)="", "",
VLOOKUP($A468,YES_Reading_ELA[],COLUMN(INDIRECT("YES_Reading_ELA[Instructional Reading Level - Per "&amp;VLOOKUP($D$2,'Reading Report Logic'!$A$2:$B$8,2,FALSE)&amp;"]")),FALSE)),
IF(VLOOKUP($A468, YES_Reading_FLA[], COLUMN(INDIRECT("YES_Reading_FLA[Instructional Reading Level - Per "&amp;VLOOKUP($D$2, 'Reading Report Logic'!$A$2:$B$8, 2, FALSE)&amp;"]")),FALSE)="", "", VLOOKUP($A468,YES_Reading_FLA[],COLUMN(INDIRECT("YES_Reading_FLA[Instructional Reading Level - Per "&amp;VLOOKUP($D$2, 'Reading Report Logic'!$A$2:$B$8, 2, FALSE)&amp;"]")),FALSE))),""))),"")</f>
        <v/>
      </c>
      <c r="E468" s="205" t="str" cm="1">
        <f t="array" aca="1" ref="E468" ca="1">IFERROR(
IF($J$2="ELA",
IF(VLOOKUP($A468, YES_Reading_ELA[], COLUMN(INDIRECT("YES_Reading_ELA[Min Expectation - Per "&amp;VLOOKUP($D$2, 'Reading Report Logic'!$A$2:$B$8, 2, FALSE)&amp;"]")), FALSE)="", "",
VLOOKUP($A468,YES_Reading_ELA[], COLUMN(INDIRECT("YES_Reading_ELA[Min Expectation - Per "&amp;VLOOKUP($D$2,'Reading Report Logic'!$A$2:$B$8,2,FALSE)&amp;"]")), FALSE)),
IF($J$2="FLA",
IF(VLOOKUP($A468, YES_Reading_FLA[], COLUMN(INDIRECT("YES_Reading_FLA[Min Expectation - Per "&amp;VLOOKUP($D$2,'Reading Report Logic'!$A$2:$B$8,2,FALSE)&amp;"]")),FALSE)="","",
VLOOKUP($A468,YES_Reading_FLA[],COLUMN(INDIRECT("YES_Reading_FLA[Min Expectation - Per "&amp;VLOOKUP($D$2,'Reading Report Logic'!$A$2:$B$8,2,FALSE)&amp;"]")),FALSE)),
IF($J$2="Combined",
IFERROR(
IF(VLOOKUP($A468, YES_Reading_ELA[], COLUMN(INDIRECT("YES_Reading_ELA[Min Expectation - Per "&amp;VLOOKUP($D$2, 'Reading Report Logic'!$A$2:$B$8,2,FALSE)&amp;"]")), FALSE)="", "",
VLOOKUP($A468,YES_Reading_ELA[],COLUMN(INDIRECT("YES_Reading_ELA[Min Expectation - Per "&amp;VLOOKUP($D$2,'Reading Report Logic'!$A$2:$B$8,2,FALSE)&amp;"]")),FALSE)),
IF(VLOOKUP($A468, YES_Reading_FLA[], COLUMN(INDIRECT("YES_Reading_FLA[Min Expectation - Per "&amp;VLOOKUP($D$2, 'Reading Report Logic'!$A$2:$B$8, 2, FALSE)&amp;"]")),FALSE)="", "", VLOOKUP($A468,YES_Reading_FLA[],COLUMN(INDIRECT("YES_Reading_FLA[Min Expectation - Per "&amp;VLOOKUP($D$2, 'Reading Report Logic'!$A$2:$B$8, 2, FALSE)&amp;"]")),FALSE))),""))),"")</f>
        <v/>
      </c>
      <c r="F468" s="205" t="str" cm="1">
        <f t="array" aca="1" ref="F468" ca="1">IFERROR(
IF($J$2="ELA",
IF(VLOOKUP($A468, YES_Reading_ELA[], COLUMN(INDIRECT("YES_Reading_ELA[Max Expectation - Per "&amp;VLOOKUP($D$2, 'Reading Report Logic'!$A$2:$B$8, 2, FALSE)&amp;"]")), FALSE)="", "",
VLOOKUP($A468,YES_Reading_ELA[], COLUMN(INDIRECT("YES_Reading_ELA[Max Expectation - Per "&amp;VLOOKUP($D$2,'Reading Report Logic'!$A$2:$B$8,2,FALSE)&amp;"]")), FALSE)),
IF($J$2="FLA",
IF(VLOOKUP($A468, YES_Reading_FLA[], COLUMN(INDIRECT("YES_Reading_FLA[Max Expectation - Per "&amp;VLOOKUP($D$2,'Reading Report Logic'!$A$2:$B$8,2,FALSE)&amp;"]")),FALSE)="","",
VLOOKUP($A468,YES_Reading_FLA[],COLUMN(INDIRECT("YES_Reading_FLA[Max Expectation - Per "&amp;VLOOKUP($D$2,'Reading Report Logic'!$A$2:$B$8,2,FALSE)&amp;"]")),FALSE)),
IF($J$2="Combined",
IFERROR(
IF(VLOOKUP($A468, YES_Reading_ELA[], COLUMN(INDIRECT("YES_Reading_ELA[Max Expectation - Per "&amp;VLOOKUP($D$2, 'Reading Report Logic'!$A$2:$B$8,2,FALSE)&amp;"]")), FALSE)="", "",
VLOOKUP($A468,YES_Reading_ELA[],COLUMN(INDIRECT("YES_Reading_ELA[Max Expectation - Per "&amp;VLOOKUP($D$2,'Reading Report Logic'!$A$2:$B$8,2,FALSE)&amp;"]")),FALSE)),
IF(VLOOKUP($A468, YES_Reading_FLA[], COLUMN(INDIRECT("YES_Reading_FLA[Max Expectation - Per "&amp;VLOOKUP($D$2, 'Reading Report Logic'!$A$2:$B$8, 2, FALSE)&amp;"]")),FALSE)="", "", VLOOKUP($A468,YES_Reading_FLA[],COLUMN(INDIRECT("YES_Reading_FLA[Max Expectation - Per "&amp;VLOOKUP($D$2, 'Reading Report Logic'!$A$2:$B$8, 2, FALSE)&amp;"]")),FALSE))),""))),"")</f>
        <v/>
      </c>
      <c r="G468" s="205" t="str" cm="1">
        <f t="array" aca="1" ref="G468" ca="1">IFERROR(
IF($J$2="ELA",
IF(VLOOKUP($A468, YES_Reading_ELA[], COLUMN(INDIRECT("YES_Reading_ELA[Difference - Per "&amp;VLOOKUP($D$2, 'Reading Report Logic'!$A$2:$B$8, 2, FALSE)&amp;"]")), FALSE)="", "",
VLOOKUP($A468,YES_Reading_ELA[], COLUMN(INDIRECT("YES_Reading_ELA[Difference - Per "&amp;VLOOKUP($D$2,'Reading Report Logic'!$A$2:$B$8,2,FALSE)&amp;"]")), FALSE)),
IF($J$2="FLA",
IF(VLOOKUP($A468, YES_Reading_FLA[], COLUMN(INDIRECT("YES_Reading_FLA[Difference - Per "&amp;VLOOKUP($D$2,'Reading Report Logic'!$A$2:$B$8,2,FALSE)&amp;"]")),FALSE)="","",
VLOOKUP($A468,YES_Reading_FLA[],COLUMN(INDIRECT("YES_Reading_FLA[Difference - Per "&amp;VLOOKUP($D$2,'Reading Report Logic'!$A$2:$B$8,2,FALSE)&amp;"]")),FALSE)),
IF($J$2="Combined",
IFERROR(
IF(VLOOKUP($A468, YES_Reading_ELA[], COLUMN(INDIRECT("YES_Reading_ELA[Difference - Per "&amp;VLOOKUP($D$2, 'Reading Report Logic'!$A$2:$B$8,2,FALSE)&amp;"]")), FALSE)="", "",
VLOOKUP($A468,YES_Reading_ELA[],COLUMN(INDIRECT("YES_Reading_ELA[Difference - Per "&amp;VLOOKUP($D$2,'Reading Report Logic'!$A$2:$B$8,2,FALSE)&amp;"]")),FALSE)),
IF(VLOOKUP($A468, YES_Reading_FLA[], COLUMN(INDIRECT("YES_Reading_FLA[Difference - Per "&amp;VLOOKUP($D$2, 'Reading Report Logic'!$A$2:$B$8, 2, FALSE)&amp;"]")),FALSE)="", "", VLOOKUP($A468,YES_Reading_FLA[],COLUMN(INDIRECT("YES_Reading_FLA[Difference - Per "&amp;VLOOKUP($D$2, 'Reading Report Logic'!$A$2:$B$8, 2, FALSE)&amp;"]")),FALSE))),""))),"")</f>
        <v/>
      </c>
      <c r="H468" s="206" t="str">
        <f ca="1">IFERROR(VLOOKUP('Teacher Reading Pull Sheets'!$D468,_xlfn.VSTACK('ELA Reading Logic'!$A$22:$B$48,'FLA Reading Logic'!$A$22:$B$53),2,FALSE)-VLOOKUP('Teacher Reading Pull Sheets'!$C468,_xlfn.VSTACK('ELA Reading Logic'!$A$22:$B$48,'FLA Reading Logic'!$A$22:$B$53),2,FALSE),"")</f>
        <v/>
      </c>
      <c r="I468" s="212"/>
      <c r="J468" s="206"/>
      <c r="K468" s="197" t="str" cm="1">
        <f t="array" ref="K468">IFERROR(
IF($J$2="ELA",
IF(VLOOKUP($A468, YES_Reading_ELA[], COLUMN(YES_Reading_ELA[Self-Identified as African Descent]), FALSE)="", "",
VLOOKUP($A468,YES_Reading_ELA[], COLUMN(YES_Reading_ELA[Self-Identified as African Descent]), FALSE)),
IF($J$2="FLA",
IF(VLOOKUP($A468, YES_Reading_FLA[], COLUMN(YES_Reading_FLA[Self-Identified as African Descent]),FALSE)="","",
VLOOKUP($A468,YES_Reading_FLA[],COLUMN(YES_Reading_FLA[Self-Identified as African Descent]),FALSE)),
IF($J$2="Combined",
IFERROR(
IF(VLOOKUP($A468, YES_Reading_ELA[], COLUMN(YES_Reading_ELA[Self-Identified as African Descent]), FALSE)="", "",
VLOOKUP($A468,YES_Reading_ELA[],COLUMN(YES_Reading_ELA[Self-Identified as African Descent]),FALSE)),
IF(VLOOKUP($A468, YES_Reading_FLA[], COLUMN(YES_Reading_FLA[Self-Identified as African Descent]),FALSE)="", "", VLOOKUP($A468,YES_Reading_FLA[],COLUMN(YES_Reading_FLA[Self-Identified as African Descent]),FALSE))),""))),"")</f>
        <v/>
      </c>
      <c r="L468" s="73" t="str" cm="1">
        <f t="array" ref="L468">IFERROR(
IF($J$2="ELA",
IF(VLOOKUP($A468, YES_Reading_ELA[], COLUMN(YES_Reading_ELA[Self-Identified as Indigenous]), FALSE)="", "",
VLOOKUP($A468,YES_Reading_ELA[], COLUMN(YES_Reading_ELA[Self-Identified as Indigenous]), FALSE)),
IF($J$2="FLA",
IF(VLOOKUP($A468, YES_Reading_FLA[], COLUMN(YES_Reading_FLA[Self-Identified as Indigenous]),FALSE)="","",
VLOOKUP($A468,YES_Reading_FLA[],COLUMN(YES_Reading_FLA[Self-Identified as Indigenous]),FALSE)),
IF($J$2="Combined",
IFERROR(
IF(VLOOKUP($A468, YES_Reading_ELA[], COLUMN(YES_Reading_ELA[Self-Identified as Indigenous]), FALSE)="", "",
VLOOKUP($A468,YES_Reading_ELA[],COLUMN(YES_Reading_ELA[Self-Identified as Indigenous]),FALSE)),
IF(VLOOKUP($A468, YES_Reading_FLA[], COLUMN(YES_Reading_FLA[Self-Identified as Indigenous]),FALSE)="", "", VLOOKUP($A468,YES_Reading_FLA[],COLUMN(YES_Reading_FLA[Self-Identified as Indigenous]),FALSE))),""))),"")</f>
        <v/>
      </c>
    </row>
    <row r="469" spans="1:12" ht="19.5" customHeight="1" x14ac:dyDescent="0.25">
      <c r="A469" s="217"/>
      <c r="B469" s="220" t="str">
        <f>IFERROR(VLOOKUP(A469,_xlfn.VSTACK(YES_Reading_ELA[],YES_Reading_FLA[]),2,FALSE),"")</f>
        <v/>
      </c>
      <c r="C469" s="203" t="str" cm="1">
        <f t="array" aca="1" ref="C469" ca="1">IFERROR(
IF($J$2="ELA",
IF(VLOOKUP($A469, YES_Reading_ELA[], COLUMN(IF(VLOOKUP($D$2, 'Reading Report Logic'!$A$2:$B$8, 2, FALSE)=1, YES_Reading_ELA[Reading Level June of Previous School Year], INDIRECT("YES_Reading_ELA[Instructional Reading Level - Per "&amp;(VLOOKUP($D$2,'Reading Report Logic'!$A$2:$B$8,2,FALSE)-1)&amp;"]"))), FALSE)="", "",
VLOOKUP($A469,YES_Reading_ELA[], COLUMN(IF(VLOOKUP($D$2,'Reading Report Logic'!$A$2:$B$8,2,FALSE)=1, YES_Reading_ELA[Reading Level June of Previous School Year],INDIRECT("YES_Reading_ELA[Instructional Reading Level - Per "&amp;(VLOOKUP($D$2,'Reading Report Logic'!$A$2:$B$8,2,FALSE)-1)&amp;"]"))), FALSE)),
IF($J$2="FLA",
IF(VLOOKUP($A469, YES_Reading_FLA[], COLUMN(IF(VLOOKUP($D$2,'Reading Report Logic'!$A$2:$B$8,2,FALSE)=1, YES_Reading_FLA[Reading Level June of Previous School Year],INDIRECT("YES_Reading_FLA[Instructional Reading Level - Per "&amp;(VLOOKUP($D$2,'Reading Report Logic'!$A$2:$B$8,2,FALSE)-1)&amp;"]"))),FALSE)="","",
VLOOKUP($A469,YES_Reading_FLA[], COLUMN(IF(VLOOKUP($D$2,'Reading Report Logic'!$A$2:$B$8,2,FALSE)=1, YES_Reading_FLA[Reading Level June of Previous School Year],INDIRECT("YES_Reading_FLA[Instructional Reading Level - Per "&amp;(VLOOKUP($D$2,'Reading Report Logic'!$A$2:$B$8,2,FALSE)-1)&amp;"]"))),FALSE)),
IF($J$2="Combined",
IFERROR(
IF(VLOOKUP($A469, YES_Reading_ELA[], COLUMN(IF(VLOOKUP($D$2,'Reading Report Logic'!$A$2:$B$8,2,FALSE)=1, YES_Reading_ELA[Reading Level June of Previous School Year],INDIRECT("YES_Reading_ELA[Instructional Reading Level - Per "&amp;(VLOOKUP($D$2,'Reading Report Logic'!$A$2:$B$8,2,FALSE)-1)&amp;"]"))), FALSE)="", "",
VLOOKUP($A469,YES_Reading_ELA[],COLUMN(IF(VLOOKUP($D$2,'Reading Report Logic'!$A$2:$B$8,2,FALSE)=1, YES_Reading_ELA[Reading Level June of Previous School Year],INDIRECT("YES_Reading_ELA[Instructional Reading Level - Per "&amp;(VLOOKUP($D$2,'Reading Report Logic'!$A$2:$B$8,2,FALSE)-1)&amp;"]"))),FALSE)),
IF(VLOOKUP($A469, YES_Reading_FLA[], COLUMN(IF(VLOOKUP($D$2,'Reading Report Logic'!$A$2:$B$8,2,FALSE)=1, YES_Reading_FLA[Reading Level June of Previous School Year],INDIRECT("YES_Reading_FLA[Instructional Reading Level - Per "&amp;(VLOOKUP($D$2,'Reading Report Logic'!$A$2:$B$8,2,FALSE)-1)&amp;"]"))),FALSE)="", "", VLOOKUP($A469,YES_Reading_FLA[],COLUMN(IF(VLOOKUP($D$2,'Reading Report Logic'!$A$2:$B$8,2,FALSE)=1, YES_Reading_FLA[Reading Level June of Previous School Year],INDIRECT("YES_Reading_FLA[Instructional Reading Level - Per "&amp;(VLOOKUP($D$2,'Reading Report Logic'!$A$2:$B$8,2,FALSE)-1)&amp;"]"))), FALSE))),""))),"")</f>
        <v/>
      </c>
      <c r="D469" s="204" t="str" cm="1">
        <f t="array" aca="1" ref="D469" ca="1">IFERROR(
IF($J$2="ELA",
IF(VLOOKUP($A469, YES_Reading_ELA[], COLUMN(INDIRECT("YES_Reading_ELA[Instructional Reading Level - Per "&amp;VLOOKUP($D$2, 'Reading Report Logic'!$A$2:$B$8, 2, FALSE)&amp;"]")), FALSE)="", "",
VLOOKUP($A469,YES_Reading_ELA[], COLUMN(INDIRECT("YES_Reading_ELA[Instructional Reading Level - Per "&amp;VLOOKUP($D$2,'Reading Report Logic'!$A$2:$B$8,2,FALSE)&amp;"]")), FALSE)),
IF($J$2="FLA",
IF(VLOOKUP($A469, YES_Reading_FLA[], COLUMN(INDIRECT("YES_Reading_FLA[Instructional Reading Level - Per "&amp;VLOOKUP($D$2,'Reading Report Logic'!$A$2:$B$8,2,FALSE)&amp;"]")),FALSE)="","",
VLOOKUP($A469,YES_Reading_FLA[],COLUMN(INDIRECT("YES_Reading_FLA[Instructional Reading Level - Per "&amp;VLOOKUP($D$2,'Reading Report Logic'!$A$2:$B$8,2,FALSE)&amp;"]")),FALSE)),
IF($J$2="Combined",
IFERROR(
IF(VLOOKUP($A469, YES_Reading_ELA[], COLUMN(INDIRECT("YES_Reading_ELA[Instructional Reading Level - Per "&amp;VLOOKUP($D$2, 'Reading Report Logic'!$A$2:$B$8,2,FALSE)&amp;"]")), FALSE)="", "",
VLOOKUP($A469,YES_Reading_ELA[],COLUMN(INDIRECT("YES_Reading_ELA[Instructional Reading Level - Per "&amp;VLOOKUP($D$2,'Reading Report Logic'!$A$2:$B$8,2,FALSE)&amp;"]")),FALSE)),
IF(VLOOKUP($A469, YES_Reading_FLA[], COLUMN(INDIRECT("YES_Reading_FLA[Instructional Reading Level - Per "&amp;VLOOKUP($D$2, 'Reading Report Logic'!$A$2:$B$8, 2, FALSE)&amp;"]")),FALSE)="", "", VLOOKUP($A469,YES_Reading_FLA[],COLUMN(INDIRECT("YES_Reading_FLA[Instructional Reading Level - Per "&amp;VLOOKUP($D$2, 'Reading Report Logic'!$A$2:$B$8, 2, FALSE)&amp;"]")),FALSE))),""))),"")</f>
        <v/>
      </c>
      <c r="E469" s="205" t="str" cm="1">
        <f t="array" aca="1" ref="E469" ca="1">IFERROR(
IF($J$2="ELA",
IF(VLOOKUP($A469, YES_Reading_ELA[], COLUMN(INDIRECT("YES_Reading_ELA[Min Expectation - Per "&amp;VLOOKUP($D$2, 'Reading Report Logic'!$A$2:$B$8, 2, FALSE)&amp;"]")), FALSE)="", "",
VLOOKUP($A469,YES_Reading_ELA[], COLUMN(INDIRECT("YES_Reading_ELA[Min Expectation - Per "&amp;VLOOKUP($D$2,'Reading Report Logic'!$A$2:$B$8,2,FALSE)&amp;"]")), FALSE)),
IF($J$2="FLA",
IF(VLOOKUP($A469, YES_Reading_FLA[], COLUMN(INDIRECT("YES_Reading_FLA[Min Expectation - Per "&amp;VLOOKUP($D$2,'Reading Report Logic'!$A$2:$B$8,2,FALSE)&amp;"]")),FALSE)="","",
VLOOKUP($A469,YES_Reading_FLA[],COLUMN(INDIRECT("YES_Reading_FLA[Min Expectation - Per "&amp;VLOOKUP($D$2,'Reading Report Logic'!$A$2:$B$8,2,FALSE)&amp;"]")),FALSE)),
IF($J$2="Combined",
IFERROR(
IF(VLOOKUP($A469, YES_Reading_ELA[], COLUMN(INDIRECT("YES_Reading_ELA[Min Expectation - Per "&amp;VLOOKUP($D$2, 'Reading Report Logic'!$A$2:$B$8,2,FALSE)&amp;"]")), FALSE)="", "",
VLOOKUP($A469,YES_Reading_ELA[],COLUMN(INDIRECT("YES_Reading_ELA[Min Expectation - Per "&amp;VLOOKUP($D$2,'Reading Report Logic'!$A$2:$B$8,2,FALSE)&amp;"]")),FALSE)),
IF(VLOOKUP($A469, YES_Reading_FLA[], COLUMN(INDIRECT("YES_Reading_FLA[Min Expectation - Per "&amp;VLOOKUP($D$2, 'Reading Report Logic'!$A$2:$B$8, 2, FALSE)&amp;"]")),FALSE)="", "", VLOOKUP($A469,YES_Reading_FLA[],COLUMN(INDIRECT("YES_Reading_FLA[Min Expectation - Per "&amp;VLOOKUP($D$2, 'Reading Report Logic'!$A$2:$B$8, 2, FALSE)&amp;"]")),FALSE))),""))),"")</f>
        <v/>
      </c>
      <c r="F469" s="205" t="str" cm="1">
        <f t="array" aca="1" ref="F469" ca="1">IFERROR(
IF($J$2="ELA",
IF(VLOOKUP($A469, YES_Reading_ELA[], COLUMN(INDIRECT("YES_Reading_ELA[Max Expectation - Per "&amp;VLOOKUP($D$2, 'Reading Report Logic'!$A$2:$B$8, 2, FALSE)&amp;"]")), FALSE)="", "",
VLOOKUP($A469,YES_Reading_ELA[], COLUMN(INDIRECT("YES_Reading_ELA[Max Expectation - Per "&amp;VLOOKUP($D$2,'Reading Report Logic'!$A$2:$B$8,2,FALSE)&amp;"]")), FALSE)),
IF($J$2="FLA",
IF(VLOOKUP($A469, YES_Reading_FLA[], COLUMN(INDIRECT("YES_Reading_FLA[Max Expectation - Per "&amp;VLOOKUP($D$2,'Reading Report Logic'!$A$2:$B$8,2,FALSE)&amp;"]")),FALSE)="","",
VLOOKUP($A469,YES_Reading_FLA[],COLUMN(INDIRECT("YES_Reading_FLA[Max Expectation - Per "&amp;VLOOKUP($D$2,'Reading Report Logic'!$A$2:$B$8,2,FALSE)&amp;"]")),FALSE)),
IF($J$2="Combined",
IFERROR(
IF(VLOOKUP($A469, YES_Reading_ELA[], COLUMN(INDIRECT("YES_Reading_ELA[Max Expectation - Per "&amp;VLOOKUP($D$2, 'Reading Report Logic'!$A$2:$B$8,2,FALSE)&amp;"]")), FALSE)="", "",
VLOOKUP($A469,YES_Reading_ELA[],COLUMN(INDIRECT("YES_Reading_ELA[Max Expectation - Per "&amp;VLOOKUP($D$2,'Reading Report Logic'!$A$2:$B$8,2,FALSE)&amp;"]")),FALSE)),
IF(VLOOKUP($A469, YES_Reading_FLA[], COLUMN(INDIRECT("YES_Reading_FLA[Max Expectation - Per "&amp;VLOOKUP($D$2, 'Reading Report Logic'!$A$2:$B$8, 2, FALSE)&amp;"]")),FALSE)="", "", VLOOKUP($A469,YES_Reading_FLA[],COLUMN(INDIRECT("YES_Reading_FLA[Max Expectation - Per "&amp;VLOOKUP($D$2, 'Reading Report Logic'!$A$2:$B$8, 2, FALSE)&amp;"]")),FALSE))),""))),"")</f>
        <v/>
      </c>
      <c r="G469" s="205" t="str" cm="1">
        <f t="array" aca="1" ref="G469" ca="1">IFERROR(
IF($J$2="ELA",
IF(VLOOKUP($A469, YES_Reading_ELA[], COLUMN(INDIRECT("YES_Reading_ELA[Difference - Per "&amp;VLOOKUP($D$2, 'Reading Report Logic'!$A$2:$B$8, 2, FALSE)&amp;"]")), FALSE)="", "",
VLOOKUP($A469,YES_Reading_ELA[], COLUMN(INDIRECT("YES_Reading_ELA[Difference - Per "&amp;VLOOKUP($D$2,'Reading Report Logic'!$A$2:$B$8,2,FALSE)&amp;"]")), FALSE)),
IF($J$2="FLA",
IF(VLOOKUP($A469, YES_Reading_FLA[], COLUMN(INDIRECT("YES_Reading_FLA[Difference - Per "&amp;VLOOKUP($D$2,'Reading Report Logic'!$A$2:$B$8,2,FALSE)&amp;"]")),FALSE)="","",
VLOOKUP($A469,YES_Reading_FLA[],COLUMN(INDIRECT("YES_Reading_FLA[Difference - Per "&amp;VLOOKUP($D$2,'Reading Report Logic'!$A$2:$B$8,2,FALSE)&amp;"]")),FALSE)),
IF($J$2="Combined",
IFERROR(
IF(VLOOKUP($A469, YES_Reading_ELA[], COLUMN(INDIRECT("YES_Reading_ELA[Difference - Per "&amp;VLOOKUP($D$2, 'Reading Report Logic'!$A$2:$B$8,2,FALSE)&amp;"]")), FALSE)="", "",
VLOOKUP($A469,YES_Reading_ELA[],COLUMN(INDIRECT("YES_Reading_ELA[Difference - Per "&amp;VLOOKUP($D$2,'Reading Report Logic'!$A$2:$B$8,2,FALSE)&amp;"]")),FALSE)),
IF(VLOOKUP($A469, YES_Reading_FLA[], COLUMN(INDIRECT("YES_Reading_FLA[Difference - Per "&amp;VLOOKUP($D$2, 'Reading Report Logic'!$A$2:$B$8, 2, FALSE)&amp;"]")),FALSE)="", "", VLOOKUP($A469,YES_Reading_FLA[],COLUMN(INDIRECT("YES_Reading_FLA[Difference - Per "&amp;VLOOKUP($D$2, 'Reading Report Logic'!$A$2:$B$8, 2, FALSE)&amp;"]")),FALSE))),""))),"")</f>
        <v/>
      </c>
      <c r="H469" s="206" t="str">
        <f ca="1">IFERROR(VLOOKUP('Teacher Reading Pull Sheets'!$D469,_xlfn.VSTACK('ELA Reading Logic'!$A$22:$B$48,'FLA Reading Logic'!$A$22:$B$53),2,FALSE)-VLOOKUP('Teacher Reading Pull Sheets'!$C469,_xlfn.VSTACK('ELA Reading Logic'!$A$22:$B$48,'FLA Reading Logic'!$A$22:$B$53),2,FALSE),"")</f>
        <v/>
      </c>
      <c r="I469" s="212"/>
      <c r="J469" s="206"/>
      <c r="K469" s="197" t="str" cm="1">
        <f t="array" ref="K469">IFERROR(
IF($J$2="ELA",
IF(VLOOKUP($A469, YES_Reading_ELA[], COLUMN(YES_Reading_ELA[Self-Identified as African Descent]), FALSE)="", "",
VLOOKUP($A469,YES_Reading_ELA[], COLUMN(YES_Reading_ELA[Self-Identified as African Descent]), FALSE)),
IF($J$2="FLA",
IF(VLOOKUP($A469, YES_Reading_FLA[], COLUMN(YES_Reading_FLA[Self-Identified as African Descent]),FALSE)="","",
VLOOKUP($A469,YES_Reading_FLA[],COLUMN(YES_Reading_FLA[Self-Identified as African Descent]),FALSE)),
IF($J$2="Combined",
IFERROR(
IF(VLOOKUP($A469, YES_Reading_ELA[], COLUMN(YES_Reading_ELA[Self-Identified as African Descent]), FALSE)="", "",
VLOOKUP($A469,YES_Reading_ELA[],COLUMN(YES_Reading_ELA[Self-Identified as African Descent]),FALSE)),
IF(VLOOKUP($A469, YES_Reading_FLA[], COLUMN(YES_Reading_FLA[Self-Identified as African Descent]),FALSE)="", "", VLOOKUP($A469,YES_Reading_FLA[],COLUMN(YES_Reading_FLA[Self-Identified as African Descent]),FALSE))),""))),"")</f>
        <v/>
      </c>
      <c r="L469" s="73" t="str" cm="1">
        <f t="array" ref="L469">IFERROR(
IF($J$2="ELA",
IF(VLOOKUP($A469, YES_Reading_ELA[], COLUMN(YES_Reading_ELA[Self-Identified as Indigenous]), FALSE)="", "",
VLOOKUP($A469,YES_Reading_ELA[], COLUMN(YES_Reading_ELA[Self-Identified as Indigenous]), FALSE)),
IF($J$2="FLA",
IF(VLOOKUP($A469, YES_Reading_FLA[], COLUMN(YES_Reading_FLA[Self-Identified as Indigenous]),FALSE)="","",
VLOOKUP($A469,YES_Reading_FLA[],COLUMN(YES_Reading_FLA[Self-Identified as Indigenous]),FALSE)),
IF($J$2="Combined",
IFERROR(
IF(VLOOKUP($A469, YES_Reading_ELA[], COLUMN(YES_Reading_ELA[Self-Identified as Indigenous]), FALSE)="", "",
VLOOKUP($A469,YES_Reading_ELA[],COLUMN(YES_Reading_ELA[Self-Identified as Indigenous]),FALSE)),
IF(VLOOKUP($A469, YES_Reading_FLA[], COLUMN(YES_Reading_FLA[Self-Identified as Indigenous]),FALSE)="", "", VLOOKUP($A469,YES_Reading_FLA[],COLUMN(YES_Reading_FLA[Self-Identified as Indigenous]),FALSE))),""))),"")</f>
        <v/>
      </c>
    </row>
    <row r="470" spans="1:12" ht="19.5" customHeight="1" thickBot="1" x14ac:dyDescent="0.3">
      <c r="A470" s="218"/>
      <c r="B470" s="221" t="str">
        <f>IFERROR(VLOOKUP(A470,_xlfn.VSTACK(YES_Reading_ELA[],YES_Reading_FLA[]),2,FALSE),"")</f>
        <v/>
      </c>
      <c r="C470" s="208" t="str" cm="1">
        <f t="array" aca="1" ref="C470" ca="1">IFERROR(
IF($J$2="ELA",
IF(VLOOKUP($A470, YES_Reading_ELA[], COLUMN(IF(VLOOKUP($D$2, 'Reading Report Logic'!$A$2:$B$8, 2, FALSE)=1, YES_Reading_ELA[Reading Level June of Previous School Year], INDIRECT("YES_Reading_ELA[Instructional Reading Level - Per "&amp;(VLOOKUP($D$2,'Reading Report Logic'!$A$2:$B$8,2,FALSE)-1)&amp;"]"))), FALSE)="", "",
VLOOKUP($A470,YES_Reading_ELA[], COLUMN(IF(VLOOKUP($D$2,'Reading Report Logic'!$A$2:$B$8,2,FALSE)=1, YES_Reading_ELA[Reading Level June of Previous School Year],INDIRECT("YES_Reading_ELA[Instructional Reading Level - Per "&amp;(VLOOKUP($D$2,'Reading Report Logic'!$A$2:$B$8,2,FALSE)-1)&amp;"]"))), FALSE)),
IF($J$2="FLA",
IF(VLOOKUP($A470, YES_Reading_FLA[], COLUMN(IF(VLOOKUP($D$2,'Reading Report Logic'!$A$2:$B$8,2,FALSE)=1, YES_Reading_FLA[Reading Level June of Previous School Year],INDIRECT("YES_Reading_FLA[Instructional Reading Level - Per "&amp;(VLOOKUP($D$2,'Reading Report Logic'!$A$2:$B$8,2,FALSE)-1)&amp;"]"))),FALSE)="","",
VLOOKUP($A470,YES_Reading_FLA[], COLUMN(IF(VLOOKUP($D$2,'Reading Report Logic'!$A$2:$B$8,2,FALSE)=1, YES_Reading_FLA[Reading Level June of Previous School Year],INDIRECT("YES_Reading_FLA[Instructional Reading Level - Per "&amp;(VLOOKUP($D$2,'Reading Report Logic'!$A$2:$B$8,2,FALSE)-1)&amp;"]"))),FALSE)),
IF($J$2="Combined",
IFERROR(
IF(VLOOKUP($A470, YES_Reading_ELA[], COLUMN(IF(VLOOKUP($D$2,'Reading Report Logic'!$A$2:$B$8,2,FALSE)=1, YES_Reading_ELA[Reading Level June of Previous School Year],INDIRECT("YES_Reading_ELA[Instructional Reading Level - Per "&amp;(VLOOKUP($D$2,'Reading Report Logic'!$A$2:$B$8,2,FALSE)-1)&amp;"]"))), FALSE)="", "",
VLOOKUP($A470,YES_Reading_ELA[],COLUMN(IF(VLOOKUP($D$2,'Reading Report Logic'!$A$2:$B$8,2,FALSE)=1, YES_Reading_ELA[Reading Level June of Previous School Year],INDIRECT("YES_Reading_ELA[Instructional Reading Level - Per "&amp;(VLOOKUP($D$2,'Reading Report Logic'!$A$2:$B$8,2,FALSE)-1)&amp;"]"))),FALSE)),
IF(VLOOKUP($A470, YES_Reading_FLA[], COLUMN(IF(VLOOKUP($D$2,'Reading Report Logic'!$A$2:$B$8,2,FALSE)=1, YES_Reading_FLA[Reading Level June of Previous School Year],INDIRECT("YES_Reading_FLA[Instructional Reading Level - Per "&amp;(VLOOKUP($D$2,'Reading Report Logic'!$A$2:$B$8,2,FALSE)-1)&amp;"]"))),FALSE)="", "", VLOOKUP($A470,YES_Reading_FLA[],COLUMN(IF(VLOOKUP($D$2,'Reading Report Logic'!$A$2:$B$8,2,FALSE)=1, YES_Reading_FLA[Reading Level June of Previous School Year],INDIRECT("YES_Reading_FLA[Instructional Reading Level - Per "&amp;(VLOOKUP($D$2,'Reading Report Logic'!$A$2:$B$8,2,FALSE)-1)&amp;"]"))), FALSE))),""))),"")</f>
        <v/>
      </c>
      <c r="D470" s="209" t="str" cm="1">
        <f t="array" aca="1" ref="D470" ca="1">IFERROR(
IF($J$2="ELA",
IF(VLOOKUP($A470, YES_Reading_ELA[], COLUMN(INDIRECT("YES_Reading_ELA[Instructional Reading Level - Per "&amp;VLOOKUP($D$2, 'Reading Report Logic'!$A$2:$B$8, 2, FALSE)&amp;"]")), FALSE)="", "",
VLOOKUP($A470,YES_Reading_ELA[], COLUMN(INDIRECT("YES_Reading_ELA[Instructional Reading Level - Per "&amp;VLOOKUP($D$2,'Reading Report Logic'!$A$2:$B$8,2,FALSE)&amp;"]")), FALSE)),
IF($J$2="FLA",
IF(VLOOKUP($A470, YES_Reading_FLA[], COLUMN(INDIRECT("YES_Reading_FLA[Instructional Reading Level - Per "&amp;VLOOKUP($D$2,'Reading Report Logic'!$A$2:$B$8,2,FALSE)&amp;"]")),FALSE)="","",
VLOOKUP($A470,YES_Reading_FLA[],COLUMN(INDIRECT("YES_Reading_FLA[Instructional Reading Level - Per "&amp;VLOOKUP($D$2,'Reading Report Logic'!$A$2:$B$8,2,FALSE)&amp;"]")),FALSE)),
IF($J$2="Combined",
IFERROR(
IF(VLOOKUP($A470, YES_Reading_ELA[], COLUMN(INDIRECT("YES_Reading_ELA[Instructional Reading Level - Per "&amp;VLOOKUP($D$2, 'Reading Report Logic'!$A$2:$B$8,2,FALSE)&amp;"]")), FALSE)="", "",
VLOOKUP($A470,YES_Reading_ELA[],COLUMN(INDIRECT("YES_Reading_ELA[Instructional Reading Level - Per "&amp;VLOOKUP($D$2,'Reading Report Logic'!$A$2:$B$8,2,FALSE)&amp;"]")),FALSE)),
IF(VLOOKUP($A470, YES_Reading_FLA[], COLUMN(INDIRECT("YES_Reading_FLA[Instructional Reading Level - Per "&amp;VLOOKUP($D$2, 'Reading Report Logic'!$A$2:$B$8, 2, FALSE)&amp;"]")),FALSE)="", "", VLOOKUP($A470,YES_Reading_FLA[],COLUMN(INDIRECT("YES_Reading_FLA[Instructional Reading Level - Per "&amp;VLOOKUP($D$2, 'Reading Report Logic'!$A$2:$B$8, 2, FALSE)&amp;"]")),FALSE))),""))),"")</f>
        <v/>
      </c>
      <c r="E470" s="210" t="str" cm="1">
        <f t="array" aca="1" ref="E470" ca="1">IFERROR(
IF($J$2="ELA",
IF(VLOOKUP($A470, YES_Reading_ELA[], COLUMN(INDIRECT("YES_Reading_ELA[Min Expectation - Per "&amp;VLOOKUP($D$2, 'Reading Report Logic'!$A$2:$B$8, 2, FALSE)&amp;"]")), FALSE)="", "",
VLOOKUP($A470,YES_Reading_ELA[], COLUMN(INDIRECT("YES_Reading_ELA[Min Expectation - Per "&amp;VLOOKUP($D$2,'Reading Report Logic'!$A$2:$B$8,2,FALSE)&amp;"]")), FALSE)),
IF($J$2="FLA",
IF(VLOOKUP($A470, YES_Reading_FLA[], COLUMN(INDIRECT("YES_Reading_FLA[Min Expectation - Per "&amp;VLOOKUP($D$2,'Reading Report Logic'!$A$2:$B$8,2,FALSE)&amp;"]")),FALSE)="","",
VLOOKUP($A470,YES_Reading_FLA[],COLUMN(INDIRECT("YES_Reading_FLA[Min Expectation - Per "&amp;VLOOKUP($D$2,'Reading Report Logic'!$A$2:$B$8,2,FALSE)&amp;"]")),FALSE)),
IF($J$2="Combined",
IFERROR(
IF(VLOOKUP($A470, YES_Reading_ELA[], COLUMN(INDIRECT("YES_Reading_ELA[Min Expectation - Per "&amp;VLOOKUP($D$2, 'Reading Report Logic'!$A$2:$B$8,2,FALSE)&amp;"]")), FALSE)="", "",
VLOOKUP($A470,YES_Reading_ELA[],COLUMN(INDIRECT("YES_Reading_ELA[Min Expectation - Per "&amp;VLOOKUP($D$2,'Reading Report Logic'!$A$2:$B$8,2,FALSE)&amp;"]")),FALSE)),
IF(VLOOKUP($A470, YES_Reading_FLA[], COLUMN(INDIRECT("YES_Reading_FLA[Min Expectation - Per "&amp;VLOOKUP($D$2, 'Reading Report Logic'!$A$2:$B$8, 2, FALSE)&amp;"]")),FALSE)="", "", VLOOKUP($A470,YES_Reading_FLA[],COLUMN(INDIRECT("YES_Reading_FLA[Min Expectation - Per "&amp;VLOOKUP($D$2, 'Reading Report Logic'!$A$2:$B$8, 2, FALSE)&amp;"]")),FALSE))),""))),"")</f>
        <v/>
      </c>
      <c r="F470" s="210" t="str" cm="1">
        <f t="array" aca="1" ref="F470" ca="1">IFERROR(
IF($J$2="ELA",
IF(VLOOKUP($A470, YES_Reading_ELA[], COLUMN(INDIRECT("YES_Reading_ELA[Max Expectation - Per "&amp;VLOOKUP($D$2, 'Reading Report Logic'!$A$2:$B$8, 2, FALSE)&amp;"]")), FALSE)="", "",
VLOOKUP($A470,YES_Reading_ELA[], COLUMN(INDIRECT("YES_Reading_ELA[Max Expectation - Per "&amp;VLOOKUP($D$2,'Reading Report Logic'!$A$2:$B$8,2,FALSE)&amp;"]")), FALSE)),
IF($J$2="FLA",
IF(VLOOKUP($A470, YES_Reading_FLA[], COLUMN(INDIRECT("YES_Reading_FLA[Max Expectation - Per "&amp;VLOOKUP($D$2,'Reading Report Logic'!$A$2:$B$8,2,FALSE)&amp;"]")),FALSE)="","",
VLOOKUP($A470,YES_Reading_FLA[],COLUMN(INDIRECT("YES_Reading_FLA[Max Expectation - Per "&amp;VLOOKUP($D$2,'Reading Report Logic'!$A$2:$B$8,2,FALSE)&amp;"]")),FALSE)),
IF($J$2="Combined",
IFERROR(
IF(VLOOKUP($A470, YES_Reading_ELA[], COLUMN(INDIRECT("YES_Reading_ELA[Max Expectation - Per "&amp;VLOOKUP($D$2, 'Reading Report Logic'!$A$2:$B$8,2,FALSE)&amp;"]")), FALSE)="", "",
VLOOKUP($A470,YES_Reading_ELA[],COLUMN(INDIRECT("YES_Reading_ELA[Max Expectation - Per "&amp;VLOOKUP($D$2,'Reading Report Logic'!$A$2:$B$8,2,FALSE)&amp;"]")),FALSE)),
IF(VLOOKUP($A470, YES_Reading_FLA[], COLUMN(INDIRECT("YES_Reading_FLA[Max Expectation - Per "&amp;VLOOKUP($D$2, 'Reading Report Logic'!$A$2:$B$8, 2, FALSE)&amp;"]")),FALSE)="", "", VLOOKUP($A470,YES_Reading_FLA[],COLUMN(INDIRECT("YES_Reading_FLA[Max Expectation - Per "&amp;VLOOKUP($D$2, 'Reading Report Logic'!$A$2:$B$8, 2, FALSE)&amp;"]")),FALSE))),""))),"")</f>
        <v/>
      </c>
      <c r="G470" s="210" t="str" cm="1">
        <f t="array" aca="1" ref="G470" ca="1">IFERROR(
IF($J$2="ELA",
IF(VLOOKUP($A470, YES_Reading_ELA[], COLUMN(INDIRECT("YES_Reading_ELA[Difference - Per "&amp;VLOOKUP($D$2, 'Reading Report Logic'!$A$2:$B$8, 2, FALSE)&amp;"]")), FALSE)="", "",
VLOOKUP($A470,YES_Reading_ELA[], COLUMN(INDIRECT("YES_Reading_ELA[Difference - Per "&amp;VLOOKUP($D$2,'Reading Report Logic'!$A$2:$B$8,2,FALSE)&amp;"]")), FALSE)),
IF($J$2="FLA",
IF(VLOOKUP($A470, YES_Reading_FLA[], COLUMN(INDIRECT("YES_Reading_FLA[Difference - Per "&amp;VLOOKUP($D$2,'Reading Report Logic'!$A$2:$B$8,2,FALSE)&amp;"]")),FALSE)="","",
VLOOKUP($A470,YES_Reading_FLA[],COLUMN(INDIRECT("YES_Reading_FLA[Difference - Per "&amp;VLOOKUP($D$2,'Reading Report Logic'!$A$2:$B$8,2,FALSE)&amp;"]")),FALSE)),
IF($J$2="Combined",
IFERROR(
IF(VLOOKUP($A470, YES_Reading_ELA[], COLUMN(INDIRECT("YES_Reading_ELA[Difference - Per "&amp;VLOOKUP($D$2, 'Reading Report Logic'!$A$2:$B$8,2,FALSE)&amp;"]")), FALSE)="", "",
VLOOKUP($A470,YES_Reading_ELA[],COLUMN(INDIRECT("YES_Reading_ELA[Difference - Per "&amp;VLOOKUP($D$2,'Reading Report Logic'!$A$2:$B$8,2,FALSE)&amp;"]")),FALSE)),
IF(VLOOKUP($A470, YES_Reading_FLA[], COLUMN(INDIRECT("YES_Reading_FLA[Difference - Per "&amp;VLOOKUP($D$2, 'Reading Report Logic'!$A$2:$B$8, 2, FALSE)&amp;"]")),FALSE)="", "", VLOOKUP($A470,YES_Reading_FLA[],COLUMN(INDIRECT("YES_Reading_FLA[Difference - Per "&amp;VLOOKUP($D$2, 'Reading Report Logic'!$A$2:$B$8, 2, FALSE)&amp;"]")),FALSE))),""))),"")</f>
        <v/>
      </c>
      <c r="H470" s="211" t="str">
        <f ca="1">IFERROR(VLOOKUP('Teacher Reading Pull Sheets'!$D470,_xlfn.VSTACK('ELA Reading Logic'!$A$22:$B$48,'FLA Reading Logic'!$A$22:$B$53),2,FALSE)-VLOOKUP('Teacher Reading Pull Sheets'!$C470,_xlfn.VSTACK('ELA Reading Logic'!$A$22:$B$48,'FLA Reading Logic'!$A$22:$B$53),2,FALSE),"")</f>
        <v/>
      </c>
      <c r="I470" s="213"/>
      <c r="J470" s="211"/>
      <c r="K470" s="198" t="str" cm="1">
        <f t="array" ref="K470">IFERROR(
IF($J$2="ELA",
IF(VLOOKUP($A470, YES_Reading_ELA[], COLUMN(YES_Reading_ELA[Self-Identified as African Descent]), FALSE)="", "",
VLOOKUP($A470,YES_Reading_ELA[], COLUMN(YES_Reading_ELA[Self-Identified as African Descent]), FALSE)),
IF($J$2="FLA",
IF(VLOOKUP($A470, YES_Reading_FLA[], COLUMN(YES_Reading_FLA[Self-Identified as African Descent]),FALSE)="","",
VLOOKUP($A470,YES_Reading_FLA[],COLUMN(YES_Reading_FLA[Self-Identified as African Descent]),FALSE)),
IF($J$2="Combined",
IFERROR(
IF(VLOOKUP($A470, YES_Reading_ELA[], COLUMN(YES_Reading_ELA[Self-Identified as African Descent]), FALSE)="", "",
VLOOKUP($A470,YES_Reading_ELA[],COLUMN(YES_Reading_ELA[Self-Identified as African Descent]),FALSE)),
IF(VLOOKUP($A470, YES_Reading_FLA[], COLUMN(YES_Reading_FLA[Self-Identified as African Descent]),FALSE)="", "", VLOOKUP($A470,YES_Reading_FLA[],COLUMN(YES_Reading_FLA[Self-Identified as African Descent]),FALSE))),""))),"")</f>
        <v/>
      </c>
      <c r="L470" s="74" t="str" cm="1">
        <f t="array" ref="L470">IFERROR(
IF($J$2="ELA",
IF(VLOOKUP($A470, YES_Reading_ELA[], COLUMN(YES_Reading_ELA[Self-Identified as Indigenous]), FALSE)="", "",
VLOOKUP($A470,YES_Reading_ELA[], COLUMN(YES_Reading_ELA[Self-Identified as Indigenous]), FALSE)),
IF($J$2="FLA",
IF(VLOOKUP($A470, YES_Reading_FLA[], COLUMN(YES_Reading_FLA[Self-Identified as Indigenous]),FALSE)="","",
VLOOKUP($A470,YES_Reading_FLA[],COLUMN(YES_Reading_FLA[Self-Identified as Indigenous]),FALSE)),
IF($J$2="Combined",
IFERROR(
IF(VLOOKUP($A470, YES_Reading_ELA[], COLUMN(YES_Reading_ELA[Self-Identified as Indigenous]), FALSE)="", "",
VLOOKUP($A470,YES_Reading_ELA[],COLUMN(YES_Reading_ELA[Self-Identified as Indigenous]),FALSE)),
IF(VLOOKUP($A470, YES_Reading_FLA[], COLUMN(YES_Reading_FLA[Self-Identified as Indigenous]),FALSE)="", "", VLOOKUP($A470,YES_Reading_FLA[],COLUMN(YES_Reading_FLA[Self-Identified as Indigenous]),FALSE))),""))),"")</f>
        <v/>
      </c>
    </row>
    <row r="471" spans="1:12" x14ac:dyDescent="0.25">
      <c r="A471" s="214"/>
      <c r="B471" s="214" t="s">
        <v>241</v>
      </c>
      <c r="C471" s="214"/>
      <c r="D471" s="215" t="str" cm="1">
        <f t="array" ref="D471">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Set")))=$D$1)),1,1,FALSE),FALSE,FALSE),16),"")</f>
        <v/>
      </c>
      <c r="E471" s="215"/>
      <c r="F471" s="215"/>
      <c r="G471" s="215"/>
      <c r="H471" s="355" t="s">
        <v>242</v>
      </c>
      <c r="I471" s="356"/>
      <c r="J471" s="215"/>
    </row>
    <row r="472" spans="1:12" x14ac:dyDescent="0.25">
      <c r="A472" s="214"/>
      <c r="B472" s="214" t="str">
        <f>"Date: "&amp;$D$3</f>
        <v xml:space="preserve">Date: </v>
      </c>
      <c r="C472" s="214"/>
      <c r="D472" s="215"/>
      <c r="E472" s="215"/>
      <c r="F472" s="215"/>
      <c r="G472" s="215"/>
      <c r="H472" s="357" t="s">
        <v>243</v>
      </c>
      <c r="I472" s="358"/>
      <c r="J472" s="215"/>
    </row>
    <row r="473" spans="1:12" ht="15.75" thickBot="1" x14ac:dyDescent="0.3">
      <c r="A473" s="215"/>
      <c r="B473" s="215"/>
      <c r="C473" s="215"/>
      <c r="D473" s="215"/>
      <c r="E473" s="215"/>
      <c r="F473" s="215"/>
      <c r="G473" s="215"/>
      <c r="H473" s="353" t="s">
        <v>244</v>
      </c>
      <c r="I473" s="354"/>
      <c r="J473" s="215"/>
    </row>
    <row r="474" spans="1:12" ht="85.5" customHeight="1" thickBot="1" x14ac:dyDescent="0.3">
      <c r="A474" s="192" t="s">
        <v>44</v>
      </c>
      <c r="B474" s="187" t="s">
        <v>245</v>
      </c>
      <c r="C474" s="188" t="s">
        <v>246</v>
      </c>
      <c r="D474" s="188" t="s">
        <v>247</v>
      </c>
      <c r="E474" s="188" t="s">
        <v>248</v>
      </c>
      <c r="F474" s="188" t="s">
        <v>249</v>
      </c>
      <c r="G474" s="188" t="s">
        <v>250</v>
      </c>
      <c r="H474" s="189" t="s">
        <v>251</v>
      </c>
      <c r="I474" s="190" t="s">
        <v>252</v>
      </c>
      <c r="J474" s="191" t="s">
        <v>253</v>
      </c>
      <c r="K474" s="200" t="s">
        <v>256</v>
      </c>
      <c r="L474" s="201" t="s">
        <v>257</v>
      </c>
    </row>
    <row r="475" spans="1:12" ht="19.5" customHeight="1" x14ac:dyDescent="0.25">
      <c r="A475" s="216" t="e" cm="1" vm="1">
        <f t="array" aca="1" ref="A475" ca="1">_xlfn._xlws.FILTER(_xlfn.VSTACK(YES_Reading_ELA[Student Number],YES_Reading_FLA[Student Number]),_xlfn.VSTACK(YES_Reading_ELA[HomeRoom],YES_Reading_FLA[Homeroom])=D471)</f>
        <v>#VALUE!</v>
      </c>
      <c r="B475" s="219" t="str">
        <f ca="1">IFERROR(VLOOKUP(A475,_xlfn.VSTACK(YES_Reading_ELA[],YES_Reading_FLA[]),2,FALSE),"")</f>
        <v/>
      </c>
      <c r="C475" s="203" t="str" cm="1">
        <f t="array" aca="1" ref="C475" ca="1">IFERROR(
IF($J$2="ELA",
IF(VLOOKUP($A475, YES_Reading_ELA[], COLUMN(IF(VLOOKUP($D$2, 'Reading Report Logic'!$A$2:$B$8, 2, FALSE)=1, YES_Reading_ELA[Reading Level June of Previous School Year], INDIRECT("YES_Reading_ELA[Instructional Reading Level - Per "&amp;(VLOOKUP($D$2,'Reading Report Logic'!$A$2:$B$8,2,FALSE)-1)&amp;"]"))), FALSE)="", "",
VLOOKUP($A475,YES_Reading_ELA[], COLUMN(IF(VLOOKUP($D$2,'Reading Report Logic'!$A$2:$B$8,2,FALSE)=1, YES_Reading_ELA[Reading Level June of Previous School Year],INDIRECT("YES_Reading_ELA[Instructional Reading Level - Per "&amp;(VLOOKUP($D$2,'Reading Report Logic'!$A$2:$B$8,2,FALSE)-1)&amp;"]"))), FALSE)),
IF($J$2="FLA",
IF(VLOOKUP($A475, YES_Reading_FLA[], COLUMN(IF(VLOOKUP($D$2,'Reading Report Logic'!$A$2:$B$8,2,FALSE)=1, YES_Reading_FLA[Reading Level June of Previous School Year],INDIRECT("YES_Reading_FLA[Instructional Reading Level - Per "&amp;(VLOOKUP($D$2,'Reading Report Logic'!$A$2:$B$8,2,FALSE)-1)&amp;"]"))),FALSE)="","",
VLOOKUP($A475,YES_Reading_FLA[], COLUMN(IF(VLOOKUP($D$2,'Reading Report Logic'!$A$2:$B$8,2,FALSE)=1, YES_Reading_FLA[Reading Level June of Previous School Year],INDIRECT("YES_Reading_FLA[Instructional Reading Level - Per "&amp;(VLOOKUP($D$2,'Reading Report Logic'!$A$2:$B$8,2,FALSE)-1)&amp;"]"))),FALSE)),
IF($J$2="Combined",
IFERROR(
IF(VLOOKUP($A475, YES_Reading_ELA[], COLUMN(IF(VLOOKUP($D$2,'Reading Report Logic'!$A$2:$B$8,2,FALSE)=1, YES_Reading_ELA[Reading Level June of Previous School Year],INDIRECT("YES_Reading_ELA[Instructional Reading Level - Per "&amp;(VLOOKUP($D$2,'Reading Report Logic'!$A$2:$B$8,2,FALSE)-1)&amp;"]"))), FALSE)="", "",
VLOOKUP($A475,YES_Reading_ELA[],COLUMN(IF(VLOOKUP($D$2,'Reading Report Logic'!$A$2:$B$8,2,FALSE)=1, YES_Reading_ELA[Reading Level June of Previous School Year],INDIRECT("YES_Reading_ELA[Instructional Reading Level - Per "&amp;(VLOOKUP($D$2,'Reading Report Logic'!$A$2:$B$8,2,FALSE)-1)&amp;"]"))),FALSE)),
IF(VLOOKUP($A475, YES_Reading_FLA[], COLUMN(IF(VLOOKUP($D$2,'Reading Report Logic'!$A$2:$B$8,2,FALSE)=1, YES_Reading_FLA[Reading Level June of Previous School Year],INDIRECT("YES_Reading_FLA[Instructional Reading Level - Per "&amp;(VLOOKUP($D$2,'Reading Report Logic'!$A$2:$B$8,2,FALSE)-1)&amp;"]"))),FALSE)="", "", VLOOKUP($A475,YES_Reading_FLA[],COLUMN(IF(VLOOKUP($D$2,'Reading Report Logic'!$A$2:$B$8,2,FALSE)=1, YES_Reading_FLA[Reading Level June of Previous School Year],INDIRECT("YES_Reading_FLA[Instructional Reading Level - Per "&amp;(VLOOKUP($D$2,'Reading Report Logic'!$A$2:$B$8,2,FALSE)-1)&amp;"]"))), FALSE))),""))),"")</f>
        <v/>
      </c>
      <c r="D475" s="204" t="str" cm="1">
        <f t="array" aca="1" ref="D475" ca="1">IFERROR(
IF($J$2="ELA",
IF(VLOOKUP($A475, YES_Reading_ELA[], COLUMN(INDIRECT("YES_Reading_ELA[Instructional Reading Level - Per "&amp;VLOOKUP($D$2, 'Reading Report Logic'!$A$2:$B$8, 2, FALSE)&amp;"]")), FALSE)="", "",
VLOOKUP($A475,YES_Reading_ELA[], COLUMN(INDIRECT("YES_Reading_ELA[Instructional Reading Level - Per "&amp;VLOOKUP($D$2,'Reading Report Logic'!$A$2:$B$8,2,FALSE)&amp;"]")), FALSE)),
IF($J$2="FLA",
IF(VLOOKUP($A475, YES_Reading_FLA[], COLUMN(INDIRECT("YES_Reading_FLA[Instructional Reading Level - Per "&amp;VLOOKUP($D$2,'Reading Report Logic'!$A$2:$B$8,2,FALSE)&amp;"]")),FALSE)="","",
VLOOKUP($A475,YES_Reading_FLA[],COLUMN(INDIRECT("YES_Reading_FLA[Instructional Reading Level - Per "&amp;VLOOKUP($D$2,'Reading Report Logic'!$A$2:$B$8,2,FALSE)&amp;"]")),FALSE)),
IF($J$2="Combined",
IFERROR(
IF(VLOOKUP($A475, YES_Reading_ELA[], COLUMN(INDIRECT("YES_Reading_ELA[Instructional Reading Level - Per "&amp;VLOOKUP($D$2, 'Reading Report Logic'!$A$2:$B$8,2,FALSE)&amp;"]")), FALSE)="", "",
VLOOKUP($A475,YES_Reading_ELA[],COLUMN(INDIRECT("YES_Reading_ELA[Instructional Reading Level - Per "&amp;VLOOKUP($D$2,'Reading Report Logic'!$A$2:$B$8,2,FALSE)&amp;"]")),FALSE)),
IF(VLOOKUP($A475, YES_Reading_FLA[], COLUMN(INDIRECT("YES_Reading_FLA[Instructional Reading Level - Per "&amp;VLOOKUP($D$2, 'Reading Report Logic'!$A$2:$B$8, 2, FALSE)&amp;"]")),FALSE)="", "", VLOOKUP($A475,YES_Reading_FLA[],COLUMN(INDIRECT("YES_Reading_FLA[Instructional Reading Level - Per "&amp;VLOOKUP($D$2, 'Reading Report Logic'!$A$2:$B$8, 2, FALSE)&amp;"]")),FALSE))),""))),"")</f>
        <v/>
      </c>
      <c r="E475" s="205" t="str" cm="1">
        <f t="array" aca="1" ref="E475" ca="1">IFERROR(
IF($J$2="ELA",
IF(VLOOKUP($A475, YES_Reading_ELA[], COLUMN(INDIRECT("YES_Reading_ELA[Min Expectation - Per "&amp;VLOOKUP($D$2, 'Reading Report Logic'!$A$2:$B$8, 2, FALSE)&amp;"]")), FALSE)="", "",
VLOOKUP($A475,YES_Reading_ELA[], COLUMN(INDIRECT("YES_Reading_ELA[Min Expectation - Per "&amp;VLOOKUP($D$2,'Reading Report Logic'!$A$2:$B$8,2,FALSE)&amp;"]")), FALSE)),
IF($J$2="FLA",
IF(VLOOKUP($A475, YES_Reading_FLA[], COLUMN(INDIRECT("YES_Reading_FLA[Min Expectation - Per "&amp;VLOOKUP($D$2,'Reading Report Logic'!$A$2:$B$8,2,FALSE)&amp;"]")),FALSE)="","",
VLOOKUP($A475,YES_Reading_FLA[],COLUMN(INDIRECT("YES_Reading_FLA[Min Expectation - Per "&amp;VLOOKUP($D$2,'Reading Report Logic'!$A$2:$B$8,2,FALSE)&amp;"]")),FALSE)),
IF($J$2="Combined",
IFERROR(
IF(VLOOKUP($A475, YES_Reading_ELA[], COLUMN(INDIRECT("YES_Reading_ELA[Min Expectation - Per "&amp;VLOOKUP($D$2, 'Reading Report Logic'!$A$2:$B$8,2,FALSE)&amp;"]")), FALSE)="", "",
VLOOKUP($A475,YES_Reading_ELA[],COLUMN(INDIRECT("YES_Reading_ELA[Min Expectation - Per "&amp;VLOOKUP($D$2,'Reading Report Logic'!$A$2:$B$8,2,FALSE)&amp;"]")),FALSE)),
IF(VLOOKUP($A475, YES_Reading_FLA[], COLUMN(INDIRECT("YES_Reading_FLA[Min Expectation - Per "&amp;VLOOKUP($D$2, 'Reading Report Logic'!$A$2:$B$8, 2, FALSE)&amp;"]")),FALSE)="", "", VLOOKUP($A475,YES_Reading_FLA[],COLUMN(INDIRECT("YES_Reading_FLA[Min Expectation - Per "&amp;VLOOKUP($D$2, 'Reading Report Logic'!$A$2:$B$8, 2, FALSE)&amp;"]")),FALSE))),""))),"")</f>
        <v/>
      </c>
      <c r="F475" s="205" t="str" cm="1">
        <f t="array" aca="1" ref="F475" ca="1">IFERROR(
IF($J$2="ELA",
IF(VLOOKUP($A475, YES_Reading_ELA[], COLUMN(INDIRECT("YES_Reading_ELA[Max Expectation - Per "&amp;VLOOKUP($D$2, 'Reading Report Logic'!$A$2:$B$8, 2, FALSE)&amp;"]")), FALSE)="", "",
VLOOKUP($A475,YES_Reading_ELA[], COLUMN(INDIRECT("YES_Reading_ELA[Max Expectation - Per "&amp;VLOOKUP($D$2,'Reading Report Logic'!$A$2:$B$8,2,FALSE)&amp;"]")), FALSE)),
IF($J$2="FLA",
IF(VLOOKUP($A475, YES_Reading_FLA[], COLUMN(INDIRECT("YES_Reading_FLA[Max Expectation - Per "&amp;VLOOKUP($D$2,'Reading Report Logic'!$A$2:$B$8,2,FALSE)&amp;"]")),FALSE)="","",
VLOOKUP($A475,YES_Reading_FLA[],COLUMN(INDIRECT("YES_Reading_FLA[Max Expectation - Per "&amp;VLOOKUP($D$2,'Reading Report Logic'!$A$2:$B$8,2,FALSE)&amp;"]")),FALSE)),
IF($J$2="Combined",
IFERROR(
IF(VLOOKUP($A475, YES_Reading_ELA[], COLUMN(INDIRECT("YES_Reading_ELA[Max Expectation - Per "&amp;VLOOKUP($D$2, 'Reading Report Logic'!$A$2:$B$8,2,FALSE)&amp;"]")), FALSE)="", "",
VLOOKUP($A475,YES_Reading_ELA[],COLUMN(INDIRECT("YES_Reading_ELA[Max Expectation - Per "&amp;VLOOKUP($D$2,'Reading Report Logic'!$A$2:$B$8,2,FALSE)&amp;"]")),FALSE)),
IF(VLOOKUP($A475, YES_Reading_FLA[], COLUMN(INDIRECT("YES_Reading_FLA[Max Expectation - Per "&amp;VLOOKUP($D$2, 'Reading Report Logic'!$A$2:$B$8, 2, FALSE)&amp;"]")),FALSE)="", "", VLOOKUP($A475,YES_Reading_FLA[],COLUMN(INDIRECT("YES_Reading_FLA[Max Expectation - Per "&amp;VLOOKUP($D$2, 'Reading Report Logic'!$A$2:$B$8, 2, FALSE)&amp;"]")),FALSE))),""))),"")</f>
        <v/>
      </c>
      <c r="G475" s="205" t="str" cm="1">
        <f t="array" aca="1" ref="G475" ca="1">IFERROR(
IF($J$2="ELA",
IF(VLOOKUP($A475, YES_Reading_ELA[], COLUMN(INDIRECT("YES_Reading_ELA[Difference - Per "&amp;VLOOKUP($D$2, 'Reading Report Logic'!$A$2:$B$8, 2, FALSE)&amp;"]")), FALSE)="", "",
VLOOKUP($A475,YES_Reading_ELA[], COLUMN(INDIRECT("YES_Reading_ELA[Difference - Per "&amp;VLOOKUP($D$2,'Reading Report Logic'!$A$2:$B$8,2,FALSE)&amp;"]")), FALSE)),
IF($J$2="FLA",
IF(VLOOKUP($A475, YES_Reading_FLA[], COLUMN(INDIRECT("YES_Reading_FLA[Difference - Per "&amp;VLOOKUP($D$2,'Reading Report Logic'!$A$2:$B$8,2,FALSE)&amp;"]")),FALSE)="","",
VLOOKUP($A475,YES_Reading_FLA[],COLUMN(INDIRECT("YES_Reading_FLA[Difference - Per "&amp;VLOOKUP($D$2,'Reading Report Logic'!$A$2:$B$8,2,FALSE)&amp;"]")),FALSE)),
IF($J$2="Combined",
IFERROR(
IF(VLOOKUP($A475, YES_Reading_ELA[], COLUMN(INDIRECT("YES_Reading_ELA[Difference - Per "&amp;VLOOKUP($D$2, 'Reading Report Logic'!$A$2:$B$8,2,FALSE)&amp;"]")), FALSE)="", "",
VLOOKUP($A475,YES_Reading_ELA[],COLUMN(INDIRECT("YES_Reading_ELA[Difference - Per "&amp;VLOOKUP($D$2,'Reading Report Logic'!$A$2:$B$8,2,FALSE)&amp;"]")),FALSE)),
IF(VLOOKUP($A475, YES_Reading_FLA[], COLUMN(INDIRECT("YES_Reading_FLA[Difference - Per "&amp;VLOOKUP($D$2, 'Reading Report Logic'!$A$2:$B$8, 2, FALSE)&amp;"]")),FALSE)="", "", VLOOKUP($A475,YES_Reading_FLA[],COLUMN(INDIRECT("YES_Reading_FLA[Difference - Per "&amp;VLOOKUP($D$2, 'Reading Report Logic'!$A$2:$B$8, 2, FALSE)&amp;"]")),FALSE))),""))),"")</f>
        <v/>
      </c>
      <c r="H475" s="206" t="str">
        <f ca="1">IFERROR(VLOOKUP('Teacher Reading Pull Sheets'!$D475,_xlfn.VSTACK('ELA Reading Logic'!$A$22:$B$48,'FLA Reading Logic'!$A$22:$B$53),2,FALSE)-VLOOKUP('Teacher Reading Pull Sheets'!$C475,_xlfn.VSTACK('ELA Reading Logic'!$A$22:$B$48,'FLA Reading Logic'!$A$22:$B$53),2,FALSE),"")</f>
        <v/>
      </c>
      <c r="I475" s="205"/>
      <c r="J475" s="206"/>
      <c r="K475" s="24" t="str" cm="1">
        <f t="array" aca="1" ref="K475" ca="1">IFERROR(
IF($J$2="ELA",
IF(VLOOKUP($A475, YES_Reading_ELA[], COLUMN(YES_Reading_ELA[Self-Identified as African Descent]), FALSE)="", "",
VLOOKUP($A475,YES_Reading_ELA[], COLUMN(YES_Reading_ELA[Self-Identified as African Descent]), FALSE)),
IF($J$2="FLA",
IF(VLOOKUP($A475, YES_Reading_FLA[], COLUMN(YES_Reading_FLA[Self-Identified as African Descent]),FALSE)="","",
VLOOKUP($A475,YES_Reading_FLA[],COLUMN(YES_Reading_FLA[Self-Identified as African Descent]),FALSE)),
IF($J$2="Combined",
IFERROR(
IF(VLOOKUP($A475, YES_Reading_ELA[], COLUMN(YES_Reading_ELA[Self-Identified as African Descent]), FALSE)="", "",
VLOOKUP($A475,YES_Reading_ELA[],COLUMN(YES_Reading_ELA[Self-Identified as African Descent]),FALSE)),
IF(VLOOKUP($A475, YES_Reading_FLA[], COLUMN(YES_Reading_FLA[Self-Identified as African Descent]),FALSE)="", "", VLOOKUP($A475,YES_Reading_FLA[],COLUMN(YES_Reading_FLA[Self-Identified as African Descent]),FALSE))),""))),"")</f>
        <v/>
      </c>
      <c r="L475" s="199" t="str" cm="1">
        <f t="array" aca="1" ref="L475" ca="1">IFERROR(
IF($J$2="ELA",
IF(VLOOKUP($A475, YES_Reading_ELA[], COLUMN(YES_Reading_ELA[Self-Identified as Indigenous]), FALSE)="", "",
VLOOKUP($A475,YES_Reading_ELA[], COLUMN(YES_Reading_ELA[Self-Identified as Indigenous]), FALSE)),
IF($J$2="FLA",
IF(VLOOKUP($A475, YES_Reading_FLA[], COLUMN(YES_Reading_FLA[Self-Identified as Indigenous]),FALSE)="","",
VLOOKUP($A475,YES_Reading_FLA[],COLUMN(YES_Reading_FLA[Self-Identified as Indigenous]),FALSE)),
IF($J$2="Combined",
IFERROR(
IF(VLOOKUP($A475, YES_Reading_ELA[], COLUMN(YES_Reading_ELA[Self-Identified as Indigenous]), FALSE)="", "",
VLOOKUP($A475,YES_Reading_ELA[],COLUMN(YES_Reading_ELA[Self-Identified as Indigenous]),FALSE)),
IF(VLOOKUP($A475, YES_Reading_FLA[], COLUMN(YES_Reading_FLA[Self-Identified as Indigenous]),FALSE)="", "", VLOOKUP($A475,YES_Reading_FLA[],COLUMN(YES_Reading_FLA[Self-Identified as Indigenous]),FALSE))),""))),"")</f>
        <v/>
      </c>
    </row>
    <row r="476" spans="1:12" ht="19.5" customHeight="1" x14ac:dyDescent="0.25">
      <c r="A476" s="217"/>
      <c r="B476" s="220" t="str">
        <f>IFERROR(VLOOKUP(A476,_xlfn.VSTACK(YES_Reading_ELA[],YES_Reading_FLA[]),2,FALSE),"")</f>
        <v/>
      </c>
      <c r="C476" s="203" t="str" cm="1">
        <f t="array" aca="1" ref="C476" ca="1">IFERROR(
IF($J$2="ELA",
IF(VLOOKUP($A476, YES_Reading_ELA[], COLUMN(IF(VLOOKUP($D$2, 'Reading Report Logic'!$A$2:$B$8, 2, FALSE)=1, YES_Reading_ELA[Reading Level June of Previous School Year], INDIRECT("YES_Reading_ELA[Instructional Reading Level - Per "&amp;(VLOOKUP($D$2,'Reading Report Logic'!$A$2:$B$8,2,FALSE)-1)&amp;"]"))), FALSE)="", "",
VLOOKUP($A476,YES_Reading_ELA[], COLUMN(IF(VLOOKUP($D$2,'Reading Report Logic'!$A$2:$B$8,2,FALSE)=1, YES_Reading_ELA[Reading Level June of Previous School Year],INDIRECT("YES_Reading_ELA[Instructional Reading Level - Per "&amp;(VLOOKUP($D$2,'Reading Report Logic'!$A$2:$B$8,2,FALSE)-1)&amp;"]"))), FALSE)),
IF($J$2="FLA",
IF(VLOOKUP($A476, YES_Reading_FLA[], COLUMN(IF(VLOOKUP($D$2,'Reading Report Logic'!$A$2:$B$8,2,FALSE)=1, YES_Reading_FLA[Reading Level June of Previous School Year],INDIRECT("YES_Reading_FLA[Instructional Reading Level - Per "&amp;(VLOOKUP($D$2,'Reading Report Logic'!$A$2:$B$8,2,FALSE)-1)&amp;"]"))),FALSE)="","",
VLOOKUP($A476,YES_Reading_FLA[], COLUMN(IF(VLOOKUP($D$2,'Reading Report Logic'!$A$2:$B$8,2,FALSE)=1, YES_Reading_FLA[Reading Level June of Previous School Year],INDIRECT("YES_Reading_FLA[Instructional Reading Level - Per "&amp;(VLOOKUP($D$2,'Reading Report Logic'!$A$2:$B$8,2,FALSE)-1)&amp;"]"))),FALSE)),
IF($J$2="Combined",
IFERROR(
IF(VLOOKUP($A476, YES_Reading_ELA[], COLUMN(IF(VLOOKUP($D$2,'Reading Report Logic'!$A$2:$B$8,2,FALSE)=1, YES_Reading_ELA[Reading Level June of Previous School Year],INDIRECT("YES_Reading_ELA[Instructional Reading Level - Per "&amp;(VLOOKUP($D$2,'Reading Report Logic'!$A$2:$B$8,2,FALSE)-1)&amp;"]"))), FALSE)="", "",
VLOOKUP($A476,YES_Reading_ELA[],COLUMN(IF(VLOOKUP($D$2,'Reading Report Logic'!$A$2:$B$8,2,FALSE)=1, YES_Reading_ELA[Reading Level June of Previous School Year],INDIRECT("YES_Reading_ELA[Instructional Reading Level - Per "&amp;(VLOOKUP($D$2,'Reading Report Logic'!$A$2:$B$8,2,FALSE)-1)&amp;"]"))),FALSE)),
IF(VLOOKUP($A476, YES_Reading_FLA[], COLUMN(IF(VLOOKUP($D$2,'Reading Report Logic'!$A$2:$B$8,2,FALSE)=1, YES_Reading_FLA[Reading Level June of Previous School Year],INDIRECT("YES_Reading_FLA[Instructional Reading Level - Per "&amp;(VLOOKUP($D$2,'Reading Report Logic'!$A$2:$B$8,2,FALSE)-1)&amp;"]"))),FALSE)="", "", VLOOKUP($A476,YES_Reading_FLA[],COLUMN(IF(VLOOKUP($D$2,'Reading Report Logic'!$A$2:$B$8,2,FALSE)=1, YES_Reading_FLA[Reading Level June of Previous School Year],INDIRECT("YES_Reading_FLA[Instructional Reading Level - Per "&amp;(VLOOKUP($D$2,'Reading Report Logic'!$A$2:$B$8,2,FALSE)-1)&amp;"]"))), FALSE))),""))),"")</f>
        <v/>
      </c>
      <c r="D476" s="204" t="str" cm="1">
        <f t="array" aca="1" ref="D476" ca="1">IFERROR(
IF($J$2="ELA",
IF(VLOOKUP($A476, YES_Reading_ELA[], COLUMN(INDIRECT("YES_Reading_ELA[Instructional Reading Level - Per "&amp;VLOOKUP($D$2, 'Reading Report Logic'!$A$2:$B$8, 2, FALSE)&amp;"]")), FALSE)="", "",
VLOOKUP($A476,YES_Reading_ELA[], COLUMN(INDIRECT("YES_Reading_ELA[Instructional Reading Level - Per "&amp;VLOOKUP($D$2,'Reading Report Logic'!$A$2:$B$8,2,FALSE)&amp;"]")), FALSE)),
IF($J$2="FLA",
IF(VLOOKUP($A476, YES_Reading_FLA[], COLUMN(INDIRECT("YES_Reading_FLA[Instructional Reading Level - Per "&amp;VLOOKUP($D$2,'Reading Report Logic'!$A$2:$B$8,2,FALSE)&amp;"]")),FALSE)="","",
VLOOKUP($A476,YES_Reading_FLA[],COLUMN(INDIRECT("YES_Reading_FLA[Instructional Reading Level - Per "&amp;VLOOKUP($D$2,'Reading Report Logic'!$A$2:$B$8,2,FALSE)&amp;"]")),FALSE)),
IF($J$2="Combined",
IFERROR(
IF(VLOOKUP($A476, YES_Reading_ELA[], COLUMN(INDIRECT("YES_Reading_ELA[Instructional Reading Level - Per "&amp;VLOOKUP($D$2, 'Reading Report Logic'!$A$2:$B$8,2,FALSE)&amp;"]")), FALSE)="", "",
VLOOKUP($A476,YES_Reading_ELA[],COLUMN(INDIRECT("YES_Reading_ELA[Instructional Reading Level - Per "&amp;VLOOKUP($D$2,'Reading Report Logic'!$A$2:$B$8,2,FALSE)&amp;"]")),FALSE)),
IF(VLOOKUP($A476, YES_Reading_FLA[], COLUMN(INDIRECT("YES_Reading_FLA[Instructional Reading Level - Per "&amp;VLOOKUP($D$2, 'Reading Report Logic'!$A$2:$B$8, 2, FALSE)&amp;"]")),FALSE)="", "", VLOOKUP($A476,YES_Reading_FLA[],COLUMN(INDIRECT("YES_Reading_FLA[Instructional Reading Level - Per "&amp;VLOOKUP($D$2, 'Reading Report Logic'!$A$2:$B$8, 2, FALSE)&amp;"]")),FALSE))),""))),"")</f>
        <v/>
      </c>
      <c r="E476" s="205" t="str" cm="1">
        <f t="array" aca="1" ref="E476" ca="1">IFERROR(
IF($J$2="ELA",
IF(VLOOKUP($A476, YES_Reading_ELA[], COLUMN(INDIRECT("YES_Reading_ELA[Min Expectation - Per "&amp;VLOOKUP($D$2, 'Reading Report Logic'!$A$2:$B$8, 2, FALSE)&amp;"]")), FALSE)="", "",
VLOOKUP($A476,YES_Reading_ELA[], COLUMN(INDIRECT("YES_Reading_ELA[Min Expectation - Per "&amp;VLOOKUP($D$2,'Reading Report Logic'!$A$2:$B$8,2,FALSE)&amp;"]")), FALSE)),
IF($J$2="FLA",
IF(VLOOKUP($A476, YES_Reading_FLA[], COLUMN(INDIRECT("YES_Reading_FLA[Min Expectation - Per "&amp;VLOOKUP($D$2,'Reading Report Logic'!$A$2:$B$8,2,FALSE)&amp;"]")),FALSE)="","",
VLOOKUP($A476,YES_Reading_FLA[],COLUMN(INDIRECT("YES_Reading_FLA[Min Expectation - Per "&amp;VLOOKUP($D$2,'Reading Report Logic'!$A$2:$B$8,2,FALSE)&amp;"]")),FALSE)),
IF($J$2="Combined",
IFERROR(
IF(VLOOKUP($A476, YES_Reading_ELA[], COLUMN(INDIRECT("YES_Reading_ELA[Min Expectation - Per "&amp;VLOOKUP($D$2, 'Reading Report Logic'!$A$2:$B$8,2,FALSE)&amp;"]")), FALSE)="", "",
VLOOKUP($A476,YES_Reading_ELA[],COLUMN(INDIRECT("YES_Reading_ELA[Min Expectation - Per "&amp;VLOOKUP($D$2,'Reading Report Logic'!$A$2:$B$8,2,FALSE)&amp;"]")),FALSE)),
IF(VLOOKUP($A476, YES_Reading_FLA[], COLUMN(INDIRECT("YES_Reading_FLA[Min Expectation - Per "&amp;VLOOKUP($D$2, 'Reading Report Logic'!$A$2:$B$8, 2, FALSE)&amp;"]")),FALSE)="", "", VLOOKUP($A476,YES_Reading_FLA[],COLUMN(INDIRECT("YES_Reading_FLA[Min Expectation - Per "&amp;VLOOKUP($D$2, 'Reading Report Logic'!$A$2:$B$8, 2, FALSE)&amp;"]")),FALSE))),""))),"")</f>
        <v/>
      </c>
      <c r="F476" s="205" t="str" cm="1">
        <f t="array" aca="1" ref="F476" ca="1">IFERROR(
IF($J$2="ELA",
IF(VLOOKUP($A476, YES_Reading_ELA[], COLUMN(INDIRECT("YES_Reading_ELA[Max Expectation - Per "&amp;VLOOKUP($D$2, 'Reading Report Logic'!$A$2:$B$8, 2, FALSE)&amp;"]")), FALSE)="", "",
VLOOKUP($A476,YES_Reading_ELA[], COLUMN(INDIRECT("YES_Reading_ELA[Max Expectation - Per "&amp;VLOOKUP($D$2,'Reading Report Logic'!$A$2:$B$8,2,FALSE)&amp;"]")), FALSE)),
IF($J$2="FLA",
IF(VLOOKUP($A476, YES_Reading_FLA[], COLUMN(INDIRECT("YES_Reading_FLA[Max Expectation - Per "&amp;VLOOKUP($D$2,'Reading Report Logic'!$A$2:$B$8,2,FALSE)&amp;"]")),FALSE)="","",
VLOOKUP($A476,YES_Reading_FLA[],COLUMN(INDIRECT("YES_Reading_FLA[Max Expectation - Per "&amp;VLOOKUP($D$2,'Reading Report Logic'!$A$2:$B$8,2,FALSE)&amp;"]")),FALSE)),
IF($J$2="Combined",
IFERROR(
IF(VLOOKUP($A476, YES_Reading_ELA[], COLUMN(INDIRECT("YES_Reading_ELA[Max Expectation - Per "&amp;VLOOKUP($D$2, 'Reading Report Logic'!$A$2:$B$8,2,FALSE)&amp;"]")), FALSE)="", "",
VLOOKUP($A476,YES_Reading_ELA[],COLUMN(INDIRECT("YES_Reading_ELA[Max Expectation - Per "&amp;VLOOKUP($D$2,'Reading Report Logic'!$A$2:$B$8,2,FALSE)&amp;"]")),FALSE)),
IF(VLOOKUP($A476, YES_Reading_FLA[], COLUMN(INDIRECT("YES_Reading_FLA[Max Expectation - Per "&amp;VLOOKUP($D$2, 'Reading Report Logic'!$A$2:$B$8, 2, FALSE)&amp;"]")),FALSE)="", "", VLOOKUP($A476,YES_Reading_FLA[],COLUMN(INDIRECT("YES_Reading_FLA[Max Expectation - Per "&amp;VLOOKUP($D$2, 'Reading Report Logic'!$A$2:$B$8, 2, FALSE)&amp;"]")),FALSE))),""))),"")</f>
        <v/>
      </c>
      <c r="G476" s="205" t="str" cm="1">
        <f t="array" aca="1" ref="G476" ca="1">IFERROR(
IF($J$2="ELA",
IF(VLOOKUP($A476, YES_Reading_ELA[], COLUMN(INDIRECT("YES_Reading_ELA[Difference - Per "&amp;VLOOKUP($D$2, 'Reading Report Logic'!$A$2:$B$8, 2, FALSE)&amp;"]")), FALSE)="", "",
VLOOKUP($A476,YES_Reading_ELA[], COLUMN(INDIRECT("YES_Reading_ELA[Difference - Per "&amp;VLOOKUP($D$2,'Reading Report Logic'!$A$2:$B$8,2,FALSE)&amp;"]")), FALSE)),
IF($J$2="FLA",
IF(VLOOKUP($A476, YES_Reading_FLA[], COLUMN(INDIRECT("YES_Reading_FLA[Difference - Per "&amp;VLOOKUP($D$2,'Reading Report Logic'!$A$2:$B$8,2,FALSE)&amp;"]")),FALSE)="","",
VLOOKUP($A476,YES_Reading_FLA[],COLUMN(INDIRECT("YES_Reading_FLA[Difference - Per "&amp;VLOOKUP($D$2,'Reading Report Logic'!$A$2:$B$8,2,FALSE)&amp;"]")),FALSE)),
IF($J$2="Combined",
IFERROR(
IF(VLOOKUP($A476, YES_Reading_ELA[], COLUMN(INDIRECT("YES_Reading_ELA[Difference - Per "&amp;VLOOKUP($D$2, 'Reading Report Logic'!$A$2:$B$8,2,FALSE)&amp;"]")), FALSE)="", "",
VLOOKUP($A476,YES_Reading_ELA[],COLUMN(INDIRECT("YES_Reading_ELA[Difference - Per "&amp;VLOOKUP($D$2,'Reading Report Logic'!$A$2:$B$8,2,FALSE)&amp;"]")),FALSE)),
IF(VLOOKUP($A476, YES_Reading_FLA[], COLUMN(INDIRECT("YES_Reading_FLA[Difference - Per "&amp;VLOOKUP($D$2, 'Reading Report Logic'!$A$2:$B$8, 2, FALSE)&amp;"]")),FALSE)="", "", VLOOKUP($A476,YES_Reading_FLA[],COLUMN(INDIRECT("YES_Reading_FLA[Difference - Per "&amp;VLOOKUP($D$2, 'Reading Report Logic'!$A$2:$B$8, 2, FALSE)&amp;"]")),FALSE))),""))),"")</f>
        <v/>
      </c>
      <c r="H476" s="206" t="str">
        <f ca="1">IFERROR(VLOOKUP('Teacher Reading Pull Sheets'!$D476,_xlfn.VSTACK('ELA Reading Logic'!$A$22:$B$48,'FLA Reading Logic'!$A$22:$B$53),2,FALSE)-VLOOKUP('Teacher Reading Pull Sheets'!$C476,_xlfn.VSTACK('ELA Reading Logic'!$A$22:$B$48,'FLA Reading Logic'!$A$22:$B$53),2,FALSE),"")</f>
        <v/>
      </c>
      <c r="I476" s="212"/>
      <c r="J476" s="206"/>
      <c r="K476" s="197" t="str" cm="1">
        <f t="array" ref="K476">IFERROR(
IF($J$2="ELA",
IF(VLOOKUP($A476, YES_Reading_ELA[], COLUMN(YES_Reading_ELA[Self-Identified as African Descent]), FALSE)="", "",
VLOOKUP($A476,YES_Reading_ELA[], COLUMN(YES_Reading_ELA[Self-Identified as African Descent]), FALSE)),
IF($J$2="FLA",
IF(VLOOKUP($A476, YES_Reading_FLA[], COLUMN(YES_Reading_FLA[Self-Identified as African Descent]),FALSE)="","",
VLOOKUP($A476,YES_Reading_FLA[],COLUMN(YES_Reading_FLA[Self-Identified as African Descent]),FALSE)),
IF($J$2="Combined",
IFERROR(
IF(VLOOKUP($A476, YES_Reading_ELA[], COLUMN(YES_Reading_ELA[Self-Identified as African Descent]), FALSE)="", "",
VLOOKUP($A476,YES_Reading_ELA[],COLUMN(YES_Reading_ELA[Self-Identified as African Descent]),FALSE)),
IF(VLOOKUP($A476, YES_Reading_FLA[], COLUMN(YES_Reading_FLA[Self-Identified as African Descent]),FALSE)="", "", VLOOKUP($A476,YES_Reading_FLA[],COLUMN(YES_Reading_FLA[Self-Identified as African Descent]),FALSE))),""))),"")</f>
        <v/>
      </c>
      <c r="L476" s="73" t="str" cm="1">
        <f t="array" ref="L476">IFERROR(
IF($J$2="ELA",
IF(VLOOKUP($A476, YES_Reading_ELA[], COLUMN(YES_Reading_ELA[Self-Identified as Indigenous]), FALSE)="", "",
VLOOKUP($A476,YES_Reading_ELA[], COLUMN(YES_Reading_ELA[Self-Identified as Indigenous]), FALSE)),
IF($J$2="FLA",
IF(VLOOKUP($A476, YES_Reading_FLA[], COLUMN(YES_Reading_FLA[Self-Identified as Indigenous]),FALSE)="","",
VLOOKUP($A476,YES_Reading_FLA[],COLUMN(YES_Reading_FLA[Self-Identified as Indigenous]),FALSE)),
IF($J$2="Combined",
IFERROR(
IF(VLOOKUP($A476, YES_Reading_ELA[], COLUMN(YES_Reading_ELA[Self-Identified as Indigenous]), FALSE)="", "",
VLOOKUP($A476,YES_Reading_ELA[],COLUMN(YES_Reading_ELA[Self-Identified as Indigenous]),FALSE)),
IF(VLOOKUP($A476, YES_Reading_FLA[], COLUMN(YES_Reading_FLA[Self-Identified as Indigenous]),FALSE)="", "", VLOOKUP($A476,YES_Reading_FLA[],COLUMN(YES_Reading_FLA[Self-Identified as Indigenous]),FALSE))),""))),"")</f>
        <v/>
      </c>
    </row>
    <row r="477" spans="1:12" ht="19.5" customHeight="1" x14ac:dyDescent="0.25">
      <c r="A477" s="217"/>
      <c r="B477" s="220" t="str">
        <f>IFERROR(VLOOKUP(A477,_xlfn.VSTACK(YES_Reading_ELA[],YES_Reading_FLA[]),2,FALSE),"")</f>
        <v/>
      </c>
      <c r="C477" s="203" t="str" cm="1">
        <f t="array" aca="1" ref="C477" ca="1">IFERROR(
IF($J$2="ELA",
IF(VLOOKUP($A477, YES_Reading_ELA[], COLUMN(IF(VLOOKUP($D$2, 'Reading Report Logic'!$A$2:$B$8, 2, FALSE)=1, YES_Reading_ELA[Reading Level June of Previous School Year], INDIRECT("YES_Reading_ELA[Instructional Reading Level - Per "&amp;(VLOOKUP($D$2,'Reading Report Logic'!$A$2:$B$8,2,FALSE)-1)&amp;"]"))), FALSE)="", "",
VLOOKUP($A477,YES_Reading_ELA[], COLUMN(IF(VLOOKUP($D$2,'Reading Report Logic'!$A$2:$B$8,2,FALSE)=1, YES_Reading_ELA[Reading Level June of Previous School Year],INDIRECT("YES_Reading_ELA[Instructional Reading Level - Per "&amp;(VLOOKUP($D$2,'Reading Report Logic'!$A$2:$B$8,2,FALSE)-1)&amp;"]"))), FALSE)),
IF($J$2="FLA",
IF(VLOOKUP($A477, YES_Reading_FLA[], COLUMN(IF(VLOOKUP($D$2,'Reading Report Logic'!$A$2:$B$8,2,FALSE)=1, YES_Reading_FLA[Reading Level June of Previous School Year],INDIRECT("YES_Reading_FLA[Instructional Reading Level - Per "&amp;(VLOOKUP($D$2,'Reading Report Logic'!$A$2:$B$8,2,FALSE)-1)&amp;"]"))),FALSE)="","",
VLOOKUP($A477,YES_Reading_FLA[], COLUMN(IF(VLOOKUP($D$2,'Reading Report Logic'!$A$2:$B$8,2,FALSE)=1, YES_Reading_FLA[Reading Level June of Previous School Year],INDIRECT("YES_Reading_FLA[Instructional Reading Level - Per "&amp;(VLOOKUP($D$2,'Reading Report Logic'!$A$2:$B$8,2,FALSE)-1)&amp;"]"))),FALSE)),
IF($J$2="Combined",
IFERROR(
IF(VLOOKUP($A477, YES_Reading_ELA[], COLUMN(IF(VLOOKUP($D$2,'Reading Report Logic'!$A$2:$B$8,2,FALSE)=1, YES_Reading_ELA[Reading Level June of Previous School Year],INDIRECT("YES_Reading_ELA[Instructional Reading Level - Per "&amp;(VLOOKUP($D$2,'Reading Report Logic'!$A$2:$B$8,2,FALSE)-1)&amp;"]"))), FALSE)="", "",
VLOOKUP($A477,YES_Reading_ELA[],COLUMN(IF(VLOOKUP($D$2,'Reading Report Logic'!$A$2:$B$8,2,FALSE)=1, YES_Reading_ELA[Reading Level June of Previous School Year],INDIRECT("YES_Reading_ELA[Instructional Reading Level - Per "&amp;(VLOOKUP($D$2,'Reading Report Logic'!$A$2:$B$8,2,FALSE)-1)&amp;"]"))),FALSE)),
IF(VLOOKUP($A477, YES_Reading_FLA[], COLUMN(IF(VLOOKUP($D$2,'Reading Report Logic'!$A$2:$B$8,2,FALSE)=1, YES_Reading_FLA[Reading Level June of Previous School Year],INDIRECT("YES_Reading_FLA[Instructional Reading Level - Per "&amp;(VLOOKUP($D$2,'Reading Report Logic'!$A$2:$B$8,2,FALSE)-1)&amp;"]"))),FALSE)="", "", VLOOKUP($A477,YES_Reading_FLA[],COLUMN(IF(VLOOKUP($D$2,'Reading Report Logic'!$A$2:$B$8,2,FALSE)=1, YES_Reading_FLA[Reading Level June of Previous School Year],INDIRECT("YES_Reading_FLA[Instructional Reading Level - Per "&amp;(VLOOKUP($D$2,'Reading Report Logic'!$A$2:$B$8,2,FALSE)-1)&amp;"]"))), FALSE))),""))),"")</f>
        <v/>
      </c>
      <c r="D477" s="204" t="str" cm="1">
        <f t="array" aca="1" ref="D477" ca="1">IFERROR(
IF($J$2="ELA",
IF(VLOOKUP($A477, YES_Reading_ELA[], COLUMN(INDIRECT("YES_Reading_ELA[Instructional Reading Level - Per "&amp;VLOOKUP($D$2, 'Reading Report Logic'!$A$2:$B$8, 2, FALSE)&amp;"]")), FALSE)="", "",
VLOOKUP($A477,YES_Reading_ELA[], COLUMN(INDIRECT("YES_Reading_ELA[Instructional Reading Level - Per "&amp;VLOOKUP($D$2,'Reading Report Logic'!$A$2:$B$8,2,FALSE)&amp;"]")), FALSE)),
IF($J$2="FLA",
IF(VLOOKUP($A477, YES_Reading_FLA[], COLUMN(INDIRECT("YES_Reading_FLA[Instructional Reading Level - Per "&amp;VLOOKUP($D$2,'Reading Report Logic'!$A$2:$B$8,2,FALSE)&amp;"]")),FALSE)="","",
VLOOKUP($A477,YES_Reading_FLA[],COLUMN(INDIRECT("YES_Reading_FLA[Instructional Reading Level - Per "&amp;VLOOKUP($D$2,'Reading Report Logic'!$A$2:$B$8,2,FALSE)&amp;"]")),FALSE)),
IF($J$2="Combined",
IFERROR(
IF(VLOOKUP($A477, YES_Reading_ELA[], COLUMN(INDIRECT("YES_Reading_ELA[Instructional Reading Level - Per "&amp;VLOOKUP($D$2, 'Reading Report Logic'!$A$2:$B$8,2,FALSE)&amp;"]")), FALSE)="", "",
VLOOKUP($A477,YES_Reading_ELA[],COLUMN(INDIRECT("YES_Reading_ELA[Instructional Reading Level - Per "&amp;VLOOKUP($D$2,'Reading Report Logic'!$A$2:$B$8,2,FALSE)&amp;"]")),FALSE)),
IF(VLOOKUP($A477, YES_Reading_FLA[], COLUMN(INDIRECT("YES_Reading_FLA[Instructional Reading Level - Per "&amp;VLOOKUP($D$2, 'Reading Report Logic'!$A$2:$B$8, 2, FALSE)&amp;"]")),FALSE)="", "", VLOOKUP($A477,YES_Reading_FLA[],COLUMN(INDIRECT("YES_Reading_FLA[Instructional Reading Level - Per "&amp;VLOOKUP($D$2, 'Reading Report Logic'!$A$2:$B$8, 2, FALSE)&amp;"]")),FALSE))),""))),"")</f>
        <v/>
      </c>
      <c r="E477" s="205" t="str" cm="1">
        <f t="array" aca="1" ref="E477" ca="1">IFERROR(
IF($J$2="ELA",
IF(VLOOKUP($A477, YES_Reading_ELA[], COLUMN(INDIRECT("YES_Reading_ELA[Min Expectation - Per "&amp;VLOOKUP($D$2, 'Reading Report Logic'!$A$2:$B$8, 2, FALSE)&amp;"]")), FALSE)="", "",
VLOOKUP($A477,YES_Reading_ELA[], COLUMN(INDIRECT("YES_Reading_ELA[Min Expectation - Per "&amp;VLOOKUP($D$2,'Reading Report Logic'!$A$2:$B$8,2,FALSE)&amp;"]")), FALSE)),
IF($J$2="FLA",
IF(VLOOKUP($A477, YES_Reading_FLA[], COLUMN(INDIRECT("YES_Reading_FLA[Min Expectation - Per "&amp;VLOOKUP($D$2,'Reading Report Logic'!$A$2:$B$8,2,FALSE)&amp;"]")),FALSE)="","",
VLOOKUP($A477,YES_Reading_FLA[],COLUMN(INDIRECT("YES_Reading_FLA[Min Expectation - Per "&amp;VLOOKUP($D$2,'Reading Report Logic'!$A$2:$B$8,2,FALSE)&amp;"]")),FALSE)),
IF($J$2="Combined",
IFERROR(
IF(VLOOKUP($A477, YES_Reading_ELA[], COLUMN(INDIRECT("YES_Reading_ELA[Min Expectation - Per "&amp;VLOOKUP($D$2, 'Reading Report Logic'!$A$2:$B$8,2,FALSE)&amp;"]")), FALSE)="", "",
VLOOKUP($A477,YES_Reading_ELA[],COLUMN(INDIRECT("YES_Reading_ELA[Min Expectation - Per "&amp;VLOOKUP($D$2,'Reading Report Logic'!$A$2:$B$8,2,FALSE)&amp;"]")),FALSE)),
IF(VLOOKUP($A477, YES_Reading_FLA[], COLUMN(INDIRECT("YES_Reading_FLA[Min Expectation - Per "&amp;VLOOKUP($D$2, 'Reading Report Logic'!$A$2:$B$8, 2, FALSE)&amp;"]")),FALSE)="", "", VLOOKUP($A477,YES_Reading_FLA[],COLUMN(INDIRECT("YES_Reading_FLA[Min Expectation - Per "&amp;VLOOKUP($D$2, 'Reading Report Logic'!$A$2:$B$8, 2, FALSE)&amp;"]")),FALSE))),""))),"")</f>
        <v/>
      </c>
      <c r="F477" s="205" t="str" cm="1">
        <f t="array" aca="1" ref="F477" ca="1">IFERROR(
IF($J$2="ELA",
IF(VLOOKUP($A477, YES_Reading_ELA[], COLUMN(INDIRECT("YES_Reading_ELA[Max Expectation - Per "&amp;VLOOKUP($D$2, 'Reading Report Logic'!$A$2:$B$8, 2, FALSE)&amp;"]")), FALSE)="", "",
VLOOKUP($A477,YES_Reading_ELA[], COLUMN(INDIRECT("YES_Reading_ELA[Max Expectation - Per "&amp;VLOOKUP($D$2,'Reading Report Logic'!$A$2:$B$8,2,FALSE)&amp;"]")), FALSE)),
IF($J$2="FLA",
IF(VLOOKUP($A477, YES_Reading_FLA[], COLUMN(INDIRECT("YES_Reading_FLA[Max Expectation - Per "&amp;VLOOKUP($D$2,'Reading Report Logic'!$A$2:$B$8,2,FALSE)&amp;"]")),FALSE)="","",
VLOOKUP($A477,YES_Reading_FLA[],COLUMN(INDIRECT("YES_Reading_FLA[Max Expectation - Per "&amp;VLOOKUP($D$2,'Reading Report Logic'!$A$2:$B$8,2,FALSE)&amp;"]")),FALSE)),
IF($J$2="Combined",
IFERROR(
IF(VLOOKUP($A477, YES_Reading_ELA[], COLUMN(INDIRECT("YES_Reading_ELA[Max Expectation - Per "&amp;VLOOKUP($D$2, 'Reading Report Logic'!$A$2:$B$8,2,FALSE)&amp;"]")), FALSE)="", "",
VLOOKUP($A477,YES_Reading_ELA[],COLUMN(INDIRECT("YES_Reading_ELA[Max Expectation - Per "&amp;VLOOKUP($D$2,'Reading Report Logic'!$A$2:$B$8,2,FALSE)&amp;"]")),FALSE)),
IF(VLOOKUP($A477, YES_Reading_FLA[], COLUMN(INDIRECT("YES_Reading_FLA[Max Expectation - Per "&amp;VLOOKUP($D$2, 'Reading Report Logic'!$A$2:$B$8, 2, FALSE)&amp;"]")),FALSE)="", "", VLOOKUP($A477,YES_Reading_FLA[],COLUMN(INDIRECT("YES_Reading_FLA[Max Expectation - Per "&amp;VLOOKUP($D$2, 'Reading Report Logic'!$A$2:$B$8, 2, FALSE)&amp;"]")),FALSE))),""))),"")</f>
        <v/>
      </c>
      <c r="G477" s="205" t="str" cm="1">
        <f t="array" aca="1" ref="G477" ca="1">IFERROR(
IF($J$2="ELA",
IF(VLOOKUP($A477, YES_Reading_ELA[], COLUMN(INDIRECT("YES_Reading_ELA[Difference - Per "&amp;VLOOKUP($D$2, 'Reading Report Logic'!$A$2:$B$8, 2, FALSE)&amp;"]")), FALSE)="", "",
VLOOKUP($A477,YES_Reading_ELA[], COLUMN(INDIRECT("YES_Reading_ELA[Difference - Per "&amp;VLOOKUP($D$2,'Reading Report Logic'!$A$2:$B$8,2,FALSE)&amp;"]")), FALSE)),
IF($J$2="FLA",
IF(VLOOKUP($A477, YES_Reading_FLA[], COLUMN(INDIRECT("YES_Reading_FLA[Difference - Per "&amp;VLOOKUP($D$2,'Reading Report Logic'!$A$2:$B$8,2,FALSE)&amp;"]")),FALSE)="","",
VLOOKUP($A477,YES_Reading_FLA[],COLUMN(INDIRECT("YES_Reading_FLA[Difference - Per "&amp;VLOOKUP($D$2,'Reading Report Logic'!$A$2:$B$8,2,FALSE)&amp;"]")),FALSE)),
IF($J$2="Combined",
IFERROR(
IF(VLOOKUP($A477, YES_Reading_ELA[], COLUMN(INDIRECT("YES_Reading_ELA[Difference - Per "&amp;VLOOKUP($D$2, 'Reading Report Logic'!$A$2:$B$8,2,FALSE)&amp;"]")), FALSE)="", "",
VLOOKUP($A477,YES_Reading_ELA[],COLUMN(INDIRECT("YES_Reading_ELA[Difference - Per "&amp;VLOOKUP($D$2,'Reading Report Logic'!$A$2:$B$8,2,FALSE)&amp;"]")),FALSE)),
IF(VLOOKUP($A477, YES_Reading_FLA[], COLUMN(INDIRECT("YES_Reading_FLA[Difference - Per "&amp;VLOOKUP($D$2, 'Reading Report Logic'!$A$2:$B$8, 2, FALSE)&amp;"]")),FALSE)="", "", VLOOKUP($A477,YES_Reading_FLA[],COLUMN(INDIRECT("YES_Reading_FLA[Difference - Per "&amp;VLOOKUP($D$2, 'Reading Report Logic'!$A$2:$B$8, 2, FALSE)&amp;"]")),FALSE))),""))),"")</f>
        <v/>
      </c>
      <c r="H477" s="206" t="str">
        <f ca="1">IFERROR(VLOOKUP('Teacher Reading Pull Sheets'!$D477,_xlfn.VSTACK('ELA Reading Logic'!$A$22:$B$48,'FLA Reading Logic'!$A$22:$B$53),2,FALSE)-VLOOKUP('Teacher Reading Pull Sheets'!$C477,_xlfn.VSTACK('ELA Reading Logic'!$A$22:$B$48,'FLA Reading Logic'!$A$22:$B$53),2,FALSE),"")</f>
        <v/>
      </c>
      <c r="I477" s="212"/>
      <c r="J477" s="206"/>
      <c r="K477" s="197" t="str" cm="1">
        <f t="array" ref="K477">IFERROR(
IF($J$2="ELA",
IF(VLOOKUP($A477, YES_Reading_ELA[], COLUMN(YES_Reading_ELA[Self-Identified as African Descent]), FALSE)="", "",
VLOOKUP($A477,YES_Reading_ELA[], COLUMN(YES_Reading_ELA[Self-Identified as African Descent]), FALSE)),
IF($J$2="FLA",
IF(VLOOKUP($A477, YES_Reading_FLA[], COLUMN(YES_Reading_FLA[Self-Identified as African Descent]),FALSE)="","",
VLOOKUP($A477,YES_Reading_FLA[],COLUMN(YES_Reading_FLA[Self-Identified as African Descent]),FALSE)),
IF($J$2="Combined",
IFERROR(
IF(VLOOKUP($A477, YES_Reading_ELA[], COLUMN(YES_Reading_ELA[Self-Identified as African Descent]), FALSE)="", "",
VLOOKUP($A477,YES_Reading_ELA[],COLUMN(YES_Reading_ELA[Self-Identified as African Descent]),FALSE)),
IF(VLOOKUP($A477, YES_Reading_FLA[], COLUMN(YES_Reading_FLA[Self-Identified as African Descent]),FALSE)="", "", VLOOKUP($A477,YES_Reading_FLA[],COLUMN(YES_Reading_FLA[Self-Identified as African Descent]),FALSE))),""))),"")</f>
        <v/>
      </c>
      <c r="L477" s="73" t="str" cm="1">
        <f t="array" ref="L477">IFERROR(
IF($J$2="ELA",
IF(VLOOKUP($A477, YES_Reading_ELA[], COLUMN(YES_Reading_ELA[Self-Identified as Indigenous]), FALSE)="", "",
VLOOKUP($A477,YES_Reading_ELA[], COLUMN(YES_Reading_ELA[Self-Identified as Indigenous]), FALSE)),
IF($J$2="FLA",
IF(VLOOKUP($A477, YES_Reading_FLA[], COLUMN(YES_Reading_FLA[Self-Identified as Indigenous]),FALSE)="","",
VLOOKUP($A477,YES_Reading_FLA[],COLUMN(YES_Reading_FLA[Self-Identified as Indigenous]),FALSE)),
IF($J$2="Combined",
IFERROR(
IF(VLOOKUP($A477, YES_Reading_ELA[], COLUMN(YES_Reading_ELA[Self-Identified as Indigenous]), FALSE)="", "",
VLOOKUP($A477,YES_Reading_ELA[],COLUMN(YES_Reading_ELA[Self-Identified as Indigenous]),FALSE)),
IF(VLOOKUP($A477, YES_Reading_FLA[], COLUMN(YES_Reading_FLA[Self-Identified as Indigenous]),FALSE)="", "", VLOOKUP($A477,YES_Reading_FLA[],COLUMN(YES_Reading_FLA[Self-Identified as Indigenous]),FALSE))),""))),"")</f>
        <v/>
      </c>
    </row>
    <row r="478" spans="1:12" ht="19.5" customHeight="1" x14ac:dyDescent="0.25">
      <c r="A478" s="217"/>
      <c r="B478" s="220" t="str">
        <f>IFERROR(VLOOKUP(A478,_xlfn.VSTACK(YES_Reading_ELA[],YES_Reading_FLA[]),2,FALSE),"")</f>
        <v/>
      </c>
      <c r="C478" s="203" t="str" cm="1">
        <f t="array" aca="1" ref="C478" ca="1">IFERROR(
IF($J$2="ELA",
IF(VLOOKUP($A478, YES_Reading_ELA[], COLUMN(IF(VLOOKUP($D$2, 'Reading Report Logic'!$A$2:$B$8, 2, FALSE)=1, YES_Reading_ELA[Reading Level June of Previous School Year], INDIRECT("YES_Reading_ELA[Instructional Reading Level - Per "&amp;(VLOOKUP($D$2,'Reading Report Logic'!$A$2:$B$8,2,FALSE)-1)&amp;"]"))), FALSE)="", "",
VLOOKUP($A478,YES_Reading_ELA[], COLUMN(IF(VLOOKUP($D$2,'Reading Report Logic'!$A$2:$B$8,2,FALSE)=1, YES_Reading_ELA[Reading Level June of Previous School Year],INDIRECT("YES_Reading_ELA[Instructional Reading Level - Per "&amp;(VLOOKUP($D$2,'Reading Report Logic'!$A$2:$B$8,2,FALSE)-1)&amp;"]"))), FALSE)),
IF($J$2="FLA",
IF(VLOOKUP($A478, YES_Reading_FLA[], COLUMN(IF(VLOOKUP($D$2,'Reading Report Logic'!$A$2:$B$8,2,FALSE)=1, YES_Reading_FLA[Reading Level June of Previous School Year],INDIRECT("YES_Reading_FLA[Instructional Reading Level - Per "&amp;(VLOOKUP($D$2,'Reading Report Logic'!$A$2:$B$8,2,FALSE)-1)&amp;"]"))),FALSE)="","",
VLOOKUP($A478,YES_Reading_FLA[], COLUMN(IF(VLOOKUP($D$2,'Reading Report Logic'!$A$2:$B$8,2,FALSE)=1, YES_Reading_FLA[Reading Level June of Previous School Year],INDIRECT("YES_Reading_FLA[Instructional Reading Level - Per "&amp;(VLOOKUP($D$2,'Reading Report Logic'!$A$2:$B$8,2,FALSE)-1)&amp;"]"))),FALSE)),
IF($J$2="Combined",
IFERROR(
IF(VLOOKUP($A478, YES_Reading_ELA[], COLUMN(IF(VLOOKUP($D$2,'Reading Report Logic'!$A$2:$B$8,2,FALSE)=1, YES_Reading_ELA[Reading Level June of Previous School Year],INDIRECT("YES_Reading_ELA[Instructional Reading Level - Per "&amp;(VLOOKUP($D$2,'Reading Report Logic'!$A$2:$B$8,2,FALSE)-1)&amp;"]"))), FALSE)="", "",
VLOOKUP($A478,YES_Reading_ELA[],COLUMN(IF(VLOOKUP($D$2,'Reading Report Logic'!$A$2:$B$8,2,FALSE)=1, YES_Reading_ELA[Reading Level June of Previous School Year],INDIRECT("YES_Reading_ELA[Instructional Reading Level - Per "&amp;(VLOOKUP($D$2,'Reading Report Logic'!$A$2:$B$8,2,FALSE)-1)&amp;"]"))),FALSE)),
IF(VLOOKUP($A478, YES_Reading_FLA[], COLUMN(IF(VLOOKUP($D$2,'Reading Report Logic'!$A$2:$B$8,2,FALSE)=1, YES_Reading_FLA[Reading Level June of Previous School Year],INDIRECT("YES_Reading_FLA[Instructional Reading Level - Per "&amp;(VLOOKUP($D$2,'Reading Report Logic'!$A$2:$B$8,2,FALSE)-1)&amp;"]"))),FALSE)="", "", VLOOKUP($A478,YES_Reading_FLA[],COLUMN(IF(VLOOKUP($D$2,'Reading Report Logic'!$A$2:$B$8,2,FALSE)=1, YES_Reading_FLA[Reading Level June of Previous School Year],INDIRECT("YES_Reading_FLA[Instructional Reading Level - Per "&amp;(VLOOKUP($D$2,'Reading Report Logic'!$A$2:$B$8,2,FALSE)-1)&amp;"]"))), FALSE))),""))),"")</f>
        <v/>
      </c>
      <c r="D478" s="204" t="str" cm="1">
        <f t="array" aca="1" ref="D478" ca="1">IFERROR(
IF($J$2="ELA",
IF(VLOOKUP($A478, YES_Reading_ELA[], COLUMN(INDIRECT("YES_Reading_ELA[Instructional Reading Level - Per "&amp;VLOOKUP($D$2, 'Reading Report Logic'!$A$2:$B$8, 2, FALSE)&amp;"]")), FALSE)="", "",
VLOOKUP($A478,YES_Reading_ELA[], COLUMN(INDIRECT("YES_Reading_ELA[Instructional Reading Level - Per "&amp;VLOOKUP($D$2,'Reading Report Logic'!$A$2:$B$8,2,FALSE)&amp;"]")), FALSE)),
IF($J$2="FLA",
IF(VLOOKUP($A478, YES_Reading_FLA[], COLUMN(INDIRECT("YES_Reading_FLA[Instructional Reading Level - Per "&amp;VLOOKUP($D$2,'Reading Report Logic'!$A$2:$B$8,2,FALSE)&amp;"]")),FALSE)="","",
VLOOKUP($A478,YES_Reading_FLA[],COLUMN(INDIRECT("YES_Reading_FLA[Instructional Reading Level - Per "&amp;VLOOKUP($D$2,'Reading Report Logic'!$A$2:$B$8,2,FALSE)&amp;"]")),FALSE)),
IF($J$2="Combined",
IFERROR(
IF(VLOOKUP($A478, YES_Reading_ELA[], COLUMN(INDIRECT("YES_Reading_ELA[Instructional Reading Level - Per "&amp;VLOOKUP($D$2, 'Reading Report Logic'!$A$2:$B$8,2,FALSE)&amp;"]")), FALSE)="", "",
VLOOKUP($A478,YES_Reading_ELA[],COLUMN(INDIRECT("YES_Reading_ELA[Instructional Reading Level - Per "&amp;VLOOKUP($D$2,'Reading Report Logic'!$A$2:$B$8,2,FALSE)&amp;"]")),FALSE)),
IF(VLOOKUP($A478, YES_Reading_FLA[], COLUMN(INDIRECT("YES_Reading_FLA[Instructional Reading Level - Per "&amp;VLOOKUP($D$2, 'Reading Report Logic'!$A$2:$B$8, 2, FALSE)&amp;"]")),FALSE)="", "", VLOOKUP($A478,YES_Reading_FLA[],COLUMN(INDIRECT("YES_Reading_FLA[Instructional Reading Level - Per "&amp;VLOOKUP($D$2, 'Reading Report Logic'!$A$2:$B$8, 2, FALSE)&amp;"]")),FALSE))),""))),"")</f>
        <v/>
      </c>
      <c r="E478" s="205" t="str" cm="1">
        <f t="array" aca="1" ref="E478" ca="1">IFERROR(
IF($J$2="ELA",
IF(VLOOKUP($A478, YES_Reading_ELA[], COLUMN(INDIRECT("YES_Reading_ELA[Min Expectation - Per "&amp;VLOOKUP($D$2, 'Reading Report Logic'!$A$2:$B$8, 2, FALSE)&amp;"]")), FALSE)="", "",
VLOOKUP($A478,YES_Reading_ELA[], COLUMN(INDIRECT("YES_Reading_ELA[Min Expectation - Per "&amp;VLOOKUP($D$2,'Reading Report Logic'!$A$2:$B$8,2,FALSE)&amp;"]")), FALSE)),
IF($J$2="FLA",
IF(VLOOKUP($A478, YES_Reading_FLA[], COLUMN(INDIRECT("YES_Reading_FLA[Min Expectation - Per "&amp;VLOOKUP($D$2,'Reading Report Logic'!$A$2:$B$8,2,FALSE)&amp;"]")),FALSE)="","",
VLOOKUP($A478,YES_Reading_FLA[],COLUMN(INDIRECT("YES_Reading_FLA[Min Expectation - Per "&amp;VLOOKUP($D$2,'Reading Report Logic'!$A$2:$B$8,2,FALSE)&amp;"]")),FALSE)),
IF($J$2="Combined",
IFERROR(
IF(VLOOKUP($A478, YES_Reading_ELA[], COLUMN(INDIRECT("YES_Reading_ELA[Min Expectation - Per "&amp;VLOOKUP($D$2, 'Reading Report Logic'!$A$2:$B$8,2,FALSE)&amp;"]")), FALSE)="", "",
VLOOKUP($A478,YES_Reading_ELA[],COLUMN(INDIRECT("YES_Reading_ELA[Min Expectation - Per "&amp;VLOOKUP($D$2,'Reading Report Logic'!$A$2:$B$8,2,FALSE)&amp;"]")),FALSE)),
IF(VLOOKUP($A478, YES_Reading_FLA[], COLUMN(INDIRECT("YES_Reading_FLA[Min Expectation - Per "&amp;VLOOKUP($D$2, 'Reading Report Logic'!$A$2:$B$8, 2, FALSE)&amp;"]")),FALSE)="", "", VLOOKUP($A478,YES_Reading_FLA[],COLUMN(INDIRECT("YES_Reading_FLA[Min Expectation - Per "&amp;VLOOKUP($D$2, 'Reading Report Logic'!$A$2:$B$8, 2, FALSE)&amp;"]")),FALSE))),""))),"")</f>
        <v/>
      </c>
      <c r="F478" s="205" t="str" cm="1">
        <f t="array" aca="1" ref="F478" ca="1">IFERROR(
IF($J$2="ELA",
IF(VLOOKUP($A478, YES_Reading_ELA[], COLUMN(INDIRECT("YES_Reading_ELA[Max Expectation - Per "&amp;VLOOKUP($D$2, 'Reading Report Logic'!$A$2:$B$8, 2, FALSE)&amp;"]")), FALSE)="", "",
VLOOKUP($A478,YES_Reading_ELA[], COLUMN(INDIRECT("YES_Reading_ELA[Max Expectation - Per "&amp;VLOOKUP($D$2,'Reading Report Logic'!$A$2:$B$8,2,FALSE)&amp;"]")), FALSE)),
IF($J$2="FLA",
IF(VLOOKUP($A478, YES_Reading_FLA[], COLUMN(INDIRECT("YES_Reading_FLA[Max Expectation - Per "&amp;VLOOKUP($D$2,'Reading Report Logic'!$A$2:$B$8,2,FALSE)&amp;"]")),FALSE)="","",
VLOOKUP($A478,YES_Reading_FLA[],COLUMN(INDIRECT("YES_Reading_FLA[Max Expectation - Per "&amp;VLOOKUP($D$2,'Reading Report Logic'!$A$2:$B$8,2,FALSE)&amp;"]")),FALSE)),
IF($J$2="Combined",
IFERROR(
IF(VLOOKUP($A478, YES_Reading_ELA[], COLUMN(INDIRECT("YES_Reading_ELA[Max Expectation - Per "&amp;VLOOKUP($D$2, 'Reading Report Logic'!$A$2:$B$8,2,FALSE)&amp;"]")), FALSE)="", "",
VLOOKUP($A478,YES_Reading_ELA[],COLUMN(INDIRECT("YES_Reading_ELA[Max Expectation - Per "&amp;VLOOKUP($D$2,'Reading Report Logic'!$A$2:$B$8,2,FALSE)&amp;"]")),FALSE)),
IF(VLOOKUP($A478, YES_Reading_FLA[], COLUMN(INDIRECT("YES_Reading_FLA[Max Expectation - Per "&amp;VLOOKUP($D$2, 'Reading Report Logic'!$A$2:$B$8, 2, FALSE)&amp;"]")),FALSE)="", "", VLOOKUP($A478,YES_Reading_FLA[],COLUMN(INDIRECT("YES_Reading_FLA[Max Expectation - Per "&amp;VLOOKUP($D$2, 'Reading Report Logic'!$A$2:$B$8, 2, FALSE)&amp;"]")),FALSE))),""))),"")</f>
        <v/>
      </c>
      <c r="G478" s="205" t="str" cm="1">
        <f t="array" aca="1" ref="G478" ca="1">IFERROR(
IF($J$2="ELA",
IF(VLOOKUP($A478, YES_Reading_ELA[], COLUMN(INDIRECT("YES_Reading_ELA[Difference - Per "&amp;VLOOKUP($D$2, 'Reading Report Logic'!$A$2:$B$8, 2, FALSE)&amp;"]")), FALSE)="", "",
VLOOKUP($A478,YES_Reading_ELA[], COLUMN(INDIRECT("YES_Reading_ELA[Difference - Per "&amp;VLOOKUP($D$2,'Reading Report Logic'!$A$2:$B$8,2,FALSE)&amp;"]")), FALSE)),
IF($J$2="FLA",
IF(VLOOKUP($A478, YES_Reading_FLA[], COLUMN(INDIRECT("YES_Reading_FLA[Difference - Per "&amp;VLOOKUP($D$2,'Reading Report Logic'!$A$2:$B$8,2,FALSE)&amp;"]")),FALSE)="","",
VLOOKUP($A478,YES_Reading_FLA[],COLUMN(INDIRECT("YES_Reading_FLA[Difference - Per "&amp;VLOOKUP($D$2,'Reading Report Logic'!$A$2:$B$8,2,FALSE)&amp;"]")),FALSE)),
IF($J$2="Combined",
IFERROR(
IF(VLOOKUP($A478, YES_Reading_ELA[], COLUMN(INDIRECT("YES_Reading_ELA[Difference - Per "&amp;VLOOKUP($D$2, 'Reading Report Logic'!$A$2:$B$8,2,FALSE)&amp;"]")), FALSE)="", "",
VLOOKUP($A478,YES_Reading_ELA[],COLUMN(INDIRECT("YES_Reading_ELA[Difference - Per "&amp;VLOOKUP($D$2,'Reading Report Logic'!$A$2:$B$8,2,FALSE)&amp;"]")),FALSE)),
IF(VLOOKUP($A478, YES_Reading_FLA[], COLUMN(INDIRECT("YES_Reading_FLA[Difference - Per "&amp;VLOOKUP($D$2, 'Reading Report Logic'!$A$2:$B$8, 2, FALSE)&amp;"]")),FALSE)="", "", VLOOKUP($A478,YES_Reading_FLA[],COLUMN(INDIRECT("YES_Reading_FLA[Difference - Per "&amp;VLOOKUP($D$2, 'Reading Report Logic'!$A$2:$B$8, 2, FALSE)&amp;"]")),FALSE))),""))),"")</f>
        <v/>
      </c>
      <c r="H478" s="206" t="str">
        <f ca="1">IFERROR(VLOOKUP('Teacher Reading Pull Sheets'!$D478,_xlfn.VSTACK('ELA Reading Logic'!$A$22:$B$48,'FLA Reading Logic'!$A$22:$B$53),2,FALSE)-VLOOKUP('Teacher Reading Pull Sheets'!$C478,_xlfn.VSTACK('ELA Reading Logic'!$A$22:$B$48,'FLA Reading Logic'!$A$22:$B$53),2,FALSE),"")</f>
        <v/>
      </c>
      <c r="I478" s="212"/>
      <c r="J478" s="206"/>
      <c r="K478" s="197" t="str" cm="1">
        <f t="array" ref="K478">IFERROR(
IF($J$2="ELA",
IF(VLOOKUP($A478, YES_Reading_ELA[], COLUMN(YES_Reading_ELA[Self-Identified as African Descent]), FALSE)="", "",
VLOOKUP($A478,YES_Reading_ELA[], COLUMN(YES_Reading_ELA[Self-Identified as African Descent]), FALSE)),
IF($J$2="FLA",
IF(VLOOKUP($A478, YES_Reading_FLA[], COLUMN(YES_Reading_FLA[Self-Identified as African Descent]),FALSE)="","",
VLOOKUP($A478,YES_Reading_FLA[],COLUMN(YES_Reading_FLA[Self-Identified as African Descent]),FALSE)),
IF($J$2="Combined",
IFERROR(
IF(VLOOKUP($A478, YES_Reading_ELA[], COLUMN(YES_Reading_ELA[Self-Identified as African Descent]), FALSE)="", "",
VLOOKUP($A478,YES_Reading_ELA[],COLUMN(YES_Reading_ELA[Self-Identified as African Descent]),FALSE)),
IF(VLOOKUP($A478, YES_Reading_FLA[], COLUMN(YES_Reading_FLA[Self-Identified as African Descent]),FALSE)="", "", VLOOKUP($A478,YES_Reading_FLA[],COLUMN(YES_Reading_FLA[Self-Identified as African Descent]),FALSE))),""))),"")</f>
        <v/>
      </c>
      <c r="L478" s="73" t="str" cm="1">
        <f t="array" ref="L478">IFERROR(
IF($J$2="ELA",
IF(VLOOKUP($A478, YES_Reading_ELA[], COLUMN(YES_Reading_ELA[Self-Identified as Indigenous]), FALSE)="", "",
VLOOKUP($A478,YES_Reading_ELA[], COLUMN(YES_Reading_ELA[Self-Identified as Indigenous]), FALSE)),
IF($J$2="FLA",
IF(VLOOKUP($A478, YES_Reading_FLA[], COLUMN(YES_Reading_FLA[Self-Identified as Indigenous]),FALSE)="","",
VLOOKUP($A478,YES_Reading_FLA[],COLUMN(YES_Reading_FLA[Self-Identified as Indigenous]),FALSE)),
IF($J$2="Combined",
IFERROR(
IF(VLOOKUP($A478, YES_Reading_ELA[], COLUMN(YES_Reading_ELA[Self-Identified as Indigenous]), FALSE)="", "",
VLOOKUP($A478,YES_Reading_ELA[],COLUMN(YES_Reading_ELA[Self-Identified as Indigenous]),FALSE)),
IF(VLOOKUP($A478, YES_Reading_FLA[], COLUMN(YES_Reading_FLA[Self-Identified as Indigenous]),FALSE)="", "", VLOOKUP($A478,YES_Reading_FLA[],COLUMN(YES_Reading_FLA[Self-Identified as Indigenous]),FALSE))),""))),"")</f>
        <v/>
      </c>
    </row>
    <row r="479" spans="1:12" ht="19.5" customHeight="1" x14ac:dyDescent="0.25">
      <c r="A479" s="217"/>
      <c r="B479" s="220" t="str">
        <f>IFERROR(VLOOKUP(A479,_xlfn.VSTACK(YES_Reading_ELA[],YES_Reading_FLA[]),2,FALSE),"")</f>
        <v/>
      </c>
      <c r="C479" s="203" t="str" cm="1">
        <f t="array" aca="1" ref="C479" ca="1">IFERROR(
IF($J$2="ELA",
IF(VLOOKUP($A479, YES_Reading_ELA[], COLUMN(IF(VLOOKUP($D$2, 'Reading Report Logic'!$A$2:$B$8, 2, FALSE)=1, YES_Reading_ELA[Reading Level June of Previous School Year], INDIRECT("YES_Reading_ELA[Instructional Reading Level - Per "&amp;(VLOOKUP($D$2,'Reading Report Logic'!$A$2:$B$8,2,FALSE)-1)&amp;"]"))), FALSE)="", "",
VLOOKUP($A479,YES_Reading_ELA[], COLUMN(IF(VLOOKUP($D$2,'Reading Report Logic'!$A$2:$B$8,2,FALSE)=1, YES_Reading_ELA[Reading Level June of Previous School Year],INDIRECT("YES_Reading_ELA[Instructional Reading Level - Per "&amp;(VLOOKUP($D$2,'Reading Report Logic'!$A$2:$B$8,2,FALSE)-1)&amp;"]"))), FALSE)),
IF($J$2="FLA",
IF(VLOOKUP($A479, YES_Reading_FLA[], COLUMN(IF(VLOOKUP($D$2,'Reading Report Logic'!$A$2:$B$8,2,FALSE)=1, YES_Reading_FLA[Reading Level June of Previous School Year],INDIRECT("YES_Reading_FLA[Instructional Reading Level - Per "&amp;(VLOOKUP($D$2,'Reading Report Logic'!$A$2:$B$8,2,FALSE)-1)&amp;"]"))),FALSE)="","",
VLOOKUP($A479,YES_Reading_FLA[], COLUMN(IF(VLOOKUP($D$2,'Reading Report Logic'!$A$2:$B$8,2,FALSE)=1, YES_Reading_FLA[Reading Level June of Previous School Year],INDIRECT("YES_Reading_FLA[Instructional Reading Level - Per "&amp;(VLOOKUP($D$2,'Reading Report Logic'!$A$2:$B$8,2,FALSE)-1)&amp;"]"))),FALSE)),
IF($J$2="Combined",
IFERROR(
IF(VLOOKUP($A479, YES_Reading_ELA[], COLUMN(IF(VLOOKUP($D$2,'Reading Report Logic'!$A$2:$B$8,2,FALSE)=1, YES_Reading_ELA[Reading Level June of Previous School Year],INDIRECT("YES_Reading_ELA[Instructional Reading Level - Per "&amp;(VLOOKUP($D$2,'Reading Report Logic'!$A$2:$B$8,2,FALSE)-1)&amp;"]"))), FALSE)="", "",
VLOOKUP($A479,YES_Reading_ELA[],COLUMN(IF(VLOOKUP($D$2,'Reading Report Logic'!$A$2:$B$8,2,FALSE)=1, YES_Reading_ELA[Reading Level June of Previous School Year],INDIRECT("YES_Reading_ELA[Instructional Reading Level - Per "&amp;(VLOOKUP($D$2,'Reading Report Logic'!$A$2:$B$8,2,FALSE)-1)&amp;"]"))),FALSE)),
IF(VLOOKUP($A479, YES_Reading_FLA[], COLUMN(IF(VLOOKUP($D$2,'Reading Report Logic'!$A$2:$B$8,2,FALSE)=1, YES_Reading_FLA[Reading Level June of Previous School Year],INDIRECT("YES_Reading_FLA[Instructional Reading Level - Per "&amp;(VLOOKUP($D$2,'Reading Report Logic'!$A$2:$B$8,2,FALSE)-1)&amp;"]"))),FALSE)="", "", VLOOKUP($A479,YES_Reading_FLA[],COLUMN(IF(VLOOKUP($D$2,'Reading Report Logic'!$A$2:$B$8,2,FALSE)=1, YES_Reading_FLA[Reading Level June of Previous School Year],INDIRECT("YES_Reading_FLA[Instructional Reading Level - Per "&amp;(VLOOKUP($D$2,'Reading Report Logic'!$A$2:$B$8,2,FALSE)-1)&amp;"]"))), FALSE))),""))),"")</f>
        <v/>
      </c>
      <c r="D479" s="204" t="str" cm="1">
        <f t="array" aca="1" ref="D479" ca="1">IFERROR(
IF($J$2="ELA",
IF(VLOOKUP($A479, YES_Reading_ELA[], COLUMN(INDIRECT("YES_Reading_ELA[Instructional Reading Level - Per "&amp;VLOOKUP($D$2, 'Reading Report Logic'!$A$2:$B$8, 2, FALSE)&amp;"]")), FALSE)="", "",
VLOOKUP($A479,YES_Reading_ELA[], COLUMN(INDIRECT("YES_Reading_ELA[Instructional Reading Level - Per "&amp;VLOOKUP($D$2,'Reading Report Logic'!$A$2:$B$8,2,FALSE)&amp;"]")), FALSE)),
IF($J$2="FLA",
IF(VLOOKUP($A479, YES_Reading_FLA[], COLUMN(INDIRECT("YES_Reading_FLA[Instructional Reading Level - Per "&amp;VLOOKUP($D$2,'Reading Report Logic'!$A$2:$B$8,2,FALSE)&amp;"]")),FALSE)="","",
VLOOKUP($A479,YES_Reading_FLA[],COLUMN(INDIRECT("YES_Reading_FLA[Instructional Reading Level - Per "&amp;VLOOKUP($D$2,'Reading Report Logic'!$A$2:$B$8,2,FALSE)&amp;"]")),FALSE)),
IF($J$2="Combined",
IFERROR(
IF(VLOOKUP($A479, YES_Reading_ELA[], COLUMN(INDIRECT("YES_Reading_ELA[Instructional Reading Level - Per "&amp;VLOOKUP($D$2, 'Reading Report Logic'!$A$2:$B$8,2,FALSE)&amp;"]")), FALSE)="", "",
VLOOKUP($A479,YES_Reading_ELA[],COLUMN(INDIRECT("YES_Reading_ELA[Instructional Reading Level - Per "&amp;VLOOKUP($D$2,'Reading Report Logic'!$A$2:$B$8,2,FALSE)&amp;"]")),FALSE)),
IF(VLOOKUP($A479, YES_Reading_FLA[], COLUMN(INDIRECT("YES_Reading_FLA[Instructional Reading Level - Per "&amp;VLOOKUP($D$2, 'Reading Report Logic'!$A$2:$B$8, 2, FALSE)&amp;"]")),FALSE)="", "", VLOOKUP($A479,YES_Reading_FLA[],COLUMN(INDIRECT("YES_Reading_FLA[Instructional Reading Level - Per "&amp;VLOOKUP($D$2, 'Reading Report Logic'!$A$2:$B$8, 2, FALSE)&amp;"]")),FALSE))),""))),"")</f>
        <v/>
      </c>
      <c r="E479" s="205" t="str" cm="1">
        <f t="array" aca="1" ref="E479" ca="1">IFERROR(
IF($J$2="ELA",
IF(VLOOKUP($A479, YES_Reading_ELA[], COLUMN(INDIRECT("YES_Reading_ELA[Min Expectation - Per "&amp;VLOOKUP($D$2, 'Reading Report Logic'!$A$2:$B$8, 2, FALSE)&amp;"]")), FALSE)="", "",
VLOOKUP($A479,YES_Reading_ELA[], COLUMN(INDIRECT("YES_Reading_ELA[Min Expectation - Per "&amp;VLOOKUP($D$2,'Reading Report Logic'!$A$2:$B$8,2,FALSE)&amp;"]")), FALSE)),
IF($J$2="FLA",
IF(VLOOKUP($A479, YES_Reading_FLA[], COLUMN(INDIRECT("YES_Reading_FLA[Min Expectation - Per "&amp;VLOOKUP($D$2,'Reading Report Logic'!$A$2:$B$8,2,FALSE)&amp;"]")),FALSE)="","",
VLOOKUP($A479,YES_Reading_FLA[],COLUMN(INDIRECT("YES_Reading_FLA[Min Expectation - Per "&amp;VLOOKUP($D$2,'Reading Report Logic'!$A$2:$B$8,2,FALSE)&amp;"]")),FALSE)),
IF($J$2="Combined",
IFERROR(
IF(VLOOKUP($A479, YES_Reading_ELA[], COLUMN(INDIRECT("YES_Reading_ELA[Min Expectation - Per "&amp;VLOOKUP($D$2, 'Reading Report Logic'!$A$2:$B$8,2,FALSE)&amp;"]")), FALSE)="", "",
VLOOKUP($A479,YES_Reading_ELA[],COLUMN(INDIRECT("YES_Reading_ELA[Min Expectation - Per "&amp;VLOOKUP($D$2,'Reading Report Logic'!$A$2:$B$8,2,FALSE)&amp;"]")),FALSE)),
IF(VLOOKUP($A479, YES_Reading_FLA[], COLUMN(INDIRECT("YES_Reading_FLA[Min Expectation - Per "&amp;VLOOKUP($D$2, 'Reading Report Logic'!$A$2:$B$8, 2, FALSE)&amp;"]")),FALSE)="", "", VLOOKUP($A479,YES_Reading_FLA[],COLUMN(INDIRECT("YES_Reading_FLA[Min Expectation - Per "&amp;VLOOKUP($D$2, 'Reading Report Logic'!$A$2:$B$8, 2, FALSE)&amp;"]")),FALSE))),""))),"")</f>
        <v/>
      </c>
      <c r="F479" s="205" t="str" cm="1">
        <f t="array" aca="1" ref="F479" ca="1">IFERROR(
IF($J$2="ELA",
IF(VLOOKUP($A479, YES_Reading_ELA[], COLUMN(INDIRECT("YES_Reading_ELA[Max Expectation - Per "&amp;VLOOKUP($D$2, 'Reading Report Logic'!$A$2:$B$8, 2, FALSE)&amp;"]")), FALSE)="", "",
VLOOKUP($A479,YES_Reading_ELA[], COLUMN(INDIRECT("YES_Reading_ELA[Max Expectation - Per "&amp;VLOOKUP($D$2,'Reading Report Logic'!$A$2:$B$8,2,FALSE)&amp;"]")), FALSE)),
IF($J$2="FLA",
IF(VLOOKUP($A479, YES_Reading_FLA[], COLUMN(INDIRECT("YES_Reading_FLA[Max Expectation - Per "&amp;VLOOKUP($D$2,'Reading Report Logic'!$A$2:$B$8,2,FALSE)&amp;"]")),FALSE)="","",
VLOOKUP($A479,YES_Reading_FLA[],COLUMN(INDIRECT("YES_Reading_FLA[Max Expectation - Per "&amp;VLOOKUP($D$2,'Reading Report Logic'!$A$2:$B$8,2,FALSE)&amp;"]")),FALSE)),
IF($J$2="Combined",
IFERROR(
IF(VLOOKUP($A479, YES_Reading_ELA[], COLUMN(INDIRECT("YES_Reading_ELA[Max Expectation - Per "&amp;VLOOKUP($D$2, 'Reading Report Logic'!$A$2:$B$8,2,FALSE)&amp;"]")), FALSE)="", "",
VLOOKUP($A479,YES_Reading_ELA[],COLUMN(INDIRECT("YES_Reading_ELA[Max Expectation - Per "&amp;VLOOKUP($D$2,'Reading Report Logic'!$A$2:$B$8,2,FALSE)&amp;"]")),FALSE)),
IF(VLOOKUP($A479, YES_Reading_FLA[], COLUMN(INDIRECT("YES_Reading_FLA[Max Expectation - Per "&amp;VLOOKUP($D$2, 'Reading Report Logic'!$A$2:$B$8, 2, FALSE)&amp;"]")),FALSE)="", "", VLOOKUP($A479,YES_Reading_FLA[],COLUMN(INDIRECT("YES_Reading_FLA[Max Expectation - Per "&amp;VLOOKUP($D$2, 'Reading Report Logic'!$A$2:$B$8, 2, FALSE)&amp;"]")),FALSE))),""))),"")</f>
        <v/>
      </c>
      <c r="G479" s="205" t="str" cm="1">
        <f t="array" aca="1" ref="G479" ca="1">IFERROR(
IF($J$2="ELA",
IF(VLOOKUP($A479, YES_Reading_ELA[], COLUMN(INDIRECT("YES_Reading_ELA[Difference - Per "&amp;VLOOKUP($D$2, 'Reading Report Logic'!$A$2:$B$8, 2, FALSE)&amp;"]")), FALSE)="", "",
VLOOKUP($A479,YES_Reading_ELA[], COLUMN(INDIRECT("YES_Reading_ELA[Difference - Per "&amp;VLOOKUP($D$2,'Reading Report Logic'!$A$2:$B$8,2,FALSE)&amp;"]")), FALSE)),
IF($J$2="FLA",
IF(VLOOKUP($A479, YES_Reading_FLA[], COLUMN(INDIRECT("YES_Reading_FLA[Difference - Per "&amp;VLOOKUP($D$2,'Reading Report Logic'!$A$2:$B$8,2,FALSE)&amp;"]")),FALSE)="","",
VLOOKUP($A479,YES_Reading_FLA[],COLUMN(INDIRECT("YES_Reading_FLA[Difference - Per "&amp;VLOOKUP($D$2,'Reading Report Logic'!$A$2:$B$8,2,FALSE)&amp;"]")),FALSE)),
IF($J$2="Combined",
IFERROR(
IF(VLOOKUP($A479, YES_Reading_ELA[], COLUMN(INDIRECT("YES_Reading_ELA[Difference - Per "&amp;VLOOKUP($D$2, 'Reading Report Logic'!$A$2:$B$8,2,FALSE)&amp;"]")), FALSE)="", "",
VLOOKUP($A479,YES_Reading_ELA[],COLUMN(INDIRECT("YES_Reading_ELA[Difference - Per "&amp;VLOOKUP($D$2,'Reading Report Logic'!$A$2:$B$8,2,FALSE)&amp;"]")),FALSE)),
IF(VLOOKUP($A479, YES_Reading_FLA[], COLUMN(INDIRECT("YES_Reading_FLA[Difference - Per "&amp;VLOOKUP($D$2, 'Reading Report Logic'!$A$2:$B$8, 2, FALSE)&amp;"]")),FALSE)="", "", VLOOKUP($A479,YES_Reading_FLA[],COLUMN(INDIRECT("YES_Reading_FLA[Difference - Per "&amp;VLOOKUP($D$2, 'Reading Report Logic'!$A$2:$B$8, 2, FALSE)&amp;"]")),FALSE))),""))),"")</f>
        <v/>
      </c>
      <c r="H479" s="206" t="str">
        <f ca="1">IFERROR(VLOOKUP('Teacher Reading Pull Sheets'!$D479,_xlfn.VSTACK('ELA Reading Logic'!$A$22:$B$48,'FLA Reading Logic'!$A$22:$B$53),2,FALSE)-VLOOKUP('Teacher Reading Pull Sheets'!$C479,_xlfn.VSTACK('ELA Reading Logic'!$A$22:$B$48,'FLA Reading Logic'!$A$22:$B$53),2,FALSE),"")</f>
        <v/>
      </c>
      <c r="I479" s="212"/>
      <c r="J479" s="206"/>
      <c r="K479" s="197" t="str" cm="1">
        <f t="array" ref="K479">IFERROR(
IF($J$2="ELA",
IF(VLOOKUP($A479, YES_Reading_ELA[], COLUMN(YES_Reading_ELA[Self-Identified as African Descent]), FALSE)="", "",
VLOOKUP($A479,YES_Reading_ELA[], COLUMN(YES_Reading_ELA[Self-Identified as African Descent]), FALSE)),
IF($J$2="FLA",
IF(VLOOKUP($A479, YES_Reading_FLA[], COLUMN(YES_Reading_FLA[Self-Identified as African Descent]),FALSE)="","",
VLOOKUP($A479,YES_Reading_FLA[],COLUMN(YES_Reading_FLA[Self-Identified as African Descent]),FALSE)),
IF($J$2="Combined",
IFERROR(
IF(VLOOKUP($A479, YES_Reading_ELA[], COLUMN(YES_Reading_ELA[Self-Identified as African Descent]), FALSE)="", "",
VLOOKUP($A479,YES_Reading_ELA[],COLUMN(YES_Reading_ELA[Self-Identified as African Descent]),FALSE)),
IF(VLOOKUP($A479, YES_Reading_FLA[], COLUMN(YES_Reading_FLA[Self-Identified as African Descent]),FALSE)="", "", VLOOKUP($A479,YES_Reading_FLA[],COLUMN(YES_Reading_FLA[Self-Identified as African Descent]),FALSE))),""))),"")</f>
        <v/>
      </c>
      <c r="L479" s="73" t="str" cm="1">
        <f t="array" ref="L479">IFERROR(
IF($J$2="ELA",
IF(VLOOKUP($A479, YES_Reading_ELA[], COLUMN(YES_Reading_ELA[Self-Identified as Indigenous]), FALSE)="", "",
VLOOKUP($A479,YES_Reading_ELA[], COLUMN(YES_Reading_ELA[Self-Identified as Indigenous]), FALSE)),
IF($J$2="FLA",
IF(VLOOKUP($A479, YES_Reading_FLA[], COLUMN(YES_Reading_FLA[Self-Identified as Indigenous]),FALSE)="","",
VLOOKUP($A479,YES_Reading_FLA[],COLUMN(YES_Reading_FLA[Self-Identified as Indigenous]),FALSE)),
IF($J$2="Combined",
IFERROR(
IF(VLOOKUP($A479, YES_Reading_ELA[], COLUMN(YES_Reading_ELA[Self-Identified as Indigenous]), FALSE)="", "",
VLOOKUP($A479,YES_Reading_ELA[],COLUMN(YES_Reading_ELA[Self-Identified as Indigenous]),FALSE)),
IF(VLOOKUP($A479, YES_Reading_FLA[], COLUMN(YES_Reading_FLA[Self-Identified as Indigenous]),FALSE)="", "", VLOOKUP($A479,YES_Reading_FLA[],COLUMN(YES_Reading_FLA[Self-Identified as Indigenous]),FALSE))),""))),"")</f>
        <v/>
      </c>
    </row>
    <row r="480" spans="1:12" ht="19.5" customHeight="1" x14ac:dyDescent="0.25">
      <c r="A480" s="217"/>
      <c r="B480" s="220" t="str">
        <f>IFERROR(VLOOKUP(A480,_xlfn.VSTACK(YES_Reading_ELA[],YES_Reading_FLA[]),2,FALSE),"")</f>
        <v/>
      </c>
      <c r="C480" s="203" t="str" cm="1">
        <f t="array" aca="1" ref="C480" ca="1">IFERROR(
IF($J$2="ELA",
IF(VLOOKUP($A480, YES_Reading_ELA[], COLUMN(IF(VLOOKUP($D$2, 'Reading Report Logic'!$A$2:$B$8, 2, FALSE)=1, YES_Reading_ELA[Reading Level June of Previous School Year], INDIRECT("YES_Reading_ELA[Instructional Reading Level - Per "&amp;(VLOOKUP($D$2,'Reading Report Logic'!$A$2:$B$8,2,FALSE)-1)&amp;"]"))), FALSE)="", "",
VLOOKUP($A480,YES_Reading_ELA[], COLUMN(IF(VLOOKUP($D$2,'Reading Report Logic'!$A$2:$B$8,2,FALSE)=1, YES_Reading_ELA[Reading Level June of Previous School Year],INDIRECT("YES_Reading_ELA[Instructional Reading Level - Per "&amp;(VLOOKUP($D$2,'Reading Report Logic'!$A$2:$B$8,2,FALSE)-1)&amp;"]"))), FALSE)),
IF($J$2="FLA",
IF(VLOOKUP($A480, YES_Reading_FLA[], COLUMN(IF(VLOOKUP($D$2,'Reading Report Logic'!$A$2:$B$8,2,FALSE)=1, YES_Reading_FLA[Reading Level June of Previous School Year],INDIRECT("YES_Reading_FLA[Instructional Reading Level - Per "&amp;(VLOOKUP($D$2,'Reading Report Logic'!$A$2:$B$8,2,FALSE)-1)&amp;"]"))),FALSE)="","",
VLOOKUP($A480,YES_Reading_FLA[], COLUMN(IF(VLOOKUP($D$2,'Reading Report Logic'!$A$2:$B$8,2,FALSE)=1, YES_Reading_FLA[Reading Level June of Previous School Year],INDIRECT("YES_Reading_FLA[Instructional Reading Level - Per "&amp;(VLOOKUP($D$2,'Reading Report Logic'!$A$2:$B$8,2,FALSE)-1)&amp;"]"))),FALSE)),
IF($J$2="Combined",
IFERROR(
IF(VLOOKUP($A480, YES_Reading_ELA[], COLUMN(IF(VLOOKUP($D$2,'Reading Report Logic'!$A$2:$B$8,2,FALSE)=1, YES_Reading_ELA[Reading Level June of Previous School Year],INDIRECT("YES_Reading_ELA[Instructional Reading Level - Per "&amp;(VLOOKUP($D$2,'Reading Report Logic'!$A$2:$B$8,2,FALSE)-1)&amp;"]"))), FALSE)="", "",
VLOOKUP($A480,YES_Reading_ELA[],COLUMN(IF(VLOOKUP($D$2,'Reading Report Logic'!$A$2:$B$8,2,FALSE)=1, YES_Reading_ELA[Reading Level June of Previous School Year],INDIRECT("YES_Reading_ELA[Instructional Reading Level - Per "&amp;(VLOOKUP($D$2,'Reading Report Logic'!$A$2:$B$8,2,FALSE)-1)&amp;"]"))),FALSE)),
IF(VLOOKUP($A480, YES_Reading_FLA[], COLUMN(IF(VLOOKUP($D$2,'Reading Report Logic'!$A$2:$B$8,2,FALSE)=1, YES_Reading_FLA[Reading Level June of Previous School Year],INDIRECT("YES_Reading_FLA[Instructional Reading Level - Per "&amp;(VLOOKUP($D$2,'Reading Report Logic'!$A$2:$B$8,2,FALSE)-1)&amp;"]"))),FALSE)="", "", VLOOKUP($A480,YES_Reading_FLA[],COLUMN(IF(VLOOKUP($D$2,'Reading Report Logic'!$A$2:$B$8,2,FALSE)=1, YES_Reading_FLA[Reading Level June of Previous School Year],INDIRECT("YES_Reading_FLA[Instructional Reading Level - Per "&amp;(VLOOKUP($D$2,'Reading Report Logic'!$A$2:$B$8,2,FALSE)-1)&amp;"]"))), FALSE))),""))),"")</f>
        <v/>
      </c>
      <c r="D480" s="204" t="str" cm="1">
        <f t="array" aca="1" ref="D480" ca="1">IFERROR(
IF($J$2="ELA",
IF(VLOOKUP($A480, YES_Reading_ELA[], COLUMN(INDIRECT("YES_Reading_ELA[Instructional Reading Level - Per "&amp;VLOOKUP($D$2, 'Reading Report Logic'!$A$2:$B$8, 2, FALSE)&amp;"]")), FALSE)="", "",
VLOOKUP($A480,YES_Reading_ELA[], COLUMN(INDIRECT("YES_Reading_ELA[Instructional Reading Level - Per "&amp;VLOOKUP($D$2,'Reading Report Logic'!$A$2:$B$8,2,FALSE)&amp;"]")), FALSE)),
IF($J$2="FLA",
IF(VLOOKUP($A480, YES_Reading_FLA[], COLUMN(INDIRECT("YES_Reading_FLA[Instructional Reading Level - Per "&amp;VLOOKUP($D$2,'Reading Report Logic'!$A$2:$B$8,2,FALSE)&amp;"]")),FALSE)="","",
VLOOKUP($A480,YES_Reading_FLA[],COLUMN(INDIRECT("YES_Reading_FLA[Instructional Reading Level - Per "&amp;VLOOKUP($D$2,'Reading Report Logic'!$A$2:$B$8,2,FALSE)&amp;"]")),FALSE)),
IF($J$2="Combined",
IFERROR(
IF(VLOOKUP($A480, YES_Reading_ELA[], COLUMN(INDIRECT("YES_Reading_ELA[Instructional Reading Level - Per "&amp;VLOOKUP($D$2, 'Reading Report Logic'!$A$2:$B$8,2,FALSE)&amp;"]")), FALSE)="", "",
VLOOKUP($A480,YES_Reading_ELA[],COLUMN(INDIRECT("YES_Reading_ELA[Instructional Reading Level - Per "&amp;VLOOKUP($D$2,'Reading Report Logic'!$A$2:$B$8,2,FALSE)&amp;"]")),FALSE)),
IF(VLOOKUP($A480, YES_Reading_FLA[], COLUMN(INDIRECT("YES_Reading_FLA[Instructional Reading Level - Per "&amp;VLOOKUP($D$2, 'Reading Report Logic'!$A$2:$B$8, 2, FALSE)&amp;"]")),FALSE)="", "", VLOOKUP($A480,YES_Reading_FLA[],COLUMN(INDIRECT("YES_Reading_FLA[Instructional Reading Level - Per "&amp;VLOOKUP($D$2, 'Reading Report Logic'!$A$2:$B$8, 2, FALSE)&amp;"]")),FALSE))),""))),"")</f>
        <v/>
      </c>
      <c r="E480" s="205" t="str" cm="1">
        <f t="array" aca="1" ref="E480" ca="1">IFERROR(
IF($J$2="ELA",
IF(VLOOKUP($A480, YES_Reading_ELA[], COLUMN(INDIRECT("YES_Reading_ELA[Min Expectation - Per "&amp;VLOOKUP($D$2, 'Reading Report Logic'!$A$2:$B$8, 2, FALSE)&amp;"]")), FALSE)="", "",
VLOOKUP($A480,YES_Reading_ELA[], COLUMN(INDIRECT("YES_Reading_ELA[Min Expectation - Per "&amp;VLOOKUP($D$2,'Reading Report Logic'!$A$2:$B$8,2,FALSE)&amp;"]")), FALSE)),
IF($J$2="FLA",
IF(VLOOKUP($A480, YES_Reading_FLA[], COLUMN(INDIRECT("YES_Reading_FLA[Min Expectation - Per "&amp;VLOOKUP($D$2,'Reading Report Logic'!$A$2:$B$8,2,FALSE)&amp;"]")),FALSE)="","",
VLOOKUP($A480,YES_Reading_FLA[],COLUMN(INDIRECT("YES_Reading_FLA[Min Expectation - Per "&amp;VLOOKUP($D$2,'Reading Report Logic'!$A$2:$B$8,2,FALSE)&amp;"]")),FALSE)),
IF($J$2="Combined",
IFERROR(
IF(VLOOKUP($A480, YES_Reading_ELA[], COLUMN(INDIRECT("YES_Reading_ELA[Min Expectation - Per "&amp;VLOOKUP($D$2, 'Reading Report Logic'!$A$2:$B$8,2,FALSE)&amp;"]")), FALSE)="", "",
VLOOKUP($A480,YES_Reading_ELA[],COLUMN(INDIRECT("YES_Reading_ELA[Min Expectation - Per "&amp;VLOOKUP($D$2,'Reading Report Logic'!$A$2:$B$8,2,FALSE)&amp;"]")),FALSE)),
IF(VLOOKUP($A480, YES_Reading_FLA[], COLUMN(INDIRECT("YES_Reading_FLA[Min Expectation - Per "&amp;VLOOKUP($D$2, 'Reading Report Logic'!$A$2:$B$8, 2, FALSE)&amp;"]")),FALSE)="", "", VLOOKUP($A480,YES_Reading_FLA[],COLUMN(INDIRECT("YES_Reading_FLA[Min Expectation - Per "&amp;VLOOKUP($D$2, 'Reading Report Logic'!$A$2:$B$8, 2, FALSE)&amp;"]")),FALSE))),""))),"")</f>
        <v/>
      </c>
      <c r="F480" s="205" t="str" cm="1">
        <f t="array" aca="1" ref="F480" ca="1">IFERROR(
IF($J$2="ELA",
IF(VLOOKUP($A480, YES_Reading_ELA[], COLUMN(INDIRECT("YES_Reading_ELA[Max Expectation - Per "&amp;VLOOKUP($D$2, 'Reading Report Logic'!$A$2:$B$8, 2, FALSE)&amp;"]")), FALSE)="", "",
VLOOKUP($A480,YES_Reading_ELA[], COLUMN(INDIRECT("YES_Reading_ELA[Max Expectation - Per "&amp;VLOOKUP($D$2,'Reading Report Logic'!$A$2:$B$8,2,FALSE)&amp;"]")), FALSE)),
IF($J$2="FLA",
IF(VLOOKUP($A480, YES_Reading_FLA[], COLUMN(INDIRECT("YES_Reading_FLA[Max Expectation - Per "&amp;VLOOKUP($D$2,'Reading Report Logic'!$A$2:$B$8,2,FALSE)&amp;"]")),FALSE)="","",
VLOOKUP($A480,YES_Reading_FLA[],COLUMN(INDIRECT("YES_Reading_FLA[Max Expectation - Per "&amp;VLOOKUP($D$2,'Reading Report Logic'!$A$2:$B$8,2,FALSE)&amp;"]")),FALSE)),
IF($J$2="Combined",
IFERROR(
IF(VLOOKUP($A480, YES_Reading_ELA[], COLUMN(INDIRECT("YES_Reading_ELA[Max Expectation - Per "&amp;VLOOKUP($D$2, 'Reading Report Logic'!$A$2:$B$8,2,FALSE)&amp;"]")), FALSE)="", "",
VLOOKUP($A480,YES_Reading_ELA[],COLUMN(INDIRECT("YES_Reading_ELA[Max Expectation - Per "&amp;VLOOKUP($D$2,'Reading Report Logic'!$A$2:$B$8,2,FALSE)&amp;"]")),FALSE)),
IF(VLOOKUP($A480, YES_Reading_FLA[], COLUMN(INDIRECT("YES_Reading_FLA[Max Expectation - Per "&amp;VLOOKUP($D$2, 'Reading Report Logic'!$A$2:$B$8, 2, FALSE)&amp;"]")),FALSE)="", "", VLOOKUP($A480,YES_Reading_FLA[],COLUMN(INDIRECT("YES_Reading_FLA[Max Expectation - Per "&amp;VLOOKUP($D$2, 'Reading Report Logic'!$A$2:$B$8, 2, FALSE)&amp;"]")),FALSE))),""))),"")</f>
        <v/>
      </c>
      <c r="G480" s="205" t="str" cm="1">
        <f t="array" aca="1" ref="G480" ca="1">IFERROR(
IF($J$2="ELA",
IF(VLOOKUP($A480, YES_Reading_ELA[], COLUMN(INDIRECT("YES_Reading_ELA[Difference - Per "&amp;VLOOKUP($D$2, 'Reading Report Logic'!$A$2:$B$8, 2, FALSE)&amp;"]")), FALSE)="", "",
VLOOKUP($A480,YES_Reading_ELA[], COLUMN(INDIRECT("YES_Reading_ELA[Difference - Per "&amp;VLOOKUP($D$2,'Reading Report Logic'!$A$2:$B$8,2,FALSE)&amp;"]")), FALSE)),
IF($J$2="FLA",
IF(VLOOKUP($A480, YES_Reading_FLA[], COLUMN(INDIRECT("YES_Reading_FLA[Difference - Per "&amp;VLOOKUP($D$2,'Reading Report Logic'!$A$2:$B$8,2,FALSE)&amp;"]")),FALSE)="","",
VLOOKUP($A480,YES_Reading_FLA[],COLUMN(INDIRECT("YES_Reading_FLA[Difference - Per "&amp;VLOOKUP($D$2,'Reading Report Logic'!$A$2:$B$8,2,FALSE)&amp;"]")),FALSE)),
IF($J$2="Combined",
IFERROR(
IF(VLOOKUP($A480, YES_Reading_ELA[], COLUMN(INDIRECT("YES_Reading_ELA[Difference - Per "&amp;VLOOKUP($D$2, 'Reading Report Logic'!$A$2:$B$8,2,FALSE)&amp;"]")), FALSE)="", "",
VLOOKUP($A480,YES_Reading_ELA[],COLUMN(INDIRECT("YES_Reading_ELA[Difference - Per "&amp;VLOOKUP($D$2,'Reading Report Logic'!$A$2:$B$8,2,FALSE)&amp;"]")),FALSE)),
IF(VLOOKUP($A480, YES_Reading_FLA[], COLUMN(INDIRECT("YES_Reading_FLA[Difference - Per "&amp;VLOOKUP($D$2, 'Reading Report Logic'!$A$2:$B$8, 2, FALSE)&amp;"]")),FALSE)="", "", VLOOKUP($A480,YES_Reading_FLA[],COLUMN(INDIRECT("YES_Reading_FLA[Difference - Per "&amp;VLOOKUP($D$2, 'Reading Report Logic'!$A$2:$B$8, 2, FALSE)&amp;"]")),FALSE))),""))),"")</f>
        <v/>
      </c>
      <c r="H480" s="206" t="str">
        <f ca="1">IFERROR(VLOOKUP('Teacher Reading Pull Sheets'!$D480,_xlfn.VSTACK('ELA Reading Logic'!$A$22:$B$48,'FLA Reading Logic'!$A$22:$B$53),2,FALSE)-VLOOKUP('Teacher Reading Pull Sheets'!$C480,_xlfn.VSTACK('ELA Reading Logic'!$A$22:$B$48,'FLA Reading Logic'!$A$22:$B$53),2,FALSE),"")</f>
        <v/>
      </c>
      <c r="I480" s="212"/>
      <c r="J480" s="206"/>
      <c r="K480" s="197" t="str" cm="1">
        <f t="array" ref="K480">IFERROR(
IF($J$2="ELA",
IF(VLOOKUP($A480, YES_Reading_ELA[], COLUMN(YES_Reading_ELA[Self-Identified as African Descent]), FALSE)="", "",
VLOOKUP($A480,YES_Reading_ELA[], COLUMN(YES_Reading_ELA[Self-Identified as African Descent]), FALSE)),
IF($J$2="FLA",
IF(VLOOKUP($A480, YES_Reading_FLA[], COLUMN(YES_Reading_FLA[Self-Identified as African Descent]),FALSE)="","",
VLOOKUP($A480,YES_Reading_FLA[],COLUMN(YES_Reading_FLA[Self-Identified as African Descent]),FALSE)),
IF($J$2="Combined",
IFERROR(
IF(VLOOKUP($A480, YES_Reading_ELA[], COLUMN(YES_Reading_ELA[Self-Identified as African Descent]), FALSE)="", "",
VLOOKUP($A480,YES_Reading_ELA[],COLUMN(YES_Reading_ELA[Self-Identified as African Descent]),FALSE)),
IF(VLOOKUP($A480, YES_Reading_FLA[], COLUMN(YES_Reading_FLA[Self-Identified as African Descent]),FALSE)="", "", VLOOKUP($A480,YES_Reading_FLA[],COLUMN(YES_Reading_FLA[Self-Identified as African Descent]),FALSE))),""))),"")</f>
        <v/>
      </c>
      <c r="L480" s="73" t="str" cm="1">
        <f t="array" ref="L480">IFERROR(
IF($J$2="ELA",
IF(VLOOKUP($A480, YES_Reading_ELA[], COLUMN(YES_Reading_ELA[Self-Identified as Indigenous]), FALSE)="", "",
VLOOKUP($A480,YES_Reading_ELA[], COLUMN(YES_Reading_ELA[Self-Identified as Indigenous]), FALSE)),
IF($J$2="FLA",
IF(VLOOKUP($A480, YES_Reading_FLA[], COLUMN(YES_Reading_FLA[Self-Identified as Indigenous]),FALSE)="","",
VLOOKUP($A480,YES_Reading_FLA[],COLUMN(YES_Reading_FLA[Self-Identified as Indigenous]),FALSE)),
IF($J$2="Combined",
IFERROR(
IF(VLOOKUP($A480, YES_Reading_ELA[], COLUMN(YES_Reading_ELA[Self-Identified as Indigenous]), FALSE)="", "",
VLOOKUP($A480,YES_Reading_ELA[],COLUMN(YES_Reading_ELA[Self-Identified as Indigenous]),FALSE)),
IF(VLOOKUP($A480, YES_Reading_FLA[], COLUMN(YES_Reading_FLA[Self-Identified as Indigenous]),FALSE)="", "", VLOOKUP($A480,YES_Reading_FLA[],COLUMN(YES_Reading_FLA[Self-Identified as Indigenous]),FALSE))),""))),"")</f>
        <v/>
      </c>
    </row>
    <row r="481" spans="1:12" ht="19.5" customHeight="1" x14ac:dyDescent="0.25">
      <c r="A481" s="217"/>
      <c r="B481" s="220" t="str">
        <f>IFERROR(VLOOKUP(A481,_xlfn.VSTACK(YES_Reading_ELA[],YES_Reading_FLA[]),2,FALSE),"")</f>
        <v/>
      </c>
      <c r="C481" s="203" t="str" cm="1">
        <f t="array" aca="1" ref="C481" ca="1">IFERROR(
IF($J$2="ELA",
IF(VLOOKUP($A481, YES_Reading_ELA[], COLUMN(IF(VLOOKUP($D$2, 'Reading Report Logic'!$A$2:$B$8, 2, FALSE)=1, YES_Reading_ELA[Reading Level June of Previous School Year], INDIRECT("YES_Reading_ELA[Instructional Reading Level - Per "&amp;(VLOOKUP($D$2,'Reading Report Logic'!$A$2:$B$8,2,FALSE)-1)&amp;"]"))), FALSE)="", "",
VLOOKUP($A481,YES_Reading_ELA[], COLUMN(IF(VLOOKUP($D$2,'Reading Report Logic'!$A$2:$B$8,2,FALSE)=1, YES_Reading_ELA[Reading Level June of Previous School Year],INDIRECT("YES_Reading_ELA[Instructional Reading Level - Per "&amp;(VLOOKUP($D$2,'Reading Report Logic'!$A$2:$B$8,2,FALSE)-1)&amp;"]"))), FALSE)),
IF($J$2="FLA",
IF(VLOOKUP($A481, YES_Reading_FLA[], COLUMN(IF(VLOOKUP($D$2,'Reading Report Logic'!$A$2:$B$8,2,FALSE)=1, YES_Reading_FLA[Reading Level June of Previous School Year],INDIRECT("YES_Reading_FLA[Instructional Reading Level - Per "&amp;(VLOOKUP($D$2,'Reading Report Logic'!$A$2:$B$8,2,FALSE)-1)&amp;"]"))),FALSE)="","",
VLOOKUP($A481,YES_Reading_FLA[], COLUMN(IF(VLOOKUP($D$2,'Reading Report Logic'!$A$2:$B$8,2,FALSE)=1, YES_Reading_FLA[Reading Level June of Previous School Year],INDIRECT("YES_Reading_FLA[Instructional Reading Level - Per "&amp;(VLOOKUP($D$2,'Reading Report Logic'!$A$2:$B$8,2,FALSE)-1)&amp;"]"))),FALSE)),
IF($J$2="Combined",
IFERROR(
IF(VLOOKUP($A481, YES_Reading_ELA[], COLUMN(IF(VLOOKUP($D$2,'Reading Report Logic'!$A$2:$B$8,2,FALSE)=1, YES_Reading_ELA[Reading Level June of Previous School Year],INDIRECT("YES_Reading_ELA[Instructional Reading Level - Per "&amp;(VLOOKUP($D$2,'Reading Report Logic'!$A$2:$B$8,2,FALSE)-1)&amp;"]"))), FALSE)="", "",
VLOOKUP($A481,YES_Reading_ELA[],COLUMN(IF(VLOOKUP($D$2,'Reading Report Logic'!$A$2:$B$8,2,FALSE)=1, YES_Reading_ELA[Reading Level June of Previous School Year],INDIRECT("YES_Reading_ELA[Instructional Reading Level - Per "&amp;(VLOOKUP($D$2,'Reading Report Logic'!$A$2:$B$8,2,FALSE)-1)&amp;"]"))),FALSE)),
IF(VLOOKUP($A481, YES_Reading_FLA[], COLUMN(IF(VLOOKUP($D$2,'Reading Report Logic'!$A$2:$B$8,2,FALSE)=1, YES_Reading_FLA[Reading Level June of Previous School Year],INDIRECT("YES_Reading_FLA[Instructional Reading Level - Per "&amp;(VLOOKUP($D$2,'Reading Report Logic'!$A$2:$B$8,2,FALSE)-1)&amp;"]"))),FALSE)="", "", VLOOKUP($A481,YES_Reading_FLA[],COLUMN(IF(VLOOKUP($D$2,'Reading Report Logic'!$A$2:$B$8,2,FALSE)=1, YES_Reading_FLA[Reading Level June of Previous School Year],INDIRECT("YES_Reading_FLA[Instructional Reading Level - Per "&amp;(VLOOKUP($D$2,'Reading Report Logic'!$A$2:$B$8,2,FALSE)-1)&amp;"]"))), FALSE))),""))),"")</f>
        <v/>
      </c>
      <c r="D481" s="204" t="str" cm="1">
        <f t="array" aca="1" ref="D481" ca="1">IFERROR(
IF($J$2="ELA",
IF(VLOOKUP($A481, YES_Reading_ELA[], COLUMN(INDIRECT("YES_Reading_ELA[Instructional Reading Level - Per "&amp;VLOOKUP($D$2, 'Reading Report Logic'!$A$2:$B$8, 2, FALSE)&amp;"]")), FALSE)="", "",
VLOOKUP($A481,YES_Reading_ELA[], COLUMN(INDIRECT("YES_Reading_ELA[Instructional Reading Level - Per "&amp;VLOOKUP($D$2,'Reading Report Logic'!$A$2:$B$8,2,FALSE)&amp;"]")), FALSE)),
IF($J$2="FLA",
IF(VLOOKUP($A481, YES_Reading_FLA[], COLUMN(INDIRECT("YES_Reading_FLA[Instructional Reading Level - Per "&amp;VLOOKUP($D$2,'Reading Report Logic'!$A$2:$B$8,2,FALSE)&amp;"]")),FALSE)="","",
VLOOKUP($A481,YES_Reading_FLA[],COLUMN(INDIRECT("YES_Reading_FLA[Instructional Reading Level - Per "&amp;VLOOKUP($D$2,'Reading Report Logic'!$A$2:$B$8,2,FALSE)&amp;"]")),FALSE)),
IF($J$2="Combined",
IFERROR(
IF(VLOOKUP($A481, YES_Reading_ELA[], COLUMN(INDIRECT("YES_Reading_ELA[Instructional Reading Level - Per "&amp;VLOOKUP($D$2, 'Reading Report Logic'!$A$2:$B$8,2,FALSE)&amp;"]")), FALSE)="", "",
VLOOKUP($A481,YES_Reading_ELA[],COLUMN(INDIRECT("YES_Reading_ELA[Instructional Reading Level - Per "&amp;VLOOKUP($D$2,'Reading Report Logic'!$A$2:$B$8,2,FALSE)&amp;"]")),FALSE)),
IF(VLOOKUP($A481, YES_Reading_FLA[], COLUMN(INDIRECT("YES_Reading_FLA[Instructional Reading Level - Per "&amp;VLOOKUP($D$2, 'Reading Report Logic'!$A$2:$B$8, 2, FALSE)&amp;"]")),FALSE)="", "", VLOOKUP($A481,YES_Reading_FLA[],COLUMN(INDIRECT("YES_Reading_FLA[Instructional Reading Level - Per "&amp;VLOOKUP($D$2, 'Reading Report Logic'!$A$2:$B$8, 2, FALSE)&amp;"]")),FALSE))),""))),"")</f>
        <v/>
      </c>
      <c r="E481" s="205" t="str" cm="1">
        <f t="array" aca="1" ref="E481" ca="1">IFERROR(
IF($J$2="ELA",
IF(VLOOKUP($A481, YES_Reading_ELA[], COLUMN(INDIRECT("YES_Reading_ELA[Min Expectation - Per "&amp;VLOOKUP($D$2, 'Reading Report Logic'!$A$2:$B$8, 2, FALSE)&amp;"]")), FALSE)="", "",
VLOOKUP($A481,YES_Reading_ELA[], COLUMN(INDIRECT("YES_Reading_ELA[Min Expectation - Per "&amp;VLOOKUP($D$2,'Reading Report Logic'!$A$2:$B$8,2,FALSE)&amp;"]")), FALSE)),
IF($J$2="FLA",
IF(VLOOKUP($A481, YES_Reading_FLA[], COLUMN(INDIRECT("YES_Reading_FLA[Min Expectation - Per "&amp;VLOOKUP($D$2,'Reading Report Logic'!$A$2:$B$8,2,FALSE)&amp;"]")),FALSE)="","",
VLOOKUP($A481,YES_Reading_FLA[],COLUMN(INDIRECT("YES_Reading_FLA[Min Expectation - Per "&amp;VLOOKUP($D$2,'Reading Report Logic'!$A$2:$B$8,2,FALSE)&amp;"]")),FALSE)),
IF($J$2="Combined",
IFERROR(
IF(VLOOKUP($A481, YES_Reading_ELA[], COLUMN(INDIRECT("YES_Reading_ELA[Min Expectation - Per "&amp;VLOOKUP($D$2, 'Reading Report Logic'!$A$2:$B$8,2,FALSE)&amp;"]")), FALSE)="", "",
VLOOKUP($A481,YES_Reading_ELA[],COLUMN(INDIRECT("YES_Reading_ELA[Min Expectation - Per "&amp;VLOOKUP($D$2,'Reading Report Logic'!$A$2:$B$8,2,FALSE)&amp;"]")),FALSE)),
IF(VLOOKUP($A481, YES_Reading_FLA[], COLUMN(INDIRECT("YES_Reading_FLA[Min Expectation - Per "&amp;VLOOKUP($D$2, 'Reading Report Logic'!$A$2:$B$8, 2, FALSE)&amp;"]")),FALSE)="", "", VLOOKUP($A481,YES_Reading_FLA[],COLUMN(INDIRECT("YES_Reading_FLA[Min Expectation - Per "&amp;VLOOKUP($D$2, 'Reading Report Logic'!$A$2:$B$8, 2, FALSE)&amp;"]")),FALSE))),""))),"")</f>
        <v/>
      </c>
      <c r="F481" s="205" t="str" cm="1">
        <f t="array" aca="1" ref="F481" ca="1">IFERROR(
IF($J$2="ELA",
IF(VLOOKUP($A481, YES_Reading_ELA[], COLUMN(INDIRECT("YES_Reading_ELA[Max Expectation - Per "&amp;VLOOKUP($D$2, 'Reading Report Logic'!$A$2:$B$8, 2, FALSE)&amp;"]")), FALSE)="", "",
VLOOKUP($A481,YES_Reading_ELA[], COLUMN(INDIRECT("YES_Reading_ELA[Max Expectation - Per "&amp;VLOOKUP($D$2,'Reading Report Logic'!$A$2:$B$8,2,FALSE)&amp;"]")), FALSE)),
IF($J$2="FLA",
IF(VLOOKUP($A481, YES_Reading_FLA[], COLUMN(INDIRECT("YES_Reading_FLA[Max Expectation - Per "&amp;VLOOKUP($D$2,'Reading Report Logic'!$A$2:$B$8,2,FALSE)&amp;"]")),FALSE)="","",
VLOOKUP($A481,YES_Reading_FLA[],COLUMN(INDIRECT("YES_Reading_FLA[Max Expectation - Per "&amp;VLOOKUP($D$2,'Reading Report Logic'!$A$2:$B$8,2,FALSE)&amp;"]")),FALSE)),
IF($J$2="Combined",
IFERROR(
IF(VLOOKUP($A481, YES_Reading_ELA[], COLUMN(INDIRECT("YES_Reading_ELA[Max Expectation - Per "&amp;VLOOKUP($D$2, 'Reading Report Logic'!$A$2:$B$8,2,FALSE)&amp;"]")), FALSE)="", "",
VLOOKUP($A481,YES_Reading_ELA[],COLUMN(INDIRECT("YES_Reading_ELA[Max Expectation - Per "&amp;VLOOKUP($D$2,'Reading Report Logic'!$A$2:$B$8,2,FALSE)&amp;"]")),FALSE)),
IF(VLOOKUP($A481, YES_Reading_FLA[], COLUMN(INDIRECT("YES_Reading_FLA[Max Expectation - Per "&amp;VLOOKUP($D$2, 'Reading Report Logic'!$A$2:$B$8, 2, FALSE)&amp;"]")),FALSE)="", "", VLOOKUP($A481,YES_Reading_FLA[],COLUMN(INDIRECT("YES_Reading_FLA[Max Expectation - Per "&amp;VLOOKUP($D$2, 'Reading Report Logic'!$A$2:$B$8, 2, FALSE)&amp;"]")),FALSE))),""))),"")</f>
        <v/>
      </c>
      <c r="G481" s="205" t="str" cm="1">
        <f t="array" aca="1" ref="G481" ca="1">IFERROR(
IF($J$2="ELA",
IF(VLOOKUP($A481, YES_Reading_ELA[], COLUMN(INDIRECT("YES_Reading_ELA[Difference - Per "&amp;VLOOKUP($D$2, 'Reading Report Logic'!$A$2:$B$8, 2, FALSE)&amp;"]")), FALSE)="", "",
VLOOKUP($A481,YES_Reading_ELA[], COLUMN(INDIRECT("YES_Reading_ELA[Difference - Per "&amp;VLOOKUP($D$2,'Reading Report Logic'!$A$2:$B$8,2,FALSE)&amp;"]")), FALSE)),
IF($J$2="FLA",
IF(VLOOKUP($A481, YES_Reading_FLA[], COLUMN(INDIRECT("YES_Reading_FLA[Difference - Per "&amp;VLOOKUP($D$2,'Reading Report Logic'!$A$2:$B$8,2,FALSE)&amp;"]")),FALSE)="","",
VLOOKUP($A481,YES_Reading_FLA[],COLUMN(INDIRECT("YES_Reading_FLA[Difference - Per "&amp;VLOOKUP($D$2,'Reading Report Logic'!$A$2:$B$8,2,FALSE)&amp;"]")),FALSE)),
IF($J$2="Combined",
IFERROR(
IF(VLOOKUP($A481, YES_Reading_ELA[], COLUMN(INDIRECT("YES_Reading_ELA[Difference - Per "&amp;VLOOKUP($D$2, 'Reading Report Logic'!$A$2:$B$8,2,FALSE)&amp;"]")), FALSE)="", "",
VLOOKUP($A481,YES_Reading_ELA[],COLUMN(INDIRECT("YES_Reading_ELA[Difference - Per "&amp;VLOOKUP($D$2,'Reading Report Logic'!$A$2:$B$8,2,FALSE)&amp;"]")),FALSE)),
IF(VLOOKUP($A481, YES_Reading_FLA[], COLUMN(INDIRECT("YES_Reading_FLA[Difference - Per "&amp;VLOOKUP($D$2, 'Reading Report Logic'!$A$2:$B$8, 2, FALSE)&amp;"]")),FALSE)="", "", VLOOKUP($A481,YES_Reading_FLA[],COLUMN(INDIRECT("YES_Reading_FLA[Difference - Per "&amp;VLOOKUP($D$2, 'Reading Report Logic'!$A$2:$B$8, 2, FALSE)&amp;"]")),FALSE))),""))),"")</f>
        <v/>
      </c>
      <c r="H481" s="206" t="str">
        <f ca="1">IFERROR(VLOOKUP('Teacher Reading Pull Sheets'!$D481,_xlfn.VSTACK('ELA Reading Logic'!$A$22:$B$48,'FLA Reading Logic'!$A$22:$B$53),2,FALSE)-VLOOKUP('Teacher Reading Pull Sheets'!$C481,_xlfn.VSTACK('ELA Reading Logic'!$A$22:$B$48,'FLA Reading Logic'!$A$22:$B$53),2,FALSE),"")</f>
        <v/>
      </c>
      <c r="I481" s="212"/>
      <c r="J481" s="206"/>
      <c r="K481" s="197" t="str" cm="1">
        <f t="array" ref="K481">IFERROR(
IF($J$2="ELA",
IF(VLOOKUP($A481, YES_Reading_ELA[], COLUMN(YES_Reading_ELA[Self-Identified as African Descent]), FALSE)="", "",
VLOOKUP($A481,YES_Reading_ELA[], COLUMN(YES_Reading_ELA[Self-Identified as African Descent]), FALSE)),
IF($J$2="FLA",
IF(VLOOKUP($A481, YES_Reading_FLA[], COLUMN(YES_Reading_FLA[Self-Identified as African Descent]),FALSE)="","",
VLOOKUP($A481,YES_Reading_FLA[],COLUMN(YES_Reading_FLA[Self-Identified as African Descent]),FALSE)),
IF($J$2="Combined",
IFERROR(
IF(VLOOKUP($A481, YES_Reading_ELA[], COLUMN(YES_Reading_ELA[Self-Identified as African Descent]), FALSE)="", "",
VLOOKUP($A481,YES_Reading_ELA[],COLUMN(YES_Reading_ELA[Self-Identified as African Descent]),FALSE)),
IF(VLOOKUP($A481, YES_Reading_FLA[], COLUMN(YES_Reading_FLA[Self-Identified as African Descent]),FALSE)="", "", VLOOKUP($A481,YES_Reading_FLA[],COLUMN(YES_Reading_FLA[Self-Identified as African Descent]),FALSE))),""))),"")</f>
        <v/>
      </c>
      <c r="L481" s="73" t="str" cm="1">
        <f t="array" ref="L481">IFERROR(
IF($J$2="ELA",
IF(VLOOKUP($A481, YES_Reading_ELA[], COLUMN(YES_Reading_ELA[Self-Identified as Indigenous]), FALSE)="", "",
VLOOKUP($A481,YES_Reading_ELA[], COLUMN(YES_Reading_ELA[Self-Identified as Indigenous]), FALSE)),
IF($J$2="FLA",
IF(VLOOKUP($A481, YES_Reading_FLA[], COLUMN(YES_Reading_FLA[Self-Identified as Indigenous]),FALSE)="","",
VLOOKUP($A481,YES_Reading_FLA[],COLUMN(YES_Reading_FLA[Self-Identified as Indigenous]),FALSE)),
IF($J$2="Combined",
IFERROR(
IF(VLOOKUP($A481, YES_Reading_ELA[], COLUMN(YES_Reading_ELA[Self-Identified as Indigenous]), FALSE)="", "",
VLOOKUP($A481,YES_Reading_ELA[],COLUMN(YES_Reading_ELA[Self-Identified as Indigenous]),FALSE)),
IF(VLOOKUP($A481, YES_Reading_FLA[], COLUMN(YES_Reading_FLA[Self-Identified as Indigenous]),FALSE)="", "", VLOOKUP($A481,YES_Reading_FLA[],COLUMN(YES_Reading_FLA[Self-Identified as Indigenous]),FALSE))),""))),"")</f>
        <v/>
      </c>
    </row>
    <row r="482" spans="1:12" ht="19.5" customHeight="1" x14ac:dyDescent="0.25">
      <c r="A482" s="217"/>
      <c r="B482" s="220" t="str">
        <f>IFERROR(VLOOKUP(A482,_xlfn.VSTACK(YES_Reading_ELA[],YES_Reading_FLA[]),2,FALSE),"")</f>
        <v/>
      </c>
      <c r="C482" s="203" t="str" cm="1">
        <f t="array" aca="1" ref="C482" ca="1">IFERROR(
IF($J$2="ELA",
IF(VLOOKUP($A482, YES_Reading_ELA[], COLUMN(IF(VLOOKUP($D$2, 'Reading Report Logic'!$A$2:$B$8, 2, FALSE)=1, YES_Reading_ELA[Reading Level June of Previous School Year], INDIRECT("YES_Reading_ELA[Instructional Reading Level - Per "&amp;(VLOOKUP($D$2,'Reading Report Logic'!$A$2:$B$8,2,FALSE)-1)&amp;"]"))), FALSE)="", "",
VLOOKUP($A482,YES_Reading_ELA[], COLUMN(IF(VLOOKUP($D$2,'Reading Report Logic'!$A$2:$B$8,2,FALSE)=1, YES_Reading_ELA[Reading Level June of Previous School Year],INDIRECT("YES_Reading_ELA[Instructional Reading Level - Per "&amp;(VLOOKUP($D$2,'Reading Report Logic'!$A$2:$B$8,2,FALSE)-1)&amp;"]"))), FALSE)),
IF($J$2="FLA",
IF(VLOOKUP($A482, YES_Reading_FLA[], COLUMN(IF(VLOOKUP($D$2,'Reading Report Logic'!$A$2:$B$8,2,FALSE)=1, YES_Reading_FLA[Reading Level June of Previous School Year],INDIRECT("YES_Reading_FLA[Instructional Reading Level - Per "&amp;(VLOOKUP($D$2,'Reading Report Logic'!$A$2:$B$8,2,FALSE)-1)&amp;"]"))),FALSE)="","",
VLOOKUP($A482,YES_Reading_FLA[], COLUMN(IF(VLOOKUP($D$2,'Reading Report Logic'!$A$2:$B$8,2,FALSE)=1, YES_Reading_FLA[Reading Level June of Previous School Year],INDIRECT("YES_Reading_FLA[Instructional Reading Level - Per "&amp;(VLOOKUP($D$2,'Reading Report Logic'!$A$2:$B$8,2,FALSE)-1)&amp;"]"))),FALSE)),
IF($J$2="Combined",
IFERROR(
IF(VLOOKUP($A482, YES_Reading_ELA[], COLUMN(IF(VLOOKUP($D$2,'Reading Report Logic'!$A$2:$B$8,2,FALSE)=1, YES_Reading_ELA[Reading Level June of Previous School Year],INDIRECT("YES_Reading_ELA[Instructional Reading Level - Per "&amp;(VLOOKUP($D$2,'Reading Report Logic'!$A$2:$B$8,2,FALSE)-1)&amp;"]"))), FALSE)="", "",
VLOOKUP($A482,YES_Reading_ELA[],COLUMN(IF(VLOOKUP($D$2,'Reading Report Logic'!$A$2:$B$8,2,FALSE)=1, YES_Reading_ELA[Reading Level June of Previous School Year],INDIRECT("YES_Reading_ELA[Instructional Reading Level - Per "&amp;(VLOOKUP($D$2,'Reading Report Logic'!$A$2:$B$8,2,FALSE)-1)&amp;"]"))),FALSE)),
IF(VLOOKUP($A482, YES_Reading_FLA[], COLUMN(IF(VLOOKUP($D$2,'Reading Report Logic'!$A$2:$B$8,2,FALSE)=1, YES_Reading_FLA[Reading Level June of Previous School Year],INDIRECT("YES_Reading_FLA[Instructional Reading Level - Per "&amp;(VLOOKUP($D$2,'Reading Report Logic'!$A$2:$B$8,2,FALSE)-1)&amp;"]"))),FALSE)="", "", VLOOKUP($A482,YES_Reading_FLA[],COLUMN(IF(VLOOKUP($D$2,'Reading Report Logic'!$A$2:$B$8,2,FALSE)=1, YES_Reading_FLA[Reading Level June of Previous School Year],INDIRECT("YES_Reading_FLA[Instructional Reading Level - Per "&amp;(VLOOKUP($D$2,'Reading Report Logic'!$A$2:$B$8,2,FALSE)-1)&amp;"]"))), FALSE))),""))),"")</f>
        <v/>
      </c>
      <c r="D482" s="204" t="str" cm="1">
        <f t="array" aca="1" ref="D482" ca="1">IFERROR(
IF($J$2="ELA",
IF(VLOOKUP($A482, YES_Reading_ELA[], COLUMN(INDIRECT("YES_Reading_ELA[Instructional Reading Level - Per "&amp;VLOOKUP($D$2, 'Reading Report Logic'!$A$2:$B$8, 2, FALSE)&amp;"]")), FALSE)="", "",
VLOOKUP($A482,YES_Reading_ELA[], COLUMN(INDIRECT("YES_Reading_ELA[Instructional Reading Level - Per "&amp;VLOOKUP($D$2,'Reading Report Logic'!$A$2:$B$8,2,FALSE)&amp;"]")), FALSE)),
IF($J$2="FLA",
IF(VLOOKUP($A482, YES_Reading_FLA[], COLUMN(INDIRECT("YES_Reading_FLA[Instructional Reading Level - Per "&amp;VLOOKUP($D$2,'Reading Report Logic'!$A$2:$B$8,2,FALSE)&amp;"]")),FALSE)="","",
VLOOKUP($A482,YES_Reading_FLA[],COLUMN(INDIRECT("YES_Reading_FLA[Instructional Reading Level - Per "&amp;VLOOKUP($D$2,'Reading Report Logic'!$A$2:$B$8,2,FALSE)&amp;"]")),FALSE)),
IF($J$2="Combined",
IFERROR(
IF(VLOOKUP($A482, YES_Reading_ELA[], COLUMN(INDIRECT("YES_Reading_ELA[Instructional Reading Level - Per "&amp;VLOOKUP($D$2, 'Reading Report Logic'!$A$2:$B$8,2,FALSE)&amp;"]")), FALSE)="", "",
VLOOKUP($A482,YES_Reading_ELA[],COLUMN(INDIRECT("YES_Reading_ELA[Instructional Reading Level - Per "&amp;VLOOKUP($D$2,'Reading Report Logic'!$A$2:$B$8,2,FALSE)&amp;"]")),FALSE)),
IF(VLOOKUP($A482, YES_Reading_FLA[], COLUMN(INDIRECT("YES_Reading_FLA[Instructional Reading Level - Per "&amp;VLOOKUP($D$2, 'Reading Report Logic'!$A$2:$B$8, 2, FALSE)&amp;"]")),FALSE)="", "", VLOOKUP($A482,YES_Reading_FLA[],COLUMN(INDIRECT("YES_Reading_FLA[Instructional Reading Level - Per "&amp;VLOOKUP($D$2, 'Reading Report Logic'!$A$2:$B$8, 2, FALSE)&amp;"]")),FALSE))),""))),"")</f>
        <v/>
      </c>
      <c r="E482" s="205" t="str" cm="1">
        <f t="array" aca="1" ref="E482" ca="1">IFERROR(
IF($J$2="ELA",
IF(VLOOKUP($A482, YES_Reading_ELA[], COLUMN(INDIRECT("YES_Reading_ELA[Min Expectation - Per "&amp;VLOOKUP($D$2, 'Reading Report Logic'!$A$2:$B$8, 2, FALSE)&amp;"]")), FALSE)="", "",
VLOOKUP($A482,YES_Reading_ELA[], COLUMN(INDIRECT("YES_Reading_ELA[Min Expectation - Per "&amp;VLOOKUP($D$2,'Reading Report Logic'!$A$2:$B$8,2,FALSE)&amp;"]")), FALSE)),
IF($J$2="FLA",
IF(VLOOKUP($A482, YES_Reading_FLA[], COLUMN(INDIRECT("YES_Reading_FLA[Min Expectation - Per "&amp;VLOOKUP($D$2,'Reading Report Logic'!$A$2:$B$8,2,FALSE)&amp;"]")),FALSE)="","",
VLOOKUP($A482,YES_Reading_FLA[],COLUMN(INDIRECT("YES_Reading_FLA[Min Expectation - Per "&amp;VLOOKUP($D$2,'Reading Report Logic'!$A$2:$B$8,2,FALSE)&amp;"]")),FALSE)),
IF($J$2="Combined",
IFERROR(
IF(VLOOKUP($A482, YES_Reading_ELA[], COLUMN(INDIRECT("YES_Reading_ELA[Min Expectation - Per "&amp;VLOOKUP($D$2, 'Reading Report Logic'!$A$2:$B$8,2,FALSE)&amp;"]")), FALSE)="", "",
VLOOKUP($A482,YES_Reading_ELA[],COLUMN(INDIRECT("YES_Reading_ELA[Min Expectation - Per "&amp;VLOOKUP($D$2,'Reading Report Logic'!$A$2:$B$8,2,FALSE)&amp;"]")),FALSE)),
IF(VLOOKUP($A482, YES_Reading_FLA[], COLUMN(INDIRECT("YES_Reading_FLA[Min Expectation - Per "&amp;VLOOKUP($D$2, 'Reading Report Logic'!$A$2:$B$8, 2, FALSE)&amp;"]")),FALSE)="", "", VLOOKUP($A482,YES_Reading_FLA[],COLUMN(INDIRECT("YES_Reading_FLA[Min Expectation - Per "&amp;VLOOKUP($D$2, 'Reading Report Logic'!$A$2:$B$8, 2, FALSE)&amp;"]")),FALSE))),""))),"")</f>
        <v/>
      </c>
      <c r="F482" s="205" t="str" cm="1">
        <f t="array" aca="1" ref="F482" ca="1">IFERROR(
IF($J$2="ELA",
IF(VLOOKUP($A482, YES_Reading_ELA[], COLUMN(INDIRECT("YES_Reading_ELA[Max Expectation - Per "&amp;VLOOKUP($D$2, 'Reading Report Logic'!$A$2:$B$8, 2, FALSE)&amp;"]")), FALSE)="", "",
VLOOKUP($A482,YES_Reading_ELA[], COLUMN(INDIRECT("YES_Reading_ELA[Max Expectation - Per "&amp;VLOOKUP($D$2,'Reading Report Logic'!$A$2:$B$8,2,FALSE)&amp;"]")), FALSE)),
IF($J$2="FLA",
IF(VLOOKUP($A482, YES_Reading_FLA[], COLUMN(INDIRECT("YES_Reading_FLA[Max Expectation - Per "&amp;VLOOKUP($D$2,'Reading Report Logic'!$A$2:$B$8,2,FALSE)&amp;"]")),FALSE)="","",
VLOOKUP($A482,YES_Reading_FLA[],COLUMN(INDIRECT("YES_Reading_FLA[Max Expectation - Per "&amp;VLOOKUP($D$2,'Reading Report Logic'!$A$2:$B$8,2,FALSE)&amp;"]")),FALSE)),
IF($J$2="Combined",
IFERROR(
IF(VLOOKUP($A482, YES_Reading_ELA[], COLUMN(INDIRECT("YES_Reading_ELA[Max Expectation - Per "&amp;VLOOKUP($D$2, 'Reading Report Logic'!$A$2:$B$8,2,FALSE)&amp;"]")), FALSE)="", "",
VLOOKUP($A482,YES_Reading_ELA[],COLUMN(INDIRECT("YES_Reading_ELA[Max Expectation - Per "&amp;VLOOKUP($D$2,'Reading Report Logic'!$A$2:$B$8,2,FALSE)&amp;"]")),FALSE)),
IF(VLOOKUP($A482, YES_Reading_FLA[], COLUMN(INDIRECT("YES_Reading_FLA[Max Expectation - Per "&amp;VLOOKUP($D$2, 'Reading Report Logic'!$A$2:$B$8, 2, FALSE)&amp;"]")),FALSE)="", "", VLOOKUP($A482,YES_Reading_FLA[],COLUMN(INDIRECT("YES_Reading_FLA[Max Expectation - Per "&amp;VLOOKUP($D$2, 'Reading Report Logic'!$A$2:$B$8, 2, FALSE)&amp;"]")),FALSE))),""))),"")</f>
        <v/>
      </c>
      <c r="G482" s="205" t="str" cm="1">
        <f t="array" aca="1" ref="G482" ca="1">IFERROR(
IF($J$2="ELA",
IF(VLOOKUP($A482, YES_Reading_ELA[], COLUMN(INDIRECT("YES_Reading_ELA[Difference - Per "&amp;VLOOKUP($D$2, 'Reading Report Logic'!$A$2:$B$8, 2, FALSE)&amp;"]")), FALSE)="", "",
VLOOKUP($A482,YES_Reading_ELA[], COLUMN(INDIRECT("YES_Reading_ELA[Difference - Per "&amp;VLOOKUP($D$2,'Reading Report Logic'!$A$2:$B$8,2,FALSE)&amp;"]")), FALSE)),
IF($J$2="FLA",
IF(VLOOKUP($A482, YES_Reading_FLA[], COLUMN(INDIRECT("YES_Reading_FLA[Difference - Per "&amp;VLOOKUP($D$2,'Reading Report Logic'!$A$2:$B$8,2,FALSE)&amp;"]")),FALSE)="","",
VLOOKUP($A482,YES_Reading_FLA[],COLUMN(INDIRECT("YES_Reading_FLA[Difference - Per "&amp;VLOOKUP($D$2,'Reading Report Logic'!$A$2:$B$8,2,FALSE)&amp;"]")),FALSE)),
IF($J$2="Combined",
IFERROR(
IF(VLOOKUP($A482, YES_Reading_ELA[], COLUMN(INDIRECT("YES_Reading_ELA[Difference - Per "&amp;VLOOKUP($D$2, 'Reading Report Logic'!$A$2:$B$8,2,FALSE)&amp;"]")), FALSE)="", "",
VLOOKUP($A482,YES_Reading_ELA[],COLUMN(INDIRECT("YES_Reading_ELA[Difference - Per "&amp;VLOOKUP($D$2,'Reading Report Logic'!$A$2:$B$8,2,FALSE)&amp;"]")),FALSE)),
IF(VLOOKUP($A482, YES_Reading_FLA[], COLUMN(INDIRECT("YES_Reading_FLA[Difference - Per "&amp;VLOOKUP($D$2, 'Reading Report Logic'!$A$2:$B$8, 2, FALSE)&amp;"]")),FALSE)="", "", VLOOKUP($A482,YES_Reading_FLA[],COLUMN(INDIRECT("YES_Reading_FLA[Difference - Per "&amp;VLOOKUP($D$2, 'Reading Report Logic'!$A$2:$B$8, 2, FALSE)&amp;"]")),FALSE))),""))),"")</f>
        <v/>
      </c>
      <c r="H482" s="206" t="str">
        <f ca="1">IFERROR(VLOOKUP('Teacher Reading Pull Sheets'!$D482,_xlfn.VSTACK('ELA Reading Logic'!$A$22:$B$48,'FLA Reading Logic'!$A$22:$B$53),2,FALSE)-VLOOKUP('Teacher Reading Pull Sheets'!$C482,_xlfn.VSTACK('ELA Reading Logic'!$A$22:$B$48,'FLA Reading Logic'!$A$22:$B$53),2,FALSE),"")</f>
        <v/>
      </c>
      <c r="I482" s="212"/>
      <c r="J482" s="206"/>
      <c r="K482" s="197" t="str" cm="1">
        <f t="array" ref="K482">IFERROR(
IF($J$2="ELA",
IF(VLOOKUP($A482, YES_Reading_ELA[], COLUMN(YES_Reading_ELA[Self-Identified as African Descent]), FALSE)="", "",
VLOOKUP($A482,YES_Reading_ELA[], COLUMN(YES_Reading_ELA[Self-Identified as African Descent]), FALSE)),
IF($J$2="FLA",
IF(VLOOKUP($A482, YES_Reading_FLA[], COLUMN(YES_Reading_FLA[Self-Identified as African Descent]),FALSE)="","",
VLOOKUP($A482,YES_Reading_FLA[],COLUMN(YES_Reading_FLA[Self-Identified as African Descent]),FALSE)),
IF($J$2="Combined",
IFERROR(
IF(VLOOKUP($A482, YES_Reading_ELA[], COLUMN(YES_Reading_ELA[Self-Identified as African Descent]), FALSE)="", "",
VLOOKUP($A482,YES_Reading_ELA[],COLUMN(YES_Reading_ELA[Self-Identified as African Descent]),FALSE)),
IF(VLOOKUP($A482, YES_Reading_FLA[], COLUMN(YES_Reading_FLA[Self-Identified as African Descent]),FALSE)="", "", VLOOKUP($A482,YES_Reading_FLA[],COLUMN(YES_Reading_FLA[Self-Identified as African Descent]),FALSE))),""))),"")</f>
        <v/>
      </c>
      <c r="L482" s="73" t="str" cm="1">
        <f t="array" ref="L482">IFERROR(
IF($J$2="ELA",
IF(VLOOKUP($A482, YES_Reading_ELA[], COLUMN(YES_Reading_ELA[Self-Identified as Indigenous]), FALSE)="", "",
VLOOKUP($A482,YES_Reading_ELA[], COLUMN(YES_Reading_ELA[Self-Identified as Indigenous]), FALSE)),
IF($J$2="FLA",
IF(VLOOKUP($A482, YES_Reading_FLA[], COLUMN(YES_Reading_FLA[Self-Identified as Indigenous]),FALSE)="","",
VLOOKUP($A482,YES_Reading_FLA[],COLUMN(YES_Reading_FLA[Self-Identified as Indigenous]),FALSE)),
IF($J$2="Combined",
IFERROR(
IF(VLOOKUP($A482, YES_Reading_ELA[], COLUMN(YES_Reading_ELA[Self-Identified as Indigenous]), FALSE)="", "",
VLOOKUP($A482,YES_Reading_ELA[],COLUMN(YES_Reading_ELA[Self-Identified as Indigenous]),FALSE)),
IF(VLOOKUP($A482, YES_Reading_FLA[], COLUMN(YES_Reading_FLA[Self-Identified as Indigenous]),FALSE)="", "", VLOOKUP($A482,YES_Reading_FLA[],COLUMN(YES_Reading_FLA[Self-Identified as Indigenous]),FALSE))),""))),"")</f>
        <v/>
      </c>
    </row>
    <row r="483" spans="1:12" ht="19.5" customHeight="1" x14ac:dyDescent="0.25">
      <c r="A483" s="217"/>
      <c r="B483" s="220" t="str">
        <f>IFERROR(VLOOKUP(A483,_xlfn.VSTACK(YES_Reading_ELA[],YES_Reading_FLA[]),2,FALSE),"")</f>
        <v/>
      </c>
      <c r="C483" s="203" t="str" cm="1">
        <f t="array" aca="1" ref="C483" ca="1">IFERROR(
IF($J$2="ELA",
IF(VLOOKUP($A483, YES_Reading_ELA[], COLUMN(IF(VLOOKUP($D$2, 'Reading Report Logic'!$A$2:$B$8, 2, FALSE)=1, YES_Reading_ELA[Reading Level June of Previous School Year], INDIRECT("YES_Reading_ELA[Instructional Reading Level - Per "&amp;(VLOOKUP($D$2,'Reading Report Logic'!$A$2:$B$8,2,FALSE)-1)&amp;"]"))), FALSE)="", "",
VLOOKUP($A483,YES_Reading_ELA[], COLUMN(IF(VLOOKUP($D$2,'Reading Report Logic'!$A$2:$B$8,2,FALSE)=1, YES_Reading_ELA[Reading Level June of Previous School Year],INDIRECT("YES_Reading_ELA[Instructional Reading Level - Per "&amp;(VLOOKUP($D$2,'Reading Report Logic'!$A$2:$B$8,2,FALSE)-1)&amp;"]"))), FALSE)),
IF($J$2="FLA",
IF(VLOOKUP($A483, YES_Reading_FLA[], COLUMN(IF(VLOOKUP($D$2,'Reading Report Logic'!$A$2:$B$8,2,FALSE)=1, YES_Reading_FLA[Reading Level June of Previous School Year],INDIRECT("YES_Reading_FLA[Instructional Reading Level - Per "&amp;(VLOOKUP($D$2,'Reading Report Logic'!$A$2:$B$8,2,FALSE)-1)&amp;"]"))),FALSE)="","",
VLOOKUP($A483,YES_Reading_FLA[], COLUMN(IF(VLOOKUP($D$2,'Reading Report Logic'!$A$2:$B$8,2,FALSE)=1, YES_Reading_FLA[Reading Level June of Previous School Year],INDIRECT("YES_Reading_FLA[Instructional Reading Level - Per "&amp;(VLOOKUP($D$2,'Reading Report Logic'!$A$2:$B$8,2,FALSE)-1)&amp;"]"))),FALSE)),
IF($J$2="Combined",
IFERROR(
IF(VLOOKUP($A483, YES_Reading_ELA[], COLUMN(IF(VLOOKUP($D$2,'Reading Report Logic'!$A$2:$B$8,2,FALSE)=1, YES_Reading_ELA[Reading Level June of Previous School Year],INDIRECT("YES_Reading_ELA[Instructional Reading Level - Per "&amp;(VLOOKUP($D$2,'Reading Report Logic'!$A$2:$B$8,2,FALSE)-1)&amp;"]"))), FALSE)="", "",
VLOOKUP($A483,YES_Reading_ELA[],COLUMN(IF(VLOOKUP($D$2,'Reading Report Logic'!$A$2:$B$8,2,FALSE)=1, YES_Reading_ELA[Reading Level June of Previous School Year],INDIRECT("YES_Reading_ELA[Instructional Reading Level - Per "&amp;(VLOOKUP($D$2,'Reading Report Logic'!$A$2:$B$8,2,FALSE)-1)&amp;"]"))),FALSE)),
IF(VLOOKUP($A483, YES_Reading_FLA[], COLUMN(IF(VLOOKUP($D$2,'Reading Report Logic'!$A$2:$B$8,2,FALSE)=1, YES_Reading_FLA[Reading Level June of Previous School Year],INDIRECT("YES_Reading_FLA[Instructional Reading Level - Per "&amp;(VLOOKUP($D$2,'Reading Report Logic'!$A$2:$B$8,2,FALSE)-1)&amp;"]"))),FALSE)="", "", VLOOKUP($A483,YES_Reading_FLA[],COLUMN(IF(VLOOKUP($D$2,'Reading Report Logic'!$A$2:$B$8,2,FALSE)=1, YES_Reading_FLA[Reading Level June of Previous School Year],INDIRECT("YES_Reading_FLA[Instructional Reading Level - Per "&amp;(VLOOKUP($D$2,'Reading Report Logic'!$A$2:$B$8,2,FALSE)-1)&amp;"]"))), FALSE))),""))),"")</f>
        <v/>
      </c>
      <c r="D483" s="204" t="str" cm="1">
        <f t="array" aca="1" ref="D483" ca="1">IFERROR(
IF($J$2="ELA",
IF(VLOOKUP($A483, YES_Reading_ELA[], COLUMN(INDIRECT("YES_Reading_ELA[Instructional Reading Level - Per "&amp;VLOOKUP($D$2, 'Reading Report Logic'!$A$2:$B$8, 2, FALSE)&amp;"]")), FALSE)="", "",
VLOOKUP($A483,YES_Reading_ELA[], COLUMN(INDIRECT("YES_Reading_ELA[Instructional Reading Level - Per "&amp;VLOOKUP($D$2,'Reading Report Logic'!$A$2:$B$8,2,FALSE)&amp;"]")), FALSE)),
IF($J$2="FLA",
IF(VLOOKUP($A483, YES_Reading_FLA[], COLUMN(INDIRECT("YES_Reading_FLA[Instructional Reading Level - Per "&amp;VLOOKUP($D$2,'Reading Report Logic'!$A$2:$B$8,2,FALSE)&amp;"]")),FALSE)="","",
VLOOKUP($A483,YES_Reading_FLA[],COLUMN(INDIRECT("YES_Reading_FLA[Instructional Reading Level - Per "&amp;VLOOKUP($D$2,'Reading Report Logic'!$A$2:$B$8,2,FALSE)&amp;"]")),FALSE)),
IF($J$2="Combined",
IFERROR(
IF(VLOOKUP($A483, YES_Reading_ELA[], COLUMN(INDIRECT("YES_Reading_ELA[Instructional Reading Level - Per "&amp;VLOOKUP($D$2, 'Reading Report Logic'!$A$2:$B$8,2,FALSE)&amp;"]")), FALSE)="", "",
VLOOKUP($A483,YES_Reading_ELA[],COLUMN(INDIRECT("YES_Reading_ELA[Instructional Reading Level - Per "&amp;VLOOKUP($D$2,'Reading Report Logic'!$A$2:$B$8,2,FALSE)&amp;"]")),FALSE)),
IF(VLOOKUP($A483, YES_Reading_FLA[], COLUMN(INDIRECT("YES_Reading_FLA[Instructional Reading Level - Per "&amp;VLOOKUP($D$2, 'Reading Report Logic'!$A$2:$B$8, 2, FALSE)&amp;"]")),FALSE)="", "", VLOOKUP($A483,YES_Reading_FLA[],COLUMN(INDIRECT("YES_Reading_FLA[Instructional Reading Level - Per "&amp;VLOOKUP($D$2, 'Reading Report Logic'!$A$2:$B$8, 2, FALSE)&amp;"]")),FALSE))),""))),"")</f>
        <v/>
      </c>
      <c r="E483" s="205" t="str" cm="1">
        <f t="array" aca="1" ref="E483" ca="1">IFERROR(
IF($J$2="ELA",
IF(VLOOKUP($A483, YES_Reading_ELA[], COLUMN(INDIRECT("YES_Reading_ELA[Min Expectation - Per "&amp;VLOOKUP($D$2, 'Reading Report Logic'!$A$2:$B$8, 2, FALSE)&amp;"]")), FALSE)="", "",
VLOOKUP($A483,YES_Reading_ELA[], COLUMN(INDIRECT("YES_Reading_ELA[Min Expectation - Per "&amp;VLOOKUP($D$2,'Reading Report Logic'!$A$2:$B$8,2,FALSE)&amp;"]")), FALSE)),
IF($J$2="FLA",
IF(VLOOKUP($A483, YES_Reading_FLA[], COLUMN(INDIRECT("YES_Reading_FLA[Min Expectation - Per "&amp;VLOOKUP($D$2,'Reading Report Logic'!$A$2:$B$8,2,FALSE)&amp;"]")),FALSE)="","",
VLOOKUP($A483,YES_Reading_FLA[],COLUMN(INDIRECT("YES_Reading_FLA[Min Expectation - Per "&amp;VLOOKUP($D$2,'Reading Report Logic'!$A$2:$B$8,2,FALSE)&amp;"]")),FALSE)),
IF($J$2="Combined",
IFERROR(
IF(VLOOKUP($A483, YES_Reading_ELA[], COLUMN(INDIRECT("YES_Reading_ELA[Min Expectation - Per "&amp;VLOOKUP($D$2, 'Reading Report Logic'!$A$2:$B$8,2,FALSE)&amp;"]")), FALSE)="", "",
VLOOKUP($A483,YES_Reading_ELA[],COLUMN(INDIRECT("YES_Reading_ELA[Min Expectation - Per "&amp;VLOOKUP($D$2,'Reading Report Logic'!$A$2:$B$8,2,FALSE)&amp;"]")),FALSE)),
IF(VLOOKUP($A483, YES_Reading_FLA[], COLUMN(INDIRECT("YES_Reading_FLA[Min Expectation - Per "&amp;VLOOKUP($D$2, 'Reading Report Logic'!$A$2:$B$8, 2, FALSE)&amp;"]")),FALSE)="", "", VLOOKUP($A483,YES_Reading_FLA[],COLUMN(INDIRECT("YES_Reading_FLA[Min Expectation - Per "&amp;VLOOKUP($D$2, 'Reading Report Logic'!$A$2:$B$8, 2, FALSE)&amp;"]")),FALSE))),""))),"")</f>
        <v/>
      </c>
      <c r="F483" s="205" t="str" cm="1">
        <f t="array" aca="1" ref="F483" ca="1">IFERROR(
IF($J$2="ELA",
IF(VLOOKUP($A483, YES_Reading_ELA[], COLUMN(INDIRECT("YES_Reading_ELA[Max Expectation - Per "&amp;VLOOKUP($D$2, 'Reading Report Logic'!$A$2:$B$8, 2, FALSE)&amp;"]")), FALSE)="", "",
VLOOKUP($A483,YES_Reading_ELA[], COLUMN(INDIRECT("YES_Reading_ELA[Max Expectation - Per "&amp;VLOOKUP($D$2,'Reading Report Logic'!$A$2:$B$8,2,FALSE)&amp;"]")), FALSE)),
IF($J$2="FLA",
IF(VLOOKUP($A483, YES_Reading_FLA[], COLUMN(INDIRECT("YES_Reading_FLA[Max Expectation - Per "&amp;VLOOKUP($D$2,'Reading Report Logic'!$A$2:$B$8,2,FALSE)&amp;"]")),FALSE)="","",
VLOOKUP($A483,YES_Reading_FLA[],COLUMN(INDIRECT("YES_Reading_FLA[Max Expectation - Per "&amp;VLOOKUP($D$2,'Reading Report Logic'!$A$2:$B$8,2,FALSE)&amp;"]")),FALSE)),
IF($J$2="Combined",
IFERROR(
IF(VLOOKUP($A483, YES_Reading_ELA[], COLUMN(INDIRECT("YES_Reading_ELA[Max Expectation - Per "&amp;VLOOKUP($D$2, 'Reading Report Logic'!$A$2:$B$8,2,FALSE)&amp;"]")), FALSE)="", "",
VLOOKUP($A483,YES_Reading_ELA[],COLUMN(INDIRECT("YES_Reading_ELA[Max Expectation - Per "&amp;VLOOKUP($D$2,'Reading Report Logic'!$A$2:$B$8,2,FALSE)&amp;"]")),FALSE)),
IF(VLOOKUP($A483, YES_Reading_FLA[], COLUMN(INDIRECT("YES_Reading_FLA[Max Expectation - Per "&amp;VLOOKUP($D$2, 'Reading Report Logic'!$A$2:$B$8, 2, FALSE)&amp;"]")),FALSE)="", "", VLOOKUP($A483,YES_Reading_FLA[],COLUMN(INDIRECT("YES_Reading_FLA[Max Expectation - Per "&amp;VLOOKUP($D$2, 'Reading Report Logic'!$A$2:$B$8, 2, FALSE)&amp;"]")),FALSE))),""))),"")</f>
        <v/>
      </c>
      <c r="G483" s="205" t="str" cm="1">
        <f t="array" aca="1" ref="G483" ca="1">IFERROR(
IF($J$2="ELA",
IF(VLOOKUP($A483, YES_Reading_ELA[], COLUMN(INDIRECT("YES_Reading_ELA[Difference - Per "&amp;VLOOKUP($D$2, 'Reading Report Logic'!$A$2:$B$8, 2, FALSE)&amp;"]")), FALSE)="", "",
VLOOKUP($A483,YES_Reading_ELA[], COLUMN(INDIRECT("YES_Reading_ELA[Difference - Per "&amp;VLOOKUP($D$2,'Reading Report Logic'!$A$2:$B$8,2,FALSE)&amp;"]")), FALSE)),
IF($J$2="FLA",
IF(VLOOKUP($A483, YES_Reading_FLA[], COLUMN(INDIRECT("YES_Reading_FLA[Difference - Per "&amp;VLOOKUP($D$2,'Reading Report Logic'!$A$2:$B$8,2,FALSE)&amp;"]")),FALSE)="","",
VLOOKUP($A483,YES_Reading_FLA[],COLUMN(INDIRECT("YES_Reading_FLA[Difference - Per "&amp;VLOOKUP($D$2,'Reading Report Logic'!$A$2:$B$8,2,FALSE)&amp;"]")),FALSE)),
IF($J$2="Combined",
IFERROR(
IF(VLOOKUP($A483, YES_Reading_ELA[], COLUMN(INDIRECT("YES_Reading_ELA[Difference - Per "&amp;VLOOKUP($D$2, 'Reading Report Logic'!$A$2:$B$8,2,FALSE)&amp;"]")), FALSE)="", "",
VLOOKUP($A483,YES_Reading_ELA[],COLUMN(INDIRECT("YES_Reading_ELA[Difference - Per "&amp;VLOOKUP($D$2,'Reading Report Logic'!$A$2:$B$8,2,FALSE)&amp;"]")),FALSE)),
IF(VLOOKUP($A483, YES_Reading_FLA[], COLUMN(INDIRECT("YES_Reading_FLA[Difference - Per "&amp;VLOOKUP($D$2, 'Reading Report Logic'!$A$2:$B$8, 2, FALSE)&amp;"]")),FALSE)="", "", VLOOKUP($A483,YES_Reading_FLA[],COLUMN(INDIRECT("YES_Reading_FLA[Difference - Per "&amp;VLOOKUP($D$2, 'Reading Report Logic'!$A$2:$B$8, 2, FALSE)&amp;"]")),FALSE))),""))),"")</f>
        <v/>
      </c>
      <c r="H483" s="206" t="str">
        <f ca="1">IFERROR(VLOOKUP('Teacher Reading Pull Sheets'!$D483,_xlfn.VSTACK('ELA Reading Logic'!$A$22:$B$48,'FLA Reading Logic'!$A$22:$B$53),2,FALSE)-VLOOKUP('Teacher Reading Pull Sheets'!$C483,_xlfn.VSTACK('ELA Reading Logic'!$A$22:$B$48,'FLA Reading Logic'!$A$22:$B$53),2,FALSE),"")</f>
        <v/>
      </c>
      <c r="I483" s="212"/>
      <c r="J483" s="206"/>
      <c r="K483" s="197" t="str" cm="1">
        <f t="array" ref="K483">IFERROR(
IF($J$2="ELA",
IF(VLOOKUP($A483, YES_Reading_ELA[], COLUMN(YES_Reading_ELA[Self-Identified as African Descent]), FALSE)="", "",
VLOOKUP($A483,YES_Reading_ELA[], COLUMN(YES_Reading_ELA[Self-Identified as African Descent]), FALSE)),
IF($J$2="FLA",
IF(VLOOKUP($A483, YES_Reading_FLA[], COLUMN(YES_Reading_FLA[Self-Identified as African Descent]),FALSE)="","",
VLOOKUP($A483,YES_Reading_FLA[],COLUMN(YES_Reading_FLA[Self-Identified as African Descent]),FALSE)),
IF($J$2="Combined",
IFERROR(
IF(VLOOKUP($A483, YES_Reading_ELA[], COLUMN(YES_Reading_ELA[Self-Identified as African Descent]), FALSE)="", "",
VLOOKUP($A483,YES_Reading_ELA[],COLUMN(YES_Reading_ELA[Self-Identified as African Descent]),FALSE)),
IF(VLOOKUP($A483, YES_Reading_FLA[], COLUMN(YES_Reading_FLA[Self-Identified as African Descent]),FALSE)="", "", VLOOKUP($A483,YES_Reading_FLA[],COLUMN(YES_Reading_FLA[Self-Identified as African Descent]),FALSE))),""))),"")</f>
        <v/>
      </c>
      <c r="L483" s="73" t="str" cm="1">
        <f t="array" ref="L483">IFERROR(
IF($J$2="ELA",
IF(VLOOKUP($A483, YES_Reading_ELA[], COLUMN(YES_Reading_ELA[Self-Identified as Indigenous]), FALSE)="", "",
VLOOKUP($A483,YES_Reading_ELA[], COLUMN(YES_Reading_ELA[Self-Identified as Indigenous]), FALSE)),
IF($J$2="FLA",
IF(VLOOKUP($A483, YES_Reading_FLA[], COLUMN(YES_Reading_FLA[Self-Identified as Indigenous]),FALSE)="","",
VLOOKUP($A483,YES_Reading_FLA[],COLUMN(YES_Reading_FLA[Self-Identified as Indigenous]),FALSE)),
IF($J$2="Combined",
IFERROR(
IF(VLOOKUP($A483, YES_Reading_ELA[], COLUMN(YES_Reading_ELA[Self-Identified as Indigenous]), FALSE)="", "",
VLOOKUP($A483,YES_Reading_ELA[],COLUMN(YES_Reading_ELA[Self-Identified as Indigenous]),FALSE)),
IF(VLOOKUP($A483, YES_Reading_FLA[], COLUMN(YES_Reading_FLA[Self-Identified as Indigenous]),FALSE)="", "", VLOOKUP($A483,YES_Reading_FLA[],COLUMN(YES_Reading_FLA[Self-Identified as Indigenous]),FALSE))),""))),"")</f>
        <v/>
      </c>
    </row>
    <row r="484" spans="1:12" ht="19.5" customHeight="1" x14ac:dyDescent="0.25">
      <c r="A484" s="217"/>
      <c r="B484" s="220" t="str">
        <f>IFERROR(VLOOKUP(A484,_xlfn.VSTACK(YES_Reading_ELA[],YES_Reading_FLA[]),2,FALSE),"")</f>
        <v/>
      </c>
      <c r="C484" s="203" t="str" cm="1">
        <f t="array" aca="1" ref="C484" ca="1">IFERROR(
IF($J$2="ELA",
IF(VLOOKUP($A484, YES_Reading_ELA[], COLUMN(IF(VLOOKUP($D$2, 'Reading Report Logic'!$A$2:$B$8, 2, FALSE)=1, YES_Reading_ELA[Reading Level June of Previous School Year], INDIRECT("YES_Reading_ELA[Instructional Reading Level - Per "&amp;(VLOOKUP($D$2,'Reading Report Logic'!$A$2:$B$8,2,FALSE)-1)&amp;"]"))), FALSE)="", "",
VLOOKUP($A484,YES_Reading_ELA[], COLUMN(IF(VLOOKUP($D$2,'Reading Report Logic'!$A$2:$B$8,2,FALSE)=1, YES_Reading_ELA[Reading Level June of Previous School Year],INDIRECT("YES_Reading_ELA[Instructional Reading Level - Per "&amp;(VLOOKUP($D$2,'Reading Report Logic'!$A$2:$B$8,2,FALSE)-1)&amp;"]"))), FALSE)),
IF($J$2="FLA",
IF(VLOOKUP($A484, YES_Reading_FLA[], COLUMN(IF(VLOOKUP($D$2,'Reading Report Logic'!$A$2:$B$8,2,FALSE)=1, YES_Reading_FLA[Reading Level June of Previous School Year],INDIRECT("YES_Reading_FLA[Instructional Reading Level - Per "&amp;(VLOOKUP($D$2,'Reading Report Logic'!$A$2:$B$8,2,FALSE)-1)&amp;"]"))),FALSE)="","",
VLOOKUP($A484,YES_Reading_FLA[], COLUMN(IF(VLOOKUP($D$2,'Reading Report Logic'!$A$2:$B$8,2,FALSE)=1, YES_Reading_FLA[Reading Level June of Previous School Year],INDIRECT("YES_Reading_FLA[Instructional Reading Level - Per "&amp;(VLOOKUP($D$2,'Reading Report Logic'!$A$2:$B$8,2,FALSE)-1)&amp;"]"))),FALSE)),
IF($J$2="Combined",
IFERROR(
IF(VLOOKUP($A484, YES_Reading_ELA[], COLUMN(IF(VLOOKUP($D$2,'Reading Report Logic'!$A$2:$B$8,2,FALSE)=1, YES_Reading_ELA[Reading Level June of Previous School Year],INDIRECT("YES_Reading_ELA[Instructional Reading Level - Per "&amp;(VLOOKUP($D$2,'Reading Report Logic'!$A$2:$B$8,2,FALSE)-1)&amp;"]"))), FALSE)="", "",
VLOOKUP($A484,YES_Reading_ELA[],COLUMN(IF(VLOOKUP($D$2,'Reading Report Logic'!$A$2:$B$8,2,FALSE)=1, YES_Reading_ELA[Reading Level June of Previous School Year],INDIRECT("YES_Reading_ELA[Instructional Reading Level - Per "&amp;(VLOOKUP($D$2,'Reading Report Logic'!$A$2:$B$8,2,FALSE)-1)&amp;"]"))),FALSE)),
IF(VLOOKUP($A484, YES_Reading_FLA[], COLUMN(IF(VLOOKUP($D$2,'Reading Report Logic'!$A$2:$B$8,2,FALSE)=1, YES_Reading_FLA[Reading Level June of Previous School Year],INDIRECT("YES_Reading_FLA[Instructional Reading Level - Per "&amp;(VLOOKUP($D$2,'Reading Report Logic'!$A$2:$B$8,2,FALSE)-1)&amp;"]"))),FALSE)="", "", VLOOKUP($A484,YES_Reading_FLA[],COLUMN(IF(VLOOKUP($D$2,'Reading Report Logic'!$A$2:$B$8,2,FALSE)=1, YES_Reading_FLA[Reading Level June of Previous School Year],INDIRECT("YES_Reading_FLA[Instructional Reading Level - Per "&amp;(VLOOKUP($D$2,'Reading Report Logic'!$A$2:$B$8,2,FALSE)-1)&amp;"]"))), FALSE))),""))),"")</f>
        <v/>
      </c>
      <c r="D484" s="204" t="str" cm="1">
        <f t="array" aca="1" ref="D484" ca="1">IFERROR(
IF($J$2="ELA",
IF(VLOOKUP($A484, YES_Reading_ELA[], COLUMN(INDIRECT("YES_Reading_ELA[Instructional Reading Level - Per "&amp;VLOOKUP($D$2, 'Reading Report Logic'!$A$2:$B$8, 2, FALSE)&amp;"]")), FALSE)="", "",
VLOOKUP($A484,YES_Reading_ELA[], COLUMN(INDIRECT("YES_Reading_ELA[Instructional Reading Level - Per "&amp;VLOOKUP($D$2,'Reading Report Logic'!$A$2:$B$8,2,FALSE)&amp;"]")), FALSE)),
IF($J$2="FLA",
IF(VLOOKUP($A484, YES_Reading_FLA[], COLUMN(INDIRECT("YES_Reading_FLA[Instructional Reading Level - Per "&amp;VLOOKUP($D$2,'Reading Report Logic'!$A$2:$B$8,2,FALSE)&amp;"]")),FALSE)="","",
VLOOKUP($A484,YES_Reading_FLA[],COLUMN(INDIRECT("YES_Reading_FLA[Instructional Reading Level - Per "&amp;VLOOKUP($D$2,'Reading Report Logic'!$A$2:$B$8,2,FALSE)&amp;"]")),FALSE)),
IF($J$2="Combined",
IFERROR(
IF(VLOOKUP($A484, YES_Reading_ELA[], COLUMN(INDIRECT("YES_Reading_ELA[Instructional Reading Level - Per "&amp;VLOOKUP($D$2, 'Reading Report Logic'!$A$2:$B$8,2,FALSE)&amp;"]")), FALSE)="", "",
VLOOKUP($A484,YES_Reading_ELA[],COLUMN(INDIRECT("YES_Reading_ELA[Instructional Reading Level - Per "&amp;VLOOKUP($D$2,'Reading Report Logic'!$A$2:$B$8,2,FALSE)&amp;"]")),FALSE)),
IF(VLOOKUP($A484, YES_Reading_FLA[], COLUMN(INDIRECT("YES_Reading_FLA[Instructional Reading Level - Per "&amp;VLOOKUP($D$2, 'Reading Report Logic'!$A$2:$B$8, 2, FALSE)&amp;"]")),FALSE)="", "", VLOOKUP($A484,YES_Reading_FLA[],COLUMN(INDIRECT("YES_Reading_FLA[Instructional Reading Level - Per "&amp;VLOOKUP($D$2, 'Reading Report Logic'!$A$2:$B$8, 2, FALSE)&amp;"]")),FALSE))),""))),"")</f>
        <v/>
      </c>
      <c r="E484" s="205" t="str" cm="1">
        <f t="array" aca="1" ref="E484" ca="1">IFERROR(
IF($J$2="ELA",
IF(VLOOKUP($A484, YES_Reading_ELA[], COLUMN(INDIRECT("YES_Reading_ELA[Min Expectation - Per "&amp;VLOOKUP($D$2, 'Reading Report Logic'!$A$2:$B$8, 2, FALSE)&amp;"]")), FALSE)="", "",
VLOOKUP($A484,YES_Reading_ELA[], COLUMN(INDIRECT("YES_Reading_ELA[Min Expectation - Per "&amp;VLOOKUP($D$2,'Reading Report Logic'!$A$2:$B$8,2,FALSE)&amp;"]")), FALSE)),
IF($J$2="FLA",
IF(VLOOKUP($A484, YES_Reading_FLA[], COLUMN(INDIRECT("YES_Reading_FLA[Min Expectation - Per "&amp;VLOOKUP($D$2,'Reading Report Logic'!$A$2:$B$8,2,FALSE)&amp;"]")),FALSE)="","",
VLOOKUP($A484,YES_Reading_FLA[],COLUMN(INDIRECT("YES_Reading_FLA[Min Expectation - Per "&amp;VLOOKUP($D$2,'Reading Report Logic'!$A$2:$B$8,2,FALSE)&amp;"]")),FALSE)),
IF($J$2="Combined",
IFERROR(
IF(VLOOKUP($A484, YES_Reading_ELA[], COLUMN(INDIRECT("YES_Reading_ELA[Min Expectation - Per "&amp;VLOOKUP($D$2, 'Reading Report Logic'!$A$2:$B$8,2,FALSE)&amp;"]")), FALSE)="", "",
VLOOKUP($A484,YES_Reading_ELA[],COLUMN(INDIRECT("YES_Reading_ELA[Min Expectation - Per "&amp;VLOOKUP($D$2,'Reading Report Logic'!$A$2:$B$8,2,FALSE)&amp;"]")),FALSE)),
IF(VLOOKUP($A484, YES_Reading_FLA[], COLUMN(INDIRECT("YES_Reading_FLA[Min Expectation - Per "&amp;VLOOKUP($D$2, 'Reading Report Logic'!$A$2:$B$8, 2, FALSE)&amp;"]")),FALSE)="", "", VLOOKUP($A484,YES_Reading_FLA[],COLUMN(INDIRECT("YES_Reading_FLA[Min Expectation - Per "&amp;VLOOKUP($D$2, 'Reading Report Logic'!$A$2:$B$8, 2, FALSE)&amp;"]")),FALSE))),""))),"")</f>
        <v/>
      </c>
      <c r="F484" s="205" t="str" cm="1">
        <f t="array" aca="1" ref="F484" ca="1">IFERROR(
IF($J$2="ELA",
IF(VLOOKUP($A484, YES_Reading_ELA[], COLUMN(INDIRECT("YES_Reading_ELA[Max Expectation - Per "&amp;VLOOKUP($D$2, 'Reading Report Logic'!$A$2:$B$8, 2, FALSE)&amp;"]")), FALSE)="", "",
VLOOKUP($A484,YES_Reading_ELA[], COLUMN(INDIRECT("YES_Reading_ELA[Max Expectation - Per "&amp;VLOOKUP($D$2,'Reading Report Logic'!$A$2:$B$8,2,FALSE)&amp;"]")), FALSE)),
IF($J$2="FLA",
IF(VLOOKUP($A484, YES_Reading_FLA[], COLUMN(INDIRECT("YES_Reading_FLA[Max Expectation - Per "&amp;VLOOKUP($D$2,'Reading Report Logic'!$A$2:$B$8,2,FALSE)&amp;"]")),FALSE)="","",
VLOOKUP($A484,YES_Reading_FLA[],COLUMN(INDIRECT("YES_Reading_FLA[Max Expectation - Per "&amp;VLOOKUP($D$2,'Reading Report Logic'!$A$2:$B$8,2,FALSE)&amp;"]")),FALSE)),
IF($J$2="Combined",
IFERROR(
IF(VLOOKUP($A484, YES_Reading_ELA[], COLUMN(INDIRECT("YES_Reading_ELA[Max Expectation - Per "&amp;VLOOKUP($D$2, 'Reading Report Logic'!$A$2:$B$8,2,FALSE)&amp;"]")), FALSE)="", "",
VLOOKUP($A484,YES_Reading_ELA[],COLUMN(INDIRECT("YES_Reading_ELA[Max Expectation - Per "&amp;VLOOKUP($D$2,'Reading Report Logic'!$A$2:$B$8,2,FALSE)&amp;"]")),FALSE)),
IF(VLOOKUP($A484, YES_Reading_FLA[], COLUMN(INDIRECT("YES_Reading_FLA[Max Expectation - Per "&amp;VLOOKUP($D$2, 'Reading Report Logic'!$A$2:$B$8, 2, FALSE)&amp;"]")),FALSE)="", "", VLOOKUP($A484,YES_Reading_FLA[],COLUMN(INDIRECT("YES_Reading_FLA[Max Expectation - Per "&amp;VLOOKUP($D$2, 'Reading Report Logic'!$A$2:$B$8, 2, FALSE)&amp;"]")),FALSE))),""))),"")</f>
        <v/>
      </c>
      <c r="G484" s="205" t="str" cm="1">
        <f t="array" aca="1" ref="G484" ca="1">IFERROR(
IF($J$2="ELA",
IF(VLOOKUP($A484, YES_Reading_ELA[], COLUMN(INDIRECT("YES_Reading_ELA[Difference - Per "&amp;VLOOKUP($D$2, 'Reading Report Logic'!$A$2:$B$8, 2, FALSE)&amp;"]")), FALSE)="", "",
VLOOKUP($A484,YES_Reading_ELA[], COLUMN(INDIRECT("YES_Reading_ELA[Difference - Per "&amp;VLOOKUP($D$2,'Reading Report Logic'!$A$2:$B$8,2,FALSE)&amp;"]")), FALSE)),
IF($J$2="FLA",
IF(VLOOKUP($A484, YES_Reading_FLA[], COLUMN(INDIRECT("YES_Reading_FLA[Difference - Per "&amp;VLOOKUP($D$2,'Reading Report Logic'!$A$2:$B$8,2,FALSE)&amp;"]")),FALSE)="","",
VLOOKUP($A484,YES_Reading_FLA[],COLUMN(INDIRECT("YES_Reading_FLA[Difference - Per "&amp;VLOOKUP($D$2,'Reading Report Logic'!$A$2:$B$8,2,FALSE)&amp;"]")),FALSE)),
IF($J$2="Combined",
IFERROR(
IF(VLOOKUP($A484, YES_Reading_ELA[], COLUMN(INDIRECT("YES_Reading_ELA[Difference - Per "&amp;VLOOKUP($D$2, 'Reading Report Logic'!$A$2:$B$8,2,FALSE)&amp;"]")), FALSE)="", "",
VLOOKUP($A484,YES_Reading_ELA[],COLUMN(INDIRECT("YES_Reading_ELA[Difference - Per "&amp;VLOOKUP($D$2,'Reading Report Logic'!$A$2:$B$8,2,FALSE)&amp;"]")),FALSE)),
IF(VLOOKUP($A484, YES_Reading_FLA[], COLUMN(INDIRECT("YES_Reading_FLA[Difference - Per "&amp;VLOOKUP($D$2, 'Reading Report Logic'!$A$2:$B$8, 2, FALSE)&amp;"]")),FALSE)="", "", VLOOKUP($A484,YES_Reading_FLA[],COLUMN(INDIRECT("YES_Reading_FLA[Difference - Per "&amp;VLOOKUP($D$2, 'Reading Report Logic'!$A$2:$B$8, 2, FALSE)&amp;"]")),FALSE))),""))),"")</f>
        <v/>
      </c>
      <c r="H484" s="206" t="str">
        <f ca="1">IFERROR(VLOOKUP('Teacher Reading Pull Sheets'!$D484,_xlfn.VSTACK('ELA Reading Logic'!$A$22:$B$48,'FLA Reading Logic'!$A$22:$B$53),2,FALSE)-VLOOKUP('Teacher Reading Pull Sheets'!$C484,_xlfn.VSTACK('ELA Reading Logic'!$A$22:$B$48,'FLA Reading Logic'!$A$22:$B$53),2,FALSE),"")</f>
        <v/>
      </c>
      <c r="I484" s="212"/>
      <c r="J484" s="206"/>
      <c r="K484" s="197" t="str" cm="1">
        <f t="array" ref="K484">IFERROR(
IF($J$2="ELA",
IF(VLOOKUP($A484, YES_Reading_ELA[], COLUMN(YES_Reading_ELA[Self-Identified as African Descent]), FALSE)="", "",
VLOOKUP($A484,YES_Reading_ELA[], COLUMN(YES_Reading_ELA[Self-Identified as African Descent]), FALSE)),
IF($J$2="FLA",
IF(VLOOKUP($A484, YES_Reading_FLA[], COLUMN(YES_Reading_FLA[Self-Identified as African Descent]),FALSE)="","",
VLOOKUP($A484,YES_Reading_FLA[],COLUMN(YES_Reading_FLA[Self-Identified as African Descent]),FALSE)),
IF($J$2="Combined",
IFERROR(
IF(VLOOKUP($A484, YES_Reading_ELA[], COLUMN(YES_Reading_ELA[Self-Identified as African Descent]), FALSE)="", "",
VLOOKUP($A484,YES_Reading_ELA[],COLUMN(YES_Reading_ELA[Self-Identified as African Descent]),FALSE)),
IF(VLOOKUP($A484, YES_Reading_FLA[], COLUMN(YES_Reading_FLA[Self-Identified as African Descent]),FALSE)="", "", VLOOKUP($A484,YES_Reading_FLA[],COLUMN(YES_Reading_FLA[Self-Identified as African Descent]),FALSE))),""))),"")</f>
        <v/>
      </c>
      <c r="L484" s="73" t="str" cm="1">
        <f t="array" ref="L484">IFERROR(
IF($J$2="ELA",
IF(VLOOKUP($A484, YES_Reading_ELA[], COLUMN(YES_Reading_ELA[Self-Identified as Indigenous]), FALSE)="", "",
VLOOKUP($A484,YES_Reading_ELA[], COLUMN(YES_Reading_ELA[Self-Identified as Indigenous]), FALSE)),
IF($J$2="FLA",
IF(VLOOKUP($A484, YES_Reading_FLA[], COLUMN(YES_Reading_FLA[Self-Identified as Indigenous]),FALSE)="","",
VLOOKUP($A484,YES_Reading_FLA[],COLUMN(YES_Reading_FLA[Self-Identified as Indigenous]),FALSE)),
IF($J$2="Combined",
IFERROR(
IF(VLOOKUP($A484, YES_Reading_ELA[], COLUMN(YES_Reading_ELA[Self-Identified as Indigenous]), FALSE)="", "",
VLOOKUP($A484,YES_Reading_ELA[],COLUMN(YES_Reading_ELA[Self-Identified as Indigenous]),FALSE)),
IF(VLOOKUP($A484, YES_Reading_FLA[], COLUMN(YES_Reading_FLA[Self-Identified as Indigenous]),FALSE)="", "", VLOOKUP($A484,YES_Reading_FLA[],COLUMN(YES_Reading_FLA[Self-Identified as Indigenous]),FALSE))),""))),"")</f>
        <v/>
      </c>
    </row>
    <row r="485" spans="1:12" ht="19.5" customHeight="1" x14ac:dyDescent="0.25">
      <c r="A485" s="217"/>
      <c r="B485" s="220" t="str">
        <f>IFERROR(VLOOKUP(A485,_xlfn.VSTACK(YES_Reading_ELA[],YES_Reading_FLA[]),2,FALSE),"")</f>
        <v/>
      </c>
      <c r="C485" s="203" t="str" cm="1">
        <f t="array" aca="1" ref="C485" ca="1">IFERROR(
IF($J$2="ELA",
IF(VLOOKUP($A485, YES_Reading_ELA[], COLUMN(IF(VLOOKUP($D$2, 'Reading Report Logic'!$A$2:$B$8, 2, FALSE)=1, YES_Reading_ELA[Reading Level June of Previous School Year], INDIRECT("YES_Reading_ELA[Instructional Reading Level - Per "&amp;(VLOOKUP($D$2,'Reading Report Logic'!$A$2:$B$8,2,FALSE)-1)&amp;"]"))), FALSE)="", "",
VLOOKUP($A485,YES_Reading_ELA[], COLUMN(IF(VLOOKUP($D$2,'Reading Report Logic'!$A$2:$B$8,2,FALSE)=1, YES_Reading_ELA[Reading Level June of Previous School Year],INDIRECT("YES_Reading_ELA[Instructional Reading Level - Per "&amp;(VLOOKUP($D$2,'Reading Report Logic'!$A$2:$B$8,2,FALSE)-1)&amp;"]"))), FALSE)),
IF($J$2="FLA",
IF(VLOOKUP($A485, YES_Reading_FLA[], COLUMN(IF(VLOOKUP($D$2,'Reading Report Logic'!$A$2:$B$8,2,FALSE)=1, YES_Reading_FLA[Reading Level June of Previous School Year],INDIRECT("YES_Reading_FLA[Instructional Reading Level - Per "&amp;(VLOOKUP($D$2,'Reading Report Logic'!$A$2:$B$8,2,FALSE)-1)&amp;"]"))),FALSE)="","",
VLOOKUP($A485,YES_Reading_FLA[], COLUMN(IF(VLOOKUP($D$2,'Reading Report Logic'!$A$2:$B$8,2,FALSE)=1, YES_Reading_FLA[Reading Level June of Previous School Year],INDIRECT("YES_Reading_FLA[Instructional Reading Level - Per "&amp;(VLOOKUP($D$2,'Reading Report Logic'!$A$2:$B$8,2,FALSE)-1)&amp;"]"))),FALSE)),
IF($J$2="Combined",
IFERROR(
IF(VLOOKUP($A485, YES_Reading_ELA[], COLUMN(IF(VLOOKUP($D$2,'Reading Report Logic'!$A$2:$B$8,2,FALSE)=1, YES_Reading_ELA[Reading Level June of Previous School Year],INDIRECT("YES_Reading_ELA[Instructional Reading Level - Per "&amp;(VLOOKUP($D$2,'Reading Report Logic'!$A$2:$B$8,2,FALSE)-1)&amp;"]"))), FALSE)="", "",
VLOOKUP($A485,YES_Reading_ELA[],COLUMN(IF(VLOOKUP($D$2,'Reading Report Logic'!$A$2:$B$8,2,FALSE)=1, YES_Reading_ELA[Reading Level June of Previous School Year],INDIRECT("YES_Reading_ELA[Instructional Reading Level - Per "&amp;(VLOOKUP($D$2,'Reading Report Logic'!$A$2:$B$8,2,FALSE)-1)&amp;"]"))),FALSE)),
IF(VLOOKUP($A485, YES_Reading_FLA[], COLUMN(IF(VLOOKUP($D$2,'Reading Report Logic'!$A$2:$B$8,2,FALSE)=1, YES_Reading_FLA[Reading Level June of Previous School Year],INDIRECT("YES_Reading_FLA[Instructional Reading Level - Per "&amp;(VLOOKUP($D$2,'Reading Report Logic'!$A$2:$B$8,2,FALSE)-1)&amp;"]"))),FALSE)="", "", VLOOKUP($A485,YES_Reading_FLA[],COLUMN(IF(VLOOKUP($D$2,'Reading Report Logic'!$A$2:$B$8,2,FALSE)=1, YES_Reading_FLA[Reading Level June of Previous School Year],INDIRECT("YES_Reading_FLA[Instructional Reading Level - Per "&amp;(VLOOKUP($D$2,'Reading Report Logic'!$A$2:$B$8,2,FALSE)-1)&amp;"]"))), FALSE))),""))),"")</f>
        <v/>
      </c>
      <c r="D485" s="204" t="str" cm="1">
        <f t="array" aca="1" ref="D485" ca="1">IFERROR(
IF($J$2="ELA",
IF(VLOOKUP($A485, YES_Reading_ELA[], COLUMN(INDIRECT("YES_Reading_ELA[Instructional Reading Level - Per "&amp;VLOOKUP($D$2, 'Reading Report Logic'!$A$2:$B$8, 2, FALSE)&amp;"]")), FALSE)="", "",
VLOOKUP($A485,YES_Reading_ELA[], COLUMN(INDIRECT("YES_Reading_ELA[Instructional Reading Level - Per "&amp;VLOOKUP($D$2,'Reading Report Logic'!$A$2:$B$8,2,FALSE)&amp;"]")), FALSE)),
IF($J$2="FLA",
IF(VLOOKUP($A485, YES_Reading_FLA[], COLUMN(INDIRECT("YES_Reading_FLA[Instructional Reading Level - Per "&amp;VLOOKUP($D$2,'Reading Report Logic'!$A$2:$B$8,2,FALSE)&amp;"]")),FALSE)="","",
VLOOKUP($A485,YES_Reading_FLA[],COLUMN(INDIRECT("YES_Reading_FLA[Instructional Reading Level - Per "&amp;VLOOKUP($D$2,'Reading Report Logic'!$A$2:$B$8,2,FALSE)&amp;"]")),FALSE)),
IF($J$2="Combined",
IFERROR(
IF(VLOOKUP($A485, YES_Reading_ELA[], COLUMN(INDIRECT("YES_Reading_ELA[Instructional Reading Level - Per "&amp;VLOOKUP($D$2, 'Reading Report Logic'!$A$2:$B$8,2,FALSE)&amp;"]")), FALSE)="", "",
VLOOKUP($A485,YES_Reading_ELA[],COLUMN(INDIRECT("YES_Reading_ELA[Instructional Reading Level - Per "&amp;VLOOKUP($D$2,'Reading Report Logic'!$A$2:$B$8,2,FALSE)&amp;"]")),FALSE)),
IF(VLOOKUP($A485, YES_Reading_FLA[], COLUMN(INDIRECT("YES_Reading_FLA[Instructional Reading Level - Per "&amp;VLOOKUP($D$2, 'Reading Report Logic'!$A$2:$B$8, 2, FALSE)&amp;"]")),FALSE)="", "", VLOOKUP($A485,YES_Reading_FLA[],COLUMN(INDIRECT("YES_Reading_FLA[Instructional Reading Level - Per "&amp;VLOOKUP($D$2, 'Reading Report Logic'!$A$2:$B$8, 2, FALSE)&amp;"]")),FALSE))),""))),"")</f>
        <v/>
      </c>
      <c r="E485" s="205" t="str" cm="1">
        <f t="array" aca="1" ref="E485" ca="1">IFERROR(
IF($J$2="ELA",
IF(VLOOKUP($A485, YES_Reading_ELA[], COLUMN(INDIRECT("YES_Reading_ELA[Min Expectation - Per "&amp;VLOOKUP($D$2, 'Reading Report Logic'!$A$2:$B$8, 2, FALSE)&amp;"]")), FALSE)="", "",
VLOOKUP($A485,YES_Reading_ELA[], COLUMN(INDIRECT("YES_Reading_ELA[Min Expectation - Per "&amp;VLOOKUP($D$2,'Reading Report Logic'!$A$2:$B$8,2,FALSE)&amp;"]")), FALSE)),
IF($J$2="FLA",
IF(VLOOKUP($A485, YES_Reading_FLA[], COLUMN(INDIRECT("YES_Reading_FLA[Min Expectation - Per "&amp;VLOOKUP($D$2,'Reading Report Logic'!$A$2:$B$8,2,FALSE)&amp;"]")),FALSE)="","",
VLOOKUP($A485,YES_Reading_FLA[],COLUMN(INDIRECT("YES_Reading_FLA[Min Expectation - Per "&amp;VLOOKUP($D$2,'Reading Report Logic'!$A$2:$B$8,2,FALSE)&amp;"]")),FALSE)),
IF($J$2="Combined",
IFERROR(
IF(VLOOKUP($A485, YES_Reading_ELA[], COLUMN(INDIRECT("YES_Reading_ELA[Min Expectation - Per "&amp;VLOOKUP($D$2, 'Reading Report Logic'!$A$2:$B$8,2,FALSE)&amp;"]")), FALSE)="", "",
VLOOKUP($A485,YES_Reading_ELA[],COLUMN(INDIRECT("YES_Reading_ELA[Min Expectation - Per "&amp;VLOOKUP($D$2,'Reading Report Logic'!$A$2:$B$8,2,FALSE)&amp;"]")),FALSE)),
IF(VLOOKUP($A485, YES_Reading_FLA[], COLUMN(INDIRECT("YES_Reading_FLA[Min Expectation - Per "&amp;VLOOKUP($D$2, 'Reading Report Logic'!$A$2:$B$8, 2, FALSE)&amp;"]")),FALSE)="", "", VLOOKUP($A485,YES_Reading_FLA[],COLUMN(INDIRECT("YES_Reading_FLA[Min Expectation - Per "&amp;VLOOKUP($D$2, 'Reading Report Logic'!$A$2:$B$8, 2, FALSE)&amp;"]")),FALSE))),""))),"")</f>
        <v/>
      </c>
      <c r="F485" s="205" t="str" cm="1">
        <f t="array" aca="1" ref="F485" ca="1">IFERROR(
IF($J$2="ELA",
IF(VLOOKUP($A485, YES_Reading_ELA[], COLUMN(INDIRECT("YES_Reading_ELA[Max Expectation - Per "&amp;VLOOKUP($D$2, 'Reading Report Logic'!$A$2:$B$8, 2, FALSE)&amp;"]")), FALSE)="", "",
VLOOKUP($A485,YES_Reading_ELA[], COLUMN(INDIRECT("YES_Reading_ELA[Max Expectation - Per "&amp;VLOOKUP($D$2,'Reading Report Logic'!$A$2:$B$8,2,FALSE)&amp;"]")), FALSE)),
IF($J$2="FLA",
IF(VLOOKUP($A485, YES_Reading_FLA[], COLUMN(INDIRECT("YES_Reading_FLA[Max Expectation - Per "&amp;VLOOKUP($D$2,'Reading Report Logic'!$A$2:$B$8,2,FALSE)&amp;"]")),FALSE)="","",
VLOOKUP($A485,YES_Reading_FLA[],COLUMN(INDIRECT("YES_Reading_FLA[Max Expectation - Per "&amp;VLOOKUP($D$2,'Reading Report Logic'!$A$2:$B$8,2,FALSE)&amp;"]")),FALSE)),
IF($J$2="Combined",
IFERROR(
IF(VLOOKUP($A485, YES_Reading_ELA[], COLUMN(INDIRECT("YES_Reading_ELA[Max Expectation - Per "&amp;VLOOKUP($D$2, 'Reading Report Logic'!$A$2:$B$8,2,FALSE)&amp;"]")), FALSE)="", "",
VLOOKUP($A485,YES_Reading_ELA[],COLUMN(INDIRECT("YES_Reading_ELA[Max Expectation - Per "&amp;VLOOKUP($D$2,'Reading Report Logic'!$A$2:$B$8,2,FALSE)&amp;"]")),FALSE)),
IF(VLOOKUP($A485, YES_Reading_FLA[], COLUMN(INDIRECT("YES_Reading_FLA[Max Expectation - Per "&amp;VLOOKUP($D$2, 'Reading Report Logic'!$A$2:$B$8, 2, FALSE)&amp;"]")),FALSE)="", "", VLOOKUP($A485,YES_Reading_FLA[],COLUMN(INDIRECT("YES_Reading_FLA[Max Expectation - Per "&amp;VLOOKUP($D$2, 'Reading Report Logic'!$A$2:$B$8, 2, FALSE)&amp;"]")),FALSE))),""))),"")</f>
        <v/>
      </c>
      <c r="G485" s="205" t="str" cm="1">
        <f t="array" aca="1" ref="G485" ca="1">IFERROR(
IF($J$2="ELA",
IF(VLOOKUP($A485, YES_Reading_ELA[], COLUMN(INDIRECT("YES_Reading_ELA[Difference - Per "&amp;VLOOKUP($D$2, 'Reading Report Logic'!$A$2:$B$8, 2, FALSE)&amp;"]")), FALSE)="", "",
VLOOKUP($A485,YES_Reading_ELA[], COLUMN(INDIRECT("YES_Reading_ELA[Difference - Per "&amp;VLOOKUP($D$2,'Reading Report Logic'!$A$2:$B$8,2,FALSE)&amp;"]")), FALSE)),
IF($J$2="FLA",
IF(VLOOKUP($A485, YES_Reading_FLA[], COLUMN(INDIRECT("YES_Reading_FLA[Difference - Per "&amp;VLOOKUP($D$2,'Reading Report Logic'!$A$2:$B$8,2,FALSE)&amp;"]")),FALSE)="","",
VLOOKUP($A485,YES_Reading_FLA[],COLUMN(INDIRECT("YES_Reading_FLA[Difference - Per "&amp;VLOOKUP($D$2,'Reading Report Logic'!$A$2:$B$8,2,FALSE)&amp;"]")),FALSE)),
IF($J$2="Combined",
IFERROR(
IF(VLOOKUP($A485, YES_Reading_ELA[], COLUMN(INDIRECT("YES_Reading_ELA[Difference - Per "&amp;VLOOKUP($D$2, 'Reading Report Logic'!$A$2:$B$8,2,FALSE)&amp;"]")), FALSE)="", "",
VLOOKUP($A485,YES_Reading_ELA[],COLUMN(INDIRECT("YES_Reading_ELA[Difference - Per "&amp;VLOOKUP($D$2,'Reading Report Logic'!$A$2:$B$8,2,FALSE)&amp;"]")),FALSE)),
IF(VLOOKUP($A485, YES_Reading_FLA[], COLUMN(INDIRECT("YES_Reading_FLA[Difference - Per "&amp;VLOOKUP($D$2, 'Reading Report Logic'!$A$2:$B$8, 2, FALSE)&amp;"]")),FALSE)="", "", VLOOKUP($A485,YES_Reading_FLA[],COLUMN(INDIRECT("YES_Reading_FLA[Difference - Per "&amp;VLOOKUP($D$2, 'Reading Report Logic'!$A$2:$B$8, 2, FALSE)&amp;"]")),FALSE))),""))),"")</f>
        <v/>
      </c>
      <c r="H485" s="206" t="str">
        <f ca="1">IFERROR(VLOOKUP('Teacher Reading Pull Sheets'!$D485,_xlfn.VSTACK('ELA Reading Logic'!$A$22:$B$48,'FLA Reading Logic'!$A$22:$B$53),2,FALSE)-VLOOKUP('Teacher Reading Pull Sheets'!$C485,_xlfn.VSTACK('ELA Reading Logic'!$A$22:$B$48,'FLA Reading Logic'!$A$22:$B$53),2,FALSE),"")</f>
        <v/>
      </c>
      <c r="I485" s="212"/>
      <c r="J485" s="206"/>
      <c r="K485" s="197" t="str" cm="1">
        <f t="array" ref="K485">IFERROR(
IF($J$2="ELA",
IF(VLOOKUP($A485, YES_Reading_ELA[], COLUMN(YES_Reading_ELA[Self-Identified as African Descent]), FALSE)="", "",
VLOOKUP($A485,YES_Reading_ELA[], COLUMN(YES_Reading_ELA[Self-Identified as African Descent]), FALSE)),
IF($J$2="FLA",
IF(VLOOKUP($A485, YES_Reading_FLA[], COLUMN(YES_Reading_FLA[Self-Identified as African Descent]),FALSE)="","",
VLOOKUP($A485,YES_Reading_FLA[],COLUMN(YES_Reading_FLA[Self-Identified as African Descent]),FALSE)),
IF($J$2="Combined",
IFERROR(
IF(VLOOKUP($A485, YES_Reading_ELA[], COLUMN(YES_Reading_ELA[Self-Identified as African Descent]), FALSE)="", "",
VLOOKUP($A485,YES_Reading_ELA[],COLUMN(YES_Reading_ELA[Self-Identified as African Descent]),FALSE)),
IF(VLOOKUP($A485, YES_Reading_FLA[], COLUMN(YES_Reading_FLA[Self-Identified as African Descent]),FALSE)="", "", VLOOKUP($A485,YES_Reading_FLA[],COLUMN(YES_Reading_FLA[Self-Identified as African Descent]),FALSE))),""))),"")</f>
        <v/>
      </c>
      <c r="L485" s="73" t="str" cm="1">
        <f t="array" ref="L485">IFERROR(
IF($J$2="ELA",
IF(VLOOKUP($A485, YES_Reading_ELA[], COLUMN(YES_Reading_ELA[Self-Identified as Indigenous]), FALSE)="", "",
VLOOKUP($A485,YES_Reading_ELA[], COLUMN(YES_Reading_ELA[Self-Identified as Indigenous]), FALSE)),
IF($J$2="FLA",
IF(VLOOKUP($A485, YES_Reading_FLA[], COLUMN(YES_Reading_FLA[Self-Identified as Indigenous]),FALSE)="","",
VLOOKUP($A485,YES_Reading_FLA[],COLUMN(YES_Reading_FLA[Self-Identified as Indigenous]),FALSE)),
IF($J$2="Combined",
IFERROR(
IF(VLOOKUP($A485, YES_Reading_ELA[], COLUMN(YES_Reading_ELA[Self-Identified as Indigenous]), FALSE)="", "",
VLOOKUP($A485,YES_Reading_ELA[],COLUMN(YES_Reading_ELA[Self-Identified as Indigenous]),FALSE)),
IF(VLOOKUP($A485, YES_Reading_FLA[], COLUMN(YES_Reading_FLA[Self-Identified as Indigenous]),FALSE)="", "", VLOOKUP($A485,YES_Reading_FLA[],COLUMN(YES_Reading_FLA[Self-Identified as Indigenous]),FALSE))),""))),"")</f>
        <v/>
      </c>
    </row>
    <row r="486" spans="1:12" ht="19.5" customHeight="1" x14ac:dyDescent="0.25">
      <c r="A486" s="217"/>
      <c r="B486" s="220" t="str">
        <f>IFERROR(VLOOKUP(A486,_xlfn.VSTACK(YES_Reading_ELA[],YES_Reading_FLA[]),2,FALSE),"")</f>
        <v/>
      </c>
      <c r="C486" s="203" t="str" cm="1">
        <f t="array" aca="1" ref="C486" ca="1">IFERROR(
IF($J$2="ELA",
IF(VLOOKUP($A486, YES_Reading_ELA[], COLUMN(IF(VLOOKUP($D$2, 'Reading Report Logic'!$A$2:$B$8, 2, FALSE)=1, YES_Reading_ELA[Reading Level June of Previous School Year], INDIRECT("YES_Reading_ELA[Instructional Reading Level - Per "&amp;(VLOOKUP($D$2,'Reading Report Logic'!$A$2:$B$8,2,FALSE)-1)&amp;"]"))), FALSE)="", "",
VLOOKUP($A486,YES_Reading_ELA[], COLUMN(IF(VLOOKUP($D$2,'Reading Report Logic'!$A$2:$B$8,2,FALSE)=1, YES_Reading_ELA[Reading Level June of Previous School Year],INDIRECT("YES_Reading_ELA[Instructional Reading Level - Per "&amp;(VLOOKUP($D$2,'Reading Report Logic'!$A$2:$B$8,2,FALSE)-1)&amp;"]"))), FALSE)),
IF($J$2="FLA",
IF(VLOOKUP($A486, YES_Reading_FLA[], COLUMN(IF(VLOOKUP($D$2,'Reading Report Logic'!$A$2:$B$8,2,FALSE)=1, YES_Reading_FLA[Reading Level June of Previous School Year],INDIRECT("YES_Reading_FLA[Instructional Reading Level - Per "&amp;(VLOOKUP($D$2,'Reading Report Logic'!$A$2:$B$8,2,FALSE)-1)&amp;"]"))),FALSE)="","",
VLOOKUP($A486,YES_Reading_FLA[], COLUMN(IF(VLOOKUP($D$2,'Reading Report Logic'!$A$2:$B$8,2,FALSE)=1, YES_Reading_FLA[Reading Level June of Previous School Year],INDIRECT("YES_Reading_FLA[Instructional Reading Level - Per "&amp;(VLOOKUP($D$2,'Reading Report Logic'!$A$2:$B$8,2,FALSE)-1)&amp;"]"))),FALSE)),
IF($J$2="Combined",
IFERROR(
IF(VLOOKUP($A486, YES_Reading_ELA[], COLUMN(IF(VLOOKUP($D$2,'Reading Report Logic'!$A$2:$B$8,2,FALSE)=1, YES_Reading_ELA[Reading Level June of Previous School Year],INDIRECT("YES_Reading_ELA[Instructional Reading Level - Per "&amp;(VLOOKUP($D$2,'Reading Report Logic'!$A$2:$B$8,2,FALSE)-1)&amp;"]"))), FALSE)="", "",
VLOOKUP($A486,YES_Reading_ELA[],COLUMN(IF(VLOOKUP($D$2,'Reading Report Logic'!$A$2:$B$8,2,FALSE)=1, YES_Reading_ELA[Reading Level June of Previous School Year],INDIRECT("YES_Reading_ELA[Instructional Reading Level - Per "&amp;(VLOOKUP($D$2,'Reading Report Logic'!$A$2:$B$8,2,FALSE)-1)&amp;"]"))),FALSE)),
IF(VLOOKUP($A486, YES_Reading_FLA[], COLUMN(IF(VLOOKUP($D$2,'Reading Report Logic'!$A$2:$B$8,2,FALSE)=1, YES_Reading_FLA[Reading Level June of Previous School Year],INDIRECT("YES_Reading_FLA[Instructional Reading Level - Per "&amp;(VLOOKUP($D$2,'Reading Report Logic'!$A$2:$B$8,2,FALSE)-1)&amp;"]"))),FALSE)="", "", VLOOKUP($A486,YES_Reading_FLA[],COLUMN(IF(VLOOKUP($D$2,'Reading Report Logic'!$A$2:$B$8,2,FALSE)=1, YES_Reading_FLA[Reading Level June of Previous School Year],INDIRECT("YES_Reading_FLA[Instructional Reading Level - Per "&amp;(VLOOKUP($D$2,'Reading Report Logic'!$A$2:$B$8,2,FALSE)-1)&amp;"]"))), FALSE))),""))),"")</f>
        <v/>
      </c>
      <c r="D486" s="204" t="str" cm="1">
        <f t="array" aca="1" ref="D486" ca="1">IFERROR(
IF($J$2="ELA",
IF(VLOOKUP($A486, YES_Reading_ELA[], COLUMN(INDIRECT("YES_Reading_ELA[Instructional Reading Level - Per "&amp;VLOOKUP($D$2, 'Reading Report Logic'!$A$2:$B$8, 2, FALSE)&amp;"]")), FALSE)="", "",
VLOOKUP($A486,YES_Reading_ELA[], COLUMN(INDIRECT("YES_Reading_ELA[Instructional Reading Level - Per "&amp;VLOOKUP($D$2,'Reading Report Logic'!$A$2:$B$8,2,FALSE)&amp;"]")), FALSE)),
IF($J$2="FLA",
IF(VLOOKUP($A486, YES_Reading_FLA[], COLUMN(INDIRECT("YES_Reading_FLA[Instructional Reading Level - Per "&amp;VLOOKUP($D$2,'Reading Report Logic'!$A$2:$B$8,2,FALSE)&amp;"]")),FALSE)="","",
VLOOKUP($A486,YES_Reading_FLA[],COLUMN(INDIRECT("YES_Reading_FLA[Instructional Reading Level - Per "&amp;VLOOKUP($D$2,'Reading Report Logic'!$A$2:$B$8,2,FALSE)&amp;"]")),FALSE)),
IF($J$2="Combined",
IFERROR(
IF(VLOOKUP($A486, YES_Reading_ELA[], COLUMN(INDIRECT("YES_Reading_ELA[Instructional Reading Level - Per "&amp;VLOOKUP($D$2, 'Reading Report Logic'!$A$2:$B$8,2,FALSE)&amp;"]")), FALSE)="", "",
VLOOKUP($A486,YES_Reading_ELA[],COLUMN(INDIRECT("YES_Reading_ELA[Instructional Reading Level - Per "&amp;VLOOKUP($D$2,'Reading Report Logic'!$A$2:$B$8,2,FALSE)&amp;"]")),FALSE)),
IF(VLOOKUP($A486, YES_Reading_FLA[], COLUMN(INDIRECT("YES_Reading_FLA[Instructional Reading Level - Per "&amp;VLOOKUP($D$2, 'Reading Report Logic'!$A$2:$B$8, 2, FALSE)&amp;"]")),FALSE)="", "", VLOOKUP($A486,YES_Reading_FLA[],COLUMN(INDIRECT("YES_Reading_FLA[Instructional Reading Level - Per "&amp;VLOOKUP($D$2, 'Reading Report Logic'!$A$2:$B$8, 2, FALSE)&amp;"]")),FALSE))),""))),"")</f>
        <v/>
      </c>
      <c r="E486" s="205" t="str" cm="1">
        <f t="array" aca="1" ref="E486" ca="1">IFERROR(
IF($J$2="ELA",
IF(VLOOKUP($A486, YES_Reading_ELA[], COLUMN(INDIRECT("YES_Reading_ELA[Min Expectation - Per "&amp;VLOOKUP($D$2, 'Reading Report Logic'!$A$2:$B$8, 2, FALSE)&amp;"]")), FALSE)="", "",
VLOOKUP($A486,YES_Reading_ELA[], COLUMN(INDIRECT("YES_Reading_ELA[Min Expectation - Per "&amp;VLOOKUP($D$2,'Reading Report Logic'!$A$2:$B$8,2,FALSE)&amp;"]")), FALSE)),
IF($J$2="FLA",
IF(VLOOKUP($A486, YES_Reading_FLA[], COLUMN(INDIRECT("YES_Reading_FLA[Min Expectation - Per "&amp;VLOOKUP($D$2,'Reading Report Logic'!$A$2:$B$8,2,FALSE)&amp;"]")),FALSE)="","",
VLOOKUP($A486,YES_Reading_FLA[],COLUMN(INDIRECT("YES_Reading_FLA[Min Expectation - Per "&amp;VLOOKUP($D$2,'Reading Report Logic'!$A$2:$B$8,2,FALSE)&amp;"]")),FALSE)),
IF($J$2="Combined",
IFERROR(
IF(VLOOKUP($A486, YES_Reading_ELA[], COLUMN(INDIRECT("YES_Reading_ELA[Min Expectation - Per "&amp;VLOOKUP($D$2, 'Reading Report Logic'!$A$2:$B$8,2,FALSE)&amp;"]")), FALSE)="", "",
VLOOKUP($A486,YES_Reading_ELA[],COLUMN(INDIRECT("YES_Reading_ELA[Min Expectation - Per "&amp;VLOOKUP($D$2,'Reading Report Logic'!$A$2:$B$8,2,FALSE)&amp;"]")),FALSE)),
IF(VLOOKUP($A486, YES_Reading_FLA[], COLUMN(INDIRECT("YES_Reading_FLA[Min Expectation - Per "&amp;VLOOKUP($D$2, 'Reading Report Logic'!$A$2:$B$8, 2, FALSE)&amp;"]")),FALSE)="", "", VLOOKUP($A486,YES_Reading_FLA[],COLUMN(INDIRECT("YES_Reading_FLA[Min Expectation - Per "&amp;VLOOKUP($D$2, 'Reading Report Logic'!$A$2:$B$8, 2, FALSE)&amp;"]")),FALSE))),""))),"")</f>
        <v/>
      </c>
      <c r="F486" s="205" t="str" cm="1">
        <f t="array" aca="1" ref="F486" ca="1">IFERROR(
IF($J$2="ELA",
IF(VLOOKUP($A486, YES_Reading_ELA[], COLUMN(INDIRECT("YES_Reading_ELA[Max Expectation - Per "&amp;VLOOKUP($D$2, 'Reading Report Logic'!$A$2:$B$8, 2, FALSE)&amp;"]")), FALSE)="", "",
VLOOKUP($A486,YES_Reading_ELA[], COLUMN(INDIRECT("YES_Reading_ELA[Max Expectation - Per "&amp;VLOOKUP($D$2,'Reading Report Logic'!$A$2:$B$8,2,FALSE)&amp;"]")), FALSE)),
IF($J$2="FLA",
IF(VLOOKUP($A486, YES_Reading_FLA[], COLUMN(INDIRECT("YES_Reading_FLA[Max Expectation - Per "&amp;VLOOKUP($D$2,'Reading Report Logic'!$A$2:$B$8,2,FALSE)&amp;"]")),FALSE)="","",
VLOOKUP($A486,YES_Reading_FLA[],COLUMN(INDIRECT("YES_Reading_FLA[Max Expectation - Per "&amp;VLOOKUP($D$2,'Reading Report Logic'!$A$2:$B$8,2,FALSE)&amp;"]")),FALSE)),
IF($J$2="Combined",
IFERROR(
IF(VLOOKUP($A486, YES_Reading_ELA[], COLUMN(INDIRECT("YES_Reading_ELA[Max Expectation - Per "&amp;VLOOKUP($D$2, 'Reading Report Logic'!$A$2:$B$8,2,FALSE)&amp;"]")), FALSE)="", "",
VLOOKUP($A486,YES_Reading_ELA[],COLUMN(INDIRECT("YES_Reading_ELA[Max Expectation - Per "&amp;VLOOKUP($D$2,'Reading Report Logic'!$A$2:$B$8,2,FALSE)&amp;"]")),FALSE)),
IF(VLOOKUP($A486, YES_Reading_FLA[], COLUMN(INDIRECT("YES_Reading_FLA[Max Expectation - Per "&amp;VLOOKUP($D$2, 'Reading Report Logic'!$A$2:$B$8, 2, FALSE)&amp;"]")),FALSE)="", "", VLOOKUP($A486,YES_Reading_FLA[],COLUMN(INDIRECT("YES_Reading_FLA[Max Expectation - Per "&amp;VLOOKUP($D$2, 'Reading Report Logic'!$A$2:$B$8, 2, FALSE)&amp;"]")),FALSE))),""))),"")</f>
        <v/>
      </c>
      <c r="G486" s="205" t="str" cm="1">
        <f t="array" aca="1" ref="G486" ca="1">IFERROR(
IF($J$2="ELA",
IF(VLOOKUP($A486, YES_Reading_ELA[], COLUMN(INDIRECT("YES_Reading_ELA[Difference - Per "&amp;VLOOKUP($D$2, 'Reading Report Logic'!$A$2:$B$8, 2, FALSE)&amp;"]")), FALSE)="", "",
VLOOKUP($A486,YES_Reading_ELA[], COLUMN(INDIRECT("YES_Reading_ELA[Difference - Per "&amp;VLOOKUP($D$2,'Reading Report Logic'!$A$2:$B$8,2,FALSE)&amp;"]")), FALSE)),
IF($J$2="FLA",
IF(VLOOKUP($A486, YES_Reading_FLA[], COLUMN(INDIRECT("YES_Reading_FLA[Difference - Per "&amp;VLOOKUP($D$2,'Reading Report Logic'!$A$2:$B$8,2,FALSE)&amp;"]")),FALSE)="","",
VLOOKUP($A486,YES_Reading_FLA[],COLUMN(INDIRECT("YES_Reading_FLA[Difference - Per "&amp;VLOOKUP($D$2,'Reading Report Logic'!$A$2:$B$8,2,FALSE)&amp;"]")),FALSE)),
IF($J$2="Combined",
IFERROR(
IF(VLOOKUP($A486, YES_Reading_ELA[], COLUMN(INDIRECT("YES_Reading_ELA[Difference - Per "&amp;VLOOKUP($D$2, 'Reading Report Logic'!$A$2:$B$8,2,FALSE)&amp;"]")), FALSE)="", "",
VLOOKUP($A486,YES_Reading_ELA[],COLUMN(INDIRECT("YES_Reading_ELA[Difference - Per "&amp;VLOOKUP($D$2,'Reading Report Logic'!$A$2:$B$8,2,FALSE)&amp;"]")),FALSE)),
IF(VLOOKUP($A486, YES_Reading_FLA[], COLUMN(INDIRECT("YES_Reading_FLA[Difference - Per "&amp;VLOOKUP($D$2, 'Reading Report Logic'!$A$2:$B$8, 2, FALSE)&amp;"]")),FALSE)="", "", VLOOKUP($A486,YES_Reading_FLA[],COLUMN(INDIRECT("YES_Reading_FLA[Difference - Per "&amp;VLOOKUP($D$2, 'Reading Report Logic'!$A$2:$B$8, 2, FALSE)&amp;"]")),FALSE))),""))),"")</f>
        <v/>
      </c>
      <c r="H486" s="206" t="str">
        <f ca="1">IFERROR(VLOOKUP('Teacher Reading Pull Sheets'!$D486,_xlfn.VSTACK('ELA Reading Logic'!$A$22:$B$48,'FLA Reading Logic'!$A$22:$B$53),2,FALSE)-VLOOKUP('Teacher Reading Pull Sheets'!$C486,_xlfn.VSTACK('ELA Reading Logic'!$A$22:$B$48,'FLA Reading Logic'!$A$22:$B$53),2,FALSE),"")</f>
        <v/>
      </c>
      <c r="I486" s="212"/>
      <c r="J486" s="206"/>
      <c r="K486" s="197" t="str" cm="1">
        <f t="array" ref="K486">IFERROR(
IF($J$2="ELA",
IF(VLOOKUP($A486, YES_Reading_ELA[], COLUMN(YES_Reading_ELA[Self-Identified as African Descent]), FALSE)="", "",
VLOOKUP($A486,YES_Reading_ELA[], COLUMN(YES_Reading_ELA[Self-Identified as African Descent]), FALSE)),
IF($J$2="FLA",
IF(VLOOKUP($A486, YES_Reading_FLA[], COLUMN(YES_Reading_FLA[Self-Identified as African Descent]),FALSE)="","",
VLOOKUP($A486,YES_Reading_FLA[],COLUMN(YES_Reading_FLA[Self-Identified as African Descent]),FALSE)),
IF($J$2="Combined",
IFERROR(
IF(VLOOKUP($A486, YES_Reading_ELA[], COLUMN(YES_Reading_ELA[Self-Identified as African Descent]), FALSE)="", "",
VLOOKUP($A486,YES_Reading_ELA[],COLUMN(YES_Reading_ELA[Self-Identified as African Descent]),FALSE)),
IF(VLOOKUP($A486, YES_Reading_FLA[], COLUMN(YES_Reading_FLA[Self-Identified as African Descent]),FALSE)="", "", VLOOKUP($A486,YES_Reading_FLA[],COLUMN(YES_Reading_FLA[Self-Identified as African Descent]),FALSE))),""))),"")</f>
        <v/>
      </c>
      <c r="L486" s="73" t="str" cm="1">
        <f t="array" ref="L486">IFERROR(
IF($J$2="ELA",
IF(VLOOKUP($A486, YES_Reading_ELA[], COLUMN(YES_Reading_ELA[Self-Identified as Indigenous]), FALSE)="", "",
VLOOKUP($A486,YES_Reading_ELA[], COLUMN(YES_Reading_ELA[Self-Identified as Indigenous]), FALSE)),
IF($J$2="FLA",
IF(VLOOKUP($A486, YES_Reading_FLA[], COLUMN(YES_Reading_FLA[Self-Identified as Indigenous]),FALSE)="","",
VLOOKUP($A486,YES_Reading_FLA[],COLUMN(YES_Reading_FLA[Self-Identified as Indigenous]),FALSE)),
IF($J$2="Combined",
IFERROR(
IF(VLOOKUP($A486, YES_Reading_ELA[], COLUMN(YES_Reading_ELA[Self-Identified as Indigenous]), FALSE)="", "",
VLOOKUP($A486,YES_Reading_ELA[],COLUMN(YES_Reading_ELA[Self-Identified as Indigenous]),FALSE)),
IF(VLOOKUP($A486, YES_Reading_FLA[], COLUMN(YES_Reading_FLA[Self-Identified as Indigenous]),FALSE)="", "", VLOOKUP($A486,YES_Reading_FLA[],COLUMN(YES_Reading_FLA[Self-Identified as Indigenous]),FALSE))),""))),"")</f>
        <v/>
      </c>
    </row>
    <row r="487" spans="1:12" ht="19.5" customHeight="1" x14ac:dyDescent="0.25">
      <c r="A487" s="217"/>
      <c r="B487" s="220" t="str">
        <f>IFERROR(VLOOKUP(A487,_xlfn.VSTACK(YES_Reading_ELA[],YES_Reading_FLA[]),2,FALSE),"")</f>
        <v/>
      </c>
      <c r="C487" s="203" t="str" cm="1">
        <f t="array" aca="1" ref="C487" ca="1">IFERROR(
IF($J$2="ELA",
IF(VLOOKUP($A487, YES_Reading_ELA[], COLUMN(IF(VLOOKUP($D$2, 'Reading Report Logic'!$A$2:$B$8, 2, FALSE)=1, YES_Reading_ELA[Reading Level June of Previous School Year], INDIRECT("YES_Reading_ELA[Instructional Reading Level - Per "&amp;(VLOOKUP($D$2,'Reading Report Logic'!$A$2:$B$8,2,FALSE)-1)&amp;"]"))), FALSE)="", "",
VLOOKUP($A487,YES_Reading_ELA[], COLUMN(IF(VLOOKUP($D$2,'Reading Report Logic'!$A$2:$B$8,2,FALSE)=1, YES_Reading_ELA[Reading Level June of Previous School Year],INDIRECT("YES_Reading_ELA[Instructional Reading Level - Per "&amp;(VLOOKUP($D$2,'Reading Report Logic'!$A$2:$B$8,2,FALSE)-1)&amp;"]"))), FALSE)),
IF($J$2="FLA",
IF(VLOOKUP($A487, YES_Reading_FLA[], COLUMN(IF(VLOOKUP($D$2,'Reading Report Logic'!$A$2:$B$8,2,FALSE)=1, YES_Reading_FLA[Reading Level June of Previous School Year],INDIRECT("YES_Reading_FLA[Instructional Reading Level - Per "&amp;(VLOOKUP($D$2,'Reading Report Logic'!$A$2:$B$8,2,FALSE)-1)&amp;"]"))),FALSE)="","",
VLOOKUP($A487,YES_Reading_FLA[], COLUMN(IF(VLOOKUP($D$2,'Reading Report Logic'!$A$2:$B$8,2,FALSE)=1, YES_Reading_FLA[Reading Level June of Previous School Year],INDIRECT("YES_Reading_FLA[Instructional Reading Level - Per "&amp;(VLOOKUP($D$2,'Reading Report Logic'!$A$2:$B$8,2,FALSE)-1)&amp;"]"))),FALSE)),
IF($J$2="Combined",
IFERROR(
IF(VLOOKUP($A487, YES_Reading_ELA[], COLUMN(IF(VLOOKUP($D$2,'Reading Report Logic'!$A$2:$B$8,2,FALSE)=1, YES_Reading_ELA[Reading Level June of Previous School Year],INDIRECT("YES_Reading_ELA[Instructional Reading Level - Per "&amp;(VLOOKUP($D$2,'Reading Report Logic'!$A$2:$B$8,2,FALSE)-1)&amp;"]"))), FALSE)="", "",
VLOOKUP($A487,YES_Reading_ELA[],COLUMN(IF(VLOOKUP($D$2,'Reading Report Logic'!$A$2:$B$8,2,FALSE)=1, YES_Reading_ELA[Reading Level June of Previous School Year],INDIRECT("YES_Reading_ELA[Instructional Reading Level - Per "&amp;(VLOOKUP($D$2,'Reading Report Logic'!$A$2:$B$8,2,FALSE)-1)&amp;"]"))),FALSE)),
IF(VLOOKUP($A487, YES_Reading_FLA[], COLUMN(IF(VLOOKUP($D$2,'Reading Report Logic'!$A$2:$B$8,2,FALSE)=1, YES_Reading_FLA[Reading Level June of Previous School Year],INDIRECT("YES_Reading_FLA[Instructional Reading Level - Per "&amp;(VLOOKUP($D$2,'Reading Report Logic'!$A$2:$B$8,2,FALSE)-1)&amp;"]"))),FALSE)="", "", VLOOKUP($A487,YES_Reading_FLA[],COLUMN(IF(VLOOKUP($D$2,'Reading Report Logic'!$A$2:$B$8,2,FALSE)=1, YES_Reading_FLA[Reading Level June of Previous School Year],INDIRECT("YES_Reading_FLA[Instructional Reading Level - Per "&amp;(VLOOKUP($D$2,'Reading Report Logic'!$A$2:$B$8,2,FALSE)-1)&amp;"]"))), FALSE))),""))),"")</f>
        <v/>
      </c>
      <c r="D487" s="204" t="str" cm="1">
        <f t="array" aca="1" ref="D487" ca="1">IFERROR(
IF($J$2="ELA",
IF(VLOOKUP($A487, YES_Reading_ELA[], COLUMN(INDIRECT("YES_Reading_ELA[Instructional Reading Level - Per "&amp;VLOOKUP($D$2, 'Reading Report Logic'!$A$2:$B$8, 2, FALSE)&amp;"]")), FALSE)="", "",
VLOOKUP($A487,YES_Reading_ELA[], COLUMN(INDIRECT("YES_Reading_ELA[Instructional Reading Level - Per "&amp;VLOOKUP($D$2,'Reading Report Logic'!$A$2:$B$8,2,FALSE)&amp;"]")), FALSE)),
IF($J$2="FLA",
IF(VLOOKUP($A487, YES_Reading_FLA[], COLUMN(INDIRECT("YES_Reading_FLA[Instructional Reading Level - Per "&amp;VLOOKUP($D$2,'Reading Report Logic'!$A$2:$B$8,2,FALSE)&amp;"]")),FALSE)="","",
VLOOKUP($A487,YES_Reading_FLA[],COLUMN(INDIRECT("YES_Reading_FLA[Instructional Reading Level - Per "&amp;VLOOKUP($D$2,'Reading Report Logic'!$A$2:$B$8,2,FALSE)&amp;"]")),FALSE)),
IF($J$2="Combined",
IFERROR(
IF(VLOOKUP($A487, YES_Reading_ELA[], COLUMN(INDIRECT("YES_Reading_ELA[Instructional Reading Level - Per "&amp;VLOOKUP($D$2, 'Reading Report Logic'!$A$2:$B$8,2,FALSE)&amp;"]")), FALSE)="", "",
VLOOKUP($A487,YES_Reading_ELA[],COLUMN(INDIRECT("YES_Reading_ELA[Instructional Reading Level - Per "&amp;VLOOKUP($D$2,'Reading Report Logic'!$A$2:$B$8,2,FALSE)&amp;"]")),FALSE)),
IF(VLOOKUP($A487, YES_Reading_FLA[], COLUMN(INDIRECT("YES_Reading_FLA[Instructional Reading Level - Per "&amp;VLOOKUP($D$2, 'Reading Report Logic'!$A$2:$B$8, 2, FALSE)&amp;"]")),FALSE)="", "", VLOOKUP($A487,YES_Reading_FLA[],COLUMN(INDIRECT("YES_Reading_FLA[Instructional Reading Level - Per "&amp;VLOOKUP($D$2, 'Reading Report Logic'!$A$2:$B$8, 2, FALSE)&amp;"]")),FALSE))),""))),"")</f>
        <v/>
      </c>
      <c r="E487" s="205" t="str" cm="1">
        <f t="array" aca="1" ref="E487" ca="1">IFERROR(
IF($J$2="ELA",
IF(VLOOKUP($A487, YES_Reading_ELA[], COLUMN(INDIRECT("YES_Reading_ELA[Min Expectation - Per "&amp;VLOOKUP($D$2, 'Reading Report Logic'!$A$2:$B$8, 2, FALSE)&amp;"]")), FALSE)="", "",
VLOOKUP($A487,YES_Reading_ELA[], COLUMN(INDIRECT("YES_Reading_ELA[Min Expectation - Per "&amp;VLOOKUP($D$2,'Reading Report Logic'!$A$2:$B$8,2,FALSE)&amp;"]")), FALSE)),
IF($J$2="FLA",
IF(VLOOKUP($A487, YES_Reading_FLA[], COLUMN(INDIRECT("YES_Reading_FLA[Min Expectation - Per "&amp;VLOOKUP($D$2,'Reading Report Logic'!$A$2:$B$8,2,FALSE)&amp;"]")),FALSE)="","",
VLOOKUP($A487,YES_Reading_FLA[],COLUMN(INDIRECT("YES_Reading_FLA[Min Expectation - Per "&amp;VLOOKUP($D$2,'Reading Report Logic'!$A$2:$B$8,2,FALSE)&amp;"]")),FALSE)),
IF($J$2="Combined",
IFERROR(
IF(VLOOKUP($A487, YES_Reading_ELA[], COLUMN(INDIRECT("YES_Reading_ELA[Min Expectation - Per "&amp;VLOOKUP($D$2, 'Reading Report Logic'!$A$2:$B$8,2,FALSE)&amp;"]")), FALSE)="", "",
VLOOKUP($A487,YES_Reading_ELA[],COLUMN(INDIRECT("YES_Reading_ELA[Min Expectation - Per "&amp;VLOOKUP($D$2,'Reading Report Logic'!$A$2:$B$8,2,FALSE)&amp;"]")),FALSE)),
IF(VLOOKUP($A487, YES_Reading_FLA[], COLUMN(INDIRECT("YES_Reading_FLA[Min Expectation - Per "&amp;VLOOKUP($D$2, 'Reading Report Logic'!$A$2:$B$8, 2, FALSE)&amp;"]")),FALSE)="", "", VLOOKUP($A487,YES_Reading_FLA[],COLUMN(INDIRECT("YES_Reading_FLA[Min Expectation - Per "&amp;VLOOKUP($D$2, 'Reading Report Logic'!$A$2:$B$8, 2, FALSE)&amp;"]")),FALSE))),""))),"")</f>
        <v/>
      </c>
      <c r="F487" s="205" t="str" cm="1">
        <f t="array" aca="1" ref="F487" ca="1">IFERROR(
IF($J$2="ELA",
IF(VLOOKUP($A487, YES_Reading_ELA[], COLUMN(INDIRECT("YES_Reading_ELA[Max Expectation - Per "&amp;VLOOKUP($D$2, 'Reading Report Logic'!$A$2:$B$8, 2, FALSE)&amp;"]")), FALSE)="", "",
VLOOKUP($A487,YES_Reading_ELA[], COLUMN(INDIRECT("YES_Reading_ELA[Max Expectation - Per "&amp;VLOOKUP($D$2,'Reading Report Logic'!$A$2:$B$8,2,FALSE)&amp;"]")), FALSE)),
IF($J$2="FLA",
IF(VLOOKUP($A487, YES_Reading_FLA[], COLUMN(INDIRECT("YES_Reading_FLA[Max Expectation - Per "&amp;VLOOKUP($D$2,'Reading Report Logic'!$A$2:$B$8,2,FALSE)&amp;"]")),FALSE)="","",
VLOOKUP($A487,YES_Reading_FLA[],COLUMN(INDIRECT("YES_Reading_FLA[Max Expectation - Per "&amp;VLOOKUP($D$2,'Reading Report Logic'!$A$2:$B$8,2,FALSE)&amp;"]")),FALSE)),
IF($J$2="Combined",
IFERROR(
IF(VLOOKUP($A487, YES_Reading_ELA[], COLUMN(INDIRECT("YES_Reading_ELA[Max Expectation - Per "&amp;VLOOKUP($D$2, 'Reading Report Logic'!$A$2:$B$8,2,FALSE)&amp;"]")), FALSE)="", "",
VLOOKUP($A487,YES_Reading_ELA[],COLUMN(INDIRECT("YES_Reading_ELA[Max Expectation - Per "&amp;VLOOKUP($D$2,'Reading Report Logic'!$A$2:$B$8,2,FALSE)&amp;"]")),FALSE)),
IF(VLOOKUP($A487, YES_Reading_FLA[], COLUMN(INDIRECT("YES_Reading_FLA[Max Expectation - Per "&amp;VLOOKUP($D$2, 'Reading Report Logic'!$A$2:$B$8, 2, FALSE)&amp;"]")),FALSE)="", "", VLOOKUP($A487,YES_Reading_FLA[],COLUMN(INDIRECT("YES_Reading_FLA[Max Expectation - Per "&amp;VLOOKUP($D$2, 'Reading Report Logic'!$A$2:$B$8, 2, FALSE)&amp;"]")),FALSE))),""))),"")</f>
        <v/>
      </c>
      <c r="G487" s="205" t="str" cm="1">
        <f t="array" aca="1" ref="G487" ca="1">IFERROR(
IF($J$2="ELA",
IF(VLOOKUP($A487, YES_Reading_ELA[], COLUMN(INDIRECT("YES_Reading_ELA[Difference - Per "&amp;VLOOKUP($D$2, 'Reading Report Logic'!$A$2:$B$8, 2, FALSE)&amp;"]")), FALSE)="", "",
VLOOKUP($A487,YES_Reading_ELA[], COLUMN(INDIRECT("YES_Reading_ELA[Difference - Per "&amp;VLOOKUP($D$2,'Reading Report Logic'!$A$2:$B$8,2,FALSE)&amp;"]")), FALSE)),
IF($J$2="FLA",
IF(VLOOKUP($A487, YES_Reading_FLA[], COLUMN(INDIRECT("YES_Reading_FLA[Difference - Per "&amp;VLOOKUP($D$2,'Reading Report Logic'!$A$2:$B$8,2,FALSE)&amp;"]")),FALSE)="","",
VLOOKUP($A487,YES_Reading_FLA[],COLUMN(INDIRECT("YES_Reading_FLA[Difference - Per "&amp;VLOOKUP($D$2,'Reading Report Logic'!$A$2:$B$8,2,FALSE)&amp;"]")),FALSE)),
IF($J$2="Combined",
IFERROR(
IF(VLOOKUP($A487, YES_Reading_ELA[], COLUMN(INDIRECT("YES_Reading_ELA[Difference - Per "&amp;VLOOKUP($D$2, 'Reading Report Logic'!$A$2:$B$8,2,FALSE)&amp;"]")), FALSE)="", "",
VLOOKUP($A487,YES_Reading_ELA[],COLUMN(INDIRECT("YES_Reading_ELA[Difference - Per "&amp;VLOOKUP($D$2,'Reading Report Logic'!$A$2:$B$8,2,FALSE)&amp;"]")),FALSE)),
IF(VLOOKUP($A487, YES_Reading_FLA[], COLUMN(INDIRECT("YES_Reading_FLA[Difference - Per "&amp;VLOOKUP($D$2, 'Reading Report Logic'!$A$2:$B$8, 2, FALSE)&amp;"]")),FALSE)="", "", VLOOKUP($A487,YES_Reading_FLA[],COLUMN(INDIRECT("YES_Reading_FLA[Difference - Per "&amp;VLOOKUP($D$2, 'Reading Report Logic'!$A$2:$B$8, 2, FALSE)&amp;"]")),FALSE))),""))),"")</f>
        <v/>
      </c>
      <c r="H487" s="206" t="str">
        <f ca="1">IFERROR(VLOOKUP('Teacher Reading Pull Sheets'!$D487,_xlfn.VSTACK('ELA Reading Logic'!$A$22:$B$48,'FLA Reading Logic'!$A$22:$B$53),2,FALSE)-VLOOKUP('Teacher Reading Pull Sheets'!$C487,_xlfn.VSTACK('ELA Reading Logic'!$A$22:$B$48,'FLA Reading Logic'!$A$22:$B$53),2,FALSE),"")</f>
        <v/>
      </c>
      <c r="I487" s="212"/>
      <c r="J487" s="206"/>
      <c r="K487" s="197" t="str" cm="1">
        <f t="array" ref="K487">IFERROR(
IF($J$2="ELA",
IF(VLOOKUP($A487, YES_Reading_ELA[], COLUMN(YES_Reading_ELA[Self-Identified as African Descent]), FALSE)="", "",
VLOOKUP($A487,YES_Reading_ELA[], COLUMN(YES_Reading_ELA[Self-Identified as African Descent]), FALSE)),
IF($J$2="FLA",
IF(VLOOKUP($A487, YES_Reading_FLA[], COLUMN(YES_Reading_FLA[Self-Identified as African Descent]),FALSE)="","",
VLOOKUP($A487,YES_Reading_FLA[],COLUMN(YES_Reading_FLA[Self-Identified as African Descent]),FALSE)),
IF($J$2="Combined",
IFERROR(
IF(VLOOKUP($A487, YES_Reading_ELA[], COLUMN(YES_Reading_ELA[Self-Identified as African Descent]), FALSE)="", "",
VLOOKUP($A487,YES_Reading_ELA[],COLUMN(YES_Reading_ELA[Self-Identified as African Descent]),FALSE)),
IF(VLOOKUP($A487, YES_Reading_FLA[], COLUMN(YES_Reading_FLA[Self-Identified as African Descent]),FALSE)="", "", VLOOKUP($A487,YES_Reading_FLA[],COLUMN(YES_Reading_FLA[Self-Identified as African Descent]),FALSE))),""))),"")</f>
        <v/>
      </c>
      <c r="L487" s="73" t="str" cm="1">
        <f t="array" ref="L487">IFERROR(
IF($J$2="ELA",
IF(VLOOKUP($A487, YES_Reading_ELA[], COLUMN(YES_Reading_ELA[Self-Identified as Indigenous]), FALSE)="", "",
VLOOKUP($A487,YES_Reading_ELA[], COLUMN(YES_Reading_ELA[Self-Identified as Indigenous]), FALSE)),
IF($J$2="FLA",
IF(VLOOKUP($A487, YES_Reading_FLA[], COLUMN(YES_Reading_FLA[Self-Identified as Indigenous]),FALSE)="","",
VLOOKUP($A487,YES_Reading_FLA[],COLUMN(YES_Reading_FLA[Self-Identified as Indigenous]),FALSE)),
IF($J$2="Combined",
IFERROR(
IF(VLOOKUP($A487, YES_Reading_ELA[], COLUMN(YES_Reading_ELA[Self-Identified as Indigenous]), FALSE)="", "",
VLOOKUP($A487,YES_Reading_ELA[],COLUMN(YES_Reading_ELA[Self-Identified as Indigenous]),FALSE)),
IF(VLOOKUP($A487, YES_Reading_FLA[], COLUMN(YES_Reading_FLA[Self-Identified as Indigenous]),FALSE)="", "", VLOOKUP($A487,YES_Reading_FLA[],COLUMN(YES_Reading_FLA[Self-Identified as Indigenous]),FALSE))),""))),"")</f>
        <v/>
      </c>
    </row>
    <row r="488" spans="1:12" ht="19.5" customHeight="1" x14ac:dyDescent="0.25">
      <c r="A488" s="217"/>
      <c r="B488" s="220" t="str">
        <f>IFERROR(VLOOKUP(A488,_xlfn.VSTACK(YES_Reading_ELA[],YES_Reading_FLA[]),2,FALSE),"")</f>
        <v/>
      </c>
      <c r="C488" s="203" t="str" cm="1">
        <f t="array" aca="1" ref="C488" ca="1">IFERROR(
IF($J$2="ELA",
IF(VLOOKUP($A488, YES_Reading_ELA[], COLUMN(IF(VLOOKUP($D$2, 'Reading Report Logic'!$A$2:$B$8, 2, FALSE)=1, YES_Reading_ELA[Reading Level June of Previous School Year], INDIRECT("YES_Reading_ELA[Instructional Reading Level - Per "&amp;(VLOOKUP($D$2,'Reading Report Logic'!$A$2:$B$8,2,FALSE)-1)&amp;"]"))), FALSE)="", "",
VLOOKUP($A488,YES_Reading_ELA[], COLUMN(IF(VLOOKUP($D$2,'Reading Report Logic'!$A$2:$B$8,2,FALSE)=1, YES_Reading_ELA[Reading Level June of Previous School Year],INDIRECT("YES_Reading_ELA[Instructional Reading Level - Per "&amp;(VLOOKUP($D$2,'Reading Report Logic'!$A$2:$B$8,2,FALSE)-1)&amp;"]"))), FALSE)),
IF($J$2="FLA",
IF(VLOOKUP($A488, YES_Reading_FLA[], COLUMN(IF(VLOOKUP($D$2,'Reading Report Logic'!$A$2:$B$8,2,FALSE)=1, YES_Reading_FLA[Reading Level June of Previous School Year],INDIRECT("YES_Reading_FLA[Instructional Reading Level - Per "&amp;(VLOOKUP($D$2,'Reading Report Logic'!$A$2:$B$8,2,FALSE)-1)&amp;"]"))),FALSE)="","",
VLOOKUP($A488,YES_Reading_FLA[], COLUMN(IF(VLOOKUP($D$2,'Reading Report Logic'!$A$2:$B$8,2,FALSE)=1, YES_Reading_FLA[Reading Level June of Previous School Year],INDIRECT("YES_Reading_FLA[Instructional Reading Level - Per "&amp;(VLOOKUP($D$2,'Reading Report Logic'!$A$2:$B$8,2,FALSE)-1)&amp;"]"))),FALSE)),
IF($J$2="Combined",
IFERROR(
IF(VLOOKUP($A488, YES_Reading_ELA[], COLUMN(IF(VLOOKUP($D$2,'Reading Report Logic'!$A$2:$B$8,2,FALSE)=1, YES_Reading_ELA[Reading Level June of Previous School Year],INDIRECT("YES_Reading_ELA[Instructional Reading Level - Per "&amp;(VLOOKUP($D$2,'Reading Report Logic'!$A$2:$B$8,2,FALSE)-1)&amp;"]"))), FALSE)="", "",
VLOOKUP($A488,YES_Reading_ELA[],COLUMN(IF(VLOOKUP($D$2,'Reading Report Logic'!$A$2:$B$8,2,FALSE)=1, YES_Reading_ELA[Reading Level June of Previous School Year],INDIRECT("YES_Reading_ELA[Instructional Reading Level - Per "&amp;(VLOOKUP($D$2,'Reading Report Logic'!$A$2:$B$8,2,FALSE)-1)&amp;"]"))),FALSE)),
IF(VLOOKUP($A488, YES_Reading_FLA[], COLUMN(IF(VLOOKUP($D$2,'Reading Report Logic'!$A$2:$B$8,2,FALSE)=1, YES_Reading_FLA[Reading Level June of Previous School Year],INDIRECT("YES_Reading_FLA[Instructional Reading Level - Per "&amp;(VLOOKUP($D$2,'Reading Report Logic'!$A$2:$B$8,2,FALSE)-1)&amp;"]"))),FALSE)="", "", VLOOKUP($A488,YES_Reading_FLA[],COLUMN(IF(VLOOKUP($D$2,'Reading Report Logic'!$A$2:$B$8,2,FALSE)=1, YES_Reading_FLA[Reading Level June of Previous School Year],INDIRECT("YES_Reading_FLA[Instructional Reading Level - Per "&amp;(VLOOKUP($D$2,'Reading Report Logic'!$A$2:$B$8,2,FALSE)-1)&amp;"]"))), FALSE))),""))),"")</f>
        <v/>
      </c>
      <c r="D488" s="204" t="str" cm="1">
        <f t="array" aca="1" ref="D488" ca="1">IFERROR(
IF($J$2="ELA",
IF(VLOOKUP($A488, YES_Reading_ELA[], COLUMN(INDIRECT("YES_Reading_ELA[Instructional Reading Level - Per "&amp;VLOOKUP($D$2, 'Reading Report Logic'!$A$2:$B$8, 2, FALSE)&amp;"]")), FALSE)="", "",
VLOOKUP($A488,YES_Reading_ELA[], COLUMN(INDIRECT("YES_Reading_ELA[Instructional Reading Level - Per "&amp;VLOOKUP($D$2,'Reading Report Logic'!$A$2:$B$8,2,FALSE)&amp;"]")), FALSE)),
IF($J$2="FLA",
IF(VLOOKUP($A488, YES_Reading_FLA[], COLUMN(INDIRECT("YES_Reading_FLA[Instructional Reading Level - Per "&amp;VLOOKUP($D$2,'Reading Report Logic'!$A$2:$B$8,2,FALSE)&amp;"]")),FALSE)="","",
VLOOKUP($A488,YES_Reading_FLA[],COLUMN(INDIRECT("YES_Reading_FLA[Instructional Reading Level - Per "&amp;VLOOKUP($D$2,'Reading Report Logic'!$A$2:$B$8,2,FALSE)&amp;"]")),FALSE)),
IF($J$2="Combined",
IFERROR(
IF(VLOOKUP($A488, YES_Reading_ELA[], COLUMN(INDIRECT("YES_Reading_ELA[Instructional Reading Level - Per "&amp;VLOOKUP($D$2, 'Reading Report Logic'!$A$2:$B$8,2,FALSE)&amp;"]")), FALSE)="", "",
VLOOKUP($A488,YES_Reading_ELA[],COLUMN(INDIRECT("YES_Reading_ELA[Instructional Reading Level - Per "&amp;VLOOKUP($D$2,'Reading Report Logic'!$A$2:$B$8,2,FALSE)&amp;"]")),FALSE)),
IF(VLOOKUP($A488, YES_Reading_FLA[], COLUMN(INDIRECT("YES_Reading_FLA[Instructional Reading Level - Per "&amp;VLOOKUP($D$2, 'Reading Report Logic'!$A$2:$B$8, 2, FALSE)&amp;"]")),FALSE)="", "", VLOOKUP($A488,YES_Reading_FLA[],COLUMN(INDIRECT("YES_Reading_FLA[Instructional Reading Level - Per "&amp;VLOOKUP($D$2, 'Reading Report Logic'!$A$2:$B$8, 2, FALSE)&amp;"]")),FALSE))),""))),"")</f>
        <v/>
      </c>
      <c r="E488" s="205" t="str" cm="1">
        <f t="array" aca="1" ref="E488" ca="1">IFERROR(
IF($J$2="ELA",
IF(VLOOKUP($A488, YES_Reading_ELA[], COLUMN(INDIRECT("YES_Reading_ELA[Min Expectation - Per "&amp;VLOOKUP($D$2, 'Reading Report Logic'!$A$2:$B$8, 2, FALSE)&amp;"]")), FALSE)="", "",
VLOOKUP($A488,YES_Reading_ELA[], COLUMN(INDIRECT("YES_Reading_ELA[Min Expectation - Per "&amp;VLOOKUP($D$2,'Reading Report Logic'!$A$2:$B$8,2,FALSE)&amp;"]")), FALSE)),
IF($J$2="FLA",
IF(VLOOKUP($A488, YES_Reading_FLA[], COLUMN(INDIRECT("YES_Reading_FLA[Min Expectation - Per "&amp;VLOOKUP($D$2,'Reading Report Logic'!$A$2:$B$8,2,FALSE)&amp;"]")),FALSE)="","",
VLOOKUP($A488,YES_Reading_FLA[],COLUMN(INDIRECT("YES_Reading_FLA[Min Expectation - Per "&amp;VLOOKUP($D$2,'Reading Report Logic'!$A$2:$B$8,2,FALSE)&amp;"]")),FALSE)),
IF($J$2="Combined",
IFERROR(
IF(VLOOKUP($A488, YES_Reading_ELA[], COLUMN(INDIRECT("YES_Reading_ELA[Min Expectation - Per "&amp;VLOOKUP($D$2, 'Reading Report Logic'!$A$2:$B$8,2,FALSE)&amp;"]")), FALSE)="", "",
VLOOKUP($A488,YES_Reading_ELA[],COLUMN(INDIRECT("YES_Reading_ELA[Min Expectation - Per "&amp;VLOOKUP($D$2,'Reading Report Logic'!$A$2:$B$8,2,FALSE)&amp;"]")),FALSE)),
IF(VLOOKUP($A488, YES_Reading_FLA[], COLUMN(INDIRECT("YES_Reading_FLA[Min Expectation - Per "&amp;VLOOKUP($D$2, 'Reading Report Logic'!$A$2:$B$8, 2, FALSE)&amp;"]")),FALSE)="", "", VLOOKUP($A488,YES_Reading_FLA[],COLUMN(INDIRECT("YES_Reading_FLA[Min Expectation - Per "&amp;VLOOKUP($D$2, 'Reading Report Logic'!$A$2:$B$8, 2, FALSE)&amp;"]")),FALSE))),""))),"")</f>
        <v/>
      </c>
      <c r="F488" s="205" t="str" cm="1">
        <f t="array" aca="1" ref="F488" ca="1">IFERROR(
IF($J$2="ELA",
IF(VLOOKUP($A488, YES_Reading_ELA[], COLUMN(INDIRECT("YES_Reading_ELA[Max Expectation - Per "&amp;VLOOKUP($D$2, 'Reading Report Logic'!$A$2:$B$8, 2, FALSE)&amp;"]")), FALSE)="", "",
VLOOKUP($A488,YES_Reading_ELA[], COLUMN(INDIRECT("YES_Reading_ELA[Max Expectation - Per "&amp;VLOOKUP($D$2,'Reading Report Logic'!$A$2:$B$8,2,FALSE)&amp;"]")), FALSE)),
IF($J$2="FLA",
IF(VLOOKUP($A488, YES_Reading_FLA[], COLUMN(INDIRECT("YES_Reading_FLA[Max Expectation - Per "&amp;VLOOKUP($D$2,'Reading Report Logic'!$A$2:$B$8,2,FALSE)&amp;"]")),FALSE)="","",
VLOOKUP($A488,YES_Reading_FLA[],COLUMN(INDIRECT("YES_Reading_FLA[Max Expectation - Per "&amp;VLOOKUP($D$2,'Reading Report Logic'!$A$2:$B$8,2,FALSE)&amp;"]")),FALSE)),
IF($J$2="Combined",
IFERROR(
IF(VLOOKUP($A488, YES_Reading_ELA[], COLUMN(INDIRECT("YES_Reading_ELA[Max Expectation - Per "&amp;VLOOKUP($D$2, 'Reading Report Logic'!$A$2:$B$8,2,FALSE)&amp;"]")), FALSE)="", "",
VLOOKUP($A488,YES_Reading_ELA[],COLUMN(INDIRECT("YES_Reading_ELA[Max Expectation - Per "&amp;VLOOKUP($D$2,'Reading Report Logic'!$A$2:$B$8,2,FALSE)&amp;"]")),FALSE)),
IF(VLOOKUP($A488, YES_Reading_FLA[], COLUMN(INDIRECT("YES_Reading_FLA[Max Expectation - Per "&amp;VLOOKUP($D$2, 'Reading Report Logic'!$A$2:$B$8, 2, FALSE)&amp;"]")),FALSE)="", "", VLOOKUP($A488,YES_Reading_FLA[],COLUMN(INDIRECT("YES_Reading_FLA[Max Expectation - Per "&amp;VLOOKUP($D$2, 'Reading Report Logic'!$A$2:$B$8, 2, FALSE)&amp;"]")),FALSE))),""))),"")</f>
        <v/>
      </c>
      <c r="G488" s="205" t="str" cm="1">
        <f t="array" aca="1" ref="G488" ca="1">IFERROR(
IF($J$2="ELA",
IF(VLOOKUP($A488, YES_Reading_ELA[], COLUMN(INDIRECT("YES_Reading_ELA[Difference - Per "&amp;VLOOKUP($D$2, 'Reading Report Logic'!$A$2:$B$8, 2, FALSE)&amp;"]")), FALSE)="", "",
VLOOKUP($A488,YES_Reading_ELA[], COLUMN(INDIRECT("YES_Reading_ELA[Difference - Per "&amp;VLOOKUP($D$2,'Reading Report Logic'!$A$2:$B$8,2,FALSE)&amp;"]")), FALSE)),
IF($J$2="FLA",
IF(VLOOKUP($A488, YES_Reading_FLA[], COLUMN(INDIRECT("YES_Reading_FLA[Difference - Per "&amp;VLOOKUP($D$2,'Reading Report Logic'!$A$2:$B$8,2,FALSE)&amp;"]")),FALSE)="","",
VLOOKUP($A488,YES_Reading_FLA[],COLUMN(INDIRECT("YES_Reading_FLA[Difference - Per "&amp;VLOOKUP($D$2,'Reading Report Logic'!$A$2:$B$8,2,FALSE)&amp;"]")),FALSE)),
IF($J$2="Combined",
IFERROR(
IF(VLOOKUP($A488, YES_Reading_ELA[], COLUMN(INDIRECT("YES_Reading_ELA[Difference - Per "&amp;VLOOKUP($D$2, 'Reading Report Logic'!$A$2:$B$8,2,FALSE)&amp;"]")), FALSE)="", "",
VLOOKUP($A488,YES_Reading_ELA[],COLUMN(INDIRECT("YES_Reading_ELA[Difference - Per "&amp;VLOOKUP($D$2,'Reading Report Logic'!$A$2:$B$8,2,FALSE)&amp;"]")),FALSE)),
IF(VLOOKUP($A488, YES_Reading_FLA[], COLUMN(INDIRECT("YES_Reading_FLA[Difference - Per "&amp;VLOOKUP($D$2, 'Reading Report Logic'!$A$2:$B$8, 2, FALSE)&amp;"]")),FALSE)="", "", VLOOKUP($A488,YES_Reading_FLA[],COLUMN(INDIRECT("YES_Reading_FLA[Difference - Per "&amp;VLOOKUP($D$2, 'Reading Report Logic'!$A$2:$B$8, 2, FALSE)&amp;"]")),FALSE))),""))),"")</f>
        <v/>
      </c>
      <c r="H488" s="206" t="str">
        <f ca="1">IFERROR(VLOOKUP('Teacher Reading Pull Sheets'!$D488,_xlfn.VSTACK('ELA Reading Logic'!$A$22:$B$48,'FLA Reading Logic'!$A$22:$B$53),2,FALSE)-VLOOKUP('Teacher Reading Pull Sheets'!$C488,_xlfn.VSTACK('ELA Reading Logic'!$A$22:$B$48,'FLA Reading Logic'!$A$22:$B$53),2,FALSE),"")</f>
        <v/>
      </c>
      <c r="I488" s="212"/>
      <c r="J488" s="206"/>
      <c r="K488" s="197" t="str" cm="1">
        <f t="array" ref="K488">IFERROR(
IF($J$2="ELA",
IF(VLOOKUP($A488, YES_Reading_ELA[], COLUMN(YES_Reading_ELA[Self-Identified as African Descent]), FALSE)="", "",
VLOOKUP($A488,YES_Reading_ELA[], COLUMN(YES_Reading_ELA[Self-Identified as African Descent]), FALSE)),
IF($J$2="FLA",
IF(VLOOKUP($A488, YES_Reading_FLA[], COLUMN(YES_Reading_FLA[Self-Identified as African Descent]),FALSE)="","",
VLOOKUP($A488,YES_Reading_FLA[],COLUMN(YES_Reading_FLA[Self-Identified as African Descent]),FALSE)),
IF($J$2="Combined",
IFERROR(
IF(VLOOKUP($A488, YES_Reading_ELA[], COLUMN(YES_Reading_ELA[Self-Identified as African Descent]), FALSE)="", "",
VLOOKUP($A488,YES_Reading_ELA[],COLUMN(YES_Reading_ELA[Self-Identified as African Descent]),FALSE)),
IF(VLOOKUP($A488, YES_Reading_FLA[], COLUMN(YES_Reading_FLA[Self-Identified as African Descent]),FALSE)="", "", VLOOKUP($A488,YES_Reading_FLA[],COLUMN(YES_Reading_FLA[Self-Identified as African Descent]),FALSE))),""))),"")</f>
        <v/>
      </c>
      <c r="L488" s="73" t="str" cm="1">
        <f t="array" ref="L488">IFERROR(
IF($J$2="ELA",
IF(VLOOKUP($A488, YES_Reading_ELA[], COLUMN(YES_Reading_ELA[Self-Identified as Indigenous]), FALSE)="", "",
VLOOKUP($A488,YES_Reading_ELA[], COLUMN(YES_Reading_ELA[Self-Identified as Indigenous]), FALSE)),
IF($J$2="FLA",
IF(VLOOKUP($A488, YES_Reading_FLA[], COLUMN(YES_Reading_FLA[Self-Identified as Indigenous]),FALSE)="","",
VLOOKUP($A488,YES_Reading_FLA[],COLUMN(YES_Reading_FLA[Self-Identified as Indigenous]),FALSE)),
IF($J$2="Combined",
IFERROR(
IF(VLOOKUP($A488, YES_Reading_ELA[], COLUMN(YES_Reading_ELA[Self-Identified as Indigenous]), FALSE)="", "",
VLOOKUP($A488,YES_Reading_ELA[],COLUMN(YES_Reading_ELA[Self-Identified as Indigenous]),FALSE)),
IF(VLOOKUP($A488, YES_Reading_FLA[], COLUMN(YES_Reading_FLA[Self-Identified as Indigenous]),FALSE)="", "", VLOOKUP($A488,YES_Reading_FLA[],COLUMN(YES_Reading_FLA[Self-Identified as Indigenous]),FALSE))),""))),"")</f>
        <v/>
      </c>
    </row>
    <row r="489" spans="1:12" ht="19.5" customHeight="1" x14ac:dyDescent="0.25">
      <c r="A489" s="217"/>
      <c r="B489" s="220" t="str">
        <f>IFERROR(VLOOKUP(A489,_xlfn.VSTACK(YES_Reading_ELA[],YES_Reading_FLA[]),2,FALSE),"")</f>
        <v/>
      </c>
      <c r="C489" s="203" t="str" cm="1">
        <f t="array" aca="1" ref="C489" ca="1">IFERROR(
IF($J$2="ELA",
IF(VLOOKUP($A489, YES_Reading_ELA[], COLUMN(IF(VLOOKUP($D$2, 'Reading Report Logic'!$A$2:$B$8, 2, FALSE)=1, YES_Reading_ELA[Reading Level June of Previous School Year], INDIRECT("YES_Reading_ELA[Instructional Reading Level - Per "&amp;(VLOOKUP($D$2,'Reading Report Logic'!$A$2:$B$8,2,FALSE)-1)&amp;"]"))), FALSE)="", "",
VLOOKUP($A489,YES_Reading_ELA[], COLUMN(IF(VLOOKUP($D$2,'Reading Report Logic'!$A$2:$B$8,2,FALSE)=1, YES_Reading_ELA[Reading Level June of Previous School Year],INDIRECT("YES_Reading_ELA[Instructional Reading Level - Per "&amp;(VLOOKUP($D$2,'Reading Report Logic'!$A$2:$B$8,2,FALSE)-1)&amp;"]"))), FALSE)),
IF($J$2="FLA",
IF(VLOOKUP($A489, YES_Reading_FLA[], COLUMN(IF(VLOOKUP($D$2,'Reading Report Logic'!$A$2:$B$8,2,FALSE)=1, YES_Reading_FLA[Reading Level June of Previous School Year],INDIRECT("YES_Reading_FLA[Instructional Reading Level - Per "&amp;(VLOOKUP($D$2,'Reading Report Logic'!$A$2:$B$8,2,FALSE)-1)&amp;"]"))),FALSE)="","",
VLOOKUP($A489,YES_Reading_FLA[], COLUMN(IF(VLOOKUP($D$2,'Reading Report Logic'!$A$2:$B$8,2,FALSE)=1, YES_Reading_FLA[Reading Level June of Previous School Year],INDIRECT("YES_Reading_FLA[Instructional Reading Level - Per "&amp;(VLOOKUP($D$2,'Reading Report Logic'!$A$2:$B$8,2,FALSE)-1)&amp;"]"))),FALSE)),
IF($J$2="Combined",
IFERROR(
IF(VLOOKUP($A489, YES_Reading_ELA[], COLUMN(IF(VLOOKUP($D$2,'Reading Report Logic'!$A$2:$B$8,2,FALSE)=1, YES_Reading_ELA[Reading Level June of Previous School Year],INDIRECT("YES_Reading_ELA[Instructional Reading Level - Per "&amp;(VLOOKUP($D$2,'Reading Report Logic'!$A$2:$B$8,2,FALSE)-1)&amp;"]"))), FALSE)="", "",
VLOOKUP($A489,YES_Reading_ELA[],COLUMN(IF(VLOOKUP($D$2,'Reading Report Logic'!$A$2:$B$8,2,FALSE)=1, YES_Reading_ELA[Reading Level June of Previous School Year],INDIRECT("YES_Reading_ELA[Instructional Reading Level - Per "&amp;(VLOOKUP($D$2,'Reading Report Logic'!$A$2:$B$8,2,FALSE)-1)&amp;"]"))),FALSE)),
IF(VLOOKUP($A489, YES_Reading_FLA[], COLUMN(IF(VLOOKUP($D$2,'Reading Report Logic'!$A$2:$B$8,2,FALSE)=1, YES_Reading_FLA[Reading Level June of Previous School Year],INDIRECT("YES_Reading_FLA[Instructional Reading Level - Per "&amp;(VLOOKUP($D$2,'Reading Report Logic'!$A$2:$B$8,2,FALSE)-1)&amp;"]"))),FALSE)="", "", VLOOKUP($A489,YES_Reading_FLA[],COLUMN(IF(VLOOKUP($D$2,'Reading Report Logic'!$A$2:$B$8,2,FALSE)=1, YES_Reading_FLA[Reading Level June of Previous School Year],INDIRECT("YES_Reading_FLA[Instructional Reading Level - Per "&amp;(VLOOKUP($D$2,'Reading Report Logic'!$A$2:$B$8,2,FALSE)-1)&amp;"]"))), FALSE))),""))),"")</f>
        <v/>
      </c>
      <c r="D489" s="204" t="str" cm="1">
        <f t="array" aca="1" ref="D489" ca="1">IFERROR(
IF($J$2="ELA",
IF(VLOOKUP($A489, YES_Reading_ELA[], COLUMN(INDIRECT("YES_Reading_ELA[Instructional Reading Level - Per "&amp;VLOOKUP($D$2, 'Reading Report Logic'!$A$2:$B$8, 2, FALSE)&amp;"]")), FALSE)="", "",
VLOOKUP($A489,YES_Reading_ELA[], COLUMN(INDIRECT("YES_Reading_ELA[Instructional Reading Level - Per "&amp;VLOOKUP($D$2,'Reading Report Logic'!$A$2:$B$8,2,FALSE)&amp;"]")), FALSE)),
IF($J$2="FLA",
IF(VLOOKUP($A489, YES_Reading_FLA[], COLUMN(INDIRECT("YES_Reading_FLA[Instructional Reading Level - Per "&amp;VLOOKUP($D$2,'Reading Report Logic'!$A$2:$B$8,2,FALSE)&amp;"]")),FALSE)="","",
VLOOKUP($A489,YES_Reading_FLA[],COLUMN(INDIRECT("YES_Reading_FLA[Instructional Reading Level - Per "&amp;VLOOKUP($D$2,'Reading Report Logic'!$A$2:$B$8,2,FALSE)&amp;"]")),FALSE)),
IF($J$2="Combined",
IFERROR(
IF(VLOOKUP($A489, YES_Reading_ELA[], COLUMN(INDIRECT("YES_Reading_ELA[Instructional Reading Level - Per "&amp;VLOOKUP($D$2, 'Reading Report Logic'!$A$2:$B$8,2,FALSE)&amp;"]")), FALSE)="", "",
VLOOKUP($A489,YES_Reading_ELA[],COLUMN(INDIRECT("YES_Reading_ELA[Instructional Reading Level - Per "&amp;VLOOKUP($D$2,'Reading Report Logic'!$A$2:$B$8,2,FALSE)&amp;"]")),FALSE)),
IF(VLOOKUP($A489, YES_Reading_FLA[], COLUMN(INDIRECT("YES_Reading_FLA[Instructional Reading Level - Per "&amp;VLOOKUP($D$2, 'Reading Report Logic'!$A$2:$B$8, 2, FALSE)&amp;"]")),FALSE)="", "", VLOOKUP($A489,YES_Reading_FLA[],COLUMN(INDIRECT("YES_Reading_FLA[Instructional Reading Level - Per "&amp;VLOOKUP($D$2, 'Reading Report Logic'!$A$2:$B$8, 2, FALSE)&amp;"]")),FALSE))),""))),"")</f>
        <v/>
      </c>
      <c r="E489" s="205" t="str" cm="1">
        <f t="array" aca="1" ref="E489" ca="1">IFERROR(
IF($J$2="ELA",
IF(VLOOKUP($A489, YES_Reading_ELA[], COLUMN(INDIRECT("YES_Reading_ELA[Min Expectation - Per "&amp;VLOOKUP($D$2, 'Reading Report Logic'!$A$2:$B$8, 2, FALSE)&amp;"]")), FALSE)="", "",
VLOOKUP($A489,YES_Reading_ELA[], COLUMN(INDIRECT("YES_Reading_ELA[Min Expectation - Per "&amp;VLOOKUP($D$2,'Reading Report Logic'!$A$2:$B$8,2,FALSE)&amp;"]")), FALSE)),
IF($J$2="FLA",
IF(VLOOKUP($A489, YES_Reading_FLA[], COLUMN(INDIRECT("YES_Reading_FLA[Min Expectation - Per "&amp;VLOOKUP($D$2,'Reading Report Logic'!$A$2:$B$8,2,FALSE)&amp;"]")),FALSE)="","",
VLOOKUP($A489,YES_Reading_FLA[],COLUMN(INDIRECT("YES_Reading_FLA[Min Expectation - Per "&amp;VLOOKUP($D$2,'Reading Report Logic'!$A$2:$B$8,2,FALSE)&amp;"]")),FALSE)),
IF($J$2="Combined",
IFERROR(
IF(VLOOKUP($A489, YES_Reading_ELA[], COLUMN(INDIRECT("YES_Reading_ELA[Min Expectation - Per "&amp;VLOOKUP($D$2, 'Reading Report Logic'!$A$2:$B$8,2,FALSE)&amp;"]")), FALSE)="", "",
VLOOKUP($A489,YES_Reading_ELA[],COLUMN(INDIRECT("YES_Reading_ELA[Min Expectation - Per "&amp;VLOOKUP($D$2,'Reading Report Logic'!$A$2:$B$8,2,FALSE)&amp;"]")),FALSE)),
IF(VLOOKUP($A489, YES_Reading_FLA[], COLUMN(INDIRECT("YES_Reading_FLA[Min Expectation - Per "&amp;VLOOKUP($D$2, 'Reading Report Logic'!$A$2:$B$8, 2, FALSE)&amp;"]")),FALSE)="", "", VLOOKUP($A489,YES_Reading_FLA[],COLUMN(INDIRECT("YES_Reading_FLA[Min Expectation - Per "&amp;VLOOKUP($D$2, 'Reading Report Logic'!$A$2:$B$8, 2, FALSE)&amp;"]")),FALSE))),""))),"")</f>
        <v/>
      </c>
      <c r="F489" s="205" t="str" cm="1">
        <f t="array" aca="1" ref="F489" ca="1">IFERROR(
IF($J$2="ELA",
IF(VLOOKUP($A489, YES_Reading_ELA[], COLUMN(INDIRECT("YES_Reading_ELA[Max Expectation - Per "&amp;VLOOKUP($D$2, 'Reading Report Logic'!$A$2:$B$8, 2, FALSE)&amp;"]")), FALSE)="", "",
VLOOKUP($A489,YES_Reading_ELA[], COLUMN(INDIRECT("YES_Reading_ELA[Max Expectation - Per "&amp;VLOOKUP($D$2,'Reading Report Logic'!$A$2:$B$8,2,FALSE)&amp;"]")), FALSE)),
IF($J$2="FLA",
IF(VLOOKUP($A489, YES_Reading_FLA[], COLUMN(INDIRECT("YES_Reading_FLA[Max Expectation - Per "&amp;VLOOKUP($D$2,'Reading Report Logic'!$A$2:$B$8,2,FALSE)&amp;"]")),FALSE)="","",
VLOOKUP($A489,YES_Reading_FLA[],COLUMN(INDIRECT("YES_Reading_FLA[Max Expectation - Per "&amp;VLOOKUP($D$2,'Reading Report Logic'!$A$2:$B$8,2,FALSE)&amp;"]")),FALSE)),
IF($J$2="Combined",
IFERROR(
IF(VLOOKUP($A489, YES_Reading_ELA[], COLUMN(INDIRECT("YES_Reading_ELA[Max Expectation - Per "&amp;VLOOKUP($D$2, 'Reading Report Logic'!$A$2:$B$8,2,FALSE)&amp;"]")), FALSE)="", "",
VLOOKUP($A489,YES_Reading_ELA[],COLUMN(INDIRECT("YES_Reading_ELA[Max Expectation - Per "&amp;VLOOKUP($D$2,'Reading Report Logic'!$A$2:$B$8,2,FALSE)&amp;"]")),FALSE)),
IF(VLOOKUP($A489, YES_Reading_FLA[], COLUMN(INDIRECT("YES_Reading_FLA[Max Expectation - Per "&amp;VLOOKUP($D$2, 'Reading Report Logic'!$A$2:$B$8, 2, FALSE)&amp;"]")),FALSE)="", "", VLOOKUP($A489,YES_Reading_FLA[],COLUMN(INDIRECT("YES_Reading_FLA[Max Expectation - Per "&amp;VLOOKUP($D$2, 'Reading Report Logic'!$A$2:$B$8, 2, FALSE)&amp;"]")),FALSE))),""))),"")</f>
        <v/>
      </c>
      <c r="G489" s="205" t="str" cm="1">
        <f t="array" aca="1" ref="G489" ca="1">IFERROR(
IF($J$2="ELA",
IF(VLOOKUP($A489, YES_Reading_ELA[], COLUMN(INDIRECT("YES_Reading_ELA[Difference - Per "&amp;VLOOKUP($D$2, 'Reading Report Logic'!$A$2:$B$8, 2, FALSE)&amp;"]")), FALSE)="", "",
VLOOKUP($A489,YES_Reading_ELA[], COLUMN(INDIRECT("YES_Reading_ELA[Difference - Per "&amp;VLOOKUP($D$2,'Reading Report Logic'!$A$2:$B$8,2,FALSE)&amp;"]")), FALSE)),
IF($J$2="FLA",
IF(VLOOKUP($A489, YES_Reading_FLA[], COLUMN(INDIRECT("YES_Reading_FLA[Difference - Per "&amp;VLOOKUP($D$2,'Reading Report Logic'!$A$2:$B$8,2,FALSE)&amp;"]")),FALSE)="","",
VLOOKUP($A489,YES_Reading_FLA[],COLUMN(INDIRECT("YES_Reading_FLA[Difference - Per "&amp;VLOOKUP($D$2,'Reading Report Logic'!$A$2:$B$8,2,FALSE)&amp;"]")),FALSE)),
IF($J$2="Combined",
IFERROR(
IF(VLOOKUP($A489, YES_Reading_ELA[], COLUMN(INDIRECT("YES_Reading_ELA[Difference - Per "&amp;VLOOKUP($D$2, 'Reading Report Logic'!$A$2:$B$8,2,FALSE)&amp;"]")), FALSE)="", "",
VLOOKUP($A489,YES_Reading_ELA[],COLUMN(INDIRECT("YES_Reading_ELA[Difference - Per "&amp;VLOOKUP($D$2,'Reading Report Logic'!$A$2:$B$8,2,FALSE)&amp;"]")),FALSE)),
IF(VLOOKUP($A489, YES_Reading_FLA[], COLUMN(INDIRECT("YES_Reading_FLA[Difference - Per "&amp;VLOOKUP($D$2, 'Reading Report Logic'!$A$2:$B$8, 2, FALSE)&amp;"]")),FALSE)="", "", VLOOKUP($A489,YES_Reading_FLA[],COLUMN(INDIRECT("YES_Reading_FLA[Difference - Per "&amp;VLOOKUP($D$2, 'Reading Report Logic'!$A$2:$B$8, 2, FALSE)&amp;"]")),FALSE))),""))),"")</f>
        <v/>
      </c>
      <c r="H489" s="206" t="str">
        <f ca="1">IFERROR(VLOOKUP('Teacher Reading Pull Sheets'!$D489,_xlfn.VSTACK('ELA Reading Logic'!$A$22:$B$48,'FLA Reading Logic'!$A$22:$B$53),2,FALSE)-VLOOKUP('Teacher Reading Pull Sheets'!$C489,_xlfn.VSTACK('ELA Reading Logic'!$A$22:$B$48,'FLA Reading Logic'!$A$22:$B$53),2,FALSE),"")</f>
        <v/>
      </c>
      <c r="I489" s="212"/>
      <c r="J489" s="206"/>
      <c r="K489" s="197" t="str" cm="1">
        <f t="array" ref="K489">IFERROR(
IF($J$2="ELA",
IF(VLOOKUP($A489, YES_Reading_ELA[], COLUMN(YES_Reading_ELA[Self-Identified as African Descent]), FALSE)="", "",
VLOOKUP($A489,YES_Reading_ELA[], COLUMN(YES_Reading_ELA[Self-Identified as African Descent]), FALSE)),
IF($J$2="FLA",
IF(VLOOKUP($A489, YES_Reading_FLA[], COLUMN(YES_Reading_FLA[Self-Identified as African Descent]),FALSE)="","",
VLOOKUP($A489,YES_Reading_FLA[],COLUMN(YES_Reading_FLA[Self-Identified as African Descent]),FALSE)),
IF($J$2="Combined",
IFERROR(
IF(VLOOKUP($A489, YES_Reading_ELA[], COLUMN(YES_Reading_ELA[Self-Identified as African Descent]), FALSE)="", "",
VLOOKUP($A489,YES_Reading_ELA[],COLUMN(YES_Reading_ELA[Self-Identified as African Descent]),FALSE)),
IF(VLOOKUP($A489, YES_Reading_FLA[], COLUMN(YES_Reading_FLA[Self-Identified as African Descent]),FALSE)="", "", VLOOKUP($A489,YES_Reading_FLA[],COLUMN(YES_Reading_FLA[Self-Identified as African Descent]),FALSE))),""))),"")</f>
        <v/>
      </c>
      <c r="L489" s="73" t="str" cm="1">
        <f t="array" ref="L489">IFERROR(
IF($J$2="ELA",
IF(VLOOKUP($A489, YES_Reading_ELA[], COLUMN(YES_Reading_ELA[Self-Identified as Indigenous]), FALSE)="", "",
VLOOKUP($A489,YES_Reading_ELA[], COLUMN(YES_Reading_ELA[Self-Identified as Indigenous]), FALSE)),
IF($J$2="FLA",
IF(VLOOKUP($A489, YES_Reading_FLA[], COLUMN(YES_Reading_FLA[Self-Identified as Indigenous]),FALSE)="","",
VLOOKUP($A489,YES_Reading_FLA[],COLUMN(YES_Reading_FLA[Self-Identified as Indigenous]),FALSE)),
IF($J$2="Combined",
IFERROR(
IF(VLOOKUP($A489, YES_Reading_ELA[], COLUMN(YES_Reading_ELA[Self-Identified as Indigenous]), FALSE)="", "",
VLOOKUP($A489,YES_Reading_ELA[],COLUMN(YES_Reading_ELA[Self-Identified as Indigenous]),FALSE)),
IF(VLOOKUP($A489, YES_Reading_FLA[], COLUMN(YES_Reading_FLA[Self-Identified as Indigenous]),FALSE)="", "", VLOOKUP($A489,YES_Reading_FLA[],COLUMN(YES_Reading_FLA[Self-Identified as Indigenous]),FALSE))),""))),"")</f>
        <v/>
      </c>
    </row>
    <row r="490" spans="1:12" ht="19.5" customHeight="1" x14ac:dyDescent="0.25">
      <c r="A490" s="217"/>
      <c r="B490" s="220" t="str">
        <f>IFERROR(VLOOKUP(A490,_xlfn.VSTACK(YES_Reading_ELA[],YES_Reading_FLA[]),2,FALSE),"")</f>
        <v/>
      </c>
      <c r="C490" s="203" t="str" cm="1">
        <f t="array" aca="1" ref="C490" ca="1">IFERROR(
IF($J$2="ELA",
IF(VLOOKUP($A490, YES_Reading_ELA[], COLUMN(IF(VLOOKUP($D$2, 'Reading Report Logic'!$A$2:$B$8, 2, FALSE)=1, YES_Reading_ELA[Reading Level June of Previous School Year], INDIRECT("YES_Reading_ELA[Instructional Reading Level - Per "&amp;(VLOOKUP($D$2,'Reading Report Logic'!$A$2:$B$8,2,FALSE)-1)&amp;"]"))), FALSE)="", "",
VLOOKUP($A490,YES_Reading_ELA[], COLUMN(IF(VLOOKUP($D$2,'Reading Report Logic'!$A$2:$B$8,2,FALSE)=1, YES_Reading_ELA[Reading Level June of Previous School Year],INDIRECT("YES_Reading_ELA[Instructional Reading Level - Per "&amp;(VLOOKUP($D$2,'Reading Report Logic'!$A$2:$B$8,2,FALSE)-1)&amp;"]"))), FALSE)),
IF($J$2="FLA",
IF(VLOOKUP($A490, YES_Reading_FLA[], COLUMN(IF(VLOOKUP($D$2,'Reading Report Logic'!$A$2:$B$8,2,FALSE)=1, YES_Reading_FLA[Reading Level June of Previous School Year],INDIRECT("YES_Reading_FLA[Instructional Reading Level - Per "&amp;(VLOOKUP($D$2,'Reading Report Logic'!$A$2:$B$8,2,FALSE)-1)&amp;"]"))),FALSE)="","",
VLOOKUP($A490,YES_Reading_FLA[], COLUMN(IF(VLOOKUP($D$2,'Reading Report Logic'!$A$2:$B$8,2,FALSE)=1, YES_Reading_FLA[Reading Level June of Previous School Year],INDIRECT("YES_Reading_FLA[Instructional Reading Level - Per "&amp;(VLOOKUP($D$2,'Reading Report Logic'!$A$2:$B$8,2,FALSE)-1)&amp;"]"))),FALSE)),
IF($J$2="Combined",
IFERROR(
IF(VLOOKUP($A490, YES_Reading_ELA[], COLUMN(IF(VLOOKUP($D$2,'Reading Report Logic'!$A$2:$B$8,2,FALSE)=1, YES_Reading_ELA[Reading Level June of Previous School Year],INDIRECT("YES_Reading_ELA[Instructional Reading Level - Per "&amp;(VLOOKUP($D$2,'Reading Report Logic'!$A$2:$B$8,2,FALSE)-1)&amp;"]"))), FALSE)="", "",
VLOOKUP($A490,YES_Reading_ELA[],COLUMN(IF(VLOOKUP($D$2,'Reading Report Logic'!$A$2:$B$8,2,FALSE)=1, YES_Reading_ELA[Reading Level June of Previous School Year],INDIRECT("YES_Reading_ELA[Instructional Reading Level - Per "&amp;(VLOOKUP($D$2,'Reading Report Logic'!$A$2:$B$8,2,FALSE)-1)&amp;"]"))),FALSE)),
IF(VLOOKUP($A490, YES_Reading_FLA[], COLUMN(IF(VLOOKUP($D$2,'Reading Report Logic'!$A$2:$B$8,2,FALSE)=1, YES_Reading_FLA[Reading Level June of Previous School Year],INDIRECT("YES_Reading_FLA[Instructional Reading Level - Per "&amp;(VLOOKUP($D$2,'Reading Report Logic'!$A$2:$B$8,2,FALSE)-1)&amp;"]"))),FALSE)="", "", VLOOKUP($A490,YES_Reading_FLA[],COLUMN(IF(VLOOKUP($D$2,'Reading Report Logic'!$A$2:$B$8,2,FALSE)=1, YES_Reading_FLA[Reading Level June of Previous School Year],INDIRECT("YES_Reading_FLA[Instructional Reading Level - Per "&amp;(VLOOKUP($D$2,'Reading Report Logic'!$A$2:$B$8,2,FALSE)-1)&amp;"]"))), FALSE))),""))),"")</f>
        <v/>
      </c>
      <c r="D490" s="204" t="str" cm="1">
        <f t="array" aca="1" ref="D490" ca="1">IFERROR(
IF($J$2="ELA",
IF(VLOOKUP($A490, YES_Reading_ELA[], COLUMN(INDIRECT("YES_Reading_ELA[Instructional Reading Level - Per "&amp;VLOOKUP($D$2, 'Reading Report Logic'!$A$2:$B$8, 2, FALSE)&amp;"]")), FALSE)="", "",
VLOOKUP($A490,YES_Reading_ELA[], COLUMN(INDIRECT("YES_Reading_ELA[Instructional Reading Level - Per "&amp;VLOOKUP($D$2,'Reading Report Logic'!$A$2:$B$8,2,FALSE)&amp;"]")), FALSE)),
IF($J$2="FLA",
IF(VLOOKUP($A490, YES_Reading_FLA[], COLUMN(INDIRECT("YES_Reading_FLA[Instructional Reading Level - Per "&amp;VLOOKUP($D$2,'Reading Report Logic'!$A$2:$B$8,2,FALSE)&amp;"]")),FALSE)="","",
VLOOKUP($A490,YES_Reading_FLA[],COLUMN(INDIRECT("YES_Reading_FLA[Instructional Reading Level - Per "&amp;VLOOKUP($D$2,'Reading Report Logic'!$A$2:$B$8,2,FALSE)&amp;"]")),FALSE)),
IF($J$2="Combined",
IFERROR(
IF(VLOOKUP($A490, YES_Reading_ELA[], COLUMN(INDIRECT("YES_Reading_ELA[Instructional Reading Level - Per "&amp;VLOOKUP($D$2, 'Reading Report Logic'!$A$2:$B$8,2,FALSE)&amp;"]")), FALSE)="", "",
VLOOKUP($A490,YES_Reading_ELA[],COLUMN(INDIRECT("YES_Reading_ELA[Instructional Reading Level - Per "&amp;VLOOKUP($D$2,'Reading Report Logic'!$A$2:$B$8,2,FALSE)&amp;"]")),FALSE)),
IF(VLOOKUP($A490, YES_Reading_FLA[], COLUMN(INDIRECT("YES_Reading_FLA[Instructional Reading Level - Per "&amp;VLOOKUP($D$2, 'Reading Report Logic'!$A$2:$B$8, 2, FALSE)&amp;"]")),FALSE)="", "", VLOOKUP($A490,YES_Reading_FLA[],COLUMN(INDIRECT("YES_Reading_FLA[Instructional Reading Level - Per "&amp;VLOOKUP($D$2, 'Reading Report Logic'!$A$2:$B$8, 2, FALSE)&amp;"]")),FALSE))),""))),"")</f>
        <v/>
      </c>
      <c r="E490" s="205" t="str" cm="1">
        <f t="array" aca="1" ref="E490" ca="1">IFERROR(
IF($J$2="ELA",
IF(VLOOKUP($A490, YES_Reading_ELA[], COLUMN(INDIRECT("YES_Reading_ELA[Min Expectation - Per "&amp;VLOOKUP($D$2, 'Reading Report Logic'!$A$2:$B$8, 2, FALSE)&amp;"]")), FALSE)="", "",
VLOOKUP($A490,YES_Reading_ELA[], COLUMN(INDIRECT("YES_Reading_ELA[Min Expectation - Per "&amp;VLOOKUP($D$2,'Reading Report Logic'!$A$2:$B$8,2,FALSE)&amp;"]")), FALSE)),
IF($J$2="FLA",
IF(VLOOKUP($A490, YES_Reading_FLA[], COLUMN(INDIRECT("YES_Reading_FLA[Min Expectation - Per "&amp;VLOOKUP($D$2,'Reading Report Logic'!$A$2:$B$8,2,FALSE)&amp;"]")),FALSE)="","",
VLOOKUP($A490,YES_Reading_FLA[],COLUMN(INDIRECT("YES_Reading_FLA[Min Expectation - Per "&amp;VLOOKUP($D$2,'Reading Report Logic'!$A$2:$B$8,2,FALSE)&amp;"]")),FALSE)),
IF($J$2="Combined",
IFERROR(
IF(VLOOKUP($A490, YES_Reading_ELA[], COLUMN(INDIRECT("YES_Reading_ELA[Min Expectation - Per "&amp;VLOOKUP($D$2, 'Reading Report Logic'!$A$2:$B$8,2,FALSE)&amp;"]")), FALSE)="", "",
VLOOKUP($A490,YES_Reading_ELA[],COLUMN(INDIRECT("YES_Reading_ELA[Min Expectation - Per "&amp;VLOOKUP($D$2,'Reading Report Logic'!$A$2:$B$8,2,FALSE)&amp;"]")),FALSE)),
IF(VLOOKUP($A490, YES_Reading_FLA[], COLUMN(INDIRECT("YES_Reading_FLA[Min Expectation - Per "&amp;VLOOKUP($D$2, 'Reading Report Logic'!$A$2:$B$8, 2, FALSE)&amp;"]")),FALSE)="", "", VLOOKUP($A490,YES_Reading_FLA[],COLUMN(INDIRECT("YES_Reading_FLA[Min Expectation - Per "&amp;VLOOKUP($D$2, 'Reading Report Logic'!$A$2:$B$8, 2, FALSE)&amp;"]")),FALSE))),""))),"")</f>
        <v/>
      </c>
      <c r="F490" s="205" t="str" cm="1">
        <f t="array" aca="1" ref="F490" ca="1">IFERROR(
IF($J$2="ELA",
IF(VLOOKUP($A490, YES_Reading_ELA[], COLUMN(INDIRECT("YES_Reading_ELA[Max Expectation - Per "&amp;VLOOKUP($D$2, 'Reading Report Logic'!$A$2:$B$8, 2, FALSE)&amp;"]")), FALSE)="", "",
VLOOKUP($A490,YES_Reading_ELA[], COLUMN(INDIRECT("YES_Reading_ELA[Max Expectation - Per "&amp;VLOOKUP($D$2,'Reading Report Logic'!$A$2:$B$8,2,FALSE)&amp;"]")), FALSE)),
IF($J$2="FLA",
IF(VLOOKUP($A490, YES_Reading_FLA[], COLUMN(INDIRECT("YES_Reading_FLA[Max Expectation - Per "&amp;VLOOKUP($D$2,'Reading Report Logic'!$A$2:$B$8,2,FALSE)&amp;"]")),FALSE)="","",
VLOOKUP($A490,YES_Reading_FLA[],COLUMN(INDIRECT("YES_Reading_FLA[Max Expectation - Per "&amp;VLOOKUP($D$2,'Reading Report Logic'!$A$2:$B$8,2,FALSE)&amp;"]")),FALSE)),
IF($J$2="Combined",
IFERROR(
IF(VLOOKUP($A490, YES_Reading_ELA[], COLUMN(INDIRECT("YES_Reading_ELA[Max Expectation - Per "&amp;VLOOKUP($D$2, 'Reading Report Logic'!$A$2:$B$8,2,FALSE)&amp;"]")), FALSE)="", "",
VLOOKUP($A490,YES_Reading_ELA[],COLUMN(INDIRECT("YES_Reading_ELA[Max Expectation - Per "&amp;VLOOKUP($D$2,'Reading Report Logic'!$A$2:$B$8,2,FALSE)&amp;"]")),FALSE)),
IF(VLOOKUP($A490, YES_Reading_FLA[], COLUMN(INDIRECT("YES_Reading_FLA[Max Expectation - Per "&amp;VLOOKUP($D$2, 'Reading Report Logic'!$A$2:$B$8, 2, FALSE)&amp;"]")),FALSE)="", "", VLOOKUP($A490,YES_Reading_FLA[],COLUMN(INDIRECT("YES_Reading_FLA[Max Expectation - Per "&amp;VLOOKUP($D$2, 'Reading Report Logic'!$A$2:$B$8, 2, FALSE)&amp;"]")),FALSE))),""))),"")</f>
        <v/>
      </c>
      <c r="G490" s="205" t="str" cm="1">
        <f t="array" aca="1" ref="G490" ca="1">IFERROR(
IF($J$2="ELA",
IF(VLOOKUP($A490, YES_Reading_ELA[], COLUMN(INDIRECT("YES_Reading_ELA[Difference - Per "&amp;VLOOKUP($D$2, 'Reading Report Logic'!$A$2:$B$8, 2, FALSE)&amp;"]")), FALSE)="", "",
VLOOKUP($A490,YES_Reading_ELA[], COLUMN(INDIRECT("YES_Reading_ELA[Difference - Per "&amp;VLOOKUP($D$2,'Reading Report Logic'!$A$2:$B$8,2,FALSE)&amp;"]")), FALSE)),
IF($J$2="FLA",
IF(VLOOKUP($A490, YES_Reading_FLA[], COLUMN(INDIRECT("YES_Reading_FLA[Difference - Per "&amp;VLOOKUP($D$2,'Reading Report Logic'!$A$2:$B$8,2,FALSE)&amp;"]")),FALSE)="","",
VLOOKUP($A490,YES_Reading_FLA[],COLUMN(INDIRECT("YES_Reading_FLA[Difference - Per "&amp;VLOOKUP($D$2,'Reading Report Logic'!$A$2:$B$8,2,FALSE)&amp;"]")),FALSE)),
IF($J$2="Combined",
IFERROR(
IF(VLOOKUP($A490, YES_Reading_ELA[], COLUMN(INDIRECT("YES_Reading_ELA[Difference - Per "&amp;VLOOKUP($D$2, 'Reading Report Logic'!$A$2:$B$8,2,FALSE)&amp;"]")), FALSE)="", "",
VLOOKUP($A490,YES_Reading_ELA[],COLUMN(INDIRECT("YES_Reading_ELA[Difference - Per "&amp;VLOOKUP($D$2,'Reading Report Logic'!$A$2:$B$8,2,FALSE)&amp;"]")),FALSE)),
IF(VLOOKUP($A490, YES_Reading_FLA[], COLUMN(INDIRECT("YES_Reading_FLA[Difference - Per "&amp;VLOOKUP($D$2, 'Reading Report Logic'!$A$2:$B$8, 2, FALSE)&amp;"]")),FALSE)="", "", VLOOKUP($A490,YES_Reading_FLA[],COLUMN(INDIRECT("YES_Reading_FLA[Difference - Per "&amp;VLOOKUP($D$2, 'Reading Report Logic'!$A$2:$B$8, 2, FALSE)&amp;"]")),FALSE))),""))),"")</f>
        <v/>
      </c>
      <c r="H490" s="206" t="str">
        <f ca="1">IFERROR(VLOOKUP('Teacher Reading Pull Sheets'!$D490,_xlfn.VSTACK('ELA Reading Logic'!$A$22:$B$48,'FLA Reading Logic'!$A$22:$B$53),2,FALSE)-VLOOKUP('Teacher Reading Pull Sheets'!$C490,_xlfn.VSTACK('ELA Reading Logic'!$A$22:$B$48,'FLA Reading Logic'!$A$22:$B$53),2,FALSE),"")</f>
        <v/>
      </c>
      <c r="I490" s="212"/>
      <c r="J490" s="206"/>
      <c r="K490" s="197" t="str" cm="1">
        <f t="array" ref="K490">IFERROR(
IF($J$2="ELA",
IF(VLOOKUP($A490, YES_Reading_ELA[], COLUMN(YES_Reading_ELA[Self-Identified as African Descent]), FALSE)="", "",
VLOOKUP($A490,YES_Reading_ELA[], COLUMN(YES_Reading_ELA[Self-Identified as African Descent]), FALSE)),
IF($J$2="FLA",
IF(VLOOKUP($A490, YES_Reading_FLA[], COLUMN(YES_Reading_FLA[Self-Identified as African Descent]),FALSE)="","",
VLOOKUP($A490,YES_Reading_FLA[],COLUMN(YES_Reading_FLA[Self-Identified as African Descent]),FALSE)),
IF($J$2="Combined",
IFERROR(
IF(VLOOKUP($A490, YES_Reading_ELA[], COLUMN(YES_Reading_ELA[Self-Identified as African Descent]), FALSE)="", "",
VLOOKUP($A490,YES_Reading_ELA[],COLUMN(YES_Reading_ELA[Self-Identified as African Descent]),FALSE)),
IF(VLOOKUP($A490, YES_Reading_FLA[], COLUMN(YES_Reading_FLA[Self-Identified as African Descent]),FALSE)="", "", VLOOKUP($A490,YES_Reading_FLA[],COLUMN(YES_Reading_FLA[Self-Identified as African Descent]),FALSE))),""))),"")</f>
        <v/>
      </c>
      <c r="L490" s="73" t="str" cm="1">
        <f t="array" ref="L490">IFERROR(
IF($J$2="ELA",
IF(VLOOKUP($A490, YES_Reading_ELA[], COLUMN(YES_Reading_ELA[Self-Identified as Indigenous]), FALSE)="", "",
VLOOKUP($A490,YES_Reading_ELA[], COLUMN(YES_Reading_ELA[Self-Identified as Indigenous]), FALSE)),
IF($J$2="FLA",
IF(VLOOKUP($A490, YES_Reading_FLA[], COLUMN(YES_Reading_FLA[Self-Identified as Indigenous]),FALSE)="","",
VLOOKUP($A490,YES_Reading_FLA[],COLUMN(YES_Reading_FLA[Self-Identified as Indigenous]),FALSE)),
IF($J$2="Combined",
IFERROR(
IF(VLOOKUP($A490, YES_Reading_ELA[], COLUMN(YES_Reading_ELA[Self-Identified as Indigenous]), FALSE)="", "",
VLOOKUP($A490,YES_Reading_ELA[],COLUMN(YES_Reading_ELA[Self-Identified as Indigenous]),FALSE)),
IF(VLOOKUP($A490, YES_Reading_FLA[], COLUMN(YES_Reading_FLA[Self-Identified as Indigenous]),FALSE)="", "", VLOOKUP($A490,YES_Reading_FLA[],COLUMN(YES_Reading_FLA[Self-Identified as Indigenous]),FALSE))),""))),"")</f>
        <v/>
      </c>
    </row>
    <row r="491" spans="1:12" ht="19.5" customHeight="1" x14ac:dyDescent="0.25">
      <c r="A491" s="217"/>
      <c r="B491" s="220" t="str">
        <f>IFERROR(VLOOKUP(A491,_xlfn.VSTACK(YES_Reading_ELA[],YES_Reading_FLA[]),2,FALSE),"")</f>
        <v/>
      </c>
      <c r="C491" s="203" t="str" cm="1">
        <f t="array" aca="1" ref="C491" ca="1">IFERROR(
IF($J$2="ELA",
IF(VLOOKUP($A491, YES_Reading_ELA[], COLUMN(IF(VLOOKUP($D$2, 'Reading Report Logic'!$A$2:$B$8, 2, FALSE)=1, YES_Reading_ELA[Reading Level June of Previous School Year], INDIRECT("YES_Reading_ELA[Instructional Reading Level - Per "&amp;(VLOOKUP($D$2,'Reading Report Logic'!$A$2:$B$8,2,FALSE)-1)&amp;"]"))), FALSE)="", "",
VLOOKUP($A491,YES_Reading_ELA[], COLUMN(IF(VLOOKUP($D$2,'Reading Report Logic'!$A$2:$B$8,2,FALSE)=1, YES_Reading_ELA[Reading Level June of Previous School Year],INDIRECT("YES_Reading_ELA[Instructional Reading Level - Per "&amp;(VLOOKUP($D$2,'Reading Report Logic'!$A$2:$B$8,2,FALSE)-1)&amp;"]"))), FALSE)),
IF($J$2="FLA",
IF(VLOOKUP($A491, YES_Reading_FLA[], COLUMN(IF(VLOOKUP($D$2,'Reading Report Logic'!$A$2:$B$8,2,FALSE)=1, YES_Reading_FLA[Reading Level June of Previous School Year],INDIRECT("YES_Reading_FLA[Instructional Reading Level - Per "&amp;(VLOOKUP($D$2,'Reading Report Logic'!$A$2:$B$8,2,FALSE)-1)&amp;"]"))),FALSE)="","",
VLOOKUP($A491,YES_Reading_FLA[], COLUMN(IF(VLOOKUP($D$2,'Reading Report Logic'!$A$2:$B$8,2,FALSE)=1, YES_Reading_FLA[Reading Level June of Previous School Year],INDIRECT("YES_Reading_FLA[Instructional Reading Level - Per "&amp;(VLOOKUP($D$2,'Reading Report Logic'!$A$2:$B$8,2,FALSE)-1)&amp;"]"))),FALSE)),
IF($J$2="Combined",
IFERROR(
IF(VLOOKUP($A491, YES_Reading_ELA[], COLUMN(IF(VLOOKUP($D$2,'Reading Report Logic'!$A$2:$B$8,2,FALSE)=1, YES_Reading_ELA[Reading Level June of Previous School Year],INDIRECT("YES_Reading_ELA[Instructional Reading Level - Per "&amp;(VLOOKUP($D$2,'Reading Report Logic'!$A$2:$B$8,2,FALSE)-1)&amp;"]"))), FALSE)="", "",
VLOOKUP($A491,YES_Reading_ELA[],COLUMN(IF(VLOOKUP($D$2,'Reading Report Logic'!$A$2:$B$8,2,FALSE)=1, YES_Reading_ELA[Reading Level June of Previous School Year],INDIRECT("YES_Reading_ELA[Instructional Reading Level - Per "&amp;(VLOOKUP($D$2,'Reading Report Logic'!$A$2:$B$8,2,FALSE)-1)&amp;"]"))),FALSE)),
IF(VLOOKUP($A491, YES_Reading_FLA[], COLUMN(IF(VLOOKUP($D$2,'Reading Report Logic'!$A$2:$B$8,2,FALSE)=1, YES_Reading_FLA[Reading Level June of Previous School Year],INDIRECT("YES_Reading_FLA[Instructional Reading Level - Per "&amp;(VLOOKUP($D$2,'Reading Report Logic'!$A$2:$B$8,2,FALSE)-1)&amp;"]"))),FALSE)="", "", VLOOKUP($A491,YES_Reading_FLA[],COLUMN(IF(VLOOKUP($D$2,'Reading Report Logic'!$A$2:$B$8,2,FALSE)=1, YES_Reading_FLA[Reading Level June of Previous School Year],INDIRECT("YES_Reading_FLA[Instructional Reading Level - Per "&amp;(VLOOKUP($D$2,'Reading Report Logic'!$A$2:$B$8,2,FALSE)-1)&amp;"]"))), FALSE))),""))),"")</f>
        <v/>
      </c>
      <c r="D491" s="204" t="str" cm="1">
        <f t="array" aca="1" ref="D491" ca="1">IFERROR(
IF($J$2="ELA",
IF(VLOOKUP($A491, YES_Reading_ELA[], COLUMN(INDIRECT("YES_Reading_ELA[Instructional Reading Level - Per "&amp;VLOOKUP($D$2, 'Reading Report Logic'!$A$2:$B$8, 2, FALSE)&amp;"]")), FALSE)="", "",
VLOOKUP($A491,YES_Reading_ELA[], COLUMN(INDIRECT("YES_Reading_ELA[Instructional Reading Level - Per "&amp;VLOOKUP($D$2,'Reading Report Logic'!$A$2:$B$8,2,FALSE)&amp;"]")), FALSE)),
IF($J$2="FLA",
IF(VLOOKUP($A491, YES_Reading_FLA[], COLUMN(INDIRECT("YES_Reading_FLA[Instructional Reading Level - Per "&amp;VLOOKUP($D$2,'Reading Report Logic'!$A$2:$B$8,2,FALSE)&amp;"]")),FALSE)="","",
VLOOKUP($A491,YES_Reading_FLA[],COLUMN(INDIRECT("YES_Reading_FLA[Instructional Reading Level - Per "&amp;VLOOKUP($D$2,'Reading Report Logic'!$A$2:$B$8,2,FALSE)&amp;"]")),FALSE)),
IF($J$2="Combined",
IFERROR(
IF(VLOOKUP($A491, YES_Reading_ELA[], COLUMN(INDIRECT("YES_Reading_ELA[Instructional Reading Level - Per "&amp;VLOOKUP($D$2, 'Reading Report Logic'!$A$2:$B$8,2,FALSE)&amp;"]")), FALSE)="", "",
VLOOKUP($A491,YES_Reading_ELA[],COLUMN(INDIRECT("YES_Reading_ELA[Instructional Reading Level - Per "&amp;VLOOKUP($D$2,'Reading Report Logic'!$A$2:$B$8,2,FALSE)&amp;"]")),FALSE)),
IF(VLOOKUP($A491, YES_Reading_FLA[], COLUMN(INDIRECT("YES_Reading_FLA[Instructional Reading Level - Per "&amp;VLOOKUP($D$2, 'Reading Report Logic'!$A$2:$B$8, 2, FALSE)&amp;"]")),FALSE)="", "", VLOOKUP($A491,YES_Reading_FLA[],COLUMN(INDIRECT("YES_Reading_FLA[Instructional Reading Level - Per "&amp;VLOOKUP($D$2, 'Reading Report Logic'!$A$2:$B$8, 2, FALSE)&amp;"]")),FALSE))),""))),"")</f>
        <v/>
      </c>
      <c r="E491" s="205" t="str" cm="1">
        <f t="array" aca="1" ref="E491" ca="1">IFERROR(
IF($J$2="ELA",
IF(VLOOKUP($A491, YES_Reading_ELA[], COLUMN(INDIRECT("YES_Reading_ELA[Min Expectation - Per "&amp;VLOOKUP($D$2, 'Reading Report Logic'!$A$2:$B$8, 2, FALSE)&amp;"]")), FALSE)="", "",
VLOOKUP($A491,YES_Reading_ELA[], COLUMN(INDIRECT("YES_Reading_ELA[Min Expectation - Per "&amp;VLOOKUP($D$2,'Reading Report Logic'!$A$2:$B$8,2,FALSE)&amp;"]")), FALSE)),
IF($J$2="FLA",
IF(VLOOKUP($A491, YES_Reading_FLA[], COLUMN(INDIRECT("YES_Reading_FLA[Min Expectation - Per "&amp;VLOOKUP($D$2,'Reading Report Logic'!$A$2:$B$8,2,FALSE)&amp;"]")),FALSE)="","",
VLOOKUP($A491,YES_Reading_FLA[],COLUMN(INDIRECT("YES_Reading_FLA[Min Expectation - Per "&amp;VLOOKUP($D$2,'Reading Report Logic'!$A$2:$B$8,2,FALSE)&amp;"]")),FALSE)),
IF($J$2="Combined",
IFERROR(
IF(VLOOKUP($A491, YES_Reading_ELA[], COLUMN(INDIRECT("YES_Reading_ELA[Min Expectation - Per "&amp;VLOOKUP($D$2, 'Reading Report Logic'!$A$2:$B$8,2,FALSE)&amp;"]")), FALSE)="", "",
VLOOKUP($A491,YES_Reading_ELA[],COLUMN(INDIRECT("YES_Reading_ELA[Min Expectation - Per "&amp;VLOOKUP($D$2,'Reading Report Logic'!$A$2:$B$8,2,FALSE)&amp;"]")),FALSE)),
IF(VLOOKUP($A491, YES_Reading_FLA[], COLUMN(INDIRECT("YES_Reading_FLA[Min Expectation - Per "&amp;VLOOKUP($D$2, 'Reading Report Logic'!$A$2:$B$8, 2, FALSE)&amp;"]")),FALSE)="", "", VLOOKUP($A491,YES_Reading_FLA[],COLUMN(INDIRECT("YES_Reading_FLA[Min Expectation - Per "&amp;VLOOKUP($D$2, 'Reading Report Logic'!$A$2:$B$8, 2, FALSE)&amp;"]")),FALSE))),""))),"")</f>
        <v/>
      </c>
      <c r="F491" s="205" t="str" cm="1">
        <f t="array" aca="1" ref="F491" ca="1">IFERROR(
IF($J$2="ELA",
IF(VLOOKUP($A491, YES_Reading_ELA[], COLUMN(INDIRECT("YES_Reading_ELA[Max Expectation - Per "&amp;VLOOKUP($D$2, 'Reading Report Logic'!$A$2:$B$8, 2, FALSE)&amp;"]")), FALSE)="", "",
VLOOKUP($A491,YES_Reading_ELA[], COLUMN(INDIRECT("YES_Reading_ELA[Max Expectation - Per "&amp;VLOOKUP($D$2,'Reading Report Logic'!$A$2:$B$8,2,FALSE)&amp;"]")), FALSE)),
IF($J$2="FLA",
IF(VLOOKUP($A491, YES_Reading_FLA[], COLUMN(INDIRECT("YES_Reading_FLA[Max Expectation - Per "&amp;VLOOKUP($D$2,'Reading Report Logic'!$A$2:$B$8,2,FALSE)&amp;"]")),FALSE)="","",
VLOOKUP($A491,YES_Reading_FLA[],COLUMN(INDIRECT("YES_Reading_FLA[Max Expectation - Per "&amp;VLOOKUP($D$2,'Reading Report Logic'!$A$2:$B$8,2,FALSE)&amp;"]")),FALSE)),
IF($J$2="Combined",
IFERROR(
IF(VLOOKUP($A491, YES_Reading_ELA[], COLUMN(INDIRECT("YES_Reading_ELA[Max Expectation - Per "&amp;VLOOKUP($D$2, 'Reading Report Logic'!$A$2:$B$8,2,FALSE)&amp;"]")), FALSE)="", "",
VLOOKUP($A491,YES_Reading_ELA[],COLUMN(INDIRECT("YES_Reading_ELA[Max Expectation - Per "&amp;VLOOKUP($D$2,'Reading Report Logic'!$A$2:$B$8,2,FALSE)&amp;"]")),FALSE)),
IF(VLOOKUP($A491, YES_Reading_FLA[], COLUMN(INDIRECT("YES_Reading_FLA[Max Expectation - Per "&amp;VLOOKUP($D$2, 'Reading Report Logic'!$A$2:$B$8, 2, FALSE)&amp;"]")),FALSE)="", "", VLOOKUP($A491,YES_Reading_FLA[],COLUMN(INDIRECT("YES_Reading_FLA[Max Expectation - Per "&amp;VLOOKUP($D$2, 'Reading Report Logic'!$A$2:$B$8, 2, FALSE)&amp;"]")),FALSE))),""))),"")</f>
        <v/>
      </c>
      <c r="G491" s="205" t="str" cm="1">
        <f t="array" aca="1" ref="G491" ca="1">IFERROR(
IF($J$2="ELA",
IF(VLOOKUP($A491, YES_Reading_ELA[], COLUMN(INDIRECT("YES_Reading_ELA[Difference - Per "&amp;VLOOKUP($D$2, 'Reading Report Logic'!$A$2:$B$8, 2, FALSE)&amp;"]")), FALSE)="", "",
VLOOKUP($A491,YES_Reading_ELA[], COLUMN(INDIRECT("YES_Reading_ELA[Difference - Per "&amp;VLOOKUP($D$2,'Reading Report Logic'!$A$2:$B$8,2,FALSE)&amp;"]")), FALSE)),
IF($J$2="FLA",
IF(VLOOKUP($A491, YES_Reading_FLA[], COLUMN(INDIRECT("YES_Reading_FLA[Difference - Per "&amp;VLOOKUP($D$2,'Reading Report Logic'!$A$2:$B$8,2,FALSE)&amp;"]")),FALSE)="","",
VLOOKUP($A491,YES_Reading_FLA[],COLUMN(INDIRECT("YES_Reading_FLA[Difference - Per "&amp;VLOOKUP($D$2,'Reading Report Logic'!$A$2:$B$8,2,FALSE)&amp;"]")),FALSE)),
IF($J$2="Combined",
IFERROR(
IF(VLOOKUP($A491, YES_Reading_ELA[], COLUMN(INDIRECT("YES_Reading_ELA[Difference - Per "&amp;VLOOKUP($D$2, 'Reading Report Logic'!$A$2:$B$8,2,FALSE)&amp;"]")), FALSE)="", "",
VLOOKUP($A491,YES_Reading_ELA[],COLUMN(INDIRECT("YES_Reading_ELA[Difference - Per "&amp;VLOOKUP($D$2,'Reading Report Logic'!$A$2:$B$8,2,FALSE)&amp;"]")),FALSE)),
IF(VLOOKUP($A491, YES_Reading_FLA[], COLUMN(INDIRECT("YES_Reading_FLA[Difference - Per "&amp;VLOOKUP($D$2, 'Reading Report Logic'!$A$2:$B$8, 2, FALSE)&amp;"]")),FALSE)="", "", VLOOKUP($A491,YES_Reading_FLA[],COLUMN(INDIRECT("YES_Reading_FLA[Difference - Per "&amp;VLOOKUP($D$2, 'Reading Report Logic'!$A$2:$B$8, 2, FALSE)&amp;"]")),FALSE))),""))),"")</f>
        <v/>
      </c>
      <c r="H491" s="206" t="str">
        <f ca="1">IFERROR(VLOOKUP('Teacher Reading Pull Sheets'!$D491,_xlfn.VSTACK('ELA Reading Logic'!$A$22:$B$48,'FLA Reading Logic'!$A$22:$B$53),2,FALSE)-VLOOKUP('Teacher Reading Pull Sheets'!$C491,_xlfn.VSTACK('ELA Reading Logic'!$A$22:$B$48,'FLA Reading Logic'!$A$22:$B$53),2,FALSE),"")</f>
        <v/>
      </c>
      <c r="I491" s="212"/>
      <c r="J491" s="206"/>
      <c r="K491" s="197" t="str" cm="1">
        <f t="array" ref="K491">IFERROR(
IF($J$2="ELA",
IF(VLOOKUP($A491, YES_Reading_ELA[], COLUMN(YES_Reading_ELA[Self-Identified as African Descent]), FALSE)="", "",
VLOOKUP($A491,YES_Reading_ELA[], COLUMN(YES_Reading_ELA[Self-Identified as African Descent]), FALSE)),
IF($J$2="FLA",
IF(VLOOKUP($A491, YES_Reading_FLA[], COLUMN(YES_Reading_FLA[Self-Identified as African Descent]),FALSE)="","",
VLOOKUP($A491,YES_Reading_FLA[],COLUMN(YES_Reading_FLA[Self-Identified as African Descent]),FALSE)),
IF($J$2="Combined",
IFERROR(
IF(VLOOKUP($A491, YES_Reading_ELA[], COLUMN(YES_Reading_ELA[Self-Identified as African Descent]), FALSE)="", "",
VLOOKUP($A491,YES_Reading_ELA[],COLUMN(YES_Reading_ELA[Self-Identified as African Descent]),FALSE)),
IF(VLOOKUP($A491, YES_Reading_FLA[], COLUMN(YES_Reading_FLA[Self-Identified as African Descent]),FALSE)="", "", VLOOKUP($A491,YES_Reading_FLA[],COLUMN(YES_Reading_FLA[Self-Identified as African Descent]),FALSE))),""))),"")</f>
        <v/>
      </c>
      <c r="L491" s="73" t="str" cm="1">
        <f t="array" ref="L491">IFERROR(
IF($J$2="ELA",
IF(VLOOKUP($A491, YES_Reading_ELA[], COLUMN(YES_Reading_ELA[Self-Identified as Indigenous]), FALSE)="", "",
VLOOKUP($A491,YES_Reading_ELA[], COLUMN(YES_Reading_ELA[Self-Identified as Indigenous]), FALSE)),
IF($J$2="FLA",
IF(VLOOKUP($A491, YES_Reading_FLA[], COLUMN(YES_Reading_FLA[Self-Identified as Indigenous]),FALSE)="","",
VLOOKUP($A491,YES_Reading_FLA[],COLUMN(YES_Reading_FLA[Self-Identified as Indigenous]),FALSE)),
IF($J$2="Combined",
IFERROR(
IF(VLOOKUP($A491, YES_Reading_ELA[], COLUMN(YES_Reading_ELA[Self-Identified as Indigenous]), FALSE)="", "",
VLOOKUP($A491,YES_Reading_ELA[],COLUMN(YES_Reading_ELA[Self-Identified as Indigenous]),FALSE)),
IF(VLOOKUP($A491, YES_Reading_FLA[], COLUMN(YES_Reading_FLA[Self-Identified as Indigenous]),FALSE)="", "", VLOOKUP($A491,YES_Reading_FLA[],COLUMN(YES_Reading_FLA[Self-Identified as Indigenous]),FALSE))),""))),"")</f>
        <v/>
      </c>
    </row>
    <row r="492" spans="1:12" ht="19.5" customHeight="1" x14ac:dyDescent="0.25">
      <c r="A492" s="217"/>
      <c r="B492" s="220" t="str">
        <f>IFERROR(VLOOKUP(A492,_xlfn.VSTACK(YES_Reading_ELA[],YES_Reading_FLA[]),2,FALSE),"")</f>
        <v/>
      </c>
      <c r="C492" s="203" t="str" cm="1">
        <f t="array" aca="1" ref="C492" ca="1">IFERROR(
IF($J$2="ELA",
IF(VLOOKUP($A492, YES_Reading_ELA[], COLUMN(IF(VLOOKUP($D$2, 'Reading Report Logic'!$A$2:$B$8, 2, FALSE)=1, YES_Reading_ELA[Reading Level June of Previous School Year], INDIRECT("YES_Reading_ELA[Instructional Reading Level - Per "&amp;(VLOOKUP($D$2,'Reading Report Logic'!$A$2:$B$8,2,FALSE)-1)&amp;"]"))), FALSE)="", "",
VLOOKUP($A492,YES_Reading_ELA[], COLUMN(IF(VLOOKUP($D$2,'Reading Report Logic'!$A$2:$B$8,2,FALSE)=1, YES_Reading_ELA[Reading Level June of Previous School Year],INDIRECT("YES_Reading_ELA[Instructional Reading Level - Per "&amp;(VLOOKUP($D$2,'Reading Report Logic'!$A$2:$B$8,2,FALSE)-1)&amp;"]"))), FALSE)),
IF($J$2="FLA",
IF(VLOOKUP($A492, YES_Reading_FLA[], COLUMN(IF(VLOOKUP($D$2,'Reading Report Logic'!$A$2:$B$8,2,FALSE)=1, YES_Reading_FLA[Reading Level June of Previous School Year],INDIRECT("YES_Reading_FLA[Instructional Reading Level - Per "&amp;(VLOOKUP($D$2,'Reading Report Logic'!$A$2:$B$8,2,FALSE)-1)&amp;"]"))),FALSE)="","",
VLOOKUP($A492,YES_Reading_FLA[], COLUMN(IF(VLOOKUP($D$2,'Reading Report Logic'!$A$2:$B$8,2,FALSE)=1, YES_Reading_FLA[Reading Level June of Previous School Year],INDIRECT("YES_Reading_FLA[Instructional Reading Level - Per "&amp;(VLOOKUP($D$2,'Reading Report Logic'!$A$2:$B$8,2,FALSE)-1)&amp;"]"))),FALSE)),
IF($J$2="Combined",
IFERROR(
IF(VLOOKUP($A492, YES_Reading_ELA[], COLUMN(IF(VLOOKUP($D$2,'Reading Report Logic'!$A$2:$B$8,2,FALSE)=1, YES_Reading_ELA[Reading Level June of Previous School Year],INDIRECT("YES_Reading_ELA[Instructional Reading Level - Per "&amp;(VLOOKUP($D$2,'Reading Report Logic'!$A$2:$B$8,2,FALSE)-1)&amp;"]"))), FALSE)="", "",
VLOOKUP($A492,YES_Reading_ELA[],COLUMN(IF(VLOOKUP($D$2,'Reading Report Logic'!$A$2:$B$8,2,FALSE)=1, YES_Reading_ELA[Reading Level June of Previous School Year],INDIRECT("YES_Reading_ELA[Instructional Reading Level - Per "&amp;(VLOOKUP($D$2,'Reading Report Logic'!$A$2:$B$8,2,FALSE)-1)&amp;"]"))),FALSE)),
IF(VLOOKUP($A492, YES_Reading_FLA[], COLUMN(IF(VLOOKUP($D$2,'Reading Report Logic'!$A$2:$B$8,2,FALSE)=1, YES_Reading_FLA[Reading Level June of Previous School Year],INDIRECT("YES_Reading_FLA[Instructional Reading Level - Per "&amp;(VLOOKUP($D$2,'Reading Report Logic'!$A$2:$B$8,2,FALSE)-1)&amp;"]"))),FALSE)="", "", VLOOKUP($A492,YES_Reading_FLA[],COLUMN(IF(VLOOKUP($D$2,'Reading Report Logic'!$A$2:$B$8,2,FALSE)=1, YES_Reading_FLA[Reading Level June of Previous School Year],INDIRECT("YES_Reading_FLA[Instructional Reading Level - Per "&amp;(VLOOKUP($D$2,'Reading Report Logic'!$A$2:$B$8,2,FALSE)-1)&amp;"]"))), FALSE))),""))),"")</f>
        <v/>
      </c>
      <c r="D492" s="204" t="str" cm="1">
        <f t="array" aca="1" ref="D492" ca="1">IFERROR(
IF($J$2="ELA",
IF(VLOOKUP($A492, YES_Reading_ELA[], COLUMN(INDIRECT("YES_Reading_ELA[Instructional Reading Level - Per "&amp;VLOOKUP($D$2, 'Reading Report Logic'!$A$2:$B$8, 2, FALSE)&amp;"]")), FALSE)="", "",
VLOOKUP($A492,YES_Reading_ELA[], COLUMN(INDIRECT("YES_Reading_ELA[Instructional Reading Level - Per "&amp;VLOOKUP($D$2,'Reading Report Logic'!$A$2:$B$8,2,FALSE)&amp;"]")), FALSE)),
IF($J$2="FLA",
IF(VLOOKUP($A492, YES_Reading_FLA[], COLUMN(INDIRECT("YES_Reading_FLA[Instructional Reading Level - Per "&amp;VLOOKUP($D$2,'Reading Report Logic'!$A$2:$B$8,2,FALSE)&amp;"]")),FALSE)="","",
VLOOKUP($A492,YES_Reading_FLA[],COLUMN(INDIRECT("YES_Reading_FLA[Instructional Reading Level - Per "&amp;VLOOKUP($D$2,'Reading Report Logic'!$A$2:$B$8,2,FALSE)&amp;"]")),FALSE)),
IF($J$2="Combined",
IFERROR(
IF(VLOOKUP($A492, YES_Reading_ELA[], COLUMN(INDIRECT("YES_Reading_ELA[Instructional Reading Level - Per "&amp;VLOOKUP($D$2, 'Reading Report Logic'!$A$2:$B$8,2,FALSE)&amp;"]")), FALSE)="", "",
VLOOKUP($A492,YES_Reading_ELA[],COLUMN(INDIRECT("YES_Reading_ELA[Instructional Reading Level - Per "&amp;VLOOKUP($D$2,'Reading Report Logic'!$A$2:$B$8,2,FALSE)&amp;"]")),FALSE)),
IF(VLOOKUP($A492, YES_Reading_FLA[], COLUMN(INDIRECT("YES_Reading_FLA[Instructional Reading Level - Per "&amp;VLOOKUP($D$2, 'Reading Report Logic'!$A$2:$B$8, 2, FALSE)&amp;"]")),FALSE)="", "", VLOOKUP($A492,YES_Reading_FLA[],COLUMN(INDIRECT("YES_Reading_FLA[Instructional Reading Level - Per "&amp;VLOOKUP($D$2, 'Reading Report Logic'!$A$2:$B$8, 2, FALSE)&amp;"]")),FALSE))),""))),"")</f>
        <v/>
      </c>
      <c r="E492" s="205" t="str" cm="1">
        <f t="array" aca="1" ref="E492" ca="1">IFERROR(
IF($J$2="ELA",
IF(VLOOKUP($A492, YES_Reading_ELA[], COLUMN(INDIRECT("YES_Reading_ELA[Min Expectation - Per "&amp;VLOOKUP($D$2, 'Reading Report Logic'!$A$2:$B$8, 2, FALSE)&amp;"]")), FALSE)="", "",
VLOOKUP($A492,YES_Reading_ELA[], COLUMN(INDIRECT("YES_Reading_ELA[Min Expectation - Per "&amp;VLOOKUP($D$2,'Reading Report Logic'!$A$2:$B$8,2,FALSE)&amp;"]")), FALSE)),
IF($J$2="FLA",
IF(VLOOKUP($A492, YES_Reading_FLA[], COLUMN(INDIRECT("YES_Reading_FLA[Min Expectation - Per "&amp;VLOOKUP($D$2,'Reading Report Logic'!$A$2:$B$8,2,FALSE)&amp;"]")),FALSE)="","",
VLOOKUP($A492,YES_Reading_FLA[],COLUMN(INDIRECT("YES_Reading_FLA[Min Expectation - Per "&amp;VLOOKUP($D$2,'Reading Report Logic'!$A$2:$B$8,2,FALSE)&amp;"]")),FALSE)),
IF($J$2="Combined",
IFERROR(
IF(VLOOKUP($A492, YES_Reading_ELA[], COLUMN(INDIRECT("YES_Reading_ELA[Min Expectation - Per "&amp;VLOOKUP($D$2, 'Reading Report Logic'!$A$2:$B$8,2,FALSE)&amp;"]")), FALSE)="", "",
VLOOKUP($A492,YES_Reading_ELA[],COLUMN(INDIRECT("YES_Reading_ELA[Min Expectation - Per "&amp;VLOOKUP($D$2,'Reading Report Logic'!$A$2:$B$8,2,FALSE)&amp;"]")),FALSE)),
IF(VLOOKUP($A492, YES_Reading_FLA[], COLUMN(INDIRECT("YES_Reading_FLA[Min Expectation - Per "&amp;VLOOKUP($D$2, 'Reading Report Logic'!$A$2:$B$8, 2, FALSE)&amp;"]")),FALSE)="", "", VLOOKUP($A492,YES_Reading_FLA[],COLUMN(INDIRECT("YES_Reading_FLA[Min Expectation - Per "&amp;VLOOKUP($D$2, 'Reading Report Logic'!$A$2:$B$8, 2, FALSE)&amp;"]")),FALSE))),""))),"")</f>
        <v/>
      </c>
      <c r="F492" s="205" t="str" cm="1">
        <f t="array" aca="1" ref="F492" ca="1">IFERROR(
IF($J$2="ELA",
IF(VLOOKUP($A492, YES_Reading_ELA[], COLUMN(INDIRECT("YES_Reading_ELA[Max Expectation - Per "&amp;VLOOKUP($D$2, 'Reading Report Logic'!$A$2:$B$8, 2, FALSE)&amp;"]")), FALSE)="", "",
VLOOKUP($A492,YES_Reading_ELA[], COLUMN(INDIRECT("YES_Reading_ELA[Max Expectation - Per "&amp;VLOOKUP($D$2,'Reading Report Logic'!$A$2:$B$8,2,FALSE)&amp;"]")), FALSE)),
IF($J$2="FLA",
IF(VLOOKUP($A492, YES_Reading_FLA[], COLUMN(INDIRECT("YES_Reading_FLA[Max Expectation - Per "&amp;VLOOKUP($D$2,'Reading Report Logic'!$A$2:$B$8,2,FALSE)&amp;"]")),FALSE)="","",
VLOOKUP($A492,YES_Reading_FLA[],COLUMN(INDIRECT("YES_Reading_FLA[Max Expectation - Per "&amp;VLOOKUP($D$2,'Reading Report Logic'!$A$2:$B$8,2,FALSE)&amp;"]")),FALSE)),
IF($J$2="Combined",
IFERROR(
IF(VLOOKUP($A492, YES_Reading_ELA[], COLUMN(INDIRECT("YES_Reading_ELA[Max Expectation - Per "&amp;VLOOKUP($D$2, 'Reading Report Logic'!$A$2:$B$8,2,FALSE)&amp;"]")), FALSE)="", "",
VLOOKUP($A492,YES_Reading_ELA[],COLUMN(INDIRECT("YES_Reading_ELA[Max Expectation - Per "&amp;VLOOKUP($D$2,'Reading Report Logic'!$A$2:$B$8,2,FALSE)&amp;"]")),FALSE)),
IF(VLOOKUP($A492, YES_Reading_FLA[], COLUMN(INDIRECT("YES_Reading_FLA[Max Expectation - Per "&amp;VLOOKUP($D$2, 'Reading Report Logic'!$A$2:$B$8, 2, FALSE)&amp;"]")),FALSE)="", "", VLOOKUP($A492,YES_Reading_FLA[],COLUMN(INDIRECT("YES_Reading_FLA[Max Expectation - Per "&amp;VLOOKUP($D$2, 'Reading Report Logic'!$A$2:$B$8, 2, FALSE)&amp;"]")),FALSE))),""))),"")</f>
        <v/>
      </c>
      <c r="G492" s="205" t="str" cm="1">
        <f t="array" aca="1" ref="G492" ca="1">IFERROR(
IF($J$2="ELA",
IF(VLOOKUP($A492, YES_Reading_ELA[], COLUMN(INDIRECT("YES_Reading_ELA[Difference - Per "&amp;VLOOKUP($D$2, 'Reading Report Logic'!$A$2:$B$8, 2, FALSE)&amp;"]")), FALSE)="", "",
VLOOKUP($A492,YES_Reading_ELA[], COLUMN(INDIRECT("YES_Reading_ELA[Difference - Per "&amp;VLOOKUP($D$2,'Reading Report Logic'!$A$2:$B$8,2,FALSE)&amp;"]")), FALSE)),
IF($J$2="FLA",
IF(VLOOKUP($A492, YES_Reading_FLA[], COLUMN(INDIRECT("YES_Reading_FLA[Difference - Per "&amp;VLOOKUP($D$2,'Reading Report Logic'!$A$2:$B$8,2,FALSE)&amp;"]")),FALSE)="","",
VLOOKUP($A492,YES_Reading_FLA[],COLUMN(INDIRECT("YES_Reading_FLA[Difference - Per "&amp;VLOOKUP($D$2,'Reading Report Logic'!$A$2:$B$8,2,FALSE)&amp;"]")),FALSE)),
IF($J$2="Combined",
IFERROR(
IF(VLOOKUP($A492, YES_Reading_ELA[], COLUMN(INDIRECT("YES_Reading_ELA[Difference - Per "&amp;VLOOKUP($D$2, 'Reading Report Logic'!$A$2:$B$8,2,FALSE)&amp;"]")), FALSE)="", "",
VLOOKUP($A492,YES_Reading_ELA[],COLUMN(INDIRECT("YES_Reading_ELA[Difference - Per "&amp;VLOOKUP($D$2,'Reading Report Logic'!$A$2:$B$8,2,FALSE)&amp;"]")),FALSE)),
IF(VLOOKUP($A492, YES_Reading_FLA[], COLUMN(INDIRECT("YES_Reading_FLA[Difference - Per "&amp;VLOOKUP($D$2, 'Reading Report Logic'!$A$2:$B$8, 2, FALSE)&amp;"]")),FALSE)="", "", VLOOKUP($A492,YES_Reading_FLA[],COLUMN(INDIRECT("YES_Reading_FLA[Difference - Per "&amp;VLOOKUP($D$2, 'Reading Report Logic'!$A$2:$B$8, 2, FALSE)&amp;"]")),FALSE))),""))),"")</f>
        <v/>
      </c>
      <c r="H492" s="206" t="str">
        <f ca="1">IFERROR(VLOOKUP('Teacher Reading Pull Sheets'!$D492,_xlfn.VSTACK('ELA Reading Logic'!$A$22:$B$48,'FLA Reading Logic'!$A$22:$B$53),2,FALSE)-VLOOKUP('Teacher Reading Pull Sheets'!$C492,_xlfn.VSTACK('ELA Reading Logic'!$A$22:$B$48,'FLA Reading Logic'!$A$22:$B$53),2,FALSE),"")</f>
        <v/>
      </c>
      <c r="I492" s="212"/>
      <c r="J492" s="206"/>
      <c r="K492" s="197" t="str" cm="1">
        <f t="array" ref="K492">IFERROR(
IF($J$2="ELA",
IF(VLOOKUP($A492, YES_Reading_ELA[], COLUMN(YES_Reading_ELA[Self-Identified as African Descent]), FALSE)="", "",
VLOOKUP($A492,YES_Reading_ELA[], COLUMN(YES_Reading_ELA[Self-Identified as African Descent]), FALSE)),
IF($J$2="FLA",
IF(VLOOKUP($A492, YES_Reading_FLA[], COLUMN(YES_Reading_FLA[Self-Identified as African Descent]),FALSE)="","",
VLOOKUP($A492,YES_Reading_FLA[],COLUMN(YES_Reading_FLA[Self-Identified as African Descent]),FALSE)),
IF($J$2="Combined",
IFERROR(
IF(VLOOKUP($A492, YES_Reading_ELA[], COLUMN(YES_Reading_ELA[Self-Identified as African Descent]), FALSE)="", "",
VLOOKUP($A492,YES_Reading_ELA[],COLUMN(YES_Reading_ELA[Self-Identified as African Descent]),FALSE)),
IF(VLOOKUP($A492, YES_Reading_FLA[], COLUMN(YES_Reading_FLA[Self-Identified as African Descent]),FALSE)="", "", VLOOKUP($A492,YES_Reading_FLA[],COLUMN(YES_Reading_FLA[Self-Identified as African Descent]),FALSE))),""))),"")</f>
        <v/>
      </c>
      <c r="L492" s="73" t="str" cm="1">
        <f t="array" ref="L492">IFERROR(
IF($J$2="ELA",
IF(VLOOKUP($A492, YES_Reading_ELA[], COLUMN(YES_Reading_ELA[Self-Identified as Indigenous]), FALSE)="", "",
VLOOKUP($A492,YES_Reading_ELA[], COLUMN(YES_Reading_ELA[Self-Identified as Indigenous]), FALSE)),
IF($J$2="FLA",
IF(VLOOKUP($A492, YES_Reading_FLA[], COLUMN(YES_Reading_FLA[Self-Identified as Indigenous]),FALSE)="","",
VLOOKUP($A492,YES_Reading_FLA[],COLUMN(YES_Reading_FLA[Self-Identified as Indigenous]),FALSE)),
IF($J$2="Combined",
IFERROR(
IF(VLOOKUP($A492, YES_Reading_ELA[], COLUMN(YES_Reading_ELA[Self-Identified as Indigenous]), FALSE)="", "",
VLOOKUP($A492,YES_Reading_ELA[],COLUMN(YES_Reading_ELA[Self-Identified as Indigenous]),FALSE)),
IF(VLOOKUP($A492, YES_Reading_FLA[], COLUMN(YES_Reading_FLA[Self-Identified as Indigenous]),FALSE)="", "", VLOOKUP($A492,YES_Reading_FLA[],COLUMN(YES_Reading_FLA[Self-Identified as Indigenous]),FALSE))),""))),"")</f>
        <v/>
      </c>
    </row>
    <row r="493" spans="1:12" ht="19.5" customHeight="1" x14ac:dyDescent="0.25">
      <c r="A493" s="217"/>
      <c r="B493" s="220" t="str">
        <f>IFERROR(VLOOKUP(A493,_xlfn.VSTACK(YES_Reading_ELA[],YES_Reading_FLA[]),2,FALSE),"")</f>
        <v/>
      </c>
      <c r="C493" s="203" t="str" cm="1">
        <f t="array" aca="1" ref="C493" ca="1">IFERROR(
IF($J$2="ELA",
IF(VLOOKUP($A493, YES_Reading_ELA[], COLUMN(IF(VLOOKUP($D$2, 'Reading Report Logic'!$A$2:$B$8, 2, FALSE)=1, YES_Reading_ELA[Reading Level June of Previous School Year], INDIRECT("YES_Reading_ELA[Instructional Reading Level - Per "&amp;(VLOOKUP($D$2,'Reading Report Logic'!$A$2:$B$8,2,FALSE)-1)&amp;"]"))), FALSE)="", "",
VLOOKUP($A493,YES_Reading_ELA[], COLUMN(IF(VLOOKUP($D$2,'Reading Report Logic'!$A$2:$B$8,2,FALSE)=1, YES_Reading_ELA[Reading Level June of Previous School Year],INDIRECT("YES_Reading_ELA[Instructional Reading Level - Per "&amp;(VLOOKUP($D$2,'Reading Report Logic'!$A$2:$B$8,2,FALSE)-1)&amp;"]"))), FALSE)),
IF($J$2="FLA",
IF(VLOOKUP($A493, YES_Reading_FLA[], COLUMN(IF(VLOOKUP($D$2,'Reading Report Logic'!$A$2:$B$8,2,FALSE)=1, YES_Reading_FLA[Reading Level June of Previous School Year],INDIRECT("YES_Reading_FLA[Instructional Reading Level - Per "&amp;(VLOOKUP($D$2,'Reading Report Logic'!$A$2:$B$8,2,FALSE)-1)&amp;"]"))),FALSE)="","",
VLOOKUP($A493,YES_Reading_FLA[], COLUMN(IF(VLOOKUP($D$2,'Reading Report Logic'!$A$2:$B$8,2,FALSE)=1, YES_Reading_FLA[Reading Level June of Previous School Year],INDIRECT("YES_Reading_FLA[Instructional Reading Level - Per "&amp;(VLOOKUP($D$2,'Reading Report Logic'!$A$2:$B$8,2,FALSE)-1)&amp;"]"))),FALSE)),
IF($J$2="Combined",
IFERROR(
IF(VLOOKUP($A493, YES_Reading_ELA[], COLUMN(IF(VLOOKUP($D$2,'Reading Report Logic'!$A$2:$B$8,2,FALSE)=1, YES_Reading_ELA[Reading Level June of Previous School Year],INDIRECT("YES_Reading_ELA[Instructional Reading Level - Per "&amp;(VLOOKUP($D$2,'Reading Report Logic'!$A$2:$B$8,2,FALSE)-1)&amp;"]"))), FALSE)="", "",
VLOOKUP($A493,YES_Reading_ELA[],COLUMN(IF(VLOOKUP($D$2,'Reading Report Logic'!$A$2:$B$8,2,FALSE)=1, YES_Reading_ELA[Reading Level June of Previous School Year],INDIRECT("YES_Reading_ELA[Instructional Reading Level - Per "&amp;(VLOOKUP($D$2,'Reading Report Logic'!$A$2:$B$8,2,FALSE)-1)&amp;"]"))),FALSE)),
IF(VLOOKUP($A493, YES_Reading_FLA[], COLUMN(IF(VLOOKUP($D$2,'Reading Report Logic'!$A$2:$B$8,2,FALSE)=1, YES_Reading_FLA[Reading Level June of Previous School Year],INDIRECT("YES_Reading_FLA[Instructional Reading Level - Per "&amp;(VLOOKUP($D$2,'Reading Report Logic'!$A$2:$B$8,2,FALSE)-1)&amp;"]"))),FALSE)="", "", VLOOKUP($A493,YES_Reading_FLA[],COLUMN(IF(VLOOKUP($D$2,'Reading Report Logic'!$A$2:$B$8,2,FALSE)=1, YES_Reading_FLA[Reading Level June of Previous School Year],INDIRECT("YES_Reading_FLA[Instructional Reading Level - Per "&amp;(VLOOKUP($D$2,'Reading Report Logic'!$A$2:$B$8,2,FALSE)-1)&amp;"]"))), FALSE))),""))),"")</f>
        <v/>
      </c>
      <c r="D493" s="204" t="str" cm="1">
        <f t="array" aca="1" ref="D493" ca="1">IFERROR(
IF($J$2="ELA",
IF(VLOOKUP($A493, YES_Reading_ELA[], COLUMN(INDIRECT("YES_Reading_ELA[Instructional Reading Level - Per "&amp;VLOOKUP($D$2, 'Reading Report Logic'!$A$2:$B$8, 2, FALSE)&amp;"]")), FALSE)="", "",
VLOOKUP($A493,YES_Reading_ELA[], COLUMN(INDIRECT("YES_Reading_ELA[Instructional Reading Level - Per "&amp;VLOOKUP($D$2,'Reading Report Logic'!$A$2:$B$8,2,FALSE)&amp;"]")), FALSE)),
IF($J$2="FLA",
IF(VLOOKUP($A493, YES_Reading_FLA[], COLUMN(INDIRECT("YES_Reading_FLA[Instructional Reading Level - Per "&amp;VLOOKUP($D$2,'Reading Report Logic'!$A$2:$B$8,2,FALSE)&amp;"]")),FALSE)="","",
VLOOKUP($A493,YES_Reading_FLA[],COLUMN(INDIRECT("YES_Reading_FLA[Instructional Reading Level - Per "&amp;VLOOKUP($D$2,'Reading Report Logic'!$A$2:$B$8,2,FALSE)&amp;"]")),FALSE)),
IF($J$2="Combined",
IFERROR(
IF(VLOOKUP($A493, YES_Reading_ELA[], COLUMN(INDIRECT("YES_Reading_ELA[Instructional Reading Level - Per "&amp;VLOOKUP($D$2, 'Reading Report Logic'!$A$2:$B$8,2,FALSE)&amp;"]")), FALSE)="", "",
VLOOKUP($A493,YES_Reading_ELA[],COLUMN(INDIRECT("YES_Reading_ELA[Instructional Reading Level - Per "&amp;VLOOKUP($D$2,'Reading Report Logic'!$A$2:$B$8,2,FALSE)&amp;"]")),FALSE)),
IF(VLOOKUP($A493, YES_Reading_FLA[], COLUMN(INDIRECT("YES_Reading_FLA[Instructional Reading Level - Per "&amp;VLOOKUP($D$2, 'Reading Report Logic'!$A$2:$B$8, 2, FALSE)&amp;"]")),FALSE)="", "", VLOOKUP($A493,YES_Reading_FLA[],COLUMN(INDIRECT("YES_Reading_FLA[Instructional Reading Level - Per "&amp;VLOOKUP($D$2, 'Reading Report Logic'!$A$2:$B$8, 2, FALSE)&amp;"]")),FALSE))),""))),"")</f>
        <v/>
      </c>
      <c r="E493" s="205" t="str" cm="1">
        <f t="array" aca="1" ref="E493" ca="1">IFERROR(
IF($J$2="ELA",
IF(VLOOKUP($A493, YES_Reading_ELA[], COLUMN(INDIRECT("YES_Reading_ELA[Min Expectation - Per "&amp;VLOOKUP($D$2, 'Reading Report Logic'!$A$2:$B$8, 2, FALSE)&amp;"]")), FALSE)="", "",
VLOOKUP($A493,YES_Reading_ELA[], COLUMN(INDIRECT("YES_Reading_ELA[Min Expectation - Per "&amp;VLOOKUP($D$2,'Reading Report Logic'!$A$2:$B$8,2,FALSE)&amp;"]")), FALSE)),
IF($J$2="FLA",
IF(VLOOKUP($A493, YES_Reading_FLA[], COLUMN(INDIRECT("YES_Reading_FLA[Min Expectation - Per "&amp;VLOOKUP($D$2,'Reading Report Logic'!$A$2:$B$8,2,FALSE)&amp;"]")),FALSE)="","",
VLOOKUP($A493,YES_Reading_FLA[],COLUMN(INDIRECT("YES_Reading_FLA[Min Expectation - Per "&amp;VLOOKUP($D$2,'Reading Report Logic'!$A$2:$B$8,2,FALSE)&amp;"]")),FALSE)),
IF($J$2="Combined",
IFERROR(
IF(VLOOKUP($A493, YES_Reading_ELA[], COLUMN(INDIRECT("YES_Reading_ELA[Min Expectation - Per "&amp;VLOOKUP($D$2, 'Reading Report Logic'!$A$2:$B$8,2,FALSE)&amp;"]")), FALSE)="", "",
VLOOKUP($A493,YES_Reading_ELA[],COLUMN(INDIRECT("YES_Reading_ELA[Min Expectation - Per "&amp;VLOOKUP($D$2,'Reading Report Logic'!$A$2:$B$8,2,FALSE)&amp;"]")),FALSE)),
IF(VLOOKUP($A493, YES_Reading_FLA[], COLUMN(INDIRECT("YES_Reading_FLA[Min Expectation - Per "&amp;VLOOKUP($D$2, 'Reading Report Logic'!$A$2:$B$8, 2, FALSE)&amp;"]")),FALSE)="", "", VLOOKUP($A493,YES_Reading_FLA[],COLUMN(INDIRECT("YES_Reading_FLA[Min Expectation - Per "&amp;VLOOKUP($D$2, 'Reading Report Logic'!$A$2:$B$8, 2, FALSE)&amp;"]")),FALSE))),""))),"")</f>
        <v/>
      </c>
      <c r="F493" s="205" t="str" cm="1">
        <f t="array" aca="1" ref="F493" ca="1">IFERROR(
IF($J$2="ELA",
IF(VLOOKUP($A493, YES_Reading_ELA[], COLUMN(INDIRECT("YES_Reading_ELA[Max Expectation - Per "&amp;VLOOKUP($D$2, 'Reading Report Logic'!$A$2:$B$8, 2, FALSE)&amp;"]")), FALSE)="", "",
VLOOKUP($A493,YES_Reading_ELA[], COLUMN(INDIRECT("YES_Reading_ELA[Max Expectation - Per "&amp;VLOOKUP($D$2,'Reading Report Logic'!$A$2:$B$8,2,FALSE)&amp;"]")), FALSE)),
IF($J$2="FLA",
IF(VLOOKUP($A493, YES_Reading_FLA[], COLUMN(INDIRECT("YES_Reading_FLA[Max Expectation - Per "&amp;VLOOKUP($D$2,'Reading Report Logic'!$A$2:$B$8,2,FALSE)&amp;"]")),FALSE)="","",
VLOOKUP($A493,YES_Reading_FLA[],COLUMN(INDIRECT("YES_Reading_FLA[Max Expectation - Per "&amp;VLOOKUP($D$2,'Reading Report Logic'!$A$2:$B$8,2,FALSE)&amp;"]")),FALSE)),
IF($J$2="Combined",
IFERROR(
IF(VLOOKUP($A493, YES_Reading_ELA[], COLUMN(INDIRECT("YES_Reading_ELA[Max Expectation - Per "&amp;VLOOKUP($D$2, 'Reading Report Logic'!$A$2:$B$8,2,FALSE)&amp;"]")), FALSE)="", "",
VLOOKUP($A493,YES_Reading_ELA[],COLUMN(INDIRECT("YES_Reading_ELA[Max Expectation - Per "&amp;VLOOKUP($D$2,'Reading Report Logic'!$A$2:$B$8,2,FALSE)&amp;"]")),FALSE)),
IF(VLOOKUP($A493, YES_Reading_FLA[], COLUMN(INDIRECT("YES_Reading_FLA[Max Expectation - Per "&amp;VLOOKUP($D$2, 'Reading Report Logic'!$A$2:$B$8, 2, FALSE)&amp;"]")),FALSE)="", "", VLOOKUP($A493,YES_Reading_FLA[],COLUMN(INDIRECT("YES_Reading_FLA[Max Expectation - Per "&amp;VLOOKUP($D$2, 'Reading Report Logic'!$A$2:$B$8, 2, FALSE)&amp;"]")),FALSE))),""))),"")</f>
        <v/>
      </c>
      <c r="G493" s="205" t="str" cm="1">
        <f t="array" aca="1" ref="G493" ca="1">IFERROR(
IF($J$2="ELA",
IF(VLOOKUP($A493, YES_Reading_ELA[], COLUMN(INDIRECT("YES_Reading_ELA[Difference - Per "&amp;VLOOKUP($D$2, 'Reading Report Logic'!$A$2:$B$8, 2, FALSE)&amp;"]")), FALSE)="", "",
VLOOKUP($A493,YES_Reading_ELA[], COLUMN(INDIRECT("YES_Reading_ELA[Difference - Per "&amp;VLOOKUP($D$2,'Reading Report Logic'!$A$2:$B$8,2,FALSE)&amp;"]")), FALSE)),
IF($J$2="FLA",
IF(VLOOKUP($A493, YES_Reading_FLA[], COLUMN(INDIRECT("YES_Reading_FLA[Difference - Per "&amp;VLOOKUP($D$2,'Reading Report Logic'!$A$2:$B$8,2,FALSE)&amp;"]")),FALSE)="","",
VLOOKUP($A493,YES_Reading_FLA[],COLUMN(INDIRECT("YES_Reading_FLA[Difference - Per "&amp;VLOOKUP($D$2,'Reading Report Logic'!$A$2:$B$8,2,FALSE)&amp;"]")),FALSE)),
IF($J$2="Combined",
IFERROR(
IF(VLOOKUP($A493, YES_Reading_ELA[], COLUMN(INDIRECT("YES_Reading_ELA[Difference - Per "&amp;VLOOKUP($D$2, 'Reading Report Logic'!$A$2:$B$8,2,FALSE)&amp;"]")), FALSE)="", "",
VLOOKUP($A493,YES_Reading_ELA[],COLUMN(INDIRECT("YES_Reading_ELA[Difference - Per "&amp;VLOOKUP($D$2,'Reading Report Logic'!$A$2:$B$8,2,FALSE)&amp;"]")),FALSE)),
IF(VLOOKUP($A493, YES_Reading_FLA[], COLUMN(INDIRECT("YES_Reading_FLA[Difference - Per "&amp;VLOOKUP($D$2, 'Reading Report Logic'!$A$2:$B$8, 2, FALSE)&amp;"]")),FALSE)="", "", VLOOKUP($A493,YES_Reading_FLA[],COLUMN(INDIRECT("YES_Reading_FLA[Difference - Per "&amp;VLOOKUP($D$2, 'Reading Report Logic'!$A$2:$B$8, 2, FALSE)&amp;"]")),FALSE))),""))),"")</f>
        <v/>
      </c>
      <c r="H493" s="206" t="str">
        <f ca="1">IFERROR(VLOOKUP('Teacher Reading Pull Sheets'!$D493,_xlfn.VSTACK('ELA Reading Logic'!$A$22:$B$48,'FLA Reading Logic'!$A$22:$B$53),2,FALSE)-VLOOKUP('Teacher Reading Pull Sheets'!$C493,_xlfn.VSTACK('ELA Reading Logic'!$A$22:$B$48,'FLA Reading Logic'!$A$22:$B$53),2,FALSE),"")</f>
        <v/>
      </c>
      <c r="I493" s="212"/>
      <c r="J493" s="206"/>
      <c r="K493" s="197" t="str" cm="1">
        <f t="array" ref="K493">IFERROR(
IF($J$2="ELA",
IF(VLOOKUP($A493, YES_Reading_ELA[], COLUMN(YES_Reading_ELA[Self-Identified as African Descent]), FALSE)="", "",
VLOOKUP($A493,YES_Reading_ELA[], COLUMN(YES_Reading_ELA[Self-Identified as African Descent]), FALSE)),
IF($J$2="FLA",
IF(VLOOKUP($A493, YES_Reading_FLA[], COLUMN(YES_Reading_FLA[Self-Identified as African Descent]),FALSE)="","",
VLOOKUP($A493,YES_Reading_FLA[],COLUMN(YES_Reading_FLA[Self-Identified as African Descent]),FALSE)),
IF($J$2="Combined",
IFERROR(
IF(VLOOKUP($A493, YES_Reading_ELA[], COLUMN(YES_Reading_ELA[Self-Identified as African Descent]), FALSE)="", "",
VLOOKUP($A493,YES_Reading_ELA[],COLUMN(YES_Reading_ELA[Self-Identified as African Descent]),FALSE)),
IF(VLOOKUP($A493, YES_Reading_FLA[], COLUMN(YES_Reading_FLA[Self-Identified as African Descent]),FALSE)="", "", VLOOKUP($A493,YES_Reading_FLA[],COLUMN(YES_Reading_FLA[Self-Identified as African Descent]),FALSE))),""))),"")</f>
        <v/>
      </c>
      <c r="L493" s="73" t="str" cm="1">
        <f t="array" ref="L493">IFERROR(
IF($J$2="ELA",
IF(VLOOKUP($A493, YES_Reading_ELA[], COLUMN(YES_Reading_ELA[Self-Identified as Indigenous]), FALSE)="", "",
VLOOKUP($A493,YES_Reading_ELA[], COLUMN(YES_Reading_ELA[Self-Identified as Indigenous]), FALSE)),
IF($J$2="FLA",
IF(VLOOKUP($A493, YES_Reading_FLA[], COLUMN(YES_Reading_FLA[Self-Identified as Indigenous]),FALSE)="","",
VLOOKUP($A493,YES_Reading_FLA[],COLUMN(YES_Reading_FLA[Self-Identified as Indigenous]),FALSE)),
IF($J$2="Combined",
IFERROR(
IF(VLOOKUP($A493, YES_Reading_ELA[], COLUMN(YES_Reading_ELA[Self-Identified as Indigenous]), FALSE)="", "",
VLOOKUP($A493,YES_Reading_ELA[],COLUMN(YES_Reading_ELA[Self-Identified as Indigenous]),FALSE)),
IF(VLOOKUP($A493, YES_Reading_FLA[], COLUMN(YES_Reading_FLA[Self-Identified as Indigenous]),FALSE)="", "", VLOOKUP($A493,YES_Reading_FLA[],COLUMN(YES_Reading_FLA[Self-Identified as Indigenous]),FALSE))),""))),"")</f>
        <v/>
      </c>
    </row>
    <row r="494" spans="1:12" ht="19.5" customHeight="1" x14ac:dyDescent="0.25">
      <c r="A494" s="217"/>
      <c r="B494" s="220" t="str">
        <f>IFERROR(VLOOKUP(A494,_xlfn.VSTACK(YES_Reading_ELA[],YES_Reading_FLA[]),2,FALSE),"")</f>
        <v/>
      </c>
      <c r="C494" s="203" t="str" cm="1">
        <f t="array" aca="1" ref="C494" ca="1">IFERROR(
IF($J$2="ELA",
IF(VLOOKUP($A494, YES_Reading_ELA[], COLUMN(IF(VLOOKUP($D$2, 'Reading Report Logic'!$A$2:$B$8, 2, FALSE)=1, YES_Reading_ELA[Reading Level June of Previous School Year], INDIRECT("YES_Reading_ELA[Instructional Reading Level - Per "&amp;(VLOOKUP($D$2,'Reading Report Logic'!$A$2:$B$8,2,FALSE)-1)&amp;"]"))), FALSE)="", "",
VLOOKUP($A494,YES_Reading_ELA[], COLUMN(IF(VLOOKUP($D$2,'Reading Report Logic'!$A$2:$B$8,2,FALSE)=1, YES_Reading_ELA[Reading Level June of Previous School Year],INDIRECT("YES_Reading_ELA[Instructional Reading Level - Per "&amp;(VLOOKUP($D$2,'Reading Report Logic'!$A$2:$B$8,2,FALSE)-1)&amp;"]"))), FALSE)),
IF($J$2="FLA",
IF(VLOOKUP($A494, YES_Reading_FLA[], COLUMN(IF(VLOOKUP($D$2,'Reading Report Logic'!$A$2:$B$8,2,FALSE)=1, YES_Reading_FLA[Reading Level June of Previous School Year],INDIRECT("YES_Reading_FLA[Instructional Reading Level - Per "&amp;(VLOOKUP($D$2,'Reading Report Logic'!$A$2:$B$8,2,FALSE)-1)&amp;"]"))),FALSE)="","",
VLOOKUP($A494,YES_Reading_FLA[], COLUMN(IF(VLOOKUP($D$2,'Reading Report Logic'!$A$2:$B$8,2,FALSE)=1, YES_Reading_FLA[Reading Level June of Previous School Year],INDIRECT("YES_Reading_FLA[Instructional Reading Level - Per "&amp;(VLOOKUP($D$2,'Reading Report Logic'!$A$2:$B$8,2,FALSE)-1)&amp;"]"))),FALSE)),
IF($J$2="Combined",
IFERROR(
IF(VLOOKUP($A494, YES_Reading_ELA[], COLUMN(IF(VLOOKUP($D$2,'Reading Report Logic'!$A$2:$B$8,2,FALSE)=1, YES_Reading_ELA[Reading Level June of Previous School Year],INDIRECT("YES_Reading_ELA[Instructional Reading Level - Per "&amp;(VLOOKUP($D$2,'Reading Report Logic'!$A$2:$B$8,2,FALSE)-1)&amp;"]"))), FALSE)="", "",
VLOOKUP($A494,YES_Reading_ELA[],COLUMN(IF(VLOOKUP($D$2,'Reading Report Logic'!$A$2:$B$8,2,FALSE)=1, YES_Reading_ELA[Reading Level June of Previous School Year],INDIRECT("YES_Reading_ELA[Instructional Reading Level - Per "&amp;(VLOOKUP($D$2,'Reading Report Logic'!$A$2:$B$8,2,FALSE)-1)&amp;"]"))),FALSE)),
IF(VLOOKUP($A494, YES_Reading_FLA[], COLUMN(IF(VLOOKUP($D$2,'Reading Report Logic'!$A$2:$B$8,2,FALSE)=1, YES_Reading_FLA[Reading Level June of Previous School Year],INDIRECT("YES_Reading_FLA[Instructional Reading Level - Per "&amp;(VLOOKUP($D$2,'Reading Report Logic'!$A$2:$B$8,2,FALSE)-1)&amp;"]"))),FALSE)="", "", VLOOKUP($A494,YES_Reading_FLA[],COLUMN(IF(VLOOKUP($D$2,'Reading Report Logic'!$A$2:$B$8,2,FALSE)=1, YES_Reading_FLA[Reading Level June of Previous School Year],INDIRECT("YES_Reading_FLA[Instructional Reading Level - Per "&amp;(VLOOKUP($D$2,'Reading Report Logic'!$A$2:$B$8,2,FALSE)-1)&amp;"]"))), FALSE))),""))),"")</f>
        <v/>
      </c>
      <c r="D494" s="204" t="str" cm="1">
        <f t="array" aca="1" ref="D494" ca="1">IFERROR(
IF($J$2="ELA",
IF(VLOOKUP($A494, YES_Reading_ELA[], COLUMN(INDIRECT("YES_Reading_ELA[Instructional Reading Level - Per "&amp;VLOOKUP($D$2, 'Reading Report Logic'!$A$2:$B$8, 2, FALSE)&amp;"]")), FALSE)="", "",
VLOOKUP($A494,YES_Reading_ELA[], COLUMN(INDIRECT("YES_Reading_ELA[Instructional Reading Level - Per "&amp;VLOOKUP($D$2,'Reading Report Logic'!$A$2:$B$8,2,FALSE)&amp;"]")), FALSE)),
IF($J$2="FLA",
IF(VLOOKUP($A494, YES_Reading_FLA[], COLUMN(INDIRECT("YES_Reading_FLA[Instructional Reading Level - Per "&amp;VLOOKUP($D$2,'Reading Report Logic'!$A$2:$B$8,2,FALSE)&amp;"]")),FALSE)="","",
VLOOKUP($A494,YES_Reading_FLA[],COLUMN(INDIRECT("YES_Reading_FLA[Instructional Reading Level - Per "&amp;VLOOKUP($D$2,'Reading Report Logic'!$A$2:$B$8,2,FALSE)&amp;"]")),FALSE)),
IF($J$2="Combined",
IFERROR(
IF(VLOOKUP($A494, YES_Reading_ELA[], COLUMN(INDIRECT("YES_Reading_ELA[Instructional Reading Level - Per "&amp;VLOOKUP($D$2, 'Reading Report Logic'!$A$2:$B$8,2,FALSE)&amp;"]")), FALSE)="", "",
VLOOKUP($A494,YES_Reading_ELA[],COLUMN(INDIRECT("YES_Reading_ELA[Instructional Reading Level - Per "&amp;VLOOKUP($D$2,'Reading Report Logic'!$A$2:$B$8,2,FALSE)&amp;"]")),FALSE)),
IF(VLOOKUP($A494, YES_Reading_FLA[], COLUMN(INDIRECT("YES_Reading_FLA[Instructional Reading Level - Per "&amp;VLOOKUP($D$2, 'Reading Report Logic'!$A$2:$B$8, 2, FALSE)&amp;"]")),FALSE)="", "", VLOOKUP($A494,YES_Reading_FLA[],COLUMN(INDIRECT("YES_Reading_FLA[Instructional Reading Level - Per "&amp;VLOOKUP($D$2, 'Reading Report Logic'!$A$2:$B$8, 2, FALSE)&amp;"]")),FALSE))),""))),"")</f>
        <v/>
      </c>
      <c r="E494" s="205" t="str" cm="1">
        <f t="array" aca="1" ref="E494" ca="1">IFERROR(
IF($J$2="ELA",
IF(VLOOKUP($A494, YES_Reading_ELA[], COLUMN(INDIRECT("YES_Reading_ELA[Min Expectation - Per "&amp;VLOOKUP($D$2, 'Reading Report Logic'!$A$2:$B$8, 2, FALSE)&amp;"]")), FALSE)="", "",
VLOOKUP($A494,YES_Reading_ELA[], COLUMN(INDIRECT("YES_Reading_ELA[Min Expectation - Per "&amp;VLOOKUP($D$2,'Reading Report Logic'!$A$2:$B$8,2,FALSE)&amp;"]")), FALSE)),
IF($J$2="FLA",
IF(VLOOKUP($A494, YES_Reading_FLA[], COLUMN(INDIRECT("YES_Reading_FLA[Min Expectation - Per "&amp;VLOOKUP($D$2,'Reading Report Logic'!$A$2:$B$8,2,FALSE)&amp;"]")),FALSE)="","",
VLOOKUP($A494,YES_Reading_FLA[],COLUMN(INDIRECT("YES_Reading_FLA[Min Expectation - Per "&amp;VLOOKUP($D$2,'Reading Report Logic'!$A$2:$B$8,2,FALSE)&amp;"]")),FALSE)),
IF($J$2="Combined",
IFERROR(
IF(VLOOKUP($A494, YES_Reading_ELA[], COLUMN(INDIRECT("YES_Reading_ELA[Min Expectation - Per "&amp;VLOOKUP($D$2, 'Reading Report Logic'!$A$2:$B$8,2,FALSE)&amp;"]")), FALSE)="", "",
VLOOKUP($A494,YES_Reading_ELA[],COLUMN(INDIRECT("YES_Reading_ELA[Min Expectation - Per "&amp;VLOOKUP($D$2,'Reading Report Logic'!$A$2:$B$8,2,FALSE)&amp;"]")),FALSE)),
IF(VLOOKUP($A494, YES_Reading_FLA[], COLUMN(INDIRECT("YES_Reading_FLA[Min Expectation - Per "&amp;VLOOKUP($D$2, 'Reading Report Logic'!$A$2:$B$8, 2, FALSE)&amp;"]")),FALSE)="", "", VLOOKUP($A494,YES_Reading_FLA[],COLUMN(INDIRECT("YES_Reading_FLA[Min Expectation - Per "&amp;VLOOKUP($D$2, 'Reading Report Logic'!$A$2:$B$8, 2, FALSE)&amp;"]")),FALSE))),""))),"")</f>
        <v/>
      </c>
      <c r="F494" s="205" t="str" cm="1">
        <f t="array" aca="1" ref="F494" ca="1">IFERROR(
IF($J$2="ELA",
IF(VLOOKUP($A494, YES_Reading_ELA[], COLUMN(INDIRECT("YES_Reading_ELA[Max Expectation - Per "&amp;VLOOKUP($D$2, 'Reading Report Logic'!$A$2:$B$8, 2, FALSE)&amp;"]")), FALSE)="", "",
VLOOKUP($A494,YES_Reading_ELA[], COLUMN(INDIRECT("YES_Reading_ELA[Max Expectation - Per "&amp;VLOOKUP($D$2,'Reading Report Logic'!$A$2:$B$8,2,FALSE)&amp;"]")), FALSE)),
IF($J$2="FLA",
IF(VLOOKUP($A494, YES_Reading_FLA[], COLUMN(INDIRECT("YES_Reading_FLA[Max Expectation - Per "&amp;VLOOKUP($D$2,'Reading Report Logic'!$A$2:$B$8,2,FALSE)&amp;"]")),FALSE)="","",
VLOOKUP($A494,YES_Reading_FLA[],COLUMN(INDIRECT("YES_Reading_FLA[Max Expectation - Per "&amp;VLOOKUP($D$2,'Reading Report Logic'!$A$2:$B$8,2,FALSE)&amp;"]")),FALSE)),
IF($J$2="Combined",
IFERROR(
IF(VLOOKUP($A494, YES_Reading_ELA[], COLUMN(INDIRECT("YES_Reading_ELA[Max Expectation - Per "&amp;VLOOKUP($D$2, 'Reading Report Logic'!$A$2:$B$8,2,FALSE)&amp;"]")), FALSE)="", "",
VLOOKUP($A494,YES_Reading_ELA[],COLUMN(INDIRECT("YES_Reading_ELA[Max Expectation - Per "&amp;VLOOKUP($D$2,'Reading Report Logic'!$A$2:$B$8,2,FALSE)&amp;"]")),FALSE)),
IF(VLOOKUP($A494, YES_Reading_FLA[], COLUMN(INDIRECT("YES_Reading_FLA[Max Expectation - Per "&amp;VLOOKUP($D$2, 'Reading Report Logic'!$A$2:$B$8, 2, FALSE)&amp;"]")),FALSE)="", "", VLOOKUP($A494,YES_Reading_FLA[],COLUMN(INDIRECT("YES_Reading_FLA[Max Expectation - Per "&amp;VLOOKUP($D$2, 'Reading Report Logic'!$A$2:$B$8, 2, FALSE)&amp;"]")),FALSE))),""))),"")</f>
        <v/>
      </c>
      <c r="G494" s="205" t="str" cm="1">
        <f t="array" aca="1" ref="G494" ca="1">IFERROR(
IF($J$2="ELA",
IF(VLOOKUP($A494, YES_Reading_ELA[], COLUMN(INDIRECT("YES_Reading_ELA[Difference - Per "&amp;VLOOKUP($D$2, 'Reading Report Logic'!$A$2:$B$8, 2, FALSE)&amp;"]")), FALSE)="", "",
VLOOKUP($A494,YES_Reading_ELA[], COLUMN(INDIRECT("YES_Reading_ELA[Difference - Per "&amp;VLOOKUP($D$2,'Reading Report Logic'!$A$2:$B$8,2,FALSE)&amp;"]")), FALSE)),
IF($J$2="FLA",
IF(VLOOKUP($A494, YES_Reading_FLA[], COLUMN(INDIRECT("YES_Reading_FLA[Difference - Per "&amp;VLOOKUP($D$2,'Reading Report Logic'!$A$2:$B$8,2,FALSE)&amp;"]")),FALSE)="","",
VLOOKUP($A494,YES_Reading_FLA[],COLUMN(INDIRECT("YES_Reading_FLA[Difference - Per "&amp;VLOOKUP($D$2,'Reading Report Logic'!$A$2:$B$8,2,FALSE)&amp;"]")),FALSE)),
IF($J$2="Combined",
IFERROR(
IF(VLOOKUP($A494, YES_Reading_ELA[], COLUMN(INDIRECT("YES_Reading_ELA[Difference - Per "&amp;VLOOKUP($D$2, 'Reading Report Logic'!$A$2:$B$8,2,FALSE)&amp;"]")), FALSE)="", "",
VLOOKUP($A494,YES_Reading_ELA[],COLUMN(INDIRECT("YES_Reading_ELA[Difference - Per "&amp;VLOOKUP($D$2,'Reading Report Logic'!$A$2:$B$8,2,FALSE)&amp;"]")),FALSE)),
IF(VLOOKUP($A494, YES_Reading_FLA[], COLUMN(INDIRECT("YES_Reading_FLA[Difference - Per "&amp;VLOOKUP($D$2, 'Reading Report Logic'!$A$2:$B$8, 2, FALSE)&amp;"]")),FALSE)="", "", VLOOKUP($A494,YES_Reading_FLA[],COLUMN(INDIRECT("YES_Reading_FLA[Difference - Per "&amp;VLOOKUP($D$2, 'Reading Report Logic'!$A$2:$B$8, 2, FALSE)&amp;"]")),FALSE))),""))),"")</f>
        <v/>
      </c>
      <c r="H494" s="206" t="str">
        <f ca="1">IFERROR(VLOOKUP('Teacher Reading Pull Sheets'!$D494,_xlfn.VSTACK('ELA Reading Logic'!$A$22:$B$48,'FLA Reading Logic'!$A$22:$B$53),2,FALSE)-VLOOKUP('Teacher Reading Pull Sheets'!$C494,_xlfn.VSTACK('ELA Reading Logic'!$A$22:$B$48,'FLA Reading Logic'!$A$22:$B$53),2,FALSE),"")</f>
        <v/>
      </c>
      <c r="I494" s="212"/>
      <c r="J494" s="206"/>
      <c r="K494" s="197" t="str" cm="1">
        <f t="array" ref="K494">IFERROR(
IF($J$2="ELA",
IF(VLOOKUP($A494, YES_Reading_ELA[], COLUMN(YES_Reading_ELA[Self-Identified as African Descent]), FALSE)="", "",
VLOOKUP($A494,YES_Reading_ELA[], COLUMN(YES_Reading_ELA[Self-Identified as African Descent]), FALSE)),
IF($J$2="FLA",
IF(VLOOKUP($A494, YES_Reading_FLA[], COLUMN(YES_Reading_FLA[Self-Identified as African Descent]),FALSE)="","",
VLOOKUP($A494,YES_Reading_FLA[],COLUMN(YES_Reading_FLA[Self-Identified as African Descent]),FALSE)),
IF($J$2="Combined",
IFERROR(
IF(VLOOKUP($A494, YES_Reading_ELA[], COLUMN(YES_Reading_ELA[Self-Identified as African Descent]), FALSE)="", "",
VLOOKUP($A494,YES_Reading_ELA[],COLUMN(YES_Reading_ELA[Self-Identified as African Descent]),FALSE)),
IF(VLOOKUP($A494, YES_Reading_FLA[], COLUMN(YES_Reading_FLA[Self-Identified as African Descent]),FALSE)="", "", VLOOKUP($A494,YES_Reading_FLA[],COLUMN(YES_Reading_FLA[Self-Identified as African Descent]),FALSE))),""))),"")</f>
        <v/>
      </c>
      <c r="L494" s="73" t="str" cm="1">
        <f t="array" ref="L494">IFERROR(
IF($J$2="ELA",
IF(VLOOKUP($A494, YES_Reading_ELA[], COLUMN(YES_Reading_ELA[Self-Identified as Indigenous]), FALSE)="", "",
VLOOKUP($A494,YES_Reading_ELA[], COLUMN(YES_Reading_ELA[Self-Identified as Indigenous]), FALSE)),
IF($J$2="FLA",
IF(VLOOKUP($A494, YES_Reading_FLA[], COLUMN(YES_Reading_FLA[Self-Identified as Indigenous]),FALSE)="","",
VLOOKUP($A494,YES_Reading_FLA[],COLUMN(YES_Reading_FLA[Self-Identified as Indigenous]),FALSE)),
IF($J$2="Combined",
IFERROR(
IF(VLOOKUP($A494, YES_Reading_ELA[], COLUMN(YES_Reading_ELA[Self-Identified as Indigenous]), FALSE)="", "",
VLOOKUP($A494,YES_Reading_ELA[],COLUMN(YES_Reading_ELA[Self-Identified as Indigenous]),FALSE)),
IF(VLOOKUP($A494, YES_Reading_FLA[], COLUMN(YES_Reading_FLA[Self-Identified as Indigenous]),FALSE)="", "", VLOOKUP($A494,YES_Reading_FLA[],COLUMN(YES_Reading_FLA[Self-Identified as Indigenous]),FALSE))),""))),"")</f>
        <v/>
      </c>
    </row>
    <row r="495" spans="1:12" ht="19.5" customHeight="1" x14ac:dyDescent="0.25">
      <c r="A495" s="217"/>
      <c r="B495" s="220" t="str">
        <f>IFERROR(VLOOKUP(A495,_xlfn.VSTACK(YES_Reading_ELA[],YES_Reading_FLA[]),2,FALSE),"")</f>
        <v/>
      </c>
      <c r="C495" s="203" t="str" cm="1">
        <f t="array" aca="1" ref="C495" ca="1">IFERROR(
IF($J$2="ELA",
IF(VLOOKUP($A495, YES_Reading_ELA[], COLUMN(IF(VLOOKUP($D$2, 'Reading Report Logic'!$A$2:$B$8, 2, FALSE)=1, YES_Reading_ELA[Reading Level June of Previous School Year], INDIRECT("YES_Reading_ELA[Instructional Reading Level - Per "&amp;(VLOOKUP($D$2,'Reading Report Logic'!$A$2:$B$8,2,FALSE)-1)&amp;"]"))), FALSE)="", "",
VLOOKUP($A495,YES_Reading_ELA[], COLUMN(IF(VLOOKUP($D$2,'Reading Report Logic'!$A$2:$B$8,2,FALSE)=1, YES_Reading_ELA[Reading Level June of Previous School Year],INDIRECT("YES_Reading_ELA[Instructional Reading Level - Per "&amp;(VLOOKUP($D$2,'Reading Report Logic'!$A$2:$B$8,2,FALSE)-1)&amp;"]"))), FALSE)),
IF($J$2="FLA",
IF(VLOOKUP($A495, YES_Reading_FLA[], COLUMN(IF(VLOOKUP($D$2,'Reading Report Logic'!$A$2:$B$8,2,FALSE)=1, YES_Reading_FLA[Reading Level June of Previous School Year],INDIRECT("YES_Reading_FLA[Instructional Reading Level - Per "&amp;(VLOOKUP($D$2,'Reading Report Logic'!$A$2:$B$8,2,FALSE)-1)&amp;"]"))),FALSE)="","",
VLOOKUP($A495,YES_Reading_FLA[], COLUMN(IF(VLOOKUP($D$2,'Reading Report Logic'!$A$2:$B$8,2,FALSE)=1, YES_Reading_FLA[Reading Level June of Previous School Year],INDIRECT("YES_Reading_FLA[Instructional Reading Level - Per "&amp;(VLOOKUP($D$2,'Reading Report Logic'!$A$2:$B$8,2,FALSE)-1)&amp;"]"))),FALSE)),
IF($J$2="Combined",
IFERROR(
IF(VLOOKUP($A495, YES_Reading_ELA[], COLUMN(IF(VLOOKUP($D$2,'Reading Report Logic'!$A$2:$B$8,2,FALSE)=1, YES_Reading_ELA[Reading Level June of Previous School Year],INDIRECT("YES_Reading_ELA[Instructional Reading Level - Per "&amp;(VLOOKUP($D$2,'Reading Report Logic'!$A$2:$B$8,2,FALSE)-1)&amp;"]"))), FALSE)="", "",
VLOOKUP($A495,YES_Reading_ELA[],COLUMN(IF(VLOOKUP($D$2,'Reading Report Logic'!$A$2:$B$8,2,FALSE)=1, YES_Reading_ELA[Reading Level June of Previous School Year],INDIRECT("YES_Reading_ELA[Instructional Reading Level - Per "&amp;(VLOOKUP($D$2,'Reading Report Logic'!$A$2:$B$8,2,FALSE)-1)&amp;"]"))),FALSE)),
IF(VLOOKUP($A495, YES_Reading_FLA[], COLUMN(IF(VLOOKUP($D$2,'Reading Report Logic'!$A$2:$B$8,2,FALSE)=1, YES_Reading_FLA[Reading Level June of Previous School Year],INDIRECT("YES_Reading_FLA[Instructional Reading Level - Per "&amp;(VLOOKUP($D$2,'Reading Report Logic'!$A$2:$B$8,2,FALSE)-1)&amp;"]"))),FALSE)="", "", VLOOKUP($A495,YES_Reading_FLA[],COLUMN(IF(VLOOKUP($D$2,'Reading Report Logic'!$A$2:$B$8,2,FALSE)=1, YES_Reading_FLA[Reading Level June of Previous School Year],INDIRECT("YES_Reading_FLA[Instructional Reading Level - Per "&amp;(VLOOKUP($D$2,'Reading Report Logic'!$A$2:$B$8,2,FALSE)-1)&amp;"]"))), FALSE))),""))),"")</f>
        <v/>
      </c>
      <c r="D495" s="204" t="str" cm="1">
        <f t="array" aca="1" ref="D495" ca="1">IFERROR(
IF($J$2="ELA",
IF(VLOOKUP($A495, YES_Reading_ELA[], COLUMN(INDIRECT("YES_Reading_ELA[Instructional Reading Level - Per "&amp;VLOOKUP($D$2, 'Reading Report Logic'!$A$2:$B$8, 2, FALSE)&amp;"]")), FALSE)="", "",
VLOOKUP($A495,YES_Reading_ELA[], COLUMN(INDIRECT("YES_Reading_ELA[Instructional Reading Level - Per "&amp;VLOOKUP($D$2,'Reading Report Logic'!$A$2:$B$8,2,FALSE)&amp;"]")), FALSE)),
IF($J$2="FLA",
IF(VLOOKUP($A495, YES_Reading_FLA[], COLUMN(INDIRECT("YES_Reading_FLA[Instructional Reading Level - Per "&amp;VLOOKUP($D$2,'Reading Report Logic'!$A$2:$B$8,2,FALSE)&amp;"]")),FALSE)="","",
VLOOKUP($A495,YES_Reading_FLA[],COLUMN(INDIRECT("YES_Reading_FLA[Instructional Reading Level - Per "&amp;VLOOKUP($D$2,'Reading Report Logic'!$A$2:$B$8,2,FALSE)&amp;"]")),FALSE)),
IF($J$2="Combined",
IFERROR(
IF(VLOOKUP($A495, YES_Reading_ELA[], COLUMN(INDIRECT("YES_Reading_ELA[Instructional Reading Level - Per "&amp;VLOOKUP($D$2, 'Reading Report Logic'!$A$2:$B$8,2,FALSE)&amp;"]")), FALSE)="", "",
VLOOKUP($A495,YES_Reading_ELA[],COLUMN(INDIRECT("YES_Reading_ELA[Instructional Reading Level - Per "&amp;VLOOKUP($D$2,'Reading Report Logic'!$A$2:$B$8,2,FALSE)&amp;"]")),FALSE)),
IF(VLOOKUP($A495, YES_Reading_FLA[], COLUMN(INDIRECT("YES_Reading_FLA[Instructional Reading Level - Per "&amp;VLOOKUP($D$2, 'Reading Report Logic'!$A$2:$B$8, 2, FALSE)&amp;"]")),FALSE)="", "", VLOOKUP($A495,YES_Reading_FLA[],COLUMN(INDIRECT("YES_Reading_FLA[Instructional Reading Level - Per "&amp;VLOOKUP($D$2, 'Reading Report Logic'!$A$2:$B$8, 2, FALSE)&amp;"]")),FALSE))),""))),"")</f>
        <v/>
      </c>
      <c r="E495" s="205" t="str" cm="1">
        <f t="array" aca="1" ref="E495" ca="1">IFERROR(
IF($J$2="ELA",
IF(VLOOKUP($A495, YES_Reading_ELA[], COLUMN(INDIRECT("YES_Reading_ELA[Min Expectation - Per "&amp;VLOOKUP($D$2, 'Reading Report Logic'!$A$2:$B$8, 2, FALSE)&amp;"]")), FALSE)="", "",
VLOOKUP($A495,YES_Reading_ELA[], COLUMN(INDIRECT("YES_Reading_ELA[Min Expectation - Per "&amp;VLOOKUP($D$2,'Reading Report Logic'!$A$2:$B$8,2,FALSE)&amp;"]")), FALSE)),
IF($J$2="FLA",
IF(VLOOKUP($A495, YES_Reading_FLA[], COLUMN(INDIRECT("YES_Reading_FLA[Min Expectation - Per "&amp;VLOOKUP($D$2,'Reading Report Logic'!$A$2:$B$8,2,FALSE)&amp;"]")),FALSE)="","",
VLOOKUP($A495,YES_Reading_FLA[],COLUMN(INDIRECT("YES_Reading_FLA[Min Expectation - Per "&amp;VLOOKUP($D$2,'Reading Report Logic'!$A$2:$B$8,2,FALSE)&amp;"]")),FALSE)),
IF($J$2="Combined",
IFERROR(
IF(VLOOKUP($A495, YES_Reading_ELA[], COLUMN(INDIRECT("YES_Reading_ELA[Min Expectation - Per "&amp;VLOOKUP($D$2, 'Reading Report Logic'!$A$2:$B$8,2,FALSE)&amp;"]")), FALSE)="", "",
VLOOKUP($A495,YES_Reading_ELA[],COLUMN(INDIRECT("YES_Reading_ELA[Min Expectation - Per "&amp;VLOOKUP($D$2,'Reading Report Logic'!$A$2:$B$8,2,FALSE)&amp;"]")),FALSE)),
IF(VLOOKUP($A495, YES_Reading_FLA[], COLUMN(INDIRECT("YES_Reading_FLA[Min Expectation - Per "&amp;VLOOKUP($D$2, 'Reading Report Logic'!$A$2:$B$8, 2, FALSE)&amp;"]")),FALSE)="", "", VLOOKUP($A495,YES_Reading_FLA[],COLUMN(INDIRECT("YES_Reading_FLA[Min Expectation - Per "&amp;VLOOKUP($D$2, 'Reading Report Logic'!$A$2:$B$8, 2, FALSE)&amp;"]")),FALSE))),""))),"")</f>
        <v/>
      </c>
      <c r="F495" s="205" t="str" cm="1">
        <f t="array" aca="1" ref="F495" ca="1">IFERROR(
IF($J$2="ELA",
IF(VLOOKUP($A495, YES_Reading_ELA[], COLUMN(INDIRECT("YES_Reading_ELA[Max Expectation - Per "&amp;VLOOKUP($D$2, 'Reading Report Logic'!$A$2:$B$8, 2, FALSE)&amp;"]")), FALSE)="", "",
VLOOKUP($A495,YES_Reading_ELA[], COLUMN(INDIRECT("YES_Reading_ELA[Max Expectation - Per "&amp;VLOOKUP($D$2,'Reading Report Logic'!$A$2:$B$8,2,FALSE)&amp;"]")), FALSE)),
IF($J$2="FLA",
IF(VLOOKUP($A495, YES_Reading_FLA[], COLUMN(INDIRECT("YES_Reading_FLA[Max Expectation - Per "&amp;VLOOKUP($D$2,'Reading Report Logic'!$A$2:$B$8,2,FALSE)&amp;"]")),FALSE)="","",
VLOOKUP($A495,YES_Reading_FLA[],COLUMN(INDIRECT("YES_Reading_FLA[Max Expectation - Per "&amp;VLOOKUP($D$2,'Reading Report Logic'!$A$2:$B$8,2,FALSE)&amp;"]")),FALSE)),
IF($J$2="Combined",
IFERROR(
IF(VLOOKUP($A495, YES_Reading_ELA[], COLUMN(INDIRECT("YES_Reading_ELA[Max Expectation - Per "&amp;VLOOKUP($D$2, 'Reading Report Logic'!$A$2:$B$8,2,FALSE)&amp;"]")), FALSE)="", "",
VLOOKUP($A495,YES_Reading_ELA[],COLUMN(INDIRECT("YES_Reading_ELA[Max Expectation - Per "&amp;VLOOKUP($D$2,'Reading Report Logic'!$A$2:$B$8,2,FALSE)&amp;"]")),FALSE)),
IF(VLOOKUP($A495, YES_Reading_FLA[], COLUMN(INDIRECT("YES_Reading_FLA[Max Expectation - Per "&amp;VLOOKUP($D$2, 'Reading Report Logic'!$A$2:$B$8, 2, FALSE)&amp;"]")),FALSE)="", "", VLOOKUP($A495,YES_Reading_FLA[],COLUMN(INDIRECT("YES_Reading_FLA[Max Expectation - Per "&amp;VLOOKUP($D$2, 'Reading Report Logic'!$A$2:$B$8, 2, FALSE)&amp;"]")),FALSE))),""))),"")</f>
        <v/>
      </c>
      <c r="G495" s="205" t="str" cm="1">
        <f t="array" aca="1" ref="G495" ca="1">IFERROR(
IF($J$2="ELA",
IF(VLOOKUP($A495, YES_Reading_ELA[], COLUMN(INDIRECT("YES_Reading_ELA[Difference - Per "&amp;VLOOKUP($D$2, 'Reading Report Logic'!$A$2:$B$8, 2, FALSE)&amp;"]")), FALSE)="", "",
VLOOKUP($A495,YES_Reading_ELA[], COLUMN(INDIRECT("YES_Reading_ELA[Difference - Per "&amp;VLOOKUP($D$2,'Reading Report Logic'!$A$2:$B$8,2,FALSE)&amp;"]")), FALSE)),
IF($J$2="FLA",
IF(VLOOKUP($A495, YES_Reading_FLA[], COLUMN(INDIRECT("YES_Reading_FLA[Difference - Per "&amp;VLOOKUP($D$2,'Reading Report Logic'!$A$2:$B$8,2,FALSE)&amp;"]")),FALSE)="","",
VLOOKUP($A495,YES_Reading_FLA[],COLUMN(INDIRECT("YES_Reading_FLA[Difference - Per "&amp;VLOOKUP($D$2,'Reading Report Logic'!$A$2:$B$8,2,FALSE)&amp;"]")),FALSE)),
IF($J$2="Combined",
IFERROR(
IF(VLOOKUP($A495, YES_Reading_ELA[], COLUMN(INDIRECT("YES_Reading_ELA[Difference - Per "&amp;VLOOKUP($D$2, 'Reading Report Logic'!$A$2:$B$8,2,FALSE)&amp;"]")), FALSE)="", "",
VLOOKUP($A495,YES_Reading_ELA[],COLUMN(INDIRECT("YES_Reading_ELA[Difference - Per "&amp;VLOOKUP($D$2,'Reading Report Logic'!$A$2:$B$8,2,FALSE)&amp;"]")),FALSE)),
IF(VLOOKUP($A495, YES_Reading_FLA[], COLUMN(INDIRECT("YES_Reading_FLA[Difference - Per "&amp;VLOOKUP($D$2, 'Reading Report Logic'!$A$2:$B$8, 2, FALSE)&amp;"]")),FALSE)="", "", VLOOKUP($A495,YES_Reading_FLA[],COLUMN(INDIRECT("YES_Reading_FLA[Difference - Per "&amp;VLOOKUP($D$2, 'Reading Report Logic'!$A$2:$B$8, 2, FALSE)&amp;"]")),FALSE))),""))),"")</f>
        <v/>
      </c>
      <c r="H495" s="206" t="str">
        <f ca="1">IFERROR(VLOOKUP('Teacher Reading Pull Sheets'!$D495,_xlfn.VSTACK('ELA Reading Logic'!$A$22:$B$48,'FLA Reading Logic'!$A$22:$B$53),2,FALSE)-VLOOKUP('Teacher Reading Pull Sheets'!$C495,_xlfn.VSTACK('ELA Reading Logic'!$A$22:$B$48,'FLA Reading Logic'!$A$22:$B$53),2,FALSE),"")</f>
        <v/>
      </c>
      <c r="I495" s="212"/>
      <c r="J495" s="206"/>
      <c r="K495" s="197" t="str" cm="1">
        <f t="array" ref="K495">IFERROR(
IF($J$2="ELA",
IF(VLOOKUP($A495, YES_Reading_ELA[], COLUMN(YES_Reading_ELA[Self-Identified as African Descent]), FALSE)="", "",
VLOOKUP($A495,YES_Reading_ELA[], COLUMN(YES_Reading_ELA[Self-Identified as African Descent]), FALSE)),
IF($J$2="FLA",
IF(VLOOKUP($A495, YES_Reading_FLA[], COLUMN(YES_Reading_FLA[Self-Identified as African Descent]),FALSE)="","",
VLOOKUP($A495,YES_Reading_FLA[],COLUMN(YES_Reading_FLA[Self-Identified as African Descent]),FALSE)),
IF($J$2="Combined",
IFERROR(
IF(VLOOKUP($A495, YES_Reading_ELA[], COLUMN(YES_Reading_ELA[Self-Identified as African Descent]), FALSE)="", "",
VLOOKUP($A495,YES_Reading_ELA[],COLUMN(YES_Reading_ELA[Self-Identified as African Descent]),FALSE)),
IF(VLOOKUP($A495, YES_Reading_FLA[], COLUMN(YES_Reading_FLA[Self-Identified as African Descent]),FALSE)="", "", VLOOKUP($A495,YES_Reading_FLA[],COLUMN(YES_Reading_FLA[Self-Identified as African Descent]),FALSE))),""))),"")</f>
        <v/>
      </c>
      <c r="L495" s="73" t="str" cm="1">
        <f t="array" ref="L495">IFERROR(
IF($J$2="ELA",
IF(VLOOKUP($A495, YES_Reading_ELA[], COLUMN(YES_Reading_ELA[Self-Identified as Indigenous]), FALSE)="", "",
VLOOKUP($A495,YES_Reading_ELA[], COLUMN(YES_Reading_ELA[Self-Identified as Indigenous]), FALSE)),
IF($J$2="FLA",
IF(VLOOKUP($A495, YES_Reading_FLA[], COLUMN(YES_Reading_FLA[Self-Identified as Indigenous]),FALSE)="","",
VLOOKUP($A495,YES_Reading_FLA[],COLUMN(YES_Reading_FLA[Self-Identified as Indigenous]),FALSE)),
IF($J$2="Combined",
IFERROR(
IF(VLOOKUP($A495, YES_Reading_ELA[], COLUMN(YES_Reading_ELA[Self-Identified as Indigenous]), FALSE)="", "",
VLOOKUP($A495,YES_Reading_ELA[],COLUMN(YES_Reading_ELA[Self-Identified as Indigenous]),FALSE)),
IF(VLOOKUP($A495, YES_Reading_FLA[], COLUMN(YES_Reading_FLA[Self-Identified as Indigenous]),FALSE)="", "", VLOOKUP($A495,YES_Reading_FLA[],COLUMN(YES_Reading_FLA[Self-Identified as Indigenous]),FALSE))),""))),"")</f>
        <v/>
      </c>
    </row>
    <row r="496" spans="1:12" ht="19.5" customHeight="1" x14ac:dyDescent="0.25">
      <c r="A496" s="217"/>
      <c r="B496" s="220" t="str">
        <f>IFERROR(VLOOKUP(A496,_xlfn.VSTACK(YES_Reading_ELA[],YES_Reading_FLA[]),2,FALSE),"")</f>
        <v/>
      </c>
      <c r="C496" s="203" t="str" cm="1">
        <f t="array" aca="1" ref="C496" ca="1">IFERROR(
IF($J$2="ELA",
IF(VLOOKUP($A496, YES_Reading_ELA[], COLUMN(IF(VLOOKUP($D$2, 'Reading Report Logic'!$A$2:$B$8, 2, FALSE)=1, YES_Reading_ELA[Reading Level June of Previous School Year], INDIRECT("YES_Reading_ELA[Instructional Reading Level - Per "&amp;(VLOOKUP($D$2,'Reading Report Logic'!$A$2:$B$8,2,FALSE)-1)&amp;"]"))), FALSE)="", "",
VLOOKUP($A496,YES_Reading_ELA[], COLUMN(IF(VLOOKUP($D$2,'Reading Report Logic'!$A$2:$B$8,2,FALSE)=1, YES_Reading_ELA[Reading Level June of Previous School Year],INDIRECT("YES_Reading_ELA[Instructional Reading Level - Per "&amp;(VLOOKUP($D$2,'Reading Report Logic'!$A$2:$B$8,2,FALSE)-1)&amp;"]"))), FALSE)),
IF($J$2="FLA",
IF(VLOOKUP($A496, YES_Reading_FLA[], COLUMN(IF(VLOOKUP($D$2,'Reading Report Logic'!$A$2:$B$8,2,FALSE)=1, YES_Reading_FLA[Reading Level June of Previous School Year],INDIRECT("YES_Reading_FLA[Instructional Reading Level - Per "&amp;(VLOOKUP($D$2,'Reading Report Logic'!$A$2:$B$8,2,FALSE)-1)&amp;"]"))),FALSE)="","",
VLOOKUP($A496,YES_Reading_FLA[], COLUMN(IF(VLOOKUP($D$2,'Reading Report Logic'!$A$2:$B$8,2,FALSE)=1, YES_Reading_FLA[Reading Level June of Previous School Year],INDIRECT("YES_Reading_FLA[Instructional Reading Level - Per "&amp;(VLOOKUP($D$2,'Reading Report Logic'!$A$2:$B$8,2,FALSE)-1)&amp;"]"))),FALSE)),
IF($J$2="Combined",
IFERROR(
IF(VLOOKUP($A496, YES_Reading_ELA[], COLUMN(IF(VLOOKUP($D$2,'Reading Report Logic'!$A$2:$B$8,2,FALSE)=1, YES_Reading_ELA[Reading Level June of Previous School Year],INDIRECT("YES_Reading_ELA[Instructional Reading Level - Per "&amp;(VLOOKUP($D$2,'Reading Report Logic'!$A$2:$B$8,2,FALSE)-1)&amp;"]"))), FALSE)="", "",
VLOOKUP($A496,YES_Reading_ELA[],COLUMN(IF(VLOOKUP($D$2,'Reading Report Logic'!$A$2:$B$8,2,FALSE)=1, YES_Reading_ELA[Reading Level June of Previous School Year],INDIRECT("YES_Reading_ELA[Instructional Reading Level - Per "&amp;(VLOOKUP($D$2,'Reading Report Logic'!$A$2:$B$8,2,FALSE)-1)&amp;"]"))),FALSE)),
IF(VLOOKUP($A496, YES_Reading_FLA[], COLUMN(IF(VLOOKUP($D$2,'Reading Report Logic'!$A$2:$B$8,2,FALSE)=1, YES_Reading_FLA[Reading Level June of Previous School Year],INDIRECT("YES_Reading_FLA[Instructional Reading Level - Per "&amp;(VLOOKUP($D$2,'Reading Report Logic'!$A$2:$B$8,2,FALSE)-1)&amp;"]"))),FALSE)="", "", VLOOKUP($A496,YES_Reading_FLA[],COLUMN(IF(VLOOKUP($D$2,'Reading Report Logic'!$A$2:$B$8,2,FALSE)=1, YES_Reading_FLA[Reading Level June of Previous School Year],INDIRECT("YES_Reading_FLA[Instructional Reading Level - Per "&amp;(VLOOKUP($D$2,'Reading Report Logic'!$A$2:$B$8,2,FALSE)-1)&amp;"]"))), FALSE))),""))),"")</f>
        <v/>
      </c>
      <c r="D496" s="204" t="str" cm="1">
        <f t="array" aca="1" ref="D496" ca="1">IFERROR(
IF($J$2="ELA",
IF(VLOOKUP($A496, YES_Reading_ELA[], COLUMN(INDIRECT("YES_Reading_ELA[Instructional Reading Level - Per "&amp;VLOOKUP($D$2, 'Reading Report Logic'!$A$2:$B$8, 2, FALSE)&amp;"]")), FALSE)="", "",
VLOOKUP($A496,YES_Reading_ELA[], COLUMN(INDIRECT("YES_Reading_ELA[Instructional Reading Level - Per "&amp;VLOOKUP($D$2,'Reading Report Logic'!$A$2:$B$8,2,FALSE)&amp;"]")), FALSE)),
IF($J$2="FLA",
IF(VLOOKUP($A496, YES_Reading_FLA[], COLUMN(INDIRECT("YES_Reading_FLA[Instructional Reading Level - Per "&amp;VLOOKUP($D$2,'Reading Report Logic'!$A$2:$B$8,2,FALSE)&amp;"]")),FALSE)="","",
VLOOKUP($A496,YES_Reading_FLA[],COLUMN(INDIRECT("YES_Reading_FLA[Instructional Reading Level - Per "&amp;VLOOKUP($D$2,'Reading Report Logic'!$A$2:$B$8,2,FALSE)&amp;"]")),FALSE)),
IF($J$2="Combined",
IFERROR(
IF(VLOOKUP($A496, YES_Reading_ELA[], COLUMN(INDIRECT("YES_Reading_ELA[Instructional Reading Level - Per "&amp;VLOOKUP($D$2, 'Reading Report Logic'!$A$2:$B$8,2,FALSE)&amp;"]")), FALSE)="", "",
VLOOKUP($A496,YES_Reading_ELA[],COLUMN(INDIRECT("YES_Reading_ELA[Instructional Reading Level - Per "&amp;VLOOKUP($D$2,'Reading Report Logic'!$A$2:$B$8,2,FALSE)&amp;"]")),FALSE)),
IF(VLOOKUP($A496, YES_Reading_FLA[], COLUMN(INDIRECT("YES_Reading_FLA[Instructional Reading Level - Per "&amp;VLOOKUP($D$2, 'Reading Report Logic'!$A$2:$B$8, 2, FALSE)&amp;"]")),FALSE)="", "", VLOOKUP($A496,YES_Reading_FLA[],COLUMN(INDIRECT("YES_Reading_FLA[Instructional Reading Level - Per "&amp;VLOOKUP($D$2, 'Reading Report Logic'!$A$2:$B$8, 2, FALSE)&amp;"]")),FALSE))),""))),"")</f>
        <v/>
      </c>
      <c r="E496" s="205" t="str" cm="1">
        <f t="array" aca="1" ref="E496" ca="1">IFERROR(
IF($J$2="ELA",
IF(VLOOKUP($A496, YES_Reading_ELA[], COLUMN(INDIRECT("YES_Reading_ELA[Min Expectation - Per "&amp;VLOOKUP($D$2, 'Reading Report Logic'!$A$2:$B$8, 2, FALSE)&amp;"]")), FALSE)="", "",
VLOOKUP($A496,YES_Reading_ELA[], COLUMN(INDIRECT("YES_Reading_ELA[Min Expectation - Per "&amp;VLOOKUP($D$2,'Reading Report Logic'!$A$2:$B$8,2,FALSE)&amp;"]")), FALSE)),
IF($J$2="FLA",
IF(VLOOKUP($A496, YES_Reading_FLA[], COLUMN(INDIRECT("YES_Reading_FLA[Min Expectation - Per "&amp;VLOOKUP($D$2,'Reading Report Logic'!$A$2:$B$8,2,FALSE)&amp;"]")),FALSE)="","",
VLOOKUP($A496,YES_Reading_FLA[],COLUMN(INDIRECT("YES_Reading_FLA[Min Expectation - Per "&amp;VLOOKUP($D$2,'Reading Report Logic'!$A$2:$B$8,2,FALSE)&amp;"]")),FALSE)),
IF($J$2="Combined",
IFERROR(
IF(VLOOKUP($A496, YES_Reading_ELA[], COLUMN(INDIRECT("YES_Reading_ELA[Min Expectation - Per "&amp;VLOOKUP($D$2, 'Reading Report Logic'!$A$2:$B$8,2,FALSE)&amp;"]")), FALSE)="", "",
VLOOKUP($A496,YES_Reading_ELA[],COLUMN(INDIRECT("YES_Reading_ELA[Min Expectation - Per "&amp;VLOOKUP($D$2,'Reading Report Logic'!$A$2:$B$8,2,FALSE)&amp;"]")),FALSE)),
IF(VLOOKUP($A496, YES_Reading_FLA[], COLUMN(INDIRECT("YES_Reading_FLA[Min Expectation - Per "&amp;VLOOKUP($D$2, 'Reading Report Logic'!$A$2:$B$8, 2, FALSE)&amp;"]")),FALSE)="", "", VLOOKUP($A496,YES_Reading_FLA[],COLUMN(INDIRECT("YES_Reading_FLA[Min Expectation - Per "&amp;VLOOKUP($D$2, 'Reading Report Logic'!$A$2:$B$8, 2, FALSE)&amp;"]")),FALSE))),""))),"")</f>
        <v/>
      </c>
      <c r="F496" s="205" t="str" cm="1">
        <f t="array" aca="1" ref="F496" ca="1">IFERROR(
IF($J$2="ELA",
IF(VLOOKUP($A496, YES_Reading_ELA[], COLUMN(INDIRECT("YES_Reading_ELA[Max Expectation - Per "&amp;VLOOKUP($D$2, 'Reading Report Logic'!$A$2:$B$8, 2, FALSE)&amp;"]")), FALSE)="", "",
VLOOKUP($A496,YES_Reading_ELA[], COLUMN(INDIRECT("YES_Reading_ELA[Max Expectation - Per "&amp;VLOOKUP($D$2,'Reading Report Logic'!$A$2:$B$8,2,FALSE)&amp;"]")), FALSE)),
IF($J$2="FLA",
IF(VLOOKUP($A496, YES_Reading_FLA[], COLUMN(INDIRECT("YES_Reading_FLA[Max Expectation - Per "&amp;VLOOKUP($D$2,'Reading Report Logic'!$A$2:$B$8,2,FALSE)&amp;"]")),FALSE)="","",
VLOOKUP($A496,YES_Reading_FLA[],COLUMN(INDIRECT("YES_Reading_FLA[Max Expectation - Per "&amp;VLOOKUP($D$2,'Reading Report Logic'!$A$2:$B$8,2,FALSE)&amp;"]")),FALSE)),
IF($J$2="Combined",
IFERROR(
IF(VLOOKUP($A496, YES_Reading_ELA[], COLUMN(INDIRECT("YES_Reading_ELA[Max Expectation - Per "&amp;VLOOKUP($D$2, 'Reading Report Logic'!$A$2:$B$8,2,FALSE)&amp;"]")), FALSE)="", "",
VLOOKUP($A496,YES_Reading_ELA[],COLUMN(INDIRECT("YES_Reading_ELA[Max Expectation - Per "&amp;VLOOKUP($D$2,'Reading Report Logic'!$A$2:$B$8,2,FALSE)&amp;"]")),FALSE)),
IF(VLOOKUP($A496, YES_Reading_FLA[], COLUMN(INDIRECT("YES_Reading_FLA[Max Expectation - Per "&amp;VLOOKUP($D$2, 'Reading Report Logic'!$A$2:$B$8, 2, FALSE)&amp;"]")),FALSE)="", "", VLOOKUP($A496,YES_Reading_FLA[],COLUMN(INDIRECT("YES_Reading_FLA[Max Expectation - Per "&amp;VLOOKUP($D$2, 'Reading Report Logic'!$A$2:$B$8, 2, FALSE)&amp;"]")),FALSE))),""))),"")</f>
        <v/>
      </c>
      <c r="G496" s="205" t="str" cm="1">
        <f t="array" aca="1" ref="G496" ca="1">IFERROR(
IF($J$2="ELA",
IF(VLOOKUP($A496, YES_Reading_ELA[], COLUMN(INDIRECT("YES_Reading_ELA[Difference - Per "&amp;VLOOKUP($D$2, 'Reading Report Logic'!$A$2:$B$8, 2, FALSE)&amp;"]")), FALSE)="", "",
VLOOKUP($A496,YES_Reading_ELA[], COLUMN(INDIRECT("YES_Reading_ELA[Difference - Per "&amp;VLOOKUP($D$2,'Reading Report Logic'!$A$2:$B$8,2,FALSE)&amp;"]")), FALSE)),
IF($J$2="FLA",
IF(VLOOKUP($A496, YES_Reading_FLA[], COLUMN(INDIRECT("YES_Reading_FLA[Difference - Per "&amp;VLOOKUP($D$2,'Reading Report Logic'!$A$2:$B$8,2,FALSE)&amp;"]")),FALSE)="","",
VLOOKUP($A496,YES_Reading_FLA[],COLUMN(INDIRECT("YES_Reading_FLA[Difference - Per "&amp;VLOOKUP($D$2,'Reading Report Logic'!$A$2:$B$8,2,FALSE)&amp;"]")),FALSE)),
IF($J$2="Combined",
IFERROR(
IF(VLOOKUP($A496, YES_Reading_ELA[], COLUMN(INDIRECT("YES_Reading_ELA[Difference - Per "&amp;VLOOKUP($D$2, 'Reading Report Logic'!$A$2:$B$8,2,FALSE)&amp;"]")), FALSE)="", "",
VLOOKUP($A496,YES_Reading_ELA[],COLUMN(INDIRECT("YES_Reading_ELA[Difference - Per "&amp;VLOOKUP($D$2,'Reading Report Logic'!$A$2:$B$8,2,FALSE)&amp;"]")),FALSE)),
IF(VLOOKUP($A496, YES_Reading_FLA[], COLUMN(INDIRECT("YES_Reading_FLA[Difference - Per "&amp;VLOOKUP($D$2, 'Reading Report Logic'!$A$2:$B$8, 2, FALSE)&amp;"]")),FALSE)="", "", VLOOKUP($A496,YES_Reading_FLA[],COLUMN(INDIRECT("YES_Reading_FLA[Difference - Per "&amp;VLOOKUP($D$2, 'Reading Report Logic'!$A$2:$B$8, 2, FALSE)&amp;"]")),FALSE))),""))),"")</f>
        <v/>
      </c>
      <c r="H496" s="206" t="str">
        <f ca="1">IFERROR(VLOOKUP('Teacher Reading Pull Sheets'!$D496,_xlfn.VSTACK('ELA Reading Logic'!$A$22:$B$48,'FLA Reading Logic'!$A$22:$B$53),2,FALSE)-VLOOKUP('Teacher Reading Pull Sheets'!$C496,_xlfn.VSTACK('ELA Reading Logic'!$A$22:$B$48,'FLA Reading Logic'!$A$22:$B$53),2,FALSE),"")</f>
        <v/>
      </c>
      <c r="I496" s="212"/>
      <c r="J496" s="206"/>
      <c r="K496" s="197" t="str" cm="1">
        <f t="array" ref="K496">IFERROR(
IF($J$2="ELA",
IF(VLOOKUP($A496, YES_Reading_ELA[], COLUMN(YES_Reading_ELA[Self-Identified as African Descent]), FALSE)="", "",
VLOOKUP($A496,YES_Reading_ELA[], COLUMN(YES_Reading_ELA[Self-Identified as African Descent]), FALSE)),
IF($J$2="FLA",
IF(VLOOKUP($A496, YES_Reading_FLA[], COLUMN(YES_Reading_FLA[Self-Identified as African Descent]),FALSE)="","",
VLOOKUP($A496,YES_Reading_FLA[],COLUMN(YES_Reading_FLA[Self-Identified as African Descent]),FALSE)),
IF($J$2="Combined",
IFERROR(
IF(VLOOKUP($A496, YES_Reading_ELA[], COLUMN(YES_Reading_ELA[Self-Identified as African Descent]), FALSE)="", "",
VLOOKUP($A496,YES_Reading_ELA[],COLUMN(YES_Reading_ELA[Self-Identified as African Descent]),FALSE)),
IF(VLOOKUP($A496, YES_Reading_FLA[], COLUMN(YES_Reading_FLA[Self-Identified as African Descent]),FALSE)="", "", VLOOKUP($A496,YES_Reading_FLA[],COLUMN(YES_Reading_FLA[Self-Identified as African Descent]),FALSE))),""))),"")</f>
        <v/>
      </c>
      <c r="L496" s="73" t="str" cm="1">
        <f t="array" ref="L496">IFERROR(
IF($J$2="ELA",
IF(VLOOKUP($A496, YES_Reading_ELA[], COLUMN(YES_Reading_ELA[Self-Identified as Indigenous]), FALSE)="", "",
VLOOKUP($A496,YES_Reading_ELA[], COLUMN(YES_Reading_ELA[Self-Identified as Indigenous]), FALSE)),
IF($J$2="FLA",
IF(VLOOKUP($A496, YES_Reading_FLA[], COLUMN(YES_Reading_FLA[Self-Identified as Indigenous]),FALSE)="","",
VLOOKUP($A496,YES_Reading_FLA[],COLUMN(YES_Reading_FLA[Self-Identified as Indigenous]),FALSE)),
IF($J$2="Combined",
IFERROR(
IF(VLOOKUP($A496, YES_Reading_ELA[], COLUMN(YES_Reading_ELA[Self-Identified as Indigenous]), FALSE)="", "",
VLOOKUP($A496,YES_Reading_ELA[],COLUMN(YES_Reading_ELA[Self-Identified as Indigenous]),FALSE)),
IF(VLOOKUP($A496, YES_Reading_FLA[], COLUMN(YES_Reading_FLA[Self-Identified as Indigenous]),FALSE)="", "", VLOOKUP($A496,YES_Reading_FLA[],COLUMN(YES_Reading_FLA[Self-Identified as Indigenous]),FALSE))),""))),"")</f>
        <v/>
      </c>
    </row>
    <row r="497" spans="1:12" ht="19.5" customHeight="1" x14ac:dyDescent="0.25">
      <c r="A497" s="217"/>
      <c r="B497" s="220" t="str">
        <f>IFERROR(VLOOKUP(A497,_xlfn.VSTACK(YES_Reading_ELA[],YES_Reading_FLA[]),2,FALSE),"")</f>
        <v/>
      </c>
      <c r="C497" s="203" t="str" cm="1">
        <f t="array" aca="1" ref="C497" ca="1">IFERROR(
IF($J$2="ELA",
IF(VLOOKUP($A497, YES_Reading_ELA[], COLUMN(IF(VLOOKUP($D$2, 'Reading Report Logic'!$A$2:$B$8, 2, FALSE)=1, YES_Reading_ELA[Reading Level June of Previous School Year], INDIRECT("YES_Reading_ELA[Instructional Reading Level - Per "&amp;(VLOOKUP($D$2,'Reading Report Logic'!$A$2:$B$8,2,FALSE)-1)&amp;"]"))), FALSE)="", "",
VLOOKUP($A497,YES_Reading_ELA[], COLUMN(IF(VLOOKUP($D$2,'Reading Report Logic'!$A$2:$B$8,2,FALSE)=1, YES_Reading_ELA[Reading Level June of Previous School Year],INDIRECT("YES_Reading_ELA[Instructional Reading Level - Per "&amp;(VLOOKUP($D$2,'Reading Report Logic'!$A$2:$B$8,2,FALSE)-1)&amp;"]"))), FALSE)),
IF($J$2="FLA",
IF(VLOOKUP($A497, YES_Reading_FLA[], COLUMN(IF(VLOOKUP($D$2,'Reading Report Logic'!$A$2:$B$8,2,FALSE)=1, YES_Reading_FLA[Reading Level June of Previous School Year],INDIRECT("YES_Reading_FLA[Instructional Reading Level - Per "&amp;(VLOOKUP($D$2,'Reading Report Logic'!$A$2:$B$8,2,FALSE)-1)&amp;"]"))),FALSE)="","",
VLOOKUP($A497,YES_Reading_FLA[], COLUMN(IF(VLOOKUP($D$2,'Reading Report Logic'!$A$2:$B$8,2,FALSE)=1, YES_Reading_FLA[Reading Level June of Previous School Year],INDIRECT("YES_Reading_FLA[Instructional Reading Level - Per "&amp;(VLOOKUP($D$2,'Reading Report Logic'!$A$2:$B$8,2,FALSE)-1)&amp;"]"))),FALSE)),
IF($J$2="Combined",
IFERROR(
IF(VLOOKUP($A497, YES_Reading_ELA[], COLUMN(IF(VLOOKUP($D$2,'Reading Report Logic'!$A$2:$B$8,2,FALSE)=1, YES_Reading_ELA[Reading Level June of Previous School Year],INDIRECT("YES_Reading_ELA[Instructional Reading Level - Per "&amp;(VLOOKUP($D$2,'Reading Report Logic'!$A$2:$B$8,2,FALSE)-1)&amp;"]"))), FALSE)="", "",
VLOOKUP($A497,YES_Reading_ELA[],COLUMN(IF(VLOOKUP($D$2,'Reading Report Logic'!$A$2:$B$8,2,FALSE)=1, YES_Reading_ELA[Reading Level June of Previous School Year],INDIRECT("YES_Reading_ELA[Instructional Reading Level - Per "&amp;(VLOOKUP($D$2,'Reading Report Logic'!$A$2:$B$8,2,FALSE)-1)&amp;"]"))),FALSE)),
IF(VLOOKUP($A497, YES_Reading_FLA[], COLUMN(IF(VLOOKUP($D$2,'Reading Report Logic'!$A$2:$B$8,2,FALSE)=1, YES_Reading_FLA[Reading Level June of Previous School Year],INDIRECT("YES_Reading_FLA[Instructional Reading Level - Per "&amp;(VLOOKUP($D$2,'Reading Report Logic'!$A$2:$B$8,2,FALSE)-1)&amp;"]"))),FALSE)="", "", VLOOKUP($A497,YES_Reading_FLA[],COLUMN(IF(VLOOKUP($D$2,'Reading Report Logic'!$A$2:$B$8,2,FALSE)=1, YES_Reading_FLA[Reading Level June of Previous School Year],INDIRECT("YES_Reading_FLA[Instructional Reading Level - Per "&amp;(VLOOKUP($D$2,'Reading Report Logic'!$A$2:$B$8,2,FALSE)-1)&amp;"]"))), FALSE))),""))),"")</f>
        <v/>
      </c>
      <c r="D497" s="204" t="str" cm="1">
        <f t="array" aca="1" ref="D497" ca="1">IFERROR(
IF($J$2="ELA",
IF(VLOOKUP($A497, YES_Reading_ELA[], COLUMN(INDIRECT("YES_Reading_ELA[Instructional Reading Level - Per "&amp;VLOOKUP($D$2, 'Reading Report Logic'!$A$2:$B$8, 2, FALSE)&amp;"]")), FALSE)="", "",
VLOOKUP($A497,YES_Reading_ELA[], COLUMN(INDIRECT("YES_Reading_ELA[Instructional Reading Level - Per "&amp;VLOOKUP($D$2,'Reading Report Logic'!$A$2:$B$8,2,FALSE)&amp;"]")), FALSE)),
IF($J$2="FLA",
IF(VLOOKUP($A497, YES_Reading_FLA[], COLUMN(INDIRECT("YES_Reading_FLA[Instructional Reading Level - Per "&amp;VLOOKUP($D$2,'Reading Report Logic'!$A$2:$B$8,2,FALSE)&amp;"]")),FALSE)="","",
VLOOKUP($A497,YES_Reading_FLA[],COLUMN(INDIRECT("YES_Reading_FLA[Instructional Reading Level - Per "&amp;VLOOKUP($D$2,'Reading Report Logic'!$A$2:$B$8,2,FALSE)&amp;"]")),FALSE)),
IF($J$2="Combined",
IFERROR(
IF(VLOOKUP($A497, YES_Reading_ELA[], COLUMN(INDIRECT("YES_Reading_ELA[Instructional Reading Level - Per "&amp;VLOOKUP($D$2, 'Reading Report Logic'!$A$2:$B$8,2,FALSE)&amp;"]")), FALSE)="", "",
VLOOKUP($A497,YES_Reading_ELA[],COLUMN(INDIRECT("YES_Reading_ELA[Instructional Reading Level - Per "&amp;VLOOKUP($D$2,'Reading Report Logic'!$A$2:$B$8,2,FALSE)&amp;"]")),FALSE)),
IF(VLOOKUP($A497, YES_Reading_FLA[], COLUMN(INDIRECT("YES_Reading_FLA[Instructional Reading Level - Per "&amp;VLOOKUP($D$2, 'Reading Report Logic'!$A$2:$B$8, 2, FALSE)&amp;"]")),FALSE)="", "", VLOOKUP($A497,YES_Reading_FLA[],COLUMN(INDIRECT("YES_Reading_FLA[Instructional Reading Level - Per "&amp;VLOOKUP($D$2, 'Reading Report Logic'!$A$2:$B$8, 2, FALSE)&amp;"]")),FALSE))),""))),"")</f>
        <v/>
      </c>
      <c r="E497" s="205" t="str" cm="1">
        <f t="array" aca="1" ref="E497" ca="1">IFERROR(
IF($J$2="ELA",
IF(VLOOKUP($A497, YES_Reading_ELA[], COLUMN(INDIRECT("YES_Reading_ELA[Min Expectation - Per "&amp;VLOOKUP($D$2, 'Reading Report Logic'!$A$2:$B$8, 2, FALSE)&amp;"]")), FALSE)="", "",
VLOOKUP($A497,YES_Reading_ELA[], COLUMN(INDIRECT("YES_Reading_ELA[Min Expectation - Per "&amp;VLOOKUP($D$2,'Reading Report Logic'!$A$2:$B$8,2,FALSE)&amp;"]")), FALSE)),
IF($J$2="FLA",
IF(VLOOKUP($A497, YES_Reading_FLA[], COLUMN(INDIRECT("YES_Reading_FLA[Min Expectation - Per "&amp;VLOOKUP($D$2,'Reading Report Logic'!$A$2:$B$8,2,FALSE)&amp;"]")),FALSE)="","",
VLOOKUP($A497,YES_Reading_FLA[],COLUMN(INDIRECT("YES_Reading_FLA[Min Expectation - Per "&amp;VLOOKUP($D$2,'Reading Report Logic'!$A$2:$B$8,2,FALSE)&amp;"]")),FALSE)),
IF($J$2="Combined",
IFERROR(
IF(VLOOKUP($A497, YES_Reading_ELA[], COLUMN(INDIRECT("YES_Reading_ELA[Min Expectation - Per "&amp;VLOOKUP($D$2, 'Reading Report Logic'!$A$2:$B$8,2,FALSE)&amp;"]")), FALSE)="", "",
VLOOKUP($A497,YES_Reading_ELA[],COLUMN(INDIRECT("YES_Reading_ELA[Min Expectation - Per "&amp;VLOOKUP($D$2,'Reading Report Logic'!$A$2:$B$8,2,FALSE)&amp;"]")),FALSE)),
IF(VLOOKUP($A497, YES_Reading_FLA[], COLUMN(INDIRECT("YES_Reading_FLA[Min Expectation - Per "&amp;VLOOKUP($D$2, 'Reading Report Logic'!$A$2:$B$8, 2, FALSE)&amp;"]")),FALSE)="", "", VLOOKUP($A497,YES_Reading_FLA[],COLUMN(INDIRECT("YES_Reading_FLA[Min Expectation - Per "&amp;VLOOKUP($D$2, 'Reading Report Logic'!$A$2:$B$8, 2, FALSE)&amp;"]")),FALSE))),""))),"")</f>
        <v/>
      </c>
      <c r="F497" s="205" t="str" cm="1">
        <f t="array" aca="1" ref="F497" ca="1">IFERROR(
IF($J$2="ELA",
IF(VLOOKUP($A497, YES_Reading_ELA[], COLUMN(INDIRECT("YES_Reading_ELA[Max Expectation - Per "&amp;VLOOKUP($D$2, 'Reading Report Logic'!$A$2:$B$8, 2, FALSE)&amp;"]")), FALSE)="", "",
VLOOKUP($A497,YES_Reading_ELA[], COLUMN(INDIRECT("YES_Reading_ELA[Max Expectation - Per "&amp;VLOOKUP($D$2,'Reading Report Logic'!$A$2:$B$8,2,FALSE)&amp;"]")), FALSE)),
IF($J$2="FLA",
IF(VLOOKUP($A497, YES_Reading_FLA[], COLUMN(INDIRECT("YES_Reading_FLA[Max Expectation - Per "&amp;VLOOKUP($D$2,'Reading Report Logic'!$A$2:$B$8,2,FALSE)&amp;"]")),FALSE)="","",
VLOOKUP($A497,YES_Reading_FLA[],COLUMN(INDIRECT("YES_Reading_FLA[Max Expectation - Per "&amp;VLOOKUP($D$2,'Reading Report Logic'!$A$2:$B$8,2,FALSE)&amp;"]")),FALSE)),
IF($J$2="Combined",
IFERROR(
IF(VLOOKUP($A497, YES_Reading_ELA[], COLUMN(INDIRECT("YES_Reading_ELA[Max Expectation - Per "&amp;VLOOKUP($D$2, 'Reading Report Logic'!$A$2:$B$8,2,FALSE)&amp;"]")), FALSE)="", "",
VLOOKUP($A497,YES_Reading_ELA[],COLUMN(INDIRECT("YES_Reading_ELA[Max Expectation - Per "&amp;VLOOKUP($D$2,'Reading Report Logic'!$A$2:$B$8,2,FALSE)&amp;"]")),FALSE)),
IF(VLOOKUP($A497, YES_Reading_FLA[], COLUMN(INDIRECT("YES_Reading_FLA[Max Expectation - Per "&amp;VLOOKUP($D$2, 'Reading Report Logic'!$A$2:$B$8, 2, FALSE)&amp;"]")),FALSE)="", "", VLOOKUP($A497,YES_Reading_FLA[],COLUMN(INDIRECT("YES_Reading_FLA[Max Expectation - Per "&amp;VLOOKUP($D$2, 'Reading Report Logic'!$A$2:$B$8, 2, FALSE)&amp;"]")),FALSE))),""))),"")</f>
        <v/>
      </c>
      <c r="G497" s="205" t="str" cm="1">
        <f t="array" aca="1" ref="G497" ca="1">IFERROR(
IF($J$2="ELA",
IF(VLOOKUP($A497, YES_Reading_ELA[], COLUMN(INDIRECT("YES_Reading_ELA[Difference - Per "&amp;VLOOKUP($D$2, 'Reading Report Logic'!$A$2:$B$8, 2, FALSE)&amp;"]")), FALSE)="", "",
VLOOKUP($A497,YES_Reading_ELA[], COLUMN(INDIRECT("YES_Reading_ELA[Difference - Per "&amp;VLOOKUP($D$2,'Reading Report Logic'!$A$2:$B$8,2,FALSE)&amp;"]")), FALSE)),
IF($J$2="FLA",
IF(VLOOKUP($A497, YES_Reading_FLA[], COLUMN(INDIRECT("YES_Reading_FLA[Difference - Per "&amp;VLOOKUP($D$2,'Reading Report Logic'!$A$2:$B$8,2,FALSE)&amp;"]")),FALSE)="","",
VLOOKUP($A497,YES_Reading_FLA[],COLUMN(INDIRECT("YES_Reading_FLA[Difference - Per "&amp;VLOOKUP($D$2,'Reading Report Logic'!$A$2:$B$8,2,FALSE)&amp;"]")),FALSE)),
IF($J$2="Combined",
IFERROR(
IF(VLOOKUP($A497, YES_Reading_ELA[], COLUMN(INDIRECT("YES_Reading_ELA[Difference - Per "&amp;VLOOKUP($D$2, 'Reading Report Logic'!$A$2:$B$8,2,FALSE)&amp;"]")), FALSE)="", "",
VLOOKUP($A497,YES_Reading_ELA[],COLUMN(INDIRECT("YES_Reading_ELA[Difference - Per "&amp;VLOOKUP($D$2,'Reading Report Logic'!$A$2:$B$8,2,FALSE)&amp;"]")),FALSE)),
IF(VLOOKUP($A497, YES_Reading_FLA[], COLUMN(INDIRECT("YES_Reading_FLA[Difference - Per "&amp;VLOOKUP($D$2, 'Reading Report Logic'!$A$2:$B$8, 2, FALSE)&amp;"]")),FALSE)="", "", VLOOKUP($A497,YES_Reading_FLA[],COLUMN(INDIRECT("YES_Reading_FLA[Difference - Per "&amp;VLOOKUP($D$2, 'Reading Report Logic'!$A$2:$B$8, 2, FALSE)&amp;"]")),FALSE))),""))),"")</f>
        <v/>
      </c>
      <c r="H497" s="206" t="str">
        <f ca="1">IFERROR(VLOOKUP('Teacher Reading Pull Sheets'!$D497,_xlfn.VSTACK('ELA Reading Logic'!$A$22:$B$48,'FLA Reading Logic'!$A$22:$B$53),2,FALSE)-VLOOKUP('Teacher Reading Pull Sheets'!$C497,_xlfn.VSTACK('ELA Reading Logic'!$A$22:$B$48,'FLA Reading Logic'!$A$22:$B$53),2,FALSE),"")</f>
        <v/>
      </c>
      <c r="I497" s="212"/>
      <c r="J497" s="206"/>
      <c r="K497" s="197" t="str" cm="1">
        <f t="array" ref="K497">IFERROR(
IF($J$2="ELA",
IF(VLOOKUP($A497, YES_Reading_ELA[], COLUMN(YES_Reading_ELA[Self-Identified as African Descent]), FALSE)="", "",
VLOOKUP($A497,YES_Reading_ELA[], COLUMN(YES_Reading_ELA[Self-Identified as African Descent]), FALSE)),
IF($J$2="FLA",
IF(VLOOKUP($A497, YES_Reading_FLA[], COLUMN(YES_Reading_FLA[Self-Identified as African Descent]),FALSE)="","",
VLOOKUP($A497,YES_Reading_FLA[],COLUMN(YES_Reading_FLA[Self-Identified as African Descent]),FALSE)),
IF($J$2="Combined",
IFERROR(
IF(VLOOKUP($A497, YES_Reading_ELA[], COLUMN(YES_Reading_ELA[Self-Identified as African Descent]), FALSE)="", "",
VLOOKUP($A497,YES_Reading_ELA[],COLUMN(YES_Reading_ELA[Self-Identified as African Descent]),FALSE)),
IF(VLOOKUP($A497, YES_Reading_FLA[], COLUMN(YES_Reading_FLA[Self-Identified as African Descent]),FALSE)="", "", VLOOKUP($A497,YES_Reading_FLA[],COLUMN(YES_Reading_FLA[Self-Identified as African Descent]),FALSE))),""))),"")</f>
        <v/>
      </c>
      <c r="L497" s="73" t="str" cm="1">
        <f t="array" ref="L497">IFERROR(
IF($J$2="ELA",
IF(VLOOKUP($A497, YES_Reading_ELA[], COLUMN(YES_Reading_ELA[Self-Identified as Indigenous]), FALSE)="", "",
VLOOKUP($A497,YES_Reading_ELA[], COLUMN(YES_Reading_ELA[Self-Identified as Indigenous]), FALSE)),
IF($J$2="FLA",
IF(VLOOKUP($A497, YES_Reading_FLA[], COLUMN(YES_Reading_FLA[Self-Identified as Indigenous]),FALSE)="","",
VLOOKUP($A497,YES_Reading_FLA[],COLUMN(YES_Reading_FLA[Self-Identified as Indigenous]),FALSE)),
IF($J$2="Combined",
IFERROR(
IF(VLOOKUP($A497, YES_Reading_ELA[], COLUMN(YES_Reading_ELA[Self-Identified as Indigenous]), FALSE)="", "",
VLOOKUP($A497,YES_Reading_ELA[],COLUMN(YES_Reading_ELA[Self-Identified as Indigenous]),FALSE)),
IF(VLOOKUP($A497, YES_Reading_FLA[], COLUMN(YES_Reading_FLA[Self-Identified as Indigenous]),FALSE)="", "", VLOOKUP($A497,YES_Reading_FLA[],COLUMN(YES_Reading_FLA[Self-Identified as Indigenous]),FALSE))),""))),"")</f>
        <v/>
      </c>
    </row>
    <row r="498" spans="1:12" ht="19.5" customHeight="1" x14ac:dyDescent="0.25">
      <c r="A498" s="217"/>
      <c r="B498" s="220" t="str">
        <f>IFERROR(VLOOKUP(A498,_xlfn.VSTACK(YES_Reading_ELA[],YES_Reading_FLA[]),2,FALSE),"")</f>
        <v/>
      </c>
      <c r="C498" s="203" t="str" cm="1">
        <f t="array" aca="1" ref="C498" ca="1">IFERROR(
IF($J$2="ELA",
IF(VLOOKUP($A498, YES_Reading_ELA[], COLUMN(IF(VLOOKUP($D$2, 'Reading Report Logic'!$A$2:$B$8, 2, FALSE)=1, YES_Reading_ELA[Reading Level June of Previous School Year], INDIRECT("YES_Reading_ELA[Instructional Reading Level - Per "&amp;(VLOOKUP($D$2,'Reading Report Logic'!$A$2:$B$8,2,FALSE)-1)&amp;"]"))), FALSE)="", "",
VLOOKUP($A498,YES_Reading_ELA[], COLUMN(IF(VLOOKUP($D$2,'Reading Report Logic'!$A$2:$B$8,2,FALSE)=1, YES_Reading_ELA[Reading Level June of Previous School Year],INDIRECT("YES_Reading_ELA[Instructional Reading Level - Per "&amp;(VLOOKUP($D$2,'Reading Report Logic'!$A$2:$B$8,2,FALSE)-1)&amp;"]"))), FALSE)),
IF($J$2="FLA",
IF(VLOOKUP($A498, YES_Reading_FLA[], COLUMN(IF(VLOOKUP($D$2,'Reading Report Logic'!$A$2:$B$8,2,FALSE)=1, YES_Reading_FLA[Reading Level June of Previous School Year],INDIRECT("YES_Reading_FLA[Instructional Reading Level - Per "&amp;(VLOOKUP($D$2,'Reading Report Logic'!$A$2:$B$8,2,FALSE)-1)&amp;"]"))),FALSE)="","",
VLOOKUP($A498,YES_Reading_FLA[], COLUMN(IF(VLOOKUP($D$2,'Reading Report Logic'!$A$2:$B$8,2,FALSE)=1, YES_Reading_FLA[Reading Level June of Previous School Year],INDIRECT("YES_Reading_FLA[Instructional Reading Level - Per "&amp;(VLOOKUP($D$2,'Reading Report Logic'!$A$2:$B$8,2,FALSE)-1)&amp;"]"))),FALSE)),
IF($J$2="Combined",
IFERROR(
IF(VLOOKUP($A498, YES_Reading_ELA[], COLUMN(IF(VLOOKUP($D$2,'Reading Report Logic'!$A$2:$B$8,2,FALSE)=1, YES_Reading_ELA[Reading Level June of Previous School Year],INDIRECT("YES_Reading_ELA[Instructional Reading Level - Per "&amp;(VLOOKUP($D$2,'Reading Report Logic'!$A$2:$B$8,2,FALSE)-1)&amp;"]"))), FALSE)="", "",
VLOOKUP($A498,YES_Reading_ELA[],COLUMN(IF(VLOOKUP($D$2,'Reading Report Logic'!$A$2:$B$8,2,FALSE)=1, YES_Reading_ELA[Reading Level June of Previous School Year],INDIRECT("YES_Reading_ELA[Instructional Reading Level - Per "&amp;(VLOOKUP($D$2,'Reading Report Logic'!$A$2:$B$8,2,FALSE)-1)&amp;"]"))),FALSE)),
IF(VLOOKUP($A498, YES_Reading_FLA[], COLUMN(IF(VLOOKUP($D$2,'Reading Report Logic'!$A$2:$B$8,2,FALSE)=1, YES_Reading_FLA[Reading Level June of Previous School Year],INDIRECT("YES_Reading_FLA[Instructional Reading Level - Per "&amp;(VLOOKUP($D$2,'Reading Report Logic'!$A$2:$B$8,2,FALSE)-1)&amp;"]"))),FALSE)="", "", VLOOKUP($A498,YES_Reading_FLA[],COLUMN(IF(VLOOKUP($D$2,'Reading Report Logic'!$A$2:$B$8,2,FALSE)=1, YES_Reading_FLA[Reading Level June of Previous School Year],INDIRECT("YES_Reading_FLA[Instructional Reading Level - Per "&amp;(VLOOKUP($D$2,'Reading Report Logic'!$A$2:$B$8,2,FALSE)-1)&amp;"]"))), FALSE))),""))),"")</f>
        <v/>
      </c>
      <c r="D498" s="204" t="str" cm="1">
        <f t="array" aca="1" ref="D498" ca="1">IFERROR(
IF($J$2="ELA",
IF(VLOOKUP($A498, YES_Reading_ELA[], COLUMN(INDIRECT("YES_Reading_ELA[Instructional Reading Level - Per "&amp;VLOOKUP($D$2, 'Reading Report Logic'!$A$2:$B$8, 2, FALSE)&amp;"]")), FALSE)="", "",
VLOOKUP($A498,YES_Reading_ELA[], COLUMN(INDIRECT("YES_Reading_ELA[Instructional Reading Level - Per "&amp;VLOOKUP($D$2,'Reading Report Logic'!$A$2:$B$8,2,FALSE)&amp;"]")), FALSE)),
IF($J$2="FLA",
IF(VLOOKUP($A498, YES_Reading_FLA[], COLUMN(INDIRECT("YES_Reading_FLA[Instructional Reading Level - Per "&amp;VLOOKUP($D$2,'Reading Report Logic'!$A$2:$B$8,2,FALSE)&amp;"]")),FALSE)="","",
VLOOKUP($A498,YES_Reading_FLA[],COLUMN(INDIRECT("YES_Reading_FLA[Instructional Reading Level - Per "&amp;VLOOKUP($D$2,'Reading Report Logic'!$A$2:$B$8,2,FALSE)&amp;"]")),FALSE)),
IF($J$2="Combined",
IFERROR(
IF(VLOOKUP($A498, YES_Reading_ELA[], COLUMN(INDIRECT("YES_Reading_ELA[Instructional Reading Level - Per "&amp;VLOOKUP($D$2, 'Reading Report Logic'!$A$2:$B$8,2,FALSE)&amp;"]")), FALSE)="", "",
VLOOKUP($A498,YES_Reading_ELA[],COLUMN(INDIRECT("YES_Reading_ELA[Instructional Reading Level - Per "&amp;VLOOKUP($D$2,'Reading Report Logic'!$A$2:$B$8,2,FALSE)&amp;"]")),FALSE)),
IF(VLOOKUP($A498, YES_Reading_FLA[], COLUMN(INDIRECT("YES_Reading_FLA[Instructional Reading Level - Per "&amp;VLOOKUP($D$2, 'Reading Report Logic'!$A$2:$B$8, 2, FALSE)&amp;"]")),FALSE)="", "", VLOOKUP($A498,YES_Reading_FLA[],COLUMN(INDIRECT("YES_Reading_FLA[Instructional Reading Level - Per "&amp;VLOOKUP($D$2, 'Reading Report Logic'!$A$2:$B$8, 2, FALSE)&amp;"]")),FALSE))),""))),"")</f>
        <v/>
      </c>
      <c r="E498" s="205" t="str" cm="1">
        <f t="array" aca="1" ref="E498" ca="1">IFERROR(
IF($J$2="ELA",
IF(VLOOKUP($A498, YES_Reading_ELA[], COLUMN(INDIRECT("YES_Reading_ELA[Min Expectation - Per "&amp;VLOOKUP($D$2, 'Reading Report Logic'!$A$2:$B$8, 2, FALSE)&amp;"]")), FALSE)="", "",
VLOOKUP($A498,YES_Reading_ELA[], COLUMN(INDIRECT("YES_Reading_ELA[Min Expectation - Per "&amp;VLOOKUP($D$2,'Reading Report Logic'!$A$2:$B$8,2,FALSE)&amp;"]")), FALSE)),
IF($J$2="FLA",
IF(VLOOKUP($A498, YES_Reading_FLA[], COLUMN(INDIRECT("YES_Reading_FLA[Min Expectation - Per "&amp;VLOOKUP($D$2,'Reading Report Logic'!$A$2:$B$8,2,FALSE)&amp;"]")),FALSE)="","",
VLOOKUP($A498,YES_Reading_FLA[],COLUMN(INDIRECT("YES_Reading_FLA[Min Expectation - Per "&amp;VLOOKUP($D$2,'Reading Report Logic'!$A$2:$B$8,2,FALSE)&amp;"]")),FALSE)),
IF($J$2="Combined",
IFERROR(
IF(VLOOKUP($A498, YES_Reading_ELA[], COLUMN(INDIRECT("YES_Reading_ELA[Min Expectation - Per "&amp;VLOOKUP($D$2, 'Reading Report Logic'!$A$2:$B$8,2,FALSE)&amp;"]")), FALSE)="", "",
VLOOKUP($A498,YES_Reading_ELA[],COLUMN(INDIRECT("YES_Reading_ELA[Min Expectation - Per "&amp;VLOOKUP($D$2,'Reading Report Logic'!$A$2:$B$8,2,FALSE)&amp;"]")),FALSE)),
IF(VLOOKUP($A498, YES_Reading_FLA[], COLUMN(INDIRECT("YES_Reading_FLA[Min Expectation - Per "&amp;VLOOKUP($D$2, 'Reading Report Logic'!$A$2:$B$8, 2, FALSE)&amp;"]")),FALSE)="", "", VLOOKUP($A498,YES_Reading_FLA[],COLUMN(INDIRECT("YES_Reading_FLA[Min Expectation - Per "&amp;VLOOKUP($D$2, 'Reading Report Logic'!$A$2:$B$8, 2, FALSE)&amp;"]")),FALSE))),""))),"")</f>
        <v/>
      </c>
      <c r="F498" s="205" t="str" cm="1">
        <f t="array" aca="1" ref="F498" ca="1">IFERROR(
IF($J$2="ELA",
IF(VLOOKUP($A498, YES_Reading_ELA[], COLUMN(INDIRECT("YES_Reading_ELA[Max Expectation - Per "&amp;VLOOKUP($D$2, 'Reading Report Logic'!$A$2:$B$8, 2, FALSE)&amp;"]")), FALSE)="", "",
VLOOKUP($A498,YES_Reading_ELA[], COLUMN(INDIRECT("YES_Reading_ELA[Max Expectation - Per "&amp;VLOOKUP($D$2,'Reading Report Logic'!$A$2:$B$8,2,FALSE)&amp;"]")), FALSE)),
IF($J$2="FLA",
IF(VLOOKUP($A498, YES_Reading_FLA[], COLUMN(INDIRECT("YES_Reading_FLA[Max Expectation - Per "&amp;VLOOKUP($D$2,'Reading Report Logic'!$A$2:$B$8,2,FALSE)&amp;"]")),FALSE)="","",
VLOOKUP($A498,YES_Reading_FLA[],COLUMN(INDIRECT("YES_Reading_FLA[Max Expectation - Per "&amp;VLOOKUP($D$2,'Reading Report Logic'!$A$2:$B$8,2,FALSE)&amp;"]")),FALSE)),
IF($J$2="Combined",
IFERROR(
IF(VLOOKUP($A498, YES_Reading_ELA[], COLUMN(INDIRECT("YES_Reading_ELA[Max Expectation - Per "&amp;VLOOKUP($D$2, 'Reading Report Logic'!$A$2:$B$8,2,FALSE)&amp;"]")), FALSE)="", "",
VLOOKUP($A498,YES_Reading_ELA[],COLUMN(INDIRECT("YES_Reading_ELA[Max Expectation - Per "&amp;VLOOKUP($D$2,'Reading Report Logic'!$A$2:$B$8,2,FALSE)&amp;"]")),FALSE)),
IF(VLOOKUP($A498, YES_Reading_FLA[], COLUMN(INDIRECT("YES_Reading_FLA[Max Expectation - Per "&amp;VLOOKUP($D$2, 'Reading Report Logic'!$A$2:$B$8, 2, FALSE)&amp;"]")),FALSE)="", "", VLOOKUP($A498,YES_Reading_FLA[],COLUMN(INDIRECT("YES_Reading_FLA[Max Expectation - Per "&amp;VLOOKUP($D$2, 'Reading Report Logic'!$A$2:$B$8, 2, FALSE)&amp;"]")),FALSE))),""))),"")</f>
        <v/>
      </c>
      <c r="G498" s="205" t="str" cm="1">
        <f t="array" aca="1" ref="G498" ca="1">IFERROR(
IF($J$2="ELA",
IF(VLOOKUP($A498, YES_Reading_ELA[], COLUMN(INDIRECT("YES_Reading_ELA[Difference - Per "&amp;VLOOKUP($D$2, 'Reading Report Logic'!$A$2:$B$8, 2, FALSE)&amp;"]")), FALSE)="", "",
VLOOKUP($A498,YES_Reading_ELA[], COLUMN(INDIRECT("YES_Reading_ELA[Difference - Per "&amp;VLOOKUP($D$2,'Reading Report Logic'!$A$2:$B$8,2,FALSE)&amp;"]")), FALSE)),
IF($J$2="FLA",
IF(VLOOKUP($A498, YES_Reading_FLA[], COLUMN(INDIRECT("YES_Reading_FLA[Difference - Per "&amp;VLOOKUP($D$2,'Reading Report Logic'!$A$2:$B$8,2,FALSE)&amp;"]")),FALSE)="","",
VLOOKUP($A498,YES_Reading_FLA[],COLUMN(INDIRECT("YES_Reading_FLA[Difference - Per "&amp;VLOOKUP($D$2,'Reading Report Logic'!$A$2:$B$8,2,FALSE)&amp;"]")),FALSE)),
IF($J$2="Combined",
IFERROR(
IF(VLOOKUP($A498, YES_Reading_ELA[], COLUMN(INDIRECT("YES_Reading_ELA[Difference - Per "&amp;VLOOKUP($D$2, 'Reading Report Logic'!$A$2:$B$8,2,FALSE)&amp;"]")), FALSE)="", "",
VLOOKUP($A498,YES_Reading_ELA[],COLUMN(INDIRECT("YES_Reading_ELA[Difference - Per "&amp;VLOOKUP($D$2,'Reading Report Logic'!$A$2:$B$8,2,FALSE)&amp;"]")),FALSE)),
IF(VLOOKUP($A498, YES_Reading_FLA[], COLUMN(INDIRECT("YES_Reading_FLA[Difference - Per "&amp;VLOOKUP($D$2, 'Reading Report Logic'!$A$2:$B$8, 2, FALSE)&amp;"]")),FALSE)="", "", VLOOKUP($A498,YES_Reading_FLA[],COLUMN(INDIRECT("YES_Reading_FLA[Difference - Per "&amp;VLOOKUP($D$2, 'Reading Report Logic'!$A$2:$B$8, 2, FALSE)&amp;"]")),FALSE))),""))),"")</f>
        <v/>
      </c>
      <c r="H498" s="206" t="str">
        <f ca="1">IFERROR(VLOOKUP('Teacher Reading Pull Sheets'!$D498,_xlfn.VSTACK('ELA Reading Logic'!$A$22:$B$48,'FLA Reading Logic'!$A$22:$B$53),2,FALSE)-VLOOKUP('Teacher Reading Pull Sheets'!$C498,_xlfn.VSTACK('ELA Reading Logic'!$A$22:$B$48,'FLA Reading Logic'!$A$22:$B$53),2,FALSE),"")</f>
        <v/>
      </c>
      <c r="I498" s="212"/>
      <c r="J498" s="206"/>
      <c r="K498" s="197" t="str" cm="1">
        <f t="array" ref="K498">IFERROR(
IF($J$2="ELA",
IF(VLOOKUP($A498, YES_Reading_ELA[], COLUMN(YES_Reading_ELA[Self-Identified as African Descent]), FALSE)="", "",
VLOOKUP($A498,YES_Reading_ELA[], COLUMN(YES_Reading_ELA[Self-Identified as African Descent]), FALSE)),
IF($J$2="FLA",
IF(VLOOKUP($A498, YES_Reading_FLA[], COLUMN(YES_Reading_FLA[Self-Identified as African Descent]),FALSE)="","",
VLOOKUP($A498,YES_Reading_FLA[],COLUMN(YES_Reading_FLA[Self-Identified as African Descent]),FALSE)),
IF($J$2="Combined",
IFERROR(
IF(VLOOKUP($A498, YES_Reading_ELA[], COLUMN(YES_Reading_ELA[Self-Identified as African Descent]), FALSE)="", "",
VLOOKUP($A498,YES_Reading_ELA[],COLUMN(YES_Reading_ELA[Self-Identified as African Descent]),FALSE)),
IF(VLOOKUP($A498, YES_Reading_FLA[], COLUMN(YES_Reading_FLA[Self-Identified as African Descent]),FALSE)="", "", VLOOKUP($A498,YES_Reading_FLA[],COLUMN(YES_Reading_FLA[Self-Identified as African Descent]),FALSE))),""))),"")</f>
        <v/>
      </c>
      <c r="L498" s="73" t="str" cm="1">
        <f t="array" ref="L498">IFERROR(
IF($J$2="ELA",
IF(VLOOKUP($A498, YES_Reading_ELA[], COLUMN(YES_Reading_ELA[Self-Identified as Indigenous]), FALSE)="", "",
VLOOKUP($A498,YES_Reading_ELA[], COLUMN(YES_Reading_ELA[Self-Identified as Indigenous]), FALSE)),
IF($J$2="FLA",
IF(VLOOKUP($A498, YES_Reading_FLA[], COLUMN(YES_Reading_FLA[Self-Identified as Indigenous]),FALSE)="","",
VLOOKUP($A498,YES_Reading_FLA[],COLUMN(YES_Reading_FLA[Self-Identified as Indigenous]),FALSE)),
IF($J$2="Combined",
IFERROR(
IF(VLOOKUP($A498, YES_Reading_ELA[], COLUMN(YES_Reading_ELA[Self-Identified as Indigenous]), FALSE)="", "",
VLOOKUP($A498,YES_Reading_ELA[],COLUMN(YES_Reading_ELA[Self-Identified as Indigenous]),FALSE)),
IF(VLOOKUP($A498, YES_Reading_FLA[], COLUMN(YES_Reading_FLA[Self-Identified as Indigenous]),FALSE)="", "", VLOOKUP($A498,YES_Reading_FLA[],COLUMN(YES_Reading_FLA[Self-Identified as Indigenous]),FALSE))),""))),"")</f>
        <v/>
      </c>
    </row>
    <row r="499" spans="1:12" ht="19.5" customHeight="1" x14ac:dyDescent="0.25">
      <c r="A499" s="217"/>
      <c r="B499" s="220" t="str">
        <f>IFERROR(VLOOKUP(A499,_xlfn.VSTACK(YES_Reading_ELA[],YES_Reading_FLA[]),2,FALSE),"")</f>
        <v/>
      </c>
      <c r="C499" s="203" t="str" cm="1">
        <f t="array" aca="1" ref="C499" ca="1">IFERROR(
IF($J$2="ELA",
IF(VLOOKUP($A499, YES_Reading_ELA[], COLUMN(IF(VLOOKUP($D$2, 'Reading Report Logic'!$A$2:$B$8, 2, FALSE)=1, YES_Reading_ELA[Reading Level June of Previous School Year], INDIRECT("YES_Reading_ELA[Instructional Reading Level - Per "&amp;(VLOOKUP($D$2,'Reading Report Logic'!$A$2:$B$8,2,FALSE)-1)&amp;"]"))), FALSE)="", "",
VLOOKUP($A499,YES_Reading_ELA[], COLUMN(IF(VLOOKUP($D$2,'Reading Report Logic'!$A$2:$B$8,2,FALSE)=1, YES_Reading_ELA[Reading Level June of Previous School Year],INDIRECT("YES_Reading_ELA[Instructional Reading Level - Per "&amp;(VLOOKUP($D$2,'Reading Report Logic'!$A$2:$B$8,2,FALSE)-1)&amp;"]"))), FALSE)),
IF($J$2="FLA",
IF(VLOOKUP($A499, YES_Reading_FLA[], COLUMN(IF(VLOOKUP($D$2,'Reading Report Logic'!$A$2:$B$8,2,FALSE)=1, YES_Reading_FLA[Reading Level June of Previous School Year],INDIRECT("YES_Reading_FLA[Instructional Reading Level - Per "&amp;(VLOOKUP($D$2,'Reading Report Logic'!$A$2:$B$8,2,FALSE)-1)&amp;"]"))),FALSE)="","",
VLOOKUP($A499,YES_Reading_FLA[], COLUMN(IF(VLOOKUP($D$2,'Reading Report Logic'!$A$2:$B$8,2,FALSE)=1, YES_Reading_FLA[Reading Level June of Previous School Year],INDIRECT("YES_Reading_FLA[Instructional Reading Level - Per "&amp;(VLOOKUP($D$2,'Reading Report Logic'!$A$2:$B$8,2,FALSE)-1)&amp;"]"))),FALSE)),
IF($J$2="Combined",
IFERROR(
IF(VLOOKUP($A499, YES_Reading_ELA[], COLUMN(IF(VLOOKUP($D$2,'Reading Report Logic'!$A$2:$B$8,2,FALSE)=1, YES_Reading_ELA[Reading Level June of Previous School Year],INDIRECT("YES_Reading_ELA[Instructional Reading Level - Per "&amp;(VLOOKUP($D$2,'Reading Report Logic'!$A$2:$B$8,2,FALSE)-1)&amp;"]"))), FALSE)="", "",
VLOOKUP($A499,YES_Reading_ELA[],COLUMN(IF(VLOOKUP($D$2,'Reading Report Logic'!$A$2:$B$8,2,FALSE)=1, YES_Reading_ELA[Reading Level June of Previous School Year],INDIRECT("YES_Reading_ELA[Instructional Reading Level - Per "&amp;(VLOOKUP($D$2,'Reading Report Logic'!$A$2:$B$8,2,FALSE)-1)&amp;"]"))),FALSE)),
IF(VLOOKUP($A499, YES_Reading_FLA[], COLUMN(IF(VLOOKUP($D$2,'Reading Report Logic'!$A$2:$B$8,2,FALSE)=1, YES_Reading_FLA[Reading Level June of Previous School Year],INDIRECT("YES_Reading_FLA[Instructional Reading Level - Per "&amp;(VLOOKUP($D$2,'Reading Report Logic'!$A$2:$B$8,2,FALSE)-1)&amp;"]"))),FALSE)="", "", VLOOKUP($A499,YES_Reading_FLA[],COLUMN(IF(VLOOKUP($D$2,'Reading Report Logic'!$A$2:$B$8,2,FALSE)=1, YES_Reading_FLA[Reading Level June of Previous School Year],INDIRECT("YES_Reading_FLA[Instructional Reading Level - Per "&amp;(VLOOKUP($D$2,'Reading Report Logic'!$A$2:$B$8,2,FALSE)-1)&amp;"]"))), FALSE))),""))),"")</f>
        <v/>
      </c>
      <c r="D499" s="204" t="str" cm="1">
        <f t="array" aca="1" ref="D499" ca="1">IFERROR(
IF($J$2="ELA",
IF(VLOOKUP($A499, YES_Reading_ELA[], COLUMN(INDIRECT("YES_Reading_ELA[Instructional Reading Level - Per "&amp;VLOOKUP($D$2, 'Reading Report Logic'!$A$2:$B$8, 2, FALSE)&amp;"]")), FALSE)="", "",
VLOOKUP($A499,YES_Reading_ELA[], COLUMN(INDIRECT("YES_Reading_ELA[Instructional Reading Level - Per "&amp;VLOOKUP($D$2,'Reading Report Logic'!$A$2:$B$8,2,FALSE)&amp;"]")), FALSE)),
IF($J$2="FLA",
IF(VLOOKUP($A499, YES_Reading_FLA[], COLUMN(INDIRECT("YES_Reading_FLA[Instructional Reading Level - Per "&amp;VLOOKUP($D$2,'Reading Report Logic'!$A$2:$B$8,2,FALSE)&amp;"]")),FALSE)="","",
VLOOKUP($A499,YES_Reading_FLA[],COLUMN(INDIRECT("YES_Reading_FLA[Instructional Reading Level - Per "&amp;VLOOKUP($D$2,'Reading Report Logic'!$A$2:$B$8,2,FALSE)&amp;"]")),FALSE)),
IF($J$2="Combined",
IFERROR(
IF(VLOOKUP($A499, YES_Reading_ELA[], COLUMN(INDIRECT("YES_Reading_ELA[Instructional Reading Level - Per "&amp;VLOOKUP($D$2, 'Reading Report Logic'!$A$2:$B$8,2,FALSE)&amp;"]")), FALSE)="", "",
VLOOKUP($A499,YES_Reading_ELA[],COLUMN(INDIRECT("YES_Reading_ELA[Instructional Reading Level - Per "&amp;VLOOKUP($D$2,'Reading Report Logic'!$A$2:$B$8,2,FALSE)&amp;"]")),FALSE)),
IF(VLOOKUP($A499, YES_Reading_FLA[], COLUMN(INDIRECT("YES_Reading_FLA[Instructional Reading Level - Per "&amp;VLOOKUP($D$2, 'Reading Report Logic'!$A$2:$B$8, 2, FALSE)&amp;"]")),FALSE)="", "", VLOOKUP($A499,YES_Reading_FLA[],COLUMN(INDIRECT("YES_Reading_FLA[Instructional Reading Level - Per "&amp;VLOOKUP($D$2, 'Reading Report Logic'!$A$2:$B$8, 2, FALSE)&amp;"]")),FALSE))),""))),"")</f>
        <v/>
      </c>
      <c r="E499" s="205" t="str" cm="1">
        <f t="array" aca="1" ref="E499" ca="1">IFERROR(
IF($J$2="ELA",
IF(VLOOKUP($A499, YES_Reading_ELA[], COLUMN(INDIRECT("YES_Reading_ELA[Min Expectation - Per "&amp;VLOOKUP($D$2, 'Reading Report Logic'!$A$2:$B$8, 2, FALSE)&amp;"]")), FALSE)="", "",
VLOOKUP($A499,YES_Reading_ELA[], COLUMN(INDIRECT("YES_Reading_ELA[Min Expectation - Per "&amp;VLOOKUP($D$2,'Reading Report Logic'!$A$2:$B$8,2,FALSE)&amp;"]")), FALSE)),
IF($J$2="FLA",
IF(VLOOKUP($A499, YES_Reading_FLA[], COLUMN(INDIRECT("YES_Reading_FLA[Min Expectation - Per "&amp;VLOOKUP($D$2,'Reading Report Logic'!$A$2:$B$8,2,FALSE)&amp;"]")),FALSE)="","",
VLOOKUP($A499,YES_Reading_FLA[],COLUMN(INDIRECT("YES_Reading_FLA[Min Expectation - Per "&amp;VLOOKUP($D$2,'Reading Report Logic'!$A$2:$B$8,2,FALSE)&amp;"]")),FALSE)),
IF($J$2="Combined",
IFERROR(
IF(VLOOKUP($A499, YES_Reading_ELA[], COLUMN(INDIRECT("YES_Reading_ELA[Min Expectation - Per "&amp;VLOOKUP($D$2, 'Reading Report Logic'!$A$2:$B$8,2,FALSE)&amp;"]")), FALSE)="", "",
VLOOKUP($A499,YES_Reading_ELA[],COLUMN(INDIRECT("YES_Reading_ELA[Min Expectation - Per "&amp;VLOOKUP($D$2,'Reading Report Logic'!$A$2:$B$8,2,FALSE)&amp;"]")),FALSE)),
IF(VLOOKUP($A499, YES_Reading_FLA[], COLUMN(INDIRECT("YES_Reading_FLA[Min Expectation - Per "&amp;VLOOKUP($D$2, 'Reading Report Logic'!$A$2:$B$8, 2, FALSE)&amp;"]")),FALSE)="", "", VLOOKUP($A499,YES_Reading_FLA[],COLUMN(INDIRECT("YES_Reading_FLA[Min Expectation - Per "&amp;VLOOKUP($D$2, 'Reading Report Logic'!$A$2:$B$8, 2, FALSE)&amp;"]")),FALSE))),""))),"")</f>
        <v/>
      </c>
      <c r="F499" s="205" t="str" cm="1">
        <f t="array" aca="1" ref="F499" ca="1">IFERROR(
IF($J$2="ELA",
IF(VLOOKUP($A499, YES_Reading_ELA[], COLUMN(INDIRECT("YES_Reading_ELA[Max Expectation - Per "&amp;VLOOKUP($D$2, 'Reading Report Logic'!$A$2:$B$8, 2, FALSE)&amp;"]")), FALSE)="", "",
VLOOKUP($A499,YES_Reading_ELA[], COLUMN(INDIRECT("YES_Reading_ELA[Max Expectation - Per "&amp;VLOOKUP($D$2,'Reading Report Logic'!$A$2:$B$8,2,FALSE)&amp;"]")), FALSE)),
IF($J$2="FLA",
IF(VLOOKUP($A499, YES_Reading_FLA[], COLUMN(INDIRECT("YES_Reading_FLA[Max Expectation - Per "&amp;VLOOKUP($D$2,'Reading Report Logic'!$A$2:$B$8,2,FALSE)&amp;"]")),FALSE)="","",
VLOOKUP($A499,YES_Reading_FLA[],COLUMN(INDIRECT("YES_Reading_FLA[Max Expectation - Per "&amp;VLOOKUP($D$2,'Reading Report Logic'!$A$2:$B$8,2,FALSE)&amp;"]")),FALSE)),
IF($J$2="Combined",
IFERROR(
IF(VLOOKUP($A499, YES_Reading_ELA[], COLUMN(INDIRECT("YES_Reading_ELA[Max Expectation - Per "&amp;VLOOKUP($D$2, 'Reading Report Logic'!$A$2:$B$8,2,FALSE)&amp;"]")), FALSE)="", "",
VLOOKUP($A499,YES_Reading_ELA[],COLUMN(INDIRECT("YES_Reading_ELA[Max Expectation - Per "&amp;VLOOKUP($D$2,'Reading Report Logic'!$A$2:$B$8,2,FALSE)&amp;"]")),FALSE)),
IF(VLOOKUP($A499, YES_Reading_FLA[], COLUMN(INDIRECT("YES_Reading_FLA[Max Expectation - Per "&amp;VLOOKUP($D$2, 'Reading Report Logic'!$A$2:$B$8, 2, FALSE)&amp;"]")),FALSE)="", "", VLOOKUP($A499,YES_Reading_FLA[],COLUMN(INDIRECT("YES_Reading_FLA[Max Expectation - Per "&amp;VLOOKUP($D$2, 'Reading Report Logic'!$A$2:$B$8, 2, FALSE)&amp;"]")),FALSE))),""))),"")</f>
        <v/>
      </c>
      <c r="G499" s="205" t="str" cm="1">
        <f t="array" aca="1" ref="G499" ca="1">IFERROR(
IF($J$2="ELA",
IF(VLOOKUP($A499, YES_Reading_ELA[], COLUMN(INDIRECT("YES_Reading_ELA[Difference - Per "&amp;VLOOKUP($D$2, 'Reading Report Logic'!$A$2:$B$8, 2, FALSE)&amp;"]")), FALSE)="", "",
VLOOKUP($A499,YES_Reading_ELA[], COLUMN(INDIRECT("YES_Reading_ELA[Difference - Per "&amp;VLOOKUP($D$2,'Reading Report Logic'!$A$2:$B$8,2,FALSE)&amp;"]")), FALSE)),
IF($J$2="FLA",
IF(VLOOKUP($A499, YES_Reading_FLA[], COLUMN(INDIRECT("YES_Reading_FLA[Difference - Per "&amp;VLOOKUP($D$2,'Reading Report Logic'!$A$2:$B$8,2,FALSE)&amp;"]")),FALSE)="","",
VLOOKUP($A499,YES_Reading_FLA[],COLUMN(INDIRECT("YES_Reading_FLA[Difference - Per "&amp;VLOOKUP($D$2,'Reading Report Logic'!$A$2:$B$8,2,FALSE)&amp;"]")),FALSE)),
IF($J$2="Combined",
IFERROR(
IF(VLOOKUP($A499, YES_Reading_ELA[], COLUMN(INDIRECT("YES_Reading_ELA[Difference - Per "&amp;VLOOKUP($D$2, 'Reading Report Logic'!$A$2:$B$8,2,FALSE)&amp;"]")), FALSE)="", "",
VLOOKUP($A499,YES_Reading_ELA[],COLUMN(INDIRECT("YES_Reading_ELA[Difference - Per "&amp;VLOOKUP($D$2,'Reading Report Logic'!$A$2:$B$8,2,FALSE)&amp;"]")),FALSE)),
IF(VLOOKUP($A499, YES_Reading_FLA[], COLUMN(INDIRECT("YES_Reading_FLA[Difference - Per "&amp;VLOOKUP($D$2, 'Reading Report Logic'!$A$2:$B$8, 2, FALSE)&amp;"]")),FALSE)="", "", VLOOKUP($A499,YES_Reading_FLA[],COLUMN(INDIRECT("YES_Reading_FLA[Difference - Per "&amp;VLOOKUP($D$2, 'Reading Report Logic'!$A$2:$B$8, 2, FALSE)&amp;"]")),FALSE))),""))),"")</f>
        <v/>
      </c>
      <c r="H499" s="206" t="str">
        <f ca="1">IFERROR(VLOOKUP('Teacher Reading Pull Sheets'!$D499,_xlfn.VSTACK('ELA Reading Logic'!$A$22:$B$48,'FLA Reading Logic'!$A$22:$B$53),2,FALSE)-VLOOKUP('Teacher Reading Pull Sheets'!$C499,_xlfn.VSTACK('ELA Reading Logic'!$A$22:$B$48,'FLA Reading Logic'!$A$22:$B$53),2,FALSE),"")</f>
        <v/>
      </c>
      <c r="I499" s="212"/>
      <c r="J499" s="206"/>
      <c r="K499" s="197" t="str" cm="1">
        <f t="array" ref="K499">IFERROR(
IF($J$2="ELA",
IF(VLOOKUP($A499, YES_Reading_ELA[], COLUMN(YES_Reading_ELA[Self-Identified as African Descent]), FALSE)="", "",
VLOOKUP($A499,YES_Reading_ELA[], COLUMN(YES_Reading_ELA[Self-Identified as African Descent]), FALSE)),
IF($J$2="FLA",
IF(VLOOKUP($A499, YES_Reading_FLA[], COLUMN(YES_Reading_FLA[Self-Identified as African Descent]),FALSE)="","",
VLOOKUP($A499,YES_Reading_FLA[],COLUMN(YES_Reading_FLA[Self-Identified as African Descent]),FALSE)),
IF($J$2="Combined",
IFERROR(
IF(VLOOKUP($A499, YES_Reading_ELA[], COLUMN(YES_Reading_ELA[Self-Identified as African Descent]), FALSE)="", "",
VLOOKUP($A499,YES_Reading_ELA[],COLUMN(YES_Reading_ELA[Self-Identified as African Descent]),FALSE)),
IF(VLOOKUP($A499, YES_Reading_FLA[], COLUMN(YES_Reading_FLA[Self-Identified as African Descent]),FALSE)="", "", VLOOKUP($A499,YES_Reading_FLA[],COLUMN(YES_Reading_FLA[Self-Identified as African Descent]),FALSE))),""))),"")</f>
        <v/>
      </c>
      <c r="L499" s="73" t="str" cm="1">
        <f t="array" ref="L499">IFERROR(
IF($J$2="ELA",
IF(VLOOKUP($A499, YES_Reading_ELA[], COLUMN(YES_Reading_ELA[Self-Identified as Indigenous]), FALSE)="", "",
VLOOKUP($A499,YES_Reading_ELA[], COLUMN(YES_Reading_ELA[Self-Identified as Indigenous]), FALSE)),
IF($J$2="FLA",
IF(VLOOKUP($A499, YES_Reading_FLA[], COLUMN(YES_Reading_FLA[Self-Identified as Indigenous]),FALSE)="","",
VLOOKUP($A499,YES_Reading_FLA[],COLUMN(YES_Reading_FLA[Self-Identified as Indigenous]),FALSE)),
IF($J$2="Combined",
IFERROR(
IF(VLOOKUP($A499, YES_Reading_ELA[], COLUMN(YES_Reading_ELA[Self-Identified as Indigenous]), FALSE)="", "",
VLOOKUP($A499,YES_Reading_ELA[],COLUMN(YES_Reading_ELA[Self-Identified as Indigenous]),FALSE)),
IF(VLOOKUP($A499, YES_Reading_FLA[], COLUMN(YES_Reading_FLA[Self-Identified as Indigenous]),FALSE)="", "", VLOOKUP($A499,YES_Reading_FLA[],COLUMN(YES_Reading_FLA[Self-Identified as Indigenous]),FALSE))),""))),"")</f>
        <v/>
      </c>
    </row>
    <row r="500" spans="1:12" ht="19.5" customHeight="1" x14ac:dyDescent="0.25">
      <c r="A500" s="217"/>
      <c r="B500" s="220" t="str">
        <f>IFERROR(VLOOKUP(A500,_xlfn.VSTACK(YES_Reading_ELA[],YES_Reading_FLA[]),2,FALSE),"")</f>
        <v/>
      </c>
      <c r="C500" s="203" t="str" cm="1">
        <f t="array" aca="1" ref="C500" ca="1">IFERROR(
IF($J$2="ELA",
IF(VLOOKUP($A500, YES_Reading_ELA[], COLUMN(IF(VLOOKUP($D$2, 'Reading Report Logic'!$A$2:$B$8, 2, FALSE)=1, YES_Reading_ELA[Reading Level June of Previous School Year], INDIRECT("YES_Reading_ELA[Instructional Reading Level - Per "&amp;(VLOOKUP($D$2,'Reading Report Logic'!$A$2:$B$8,2,FALSE)-1)&amp;"]"))), FALSE)="", "",
VLOOKUP($A500,YES_Reading_ELA[], COLUMN(IF(VLOOKUP($D$2,'Reading Report Logic'!$A$2:$B$8,2,FALSE)=1, YES_Reading_ELA[Reading Level June of Previous School Year],INDIRECT("YES_Reading_ELA[Instructional Reading Level - Per "&amp;(VLOOKUP($D$2,'Reading Report Logic'!$A$2:$B$8,2,FALSE)-1)&amp;"]"))), FALSE)),
IF($J$2="FLA",
IF(VLOOKUP($A500, YES_Reading_FLA[], COLUMN(IF(VLOOKUP($D$2,'Reading Report Logic'!$A$2:$B$8,2,FALSE)=1, YES_Reading_FLA[Reading Level June of Previous School Year],INDIRECT("YES_Reading_FLA[Instructional Reading Level - Per "&amp;(VLOOKUP($D$2,'Reading Report Logic'!$A$2:$B$8,2,FALSE)-1)&amp;"]"))),FALSE)="","",
VLOOKUP($A500,YES_Reading_FLA[], COLUMN(IF(VLOOKUP($D$2,'Reading Report Logic'!$A$2:$B$8,2,FALSE)=1, YES_Reading_FLA[Reading Level June of Previous School Year],INDIRECT("YES_Reading_FLA[Instructional Reading Level - Per "&amp;(VLOOKUP($D$2,'Reading Report Logic'!$A$2:$B$8,2,FALSE)-1)&amp;"]"))),FALSE)),
IF($J$2="Combined",
IFERROR(
IF(VLOOKUP($A500, YES_Reading_ELA[], COLUMN(IF(VLOOKUP($D$2,'Reading Report Logic'!$A$2:$B$8,2,FALSE)=1, YES_Reading_ELA[Reading Level June of Previous School Year],INDIRECT("YES_Reading_ELA[Instructional Reading Level - Per "&amp;(VLOOKUP($D$2,'Reading Report Logic'!$A$2:$B$8,2,FALSE)-1)&amp;"]"))), FALSE)="", "",
VLOOKUP($A500,YES_Reading_ELA[],COLUMN(IF(VLOOKUP($D$2,'Reading Report Logic'!$A$2:$B$8,2,FALSE)=1, YES_Reading_ELA[Reading Level June of Previous School Year],INDIRECT("YES_Reading_ELA[Instructional Reading Level - Per "&amp;(VLOOKUP($D$2,'Reading Report Logic'!$A$2:$B$8,2,FALSE)-1)&amp;"]"))),FALSE)),
IF(VLOOKUP($A500, YES_Reading_FLA[], COLUMN(IF(VLOOKUP($D$2,'Reading Report Logic'!$A$2:$B$8,2,FALSE)=1, YES_Reading_FLA[Reading Level June of Previous School Year],INDIRECT("YES_Reading_FLA[Instructional Reading Level - Per "&amp;(VLOOKUP($D$2,'Reading Report Logic'!$A$2:$B$8,2,FALSE)-1)&amp;"]"))),FALSE)="", "", VLOOKUP($A500,YES_Reading_FLA[],COLUMN(IF(VLOOKUP($D$2,'Reading Report Logic'!$A$2:$B$8,2,FALSE)=1, YES_Reading_FLA[Reading Level June of Previous School Year],INDIRECT("YES_Reading_FLA[Instructional Reading Level - Per "&amp;(VLOOKUP($D$2,'Reading Report Logic'!$A$2:$B$8,2,FALSE)-1)&amp;"]"))), FALSE))),""))),"")</f>
        <v/>
      </c>
      <c r="D500" s="204" t="str" cm="1">
        <f t="array" aca="1" ref="D500" ca="1">IFERROR(
IF($J$2="ELA",
IF(VLOOKUP($A500, YES_Reading_ELA[], COLUMN(INDIRECT("YES_Reading_ELA[Instructional Reading Level - Per "&amp;VLOOKUP($D$2, 'Reading Report Logic'!$A$2:$B$8, 2, FALSE)&amp;"]")), FALSE)="", "",
VLOOKUP($A500,YES_Reading_ELA[], COLUMN(INDIRECT("YES_Reading_ELA[Instructional Reading Level - Per "&amp;VLOOKUP($D$2,'Reading Report Logic'!$A$2:$B$8,2,FALSE)&amp;"]")), FALSE)),
IF($J$2="FLA",
IF(VLOOKUP($A500, YES_Reading_FLA[], COLUMN(INDIRECT("YES_Reading_FLA[Instructional Reading Level - Per "&amp;VLOOKUP($D$2,'Reading Report Logic'!$A$2:$B$8,2,FALSE)&amp;"]")),FALSE)="","",
VLOOKUP($A500,YES_Reading_FLA[],COLUMN(INDIRECT("YES_Reading_FLA[Instructional Reading Level - Per "&amp;VLOOKUP($D$2,'Reading Report Logic'!$A$2:$B$8,2,FALSE)&amp;"]")),FALSE)),
IF($J$2="Combined",
IFERROR(
IF(VLOOKUP($A500, YES_Reading_ELA[], COLUMN(INDIRECT("YES_Reading_ELA[Instructional Reading Level - Per "&amp;VLOOKUP($D$2, 'Reading Report Logic'!$A$2:$B$8,2,FALSE)&amp;"]")), FALSE)="", "",
VLOOKUP($A500,YES_Reading_ELA[],COLUMN(INDIRECT("YES_Reading_ELA[Instructional Reading Level - Per "&amp;VLOOKUP($D$2,'Reading Report Logic'!$A$2:$B$8,2,FALSE)&amp;"]")),FALSE)),
IF(VLOOKUP($A500, YES_Reading_FLA[], COLUMN(INDIRECT("YES_Reading_FLA[Instructional Reading Level - Per "&amp;VLOOKUP($D$2, 'Reading Report Logic'!$A$2:$B$8, 2, FALSE)&amp;"]")),FALSE)="", "", VLOOKUP($A500,YES_Reading_FLA[],COLUMN(INDIRECT("YES_Reading_FLA[Instructional Reading Level - Per "&amp;VLOOKUP($D$2, 'Reading Report Logic'!$A$2:$B$8, 2, FALSE)&amp;"]")),FALSE))),""))),"")</f>
        <v/>
      </c>
      <c r="E500" s="205" t="str" cm="1">
        <f t="array" aca="1" ref="E500" ca="1">IFERROR(
IF($J$2="ELA",
IF(VLOOKUP($A500, YES_Reading_ELA[], COLUMN(INDIRECT("YES_Reading_ELA[Min Expectation - Per "&amp;VLOOKUP($D$2, 'Reading Report Logic'!$A$2:$B$8, 2, FALSE)&amp;"]")), FALSE)="", "",
VLOOKUP($A500,YES_Reading_ELA[], COLUMN(INDIRECT("YES_Reading_ELA[Min Expectation - Per "&amp;VLOOKUP($D$2,'Reading Report Logic'!$A$2:$B$8,2,FALSE)&amp;"]")), FALSE)),
IF($J$2="FLA",
IF(VLOOKUP($A500, YES_Reading_FLA[], COLUMN(INDIRECT("YES_Reading_FLA[Min Expectation - Per "&amp;VLOOKUP($D$2,'Reading Report Logic'!$A$2:$B$8,2,FALSE)&amp;"]")),FALSE)="","",
VLOOKUP($A500,YES_Reading_FLA[],COLUMN(INDIRECT("YES_Reading_FLA[Min Expectation - Per "&amp;VLOOKUP($D$2,'Reading Report Logic'!$A$2:$B$8,2,FALSE)&amp;"]")),FALSE)),
IF($J$2="Combined",
IFERROR(
IF(VLOOKUP($A500, YES_Reading_ELA[], COLUMN(INDIRECT("YES_Reading_ELA[Min Expectation - Per "&amp;VLOOKUP($D$2, 'Reading Report Logic'!$A$2:$B$8,2,FALSE)&amp;"]")), FALSE)="", "",
VLOOKUP($A500,YES_Reading_ELA[],COLUMN(INDIRECT("YES_Reading_ELA[Min Expectation - Per "&amp;VLOOKUP($D$2,'Reading Report Logic'!$A$2:$B$8,2,FALSE)&amp;"]")),FALSE)),
IF(VLOOKUP($A500, YES_Reading_FLA[], COLUMN(INDIRECT("YES_Reading_FLA[Min Expectation - Per "&amp;VLOOKUP($D$2, 'Reading Report Logic'!$A$2:$B$8, 2, FALSE)&amp;"]")),FALSE)="", "", VLOOKUP($A500,YES_Reading_FLA[],COLUMN(INDIRECT("YES_Reading_FLA[Min Expectation - Per "&amp;VLOOKUP($D$2, 'Reading Report Logic'!$A$2:$B$8, 2, FALSE)&amp;"]")),FALSE))),""))),"")</f>
        <v/>
      </c>
      <c r="F500" s="205" t="str" cm="1">
        <f t="array" aca="1" ref="F500" ca="1">IFERROR(
IF($J$2="ELA",
IF(VLOOKUP($A500, YES_Reading_ELA[], COLUMN(INDIRECT("YES_Reading_ELA[Max Expectation - Per "&amp;VLOOKUP($D$2, 'Reading Report Logic'!$A$2:$B$8, 2, FALSE)&amp;"]")), FALSE)="", "",
VLOOKUP($A500,YES_Reading_ELA[], COLUMN(INDIRECT("YES_Reading_ELA[Max Expectation - Per "&amp;VLOOKUP($D$2,'Reading Report Logic'!$A$2:$B$8,2,FALSE)&amp;"]")), FALSE)),
IF($J$2="FLA",
IF(VLOOKUP($A500, YES_Reading_FLA[], COLUMN(INDIRECT("YES_Reading_FLA[Max Expectation - Per "&amp;VLOOKUP($D$2,'Reading Report Logic'!$A$2:$B$8,2,FALSE)&amp;"]")),FALSE)="","",
VLOOKUP($A500,YES_Reading_FLA[],COLUMN(INDIRECT("YES_Reading_FLA[Max Expectation - Per "&amp;VLOOKUP($D$2,'Reading Report Logic'!$A$2:$B$8,2,FALSE)&amp;"]")),FALSE)),
IF($J$2="Combined",
IFERROR(
IF(VLOOKUP($A500, YES_Reading_ELA[], COLUMN(INDIRECT("YES_Reading_ELA[Max Expectation - Per "&amp;VLOOKUP($D$2, 'Reading Report Logic'!$A$2:$B$8,2,FALSE)&amp;"]")), FALSE)="", "",
VLOOKUP($A500,YES_Reading_ELA[],COLUMN(INDIRECT("YES_Reading_ELA[Max Expectation - Per "&amp;VLOOKUP($D$2,'Reading Report Logic'!$A$2:$B$8,2,FALSE)&amp;"]")),FALSE)),
IF(VLOOKUP($A500, YES_Reading_FLA[], COLUMN(INDIRECT("YES_Reading_FLA[Max Expectation - Per "&amp;VLOOKUP($D$2, 'Reading Report Logic'!$A$2:$B$8, 2, FALSE)&amp;"]")),FALSE)="", "", VLOOKUP($A500,YES_Reading_FLA[],COLUMN(INDIRECT("YES_Reading_FLA[Max Expectation - Per "&amp;VLOOKUP($D$2, 'Reading Report Logic'!$A$2:$B$8, 2, FALSE)&amp;"]")),FALSE))),""))),"")</f>
        <v/>
      </c>
      <c r="G500" s="205" t="str" cm="1">
        <f t="array" aca="1" ref="G500" ca="1">IFERROR(
IF($J$2="ELA",
IF(VLOOKUP($A500, YES_Reading_ELA[], COLUMN(INDIRECT("YES_Reading_ELA[Difference - Per "&amp;VLOOKUP($D$2, 'Reading Report Logic'!$A$2:$B$8, 2, FALSE)&amp;"]")), FALSE)="", "",
VLOOKUP($A500,YES_Reading_ELA[], COLUMN(INDIRECT("YES_Reading_ELA[Difference - Per "&amp;VLOOKUP($D$2,'Reading Report Logic'!$A$2:$B$8,2,FALSE)&amp;"]")), FALSE)),
IF($J$2="FLA",
IF(VLOOKUP($A500, YES_Reading_FLA[], COLUMN(INDIRECT("YES_Reading_FLA[Difference - Per "&amp;VLOOKUP($D$2,'Reading Report Logic'!$A$2:$B$8,2,FALSE)&amp;"]")),FALSE)="","",
VLOOKUP($A500,YES_Reading_FLA[],COLUMN(INDIRECT("YES_Reading_FLA[Difference - Per "&amp;VLOOKUP($D$2,'Reading Report Logic'!$A$2:$B$8,2,FALSE)&amp;"]")),FALSE)),
IF($J$2="Combined",
IFERROR(
IF(VLOOKUP($A500, YES_Reading_ELA[], COLUMN(INDIRECT("YES_Reading_ELA[Difference - Per "&amp;VLOOKUP($D$2, 'Reading Report Logic'!$A$2:$B$8,2,FALSE)&amp;"]")), FALSE)="", "",
VLOOKUP($A500,YES_Reading_ELA[],COLUMN(INDIRECT("YES_Reading_ELA[Difference - Per "&amp;VLOOKUP($D$2,'Reading Report Logic'!$A$2:$B$8,2,FALSE)&amp;"]")),FALSE)),
IF(VLOOKUP($A500, YES_Reading_FLA[], COLUMN(INDIRECT("YES_Reading_FLA[Difference - Per "&amp;VLOOKUP($D$2, 'Reading Report Logic'!$A$2:$B$8, 2, FALSE)&amp;"]")),FALSE)="", "", VLOOKUP($A500,YES_Reading_FLA[],COLUMN(INDIRECT("YES_Reading_FLA[Difference - Per "&amp;VLOOKUP($D$2, 'Reading Report Logic'!$A$2:$B$8, 2, FALSE)&amp;"]")),FALSE))),""))),"")</f>
        <v/>
      </c>
      <c r="H500" s="206" t="str">
        <f ca="1">IFERROR(VLOOKUP('Teacher Reading Pull Sheets'!$D500,_xlfn.VSTACK('ELA Reading Logic'!$A$22:$B$48,'FLA Reading Logic'!$A$22:$B$53),2,FALSE)-VLOOKUP('Teacher Reading Pull Sheets'!$C500,_xlfn.VSTACK('ELA Reading Logic'!$A$22:$B$48,'FLA Reading Logic'!$A$22:$B$53),2,FALSE),"")</f>
        <v/>
      </c>
      <c r="I500" s="212"/>
      <c r="J500" s="206"/>
      <c r="K500" s="197" t="str" cm="1">
        <f t="array" ref="K500">IFERROR(
IF($J$2="ELA",
IF(VLOOKUP($A500, YES_Reading_ELA[], COLUMN(YES_Reading_ELA[Self-Identified as African Descent]), FALSE)="", "",
VLOOKUP($A500,YES_Reading_ELA[], COLUMN(YES_Reading_ELA[Self-Identified as African Descent]), FALSE)),
IF($J$2="FLA",
IF(VLOOKUP($A500, YES_Reading_FLA[], COLUMN(YES_Reading_FLA[Self-Identified as African Descent]),FALSE)="","",
VLOOKUP($A500,YES_Reading_FLA[],COLUMN(YES_Reading_FLA[Self-Identified as African Descent]),FALSE)),
IF($J$2="Combined",
IFERROR(
IF(VLOOKUP($A500, YES_Reading_ELA[], COLUMN(YES_Reading_ELA[Self-Identified as African Descent]), FALSE)="", "",
VLOOKUP($A500,YES_Reading_ELA[],COLUMN(YES_Reading_ELA[Self-Identified as African Descent]),FALSE)),
IF(VLOOKUP($A500, YES_Reading_FLA[], COLUMN(YES_Reading_FLA[Self-Identified as African Descent]),FALSE)="", "", VLOOKUP($A500,YES_Reading_FLA[],COLUMN(YES_Reading_FLA[Self-Identified as African Descent]),FALSE))),""))),"")</f>
        <v/>
      </c>
      <c r="L500" s="73" t="str" cm="1">
        <f t="array" ref="L500">IFERROR(
IF($J$2="ELA",
IF(VLOOKUP($A500, YES_Reading_ELA[], COLUMN(YES_Reading_ELA[Self-Identified as Indigenous]), FALSE)="", "",
VLOOKUP($A500,YES_Reading_ELA[], COLUMN(YES_Reading_ELA[Self-Identified as Indigenous]), FALSE)),
IF($J$2="FLA",
IF(VLOOKUP($A500, YES_Reading_FLA[], COLUMN(YES_Reading_FLA[Self-Identified as Indigenous]),FALSE)="","",
VLOOKUP($A500,YES_Reading_FLA[],COLUMN(YES_Reading_FLA[Self-Identified as Indigenous]),FALSE)),
IF($J$2="Combined",
IFERROR(
IF(VLOOKUP($A500, YES_Reading_ELA[], COLUMN(YES_Reading_ELA[Self-Identified as Indigenous]), FALSE)="", "",
VLOOKUP($A500,YES_Reading_ELA[],COLUMN(YES_Reading_ELA[Self-Identified as Indigenous]),FALSE)),
IF(VLOOKUP($A500, YES_Reading_FLA[], COLUMN(YES_Reading_FLA[Self-Identified as Indigenous]),FALSE)="", "", VLOOKUP($A500,YES_Reading_FLA[],COLUMN(YES_Reading_FLA[Self-Identified as Indigenous]),FALSE))),""))),"")</f>
        <v/>
      </c>
    </row>
    <row r="501" spans="1:12" ht="19.5" customHeight="1" thickBot="1" x14ac:dyDescent="0.3">
      <c r="A501" s="218"/>
      <c r="B501" s="221" t="str">
        <f>IFERROR(VLOOKUP(A501,_xlfn.VSTACK(YES_Reading_ELA[],YES_Reading_FLA[]),2,FALSE),"")</f>
        <v/>
      </c>
      <c r="C501" s="208" t="str" cm="1">
        <f t="array" aca="1" ref="C501" ca="1">IFERROR(
IF($J$2="ELA",
IF(VLOOKUP($A501, YES_Reading_ELA[], COLUMN(IF(VLOOKUP($D$2, 'Reading Report Logic'!$A$2:$B$8, 2, FALSE)=1, YES_Reading_ELA[Reading Level June of Previous School Year], INDIRECT("YES_Reading_ELA[Instructional Reading Level - Per "&amp;(VLOOKUP($D$2,'Reading Report Logic'!$A$2:$B$8,2,FALSE)-1)&amp;"]"))), FALSE)="", "",
VLOOKUP($A501,YES_Reading_ELA[], COLUMN(IF(VLOOKUP($D$2,'Reading Report Logic'!$A$2:$B$8,2,FALSE)=1, YES_Reading_ELA[Reading Level June of Previous School Year],INDIRECT("YES_Reading_ELA[Instructional Reading Level - Per "&amp;(VLOOKUP($D$2,'Reading Report Logic'!$A$2:$B$8,2,FALSE)-1)&amp;"]"))), FALSE)),
IF($J$2="FLA",
IF(VLOOKUP($A501, YES_Reading_FLA[], COLUMN(IF(VLOOKUP($D$2,'Reading Report Logic'!$A$2:$B$8,2,FALSE)=1, YES_Reading_FLA[Reading Level June of Previous School Year],INDIRECT("YES_Reading_FLA[Instructional Reading Level - Per "&amp;(VLOOKUP($D$2,'Reading Report Logic'!$A$2:$B$8,2,FALSE)-1)&amp;"]"))),FALSE)="","",
VLOOKUP($A501,YES_Reading_FLA[], COLUMN(IF(VLOOKUP($D$2,'Reading Report Logic'!$A$2:$B$8,2,FALSE)=1, YES_Reading_FLA[Reading Level June of Previous School Year],INDIRECT("YES_Reading_FLA[Instructional Reading Level - Per "&amp;(VLOOKUP($D$2,'Reading Report Logic'!$A$2:$B$8,2,FALSE)-1)&amp;"]"))),FALSE)),
IF($J$2="Combined",
IFERROR(
IF(VLOOKUP($A501, YES_Reading_ELA[], COLUMN(IF(VLOOKUP($D$2,'Reading Report Logic'!$A$2:$B$8,2,FALSE)=1, YES_Reading_ELA[Reading Level June of Previous School Year],INDIRECT("YES_Reading_ELA[Instructional Reading Level - Per "&amp;(VLOOKUP($D$2,'Reading Report Logic'!$A$2:$B$8,2,FALSE)-1)&amp;"]"))), FALSE)="", "",
VLOOKUP($A501,YES_Reading_ELA[],COLUMN(IF(VLOOKUP($D$2,'Reading Report Logic'!$A$2:$B$8,2,FALSE)=1, YES_Reading_ELA[Reading Level June of Previous School Year],INDIRECT("YES_Reading_ELA[Instructional Reading Level - Per "&amp;(VLOOKUP($D$2,'Reading Report Logic'!$A$2:$B$8,2,FALSE)-1)&amp;"]"))),FALSE)),
IF(VLOOKUP($A501, YES_Reading_FLA[], COLUMN(IF(VLOOKUP($D$2,'Reading Report Logic'!$A$2:$B$8,2,FALSE)=1, YES_Reading_FLA[Reading Level June of Previous School Year],INDIRECT("YES_Reading_FLA[Instructional Reading Level - Per "&amp;(VLOOKUP($D$2,'Reading Report Logic'!$A$2:$B$8,2,FALSE)-1)&amp;"]"))),FALSE)="", "", VLOOKUP($A501,YES_Reading_FLA[],COLUMN(IF(VLOOKUP($D$2,'Reading Report Logic'!$A$2:$B$8,2,FALSE)=1, YES_Reading_FLA[Reading Level June of Previous School Year],INDIRECT("YES_Reading_FLA[Instructional Reading Level - Per "&amp;(VLOOKUP($D$2,'Reading Report Logic'!$A$2:$B$8,2,FALSE)-1)&amp;"]"))), FALSE))),""))),"")</f>
        <v/>
      </c>
      <c r="D501" s="209" t="str" cm="1">
        <f t="array" aca="1" ref="D501" ca="1">IFERROR(
IF($J$2="ELA",
IF(VLOOKUP($A501, YES_Reading_ELA[], COLUMN(INDIRECT("YES_Reading_ELA[Instructional Reading Level - Per "&amp;VLOOKUP($D$2, 'Reading Report Logic'!$A$2:$B$8, 2, FALSE)&amp;"]")), FALSE)="", "",
VLOOKUP($A501,YES_Reading_ELA[], COLUMN(INDIRECT("YES_Reading_ELA[Instructional Reading Level - Per "&amp;VLOOKUP($D$2,'Reading Report Logic'!$A$2:$B$8,2,FALSE)&amp;"]")), FALSE)),
IF($J$2="FLA",
IF(VLOOKUP($A501, YES_Reading_FLA[], COLUMN(INDIRECT("YES_Reading_FLA[Instructional Reading Level - Per "&amp;VLOOKUP($D$2,'Reading Report Logic'!$A$2:$B$8,2,FALSE)&amp;"]")),FALSE)="","",
VLOOKUP($A501,YES_Reading_FLA[],COLUMN(INDIRECT("YES_Reading_FLA[Instructional Reading Level - Per "&amp;VLOOKUP($D$2,'Reading Report Logic'!$A$2:$B$8,2,FALSE)&amp;"]")),FALSE)),
IF($J$2="Combined",
IFERROR(
IF(VLOOKUP($A501, YES_Reading_ELA[], COLUMN(INDIRECT("YES_Reading_ELA[Instructional Reading Level - Per "&amp;VLOOKUP($D$2, 'Reading Report Logic'!$A$2:$B$8,2,FALSE)&amp;"]")), FALSE)="", "",
VLOOKUP($A501,YES_Reading_ELA[],COLUMN(INDIRECT("YES_Reading_ELA[Instructional Reading Level - Per "&amp;VLOOKUP($D$2,'Reading Report Logic'!$A$2:$B$8,2,FALSE)&amp;"]")),FALSE)),
IF(VLOOKUP($A501, YES_Reading_FLA[], COLUMN(INDIRECT("YES_Reading_FLA[Instructional Reading Level - Per "&amp;VLOOKUP($D$2, 'Reading Report Logic'!$A$2:$B$8, 2, FALSE)&amp;"]")),FALSE)="", "", VLOOKUP($A501,YES_Reading_FLA[],COLUMN(INDIRECT("YES_Reading_FLA[Instructional Reading Level - Per "&amp;VLOOKUP($D$2, 'Reading Report Logic'!$A$2:$B$8, 2, FALSE)&amp;"]")),FALSE))),""))),"")</f>
        <v/>
      </c>
      <c r="E501" s="210" t="str" cm="1">
        <f t="array" aca="1" ref="E501" ca="1">IFERROR(
IF($J$2="ELA",
IF(VLOOKUP($A501, YES_Reading_ELA[], COLUMN(INDIRECT("YES_Reading_ELA[Min Expectation - Per "&amp;VLOOKUP($D$2, 'Reading Report Logic'!$A$2:$B$8, 2, FALSE)&amp;"]")), FALSE)="", "",
VLOOKUP($A501,YES_Reading_ELA[], COLUMN(INDIRECT("YES_Reading_ELA[Min Expectation - Per "&amp;VLOOKUP($D$2,'Reading Report Logic'!$A$2:$B$8,2,FALSE)&amp;"]")), FALSE)),
IF($J$2="FLA",
IF(VLOOKUP($A501, YES_Reading_FLA[], COLUMN(INDIRECT("YES_Reading_FLA[Min Expectation - Per "&amp;VLOOKUP($D$2,'Reading Report Logic'!$A$2:$B$8,2,FALSE)&amp;"]")),FALSE)="","",
VLOOKUP($A501,YES_Reading_FLA[],COLUMN(INDIRECT("YES_Reading_FLA[Min Expectation - Per "&amp;VLOOKUP($D$2,'Reading Report Logic'!$A$2:$B$8,2,FALSE)&amp;"]")),FALSE)),
IF($J$2="Combined",
IFERROR(
IF(VLOOKUP($A501, YES_Reading_ELA[], COLUMN(INDIRECT("YES_Reading_ELA[Min Expectation - Per "&amp;VLOOKUP($D$2, 'Reading Report Logic'!$A$2:$B$8,2,FALSE)&amp;"]")), FALSE)="", "",
VLOOKUP($A501,YES_Reading_ELA[],COLUMN(INDIRECT("YES_Reading_ELA[Min Expectation - Per "&amp;VLOOKUP($D$2,'Reading Report Logic'!$A$2:$B$8,2,FALSE)&amp;"]")),FALSE)),
IF(VLOOKUP($A501, YES_Reading_FLA[], COLUMN(INDIRECT("YES_Reading_FLA[Min Expectation - Per "&amp;VLOOKUP($D$2, 'Reading Report Logic'!$A$2:$B$8, 2, FALSE)&amp;"]")),FALSE)="", "", VLOOKUP($A501,YES_Reading_FLA[],COLUMN(INDIRECT("YES_Reading_FLA[Min Expectation - Per "&amp;VLOOKUP($D$2, 'Reading Report Logic'!$A$2:$B$8, 2, FALSE)&amp;"]")),FALSE))),""))),"")</f>
        <v/>
      </c>
      <c r="F501" s="210" t="str" cm="1">
        <f t="array" aca="1" ref="F501" ca="1">IFERROR(
IF($J$2="ELA",
IF(VLOOKUP($A501, YES_Reading_ELA[], COLUMN(INDIRECT("YES_Reading_ELA[Max Expectation - Per "&amp;VLOOKUP($D$2, 'Reading Report Logic'!$A$2:$B$8, 2, FALSE)&amp;"]")), FALSE)="", "",
VLOOKUP($A501,YES_Reading_ELA[], COLUMN(INDIRECT("YES_Reading_ELA[Max Expectation - Per "&amp;VLOOKUP($D$2,'Reading Report Logic'!$A$2:$B$8,2,FALSE)&amp;"]")), FALSE)),
IF($J$2="FLA",
IF(VLOOKUP($A501, YES_Reading_FLA[], COLUMN(INDIRECT("YES_Reading_FLA[Max Expectation - Per "&amp;VLOOKUP($D$2,'Reading Report Logic'!$A$2:$B$8,2,FALSE)&amp;"]")),FALSE)="","",
VLOOKUP($A501,YES_Reading_FLA[],COLUMN(INDIRECT("YES_Reading_FLA[Max Expectation - Per "&amp;VLOOKUP($D$2,'Reading Report Logic'!$A$2:$B$8,2,FALSE)&amp;"]")),FALSE)),
IF($J$2="Combined",
IFERROR(
IF(VLOOKUP($A501, YES_Reading_ELA[], COLUMN(INDIRECT("YES_Reading_ELA[Max Expectation - Per "&amp;VLOOKUP($D$2, 'Reading Report Logic'!$A$2:$B$8,2,FALSE)&amp;"]")), FALSE)="", "",
VLOOKUP($A501,YES_Reading_ELA[],COLUMN(INDIRECT("YES_Reading_ELA[Max Expectation - Per "&amp;VLOOKUP($D$2,'Reading Report Logic'!$A$2:$B$8,2,FALSE)&amp;"]")),FALSE)),
IF(VLOOKUP($A501, YES_Reading_FLA[], COLUMN(INDIRECT("YES_Reading_FLA[Max Expectation - Per "&amp;VLOOKUP($D$2, 'Reading Report Logic'!$A$2:$B$8, 2, FALSE)&amp;"]")),FALSE)="", "", VLOOKUP($A501,YES_Reading_FLA[],COLUMN(INDIRECT("YES_Reading_FLA[Max Expectation - Per "&amp;VLOOKUP($D$2, 'Reading Report Logic'!$A$2:$B$8, 2, FALSE)&amp;"]")),FALSE))),""))),"")</f>
        <v/>
      </c>
      <c r="G501" s="210" t="str" cm="1">
        <f t="array" aca="1" ref="G501" ca="1">IFERROR(
IF($J$2="ELA",
IF(VLOOKUP($A501, YES_Reading_ELA[], COLUMN(INDIRECT("YES_Reading_ELA[Difference - Per "&amp;VLOOKUP($D$2, 'Reading Report Logic'!$A$2:$B$8, 2, FALSE)&amp;"]")), FALSE)="", "",
VLOOKUP($A501,YES_Reading_ELA[], COLUMN(INDIRECT("YES_Reading_ELA[Difference - Per "&amp;VLOOKUP($D$2,'Reading Report Logic'!$A$2:$B$8,2,FALSE)&amp;"]")), FALSE)),
IF($J$2="FLA",
IF(VLOOKUP($A501, YES_Reading_FLA[], COLUMN(INDIRECT("YES_Reading_FLA[Difference - Per "&amp;VLOOKUP($D$2,'Reading Report Logic'!$A$2:$B$8,2,FALSE)&amp;"]")),FALSE)="","",
VLOOKUP($A501,YES_Reading_FLA[],COLUMN(INDIRECT("YES_Reading_FLA[Difference - Per "&amp;VLOOKUP($D$2,'Reading Report Logic'!$A$2:$B$8,2,FALSE)&amp;"]")),FALSE)),
IF($J$2="Combined",
IFERROR(
IF(VLOOKUP($A501, YES_Reading_ELA[], COLUMN(INDIRECT("YES_Reading_ELA[Difference - Per "&amp;VLOOKUP($D$2, 'Reading Report Logic'!$A$2:$B$8,2,FALSE)&amp;"]")), FALSE)="", "",
VLOOKUP($A501,YES_Reading_ELA[],COLUMN(INDIRECT("YES_Reading_ELA[Difference - Per "&amp;VLOOKUP($D$2,'Reading Report Logic'!$A$2:$B$8,2,FALSE)&amp;"]")),FALSE)),
IF(VLOOKUP($A501, YES_Reading_FLA[], COLUMN(INDIRECT("YES_Reading_FLA[Difference - Per "&amp;VLOOKUP($D$2, 'Reading Report Logic'!$A$2:$B$8, 2, FALSE)&amp;"]")),FALSE)="", "", VLOOKUP($A501,YES_Reading_FLA[],COLUMN(INDIRECT("YES_Reading_FLA[Difference - Per "&amp;VLOOKUP($D$2, 'Reading Report Logic'!$A$2:$B$8, 2, FALSE)&amp;"]")),FALSE))),""))),"")</f>
        <v/>
      </c>
      <c r="H501" s="211" t="str">
        <f ca="1">IFERROR(VLOOKUP('Teacher Reading Pull Sheets'!$D501,_xlfn.VSTACK('ELA Reading Logic'!$A$22:$B$48,'FLA Reading Logic'!$A$22:$B$53),2,FALSE)-VLOOKUP('Teacher Reading Pull Sheets'!$C501,_xlfn.VSTACK('ELA Reading Logic'!$A$22:$B$48,'FLA Reading Logic'!$A$22:$B$53),2,FALSE),"")</f>
        <v/>
      </c>
      <c r="I501" s="213"/>
      <c r="J501" s="211"/>
      <c r="K501" s="198" t="str" cm="1">
        <f t="array" ref="K501">IFERROR(
IF($J$2="ELA",
IF(VLOOKUP($A501, YES_Reading_ELA[], COLUMN(YES_Reading_ELA[Self-Identified as African Descent]), FALSE)="", "",
VLOOKUP($A501,YES_Reading_ELA[], COLUMN(YES_Reading_ELA[Self-Identified as African Descent]), FALSE)),
IF($J$2="FLA",
IF(VLOOKUP($A501, YES_Reading_FLA[], COLUMN(YES_Reading_FLA[Self-Identified as African Descent]),FALSE)="","",
VLOOKUP($A501,YES_Reading_FLA[],COLUMN(YES_Reading_FLA[Self-Identified as African Descent]),FALSE)),
IF($J$2="Combined",
IFERROR(
IF(VLOOKUP($A501, YES_Reading_ELA[], COLUMN(YES_Reading_ELA[Self-Identified as African Descent]), FALSE)="", "",
VLOOKUP($A501,YES_Reading_ELA[],COLUMN(YES_Reading_ELA[Self-Identified as African Descent]),FALSE)),
IF(VLOOKUP($A501, YES_Reading_FLA[], COLUMN(YES_Reading_FLA[Self-Identified as African Descent]),FALSE)="", "", VLOOKUP($A501,YES_Reading_FLA[],COLUMN(YES_Reading_FLA[Self-Identified as African Descent]),FALSE))),""))),"")</f>
        <v/>
      </c>
      <c r="L501" s="74" t="str" cm="1">
        <f t="array" ref="L501">IFERROR(
IF($J$2="ELA",
IF(VLOOKUP($A501, YES_Reading_ELA[], COLUMN(YES_Reading_ELA[Self-Identified as Indigenous]), FALSE)="", "",
VLOOKUP($A501,YES_Reading_ELA[], COLUMN(YES_Reading_ELA[Self-Identified as Indigenous]), FALSE)),
IF($J$2="FLA",
IF(VLOOKUP($A501, YES_Reading_FLA[], COLUMN(YES_Reading_FLA[Self-Identified as Indigenous]),FALSE)="","",
VLOOKUP($A501,YES_Reading_FLA[],COLUMN(YES_Reading_FLA[Self-Identified as Indigenous]),FALSE)),
IF($J$2="Combined",
IFERROR(
IF(VLOOKUP($A501, YES_Reading_ELA[], COLUMN(YES_Reading_ELA[Self-Identified as Indigenous]), FALSE)="", "",
VLOOKUP($A501,YES_Reading_ELA[],COLUMN(YES_Reading_ELA[Self-Identified as Indigenous]),FALSE)),
IF(VLOOKUP($A501, YES_Reading_FLA[], COLUMN(YES_Reading_FLA[Self-Identified as Indigenous]),FALSE)="", "", VLOOKUP($A501,YES_Reading_FLA[],COLUMN(YES_Reading_FLA[Self-Identified as Indigenous]),FALSE))),""))),"")</f>
        <v/>
      </c>
    </row>
    <row r="502" spans="1:12" x14ac:dyDescent="0.25">
      <c r="A502" s="214"/>
      <c r="B502" s="214" t="s">
        <v>241</v>
      </c>
      <c r="C502" s="214"/>
      <c r="D502" s="215" t="str" cm="1">
        <f t="array" ref="D502">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Set")))=$D$1)),1,1,FALSE),FALSE,FALSE),17),"")</f>
        <v/>
      </c>
      <c r="E502" s="215"/>
      <c r="F502" s="215"/>
      <c r="G502" s="215"/>
      <c r="H502" s="355" t="s">
        <v>242</v>
      </c>
      <c r="I502" s="356"/>
      <c r="J502" s="215"/>
    </row>
    <row r="503" spans="1:12" x14ac:dyDescent="0.25">
      <c r="A503" s="214"/>
      <c r="B503" s="214" t="str">
        <f>"Date: "&amp;$D$3</f>
        <v xml:space="preserve">Date: </v>
      </c>
      <c r="C503" s="214"/>
      <c r="D503" s="215"/>
      <c r="E503" s="215"/>
      <c r="F503" s="215"/>
      <c r="G503" s="215"/>
      <c r="H503" s="357" t="s">
        <v>243</v>
      </c>
      <c r="I503" s="358"/>
      <c r="J503" s="215"/>
    </row>
    <row r="504" spans="1:12" ht="15.75" thickBot="1" x14ac:dyDescent="0.3">
      <c r="A504" s="215"/>
      <c r="B504" s="215"/>
      <c r="C504" s="215"/>
      <c r="D504" s="215"/>
      <c r="E504" s="215"/>
      <c r="F504" s="215"/>
      <c r="G504" s="215"/>
      <c r="H504" s="353" t="s">
        <v>244</v>
      </c>
      <c r="I504" s="354"/>
      <c r="J504" s="215"/>
    </row>
    <row r="505" spans="1:12" ht="85.5" customHeight="1" thickBot="1" x14ac:dyDescent="0.3">
      <c r="A505" s="192" t="s">
        <v>44</v>
      </c>
      <c r="B505" s="187" t="s">
        <v>245</v>
      </c>
      <c r="C505" s="188" t="s">
        <v>246</v>
      </c>
      <c r="D505" s="188" t="s">
        <v>247</v>
      </c>
      <c r="E505" s="188" t="s">
        <v>248</v>
      </c>
      <c r="F505" s="188" t="s">
        <v>249</v>
      </c>
      <c r="G505" s="188" t="s">
        <v>250</v>
      </c>
      <c r="H505" s="189" t="s">
        <v>251</v>
      </c>
      <c r="I505" s="190" t="s">
        <v>252</v>
      </c>
      <c r="J505" s="191" t="s">
        <v>253</v>
      </c>
      <c r="K505" s="200" t="s">
        <v>256</v>
      </c>
      <c r="L505" s="201" t="s">
        <v>257</v>
      </c>
    </row>
    <row r="506" spans="1:12" ht="19.5" customHeight="1" x14ac:dyDescent="0.25">
      <c r="A506" s="216" t="e" cm="1" vm="1">
        <f t="array" aca="1" ref="A506" ca="1">_xlfn._xlws.FILTER(_xlfn.VSTACK(YES_Reading_ELA[Student Number],YES_Reading_FLA[Student Number]),_xlfn.VSTACK(YES_Reading_ELA[HomeRoom],YES_Reading_FLA[Homeroom])=D502)</f>
        <v>#VALUE!</v>
      </c>
      <c r="B506" s="219" t="str">
        <f ca="1">IFERROR(VLOOKUP(A506,_xlfn.VSTACK(YES_Reading_ELA[],YES_Reading_FLA[]),2,FALSE),"")</f>
        <v/>
      </c>
      <c r="C506" s="203" t="str" cm="1">
        <f t="array" aca="1" ref="C506" ca="1">IFERROR(
IF($J$2="ELA",
IF(VLOOKUP($A506, YES_Reading_ELA[], COLUMN(IF(VLOOKUP($D$2, 'Reading Report Logic'!$A$2:$B$8, 2, FALSE)=1, YES_Reading_ELA[Reading Level June of Previous School Year], INDIRECT("YES_Reading_ELA[Instructional Reading Level - Per "&amp;(VLOOKUP($D$2,'Reading Report Logic'!$A$2:$B$8,2,FALSE)-1)&amp;"]"))), FALSE)="", "",
VLOOKUP($A506,YES_Reading_ELA[], COLUMN(IF(VLOOKUP($D$2,'Reading Report Logic'!$A$2:$B$8,2,FALSE)=1, YES_Reading_ELA[Reading Level June of Previous School Year],INDIRECT("YES_Reading_ELA[Instructional Reading Level - Per "&amp;(VLOOKUP($D$2,'Reading Report Logic'!$A$2:$B$8,2,FALSE)-1)&amp;"]"))), FALSE)),
IF($J$2="FLA",
IF(VLOOKUP($A506, YES_Reading_FLA[], COLUMN(IF(VLOOKUP($D$2,'Reading Report Logic'!$A$2:$B$8,2,FALSE)=1, YES_Reading_FLA[Reading Level June of Previous School Year],INDIRECT("YES_Reading_FLA[Instructional Reading Level - Per "&amp;(VLOOKUP($D$2,'Reading Report Logic'!$A$2:$B$8,2,FALSE)-1)&amp;"]"))),FALSE)="","",
VLOOKUP($A506,YES_Reading_FLA[], COLUMN(IF(VLOOKUP($D$2,'Reading Report Logic'!$A$2:$B$8,2,FALSE)=1, YES_Reading_FLA[Reading Level June of Previous School Year],INDIRECT("YES_Reading_FLA[Instructional Reading Level - Per "&amp;(VLOOKUP($D$2,'Reading Report Logic'!$A$2:$B$8,2,FALSE)-1)&amp;"]"))),FALSE)),
IF($J$2="Combined",
IFERROR(
IF(VLOOKUP($A506, YES_Reading_ELA[], COLUMN(IF(VLOOKUP($D$2,'Reading Report Logic'!$A$2:$B$8,2,FALSE)=1, YES_Reading_ELA[Reading Level June of Previous School Year],INDIRECT("YES_Reading_ELA[Instructional Reading Level - Per "&amp;(VLOOKUP($D$2,'Reading Report Logic'!$A$2:$B$8,2,FALSE)-1)&amp;"]"))), FALSE)="", "",
VLOOKUP($A506,YES_Reading_ELA[],COLUMN(IF(VLOOKUP($D$2,'Reading Report Logic'!$A$2:$B$8,2,FALSE)=1, YES_Reading_ELA[Reading Level June of Previous School Year],INDIRECT("YES_Reading_ELA[Instructional Reading Level - Per "&amp;(VLOOKUP($D$2,'Reading Report Logic'!$A$2:$B$8,2,FALSE)-1)&amp;"]"))),FALSE)),
IF(VLOOKUP($A506, YES_Reading_FLA[], COLUMN(IF(VLOOKUP($D$2,'Reading Report Logic'!$A$2:$B$8,2,FALSE)=1, YES_Reading_FLA[Reading Level June of Previous School Year],INDIRECT("YES_Reading_FLA[Instructional Reading Level - Per "&amp;(VLOOKUP($D$2,'Reading Report Logic'!$A$2:$B$8,2,FALSE)-1)&amp;"]"))),FALSE)="", "", VLOOKUP($A506,YES_Reading_FLA[],COLUMN(IF(VLOOKUP($D$2,'Reading Report Logic'!$A$2:$B$8,2,FALSE)=1, YES_Reading_FLA[Reading Level June of Previous School Year],INDIRECT("YES_Reading_FLA[Instructional Reading Level - Per "&amp;(VLOOKUP($D$2,'Reading Report Logic'!$A$2:$B$8,2,FALSE)-1)&amp;"]"))), FALSE))),""))),"")</f>
        <v/>
      </c>
      <c r="D506" s="204" t="str" cm="1">
        <f t="array" aca="1" ref="D506" ca="1">IFERROR(
IF($J$2="ELA",
IF(VLOOKUP($A506, YES_Reading_ELA[], COLUMN(INDIRECT("YES_Reading_ELA[Instructional Reading Level - Per "&amp;VLOOKUP($D$2, 'Reading Report Logic'!$A$2:$B$8, 2, FALSE)&amp;"]")), FALSE)="", "",
VLOOKUP($A506,YES_Reading_ELA[], COLUMN(INDIRECT("YES_Reading_ELA[Instructional Reading Level - Per "&amp;VLOOKUP($D$2,'Reading Report Logic'!$A$2:$B$8,2,FALSE)&amp;"]")), FALSE)),
IF($J$2="FLA",
IF(VLOOKUP($A506, YES_Reading_FLA[], COLUMN(INDIRECT("YES_Reading_FLA[Instructional Reading Level - Per "&amp;VLOOKUP($D$2,'Reading Report Logic'!$A$2:$B$8,2,FALSE)&amp;"]")),FALSE)="","",
VLOOKUP($A506,YES_Reading_FLA[],COLUMN(INDIRECT("YES_Reading_FLA[Instructional Reading Level - Per "&amp;VLOOKUP($D$2,'Reading Report Logic'!$A$2:$B$8,2,FALSE)&amp;"]")),FALSE)),
IF($J$2="Combined",
IFERROR(
IF(VLOOKUP($A506, YES_Reading_ELA[], COLUMN(INDIRECT("YES_Reading_ELA[Instructional Reading Level - Per "&amp;VLOOKUP($D$2, 'Reading Report Logic'!$A$2:$B$8,2,FALSE)&amp;"]")), FALSE)="", "",
VLOOKUP($A506,YES_Reading_ELA[],COLUMN(INDIRECT("YES_Reading_ELA[Instructional Reading Level - Per "&amp;VLOOKUP($D$2,'Reading Report Logic'!$A$2:$B$8,2,FALSE)&amp;"]")),FALSE)),
IF(VLOOKUP($A506, YES_Reading_FLA[], COLUMN(INDIRECT("YES_Reading_FLA[Instructional Reading Level - Per "&amp;VLOOKUP($D$2, 'Reading Report Logic'!$A$2:$B$8, 2, FALSE)&amp;"]")),FALSE)="", "", VLOOKUP($A506,YES_Reading_FLA[],COLUMN(INDIRECT("YES_Reading_FLA[Instructional Reading Level - Per "&amp;VLOOKUP($D$2, 'Reading Report Logic'!$A$2:$B$8, 2, FALSE)&amp;"]")),FALSE))),""))),"")</f>
        <v/>
      </c>
      <c r="E506" s="205" t="str" cm="1">
        <f t="array" aca="1" ref="E506" ca="1">IFERROR(
IF($J$2="ELA",
IF(VLOOKUP($A506, YES_Reading_ELA[], COLUMN(INDIRECT("YES_Reading_ELA[Min Expectation - Per "&amp;VLOOKUP($D$2, 'Reading Report Logic'!$A$2:$B$8, 2, FALSE)&amp;"]")), FALSE)="", "",
VLOOKUP($A506,YES_Reading_ELA[], COLUMN(INDIRECT("YES_Reading_ELA[Min Expectation - Per "&amp;VLOOKUP($D$2,'Reading Report Logic'!$A$2:$B$8,2,FALSE)&amp;"]")), FALSE)),
IF($J$2="FLA",
IF(VLOOKUP($A506, YES_Reading_FLA[], COLUMN(INDIRECT("YES_Reading_FLA[Min Expectation - Per "&amp;VLOOKUP($D$2,'Reading Report Logic'!$A$2:$B$8,2,FALSE)&amp;"]")),FALSE)="","",
VLOOKUP($A506,YES_Reading_FLA[],COLUMN(INDIRECT("YES_Reading_FLA[Min Expectation - Per "&amp;VLOOKUP($D$2,'Reading Report Logic'!$A$2:$B$8,2,FALSE)&amp;"]")),FALSE)),
IF($J$2="Combined",
IFERROR(
IF(VLOOKUP($A506, YES_Reading_ELA[], COLUMN(INDIRECT("YES_Reading_ELA[Min Expectation - Per "&amp;VLOOKUP($D$2, 'Reading Report Logic'!$A$2:$B$8,2,FALSE)&amp;"]")), FALSE)="", "",
VLOOKUP($A506,YES_Reading_ELA[],COLUMN(INDIRECT("YES_Reading_ELA[Min Expectation - Per "&amp;VLOOKUP($D$2,'Reading Report Logic'!$A$2:$B$8,2,FALSE)&amp;"]")),FALSE)),
IF(VLOOKUP($A506, YES_Reading_FLA[], COLUMN(INDIRECT("YES_Reading_FLA[Min Expectation - Per "&amp;VLOOKUP($D$2, 'Reading Report Logic'!$A$2:$B$8, 2, FALSE)&amp;"]")),FALSE)="", "", VLOOKUP($A506,YES_Reading_FLA[],COLUMN(INDIRECT("YES_Reading_FLA[Min Expectation - Per "&amp;VLOOKUP($D$2, 'Reading Report Logic'!$A$2:$B$8, 2, FALSE)&amp;"]")),FALSE))),""))),"")</f>
        <v/>
      </c>
      <c r="F506" s="205" t="str" cm="1">
        <f t="array" aca="1" ref="F506" ca="1">IFERROR(
IF($J$2="ELA",
IF(VLOOKUP($A506, YES_Reading_ELA[], COLUMN(INDIRECT("YES_Reading_ELA[Max Expectation - Per "&amp;VLOOKUP($D$2, 'Reading Report Logic'!$A$2:$B$8, 2, FALSE)&amp;"]")), FALSE)="", "",
VLOOKUP($A506,YES_Reading_ELA[], COLUMN(INDIRECT("YES_Reading_ELA[Max Expectation - Per "&amp;VLOOKUP($D$2,'Reading Report Logic'!$A$2:$B$8,2,FALSE)&amp;"]")), FALSE)),
IF($J$2="FLA",
IF(VLOOKUP($A506, YES_Reading_FLA[], COLUMN(INDIRECT("YES_Reading_FLA[Max Expectation - Per "&amp;VLOOKUP($D$2,'Reading Report Logic'!$A$2:$B$8,2,FALSE)&amp;"]")),FALSE)="","",
VLOOKUP($A506,YES_Reading_FLA[],COLUMN(INDIRECT("YES_Reading_FLA[Max Expectation - Per "&amp;VLOOKUP($D$2,'Reading Report Logic'!$A$2:$B$8,2,FALSE)&amp;"]")),FALSE)),
IF($J$2="Combined",
IFERROR(
IF(VLOOKUP($A506, YES_Reading_ELA[], COLUMN(INDIRECT("YES_Reading_ELA[Max Expectation - Per "&amp;VLOOKUP($D$2, 'Reading Report Logic'!$A$2:$B$8,2,FALSE)&amp;"]")), FALSE)="", "",
VLOOKUP($A506,YES_Reading_ELA[],COLUMN(INDIRECT("YES_Reading_ELA[Max Expectation - Per "&amp;VLOOKUP($D$2,'Reading Report Logic'!$A$2:$B$8,2,FALSE)&amp;"]")),FALSE)),
IF(VLOOKUP($A506, YES_Reading_FLA[], COLUMN(INDIRECT("YES_Reading_FLA[Max Expectation - Per "&amp;VLOOKUP($D$2, 'Reading Report Logic'!$A$2:$B$8, 2, FALSE)&amp;"]")),FALSE)="", "", VLOOKUP($A506,YES_Reading_FLA[],COLUMN(INDIRECT("YES_Reading_FLA[Max Expectation - Per "&amp;VLOOKUP($D$2, 'Reading Report Logic'!$A$2:$B$8, 2, FALSE)&amp;"]")),FALSE))),""))),"")</f>
        <v/>
      </c>
      <c r="G506" s="205" t="str" cm="1">
        <f t="array" aca="1" ref="G506" ca="1">IFERROR(
IF($J$2="ELA",
IF(VLOOKUP($A506, YES_Reading_ELA[], COLUMN(INDIRECT("YES_Reading_ELA[Difference - Per "&amp;VLOOKUP($D$2, 'Reading Report Logic'!$A$2:$B$8, 2, FALSE)&amp;"]")), FALSE)="", "",
VLOOKUP($A506,YES_Reading_ELA[], COLUMN(INDIRECT("YES_Reading_ELA[Difference - Per "&amp;VLOOKUP($D$2,'Reading Report Logic'!$A$2:$B$8,2,FALSE)&amp;"]")), FALSE)),
IF($J$2="FLA",
IF(VLOOKUP($A506, YES_Reading_FLA[], COLUMN(INDIRECT("YES_Reading_FLA[Difference - Per "&amp;VLOOKUP($D$2,'Reading Report Logic'!$A$2:$B$8,2,FALSE)&amp;"]")),FALSE)="","",
VLOOKUP($A506,YES_Reading_FLA[],COLUMN(INDIRECT("YES_Reading_FLA[Difference - Per "&amp;VLOOKUP($D$2,'Reading Report Logic'!$A$2:$B$8,2,FALSE)&amp;"]")),FALSE)),
IF($J$2="Combined",
IFERROR(
IF(VLOOKUP($A506, YES_Reading_ELA[], COLUMN(INDIRECT("YES_Reading_ELA[Difference - Per "&amp;VLOOKUP($D$2, 'Reading Report Logic'!$A$2:$B$8,2,FALSE)&amp;"]")), FALSE)="", "",
VLOOKUP($A506,YES_Reading_ELA[],COLUMN(INDIRECT("YES_Reading_ELA[Difference - Per "&amp;VLOOKUP($D$2,'Reading Report Logic'!$A$2:$B$8,2,FALSE)&amp;"]")),FALSE)),
IF(VLOOKUP($A506, YES_Reading_FLA[], COLUMN(INDIRECT("YES_Reading_FLA[Difference - Per "&amp;VLOOKUP($D$2, 'Reading Report Logic'!$A$2:$B$8, 2, FALSE)&amp;"]")),FALSE)="", "", VLOOKUP($A506,YES_Reading_FLA[],COLUMN(INDIRECT("YES_Reading_FLA[Difference - Per "&amp;VLOOKUP($D$2, 'Reading Report Logic'!$A$2:$B$8, 2, FALSE)&amp;"]")),FALSE))),""))),"")</f>
        <v/>
      </c>
      <c r="H506" s="206" t="str">
        <f ca="1">IFERROR(VLOOKUP('Teacher Reading Pull Sheets'!$D506,_xlfn.VSTACK('ELA Reading Logic'!$A$22:$B$48,'FLA Reading Logic'!$A$22:$B$53),2,FALSE)-VLOOKUP('Teacher Reading Pull Sheets'!$C506,_xlfn.VSTACK('ELA Reading Logic'!$A$22:$B$48,'FLA Reading Logic'!$A$22:$B$53),2,FALSE),"")</f>
        <v/>
      </c>
      <c r="I506" s="205"/>
      <c r="J506" s="206"/>
      <c r="K506" s="24" t="str" cm="1">
        <f t="array" aca="1" ref="K506" ca="1">IFERROR(
IF($J$2="ELA",
IF(VLOOKUP($A506, YES_Reading_ELA[], COLUMN(YES_Reading_ELA[Self-Identified as African Descent]), FALSE)="", "",
VLOOKUP($A506,YES_Reading_ELA[], COLUMN(YES_Reading_ELA[Self-Identified as African Descent]), FALSE)),
IF($J$2="FLA",
IF(VLOOKUP($A506, YES_Reading_FLA[], COLUMN(YES_Reading_FLA[Self-Identified as African Descent]),FALSE)="","",
VLOOKUP($A506,YES_Reading_FLA[],COLUMN(YES_Reading_FLA[Self-Identified as African Descent]),FALSE)),
IF($J$2="Combined",
IFERROR(
IF(VLOOKUP($A506, YES_Reading_ELA[], COLUMN(YES_Reading_ELA[Self-Identified as African Descent]), FALSE)="", "",
VLOOKUP($A506,YES_Reading_ELA[],COLUMN(YES_Reading_ELA[Self-Identified as African Descent]),FALSE)),
IF(VLOOKUP($A506, YES_Reading_FLA[], COLUMN(YES_Reading_FLA[Self-Identified as African Descent]),FALSE)="", "", VLOOKUP($A506,YES_Reading_FLA[],COLUMN(YES_Reading_FLA[Self-Identified as African Descent]),FALSE))),""))),"")</f>
        <v/>
      </c>
      <c r="L506" s="199" t="str" cm="1">
        <f t="array" aca="1" ref="L506" ca="1">IFERROR(
IF($J$2="ELA",
IF(VLOOKUP($A506, YES_Reading_ELA[], COLUMN(YES_Reading_ELA[Self-Identified as Indigenous]), FALSE)="", "",
VLOOKUP($A506,YES_Reading_ELA[], COLUMN(YES_Reading_ELA[Self-Identified as Indigenous]), FALSE)),
IF($J$2="FLA",
IF(VLOOKUP($A506, YES_Reading_FLA[], COLUMN(YES_Reading_FLA[Self-Identified as Indigenous]),FALSE)="","",
VLOOKUP($A506,YES_Reading_FLA[],COLUMN(YES_Reading_FLA[Self-Identified as Indigenous]),FALSE)),
IF($J$2="Combined",
IFERROR(
IF(VLOOKUP($A506, YES_Reading_ELA[], COLUMN(YES_Reading_ELA[Self-Identified as Indigenous]), FALSE)="", "",
VLOOKUP($A506,YES_Reading_ELA[],COLUMN(YES_Reading_ELA[Self-Identified as Indigenous]),FALSE)),
IF(VLOOKUP($A506, YES_Reading_FLA[], COLUMN(YES_Reading_FLA[Self-Identified as Indigenous]),FALSE)="", "", VLOOKUP($A506,YES_Reading_FLA[],COLUMN(YES_Reading_FLA[Self-Identified as Indigenous]),FALSE))),""))),"")</f>
        <v/>
      </c>
    </row>
    <row r="507" spans="1:12" ht="19.5" customHeight="1" x14ac:dyDescent="0.25">
      <c r="A507" s="217"/>
      <c r="B507" s="220" t="str">
        <f>IFERROR(VLOOKUP(A507,_xlfn.VSTACK(YES_Reading_ELA[],YES_Reading_FLA[]),2,FALSE),"")</f>
        <v/>
      </c>
      <c r="C507" s="203" t="str" cm="1">
        <f t="array" aca="1" ref="C507" ca="1">IFERROR(
IF($J$2="ELA",
IF(VLOOKUP($A507, YES_Reading_ELA[], COLUMN(IF(VLOOKUP($D$2, 'Reading Report Logic'!$A$2:$B$8, 2, FALSE)=1, YES_Reading_ELA[Reading Level June of Previous School Year], INDIRECT("YES_Reading_ELA[Instructional Reading Level - Per "&amp;(VLOOKUP($D$2,'Reading Report Logic'!$A$2:$B$8,2,FALSE)-1)&amp;"]"))), FALSE)="", "",
VLOOKUP($A507,YES_Reading_ELA[], COLUMN(IF(VLOOKUP($D$2,'Reading Report Logic'!$A$2:$B$8,2,FALSE)=1, YES_Reading_ELA[Reading Level June of Previous School Year],INDIRECT("YES_Reading_ELA[Instructional Reading Level - Per "&amp;(VLOOKUP($D$2,'Reading Report Logic'!$A$2:$B$8,2,FALSE)-1)&amp;"]"))), FALSE)),
IF($J$2="FLA",
IF(VLOOKUP($A507, YES_Reading_FLA[], COLUMN(IF(VLOOKUP($D$2,'Reading Report Logic'!$A$2:$B$8,2,FALSE)=1, YES_Reading_FLA[Reading Level June of Previous School Year],INDIRECT("YES_Reading_FLA[Instructional Reading Level - Per "&amp;(VLOOKUP($D$2,'Reading Report Logic'!$A$2:$B$8,2,FALSE)-1)&amp;"]"))),FALSE)="","",
VLOOKUP($A507,YES_Reading_FLA[], COLUMN(IF(VLOOKUP($D$2,'Reading Report Logic'!$A$2:$B$8,2,FALSE)=1, YES_Reading_FLA[Reading Level June of Previous School Year],INDIRECT("YES_Reading_FLA[Instructional Reading Level - Per "&amp;(VLOOKUP($D$2,'Reading Report Logic'!$A$2:$B$8,2,FALSE)-1)&amp;"]"))),FALSE)),
IF($J$2="Combined",
IFERROR(
IF(VLOOKUP($A507, YES_Reading_ELA[], COLUMN(IF(VLOOKUP($D$2,'Reading Report Logic'!$A$2:$B$8,2,FALSE)=1, YES_Reading_ELA[Reading Level June of Previous School Year],INDIRECT("YES_Reading_ELA[Instructional Reading Level - Per "&amp;(VLOOKUP($D$2,'Reading Report Logic'!$A$2:$B$8,2,FALSE)-1)&amp;"]"))), FALSE)="", "",
VLOOKUP($A507,YES_Reading_ELA[],COLUMN(IF(VLOOKUP($D$2,'Reading Report Logic'!$A$2:$B$8,2,FALSE)=1, YES_Reading_ELA[Reading Level June of Previous School Year],INDIRECT("YES_Reading_ELA[Instructional Reading Level - Per "&amp;(VLOOKUP($D$2,'Reading Report Logic'!$A$2:$B$8,2,FALSE)-1)&amp;"]"))),FALSE)),
IF(VLOOKUP($A507, YES_Reading_FLA[], COLUMN(IF(VLOOKUP($D$2,'Reading Report Logic'!$A$2:$B$8,2,FALSE)=1, YES_Reading_FLA[Reading Level June of Previous School Year],INDIRECT("YES_Reading_FLA[Instructional Reading Level - Per "&amp;(VLOOKUP($D$2,'Reading Report Logic'!$A$2:$B$8,2,FALSE)-1)&amp;"]"))),FALSE)="", "", VLOOKUP($A507,YES_Reading_FLA[],COLUMN(IF(VLOOKUP($D$2,'Reading Report Logic'!$A$2:$B$8,2,FALSE)=1, YES_Reading_FLA[Reading Level June of Previous School Year],INDIRECT("YES_Reading_FLA[Instructional Reading Level - Per "&amp;(VLOOKUP($D$2,'Reading Report Logic'!$A$2:$B$8,2,FALSE)-1)&amp;"]"))), FALSE))),""))),"")</f>
        <v/>
      </c>
      <c r="D507" s="204" t="str" cm="1">
        <f t="array" aca="1" ref="D507" ca="1">IFERROR(
IF($J$2="ELA",
IF(VLOOKUP($A507, YES_Reading_ELA[], COLUMN(INDIRECT("YES_Reading_ELA[Instructional Reading Level - Per "&amp;VLOOKUP($D$2, 'Reading Report Logic'!$A$2:$B$8, 2, FALSE)&amp;"]")), FALSE)="", "",
VLOOKUP($A507,YES_Reading_ELA[], COLUMN(INDIRECT("YES_Reading_ELA[Instructional Reading Level - Per "&amp;VLOOKUP($D$2,'Reading Report Logic'!$A$2:$B$8,2,FALSE)&amp;"]")), FALSE)),
IF($J$2="FLA",
IF(VLOOKUP($A507, YES_Reading_FLA[], COLUMN(INDIRECT("YES_Reading_FLA[Instructional Reading Level - Per "&amp;VLOOKUP($D$2,'Reading Report Logic'!$A$2:$B$8,2,FALSE)&amp;"]")),FALSE)="","",
VLOOKUP($A507,YES_Reading_FLA[],COLUMN(INDIRECT("YES_Reading_FLA[Instructional Reading Level - Per "&amp;VLOOKUP($D$2,'Reading Report Logic'!$A$2:$B$8,2,FALSE)&amp;"]")),FALSE)),
IF($J$2="Combined",
IFERROR(
IF(VLOOKUP($A507, YES_Reading_ELA[], COLUMN(INDIRECT("YES_Reading_ELA[Instructional Reading Level - Per "&amp;VLOOKUP($D$2, 'Reading Report Logic'!$A$2:$B$8,2,FALSE)&amp;"]")), FALSE)="", "",
VLOOKUP($A507,YES_Reading_ELA[],COLUMN(INDIRECT("YES_Reading_ELA[Instructional Reading Level - Per "&amp;VLOOKUP($D$2,'Reading Report Logic'!$A$2:$B$8,2,FALSE)&amp;"]")),FALSE)),
IF(VLOOKUP($A507, YES_Reading_FLA[], COLUMN(INDIRECT("YES_Reading_FLA[Instructional Reading Level - Per "&amp;VLOOKUP($D$2, 'Reading Report Logic'!$A$2:$B$8, 2, FALSE)&amp;"]")),FALSE)="", "", VLOOKUP($A507,YES_Reading_FLA[],COLUMN(INDIRECT("YES_Reading_FLA[Instructional Reading Level - Per "&amp;VLOOKUP($D$2, 'Reading Report Logic'!$A$2:$B$8, 2, FALSE)&amp;"]")),FALSE))),""))),"")</f>
        <v/>
      </c>
      <c r="E507" s="205" t="str" cm="1">
        <f t="array" aca="1" ref="E507" ca="1">IFERROR(
IF($J$2="ELA",
IF(VLOOKUP($A507, YES_Reading_ELA[], COLUMN(INDIRECT("YES_Reading_ELA[Min Expectation - Per "&amp;VLOOKUP($D$2, 'Reading Report Logic'!$A$2:$B$8, 2, FALSE)&amp;"]")), FALSE)="", "",
VLOOKUP($A507,YES_Reading_ELA[], COLUMN(INDIRECT("YES_Reading_ELA[Min Expectation - Per "&amp;VLOOKUP($D$2,'Reading Report Logic'!$A$2:$B$8,2,FALSE)&amp;"]")), FALSE)),
IF($J$2="FLA",
IF(VLOOKUP($A507, YES_Reading_FLA[], COLUMN(INDIRECT("YES_Reading_FLA[Min Expectation - Per "&amp;VLOOKUP($D$2,'Reading Report Logic'!$A$2:$B$8,2,FALSE)&amp;"]")),FALSE)="","",
VLOOKUP($A507,YES_Reading_FLA[],COLUMN(INDIRECT("YES_Reading_FLA[Min Expectation - Per "&amp;VLOOKUP($D$2,'Reading Report Logic'!$A$2:$B$8,2,FALSE)&amp;"]")),FALSE)),
IF($J$2="Combined",
IFERROR(
IF(VLOOKUP($A507, YES_Reading_ELA[], COLUMN(INDIRECT("YES_Reading_ELA[Min Expectation - Per "&amp;VLOOKUP($D$2, 'Reading Report Logic'!$A$2:$B$8,2,FALSE)&amp;"]")), FALSE)="", "",
VLOOKUP($A507,YES_Reading_ELA[],COLUMN(INDIRECT("YES_Reading_ELA[Min Expectation - Per "&amp;VLOOKUP($D$2,'Reading Report Logic'!$A$2:$B$8,2,FALSE)&amp;"]")),FALSE)),
IF(VLOOKUP($A507, YES_Reading_FLA[], COLUMN(INDIRECT("YES_Reading_FLA[Min Expectation - Per "&amp;VLOOKUP($D$2, 'Reading Report Logic'!$A$2:$B$8, 2, FALSE)&amp;"]")),FALSE)="", "", VLOOKUP($A507,YES_Reading_FLA[],COLUMN(INDIRECT("YES_Reading_FLA[Min Expectation - Per "&amp;VLOOKUP($D$2, 'Reading Report Logic'!$A$2:$B$8, 2, FALSE)&amp;"]")),FALSE))),""))),"")</f>
        <v/>
      </c>
      <c r="F507" s="205" t="str" cm="1">
        <f t="array" aca="1" ref="F507" ca="1">IFERROR(
IF($J$2="ELA",
IF(VLOOKUP($A507, YES_Reading_ELA[], COLUMN(INDIRECT("YES_Reading_ELA[Max Expectation - Per "&amp;VLOOKUP($D$2, 'Reading Report Logic'!$A$2:$B$8, 2, FALSE)&amp;"]")), FALSE)="", "",
VLOOKUP($A507,YES_Reading_ELA[], COLUMN(INDIRECT("YES_Reading_ELA[Max Expectation - Per "&amp;VLOOKUP($D$2,'Reading Report Logic'!$A$2:$B$8,2,FALSE)&amp;"]")), FALSE)),
IF($J$2="FLA",
IF(VLOOKUP($A507, YES_Reading_FLA[], COLUMN(INDIRECT("YES_Reading_FLA[Max Expectation - Per "&amp;VLOOKUP($D$2,'Reading Report Logic'!$A$2:$B$8,2,FALSE)&amp;"]")),FALSE)="","",
VLOOKUP($A507,YES_Reading_FLA[],COLUMN(INDIRECT("YES_Reading_FLA[Max Expectation - Per "&amp;VLOOKUP($D$2,'Reading Report Logic'!$A$2:$B$8,2,FALSE)&amp;"]")),FALSE)),
IF($J$2="Combined",
IFERROR(
IF(VLOOKUP($A507, YES_Reading_ELA[], COLUMN(INDIRECT("YES_Reading_ELA[Max Expectation - Per "&amp;VLOOKUP($D$2, 'Reading Report Logic'!$A$2:$B$8,2,FALSE)&amp;"]")), FALSE)="", "",
VLOOKUP($A507,YES_Reading_ELA[],COLUMN(INDIRECT("YES_Reading_ELA[Max Expectation - Per "&amp;VLOOKUP($D$2,'Reading Report Logic'!$A$2:$B$8,2,FALSE)&amp;"]")),FALSE)),
IF(VLOOKUP($A507, YES_Reading_FLA[], COLUMN(INDIRECT("YES_Reading_FLA[Max Expectation - Per "&amp;VLOOKUP($D$2, 'Reading Report Logic'!$A$2:$B$8, 2, FALSE)&amp;"]")),FALSE)="", "", VLOOKUP($A507,YES_Reading_FLA[],COLUMN(INDIRECT("YES_Reading_FLA[Max Expectation - Per "&amp;VLOOKUP($D$2, 'Reading Report Logic'!$A$2:$B$8, 2, FALSE)&amp;"]")),FALSE))),""))),"")</f>
        <v/>
      </c>
      <c r="G507" s="205" t="str" cm="1">
        <f t="array" aca="1" ref="G507" ca="1">IFERROR(
IF($J$2="ELA",
IF(VLOOKUP($A507, YES_Reading_ELA[], COLUMN(INDIRECT("YES_Reading_ELA[Difference - Per "&amp;VLOOKUP($D$2, 'Reading Report Logic'!$A$2:$B$8, 2, FALSE)&amp;"]")), FALSE)="", "",
VLOOKUP($A507,YES_Reading_ELA[], COLUMN(INDIRECT("YES_Reading_ELA[Difference - Per "&amp;VLOOKUP($D$2,'Reading Report Logic'!$A$2:$B$8,2,FALSE)&amp;"]")), FALSE)),
IF($J$2="FLA",
IF(VLOOKUP($A507, YES_Reading_FLA[], COLUMN(INDIRECT("YES_Reading_FLA[Difference - Per "&amp;VLOOKUP($D$2,'Reading Report Logic'!$A$2:$B$8,2,FALSE)&amp;"]")),FALSE)="","",
VLOOKUP($A507,YES_Reading_FLA[],COLUMN(INDIRECT("YES_Reading_FLA[Difference - Per "&amp;VLOOKUP($D$2,'Reading Report Logic'!$A$2:$B$8,2,FALSE)&amp;"]")),FALSE)),
IF($J$2="Combined",
IFERROR(
IF(VLOOKUP($A507, YES_Reading_ELA[], COLUMN(INDIRECT("YES_Reading_ELA[Difference - Per "&amp;VLOOKUP($D$2, 'Reading Report Logic'!$A$2:$B$8,2,FALSE)&amp;"]")), FALSE)="", "",
VLOOKUP($A507,YES_Reading_ELA[],COLUMN(INDIRECT("YES_Reading_ELA[Difference - Per "&amp;VLOOKUP($D$2,'Reading Report Logic'!$A$2:$B$8,2,FALSE)&amp;"]")),FALSE)),
IF(VLOOKUP($A507, YES_Reading_FLA[], COLUMN(INDIRECT("YES_Reading_FLA[Difference - Per "&amp;VLOOKUP($D$2, 'Reading Report Logic'!$A$2:$B$8, 2, FALSE)&amp;"]")),FALSE)="", "", VLOOKUP($A507,YES_Reading_FLA[],COLUMN(INDIRECT("YES_Reading_FLA[Difference - Per "&amp;VLOOKUP($D$2, 'Reading Report Logic'!$A$2:$B$8, 2, FALSE)&amp;"]")),FALSE))),""))),"")</f>
        <v/>
      </c>
      <c r="H507" s="206" t="str">
        <f ca="1">IFERROR(VLOOKUP('Teacher Reading Pull Sheets'!$D507,_xlfn.VSTACK('ELA Reading Logic'!$A$22:$B$48,'FLA Reading Logic'!$A$22:$B$53),2,FALSE)-VLOOKUP('Teacher Reading Pull Sheets'!$C507,_xlfn.VSTACK('ELA Reading Logic'!$A$22:$B$48,'FLA Reading Logic'!$A$22:$B$53),2,FALSE),"")</f>
        <v/>
      </c>
      <c r="I507" s="212"/>
      <c r="J507" s="206"/>
      <c r="K507" s="197" t="str" cm="1">
        <f t="array" ref="K507">IFERROR(
IF($J$2="ELA",
IF(VLOOKUP($A507, YES_Reading_ELA[], COLUMN(YES_Reading_ELA[Self-Identified as African Descent]), FALSE)="", "",
VLOOKUP($A507,YES_Reading_ELA[], COLUMN(YES_Reading_ELA[Self-Identified as African Descent]), FALSE)),
IF($J$2="FLA",
IF(VLOOKUP($A507, YES_Reading_FLA[], COLUMN(YES_Reading_FLA[Self-Identified as African Descent]),FALSE)="","",
VLOOKUP($A507,YES_Reading_FLA[],COLUMN(YES_Reading_FLA[Self-Identified as African Descent]),FALSE)),
IF($J$2="Combined",
IFERROR(
IF(VLOOKUP($A507, YES_Reading_ELA[], COLUMN(YES_Reading_ELA[Self-Identified as African Descent]), FALSE)="", "",
VLOOKUP($A507,YES_Reading_ELA[],COLUMN(YES_Reading_ELA[Self-Identified as African Descent]),FALSE)),
IF(VLOOKUP($A507, YES_Reading_FLA[], COLUMN(YES_Reading_FLA[Self-Identified as African Descent]),FALSE)="", "", VLOOKUP($A507,YES_Reading_FLA[],COLUMN(YES_Reading_FLA[Self-Identified as African Descent]),FALSE))),""))),"")</f>
        <v/>
      </c>
      <c r="L507" s="73" t="str" cm="1">
        <f t="array" ref="L507">IFERROR(
IF($J$2="ELA",
IF(VLOOKUP($A507, YES_Reading_ELA[], COLUMN(YES_Reading_ELA[Self-Identified as Indigenous]), FALSE)="", "",
VLOOKUP($A507,YES_Reading_ELA[], COLUMN(YES_Reading_ELA[Self-Identified as Indigenous]), FALSE)),
IF($J$2="FLA",
IF(VLOOKUP($A507, YES_Reading_FLA[], COLUMN(YES_Reading_FLA[Self-Identified as Indigenous]),FALSE)="","",
VLOOKUP($A507,YES_Reading_FLA[],COLUMN(YES_Reading_FLA[Self-Identified as Indigenous]),FALSE)),
IF($J$2="Combined",
IFERROR(
IF(VLOOKUP($A507, YES_Reading_ELA[], COLUMN(YES_Reading_ELA[Self-Identified as Indigenous]), FALSE)="", "",
VLOOKUP($A507,YES_Reading_ELA[],COLUMN(YES_Reading_ELA[Self-Identified as Indigenous]),FALSE)),
IF(VLOOKUP($A507, YES_Reading_FLA[], COLUMN(YES_Reading_FLA[Self-Identified as Indigenous]),FALSE)="", "", VLOOKUP($A507,YES_Reading_FLA[],COLUMN(YES_Reading_FLA[Self-Identified as Indigenous]),FALSE))),""))),"")</f>
        <v/>
      </c>
    </row>
    <row r="508" spans="1:12" ht="19.5" customHeight="1" x14ac:dyDescent="0.25">
      <c r="A508" s="217"/>
      <c r="B508" s="220" t="str">
        <f>IFERROR(VLOOKUP(A508,_xlfn.VSTACK(YES_Reading_ELA[],YES_Reading_FLA[]),2,FALSE),"")</f>
        <v/>
      </c>
      <c r="C508" s="203" t="str" cm="1">
        <f t="array" aca="1" ref="C508" ca="1">IFERROR(
IF($J$2="ELA",
IF(VLOOKUP($A508, YES_Reading_ELA[], COLUMN(IF(VLOOKUP($D$2, 'Reading Report Logic'!$A$2:$B$8, 2, FALSE)=1, YES_Reading_ELA[Reading Level June of Previous School Year], INDIRECT("YES_Reading_ELA[Instructional Reading Level - Per "&amp;(VLOOKUP($D$2,'Reading Report Logic'!$A$2:$B$8,2,FALSE)-1)&amp;"]"))), FALSE)="", "",
VLOOKUP($A508,YES_Reading_ELA[], COLUMN(IF(VLOOKUP($D$2,'Reading Report Logic'!$A$2:$B$8,2,FALSE)=1, YES_Reading_ELA[Reading Level June of Previous School Year],INDIRECT("YES_Reading_ELA[Instructional Reading Level - Per "&amp;(VLOOKUP($D$2,'Reading Report Logic'!$A$2:$B$8,2,FALSE)-1)&amp;"]"))), FALSE)),
IF($J$2="FLA",
IF(VLOOKUP($A508, YES_Reading_FLA[], COLUMN(IF(VLOOKUP($D$2,'Reading Report Logic'!$A$2:$B$8,2,FALSE)=1, YES_Reading_FLA[Reading Level June of Previous School Year],INDIRECT("YES_Reading_FLA[Instructional Reading Level - Per "&amp;(VLOOKUP($D$2,'Reading Report Logic'!$A$2:$B$8,2,FALSE)-1)&amp;"]"))),FALSE)="","",
VLOOKUP($A508,YES_Reading_FLA[], COLUMN(IF(VLOOKUP($D$2,'Reading Report Logic'!$A$2:$B$8,2,FALSE)=1, YES_Reading_FLA[Reading Level June of Previous School Year],INDIRECT("YES_Reading_FLA[Instructional Reading Level - Per "&amp;(VLOOKUP($D$2,'Reading Report Logic'!$A$2:$B$8,2,FALSE)-1)&amp;"]"))),FALSE)),
IF($J$2="Combined",
IFERROR(
IF(VLOOKUP($A508, YES_Reading_ELA[], COLUMN(IF(VLOOKUP($D$2,'Reading Report Logic'!$A$2:$B$8,2,FALSE)=1, YES_Reading_ELA[Reading Level June of Previous School Year],INDIRECT("YES_Reading_ELA[Instructional Reading Level - Per "&amp;(VLOOKUP($D$2,'Reading Report Logic'!$A$2:$B$8,2,FALSE)-1)&amp;"]"))), FALSE)="", "",
VLOOKUP($A508,YES_Reading_ELA[],COLUMN(IF(VLOOKUP($D$2,'Reading Report Logic'!$A$2:$B$8,2,FALSE)=1, YES_Reading_ELA[Reading Level June of Previous School Year],INDIRECT("YES_Reading_ELA[Instructional Reading Level - Per "&amp;(VLOOKUP($D$2,'Reading Report Logic'!$A$2:$B$8,2,FALSE)-1)&amp;"]"))),FALSE)),
IF(VLOOKUP($A508, YES_Reading_FLA[], COLUMN(IF(VLOOKUP($D$2,'Reading Report Logic'!$A$2:$B$8,2,FALSE)=1, YES_Reading_FLA[Reading Level June of Previous School Year],INDIRECT("YES_Reading_FLA[Instructional Reading Level - Per "&amp;(VLOOKUP($D$2,'Reading Report Logic'!$A$2:$B$8,2,FALSE)-1)&amp;"]"))),FALSE)="", "", VLOOKUP($A508,YES_Reading_FLA[],COLUMN(IF(VLOOKUP($D$2,'Reading Report Logic'!$A$2:$B$8,2,FALSE)=1, YES_Reading_FLA[Reading Level June of Previous School Year],INDIRECT("YES_Reading_FLA[Instructional Reading Level - Per "&amp;(VLOOKUP($D$2,'Reading Report Logic'!$A$2:$B$8,2,FALSE)-1)&amp;"]"))), FALSE))),""))),"")</f>
        <v/>
      </c>
      <c r="D508" s="204" t="str" cm="1">
        <f t="array" aca="1" ref="D508" ca="1">IFERROR(
IF($J$2="ELA",
IF(VLOOKUP($A508, YES_Reading_ELA[], COLUMN(INDIRECT("YES_Reading_ELA[Instructional Reading Level - Per "&amp;VLOOKUP($D$2, 'Reading Report Logic'!$A$2:$B$8, 2, FALSE)&amp;"]")), FALSE)="", "",
VLOOKUP($A508,YES_Reading_ELA[], COLUMN(INDIRECT("YES_Reading_ELA[Instructional Reading Level - Per "&amp;VLOOKUP($D$2,'Reading Report Logic'!$A$2:$B$8,2,FALSE)&amp;"]")), FALSE)),
IF($J$2="FLA",
IF(VLOOKUP($A508, YES_Reading_FLA[], COLUMN(INDIRECT("YES_Reading_FLA[Instructional Reading Level - Per "&amp;VLOOKUP($D$2,'Reading Report Logic'!$A$2:$B$8,2,FALSE)&amp;"]")),FALSE)="","",
VLOOKUP($A508,YES_Reading_FLA[],COLUMN(INDIRECT("YES_Reading_FLA[Instructional Reading Level - Per "&amp;VLOOKUP($D$2,'Reading Report Logic'!$A$2:$B$8,2,FALSE)&amp;"]")),FALSE)),
IF($J$2="Combined",
IFERROR(
IF(VLOOKUP($A508, YES_Reading_ELA[], COLUMN(INDIRECT("YES_Reading_ELA[Instructional Reading Level - Per "&amp;VLOOKUP($D$2, 'Reading Report Logic'!$A$2:$B$8,2,FALSE)&amp;"]")), FALSE)="", "",
VLOOKUP($A508,YES_Reading_ELA[],COLUMN(INDIRECT("YES_Reading_ELA[Instructional Reading Level - Per "&amp;VLOOKUP($D$2,'Reading Report Logic'!$A$2:$B$8,2,FALSE)&amp;"]")),FALSE)),
IF(VLOOKUP($A508, YES_Reading_FLA[], COLUMN(INDIRECT("YES_Reading_FLA[Instructional Reading Level - Per "&amp;VLOOKUP($D$2, 'Reading Report Logic'!$A$2:$B$8, 2, FALSE)&amp;"]")),FALSE)="", "", VLOOKUP($A508,YES_Reading_FLA[],COLUMN(INDIRECT("YES_Reading_FLA[Instructional Reading Level - Per "&amp;VLOOKUP($D$2, 'Reading Report Logic'!$A$2:$B$8, 2, FALSE)&amp;"]")),FALSE))),""))),"")</f>
        <v/>
      </c>
      <c r="E508" s="205" t="str" cm="1">
        <f t="array" aca="1" ref="E508" ca="1">IFERROR(
IF($J$2="ELA",
IF(VLOOKUP($A508, YES_Reading_ELA[], COLUMN(INDIRECT("YES_Reading_ELA[Min Expectation - Per "&amp;VLOOKUP($D$2, 'Reading Report Logic'!$A$2:$B$8, 2, FALSE)&amp;"]")), FALSE)="", "",
VLOOKUP($A508,YES_Reading_ELA[], COLUMN(INDIRECT("YES_Reading_ELA[Min Expectation - Per "&amp;VLOOKUP($D$2,'Reading Report Logic'!$A$2:$B$8,2,FALSE)&amp;"]")), FALSE)),
IF($J$2="FLA",
IF(VLOOKUP($A508, YES_Reading_FLA[], COLUMN(INDIRECT("YES_Reading_FLA[Min Expectation - Per "&amp;VLOOKUP($D$2,'Reading Report Logic'!$A$2:$B$8,2,FALSE)&amp;"]")),FALSE)="","",
VLOOKUP($A508,YES_Reading_FLA[],COLUMN(INDIRECT("YES_Reading_FLA[Min Expectation - Per "&amp;VLOOKUP($D$2,'Reading Report Logic'!$A$2:$B$8,2,FALSE)&amp;"]")),FALSE)),
IF($J$2="Combined",
IFERROR(
IF(VLOOKUP($A508, YES_Reading_ELA[], COLUMN(INDIRECT("YES_Reading_ELA[Min Expectation - Per "&amp;VLOOKUP($D$2, 'Reading Report Logic'!$A$2:$B$8,2,FALSE)&amp;"]")), FALSE)="", "",
VLOOKUP($A508,YES_Reading_ELA[],COLUMN(INDIRECT("YES_Reading_ELA[Min Expectation - Per "&amp;VLOOKUP($D$2,'Reading Report Logic'!$A$2:$B$8,2,FALSE)&amp;"]")),FALSE)),
IF(VLOOKUP($A508, YES_Reading_FLA[], COLUMN(INDIRECT("YES_Reading_FLA[Min Expectation - Per "&amp;VLOOKUP($D$2, 'Reading Report Logic'!$A$2:$B$8, 2, FALSE)&amp;"]")),FALSE)="", "", VLOOKUP($A508,YES_Reading_FLA[],COLUMN(INDIRECT("YES_Reading_FLA[Min Expectation - Per "&amp;VLOOKUP($D$2, 'Reading Report Logic'!$A$2:$B$8, 2, FALSE)&amp;"]")),FALSE))),""))),"")</f>
        <v/>
      </c>
      <c r="F508" s="205" t="str" cm="1">
        <f t="array" aca="1" ref="F508" ca="1">IFERROR(
IF($J$2="ELA",
IF(VLOOKUP($A508, YES_Reading_ELA[], COLUMN(INDIRECT("YES_Reading_ELA[Max Expectation - Per "&amp;VLOOKUP($D$2, 'Reading Report Logic'!$A$2:$B$8, 2, FALSE)&amp;"]")), FALSE)="", "",
VLOOKUP($A508,YES_Reading_ELA[], COLUMN(INDIRECT("YES_Reading_ELA[Max Expectation - Per "&amp;VLOOKUP($D$2,'Reading Report Logic'!$A$2:$B$8,2,FALSE)&amp;"]")), FALSE)),
IF($J$2="FLA",
IF(VLOOKUP($A508, YES_Reading_FLA[], COLUMN(INDIRECT("YES_Reading_FLA[Max Expectation - Per "&amp;VLOOKUP($D$2,'Reading Report Logic'!$A$2:$B$8,2,FALSE)&amp;"]")),FALSE)="","",
VLOOKUP($A508,YES_Reading_FLA[],COLUMN(INDIRECT("YES_Reading_FLA[Max Expectation - Per "&amp;VLOOKUP($D$2,'Reading Report Logic'!$A$2:$B$8,2,FALSE)&amp;"]")),FALSE)),
IF($J$2="Combined",
IFERROR(
IF(VLOOKUP($A508, YES_Reading_ELA[], COLUMN(INDIRECT("YES_Reading_ELA[Max Expectation - Per "&amp;VLOOKUP($D$2, 'Reading Report Logic'!$A$2:$B$8,2,FALSE)&amp;"]")), FALSE)="", "",
VLOOKUP($A508,YES_Reading_ELA[],COLUMN(INDIRECT("YES_Reading_ELA[Max Expectation - Per "&amp;VLOOKUP($D$2,'Reading Report Logic'!$A$2:$B$8,2,FALSE)&amp;"]")),FALSE)),
IF(VLOOKUP($A508, YES_Reading_FLA[], COLUMN(INDIRECT("YES_Reading_FLA[Max Expectation - Per "&amp;VLOOKUP($D$2, 'Reading Report Logic'!$A$2:$B$8, 2, FALSE)&amp;"]")),FALSE)="", "", VLOOKUP($A508,YES_Reading_FLA[],COLUMN(INDIRECT("YES_Reading_FLA[Max Expectation - Per "&amp;VLOOKUP($D$2, 'Reading Report Logic'!$A$2:$B$8, 2, FALSE)&amp;"]")),FALSE))),""))),"")</f>
        <v/>
      </c>
      <c r="G508" s="205" t="str" cm="1">
        <f t="array" aca="1" ref="G508" ca="1">IFERROR(
IF($J$2="ELA",
IF(VLOOKUP($A508, YES_Reading_ELA[], COLUMN(INDIRECT("YES_Reading_ELA[Difference - Per "&amp;VLOOKUP($D$2, 'Reading Report Logic'!$A$2:$B$8, 2, FALSE)&amp;"]")), FALSE)="", "",
VLOOKUP($A508,YES_Reading_ELA[], COLUMN(INDIRECT("YES_Reading_ELA[Difference - Per "&amp;VLOOKUP($D$2,'Reading Report Logic'!$A$2:$B$8,2,FALSE)&amp;"]")), FALSE)),
IF($J$2="FLA",
IF(VLOOKUP($A508, YES_Reading_FLA[], COLUMN(INDIRECT("YES_Reading_FLA[Difference - Per "&amp;VLOOKUP($D$2,'Reading Report Logic'!$A$2:$B$8,2,FALSE)&amp;"]")),FALSE)="","",
VLOOKUP($A508,YES_Reading_FLA[],COLUMN(INDIRECT("YES_Reading_FLA[Difference - Per "&amp;VLOOKUP($D$2,'Reading Report Logic'!$A$2:$B$8,2,FALSE)&amp;"]")),FALSE)),
IF($J$2="Combined",
IFERROR(
IF(VLOOKUP($A508, YES_Reading_ELA[], COLUMN(INDIRECT("YES_Reading_ELA[Difference - Per "&amp;VLOOKUP($D$2, 'Reading Report Logic'!$A$2:$B$8,2,FALSE)&amp;"]")), FALSE)="", "",
VLOOKUP($A508,YES_Reading_ELA[],COLUMN(INDIRECT("YES_Reading_ELA[Difference - Per "&amp;VLOOKUP($D$2,'Reading Report Logic'!$A$2:$B$8,2,FALSE)&amp;"]")),FALSE)),
IF(VLOOKUP($A508, YES_Reading_FLA[], COLUMN(INDIRECT("YES_Reading_FLA[Difference - Per "&amp;VLOOKUP($D$2, 'Reading Report Logic'!$A$2:$B$8, 2, FALSE)&amp;"]")),FALSE)="", "", VLOOKUP($A508,YES_Reading_FLA[],COLUMN(INDIRECT("YES_Reading_FLA[Difference - Per "&amp;VLOOKUP($D$2, 'Reading Report Logic'!$A$2:$B$8, 2, FALSE)&amp;"]")),FALSE))),""))),"")</f>
        <v/>
      </c>
      <c r="H508" s="206" t="str">
        <f ca="1">IFERROR(VLOOKUP('Teacher Reading Pull Sheets'!$D508,_xlfn.VSTACK('ELA Reading Logic'!$A$22:$B$48,'FLA Reading Logic'!$A$22:$B$53),2,FALSE)-VLOOKUP('Teacher Reading Pull Sheets'!$C508,_xlfn.VSTACK('ELA Reading Logic'!$A$22:$B$48,'FLA Reading Logic'!$A$22:$B$53),2,FALSE),"")</f>
        <v/>
      </c>
      <c r="I508" s="212"/>
      <c r="J508" s="206"/>
      <c r="K508" s="197" t="str" cm="1">
        <f t="array" ref="K508">IFERROR(
IF($J$2="ELA",
IF(VLOOKUP($A508, YES_Reading_ELA[], COLUMN(YES_Reading_ELA[Self-Identified as African Descent]), FALSE)="", "",
VLOOKUP($A508,YES_Reading_ELA[], COLUMN(YES_Reading_ELA[Self-Identified as African Descent]), FALSE)),
IF($J$2="FLA",
IF(VLOOKUP($A508, YES_Reading_FLA[], COLUMN(YES_Reading_FLA[Self-Identified as African Descent]),FALSE)="","",
VLOOKUP($A508,YES_Reading_FLA[],COLUMN(YES_Reading_FLA[Self-Identified as African Descent]),FALSE)),
IF($J$2="Combined",
IFERROR(
IF(VLOOKUP($A508, YES_Reading_ELA[], COLUMN(YES_Reading_ELA[Self-Identified as African Descent]), FALSE)="", "",
VLOOKUP($A508,YES_Reading_ELA[],COLUMN(YES_Reading_ELA[Self-Identified as African Descent]),FALSE)),
IF(VLOOKUP($A508, YES_Reading_FLA[], COLUMN(YES_Reading_FLA[Self-Identified as African Descent]),FALSE)="", "", VLOOKUP($A508,YES_Reading_FLA[],COLUMN(YES_Reading_FLA[Self-Identified as African Descent]),FALSE))),""))),"")</f>
        <v/>
      </c>
      <c r="L508" s="73" t="str" cm="1">
        <f t="array" ref="L508">IFERROR(
IF($J$2="ELA",
IF(VLOOKUP($A508, YES_Reading_ELA[], COLUMN(YES_Reading_ELA[Self-Identified as Indigenous]), FALSE)="", "",
VLOOKUP($A508,YES_Reading_ELA[], COLUMN(YES_Reading_ELA[Self-Identified as Indigenous]), FALSE)),
IF($J$2="FLA",
IF(VLOOKUP($A508, YES_Reading_FLA[], COLUMN(YES_Reading_FLA[Self-Identified as Indigenous]),FALSE)="","",
VLOOKUP($A508,YES_Reading_FLA[],COLUMN(YES_Reading_FLA[Self-Identified as Indigenous]),FALSE)),
IF($J$2="Combined",
IFERROR(
IF(VLOOKUP($A508, YES_Reading_ELA[], COLUMN(YES_Reading_ELA[Self-Identified as Indigenous]), FALSE)="", "",
VLOOKUP($A508,YES_Reading_ELA[],COLUMN(YES_Reading_ELA[Self-Identified as Indigenous]),FALSE)),
IF(VLOOKUP($A508, YES_Reading_FLA[], COLUMN(YES_Reading_FLA[Self-Identified as Indigenous]),FALSE)="", "", VLOOKUP($A508,YES_Reading_FLA[],COLUMN(YES_Reading_FLA[Self-Identified as Indigenous]),FALSE))),""))),"")</f>
        <v/>
      </c>
    </row>
    <row r="509" spans="1:12" ht="19.5" customHeight="1" x14ac:dyDescent="0.25">
      <c r="A509" s="217"/>
      <c r="B509" s="220" t="str">
        <f>IFERROR(VLOOKUP(A509,_xlfn.VSTACK(YES_Reading_ELA[],YES_Reading_FLA[]),2,FALSE),"")</f>
        <v/>
      </c>
      <c r="C509" s="203" t="str" cm="1">
        <f t="array" aca="1" ref="C509" ca="1">IFERROR(
IF($J$2="ELA",
IF(VLOOKUP($A509, YES_Reading_ELA[], COLUMN(IF(VLOOKUP($D$2, 'Reading Report Logic'!$A$2:$B$8, 2, FALSE)=1, YES_Reading_ELA[Reading Level June of Previous School Year], INDIRECT("YES_Reading_ELA[Instructional Reading Level - Per "&amp;(VLOOKUP($D$2,'Reading Report Logic'!$A$2:$B$8,2,FALSE)-1)&amp;"]"))), FALSE)="", "",
VLOOKUP($A509,YES_Reading_ELA[], COLUMN(IF(VLOOKUP($D$2,'Reading Report Logic'!$A$2:$B$8,2,FALSE)=1, YES_Reading_ELA[Reading Level June of Previous School Year],INDIRECT("YES_Reading_ELA[Instructional Reading Level - Per "&amp;(VLOOKUP($D$2,'Reading Report Logic'!$A$2:$B$8,2,FALSE)-1)&amp;"]"))), FALSE)),
IF($J$2="FLA",
IF(VLOOKUP($A509, YES_Reading_FLA[], COLUMN(IF(VLOOKUP($D$2,'Reading Report Logic'!$A$2:$B$8,2,FALSE)=1, YES_Reading_FLA[Reading Level June of Previous School Year],INDIRECT("YES_Reading_FLA[Instructional Reading Level - Per "&amp;(VLOOKUP($D$2,'Reading Report Logic'!$A$2:$B$8,2,FALSE)-1)&amp;"]"))),FALSE)="","",
VLOOKUP($A509,YES_Reading_FLA[], COLUMN(IF(VLOOKUP($D$2,'Reading Report Logic'!$A$2:$B$8,2,FALSE)=1, YES_Reading_FLA[Reading Level June of Previous School Year],INDIRECT("YES_Reading_FLA[Instructional Reading Level - Per "&amp;(VLOOKUP($D$2,'Reading Report Logic'!$A$2:$B$8,2,FALSE)-1)&amp;"]"))),FALSE)),
IF($J$2="Combined",
IFERROR(
IF(VLOOKUP($A509, YES_Reading_ELA[], COLUMN(IF(VLOOKUP($D$2,'Reading Report Logic'!$A$2:$B$8,2,FALSE)=1, YES_Reading_ELA[Reading Level June of Previous School Year],INDIRECT("YES_Reading_ELA[Instructional Reading Level - Per "&amp;(VLOOKUP($D$2,'Reading Report Logic'!$A$2:$B$8,2,FALSE)-1)&amp;"]"))), FALSE)="", "",
VLOOKUP($A509,YES_Reading_ELA[],COLUMN(IF(VLOOKUP($D$2,'Reading Report Logic'!$A$2:$B$8,2,FALSE)=1, YES_Reading_ELA[Reading Level June of Previous School Year],INDIRECT("YES_Reading_ELA[Instructional Reading Level - Per "&amp;(VLOOKUP($D$2,'Reading Report Logic'!$A$2:$B$8,2,FALSE)-1)&amp;"]"))),FALSE)),
IF(VLOOKUP($A509, YES_Reading_FLA[], COLUMN(IF(VLOOKUP($D$2,'Reading Report Logic'!$A$2:$B$8,2,FALSE)=1, YES_Reading_FLA[Reading Level June of Previous School Year],INDIRECT("YES_Reading_FLA[Instructional Reading Level - Per "&amp;(VLOOKUP($D$2,'Reading Report Logic'!$A$2:$B$8,2,FALSE)-1)&amp;"]"))),FALSE)="", "", VLOOKUP($A509,YES_Reading_FLA[],COLUMN(IF(VLOOKUP($D$2,'Reading Report Logic'!$A$2:$B$8,2,FALSE)=1, YES_Reading_FLA[Reading Level June of Previous School Year],INDIRECT("YES_Reading_FLA[Instructional Reading Level - Per "&amp;(VLOOKUP($D$2,'Reading Report Logic'!$A$2:$B$8,2,FALSE)-1)&amp;"]"))), FALSE))),""))),"")</f>
        <v/>
      </c>
      <c r="D509" s="204" t="str" cm="1">
        <f t="array" aca="1" ref="D509" ca="1">IFERROR(
IF($J$2="ELA",
IF(VLOOKUP($A509, YES_Reading_ELA[], COLUMN(INDIRECT("YES_Reading_ELA[Instructional Reading Level - Per "&amp;VLOOKUP($D$2, 'Reading Report Logic'!$A$2:$B$8, 2, FALSE)&amp;"]")), FALSE)="", "",
VLOOKUP($A509,YES_Reading_ELA[], COLUMN(INDIRECT("YES_Reading_ELA[Instructional Reading Level - Per "&amp;VLOOKUP($D$2,'Reading Report Logic'!$A$2:$B$8,2,FALSE)&amp;"]")), FALSE)),
IF($J$2="FLA",
IF(VLOOKUP($A509, YES_Reading_FLA[], COLUMN(INDIRECT("YES_Reading_FLA[Instructional Reading Level - Per "&amp;VLOOKUP($D$2,'Reading Report Logic'!$A$2:$B$8,2,FALSE)&amp;"]")),FALSE)="","",
VLOOKUP($A509,YES_Reading_FLA[],COLUMN(INDIRECT("YES_Reading_FLA[Instructional Reading Level - Per "&amp;VLOOKUP($D$2,'Reading Report Logic'!$A$2:$B$8,2,FALSE)&amp;"]")),FALSE)),
IF($J$2="Combined",
IFERROR(
IF(VLOOKUP($A509, YES_Reading_ELA[], COLUMN(INDIRECT("YES_Reading_ELA[Instructional Reading Level - Per "&amp;VLOOKUP($D$2, 'Reading Report Logic'!$A$2:$B$8,2,FALSE)&amp;"]")), FALSE)="", "",
VLOOKUP($A509,YES_Reading_ELA[],COLUMN(INDIRECT("YES_Reading_ELA[Instructional Reading Level - Per "&amp;VLOOKUP($D$2,'Reading Report Logic'!$A$2:$B$8,2,FALSE)&amp;"]")),FALSE)),
IF(VLOOKUP($A509, YES_Reading_FLA[], COLUMN(INDIRECT("YES_Reading_FLA[Instructional Reading Level - Per "&amp;VLOOKUP($D$2, 'Reading Report Logic'!$A$2:$B$8, 2, FALSE)&amp;"]")),FALSE)="", "", VLOOKUP($A509,YES_Reading_FLA[],COLUMN(INDIRECT("YES_Reading_FLA[Instructional Reading Level - Per "&amp;VLOOKUP($D$2, 'Reading Report Logic'!$A$2:$B$8, 2, FALSE)&amp;"]")),FALSE))),""))),"")</f>
        <v/>
      </c>
      <c r="E509" s="205" t="str" cm="1">
        <f t="array" aca="1" ref="E509" ca="1">IFERROR(
IF($J$2="ELA",
IF(VLOOKUP($A509, YES_Reading_ELA[], COLUMN(INDIRECT("YES_Reading_ELA[Min Expectation - Per "&amp;VLOOKUP($D$2, 'Reading Report Logic'!$A$2:$B$8, 2, FALSE)&amp;"]")), FALSE)="", "",
VLOOKUP($A509,YES_Reading_ELA[], COLUMN(INDIRECT("YES_Reading_ELA[Min Expectation - Per "&amp;VLOOKUP($D$2,'Reading Report Logic'!$A$2:$B$8,2,FALSE)&amp;"]")), FALSE)),
IF($J$2="FLA",
IF(VLOOKUP($A509, YES_Reading_FLA[], COLUMN(INDIRECT("YES_Reading_FLA[Min Expectation - Per "&amp;VLOOKUP($D$2,'Reading Report Logic'!$A$2:$B$8,2,FALSE)&amp;"]")),FALSE)="","",
VLOOKUP($A509,YES_Reading_FLA[],COLUMN(INDIRECT("YES_Reading_FLA[Min Expectation - Per "&amp;VLOOKUP($D$2,'Reading Report Logic'!$A$2:$B$8,2,FALSE)&amp;"]")),FALSE)),
IF($J$2="Combined",
IFERROR(
IF(VLOOKUP($A509, YES_Reading_ELA[], COLUMN(INDIRECT("YES_Reading_ELA[Min Expectation - Per "&amp;VLOOKUP($D$2, 'Reading Report Logic'!$A$2:$B$8,2,FALSE)&amp;"]")), FALSE)="", "",
VLOOKUP($A509,YES_Reading_ELA[],COLUMN(INDIRECT("YES_Reading_ELA[Min Expectation - Per "&amp;VLOOKUP($D$2,'Reading Report Logic'!$A$2:$B$8,2,FALSE)&amp;"]")),FALSE)),
IF(VLOOKUP($A509, YES_Reading_FLA[], COLUMN(INDIRECT("YES_Reading_FLA[Min Expectation - Per "&amp;VLOOKUP($D$2, 'Reading Report Logic'!$A$2:$B$8, 2, FALSE)&amp;"]")),FALSE)="", "", VLOOKUP($A509,YES_Reading_FLA[],COLUMN(INDIRECT("YES_Reading_FLA[Min Expectation - Per "&amp;VLOOKUP($D$2, 'Reading Report Logic'!$A$2:$B$8, 2, FALSE)&amp;"]")),FALSE))),""))),"")</f>
        <v/>
      </c>
      <c r="F509" s="205" t="str" cm="1">
        <f t="array" aca="1" ref="F509" ca="1">IFERROR(
IF($J$2="ELA",
IF(VLOOKUP($A509, YES_Reading_ELA[], COLUMN(INDIRECT("YES_Reading_ELA[Max Expectation - Per "&amp;VLOOKUP($D$2, 'Reading Report Logic'!$A$2:$B$8, 2, FALSE)&amp;"]")), FALSE)="", "",
VLOOKUP($A509,YES_Reading_ELA[], COLUMN(INDIRECT("YES_Reading_ELA[Max Expectation - Per "&amp;VLOOKUP($D$2,'Reading Report Logic'!$A$2:$B$8,2,FALSE)&amp;"]")), FALSE)),
IF($J$2="FLA",
IF(VLOOKUP($A509, YES_Reading_FLA[], COLUMN(INDIRECT("YES_Reading_FLA[Max Expectation - Per "&amp;VLOOKUP($D$2,'Reading Report Logic'!$A$2:$B$8,2,FALSE)&amp;"]")),FALSE)="","",
VLOOKUP($A509,YES_Reading_FLA[],COLUMN(INDIRECT("YES_Reading_FLA[Max Expectation - Per "&amp;VLOOKUP($D$2,'Reading Report Logic'!$A$2:$B$8,2,FALSE)&amp;"]")),FALSE)),
IF($J$2="Combined",
IFERROR(
IF(VLOOKUP($A509, YES_Reading_ELA[], COLUMN(INDIRECT("YES_Reading_ELA[Max Expectation - Per "&amp;VLOOKUP($D$2, 'Reading Report Logic'!$A$2:$B$8,2,FALSE)&amp;"]")), FALSE)="", "",
VLOOKUP($A509,YES_Reading_ELA[],COLUMN(INDIRECT("YES_Reading_ELA[Max Expectation - Per "&amp;VLOOKUP($D$2,'Reading Report Logic'!$A$2:$B$8,2,FALSE)&amp;"]")),FALSE)),
IF(VLOOKUP($A509, YES_Reading_FLA[], COLUMN(INDIRECT("YES_Reading_FLA[Max Expectation - Per "&amp;VLOOKUP($D$2, 'Reading Report Logic'!$A$2:$B$8, 2, FALSE)&amp;"]")),FALSE)="", "", VLOOKUP($A509,YES_Reading_FLA[],COLUMN(INDIRECT("YES_Reading_FLA[Max Expectation - Per "&amp;VLOOKUP($D$2, 'Reading Report Logic'!$A$2:$B$8, 2, FALSE)&amp;"]")),FALSE))),""))),"")</f>
        <v/>
      </c>
      <c r="G509" s="205" t="str" cm="1">
        <f t="array" aca="1" ref="G509" ca="1">IFERROR(
IF($J$2="ELA",
IF(VLOOKUP($A509, YES_Reading_ELA[], COLUMN(INDIRECT("YES_Reading_ELA[Difference - Per "&amp;VLOOKUP($D$2, 'Reading Report Logic'!$A$2:$B$8, 2, FALSE)&amp;"]")), FALSE)="", "",
VLOOKUP($A509,YES_Reading_ELA[], COLUMN(INDIRECT("YES_Reading_ELA[Difference - Per "&amp;VLOOKUP($D$2,'Reading Report Logic'!$A$2:$B$8,2,FALSE)&amp;"]")), FALSE)),
IF($J$2="FLA",
IF(VLOOKUP($A509, YES_Reading_FLA[], COLUMN(INDIRECT("YES_Reading_FLA[Difference - Per "&amp;VLOOKUP($D$2,'Reading Report Logic'!$A$2:$B$8,2,FALSE)&amp;"]")),FALSE)="","",
VLOOKUP($A509,YES_Reading_FLA[],COLUMN(INDIRECT("YES_Reading_FLA[Difference - Per "&amp;VLOOKUP($D$2,'Reading Report Logic'!$A$2:$B$8,2,FALSE)&amp;"]")),FALSE)),
IF($J$2="Combined",
IFERROR(
IF(VLOOKUP($A509, YES_Reading_ELA[], COLUMN(INDIRECT("YES_Reading_ELA[Difference - Per "&amp;VLOOKUP($D$2, 'Reading Report Logic'!$A$2:$B$8,2,FALSE)&amp;"]")), FALSE)="", "",
VLOOKUP($A509,YES_Reading_ELA[],COLUMN(INDIRECT("YES_Reading_ELA[Difference - Per "&amp;VLOOKUP($D$2,'Reading Report Logic'!$A$2:$B$8,2,FALSE)&amp;"]")),FALSE)),
IF(VLOOKUP($A509, YES_Reading_FLA[], COLUMN(INDIRECT("YES_Reading_FLA[Difference - Per "&amp;VLOOKUP($D$2, 'Reading Report Logic'!$A$2:$B$8, 2, FALSE)&amp;"]")),FALSE)="", "", VLOOKUP($A509,YES_Reading_FLA[],COLUMN(INDIRECT("YES_Reading_FLA[Difference - Per "&amp;VLOOKUP($D$2, 'Reading Report Logic'!$A$2:$B$8, 2, FALSE)&amp;"]")),FALSE))),""))),"")</f>
        <v/>
      </c>
      <c r="H509" s="206" t="str">
        <f ca="1">IFERROR(VLOOKUP('Teacher Reading Pull Sheets'!$D509,_xlfn.VSTACK('ELA Reading Logic'!$A$22:$B$48,'FLA Reading Logic'!$A$22:$B$53),2,FALSE)-VLOOKUP('Teacher Reading Pull Sheets'!$C509,_xlfn.VSTACK('ELA Reading Logic'!$A$22:$B$48,'FLA Reading Logic'!$A$22:$B$53),2,FALSE),"")</f>
        <v/>
      </c>
      <c r="I509" s="212"/>
      <c r="J509" s="206"/>
      <c r="K509" s="197" t="str" cm="1">
        <f t="array" ref="K509">IFERROR(
IF($J$2="ELA",
IF(VLOOKUP($A509, YES_Reading_ELA[], COLUMN(YES_Reading_ELA[Self-Identified as African Descent]), FALSE)="", "",
VLOOKUP($A509,YES_Reading_ELA[], COLUMN(YES_Reading_ELA[Self-Identified as African Descent]), FALSE)),
IF($J$2="FLA",
IF(VLOOKUP($A509, YES_Reading_FLA[], COLUMN(YES_Reading_FLA[Self-Identified as African Descent]),FALSE)="","",
VLOOKUP($A509,YES_Reading_FLA[],COLUMN(YES_Reading_FLA[Self-Identified as African Descent]),FALSE)),
IF($J$2="Combined",
IFERROR(
IF(VLOOKUP($A509, YES_Reading_ELA[], COLUMN(YES_Reading_ELA[Self-Identified as African Descent]), FALSE)="", "",
VLOOKUP($A509,YES_Reading_ELA[],COLUMN(YES_Reading_ELA[Self-Identified as African Descent]),FALSE)),
IF(VLOOKUP($A509, YES_Reading_FLA[], COLUMN(YES_Reading_FLA[Self-Identified as African Descent]),FALSE)="", "", VLOOKUP($A509,YES_Reading_FLA[],COLUMN(YES_Reading_FLA[Self-Identified as African Descent]),FALSE))),""))),"")</f>
        <v/>
      </c>
      <c r="L509" s="73" t="str" cm="1">
        <f t="array" ref="L509">IFERROR(
IF($J$2="ELA",
IF(VLOOKUP($A509, YES_Reading_ELA[], COLUMN(YES_Reading_ELA[Self-Identified as Indigenous]), FALSE)="", "",
VLOOKUP($A509,YES_Reading_ELA[], COLUMN(YES_Reading_ELA[Self-Identified as Indigenous]), FALSE)),
IF($J$2="FLA",
IF(VLOOKUP($A509, YES_Reading_FLA[], COLUMN(YES_Reading_FLA[Self-Identified as Indigenous]),FALSE)="","",
VLOOKUP($A509,YES_Reading_FLA[],COLUMN(YES_Reading_FLA[Self-Identified as Indigenous]),FALSE)),
IF($J$2="Combined",
IFERROR(
IF(VLOOKUP($A509, YES_Reading_ELA[], COLUMN(YES_Reading_ELA[Self-Identified as Indigenous]), FALSE)="", "",
VLOOKUP($A509,YES_Reading_ELA[],COLUMN(YES_Reading_ELA[Self-Identified as Indigenous]),FALSE)),
IF(VLOOKUP($A509, YES_Reading_FLA[], COLUMN(YES_Reading_FLA[Self-Identified as Indigenous]),FALSE)="", "", VLOOKUP($A509,YES_Reading_FLA[],COLUMN(YES_Reading_FLA[Self-Identified as Indigenous]),FALSE))),""))),"")</f>
        <v/>
      </c>
    </row>
    <row r="510" spans="1:12" ht="19.5" customHeight="1" x14ac:dyDescent="0.25">
      <c r="A510" s="217"/>
      <c r="B510" s="220" t="str">
        <f>IFERROR(VLOOKUP(A510,_xlfn.VSTACK(YES_Reading_ELA[],YES_Reading_FLA[]),2,FALSE),"")</f>
        <v/>
      </c>
      <c r="C510" s="203" t="str" cm="1">
        <f t="array" aca="1" ref="C510" ca="1">IFERROR(
IF($J$2="ELA",
IF(VLOOKUP($A510, YES_Reading_ELA[], COLUMN(IF(VLOOKUP($D$2, 'Reading Report Logic'!$A$2:$B$8, 2, FALSE)=1, YES_Reading_ELA[Reading Level June of Previous School Year], INDIRECT("YES_Reading_ELA[Instructional Reading Level - Per "&amp;(VLOOKUP($D$2,'Reading Report Logic'!$A$2:$B$8,2,FALSE)-1)&amp;"]"))), FALSE)="", "",
VLOOKUP($A510,YES_Reading_ELA[], COLUMN(IF(VLOOKUP($D$2,'Reading Report Logic'!$A$2:$B$8,2,FALSE)=1, YES_Reading_ELA[Reading Level June of Previous School Year],INDIRECT("YES_Reading_ELA[Instructional Reading Level - Per "&amp;(VLOOKUP($D$2,'Reading Report Logic'!$A$2:$B$8,2,FALSE)-1)&amp;"]"))), FALSE)),
IF($J$2="FLA",
IF(VLOOKUP($A510, YES_Reading_FLA[], COLUMN(IF(VLOOKUP($D$2,'Reading Report Logic'!$A$2:$B$8,2,FALSE)=1, YES_Reading_FLA[Reading Level June of Previous School Year],INDIRECT("YES_Reading_FLA[Instructional Reading Level - Per "&amp;(VLOOKUP($D$2,'Reading Report Logic'!$A$2:$B$8,2,FALSE)-1)&amp;"]"))),FALSE)="","",
VLOOKUP($A510,YES_Reading_FLA[], COLUMN(IF(VLOOKUP($D$2,'Reading Report Logic'!$A$2:$B$8,2,FALSE)=1, YES_Reading_FLA[Reading Level June of Previous School Year],INDIRECT("YES_Reading_FLA[Instructional Reading Level - Per "&amp;(VLOOKUP($D$2,'Reading Report Logic'!$A$2:$B$8,2,FALSE)-1)&amp;"]"))),FALSE)),
IF($J$2="Combined",
IFERROR(
IF(VLOOKUP($A510, YES_Reading_ELA[], COLUMN(IF(VLOOKUP($D$2,'Reading Report Logic'!$A$2:$B$8,2,FALSE)=1, YES_Reading_ELA[Reading Level June of Previous School Year],INDIRECT("YES_Reading_ELA[Instructional Reading Level - Per "&amp;(VLOOKUP($D$2,'Reading Report Logic'!$A$2:$B$8,2,FALSE)-1)&amp;"]"))), FALSE)="", "",
VLOOKUP($A510,YES_Reading_ELA[],COLUMN(IF(VLOOKUP($D$2,'Reading Report Logic'!$A$2:$B$8,2,FALSE)=1, YES_Reading_ELA[Reading Level June of Previous School Year],INDIRECT("YES_Reading_ELA[Instructional Reading Level - Per "&amp;(VLOOKUP($D$2,'Reading Report Logic'!$A$2:$B$8,2,FALSE)-1)&amp;"]"))),FALSE)),
IF(VLOOKUP($A510, YES_Reading_FLA[], COLUMN(IF(VLOOKUP($D$2,'Reading Report Logic'!$A$2:$B$8,2,FALSE)=1, YES_Reading_FLA[Reading Level June of Previous School Year],INDIRECT("YES_Reading_FLA[Instructional Reading Level - Per "&amp;(VLOOKUP($D$2,'Reading Report Logic'!$A$2:$B$8,2,FALSE)-1)&amp;"]"))),FALSE)="", "", VLOOKUP($A510,YES_Reading_FLA[],COLUMN(IF(VLOOKUP($D$2,'Reading Report Logic'!$A$2:$B$8,2,FALSE)=1, YES_Reading_FLA[Reading Level June of Previous School Year],INDIRECT("YES_Reading_FLA[Instructional Reading Level - Per "&amp;(VLOOKUP($D$2,'Reading Report Logic'!$A$2:$B$8,2,FALSE)-1)&amp;"]"))), FALSE))),""))),"")</f>
        <v/>
      </c>
      <c r="D510" s="204" t="str" cm="1">
        <f t="array" aca="1" ref="D510" ca="1">IFERROR(
IF($J$2="ELA",
IF(VLOOKUP($A510, YES_Reading_ELA[], COLUMN(INDIRECT("YES_Reading_ELA[Instructional Reading Level - Per "&amp;VLOOKUP($D$2, 'Reading Report Logic'!$A$2:$B$8, 2, FALSE)&amp;"]")), FALSE)="", "",
VLOOKUP($A510,YES_Reading_ELA[], COLUMN(INDIRECT("YES_Reading_ELA[Instructional Reading Level - Per "&amp;VLOOKUP($D$2,'Reading Report Logic'!$A$2:$B$8,2,FALSE)&amp;"]")), FALSE)),
IF($J$2="FLA",
IF(VLOOKUP($A510, YES_Reading_FLA[], COLUMN(INDIRECT("YES_Reading_FLA[Instructional Reading Level - Per "&amp;VLOOKUP($D$2,'Reading Report Logic'!$A$2:$B$8,2,FALSE)&amp;"]")),FALSE)="","",
VLOOKUP($A510,YES_Reading_FLA[],COLUMN(INDIRECT("YES_Reading_FLA[Instructional Reading Level - Per "&amp;VLOOKUP($D$2,'Reading Report Logic'!$A$2:$B$8,2,FALSE)&amp;"]")),FALSE)),
IF($J$2="Combined",
IFERROR(
IF(VLOOKUP($A510, YES_Reading_ELA[], COLUMN(INDIRECT("YES_Reading_ELA[Instructional Reading Level - Per "&amp;VLOOKUP($D$2, 'Reading Report Logic'!$A$2:$B$8,2,FALSE)&amp;"]")), FALSE)="", "",
VLOOKUP($A510,YES_Reading_ELA[],COLUMN(INDIRECT("YES_Reading_ELA[Instructional Reading Level - Per "&amp;VLOOKUP($D$2,'Reading Report Logic'!$A$2:$B$8,2,FALSE)&amp;"]")),FALSE)),
IF(VLOOKUP($A510, YES_Reading_FLA[], COLUMN(INDIRECT("YES_Reading_FLA[Instructional Reading Level - Per "&amp;VLOOKUP($D$2, 'Reading Report Logic'!$A$2:$B$8, 2, FALSE)&amp;"]")),FALSE)="", "", VLOOKUP($A510,YES_Reading_FLA[],COLUMN(INDIRECT("YES_Reading_FLA[Instructional Reading Level - Per "&amp;VLOOKUP($D$2, 'Reading Report Logic'!$A$2:$B$8, 2, FALSE)&amp;"]")),FALSE))),""))),"")</f>
        <v/>
      </c>
      <c r="E510" s="205" t="str" cm="1">
        <f t="array" aca="1" ref="E510" ca="1">IFERROR(
IF($J$2="ELA",
IF(VLOOKUP($A510, YES_Reading_ELA[], COLUMN(INDIRECT("YES_Reading_ELA[Min Expectation - Per "&amp;VLOOKUP($D$2, 'Reading Report Logic'!$A$2:$B$8, 2, FALSE)&amp;"]")), FALSE)="", "",
VLOOKUP($A510,YES_Reading_ELA[], COLUMN(INDIRECT("YES_Reading_ELA[Min Expectation - Per "&amp;VLOOKUP($D$2,'Reading Report Logic'!$A$2:$B$8,2,FALSE)&amp;"]")), FALSE)),
IF($J$2="FLA",
IF(VLOOKUP($A510, YES_Reading_FLA[], COLUMN(INDIRECT("YES_Reading_FLA[Min Expectation - Per "&amp;VLOOKUP($D$2,'Reading Report Logic'!$A$2:$B$8,2,FALSE)&amp;"]")),FALSE)="","",
VLOOKUP($A510,YES_Reading_FLA[],COLUMN(INDIRECT("YES_Reading_FLA[Min Expectation - Per "&amp;VLOOKUP($D$2,'Reading Report Logic'!$A$2:$B$8,2,FALSE)&amp;"]")),FALSE)),
IF($J$2="Combined",
IFERROR(
IF(VLOOKUP($A510, YES_Reading_ELA[], COLUMN(INDIRECT("YES_Reading_ELA[Min Expectation - Per "&amp;VLOOKUP($D$2, 'Reading Report Logic'!$A$2:$B$8,2,FALSE)&amp;"]")), FALSE)="", "",
VLOOKUP($A510,YES_Reading_ELA[],COLUMN(INDIRECT("YES_Reading_ELA[Min Expectation - Per "&amp;VLOOKUP($D$2,'Reading Report Logic'!$A$2:$B$8,2,FALSE)&amp;"]")),FALSE)),
IF(VLOOKUP($A510, YES_Reading_FLA[], COLUMN(INDIRECT("YES_Reading_FLA[Min Expectation - Per "&amp;VLOOKUP($D$2, 'Reading Report Logic'!$A$2:$B$8, 2, FALSE)&amp;"]")),FALSE)="", "", VLOOKUP($A510,YES_Reading_FLA[],COLUMN(INDIRECT("YES_Reading_FLA[Min Expectation - Per "&amp;VLOOKUP($D$2, 'Reading Report Logic'!$A$2:$B$8, 2, FALSE)&amp;"]")),FALSE))),""))),"")</f>
        <v/>
      </c>
      <c r="F510" s="205" t="str" cm="1">
        <f t="array" aca="1" ref="F510" ca="1">IFERROR(
IF($J$2="ELA",
IF(VLOOKUP($A510, YES_Reading_ELA[], COLUMN(INDIRECT("YES_Reading_ELA[Max Expectation - Per "&amp;VLOOKUP($D$2, 'Reading Report Logic'!$A$2:$B$8, 2, FALSE)&amp;"]")), FALSE)="", "",
VLOOKUP($A510,YES_Reading_ELA[], COLUMN(INDIRECT("YES_Reading_ELA[Max Expectation - Per "&amp;VLOOKUP($D$2,'Reading Report Logic'!$A$2:$B$8,2,FALSE)&amp;"]")), FALSE)),
IF($J$2="FLA",
IF(VLOOKUP($A510, YES_Reading_FLA[], COLUMN(INDIRECT("YES_Reading_FLA[Max Expectation - Per "&amp;VLOOKUP($D$2,'Reading Report Logic'!$A$2:$B$8,2,FALSE)&amp;"]")),FALSE)="","",
VLOOKUP($A510,YES_Reading_FLA[],COLUMN(INDIRECT("YES_Reading_FLA[Max Expectation - Per "&amp;VLOOKUP($D$2,'Reading Report Logic'!$A$2:$B$8,2,FALSE)&amp;"]")),FALSE)),
IF($J$2="Combined",
IFERROR(
IF(VLOOKUP($A510, YES_Reading_ELA[], COLUMN(INDIRECT("YES_Reading_ELA[Max Expectation - Per "&amp;VLOOKUP($D$2, 'Reading Report Logic'!$A$2:$B$8,2,FALSE)&amp;"]")), FALSE)="", "",
VLOOKUP($A510,YES_Reading_ELA[],COLUMN(INDIRECT("YES_Reading_ELA[Max Expectation - Per "&amp;VLOOKUP($D$2,'Reading Report Logic'!$A$2:$B$8,2,FALSE)&amp;"]")),FALSE)),
IF(VLOOKUP($A510, YES_Reading_FLA[], COLUMN(INDIRECT("YES_Reading_FLA[Max Expectation - Per "&amp;VLOOKUP($D$2, 'Reading Report Logic'!$A$2:$B$8, 2, FALSE)&amp;"]")),FALSE)="", "", VLOOKUP($A510,YES_Reading_FLA[],COLUMN(INDIRECT("YES_Reading_FLA[Max Expectation - Per "&amp;VLOOKUP($D$2, 'Reading Report Logic'!$A$2:$B$8, 2, FALSE)&amp;"]")),FALSE))),""))),"")</f>
        <v/>
      </c>
      <c r="G510" s="205" t="str" cm="1">
        <f t="array" aca="1" ref="G510" ca="1">IFERROR(
IF($J$2="ELA",
IF(VLOOKUP($A510, YES_Reading_ELA[], COLUMN(INDIRECT("YES_Reading_ELA[Difference - Per "&amp;VLOOKUP($D$2, 'Reading Report Logic'!$A$2:$B$8, 2, FALSE)&amp;"]")), FALSE)="", "",
VLOOKUP($A510,YES_Reading_ELA[], COLUMN(INDIRECT("YES_Reading_ELA[Difference - Per "&amp;VLOOKUP($D$2,'Reading Report Logic'!$A$2:$B$8,2,FALSE)&amp;"]")), FALSE)),
IF($J$2="FLA",
IF(VLOOKUP($A510, YES_Reading_FLA[], COLUMN(INDIRECT("YES_Reading_FLA[Difference - Per "&amp;VLOOKUP($D$2,'Reading Report Logic'!$A$2:$B$8,2,FALSE)&amp;"]")),FALSE)="","",
VLOOKUP($A510,YES_Reading_FLA[],COLUMN(INDIRECT("YES_Reading_FLA[Difference - Per "&amp;VLOOKUP($D$2,'Reading Report Logic'!$A$2:$B$8,2,FALSE)&amp;"]")),FALSE)),
IF($J$2="Combined",
IFERROR(
IF(VLOOKUP($A510, YES_Reading_ELA[], COLUMN(INDIRECT("YES_Reading_ELA[Difference - Per "&amp;VLOOKUP($D$2, 'Reading Report Logic'!$A$2:$B$8,2,FALSE)&amp;"]")), FALSE)="", "",
VLOOKUP($A510,YES_Reading_ELA[],COLUMN(INDIRECT("YES_Reading_ELA[Difference - Per "&amp;VLOOKUP($D$2,'Reading Report Logic'!$A$2:$B$8,2,FALSE)&amp;"]")),FALSE)),
IF(VLOOKUP($A510, YES_Reading_FLA[], COLUMN(INDIRECT("YES_Reading_FLA[Difference - Per "&amp;VLOOKUP($D$2, 'Reading Report Logic'!$A$2:$B$8, 2, FALSE)&amp;"]")),FALSE)="", "", VLOOKUP($A510,YES_Reading_FLA[],COLUMN(INDIRECT("YES_Reading_FLA[Difference - Per "&amp;VLOOKUP($D$2, 'Reading Report Logic'!$A$2:$B$8, 2, FALSE)&amp;"]")),FALSE))),""))),"")</f>
        <v/>
      </c>
      <c r="H510" s="206" t="str">
        <f ca="1">IFERROR(VLOOKUP('Teacher Reading Pull Sheets'!$D510,_xlfn.VSTACK('ELA Reading Logic'!$A$22:$B$48,'FLA Reading Logic'!$A$22:$B$53),2,FALSE)-VLOOKUP('Teacher Reading Pull Sheets'!$C510,_xlfn.VSTACK('ELA Reading Logic'!$A$22:$B$48,'FLA Reading Logic'!$A$22:$B$53),2,FALSE),"")</f>
        <v/>
      </c>
      <c r="I510" s="212"/>
      <c r="J510" s="206"/>
      <c r="K510" s="197" t="str" cm="1">
        <f t="array" ref="K510">IFERROR(
IF($J$2="ELA",
IF(VLOOKUP($A510, YES_Reading_ELA[], COLUMN(YES_Reading_ELA[Self-Identified as African Descent]), FALSE)="", "",
VLOOKUP($A510,YES_Reading_ELA[], COLUMN(YES_Reading_ELA[Self-Identified as African Descent]), FALSE)),
IF($J$2="FLA",
IF(VLOOKUP($A510, YES_Reading_FLA[], COLUMN(YES_Reading_FLA[Self-Identified as African Descent]),FALSE)="","",
VLOOKUP($A510,YES_Reading_FLA[],COLUMN(YES_Reading_FLA[Self-Identified as African Descent]),FALSE)),
IF($J$2="Combined",
IFERROR(
IF(VLOOKUP($A510, YES_Reading_ELA[], COLUMN(YES_Reading_ELA[Self-Identified as African Descent]), FALSE)="", "",
VLOOKUP($A510,YES_Reading_ELA[],COLUMN(YES_Reading_ELA[Self-Identified as African Descent]),FALSE)),
IF(VLOOKUP($A510, YES_Reading_FLA[], COLUMN(YES_Reading_FLA[Self-Identified as African Descent]),FALSE)="", "", VLOOKUP($A510,YES_Reading_FLA[],COLUMN(YES_Reading_FLA[Self-Identified as African Descent]),FALSE))),""))),"")</f>
        <v/>
      </c>
      <c r="L510" s="73" t="str" cm="1">
        <f t="array" ref="L510">IFERROR(
IF($J$2="ELA",
IF(VLOOKUP($A510, YES_Reading_ELA[], COLUMN(YES_Reading_ELA[Self-Identified as Indigenous]), FALSE)="", "",
VLOOKUP($A510,YES_Reading_ELA[], COLUMN(YES_Reading_ELA[Self-Identified as Indigenous]), FALSE)),
IF($J$2="FLA",
IF(VLOOKUP($A510, YES_Reading_FLA[], COLUMN(YES_Reading_FLA[Self-Identified as Indigenous]),FALSE)="","",
VLOOKUP($A510,YES_Reading_FLA[],COLUMN(YES_Reading_FLA[Self-Identified as Indigenous]),FALSE)),
IF($J$2="Combined",
IFERROR(
IF(VLOOKUP($A510, YES_Reading_ELA[], COLUMN(YES_Reading_ELA[Self-Identified as Indigenous]), FALSE)="", "",
VLOOKUP($A510,YES_Reading_ELA[],COLUMN(YES_Reading_ELA[Self-Identified as Indigenous]),FALSE)),
IF(VLOOKUP($A510, YES_Reading_FLA[], COLUMN(YES_Reading_FLA[Self-Identified as Indigenous]),FALSE)="", "", VLOOKUP($A510,YES_Reading_FLA[],COLUMN(YES_Reading_FLA[Self-Identified as Indigenous]),FALSE))),""))),"")</f>
        <v/>
      </c>
    </row>
    <row r="511" spans="1:12" ht="19.5" customHeight="1" x14ac:dyDescent="0.25">
      <c r="A511" s="217"/>
      <c r="B511" s="220" t="str">
        <f>IFERROR(VLOOKUP(A511,_xlfn.VSTACK(YES_Reading_ELA[],YES_Reading_FLA[]),2,FALSE),"")</f>
        <v/>
      </c>
      <c r="C511" s="203" t="str" cm="1">
        <f t="array" aca="1" ref="C511" ca="1">IFERROR(
IF($J$2="ELA",
IF(VLOOKUP($A511, YES_Reading_ELA[], COLUMN(IF(VLOOKUP($D$2, 'Reading Report Logic'!$A$2:$B$8, 2, FALSE)=1, YES_Reading_ELA[Reading Level June of Previous School Year], INDIRECT("YES_Reading_ELA[Instructional Reading Level - Per "&amp;(VLOOKUP($D$2,'Reading Report Logic'!$A$2:$B$8,2,FALSE)-1)&amp;"]"))), FALSE)="", "",
VLOOKUP($A511,YES_Reading_ELA[], COLUMN(IF(VLOOKUP($D$2,'Reading Report Logic'!$A$2:$B$8,2,FALSE)=1, YES_Reading_ELA[Reading Level June of Previous School Year],INDIRECT("YES_Reading_ELA[Instructional Reading Level - Per "&amp;(VLOOKUP($D$2,'Reading Report Logic'!$A$2:$B$8,2,FALSE)-1)&amp;"]"))), FALSE)),
IF($J$2="FLA",
IF(VLOOKUP($A511, YES_Reading_FLA[], COLUMN(IF(VLOOKUP($D$2,'Reading Report Logic'!$A$2:$B$8,2,FALSE)=1, YES_Reading_FLA[Reading Level June of Previous School Year],INDIRECT("YES_Reading_FLA[Instructional Reading Level - Per "&amp;(VLOOKUP($D$2,'Reading Report Logic'!$A$2:$B$8,2,FALSE)-1)&amp;"]"))),FALSE)="","",
VLOOKUP($A511,YES_Reading_FLA[], COLUMN(IF(VLOOKUP($D$2,'Reading Report Logic'!$A$2:$B$8,2,FALSE)=1, YES_Reading_FLA[Reading Level June of Previous School Year],INDIRECT("YES_Reading_FLA[Instructional Reading Level - Per "&amp;(VLOOKUP($D$2,'Reading Report Logic'!$A$2:$B$8,2,FALSE)-1)&amp;"]"))),FALSE)),
IF($J$2="Combined",
IFERROR(
IF(VLOOKUP($A511, YES_Reading_ELA[], COLUMN(IF(VLOOKUP($D$2,'Reading Report Logic'!$A$2:$B$8,2,FALSE)=1, YES_Reading_ELA[Reading Level June of Previous School Year],INDIRECT("YES_Reading_ELA[Instructional Reading Level - Per "&amp;(VLOOKUP($D$2,'Reading Report Logic'!$A$2:$B$8,2,FALSE)-1)&amp;"]"))), FALSE)="", "",
VLOOKUP($A511,YES_Reading_ELA[],COLUMN(IF(VLOOKUP($D$2,'Reading Report Logic'!$A$2:$B$8,2,FALSE)=1, YES_Reading_ELA[Reading Level June of Previous School Year],INDIRECT("YES_Reading_ELA[Instructional Reading Level - Per "&amp;(VLOOKUP($D$2,'Reading Report Logic'!$A$2:$B$8,2,FALSE)-1)&amp;"]"))),FALSE)),
IF(VLOOKUP($A511, YES_Reading_FLA[], COLUMN(IF(VLOOKUP($D$2,'Reading Report Logic'!$A$2:$B$8,2,FALSE)=1, YES_Reading_FLA[Reading Level June of Previous School Year],INDIRECT("YES_Reading_FLA[Instructional Reading Level - Per "&amp;(VLOOKUP($D$2,'Reading Report Logic'!$A$2:$B$8,2,FALSE)-1)&amp;"]"))),FALSE)="", "", VLOOKUP($A511,YES_Reading_FLA[],COLUMN(IF(VLOOKUP($D$2,'Reading Report Logic'!$A$2:$B$8,2,FALSE)=1, YES_Reading_FLA[Reading Level June of Previous School Year],INDIRECT("YES_Reading_FLA[Instructional Reading Level - Per "&amp;(VLOOKUP($D$2,'Reading Report Logic'!$A$2:$B$8,2,FALSE)-1)&amp;"]"))), FALSE))),""))),"")</f>
        <v/>
      </c>
      <c r="D511" s="204" t="str" cm="1">
        <f t="array" aca="1" ref="D511" ca="1">IFERROR(
IF($J$2="ELA",
IF(VLOOKUP($A511, YES_Reading_ELA[], COLUMN(INDIRECT("YES_Reading_ELA[Instructional Reading Level - Per "&amp;VLOOKUP($D$2, 'Reading Report Logic'!$A$2:$B$8, 2, FALSE)&amp;"]")), FALSE)="", "",
VLOOKUP($A511,YES_Reading_ELA[], COLUMN(INDIRECT("YES_Reading_ELA[Instructional Reading Level - Per "&amp;VLOOKUP($D$2,'Reading Report Logic'!$A$2:$B$8,2,FALSE)&amp;"]")), FALSE)),
IF($J$2="FLA",
IF(VLOOKUP($A511, YES_Reading_FLA[], COLUMN(INDIRECT("YES_Reading_FLA[Instructional Reading Level - Per "&amp;VLOOKUP($D$2,'Reading Report Logic'!$A$2:$B$8,2,FALSE)&amp;"]")),FALSE)="","",
VLOOKUP($A511,YES_Reading_FLA[],COLUMN(INDIRECT("YES_Reading_FLA[Instructional Reading Level - Per "&amp;VLOOKUP($D$2,'Reading Report Logic'!$A$2:$B$8,2,FALSE)&amp;"]")),FALSE)),
IF($J$2="Combined",
IFERROR(
IF(VLOOKUP($A511, YES_Reading_ELA[], COLUMN(INDIRECT("YES_Reading_ELA[Instructional Reading Level - Per "&amp;VLOOKUP($D$2, 'Reading Report Logic'!$A$2:$B$8,2,FALSE)&amp;"]")), FALSE)="", "",
VLOOKUP($A511,YES_Reading_ELA[],COLUMN(INDIRECT("YES_Reading_ELA[Instructional Reading Level - Per "&amp;VLOOKUP($D$2,'Reading Report Logic'!$A$2:$B$8,2,FALSE)&amp;"]")),FALSE)),
IF(VLOOKUP($A511, YES_Reading_FLA[], COLUMN(INDIRECT("YES_Reading_FLA[Instructional Reading Level - Per "&amp;VLOOKUP($D$2, 'Reading Report Logic'!$A$2:$B$8, 2, FALSE)&amp;"]")),FALSE)="", "", VLOOKUP($A511,YES_Reading_FLA[],COLUMN(INDIRECT("YES_Reading_FLA[Instructional Reading Level - Per "&amp;VLOOKUP($D$2, 'Reading Report Logic'!$A$2:$B$8, 2, FALSE)&amp;"]")),FALSE))),""))),"")</f>
        <v/>
      </c>
      <c r="E511" s="205" t="str" cm="1">
        <f t="array" aca="1" ref="E511" ca="1">IFERROR(
IF($J$2="ELA",
IF(VLOOKUP($A511, YES_Reading_ELA[], COLUMN(INDIRECT("YES_Reading_ELA[Min Expectation - Per "&amp;VLOOKUP($D$2, 'Reading Report Logic'!$A$2:$B$8, 2, FALSE)&amp;"]")), FALSE)="", "",
VLOOKUP($A511,YES_Reading_ELA[], COLUMN(INDIRECT("YES_Reading_ELA[Min Expectation - Per "&amp;VLOOKUP($D$2,'Reading Report Logic'!$A$2:$B$8,2,FALSE)&amp;"]")), FALSE)),
IF($J$2="FLA",
IF(VLOOKUP($A511, YES_Reading_FLA[], COLUMN(INDIRECT("YES_Reading_FLA[Min Expectation - Per "&amp;VLOOKUP($D$2,'Reading Report Logic'!$A$2:$B$8,2,FALSE)&amp;"]")),FALSE)="","",
VLOOKUP($A511,YES_Reading_FLA[],COLUMN(INDIRECT("YES_Reading_FLA[Min Expectation - Per "&amp;VLOOKUP($D$2,'Reading Report Logic'!$A$2:$B$8,2,FALSE)&amp;"]")),FALSE)),
IF($J$2="Combined",
IFERROR(
IF(VLOOKUP($A511, YES_Reading_ELA[], COLUMN(INDIRECT("YES_Reading_ELA[Min Expectation - Per "&amp;VLOOKUP($D$2, 'Reading Report Logic'!$A$2:$B$8,2,FALSE)&amp;"]")), FALSE)="", "",
VLOOKUP($A511,YES_Reading_ELA[],COLUMN(INDIRECT("YES_Reading_ELA[Min Expectation - Per "&amp;VLOOKUP($D$2,'Reading Report Logic'!$A$2:$B$8,2,FALSE)&amp;"]")),FALSE)),
IF(VLOOKUP($A511, YES_Reading_FLA[], COLUMN(INDIRECT("YES_Reading_FLA[Min Expectation - Per "&amp;VLOOKUP($D$2, 'Reading Report Logic'!$A$2:$B$8, 2, FALSE)&amp;"]")),FALSE)="", "", VLOOKUP($A511,YES_Reading_FLA[],COLUMN(INDIRECT("YES_Reading_FLA[Min Expectation - Per "&amp;VLOOKUP($D$2, 'Reading Report Logic'!$A$2:$B$8, 2, FALSE)&amp;"]")),FALSE))),""))),"")</f>
        <v/>
      </c>
      <c r="F511" s="205" t="str" cm="1">
        <f t="array" aca="1" ref="F511" ca="1">IFERROR(
IF($J$2="ELA",
IF(VLOOKUP($A511, YES_Reading_ELA[], COLUMN(INDIRECT("YES_Reading_ELA[Max Expectation - Per "&amp;VLOOKUP($D$2, 'Reading Report Logic'!$A$2:$B$8, 2, FALSE)&amp;"]")), FALSE)="", "",
VLOOKUP($A511,YES_Reading_ELA[], COLUMN(INDIRECT("YES_Reading_ELA[Max Expectation - Per "&amp;VLOOKUP($D$2,'Reading Report Logic'!$A$2:$B$8,2,FALSE)&amp;"]")), FALSE)),
IF($J$2="FLA",
IF(VLOOKUP($A511, YES_Reading_FLA[], COLUMN(INDIRECT("YES_Reading_FLA[Max Expectation - Per "&amp;VLOOKUP($D$2,'Reading Report Logic'!$A$2:$B$8,2,FALSE)&amp;"]")),FALSE)="","",
VLOOKUP($A511,YES_Reading_FLA[],COLUMN(INDIRECT("YES_Reading_FLA[Max Expectation - Per "&amp;VLOOKUP($D$2,'Reading Report Logic'!$A$2:$B$8,2,FALSE)&amp;"]")),FALSE)),
IF($J$2="Combined",
IFERROR(
IF(VLOOKUP($A511, YES_Reading_ELA[], COLUMN(INDIRECT("YES_Reading_ELA[Max Expectation - Per "&amp;VLOOKUP($D$2, 'Reading Report Logic'!$A$2:$B$8,2,FALSE)&amp;"]")), FALSE)="", "",
VLOOKUP($A511,YES_Reading_ELA[],COLUMN(INDIRECT("YES_Reading_ELA[Max Expectation - Per "&amp;VLOOKUP($D$2,'Reading Report Logic'!$A$2:$B$8,2,FALSE)&amp;"]")),FALSE)),
IF(VLOOKUP($A511, YES_Reading_FLA[], COLUMN(INDIRECT("YES_Reading_FLA[Max Expectation - Per "&amp;VLOOKUP($D$2, 'Reading Report Logic'!$A$2:$B$8, 2, FALSE)&amp;"]")),FALSE)="", "", VLOOKUP($A511,YES_Reading_FLA[],COLUMN(INDIRECT("YES_Reading_FLA[Max Expectation - Per "&amp;VLOOKUP($D$2, 'Reading Report Logic'!$A$2:$B$8, 2, FALSE)&amp;"]")),FALSE))),""))),"")</f>
        <v/>
      </c>
      <c r="G511" s="205" t="str" cm="1">
        <f t="array" aca="1" ref="G511" ca="1">IFERROR(
IF($J$2="ELA",
IF(VLOOKUP($A511, YES_Reading_ELA[], COLUMN(INDIRECT("YES_Reading_ELA[Difference - Per "&amp;VLOOKUP($D$2, 'Reading Report Logic'!$A$2:$B$8, 2, FALSE)&amp;"]")), FALSE)="", "",
VLOOKUP($A511,YES_Reading_ELA[], COLUMN(INDIRECT("YES_Reading_ELA[Difference - Per "&amp;VLOOKUP($D$2,'Reading Report Logic'!$A$2:$B$8,2,FALSE)&amp;"]")), FALSE)),
IF($J$2="FLA",
IF(VLOOKUP($A511, YES_Reading_FLA[], COLUMN(INDIRECT("YES_Reading_FLA[Difference - Per "&amp;VLOOKUP($D$2,'Reading Report Logic'!$A$2:$B$8,2,FALSE)&amp;"]")),FALSE)="","",
VLOOKUP($A511,YES_Reading_FLA[],COLUMN(INDIRECT("YES_Reading_FLA[Difference - Per "&amp;VLOOKUP($D$2,'Reading Report Logic'!$A$2:$B$8,2,FALSE)&amp;"]")),FALSE)),
IF($J$2="Combined",
IFERROR(
IF(VLOOKUP($A511, YES_Reading_ELA[], COLUMN(INDIRECT("YES_Reading_ELA[Difference - Per "&amp;VLOOKUP($D$2, 'Reading Report Logic'!$A$2:$B$8,2,FALSE)&amp;"]")), FALSE)="", "",
VLOOKUP($A511,YES_Reading_ELA[],COLUMN(INDIRECT("YES_Reading_ELA[Difference - Per "&amp;VLOOKUP($D$2,'Reading Report Logic'!$A$2:$B$8,2,FALSE)&amp;"]")),FALSE)),
IF(VLOOKUP($A511, YES_Reading_FLA[], COLUMN(INDIRECT("YES_Reading_FLA[Difference - Per "&amp;VLOOKUP($D$2, 'Reading Report Logic'!$A$2:$B$8, 2, FALSE)&amp;"]")),FALSE)="", "", VLOOKUP($A511,YES_Reading_FLA[],COLUMN(INDIRECT("YES_Reading_FLA[Difference - Per "&amp;VLOOKUP($D$2, 'Reading Report Logic'!$A$2:$B$8, 2, FALSE)&amp;"]")),FALSE))),""))),"")</f>
        <v/>
      </c>
      <c r="H511" s="206" t="str">
        <f ca="1">IFERROR(VLOOKUP('Teacher Reading Pull Sheets'!$D511,_xlfn.VSTACK('ELA Reading Logic'!$A$22:$B$48,'FLA Reading Logic'!$A$22:$B$53),2,FALSE)-VLOOKUP('Teacher Reading Pull Sheets'!$C511,_xlfn.VSTACK('ELA Reading Logic'!$A$22:$B$48,'FLA Reading Logic'!$A$22:$B$53),2,FALSE),"")</f>
        <v/>
      </c>
      <c r="I511" s="212"/>
      <c r="J511" s="206"/>
      <c r="K511" s="197" t="str" cm="1">
        <f t="array" ref="K511">IFERROR(
IF($J$2="ELA",
IF(VLOOKUP($A511, YES_Reading_ELA[], COLUMN(YES_Reading_ELA[Self-Identified as African Descent]), FALSE)="", "",
VLOOKUP($A511,YES_Reading_ELA[], COLUMN(YES_Reading_ELA[Self-Identified as African Descent]), FALSE)),
IF($J$2="FLA",
IF(VLOOKUP($A511, YES_Reading_FLA[], COLUMN(YES_Reading_FLA[Self-Identified as African Descent]),FALSE)="","",
VLOOKUP($A511,YES_Reading_FLA[],COLUMN(YES_Reading_FLA[Self-Identified as African Descent]),FALSE)),
IF($J$2="Combined",
IFERROR(
IF(VLOOKUP($A511, YES_Reading_ELA[], COLUMN(YES_Reading_ELA[Self-Identified as African Descent]), FALSE)="", "",
VLOOKUP($A511,YES_Reading_ELA[],COLUMN(YES_Reading_ELA[Self-Identified as African Descent]),FALSE)),
IF(VLOOKUP($A511, YES_Reading_FLA[], COLUMN(YES_Reading_FLA[Self-Identified as African Descent]),FALSE)="", "", VLOOKUP($A511,YES_Reading_FLA[],COLUMN(YES_Reading_FLA[Self-Identified as African Descent]),FALSE))),""))),"")</f>
        <v/>
      </c>
      <c r="L511" s="73" t="str" cm="1">
        <f t="array" ref="L511">IFERROR(
IF($J$2="ELA",
IF(VLOOKUP($A511, YES_Reading_ELA[], COLUMN(YES_Reading_ELA[Self-Identified as Indigenous]), FALSE)="", "",
VLOOKUP($A511,YES_Reading_ELA[], COLUMN(YES_Reading_ELA[Self-Identified as Indigenous]), FALSE)),
IF($J$2="FLA",
IF(VLOOKUP($A511, YES_Reading_FLA[], COLUMN(YES_Reading_FLA[Self-Identified as Indigenous]),FALSE)="","",
VLOOKUP($A511,YES_Reading_FLA[],COLUMN(YES_Reading_FLA[Self-Identified as Indigenous]),FALSE)),
IF($J$2="Combined",
IFERROR(
IF(VLOOKUP($A511, YES_Reading_ELA[], COLUMN(YES_Reading_ELA[Self-Identified as Indigenous]), FALSE)="", "",
VLOOKUP($A511,YES_Reading_ELA[],COLUMN(YES_Reading_ELA[Self-Identified as Indigenous]),FALSE)),
IF(VLOOKUP($A511, YES_Reading_FLA[], COLUMN(YES_Reading_FLA[Self-Identified as Indigenous]),FALSE)="", "", VLOOKUP($A511,YES_Reading_FLA[],COLUMN(YES_Reading_FLA[Self-Identified as Indigenous]),FALSE))),""))),"")</f>
        <v/>
      </c>
    </row>
    <row r="512" spans="1:12" ht="19.5" customHeight="1" x14ac:dyDescent="0.25">
      <c r="A512" s="217"/>
      <c r="B512" s="220" t="str">
        <f>IFERROR(VLOOKUP(A512,_xlfn.VSTACK(YES_Reading_ELA[],YES_Reading_FLA[]),2,FALSE),"")</f>
        <v/>
      </c>
      <c r="C512" s="203" t="str" cm="1">
        <f t="array" aca="1" ref="C512" ca="1">IFERROR(
IF($J$2="ELA",
IF(VLOOKUP($A512, YES_Reading_ELA[], COLUMN(IF(VLOOKUP($D$2, 'Reading Report Logic'!$A$2:$B$8, 2, FALSE)=1, YES_Reading_ELA[Reading Level June of Previous School Year], INDIRECT("YES_Reading_ELA[Instructional Reading Level - Per "&amp;(VLOOKUP($D$2,'Reading Report Logic'!$A$2:$B$8,2,FALSE)-1)&amp;"]"))), FALSE)="", "",
VLOOKUP($A512,YES_Reading_ELA[], COLUMN(IF(VLOOKUP($D$2,'Reading Report Logic'!$A$2:$B$8,2,FALSE)=1, YES_Reading_ELA[Reading Level June of Previous School Year],INDIRECT("YES_Reading_ELA[Instructional Reading Level - Per "&amp;(VLOOKUP($D$2,'Reading Report Logic'!$A$2:$B$8,2,FALSE)-1)&amp;"]"))), FALSE)),
IF($J$2="FLA",
IF(VLOOKUP($A512, YES_Reading_FLA[], COLUMN(IF(VLOOKUP($D$2,'Reading Report Logic'!$A$2:$B$8,2,FALSE)=1, YES_Reading_FLA[Reading Level June of Previous School Year],INDIRECT("YES_Reading_FLA[Instructional Reading Level - Per "&amp;(VLOOKUP($D$2,'Reading Report Logic'!$A$2:$B$8,2,FALSE)-1)&amp;"]"))),FALSE)="","",
VLOOKUP($A512,YES_Reading_FLA[], COLUMN(IF(VLOOKUP($D$2,'Reading Report Logic'!$A$2:$B$8,2,FALSE)=1, YES_Reading_FLA[Reading Level June of Previous School Year],INDIRECT("YES_Reading_FLA[Instructional Reading Level - Per "&amp;(VLOOKUP($D$2,'Reading Report Logic'!$A$2:$B$8,2,FALSE)-1)&amp;"]"))),FALSE)),
IF($J$2="Combined",
IFERROR(
IF(VLOOKUP($A512, YES_Reading_ELA[], COLUMN(IF(VLOOKUP($D$2,'Reading Report Logic'!$A$2:$B$8,2,FALSE)=1, YES_Reading_ELA[Reading Level June of Previous School Year],INDIRECT("YES_Reading_ELA[Instructional Reading Level - Per "&amp;(VLOOKUP($D$2,'Reading Report Logic'!$A$2:$B$8,2,FALSE)-1)&amp;"]"))), FALSE)="", "",
VLOOKUP($A512,YES_Reading_ELA[],COLUMN(IF(VLOOKUP($D$2,'Reading Report Logic'!$A$2:$B$8,2,FALSE)=1, YES_Reading_ELA[Reading Level June of Previous School Year],INDIRECT("YES_Reading_ELA[Instructional Reading Level - Per "&amp;(VLOOKUP($D$2,'Reading Report Logic'!$A$2:$B$8,2,FALSE)-1)&amp;"]"))),FALSE)),
IF(VLOOKUP($A512, YES_Reading_FLA[], COLUMN(IF(VLOOKUP($D$2,'Reading Report Logic'!$A$2:$B$8,2,FALSE)=1, YES_Reading_FLA[Reading Level June of Previous School Year],INDIRECT("YES_Reading_FLA[Instructional Reading Level - Per "&amp;(VLOOKUP($D$2,'Reading Report Logic'!$A$2:$B$8,2,FALSE)-1)&amp;"]"))),FALSE)="", "", VLOOKUP($A512,YES_Reading_FLA[],COLUMN(IF(VLOOKUP($D$2,'Reading Report Logic'!$A$2:$B$8,2,FALSE)=1, YES_Reading_FLA[Reading Level June of Previous School Year],INDIRECT("YES_Reading_FLA[Instructional Reading Level - Per "&amp;(VLOOKUP($D$2,'Reading Report Logic'!$A$2:$B$8,2,FALSE)-1)&amp;"]"))), FALSE))),""))),"")</f>
        <v/>
      </c>
      <c r="D512" s="204" t="str" cm="1">
        <f t="array" aca="1" ref="D512" ca="1">IFERROR(
IF($J$2="ELA",
IF(VLOOKUP($A512, YES_Reading_ELA[], COLUMN(INDIRECT("YES_Reading_ELA[Instructional Reading Level - Per "&amp;VLOOKUP($D$2, 'Reading Report Logic'!$A$2:$B$8, 2, FALSE)&amp;"]")), FALSE)="", "",
VLOOKUP($A512,YES_Reading_ELA[], COLUMN(INDIRECT("YES_Reading_ELA[Instructional Reading Level - Per "&amp;VLOOKUP($D$2,'Reading Report Logic'!$A$2:$B$8,2,FALSE)&amp;"]")), FALSE)),
IF($J$2="FLA",
IF(VLOOKUP($A512, YES_Reading_FLA[], COLUMN(INDIRECT("YES_Reading_FLA[Instructional Reading Level - Per "&amp;VLOOKUP($D$2,'Reading Report Logic'!$A$2:$B$8,2,FALSE)&amp;"]")),FALSE)="","",
VLOOKUP($A512,YES_Reading_FLA[],COLUMN(INDIRECT("YES_Reading_FLA[Instructional Reading Level - Per "&amp;VLOOKUP($D$2,'Reading Report Logic'!$A$2:$B$8,2,FALSE)&amp;"]")),FALSE)),
IF($J$2="Combined",
IFERROR(
IF(VLOOKUP($A512, YES_Reading_ELA[], COLUMN(INDIRECT("YES_Reading_ELA[Instructional Reading Level - Per "&amp;VLOOKUP($D$2, 'Reading Report Logic'!$A$2:$B$8,2,FALSE)&amp;"]")), FALSE)="", "",
VLOOKUP($A512,YES_Reading_ELA[],COLUMN(INDIRECT("YES_Reading_ELA[Instructional Reading Level - Per "&amp;VLOOKUP($D$2,'Reading Report Logic'!$A$2:$B$8,2,FALSE)&amp;"]")),FALSE)),
IF(VLOOKUP($A512, YES_Reading_FLA[], COLUMN(INDIRECT("YES_Reading_FLA[Instructional Reading Level - Per "&amp;VLOOKUP($D$2, 'Reading Report Logic'!$A$2:$B$8, 2, FALSE)&amp;"]")),FALSE)="", "", VLOOKUP($A512,YES_Reading_FLA[],COLUMN(INDIRECT("YES_Reading_FLA[Instructional Reading Level - Per "&amp;VLOOKUP($D$2, 'Reading Report Logic'!$A$2:$B$8, 2, FALSE)&amp;"]")),FALSE))),""))),"")</f>
        <v/>
      </c>
      <c r="E512" s="205" t="str" cm="1">
        <f t="array" aca="1" ref="E512" ca="1">IFERROR(
IF($J$2="ELA",
IF(VLOOKUP($A512, YES_Reading_ELA[], COLUMN(INDIRECT("YES_Reading_ELA[Min Expectation - Per "&amp;VLOOKUP($D$2, 'Reading Report Logic'!$A$2:$B$8, 2, FALSE)&amp;"]")), FALSE)="", "",
VLOOKUP($A512,YES_Reading_ELA[], COLUMN(INDIRECT("YES_Reading_ELA[Min Expectation - Per "&amp;VLOOKUP($D$2,'Reading Report Logic'!$A$2:$B$8,2,FALSE)&amp;"]")), FALSE)),
IF($J$2="FLA",
IF(VLOOKUP($A512, YES_Reading_FLA[], COLUMN(INDIRECT("YES_Reading_FLA[Min Expectation - Per "&amp;VLOOKUP($D$2,'Reading Report Logic'!$A$2:$B$8,2,FALSE)&amp;"]")),FALSE)="","",
VLOOKUP($A512,YES_Reading_FLA[],COLUMN(INDIRECT("YES_Reading_FLA[Min Expectation - Per "&amp;VLOOKUP($D$2,'Reading Report Logic'!$A$2:$B$8,2,FALSE)&amp;"]")),FALSE)),
IF($J$2="Combined",
IFERROR(
IF(VLOOKUP($A512, YES_Reading_ELA[], COLUMN(INDIRECT("YES_Reading_ELA[Min Expectation - Per "&amp;VLOOKUP($D$2, 'Reading Report Logic'!$A$2:$B$8,2,FALSE)&amp;"]")), FALSE)="", "",
VLOOKUP($A512,YES_Reading_ELA[],COLUMN(INDIRECT("YES_Reading_ELA[Min Expectation - Per "&amp;VLOOKUP($D$2,'Reading Report Logic'!$A$2:$B$8,2,FALSE)&amp;"]")),FALSE)),
IF(VLOOKUP($A512, YES_Reading_FLA[], COLUMN(INDIRECT("YES_Reading_FLA[Min Expectation - Per "&amp;VLOOKUP($D$2, 'Reading Report Logic'!$A$2:$B$8, 2, FALSE)&amp;"]")),FALSE)="", "", VLOOKUP($A512,YES_Reading_FLA[],COLUMN(INDIRECT("YES_Reading_FLA[Min Expectation - Per "&amp;VLOOKUP($D$2, 'Reading Report Logic'!$A$2:$B$8, 2, FALSE)&amp;"]")),FALSE))),""))),"")</f>
        <v/>
      </c>
      <c r="F512" s="205" t="str" cm="1">
        <f t="array" aca="1" ref="F512" ca="1">IFERROR(
IF($J$2="ELA",
IF(VLOOKUP($A512, YES_Reading_ELA[], COLUMN(INDIRECT("YES_Reading_ELA[Max Expectation - Per "&amp;VLOOKUP($D$2, 'Reading Report Logic'!$A$2:$B$8, 2, FALSE)&amp;"]")), FALSE)="", "",
VLOOKUP($A512,YES_Reading_ELA[], COLUMN(INDIRECT("YES_Reading_ELA[Max Expectation - Per "&amp;VLOOKUP($D$2,'Reading Report Logic'!$A$2:$B$8,2,FALSE)&amp;"]")), FALSE)),
IF($J$2="FLA",
IF(VLOOKUP($A512, YES_Reading_FLA[], COLUMN(INDIRECT("YES_Reading_FLA[Max Expectation - Per "&amp;VLOOKUP($D$2,'Reading Report Logic'!$A$2:$B$8,2,FALSE)&amp;"]")),FALSE)="","",
VLOOKUP($A512,YES_Reading_FLA[],COLUMN(INDIRECT("YES_Reading_FLA[Max Expectation - Per "&amp;VLOOKUP($D$2,'Reading Report Logic'!$A$2:$B$8,2,FALSE)&amp;"]")),FALSE)),
IF($J$2="Combined",
IFERROR(
IF(VLOOKUP($A512, YES_Reading_ELA[], COLUMN(INDIRECT("YES_Reading_ELA[Max Expectation - Per "&amp;VLOOKUP($D$2, 'Reading Report Logic'!$A$2:$B$8,2,FALSE)&amp;"]")), FALSE)="", "",
VLOOKUP($A512,YES_Reading_ELA[],COLUMN(INDIRECT("YES_Reading_ELA[Max Expectation - Per "&amp;VLOOKUP($D$2,'Reading Report Logic'!$A$2:$B$8,2,FALSE)&amp;"]")),FALSE)),
IF(VLOOKUP($A512, YES_Reading_FLA[], COLUMN(INDIRECT("YES_Reading_FLA[Max Expectation - Per "&amp;VLOOKUP($D$2, 'Reading Report Logic'!$A$2:$B$8, 2, FALSE)&amp;"]")),FALSE)="", "", VLOOKUP($A512,YES_Reading_FLA[],COLUMN(INDIRECT("YES_Reading_FLA[Max Expectation - Per "&amp;VLOOKUP($D$2, 'Reading Report Logic'!$A$2:$B$8, 2, FALSE)&amp;"]")),FALSE))),""))),"")</f>
        <v/>
      </c>
      <c r="G512" s="205" t="str" cm="1">
        <f t="array" aca="1" ref="G512" ca="1">IFERROR(
IF($J$2="ELA",
IF(VLOOKUP($A512, YES_Reading_ELA[], COLUMN(INDIRECT("YES_Reading_ELA[Difference - Per "&amp;VLOOKUP($D$2, 'Reading Report Logic'!$A$2:$B$8, 2, FALSE)&amp;"]")), FALSE)="", "",
VLOOKUP($A512,YES_Reading_ELA[], COLUMN(INDIRECT("YES_Reading_ELA[Difference - Per "&amp;VLOOKUP($D$2,'Reading Report Logic'!$A$2:$B$8,2,FALSE)&amp;"]")), FALSE)),
IF($J$2="FLA",
IF(VLOOKUP($A512, YES_Reading_FLA[], COLUMN(INDIRECT("YES_Reading_FLA[Difference - Per "&amp;VLOOKUP($D$2,'Reading Report Logic'!$A$2:$B$8,2,FALSE)&amp;"]")),FALSE)="","",
VLOOKUP($A512,YES_Reading_FLA[],COLUMN(INDIRECT("YES_Reading_FLA[Difference - Per "&amp;VLOOKUP($D$2,'Reading Report Logic'!$A$2:$B$8,2,FALSE)&amp;"]")),FALSE)),
IF($J$2="Combined",
IFERROR(
IF(VLOOKUP($A512, YES_Reading_ELA[], COLUMN(INDIRECT("YES_Reading_ELA[Difference - Per "&amp;VLOOKUP($D$2, 'Reading Report Logic'!$A$2:$B$8,2,FALSE)&amp;"]")), FALSE)="", "",
VLOOKUP($A512,YES_Reading_ELA[],COLUMN(INDIRECT("YES_Reading_ELA[Difference - Per "&amp;VLOOKUP($D$2,'Reading Report Logic'!$A$2:$B$8,2,FALSE)&amp;"]")),FALSE)),
IF(VLOOKUP($A512, YES_Reading_FLA[], COLUMN(INDIRECT("YES_Reading_FLA[Difference - Per "&amp;VLOOKUP($D$2, 'Reading Report Logic'!$A$2:$B$8, 2, FALSE)&amp;"]")),FALSE)="", "", VLOOKUP($A512,YES_Reading_FLA[],COLUMN(INDIRECT("YES_Reading_FLA[Difference - Per "&amp;VLOOKUP($D$2, 'Reading Report Logic'!$A$2:$B$8, 2, FALSE)&amp;"]")),FALSE))),""))),"")</f>
        <v/>
      </c>
      <c r="H512" s="206" t="str">
        <f ca="1">IFERROR(VLOOKUP('Teacher Reading Pull Sheets'!$D512,_xlfn.VSTACK('ELA Reading Logic'!$A$22:$B$48,'FLA Reading Logic'!$A$22:$B$53),2,FALSE)-VLOOKUP('Teacher Reading Pull Sheets'!$C512,_xlfn.VSTACK('ELA Reading Logic'!$A$22:$B$48,'FLA Reading Logic'!$A$22:$B$53),2,FALSE),"")</f>
        <v/>
      </c>
      <c r="I512" s="212"/>
      <c r="J512" s="206"/>
      <c r="K512" s="197" t="str" cm="1">
        <f t="array" ref="K512">IFERROR(
IF($J$2="ELA",
IF(VLOOKUP($A512, YES_Reading_ELA[], COLUMN(YES_Reading_ELA[Self-Identified as African Descent]), FALSE)="", "",
VLOOKUP($A512,YES_Reading_ELA[], COLUMN(YES_Reading_ELA[Self-Identified as African Descent]), FALSE)),
IF($J$2="FLA",
IF(VLOOKUP($A512, YES_Reading_FLA[], COLUMN(YES_Reading_FLA[Self-Identified as African Descent]),FALSE)="","",
VLOOKUP($A512,YES_Reading_FLA[],COLUMN(YES_Reading_FLA[Self-Identified as African Descent]),FALSE)),
IF($J$2="Combined",
IFERROR(
IF(VLOOKUP($A512, YES_Reading_ELA[], COLUMN(YES_Reading_ELA[Self-Identified as African Descent]), FALSE)="", "",
VLOOKUP($A512,YES_Reading_ELA[],COLUMN(YES_Reading_ELA[Self-Identified as African Descent]),FALSE)),
IF(VLOOKUP($A512, YES_Reading_FLA[], COLUMN(YES_Reading_FLA[Self-Identified as African Descent]),FALSE)="", "", VLOOKUP($A512,YES_Reading_FLA[],COLUMN(YES_Reading_FLA[Self-Identified as African Descent]),FALSE))),""))),"")</f>
        <v/>
      </c>
      <c r="L512" s="73" t="str" cm="1">
        <f t="array" ref="L512">IFERROR(
IF($J$2="ELA",
IF(VLOOKUP($A512, YES_Reading_ELA[], COLUMN(YES_Reading_ELA[Self-Identified as Indigenous]), FALSE)="", "",
VLOOKUP($A512,YES_Reading_ELA[], COLUMN(YES_Reading_ELA[Self-Identified as Indigenous]), FALSE)),
IF($J$2="FLA",
IF(VLOOKUP($A512, YES_Reading_FLA[], COLUMN(YES_Reading_FLA[Self-Identified as Indigenous]),FALSE)="","",
VLOOKUP($A512,YES_Reading_FLA[],COLUMN(YES_Reading_FLA[Self-Identified as Indigenous]),FALSE)),
IF($J$2="Combined",
IFERROR(
IF(VLOOKUP($A512, YES_Reading_ELA[], COLUMN(YES_Reading_ELA[Self-Identified as Indigenous]), FALSE)="", "",
VLOOKUP($A512,YES_Reading_ELA[],COLUMN(YES_Reading_ELA[Self-Identified as Indigenous]),FALSE)),
IF(VLOOKUP($A512, YES_Reading_FLA[], COLUMN(YES_Reading_FLA[Self-Identified as Indigenous]),FALSE)="", "", VLOOKUP($A512,YES_Reading_FLA[],COLUMN(YES_Reading_FLA[Self-Identified as Indigenous]),FALSE))),""))),"")</f>
        <v/>
      </c>
    </row>
    <row r="513" spans="1:12" ht="19.5" customHeight="1" x14ac:dyDescent="0.25">
      <c r="A513" s="217"/>
      <c r="B513" s="220" t="str">
        <f>IFERROR(VLOOKUP(A513,_xlfn.VSTACK(YES_Reading_ELA[],YES_Reading_FLA[]),2,FALSE),"")</f>
        <v/>
      </c>
      <c r="C513" s="203" t="str" cm="1">
        <f t="array" aca="1" ref="C513" ca="1">IFERROR(
IF($J$2="ELA",
IF(VLOOKUP($A513, YES_Reading_ELA[], COLUMN(IF(VLOOKUP($D$2, 'Reading Report Logic'!$A$2:$B$8, 2, FALSE)=1, YES_Reading_ELA[Reading Level June of Previous School Year], INDIRECT("YES_Reading_ELA[Instructional Reading Level - Per "&amp;(VLOOKUP($D$2,'Reading Report Logic'!$A$2:$B$8,2,FALSE)-1)&amp;"]"))), FALSE)="", "",
VLOOKUP($A513,YES_Reading_ELA[], COLUMN(IF(VLOOKUP($D$2,'Reading Report Logic'!$A$2:$B$8,2,FALSE)=1, YES_Reading_ELA[Reading Level June of Previous School Year],INDIRECT("YES_Reading_ELA[Instructional Reading Level - Per "&amp;(VLOOKUP($D$2,'Reading Report Logic'!$A$2:$B$8,2,FALSE)-1)&amp;"]"))), FALSE)),
IF($J$2="FLA",
IF(VLOOKUP($A513, YES_Reading_FLA[], COLUMN(IF(VLOOKUP($D$2,'Reading Report Logic'!$A$2:$B$8,2,FALSE)=1, YES_Reading_FLA[Reading Level June of Previous School Year],INDIRECT("YES_Reading_FLA[Instructional Reading Level - Per "&amp;(VLOOKUP($D$2,'Reading Report Logic'!$A$2:$B$8,2,FALSE)-1)&amp;"]"))),FALSE)="","",
VLOOKUP($A513,YES_Reading_FLA[], COLUMN(IF(VLOOKUP($D$2,'Reading Report Logic'!$A$2:$B$8,2,FALSE)=1, YES_Reading_FLA[Reading Level June of Previous School Year],INDIRECT("YES_Reading_FLA[Instructional Reading Level - Per "&amp;(VLOOKUP($D$2,'Reading Report Logic'!$A$2:$B$8,2,FALSE)-1)&amp;"]"))),FALSE)),
IF($J$2="Combined",
IFERROR(
IF(VLOOKUP($A513, YES_Reading_ELA[], COLUMN(IF(VLOOKUP($D$2,'Reading Report Logic'!$A$2:$B$8,2,FALSE)=1, YES_Reading_ELA[Reading Level June of Previous School Year],INDIRECT("YES_Reading_ELA[Instructional Reading Level - Per "&amp;(VLOOKUP($D$2,'Reading Report Logic'!$A$2:$B$8,2,FALSE)-1)&amp;"]"))), FALSE)="", "",
VLOOKUP($A513,YES_Reading_ELA[],COLUMN(IF(VLOOKUP($D$2,'Reading Report Logic'!$A$2:$B$8,2,FALSE)=1, YES_Reading_ELA[Reading Level June of Previous School Year],INDIRECT("YES_Reading_ELA[Instructional Reading Level - Per "&amp;(VLOOKUP($D$2,'Reading Report Logic'!$A$2:$B$8,2,FALSE)-1)&amp;"]"))),FALSE)),
IF(VLOOKUP($A513, YES_Reading_FLA[], COLUMN(IF(VLOOKUP($D$2,'Reading Report Logic'!$A$2:$B$8,2,FALSE)=1, YES_Reading_FLA[Reading Level June of Previous School Year],INDIRECT("YES_Reading_FLA[Instructional Reading Level - Per "&amp;(VLOOKUP($D$2,'Reading Report Logic'!$A$2:$B$8,2,FALSE)-1)&amp;"]"))),FALSE)="", "", VLOOKUP($A513,YES_Reading_FLA[],COLUMN(IF(VLOOKUP($D$2,'Reading Report Logic'!$A$2:$B$8,2,FALSE)=1, YES_Reading_FLA[Reading Level June of Previous School Year],INDIRECT("YES_Reading_FLA[Instructional Reading Level - Per "&amp;(VLOOKUP($D$2,'Reading Report Logic'!$A$2:$B$8,2,FALSE)-1)&amp;"]"))), FALSE))),""))),"")</f>
        <v/>
      </c>
      <c r="D513" s="204" t="str" cm="1">
        <f t="array" aca="1" ref="D513" ca="1">IFERROR(
IF($J$2="ELA",
IF(VLOOKUP($A513, YES_Reading_ELA[], COLUMN(INDIRECT("YES_Reading_ELA[Instructional Reading Level - Per "&amp;VLOOKUP($D$2, 'Reading Report Logic'!$A$2:$B$8, 2, FALSE)&amp;"]")), FALSE)="", "",
VLOOKUP($A513,YES_Reading_ELA[], COLUMN(INDIRECT("YES_Reading_ELA[Instructional Reading Level - Per "&amp;VLOOKUP($D$2,'Reading Report Logic'!$A$2:$B$8,2,FALSE)&amp;"]")), FALSE)),
IF($J$2="FLA",
IF(VLOOKUP($A513, YES_Reading_FLA[], COLUMN(INDIRECT("YES_Reading_FLA[Instructional Reading Level - Per "&amp;VLOOKUP($D$2,'Reading Report Logic'!$A$2:$B$8,2,FALSE)&amp;"]")),FALSE)="","",
VLOOKUP($A513,YES_Reading_FLA[],COLUMN(INDIRECT("YES_Reading_FLA[Instructional Reading Level - Per "&amp;VLOOKUP($D$2,'Reading Report Logic'!$A$2:$B$8,2,FALSE)&amp;"]")),FALSE)),
IF($J$2="Combined",
IFERROR(
IF(VLOOKUP($A513, YES_Reading_ELA[], COLUMN(INDIRECT("YES_Reading_ELA[Instructional Reading Level - Per "&amp;VLOOKUP($D$2, 'Reading Report Logic'!$A$2:$B$8,2,FALSE)&amp;"]")), FALSE)="", "",
VLOOKUP($A513,YES_Reading_ELA[],COLUMN(INDIRECT("YES_Reading_ELA[Instructional Reading Level - Per "&amp;VLOOKUP($D$2,'Reading Report Logic'!$A$2:$B$8,2,FALSE)&amp;"]")),FALSE)),
IF(VLOOKUP($A513, YES_Reading_FLA[], COLUMN(INDIRECT("YES_Reading_FLA[Instructional Reading Level - Per "&amp;VLOOKUP($D$2, 'Reading Report Logic'!$A$2:$B$8, 2, FALSE)&amp;"]")),FALSE)="", "", VLOOKUP($A513,YES_Reading_FLA[],COLUMN(INDIRECT("YES_Reading_FLA[Instructional Reading Level - Per "&amp;VLOOKUP($D$2, 'Reading Report Logic'!$A$2:$B$8, 2, FALSE)&amp;"]")),FALSE))),""))),"")</f>
        <v/>
      </c>
      <c r="E513" s="205" t="str" cm="1">
        <f t="array" aca="1" ref="E513" ca="1">IFERROR(
IF($J$2="ELA",
IF(VLOOKUP($A513, YES_Reading_ELA[], COLUMN(INDIRECT("YES_Reading_ELA[Min Expectation - Per "&amp;VLOOKUP($D$2, 'Reading Report Logic'!$A$2:$B$8, 2, FALSE)&amp;"]")), FALSE)="", "",
VLOOKUP($A513,YES_Reading_ELA[], COLUMN(INDIRECT("YES_Reading_ELA[Min Expectation - Per "&amp;VLOOKUP($D$2,'Reading Report Logic'!$A$2:$B$8,2,FALSE)&amp;"]")), FALSE)),
IF($J$2="FLA",
IF(VLOOKUP($A513, YES_Reading_FLA[], COLUMN(INDIRECT("YES_Reading_FLA[Min Expectation - Per "&amp;VLOOKUP($D$2,'Reading Report Logic'!$A$2:$B$8,2,FALSE)&amp;"]")),FALSE)="","",
VLOOKUP($A513,YES_Reading_FLA[],COLUMN(INDIRECT("YES_Reading_FLA[Min Expectation - Per "&amp;VLOOKUP($D$2,'Reading Report Logic'!$A$2:$B$8,2,FALSE)&amp;"]")),FALSE)),
IF($J$2="Combined",
IFERROR(
IF(VLOOKUP($A513, YES_Reading_ELA[], COLUMN(INDIRECT("YES_Reading_ELA[Min Expectation - Per "&amp;VLOOKUP($D$2, 'Reading Report Logic'!$A$2:$B$8,2,FALSE)&amp;"]")), FALSE)="", "",
VLOOKUP($A513,YES_Reading_ELA[],COLUMN(INDIRECT("YES_Reading_ELA[Min Expectation - Per "&amp;VLOOKUP($D$2,'Reading Report Logic'!$A$2:$B$8,2,FALSE)&amp;"]")),FALSE)),
IF(VLOOKUP($A513, YES_Reading_FLA[], COLUMN(INDIRECT("YES_Reading_FLA[Min Expectation - Per "&amp;VLOOKUP($D$2, 'Reading Report Logic'!$A$2:$B$8, 2, FALSE)&amp;"]")),FALSE)="", "", VLOOKUP($A513,YES_Reading_FLA[],COLUMN(INDIRECT("YES_Reading_FLA[Min Expectation - Per "&amp;VLOOKUP($D$2, 'Reading Report Logic'!$A$2:$B$8, 2, FALSE)&amp;"]")),FALSE))),""))),"")</f>
        <v/>
      </c>
      <c r="F513" s="205" t="str" cm="1">
        <f t="array" aca="1" ref="F513" ca="1">IFERROR(
IF($J$2="ELA",
IF(VLOOKUP($A513, YES_Reading_ELA[], COLUMN(INDIRECT("YES_Reading_ELA[Max Expectation - Per "&amp;VLOOKUP($D$2, 'Reading Report Logic'!$A$2:$B$8, 2, FALSE)&amp;"]")), FALSE)="", "",
VLOOKUP($A513,YES_Reading_ELA[], COLUMN(INDIRECT("YES_Reading_ELA[Max Expectation - Per "&amp;VLOOKUP($D$2,'Reading Report Logic'!$A$2:$B$8,2,FALSE)&amp;"]")), FALSE)),
IF($J$2="FLA",
IF(VLOOKUP($A513, YES_Reading_FLA[], COLUMN(INDIRECT("YES_Reading_FLA[Max Expectation - Per "&amp;VLOOKUP($D$2,'Reading Report Logic'!$A$2:$B$8,2,FALSE)&amp;"]")),FALSE)="","",
VLOOKUP($A513,YES_Reading_FLA[],COLUMN(INDIRECT("YES_Reading_FLA[Max Expectation - Per "&amp;VLOOKUP($D$2,'Reading Report Logic'!$A$2:$B$8,2,FALSE)&amp;"]")),FALSE)),
IF($J$2="Combined",
IFERROR(
IF(VLOOKUP($A513, YES_Reading_ELA[], COLUMN(INDIRECT("YES_Reading_ELA[Max Expectation - Per "&amp;VLOOKUP($D$2, 'Reading Report Logic'!$A$2:$B$8,2,FALSE)&amp;"]")), FALSE)="", "",
VLOOKUP($A513,YES_Reading_ELA[],COLUMN(INDIRECT("YES_Reading_ELA[Max Expectation - Per "&amp;VLOOKUP($D$2,'Reading Report Logic'!$A$2:$B$8,2,FALSE)&amp;"]")),FALSE)),
IF(VLOOKUP($A513, YES_Reading_FLA[], COLUMN(INDIRECT("YES_Reading_FLA[Max Expectation - Per "&amp;VLOOKUP($D$2, 'Reading Report Logic'!$A$2:$B$8, 2, FALSE)&amp;"]")),FALSE)="", "", VLOOKUP($A513,YES_Reading_FLA[],COLUMN(INDIRECT("YES_Reading_FLA[Max Expectation - Per "&amp;VLOOKUP($D$2, 'Reading Report Logic'!$A$2:$B$8, 2, FALSE)&amp;"]")),FALSE))),""))),"")</f>
        <v/>
      </c>
      <c r="G513" s="205" t="str" cm="1">
        <f t="array" aca="1" ref="G513" ca="1">IFERROR(
IF($J$2="ELA",
IF(VLOOKUP($A513, YES_Reading_ELA[], COLUMN(INDIRECT("YES_Reading_ELA[Difference - Per "&amp;VLOOKUP($D$2, 'Reading Report Logic'!$A$2:$B$8, 2, FALSE)&amp;"]")), FALSE)="", "",
VLOOKUP($A513,YES_Reading_ELA[], COLUMN(INDIRECT("YES_Reading_ELA[Difference - Per "&amp;VLOOKUP($D$2,'Reading Report Logic'!$A$2:$B$8,2,FALSE)&amp;"]")), FALSE)),
IF($J$2="FLA",
IF(VLOOKUP($A513, YES_Reading_FLA[], COLUMN(INDIRECT("YES_Reading_FLA[Difference - Per "&amp;VLOOKUP($D$2,'Reading Report Logic'!$A$2:$B$8,2,FALSE)&amp;"]")),FALSE)="","",
VLOOKUP($A513,YES_Reading_FLA[],COLUMN(INDIRECT("YES_Reading_FLA[Difference - Per "&amp;VLOOKUP($D$2,'Reading Report Logic'!$A$2:$B$8,2,FALSE)&amp;"]")),FALSE)),
IF($J$2="Combined",
IFERROR(
IF(VLOOKUP($A513, YES_Reading_ELA[], COLUMN(INDIRECT("YES_Reading_ELA[Difference - Per "&amp;VLOOKUP($D$2, 'Reading Report Logic'!$A$2:$B$8,2,FALSE)&amp;"]")), FALSE)="", "",
VLOOKUP($A513,YES_Reading_ELA[],COLUMN(INDIRECT("YES_Reading_ELA[Difference - Per "&amp;VLOOKUP($D$2,'Reading Report Logic'!$A$2:$B$8,2,FALSE)&amp;"]")),FALSE)),
IF(VLOOKUP($A513, YES_Reading_FLA[], COLUMN(INDIRECT("YES_Reading_FLA[Difference - Per "&amp;VLOOKUP($D$2, 'Reading Report Logic'!$A$2:$B$8, 2, FALSE)&amp;"]")),FALSE)="", "", VLOOKUP($A513,YES_Reading_FLA[],COLUMN(INDIRECT("YES_Reading_FLA[Difference - Per "&amp;VLOOKUP($D$2, 'Reading Report Logic'!$A$2:$B$8, 2, FALSE)&amp;"]")),FALSE))),""))),"")</f>
        <v/>
      </c>
      <c r="H513" s="206" t="str">
        <f ca="1">IFERROR(VLOOKUP('Teacher Reading Pull Sheets'!$D513,_xlfn.VSTACK('ELA Reading Logic'!$A$22:$B$48,'FLA Reading Logic'!$A$22:$B$53),2,FALSE)-VLOOKUP('Teacher Reading Pull Sheets'!$C513,_xlfn.VSTACK('ELA Reading Logic'!$A$22:$B$48,'FLA Reading Logic'!$A$22:$B$53),2,FALSE),"")</f>
        <v/>
      </c>
      <c r="I513" s="212"/>
      <c r="J513" s="206"/>
      <c r="K513" s="197" t="str" cm="1">
        <f t="array" ref="K513">IFERROR(
IF($J$2="ELA",
IF(VLOOKUP($A513, YES_Reading_ELA[], COLUMN(YES_Reading_ELA[Self-Identified as African Descent]), FALSE)="", "",
VLOOKUP($A513,YES_Reading_ELA[], COLUMN(YES_Reading_ELA[Self-Identified as African Descent]), FALSE)),
IF($J$2="FLA",
IF(VLOOKUP($A513, YES_Reading_FLA[], COLUMN(YES_Reading_FLA[Self-Identified as African Descent]),FALSE)="","",
VLOOKUP($A513,YES_Reading_FLA[],COLUMN(YES_Reading_FLA[Self-Identified as African Descent]),FALSE)),
IF($J$2="Combined",
IFERROR(
IF(VLOOKUP($A513, YES_Reading_ELA[], COLUMN(YES_Reading_ELA[Self-Identified as African Descent]), FALSE)="", "",
VLOOKUP($A513,YES_Reading_ELA[],COLUMN(YES_Reading_ELA[Self-Identified as African Descent]),FALSE)),
IF(VLOOKUP($A513, YES_Reading_FLA[], COLUMN(YES_Reading_FLA[Self-Identified as African Descent]),FALSE)="", "", VLOOKUP($A513,YES_Reading_FLA[],COLUMN(YES_Reading_FLA[Self-Identified as African Descent]),FALSE))),""))),"")</f>
        <v/>
      </c>
      <c r="L513" s="73" t="str" cm="1">
        <f t="array" ref="L513">IFERROR(
IF($J$2="ELA",
IF(VLOOKUP($A513, YES_Reading_ELA[], COLUMN(YES_Reading_ELA[Self-Identified as Indigenous]), FALSE)="", "",
VLOOKUP($A513,YES_Reading_ELA[], COLUMN(YES_Reading_ELA[Self-Identified as Indigenous]), FALSE)),
IF($J$2="FLA",
IF(VLOOKUP($A513, YES_Reading_FLA[], COLUMN(YES_Reading_FLA[Self-Identified as Indigenous]),FALSE)="","",
VLOOKUP($A513,YES_Reading_FLA[],COLUMN(YES_Reading_FLA[Self-Identified as Indigenous]),FALSE)),
IF($J$2="Combined",
IFERROR(
IF(VLOOKUP($A513, YES_Reading_ELA[], COLUMN(YES_Reading_ELA[Self-Identified as Indigenous]), FALSE)="", "",
VLOOKUP($A513,YES_Reading_ELA[],COLUMN(YES_Reading_ELA[Self-Identified as Indigenous]),FALSE)),
IF(VLOOKUP($A513, YES_Reading_FLA[], COLUMN(YES_Reading_FLA[Self-Identified as Indigenous]),FALSE)="", "", VLOOKUP($A513,YES_Reading_FLA[],COLUMN(YES_Reading_FLA[Self-Identified as Indigenous]),FALSE))),""))),"")</f>
        <v/>
      </c>
    </row>
    <row r="514" spans="1:12" ht="19.5" customHeight="1" x14ac:dyDescent="0.25">
      <c r="A514" s="217"/>
      <c r="B514" s="220" t="str">
        <f>IFERROR(VLOOKUP(A514,_xlfn.VSTACK(YES_Reading_ELA[],YES_Reading_FLA[]),2,FALSE),"")</f>
        <v/>
      </c>
      <c r="C514" s="203" t="str" cm="1">
        <f t="array" aca="1" ref="C514" ca="1">IFERROR(
IF($J$2="ELA",
IF(VLOOKUP($A514, YES_Reading_ELA[], COLUMN(IF(VLOOKUP($D$2, 'Reading Report Logic'!$A$2:$B$8, 2, FALSE)=1, YES_Reading_ELA[Reading Level June of Previous School Year], INDIRECT("YES_Reading_ELA[Instructional Reading Level - Per "&amp;(VLOOKUP($D$2,'Reading Report Logic'!$A$2:$B$8,2,FALSE)-1)&amp;"]"))), FALSE)="", "",
VLOOKUP($A514,YES_Reading_ELA[], COLUMN(IF(VLOOKUP($D$2,'Reading Report Logic'!$A$2:$B$8,2,FALSE)=1, YES_Reading_ELA[Reading Level June of Previous School Year],INDIRECT("YES_Reading_ELA[Instructional Reading Level - Per "&amp;(VLOOKUP($D$2,'Reading Report Logic'!$A$2:$B$8,2,FALSE)-1)&amp;"]"))), FALSE)),
IF($J$2="FLA",
IF(VLOOKUP($A514, YES_Reading_FLA[], COLUMN(IF(VLOOKUP($D$2,'Reading Report Logic'!$A$2:$B$8,2,FALSE)=1, YES_Reading_FLA[Reading Level June of Previous School Year],INDIRECT("YES_Reading_FLA[Instructional Reading Level - Per "&amp;(VLOOKUP($D$2,'Reading Report Logic'!$A$2:$B$8,2,FALSE)-1)&amp;"]"))),FALSE)="","",
VLOOKUP($A514,YES_Reading_FLA[], COLUMN(IF(VLOOKUP($D$2,'Reading Report Logic'!$A$2:$B$8,2,FALSE)=1, YES_Reading_FLA[Reading Level June of Previous School Year],INDIRECT("YES_Reading_FLA[Instructional Reading Level - Per "&amp;(VLOOKUP($D$2,'Reading Report Logic'!$A$2:$B$8,2,FALSE)-1)&amp;"]"))),FALSE)),
IF($J$2="Combined",
IFERROR(
IF(VLOOKUP($A514, YES_Reading_ELA[], COLUMN(IF(VLOOKUP($D$2,'Reading Report Logic'!$A$2:$B$8,2,FALSE)=1, YES_Reading_ELA[Reading Level June of Previous School Year],INDIRECT("YES_Reading_ELA[Instructional Reading Level - Per "&amp;(VLOOKUP($D$2,'Reading Report Logic'!$A$2:$B$8,2,FALSE)-1)&amp;"]"))), FALSE)="", "",
VLOOKUP($A514,YES_Reading_ELA[],COLUMN(IF(VLOOKUP($D$2,'Reading Report Logic'!$A$2:$B$8,2,FALSE)=1, YES_Reading_ELA[Reading Level June of Previous School Year],INDIRECT("YES_Reading_ELA[Instructional Reading Level - Per "&amp;(VLOOKUP($D$2,'Reading Report Logic'!$A$2:$B$8,2,FALSE)-1)&amp;"]"))),FALSE)),
IF(VLOOKUP($A514, YES_Reading_FLA[], COLUMN(IF(VLOOKUP($D$2,'Reading Report Logic'!$A$2:$B$8,2,FALSE)=1, YES_Reading_FLA[Reading Level June of Previous School Year],INDIRECT("YES_Reading_FLA[Instructional Reading Level - Per "&amp;(VLOOKUP($D$2,'Reading Report Logic'!$A$2:$B$8,2,FALSE)-1)&amp;"]"))),FALSE)="", "", VLOOKUP($A514,YES_Reading_FLA[],COLUMN(IF(VLOOKUP($D$2,'Reading Report Logic'!$A$2:$B$8,2,FALSE)=1, YES_Reading_FLA[Reading Level June of Previous School Year],INDIRECT("YES_Reading_FLA[Instructional Reading Level - Per "&amp;(VLOOKUP($D$2,'Reading Report Logic'!$A$2:$B$8,2,FALSE)-1)&amp;"]"))), FALSE))),""))),"")</f>
        <v/>
      </c>
      <c r="D514" s="204" t="str" cm="1">
        <f t="array" aca="1" ref="D514" ca="1">IFERROR(
IF($J$2="ELA",
IF(VLOOKUP($A514, YES_Reading_ELA[], COLUMN(INDIRECT("YES_Reading_ELA[Instructional Reading Level - Per "&amp;VLOOKUP($D$2, 'Reading Report Logic'!$A$2:$B$8, 2, FALSE)&amp;"]")), FALSE)="", "",
VLOOKUP($A514,YES_Reading_ELA[], COLUMN(INDIRECT("YES_Reading_ELA[Instructional Reading Level - Per "&amp;VLOOKUP($D$2,'Reading Report Logic'!$A$2:$B$8,2,FALSE)&amp;"]")), FALSE)),
IF($J$2="FLA",
IF(VLOOKUP($A514, YES_Reading_FLA[], COLUMN(INDIRECT("YES_Reading_FLA[Instructional Reading Level - Per "&amp;VLOOKUP($D$2,'Reading Report Logic'!$A$2:$B$8,2,FALSE)&amp;"]")),FALSE)="","",
VLOOKUP($A514,YES_Reading_FLA[],COLUMN(INDIRECT("YES_Reading_FLA[Instructional Reading Level - Per "&amp;VLOOKUP($D$2,'Reading Report Logic'!$A$2:$B$8,2,FALSE)&amp;"]")),FALSE)),
IF($J$2="Combined",
IFERROR(
IF(VLOOKUP($A514, YES_Reading_ELA[], COLUMN(INDIRECT("YES_Reading_ELA[Instructional Reading Level - Per "&amp;VLOOKUP($D$2, 'Reading Report Logic'!$A$2:$B$8,2,FALSE)&amp;"]")), FALSE)="", "",
VLOOKUP($A514,YES_Reading_ELA[],COLUMN(INDIRECT("YES_Reading_ELA[Instructional Reading Level - Per "&amp;VLOOKUP($D$2,'Reading Report Logic'!$A$2:$B$8,2,FALSE)&amp;"]")),FALSE)),
IF(VLOOKUP($A514, YES_Reading_FLA[], COLUMN(INDIRECT("YES_Reading_FLA[Instructional Reading Level - Per "&amp;VLOOKUP($D$2, 'Reading Report Logic'!$A$2:$B$8, 2, FALSE)&amp;"]")),FALSE)="", "", VLOOKUP($A514,YES_Reading_FLA[],COLUMN(INDIRECT("YES_Reading_FLA[Instructional Reading Level - Per "&amp;VLOOKUP($D$2, 'Reading Report Logic'!$A$2:$B$8, 2, FALSE)&amp;"]")),FALSE))),""))),"")</f>
        <v/>
      </c>
      <c r="E514" s="205" t="str" cm="1">
        <f t="array" aca="1" ref="E514" ca="1">IFERROR(
IF($J$2="ELA",
IF(VLOOKUP($A514, YES_Reading_ELA[], COLUMN(INDIRECT("YES_Reading_ELA[Min Expectation - Per "&amp;VLOOKUP($D$2, 'Reading Report Logic'!$A$2:$B$8, 2, FALSE)&amp;"]")), FALSE)="", "",
VLOOKUP($A514,YES_Reading_ELA[], COLUMN(INDIRECT("YES_Reading_ELA[Min Expectation - Per "&amp;VLOOKUP($D$2,'Reading Report Logic'!$A$2:$B$8,2,FALSE)&amp;"]")), FALSE)),
IF($J$2="FLA",
IF(VLOOKUP($A514, YES_Reading_FLA[], COLUMN(INDIRECT("YES_Reading_FLA[Min Expectation - Per "&amp;VLOOKUP($D$2,'Reading Report Logic'!$A$2:$B$8,2,FALSE)&amp;"]")),FALSE)="","",
VLOOKUP($A514,YES_Reading_FLA[],COLUMN(INDIRECT("YES_Reading_FLA[Min Expectation - Per "&amp;VLOOKUP($D$2,'Reading Report Logic'!$A$2:$B$8,2,FALSE)&amp;"]")),FALSE)),
IF($J$2="Combined",
IFERROR(
IF(VLOOKUP($A514, YES_Reading_ELA[], COLUMN(INDIRECT("YES_Reading_ELA[Min Expectation - Per "&amp;VLOOKUP($D$2, 'Reading Report Logic'!$A$2:$B$8,2,FALSE)&amp;"]")), FALSE)="", "",
VLOOKUP($A514,YES_Reading_ELA[],COLUMN(INDIRECT("YES_Reading_ELA[Min Expectation - Per "&amp;VLOOKUP($D$2,'Reading Report Logic'!$A$2:$B$8,2,FALSE)&amp;"]")),FALSE)),
IF(VLOOKUP($A514, YES_Reading_FLA[], COLUMN(INDIRECT("YES_Reading_FLA[Min Expectation - Per "&amp;VLOOKUP($D$2, 'Reading Report Logic'!$A$2:$B$8, 2, FALSE)&amp;"]")),FALSE)="", "", VLOOKUP($A514,YES_Reading_FLA[],COLUMN(INDIRECT("YES_Reading_FLA[Min Expectation - Per "&amp;VLOOKUP($D$2, 'Reading Report Logic'!$A$2:$B$8, 2, FALSE)&amp;"]")),FALSE))),""))),"")</f>
        <v/>
      </c>
      <c r="F514" s="205" t="str" cm="1">
        <f t="array" aca="1" ref="F514" ca="1">IFERROR(
IF($J$2="ELA",
IF(VLOOKUP($A514, YES_Reading_ELA[], COLUMN(INDIRECT("YES_Reading_ELA[Max Expectation - Per "&amp;VLOOKUP($D$2, 'Reading Report Logic'!$A$2:$B$8, 2, FALSE)&amp;"]")), FALSE)="", "",
VLOOKUP($A514,YES_Reading_ELA[], COLUMN(INDIRECT("YES_Reading_ELA[Max Expectation - Per "&amp;VLOOKUP($D$2,'Reading Report Logic'!$A$2:$B$8,2,FALSE)&amp;"]")), FALSE)),
IF($J$2="FLA",
IF(VLOOKUP($A514, YES_Reading_FLA[], COLUMN(INDIRECT("YES_Reading_FLA[Max Expectation - Per "&amp;VLOOKUP($D$2,'Reading Report Logic'!$A$2:$B$8,2,FALSE)&amp;"]")),FALSE)="","",
VLOOKUP($A514,YES_Reading_FLA[],COLUMN(INDIRECT("YES_Reading_FLA[Max Expectation - Per "&amp;VLOOKUP($D$2,'Reading Report Logic'!$A$2:$B$8,2,FALSE)&amp;"]")),FALSE)),
IF($J$2="Combined",
IFERROR(
IF(VLOOKUP($A514, YES_Reading_ELA[], COLUMN(INDIRECT("YES_Reading_ELA[Max Expectation - Per "&amp;VLOOKUP($D$2, 'Reading Report Logic'!$A$2:$B$8,2,FALSE)&amp;"]")), FALSE)="", "",
VLOOKUP($A514,YES_Reading_ELA[],COLUMN(INDIRECT("YES_Reading_ELA[Max Expectation - Per "&amp;VLOOKUP($D$2,'Reading Report Logic'!$A$2:$B$8,2,FALSE)&amp;"]")),FALSE)),
IF(VLOOKUP($A514, YES_Reading_FLA[], COLUMN(INDIRECT("YES_Reading_FLA[Max Expectation - Per "&amp;VLOOKUP($D$2, 'Reading Report Logic'!$A$2:$B$8, 2, FALSE)&amp;"]")),FALSE)="", "", VLOOKUP($A514,YES_Reading_FLA[],COLUMN(INDIRECT("YES_Reading_FLA[Max Expectation - Per "&amp;VLOOKUP($D$2, 'Reading Report Logic'!$A$2:$B$8, 2, FALSE)&amp;"]")),FALSE))),""))),"")</f>
        <v/>
      </c>
      <c r="G514" s="205" t="str" cm="1">
        <f t="array" aca="1" ref="G514" ca="1">IFERROR(
IF($J$2="ELA",
IF(VLOOKUP($A514, YES_Reading_ELA[], COLUMN(INDIRECT("YES_Reading_ELA[Difference - Per "&amp;VLOOKUP($D$2, 'Reading Report Logic'!$A$2:$B$8, 2, FALSE)&amp;"]")), FALSE)="", "",
VLOOKUP($A514,YES_Reading_ELA[], COLUMN(INDIRECT("YES_Reading_ELA[Difference - Per "&amp;VLOOKUP($D$2,'Reading Report Logic'!$A$2:$B$8,2,FALSE)&amp;"]")), FALSE)),
IF($J$2="FLA",
IF(VLOOKUP($A514, YES_Reading_FLA[], COLUMN(INDIRECT("YES_Reading_FLA[Difference - Per "&amp;VLOOKUP($D$2,'Reading Report Logic'!$A$2:$B$8,2,FALSE)&amp;"]")),FALSE)="","",
VLOOKUP($A514,YES_Reading_FLA[],COLUMN(INDIRECT("YES_Reading_FLA[Difference - Per "&amp;VLOOKUP($D$2,'Reading Report Logic'!$A$2:$B$8,2,FALSE)&amp;"]")),FALSE)),
IF($J$2="Combined",
IFERROR(
IF(VLOOKUP($A514, YES_Reading_ELA[], COLUMN(INDIRECT("YES_Reading_ELA[Difference - Per "&amp;VLOOKUP($D$2, 'Reading Report Logic'!$A$2:$B$8,2,FALSE)&amp;"]")), FALSE)="", "",
VLOOKUP($A514,YES_Reading_ELA[],COLUMN(INDIRECT("YES_Reading_ELA[Difference - Per "&amp;VLOOKUP($D$2,'Reading Report Logic'!$A$2:$B$8,2,FALSE)&amp;"]")),FALSE)),
IF(VLOOKUP($A514, YES_Reading_FLA[], COLUMN(INDIRECT("YES_Reading_FLA[Difference - Per "&amp;VLOOKUP($D$2, 'Reading Report Logic'!$A$2:$B$8, 2, FALSE)&amp;"]")),FALSE)="", "", VLOOKUP($A514,YES_Reading_FLA[],COLUMN(INDIRECT("YES_Reading_FLA[Difference - Per "&amp;VLOOKUP($D$2, 'Reading Report Logic'!$A$2:$B$8, 2, FALSE)&amp;"]")),FALSE))),""))),"")</f>
        <v/>
      </c>
      <c r="H514" s="206" t="str">
        <f ca="1">IFERROR(VLOOKUP('Teacher Reading Pull Sheets'!$D514,_xlfn.VSTACK('ELA Reading Logic'!$A$22:$B$48,'FLA Reading Logic'!$A$22:$B$53),2,FALSE)-VLOOKUP('Teacher Reading Pull Sheets'!$C514,_xlfn.VSTACK('ELA Reading Logic'!$A$22:$B$48,'FLA Reading Logic'!$A$22:$B$53),2,FALSE),"")</f>
        <v/>
      </c>
      <c r="I514" s="212"/>
      <c r="J514" s="206"/>
      <c r="K514" s="197" t="str" cm="1">
        <f t="array" ref="K514">IFERROR(
IF($J$2="ELA",
IF(VLOOKUP($A514, YES_Reading_ELA[], COLUMN(YES_Reading_ELA[Self-Identified as African Descent]), FALSE)="", "",
VLOOKUP($A514,YES_Reading_ELA[], COLUMN(YES_Reading_ELA[Self-Identified as African Descent]), FALSE)),
IF($J$2="FLA",
IF(VLOOKUP($A514, YES_Reading_FLA[], COLUMN(YES_Reading_FLA[Self-Identified as African Descent]),FALSE)="","",
VLOOKUP($A514,YES_Reading_FLA[],COLUMN(YES_Reading_FLA[Self-Identified as African Descent]),FALSE)),
IF($J$2="Combined",
IFERROR(
IF(VLOOKUP($A514, YES_Reading_ELA[], COLUMN(YES_Reading_ELA[Self-Identified as African Descent]), FALSE)="", "",
VLOOKUP($A514,YES_Reading_ELA[],COLUMN(YES_Reading_ELA[Self-Identified as African Descent]),FALSE)),
IF(VLOOKUP($A514, YES_Reading_FLA[], COLUMN(YES_Reading_FLA[Self-Identified as African Descent]),FALSE)="", "", VLOOKUP($A514,YES_Reading_FLA[],COLUMN(YES_Reading_FLA[Self-Identified as African Descent]),FALSE))),""))),"")</f>
        <v/>
      </c>
      <c r="L514" s="73" t="str" cm="1">
        <f t="array" ref="L514">IFERROR(
IF($J$2="ELA",
IF(VLOOKUP($A514, YES_Reading_ELA[], COLUMN(YES_Reading_ELA[Self-Identified as Indigenous]), FALSE)="", "",
VLOOKUP($A514,YES_Reading_ELA[], COLUMN(YES_Reading_ELA[Self-Identified as Indigenous]), FALSE)),
IF($J$2="FLA",
IF(VLOOKUP($A514, YES_Reading_FLA[], COLUMN(YES_Reading_FLA[Self-Identified as Indigenous]),FALSE)="","",
VLOOKUP($A514,YES_Reading_FLA[],COLUMN(YES_Reading_FLA[Self-Identified as Indigenous]),FALSE)),
IF($J$2="Combined",
IFERROR(
IF(VLOOKUP($A514, YES_Reading_ELA[], COLUMN(YES_Reading_ELA[Self-Identified as Indigenous]), FALSE)="", "",
VLOOKUP($A514,YES_Reading_ELA[],COLUMN(YES_Reading_ELA[Self-Identified as Indigenous]),FALSE)),
IF(VLOOKUP($A514, YES_Reading_FLA[], COLUMN(YES_Reading_FLA[Self-Identified as Indigenous]),FALSE)="", "", VLOOKUP($A514,YES_Reading_FLA[],COLUMN(YES_Reading_FLA[Self-Identified as Indigenous]),FALSE))),""))),"")</f>
        <v/>
      </c>
    </row>
    <row r="515" spans="1:12" ht="19.5" customHeight="1" x14ac:dyDescent="0.25">
      <c r="A515" s="217"/>
      <c r="B515" s="220" t="str">
        <f>IFERROR(VLOOKUP(A515,_xlfn.VSTACK(YES_Reading_ELA[],YES_Reading_FLA[]),2,FALSE),"")</f>
        <v/>
      </c>
      <c r="C515" s="203" t="str" cm="1">
        <f t="array" aca="1" ref="C515" ca="1">IFERROR(
IF($J$2="ELA",
IF(VLOOKUP($A515, YES_Reading_ELA[], COLUMN(IF(VLOOKUP($D$2, 'Reading Report Logic'!$A$2:$B$8, 2, FALSE)=1, YES_Reading_ELA[Reading Level June of Previous School Year], INDIRECT("YES_Reading_ELA[Instructional Reading Level - Per "&amp;(VLOOKUP($D$2,'Reading Report Logic'!$A$2:$B$8,2,FALSE)-1)&amp;"]"))), FALSE)="", "",
VLOOKUP($A515,YES_Reading_ELA[], COLUMN(IF(VLOOKUP($D$2,'Reading Report Logic'!$A$2:$B$8,2,FALSE)=1, YES_Reading_ELA[Reading Level June of Previous School Year],INDIRECT("YES_Reading_ELA[Instructional Reading Level - Per "&amp;(VLOOKUP($D$2,'Reading Report Logic'!$A$2:$B$8,2,FALSE)-1)&amp;"]"))), FALSE)),
IF($J$2="FLA",
IF(VLOOKUP($A515, YES_Reading_FLA[], COLUMN(IF(VLOOKUP($D$2,'Reading Report Logic'!$A$2:$B$8,2,FALSE)=1, YES_Reading_FLA[Reading Level June of Previous School Year],INDIRECT("YES_Reading_FLA[Instructional Reading Level - Per "&amp;(VLOOKUP($D$2,'Reading Report Logic'!$A$2:$B$8,2,FALSE)-1)&amp;"]"))),FALSE)="","",
VLOOKUP($A515,YES_Reading_FLA[], COLUMN(IF(VLOOKUP($D$2,'Reading Report Logic'!$A$2:$B$8,2,FALSE)=1, YES_Reading_FLA[Reading Level June of Previous School Year],INDIRECT("YES_Reading_FLA[Instructional Reading Level - Per "&amp;(VLOOKUP($D$2,'Reading Report Logic'!$A$2:$B$8,2,FALSE)-1)&amp;"]"))),FALSE)),
IF($J$2="Combined",
IFERROR(
IF(VLOOKUP($A515, YES_Reading_ELA[], COLUMN(IF(VLOOKUP($D$2,'Reading Report Logic'!$A$2:$B$8,2,FALSE)=1, YES_Reading_ELA[Reading Level June of Previous School Year],INDIRECT("YES_Reading_ELA[Instructional Reading Level - Per "&amp;(VLOOKUP($D$2,'Reading Report Logic'!$A$2:$B$8,2,FALSE)-1)&amp;"]"))), FALSE)="", "",
VLOOKUP($A515,YES_Reading_ELA[],COLUMN(IF(VLOOKUP($D$2,'Reading Report Logic'!$A$2:$B$8,2,FALSE)=1, YES_Reading_ELA[Reading Level June of Previous School Year],INDIRECT("YES_Reading_ELA[Instructional Reading Level - Per "&amp;(VLOOKUP($D$2,'Reading Report Logic'!$A$2:$B$8,2,FALSE)-1)&amp;"]"))),FALSE)),
IF(VLOOKUP($A515, YES_Reading_FLA[], COLUMN(IF(VLOOKUP($D$2,'Reading Report Logic'!$A$2:$B$8,2,FALSE)=1, YES_Reading_FLA[Reading Level June of Previous School Year],INDIRECT("YES_Reading_FLA[Instructional Reading Level - Per "&amp;(VLOOKUP($D$2,'Reading Report Logic'!$A$2:$B$8,2,FALSE)-1)&amp;"]"))),FALSE)="", "", VLOOKUP($A515,YES_Reading_FLA[],COLUMN(IF(VLOOKUP($D$2,'Reading Report Logic'!$A$2:$B$8,2,FALSE)=1, YES_Reading_FLA[Reading Level June of Previous School Year],INDIRECT("YES_Reading_FLA[Instructional Reading Level - Per "&amp;(VLOOKUP($D$2,'Reading Report Logic'!$A$2:$B$8,2,FALSE)-1)&amp;"]"))), FALSE))),""))),"")</f>
        <v/>
      </c>
      <c r="D515" s="204" t="str" cm="1">
        <f t="array" aca="1" ref="D515" ca="1">IFERROR(
IF($J$2="ELA",
IF(VLOOKUP($A515, YES_Reading_ELA[], COLUMN(INDIRECT("YES_Reading_ELA[Instructional Reading Level - Per "&amp;VLOOKUP($D$2, 'Reading Report Logic'!$A$2:$B$8, 2, FALSE)&amp;"]")), FALSE)="", "",
VLOOKUP($A515,YES_Reading_ELA[], COLUMN(INDIRECT("YES_Reading_ELA[Instructional Reading Level - Per "&amp;VLOOKUP($D$2,'Reading Report Logic'!$A$2:$B$8,2,FALSE)&amp;"]")), FALSE)),
IF($J$2="FLA",
IF(VLOOKUP($A515, YES_Reading_FLA[], COLUMN(INDIRECT("YES_Reading_FLA[Instructional Reading Level - Per "&amp;VLOOKUP($D$2,'Reading Report Logic'!$A$2:$B$8,2,FALSE)&amp;"]")),FALSE)="","",
VLOOKUP($A515,YES_Reading_FLA[],COLUMN(INDIRECT("YES_Reading_FLA[Instructional Reading Level - Per "&amp;VLOOKUP($D$2,'Reading Report Logic'!$A$2:$B$8,2,FALSE)&amp;"]")),FALSE)),
IF($J$2="Combined",
IFERROR(
IF(VLOOKUP($A515, YES_Reading_ELA[], COLUMN(INDIRECT("YES_Reading_ELA[Instructional Reading Level - Per "&amp;VLOOKUP($D$2, 'Reading Report Logic'!$A$2:$B$8,2,FALSE)&amp;"]")), FALSE)="", "",
VLOOKUP($A515,YES_Reading_ELA[],COLUMN(INDIRECT("YES_Reading_ELA[Instructional Reading Level - Per "&amp;VLOOKUP($D$2,'Reading Report Logic'!$A$2:$B$8,2,FALSE)&amp;"]")),FALSE)),
IF(VLOOKUP($A515, YES_Reading_FLA[], COLUMN(INDIRECT("YES_Reading_FLA[Instructional Reading Level - Per "&amp;VLOOKUP($D$2, 'Reading Report Logic'!$A$2:$B$8, 2, FALSE)&amp;"]")),FALSE)="", "", VLOOKUP($A515,YES_Reading_FLA[],COLUMN(INDIRECT("YES_Reading_FLA[Instructional Reading Level - Per "&amp;VLOOKUP($D$2, 'Reading Report Logic'!$A$2:$B$8, 2, FALSE)&amp;"]")),FALSE))),""))),"")</f>
        <v/>
      </c>
      <c r="E515" s="205" t="str" cm="1">
        <f t="array" aca="1" ref="E515" ca="1">IFERROR(
IF($J$2="ELA",
IF(VLOOKUP($A515, YES_Reading_ELA[], COLUMN(INDIRECT("YES_Reading_ELA[Min Expectation - Per "&amp;VLOOKUP($D$2, 'Reading Report Logic'!$A$2:$B$8, 2, FALSE)&amp;"]")), FALSE)="", "",
VLOOKUP($A515,YES_Reading_ELA[], COLUMN(INDIRECT("YES_Reading_ELA[Min Expectation - Per "&amp;VLOOKUP($D$2,'Reading Report Logic'!$A$2:$B$8,2,FALSE)&amp;"]")), FALSE)),
IF($J$2="FLA",
IF(VLOOKUP($A515, YES_Reading_FLA[], COLUMN(INDIRECT("YES_Reading_FLA[Min Expectation - Per "&amp;VLOOKUP($D$2,'Reading Report Logic'!$A$2:$B$8,2,FALSE)&amp;"]")),FALSE)="","",
VLOOKUP($A515,YES_Reading_FLA[],COLUMN(INDIRECT("YES_Reading_FLA[Min Expectation - Per "&amp;VLOOKUP($D$2,'Reading Report Logic'!$A$2:$B$8,2,FALSE)&amp;"]")),FALSE)),
IF($J$2="Combined",
IFERROR(
IF(VLOOKUP($A515, YES_Reading_ELA[], COLUMN(INDIRECT("YES_Reading_ELA[Min Expectation - Per "&amp;VLOOKUP($D$2, 'Reading Report Logic'!$A$2:$B$8,2,FALSE)&amp;"]")), FALSE)="", "",
VLOOKUP($A515,YES_Reading_ELA[],COLUMN(INDIRECT("YES_Reading_ELA[Min Expectation - Per "&amp;VLOOKUP($D$2,'Reading Report Logic'!$A$2:$B$8,2,FALSE)&amp;"]")),FALSE)),
IF(VLOOKUP($A515, YES_Reading_FLA[], COLUMN(INDIRECT("YES_Reading_FLA[Min Expectation - Per "&amp;VLOOKUP($D$2, 'Reading Report Logic'!$A$2:$B$8, 2, FALSE)&amp;"]")),FALSE)="", "", VLOOKUP($A515,YES_Reading_FLA[],COLUMN(INDIRECT("YES_Reading_FLA[Min Expectation - Per "&amp;VLOOKUP($D$2, 'Reading Report Logic'!$A$2:$B$8, 2, FALSE)&amp;"]")),FALSE))),""))),"")</f>
        <v/>
      </c>
      <c r="F515" s="205" t="str" cm="1">
        <f t="array" aca="1" ref="F515" ca="1">IFERROR(
IF($J$2="ELA",
IF(VLOOKUP($A515, YES_Reading_ELA[], COLUMN(INDIRECT("YES_Reading_ELA[Max Expectation - Per "&amp;VLOOKUP($D$2, 'Reading Report Logic'!$A$2:$B$8, 2, FALSE)&amp;"]")), FALSE)="", "",
VLOOKUP($A515,YES_Reading_ELA[], COLUMN(INDIRECT("YES_Reading_ELA[Max Expectation - Per "&amp;VLOOKUP($D$2,'Reading Report Logic'!$A$2:$B$8,2,FALSE)&amp;"]")), FALSE)),
IF($J$2="FLA",
IF(VLOOKUP($A515, YES_Reading_FLA[], COLUMN(INDIRECT("YES_Reading_FLA[Max Expectation - Per "&amp;VLOOKUP($D$2,'Reading Report Logic'!$A$2:$B$8,2,FALSE)&amp;"]")),FALSE)="","",
VLOOKUP($A515,YES_Reading_FLA[],COLUMN(INDIRECT("YES_Reading_FLA[Max Expectation - Per "&amp;VLOOKUP($D$2,'Reading Report Logic'!$A$2:$B$8,2,FALSE)&amp;"]")),FALSE)),
IF($J$2="Combined",
IFERROR(
IF(VLOOKUP($A515, YES_Reading_ELA[], COLUMN(INDIRECT("YES_Reading_ELA[Max Expectation - Per "&amp;VLOOKUP($D$2, 'Reading Report Logic'!$A$2:$B$8,2,FALSE)&amp;"]")), FALSE)="", "",
VLOOKUP($A515,YES_Reading_ELA[],COLUMN(INDIRECT("YES_Reading_ELA[Max Expectation - Per "&amp;VLOOKUP($D$2,'Reading Report Logic'!$A$2:$B$8,2,FALSE)&amp;"]")),FALSE)),
IF(VLOOKUP($A515, YES_Reading_FLA[], COLUMN(INDIRECT("YES_Reading_FLA[Max Expectation - Per "&amp;VLOOKUP($D$2, 'Reading Report Logic'!$A$2:$B$8, 2, FALSE)&amp;"]")),FALSE)="", "", VLOOKUP($A515,YES_Reading_FLA[],COLUMN(INDIRECT("YES_Reading_FLA[Max Expectation - Per "&amp;VLOOKUP($D$2, 'Reading Report Logic'!$A$2:$B$8, 2, FALSE)&amp;"]")),FALSE))),""))),"")</f>
        <v/>
      </c>
      <c r="G515" s="205" t="str" cm="1">
        <f t="array" aca="1" ref="G515" ca="1">IFERROR(
IF($J$2="ELA",
IF(VLOOKUP($A515, YES_Reading_ELA[], COLUMN(INDIRECT("YES_Reading_ELA[Difference - Per "&amp;VLOOKUP($D$2, 'Reading Report Logic'!$A$2:$B$8, 2, FALSE)&amp;"]")), FALSE)="", "",
VLOOKUP($A515,YES_Reading_ELA[], COLUMN(INDIRECT("YES_Reading_ELA[Difference - Per "&amp;VLOOKUP($D$2,'Reading Report Logic'!$A$2:$B$8,2,FALSE)&amp;"]")), FALSE)),
IF($J$2="FLA",
IF(VLOOKUP($A515, YES_Reading_FLA[], COLUMN(INDIRECT("YES_Reading_FLA[Difference - Per "&amp;VLOOKUP($D$2,'Reading Report Logic'!$A$2:$B$8,2,FALSE)&amp;"]")),FALSE)="","",
VLOOKUP($A515,YES_Reading_FLA[],COLUMN(INDIRECT("YES_Reading_FLA[Difference - Per "&amp;VLOOKUP($D$2,'Reading Report Logic'!$A$2:$B$8,2,FALSE)&amp;"]")),FALSE)),
IF($J$2="Combined",
IFERROR(
IF(VLOOKUP($A515, YES_Reading_ELA[], COLUMN(INDIRECT("YES_Reading_ELA[Difference - Per "&amp;VLOOKUP($D$2, 'Reading Report Logic'!$A$2:$B$8,2,FALSE)&amp;"]")), FALSE)="", "",
VLOOKUP($A515,YES_Reading_ELA[],COLUMN(INDIRECT("YES_Reading_ELA[Difference - Per "&amp;VLOOKUP($D$2,'Reading Report Logic'!$A$2:$B$8,2,FALSE)&amp;"]")),FALSE)),
IF(VLOOKUP($A515, YES_Reading_FLA[], COLUMN(INDIRECT("YES_Reading_FLA[Difference - Per "&amp;VLOOKUP($D$2, 'Reading Report Logic'!$A$2:$B$8, 2, FALSE)&amp;"]")),FALSE)="", "", VLOOKUP($A515,YES_Reading_FLA[],COLUMN(INDIRECT("YES_Reading_FLA[Difference - Per "&amp;VLOOKUP($D$2, 'Reading Report Logic'!$A$2:$B$8, 2, FALSE)&amp;"]")),FALSE))),""))),"")</f>
        <v/>
      </c>
      <c r="H515" s="206" t="str">
        <f ca="1">IFERROR(VLOOKUP('Teacher Reading Pull Sheets'!$D515,_xlfn.VSTACK('ELA Reading Logic'!$A$22:$B$48,'FLA Reading Logic'!$A$22:$B$53),2,FALSE)-VLOOKUP('Teacher Reading Pull Sheets'!$C515,_xlfn.VSTACK('ELA Reading Logic'!$A$22:$B$48,'FLA Reading Logic'!$A$22:$B$53),2,FALSE),"")</f>
        <v/>
      </c>
      <c r="I515" s="212"/>
      <c r="J515" s="206"/>
      <c r="K515" s="197" t="str" cm="1">
        <f t="array" ref="K515">IFERROR(
IF($J$2="ELA",
IF(VLOOKUP($A515, YES_Reading_ELA[], COLUMN(YES_Reading_ELA[Self-Identified as African Descent]), FALSE)="", "",
VLOOKUP($A515,YES_Reading_ELA[], COLUMN(YES_Reading_ELA[Self-Identified as African Descent]), FALSE)),
IF($J$2="FLA",
IF(VLOOKUP($A515, YES_Reading_FLA[], COLUMN(YES_Reading_FLA[Self-Identified as African Descent]),FALSE)="","",
VLOOKUP($A515,YES_Reading_FLA[],COLUMN(YES_Reading_FLA[Self-Identified as African Descent]),FALSE)),
IF($J$2="Combined",
IFERROR(
IF(VLOOKUP($A515, YES_Reading_ELA[], COLUMN(YES_Reading_ELA[Self-Identified as African Descent]), FALSE)="", "",
VLOOKUP($A515,YES_Reading_ELA[],COLUMN(YES_Reading_ELA[Self-Identified as African Descent]),FALSE)),
IF(VLOOKUP($A515, YES_Reading_FLA[], COLUMN(YES_Reading_FLA[Self-Identified as African Descent]),FALSE)="", "", VLOOKUP($A515,YES_Reading_FLA[],COLUMN(YES_Reading_FLA[Self-Identified as African Descent]),FALSE))),""))),"")</f>
        <v/>
      </c>
      <c r="L515" s="73" t="str" cm="1">
        <f t="array" ref="L515">IFERROR(
IF($J$2="ELA",
IF(VLOOKUP($A515, YES_Reading_ELA[], COLUMN(YES_Reading_ELA[Self-Identified as Indigenous]), FALSE)="", "",
VLOOKUP($A515,YES_Reading_ELA[], COLUMN(YES_Reading_ELA[Self-Identified as Indigenous]), FALSE)),
IF($J$2="FLA",
IF(VLOOKUP($A515, YES_Reading_FLA[], COLUMN(YES_Reading_FLA[Self-Identified as Indigenous]),FALSE)="","",
VLOOKUP($A515,YES_Reading_FLA[],COLUMN(YES_Reading_FLA[Self-Identified as Indigenous]),FALSE)),
IF($J$2="Combined",
IFERROR(
IF(VLOOKUP($A515, YES_Reading_ELA[], COLUMN(YES_Reading_ELA[Self-Identified as Indigenous]), FALSE)="", "",
VLOOKUP($A515,YES_Reading_ELA[],COLUMN(YES_Reading_ELA[Self-Identified as Indigenous]),FALSE)),
IF(VLOOKUP($A515, YES_Reading_FLA[], COLUMN(YES_Reading_FLA[Self-Identified as Indigenous]),FALSE)="", "", VLOOKUP($A515,YES_Reading_FLA[],COLUMN(YES_Reading_FLA[Self-Identified as Indigenous]),FALSE))),""))),"")</f>
        <v/>
      </c>
    </row>
    <row r="516" spans="1:12" ht="19.5" customHeight="1" x14ac:dyDescent="0.25">
      <c r="A516" s="217"/>
      <c r="B516" s="220" t="str">
        <f>IFERROR(VLOOKUP(A516,_xlfn.VSTACK(YES_Reading_ELA[],YES_Reading_FLA[]),2,FALSE),"")</f>
        <v/>
      </c>
      <c r="C516" s="203" t="str" cm="1">
        <f t="array" aca="1" ref="C516" ca="1">IFERROR(
IF($J$2="ELA",
IF(VLOOKUP($A516, YES_Reading_ELA[], COLUMN(IF(VLOOKUP($D$2, 'Reading Report Logic'!$A$2:$B$8, 2, FALSE)=1, YES_Reading_ELA[Reading Level June of Previous School Year], INDIRECT("YES_Reading_ELA[Instructional Reading Level - Per "&amp;(VLOOKUP($D$2,'Reading Report Logic'!$A$2:$B$8,2,FALSE)-1)&amp;"]"))), FALSE)="", "",
VLOOKUP($A516,YES_Reading_ELA[], COLUMN(IF(VLOOKUP($D$2,'Reading Report Logic'!$A$2:$B$8,2,FALSE)=1, YES_Reading_ELA[Reading Level June of Previous School Year],INDIRECT("YES_Reading_ELA[Instructional Reading Level - Per "&amp;(VLOOKUP($D$2,'Reading Report Logic'!$A$2:$B$8,2,FALSE)-1)&amp;"]"))), FALSE)),
IF($J$2="FLA",
IF(VLOOKUP($A516, YES_Reading_FLA[], COLUMN(IF(VLOOKUP($D$2,'Reading Report Logic'!$A$2:$B$8,2,FALSE)=1, YES_Reading_FLA[Reading Level June of Previous School Year],INDIRECT("YES_Reading_FLA[Instructional Reading Level - Per "&amp;(VLOOKUP($D$2,'Reading Report Logic'!$A$2:$B$8,2,FALSE)-1)&amp;"]"))),FALSE)="","",
VLOOKUP($A516,YES_Reading_FLA[], COLUMN(IF(VLOOKUP($D$2,'Reading Report Logic'!$A$2:$B$8,2,FALSE)=1, YES_Reading_FLA[Reading Level June of Previous School Year],INDIRECT("YES_Reading_FLA[Instructional Reading Level - Per "&amp;(VLOOKUP($D$2,'Reading Report Logic'!$A$2:$B$8,2,FALSE)-1)&amp;"]"))),FALSE)),
IF($J$2="Combined",
IFERROR(
IF(VLOOKUP($A516, YES_Reading_ELA[], COLUMN(IF(VLOOKUP($D$2,'Reading Report Logic'!$A$2:$B$8,2,FALSE)=1, YES_Reading_ELA[Reading Level June of Previous School Year],INDIRECT("YES_Reading_ELA[Instructional Reading Level - Per "&amp;(VLOOKUP($D$2,'Reading Report Logic'!$A$2:$B$8,2,FALSE)-1)&amp;"]"))), FALSE)="", "",
VLOOKUP($A516,YES_Reading_ELA[],COLUMN(IF(VLOOKUP($D$2,'Reading Report Logic'!$A$2:$B$8,2,FALSE)=1, YES_Reading_ELA[Reading Level June of Previous School Year],INDIRECT("YES_Reading_ELA[Instructional Reading Level - Per "&amp;(VLOOKUP($D$2,'Reading Report Logic'!$A$2:$B$8,2,FALSE)-1)&amp;"]"))),FALSE)),
IF(VLOOKUP($A516, YES_Reading_FLA[], COLUMN(IF(VLOOKUP($D$2,'Reading Report Logic'!$A$2:$B$8,2,FALSE)=1, YES_Reading_FLA[Reading Level June of Previous School Year],INDIRECT("YES_Reading_FLA[Instructional Reading Level - Per "&amp;(VLOOKUP($D$2,'Reading Report Logic'!$A$2:$B$8,2,FALSE)-1)&amp;"]"))),FALSE)="", "", VLOOKUP($A516,YES_Reading_FLA[],COLUMN(IF(VLOOKUP($D$2,'Reading Report Logic'!$A$2:$B$8,2,FALSE)=1, YES_Reading_FLA[Reading Level June of Previous School Year],INDIRECT("YES_Reading_FLA[Instructional Reading Level - Per "&amp;(VLOOKUP($D$2,'Reading Report Logic'!$A$2:$B$8,2,FALSE)-1)&amp;"]"))), FALSE))),""))),"")</f>
        <v/>
      </c>
      <c r="D516" s="204" t="str" cm="1">
        <f t="array" aca="1" ref="D516" ca="1">IFERROR(
IF($J$2="ELA",
IF(VLOOKUP($A516, YES_Reading_ELA[], COLUMN(INDIRECT("YES_Reading_ELA[Instructional Reading Level - Per "&amp;VLOOKUP($D$2, 'Reading Report Logic'!$A$2:$B$8, 2, FALSE)&amp;"]")), FALSE)="", "",
VLOOKUP($A516,YES_Reading_ELA[], COLUMN(INDIRECT("YES_Reading_ELA[Instructional Reading Level - Per "&amp;VLOOKUP($D$2,'Reading Report Logic'!$A$2:$B$8,2,FALSE)&amp;"]")), FALSE)),
IF($J$2="FLA",
IF(VLOOKUP($A516, YES_Reading_FLA[], COLUMN(INDIRECT("YES_Reading_FLA[Instructional Reading Level - Per "&amp;VLOOKUP($D$2,'Reading Report Logic'!$A$2:$B$8,2,FALSE)&amp;"]")),FALSE)="","",
VLOOKUP($A516,YES_Reading_FLA[],COLUMN(INDIRECT("YES_Reading_FLA[Instructional Reading Level - Per "&amp;VLOOKUP($D$2,'Reading Report Logic'!$A$2:$B$8,2,FALSE)&amp;"]")),FALSE)),
IF($J$2="Combined",
IFERROR(
IF(VLOOKUP($A516, YES_Reading_ELA[], COLUMN(INDIRECT("YES_Reading_ELA[Instructional Reading Level - Per "&amp;VLOOKUP($D$2, 'Reading Report Logic'!$A$2:$B$8,2,FALSE)&amp;"]")), FALSE)="", "",
VLOOKUP($A516,YES_Reading_ELA[],COLUMN(INDIRECT("YES_Reading_ELA[Instructional Reading Level - Per "&amp;VLOOKUP($D$2,'Reading Report Logic'!$A$2:$B$8,2,FALSE)&amp;"]")),FALSE)),
IF(VLOOKUP($A516, YES_Reading_FLA[], COLUMN(INDIRECT("YES_Reading_FLA[Instructional Reading Level - Per "&amp;VLOOKUP($D$2, 'Reading Report Logic'!$A$2:$B$8, 2, FALSE)&amp;"]")),FALSE)="", "", VLOOKUP($A516,YES_Reading_FLA[],COLUMN(INDIRECT("YES_Reading_FLA[Instructional Reading Level - Per "&amp;VLOOKUP($D$2, 'Reading Report Logic'!$A$2:$B$8, 2, FALSE)&amp;"]")),FALSE))),""))),"")</f>
        <v/>
      </c>
      <c r="E516" s="205" t="str" cm="1">
        <f t="array" aca="1" ref="E516" ca="1">IFERROR(
IF($J$2="ELA",
IF(VLOOKUP($A516, YES_Reading_ELA[], COLUMN(INDIRECT("YES_Reading_ELA[Min Expectation - Per "&amp;VLOOKUP($D$2, 'Reading Report Logic'!$A$2:$B$8, 2, FALSE)&amp;"]")), FALSE)="", "",
VLOOKUP($A516,YES_Reading_ELA[], COLUMN(INDIRECT("YES_Reading_ELA[Min Expectation - Per "&amp;VLOOKUP($D$2,'Reading Report Logic'!$A$2:$B$8,2,FALSE)&amp;"]")), FALSE)),
IF($J$2="FLA",
IF(VLOOKUP($A516, YES_Reading_FLA[], COLUMN(INDIRECT("YES_Reading_FLA[Min Expectation - Per "&amp;VLOOKUP($D$2,'Reading Report Logic'!$A$2:$B$8,2,FALSE)&amp;"]")),FALSE)="","",
VLOOKUP($A516,YES_Reading_FLA[],COLUMN(INDIRECT("YES_Reading_FLA[Min Expectation - Per "&amp;VLOOKUP($D$2,'Reading Report Logic'!$A$2:$B$8,2,FALSE)&amp;"]")),FALSE)),
IF($J$2="Combined",
IFERROR(
IF(VLOOKUP($A516, YES_Reading_ELA[], COLUMN(INDIRECT("YES_Reading_ELA[Min Expectation - Per "&amp;VLOOKUP($D$2, 'Reading Report Logic'!$A$2:$B$8,2,FALSE)&amp;"]")), FALSE)="", "",
VLOOKUP($A516,YES_Reading_ELA[],COLUMN(INDIRECT("YES_Reading_ELA[Min Expectation - Per "&amp;VLOOKUP($D$2,'Reading Report Logic'!$A$2:$B$8,2,FALSE)&amp;"]")),FALSE)),
IF(VLOOKUP($A516, YES_Reading_FLA[], COLUMN(INDIRECT("YES_Reading_FLA[Min Expectation - Per "&amp;VLOOKUP($D$2, 'Reading Report Logic'!$A$2:$B$8, 2, FALSE)&amp;"]")),FALSE)="", "", VLOOKUP($A516,YES_Reading_FLA[],COLUMN(INDIRECT("YES_Reading_FLA[Min Expectation - Per "&amp;VLOOKUP($D$2, 'Reading Report Logic'!$A$2:$B$8, 2, FALSE)&amp;"]")),FALSE))),""))),"")</f>
        <v/>
      </c>
      <c r="F516" s="205" t="str" cm="1">
        <f t="array" aca="1" ref="F516" ca="1">IFERROR(
IF($J$2="ELA",
IF(VLOOKUP($A516, YES_Reading_ELA[], COLUMN(INDIRECT("YES_Reading_ELA[Max Expectation - Per "&amp;VLOOKUP($D$2, 'Reading Report Logic'!$A$2:$B$8, 2, FALSE)&amp;"]")), FALSE)="", "",
VLOOKUP($A516,YES_Reading_ELA[], COLUMN(INDIRECT("YES_Reading_ELA[Max Expectation - Per "&amp;VLOOKUP($D$2,'Reading Report Logic'!$A$2:$B$8,2,FALSE)&amp;"]")), FALSE)),
IF($J$2="FLA",
IF(VLOOKUP($A516, YES_Reading_FLA[], COLUMN(INDIRECT("YES_Reading_FLA[Max Expectation - Per "&amp;VLOOKUP($D$2,'Reading Report Logic'!$A$2:$B$8,2,FALSE)&amp;"]")),FALSE)="","",
VLOOKUP($A516,YES_Reading_FLA[],COLUMN(INDIRECT("YES_Reading_FLA[Max Expectation - Per "&amp;VLOOKUP($D$2,'Reading Report Logic'!$A$2:$B$8,2,FALSE)&amp;"]")),FALSE)),
IF($J$2="Combined",
IFERROR(
IF(VLOOKUP($A516, YES_Reading_ELA[], COLUMN(INDIRECT("YES_Reading_ELA[Max Expectation - Per "&amp;VLOOKUP($D$2, 'Reading Report Logic'!$A$2:$B$8,2,FALSE)&amp;"]")), FALSE)="", "",
VLOOKUP($A516,YES_Reading_ELA[],COLUMN(INDIRECT("YES_Reading_ELA[Max Expectation - Per "&amp;VLOOKUP($D$2,'Reading Report Logic'!$A$2:$B$8,2,FALSE)&amp;"]")),FALSE)),
IF(VLOOKUP($A516, YES_Reading_FLA[], COLUMN(INDIRECT("YES_Reading_FLA[Max Expectation - Per "&amp;VLOOKUP($D$2, 'Reading Report Logic'!$A$2:$B$8, 2, FALSE)&amp;"]")),FALSE)="", "", VLOOKUP($A516,YES_Reading_FLA[],COLUMN(INDIRECT("YES_Reading_FLA[Max Expectation - Per "&amp;VLOOKUP($D$2, 'Reading Report Logic'!$A$2:$B$8, 2, FALSE)&amp;"]")),FALSE))),""))),"")</f>
        <v/>
      </c>
      <c r="G516" s="205" t="str" cm="1">
        <f t="array" aca="1" ref="G516" ca="1">IFERROR(
IF($J$2="ELA",
IF(VLOOKUP($A516, YES_Reading_ELA[], COLUMN(INDIRECT("YES_Reading_ELA[Difference - Per "&amp;VLOOKUP($D$2, 'Reading Report Logic'!$A$2:$B$8, 2, FALSE)&amp;"]")), FALSE)="", "",
VLOOKUP($A516,YES_Reading_ELA[], COLUMN(INDIRECT("YES_Reading_ELA[Difference - Per "&amp;VLOOKUP($D$2,'Reading Report Logic'!$A$2:$B$8,2,FALSE)&amp;"]")), FALSE)),
IF($J$2="FLA",
IF(VLOOKUP($A516, YES_Reading_FLA[], COLUMN(INDIRECT("YES_Reading_FLA[Difference - Per "&amp;VLOOKUP($D$2,'Reading Report Logic'!$A$2:$B$8,2,FALSE)&amp;"]")),FALSE)="","",
VLOOKUP($A516,YES_Reading_FLA[],COLUMN(INDIRECT("YES_Reading_FLA[Difference - Per "&amp;VLOOKUP($D$2,'Reading Report Logic'!$A$2:$B$8,2,FALSE)&amp;"]")),FALSE)),
IF($J$2="Combined",
IFERROR(
IF(VLOOKUP($A516, YES_Reading_ELA[], COLUMN(INDIRECT("YES_Reading_ELA[Difference - Per "&amp;VLOOKUP($D$2, 'Reading Report Logic'!$A$2:$B$8,2,FALSE)&amp;"]")), FALSE)="", "",
VLOOKUP($A516,YES_Reading_ELA[],COLUMN(INDIRECT("YES_Reading_ELA[Difference - Per "&amp;VLOOKUP($D$2,'Reading Report Logic'!$A$2:$B$8,2,FALSE)&amp;"]")),FALSE)),
IF(VLOOKUP($A516, YES_Reading_FLA[], COLUMN(INDIRECT("YES_Reading_FLA[Difference - Per "&amp;VLOOKUP($D$2, 'Reading Report Logic'!$A$2:$B$8, 2, FALSE)&amp;"]")),FALSE)="", "", VLOOKUP($A516,YES_Reading_FLA[],COLUMN(INDIRECT("YES_Reading_FLA[Difference - Per "&amp;VLOOKUP($D$2, 'Reading Report Logic'!$A$2:$B$8, 2, FALSE)&amp;"]")),FALSE))),""))),"")</f>
        <v/>
      </c>
      <c r="H516" s="206" t="str">
        <f ca="1">IFERROR(VLOOKUP('Teacher Reading Pull Sheets'!$D516,_xlfn.VSTACK('ELA Reading Logic'!$A$22:$B$48,'FLA Reading Logic'!$A$22:$B$53),2,FALSE)-VLOOKUP('Teacher Reading Pull Sheets'!$C516,_xlfn.VSTACK('ELA Reading Logic'!$A$22:$B$48,'FLA Reading Logic'!$A$22:$B$53),2,FALSE),"")</f>
        <v/>
      </c>
      <c r="I516" s="212"/>
      <c r="J516" s="206"/>
      <c r="K516" s="197" t="str" cm="1">
        <f t="array" ref="K516">IFERROR(
IF($J$2="ELA",
IF(VLOOKUP($A516, YES_Reading_ELA[], COLUMN(YES_Reading_ELA[Self-Identified as African Descent]), FALSE)="", "",
VLOOKUP($A516,YES_Reading_ELA[], COLUMN(YES_Reading_ELA[Self-Identified as African Descent]), FALSE)),
IF($J$2="FLA",
IF(VLOOKUP($A516, YES_Reading_FLA[], COLUMN(YES_Reading_FLA[Self-Identified as African Descent]),FALSE)="","",
VLOOKUP($A516,YES_Reading_FLA[],COLUMN(YES_Reading_FLA[Self-Identified as African Descent]),FALSE)),
IF($J$2="Combined",
IFERROR(
IF(VLOOKUP($A516, YES_Reading_ELA[], COLUMN(YES_Reading_ELA[Self-Identified as African Descent]), FALSE)="", "",
VLOOKUP($A516,YES_Reading_ELA[],COLUMN(YES_Reading_ELA[Self-Identified as African Descent]),FALSE)),
IF(VLOOKUP($A516, YES_Reading_FLA[], COLUMN(YES_Reading_FLA[Self-Identified as African Descent]),FALSE)="", "", VLOOKUP($A516,YES_Reading_FLA[],COLUMN(YES_Reading_FLA[Self-Identified as African Descent]),FALSE))),""))),"")</f>
        <v/>
      </c>
      <c r="L516" s="73" t="str" cm="1">
        <f t="array" ref="L516">IFERROR(
IF($J$2="ELA",
IF(VLOOKUP($A516, YES_Reading_ELA[], COLUMN(YES_Reading_ELA[Self-Identified as Indigenous]), FALSE)="", "",
VLOOKUP($A516,YES_Reading_ELA[], COLUMN(YES_Reading_ELA[Self-Identified as Indigenous]), FALSE)),
IF($J$2="FLA",
IF(VLOOKUP($A516, YES_Reading_FLA[], COLUMN(YES_Reading_FLA[Self-Identified as Indigenous]),FALSE)="","",
VLOOKUP($A516,YES_Reading_FLA[],COLUMN(YES_Reading_FLA[Self-Identified as Indigenous]),FALSE)),
IF($J$2="Combined",
IFERROR(
IF(VLOOKUP($A516, YES_Reading_ELA[], COLUMN(YES_Reading_ELA[Self-Identified as Indigenous]), FALSE)="", "",
VLOOKUP($A516,YES_Reading_ELA[],COLUMN(YES_Reading_ELA[Self-Identified as Indigenous]),FALSE)),
IF(VLOOKUP($A516, YES_Reading_FLA[], COLUMN(YES_Reading_FLA[Self-Identified as Indigenous]),FALSE)="", "", VLOOKUP($A516,YES_Reading_FLA[],COLUMN(YES_Reading_FLA[Self-Identified as Indigenous]),FALSE))),""))),"")</f>
        <v/>
      </c>
    </row>
    <row r="517" spans="1:12" ht="19.5" customHeight="1" x14ac:dyDescent="0.25">
      <c r="A517" s="217"/>
      <c r="B517" s="220" t="str">
        <f>IFERROR(VLOOKUP(A517,_xlfn.VSTACK(YES_Reading_ELA[],YES_Reading_FLA[]),2,FALSE),"")</f>
        <v/>
      </c>
      <c r="C517" s="203" t="str" cm="1">
        <f t="array" aca="1" ref="C517" ca="1">IFERROR(
IF($J$2="ELA",
IF(VLOOKUP($A517, YES_Reading_ELA[], COLUMN(IF(VLOOKUP($D$2, 'Reading Report Logic'!$A$2:$B$8, 2, FALSE)=1, YES_Reading_ELA[Reading Level June of Previous School Year], INDIRECT("YES_Reading_ELA[Instructional Reading Level - Per "&amp;(VLOOKUP($D$2,'Reading Report Logic'!$A$2:$B$8,2,FALSE)-1)&amp;"]"))), FALSE)="", "",
VLOOKUP($A517,YES_Reading_ELA[], COLUMN(IF(VLOOKUP($D$2,'Reading Report Logic'!$A$2:$B$8,2,FALSE)=1, YES_Reading_ELA[Reading Level June of Previous School Year],INDIRECT("YES_Reading_ELA[Instructional Reading Level - Per "&amp;(VLOOKUP($D$2,'Reading Report Logic'!$A$2:$B$8,2,FALSE)-1)&amp;"]"))), FALSE)),
IF($J$2="FLA",
IF(VLOOKUP($A517, YES_Reading_FLA[], COLUMN(IF(VLOOKUP($D$2,'Reading Report Logic'!$A$2:$B$8,2,FALSE)=1, YES_Reading_FLA[Reading Level June of Previous School Year],INDIRECT("YES_Reading_FLA[Instructional Reading Level - Per "&amp;(VLOOKUP($D$2,'Reading Report Logic'!$A$2:$B$8,2,FALSE)-1)&amp;"]"))),FALSE)="","",
VLOOKUP($A517,YES_Reading_FLA[], COLUMN(IF(VLOOKUP($D$2,'Reading Report Logic'!$A$2:$B$8,2,FALSE)=1, YES_Reading_FLA[Reading Level June of Previous School Year],INDIRECT("YES_Reading_FLA[Instructional Reading Level - Per "&amp;(VLOOKUP($D$2,'Reading Report Logic'!$A$2:$B$8,2,FALSE)-1)&amp;"]"))),FALSE)),
IF($J$2="Combined",
IFERROR(
IF(VLOOKUP($A517, YES_Reading_ELA[], COLUMN(IF(VLOOKUP($D$2,'Reading Report Logic'!$A$2:$B$8,2,FALSE)=1, YES_Reading_ELA[Reading Level June of Previous School Year],INDIRECT("YES_Reading_ELA[Instructional Reading Level - Per "&amp;(VLOOKUP($D$2,'Reading Report Logic'!$A$2:$B$8,2,FALSE)-1)&amp;"]"))), FALSE)="", "",
VLOOKUP($A517,YES_Reading_ELA[],COLUMN(IF(VLOOKUP($D$2,'Reading Report Logic'!$A$2:$B$8,2,FALSE)=1, YES_Reading_ELA[Reading Level June of Previous School Year],INDIRECT("YES_Reading_ELA[Instructional Reading Level - Per "&amp;(VLOOKUP($D$2,'Reading Report Logic'!$A$2:$B$8,2,FALSE)-1)&amp;"]"))),FALSE)),
IF(VLOOKUP($A517, YES_Reading_FLA[], COLUMN(IF(VLOOKUP($D$2,'Reading Report Logic'!$A$2:$B$8,2,FALSE)=1, YES_Reading_FLA[Reading Level June of Previous School Year],INDIRECT("YES_Reading_FLA[Instructional Reading Level - Per "&amp;(VLOOKUP($D$2,'Reading Report Logic'!$A$2:$B$8,2,FALSE)-1)&amp;"]"))),FALSE)="", "", VLOOKUP($A517,YES_Reading_FLA[],COLUMN(IF(VLOOKUP($D$2,'Reading Report Logic'!$A$2:$B$8,2,FALSE)=1, YES_Reading_FLA[Reading Level June of Previous School Year],INDIRECT("YES_Reading_FLA[Instructional Reading Level - Per "&amp;(VLOOKUP($D$2,'Reading Report Logic'!$A$2:$B$8,2,FALSE)-1)&amp;"]"))), FALSE))),""))),"")</f>
        <v/>
      </c>
      <c r="D517" s="204" t="str" cm="1">
        <f t="array" aca="1" ref="D517" ca="1">IFERROR(
IF($J$2="ELA",
IF(VLOOKUP($A517, YES_Reading_ELA[], COLUMN(INDIRECT("YES_Reading_ELA[Instructional Reading Level - Per "&amp;VLOOKUP($D$2, 'Reading Report Logic'!$A$2:$B$8, 2, FALSE)&amp;"]")), FALSE)="", "",
VLOOKUP($A517,YES_Reading_ELA[], COLUMN(INDIRECT("YES_Reading_ELA[Instructional Reading Level - Per "&amp;VLOOKUP($D$2,'Reading Report Logic'!$A$2:$B$8,2,FALSE)&amp;"]")), FALSE)),
IF($J$2="FLA",
IF(VLOOKUP($A517, YES_Reading_FLA[], COLUMN(INDIRECT("YES_Reading_FLA[Instructional Reading Level - Per "&amp;VLOOKUP($D$2,'Reading Report Logic'!$A$2:$B$8,2,FALSE)&amp;"]")),FALSE)="","",
VLOOKUP($A517,YES_Reading_FLA[],COLUMN(INDIRECT("YES_Reading_FLA[Instructional Reading Level - Per "&amp;VLOOKUP($D$2,'Reading Report Logic'!$A$2:$B$8,2,FALSE)&amp;"]")),FALSE)),
IF($J$2="Combined",
IFERROR(
IF(VLOOKUP($A517, YES_Reading_ELA[], COLUMN(INDIRECT("YES_Reading_ELA[Instructional Reading Level - Per "&amp;VLOOKUP($D$2, 'Reading Report Logic'!$A$2:$B$8,2,FALSE)&amp;"]")), FALSE)="", "",
VLOOKUP($A517,YES_Reading_ELA[],COLUMN(INDIRECT("YES_Reading_ELA[Instructional Reading Level - Per "&amp;VLOOKUP($D$2,'Reading Report Logic'!$A$2:$B$8,2,FALSE)&amp;"]")),FALSE)),
IF(VLOOKUP($A517, YES_Reading_FLA[], COLUMN(INDIRECT("YES_Reading_FLA[Instructional Reading Level - Per "&amp;VLOOKUP($D$2, 'Reading Report Logic'!$A$2:$B$8, 2, FALSE)&amp;"]")),FALSE)="", "", VLOOKUP($A517,YES_Reading_FLA[],COLUMN(INDIRECT("YES_Reading_FLA[Instructional Reading Level - Per "&amp;VLOOKUP($D$2, 'Reading Report Logic'!$A$2:$B$8, 2, FALSE)&amp;"]")),FALSE))),""))),"")</f>
        <v/>
      </c>
      <c r="E517" s="205" t="str" cm="1">
        <f t="array" aca="1" ref="E517" ca="1">IFERROR(
IF($J$2="ELA",
IF(VLOOKUP($A517, YES_Reading_ELA[], COLUMN(INDIRECT("YES_Reading_ELA[Min Expectation - Per "&amp;VLOOKUP($D$2, 'Reading Report Logic'!$A$2:$B$8, 2, FALSE)&amp;"]")), FALSE)="", "",
VLOOKUP($A517,YES_Reading_ELA[], COLUMN(INDIRECT("YES_Reading_ELA[Min Expectation - Per "&amp;VLOOKUP($D$2,'Reading Report Logic'!$A$2:$B$8,2,FALSE)&amp;"]")), FALSE)),
IF($J$2="FLA",
IF(VLOOKUP($A517, YES_Reading_FLA[], COLUMN(INDIRECT("YES_Reading_FLA[Min Expectation - Per "&amp;VLOOKUP($D$2,'Reading Report Logic'!$A$2:$B$8,2,FALSE)&amp;"]")),FALSE)="","",
VLOOKUP($A517,YES_Reading_FLA[],COLUMN(INDIRECT("YES_Reading_FLA[Min Expectation - Per "&amp;VLOOKUP($D$2,'Reading Report Logic'!$A$2:$B$8,2,FALSE)&amp;"]")),FALSE)),
IF($J$2="Combined",
IFERROR(
IF(VLOOKUP($A517, YES_Reading_ELA[], COLUMN(INDIRECT("YES_Reading_ELA[Min Expectation - Per "&amp;VLOOKUP($D$2, 'Reading Report Logic'!$A$2:$B$8,2,FALSE)&amp;"]")), FALSE)="", "",
VLOOKUP($A517,YES_Reading_ELA[],COLUMN(INDIRECT("YES_Reading_ELA[Min Expectation - Per "&amp;VLOOKUP($D$2,'Reading Report Logic'!$A$2:$B$8,2,FALSE)&amp;"]")),FALSE)),
IF(VLOOKUP($A517, YES_Reading_FLA[], COLUMN(INDIRECT("YES_Reading_FLA[Min Expectation - Per "&amp;VLOOKUP($D$2, 'Reading Report Logic'!$A$2:$B$8, 2, FALSE)&amp;"]")),FALSE)="", "", VLOOKUP($A517,YES_Reading_FLA[],COLUMN(INDIRECT("YES_Reading_FLA[Min Expectation - Per "&amp;VLOOKUP($D$2, 'Reading Report Logic'!$A$2:$B$8, 2, FALSE)&amp;"]")),FALSE))),""))),"")</f>
        <v/>
      </c>
      <c r="F517" s="205" t="str" cm="1">
        <f t="array" aca="1" ref="F517" ca="1">IFERROR(
IF($J$2="ELA",
IF(VLOOKUP($A517, YES_Reading_ELA[], COLUMN(INDIRECT("YES_Reading_ELA[Max Expectation - Per "&amp;VLOOKUP($D$2, 'Reading Report Logic'!$A$2:$B$8, 2, FALSE)&amp;"]")), FALSE)="", "",
VLOOKUP($A517,YES_Reading_ELA[], COLUMN(INDIRECT("YES_Reading_ELA[Max Expectation - Per "&amp;VLOOKUP($D$2,'Reading Report Logic'!$A$2:$B$8,2,FALSE)&amp;"]")), FALSE)),
IF($J$2="FLA",
IF(VLOOKUP($A517, YES_Reading_FLA[], COLUMN(INDIRECT("YES_Reading_FLA[Max Expectation - Per "&amp;VLOOKUP($D$2,'Reading Report Logic'!$A$2:$B$8,2,FALSE)&amp;"]")),FALSE)="","",
VLOOKUP($A517,YES_Reading_FLA[],COLUMN(INDIRECT("YES_Reading_FLA[Max Expectation - Per "&amp;VLOOKUP($D$2,'Reading Report Logic'!$A$2:$B$8,2,FALSE)&amp;"]")),FALSE)),
IF($J$2="Combined",
IFERROR(
IF(VLOOKUP($A517, YES_Reading_ELA[], COLUMN(INDIRECT("YES_Reading_ELA[Max Expectation - Per "&amp;VLOOKUP($D$2, 'Reading Report Logic'!$A$2:$B$8,2,FALSE)&amp;"]")), FALSE)="", "",
VLOOKUP($A517,YES_Reading_ELA[],COLUMN(INDIRECT("YES_Reading_ELA[Max Expectation - Per "&amp;VLOOKUP($D$2,'Reading Report Logic'!$A$2:$B$8,2,FALSE)&amp;"]")),FALSE)),
IF(VLOOKUP($A517, YES_Reading_FLA[], COLUMN(INDIRECT("YES_Reading_FLA[Max Expectation - Per "&amp;VLOOKUP($D$2, 'Reading Report Logic'!$A$2:$B$8, 2, FALSE)&amp;"]")),FALSE)="", "", VLOOKUP($A517,YES_Reading_FLA[],COLUMN(INDIRECT("YES_Reading_FLA[Max Expectation - Per "&amp;VLOOKUP($D$2, 'Reading Report Logic'!$A$2:$B$8, 2, FALSE)&amp;"]")),FALSE))),""))),"")</f>
        <v/>
      </c>
      <c r="G517" s="205" t="str" cm="1">
        <f t="array" aca="1" ref="G517" ca="1">IFERROR(
IF($J$2="ELA",
IF(VLOOKUP($A517, YES_Reading_ELA[], COLUMN(INDIRECT("YES_Reading_ELA[Difference - Per "&amp;VLOOKUP($D$2, 'Reading Report Logic'!$A$2:$B$8, 2, FALSE)&amp;"]")), FALSE)="", "",
VLOOKUP($A517,YES_Reading_ELA[], COLUMN(INDIRECT("YES_Reading_ELA[Difference - Per "&amp;VLOOKUP($D$2,'Reading Report Logic'!$A$2:$B$8,2,FALSE)&amp;"]")), FALSE)),
IF($J$2="FLA",
IF(VLOOKUP($A517, YES_Reading_FLA[], COLUMN(INDIRECT("YES_Reading_FLA[Difference - Per "&amp;VLOOKUP($D$2,'Reading Report Logic'!$A$2:$B$8,2,FALSE)&amp;"]")),FALSE)="","",
VLOOKUP($A517,YES_Reading_FLA[],COLUMN(INDIRECT("YES_Reading_FLA[Difference - Per "&amp;VLOOKUP($D$2,'Reading Report Logic'!$A$2:$B$8,2,FALSE)&amp;"]")),FALSE)),
IF($J$2="Combined",
IFERROR(
IF(VLOOKUP($A517, YES_Reading_ELA[], COLUMN(INDIRECT("YES_Reading_ELA[Difference - Per "&amp;VLOOKUP($D$2, 'Reading Report Logic'!$A$2:$B$8,2,FALSE)&amp;"]")), FALSE)="", "",
VLOOKUP($A517,YES_Reading_ELA[],COLUMN(INDIRECT("YES_Reading_ELA[Difference - Per "&amp;VLOOKUP($D$2,'Reading Report Logic'!$A$2:$B$8,2,FALSE)&amp;"]")),FALSE)),
IF(VLOOKUP($A517, YES_Reading_FLA[], COLUMN(INDIRECT("YES_Reading_FLA[Difference - Per "&amp;VLOOKUP($D$2, 'Reading Report Logic'!$A$2:$B$8, 2, FALSE)&amp;"]")),FALSE)="", "", VLOOKUP($A517,YES_Reading_FLA[],COLUMN(INDIRECT("YES_Reading_FLA[Difference - Per "&amp;VLOOKUP($D$2, 'Reading Report Logic'!$A$2:$B$8, 2, FALSE)&amp;"]")),FALSE))),""))),"")</f>
        <v/>
      </c>
      <c r="H517" s="206" t="str">
        <f ca="1">IFERROR(VLOOKUP('Teacher Reading Pull Sheets'!$D517,_xlfn.VSTACK('ELA Reading Logic'!$A$22:$B$48,'FLA Reading Logic'!$A$22:$B$53),2,FALSE)-VLOOKUP('Teacher Reading Pull Sheets'!$C517,_xlfn.VSTACK('ELA Reading Logic'!$A$22:$B$48,'FLA Reading Logic'!$A$22:$B$53),2,FALSE),"")</f>
        <v/>
      </c>
      <c r="I517" s="212"/>
      <c r="J517" s="206"/>
      <c r="K517" s="197" t="str" cm="1">
        <f t="array" ref="K517">IFERROR(
IF($J$2="ELA",
IF(VLOOKUP($A517, YES_Reading_ELA[], COLUMN(YES_Reading_ELA[Self-Identified as African Descent]), FALSE)="", "",
VLOOKUP($A517,YES_Reading_ELA[], COLUMN(YES_Reading_ELA[Self-Identified as African Descent]), FALSE)),
IF($J$2="FLA",
IF(VLOOKUP($A517, YES_Reading_FLA[], COLUMN(YES_Reading_FLA[Self-Identified as African Descent]),FALSE)="","",
VLOOKUP($A517,YES_Reading_FLA[],COLUMN(YES_Reading_FLA[Self-Identified as African Descent]),FALSE)),
IF($J$2="Combined",
IFERROR(
IF(VLOOKUP($A517, YES_Reading_ELA[], COLUMN(YES_Reading_ELA[Self-Identified as African Descent]), FALSE)="", "",
VLOOKUP($A517,YES_Reading_ELA[],COLUMN(YES_Reading_ELA[Self-Identified as African Descent]),FALSE)),
IF(VLOOKUP($A517, YES_Reading_FLA[], COLUMN(YES_Reading_FLA[Self-Identified as African Descent]),FALSE)="", "", VLOOKUP($A517,YES_Reading_FLA[],COLUMN(YES_Reading_FLA[Self-Identified as African Descent]),FALSE))),""))),"")</f>
        <v/>
      </c>
      <c r="L517" s="73" t="str" cm="1">
        <f t="array" ref="L517">IFERROR(
IF($J$2="ELA",
IF(VLOOKUP($A517, YES_Reading_ELA[], COLUMN(YES_Reading_ELA[Self-Identified as Indigenous]), FALSE)="", "",
VLOOKUP($A517,YES_Reading_ELA[], COLUMN(YES_Reading_ELA[Self-Identified as Indigenous]), FALSE)),
IF($J$2="FLA",
IF(VLOOKUP($A517, YES_Reading_FLA[], COLUMN(YES_Reading_FLA[Self-Identified as Indigenous]),FALSE)="","",
VLOOKUP($A517,YES_Reading_FLA[],COLUMN(YES_Reading_FLA[Self-Identified as Indigenous]),FALSE)),
IF($J$2="Combined",
IFERROR(
IF(VLOOKUP($A517, YES_Reading_ELA[], COLUMN(YES_Reading_ELA[Self-Identified as Indigenous]), FALSE)="", "",
VLOOKUP($A517,YES_Reading_ELA[],COLUMN(YES_Reading_ELA[Self-Identified as Indigenous]),FALSE)),
IF(VLOOKUP($A517, YES_Reading_FLA[], COLUMN(YES_Reading_FLA[Self-Identified as Indigenous]),FALSE)="", "", VLOOKUP($A517,YES_Reading_FLA[],COLUMN(YES_Reading_FLA[Self-Identified as Indigenous]),FALSE))),""))),"")</f>
        <v/>
      </c>
    </row>
    <row r="518" spans="1:12" ht="19.5" customHeight="1" x14ac:dyDescent="0.25">
      <c r="A518" s="217"/>
      <c r="B518" s="220" t="str">
        <f>IFERROR(VLOOKUP(A518,_xlfn.VSTACK(YES_Reading_ELA[],YES_Reading_FLA[]),2,FALSE),"")</f>
        <v/>
      </c>
      <c r="C518" s="203" t="str" cm="1">
        <f t="array" aca="1" ref="C518" ca="1">IFERROR(
IF($J$2="ELA",
IF(VLOOKUP($A518, YES_Reading_ELA[], COLUMN(IF(VLOOKUP($D$2, 'Reading Report Logic'!$A$2:$B$8, 2, FALSE)=1, YES_Reading_ELA[Reading Level June of Previous School Year], INDIRECT("YES_Reading_ELA[Instructional Reading Level - Per "&amp;(VLOOKUP($D$2,'Reading Report Logic'!$A$2:$B$8,2,FALSE)-1)&amp;"]"))), FALSE)="", "",
VLOOKUP($A518,YES_Reading_ELA[], COLUMN(IF(VLOOKUP($D$2,'Reading Report Logic'!$A$2:$B$8,2,FALSE)=1, YES_Reading_ELA[Reading Level June of Previous School Year],INDIRECT("YES_Reading_ELA[Instructional Reading Level - Per "&amp;(VLOOKUP($D$2,'Reading Report Logic'!$A$2:$B$8,2,FALSE)-1)&amp;"]"))), FALSE)),
IF($J$2="FLA",
IF(VLOOKUP($A518, YES_Reading_FLA[], COLUMN(IF(VLOOKUP($D$2,'Reading Report Logic'!$A$2:$B$8,2,FALSE)=1, YES_Reading_FLA[Reading Level June of Previous School Year],INDIRECT("YES_Reading_FLA[Instructional Reading Level - Per "&amp;(VLOOKUP($D$2,'Reading Report Logic'!$A$2:$B$8,2,FALSE)-1)&amp;"]"))),FALSE)="","",
VLOOKUP($A518,YES_Reading_FLA[], COLUMN(IF(VLOOKUP($D$2,'Reading Report Logic'!$A$2:$B$8,2,FALSE)=1, YES_Reading_FLA[Reading Level June of Previous School Year],INDIRECT("YES_Reading_FLA[Instructional Reading Level - Per "&amp;(VLOOKUP($D$2,'Reading Report Logic'!$A$2:$B$8,2,FALSE)-1)&amp;"]"))),FALSE)),
IF($J$2="Combined",
IFERROR(
IF(VLOOKUP($A518, YES_Reading_ELA[], COLUMN(IF(VLOOKUP($D$2,'Reading Report Logic'!$A$2:$B$8,2,FALSE)=1, YES_Reading_ELA[Reading Level June of Previous School Year],INDIRECT("YES_Reading_ELA[Instructional Reading Level - Per "&amp;(VLOOKUP($D$2,'Reading Report Logic'!$A$2:$B$8,2,FALSE)-1)&amp;"]"))), FALSE)="", "",
VLOOKUP($A518,YES_Reading_ELA[],COLUMN(IF(VLOOKUP($D$2,'Reading Report Logic'!$A$2:$B$8,2,FALSE)=1, YES_Reading_ELA[Reading Level June of Previous School Year],INDIRECT("YES_Reading_ELA[Instructional Reading Level - Per "&amp;(VLOOKUP($D$2,'Reading Report Logic'!$A$2:$B$8,2,FALSE)-1)&amp;"]"))),FALSE)),
IF(VLOOKUP($A518, YES_Reading_FLA[], COLUMN(IF(VLOOKUP($D$2,'Reading Report Logic'!$A$2:$B$8,2,FALSE)=1, YES_Reading_FLA[Reading Level June of Previous School Year],INDIRECT("YES_Reading_FLA[Instructional Reading Level - Per "&amp;(VLOOKUP($D$2,'Reading Report Logic'!$A$2:$B$8,2,FALSE)-1)&amp;"]"))),FALSE)="", "", VLOOKUP($A518,YES_Reading_FLA[],COLUMN(IF(VLOOKUP($D$2,'Reading Report Logic'!$A$2:$B$8,2,FALSE)=1, YES_Reading_FLA[Reading Level June of Previous School Year],INDIRECT("YES_Reading_FLA[Instructional Reading Level - Per "&amp;(VLOOKUP($D$2,'Reading Report Logic'!$A$2:$B$8,2,FALSE)-1)&amp;"]"))), FALSE))),""))),"")</f>
        <v/>
      </c>
      <c r="D518" s="204" t="str" cm="1">
        <f t="array" aca="1" ref="D518" ca="1">IFERROR(
IF($J$2="ELA",
IF(VLOOKUP($A518, YES_Reading_ELA[], COLUMN(INDIRECT("YES_Reading_ELA[Instructional Reading Level - Per "&amp;VLOOKUP($D$2, 'Reading Report Logic'!$A$2:$B$8, 2, FALSE)&amp;"]")), FALSE)="", "",
VLOOKUP($A518,YES_Reading_ELA[], COLUMN(INDIRECT("YES_Reading_ELA[Instructional Reading Level - Per "&amp;VLOOKUP($D$2,'Reading Report Logic'!$A$2:$B$8,2,FALSE)&amp;"]")), FALSE)),
IF($J$2="FLA",
IF(VLOOKUP($A518, YES_Reading_FLA[], COLUMN(INDIRECT("YES_Reading_FLA[Instructional Reading Level - Per "&amp;VLOOKUP($D$2,'Reading Report Logic'!$A$2:$B$8,2,FALSE)&amp;"]")),FALSE)="","",
VLOOKUP($A518,YES_Reading_FLA[],COLUMN(INDIRECT("YES_Reading_FLA[Instructional Reading Level - Per "&amp;VLOOKUP($D$2,'Reading Report Logic'!$A$2:$B$8,2,FALSE)&amp;"]")),FALSE)),
IF($J$2="Combined",
IFERROR(
IF(VLOOKUP($A518, YES_Reading_ELA[], COLUMN(INDIRECT("YES_Reading_ELA[Instructional Reading Level - Per "&amp;VLOOKUP($D$2, 'Reading Report Logic'!$A$2:$B$8,2,FALSE)&amp;"]")), FALSE)="", "",
VLOOKUP($A518,YES_Reading_ELA[],COLUMN(INDIRECT("YES_Reading_ELA[Instructional Reading Level - Per "&amp;VLOOKUP($D$2,'Reading Report Logic'!$A$2:$B$8,2,FALSE)&amp;"]")),FALSE)),
IF(VLOOKUP($A518, YES_Reading_FLA[], COLUMN(INDIRECT("YES_Reading_FLA[Instructional Reading Level - Per "&amp;VLOOKUP($D$2, 'Reading Report Logic'!$A$2:$B$8, 2, FALSE)&amp;"]")),FALSE)="", "", VLOOKUP($A518,YES_Reading_FLA[],COLUMN(INDIRECT("YES_Reading_FLA[Instructional Reading Level - Per "&amp;VLOOKUP($D$2, 'Reading Report Logic'!$A$2:$B$8, 2, FALSE)&amp;"]")),FALSE))),""))),"")</f>
        <v/>
      </c>
      <c r="E518" s="205" t="str" cm="1">
        <f t="array" aca="1" ref="E518" ca="1">IFERROR(
IF($J$2="ELA",
IF(VLOOKUP($A518, YES_Reading_ELA[], COLUMN(INDIRECT("YES_Reading_ELA[Min Expectation - Per "&amp;VLOOKUP($D$2, 'Reading Report Logic'!$A$2:$B$8, 2, FALSE)&amp;"]")), FALSE)="", "",
VLOOKUP($A518,YES_Reading_ELA[], COLUMN(INDIRECT("YES_Reading_ELA[Min Expectation - Per "&amp;VLOOKUP($D$2,'Reading Report Logic'!$A$2:$B$8,2,FALSE)&amp;"]")), FALSE)),
IF($J$2="FLA",
IF(VLOOKUP($A518, YES_Reading_FLA[], COLUMN(INDIRECT("YES_Reading_FLA[Min Expectation - Per "&amp;VLOOKUP($D$2,'Reading Report Logic'!$A$2:$B$8,2,FALSE)&amp;"]")),FALSE)="","",
VLOOKUP($A518,YES_Reading_FLA[],COLUMN(INDIRECT("YES_Reading_FLA[Min Expectation - Per "&amp;VLOOKUP($D$2,'Reading Report Logic'!$A$2:$B$8,2,FALSE)&amp;"]")),FALSE)),
IF($J$2="Combined",
IFERROR(
IF(VLOOKUP($A518, YES_Reading_ELA[], COLUMN(INDIRECT("YES_Reading_ELA[Min Expectation - Per "&amp;VLOOKUP($D$2, 'Reading Report Logic'!$A$2:$B$8,2,FALSE)&amp;"]")), FALSE)="", "",
VLOOKUP($A518,YES_Reading_ELA[],COLUMN(INDIRECT("YES_Reading_ELA[Min Expectation - Per "&amp;VLOOKUP($D$2,'Reading Report Logic'!$A$2:$B$8,2,FALSE)&amp;"]")),FALSE)),
IF(VLOOKUP($A518, YES_Reading_FLA[], COLUMN(INDIRECT("YES_Reading_FLA[Min Expectation - Per "&amp;VLOOKUP($D$2, 'Reading Report Logic'!$A$2:$B$8, 2, FALSE)&amp;"]")),FALSE)="", "", VLOOKUP($A518,YES_Reading_FLA[],COLUMN(INDIRECT("YES_Reading_FLA[Min Expectation - Per "&amp;VLOOKUP($D$2, 'Reading Report Logic'!$A$2:$B$8, 2, FALSE)&amp;"]")),FALSE))),""))),"")</f>
        <v/>
      </c>
      <c r="F518" s="205" t="str" cm="1">
        <f t="array" aca="1" ref="F518" ca="1">IFERROR(
IF($J$2="ELA",
IF(VLOOKUP($A518, YES_Reading_ELA[], COLUMN(INDIRECT("YES_Reading_ELA[Max Expectation - Per "&amp;VLOOKUP($D$2, 'Reading Report Logic'!$A$2:$B$8, 2, FALSE)&amp;"]")), FALSE)="", "",
VLOOKUP($A518,YES_Reading_ELA[], COLUMN(INDIRECT("YES_Reading_ELA[Max Expectation - Per "&amp;VLOOKUP($D$2,'Reading Report Logic'!$A$2:$B$8,2,FALSE)&amp;"]")), FALSE)),
IF($J$2="FLA",
IF(VLOOKUP($A518, YES_Reading_FLA[], COLUMN(INDIRECT("YES_Reading_FLA[Max Expectation - Per "&amp;VLOOKUP($D$2,'Reading Report Logic'!$A$2:$B$8,2,FALSE)&amp;"]")),FALSE)="","",
VLOOKUP($A518,YES_Reading_FLA[],COLUMN(INDIRECT("YES_Reading_FLA[Max Expectation - Per "&amp;VLOOKUP($D$2,'Reading Report Logic'!$A$2:$B$8,2,FALSE)&amp;"]")),FALSE)),
IF($J$2="Combined",
IFERROR(
IF(VLOOKUP($A518, YES_Reading_ELA[], COLUMN(INDIRECT("YES_Reading_ELA[Max Expectation - Per "&amp;VLOOKUP($D$2, 'Reading Report Logic'!$A$2:$B$8,2,FALSE)&amp;"]")), FALSE)="", "",
VLOOKUP($A518,YES_Reading_ELA[],COLUMN(INDIRECT("YES_Reading_ELA[Max Expectation - Per "&amp;VLOOKUP($D$2,'Reading Report Logic'!$A$2:$B$8,2,FALSE)&amp;"]")),FALSE)),
IF(VLOOKUP($A518, YES_Reading_FLA[], COLUMN(INDIRECT("YES_Reading_FLA[Max Expectation - Per "&amp;VLOOKUP($D$2, 'Reading Report Logic'!$A$2:$B$8, 2, FALSE)&amp;"]")),FALSE)="", "", VLOOKUP($A518,YES_Reading_FLA[],COLUMN(INDIRECT("YES_Reading_FLA[Max Expectation - Per "&amp;VLOOKUP($D$2, 'Reading Report Logic'!$A$2:$B$8, 2, FALSE)&amp;"]")),FALSE))),""))),"")</f>
        <v/>
      </c>
      <c r="G518" s="205" t="str" cm="1">
        <f t="array" aca="1" ref="G518" ca="1">IFERROR(
IF($J$2="ELA",
IF(VLOOKUP($A518, YES_Reading_ELA[], COLUMN(INDIRECT("YES_Reading_ELA[Difference - Per "&amp;VLOOKUP($D$2, 'Reading Report Logic'!$A$2:$B$8, 2, FALSE)&amp;"]")), FALSE)="", "",
VLOOKUP($A518,YES_Reading_ELA[], COLUMN(INDIRECT("YES_Reading_ELA[Difference - Per "&amp;VLOOKUP($D$2,'Reading Report Logic'!$A$2:$B$8,2,FALSE)&amp;"]")), FALSE)),
IF($J$2="FLA",
IF(VLOOKUP($A518, YES_Reading_FLA[], COLUMN(INDIRECT("YES_Reading_FLA[Difference - Per "&amp;VLOOKUP($D$2,'Reading Report Logic'!$A$2:$B$8,2,FALSE)&amp;"]")),FALSE)="","",
VLOOKUP($A518,YES_Reading_FLA[],COLUMN(INDIRECT("YES_Reading_FLA[Difference - Per "&amp;VLOOKUP($D$2,'Reading Report Logic'!$A$2:$B$8,2,FALSE)&amp;"]")),FALSE)),
IF($J$2="Combined",
IFERROR(
IF(VLOOKUP($A518, YES_Reading_ELA[], COLUMN(INDIRECT("YES_Reading_ELA[Difference - Per "&amp;VLOOKUP($D$2, 'Reading Report Logic'!$A$2:$B$8,2,FALSE)&amp;"]")), FALSE)="", "",
VLOOKUP($A518,YES_Reading_ELA[],COLUMN(INDIRECT("YES_Reading_ELA[Difference - Per "&amp;VLOOKUP($D$2,'Reading Report Logic'!$A$2:$B$8,2,FALSE)&amp;"]")),FALSE)),
IF(VLOOKUP($A518, YES_Reading_FLA[], COLUMN(INDIRECT("YES_Reading_FLA[Difference - Per "&amp;VLOOKUP($D$2, 'Reading Report Logic'!$A$2:$B$8, 2, FALSE)&amp;"]")),FALSE)="", "", VLOOKUP($A518,YES_Reading_FLA[],COLUMN(INDIRECT("YES_Reading_FLA[Difference - Per "&amp;VLOOKUP($D$2, 'Reading Report Logic'!$A$2:$B$8, 2, FALSE)&amp;"]")),FALSE))),""))),"")</f>
        <v/>
      </c>
      <c r="H518" s="206" t="str">
        <f ca="1">IFERROR(VLOOKUP('Teacher Reading Pull Sheets'!$D518,_xlfn.VSTACK('ELA Reading Logic'!$A$22:$B$48,'FLA Reading Logic'!$A$22:$B$53),2,FALSE)-VLOOKUP('Teacher Reading Pull Sheets'!$C518,_xlfn.VSTACK('ELA Reading Logic'!$A$22:$B$48,'FLA Reading Logic'!$A$22:$B$53),2,FALSE),"")</f>
        <v/>
      </c>
      <c r="I518" s="212"/>
      <c r="J518" s="206"/>
      <c r="K518" s="197" t="str" cm="1">
        <f t="array" ref="K518">IFERROR(
IF($J$2="ELA",
IF(VLOOKUP($A518, YES_Reading_ELA[], COLUMN(YES_Reading_ELA[Self-Identified as African Descent]), FALSE)="", "",
VLOOKUP($A518,YES_Reading_ELA[], COLUMN(YES_Reading_ELA[Self-Identified as African Descent]), FALSE)),
IF($J$2="FLA",
IF(VLOOKUP($A518, YES_Reading_FLA[], COLUMN(YES_Reading_FLA[Self-Identified as African Descent]),FALSE)="","",
VLOOKUP($A518,YES_Reading_FLA[],COLUMN(YES_Reading_FLA[Self-Identified as African Descent]),FALSE)),
IF($J$2="Combined",
IFERROR(
IF(VLOOKUP($A518, YES_Reading_ELA[], COLUMN(YES_Reading_ELA[Self-Identified as African Descent]), FALSE)="", "",
VLOOKUP($A518,YES_Reading_ELA[],COLUMN(YES_Reading_ELA[Self-Identified as African Descent]),FALSE)),
IF(VLOOKUP($A518, YES_Reading_FLA[], COLUMN(YES_Reading_FLA[Self-Identified as African Descent]),FALSE)="", "", VLOOKUP($A518,YES_Reading_FLA[],COLUMN(YES_Reading_FLA[Self-Identified as African Descent]),FALSE))),""))),"")</f>
        <v/>
      </c>
      <c r="L518" s="73" t="str" cm="1">
        <f t="array" ref="L518">IFERROR(
IF($J$2="ELA",
IF(VLOOKUP($A518, YES_Reading_ELA[], COLUMN(YES_Reading_ELA[Self-Identified as Indigenous]), FALSE)="", "",
VLOOKUP($A518,YES_Reading_ELA[], COLUMN(YES_Reading_ELA[Self-Identified as Indigenous]), FALSE)),
IF($J$2="FLA",
IF(VLOOKUP($A518, YES_Reading_FLA[], COLUMN(YES_Reading_FLA[Self-Identified as Indigenous]),FALSE)="","",
VLOOKUP($A518,YES_Reading_FLA[],COLUMN(YES_Reading_FLA[Self-Identified as Indigenous]),FALSE)),
IF($J$2="Combined",
IFERROR(
IF(VLOOKUP($A518, YES_Reading_ELA[], COLUMN(YES_Reading_ELA[Self-Identified as Indigenous]), FALSE)="", "",
VLOOKUP($A518,YES_Reading_ELA[],COLUMN(YES_Reading_ELA[Self-Identified as Indigenous]),FALSE)),
IF(VLOOKUP($A518, YES_Reading_FLA[], COLUMN(YES_Reading_FLA[Self-Identified as Indigenous]),FALSE)="", "", VLOOKUP($A518,YES_Reading_FLA[],COLUMN(YES_Reading_FLA[Self-Identified as Indigenous]),FALSE))),""))),"")</f>
        <v/>
      </c>
    </row>
    <row r="519" spans="1:12" ht="19.5" customHeight="1" x14ac:dyDescent="0.25">
      <c r="A519" s="217"/>
      <c r="B519" s="220" t="str">
        <f>IFERROR(VLOOKUP(A519,_xlfn.VSTACK(YES_Reading_ELA[],YES_Reading_FLA[]),2,FALSE),"")</f>
        <v/>
      </c>
      <c r="C519" s="203" t="str" cm="1">
        <f t="array" aca="1" ref="C519" ca="1">IFERROR(
IF($J$2="ELA",
IF(VLOOKUP($A519, YES_Reading_ELA[], COLUMN(IF(VLOOKUP($D$2, 'Reading Report Logic'!$A$2:$B$8, 2, FALSE)=1, YES_Reading_ELA[Reading Level June of Previous School Year], INDIRECT("YES_Reading_ELA[Instructional Reading Level - Per "&amp;(VLOOKUP($D$2,'Reading Report Logic'!$A$2:$B$8,2,FALSE)-1)&amp;"]"))), FALSE)="", "",
VLOOKUP($A519,YES_Reading_ELA[], COLUMN(IF(VLOOKUP($D$2,'Reading Report Logic'!$A$2:$B$8,2,FALSE)=1, YES_Reading_ELA[Reading Level June of Previous School Year],INDIRECT("YES_Reading_ELA[Instructional Reading Level - Per "&amp;(VLOOKUP($D$2,'Reading Report Logic'!$A$2:$B$8,2,FALSE)-1)&amp;"]"))), FALSE)),
IF($J$2="FLA",
IF(VLOOKUP($A519, YES_Reading_FLA[], COLUMN(IF(VLOOKUP($D$2,'Reading Report Logic'!$A$2:$B$8,2,FALSE)=1, YES_Reading_FLA[Reading Level June of Previous School Year],INDIRECT("YES_Reading_FLA[Instructional Reading Level - Per "&amp;(VLOOKUP($D$2,'Reading Report Logic'!$A$2:$B$8,2,FALSE)-1)&amp;"]"))),FALSE)="","",
VLOOKUP($A519,YES_Reading_FLA[], COLUMN(IF(VLOOKUP($D$2,'Reading Report Logic'!$A$2:$B$8,2,FALSE)=1, YES_Reading_FLA[Reading Level June of Previous School Year],INDIRECT("YES_Reading_FLA[Instructional Reading Level - Per "&amp;(VLOOKUP($D$2,'Reading Report Logic'!$A$2:$B$8,2,FALSE)-1)&amp;"]"))),FALSE)),
IF($J$2="Combined",
IFERROR(
IF(VLOOKUP($A519, YES_Reading_ELA[], COLUMN(IF(VLOOKUP($D$2,'Reading Report Logic'!$A$2:$B$8,2,FALSE)=1, YES_Reading_ELA[Reading Level June of Previous School Year],INDIRECT("YES_Reading_ELA[Instructional Reading Level - Per "&amp;(VLOOKUP($D$2,'Reading Report Logic'!$A$2:$B$8,2,FALSE)-1)&amp;"]"))), FALSE)="", "",
VLOOKUP($A519,YES_Reading_ELA[],COLUMN(IF(VLOOKUP($D$2,'Reading Report Logic'!$A$2:$B$8,2,FALSE)=1, YES_Reading_ELA[Reading Level June of Previous School Year],INDIRECT("YES_Reading_ELA[Instructional Reading Level - Per "&amp;(VLOOKUP($D$2,'Reading Report Logic'!$A$2:$B$8,2,FALSE)-1)&amp;"]"))),FALSE)),
IF(VLOOKUP($A519, YES_Reading_FLA[], COLUMN(IF(VLOOKUP($D$2,'Reading Report Logic'!$A$2:$B$8,2,FALSE)=1, YES_Reading_FLA[Reading Level June of Previous School Year],INDIRECT("YES_Reading_FLA[Instructional Reading Level - Per "&amp;(VLOOKUP($D$2,'Reading Report Logic'!$A$2:$B$8,2,FALSE)-1)&amp;"]"))),FALSE)="", "", VLOOKUP($A519,YES_Reading_FLA[],COLUMN(IF(VLOOKUP($D$2,'Reading Report Logic'!$A$2:$B$8,2,FALSE)=1, YES_Reading_FLA[Reading Level June of Previous School Year],INDIRECT("YES_Reading_FLA[Instructional Reading Level - Per "&amp;(VLOOKUP($D$2,'Reading Report Logic'!$A$2:$B$8,2,FALSE)-1)&amp;"]"))), FALSE))),""))),"")</f>
        <v/>
      </c>
      <c r="D519" s="204" t="str" cm="1">
        <f t="array" aca="1" ref="D519" ca="1">IFERROR(
IF($J$2="ELA",
IF(VLOOKUP($A519, YES_Reading_ELA[], COLUMN(INDIRECT("YES_Reading_ELA[Instructional Reading Level - Per "&amp;VLOOKUP($D$2, 'Reading Report Logic'!$A$2:$B$8, 2, FALSE)&amp;"]")), FALSE)="", "",
VLOOKUP($A519,YES_Reading_ELA[], COLUMN(INDIRECT("YES_Reading_ELA[Instructional Reading Level - Per "&amp;VLOOKUP($D$2,'Reading Report Logic'!$A$2:$B$8,2,FALSE)&amp;"]")), FALSE)),
IF($J$2="FLA",
IF(VLOOKUP($A519, YES_Reading_FLA[], COLUMN(INDIRECT("YES_Reading_FLA[Instructional Reading Level - Per "&amp;VLOOKUP($D$2,'Reading Report Logic'!$A$2:$B$8,2,FALSE)&amp;"]")),FALSE)="","",
VLOOKUP($A519,YES_Reading_FLA[],COLUMN(INDIRECT("YES_Reading_FLA[Instructional Reading Level - Per "&amp;VLOOKUP($D$2,'Reading Report Logic'!$A$2:$B$8,2,FALSE)&amp;"]")),FALSE)),
IF($J$2="Combined",
IFERROR(
IF(VLOOKUP($A519, YES_Reading_ELA[], COLUMN(INDIRECT("YES_Reading_ELA[Instructional Reading Level - Per "&amp;VLOOKUP($D$2, 'Reading Report Logic'!$A$2:$B$8,2,FALSE)&amp;"]")), FALSE)="", "",
VLOOKUP($A519,YES_Reading_ELA[],COLUMN(INDIRECT("YES_Reading_ELA[Instructional Reading Level - Per "&amp;VLOOKUP($D$2,'Reading Report Logic'!$A$2:$B$8,2,FALSE)&amp;"]")),FALSE)),
IF(VLOOKUP($A519, YES_Reading_FLA[], COLUMN(INDIRECT("YES_Reading_FLA[Instructional Reading Level - Per "&amp;VLOOKUP($D$2, 'Reading Report Logic'!$A$2:$B$8, 2, FALSE)&amp;"]")),FALSE)="", "", VLOOKUP($A519,YES_Reading_FLA[],COLUMN(INDIRECT("YES_Reading_FLA[Instructional Reading Level - Per "&amp;VLOOKUP($D$2, 'Reading Report Logic'!$A$2:$B$8, 2, FALSE)&amp;"]")),FALSE))),""))),"")</f>
        <v/>
      </c>
      <c r="E519" s="205" t="str" cm="1">
        <f t="array" aca="1" ref="E519" ca="1">IFERROR(
IF($J$2="ELA",
IF(VLOOKUP($A519, YES_Reading_ELA[], COLUMN(INDIRECT("YES_Reading_ELA[Min Expectation - Per "&amp;VLOOKUP($D$2, 'Reading Report Logic'!$A$2:$B$8, 2, FALSE)&amp;"]")), FALSE)="", "",
VLOOKUP($A519,YES_Reading_ELA[], COLUMN(INDIRECT("YES_Reading_ELA[Min Expectation - Per "&amp;VLOOKUP($D$2,'Reading Report Logic'!$A$2:$B$8,2,FALSE)&amp;"]")), FALSE)),
IF($J$2="FLA",
IF(VLOOKUP($A519, YES_Reading_FLA[], COLUMN(INDIRECT("YES_Reading_FLA[Min Expectation - Per "&amp;VLOOKUP($D$2,'Reading Report Logic'!$A$2:$B$8,2,FALSE)&amp;"]")),FALSE)="","",
VLOOKUP($A519,YES_Reading_FLA[],COLUMN(INDIRECT("YES_Reading_FLA[Min Expectation - Per "&amp;VLOOKUP($D$2,'Reading Report Logic'!$A$2:$B$8,2,FALSE)&amp;"]")),FALSE)),
IF($J$2="Combined",
IFERROR(
IF(VLOOKUP($A519, YES_Reading_ELA[], COLUMN(INDIRECT("YES_Reading_ELA[Min Expectation - Per "&amp;VLOOKUP($D$2, 'Reading Report Logic'!$A$2:$B$8,2,FALSE)&amp;"]")), FALSE)="", "",
VLOOKUP($A519,YES_Reading_ELA[],COLUMN(INDIRECT("YES_Reading_ELA[Min Expectation - Per "&amp;VLOOKUP($D$2,'Reading Report Logic'!$A$2:$B$8,2,FALSE)&amp;"]")),FALSE)),
IF(VLOOKUP($A519, YES_Reading_FLA[], COLUMN(INDIRECT("YES_Reading_FLA[Min Expectation - Per "&amp;VLOOKUP($D$2, 'Reading Report Logic'!$A$2:$B$8, 2, FALSE)&amp;"]")),FALSE)="", "", VLOOKUP($A519,YES_Reading_FLA[],COLUMN(INDIRECT("YES_Reading_FLA[Min Expectation - Per "&amp;VLOOKUP($D$2, 'Reading Report Logic'!$A$2:$B$8, 2, FALSE)&amp;"]")),FALSE))),""))),"")</f>
        <v/>
      </c>
      <c r="F519" s="205" t="str" cm="1">
        <f t="array" aca="1" ref="F519" ca="1">IFERROR(
IF($J$2="ELA",
IF(VLOOKUP($A519, YES_Reading_ELA[], COLUMN(INDIRECT("YES_Reading_ELA[Max Expectation - Per "&amp;VLOOKUP($D$2, 'Reading Report Logic'!$A$2:$B$8, 2, FALSE)&amp;"]")), FALSE)="", "",
VLOOKUP($A519,YES_Reading_ELA[], COLUMN(INDIRECT("YES_Reading_ELA[Max Expectation - Per "&amp;VLOOKUP($D$2,'Reading Report Logic'!$A$2:$B$8,2,FALSE)&amp;"]")), FALSE)),
IF($J$2="FLA",
IF(VLOOKUP($A519, YES_Reading_FLA[], COLUMN(INDIRECT("YES_Reading_FLA[Max Expectation - Per "&amp;VLOOKUP($D$2,'Reading Report Logic'!$A$2:$B$8,2,FALSE)&amp;"]")),FALSE)="","",
VLOOKUP($A519,YES_Reading_FLA[],COLUMN(INDIRECT("YES_Reading_FLA[Max Expectation - Per "&amp;VLOOKUP($D$2,'Reading Report Logic'!$A$2:$B$8,2,FALSE)&amp;"]")),FALSE)),
IF($J$2="Combined",
IFERROR(
IF(VLOOKUP($A519, YES_Reading_ELA[], COLUMN(INDIRECT("YES_Reading_ELA[Max Expectation - Per "&amp;VLOOKUP($D$2, 'Reading Report Logic'!$A$2:$B$8,2,FALSE)&amp;"]")), FALSE)="", "",
VLOOKUP($A519,YES_Reading_ELA[],COLUMN(INDIRECT("YES_Reading_ELA[Max Expectation - Per "&amp;VLOOKUP($D$2,'Reading Report Logic'!$A$2:$B$8,2,FALSE)&amp;"]")),FALSE)),
IF(VLOOKUP($A519, YES_Reading_FLA[], COLUMN(INDIRECT("YES_Reading_FLA[Max Expectation - Per "&amp;VLOOKUP($D$2, 'Reading Report Logic'!$A$2:$B$8, 2, FALSE)&amp;"]")),FALSE)="", "", VLOOKUP($A519,YES_Reading_FLA[],COLUMN(INDIRECT("YES_Reading_FLA[Max Expectation - Per "&amp;VLOOKUP($D$2, 'Reading Report Logic'!$A$2:$B$8, 2, FALSE)&amp;"]")),FALSE))),""))),"")</f>
        <v/>
      </c>
      <c r="G519" s="205" t="str" cm="1">
        <f t="array" aca="1" ref="G519" ca="1">IFERROR(
IF($J$2="ELA",
IF(VLOOKUP($A519, YES_Reading_ELA[], COLUMN(INDIRECT("YES_Reading_ELA[Difference - Per "&amp;VLOOKUP($D$2, 'Reading Report Logic'!$A$2:$B$8, 2, FALSE)&amp;"]")), FALSE)="", "",
VLOOKUP($A519,YES_Reading_ELA[], COLUMN(INDIRECT("YES_Reading_ELA[Difference - Per "&amp;VLOOKUP($D$2,'Reading Report Logic'!$A$2:$B$8,2,FALSE)&amp;"]")), FALSE)),
IF($J$2="FLA",
IF(VLOOKUP($A519, YES_Reading_FLA[], COLUMN(INDIRECT("YES_Reading_FLA[Difference - Per "&amp;VLOOKUP($D$2,'Reading Report Logic'!$A$2:$B$8,2,FALSE)&amp;"]")),FALSE)="","",
VLOOKUP($A519,YES_Reading_FLA[],COLUMN(INDIRECT("YES_Reading_FLA[Difference - Per "&amp;VLOOKUP($D$2,'Reading Report Logic'!$A$2:$B$8,2,FALSE)&amp;"]")),FALSE)),
IF($J$2="Combined",
IFERROR(
IF(VLOOKUP($A519, YES_Reading_ELA[], COLUMN(INDIRECT("YES_Reading_ELA[Difference - Per "&amp;VLOOKUP($D$2, 'Reading Report Logic'!$A$2:$B$8,2,FALSE)&amp;"]")), FALSE)="", "",
VLOOKUP($A519,YES_Reading_ELA[],COLUMN(INDIRECT("YES_Reading_ELA[Difference - Per "&amp;VLOOKUP($D$2,'Reading Report Logic'!$A$2:$B$8,2,FALSE)&amp;"]")),FALSE)),
IF(VLOOKUP($A519, YES_Reading_FLA[], COLUMN(INDIRECT("YES_Reading_FLA[Difference - Per "&amp;VLOOKUP($D$2, 'Reading Report Logic'!$A$2:$B$8, 2, FALSE)&amp;"]")),FALSE)="", "", VLOOKUP($A519,YES_Reading_FLA[],COLUMN(INDIRECT("YES_Reading_FLA[Difference - Per "&amp;VLOOKUP($D$2, 'Reading Report Logic'!$A$2:$B$8, 2, FALSE)&amp;"]")),FALSE))),""))),"")</f>
        <v/>
      </c>
      <c r="H519" s="206" t="str">
        <f ca="1">IFERROR(VLOOKUP('Teacher Reading Pull Sheets'!$D519,_xlfn.VSTACK('ELA Reading Logic'!$A$22:$B$48,'FLA Reading Logic'!$A$22:$B$53),2,FALSE)-VLOOKUP('Teacher Reading Pull Sheets'!$C519,_xlfn.VSTACK('ELA Reading Logic'!$A$22:$B$48,'FLA Reading Logic'!$A$22:$B$53),2,FALSE),"")</f>
        <v/>
      </c>
      <c r="I519" s="212"/>
      <c r="J519" s="206"/>
      <c r="K519" s="197" t="str" cm="1">
        <f t="array" ref="K519">IFERROR(
IF($J$2="ELA",
IF(VLOOKUP($A519, YES_Reading_ELA[], COLUMN(YES_Reading_ELA[Self-Identified as African Descent]), FALSE)="", "",
VLOOKUP($A519,YES_Reading_ELA[], COLUMN(YES_Reading_ELA[Self-Identified as African Descent]), FALSE)),
IF($J$2="FLA",
IF(VLOOKUP($A519, YES_Reading_FLA[], COLUMN(YES_Reading_FLA[Self-Identified as African Descent]),FALSE)="","",
VLOOKUP($A519,YES_Reading_FLA[],COLUMN(YES_Reading_FLA[Self-Identified as African Descent]),FALSE)),
IF($J$2="Combined",
IFERROR(
IF(VLOOKUP($A519, YES_Reading_ELA[], COLUMN(YES_Reading_ELA[Self-Identified as African Descent]), FALSE)="", "",
VLOOKUP($A519,YES_Reading_ELA[],COLUMN(YES_Reading_ELA[Self-Identified as African Descent]),FALSE)),
IF(VLOOKUP($A519, YES_Reading_FLA[], COLUMN(YES_Reading_FLA[Self-Identified as African Descent]),FALSE)="", "", VLOOKUP($A519,YES_Reading_FLA[],COLUMN(YES_Reading_FLA[Self-Identified as African Descent]),FALSE))),""))),"")</f>
        <v/>
      </c>
      <c r="L519" s="73" t="str" cm="1">
        <f t="array" ref="L519">IFERROR(
IF($J$2="ELA",
IF(VLOOKUP($A519, YES_Reading_ELA[], COLUMN(YES_Reading_ELA[Self-Identified as Indigenous]), FALSE)="", "",
VLOOKUP($A519,YES_Reading_ELA[], COLUMN(YES_Reading_ELA[Self-Identified as Indigenous]), FALSE)),
IF($J$2="FLA",
IF(VLOOKUP($A519, YES_Reading_FLA[], COLUMN(YES_Reading_FLA[Self-Identified as Indigenous]),FALSE)="","",
VLOOKUP($A519,YES_Reading_FLA[],COLUMN(YES_Reading_FLA[Self-Identified as Indigenous]),FALSE)),
IF($J$2="Combined",
IFERROR(
IF(VLOOKUP($A519, YES_Reading_ELA[], COLUMN(YES_Reading_ELA[Self-Identified as Indigenous]), FALSE)="", "",
VLOOKUP($A519,YES_Reading_ELA[],COLUMN(YES_Reading_ELA[Self-Identified as Indigenous]),FALSE)),
IF(VLOOKUP($A519, YES_Reading_FLA[], COLUMN(YES_Reading_FLA[Self-Identified as Indigenous]),FALSE)="", "", VLOOKUP($A519,YES_Reading_FLA[],COLUMN(YES_Reading_FLA[Self-Identified as Indigenous]),FALSE))),""))),"")</f>
        <v/>
      </c>
    </row>
    <row r="520" spans="1:12" ht="19.5" customHeight="1" x14ac:dyDescent="0.25">
      <c r="A520" s="217"/>
      <c r="B520" s="220" t="str">
        <f>IFERROR(VLOOKUP(A520,_xlfn.VSTACK(YES_Reading_ELA[],YES_Reading_FLA[]),2,FALSE),"")</f>
        <v/>
      </c>
      <c r="C520" s="203" t="str" cm="1">
        <f t="array" aca="1" ref="C520" ca="1">IFERROR(
IF($J$2="ELA",
IF(VLOOKUP($A520, YES_Reading_ELA[], COLUMN(IF(VLOOKUP($D$2, 'Reading Report Logic'!$A$2:$B$8, 2, FALSE)=1, YES_Reading_ELA[Reading Level June of Previous School Year], INDIRECT("YES_Reading_ELA[Instructional Reading Level - Per "&amp;(VLOOKUP($D$2,'Reading Report Logic'!$A$2:$B$8,2,FALSE)-1)&amp;"]"))), FALSE)="", "",
VLOOKUP($A520,YES_Reading_ELA[], COLUMN(IF(VLOOKUP($D$2,'Reading Report Logic'!$A$2:$B$8,2,FALSE)=1, YES_Reading_ELA[Reading Level June of Previous School Year],INDIRECT("YES_Reading_ELA[Instructional Reading Level - Per "&amp;(VLOOKUP($D$2,'Reading Report Logic'!$A$2:$B$8,2,FALSE)-1)&amp;"]"))), FALSE)),
IF($J$2="FLA",
IF(VLOOKUP($A520, YES_Reading_FLA[], COLUMN(IF(VLOOKUP($D$2,'Reading Report Logic'!$A$2:$B$8,2,FALSE)=1, YES_Reading_FLA[Reading Level June of Previous School Year],INDIRECT("YES_Reading_FLA[Instructional Reading Level - Per "&amp;(VLOOKUP($D$2,'Reading Report Logic'!$A$2:$B$8,2,FALSE)-1)&amp;"]"))),FALSE)="","",
VLOOKUP($A520,YES_Reading_FLA[], COLUMN(IF(VLOOKUP($D$2,'Reading Report Logic'!$A$2:$B$8,2,FALSE)=1, YES_Reading_FLA[Reading Level June of Previous School Year],INDIRECT("YES_Reading_FLA[Instructional Reading Level - Per "&amp;(VLOOKUP($D$2,'Reading Report Logic'!$A$2:$B$8,2,FALSE)-1)&amp;"]"))),FALSE)),
IF($J$2="Combined",
IFERROR(
IF(VLOOKUP($A520, YES_Reading_ELA[], COLUMN(IF(VLOOKUP($D$2,'Reading Report Logic'!$A$2:$B$8,2,FALSE)=1, YES_Reading_ELA[Reading Level June of Previous School Year],INDIRECT("YES_Reading_ELA[Instructional Reading Level - Per "&amp;(VLOOKUP($D$2,'Reading Report Logic'!$A$2:$B$8,2,FALSE)-1)&amp;"]"))), FALSE)="", "",
VLOOKUP($A520,YES_Reading_ELA[],COLUMN(IF(VLOOKUP($D$2,'Reading Report Logic'!$A$2:$B$8,2,FALSE)=1, YES_Reading_ELA[Reading Level June of Previous School Year],INDIRECT("YES_Reading_ELA[Instructional Reading Level - Per "&amp;(VLOOKUP($D$2,'Reading Report Logic'!$A$2:$B$8,2,FALSE)-1)&amp;"]"))),FALSE)),
IF(VLOOKUP($A520, YES_Reading_FLA[], COLUMN(IF(VLOOKUP($D$2,'Reading Report Logic'!$A$2:$B$8,2,FALSE)=1, YES_Reading_FLA[Reading Level June of Previous School Year],INDIRECT("YES_Reading_FLA[Instructional Reading Level - Per "&amp;(VLOOKUP($D$2,'Reading Report Logic'!$A$2:$B$8,2,FALSE)-1)&amp;"]"))),FALSE)="", "", VLOOKUP($A520,YES_Reading_FLA[],COLUMN(IF(VLOOKUP($D$2,'Reading Report Logic'!$A$2:$B$8,2,FALSE)=1, YES_Reading_FLA[Reading Level June of Previous School Year],INDIRECT("YES_Reading_FLA[Instructional Reading Level - Per "&amp;(VLOOKUP($D$2,'Reading Report Logic'!$A$2:$B$8,2,FALSE)-1)&amp;"]"))), FALSE))),""))),"")</f>
        <v/>
      </c>
      <c r="D520" s="204" t="str" cm="1">
        <f t="array" aca="1" ref="D520" ca="1">IFERROR(
IF($J$2="ELA",
IF(VLOOKUP($A520, YES_Reading_ELA[], COLUMN(INDIRECT("YES_Reading_ELA[Instructional Reading Level - Per "&amp;VLOOKUP($D$2, 'Reading Report Logic'!$A$2:$B$8, 2, FALSE)&amp;"]")), FALSE)="", "",
VLOOKUP($A520,YES_Reading_ELA[], COLUMN(INDIRECT("YES_Reading_ELA[Instructional Reading Level - Per "&amp;VLOOKUP($D$2,'Reading Report Logic'!$A$2:$B$8,2,FALSE)&amp;"]")), FALSE)),
IF($J$2="FLA",
IF(VLOOKUP($A520, YES_Reading_FLA[], COLUMN(INDIRECT("YES_Reading_FLA[Instructional Reading Level - Per "&amp;VLOOKUP($D$2,'Reading Report Logic'!$A$2:$B$8,2,FALSE)&amp;"]")),FALSE)="","",
VLOOKUP($A520,YES_Reading_FLA[],COLUMN(INDIRECT("YES_Reading_FLA[Instructional Reading Level - Per "&amp;VLOOKUP($D$2,'Reading Report Logic'!$A$2:$B$8,2,FALSE)&amp;"]")),FALSE)),
IF($J$2="Combined",
IFERROR(
IF(VLOOKUP($A520, YES_Reading_ELA[], COLUMN(INDIRECT("YES_Reading_ELA[Instructional Reading Level - Per "&amp;VLOOKUP($D$2, 'Reading Report Logic'!$A$2:$B$8,2,FALSE)&amp;"]")), FALSE)="", "",
VLOOKUP($A520,YES_Reading_ELA[],COLUMN(INDIRECT("YES_Reading_ELA[Instructional Reading Level - Per "&amp;VLOOKUP($D$2,'Reading Report Logic'!$A$2:$B$8,2,FALSE)&amp;"]")),FALSE)),
IF(VLOOKUP($A520, YES_Reading_FLA[], COLUMN(INDIRECT("YES_Reading_FLA[Instructional Reading Level - Per "&amp;VLOOKUP($D$2, 'Reading Report Logic'!$A$2:$B$8, 2, FALSE)&amp;"]")),FALSE)="", "", VLOOKUP($A520,YES_Reading_FLA[],COLUMN(INDIRECT("YES_Reading_FLA[Instructional Reading Level - Per "&amp;VLOOKUP($D$2, 'Reading Report Logic'!$A$2:$B$8, 2, FALSE)&amp;"]")),FALSE))),""))),"")</f>
        <v/>
      </c>
      <c r="E520" s="205" t="str" cm="1">
        <f t="array" aca="1" ref="E520" ca="1">IFERROR(
IF($J$2="ELA",
IF(VLOOKUP($A520, YES_Reading_ELA[], COLUMN(INDIRECT("YES_Reading_ELA[Min Expectation - Per "&amp;VLOOKUP($D$2, 'Reading Report Logic'!$A$2:$B$8, 2, FALSE)&amp;"]")), FALSE)="", "",
VLOOKUP($A520,YES_Reading_ELA[], COLUMN(INDIRECT("YES_Reading_ELA[Min Expectation - Per "&amp;VLOOKUP($D$2,'Reading Report Logic'!$A$2:$B$8,2,FALSE)&amp;"]")), FALSE)),
IF($J$2="FLA",
IF(VLOOKUP($A520, YES_Reading_FLA[], COLUMN(INDIRECT("YES_Reading_FLA[Min Expectation - Per "&amp;VLOOKUP($D$2,'Reading Report Logic'!$A$2:$B$8,2,FALSE)&amp;"]")),FALSE)="","",
VLOOKUP($A520,YES_Reading_FLA[],COLUMN(INDIRECT("YES_Reading_FLA[Min Expectation - Per "&amp;VLOOKUP($D$2,'Reading Report Logic'!$A$2:$B$8,2,FALSE)&amp;"]")),FALSE)),
IF($J$2="Combined",
IFERROR(
IF(VLOOKUP($A520, YES_Reading_ELA[], COLUMN(INDIRECT("YES_Reading_ELA[Min Expectation - Per "&amp;VLOOKUP($D$2, 'Reading Report Logic'!$A$2:$B$8,2,FALSE)&amp;"]")), FALSE)="", "",
VLOOKUP($A520,YES_Reading_ELA[],COLUMN(INDIRECT("YES_Reading_ELA[Min Expectation - Per "&amp;VLOOKUP($D$2,'Reading Report Logic'!$A$2:$B$8,2,FALSE)&amp;"]")),FALSE)),
IF(VLOOKUP($A520, YES_Reading_FLA[], COLUMN(INDIRECT("YES_Reading_FLA[Min Expectation - Per "&amp;VLOOKUP($D$2, 'Reading Report Logic'!$A$2:$B$8, 2, FALSE)&amp;"]")),FALSE)="", "", VLOOKUP($A520,YES_Reading_FLA[],COLUMN(INDIRECT("YES_Reading_FLA[Min Expectation - Per "&amp;VLOOKUP($D$2, 'Reading Report Logic'!$A$2:$B$8, 2, FALSE)&amp;"]")),FALSE))),""))),"")</f>
        <v/>
      </c>
      <c r="F520" s="205" t="str" cm="1">
        <f t="array" aca="1" ref="F520" ca="1">IFERROR(
IF($J$2="ELA",
IF(VLOOKUP($A520, YES_Reading_ELA[], COLUMN(INDIRECT("YES_Reading_ELA[Max Expectation - Per "&amp;VLOOKUP($D$2, 'Reading Report Logic'!$A$2:$B$8, 2, FALSE)&amp;"]")), FALSE)="", "",
VLOOKUP($A520,YES_Reading_ELA[], COLUMN(INDIRECT("YES_Reading_ELA[Max Expectation - Per "&amp;VLOOKUP($D$2,'Reading Report Logic'!$A$2:$B$8,2,FALSE)&amp;"]")), FALSE)),
IF($J$2="FLA",
IF(VLOOKUP($A520, YES_Reading_FLA[], COLUMN(INDIRECT("YES_Reading_FLA[Max Expectation - Per "&amp;VLOOKUP($D$2,'Reading Report Logic'!$A$2:$B$8,2,FALSE)&amp;"]")),FALSE)="","",
VLOOKUP($A520,YES_Reading_FLA[],COLUMN(INDIRECT("YES_Reading_FLA[Max Expectation - Per "&amp;VLOOKUP($D$2,'Reading Report Logic'!$A$2:$B$8,2,FALSE)&amp;"]")),FALSE)),
IF($J$2="Combined",
IFERROR(
IF(VLOOKUP($A520, YES_Reading_ELA[], COLUMN(INDIRECT("YES_Reading_ELA[Max Expectation - Per "&amp;VLOOKUP($D$2, 'Reading Report Logic'!$A$2:$B$8,2,FALSE)&amp;"]")), FALSE)="", "",
VLOOKUP($A520,YES_Reading_ELA[],COLUMN(INDIRECT("YES_Reading_ELA[Max Expectation - Per "&amp;VLOOKUP($D$2,'Reading Report Logic'!$A$2:$B$8,2,FALSE)&amp;"]")),FALSE)),
IF(VLOOKUP($A520, YES_Reading_FLA[], COLUMN(INDIRECT("YES_Reading_FLA[Max Expectation - Per "&amp;VLOOKUP($D$2, 'Reading Report Logic'!$A$2:$B$8, 2, FALSE)&amp;"]")),FALSE)="", "", VLOOKUP($A520,YES_Reading_FLA[],COLUMN(INDIRECT("YES_Reading_FLA[Max Expectation - Per "&amp;VLOOKUP($D$2, 'Reading Report Logic'!$A$2:$B$8, 2, FALSE)&amp;"]")),FALSE))),""))),"")</f>
        <v/>
      </c>
      <c r="G520" s="205" t="str" cm="1">
        <f t="array" aca="1" ref="G520" ca="1">IFERROR(
IF($J$2="ELA",
IF(VLOOKUP($A520, YES_Reading_ELA[], COLUMN(INDIRECT("YES_Reading_ELA[Difference - Per "&amp;VLOOKUP($D$2, 'Reading Report Logic'!$A$2:$B$8, 2, FALSE)&amp;"]")), FALSE)="", "",
VLOOKUP($A520,YES_Reading_ELA[], COLUMN(INDIRECT("YES_Reading_ELA[Difference - Per "&amp;VLOOKUP($D$2,'Reading Report Logic'!$A$2:$B$8,2,FALSE)&amp;"]")), FALSE)),
IF($J$2="FLA",
IF(VLOOKUP($A520, YES_Reading_FLA[], COLUMN(INDIRECT("YES_Reading_FLA[Difference - Per "&amp;VLOOKUP($D$2,'Reading Report Logic'!$A$2:$B$8,2,FALSE)&amp;"]")),FALSE)="","",
VLOOKUP($A520,YES_Reading_FLA[],COLUMN(INDIRECT("YES_Reading_FLA[Difference - Per "&amp;VLOOKUP($D$2,'Reading Report Logic'!$A$2:$B$8,2,FALSE)&amp;"]")),FALSE)),
IF($J$2="Combined",
IFERROR(
IF(VLOOKUP($A520, YES_Reading_ELA[], COLUMN(INDIRECT("YES_Reading_ELA[Difference - Per "&amp;VLOOKUP($D$2, 'Reading Report Logic'!$A$2:$B$8,2,FALSE)&amp;"]")), FALSE)="", "",
VLOOKUP($A520,YES_Reading_ELA[],COLUMN(INDIRECT("YES_Reading_ELA[Difference - Per "&amp;VLOOKUP($D$2,'Reading Report Logic'!$A$2:$B$8,2,FALSE)&amp;"]")),FALSE)),
IF(VLOOKUP($A520, YES_Reading_FLA[], COLUMN(INDIRECT("YES_Reading_FLA[Difference - Per "&amp;VLOOKUP($D$2, 'Reading Report Logic'!$A$2:$B$8, 2, FALSE)&amp;"]")),FALSE)="", "", VLOOKUP($A520,YES_Reading_FLA[],COLUMN(INDIRECT("YES_Reading_FLA[Difference - Per "&amp;VLOOKUP($D$2, 'Reading Report Logic'!$A$2:$B$8, 2, FALSE)&amp;"]")),FALSE))),""))),"")</f>
        <v/>
      </c>
      <c r="H520" s="206" t="str">
        <f ca="1">IFERROR(VLOOKUP('Teacher Reading Pull Sheets'!$D520,_xlfn.VSTACK('ELA Reading Logic'!$A$22:$B$48,'FLA Reading Logic'!$A$22:$B$53),2,FALSE)-VLOOKUP('Teacher Reading Pull Sheets'!$C520,_xlfn.VSTACK('ELA Reading Logic'!$A$22:$B$48,'FLA Reading Logic'!$A$22:$B$53),2,FALSE),"")</f>
        <v/>
      </c>
      <c r="I520" s="212"/>
      <c r="J520" s="206"/>
      <c r="K520" s="197" t="str" cm="1">
        <f t="array" ref="K520">IFERROR(
IF($J$2="ELA",
IF(VLOOKUP($A520, YES_Reading_ELA[], COLUMN(YES_Reading_ELA[Self-Identified as African Descent]), FALSE)="", "",
VLOOKUP($A520,YES_Reading_ELA[], COLUMN(YES_Reading_ELA[Self-Identified as African Descent]), FALSE)),
IF($J$2="FLA",
IF(VLOOKUP($A520, YES_Reading_FLA[], COLUMN(YES_Reading_FLA[Self-Identified as African Descent]),FALSE)="","",
VLOOKUP($A520,YES_Reading_FLA[],COLUMN(YES_Reading_FLA[Self-Identified as African Descent]),FALSE)),
IF($J$2="Combined",
IFERROR(
IF(VLOOKUP($A520, YES_Reading_ELA[], COLUMN(YES_Reading_ELA[Self-Identified as African Descent]), FALSE)="", "",
VLOOKUP($A520,YES_Reading_ELA[],COLUMN(YES_Reading_ELA[Self-Identified as African Descent]),FALSE)),
IF(VLOOKUP($A520, YES_Reading_FLA[], COLUMN(YES_Reading_FLA[Self-Identified as African Descent]),FALSE)="", "", VLOOKUP($A520,YES_Reading_FLA[],COLUMN(YES_Reading_FLA[Self-Identified as African Descent]),FALSE))),""))),"")</f>
        <v/>
      </c>
      <c r="L520" s="73" t="str" cm="1">
        <f t="array" ref="L520">IFERROR(
IF($J$2="ELA",
IF(VLOOKUP($A520, YES_Reading_ELA[], COLUMN(YES_Reading_ELA[Self-Identified as Indigenous]), FALSE)="", "",
VLOOKUP($A520,YES_Reading_ELA[], COLUMN(YES_Reading_ELA[Self-Identified as Indigenous]), FALSE)),
IF($J$2="FLA",
IF(VLOOKUP($A520, YES_Reading_FLA[], COLUMN(YES_Reading_FLA[Self-Identified as Indigenous]),FALSE)="","",
VLOOKUP($A520,YES_Reading_FLA[],COLUMN(YES_Reading_FLA[Self-Identified as Indigenous]),FALSE)),
IF($J$2="Combined",
IFERROR(
IF(VLOOKUP($A520, YES_Reading_ELA[], COLUMN(YES_Reading_ELA[Self-Identified as Indigenous]), FALSE)="", "",
VLOOKUP($A520,YES_Reading_ELA[],COLUMN(YES_Reading_ELA[Self-Identified as Indigenous]),FALSE)),
IF(VLOOKUP($A520, YES_Reading_FLA[], COLUMN(YES_Reading_FLA[Self-Identified as Indigenous]),FALSE)="", "", VLOOKUP($A520,YES_Reading_FLA[],COLUMN(YES_Reading_FLA[Self-Identified as Indigenous]),FALSE))),""))),"")</f>
        <v/>
      </c>
    </row>
    <row r="521" spans="1:12" ht="19.5" customHeight="1" x14ac:dyDescent="0.25">
      <c r="A521" s="217"/>
      <c r="B521" s="220" t="str">
        <f>IFERROR(VLOOKUP(A521,_xlfn.VSTACK(YES_Reading_ELA[],YES_Reading_FLA[]),2,FALSE),"")</f>
        <v/>
      </c>
      <c r="C521" s="203" t="str" cm="1">
        <f t="array" aca="1" ref="C521" ca="1">IFERROR(
IF($J$2="ELA",
IF(VLOOKUP($A521, YES_Reading_ELA[], COLUMN(IF(VLOOKUP($D$2, 'Reading Report Logic'!$A$2:$B$8, 2, FALSE)=1, YES_Reading_ELA[Reading Level June of Previous School Year], INDIRECT("YES_Reading_ELA[Instructional Reading Level - Per "&amp;(VLOOKUP($D$2,'Reading Report Logic'!$A$2:$B$8,2,FALSE)-1)&amp;"]"))), FALSE)="", "",
VLOOKUP($A521,YES_Reading_ELA[], COLUMN(IF(VLOOKUP($D$2,'Reading Report Logic'!$A$2:$B$8,2,FALSE)=1, YES_Reading_ELA[Reading Level June of Previous School Year],INDIRECT("YES_Reading_ELA[Instructional Reading Level - Per "&amp;(VLOOKUP($D$2,'Reading Report Logic'!$A$2:$B$8,2,FALSE)-1)&amp;"]"))), FALSE)),
IF($J$2="FLA",
IF(VLOOKUP($A521, YES_Reading_FLA[], COLUMN(IF(VLOOKUP($D$2,'Reading Report Logic'!$A$2:$B$8,2,FALSE)=1, YES_Reading_FLA[Reading Level June of Previous School Year],INDIRECT("YES_Reading_FLA[Instructional Reading Level - Per "&amp;(VLOOKUP($D$2,'Reading Report Logic'!$A$2:$B$8,2,FALSE)-1)&amp;"]"))),FALSE)="","",
VLOOKUP($A521,YES_Reading_FLA[], COLUMN(IF(VLOOKUP($D$2,'Reading Report Logic'!$A$2:$B$8,2,FALSE)=1, YES_Reading_FLA[Reading Level June of Previous School Year],INDIRECT("YES_Reading_FLA[Instructional Reading Level - Per "&amp;(VLOOKUP($D$2,'Reading Report Logic'!$A$2:$B$8,2,FALSE)-1)&amp;"]"))),FALSE)),
IF($J$2="Combined",
IFERROR(
IF(VLOOKUP($A521, YES_Reading_ELA[], COLUMN(IF(VLOOKUP($D$2,'Reading Report Logic'!$A$2:$B$8,2,FALSE)=1, YES_Reading_ELA[Reading Level June of Previous School Year],INDIRECT("YES_Reading_ELA[Instructional Reading Level - Per "&amp;(VLOOKUP($D$2,'Reading Report Logic'!$A$2:$B$8,2,FALSE)-1)&amp;"]"))), FALSE)="", "",
VLOOKUP($A521,YES_Reading_ELA[],COLUMN(IF(VLOOKUP($D$2,'Reading Report Logic'!$A$2:$B$8,2,FALSE)=1, YES_Reading_ELA[Reading Level June of Previous School Year],INDIRECT("YES_Reading_ELA[Instructional Reading Level - Per "&amp;(VLOOKUP($D$2,'Reading Report Logic'!$A$2:$B$8,2,FALSE)-1)&amp;"]"))),FALSE)),
IF(VLOOKUP($A521, YES_Reading_FLA[], COLUMN(IF(VLOOKUP($D$2,'Reading Report Logic'!$A$2:$B$8,2,FALSE)=1, YES_Reading_FLA[Reading Level June of Previous School Year],INDIRECT("YES_Reading_FLA[Instructional Reading Level - Per "&amp;(VLOOKUP($D$2,'Reading Report Logic'!$A$2:$B$8,2,FALSE)-1)&amp;"]"))),FALSE)="", "", VLOOKUP($A521,YES_Reading_FLA[],COLUMN(IF(VLOOKUP($D$2,'Reading Report Logic'!$A$2:$B$8,2,FALSE)=1, YES_Reading_FLA[Reading Level June of Previous School Year],INDIRECT("YES_Reading_FLA[Instructional Reading Level - Per "&amp;(VLOOKUP($D$2,'Reading Report Logic'!$A$2:$B$8,2,FALSE)-1)&amp;"]"))), FALSE))),""))),"")</f>
        <v/>
      </c>
      <c r="D521" s="204" t="str" cm="1">
        <f t="array" aca="1" ref="D521" ca="1">IFERROR(
IF($J$2="ELA",
IF(VLOOKUP($A521, YES_Reading_ELA[], COLUMN(INDIRECT("YES_Reading_ELA[Instructional Reading Level - Per "&amp;VLOOKUP($D$2, 'Reading Report Logic'!$A$2:$B$8, 2, FALSE)&amp;"]")), FALSE)="", "",
VLOOKUP($A521,YES_Reading_ELA[], COLUMN(INDIRECT("YES_Reading_ELA[Instructional Reading Level - Per "&amp;VLOOKUP($D$2,'Reading Report Logic'!$A$2:$B$8,2,FALSE)&amp;"]")), FALSE)),
IF($J$2="FLA",
IF(VLOOKUP($A521, YES_Reading_FLA[], COLUMN(INDIRECT("YES_Reading_FLA[Instructional Reading Level - Per "&amp;VLOOKUP($D$2,'Reading Report Logic'!$A$2:$B$8,2,FALSE)&amp;"]")),FALSE)="","",
VLOOKUP($A521,YES_Reading_FLA[],COLUMN(INDIRECT("YES_Reading_FLA[Instructional Reading Level - Per "&amp;VLOOKUP($D$2,'Reading Report Logic'!$A$2:$B$8,2,FALSE)&amp;"]")),FALSE)),
IF($J$2="Combined",
IFERROR(
IF(VLOOKUP($A521, YES_Reading_ELA[], COLUMN(INDIRECT("YES_Reading_ELA[Instructional Reading Level - Per "&amp;VLOOKUP($D$2, 'Reading Report Logic'!$A$2:$B$8,2,FALSE)&amp;"]")), FALSE)="", "",
VLOOKUP($A521,YES_Reading_ELA[],COLUMN(INDIRECT("YES_Reading_ELA[Instructional Reading Level - Per "&amp;VLOOKUP($D$2,'Reading Report Logic'!$A$2:$B$8,2,FALSE)&amp;"]")),FALSE)),
IF(VLOOKUP($A521, YES_Reading_FLA[], COLUMN(INDIRECT("YES_Reading_FLA[Instructional Reading Level - Per "&amp;VLOOKUP($D$2, 'Reading Report Logic'!$A$2:$B$8, 2, FALSE)&amp;"]")),FALSE)="", "", VLOOKUP($A521,YES_Reading_FLA[],COLUMN(INDIRECT("YES_Reading_FLA[Instructional Reading Level - Per "&amp;VLOOKUP($D$2, 'Reading Report Logic'!$A$2:$B$8, 2, FALSE)&amp;"]")),FALSE))),""))),"")</f>
        <v/>
      </c>
      <c r="E521" s="205" t="str" cm="1">
        <f t="array" aca="1" ref="E521" ca="1">IFERROR(
IF($J$2="ELA",
IF(VLOOKUP($A521, YES_Reading_ELA[], COLUMN(INDIRECT("YES_Reading_ELA[Min Expectation - Per "&amp;VLOOKUP($D$2, 'Reading Report Logic'!$A$2:$B$8, 2, FALSE)&amp;"]")), FALSE)="", "",
VLOOKUP($A521,YES_Reading_ELA[], COLUMN(INDIRECT("YES_Reading_ELA[Min Expectation - Per "&amp;VLOOKUP($D$2,'Reading Report Logic'!$A$2:$B$8,2,FALSE)&amp;"]")), FALSE)),
IF($J$2="FLA",
IF(VLOOKUP($A521, YES_Reading_FLA[], COLUMN(INDIRECT("YES_Reading_FLA[Min Expectation - Per "&amp;VLOOKUP($D$2,'Reading Report Logic'!$A$2:$B$8,2,FALSE)&amp;"]")),FALSE)="","",
VLOOKUP($A521,YES_Reading_FLA[],COLUMN(INDIRECT("YES_Reading_FLA[Min Expectation - Per "&amp;VLOOKUP($D$2,'Reading Report Logic'!$A$2:$B$8,2,FALSE)&amp;"]")),FALSE)),
IF($J$2="Combined",
IFERROR(
IF(VLOOKUP($A521, YES_Reading_ELA[], COLUMN(INDIRECT("YES_Reading_ELA[Min Expectation - Per "&amp;VLOOKUP($D$2, 'Reading Report Logic'!$A$2:$B$8,2,FALSE)&amp;"]")), FALSE)="", "",
VLOOKUP($A521,YES_Reading_ELA[],COLUMN(INDIRECT("YES_Reading_ELA[Min Expectation - Per "&amp;VLOOKUP($D$2,'Reading Report Logic'!$A$2:$B$8,2,FALSE)&amp;"]")),FALSE)),
IF(VLOOKUP($A521, YES_Reading_FLA[], COLUMN(INDIRECT("YES_Reading_FLA[Min Expectation - Per "&amp;VLOOKUP($D$2, 'Reading Report Logic'!$A$2:$B$8, 2, FALSE)&amp;"]")),FALSE)="", "", VLOOKUP($A521,YES_Reading_FLA[],COLUMN(INDIRECT("YES_Reading_FLA[Min Expectation - Per "&amp;VLOOKUP($D$2, 'Reading Report Logic'!$A$2:$B$8, 2, FALSE)&amp;"]")),FALSE))),""))),"")</f>
        <v/>
      </c>
      <c r="F521" s="205" t="str" cm="1">
        <f t="array" aca="1" ref="F521" ca="1">IFERROR(
IF($J$2="ELA",
IF(VLOOKUP($A521, YES_Reading_ELA[], COLUMN(INDIRECT("YES_Reading_ELA[Max Expectation - Per "&amp;VLOOKUP($D$2, 'Reading Report Logic'!$A$2:$B$8, 2, FALSE)&amp;"]")), FALSE)="", "",
VLOOKUP($A521,YES_Reading_ELA[], COLUMN(INDIRECT("YES_Reading_ELA[Max Expectation - Per "&amp;VLOOKUP($D$2,'Reading Report Logic'!$A$2:$B$8,2,FALSE)&amp;"]")), FALSE)),
IF($J$2="FLA",
IF(VLOOKUP($A521, YES_Reading_FLA[], COLUMN(INDIRECT("YES_Reading_FLA[Max Expectation - Per "&amp;VLOOKUP($D$2,'Reading Report Logic'!$A$2:$B$8,2,FALSE)&amp;"]")),FALSE)="","",
VLOOKUP($A521,YES_Reading_FLA[],COLUMN(INDIRECT("YES_Reading_FLA[Max Expectation - Per "&amp;VLOOKUP($D$2,'Reading Report Logic'!$A$2:$B$8,2,FALSE)&amp;"]")),FALSE)),
IF($J$2="Combined",
IFERROR(
IF(VLOOKUP($A521, YES_Reading_ELA[], COLUMN(INDIRECT("YES_Reading_ELA[Max Expectation - Per "&amp;VLOOKUP($D$2, 'Reading Report Logic'!$A$2:$B$8,2,FALSE)&amp;"]")), FALSE)="", "",
VLOOKUP($A521,YES_Reading_ELA[],COLUMN(INDIRECT("YES_Reading_ELA[Max Expectation - Per "&amp;VLOOKUP($D$2,'Reading Report Logic'!$A$2:$B$8,2,FALSE)&amp;"]")),FALSE)),
IF(VLOOKUP($A521, YES_Reading_FLA[], COLUMN(INDIRECT("YES_Reading_FLA[Max Expectation - Per "&amp;VLOOKUP($D$2, 'Reading Report Logic'!$A$2:$B$8, 2, FALSE)&amp;"]")),FALSE)="", "", VLOOKUP($A521,YES_Reading_FLA[],COLUMN(INDIRECT("YES_Reading_FLA[Max Expectation - Per "&amp;VLOOKUP($D$2, 'Reading Report Logic'!$A$2:$B$8, 2, FALSE)&amp;"]")),FALSE))),""))),"")</f>
        <v/>
      </c>
      <c r="G521" s="205" t="str" cm="1">
        <f t="array" aca="1" ref="G521" ca="1">IFERROR(
IF($J$2="ELA",
IF(VLOOKUP($A521, YES_Reading_ELA[], COLUMN(INDIRECT("YES_Reading_ELA[Difference - Per "&amp;VLOOKUP($D$2, 'Reading Report Logic'!$A$2:$B$8, 2, FALSE)&amp;"]")), FALSE)="", "",
VLOOKUP($A521,YES_Reading_ELA[], COLUMN(INDIRECT("YES_Reading_ELA[Difference - Per "&amp;VLOOKUP($D$2,'Reading Report Logic'!$A$2:$B$8,2,FALSE)&amp;"]")), FALSE)),
IF($J$2="FLA",
IF(VLOOKUP($A521, YES_Reading_FLA[], COLUMN(INDIRECT("YES_Reading_FLA[Difference - Per "&amp;VLOOKUP($D$2,'Reading Report Logic'!$A$2:$B$8,2,FALSE)&amp;"]")),FALSE)="","",
VLOOKUP($A521,YES_Reading_FLA[],COLUMN(INDIRECT("YES_Reading_FLA[Difference - Per "&amp;VLOOKUP($D$2,'Reading Report Logic'!$A$2:$B$8,2,FALSE)&amp;"]")),FALSE)),
IF($J$2="Combined",
IFERROR(
IF(VLOOKUP($A521, YES_Reading_ELA[], COLUMN(INDIRECT("YES_Reading_ELA[Difference - Per "&amp;VLOOKUP($D$2, 'Reading Report Logic'!$A$2:$B$8,2,FALSE)&amp;"]")), FALSE)="", "",
VLOOKUP($A521,YES_Reading_ELA[],COLUMN(INDIRECT("YES_Reading_ELA[Difference - Per "&amp;VLOOKUP($D$2,'Reading Report Logic'!$A$2:$B$8,2,FALSE)&amp;"]")),FALSE)),
IF(VLOOKUP($A521, YES_Reading_FLA[], COLUMN(INDIRECT("YES_Reading_FLA[Difference - Per "&amp;VLOOKUP($D$2, 'Reading Report Logic'!$A$2:$B$8, 2, FALSE)&amp;"]")),FALSE)="", "", VLOOKUP($A521,YES_Reading_FLA[],COLUMN(INDIRECT("YES_Reading_FLA[Difference - Per "&amp;VLOOKUP($D$2, 'Reading Report Logic'!$A$2:$B$8, 2, FALSE)&amp;"]")),FALSE))),""))),"")</f>
        <v/>
      </c>
      <c r="H521" s="206" t="str">
        <f ca="1">IFERROR(VLOOKUP('Teacher Reading Pull Sheets'!$D521,_xlfn.VSTACK('ELA Reading Logic'!$A$22:$B$48,'FLA Reading Logic'!$A$22:$B$53),2,FALSE)-VLOOKUP('Teacher Reading Pull Sheets'!$C521,_xlfn.VSTACK('ELA Reading Logic'!$A$22:$B$48,'FLA Reading Logic'!$A$22:$B$53),2,FALSE),"")</f>
        <v/>
      </c>
      <c r="I521" s="212"/>
      <c r="J521" s="206"/>
      <c r="K521" s="197" t="str" cm="1">
        <f t="array" ref="K521">IFERROR(
IF($J$2="ELA",
IF(VLOOKUP($A521, YES_Reading_ELA[], COLUMN(YES_Reading_ELA[Self-Identified as African Descent]), FALSE)="", "",
VLOOKUP($A521,YES_Reading_ELA[], COLUMN(YES_Reading_ELA[Self-Identified as African Descent]), FALSE)),
IF($J$2="FLA",
IF(VLOOKUP($A521, YES_Reading_FLA[], COLUMN(YES_Reading_FLA[Self-Identified as African Descent]),FALSE)="","",
VLOOKUP($A521,YES_Reading_FLA[],COLUMN(YES_Reading_FLA[Self-Identified as African Descent]),FALSE)),
IF($J$2="Combined",
IFERROR(
IF(VLOOKUP($A521, YES_Reading_ELA[], COLUMN(YES_Reading_ELA[Self-Identified as African Descent]), FALSE)="", "",
VLOOKUP($A521,YES_Reading_ELA[],COLUMN(YES_Reading_ELA[Self-Identified as African Descent]),FALSE)),
IF(VLOOKUP($A521, YES_Reading_FLA[], COLUMN(YES_Reading_FLA[Self-Identified as African Descent]),FALSE)="", "", VLOOKUP($A521,YES_Reading_FLA[],COLUMN(YES_Reading_FLA[Self-Identified as African Descent]),FALSE))),""))),"")</f>
        <v/>
      </c>
      <c r="L521" s="73" t="str" cm="1">
        <f t="array" ref="L521">IFERROR(
IF($J$2="ELA",
IF(VLOOKUP($A521, YES_Reading_ELA[], COLUMN(YES_Reading_ELA[Self-Identified as Indigenous]), FALSE)="", "",
VLOOKUP($A521,YES_Reading_ELA[], COLUMN(YES_Reading_ELA[Self-Identified as Indigenous]), FALSE)),
IF($J$2="FLA",
IF(VLOOKUP($A521, YES_Reading_FLA[], COLUMN(YES_Reading_FLA[Self-Identified as Indigenous]),FALSE)="","",
VLOOKUP($A521,YES_Reading_FLA[],COLUMN(YES_Reading_FLA[Self-Identified as Indigenous]),FALSE)),
IF($J$2="Combined",
IFERROR(
IF(VLOOKUP($A521, YES_Reading_ELA[], COLUMN(YES_Reading_ELA[Self-Identified as Indigenous]), FALSE)="", "",
VLOOKUP($A521,YES_Reading_ELA[],COLUMN(YES_Reading_ELA[Self-Identified as Indigenous]),FALSE)),
IF(VLOOKUP($A521, YES_Reading_FLA[], COLUMN(YES_Reading_FLA[Self-Identified as Indigenous]),FALSE)="", "", VLOOKUP($A521,YES_Reading_FLA[],COLUMN(YES_Reading_FLA[Self-Identified as Indigenous]),FALSE))),""))),"")</f>
        <v/>
      </c>
    </row>
    <row r="522" spans="1:12" ht="19.5" customHeight="1" x14ac:dyDescent="0.25">
      <c r="A522" s="217"/>
      <c r="B522" s="220" t="str">
        <f>IFERROR(VLOOKUP(A522,_xlfn.VSTACK(YES_Reading_ELA[],YES_Reading_FLA[]),2,FALSE),"")</f>
        <v/>
      </c>
      <c r="C522" s="203" t="str" cm="1">
        <f t="array" aca="1" ref="C522" ca="1">IFERROR(
IF($J$2="ELA",
IF(VLOOKUP($A522, YES_Reading_ELA[], COLUMN(IF(VLOOKUP($D$2, 'Reading Report Logic'!$A$2:$B$8, 2, FALSE)=1, YES_Reading_ELA[Reading Level June of Previous School Year], INDIRECT("YES_Reading_ELA[Instructional Reading Level - Per "&amp;(VLOOKUP($D$2,'Reading Report Logic'!$A$2:$B$8,2,FALSE)-1)&amp;"]"))), FALSE)="", "",
VLOOKUP($A522,YES_Reading_ELA[], COLUMN(IF(VLOOKUP($D$2,'Reading Report Logic'!$A$2:$B$8,2,FALSE)=1, YES_Reading_ELA[Reading Level June of Previous School Year],INDIRECT("YES_Reading_ELA[Instructional Reading Level - Per "&amp;(VLOOKUP($D$2,'Reading Report Logic'!$A$2:$B$8,2,FALSE)-1)&amp;"]"))), FALSE)),
IF($J$2="FLA",
IF(VLOOKUP($A522, YES_Reading_FLA[], COLUMN(IF(VLOOKUP($D$2,'Reading Report Logic'!$A$2:$B$8,2,FALSE)=1, YES_Reading_FLA[Reading Level June of Previous School Year],INDIRECT("YES_Reading_FLA[Instructional Reading Level - Per "&amp;(VLOOKUP($D$2,'Reading Report Logic'!$A$2:$B$8,2,FALSE)-1)&amp;"]"))),FALSE)="","",
VLOOKUP($A522,YES_Reading_FLA[], COLUMN(IF(VLOOKUP($D$2,'Reading Report Logic'!$A$2:$B$8,2,FALSE)=1, YES_Reading_FLA[Reading Level June of Previous School Year],INDIRECT("YES_Reading_FLA[Instructional Reading Level - Per "&amp;(VLOOKUP($D$2,'Reading Report Logic'!$A$2:$B$8,2,FALSE)-1)&amp;"]"))),FALSE)),
IF($J$2="Combined",
IFERROR(
IF(VLOOKUP($A522, YES_Reading_ELA[], COLUMN(IF(VLOOKUP($D$2,'Reading Report Logic'!$A$2:$B$8,2,FALSE)=1, YES_Reading_ELA[Reading Level June of Previous School Year],INDIRECT("YES_Reading_ELA[Instructional Reading Level - Per "&amp;(VLOOKUP($D$2,'Reading Report Logic'!$A$2:$B$8,2,FALSE)-1)&amp;"]"))), FALSE)="", "",
VLOOKUP($A522,YES_Reading_ELA[],COLUMN(IF(VLOOKUP($D$2,'Reading Report Logic'!$A$2:$B$8,2,FALSE)=1, YES_Reading_ELA[Reading Level June of Previous School Year],INDIRECT("YES_Reading_ELA[Instructional Reading Level - Per "&amp;(VLOOKUP($D$2,'Reading Report Logic'!$A$2:$B$8,2,FALSE)-1)&amp;"]"))),FALSE)),
IF(VLOOKUP($A522, YES_Reading_FLA[], COLUMN(IF(VLOOKUP($D$2,'Reading Report Logic'!$A$2:$B$8,2,FALSE)=1, YES_Reading_FLA[Reading Level June of Previous School Year],INDIRECT("YES_Reading_FLA[Instructional Reading Level - Per "&amp;(VLOOKUP($D$2,'Reading Report Logic'!$A$2:$B$8,2,FALSE)-1)&amp;"]"))),FALSE)="", "", VLOOKUP($A522,YES_Reading_FLA[],COLUMN(IF(VLOOKUP($D$2,'Reading Report Logic'!$A$2:$B$8,2,FALSE)=1, YES_Reading_FLA[Reading Level June of Previous School Year],INDIRECT("YES_Reading_FLA[Instructional Reading Level - Per "&amp;(VLOOKUP($D$2,'Reading Report Logic'!$A$2:$B$8,2,FALSE)-1)&amp;"]"))), FALSE))),""))),"")</f>
        <v/>
      </c>
      <c r="D522" s="204" t="str" cm="1">
        <f t="array" aca="1" ref="D522" ca="1">IFERROR(
IF($J$2="ELA",
IF(VLOOKUP($A522, YES_Reading_ELA[], COLUMN(INDIRECT("YES_Reading_ELA[Instructional Reading Level - Per "&amp;VLOOKUP($D$2, 'Reading Report Logic'!$A$2:$B$8, 2, FALSE)&amp;"]")), FALSE)="", "",
VLOOKUP($A522,YES_Reading_ELA[], COLUMN(INDIRECT("YES_Reading_ELA[Instructional Reading Level - Per "&amp;VLOOKUP($D$2,'Reading Report Logic'!$A$2:$B$8,2,FALSE)&amp;"]")), FALSE)),
IF($J$2="FLA",
IF(VLOOKUP($A522, YES_Reading_FLA[], COLUMN(INDIRECT("YES_Reading_FLA[Instructional Reading Level - Per "&amp;VLOOKUP($D$2,'Reading Report Logic'!$A$2:$B$8,2,FALSE)&amp;"]")),FALSE)="","",
VLOOKUP($A522,YES_Reading_FLA[],COLUMN(INDIRECT("YES_Reading_FLA[Instructional Reading Level - Per "&amp;VLOOKUP($D$2,'Reading Report Logic'!$A$2:$B$8,2,FALSE)&amp;"]")),FALSE)),
IF($J$2="Combined",
IFERROR(
IF(VLOOKUP($A522, YES_Reading_ELA[], COLUMN(INDIRECT("YES_Reading_ELA[Instructional Reading Level - Per "&amp;VLOOKUP($D$2, 'Reading Report Logic'!$A$2:$B$8,2,FALSE)&amp;"]")), FALSE)="", "",
VLOOKUP($A522,YES_Reading_ELA[],COLUMN(INDIRECT("YES_Reading_ELA[Instructional Reading Level - Per "&amp;VLOOKUP($D$2,'Reading Report Logic'!$A$2:$B$8,2,FALSE)&amp;"]")),FALSE)),
IF(VLOOKUP($A522, YES_Reading_FLA[], COLUMN(INDIRECT("YES_Reading_FLA[Instructional Reading Level - Per "&amp;VLOOKUP($D$2, 'Reading Report Logic'!$A$2:$B$8, 2, FALSE)&amp;"]")),FALSE)="", "", VLOOKUP($A522,YES_Reading_FLA[],COLUMN(INDIRECT("YES_Reading_FLA[Instructional Reading Level - Per "&amp;VLOOKUP($D$2, 'Reading Report Logic'!$A$2:$B$8, 2, FALSE)&amp;"]")),FALSE))),""))),"")</f>
        <v/>
      </c>
      <c r="E522" s="205" t="str" cm="1">
        <f t="array" aca="1" ref="E522" ca="1">IFERROR(
IF($J$2="ELA",
IF(VLOOKUP($A522, YES_Reading_ELA[], COLUMN(INDIRECT("YES_Reading_ELA[Min Expectation - Per "&amp;VLOOKUP($D$2, 'Reading Report Logic'!$A$2:$B$8, 2, FALSE)&amp;"]")), FALSE)="", "",
VLOOKUP($A522,YES_Reading_ELA[], COLUMN(INDIRECT("YES_Reading_ELA[Min Expectation - Per "&amp;VLOOKUP($D$2,'Reading Report Logic'!$A$2:$B$8,2,FALSE)&amp;"]")), FALSE)),
IF($J$2="FLA",
IF(VLOOKUP($A522, YES_Reading_FLA[], COLUMN(INDIRECT("YES_Reading_FLA[Min Expectation - Per "&amp;VLOOKUP($D$2,'Reading Report Logic'!$A$2:$B$8,2,FALSE)&amp;"]")),FALSE)="","",
VLOOKUP($A522,YES_Reading_FLA[],COLUMN(INDIRECT("YES_Reading_FLA[Min Expectation - Per "&amp;VLOOKUP($D$2,'Reading Report Logic'!$A$2:$B$8,2,FALSE)&amp;"]")),FALSE)),
IF($J$2="Combined",
IFERROR(
IF(VLOOKUP($A522, YES_Reading_ELA[], COLUMN(INDIRECT("YES_Reading_ELA[Min Expectation - Per "&amp;VLOOKUP($D$2, 'Reading Report Logic'!$A$2:$B$8,2,FALSE)&amp;"]")), FALSE)="", "",
VLOOKUP($A522,YES_Reading_ELA[],COLUMN(INDIRECT("YES_Reading_ELA[Min Expectation - Per "&amp;VLOOKUP($D$2,'Reading Report Logic'!$A$2:$B$8,2,FALSE)&amp;"]")),FALSE)),
IF(VLOOKUP($A522, YES_Reading_FLA[], COLUMN(INDIRECT("YES_Reading_FLA[Min Expectation - Per "&amp;VLOOKUP($D$2, 'Reading Report Logic'!$A$2:$B$8, 2, FALSE)&amp;"]")),FALSE)="", "", VLOOKUP($A522,YES_Reading_FLA[],COLUMN(INDIRECT("YES_Reading_FLA[Min Expectation - Per "&amp;VLOOKUP($D$2, 'Reading Report Logic'!$A$2:$B$8, 2, FALSE)&amp;"]")),FALSE))),""))),"")</f>
        <v/>
      </c>
      <c r="F522" s="205" t="str" cm="1">
        <f t="array" aca="1" ref="F522" ca="1">IFERROR(
IF($J$2="ELA",
IF(VLOOKUP($A522, YES_Reading_ELA[], COLUMN(INDIRECT("YES_Reading_ELA[Max Expectation - Per "&amp;VLOOKUP($D$2, 'Reading Report Logic'!$A$2:$B$8, 2, FALSE)&amp;"]")), FALSE)="", "",
VLOOKUP($A522,YES_Reading_ELA[], COLUMN(INDIRECT("YES_Reading_ELA[Max Expectation - Per "&amp;VLOOKUP($D$2,'Reading Report Logic'!$A$2:$B$8,2,FALSE)&amp;"]")), FALSE)),
IF($J$2="FLA",
IF(VLOOKUP($A522, YES_Reading_FLA[], COLUMN(INDIRECT("YES_Reading_FLA[Max Expectation - Per "&amp;VLOOKUP($D$2,'Reading Report Logic'!$A$2:$B$8,2,FALSE)&amp;"]")),FALSE)="","",
VLOOKUP($A522,YES_Reading_FLA[],COLUMN(INDIRECT("YES_Reading_FLA[Max Expectation - Per "&amp;VLOOKUP($D$2,'Reading Report Logic'!$A$2:$B$8,2,FALSE)&amp;"]")),FALSE)),
IF($J$2="Combined",
IFERROR(
IF(VLOOKUP($A522, YES_Reading_ELA[], COLUMN(INDIRECT("YES_Reading_ELA[Max Expectation - Per "&amp;VLOOKUP($D$2, 'Reading Report Logic'!$A$2:$B$8,2,FALSE)&amp;"]")), FALSE)="", "",
VLOOKUP($A522,YES_Reading_ELA[],COLUMN(INDIRECT("YES_Reading_ELA[Max Expectation - Per "&amp;VLOOKUP($D$2,'Reading Report Logic'!$A$2:$B$8,2,FALSE)&amp;"]")),FALSE)),
IF(VLOOKUP($A522, YES_Reading_FLA[], COLUMN(INDIRECT("YES_Reading_FLA[Max Expectation - Per "&amp;VLOOKUP($D$2, 'Reading Report Logic'!$A$2:$B$8, 2, FALSE)&amp;"]")),FALSE)="", "", VLOOKUP($A522,YES_Reading_FLA[],COLUMN(INDIRECT("YES_Reading_FLA[Max Expectation - Per "&amp;VLOOKUP($D$2, 'Reading Report Logic'!$A$2:$B$8, 2, FALSE)&amp;"]")),FALSE))),""))),"")</f>
        <v/>
      </c>
      <c r="G522" s="205" t="str" cm="1">
        <f t="array" aca="1" ref="G522" ca="1">IFERROR(
IF($J$2="ELA",
IF(VLOOKUP($A522, YES_Reading_ELA[], COLUMN(INDIRECT("YES_Reading_ELA[Difference - Per "&amp;VLOOKUP($D$2, 'Reading Report Logic'!$A$2:$B$8, 2, FALSE)&amp;"]")), FALSE)="", "",
VLOOKUP($A522,YES_Reading_ELA[], COLUMN(INDIRECT("YES_Reading_ELA[Difference - Per "&amp;VLOOKUP($D$2,'Reading Report Logic'!$A$2:$B$8,2,FALSE)&amp;"]")), FALSE)),
IF($J$2="FLA",
IF(VLOOKUP($A522, YES_Reading_FLA[], COLUMN(INDIRECT("YES_Reading_FLA[Difference - Per "&amp;VLOOKUP($D$2,'Reading Report Logic'!$A$2:$B$8,2,FALSE)&amp;"]")),FALSE)="","",
VLOOKUP($A522,YES_Reading_FLA[],COLUMN(INDIRECT("YES_Reading_FLA[Difference - Per "&amp;VLOOKUP($D$2,'Reading Report Logic'!$A$2:$B$8,2,FALSE)&amp;"]")),FALSE)),
IF($J$2="Combined",
IFERROR(
IF(VLOOKUP($A522, YES_Reading_ELA[], COLUMN(INDIRECT("YES_Reading_ELA[Difference - Per "&amp;VLOOKUP($D$2, 'Reading Report Logic'!$A$2:$B$8,2,FALSE)&amp;"]")), FALSE)="", "",
VLOOKUP($A522,YES_Reading_ELA[],COLUMN(INDIRECT("YES_Reading_ELA[Difference - Per "&amp;VLOOKUP($D$2,'Reading Report Logic'!$A$2:$B$8,2,FALSE)&amp;"]")),FALSE)),
IF(VLOOKUP($A522, YES_Reading_FLA[], COLUMN(INDIRECT("YES_Reading_FLA[Difference - Per "&amp;VLOOKUP($D$2, 'Reading Report Logic'!$A$2:$B$8, 2, FALSE)&amp;"]")),FALSE)="", "", VLOOKUP($A522,YES_Reading_FLA[],COLUMN(INDIRECT("YES_Reading_FLA[Difference - Per "&amp;VLOOKUP($D$2, 'Reading Report Logic'!$A$2:$B$8, 2, FALSE)&amp;"]")),FALSE))),""))),"")</f>
        <v/>
      </c>
      <c r="H522" s="206" t="str">
        <f ca="1">IFERROR(VLOOKUP('Teacher Reading Pull Sheets'!$D522,_xlfn.VSTACK('ELA Reading Logic'!$A$22:$B$48,'FLA Reading Logic'!$A$22:$B$53),2,FALSE)-VLOOKUP('Teacher Reading Pull Sheets'!$C522,_xlfn.VSTACK('ELA Reading Logic'!$A$22:$B$48,'FLA Reading Logic'!$A$22:$B$53),2,FALSE),"")</f>
        <v/>
      </c>
      <c r="I522" s="212"/>
      <c r="J522" s="206"/>
      <c r="K522" s="197" t="str" cm="1">
        <f t="array" ref="K522">IFERROR(
IF($J$2="ELA",
IF(VLOOKUP($A522, YES_Reading_ELA[], COLUMN(YES_Reading_ELA[Self-Identified as African Descent]), FALSE)="", "",
VLOOKUP($A522,YES_Reading_ELA[], COLUMN(YES_Reading_ELA[Self-Identified as African Descent]), FALSE)),
IF($J$2="FLA",
IF(VLOOKUP($A522, YES_Reading_FLA[], COLUMN(YES_Reading_FLA[Self-Identified as African Descent]),FALSE)="","",
VLOOKUP($A522,YES_Reading_FLA[],COLUMN(YES_Reading_FLA[Self-Identified as African Descent]),FALSE)),
IF($J$2="Combined",
IFERROR(
IF(VLOOKUP($A522, YES_Reading_ELA[], COLUMN(YES_Reading_ELA[Self-Identified as African Descent]), FALSE)="", "",
VLOOKUP($A522,YES_Reading_ELA[],COLUMN(YES_Reading_ELA[Self-Identified as African Descent]),FALSE)),
IF(VLOOKUP($A522, YES_Reading_FLA[], COLUMN(YES_Reading_FLA[Self-Identified as African Descent]),FALSE)="", "", VLOOKUP($A522,YES_Reading_FLA[],COLUMN(YES_Reading_FLA[Self-Identified as African Descent]),FALSE))),""))),"")</f>
        <v/>
      </c>
      <c r="L522" s="73" t="str" cm="1">
        <f t="array" ref="L522">IFERROR(
IF($J$2="ELA",
IF(VLOOKUP($A522, YES_Reading_ELA[], COLUMN(YES_Reading_ELA[Self-Identified as Indigenous]), FALSE)="", "",
VLOOKUP($A522,YES_Reading_ELA[], COLUMN(YES_Reading_ELA[Self-Identified as Indigenous]), FALSE)),
IF($J$2="FLA",
IF(VLOOKUP($A522, YES_Reading_FLA[], COLUMN(YES_Reading_FLA[Self-Identified as Indigenous]),FALSE)="","",
VLOOKUP($A522,YES_Reading_FLA[],COLUMN(YES_Reading_FLA[Self-Identified as Indigenous]),FALSE)),
IF($J$2="Combined",
IFERROR(
IF(VLOOKUP($A522, YES_Reading_ELA[], COLUMN(YES_Reading_ELA[Self-Identified as Indigenous]), FALSE)="", "",
VLOOKUP($A522,YES_Reading_ELA[],COLUMN(YES_Reading_ELA[Self-Identified as Indigenous]),FALSE)),
IF(VLOOKUP($A522, YES_Reading_FLA[], COLUMN(YES_Reading_FLA[Self-Identified as Indigenous]),FALSE)="", "", VLOOKUP($A522,YES_Reading_FLA[],COLUMN(YES_Reading_FLA[Self-Identified as Indigenous]),FALSE))),""))),"")</f>
        <v/>
      </c>
    </row>
    <row r="523" spans="1:12" ht="19.5" customHeight="1" x14ac:dyDescent="0.25">
      <c r="A523" s="217"/>
      <c r="B523" s="220" t="str">
        <f>IFERROR(VLOOKUP(A523,_xlfn.VSTACK(YES_Reading_ELA[],YES_Reading_FLA[]),2,FALSE),"")</f>
        <v/>
      </c>
      <c r="C523" s="203" t="str" cm="1">
        <f t="array" aca="1" ref="C523" ca="1">IFERROR(
IF($J$2="ELA",
IF(VLOOKUP($A523, YES_Reading_ELA[], COLUMN(IF(VLOOKUP($D$2, 'Reading Report Logic'!$A$2:$B$8, 2, FALSE)=1, YES_Reading_ELA[Reading Level June of Previous School Year], INDIRECT("YES_Reading_ELA[Instructional Reading Level - Per "&amp;(VLOOKUP($D$2,'Reading Report Logic'!$A$2:$B$8,2,FALSE)-1)&amp;"]"))), FALSE)="", "",
VLOOKUP($A523,YES_Reading_ELA[], COLUMN(IF(VLOOKUP($D$2,'Reading Report Logic'!$A$2:$B$8,2,FALSE)=1, YES_Reading_ELA[Reading Level June of Previous School Year],INDIRECT("YES_Reading_ELA[Instructional Reading Level - Per "&amp;(VLOOKUP($D$2,'Reading Report Logic'!$A$2:$B$8,2,FALSE)-1)&amp;"]"))), FALSE)),
IF($J$2="FLA",
IF(VLOOKUP($A523, YES_Reading_FLA[], COLUMN(IF(VLOOKUP($D$2,'Reading Report Logic'!$A$2:$B$8,2,FALSE)=1, YES_Reading_FLA[Reading Level June of Previous School Year],INDIRECT("YES_Reading_FLA[Instructional Reading Level - Per "&amp;(VLOOKUP($D$2,'Reading Report Logic'!$A$2:$B$8,2,FALSE)-1)&amp;"]"))),FALSE)="","",
VLOOKUP($A523,YES_Reading_FLA[], COLUMN(IF(VLOOKUP($D$2,'Reading Report Logic'!$A$2:$B$8,2,FALSE)=1, YES_Reading_FLA[Reading Level June of Previous School Year],INDIRECT("YES_Reading_FLA[Instructional Reading Level - Per "&amp;(VLOOKUP($D$2,'Reading Report Logic'!$A$2:$B$8,2,FALSE)-1)&amp;"]"))),FALSE)),
IF($J$2="Combined",
IFERROR(
IF(VLOOKUP($A523, YES_Reading_ELA[], COLUMN(IF(VLOOKUP($D$2,'Reading Report Logic'!$A$2:$B$8,2,FALSE)=1, YES_Reading_ELA[Reading Level June of Previous School Year],INDIRECT("YES_Reading_ELA[Instructional Reading Level - Per "&amp;(VLOOKUP($D$2,'Reading Report Logic'!$A$2:$B$8,2,FALSE)-1)&amp;"]"))), FALSE)="", "",
VLOOKUP($A523,YES_Reading_ELA[],COLUMN(IF(VLOOKUP($D$2,'Reading Report Logic'!$A$2:$B$8,2,FALSE)=1, YES_Reading_ELA[Reading Level June of Previous School Year],INDIRECT("YES_Reading_ELA[Instructional Reading Level - Per "&amp;(VLOOKUP($D$2,'Reading Report Logic'!$A$2:$B$8,2,FALSE)-1)&amp;"]"))),FALSE)),
IF(VLOOKUP($A523, YES_Reading_FLA[], COLUMN(IF(VLOOKUP($D$2,'Reading Report Logic'!$A$2:$B$8,2,FALSE)=1, YES_Reading_FLA[Reading Level June of Previous School Year],INDIRECT("YES_Reading_FLA[Instructional Reading Level - Per "&amp;(VLOOKUP($D$2,'Reading Report Logic'!$A$2:$B$8,2,FALSE)-1)&amp;"]"))),FALSE)="", "", VLOOKUP($A523,YES_Reading_FLA[],COLUMN(IF(VLOOKUP($D$2,'Reading Report Logic'!$A$2:$B$8,2,FALSE)=1, YES_Reading_FLA[Reading Level June of Previous School Year],INDIRECT("YES_Reading_FLA[Instructional Reading Level - Per "&amp;(VLOOKUP($D$2,'Reading Report Logic'!$A$2:$B$8,2,FALSE)-1)&amp;"]"))), FALSE))),""))),"")</f>
        <v/>
      </c>
      <c r="D523" s="204" t="str" cm="1">
        <f t="array" aca="1" ref="D523" ca="1">IFERROR(
IF($J$2="ELA",
IF(VLOOKUP($A523, YES_Reading_ELA[], COLUMN(INDIRECT("YES_Reading_ELA[Instructional Reading Level - Per "&amp;VLOOKUP($D$2, 'Reading Report Logic'!$A$2:$B$8, 2, FALSE)&amp;"]")), FALSE)="", "",
VLOOKUP($A523,YES_Reading_ELA[], COLUMN(INDIRECT("YES_Reading_ELA[Instructional Reading Level - Per "&amp;VLOOKUP($D$2,'Reading Report Logic'!$A$2:$B$8,2,FALSE)&amp;"]")), FALSE)),
IF($J$2="FLA",
IF(VLOOKUP($A523, YES_Reading_FLA[], COLUMN(INDIRECT("YES_Reading_FLA[Instructional Reading Level - Per "&amp;VLOOKUP($D$2,'Reading Report Logic'!$A$2:$B$8,2,FALSE)&amp;"]")),FALSE)="","",
VLOOKUP($A523,YES_Reading_FLA[],COLUMN(INDIRECT("YES_Reading_FLA[Instructional Reading Level - Per "&amp;VLOOKUP($D$2,'Reading Report Logic'!$A$2:$B$8,2,FALSE)&amp;"]")),FALSE)),
IF($J$2="Combined",
IFERROR(
IF(VLOOKUP($A523, YES_Reading_ELA[], COLUMN(INDIRECT("YES_Reading_ELA[Instructional Reading Level - Per "&amp;VLOOKUP($D$2, 'Reading Report Logic'!$A$2:$B$8,2,FALSE)&amp;"]")), FALSE)="", "",
VLOOKUP($A523,YES_Reading_ELA[],COLUMN(INDIRECT("YES_Reading_ELA[Instructional Reading Level - Per "&amp;VLOOKUP($D$2,'Reading Report Logic'!$A$2:$B$8,2,FALSE)&amp;"]")),FALSE)),
IF(VLOOKUP($A523, YES_Reading_FLA[], COLUMN(INDIRECT("YES_Reading_FLA[Instructional Reading Level - Per "&amp;VLOOKUP($D$2, 'Reading Report Logic'!$A$2:$B$8, 2, FALSE)&amp;"]")),FALSE)="", "", VLOOKUP($A523,YES_Reading_FLA[],COLUMN(INDIRECT("YES_Reading_FLA[Instructional Reading Level - Per "&amp;VLOOKUP($D$2, 'Reading Report Logic'!$A$2:$B$8, 2, FALSE)&amp;"]")),FALSE))),""))),"")</f>
        <v/>
      </c>
      <c r="E523" s="205" t="str" cm="1">
        <f t="array" aca="1" ref="E523" ca="1">IFERROR(
IF($J$2="ELA",
IF(VLOOKUP($A523, YES_Reading_ELA[], COLUMN(INDIRECT("YES_Reading_ELA[Min Expectation - Per "&amp;VLOOKUP($D$2, 'Reading Report Logic'!$A$2:$B$8, 2, FALSE)&amp;"]")), FALSE)="", "",
VLOOKUP($A523,YES_Reading_ELA[], COLUMN(INDIRECT("YES_Reading_ELA[Min Expectation - Per "&amp;VLOOKUP($D$2,'Reading Report Logic'!$A$2:$B$8,2,FALSE)&amp;"]")), FALSE)),
IF($J$2="FLA",
IF(VLOOKUP($A523, YES_Reading_FLA[], COLUMN(INDIRECT("YES_Reading_FLA[Min Expectation - Per "&amp;VLOOKUP($D$2,'Reading Report Logic'!$A$2:$B$8,2,FALSE)&amp;"]")),FALSE)="","",
VLOOKUP($A523,YES_Reading_FLA[],COLUMN(INDIRECT("YES_Reading_FLA[Min Expectation - Per "&amp;VLOOKUP($D$2,'Reading Report Logic'!$A$2:$B$8,2,FALSE)&amp;"]")),FALSE)),
IF($J$2="Combined",
IFERROR(
IF(VLOOKUP($A523, YES_Reading_ELA[], COLUMN(INDIRECT("YES_Reading_ELA[Min Expectation - Per "&amp;VLOOKUP($D$2, 'Reading Report Logic'!$A$2:$B$8,2,FALSE)&amp;"]")), FALSE)="", "",
VLOOKUP($A523,YES_Reading_ELA[],COLUMN(INDIRECT("YES_Reading_ELA[Min Expectation - Per "&amp;VLOOKUP($D$2,'Reading Report Logic'!$A$2:$B$8,2,FALSE)&amp;"]")),FALSE)),
IF(VLOOKUP($A523, YES_Reading_FLA[], COLUMN(INDIRECT("YES_Reading_FLA[Min Expectation - Per "&amp;VLOOKUP($D$2, 'Reading Report Logic'!$A$2:$B$8, 2, FALSE)&amp;"]")),FALSE)="", "", VLOOKUP($A523,YES_Reading_FLA[],COLUMN(INDIRECT("YES_Reading_FLA[Min Expectation - Per "&amp;VLOOKUP($D$2, 'Reading Report Logic'!$A$2:$B$8, 2, FALSE)&amp;"]")),FALSE))),""))),"")</f>
        <v/>
      </c>
      <c r="F523" s="205" t="str" cm="1">
        <f t="array" aca="1" ref="F523" ca="1">IFERROR(
IF($J$2="ELA",
IF(VLOOKUP($A523, YES_Reading_ELA[], COLUMN(INDIRECT("YES_Reading_ELA[Max Expectation - Per "&amp;VLOOKUP($D$2, 'Reading Report Logic'!$A$2:$B$8, 2, FALSE)&amp;"]")), FALSE)="", "",
VLOOKUP($A523,YES_Reading_ELA[], COLUMN(INDIRECT("YES_Reading_ELA[Max Expectation - Per "&amp;VLOOKUP($D$2,'Reading Report Logic'!$A$2:$B$8,2,FALSE)&amp;"]")), FALSE)),
IF($J$2="FLA",
IF(VLOOKUP($A523, YES_Reading_FLA[], COLUMN(INDIRECT("YES_Reading_FLA[Max Expectation - Per "&amp;VLOOKUP($D$2,'Reading Report Logic'!$A$2:$B$8,2,FALSE)&amp;"]")),FALSE)="","",
VLOOKUP($A523,YES_Reading_FLA[],COLUMN(INDIRECT("YES_Reading_FLA[Max Expectation - Per "&amp;VLOOKUP($D$2,'Reading Report Logic'!$A$2:$B$8,2,FALSE)&amp;"]")),FALSE)),
IF($J$2="Combined",
IFERROR(
IF(VLOOKUP($A523, YES_Reading_ELA[], COLUMN(INDIRECT("YES_Reading_ELA[Max Expectation - Per "&amp;VLOOKUP($D$2, 'Reading Report Logic'!$A$2:$B$8,2,FALSE)&amp;"]")), FALSE)="", "",
VLOOKUP($A523,YES_Reading_ELA[],COLUMN(INDIRECT("YES_Reading_ELA[Max Expectation - Per "&amp;VLOOKUP($D$2,'Reading Report Logic'!$A$2:$B$8,2,FALSE)&amp;"]")),FALSE)),
IF(VLOOKUP($A523, YES_Reading_FLA[], COLUMN(INDIRECT("YES_Reading_FLA[Max Expectation - Per "&amp;VLOOKUP($D$2, 'Reading Report Logic'!$A$2:$B$8, 2, FALSE)&amp;"]")),FALSE)="", "", VLOOKUP($A523,YES_Reading_FLA[],COLUMN(INDIRECT("YES_Reading_FLA[Max Expectation - Per "&amp;VLOOKUP($D$2, 'Reading Report Logic'!$A$2:$B$8, 2, FALSE)&amp;"]")),FALSE))),""))),"")</f>
        <v/>
      </c>
      <c r="G523" s="205" t="str" cm="1">
        <f t="array" aca="1" ref="G523" ca="1">IFERROR(
IF($J$2="ELA",
IF(VLOOKUP($A523, YES_Reading_ELA[], COLUMN(INDIRECT("YES_Reading_ELA[Difference - Per "&amp;VLOOKUP($D$2, 'Reading Report Logic'!$A$2:$B$8, 2, FALSE)&amp;"]")), FALSE)="", "",
VLOOKUP($A523,YES_Reading_ELA[], COLUMN(INDIRECT("YES_Reading_ELA[Difference - Per "&amp;VLOOKUP($D$2,'Reading Report Logic'!$A$2:$B$8,2,FALSE)&amp;"]")), FALSE)),
IF($J$2="FLA",
IF(VLOOKUP($A523, YES_Reading_FLA[], COLUMN(INDIRECT("YES_Reading_FLA[Difference - Per "&amp;VLOOKUP($D$2,'Reading Report Logic'!$A$2:$B$8,2,FALSE)&amp;"]")),FALSE)="","",
VLOOKUP($A523,YES_Reading_FLA[],COLUMN(INDIRECT("YES_Reading_FLA[Difference - Per "&amp;VLOOKUP($D$2,'Reading Report Logic'!$A$2:$B$8,2,FALSE)&amp;"]")),FALSE)),
IF($J$2="Combined",
IFERROR(
IF(VLOOKUP($A523, YES_Reading_ELA[], COLUMN(INDIRECT("YES_Reading_ELA[Difference - Per "&amp;VLOOKUP($D$2, 'Reading Report Logic'!$A$2:$B$8,2,FALSE)&amp;"]")), FALSE)="", "",
VLOOKUP($A523,YES_Reading_ELA[],COLUMN(INDIRECT("YES_Reading_ELA[Difference - Per "&amp;VLOOKUP($D$2,'Reading Report Logic'!$A$2:$B$8,2,FALSE)&amp;"]")),FALSE)),
IF(VLOOKUP($A523, YES_Reading_FLA[], COLUMN(INDIRECT("YES_Reading_FLA[Difference - Per "&amp;VLOOKUP($D$2, 'Reading Report Logic'!$A$2:$B$8, 2, FALSE)&amp;"]")),FALSE)="", "", VLOOKUP($A523,YES_Reading_FLA[],COLUMN(INDIRECT("YES_Reading_FLA[Difference - Per "&amp;VLOOKUP($D$2, 'Reading Report Logic'!$A$2:$B$8, 2, FALSE)&amp;"]")),FALSE))),""))),"")</f>
        <v/>
      </c>
      <c r="H523" s="206" t="str">
        <f ca="1">IFERROR(VLOOKUP('Teacher Reading Pull Sheets'!$D523,_xlfn.VSTACK('ELA Reading Logic'!$A$22:$B$48,'FLA Reading Logic'!$A$22:$B$53),2,FALSE)-VLOOKUP('Teacher Reading Pull Sheets'!$C523,_xlfn.VSTACK('ELA Reading Logic'!$A$22:$B$48,'FLA Reading Logic'!$A$22:$B$53),2,FALSE),"")</f>
        <v/>
      </c>
      <c r="I523" s="212"/>
      <c r="J523" s="206"/>
      <c r="K523" s="197" t="str" cm="1">
        <f t="array" ref="K523">IFERROR(
IF($J$2="ELA",
IF(VLOOKUP($A523, YES_Reading_ELA[], COLUMN(YES_Reading_ELA[Self-Identified as African Descent]), FALSE)="", "",
VLOOKUP($A523,YES_Reading_ELA[], COLUMN(YES_Reading_ELA[Self-Identified as African Descent]), FALSE)),
IF($J$2="FLA",
IF(VLOOKUP($A523, YES_Reading_FLA[], COLUMN(YES_Reading_FLA[Self-Identified as African Descent]),FALSE)="","",
VLOOKUP($A523,YES_Reading_FLA[],COLUMN(YES_Reading_FLA[Self-Identified as African Descent]),FALSE)),
IF($J$2="Combined",
IFERROR(
IF(VLOOKUP($A523, YES_Reading_ELA[], COLUMN(YES_Reading_ELA[Self-Identified as African Descent]), FALSE)="", "",
VLOOKUP($A523,YES_Reading_ELA[],COLUMN(YES_Reading_ELA[Self-Identified as African Descent]),FALSE)),
IF(VLOOKUP($A523, YES_Reading_FLA[], COLUMN(YES_Reading_FLA[Self-Identified as African Descent]),FALSE)="", "", VLOOKUP($A523,YES_Reading_FLA[],COLUMN(YES_Reading_FLA[Self-Identified as African Descent]),FALSE))),""))),"")</f>
        <v/>
      </c>
      <c r="L523" s="73" t="str" cm="1">
        <f t="array" ref="L523">IFERROR(
IF($J$2="ELA",
IF(VLOOKUP($A523, YES_Reading_ELA[], COLUMN(YES_Reading_ELA[Self-Identified as Indigenous]), FALSE)="", "",
VLOOKUP($A523,YES_Reading_ELA[], COLUMN(YES_Reading_ELA[Self-Identified as Indigenous]), FALSE)),
IF($J$2="FLA",
IF(VLOOKUP($A523, YES_Reading_FLA[], COLUMN(YES_Reading_FLA[Self-Identified as Indigenous]),FALSE)="","",
VLOOKUP($A523,YES_Reading_FLA[],COLUMN(YES_Reading_FLA[Self-Identified as Indigenous]),FALSE)),
IF($J$2="Combined",
IFERROR(
IF(VLOOKUP($A523, YES_Reading_ELA[], COLUMN(YES_Reading_ELA[Self-Identified as Indigenous]), FALSE)="", "",
VLOOKUP($A523,YES_Reading_ELA[],COLUMN(YES_Reading_ELA[Self-Identified as Indigenous]),FALSE)),
IF(VLOOKUP($A523, YES_Reading_FLA[], COLUMN(YES_Reading_FLA[Self-Identified as Indigenous]),FALSE)="", "", VLOOKUP($A523,YES_Reading_FLA[],COLUMN(YES_Reading_FLA[Self-Identified as Indigenous]),FALSE))),""))),"")</f>
        <v/>
      </c>
    </row>
    <row r="524" spans="1:12" ht="19.5" customHeight="1" x14ac:dyDescent="0.25">
      <c r="A524" s="217"/>
      <c r="B524" s="220" t="str">
        <f>IFERROR(VLOOKUP(A524,_xlfn.VSTACK(YES_Reading_ELA[],YES_Reading_FLA[]),2,FALSE),"")</f>
        <v/>
      </c>
      <c r="C524" s="203" t="str" cm="1">
        <f t="array" aca="1" ref="C524" ca="1">IFERROR(
IF($J$2="ELA",
IF(VLOOKUP($A524, YES_Reading_ELA[], COLUMN(IF(VLOOKUP($D$2, 'Reading Report Logic'!$A$2:$B$8, 2, FALSE)=1, YES_Reading_ELA[Reading Level June of Previous School Year], INDIRECT("YES_Reading_ELA[Instructional Reading Level - Per "&amp;(VLOOKUP($D$2,'Reading Report Logic'!$A$2:$B$8,2,FALSE)-1)&amp;"]"))), FALSE)="", "",
VLOOKUP($A524,YES_Reading_ELA[], COLUMN(IF(VLOOKUP($D$2,'Reading Report Logic'!$A$2:$B$8,2,FALSE)=1, YES_Reading_ELA[Reading Level June of Previous School Year],INDIRECT("YES_Reading_ELA[Instructional Reading Level - Per "&amp;(VLOOKUP($D$2,'Reading Report Logic'!$A$2:$B$8,2,FALSE)-1)&amp;"]"))), FALSE)),
IF($J$2="FLA",
IF(VLOOKUP($A524, YES_Reading_FLA[], COLUMN(IF(VLOOKUP($D$2,'Reading Report Logic'!$A$2:$B$8,2,FALSE)=1, YES_Reading_FLA[Reading Level June of Previous School Year],INDIRECT("YES_Reading_FLA[Instructional Reading Level - Per "&amp;(VLOOKUP($D$2,'Reading Report Logic'!$A$2:$B$8,2,FALSE)-1)&amp;"]"))),FALSE)="","",
VLOOKUP($A524,YES_Reading_FLA[], COLUMN(IF(VLOOKUP($D$2,'Reading Report Logic'!$A$2:$B$8,2,FALSE)=1, YES_Reading_FLA[Reading Level June of Previous School Year],INDIRECT("YES_Reading_FLA[Instructional Reading Level - Per "&amp;(VLOOKUP($D$2,'Reading Report Logic'!$A$2:$B$8,2,FALSE)-1)&amp;"]"))),FALSE)),
IF($J$2="Combined",
IFERROR(
IF(VLOOKUP($A524, YES_Reading_ELA[], COLUMN(IF(VLOOKUP($D$2,'Reading Report Logic'!$A$2:$B$8,2,FALSE)=1, YES_Reading_ELA[Reading Level June of Previous School Year],INDIRECT("YES_Reading_ELA[Instructional Reading Level - Per "&amp;(VLOOKUP($D$2,'Reading Report Logic'!$A$2:$B$8,2,FALSE)-1)&amp;"]"))), FALSE)="", "",
VLOOKUP($A524,YES_Reading_ELA[],COLUMN(IF(VLOOKUP($D$2,'Reading Report Logic'!$A$2:$B$8,2,FALSE)=1, YES_Reading_ELA[Reading Level June of Previous School Year],INDIRECT("YES_Reading_ELA[Instructional Reading Level - Per "&amp;(VLOOKUP($D$2,'Reading Report Logic'!$A$2:$B$8,2,FALSE)-1)&amp;"]"))),FALSE)),
IF(VLOOKUP($A524, YES_Reading_FLA[], COLUMN(IF(VLOOKUP($D$2,'Reading Report Logic'!$A$2:$B$8,2,FALSE)=1, YES_Reading_FLA[Reading Level June of Previous School Year],INDIRECT("YES_Reading_FLA[Instructional Reading Level - Per "&amp;(VLOOKUP($D$2,'Reading Report Logic'!$A$2:$B$8,2,FALSE)-1)&amp;"]"))),FALSE)="", "", VLOOKUP($A524,YES_Reading_FLA[],COLUMN(IF(VLOOKUP($D$2,'Reading Report Logic'!$A$2:$B$8,2,FALSE)=1, YES_Reading_FLA[Reading Level June of Previous School Year],INDIRECT("YES_Reading_FLA[Instructional Reading Level - Per "&amp;(VLOOKUP($D$2,'Reading Report Logic'!$A$2:$B$8,2,FALSE)-1)&amp;"]"))), FALSE))),""))),"")</f>
        <v/>
      </c>
      <c r="D524" s="204" t="str" cm="1">
        <f t="array" aca="1" ref="D524" ca="1">IFERROR(
IF($J$2="ELA",
IF(VLOOKUP($A524, YES_Reading_ELA[], COLUMN(INDIRECT("YES_Reading_ELA[Instructional Reading Level - Per "&amp;VLOOKUP($D$2, 'Reading Report Logic'!$A$2:$B$8, 2, FALSE)&amp;"]")), FALSE)="", "",
VLOOKUP($A524,YES_Reading_ELA[], COLUMN(INDIRECT("YES_Reading_ELA[Instructional Reading Level - Per "&amp;VLOOKUP($D$2,'Reading Report Logic'!$A$2:$B$8,2,FALSE)&amp;"]")), FALSE)),
IF($J$2="FLA",
IF(VLOOKUP($A524, YES_Reading_FLA[], COLUMN(INDIRECT("YES_Reading_FLA[Instructional Reading Level - Per "&amp;VLOOKUP($D$2,'Reading Report Logic'!$A$2:$B$8,2,FALSE)&amp;"]")),FALSE)="","",
VLOOKUP($A524,YES_Reading_FLA[],COLUMN(INDIRECT("YES_Reading_FLA[Instructional Reading Level - Per "&amp;VLOOKUP($D$2,'Reading Report Logic'!$A$2:$B$8,2,FALSE)&amp;"]")),FALSE)),
IF($J$2="Combined",
IFERROR(
IF(VLOOKUP($A524, YES_Reading_ELA[], COLUMN(INDIRECT("YES_Reading_ELA[Instructional Reading Level - Per "&amp;VLOOKUP($D$2, 'Reading Report Logic'!$A$2:$B$8,2,FALSE)&amp;"]")), FALSE)="", "",
VLOOKUP($A524,YES_Reading_ELA[],COLUMN(INDIRECT("YES_Reading_ELA[Instructional Reading Level - Per "&amp;VLOOKUP($D$2,'Reading Report Logic'!$A$2:$B$8,2,FALSE)&amp;"]")),FALSE)),
IF(VLOOKUP($A524, YES_Reading_FLA[], COLUMN(INDIRECT("YES_Reading_FLA[Instructional Reading Level - Per "&amp;VLOOKUP($D$2, 'Reading Report Logic'!$A$2:$B$8, 2, FALSE)&amp;"]")),FALSE)="", "", VLOOKUP($A524,YES_Reading_FLA[],COLUMN(INDIRECT("YES_Reading_FLA[Instructional Reading Level - Per "&amp;VLOOKUP($D$2, 'Reading Report Logic'!$A$2:$B$8, 2, FALSE)&amp;"]")),FALSE))),""))),"")</f>
        <v/>
      </c>
      <c r="E524" s="205" t="str" cm="1">
        <f t="array" aca="1" ref="E524" ca="1">IFERROR(
IF($J$2="ELA",
IF(VLOOKUP($A524, YES_Reading_ELA[], COLUMN(INDIRECT("YES_Reading_ELA[Min Expectation - Per "&amp;VLOOKUP($D$2, 'Reading Report Logic'!$A$2:$B$8, 2, FALSE)&amp;"]")), FALSE)="", "",
VLOOKUP($A524,YES_Reading_ELA[], COLUMN(INDIRECT("YES_Reading_ELA[Min Expectation - Per "&amp;VLOOKUP($D$2,'Reading Report Logic'!$A$2:$B$8,2,FALSE)&amp;"]")), FALSE)),
IF($J$2="FLA",
IF(VLOOKUP($A524, YES_Reading_FLA[], COLUMN(INDIRECT("YES_Reading_FLA[Min Expectation - Per "&amp;VLOOKUP($D$2,'Reading Report Logic'!$A$2:$B$8,2,FALSE)&amp;"]")),FALSE)="","",
VLOOKUP($A524,YES_Reading_FLA[],COLUMN(INDIRECT("YES_Reading_FLA[Min Expectation - Per "&amp;VLOOKUP($D$2,'Reading Report Logic'!$A$2:$B$8,2,FALSE)&amp;"]")),FALSE)),
IF($J$2="Combined",
IFERROR(
IF(VLOOKUP($A524, YES_Reading_ELA[], COLUMN(INDIRECT("YES_Reading_ELA[Min Expectation - Per "&amp;VLOOKUP($D$2, 'Reading Report Logic'!$A$2:$B$8,2,FALSE)&amp;"]")), FALSE)="", "",
VLOOKUP($A524,YES_Reading_ELA[],COLUMN(INDIRECT("YES_Reading_ELA[Min Expectation - Per "&amp;VLOOKUP($D$2,'Reading Report Logic'!$A$2:$B$8,2,FALSE)&amp;"]")),FALSE)),
IF(VLOOKUP($A524, YES_Reading_FLA[], COLUMN(INDIRECT("YES_Reading_FLA[Min Expectation - Per "&amp;VLOOKUP($D$2, 'Reading Report Logic'!$A$2:$B$8, 2, FALSE)&amp;"]")),FALSE)="", "", VLOOKUP($A524,YES_Reading_FLA[],COLUMN(INDIRECT("YES_Reading_FLA[Min Expectation - Per "&amp;VLOOKUP($D$2, 'Reading Report Logic'!$A$2:$B$8, 2, FALSE)&amp;"]")),FALSE))),""))),"")</f>
        <v/>
      </c>
      <c r="F524" s="205" t="str" cm="1">
        <f t="array" aca="1" ref="F524" ca="1">IFERROR(
IF($J$2="ELA",
IF(VLOOKUP($A524, YES_Reading_ELA[], COLUMN(INDIRECT("YES_Reading_ELA[Max Expectation - Per "&amp;VLOOKUP($D$2, 'Reading Report Logic'!$A$2:$B$8, 2, FALSE)&amp;"]")), FALSE)="", "",
VLOOKUP($A524,YES_Reading_ELA[], COLUMN(INDIRECT("YES_Reading_ELA[Max Expectation - Per "&amp;VLOOKUP($D$2,'Reading Report Logic'!$A$2:$B$8,2,FALSE)&amp;"]")), FALSE)),
IF($J$2="FLA",
IF(VLOOKUP($A524, YES_Reading_FLA[], COLUMN(INDIRECT("YES_Reading_FLA[Max Expectation - Per "&amp;VLOOKUP($D$2,'Reading Report Logic'!$A$2:$B$8,2,FALSE)&amp;"]")),FALSE)="","",
VLOOKUP($A524,YES_Reading_FLA[],COLUMN(INDIRECT("YES_Reading_FLA[Max Expectation - Per "&amp;VLOOKUP($D$2,'Reading Report Logic'!$A$2:$B$8,2,FALSE)&amp;"]")),FALSE)),
IF($J$2="Combined",
IFERROR(
IF(VLOOKUP($A524, YES_Reading_ELA[], COLUMN(INDIRECT("YES_Reading_ELA[Max Expectation - Per "&amp;VLOOKUP($D$2, 'Reading Report Logic'!$A$2:$B$8,2,FALSE)&amp;"]")), FALSE)="", "",
VLOOKUP($A524,YES_Reading_ELA[],COLUMN(INDIRECT("YES_Reading_ELA[Max Expectation - Per "&amp;VLOOKUP($D$2,'Reading Report Logic'!$A$2:$B$8,2,FALSE)&amp;"]")),FALSE)),
IF(VLOOKUP($A524, YES_Reading_FLA[], COLUMN(INDIRECT("YES_Reading_FLA[Max Expectation - Per "&amp;VLOOKUP($D$2, 'Reading Report Logic'!$A$2:$B$8, 2, FALSE)&amp;"]")),FALSE)="", "", VLOOKUP($A524,YES_Reading_FLA[],COLUMN(INDIRECT("YES_Reading_FLA[Max Expectation - Per "&amp;VLOOKUP($D$2, 'Reading Report Logic'!$A$2:$B$8, 2, FALSE)&amp;"]")),FALSE))),""))),"")</f>
        <v/>
      </c>
      <c r="G524" s="205" t="str" cm="1">
        <f t="array" aca="1" ref="G524" ca="1">IFERROR(
IF($J$2="ELA",
IF(VLOOKUP($A524, YES_Reading_ELA[], COLUMN(INDIRECT("YES_Reading_ELA[Difference - Per "&amp;VLOOKUP($D$2, 'Reading Report Logic'!$A$2:$B$8, 2, FALSE)&amp;"]")), FALSE)="", "",
VLOOKUP($A524,YES_Reading_ELA[], COLUMN(INDIRECT("YES_Reading_ELA[Difference - Per "&amp;VLOOKUP($D$2,'Reading Report Logic'!$A$2:$B$8,2,FALSE)&amp;"]")), FALSE)),
IF($J$2="FLA",
IF(VLOOKUP($A524, YES_Reading_FLA[], COLUMN(INDIRECT("YES_Reading_FLA[Difference - Per "&amp;VLOOKUP($D$2,'Reading Report Logic'!$A$2:$B$8,2,FALSE)&amp;"]")),FALSE)="","",
VLOOKUP($A524,YES_Reading_FLA[],COLUMN(INDIRECT("YES_Reading_FLA[Difference - Per "&amp;VLOOKUP($D$2,'Reading Report Logic'!$A$2:$B$8,2,FALSE)&amp;"]")),FALSE)),
IF($J$2="Combined",
IFERROR(
IF(VLOOKUP($A524, YES_Reading_ELA[], COLUMN(INDIRECT("YES_Reading_ELA[Difference - Per "&amp;VLOOKUP($D$2, 'Reading Report Logic'!$A$2:$B$8,2,FALSE)&amp;"]")), FALSE)="", "",
VLOOKUP($A524,YES_Reading_ELA[],COLUMN(INDIRECT("YES_Reading_ELA[Difference - Per "&amp;VLOOKUP($D$2,'Reading Report Logic'!$A$2:$B$8,2,FALSE)&amp;"]")),FALSE)),
IF(VLOOKUP($A524, YES_Reading_FLA[], COLUMN(INDIRECT("YES_Reading_FLA[Difference - Per "&amp;VLOOKUP($D$2, 'Reading Report Logic'!$A$2:$B$8, 2, FALSE)&amp;"]")),FALSE)="", "", VLOOKUP($A524,YES_Reading_FLA[],COLUMN(INDIRECT("YES_Reading_FLA[Difference - Per "&amp;VLOOKUP($D$2, 'Reading Report Logic'!$A$2:$B$8, 2, FALSE)&amp;"]")),FALSE))),""))),"")</f>
        <v/>
      </c>
      <c r="H524" s="206" t="str">
        <f ca="1">IFERROR(VLOOKUP('Teacher Reading Pull Sheets'!$D524,_xlfn.VSTACK('ELA Reading Logic'!$A$22:$B$48,'FLA Reading Logic'!$A$22:$B$53),2,FALSE)-VLOOKUP('Teacher Reading Pull Sheets'!$C524,_xlfn.VSTACK('ELA Reading Logic'!$A$22:$B$48,'FLA Reading Logic'!$A$22:$B$53),2,FALSE),"")</f>
        <v/>
      </c>
      <c r="I524" s="212"/>
      <c r="J524" s="206"/>
      <c r="K524" s="197" t="str" cm="1">
        <f t="array" ref="K524">IFERROR(
IF($J$2="ELA",
IF(VLOOKUP($A524, YES_Reading_ELA[], COLUMN(YES_Reading_ELA[Self-Identified as African Descent]), FALSE)="", "",
VLOOKUP($A524,YES_Reading_ELA[], COLUMN(YES_Reading_ELA[Self-Identified as African Descent]), FALSE)),
IF($J$2="FLA",
IF(VLOOKUP($A524, YES_Reading_FLA[], COLUMN(YES_Reading_FLA[Self-Identified as African Descent]),FALSE)="","",
VLOOKUP($A524,YES_Reading_FLA[],COLUMN(YES_Reading_FLA[Self-Identified as African Descent]),FALSE)),
IF($J$2="Combined",
IFERROR(
IF(VLOOKUP($A524, YES_Reading_ELA[], COLUMN(YES_Reading_ELA[Self-Identified as African Descent]), FALSE)="", "",
VLOOKUP($A524,YES_Reading_ELA[],COLUMN(YES_Reading_ELA[Self-Identified as African Descent]),FALSE)),
IF(VLOOKUP($A524, YES_Reading_FLA[], COLUMN(YES_Reading_FLA[Self-Identified as African Descent]),FALSE)="", "", VLOOKUP($A524,YES_Reading_FLA[],COLUMN(YES_Reading_FLA[Self-Identified as African Descent]),FALSE))),""))),"")</f>
        <v/>
      </c>
      <c r="L524" s="73" t="str" cm="1">
        <f t="array" ref="L524">IFERROR(
IF($J$2="ELA",
IF(VLOOKUP($A524, YES_Reading_ELA[], COLUMN(YES_Reading_ELA[Self-Identified as Indigenous]), FALSE)="", "",
VLOOKUP($A524,YES_Reading_ELA[], COLUMN(YES_Reading_ELA[Self-Identified as Indigenous]), FALSE)),
IF($J$2="FLA",
IF(VLOOKUP($A524, YES_Reading_FLA[], COLUMN(YES_Reading_FLA[Self-Identified as Indigenous]),FALSE)="","",
VLOOKUP($A524,YES_Reading_FLA[],COLUMN(YES_Reading_FLA[Self-Identified as Indigenous]),FALSE)),
IF($J$2="Combined",
IFERROR(
IF(VLOOKUP($A524, YES_Reading_ELA[], COLUMN(YES_Reading_ELA[Self-Identified as Indigenous]), FALSE)="", "",
VLOOKUP($A524,YES_Reading_ELA[],COLUMN(YES_Reading_ELA[Self-Identified as Indigenous]),FALSE)),
IF(VLOOKUP($A524, YES_Reading_FLA[], COLUMN(YES_Reading_FLA[Self-Identified as Indigenous]),FALSE)="", "", VLOOKUP($A524,YES_Reading_FLA[],COLUMN(YES_Reading_FLA[Self-Identified as Indigenous]),FALSE))),""))),"")</f>
        <v/>
      </c>
    </row>
    <row r="525" spans="1:12" ht="19.5" customHeight="1" x14ac:dyDescent="0.25">
      <c r="A525" s="217"/>
      <c r="B525" s="220" t="str">
        <f>IFERROR(VLOOKUP(A525,_xlfn.VSTACK(YES_Reading_ELA[],YES_Reading_FLA[]),2,FALSE),"")</f>
        <v/>
      </c>
      <c r="C525" s="203" t="str" cm="1">
        <f t="array" aca="1" ref="C525" ca="1">IFERROR(
IF($J$2="ELA",
IF(VLOOKUP($A525, YES_Reading_ELA[], COLUMN(IF(VLOOKUP($D$2, 'Reading Report Logic'!$A$2:$B$8, 2, FALSE)=1, YES_Reading_ELA[Reading Level June of Previous School Year], INDIRECT("YES_Reading_ELA[Instructional Reading Level - Per "&amp;(VLOOKUP($D$2,'Reading Report Logic'!$A$2:$B$8,2,FALSE)-1)&amp;"]"))), FALSE)="", "",
VLOOKUP($A525,YES_Reading_ELA[], COLUMN(IF(VLOOKUP($D$2,'Reading Report Logic'!$A$2:$B$8,2,FALSE)=1, YES_Reading_ELA[Reading Level June of Previous School Year],INDIRECT("YES_Reading_ELA[Instructional Reading Level - Per "&amp;(VLOOKUP($D$2,'Reading Report Logic'!$A$2:$B$8,2,FALSE)-1)&amp;"]"))), FALSE)),
IF($J$2="FLA",
IF(VLOOKUP($A525, YES_Reading_FLA[], COLUMN(IF(VLOOKUP($D$2,'Reading Report Logic'!$A$2:$B$8,2,FALSE)=1, YES_Reading_FLA[Reading Level June of Previous School Year],INDIRECT("YES_Reading_FLA[Instructional Reading Level - Per "&amp;(VLOOKUP($D$2,'Reading Report Logic'!$A$2:$B$8,2,FALSE)-1)&amp;"]"))),FALSE)="","",
VLOOKUP($A525,YES_Reading_FLA[], COLUMN(IF(VLOOKUP($D$2,'Reading Report Logic'!$A$2:$B$8,2,FALSE)=1, YES_Reading_FLA[Reading Level June of Previous School Year],INDIRECT("YES_Reading_FLA[Instructional Reading Level - Per "&amp;(VLOOKUP($D$2,'Reading Report Logic'!$A$2:$B$8,2,FALSE)-1)&amp;"]"))),FALSE)),
IF($J$2="Combined",
IFERROR(
IF(VLOOKUP($A525, YES_Reading_ELA[], COLUMN(IF(VLOOKUP($D$2,'Reading Report Logic'!$A$2:$B$8,2,FALSE)=1, YES_Reading_ELA[Reading Level June of Previous School Year],INDIRECT("YES_Reading_ELA[Instructional Reading Level - Per "&amp;(VLOOKUP($D$2,'Reading Report Logic'!$A$2:$B$8,2,FALSE)-1)&amp;"]"))), FALSE)="", "",
VLOOKUP($A525,YES_Reading_ELA[],COLUMN(IF(VLOOKUP($D$2,'Reading Report Logic'!$A$2:$B$8,2,FALSE)=1, YES_Reading_ELA[Reading Level June of Previous School Year],INDIRECT("YES_Reading_ELA[Instructional Reading Level - Per "&amp;(VLOOKUP($D$2,'Reading Report Logic'!$A$2:$B$8,2,FALSE)-1)&amp;"]"))),FALSE)),
IF(VLOOKUP($A525, YES_Reading_FLA[], COLUMN(IF(VLOOKUP($D$2,'Reading Report Logic'!$A$2:$B$8,2,FALSE)=1, YES_Reading_FLA[Reading Level June of Previous School Year],INDIRECT("YES_Reading_FLA[Instructional Reading Level - Per "&amp;(VLOOKUP($D$2,'Reading Report Logic'!$A$2:$B$8,2,FALSE)-1)&amp;"]"))),FALSE)="", "", VLOOKUP($A525,YES_Reading_FLA[],COLUMN(IF(VLOOKUP($D$2,'Reading Report Logic'!$A$2:$B$8,2,FALSE)=1, YES_Reading_FLA[Reading Level June of Previous School Year],INDIRECT("YES_Reading_FLA[Instructional Reading Level - Per "&amp;(VLOOKUP($D$2,'Reading Report Logic'!$A$2:$B$8,2,FALSE)-1)&amp;"]"))), FALSE))),""))),"")</f>
        <v/>
      </c>
      <c r="D525" s="204" t="str" cm="1">
        <f t="array" aca="1" ref="D525" ca="1">IFERROR(
IF($J$2="ELA",
IF(VLOOKUP($A525, YES_Reading_ELA[], COLUMN(INDIRECT("YES_Reading_ELA[Instructional Reading Level - Per "&amp;VLOOKUP($D$2, 'Reading Report Logic'!$A$2:$B$8, 2, FALSE)&amp;"]")), FALSE)="", "",
VLOOKUP($A525,YES_Reading_ELA[], COLUMN(INDIRECT("YES_Reading_ELA[Instructional Reading Level - Per "&amp;VLOOKUP($D$2,'Reading Report Logic'!$A$2:$B$8,2,FALSE)&amp;"]")), FALSE)),
IF($J$2="FLA",
IF(VLOOKUP($A525, YES_Reading_FLA[], COLUMN(INDIRECT("YES_Reading_FLA[Instructional Reading Level - Per "&amp;VLOOKUP($D$2,'Reading Report Logic'!$A$2:$B$8,2,FALSE)&amp;"]")),FALSE)="","",
VLOOKUP($A525,YES_Reading_FLA[],COLUMN(INDIRECT("YES_Reading_FLA[Instructional Reading Level - Per "&amp;VLOOKUP($D$2,'Reading Report Logic'!$A$2:$B$8,2,FALSE)&amp;"]")),FALSE)),
IF($J$2="Combined",
IFERROR(
IF(VLOOKUP($A525, YES_Reading_ELA[], COLUMN(INDIRECT("YES_Reading_ELA[Instructional Reading Level - Per "&amp;VLOOKUP($D$2, 'Reading Report Logic'!$A$2:$B$8,2,FALSE)&amp;"]")), FALSE)="", "",
VLOOKUP($A525,YES_Reading_ELA[],COLUMN(INDIRECT("YES_Reading_ELA[Instructional Reading Level - Per "&amp;VLOOKUP($D$2,'Reading Report Logic'!$A$2:$B$8,2,FALSE)&amp;"]")),FALSE)),
IF(VLOOKUP($A525, YES_Reading_FLA[], COLUMN(INDIRECT("YES_Reading_FLA[Instructional Reading Level - Per "&amp;VLOOKUP($D$2, 'Reading Report Logic'!$A$2:$B$8, 2, FALSE)&amp;"]")),FALSE)="", "", VLOOKUP($A525,YES_Reading_FLA[],COLUMN(INDIRECT("YES_Reading_FLA[Instructional Reading Level - Per "&amp;VLOOKUP($D$2, 'Reading Report Logic'!$A$2:$B$8, 2, FALSE)&amp;"]")),FALSE))),""))),"")</f>
        <v/>
      </c>
      <c r="E525" s="205" t="str" cm="1">
        <f t="array" aca="1" ref="E525" ca="1">IFERROR(
IF($J$2="ELA",
IF(VLOOKUP($A525, YES_Reading_ELA[], COLUMN(INDIRECT("YES_Reading_ELA[Min Expectation - Per "&amp;VLOOKUP($D$2, 'Reading Report Logic'!$A$2:$B$8, 2, FALSE)&amp;"]")), FALSE)="", "",
VLOOKUP($A525,YES_Reading_ELA[], COLUMN(INDIRECT("YES_Reading_ELA[Min Expectation - Per "&amp;VLOOKUP($D$2,'Reading Report Logic'!$A$2:$B$8,2,FALSE)&amp;"]")), FALSE)),
IF($J$2="FLA",
IF(VLOOKUP($A525, YES_Reading_FLA[], COLUMN(INDIRECT("YES_Reading_FLA[Min Expectation - Per "&amp;VLOOKUP($D$2,'Reading Report Logic'!$A$2:$B$8,2,FALSE)&amp;"]")),FALSE)="","",
VLOOKUP($A525,YES_Reading_FLA[],COLUMN(INDIRECT("YES_Reading_FLA[Min Expectation - Per "&amp;VLOOKUP($D$2,'Reading Report Logic'!$A$2:$B$8,2,FALSE)&amp;"]")),FALSE)),
IF($J$2="Combined",
IFERROR(
IF(VLOOKUP($A525, YES_Reading_ELA[], COLUMN(INDIRECT("YES_Reading_ELA[Min Expectation - Per "&amp;VLOOKUP($D$2, 'Reading Report Logic'!$A$2:$B$8,2,FALSE)&amp;"]")), FALSE)="", "",
VLOOKUP($A525,YES_Reading_ELA[],COLUMN(INDIRECT("YES_Reading_ELA[Min Expectation - Per "&amp;VLOOKUP($D$2,'Reading Report Logic'!$A$2:$B$8,2,FALSE)&amp;"]")),FALSE)),
IF(VLOOKUP($A525, YES_Reading_FLA[], COLUMN(INDIRECT("YES_Reading_FLA[Min Expectation - Per "&amp;VLOOKUP($D$2, 'Reading Report Logic'!$A$2:$B$8, 2, FALSE)&amp;"]")),FALSE)="", "", VLOOKUP($A525,YES_Reading_FLA[],COLUMN(INDIRECT("YES_Reading_FLA[Min Expectation - Per "&amp;VLOOKUP($D$2, 'Reading Report Logic'!$A$2:$B$8, 2, FALSE)&amp;"]")),FALSE))),""))),"")</f>
        <v/>
      </c>
      <c r="F525" s="205" t="str" cm="1">
        <f t="array" aca="1" ref="F525" ca="1">IFERROR(
IF($J$2="ELA",
IF(VLOOKUP($A525, YES_Reading_ELA[], COLUMN(INDIRECT("YES_Reading_ELA[Max Expectation - Per "&amp;VLOOKUP($D$2, 'Reading Report Logic'!$A$2:$B$8, 2, FALSE)&amp;"]")), FALSE)="", "",
VLOOKUP($A525,YES_Reading_ELA[], COLUMN(INDIRECT("YES_Reading_ELA[Max Expectation - Per "&amp;VLOOKUP($D$2,'Reading Report Logic'!$A$2:$B$8,2,FALSE)&amp;"]")), FALSE)),
IF($J$2="FLA",
IF(VLOOKUP($A525, YES_Reading_FLA[], COLUMN(INDIRECT("YES_Reading_FLA[Max Expectation - Per "&amp;VLOOKUP($D$2,'Reading Report Logic'!$A$2:$B$8,2,FALSE)&amp;"]")),FALSE)="","",
VLOOKUP($A525,YES_Reading_FLA[],COLUMN(INDIRECT("YES_Reading_FLA[Max Expectation - Per "&amp;VLOOKUP($D$2,'Reading Report Logic'!$A$2:$B$8,2,FALSE)&amp;"]")),FALSE)),
IF($J$2="Combined",
IFERROR(
IF(VLOOKUP($A525, YES_Reading_ELA[], COLUMN(INDIRECT("YES_Reading_ELA[Max Expectation - Per "&amp;VLOOKUP($D$2, 'Reading Report Logic'!$A$2:$B$8,2,FALSE)&amp;"]")), FALSE)="", "",
VLOOKUP($A525,YES_Reading_ELA[],COLUMN(INDIRECT("YES_Reading_ELA[Max Expectation - Per "&amp;VLOOKUP($D$2,'Reading Report Logic'!$A$2:$B$8,2,FALSE)&amp;"]")),FALSE)),
IF(VLOOKUP($A525, YES_Reading_FLA[], COLUMN(INDIRECT("YES_Reading_FLA[Max Expectation - Per "&amp;VLOOKUP($D$2, 'Reading Report Logic'!$A$2:$B$8, 2, FALSE)&amp;"]")),FALSE)="", "", VLOOKUP($A525,YES_Reading_FLA[],COLUMN(INDIRECT("YES_Reading_FLA[Max Expectation - Per "&amp;VLOOKUP($D$2, 'Reading Report Logic'!$A$2:$B$8, 2, FALSE)&amp;"]")),FALSE))),""))),"")</f>
        <v/>
      </c>
      <c r="G525" s="205" t="str" cm="1">
        <f t="array" aca="1" ref="G525" ca="1">IFERROR(
IF($J$2="ELA",
IF(VLOOKUP($A525, YES_Reading_ELA[], COLUMN(INDIRECT("YES_Reading_ELA[Difference - Per "&amp;VLOOKUP($D$2, 'Reading Report Logic'!$A$2:$B$8, 2, FALSE)&amp;"]")), FALSE)="", "",
VLOOKUP($A525,YES_Reading_ELA[], COLUMN(INDIRECT("YES_Reading_ELA[Difference - Per "&amp;VLOOKUP($D$2,'Reading Report Logic'!$A$2:$B$8,2,FALSE)&amp;"]")), FALSE)),
IF($J$2="FLA",
IF(VLOOKUP($A525, YES_Reading_FLA[], COLUMN(INDIRECT("YES_Reading_FLA[Difference - Per "&amp;VLOOKUP($D$2,'Reading Report Logic'!$A$2:$B$8,2,FALSE)&amp;"]")),FALSE)="","",
VLOOKUP($A525,YES_Reading_FLA[],COLUMN(INDIRECT("YES_Reading_FLA[Difference - Per "&amp;VLOOKUP($D$2,'Reading Report Logic'!$A$2:$B$8,2,FALSE)&amp;"]")),FALSE)),
IF($J$2="Combined",
IFERROR(
IF(VLOOKUP($A525, YES_Reading_ELA[], COLUMN(INDIRECT("YES_Reading_ELA[Difference - Per "&amp;VLOOKUP($D$2, 'Reading Report Logic'!$A$2:$B$8,2,FALSE)&amp;"]")), FALSE)="", "",
VLOOKUP($A525,YES_Reading_ELA[],COLUMN(INDIRECT("YES_Reading_ELA[Difference - Per "&amp;VLOOKUP($D$2,'Reading Report Logic'!$A$2:$B$8,2,FALSE)&amp;"]")),FALSE)),
IF(VLOOKUP($A525, YES_Reading_FLA[], COLUMN(INDIRECT("YES_Reading_FLA[Difference - Per "&amp;VLOOKUP($D$2, 'Reading Report Logic'!$A$2:$B$8, 2, FALSE)&amp;"]")),FALSE)="", "", VLOOKUP($A525,YES_Reading_FLA[],COLUMN(INDIRECT("YES_Reading_FLA[Difference - Per "&amp;VLOOKUP($D$2, 'Reading Report Logic'!$A$2:$B$8, 2, FALSE)&amp;"]")),FALSE))),""))),"")</f>
        <v/>
      </c>
      <c r="H525" s="206" t="str">
        <f ca="1">IFERROR(VLOOKUP('Teacher Reading Pull Sheets'!$D525,_xlfn.VSTACK('ELA Reading Logic'!$A$22:$B$48,'FLA Reading Logic'!$A$22:$B$53),2,FALSE)-VLOOKUP('Teacher Reading Pull Sheets'!$C525,_xlfn.VSTACK('ELA Reading Logic'!$A$22:$B$48,'FLA Reading Logic'!$A$22:$B$53),2,FALSE),"")</f>
        <v/>
      </c>
      <c r="I525" s="212"/>
      <c r="J525" s="206"/>
      <c r="K525" s="197" t="str" cm="1">
        <f t="array" ref="K525">IFERROR(
IF($J$2="ELA",
IF(VLOOKUP($A525, YES_Reading_ELA[], COLUMN(YES_Reading_ELA[Self-Identified as African Descent]), FALSE)="", "",
VLOOKUP($A525,YES_Reading_ELA[], COLUMN(YES_Reading_ELA[Self-Identified as African Descent]), FALSE)),
IF($J$2="FLA",
IF(VLOOKUP($A525, YES_Reading_FLA[], COLUMN(YES_Reading_FLA[Self-Identified as African Descent]),FALSE)="","",
VLOOKUP($A525,YES_Reading_FLA[],COLUMN(YES_Reading_FLA[Self-Identified as African Descent]),FALSE)),
IF($J$2="Combined",
IFERROR(
IF(VLOOKUP($A525, YES_Reading_ELA[], COLUMN(YES_Reading_ELA[Self-Identified as African Descent]), FALSE)="", "",
VLOOKUP($A525,YES_Reading_ELA[],COLUMN(YES_Reading_ELA[Self-Identified as African Descent]),FALSE)),
IF(VLOOKUP($A525, YES_Reading_FLA[], COLUMN(YES_Reading_FLA[Self-Identified as African Descent]),FALSE)="", "", VLOOKUP($A525,YES_Reading_FLA[],COLUMN(YES_Reading_FLA[Self-Identified as African Descent]),FALSE))),""))),"")</f>
        <v/>
      </c>
      <c r="L525" s="73" t="str" cm="1">
        <f t="array" ref="L525">IFERROR(
IF($J$2="ELA",
IF(VLOOKUP($A525, YES_Reading_ELA[], COLUMN(YES_Reading_ELA[Self-Identified as Indigenous]), FALSE)="", "",
VLOOKUP($A525,YES_Reading_ELA[], COLUMN(YES_Reading_ELA[Self-Identified as Indigenous]), FALSE)),
IF($J$2="FLA",
IF(VLOOKUP($A525, YES_Reading_FLA[], COLUMN(YES_Reading_FLA[Self-Identified as Indigenous]),FALSE)="","",
VLOOKUP($A525,YES_Reading_FLA[],COLUMN(YES_Reading_FLA[Self-Identified as Indigenous]),FALSE)),
IF($J$2="Combined",
IFERROR(
IF(VLOOKUP($A525, YES_Reading_ELA[], COLUMN(YES_Reading_ELA[Self-Identified as Indigenous]), FALSE)="", "",
VLOOKUP($A525,YES_Reading_ELA[],COLUMN(YES_Reading_ELA[Self-Identified as Indigenous]),FALSE)),
IF(VLOOKUP($A525, YES_Reading_FLA[], COLUMN(YES_Reading_FLA[Self-Identified as Indigenous]),FALSE)="", "", VLOOKUP($A525,YES_Reading_FLA[],COLUMN(YES_Reading_FLA[Self-Identified as Indigenous]),FALSE))),""))),"")</f>
        <v/>
      </c>
    </row>
    <row r="526" spans="1:12" ht="19.5" customHeight="1" x14ac:dyDescent="0.25">
      <c r="A526" s="217"/>
      <c r="B526" s="220" t="str">
        <f>IFERROR(VLOOKUP(A526,_xlfn.VSTACK(YES_Reading_ELA[],YES_Reading_FLA[]),2,FALSE),"")</f>
        <v/>
      </c>
      <c r="C526" s="203" t="str" cm="1">
        <f t="array" aca="1" ref="C526" ca="1">IFERROR(
IF($J$2="ELA",
IF(VLOOKUP($A526, YES_Reading_ELA[], COLUMN(IF(VLOOKUP($D$2, 'Reading Report Logic'!$A$2:$B$8, 2, FALSE)=1, YES_Reading_ELA[Reading Level June of Previous School Year], INDIRECT("YES_Reading_ELA[Instructional Reading Level - Per "&amp;(VLOOKUP($D$2,'Reading Report Logic'!$A$2:$B$8,2,FALSE)-1)&amp;"]"))), FALSE)="", "",
VLOOKUP($A526,YES_Reading_ELA[], COLUMN(IF(VLOOKUP($D$2,'Reading Report Logic'!$A$2:$B$8,2,FALSE)=1, YES_Reading_ELA[Reading Level June of Previous School Year],INDIRECT("YES_Reading_ELA[Instructional Reading Level - Per "&amp;(VLOOKUP($D$2,'Reading Report Logic'!$A$2:$B$8,2,FALSE)-1)&amp;"]"))), FALSE)),
IF($J$2="FLA",
IF(VLOOKUP($A526, YES_Reading_FLA[], COLUMN(IF(VLOOKUP($D$2,'Reading Report Logic'!$A$2:$B$8,2,FALSE)=1, YES_Reading_FLA[Reading Level June of Previous School Year],INDIRECT("YES_Reading_FLA[Instructional Reading Level - Per "&amp;(VLOOKUP($D$2,'Reading Report Logic'!$A$2:$B$8,2,FALSE)-1)&amp;"]"))),FALSE)="","",
VLOOKUP($A526,YES_Reading_FLA[], COLUMN(IF(VLOOKUP($D$2,'Reading Report Logic'!$A$2:$B$8,2,FALSE)=1, YES_Reading_FLA[Reading Level June of Previous School Year],INDIRECT("YES_Reading_FLA[Instructional Reading Level - Per "&amp;(VLOOKUP($D$2,'Reading Report Logic'!$A$2:$B$8,2,FALSE)-1)&amp;"]"))),FALSE)),
IF($J$2="Combined",
IFERROR(
IF(VLOOKUP($A526, YES_Reading_ELA[], COLUMN(IF(VLOOKUP($D$2,'Reading Report Logic'!$A$2:$B$8,2,FALSE)=1, YES_Reading_ELA[Reading Level June of Previous School Year],INDIRECT("YES_Reading_ELA[Instructional Reading Level - Per "&amp;(VLOOKUP($D$2,'Reading Report Logic'!$A$2:$B$8,2,FALSE)-1)&amp;"]"))), FALSE)="", "",
VLOOKUP($A526,YES_Reading_ELA[],COLUMN(IF(VLOOKUP($D$2,'Reading Report Logic'!$A$2:$B$8,2,FALSE)=1, YES_Reading_ELA[Reading Level June of Previous School Year],INDIRECT("YES_Reading_ELA[Instructional Reading Level - Per "&amp;(VLOOKUP($D$2,'Reading Report Logic'!$A$2:$B$8,2,FALSE)-1)&amp;"]"))),FALSE)),
IF(VLOOKUP($A526, YES_Reading_FLA[], COLUMN(IF(VLOOKUP($D$2,'Reading Report Logic'!$A$2:$B$8,2,FALSE)=1, YES_Reading_FLA[Reading Level June of Previous School Year],INDIRECT("YES_Reading_FLA[Instructional Reading Level - Per "&amp;(VLOOKUP($D$2,'Reading Report Logic'!$A$2:$B$8,2,FALSE)-1)&amp;"]"))),FALSE)="", "", VLOOKUP($A526,YES_Reading_FLA[],COLUMN(IF(VLOOKUP($D$2,'Reading Report Logic'!$A$2:$B$8,2,FALSE)=1, YES_Reading_FLA[Reading Level June of Previous School Year],INDIRECT("YES_Reading_FLA[Instructional Reading Level - Per "&amp;(VLOOKUP($D$2,'Reading Report Logic'!$A$2:$B$8,2,FALSE)-1)&amp;"]"))), FALSE))),""))),"")</f>
        <v/>
      </c>
      <c r="D526" s="204" t="str" cm="1">
        <f t="array" aca="1" ref="D526" ca="1">IFERROR(
IF($J$2="ELA",
IF(VLOOKUP($A526, YES_Reading_ELA[], COLUMN(INDIRECT("YES_Reading_ELA[Instructional Reading Level - Per "&amp;VLOOKUP($D$2, 'Reading Report Logic'!$A$2:$B$8, 2, FALSE)&amp;"]")), FALSE)="", "",
VLOOKUP($A526,YES_Reading_ELA[], COLUMN(INDIRECT("YES_Reading_ELA[Instructional Reading Level - Per "&amp;VLOOKUP($D$2,'Reading Report Logic'!$A$2:$B$8,2,FALSE)&amp;"]")), FALSE)),
IF($J$2="FLA",
IF(VLOOKUP($A526, YES_Reading_FLA[], COLUMN(INDIRECT("YES_Reading_FLA[Instructional Reading Level - Per "&amp;VLOOKUP($D$2,'Reading Report Logic'!$A$2:$B$8,2,FALSE)&amp;"]")),FALSE)="","",
VLOOKUP($A526,YES_Reading_FLA[],COLUMN(INDIRECT("YES_Reading_FLA[Instructional Reading Level - Per "&amp;VLOOKUP($D$2,'Reading Report Logic'!$A$2:$B$8,2,FALSE)&amp;"]")),FALSE)),
IF($J$2="Combined",
IFERROR(
IF(VLOOKUP($A526, YES_Reading_ELA[], COLUMN(INDIRECT("YES_Reading_ELA[Instructional Reading Level - Per "&amp;VLOOKUP($D$2, 'Reading Report Logic'!$A$2:$B$8,2,FALSE)&amp;"]")), FALSE)="", "",
VLOOKUP($A526,YES_Reading_ELA[],COLUMN(INDIRECT("YES_Reading_ELA[Instructional Reading Level - Per "&amp;VLOOKUP($D$2,'Reading Report Logic'!$A$2:$B$8,2,FALSE)&amp;"]")),FALSE)),
IF(VLOOKUP($A526, YES_Reading_FLA[], COLUMN(INDIRECT("YES_Reading_FLA[Instructional Reading Level - Per "&amp;VLOOKUP($D$2, 'Reading Report Logic'!$A$2:$B$8, 2, FALSE)&amp;"]")),FALSE)="", "", VLOOKUP($A526,YES_Reading_FLA[],COLUMN(INDIRECT("YES_Reading_FLA[Instructional Reading Level - Per "&amp;VLOOKUP($D$2, 'Reading Report Logic'!$A$2:$B$8, 2, FALSE)&amp;"]")),FALSE))),""))),"")</f>
        <v/>
      </c>
      <c r="E526" s="205" t="str" cm="1">
        <f t="array" aca="1" ref="E526" ca="1">IFERROR(
IF($J$2="ELA",
IF(VLOOKUP($A526, YES_Reading_ELA[], COLUMN(INDIRECT("YES_Reading_ELA[Min Expectation - Per "&amp;VLOOKUP($D$2, 'Reading Report Logic'!$A$2:$B$8, 2, FALSE)&amp;"]")), FALSE)="", "",
VLOOKUP($A526,YES_Reading_ELA[], COLUMN(INDIRECT("YES_Reading_ELA[Min Expectation - Per "&amp;VLOOKUP($D$2,'Reading Report Logic'!$A$2:$B$8,2,FALSE)&amp;"]")), FALSE)),
IF($J$2="FLA",
IF(VLOOKUP($A526, YES_Reading_FLA[], COLUMN(INDIRECT("YES_Reading_FLA[Min Expectation - Per "&amp;VLOOKUP($D$2,'Reading Report Logic'!$A$2:$B$8,2,FALSE)&amp;"]")),FALSE)="","",
VLOOKUP($A526,YES_Reading_FLA[],COLUMN(INDIRECT("YES_Reading_FLA[Min Expectation - Per "&amp;VLOOKUP($D$2,'Reading Report Logic'!$A$2:$B$8,2,FALSE)&amp;"]")),FALSE)),
IF($J$2="Combined",
IFERROR(
IF(VLOOKUP($A526, YES_Reading_ELA[], COLUMN(INDIRECT("YES_Reading_ELA[Min Expectation - Per "&amp;VLOOKUP($D$2, 'Reading Report Logic'!$A$2:$B$8,2,FALSE)&amp;"]")), FALSE)="", "",
VLOOKUP($A526,YES_Reading_ELA[],COLUMN(INDIRECT("YES_Reading_ELA[Min Expectation - Per "&amp;VLOOKUP($D$2,'Reading Report Logic'!$A$2:$B$8,2,FALSE)&amp;"]")),FALSE)),
IF(VLOOKUP($A526, YES_Reading_FLA[], COLUMN(INDIRECT("YES_Reading_FLA[Min Expectation - Per "&amp;VLOOKUP($D$2, 'Reading Report Logic'!$A$2:$B$8, 2, FALSE)&amp;"]")),FALSE)="", "", VLOOKUP($A526,YES_Reading_FLA[],COLUMN(INDIRECT("YES_Reading_FLA[Min Expectation - Per "&amp;VLOOKUP($D$2, 'Reading Report Logic'!$A$2:$B$8, 2, FALSE)&amp;"]")),FALSE))),""))),"")</f>
        <v/>
      </c>
      <c r="F526" s="205" t="str" cm="1">
        <f t="array" aca="1" ref="F526" ca="1">IFERROR(
IF($J$2="ELA",
IF(VLOOKUP($A526, YES_Reading_ELA[], COLUMN(INDIRECT("YES_Reading_ELA[Max Expectation - Per "&amp;VLOOKUP($D$2, 'Reading Report Logic'!$A$2:$B$8, 2, FALSE)&amp;"]")), FALSE)="", "",
VLOOKUP($A526,YES_Reading_ELA[], COLUMN(INDIRECT("YES_Reading_ELA[Max Expectation - Per "&amp;VLOOKUP($D$2,'Reading Report Logic'!$A$2:$B$8,2,FALSE)&amp;"]")), FALSE)),
IF($J$2="FLA",
IF(VLOOKUP($A526, YES_Reading_FLA[], COLUMN(INDIRECT("YES_Reading_FLA[Max Expectation - Per "&amp;VLOOKUP($D$2,'Reading Report Logic'!$A$2:$B$8,2,FALSE)&amp;"]")),FALSE)="","",
VLOOKUP($A526,YES_Reading_FLA[],COLUMN(INDIRECT("YES_Reading_FLA[Max Expectation - Per "&amp;VLOOKUP($D$2,'Reading Report Logic'!$A$2:$B$8,2,FALSE)&amp;"]")),FALSE)),
IF($J$2="Combined",
IFERROR(
IF(VLOOKUP($A526, YES_Reading_ELA[], COLUMN(INDIRECT("YES_Reading_ELA[Max Expectation - Per "&amp;VLOOKUP($D$2, 'Reading Report Logic'!$A$2:$B$8,2,FALSE)&amp;"]")), FALSE)="", "",
VLOOKUP($A526,YES_Reading_ELA[],COLUMN(INDIRECT("YES_Reading_ELA[Max Expectation - Per "&amp;VLOOKUP($D$2,'Reading Report Logic'!$A$2:$B$8,2,FALSE)&amp;"]")),FALSE)),
IF(VLOOKUP($A526, YES_Reading_FLA[], COLUMN(INDIRECT("YES_Reading_FLA[Max Expectation - Per "&amp;VLOOKUP($D$2, 'Reading Report Logic'!$A$2:$B$8, 2, FALSE)&amp;"]")),FALSE)="", "", VLOOKUP($A526,YES_Reading_FLA[],COLUMN(INDIRECT("YES_Reading_FLA[Max Expectation - Per "&amp;VLOOKUP($D$2, 'Reading Report Logic'!$A$2:$B$8, 2, FALSE)&amp;"]")),FALSE))),""))),"")</f>
        <v/>
      </c>
      <c r="G526" s="205" t="str" cm="1">
        <f t="array" aca="1" ref="G526" ca="1">IFERROR(
IF($J$2="ELA",
IF(VLOOKUP($A526, YES_Reading_ELA[], COLUMN(INDIRECT("YES_Reading_ELA[Difference - Per "&amp;VLOOKUP($D$2, 'Reading Report Logic'!$A$2:$B$8, 2, FALSE)&amp;"]")), FALSE)="", "",
VLOOKUP($A526,YES_Reading_ELA[], COLUMN(INDIRECT("YES_Reading_ELA[Difference - Per "&amp;VLOOKUP($D$2,'Reading Report Logic'!$A$2:$B$8,2,FALSE)&amp;"]")), FALSE)),
IF($J$2="FLA",
IF(VLOOKUP($A526, YES_Reading_FLA[], COLUMN(INDIRECT("YES_Reading_FLA[Difference - Per "&amp;VLOOKUP($D$2,'Reading Report Logic'!$A$2:$B$8,2,FALSE)&amp;"]")),FALSE)="","",
VLOOKUP($A526,YES_Reading_FLA[],COLUMN(INDIRECT("YES_Reading_FLA[Difference - Per "&amp;VLOOKUP($D$2,'Reading Report Logic'!$A$2:$B$8,2,FALSE)&amp;"]")),FALSE)),
IF($J$2="Combined",
IFERROR(
IF(VLOOKUP($A526, YES_Reading_ELA[], COLUMN(INDIRECT("YES_Reading_ELA[Difference - Per "&amp;VLOOKUP($D$2, 'Reading Report Logic'!$A$2:$B$8,2,FALSE)&amp;"]")), FALSE)="", "",
VLOOKUP($A526,YES_Reading_ELA[],COLUMN(INDIRECT("YES_Reading_ELA[Difference - Per "&amp;VLOOKUP($D$2,'Reading Report Logic'!$A$2:$B$8,2,FALSE)&amp;"]")),FALSE)),
IF(VLOOKUP($A526, YES_Reading_FLA[], COLUMN(INDIRECT("YES_Reading_FLA[Difference - Per "&amp;VLOOKUP($D$2, 'Reading Report Logic'!$A$2:$B$8, 2, FALSE)&amp;"]")),FALSE)="", "", VLOOKUP($A526,YES_Reading_FLA[],COLUMN(INDIRECT("YES_Reading_FLA[Difference - Per "&amp;VLOOKUP($D$2, 'Reading Report Logic'!$A$2:$B$8, 2, FALSE)&amp;"]")),FALSE))),""))),"")</f>
        <v/>
      </c>
      <c r="H526" s="206" t="str">
        <f ca="1">IFERROR(VLOOKUP('Teacher Reading Pull Sheets'!$D526,_xlfn.VSTACK('ELA Reading Logic'!$A$22:$B$48,'FLA Reading Logic'!$A$22:$B$53),2,FALSE)-VLOOKUP('Teacher Reading Pull Sheets'!$C526,_xlfn.VSTACK('ELA Reading Logic'!$A$22:$B$48,'FLA Reading Logic'!$A$22:$B$53),2,FALSE),"")</f>
        <v/>
      </c>
      <c r="I526" s="212"/>
      <c r="J526" s="206"/>
      <c r="K526" s="197" t="str" cm="1">
        <f t="array" ref="K526">IFERROR(
IF($J$2="ELA",
IF(VLOOKUP($A526, YES_Reading_ELA[], COLUMN(YES_Reading_ELA[Self-Identified as African Descent]), FALSE)="", "",
VLOOKUP($A526,YES_Reading_ELA[], COLUMN(YES_Reading_ELA[Self-Identified as African Descent]), FALSE)),
IF($J$2="FLA",
IF(VLOOKUP($A526, YES_Reading_FLA[], COLUMN(YES_Reading_FLA[Self-Identified as African Descent]),FALSE)="","",
VLOOKUP($A526,YES_Reading_FLA[],COLUMN(YES_Reading_FLA[Self-Identified as African Descent]),FALSE)),
IF($J$2="Combined",
IFERROR(
IF(VLOOKUP($A526, YES_Reading_ELA[], COLUMN(YES_Reading_ELA[Self-Identified as African Descent]), FALSE)="", "",
VLOOKUP($A526,YES_Reading_ELA[],COLUMN(YES_Reading_ELA[Self-Identified as African Descent]),FALSE)),
IF(VLOOKUP($A526, YES_Reading_FLA[], COLUMN(YES_Reading_FLA[Self-Identified as African Descent]),FALSE)="", "", VLOOKUP($A526,YES_Reading_FLA[],COLUMN(YES_Reading_FLA[Self-Identified as African Descent]),FALSE))),""))),"")</f>
        <v/>
      </c>
      <c r="L526" s="73" t="str" cm="1">
        <f t="array" ref="L526">IFERROR(
IF($J$2="ELA",
IF(VLOOKUP($A526, YES_Reading_ELA[], COLUMN(YES_Reading_ELA[Self-Identified as Indigenous]), FALSE)="", "",
VLOOKUP($A526,YES_Reading_ELA[], COLUMN(YES_Reading_ELA[Self-Identified as Indigenous]), FALSE)),
IF($J$2="FLA",
IF(VLOOKUP($A526, YES_Reading_FLA[], COLUMN(YES_Reading_FLA[Self-Identified as Indigenous]),FALSE)="","",
VLOOKUP($A526,YES_Reading_FLA[],COLUMN(YES_Reading_FLA[Self-Identified as Indigenous]),FALSE)),
IF($J$2="Combined",
IFERROR(
IF(VLOOKUP($A526, YES_Reading_ELA[], COLUMN(YES_Reading_ELA[Self-Identified as Indigenous]), FALSE)="", "",
VLOOKUP($A526,YES_Reading_ELA[],COLUMN(YES_Reading_ELA[Self-Identified as Indigenous]),FALSE)),
IF(VLOOKUP($A526, YES_Reading_FLA[], COLUMN(YES_Reading_FLA[Self-Identified as Indigenous]),FALSE)="", "", VLOOKUP($A526,YES_Reading_FLA[],COLUMN(YES_Reading_FLA[Self-Identified as Indigenous]),FALSE))),""))),"")</f>
        <v/>
      </c>
    </row>
    <row r="527" spans="1:12" ht="19.5" customHeight="1" x14ac:dyDescent="0.25">
      <c r="A527" s="217"/>
      <c r="B527" s="220" t="str">
        <f>IFERROR(VLOOKUP(A527,_xlfn.VSTACK(YES_Reading_ELA[],YES_Reading_FLA[]),2,FALSE),"")</f>
        <v/>
      </c>
      <c r="C527" s="203" t="str" cm="1">
        <f t="array" aca="1" ref="C527" ca="1">IFERROR(
IF($J$2="ELA",
IF(VLOOKUP($A527, YES_Reading_ELA[], COLUMN(IF(VLOOKUP($D$2, 'Reading Report Logic'!$A$2:$B$8, 2, FALSE)=1, YES_Reading_ELA[Reading Level June of Previous School Year], INDIRECT("YES_Reading_ELA[Instructional Reading Level - Per "&amp;(VLOOKUP($D$2,'Reading Report Logic'!$A$2:$B$8,2,FALSE)-1)&amp;"]"))), FALSE)="", "",
VLOOKUP($A527,YES_Reading_ELA[], COLUMN(IF(VLOOKUP($D$2,'Reading Report Logic'!$A$2:$B$8,2,FALSE)=1, YES_Reading_ELA[Reading Level June of Previous School Year],INDIRECT("YES_Reading_ELA[Instructional Reading Level - Per "&amp;(VLOOKUP($D$2,'Reading Report Logic'!$A$2:$B$8,2,FALSE)-1)&amp;"]"))), FALSE)),
IF($J$2="FLA",
IF(VLOOKUP($A527, YES_Reading_FLA[], COLUMN(IF(VLOOKUP($D$2,'Reading Report Logic'!$A$2:$B$8,2,FALSE)=1, YES_Reading_FLA[Reading Level June of Previous School Year],INDIRECT("YES_Reading_FLA[Instructional Reading Level - Per "&amp;(VLOOKUP($D$2,'Reading Report Logic'!$A$2:$B$8,2,FALSE)-1)&amp;"]"))),FALSE)="","",
VLOOKUP($A527,YES_Reading_FLA[], COLUMN(IF(VLOOKUP($D$2,'Reading Report Logic'!$A$2:$B$8,2,FALSE)=1, YES_Reading_FLA[Reading Level June of Previous School Year],INDIRECT("YES_Reading_FLA[Instructional Reading Level - Per "&amp;(VLOOKUP($D$2,'Reading Report Logic'!$A$2:$B$8,2,FALSE)-1)&amp;"]"))),FALSE)),
IF($J$2="Combined",
IFERROR(
IF(VLOOKUP($A527, YES_Reading_ELA[], COLUMN(IF(VLOOKUP($D$2,'Reading Report Logic'!$A$2:$B$8,2,FALSE)=1, YES_Reading_ELA[Reading Level June of Previous School Year],INDIRECT("YES_Reading_ELA[Instructional Reading Level - Per "&amp;(VLOOKUP($D$2,'Reading Report Logic'!$A$2:$B$8,2,FALSE)-1)&amp;"]"))), FALSE)="", "",
VLOOKUP($A527,YES_Reading_ELA[],COLUMN(IF(VLOOKUP($D$2,'Reading Report Logic'!$A$2:$B$8,2,FALSE)=1, YES_Reading_ELA[Reading Level June of Previous School Year],INDIRECT("YES_Reading_ELA[Instructional Reading Level - Per "&amp;(VLOOKUP($D$2,'Reading Report Logic'!$A$2:$B$8,2,FALSE)-1)&amp;"]"))),FALSE)),
IF(VLOOKUP($A527, YES_Reading_FLA[], COLUMN(IF(VLOOKUP($D$2,'Reading Report Logic'!$A$2:$B$8,2,FALSE)=1, YES_Reading_FLA[Reading Level June of Previous School Year],INDIRECT("YES_Reading_FLA[Instructional Reading Level - Per "&amp;(VLOOKUP($D$2,'Reading Report Logic'!$A$2:$B$8,2,FALSE)-1)&amp;"]"))),FALSE)="", "", VLOOKUP($A527,YES_Reading_FLA[],COLUMN(IF(VLOOKUP($D$2,'Reading Report Logic'!$A$2:$B$8,2,FALSE)=1, YES_Reading_FLA[Reading Level June of Previous School Year],INDIRECT("YES_Reading_FLA[Instructional Reading Level - Per "&amp;(VLOOKUP($D$2,'Reading Report Logic'!$A$2:$B$8,2,FALSE)-1)&amp;"]"))), FALSE))),""))),"")</f>
        <v/>
      </c>
      <c r="D527" s="204" t="str" cm="1">
        <f t="array" aca="1" ref="D527" ca="1">IFERROR(
IF($J$2="ELA",
IF(VLOOKUP($A527, YES_Reading_ELA[], COLUMN(INDIRECT("YES_Reading_ELA[Instructional Reading Level - Per "&amp;VLOOKUP($D$2, 'Reading Report Logic'!$A$2:$B$8, 2, FALSE)&amp;"]")), FALSE)="", "",
VLOOKUP($A527,YES_Reading_ELA[], COLUMN(INDIRECT("YES_Reading_ELA[Instructional Reading Level - Per "&amp;VLOOKUP($D$2,'Reading Report Logic'!$A$2:$B$8,2,FALSE)&amp;"]")), FALSE)),
IF($J$2="FLA",
IF(VLOOKUP($A527, YES_Reading_FLA[], COLUMN(INDIRECT("YES_Reading_FLA[Instructional Reading Level - Per "&amp;VLOOKUP($D$2,'Reading Report Logic'!$A$2:$B$8,2,FALSE)&amp;"]")),FALSE)="","",
VLOOKUP($A527,YES_Reading_FLA[],COLUMN(INDIRECT("YES_Reading_FLA[Instructional Reading Level - Per "&amp;VLOOKUP($D$2,'Reading Report Logic'!$A$2:$B$8,2,FALSE)&amp;"]")),FALSE)),
IF($J$2="Combined",
IFERROR(
IF(VLOOKUP($A527, YES_Reading_ELA[], COLUMN(INDIRECT("YES_Reading_ELA[Instructional Reading Level - Per "&amp;VLOOKUP($D$2, 'Reading Report Logic'!$A$2:$B$8,2,FALSE)&amp;"]")), FALSE)="", "",
VLOOKUP($A527,YES_Reading_ELA[],COLUMN(INDIRECT("YES_Reading_ELA[Instructional Reading Level - Per "&amp;VLOOKUP($D$2,'Reading Report Logic'!$A$2:$B$8,2,FALSE)&amp;"]")),FALSE)),
IF(VLOOKUP($A527, YES_Reading_FLA[], COLUMN(INDIRECT("YES_Reading_FLA[Instructional Reading Level - Per "&amp;VLOOKUP($D$2, 'Reading Report Logic'!$A$2:$B$8, 2, FALSE)&amp;"]")),FALSE)="", "", VLOOKUP($A527,YES_Reading_FLA[],COLUMN(INDIRECT("YES_Reading_FLA[Instructional Reading Level - Per "&amp;VLOOKUP($D$2, 'Reading Report Logic'!$A$2:$B$8, 2, FALSE)&amp;"]")),FALSE))),""))),"")</f>
        <v/>
      </c>
      <c r="E527" s="205" t="str" cm="1">
        <f t="array" aca="1" ref="E527" ca="1">IFERROR(
IF($J$2="ELA",
IF(VLOOKUP($A527, YES_Reading_ELA[], COLUMN(INDIRECT("YES_Reading_ELA[Min Expectation - Per "&amp;VLOOKUP($D$2, 'Reading Report Logic'!$A$2:$B$8, 2, FALSE)&amp;"]")), FALSE)="", "",
VLOOKUP($A527,YES_Reading_ELA[], COLUMN(INDIRECT("YES_Reading_ELA[Min Expectation - Per "&amp;VLOOKUP($D$2,'Reading Report Logic'!$A$2:$B$8,2,FALSE)&amp;"]")), FALSE)),
IF($J$2="FLA",
IF(VLOOKUP($A527, YES_Reading_FLA[], COLUMN(INDIRECT("YES_Reading_FLA[Min Expectation - Per "&amp;VLOOKUP($D$2,'Reading Report Logic'!$A$2:$B$8,2,FALSE)&amp;"]")),FALSE)="","",
VLOOKUP($A527,YES_Reading_FLA[],COLUMN(INDIRECT("YES_Reading_FLA[Min Expectation - Per "&amp;VLOOKUP($D$2,'Reading Report Logic'!$A$2:$B$8,2,FALSE)&amp;"]")),FALSE)),
IF($J$2="Combined",
IFERROR(
IF(VLOOKUP($A527, YES_Reading_ELA[], COLUMN(INDIRECT("YES_Reading_ELA[Min Expectation - Per "&amp;VLOOKUP($D$2, 'Reading Report Logic'!$A$2:$B$8,2,FALSE)&amp;"]")), FALSE)="", "",
VLOOKUP($A527,YES_Reading_ELA[],COLUMN(INDIRECT("YES_Reading_ELA[Min Expectation - Per "&amp;VLOOKUP($D$2,'Reading Report Logic'!$A$2:$B$8,2,FALSE)&amp;"]")),FALSE)),
IF(VLOOKUP($A527, YES_Reading_FLA[], COLUMN(INDIRECT("YES_Reading_FLA[Min Expectation - Per "&amp;VLOOKUP($D$2, 'Reading Report Logic'!$A$2:$B$8, 2, FALSE)&amp;"]")),FALSE)="", "", VLOOKUP($A527,YES_Reading_FLA[],COLUMN(INDIRECT("YES_Reading_FLA[Min Expectation - Per "&amp;VLOOKUP($D$2, 'Reading Report Logic'!$A$2:$B$8, 2, FALSE)&amp;"]")),FALSE))),""))),"")</f>
        <v/>
      </c>
      <c r="F527" s="205" t="str" cm="1">
        <f t="array" aca="1" ref="F527" ca="1">IFERROR(
IF($J$2="ELA",
IF(VLOOKUP($A527, YES_Reading_ELA[], COLUMN(INDIRECT("YES_Reading_ELA[Max Expectation - Per "&amp;VLOOKUP($D$2, 'Reading Report Logic'!$A$2:$B$8, 2, FALSE)&amp;"]")), FALSE)="", "",
VLOOKUP($A527,YES_Reading_ELA[], COLUMN(INDIRECT("YES_Reading_ELA[Max Expectation - Per "&amp;VLOOKUP($D$2,'Reading Report Logic'!$A$2:$B$8,2,FALSE)&amp;"]")), FALSE)),
IF($J$2="FLA",
IF(VLOOKUP($A527, YES_Reading_FLA[], COLUMN(INDIRECT("YES_Reading_FLA[Max Expectation - Per "&amp;VLOOKUP($D$2,'Reading Report Logic'!$A$2:$B$8,2,FALSE)&amp;"]")),FALSE)="","",
VLOOKUP($A527,YES_Reading_FLA[],COLUMN(INDIRECT("YES_Reading_FLA[Max Expectation - Per "&amp;VLOOKUP($D$2,'Reading Report Logic'!$A$2:$B$8,2,FALSE)&amp;"]")),FALSE)),
IF($J$2="Combined",
IFERROR(
IF(VLOOKUP($A527, YES_Reading_ELA[], COLUMN(INDIRECT("YES_Reading_ELA[Max Expectation - Per "&amp;VLOOKUP($D$2, 'Reading Report Logic'!$A$2:$B$8,2,FALSE)&amp;"]")), FALSE)="", "",
VLOOKUP($A527,YES_Reading_ELA[],COLUMN(INDIRECT("YES_Reading_ELA[Max Expectation - Per "&amp;VLOOKUP($D$2,'Reading Report Logic'!$A$2:$B$8,2,FALSE)&amp;"]")),FALSE)),
IF(VLOOKUP($A527, YES_Reading_FLA[], COLUMN(INDIRECT("YES_Reading_FLA[Max Expectation - Per "&amp;VLOOKUP($D$2, 'Reading Report Logic'!$A$2:$B$8, 2, FALSE)&amp;"]")),FALSE)="", "", VLOOKUP($A527,YES_Reading_FLA[],COLUMN(INDIRECT("YES_Reading_FLA[Max Expectation - Per "&amp;VLOOKUP($D$2, 'Reading Report Logic'!$A$2:$B$8, 2, FALSE)&amp;"]")),FALSE))),""))),"")</f>
        <v/>
      </c>
      <c r="G527" s="205" t="str" cm="1">
        <f t="array" aca="1" ref="G527" ca="1">IFERROR(
IF($J$2="ELA",
IF(VLOOKUP($A527, YES_Reading_ELA[], COLUMN(INDIRECT("YES_Reading_ELA[Difference - Per "&amp;VLOOKUP($D$2, 'Reading Report Logic'!$A$2:$B$8, 2, FALSE)&amp;"]")), FALSE)="", "",
VLOOKUP($A527,YES_Reading_ELA[], COLUMN(INDIRECT("YES_Reading_ELA[Difference - Per "&amp;VLOOKUP($D$2,'Reading Report Logic'!$A$2:$B$8,2,FALSE)&amp;"]")), FALSE)),
IF($J$2="FLA",
IF(VLOOKUP($A527, YES_Reading_FLA[], COLUMN(INDIRECT("YES_Reading_FLA[Difference - Per "&amp;VLOOKUP($D$2,'Reading Report Logic'!$A$2:$B$8,2,FALSE)&amp;"]")),FALSE)="","",
VLOOKUP($A527,YES_Reading_FLA[],COLUMN(INDIRECT("YES_Reading_FLA[Difference - Per "&amp;VLOOKUP($D$2,'Reading Report Logic'!$A$2:$B$8,2,FALSE)&amp;"]")),FALSE)),
IF($J$2="Combined",
IFERROR(
IF(VLOOKUP($A527, YES_Reading_ELA[], COLUMN(INDIRECT("YES_Reading_ELA[Difference - Per "&amp;VLOOKUP($D$2, 'Reading Report Logic'!$A$2:$B$8,2,FALSE)&amp;"]")), FALSE)="", "",
VLOOKUP($A527,YES_Reading_ELA[],COLUMN(INDIRECT("YES_Reading_ELA[Difference - Per "&amp;VLOOKUP($D$2,'Reading Report Logic'!$A$2:$B$8,2,FALSE)&amp;"]")),FALSE)),
IF(VLOOKUP($A527, YES_Reading_FLA[], COLUMN(INDIRECT("YES_Reading_FLA[Difference - Per "&amp;VLOOKUP($D$2, 'Reading Report Logic'!$A$2:$B$8, 2, FALSE)&amp;"]")),FALSE)="", "", VLOOKUP($A527,YES_Reading_FLA[],COLUMN(INDIRECT("YES_Reading_FLA[Difference - Per "&amp;VLOOKUP($D$2, 'Reading Report Logic'!$A$2:$B$8, 2, FALSE)&amp;"]")),FALSE))),""))),"")</f>
        <v/>
      </c>
      <c r="H527" s="206" t="str">
        <f ca="1">IFERROR(VLOOKUP('Teacher Reading Pull Sheets'!$D527,_xlfn.VSTACK('ELA Reading Logic'!$A$22:$B$48,'FLA Reading Logic'!$A$22:$B$53),2,FALSE)-VLOOKUP('Teacher Reading Pull Sheets'!$C527,_xlfn.VSTACK('ELA Reading Logic'!$A$22:$B$48,'FLA Reading Logic'!$A$22:$B$53),2,FALSE),"")</f>
        <v/>
      </c>
      <c r="I527" s="212"/>
      <c r="J527" s="206"/>
      <c r="K527" s="197" t="str" cm="1">
        <f t="array" ref="K527">IFERROR(
IF($J$2="ELA",
IF(VLOOKUP($A527, YES_Reading_ELA[], COLUMN(YES_Reading_ELA[Self-Identified as African Descent]), FALSE)="", "",
VLOOKUP($A527,YES_Reading_ELA[], COLUMN(YES_Reading_ELA[Self-Identified as African Descent]), FALSE)),
IF($J$2="FLA",
IF(VLOOKUP($A527, YES_Reading_FLA[], COLUMN(YES_Reading_FLA[Self-Identified as African Descent]),FALSE)="","",
VLOOKUP($A527,YES_Reading_FLA[],COLUMN(YES_Reading_FLA[Self-Identified as African Descent]),FALSE)),
IF($J$2="Combined",
IFERROR(
IF(VLOOKUP($A527, YES_Reading_ELA[], COLUMN(YES_Reading_ELA[Self-Identified as African Descent]), FALSE)="", "",
VLOOKUP($A527,YES_Reading_ELA[],COLUMN(YES_Reading_ELA[Self-Identified as African Descent]),FALSE)),
IF(VLOOKUP($A527, YES_Reading_FLA[], COLUMN(YES_Reading_FLA[Self-Identified as African Descent]),FALSE)="", "", VLOOKUP($A527,YES_Reading_FLA[],COLUMN(YES_Reading_FLA[Self-Identified as African Descent]),FALSE))),""))),"")</f>
        <v/>
      </c>
      <c r="L527" s="73" t="str" cm="1">
        <f t="array" ref="L527">IFERROR(
IF($J$2="ELA",
IF(VLOOKUP($A527, YES_Reading_ELA[], COLUMN(YES_Reading_ELA[Self-Identified as Indigenous]), FALSE)="", "",
VLOOKUP($A527,YES_Reading_ELA[], COLUMN(YES_Reading_ELA[Self-Identified as Indigenous]), FALSE)),
IF($J$2="FLA",
IF(VLOOKUP($A527, YES_Reading_FLA[], COLUMN(YES_Reading_FLA[Self-Identified as Indigenous]),FALSE)="","",
VLOOKUP($A527,YES_Reading_FLA[],COLUMN(YES_Reading_FLA[Self-Identified as Indigenous]),FALSE)),
IF($J$2="Combined",
IFERROR(
IF(VLOOKUP($A527, YES_Reading_ELA[], COLUMN(YES_Reading_ELA[Self-Identified as Indigenous]), FALSE)="", "",
VLOOKUP($A527,YES_Reading_ELA[],COLUMN(YES_Reading_ELA[Self-Identified as Indigenous]),FALSE)),
IF(VLOOKUP($A527, YES_Reading_FLA[], COLUMN(YES_Reading_FLA[Self-Identified as Indigenous]),FALSE)="", "", VLOOKUP($A527,YES_Reading_FLA[],COLUMN(YES_Reading_FLA[Self-Identified as Indigenous]),FALSE))),""))),"")</f>
        <v/>
      </c>
    </row>
    <row r="528" spans="1:12" ht="19.5" customHeight="1" x14ac:dyDescent="0.25">
      <c r="A528" s="217"/>
      <c r="B528" s="220" t="str">
        <f>IFERROR(VLOOKUP(A528,_xlfn.VSTACK(YES_Reading_ELA[],YES_Reading_FLA[]),2,FALSE),"")</f>
        <v/>
      </c>
      <c r="C528" s="203" t="str" cm="1">
        <f t="array" aca="1" ref="C528" ca="1">IFERROR(
IF($J$2="ELA",
IF(VLOOKUP($A528, YES_Reading_ELA[], COLUMN(IF(VLOOKUP($D$2, 'Reading Report Logic'!$A$2:$B$8, 2, FALSE)=1, YES_Reading_ELA[Reading Level June of Previous School Year], INDIRECT("YES_Reading_ELA[Instructional Reading Level - Per "&amp;(VLOOKUP($D$2,'Reading Report Logic'!$A$2:$B$8,2,FALSE)-1)&amp;"]"))), FALSE)="", "",
VLOOKUP($A528,YES_Reading_ELA[], COLUMN(IF(VLOOKUP($D$2,'Reading Report Logic'!$A$2:$B$8,2,FALSE)=1, YES_Reading_ELA[Reading Level June of Previous School Year],INDIRECT("YES_Reading_ELA[Instructional Reading Level - Per "&amp;(VLOOKUP($D$2,'Reading Report Logic'!$A$2:$B$8,2,FALSE)-1)&amp;"]"))), FALSE)),
IF($J$2="FLA",
IF(VLOOKUP($A528, YES_Reading_FLA[], COLUMN(IF(VLOOKUP($D$2,'Reading Report Logic'!$A$2:$B$8,2,FALSE)=1, YES_Reading_FLA[Reading Level June of Previous School Year],INDIRECT("YES_Reading_FLA[Instructional Reading Level - Per "&amp;(VLOOKUP($D$2,'Reading Report Logic'!$A$2:$B$8,2,FALSE)-1)&amp;"]"))),FALSE)="","",
VLOOKUP($A528,YES_Reading_FLA[], COLUMN(IF(VLOOKUP($D$2,'Reading Report Logic'!$A$2:$B$8,2,FALSE)=1, YES_Reading_FLA[Reading Level June of Previous School Year],INDIRECT("YES_Reading_FLA[Instructional Reading Level - Per "&amp;(VLOOKUP($D$2,'Reading Report Logic'!$A$2:$B$8,2,FALSE)-1)&amp;"]"))),FALSE)),
IF($J$2="Combined",
IFERROR(
IF(VLOOKUP($A528, YES_Reading_ELA[], COLUMN(IF(VLOOKUP($D$2,'Reading Report Logic'!$A$2:$B$8,2,FALSE)=1, YES_Reading_ELA[Reading Level June of Previous School Year],INDIRECT("YES_Reading_ELA[Instructional Reading Level - Per "&amp;(VLOOKUP($D$2,'Reading Report Logic'!$A$2:$B$8,2,FALSE)-1)&amp;"]"))), FALSE)="", "",
VLOOKUP($A528,YES_Reading_ELA[],COLUMN(IF(VLOOKUP($D$2,'Reading Report Logic'!$A$2:$B$8,2,FALSE)=1, YES_Reading_ELA[Reading Level June of Previous School Year],INDIRECT("YES_Reading_ELA[Instructional Reading Level - Per "&amp;(VLOOKUP($D$2,'Reading Report Logic'!$A$2:$B$8,2,FALSE)-1)&amp;"]"))),FALSE)),
IF(VLOOKUP($A528, YES_Reading_FLA[], COLUMN(IF(VLOOKUP($D$2,'Reading Report Logic'!$A$2:$B$8,2,FALSE)=1, YES_Reading_FLA[Reading Level June of Previous School Year],INDIRECT("YES_Reading_FLA[Instructional Reading Level - Per "&amp;(VLOOKUP($D$2,'Reading Report Logic'!$A$2:$B$8,2,FALSE)-1)&amp;"]"))),FALSE)="", "", VLOOKUP($A528,YES_Reading_FLA[],COLUMN(IF(VLOOKUP($D$2,'Reading Report Logic'!$A$2:$B$8,2,FALSE)=1, YES_Reading_FLA[Reading Level June of Previous School Year],INDIRECT("YES_Reading_FLA[Instructional Reading Level - Per "&amp;(VLOOKUP($D$2,'Reading Report Logic'!$A$2:$B$8,2,FALSE)-1)&amp;"]"))), FALSE))),""))),"")</f>
        <v/>
      </c>
      <c r="D528" s="204" t="str" cm="1">
        <f t="array" aca="1" ref="D528" ca="1">IFERROR(
IF($J$2="ELA",
IF(VLOOKUP($A528, YES_Reading_ELA[], COLUMN(INDIRECT("YES_Reading_ELA[Instructional Reading Level - Per "&amp;VLOOKUP($D$2, 'Reading Report Logic'!$A$2:$B$8, 2, FALSE)&amp;"]")), FALSE)="", "",
VLOOKUP($A528,YES_Reading_ELA[], COLUMN(INDIRECT("YES_Reading_ELA[Instructional Reading Level - Per "&amp;VLOOKUP($D$2,'Reading Report Logic'!$A$2:$B$8,2,FALSE)&amp;"]")), FALSE)),
IF($J$2="FLA",
IF(VLOOKUP($A528, YES_Reading_FLA[], COLUMN(INDIRECT("YES_Reading_FLA[Instructional Reading Level - Per "&amp;VLOOKUP($D$2,'Reading Report Logic'!$A$2:$B$8,2,FALSE)&amp;"]")),FALSE)="","",
VLOOKUP($A528,YES_Reading_FLA[],COLUMN(INDIRECT("YES_Reading_FLA[Instructional Reading Level - Per "&amp;VLOOKUP($D$2,'Reading Report Logic'!$A$2:$B$8,2,FALSE)&amp;"]")),FALSE)),
IF($J$2="Combined",
IFERROR(
IF(VLOOKUP($A528, YES_Reading_ELA[], COLUMN(INDIRECT("YES_Reading_ELA[Instructional Reading Level - Per "&amp;VLOOKUP($D$2, 'Reading Report Logic'!$A$2:$B$8,2,FALSE)&amp;"]")), FALSE)="", "",
VLOOKUP($A528,YES_Reading_ELA[],COLUMN(INDIRECT("YES_Reading_ELA[Instructional Reading Level - Per "&amp;VLOOKUP($D$2,'Reading Report Logic'!$A$2:$B$8,2,FALSE)&amp;"]")),FALSE)),
IF(VLOOKUP($A528, YES_Reading_FLA[], COLUMN(INDIRECT("YES_Reading_FLA[Instructional Reading Level - Per "&amp;VLOOKUP($D$2, 'Reading Report Logic'!$A$2:$B$8, 2, FALSE)&amp;"]")),FALSE)="", "", VLOOKUP($A528,YES_Reading_FLA[],COLUMN(INDIRECT("YES_Reading_FLA[Instructional Reading Level - Per "&amp;VLOOKUP($D$2, 'Reading Report Logic'!$A$2:$B$8, 2, FALSE)&amp;"]")),FALSE))),""))),"")</f>
        <v/>
      </c>
      <c r="E528" s="205" t="str" cm="1">
        <f t="array" aca="1" ref="E528" ca="1">IFERROR(
IF($J$2="ELA",
IF(VLOOKUP($A528, YES_Reading_ELA[], COLUMN(INDIRECT("YES_Reading_ELA[Min Expectation - Per "&amp;VLOOKUP($D$2, 'Reading Report Logic'!$A$2:$B$8, 2, FALSE)&amp;"]")), FALSE)="", "",
VLOOKUP($A528,YES_Reading_ELA[], COLUMN(INDIRECT("YES_Reading_ELA[Min Expectation - Per "&amp;VLOOKUP($D$2,'Reading Report Logic'!$A$2:$B$8,2,FALSE)&amp;"]")), FALSE)),
IF($J$2="FLA",
IF(VLOOKUP($A528, YES_Reading_FLA[], COLUMN(INDIRECT("YES_Reading_FLA[Min Expectation - Per "&amp;VLOOKUP($D$2,'Reading Report Logic'!$A$2:$B$8,2,FALSE)&amp;"]")),FALSE)="","",
VLOOKUP($A528,YES_Reading_FLA[],COLUMN(INDIRECT("YES_Reading_FLA[Min Expectation - Per "&amp;VLOOKUP($D$2,'Reading Report Logic'!$A$2:$B$8,2,FALSE)&amp;"]")),FALSE)),
IF($J$2="Combined",
IFERROR(
IF(VLOOKUP($A528, YES_Reading_ELA[], COLUMN(INDIRECT("YES_Reading_ELA[Min Expectation - Per "&amp;VLOOKUP($D$2, 'Reading Report Logic'!$A$2:$B$8,2,FALSE)&amp;"]")), FALSE)="", "",
VLOOKUP($A528,YES_Reading_ELA[],COLUMN(INDIRECT("YES_Reading_ELA[Min Expectation - Per "&amp;VLOOKUP($D$2,'Reading Report Logic'!$A$2:$B$8,2,FALSE)&amp;"]")),FALSE)),
IF(VLOOKUP($A528, YES_Reading_FLA[], COLUMN(INDIRECT("YES_Reading_FLA[Min Expectation - Per "&amp;VLOOKUP($D$2, 'Reading Report Logic'!$A$2:$B$8, 2, FALSE)&amp;"]")),FALSE)="", "", VLOOKUP($A528,YES_Reading_FLA[],COLUMN(INDIRECT("YES_Reading_FLA[Min Expectation - Per "&amp;VLOOKUP($D$2, 'Reading Report Logic'!$A$2:$B$8, 2, FALSE)&amp;"]")),FALSE))),""))),"")</f>
        <v/>
      </c>
      <c r="F528" s="205" t="str" cm="1">
        <f t="array" aca="1" ref="F528" ca="1">IFERROR(
IF($J$2="ELA",
IF(VLOOKUP($A528, YES_Reading_ELA[], COLUMN(INDIRECT("YES_Reading_ELA[Max Expectation - Per "&amp;VLOOKUP($D$2, 'Reading Report Logic'!$A$2:$B$8, 2, FALSE)&amp;"]")), FALSE)="", "",
VLOOKUP($A528,YES_Reading_ELA[], COLUMN(INDIRECT("YES_Reading_ELA[Max Expectation - Per "&amp;VLOOKUP($D$2,'Reading Report Logic'!$A$2:$B$8,2,FALSE)&amp;"]")), FALSE)),
IF($J$2="FLA",
IF(VLOOKUP($A528, YES_Reading_FLA[], COLUMN(INDIRECT("YES_Reading_FLA[Max Expectation - Per "&amp;VLOOKUP($D$2,'Reading Report Logic'!$A$2:$B$8,2,FALSE)&amp;"]")),FALSE)="","",
VLOOKUP($A528,YES_Reading_FLA[],COLUMN(INDIRECT("YES_Reading_FLA[Max Expectation - Per "&amp;VLOOKUP($D$2,'Reading Report Logic'!$A$2:$B$8,2,FALSE)&amp;"]")),FALSE)),
IF($J$2="Combined",
IFERROR(
IF(VLOOKUP($A528, YES_Reading_ELA[], COLUMN(INDIRECT("YES_Reading_ELA[Max Expectation - Per "&amp;VLOOKUP($D$2, 'Reading Report Logic'!$A$2:$B$8,2,FALSE)&amp;"]")), FALSE)="", "",
VLOOKUP($A528,YES_Reading_ELA[],COLUMN(INDIRECT("YES_Reading_ELA[Max Expectation - Per "&amp;VLOOKUP($D$2,'Reading Report Logic'!$A$2:$B$8,2,FALSE)&amp;"]")),FALSE)),
IF(VLOOKUP($A528, YES_Reading_FLA[], COLUMN(INDIRECT("YES_Reading_FLA[Max Expectation - Per "&amp;VLOOKUP($D$2, 'Reading Report Logic'!$A$2:$B$8, 2, FALSE)&amp;"]")),FALSE)="", "", VLOOKUP($A528,YES_Reading_FLA[],COLUMN(INDIRECT("YES_Reading_FLA[Max Expectation - Per "&amp;VLOOKUP($D$2, 'Reading Report Logic'!$A$2:$B$8, 2, FALSE)&amp;"]")),FALSE))),""))),"")</f>
        <v/>
      </c>
      <c r="G528" s="205" t="str" cm="1">
        <f t="array" aca="1" ref="G528" ca="1">IFERROR(
IF($J$2="ELA",
IF(VLOOKUP($A528, YES_Reading_ELA[], COLUMN(INDIRECT("YES_Reading_ELA[Difference - Per "&amp;VLOOKUP($D$2, 'Reading Report Logic'!$A$2:$B$8, 2, FALSE)&amp;"]")), FALSE)="", "",
VLOOKUP($A528,YES_Reading_ELA[], COLUMN(INDIRECT("YES_Reading_ELA[Difference - Per "&amp;VLOOKUP($D$2,'Reading Report Logic'!$A$2:$B$8,2,FALSE)&amp;"]")), FALSE)),
IF($J$2="FLA",
IF(VLOOKUP($A528, YES_Reading_FLA[], COLUMN(INDIRECT("YES_Reading_FLA[Difference - Per "&amp;VLOOKUP($D$2,'Reading Report Logic'!$A$2:$B$8,2,FALSE)&amp;"]")),FALSE)="","",
VLOOKUP($A528,YES_Reading_FLA[],COLUMN(INDIRECT("YES_Reading_FLA[Difference - Per "&amp;VLOOKUP($D$2,'Reading Report Logic'!$A$2:$B$8,2,FALSE)&amp;"]")),FALSE)),
IF($J$2="Combined",
IFERROR(
IF(VLOOKUP($A528, YES_Reading_ELA[], COLUMN(INDIRECT("YES_Reading_ELA[Difference - Per "&amp;VLOOKUP($D$2, 'Reading Report Logic'!$A$2:$B$8,2,FALSE)&amp;"]")), FALSE)="", "",
VLOOKUP($A528,YES_Reading_ELA[],COLUMN(INDIRECT("YES_Reading_ELA[Difference - Per "&amp;VLOOKUP($D$2,'Reading Report Logic'!$A$2:$B$8,2,FALSE)&amp;"]")),FALSE)),
IF(VLOOKUP($A528, YES_Reading_FLA[], COLUMN(INDIRECT("YES_Reading_FLA[Difference - Per "&amp;VLOOKUP($D$2, 'Reading Report Logic'!$A$2:$B$8, 2, FALSE)&amp;"]")),FALSE)="", "", VLOOKUP($A528,YES_Reading_FLA[],COLUMN(INDIRECT("YES_Reading_FLA[Difference - Per "&amp;VLOOKUP($D$2, 'Reading Report Logic'!$A$2:$B$8, 2, FALSE)&amp;"]")),FALSE))),""))),"")</f>
        <v/>
      </c>
      <c r="H528" s="206" t="str">
        <f ca="1">IFERROR(VLOOKUP('Teacher Reading Pull Sheets'!$D528,_xlfn.VSTACK('ELA Reading Logic'!$A$22:$B$48,'FLA Reading Logic'!$A$22:$B$53),2,FALSE)-VLOOKUP('Teacher Reading Pull Sheets'!$C528,_xlfn.VSTACK('ELA Reading Logic'!$A$22:$B$48,'FLA Reading Logic'!$A$22:$B$53),2,FALSE),"")</f>
        <v/>
      </c>
      <c r="I528" s="212"/>
      <c r="J528" s="206"/>
      <c r="K528" s="197" t="str" cm="1">
        <f t="array" ref="K528">IFERROR(
IF($J$2="ELA",
IF(VLOOKUP($A528, YES_Reading_ELA[], COLUMN(YES_Reading_ELA[Self-Identified as African Descent]), FALSE)="", "",
VLOOKUP($A528,YES_Reading_ELA[], COLUMN(YES_Reading_ELA[Self-Identified as African Descent]), FALSE)),
IF($J$2="FLA",
IF(VLOOKUP($A528, YES_Reading_FLA[], COLUMN(YES_Reading_FLA[Self-Identified as African Descent]),FALSE)="","",
VLOOKUP($A528,YES_Reading_FLA[],COLUMN(YES_Reading_FLA[Self-Identified as African Descent]),FALSE)),
IF($J$2="Combined",
IFERROR(
IF(VLOOKUP($A528, YES_Reading_ELA[], COLUMN(YES_Reading_ELA[Self-Identified as African Descent]), FALSE)="", "",
VLOOKUP($A528,YES_Reading_ELA[],COLUMN(YES_Reading_ELA[Self-Identified as African Descent]),FALSE)),
IF(VLOOKUP($A528, YES_Reading_FLA[], COLUMN(YES_Reading_FLA[Self-Identified as African Descent]),FALSE)="", "", VLOOKUP($A528,YES_Reading_FLA[],COLUMN(YES_Reading_FLA[Self-Identified as African Descent]),FALSE))),""))),"")</f>
        <v/>
      </c>
      <c r="L528" s="73" t="str" cm="1">
        <f t="array" ref="L528">IFERROR(
IF($J$2="ELA",
IF(VLOOKUP($A528, YES_Reading_ELA[], COLUMN(YES_Reading_ELA[Self-Identified as Indigenous]), FALSE)="", "",
VLOOKUP($A528,YES_Reading_ELA[], COLUMN(YES_Reading_ELA[Self-Identified as Indigenous]), FALSE)),
IF($J$2="FLA",
IF(VLOOKUP($A528, YES_Reading_FLA[], COLUMN(YES_Reading_FLA[Self-Identified as Indigenous]),FALSE)="","",
VLOOKUP($A528,YES_Reading_FLA[],COLUMN(YES_Reading_FLA[Self-Identified as Indigenous]),FALSE)),
IF($J$2="Combined",
IFERROR(
IF(VLOOKUP($A528, YES_Reading_ELA[], COLUMN(YES_Reading_ELA[Self-Identified as Indigenous]), FALSE)="", "",
VLOOKUP($A528,YES_Reading_ELA[],COLUMN(YES_Reading_ELA[Self-Identified as Indigenous]),FALSE)),
IF(VLOOKUP($A528, YES_Reading_FLA[], COLUMN(YES_Reading_FLA[Self-Identified as Indigenous]),FALSE)="", "", VLOOKUP($A528,YES_Reading_FLA[],COLUMN(YES_Reading_FLA[Self-Identified as Indigenous]),FALSE))),""))),"")</f>
        <v/>
      </c>
    </row>
    <row r="529" spans="1:12" ht="19.5" customHeight="1" x14ac:dyDescent="0.25">
      <c r="A529" s="217"/>
      <c r="B529" s="220" t="str">
        <f>IFERROR(VLOOKUP(A529,_xlfn.VSTACK(YES_Reading_ELA[],YES_Reading_FLA[]),2,FALSE),"")</f>
        <v/>
      </c>
      <c r="C529" s="203" t="str" cm="1">
        <f t="array" aca="1" ref="C529" ca="1">IFERROR(
IF($J$2="ELA",
IF(VLOOKUP($A529, YES_Reading_ELA[], COLUMN(IF(VLOOKUP($D$2, 'Reading Report Logic'!$A$2:$B$8, 2, FALSE)=1, YES_Reading_ELA[Reading Level June of Previous School Year], INDIRECT("YES_Reading_ELA[Instructional Reading Level - Per "&amp;(VLOOKUP($D$2,'Reading Report Logic'!$A$2:$B$8,2,FALSE)-1)&amp;"]"))), FALSE)="", "",
VLOOKUP($A529,YES_Reading_ELA[], COLUMN(IF(VLOOKUP($D$2,'Reading Report Logic'!$A$2:$B$8,2,FALSE)=1, YES_Reading_ELA[Reading Level June of Previous School Year],INDIRECT("YES_Reading_ELA[Instructional Reading Level - Per "&amp;(VLOOKUP($D$2,'Reading Report Logic'!$A$2:$B$8,2,FALSE)-1)&amp;"]"))), FALSE)),
IF($J$2="FLA",
IF(VLOOKUP($A529, YES_Reading_FLA[], COLUMN(IF(VLOOKUP($D$2,'Reading Report Logic'!$A$2:$B$8,2,FALSE)=1, YES_Reading_FLA[Reading Level June of Previous School Year],INDIRECT("YES_Reading_FLA[Instructional Reading Level - Per "&amp;(VLOOKUP($D$2,'Reading Report Logic'!$A$2:$B$8,2,FALSE)-1)&amp;"]"))),FALSE)="","",
VLOOKUP($A529,YES_Reading_FLA[], COLUMN(IF(VLOOKUP($D$2,'Reading Report Logic'!$A$2:$B$8,2,FALSE)=1, YES_Reading_FLA[Reading Level June of Previous School Year],INDIRECT("YES_Reading_FLA[Instructional Reading Level - Per "&amp;(VLOOKUP($D$2,'Reading Report Logic'!$A$2:$B$8,2,FALSE)-1)&amp;"]"))),FALSE)),
IF($J$2="Combined",
IFERROR(
IF(VLOOKUP($A529, YES_Reading_ELA[], COLUMN(IF(VLOOKUP($D$2,'Reading Report Logic'!$A$2:$B$8,2,FALSE)=1, YES_Reading_ELA[Reading Level June of Previous School Year],INDIRECT("YES_Reading_ELA[Instructional Reading Level - Per "&amp;(VLOOKUP($D$2,'Reading Report Logic'!$A$2:$B$8,2,FALSE)-1)&amp;"]"))), FALSE)="", "",
VLOOKUP($A529,YES_Reading_ELA[],COLUMN(IF(VLOOKUP($D$2,'Reading Report Logic'!$A$2:$B$8,2,FALSE)=1, YES_Reading_ELA[Reading Level June of Previous School Year],INDIRECT("YES_Reading_ELA[Instructional Reading Level - Per "&amp;(VLOOKUP($D$2,'Reading Report Logic'!$A$2:$B$8,2,FALSE)-1)&amp;"]"))),FALSE)),
IF(VLOOKUP($A529, YES_Reading_FLA[], COLUMN(IF(VLOOKUP($D$2,'Reading Report Logic'!$A$2:$B$8,2,FALSE)=1, YES_Reading_FLA[Reading Level June of Previous School Year],INDIRECT("YES_Reading_FLA[Instructional Reading Level - Per "&amp;(VLOOKUP($D$2,'Reading Report Logic'!$A$2:$B$8,2,FALSE)-1)&amp;"]"))),FALSE)="", "", VLOOKUP($A529,YES_Reading_FLA[],COLUMN(IF(VLOOKUP($D$2,'Reading Report Logic'!$A$2:$B$8,2,FALSE)=1, YES_Reading_FLA[Reading Level June of Previous School Year],INDIRECT("YES_Reading_FLA[Instructional Reading Level - Per "&amp;(VLOOKUP($D$2,'Reading Report Logic'!$A$2:$B$8,2,FALSE)-1)&amp;"]"))), FALSE))),""))),"")</f>
        <v/>
      </c>
      <c r="D529" s="204" t="str" cm="1">
        <f t="array" aca="1" ref="D529" ca="1">IFERROR(
IF($J$2="ELA",
IF(VLOOKUP($A529, YES_Reading_ELA[], COLUMN(INDIRECT("YES_Reading_ELA[Instructional Reading Level - Per "&amp;VLOOKUP($D$2, 'Reading Report Logic'!$A$2:$B$8, 2, FALSE)&amp;"]")), FALSE)="", "",
VLOOKUP($A529,YES_Reading_ELA[], COLUMN(INDIRECT("YES_Reading_ELA[Instructional Reading Level - Per "&amp;VLOOKUP($D$2,'Reading Report Logic'!$A$2:$B$8,2,FALSE)&amp;"]")), FALSE)),
IF($J$2="FLA",
IF(VLOOKUP($A529, YES_Reading_FLA[], COLUMN(INDIRECT("YES_Reading_FLA[Instructional Reading Level - Per "&amp;VLOOKUP($D$2,'Reading Report Logic'!$A$2:$B$8,2,FALSE)&amp;"]")),FALSE)="","",
VLOOKUP($A529,YES_Reading_FLA[],COLUMN(INDIRECT("YES_Reading_FLA[Instructional Reading Level - Per "&amp;VLOOKUP($D$2,'Reading Report Logic'!$A$2:$B$8,2,FALSE)&amp;"]")),FALSE)),
IF($J$2="Combined",
IFERROR(
IF(VLOOKUP($A529, YES_Reading_ELA[], COLUMN(INDIRECT("YES_Reading_ELA[Instructional Reading Level - Per "&amp;VLOOKUP($D$2, 'Reading Report Logic'!$A$2:$B$8,2,FALSE)&amp;"]")), FALSE)="", "",
VLOOKUP($A529,YES_Reading_ELA[],COLUMN(INDIRECT("YES_Reading_ELA[Instructional Reading Level - Per "&amp;VLOOKUP($D$2,'Reading Report Logic'!$A$2:$B$8,2,FALSE)&amp;"]")),FALSE)),
IF(VLOOKUP($A529, YES_Reading_FLA[], COLUMN(INDIRECT("YES_Reading_FLA[Instructional Reading Level - Per "&amp;VLOOKUP($D$2, 'Reading Report Logic'!$A$2:$B$8, 2, FALSE)&amp;"]")),FALSE)="", "", VLOOKUP($A529,YES_Reading_FLA[],COLUMN(INDIRECT("YES_Reading_FLA[Instructional Reading Level - Per "&amp;VLOOKUP($D$2, 'Reading Report Logic'!$A$2:$B$8, 2, FALSE)&amp;"]")),FALSE))),""))),"")</f>
        <v/>
      </c>
      <c r="E529" s="205" t="str" cm="1">
        <f t="array" aca="1" ref="E529" ca="1">IFERROR(
IF($J$2="ELA",
IF(VLOOKUP($A529, YES_Reading_ELA[], COLUMN(INDIRECT("YES_Reading_ELA[Min Expectation - Per "&amp;VLOOKUP($D$2, 'Reading Report Logic'!$A$2:$B$8, 2, FALSE)&amp;"]")), FALSE)="", "",
VLOOKUP($A529,YES_Reading_ELA[], COLUMN(INDIRECT("YES_Reading_ELA[Min Expectation - Per "&amp;VLOOKUP($D$2,'Reading Report Logic'!$A$2:$B$8,2,FALSE)&amp;"]")), FALSE)),
IF($J$2="FLA",
IF(VLOOKUP($A529, YES_Reading_FLA[], COLUMN(INDIRECT("YES_Reading_FLA[Min Expectation - Per "&amp;VLOOKUP($D$2,'Reading Report Logic'!$A$2:$B$8,2,FALSE)&amp;"]")),FALSE)="","",
VLOOKUP($A529,YES_Reading_FLA[],COLUMN(INDIRECT("YES_Reading_FLA[Min Expectation - Per "&amp;VLOOKUP($D$2,'Reading Report Logic'!$A$2:$B$8,2,FALSE)&amp;"]")),FALSE)),
IF($J$2="Combined",
IFERROR(
IF(VLOOKUP($A529, YES_Reading_ELA[], COLUMN(INDIRECT("YES_Reading_ELA[Min Expectation - Per "&amp;VLOOKUP($D$2, 'Reading Report Logic'!$A$2:$B$8,2,FALSE)&amp;"]")), FALSE)="", "",
VLOOKUP($A529,YES_Reading_ELA[],COLUMN(INDIRECT("YES_Reading_ELA[Min Expectation - Per "&amp;VLOOKUP($D$2,'Reading Report Logic'!$A$2:$B$8,2,FALSE)&amp;"]")),FALSE)),
IF(VLOOKUP($A529, YES_Reading_FLA[], COLUMN(INDIRECT("YES_Reading_FLA[Min Expectation - Per "&amp;VLOOKUP($D$2, 'Reading Report Logic'!$A$2:$B$8, 2, FALSE)&amp;"]")),FALSE)="", "", VLOOKUP($A529,YES_Reading_FLA[],COLUMN(INDIRECT("YES_Reading_FLA[Min Expectation - Per "&amp;VLOOKUP($D$2, 'Reading Report Logic'!$A$2:$B$8, 2, FALSE)&amp;"]")),FALSE))),""))),"")</f>
        <v/>
      </c>
      <c r="F529" s="205" t="str" cm="1">
        <f t="array" aca="1" ref="F529" ca="1">IFERROR(
IF($J$2="ELA",
IF(VLOOKUP($A529, YES_Reading_ELA[], COLUMN(INDIRECT("YES_Reading_ELA[Max Expectation - Per "&amp;VLOOKUP($D$2, 'Reading Report Logic'!$A$2:$B$8, 2, FALSE)&amp;"]")), FALSE)="", "",
VLOOKUP($A529,YES_Reading_ELA[], COLUMN(INDIRECT("YES_Reading_ELA[Max Expectation - Per "&amp;VLOOKUP($D$2,'Reading Report Logic'!$A$2:$B$8,2,FALSE)&amp;"]")), FALSE)),
IF($J$2="FLA",
IF(VLOOKUP($A529, YES_Reading_FLA[], COLUMN(INDIRECT("YES_Reading_FLA[Max Expectation - Per "&amp;VLOOKUP($D$2,'Reading Report Logic'!$A$2:$B$8,2,FALSE)&amp;"]")),FALSE)="","",
VLOOKUP($A529,YES_Reading_FLA[],COLUMN(INDIRECT("YES_Reading_FLA[Max Expectation - Per "&amp;VLOOKUP($D$2,'Reading Report Logic'!$A$2:$B$8,2,FALSE)&amp;"]")),FALSE)),
IF($J$2="Combined",
IFERROR(
IF(VLOOKUP($A529, YES_Reading_ELA[], COLUMN(INDIRECT("YES_Reading_ELA[Max Expectation - Per "&amp;VLOOKUP($D$2, 'Reading Report Logic'!$A$2:$B$8,2,FALSE)&amp;"]")), FALSE)="", "",
VLOOKUP($A529,YES_Reading_ELA[],COLUMN(INDIRECT("YES_Reading_ELA[Max Expectation - Per "&amp;VLOOKUP($D$2,'Reading Report Logic'!$A$2:$B$8,2,FALSE)&amp;"]")),FALSE)),
IF(VLOOKUP($A529, YES_Reading_FLA[], COLUMN(INDIRECT("YES_Reading_FLA[Max Expectation - Per "&amp;VLOOKUP($D$2, 'Reading Report Logic'!$A$2:$B$8, 2, FALSE)&amp;"]")),FALSE)="", "", VLOOKUP($A529,YES_Reading_FLA[],COLUMN(INDIRECT("YES_Reading_FLA[Max Expectation - Per "&amp;VLOOKUP($D$2, 'Reading Report Logic'!$A$2:$B$8, 2, FALSE)&amp;"]")),FALSE))),""))),"")</f>
        <v/>
      </c>
      <c r="G529" s="205" t="str" cm="1">
        <f t="array" aca="1" ref="G529" ca="1">IFERROR(
IF($J$2="ELA",
IF(VLOOKUP($A529, YES_Reading_ELA[], COLUMN(INDIRECT("YES_Reading_ELA[Difference - Per "&amp;VLOOKUP($D$2, 'Reading Report Logic'!$A$2:$B$8, 2, FALSE)&amp;"]")), FALSE)="", "",
VLOOKUP($A529,YES_Reading_ELA[], COLUMN(INDIRECT("YES_Reading_ELA[Difference - Per "&amp;VLOOKUP($D$2,'Reading Report Logic'!$A$2:$B$8,2,FALSE)&amp;"]")), FALSE)),
IF($J$2="FLA",
IF(VLOOKUP($A529, YES_Reading_FLA[], COLUMN(INDIRECT("YES_Reading_FLA[Difference - Per "&amp;VLOOKUP($D$2,'Reading Report Logic'!$A$2:$B$8,2,FALSE)&amp;"]")),FALSE)="","",
VLOOKUP($A529,YES_Reading_FLA[],COLUMN(INDIRECT("YES_Reading_FLA[Difference - Per "&amp;VLOOKUP($D$2,'Reading Report Logic'!$A$2:$B$8,2,FALSE)&amp;"]")),FALSE)),
IF($J$2="Combined",
IFERROR(
IF(VLOOKUP($A529, YES_Reading_ELA[], COLUMN(INDIRECT("YES_Reading_ELA[Difference - Per "&amp;VLOOKUP($D$2, 'Reading Report Logic'!$A$2:$B$8,2,FALSE)&amp;"]")), FALSE)="", "",
VLOOKUP($A529,YES_Reading_ELA[],COLUMN(INDIRECT("YES_Reading_ELA[Difference - Per "&amp;VLOOKUP($D$2,'Reading Report Logic'!$A$2:$B$8,2,FALSE)&amp;"]")),FALSE)),
IF(VLOOKUP($A529, YES_Reading_FLA[], COLUMN(INDIRECT("YES_Reading_FLA[Difference - Per "&amp;VLOOKUP($D$2, 'Reading Report Logic'!$A$2:$B$8, 2, FALSE)&amp;"]")),FALSE)="", "", VLOOKUP($A529,YES_Reading_FLA[],COLUMN(INDIRECT("YES_Reading_FLA[Difference - Per "&amp;VLOOKUP($D$2, 'Reading Report Logic'!$A$2:$B$8, 2, FALSE)&amp;"]")),FALSE))),""))),"")</f>
        <v/>
      </c>
      <c r="H529" s="206" t="str">
        <f ca="1">IFERROR(VLOOKUP('Teacher Reading Pull Sheets'!$D529,_xlfn.VSTACK('ELA Reading Logic'!$A$22:$B$48,'FLA Reading Logic'!$A$22:$B$53),2,FALSE)-VLOOKUP('Teacher Reading Pull Sheets'!$C529,_xlfn.VSTACK('ELA Reading Logic'!$A$22:$B$48,'FLA Reading Logic'!$A$22:$B$53),2,FALSE),"")</f>
        <v/>
      </c>
      <c r="I529" s="212"/>
      <c r="J529" s="206"/>
      <c r="K529" s="197" t="str" cm="1">
        <f t="array" ref="K529">IFERROR(
IF($J$2="ELA",
IF(VLOOKUP($A529, YES_Reading_ELA[], COLUMN(YES_Reading_ELA[Self-Identified as African Descent]), FALSE)="", "",
VLOOKUP($A529,YES_Reading_ELA[], COLUMN(YES_Reading_ELA[Self-Identified as African Descent]), FALSE)),
IF($J$2="FLA",
IF(VLOOKUP($A529, YES_Reading_FLA[], COLUMN(YES_Reading_FLA[Self-Identified as African Descent]),FALSE)="","",
VLOOKUP($A529,YES_Reading_FLA[],COLUMN(YES_Reading_FLA[Self-Identified as African Descent]),FALSE)),
IF($J$2="Combined",
IFERROR(
IF(VLOOKUP($A529, YES_Reading_ELA[], COLUMN(YES_Reading_ELA[Self-Identified as African Descent]), FALSE)="", "",
VLOOKUP($A529,YES_Reading_ELA[],COLUMN(YES_Reading_ELA[Self-Identified as African Descent]),FALSE)),
IF(VLOOKUP($A529, YES_Reading_FLA[], COLUMN(YES_Reading_FLA[Self-Identified as African Descent]),FALSE)="", "", VLOOKUP($A529,YES_Reading_FLA[],COLUMN(YES_Reading_FLA[Self-Identified as African Descent]),FALSE))),""))),"")</f>
        <v/>
      </c>
      <c r="L529" s="73" t="str" cm="1">
        <f t="array" ref="L529">IFERROR(
IF($J$2="ELA",
IF(VLOOKUP($A529, YES_Reading_ELA[], COLUMN(YES_Reading_ELA[Self-Identified as Indigenous]), FALSE)="", "",
VLOOKUP($A529,YES_Reading_ELA[], COLUMN(YES_Reading_ELA[Self-Identified as Indigenous]), FALSE)),
IF($J$2="FLA",
IF(VLOOKUP($A529, YES_Reading_FLA[], COLUMN(YES_Reading_FLA[Self-Identified as Indigenous]),FALSE)="","",
VLOOKUP($A529,YES_Reading_FLA[],COLUMN(YES_Reading_FLA[Self-Identified as Indigenous]),FALSE)),
IF($J$2="Combined",
IFERROR(
IF(VLOOKUP($A529, YES_Reading_ELA[], COLUMN(YES_Reading_ELA[Self-Identified as Indigenous]), FALSE)="", "",
VLOOKUP($A529,YES_Reading_ELA[],COLUMN(YES_Reading_ELA[Self-Identified as Indigenous]),FALSE)),
IF(VLOOKUP($A529, YES_Reading_FLA[], COLUMN(YES_Reading_FLA[Self-Identified as Indigenous]),FALSE)="", "", VLOOKUP($A529,YES_Reading_FLA[],COLUMN(YES_Reading_FLA[Self-Identified as Indigenous]),FALSE))),""))),"")</f>
        <v/>
      </c>
    </row>
    <row r="530" spans="1:12" ht="19.5" customHeight="1" x14ac:dyDescent="0.25">
      <c r="A530" s="217"/>
      <c r="B530" s="220" t="str">
        <f>IFERROR(VLOOKUP(A530,_xlfn.VSTACK(YES_Reading_ELA[],YES_Reading_FLA[]),2,FALSE),"")</f>
        <v/>
      </c>
      <c r="C530" s="203" t="str" cm="1">
        <f t="array" aca="1" ref="C530" ca="1">IFERROR(
IF($J$2="ELA",
IF(VLOOKUP($A530, YES_Reading_ELA[], COLUMN(IF(VLOOKUP($D$2, 'Reading Report Logic'!$A$2:$B$8, 2, FALSE)=1, YES_Reading_ELA[Reading Level June of Previous School Year], INDIRECT("YES_Reading_ELA[Instructional Reading Level - Per "&amp;(VLOOKUP($D$2,'Reading Report Logic'!$A$2:$B$8,2,FALSE)-1)&amp;"]"))), FALSE)="", "",
VLOOKUP($A530,YES_Reading_ELA[], COLUMN(IF(VLOOKUP($D$2,'Reading Report Logic'!$A$2:$B$8,2,FALSE)=1, YES_Reading_ELA[Reading Level June of Previous School Year],INDIRECT("YES_Reading_ELA[Instructional Reading Level - Per "&amp;(VLOOKUP($D$2,'Reading Report Logic'!$A$2:$B$8,2,FALSE)-1)&amp;"]"))), FALSE)),
IF($J$2="FLA",
IF(VLOOKUP($A530, YES_Reading_FLA[], COLUMN(IF(VLOOKUP($D$2,'Reading Report Logic'!$A$2:$B$8,2,FALSE)=1, YES_Reading_FLA[Reading Level June of Previous School Year],INDIRECT("YES_Reading_FLA[Instructional Reading Level - Per "&amp;(VLOOKUP($D$2,'Reading Report Logic'!$A$2:$B$8,2,FALSE)-1)&amp;"]"))),FALSE)="","",
VLOOKUP($A530,YES_Reading_FLA[], COLUMN(IF(VLOOKUP($D$2,'Reading Report Logic'!$A$2:$B$8,2,FALSE)=1, YES_Reading_FLA[Reading Level June of Previous School Year],INDIRECT("YES_Reading_FLA[Instructional Reading Level - Per "&amp;(VLOOKUP($D$2,'Reading Report Logic'!$A$2:$B$8,2,FALSE)-1)&amp;"]"))),FALSE)),
IF($J$2="Combined",
IFERROR(
IF(VLOOKUP($A530, YES_Reading_ELA[], COLUMN(IF(VLOOKUP($D$2,'Reading Report Logic'!$A$2:$B$8,2,FALSE)=1, YES_Reading_ELA[Reading Level June of Previous School Year],INDIRECT("YES_Reading_ELA[Instructional Reading Level - Per "&amp;(VLOOKUP($D$2,'Reading Report Logic'!$A$2:$B$8,2,FALSE)-1)&amp;"]"))), FALSE)="", "",
VLOOKUP($A530,YES_Reading_ELA[],COLUMN(IF(VLOOKUP($D$2,'Reading Report Logic'!$A$2:$B$8,2,FALSE)=1, YES_Reading_ELA[Reading Level June of Previous School Year],INDIRECT("YES_Reading_ELA[Instructional Reading Level - Per "&amp;(VLOOKUP($D$2,'Reading Report Logic'!$A$2:$B$8,2,FALSE)-1)&amp;"]"))),FALSE)),
IF(VLOOKUP($A530, YES_Reading_FLA[], COLUMN(IF(VLOOKUP($D$2,'Reading Report Logic'!$A$2:$B$8,2,FALSE)=1, YES_Reading_FLA[Reading Level June of Previous School Year],INDIRECT("YES_Reading_FLA[Instructional Reading Level - Per "&amp;(VLOOKUP($D$2,'Reading Report Logic'!$A$2:$B$8,2,FALSE)-1)&amp;"]"))),FALSE)="", "", VLOOKUP($A530,YES_Reading_FLA[],COLUMN(IF(VLOOKUP($D$2,'Reading Report Logic'!$A$2:$B$8,2,FALSE)=1, YES_Reading_FLA[Reading Level June of Previous School Year],INDIRECT("YES_Reading_FLA[Instructional Reading Level - Per "&amp;(VLOOKUP($D$2,'Reading Report Logic'!$A$2:$B$8,2,FALSE)-1)&amp;"]"))), FALSE))),""))),"")</f>
        <v/>
      </c>
      <c r="D530" s="204" t="str" cm="1">
        <f t="array" aca="1" ref="D530" ca="1">IFERROR(
IF($J$2="ELA",
IF(VLOOKUP($A530, YES_Reading_ELA[], COLUMN(INDIRECT("YES_Reading_ELA[Instructional Reading Level - Per "&amp;VLOOKUP($D$2, 'Reading Report Logic'!$A$2:$B$8, 2, FALSE)&amp;"]")), FALSE)="", "",
VLOOKUP($A530,YES_Reading_ELA[], COLUMN(INDIRECT("YES_Reading_ELA[Instructional Reading Level - Per "&amp;VLOOKUP($D$2,'Reading Report Logic'!$A$2:$B$8,2,FALSE)&amp;"]")), FALSE)),
IF($J$2="FLA",
IF(VLOOKUP($A530, YES_Reading_FLA[], COLUMN(INDIRECT("YES_Reading_FLA[Instructional Reading Level - Per "&amp;VLOOKUP($D$2,'Reading Report Logic'!$A$2:$B$8,2,FALSE)&amp;"]")),FALSE)="","",
VLOOKUP($A530,YES_Reading_FLA[],COLUMN(INDIRECT("YES_Reading_FLA[Instructional Reading Level - Per "&amp;VLOOKUP($D$2,'Reading Report Logic'!$A$2:$B$8,2,FALSE)&amp;"]")),FALSE)),
IF($J$2="Combined",
IFERROR(
IF(VLOOKUP($A530, YES_Reading_ELA[], COLUMN(INDIRECT("YES_Reading_ELA[Instructional Reading Level - Per "&amp;VLOOKUP($D$2, 'Reading Report Logic'!$A$2:$B$8,2,FALSE)&amp;"]")), FALSE)="", "",
VLOOKUP($A530,YES_Reading_ELA[],COLUMN(INDIRECT("YES_Reading_ELA[Instructional Reading Level - Per "&amp;VLOOKUP($D$2,'Reading Report Logic'!$A$2:$B$8,2,FALSE)&amp;"]")),FALSE)),
IF(VLOOKUP($A530, YES_Reading_FLA[], COLUMN(INDIRECT("YES_Reading_FLA[Instructional Reading Level - Per "&amp;VLOOKUP($D$2, 'Reading Report Logic'!$A$2:$B$8, 2, FALSE)&amp;"]")),FALSE)="", "", VLOOKUP($A530,YES_Reading_FLA[],COLUMN(INDIRECT("YES_Reading_FLA[Instructional Reading Level - Per "&amp;VLOOKUP($D$2, 'Reading Report Logic'!$A$2:$B$8, 2, FALSE)&amp;"]")),FALSE))),""))),"")</f>
        <v/>
      </c>
      <c r="E530" s="205" t="str" cm="1">
        <f t="array" aca="1" ref="E530" ca="1">IFERROR(
IF($J$2="ELA",
IF(VLOOKUP($A530, YES_Reading_ELA[], COLUMN(INDIRECT("YES_Reading_ELA[Min Expectation - Per "&amp;VLOOKUP($D$2, 'Reading Report Logic'!$A$2:$B$8, 2, FALSE)&amp;"]")), FALSE)="", "",
VLOOKUP($A530,YES_Reading_ELA[], COLUMN(INDIRECT("YES_Reading_ELA[Min Expectation - Per "&amp;VLOOKUP($D$2,'Reading Report Logic'!$A$2:$B$8,2,FALSE)&amp;"]")), FALSE)),
IF($J$2="FLA",
IF(VLOOKUP($A530, YES_Reading_FLA[], COLUMN(INDIRECT("YES_Reading_FLA[Min Expectation - Per "&amp;VLOOKUP($D$2,'Reading Report Logic'!$A$2:$B$8,2,FALSE)&amp;"]")),FALSE)="","",
VLOOKUP($A530,YES_Reading_FLA[],COLUMN(INDIRECT("YES_Reading_FLA[Min Expectation - Per "&amp;VLOOKUP($D$2,'Reading Report Logic'!$A$2:$B$8,2,FALSE)&amp;"]")),FALSE)),
IF($J$2="Combined",
IFERROR(
IF(VLOOKUP($A530, YES_Reading_ELA[], COLUMN(INDIRECT("YES_Reading_ELA[Min Expectation - Per "&amp;VLOOKUP($D$2, 'Reading Report Logic'!$A$2:$B$8,2,FALSE)&amp;"]")), FALSE)="", "",
VLOOKUP($A530,YES_Reading_ELA[],COLUMN(INDIRECT("YES_Reading_ELA[Min Expectation - Per "&amp;VLOOKUP($D$2,'Reading Report Logic'!$A$2:$B$8,2,FALSE)&amp;"]")),FALSE)),
IF(VLOOKUP($A530, YES_Reading_FLA[], COLUMN(INDIRECT("YES_Reading_FLA[Min Expectation - Per "&amp;VLOOKUP($D$2, 'Reading Report Logic'!$A$2:$B$8, 2, FALSE)&amp;"]")),FALSE)="", "", VLOOKUP($A530,YES_Reading_FLA[],COLUMN(INDIRECT("YES_Reading_FLA[Min Expectation - Per "&amp;VLOOKUP($D$2, 'Reading Report Logic'!$A$2:$B$8, 2, FALSE)&amp;"]")),FALSE))),""))),"")</f>
        <v/>
      </c>
      <c r="F530" s="205" t="str" cm="1">
        <f t="array" aca="1" ref="F530" ca="1">IFERROR(
IF($J$2="ELA",
IF(VLOOKUP($A530, YES_Reading_ELA[], COLUMN(INDIRECT("YES_Reading_ELA[Max Expectation - Per "&amp;VLOOKUP($D$2, 'Reading Report Logic'!$A$2:$B$8, 2, FALSE)&amp;"]")), FALSE)="", "",
VLOOKUP($A530,YES_Reading_ELA[], COLUMN(INDIRECT("YES_Reading_ELA[Max Expectation - Per "&amp;VLOOKUP($D$2,'Reading Report Logic'!$A$2:$B$8,2,FALSE)&amp;"]")), FALSE)),
IF($J$2="FLA",
IF(VLOOKUP($A530, YES_Reading_FLA[], COLUMN(INDIRECT("YES_Reading_FLA[Max Expectation - Per "&amp;VLOOKUP($D$2,'Reading Report Logic'!$A$2:$B$8,2,FALSE)&amp;"]")),FALSE)="","",
VLOOKUP($A530,YES_Reading_FLA[],COLUMN(INDIRECT("YES_Reading_FLA[Max Expectation - Per "&amp;VLOOKUP($D$2,'Reading Report Logic'!$A$2:$B$8,2,FALSE)&amp;"]")),FALSE)),
IF($J$2="Combined",
IFERROR(
IF(VLOOKUP($A530, YES_Reading_ELA[], COLUMN(INDIRECT("YES_Reading_ELA[Max Expectation - Per "&amp;VLOOKUP($D$2, 'Reading Report Logic'!$A$2:$B$8,2,FALSE)&amp;"]")), FALSE)="", "",
VLOOKUP($A530,YES_Reading_ELA[],COLUMN(INDIRECT("YES_Reading_ELA[Max Expectation - Per "&amp;VLOOKUP($D$2,'Reading Report Logic'!$A$2:$B$8,2,FALSE)&amp;"]")),FALSE)),
IF(VLOOKUP($A530, YES_Reading_FLA[], COLUMN(INDIRECT("YES_Reading_FLA[Max Expectation - Per "&amp;VLOOKUP($D$2, 'Reading Report Logic'!$A$2:$B$8, 2, FALSE)&amp;"]")),FALSE)="", "", VLOOKUP($A530,YES_Reading_FLA[],COLUMN(INDIRECT("YES_Reading_FLA[Max Expectation - Per "&amp;VLOOKUP($D$2, 'Reading Report Logic'!$A$2:$B$8, 2, FALSE)&amp;"]")),FALSE))),""))),"")</f>
        <v/>
      </c>
      <c r="G530" s="205" t="str" cm="1">
        <f t="array" aca="1" ref="G530" ca="1">IFERROR(
IF($J$2="ELA",
IF(VLOOKUP($A530, YES_Reading_ELA[], COLUMN(INDIRECT("YES_Reading_ELA[Difference - Per "&amp;VLOOKUP($D$2, 'Reading Report Logic'!$A$2:$B$8, 2, FALSE)&amp;"]")), FALSE)="", "",
VLOOKUP($A530,YES_Reading_ELA[], COLUMN(INDIRECT("YES_Reading_ELA[Difference - Per "&amp;VLOOKUP($D$2,'Reading Report Logic'!$A$2:$B$8,2,FALSE)&amp;"]")), FALSE)),
IF($J$2="FLA",
IF(VLOOKUP($A530, YES_Reading_FLA[], COLUMN(INDIRECT("YES_Reading_FLA[Difference - Per "&amp;VLOOKUP($D$2,'Reading Report Logic'!$A$2:$B$8,2,FALSE)&amp;"]")),FALSE)="","",
VLOOKUP($A530,YES_Reading_FLA[],COLUMN(INDIRECT("YES_Reading_FLA[Difference - Per "&amp;VLOOKUP($D$2,'Reading Report Logic'!$A$2:$B$8,2,FALSE)&amp;"]")),FALSE)),
IF($J$2="Combined",
IFERROR(
IF(VLOOKUP($A530, YES_Reading_ELA[], COLUMN(INDIRECT("YES_Reading_ELA[Difference - Per "&amp;VLOOKUP($D$2, 'Reading Report Logic'!$A$2:$B$8,2,FALSE)&amp;"]")), FALSE)="", "",
VLOOKUP($A530,YES_Reading_ELA[],COLUMN(INDIRECT("YES_Reading_ELA[Difference - Per "&amp;VLOOKUP($D$2,'Reading Report Logic'!$A$2:$B$8,2,FALSE)&amp;"]")),FALSE)),
IF(VLOOKUP($A530, YES_Reading_FLA[], COLUMN(INDIRECT("YES_Reading_FLA[Difference - Per "&amp;VLOOKUP($D$2, 'Reading Report Logic'!$A$2:$B$8, 2, FALSE)&amp;"]")),FALSE)="", "", VLOOKUP($A530,YES_Reading_FLA[],COLUMN(INDIRECT("YES_Reading_FLA[Difference - Per "&amp;VLOOKUP($D$2, 'Reading Report Logic'!$A$2:$B$8, 2, FALSE)&amp;"]")),FALSE))),""))),"")</f>
        <v/>
      </c>
      <c r="H530" s="206" t="str">
        <f ca="1">IFERROR(VLOOKUP('Teacher Reading Pull Sheets'!$D530,_xlfn.VSTACK('ELA Reading Logic'!$A$22:$B$48,'FLA Reading Logic'!$A$22:$B$53),2,FALSE)-VLOOKUP('Teacher Reading Pull Sheets'!$C530,_xlfn.VSTACK('ELA Reading Logic'!$A$22:$B$48,'FLA Reading Logic'!$A$22:$B$53),2,FALSE),"")</f>
        <v/>
      </c>
      <c r="I530" s="212"/>
      <c r="J530" s="206"/>
      <c r="K530" s="197" t="str" cm="1">
        <f t="array" ref="K530">IFERROR(
IF($J$2="ELA",
IF(VLOOKUP($A530, YES_Reading_ELA[], COLUMN(YES_Reading_ELA[Self-Identified as African Descent]), FALSE)="", "",
VLOOKUP($A530,YES_Reading_ELA[], COLUMN(YES_Reading_ELA[Self-Identified as African Descent]), FALSE)),
IF($J$2="FLA",
IF(VLOOKUP($A530, YES_Reading_FLA[], COLUMN(YES_Reading_FLA[Self-Identified as African Descent]),FALSE)="","",
VLOOKUP($A530,YES_Reading_FLA[],COLUMN(YES_Reading_FLA[Self-Identified as African Descent]),FALSE)),
IF($J$2="Combined",
IFERROR(
IF(VLOOKUP($A530, YES_Reading_ELA[], COLUMN(YES_Reading_ELA[Self-Identified as African Descent]), FALSE)="", "",
VLOOKUP($A530,YES_Reading_ELA[],COLUMN(YES_Reading_ELA[Self-Identified as African Descent]),FALSE)),
IF(VLOOKUP($A530, YES_Reading_FLA[], COLUMN(YES_Reading_FLA[Self-Identified as African Descent]),FALSE)="", "", VLOOKUP($A530,YES_Reading_FLA[],COLUMN(YES_Reading_FLA[Self-Identified as African Descent]),FALSE))),""))),"")</f>
        <v/>
      </c>
      <c r="L530" s="73" t="str" cm="1">
        <f t="array" ref="L530">IFERROR(
IF($J$2="ELA",
IF(VLOOKUP($A530, YES_Reading_ELA[], COLUMN(YES_Reading_ELA[Self-Identified as Indigenous]), FALSE)="", "",
VLOOKUP($A530,YES_Reading_ELA[], COLUMN(YES_Reading_ELA[Self-Identified as Indigenous]), FALSE)),
IF($J$2="FLA",
IF(VLOOKUP($A530, YES_Reading_FLA[], COLUMN(YES_Reading_FLA[Self-Identified as Indigenous]),FALSE)="","",
VLOOKUP($A530,YES_Reading_FLA[],COLUMN(YES_Reading_FLA[Self-Identified as Indigenous]),FALSE)),
IF($J$2="Combined",
IFERROR(
IF(VLOOKUP($A530, YES_Reading_ELA[], COLUMN(YES_Reading_ELA[Self-Identified as Indigenous]), FALSE)="", "",
VLOOKUP($A530,YES_Reading_ELA[],COLUMN(YES_Reading_ELA[Self-Identified as Indigenous]),FALSE)),
IF(VLOOKUP($A530, YES_Reading_FLA[], COLUMN(YES_Reading_FLA[Self-Identified as Indigenous]),FALSE)="", "", VLOOKUP($A530,YES_Reading_FLA[],COLUMN(YES_Reading_FLA[Self-Identified as Indigenous]),FALSE))),""))),"")</f>
        <v/>
      </c>
    </row>
    <row r="531" spans="1:12" ht="19.5" customHeight="1" x14ac:dyDescent="0.25">
      <c r="A531" s="217"/>
      <c r="B531" s="220" t="str">
        <f>IFERROR(VLOOKUP(A531,_xlfn.VSTACK(YES_Reading_ELA[],YES_Reading_FLA[]),2,FALSE),"")</f>
        <v/>
      </c>
      <c r="C531" s="203" t="str" cm="1">
        <f t="array" aca="1" ref="C531" ca="1">IFERROR(
IF($J$2="ELA",
IF(VLOOKUP($A531, YES_Reading_ELA[], COLUMN(IF(VLOOKUP($D$2, 'Reading Report Logic'!$A$2:$B$8, 2, FALSE)=1, YES_Reading_ELA[Reading Level June of Previous School Year], INDIRECT("YES_Reading_ELA[Instructional Reading Level - Per "&amp;(VLOOKUP($D$2,'Reading Report Logic'!$A$2:$B$8,2,FALSE)-1)&amp;"]"))), FALSE)="", "",
VLOOKUP($A531,YES_Reading_ELA[], COLUMN(IF(VLOOKUP($D$2,'Reading Report Logic'!$A$2:$B$8,2,FALSE)=1, YES_Reading_ELA[Reading Level June of Previous School Year],INDIRECT("YES_Reading_ELA[Instructional Reading Level - Per "&amp;(VLOOKUP($D$2,'Reading Report Logic'!$A$2:$B$8,2,FALSE)-1)&amp;"]"))), FALSE)),
IF($J$2="FLA",
IF(VLOOKUP($A531, YES_Reading_FLA[], COLUMN(IF(VLOOKUP($D$2,'Reading Report Logic'!$A$2:$B$8,2,FALSE)=1, YES_Reading_FLA[Reading Level June of Previous School Year],INDIRECT("YES_Reading_FLA[Instructional Reading Level - Per "&amp;(VLOOKUP($D$2,'Reading Report Logic'!$A$2:$B$8,2,FALSE)-1)&amp;"]"))),FALSE)="","",
VLOOKUP($A531,YES_Reading_FLA[], COLUMN(IF(VLOOKUP($D$2,'Reading Report Logic'!$A$2:$B$8,2,FALSE)=1, YES_Reading_FLA[Reading Level June of Previous School Year],INDIRECT("YES_Reading_FLA[Instructional Reading Level - Per "&amp;(VLOOKUP($D$2,'Reading Report Logic'!$A$2:$B$8,2,FALSE)-1)&amp;"]"))),FALSE)),
IF($J$2="Combined",
IFERROR(
IF(VLOOKUP($A531, YES_Reading_ELA[], COLUMN(IF(VLOOKUP($D$2,'Reading Report Logic'!$A$2:$B$8,2,FALSE)=1, YES_Reading_ELA[Reading Level June of Previous School Year],INDIRECT("YES_Reading_ELA[Instructional Reading Level - Per "&amp;(VLOOKUP($D$2,'Reading Report Logic'!$A$2:$B$8,2,FALSE)-1)&amp;"]"))), FALSE)="", "",
VLOOKUP($A531,YES_Reading_ELA[],COLUMN(IF(VLOOKUP($D$2,'Reading Report Logic'!$A$2:$B$8,2,FALSE)=1, YES_Reading_ELA[Reading Level June of Previous School Year],INDIRECT("YES_Reading_ELA[Instructional Reading Level - Per "&amp;(VLOOKUP($D$2,'Reading Report Logic'!$A$2:$B$8,2,FALSE)-1)&amp;"]"))),FALSE)),
IF(VLOOKUP($A531, YES_Reading_FLA[], COLUMN(IF(VLOOKUP($D$2,'Reading Report Logic'!$A$2:$B$8,2,FALSE)=1, YES_Reading_FLA[Reading Level June of Previous School Year],INDIRECT("YES_Reading_FLA[Instructional Reading Level - Per "&amp;(VLOOKUP($D$2,'Reading Report Logic'!$A$2:$B$8,2,FALSE)-1)&amp;"]"))),FALSE)="", "", VLOOKUP($A531,YES_Reading_FLA[],COLUMN(IF(VLOOKUP($D$2,'Reading Report Logic'!$A$2:$B$8,2,FALSE)=1, YES_Reading_FLA[Reading Level June of Previous School Year],INDIRECT("YES_Reading_FLA[Instructional Reading Level - Per "&amp;(VLOOKUP($D$2,'Reading Report Logic'!$A$2:$B$8,2,FALSE)-1)&amp;"]"))), FALSE))),""))),"")</f>
        <v/>
      </c>
      <c r="D531" s="204" t="str" cm="1">
        <f t="array" aca="1" ref="D531" ca="1">IFERROR(
IF($J$2="ELA",
IF(VLOOKUP($A531, YES_Reading_ELA[], COLUMN(INDIRECT("YES_Reading_ELA[Instructional Reading Level - Per "&amp;VLOOKUP($D$2, 'Reading Report Logic'!$A$2:$B$8, 2, FALSE)&amp;"]")), FALSE)="", "",
VLOOKUP($A531,YES_Reading_ELA[], COLUMN(INDIRECT("YES_Reading_ELA[Instructional Reading Level - Per "&amp;VLOOKUP($D$2,'Reading Report Logic'!$A$2:$B$8,2,FALSE)&amp;"]")), FALSE)),
IF($J$2="FLA",
IF(VLOOKUP($A531, YES_Reading_FLA[], COLUMN(INDIRECT("YES_Reading_FLA[Instructional Reading Level - Per "&amp;VLOOKUP($D$2,'Reading Report Logic'!$A$2:$B$8,2,FALSE)&amp;"]")),FALSE)="","",
VLOOKUP($A531,YES_Reading_FLA[],COLUMN(INDIRECT("YES_Reading_FLA[Instructional Reading Level - Per "&amp;VLOOKUP($D$2,'Reading Report Logic'!$A$2:$B$8,2,FALSE)&amp;"]")),FALSE)),
IF($J$2="Combined",
IFERROR(
IF(VLOOKUP($A531, YES_Reading_ELA[], COLUMN(INDIRECT("YES_Reading_ELA[Instructional Reading Level - Per "&amp;VLOOKUP($D$2, 'Reading Report Logic'!$A$2:$B$8,2,FALSE)&amp;"]")), FALSE)="", "",
VLOOKUP($A531,YES_Reading_ELA[],COLUMN(INDIRECT("YES_Reading_ELA[Instructional Reading Level - Per "&amp;VLOOKUP($D$2,'Reading Report Logic'!$A$2:$B$8,2,FALSE)&amp;"]")),FALSE)),
IF(VLOOKUP($A531, YES_Reading_FLA[], COLUMN(INDIRECT("YES_Reading_FLA[Instructional Reading Level - Per "&amp;VLOOKUP($D$2, 'Reading Report Logic'!$A$2:$B$8, 2, FALSE)&amp;"]")),FALSE)="", "", VLOOKUP($A531,YES_Reading_FLA[],COLUMN(INDIRECT("YES_Reading_FLA[Instructional Reading Level - Per "&amp;VLOOKUP($D$2, 'Reading Report Logic'!$A$2:$B$8, 2, FALSE)&amp;"]")),FALSE))),""))),"")</f>
        <v/>
      </c>
      <c r="E531" s="205" t="str" cm="1">
        <f t="array" aca="1" ref="E531" ca="1">IFERROR(
IF($J$2="ELA",
IF(VLOOKUP($A531, YES_Reading_ELA[], COLUMN(INDIRECT("YES_Reading_ELA[Min Expectation - Per "&amp;VLOOKUP($D$2, 'Reading Report Logic'!$A$2:$B$8, 2, FALSE)&amp;"]")), FALSE)="", "",
VLOOKUP($A531,YES_Reading_ELA[], COLUMN(INDIRECT("YES_Reading_ELA[Min Expectation - Per "&amp;VLOOKUP($D$2,'Reading Report Logic'!$A$2:$B$8,2,FALSE)&amp;"]")), FALSE)),
IF($J$2="FLA",
IF(VLOOKUP($A531, YES_Reading_FLA[], COLUMN(INDIRECT("YES_Reading_FLA[Min Expectation - Per "&amp;VLOOKUP($D$2,'Reading Report Logic'!$A$2:$B$8,2,FALSE)&amp;"]")),FALSE)="","",
VLOOKUP($A531,YES_Reading_FLA[],COLUMN(INDIRECT("YES_Reading_FLA[Min Expectation - Per "&amp;VLOOKUP($D$2,'Reading Report Logic'!$A$2:$B$8,2,FALSE)&amp;"]")),FALSE)),
IF($J$2="Combined",
IFERROR(
IF(VLOOKUP($A531, YES_Reading_ELA[], COLUMN(INDIRECT("YES_Reading_ELA[Min Expectation - Per "&amp;VLOOKUP($D$2, 'Reading Report Logic'!$A$2:$B$8,2,FALSE)&amp;"]")), FALSE)="", "",
VLOOKUP($A531,YES_Reading_ELA[],COLUMN(INDIRECT("YES_Reading_ELA[Min Expectation - Per "&amp;VLOOKUP($D$2,'Reading Report Logic'!$A$2:$B$8,2,FALSE)&amp;"]")),FALSE)),
IF(VLOOKUP($A531, YES_Reading_FLA[], COLUMN(INDIRECT("YES_Reading_FLA[Min Expectation - Per "&amp;VLOOKUP($D$2, 'Reading Report Logic'!$A$2:$B$8, 2, FALSE)&amp;"]")),FALSE)="", "", VLOOKUP($A531,YES_Reading_FLA[],COLUMN(INDIRECT("YES_Reading_FLA[Min Expectation - Per "&amp;VLOOKUP($D$2, 'Reading Report Logic'!$A$2:$B$8, 2, FALSE)&amp;"]")),FALSE))),""))),"")</f>
        <v/>
      </c>
      <c r="F531" s="205" t="str" cm="1">
        <f t="array" aca="1" ref="F531" ca="1">IFERROR(
IF($J$2="ELA",
IF(VLOOKUP($A531, YES_Reading_ELA[], COLUMN(INDIRECT("YES_Reading_ELA[Max Expectation - Per "&amp;VLOOKUP($D$2, 'Reading Report Logic'!$A$2:$B$8, 2, FALSE)&amp;"]")), FALSE)="", "",
VLOOKUP($A531,YES_Reading_ELA[], COLUMN(INDIRECT("YES_Reading_ELA[Max Expectation - Per "&amp;VLOOKUP($D$2,'Reading Report Logic'!$A$2:$B$8,2,FALSE)&amp;"]")), FALSE)),
IF($J$2="FLA",
IF(VLOOKUP($A531, YES_Reading_FLA[], COLUMN(INDIRECT("YES_Reading_FLA[Max Expectation - Per "&amp;VLOOKUP($D$2,'Reading Report Logic'!$A$2:$B$8,2,FALSE)&amp;"]")),FALSE)="","",
VLOOKUP($A531,YES_Reading_FLA[],COLUMN(INDIRECT("YES_Reading_FLA[Max Expectation - Per "&amp;VLOOKUP($D$2,'Reading Report Logic'!$A$2:$B$8,2,FALSE)&amp;"]")),FALSE)),
IF($J$2="Combined",
IFERROR(
IF(VLOOKUP($A531, YES_Reading_ELA[], COLUMN(INDIRECT("YES_Reading_ELA[Max Expectation - Per "&amp;VLOOKUP($D$2, 'Reading Report Logic'!$A$2:$B$8,2,FALSE)&amp;"]")), FALSE)="", "",
VLOOKUP($A531,YES_Reading_ELA[],COLUMN(INDIRECT("YES_Reading_ELA[Max Expectation - Per "&amp;VLOOKUP($D$2,'Reading Report Logic'!$A$2:$B$8,2,FALSE)&amp;"]")),FALSE)),
IF(VLOOKUP($A531, YES_Reading_FLA[], COLUMN(INDIRECT("YES_Reading_FLA[Max Expectation - Per "&amp;VLOOKUP($D$2, 'Reading Report Logic'!$A$2:$B$8, 2, FALSE)&amp;"]")),FALSE)="", "", VLOOKUP($A531,YES_Reading_FLA[],COLUMN(INDIRECT("YES_Reading_FLA[Max Expectation - Per "&amp;VLOOKUP($D$2, 'Reading Report Logic'!$A$2:$B$8, 2, FALSE)&amp;"]")),FALSE))),""))),"")</f>
        <v/>
      </c>
      <c r="G531" s="205" t="str" cm="1">
        <f t="array" aca="1" ref="G531" ca="1">IFERROR(
IF($J$2="ELA",
IF(VLOOKUP($A531, YES_Reading_ELA[], COLUMN(INDIRECT("YES_Reading_ELA[Difference - Per "&amp;VLOOKUP($D$2, 'Reading Report Logic'!$A$2:$B$8, 2, FALSE)&amp;"]")), FALSE)="", "",
VLOOKUP($A531,YES_Reading_ELA[], COLUMN(INDIRECT("YES_Reading_ELA[Difference - Per "&amp;VLOOKUP($D$2,'Reading Report Logic'!$A$2:$B$8,2,FALSE)&amp;"]")), FALSE)),
IF($J$2="FLA",
IF(VLOOKUP($A531, YES_Reading_FLA[], COLUMN(INDIRECT("YES_Reading_FLA[Difference - Per "&amp;VLOOKUP($D$2,'Reading Report Logic'!$A$2:$B$8,2,FALSE)&amp;"]")),FALSE)="","",
VLOOKUP($A531,YES_Reading_FLA[],COLUMN(INDIRECT("YES_Reading_FLA[Difference - Per "&amp;VLOOKUP($D$2,'Reading Report Logic'!$A$2:$B$8,2,FALSE)&amp;"]")),FALSE)),
IF($J$2="Combined",
IFERROR(
IF(VLOOKUP($A531, YES_Reading_ELA[], COLUMN(INDIRECT("YES_Reading_ELA[Difference - Per "&amp;VLOOKUP($D$2, 'Reading Report Logic'!$A$2:$B$8,2,FALSE)&amp;"]")), FALSE)="", "",
VLOOKUP($A531,YES_Reading_ELA[],COLUMN(INDIRECT("YES_Reading_ELA[Difference - Per "&amp;VLOOKUP($D$2,'Reading Report Logic'!$A$2:$B$8,2,FALSE)&amp;"]")),FALSE)),
IF(VLOOKUP($A531, YES_Reading_FLA[], COLUMN(INDIRECT("YES_Reading_FLA[Difference - Per "&amp;VLOOKUP($D$2, 'Reading Report Logic'!$A$2:$B$8, 2, FALSE)&amp;"]")),FALSE)="", "", VLOOKUP($A531,YES_Reading_FLA[],COLUMN(INDIRECT("YES_Reading_FLA[Difference - Per "&amp;VLOOKUP($D$2, 'Reading Report Logic'!$A$2:$B$8, 2, FALSE)&amp;"]")),FALSE))),""))),"")</f>
        <v/>
      </c>
      <c r="H531" s="206" t="str">
        <f ca="1">IFERROR(VLOOKUP('Teacher Reading Pull Sheets'!$D531,_xlfn.VSTACK('ELA Reading Logic'!$A$22:$B$48,'FLA Reading Logic'!$A$22:$B$53),2,FALSE)-VLOOKUP('Teacher Reading Pull Sheets'!$C531,_xlfn.VSTACK('ELA Reading Logic'!$A$22:$B$48,'FLA Reading Logic'!$A$22:$B$53),2,FALSE),"")</f>
        <v/>
      </c>
      <c r="I531" s="212"/>
      <c r="J531" s="206"/>
      <c r="K531" s="197" t="str" cm="1">
        <f t="array" ref="K531">IFERROR(
IF($J$2="ELA",
IF(VLOOKUP($A531, YES_Reading_ELA[], COLUMN(YES_Reading_ELA[Self-Identified as African Descent]), FALSE)="", "",
VLOOKUP($A531,YES_Reading_ELA[], COLUMN(YES_Reading_ELA[Self-Identified as African Descent]), FALSE)),
IF($J$2="FLA",
IF(VLOOKUP($A531, YES_Reading_FLA[], COLUMN(YES_Reading_FLA[Self-Identified as African Descent]),FALSE)="","",
VLOOKUP($A531,YES_Reading_FLA[],COLUMN(YES_Reading_FLA[Self-Identified as African Descent]),FALSE)),
IF($J$2="Combined",
IFERROR(
IF(VLOOKUP($A531, YES_Reading_ELA[], COLUMN(YES_Reading_ELA[Self-Identified as African Descent]), FALSE)="", "",
VLOOKUP($A531,YES_Reading_ELA[],COLUMN(YES_Reading_ELA[Self-Identified as African Descent]),FALSE)),
IF(VLOOKUP($A531, YES_Reading_FLA[], COLUMN(YES_Reading_FLA[Self-Identified as African Descent]),FALSE)="", "", VLOOKUP($A531,YES_Reading_FLA[],COLUMN(YES_Reading_FLA[Self-Identified as African Descent]),FALSE))),""))),"")</f>
        <v/>
      </c>
      <c r="L531" s="73" t="str" cm="1">
        <f t="array" ref="L531">IFERROR(
IF($J$2="ELA",
IF(VLOOKUP($A531, YES_Reading_ELA[], COLUMN(YES_Reading_ELA[Self-Identified as Indigenous]), FALSE)="", "",
VLOOKUP($A531,YES_Reading_ELA[], COLUMN(YES_Reading_ELA[Self-Identified as Indigenous]), FALSE)),
IF($J$2="FLA",
IF(VLOOKUP($A531, YES_Reading_FLA[], COLUMN(YES_Reading_FLA[Self-Identified as Indigenous]),FALSE)="","",
VLOOKUP($A531,YES_Reading_FLA[],COLUMN(YES_Reading_FLA[Self-Identified as Indigenous]),FALSE)),
IF($J$2="Combined",
IFERROR(
IF(VLOOKUP($A531, YES_Reading_ELA[], COLUMN(YES_Reading_ELA[Self-Identified as Indigenous]), FALSE)="", "",
VLOOKUP($A531,YES_Reading_ELA[],COLUMN(YES_Reading_ELA[Self-Identified as Indigenous]),FALSE)),
IF(VLOOKUP($A531, YES_Reading_FLA[], COLUMN(YES_Reading_FLA[Self-Identified as Indigenous]),FALSE)="", "", VLOOKUP($A531,YES_Reading_FLA[],COLUMN(YES_Reading_FLA[Self-Identified as Indigenous]),FALSE))),""))),"")</f>
        <v/>
      </c>
    </row>
    <row r="532" spans="1:12" ht="19.5" customHeight="1" thickBot="1" x14ac:dyDescent="0.3">
      <c r="A532" s="218"/>
      <c r="B532" s="221" t="str">
        <f>IFERROR(VLOOKUP(A532,_xlfn.VSTACK(YES_Reading_ELA[],YES_Reading_FLA[]),2,FALSE),"")</f>
        <v/>
      </c>
      <c r="C532" s="208" t="str" cm="1">
        <f t="array" aca="1" ref="C532" ca="1">IFERROR(
IF($J$2="ELA",
IF(VLOOKUP($A532, YES_Reading_ELA[], COLUMN(IF(VLOOKUP($D$2, 'Reading Report Logic'!$A$2:$B$8, 2, FALSE)=1, YES_Reading_ELA[Reading Level June of Previous School Year], INDIRECT("YES_Reading_ELA[Instructional Reading Level - Per "&amp;(VLOOKUP($D$2,'Reading Report Logic'!$A$2:$B$8,2,FALSE)-1)&amp;"]"))), FALSE)="", "",
VLOOKUP($A532,YES_Reading_ELA[], COLUMN(IF(VLOOKUP($D$2,'Reading Report Logic'!$A$2:$B$8,2,FALSE)=1, YES_Reading_ELA[Reading Level June of Previous School Year],INDIRECT("YES_Reading_ELA[Instructional Reading Level - Per "&amp;(VLOOKUP($D$2,'Reading Report Logic'!$A$2:$B$8,2,FALSE)-1)&amp;"]"))), FALSE)),
IF($J$2="FLA",
IF(VLOOKUP($A532, YES_Reading_FLA[], COLUMN(IF(VLOOKUP($D$2,'Reading Report Logic'!$A$2:$B$8,2,FALSE)=1, YES_Reading_FLA[Reading Level June of Previous School Year],INDIRECT("YES_Reading_FLA[Instructional Reading Level - Per "&amp;(VLOOKUP($D$2,'Reading Report Logic'!$A$2:$B$8,2,FALSE)-1)&amp;"]"))),FALSE)="","",
VLOOKUP($A532,YES_Reading_FLA[], COLUMN(IF(VLOOKUP($D$2,'Reading Report Logic'!$A$2:$B$8,2,FALSE)=1, YES_Reading_FLA[Reading Level June of Previous School Year],INDIRECT("YES_Reading_FLA[Instructional Reading Level - Per "&amp;(VLOOKUP($D$2,'Reading Report Logic'!$A$2:$B$8,2,FALSE)-1)&amp;"]"))),FALSE)),
IF($J$2="Combined",
IFERROR(
IF(VLOOKUP($A532, YES_Reading_ELA[], COLUMN(IF(VLOOKUP($D$2,'Reading Report Logic'!$A$2:$B$8,2,FALSE)=1, YES_Reading_ELA[Reading Level June of Previous School Year],INDIRECT("YES_Reading_ELA[Instructional Reading Level - Per "&amp;(VLOOKUP($D$2,'Reading Report Logic'!$A$2:$B$8,2,FALSE)-1)&amp;"]"))), FALSE)="", "",
VLOOKUP($A532,YES_Reading_ELA[],COLUMN(IF(VLOOKUP($D$2,'Reading Report Logic'!$A$2:$B$8,2,FALSE)=1, YES_Reading_ELA[Reading Level June of Previous School Year],INDIRECT("YES_Reading_ELA[Instructional Reading Level - Per "&amp;(VLOOKUP($D$2,'Reading Report Logic'!$A$2:$B$8,2,FALSE)-1)&amp;"]"))),FALSE)),
IF(VLOOKUP($A532, YES_Reading_FLA[], COLUMN(IF(VLOOKUP($D$2,'Reading Report Logic'!$A$2:$B$8,2,FALSE)=1, YES_Reading_FLA[Reading Level June of Previous School Year],INDIRECT("YES_Reading_FLA[Instructional Reading Level - Per "&amp;(VLOOKUP($D$2,'Reading Report Logic'!$A$2:$B$8,2,FALSE)-1)&amp;"]"))),FALSE)="", "", VLOOKUP($A532,YES_Reading_FLA[],COLUMN(IF(VLOOKUP($D$2,'Reading Report Logic'!$A$2:$B$8,2,FALSE)=1, YES_Reading_FLA[Reading Level June of Previous School Year],INDIRECT("YES_Reading_FLA[Instructional Reading Level - Per "&amp;(VLOOKUP($D$2,'Reading Report Logic'!$A$2:$B$8,2,FALSE)-1)&amp;"]"))), FALSE))),""))),"")</f>
        <v/>
      </c>
      <c r="D532" s="209" t="str" cm="1">
        <f t="array" aca="1" ref="D532" ca="1">IFERROR(
IF($J$2="ELA",
IF(VLOOKUP($A532, YES_Reading_ELA[], COLUMN(INDIRECT("YES_Reading_ELA[Instructional Reading Level - Per "&amp;VLOOKUP($D$2, 'Reading Report Logic'!$A$2:$B$8, 2, FALSE)&amp;"]")), FALSE)="", "",
VLOOKUP($A532,YES_Reading_ELA[], COLUMN(INDIRECT("YES_Reading_ELA[Instructional Reading Level - Per "&amp;VLOOKUP($D$2,'Reading Report Logic'!$A$2:$B$8,2,FALSE)&amp;"]")), FALSE)),
IF($J$2="FLA",
IF(VLOOKUP($A532, YES_Reading_FLA[], COLUMN(INDIRECT("YES_Reading_FLA[Instructional Reading Level - Per "&amp;VLOOKUP($D$2,'Reading Report Logic'!$A$2:$B$8,2,FALSE)&amp;"]")),FALSE)="","",
VLOOKUP($A532,YES_Reading_FLA[],COLUMN(INDIRECT("YES_Reading_FLA[Instructional Reading Level - Per "&amp;VLOOKUP($D$2,'Reading Report Logic'!$A$2:$B$8,2,FALSE)&amp;"]")),FALSE)),
IF($J$2="Combined",
IFERROR(
IF(VLOOKUP($A532, YES_Reading_ELA[], COLUMN(INDIRECT("YES_Reading_ELA[Instructional Reading Level - Per "&amp;VLOOKUP($D$2, 'Reading Report Logic'!$A$2:$B$8,2,FALSE)&amp;"]")), FALSE)="", "",
VLOOKUP($A532,YES_Reading_ELA[],COLUMN(INDIRECT("YES_Reading_ELA[Instructional Reading Level - Per "&amp;VLOOKUP($D$2,'Reading Report Logic'!$A$2:$B$8,2,FALSE)&amp;"]")),FALSE)),
IF(VLOOKUP($A532, YES_Reading_FLA[], COLUMN(INDIRECT("YES_Reading_FLA[Instructional Reading Level - Per "&amp;VLOOKUP($D$2, 'Reading Report Logic'!$A$2:$B$8, 2, FALSE)&amp;"]")),FALSE)="", "", VLOOKUP($A532,YES_Reading_FLA[],COLUMN(INDIRECT("YES_Reading_FLA[Instructional Reading Level - Per "&amp;VLOOKUP($D$2, 'Reading Report Logic'!$A$2:$B$8, 2, FALSE)&amp;"]")),FALSE))),""))),"")</f>
        <v/>
      </c>
      <c r="E532" s="210" t="str" cm="1">
        <f t="array" aca="1" ref="E532" ca="1">IFERROR(
IF($J$2="ELA",
IF(VLOOKUP($A532, YES_Reading_ELA[], COLUMN(INDIRECT("YES_Reading_ELA[Min Expectation - Per "&amp;VLOOKUP($D$2, 'Reading Report Logic'!$A$2:$B$8, 2, FALSE)&amp;"]")), FALSE)="", "",
VLOOKUP($A532,YES_Reading_ELA[], COLUMN(INDIRECT("YES_Reading_ELA[Min Expectation - Per "&amp;VLOOKUP($D$2,'Reading Report Logic'!$A$2:$B$8,2,FALSE)&amp;"]")), FALSE)),
IF($J$2="FLA",
IF(VLOOKUP($A532, YES_Reading_FLA[], COLUMN(INDIRECT("YES_Reading_FLA[Min Expectation - Per "&amp;VLOOKUP($D$2,'Reading Report Logic'!$A$2:$B$8,2,FALSE)&amp;"]")),FALSE)="","",
VLOOKUP($A532,YES_Reading_FLA[],COLUMN(INDIRECT("YES_Reading_FLA[Min Expectation - Per "&amp;VLOOKUP($D$2,'Reading Report Logic'!$A$2:$B$8,2,FALSE)&amp;"]")),FALSE)),
IF($J$2="Combined",
IFERROR(
IF(VLOOKUP($A532, YES_Reading_ELA[], COLUMN(INDIRECT("YES_Reading_ELA[Min Expectation - Per "&amp;VLOOKUP($D$2, 'Reading Report Logic'!$A$2:$B$8,2,FALSE)&amp;"]")), FALSE)="", "",
VLOOKUP($A532,YES_Reading_ELA[],COLUMN(INDIRECT("YES_Reading_ELA[Min Expectation - Per "&amp;VLOOKUP($D$2,'Reading Report Logic'!$A$2:$B$8,2,FALSE)&amp;"]")),FALSE)),
IF(VLOOKUP($A532, YES_Reading_FLA[], COLUMN(INDIRECT("YES_Reading_FLA[Min Expectation - Per "&amp;VLOOKUP($D$2, 'Reading Report Logic'!$A$2:$B$8, 2, FALSE)&amp;"]")),FALSE)="", "", VLOOKUP($A532,YES_Reading_FLA[],COLUMN(INDIRECT("YES_Reading_FLA[Min Expectation - Per "&amp;VLOOKUP($D$2, 'Reading Report Logic'!$A$2:$B$8, 2, FALSE)&amp;"]")),FALSE))),""))),"")</f>
        <v/>
      </c>
      <c r="F532" s="210" t="str" cm="1">
        <f t="array" aca="1" ref="F532" ca="1">IFERROR(
IF($J$2="ELA",
IF(VLOOKUP($A532, YES_Reading_ELA[], COLUMN(INDIRECT("YES_Reading_ELA[Max Expectation - Per "&amp;VLOOKUP($D$2, 'Reading Report Logic'!$A$2:$B$8, 2, FALSE)&amp;"]")), FALSE)="", "",
VLOOKUP($A532,YES_Reading_ELA[], COLUMN(INDIRECT("YES_Reading_ELA[Max Expectation - Per "&amp;VLOOKUP($D$2,'Reading Report Logic'!$A$2:$B$8,2,FALSE)&amp;"]")), FALSE)),
IF($J$2="FLA",
IF(VLOOKUP($A532, YES_Reading_FLA[], COLUMN(INDIRECT("YES_Reading_FLA[Max Expectation - Per "&amp;VLOOKUP($D$2,'Reading Report Logic'!$A$2:$B$8,2,FALSE)&amp;"]")),FALSE)="","",
VLOOKUP($A532,YES_Reading_FLA[],COLUMN(INDIRECT("YES_Reading_FLA[Max Expectation - Per "&amp;VLOOKUP($D$2,'Reading Report Logic'!$A$2:$B$8,2,FALSE)&amp;"]")),FALSE)),
IF($J$2="Combined",
IFERROR(
IF(VLOOKUP($A532, YES_Reading_ELA[], COLUMN(INDIRECT("YES_Reading_ELA[Max Expectation - Per "&amp;VLOOKUP($D$2, 'Reading Report Logic'!$A$2:$B$8,2,FALSE)&amp;"]")), FALSE)="", "",
VLOOKUP($A532,YES_Reading_ELA[],COLUMN(INDIRECT("YES_Reading_ELA[Max Expectation - Per "&amp;VLOOKUP($D$2,'Reading Report Logic'!$A$2:$B$8,2,FALSE)&amp;"]")),FALSE)),
IF(VLOOKUP($A532, YES_Reading_FLA[], COLUMN(INDIRECT("YES_Reading_FLA[Max Expectation - Per "&amp;VLOOKUP($D$2, 'Reading Report Logic'!$A$2:$B$8, 2, FALSE)&amp;"]")),FALSE)="", "", VLOOKUP($A532,YES_Reading_FLA[],COLUMN(INDIRECT("YES_Reading_FLA[Max Expectation - Per "&amp;VLOOKUP($D$2, 'Reading Report Logic'!$A$2:$B$8, 2, FALSE)&amp;"]")),FALSE))),""))),"")</f>
        <v/>
      </c>
      <c r="G532" s="210" t="str" cm="1">
        <f t="array" aca="1" ref="G532" ca="1">IFERROR(
IF($J$2="ELA",
IF(VLOOKUP($A532, YES_Reading_ELA[], COLUMN(INDIRECT("YES_Reading_ELA[Difference - Per "&amp;VLOOKUP($D$2, 'Reading Report Logic'!$A$2:$B$8, 2, FALSE)&amp;"]")), FALSE)="", "",
VLOOKUP($A532,YES_Reading_ELA[], COLUMN(INDIRECT("YES_Reading_ELA[Difference - Per "&amp;VLOOKUP($D$2,'Reading Report Logic'!$A$2:$B$8,2,FALSE)&amp;"]")), FALSE)),
IF($J$2="FLA",
IF(VLOOKUP($A532, YES_Reading_FLA[], COLUMN(INDIRECT("YES_Reading_FLA[Difference - Per "&amp;VLOOKUP($D$2,'Reading Report Logic'!$A$2:$B$8,2,FALSE)&amp;"]")),FALSE)="","",
VLOOKUP($A532,YES_Reading_FLA[],COLUMN(INDIRECT("YES_Reading_FLA[Difference - Per "&amp;VLOOKUP($D$2,'Reading Report Logic'!$A$2:$B$8,2,FALSE)&amp;"]")),FALSE)),
IF($J$2="Combined",
IFERROR(
IF(VLOOKUP($A532, YES_Reading_ELA[], COLUMN(INDIRECT("YES_Reading_ELA[Difference - Per "&amp;VLOOKUP($D$2, 'Reading Report Logic'!$A$2:$B$8,2,FALSE)&amp;"]")), FALSE)="", "",
VLOOKUP($A532,YES_Reading_ELA[],COLUMN(INDIRECT("YES_Reading_ELA[Difference - Per "&amp;VLOOKUP($D$2,'Reading Report Logic'!$A$2:$B$8,2,FALSE)&amp;"]")),FALSE)),
IF(VLOOKUP($A532, YES_Reading_FLA[], COLUMN(INDIRECT("YES_Reading_FLA[Difference - Per "&amp;VLOOKUP($D$2, 'Reading Report Logic'!$A$2:$B$8, 2, FALSE)&amp;"]")),FALSE)="", "", VLOOKUP($A532,YES_Reading_FLA[],COLUMN(INDIRECT("YES_Reading_FLA[Difference - Per "&amp;VLOOKUP($D$2, 'Reading Report Logic'!$A$2:$B$8, 2, FALSE)&amp;"]")),FALSE))),""))),"")</f>
        <v/>
      </c>
      <c r="H532" s="211" t="str">
        <f ca="1">IFERROR(VLOOKUP('Teacher Reading Pull Sheets'!$D532,_xlfn.VSTACK('ELA Reading Logic'!$A$22:$B$48,'FLA Reading Logic'!$A$22:$B$53),2,FALSE)-VLOOKUP('Teacher Reading Pull Sheets'!$C532,_xlfn.VSTACK('ELA Reading Logic'!$A$22:$B$48,'FLA Reading Logic'!$A$22:$B$53),2,FALSE),"")</f>
        <v/>
      </c>
      <c r="I532" s="213"/>
      <c r="J532" s="211"/>
      <c r="K532" s="198" t="str" cm="1">
        <f t="array" ref="K532">IFERROR(
IF($J$2="ELA",
IF(VLOOKUP($A532, YES_Reading_ELA[], COLUMN(YES_Reading_ELA[Self-Identified as African Descent]), FALSE)="", "",
VLOOKUP($A532,YES_Reading_ELA[], COLUMN(YES_Reading_ELA[Self-Identified as African Descent]), FALSE)),
IF($J$2="FLA",
IF(VLOOKUP($A532, YES_Reading_FLA[], COLUMN(YES_Reading_FLA[Self-Identified as African Descent]),FALSE)="","",
VLOOKUP($A532,YES_Reading_FLA[],COLUMN(YES_Reading_FLA[Self-Identified as African Descent]),FALSE)),
IF($J$2="Combined",
IFERROR(
IF(VLOOKUP($A532, YES_Reading_ELA[], COLUMN(YES_Reading_ELA[Self-Identified as African Descent]), FALSE)="", "",
VLOOKUP($A532,YES_Reading_ELA[],COLUMN(YES_Reading_ELA[Self-Identified as African Descent]),FALSE)),
IF(VLOOKUP($A532, YES_Reading_FLA[], COLUMN(YES_Reading_FLA[Self-Identified as African Descent]),FALSE)="", "", VLOOKUP($A532,YES_Reading_FLA[],COLUMN(YES_Reading_FLA[Self-Identified as African Descent]),FALSE))),""))),"")</f>
        <v/>
      </c>
      <c r="L532" s="74" t="str" cm="1">
        <f t="array" ref="L532">IFERROR(
IF($J$2="ELA",
IF(VLOOKUP($A532, YES_Reading_ELA[], COLUMN(YES_Reading_ELA[Self-Identified as Indigenous]), FALSE)="", "",
VLOOKUP($A532,YES_Reading_ELA[], COLUMN(YES_Reading_ELA[Self-Identified as Indigenous]), FALSE)),
IF($J$2="FLA",
IF(VLOOKUP($A532, YES_Reading_FLA[], COLUMN(YES_Reading_FLA[Self-Identified as Indigenous]),FALSE)="","",
VLOOKUP($A532,YES_Reading_FLA[],COLUMN(YES_Reading_FLA[Self-Identified as Indigenous]),FALSE)),
IF($J$2="Combined",
IFERROR(
IF(VLOOKUP($A532, YES_Reading_ELA[], COLUMN(YES_Reading_ELA[Self-Identified as Indigenous]), FALSE)="", "",
VLOOKUP($A532,YES_Reading_ELA[],COLUMN(YES_Reading_ELA[Self-Identified as Indigenous]),FALSE)),
IF(VLOOKUP($A532, YES_Reading_FLA[], COLUMN(YES_Reading_FLA[Self-Identified as Indigenous]),FALSE)="", "", VLOOKUP($A532,YES_Reading_FLA[],COLUMN(YES_Reading_FLA[Self-Identified as Indigenous]),FALSE))),""))),"")</f>
        <v/>
      </c>
    </row>
    <row r="533" spans="1:12" x14ac:dyDescent="0.25">
      <c r="A533" s="214"/>
      <c r="B533" s="214" t="s">
        <v>241</v>
      </c>
      <c r="C533" s="214"/>
      <c r="D533" s="215" t="str" cm="1">
        <f t="array" ref="D533">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Set")))=$D$1)),1,1,FALSE),FALSE,FALSE),18),"")</f>
        <v/>
      </c>
      <c r="E533" s="215"/>
      <c r="F533" s="215"/>
      <c r="G533" s="215"/>
      <c r="H533" s="355" t="s">
        <v>242</v>
      </c>
      <c r="I533" s="356"/>
      <c r="J533" s="215"/>
    </row>
    <row r="534" spans="1:12" x14ac:dyDescent="0.25">
      <c r="A534" s="214"/>
      <c r="B534" s="214" t="str">
        <f>"Date: "&amp;$D$3</f>
        <v xml:space="preserve">Date: </v>
      </c>
      <c r="C534" s="214"/>
      <c r="D534" s="215"/>
      <c r="E534" s="215"/>
      <c r="F534" s="215"/>
      <c r="G534" s="215"/>
      <c r="H534" s="357" t="s">
        <v>243</v>
      </c>
      <c r="I534" s="358"/>
      <c r="J534" s="215"/>
    </row>
    <row r="535" spans="1:12" ht="15.75" thickBot="1" x14ac:dyDescent="0.3">
      <c r="A535" s="215"/>
      <c r="B535" s="215"/>
      <c r="C535" s="215"/>
      <c r="D535" s="215"/>
      <c r="E535" s="215"/>
      <c r="F535" s="215"/>
      <c r="G535" s="215"/>
      <c r="H535" s="353" t="s">
        <v>244</v>
      </c>
      <c r="I535" s="354"/>
      <c r="J535" s="215"/>
    </row>
    <row r="536" spans="1:12" ht="85.5" customHeight="1" thickBot="1" x14ac:dyDescent="0.3">
      <c r="A536" s="192" t="s">
        <v>44</v>
      </c>
      <c r="B536" s="187" t="s">
        <v>245</v>
      </c>
      <c r="C536" s="188" t="s">
        <v>246</v>
      </c>
      <c r="D536" s="188" t="s">
        <v>247</v>
      </c>
      <c r="E536" s="188" t="s">
        <v>248</v>
      </c>
      <c r="F536" s="188" t="s">
        <v>249</v>
      </c>
      <c r="G536" s="188" t="s">
        <v>250</v>
      </c>
      <c r="H536" s="189" t="s">
        <v>251</v>
      </c>
      <c r="I536" s="202" t="s">
        <v>252</v>
      </c>
      <c r="J536" s="191" t="s">
        <v>253</v>
      </c>
      <c r="K536" s="200" t="s">
        <v>256</v>
      </c>
      <c r="L536" s="201" t="s">
        <v>257</v>
      </c>
    </row>
    <row r="537" spans="1:12" ht="19.5" customHeight="1" x14ac:dyDescent="0.25">
      <c r="A537" s="216" t="e" cm="1" vm="1">
        <f t="array" aca="1" ref="A537" ca="1">_xlfn._xlws.FILTER(_xlfn.VSTACK(YES_Reading_ELA[Student Number],YES_Reading_FLA[Student Number]),_xlfn.VSTACK(YES_Reading_ELA[HomeRoom],YES_Reading_FLA[Homeroom])=D533)</f>
        <v>#VALUE!</v>
      </c>
      <c r="B537" s="219" t="str">
        <f ca="1">IFERROR(VLOOKUP(A537,_xlfn.VSTACK(YES_Reading_ELA[],YES_Reading_FLA[]),2,FALSE),"")</f>
        <v/>
      </c>
      <c r="C537" s="203" t="str" cm="1">
        <f t="array" aca="1" ref="C537" ca="1">IFERROR(
IF($J$2="ELA",
IF(VLOOKUP($A537, YES_Reading_ELA[], COLUMN(IF(VLOOKUP($D$2, 'Reading Report Logic'!$A$2:$B$8, 2, FALSE)=1, YES_Reading_ELA[Reading Level June of Previous School Year], INDIRECT("YES_Reading_ELA[Instructional Reading Level - Per "&amp;(VLOOKUP($D$2,'Reading Report Logic'!$A$2:$B$8,2,FALSE)-1)&amp;"]"))), FALSE)="", "",
VLOOKUP($A537,YES_Reading_ELA[], COLUMN(IF(VLOOKUP($D$2,'Reading Report Logic'!$A$2:$B$8,2,FALSE)=1, YES_Reading_ELA[Reading Level June of Previous School Year],INDIRECT("YES_Reading_ELA[Instructional Reading Level - Per "&amp;(VLOOKUP($D$2,'Reading Report Logic'!$A$2:$B$8,2,FALSE)-1)&amp;"]"))), FALSE)),
IF($J$2="FLA",
IF(VLOOKUP($A537, YES_Reading_FLA[], COLUMN(IF(VLOOKUP($D$2,'Reading Report Logic'!$A$2:$B$8,2,FALSE)=1, YES_Reading_FLA[Reading Level June of Previous School Year],INDIRECT("YES_Reading_FLA[Instructional Reading Level - Per "&amp;(VLOOKUP($D$2,'Reading Report Logic'!$A$2:$B$8,2,FALSE)-1)&amp;"]"))),FALSE)="","",
VLOOKUP($A537,YES_Reading_FLA[], COLUMN(IF(VLOOKUP($D$2,'Reading Report Logic'!$A$2:$B$8,2,FALSE)=1, YES_Reading_FLA[Reading Level June of Previous School Year],INDIRECT("YES_Reading_FLA[Instructional Reading Level - Per "&amp;(VLOOKUP($D$2,'Reading Report Logic'!$A$2:$B$8,2,FALSE)-1)&amp;"]"))),FALSE)),
IF($J$2="Combined",
IFERROR(
IF(VLOOKUP($A537, YES_Reading_ELA[], COLUMN(IF(VLOOKUP($D$2,'Reading Report Logic'!$A$2:$B$8,2,FALSE)=1, YES_Reading_ELA[Reading Level June of Previous School Year],INDIRECT("YES_Reading_ELA[Instructional Reading Level - Per "&amp;(VLOOKUP($D$2,'Reading Report Logic'!$A$2:$B$8,2,FALSE)-1)&amp;"]"))), FALSE)="", "",
VLOOKUP($A537,YES_Reading_ELA[],COLUMN(IF(VLOOKUP($D$2,'Reading Report Logic'!$A$2:$B$8,2,FALSE)=1, YES_Reading_ELA[Reading Level June of Previous School Year],INDIRECT("YES_Reading_ELA[Instructional Reading Level - Per "&amp;(VLOOKUP($D$2,'Reading Report Logic'!$A$2:$B$8,2,FALSE)-1)&amp;"]"))),FALSE)),
IF(VLOOKUP($A537, YES_Reading_FLA[], COLUMN(IF(VLOOKUP($D$2,'Reading Report Logic'!$A$2:$B$8,2,FALSE)=1, YES_Reading_FLA[Reading Level June of Previous School Year],INDIRECT("YES_Reading_FLA[Instructional Reading Level - Per "&amp;(VLOOKUP($D$2,'Reading Report Logic'!$A$2:$B$8,2,FALSE)-1)&amp;"]"))),FALSE)="", "", VLOOKUP($A537,YES_Reading_FLA[],COLUMN(IF(VLOOKUP($D$2,'Reading Report Logic'!$A$2:$B$8,2,FALSE)=1, YES_Reading_FLA[Reading Level June of Previous School Year],INDIRECT("YES_Reading_FLA[Instructional Reading Level - Per "&amp;(VLOOKUP($D$2,'Reading Report Logic'!$A$2:$B$8,2,FALSE)-1)&amp;"]"))), FALSE))),""))),"")</f>
        <v/>
      </c>
      <c r="D537" s="204" t="str" cm="1">
        <f t="array" aca="1" ref="D537" ca="1">IFERROR(
IF($J$2="ELA",
IF(VLOOKUP($A537, YES_Reading_ELA[], COLUMN(INDIRECT("YES_Reading_ELA[Instructional Reading Level - Per "&amp;VLOOKUP($D$2, 'Reading Report Logic'!$A$2:$B$8, 2, FALSE)&amp;"]")), FALSE)="", "",
VLOOKUP($A537,YES_Reading_ELA[], COLUMN(INDIRECT("YES_Reading_ELA[Instructional Reading Level - Per "&amp;VLOOKUP($D$2,'Reading Report Logic'!$A$2:$B$8,2,FALSE)&amp;"]")), FALSE)),
IF($J$2="FLA",
IF(VLOOKUP($A537, YES_Reading_FLA[], COLUMN(INDIRECT("YES_Reading_FLA[Instructional Reading Level - Per "&amp;VLOOKUP($D$2,'Reading Report Logic'!$A$2:$B$8,2,FALSE)&amp;"]")),FALSE)="","",
VLOOKUP($A537,YES_Reading_FLA[],COLUMN(INDIRECT("YES_Reading_FLA[Instructional Reading Level - Per "&amp;VLOOKUP($D$2,'Reading Report Logic'!$A$2:$B$8,2,FALSE)&amp;"]")),FALSE)),
IF($J$2="Combined",
IFERROR(
IF(VLOOKUP($A537, YES_Reading_ELA[], COLUMN(INDIRECT("YES_Reading_ELA[Instructional Reading Level - Per "&amp;VLOOKUP($D$2, 'Reading Report Logic'!$A$2:$B$8,2,FALSE)&amp;"]")), FALSE)="", "",
VLOOKUP($A537,YES_Reading_ELA[],COLUMN(INDIRECT("YES_Reading_ELA[Instructional Reading Level - Per "&amp;VLOOKUP($D$2,'Reading Report Logic'!$A$2:$B$8,2,FALSE)&amp;"]")),FALSE)),
IF(VLOOKUP($A537, YES_Reading_FLA[], COLUMN(INDIRECT("YES_Reading_FLA[Instructional Reading Level - Per "&amp;VLOOKUP($D$2, 'Reading Report Logic'!$A$2:$B$8, 2, FALSE)&amp;"]")),FALSE)="", "", VLOOKUP($A537,YES_Reading_FLA[],COLUMN(INDIRECT("YES_Reading_FLA[Instructional Reading Level - Per "&amp;VLOOKUP($D$2, 'Reading Report Logic'!$A$2:$B$8, 2, FALSE)&amp;"]")),FALSE))),""))),"")</f>
        <v/>
      </c>
      <c r="E537" s="205" t="str" cm="1">
        <f t="array" aca="1" ref="E537" ca="1">IFERROR(
IF($J$2="ELA",
IF(VLOOKUP($A537, YES_Reading_ELA[], COLUMN(INDIRECT("YES_Reading_ELA[Min Expectation - Per "&amp;VLOOKUP($D$2, 'Reading Report Logic'!$A$2:$B$8, 2, FALSE)&amp;"]")), FALSE)="", "",
VLOOKUP($A537,YES_Reading_ELA[], COLUMN(INDIRECT("YES_Reading_ELA[Min Expectation - Per "&amp;VLOOKUP($D$2,'Reading Report Logic'!$A$2:$B$8,2,FALSE)&amp;"]")), FALSE)),
IF($J$2="FLA",
IF(VLOOKUP($A537, YES_Reading_FLA[], COLUMN(INDIRECT("YES_Reading_FLA[Min Expectation - Per "&amp;VLOOKUP($D$2,'Reading Report Logic'!$A$2:$B$8,2,FALSE)&amp;"]")),FALSE)="","",
VLOOKUP($A537,YES_Reading_FLA[],COLUMN(INDIRECT("YES_Reading_FLA[Min Expectation - Per "&amp;VLOOKUP($D$2,'Reading Report Logic'!$A$2:$B$8,2,FALSE)&amp;"]")),FALSE)),
IF($J$2="Combined",
IFERROR(
IF(VLOOKUP($A537, YES_Reading_ELA[], COLUMN(INDIRECT("YES_Reading_ELA[Min Expectation - Per "&amp;VLOOKUP($D$2, 'Reading Report Logic'!$A$2:$B$8,2,FALSE)&amp;"]")), FALSE)="", "",
VLOOKUP($A537,YES_Reading_ELA[],COLUMN(INDIRECT("YES_Reading_ELA[Min Expectation - Per "&amp;VLOOKUP($D$2,'Reading Report Logic'!$A$2:$B$8,2,FALSE)&amp;"]")),FALSE)),
IF(VLOOKUP($A537, YES_Reading_FLA[], COLUMN(INDIRECT("YES_Reading_FLA[Min Expectation - Per "&amp;VLOOKUP($D$2, 'Reading Report Logic'!$A$2:$B$8, 2, FALSE)&amp;"]")),FALSE)="", "", VLOOKUP($A537,YES_Reading_FLA[],COLUMN(INDIRECT("YES_Reading_FLA[Min Expectation - Per "&amp;VLOOKUP($D$2, 'Reading Report Logic'!$A$2:$B$8, 2, FALSE)&amp;"]")),FALSE))),""))),"")</f>
        <v/>
      </c>
      <c r="F537" s="205" t="str" cm="1">
        <f t="array" aca="1" ref="F537" ca="1">IFERROR(
IF($J$2="ELA",
IF(VLOOKUP($A537, YES_Reading_ELA[], COLUMN(INDIRECT("YES_Reading_ELA[Max Expectation - Per "&amp;VLOOKUP($D$2, 'Reading Report Logic'!$A$2:$B$8, 2, FALSE)&amp;"]")), FALSE)="", "",
VLOOKUP($A537,YES_Reading_ELA[], COLUMN(INDIRECT("YES_Reading_ELA[Max Expectation - Per "&amp;VLOOKUP($D$2,'Reading Report Logic'!$A$2:$B$8,2,FALSE)&amp;"]")), FALSE)),
IF($J$2="FLA",
IF(VLOOKUP($A537, YES_Reading_FLA[], COLUMN(INDIRECT("YES_Reading_FLA[Max Expectation - Per "&amp;VLOOKUP($D$2,'Reading Report Logic'!$A$2:$B$8,2,FALSE)&amp;"]")),FALSE)="","",
VLOOKUP($A537,YES_Reading_FLA[],COLUMN(INDIRECT("YES_Reading_FLA[Max Expectation - Per "&amp;VLOOKUP($D$2,'Reading Report Logic'!$A$2:$B$8,2,FALSE)&amp;"]")),FALSE)),
IF($J$2="Combined",
IFERROR(
IF(VLOOKUP($A537, YES_Reading_ELA[], COLUMN(INDIRECT("YES_Reading_ELA[Max Expectation - Per "&amp;VLOOKUP($D$2, 'Reading Report Logic'!$A$2:$B$8,2,FALSE)&amp;"]")), FALSE)="", "",
VLOOKUP($A537,YES_Reading_ELA[],COLUMN(INDIRECT("YES_Reading_ELA[Max Expectation - Per "&amp;VLOOKUP($D$2,'Reading Report Logic'!$A$2:$B$8,2,FALSE)&amp;"]")),FALSE)),
IF(VLOOKUP($A537, YES_Reading_FLA[], COLUMN(INDIRECT("YES_Reading_FLA[Max Expectation - Per "&amp;VLOOKUP($D$2, 'Reading Report Logic'!$A$2:$B$8, 2, FALSE)&amp;"]")),FALSE)="", "", VLOOKUP($A537,YES_Reading_FLA[],COLUMN(INDIRECT("YES_Reading_FLA[Max Expectation - Per "&amp;VLOOKUP($D$2, 'Reading Report Logic'!$A$2:$B$8, 2, FALSE)&amp;"]")),FALSE))),""))),"")</f>
        <v/>
      </c>
      <c r="G537" s="205" t="str" cm="1">
        <f t="array" aca="1" ref="G537" ca="1">IFERROR(
IF($J$2="ELA",
IF(VLOOKUP($A537, YES_Reading_ELA[], COLUMN(INDIRECT("YES_Reading_ELA[Difference - Per "&amp;VLOOKUP($D$2, 'Reading Report Logic'!$A$2:$B$8, 2, FALSE)&amp;"]")), FALSE)="", "",
VLOOKUP($A537,YES_Reading_ELA[], COLUMN(INDIRECT("YES_Reading_ELA[Difference - Per "&amp;VLOOKUP($D$2,'Reading Report Logic'!$A$2:$B$8,2,FALSE)&amp;"]")), FALSE)),
IF($J$2="FLA",
IF(VLOOKUP($A537, YES_Reading_FLA[], COLUMN(INDIRECT("YES_Reading_FLA[Difference - Per "&amp;VLOOKUP($D$2,'Reading Report Logic'!$A$2:$B$8,2,FALSE)&amp;"]")),FALSE)="","",
VLOOKUP($A537,YES_Reading_FLA[],COLUMN(INDIRECT("YES_Reading_FLA[Difference - Per "&amp;VLOOKUP($D$2,'Reading Report Logic'!$A$2:$B$8,2,FALSE)&amp;"]")),FALSE)),
IF($J$2="Combined",
IFERROR(
IF(VLOOKUP($A537, YES_Reading_ELA[], COLUMN(INDIRECT("YES_Reading_ELA[Difference - Per "&amp;VLOOKUP($D$2, 'Reading Report Logic'!$A$2:$B$8,2,FALSE)&amp;"]")), FALSE)="", "",
VLOOKUP($A537,YES_Reading_ELA[],COLUMN(INDIRECT("YES_Reading_ELA[Difference - Per "&amp;VLOOKUP($D$2,'Reading Report Logic'!$A$2:$B$8,2,FALSE)&amp;"]")),FALSE)),
IF(VLOOKUP($A537, YES_Reading_FLA[], COLUMN(INDIRECT("YES_Reading_FLA[Difference - Per "&amp;VLOOKUP($D$2, 'Reading Report Logic'!$A$2:$B$8, 2, FALSE)&amp;"]")),FALSE)="", "", VLOOKUP($A537,YES_Reading_FLA[],COLUMN(INDIRECT("YES_Reading_FLA[Difference - Per "&amp;VLOOKUP($D$2, 'Reading Report Logic'!$A$2:$B$8, 2, FALSE)&amp;"]")),FALSE))),""))),"")</f>
        <v/>
      </c>
      <c r="H537" s="206" t="str">
        <f ca="1">IFERROR(VLOOKUP('Teacher Reading Pull Sheets'!$D537,_xlfn.VSTACK('ELA Reading Logic'!$A$22:$B$48,'FLA Reading Logic'!$A$22:$B$53),2,FALSE)-VLOOKUP('Teacher Reading Pull Sheets'!$C537,_xlfn.VSTACK('ELA Reading Logic'!$A$22:$B$48,'FLA Reading Logic'!$A$22:$B$53),2,FALSE),"")</f>
        <v/>
      </c>
      <c r="I537" s="205"/>
      <c r="J537" s="206"/>
      <c r="K537" s="24" t="str" cm="1">
        <f t="array" aca="1" ref="K537" ca="1">IFERROR(
IF($J$2="ELA",
IF(VLOOKUP($A537, YES_Reading_ELA[], COLUMN(YES_Reading_ELA[Self-Identified as African Descent]), FALSE)="", "",
VLOOKUP($A537,YES_Reading_ELA[], COLUMN(YES_Reading_ELA[Self-Identified as African Descent]), FALSE)),
IF($J$2="FLA",
IF(VLOOKUP($A537, YES_Reading_FLA[], COLUMN(YES_Reading_FLA[Self-Identified as African Descent]),FALSE)="","",
VLOOKUP($A537,YES_Reading_FLA[],COLUMN(YES_Reading_FLA[Self-Identified as African Descent]),FALSE)),
IF($J$2="Combined",
IFERROR(
IF(VLOOKUP($A537, YES_Reading_ELA[], COLUMN(YES_Reading_ELA[Self-Identified as African Descent]), FALSE)="", "",
VLOOKUP($A537,YES_Reading_ELA[],COLUMN(YES_Reading_ELA[Self-Identified as African Descent]),FALSE)),
IF(VLOOKUP($A537, YES_Reading_FLA[], COLUMN(YES_Reading_FLA[Self-Identified as African Descent]),FALSE)="", "", VLOOKUP($A537,YES_Reading_FLA[],COLUMN(YES_Reading_FLA[Self-Identified as African Descent]),FALSE))),""))),"")</f>
        <v/>
      </c>
      <c r="L537" s="199" t="str" cm="1">
        <f t="array" aca="1" ref="L537" ca="1">IFERROR(
IF($J$2="ELA",
IF(VLOOKUP($A537, YES_Reading_ELA[], COLUMN(YES_Reading_ELA[Self-Identified as Indigenous]), FALSE)="", "",
VLOOKUP($A537,YES_Reading_ELA[], COLUMN(YES_Reading_ELA[Self-Identified as Indigenous]), FALSE)),
IF($J$2="FLA",
IF(VLOOKUP($A537, YES_Reading_FLA[], COLUMN(YES_Reading_FLA[Self-Identified as Indigenous]),FALSE)="","",
VLOOKUP($A537,YES_Reading_FLA[],COLUMN(YES_Reading_FLA[Self-Identified as Indigenous]),FALSE)),
IF($J$2="Combined",
IFERROR(
IF(VLOOKUP($A537, YES_Reading_ELA[], COLUMN(YES_Reading_ELA[Self-Identified as Indigenous]), FALSE)="", "",
VLOOKUP($A537,YES_Reading_ELA[],COLUMN(YES_Reading_ELA[Self-Identified as Indigenous]),FALSE)),
IF(VLOOKUP($A537, YES_Reading_FLA[], COLUMN(YES_Reading_FLA[Self-Identified as Indigenous]),FALSE)="", "", VLOOKUP($A537,YES_Reading_FLA[],COLUMN(YES_Reading_FLA[Self-Identified as Indigenous]),FALSE))),""))),"")</f>
        <v/>
      </c>
    </row>
    <row r="538" spans="1:12" ht="19.5" customHeight="1" x14ac:dyDescent="0.25">
      <c r="A538" s="217"/>
      <c r="B538" s="220" t="str">
        <f>IFERROR(VLOOKUP(A538,_xlfn.VSTACK(YES_Reading_ELA[],YES_Reading_FLA[]),2,FALSE),"")</f>
        <v/>
      </c>
      <c r="C538" s="203" t="str" cm="1">
        <f t="array" aca="1" ref="C538" ca="1">IFERROR(
IF($J$2="ELA",
IF(VLOOKUP($A538, YES_Reading_ELA[], COLUMN(IF(VLOOKUP($D$2, 'Reading Report Logic'!$A$2:$B$8, 2, FALSE)=1, YES_Reading_ELA[Reading Level June of Previous School Year], INDIRECT("YES_Reading_ELA[Instructional Reading Level - Per "&amp;(VLOOKUP($D$2,'Reading Report Logic'!$A$2:$B$8,2,FALSE)-1)&amp;"]"))), FALSE)="", "",
VLOOKUP($A538,YES_Reading_ELA[], COLUMN(IF(VLOOKUP($D$2,'Reading Report Logic'!$A$2:$B$8,2,FALSE)=1, YES_Reading_ELA[Reading Level June of Previous School Year],INDIRECT("YES_Reading_ELA[Instructional Reading Level - Per "&amp;(VLOOKUP($D$2,'Reading Report Logic'!$A$2:$B$8,2,FALSE)-1)&amp;"]"))), FALSE)),
IF($J$2="FLA",
IF(VLOOKUP($A538, YES_Reading_FLA[], COLUMN(IF(VLOOKUP($D$2,'Reading Report Logic'!$A$2:$B$8,2,FALSE)=1, YES_Reading_FLA[Reading Level June of Previous School Year],INDIRECT("YES_Reading_FLA[Instructional Reading Level - Per "&amp;(VLOOKUP($D$2,'Reading Report Logic'!$A$2:$B$8,2,FALSE)-1)&amp;"]"))),FALSE)="","",
VLOOKUP($A538,YES_Reading_FLA[], COLUMN(IF(VLOOKUP($D$2,'Reading Report Logic'!$A$2:$B$8,2,FALSE)=1, YES_Reading_FLA[Reading Level June of Previous School Year],INDIRECT("YES_Reading_FLA[Instructional Reading Level - Per "&amp;(VLOOKUP($D$2,'Reading Report Logic'!$A$2:$B$8,2,FALSE)-1)&amp;"]"))),FALSE)),
IF($J$2="Combined",
IFERROR(
IF(VLOOKUP($A538, YES_Reading_ELA[], COLUMN(IF(VLOOKUP($D$2,'Reading Report Logic'!$A$2:$B$8,2,FALSE)=1, YES_Reading_ELA[Reading Level June of Previous School Year],INDIRECT("YES_Reading_ELA[Instructional Reading Level - Per "&amp;(VLOOKUP($D$2,'Reading Report Logic'!$A$2:$B$8,2,FALSE)-1)&amp;"]"))), FALSE)="", "",
VLOOKUP($A538,YES_Reading_ELA[],COLUMN(IF(VLOOKUP($D$2,'Reading Report Logic'!$A$2:$B$8,2,FALSE)=1, YES_Reading_ELA[Reading Level June of Previous School Year],INDIRECT("YES_Reading_ELA[Instructional Reading Level - Per "&amp;(VLOOKUP($D$2,'Reading Report Logic'!$A$2:$B$8,2,FALSE)-1)&amp;"]"))),FALSE)),
IF(VLOOKUP($A538, YES_Reading_FLA[], COLUMN(IF(VLOOKUP($D$2,'Reading Report Logic'!$A$2:$B$8,2,FALSE)=1, YES_Reading_FLA[Reading Level June of Previous School Year],INDIRECT("YES_Reading_FLA[Instructional Reading Level - Per "&amp;(VLOOKUP($D$2,'Reading Report Logic'!$A$2:$B$8,2,FALSE)-1)&amp;"]"))),FALSE)="", "", VLOOKUP($A538,YES_Reading_FLA[],COLUMN(IF(VLOOKUP($D$2,'Reading Report Logic'!$A$2:$B$8,2,FALSE)=1, YES_Reading_FLA[Reading Level June of Previous School Year],INDIRECT("YES_Reading_FLA[Instructional Reading Level - Per "&amp;(VLOOKUP($D$2,'Reading Report Logic'!$A$2:$B$8,2,FALSE)-1)&amp;"]"))), FALSE))),""))),"")</f>
        <v/>
      </c>
      <c r="D538" s="204" t="str" cm="1">
        <f t="array" aca="1" ref="D538" ca="1">IFERROR(
IF($J$2="ELA",
IF(VLOOKUP($A538, YES_Reading_ELA[], COLUMN(INDIRECT("YES_Reading_ELA[Instructional Reading Level - Per "&amp;VLOOKUP($D$2, 'Reading Report Logic'!$A$2:$B$8, 2, FALSE)&amp;"]")), FALSE)="", "",
VLOOKUP($A538,YES_Reading_ELA[], COLUMN(INDIRECT("YES_Reading_ELA[Instructional Reading Level - Per "&amp;VLOOKUP($D$2,'Reading Report Logic'!$A$2:$B$8,2,FALSE)&amp;"]")), FALSE)),
IF($J$2="FLA",
IF(VLOOKUP($A538, YES_Reading_FLA[], COLUMN(INDIRECT("YES_Reading_FLA[Instructional Reading Level - Per "&amp;VLOOKUP($D$2,'Reading Report Logic'!$A$2:$B$8,2,FALSE)&amp;"]")),FALSE)="","",
VLOOKUP($A538,YES_Reading_FLA[],COLUMN(INDIRECT("YES_Reading_FLA[Instructional Reading Level - Per "&amp;VLOOKUP($D$2,'Reading Report Logic'!$A$2:$B$8,2,FALSE)&amp;"]")),FALSE)),
IF($J$2="Combined",
IFERROR(
IF(VLOOKUP($A538, YES_Reading_ELA[], COLUMN(INDIRECT("YES_Reading_ELA[Instructional Reading Level - Per "&amp;VLOOKUP($D$2, 'Reading Report Logic'!$A$2:$B$8,2,FALSE)&amp;"]")), FALSE)="", "",
VLOOKUP($A538,YES_Reading_ELA[],COLUMN(INDIRECT("YES_Reading_ELA[Instructional Reading Level - Per "&amp;VLOOKUP($D$2,'Reading Report Logic'!$A$2:$B$8,2,FALSE)&amp;"]")),FALSE)),
IF(VLOOKUP($A538, YES_Reading_FLA[], COLUMN(INDIRECT("YES_Reading_FLA[Instructional Reading Level - Per "&amp;VLOOKUP($D$2, 'Reading Report Logic'!$A$2:$B$8, 2, FALSE)&amp;"]")),FALSE)="", "", VLOOKUP($A538,YES_Reading_FLA[],COLUMN(INDIRECT("YES_Reading_FLA[Instructional Reading Level - Per "&amp;VLOOKUP($D$2, 'Reading Report Logic'!$A$2:$B$8, 2, FALSE)&amp;"]")),FALSE))),""))),"")</f>
        <v/>
      </c>
      <c r="E538" s="205" t="str" cm="1">
        <f t="array" aca="1" ref="E538" ca="1">IFERROR(
IF($J$2="ELA",
IF(VLOOKUP($A538, YES_Reading_ELA[], COLUMN(INDIRECT("YES_Reading_ELA[Min Expectation - Per "&amp;VLOOKUP($D$2, 'Reading Report Logic'!$A$2:$B$8, 2, FALSE)&amp;"]")), FALSE)="", "",
VLOOKUP($A538,YES_Reading_ELA[], COLUMN(INDIRECT("YES_Reading_ELA[Min Expectation - Per "&amp;VLOOKUP($D$2,'Reading Report Logic'!$A$2:$B$8,2,FALSE)&amp;"]")), FALSE)),
IF($J$2="FLA",
IF(VLOOKUP($A538, YES_Reading_FLA[], COLUMN(INDIRECT("YES_Reading_FLA[Min Expectation - Per "&amp;VLOOKUP($D$2,'Reading Report Logic'!$A$2:$B$8,2,FALSE)&amp;"]")),FALSE)="","",
VLOOKUP($A538,YES_Reading_FLA[],COLUMN(INDIRECT("YES_Reading_FLA[Min Expectation - Per "&amp;VLOOKUP($D$2,'Reading Report Logic'!$A$2:$B$8,2,FALSE)&amp;"]")),FALSE)),
IF($J$2="Combined",
IFERROR(
IF(VLOOKUP($A538, YES_Reading_ELA[], COLUMN(INDIRECT("YES_Reading_ELA[Min Expectation - Per "&amp;VLOOKUP($D$2, 'Reading Report Logic'!$A$2:$B$8,2,FALSE)&amp;"]")), FALSE)="", "",
VLOOKUP($A538,YES_Reading_ELA[],COLUMN(INDIRECT("YES_Reading_ELA[Min Expectation - Per "&amp;VLOOKUP($D$2,'Reading Report Logic'!$A$2:$B$8,2,FALSE)&amp;"]")),FALSE)),
IF(VLOOKUP($A538, YES_Reading_FLA[], COLUMN(INDIRECT("YES_Reading_FLA[Min Expectation - Per "&amp;VLOOKUP($D$2, 'Reading Report Logic'!$A$2:$B$8, 2, FALSE)&amp;"]")),FALSE)="", "", VLOOKUP($A538,YES_Reading_FLA[],COLUMN(INDIRECT("YES_Reading_FLA[Min Expectation - Per "&amp;VLOOKUP($D$2, 'Reading Report Logic'!$A$2:$B$8, 2, FALSE)&amp;"]")),FALSE))),""))),"")</f>
        <v/>
      </c>
      <c r="F538" s="205" t="str" cm="1">
        <f t="array" aca="1" ref="F538" ca="1">IFERROR(
IF($J$2="ELA",
IF(VLOOKUP($A538, YES_Reading_ELA[], COLUMN(INDIRECT("YES_Reading_ELA[Max Expectation - Per "&amp;VLOOKUP($D$2, 'Reading Report Logic'!$A$2:$B$8, 2, FALSE)&amp;"]")), FALSE)="", "",
VLOOKUP($A538,YES_Reading_ELA[], COLUMN(INDIRECT("YES_Reading_ELA[Max Expectation - Per "&amp;VLOOKUP($D$2,'Reading Report Logic'!$A$2:$B$8,2,FALSE)&amp;"]")), FALSE)),
IF($J$2="FLA",
IF(VLOOKUP($A538, YES_Reading_FLA[], COLUMN(INDIRECT("YES_Reading_FLA[Max Expectation - Per "&amp;VLOOKUP($D$2,'Reading Report Logic'!$A$2:$B$8,2,FALSE)&amp;"]")),FALSE)="","",
VLOOKUP($A538,YES_Reading_FLA[],COLUMN(INDIRECT("YES_Reading_FLA[Max Expectation - Per "&amp;VLOOKUP($D$2,'Reading Report Logic'!$A$2:$B$8,2,FALSE)&amp;"]")),FALSE)),
IF($J$2="Combined",
IFERROR(
IF(VLOOKUP($A538, YES_Reading_ELA[], COLUMN(INDIRECT("YES_Reading_ELA[Max Expectation - Per "&amp;VLOOKUP($D$2, 'Reading Report Logic'!$A$2:$B$8,2,FALSE)&amp;"]")), FALSE)="", "",
VLOOKUP($A538,YES_Reading_ELA[],COLUMN(INDIRECT("YES_Reading_ELA[Max Expectation - Per "&amp;VLOOKUP($D$2,'Reading Report Logic'!$A$2:$B$8,2,FALSE)&amp;"]")),FALSE)),
IF(VLOOKUP($A538, YES_Reading_FLA[], COLUMN(INDIRECT("YES_Reading_FLA[Max Expectation - Per "&amp;VLOOKUP($D$2, 'Reading Report Logic'!$A$2:$B$8, 2, FALSE)&amp;"]")),FALSE)="", "", VLOOKUP($A538,YES_Reading_FLA[],COLUMN(INDIRECT("YES_Reading_FLA[Max Expectation - Per "&amp;VLOOKUP($D$2, 'Reading Report Logic'!$A$2:$B$8, 2, FALSE)&amp;"]")),FALSE))),""))),"")</f>
        <v/>
      </c>
      <c r="G538" s="205" t="str" cm="1">
        <f t="array" aca="1" ref="G538" ca="1">IFERROR(
IF($J$2="ELA",
IF(VLOOKUP($A538, YES_Reading_ELA[], COLUMN(INDIRECT("YES_Reading_ELA[Difference - Per "&amp;VLOOKUP($D$2, 'Reading Report Logic'!$A$2:$B$8, 2, FALSE)&amp;"]")), FALSE)="", "",
VLOOKUP($A538,YES_Reading_ELA[], COLUMN(INDIRECT("YES_Reading_ELA[Difference - Per "&amp;VLOOKUP($D$2,'Reading Report Logic'!$A$2:$B$8,2,FALSE)&amp;"]")), FALSE)),
IF($J$2="FLA",
IF(VLOOKUP($A538, YES_Reading_FLA[], COLUMN(INDIRECT("YES_Reading_FLA[Difference - Per "&amp;VLOOKUP($D$2,'Reading Report Logic'!$A$2:$B$8,2,FALSE)&amp;"]")),FALSE)="","",
VLOOKUP($A538,YES_Reading_FLA[],COLUMN(INDIRECT("YES_Reading_FLA[Difference - Per "&amp;VLOOKUP($D$2,'Reading Report Logic'!$A$2:$B$8,2,FALSE)&amp;"]")),FALSE)),
IF($J$2="Combined",
IFERROR(
IF(VLOOKUP($A538, YES_Reading_ELA[], COLUMN(INDIRECT("YES_Reading_ELA[Difference - Per "&amp;VLOOKUP($D$2, 'Reading Report Logic'!$A$2:$B$8,2,FALSE)&amp;"]")), FALSE)="", "",
VLOOKUP($A538,YES_Reading_ELA[],COLUMN(INDIRECT("YES_Reading_ELA[Difference - Per "&amp;VLOOKUP($D$2,'Reading Report Logic'!$A$2:$B$8,2,FALSE)&amp;"]")),FALSE)),
IF(VLOOKUP($A538, YES_Reading_FLA[], COLUMN(INDIRECT("YES_Reading_FLA[Difference - Per "&amp;VLOOKUP($D$2, 'Reading Report Logic'!$A$2:$B$8, 2, FALSE)&amp;"]")),FALSE)="", "", VLOOKUP($A538,YES_Reading_FLA[],COLUMN(INDIRECT("YES_Reading_FLA[Difference - Per "&amp;VLOOKUP($D$2, 'Reading Report Logic'!$A$2:$B$8, 2, FALSE)&amp;"]")),FALSE))),""))),"")</f>
        <v/>
      </c>
      <c r="H538" s="206" t="str">
        <f ca="1">IFERROR(VLOOKUP('Teacher Reading Pull Sheets'!$D538,_xlfn.VSTACK('ELA Reading Logic'!$A$22:$B$48,'FLA Reading Logic'!$A$22:$B$53),2,FALSE)-VLOOKUP('Teacher Reading Pull Sheets'!$C538,_xlfn.VSTACK('ELA Reading Logic'!$A$22:$B$48,'FLA Reading Logic'!$A$22:$B$53),2,FALSE),"")</f>
        <v/>
      </c>
      <c r="I538" s="212"/>
      <c r="J538" s="206"/>
      <c r="K538" s="197" t="str" cm="1">
        <f t="array" ref="K538">IFERROR(
IF($J$2="ELA",
IF(VLOOKUP($A538, YES_Reading_ELA[], COLUMN(YES_Reading_ELA[Self-Identified as African Descent]), FALSE)="", "",
VLOOKUP($A538,YES_Reading_ELA[], COLUMN(YES_Reading_ELA[Self-Identified as African Descent]), FALSE)),
IF($J$2="FLA",
IF(VLOOKUP($A538, YES_Reading_FLA[], COLUMN(YES_Reading_FLA[Self-Identified as African Descent]),FALSE)="","",
VLOOKUP($A538,YES_Reading_FLA[],COLUMN(YES_Reading_FLA[Self-Identified as African Descent]),FALSE)),
IF($J$2="Combined",
IFERROR(
IF(VLOOKUP($A538, YES_Reading_ELA[], COLUMN(YES_Reading_ELA[Self-Identified as African Descent]), FALSE)="", "",
VLOOKUP($A538,YES_Reading_ELA[],COLUMN(YES_Reading_ELA[Self-Identified as African Descent]),FALSE)),
IF(VLOOKUP($A538, YES_Reading_FLA[], COLUMN(YES_Reading_FLA[Self-Identified as African Descent]),FALSE)="", "", VLOOKUP($A538,YES_Reading_FLA[],COLUMN(YES_Reading_FLA[Self-Identified as African Descent]),FALSE))),""))),"")</f>
        <v/>
      </c>
      <c r="L538" s="73" t="str" cm="1">
        <f t="array" ref="L538">IFERROR(
IF($J$2="ELA",
IF(VLOOKUP($A538, YES_Reading_ELA[], COLUMN(YES_Reading_ELA[Self-Identified as Indigenous]), FALSE)="", "",
VLOOKUP($A538,YES_Reading_ELA[], COLUMN(YES_Reading_ELA[Self-Identified as Indigenous]), FALSE)),
IF($J$2="FLA",
IF(VLOOKUP($A538, YES_Reading_FLA[], COLUMN(YES_Reading_FLA[Self-Identified as Indigenous]),FALSE)="","",
VLOOKUP($A538,YES_Reading_FLA[],COLUMN(YES_Reading_FLA[Self-Identified as Indigenous]),FALSE)),
IF($J$2="Combined",
IFERROR(
IF(VLOOKUP($A538, YES_Reading_ELA[], COLUMN(YES_Reading_ELA[Self-Identified as Indigenous]), FALSE)="", "",
VLOOKUP($A538,YES_Reading_ELA[],COLUMN(YES_Reading_ELA[Self-Identified as Indigenous]),FALSE)),
IF(VLOOKUP($A538, YES_Reading_FLA[], COLUMN(YES_Reading_FLA[Self-Identified as Indigenous]),FALSE)="", "", VLOOKUP($A538,YES_Reading_FLA[],COLUMN(YES_Reading_FLA[Self-Identified as Indigenous]),FALSE))),""))),"")</f>
        <v/>
      </c>
    </row>
    <row r="539" spans="1:12" ht="19.5" customHeight="1" x14ac:dyDescent="0.25">
      <c r="A539" s="217"/>
      <c r="B539" s="220" t="str">
        <f>IFERROR(VLOOKUP(A539,_xlfn.VSTACK(YES_Reading_ELA[],YES_Reading_FLA[]),2,FALSE),"")</f>
        <v/>
      </c>
      <c r="C539" s="203" t="str" cm="1">
        <f t="array" aca="1" ref="C539" ca="1">IFERROR(
IF($J$2="ELA",
IF(VLOOKUP($A539, YES_Reading_ELA[], COLUMN(IF(VLOOKUP($D$2, 'Reading Report Logic'!$A$2:$B$8, 2, FALSE)=1, YES_Reading_ELA[Reading Level June of Previous School Year], INDIRECT("YES_Reading_ELA[Instructional Reading Level - Per "&amp;(VLOOKUP($D$2,'Reading Report Logic'!$A$2:$B$8,2,FALSE)-1)&amp;"]"))), FALSE)="", "",
VLOOKUP($A539,YES_Reading_ELA[], COLUMN(IF(VLOOKUP($D$2,'Reading Report Logic'!$A$2:$B$8,2,FALSE)=1, YES_Reading_ELA[Reading Level June of Previous School Year],INDIRECT("YES_Reading_ELA[Instructional Reading Level - Per "&amp;(VLOOKUP($D$2,'Reading Report Logic'!$A$2:$B$8,2,FALSE)-1)&amp;"]"))), FALSE)),
IF($J$2="FLA",
IF(VLOOKUP($A539, YES_Reading_FLA[], COLUMN(IF(VLOOKUP($D$2,'Reading Report Logic'!$A$2:$B$8,2,FALSE)=1, YES_Reading_FLA[Reading Level June of Previous School Year],INDIRECT("YES_Reading_FLA[Instructional Reading Level - Per "&amp;(VLOOKUP($D$2,'Reading Report Logic'!$A$2:$B$8,2,FALSE)-1)&amp;"]"))),FALSE)="","",
VLOOKUP($A539,YES_Reading_FLA[], COLUMN(IF(VLOOKUP($D$2,'Reading Report Logic'!$A$2:$B$8,2,FALSE)=1, YES_Reading_FLA[Reading Level June of Previous School Year],INDIRECT("YES_Reading_FLA[Instructional Reading Level - Per "&amp;(VLOOKUP($D$2,'Reading Report Logic'!$A$2:$B$8,2,FALSE)-1)&amp;"]"))),FALSE)),
IF($J$2="Combined",
IFERROR(
IF(VLOOKUP($A539, YES_Reading_ELA[], COLUMN(IF(VLOOKUP($D$2,'Reading Report Logic'!$A$2:$B$8,2,FALSE)=1, YES_Reading_ELA[Reading Level June of Previous School Year],INDIRECT("YES_Reading_ELA[Instructional Reading Level - Per "&amp;(VLOOKUP($D$2,'Reading Report Logic'!$A$2:$B$8,2,FALSE)-1)&amp;"]"))), FALSE)="", "",
VLOOKUP($A539,YES_Reading_ELA[],COLUMN(IF(VLOOKUP($D$2,'Reading Report Logic'!$A$2:$B$8,2,FALSE)=1, YES_Reading_ELA[Reading Level June of Previous School Year],INDIRECT("YES_Reading_ELA[Instructional Reading Level - Per "&amp;(VLOOKUP($D$2,'Reading Report Logic'!$A$2:$B$8,2,FALSE)-1)&amp;"]"))),FALSE)),
IF(VLOOKUP($A539, YES_Reading_FLA[], COLUMN(IF(VLOOKUP($D$2,'Reading Report Logic'!$A$2:$B$8,2,FALSE)=1, YES_Reading_FLA[Reading Level June of Previous School Year],INDIRECT("YES_Reading_FLA[Instructional Reading Level - Per "&amp;(VLOOKUP($D$2,'Reading Report Logic'!$A$2:$B$8,2,FALSE)-1)&amp;"]"))),FALSE)="", "", VLOOKUP($A539,YES_Reading_FLA[],COLUMN(IF(VLOOKUP($D$2,'Reading Report Logic'!$A$2:$B$8,2,FALSE)=1, YES_Reading_FLA[Reading Level June of Previous School Year],INDIRECT("YES_Reading_FLA[Instructional Reading Level - Per "&amp;(VLOOKUP($D$2,'Reading Report Logic'!$A$2:$B$8,2,FALSE)-1)&amp;"]"))), FALSE))),""))),"")</f>
        <v/>
      </c>
      <c r="D539" s="204" t="str" cm="1">
        <f t="array" aca="1" ref="D539" ca="1">IFERROR(
IF($J$2="ELA",
IF(VLOOKUP($A539, YES_Reading_ELA[], COLUMN(INDIRECT("YES_Reading_ELA[Instructional Reading Level - Per "&amp;VLOOKUP($D$2, 'Reading Report Logic'!$A$2:$B$8, 2, FALSE)&amp;"]")), FALSE)="", "",
VLOOKUP($A539,YES_Reading_ELA[], COLUMN(INDIRECT("YES_Reading_ELA[Instructional Reading Level - Per "&amp;VLOOKUP($D$2,'Reading Report Logic'!$A$2:$B$8,2,FALSE)&amp;"]")), FALSE)),
IF($J$2="FLA",
IF(VLOOKUP($A539, YES_Reading_FLA[], COLUMN(INDIRECT("YES_Reading_FLA[Instructional Reading Level - Per "&amp;VLOOKUP($D$2,'Reading Report Logic'!$A$2:$B$8,2,FALSE)&amp;"]")),FALSE)="","",
VLOOKUP($A539,YES_Reading_FLA[],COLUMN(INDIRECT("YES_Reading_FLA[Instructional Reading Level - Per "&amp;VLOOKUP($D$2,'Reading Report Logic'!$A$2:$B$8,2,FALSE)&amp;"]")),FALSE)),
IF($J$2="Combined",
IFERROR(
IF(VLOOKUP($A539, YES_Reading_ELA[], COLUMN(INDIRECT("YES_Reading_ELA[Instructional Reading Level - Per "&amp;VLOOKUP($D$2, 'Reading Report Logic'!$A$2:$B$8,2,FALSE)&amp;"]")), FALSE)="", "",
VLOOKUP($A539,YES_Reading_ELA[],COLUMN(INDIRECT("YES_Reading_ELA[Instructional Reading Level - Per "&amp;VLOOKUP($D$2,'Reading Report Logic'!$A$2:$B$8,2,FALSE)&amp;"]")),FALSE)),
IF(VLOOKUP($A539, YES_Reading_FLA[], COLUMN(INDIRECT("YES_Reading_FLA[Instructional Reading Level - Per "&amp;VLOOKUP($D$2, 'Reading Report Logic'!$A$2:$B$8, 2, FALSE)&amp;"]")),FALSE)="", "", VLOOKUP($A539,YES_Reading_FLA[],COLUMN(INDIRECT("YES_Reading_FLA[Instructional Reading Level - Per "&amp;VLOOKUP($D$2, 'Reading Report Logic'!$A$2:$B$8, 2, FALSE)&amp;"]")),FALSE))),""))),"")</f>
        <v/>
      </c>
      <c r="E539" s="205" t="str" cm="1">
        <f t="array" aca="1" ref="E539" ca="1">IFERROR(
IF($J$2="ELA",
IF(VLOOKUP($A539, YES_Reading_ELA[], COLUMN(INDIRECT("YES_Reading_ELA[Min Expectation - Per "&amp;VLOOKUP($D$2, 'Reading Report Logic'!$A$2:$B$8, 2, FALSE)&amp;"]")), FALSE)="", "",
VLOOKUP($A539,YES_Reading_ELA[], COLUMN(INDIRECT("YES_Reading_ELA[Min Expectation - Per "&amp;VLOOKUP($D$2,'Reading Report Logic'!$A$2:$B$8,2,FALSE)&amp;"]")), FALSE)),
IF($J$2="FLA",
IF(VLOOKUP($A539, YES_Reading_FLA[], COLUMN(INDIRECT("YES_Reading_FLA[Min Expectation - Per "&amp;VLOOKUP($D$2,'Reading Report Logic'!$A$2:$B$8,2,FALSE)&amp;"]")),FALSE)="","",
VLOOKUP($A539,YES_Reading_FLA[],COLUMN(INDIRECT("YES_Reading_FLA[Min Expectation - Per "&amp;VLOOKUP($D$2,'Reading Report Logic'!$A$2:$B$8,2,FALSE)&amp;"]")),FALSE)),
IF($J$2="Combined",
IFERROR(
IF(VLOOKUP($A539, YES_Reading_ELA[], COLUMN(INDIRECT("YES_Reading_ELA[Min Expectation - Per "&amp;VLOOKUP($D$2, 'Reading Report Logic'!$A$2:$B$8,2,FALSE)&amp;"]")), FALSE)="", "",
VLOOKUP($A539,YES_Reading_ELA[],COLUMN(INDIRECT("YES_Reading_ELA[Min Expectation - Per "&amp;VLOOKUP($D$2,'Reading Report Logic'!$A$2:$B$8,2,FALSE)&amp;"]")),FALSE)),
IF(VLOOKUP($A539, YES_Reading_FLA[], COLUMN(INDIRECT("YES_Reading_FLA[Min Expectation - Per "&amp;VLOOKUP($D$2, 'Reading Report Logic'!$A$2:$B$8, 2, FALSE)&amp;"]")),FALSE)="", "", VLOOKUP($A539,YES_Reading_FLA[],COLUMN(INDIRECT("YES_Reading_FLA[Min Expectation - Per "&amp;VLOOKUP($D$2, 'Reading Report Logic'!$A$2:$B$8, 2, FALSE)&amp;"]")),FALSE))),""))),"")</f>
        <v/>
      </c>
      <c r="F539" s="205" t="str" cm="1">
        <f t="array" aca="1" ref="F539" ca="1">IFERROR(
IF($J$2="ELA",
IF(VLOOKUP($A539, YES_Reading_ELA[], COLUMN(INDIRECT("YES_Reading_ELA[Max Expectation - Per "&amp;VLOOKUP($D$2, 'Reading Report Logic'!$A$2:$B$8, 2, FALSE)&amp;"]")), FALSE)="", "",
VLOOKUP($A539,YES_Reading_ELA[], COLUMN(INDIRECT("YES_Reading_ELA[Max Expectation - Per "&amp;VLOOKUP($D$2,'Reading Report Logic'!$A$2:$B$8,2,FALSE)&amp;"]")), FALSE)),
IF($J$2="FLA",
IF(VLOOKUP($A539, YES_Reading_FLA[], COLUMN(INDIRECT("YES_Reading_FLA[Max Expectation - Per "&amp;VLOOKUP($D$2,'Reading Report Logic'!$A$2:$B$8,2,FALSE)&amp;"]")),FALSE)="","",
VLOOKUP($A539,YES_Reading_FLA[],COLUMN(INDIRECT("YES_Reading_FLA[Max Expectation - Per "&amp;VLOOKUP($D$2,'Reading Report Logic'!$A$2:$B$8,2,FALSE)&amp;"]")),FALSE)),
IF($J$2="Combined",
IFERROR(
IF(VLOOKUP($A539, YES_Reading_ELA[], COLUMN(INDIRECT("YES_Reading_ELA[Max Expectation - Per "&amp;VLOOKUP($D$2, 'Reading Report Logic'!$A$2:$B$8,2,FALSE)&amp;"]")), FALSE)="", "",
VLOOKUP($A539,YES_Reading_ELA[],COLUMN(INDIRECT("YES_Reading_ELA[Max Expectation - Per "&amp;VLOOKUP($D$2,'Reading Report Logic'!$A$2:$B$8,2,FALSE)&amp;"]")),FALSE)),
IF(VLOOKUP($A539, YES_Reading_FLA[], COLUMN(INDIRECT("YES_Reading_FLA[Max Expectation - Per "&amp;VLOOKUP($D$2, 'Reading Report Logic'!$A$2:$B$8, 2, FALSE)&amp;"]")),FALSE)="", "", VLOOKUP($A539,YES_Reading_FLA[],COLUMN(INDIRECT("YES_Reading_FLA[Max Expectation - Per "&amp;VLOOKUP($D$2, 'Reading Report Logic'!$A$2:$B$8, 2, FALSE)&amp;"]")),FALSE))),""))),"")</f>
        <v/>
      </c>
      <c r="G539" s="205" t="str" cm="1">
        <f t="array" aca="1" ref="G539" ca="1">IFERROR(
IF($J$2="ELA",
IF(VLOOKUP($A539, YES_Reading_ELA[], COLUMN(INDIRECT("YES_Reading_ELA[Difference - Per "&amp;VLOOKUP($D$2, 'Reading Report Logic'!$A$2:$B$8, 2, FALSE)&amp;"]")), FALSE)="", "",
VLOOKUP($A539,YES_Reading_ELA[], COLUMN(INDIRECT("YES_Reading_ELA[Difference - Per "&amp;VLOOKUP($D$2,'Reading Report Logic'!$A$2:$B$8,2,FALSE)&amp;"]")), FALSE)),
IF($J$2="FLA",
IF(VLOOKUP($A539, YES_Reading_FLA[], COLUMN(INDIRECT("YES_Reading_FLA[Difference - Per "&amp;VLOOKUP($D$2,'Reading Report Logic'!$A$2:$B$8,2,FALSE)&amp;"]")),FALSE)="","",
VLOOKUP($A539,YES_Reading_FLA[],COLUMN(INDIRECT("YES_Reading_FLA[Difference - Per "&amp;VLOOKUP($D$2,'Reading Report Logic'!$A$2:$B$8,2,FALSE)&amp;"]")),FALSE)),
IF($J$2="Combined",
IFERROR(
IF(VLOOKUP($A539, YES_Reading_ELA[], COLUMN(INDIRECT("YES_Reading_ELA[Difference - Per "&amp;VLOOKUP($D$2, 'Reading Report Logic'!$A$2:$B$8,2,FALSE)&amp;"]")), FALSE)="", "",
VLOOKUP($A539,YES_Reading_ELA[],COLUMN(INDIRECT("YES_Reading_ELA[Difference - Per "&amp;VLOOKUP($D$2,'Reading Report Logic'!$A$2:$B$8,2,FALSE)&amp;"]")),FALSE)),
IF(VLOOKUP($A539, YES_Reading_FLA[], COLUMN(INDIRECT("YES_Reading_FLA[Difference - Per "&amp;VLOOKUP($D$2, 'Reading Report Logic'!$A$2:$B$8, 2, FALSE)&amp;"]")),FALSE)="", "", VLOOKUP($A539,YES_Reading_FLA[],COLUMN(INDIRECT("YES_Reading_FLA[Difference - Per "&amp;VLOOKUP($D$2, 'Reading Report Logic'!$A$2:$B$8, 2, FALSE)&amp;"]")),FALSE))),""))),"")</f>
        <v/>
      </c>
      <c r="H539" s="206" t="str">
        <f ca="1">IFERROR(VLOOKUP('Teacher Reading Pull Sheets'!$D539,_xlfn.VSTACK('ELA Reading Logic'!$A$22:$B$48,'FLA Reading Logic'!$A$22:$B$53),2,FALSE)-VLOOKUP('Teacher Reading Pull Sheets'!$C539,_xlfn.VSTACK('ELA Reading Logic'!$A$22:$B$48,'FLA Reading Logic'!$A$22:$B$53),2,FALSE),"")</f>
        <v/>
      </c>
      <c r="I539" s="212"/>
      <c r="J539" s="206"/>
      <c r="K539" s="197" t="str" cm="1">
        <f t="array" ref="K539">IFERROR(
IF($J$2="ELA",
IF(VLOOKUP($A539, YES_Reading_ELA[], COLUMN(YES_Reading_ELA[Self-Identified as African Descent]), FALSE)="", "",
VLOOKUP($A539,YES_Reading_ELA[], COLUMN(YES_Reading_ELA[Self-Identified as African Descent]), FALSE)),
IF($J$2="FLA",
IF(VLOOKUP($A539, YES_Reading_FLA[], COLUMN(YES_Reading_FLA[Self-Identified as African Descent]),FALSE)="","",
VLOOKUP($A539,YES_Reading_FLA[],COLUMN(YES_Reading_FLA[Self-Identified as African Descent]),FALSE)),
IF($J$2="Combined",
IFERROR(
IF(VLOOKUP($A539, YES_Reading_ELA[], COLUMN(YES_Reading_ELA[Self-Identified as African Descent]), FALSE)="", "",
VLOOKUP($A539,YES_Reading_ELA[],COLUMN(YES_Reading_ELA[Self-Identified as African Descent]),FALSE)),
IF(VLOOKUP($A539, YES_Reading_FLA[], COLUMN(YES_Reading_FLA[Self-Identified as African Descent]),FALSE)="", "", VLOOKUP($A539,YES_Reading_FLA[],COLUMN(YES_Reading_FLA[Self-Identified as African Descent]),FALSE))),""))),"")</f>
        <v/>
      </c>
      <c r="L539" s="73" t="str" cm="1">
        <f t="array" ref="L539">IFERROR(
IF($J$2="ELA",
IF(VLOOKUP($A539, YES_Reading_ELA[], COLUMN(YES_Reading_ELA[Self-Identified as Indigenous]), FALSE)="", "",
VLOOKUP($A539,YES_Reading_ELA[], COLUMN(YES_Reading_ELA[Self-Identified as Indigenous]), FALSE)),
IF($J$2="FLA",
IF(VLOOKUP($A539, YES_Reading_FLA[], COLUMN(YES_Reading_FLA[Self-Identified as Indigenous]),FALSE)="","",
VLOOKUP($A539,YES_Reading_FLA[],COLUMN(YES_Reading_FLA[Self-Identified as Indigenous]),FALSE)),
IF($J$2="Combined",
IFERROR(
IF(VLOOKUP($A539, YES_Reading_ELA[], COLUMN(YES_Reading_ELA[Self-Identified as Indigenous]), FALSE)="", "",
VLOOKUP($A539,YES_Reading_ELA[],COLUMN(YES_Reading_ELA[Self-Identified as Indigenous]),FALSE)),
IF(VLOOKUP($A539, YES_Reading_FLA[], COLUMN(YES_Reading_FLA[Self-Identified as Indigenous]),FALSE)="", "", VLOOKUP($A539,YES_Reading_FLA[],COLUMN(YES_Reading_FLA[Self-Identified as Indigenous]),FALSE))),""))),"")</f>
        <v/>
      </c>
    </row>
    <row r="540" spans="1:12" ht="19.5" customHeight="1" x14ac:dyDescent="0.25">
      <c r="A540" s="217"/>
      <c r="B540" s="220" t="str">
        <f>IFERROR(VLOOKUP(A540,_xlfn.VSTACK(YES_Reading_ELA[],YES_Reading_FLA[]),2,FALSE),"")</f>
        <v/>
      </c>
      <c r="C540" s="203" t="str" cm="1">
        <f t="array" aca="1" ref="C540" ca="1">IFERROR(
IF($J$2="ELA",
IF(VLOOKUP($A540, YES_Reading_ELA[], COLUMN(IF(VLOOKUP($D$2, 'Reading Report Logic'!$A$2:$B$8, 2, FALSE)=1, YES_Reading_ELA[Reading Level June of Previous School Year], INDIRECT("YES_Reading_ELA[Instructional Reading Level - Per "&amp;(VLOOKUP($D$2,'Reading Report Logic'!$A$2:$B$8,2,FALSE)-1)&amp;"]"))), FALSE)="", "",
VLOOKUP($A540,YES_Reading_ELA[], COLUMN(IF(VLOOKUP($D$2,'Reading Report Logic'!$A$2:$B$8,2,FALSE)=1, YES_Reading_ELA[Reading Level June of Previous School Year],INDIRECT("YES_Reading_ELA[Instructional Reading Level - Per "&amp;(VLOOKUP($D$2,'Reading Report Logic'!$A$2:$B$8,2,FALSE)-1)&amp;"]"))), FALSE)),
IF($J$2="FLA",
IF(VLOOKUP($A540, YES_Reading_FLA[], COLUMN(IF(VLOOKUP($D$2,'Reading Report Logic'!$A$2:$B$8,2,FALSE)=1, YES_Reading_FLA[Reading Level June of Previous School Year],INDIRECT("YES_Reading_FLA[Instructional Reading Level - Per "&amp;(VLOOKUP($D$2,'Reading Report Logic'!$A$2:$B$8,2,FALSE)-1)&amp;"]"))),FALSE)="","",
VLOOKUP($A540,YES_Reading_FLA[], COLUMN(IF(VLOOKUP($D$2,'Reading Report Logic'!$A$2:$B$8,2,FALSE)=1, YES_Reading_FLA[Reading Level June of Previous School Year],INDIRECT("YES_Reading_FLA[Instructional Reading Level - Per "&amp;(VLOOKUP($D$2,'Reading Report Logic'!$A$2:$B$8,2,FALSE)-1)&amp;"]"))),FALSE)),
IF($J$2="Combined",
IFERROR(
IF(VLOOKUP($A540, YES_Reading_ELA[], COLUMN(IF(VLOOKUP($D$2,'Reading Report Logic'!$A$2:$B$8,2,FALSE)=1, YES_Reading_ELA[Reading Level June of Previous School Year],INDIRECT("YES_Reading_ELA[Instructional Reading Level - Per "&amp;(VLOOKUP($D$2,'Reading Report Logic'!$A$2:$B$8,2,FALSE)-1)&amp;"]"))), FALSE)="", "",
VLOOKUP($A540,YES_Reading_ELA[],COLUMN(IF(VLOOKUP($D$2,'Reading Report Logic'!$A$2:$B$8,2,FALSE)=1, YES_Reading_ELA[Reading Level June of Previous School Year],INDIRECT("YES_Reading_ELA[Instructional Reading Level - Per "&amp;(VLOOKUP($D$2,'Reading Report Logic'!$A$2:$B$8,2,FALSE)-1)&amp;"]"))),FALSE)),
IF(VLOOKUP($A540, YES_Reading_FLA[], COLUMN(IF(VLOOKUP($D$2,'Reading Report Logic'!$A$2:$B$8,2,FALSE)=1, YES_Reading_FLA[Reading Level June of Previous School Year],INDIRECT("YES_Reading_FLA[Instructional Reading Level - Per "&amp;(VLOOKUP($D$2,'Reading Report Logic'!$A$2:$B$8,2,FALSE)-1)&amp;"]"))),FALSE)="", "", VLOOKUP($A540,YES_Reading_FLA[],COLUMN(IF(VLOOKUP($D$2,'Reading Report Logic'!$A$2:$B$8,2,FALSE)=1, YES_Reading_FLA[Reading Level June of Previous School Year],INDIRECT("YES_Reading_FLA[Instructional Reading Level - Per "&amp;(VLOOKUP($D$2,'Reading Report Logic'!$A$2:$B$8,2,FALSE)-1)&amp;"]"))), FALSE))),""))),"")</f>
        <v/>
      </c>
      <c r="D540" s="204" t="str" cm="1">
        <f t="array" aca="1" ref="D540" ca="1">IFERROR(
IF($J$2="ELA",
IF(VLOOKUP($A540, YES_Reading_ELA[], COLUMN(INDIRECT("YES_Reading_ELA[Instructional Reading Level - Per "&amp;VLOOKUP($D$2, 'Reading Report Logic'!$A$2:$B$8, 2, FALSE)&amp;"]")), FALSE)="", "",
VLOOKUP($A540,YES_Reading_ELA[], COLUMN(INDIRECT("YES_Reading_ELA[Instructional Reading Level - Per "&amp;VLOOKUP($D$2,'Reading Report Logic'!$A$2:$B$8,2,FALSE)&amp;"]")), FALSE)),
IF($J$2="FLA",
IF(VLOOKUP($A540, YES_Reading_FLA[], COLUMN(INDIRECT("YES_Reading_FLA[Instructional Reading Level - Per "&amp;VLOOKUP($D$2,'Reading Report Logic'!$A$2:$B$8,2,FALSE)&amp;"]")),FALSE)="","",
VLOOKUP($A540,YES_Reading_FLA[],COLUMN(INDIRECT("YES_Reading_FLA[Instructional Reading Level - Per "&amp;VLOOKUP($D$2,'Reading Report Logic'!$A$2:$B$8,2,FALSE)&amp;"]")),FALSE)),
IF($J$2="Combined",
IFERROR(
IF(VLOOKUP($A540, YES_Reading_ELA[], COLUMN(INDIRECT("YES_Reading_ELA[Instructional Reading Level - Per "&amp;VLOOKUP($D$2, 'Reading Report Logic'!$A$2:$B$8,2,FALSE)&amp;"]")), FALSE)="", "",
VLOOKUP($A540,YES_Reading_ELA[],COLUMN(INDIRECT("YES_Reading_ELA[Instructional Reading Level - Per "&amp;VLOOKUP($D$2,'Reading Report Logic'!$A$2:$B$8,2,FALSE)&amp;"]")),FALSE)),
IF(VLOOKUP($A540, YES_Reading_FLA[], COLUMN(INDIRECT("YES_Reading_FLA[Instructional Reading Level - Per "&amp;VLOOKUP($D$2, 'Reading Report Logic'!$A$2:$B$8, 2, FALSE)&amp;"]")),FALSE)="", "", VLOOKUP($A540,YES_Reading_FLA[],COLUMN(INDIRECT("YES_Reading_FLA[Instructional Reading Level - Per "&amp;VLOOKUP($D$2, 'Reading Report Logic'!$A$2:$B$8, 2, FALSE)&amp;"]")),FALSE))),""))),"")</f>
        <v/>
      </c>
      <c r="E540" s="205" t="str" cm="1">
        <f t="array" aca="1" ref="E540" ca="1">IFERROR(
IF($J$2="ELA",
IF(VLOOKUP($A540, YES_Reading_ELA[], COLUMN(INDIRECT("YES_Reading_ELA[Min Expectation - Per "&amp;VLOOKUP($D$2, 'Reading Report Logic'!$A$2:$B$8, 2, FALSE)&amp;"]")), FALSE)="", "",
VLOOKUP($A540,YES_Reading_ELA[], COLUMN(INDIRECT("YES_Reading_ELA[Min Expectation - Per "&amp;VLOOKUP($D$2,'Reading Report Logic'!$A$2:$B$8,2,FALSE)&amp;"]")), FALSE)),
IF($J$2="FLA",
IF(VLOOKUP($A540, YES_Reading_FLA[], COLUMN(INDIRECT("YES_Reading_FLA[Min Expectation - Per "&amp;VLOOKUP($D$2,'Reading Report Logic'!$A$2:$B$8,2,FALSE)&amp;"]")),FALSE)="","",
VLOOKUP($A540,YES_Reading_FLA[],COLUMN(INDIRECT("YES_Reading_FLA[Min Expectation - Per "&amp;VLOOKUP($D$2,'Reading Report Logic'!$A$2:$B$8,2,FALSE)&amp;"]")),FALSE)),
IF($J$2="Combined",
IFERROR(
IF(VLOOKUP($A540, YES_Reading_ELA[], COLUMN(INDIRECT("YES_Reading_ELA[Min Expectation - Per "&amp;VLOOKUP($D$2, 'Reading Report Logic'!$A$2:$B$8,2,FALSE)&amp;"]")), FALSE)="", "",
VLOOKUP($A540,YES_Reading_ELA[],COLUMN(INDIRECT("YES_Reading_ELA[Min Expectation - Per "&amp;VLOOKUP($D$2,'Reading Report Logic'!$A$2:$B$8,2,FALSE)&amp;"]")),FALSE)),
IF(VLOOKUP($A540, YES_Reading_FLA[], COLUMN(INDIRECT("YES_Reading_FLA[Min Expectation - Per "&amp;VLOOKUP($D$2, 'Reading Report Logic'!$A$2:$B$8, 2, FALSE)&amp;"]")),FALSE)="", "", VLOOKUP($A540,YES_Reading_FLA[],COLUMN(INDIRECT("YES_Reading_FLA[Min Expectation - Per "&amp;VLOOKUP($D$2, 'Reading Report Logic'!$A$2:$B$8, 2, FALSE)&amp;"]")),FALSE))),""))),"")</f>
        <v/>
      </c>
      <c r="F540" s="205" t="str" cm="1">
        <f t="array" aca="1" ref="F540" ca="1">IFERROR(
IF($J$2="ELA",
IF(VLOOKUP($A540, YES_Reading_ELA[], COLUMN(INDIRECT("YES_Reading_ELA[Max Expectation - Per "&amp;VLOOKUP($D$2, 'Reading Report Logic'!$A$2:$B$8, 2, FALSE)&amp;"]")), FALSE)="", "",
VLOOKUP($A540,YES_Reading_ELA[], COLUMN(INDIRECT("YES_Reading_ELA[Max Expectation - Per "&amp;VLOOKUP($D$2,'Reading Report Logic'!$A$2:$B$8,2,FALSE)&amp;"]")), FALSE)),
IF($J$2="FLA",
IF(VLOOKUP($A540, YES_Reading_FLA[], COLUMN(INDIRECT("YES_Reading_FLA[Max Expectation - Per "&amp;VLOOKUP($D$2,'Reading Report Logic'!$A$2:$B$8,2,FALSE)&amp;"]")),FALSE)="","",
VLOOKUP($A540,YES_Reading_FLA[],COLUMN(INDIRECT("YES_Reading_FLA[Max Expectation - Per "&amp;VLOOKUP($D$2,'Reading Report Logic'!$A$2:$B$8,2,FALSE)&amp;"]")),FALSE)),
IF($J$2="Combined",
IFERROR(
IF(VLOOKUP($A540, YES_Reading_ELA[], COLUMN(INDIRECT("YES_Reading_ELA[Max Expectation - Per "&amp;VLOOKUP($D$2, 'Reading Report Logic'!$A$2:$B$8,2,FALSE)&amp;"]")), FALSE)="", "",
VLOOKUP($A540,YES_Reading_ELA[],COLUMN(INDIRECT("YES_Reading_ELA[Max Expectation - Per "&amp;VLOOKUP($D$2,'Reading Report Logic'!$A$2:$B$8,2,FALSE)&amp;"]")),FALSE)),
IF(VLOOKUP($A540, YES_Reading_FLA[], COLUMN(INDIRECT("YES_Reading_FLA[Max Expectation - Per "&amp;VLOOKUP($D$2, 'Reading Report Logic'!$A$2:$B$8, 2, FALSE)&amp;"]")),FALSE)="", "", VLOOKUP($A540,YES_Reading_FLA[],COLUMN(INDIRECT("YES_Reading_FLA[Max Expectation - Per "&amp;VLOOKUP($D$2, 'Reading Report Logic'!$A$2:$B$8, 2, FALSE)&amp;"]")),FALSE))),""))),"")</f>
        <v/>
      </c>
      <c r="G540" s="205" t="str" cm="1">
        <f t="array" aca="1" ref="G540" ca="1">IFERROR(
IF($J$2="ELA",
IF(VLOOKUP($A540, YES_Reading_ELA[], COLUMN(INDIRECT("YES_Reading_ELA[Difference - Per "&amp;VLOOKUP($D$2, 'Reading Report Logic'!$A$2:$B$8, 2, FALSE)&amp;"]")), FALSE)="", "",
VLOOKUP($A540,YES_Reading_ELA[], COLUMN(INDIRECT("YES_Reading_ELA[Difference - Per "&amp;VLOOKUP($D$2,'Reading Report Logic'!$A$2:$B$8,2,FALSE)&amp;"]")), FALSE)),
IF($J$2="FLA",
IF(VLOOKUP($A540, YES_Reading_FLA[], COLUMN(INDIRECT("YES_Reading_FLA[Difference - Per "&amp;VLOOKUP($D$2,'Reading Report Logic'!$A$2:$B$8,2,FALSE)&amp;"]")),FALSE)="","",
VLOOKUP($A540,YES_Reading_FLA[],COLUMN(INDIRECT("YES_Reading_FLA[Difference - Per "&amp;VLOOKUP($D$2,'Reading Report Logic'!$A$2:$B$8,2,FALSE)&amp;"]")),FALSE)),
IF($J$2="Combined",
IFERROR(
IF(VLOOKUP($A540, YES_Reading_ELA[], COLUMN(INDIRECT("YES_Reading_ELA[Difference - Per "&amp;VLOOKUP($D$2, 'Reading Report Logic'!$A$2:$B$8,2,FALSE)&amp;"]")), FALSE)="", "",
VLOOKUP($A540,YES_Reading_ELA[],COLUMN(INDIRECT("YES_Reading_ELA[Difference - Per "&amp;VLOOKUP($D$2,'Reading Report Logic'!$A$2:$B$8,2,FALSE)&amp;"]")),FALSE)),
IF(VLOOKUP($A540, YES_Reading_FLA[], COLUMN(INDIRECT("YES_Reading_FLA[Difference - Per "&amp;VLOOKUP($D$2, 'Reading Report Logic'!$A$2:$B$8, 2, FALSE)&amp;"]")),FALSE)="", "", VLOOKUP($A540,YES_Reading_FLA[],COLUMN(INDIRECT("YES_Reading_FLA[Difference - Per "&amp;VLOOKUP($D$2, 'Reading Report Logic'!$A$2:$B$8, 2, FALSE)&amp;"]")),FALSE))),""))),"")</f>
        <v/>
      </c>
      <c r="H540" s="206" t="str">
        <f ca="1">IFERROR(VLOOKUP('Teacher Reading Pull Sheets'!$D540,_xlfn.VSTACK('ELA Reading Logic'!$A$22:$B$48,'FLA Reading Logic'!$A$22:$B$53),2,FALSE)-VLOOKUP('Teacher Reading Pull Sheets'!$C540,_xlfn.VSTACK('ELA Reading Logic'!$A$22:$B$48,'FLA Reading Logic'!$A$22:$B$53),2,FALSE),"")</f>
        <v/>
      </c>
      <c r="I540" s="212"/>
      <c r="J540" s="206"/>
      <c r="K540" s="197" t="str" cm="1">
        <f t="array" ref="K540">IFERROR(
IF($J$2="ELA",
IF(VLOOKUP($A540, YES_Reading_ELA[], COLUMN(YES_Reading_ELA[Self-Identified as African Descent]), FALSE)="", "",
VLOOKUP($A540,YES_Reading_ELA[], COLUMN(YES_Reading_ELA[Self-Identified as African Descent]), FALSE)),
IF($J$2="FLA",
IF(VLOOKUP($A540, YES_Reading_FLA[], COLUMN(YES_Reading_FLA[Self-Identified as African Descent]),FALSE)="","",
VLOOKUP($A540,YES_Reading_FLA[],COLUMN(YES_Reading_FLA[Self-Identified as African Descent]),FALSE)),
IF($J$2="Combined",
IFERROR(
IF(VLOOKUP($A540, YES_Reading_ELA[], COLUMN(YES_Reading_ELA[Self-Identified as African Descent]), FALSE)="", "",
VLOOKUP($A540,YES_Reading_ELA[],COLUMN(YES_Reading_ELA[Self-Identified as African Descent]),FALSE)),
IF(VLOOKUP($A540, YES_Reading_FLA[], COLUMN(YES_Reading_FLA[Self-Identified as African Descent]),FALSE)="", "", VLOOKUP($A540,YES_Reading_FLA[],COLUMN(YES_Reading_FLA[Self-Identified as African Descent]),FALSE))),""))),"")</f>
        <v/>
      </c>
      <c r="L540" s="73" t="str" cm="1">
        <f t="array" ref="L540">IFERROR(
IF($J$2="ELA",
IF(VLOOKUP($A540, YES_Reading_ELA[], COLUMN(YES_Reading_ELA[Self-Identified as Indigenous]), FALSE)="", "",
VLOOKUP($A540,YES_Reading_ELA[], COLUMN(YES_Reading_ELA[Self-Identified as Indigenous]), FALSE)),
IF($J$2="FLA",
IF(VLOOKUP($A540, YES_Reading_FLA[], COLUMN(YES_Reading_FLA[Self-Identified as Indigenous]),FALSE)="","",
VLOOKUP($A540,YES_Reading_FLA[],COLUMN(YES_Reading_FLA[Self-Identified as Indigenous]),FALSE)),
IF($J$2="Combined",
IFERROR(
IF(VLOOKUP($A540, YES_Reading_ELA[], COLUMN(YES_Reading_ELA[Self-Identified as Indigenous]), FALSE)="", "",
VLOOKUP($A540,YES_Reading_ELA[],COLUMN(YES_Reading_ELA[Self-Identified as Indigenous]),FALSE)),
IF(VLOOKUP($A540, YES_Reading_FLA[], COLUMN(YES_Reading_FLA[Self-Identified as Indigenous]),FALSE)="", "", VLOOKUP($A540,YES_Reading_FLA[],COLUMN(YES_Reading_FLA[Self-Identified as Indigenous]),FALSE))),""))),"")</f>
        <v/>
      </c>
    </row>
    <row r="541" spans="1:12" ht="19.5" customHeight="1" x14ac:dyDescent="0.25">
      <c r="A541" s="217"/>
      <c r="B541" s="220" t="str">
        <f>IFERROR(VLOOKUP(A541,_xlfn.VSTACK(YES_Reading_ELA[],YES_Reading_FLA[]),2,FALSE),"")</f>
        <v/>
      </c>
      <c r="C541" s="203" t="str" cm="1">
        <f t="array" aca="1" ref="C541" ca="1">IFERROR(
IF($J$2="ELA",
IF(VLOOKUP($A541, YES_Reading_ELA[], COLUMN(IF(VLOOKUP($D$2, 'Reading Report Logic'!$A$2:$B$8, 2, FALSE)=1, YES_Reading_ELA[Reading Level June of Previous School Year], INDIRECT("YES_Reading_ELA[Instructional Reading Level - Per "&amp;(VLOOKUP($D$2,'Reading Report Logic'!$A$2:$B$8,2,FALSE)-1)&amp;"]"))), FALSE)="", "",
VLOOKUP($A541,YES_Reading_ELA[], COLUMN(IF(VLOOKUP($D$2,'Reading Report Logic'!$A$2:$B$8,2,FALSE)=1, YES_Reading_ELA[Reading Level June of Previous School Year],INDIRECT("YES_Reading_ELA[Instructional Reading Level - Per "&amp;(VLOOKUP($D$2,'Reading Report Logic'!$A$2:$B$8,2,FALSE)-1)&amp;"]"))), FALSE)),
IF($J$2="FLA",
IF(VLOOKUP($A541, YES_Reading_FLA[], COLUMN(IF(VLOOKUP($D$2,'Reading Report Logic'!$A$2:$B$8,2,FALSE)=1, YES_Reading_FLA[Reading Level June of Previous School Year],INDIRECT("YES_Reading_FLA[Instructional Reading Level - Per "&amp;(VLOOKUP($D$2,'Reading Report Logic'!$A$2:$B$8,2,FALSE)-1)&amp;"]"))),FALSE)="","",
VLOOKUP($A541,YES_Reading_FLA[], COLUMN(IF(VLOOKUP($D$2,'Reading Report Logic'!$A$2:$B$8,2,FALSE)=1, YES_Reading_FLA[Reading Level June of Previous School Year],INDIRECT("YES_Reading_FLA[Instructional Reading Level - Per "&amp;(VLOOKUP($D$2,'Reading Report Logic'!$A$2:$B$8,2,FALSE)-1)&amp;"]"))),FALSE)),
IF($J$2="Combined",
IFERROR(
IF(VLOOKUP($A541, YES_Reading_ELA[], COLUMN(IF(VLOOKUP($D$2,'Reading Report Logic'!$A$2:$B$8,2,FALSE)=1, YES_Reading_ELA[Reading Level June of Previous School Year],INDIRECT("YES_Reading_ELA[Instructional Reading Level - Per "&amp;(VLOOKUP($D$2,'Reading Report Logic'!$A$2:$B$8,2,FALSE)-1)&amp;"]"))), FALSE)="", "",
VLOOKUP($A541,YES_Reading_ELA[],COLUMN(IF(VLOOKUP($D$2,'Reading Report Logic'!$A$2:$B$8,2,FALSE)=1, YES_Reading_ELA[Reading Level June of Previous School Year],INDIRECT("YES_Reading_ELA[Instructional Reading Level - Per "&amp;(VLOOKUP($D$2,'Reading Report Logic'!$A$2:$B$8,2,FALSE)-1)&amp;"]"))),FALSE)),
IF(VLOOKUP($A541, YES_Reading_FLA[], COLUMN(IF(VLOOKUP($D$2,'Reading Report Logic'!$A$2:$B$8,2,FALSE)=1, YES_Reading_FLA[Reading Level June of Previous School Year],INDIRECT("YES_Reading_FLA[Instructional Reading Level - Per "&amp;(VLOOKUP($D$2,'Reading Report Logic'!$A$2:$B$8,2,FALSE)-1)&amp;"]"))),FALSE)="", "", VLOOKUP($A541,YES_Reading_FLA[],COLUMN(IF(VLOOKUP($D$2,'Reading Report Logic'!$A$2:$B$8,2,FALSE)=1, YES_Reading_FLA[Reading Level June of Previous School Year],INDIRECT("YES_Reading_FLA[Instructional Reading Level - Per "&amp;(VLOOKUP($D$2,'Reading Report Logic'!$A$2:$B$8,2,FALSE)-1)&amp;"]"))), FALSE))),""))),"")</f>
        <v/>
      </c>
      <c r="D541" s="204" t="str" cm="1">
        <f t="array" aca="1" ref="D541" ca="1">IFERROR(
IF($J$2="ELA",
IF(VLOOKUP($A541, YES_Reading_ELA[], COLUMN(INDIRECT("YES_Reading_ELA[Instructional Reading Level - Per "&amp;VLOOKUP($D$2, 'Reading Report Logic'!$A$2:$B$8, 2, FALSE)&amp;"]")), FALSE)="", "",
VLOOKUP($A541,YES_Reading_ELA[], COLUMN(INDIRECT("YES_Reading_ELA[Instructional Reading Level - Per "&amp;VLOOKUP($D$2,'Reading Report Logic'!$A$2:$B$8,2,FALSE)&amp;"]")), FALSE)),
IF($J$2="FLA",
IF(VLOOKUP($A541, YES_Reading_FLA[], COLUMN(INDIRECT("YES_Reading_FLA[Instructional Reading Level - Per "&amp;VLOOKUP($D$2,'Reading Report Logic'!$A$2:$B$8,2,FALSE)&amp;"]")),FALSE)="","",
VLOOKUP($A541,YES_Reading_FLA[],COLUMN(INDIRECT("YES_Reading_FLA[Instructional Reading Level - Per "&amp;VLOOKUP($D$2,'Reading Report Logic'!$A$2:$B$8,2,FALSE)&amp;"]")),FALSE)),
IF($J$2="Combined",
IFERROR(
IF(VLOOKUP($A541, YES_Reading_ELA[], COLUMN(INDIRECT("YES_Reading_ELA[Instructional Reading Level - Per "&amp;VLOOKUP($D$2, 'Reading Report Logic'!$A$2:$B$8,2,FALSE)&amp;"]")), FALSE)="", "",
VLOOKUP($A541,YES_Reading_ELA[],COLUMN(INDIRECT("YES_Reading_ELA[Instructional Reading Level - Per "&amp;VLOOKUP($D$2,'Reading Report Logic'!$A$2:$B$8,2,FALSE)&amp;"]")),FALSE)),
IF(VLOOKUP($A541, YES_Reading_FLA[], COLUMN(INDIRECT("YES_Reading_FLA[Instructional Reading Level - Per "&amp;VLOOKUP($D$2, 'Reading Report Logic'!$A$2:$B$8, 2, FALSE)&amp;"]")),FALSE)="", "", VLOOKUP($A541,YES_Reading_FLA[],COLUMN(INDIRECT("YES_Reading_FLA[Instructional Reading Level - Per "&amp;VLOOKUP($D$2, 'Reading Report Logic'!$A$2:$B$8, 2, FALSE)&amp;"]")),FALSE))),""))),"")</f>
        <v/>
      </c>
      <c r="E541" s="205" t="str" cm="1">
        <f t="array" aca="1" ref="E541" ca="1">IFERROR(
IF($J$2="ELA",
IF(VLOOKUP($A541, YES_Reading_ELA[], COLUMN(INDIRECT("YES_Reading_ELA[Min Expectation - Per "&amp;VLOOKUP($D$2, 'Reading Report Logic'!$A$2:$B$8, 2, FALSE)&amp;"]")), FALSE)="", "",
VLOOKUP($A541,YES_Reading_ELA[], COLUMN(INDIRECT("YES_Reading_ELA[Min Expectation - Per "&amp;VLOOKUP($D$2,'Reading Report Logic'!$A$2:$B$8,2,FALSE)&amp;"]")), FALSE)),
IF($J$2="FLA",
IF(VLOOKUP($A541, YES_Reading_FLA[], COLUMN(INDIRECT("YES_Reading_FLA[Min Expectation - Per "&amp;VLOOKUP($D$2,'Reading Report Logic'!$A$2:$B$8,2,FALSE)&amp;"]")),FALSE)="","",
VLOOKUP($A541,YES_Reading_FLA[],COLUMN(INDIRECT("YES_Reading_FLA[Min Expectation - Per "&amp;VLOOKUP($D$2,'Reading Report Logic'!$A$2:$B$8,2,FALSE)&amp;"]")),FALSE)),
IF($J$2="Combined",
IFERROR(
IF(VLOOKUP($A541, YES_Reading_ELA[], COLUMN(INDIRECT("YES_Reading_ELA[Min Expectation - Per "&amp;VLOOKUP($D$2, 'Reading Report Logic'!$A$2:$B$8,2,FALSE)&amp;"]")), FALSE)="", "",
VLOOKUP($A541,YES_Reading_ELA[],COLUMN(INDIRECT("YES_Reading_ELA[Min Expectation - Per "&amp;VLOOKUP($D$2,'Reading Report Logic'!$A$2:$B$8,2,FALSE)&amp;"]")),FALSE)),
IF(VLOOKUP($A541, YES_Reading_FLA[], COLUMN(INDIRECT("YES_Reading_FLA[Min Expectation - Per "&amp;VLOOKUP($D$2, 'Reading Report Logic'!$A$2:$B$8, 2, FALSE)&amp;"]")),FALSE)="", "", VLOOKUP($A541,YES_Reading_FLA[],COLUMN(INDIRECT("YES_Reading_FLA[Min Expectation - Per "&amp;VLOOKUP($D$2, 'Reading Report Logic'!$A$2:$B$8, 2, FALSE)&amp;"]")),FALSE))),""))),"")</f>
        <v/>
      </c>
      <c r="F541" s="205" t="str" cm="1">
        <f t="array" aca="1" ref="F541" ca="1">IFERROR(
IF($J$2="ELA",
IF(VLOOKUP($A541, YES_Reading_ELA[], COLUMN(INDIRECT("YES_Reading_ELA[Max Expectation - Per "&amp;VLOOKUP($D$2, 'Reading Report Logic'!$A$2:$B$8, 2, FALSE)&amp;"]")), FALSE)="", "",
VLOOKUP($A541,YES_Reading_ELA[], COLUMN(INDIRECT("YES_Reading_ELA[Max Expectation - Per "&amp;VLOOKUP($D$2,'Reading Report Logic'!$A$2:$B$8,2,FALSE)&amp;"]")), FALSE)),
IF($J$2="FLA",
IF(VLOOKUP($A541, YES_Reading_FLA[], COLUMN(INDIRECT("YES_Reading_FLA[Max Expectation - Per "&amp;VLOOKUP($D$2,'Reading Report Logic'!$A$2:$B$8,2,FALSE)&amp;"]")),FALSE)="","",
VLOOKUP($A541,YES_Reading_FLA[],COLUMN(INDIRECT("YES_Reading_FLA[Max Expectation - Per "&amp;VLOOKUP($D$2,'Reading Report Logic'!$A$2:$B$8,2,FALSE)&amp;"]")),FALSE)),
IF($J$2="Combined",
IFERROR(
IF(VLOOKUP($A541, YES_Reading_ELA[], COLUMN(INDIRECT("YES_Reading_ELA[Max Expectation - Per "&amp;VLOOKUP($D$2, 'Reading Report Logic'!$A$2:$B$8,2,FALSE)&amp;"]")), FALSE)="", "",
VLOOKUP($A541,YES_Reading_ELA[],COLUMN(INDIRECT("YES_Reading_ELA[Max Expectation - Per "&amp;VLOOKUP($D$2,'Reading Report Logic'!$A$2:$B$8,2,FALSE)&amp;"]")),FALSE)),
IF(VLOOKUP($A541, YES_Reading_FLA[], COLUMN(INDIRECT("YES_Reading_FLA[Max Expectation - Per "&amp;VLOOKUP($D$2, 'Reading Report Logic'!$A$2:$B$8, 2, FALSE)&amp;"]")),FALSE)="", "", VLOOKUP($A541,YES_Reading_FLA[],COLUMN(INDIRECT("YES_Reading_FLA[Max Expectation - Per "&amp;VLOOKUP($D$2, 'Reading Report Logic'!$A$2:$B$8, 2, FALSE)&amp;"]")),FALSE))),""))),"")</f>
        <v/>
      </c>
      <c r="G541" s="205" t="str" cm="1">
        <f t="array" aca="1" ref="G541" ca="1">IFERROR(
IF($J$2="ELA",
IF(VLOOKUP($A541, YES_Reading_ELA[], COLUMN(INDIRECT("YES_Reading_ELA[Difference - Per "&amp;VLOOKUP($D$2, 'Reading Report Logic'!$A$2:$B$8, 2, FALSE)&amp;"]")), FALSE)="", "",
VLOOKUP($A541,YES_Reading_ELA[], COLUMN(INDIRECT("YES_Reading_ELA[Difference - Per "&amp;VLOOKUP($D$2,'Reading Report Logic'!$A$2:$B$8,2,FALSE)&amp;"]")), FALSE)),
IF($J$2="FLA",
IF(VLOOKUP($A541, YES_Reading_FLA[], COLUMN(INDIRECT("YES_Reading_FLA[Difference - Per "&amp;VLOOKUP($D$2,'Reading Report Logic'!$A$2:$B$8,2,FALSE)&amp;"]")),FALSE)="","",
VLOOKUP($A541,YES_Reading_FLA[],COLUMN(INDIRECT("YES_Reading_FLA[Difference - Per "&amp;VLOOKUP($D$2,'Reading Report Logic'!$A$2:$B$8,2,FALSE)&amp;"]")),FALSE)),
IF($J$2="Combined",
IFERROR(
IF(VLOOKUP($A541, YES_Reading_ELA[], COLUMN(INDIRECT("YES_Reading_ELA[Difference - Per "&amp;VLOOKUP($D$2, 'Reading Report Logic'!$A$2:$B$8,2,FALSE)&amp;"]")), FALSE)="", "",
VLOOKUP($A541,YES_Reading_ELA[],COLUMN(INDIRECT("YES_Reading_ELA[Difference - Per "&amp;VLOOKUP($D$2,'Reading Report Logic'!$A$2:$B$8,2,FALSE)&amp;"]")),FALSE)),
IF(VLOOKUP($A541, YES_Reading_FLA[], COLUMN(INDIRECT("YES_Reading_FLA[Difference - Per "&amp;VLOOKUP($D$2, 'Reading Report Logic'!$A$2:$B$8, 2, FALSE)&amp;"]")),FALSE)="", "", VLOOKUP($A541,YES_Reading_FLA[],COLUMN(INDIRECT("YES_Reading_FLA[Difference - Per "&amp;VLOOKUP($D$2, 'Reading Report Logic'!$A$2:$B$8, 2, FALSE)&amp;"]")),FALSE))),""))),"")</f>
        <v/>
      </c>
      <c r="H541" s="206" t="str">
        <f ca="1">IFERROR(VLOOKUP('Teacher Reading Pull Sheets'!$D541,_xlfn.VSTACK('ELA Reading Logic'!$A$22:$B$48,'FLA Reading Logic'!$A$22:$B$53),2,FALSE)-VLOOKUP('Teacher Reading Pull Sheets'!$C541,_xlfn.VSTACK('ELA Reading Logic'!$A$22:$B$48,'FLA Reading Logic'!$A$22:$B$53),2,FALSE),"")</f>
        <v/>
      </c>
      <c r="I541" s="212"/>
      <c r="J541" s="206"/>
      <c r="K541" s="197" t="str" cm="1">
        <f t="array" ref="K541">IFERROR(
IF($J$2="ELA",
IF(VLOOKUP($A541, YES_Reading_ELA[], COLUMN(YES_Reading_ELA[Self-Identified as African Descent]), FALSE)="", "",
VLOOKUP($A541,YES_Reading_ELA[], COLUMN(YES_Reading_ELA[Self-Identified as African Descent]), FALSE)),
IF($J$2="FLA",
IF(VLOOKUP($A541, YES_Reading_FLA[], COLUMN(YES_Reading_FLA[Self-Identified as African Descent]),FALSE)="","",
VLOOKUP($A541,YES_Reading_FLA[],COLUMN(YES_Reading_FLA[Self-Identified as African Descent]),FALSE)),
IF($J$2="Combined",
IFERROR(
IF(VLOOKUP($A541, YES_Reading_ELA[], COLUMN(YES_Reading_ELA[Self-Identified as African Descent]), FALSE)="", "",
VLOOKUP($A541,YES_Reading_ELA[],COLUMN(YES_Reading_ELA[Self-Identified as African Descent]),FALSE)),
IF(VLOOKUP($A541, YES_Reading_FLA[], COLUMN(YES_Reading_FLA[Self-Identified as African Descent]),FALSE)="", "", VLOOKUP($A541,YES_Reading_FLA[],COLUMN(YES_Reading_FLA[Self-Identified as African Descent]),FALSE))),""))),"")</f>
        <v/>
      </c>
      <c r="L541" s="73" t="str" cm="1">
        <f t="array" ref="L541">IFERROR(
IF($J$2="ELA",
IF(VLOOKUP($A541, YES_Reading_ELA[], COLUMN(YES_Reading_ELA[Self-Identified as Indigenous]), FALSE)="", "",
VLOOKUP($A541,YES_Reading_ELA[], COLUMN(YES_Reading_ELA[Self-Identified as Indigenous]), FALSE)),
IF($J$2="FLA",
IF(VLOOKUP($A541, YES_Reading_FLA[], COLUMN(YES_Reading_FLA[Self-Identified as Indigenous]),FALSE)="","",
VLOOKUP($A541,YES_Reading_FLA[],COLUMN(YES_Reading_FLA[Self-Identified as Indigenous]),FALSE)),
IF($J$2="Combined",
IFERROR(
IF(VLOOKUP($A541, YES_Reading_ELA[], COLUMN(YES_Reading_ELA[Self-Identified as Indigenous]), FALSE)="", "",
VLOOKUP($A541,YES_Reading_ELA[],COLUMN(YES_Reading_ELA[Self-Identified as Indigenous]),FALSE)),
IF(VLOOKUP($A541, YES_Reading_FLA[], COLUMN(YES_Reading_FLA[Self-Identified as Indigenous]),FALSE)="", "", VLOOKUP($A541,YES_Reading_FLA[],COLUMN(YES_Reading_FLA[Self-Identified as Indigenous]),FALSE))),""))),"")</f>
        <v/>
      </c>
    </row>
    <row r="542" spans="1:12" ht="19.5" customHeight="1" x14ac:dyDescent="0.25">
      <c r="A542" s="217"/>
      <c r="B542" s="220" t="str">
        <f>IFERROR(VLOOKUP(A542,_xlfn.VSTACK(YES_Reading_ELA[],YES_Reading_FLA[]),2,FALSE),"")</f>
        <v/>
      </c>
      <c r="C542" s="203" t="str" cm="1">
        <f t="array" aca="1" ref="C542" ca="1">IFERROR(
IF($J$2="ELA",
IF(VLOOKUP($A542, YES_Reading_ELA[], COLUMN(IF(VLOOKUP($D$2, 'Reading Report Logic'!$A$2:$B$8, 2, FALSE)=1, YES_Reading_ELA[Reading Level June of Previous School Year], INDIRECT("YES_Reading_ELA[Instructional Reading Level - Per "&amp;(VLOOKUP($D$2,'Reading Report Logic'!$A$2:$B$8,2,FALSE)-1)&amp;"]"))), FALSE)="", "",
VLOOKUP($A542,YES_Reading_ELA[], COLUMN(IF(VLOOKUP($D$2,'Reading Report Logic'!$A$2:$B$8,2,FALSE)=1, YES_Reading_ELA[Reading Level June of Previous School Year],INDIRECT("YES_Reading_ELA[Instructional Reading Level - Per "&amp;(VLOOKUP($D$2,'Reading Report Logic'!$A$2:$B$8,2,FALSE)-1)&amp;"]"))), FALSE)),
IF($J$2="FLA",
IF(VLOOKUP($A542, YES_Reading_FLA[], COLUMN(IF(VLOOKUP($D$2,'Reading Report Logic'!$A$2:$B$8,2,FALSE)=1, YES_Reading_FLA[Reading Level June of Previous School Year],INDIRECT("YES_Reading_FLA[Instructional Reading Level - Per "&amp;(VLOOKUP($D$2,'Reading Report Logic'!$A$2:$B$8,2,FALSE)-1)&amp;"]"))),FALSE)="","",
VLOOKUP($A542,YES_Reading_FLA[], COLUMN(IF(VLOOKUP($D$2,'Reading Report Logic'!$A$2:$B$8,2,FALSE)=1, YES_Reading_FLA[Reading Level June of Previous School Year],INDIRECT("YES_Reading_FLA[Instructional Reading Level - Per "&amp;(VLOOKUP($D$2,'Reading Report Logic'!$A$2:$B$8,2,FALSE)-1)&amp;"]"))),FALSE)),
IF($J$2="Combined",
IFERROR(
IF(VLOOKUP($A542, YES_Reading_ELA[], COLUMN(IF(VLOOKUP($D$2,'Reading Report Logic'!$A$2:$B$8,2,FALSE)=1, YES_Reading_ELA[Reading Level June of Previous School Year],INDIRECT("YES_Reading_ELA[Instructional Reading Level - Per "&amp;(VLOOKUP($D$2,'Reading Report Logic'!$A$2:$B$8,2,FALSE)-1)&amp;"]"))), FALSE)="", "",
VLOOKUP($A542,YES_Reading_ELA[],COLUMN(IF(VLOOKUP($D$2,'Reading Report Logic'!$A$2:$B$8,2,FALSE)=1, YES_Reading_ELA[Reading Level June of Previous School Year],INDIRECT("YES_Reading_ELA[Instructional Reading Level - Per "&amp;(VLOOKUP($D$2,'Reading Report Logic'!$A$2:$B$8,2,FALSE)-1)&amp;"]"))),FALSE)),
IF(VLOOKUP($A542, YES_Reading_FLA[], COLUMN(IF(VLOOKUP($D$2,'Reading Report Logic'!$A$2:$B$8,2,FALSE)=1, YES_Reading_FLA[Reading Level June of Previous School Year],INDIRECT("YES_Reading_FLA[Instructional Reading Level - Per "&amp;(VLOOKUP($D$2,'Reading Report Logic'!$A$2:$B$8,2,FALSE)-1)&amp;"]"))),FALSE)="", "", VLOOKUP($A542,YES_Reading_FLA[],COLUMN(IF(VLOOKUP($D$2,'Reading Report Logic'!$A$2:$B$8,2,FALSE)=1, YES_Reading_FLA[Reading Level June of Previous School Year],INDIRECT("YES_Reading_FLA[Instructional Reading Level - Per "&amp;(VLOOKUP($D$2,'Reading Report Logic'!$A$2:$B$8,2,FALSE)-1)&amp;"]"))), FALSE))),""))),"")</f>
        <v/>
      </c>
      <c r="D542" s="204" t="str" cm="1">
        <f t="array" aca="1" ref="D542" ca="1">IFERROR(
IF($J$2="ELA",
IF(VLOOKUP($A542, YES_Reading_ELA[], COLUMN(INDIRECT("YES_Reading_ELA[Instructional Reading Level - Per "&amp;VLOOKUP($D$2, 'Reading Report Logic'!$A$2:$B$8, 2, FALSE)&amp;"]")), FALSE)="", "",
VLOOKUP($A542,YES_Reading_ELA[], COLUMN(INDIRECT("YES_Reading_ELA[Instructional Reading Level - Per "&amp;VLOOKUP($D$2,'Reading Report Logic'!$A$2:$B$8,2,FALSE)&amp;"]")), FALSE)),
IF($J$2="FLA",
IF(VLOOKUP($A542, YES_Reading_FLA[], COLUMN(INDIRECT("YES_Reading_FLA[Instructional Reading Level - Per "&amp;VLOOKUP($D$2,'Reading Report Logic'!$A$2:$B$8,2,FALSE)&amp;"]")),FALSE)="","",
VLOOKUP($A542,YES_Reading_FLA[],COLUMN(INDIRECT("YES_Reading_FLA[Instructional Reading Level - Per "&amp;VLOOKUP($D$2,'Reading Report Logic'!$A$2:$B$8,2,FALSE)&amp;"]")),FALSE)),
IF($J$2="Combined",
IFERROR(
IF(VLOOKUP($A542, YES_Reading_ELA[], COLUMN(INDIRECT("YES_Reading_ELA[Instructional Reading Level - Per "&amp;VLOOKUP($D$2, 'Reading Report Logic'!$A$2:$B$8,2,FALSE)&amp;"]")), FALSE)="", "",
VLOOKUP($A542,YES_Reading_ELA[],COLUMN(INDIRECT("YES_Reading_ELA[Instructional Reading Level - Per "&amp;VLOOKUP($D$2,'Reading Report Logic'!$A$2:$B$8,2,FALSE)&amp;"]")),FALSE)),
IF(VLOOKUP($A542, YES_Reading_FLA[], COLUMN(INDIRECT("YES_Reading_FLA[Instructional Reading Level - Per "&amp;VLOOKUP($D$2, 'Reading Report Logic'!$A$2:$B$8, 2, FALSE)&amp;"]")),FALSE)="", "", VLOOKUP($A542,YES_Reading_FLA[],COLUMN(INDIRECT("YES_Reading_FLA[Instructional Reading Level - Per "&amp;VLOOKUP($D$2, 'Reading Report Logic'!$A$2:$B$8, 2, FALSE)&amp;"]")),FALSE))),""))),"")</f>
        <v/>
      </c>
      <c r="E542" s="205" t="str" cm="1">
        <f t="array" aca="1" ref="E542" ca="1">IFERROR(
IF($J$2="ELA",
IF(VLOOKUP($A542, YES_Reading_ELA[], COLUMN(INDIRECT("YES_Reading_ELA[Min Expectation - Per "&amp;VLOOKUP($D$2, 'Reading Report Logic'!$A$2:$B$8, 2, FALSE)&amp;"]")), FALSE)="", "",
VLOOKUP($A542,YES_Reading_ELA[], COLUMN(INDIRECT("YES_Reading_ELA[Min Expectation - Per "&amp;VLOOKUP($D$2,'Reading Report Logic'!$A$2:$B$8,2,FALSE)&amp;"]")), FALSE)),
IF($J$2="FLA",
IF(VLOOKUP($A542, YES_Reading_FLA[], COLUMN(INDIRECT("YES_Reading_FLA[Min Expectation - Per "&amp;VLOOKUP($D$2,'Reading Report Logic'!$A$2:$B$8,2,FALSE)&amp;"]")),FALSE)="","",
VLOOKUP($A542,YES_Reading_FLA[],COLUMN(INDIRECT("YES_Reading_FLA[Min Expectation - Per "&amp;VLOOKUP($D$2,'Reading Report Logic'!$A$2:$B$8,2,FALSE)&amp;"]")),FALSE)),
IF($J$2="Combined",
IFERROR(
IF(VLOOKUP($A542, YES_Reading_ELA[], COLUMN(INDIRECT("YES_Reading_ELA[Min Expectation - Per "&amp;VLOOKUP($D$2, 'Reading Report Logic'!$A$2:$B$8,2,FALSE)&amp;"]")), FALSE)="", "",
VLOOKUP($A542,YES_Reading_ELA[],COLUMN(INDIRECT("YES_Reading_ELA[Min Expectation - Per "&amp;VLOOKUP($D$2,'Reading Report Logic'!$A$2:$B$8,2,FALSE)&amp;"]")),FALSE)),
IF(VLOOKUP($A542, YES_Reading_FLA[], COLUMN(INDIRECT("YES_Reading_FLA[Min Expectation - Per "&amp;VLOOKUP($D$2, 'Reading Report Logic'!$A$2:$B$8, 2, FALSE)&amp;"]")),FALSE)="", "", VLOOKUP($A542,YES_Reading_FLA[],COLUMN(INDIRECT("YES_Reading_FLA[Min Expectation - Per "&amp;VLOOKUP($D$2, 'Reading Report Logic'!$A$2:$B$8, 2, FALSE)&amp;"]")),FALSE))),""))),"")</f>
        <v/>
      </c>
      <c r="F542" s="205" t="str" cm="1">
        <f t="array" aca="1" ref="F542" ca="1">IFERROR(
IF($J$2="ELA",
IF(VLOOKUP($A542, YES_Reading_ELA[], COLUMN(INDIRECT("YES_Reading_ELA[Max Expectation - Per "&amp;VLOOKUP($D$2, 'Reading Report Logic'!$A$2:$B$8, 2, FALSE)&amp;"]")), FALSE)="", "",
VLOOKUP($A542,YES_Reading_ELA[], COLUMN(INDIRECT("YES_Reading_ELA[Max Expectation - Per "&amp;VLOOKUP($D$2,'Reading Report Logic'!$A$2:$B$8,2,FALSE)&amp;"]")), FALSE)),
IF($J$2="FLA",
IF(VLOOKUP($A542, YES_Reading_FLA[], COLUMN(INDIRECT("YES_Reading_FLA[Max Expectation - Per "&amp;VLOOKUP($D$2,'Reading Report Logic'!$A$2:$B$8,2,FALSE)&amp;"]")),FALSE)="","",
VLOOKUP($A542,YES_Reading_FLA[],COLUMN(INDIRECT("YES_Reading_FLA[Max Expectation - Per "&amp;VLOOKUP($D$2,'Reading Report Logic'!$A$2:$B$8,2,FALSE)&amp;"]")),FALSE)),
IF($J$2="Combined",
IFERROR(
IF(VLOOKUP($A542, YES_Reading_ELA[], COLUMN(INDIRECT("YES_Reading_ELA[Max Expectation - Per "&amp;VLOOKUP($D$2, 'Reading Report Logic'!$A$2:$B$8,2,FALSE)&amp;"]")), FALSE)="", "",
VLOOKUP($A542,YES_Reading_ELA[],COLUMN(INDIRECT("YES_Reading_ELA[Max Expectation - Per "&amp;VLOOKUP($D$2,'Reading Report Logic'!$A$2:$B$8,2,FALSE)&amp;"]")),FALSE)),
IF(VLOOKUP($A542, YES_Reading_FLA[], COLUMN(INDIRECT("YES_Reading_FLA[Max Expectation - Per "&amp;VLOOKUP($D$2, 'Reading Report Logic'!$A$2:$B$8, 2, FALSE)&amp;"]")),FALSE)="", "", VLOOKUP($A542,YES_Reading_FLA[],COLUMN(INDIRECT("YES_Reading_FLA[Max Expectation - Per "&amp;VLOOKUP($D$2, 'Reading Report Logic'!$A$2:$B$8, 2, FALSE)&amp;"]")),FALSE))),""))),"")</f>
        <v/>
      </c>
      <c r="G542" s="205" t="str" cm="1">
        <f t="array" aca="1" ref="G542" ca="1">IFERROR(
IF($J$2="ELA",
IF(VLOOKUP($A542, YES_Reading_ELA[], COLUMN(INDIRECT("YES_Reading_ELA[Difference - Per "&amp;VLOOKUP($D$2, 'Reading Report Logic'!$A$2:$B$8, 2, FALSE)&amp;"]")), FALSE)="", "",
VLOOKUP($A542,YES_Reading_ELA[], COLUMN(INDIRECT("YES_Reading_ELA[Difference - Per "&amp;VLOOKUP($D$2,'Reading Report Logic'!$A$2:$B$8,2,FALSE)&amp;"]")), FALSE)),
IF($J$2="FLA",
IF(VLOOKUP($A542, YES_Reading_FLA[], COLUMN(INDIRECT("YES_Reading_FLA[Difference - Per "&amp;VLOOKUP($D$2,'Reading Report Logic'!$A$2:$B$8,2,FALSE)&amp;"]")),FALSE)="","",
VLOOKUP($A542,YES_Reading_FLA[],COLUMN(INDIRECT("YES_Reading_FLA[Difference - Per "&amp;VLOOKUP($D$2,'Reading Report Logic'!$A$2:$B$8,2,FALSE)&amp;"]")),FALSE)),
IF($J$2="Combined",
IFERROR(
IF(VLOOKUP($A542, YES_Reading_ELA[], COLUMN(INDIRECT("YES_Reading_ELA[Difference - Per "&amp;VLOOKUP($D$2, 'Reading Report Logic'!$A$2:$B$8,2,FALSE)&amp;"]")), FALSE)="", "",
VLOOKUP($A542,YES_Reading_ELA[],COLUMN(INDIRECT("YES_Reading_ELA[Difference - Per "&amp;VLOOKUP($D$2,'Reading Report Logic'!$A$2:$B$8,2,FALSE)&amp;"]")),FALSE)),
IF(VLOOKUP($A542, YES_Reading_FLA[], COLUMN(INDIRECT("YES_Reading_FLA[Difference - Per "&amp;VLOOKUP($D$2, 'Reading Report Logic'!$A$2:$B$8, 2, FALSE)&amp;"]")),FALSE)="", "", VLOOKUP($A542,YES_Reading_FLA[],COLUMN(INDIRECT("YES_Reading_FLA[Difference - Per "&amp;VLOOKUP($D$2, 'Reading Report Logic'!$A$2:$B$8, 2, FALSE)&amp;"]")),FALSE))),""))),"")</f>
        <v/>
      </c>
      <c r="H542" s="206" t="str">
        <f ca="1">IFERROR(VLOOKUP('Teacher Reading Pull Sheets'!$D542,_xlfn.VSTACK('ELA Reading Logic'!$A$22:$B$48,'FLA Reading Logic'!$A$22:$B$53),2,FALSE)-VLOOKUP('Teacher Reading Pull Sheets'!$C542,_xlfn.VSTACK('ELA Reading Logic'!$A$22:$B$48,'FLA Reading Logic'!$A$22:$B$53),2,FALSE),"")</f>
        <v/>
      </c>
      <c r="I542" s="212"/>
      <c r="J542" s="206"/>
      <c r="K542" s="197" t="str" cm="1">
        <f t="array" ref="K542">IFERROR(
IF($J$2="ELA",
IF(VLOOKUP($A542, YES_Reading_ELA[], COLUMN(YES_Reading_ELA[Self-Identified as African Descent]), FALSE)="", "",
VLOOKUP($A542,YES_Reading_ELA[], COLUMN(YES_Reading_ELA[Self-Identified as African Descent]), FALSE)),
IF($J$2="FLA",
IF(VLOOKUP($A542, YES_Reading_FLA[], COLUMN(YES_Reading_FLA[Self-Identified as African Descent]),FALSE)="","",
VLOOKUP($A542,YES_Reading_FLA[],COLUMN(YES_Reading_FLA[Self-Identified as African Descent]),FALSE)),
IF($J$2="Combined",
IFERROR(
IF(VLOOKUP($A542, YES_Reading_ELA[], COLUMN(YES_Reading_ELA[Self-Identified as African Descent]), FALSE)="", "",
VLOOKUP($A542,YES_Reading_ELA[],COLUMN(YES_Reading_ELA[Self-Identified as African Descent]),FALSE)),
IF(VLOOKUP($A542, YES_Reading_FLA[], COLUMN(YES_Reading_FLA[Self-Identified as African Descent]),FALSE)="", "", VLOOKUP($A542,YES_Reading_FLA[],COLUMN(YES_Reading_FLA[Self-Identified as African Descent]),FALSE))),""))),"")</f>
        <v/>
      </c>
      <c r="L542" s="73" t="str" cm="1">
        <f t="array" ref="L542">IFERROR(
IF($J$2="ELA",
IF(VLOOKUP($A542, YES_Reading_ELA[], COLUMN(YES_Reading_ELA[Self-Identified as Indigenous]), FALSE)="", "",
VLOOKUP($A542,YES_Reading_ELA[], COLUMN(YES_Reading_ELA[Self-Identified as Indigenous]), FALSE)),
IF($J$2="FLA",
IF(VLOOKUP($A542, YES_Reading_FLA[], COLUMN(YES_Reading_FLA[Self-Identified as Indigenous]),FALSE)="","",
VLOOKUP($A542,YES_Reading_FLA[],COLUMN(YES_Reading_FLA[Self-Identified as Indigenous]),FALSE)),
IF($J$2="Combined",
IFERROR(
IF(VLOOKUP($A542, YES_Reading_ELA[], COLUMN(YES_Reading_ELA[Self-Identified as Indigenous]), FALSE)="", "",
VLOOKUP($A542,YES_Reading_ELA[],COLUMN(YES_Reading_ELA[Self-Identified as Indigenous]),FALSE)),
IF(VLOOKUP($A542, YES_Reading_FLA[], COLUMN(YES_Reading_FLA[Self-Identified as Indigenous]),FALSE)="", "", VLOOKUP($A542,YES_Reading_FLA[],COLUMN(YES_Reading_FLA[Self-Identified as Indigenous]),FALSE))),""))),"")</f>
        <v/>
      </c>
    </row>
    <row r="543" spans="1:12" ht="19.5" customHeight="1" x14ac:dyDescent="0.25">
      <c r="A543" s="217"/>
      <c r="B543" s="220" t="str">
        <f>IFERROR(VLOOKUP(A543,_xlfn.VSTACK(YES_Reading_ELA[],YES_Reading_FLA[]),2,FALSE),"")</f>
        <v/>
      </c>
      <c r="C543" s="203" t="str" cm="1">
        <f t="array" aca="1" ref="C543" ca="1">IFERROR(
IF($J$2="ELA",
IF(VLOOKUP($A543, YES_Reading_ELA[], COLUMN(IF(VLOOKUP($D$2, 'Reading Report Logic'!$A$2:$B$8, 2, FALSE)=1, YES_Reading_ELA[Reading Level June of Previous School Year], INDIRECT("YES_Reading_ELA[Instructional Reading Level - Per "&amp;(VLOOKUP($D$2,'Reading Report Logic'!$A$2:$B$8,2,FALSE)-1)&amp;"]"))), FALSE)="", "",
VLOOKUP($A543,YES_Reading_ELA[], COLUMN(IF(VLOOKUP($D$2,'Reading Report Logic'!$A$2:$B$8,2,FALSE)=1, YES_Reading_ELA[Reading Level June of Previous School Year],INDIRECT("YES_Reading_ELA[Instructional Reading Level - Per "&amp;(VLOOKUP($D$2,'Reading Report Logic'!$A$2:$B$8,2,FALSE)-1)&amp;"]"))), FALSE)),
IF($J$2="FLA",
IF(VLOOKUP($A543, YES_Reading_FLA[], COLUMN(IF(VLOOKUP($D$2,'Reading Report Logic'!$A$2:$B$8,2,FALSE)=1, YES_Reading_FLA[Reading Level June of Previous School Year],INDIRECT("YES_Reading_FLA[Instructional Reading Level - Per "&amp;(VLOOKUP($D$2,'Reading Report Logic'!$A$2:$B$8,2,FALSE)-1)&amp;"]"))),FALSE)="","",
VLOOKUP($A543,YES_Reading_FLA[], COLUMN(IF(VLOOKUP($D$2,'Reading Report Logic'!$A$2:$B$8,2,FALSE)=1, YES_Reading_FLA[Reading Level June of Previous School Year],INDIRECT("YES_Reading_FLA[Instructional Reading Level - Per "&amp;(VLOOKUP($D$2,'Reading Report Logic'!$A$2:$B$8,2,FALSE)-1)&amp;"]"))),FALSE)),
IF($J$2="Combined",
IFERROR(
IF(VLOOKUP($A543, YES_Reading_ELA[], COLUMN(IF(VLOOKUP($D$2,'Reading Report Logic'!$A$2:$B$8,2,FALSE)=1, YES_Reading_ELA[Reading Level June of Previous School Year],INDIRECT("YES_Reading_ELA[Instructional Reading Level - Per "&amp;(VLOOKUP($D$2,'Reading Report Logic'!$A$2:$B$8,2,FALSE)-1)&amp;"]"))), FALSE)="", "",
VLOOKUP($A543,YES_Reading_ELA[],COLUMN(IF(VLOOKUP($D$2,'Reading Report Logic'!$A$2:$B$8,2,FALSE)=1, YES_Reading_ELA[Reading Level June of Previous School Year],INDIRECT("YES_Reading_ELA[Instructional Reading Level - Per "&amp;(VLOOKUP($D$2,'Reading Report Logic'!$A$2:$B$8,2,FALSE)-1)&amp;"]"))),FALSE)),
IF(VLOOKUP($A543, YES_Reading_FLA[], COLUMN(IF(VLOOKUP($D$2,'Reading Report Logic'!$A$2:$B$8,2,FALSE)=1, YES_Reading_FLA[Reading Level June of Previous School Year],INDIRECT("YES_Reading_FLA[Instructional Reading Level - Per "&amp;(VLOOKUP($D$2,'Reading Report Logic'!$A$2:$B$8,2,FALSE)-1)&amp;"]"))),FALSE)="", "", VLOOKUP($A543,YES_Reading_FLA[],COLUMN(IF(VLOOKUP($D$2,'Reading Report Logic'!$A$2:$B$8,2,FALSE)=1, YES_Reading_FLA[Reading Level June of Previous School Year],INDIRECT("YES_Reading_FLA[Instructional Reading Level - Per "&amp;(VLOOKUP($D$2,'Reading Report Logic'!$A$2:$B$8,2,FALSE)-1)&amp;"]"))), FALSE))),""))),"")</f>
        <v/>
      </c>
      <c r="D543" s="204" t="str" cm="1">
        <f t="array" aca="1" ref="D543" ca="1">IFERROR(
IF($J$2="ELA",
IF(VLOOKUP($A543, YES_Reading_ELA[], COLUMN(INDIRECT("YES_Reading_ELA[Instructional Reading Level - Per "&amp;VLOOKUP($D$2, 'Reading Report Logic'!$A$2:$B$8, 2, FALSE)&amp;"]")), FALSE)="", "",
VLOOKUP($A543,YES_Reading_ELA[], COLUMN(INDIRECT("YES_Reading_ELA[Instructional Reading Level - Per "&amp;VLOOKUP($D$2,'Reading Report Logic'!$A$2:$B$8,2,FALSE)&amp;"]")), FALSE)),
IF($J$2="FLA",
IF(VLOOKUP($A543, YES_Reading_FLA[], COLUMN(INDIRECT("YES_Reading_FLA[Instructional Reading Level - Per "&amp;VLOOKUP($D$2,'Reading Report Logic'!$A$2:$B$8,2,FALSE)&amp;"]")),FALSE)="","",
VLOOKUP($A543,YES_Reading_FLA[],COLUMN(INDIRECT("YES_Reading_FLA[Instructional Reading Level - Per "&amp;VLOOKUP($D$2,'Reading Report Logic'!$A$2:$B$8,2,FALSE)&amp;"]")),FALSE)),
IF($J$2="Combined",
IFERROR(
IF(VLOOKUP($A543, YES_Reading_ELA[], COLUMN(INDIRECT("YES_Reading_ELA[Instructional Reading Level - Per "&amp;VLOOKUP($D$2, 'Reading Report Logic'!$A$2:$B$8,2,FALSE)&amp;"]")), FALSE)="", "",
VLOOKUP($A543,YES_Reading_ELA[],COLUMN(INDIRECT("YES_Reading_ELA[Instructional Reading Level - Per "&amp;VLOOKUP($D$2,'Reading Report Logic'!$A$2:$B$8,2,FALSE)&amp;"]")),FALSE)),
IF(VLOOKUP($A543, YES_Reading_FLA[], COLUMN(INDIRECT("YES_Reading_FLA[Instructional Reading Level - Per "&amp;VLOOKUP($D$2, 'Reading Report Logic'!$A$2:$B$8, 2, FALSE)&amp;"]")),FALSE)="", "", VLOOKUP($A543,YES_Reading_FLA[],COLUMN(INDIRECT("YES_Reading_FLA[Instructional Reading Level - Per "&amp;VLOOKUP($D$2, 'Reading Report Logic'!$A$2:$B$8, 2, FALSE)&amp;"]")),FALSE))),""))),"")</f>
        <v/>
      </c>
      <c r="E543" s="205" t="str" cm="1">
        <f t="array" aca="1" ref="E543" ca="1">IFERROR(
IF($J$2="ELA",
IF(VLOOKUP($A543, YES_Reading_ELA[], COLUMN(INDIRECT("YES_Reading_ELA[Min Expectation - Per "&amp;VLOOKUP($D$2, 'Reading Report Logic'!$A$2:$B$8, 2, FALSE)&amp;"]")), FALSE)="", "",
VLOOKUP($A543,YES_Reading_ELA[], COLUMN(INDIRECT("YES_Reading_ELA[Min Expectation - Per "&amp;VLOOKUP($D$2,'Reading Report Logic'!$A$2:$B$8,2,FALSE)&amp;"]")), FALSE)),
IF($J$2="FLA",
IF(VLOOKUP($A543, YES_Reading_FLA[], COLUMN(INDIRECT("YES_Reading_FLA[Min Expectation - Per "&amp;VLOOKUP($D$2,'Reading Report Logic'!$A$2:$B$8,2,FALSE)&amp;"]")),FALSE)="","",
VLOOKUP($A543,YES_Reading_FLA[],COLUMN(INDIRECT("YES_Reading_FLA[Min Expectation - Per "&amp;VLOOKUP($D$2,'Reading Report Logic'!$A$2:$B$8,2,FALSE)&amp;"]")),FALSE)),
IF($J$2="Combined",
IFERROR(
IF(VLOOKUP($A543, YES_Reading_ELA[], COLUMN(INDIRECT("YES_Reading_ELA[Min Expectation - Per "&amp;VLOOKUP($D$2, 'Reading Report Logic'!$A$2:$B$8,2,FALSE)&amp;"]")), FALSE)="", "",
VLOOKUP($A543,YES_Reading_ELA[],COLUMN(INDIRECT("YES_Reading_ELA[Min Expectation - Per "&amp;VLOOKUP($D$2,'Reading Report Logic'!$A$2:$B$8,2,FALSE)&amp;"]")),FALSE)),
IF(VLOOKUP($A543, YES_Reading_FLA[], COLUMN(INDIRECT("YES_Reading_FLA[Min Expectation - Per "&amp;VLOOKUP($D$2, 'Reading Report Logic'!$A$2:$B$8, 2, FALSE)&amp;"]")),FALSE)="", "", VLOOKUP($A543,YES_Reading_FLA[],COLUMN(INDIRECT("YES_Reading_FLA[Min Expectation - Per "&amp;VLOOKUP($D$2, 'Reading Report Logic'!$A$2:$B$8, 2, FALSE)&amp;"]")),FALSE))),""))),"")</f>
        <v/>
      </c>
      <c r="F543" s="205" t="str" cm="1">
        <f t="array" aca="1" ref="F543" ca="1">IFERROR(
IF($J$2="ELA",
IF(VLOOKUP($A543, YES_Reading_ELA[], COLUMN(INDIRECT("YES_Reading_ELA[Max Expectation - Per "&amp;VLOOKUP($D$2, 'Reading Report Logic'!$A$2:$B$8, 2, FALSE)&amp;"]")), FALSE)="", "",
VLOOKUP($A543,YES_Reading_ELA[], COLUMN(INDIRECT("YES_Reading_ELA[Max Expectation - Per "&amp;VLOOKUP($D$2,'Reading Report Logic'!$A$2:$B$8,2,FALSE)&amp;"]")), FALSE)),
IF($J$2="FLA",
IF(VLOOKUP($A543, YES_Reading_FLA[], COLUMN(INDIRECT("YES_Reading_FLA[Max Expectation - Per "&amp;VLOOKUP($D$2,'Reading Report Logic'!$A$2:$B$8,2,FALSE)&amp;"]")),FALSE)="","",
VLOOKUP($A543,YES_Reading_FLA[],COLUMN(INDIRECT("YES_Reading_FLA[Max Expectation - Per "&amp;VLOOKUP($D$2,'Reading Report Logic'!$A$2:$B$8,2,FALSE)&amp;"]")),FALSE)),
IF($J$2="Combined",
IFERROR(
IF(VLOOKUP($A543, YES_Reading_ELA[], COLUMN(INDIRECT("YES_Reading_ELA[Max Expectation - Per "&amp;VLOOKUP($D$2, 'Reading Report Logic'!$A$2:$B$8,2,FALSE)&amp;"]")), FALSE)="", "",
VLOOKUP($A543,YES_Reading_ELA[],COLUMN(INDIRECT("YES_Reading_ELA[Max Expectation - Per "&amp;VLOOKUP($D$2,'Reading Report Logic'!$A$2:$B$8,2,FALSE)&amp;"]")),FALSE)),
IF(VLOOKUP($A543, YES_Reading_FLA[], COLUMN(INDIRECT("YES_Reading_FLA[Max Expectation - Per "&amp;VLOOKUP($D$2, 'Reading Report Logic'!$A$2:$B$8, 2, FALSE)&amp;"]")),FALSE)="", "", VLOOKUP($A543,YES_Reading_FLA[],COLUMN(INDIRECT("YES_Reading_FLA[Max Expectation - Per "&amp;VLOOKUP($D$2, 'Reading Report Logic'!$A$2:$B$8, 2, FALSE)&amp;"]")),FALSE))),""))),"")</f>
        <v/>
      </c>
      <c r="G543" s="205" t="str" cm="1">
        <f t="array" aca="1" ref="G543" ca="1">IFERROR(
IF($J$2="ELA",
IF(VLOOKUP($A543, YES_Reading_ELA[], COLUMN(INDIRECT("YES_Reading_ELA[Difference - Per "&amp;VLOOKUP($D$2, 'Reading Report Logic'!$A$2:$B$8, 2, FALSE)&amp;"]")), FALSE)="", "",
VLOOKUP($A543,YES_Reading_ELA[], COLUMN(INDIRECT("YES_Reading_ELA[Difference - Per "&amp;VLOOKUP($D$2,'Reading Report Logic'!$A$2:$B$8,2,FALSE)&amp;"]")), FALSE)),
IF($J$2="FLA",
IF(VLOOKUP($A543, YES_Reading_FLA[], COLUMN(INDIRECT("YES_Reading_FLA[Difference - Per "&amp;VLOOKUP($D$2,'Reading Report Logic'!$A$2:$B$8,2,FALSE)&amp;"]")),FALSE)="","",
VLOOKUP($A543,YES_Reading_FLA[],COLUMN(INDIRECT("YES_Reading_FLA[Difference - Per "&amp;VLOOKUP($D$2,'Reading Report Logic'!$A$2:$B$8,2,FALSE)&amp;"]")),FALSE)),
IF($J$2="Combined",
IFERROR(
IF(VLOOKUP($A543, YES_Reading_ELA[], COLUMN(INDIRECT("YES_Reading_ELA[Difference - Per "&amp;VLOOKUP($D$2, 'Reading Report Logic'!$A$2:$B$8,2,FALSE)&amp;"]")), FALSE)="", "",
VLOOKUP($A543,YES_Reading_ELA[],COLUMN(INDIRECT("YES_Reading_ELA[Difference - Per "&amp;VLOOKUP($D$2,'Reading Report Logic'!$A$2:$B$8,2,FALSE)&amp;"]")),FALSE)),
IF(VLOOKUP($A543, YES_Reading_FLA[], COLUMN(INDIRECT("YES_Reading_FLA[Difference - Per "&amp;VLOOKUP($D$2, 'Reading Report Logic'!$A$2:$B$8, 2, FALSE)&amp;"]")),FALSE)="", "", VLOOKUP($A543,YES_Reading_FLA[],COLUMN(INDIRECT("YES_Reading_FLA[Difference - Per "&amp;VLOOKUP($D$2, 'Reading Report Logic'!$A$2:$B$8, 2, FALSE)&amp;"]")),FALSE))),""))),"")</f>
        <v/>
      </c>
      <c r="H543" s="206" t="str">
        <f ca="1">IFERROR(VLOOKUP('Teacher Reading Pull Sheets'!$D543,_xlfn.VSTACK('ELA Reading Logic'!$A$22:$B$48,'FLA Reading Logic'!$A$22:$B$53),2,FALSE)-VLOOKUP('Teacher Reading Pull Sheets'!$C543,_xlfn.VSTACK('ELA Reading Logic'!$A$22:$B$48,'FLA Reading Logic'!$A$22:$B$53),2,FALSE),"")</f>
        <v/>
      </c>
      <c r="I543" s="212"/>
      <c r="J543" s="206"/>
      <c r="K543" s="197" t="str" cm="1">
        <f t="array" ref="K543">IFERROR(
IF($J$2="ELA",
IF(VLOOKUP($A543, YES_Reading_ELA[], COLUMN(YES_Reading_ELA[Self-Identified as African Descent]), FALSE)="", "",
VLOOKUP($A543,YES_Reading_ELA[], COLUMN(YES_Reading_ELA[Self-Identified as African Descent]), FALSE)),
IF($J$2="FLA",
IF(VLOOKUP($A543, YES_Reading_FLA[], COLUMN(YES_Reading_FLA[Self-Identified as African Descent]),FALSE)="","",
VLOOKUP($A543,YES_Reading_FLA[],COLUMN(YES_Reading_FLA[Self-Identified as African Descent]),FALSE)),
IF($J$2="Combined",
IFERROR(
IF(VLOOKUP($A543, YES_Reading_ELA[], COLUMN(YES_Reading_ELA[Self-Identified as African Descent]), FALSE)="", "",
VLOOKUP($A543,YES_Reading_ELA[],COLUMN(YES_Reading_ELA[Self-Identified as African Descent]),FALSE)),
IF(VLOOKUP($A543, YES_Reading_FLA[], COLUMN(YES_Reading_FLA[Self-Identified as African Descent]),FALSE)="", "", VLOOKUP($A543,YES_Reading_FLA[],COLUMN(YES_Reading_FLA[Self-Identified as African Descent]),FALSE))),""))),"")</f>
        <v/>
      </c>
      <c r="L543" s="73" t="str" cm="1">
        <f t="array" ref="L543">IFERROR(
IF($J$2="ELA",
IF(VLOOKUP($A543, YES_Reading_ELA[], COLUMN(YES_Reading_ELA[Self-Identified as Indigenous]), FALSE)="", "",
VLOOKUP($A543,YES_Reading_ELA[], COLUMN(YES_Reading_ELA[Self-Identified as Indigenous]), FALSE)),
IF($J$2="FLA",
IF(VLOOKUP($A543, YES_Reading_FLA[], COLUMN(YES_Reading_FLA[Self-Identified as Indigenous]),FALSE)="","",
VLOOKUP($A543,YES_Reading_FLA[],COLUMN(YES_Reading_FLA[Self-Identified as Indigenous]),FALSE)),
IF($J$2="Combined",
IFERROR(
IF(VLOOKUP($A543, YES_Reading_ELA[], COLUMN(YES_Reading_ELA[Self-Identified as Indigenous]), FALSE)="", "",
VLOOKUP($A543,YES_Reading_ELA[],COLUMN(YES_Reading_ELA[Self-Identified as Indigenous]),FALSE)),
IF(VLOOKUP($A543, YES_Reading_FLA[], COLUMN(YES_Reading_FLA[Self-Identified as Indigenous]),FALSE)="", "", VLOOKUP($A543,YES_Reading_FLA[],COLUMN(YES_Reading_FLA[Self-Identified as Indigenous]),FALSE))),""))),"")</f>
        <v/>
      </c>
    </row>
    <row r="544" spans="1:12" ht="19.5" customHeight="1" x14ac:dyDescent="0.25">
      <c r="A544" s="217"/>
      <c r="B544" s="220" t="str">
        <f>IFERROR(VLOOKUP(A544,_xlfn.VSTACK(YES_Reading_ELA[],YES_Reading_FLA[]),2,FALSE),"")</f>
        <v/>
      </c>
      <c r="C544" s="203" t="str" cm="1">
        <f t="array" aca="1" ref="C544" ca="1">IFERROR(
IF($J$2="ELA",
IF(VLOOKUP($A544, YES_Reading_ELA[], COLUMN(IF(VLOOKUP($D$2, 'Reading Report Logic'!$A$2:$B$8, 2, FALSE)=1, YES_Reading_ELA[Reading Level June of Previous School Year], INDIRECT("YES_Reading_ELA[Instructional Reading Level - Per "&amp;(VLOOKUP($D$2,'Reading Report Logic'!$A$2:$B$8,2,FALSE)-1)&amp;"]"))), FALSE)="", "",
VLOOKUP($A544,YES_Reading_ELA[], COLUMN(IF(VLOOKUP($D$2,'Reading Report Logic'!$A$2:$B$8,2,FALSE)=1, YES_Reading_ELA[Reading Level June of Previous School Year],INDIRECT("YES_Reading_ELA[Instructional Reading Level - Per "&amp;(VLOOKUP($D$2,'Reading Report Logic'!$A$2:$B$8,2,FALSE)-1)&amp;"]"))), FALSE)),
IF($J$2="FLA",
IF(VLOOKUP($A544, YES_Reading_FLA[], COLUMN(IF(VLOOKUP($D$2,'Reading Report Logic'!$A$2:$B$8,2,FALSE)=1, YES_Reading_FLA[Reading Level June of Previous School Year],INDIRECT("YES_Reading_FLA[Instructional Reading Level - Per "&amp;(VLOOKUP($D$2,'Reading Report Logic'!$A$2:$B$8,2,FALSE)-1)&amp;"]"))),FALSE)="","",
VLOOKUP($A544,YES_Reading_FLA[], COLUMN(IF(VLOOKUP($D$2,'Reading Report Logic'!$A$2:$B$8,2,FALSE)=1, YES_Reading_FLA[Reading Level June of Previous School Year],INDIRECT("YES_Reading_FLA[Instructional Reading Level - Per "&amp;(VLOOKUP($D$2,'Reading Report Logic'!$A$2:$B$8,2,FALSE)-1)&amp;"]"))),FALSE)),
IF($J$2="Combined",
IFERROR(
IF(VLOOKUP($A544, YES_Reading_ELA[], COLUMN(IF(VLOOKUP($D$2,'Reading Report Logic'!$A$2:$B$8,2,FALSE)=1, YES_Reading_ELA[Reading Level June of Previous School Year],INDIRECT("YES_Reading_ELA[Instructional Reading Level - Per "&amp;(VLOOKUP($D$2,'Reading Report Logic'!$A$2:$B$8,2,FALSE)-1)&amp;"]"))), FALSE)="", "",
VLOOKUP($A544,YES_Reading_ELA[],COLUMN(IF(VLOOKUP($D$2,'Reading Report Logic'!$A$2:$B$8,2,FALSE)=1, YES_Reading_ELA[Reading Level June of Previous School Year],INDIRECT("YES_Reading_ELA[Instructional Reading Level - Per "&amp;(VLOOKUP($D$2,'Reading Report Logic'!$A$2:$B$8,2,FALSE)-1)&amp;"]"))),FALSE)),
IF(VLOOKUP($A544, YES_Reading_FLA[], COLUMN(IF(VLOOKUP($D$2,'Reading Report Logic'!$A$2:$B$8,2,FALSE)=1, YES_Reading_FLA[Reading Level June of Previous School Year],INDIRECT("YES_Reading_FLA[Instructional Reading Level - Per "&amp;(VLOOKUP($D$2,'Reading Report Logic'!$A$2:$B$8,2,FALSE)-1)&amp;"]"))),FALSE)="", "", VLOOKUP($A544,YES_Reading_FLA[],COLUMN(IF(VLOOKUP($D$2,'Reading Report Logic'!$A$2:$B$8,2,FALSE)=1, YES_Reading_FLA[Reading Level June of Previous School Year],INDIRECT("YES_Reading_FLA[Instructional Reading Level - Per "&amp;(VLOOKUP($D$2,'Reading Report Logic'!$A$2:$B$8,2,FALSE)-1)&amp;"]"))), FALSE))),""))),"")</f>
        <v/>
      </c>
      <c r="D544" s="204" t="str" cm="1">
        <f t="array" aca="1" ref="D544" ca="1">IFERROR(
IF($J$2="ELA",
IF(VLOOKUP($A544, YES_Reading_ELA[], COLUMN(INDIRECT("YES_Reading_ELA[Instructional Reading Level - Per "&amp;VLOOKUP($D$2, 'Reading Report Logic'!$A$2:$B$8, 2, FALSE)&amp;"]")), FALSE)="", "",
VLOOKUP($A544,YES_Reading_ELA[], COLUMN(INDIRECT("YES_Reading_ELA[Instructional Reading Level - Per "&amp;VLOOKUP($D$2,'Reading Report Logic'!$A$2:$B$8,2,FALSE)&amp;"]")), FALSE)),
IF($J$2="FLA",
IF(VLOOKUP($A544, YES_Reading_FLA[], COLUMN(INDIRECT("YES_Reading_FLA[Instructional Reading Level - Per "&amp;VLOOKUP($D$2,'Reading Report Logic'!$A$2:$B$8,2,FALSE)&amp;"]")),FALSE)="","",
VLOOKUP($A544,YES_Reading_FLA[],COLUMN(INDIRECT("YES_Reading_FLA[Instructional Reading Level - Per "&amp;VLOOKUP($D$2,'Reading Report Logic'!$A$2:$B$8,2,FALSE)&amp;"]")),FALSE)),
IF($J$2="Combined",
IFERROR(
IF(VLOOKUP($A544, YES_Reading_ELA[], COLUMN(INDIRECT("YES_Reading_ELA[Instructional Reading Level - Per "&amp;VLOOKUP($D$2, 'Reading Report Logic'!$A$2:$B$8,2,FALSE)&amp;"]")), FALSE)="", "",
VLOOKUP($A544,YES_Reading_ELA[],COLUMN(INDIRECT("YES_Reading_ELA[Instructional Reading Level - Per "&amp;VLOOKUP($D$2,'Reading Report Logic'!$A$2:$B$8,2,FALSE)&amp;"]")),FALSE)),
IF(VLOOKUP($A544, YES_Reading_FLA[], COLUMN(INDIRECT("YES_Reading_FLA[Instructional Reading Level - Per "&amp;VLOOKUP($D$2, 'Reading Report Logic'!$A$2:$B$8, 2, FALSE)&amp;"]")),FALSE)="", "", VLOOKUP($A544,YES_Reading_FLA[],COLUMN(INDIRECT("YES_Reading_FLA[Instructional Reading Level - Per "&amp;VLOOKUP($D$2, 'Reading Report Logic'!$A$2:$B$8, 2, FALSE)&amp;"]")),FALSE))),""))),"")</f>
        <v/>
      </c>
      <c r="E544" s="205" t="str" cm="1">
        <f t="array" aca="1" ref="E544" ca="1">IFERROR(
IF($J$2="ELA",
IF(VLOOKUP($A544, YES_Reading_ELA[], COLUMN(INDIRECT("YES_Reading_ELA[Min Expectation - Per "&amp;VLOOKUP($D$2, 'Reading Report Logic'!$A$2:$B$8, 2, FALSE)&amp;"]")), FALSE)="", "",
VLOOKUP($A544,YES_Reading_ELA[], COLUMN(INDIRECT("YES_Reading_ELA[Min Expectation - Per "&amp;VLOOKUP($D$2,'Reading Report Logic'!$A$2:$B$8,2,FALSE)&amp;"]")), FALSE)),
IF($J$2="FLA",
IF(VLOOKUP($A544, YES_Reading_FLA[], COLUMN(INDIRECT("YES_Reading_FLA[Min Expectation - Per "&amp;VLOOKUP($D$2,'Reading Report Logic'!$A$2:$B$8,2,FALSE)&amp;"]")),FALSE)="","",
VLOOKUP($A544,YES_Reading_FLA[],COLUMN(INDIRECT("YES_Reading_FLA[Min Expectation - Per "&amp;VLOOKUP($D$2,'Reading Report Logic'!$A$2:$B$8,2,FALSE)&amp;"]")),FALSE)),
IF($J$2="Combined",
IFERROR(
IF(VLOOKUP($A544, YES_Reading_ELA[], COLUMN(INDIRECT("YES_Reading_ELA[Min Expectation - Per "&amp;VLOOKUP($D$2, 'Reading Report Logic'!$A$2:$B$8,2,FALSE)&amp;"]")), FALSE)="", "",
VLOOKUP($A544,YES_Reading_ELA[],COLUMN(INDIRECT("YES_Reading_ELA[Min Expectation - Per "&amp;VLOOKUP($D$2,'Reading Report Logic'!$A$2:$B$8,2,FALSE)&amp;"]")),FALSE)),
IF(VLOOKUP($A544, YES_Reading_FLA[], COLUMN(INDIRECT("YES_Reading_FLA[Min Expectation - Per "&amp;VLOOKUP($D$2, 'Reading Report Logic'!$A$2:$B$8, 2, FALSE)&amp;"]")),FALSE)="", "", VLOOKUP($A544,YES_Reading_FLA[],COLUMN(INDIRECT("YES_Reading_FLA[Min Expectation - Per "&amp;VLOOKUP($D$2, 'Reading Report Logic'!$A$2:$B$8, 2, FALSE)&amp;"]")),FALSE))),""))),"")</f>
        <v/>
      </c>
      <c r="F544" s="205" t="str" cm="1">
        <f t="array" aca="1" ref="F544" ca="1">IFERROR(
IF($J$2="ELA",
IF(VLOOKUP($A544, YES_Reading_ELA[], COLUMN(INDIRECT("YES_Reading_ELA[Max Expectation - Per "&amp;VLOOKUP($D$2, 'Reading Report Logic'!$A$2:$B$8, 2, FALSE)&amp;"]")), FALSE)="", "",
VLOOKUP($A544,YES_Reading_ELA[], COLUMN(INDIRECT("YES_Reading_ELA[Max Expectation - Per "&amp;VLOOKUP($D$2,'Reading Report Logic'!$A$2:$B$8,2,FALSE)&amp;"]")), FALSE)),
IF($J$2="FLA",
IF(VLOOKUP($A544, YES_Reading_FLA[], COLUMN(INDIRECT("YES_Reading_FLA[Max Expectation - Per "&amp;VLOOKUP($D$2,'Reading Report Logic'!$A$2:$B$8,2,FALSE)&amp;"]")),FALSE)="","",
VLOOKUP($A544,YES_Reading_FLA[],COLUMN(INDIRECT("YES_Reading_FLA[Max Expectation - Per "&amp;VLOOKUP($D$2,'Reading Report Logic'!$A$2:$B$8,2,FALSE)&amp;"]")),FALSE)),
IF($J$2="Combined",
IFERROR(
IF(VLOOKUP($A544, YES_Reading_ELA[], COLUMN(INDIRECT("YES_Reading_ELA[Max Expectation - Per "&amp;VLOOKUP($D$2, 'Reading Report Logic'!$A$2:$B$8,2,FALSE)&amp;"]")), FALSE)="", "",
VLOOKUP($A544,YES_Reading_ELA[],COLUMN(INDIRECT("YES_Reading_ELA[Max Expectation - Per "&amp;VLOOKUP($D$2,'Reading Report Logic'!$A$2:$B$8,2,FALSE)&amp;"]")),FALSE)),
IF(VLOOKUP($A544, YES_Reading_FLA[], COLUMN(INDIRECT("YES_Reading_FLA[Max Expectation - Per "&amp;VLOOKUP($D$2, 'Reading Report Logic'!$A$2:$B$8, 2, FALSE)&amp;"]")),FALSE)="", "", VLOOKUP($A544,YES_Reading_FLA[],COLUMN(INDIRECT("YES_Reading_FLA[Max Expectation - Per "&amp;VLOOKUP($D$2, 'Reading Report Logic'!$A$2:$B$8, 2, FALSE)&amp;"]")),FALSE))),""))),"")</f>
        <v/>
      </c>
      <c r="G544" s="205" t="str" cm="1">
        <f t="array" aca="1" ref="G544" ca="1">IFERROR(
IF($J$2="ELA",
IF(VLOOKUP($A544, YES_Reading_ELA[], COLUMN(INDIRECT("YES_Reading_ELA[Difference - Per "&amp;VLOOKUP($D$2, 'Reading Report Logic'!$A$2:$B$8, 2, FALSE)&amp;"]")), FALSE)="", "",
VLOOKUP($A544,YES_Reading_ELA[], COLUMN(INDIRECT("YES_Reading_ELA[Difference - Per "&amp;VLOOKUP($D$2,'Reading Report Logic'!$A$2:$B$8,2,FALSE)&amp;"]")), FALSE)),
IF($J$2="FLA",
IF(VLOOKUP($A544, YES_Reading_FLA[], COLUMN(INDIRECT("YES_Reading_FLA[Difference - Per "&amp;VLOOKUP($D$2,'Reading Report Logic'!$A$2:$B$8,2,FALSE)&amp;"]")),FALSE)="","",
VLOOKUP($A544,YES_Reading_FLA[],COLUMN(INDIRECT("YES_Reading_FLA[Difference - Per "&amp;VLOOKUP($D$2,'Reading Report Logic'!$A$2:$B$8,2,FALSE)&amp;"]")),FALSE)),
IF($J$2="Combined",
IFERROR(
IF(VLOOKUP($A544, YES_Reading_ELA[], COLUMN(INDIRECT("YES_Reading_ELA[Difference - Per "&amp;VLOOKUP($D$2, 'Reading Report Logic'!$A$2:$B$8,2,FALSE)&amp;"]")), FALSE)="", "",
VLOOKUP($A544,YES_Reading_ELA[],COLUMN(INDIRECT("YES_Reading_ELA[Difference - Per "&amp;VLOOKUP($D$2,'Reading Report Logic'!$A$2:$B$8,2,FALSE)&amp;"]")),FALSE)),
IF(VLOOKUP($A544, YES_Reading_FLA[], COLUMN(INDIRECT("YES_Reading_FLA[Difference - Per "&amp;VLOOKUP($D$2, 'Reading Report Logic'!$A$2:$B$8, 2, FALSE)&amp;"]")),FALSE)="", "", VLOOKUP($A544,YES_Reading_FLA[],COLUMN(INDIRECT("YES_Reading_FLA[Difference - Per "&amp;VLOOKUP($D$2, 'Reading Report Logic'!$A$2:$B$8, 2, FALSE)&amp;"]")),FALSE))),""))),"")</f>
        <v/>
      </c>
      <c r="H544" s="206" t="str">
        <f ca="1">IFERROR(VLOOKUP('Teacher Reading Pull Sheets'!$D544,_xlfn.VSTACK('ELA Reading Logic'!$A$22:$B$48,'FLA Reading Logic'!$A$22:$B$53),2,FALSE)-VLOOKUP('Teacher Reading Pull Sheets'!$C544,_xlfn.VSTACK('ELA Reading Logic'!$A$22:$B$48,'FLA Reading Logic'!$A$22:$B$53),2,FALSE),"")</f>
        <v/>
      </c>
      <c r="I544" s="212"/>
      <c r="J544" s="206"/>
      <c r="K544" s="197" t="str" cm="1">
        <f t="array" ref="K544">IFERROR(
IF($J$2="ELA",
IF(VLOOKUP($A544, YES_Reading_ELA[], COLUMN(YES_Reading_ELA[Self-Identified as African Descent]), FALSE)="", "",
VLOOKUP($A544,YES_Reading_ELA[], COLUMN(YES_Reading_ELA[Self-Identified as African Descent]), FALSE)),
IF($J$2="FLA",
IF(VLOOKUP($A544, YES_Reading_FLA[], COLUMN(YES_Reading_FLA[Self-Identified as African Descent]),FALSE)="","",
VLOOKUP($A544,YES_Reading_FLA[],COLUMN(YES_Reading_FLA[Self-Identified as African Descent]),FALSE)),
IF($J$2="Combined",
IFERROR(
IF(VLOOKUP($A544, YES_Reading_ELA[], COLUMN(YES_Reading_ELA[Self-Identified as African Descent]), FALSE)="", "",
VLOOKUP($A544,YES_Reading_ELA[],COLUMN(YES_Reading_ELA[Self-Identified as African Descent]),FALSE)),
IF(VLOOKUP($A544, YES_Reading_FLA[], COLUMN(YES_Reading_FLA[Self-Identified as African Descent]),FALSE)="", "", VLOOKUP($A544,YES_Reading_FLA[],COLUMN(YES_Reading_FLA[Self-Identified as African Descent]),FALSE))),""))),"")</f>
        <v/>
      </c>
      <c r="L544" s="73" t="str" cm="1">
        <f t="array" ref="L544">IFERROR(
IF($J$2="ELA",
IF(VLOOKUP($A544, YES_Reading_ELA[], COLUMN(YES_Reading_ELA[Self-Identified as Indigenous]), FALSE)="", "",
VLOOKUP($A544,YES_Reading_ELA[], COLUMN(YES_Reading_ELA[Self-Identified as Indigenous]), FALSE)),
IF($J$2="FLA",
IF(VLOOKUP($A544, YES_Reading_FLA[], COLUMN(YES_Reading_FLA[Self-Identified as Indigenous]),FALSE)="","",
VLOOKUP($A544,YES_Reading_FLA[],COLUMN(YES_Reading_FLA[Self-Identified as Indigenous]),FALSE)),
IF($J$2="Combined",
IFERROR(
IF(VLOOKUP($A544, YES_Reading_ELA[], COLUMN(YES_Reading_ELA[Self-Identified as Indigenous]), FALSE)="", "",
VLOOKUP($A544,YES_Reading_ELA[],COLUMN(YES_Reading_ELA[Self-Identified as Indigenous]),FALSE)),
IF(VLOOKUP($A544, YES_Reading_FLA[], COLUMN(YES_Reading_FLA[Self-Identified as Indigenous]),FALSE)="", "", VLOOKUP($A544,YES_Reading_FLA[],COLUMN(YES_Reading_FLA[Self-Identified as Indigenous]),FALSE))),""))),"")</f>
        <v/>
      </c>
    </row>
    <row r="545" spans="1:12" ht="19.5" customHeight="1" x14ac:dyDescent="0.25">
      <c r="A545" s="217"/>
      <c r="B545" s="220" t="str">
        <f>IFERROR(VLOOKUP(A545,_xlfn.VSTACK(YES_Reading_ELA[],YES_Reading_FLA[]),2,FALSE),"")</f>
        <v/>
      </c>
      <c r="C545" s="203" t="str" cm="1">
        <f t="array" aca="1" ref="C545" ca="1">IFERROR(
IF($J$2="ELA",
IF(VLOOKUP($A545, YES_Reading_ELA[], COLUMN(IF(VLOOKUP($D$2, 'Reading Report Logic'!$A$2:$B$8, 2, FALSE)=1, YES_Reading_ELA[Reading Level June of Previous School Year], INDIRECT("YES_Reading_ELA[Instructional Reading Level - Per "&amp;(VLOOKUP($D$2,'Reading Report Logic'!$A$2:$B$8,2,FALSE)-1)&amp;"]"))), FALSE)="", "",
VLOOKUP($A545,YES_Reading_ELA[], COLUMN(IF(VLOOKUP($D$2,'Reading Report Logic'!$A$2:$B$8,2,FALSE)=1, YES_Reading_ELA[Reading Level June of Previous School Year],INDIRECT("YES_Reading_ELA[Instructional Reading Level - Per "&amp;(VLOOKUP($D$2,'Reading Report Logic'!$A$2:$B$8,2,FALSE)-1)&amp;"]"))), FALSE)),
IF($J$2="FLA",
IF(VLOOKUP($A545, YES_Reading_FLA[], COLUMN(IF(VLOOKUP($D$2,'Reading Report Logic'!$A$2:$B$8,2,FALSE)=1, YES_Reading_FLA[Reading Level June of Previous School Year],INDIRECT("YES_Reading_FLA[Instructional Reading Level - Per "&amp;(VLOOKUP($D$2,'Reading Report Logic'!$A$2:$B$8,2,FALSE)-1)&amp;"]"))),FALSE)="","",
VLOOKUP($A545,YES_Reading_FLA[], COLUMN(IF(VLOOKUP($D$2,'Reading Report Logic'!$A$2:$B$8,2,FALSE)=1, YES_Reading_FLA[Reading Level June of Previous School Year],INDIRECT("YES_Reading_FLA[Instructional Reading Level - Per "&amp;(VLOOKUP($D$2,'Reading Report Logic'!$A$2:$B$8,2,FALSE)-1)&amp;"]"))),FALSE)),
IF($J$2="Combined",
IFERROR(
IF(VLOOKUP($A545, YES_Reading_ELA[], COLUMN(IF(VLOOKUP($D$2,'Reading Report Logic'!$A$2:$B$8,2,FALSE)=1, YES_Reading_ELA[Reading Level June of Previous School Year],INDIRECT("YES_Reading_ELA[Instructional Reading Level - Per "&amp;(VLOOKUP($D$2,'Reading Report Logic'!$A$2:$B$8,2,FALSE)-1)&amp;"]"))), FALSE)="", "",
VLOOKUP($A545,YES_Reading_ELA[],COLUMN(IF(VLOOKUP($D$2,'Reading Report Logic'!$A$2:$B$8,2,FALSE)=1, YES_Reading_ELA[Reading Level June of Previous School Year],INDIRECT("YES_Reading_ELA[Instructional Reading Level - Per "&amp;(VLOOKUP($D$2,'Reading Report Logic'!$A$2:$B$8,2,FALSE)-1)&amp;"]"))),FALSE)),
IF(VLOOKUP($A545, YES_Reading_FLA[], COLUMN(IF(VLOOKUP($D$2,'Reading Report Logic'!$A$2:$B$8,2,FALSE)=1, YES_Reading_FLA[Reading Level June of Previous School Year],INDIRECT("YES_Reading_FLA[Instructional Reading Level - Per "&amp;(VLOOKUP($D$2,'Reading Report Logic'!$A$2:$B$8,2,FALSE)-1)&amp;"]"))),FALSE)="", "", VLOOKUP($A545,YES_Reading_FLA[],COLUMN(IF(VLOOKUP($D$2,'Reading Report Logic'!$A$2:$B$8,2,FALSE)=1, YES_Reading_FLA[Reading Level June of Previous School Year],INDIRECT("YES_Reading_FLA[Instructional Reading Level - Per "&amp;(VLOOKUP($D$2,'Reading Report Logic'!$A$2:$B$8,2,FALSE)-1)&amp;"]"))), FALSE))),""))),"")</f>
        <v/>
      </c>
      <c r="D545" s="204" t="str" cm="1">
        <f t="array" aca="1" ref="D545" ca="1">IFERROR(
IF($J$2="ELA",
IF(VLOOKUP($A545, YES_Reading_ELA[], COLUMN(INDIRECT("YES_Reading_ELA[Instructional Reading Level - Per "&amp;VLOOKUP($D$2, 'Reading Report Logic'!$A$2:$B$8, 2, FALSE)&amp;"]")), FALSE)="", "",
VLOOKUP($A545,YES_Reading_ELA[], COLUMN(INDIRECT("YES_Reading_ELA[Instructional Reading Level - Per "&amp;VLOOKUP($D$2,'Reading Report Logic'!$A$2:$B$8,2,FALSE)&amp;"]")), FALSE)),
IF($J$2="FLA",
IF(VLOOKUP($A545, YES_Reading_FLA[], COLUMN(INDIRECT("YES_Reading_FLA[Instructional Reading Level - Per "&amp;VLOOKUP($D$2,'Reading Report Logic'!$A$2:$B$8,2,FALSE)&amp;"]")),FALSE)="","",
VLOOKUP($A545,YES_Reading_FLA[],COLUMN(INDIRECT("YES_Reading_FLA[Instructional Reading Level - Per "&amp;VLOOKUP($D$2,'Reading Report Logic'!$A$2:$B$8,2,FALSE)&amp;"]")),FALSE)),
IF($J$2="Combined",
IFERROR(
IF(VLOOKUP($A545, YES_Reading_ELA[], COLUMN(INDIRECT("YES_Reading_ELA[Instructional Reading Level - Per "&amp;VLOOKUP($D$2, 'Reading Report Logic'!$A$2:$B$8,2,FALSE)&amp;"]")), FALSE)="", "",
VLOOKUP($A545,YES_Reading_ELA[],COLUMN(INDIRECT("YES_Reading_ELA[Instructional Reading Level - Per "&amp;VLOOKUP($D$2,'Reading Report Logic'!$A$2:$B$8,2,FALSE)&amp;"]")),FALSE)),
IF(VLOOKUP($A545, YES_Reading_FLA[], COLUMN(INDIRECT("YES_Reading_FLA[Instructional Reading Level - Per "&amp;VLOOKUP($D$2, 'Reading Report Logic'!$A$2:$B$8, 2, FALSE)&amp;"]")),FALSE)="", "", VLOOKUP($A545,YES_Reading_FLA[],COLUMN(INDIRECT("YES_Reading_FLA[Instructional Reading Level - Per "&amp;VLOOKUP($D$2, 'Reading Report Logic'!$A$2:$B$8, 2, FALSE)&amp;"]")),FALSE))),""))),"")</f>
        <v/>
      </c>
      <c r="E545" s="205" t="str" cm="1">
        <f t="array" aca="1" ref="E545" ca="1">IFERROR(
IF($J$2="ELA",
IF(VLOOKUP($A545, YES_Reading_ELA[], COLUMN(INDIRECT("YES_Reading_ELA[Min Expectation - Per "&amp;VLOOKUP($D$2, 'Reading Report Logic'!$A$2:$B$8, 2, FALSE)&amp;"]")), FALSE)="", "",
VLOOKUP($A545,YES_Reading_ELA[], COLUMN(INDIRECT("YES_Reading_ELA[Min Expectation - Per "&amp;VLOOKUP($D$2,'Reading Report Logic'!$A$2:$B$8,2,FALSE)&amp;"]")), FALSE)),
IF($J$2="FLA",
IF(VLOOKUP($A545, YES_Reading_FLA[], COLUMN(INDIRECT("YES_Reading_FLA[Min Expectation - Per "&amp;VLOOKUP($D$2,'Reading Report Logic'!$A$2:$B$8,2,FALSE)&amp;"]")),FALSE)="","",
VLOOKUP($A545,YES_Reading_FLA[],COLUMN(INDIRECT("YES_Reading_FLA[Min Expectation - Per "&amp;VLOOKUP($D$2,'Reading Report Logic'!$A$2:$B$8,2,FALSE)&amp;"]")),FALSE)),
IF($J$2="Combined",
IFERROR(
IF(VLOOKUP($A545, YES_Reading_ELA[], COLUMN(INDIRECT("YES_Reading_ELA[Min Expectation - Per "&amp;VLOOKUP($D$2, 'Reading Report Logic'!$A$2:$B$8,2,FALSE)&amp;"]")), FALSE)="", "",
VLOOKUP($A545,YES_Reading_ELA[],COLUMN(INDIRECT("YES_Reading_ELA[Min Expectation - Per "&amp;VLOOKUP($D$2,'Reading Report Logic'!$A$2:$B$8,2,FALSE)&amp;"]")),FALSE)),
IF(VLOOKUP($A545, YES_Reading_FLA[], COLUMN(INDIRECT("YES_Reading_FLA[Min Expectation - Per "&amp;VLOOKUP($D$2, 'Reading Report Logic'!$A$2:$B$8, 2, FALSE)&amp;"]")),FALSE)="", "", VLOOKUP($A545,YES_Reading_FLA[],COLUMN(INDIRECT("YES_Reading_FLA[Min Expectation - Per "&amp;VLOOKUP($D$2, 'Reading Report Logic'!$A$2:$B$8, 2, FALSE)&amp;"]")),FALSE))),""))),"")</f>
        <v/>
      </c>
      <c r="F545" s="205" t="str" cm="1">
        <f t="array" aca="1" ref="F545" ca="1">IFERROR(
IF($J$2="ELA",
IF(VLOOKUP($A545, YES_Reading_ELA[], COLUMN(INDIRECT("YES_Reading_ELA[Max Expectation - Per "&amp;VLOOKUP($D$2, 'Reading Report Logic'!$A$2:$B$8, 2, FALSE)&amp;"]")), FALSE)="", "",
VLOOKUP($A545,YES_Reading_ELA[], COLUMN(INDIRECT("YES_Reading_ELA[Max Expectation - Per "&amp;VLOOKUP($D$2,'Reading Report Logic'!$A$2:$B$8,2,FALSE)&amp;"]")), FALSE)),
IF($J$2="FLA",
IF(VLOOKUP($A545, YES_Reading_FLA[], COLUMN(INDIRECT("YES_Reading_FLA[Max Expectation - Per "&amp;VLOOKUP($D$2,'Reading Report Logic'!$A$2:$B$8,2,FALSE)&amp;"]")),FALSE)="","",
VLOOKUP($A545,YES_Reading_FLA[],COLUMN(INDIRECT("YES_Reading_FLA[Max Expectation - Per "&amp;VLOOKUP($D$2,'Reading Report Logic'!$A$2:$B$8,2,FALSE)&amp;"]")),FALSE)),
IF($J$2="Combined",
IFERROR(
IF(VLOOKUP($A545, YES_Reading_ELA[], COLUMN(INDIRECT("YES_Reading_ELA[Max Expectation - Per "&amp;VLOOKUP($D$2, 'Reading Report Logic'!$A$2:$B$8,2,FALSE)&amp;"]")), FALSE)="", "",
VLOOKUP($A545,YES_Reading_ELA[],COLUMN(INDIRECT("YES_Reading_ELA[Max Expectation - Per "&amp;VLOOKUP($D$2,'Reading Report Logic'!$A$2:$B$8,2,FALSE)&amp;"]")),FALSE)),
IF(VLOOKUP($A545, YES_Reading_FLA[], COLUMN(INDIRECT("YES_Reading_FLA[Max Expectation - Per "&amp;VLOOKUP($D$2, 'Reading Report Logic'!$A$2:$B$8, 2, FALSE)&amp;"]")),FALSE)="", "", VLOOKUP($A545,YES_Reading_FLA[],COLUMN(INDIRECT("YES_Reading_FLA[Max Expectation - Per "&amp;VLOOKUP($D$2, 'Reading Report Logic'!$A$2:$B$8, 2, FALSE)&amp;"]")),FALSE))),""))),"")</f>
        <v/>
      </c>
      <c r="G545" s="205" t="str" cm="1">
        <f t="array" aca="1" ref="G545" ca="1">IFERROR(
IF($J$2="ELA",
IF(VLOOKUP($A545, YES_Reading_ELA[], COLUMN(INDIRECT("YES_Reading_ELA[Difference - Per "&amp;VLOOKUP($D$2, 'Reading Report Logic'!$A$2:$B$8, 2, FALSE)&amp;"]")), FALSE)="", "",
VLOOKUP($A545,YES_Reading_ELA[], COLUMN(INDIRECT("YES_Reading_ELA[Difference - Per "&amp;VLOOKUP($D$2,'Reading Report Logic'!$A$2:$B$8,2,FALSE)&amp;"]")), FALSE)),
IF($J$2="FLA",
IF(VLOOKUP($A545, YES_Reading_FLA[], COLUMN(INDIRECT("YES_Reading_FLA[Difference - Per "&amp;VLOOKUP($D$2,'Reading Report Logic'!$A$2:$B$8,2,FALSE)&amp;"]")),FALSE)="","",
VLOOKUP($A545,YES_Reading_FLA[],COLUMN(INDIRECT("YES_Reading_FLA[Difference - Per "&amp;VLOOKUP($D$2,'Reading Report Logic'!$A$2:$B$8,2,FALSE)&amp;"]")),FALSE)),
IF($J$2="Combined",
IFERROR(
IF(VLOOKUP($A545, YES_Reading_ELA[], COLUMN(INDIRECT("YES_Reading_ELA[Difference - Per "&amp;VLOOKUP($D$2, 'Reading Report Logic'!$A$2:$B$8,2,FALSE)&amp;"]")), FALSE)="", "",
VLOOKUP($A545,YES_Reading_ELA[],COLUMN(INDIRECT("YES_Reading_ELA[Difference - Per "&amp;VLOOKUP($D$2,'Reading Report Logic'!$A$2:$B$8,2,FALSE)&amp;"]")),FALSE)),
IF(VLOOKUP($A545, YES_Reading_FLA[], COLUMN(INDIRECT("YES_Reading_FLA[Difference - Per "&amp;VLOOKUP($D$2, 'Reading Report Logic'!$A$2:$B$8, 2, FALSE)&amp;"]")),FALSE)="", "", VLOOKUP($A545,YES_Reading_FLA[],COLUMN(INDIRECT("YES_Reading_FLA[Difference - Per "&amp;VLOOKUP($D$2, 'Reading Report Logic'!$A$2:$B$8, 2, FALSE)&amp;"]")),FALSE))),""))),"")</f>
        <v/>
      </c>
      <c r="H545" s="206" t="str">
        <f ca="1">IFERROR(VLOOKUP('Teacher Reading Pull Sheets'!$D545,_xlfn.VSTACK('ELA Reading Logic'!$A$22:$B$48,'FLA Reading Logic'!$A$22:$B$53),2,FALSE)-VLOOKUP('Teacher Reading Pull Sheets'!$C545,_xlfn.VSTACK('ELA Reading Logic'!$A$22:$B$48,'FLA Reading Logic'!$A$22:$B$53),2,FALSE),"")</f>
        <v/>
      </c>
      <c r="I545" s="212"/>
      <c r="J545" s="206"/>
      <c r="K545" s="197" t="str" cm="1">
        <f t="array" ref="K545">IFERROR(
IF($J$2="ELA",
IF(VLOOKUP($A545, YES_Reading_ELA[], COLUMN(YES_Reading_ELA[Self-Identified as African Descent]), FALSE)="", "",
VLOOKUP($A545,YES_Reading_ELA[], COLUMN(YES_Reading_ELA[Self-Identified as African Descent]), FALSE)),
IF($J$2="FLA",
IF(VLOOKUP($A545, YES_Reading_FLA[], COLUMN(YES_Reading_FLA[Self-Identified as African Descent]),FALSE)="","",
VLOOKUP($A545,YES_Reading_FLA[],COLUMN(YES_Reading_FLA[Self-Identified as African Descent]),FALSE)),
IF($J$2="Combined",
IFERROR(
IF(VLOOKUP($A545, YES_Reading_ELA[], COLUMN(YES_Reading_ELA[Self-Identified as African Descent]), FALSE)="", "",
VLOOKUP($A545,YES_Reading_ELA[],COLUMN(YES_Reading_ELA[Self-Identified as African Descent]),FALSE)),
IF(VLOOKUP($A545, YES_Reading_FLA[], COLUMN(YES_Reading_FLA[Self-Identified as African Descent]),FALSE)="", "", VLOOKUP($A545,YES_Reading_FLA[],COLUMN(YES_Reading_FLA[Self-Identified as African Descent]),FALSE))),""))),"")</f>
        <v/>
      </c>
      <c r="L545" s="73" t="str" cm="1">
        <f t="array" ref="L545">IFERROR(
IF($J$2="ELA",
IF(VLOOKUP($A545, YES_Reading_ELA[], COLUMN(YES_Reading_ELA[Self-Identified as Indigenous]), FALSE)="", "",
VLOOKUP($A545,YES_Reading_ELA[], COLUMN(YES_Reading_ELA[Self-Identified as Indigenous]), FALSE)),
IF($J$2="FLA",
IF(VLOOKUP($A545, YES_Reading_FLA[], COLUMN(YES_Reading_FLA[Self-Identified as Indigenous]),FALSE)="","",
VLOOKUP($A545,YES_Reading_FLA[],COLUMN(YES_Reading_FLA[Self-Identified as Indigenous]),FALSE)),
IF($J$2="Combined",
IFERROR(
IF(VLOOKUP($A545, YES_Reading_ELA[], COLUMN(YES_Reading_ELA[Self-Identified as Indigenous]), FALSE)="", "",
VLOOKUP($A545,YES_Reading_ELA[],COLUMN(YES_Reading_ELA[Self-Identified as Indigenous]),FALSE)),
IF(VLOOKUP($A545, YES_Reading_FLA[], COLUMN(YES_Reading_FLA[Self-Identified as Indigenous]),FALSE)="", "", VLOOKUP($A545,YES_Reading_FLA[],COLUMN(YES_Reading_FLA[Self-Identified as Indigenous]),FALSE))),""))),"")</f>
        <v/>
      </c>
    </row>
    <row r="546" spans="1:12" ht="19.5" customHeight="1" x14ac:dyDescent="0.25">
      <c r="A546" s="217"/>
      <c r="B546" s="220" t="str">
        <f>IFERROR(VLOOKUP(A546,_xlfn.VSTACK(YES_Reading_ELA[],YES_Reading_FLA[]),2,FALSE),"")</f>
        <v/>
      </c>
      <c r="C546" s="203" t="str" cm="1">
        <f t="array" aca="1" ref="C546" ca="1">IFERROR(
IF($J$2="ELA",
IF(VLOOKUP($A546, YES_Reading_ELA[], COLUMN(IF(VLOOKUP($D$2, 'Reading Report Logic'!$A$2:$B$8, 2, FALSE)=1, YES_Reading_ELA[Reading Level June of Previous School Year], INDIRECT("YES_Reading_ELA[Instructional Reading Level - Per "&amp;(VLOOKUP($D$2,'Reading Report Logic'!$A$2:$B$8,2,FALSE)-1)&amp;"]"))), FALSE)="", "",
VLOOKUP($A546,YES_Reading_ELA[], COLUMN(IF(VLOOKUP($D$2,'Reading Report Logic'!$A$2:$B$8,2,FALSE)=1, YES_Reading_ELA[Reading Level June of Previous School Year],INDIRECT("YES_Reading_ELA[Instructional Reading Level - Per "&amp;(VLOOKUP($D$2,'Reading Report Logic'!$A$2:$B$8,2,FALSE)-1)&amp;"]"))), FALSE)),
IF($J$2="FLA",
IF(VLOOKUP($A546, YES_Reading_FLA[], COLUMN(IF(VLOOKUP($D$2,'Reading Report Logic'!$A$2:$B$8,2,FALSE)=1, YES_Reading_FLA[Reading Level June of Previous School Year],INDIRECT("YES_Reading_FLA[Instructional Reading Level - Per "&amp;(VLOOKUP($D$2,'Reading Report Logic'!$A$2:$B$8,2,FALSE)-1)&amp;"]"))),FALSE)="","",
VLOOKUP($A546,YES_Reading_FLA[], COLUMN(IF(VLOOKUP($D$2,'Reading Report Logic'!$A$2:$B$8,2,FALSE)=1, YES_Reading_FLA[Reading Level June of Previous School Year],INDIRECT("YES_Reading_FLA[Instructional Reading Level - Per "&amp;(VLOOKUP($D$2,'Reading Report Logic'!$A$2:$B$8,2,FALSE)-1)&amp;"]"))),FALSE)),
IF($J$2="Combined",
IFERROR(
IF(VLOOKUP($A546, YES_Reading_ELA[], COLUMN(IF(VLOOKUP($D$2,'Reading Report Logic'!$A$2:$B$8,2,FALSE)=1, YES_Reading_ELA[Reading Level June of Previous School Year],INDIRECT("YES_Reading_ELA[Instructional Reading Level - Per "&amp;(VLOOKUP($D$2,'Reading Report Logic'!$A$2:$B$8,2,FALSE)-1)&amp;"]"))), FALSE)="", "",
VLOOKUP($A546,YES_Reading_ELA[],COLUMN(IF(VLOOKUP($D$2,'Reading Report Logic'!$A$2:$B$8,2,FALSE)=1, YES_Reading_ELA[Reading Level June of Previous School Year],INDIRECT("YES_Reading_ELA[Instructional Reading Level - Per "&amp;(VLOOKUP($D$2,'Reading Report Logic'!$A$2:$B$8,2,FALSE)-1)&amp;"]"))),FALSE)),
IF(VLOOKUP($A546, YES_Reading_FLA[], COLUMN(IF(VLOOKUP($D$2,'Reading Report Logic'!$A$2:$B$8,2,FALSE)=1, YES_Reading_FLA[Reading Level June of Previous School Year],INDIRECT("YES_Reading_FLA[Instructional Reading Level - Per "&amp;(VLOOKUP($D$2,'Reading Report Logic'!$A$2:$B$8,2,FALSE)-1)&amp;"]"))),FALSE)="", "", VLOOKUP($A546,YES_Reading_FLA[],COLUMN(IF(VLOOKUP($D$2,'Reading Report Logic'!$A$2:$B$8,2,FALSE)=1, YES_Reading_FLA[Reading Level June of Previous School Year],INDIRECT("YES_Reading_FLA[Instructional Reading Level - Per "&amp;(VLOOKUP($D$2,'Reading Report Logic'!$A$2:$B$8,2,FALSE)-1)&amp;"]"))), FALSE))),""))),"")</f>
        <v/>
      </c>
      <c r="D546" s="204" t="str" cm="1">
        <f t="array" aca="1" ref="D546" ca="1">IFERROR(
IF($J$2="ELA",
IF(VLOOKUP($A546, YES_Reading_ELA[], COLUMN(INDIRECT("YES_Reading_ELA[Instructional Reading Level - Per "&amp;VLOOKUP($D$2, 'Reading Report Logic'!$A$2:$B$8, 2, FALSE)&amp;"]")), FALSE)="", "",
VLOOKUP($A546,YES_Reading_ELA[], COLUMN(INDIRECT("YES_Reading_ELA[Instructional Reading Level - Per "&amp;VLOOKUP($D$2,'Reading Report Logic'!$A$2:$B$8,2,FALSE)&amp;"]")), FALSE)),
IF($J$2="FLA",
IF(VLOOKUP($A546, YES_Reading_FLA[], COLUMN(INDIRECT("YES_Reading_FLA[Instructional Reading Level - Per "&amp;VLOOKUP($D$2,'Reading Report Logic'!$A$2:$B$8,2,FALSE)&amp;"]")),FALSE)="","",
VLOOKUP($A546,YES_Reading_FLA[],COLUMN(INDIRECT("YES_Reading_FLA[Instructional Reading Level - Per "&amp;VLOOKUP($D$2,'Reading Report Logic'!$A$2:$B$8,2,FALSE)&amp;"]")),FALSE)),
IF($J$2="Combined",
IFERROR(
IF(VLOOKUP($A546, YES_Reading_ELA[], COLUMN(INDIRECT("YES_Reading_ELA[Instructional Reading Level - Per "&amp;VLOOKUP($D$2, 'Reading Report Logic'!$A$2:$B$8,2,FALSE)&amp;"]")), FALSE)="", "",
VLOOKUP($A546,YES_Reading_ELA[],COLUMN(INDIRECT("YES_Reading_ELA[Instructional Reading Level - Per "&amp;VLOOKUP($D$2,'Reading Report Logic'!$A$2:$B$8,2,FALSE)&amp;"]")),FALSE)),
IF(VLOOKUP($A546, YES_Reading_FLA[], COLUMN(INDIRECT("YES_Reading_FLA[Instructional Reading Level - Per "&amp;VLOOKUP($D$2, 'Reading Report Logic'!$A$2:$B$8, 2, FALSE)&amp;"]")),FALSE)="", "", VLOOKUP($A546,YES_Reading_FLA[],COLUMN(INDIRECT("YES_Reading_FLA[Instructional Reading Level - Per "&amp;VLOOKUP($D$2, 'Reading Report Logic'!$A$2:$B$8, 2, FALSE)&amp;"]")),FALSE))),""))),"")</f>
        <v/>
      </c>
      <c r="E546" s="205" t="str" cm="1">
        <f t="array" aca="1" ref="E546" ca="1">IFERROR(
IF($J$2="ELA",
IF(VLOOKUP($A546, YES_Reading_ELA[], COLUMN(INDIRECT("YES_Reading_ELA[Min Expectation - Per "&amp;VLOOKUP($D$2, 'Reading Report Logic'!$A$2:$B$8, 2, FALSE)&amp;"]")), FALSE)="", "",
VLOOKUP($A546,YES_Reading_ELA[], COLUMN(INDIRECT("YES_Reading_ELA[Min Expectation - Per "&amp;VLOOKUP($D$2,'Reading Report Logic'!$A$2:$B$8,2,FALSE)&amp;"]")), FALSE)),
IF($J$2="FLA",
IF(VLOOKUP($A546, YES_Reading_FLA[], COLUMN(INDIRECT("YES_Reading_FLA[Min Expectation - Per "&amp;VLOOKUP($D$2,'Reading Report Logic'!$A$2:$B$8,2,FALSE)&amp;"]")),FALSE)="","",
VLOOKUP($A546,YES_Reading_FLA[],COLUMN(INDIRECT("YES_Reading_FLA[Min Expectation - Per "&amp;VLOOKUP($D$2,'Reading Report Logic'!$A$2:$B$8,2,FALSE)&amp;"]")),FALSE)),
IF($J$2="Combined",
IFERROR(
IF(VLOOKUP($A546, YES_Reading_ELA[], COLUMN(INDIRECT("YES_Reading_ELA[Min Expectation - Per "&amp;VLOOKUP($D$2, 'Reading Report Logic'!$A$2:$B$8,2,FALSE)&amp;"]")), FALSE)="", "",
VLOOKUP($A546,YES_Reading_ELA[],COLUMN(INDIRECT("YES_Reading_ELA[Min Expectation - Per "&amp;VLOOKUP($D$2,'Reading Report Logic'!$A$2:$B$8,2,FALSE)&amp;"]")),FALSE)),
IF(VLOOKUP($A546, YES_Reading_FLA[], COLUMN(INDIRECT("YES_Reading_FLA[Min Expectation - Per "&amp;VLOOKUP($D$2, 'Reading Report Logic'!$A$2:$B$8, 2, FALSE)&amp;"]")),FALSE)="", "", VLOOKUP($A546,YES_Reading_FLA[],COLUMN(INDIRECT("YES_Reading_FLA[Min Expectation - Per "&amp;VLOOKUP($D$2, 'Reading Report Logic'!$A$2:$B$8, 2, FALSE)&amp;"]")),FALSE))),""))),"")</f>
        <v/>
      </c>
      <c r="F546" s="205" t="str" cm="1">
        <f t="array" aca="1" ref="F546" ca="1">IFERROR(
IF($J$2="ELA",
IF(VLOOKUP($A546, YES_Reading_ELA[], COLUMN(INDIRECT("YES_Reading_ELA[Max Expectation - Per "&amp;VLOOKUP($D$2, 'Reading Report Logic'!$A$2:$B$8, 2, FALSE)&amp;"]")), FALSE)="", "",
VLOOKUP($A546,YES_Reading_ELA[], COLUMN(INDIRECT("YES_Reading_ELA[Max Expectation - Per "&amp;VLOOKUP($D$2,'Reading Report Logic'!$A$2:$B$8,2,FALSE)&amp;"]")), FALSE)),
IF($J$2="FLA",
IF(VLOOKUP($A546, YES_Reading_FLA[], COLUMN(INDIRECT("YES_Reading_FLA[Max Expectation - Per "&amp;VLOOKUP($D$2,'Reading Report Logic'!$A$2:$B$8,2,FALSE)&amp;"]")),FALSE)="","",
VLOOKUP($A546,YES_Reading_FLA[],COLUMN(INDIRECT("YES_Reading_FLA[Max Expectation - Per "&amp;VLOOKUP($D$2,'Reading Report Logic'!$A$2:$B$8,2,FALSE)&amp;"]")),FALSE)),
IF($J$2="Combined",
IFERROR(
IF(VLOOKUP($A546, YES_Reading_ELA[], COLUMN(INDIRECT("YES_Reading_ELA[Max Expectation - Per "&amp;VLOOKUP($D$2, 'Reading Report Logic'!$A$2:$B$8,2,FALSE)&amp;"]")), FALSE)="", "",
VLOOKUP($A546,YES_Reading_ELA[],COLUMN(INDIRECT("YES_Reading_ELA[Max Expectation - Per "&amp;VLOOKUP($D$2,'Reading Report Logic'!$A$2:$B$8,2,FALSE)&amp;"]")),FALSE)),
IF(VLOOKUP($A546, YES_Reading_FLA[], COLUMN(INDIRECT("YES_Reading_FLA[Max Expectation - Per "&amp;VLOOKUP($D$2, 'Reading Report Logic'!$A$2:$B$8, 2, FALSE)&amp;"]")),FALSE)="", "", VLOOKUP($A546,YES_Reading_FLA[],COLUMN(INDIRECT("YES_Reading_FLA[Max Expectation - Per "&amp;VLOOKUP($D$2, 'Reading Report Logic'!$A$2:$B$8, 2, FALSE)&amp;"]")),FALSE))),""))),"")</f>
        <v/>
      </c>
      <c r="G546" s="205" t="str" cm="1">
        <f t="array" aca="1" ref="G546" ca="1">IFERROR(
IF($J$2="ELA",
IF(VLOOKUP($A546, YES_Reading_ELA[], COLUMN(INDIRECT("YES_Reading_ELA[Difference - Per "&amp;VLOOKUP($D$2, 'Reading Report Logic'!$A$2:$B$8, 2, FALSE)&amp;"]")), FALSE)="", "",
VLOOKUP($A546,YES_Reading_ELA[], COLUMN(INDIRECT("YES_Reading_ELA[Difference - Per "&amp;VLOOKUP($D$2,'Reading Report Logic'!$A$2:$B$8,2,FALSE)&amp;"]")), FALSE)),
IF($J$2="FLA",
IF(VLOOKUP($A546, YES_Reading_FLA[], COLUMN(INDIRECT("YES_Reading_FLA[Difference - Per "&amp;VLOOKUP($D$2,'Reading Report Logic'!$A$2:$B$8,2,FALSE)&amp;"]")),FALSE)="","",
VLOOKUP($A546,YES_Reading_FLA[],COLUMN(INDIRECT("YES_Reading_FLA[Difference - Per "&amp;VLOOKUP($D$2,'Reading Report Logic'!$A$2:$B$8,2,FALSE)&amp;"]")),FALSE)),
IF($J$2="Combined",
IFERROR(
IF(VLOOKUP($A546, YES_Reading_ELA[], COLUMN(INDIRECT("YES_Reading_ELA[Difference - Per "&amp;VLOOKUP($D$2, 'Reading Report Logic'!$A$2:$B$8,2,FALSE)&amp;"]")), FALSE)="", "",
VLOOKUP($A546,YES_Reading_ELA[],COLUMN(INDIRECT("YES_Reading_ELA[Difference - Per "&amp;VLOOKUP($D$2,'Reading Report Logic'!$A$2:$B$8,2,FALSE)&amp;"]")),FALSE)),
IF(VLOOKUP($A546, YES_Reading_FLA[], COLUMN(INDIRECT("YES_Reading_FLA[Difference - Per "&amp;VLOOKUP($D$2, 'Reading Report Logic'!$A$2:$B$8, 2, FALSE)&amp;"]")),FALSE)="", "", VLOOKUP($A546,YES_Reading_FLA[],COLUMN(INDIRECT("YES_Reading_FLA[Difference - Per "&amp;VLOOKUP($D$2, 'Reading Report Logic'!$A$2:$B$8, 2, FALSE)&amp;"]")),FALSE))),""))),"")</f>
        <v/>
      </c>
      <c r="H546" s="206" t="str">
        <f ca="1">IFERROR(VLOOKUP('Teacher Reading Pull Sheets'!$D546,_xlfn.VSTACK('ELA Reading Logic'!$A$22:$B$48,'FLA Reading Logic'!$A$22:$B$53),2,FALSE)-VLOOKUP('Teacher Reading Pull Sheets'!$C546,_xlfn.VSTACK('ELA Reading Logic'!$A$22:$B$48,'FLA Reading Logic'!$A$22:$B$53),2,FALSE),"")</f>
        <v/>
      </c>
      <c r="I546" s="212"/>
      <c r="J546" s="206"/>
      <c r="K546" s="197" t="str" cm="1">
        <f t="array" ref="K546">IFERROR(
IF($J$2="ELA",
IF(VLOOKUP($A546, YES_Reading_ELA[], COLUMN(YES_Reading_ELA[Self-Identified as African Descent]), FALSE)="", "",
VLOOKUP($A546,YES_Reading_ELA[], COLUMN(YES_Reading_ELA[Self-Identified as African Descent]), FALSE)),
IF($J$2="FLA",
IF(VLOOKUP($A546, YES_Reading_FLA[], COLUMN(YES_Reading_FLA[Self-Identified as African Descent]),FALSE)="","",
VLOOKUP($A546,YES_Reading_FLA[],COLUMN(YES_Reading_FLA[Self-Identified as African Descent]),FALSE)),
IF($J$2="Combined",
IFERROR(
IF(VLOOKUP($A546, YES_Reading_ELA[], COLUMN(YES_Reading_ELA[Self-Identified as African Descent]), FALSE)="", "",
VLOOKUP($A546,YES_Reading_ELA[],COLUMN(YES_Reading_ELA[Self-Identified as African Descent]),FALSE)),
IF(VLOOKUP($A546, YES_Reading_FLA[], COLUMN(YES_Reading_FLA[Self-Identified as African Descent]),FALSE)="", "", VLOOKUP($A546,YES_Reading_FLA[],COLUMN(YES_Reading_FLA[Self-Identified as African Descent]),FALSE))),""))),"")</f>
        <v/>
      </c>
      <c r="L546" s="73" t="str" cm="1">
        <f t="array" ref="L546">IFERROR(
IF($J$2="ELA",
IF(VLOOKUP($A546, YES_Reading_ELA[], COLUMN(YES_Reading_ELA[Self-Identified as Indigenous]), FALSE)="", "",
VLOOKUP($A546,YES_Reading_ELA[], COLUMN(YES_Reading_ELA[Self-Identified as Indigenous]), FALSE)),
IF($J$2="FLA",
IF(VLOOKUP($A546, YES_Reading_FLA[], COLUMN(YES_Reading_FLA[Self-Identified as Indigenous]),FALSE)="","",
VLOOKUP($A546,YES_Reading_FLA[],COLUMN(YES_Reading_FLA[Self-Identified as Indigenous]),FALSE)),
IF($J$2="Combined",
IFERROR(
IF(VLOOKUP($A546, YES_Reading_ELA[], COLUMN(YES_Reading_ELA[Self-Identified as Indigenous]), FALSE)="", "",
VLOOKUP($A546,YES_Reading_ELA[],COLUMN(YES_Reading_ELA[Self-Identified as Indigenous]),FALSE)),
IF(VLOOKUP($A546, YES_Reading_FLA[], COLUMN(YES_Reading_FLA[Self-Identified as Indigenous]),FALSE)="", "", VLOOKUP($A546,YES_Reading_FLA[],COLUMN(YES_Reading_FLA[Self-Identified as Indigenous]),FALSE))),""))),"")</f>
        <v/>
      </c>
    </row>
    <row r="547" spans="1:12" ht="19.5" customHeight="1" x14ac:dyDescent="0.25">
      <c r="A547" s="217"/>
      <c r="B547" s="220" t="str">
        <f>IFERROR(VLOOKUP(A547,_xlfn.VSTACK(YES_Reading_ELA[],YES_Reading_FLA[]),2,FALSE),"")</f>
        <v/>
      </c>
      <c r="C547" s="203" t="str" cm="1">
        <f t="array" aca="1" ref="C547" ca="1">IFERROR(
IF($J$2="ELA",
IF(VLOOKUP($A547, YES_Reading_ELA[], COLUMN(IF(VLOOKUP($D$2, 'Reading Report Logic'!$A$2:$B$8, 2, FALSE)=1, YES_Reading_ELA[Reading Level June of Previous School Year], INDIRECT("YES_Reading_ELA[Instructional Reading Level - Per "&amp;(VLOOKUP($D$2,'Reading Report Logic'!$A$2:$B$8,2,FALSE)-1)&amp;"]"))), FALSE)="", "",
VLOOKUP($A547,YES_Reading_ELA[], COLUMN(IF(VLOOKUP($D$2,'Reading Report Logic'!$A$2:$B$8,2,FALSE)=1, YES_Reading_ELA[Reading Level June of Previous School Year],INDIRECT("YES_Reading_ELA[Instructional Reading Level - Per "&amp;(VLOOKUP($D$2,'Reading Report Logic'!$A$2:$B$8,2,FALSE)-1)&amp;"]"))), FALSE)),
IF($J$2="FLA",
IF(VLOOKUP($A547, YES_Reading_FLA[], COLUMN(IF(VLOOKUP($D$2,'Reading Report Logic'!$A$2:$B$8,2,FALSE)=1, YES_Reading_FLA[Reading Level June of Previous School Year],INDIRECT("YES_Reading_FLA[Instructional Reading Level - Per "&amp;(VLOOKUP($D$2,'Reading Report Logic'!$A$2:$B$8,2,FALSE)-1)&amp;"]"))),FALSE)="","",
VLOOKUP($A547,YES_Reading_FLA[], COLUMN(IF(VLOOKUP($D$2,'Reading Report Logic'!$A$2:$B$8,2,FALSE)=1, YES_Reading_FLA[Reading Level June of Previous School Year],INDIRECT("YES_Reading_FLA[Instructional Reading Level - Per "&amp;(VLOOKUP($D$2,'Reading Report Logic'!$A$2:$B$8,2,FALSE)-1)&amp;"]"))),FALSE)),
IF($J$2="Combined",
IFERROR(
IF(VLOOKUP($A547, YES_Reading_ELA[], COLUMN(IF(VLOOKUP($D$2,'Reading Report Logic'!$A$2:$B$8,2,FALSE)=1, YES_Reading_ELA[Reading Level June of Previous School Year],INDIRECT("YES_Reading_ELA[Instructional Reading Level - Per "&amp;(VLOOKUP($D$2,'Reading Report Logic'!$A$2:$B$8,2,FALSE)-1)&amp;"]"))), FALSE)="", "",
VLOOKUP($A547,YES_Reading_ELA[],COLUMN(IF(VLOOKUP($D$2,'Reading Report Logic'!$A$2:$B$8,2,FALSE)=1, YES_Reading_ELA[Reading Level June of Previous School Year],INDIRECT("YES_Reading_ELA[Instructional Reading Level - Per "&amp;(VLOOKUP($D$2,'Reading Report Logic'!$A$2:$B$8,2,FALSE)-1)&amp;"]"))),FALSE)),
IF(VLOOKUP($A547, YES_Reading_FLA[], COLUMN(IF(VLOOKUP($D$2,'Reading Report Logic'!$A$2:$B$8,2,FALSE)=1, YES_Reading_FLA[Reading Level June of Previous School Year],INDIRECT("YES_Reading_FLA[Instructional Reading Level - Per "&amp;(VLOOKUP($D$2,'Reading Report Logic'!$A$2:$B$8,2,FALSE)-1)&amp;"]"))),FALSE)="", "", VLOOKUP($A547,YES_Reading_FLA[],COLUMN(IF(VLOOKUP($D$2,'Reading Report Logic'!$A$2:$B$8,2,FALSE)=1, YES_Reading_FLA[Reading Level June of Previous School Year],INDIRECT("YES_Reading_FLA[Instructional Reading Level - Per "&amp;(VLOOKUP($D$2,'Reading Report Logic'!$A$2:$B$8,2,FALSE)-1)&amp;"]"))), FALSE))),""))),"")</f>
        <v/>
      </c>
      <c r="D547" s="204" t="str" cm="1">
        <f t="array" aca="1" ref="D547" ca="1">IFERROR(
IF($J$2="ELA",
IF(VLOOKUP($A547, YES_Reading_ELA[], COLUMN(INDIRECT("YES_Reading_ELA[Instructional Reading Level - Per "&amp;VLOOKUP($D$2, 'Reading Report Logic'!$A$2:$B$8, 2, FALSE)&amp;"]")), FALSE)="", "",
VLOOKUP($A547,YES_Reading_ELA[], COLUMN(INDIRECT("YES_Reading_ELA[Instructional Reading Level - Per "&amp;VLOOKUP($D$2,'Reading Report Logic'!$A$2:$B$8,2,FALSE)&amp;"]")), FALSE)),
IF($J$2="FLA",
IF(VLOOKUP($A547, YES_Reading_FLA[], COLUMN(INDIRECT("YES_Reading_FLA[Instructional Reading Level - Per "&amp;VLOOKUP($D$2,'Reading Report Logic'!$A$2:$B$8,2,FALSE)&amp;"]")),FALSE)="","",
VLOOKUP($A547,YES_Reading_FLA[],COLUMN(INDIRECT("YES_Reading_FLA[Instructional Reading Level - Per "&amp;VLOOKUP($D$2,'Reading Report Logic'!$A$2:$B$8,2,FALSE)&amp;"]")),FALSE)),
IF($J$2="Combined",
IFERROR(
IF(VLOOKUP($A547, YES_Reading_ELA[], COLUMN(INDIRECT("YES_Reading_ELA[Instructional Reading Level - Per "&amp;VLOOKUP($D$2, 'Reading Report Logic'!$A$2:$B$8,2,FALSE)&amp;"]")), FALSE)="", "",
VLOOKUP($A547,YES_Reading_ELA[],COLUMN(INDIRECT("YES_Reading_ELA[Instructional Reading Level - Per "&amp;VLOOKUP($D$2,'Reading Report Logic'!$A$2:$B$8,2,FALSE)&amp;"]")),FALSE)),
IF(VLOOKUP($A547, YES_Reading_FLA[], COLUMN(INDIRECT("YES_Reading_FLA[Instructional Reading Level - Per "&amp;VLOOKUP($D$2, 'Reading Report Logic'!$A$2:$B$8, 2, FALSE)&amp;"]")),FALSE)="", "", VLOOKUP($A547,YES_Reading_FLA[],COLUMN(INDIRECT("YES_Reading_FLA[Instructional Reading Level - Per "&amp;VLOOKUP($D$2, 'Reading Report Logic'!$A$2:$B$8, 2, FALSE)&amp;"]")),FALSE))),""))),"")</f>
        <v/>
      </c>
      <c r="E547" s="205" t="str" cm="1">
        <f t="array" aca="1" ref="E547" ca="1">IFERROR(
IF($J$2="ELA",
IF(VLOOKUP($A547, YES_Reading_ELA[], COLUMN(INDIRECT("YES_Reading_ELA[Min Expectation - Per "&amp;VLOOKUP($D$2, 'Reading Report Logic'!$A$2:$B$8, 2, FALSE)&amp;"]")), FALSE)="", "",
VLOOKUP($A547,YES_Reading_ELA[], COLUMN(INDIRECT("YES_Reading_ELA[Min Expectation - Per "&amp;VLOOKUP($D$2,'Reading Report Logic'!$A$2:$B$8,2,FALSE)&amp;"]")), FALSE)),
IF($J$2="FLA",
IF(VLOOKUP($A547, YES_Reading_FLA[], COLUMN(INDIRECT("YES_Reading_FLA[Min Expectation - Per "&amp;VLOOKUP($D$2,'Reading Report Logic'!$A$2:$B$8,2,FALSE)&amp;"]")),FALSE)="","",
VLOOKUP($A547,YES_Reading_FLA[],COLUMN(INDIRECT("YES_Reading_FLA[Min Expectation - Per "&amp;VLOOKUP($D$2,'Reading Report Logic'!$A$2:$B$8,2,FALSE)&amp;"]")),FALSE)),
IF($J$2="Combined",
IFERROR(
IF(VLOOKUP($A547, YES_Reading_ELA[], COLUMN(INDIRECT("YES_Reading_ELA[Min Expectation - Per "&amp;VLOOKUP($D$2, 'Reading Report Logic'!$A$2:$B$8,2,FALSE)&amp;"]")), FALSE)="", "",
VLOOKUP($A547,YES_Reading_ELA[],COLUMN(INDIRECT("YES_Reading_ELA[Min Expectation - Per "&amp;VLOOKUP($D$2,'Reading Report Logic'!$A$2:$B$8,2,FALSE)&amp;"]")),FALSE)),
IF(VLOOKUP($A547, YES_Reading_FLA[], COLUMN(INDIRECT("YES_Reading_FLA[Min Expectation - Per "&amp;VLOOKUP($D$2, 'Reading Report Logic'!$A$2:$B$8, 2, FALSE)&amp;"]")),FALSE)="", "", VLOOKUP($A547,YES_Reading_FLA[],COLUMN(INDIRECT("YES_Reading_FLA[Min Expectation - Per "&amp;VLOOKUP($D$2, 'Reading Report Logic'!$A$2:$B$8, 2, FALSE)&amp;"]")),FALSE))),""))),"")</f>
        <v/>
      </c>
      <c r="F547" s="205" t="str" cm="1">
        <f t="array" aca="1" ref="F547" ca="1">IFERROR(
IF($J$2="ELA",
IF(VLOOKUP($A547, YES_Reading_ELA[], COLUMN(INDIRECT("YES_Reading_ELA[Max Expectation - Per "&amp;VLOOKUP($D$2, 'Reading Report Logic'!$A$2:$B$8, 2, FALSE)&amp;"]")), FALSE)="", "",
VLOOKUP($A547,YES_Reading_ELA[], COLUMN(INDIRECT("YES_Reading_ELA[Max Expectation - Per "&amp;VLOOKUP($D$2,'Reading Report Logic'!$A$2:$B$8,2,FALSE)&amp;"]")), FALSE)),
IF($J$2="FLA",
IF(VLOOKUP($A547, YES_Reading_FLA[], COLUMN(INDIRECT("YES_Reading_FLA[Max Expectation - Per "&amp;VLOOKUP($D$2,'Reading Report Logic'!$A$2:$B$8,2,FALSE)&amp;"]")),FALSE)="","",
VLOOKUP($A547,YES_Reading_FLA[],COLUMN(INDIRECT("YES_Reading_FLA[Max Expectation - Per "&amp;VLOOKUP($D$2,'Reading Report Logic'!$A$2:$B$8,2,FALSE)&amp;"]")),FALSE)),
IF($J$2="Combined",
IFERROR(
IF(VLOOKUP($A547, YES_Reading_ELA[], COLUMN(INDIRECT("YES_Reading_ELA[Max Expectation - Per "&amp;VLOOKUP($D$2, 'Reading Report Logic'!$A$2:$B$8,2,FALSE)&amp;"]")), FALSE)="", "",
VLOOKUP($A547,YES_Reading_ELA[],COLUMN(INDIRECT("YES_Reading_ELA[Max Expectation - Per "&amp;VLOOKUP($D$2,'Reading Report Logic'!$A$2:$B$8,2,FALSE)&amp;"]")),FALSE)),
IF(VLOOKUP($A547, YES_Reading_FLA[], COLUMN(INDIRECT("YES_Reading_FLA[Max Expectation - Per "&amp;VLOOKUP($D$2, 'Reading Report Logic'!$A$2:$B$8, 2, FALSE)&amp;"]")),FALSE)="", "", VLOOKUP($A547,YES_Reading_FLA[],COLUMN(INDIRECT("YES_Reading_FLA[Max Expectation - Per "&amp;VLOOKUP($D$2, 'Reading Report Logic'!$A$2:$B$8, 2, FALSE)&amp;"]")),FALSE))),""))),"")</f>
        <v/>
      </c>
      <c r="G547" s="205" t="str" cm="1">
        <f t="array" aca="1" ref="G547" ca="1">IFERROR(
IF($J$2="ELA",
IF(VLOOKUP($A547, YES_Reading_ELA[], COLUMN(INDIRECT("YES_Reading_ELA[Difference - Per "&amp;VLOOKUP($D$2, 'Reading Report Logic'!$A$2:$B$8, 2, FALSE)&amp;"]")), FALSE)="", "",
VLOOKUP($A547,YES_Reading_ELA[], COLUMN(INDIRECT("YES_Reading_ELA[Difference - Per "&amp;VLOOKUP($D$2,'Reading Report Logic'!$A$2:$B$8,2,FALSE)&amp;"]")), FALSE)),
IF($J$2="FLA",
IF(VLOOKUP($A547, YES_Reading_FLA[], COLUMN(INDIRECT("YES_Reading_FLA[Difference - Per "&amp;VLOOKUP($D$2,'Reading Report Logic'!$A$2:$B$8,2,FALSE)&amp;"]")),FALSE)="","",
VLOOKUP($A547,YES_Reading_FLA[],COLUMN(INDIRECT("YES_Reading_FLA[Difference - Per "&amp;VLOOKUP($D$2,'Reading Report Logic'!$A$2:$B$8,2,FALSE)&amp;"]")),FALSE)),
IF($J$2="Combined",
IFERROR(
IF(VLOOKUP($A547, YES_Reading_ELA[], COLUMN(INDIRECT("YES_Reading_ELA[Difference - Per "&amp;VLOOKUP($D$2, 'Reading Report Logic'!$A$2:$B$8,2,FALSE)&amp;"]")), FALSE)="", "",
VLOOKUP($A547,YES_Reading_ELA[],COLUMN(INDIRECT("YES_Reading_ELA[Difference - Per "&amp;VLOOKUP($D$2,'Reading Report Logic'!$A$2:$B$8,2,FALSE)&amp;"]")),FALSE)),
IF(VLOOKUP($A547, YES_Reading_FLA[], COLUMN(INDIRECT("YES_Reading_FLA[Difference - Per "&amp;VLOOKUP($D$2, 'Reading Report Logic'!$A$2:$B$8, 2, FALSE)&amp;"]")),FALSE)="", "", VLOOKUP($A547,YES_Reading_FLA[],COLUMN(INDIRECT("YES_Reading_FLA[Difference - Per "&amp;VLOOKUP($D$2, 'Reading Report Logic'!$A$2:$B$8, 2, FALSE)&amp;"]")),FALSE))),""))),"")</f>
        <v/>
      </c>
      <c r="H547" s="206" t="str">
        <f ca="1">IFERROR(VLOOKUP('Teacher Reading Pull Sheets'!$D547,_xlfn.VSTACK('ELA Reading Logic'!$A$22:$B$48,'FLA Reading Logic'!$A$22:$B$53),2,FALSE)-VLOOKUP('Teacher Reading Pull Sheets'!$C547,_xlfn.VSTACK('ELA Reading Logic'!$A$22:$B$48,'FLA Reading Logic'!$A$22:$B$53),2,FALSE),"")</f>
        <v/>
      </c>
      <c r="I547" s="212"/>
      <c r="J547" s="206"/>
      <c r="K547" s="197" t="str" cm="1">
        <f t="array" ref="K547">IFERROR(
IF($J$2="ELA",
IF(VLOOKUP($A547, YES_Reading_ELA[], COLUMN(YES_Reading_ELA[Self-Identified as African Descent]), FALSE)="", "",
VLOOKUP($A547,YES_Reading_ELA[], COLUMN(YES_Reading_ELA[Self-Identified as African Descent]), FALSE)),
IF($J$2="FLA",
IF(VLOOKUP($A547, YES_Reading_FLA[], COLUMN(YES_Reading_FLA[Self-Identified as African Descent]),FALSE)="","",
VLOOKUP($A547,YES_Reading_FLA[],COLUMN(YES_Reading_FLA[Self-Identified as African Descent]),FALSE)),
IF($J$2="Combined",
IFERROR(
IF(VLOOKUP($A547, YES_Reading_ELA[], COLUMN(YES_Reading_ELA[Self-Identified as African Descent]), FALSE)="", "",
VLOOKUP($A547,YES_Reading_ELA[],COLUMN(YES_Reading_ELA[Self-Identified as African Descent]),FALSE)),
IF(VLOOKUP($A547, YES_Reading_FLA[], COLUMN(YES_Reading_FLA[Self-Identified as African Descent]),FALSE)="", "", VLOOKUP($A547,YES_Reading_FLA[],COLUMN(YES_Reading_FLA[Self-Identified as African Descent]),FALSE))),""))),"")</f>
        <v/>
      </c>
      <c r="L547" s="73" t="str" cm="1">
        <f t="array" ref="L547">IFERROR(
IF($J$2="ELA",
IF(VLOOKUP($A547, YES_Reading_ELA[], COLUMN(YES_Reading_ELA[Self-Identified as Indigenous]), FALSE)="", "",
VLOOKUP($A547,YES_Reading_ELA[], COLUMN(YES_Reading_ELA[Self-Identified as Indigenous]), FALSE)),
IF($J$2="FLA",
IF(VLOOKUP($A547, YES_Reading_FLA[], COLUMN(YES_Reading_FLA[Self-Identified as Indigenous]),FALSE)="","",
VLOOKUP($A547,YES_Reading_FLA[],COLUMN(YES_Reading_FLA[Self-Identified as Indigenous]),FALSE)),
IF($J$2="Combined",
IFERROR(
IF(VLOOKUP($A547, YES_Reading_ELA[], COLUMN(YES_Reading_ELA[Self-Identified as Indigenous]), FALSE)="", "",
VLOOKUP($A547,YES_Reading_ELA[],COLUMN(YES_Reading_ELA[Self-Identified as Indigenous]),FALSE)),
IF(VLOOKUP($A547, YES_Reading_FLA[], COLUMN(YES_Reading_FLA[Self-Identified as Indigenous]),FALSE)="", "", VLOOKUP($A547,YES_Reading_FLA[],COLUMN(YES_Reading_FLA[Self-Identified as Indigenous]),FALSE))),""))),"")</f>
        <v/>
      </c>
    </row>
    <row r="548" spans="1:12" ht="19.5" customHeight="1" x14ac:dyDescent="0.25">
      <c r="A548" s="217"/>
      <c r="B548" s="220" t="str">
        <f>IFERROR(VLOOKUP(A548,_xlfn.VSTACK(YES_Reading_ELA[],YES_Reading_FLA[]),2,FALSE),"")</f>
        <v/>
      </c>
      <c r="C548" s="203" t="str" cm="1">
        <f t="array" aca="1" ref="C548" ca="1">IFERROR(
IF($J$2="ELA",
IF(VLOOKUP($A548, YES_Reading_ELA[], COLUMN(IF(VLOOKUP($D$2, 'Reading Report Logic'!$A$2:$B$8, 2, FALSE)=1, YES_Reading_ELA[Reading Level June of Previous School Year], INDIRECT("YES_Reading_ELA[Instructional Reading Level - Per "&amp;(VLOOKUP($D$2,'Reading Report Logic'!$A$2:$B$8,2,FALSE)-1)&amp;"]"))), FALSE)="", "",
VLOOKUP($A548,YES_Reading_ELA[], COLUMN(IF(VLOOKUP($D$2,'Reading Report Logic'!$A$2:$B$8,2,FALSE)=1, YES_Reading_ELA[Reading Level June of Previous School Year],INDIRECT("YES_Reading_ELA[Instructional Reading Level - Per "&amp;(VLOOKUP($D$2,'Reading Report Logic'!$A$2:$B$8,2,FALSE)-1)&amp;"]"))), FALSE)),
IF($J$2="FLA",
IF(VLOOKUP($A548, YES_Reading_FLA[], COLUMN(IF(VLOOKUP($D$2,'Reading Report Logic'!$A$2:$B$8,2,FALSE)=1, YES_Reading_FLA[Reading Level June of Previous School Year],INDIRECT("YES_Reading_FLA[Instructional Reading Level - Per "&amp;(VLOOKUP($D$2,'Reading Report Logic'!$A$2:$B$8,2,FALSE)-1)&amp;"]"))),FALSE)="","",
VLOOKUP($A548,YES_Reading_FLA[], COLUMN(IF(VLOOKUP($D$2,'Reading Report Logic'!$A$2:$B$8,2,FALSE)=1, YES_Reading_FLA[Reading Level June of Previous School Year],INDIRECT("YES_Reading_FLA[Instructional Reading Level - Per "&amp;(VLOOKUP($D$2,'Reading Report Logic'!$A$2:$B$8,2,FALSE)-1)&amp;"]"))),FALSE)),
IF($J$2="Combined",
IFERROR(
IF(VLOOKUP($A548, YES_Reading_ELA[], COLUMN(IF(VLOOKUP($D$2,'Reading Report Logic'!$A$2:$B$8,2,FALSE)=1, YES_Reading_ELA[Reading Level June of Previous School Year],INDIRECT("YES_Reading_ELA[Instructional Reading Level - Per "&amp;(VLOOKUP($D$2,'Reading Report Logic'!$A$2:$B$8,2,FALSE)-1)&amp;"]"))), FALSE)="", "",
VLOOKUP($A548,YES_Reading_ELA[],COLUMN(IF(VLOOKUP($D$2,'Reading Report Logic'!$A$2:$B$8,2,FALSE)=1, YES_Reading_ELA[Reading Level June of Previous School Year],INDIRECT("YES_Reading_ELA[Instructional Reading Level - Per "&amp;(VLOOKUP($D$2,'Reading Report Logic'!$A$2:$B$8,2,FALSE)-1)&amp;"]"))),FALSE)),
IF(VLOOKUP($A548, YES_Reading_FLA[], COLUMN(IF(VLOOKUP($D$2,'Reading Report Logic'!$A$2:$B$8,2,FALSE)=1, YES_Reading_FLA[Reading Level June of Previous School Year],INDIRECT("YES_Reading_FLA[Instructional Reading Level - Per "&amp;(VLOOKUP($D$2,'Reading Report Logic'!$A$2:$B$8,2,FALSE)-1)&amp;"]"))),FALSE)="", "", VLOOKUP($A548,YES_Reading_FLA[],COLUMN(IF(VLOOKUP($D$2,'Reading Report Logic'!$A$2:$B$8,2,FALSE)=1, YES_Reading_FLA[Reading Level June of Previous School Year],INDIRECT("YES_Reading_FLA[Instructional Reading Level - Per "&amp;(VLOOKUP($D$2,'Reading Report Logic'!$A$2:$B$8,2,FALSE)-1)&amp;"]"))), FALSE))),""))),"")</f>
        <v/>
      </c>
      <c r="D548" s="204" t="str" cm="1">
        <f t="array" aca="1" ref="D548" ca="1">IFERROR(
IF($J$2="ELA",
IF(VLOOKUP($A548, YES_Reading_ELA[], COLUMN(INDIRECT("YES_Reading_ELA[Instructional Reading Level - Per "&amp;VLOOKUP($D$2, 'Reading Report Logic'!$A$2:$B$8, 2, FALSE)&amp;"]")), FALSE)="", "",
VLOOKUP($A548,YES_Reading_ELA[], COLUMN(INDIRECT("YES_Reading_ELA[Instructional Reading Level - Per "&amp;VLOOKUP($D$2,'Reading Report Logic'!$A$2:$B$8,2,FALSE)&amp;"]")), FALSE)),
IF($J$2="FLA",
IF(VLOOKUP($A548, YES_Reading_FLA[], COLUMN(INDIRECT("YES_Reading_FLA[Instructional Reading Level - Per "&amp;VLOOKUP($D$2,'Reading Report Logic'!$A$2:$B$8,2,FALSE)&amp;"]")),FALSE)="","",
VLOOKUP($A548,YES_Reading_FLA[],COLUMN(INDIRECT("YES_Reading_FLA[Instructional Reading Level - Per "&amp;VLOOKUP($D$2,'Reading Report Logic'!$A$2:$B$8,2,FALSE)&amp;"]")),FALSE)),
IF($J$2="Combined",
IFERROR(
IF(VLOOKUP($A548, YES_Reading_ELA[], COLUMN(INDIRECT("YES_Reading_ELA[Instructional Reading Level - Per "&amp;VLOOKUP($D$2, 'Reading Report Logic'!$A$2:$B$8,2,FALSE)&amp;"]")), FALSE)="", "",
VLOOKUP($A548,YES_Reading_ELA[],COLUMN(INDIRECT("YES_Reading_ELA[Instructional Reading Level - Per "&amp;VLOOKUP($D$2,'Reading Report Logic'!$A$2:$B$8,2,FALSE)&amp;"]")),FALSE)),
IF(VLOOKUP($A548, YES_Reading_FLA[], COLUMN(INDIRECT("YES_Reading_FLA[Instructional Reading Level - Per "&amp;VLOOKUP($D$2, 'Reading Report Logic'!$A$2:$B$8, 2, FALSE)&amp;"]")),FALSE)="", "", VLOOKUP($A548,YES_Reading_FLA[],COLUMN(INDIRECT("YES_Reading_FLA[Instructional Reading Level - Per "&amp;VLOOKUP($D$2, 'Reading Report Logic'!$A$2:$B$8, 2, FALSE)&amp;"]")),FALSE))),""))),"")</f>
        <v/>
      </c>
      <c r="E548" s="205" t="str" cm="1">
        <f t="array" aca="1" ref="E548" ca="1">IFERROR(
IF($J$2="ELA",
IF(VLOOKUP($A548, YES_Reading_ELA[], COLUMN(INDIRECT("YES_Reading_ELA[Min Expectation - Per "&amp;VLOOKUP($D$2, 'Reading Report Logic'!$A$2:$B$8, 2, FALSE)&amp;"]")), FALSE)="", "",
VLOOKUP($A548,YES_Reading_ELA[], COLUMN(INDIRECT("YES_Reading_ELA[Min Expectation - Per "&amp;VLOOKUP($D$2,'Reading Report Logic'!$A$2:$B$8,2,FALSE)&amp;"]")), FALSE)),
IF($J$2="FLA",
IF(VLOOKUP($A548, YES_Reading_FLA[], COLUMN(INDIRECT("YES_Reading_FLA[Min Expectation - Per "&amp;VLOOKUP($D$2,'Reading Report Logic'!$A$2:$B$8,2,FALSE)&amp;"]")),FALSE)="","",
VLOOKUP($A548,YES_Reading_FLA[],COLUMN(INDIRECT("YES_Reading_FLA[Min Expectation - Per "&amp;VLOOKUP($D$2,'Reading Report Logic'!$A$2:$B$8,2,FALSE)&amp;"]")),FALSE)),
IF($J$2="Combined",
IFERROR(
IF(VLOOKUP($A548, YES_Reading_ELA[], COLUMN(INDIRECT("YES_Reading_ELA[Min Expectation - Per "&amp;VLOOKUP($D$2, 'Reading Report Logic'!$A$2:$B$8,2,FALSE)&amp;"]")), FALSE)="", "",
VLOOKUP($A548,YES_Reading_ELA[],COLUMN(INDIRECT("YES_Reading_ELA[Min Expectation - Per "&amp;VLOOKUP($D$2,'Reading Report Logic'!$A$2:$B$8,2,FALSE)&amp;"]")),FALSE)),
IF(VLOOKUP($A548, YES_Reading_FLA[], COLUMN(INDIRECT("YES_Reading_FLA[Min Expectation - Per "&amp;VLOOKUP($D$2, 'Reading Report Logic'!$A$2:$B$8, 2, FALSE)&amp;"]")),FALSE)="", "", VLOOKUP($A548,YES_Reading_FLA[],COLUMN(INDIRECT("YES_Reading_FLA[Min Expectation - Per "&amp;VLOOKUP($D$2, 'Reading Report Logic'!$A$2:$B$8, 2, FALSE)&amp;"]")),FALSE))),""))),"")</f>
        <v/>
      </c>
      <c r="F548" s="205" t="str" cm="1">
        <f t="array" aca="1" ref="F548" ca="1">IFERROR(
IF($J$2="ELA",
IF(VLOOKUP($A548, YES_Reading_ELA[], COLUMN(INDIRECT("YES_Reading_ELA[Max Expectation - Per "&amp;VLOOKUP($D$2, 'Reading Report Logic'!$A$2:$B$8, 2, FALSE)&amp;"]")), FALSE)="", "",
VLOOKUP($A548,YES_Reading_ELA[], COLUMN(INDIRECT("YES_Reading_ELA[Max Expectation - Per "&amp;VLOOKUP($D$2,'Reading Report Logic'!$A$2:$B$8,2,FALSE)&amp;"]")), FALSE)),
IF($J$2="FLA",
IF(VLOOKUP($A548, YES_Reading_FLA[], COLUMN(INDIRECT("YES_Reading_FLA[Max Expectation - Per "&amp;VLOOKUP($D$2,'Reading Report Logic'!$A$2:$B$8,2,FALSE)&amp;"]")),FALSE)="","",
VLOOKUP($A548,YES_Reading_FLA[],COLUMN(INDIRECT("YES_Reading_FLA[Max Expectation - Per "&amp;VLOOKUP($D$2,'Reading Report Logic'!$A$2:$B$8,2,FALSE)&amp;"]")),FALSE)),
IF($J$2="Combined",
IFERROR(
IF(VLOOKUP($A548, YES_Reading_ELA[], COLUMN(INDIRECT("YES_Reading_ELA[Max Expectation - Per "&amp;VLOOKUP($D$2, 'Reading Report Logic'!$A$2:$B$8,2,FALSE)&amp;"]")), FALSE)="", "",
VLOOKUP($A548,YES_Reading_ELA[],COLUMN(INDIRECT("YES_Reading_ELA[Max Expectation - Per "&amp;VLOOKUP($D$2,'Reading Report Logic'!$A$2:$B$8,2,FALSE)&amp;"]")),FALSE)),
IF(VLOOKUP($A548, YES_Reading_FLA[], COLUMN(INDIRECT("YES_Reading_FLA[Max Expectation - Per "&amp;VLOOKUP($D$2, 'Reading Report Logic'!$A$2:$B$8, 2, FALSE)&amp;"]")),FALSE)="", "", VLOOKUP($A548,YES_Reading_FLA[],COLUMN(INDIRECT("YES_Reading_FLA[Max Expectation - Per "&amp;VLOOKUP($D$2, 'Reading Report Logic'!$A$2:$B$8, 2, FALSE)&amp;"]")),FALSE))),""))),"")</f>
        <v/>
      </c>
      <c r="G548" s="205" t="str" cm="1">
        <f t="array" aca="1" ref="G548" ca="1">IFERROR(
IF($J$2="ELA",
IF(VLOOKUP($A548, YES_Reading_ELA[], COLUMN(INDIRECT("YES_Reading_ELA[Difference - Per "&amp;VLOOKUP($D$2, 'Reading Report Logic'!$A$2:$B$8, 2, FALSE)&amp;"]")), FALSE)="", "",
VLOOKUP($A548,YES_Reading_ELA[], COLUMN(INDIRECT("YES_Reading_ELA[Difference - Per "&amp;VLOOKUP($D$2,'Reading Report Logic'!$A$2:$B$8,2,FALSE)&amp;"]")), FALSE)),
IF($J$2="FLA",
IF(VLOOKUP($A548, YES_Reading_FLA[], COLUMN(INDIRECT("YES_Reading_FLA[Difference - Per "&amp;VLOOKUP($D$2,'Reading Report Logic'!$A$2:$B$8,2,FALSE)&amp;"]")),FALSE)="","",
VLOOKUP($A548,YES_Reading_FLA[],COLUMN(INDIRECT("YES_Reading_FLA[Difference - Per "&amp;VLOOKUP($D$2,'Reading Report Logic'!$A$2:$B$8,2,FALSE)&amp;"]")),FALSE)),
IF($J$2="Combined",
IFERROR(
IF(VLOOKUP($A548, YES_Reading_ELA[], COLUMN(INDIRECT("YES_Reading_ELA[Difference - Per "&amp;VLOOKUP($D$2, 'Reading Report Logic'!$A$2:$B$8,2,FALSE)&amp;"]")), FALSE)="", "",
VLOOKUP($A548,YES_Reading_ELA[],COLUMN(INDIRECT("YES_Reading_ELA[Difference - Per "&amp;VLOOKUP($D$2,'Reading Report Logic'!$A$2:$B$8,2,FALSE)&amp;"]")),FALSE)),
IF(VLOOKUP($A548, YES_Reading_FLA[], COLUMN(INDIRECT("YES_Reading_FLA[Difference - Per "&amp;VLOOKUP($D$2, 'Reading Report Logic'!$A$2:$B$8, 2, FALSE)&amp;"]")),FALSE)="", "", VLOOKUP($A548,YES_Reading_FLA[],COLUMN(INDIRECT("YES_Reading_FLA[Difference - Per "&amp;VLOOKUP($D$2, 'Reading Report Logic'!$A$2:$B$8, 2, FALSE)&amp;"]")),FALSE))),""))),"")</f>
        <v/>
      </c>
      <c r="H548" s="206" t="str">
        <f ca="1">IFERROR(VLOOKUP('Teacher Reading Pull Sheets'!$D548,_xlfn.VSTACK('ELA Reading Logic'!$A$22:$B$48,'FLA Reading Logic'!$A$22:$B$53),2,FALSE)-VLOOKUP('Teacher Reading Pull Sheets'!$C548,_xlfn.VSTACK('ELA Reading Logic'!$A$22:$B$48,'FLA Reading Logic'!$A$22:$B$53),2,FALSE),"")</f>
        <v/>
      </c>
      <c r="I548" s="212"/>
      <c r="J548" s="206"/>
      <c r="K548" s="197" t="str" cm="1">
        <f t="array" ref="K548">IFERROR(
IF($J$2="ELA",
IF(VLOOKUP($A548, YES_Reading_ELA[], COLUMN(YES_Reading_ELA[Self-Identified as African Descent]), FALSE)="", "",
VLOOKUP($A548,YES_Reading_ELA[], COLUMN(YES_Reading_ELA[Self-Identified as African Descent]), FALSE)),
IF($J$2="FLA",
IF(VLOOKUP($A548, YES_Reading_FLA[], COLUMN(YES_Reading_FLA[Self-Identified as African Descent]),FALSE)="","",
VLOOKUP($A548,YES_Reading_FLA[],COLUMN(YES_Reading_FLA[Self-Identified as African Descent]),FALSE)),
IF($J$2="Combined",
IFERROR(
IF(VLOOKUP($A548, YES_Reading_ELA[], COLUMN(YES_Reading_ELA[Self-Identified as African Descent]), FALSE)="", "",
VLOOKUP($A548,YES_Reading_ELA[],COLUMN(YES_Reading_ELA[Self-Identified as African Descent]),FALSE)),
IF(VLOOKUP($A548, YES_Reading_FLA[], COLUMN(YES_Reading_FLA[Self-Identified as African Descent]),FALSE)="", "", VLOOKUP($A548,YES_Reading_FLA[],COLUMN(YES_Reading_FLA[Self-Identified as African Descent]),FALSE))),""))),"")</f>
        <v/>
      </c>
      <c r="L548" s="73" t="str" cm="1">
        <f t="array" ref="L548">IFERROR(
IF($J$2="ELA",
IF(VLOOKUP($A548, YES_Reading_ELA[], COLUMN(YES_Reading_ELA[Self-Identified as Indigenous]), FALSE)="", "",
VLOOKUP($A548,YES_Reading_ELA[], COLUMN(YES_Reading_ELA[Self-Identified as Indigenous]), FALSE)),
IF($J$2="FLA",
IF(VLOOKUP($A548, YES_Reading_FLA[], COLUMN(YES_Reading_FLA[Self-Identified as Indigenous]),FALSE)="","",
VLOOKUP($A548,YES_Reading_FLA[],COLUMN(YES_Reading_FLA[Self-Identified as Indigenous]),FALSE)),
IF($J$2="Combined",
IFERROR(
IF(VLOOKUP($A548, YES_Reading_ELA[], COLUMN(YES_Reading_ELA[Self-Identified as Indigenous]), FALSE)="", "",
VLOOKUP($A548,YES_Reading_ELA[],COLUMN(YES_Reading_ELA[Self-Identified as Indigenous]),FALSE)),
IF(VLOOKUP($A548, YES_Reading_FLA[], COLUMN(YES_Reading_FLA[Self-Identified as Indigenous]),FALSE)="", "", VLOOKUP($A548,YES_Reading_FLA[],COLUMN(YES_Reading_FLA[Self-Identified as Indigenous]),FALSE))),""))),"")</f>
        <v/>
      </c>
    </row>
    <row r="549" spans="1:12" ht="19.5" customHeight="1" x14ac:dyDescent="0.25">
      <c r="A549" s="217"/>
      <c r="B549" s="220" t="str">
        <f>IFERROR(VLOOKUP(A549,_xlfn.VSTACK(YES_Reading_ELA[],YES_Reading_FLA[]),2,FALSE),"")</f>
        <v/>
      </c>
      <c r="C549" s="203" t="str" cm="1">
        <f t="array" aca="1" ref="C549" ca="1">IFERROR(
IF($J$2="ELA",
IF(VLOOKUP($A549, YES_Reading_ELA[], COLUMN(IF(VLOOKUP($D$2, 'Reading Report Logic'!$A$2:$B$8, 2, FALSE)=1, YES_Reading_ELA[Reading Level June of Previous School Year], INDIRECT("YES_Reading_ELA[Instructional Reading Level - Per "&amp;(VLOOKUP($D$2,'Reading Report Logic'!$A$2:$B$8,2,FALSE)-1)&amp;"]"))), FALSE)="", "",
VLOOKUP($A549,YES_Reading_ELA[], COLUMN(IF(VLOOKUP($D$2,'Reading Report Logic'!$A$2:$B$8,2,FALSE)=1, YES_Reading_ELA[Reading Level June of Previous School Year],INDIRECT("YES_Reading_ELA[Instructional Reading Level - Per "&amp;(VLOOKUP($D$2,'Reading Report Logic'!$A$2:$B$8,2,FALSE)-1)&amp;"]"))), FALSE)),
IF($J$2="FLA",
IF(VLOOKUP($A549, YES_Reading_FLA[], COLUMN(IF(VLOOKUP($D$2,'Reading Report Logic'!$A$2:$B$8,2,FALSE)=1, YES_Reading_FLA[Reading Level June of Previous School Year],INDIRECT("YES_Reading_FLA[Instructional Reading Level - Per "&amp;(VLOOKUP($D$2,'Reading Report Logic'!$A$2:$B$8,2,FALSE)-1)&amp;"]"))),FALSE)="","",
VLOOKUP($A549,YES_Reading_FLA[], COLUMN(IF(VLOOKUP($D$2,'Reading Report Logic'!$A$2:$B$8,2,FALSE)=1, YES_Reading_FLA[Reading Level June of Previous School Year],INDIRECT("YES_Reading_FLA[Instructional Reading Level - Per "&amp;(VLOOKUP($D$2,'Reading Report Logic'!$A$2:$B$8,2,FALSE)-1)&amp;"]"))),FALSE)),
IF($J$2="Combined",
IFERROR(
IF(VLOOKUP($A549, YES_Reading_ELA[], COLUMN(IF(VLOOKUP($D$2,'Reading Report Logic'!$A$2:$B$8,2,FALSE)=1, YES_Reading_ELA[Reading Level June of Previous School Year],INDIRECT("YES_Reading_ELA[Instructional Reading Level - Per "&amp;(VLOOKUP($D$2,'Reading Report Logic'!$A$2:$B$8,2,FALSE)-1)&amp;"]"))), FALSE)="", "",
VLOOKUP($A549,YES_Reading_ELA[],COLUMN(IF(VLOOKUP($D$2,'Reading Report Logic'!$A$2:$B$8,2,FALSE)=1, YES_Reading_ELA[Reading Level June of Previous School Year],INDIRECT("YES_Reading_ELA[Instructional Reading Level - Per "&amp;(VLOOKUP($D$2,'Reading Report Logic'!$A$2:$B$8,2,FALSE)-1)&amp;"]"))),FALSE)),
IF(VLOOKUP($A549, YES_Reading_FLA[], COLUMN(IF(VLOOKUP($D$2,'Reading Report Logic'!$A$2:$B$8,2,FALSE)=1, YES_Reading_FLA[Reading Level June of Previous School Year],INDIRECT("YES_Reading_FLA[Instructional Reading Level - Per "&amp;(VLOOKUP($D$2,'Reading Report Logic'!$A$2:$B$8,2,FALSE)-1)&amp;"]"))),FALSE)="", "", VLOOKUP($A549,YES_Reading_FLA[],COLUMN(IF(VLOOKUP($D$2,'Reading Report Logic'!$A$2:$B$8,2,FALSE)=1, YES_Reading_FLA[Reading Level June of Previous School Year],INDIRECT("YES_Reading_FLA[Instructional Reading Level - Per "&amp;(VLOOKUP($D$2,'Reading Report Logic'!$A$2:$B$8,2,FALSE)-1)&amp;"]"))), FALSE))),""))),"")</f>
        <v/>
      </c>
      <c r="D549" s="204" t="str" cm="1">
        <f t="array" aca="1" ref="D549" ca="1">IFERROR(
IF($J$2="ELA",
IF(VLOOKUP($A549, YES_Reading_ELA[], COLUMN(INDIRECT("YES_Reading_ELA[Instructional Reading Level - Per "&amp;VLOOKUP($D$2, 'Reading Report Logic'!$A$2:$B$8, 2, FALSE)&amp;"]")), FALSE)="", "",
VLOOKUP($A549,YES_Reading_ELA[], COLUMN(INDIRECT("YES_Reading_ELA[Instructional Reading Level - Per "&amp;VLOOKUP($D$2,'Reading Report Logic'!$A$2:$B$8,2,FALSE)&amp;"]")), FALSE)),
IF($J$2="FLA",
IF(VLOOKUP($A549, YES_Reading_FLA[], COLUMN(INDIRECT("YES_Reading_FLA[Instructional Reading Level - Per "&amp;VLOOKUP($D$2,'Reading Report Logic'!$A$2:$B$8,2,FALSE)&amp;"]")),FALSE)="","",
VLOOKUP($A549,YES_Reading_FLA[],COLUMN(INDIRECT("YES_Reading_FLA[Instructional Reading Level - Per "&amp;VLOOKUP($D$2,'Reading Report Logic'!$A$2:$B$8,2,FALSE)&amp;"]")),FALSE)),
IF($J$2="Combined",
IFERROR(
IF(VLOOKUP($A549, YES_Reading_ELA[], COLUMN(INDIRECT("YES_Reading_ELA[Instructional Reading Level - Per "&amp;VLOOKUP($D$2, 'Reading Report Logic'!$A$2:$B$8,2,FALSE)&amp;"]")), FALSE)="", "",
VLOOKUP($A549,YES_Reading_ELA[],COLUMN(INDIRECT("YES_Reading_ELA[Instructional Reading Level - Per "&amp;VLOOKUP($D$2,'Reading Report Logic'!$A$2:$B$8,2,FALSE)&amp;"]")),FALSE)),
IF(VLOOKUP($A549, YES_Reading_FLA[], COLUMN(INDIRECT("YES_Reading_FLA[Instructional Reading Level - Per "&amp;VLOOKUP($D$2, 'Reading Report Logic'!$A$2:$B$8, 2, FALSE)&amp;"]")),FALSE)="", "", VLOOKUP($A549,YES_Reading_FLA[],COLUMN(INDIRECT("YES_Reading_FLA[Instructional Reading Level - Per "&amp;VLOOKUP($D$2, 'Reading Report Logic'!$A$2:$B$8, 2, FALSE)&amp;"]")),FALSE))),""))),"")</f>
        <v/>
      </c>
      <c r="E549" s="205" t="str" cm="1">
        <f t="array" aca="1" ref="E549" ca="1">IFERROR(
IF($J$2="ELA",
IF(VLOOKUP($A549, YES_Reading_ELA[], COLUMN(INDIRECT("YES_Reading_ELA[Min Expectation - Per "&amp;VLOOKUP($D$2, 'Reading Report Logic'!$A$2:$B$8, 2, FALSE)&amp;"]")), FALSE)="", "",
VLOOKUP($A549,YES_Reading_ELA[], COLUMN(INDIRECT("YES_Reading_ELA[Min Expectation - Per "&amp;VLOOKUP($D$2,'Reading Report Logic'!$A$2:$B$8,2,FALSE)&amp;"]")), FALSE)),
IF($J$2="FLA",
IF(VLOOKUP($A549, YES_Reading_FLA[], COLUMN(INDIRECT("YES_Reading_FLA[Min Expectation - Per "&amp;VLOOKUP($D$2,'Reading Report Logic'!$A$2:$B$8,2,FALSE)&amp;"]")),FALSE)="","",
VLOOKUP($A549,YES_Reading_FLA[],COLUMN(INDIRECT("YES_Reading_FLA[Min Expectation - Per "&amp;VLOOKUP($D$2,'Reading Report Logic'!$A$2:$B$8,2,FALSE)&amp;"]")),FALSE)),
IF($J$2="Combined",
IFERROR(
IF(VLOOKUP($A549, YES_Reading_ELA[], COLUMN(INDIRECT("YES_Reading_ELA[Min Expectation - Per "&amp;VLOOKUP($D$2, 'Reading Report Logic'!$A$2:$B$8,2,FALSE)&amp;"]")), FALSE)="", "",
VLOOKUP($A549,YES_Reading_ELA[],COLUMN(INDIRECT("YES_Reading_ELA[Min Expectation - Per "&amp;VLOOKUP($D$2,'Reading Report Logic'!$A$2:$B$8,2,FALSE)&amp;"]")),FALSE)),
IF(VLOOKUP($A549, YES_Reading_FLA[], COLUMN(INDIRECT("YES_Reading_FLA[Min Expectation - Per "&amp;VLOOKUP($D$2, 'Reading Report Logic'!$A$2:$B$8, 2, FALSE)&amp;"]")),FALSE)="", "", VLOOKUP($A549,YES_Reading_FLA[],COLUMN(INDIRECT("YES_Reading_FLA[Min Expectation - Per "&amp;VLOOKUP($D$2, 'Reading Report Logic'!$A$2:$B$8, 2, FALSE)&amp;"]")),FALSE))),""))),"")</f>
        <v/>
      </c>
      <c r="F549" s="205" t="str" cm="1">
        <f t="array" aca="1" ref="F549" ca="1">IFERROR(
IF($J$2="ELA",
IF(VLOOKUP($A549, YES_Reading_ELA[], COLUMN(INDIRECT("YES_Reading_ELA[Max Expectation - Per "&amp;VLOOKUP($D$2, 'Reading Report Logic'!$A$2:$B$8, 2, FALSE)&amp;"]")), FALSE)="", "",
VLOOKUP($A549,YES_Reading_ELA[], COLUMN(INDIRECT("YES_Reading_ELA[Max Expectation - Per "&amp;VLOOKUP($D$2,'Reading Report Logic'!$A$2:$B$8,2,FALSE)&amp;"]")), FALSE)),
IF($J$2="FLA",
IF(VLOOKUP($A549, YES_Reading_FLA[], COLUMN(INDIRECT("YES_Reading_FLA[Max Expectation - Per "&amp;VLOOKUP($D$2,'Reading Report Logic'!$A$2:$B$8,2,FALSE)&amp;"]")),FALSE)="","",
VLOOKUP($A549,YES_Reading_FLA[],COLUMN(INDIRECT("YES_Reading_FLA[Max Expectation - Per "&amp;VLOOKUP($D$2,'Reading Report Logic'!$A$2:$B$8,2,FALSE)&amp;"]")),FALSE)),
IF($J$2="Combined",
IFERROR(
IF(VLOOKUP($A549, YES_Reading_ELA[], COLUMN(INDIRECT("YES_Reading_ELA[Max Expectation - Per "&amp;VLOOKUP($D$2, 'Reading Report Logic'!$A$2:$B$8,2,FALSE)&amp;"]")), FALSE)="", "",
VLOOKUP($A549,YES_Reading_ELA[],COLUMN(INDIRECT("YES_Reading_ELA[Max Expectation - Per "&amp;VLOOKUP($D$2,'Reading Report Logic'!$A$2:$B$8,2,FALSE)&amp;"]")),FALSE)),
IF(VLOOKUP($A549, YES_Reading_FLA[], COLUMN(INDIRECT("YES_Reading_FLA[Max Expectation - Per "&amp;VLOOKUP($D$2, 'Reading Report Logic'!$A$2:$B$8, 2, FALSE)&amp;"]")),FALSE)="", "", VLOOKUP($A549,YES_Reading_FLA[],COLUMN(INDIRECT("YES_Reading_FLA[Max Expectation - Per "&amp;VLOOKUP($D$2, 'Reading Report Logic'!$A$2:$B$8, 2, FALSE)&amp;"]")),FALSE))),""))),"")</f>
        <v/>
      </c>
      <c r="G549" s="205" t="str" cm="1">
        <f t="array" aca="1" ref="G549" ca="1">IFERROR(
IF($J$2="ELA",
IF(VLOOKUP($A549, YES_Reading_ELA[], COLUMN(INDIRECT("YES_Reading_ELA[Difference - Per "&amp;VLOOKUP($D$2, 'Reading Report Logic'!$A$2:$B$8, 2, FALSE)&amp;"]")), FALSE)="", "",
VLOOKUP($A549,YES_Reading_ELA[], COLUMN(INDIRECT("YES_Reading_ELA[Difference - Per "&amp;VLOOKUP($D$2,'Reading Report Logic'!$A$2:$B$8,2,FALSE)&amp;"]")), FALSE)),
IF($J$2="FLA",
IF(VLOOKUP($A549, YES_Reading_FLA[], COLUMN(INDIRECT("YES_Reading_FLA[Difference - Per "&amp;VLOOKUP($D$2,'Reading Report Logic'!$A$2:$B$8,2,FALSE)&amp;"]")),FALSE)="","",
VLOOKUP($A549,YES_Reading_FLA[],COLUMN(INDIRECT("YES_Reading_FLA[Difference - Per "&amp;VLOOKUP($D$2,'Reading Report Logic'!$A$2:$B$8,2,FALSE)&amp;"]")),FALSE)),
IF($J$2="Combined",
IFERROR(
IF(VLOOKUP($A549, YES_Reading_ELA[], COLUMN(INDIRECT("YES_Reading_ELA[Difference - Per "&amp;VLOOKUP($D$2, 'Reading Report Logic'!$A$2:$B$8,2,FALSE)&amp;"]")), FALSE)="", "",
VLOOKUP($A549,YES_Reading_ELA[],COLUMN(INDIRECT("YES_Reading_ELA[Difference - Per "&amp;VLOOKUP($D$2,'Reading Report Logic'!$A$2:$B$8,2,FALSE)&amp;"]")),FALSE)),
IF(VLOOKUP($A549, YES_Reading_FLA[], COLUMN(INDIRECT("YES_Reading_FLA[Difference - Per "&amp;VLOOKUP($D$2, 'Reading Report Logic'!$A$2:$B$8, 2, FALSE)&amp;"]")),FALSE)="", "", VLOOKUP($A549,YES_Reading_FLA[],COLUMN(INDIRECT("YES_Reading_FLA[Difference - Per "&amp;VLOOKUP($D$2, 'Reading Report Logic'!$A$2:$B$8, 2, FALSE)&amp;"]")),FALSE))),""))),"")</f>
        <v/>
      </c>
      <c r="H549" s="206" t="str">
        <f ca="1">IFERROR(VLOOKUP('Teacher Reading Pull Sheets'!$D549,_xlfn.VSTACK('ELA Reading Logic'!$A$22:$B$48,'FLA Reading Logic'!$A$22:$B$53),2,FALSE)-VLOOKUP('Teacher Reading Pull Sheets'!$C549,_xlfn.VSTACK('ELA Reading Logic'!$A$22:$B$48,'FLA Reading Logic'!$A$22:$B$53),2,FALSE),"")</f>
        <v/>
      </c>
      <c r="I549" s="212"/>
      <c r="J549" s="206"/>
      <c r="K549" s="197" t="str" cm="1">
        <f t="array" ref="K549">IFERROR(
IF($J$2="ELA",
IF(VLOOKUP($A549, YES_Reading_ELA[], COLUMN(YES_Reading_ELA[Self-Identified as African Descent]), FALSE)="", "",
VLOOKUP($A549,YES_Reading_ELA[], COLUMN(YES_Reading_ELA[Self-Identified as African Descent]), FALSE)),
IF($J$2="FLA",
IF(VLOOKUP($A549, YES_Reading_FLA[], COLUMN(YES_Reading_FLA[Self-Identified as African Descent]),FALSE)="","",
VLOOKUP($A549,YES_Reading_FLA[],COLUMN(YES_Reading_FLA[Self-Identified as African Descent]),FALSE)),
IF($J$2="Combined",
IFERROR(
IF(VLOOKUP($A549, YES_Reading_ELA[], COLUMN(YES_Reading_ELA[Self-Identified as African Descent]), FALSE)="", "",
VLOOKUP($A549,YES_Reading_ELA[],COLUMN(YES_Reading_ELA[Self-Identified as African Descent]),FALSE)),
IF(VLOOKUP($A549, YES_Reading_FLA[], COLUMN(YES_Reading_FLA[Self-Identified as African Descent]),FALSE)="", "", VLOOKUP($A549,YES_Reading_FLA[],COLUMN(YES_Reading_FLA[Self-Identified as African Descent]),FALSE))),""))),"")</f>
        <v/>
      </c>
      <c r="L549" s="73" t="str" cm="1">
        <f t="array" ref="L549">IFERROR(
IF($J$2="ELA",
IF(VLOOKUP($A549, YES_Reading_ELA[], COLUMN(YES_Reading_ELA[Self-Identified as Indigenous]), FALSE)="", "",
VLOOKUP($A549,YES_Reading_ELA[], COLUMN(YES_Reading_ELA[Self-Identified as Indigenous]), FALSE)),
IF($J$2="FLA",
IF(VLOOKUP($A549, YES_Reading_FLA[], COLUMN(YES_Reading_FLA[Self-Identified as Indigenous]),FALSE)="","",
VLOOKUP($A549,YES_Reading_FLA[],COLUMN(YES_Reading_FLA[Self-Identified as Indigenous]),FALSE)),
IF($J$2="Combined",
IFERROR(
IF(VLOOKUP($A549, YES_Reading_ELA[], COLUMN(YES_Reading_ELA[Self-Identified as Indigenous]), FALSE)="", "",
VLOOKUP($A549,YES_Reading_ELA[],COLUMN(YES_Reading_ELA[Self-Identified as Indigenous]),FALSE)),
IF(VLOOKUP($A549, YES_Reading_FLA[], COLUMN(YES_Reading_FLA[Self-Identified as Indigenous]),FALSE)="", "", VLOOKUP($A549,YES_Reading_FLA[],COLUMN(YES_Reading_FLA[Self-Identified as Indigenous]),FALSE))),""))),"")</f>
        <v/>
      </c>
    </row>
    <row r="550" spans="1:12" ht="19.5" customHeight="1" x14ac:dyDescent="0.25">
      <c r="A550" s="217"/>
      <c r="B550" s="220" t="str">
        <f>IFERROR(VLOOKUP(A550,_xlfn.VSTACK(YES_Reading_ELA[],YES_Reading_FLA[]),2,FALSE),"")</f>
        <v/>
      </c>
      <c r="C550" s="203" t="str" cm="1">
        <f t="array" aca="1" ref="C550" ca="1">IFERROR(
IF($J$2="ELA",
IF(VLOOKUP($A550, YES_Reading_ELA[], COLUMN(IF(VLOOKUP($D$2, 'Reading Report Logic'!$A$2:$B$8, 2, FALSE)=1, YES_Reading_ELA[Reading Level June of Previous School Year], INDIRECT("YES_Reading_ELA[Instructional Reading Level - Per "&amp;(VLOOKUP($D$2,'Reading Report Logic'!$A$2:$B$8,2,FALSE)-1)&amp;"]"))), FALSE)="", "",
VLOOKUP($A550,YES_Reading_ELA[], COLUMN(IF(VLOOKUP($D$2,'Reading Report Logic'!$A$2:$B$8,2,FALSE)=1, YES_Reading_ELA[Reading Level June of Previous School Year],INDIRECT("YES_Reading_ELA[Instructional Reading Level - Per "&amp;(VLOOKUP($D$2,'Reading Report Logic'!$A$2:$B$8,2,FALSE)-1)&amp;"]"))), FALSE)),
IF($J$2="FLA",
IF(VLOOKUP($A550, YES_Reading_FLA[], COLUMN(IF(VLOOKUP($D$2,'Reading Report Logic'!$A$2:$B$8,2,FALSE)=1, YES_Reading_FLA[Reading Level June of Previous School Year],INDIRECT("YES_Reading_FLA[Instructional Reading Level - Per "&amp;(VLOOKUP($D$2,'Reading Report Logic'!$A$2:$B$8,2,FALSE)-1)&amp;"]"))),FALSE)="","",
VLOOKUP($A550,YES_Reading_FLA[], COLUMN(IF(VLOOKUP($D$2,'Reading Report Logic'!$A$2:$B$8,2,FALSE)=1, YES_Reading_FLA[Reading Level June of Previous School Year],INDIRECT("YES_Reading_FLA[Instructional Reading Level - Per "&amp;(VLOOKUP($D$2,'Reading Report Logic'!$A$2:$B$8,2,FALSE)-1)&amp;"]"))),FALSE)),
IF($J$2="Combined",
IFERROR(
IF(VLOOKUP($A550, YES_Reading_ELA[], COLUMN(IF(VLOOKUP($D$2,'Reading Report Logic'!$A$2:$B$8,2,FALSE)=1, YES_Reading_ELA[Reading Level June of Previous School Year],INDIRECT("YES_Reading_ELA[Instructional Reading Level - Per "&amp;(VLOOKUP($D$2,'Reading Report Logic'!$A$2:$B$8,2,FALSE)-1)&amp;"]"))), FALSE)="", "",
VLOOKUP($A550,YES_Reading_ELA[],COLUMN(IF(VLOOKUP($D$2,'Reading Report Logic'!$A$2:$B$8,2,FALSE)=1, YES_Reading_ELA[Reading Level June of Previous School Year],INDIRECT("YES_Reading_ELA[Instructional Reading Level - Per "&amp;(VLOOKUP($D$2,'Reading Report Logic'!$A$2:$B$8,2,FALSE)-1)&amp;"]"))),FALSE)),
IF(VLOOKUP($A550, YES_Reading_FLA[], COLUMN(IF(VLOOKUP($D$2,'Reading Report Logic'!$A$2:$B$8,2,FALSE)=1, YES_Reading_FLA[Reading Level June of Previous School Year],INDIRECT("YES_Reading_FLA[Instructional Reading Level - Per "&amp;(VLOOKUP($D$2,'Reading Report Logic'!$A$2:$B$8,2,FALSE)-1)&amp;"]"))),FALSE)="", "", VLOOKUP($A550,YES_Reading_FLA[],COLUMN(IF(VLOOKUP($D$2,'Reading Report Logic'!$A$2:$B$8,2,FALSE)=1, YES_Reading_FLA[Reading Level June of Previous School Year],INDIRECT("YES_Reading_FLA[Instructional Reading Level - Per "&amp;(VLOOKUP($D$2,'Reading Report Logic'!$A$2:$B$8,2,FALSE)-1)&amp;"]"))), FALSE))),""))),"")</f>
        <v/>
      </c>
      <c r="D550" s="204" t="str" cm="1">
        <f t="array" aca="1" ref="D550" ca="1">IFERROR(
IF($J$2="ELA",
IF(VLOOKUP($A550, YES_Reading_ELA[], COLUMN(INDIRECT("YES_Reading_ELA[Instructional Reading Level - Per "&amp;VLOOKUP($D$2, 'Reading Report Logic'!$A$2:$B$8, 2, FALSE)&amp;"]")), FALSE)="", "",
VLOOKUP($A550,YES_Reading_ELA[], COLUMN(INDIRECT("YES_Reading_ELA[Instructional Reading Level - Per "&amp;VLOOKUP($D$2,'Reading Report Logic'!$A$2:$B$8,2,FALSE)&amp;"]")), FALSE)),
IF($J$2="FLA",
IF(VLOOKUP($A550, YES_Reading_FLA[], COLUMN(INDIRECT("YES_Reading_FLA[Instructional Reading Level - Per "&amp;VLOOKUP($D$2,'Reading Report Logic'!$A$2:$B$8,2,FALSE)&amp;"]")),FALSE)="","",
VLOOKUP($A550,YES_Reading_FLA[],COLUMN(INDIRECT("YES_Reading_FLA[Instructional Reading Level - Per "&amp;VLOOKUP($D$2,'Reading Report Logic'!$A$2:$B$8,2,FALSE)&amp;"]")),FALSE)),
IF($J$2="Combined",
IFERROR(
IF(VLOOKUP($A550, YES_Reading_ELA[], COLUMN(INDIRECT("YES_Reading_ELA[Instructional Reading Level - Per "&amp;VLOOKUP($D$2, 'Reading Report Logic'!$A$2:$B$8,2,FALSE)&amp;"]")), FALSE)="", "",
VLOOKUP($A550,YES_Reading_ELA[],COLUMN(INDIRECT("YES_Reading_ELA[Instructional Reading Level - Per "&amp;VLOOKUP($D$2,'Reading Report Logic'!$A$2:$B$8,2,FALSE)&amp;"]")),FALSE)),
IF(VLOOKUP($A550, YES_Reading_FLA[], COLUMN(INDIRECT("YES_Reading_FLA[Instructional Reading Level - Per "&amp;VLOOKUP($D$2, 'Reading Report Logic'!$A$2:$B$8, 2, FALSE)&amp;"]")),FALSE)="", "", VLOOKUP($A550,YES_Reading_FLA[],COLUMN(INDIRECT("YES_Reading_FLA[Instructional Reading Level - Per "&amp;VLOOKUP($D$2, 'Reading Report Logic'!$A$2:$B$8, 2, FALSE)&amp;"]")),FALSE))),""))),"")</f>
        <v/>
      </c>
      <c r="E550" s="205" t="str" cm="1">
        <f t="array" aca="1" ref="E550" ca="1">IFERROR(
IF($J$2="ELA",
IF(VLOOKUP($A550, YES_Reading_ELA[], COLUMN(INDIRECT("YES_Reading_ELA[Min Expectation - Per "&amp;VLOOKUP($D$2, 'Reading Report Logic'!$A$2:$B$8, 2, FALSE)&amp;"]")), FALSE)="", "",
VLOOKUP($A550,YES_Reading_ELA[], COLUMN(INDIRECT("YES_Reading_ELA[Min Expectation - Per "&amp;VLOOKUP($D$2,'Reading Report Logic'!$A$2:$B$8,2,FALSE)&amp;"]")), FALSE)),
IF($J$2="FLA",
IF(VLOOKUP($A550, YES_Reading_FLA[], COLUMN(INDIRECT("YES_Reading_FLA[Min Expectation - Per "&amp;VLOOKUP($D$2,'Reading Report Logic'!$A$2:$B$8,2,FALSE)&amp;"]")),FALSE)="","",
VLOOKUP($A550,YES_Reading_FLA[],COLUMN(INDIRECT("YES_Reading_FLA[Min Expectation - Per "&amp;VLOOKUP($D$2,'Reading Report Logic'!$A$2:$B$8,2,FALSE)&amp;"]")),FALSE)),
IF($J$2="Combined",
IFERROR(
IF(VLOOKUP($A550, YES_Reading_ELA[], COLUMN(INDIRECT("YES_Reading_ELA[Min Expectation - Per "&amp;VLOOKUP($D$2, 'Reading Report Logic'!$A$2:$B$8,2,FALSE)&amp;"]")), FALSE)="", "",
VLOOKUP($A550,YES_Reading_ELA[],COLUMN(INDIRECT("YES_Reading_ELA[Min Expectation - Per "&amp;VLOOKUP($D$2,'Reading Report Logic'!$A$2:$B$8,2,FALSE)&amp;"]")),FALSE)),
IF(VLOOKUP($A550, YES_Reading_FLA[], COLUMN(INDIRECT("YES_Reading_FLA[Min Expectation - Per "&amp;VLOOKUP($D$2, 'Reading Report Logic'!$A$2:$B$8, 2, FALSE)&amp;"]")),FALSE)="", "", VLOOKUP($A550,YES_Reading_FLA[],COLUMN(INDIRECT("YES_Reading_FLA[Min Expectation - Per "&amp;VLOOKUP($D$2, 'Reading Report Logic'!$A$2:$B$8, 2, FALSE)&amp;"]")),FALSE))),""))),"")</f>
        <v/>
      </c>
      <c r="F550" s="205" t="str" cm="1">
        <f t="array" aca="1" ref="F550" ca="1">IFERROR(
IF($J$2="ELA",
IF(VLOOKUP($A550, YES_Reading_ELA[], COLUMN(INDIRECT("YES_Reading_ELA[Max Expectation - Per "&amp;VLOOKUP($D$2, 'Reading Report Logic'!$A$2:$B$8, 2, FALSE)&amp;"]")), FALSE)="", "",
VLOOKUP($A550,YES_Reading_ELA[], COLUMN(INDIRECT("YES_Reading_ELA[Max Expectation - Per "&amp;VLOOKUP($D$2,'Reading Report Logic'!$A$2:$B$8,2,FALSE)&amp;"]")), FALSE)),
IF($J$2="FLA",
IF(VLOOKUP($A550, YES_Reading_FLA[], COLUMN(INDIRECT("YES_Reading_FLA[Max Expectation - Per "&amp;VLOOKUP($D$2,'Reading Report Logic'!$A$2:$B$8,2,FALSE)&amp;"]")),FALSE)="","",
VLOOKUP($A550,YES_Reading_FLA[],COLUMN(INDIRECT("YES_Reading_FLA[Max Expectation - Per "&amp;VLOOKUP($D$2,'Reading Report Logic'!$A$2:$B$8,2,FALSE)&amp;"]")),FALSE)),
IF($J$2="Combined",
IFERROR(
IF(VLOOKUP($A550, YES_Reading_ELA[], COLUMN(INDIRECT("YES_Reading_ELA[Max Expectation - Per "&amp;VLOOKUP($D$2, 'Reading Report Logic'!$A$2:$B$8,2,FALSE)&amp;"]")), FALSE)="", "",
VLOOKUP($A550,YES_Reading_ELA[],COLUMN(INDIRECT("YES_Reading_ELA[Max Expectation - Per "&amp;VLOOKUP($D$2,'Reading Report Logic'!$A$2:$B$8,2,FALSE)&amp;"]")),FALSE)),
IF(VLOOKUP($A550, YES_Reading_FLA[], COLUMN(INDIRECT("YES_Reading_FLA[Max Expectation - Per "&amp;VLOOKUP($D$2, 'Reading Report Logic'!$A$2:$B$8, 2, FALSE)&amp;"]")),FALSE)="", "", VLOOKUP($A550,YES_Reading_FLA[],COLUMN(INDIRECT("YES_Reading_FLA[Max Expectation - Per "&amp;VLOOKUP($D$2, 'Reading Report Logic'!$A$2:$B$8, 2, FALSE)&amp;"]")),FALSE))),""))),"")</f>
        <v/>
      </c>
      <c r="G550" s="205" t="str" cm="1">
        <f t="array" aca="1" ref="G550" ca="1">IFERROR(
IF($J$2="ELA",
IF(VLOOKUP($A550, YES_Reading_ELA[], COLUMN(INDIRECT("YES_Reading_ELA[Difference - Per "&amp;VLOOKUP($D$2, 'Reading Report Logic'!$A$2:$B$8, 2, FALSE)&amp;"]")), FALSE)="", "",
VLOOKUP($A550,YES_Reading_ELA[], COLUMN(INDIRECT("YES_Reading_ELA[Difference - Per "&amp;VLOOKUP($D$2,'Reading Report Logic'!$A$2:$B$8,2,FALSE)&amp;"]")), FALSE)),
IF($J$2="FLA",
IF(VLOOKUP($A550, YES_Reading_FLA[], COLUMN(INDIRECT("YES_Reading_FLA[Difference - Per "&amp;VLOOKUP($D$2,'Reading Report Logic'!$A$2:$B$8,2,FALSE)&amp;"]")),FALSE)="","",
VLOOKUP($A550,YES_Reading_FLA[],COLUMN(INDIRECT("YES_Reading_FLA[Difference - Per "&amp;VLOOKUP($D$2,'Reading Report Logic'!$A$2:$B$8,2,FALSE)&amp;"]")),FALSE)),
IF($J$2="Combined",
IFERROR(
IF(VLOOKUP($A550, YES_Reading_ELA[], COLUMN(INDIRECT("YES_Reading_ELA[Difference - Per "&amp;VLOOKUP($D$2, 'Reading Report Logic'!$A$2:$B$8,2,FALSE)&amp;"]")), FALSE)="", "",
VLOOKUP($A550,YES_Reading_ELA[],COLUMN(INDIRECT("YES_Reading_ELA[Difference - Per "&amp;VLOOKUP($D$2,'Reading Report Logic'!$A$2:$B$8,2,FALSE)&amp;"]")),FALSE)),
IF(VLOOKUP($A550, YES_Reading_FLA[], COLUMN(INDIRECT("YES_Reading_FLA[Difference - Per "&amp;VLOOKUP($D$2, 'Reading Report Logic'!$A$2:$B$8, 2, FALSE)&amp;"]")),FALSE)="", "", VLOOKUP($A550,YES_Reading_FLA[],COLUMN(INDIRECT("YES_Reading_FLA[Difference - Per "&amp;VLOOKUP($D$2, 'Reading Report Logic'!$A$2:$B$8, 2, FALSE)&amp;"]")),FALSE))),""))),"")</f>
        <v/>
      </c>
      <c r="H550" s="206" t="str">
        <f ca="1">IFERROR(VLOOKUP('Teacher Reading Pull Sheets'!$D550,_xlfn.VSTACK('ELA Reading Logic'!$A$22:$B$48,'FLA Reading Logic'!$A$22:$B$53),2,FALSE)-VLOOKUP('Teacher Reading Pull Sheets'!$C550,_xlfn.VSTACK('ELA Reading Logic'!$A$22:$B$48,'FLA Reading Logic'!$A$22:$B$53),2,FALSE),"")</f>
        <v/>
      </c>
      <c r="I550" s="212"/>
      <c r="J550" s="206"/>
      <c r="K550" s="197" t="str" cm="1">
        <f t="array" ref="K550">IFERROR(
IF($J$2="ELA",
IF(VLOOKUP($A550, YES_Reading_ELA[], COLUMN(YES_Reading_ELA[Self-Identified as African Descent]), FALSE)="", "",
VLOOKUP($A550,YES_Reading_ELA[], COLUMN(YES_Reading_ELA[Self-Identified as African Descent]), FALSE)),
IF($J$2="FLA",
IF(VLOOKUP($A550, YES_Reading_FLA[], COLUMN(YES_Reading_FLA[Self-Identified as African Descent]),FALSE)="","",
VLOOKUP($A550,YES_Reading_FLA[],COLUMN(YES_Reading_FLA[Self-Identified as African Descent]),FALSE)),
IF($J$2="Combined",
IFERROR(
IF(VLOOKUP($A550, YES_Reading_ELA[], COLUMN(YES_Reading_ELA[Self-Identified as African Descent]), FALSE)="", "",
VLOOKUP($A550,YES_Reading_ELA[],COLUMN(YES_Reading_ELA[Self-Identified as African Descent]),FALSE)),
IF(VLOOKUP($A550, YES_Reading_FLA[], COLUMN(YES_Reading_FLA[Self-Identified as African Descent]),FALSE)="", "", VLOOKUP($A550,YES_Reading_FLA[],COLUMN(YES_Reading_FLA[Self-Identified as African Descent]),FALSE))),""))),"")</f>
        <v/>
      </c>
      <c r="L550" s="73" t="str" cm="1">
        <f t="array" ref="L550">IFERROR(
IF($J$2="ELA",
IF(VLOOKUP($A550, YES_Reading_ELA[], COLUMN(YES_Reading_ELA[Self-Identified as Indigenous]), FALSE)="", "",
VLOOKUP($A550,YES_Reading_ELA[], COLUMN(YES_Reading_ELA[Self-Identified as Indigenous]), FALSE)),
IF($J$2="FLA",
IF(VLOOKUP($A550, YES_Reading_FLA[], COLUMN(YES_Reading_FLA[Self-Identified as Indigenous]),FALSE)="","",
VLOOKUP($A550,YES_Reading_FLA[],COLUMN(YES_Reading_FLA[Self-Identified as Indigenous]),FALSE)),
IF($J$2="Combined",
IFERROR(
IF(VLOOKUP($A550, YES_Reading_ELA[], COLUMN(YES_Reading_ELA[Self-Identified as Indigenous]), FALSE)="", "",
VLOOKUP($A550,YES_Reading_ELA[],COLUMN(YES_Reading_ELA[Self-Identified as Indigenous]),FALSE)),
IF(VLOOKUP($A550, YES_Reading_FLA[], COLUMN(YES_Reading_FLA[Self-Identified as Indigenous]),FALSE)="", "", VLOOKUP($A550,YES_Reading_FLA[],COLUMN(YES_Reading_FLA[Self-Identified as Indigenous]),FALSE))),""))),"")</f>
        <v/>
      </c>
    </row>
    <row r="551" spans="1:12" ht="19.5" customHeight="1" x14ac:dyDescent="0.25">
      <c r="A551" s="217"/>
      <c r="B551" s="220" t="str">
        <f>IFERROR(VLOOKUP(A551,_xlfn.VSTACK(YES_Reading_ELA[],YES_Reading_FLA[]),2,FALSE),"")</f>
        <v/>
      </c>
      <c r="C551" s="203" t="str" cm="1">
        <f t="array" aca="1" ref="C551" ca="1">IFERROR(
IF($J$2="ELA",
IF(VLOOKUP($A551, YES_Reading_ELA[], COLUMN(IF(VLOOKUP($D$2, 'Reading Report Logic'!$A$2:$B$8, 2, FALSE)=1, YES_Reading_ELA[Reading Level June of Previous School Year], INDIRECT("YES_Reading_ELA[Instructional Reading Level - Per "&amp;(VLOOKUP($D$2,'Reading Report Logic'!$A$2:$B$8,2,FALSE)-1)&amp;"]"))), FALSE)="", "",
VLOOKUP($A551,YES_Reading_ELA[], COLUMN(IF(VLOOKUP($D$2,'Reading Report Logic'!$A$2:$B$8,2,FALSE)=1, YES_Reading_ELA[Reading Level June of Previous School Year],INDIRECT("YES_Reading_ELA[Instructional Reading Level - Per "&amp;(VLOOKUP($D$2,'Reading Report Logic'!$A$2:$B$8,2,FALSE)-1)&amp;"]"))), FALSE)),
IF($J$2="FLA",
IF(VLOOKUP($A551, YES_Reading_FLA[], COLUMN(IF(VLOOKUP($D$2,'Reading Report Logic'!$A$2:$B$8,2,FALSE)=1, YES_Reading_FLA[Reading Level June of Previous School Year],INDIRECT("YES_Reading_FLA[Instructional Reading Level - Per "&amp;(VLOOKUP($D$2,'Reading Report Logic'!$A$2:$B$8,2,FALSE)-1)&amp;"]"))),FALSE)="","",
VLOOKUP($A551,YES_Reading_FLA[], COLUMN(IF(VLOOKUP($D$2,'Reading Report Logic'!$A$2:$B$8,2,FALSE)=1, YES_Reading_FLA[Reading Level June of Previous School Year],INDIRECT("YES_Reading_FLA[Instructional Reading Level - Per "&amp;(VLOOKUP($D$2,'Reading Report Logic'!$A$2:$B$8,2,FALSE)-1)&amp;"]"))),FALSE)),
IF($J$2="Combined",
IFERROR(
IF(VLOOKUP($A551, YES_Reading_ELA[], COLUMN(IF(VLOOKUP($D$2,'Reading Report Logic'!$A$2:$B$8,2,FALSE)=1, YES_Reading_ELA[Reading Level June of Previous School Year],INDIRECT("YES_Reading_ELA[Instructional Reading Level - Per "&amp;(VLOOKUP($D$2,'Reading Report Logic'!$A$2:$B$8,2,FALSE)-1)&amp;"]"))), FALSE)="", "",
VLOOKUP($A551,YES_Reading_ELA[],COLUMN(IF(VLOOKUP($D$2,'Reading Report Logic'!$A$2:$B$8,2,FALSE)=1, YES_Reading_ELA[Reading Level June of Previous School Year],INDIRECT("YES_Reading_ELA[Instructional Reading Level - Per "&amp;(VLOOKUP($D$2,'Reading Report Logic'!$A$2:$B$8,2,FALSE)-1)&amp;"]"))),FALSE)),
IF(VLOOKUP($A551, YES_Reading_FLA[], COLUMN(IF(VLOOKUP($D$2,'Reading Report Logic'!$A$2:$B$8,2,FALSE)=1, YES_Reading_FLA[Reading Level June of Previous School Year],INDIRECT("YES_Reading_FLA[Instructional Reading Level - Per "&amp;(VLOOKUP($D$2,'Reading Report Logic'!$A$2:$B$8,2,FALSE)-1)&amp;"]"))),FALSE)="", "", VLOOKUP($A551,YES_Reading_FLA[],COLUMN(IF(VLOOKUP($D$2,'Reading Report Logic'!$A$2:$B$8,2,FALSE)=1, YES_Reading_FLA[Reading Level June of Previous School Year],INDIRECT("YES_Reading_FLA[Instructional Reading Level - Per "&amp;(VLOOKUP($D$2,'Reading Report Logic'!$A$2:$B$8,2,FALSE)-1)&amp;"]"))), FALSE))),""))),"")</f>
        <v/>
      </c>
      <c r="D551" s="204" t="str" cm="1">
        <f t="array" aca="1" ref="D551" ca="1">IFERROR(
IF($J$2="ELA",
IF(VLOOKUP($A551, YES_Reading_ELA[], COLUMN(INDIRECT("YES_Reading_ELA[Instructional Reading Level - Per "&amp;VLOOKUP($D$2, 'Reading Report Logic'!$A$2:$B$8, 2, FALSE)&amp;"]")), FALSE)="", "",
VLOOKUP($A551,YES_Reading_ELA[], COLUMN(INDIRECT("YES_Reading_ELA[Instructional Reading Level - Per "&amp;VLOOKUP($D$2,'Reading Report Logic'!$A$2:$B$8,2,FALSE)&amp;"]")), FALSE)),
IF($J$2="FLA",
IF(VLOOKUP($A551, YES_Reading_FLA[], COLUMN(INDIRECT("YES_Reading_FLA[Instructional Reading Level - Per "&amp;VLOOKUP($D$2,'Reading Report Logic'!$A$2:$B$8,2,FALSE)&amp;"]")),FALSE)="","",
VLOOKUP($A551,YES_Reading_FLA[],COLUMN(INDIRECT("YES_Reading_FLA[Instructional Reading Level - Per "&amp;VLOOKUP($D$2,'Reading Report Logic'!$A$2:$B$8,2,FALSE)&amp;"]")),FALSE)),
IF($J$2="Combined",
IFERROR(
IF(VLOOKUP($A551, YES_Reading_ELA[], COLUMN(INDIRECT("YES_Reading_ELA[Instructional Reading Level - Per "&amp;VLOOKUP($D$2, 'Reading Report Logic'!$A$2:$B$8,2,FALSE)&amp;"]")), FALSE)="", "",
VLOOKUP($A551,YES_Reading_ELA[],COLUMN(INDIRECT("YES_Reading_ELA[Instructional Reading Level - Per "&amp;VLOOKUP($D$2,'Reading Report Logic'!$A$2:$B$8,2,FALSE)&amp;"]")),FALSE)),
IF(VLOOKUP($A551, YES_Reading_FLA[], COLUMN(INDIRECT("YES_Reading_FLA[Instructional Reading Level - Per "&amp;VLOOKUP($D$2, 'Reading Report Logic'!$A$2:$B$8, 2, FALSE)&amp;"]")),FALSE)="", "", VLOOKUP($A551,YES_Reading_FLA[],COLUMN(INDIRECT("YES_Reading_FLA[Instructional Reading Level - Per "&amp;VLOOKUP($D$2, 'Reading Report Logic'!$A$2:$B$8, 2, FALSE)&amp;"]")),FALSE))),""))),"")</f>
        <v/>
      </c>
      <c r="E551" s="205" t="str" cm="1">
        <f t="array" aca="1" ref="E551" ca="1">IFERROR(
IF($J$2="ELA",
IF(VLOOKUP($A551, YES_Reading_ELA[], COLUMN(INDIRECT("YES_Reading_ELA[Min Expectation - Per "&amp;VLOOKUP($D$2, 'Reading Report Logic'!$A$2:$B$8, 2, FALSE)&amp;"]")), FALSE)="", "",
VLOOKUP($A551,YES_Reading_ELA[], COLUMN(INDIRECT("YES_Reading_ELA[Min Expectation - Per "&amp;VLOOKUP($D$2,'Reading Report Logic'!$A$2:$B$8,2,FALSE)&amp;"]")), FALSE)),
IF($J$2="FLA",
IF(VLOOKUP($A551, YES_Reading_FLA[], COLUMN(INDIRECT("YES_Reading_FLA[Min Expectation - Per "&amp;VLOOKUP($D$2,'Reading Report Logic'!$A$2:$B$8,2,FALSE)&amp;"]")),FALSE)="","",
VLOOKUP($A551,YES_Reading_FLA[],COLUMN(INDIRECT("YES_Reading_FLA[Min Expectation - Per "&amp;VLOOKUP($D$2,'Reading Report Logic'!$A$2:$B$8,2,FALSE)&amp;"]")),FALSE)),
IF($J$2="Combined",
IFERROR(
IF(VLOOKUP($A551, YES_Reading_ELA[], COLUMN(INDIRECT("YES_Reading_ELA[Min Expectation - Per "&amp;VLOOKUP($D$2, 'Reading Report Logic'!$A$2:$B$8,2,FALSE)&amp;"]")), FALSE)="", "",
VLOOKUP($A551,YES_Reading_ELA[],COLUMN(INDIRECT("YES_Reading_ELA[Min Expectation - Per "&amp;VLOOKUP($D$2,'Reading Report Logic'!$A$2:$B$8,2,FALSE)&amp;"]")),FALSE)),
IF(VLOOKUP($A551, YES_Reading_FLA[], COLUMN(INDIRECT("YES_Reading_FLA[Min Expectation - Per "&amp;VLOOKUP($D$2, 'Reading Report Logic'!$A$2:$B$8, 2, FALSE)&amp;"]")),FALSE)="", "", VLOOKUP($A551,YES_Reading_FLA[],COLUMN(INDIRECT("YES_Reading_FLA[Min Expectation - Per "&amp;VLOOKUP($D$2, 'Reading Report Logic'!$A$2:$B$8, 2, FALSE)&amp;"]")),FALSE))),""))),"")</f>
        <v/>
      </c>
      <c r="F551" s="205" t="str" cm="1">
        <f t="array" aca="1" ref="F551" ca="1">IFERROR(
IF($J$2="ELA",
IF(VLOOKUP($A551, YES_Reading_ELA[], COLUMN(INDIRECT("YES_Reading_ELA[Max Expectation - Per "&amp;VLOOKUP($D$2, 'Reading Report Logic'!$A$2:$B$8, 2, FALSE)&amp;"]")), FALSE)="", "",
VLOOKUP($A551,YES_Reading_ELA[], COLUMN(INDIRECT("YES_Reading_ELA[Max Expectation - Per "&amp;VLOOKUP($D$2,'Reading Report Logic'!$A$2:$B$8,2,FALSE)&amp;"]")), FALSE)),
IF($J$2="FLA",
IF(VLOOKUP($A551, YES_Reading_FLA[], COLUMN(INDIRECT("YES_Reading_FLA[Max Expectation - Per "&amp;VLOOKUP($D$2,'Reading Report Logic'!$A$2:$B$8,2,FALSE)&amp;"]")),FALSE)="","",
VLOOKUP($A551,YES_Reading_FLA[],COLUMN(INDIRECT("YES_Reading_FLA[Max Expectation - Per "&amp;VLOOKUP($D$2,'Reading Report Logic'!$A$2:$B$8,2,FALSE)&amp;"]")),FALSE)),
IF($J$2="Combined",
IFERROR(
IF(VLOOKUP($A551, YES_Reading_ELA[], COLUMN(INDIRECT("YES_Reading_ELA[Max Expectation - Per "&amp;VLOOKUP($D$2, 'Reading Report Logic'!$A$2:$B$8,2,FALSE)&amp;"]")), FALSE)="", "",
VLOOKUP($A551,YES_Reading_ELA[],COLUMN(INDIRECT("YES_Reading_ELA[Max Expectation - Per "&amp;VLOOKUP($D$2,'Reading Report Logic'!$A$2:$B$8,2,FALSE)&amp;"]")),FALSE)),
IF(VLOOKUP($A551, YES_Reading_FLA[], COLUMN(INDIRECT("YES_Reading_FLA[Max Expectation - Per "&amp;VLOOKUP($D$2, 'Reading Report Logic'!$A$2:$B$8, 2, FALSE)&amp;"]")),FALSE)="", "", VLOOKUP($A551,YES_Reading_FLA[],COLUMN(INDIRECT("YES_Reading_FLA[Max Expectation - Per "&amp;VLOOKUP($D$2, 'Reading Report Logic'!$A$2:$B$8, 2, FALSE)&amp;"]")),FALSE))),""))),"")</f>
        <v/>
      </c>
      <c r="G551" s="205" t="str" cm="1">
        <f t="array" aca="1" ref="G551" ca="1">IFERROR(
IF($J$2="ELA",
IF(VLOOKUP($A551, YES_Reading_ELA[], COLUMN(INDIRECT("YES_Reading_ELA[Difference - Per "&amp;VLOOKUP($D$2, 'Reading Report Logic'!$A$2:$B$8, 2, FALSE)&amp;"]")), FALSE)="", "",
VLOOKUP($A551,YES_Reading_ELA[], COLUMN(INDIRECT("YES_Reading_ELA[Difference - Per "&amp;VLOOKUP($D$2,'Reading Report Logic'!$A$2:$B$8,2,FALSE)&amp;"]")), FALSE)),
IF($J$2="FLA",
IF(VLOOKUP($A551, YES_Reading_FLA[], COLUMN(INDIRECT("YES_Reading_FLA[Difference - Per "&amp;VLOOKUP($D$2,'Reading Report Logic'!$A$2:$B$8,2,FALSE)&amp;"]")),FALSE)="","",
VLOOKUP($A551,YES_Reading_FLA[],COLUMN(INDIRECT("YES_Reading_FLA[Difference - Per "&amp;VLOOKUP($D$2,'Reading Report Logic'!$A$2:$B$8,2,FALSE)&amp;"]")),FALSE)),
IF($J$2="Combined",
IFERROR(
IF(VLOOKUP($A551, YES_Reading_ELA[], COLUMN(INDIRECT("YES_Reading_ELA[Difference - Per "&amp;VLOOKUP($D$2, 'Reading Report Logic'!$A$2:$B$8,2,FALSE)&amp;"]")), FALSE)="", "",
VLOOKUP($A551,YES_Reading_ELA[],COLUMN(INDIRECT("YES_Reading_ELA[Difference - Per "&amp;VLOOKUP($D$2,'Reading Report Logic'!$A$2:$B$8,2,FALSE)&amp;"]")),FALSE)),
IF(VLOOKUP($A551, YES_Reading_FLA[], COLUMN(INDIRECT("YES_Reading_FLA[Difference - Per "&amp;VLOOKUP($D$2, 'Reading Report Logic'!$A$2:$B$8, 2, FALSE)&amp;"]")),FALSE)="", "", VLOOKUP($A551,YES_Reading_FLA[],COLUMN(INDIRECT("YES_Reading_FLA[Difference - Per "&amp;VLOOKUP($D$2, 'Reading Report Logic'!$A$2:$B$8, 2, FALSE)&amp;"]")),FALSE))),""))),"")</f>
        <v/>
      </c>
      <c r="H551" s="206" t="str">
        <f ca="1">IFERROR(VLOOKUP('Teacher Reading Pull Sheets'!$D551,_xlfn.VSTACK('ELA Reading Logic'!$A$22:$B$48,'FLA Reading Logic'!$A$22:$B$53),2,FALSE)-VLOOKUP('Teacher Reading Pull Sheets'!$C551,_xlfn.VSTACK('ELA Reading Logic'!$A$22:$B$48,'FLA Reading Logic'!$A$22:$B$53),2,FALSE),"")</f>
        <v/>
      </c>
      <c r="I551" s="212"/>
      <c r="J551" s="206"/>
      <c r="K551" s="197" t="str" cm="1">
        <f t="array" ref="K551">IFERROR(
IF($J$2="ELA",
IF(VLOOKUP($A551, YES_Reading_ELA[], COLUMN(YES_Reading_ELA[Self-Identified as African Descent]), FALSE)="", "",
VLOOKUP($A551,YES_Reading_ELA[], COLUMN(YES_Reading_ELA[Self-Identified as African Descent]), FALSE)),
IF($J$2="FLA",
IF(VLOOKUP($A551, YES_Reading_FLA[], COLUMN(YES_Reading_FLA[Self-Identified as African Descent]),FALSE)="","",
VLOOKUP($A551,YES_Reading_FLA[],COLUMN(YES_Reading_FLA[Self-Identified as African Descent]),FALSE)),
IF($J$2="Combined",
IFERROR(
IF(VLOOKUP($A551, YES_Reading_ELA[], COLUMN(YES_Reading_ELA[Self-Identified as African Descent]), FALSE)="", "",
VLOOKUP($A551,YES_Reading_ELA[],COLUMN(YES_Reading_ELA[Self-Identified as African Descent]),FALSE)),
IF(VLOOKUP($A551, YES_Reading_FLA[], COLUMN(YES_Reading_FLA[Self-Identified as African Descent]),FALSE)="", "", VLOOKUP($A551,YES_Reading_FLA[],COLUMN(YES_Reading_FLA[Self-Identified as African Descent]),FALSE))),""))),"")</f>
        <v/>
      </c>
      <c r="L551" s="73" t="str" cm="1">
        <f t="array" ref="L551">IFERROR(
IF($J$2="ELA",
IF(VLOOKUP($A551, YES_Reading_ELA[], COLUMN(YES_Reading_ELA[Self-Identified as Indigenous]), FALSE)="", "",
VLOOKUP($A551,YES_Reading_ELA[], COLUMN(YES_Reading_ELA[Self-Identified as Indigenous]), FALSE)),
IF($J$2="FLA",
IF(VLOOKUP($A551, YES_Reading_FLA[], COLUMN(YES_Reading_FLA[Self-Identified as Indigenous]),FALSE)="","",
VLOOKUP($A551,YES_Reading_FLA[],COLUMN(YES_Reading_FLA[Self-Identified as Indigenous]),FALSE)),
IF($J$2="Combined",
IFERROR(
IF(VLOOKUP($A551, YES_Reading_ELA[], COLUMN(YES_Reading_ELA[Self-Identified as Indigenous]), FALSE)="", "",
VLOOKUP($A551,YES_Reading_ELA[],COLUMN(YES_Reading_ELA[Self-Identified as Indigenous]),FALSE)),
IF(VLOOKUP($A551, YES_Reading_FLA[], COLUMN(YES_Reading_FLA[Self-Identified as Indigenous]),FALSE)="", "", VLOOKUP($A551,YES_Reading_FLA[],COLUMN(YES_Reading_FLA[Self-Identified as Indigenous]),FALSE))),""))),"")</f>
        <v/>
      </c>
    </row>
    <row r="552" spans="1:12" ht="19.5" customHeight="1" x14ac:dyDescent="0.25">
      <c r="A552" s="217"/>
      <c r="B552" s="220" t="str">
        <f>IFERROR(VLOOKUP(A552,_xlfn.VSTACK(YES_Reading_ELA[],YES_Reading_FLA[]),2,FALSE),"")</f>
        <v/>
      </c>
      <c r="C552" s="203" t="str" cm="1">
        <f t="array" aca="1" ref="C552" ca="1">IFERROR(
IF($J$2="ELA",
IF(VLOOKUP($A552, YES_Reading_ELA[], COLUMN(IF(VLOOKUP($D$2, 'Reading Report Logic'!$A$2:$B$8, 2, FALSE)=1, YES_Reading_ELA[Reading Level June of Previous School Year], INDIRECT("YES_Reading_ELA[Instructional Reading Level - Per "&amp;(VLOOKUP($D$2,'Reading Report Logic'!$A$2:$B$8,2,FALSE)-1)&amp;"]"))), FALSE)="", "",
VLOOKUP($A552,YES_Reading_ELA[], COLUMN(IF(VLOOKUP($D$2,'Reading Report Logic'!$A$2:$B$8,2,FALSE)=1, YES_Reading_ELA[Reading Level June of Previous School Year],INDIRECT("YES_Reading_ELA[Instructional Reading Level - Per "&amp;(VLOOKUP($D$2,'Reading Report Logic'!$A$2:$B$8,2,FALSE)-1)&amp;"]"))), FALSE)),
IF($J$2="FLA",
IF(VLOOKUP($A552, YES_Reading_FLA[], COLUMN(IF(VLOOKUP($D$2,'Reading Report Logic'!$A$2:$B$8,2,FALSE)=1, YES_Reading_FLA[Reading Level June of Previous School Year],INDIRECT("YES_Reading_FLA[Instructional Reading Level - Per "&amp;(VLOOKUP($D$2,'Reading Report Logic'!$A$2:$B$8,2,FALSE)-1)&amp;"]"))),FALSE)="","",
VLOOKUP($A552,YES_Reading_FLA[], COLUMN(IF(VLOOKUP($D$2,'Reading Report Logic'!$A$2:$B$8,2,FALSE)=1, YES_Reading_FLA[Reading Level June of Previous School Year],INDIRECT("YES_Reading_FLA[Instructional Reading Level - Per "&amp;(VLOOKUP($D$2,'Reading Report Logic'!$A$2:$B$8,2,FALSE)-1)&amp;"]"))),FALSE)),
IF($J$2="Combined",
IFERROR(
IF(VLOOKUP($A552, YES_Reading_ELA[], COLUMN(IF(VLOOKUP($D$2,'Reading Report Logic'!$A$2:$B$8,2,FALSE)=1, YES_Reading_ELA[Reading Level June of Previous School Year],INDIRECT("YES_Reading_ELA[Instructional Reading Level - Per "&amp;(VLOOKUP($D$2,'Reading Report Logic'!$A$2:$B$8,2,FALSE)-1)&amp;"]"))), FALSE)="", "",
VLOOKUP($A552,YES_Reading_ELA[],COLUMN(IF(VLOOKUP($D$2,'Reading Report Logic'!$A$2:$B$8,2,FALSE)=1, YES_Reading_ELA[Reading Level June of Previous School Year],INDIRECT("YES_Reading_ELA[Instructional Reading Level - Per "&amp;(VLOOKUP($D$2,'Reading Report Logic'!$A$2:$B$8,2,FALSE)-1)&amp;"]"))),FALSE)),
IF(VLOOKUP($A552, YES_Reading_FLA[], COLUMN(IF(VLOOKUP($D$2,'Reading Report Logic'!$A$2:$B$8,2,FALSE)=1, YES_Reading_FLA[Reading Level June of Previous School Year],INDIRECT("YES_Reading_FLA[Instructional Reading Level - Per "&amp;(VLOOKUP($D$2,'Reading Report Logic'!$A$2:$B$8,2,FALSE)-1)&amp;"]"))),FALSE)="", "", VLOOKUP($A552,YES_Reading_FLA[],COLUMN(IF(VLOOKUP($D$2,'Reading Report Logic'!$A$2:$B$8,2,FALSE)=1, YES_Reading_FLA[Reading Level June of Previous School Year],INDIRECT("YES_Reading_FLA[Instructional Reading Level - Per "&amp;(VLOOKUP($D$2,'Reading Report Logic'!$A$2:$B$8,2,FALSE)-1)&amp;"]"))), FALSE))),""))),"")</f>
        <v/>
      </c>
      <c r="D552" s="204" t="str" cm="1">
        <f t="array" aca="1" ref="D552" ca="1">IFERROR(
IF($J$2="ELA",
IF(VLOOKUP($A552, YES_Reading_ELA[], COLUMN(INDIRECT("YES_Reading_ELA[Instructional Reading Level - Per "&amp;VLOOKUP($D$2, 'Reading Report Logic'!$A$2:$B$8, 2, FALSE)&amp;"]")), FALSE)="", "",
VLOOKUP($A552,YES_Reading_ELA[], COLUMN(INDIRECT("YES_Reading_ELA[Instructional Reading Level - Per "&amp;VLOOKUP($D$2,'Reading Report Logic'!$A$2:$B$8,2,FALSE)&amp;"]")), FALSE)),
IF($J$2="FLA",
IF(VLOOKUP($A552, YES_Reading_FLA[], COLUMN(INDIRECT("YES_Reading_FLA[Instructional Reading Level - Per "&amp;VLOOKUP($D$2,'Reading Report Logic'!$A$2:$B$8,2,FALSE)&amp;"]")),FALSE)="","",
VLOOKUP($A552,YES_Reading_FLA[],COLUMN(INDIRECT("YES_Reading_FLA[Instructional Reading Level - Per "&amp;VLOOKUP($D$2,'Reading Report Logic'!$A$2:$B$8,2,FALSE)&amp;"]")),FALSE)),
IF($J$2="Combined",
IFERROR(
IF(VLOOKUP($A552, YES_Reading_ELA[], COLUMN(INDIRECT("YES_Reading_ELA[Instructional Reading Level - Per "&amp;VLOOKUP($D$2, 'Reading Report Logic'!$A$2:$B$8,2,FALSE)&amp;"]")), FALSE)="", "",
VLOOKUP($A552,YES_Reading_ELA[],COLUMN(INDIRECT("YES_Reading_ELA[Instructional Reading Level - Per "&amp;VLOOKUP($D$2,'Reading Report Logic'!$A$2:$B$8,2,FALSE)&amp;"]")),FALSE)),
IF(VLOOKUP($A552, YES_Reading_FLA[], COLUMN(INDIRECT("YES_Reading_FLA[Instructional Reading Level - Per "&amp;VLOOKUP($D$2, 'Reading Report Logic'!$A$2:$B$8, 2, FALSE)&amp;"]")),FALSE)="", "", VLOOKUP($A552,YES_Reading_FLA[],COLUMN(INDIRECT("YES_Reading_FLA[Instructional Reading Level - Per "&amp;VLOOKUP($D$2, 'Reading Report Logic'!$A$2:$B$8, 2, FALSE)&amp;"]")),FALSE))),""))),"")</f>
        <v/>
      </c>
      <c r="E552" s="205" t="str" cm="1">
        <f t="array" aca="1" ref="E552" ca="1">IFERROR(
IF($J$2="ELA",
IF(VLOOKUP($A552, YES_Reading_ELA[], COLUMN(INDIRECT("YES_Reading_ELA[Min Expectation - Per "&amp;VLOOKUP($D$2, 'Reading Report Logic'!$A$2:$B$8, 2, FALSE)&amp;"]")), FALSE)="", "",
VLOOKUP($A552,YES_Reading_ELA[], COLUMN(INDIRECT("YES_Reading_ELA[Min Expectation - Per "&amp;VLOOKUP($D$2,'Reading Report Logic'!$A$2:$B$8,2,FALSE)&amp;"]")), FALSE)),
IF($J$2="FLA",
IF(VLOOKUP($A552, YES_Reading_FLA[], COLUMN(INDIRECT("YES_Reading_FLA[Min Expectation - Per "&amp;VLOOKUP($D$2,'Reading Report Logic'!$A$2:$B$8,2,FALSE)&amp;"]")),FALSE)="","",
VLOOKUP($A552,YES_Reading_FLA[],COLUMN(INDIRECT("YES_Reading_FLA[Min Expectation - Per "&amp;VLOOKUP($D$2,'Reading Report Logic'!$A$2:$B$8,2,FALSE)&amp;"]")),FALSE)),
IF($J$2="Combined",
IFERROR(
IF(VLOOKUP($A552, YES_Reading_ELA[], COLUMN(INDIRECT("YES_Reading_ELA[Min Expectation - Per "&amp;VLOOKUP($D$2, 'Reading Report Logic'!$A$2:$B$8,2,FALSE)&amp;"]")), FALSE)="", "",
VLOOKUP($A552,YES_Reading_ELA[],COLUMN(INDIRECT("YES_Reading_ELA[Min Expectation - Per "&amp;VLOOKUP($D$2,'Reading Report Logic'!$A$2:$B$8,2,FALSE)&amp;"]")),FALSE)),
IF(VLOOKUP($A552, YES_Reading_FLA[], COLUMN(INDIRECT("YES_Reading_FLA[Min Expectation - Per "&amp;VLOOKUP($D$2, 'Reading Report Logic'!$A$2:$B$8, 2, FALSE)&amp;"]")),FALSE)="", "", VLOOKUP($A552,YES_Reading_FLA[],COLUMN(INDIRECT("YES_Reading_FLA[Min Expectation - Per "&amp;VLOOKUP($D$2, 'Reading Report Logic'!$A$2:$B$8, 2, FALSE)&amp;"]")),FALSE))),""))),"")</f>
        <v/>
      </c>
      <c r="F552" s="205" t="str" cm="1">
        <f t="array" aca="1" ref="F552" ca="1">IFERROR(
IF($J$2="ELA",
IF(VLOOKUP($A552, YES_Reading_ELA[], COLUMN(INDIRECT("YES_Reading_ELA[Max Expectation - Per "&amp;VLOOKUP($D$2, 'Reading Report Logic'!$A$2:$B$8, 2, FALSE)&amp;"]")), FALSE)="", "",
VLOOKUP($A552,YES_Reading_ELA[], COLUMN(INDIRECT("YES_Reading_ELA[Max Expectation - Per "&amp;VLOOKUP($D$2,'Reading Report Logic'!$A$2:$B$8,2,FALSE)&amp;"]")), FALSE)),
IF($J$2="FLA",
IF(VLOOKUP($A552, YES_Reading_FLA[], COLUMN(INDIRECT("YES_Reading_FLA[Max Expectation - Per "&amp;VLOOKUP($D$2,'Reading Report Logic'!$A$2:$B$8,2,FALSE)&amp;"]")),FALSE)="","",
VLOOKUP($A552,YES_Reading_FLA[],COLUMN(INDIRECT("YES_Reading_FLA[Max Expectation - Per "&amp;VLOOKUP($D$2,'Reading Report Logic'!$A$2:$B$8,2,FALSE)&amp;"]")),FALSE)),
IF($J$2="Combined",
IFERROR(
IF(VLOOKUP($A552, YES_Reading_ELA[], COLUMN(INDIRECT("YES_Reading_ELA[Max Expectation - Per "&amp;VLOOKUP($D$2, 'Reading Report Logic'!$A$2:$B$8,2,FALSE)&amp;"]")), FALSE)="", "",
VLOOKUP($A552,YES_Reading_ELA[],COLUMN(INDIRECT("YES_Reading_ELA[Max Expectation - Per "&amp;VLOOKUP($D$2,'Reading Report Logic'!$A$2:$B$8,2,FALSE)&amp;"]")),FALSE)),
IF(VLOOKUP($A552, YES_Reading_FLA[], COLUMN(INDIRECT("YES_Reading_FLA[Max Expectation - Per "&amp;VLOOKUP($D$2, 'Reading Report Logic'!$A$2:$B$8, 2, FALSE)&amp;"]")),FALSE)="", "", VLOOKUP($A552,YES_Reading_FLA[],COLUMN(INDIRECT("YES_Reading_FLA[Max Expectation - Per "&amp;VLOOKUP($D$2, 'Reading Report Logic'!$A$2:$B$8, 2, FALSE)&amp;"]")),FALSE))),""))),"")</f>
        <v/>
      </c>
      <c r="G552" s="205" t="str" cm="1">
        <f t="array" aca="1" ref="G552" ca="1">IFERROR(
IF($J$2="ELA",
IF(VLOOKUP($A552, YES_Reading_ELA[], COLUMN(INDIRECT("YES_Reading_ELA[Difference - Per "&amp;VLOOKUP($D$2, 'Reading Report Logic'!$A$2:$B$8, 2, FALSE)&amp;"]")), FALSE)="", "",
VLOOKUP($A552,YES_Reading_ELA[], COLUMN(INDIRECT("YES_Reading_ELA[Difference - Per "&amp;VLOOKUP($D$2,'Reading Report Logic'!$A$2:$B$8,2,FALSE)&amp;"]")), FALSE)),
IF($J$2="FLA",
IF(VLOOKUP($A552, YES_Reading_FLA[], COLUMN(INDIRECT("YES_Reading_FLA[Difference - Per "&amp;VLOOKUP($D$2,'Reading Report Logic'!$A$2:$B$8,2,FALSE)&amp;"]")),FALSE)="","",
VLOOKUP($A552,YES_Reading_FLA[],COLUMN(INDIRECT("YES_Reading_FLA[Difference - Per "&amp;VLOOKUP($D$2,'Reading Report Logic'!$A$2:$B$8,2,FALSE)&amp;"]")),FALSE)),
IF($J$2="Combined",
IFERROR(
IF(VLOOKUP($A552, YES_Reading_ELA[], COLUMN(INDIRECT("YES_Reading_ELA[Difference - Per "&amp;VLOOKUP($D$2, 'Reading Report Logic'!$A$2:$B$8,2,FALSE)&amp;"]")), FALSE)="", "",
VLOOKUP($A552,YES_Reading_ELA[],COLUMN(INDIRECT("YES_Reading_ELA[Difference - Per "&amp;VLOOKUP($D$2,'Reading Report Logic'!$A$2:$B$8,2,FALSE)&amp;"]")),FALSE)),
IF(VLOOKUP($A552, YES_Reading_FLA[], COLUMN(INDIRECT("YES_Reading_FLA[Difference - Per "&amp;VLOOKUP($D$2, 'Reading Report Logic'!$A$2:$B$8, 2, FALSE)&amp;"]")),FALSE)="", "", VLOOKUP($A552,YES_Reading_FLA[],COLUMN(INDIRECT("YES_Reading_FLA[Difference - Per "&amp;VLOOKUP($D$2, 'Reading Report Logic'!$A$2:$B$8, 2, FALSE)&amp;"]")),FALSE))),""))),"")</f>
        <v/>
      </c>
      <c r="H552" s="206" t="str">
        <f ca="1">IFERROR(VLOOKUP('Teacher Reading Pull Sheets'!$D552,_xlfn.VSTACK('ELA Reading Logic'!$A$22:$B$48,'FLA Reading Logic'!$A$22:$B$53),2,FALSE)-VLOOKUP('Teacher Reading Pull Sheets'!$C552,_xlfn.VSTACK('ELA Reading Logic'!$A$22:$B$48,'FLA Reading Logic'!$A$22:$B$53),2,FALSE),"")</f>
        <v/>
      </c>
      <c r="I552" s="212"/>
      <c r="J552" s="206"/>
      <c r="K552" s="197" t="str" cm="1">
        <f t="array" ref="K552">IFERROR(
IF($J$2="ELA",
IF(VLOOKUP($A552, YES_Reading_ELA[], COLUMN(YES_Reading_ELA[Self-Identified as African Descent]), FALSE)="", "",
VLOOKUP($A552,YES_Reading_ELA[], COLUMN(YES_Reading_ELA[Self-Identified as African Descent]), FALSE)),
IF($J$2="FLA",
IF(VLOOKUP($A552, YES_Reading_FLA[], COLUMN(YES_Reading_FLA[Self-Identified as African Descent]),FALSE)="","",
VLOOKUP($A552,YES_Reading_FLA[],COLUMN(YES_Reading_FLA[Self-Identified as African Descent]),FALSE)),
IF($J$2="Combined",
IFERROR(
IF(VLOOKUP($A552, YES_Reading_ELA[], COLUMN(YES_Reading_ELA[Self-Identified as African Descent]), FALSE)="", "",
VLOOKUP($A552,YES_Reading_ELA[],COLUMN(YES_Reading_ELA[Self-Identified as African Descent]),FALSE)),
IF(VLOOKUP($A552, YES_Reading_FLA[], COLUMN(YES_Reading_FLA[Self-Identified as African Descent]),FALSE)="", "", VLOOKUP($A552,YES_Reading_FLA[],COLUMN(YES_Reading_FLA[Self-Identified as African Descent]),FALSE))),""))),"")</f>
        <v/>
      </c>
      <c r="L552" s="73" t="str" cm="1">
        <f t="array" ref="L552">IFERROR(
IF($J$2="ELA",
IF(VLOOKUP($A552, YES_Reading_ELA[], COLUMN(YES_Reading_ELA[Self-Identified as Indigenous]), FALSE)="", "",
VLOOKUP($A552,YES_Reading_ELA[], COLUMN(YES_Reading_ELA[Self-Identified as Indigenous]), FALSE)),
IF($J$2="FLA",
IF(VLOOKUP($A552, YES_Reading_FLA[], COLUMN(YES_Reading_FLA[Self-Identified as Indigenous]),FALSE)="","",
VLOOKUP($A552,YES_Reading_FLA[],COLUMN(YES_Reading_FLA[Self-Identified as Indigenous]),FALSE)),
IF($J$2="Combined",
IFERROR(
IF(VLOOKUP($A552, YES_Reading_ELA[], COLUMN(YES_Reading_ELA[Self-Identified as Indigenous]), FALSE)="", "",
VLOOKUP($A552,YES_Reading_ELA[],COLUMN(YES_Reading_ELA[Self-Identified as Indigenous]),FALSE)),
IF(VLOOKUP($A552, YES_Reading_FLA[], COLUMN(YES_Reading_FLA[Self-Identified as Indigenous]),FALSE)="", "", VLOOKUP($A552,YES_Reading_FLA[],COLUMN(YES_Reading_FLA[Self-Identified as Indigenous]),FALSE))),""))),"")</f>
        <v/>
      </c>
    </row>
    <row r="553" spans="1:12" ht="19.5" customHeight="1" x14ac:dyDescent="0.25">
      <c r="A553" s="217"/>
      <c r="B553" s="220" t="str">
        <f>IFERROR(VLOOKUP(A553,_xlfn.VSTACK(YES_Reading_ELA[],YES_Reading_FLA[]),2,FALSE),"")</f>
        <v/>
      </c>
      <c r="C553" s="203" t="str" cm="1">
        <f t="array" aca="1" ref="C553" ca="1">IFERROR(
IF($J$2="ELA",
IF(VLOOKUP($A553, YES_Reading_ELA[], COLUMN(IF(VLOOKUP($D$2, 'Reading Report Logic'!$A$2:$B$8, 2, FALSE)=1, YES_Reading_ELA[Reading Level June of Previous School Year], INDIRECT("YES_Reading_ELA[Instructional Reading Level - Per "&amp;(VLOOKUP($D$2,'Reading Report Logic'!$A$2:$B$8,2,FALSE)-1)&amp;"]"))), FALSE)="", "",
VLOOKUP($A553,YES_Reading_ELA[], COLUMN(IF(VLOOKUP($D$2,'Reading Report Logic'!$A$2:$B$8,2,FALSE)=1, YES_Reading_ELA[Reading Level June of Previous School Year],INDIRECT("YES_Reading_ELA[Instructional Reading Level - Per "&amp;(VLOOKUP($D$2,'Reading Report Logic'!$A$2:$B$8,2,FALSE)-1)&amp;"]"))), FALSE)),
IF($J$2="FLA",
IF(VLOOKUP($A553, YES_Reading_FLA[], COLUMN(IF(VLOOKUP($D$2,'Reading Report Logic'!$A$2:$B$8,2,FALSE)=1, YES_Reading_FLA[Reading Level June of Previous School Year],INDIRECT("YES_Reading_FLA[Instructional Reading Level - Per "&amp;(VLOOKUP($D$2,'Reading Report Logic'!$A$2:$B$8,2,FALSE)-1)&amp;"]"))),FALSE)="","",
VLOOKUP($A553,YES_Reading_FLA[], COLUMN(IF(VLOOKUP($D$2,'Reading Report Logic'!$A$2:$B$8,2,FALSE)=1, YES_Reading_FLA[Reading Level June of Previous School Year],INDIRECT("YES_Reading_FLA[Instructional Reading Level - Per "&amp;(VLOOKUP($D$2,'Reading Report Logic'!$A$2:$B$8,2,FALSE)-1)&amp;"]"))),FALSE)),
IF($J$2="Combined",
IFERROR(
IF(VLOOKUP($A553, YES_Reading_ELA[], COLUMN(IF(VLOOKUP($D$2,'Reading Report Logic'!$A$2:$B$8,2,FALSE)=1, YES_Reading_ELA[Reading Level June of Previous School Year],INDIRECT("YES_Reading_ELA[Instructional Reading Level - Per "&amp;(VLOOKUP($D$2,'Reading Report Logic'!$A$2:$B$8,2,FALSE)-1)&amp;"]"))), FALSE)="", "",
VLOOKUP($A553,YES_Reading_ELA[],COLUMN(IF(VLOOKUP($D$2,'Reading Report Logic'!$A$2:$B$8,2,FALSE)=1, YES_Reading_ELA[Reading Level June of Previous School Year],INDIRECT("YES_Reading_ELA[Instructional Reading Level - Per "&amp;(VLOOKUP($D$2,'Reading Report Logic'!$A$2:$B$8,2,FALSE)-1)&amp;"]"))),FALSE)),
IF(VLOOKUP($A553, YES_Reading_FLA[], COLUMN(IF(VLOOKUP($D$2,'Reading Report Logic'!$A$2:$B$8,2,FALSE)=1, YES_Reading_FLA[Reading Level June of Previous School Year],INDIRECT("YES_Reading_FLA[Instructional Reading Level - Per "&amp;(VLOOKUP($D$2,'Reading Report Logic'!$A$2:$B$8,2,FALSE)-1)&amp;"]"))),FALSE)="", "", VLOOKUP($A553,YES_Reading_FLA[],COLUMN(IF(VLOOKUP($D$2,'Reading Report Logic'!$A$2:$B$8,2,FALSE)=1, YES_Reading_FLA[Reading Level June of Previous School Year],INDIRECT("YES_Reading_FLA[Instructional Reading Level - Per "&amp;(VLOOKUP($D$2,'Reading Report Logic'!$A$2:$B$8,2,FALSE)-1)&amp;"]"))), FALSE))),""))),"")</f>
        <v/>
      </c>
      <c r="D553" s="204" t="str" cm="1">
        <f t="array" aca="1" ref="D553" ca="1">IFERROR(
IF($J$2="ELA",
IF(VLOOKUP($A553, YES_Reading_ELA[], COLUMN(INDIRECT("YES_Reading_ELA[Instructional Reading Level - Per "&amp;VLOOKUP($D$2, 'Reading Report Logic'!$A$2:$B$8, 2, FALSE)&amp;"]")), FALSE)="", "",
VLOOKUP($A553,YES_Reading_ELA[], COLUMN(INDIRECT("YES_Reading_ELA[Instructional Reading Level - Per "&amp;VLOOKUP($D$2,'Reading Report Logic'!$A$2:$B$8,2,FALSE)&amp;"]")), FALSE)),
IF($J$2="FLA",
IF(VLOOKUP($A553, YES_Reading_FLA[], COLUMN(INDIRECT("YES_Reading_FLA[Instructional Reading Level - Per "&amp;VLOOKUP($D$2,'Reading Report Logic'!$A$2:$B$8,2,FALSE)&amp;"]")),FALSE)="","",
VLOOKUP($A553,YES_Reading_FLA[],COLUMN(INDIRECT("YES_Reading_FLA[Instructional Reading Level - Per "&amp;VLOOKUP($D$2,'Reading Report Logic'!$A$2:$B$8,2,FALSE)&amp;"]")),FALSE)),
IF($J$2="Combined",
IFERROR(
IF(VLOOKUP($A553, YES_Reading_ELA[], COLUMN(INDIRECT("YES_Reading_ELA[Instructional Reading Level - Per "&amp;VLOOKUP($D$2, 'Reading Report Logic'!$A$2:$B$8,2,FALSE)&amp;"]")), FALSE)="", "",
VLOOKUP($A553,YES_Reading_ELA[],COLUMN(INDIRECT("YES_Reading_ELA[Instructional Reading Level - Per "&amp;VLOOKUP($D$2,'Reading Report Logic'!$A$2:$B$8,2,FALSE)&amp;"]")),FALSE)),
IF(VLOOKUP($A553, YES_Reading_FLA[], COLUMN(INDIRECT("YES_Reading_FLA[Instructional Reading Level - Per "&amp;VLOOKUP($D$2, 'Reading Report Logic'!$A$2:$B$8, 2, FALSE)&amp;"]")),FALSE)="", "", VLOOKUP($A553,YES_Reading_FLA[],COLUMN(INDIRECT("YES_Reading_FLA[Instructional Reading Level - Per "&amp;VLOOKUP($D$2, 'Reading Report Logic'!$A$2:$B$8, 2, FALSE)&amp;"]")),FALSE))),""))),"")</f>
        <v/>
      </c>
      <c r="E553" s="205" t="str" cm="1">
        <f t="array" aca="1" ref="E553" ca="1">IFERROR(
IF($J$2="ELA",
IF(VLOOKUP($A553, YES_Reading_ELA[], COLUMN(INDIRECT("YES_Reading_ELA[Min Expectation - Per "&amp;VLOOKUP($D$2, 'Reading Report Logic'!$A$2:$B$8, 2, FALSE)&amp;"]")), FALSE)="", "",
VLOOKUP($A553,YES_Reading_ELA[], COLUMN(INDIRECT("YES_Reading_ELA[Min Expectation - Per "&amp;VLOOKUP($D$2,'Reading Report Logic'!$A$2:$B$8,2,FALSE)&amp;"]")), FALSE)),
IF($J$2="FLA",
IF(VLOOKUP($A553, YES_Reading_FLA[], COLUMN(INDIRECT("YES_Reading_FLA[Min Expectation - Per "&amp;VLOOKUP($D$2,'Reading Report Logic'!$A$2:$B$8,2,FALSE)&amp;"]")),FALSE)="","",
VLOOKUP($A553,YES_Reading_FLA[],COLUMN(INDIRECT("YES_Reading_FLA[Min Expectation - Per "&amp;VLOOKUP($D$2,'Reading Report Logic'!$A$2:$B$8,2,FALSE)&amp;"]")),FALSE)),
IF($J$2="Combined",
IFERROR(
IF(VLOOKUP($A553, YES_Reading_ELA[], COLUMN(INDIRECT("YES_Reading_ELA[Min Expectation - Per "&amp;VLOOKUP($D$2, 'Reading Report Logic'!$A$2:$B$8,2,FALSE)&amp;"]")), FALSE)="", "",
VLOOKUP($A553,YES_Reading_ELA[],COLUMN(INDIRECT("YES_Reading_ELA[Min Expectation - Per "&amp;VLOOKUP($D$2,'Reading Report Logic'!$A$2:$B$8,2,FALSE)&amp;"]")),FALSE)),
IF(VLOOKUP($A553, YES_Reading_FLA[], COLUMN(INDIRECT("YES_Reading_FLA[Min Expectation - Per "&amp;VLOOKUP($D$2, 'Reading Report Logic'!$A$2:$B$8, 2, FALSE)&amp;"]")),FALSE)="", "", VLOOKUP($A553,YES_Reading_FLA[],COLUMN(INDIRECT("YES_Reading_FLA[Min Expectation - Per "&amp;VLOOKUP($D$2, 'Reading Report Logic'!$A$2:$B$8, 2, FALSE)&amp;"]")),FALSE))),""))),"")</f>
        <v/>
      </c>
      <c r="F553" s="205" t="str" cm="1">
        <f t="array" aca="1" ref="F553" ca="1">IFERROR(
IF($J$2="ELA",
IF(VLOOKUP($A553, YES_Reading_ELA[], COLUMN(INDIRECT("YES_Reading_ELA[Max Expectation - Per "&amp;VLOOKUP($D$2, 'Reading Report Logic'!$A$2:$B$8, 2, FALSE)&amp;"]")), FALSE)="", "",
VLOOKUP($A553,YES_Reading_ELA[], COLUMN(INDIRECT("YES_Reading_ELA[Max Expectation - Per "&amp;VLOOKUP($D$2,'Reading Report Logic'!$A$2:$B$8,2,FALSE)&amp;"]")), FALSE)),
IF($J$2="FLA",
IF(VLOOKUP($A553, YES_Reading_FLA[], COLUMN(INDIRECT("YES_Reading_FLA[Max Expectation - Per "&amp;VLOOKUP($D$2,'Reading Report Logic'!$A$2:$B$8,2,FALSE)&amp;"]")),FALSE)="","",
VLOOKUP($A553,YES_Reading_FLA[],COLUMN(INDIRECT("YES_Reading_FLA[Max Expectation - Per "&amp;VLOOKUP($D$2,'Reading Report Logic'!$A$2:$B$8,2,FALSE)&amp;"]")),FALSE)),
IF($J$2="Combined",
IFERROR(
IF(VLOOKUP($A553, YES_Reading_ELA[], COLUMN(INDIRECT("YES_Reading_ELA[Max Expectation - Per "&amp;VLOOKUP($D$2, 'Reading Report Logic'!$A$2:$B$8,2,FALSE)&amp;"]")), FALSE)="", "",
VLOOKUP($A553,YES_Reading_ELA[],COLUMN(INDIRECT("YES_Reading_ELA[Max Expectation - Per "&amp;VLOOKUP($D$2,'Reading Report Logic'!$A$2:$B$8,2,FALSE)&amp;"]")),FALSE)),
IF(VLOOKUP($A553, YES_Reading_FLA[], COLUMN(INDIRECT("YES_Reading_FLA[Max Expectation - Per "&amp;VLOOKUP($D$2, 'Reading Report Logic'!$A$2:$B$8, 2, FALSE)&amp;"]")),FALSE)="", "", VLOOKUP($A553,YES_Reading_FLA[],COLUMN(INDIRECT("YES_Reading_FLA[Max Expectation - Per "&amp;VLOOKUP($D$2, 'Reading Report Logic'!$A$2:$B$8, 2, FALSE)&amp;"]")),FALSE))),""))),"")</f>
        <v/>
      </c>
      <c r="G553" s="205" t="str" cm="1">
        <f t="array" aca="1" ref="G553" ca="1">IFERROR(
IF($J$2="ELA",
IF(VLOOKUP($A553, YES_Reading_ELA[], COLUMN(INDIRECT("YES_Reading_ELA[Difference - Per "&amp;VLOOKUP($D$2, 'Reading Report Logic'!$A$2:$B$8, 2, FALSE)&amp;"]")), FALSE)="", "",
VLOOKUP($A553,YES_Reading_ELA[], COLUMN(INDIRECT("YES_Reading_ELA[Difference - Per "&amp;VLOOKUP($D$2,'Reading Report Logic'!$A$2:$B$8,2,FALSE)&amp;"]")), FALSE)),
IF($J$2="FLA",
IF(VLOOKUP($A553, YES_Reading_FLA[], COLUMN(INDIRECT("YES_Reading_FLA[Difference - Per "&amp;VLOOKUP($D$2,'Reading Report Logic'!$A$2:$B$8,2,FALSE)&amp;"]")),FALSE)="","",
VLOOKUP($A553,YES_Reading_FLA[],COLUMN(INDIRECT("YES_Reading_FLA[Difference - Per "&amp;VLOOKUP($D$2,'Reading Report Logic'!$A$2:$B$8,2,FALSE)&amp;"]")),FALSE)),
IF($J$2="Combined",
IFERROR(
IF(VLOOKUP($A553, YES_Reading_ELA[], COLUMN(INDIRECT("YES_Reading_ELA[Difference - Per "&amp;VLOOKUP($D$2, 'Reading Report Logic'!$A$2:$B$8,2,FALSE)&amp;"]")), FALSE)="", "",
VLOOKUP($A553,YES_Reading_ELA[],COLUMN(INDIRECT("YES_Reading_ELA[Difference - Per "&amp;VLOOKUP($D$2,'Reading Report Logic'!$A$2:$B$8,2,FALSE)&amp;"]")),FALSE)),
IF(VLOOKUP($A553, YES_Reading_FLA[], COLUMN(INDIRECT("YES_Reading_FLA[Difference - Per "&amp;VLOOKUP($D$2, 'Reading Report Logic'!$A$2:$B$8, 2, FALSE)&amp;"]")),FALSE)="", "", VLOOKUP($A553,YES_Reading_FLA[],COLUMN(INDIRECT("YES_Reading_FLA[Difference - Per "&amp;VLOOKUP($D$2, 'Reading Report Logic'!$A$2:$B$8, 2, FALSE)&amp;"]")),FALSE))),""))),"")</f>
        <v/>
      </c>
      <c r="H553" s="206" t="str">
        <f ca="1">IFERROR(VLOOKUP('Teacher Reading Pull Sheets'!$D553,_xlfn.VSTACK('ELA Reading Logic'!$A$22:$B$48,'FLA Reading Logic'!$A$22:$B$53),2,FALSE)-VLOOKUP('Teacher Reading Pull Sheets'!$C553,_xlfn.VSTACK('ELA Reading Logic'!$A$22:$B$48,'FLA Reading Logic'!$A$22:$B$53),2,FALSE),"")</f>
        <v/>
      </c>
      <c r="I553" s="212"/>
      <c r="J553" s="206"/>
      <c r="K553" s="197" t="str" cm="1">
        <f t="array" ref="K553">IFERROR(
IF($J$2="ELA",
IF(VLOOKUP($A553, YES_Reading_ELA[], COLUMN(YES_Reading_ELA[Self-Identified as African Descent]), FALSE)="", "",
VLOOKUP($A553,YES_Reading_ELA[], COLUMN(YES_Reading_ELA[Self-Identified as African Descent]), FALSE)),
IF($J$2="FLA",
IF(VLOOKUP($A553, YES_Reading_FLA[], COLUMN(YES_Reading_FLA[Self-Identified as African Descent]),FALSE)="","",
VLOOKUP($A553,YES_Reading_FLA[],COLUMN(YES_Reading_FLA[Self-Identified as African Descent]),FALSE)),
IF($J$2="Combined",
IFERROR(
IF(VLOOKUP($A553, YES_Reading_ELA[], COLUMN(YES_Reading_ELA[Self-Identified as African Descent]), FALSE)="", "",
VLOOKUP($A553,YES_Reading_ELA[],COLUMN(YES_Reading_ELA[Self-Identified as African Descent]),FALSE)),
IF(VLOOKUP($A553, YES_Reading_FLA[], COLUMN(YES_Reading_FLA[Self-Identified as African Descent]),FALSE)="", "", VLOOKUP($A553,YES_Reading_FLA[],COLUMN(YES_Reading_FLA[Self-Identified as African Descent]),FALSE))),""))),"")</f>
        <v/>
      </c>
      <c r="L553" s="73" t="str" cm="1">
        <f t="array" ref="L553">IFERROR(
IF($J$2="ELA",
IF(VLOOKUP($A553, YES_Reading_ELA[], COLUMN(YES_Reading_ELA[Self-Identified as Indigenous]), FALSE)="", "",
VLOOKUP($A553,YES_Reading_ELA[], COLUMN(YES_Reading_ELA[Self-Identified as Indigenous]), FALSE)),
IF($J$2="FLA",
IF(VLOOKUP($A553, YES_Reading_FLA[], COLUMN(YES_Reading_FLA[Self-Identified as Indigenous]),FALSE)="","",
VLOOKUP($A553,YES_Reading_FLA[],COLUMN(YES_Reading_FLA[Self-Identified as Indigenous]),FALSE)),
IF($J$2="Combined",
IFERROR(
IF(VLOOKUP($A553, YES_Reading_ELA[], COLUMN(YES_Reading_ELA[Self-Identified as Indigenous]), FALSE)="", "",
VLOOKUP($A553,YES_Reading_ELA[],COLUMN(YES_Reading_ELA[Self-Identified as Indigenous]),FALSE)),
IF(VLOOKUP($A553, YES_Reading_FLA[], COLUMN(YES_Reading_FLA[Self-Identified as Indigenous]),FALSE)="", "", VLOOKUP($A553,YES_Reading_FLA[],COLUMN(YES_Reading_FLA[Self-Identified as Indigenous]),FALSE))),""))),"")</f>
        <v/>
      </c>
    </row>
    <row r="554" spans="1:12" ht="19.5" customHeight="1" x14ac:dyDescent="0.25">
      <c r="A554" s="217"/>
      <c r="B554" s="220" t="str">
        <f>IFERROR(VLOOKUP(A554,_xlfn.VSTACK(YES_Reading_ELA[],YES_Reading_FLA[]),2,FALSE),"")</f>
        <v/>
      </c>
      <c r="C554" s="203" t="str" cm="1">
        <f t="array" aca="1" ref="C554" ca="1">IFERROR(
IF($J$2="ELA",
IF(VLOOKUP($A554, YES_Reading_ELA[], COLUMN(IF(VLOOKUP($D$2, 'Reading Report Logic'!$A$2:$B$8, 2, FALSE)=1, YES_Reading_ELA[Reading Level June of Previous School Year], INDIRECT("YES_Reading_ELA[Instructional Reading Level - Per "&amp;(VLOOKUP($D$2,'Reading Report Logic'!$A$2:$B$8,2,FALSE)-1)&amp;"]"))), FALSE)="", "",
VLOOKUP($A554,YES_Reading_ELA[], COLUMN(IF(VLOOKUP($D$2,'Reading Report Logic'!$A$2:$B$8,2,FALSE)=1, YES_Reading_ELA[Reading Level June of Previous School Year],INDIRECT("YES_Reading_ELA[Instructional Reading Level - Per "&amp;(VLOOKUP($D$2,'Reading Report Logic'!$A$2:$B$8,2,FALSE)-1)&amp;"]"))), FALSE)),
IF($J$2="FLA",
IF(VLOOKUP($A554, YES_Reading_FLA[], COLUMN(IF(VLOOKUP($D$2,'Reading Report Logic'!$A$2:$B$8,2,FALSE)=1, YES_Reading_FLA[Reading Level June of Previous School Year],INDIRECT("YES_Reading_FLA[Instructional Reading Level - Per "&amp;(VLOOKUP($D$2,'Reading Report Logic'!$A$2:$B$8,2,FALSE)-1)&amp;"]"))),FALSE)="","",
VLOOKUP($A554,YES_Reading_FLA[], COLUMN(IF(VLOOKUP($D$2,'Reading Report Logic'!$A$2:$B$8,2,FALSE)=1, YES_Reading_FLA[Reading Level June of Previous School Year],INDIRECT("YES_Reading_FLA[Instructional Reading Level - Per "&amp;(VLOOKUP($D$2,'Reading Report Logic'!$A$2:$B$8,2,FALSE)-1)&amp;"]"))),FALSE)),
IF($J$2="Combined",
IFERROR(
IF(VLOOKUP($A554, YES_Reading_ELA[], COLUMN(IF(VLOOKUP($D$2,'Reading Report Logic'!$A$2:$B$8,2,FALSE)=1, YES_Reading_ELA[Reading Level June of Previous School Year],INDIRECT("YES_Reading_ELA[Instructional Reading Level - Per "&amp;(VLOOKUP($D$2,'Reading Report Logic'!$A$2:$B$8,2,FALSE)-1)&amp;"]"))), FALSE)="", "",
VLOOKUP($A554,YES_Reading_ELA[],COLUMN(IF(VLOOKUP($D$2,'Reading Report Logic'!$A$2:$B$8,2,FALSE)=1, YES_Reading_ELA[Reading Level June of Previous School Year],INDIRECT("YES_Reading_ELA[Instructional Reading Level - Per "&amp;(VLOOKUP($D$2,'Reading Report Logic'!$A$2:$B$8,2,FALSE)-1)&amp;"]"))),FALSE)),
IF(VLOOKUP($A554, YES_Reading_FLA[], COLUMN(IF(VLOOKUP($D$2,'Reading Report Logic'!$A$2:$B$8,2,FALSE)=1, YES_Reading_FLA[Reading Level June of Previous School Year],INDIRECT("YES_Reading_FLA[Instructional Reading Level - Per "&amp;(VLOOKUP($D$2,'Reading Report Logic'!$A$2:$B$8,2,FALSE)-1)&amp;"]"))),FALSE)="", "", VLOOKUP($A554,YES_Reading_FLA[],COLUMN(IF(VLOOKUP($D$2,'Reading Report Logic'!$A$2:$B$8,2,FALSE)=1, YES_Reading_FLA[Reading Level June of Previous School Year],INDIRECT("YES_Reading_FLA[Instructional Reading Level - Per "&amp;(VLOOKUP($D$2,'Reading Report Logic'!$A$2:$B$8,2,FALSE)-1)&amp;"]"))), FALSE))),""))),"")</f>
        <v/>
      </c>
      <c r="D554" s="204" t="str" cm="1">
        <f t="array" aca="1" ref="D554" ca="1">IFERROR(
IF($J$2="ELA",
IF(VLOOKUP($A554, YES_Reading_ELA[], COLUMN(INDIRECT("YES_Reading_ELA[Instructional Reading Level - Per "&amp;VLOOKUP($D$2, 'Reading Report Logic'!$A$2:$B$8, 2, FALSE)&amp;"]")), FALSE)="", "",
VLOOKUP($A554,YES_Reading_ELA[], COLUMN(INDIRECT("YES_Reading_ELA[Instructional Reading Level - Per "&amp;VLOOKUP($D$2,'Reading Report Logic'!$A$2:$B$8,2,FALSE)&amp;"]")), FALSE)),
IF($J$2="FLA",
IF(VLOOKUP($A554, YES_Reading_FLA[], COLUMN(INDIRECT("YES_Reading_FLA[Instructional Reading Level - Per "&amp;VLOOKUP($D$2,'Reading Report Logic'!$A$2:$B$8,2,FALSE)&amp;"]")),FALSE)="","",
VLOOKUP($A554,YES_Reading_FLA[],COLUMN(INDIRECT("YES_Reading_FLA[Instructional Reading Level - Per "&amp;VLOOKUP($D$2,'Reading Report Logic'!$A$2:$B$8,2,FALSE)&amp;"]")),FALSE)),
IF($J$2="Combined",
IFERROR(
IF(VLOOKUP($A554, YES_Reading_ELA[], COLUMN(INDIRECT("YES_Reading_ELA[Instructional Reading Level - Per "&amp;VLOOKUP($D$2, 'Reading Report Logic'!$A$2:$B$8,2,FALSE)&amp;"]")), FALSE)="", "",
VLOOKUP($A554,YES_Reading_ELA[],COLUMN(INDIRECT("YES_Reading_ELA[Instructional Reading Level - Per "&amp;VLOOKUP($D$2,'Reading Report Logic'!$A$2:$B$8,2,FALSE)&amp;"]")),FALSE)),
IF(VLOOKUP($A554, YES_Reading_FLA[], COLUMN(INDIRECT("YES_Reading_FLA[Instructional Reading Level - Per "&amp;VLOOKUP($D$2, 'Reading Report Logic'!$A$2:$B$8, 2, FALSE)&amp;"]")),FALSE)="", "", VLOOKUP($A554,YES_Reading_FLA[],COLUMN(INDIRECT("YES_Reading_FLA[Instructional Reading Level - Per "&amp;VLOOKUP($D$2, 'Reading Report Logic'!$A$2:$B$8, 2, FALSE)&amp;"]")),FALSE))),""))),"")</f>
        <v/>
      </c>
      <c r="E554" s="205" t="str" cm="1">
        <f t="array" aca="1" ref="E554" ca="1">IFERROR(
IF($J$2="ELA",
IF(VLOOKUP($A554, YES_Reading_ELA[], COLUMN(INDIRECT("YES_Reading_ELA[Min Expectation - Per "&amp;VLOOKUP($D$2, 'Reading Report Logic'!$A$2:$B$8, 2, FALSE)&amp;"]")), FALSE)="", "",
VLOOKUP($A554,YES_Reading_ELA[], COLUMN(INDIRECT("YES_Reading_ELA[Min Expectation - Per "&amp;VLOOKUP($D$2,'Reading Report Logic'!$A$2:$B$8,2,FALSE)&amp;"]")), FALSE)),
IF($J$2="FLA",
IF(VLOOKUP($A554, YES_Reading_FLA[], COLUMN(INDIRECT("YES_Reading_FLA[Min Expectation - Per "&amp;VLOOKUP($D$2,'Reading Report Logic'!$A$2:$B$8,2,FALSE)&amp;"]")),FALSE)="","",
VLOOKUP($A554,YES_Reading_FLA[],COLUMN(INDIRECT("YES_Reading_FLA[Min Expectation - Per "&amp;VLOOKUP($D$2,'Reading Report Logic'!$A$2:$B$8,2,FALSE)&amp;"]")),FALSE)),
IF($J$2="Combined",
IFERROR(
IF(VLOOKUP($A554, YES_Reading_ELA[], COLUMN(INDIRECT("YES_Reading_ELA[Min Expectation - Per "&amp;VLOOKUP($D$2, 'Reading Report Logic'!$A$2:$B$8,2,FALSE)&amp;"]")), FALSE)="", "",
VLOOKUP($A554,YES_Reading_ELA[],COLUMN(INDIRECT("YES_Reading_ELA[Min Expectation - Per "&amp;VLOOKUP($D$2,'Reading Report Logic'!$A$2:$B$8,2,FALSE)&amp;"]")),FALSE)),
IF(VLOOKUP($A554, YES_Reading_FLA[], COLUMN(INDIRECT("YES_Reading_FLA[Min Expectation - Per "&amp;VLOOKUP($D$2, 'Reading Report Logic'!$A$2:$B$8, 2, FALSE)&amp;"]")),FALSE)="", "", VLOOKUP($A554,YES_Reading_FLA[],COLUMN(INDIRECT("YES_Reading_FLA[Min Expectation - Per "&amp;VLOOKUP($D$2, 'Reading Report Logic'!$A$2:$B$8, 2, FALSE)&amp;"]")),FALSE))),""))),"")</f>
        <v/>
      </c>
      <c r="F554" s="205" t="str" cm="1">
        <f t="array" aca="1" ref="F554" ca="1">IFERROR(
IF($J$2="ELA",
IF(VLOOKUP($A554, YES_Reading_ELA[], COLUMN(INDIRECT("YES_Reading_ELA[Max Expectation - Per "&amp;VLOOKUP($D$2, 'Reading Report Logic'!$A$2:$B$8, 2, FALSE)&amp;"]")), FALSE)="", "",
VLOOKUP($A554,YES_Reading_ELA[], COLUMN(INDIRECT("YES_Reading_ELA[Max Expectation - Per "&amp;VLOOKUP($D$2,'Reading Report Logic'!$A$2:$B$8,2,FALSE)&amp;"]")), FALSE)),
IF($J$2="FLA",
IF(VLOOKUP($A554, YES_Reading_FLA[], COLUMN(INDIRECT("YES_Reading_FLA[Max Expectation - Per "&amp;VLOOKUP($D$2,'Reading Report Logic'!$A$2:$B$8,2,FALSE)&amp;"]")),FALSE)="","",
VLOOKUP($A554,YES_Reading_FLA[],COLUMN(INDIRECT("YES_Reading_FLA[Max Expectation - Per "&amp;VLOOKUP($D$2,'Reading Report Logic'!$A$2:$B$8,2,FALSE)&amp;"]")),FALSE)),
IF($J$2="Combined",
IFERROR(
IF(VLOOKUP($A554, YES_Reading_ELA[], COLUMN(INDIRECT("YES_Reading_ELA[Max Expectation - Per "&amp;VLOOKUP($D$2, 'Reading Report Logic'!$A$2:$B$8,2,FALSE)&amp;"]")), FALSE)="", "",
VLOOKUP($A554,YES_Reading_ELA[],COLUMN(INDIRECT("YES_Reading_ELA[Max Expectation - Per "&amp;VLOOKUP($D$2,'Reading Report Logic'!$A$2:$B$8,2,FALSE)&amp;"]")),FALSE)),
IF(VLOOKUP($A554, YES_Reading_FLA[], COLUMN(INDIRECT("YES_Reading_FLA[Max Expectation - Per "&amp;VLOOKUP($D$2, 'Reading Report Logic'!$A$2:$B$8, 2, FALSE)&amp;"]")),FALSE)="", "", VLOOKUP($A554,YES_Reading_FLA[],COLUMN(INDIRECT("YES_Reading_FLA[Max Expectation - Per "&amp;VLOOKUP($D$2, 'Reading Report Logic'!$A$2:$B$8, 2, FALSE)&amp;"]")),FALSE))),""))),"")</f>
        <v/>
      </c>
      <c r="G554" s="205" t="str" cm="1">
        <f t="array" aca="1" ref="G554" ca="1">IFERROR(
IF($J$2="ELA",
IF(VLOOKUP($A554, YES_Reading_ELA[], COLUMN(INDIRECT("YES_Reading_ELA[Difference - Per "&amp;VLOOKUP($D$2, 'Reading Report Logic'!$A$2:$B$8, 2, FALSE)&amp;"]")), FALSE)="", "",
VLOOKUP($A554,YES_Reading_ELA[], COLUMN(INDIRECT("YES_Reading_ELA[Difference - Per "&amp;VLOOKUP($D$2,'Reading Report Logic'!$A$2:$B$8,2,FALSE)&amp;"]")), FALSE)),
IF($J$2="FLA",
IF(VLOOKUP($A554, YES_Reading_FLA[], COLUMN(INDIRECT("YES_Reading_FLA[Difference - Per "&amp;VLOOKUP($D$2,'Reading Report Logic'!$A$2:$B$8,2,FALSE)&amp;"]")),FALSE)="","",
VLOOKUP($A554,YES_Reading_FLA[],COLUMN(INDIRECT("YES_Reading_FLA[Difference - Per "&amp;VLOOKUP($D$2,'Reading Report Logic'!$A$2:$B$8,2,FALSE)&amp;"]")),FALSE)),
IF($J$2="Combined",
IFERROR(
IF(VLOOKUP($A554, YES_Reading_ELA[], COLUMN(INDIRECT("YES_Reading_ELA[Difference - Per "&amp;VLOOKUP($D$2, 'Reading Report Logic'!$A$2:$B$8,2,FALSE)&amp;"]")), FALSE)="", "",
VLOOKUP($A554,YES_Reading_ELA[],COLUMN(INDIRECT("YES_Reading_ELA[Difference - Per "&amp;VLOOKUP($D$2,'Reading Report Logic'!$A$2:$B$8,2,FALSE)&amp;"]")),FALSE)),
IF(VLOOKUP($A554, YES_Reading_FLA[], COLUMN(INDIRECT("YES_Reading_FLA[Difference - Per "&amp;VLOOKUP($D$2, 'Reading Report Logic'!$A$2:$B$8, 2, FALSE)&amp;"]")),FALSE)="", "", VLOOKUP($A554,YES_Reading_FLA[],COLUMN(INDIRECT("YES_Reading_FLA[Difference - Per "&amp;VLOOKUP($D$2, 'Reading Report Logic'!$A$2:$B$8, 2, FALSE)&amp;"]")),FALSE))),""))),"")</f>
        <v/>
      </c>
      <c r="H554" s="206" t="str">
        <f ca="1">IFERROR(VLOOKUP('Teacher Reading Pull Sheets'!$D554,_xlfn.VSTACK('ELA Reading Logic'!$A$22:$B$48,'FLA Reading Logic'!$A$22:$B$53),2,FALSE)-VLOOKUP('Teacher Reading Pull Sheets'!$C554,_xlfn.VSTACK('ELA Reading Logic'!$A$22:$B$48,'FLA Reading Logic'!$A$22:$B$53),2,FALSE),"")</f>
        <v/>
      </c>
      <c r="I554" s="212"/>
      <c r="J554" s="206"/>
      <c r="K554" s="197" t="str" cm="1">
        <f t="array" ref="K554">IFERROR(
IF($J$2="ELA",
IF(VLOOKUP($A554, YES_Reading_ELA[], COLUMN(YES_Reading_ELA[Self-Identified as African Descent]), FALSE)="", "",
VLOOKUP($A554,YES_Reading_ELA[], COLUMN(YES_Reading_ELA[Self-Identified as African Descent]), FALSE)),
IF($J$2="FLA",
IF(VLOOKUP($A554, YES_Reading_FLA[], COLUMN(YES_Reading_FLA[Self-Identified as African Descent]),FALSE)="","",
VLOOKUP($A554,YES_Reading_FLA[],COLUMN(YES_Reading_FLA[Self-Identified as African Descent]),FALSE)),
IF($J$2="Combined",
IFERROR(
IF(VLOOKUP($A554, YES_Reading_ELA[], COLUMN(YES_Reading_ELA[Self-Identified as African Descent]), FALSE)="", "",
VLOOKUP($A554,YES_Reading_ELA[],COLUMN(YES_Reading_ELA[Self-Identified as African Descent]),FALSE)),
IF(VLOOKUP($A554, YES_Reading_FLA[], COLUMN(YES_Reading_FLA[Self-Identified as African Descent]),FALSE)="", "", VLOOKUP($A554,YES_Reading_FLA[],COLUMN(YES_Reading_FLA[Self-Identified as African Descent]),FALSE))),""))),"")</f>
        <v/>
      </c>
      <c r="L554" s="73" t="str" cm="1">
        <f t="array" ref="L554">IFERROR(
IF($J$2="ELA",
IF(VLOOKUP($A554, YES_Reading_ELA[], COLUMN(YES_Reading_ELA[Self-Identified as Indigenous]), FALSE)="", "",
VLOOKUP($A554,YES_Reading_ELA[], COLUMN(YES_Reading_ELA[Self-Identified as Indigenous]), FALSE)),
IF($J$2="FLA",
IF(VLOOKUP($A554, YES_Reading_FLA[], COLUMN(YES_Reading_FLA[Self-Identified as Indigenous]),FALSE)="","",
VLOOKUP($A554,YES_Reading_FLA[],COLUMN(YES_Reading_FLA[Self-Identified as Indigenous]),FALSE)),
IF($J$2="Combined",
IFERROR(
IF(VLOOKUP($A554, YES_Reading_ELA[], COLUMN(YES_Reading_ELA[Self-Identified as Indigenous]), FALSE)="", "",
VLOOKUP($A554,YES_Reading_ELA[],COLUMN(YES_Reading_ELA[Self-Identified as Indigenous]),FALSE)),
IF(VLOOKUP($A554, YES_Reading_FLA[], COLUMN(YES_Reading_FLA[Self-Identified as Indigenous]),FALSE)="", "", VLOOKUP($A554,YES_Reading_FLA[],COLUMN(YES_Reading_FLA[Self-Identified as Indigenous]),FALSE))),""))),"")</f>
        <v/>
      </c>
    </row>
    <row r="555" spans="1:12" ht="19.5" customHeight="1" x14ac:dyDescent="0.25">
      <c r="A555" s="217"/>
      <c r="B555" s="220" t="str">
        <f>IFERROR(VLOOKUP(A555,_xlfn.VSTACK(YES_Reading_ELA[],YES_Reading_FLA[]),2,FALSE),"")</f>
        <v/>
      </c>
      <c r="C555" s="203" t="str" cm="1">
        <f t="array" aca="1" ref="C555" ca="1">IFERROR(
IF($J$2="ELA",
IF(VLOOKUP($A555, YES_Reading_ELA[], COLUMN(IF(VLOOKUP($D$2, 'Reading Report Logic'!$A$2:$B$8, 2, FALSE)=1, YES_Reading_ELA[Reading Level June of Previous School Year], INDIRECT("YES_Reading_ELA[Instructional Reading Level - Per "&amp;(VLOOKUP($D$2,'Reading Report Logic'!$A$2:$B$8,2,FALSE)-1)&amp;"]"))), FALSE)="", "",
VLOOKUP($A555,YES_Reading_ELA[], COLUMN(IF(VLOOKUP($D$2,'Reading Report Logic'!$A$2:$B$8,2,FALSE)=1, YES_Reading_ELA[Reading Level June of Previous School Year],INDIRECT("YES_Reading_ELA[Instructional Reading Level - Per "&amp;(VLOOKUP($D$2,'Reading Report Logic'!$A$2:$B$8,2,FALSE)-1)&amp;"]"))), FALSE)),
IF($J$2="FLA",
IF(VLOOKUP($A555, YES_Reading_FLA[], COLUMN(IF(VLOOKUP($D$2,'Reading Report Logic'!$A$2:$B$8,2,FALSE)=1, YES_Reading_FLA[Reading Level June of Previous School Year],INDIRECT("YES_Reading_FLA[Instructional Reading Level - Per "&amp;(VLOOKUP($D$2,'Reading Report Logic'!$A$2:$B$8,2,FALSE)-1)&amp;"]"))),FALSE)="","",
VLOOKUP($A555,YES_Reading_FLA[], COLUMN(IF(VLOOKUP($D$2,'Reading Report Logic'!$A$2:$B$8,2,FALSE)=1, YES_Reading_FLA[Reading Level June of Previous School Year],INDIRECT("YES_Reading_FLA[Instructional Reading Level - Per "&amp;(VLOOKUP($D$2,'Reading Report Logic'!$A$2:$B$8,2,FALSE)-1)&amp;"]"))),FALSE)),
IF($J$2="Combined",
IFERROR(
IF(VLOOKUP($A555, YES_Reading_ELA[], COLUMN(IF(VLOOKUP($D$2,'Reading Report Logic'!$A$2:$B$8,2,FALSE)=1, YES_Reading_ELA[Reading Level June of Previous School Year],INDIRECT("YES_Reading_ELA[Instructional Reading Level - Per "&amp;(VLOOKUP($D$2,'Reading Report Logic'!$A$2:$B$8,2,FALSE)-1)&amp;"]"))), FALSE)="", "",
VLOOKUP($A555,YES_Reading_ELA[],COLUMN(IF(VLOOKUP($D$2,'Reading Report Logic'!$A$2:$B$8,2,FALSE)=1, YES_Reading_ELA[Reading Level June of Previous School Year],INDIRECT("YES_Reading_ELA[Instructional Reading Level - Per "&amp;(VLOOKUP($D$2,'Reading Report Logic'!$A$2:$B$8,2,FALSE)-1)&amp;"]"))),FALSE)),
IF(VLOOKUP($A555, YES_Reading_FLA[], COLUMN(IF(VLOOKUP($D$2,'Reading Report Logic'!$A$2:$B$8,2,FALSE)=1, YES_Reading_FLA[Reading Level June of Previous School Year],INDIRECT("YES_Reading_FLA[Instructional Reading Level - Per "&amp;(VLOOKUP($D$2,'Reading Report Logic'!$A$2:$B$8,2,FALSE)-1)&amp;"]"))),FALSE)="", "", VLOOKUP($A555,YES_Reading_FLA[],COLUMN(IF(VLOOKUP($D$2,'Reading Report Logic'!$A$2:$B$8,2,FALSE)=1, YES_Reading_FLA[Reading Level June of Previous School Year],INDIRECT("YES_Reading_FLA[Instructional Reading Level - Per "&amp;(VLOOKUP($D$2,'Reading Report Logic'!$A$2:$B$8,2,FALSE)-1)&amp;"]"))), FALSE))),""))),"")</f>
        <v/>
      </c>
      <c r="D555" s="204" t="str" cm="1">
        <f t="array" aca="1" ref="D555" ca="1">IFERROR(
IF($J$2="ELA",
IF(VLOOKUP($A555, YES_Reading_ELA[], COLUMN(INDIRECT("YES_Reading_ELA[Instructional Reading Level - Per "&amp;VLOOKUP($D$2, 'Reading Report Logic'!$A$2:$B$8, 2, FALSE)&amp;"]")), FALSE)="", "",
VLOOKUP($A555,YES_Reading_ELA[], COLUMN(INDIRECT("YES_Reading_ELA[Instructional Reading Level - Per "&amp;VLOOKUP($D$2,'Reading Report Logic'!$A$2:$B$8,2,FALSE)&amp;"]")), FALSE)),
IF($J$2="FLA",
IF(VLOOKUP($A555, YES_Reading_FLA[], COLUMN(INDIRECT("YES_Reading_FLA[Instructional Reading Level - Per "&amp;VLOOKUP($D$2,'Reading Report Logic'!$A$2:$B$8,2,FALSE)&amp;"]")),FALSE)="","",
VLOOKUP($A555,YES_Reading_FLA[],COLUMN(INDIRECT("YES_Reading_FLA[Instructional Reading Level - Per "&amp;VLOOKUP($D$2,'Reading Report Logic'!$A$2:$B$8,2,FALSE)&amp;"]")),FALSE)),
IF($J$2="Combined",
IFERROR(
IF(VLOOKUP($A555, YES_Reading_ELA[], COLUMN(INDIRECT("YES_Reading_ELA[Instructional Reading Level - Per "&amp;VLOOKUP($D$2, 'Reading Report Logic'!$A$2:$B$8,2,FALSE)&amp;"]")), FALSE)="", "",
VLOOKUP($A555,YES_Reading_ELA[],COLUMN(INDIRECT("YES_Reading_ELA[Instructional Reading Level - Per "&amp;VLOOKUP($D$2,'Reading Report Logic'!$A$2:$B$8,2,FALSE)&amp;"]")),FALSE)),
IF(VLOOKUP($A555, YES_Reading_FLA[], COLUMN(INDIRECT("YES_Reading_FLA[Instructional Reading Level - Per "&amp;VLOOKUP($D$2, 'Reading Report Logic'!$A$2:$B$8, 2, FALSE)&amp;"]")),FALSE)="", "", VLOOKUP($A555,YES_Reading_FLA[],COLUMN(INDIRECT("YES_Reading_FLA[Instructional Reading Level - Per "&amp;VLOOKUP($D$2, 'Reading Report Logic'!$A$2:$B$8, 2, FALSE)&amp;"]")),FALSE))),""))),"")</f>
        <v/>
      </c>
      <c r="E555" s="205" t="str" cm="1">
        <f t="array" aca="1" ref="E555" ca="1">IFERROR(
IF($J$2="ELA",
IF(VLOOKUP($A555, YES_Reading_ELA[], COLUMN(INDIRECT("YES_Reading_ELA[Min Expectation - Per "&amp;VLOOKUP($D$2, 'Reading Report Logic'!$A$2:$B$8, 2, FALSE)&amp;"]")), FALSE)="", "",
VLOOKUP($A555,YES_Reading_ELA[], COLUMN(INDIRECT("YES_Reading_ELA[Min Expectation - Per "&amp;VLOOKUP($D$2,'Reading Report Logic'!$A$2:$B$8,2,FALSE)&amp;"]")), FALSE)),
IF($J$2="FLA",
IF(VLOOKUP($A555, YES_Reading_FLA[], COLUMN(INDIRECT("YES_Reading_FLA[Min Expectation - Per "&amp;VLOOKUP($D$2,'Reading Report Logic'!$A$2:$B$8,2,FALSE)&amp;"]")),FALSE)="","",
VLOOKUP($A555,YES_Reading_FLA[],COLUMN(INDIRECT("YES_Reading_FLA[Min Expectation - Per "&amp;VLOOKUP($D$2,'Reading Report Logic'!$A$2:$B$8,2,FALSE)&amp;"]")),FALSE)),
IF($J$2="Combined",
IFERROR(
IF(VLOOKUP($A555, YES_Reading_ELA[], COLUMN(INDIRECT("YES_Reading_ELA[Min Expectation - Per "&amp;VLOOKUP($D$2, 'Reading Report Logic'!$A$2:$B$8,2,FALSE)&amp;"]")), FALSE)="", "",
VLOOKUP($A555,YES_Reading_ELA[],COLUMN(INDIRECT("YES_Reading_ELA[Min Expectation - Per "&amp;VLOOKUP($D$2,'Reading Report Logic'!$A$2:$B$8,2,FALSE)&amp;"]")),FALSE)),
IF(VLOOKUP($A555, YES_Reading_FLA[], COLUMN(INDIRECT("YES_Reading_FLA[Min Expectation - Per "&amp;VLOOKUP($D$2, 'Reading Report Logic'!$A$2:$B$8, 2, FALSE)&amp;"]")),FALSE)="", "", VLOOKUP($A555,YES_Reading_FLA[],COLUMN(INDIRECT("YES_Reading_FLA[Min Expectation - Per "&amp;VLOOKUP($D$2, 'Reading Report Logic'!$A$2:$B$8, 2, FALSE)&amp;"]")),FALSE))),""))),"")</f>
        <v/>
      </c>
      <c r="F555" s="205" t="str" cm="1">
        <f t="array" aca="1" ref="F555" ca="1">IFERROR(
IF($J$2="ELA",
IF(VLOOKUP($A555, YES_Reading_ELA[], COLUMN(INDIRECT("YES_Reading_ELA[Max Expectation - Per "&amp;VLOOKUP($D$2, 'Reading Report Logic'!$A$2:$B$8, 2, FALSE)&amp;"]")), FALSE)="", "",
VLOOKUP($A555,YES_Reading_ELA[], COLUMN(INDIRECT("YES_Reading_ELA[Max Expectation - Per "&amp;VLOOKUP($D$2,'Reading Report Logic'!$A$2:$B$8,2,FALSE)&amp;"]")), FALSE)),
IF($J$2="FLA",
IF(VLOOKUP($A555, YES_Reading_FLA[], COLUMN(INDIRECT("YES_Reading_FLA[Max Expectation - Per "&amp;VLOOKUP($D$2,'Reading Report Logic'!$A$2:$B$8,2,FALSE)&amp;"]")),FALSE)="","",
VLOOKUP($A555,YES_Reading_FLA[],COLUMN(INDIRECT("YES_Reading_FLA[Max Expectation - Per "&amp;VLOOKUP($D$2,'Reading Report Logic'!$A$2:$B$8,2,FALSE)&amp;"]")),FALSE)),
IF($J$2="Combined",
IFERROR(
IF(VLOOKUP($A555, YES_Reading_ELA[], COLUMN(INDIRECT("YES_Reading_ELA[Max Expectation - Per "&amp;VLOOKUP($D$2, 'Reading Report Logic'!$A$2:$B$8,2,FALSE)&amp;"]")), FALSE)="", "",
VLOOKUP($A555,YES_Reading_ELA[],COLUMN(INDIRECT("YES_Reading_ELA[Max Expectation - Per "&amp;VLOOKUP($D$2,'Reading Report Logic'!$A$2:$B$8,2,FALSE)&amp;"]")),FALSE)),
IF(VLOOKUP($A555, YES_Reading_FLA[], COLUMN(INDIRECT("YES_Reading_FLA[Max Expectation - Per "&amp;VLOOKUP($D$2, 'Reading Report Logic'!$A$2:$B$8, 2, FALSE)&amp;"]")),FALSE)="", "", VLOOKUP($A555,YES_Reading_FLA[],COLUMN(INDIRECT("YES_Reading_FLA[Max Expectation - Per "&amp;VLOOKUP($D$2, 'Reading Report Logic'!$A$2:$B$8, 2, FALSE)&amp;"]")),FALSE))),""))),"")</f>
        <v/>
      </c>
      <c r="G555" s="205" t="str" cm="1">
        <f t="array" aca="1" ref="G555" ca="1">IFERROR(
IF($J$2="ELA",
IF(VLOOKUP($A555, YES_Reading_ELA[], COLUMN(INDIRECT("YES_Reading_ELA[Difference - Per "&amp;VLOOKUP($D$2, 'Reading Report Logic'!$A$2:$B$8, 2, FALSE)&amp;"]")), FALSE)="", "",
VLOOKUP($A555,YES_Reading_ELA[], COLUMN(INDIRECT("YES_Reading_ELA[Difference - Per "&amp;VLOOKUP($D$2,'Reading Report Logic'!$A$2:$B$8,2,FALSE)&amp;"]")), FALSE)),
IF($J$2="FLA",
IF(VLOOKUP($A555, YES_Reading_FLA[], COLUMN(INDIRECT("YES_Reading_FLA[Difference - Per "&amp;VLOOKUP($D$2,'Reading Report Logic'!$A$2:$B$8,2,FALSE)&amp;"]")),FALSE)="","",
VLOOKUP($A555,YES_Reading_FLA[],COLUMN(INDIRECT("YES_Reading_FLA[Difference - Per "&amp;VLOOKUP($D$2,'Reading Report Logic'!$A$2:$B$8,2,FALSE)&amp;"]")),FALSE)),
IF($J$2="Combined",
IFERROR(
IF(VLOOKUP($A555, YES_Reading_ELA[], COLUMN(INDIRECT("YES_Reading_ELA[Difference - Per "&amp;VLOOKUP($D$2, 'Reading Report Logic'!$A$2:$B$8,2,FALSE)&amp;"]")), FALSE)="", "",
VLOOKUP($A555,YES_Reading_ELA[],COLUMN(INDIRECT("YES_Reading_ELA[Difference - Per "&amp;VLOOKUP($D$2,'Reading Report Logic'!$A$2:$B$8,2,FALSE)&amp;"]")),FALSE)),
IF(VLOOKUP($A555, YES_Reading_FLA[], COLUMN(INDIRECT("YES_Reading_FLA[Difference - Per "&amp;VLOOKUP($D$2, 'Reading Report Logic'!$A$2:$B$8, 2, FALSE)&amp;"]")),FALSE)="", "", VLOOKUP($A555,YES_Reading_FLA[],COLUMN(INDIRECT("YES_Reading_FLA[Difference - Per "&amp;VLOOKUP($D$2, 'Reading Report Logic'!$A$2:$B$8, 2, FALSE)&amp;"]")),FALSE))),""))),"")</f>
        <v/>
      </c>
      <c r="H555" s="206" t="str">
        <f ca="1">IFERROR(VLOOKUP('Teacher Reading Pull Sheets'!$D555,_xlfn.VSTACK('ELA Reading Logic'!$A$22:$B$48,'FLA Reading Logic'!$A$22:$B$53),2,FALSE)-VLOOKUP('Teacher Reading Pull Sheets'!$C555,_xlfn.VSTACK('ELA Reading Logic'!$A$22:$B$48,'FLA Reading Logic'!$A$22:$B$53),2,FALSE),"")</f>
        <v/>
      </c>
      <c r="I555" s="212"/>
      <c r="J555" s="206"/>
      <c r="K555" s="197" t="str" cm="1">
        <f t="array" ref="K555">IFERROR(
IF($J$2="ELA",
IF(VLOOKUP($A555, YES_Reading_ELA[], COLUMN(YES_Reading_ELA[Self-Identified as African Descent]), FALSE)="", "",
VLOOKUP($A555,YES_Reading_ELA[], COLUMN(YES_Reading_ELA[Self-Identified as African Descent]), FALSE)),
IF($J$2="FLA",
IF(VLOOKUP($A555, YES_Reading_FLA[], COLUMN(YES_Reading_FLA[Self-Identified as African Descent]),FALSE)="","",
VLOOKUP($A555,YES_Reading_FLA[],COLUMN(YES_Reading_FLA[Self-Identified as African Descent]),FALSE)),
IF($J$2="Combined",
IFERROR(
IF(VLOOKUP($A555, YES_Reading_ELA[], COLUMN(YES_Reading_ELA[Self-Identified as African Descent]), FALSE)="", "",
VLOOKUP($A555,YES_Reading_ELA[],COLUMN(YES_Reading_ELA[Self-Identified as African Descent]),FALSE)),
IF(VLOOKUP($A555, YES_Reading_FLA[], COLUMN(YES_Reading_FLA[Self-Identified as African Descent]),FALSE)="", "", VLOOKUP($A555,YES_Reading_FLA[],COLUMN(YES_Reading_FLA[Self-Identified as African Descent]),FALSE))),""))),"")</f>
        <v/>
      </c>
      <c r="L555" s="73" t="str" cm="1">
        <f t="array" ref="L555">IFERROR(
IF($J$2="ELA",
IF(VLOOKUP($A555, YES_Reading_ELA[], COLUMN(YES_Reading_ELA[Self-Identified as Indigenous]), FALSE)="", "",
VLOOKUP($A555,YES_Reading_ELA[], COLUMN(YES_Reading_ELA[Self-Identified as Indigenous]), FALSE)),
IF($J$2="FLA",
IF(VLOOKUP($A555, YES_Reading_FLA[], COLUMN(YES_Reading_FLA[Self-Identified as Indigenous]),FALSE)="","",
VLOOKUP($A555,YES_Reading_FLA[],COLUMN(YES_Reading_FLA[Self-Identified as Indigenous]),FALSE)),
IF($J$2="Combined",
IFERROR(
IF(VLOOKUP($A555, YES_Reading_ELA[], COLUMN(YES_Reading_ELA[Self-Identified as Indigenous]), FALSE)="", "",
VLOOKUP($A555,YES_Reading_ELA[],COLUMN(YES_Reading_ELA[Self-Identified as Indigenous]),FALSE)),
IF(VLOOKUP($A555, YES_Reading_FLA[], COLUMN(YES_Reading_FLA[Self-Identified as Indigenous]),FALSE)="", "", VLOOKUP($A555,YES_Reading_FLA[],COLUMN(YES_Reading_FLA[Self-Identified as Indigenous]),FALSE))),""))),"")</f>
        <v/>
      </c>
    </row>
    <row r="556" spans="1:12" ht="19.5" customHeight="1" x14ac:dyDescent="0.25">
      <c r="A556" s="217"/>
      <c r="B556" s="220" t="str">
        <f>IFERROR(VLOOKUP(A556,_xlfn.VSTACK(YES_Reading_ELA[],YES_Reading_FLA[]),2,FALSE),"")</f>
        <v/>
      </c>
      <c r="C556" s="203" t="str" cm="1">
        <f t="array" aca="1" ref="C556" ca="1">IFERROR(
IF($J$2="ELA",
IF(VLOOKUP($A556, YES_Reading_ELA[], COLUMN(IF(VLOOKUP($D$2, 'Reading Report Logic'!$A$2:$B$8, 2, FALSE)=1, YES_Reading_ELA[Reading Level June of Previous School Year], INDIRECT("YES_Reading_ELA[Instructional Reading Level - Per "&amp;(VLOOKUP($D$2,'Reading Report Logic'!$A$2:$B$8,2,FALSE)-1)&amp;"]"))), FALSE)="", "",
VLOOKUP($A556,YES_Reading_ELA[], COLUMN(IF(VLOOKUP($D$2,'Reading Report Logic'!$A$2:$B$8,2,FALSE)=1, YES_Reading_ELA[Reading Level June of Previous School Year],INDIRECT("YES_Reading_ELA[Instructional Reading Level - Per "&amp;(VLOOKUP($D$2,'Reading Report Logic'!$A$2:$B$8,2,FALSE)-1)&amp;"]"))), FALSE)),
IF($J$2="FLA",
IF(VLOOKUP($A556, YES_Reading_FLA[], COLUMN(IF(VLOOKUP($D$2,'Reading Report Logic'!$A$2:$B$8,2,FALSE)=1, YES_Reading_FLA[Reading Level June of Previous School Year],INDIRECT("YES_Reading_FLA[Instructional Reading Level - Per "&amp;(VLOOKUP($D$2,'Reading Report Logic'!$A$2:$B$8,2,FALSE)-1)&amp;"]"))),FALSE)="","",
VLOOKUP($A556,YES_Reading_FLA[], COLUMN(IF(VLOOKUP($D$2,'Reading Report Logic'!$A$2:$B$8,2,FALSE)=1, YES_Reading_FLA[Reading Level June of Previous School Year],INDIRECT("YES_Reading_FLA[Instructional Reading Level - Per "&amp;(VLOOKUP($D$2,'Reading Report Logic'!$A$2:$B$8,2,FALSE)-1)&amp;"]"))),FALSE)),
IF($J$2="Combined",
IFERROR(
IF(VLOOKUP($A556, YES_Reading_ELA[], COLUMN(IF(VLOOKUP($D$2,'Reading Report Logic'!$A$2:$B$8,2,FALSE)=1, YES_Reading_ELA[Reading Level June of Previous School Year],INDIRECT("YES_Reading_ELA[Instructional Reading Level - Per "&amp;(VLOOKUP($D$2,'Reading Report Logic'!$A$2:$B$8,2,FALSE)-1)&amp;"]"))), FALSE)="", "",
VLOOKUP($A556,YES_Reading_ELA[],COLUMN(IF(VLOOKUP($D$2,'Reading Report Logic'!$A$2:$B$8,2,FALSE)=1, YES_Reading_ELA[Reading Level June of Previous School Year],INDIRECT("YES_Reading_ELA[Instructional Reading Level - Per "&amp;(VLOOKUP($D$2,'Reading Report Logic'!$A$2:$B$8,2,FALSE)-1)&amp;"]"))),FALSE)),
IF(VLOOKUP($A556, YES_Reading_FLA[], COLUMN(IF(VLOOKUP($D$2,'Reading Report Logic'!$A$2:$B$8,2,FALSE)=1, YES_Reading_FLA[Reading Level June of Previous School Year],INDIRECT("YES_Reading_FLA[Instructional Reading Level - Per "&amp;(VLOOKUP($D$2,'Reading Report Logic'!$A$2:$B$8,2,FALSE)-1)&amp;"]"))),FALSE)="", "", VLOOKUP($A556,YES_Reading_FLA[],COLUMN(IF(VLOOKUP($D$2,'Reading Report Logic'!$A$2:$B$8,2,FALSE)=1, YES_Reading_FLA[Reading Level June of Previous School Year],INDIRECT("YES_Reading_FLA[Instructional Reading Level - Per "&amp;(VLOOKUP($D$2,'Reading Report Logic'!$A$2:$B$8,2,FALSE)-1)&amp;"]"))), FALSE))),""))),"")</f>
        <v/>
      </c>
      <c r="D556" s="204" t="str" cm="1">
        <f t="array" aca="1" ref="D556" ca="1">IFERROR(
IF($J$2="ELA",
IF(VLOOKUP($A556, YES_Reading_ELA[], COLUMN(INDIRECT("YES_Reading_ELA[Instructional Reading Level - Per "&amp;VLOOKUP($D$2, 'Reading Report Logic'!$A$2:$B$8, 2, FALSE)&amp;"]")), FALSE)="", "",
VLOOKUP($A556,YES_Reading_ELA[], COLUMN(INDIRECT("YES_Reading_ELA[Instructional Reading Level - Per "&amp;VLOOKUP($D$2,'Reading Report Logic'!$A$2:$B$8,2,FALSE)&amp;"]")), FALSE)),
IF($J$2="FLA",
IF(VLOOKUP($A556, YES_Reading_FLA[], COLUMN(INDIRECT("YES_Reading_FLA[Instructional Reading Level - Per "&amp;VLOOKUP($D$2,'Reading Report Logic'!$A$2:$B$8,2,FALSE)&amp;"]")),FALSE)="","",
VLOOKUP($A556,YES_Reading_FLA[],COLUMN(INDIRECT("YES_Reading_FLA[Instructional Reading Level - Per "&amp;VLOOKUP($D$2,'Reading Report Logic'!$A$2:$B$8,2,FALSE)&amp;"]")),FALSE)),
IF($J$2="Combined",
IFERROR(
IF(VLOOKUP($A556, YES_Reading_ELA[], COLUMN(INDIRECT("YES_Reading_ELA[Instructional Reading Level - Per "&amp;VLOOKUP($D$2, 'Reading Report Logic'!$A$2:$B$8,2,FALSE)&amp;"]")), FALSE)="", "",
VLOOKUP($A556,YES_Reading_ELA[],COLUMN(INDIRECT("YES_Reading_ELA[Instructional Reading Level - Per "&amp;VLOOKUP($D$2,'Reading Report Logic'!$A$2:$B$8,2,FALSE)&amp;"]")),FALSE)),
IF(VLOOKUP($A556, YES_Reading_FLA[], COLUMN(INDIRECT("YES_Reading_FLA[Instructional Reading Level - Per "&amp;VLOOKUP($D$2, 'Reading Report Logic'!$A$2:$B$8, 2, FALSE)&amp;"]")),FALSE)="", "", VLOOKUP($A556,YES_Reading_FLA[],COLUMN(INDIRECT("YES_Reading_FLA[Instructional Reading Level - Per "&amp;VLOOKUP($D$2, 'Reading Report Logic'!$A$2:$B$8, 2, FALSE)&amp;"]")),FALSE))),""))),"")</f>
        <v/>
      </c>
      <c r="E556" s="205" t="str" cm="1">
        <f t="array" aca="1" ref="E556" ca="1">IFERROR(
IF($J$2="ELA",
IF(VLOOKUP($A556, YES_Reading_ELA[], COLUMN(INDIRECT("YES_Reading_ELA[Min Expectation - Per "&amp;VLOOKUP($D$2, 'Reading Report Logic'!$A$2:$B$8, 2, FALSE)&amp;"]")), FALSE)="", "",
VLOOKUP($A556,YES_Reading_ELA[], COLUMN(INDIRECT("YES_Reading_ELA[Min Expectation - Per "&amp;VLOOKUP($D$2,'Reading Report Logic'!$A$2:$B$8,2,FALSE)&amp;"]")), FALSE)),
IF($J$2="FLA",
IF(VLOOKUP($A556, YES_Reading_FLA[], COLUMN(INDIRECT("YES_Reading_FLA[Min Expectation - Per "&amp;VLOOKUP($D$2,'Reading Report Logic'!$A$2:$B$8,2,FALSE)&amp;"]")),FALSE)="","",
VLOOKUP($A556,YES_Reading_FLA[],COLUMN(INDIRECT("YES_Reading_FLA[Min Expectation - Per "&amp;VLOOKUP($D$2,'Reading Report Logic'!$A$2:$B$8,2,FALSE)&amp;"]")),FALSE)),
IF($J$2="Combined",
IFERROR(
IF(VLOOKUP($A556, YES_Reading_ELA[], COLUMN(INDIRECT("YES_Reading_ELA[Min Expectation - Per "&amp;VLOOKUP($D$2, 'Reading Report Logic'!$A$2:$B$8,2,FALSE)&amp;"]")), FALSE)="", "",
VLOOKUP($A556,YES_Reading_ELA[],COLUMN(INDIRECT("YES_Reading_ELA[Min Expectation - Per "&amp;VLOOKUP($D$2,'Reading Report Logic'!$A$2:$B$8,2,FALSE)&amp;"]")),FALSE)),
IF(VLOOKUP($A556, YES_Reading_FLA[], COLUMN(INDIRECT("YES_Reading_FLA[Min Expectation - Per "&amp;VLOOKUP($D$2, 'Reading Report Logic'!$A$2:$B$8, 2, FALSE)&amp;"]")),FALSE)="", "", VLOOKUP($A556,YES_Reading_FLA[],COLUMN(INDIRECT("YES_Reading_FLA[Min Expectation - Per "&amp;VLOOKUP($D$2, 'Reading Report Logic'!$A$2:$B$8, 2, FALSE)&amp;"]")),FALSE))),""))),"")</f>
        <v/>
      </c>
      <c r="F556" s="205" t="str" cm="1">
        <f t="array" aca="1" ref="F556" ca="1">IFERROR(
IF($J$2="ELA",
IF(VLOOKUP($A556, YES_Reading_ELA[], COLUMN(INDIRECT("YES_Reading_ELA[Max Expectation - Per "&amp;VLOOKUP($D$2, 'Reading Report Logic'!$A$2:$B$8, 2, FALSE)&amp;"]")), FALSE)="", "",
VLOOKUP($A556,YES_Reading_ELA[], COLUMN(INDIRECT("YES_Reading_ELA[Max Expectation - Per "&amp;VLOOKUP($D$2,'Reading Report Logic'!$A$2:$B$8,2,FALSE)&amp;"]")), FALSE)),
IF($J$2="FLA",
IF(VLOOKUP($A556, YES_Reading_FLA[], COLUMN(INDIRECT("YES_Reading_FLA[Max Expectation - Per "&amp;VLOOKUP($D$2,'Reading Report Logic'!$A$2:$B$8,2,FALSE)&amp;"]")),FALSE)="","",
VLOOKUP($A556,YES_Reading_FLA[],COLUMN(INDIRECT("YES_Reading_FLA[Max Expectation - Per "&amp;VLOOKUP($D$2,'Reading Report Logic'!$A$2:$B$8,2,FALSE)&amp;"]")),FALSE)),
IF($J$2="Combined",
IFERROR(
IF(VLOOKUP($A556, YES_Reading_ELA[], COLUMN(INDIRECT("YES_Reading_ELA[Max Expectation - Per "&amp;VLOOKUP($D$2, 'Reading Report Logic'!$A$2:$B$8,2,FALSE)&amp;"]")), FALSE)="", "",
VLOOKUP($A556,YES_Reading_ELA[],COLUMN(INDIRECT("YES_Reading_ELA[Max Expectation - Per "&amp;VLOOKUP($D$2,'Reading Report Logic'!$A$2:$B$8,2,FALSE)&amp;"]")),FALSE)),
IF(VLOOKUP($A556, YES_Reading_FLA[], COLUMN(INDIRECT("YES_Reading_FLA[Max Expectation - Per "&amp;VLOOKUP($D$2, 'Reading Report Logic'!$A$2:$B$8, 2, FALSE)&amp;"]")),FALSE)="", "", VLOOKUP($A556,YES_Reading_FLA[],COLUMN(INDIRECT("YES_Reading_FLA[Max Expectation - Per "&amp;VLOOKUP($D$2, 'Reading Report Logic'!$A$2:$B$8, 2, FALSE)&amp;"]")),FALSE))),""))),"")</f>
        <v/>
      </c>
      <c r="G556" s="205" t="str" cm="1">
        <f t="array" aca="1" ref="G556" ca="1">IFERROR(
IF($J$2="ELA",
IF(VLOOKUP($A556, YES_Reading_ELA[], COLUMN(INDIRECT("YES_Reading_ELA[Difference - Per "&amp;VLOOKUP($D$2, 'Reading Report Logic'!$A$2:$B$8, 2, FALSE)&amp;"]")), FALSE)="", "",
VLOOKUP($A556,YES_Reading_ELA[], COLUMN(INDIRECT("YES_Reading_ELA[Difference - Per "&amp;VLOOKUP($D$2,'Reading Report Logic'!$A$2:$B$8,2,FALSE)&amp;"]")), FALSE)),
IF($J$2="FLA",
IF(VLOOKUP($A556, YES_Reading_FLA[], COLUMN(INDIRECT("YES_Reading_FLA[Difference - Per "&amp;VLOOKUP($D$2,'Reading Report Logic'!$A$2:$B$8,2,FALSE)&amp;"]")),FALSE)="","",
VLOOKUP($A556,YES_Reading_FLA[],COLUMN(INDIRECT("YES_Reading_FLA[Difference - Per "&amp;VLOOKUP($D$2,'Reading Report Logic'!$A$2:$B$8,2,FALSE)&amp;"]")),FALSE)),
IF($J$2="Combined",
IFERROR(
IF(VLOOKUP($A556, YES_Reading_ELA[], COLUMN(INDIRECT("YES_Reading_ELA[Difference - Per "&amp;VLOOKUP($D$2, 'Reading Report Logic'!$A$2:$B$8,2,FALSE)&amp;"]")), FALSE)="", "",
VLOOKUP($A556,YES_Reading_ELA[],COLUMN(INDIRECT("YES_Reading_ELA[Difference - Per "&amp;VLOOKUP($D$2,'Reading Report Logic'!$A$2:$B$8,2,FALSE)&amp;"]")),FALSE)),
IF(VLOOKUP($A556, YES_Reading_FLA[], COLUMN(INDIRECT("YES_Reading_FLA[Difference - Per "&amp;VLOOKUP($D$2, 'Reading Report Logic'!$A$2:$B$8, 2, FALSE)&amp;"]")),FALSE)="", "", VLOOKUP($A556,YES_Reading_FLA[],COLUMN(INDIRECT("YES_Reading_FLA[Difference - Per "&amp;VLOOKUP($D$2, 'Reading Report Logic'!$A$2:$B$8, 2, FALSE)&amp;"]")),FALSE))),""))),"")</f>
        <v/>
      </c>
      <c r="H556" s="206" t="str">
        <f ca="1">IFERROR(VLOOKUP('Teacher Reading Pull Sheets'!$D556,_xlfn.VSTACK('ELA Reading Logic'!$A$22:$B$48,'FLA Reading Logic'!$A$22:$B$53),2,FALSE)-VLOOKUP('Teacher Reading Pull Sheets'!$C556,_xlfn.VSTACK('ELA Reading Logic'!$A$22:$B$48,'FLA Reading Logic'!$A$22:$B$53),2,FALSE),"")</f>
        <v/>
      </c>
      <c r="I556" s="212"/>
      <c r="J556" s="206"/>
      <c r="K556" s="197" t="str" cm="1">
        <f t="array" ref="K556">IFERROR(
IF($J$2="ELA",
IF(VLOOKUP($A556, YES_Reading_ELA[], COLUMN(YES_Reading_ELA[Self-Identified as African Descent]), FALSE)="", "",
VLOOKUP($A556,YES_Reading_ELA[], COLUMN(YES_Reading_ELA[Self-Identified as African Descent]), FALSE)),
IF($J$2="FLA",
IF(VLOOKUP($A556, YES_Reading_FLA[], COLUMN(YES_Reading_FLA[Self-Identified as African Descent]),FALSE)="","",
VLOOKUP($A556,YES_Reading_FLA[],COLUMN(YES_Reading_FLA[Self-Identified as African Descent]),FALSE)),
IF($J$2="Combined",
IFERROR(
IF(VLOOKUP($A556, YES_Reading_ELA[], COLUMN(YES_Reading_ELA[Self-Identified as African Descent]), FALSE)="", "",
VLOOKUP($A556,YES_Reading_ELA[],COLUMN(YES_Reading_ELA[Self-Identified as African Descent]),FALSE)),
IF(VLOOKUP($A556, YES_Reading_FLA[], COLUMN(YES_Reading_FLA[Self-Identified as African Descent]),FALSE)="", "", VLOOKUP($A556,YES_Reading_FLA[],COLUMN(YES_Reading_FLA[Self-Identified as African Descent]),FALSE))),""))),"")</f>
        <v/>
      </c>
      <c r="L556" s="73" t="str" cm="1">
        <f t="array" ref="L556">IFERROR(
IF($J$2="ELA",
IF(VLOOKUP($A556, YES_Reading_ELA[], COLUMN(YES_Reading_ELA[Self-Identified as Indigenous]), FALSE)="", "",
VLOOKUP($A556,YES_Reading_ELA[], COLUMN(YES_Reading_ELA[Self-Identified as Indigenous]), FALSE)),
IF($J$2="FLA",
IF(VLOOKUP($A556, YES_Reading_FLA[], COLUMN(YES_Reading_FLA[Self-Identified as Indigenous]),FALSE)="","",
VLOOKUP($A556,YES_Reading_FLA[],COLUMN(YES_Reading_FLA[Self-Identified as Indigenous]),FALSE)),
IF($J$2="Combined",
IFERROR(
IF(VLOOKUP($A556, YES_Reading_ELA[], COLUMN(YES_Reading_ELA[Self-Identified as Indigenous]), FALSE)="", "",
VLOOKUP($A556,YES_Reading_ELA[],COLUMN(YES_Reading_ELA[Self-Identified as Indigenous]),FALSE)),
IF(VLOOKUP($A556, YES_Reading_FLA[], COLUMN(YES_Reading_FLA[Self-Identified as Indigenous]),FALSE)="", "", VLOOKUP($A556,YES_Reading_FLA[],COLUMN(YES_Reading_FLA[Self-Identified as Indigenous]),FALSE))),""))),"")</f>
        <v/>
      </c>
    </row>
    <row r="557" spans="1:12" ht="19.5" customHeight="1" x14ac:dyDescent="0.25">
      <c r="A557" s="217"/>
      <c r="B557" s="220" t="str">
        <f>IFERROR(VLOOKUP(A557,_xlfn.VSTACK(YES_Reading_ELA[],YES_Reading_FLA[]),2,FALSE),"")</f>
        <v/>
      </c>
      <c r="C557" s="203" t="str" cm="1">
        <f t="array" aca="1" ref="C557" ca="1">IFERROR(
IF($J$2="ELA",
IF(VLOOKUP($A557, YES_Reading_ELA[], COLUMN(IF(VLOOKUP($D$2, 'Reading Report Logic'!$A$2:$B$8, 2, FALSE)=1, YES_Reading_ELA[Reading Level June of Previous School Year], INDIRECT("YES_Reading_ELA[Instructional Reading Level - Per "&amp;(VLOOKUP($D$2,'Reading Report Logic'!$A$2:$B$8,2,FALSE)-1)&amp;"]"))), FALSE)="", "",
VLOOKUP($A557,YES_Reading_ELA[], COLUMN(IF(VLOOKUP($D$2,'Reading Report Logic'!$A$2:$B$8,2,FALSE)=1, YES_Reading_ELA[Reading Level June of Previous School Year],INDIRECT("YES_Reading_ELA[Instructional Reading Level - Per "&amp;(VLOOKUP($D$2,'Reading Report Logic'!$A$2:$B$8,2,FALSE)-1)&amp;"]"))), FALSE)),
IF($J$2="FLA",
IF(VLOOKUP($A557, YES_Reading_FLA[], COLUMN(IF(VLOOKUP($D$2,'Reading Report Logic'!$A$2:$B$8,2,FALSE)=1, YES_Reading_FLA[Reading Level June of Previous School Year],INDIRECT("YES_Reading_FLA[Instructional Reading Level - Per "&amp;(VLOOKUP($D$2,'Reading Report Logic'!$A$2:$B$8,2,FALSE)-1)&amp;"]"))),FALSE)="","",
VLOOKUP($A557,YES_Reading_FLA[], COLUMN(IF(VLOOKUP($D$2,'Reading Report Logic'!$A$2:$B$8,2,FALSE)=1, YES_Reading_FLA[Reading Level June of Previous School Year],INDIRECT("YES_Reading_FLA[Instructional Reading Level - Per "&amp;(VLOOKUP($D$2,'Reading Report Logic'!$A$2:$B$8,2,FALSE)-1)&amp;"]"))),FALSE)),
IF($J$2="Combined",
IFERROR(
IF(VLOOKUP($A557, YES_Reading_ELA[], COLUMN(IF(VLOOKUP($D$2,'Reading Report Logic'!$A$2:$B$8,2,FALSE)=1, YES_Reading_ELA[Reading Level June of Previous School Year],INDIRECT("YES_Reading_ELA[Instructional Reading Level - Per "&amp;(VLOOKUP($D$2,'Reading Report Logic'!$A$2:$B$8,2,FALSE)-1)&amp;"]"))), FALSE)="", "",
VLOOKUP($A557,YES_Reading_ELA[],COLUMN(IF(VLOOKUP($D$2,'Reading Report Logic'!$A$2:$B$8,2,FALSE)=1, YES_Reading_ELA[Reading Level June of Previous School Year],INDIRECT("YES_Reading_ELA[Instructional Reading Level - Per "&amp;(VLOOKUP($D$2,'Reading Report Logic'!$A$2:$B$8,2,FALSE)-1)&amp;"]"))),FALSE)),
IF(VLOOKUP($A557, YES_Reading_FLA[], COLUMN(IF(VLOOKUP($D$2,'Reading Report Logic'!$A$2:$B$8,2,FALSE)=1, YES_Reading_FLA[Reading Level June of Previous School Year],INDIRECT("YES_Reading_FLA[Instructional Reading Level - Per "&amp;(VLOOKUP($D$2,'Reading Report Logic'!$A$2:$B$8,2,FALSE)-1)&amp;"]"))),FALSE)="", "", VLOOKUP($A557,YES_Reading_FLA[],COLUMN(IF(VLOOKUP($D$2,'Reading Report Logic'!$A$2:$B$8,2,FALSE)=1, YES_Reading_FLA[Reading Level June of Previous School Year],INDIRECT("YES_Reading_FLA[Instructional Reading Level - Per "&amp;(VLOOKUP($D$2,'Reading Report Logic'!$A$2:$B$8,2,FALSE)-1)&amp;"]"))), FALSE))),""))),"")</f>
        <v/>
      </c>
      <c r="D557" s="204" t="str" cm="1">
        <f t="array" aca="1" ref="D557" ca="1">IFERROR(
IF($J$2="ELA",
IF(VLOOKUP($A557, YES_Reading_ELA[], COLUMN(INDIRECT("YES_Reading_ELA[Instructional Reading Level - Per "&amp;VLOOKUP($D$2, 'Reading Report Logic'!$A$2:$B$8, 2, FALSE)&amp;"]")), FALSE)="", "",
VLOOKUP($A557,YES_Reading_ELA[], COLUMN(INDIRECT("YES_Reading_ELA[Instructional Reading Level - Per "&amp;VLOOKUP($D$2,'Reading Report Logic'!$A$2:$B$8,2,FALSE)&amp;"]")), FALSE)),
IF($J$2="FLA",
IF(VLOOKUP($A557, YES_Reading_FLA[], COLUMN(INDIRECT("YES_Reading_FLA[Instructional Reading Level - Per "&amp;VLOOKUP($D$2,'Reading Report Logic'!$A$2:$B$8,2,FALSE)&amp;"]")),FALSE)="","",
VLOOKUP($A557,YES_Reading_FLA[],COLUMN(INDIRECT("YES_Reading_FLA[Instructional Reading Level - Per "&amp;VLOOKUP($D$2,'Reading Report Logic'!$A$2:$B$8,2,FALSE)&amp;"]")),FALSE)),
IF($J$2="Combined",
IFERROR(
IF(VLOOKUP($A557, YES_Reading_ELA[], COLUMN(INDIRECT("YES_Reading_ELA[Instructional Reading Level - Per "&amp;VLOOKUP($D$2, 'Reading Report Logic'!$A$2:$B$8,2,FALSE)&amp;"]")), FALSE)="", "",
VLOOKUP($A557,YES_Reading_ELA[],COLUMN(INDIRECT("YES_Reading_ELA[Instructional Reading Level - Per "&amp;VLOOKUP($D$2,'Reading Report Logic'!$A$2:$B$8,2,FALSE)&amp;"]")),FALSE)),
IF(VLOOKUP($A557, YES_Reading_FLA[], COLUMN(INDIRECT("YES_Reading_FLA[Instructional Reading Level - Per "&amp;VLOOKUP($D$2, 'Reading Report Logic'!$A$2:$B$8, 2, FALSE)&amp;"]")),FALSE)="", "", VLOOKUP($A557,YES_Reading_FLA[],COLUMN(INDIRECT("YES_Reading_FLA[Instructional Reading Level - Per "&amp;VLOOKUP($D$2, 'Reading Report Logic'!$A$2:$B$8, 2, FALSE)&amp;"]")),FALSE))),""))),"")</f>
        <v/>
      </c>
      <c r="E557" s="205" t="str" cm="1">
        <f t="array" aca="1" ref="E557" ca="1">IFERROR(
IF($J$2="ELA",
IF(VLOOKUP($A557, YES_Reading_ELA[], COLUMN(INDIRECT("YES_Reading_ELA[Min Expectation - Per "&amp;VLOOKUP($D$2, 'Reading Report Logic'!$A$2:$B$8, 2, FALSE)&amp;"]")), FALSE)="", "",
VLOOKUP($A557,YES_Reading_ELA[], COLUMN(INDIRECT("YES_Reading_ELA[Min Expectation - Per "&amp;VLOOKUP($D$2,'Reading Report Logic'!$A$2:$B$8,2,FALSE)&amp;"]")), FALSE)),
IF($J$2="FLA",
IF(VLOOKUP($A557, YES_Reading_FLA[], COLUMN(INDIRECT("YES_Reading_FLA[Min Expectation - Per "&amp;VLOOKUP($D$2,'Reading Report Logic'!$A$2:$B$8,2,FALSE)&amp;"]")),FALSE)="","",
VLOOKUP($A557,YES_Reading_FLA[],COLUMN(INDIRECT("YES_Reading_FLA[Min Expectation - Per "&amp;VLOOKUP($D$2,'Reading Report Logic'!$A$2:$B$8,2,FALSE)&amp;"]")),FALSE)),
IF($J$2="Combined",
IFERROR(
IF(VLOOKUP($A557, YES_Reading_ELA[], COLUMN(INDIRECT("YES_Reading_ELA[Min Expectation - Per "&amp;VLOOKUP($D$2, 'Reading Report Logic'!$A$2:$B$8,2,FALSE)&amp;"]")), FALSE)="", "",
VLOOKUP($A557,YES_Reading_ELA[],COLUMN(INDIRECT("YES_Reading_ELA[Min Expectation - Per "&amp;VLOOKUP($D$2,'Reading Report Logic'!$A$2:$B$8,2,FALSE)&amp;"]")),FALSE)),
IF(VLOOKUP($A557, YES_Reading_FLA[], COLUMN(INDIRECT("YES_Reading_FLA[Min Expectation - Per "&amp;VLOOKUP($D$2, 'Reading Report Logic'!$A$2:$B$8, 2, FALSE)&amp;"]")),FALSE)="", "", VLOOKUP($A557,YES_Reading_FLA[],COLUMN(INDIRECT("YES_Reading_FLA[Min Expectation - Per "&amp;VLOOKUP($D$2, 'Reading Report Logic'!$A$2:$B$8, 2, FALSE)&amp;"]")),FALSE))),""))),"")</f>
        <v/>
      </c>
      <c r="F557" s="205" t="str" cm="1">
        <f t="array" aca="1" ref="F557" ca="1">IFERROR(
IF($J$2="ELA",
IF(VLOOKUP($A557, YES_Reading_ELA[], COLUMN(INDIRECT("YES_Reading_ELA[Max Expectation - Per "&amp;VLOOKUP($D$2, 'Reading Report Logic'!$A$2:$B$8, 2, FALSE)&amp;"]")), FALSE)="", "",
VLOOKUP($A557,YES_Reading_ELA[], COLUMN(INDIRECT("YES_Reading_ELA[Max Expectation - Per "&amp;VLOOKUP($D$2,'Reading Report Logic'!$A$2:$B$8,2,FALSE)&amp;"]")), FALSE)),
IF($J$2="FLA",
IF(VLOOKUP($A557, YES_Reading_FLA[], COLUMN(INDIRECT("YES_Reading_FLA[Max Expectation - Per "&amp;VLOOKUP($D$2,'Reading Report Logic'!$A$2:$B$8,2,FALSE)&amp;"]")),FALSE)="","",
VLOOKUP($A557,YES_Reading_FLA[],COLUMN(INDIRECT("YES_Reading_FLA[Max Expectation - Per "&amp;VLOOKUP($D$2,'Reading Report Logic'!$A$2:$B$8,2,FALSE)&amp;"]")),FALSE)),
IF($J$2="Combined",
IFERROR(
IF(VLOOKUP($A557, YES_Reading_ELA[], COLUMN(INDIRECT("YES_Reading_ELA[Max Expectation - Per "&amp;VLOOKUP($D$2, 'Reading Report Logic'!$A$2:$B$8,2,FALSE)&amp;"]")), FALSE)="", "",
VLOOKUP($A557,YES_Reading_ELA[],COLUMN(INDIRECT("YES_Reading_ELA[Max Expectation - Per "&amp;VLOOKUP($D$2,'Reading Report Logic'!$A$2:$B$8,2,FALSE)&amp;"]")),FALSE)),
IF(VLOOKUP($A557, YES_Reading_FLA[], COLUMN(INDIRECT("YES_Reading_FLA[Max Expectation - Per "&amp;VLOOKUP($D$2, 'Reading Report Logic'!$A$2:$B$8, 2, FALSE)&amp;"]")),FALSE)="", "", VLOOKUP($A557,YES_Reading_FLA[],COLUMN(INDIRECT("YES_Reading_FLA[Max Expectation - Per "&amp;VLOOKUP($D$2, 'Reading Report Logic'!$A$2:$B$8, 2, FALSE)&amp;"]")),FALSE))),""))),"")</f>
        <v/>
      </c>
      <c r="G557" s="205" t="str" cm="1">
        <f t="array" aca="1" ref="G557" ca="1">IFERROR(
IF($J$2="ELA",
IF(VLOOKUP($A557, YES_Reading_ELA[], COLUMN(INDIRECT("YES_Reading_ELA[Difference - Per "&amp;VLOOKUP($D$2, 'Reading Report Logic'!$A$2:$B$8, 2, FALSE)&amp;"]")), FALSE)="", "",
VLOOKUP($A557,YES_Reading_ELA[], COLUMN(INDIRECT("YES_Reading_ELA[Difference - Per "&amp;VLOOKUP($D$2,'Reading Report Logic'!$A$2:$B$8,2,FALSE)&amp;"]")), FALSE)),
IF($J$2="FLA",
IF(VLOOKUP($A557, YES_Reading_FLA[], COLUMN(INDIRECT("YES_Reading_FLA[Difference - Per "&amp;VLOOKUP($D$2,'Reading Report Logic'!$A$2:$B$8,2,FALSE)&amp;"]")),FALSE)="","",
VLOOKUP($A557,YES_Reading_FLA[],COLUMN(INDIRECT("YES_Reading_FLA[Difference - Per "&amp;VLOOKUP($D$2,'Reading Report Logic'!$A$2:$B$8,2,FALSE)&amp;"]")),FALSE)),
IF($J$2="Combined",
IFERROR(
IF(VLOOKUP($A557, YES_Reading_ELA[], COLUMN(INDIRECT("YES_Reading_ELA[Difference - Per "&amp;VLOOKUP($D$2, 'Reading Report Logic'!$A$2:$B$8,2,FALSE)&amp;"]")), FALSE)="", "",
VLOOKUP($A557,YES_Reading_ELA[],COLUMN(INDIRECT("YES_Reading_ELA[Difference - Per "&amp;VLOOKUP($D$2,'Reading Report Logic'!$A$2:$B$8,2,FALSE)&amp;"]")),FALSE)),
IF(VLOOKUP($A557, YES_Reading_FLA[], COLUMN(INDIRECT("YES_Reading_FLA[Difference - Per "&amp;VLOOKUP($D$2, 'Reading Report Logic'!$A$2:$B$8, 2, FALSE)&amp;"]")),FALSE)="", "", VLOOKUP($A557,YES_Reading_FLA[],COLUMN(INDIRECT("YES_Reading_FLA[Difference - Per "&amp;VLOOKUP($D$2, 'Reading Report Logic'!$A$2:$B$8, 2, FALSE)&amp;"]")),FALSE))),""))),"")</f>
        <v/>
      </c>
      <c r="H557" s="206" t="str">
        <f ca="1">IFERROR(VLOOKUP('Teacher Reading Pull Sheets'!$D557,_xlfn.VSTACK('ELA Reading Logic'!$A$22:$B$48,'FLA Reading Logic'!$A$22:$B$53),2,FALSE)-VLOOKUP('Teacher Reading Pull Sheets'!$C557,_xlfn.VSTACK('ELA Reading Logic'!$A$22:$B$48,'FLA Reading Logic'!$A$22:$B$53),2,FALSE),"")</f>
        <v/>
      </c>
      <c r="I557" s="212"/>
      <c r="J557" s="206"/>
      <c r="K557" s="197" t="str" cm="1">
        <f t="array" ref="K557">IFERROR(
IF($J$2="ELA",
IF(VLOOKUP($A557, YES_Reading_ELA[], COLUMN(YES_Reading_ELA[Self-Identified as African Descent]), FALSE)="", "",
VLOOKUP($A557,YES_Reading_ELA[], COLUMN(YES_Reading_ELA[Self-Identified as African Descent]), FALSE)),
IF($J$2="FLA",
IF(VLOOKUP($A557, YES_Reading_FLA[], COLUMN(YES_Reading_FLA[Self-Identified as African Descent]),FALSE)="","",
VLOOKUP($A557,YES_Reading_FLA[],COLUMN(YES_Reading_FLA[Self-Identified as African Descent]),FALSE)),
IF($J$2="Combined",
IFERROR(
IF(VLOOKUP($A557, YES_Reading_ELA[], COLUMN(YES_Reading_ELA[Self-Identified as African Descent]), FALSE)="", "",
VLOOKUP($A557,YES_Reading_ELA[],COLUMN(YES_Reading_ELA[Self-Identified as African Descent]),FALSE)),
IF(VLOOKUP($A557, YES_Reading_FLA[], COLUMN(YES_Reading_FLA[Self-Identified as African Descent]),FALSE)="", "", VLOOKUP($A557,YES_Reading_FLA[],COLUMN(YES_Reading_FLA[Self-Identified as African Descent]),FALSE))),""))),"")</f>
        <v/>
      </c>
      <c r="L557" s="73" t="str" cm="1">
        <f t="array" ref="L557">IFERROR(
IF($J$2="ELA",
IF(VLOOKUP($A557, YES_Reading_ELA[], COLUMN(YES_Reading_ELA[Self-Identified as Indigenous]), FALSE)="", "",
VLOOKUP($A557,YES_Reading_ELA[], COLUMN(YES_Reading_ELA[Self-Identified as Indigenous]), FALSE)),
IF($J$2="FLA",
IF(VLOOKUP($A557, YES_Reading_FLA[], COLUMN(YES_Reading_FLA[Self-Identified as Indigenous]),FALSE)="","",
VLOOKUP($A557,YES_Reading_FLA[],COLUMN(YES_Reading_FLA[Self-Identified as Indigenous]),FALSE)),
IF($J$2="Combined",
IFERROR(
IF(VLOOKUP($A557, YES_Reading_ELA[], COLUMN(YES_Reading_ELA[Self-Identified as Indigenous]), FALSE)="", "",
VLOOKUP($A557,YES_Reading_ELA[],COLUMN(YES_Reading_ELA[Self-Identified as Indigenous]),FALSE)),
IF(VLOOKUP($A557, YES_Reading_FLA[], COLUMN(YES_Reading_FLA[Self-Identified as Indigenous]),FALSE)="", "", VLOOKUP($A557,YES_Reading_FLA[],COLUMN(YES_Reading_FLA[Self-Identified as Indigenous]),FALSE))),""))),"")</f>
        <v/>
      </c>
    </row>
    <row r="558" spans="1:12" ht="19.5" customHeight="1" x14ac:dyDescent="0.25">
      <c r="A558" s="217"/>
      <c r="B558" s="220" t="str">
        <f>IFERROR(VLOOKUP(A558,_xlfn.VSTACK(YES_Reading_ELA[],YES_Reading_FLA[]),2,FALSE),"")</f>
        <v/>
      </c>
      <c r="C558" s="203" t="str" cm="1">
        <f t="array" aca="1" ref="C558" ca="1">IFERROR(
IF($J$2="ELA",
IF(VLOOKUP($A558, YES_Reading_ELA[], COLUMN(IF(VLOOKUP($D$2, 'Reading Report Logic'!$A$2:$B$8, 2, FALSE)=1, YES_Reading_ELA[Reading Level June of Previous School Year], INDIRECT("YES_Reading_ELA[Instructional Reading Level - Per "&amp;(VLOOKUP($D$2,'Reading Report Logic'!$A$2:$B$8,2,FALSE)-1)&amp;"]"))), FALSE)="", "",
VLOOKUP($A558,YES_Reading_ELA[], COLUMN(IF(VLOOKUP($D$2,'Reading Report Logic'!$A$2:$B$8,2,FALSE)=1, YES_Reading_ELA[Reading Level June of Previous School Year],INDIRECT("YES_Reading_ELA[Instructional Reading Level - Per "&amp;(VLOOKUP($D$2,'Reading Report Logic'!$A$2:$B$8,2,FALSE)-1)&amp;"]"))), FALSE)),
IF($J$2="FLA",
IF(VLOOKUP($A558, YES_Reading_FLA[], COLUMN(IF(VLOOKUP($D$2,'Reading Report Logic'!$A$2:$B$8,2,FALSE)=1, YES_Reading_FLA[Reading Level June of Previous School Year],INDIRECT("YES_Reading_FLA[Instructional Reading Level - Per "&amp;(VLOOKUP($D$2,'Reading Report Logic'!$A$2:$B$8,2,FALSE)-1)&amp;"]"))),FALSE)="","",
VLOOKUP($A558,YES_Reading_FLA[], COLUMN(IF(VLOOKUP($D$2,'Reading Report Logic'!$A$2:$B$8,2,FALSE)=1, YES_Reading_FLA[Reading Level June of Previous School Year],INDIRECT("YES_Reading_FLA[Instructional Reading Level - Per "&amp;(VLOOKUP($D$2,'Reading Report Logic'!$A$2:$B$8,2,FALSE)-1)&amp;"]"))),FALSE)),
IF($J$2="Combined",
IFERROR(
IF(VLOOKUP($A558, YES_Reading_ELA[], COLUMN(IF(VLOOKUP($D$2,'Reading Report Logic'!$A$2:$B$8,2,FALSE)=1, YES_Reading_ELA[Reading Level June of Previous School Year],INDIRECT("YES_Reading_ELA[Instructional Reading Level - Per "&amp;(VLOOKUP($D$2,'Reading Report Logic'!$A$2:$B$8,2,FALSE)-1)&amp;"]"))), FALSE)="", "",
VLOOKUP($A558,YES_Reading_ELA[],COLUMN(IF(VLOOKUP($D$2,'Reading Report Logic'!$A$2:$B$8,2,FALSE)=1, YES_Reading_ELA[Reading Level June of Previous School Year],INDIRECT("YES_Reading_ELA[Instructional Reading Level - Per "&amp;(VLOOKUP($D$2,'Reading Report Logic'!$A$2:$B$8,2,FALSE)-1)&amp;"]"))),FALSE)),
IF(VLOOKUP($A558, YES_Reading_FLA[], COLUMN(IF(VLOOKUP($D$2,'Reading Report Logic'!$A$2:$B$8,2,FALSE)=1, YES_Reading_FLA[Reading Level June of Previous School Year],INDIRECT("YES_Reading_FLA[Instructional Reading Level - Per "&amp;(VLOOKUP($D$2,'Reading Report Logic'!$A$2:$B$8,2,FALSE)-1)&amp;"]"))),FALSE)="", "", VLOOKUP($A558,YES_Reading_FLA[],COLUMN(IF(VLOOKUP($D$2,'Reading Report Logic'!$A$2:$B$8,2,FALSE)=1, YES_Reading_FLA[Reading Level June of Previous School Year],INDIRECT("YES_Reading_FLA[Instructional Reading Level - Per "&amp;(VLOOKUP($D$2,'Reading Report Logic'!$A$2:$B$8,2,FALSE)-1)&amp;"]"))), FALSE))),""))),"")</f>
        <v/>
      </c>
      <c r="D558" s="204" t="str" cm="1">
        <f t="array" aca="1" ref="D558" ca="1">IFERROR(
IF($J$2="ELA",
IF(VLOOKUP($A558, YES_Reading_ELA[], COLUMN(INDIRECT("YES_Reading_ELA[Instructional Reading Level - Per "&amp;VLOOKUP($D$2, 'Reading Report Logic'!$A$2:$B$8, 2, FALSE)&amp;"]")), FALSE)="", "",
VLOOKUP($A558,YES_Reading_ELA[], COLUMN(INDIRECT("YES_Reading_ELA[Instructional Reading Level - Per "&amp;VLOOKUP($D$2,'Reading Report Logic'!$A$2:$B$8,2,FALSE)&amp;"]")), FALSE)),
IF($J$2="FLA",
IF(VLOOKUP($A558, YES_Reading_FLA[], COLUMN(INDIRECT("YES_Reading_FLA[Instructional Reading Level - Per "&amp;VLOOKUP($D$2,'Reading Report Logic'!$A$2:$B$8,2,FALSE)&amp;"]")),FALSE)="","",
VLOOKUP($A558,YES_Reading_FLA[],COLUMN(INDIRECT("YES_Reading_FLA[Instructional Reading Level - Per "&amp;VLOOKUP($D$2,'Reading Report Logic'!$A$2:$B$8,2,FALSE)&amp;"]")),FALSE)),
IF($J$2="Combined",
IFERROR(
IF(VLOOKUP($A558, YES_Reading_ELA[], COLUMN(INDIRECT("YES_Reading_ELA[Instructional Reading Level - Per "&amp;VLOOKUP($D$2, 'Reading Report Logic'!$A$2:$B$8,2,FALSE)&amp;"]")), FALSE)="", "",
VLOOKUP($A558,YES_Reading_ELA[],COLUMN(INDIRECT("YES_Reading_ELA[Instructional Reading Level - Per "&amp;VLOOKUP($D$2,'Reading Report Logic'!$A$2:$B$8,2,FALSE)&amp;"]")),FALSE)),
IF(VLOOKUP($A558, YES_Reading_FLA[], COLUMN(INDIRECT("YES_Reading_FLA[Instructional Reading Level - Per "&amp;VLOOKUP($D$2, 'Reading Report Logic'!$A$2:$B$8, 2, FALSE)&amp;"]")),FALSE)="", "", VLOOKUP($A558,YES_Reading_FLA[],COLUMN(INDIRECT("YES_Reading_FLA[Instructional Reading Level - Per "&amp;VLOOKUP($D$2, 'Reading Report Logic'!$A$2:$B$8, 2, FALSE)&amp;"]")),FALSE))),""))),"")</f>
        <v/>
      </c>
      <c r="E558" s="205" t="str" cm="1">
        <f t="array" aca="1" ref="E558" ca="1">IFERROR(
IF($J$2="ELA",
IF(VLOOKUP($A558, YES_Reading_ELA[], COLUMN(INDIRECT("YES_Reading_ELA[Min Expectation - Per "&amp;VLOOKUP($D$2, 'Reading Report Logic'!$A$2:$B$8, 2, FALSE)&amp;"]")), FALSE)="", "",
VLOOKUP($A558,YES_Reading_ELA[], COLUMN(INDIRECT("YES_Reading_ELA[Min Expectation - Per "&amp;VLOOKUP($D$2,'Reading Report Logic'!$A$2:$B$8,2,FALSE)&amp;"]")), FALSE)),
IF($J$2="FLA",
IF(VLOOKUP($A558, YES_Reading_FLA[], COLUMN(INDIRECT("YES_Reading_FLA[Min Expectation - Per "&amp;VLOOKUP($D$2,'Reading Report Logic'!$A$2:$B$8,2,FALSE)&amp;"]")),FALSE)="","",
VLOOKUP($A558,YES_Reading_FLA[],COLUMN(INDIRECT("YES_Reading_FLA[Min Expectation - Per "&amp;VLOOKUP($D$2,'Reading Report Logic'!$A$2:$B$8,2,FALSE)&amp;"]")),FALSE)),
IF($J$2="Combined",
IFERROR(
IF(VLOOKUP($A558, YES_Reading_ELA[], COLUMN(INDIRECT("YES_Reading_ELA[Min Expectation - Per "&amp;VLOOKUP($D$2, 'Reading Report Logic'!$A$2:$B$8,2,FALSE)&amp;"]")), FALSE)="", "",
VLOOKUP($A558,YES_Reading_ELA[],COLUMN(INDIRECT("YES_Reading_ELA[Min Expectation - Per "&amp;VLOOKUP($D$2,'Reading Report Logic'!$A$2:$B$8,2,FALSE)&amp;"]")),FALSE)),
IF(VLOOKUP($A558, YES_Reading_FLA[], COLUMN(INDIRECT("YES_Reading_FLA[Min Expectation - Per "&amp;VLOOKUP($D$2, 'Reading Report Logic'!$A$2:$B$8, 2, FALSE)&amp;"]")),FALSE)="", "", VLOOKUP($A558,YES_Reading_FLA[],COLUMN(INDIRECT("YES_Reading_FLA[Min Expectation - Per "&amp;VLOOKUP($D$2, 'Reading Report Logic'!$A$2:$B$8, 2, FALSE)&amp;"]")),FALSE))),""))),"")</f>
        <v/>
      </c>
      <c r="F558" s="205" t="str" cm="1">
        <f t="array" aca="1" ref="F558" ca="1">IFERROR(
IF($J$2="ELA",
IF(VLOOKUP($A558, YES_Reading_ELA[], COLUMN(INDIRECT("YES_Reading_ELA[Max Expectation - Per "&amp;VLOOKUP($D$2, 'Reading Report Logic'!$A$2:$B$8, 2, FALSE)&amp;"]")), FALSE)="", "",
VLOOKUP($A558,YES_Reading_ELA[], COLUMN(INDIRECT("YES_Reading_ELA[Max Expectation - Per "&amp;VLOOKUP($D$2,'Reading Report Logic'!$A$2:$B$8,2,FALSE)&amp;"]")), FALSE)),
IF($J$2="FLA",
IF(VLOOKUP($A558, YES_Reading_FLA[], COLUMN(INDIRECT("YES_Reading_FLA[Max Expectation - Per "&amp;VLOOKUP($D$2,'Reading Report Logic'!$A$2:$B$8,2,FALSE)&amp;"]")),FALSE)="","",
VLOOKUP($A558,YES_Reading_FLA[],COLUMN(INDIRECT("YES_Reading_FLA[Max Expectation - Per "&amp;VLOOKUP($D$2,'Reading Report Logic'!$A$2:$B$8,2,FALSE)&amp;"]")),FALSE)),
IF($J$2="Combined",
IFERROR(
IF(VLOOKUP($A558, YES_Reading_ELA[], COLUMN(INDIRECT("YES_Reading_ELA[Max Expectation - Per "&amp;VLOOKUP($D$2, 'Reading Report Logic'!$A$2:$B$8,2,FALSE)&amp;"]")), FALSE)="", "",
VLOOKUP($A558,YES_Reading_ELA[],COLUMN(INDIRECT("YES_Reading_ELA[Max Expectation - Per "&amp;VLOOKUP($D$2,'Reading Report Logic'!$A$2:$B$8,2,FALSE)&amp;"]")),FALSE)),
IF(VLOOKUP($A558, YES_Reading_FLA[], COLUMN(INDIRECT("YES_Reading_FLA[Max Expectation - Per "&amp;VLOOKUP($D$2, 'Reading Report Logic'!$A$2:$B$8, 2, FALSE)&amp;"]")),FALSE)="", "", VLOOKUP($A558,YES_Reading_FLA[],COLUMN(INDIRECT("YES_Reading_FLA[Max Expectation - Per "&amp;VLOOKUP($D$2, 'Reading Report Logic'!$A$2:$B$8, 2, FALSE)&amp;"]")),FALSE))),""))),"")</f>
        <v/>
      </c>
      <c r="G558" s="205" t="str" cm="1">
        <f t="array" aca="1" ref="G558" ca="1">IFERROR(
IF($J$2="ELA",
IF(VLOOKUP($A558, YES_Reading_ELA[], COLUMN(INDIRECT("YES_Reading_ELA[Difference - Per "&amp;VLOOKUP($D$2, 'Reading Report Logic'!$A$2:$B$8, 2, FALSE)&amp;"]")), FALSE)="", "",
VLOOKUP($A558,YES_Reading_ELA[], COLUMN(INDIRECT("YES_Reading_ELA[Difference - Per "&amp;VLOOKUP($D$2,'Reading Report Logic'!$A$2:$B$8,2,FALSE)&amp;"]")), FALSE)),
IF($J$2="FLA",
IF(VLOOKUP($A558, YES_Reading_FLA[], COLUMN(INDIRECT("YES_Reading_FLA[Difference - Per "&amp;VLOOKUP($D$2,'Reading Report Logic'!$A$2:$B$8,2,FALSE)&amp;"]")),FALSE)="","",
VLOOKUP($A558,YES_Reading_FLA[],COLUMN(INDIRECT("YES_Reading_FLA[Difference - Per "&amp;VLOOKUP($D$2,'Reading Report Logic'!$A$2:$B$8,2,FALSE)&amp;"]")),FALSE)),
IF($J$2="Combined",
IFERROR(
IF(VLOOKUP($A558, YES_Reading_ELA[], COLUMN(INDIRECT("YES_Reading_ELA[Difference - Per "&amp;VLOOKUP($D$2, 'Reading Report Logic'!$A$2:$B$8,2,FALSE)&amp;"]")), FALSE)="", "",
VLOOKUP($A558,YES_Reading_ELA[],COLUMN(INDIRECT("YES_Reading_ELA[Difference - Per "&amp;VLOOKUP($D$2,'Reading Report Logic'!$A$2:$B$8,2,FALSE)&amp;"]")),FALSE)),
IF(VLOOKUP($A558, YES_Reading_FLA[], COLUMN(INDIRECT("YES_Reading_FLA[Difference - Per "&amp;VLOOKUP($D$2, 'Reading Report Logic'!$A$2:$B$8, 2, FALSE)&amp;"]")),FALSE)="", "", VLOOKUP($A558,YES_Reading_FLA[],COLUMN(INDIRECT("YES_Reading_FLA[Difference - Per "&amp;VLOOKUP($D$2, 'Reading Report Logic'!$A$2:$B$8, 2, FALSE)&amp;"]")),FALSE))),""))),"")</f>
        <v/>
      </c>
      <c r="H558" s="206" t="str">
        <f ca="1">IFERROR(VLOOKUP('Teacher Reading Pull Sheets'!$D558,_xlfn.VSTACK('ELA Reading Logic'!$A$22:$B$48,'FLA Reading Logic'!$A$22:$B$53),2,FALSE)-VLOOKUP('Teacher Reading Pull Sheets'!$C558,_xlfn.VSTACK('ELA Reading Logic'!$A$22:$B$48,'FLA Reading Logic'!$A$22:$B$53),2,FALSE),"")</f>
        <v/>
      </c>
      <c r="I558" s="212"/>
      <c r="J558" s="206"/>
      <c r="K558" s="197" t="str" cm="1">
        <f t="array" ref="K558">IFERROR(
IF($J$2="ELA",
IF(VLOOKUP($A558, YES_Reading_ELA[], COLUMN(YES_Reading_ELA[Self-Identified as African Descent]), FALSE)="", "",
VLOOKUP($A558,YES_Reading_ELA[], COLUMN(YES_Reading_ELA[Self-Identified as African Descent]), FALSE)),
IF($J$2="FLA",
IF(VLOOKUP($A558, YES_Reading_FLA[], COLUMN(YES_Reading_FLA[Self-Identified as African Descent]),FALSE)="","",
VLOOKUP($A558,YES_Reading_FLA[],COLUMN(YES_Reading_FLA[Self-Identified as African Descent]),FALSE)),
IF($J$2="Combined",
IFERROR(
IF(VLOOKUP($A558, YES_Reading_ELA[], COLUMN(YES_Reading_ELA[Self-Identified as African Descent]), FALSE)="", "",
VLOOKUP($A558,YES_Reading_ELA[],COLUMN(YES_Reading_ELA[Self-Identified as African Descent]),FALSE)),
IF(VLOOKUP($A558, YES_Reading_FLA[], COLUMN(YES_Reading_FLA[Self-Identified as African Descent]),FALSE)="", "", VLOOKUP($A558,YES_Reading_FLA[],COLUMN(YES_Reading_FLA[Self-Identified as African Descent]),FALSE))),""))),"")</f>
        <v/>
      </c>
      <c r="L558" s="73" t="str" cm="1">
        <f t="array" ref="L558">IFERROR(
IF($J$2="ELA",
IF(VLOOKUP($A558, YES_Reading_ELA[], COLUMN(YES_Reading_ELA[Self-Identified as Indigenous]), FALSE)="", "",
VLOOKUP($A558,YES_Reading_ELA[], COLUMN(YES_Reading_ELA[Self-Identified as Indigenous]), FALSE)),
IF($J$2="FLA",
IF(VLOOKUP($A558, YES_Reading_FLA[], COLUMN(YES_Reading_FLA[Self-Identified as Indigenous]),FALSE)="","",
VLOOKUP($A558,YES_Reading_FLA[],COLUMN(YES_Reading_FLA[Self-Identified as Indigenous]),FALSE)),
IF($J$2="Combined",
IFERROR(
IF(VLOOKUP($A558, YES_Reading_ELA[], COLUMN(YES_Reading_ELA[Self-Identified as Indigenous]), FALSE)="", "",
VLOOKUP($A558,YES_Reading_ELA[],COLUMN(YES_Reading_ELA[Self-Identified as Indigenous]),FALSE)),
IF(VLOOKUP($A558, YES_Reading_FLA[], COLUMN(YES_Reading_FLA[Self-Identified as Indigenous]),FALSE)="", "", VLOOKUP($A558,YES_Reading_FLA[],COLUMN(YES_Reading_FLA[Self-Identified as Indigenous]),FALSE))),""))),"")</f>
        <v/>
      </c>
    </row>
    <row r="559" spans="1:12" ht="19.5" customHeight="1" x14ac:dyDescent="0.25">
      <c r="A559" s="217"/>
      <c r="B559" s="220" t="str">
        <f>IFERROR(VLOOKUP(A559,_xlfn.VSTACK(YES_Reading_ELA[],YES_Reading_FLA[]),2,FALSE),"")</f>
        <v/>
      </c>
      <c r="C559" s="203" t="str" cm="1">
        <f t="array" aca="1" ref="C559" ca="1">IFERROR(
IF($J$2="ELA",
IF(VLOOKUP($A559, YES_Reading_ELA[], COLUMN(IF(VLOOKUP($D$2, 'Reading Report Logic'!$A$2:$B$8, 2, FALSE)=1, YES_Reading_ELA[Reading Level June of Previous School Year], INDIRECT("YES_Reading_ELA[Instructional Reading Level - Per "&amp;(VLOOKUP($D$2,'Reading Report Logic'!$A$2:$B$8,2,FALSE)-1)&amp;"]"))), FALSE)="", "",
VLOOKUP($A559,YES_Reading_ELA[], COLUMN(IF(VLOOKUP($D$2,'Reading Report Logic'!$A$2:$B$8,2,FALSE)=1, YES_Reading_ELA[Reading Level June of Previous School Year],INDIRECT("YES_Reading_ELA[Instructional Reading Level - Per "&amp;(VLOOKUP($D$2,'Reading Report Logic'!$A$2:$B$8,2,FALSE)-1)&amp;"]"))), FALSE)),
IF($J$2="FLA",
IF(VLOOKUP($A559, YES_Reading_FLA[], COLUMN(IF(VLOOKUP($D$2,'Reading Report Logic'!$A$2:$B$8,2,FALSE)=1, YES_Reading_FLA[Reading Level June of Previous School Year],INDIRECT("YES_Reading_FLA[Instructional Reading Level - Per "&amp;(VLOOKUP($D$2,'Reading Report Logic'!$A$2:$B$8,2,FALSE)-1)&amp;"]"))),FALSE)="","",
VLOOKUP($A559,YES_Reading_FLA[], COLUMN(IF(VLOOKUP($D$2,'Reading Report Logic'!$A$2:$B$8,2,FALSE)=1, YES_Reading_FLA[Reading Level June of Previous School Year],INDIRECT("YES_Reading_FLA[Instructional Reading Level - Per "&amp;(VLOOKUP($D$2,'Reading Report Logic'!$A$2:$B$8,2,FALSE)-1)&amp;"]"))),FALSE)),
IF($J$2="Combined",
IFERROR(
IF(VLOOKUP($A559, YES_Reading_ELA[], COLUMN(IF(VLOOKUP($D$2,'Reading Report Logic'!$A$2:$B$8,2,FALSE)=1, YES_Reading_ELA[Reading Level June of Previous School Year],INDIRECT("YES_Reading_ELA[Instructional Reading Level - Per "&amp;(VLOOKUP($D$2,'Reading Report Logic'!$A$2:$B$8,2,FALSE)-1)&amp;"]"))), FALSE)="", "",
VLOOKUP($A559,YES_Reading_ELA[],COLUMN(IF(VLOOKUP($D$2,'Reading Report Logic'!$A$2:$B$8,2,FALSE)=1, YES_Reading_ELA[Reading Level June of Previous School Year],INDIRECT("YES_Reading_ELA[Instructional Reading Level - Per "&amp;(VLOOKUP($D$2,'Reading Report Logic'!$A$2:$B$8,2,FALSE)-1)&amp;"]"))),FALSE)),
IF(VLOOKUP($A559, YES_Reading_FLA[], COLUMN(IF(VLOOKUP($D$2,'Reading Report Logic'!$A$2:$B$8,2,FALSE)=1, YES_Reading_FLA[Reading Level June of Previous School Year],INDIRECT("YES_Reading_FLA[Instructional Reading Level - Per "&amp;(VLOOKUP($D$2,'Reading Report Logic'!$A$2:$B$8,2,FALSE)-1)&amp;"]"))),FALSE)="", "", VLOOKUP($A559,YES_Reading_FLA[],COLUMN(IF(VLOOKUP($D$2,'Reading Report Logic'!$A$2:$B$8,2,FALSE)=1, YES_Reading_FLA[Reading Level June of Previous School Year],INDIRECT("YES_Reading_FLA[Instructional Reading Level - Per "&amp;(VLOOKUP($D$2,'Reading Report Logic'!$A$2:$B$8,2,FALSE)-1)&amp;"]"))), FALSE))),""))),"")</f>
        <v/>
      </c>
      <c r="D559" s="204" t="str" cm="1">
        <f t="array" aca="1" ref="D559" ca="1">IFERROR(
IF($J$2="ELA",
IF(VLOOKUP($A559, YES_Reading_ELA[], COLUMN(INDIRECT("YES_Reading_ELA[Instructional Reading Level - Per "&amp;VLOOKUP($D$2, 'Reading Report Logic'!$A$2:$B$8, 2, FALSE)&amp;"]")), FALSE)="", "",
VLOOKUP($A559,YES_Reading_ELA[], COLUMN(INDIRECT("YES_Reading_ELA[Instructional Reading Level - Per "&amp;VLOOKUP($D$2,'Reading Report Logic'!$A$2:$B$8,2,FALSE)&amp;"]")), FALSE)),
IF($J$2="FLA",
IF(VLOOKUP($A559, YES_Reading_FLA[], COLUMN(INDIRECT("YES_Reading_FLA[Instructional Reading Level - Per "&amp;VLOOKUP($D$2,'Reading Report Logic'!$A$2:$B$8,2,FALSE)&amp;"]")),FALSE)="","",
VLOOKUP($A559,YES_Reading_FLA[],COLUMN(INDIRECT("YES_Reading_FLA[Instructional Reading Level - Per "&amp;VLOOKUP($D$2,'Reading Report Logic'!$A$2:$B$8,2,FALSE)&amp;"]")),FALSE)),
IF($J$2="Combined",
IFERROR(
IF(VLOOKUP($A559, YES_Reading_ELA[], COLUMN(INDIRECT("YES_Reading_ELA[Instructional Reading Level - Per "&amp;VLOOKUP($D$2, 'Reading Report Logic'!$A$2:$B$8,2,FALSE)&amp;"]")), FALSE)="", "",
VLOOKUP($A559,YES_Reading_ELA[],COLUMN(INDIRECT("YES_Reading_ELA[Instructional Reading Level - Per "&amp;VLOOKUP($D$2,'Reading Report Logic'!$A$2:$B$8,2,FALSE)&amp;"]")),FALSE)),
IF(VLOOKUP($A559, YES_Reading_FLA[], COLUMN(INDIRECT("YES_Reading_FLA[Instructional Reading Level - Per "&amp;VLOOKUP($D$2, 'Reading Report Logic'!$A$2:$B$8, 2, FALSE)&amp;"]")),FALSE)="", "", VLOOKUP($A559,YES_Reading_FLA[],COLUMN(INDIRECT("YES_Reading_FLA[Instructional Reading Level - Per "&amp;VLOOKUP($D$2, 'Reading Report Logic'!$A$2:$B$8, 2, FALSE)&amp;"]")),FALSE))),""))),"")</f>
        <v/>
      </c>
      <c r="E559" s="205" t="str" cm="1">
        <f t="array" aca="1" ref="E559" ca="1">IFERROR(
IF($J$2="ELA",
IF(VLOOKUP($A559, YES_Reading_ELA[], COLUMN(INDIRECT("YES_Reading_ELA[Min Expectation - Per "&amp;VLOOKUP($D$2, 'Reading Report Logic'!$A$2:$B$8, 2, FALSE)&amp;"]")), FALSE)="", "",
VLOOKUP($A559,YES_Reading_ELA[], COLUMN(INDIRECT("YES_Reading_ELA[Min Expectation - Per "&amp;VLOOKUP($D$2,'Reading Report Logic'!$A$2:$B$8,2,FALSE)&amp;"]")), FALSE)),
IF($J$2="FLA",
IF(VLOOKUP($A559, YES_Reading_FLA[], COLUMN(INDIRECT("YES_Reading_FLA[Min Expectation - Per "&amp;VLOOKUP($D$2,'Reading Report Logic'!$A$2:$B$8,2,FALSE)&amp;"]")),FALSE)="","",
VLOOKUP($A559,YES_Reading_FLA[],COLUMN(INDIRECT("YES_Reading_FLA[Min Expectation - Per "&amp;VLOOKUP($D$2,'Reading Report Logic'!$A$2:$B$8,2,FALSE)&amp;"]")),FALSE)),
IF($J$2="Combined",
IFERROR(
IF(VLOOKUP($A559, YES_Reading_ELA[], COLUMN(INDIRECT("YES_Reading_ELA[Min Expectation - Per "&amp;VLOOKUP($D$2, 'Reading Report Logic'!$A$2:$B$8,2,FALSE)&amp;"]")), FALSE)="", "",
VLOOKUP($A559,YES_Reading_ELA[],COLUMN(INDIRECT("YES_Reading_ELA[Min Expectation - Per "&amp;VLOOKUP($D$2,'Reading Report Logic'!$A$2:$B$8,2,FALSE)&amp;"]")),FALSE)),
IF(VLOOKUP($A559, YES_Reading_FLA[], COLUMN(INDIRECT("YES_Reading_FLA[Min Expectation - Per "&amp;VLOOKUP($D$2, 'Reading Report Logic'!$A$2:$B$8, 2, FALSE)&amp;"]")),FALSE)="", "", VLOOKUP($A559,YES_Reading_FLA[],COLUMN(INDIRECT("YES_Reading_FLA[Min Expectation - Per "&amp;VLOOKUP($D$2, 'Reading Report Logic'!$A$2:$B$8, 2, FALSE)&amp;"]")),FALSE))),""))),"")</f>
        <v/>
      </c>
      <c r="F559" s="205" t="str" cm="1">
        <f t="array" aca="1" ref="F559" ca="1">IFERROR(
IF($J$2="ELA",
IF(VLOOKUP($A559, YES_Reading_ELA[], COLUMN(INDIRECT("YES_Reading_ELA[Max Expectation - Per "&amp;VLOOKUP($D$2, 'Reading Report Logic'!$A$2:$B$8, 2, FALSE)&amp;"]")), FALSE)="", "",
VLOOKUP($A559,YES_Reading_ELA[], COLUMN(INDIRECT("YES_Reading_ELA[Max Expectation - Per "&amp;VLOOKUP($D$2,'Reading Report Logic'!$A$2:$B$8,2,FALSE)&amp;"]")), FALSE)),
IF($J$2="FLA",
IF(VLOOKUP($A559, YES_Reading_FLA[], COLUMN(INDIRECT("YES_Reading_FLA[Max Expectation - Per "&amp;VLOOKUP($D$2,'Reading Report Logic'!$A$2:$B$8,2,FALSE)&amp;"]")),FALSE)="","",
VLOOKUP($A559,YES_Reading_FLA[],COLUMN(INDIRECT("YES_Reading_FLA[Max Expectation - Per "&amp;VLOOKUP($D$2,'Reading Report Logic'!$A$2:$B$8,2,FALSE)&amp;"]")),FALSE)),
IF($J$2="Combined",
IFERROR(
IF(VLOOKUP($A559, YES_Reading_ELA[], COLUMN(INDIRECT("YES_Reading_ELA[Max Expectation - Per "&amp;VLOOKUP($D$2, 'Reading Report Logic'!$A$2:$B$8,2,FALSE)&amp;"]")), FALSE)="", "",
VLOOKUP($A559,YES_Reading_ELA[],COLUMN(INDIRECT("YES_Reading_ELA[Max Expectation - Per "&amp;VLOOKUP($D$2,'Reading Report Logic'!$A$2:$B$8,2,FALSE)&amp;"]")),FALSE)),
IF(VLOOKUP($A559, YES_Reading_FLA[], COLUMN(INDIRECT("YES_Reading_FLA[Max Expectation - Per "&amp;VLOOKUP($D$2, 'Reading Report Logic'!$A$2:$B$8, 2, FALSE)&amp;"]")),FALSE)="", "", VLOOKUP($A559,YES_Reading_FLA[],COLUMN(INDIRECT("YES_Reading_FLA[Max Expectation - Per "&amp;VLOOKUP($D$2, 'Reading Report Logic'!$A$2:$B$8, 2, FALSE)&amp;"]")),FALSE))),""))),"")</f>
        <v/>
      </c>
      <c r="G559" s="205" t="str" cm="1">
        <f t="array" aca="1" ref="G559" ca="1">IFERROR(
IF($J$2="ELA",
IF(VLOOKUP($A559, YES_Reading_ELA[], COLUMN(INDIRECT("YES_Reading_ELA[Difference - Per "&amp;VLOOKUP($D$2, 'Reading Report Logic'!$A$2:$B$8, 2, FALSE)&amp;"]")), FALSE)="", "",
VLOOKUP($A559,YES_Reading_ELA[], COLUMN(INDIRECT("YES_Reading_ELA[Difference - Per "&amp;VLOOKUP($D$2,'Reading Report Logic'!$A$2:$B$8,2,FALSE)&amp;"]")), FALSE)),
IF($J$2="FLA",
IF(VLOOKUP($A559, YES_Reading_FLA[], COLUMN(INDIRECT("YES_Reading_FLA[Difference - Per "&amp;VLOOKUP($D$2,'Reading Report Logic'!$A$2:$B$8,2,FALSE)&amp;"]")),FALSE)="","",
VLOOKUP($A559,YES_Reading_FLA[],COLUMN(INDIRECT("YES_Reading_FLA[Difference - Per "&amp;VLOOKUP($D$2,'Reading Report Logic'!$A$2:$B$8,2,FALSE)&amp;"]")),FALSE)),
IF($J$2="Combined",
IFERROR(
IF(VLOOKUP($A559, YES_Reading_ELA[], COLUMN(INDIRECT("YES_Reading_ELA[Difference - Per "&amp;VLOOKUP($D$2, 'Reading Report Logic'!$A$2:$B$8,2,FALSE)&amp;"]")), FALSE)="", "",
VLOOKUP($A559,YES_Reading_ELA[],COLUMN(INDIRECT("YES_Reading_ELA[Difference - Per "&amp;VLOOKUP($D$2,'Reading Report Logic'!$A$2:$B$8,2,FALSE)&amp;"]")),FALSE)),
IF(VLOOKUP($A559, YES_Reading_FLA[], COLUMN(INDIRECT("YES_Reading_FLA[Difference - Per "&amp;VLOOKUP($D$2, 'Reading Report Logic'!$A$2:$B$8, 2, FALSE)&amp;"]")),FALSE)="", "", VLOOKUP($A559,YES_Reading_FLA[],COLUMN(INDIRECT("YES_Reading_FLA[Difference - Per "&amp;VLOOKUP($D$2, 'Reading Report Logic'!$A$2:$B$8, 2, FALSE)&amp;"]")),FALSE))),""))),"")</f>
        <v/>
      </c>
      <c r="H559" s="206" t="str">
        <f ca="1">IFERROR(VLOOKUP('Teacher Reading Pull Sheets'!$D559,_xlfn.VSTACK('ELA Reading Logic'!$A$22:$B$48,'FLA Reading Logic'!$A$22:$B$53),2,FALSE)-VLOOKUP('Teacher Reading Pull Sheets'!$C559,_xlfn.VSTACK('ELA Reading Logic'!$A$22:$B$48,'FLA Reading Logic'!$A$22:$B$53),2,FALSE),"")</f>
        <v/>
      </c>
      <c r="I559" s="212"/>
      <c r="J559" s="206"/>
      <c r="K559" s="197" t="str" cm="1">
        <f t="array" ref="K559">IFERROR(
IF($J$2="ELA",
IF(VLOOKUP($A559, YES_Reading_ELA[], COLUMN(YES_Reading_ELA[Self-Identified as African Descent]), FALSE)="", "",
VLOOKUP($A559,YES_Reading_ELA[], COLUMN(YES_Reading_ELA[Self-Identified as African Descent]), FALSE)),
IF($J$2="FLA",
IF(VLOOKUP($A559, YES_Reading_FLA[], COLUMN(YES_Reading_FLA[Self-Identified as African Descent]),FALSE)="","",
VLOOKUP($A559,YES_Reading_FLA[],COLUMN(YES_Reading_FLA[Self-Identified as African Descent]),FALSE)),
IF($J$2="Combined",
IFERROR(
IF(VLOOKUP($A559, YES_Reading_ELA[], COLUMN(YES_Reading_ELA[Self-Identified as African Descent]), FALSE)="", "",
VLOOKUP($A559,YES_Reading_ELA[],COLUMN(YES_Reading_ELA[Self-Identified as African Descent]),FALSE)),
IF(VLOOKUP($A559, YES_Reading_FLA[], COLUMN(YES_Reading_FLA[Self-Identified as African Descent]),FALSE)="", "", VLOOKUP($A559,YES_Reading_FLA[],COLUMN(YES_Reading_FLA[Self-Identified as African Descent]),FALSE))),""))),"")</f>
        <v/>
      </c>
      <c r="L559" s="73" t="str" cm="1">
        <f t="array" ref="L559">IFERROR(
IF($J$2="ELA",
IF(VLOOKUP($A559, YES_Reading_ELA[], COLUMN(YES_Reading_ELA[Self-Identified as Indigenous]), FALSE)="", "",
VLOOKUP($A559,YES_Reading_ELA[], COLUMN(YES_Reading_ELA[Self-Identified as Indigenous]), FALSE)),
IF($J$2="FLA",
IF(VLOOKUP($A559, YES_Reading_FLA[], COLUMN(YES_Reading_FLA[Self-Identified as Indigenous]),FALSE)="","",
VLOOKUP($A559,YES_Reading_FLA[],COLUMN(YES_Reading_FLA[Self-Identified as Indigenous]),FALSE)),
IF($J$2="Combined",
IFERROR(
IF(VLOOKUP($A559, YES_Reading_ELA[], COLUMN(YES_Reading_ELA[Self-Identified as Indigenous]), FALSE)="", "",
VLOOKUP($A559,YES_Reading_ELA[],COLUMN(YES_Reading_ELA[Self-Identified as Indigenous]),FALSE)),
IF(VLOOKUP($A559, YES_Reading_FLA[], COLUMN(YES_Reading_FLA[Self-Identified as Indigenous]),FALSE)="", "", VLOOKUP($A559,YES_Reading_FLA[],COLUMN(YES_Reading_FLA[Self-Identified as Indigenous]),FALSE))),""))),"")</f>
        <v/>
      </c>
    </row>
    <row r="560" spans="1:12" ht="19.5" customHeight="1" x14ac:dyDescent="0.25">
      <c r="A560" s="217"/>
      <c r="B560" s="220" t="str">
        <f>IFERROR(VLOOKUP(A560,_xlfn.VSTACK(YES_Reading_ELA[],YES_Reading_FLA[]),2,FALSE),"")</f>
        <v/>
      </c>
      <c r="C560" s="203" t="str" cm="1">
        <f t="array" aca="1" ref="C560" ca="1">IFERROR(
IF($J$2="ELA",
IF(VLOOKUP($A560, YES_Reading_ELA[], COLUMN(IF(VLOOKUP($D$2, 'Reading Report Logic'!$A$2:$B$8, 2, FALSE)=1, YES_Reading_ELA[Reading Level June of Previous School Year], INDIRECT("YES_Reading_ELA[Instructional Reading Level - Per "&amp;(VLOOKUP($D$2,'Reading Report Logic'!$A$2:$B$8,2,FALSE)-1)&amp;"]"))), FALSE)="", "",
VLOOKUP($A560,YES_Reading_ELA[], COLUMN(IF(VLOOKUP($D$2,'Reading Report Logic'!$A$2:$B$8,2,FALSE)=1, YES_Reading_ELA[Reading Level June of Previous School Year],INDIRECT("YES_Reading_ELA[Instructional Reading Level - Per "&amp;(VLOOKUP($D$2,'Reading Report Logic'!$A$2:$B$8,2,FALSE)-1)&amp;"]"))), FALSE)),
IF($J$2="FLA",
IF(VLOOKUP($A560, YES_Reading_FLA[], COLUMN(IF(VLOOKUP($D$2,'Reading Report Logic'!$A$2:$B$8,2,FALSE)=1, YES_Reading_FLA[Reading Level June of Previous School Year],INDIRECT("YES_Reading_FLA[Instructional Reading Level - Per "&amp;(VLOOKUP($D$2,'Reading Report Logic'!$A$2:$B$8,2,FALSE)-1)&amp;"]"))),FALSE)="","",
VLOOKUP($A560,YES_Reading_FLA[], COLUMN(IF(VLOOKUP($D$2,'Reading Report Logic'!$A$2:$B$8,2,FALSE)=1, YES_Reading_FLA[Reading Level June of Previous School Year],INDIRECT("YES_Reading_FLA[Instructional Reading Level - Per "&amp;(VLOOKUP($D$2,'Reading Report Logic'!$A$2:$B$8,2,FALSE)-1)&amp;"]"))),FALSE)),
IF($J$2="Combined",
IFERROR(
IF(VLOOKUP($A560, YES_Reading_ELA[], COLUMN(IF(VLOOKUP($D$2,'Reading Report Logic'!$A$2:$B$8,2,FALSE)=1, YES_Reading_ELA[Reading Level June of Previous School Year],INDIRECT("YES_Reading_ELA[Instructional Reading Level - Per "&amp;(VLOOKUP($D$2,'Reading Report Logic'!$A$2:$B$8,2,FALSE)-1)&amp;"]"))), FALSE)="", "",
VLOOKUP($A560,YES_Reading_ELA[],COLUMN(IF(VLOOKUP($D$2,'Reading Report Logic'!$A$2:$B$8,2,FALSE)=1, YES_Reading_ELA[Reading Level June of Previous School Year],INDIRECT("YES_Reading_ELA[Instructional Reading Level - Per "&amp;(VLOOKUP($D$2,'Reading Report Logic'!$A$2:$B$8,2,FALSE)-1)&amp;"]"))),FALSE)),
IF(VLOOKUP($A560, YES_Reading_FLA[], COLUMN(IF(VLOOKUP($D$2,'Reading Report Logic'!$A$2:$B$8,2,FALSE)=1, YES_Reading_FLA[Reading Level June of Previous School Year],INDIRECT("YES_Reading_FLA[Instructional Reading Level - Per "&amp;(VLOOKUP($D$2,'Reading Report Logic'!$A$2:$B$8,2,FALSE)-1)&amp;"]"))),FALSE)="", "", VLOOKUP($A560,YES_Reading_FLA[],COLUMN(IF(VLOOKUP($D$2,'Reading Report Logic'!$A$2:$B$8,2,FALSE)=1, YES_Reading_FLA[Reading Level June of Previous School Year],INDIRECT("YES_Reading_FLA[Instructional Reading Level - Per "&amp;(VLOOKUP($D$2,'Reading Report Logic'!$A$2:$B$8,2,FALSE)-1)&amp;"]"))), FALSE))),""))),"")</f>
        <v/>
      </c>
      <c r="D560" s="204" t="str" cm="1">
        <f t="array" aca="1" ref="D560" ca="1">IFERROR(
IF($J$2="ELA",
IF(VLOOKUP($A560, YES_Reading_ELA[], COLUMN(INDIRECT("YES_Reading_ELA[Instructional Reading Level - Per "&amp;VLOOKUP($D$2, 'Reading Report Logic'!$A$2:$B$8, 2, FALSE)&amp;"]")), FALSE)="", "",
VLOOKUP($A560,YES_Reading_ELA[], COLUMN(INDIRECT("YES_Reading_ELA[Instructional Reading Level - Per "&amp;VLOOKUP($D$2,'Reading Report Logic'!$A$2:$B$8,2,FALSE)&amp;"]")), FALSE)),
IF($J$2="FLA",
IF(VLOOKUP($A560, YES_Reading_FLA[], COLUMN(INDIRECT("YES_Reading_FLA[Instructional Reading Level - Per "&amp;VLOOKUP($D$2,'Reading Report Logic'!$A$2:$B$8,2,FALSE)&amp;"]")),FALSE)="","",
VLOOKUP($A560,YES_Reading_FLA[],COLUMN(INDIRECT("YES_Reading_FLA[Instructional Reading Level - Per "&amp;VLOOKUP($D$2,'Reading Report Logic'!$A$2:$B$8,2,FALSE)&amp;"]")),FALSE)),
IF($J$2="Combined",
IFERROR(
IF(VLOOKUP($A560, YES_Reading_ELA[], COLUMN(INDIRECT("YES_Reading_ELA[Instructional Reading Level - Per "&amp;VLOOKUP($D$2, 'Reading Report Logic'!$A$2:$B$8,2,FALSE)&amp;"]")), FALSE)="", "",
VLOOKUP($A560,YES_Reading_ELA[],COLUMN(INDIRECT("YES_Reading_ELA[Instructional Reading Level - Per "&amp;VLOOKUP($D$2,'Reading Report Logic'!$A$2:$B$8,2,FALSE)&amp;"]")),FALSE)),
IF(VLOOKUP($A560, YES_Reading_FLA[], COLUMN(INDIRECT("YES_Reading_FLA[Instructional Reading Level - Per "&amp;VLOOKUP($D$2, 'Reading Report Logic'!$A$2:$B$8, 2, FALSE)&amp;"]")),FALSE)="", "", VLOOKUP($A560,YES_Reading_FLA[],COLUMN(INDIRECT("YES_Reading_FLA[Instructional Reading Level - Per "&amp;VLOOKUP($D$2, 'Reading Report Logic'!$A$2:$B$8, 2, FALSE)&amp;"]")),FALSE))),""))),"")</f>
        <v/>
      </c>
      <c r="E560" s="205" t="str" cm="1">
        <f t="array" aca="1" ref="E560" ca="1">IFERROR(
IF($J$2="ELA",
IF(VLOOKUP($A560, YES_Reading_ELA[], COLUMN(INDIRECT("YES_Reading_ELA[Min Expectation - Per "&amp;VLOOKUP($D$2, 'Reading Report Logic'!$A$2:$B$8, 2, FALSE)&amp;"]")), FALSE)="", "",
VLOOKUP($A560,YES_Reading_ELA[], COLUMN(INDIRECT("YES_Reading_ELA[Min Expectation - Per "&amp;VLOOKUP($D$2,'Reading Report Logic'!$A$2:$B$8,2,FALSE)&amp;"]")), FALSE)),
IF($J$2="FLA",
IF(VLOOKUP($A560, YES_Reading_FLA[], COLUMN(INDIRECT("YES_Reading_FLA[Min Expectation - Per "&amp;VLOOKUP($D$2,'Reading Report Logic'!$A$2:$B$8,2,FALSE)&amp;"]")),FALSE)="","",
VLOOKUP($A560,YES_Reading_FLA[],COLUMN(INDIRECT("YES_Reading_FLA[Min Expectation - Per "&amp;VLOOKUP($D$2,'Reading Report Logic'!$A$2:$B$8,2,FALSE)&amp;"]")),FALSE)),
IF($J$2="Combined",
IFERROR(
IF(VLOOKUP($A560, YES_Reading_ELA[], COLUMN(INDIRECT("YES_Reading_ELA[Min Expectation - Per "&amp;VLOOKUP($D$2, 'Reading Report Logic'!$A$2:$B$8,2,FALSE)&amp;"]")), FALSE)="", "",
VLOOKUP($A560,YES_Reading_ELA[],COLUMN(INDIRECT("YES_Reading_ELA[Min Expectation - Per "&amp;VLOOKUP($D$2,'Reading Report Logic'!$A$2:$B$8,2,FALSE)&amp;"]")),FALSE)),
IF(VLOOKUP($A560, YES_Reading_FLA[], COLUMN(INDIRECT("YES_Reading_FLA[Min Expectation - Per "&amp;VLOOKUP($D$2, 'Reading Report Logic'!$A$2:$B$8, 2, FALSE)&amp;"]")),FALSE)="", "", VLOOKUP($A560,YES_Reading_FLA[],COLUMN(INDIRECT("YES_Reading_FLA[Min Expectation - Per "&amp;VLOOKUP($D$2, 'Reading Report Logic'!$A$2:$B$8, 2, FALSE)&amp;"]")),FALSE))),""))),"")</f>
        <v/>
      </c>
      <c r="F560" s="205" t="str" cm="1">
        <f t="array" aca="1" ref="F560" ca="1">IFERROR(
IF($J$2="ELA",
IF(VLOOKUP($A560, YES_Reading_ELA[], COLUMN(INDIRECT("YES_Reading_ELA[Max Expectation - Per "&amp;VLOOKUP($D$2, 'Reading Report Logic'!$A$2:$B$8, 2, FALSE)&amp;"]")), FALSE)="", "",
VLOOKUP($A560,YES_Reading_ELA[], COLUMN(INDIRECT("YES_Reading_ELA[Max Expectation - Per "&amp;VLOOKUP($D$2,'Reading Report Logic'!$A$2:$B$8,2,FALSE)&amp;"]")), FALSE)),
IF($J$2="FLA",
IF(VLOOKUP($A560, YES_Reading_FLA[], COLUMN(INDIRECT("YES_Reading_FLA[Max Expectation - Per "&amp;VLOOKUP($D$2,'Reading Report Logic'!$A$2:$B$8,2,FALSE)&amp;"]")),FALSE)="","",
VLOOKUP($A560,YES_Reading_FLA[],COLUMN(INDIRECT("YES_Reading_FLA[Max Expectation - Per "&amp;VLOOKUP($D$2,'Reading Report Logic'!$A$2:$B$8,2,FALSE)&amp;"]")),FALSE)),
IF($J$2="Combined",
IFERROR(
IF(VLOOKUP($A560, YES_Reading_ELA[], COLUMN(INDIRECT("YES_Reading_ELA[Max Expectation - Per "&amp;VLOOKUP($D$2, 'Reading Report Logic'!$A$2:$B$8,2,FALSE)&amp;"]")), FALSE)="", "",
VLOOKUP($A560,YES_Reading_ELA[],COLUMN(INDIRECT("YES_Reading_ELA[Max Expectation - Per "&amp;VLOOKUP($D$2,'Reading Report Logic'!$A$2:$B$8,2,FALSE)&amp;"]")),FALSE)),
IF(VLOOKUP($A560, YES_Reading_FLA[], COLUMN(INDIRECT("YES_Reading_FLA[Max Expectation - Per "&amp;VLOOKUP($D$2, 'Reading Report Logic'!$A$2:$B$8, 2, FALSE)&amp;"]")),FALSE)="", "", VLOOKUP($A560,YES_Reading_FLA[],COLUMN(INDIRECT("YES_Reading_FLA[Max Expectation - Per "&amp;VLOOKUP($D$2, 'Reading Report Logic'!$A$2:$B$8, 2, FALSE)&amp;"]")),FALSE))),""))),"")</f>
        <v/>
      </c>
      <c r="G560" s="205" t="str" cm="1">
        <f t="array" aca="1" ref="G560" ca="1">IFERROR(
IF($J$2="ELA",
IF(VLOOKUP($A560, YES_Reading_ELA[], COLUMN(INDIRECT("YES_Reading_ELA[Difference - Per "&amp;VLOOKUP($D$2, 'Reading Report Logic'!$A$2:$B$8, 2, FALSE)&amp;"]")), FALSE)="", "",
VLOOKUP($A560,YES_Reading_ELA[], COLUMN(INDIRECT("YES_Reading_ELA[Difference - Per "&amp;VLOOKUP($D$2,'Reading Report Logic'!$A$2:$B$8,2,FALSE)&amp;"]")), FALSE)),
IF($J$2="FLA",
IF(VLOOKUP($A560, YES_Reading_FLA[], COLUMN(INDIRECT("YES_Reading_FLA[Difference - Per "&amp;VLOOKUP($D$2,'Reading Report Logic'!$A$2:$B$8,2,FALSE)&amp;"]")),FALSE)="","",
VLOOKUP($A560,YES_Reading_FLA[],COLUMN(INDIRECT("YES_Reading_FLA[Difference - Per "&amp;VLOOKUP($D$2,'Reading Report Logic'!$A$2:$B$8,2,FALSE)&amp;"]")),FALSE)),
IF($J$2="Combined",
IFERROR(
IF(VLOOKUP($A560, YES_Reading_ELA[], COLUMN(INDIRECT("YES_Reading_ELA[Difference - Per "&amp;VLOOKUP($D$2, 'Reading Report Logic'!$A$2:$B$8,2,FALSE)&amp;"]")), FALSE)="", "",
VLOOKUP($A560,YES_Reading_ELA[],COLUMN(INDIRECT("YES_Reading_ELA[Difference - Per "&amp;VLOOKUP($D$2,'Reading Report Logic'!$A$2:$B$8,2,FALSE)&amp;"]")),FALSE)),
IF(VLOOKUP($A560, YES_Reading_FLA[], COLUMN(INDIRECT("YES_Reading_FLA[Difference - Per "&amp;VLOOKUP($D$2, 'Reading Report Logic'!$A$2:$B$8, 2, FALSE)&amp;"]")),FALSE)="", "", VLOOKUP($A560,YES_Reading_FLA[],COLUMN(INDIRECT("YES_Reading_FLA[Difference - Per "&amp;VLOOKUP($D$2, 'Reading Report Logic'!$A$2:$B$8, 2, FALSE)&amp;"]")),FALSE))),""))),"")</f>
        <v/>
      </c>
      <c r="H560" s="206" t="str">
        <f ca="1">IFERROR(VLOOKUP('Teacher Reading Pull Sheets'!$D560,_xlfn.VSTACK('ELA Reading Logic'!$A$22:$B$48,'FLA Reading Logic'!$A$22:$B$53),2,FALSE)-VLOOKUP('Teacher Reading Pull Sheets'!$C560,_xlfn.VSTACK('ELA Reading Logic'!$A$22:$B$48,'FLA Reading Logic'!$A$22:$B$53),2,FALSE),"")</f>
        <v/>
      </c>
      <c r="I560" s="212"/>
      <c r="J560" s="206"/>
      <c r="K560" s="197" t="str" cm="1">
        <f t="array" ref="K560">IFERROR(
IF($J$2="ELA",
IF(VLOOKUP($A560, YES_Reading_ELA[], COLUMN(YES_Reading_ELA[Self-Identified as African Descent]), FALSE)="", "",
VLOOKUP($A560,YES_Reading_ELA[], COLUMN(YES_Reading_ELA[Self-Identified as African Descent]), FALSE)),
IF($J$2="FLA",
IF(VLOOKUP($A560, YES_Reading_FLA[], COLUMN(YES_Reading_FLA[Self-Identified as African Descent]),FALSE)="","",
VLOOKUP($A560,YES_Reading_FLA[],COLUMN(YES_Reading_FLA[Self-Identified as African Descent]),FALSE)),
IF($J$2="Combined",
IFERROR(
IF(VLOOKUP($A560, YES_Reading_ELA[], COLUMN(YES_Reading_ELA[Self-Identified as African Descent]), FALSE)="", "",
VLOOKUP($A560,YES_Reading_ELA[],COLUMN(YES_Reading_ELA[Self-Identified as African Descent]),FALSE)),
IF(VLOOKUP($A560, YES_Reading_FLA[], COLUMN(YES_Reading_FLA[Self-Identified as African Descent]),FALSE)="", "", VLOOKUP($A560,YES_Reading_FLA[],COLUMN(YES_Reading_FLA[Self-Identified as African Descent]),FALSE))),""))),"")</f>
        <v/>
      </c>
      <c r="L560" s="73" t="str" cm="1">
        <f t="array" ref="L560">IFERROR(
IF($J$2="ELA",
IF(VLOOKUP($A560, YES_Reading_ELA[], COLUMN(YES_Reading_ELA[Self-Identified as Indigenous]), FALSE)="", "",
VLOOKUP($A560,YES_Reading_ELA[], COLUMN(YES_Reading_ELA[Self-Identified as Indigenous]), FALSE)),
IF($J$2="FLA",
IF(VLOOKUP($A560, YES_Reading_FLA[], COLUMN(YES_Reading_FLA[Self-Identified as Indigenous]),FALSE)="","",
VLOOKUP($A560,YES_Reading_FLA[],COLUMN(YES_Reading_FLA[Self-Identified as Indigenous]),FALSE)),
IF($J$2="Combined",
IFERROR(
IF(VLOOKUP($A560, YES_Reading_ELA[], COLUMN(YES_Reading_ELA[Self-Identified as Indigenous]), FALSE)="", "",
VLOOKUP($A560,YES_Reading_ELA[],COLUMN(YES_Reading_ELA[Self-Identified as Indigenous]),FALSE)),
IF(VLOOKUP($A560, YES_Reading_FLA[], COLUMN(YES_Reading_FLA[Self-Identified as Indigenous]),FALSE)="", "", VLOOKUP($A560,YES_Reading_FLA[],COLUMN(YES_Reading_FLA[Self-Identified as Indigenous]),FALSE))),""))),"")</f>
        <v/>
      </c>
    </row>
    <row r="561" spans="1:12" ht="19.5" customHeight="1" x14ac:dyDescent="0.25">
      <c r="A561" s="217"/>
      <c r="B561" s="220" t="str">
        <f>IFERROR(VLOOKUP(A561,_xlfn.VSTACK(YES_Reading_ELA[],YES_Reading_FLA[]),2,FALSE),"")</f>
        <v/>
      </c>
      <c r="C561" s="203" t="str" cm="1">
        <f t="array" aca="1" ref="C561" ca="1">IFERROR(
IF($J$2="ELA",
IF(VLOOKUP($A561, YES_Reading_ELA[], COLUMN(IF(VLOOKUP($D$2, 'Reading Report Logic'!$A$2:$B$8, 2, FALSE)=1, YES_Reading_ELA[Reading Level June of Previous School Year], INDIRECT("YES_Reading_ELA[Instructional Reading Level - Per "&amp;(VLOOKUP($D$2,'Reading Report Logic'!$A$2:$B$8,2,FALSE)-1)&amp;"]"))), FALSE)="", "",
VLOOKUP($A561,YES_Reading_ELA[], COLUMN(IF(VLOOKUP($D$2,'Reading Report Logic'!$A$2:$B$8,2,FALSE)=1, YES_Reading_ELA[Reading Level June of Previous School Year],INDIRECT("YES_Reading_ELA[Instructional Reading Level - Per "&amp;(VLOOKUP($D$2,'Reading Report Logic'!$A$2:$B$8,2,FALSE)-1)&amp;"]"))), FALSE)),
IF($J$2="FLA",
IF(VLOOKUP($A561, YES_Reading_FLA[], COLUMN(IF(VLOOKUP($D$2,'Reading Report Logic'!$A$2:$B$8,2,FALSE)=1, YES_Reading_FLA[Reading Level June of Previous School Year],INDIRECT("YES_Reading_FLA[Instructional Reading Level - Per "&amp;(VLOOKUP($D$2,'Reading Report Logic'!$A$2:$B$8,2,FALSE)-1)&amp;"]"))),FALSE)="","",
VLOOKUP($A561,YES_Reading_FLA[], COLUMN(IF(VLOOKUP($D$2,'Reading Report Logic'!$A$2:$B$8,2,FALSE)=1, YES_Reading_FLA[Reading Level June of Previous School Year],INDIRECT("YES_Reading_FLA[Instructional Reading Level - Per "&amp;(VLOOKUP($D$2,'Reading Report Logic'!$A$2:$B$8,2,FALSE)-1)&amp;"]"))),FALSE)),
IF($J$2="Combined",
IFERROR(
IF(VLOOKUP($A561, YES_Reading_ELA[], COLUMN(IF(VLOOKUP($D$2,'Reading Report Logic'!$A$2:$B$8,2,FALSE)=1, YES_Reading_ELA[Reading Level June of Previous School Year],INDIRECT("YES_Reading_ELA[Instructional Reading Level - Per "&amp;(VLOOKUP($D$2,'Reading Report Logic'!$A$2:$B$8,2,FALSE)-1)&amp;"]"))), FALSE)="", "",
VLOOKUP($A561,YES_Reading_ELA[],COLUMN(IF(VLOOKUP($D$2,'Reading Report Logic'!$A$2:$B$8,2,FALSE)=1, YES_Reading_ELA[Reading Level June of Previous School Year],INDIRECT("YES_Reading_ELA[Instructional Reading Level - Per "&amp;(VLOOKUP($D$2,'Reading Report Logic'!$A$2:$B$8,2,FALSE)-1)&amp;"]"))),FALSE)),
IF(VLOOKUP($A561, YES_Reading_FLA[], COLUMN(IF(VLOOKUP($D$2,'Reading Report Logic'!$A$2:$B$8,2,FALSE)=1, YES_Reading_FLA[Reading Level June of Previous School Year],INDIRECT("YES_Reading_FLA[Instructional Reading Level - Per "&amp;(VLOOKUP($D$2,'Reading Report Logic'!$A$2:$B$8,2,FALSE)-1)&amp;"]"))),FALSE)="", "", VLOOKUP($A561,YES_Reading_FLA[],COLUMN(IF(VLOOKUP($D$2,'Reading Report Logic'!$A$2:$B$8,2,FALSE)=1, YES_Reading_FLA[Reading Level June of Previous School Year],INDIRECT("YES_Reading_FLA[Instructional Reading Level - Per "&amp;(VLOOKUP($D$2,'Reading Report Logic'!$A$2:$B$8,2,FALSE)-1)&amp;"]"))), FALSE))),""))),"")</f>
        <v/>
      </c>
      <c r="D561" s="204" t="str" cm="1">
        <f t="array" aca="1" ref="D561" ca="1">IFERROR(
IF($J$2="ELA",
IF(VLOOKUP($A561, YES_Reading_ELA[], COLUMN(INDIRECT("YES_Reading_ELA[Instructional Reading Level - Per "&amp;VLOOKUP($D$2, 'Reading Report Logic'!$A$2:$B$8, 2, FALSE)&amp;"]")), FALSE)="", "",
VLOOKUP($A561,YES_Reading_ELA[], COLUMN(INDIRECT("YES_Reading_ELA[Instructional Reading Level - Per "&amp;VLOOKUP($D$2,'Reading Report Logic'!$A$2:$B$8,2,FALSE)&amp;"]")), FALSE)),
IF($J$2="FLA",
IF(VLOOKUP($A561, YES_Reading_FLA[], COLUMN(INDIRECT("YES_Reading_FLA[Instructional Reading Level - Per "&amp;VLOOKUP($D$2,'Reading Report Logic'!$A$2:$B$8,2,FALSE)&amp;"]")),FALSE)="","",
VLOOKUP($A561,YES_Reading_FLA[],COLUMN(INDIRECT("YES_Reading_FLA[Instructional Reading Level - Per "&amp;VLOOKUP($D$2,'Reading Report Logic'!$A$2:$B$8,2,FALSE)&amp;"]")),FALSE)),
IF($J$2="Combined",
IFERROR(
IF(VLOOKUP($A561, YES_Reading_ELA[], COLUMN(INDIRECT("YES_Reading_ELA[Instructional Reading Level - Per "&amp;VLOOKUP($D$2, 'Reading Report Logic'!$A$2:$B$8,2,FALSE)&amp;"]")), FALSE)="", "",
VLOOKUP($A561,YES_Reading_ELA[],COLUMN(INDIRECT("YES_Reading_ELA[Instructional Reading Level - Per "&amp;VLOOKUP($D$2,'Reading Report Logic'!$A$2:$B$8,2,FALSE)&amp;"]")),FALSE)),
IF(VLOOKUP($A561, YES_Reading_FLA[], COLUMN(INDIRECT("YES_Reading_FLA[Instructional Reading Level - Per "&amp;VLOOKUP($D$2, 'Reading Report Logic'!$A$2:$B$8, 2, FALSE)&amp;"]")),FALSE)="", "", VLOOKUP($A561,YES_Reading_FLA[],COLUMN(INDIRECT("YES_Reading_FLA[Instructional Reading Level - Per "&amp;VLOOKUP($D$2, 'Reading Report Logic'!$A$2:$B$8, 2, FALSE)&amp;"]")),FALSE))),""))),"")</f>
        <v/>
      </c>
      <c r="E561" s="205" t="str" cm="1">
        <f t="array" aca="1" ref="E561" ca="1">IFERROR(
IF($J$2="ELA",
IF(VLOOKUP($A561, YES_Reading_ELA[], COLUMN(INDIRECT("YES_Reading_ELA[Min Expectation - Per "&amp;VLOOKUP($D$2, 'Reading Report Logic'!$A$2:$B$8, 2, FALSE)&amp;"]")), FALSE)="", "",
VLOOKUP($A561,YES_Reading_ELA[], COLUMN(INDIRECT("YES_Reading_ELA[Min Expectation - Per "&amp;VLOOKUP($D$2,'Reading Report Logic'!$A$2:$B$8,2,FALSE)&amp;"]")), FALSE)),
IF($J$2="FLA",
IF(VLOOKUP($A561, YES_Reading_FLA[], COLUMN(INDIRECT("YES_Reading_FLA[Min Expectation - Per "&amp;VLOOKUP($D$2,'Reading Report Logic'!$A$2:$B$8,2,FALSE)&amp;"]")),FALSE)="","",
VLOOKUP($A561,YES_Reading_FLA[],COLUMN(INDIRECT("YES_Reading_FLA[Min Expectation - Per "&amp;VLOOKUP($D$2,'Reading Report Logic'!$A$2:$B$8,2,FALSE)&amp;"]")),FALSE)),
IF($J$2="Combined",
IFERROR(
IF(VLOOKUP($A561, YES_Reading_ELA[], COLUMN(INDIRECT("YES_Reading_ELA[Min Expectation - Per "&amp;VLOOKUP($D$2, 'Reading Report Logic'!$A$2:$B$8,2,FALSE)&amp;"]")), FALSE)="", "",
VLOOKUP($A561,YES_Reading_ELA[],COLUMN(INDIRECT("YES_Reading_ELA[Min Expectation - Per "&amp;VLOOKUP($D$2,'Reading Report Logic'!$A$2:$B$8,2,FALSE)&amp;"]")),FALSE)),
IF(VLOOKUP($A561, YES_Reading_FLA[], COLUMN(INDIRECT("YES_Reading_FLA[Min Expectation - Per "&amp;VLOOKUP($D$2, 'Reading Report Logic'!$A$2:$B$8, 2, FALSE)&amp;"]")),FALSE)="", "", VLOOKUP($A561,YES_Reading_FLA[],COLUMN(INDIRECT("YES_Reading_FLA[Min Expectation - Per "&amp;VLOOKUP($D$2, 'Reading Report Logic'!$A$2:$B$8, 2, FALSE)&amp;"]")),FALSE))),""))),"")</f>
        <v/>
      </c>
      <c r="F561" s="205" t="str" cm="1">
        <f t="array" aca="1" ref="F561" ca="1">IFERROR(
IF($J$2="ELA",
IF(VLOOKUP($A561, YES_Reading_ELA[], COLUMN(INDIRECT("YES_Reading_ELA[Max Expectation - Per "&amp;VLOOKUP($D$2, 'Reading Report Logic'!$A$2:$B$8, 2, FALSE)&amp;"]")), FALSE)="", "",
VLOOKUP($A561,YES_Reading_ELA[], COLUMN(INDIRECT("YES_Reading_ELA[Max Expectation - Per "&amp;VLOOKUP($D$2,'Reading Report Logic'!$A$2:$B$8,2,FALSE)&amp;"]")), FALSE)),
IF($J$2="FLA",
IF(VLOOKUP($A561, YES_Reading_FLA[], COLUMN(INDIRECT("YES_Reading_FLA[Max Expectation - Per "&amp;VLOOKUP($D$2,'Reading Report Logic'!$A$2:$B$8,2,FALSE)&amp;"]")),FALSE)="","",
VLOOKUP($A561,YES_Reading_FLA[],COLUMN(INDIRECT("YES_Reading_FLA[Max Expectation - Per "&amp;VLOOKUP($D$2,'Reading Report Logic'!$A$2:$B$8,2,FALSE)&amp;"]")),FALSE)),
IF($J$2="Combined",
IFERROR(
IF(VLOOKUP($A561, YES_Reading_ELA[], COLUMN(INDIRECT("YES_Reading_ELA[Max Expectation - Per "&amp;VLOOKUP($D$2, 'Reading Report Logic'!$A$2:$B$8,2,FALSE)&amp;"]")), FALSE)="", "",
VLOOKUP($A561,YES_Reading_ELA[],COLUMN(INDIRECT("YES_Reading_ELA[Max Expectation - Per "&amp;VLOOKUP($D$2,'Reading Report Logic'!$A$2:$B$8,2,FALSE)&amp;"]")),FALSE)),
IF(VLOOKUP($A561, YES_Reading_FLA[], COLUMN(INDIRECT("YES_Reading_FLA[Max Expectation - Per "&amp;VLOOKUP($D$2, 'Reading Report Logic'!$A$2:$B$8, 2, FALSE)&amp;"]")),FALSE)="", "", VLOOKUP($A561,YES_Reading_FLA[],COLUMN(INDIRECT("YES_Reading_FLA[Max Expectation - Per "&amp;VLOOKUP($D$2, 'Reading Report Logic'!$A$2:$B$8, 2, FALSE)&amp;"]")),FALSE))),""))),"")</f>
        <v/>
      </c>
      <c r="G561" s="205" t="str" cm="1">
        <f t="array" aca="1" ref="G561" ca="1">IFERROR(
IF($J$2="ELA",
IF(VLOOKUP($A561, YES_Reading_ELA[], COLUMN(INDIRECT("YES_Reading_ELA[Difference - Per "&amp;VLOOKUP($D$2, 'Reading Report Logic'!$A$2:$B$8, 2, FALSE)&amp;"]")), FALSE)="", "",
VLOOKUP($A561,YES_Reading_ELA[], COLUMN(INDIRECT("YES_Reading_ELA[Difference - Per "&amp;VLOOKUP($D$2,'Reading Report Logic'!$A$2:$B$8,2,FALSE)&amp;"]")), FALSE)),
IF($J$2="FLA",
IF(VLOOKUP($A561, YES_Reading_FLA[], COLUMN(INDIRECT("YES_Reading_FLA[Difference - Per "&amp;VLOOKUP($D$2,'Reading Report Logic'!$A$2:$B$8,2,FALSE)&amp;"]")),FALSE)="","",
VLOOKUP($A561,YES_Reading_FLA[],COLUMN(INDIRECT("YES_Reading_FLA[Difference - Per "&amp;VLOOKUP($D$2,'Reading Report Logic'!$A$2:$B$8,2,FALSE)&amp;"]")),FALSE)),
IF($J$2="Combined",
IFERROR(
IF(VLOOKUP($A561, YES_Reading_ELA[], COLUMN(INDIRECT("YES_Reading_ELA[Difference - Per "&amp;VLOOKUP($D$2, 'Reading Report Logic'!$A$2:$B$8,2,FALSE)&amp;"]")), FALSE)="", "",
VLOOKUP($A561,YES_Reading_ELA[],COLUMN(INDIRECT("YES_Reading_ELA[Difference - Per "&amp;VLOOKUP($D$2,'Reading Report Logic'!$A$2:$B$8,2,FALSE)&amp;"]")),FALSE)),
IF(VLOOKUP($A561, YES_Reading_FLA[], COLUMN(INDIRECT("YES_Reading_FLA[Difference - Per "&amp;VLOOKUP($D$2, 'Reading Report Logic'!$A$2:$B$8, 2, FALSE)&amp;"]")),FALSE)="", "", VLOOKUP($A561,YES_Reading_FLA[],COLUMN(INDIRECT("YES_Reading_FLA[Difference - Per "&amp;VLOOKUP($D$2, 'Reading Report Logic'!$A$2:$B$8, 2, FALSE)&amp;"]")),FALSE))),""))),"")</f>
        <v/>
      </c>
      <c r="H561" s="206" t="str">
        <f ca="1">IFERROR(VLOOKUP('Teacher Reading Pull Sheets'!$D561,_xlfn.VSTACK('ELA Reading Logic'!$A$22:$B$48,'FLA Reading Logic'!$A$22:$B$53),2,FALSE)-VLOOKUP('Teacher Reading Pull Sheets'!$C561,_xlfn.VSTACK('ELA Reading Logic'!$A$22:$B$48,'FLA Reading Logic'!$A$22:$B$53),2,FALSE),"")</f>
        <v/>
      </c>
      <c r="I561" s="212"/>
      <c r="J561" s="206"/>
      <c r="K561" s="197" t="str" cm="1">
        <f t="array" ref="K561">IFERROR(
IF($J$2="ELA",
IF(VLOOKUP($A561, YES_Reading_ELA[], COLUMN(YES_Reading_ELA[Self-Identified as African Descent]), FALSE)="", "",
VLOOKUP($A561,YES_Reading_ELA[], COLUMN(YES_Reading_ELA[Self-Identified as African Descent]), FALSE)),
IF($J$2="FLA",
IF(VLOOKUP($A561, YES_Reading_FLA[], COLUMN(YES_Reading_FLA[Self-Identified as African Descent]),FALSE)="","",
VLOOKUP($A561,YES_Reading_FLA[],COLUMN(YES_Reading_FLA[Self-Identified as African Descent]),FALSE)),
IF($J$2="Combined",
IFERROR(
IF(VLOOKUP($A561, YES_Reading_ELA[], COLUMN(YES_Reading_ELA[Self-Identified as African Descent]), FALSE)="", "",
VLOOKUP($A561,YES_Reading_ELA[],COLUMN(YES_Reading_ELA[Self-Identified as African Descent]),FALSE)),
IF(VLOOKUP($A561, YES_Reading_FLA[], COLUMN(YES_Reading_FLA[Self-Identified as African Descent]),FALSE)="", "", VLOOKUP($A561,YES_Reading_FLA[],COLUMN(YES_Reading_FLA[Self-Identified as African Descent]),FALSE))),""))),"")</f>
        <v/>
      </c>
      <c r="L561" s="73" t="str" cm="1">
        <f t="array" ref="L561">IFERROR(
IF($J$2="ELA",
IF(VLOOKUP($A561, YES_Reading_ELA[], COLUMN(YES_Reading_ELA[Self-Identified as Indigenous]), FALSE)="", "",
VLOOKUP($A561,YES_Reading_ELA[], COLUMN(YES_Reading_ELA[Self-Identified as Indigenous]), FALSE)),
IF($J$2="FLA",
IF(VLOOKUP($A561, YES_Reading_FLA[], COLUMN(YES_Reading_FLA[Self-Identified as Indigenous]),FALSE)="","",
VLOOKUP($A561,YES_Reading_FLA[],COLUMN(YES_Reading_FLA[Self-Identified as Indigenous]),FALSE)),
IF($J$2="Combined",
IFERROR(
IF(VLOOKUP($A561, YES_Reading_ELA[], COLUMN(YES_Reading_ELA[Self-Identified as Indigenous]), FALSE)="", "",
VLOOKUP($A561,YES_Reading_ELA[],COLUMN(YES_Reading_ELA[Self-Identified as Indigenous]),FALSE)),
IF(VLOOKUP($A561, YES_Reading_FLA[], COLUMN(YES_Reading_FLA[Self-Identified as Indigenous]),FALSE)="", "", VLOOKUP($A561,YES_Reading_FLA[],COLUMN(YES_Reading_FLA[Self-Identified as Indigenous]),FALSE))),""))),"")</f>
        <v/>
      </c>
    </row>
    <row r="562" spans="1:12" ht="19.5" customHeight="1" x14ac:dyDescent="0.25">
      <c r="A562" s="217"/>
      <c r="B562" s="220" t="str">
        <f>IFERROR(VLOOKUP(A562,_xlfn.VSTACK(YES_Reading_ELA[],YES_Reading_FLA[]),2,FALSE),"")</f>
        <v/>
      </c>
      <c r="C562" s="203" t="str" cm="1">
        <f t="array" aca="1" ref="C562" ca="1">IFERROR(
IF($J$2="ELA",
IF(VLOOKUP($A562, YES_Reading_ELA[], COLUMN(IF(VLOOKUP($D$2, 'Reading Report Logic'!$A$2:$B$8, 2, FALSE)=1, YES_Reading_ELA[Reading Level June of Previous School Year], INDIRECT("YES_Reading_ELA[Instructional Reading Level - Per "&amp;(VLOOKUP($D$2,'Reading Report Logic'!$A$2:$B$8,2,FALSE)-1)&amp;"]"))), FALSE)="", "",
VLOOKUP($A562,YES_Reading_ELA[], COLUMN(IF(VLOOKUP($D$2,'Reading Report Logic'!$A$2:$B$8,2,FALSE)=1, YES_Reading_ELA[Reading Level June of Previous School Year],INDIRECT("YES_Reading_ELA[Instructional Reading Level - Per "&amp;(VLOOKUP($D$2,'Reading Report Logic'!$A$2:$B$8,2,FALSE)-1)&amp;"]"))), FALSE)),
IF($J$2="FLA",
IF(VLOOKUP($A562, YES_Reading_FLA[], COLUMN(IF(VLOOKUP($D$2,'Reading Report Logic'!$A$2:$B$8,2,FALSE)=1, YES_Reading_FLA[Reading Level June of Previous School Year],INDIRECT("YES_Reading_FLA[Instructional Reading Level - Per "&amp;(VLOOKUP($D$2,'Reading Report Logic'!$A$2:$B$8,2,FALSE)-1)&amp;"]"))),FALSE)="","",
VLOOKUP($A562,YES_Reading_FLA[], COLUMN(IF(VLOOKUP($D$2,'Reading Report Logic'!$A$2:$B$8,2,FALSE)=1, YES_Reading_FLA[Reading Level June of Previous School Year],INDIRECT("YES_Reading_FLA[Instructional Reading Level - Per "&amp;(VLOOKUP($D$2,'Reading Report Logic'!$A$2:$B$8,2,FALSE)-1)&amp;"]"))),FALSE)),
IF($J$2="Combined",
IFERROR(
IF(VLOOKUP($A562, YES_Reading_ELA[], COLUMN(IF(VLOOKUP($D$2,'Reading Report Logic'!$A$2:$B$8,2,FALSE)=1, YES_Reading_ELA[Reading Level June of Previous School Year],INDIRECT("YES_Reading_ELA[Instructional Reading Level - Per "&amp;(VLOOKUP($D$2,'Reading Report Logic'!$A$2:$B$8,2,FALSE)-1)&amp;"]"))), FALSE)="", "",
VLOOKUP($A562,YES_Reading_ELA[],COLUMN(IF(VLOOKUP($D$2,'Reading Report Logic'!$A$2:$B$8,2,FALSE)=1, YES_Reading_ELA[Reading Level June of Previous School Year],INDIRECT("YES_Reading_ELA[Instructional Reading Level - Per "&amp;(VLOOKUP($D$2,'Reading Report Logic'!$A$2:$B$8,2,FALSE)-1)&amp;"]"))),FALSE)),
IF(VLOOKUP($A562, YES_Reading_FLA[], COLUMN(IF(VLOOKUP($D$2,'Reading Report Logic'!$A$2:$B$8,2,FALSE)=1, YES_Reading_FLA[Reading Level June of Previous School Year],INDIRECT("YES_Reading_FLA[Instructional Reading Level - Per "&amp;(VLOOKUP($D$2,'Reading Report Logic'!$A$2:$B$8,2,FALSE)-1)&amp;"]"))),FALSE)="", "", VLOOKUP($A562,YES_Reading_FLA[],COLUMN(IF(VLOOKUP($D$2,'Reading Report Logic'!$A$2:$B$8,2,FALSE)=1, YES_Reading_FLA[Reading Level June of Previous School Year],INDIRECT("YES_Reading_FLA[Instructional Reading Level - Per "&amp;(VLOOKUP($D$2,'Reading Report Logic'!$A$2:$B$8,2,FALSE)-1)&amp;"]"))), FALSE))),""))),"")</f>
        <v/>
      </c>
      <c r="D562" s="204" t="str" cm="1">
        <f t="array" aca="1" ref="D562" ca="1">IFERROR(
IF($J$2="ELA",
IF(VLOOKUP($A562, YES_Reading_ELA[], COLUMN(INDIRECT("YES_Reading_ELA[Instructional Reading Level - Per "&amp;VLOOKUP($D$2, 'Reading Report Logic'!$A$2:$B$8, 2, FALSE)&amp;"]")), FALSE)="", "",
VLOOKUP($A562,YES_Reading_ELA[], COLUMN(INDIRECT("YES_Reading_ELA[Instructional Reading Level - Per "&amp;VLOOKUP($D$2,'Reading Report Logic'!$A$2:$B$8,2,FALSE)&amp;"]")), FALSE)),
IF($J$2="FLA",
IF(VLOOKUP($A562, YES_Reading_FLA[], COLUMN(INDIRECT("YES_Reading_FLA[Instructional Reading Level - Per "&amp;VLOOKUP($D$2,'Reading Report Logic'!$A$2:$B$8,2,FALSE)&amp;"]")),FALSE)="","",
VLOOKUP($A562,YES_Reading_FLA[],COLUMN(INDIRECT("YES_Reading_FLA[Instructional Reading Level - Per "&amp;VLOOKUP($D$2,'Reading Report Logic'!$A$2:$B$8,2,FALSE)&amp;"]")),FALSE)),
IF($J$2="Combined",
IFERROR(
IF(VLOOKUP($A562, YES_Reading_ELA[], COLUMN(INDIRECT("YES_Reading_ELA[Instructional Reading Level - Per "&amp;VLOOKUP($D$2, 'Reading Report Logic'!$A$2:$B$8,2,FALSE)&amp;"]")), FALSE)="", "",
VLOOKUP($A562,YES_Reading_ELA[],COLUMN(INDIRECT("YES_Reading_ELA[Instructional Reading Level - Per "&amp;VLOOKUP($D$2,'Reading Report Logic'!$A$2:$B$8,2,FALSE)&amp;"]")),FALSE)),
IF(VLOOKUP($A562, YES_Reading_FLA[], COLUMN(INDIRECT("YES_Reading_FLA[Instructional Reading Level - Per "&amp;VLOOKUP($D$2, 'Reading Report Logic'!$A$2:$B$8, 2, FALSE)&amp;"]")),FALSE)="", "", VLOOKUP($A562,YES_Reading_FLA[],COLUMN(INDIRECT("YES_Reading_FLA[Instructional Reading Level - Per "&amp;VLOOKUP($D$2, 'Reading Report Logic'!$A$2:$B$8, 2, FALSE)&amp;"]")),FALSE))),""))),"")</f>
        <v/>
      </c>
      <c r="E562" s="205" t="str" cm="1">
        <f t="array" aca="1" ref="E562" ca="1">IFERROR(
IF($J$2="ELA",
IF(VLOOKUP($A562, YES_Reading_ELA[], COLUMN(INDIRECT("YES_Reading_ELA[Min Expectation - Per "&amp;VLOOKUP($D$2, 'Reading Report Logic'!$A$2:$B$8, 2, FALSE)&amp;"]")), FALSE)="", "",
VLOOKUP($A562,YES_Reading_ELA[], COLUMN(INDIRECT("YES_Reading_ELA[Min Expectation - Per "&amp;VLOOKUP($D$2,'Reading Report Logic'!$A$2:$B$8,2,FALSE)&amp;"]")), FALSE)),
IF($J$2="FLA",
IF(VLOOKUP($A562, YES_Reading_FLA[], COLUMN(INDIRECT("YES_Reading_FLA[Min Expectation - Per "&amp;VLOOKUP($D$2,'Reading Report Logic'!$A$2:$B$8,2,FALSE)&amp;"]")),FALSE)="","",
VLOOKUP($A562,YES_Reading_FLA[],COLUMN(INDIRECT("YES_Reading_FLA[Min Expectation - Per "&amp;VLOOKUP($D$2,'Reading Report Logic'!$A$2:$B$8,2,FALSE)&amp;"]")),FALSE)),
IF($J$2="Combined",
IFERROR(
IF(VLOOKUP($A562, YES_Reading_ELA[], COLUMN(INDIRECT("YES_Reading_ELA[Min Expectation - Per "&amp;VLOOKUP($D$2, 'Reading Report Logic'!$A$2:$B$8,2,FALSE)&amp;"]")), FALSE)="", "",
VLOOKUP($A562,YES_Reading_ELA[],COLUMN(INDIRECT("YES_Reading_ELA[Min Expectation - Per "&amp;VLOOKUP($D$2,'Reading Report Logic'!$A$2:$B$8,2,FALSE)&amp;"]")),FALSE)),
IF(VLOOKUP($A562, YES_Reading_FLA[], COLUMN(INDIRECT("YES_Reading_FLA[Min Expectation - Per "&amp;VLOOKUP($D$2, 'Reading Report Logic'!$A$2:$B$8, 2, FALSE)&amp;"]")),FALSE)="", "", VLOOKUP($A562,YES_Reading_FLA[],COLUMN(INDIRECT("YES_Reading_FLA[Min Expectation - Per "&amp;VLOOKUP($D$2, 'Reading Report Logic'!$A$2:$B$8, 2, FALSE)&amp;"]")),FALSE))),""))),"")</f>
        <v/>
      </c>
      <c r="F562" s="205" t="str" cm="1">
        <f t="array" aca="1" ref="F562" ca="1">IFERROR(
IF($J$2="ELA",
IF(VLOOKUP($A562, YES_Reading_ELA[], COLUMN(INDIRECT("YES_Reading_ELA[Max Expectation - Per "&amp;VLOOKUP($D$2, 'Reading Report Logic'!$A$2:$B$8, 2, FALSE)&amp;"]")), FALSE)="", "",
VLOOKUP($A562,YES_Reading_ELA[], COLUMN(INDIRECT("YES_Reading_ELA[Max Expectation - Per "&amp;VLOOKUP($D$2,'Reading Report Logic'!$A$2:$B$8,2,FALSE)&amp;"]")), FALSE)),
IF($J$2="FLA",
IF(VLOOKUP($A562, YES_Reading_FLA[], COLUMN(INDIRECT("YES_Reading_FLA[Max Expectation - Per "&amp;VLOOKUP($D$2,'Reading Report Logic'!$A$2:$B$8,2,FALSE)&amp;"]")),FALSE)="","",
VLOOKUP($A562,YES_Reading_FLA[],COLUMN(INDIRECT("YES_Reading_FLA[Max Expectation - Per "&amp;VLOOKUP($D$2,'Reading Report Logic'!$A$2:$B$8,2,FALSE)&amp;"]")),FALSE)),
IF($J$2="Combined",
IFERROR(
IF(VLOOKUP($A562, YES_Reading_ELA[], COLUMN(INDIRECT("YES_Reading_ELA[Max Expectation - Per "&amp;VLOOKUP($D$2, 'Reading Report Logic'!$A$2:$B$8,2,FALSE)&amp;"]")), FALSE)="", "",
VLOOKUP($A562,YES_Reading_ELA[],COLUMN(INDIRECT("YES_Reading_ELA[Max Expectation - Per "&amp;VLOOKUP($D$2,'Reading Report Logic'!$A$2:$B$8,2,FALSE)&amp;"]")),FALSE)),
IF(VLOOKUP($A562, YES_Reading_FLA[], COLUMN(INDIRECT("YES_Reading_FLA[Max Expectation - Per "&amp;VLOOKUP($D$2, 'Reading Report Logic'!$A$2:$B$8, 2, FALSE)&amp;"]")),FALSE)="", "", VLOOKUP($A562,YES_Reading_FLA[],COLUMN(INDIRECT("YES_Reading_FLA[Max Expectation - Per "&amp;VLOOKUP($D$2, 'Reading Report Logic'!$A$2:$B$8, 2, FALSE)&amp;"]")),FALSE))),""))),"")</f>
        <v/>
      </c>
      <c r="G562" s="205" t="str" cm="1">
        <f t="array" aca="1" ref="G562" ca="1">IFERROR(
IF($J$2="ELA",
IF(VLOOKUP($A562, YES_Reading_ELA[], COLUMN(INDIRECT("YES_Reading_ELA[Difference - Per "&amp;VLOOKUP($D$2, 'Reading Report Logic'!$A$2:$B$8, 2, FALSE)&amp;"]")), FALSE)="", "",
VLOOKUP($A562,YES_Reading_ELA[], COLUMN(INDIRECT("YES_Reading_ELA[Difference - Per "&amp;VLOOKUP($D$2,'Reading Report Logic'!$A$2:$B$8,2,FALSE)&amp;"]")), FALSE)),
IF($J$2="FLA",
IF(VLOOKUP($A562, YES_Reading_FLA[], COLUMN(INDIRECT("YES_Reading_FLA[Difference - Per "&amp;VLOOKUP($D$2,'Reading Report Logic'!$A$2:$B$8,2,FALSE)&amp;"]")),FALSE)="","",
VLOOKUP($A562,YES_Reading_FLA[],COLUMN(INDIRECT("YES_Reading_FLA[Difference - Per "&amp;VLOOKUP($D$2,'Reading Report Logic'!$A$2:$B$8,2,FALSE)&amp;"]")),FALSE)),
IF($J$2="Combined",
IFERROR(
IF(VLOOKUP($A562, YES_Reading_ELA[], COLUMN(INDIRECT("YES_Reading_ELA[Difference - Per "&amp;VLOOKUP($D$2, 'Reading Report Logic'!$A$2:$B$8,2,FALSE)&amp;"]")), FALSE)="", "",
VLOOKUP($A562,YES_Reading_ELA[],COLUMN(INDIRECT("YES_Reading_ELA[Difference - Per "&amp;VLOOKUP($D$2,'Reading Report Logic'!$A$2:$B$8,2,FALSE)&amp;"]")),FALSE)),
IF(VLOOKUP($A562, YES_Reading_FLA[], COLUMN(INDIRECT("YES_Reading_FLA[Difference - Per "&amp;VLOOKUP($D$2, 'Reading Report Logic'!$A$2:$B$8, 2, FALSE)&amp;"]")),FALSE)="", "", VLOOKUP($A562,YES_Reading_FLA[],COLUMN(INDIRECT("YES_Reading_FLA[Difference - Per "&amp;VLOOKUP($D$2, 'Reading Report Logic'!$A$2:$B$8, 2, FALSE)&amp;"]")),FALSE))),""))),"")</f>
        <v/>
      </c>
      <c r="H562" s="206" t="str">
        <f ca="1">IFERROR(VLOOKUP('Teacher Reading Pull Sheets'!$D562,_xlfn.VSTACK('ELA Reading Logic'!$A$22:$B$48,'FLA Reading Logic'!$A$22:$B$53),2,FALSE)-VLOOKUP('Teacher Reading Pull Sheets'!$C562,_xlfn.VSTACK('ELA Reading Logic'!$A$22:$B$48,'FLA Reading Logic'!$A$22:$B$53),2,FALSE),"")</f>
        <v/>
      </c>
      <c r="I562" s="212"/>
      <c r="J562" s="206"/>
      <c r="K562" s="197" t="str" cm="1">
        <f t="array" ref="K562">IFERROR(
IF($J$2="ELA",
IF(VLOOKUP($A562, YES_Reading_ELA[], COLUMN(YES_Reading_ELA[Self-Identified as African Descent]), FALSE)="", "",
VLOOKUP($A562,YES_Reading_ELA[], COLUMN(YES_Reading_ELA[Self-Identified as African Descent]), FALSE)),
IF($J$2="FLA",
IF(VLOOKUP($A562, YES_Reading_FLA[], COLUMN(YES_Reading_FLA[Self-Identified as African Descent]),FALSE)="","",
VLOOKUP($A562,YES_Reading_FLA[],COLUMN(YES_Reading_FLA[Self-Identified as African Descent]),FALSE)),
IF($J$2="Combined",
IFERROR(
IF(VLOOKUP($A562, YES_Reading_ELA[], COLUMN(YES_Reading_ELA[Self-Identified as African Descent]), FALSE)="", "",
VLOOKUP($A562,YES_Reading_ELA[],COLUMN(YES_Reading_ELA[Self-Identified as African Descent]),FALSE)),
IF(VLOOKUP($A562, YES_Reading_FLA[], COLUMN(YES_Reading_FLA[Self-Identified as African Descent]),FALSE)="", "", VLOOKUP($A562,YES_Reading_FLA[],COLUMN(YES_Reading_FLA[Self-Identified as African Descent]),FALSE))),""))),"")</f>
        <v/>
      </c>
      <c r="L562" s="73" t="str" cm="1">
        <f t="array" ref="L562">IFERROR(
IF($J$2="ELA",
IF(VLOOKUP($A562, YES_Reading_ELA[], COLUMN(YES_Reading_ELA[Self-Identified as Indigenous]), FALSE)="", "",
VLOOKUP($A562,YES_Reading_ELA[], COLUMN(YES_Reading_ELA[Self-Identified as Indigenous]), FALSE)),
IF($J$2="FLA",
IF(VLOOKUP($A562, YES_Reading_FLA[], COLUMN(YES_Reading_FLA[Self-Identified as Indigenous]),FALSE)="","",
VLOOKUP($A562,YES_Reading_FLA[],COLUMN(YES_Reading_FLA[Self-Identified as Indigenous]),FALSE)),
IF($J$2="Combined",
IFERROR(
IF(VLOOKUP($A562, YES_Reading_ELA[], COLUMN(YES_Reading_ELA[Self-Identified as Indigenous]), FALSE)="", "",
VLOOKUP($A562,YES_Reading_ELA[],COLUMN(YES_Reading_ELA[Self-Identified as Indigenous]),FALSE)),
IF(VLOOKUP($A562, YES_Reading_FLA[], COLUMN(YES_Reading_FLA[Self-Identified as Indigenous]),FALSE)="", "", VLOOKUP($A562,YES_Reading_FLA[],COLUMN(YES_Reading_FLA[Self-Identified as Indigenous]),FALSE))),""))),"")</f>
        <v/>
      </c>
    </row>
    <row r="563" spans="1:12" ht="19.5" customHeight="1" thickBot="1" x14ac:dyDescent="0.3">
      <c r="A563" s="218"/>
      <c r="B563" s="221" t="str">
        <f>IFERROR(VLOOKUP(A563,_xlfn.VSTACK(YES_Reading_ELA[],YES_Reading_FLA[]),2,FALSE),"")</f>
        <v/>
      </c>
      <c r="C563" s="208" t="str" cm="1">
        <f t="array" aca="1" ref="C563" ca="1">IFERROR(
IF($J$2="ELA",
IF(VLOOKUP($A563, YES_Reading_ELA[], COLUMN(IF(VLOOKUP($D$2, 'Reading Report Logic'!$A$2:$B$8, 2, FALSE)=1, YES_Reading_ELA[Reading Level June of Previous School Year], INDIRECT("YES_Reading_ELA[Instructional Reading Level - Per "&amp;(VLOOKUP($D$2,'Reading Report Logic'!$A$2:$B$8,2,FALSE)-1)&amp;"]"))), FALSE)="", "",
VLOOKUP($A563,YES_Reading_ELA[], COLUMN(IF(VLOOKUP($D$2,'Reading Report Logic'!$A$2:$B$8,2,FALSE)=1, YES_Reading_ELA[Reading Level June of Previous School Year],INDIRECT("YES_Reading_ELA[Instructional Reading Level - Per "&amp;(VLOOKUP($D$2,'Reading Report Logic'!$A$2:$B$8,2,FALSE)-1)&amp;"]"))), FALSE)),
IF($J$2="FLA",
IF(VLOOKUP($A563, YES_Reading_FLA[], COLUMN(IF(VLOOKUP($D$2,'Reading Report Logic'!$A$2:$B$8,2,FALSE)=1, YES_Reading_FLA[Reading Level June of Previous School Year],INDIRECT("YES_Reading_FLA[Instructional Reading Level - Per "&amp;(VLOOKUP($D$2,'Reading Report Logic'!$A$2:$B$8,2,FALSE)-1)&amp;"]"))),FALSE)="","",
VLOOKUP($A563,YES_Reading_FLA[], COLUMN(IF(VLOOKUP($D$2,'Reading Report Logic'!$A$2:$B$8,2,FALSE)=1, YES_Reading_FLA[Reading Level June of Previous School Year],INDIRECT("YES_Reading_FLA[Instructional Reading Level - Per "&amp;(VLOOKUP($D$2,'Reading Report Logic'!$A$2:$B$8,2,FALSE)-1)&amp;"]"))),FALSE)),
IF($J$2="Combined",
IFERROR(
IF(VLOOKUP($A563, YES_Reading_ELA[], COLUMN(IF(VLOOKUP($D$2,'Reading Report Logic'!$A$2:$B$8,2,FALSE)=1, YES_Reading_ELA[Reading Level June of Previous School Year],INDIRECT("YES_Reading_ELA[Instructional Reading Level - Per "&amp;(VLOOKUP($D$2,'Reading Report Logic'!$A$2:$B$8,2,FALSE)-1)&amp;"]"))), FALSE)="", "",
VLOOKUP($A563,YES_Reading_ELA[],COLUMN(IF(VLOOKUP($D$2,'Reading Report Logic'!$A$2:$B$8,2,FALSE)=1, YES_Reading_ELA[Reading Level June of Previous School Year],INDIRECT("YES_Reading_ELA[Instructional Reading Level - Per "&amp;(VLOOKUP($D$2,'Reading Report Logic'!$A$2:$B$8,2,FALSE)-1)&amp;"]"))),FALSE)),
IF(VLOOKUP($A563, YES_Reading_FLA[], COLUMN(IF(VLOOKUP($D$2,'Reading Report Logic'!$A$2:$B$8,2,FALSE)=1, YES_Reading_FLA[Reading Level June of Previous School Year],INDIRECT("YES_Reading_FLA[Instructional Reading Level - Per "&amp;(VLOOKUP($D$2,'Reading Report Logic'!$A$2:$B$8,2,FALSE)-1)&amp;"]"))),FALSE)="", "", VLOOKUP($A563,YES_Reading_FLA[],COLUMN(IF(VLOOKUP($D$2,'Reading Report Logic'!$A$2:$B$8,2,FALSE)=1, YES_Reading_FLA[Reading Level June of Previous School Year],INDIRECT("YES_Reading_FLA[Instructional Reading Level - Per "&amp;(VLOOKUP($D$2,'Reading Report Logic'!$A$2:$B$8,2,FALSE)-1)&amp;"]"))), FALSE))),""))),"")</f>
        <v/>
      </c>
      <c r="D563" s="209" t="str" cm="1">
        <f t="array" aca="1" ref="D563" ca="1">IFERROR(
IF($J$2="ELA",
IF(VLOOKUP($A563, YES_Reading_ELA[], COLUMN(INDIRECT("YES_Reading_ELA[Instructional Reading Level - Per "&amp;VLOOKUP($D$2, 'Reading Report Logic'!$A$2:$B$8, 2, FALSE)&amp;"]")), FALSE)="", "",
VLOOKUP($A563,YES_Reading_ELA[], COLUMN(INDIRECT("YES_Reading_ELA[Instructional Reading Level - Per "&amp;VLOOKUP($D$2,'Reading Report Logic'!$A$2:$B$8,2,FALSE)&amp;"]")), FALSE)),
IF($J$2="FLA",
IF(VLOOKUP($A563, YES_Reading_FLA[], COLUMN(INDIRECT("YES_Reading_FLA[Instructional Reading Level - Per "&amp;VLOOKUP($D$2,'Reading Report Logic'!$A$2:$B$8,2,FALSE)&amp;"]")),FALSE)="","",
VLOOKUP($A563,YES_Reading_FLA[],COLUMN(INDIRECT("YES_Reading_FLA[Instructional Reading Level - Per "&amp;VLOOKUP($D$2,'Reading Report Logic'!$A$2:$B$8,2,FALSE)&amp;"]")),FALSE)),
IF($J$2="Combined",
IFERROR(
IF(VLOOKUP($A563, YES_Reading_ELA[], COLUMN(INDIRECT("YES_Reading_ELA[Instructional Reading Level - Per "&amp;VLOOKUP($D$2, 'Reading Report Logic'!$A$2:$B$8,2,FALSE)&amp;"]")), FALSE)="", "",
VLOOKUP($A563,YES_Reading_ELA[],COLUMN(INDIRECT("YES_Reading_ELA[Instructional Reading Level - Per "&amp;VLOOKUP($D$2,'Reading Report Logic'!$A$2:$B$8,2,FALSE)&amp;"]")),FALSE)),
IF(VLOOKUP($A563, YES_Reading_FLA[], COLUMN(INDIRECT("YES_Reading_FLA[Instructional Reading Level - Per "&amp;VLOOKUP($D$2, 'Reading Report Logic'!$A$2:$B$8, 2, FALSE)&amp;"]")),FALSE)="", "", VLOOKUP($A563,YES_Reading_FLA[],COLUMN(INDIRECT("YES_Reading_FLA[Instructional Reading Level - Per "&amp;VLOOKUP($D$2, 'Reading Report Logic'!$A$2:$B$8, 2, FALSE)&amp;"]")),FALSE))),""))),"")</f>
        <v/>
      </c>
      <c r="E563" s="210" t="str" cm="1">
        <f t="array" aca="1" ref="E563" ca="1">IFERROR(
IF($J$2="ELA",
IF(VLOOKUP($A563, YES_Reading_ELA[], COLUMN(INDIRECT("YES_Reading_ELA[Min Expectation - Per "&amp;VLOOKUP($D$2, 'Reading Report Logic'!$A$2:$B$8, 2, FALSE)&amp;"]")), FALSE)="", "",
VLOOKUP($A563,YES_Reading_ELA[], COLUMN(INDIRECT("YES_Reading_ELA[Min Expectation - Per "&amp;VLOOKUP($D$2,'Reading Report Logic'!$A$2:$B$8,2,FALSE)&amp;"]")), FALSE)),
IF($J$2="FLA",
IF(VLOOKUP($A563, YES_Reading_FLA[], COLUMN(INDIRECT("YES_Reading_FLA[Min Expectation - Per "&amp;VLOOKUP($D$2,'Reading Report Logic'!$A$2:$B$8,2,FALSE)&amp;"]")),FALSE)="","",
VLOOKUP($A563,YES_Reading_FLA[],COLUMN(INDIRECT("YES_Reading_FLA[Min Expectation - Per "&amp;VLOOKUP($D$2,'Reading Report Logic'!$A$2:$B$8,2,FALSE)&amp;"]")),FALSE)),
IF($J$2="Combined",
IFERROR(
IF(VLOOKUP($A563, YES_Reading_ELA[], COLUMN(INDIRECT("YES_Reading_ELA[Min Expectation - Per "&amp;VLOOKUP($D$2, 'Reading Report Logic'!$A$2:$B$8,2,FALSE)&amp;"]")), FALSE)="", "",
VLOOKUP($A563,YES_Reading_ELA[],COLUMN(INDIRECT("YES_Reading_ELA[Min Expectation - Per "&amp;VLOOKUP($D$2,'Reading Report Logic'!$A$2:$B$8,2,FALSE)&amp;"]")),FALSE)),
IF(VLOOKUP($A563, YES_Reading_FLA[], COLUMN(INDIRECT("YES_Reading_FLA[Min Expectation - Per "&amp;VLOOKUP($D$2, 'Reading Report Logic'!$A$2:$B$8, 2, FALSE)&amp;"]")),FALSE)="", "", VLOOKUP($A563,YES_Reading_FLA[],COLUMN(INDIRECT("YES_Reading_FLA[Min Expectation - Per "&amp;VLOOKUP($D$2, 'Reading Report Logic'!$A$2:$B$8, 2, FALSE)&amp;"]")),FALSE))),""))),"")</f>
        <v/>
      </c>
      <c r="F563" s="210" t="str" cm="1">
        <f t="array" aca="1" ref="F563" ca="1">IFERROR(
IF($J$2="ELA",
IF(VLOOKUP($A563, YES_Reading_ELA[], COLUMN(INDIRECT("YES_Reading_ELA[Max Expectation - Per "&amp;VLOOKUP($D$2, 'Reading Report Logic'!$A$2:$B$8, 2, FALSE)&amp;"]")), FALSE)="", "",
VLOOKUP($A563,YES_Reading_ELA[], COLUMN(INDIRECT("YES_Reading_ELA[Max Expectation - Per "&amp;VLOOKUP($D$2,'Reading Report Logic'!$A$2:$B$8,2,FALSE)&amp;"]")), FALSE)),
IF($J$2="FLA",
IF(VLOOKUP($A563, YES_Reading_FLA[], COLUMN(INDIRECT("YES_Reading_FLA[Max Expectation - Per "&amp;VLOOKUP($D$2,'Reading Report Logic'!$A$2:$B$8,2,FALSE)&amp;"]")),FALSE)="","",
VLOOKUP($A563,YES_Reading_FLA[],COLUMN(INDIRECT("YES_Reading_FLA[Max Expectation - Per "&amp;VLOOKUP($D$2,'Reading Report Logic'!$A$2:$B$8,2,FALSE)&amp;"]")),FALSE)),
IF($J$2="Combined",
IFERROR(
IF(VLOOKUP($A563, YES_Reading_ELA[], COLUMN(INDIRECT("YES_Reading_ELA[Max Expectation - Per "&amp;VLOOKUP($D$2, 'Reading Report Logic'!$A$2:$B$8,2,FALSE)&amp;"]")), FALSE)="", "",
VLOOKUP($A563,YES_Reading_ELA[],COLUMN(INDIRECT("YES_Reading_ELA[Max Expectation - Per "&amp;VLOOKUP($D$2,'Reading Report Logic'!$A$2:$B$8,2,FALSE)&amp;"]")),FALSE)),
IF(VLOOKUP($A563, YES_Reading_FLA[], COLUMN(INDIRECT("YES_Reading_FLA[Max Expectation - Per "&amp;VLOOKUP($D$2, 'Reading Report Logic'!$A$2:$B$8, 2, FALSE)&amp;"]")),FALSE)="", "", VLOOKUP($A563,YES_Reading_FLA[],COLUMN(INDIRECT("YES_Reading_FLA[Max Expectation - Per "&amp;VLOOKUP($D$2, 'Reading Report Logic'!$A$2:$B$8, 2, FALSE)&amp;"]")),FALSE))),""))),"")</f>
        <v/>
      </c>
      <c r="G563" s="210" t="str" cm="1">
        <f t="array" aca="1" ref="G563" ca="1">IFERROR(
IF($J$2="ELA",
IF(VLOOKUP($A563, YES_Reading_ELA[], COLUMN(INDIRECT("YES_Reading_ELA[Difference - Per "&amp;VLOOKUP($D$2, 'Reading Report Logic'!$A$2:$B$8, 2, FALSE)&amp;"]")), FALSE)="", "",
VLOOKUP($A563,YES_Reading_ELA[], COLUMN(INDIRECT("YES_Reading_ELA[Difference - Per "&amp;VLOOKUP($D$2,'Reading Report Logic'!$A$2:$B$8,2,FALSE)&amp;"]")), FALSE)),
IF($J$2="FLA",
IF(VLOOKUP($A563, YES_Reading_FLA[], COLUMN(INDIRECT("YES_Reading_FLA[Difference - Per "&amp;VLOOKUP($D$2,'Reading Report Logic'!$A$2:$B$8,2,FALSE)&amp;"]")),FALSE)="","",
VLOOKUP($A563,YES_Reading_FLA[],COLUMN(INDIRECT("YES_Reading_FLA[Difference - Per "&amp;VLOOKUP($D$2,'Reading Report Logic'!$A$2:$B$8,2,FALSE)&amp;"]")),FALSE)),
IF($J$2="Combined",
IFERROR(
IF(VLOOKUP($A563, YES_Reading_ELA[], COLUMN(INDIRECT("YES_Reading_ELA[Difference - Per "&amp;VLOOKUP($D$2, 'Reading Report Logic'!$A$2:$B$8,2,FALSE)&amp;"]")), FALSE)="", "",
VLOOKUP($A563,YES_Reading_ELA[],COLUMN(INDIRECT("YES_Reading_ELA[Difference - Per "&amp;VLOOKUP($D$2,'Reading Report Logic'!$A$2:$B$8,2,FALSE)&amp;"]")),FALSE)),
IF(VLOOKUP($A563, YES_Reading_FLA[], COLUMN(INDIRECT("YES_Reading_FLA[Difference - Per "&amp;VLOOKUP($D$2, 'Reading Report Logic'!$A$2:$B$8, 2, FALSE)&amp;"]")),FALSE)="", "", VLOOKUP($A563,YES_Reading_FLA[],COLUMN(INDIRECT("YES_Reading_FLA[Difference - Per "&amp;VLOOKUP($D$2, 'Reading Report Logic'!$A$2:$B$8, 2, FALSE)&amp;"]")),FALSE))),""))),"")</f>
        <v/>
      </c>
      <c r="H563" s="211" t="str">
        <f ca="1">IFERROR(VLOOKUP('Teacher Reading Pull Sheets'!$D563,_xlfn.VSTACK('ELA Reading Logic'!$A$22:$B$48,'FLA Reading Logic'!$A$22:$B$53),2,FALSE)-VLOOKUP('Teacher Reading Pull Sheets'!$C563,_xlfn.VSTACK('ELA Reading Logic'!$A$22:$B$48,'FLA Reading Logic'!$A$22:$B$53),2,FALSE),"")</f>
        <v/>
      </c>
      <c r="I563" s="213"/>
      <c r="J563" s="211"/>
      <c r="K563" s="198" t="str" cm="1">
        <f t="array" ref="K563">IFERROR(
IF($J$2="ELA",
IF(VLOOKUP($A563, YES_Reading_ELA[], COLUMN(YES_Reading_ELA[Self-Identified as African Descent]), FALSE)="", "",
VLOOKUP($A563,YES_Reading_ELA[], COLUMN(YES_Reading_ELA[Self-Identified as African Descent]), FALSE)),
IF($J$2="FLA",
IF(VLOOKUP($A563, YES_Reading_FLA[], COLUMN(YES_Reading_FLA[Self-Identified as African Descent]),FALSE)="","",
VLOOKUP($A563,YES_Reading_FLA[],COLUMN(YES_Reading_FLA[Self-Identified as African Descent]),FALSE)),
IF($J$2="Combined",
IFERROR(
IF(VLOOKUP($A563, YES_Reading_ELA[], COLUMN(YES_Reading_ELA[Self-Identified as African Descent]), FALSE)="", "",
VLOOKUP($A563,YES_Reading_ELA[],COLUMN(YES_Reading_ELA[Self-Identified as African Descent]),FALSE)),
IF(VLOOKUP($A563, YES_Reading_FLA[], COLUMN(YES_Reading_FLA[Self-Identified as African Descent]),FALSE)="", "", VLOOKUP($A563,YES_Reading_FLA[],COLUMN(YES_Reading_FLA[Self-Identified as African Descent]),FALSE))),""))),"")</f>
        <v/>
      </c>
      <c r="L563" s="74" t="str" cm="1">
        <f t="array" ref="L563">IFERROR(
IF($J$2="ELA",
IF(VLOOKUP($A563, YES_Reading_ELA[], COLUMN(YES_Reading_ELA[Self-Identified as Indigenous]), FALSE)="", "",
VLOOKUP($A563,YES_Reading_ELA[], COLUMN(YES_Reading_ELA[Self-Identified as Indigenous]), FALSE)),
IF($J$2="FLA",
IF(VLOOKUP($A563, YES_Reading_FLA[], COLUMN(YES_Reading_FLA[Self-Identified as Indigenous]),FALSE)="","",
VLOOKUP($A563,YES_Reading_FLA[],COLUMN(YES_Reading_FLA[Self-Identified as Indigenous]),FALSE)),
IF($J$2="Combined",
IFERROR(
IF(VLOOKUP($A563, YES_Reading_ELA[], COLUMN(YES_Reading_ELA[Self-Identified as Indigenous]), FALSE)="", "",
VLOOKUP($A563,YES_Reading_ELA[],COLUMN(YES_Reading_ELA[Self-Identified as Indigenous]),FALSE)),
IF(VLOOKUP($A563, YES_Reading_FLA[], COLUMN(YES_Reading_FLA[Self-Identified as Indigenous]),FALSE)="", "", VLOOKUP($A563,YES_Reading_FLA[],COLUMN(YES_Reading_FLA[Self-Identified as Indigenous]),FALSE))),""))),"")</f>
        <v/>
      </c>
    </row>
    <row r="564" spans="1:12" x14ac:dyDescent="0.25">
      <c r="A564" s="214"/>
      <c r="B564" s="214" t="s">
        <v>241</v>
      </c>
      <c r="C564" s="214"/>
      <c r="D564" s="215" t="str" cm="1">
        <f t="array" ref="D564">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Set")))=$D$1)),1,1,FALSE),FALSE,FALSE),19),"")</f>
        <v/>
      </c>
      <c r="E564" s="215"/>
      <c r="F564" s="215"/>
      <c r="G564" s="215"/>
      <c r="H564" s="355" t="s">
        <v>242</v>
      </c>
      <c r="I564" s="356"/>
      <c r="J564" s="215"/>
    </row>
    <row r="565" spans="1:12" x14ac:dyDescent="0.25">
      <c r="A565" s="214"/>
      <c r="B565" s="214" t="str">
        <f>"Date: "&amp;$D$3</f>
        <v xml:space="preserve">Date: </v>
      </c>
      <c r="C565" s="214"/>
      <c r="D565" s="215"/>
      <c r="E565" s="215"/>
      <c r="F565" s="215"/>
      <c r="G565" s="215"/>
      <c r="H565" s="357" t="s">
        <v>243</v>
      </c>
      <c r="I565" s="358"/>
      <c r="J565" s="215"/>
    </row>
    <row r="566" spans="1:12" ht="15.75" thickBot="1" x14ac:dyDescent="0.3">
      <c r="A566" s="215"/>
      <c r="B566" s="215"/>
      <c r="C566" s="215"/>
      <c r="D566" s="215"/>
      <c r="E566" s="215"/>
      <c r="F566" s="215"/>
      <c r="G566" s="215"/>
      <c r="H566" s="353" t="s">
        <v>244</v>
      </c>
      <c r="I566" s="354"/>
      <c r="J566" s="215"/>
    </row>
    <row r="567" spans="1:12" ht="85.5" customHeight="1" thickBot="1" x14ac:dyDescent="0.3">
      <c r="A567" s="192" t="s">
        <v>44</v>
      </c>
      <c r="B567" s="187" t="s">
        <v>245</v>
      </c>
      <c r="C567" s="188" t="s">
        <v>246</v>
      </c>
      <c r="D567" s="188" t="s">
        <v>247</v>
      </c>
      <c r="E567" s="188" t="s">
        <v>248</v>
      </c>
      <c r="F567" s="188" t="s">
        <v>249</v>
      </c>
      <c r="G567" s="188" t="s">
        <v>250</v>
      </c>
      <c r="H567" s="189" t="s">
        <v>251</v>
      </c>
      <c r="I567" s="202" t="s">
        <v>252</v>
      </c>
      <c r="J567" s="191" t="s">
        <v>253</v>
      </c>
      <c r="K567" s="200" t="s">
        <v>256</v>
      </c>
      <c r="L567" s="201" t="s">
        <v>257</v>
      </c>
    </row>
    <row r="568" spans="1:12" ht="19.5" customHeight="1" x14ac:dyDescent="0.25">
      <c r="A568" s="216" t="e" cm="1" vm="1">
        <f t="array" aca="1" ref="A568" ca="1">_xlfn._xlws.FILTER(_xlfn.VSTACK(YES_Reading_ELA[Student Number],YES_Reading_FLA[Student Number]),_xlfn.VSTACK(YES_Reading_ELA[HomeRoom],YES_Reading_FLA[Homeroom])=D564)</f>
        <v>#VALUE!</v>
      </c>
      <c r="B568" s="219" t="str">
        <f ca="1">IFERROR(VLOOKUP(A568,_xlfn.VSTACK(YES_Reading_ELA[],YES_Reading_FLA[]),2,FALSE),"")</f>
        <v/>
      </c>
      <c r="C568" s="203" t="str" cm="1">
        <f t="array" aca="1" ref="C568" ca="1">IFERROR(
IF($J$2="ELA",
IF(VLOOKUP($A568, YES_Reading_ELA[], COLUMN(IF(VLOOKUP($D$2, 'Reading Report Logic'!$A$2:$B$8, 2, FALSE)=1, YES_Reading_ELA[Reading Level June of Previous School Year], INDIRECT("YES_Reading_ELA[Instructional Reading Level - Per "&amp;(VLOOKUP($D$2,'Reading Report Logic'!$A$2:$B$8,2,FALSE)-1)&amp;"]"))), FALSE)="", "",
VLOOKUP($A568,YES_Reading_ELA[], COLUMN(IF(VLOOKUP($D$2,'Reading Report Logic'!$A$2:$B$8,2,FALSE)=1, YES_Reading_ELA[Reading Level June of Previous School Year],INDIRECT("YES_Reading_ELA[Instructional Reading Level - Per "&amp;(VLOOKUP($D$2,'Reading Report Logic'!$A$2:$B$8,2,FALSE)-1)&amp;"]"))), FALSE)),
IF($J$2="FLA",
IF(VLOOKUP($A568, YES_Reading_FLA[], COLUMN(IF(VLOOKUP($D$2,'Reading Report Logic'!$A$2:$B$8,2,FALSE)=1, YES_Reading_FLA[Reading Level June of Previous School Year],INDIRECT("YES_Reading_FLA[Instructional Reading Level - Per "&amp;(VLOOKUP($D$2,'Reading Report Logic'!$A$2:$B$8,2,FALSE)-1)&amp;"]"))),FALSE)="","",
VLOOKUP($A568,YES_Reading_FLA[], COLUMN(IF(VLOOKUP($D$2,'Reading Report Logic'!$A$2:$B$8,2,FALSE)=1, YES_Reading_FLA[Reading Level June of Previous School Year],INDIRECT("YES_Reading_FLA[Instructional Reading Level - Per "&amp;(VLOOKUP($D$2,'Reading Report Logic'!$A$2:$B$8,2,FALSE)-1)&amp;"]"))),FALSE)),
IF($J$2="Combined",
IFERROR(
IF(VLOOKUP($A568, YES_Reading_ELA[], COLUMN(IF(VLOOKUP($D$2,'Reading Report Logic'!$A$2:$B$8,2,FALSE)=1, YES_Reading_ELA[Reading Level June of Previous School Year],INDIRECT("YES_Reading_ELA[Instructional Reading Level - Per "&amp;(VLOOKUP($D$2,'Reading Report Logic'!$A$2:$B$8,2,FALSE)-1)&amp;"]"))), FALSE)="", "",
VLOOKUP($A568,YES_Reading_ELA[],COLUMN(IF(VLOOKUP($D$2,'Reading Report Logic'!$A$2:$B$8,2,FALSE)=1, YES_Reading_ELA[Reading Level June of Previous School Year],INDIRECT("YES_Reading_ELA[Instructional Reading Level - Per "&amp;(VLOOKUP($D$2,'Reading Report Logic'!$A$2:$B$8,2,FALSE)-1)&amp;"]"))),FALSE)),
IF(VLOOKUP($A568, YES_Reading_FLA[], COLUMN(IF(VLOOKUP($D$2,'Reading Report Logic'!$A$2:$B$8,2,FALSE)=1, YES_Reading_FLA[Reading Level June of Previous School Year],INDIRECT("YES_Reading_FLA[Instructional Reading Level - Per "&amp;(VLOOKUP($D$2,'Reading Report Logic'!$A$2:$B$8,2,FALSE)-1)&amp;"]"))),FALSE)="", "", VLOOKUP($A568,YES_Reading_FLA[],COLUMN(IF(VLOOKUP($D$2,'Reading Report Logic'!$A$2:$B$8,2,FALSE)=1, YES_Reading_FLA[Reading Level June of Previous School Year],INDIRECT("YES_Reading_FLA[Instructional Reading Level - Per "&amp;(VLOOKUP($D$2,'Reading Report Logic'!$A$2:$B$8,2,FALSE)-1)&amp;"]"))), FALSE))),""))),"")</f>
        <v/>
      </c>
      <c r="D568" s="204" t="str" cm="1">
        <f t="array" aca="1" ref="D568" ca="1">IFERROR(
IF($J$2="ELA",
IF(VLOOKUP($A568, YES_Reading_ELA[], COLUMN(INDIRECT("YES_Reading_ELA[Instructional Reading Level - Per "&amp;VLOOKUP($D$2, 'Reading Report Logic'!$A$2:$B$8, 2, FALSE)&amp;"]")), FALSE)="", "",
VLOOKUP($A568,YES_Reading_ELA[], COLUMN(INDIRECT("YES_Reading_ELA[Instructional Reading Level - Per "&amp;VLOOKUP($D$2,'Reading Report Logic'!$A$2:$B$8,2,FALSE)&amp;"]")), FALSE)),
IF($J$2="FLA",
IF(VLOOKUP($A568, YES_Reading_FLA[], COLUMN(INDIRECT("YES_Reading_FLA[Instructional Reading Level - Per "&amp;VLOOKUP($D$2,'Reading Report Logic'!$A$2:$B$8,2,FALSE)&amp;"]")),FALSE)="","",
VLOOKUP($A568,YES_Reading_FLA[],COLUMN(INDIRECT("YES_Reading_FLA[Instructional Reading Level - Per "&amp;VLOOKUP($D$2,'Reading Report Logic'!$A$2:$B$8,2,FALSE)&amp;"]")),FALSE)),
IF($J$2="Combined",
IFERROR(
IF(VLOOKUP($A568, YES_Reading_ELA[], COLUMN(INDIRECT("YES_Reading_ELA[Instructional Reading Level - Per "&amp;VLOOKUP($D$2, 'Reading Report Logic'!$A$2:$B$8,2,FALSE)&amp;"]")), FALSE)="", "",
VLOOKUP($A568,YES_Reading_ELA[],COLUMN(INDIRECT("YES_Reading_ELA[Instructional Reading Level - Per "&amp;VLOOKUP($D$2,'Reading Report Logic'!$A$2:$B$8,2,FALSE)&amp;"]")),FALSE)),
IF(VLOOKUP($A568, YES_Reading_FLA[], COLUMN(INDIRECT("YES_Reading_FLA[Instructional Reading Level - Per "&amp;VLOOKUP($D$2, 'Reading Report Logic'!$A$2:$B$8, 2, FALSE)&amp;"]")),FALSE)="", "", VLOOKUP($A568,YES_Reading_FLA[],COLUMN(INDIRECT("YES_Reading_FLA[Instructional Reading Level - Per "&amp;VLOOKUP($D$2, 'Reading Report Logic'!$A$2:$B$8, 2, FALSE)&amp;"]")),FALSE))),""))),"")</f>
        <v/>
      </c>
      <c r="E568" s="205" t="str" cm="1">
        <f t="array" aca="1" ref="E568" ca="1">IFERROR(
IF($J$2="ELA",
IF(VLOOKUP($A568, YES_Reading_ELA[], COLUMN(INDIRECT("YES_Reading_ELA[Min Expectation - Per "&amp;VLOOKUP($D$2, 'Reading Report Logic'!$A$2:$B$8, 2, FALSE)&amp;"]")), FALSE)="", "",
VLOOKUP($A568,YES_Reading_ELA[], COLUMN(INDIRECT("YES_Reading_ELA[Min Expectation - Per "&amp;VLOOKUP($D$2,'Reading Report Logic'!$A$2:$B$8,2,FALSE)&amp;"]")), FALSE)),
IF($J$2="FLA",
IF(VLOOKUP($A568, YES_Reading_FLA[], COLUMN(INDIRECT("YES_Reading_FLA[Min Expectation - Per "&amp;VLOOKUP($D$2,'Reading Report Logic'!$A$2:$B$8,2,FALSE)&amp;"]")),FALSE)="","",
VLOOKUP($A568,YES_Reading_FLA[],COLUMN(INDIRECT("YES_Reading_FLA[Min Expectation - Per "&amp;VLOOKUP($D$2,'Reading Report Logic'!$A$2:$B$8,2,FALSE)&amp;"]")),FALSE)),
IF($J$2="Combined",
IFERROR(
IF(VLOOKUP($A568, YES_Reading_ELA[], COLUMN(INDIRECT("YES_Reading_ELA[Min Expectation - Per "&amp;VLOOKUP($D$2, 'Reading Report Logic'!$A$2:$B$8,2,FALSE)&amp;"]")), FALSE)="", "",
VLOOKUP($A568,YES_Reading_ELA[],COLUMN(INDIRECT("YES_Reading_ELA[Min Expectation - Per "&amp;VLOOKUP($D$2,'Reading Report Logic'!$A$2:$B$8,2,FALSE)&amp;"]")),FALSE)),
IF(VLOOKUP($A568, YES_Reading_FLA[], COLUMN(INDIRECT("YES_Reading_FLA[Min Expectation - Per "&amp;VLOOKUP($D$2, 'Reading Report Logic'!$A$2:$B$8, 2, FALSE)&amp;"]")),FALSE)="", "", VLOOKUP($A568,YES_Reading_FLA[],COLUMN(INDIRECT("YES_Reading_FLA[Min Expectation - Per "&amp;VLOOKUP($D$2, 'Reading Report Logic'!$A$2:$B$8, 2, FALSE)&amp;"]")),FALSE))),""))),"")</f>
        <v/>
      </c>
      <c r="F568" s="205" t="str" cm="1">
        <f t="array" aca="1" ref="F568" ca="1">IFERROR(
IF($J$2="ELA",
IF(VLOOKUP($A568, YES_Reading_ELA[], COLUMN(INDIRECT("YES_Reading_ELA[Max Expectation - Per "&amp;VLOOKUP($D$2, 'Reading Report Logic'!$A$2:$B$8, 2, FALSE)&amp;"]")), FALSE)="", "",
VLOOKUP($A568,YES_Reading_ELA[], COLUMN(INDIRECT("YES_Reading_ELA[Max Expectation - Per "&amp;VLOOKUP($D$2,'Reading Report Logic'!$A$2:$B$8,2,FALSE)&amp;"]")), FALSE)),
IF($J$2="FLA",
IF(VLOOKUP($A568, YES_Reading_FLA[], COLUMN(INDIRECT("YES_Reading_FLA[Max Expectation - Per "&amp;VLOOKUP($D$2,'Reading Report Logic'!$A$2:$B$8,2,FALSE)&amp;"]")),FALSE)="","",
VLOOKUP($A568,YES_Reading_FLA[],COLUMN(INDIRECT("YES_Reading_FLA[Max Expectation - Per "&amp;VLOOKUP($D$2,'Reading Report Logic'!$A$2:$B$8,2,FALSE)&amp;"]")),FALSE)),
IF($J$2="Combined",
IFERROR(
IF(VLOOKUP($A568, YES_Reading_ELA[], COLUMN(INDIRECT("YES_Reading_ELA[Max Expectation - Per "&amp;VLOOKUP($D$2, 'Reading Report Logic'!$A$2:$B$8,2,FALSE)&amp;"]")), FALSE)="", "",
VLOOKUP($A568,YES_Reading_ELA[],COLUMN(INDIRECT("YES_Reading_ELA[Max Expectation - Per "&amp;VLOOKUP($D$2,'Reading Report Logic'!$A$2:$B$8,2,FALSE)&amp;"]")),FALSE)),
IF(VLOOKUP($A568, YES_Reading_FLA[], COLUMN(INDIRECT("YES_Reading_FLA[Max Expectation - Per "&amp;VLOOKUP($D$2, 'Reading Report Logic'!$A$2:$B$8, 2, FALSE)&amp;"]")),FALSE)="", "", VLOOKUP($A568,YES_Reading_FLA[],COLUMN(INDIRECT("YES_Reading_FLA[Max Expectation - Per "&amp;VLOOKUP($D$2, 'Reading Report Logic'!$A$2:$B$8, 2, FALSE)&amp;"]")),FALSE))),""))),"")</f>
        <v/>
      </c>
      <c r="G568" s="205" t="str" cm="1">
        <f t="array" aca="1" ref="G568" ca="1">IFERROR(
IF($J$2="ELA",
IF(VLOOKUP($A568, YES_Reading_ELA[], COLUMN(INDIRECT("YES_Reading_ELA[Difference - Per "&amp;VLOOKUP($D$2, 'Reading Report Logic'!$A$2:$B$8, 2, FALSE)&amp;"]")), FALSE)="", "",
VLOOKUP($A568,YES_Reading_ELA[], COLUMN(INDIRECT("YES_Reading_ELA[Difference - Per "&amp;VLOOKUP($D$2,'Reading Report Logic'!$A$2:$B$8,2,FALSE)&amp;"]")), FALSE)),
IF($J$2="FLA",
IF(VLOOKUP($A568, YES_Reading_FLA[], COLUMN(INDIRECT("YES_Reading_FLA[Difference - Per "&amp;VLOOKUP($D$2,'Reading Report Logic'!$A$2:$B$8,2,FALSE)&amp;"]")),FALSE)="","",
VLOOKUP($A568,YES_Reading_FLA[],COLUMN(INDIRECT("YES_Reading_FLA[Difference - Per "&amp;VLOOKUP($D$2,'Reading Report Logic'!$A$2:$B$8,2,FALSE)&amp;"]")),FALSE)),
IF($J$2="Combined",
IFERROR(
IF(VLOOKUP($A568, YES_Reading_ELA[], COLUMN(INDIRECT("YES_Reading_ELA[Difference - Per "&amp;VLOOKUP($D$2, 'Reading Report Logic'!$A$2:$B$8,2,FALSE)&amp;"]")), FALSE)="", "",
VLOOKUP($A568,YES_Reading_ELA[],COLUMN(INDIRECT("YES_Reading_ELA[Difference - Per "&amp;VLOOKUP($D$2,'Reading Report Logic'!$A$2:$B$8,2,FALSE)&amp;"]")),FALSE)),
IF(VLOOKUP($A568, YES_Reading_FLA[], COLUMN(INDIRECT("YES_Reading_FLA[Difference - Per "&amp;VLOOKUP($D$2, 'Reading Report Logic'!$A$2:$B$8, 2, FALSE)&amp;"]")),FALSE)="", "", VLOOKUP($A568,YES_Reading_FLA[],COLUMN(INDIRECT("YES_Reading_FLA[Difference - Per "&amp;VLOOKUP($D$2, 'Reading Report Logic'!$A$2:$B$8, 2, FALSE)&amp;"]")),FALSE))),""))),"")</f>
        <v/>
      </c>
      <c r="H568" s="206" t="str">
        <f ca="1">IFERROR(VLOOKUP('Teacher Reading Pull Sheets'!$D568,_xlfn.VSTACK('ELA Reading Logic'!$A$22:$B$48,'FLA Reading Logic'!$A$22:$B$53),2,FALSE)-VLOOKUP('Teacher Reading Pull Sheets'!$C568,_xlfn.VSTACK('ELA Reading Logic'!$A$22:$B$48,'FLA Reading Logic'!$A$22:$B$53),2,FALSE),"")</f>
        <v/>
      </c>
      <c r="I568" s="205"/>
      <c r="J568" s="206"/>
      <c r="K568" s="24" t="str" cm="1">
        <f t="array" aca="1" ref="K568" ca="1">IFERROR(
IF($J$2="ELA",
IF(VLOOKUP($A568, YES_Reading_ELA[], COLUMN(YES_Reading_ELA[Self-Identified as African Descent]), FALSE)="", "",
VLOOKUP($A568,YES_Reading_ELA[], COLUMN(YES_Reading_ELA[Self-Identified as African Descent]), FALSE)),
IF($J$2="FLA",
IF(VLOOKUP($A568, YES_Reading_FLA[], COLUMN(YES_Reading_FLA[Self-Identified as African Descent]),FALSE)="","",
VLOOKUP($A568,YES_Reading_FLA[],COLUMN(YES_Reading_FLA[Self-Identified as African Descent]),FALSE)),
IF($J$2="Combined",
IFERROR(
IF(VLOOKUP($A568, YES_Reading_ELA[], COLUMN(YES_Reading_ELA[Self-Identified as African Descent]), FALSE)="", "",
VLOOKUP($A568,YES_Reading_ELA[],COLUMN(YES_Reading_ELA[Self-Identified as African Descent]),FALSE)),
IF(VLOOKUP($A568, YES_Reading_FLA[], COLUMN(YES_Reading_FLA[Self-Identified as African Descent]),FALSE)="", "", VLOOKUP($A568,YES_Reading_FLA[],COLUMN(YES_Reading_FLA[Self-Identified as African Descent]),FALSE))),""))),"")</f>
        <v/>
      </c>
      <c r="L568" s="199" t="str" cm="1">
        <f t="array" aca="1" ref="L568" ca="1">IFERROR(
IF($J$2="ELA",
IF(VLOOKUP($A568, YES_Reading_ELA[], COLUMN(YES_Reading_ELA[Self-Identified as Indigenous]), FALSE)="", "",
VLOOKUP($A568,YES_Reading_ELA[], COLUMN(YES_Reading_ELA[Self-Identified as Indigenous]), FALSE)),
IF($J$2="FLA",
IF(VLOOKUP($A568, YES_Reading_FLA[], COLUMN(YES_Reading_FLA[Self-Identified as Indigenous]),FALSE)="","",
VLOOKUP($A568,YES_Reading_FLA[],COLUMN(YES_Reading_FLA[Self-Identified as Indigenous]),FALSE)),
IF($J$2="Combined",
IFERROR(
IF(VLOOKUP($A568, YES_Reading_ELA[], COLUMN(YES_Reading_ELA[Self-Identified as Indigenous]), FALSE)="", "",
VLOOKUP($A568,YES_Reading_ELA[],COLUMN(YES_Reading_ELA[Self-Identified as Indigenous]),FALSE)),
IF(VLOOKUP($A568, YES_Reading_FLA[], COLUMN(YES_Reading_FLA[Self-Identified as Indigenous]),FALSE)="", "", VLOOKUP($A568,YES_Reading_FLA[],COLUMN(YES_Reading_FLA[Self-Identified as Indigenous]),FALSE))),""))),"")</f>
        <v/>
      </c>
    </row>
    <row r="569" spans="1:12" ht="19.5" customHeight="1" x14ac:dyDescent="0.25">
      <c r="A569" s="217"/>
      <c r="B569" s="220" t="str">
        <f>IFERROR(VLOOKUP(A569,_xlfn.VSTACK(YES_Reading_ELA[],YES_Reading_FLA[]),2,FALSE),"")</f>
        <v/>
      </c>
      <c r="C569" s="203" t="str" cm="1">
        <f t="array" aca="1" ref="C569" ca="1">IFERROR(
IF($J$2="ELA",
IF(VLOOKUP($A569, YES_Reading_ELA[], COLUMN(IF(VLOOKUP($D$2, 'Reading Report Logic'!$A$2:$B$8, 2, FALSE)=1, YES_Reading_ELA[Reading Level June of Previous School Year], INDIRECT("YES_Reading_ELA[Instructional Reading Level - Per "&amp;(VLOOKUP($D$2,'Reading Report Logic'!$A$2:$B$8,2,FALSE)-1)&amp;"]"))), FALSE)="", "",
VLOOKUP($A569,YES_Reading_ELA[], COLUMN(IF(VLOOKUP($D$2,'Reading Report Logic'!$A$2:$B$8,2,FALSE)=1, YES_Reading_ELA[Reading Level June of Previous School Year],INDIRECT("YES_Reading_ELA[Instructional Reading Level - Per "&amp;(VLOOKUP($D$2,'Reading Report Logic'!$A$2:$B$8,2,FALSE)-1)&amp;"]"))), FALSE)),
IF($J$2="FLA",
IF(VLOOKUP($A569, YES_Reading_FLA[], COLUMN(IF(VLOOKUP($D$2,'Reading Report Logic'!$A$2:$B$8,2,FALSE)=1, YES_Reading_FLA[Reading Level June of Previous School Year],INDIRECT("YES_Reading_FLA[Instructional Reading Level - Per "&amp;(VLOOKUP($D$2,'Reading Report Logic'!$A$2:$B$8,2,FALSE)-1)&amp;"]"))),FALSE)="","",
VLOOKUP($A569,YES_Reading_FLA[], COLUMN(IF(VLOOKUP($D$2,'Reading Report Logic'!$A$2:$B$8,2,FALSE)=1, YES_Reading_FLA[Reading Level June of Previous School Year],INDIRECT("YES_Reading_FLA[Instructional Reading Level - Per "&amp;(VLOOKUP($D$2,'Reading Report Logic'!$A$2:$B$8,2,FALSE)-1)&amp;"]"))),FALSE)),
IF($J$2="Combined",
IFERROR(
IF(VLOOKUP($A569, YES_Reading_ELA[], COLUMN(IF(VLOOKUP($D$2,'Reading Report Logic'!$A$2:$B$8,2,FALSE)=1, YES_Reading_ELA[Reading Level June of Previous School Year],INDIRECT("YES_Reading_ELA[Instructional Reading Level - Per "&amp;(VLOOKUP($D$2,'Reading Report Logic'!$A$2:$B$8,2,FALSE)-1)&amp;"]"))), FALSE)="", "",
VLOOKUP($A569,YES_Reading_ELA[],COLUMN(IF(VLOOKUP($D$2,'Reading Report Logic'!$A$2:$B$8,2,FALSE)=1, YES_Reading_ELA[Reading Level June of Previous School Year],INDIRECT("YES_Reading_ELA[Instructional Reading Level - Per "&amp;(VLOOKUP($D$2,'Reading Report Logic'!$A$2:$B$8,2,FALSE)-1)&amp;"]"))),FALSE)),
IF(VLOOKUP($A569, YES_Reading_FLA[], COLUMN(IF(VLOOKUP($D$2,'Reading Report Logic'!$A$2:$B$8,2,FALSE)=1, YES_Reading_FLA[Reading Level June of Previous School Year],INDIRECT("YES_Reading_FLA[Instructional Reading Level - Per "&amp;(VLOOKUP($D$2,'Reading Report Logic'!$A$2:$B$8,2,FALSE)-1)&amp;"]"))),FALSE)="", "", VLOOKUP($A569,YES_Reading_FLA[],COLUMN(IF(VLOOKUP($D$2,'Reading Report Logic'!$A$2:$B$8,2,FALSE)=1, YES_Reading_FLA[Reading Level June of Previous School Year],INDIRECT("YES_Reading_FLA[Instructional Reading Level - Per "&amp;(VLOOKUP($D$2,'Reading Report Logic'!$A$2:$B$8,2,FALSE)-1)&amp;"]"))), FALSE))),""))),"")</f>
        <v/>
      </c>
      <c r="D569" s="204" t="str" cm="1">
        <f t="array" aca="1" ref="D569" ca="1">IFERROR(
IF($J$2="ELA",
IF(VLOOKUP($A569, YES_Reading_ELA[], COLUMN(INDIRECT("YES_Reading_ELA[Instructional Reading Level - Per "&amp;VLOOKUP($D$2, 'Reading Report Logic'!$A$2:$B$8, 2, FALSE)&amp;"]")), FALSE)="", "",
VLOOKUP($A569,YES_Reading_ELA[], COLUMN(INDIRECT("YES_Reading_ELA[Instructional Reading Level - Per "&amp;VLOOKUP($D$2,'Reading Report Logic'!$A$2:$B$8,2,FALSE)&amp;"]")), FALSE)),
IF($J$2="FLA",
IF(VLOOKUP($A569, YES_Reading_FLA[], COLUMN(INDIRECT("YES_Reading_FLA[Instructional Reading Level - Per "&amp;VLOOKUP($D$2,'Reading Report Logic'!$A$2:$B$8,2,FALSE)&amp;"]")),FALSE)="","",
VLOOKUP($A569,YES_Reading_FLA[],COLUMN(INDIRECT("YES_Reading_FLA[Instructional Reading Level - Per "&amp;VLOOKUP($D$2,'Reading Report Logic'!$A$2:$B$8,2,FALSE)&amp;"]")),FALSE)),
IF($J$2="Combined",
IFERROR(
IF(VLOOKUP($A569, YES_Reading_ELA[], COLUMN(INDIRECT("YES_Reading_ELA[Instructional Reading Level - Per "&amp;VLOOKUP($D$2, 'Reading Report Logic'!$A$2:$B$8,2,FALSE)&amp;"]")), FALSE)="", "",
VLOOKUP($A569,YES_Reading_ELA[],COLUMN(INDIRECT("YES_Reading_ELA[Instructional Reading Level - Per "&amp;VLOOKUP($D$2,'Reading Report Logic'!$A$2:$B$8,2,FALSE)&amp;"]")),FALSE)),
IF(VLOOKUP($A569, YES_Reading_FLA[], COLUMN(INDIRECT("YES_Reading_FLA[Instructional Reading Level - Per "&amp;VLOOKUP($D$2, 'Reading Report Logic'!$A$2:$B$8, 2, FALSE)&amp;"]")),FALSE)="", "", VLOOKUP($A569,YES_Reading_FLA[],COLUMN(INDIRECT("YES_Reading_FLA[Instructional Reading Level - Per "&amp;VLOOKUP($D$2, 'Reading Report Logic'!$A$2:$B$8, 2, FALSE)&amp;"]")),FALSE))),""))),"")</f>
        <v/>
      </c>
      <c r="E569" s="205" t="str" cm="1">
        <f t="array" aca="1" ref="E569" ca="1">IFERROR(
IF($J$2="ELA",
IF(VLOOKUP($A569, YES_Reading_ELA[], COLUMN(INDIRECT("YES_Reading_ELA[Min Expectation - Per "&amp;VLOOKUP($D$2, 'Reading Report Logic'!$A$2:$B$8, 2, FALSE)&amp;"]")), FALSE)="", "",
VLOOKUP($A569,YES_Reading_ELA[], COLUMN(INDIRECT("YES_Reading_ELA[Min Expectation - Per "&amp;VLOOKUP($D$2,'Reading Report Logic'!$A$2:$B$8,2,FALSE)&amp;"]")), FALSE)),
IF($J$2="FLA",
IF(VLOOKUP($A569, YES_Reading_FLA[], COLUMN(INDIRECT("YES_Reading_FLA[Min Expectation - Per "&amp;VLOOKUP($D$2,'Reading Report Logic'!$A$2:$B$8,2,FALSE)&amp;"]")),FALSE)="","",
VLOOKUP($A569,YES_Reading_FLA[],COLUMN(INDIRECT("YES_Reading_FLA[Min Expectation - Per "&amp;VLOOKUP($D$2,'Reading Report Logic'!$A$2:$B$8,2,FALSE)&amp;"]")),FALSE)),
IF($J$2="Combined",
IFERROR(
IF(VLOOKUP($A569, YES_Reading_ELA[], COLUMN(INDIRECT("YES_Reading_ELA[Min Expectation - Per "&amp;VLOOKUP($D$2, 'Reading Report Logic'!$A$2:$B$8,2,FALSE)&amp;"]")), FALSE)="", "",
VLOOKUP($A569,YES_Reading_ELA[],COLUMN(INDIRECT("YES_Reading_ELA[Min Expectation - Per "&amp;VLOOKUP($D$2,'Reading Report Logic'!$A$2:$B$8,2,FALSE)&amp;"]")),FALSE)),
IF(VLOOKUP($A569, YES_Reading_FLA[], COLUMN(INDIRECT("YES_Reading_FLA[Min Expectation - Per "&amp;VLOOKUP($D$2, 'Reading Report Logic'!$A$2:$B$8, 2, FALSE)&amp;"]")),FALSE)="", "", VLOOKUP($A569,YES_Reading_FLA[],COLUMN(INDIRECT("YES_Reading_FLA[Min Expectation - Per "&amp;VLOOKUP($D$2, 'Reading Report Logic'!$A$2:$B$8, 2, FALSE)&amp;"]")),FALSE))),""))),"")</f>
        <v/>
      </c>
      <c r="F569" s="205" t="str" cm="1">
        <f t="array" aca="1" ref="F569" ca="1">IFERROR(
IF($J$2="ELA",
IF(VLOOKUP($A569, YES_Reading_ELA[], COLUMN(INDIRECT("YES_Reading_ELA[Max Expectation - Per "&amp;VLOOKUP($D$2, 'Reading Report Logic'!$A$2:$B$8, 2, FALSE)&amp;"]")), FALSE)="", "",
VLOOKUP($A569,YES_Reading_ELA[], COLUMN(INDIRECT("YES_Reading_ELA[Max Expectation - Per "&amp;VLOOKUP($D$2,'Reading Report Logic'!$A$2:$B$8,2,FALSE)&amp;"]")), FALSE)),
IF($J$2="FLA",
IF(VLOOKUP($A569, YES_Reading_FLA[], COLUMN(INDIRECT("YES_Reading_FLA[Max Expectation - Per "&amp;VLOOKUP($D$2,'Reading Report Logic'!$A$2:$B$8,2,FALSE)&amp;"]")),FALSE)="","",
VLOOKUP($A569,YES_Reading_FLA[],COLUMN(INDIRECT("YES_Reading_FLA[Max Expectation - Per "&amp;VLOOKUP($D$2,'Reading Report Logic'!$A$2:$B$8,2,FALSE)&amp;"]")),FALSE)),
IF($J$2="Combined",
IFERROR(
IF(VLOOKUP($A569, YES_Reading_ELA[], COLUMN(INDIRECT("YES_Reading_ELA[Max Expectation - Per "&amp;VLOOKUP($D$2, 'Reading Report Logic'!$A$2:$B$8,2,FALSE)&amp;"]")), FALSE)="", "",
VLOOKUP($A569,YES_Reading_ELA[],COLUMN(INDIRECT("YES_Reading_ELA[Max Expectation - Per "&amp;VLOOKUP($D$2,'Reading Report Logic'!$A$2:$B$8,2,FALSE)&amp;"]")),FALSE)),
IF(VLOOKUP($A569, YES_Reading_FLA[], COLUMN(INDIRECT("YES_Reading_FLA[Max Expectation - Per "&amp;VLOOKUP($D$2, 'Reading Report Logic'!$A$2:$B$8, 2, FALSE)&amp;"]")),FALSE)="", "", VLOOKUP($A569,YES_Reading_FLA[],COLUMN(INDIRECT("YES_Reading_FLA[Max Expectation - Per "&amp;VLOOKUP($D$2, 'Reading Report Logic'!$A$2:$B$8, 2, FALSE)&amp;"]")),FALSE))),""))),"")</f>
        <v/>
      </c>
      <c r="G569" s="205" t="str" cm="1">
        <f t="array" aca="1" ref="G569" ca="1">IFERROR(
IF($J$2="ELA",
IF(VLOOKUP($A569, YES_Reading_ELA[], COLUMN(INDIRECT("YES_Reading_ELA[Difference - Per "&amp;VLOOKUP($D$2, 'Reading Report Logic'!$A$2:$B$8, 2, FALSE)&amp;"]")), FALSE)="", "",
VLOOKUP($A569,YES_Reading_ELA[], COLUMN(INDIRECT("YES_Reading_ELA[Difference - Per "&amp;VLOOKUP($D$2,'Reading Report Logic'!$A$2:$B$8,2,FALSE)&amp;"]")), FALSE)),
IF($J$2="FLA",
IF(VLOOKUP($A569, YES_Reading_FLA[], COLUMN(INDIRECT("YES_Reading_FLA[Difference - Per "&amp;VLOOKUP($D$2,'Reading Report Logic'!$A$2:$B$8,2,FALSE)&amp;"]")),FALSE)="","",
VLOOKUP($A569,YES_Reading_FLA[],COLUMN(INDIRECT("YES_Reading_FLA[Difference - Per "&amp;VLOOKUP($D$2,'Reading Report Logic'!$A$2:$B$8,2,FALSE)&amp;"]")),FALSE)),
IF($J$2="Combined",
IFERROR(
IF(VLOOKUP($A569, YES_Reading_ELA[], COLUMN(INDIRECT("YES_Reading_ELA[Difference - Per "&amp;VLOOKUP($D$2, 'Reading Report Logic'!$A$2:$B$8,2,FALSE)&amp;"]")), FALSE)="", "",
VLOOKUP($A569,YES_Reading_ELA[],COLUMN(INDIRECT("YES_Reading_ELA[Difference - Per "&amp;VLOOKUP($D$2,'Reading Report Logic'!$A$2:$B$8,2,FALSE)&amp;"]")),FALSE)),
IF(VLOOKUP($A569, YES_Reading_FLA[], COLUMN(INDIRECT("YES_Reading_FLA[Difference - Per "&amp;VLOOKUP($D$2, 'Reading Report Logic'!$A$2:$B$8, 2, FALSE)&amp;"]")),FALSE)="", "", VLOOKUP($A569,YES_Reading_FLA[],COLUMN(INDIRECT("YES_Reading_FLA[Difference - Per "&amp;VLOOKUP($D$2, 'Reading Report Logic'!$A$2:$B$8, 2, FALSE)&amp;"]")),FALSE))),""))),"")</f>
        <v/>
      </c>
      <c r="H569" s="206" t="str">
        <f ca="1">IFERROR(VLOOKUP('Teacher Reading Pull Sheets'!$D569,_xlfn.VSTACK('ELA Reading Logic'!$A$22:$B$48,'FLA Reading Logic'!$A$22:$B$53),2,FALSE)-VLOOKUP('Teacher Reading Pull Sheets'!$C569,_xlfn.VSTACK('ELA Reading Logic'!$A$22:$B$48,'FLA Reading Logic'!$A$22:$B$53),2,FALSE),"")</f>
        <v/>
      </c>
      <c r="I569" s="212"/>
      <c r="J569" s="206"/>
      <c r="K569" s="197" t="str" cm="1">
        <f t="array" ref="K569">IFERROR(
IF($J$2="ELA",
IF(VLOOKUP($A569, YES_Reading_ELA[], COLUMN(YES_Reading_ELA[Self-Identified as African Descent]), FALSE)="", "",
VLOOKUP($A569,YES_Reading_ELA[], COLUMN(YES_Reading_ELA[Self-Identified as African Descent]), FALSE)),
IF($J$2="FLA",
IF(VLOOKUP($A569, YES_Reading_FLA[], COLUMN(YES_Reading_FLA[Self-Identified as African Descent]),FALSE)="","",
VLOOKUP($A569,YES_Reading_FLA[],COLUMN(YES_Reading_FLA[Self-Identified as African Descent]),FALSE)),
IF($J$2="Combined",
IFERROR(
IF(VLOOKUP($A569, YES_Reading_ELA[], COLUMN(YES_Reading_ELA[Self-Identified as African Descent]), FALSE)="", "",
VLOOKUP($A569,YES_Reading_ELA[],COLUMN(YES_Reading_ELA[Self-Identified as African Descent]),FALSE)),
IF(VLOOKUP($A569, YES_Reading_FLA[], COLUMN(YES_Reading_FLA[Self-Identified as African Descent]),FALSE)="", "", VLOOKUP($A569,YES_Reading_FLA[],COLUMN(YES_Reading_FLA[Self-Identified as African Descent]),FALSE))),""))),"")</f>
        <v/>
      </c>
      <c r="L569" s="73" t="str" cm="1">
        <f t="array" ref="L569">IFERROR(
IF($J$2="ELA",
IF(VLOOKUP($A569, YES_Reading_ELA[], COLUMN(YES_Reading_ELA[Self-Identified as Indigenous]), FALSE)="", "",
VLOOKUP($A569,YES_Reading_ELA[], COLUMN(YES_Reading_ELA[Self-Identified as Indigenous]), FALSE)),
IF($J$2="FLA",
IF(VLOOKUP($A569, YES_Reading_FLA[], COLUMN(YES_Reading_FLA[Self-Identified as Indigenous]),FALSE)="","",
VLOOKUP($A569,YES_Reading_FLA[],COLUMN(YES_Reading_FLA[Self-Identified as Indigenous]),FALSE)),
IF($J$2="Combined",
IFERROR(
IF(VLOOKUP($A569, YES_Reading_ELA[], COLUMN(YES_Reading_ELA[Self-Identified as Indigenous]), FALSE)="", "",
VLOOKUP($A569,YES_Reading_ELA[],COLUMN(YES_Reading_ELA[Self-Identified as Indigenous]),FALSE)),
IF(VLOOKUP($A569, YES_Reading_FLA[], COLUMN(YES_Reading_FLA[Self-Identified as Indigenous]),FALSE)="", "", VLOOKUP($A569,YES_Reading_FLA[],COLUMN(YES_Reading_FLA[Self-Identified as Indigenous]),FALSE))),""))),"")</f>
        <v/>
      </c>
    </row>
    <row r="570" spans="1:12" ht="19.5" customHeight="1" x14ac:dyDescent="0.25">
      <c r="A570" s="217"/>
      <c r="B570" s="220" t="str">
        <f>IFERROR(VLOOKUP(A570,_xlfn.VSTACK(YES_Reading_ELA[],YES_Reading_FLA[]),2,FALSE),"")</f>
        <v/>
      </c>
      <c r="C570" s="203" t="str" cm="1">
        <f t="array" aca="1" ref="C570" ca="1">IFERROR(
IF($J$2="ELA",
IF(VLOOKUP($A570, YES_Reading_ELA[], COLUMN(IF(VLOOKUP($D$2, 'Reading Report Logic'!$A$2:$B$8, 2, FALSE)=1, YES_Reading_ELA[Reading Level June of Previous School Year], INDIRECT("YES_Reading_ELA[Instructional Reading Level - Per "&amp;(VLOOKUP($D$2,'Reading Report Logic'!$A$2:$B$8,2,FALSE)-1)&amp;"]"))), FALSE)="", "",
VLOOKUP($A570,YES_Reading_ELA[], COLUMN(IF(VLOOKUP($D$2,'Reading Report Logic'!$A$2:$B$8,2,FALSE)=1, YES_Reading_ELA[Reading Level June of Previous School Year],INDIRECT("YES_Reading_ELA[Instructional Reading Level - Per "&amp;(VLOOKUP($D$2,'Reading Report Logic'!$A$2:$B$8,2,FALSE)-1)&amp;"]"))), FALSE)),
IF($J$2="FLA",
IF(VLOOKUP($A570, YES_Reading_FLA[], COLUMN(IF(VLOOKUP($D$2,'Reading Report Logic'!$A$2:$B$8,2,FALSE)=1, YES_Reading_FLA[Reading Level June of Previous School Year],INDIRECT("YES_Reading_FLA[Instructional Reading Level - Per "&amp;(VLOOKUP($D$2,'Reading Report Logic'!$A$2:$B$8,2,FALSE)-1)&amp;"]"))),FALSE)="","",
VLOOKUP($A570,YES_Reading_FLA[], COLUMN(IF(VLOOKUP($D$2,'Reading Report Logic'!$A$2:$B$8,2,FALSE)=1, YES_Reading_FLA[Reading Level June of Previous School Year],INDIRECT("YES_Reading_FLA[Instructional Reading Level - Per "&amp;(VLOOKUP($D$2,'Reading Report Logic'!$A$2:$B$8,2,FALSE)-1)&amp;"]"))),FALSE)),
IF($J$2="Combined",
IFERROR(
IF(VLOOKUP($A570, YES_Reading_ELA[], COLUMN(IF(VLOOKUP($D$2,'Reading Report Logic'!$A$2:$B$8,2,FALSE)=1, YES_Reading_ELA[Reading Level June of Previous School Year],INDIRECT("YES_Reading_ELA[Instructional Reading Level - Per "&amp;(VLOOKUP($D$2,'Reading Report Logic'!$A$2:$B$8,2,FALSE)-1)&amp;"]"))), FALSE)="", "",
VLOOKUP($A570,YES_Reading_ELA[],COLUMN(IF(VLOOKUP($D$2,'Reading Report Logic'!$A$2:$B$8,2,FALSE)=1, YES_Reading_ELA[Reading Level June of Previous School Year],INDIRECT("YES_Reading_ELA[Instructional Reading Level - Per "&amp;(VLOOKUP($D$2,'Reading Report Logic'!$A$2:$B$8,2,FALSE)-1)&amp;"]"))),FALSE)),
IF(VLOOKUP($A570, YES_Reading_FLA[], COLUMN(IF(VLOOKUP($D$2,'Reading Report Logic'!$A$2:$B$8,2,FALSE)=1, YES_Reading_FLA[Reading Level June of Previous School Year],INDIRECT("YES_Reading_FLA[Instructional Reading Level - Per "&amp;(VLOOKUP($D$2,'Reading Report Logic'!$A$2:$B$8,2,FALSE)-1)&amp;"]"))),FALSE)="", "", VLOOKUP($A570,YES_Reading_FLA[],COLUMN(IF(VLOOKUP($D$2,'Reading Report Logic'!$A$2:$B$8,2,FALSE)=1, YES_Reading_FLA[Reading Level June of Previous School Year],INDIRECT("YES_Reading_FLA[Instructional Reading Level - Per "&amp;(VLOOKUP($D$2,'Reading Report Logic'!$A$2:$B$8,2,FALSE)-1)&amp;"]"))), FALSE))),""))),"")</f>
        <v/>
      </c>
      <c r="D570" s="204" t="str" cm="1">
        <f t="array" aca="1" ref="D570" ca="1">IFERROR(
IF($J$2="ELA",
IF(VLOOKUP($A570, YES_Reading_ELA[], COLUMN(INDIRECT("YES_Reading_ELA[Instructional Reading Level - Per "&amp;VLOOKUP($D$2, 'Reading Report Logic'!$A$2:$B$8, 2, FALSE)&amp;"]")), FALSE)="", "",
VLOOKUP($A570,YES_Reading_ELA[], COLUMN(INDIRECT("YES_Reading_ELA[Instructional Reading Level - Per "&amp;VLOOKUP($D$2,'Reading Report Logic'!$A$2:$B$8,2,FALSE)&amp;"]")), FALSE)),
IF($J$2="FLA",
IF(VLOOKUP($A570, YES_Reading_FLA[], COLUMN(INDIRECT("YES_Reading_FLA[Instructional Reading Level - Per "&amp;VLOOKUP($D$2,'Reading Report Logic'!$A$2:$B$8,2,FALSE)&amp;"]")),FALSE)="","",
VLOOKUP($A570,YES_Reading_FLA[],COLUMN(INDIRECT("YES_Reading_FLA[Instructional Reading Level - Per "&amp;VLOOKUP($D$2,'Reading Report Logic'!$A$2:$B$8,2,FALSE)&amp;"]")),FALSE)),
IF($J$2="Combined",
IFERROR(
IF(VLOOKUP($A570, YES_Reading_ELA[], COLUMN(INDIRECT("YES_Reading_ELA[Instructional Reading Level - Per "&amp;VLOOKUP($D$2, 'Reading Report Logic'!$A$2:$B$8,2,FALSE)&amp;"]")), FALSE)="", "",
VLOOKUP($A570,YES_Reading_ELA[],COLUMN(INDIRECT("YES_Reading_ELA[Instructional Reading Level - Per "&amp;VLOOKUP($D$2,'Reading Report Logic'!$A$2:$B$8,2,FALSE)&amp;"]")),FALSE)),
IF(VLOOKUP($A570, YES_Reading_FLA[], COLUMN(INDIRECT("YES_Reading_FLA[Instructional Reading Level - Per "&amp;VLOOKUP($D$2, 'Reading Report Logic'!$A$2:$B$8, 2, FALSE)&amp;"]")),FALSE)="", "", VLOOKUP($A570,YES_Reading_FLA[],COLUMN(INDIRECT("YES_Reading_FLA[Instructional Reading Level - Per "&amp;VLOOKUP($D$2, 'Reading Report Logic'!$A$2:$B$8, 2, FALSE)&amp;"]")),FALSE))),""))),"")</f>
        <v/>
      </c>
      <c r="E570" s="205" t="str" cm="1">
        <f t="array" aca="1" ref="E570" ca="1">IFERROR(
IF($J$2="ELA",
IF(VLOOKUP($A570, YES_Reading_ELA[], COLUMN(INDIRECT("YES_Reading_ELA[Min Expectation - Per "&amp;VLOOKUP($D$2, 'Reading Report Logic'!$A$2:$B$8, 2, FALSE)&amp;"]")), FALSE)="", "",
VLOOKUP($A570,YES_Reading_ELA[], COLUMN(INDIRECT("YES_Reading_ELA[Min Expectation - Per "&amp;VLOOKUP($D$2,'Reading Report Logic'!$A$2:$B$8,2,FALSE)&amp;"]")), FALSE)),
IF($J$2="FLA",
IF(VLOOKUP($A570, YES_Reading_FLA[], COLUMN(INDIRECT("YES_Reading_FLA[Min Expectation - Per "&amp;VLOOKUP($D$2,'Reading Report Logic'!$A$2:$B$8,2,FALSE)&amp;"]")),FALSE)="","",
VLOOKUP($A570,YES_Reading_FLA[],COLUMN(INDIRECT("YES_Reading_FLA[Min Expectation - Per "&amp;VLOOKUP($D$2,'Reading Report Logic'!$A$2:$B$8,2,FALSE)&amp;"]")),FALSE)),
IF($J$2="Combined",
IFERROR(
IF(VLOOKUP($A570, YES_Reading_ELA[], COLUMN(INDIRECT("YES_Reading_ELA[Min Expectation - Per "&amp;VLOOKUP($D$2, 'Reading Report Logic'!$A$2:$B$8,2,FALSE)&amp;"]")), FALSE)="", "",
VLOOKUP($A570,YES_Reading_ELA[],COLUMN(INDIRECT("YES_Reading_ELA[Min Expectation - Per "&amp;VLOOKUP($D$2,'Reading Report Logic'!$A$2:$B$8,2,FALSE)&amp;"]")),FALSE)),
IF(VLOOKUP($A570, YES_Reading_FLA[], COLUMN(INDIRECT("YES_Reading_FLA[Min Expectation - Per "&amp;VLOOKUP($D$2, 'Reading Report Logic'!$A$2:$B$8, 2, FALSE)&amp;"]")),FALSE)="", "", VLOOKUP($A570,YES_Reading_FLA[],COLUMN(INDIRECT("YES_Reading_FLA[Min Expectation - Per "&amp;VLOOKUP($D$2, 'Reading Report Logic'!$A$2:$B$8, 2, FALSE)&amp;"]")),FALSE))),""))),"")</f>
        <v/>
      </c>
      <c r="F570" s="205" t="str" cm="1">
        <f t="array" aca="1" ref="F570" ca="1">IFERROR(
IF($J$2="ELA",
IF(VLOOKUP($A570, YES_Reading_ELA[], COLUMN(INDIRECT("YES_Reading_ELA[Max Expectation - Per "&amp;VLOOKUP($D$2, 'Reading Report Logic'!$A$2:$B$8, 2, FALSE)&amp;"]")), FALSE)="", "",
VLOOKUP($A570,YES_Reading_ELA[], COLUMN(INDIRECT("YES_Reading_ELA[Max Expectation - Per "&amp;VLOOKUP($D$2,'Reading Report Logic'!$A$2:$B$8,2,FALSE)&amp;"]")), FALSE)),
IF($J$2="FLA",
IF(VLOOKUP($A570, YES_Reading_FLA[], COLUMN(INDIRECT("YES_Reading_FLA[Max Expectation - Per "&amp;VLOOKUP($D$2,'Reading Report Logic'!$A$2:$B$8,2,FALSE)&amp;"]")),FALSE)="","",
VLOOKUP($A570,YES_Reading_FLA[],COLUMN(INDIRECT("YES_Reading_FLA[Max Expectation - Per "&amp;VLOOKUP($D$2,'Reading Report Logic'!$A$2:$B$8,2,FALSE)&amp;"]")),FALSE)),
IF($J$2="Combined",
IFERROR(
IF(VLOOKUP($A570, YES_Reading_ELA[], COLUMN(INDIRECT("YES_Reading_ELA[Max Expectation - Per "&amp;VLOOKUP($D$2, 'Reading Report Logic'!$A$2:$B$8,2,FALSE)&amp;"]")), FALSE)="", "",
VLOOKUP($A570,YES_Reading_ELA[],COLUMN(INDIRECT("YES_Reading_ELA[Max Expectation - Per "&amp;VLOOKUP($D$2,'Reading Report Logic'!$A$2:$B$8,2,FALSE)&amp;"]")),FALSE)),
IF(VLOOKUP($A570, YES_Reading_FLA[], COLUMN(INDIRECT("YES_Reading_FLA[Max Expectation - Per "&amp;VLOOKUP($D$2, 'Reading Report Logic'!$A$2:$B$8, 2, FALSE)&amp;"]")),FALSE)="", "", VLOOKUP($A570,YES_Reading_FLA[],COLUMN(INDIRECT("YES_Reading_FLA[Max Expectation - Per "&amp;VLOOKUP($D$2, 'Reading Report Logic'!$A$2:$B$8, 2, FALSE)&amp;"]")),FALSE))),""))),"")</f>
        <v/>
      </c>
      <c r="G570" s="205" t="str" cm="1">
        <f t="array" aca="1" ref="G570" ca="1">IFERROR(
IF($J$2="ELA",
IF(VLOOKUP($A570, YES_Reading_ELA[], COLUMN(INDIRECT("YES_Reading_ELA[Difference - Per "&amp;VLOOKUP($D$2, 'Reading Report Logic'!$A$2:$B$8, 2, FALSE)&amp;"]")), FALSE)="", "",
VLOOKUP($A570,YES_Reading_ELA[], COLUMN(INDIRECT("YES_Reading_ELA[Difference - Per "&amp;VLOOKUP($D$2,'Reading Report Logic'!$A$2:$B$8,2,FALSE)&amp;"]")), FALSE)),
IF($J$2="FLA",
IF(VLOOKUP($A570, YES_Reading_FLA[], COLUMN(INDIRECT("YES_Reading_FLA[Difference - Per "&amp;VLOOKUP($D$2,'Reading Report Logic'!$A$2:$B$8,2,FALSE)&amp;"]")),FALSE)="","",
VLOOKUP($A570,YES_Reading_FLA[],COLUMN(INDIRECT("YES_Reading_FLA[Difference - Per "&amp;VLOOKUP($D$2,'Reading Report Logic'!$A$2:$B$8,2,FALSE)&amp;"]")),FALSE)),
IF($J$2="Combined",
IFERROR(
IF(VLOOKUP($A570, YES_Reading_ELA[], COLUMN(INDIRECT("YES_Reading_ELA[Difference - Per "&amp;VLOOKUP($D$2, 'Reading Report Logic'!$A$2:$B$8,2,FALSE)&amp;"]")), FALSE)="", "",
VLOOKUP($A570,YES_Reading_ELA[],COLUMN(INDIRECT("YES_Reading_ELA[Difference - Per "&amp;VLOOKUP($D$2,'Reading Report Logic'!$A$2:$B$8,2,FALSE)&amp;"]")),FALSE)),
IF(VLOOKUP($A570, YES_Reading_FLA[], COLUMN(INDIRECT("YES_Reading_FLA[Difference - Per "&amp;VLOOKUP($D$2, 'Reading Report Logic'!$A$2:$B$8, 2, FALSE)&amp;"]")),FALSE)="", "", VLOOKUP($A570,YES_Reading_FLA[],COLUMN(INDIRECT("YES_Reading_FLA[Difference - Per "&amp;VLOOKUP($D$2, 'Reading Report Logic'!$A$2:$B$8, 2, FALSE)&amp;"]")),FALSE))),""))),"")</f>
        <v/>
      </c>
      <c r="H570" s="206" t="str">
        <f ca="1">IFERROR(VLOOKUP('Teacher Reading Pull Sheets'!$D570,_xlfn.VSTACK('ELA Reading Logic'!$A$22:$B$48,'FLA Reading Logic'!$A$22:$B$53),2,FALSE)-VLOOKUP('Teacher Reading Pull Sheets'!$C570,_xlfn.VSTACK('ELA Reading Logic'!$A$22:$B$48,'FLA Reading Logic'!$A$22:$B$53),2,FALSE),"")</f>
        <v/>
      </c>
      <c r="I570" s="212"/>
      <c r="J570" s="206"/>
      <c r="K570" s="197" t="str" cm="1">
        <f t="array" ref="K570">IFERROR(
IF($J$2="ELA",
IF(VLOOKUP($A570, YES_Reading_ELA[], COLUMN(YES_Reading_ELA[Self-Identified as African Descent]), FALSE)="", "",
VLOOKUP($A570,YES_Reading_ELA[], COLUMN(YES_Reading_ELA[Self-Identified as African Descent]), FALSE)),
IF($J$2="FLA",
IF(VLOOKUP($A570, YES_Reading_FLA[], COLUMN(YES_Reading_FLA[Self-Identified as African Descent]),FALSE)="","",
VLOOKUP($A570,YES_Reading_FLA[],COLUMN(YES_Reading_FLA[Self-Identified as African Descent]),FALSE)),
IF($J$2="Combined",
IFERROR(
IF(VLOOKUP($A570, YES_Reading_ELA[], COLUMN(YES_Reading_ELA[Self-Identified as African Descent]), FALSE)="", "",
VLOOKUP($A570,YES_Reading_ELA[],COLUMN(YES_Reading_ELA[Self-Identified as African Descent]),FALSE)),
IF(VLOOKUP($A570, YES_Reading_FLA[], COLUMN(YES_Reading_FLA[Self-Identified as African Descent]),FALSE)="", "", VLOOKUP($A570,YES_Reading_FLA[],COLUMN(YES_Reading_FLA[Self-Identified as African Descent]),FALSE))),""))),"")</f>
        <v/>
      </c>
      <c r="L570" s="73" t="str" cm="1">
        <f t="array" ref="L570">IFERROR(
IF($J$2="ELA",
IF(VLOOKUP($A570, YES_Reading_ELA[], COLUMN(YES_Reading_ELA[Self-Identified as Indigenous]), FALSE)="", "",
VLOOKUP($A570,YES_Reading_ELA[], COLUMN(YES_Reading_ELA[Self-Identified as Indigenous]), FALSE)),
IF($J$2="FLA",
IF(VLOOKUP($A570, YES_Reading_FLA[], COLUMN(YES_Reading_FLA[Self-Identified as Indigenous]),FALSE)="","",
VLOOKUP($A570,YES_Reading_FLA[],COLUMN(YES_Reading_FLA[Self-Identified as Indigenous]),FALSE)),
IF($J$2="Combined",
IFERROR(
IF(VLOOKUP($A570, YES_Reading_ELA[], COLUMN(YES_Reading_ELA[Self-Identified as Indigenous]), FALSE)="", "",
VLOOKUP($A570,YES_Reading_ELA[],COLUMN(YES_Reading_ELA[Self-Identified as Indigenous]),FALSE)),
IF(VLOOKUP($A570, YES_Reading_FLA[], COLUMN(YES_Reading_FLA[Self-Identified as Indigenous]),FALSE)="", "", VLOOKUP($A570,YES_Reading_FLA[],COLUMN(YES_Reading_FLA[Self-Identified as Indigenous]),FALSE))),""))),"")</f>
        <v/>
      </c>
    </row>
    <row r="571" spans="1:12" ht="19.5" customHeight="1" x14ac:dyDescent="0.25">
      <c r="A571" s="217"/>
      <c r="B571" s="220" t="str">
        <f>IFERROR(VLOOKUP(A571,_xlfn.VSTACK(YES_Reading_ELA[],YES_Reading_FLA[]),2,FALSE),"")</f>
        <v/>
      </c>
      <c r="C571" s="203" t="str" cm="1">
        <f t="array" aca="1" ref="C571" ca="1">IFERROR(
IF($J$2="ELA",
IF(VLOOKUP($A571, YES_Reading_ELA[], COLUMN(IF(VLOOKUP($D$2, 'Reading Report Logic'!$A$2:$B$8, 2, FALSE)=1, YES_Reading_ELA[Reading Level June of Previous School Year], INDIRECT("YES_Reading_ELA[Instructional Reading Level - Per "&amp;(VLOOKUP($D$2,'Reading Report Logic'!$A$2:$B$8,2,FALSE)-1)&amp;"]"))), FALSE)="", "",
VLOOKUP($A571,YES_Reading_ELA[], COLUMN(IF(VLOOKUP($D$2,'Reading Report Logic'!$A$2:$B$8,2,FALSE)=1, YES_Reading_ELA[Reading Level June of Previous School Year],INDIRECT("YES_Reading_ELA[Instructional Reading Level - Per "&amp;(VLOOKUP($D$2,'Reading Report Logic'!$A$2:$B$8,2,FALSE)-1)&amp;"]"))), FALSE)),
IF($J$2="FLA",
IF(VLOOKUP($A571, YES_Reading_FLA[], COLUMN(IF(VLOOKUP($D$2,'Reading Report Logic'!$A$2:$B$8,2,FALSE)=1, YES_Reading_FLA[Reading Level June of Previous School Year],INDIRECT("YES_Reading_FLA[Instructional Reading Level - Per "&amp;(VLOOKUP($D$2,'Reading Report Logic'!$A$2:$B$8,2,FALSE)-1)&amp;"]"))),FALSE)="","",
VLOOKUP($A571,YES_Reading_FLA[], COLUMN(IF(VLOOKUP($D$2,'Reading Report Logic'!$A$2:$B$8,2,FALSE)=1, YES_Reading_FLA[Reading Level June of Previous School Year],INDIRECT("YES_Reading_FLA[Instructional Reading Level - Per "&amp;(VLOOKUP($D$2,'Reading Report Logic'!$A$2:$B$8,2,FALSE)-1)&amp;"]"))),FALSE)),
IF($J$2="Combined",
IFERROR(
IF(VLOOKUP($A571, YES_Reading_ELA[], COLUMN(IF(VLOOKUP($D$2,'Reading Report Logic'!$A$2:$B$8,2,FALSE)=1, YES_Reading_ELA[Reading Level June of Previous School Year],INDIRECT("YES_Reading_ELA[Instructional Reading Level - Per "&amp;(VLOOKUP($D$2,'Reading Report Logic'!$A$2:$B$8,2,FALSE)-1)&amp;"]"))), FALSE)="", "",
VLOOKUP($A571,YES_Reading_ELA[],COLUMN(IF(VLOOKUP($D$2,'Reading Report Logic'!$A$2:$B$8,2,FALSE)=1, YES_Reading_ELA[Reading Level June of Previous School Year],INDIRECT("YES_Reading_ELA[Instructional Reading Level - Per "&amp;(VLOOKUP($D$2,'Reading Report Logic'!$A$2:$B$8,2,FALSE)-1)&amp;"]"))),FALSE)),
IF(VLOOKUP($A571, YES_Reading_FLA[], COLUMN(IF(VLOOKUP($D$2,'Reading Report Logic'!$A$2:$B$8,2,FALSE)=1, YES_Reading_FLA[Reading Level June of Previous School Year],INDIRECT("YES_Reading_FLA[Instructional Reading Level - Per "&amp;(VLOOKUP($D$2,'Reading Report Logic'!$A$2:$B$8,2,FALSE)-1)&amp;"]"))),FALSE)="", "", VLOOKUP($A571,YES_Reading_FLA[],COLUMN(IF(VLOOKUP($D$2,'Reading Report Logic'!$A$2:$B$8,2,FALSE)=1, YES_Reading_FLA[Reading Level June of Previous School Year],INDIRECT("YES_Reading_FLA[Instructional Reading Level - Per "&amp;(VLOOKUP($D$2,'Reading Report Logic'!$A$2:$B$8,2,FALSE)-1)&amp;"]"))), FALSE))),""))),"")</f>
        <v/>
      </c>
      <c r="D571" s="204" t="str" cm="1">
        <f t="array" aca="1" ref="D571" ca="1">IFERROR(
IF($J$2="ELA",
IF(VLOOKUP($A571, YES_Reading_ELA[], COLUMN(INDIRECT("YES_Reading_ELA[Instructional Reading Level - Per "&amp;VLOOKUP($D$2, 'Reading Report Logic'!$A$2:$B$8, 2, FALSE)&amp;"]")), FALSE)="", "",
VLOOKUP($A571,YES_Reading_ELA[], COLUMN(INDIRECT("YES_Reading_ELA[Instructional Reading Level - Per "&amp;VLOOKUP($D$2,'Reading Report Logic'!$A$2:$B$8,2,FALSE)&amp;"]")), FALSE)),
IF($J$2="FLA",
IF(VLOOKUP($A571, YES_Reading_FLA[], COLUMN(INDIRECT("YES_Reading_FLA[Instructional Reading Level - Per "&amp;VLOOKUP($D$2,'Reading Report Logic'!$A$2:$B$8,2,FALSE)&amp;"]")),FALSE)="","",
VLOOKUP($A571,YES_Reading_FLA[],COLUMN(INDIRECT("YES_Reading_FLA[Instructional Reading Level - Per "&amp;VLOOKUP($D$2,'Reading Report Logic'!$A$2:$B$8,2,FALSE)&amp;"]")),FALSE)),
IF($J$2="Combined",
IFERROR(
IF(VLOOKUP($A571, YES_Reading_ELA[], COLUMN(INDIRECT("YES_Reading_ELA[Instructional Reading Level - Per "&amp;VLOOKUP($D$2, 'Reading Report Logic'!$A$2:$B$8,2,FALSE)&amp;"]")), FALSE)="", "",
VLOOKUP($A571,YES_Reading_ELA[],COLUMN(INDIRECT("YES_Reading_ELA[Instructional Reading Level - Per "&amp;VLOOKUP($D$2,'Reading Report Logic'!$A$2:$B$8,2,FALSE)&amp;"]")),FALSE)),
IF(VLOOKUP($A571, YES_Reading_FLA[], COLUMN(INDIRECT("YES_Reading_FLA[Instructional Reading Level - Per "&amp;VLOOKUP($D$2, 'Reading Report Logic'!$A$2:$B$8, 2, FALSE)&amp;"]")),FALSE)="", "", VLOOKUP($A571,YES_Reading_FLA[],COLUMN(INDIRECT("YES_Reading_FLA[Instructional Reading Level - Per "&amp;VLOOKUP($D$2, 'Reading Report Logic'!$A$2:$B$8, 2, FALSE)&amp;"]")),FALSE))),""))),"")</f>
        <v/>
      </c>
      <c r="E571" s="205" t="str" cm="1">
        <f t="array" aca="1" ref="E571" ca="1">IFERROR(
IF($J$2="ELA",
IF(VLOOKUP($A571, YES_Reading_ELA[], COLUMN(INDIRECT("YES_Reading_ELA[Min Expectation - Per "&amp;VLOOKUP($D$2, 'Reading Report Logic'!$A$2:$B$8, 2, FALSE)&amp;"]")), FALSE)="", "",
VLOOKUP($A571,YES_Reading_ELA[], COLUMN(INDIRECT("YES_Reading_ELA[Min Expectation - Per "&amp;VLOOKUP($D$2,'Reading Report Logic'!$A$2:$B$8,2,FALSE)&amp;"]")), FALSE)),
IF($J$2="FLA",
IF(VLOOKUP($A571, YES_Reading_FLA[], COLUMN(INDIRECT("YES_Reading_FLA[Min Expectation - Per "&amp;VLOOKUP($D$2,'Reading Report Logic'!$A$2:$B$8,2,FALSE)&amp;"]")),FALSE)="","",
VLOOKUP($A571,YES_Reading_FLA[],COLUMN(INDIRECT("YES_Reading_FLA[Min Expectation - Per "&amp;VLOOKUP($D$2,'Reading Report Logic'!$A$2:$B$8,2,FALSE)&amp;"]")),FALSE)),
IF($J$2="Combined",
IFERROR(
IF(VLOOKUP($A571, YES_Reading_ELA[], COLUMN(INDIRECT("YES_Reading_ELA[Min Expectation - Per "&amp;VLOOKUP($D$2, 'Reading Report Logic'!$A$2:$B$8,2,FALSE)&amp;"]")), FALSE)="", "",
VLOOKUP($A571,YES_Reading_ELA[],COLUMN(INDIRECT("YES_Reading_ELA[Min Expectation - Per "&amp;VLOOKUP($D$2,'Reading Report Logic'!$A$2:$B$8,2,FALSE)&amp;"]")),FALSE)),
IF(VLOOKUP($A571, YES_Reading_FLA[], COLUMN(INDIRECT("YES_Reading_FLA[Min Expectation - Per "&amp;VLOOKUP($D$2, 'Reading Report Logic'!$A$2:$B$8, 2, FALSE)&amp;"]")),FALSE)="", "", VLOOKUP($A571,YES_Reading_FLA[],COLUMN(INDIRECT("YES_Reading_FLA[Min Expectation - Per "&amp;VLOOKUP($D$2, 'Reading Report Logic'!$A$2:$B$8, 2, FALSE)&amp;"]")),FALSE))),""))),"")</f>
        <v/>
      </c>
      <c r="F571" s="205" t="str" cm="1">
        <f t="array" aca="1" ref="F571" ca="1">IFERROR(
IF($J$2="ELA",
IF(VLOOKUP($A571, YES_Reading_ELA[], COLUMN(INDIRECT("YES_Reading_ELA[Max Expectation - Per "&amp;VLOOKUP($D$2, 'Reading Report Logic'!$A$2:$B$8, 2, FALSE)&amp;"]")), FALSE)="", "",
VLOOKUP($A571,YES_Reading_ELA[], COLUMN(INDIRECT("YES_Reading_ELA[Max Expectation - Per "&amp;VLOOKUP($D$2,'Reading Report Logic'!$A$2:$B$8,2,FALSE)&amp;"]")), FALSE)),
IF($J$2="FLA",
IF(VLOOKUP($A571, YES_Reading_FLA[], COLUMN(INDIRECT("YES_Reading_FLA[Max Expectation - Per "&amp;VLOOKUP($D$2,'Reading Report Logic'!$A$2:$B$8,2,FALSE)&amp;"]")),FALSE)="","",
VLOOKUP($A571,YES_Reading_FLA[],COLUMN(INDIRECT("YES_Reading_FLA[Max Expectation - Per "&amp;VLOOKUP($D$2,'Reading Report Logic'!$A$2:$B$8,2,FALSE)&amp;"]")),FALSE)),
IF($J$2="Combined",
IFERROR(
IF(VLOOKUP($A571, YES_Reading_ELA[], COLUMN(INDIRECT("YES_Reading_ELA[Max Expectation - Per "&amp;VLOOKUP($D$2, 'Reading Report Logic'!$A$2:$B$8,2,FALSE)&amp;"]")), FALSE)="", "",
VLOOKUP($A571,YES_Reading_ELA[],COLUMN(INDIRECT("YES_Reading_ELA[Max Expectation - Per "&amp;VLOOKUP($D$2,'Reading Report Logic'!$A$2:$B$8,2,FALSE)&amp;"]")),FALSE)),
IF(VLOOKUP($A571, YES_Reading_FLA[], COLUMN(INDIRECT("YES_Reading_FLA[Max Expectation - Per "&amp;VLOOKUP($D$2, 'Reading Report Logic'!$A$2:$B$8, 2, FALSE)&amp;"]")),FALSE)="", "", VLOOKUP($A571,YES_Reading_FLA[],COLUMN(INDIRECT("YES_Reading_FLA[Max Expectation - Per "&amp;VLOOKUP($D$2, 'Reading Report Logic'!$A$2:$B$8, 2, FALSE)&amp;"]")),FALSE))),""))),"")</f>
        <v/>
      </c>
      <c r="G571" s="205" t="str" cm="1">
        <f t="array" aca="1" ref="G571" ca="1">IFERROR(
IF($J$2="ELA",
IF(VLOOKUP($A571, YES_Reading_ELA[], COLUMN(INDIRECT("YES_Reading_ELA[Difference - Per "&amp;VLOOKUP($D$2, 'Reading Report Logic'!$A$2:$B$8, 2, FALSE)&amp;"]")), FALSE)="", "",
VLOOKUP($A571,YES_Reading_ELA[], COLUMN(INDIRECT("YES_Reading_ELA[Difference - Per "&amp;VLOOKUP($D$2,'Reading Report Logic'!$A$2:$B$8,2,FALSE)&amp;"]")), FALSE)),
IF($J$2="FLA",
IF(VLOOKUP($A571, YES_Reading_FLA[], COLUMN(INDIRECT("YES_Reading_FLA[Difference - Per "&amp;VLOOKUP($D$2,'Reading Report Logic'!$A$2:$B$8,2,FALSE)&amp;"]")),FALSE)="","",
VLOOKUP($A571,YES_Reading_FLA[],COLUMN(INDIRECT("YES_Reading_FLA[Difference - Per "&amp;VLOOKUP($D$2,'Reading Report Logic'!$A$2:$B$8,2,FALSE)&amp;"]")),FALSE)),
IF($J$2="Combined",
IFERROR(
IF(VLOOKUP($A571, YES_Reading_ELA[], COLUMN(INDIRECT("YES_Reading_ELA[Difference - Per "&amp;VLOOKUP($D$2, 'Reading Report Logic'!$A$2:$B$8,2,FALSE)&amp;"]")), FALSE)="", "",
VLOOKUP($A571,YES_Reading_ELA[],COLUMN(INDIRECT("YES_Reading_ELA[Difference - Per "&amp;VLOOKUP($D$2,'Reading Report Logic'!$A$2:$B$8,2,FALSE)&amp;"]")),FALSE)),
IF(VLOOKUP($A571, YES_Reading_FLA[], COLUMN(INDIRECT("YES_Reading_FLA[Difference - Per "&amp;VLOOKUP($D$2, 'Reading Report Logic'!$A$2:$B$8, 2, FALSE)&amp;"]")),FALSE)="", "", VLOOKUP($A571,YES_Reading_FLA[],COLUMN(INDIRECT("YES_Reading_FLA[Difference - Per "&amp;VLOOKUP($D$2, 'Reading Report Logic'!$A$2:$B$8, 2, FALSE)&amp;"]")),FALSE))),""))),"")</f>
        <v/>
      </c>
      <c r="H571" s="206" t="str">
        <f ca="1">IFERROR(VLOOKUP('Teacher Reading Pull Sheets'!$D571,_xlfn.VSTACK('ELA Reading Logic'!$A$22:$B$48,'FLA Reading Logic'!$A$22:$B$53),2,FALSE)-VLOOKUP('Teacher Reading Pull Sheets'!$C571,_xlfn.VSTACK('ELA Reading Logic'!$A$22:$B$48,'FLA Reading Logic'!$A$22:$B$53),2,FALSE),"")</f>
        <v/>
      </c>
      <c r="I571" s="212"/>
      <c r="J571" s="206"/>
      <c r="K571" s="197" t="str" cm="1">
        <f t="array" ref="K571">IFERROR(
IF($J$2="ELA",
IF(VLOOKUP($A571, YES_Reading_ELA[], COLUMN(YES_Reading_ELA[Self-Identified as African Descent]), FALSE)="", "",
VLOOKUP($A571,YES_Reading_ELA[], COLUMN(YES_Reading_ELA[Self-Identified as African Descent]), FALSE)),
IF($J$2="FLA",
IF(VLOOKUP($A571, YES_Reading_FLA[], COLUMN(YES_Reading_FLA[Self-Identified as African Descent]),FALSE)="","",
VLOOKUP($A571,YES_Reading_FLA[],COLUMN(YES_Reading_FLA[Self-Identified as African Descent]),FALSE)),
IF($J$2="Combined",
IFERROR(
IF(VLOOKUP($A571, YES_Reading_ELA[], COLUMN(YES_Reading_ELA[Self-Identified as African Descent]), FALSE)="", "",
VLOOKUP($A571,YES_Reading_ELA[],COLUMN(YES_Reading_ELA[Self-Identified as African Descent]),FALSE)),
IF(VLOOKUP($A571, YES_Reading_FLA[], COLUMN(YES_Reading_FLA[Self-Identified as African Descent]),FALSE)="", "", VLOOKUP($A571,YES_Reading_FLA[],COLUMN(YES_Reading_FLA[Self-Identified as African Descent]),FALSE))),""))),"")</f>
        <v/>
      </c>
      <c r="L571" s="73" t="str" cm="1">
        <f t="array" ref="L571">IFERROR(
IF($J$2="ELA",
IF(VLOOKUP($A571, YES_Reading_ELA[], COLUMN(YES_Reading_ELA[Self-Identified as Indigenous]), FALSE)="", "",
VLOOKUP($A571,YES_Reading_ELA[], COLUMN(YES_Reading_ELA[Self-Identified as Indigenous]), FALSE)),
IF($J$2="FLA",
IF(VLOOKUP($A571, YES_Reading_FLA[], COLUMN(YES_Reading_FLA[Self-Identified as Indigenous]),FALSE)="","",
VLOOKUP($A571,YES_Reading_FLA[],COLUMN(YES_Reading_FLA[Self-Identified as Indigenous]),FALSE)),
IF($J$2="Combined",
IFERROR(
IF(VLOOKUP($A571, YES_Reading_ELA[], COLUMN(YES_Reading_ELA[Self-Identified as Indigenous]), FALSE)="", "",
VLOOKUP($A571,YES_Reading_ELA[],COLUMN(YES_Reading_ELA[Self-Identified as Indigenous]),FALSE)),
IF(VLOOKUP($A571, YES_Reading_FLA[], COLUMN(YES_Reading_FLA[Self-Identified as Indigenous]),FALSE)="", "", VLOOKUP($A571,YES_Reading_FLA[],COLUMN(YES_Reading_FLA[Self-Identified as Indigenous]),FALSE))),""))),"")</f>
        <v/>
      </c>
    </row>
    <row r="572" spans="1:12" ht="19.5" customHeight="1" x14ac:dyDescent="0.25">
      <c r="A572" s="217"/>
      <c r="B572" s="220" t="str">
        <f>IFERROR(VLOOKUP(A572,_xlfn.VSTACK(YES_Reading_ELA[],YES_Reading_FLA[]),2,FALSE),"")</f>
        <v/>
      </c>
      <c r="C572" s="203" t="str" cm="1">
        <f t="array" aca="1" ref="C572" ca="1">IFERROR(
IF($J$2="ELA",
IF(VLOOKUP($A572, YES_Reading_ELA[], COLUMN(IF(VLOOKUP($D$2, 'Reading Report Logic'!$A$2:$B$8, 2, FALSE)=1, YES_Reading_ELA[Reading Level June of Previous School Year], INDIRECT("YES_Reading_ELA[Instructional Reading Level - Per "&amp;(VLOOKUP($D$2,'Reading Report Logic'!$A$2:$B$8,2,FALSE)-1)&amp;"]"))), FALSE)="", "",
VLOOKUP($A572,YES_Reading_ELA[], COLUMN(IF(VLOOKUP($D$2,'Reading Report Logic'!$A$2:$B$8,2,FALSE)=1, YES_Reading_ELA[Reading Level June of Previous School Year],INDIRECT("YES_Reading_ELA[Instructional Reading Level - Per "&amp;(VLOOKUP($D$2,'Reading Report Logic'!$A$2:$B$8,2,FALSE)-1)&amp;"]"))), FALSE)),
IF($J$2="FLA",
IF(VLOOKUP($A572, YES_Reading_FLA[], COLUMN(IF(VLOOKUP($D$2,'Reading Report Logic'!$A$2:$B$8,2,FALSE)=1, YES_Reading_FLA[Reading Level June of Previous School Year],INDIRECT("YES_Reading_FLA[Instructional Reading Level - Per "&amp;(VLOOKUP($D$2,'Reading Report Logic'!$A$2:$B$8,2,FALSE)-1)&amp;"]"))),FALSE)="","",
VLOOKUP($A572,YES_Reading_FLA[], COLUMN(IF(VLOOKUP($D$2,'Reading Report Logic'!$A$2:$B$8,2,FALSE)=1, YES_Reading_FLA[Reading Level June of Previous School Year],INDIRECT("YES_Reading_FLA[Instructional Reading Level - Per "&amp;(VLOOKUP($D$2,'Reading Report Logic'!$A$2:$B$8,2,FALSE)-1)&amp;"]"))),FALSE)),
IF($J$2="Combined",
IFERROR(
IF(VLOOKUP($A572, YES_Reading_ELA[], COLUMN(IF(VLOOKUP($D$2,'Reading Report Logic'!$A$2:$B$8,2,FALSE)=1, YES_Reading_ELA[Reading Level June of Previous School Year],INDIRECT("YES_Reading_ELA[Instructional Reading Level - Per "&amp;(VLOOKUP($D$2,'Reading Report Logic'!$A$2:$B$8,2,FALSE)-1)&amp;"]"))), FALSE)="", "",
VLOOKUP($A572,YES_Reading_ELA[],COLUMN(IF(VLOOKUP($D$2,'Reading Report Logic'!$A$2:$B$8,2,FALSE)=1, YES_Reading_ELA[Reading Level June of Previous School Year],INDIRECT("YES_Reading_ELA[Instructional Reading Level - Per "&amp;(VLOOKUP($D$2,'Reading Report Logic'!$A$2:$B$8,2,FALSE)-1)&amp;"]"))),FALSE)),
IF(VLOOKUP($A572, YES_Reading_FLA[], COLUMN(IF(VLOOKUP($D$2,'Reading Report Logic'!$A$2:$B$8,2,FALSE)=1, YES_Reading_FLA[Reading Level June of Previous School Year],INDIRECT("YES_Reading_FLA[Instructional Reading Level - Per "&amp;(VLOOKUP($D$2,'Reading Report Logic'!$A$2:$B$8,2,FALSE)-1)&amp;"]"))),FALSE)="", "", VLOOKUP($A572,YES_Reading_FLA[],COLUMN(IF(VLOOKUP($D$2,'Reading Report Logic'!$A$2:$B$8,2,FALSE)=1, YES_Reading_FLA[Reading Level June of Previous School Year],INDIRECT("YES_Reading_FLA[Instructional Reading Level - Per "&amp;(VLOOKUP($D$2,'Reading Report Logic'!$A$2:$B$8,2,FALSE)-1)&amp;"]"))), FALSE))),""))),"")</f>
        <v/>
      </c>
      <c r="D572" s="204" t="str" cm="1">
        <f t="array" aca="1" ref="D572" ca="1">IFERROR(
IF($J$2="ELA",
IF(VLOOKUP($A572, YES_Reading_ELA[], COLUMN(INDIRECT("YES_Reading_ELA[Instructional Reading Level - Per "&amp;VLOOKUP($D$2, 'Reading Report Logic'!$A$2:$B$8, 2, FALSE)&amp;"]")), FALSE)="", "",
VLOOKUP($A572,YES_Reading_ELA[], COLUMN(INDIRECT("YES_Reading_ELA[Instructional Reading Level - Per "&amp;VLOOKUP($D$2,'Reading Report Logic'!$A$2:$B$8,2,FALSE)&amp;"]")), FALSE)),
IF($J$2="FLA",
IF(VLOOKUP($A572, YES_Reading_FLA[], COLUMN(INDIRECT("YES_Reading_FLA[Instructional Reading Level - Per "&amp;VLOOKUP($D$2,'Reading Report Logic'!$A$2:$B$8,2,FALSE)&amp;"]")),FALSE)="","",
VLOOKUP($A572,YES_Reading_FLA[],COLUMN(INDIRECT("YES_Reading_FLA[Instructional Reading Level - Per "&amp;VLOOKUP($D$2,'Reading Report Logic'!$A$2:$B$8,2,FALSE)&amp;"]")),FALSE)),
IF($J$2="Combined",
IFERROR(
IF(VLOOKUP($A572, YES_Reading_ELA[], COLUMN(INDIRECT("YES_Reading_ELA[Instructional Reading Level - Per "&amp;VLOOKUP($D$2, 'Reading Report Logic'!$A$2:$B$8,2,FALSE)&amp;"]")), FALSE)="", "",
VLOOKUP($A572,YES_Reading_ELA[],COLUMN(INDIRECT("YES_Reading_ELA[Instructional Reading Level - Per "&amp;VLOOKUP($D$2,'Reading Report Logic'!$A$2:$B$8,2,FALSE)&amp;"]")),FALSE)),
IF(VLOOKUP($A572, YES_Reading_FLA[], COLUMN(INDIRECT("YES_Reading_FLA[Instructional Reading Level - Per "&amp;VLOOKUP($D$2, 'Reading Report Logic'!$A$2:$B$8, 2, FALSE)&amp;"]")),FALSE)="", "", VLOOKUP($A572,YES_Reading_FLA[],COLUMN(INDIRECT("YES_Reading_FLA[Instructional Reading Level - Per "&amp;VLOOKUP($D$2, 'Reading Report Logic'!$A$2:$B$8, 2, FALSE)&amp;"]")),FALSE))),""))),"")</f>
        <v/>
      </c>
      <c r="E572" s="205" t="str" cm="1">
        <f t="array" aca="1" ref="E572" ca="1">IFERROR(
IF($J$2="ELA",
IF(VLOOKUP($A572, YES_Reading_ELA[], COLUMN(INDIRECT("YES_Reading_ELA[Min Expectation - Per "&amp;VLOOKUP($D$2, 'Reading Report Logic'!$A$2:$B$8, 2, FALSE)&amp;"]")), FALSE)="", "",
VLOOKUP($A572,YES_Reading_ELA[], COLUMN(INDIRECT("YES_Reading_ELA[Min Expectation - Per "&amp;VLOOKUP($D$2,'Reading Report Logic'!$A$2:$B$8,2,FALSE)&amp;"]")), FALSE)),
IF($J$2="FLA",
IF(VLOOKUP($A572, YES_Reading_FLA[], COLUMN(INDIRECT("YES_Reading_FLA[Min Expectation - Per "&amp;VLOOKUP($D$2,'Reading Report Logic'!$A$2:$B$8,2,FALSE)&amp;"]")),FALSE)="","",
VLOOKUP($A572,YES_Reading_FLA[],COLUMN(INDIRECT("YES_Reading_FLA[Min Expectation - Per "&amp;VLOOKUP($D$2,'Reading Report Logic'!$A$2:$B$8,2,FALSE)&amp;"]")),FALSE)),
IF($J$2="Combined",
IFERROR(
IF(VLOOKUP($A572, YES_Reading_ELA[], COLUMN(INDIRECT("YES_Reading_ELA[Min Expectation - Per "&amp;VLOOKUP($D$2, 'Reading Report Logic'!$A$2:$B$8,2,FALSE)&amp;"]")), FALSE)="", "",
VLOOKUP($A572,YES_Reading_ELA[],COLUMN(INDIRECT("YES_Reading_ELA[Min Expectation - Per "&amp;VLOOKUP($D$2,'Reading Report Logic'!$A$2:$B$8,2,FALSE)&amp;"]")),FALSE)),
IF(VLOOKUP($A572, YES_Reading_FLA[], COLUMN(INDIRECT("YES_Reading_FLA[Min Expectation - Per "&amp;VLOOKUP($D$2, 'Reading Report Logic'!$A$2:$B$8, 2, FALSE)&amp;"]")),FALSE)="", "", VLOOKUP($A572,YES_Reading_FLA[],COLUMN(INDIRECT("YES_Reading_FLA[Min Expectation - Per "&amp;VLOOKUP($D$2, 'Reading Report Logic'!$A$2:$B$8, 2, FALSE)&amp;"]")),FALSE))),""))),"")</f>
        <v/>
      </c>
      <c r="F572" s="205" t="str" cm="1">
        <f t="array" aca="1" ref="F572" ca="1">IFERROR(
IF($J$2="ELA",
IF(VLOOKUP($A572, YES_Reading_ELA[], COLUMN(INDIRECT("YES_Reading_ELA[Max Expectation - Per "&amp;VLOOKUP($D$2, 'Reading Report Logic'!$A$2:$B$8, 2, FALSE)&amp;"]")), FALSE)="", "",
VLOOKUP($A572,YES_Reading_ELA[], COLUMN(INDIRECT("YES_Reading_ELA[Max Expectation - Per "&amp;VLOOKUP($D$2,'Reading Report Logic'!$A$2:$B$8,2,FALSE)&amp;"]")), FALSE)),
IF($J$2="FLA",
IF(VLOOKUP($A572, YES_Reading_FLA[], COLUMN(INDIRECT("YES_Reading_FLA[Max Expectation - Per "&amp;VLOOKUP($D$2,'Reading Report Logic'!$A$2:$B$8,2,FALSE)&amp;"]")),FALSE)="","",
VLOOKUP($A572,YES_Reading_FLA[],COLUMN(INDIRECT("YES_Reading_FLA[Max Expectation - Per "&amp;VLOOKUP($D$2,'Reading Report Logic'!$A$2:$B$8,2,FALSE)&amp;"]")),FALSE)),
IF($J$2="Combined",
IFERROR(
IF(VLOOKUP($A572, YES_Reading_ELA[], COLUMN(INDIRECT("YES_Reading_ELA[Max Expectation - Per "&amp;VLOOKUP($D$2, 'Reading Report Logic'!$A$2:$B$8,2,FALSE)&amp;"]")), FALSE)="", "",
VLOOKUP($A572,YES_Reading_ELA[],COLUMN(INDIRECT("YES_Reading_ELA[Max Expectation - Per "&amp;VLOOKUP($D$2,'Reading Report Logic'!$A$2:$B$8,2,FALSE)&amp;"]")),FALSE)),
IF(VLOOKUP($A572, YES_Reading_FLA[], COLUMN(INDIRECT("YES_Reading_FLA[Max Expectation - Per "&amp;VLOOKUP($D$2, 'Reading Report Logic'!$A$2:$B$8, 2, FALSE)&amp;"]")),FALSE)="", "", VLOOKUP($A572,YES_Reading_FLA[],COLUMN(INDIRECT("YES_Reading_FLA[Max Expectation - Per "&amp;VLOOKUP($D$2, 'Reading Report Logic'!$A$2:$B$8, 2, FALSE)&amp;"]")),FALSE))),""))),"")</f>
        <v/>
      </c>
      <c r="G572" s="205" t="str" cm="1">
        <f t="array" aca="1" ref="G572" ca="1">IFERROR(
IF($J$2="ELA",
IF(VLOOKUP($A572, YES_Reading_ELA[], COLUMN(INDIRECT("YES_Reading_ELA[Difference - Per "&amp;VLOOKUP($D$2, 'Reading Report Logic'!$A$2:$B$8, 2, FALSE)&amp;"]")), FALSE)="", "",
VLOOKUP($A572,YES_Reading_ELA[], COLUMN(INDIRECT("YES_Reading_ELA[Difference - Per "&amp;VLOOKUP($D$2,'Reading Report Logic'!$A$2:$B$8,2,FALSE)&amp;"]")), FALSE)),
IF($J$2="FLA",
IF(VLOOKUP($A572, YES_Reading_FLA[], COLUMN(INDIRECT("YES_Reading_FLA[Difference - Per "&amp;VLOOKUP($D$2,'Reading Report Logic'!$A$2:$B$8,2,FALSE)&amp;"]")),FALSE)="","",
VLOOKUP($A572,YES_Reading_FLA[],COLUMN(INDIRECT("YES_Reading_FLA[Difference - Per "&amp;VLOOKUP($D$2,'Reading Report Logic'!$A$2:$B$8,2,FALSE)&amp;"]")),FALSE)),
IF($J$2="Combined",
IFERROR(
IF(VLOOKUP($A572, YES_Reading_ELA[], COLUMN(INDIRECT("YES_Reading_ELA[Difference - Per "&amp;VLOOKUP($D$2, 'Reading Report Logic'!$A$2:$B$8,2,FALSE)&amp;"]")), FALSE)="", "",
VLOOKUP($A572,YES_Reading_ELA[],COLUMN(INDIRECT("YES_Reading_ELA[Difference - Per "&amp;VLOOKUP($D$2,'Reading Report Logic'!$A$2:$B$8,2,FALSE)&amp;"]")),FALSE)),
IF(VLOOKUP($A572, YES_Reading_FLA[], COLUMN(INDIRECT("YES_Reading_FLA[Difference - Per "&amp;VLOOKUP($D$2, 'Reading Report Logic'!$A$2:$B$8, 2, FALSE)&amp;"]")),FALSE)="", "", VLOOKUP($A572,YES_Reading_FLA[],COLUMN(INDIRECT("YES_Reading_FLA[Difference - Per "&amp;VLOOKUP($D$2, 'Reading Report Logic'!$A$2:$B$8, 2, FALSE)&amp;"]")),FALSE))),""))),"")</f>
        <v/>
      </c>
      <c r="H572" s="206" t="str">
        <f ca="1">IFERROR(VLOOKUP('Teacher Reading Pull Sheets'!$D572,_xlfn.VSTACK('ELA Reading Logic'!$A$22:$B$48,'FLA Reading Logic'!$A$22:$B$53),2,FALSE)-VLOOKUP('Teacher Reading Pull Sheets'!$C572,_xlfn.VSTACK('ELA Reading Logic'!$A$22:$B$48,'FLA Reading Logic'!$A$22:$B$53),2,FALSE),"")</f>
        <v/>
      </c>
      <c r="I572" s="212"/>
      <c r="J572" s="206"/>
      <c r="K572" s="197" t="str" cm="1">
        <f t="array" ref="K572">IFERROR(
IF($J$2="ELA",
IF(VLOOKUP($A572, YES_Reading_ELA[], COLUMN(YES_Reading_ELA[Self-Identified as African Descent]), FALSE)="", "",
VLOOKUP($A572,YES_Reading_ELA[], COLUMN(YES_Reading_ELA[Self-Identified as African Descent]), FALSE)),
IF($J$2="FLA",
IF(VLOOKUP($A572, YES_Reading_FLA[], COLUMN(YES_Reading_FLA[Self-Identified as African Descent]),FALSE)="","",
VLOOKUP($A572,YES_Reading_FLA[],COLUMN(YES_Reading_FLA[Self-Identified as African Descent]),FALSE)),
IF($J$2="Combined",
IFERROR(
IF(VLOOKUP($A572, YES_Reading_ELA[], COLUMN(YES_Reading_ELA[Self-Identified as African Descent]), FALSE)="", "",
VLOOKUP($A572,YES_Reading_ELA[],COLUMN(YES_Reading_ELA[Self-Identified as African Descent]),FALSE)),
IF(VLOOKUP($A572, YES_Reading_FLA[], COLUMN(YES_Reading_FLA[Self-Identified as African Descent]),FALSE)="", "", VLOOKUP($A572,YES_Reading_FLA[],COLUMN(YES_Reading_FLA[Self-Identified as African Descent]),FALSE))),""))),"")</f>
        <v/>
      </c>
      <c r="L572" s="73" t="str" cm="1">
        <f t="array" ref="L572">IFERROR(
IF($J$2="ELA",
IF(VLOOKUP($A572, YES_Reading_ELA[], COLUMN(YES_Reading_ELA[Self-Identified as Indigenous]), FALSE)="", "",
VLOOKUP($A572,YES_Reading_ELA[], COLUMN(YES_Reading_ELA[Self-Identified as Indigenous]), FALSE)),
IF($J$2="FLA",
IF(VLOOKUP($A572, YES_Reading_FLA[], COLUMN(YES_Reading_FLA[Self-Identified as Indigenous]),FALSE)="","",
VLOOKUP($A572,YES_Reading_FLA[],COLUMN(YES_Reading_FLA[Self-Identified as Indigenous]),FALSE)),
IF($J$2="Combined",
IFERROR(
IF(VLOOKUP($A572, YES_Reading_ELA[], COLUMN(YES_Reading_ELA[Self-Identified as Indigenous]), FALSE)="", "",
VLOOKUP($A572,YES_Reading_ELA[],COLUMN(YES_Reading_ELA[Self-Identified as Indigenous]),FALSE)),
IF(VLOOKUP($A572, YES_Reading_FLA[], COLUMN(YES_Reading_FLA[Self-Identified as Indigenous]),FALSE)="", "", VLOOKUP($A572,YES_Reading_FLA[],COLUMN(YES_Reading_FLA[Self-Identified as Indigenous]),FALSE))),""))),"")</f>
        <v/>
      </c>
    </row>
    <row r="573" spans="1:12" ht="19.5" customHeight="1" x14ac:dyDescent="0.25">
      <c r="A573" s="217"/>
      <c r="B573" s="220" t="str">
        <f>IFERROR(VLOOKUP(A573,_xlfn.VSTACK(YES_Reading_ELA[],YES_Reading_FLA[]),2,FALSE),"")</f>
        <v/>
      </c>
      <c r="C573" s="203" t="str" cm="1">
        <f t="array" aca="1" ref="C573" ca="1">IFERROR(
IF($J$2="ELA",
IF(VLOOKUP($A573, YES_Reading_ELA[], COLUMN(IF(VLOOKUP($D$2, 'Reading Report Logic'!$A$2:$B$8, 2, FALSE)=1, YES_Reading_ELA[Reading Level June of Previous School Year], INDIRECT("YES_Reading_ELA[Instructional Reading Level - Per "&amp;(VLOOKUP($D$2,'Reading Report Logic'!$A$2:$B$8,2,FALSE)-1)&amp;"]"))), FALSE)="", "",
VLOOKUP($A573,YES_Reading_ELA[], COLUMN(IF(VLOOKUP($D$2,'Reading Report Logic'!$A$2:$B$8,2,FALSE)=1, YES_Reading_ELA[Reading Level June of Previous School Year],INDIRECT("YES_Reading_ELA[Instructional Reading Level - Per "&amp;(VLOOKUP($D$2,'Reading Report Logic'!$A$2:$B$8,2,FALSE)-1)&amp;"]"))), FALSE)),
IF($J$2="FLA",
IF(VLOOKUP($A573, YES_Reading_FLA[], COLUMN(IF(VLOOKUP($D$2,'Reading Report Logic'!$A$2:$B$8,2,FALSE)=1, YES_Reading_FLA[Reading Level June of Previous School Year],INDIRECT("YES_Reading_FLA[Instructional Reading Level - Per "&amp;(VLOOKUP($D$2,'Reading Report Logic'!$A$2:$B$8,2,FALSE)-1)&amp;"]"))),FALSE)="","",
VLOOKUP($A573,YES_Reading_FLA[], COLUMN(IF(VLOOKUP($D$2,'Reading Report Logic'!$A$2:$B$8,2,FALSE)=1, YES_Reading_FLA[Reading Level June of Previous School Year],INDIRECT("YES_Reading_FLA[Instructional Reading Level - Per "&amp;(VLOOKUP($D$2,'Reading Report Logic'!$A$2:$B$8,2,FALSE)-1)&amp;"]"))),FALSE)),
IF($J$2="Combined",
IFERROR(
IF(VLOOKUP($A573, YES_Reading_ELA[], COLUMN(IF(VLOOKUP($D$2,'Reading Report Logic'!$A$2:$B$8,2,FALSE)=1, YES_Reading_ELA[Reading Level June of Previous School Year],INDIRECT("YES_Reading_ELA[Instructional Reading Level - Per "&amp;(VLOOKUP($D$2,'Reading Report Logic'!$A$2:$B$8,2,FALSE)-1)&amp;"]"))), FALSE)="", "",
VLOOKUP($A573,YES_Reading_ELA[],COLUMN(IF(VLOOKUP($D$2,'Reading Report Logic'!$A$2:$B$8,2,FALSE)=1, YES_Reading_ELA[Reading Level June of Previous School Year],INDIRECT("YES_Reading_ELA[Instructional Reading Level - Per "&amp;(VLOOKUP($D$2,'Reading Report Logic'!$A$2:$B$8,2,FALSE)-1)&amp;"]"))),FALSE)),
IF(VLOOKUP($A573, YES_Reading_FLA[], COLUMN(IF(VLOOKUP($D$2,'Reading Report Logic'!$A$2:$B$8,2,FALSE)=1, YES_Reading_FLA[Reading Level June of Previous School Year],INDIRECT("YES_Reading_FLA[Instructional Reading Level - Per "&amp;(VLOOKUP($D$2,'Reading Report Logic'!$A$2:$B$8,2,FALSE)-1)&amp;"]"))),FALSE)="", "", VLOOKUP($A573,YES_Reading_FLA[],COLUMN(IF(VLOOKUP($D$2,'Reading Report Logic'!$A$2:$B$8,2,FALSE)=1, YES_Reading_FLA[Reading Level June of Previous School Year],INDIRECT("YES_Reading_FLA[Instructional Reading Level - Per "&amp;(VLOOKUP($D$2,'Reading Report Logic'!$A$2:$B$8,2,FALSE)-1)&amp;"]"))), FALSE))),""))),"")</f>
        <v/>
      </c>
      <c r="D573" s="204" t="str" cm="1">
        <f t="array" aca="1" ref="D573" ca="1">IFERROR(
IF($J$2="ELA",
IF(VLOOKUP($A573, YES_Reading_ELA[], COLUMN(INDIRECT("YES_Reading_ELA[Instructional Reading Level - Per "&amp;VLOOKUP($D$2, 'Reading Report Logic'!$A$2:$B$8, 2, FALSE)&amp;"]")), FALSE)="", "",
VLOOKUP($A573,YES_Reading_ELA[], COLUMN(INDIRECT("YES_Reading_ELA[Instructional Reading Level - Per "&amp;VLOOKUP($D$2,'Reading Report Logic'!$A$2:$B$8,2,FALSE)&amp;"]")), FALSE)),
IF($J$2="FLA",
IF(VLOOKUP($A573, YES_Reading_FLA[], COLUMN(INDIRECT("YES_Reading_FLA[Instructional Reading Level - Per "&amp;VLOOKUP($D$2,'Reading Report Logic'!$A$2:$B$8,2,FALSE)&amp;"]")),FALSE)="","",
VLOOKUP($A573,YES_Reading_FLA[],COLUMN(INDIRECT("YES_Reading_FLA[Instructional Reading Level - Per "&amp;VLOOKUP($D$2,'Reading Report Logic'!$A$2:$B$8,2,FALSE)&amp;"]")),FALSE)),
IF($J$2="Combined",
IFERROR(
IF(VLOOKUP($A573, YES_Reading_ELA[], COLUMN(INDIRECT("YES_Reading_ELA[Instructional Reading Level - Per "&amp;VLOOKUP($D$2, 'Reading Report Logic'!$A$2:$B$8,2,FALSE)&amp;"]")), FALSE)="", "",
VLOOKUP($A573,YES_Reading_ELA[],COLUMN(INDIRECT("YES_Reading_ELA[Instructional Reading Level - Per "&amp;VLOOKUP($D$2,'Reading Report Logic'!$A$2:$B$8,2,FALSE)&amp;"]")),FALSE)),
IF(VLOOKUP($A573, YES_Reading_FLA[], COLUMN(INDIRECT("YES_Reading_FLA[Instructional Reading Level - Per "&amp;VLOOKUP($D$2, 'Reading Report Logic'!$A$2:$B$8, 2, FALSE)&amp;"]")),FALSE)="", "", VLOOKUP($A573,YES_Reading_FLA[],COLUMN(INDIRECT("YES_Reading_FLA[Instructional Reading Level - Per "&amp;VLOOKUP($D$2, 'Reading Report Logic'!$A$2:$B$8, 2, FALSE)&amp;"]")),FALSE))),""))),"")</f>
        <v/>
      </c>
      <c r="E573" s="205" t="str" cm="1">
        <f t="array" aca="1" ref="E573" ca="1">IFERROR(
IF($J$2="ELA",
IF(VLOOKUP($A573, YES_Reading_ELA[], COLUMN(INDIRECT("YES_Reading_ELA[Min Expectation - Per "&amp;VLOOKUP($D$2, 'Reading Report Logic'!$A$2:$B$8, 2, FALSE)&amp;"]")), FALSE)="", "",
VLOOKUP($A573,YES_Reading_ELA[], COLUMN(INDIRECT("YES_Reading_ELA[Min Expectation - Per "&amp;VLOOKUP($D$2,'Reading Report Logic'!$A$2:$B$8,2,FALSE)&amp;"]")), FALSE)),
IF($J$2="FLA",
IF(VLOOKUP($A573, YES_Reading_FLA[], COLUMN(INDIRECT("YES_Reading_FLA[Min Expectation - Per "&amp;VLOOKUP($D$2,'Reading Report Logic'!$A$2:$B$8,2,FALSE)&amp;"]")),FALSE)="","",
VLOOKUP($A573,YES_Reading_FLA[],COLUMN(INDIRECT("YES_Reading_FLA[Min Expectation - Per "&amp;VLOOKUP($D$2,'Reading Report Logic'!$A$2:$B$8,2,FALSE)&amp;"]")),FALSE)),
IF($J$2="Combined",
IFERROR(
IF(VLOOKUP($A573, YES_Reading_ELA[], COLUMN(INDIRECT("YES_Reading_ELA[Min Expectation - Per "&amp;VLOOKUP($D$2, 'Reading Report Logic'!$A$2:$B$8,2,FALSE)&amp;"]")), FALSE)="", "",
VLOOKUP($A573,YES_Reading_ELA[],COLUMN(INDIRECT("YES_Reading_ELA[Min Expectation - Per "&amp;VLOOKUP($D$2,'Reading Report Logic'!$A$2:$B$8,2,FALSE)&amp;"]")),FALSE)),
IF(VLOOKUP($A573, YES_Reading_FLA[], COLUMN(INDIRECT("YES_Reading_FLA[Min Expectation - Per "&amp;VLOOKUP($D$2, 'Reading Report Logic'!$A$2:$B$8, 2, FALSE)&amp;"]")),FALSE)="", "", VLOOKUP($A573,YES_Reading_FLA[],COLUMN(INDIRECT("YES_Reading_FLA[Min Expectation - Per "&amp;VLOOKUP($D$2, 'Reading Report Logic'!$A$2:$B$8, 2, FALSE)&amp;"]")),FALSE))),""))),"")</f>
        <v/>
      </c>
      <c r="F573" s="205" t="str" cm="1">
        <f t="array" aca="1" ref="F573" ca="1">IFERROR(
IF($J$2="ELA",
IF(VLOOKUP($A573, YES_Reading_ELA[], COLUMN(INDIRECT("YES_Reading_ELA[Max Expectation - Per "&amp;VLOOKUP($D$2, 'Reading Report Logic'!$A$2:$B$8, 2, FALSE)&amp;"]")), FALSE)="", "",
VLOOKUP($A573,YES_Reading_ELA[], COLUMN(INDIRECT("YES_Reading_ELA[Max Expectation - Per "&amp;VLOOKUP($D$2,'Reading Report Logic'!$A$2:$B$8,2,FALSE)&amp;"]")), FALSE)),
IF($J$2="FLA",
IF(VLOOKUP($A573, YES_Reading_FLA[], COLUMN(INDIRECT("YES_Reading_FLA[Max Expectation - Per "&amp;VLOOKUP($D$2,'Reading Report Logic'!$A$2:$B$8,2,FALSE)&amp;"]")),FALSE)="","",
VLOOKUP($A573,YES_Reading_FLA[],COLUMN(INDIRECT("YES_Reading_FLA[Max Expectation - Per "&amp;VLOOKUP($D$2,'Reading Report Logic'!$A$2:$B$8,2,FALSE)&amp;"]")),FALSE)),
IF($J$2="Combined",
IFERROR(
IF(VLOOKUP($A573, YES_Reading_ELA[], COLUMN(INDIRECT("YES_Reading_ELA[Max Expectation - Per "&amp;VLOOKUP($D$2, 'Reading Report Logic'!$A$2:$B$8,2,FALSE)&amp;"]")), FALSE)="", "",
VLOOKUP($A573,YES_Reading_ELA[],COLUMN(INDIRECT("YES_Reading_ELA[Max Expectation - Per "&amp;VLOOKUP($D$2,'Reading Report Logic'!$A$2:$B$8,2,FALSE)&amp;"]")),FALSE)),
IF(VLOOKUP($A573, YES_Reading_FLA[], COLUMN(INDIRECT("YES_Reading_FLA[Max Expectation - Per "&amp;VLOOKUP($D$2, 'Reading Report Logic'!$A$2:$B$8, 2, FALSE)&amp;"]")),FALSE)="", "", VLOOKUP($A573,YES_Reading_FLA[],COLUMN(INDIRECT("YES_Reading_FLA[Max Expectation - Per "&amp;VLOOKUP($D$2, 'Reading Report Logic'!$A$2:$B$8, 2, FALSE)&amp;"]")),FALSE))),""))),"")</f>
        <v/>
      </c>
      <c r="G573" s="205" t="str" cm="1">
        <f t="array" aca="1" ref="G573" ca="1">IFERROR(
IF($J$2="ELA",
IF(VLOOKUP($A573, YES_Reading_ELA[], COLUMN(INDIRECT("YES_Reading_ELA[Difference - Per "&amp;VLOOKUP($D$2, 'Reading Report Logic'!$A$2:$B$8, 2, FALSE)&amp;"]")), FALSE)="", "",
VLOOKUP($A573,YES_Reading_ELA[], COLUMN(INDIRECT("YES_Reading_ELA[Difference - Per "&amp;VLOOKUP($D$2,'Reading Report Logic'!$A$2:$B$8,2,FALSE)&amp;"]")), FALSE)),
IF($J$2="FLA",
IF(VLOOKUP($A573, YES_Reading_FLA[], COLUMN(INDIRECT("YES_Reading_FLA[Difference - Per "&amp;VLOOKUP($D$2,'Reading Report Logic'!$A$2:$B$8,2,FALSE)&amp;"]")),FALSE)="","",
VLOOKUP($A573,YES_Reading_FLA[],COLUMN(INDIRECT("YES_Reading_FLA[Difference - Per "&amp;VLOOKUP($D$2,'Reading Report Logic'!$A$2:$B$8,2,FALSE)&amp;"]")),FALSE)),
IF($J$2="Combined",
IFERROR(
IF(VLOOKUP($A573, YES_Reading_ELA[], COLUMN(INDIRECT("YES_Reading_ELA[Difference - Per "&amp;VLOOKUP($D$2, 'Reading Report Logic'!$A$2:$B$8,2,FALSE)&amp;"]")), FALSE)="", "",
VLOOKUP($A573,YES_Reading_ELA[],COLUMN(INDIRECT("YES_Reading_ELA[Difference - Per "&amp;VLOOKUP($D$2,'Reading Report Logic'!$A$2:$B$8,2,FALSE)&amp;"]")),FALSE)),
IF(VLOOKUP($A573, YES_Reading_FLA[], COLUMN(INDIRECT("YES_Reading_FLA[Difference - Per "&amp;VLOOKUP($D$2, 'Reading Report Logic'!$A$2:$B$8, 2, FALSE)&amp;"]")),FALSE)="", "", VLOOKUP($A573,YES_Reading_FLA[],COLUMN(INDIRECT("YES_Reading_FLA[Difference - Per "&amp;VLOOKUP($D$2, 'Reading Report Logic'!$A$2:$B$8, 2, FALSE)&amp;"]")),FALSE))),""))),"")</f>
        <v/>
      </c>
      <c r="H573" s="206" t="str">
        <f ca="1">IFERROR(VLOOKUP('Teacher Reading Pull Sheets'!$D573,_xlfn.VSTACK('ELA Reading Logic'!$A$22:$B$48,'FLA Reading Logic'!$A$22:$B$53),2,FALSE)-VLOOKUP('Teacher Reading Pull Sheets'!$C573,_xlfn.VSTACK('ELA Reading Logic'!$A$22:$B$48,'FLA Reading Logic'!$A$22:$B$53),2,FALSE),"")</f>
        <v/>
      </c>
      <c r="I573" s="212"/>
      <c r="J573" s="206"/>
      <c r="K573" s="197" t="str" cm="1">
        <f t="array" ref="K573">IFERROR(
IF($J$2="ELA",
IF(VLOOKUP($A573, YES_Reading_ELA[], COLUMN(YES_Reading_ELA[Self-Identified as African Descent]), FALSE)="", "",
VLOOKUP($A573,YES_Reading_ELA[], COLUMN(YES_Reading_ELA[Self-Identified as African Descent]), FALSE)),
IF($J$2="FLA",
IF(VLOOKUP($A573, YES_Reading_FLA[], COLUMN(YES_Reading_FLA[Self-Identified as African Descent]),FALSE)="","",
VLOOKUP($A573,YES_Reading_FLA[],COLUMN(YES_Reading_FLA[Self-Identified as African Descent]),FALSE)),
IF($J$2="Combined",
IFERROR(
IF(VLOOKUP($A573, YES_Reading_ELA[], COLUMN(YES_Reading_ELA[Self-Identified as African Descent]), FALSE)="", "",
VLOOKUP($A573,YES_Reading_ELA[],COLUMN(YES_Reading_ELA[Self-Identified as African Descent]),FALSE)),
IF(VLOOKUP($A573, YES_Reading_FLA[], COLUMN(YES_Reading_FLA[Self-Identified as African Descent]),FALSE)="", "", VLOOKUP($A573,YES_Reading_FLA[],COLUMN(YES_Reading_FLA[Self-Identified as African Descent]),FALSE))),""))),"")</f>
        <v/>
      </c>
      <c r="L573" s="73" t="str" cm="1">
        <f t="array" ref="L573">IFERROR(
IF($J$2="ELA",
IF(VLOOKUP($A573, YES_Reading_ELA[], COLUMN(YES_Reading_ELA[Self-Identified as Indigenous]), FALSE)="", "",
VLOOKUP($A573,YES_Reading_ELA[], COLUMN(YES_Reading_ELA[Self-Identified as Indigenous]), FALSE)),
IF($J$2="FLA",
IF(VLOOKUP($A573, YES_Reading_FLA[], COLUMN(YES_Reading_FLA[Self-Identified as Indigenous]),FALSE)="","",
VLOOKUP($A573,YES_Reading_FLA[],COLUMN(YES_Reading_FLA[Self-Identified as Indigenous]),FALSE)),
IF($J$2="Combined",
IFERROR(
IF(VLOOKUP($A573, YES_Reading_ELA[], COLUMN(YES_Reading_ELA[Self-Identified as Indigenous]), FALSE)="", "",
VLOOKUP($A573,YES_Reading_ELA[],COLUMN(YES_Reading_ELA[Self-Identified as Indigenous]),FALSE)),
IF(VLOOKUP($A573, YES_Reading_FLA[], COLUMN(YES_Reading_FLA[Self-Identified as Indigenous]),FALSE)="", "", VLOOKUP($A573,YES_Reading_FLA[],COLUMN(YES_Reading_FLA[Self-Identified as Indigenous]),FALSE))),""))),"")</f>
        <v/>
      </c>
    </row>
    <row r="574" spans="1:12" ht="19.5" customHeight="1" x14ac:dyDescent="0.25">
      <c r="A574" s="217"/>
      <c r="B574" s="220" t="str">
        <f>IFERROR(VLOOKUP(A574,_xlfn.VSTACK(YES_Reading_ELA[],YES_Reading_FLA[]),2,FALSE),"")</f>
        <v/>
      </c>
      <c r="C574" s="203" t="str" cm="1">
        <f t="array" aca="1" ref="C574" ca="1">IFERROR(
IF($J$2="ELA",
IF(VLOOKUP($A574, YES_Reading_ELA[], COLUMN(IF(VLOOKUP($D$2, 'Reading Report Logic'!$A$2:$B$8, 2, FALSE)=1, YES_Reading_ELA[Reading Level June of Previous School Year], INDIRECT("YES_Reading_ELA[Instructional Reading Level - Per "&amp;(VLOOKUP($D$2,'Reading Report Logic'!$A$2:$B$8,2,FALSE)-1)&amp;"]"))), FALSE)="", "",
VLOOKUP($A574,YES_Reading_ELA[], COLUMN(IF(VLOOKUP($D$2,'Reading Report Logic'!$A$2:$B$8,2,FALSE)=1, YES_Reading_ELA[Reading Level June of Previous School Year],INDIRECT("YES_Reading_ELA[Instructional Reading Level - Per "&amp;(VLOOKUP($D$2,'Reading Report Logic'!$A$2:$B$8,2,FALSE)-1)&amp;"]"))), FALSE)),
IF($J$2="FLA",
IF(VLOOKUP($A574, YES_Reading_FLA[], COLUMN(IF(VLOOKUP($D$2,'Reading Report Logic'!$A$2:$B$8,2,FALSE)=1, YES_Reading_FLA[Reading Level June of Previous School Year],INDIRECT("YES_Reading_FLA[Instructional Reading Level - Per "&amp;(VLOOKUP($D$2,'Reading Report Logic'!$A$2:$B$8,2,FALSE)-1)&amp;"]"))),FALSE)="","",
VLOOKUP($A574,YES_Reading_FLA[], COLUMN(IF(VLOOKUP($D$2,'Reading Report Logic'!$A$2:$B$8,2,FALSE)=1, YES_Reading_FLA[Reading Level June of Previous School Year],INDIRECT("YES_Reading_FLA[Instructional Reading Level - Per "&amp;(VLOOKUP($D$2,'Reading Report Logic'!$A$2:$B$8,2,FALSE)-1)&amp;"]"))),FALSE)),
IF($J$2="Combined",
IFERROR(
IF(VLOOKUP($A574, YES_Reading_ELA[], COLUMN(IF(VLOOKUP($D$2,'Reading Report Logic'!$A$2:$B$8,2,FALSE)=1, YES_Reading_ELA[Reading Level June of Previous School Year],INDIRECT("YES_Reading_ELA[Instructional Reading Level - Per "&amp;(VLOOKUP($D$2,'Reading Report Logic'!$A$2:$B$8,2,FALSE)-1)&amp;"]"))), FALSE)="", "",
VLOOKUP($A574,YES_Reading_ELA[],COLUMN(IF(VLOOKUP($D$2,'Reading Report Logic'!$A$2:$B$8,2,FALSE)=1, YES_Reading_ELA[Reading Level June of Previous School Year],INDIRECT("YES_Reading_ELA[Instructional Reading Level - Per "&amp;(VLOOKUP($D$2,'Reading Report Logic'!$A$2:$B$8,2,FALSE)-1)&amp;"]"))),FALSE)),
IF(VLOOKUP($A574, YES_Reading_FLA[], COLUMN(IF(VLOOKUP($D$2,'Reading Report Logic'!$A$2:$B$8,2,FALSE)=1, YES_Reading_FLA[Reading Level June of Previous School Year],INDIRECT("YES_Reading_FLA[Instructional Reading Level - Per "&amp;(VLOOKUP($D$2,'Reading Report Logic'!$A$2:$B$8,2,FALSE)-1)&amp;"]"))),FALSE)="", "", VLOOKUP($A574,YES_Reading_FLA[],COLUMN(IF(VLOOKUP($D$2,'Reading Report Logic'!$A$2:$B$8,2,FALSE)=1, YES_Reading_FLA[Reading Level June of Previous School Year],INDIRECT("YES_Reading_FLA[Instructional Reading Level - Per "&amp;(VLOOKUP($D$2,'Reading Report Logic'!$A$2:$B$8,2,FALSE)-1)&amp;"]"))), FALSE))),""))),"")</f>
        <v/>
      </c>
      <c r="D574" s="204" t="str" cm="1">
        <f t="array" aca="1" ref="D574" ca="1">IFERROR(
IF($J$2="ELA",
IF(VLOOKUP($A574, YES_Reading_ELA[], COLUMN(INDIRECT("YES_Reading_ELA[Instructional Reading Level - Per "&amp;VLOOKUP($D$2, 'Reading Report Logic'!$A$2:$B$8, 2, FALSE)&amp;"]")), FALSE)="", "",
VLOOKUP($A574,YES_Reading_ELA[], COLUMN(INDIRECT("YES_Reading_ELA[Instructional Reading Level - Per "&amp;VLOOKUP($D$2,'Reading Report Logic'!$A$2:$B$8,2,FALSE)&amp;"]")), FALSE)),
IF($J$2="FLA",
IF(VLOOKUP($A574, YES_Reading_FLA[], COLUMN(INDIRECT("YES_Reading_FLA[Instructional Reading Level - Per "&amp;VLOOKUP($D$2,'Reading Report Logic'!$A$2:$B$8,2,FALSE)&amp;"]")),FALSE)="","",
VLOOKUP($A574,YES_Reading_FLA[],COLUMN(INDIRECT("YES_Reading_FLA[Instructional Reading Level - Per "&amp;VLOOKUP($D$2,'Reading Report Logic'!$A$2:$B$8,2,FALSE)&amp;"]")),FALSE)),
IF($J$2="Combined",
IFERROR(
IF(VLOOKUP($A574, YES_Reading_ELA[], COLUMN(INDIRECT("YES_Reading_ELA[Instructional Reading Level - Per "&amp;VLOOKUP($D$2, 'Reading Report Logic'!$A$2:$B$8,2,FALSE)&amp;"]")), FALSE)="", "",
VLOOKUP($A574,YES_Reading_ELA[],COLUMN(INDIRECT("YES_Reading_ELA[Instructional Reading Level - Per "&amp;VLOOKUP($D$2,'Reading Report Logic'!$A$2:$B$8,2,FALSE)&amp;"]")),FALSE)),
IF(VLOOKUP($A574, YES_Reading_FLA[], COLUMN(INDIRECT("YES_Reading_FLA[Instructional Reading Level - Per "&amp;VLOOKUP($D$2, 'Reading Report Logic'!$A$2:$B$8, 2, FALSE)&amp;"]")),FALSE)="", "", VLOOKUP($A574,YES_Reading_FLA[],COLUMN(INDIRECT("YES_Reading_FLA[Instructional Reading Level - Per "&amp;VLOOKUP($D$2, 'Reading Report Logic'!$A$2:$B$8, 2, FALSE)&amp;"]")),FALSE))),""))),"")</f>
        <v/>
      </c>
      <c r="E574" s="205" t="str" cm="1">
        <f t="array" aca="1" ref="E574" ca="1">IFERROR(
IF($J$2="ELA",
IF(VLOOKUP($A574, YES_Reading_ELA[], COLUMN(INDIRECT("YES_Reading_ELA[Min Expectation - Per "&amp;VLOOKUP($D$2, 'Reading Report Logic'!$A$2:$B$8, 2, FALSE)&amp;"]")), FALSE)="", "",
VLOOKUP($A574,YES_Reading_ELA[], COLUMN(INDIRECT("YES_Reading_ELA[Min Expectation - Per "&amp;VLOOKUP($D$2,'Reading Report Logic'!$A$2:$B$8,2,FALSE)&amp;"]")), FALSE)),
IF($J$2="FLA",
IF(VLOOKUP($A574, YES_Reading_FLA[], COLUMN(INDIRECT("YES_Reading_FLA[Min Expectation - Per "&amp;VLOOKUP($D$2,'Reading Report Logic'!$A$2:$B$8,2,FALSE)&amp;"]")),FALSE)="","",
VLOOKUP($A574,YES_Reading_FLA[],COLUMN(INDIRECT("YES_Reading_FLA[Min Expectation - Per "&amp;VLOOKUP($D$2,'Reading Report Logic'!$A$2:$B$8,2,FALSE)&amp;"]")),FALSE)),
IF($J$2="Combined",
IFERROR(
IF(VLOOKUP($A574, YES_Reading_ELA[], COLUMN(INDIRECT("YES_Reading_ELA[Min Expectation - Per "&amp;VLOOKUP($D$2, 'Reading Report Logic'!$A$2:$B$8,2,FALSE)&amp;"]")), FALSE)="", "",
VLOOKUP($A574,YES_Reading_ELA[],COLUMN(INDIRECT("YES_Reading_ELA[Min Expectation - Per "&amp;VLOOKUP($D$2,'Reading Report Logic'!$A$2:$B$8,2,FALSE)&amp;"]")),FALSE)),
IF(VLOOKUP($A574, YES_Reading_FLA[], COLUMN(INDIRECT("YES_Reading_FLA[Min Expectation - Per "&amp;VLOOKUP($D$2, 'Reading Report Logic'!$A$2:$B$8, 2, FALSE)&amp;"]")),FALSE)="", "", VLOOKUP($A574,YES_Reading_FLA[],COLUMN(INDIRECT("YES_Reading_FLA[Min Expectation - Per "&amp;VLOOKUP($D$2, 'Reading Report Logic'!$A$2:$B$8, 2, FALSE)&amp;"]")),FALSE))),""))),"")</f>
        <v/>
      </c>
      <c r="F574" s="205" t="str" cm="1">
        <f t="array" aca="1" ref="F574" ca="1">IFERROR(
IF($J$2="ELA",
IF(VLOOKUP($A574, YES_Reading_ELA[], COLUMN(INDIRECT("YES_Reading_ELA[Max Expectation - Per "&amp;VLOOKUP($D$2, 'Reading Report Logic'!$A$2:$B$8, 2, FALSE)&amp;"]")), FALSE)="", "",
VLOOKUP($A574,YES_Reading_ELA[], COLUMN(INDIRECT("YES_Reading_ELA[Max Expectation - Per "&amp;VLOOKUP($D$2,'Reading Report Logic'!$A$2:$B$8,2,FALSE)&amp;"]")), FALSE)),
IF($J$2="FLA",
IF(VLOOKUP($A574, YES_Reading_FLA[], COLUMN(INDIRECT("YES_Reading_FLA[Max Expectation - Per "&amp;VLOOKUP($D$2,'Reading Report Logic'!$A$2:$B$8,2,FALSE)&amp;"]")),FALSE)="","",
VLOOKUP($A574,YES_Reading_FLA[],COLUMN(INDIRECT("YES_Reading_FLA[Max Expectation - Per "&amp;VLOOKUP($D$2,'Reading Report Logic'!$A$2:$B$8,2,FALSE)&amp;"]")),FALSE)),
IF($J$2="Combined",
IFERROR(
IF(VLOOKUP($A574, YES_Reading_ELA[], COLUMN(INDIRECT("YES_Reading_ELA[Max Expectation - Per "&amp;VLOOKUP($D$2, 'Reading Report Logic'!$A$2:$B$8,2,FALSE)&amp;"]")), FALSE)="", "",
VLOOKUP($A574,YES_Reading_ELA[],COLUMN(INDIRECT("YES_Reading_ELA[Max Expectation - Per "&amp;VLOOKUP($D$2,'Reading Report Logic'!$A$2:$B$8,2,FALSE)&amp;"]")),FALSE)),
IF(VLOOKUP($A574, YES_Reading_FLA[], COLUMN(INDIRECT("YES_Reading_FLA[Max Expectation - Per "&amp;VLOOKUP($D$2, 'Reading Report Logic'!$A$2:$B$8, 2, FALSE)&amp;"]")),FALSE)="", "", VLOOKUP($A574,YES_Reading_FLA[],COLUMN(INDIRECT("YES_Reading_FLA[Max Expectation - Per "&amp;VLOOKUP($D$2, 'Reading Report Logic'!$A$2:$B$8, 2, FALSE)&amp;"]")),FALSE))),""))),"")</f>
        <v/>
      </c>
      <c r="G574" s="205" t="str" cm="1">
        <f t="array" aca="1" ref="G574" ca="1">IFERROR(
IF($J$2="ELA",
IF(VLOOKUP($A574, YES_Reading_ELA[], COLUMN(INDIRECT("YES_Reading_ELA[Difference - Per "&amp;VLOOKUP($D$2, 'Reading Report Logic'!$A$2:$B$8, 2, FALSE)&amp;"]")), FALSE)="", "",
VLOOKUP($A574,YES_Reading_ELA[], COLUMN(INDIRECT("YES_Reading_ELA[Difference - Per "&amp;VLOOKUP($D$2,'Reading Report Logic'!$A$2:$B$8,2,FALSE)&amp;"]")), FALSE)),
IF($J$2="FLA",
IF(VLOOKUP($A574, YES_Reading_FLA[], COLUMN(INDIRECT("YES_Reading_FLA[Difference - Per "&amp;VLOOKUP($D$2,'Reading Report Logic'!$A$2:$B$8,2,FALSE)&amp;"]")),FALSE)="","",
VLOOKUP($A574,YES_Reading_FLA[],COLUMN(INDIRECT("YES_Reading_FLA[Difference - Per "&amp;VLOOKUP($D$2,'Reading Report Logic'!$A$2:$B$8,2,FALSE)&amp;"]")),FALSE)),
IF($J$2="Combined",
IFERROR(
IF(VLOOKUP($A574, YES_Reading_ELA[], COLUMN(INDIRECT("YES_Reading_ELA[Difference - Per "&amp;VLOOKUP($D$2, 'Reading Report Logic'!$A$2:$B$8,2,FALSE)&amp;"]")), FALSE)="", "",
VLOOKUP($A574,YES_Reading_ELA[],COLUMN(INDIRECT("YES_Reading_ELA[Difference - Per "&amp;VLOOKUP($D$2,'Reading Report Logic'!$A$2:$B$8,2,FALSE)&amp;"]")),FALSE)),
IF(VLOOKUP($A574, YES_Reading_FLA[], COLUMN(INDIRECT("YES_Reading_FLA[Difference - Per "&amp;VLOOKUP($D$2, 'Reading Report Logic'!$A$2:$B$8, 2, FALSE)&amp;"]")),FALSE)="", "", VLOOKUP($A574,YES_Reading_FLA[],COLUMN(INDIRECT("YES_Reading_FLA[Difference - Per "&amp;VLOOKUP($D$2, 'Reading Report Logic'!$A$2:$B$8, 2, FALSE)&amp;"]")),FALSE))),""))),"")</f>
        <v/>
      </c>
      <c r="H574" s="206" t="str">
        <f ca="1">IFERROR(VLOOKUP('Teacher Reading Pull Sheets'!$D574,_xlfn.VSTACK('ELA Reading Logic'!$A$22:$B$48,'FLA Reading Logic'!$A$22:$B$53),2,FALSE)-VLOOKUP('Teacher Reading Pull Sheets'!$C574,_xlfn.VSTACK('ELA Reading Logic'!$A$22:$B$48,'FLA Reading Logic'!$A$22:$B$53),2,FALSE),"")</f>
        <v/>
      </c>
      <c r="I574" s="212"/>
      <c r="J574" s="206"/>
      <c r="K574" s="197" t="str" cm="1">
        <f t="array" ref="K574">IFERROR(
IF($J$2="ELA",
IF(VLOOKUP($A574, YES_Reading_ELA[], COLUMN(YES_Reading_ELA[Self-Identified as African Descent]), FALSE)="", "",
VLOOKUP($A574,YES_Reading_ELA[], COLUMN(YES_Reading_ELA[Self-Identified as African Descent]), FALSE)),
IF($J$2="FLA",
IF(VLOOKUP($A574, YES_Reading_FLA[], COLUMN(YES_Reading_FLA[Self-Identified as African Descent]),FALSE)="","",
VLOOKUP($A574,YES_Reading_FLA[],COLUMN(YES_Reading_FLA[Self-Identified as African Descent]),FALSE)),
IF($J$2="Combined",
IFERROR(
IF(VLOOKUP($A574, YES_Reading_ELA[], COLUMN(YES_Reading_ELA[Self-Identified as African Descent]), FALSE)="", "",
VLOOKUP($A574,YES_Reading_ELA[],COLUMN(YES_Reading_ELA[Self-Identified as African Descent]),FALSE)),
IF(VLOOKUP($A574, YES_Reading_FLA[], COLUMN(YES_Reading_FLA[Self-Identified as African Descent]),FALSE)="", "", VLOOKUP($A574,YES_Reading_FLA[],COLUMN(YES_Reading_FLA[Self-Identified as African Descent]),FALSE))),""))),"")</f>
        <v/>
      </c>
      <c r="L574" s="73" t="str" cm="1">
        <f t="array" ref="L574">IFERROR(
IF($J$2="ELA",
IF(VLOOKUP($A574, YES_Reading_ELA[], COLUMN(YES_Reading_ELA[Self-Identified as Indigenous]), FALSE)="", "",
VLOOKUP($A574,YES_Reading_ELA[], COLUMN(YES_Reading_ELA[Self-Identified as Indigenous]), FALSE)),
IF($J$2="FLA",
IF(VLOOKUP($A574, YES_Reading_FLA[], COLUMN(YES_Reading_FLA[Self-Identified as Indigenous]),FALSE)="","",
VLOOKUP($A574,YES_Reading_FLA[],COLUMN(YES_Reading_FLA[Self-Identified as Indigenous]),FALSE)),
IF($J$2="Combined",
IFERROR(
IF(VLOOKUP($A574, YES_Reading_ELA[], COLUMN(YES_Reading_ELA[Self-Identified as Indigenous]), FALSE)="", "",
VLOOKUP($A574,YES_Reading_ELA[],COLUMN(YES_Reading_ELA[Self-Identified as Indigenous]),FALSE)),
IF(VLOOKUP($A574, YES_Reading_FLA[], COLUMN(YES_Reading_FLA[Self-Identified as Indigenous]),FALSE)="", "", VLOOKUP($A574,YES_Reading_FLA[],COLUMN(YES_Reading_FLA[Self-Identified as Indigenous]),FALSE))),""))),"")</f>
        <v/>
      </c>
    </row>
    <row r="575" spans="1:12" ht="19.5" customHeight="1" x14ac:dyDescent="0.25">
      <c r="A575" s="217"/>
      <c r="B575" s="220" t="str">
        <f>IFERROR(VLOOKUP(A575,_xlfn.VSTACK(YES_Reading_ELA[],YES_Reading_FLA[]),2,FALSE),"")</f>
        <v/>
      </c>
      <c r="C575" s="203" t="str" cm="1">
        <f t="array" aca="1" ref="C575" ca="1">IFERROR(
IF($J$2="ELA",
IF(VLOOKUP($A575, YES_Reading_ELA[], COLUMN(IF(VLOOKUP($D$2, 'Reading Report Logic'!$A$2:$B$8, 2, FALSE)=1, YES_Reading_ELA[Reading Level June of Previous School Year], INDIRECT("YES_Reading_ELA[Instructional Reading Level - Per "&amp;(VLOOKUP($D$2,'Reading Report Logic'!$A$2:$B$8,2,FALSE)-1)&amp;"]"))), FALSE)="", "",
VLOOKUP($A575,YES_Reading_ELA[], COLUMN(IF(VLOOKUP($D$2,'Reading Report Logic'!$A$2:$B$8,2,FALSE)=1, YES_Reading_ELA[Reading Level June of Previous School Year],INDIRECT("YES_Reading_ELA[Instructional Reading Level - Per "&amp;(VLOOKUP($D$2,'Reading Report Logic'!$A$2:$B$8,2,FALSE)-1)&amp;"]"))), FALSE)),
IF($J$2="FLA",
IF(VLOOKUP($A575, YES_Reading_FLA[], COLUMN(IF(VLOOKUP($D$2,'Reading Report Logic'!$A$2:$B$8,2,FALSE)=1, YES_Reading_FLA[Reading Level June of Previous School Year],INDIRECT("YES_Reading_FLA[Instructional Reading Level - Per "&amp;(VLOOKUP($D$2,'Reading Report Logic'!$A$2:$B$8,2,FALSE)-1)&amp;"]"))),FALSE)="","",
VLOOKUP($A575,YES_Reading_FLA[], COLUMN(IF(VLOOKUP($D$2,'Reading Report Logic'!$A$2:$B$8,2,FALSE)=1, YES_Reading_FLA[Reading Level June of Previous School Year],INDIRECT("YES_Reading_FLA[Instructional Reading Level - Per "&amp;(VLOOKUP($D$2,'Reading Report Logic'!$A$2:$B$8,2,FALSE)-1)&amp;"]"))),FALSE)),
IF($J$2="Combined",
IFERROR(
IF(VLOOKUP($A575, YES_Reading_ELA[], COLUMN(IF(VLOOKUP($D$2,'Reading Report Logic'!$A$2:$B$8,2,FALSE)=1, YES_Reading_ELA[Reading Level June of Previous School Year],INDIRECT("YES_Reading_ELA[Instructional Reading Level - Per "&amp;(VLOOKUP($D$2,'Reading Report Logic'!$A$2:$B$8,2,FALSE)-1)&amp;"]"))), FALSE)="", "",
VLOOKUP($A575,YES_Reading_ELA[],COLUMN(IF(VLOOKUP($D$2,'Reading Report Logic'!$A$2:$B$8,2,FALSE)=1, YES_Reading_ELA[Reading Level June of Previous School Year],INDIRECT("YES_Reading_ELA[Instructional Reading Level - Per "&amp;(VLOOKUP($D$2,'Reading Report Logic'!$A$2:$B$8,2,FALSE)-1)&amp;"]"))),FALSE)),
IF(VLOOKUP($A575, YES_Reading_FLA[], COLUMN(IF(VLOOKUP($D$2,'Reading Report Logic'!$A$2:$B$8,2,FALSE)=1, YES_Reading_FLA[Reading Level June of Previous School Year],INDIRECT("YES_Reading_FLA[Instructional Reading Level - Per "&amp;(VLOOKUP($D$2,'Reading Report Logic'!$A$2:$B$8,2,FALSE)-1)&amp;"]"))),FALSE)="", "", VLOOKUP($A575,YES_Reading_FLA[],COLUMN(IF(VLOOKUP($D$2,'Reading Report Logic'!$A$2:$B$8,2,FALSE)=1, YES_Reading_FLA[Reading Level June of Previous School Year],INDIRECT("YES_Reading_FLA[Instructional Reading Level - Per "&amp;(VLOOKUP($D$2,'Reading Report Logic'!$A$2:$B$8,2,FALSE)-1)&amp;"]"))), FALSE))),""))),"")</f>
        <v/>
      </c>
      <c r="D575" s="204" t="str" cm="1">
        <f t="array" aca="1" ref="D575" ca="1">IFERROR(
IF($J$2="ELA",
IF(VLOOKUP($A575, YES_Reading_ELA[], COLUMN(INDIRECT("YES_Reading_ELA[Instructional Reading Level - Per "&amp;VLOOKUP($D$2, 'Reading Report Logic'!$A$2:$B$8, 2, FALSE)&amp;"]")), FALSE)="", "",
VLOOKUP($A575,YES_Reading_ELA[], COLUMN(INDIRECT("YES_Reading_ELA[Instructional Reading Level - Per "&amp;VLOOKUP($D$2,'Reading Report Logic'!$A$2:$B$8,2,FALSE)&amp;"]")), FALSE)),
IF($J$2="FLA",
IF(VLOOKUP($A575, YES_Reading_FLA[], COLUMN(INDIRECT("YES_Reading_FLA[Instructional Reading Level - Per "&amp;VLOOKUP($D$2,'Reading Report Logic'!$A$2:$B$8,2,FALSE)&amp;"]")),FALSE)="","",
VLOOKUP($A575,YES_Reading_FLA[],COLUMN(INDIRECT("YES_Reading_FLA[Instructional Reading Level - Per "&amp;VLOOKUP($D$2,'Reading Report Logic'!$A$2:$B$8,2,FALSE)&amp;"]")),FALSE)),
IF($J$2="Combined",
IFERROR(
IF(VLOOKUP($A575, YES_Reading_ELA[], COLUMN(INDIRECT("YES_Reading_ELA[Instructional Reading Level - Per "&amp;VLOOKUP($D$2, 'Reading Report Logic'!$A$2:$B$8,2,FALSE)&amp;"]")), FALSE)="", "",
VLOOKUP($A575,YES_Reading_ELA[],COLUMN(INDIRECT("YES_Reading_ELA[Instructional Reading Level - Per "&amp;VLOOKUP($D$2,'Reading Report Logic'!$A$2:$B$8,2,FALSE)&amp;"]")),FALSE)),
IF(VLOOKUP($A575, YES_Reading_FLA[], COLUMN(INDIRECT("YES_Reading_FLA[Instructional Reading Level - Per "&amp;VLOOKUP($D$2, 'Reading Report Logic'!$A$2:$B$8, 2, FALSE)&amp;"]")),FALSE)="", "", VLOOKUP($A575,YES_Reading_FLA[],COLUMN(INDIRECT("YES_Reading_FLA[Instructional Reading Level - Per "&amp;VLOOKUP($D$2, 'Reading Report Logic'!$A$2:$B$8, 2, FALSE)&amp;"]")),FALSE))),""))),"")</f>
        <v/>
      </c>
      <c r="E575" s="205" t="str" cm="1">
        <f t="array" aca="1" ref="E575" ca="1">IFERROR(
IF($J$2="ELA",
IF(VLOOKUP($A575, YES_Reading_ELA[], COLUMN(INDIRECT("YES_Reading_ELA[Min Expectation - Per "&amp;VLOOKUP($D$2, 'Reading Report Logic'!$A$2:$B$8, 2, FALSE)&amp;"]")), FALSE)="", "",
VLOOKUP($A575,YES_Reading_ELA[], COLUMN(INDIRECT("YES_Reading_ELA[Min Expectation - Per "&amp;VLOOKUP($D$2,'Reading Report Logic'!$A$2:$B$8,2,FALSE)&amp;"]")), FALSE)),
IF($J$2="FLA",
IF(VLOOKUP($A575, YES_Reading_FLA[], COLUMN(INDIRECT("YES_Reading_FLA[Min Expectation - Per "&amp;VLOOKUP($D$2,'Reading Report Logic'!$A$2:$B$8,2,FALSE)&amp;"]")),FALSE)="","",
VLOOKUP($A575,YES_Reading_FLA[],COLUMN(INDIRECT("YES_Reading_FLA[Min Expectation - Per "&amp;VLOOKUP($D$2,'Reading Report Logic'!$A$2:$B$8,2,FALSE)&amp;"]")),FALSE)),
IF($J$2="Combined",
IFERROR(
IF(VLOOKUP($A575, YES_Reading_ELA[], COLUMN(INDIRECT("YES_Reading_ELA[Min Expectation - Per "&amp;VLOOKUP($D$2, 'Reading Report Logic'!$A$2:$B$8,2,FALSE)&amp;"]")), FALSE)="", "",
VLOOKUP($A575,YES_Reading_ELA[],COLUMN(INDIRECT("YES_Reading_ELA[Min Expectation - Per "&amp;VLOOKUP($D$2,'Reading Report Logic'!$A$2:$B$8,2,FALSE)&amp;"]")),FALSE)),
IF(VLOOKUP($A575, YES_Reading_FLA[], COLUMN(INDIRECT("YES_Reading_FLA[Min Expectation - Per "&amp;VLOOKUP($D$2, 'Reading Report Logic'!$A$2:$B$8, 2, FALSE)&amp;"]")),FALSE)="", "", VLOOKUP($A575,YES_Reading_FLA[],COLUMN(INDIRECT("YES_Reading_FLA[Min Expectation - Per "&amp;VLOOKUP($D$2, 'Reading Report Logic'!$A$2:$B$8, 2, FALSE)&amp;"]")),FALSE))),""))),"")</f>
        <v/>
      </c>
      <c r="F575" s="205" t="str" cm="1">
        <f t="array" aca="1" ref="F575" ca="1">IFERROR(
IF($J$2="ELA",
IF(VLOOKUP($A575, YES_Reading_ELA[], COLUMN(INDIRECT("YES_Reading_ELA[Max Expectation - Per "&amp;VLOOKUP($D$2, 'Reading Report Logic'!$A$2:$B$8, 2, FALSE)&amp;"]")), FALSE)="", "",
VLOOKUP($A575,YES_Reading_ELA[], COLUMN(INDIRECT("YES_Reading_ELA[Max Expectation - Per "&amp;VLOOKUP($D$2,'Reading Report Logic'!$A$2:$B$8,2,FALSE)&amp;"]")), FALSE)),
IF($J$2="FLA",
IF(VLOOKUP($A575, YES_Reading_FLA[], COLUMN(INDIRECT("YES_Reading_FLA[Max Expectation - Per "&amp;VLOOKUP($D$2,'Reading Report Logic'!$A$2:$B$8,2,FALSE)&amp;"]")),FALSE)="","",
VLOOKUP($A575,YES_Reading_FLA[],COLUMN(INDIRECT("YES_Reading_FLA[Max Expectation - Per "&amp;VLOOKUP($D$2,'Reading Report Logic'!$A$2:$B$8,2,FALSE)&amp;"]")),FALSE)),
IF($J$2="Combined",
IFERROR(
IF(VLOOKUP($A575, YES_Reading_ELA[], COLUMN(INDIRECT("YES_Reading_ELA[Max Expectation - Per "&amp;VLOOKUP($D$2, 'Reading Report Logic'!$A$2:$B$8,2,FALSE)&amp;"]")), FALSE)="", "",
VLOOKUP($A575,YES_Reading_ELA[],COLUMN(INDIRECT("YES_Reading_ELA[Max Expectation - Per "&amp;VLOOKUP($D$2,'Reading Report Logic'!$A$2:$B$8,2,FALSE)&amp;"]")),FALSE)),
IF(VLOOKUP($A575, YES_Reading_FLA[], COLUMN(INDIRECT("YES_Reading_FLA[Max Expectation - Per "&amp;VLOOKUP($D$2, 'Reading Report Logic'!$A$2:$B$8, 2, FALSE)&amp;"]")),FALSE)="", "", VLOOKUP($A575,YES_Reading_FLA[],COLUMN(INDIRECT("YES_Reading_FLA[Max Expectation - Per "&amp;VLOOKUP($D$2, 'Reading Report Logic'!$A$2:$B$8, 2, FALSE)&amp;"]")),FALSE))),""))),"")</f>
        <v/>
      </c>
      <c r="G575" s="205" t="str" cm="1">
        <f t="array" aca="1" ref="G575" ca="1">IFERROR(
IF($J$2="ELA",
IF(VLOOKUP($A575, YES_Reading_ELA[], COLUMN(INDIRECT("YES_Reading_ELA[Difference - Per "&amp;VLOOKUP($D$2, 'Reading Report Logic'!$A$2:$B$8, 2, FALSE)&amp;"]")), FALSE)="", "",
VLOOKUP($A575,YES_Reading_ELA[], COLUMN(INDIRECT("YES_Reading_ELA[Difference - Per "&amp;VLOOKUP($D$2,'Reading Report Logic'!$A$2:$B$8,2,FALSE)&amp;"]")), FALSE)),
IF($J$2="FLA",
IF(VLOOKUP($A575, YES_Reading_FLA[], COLUMN(INDIRECT("YES_Reading_FLA[Difference - Per "&amp;VLOOKUP($D$2,'Reading Report Logic'!$A$2:$B$8,2,FALSE)&amp;"]")),FALSE)="","",
VLOOKUP($A575,YES_Reading_FLA[],COLUMN(INDIRECT("YES_Reading_FLA[Difference - Per "&amp;VLOOKUP($D$2,'Reading Report Logic'!$A$2:$B$8,2,FALSE)&amp;"]")),FALSE)),
IF($J$2="Combined",
IFERROR(
IF(VLOOKUP($A575, YES_Reading_ELA[], COLUMN(INDIRECT("YES_Reading_ELA[Difference - Per "&amp;VLOOKUP($D$2, 'Reading Report Logic'!$A$2:$B$8,2,FALSE)&amp;"]")), FALSE)="", "",
VLOOKUP($A575,YES_Reading_ELA[],COLUMN(INDIRECT("YES_Reading_ELA[Difference - Per "&amp;VLOOKUP($D$2,'Reading Report Logic'!$A$2:$B$8,2,FALSE)&amp;"]")),FALSE)),
IF(VLOOKUP($A575, YES_Reading_FLA[], COLUMN(INDIRECT("YES_Reading_FLA[Difference - Per "&amp;VLOOKUP($D$2, 'Reading Report Logic'!$A$2:$B$8, 2, FALSE)&amp;"]")),FALSE)="", "", VLOOKUP($A575,YES_Reading_FLA[],COLUMN(INDIRECT("YES_Reading_FLA[Difference - Per "&amp;VLOOKUP($D$2, 'Reading Report Logic'!$A$2:$B$8, 2, FALSE)&amp;"]")),FALSE))),""))),"")</f>
        <v/>
      </c>
      <c r="H575" s="206" t="str">
        <f ca="1">IFERROR(VLOOKUP('Teacher Reading Pull Sheets'!$D575,_xlfn.VSTACK('ELA Reading Logic'!$A$22:$B$48,'FLA Reading Logic'!$A$22:$B$53),2,FALSE)-VLOOKUP('Teacher Reading Pull Sheets'!$C575,_xlfn.VSTACK('ELA Reading Logic'!$A$22:$B$48,'FLA Reading Logic'!$A$22:$B$53),2,FALSE),"")</f>
        <v/>
      </c>
      <c r="I575" s="212"/>
      <c r="J575" s="206"/>
      <c r="K575" s="197" t="str" cm="1">
        <f t="array" ref="K575">IFERROR(
IF($J$2="ELA",
IF(VLOOKUP($A575, YES_Reading_ELA[], COLUMN(YES_Reading_ELA[Self-Identified as African Descent]), FALSE)="", "",
VLOOKUP($A575,YES_Reading_ELA[], COLUMN(YES_Reading_ELA[Self-Identified as African Descent]), FALSE)),
IF($J$2="FLA",
IF(VLOOKUP($A575, YES_Reading_FLA[], COLUMN(YES_Reading_FLA[Self-Identified as African Descent]),FALSE)="","",
VLOOKUP($A575,YES_Reading_FLA[],COLUMN(YES_Reading_FLA[Self-Identified as African Descent]),FALSE)),
IF($J$2="Combined",
IFERROR(
IF(VLOOKUP($A575, YES_Reading_ELA[], COLUMN(YES_Reading_ELA[Self-Identified as African Descent]), FALSE)="", "",
VLOOKUP($A575,YES_Reading_ELA[],COLUMN(YES_Reading_ELA[Self-Identified as African Descent]),FALSE)),
IF(VLOOKUP($A575, YES_Reading_FLA[], COLUMN(YES_Reading_FLA[Self-Identified as African Descent]),FALSE)="", "", VLOOKUP($A575,YES_Reading_FLA[],COLUMN(YES_Reading_FLA[Self-Identified as African Descent]),FALSE))),""))),"")</f>
        <v/>
      </c>
      <c r="L575" s="73" t="str" cm="1">
        <f t="array" ref="L575">IFERROR(
IF($J$2="ELA",
IF(VLOOKUP($A575, YES_Reading_ELA[], COLUMN(YES_Reading_ELA[Self-Identified as Indigenous]), FALSE)="", "",
VLOOKUP($A575,YES_Reading_ELA[], COLUMN(YES_Reading_ELA[Self-Identified as Indigenous]), FALSE)),
IF($J$2="FLA",
IF(VLOOKUP($A575, YES_Reading_FLA[], COLUMN(YES_Reading_FLA[Self-Identified as Indigenous]),FALSE)="","",
VLOOKUP($A575,YES_Reading_FLA[],COLUMN(YES_Reading_FLA[Self-Identified as Indigenous]),FALSE)),
IF($J$2="Combined",
IFERROR(
IF(VLOOKUP($A575, YES_Reading_ELA[], COLUMN(YES_Reading_ELA[Self-Identified as Indigenous]), FALSE)="", "",
VLOOKUP($A575,YES_Reading_ELA[],COLUMN(YES_Reading_ELA[Self-Identified as Indigenous]),FALSE)),
IF(VLOOKUP($A575, YES_Reading_FLA[], COLUMN(YES_Reading_FLA[Self-Identified as Indigenous]),FALSE)="", "", VLOOKUP($A575,YES_Reading_FLA[],COLUMN(YES_Reading_FLA[Self-Identified as Indigenous]),FALSE))),""))),"")</f>
        <v/>
      </c>
    </row>
    <row r="576" spans="1:12" ht="19.5" customHeight="1" x14ac:dyDescent="0.25">
      <c r="A576" s="217"/>
      <c r="B576" s="220" t="str">
        <f>IFERROR(VLOOKUP(A576,_xlfn.VSTACK(YES_Reading_ELA[],YES_Reading_FLA[]),2,FALSE),"")</f>
        <v/>
      </c>
      <c r="C576" s="203" t="str" cm="1">
        <f t="array" aca="1" ref="C576" ca="1">IFERROR(
IF($J$2="ELA",
IF(VLOOKUP($A576, YES_Reading_ELA[], COLUMN(IF(VLOOKUP($D$2, 'Reading Report Logic'!$A$2:$B$8, 2, FALSE)=1, YES_Reading_ELA[Reading Level June of Previous School Year], INDIRECT("YES_Reading_ELA[Instructional Reading Level - Per "&amp;(VLOOKUP($D$2,'Reading Report Logic'!$A$2:$B$8,2,FALSE)-1)&amp;"]"))), FALSE)="", "",
VLOOKUP($A576,YES_Reading_ELA[], COLUMN(IF(VLOOKUP($D$2,'Reading Report Logic'!$A$2:$B$8,2,FALSE)=1, YES_Reading_ELA[Reading Level June of Previous School Year],INDIRECT("YES_Reading_ELA[Instructional Reading Level - Per "&amp;(VLOOKUP($D$2,'Reading Report Logic'!$A$2:$B$8,2,FALSE)-1)&amp;"]"))), FALSE)),
IF($J$2="FLA",
IF(VLOOKUP($A576, YES_Reading_FLA[], COLUMN(IF(VLOOKUP($D$2,'Reading Report Logic'!$A$2:$B$8,2,FALSE)=1, YES_Reading_FLA[Reading Level June of Previous School Year],INDIRECT("YES_Reading_FLA[Instructional Reading Level - Per "&amp;(VLOOKUP($D$2,'Reading Report Logic'!$A$2:$B$8,2,FALSE)-1)&amp;"]"))),FALSE)="","",
VLOOKUP($A576,YES_Reading_FLA[], COLUMN(IF(VLOOKUP($D$2,'Reading Report Logic'!$A$2:$B$8,2,FALSE)=1, YES_Reading_FLA[Reading Level June of Previous School Year],INDIRECT("YES_Reading_FLA[Instructional Reading Level - Per "&amp;(VLOOKUP($D$2,'Reading Report Logic'!$A$2:$B$8,2,FALSE)-1)&amp;"]"))),FALSE)),
IF($J$2="Combined",
IFERROR(
IF(VLOOKUP($A576, YES_Reading_ELA[], COLUMN(IF(VLOOKUP($D$2,'Reading Report Logic'!$A$2:$B$8,2,FALSE)=1, YES_Reading_ELA[Reading Level June of Previous School Year],INDIRECT("YES_Reading_ELA[Instructional Reading Level - Per "&amp;(VLOOKUP($D$2,'Reading Report Logic'!$A$2:$B$8,2,FALSE)-1)&amp;"]"))), FALSE)="", "",
VLOOKUP($A576,YES_Reading_ELA[],COLUMN(IF(VLOOKUP($D$2,'Reading Report Logic'!$A$2:$B$8,2,FALSE)=1, YES_Reading_ELA[Reading Level June of Previous School Year],INDIRECT("YES_Reading_ELA[Instructional Reading Level - Per "&amp;(VLOOKUP($D$2,'Reading Report Logic'!$A$2:$B$8,2,FALSE)-1)&amp;"]"))),FALSE)),
IF(VLOOKUP($A576, YES_Reading_FLA[], COLUMN(IF(VLOOKUP($D$2,'Reading Report Logic'!$A$2:$B$8,2,FALSE)=1, YES_Reading_FLA[Reading Level June of Previous School Year],INDIRECT("YES_Reading_FLA[Instructional Reading Level - Per "&amp;(VLOOKUP($D$2,'Reading Report Logic'!$A$2:$B$8,2,FALSE)-1)&amp;"]"))),FALSE)="", "", VLOOKUP($A576,YES_Reading_FLA[],COLUMN(IF(VLOOKUP($D$2,'Reading Report Logic'!$A$2:$B$8,2,FALSE)=1, YES_Reading_FLA[Reading Level June of Previous School Year],INDIRECT("YES_Reading_FLA[Instructional Reading Level - Per "&amp;(VLOOKUP($D$2,'Reading Report Logic'!$A$2:$B$8,2,FALSE)-1)&amp;"]"))), FALSE))),""))),"")</f>
        <v/>
      </c>
      <c r="D576" s="204" t="str" cm="1">
        <f t="array" aca="1" ref="D576" ca="1">IFERROR(
IF($J$2="ELA",
IF(VLOOKUP($A576, YES_Reading_ELA[], COLUMN(INDIRECT("YES_Reading_ELA[Instructional Reading Level - Per "&amp;VLOOKUP($D$2, 'Reading Report Logic'!$A$2:$B$8, 2, FALSE)&amp;"]")), FALSE)="", "",
VLOOKUP($A576,YES_Reading_ELA[], COLUMN(INDIRECT("YES_Reading_ELA[Instructional Reading Level - Per "&amp;VLOOKUP($D$2,'Reading Report Logic'!$A$2:$B$8,2,FALSE)&amp;"]")), FALSE)),
IF($J$2="FLA",
IF(VLOOKUP($A576, YES_Reading_FLA[], COLUMN(INDIRECT("YES_Reading_FLA[Instructional Reading Level - Per "&amp;VLOOKUP($D$2,'Reading Report Logic'!$A$2:$B$8,2,FALSE)&amp;"]")),FALSE)="","",
VLOOKUP($A576,YES_Reading_FLA[],COLUMN(INDIRECT("YES_Reading_FLA[Instructional Reading Level - Per "&amp;VLOOKUP($D$2,'Reading Report Logic'!$A$2:$B$8,2,FALSE)&amp;"]")),FALSE)),
IF($J$2="Combined",
IFERROR(
IF(VLOOKUP($A576, YES_Reading_ELA[], COLUMN(INDIRECT("YES_Reading_ELA[Instructional Reading Level - Per "&amp;VLOOKUP($D$2, 'Reading Report Logic'!$A$2:$B$8,2,FALSE)&amp;"]")), FALSE)="", "",
VLOOKUP($A576,YES_Reading_ELA[],COLUMN(INDIRECT("YES_Reading_ELA[Instructional Reading Level - Per "&amp;VLOOKUP($D$2,'Reading Report Logic'!$A$2:$B$8,2,FALSE)&amp;"]")),FALSE)),
IF(VLOOKUP($A576, YES_Reading_FLA[], COLUMN(INDIRECT("YES_Reading_FLA[Instructional Reading Level - Per "&amp;VLOOKUP($D$2, 'Reading Report Logic'!$A$2:$B$8, 2, FALSE)&amp;"]")),FALSE)="", "", VLOOKUP($A576,YES_Reading_FLA[],COLUMN(INDIRECT("YES_Reading_FLA[Instructional Reading Level - Per "&amp;VLOOKUP($D$2, 'Reading Report Logic'!$A$2:$B$8, 2, FALSE)&amp;"]")),FALSE))),""))),"")</f>
        <v/>
      </c>
      <c r="E576" s="205" t="str" cm="1">
        <f t="array" aca="1" ref="E576" ca="1">IFERROR(
IF($J$2="ELA",
IF(VLOOKUP($A576, YES_Reading_ELA[], COLUMN(INDIRECT("YES_Reading_ELA[Min Expectation - Per "&amp;VLOOKUP($D$2, 'Reading Report Logic'!$A$2:$B$8, 2, FALSE)&amp;"]")), FALSE)="", "",
VLOOKUP($A576,YES_Reading_ELA[], COLUMN(INDIRECT("YES_Reading_ELA[Min Expectation - Per "&amp;VLOOKUP($D$2,'Reading Report Logic'!$A$2:$B$8,2,FALSE)&amp;"]")), FALSE)),
IF($J$2="FLA",
IF(VLOOKUP($A576, YES_Reading_FLA[], COLUMN(INDIRECT("YES_Reading_FLA[Min Expectation - Per "&amp;VLOOKUP($D$2,'Reading Report Logic'!$A$2:$B$8,2,FALSE)&amp;"]")),FALSE)="","",
VLOOKUP($A576,YES_Reading_FLA[],COLUMN(INDIRECT("YES_Reading_FLA[Min Expectation - Per "&amp;VLOOKUP($D$2,'Reading Report Logic'!$A$2:$B$8,2,FALSE)&amp;"]")),FALSE)),
IF($J$2="Combined",
IFERROR(
IF(VLOOKUP($A576, YES_Reading_ELA[], COLUMN(INDIRECT("YES_Reading_ELA[Min Expectation - Per "&amp;VLOOKUP($D$2, 'Reading Report Logic'!$A$2:$B$8,2,FALSE)&amp;"]")), FALSE)="", "",
VLOOKUP($A576,YES_Reading_ELA[],COLUMN(INDIRECT("YES_Reading_ELA[Min Expectation - Per "&amp;VLOOKUP($D$2,'Reading Report Logic'!$A$2:$B$8,2,FALSE)&amp;"]")),FALSE)),
IF(VLOOKUP($A576, YES_Reading_FLA[], COLUMN(INDIRECT("YES_Reading_FLA[Min Expectation - Per "&amp;VLOOKUP($D$2, 'Reading Report Logic'!$A$2:$B$8, 2, FALSE)&amp;"]")),FALSE)="", "", VLOOKUP($A576,YES_Reading_FLA[],COLUMN(INDIRECT("YES_Reading_FLA[Min Expectation - Per "&amp;VLOOKUP($D$2, 'Reading Report Logic'!$A$2:$B$8, 2, FALSE)&amp;"]")),FALSE))),""))),"")</f>
        <v/>
      </c>
      <c r="F576" s="205" t="str" cm="1">
        <f t="array" aca="1" ref="F576" ca="1">IFERROR(
IF($J$2="ELA",
IF(VLOOKUP($A576, YES_Reading_ELA[], COLUMN(INDIRECT("YES_Reading_ELA[Max Expectation - Per "&amp;VLOOKUP($D$2, 'Reading Report Logic'!$A$2:$B$8, 2, FALSE)&amp;"]")), FALSE)="", "",
VLOOKUP($A576,YES_Reading_ELA[], COLUMN(INDIRECT("YES_Reading_ELA[Max Expectation - Per "&amp;VLOOKUP($D$2,'Reading Report Logic'!$A$2:$B$8,2,FALSE)&amp;"]")), FALSE)),
IF($J$2="FLA",
IF(VLOOKUP($A576, YES_Reading_FLA[], COLUMN(INDIRECT("YES_Reading_FLA[Max Expectation - Per "&amp;VLOOKUP($D$2,'Reading Report Logic'!$A$2:$B$8,2,FALSE)&amp;"]")),FALSE)="","",
VLOOKUP($A576,YES_Reading_FLA[],COLUMN(INDIRECT("YES_Reading_FLA[Max Expectation - Per "&amp;VLOOKUP($D$2,'Reading Report Logic'!$A$2:$B$8,2,FALSE)&amp;"]")),FALSE)),
IF($J$2="Combined",
IFERROR(
IF(VLOOKUP($A576, YES_Reading_ELA[], COLUMN(INDIRECT("YES_Reading_ELA[Max Expectation - Per "&amp;VLOOKUP($D$2, 'Reading Report Logic'!$A$2:$B$8,2,FALSE)&amp;"]")), FALSE)="", "",
VLOOKUP($A576,YES_Reading_ELA[],COLUMN(INDIRECT("YES_Reading_ELA[Max Expectation - Per "&amp;VLOOKUP($D$2,'Reading Report Logic'!$A$2:$B$8,2,FALSE)&amp;"]")),FALSE)),
IF(VLOOKUP($A576, YES_Reading_FLA[], COLUMN(INDIRECT("YES_Reading_FLA[Max Expectation - Per "&amp;VLOOKUP($D$2, 'Reading Report Logic'!$A$2:$B$8, 2, FALSE)&amp;"]")),FALSE)="", "", VLOOKUP($A576,YES_Reading_FLA[],COLUMN(INDIRECT("YES_Reading_FLA[Max Expectation - Per "&amp;VLOOKUP($D$2, 'Reading Report Logic'!$A$2:$B$8, 2, FALSE)&amp;"]")),FALSE))),""))),"")</f>
        <v/>
      </c>
      <c r="G576" s="205" t="str" cm="1">
        <f t="array" aca="1" ref="G576" ca="1">IFERROR(
IF($J$2="ELA",
IF(VLOOKUP($A576, YES_Reading_ELA[], COLUMN(INDIRECT("YES_Reading_ELA[Difference - Per "&amp;VLOOKUP($D$2, 'Reading Report Logic'!$A$2:$B$8, 2, FALSE)&amp;"]")), FALSE)="", "",
VLOOKUP($A576,YES_Reading_ELA[], COLUMN(INDIRECT("YES_Reading_ELA[Difference - Per "&amp;VLOOKUP($D$2,'Reading Report Logic'!$A$2:$B$8,2,FALSE)&amp;"]")), FALSE)),
IF($J$2="FLA",
IF(VLOOKUP($A576, YES_Reading_FLA[], COLUMN(INDIRECT("YES_Reading_FLA[Difference - Per "&amp;VLOOKUP($D$2,'Reading Report Logic'!$A$2:$B$8,2,FALSE)&amp;"]")),FALSE)="","",
VLOOKUP($A576,YES_Reading_FLA[],COLUMN(INDIRECT("YES_Reading_FLA[Difference - Per "&amp;VLOOKUP($D$2,'Reading Report Logic'!$A$2:$B$8,2,FALSE)&amp;"]")),FALSE)),
IF($J$2="Combined",
IFERROR(
IF(VLOOKUP($A576, YES_Reading_ELA[], COLUMN(INDIRECT("YES_Reading_ELA[Difference - Per "&amp;VLOOKUP($D$2, 'Reading Report Logic'!$A$2:$B$8,2,FALSE)&amp;"]")), FALSE)="", "",
VLOOKUP($A576,YES_Reading_ELA[],COLUMN(INDIRECT("YES_Reading_ELA[Difference - Per "&amp;VLOOKUP($D$2,'Reading Report Logic'!$A$2:$B$8,2,FALSE)&amp;"]")),FALSE)),
IF(VLOOKUP($A576, YES_Reading_FLA[], COLUMN(INDIRECT("YES_Reading_FLA[Difference - Per "&amp;VLOOKUP($D$2, 'Reading Report Logic'!$A$2:$B$8, 2, FALSE)&amp;"]")),FALSE)="", "", VLOOKUP($A576,YES_Reading_FLA[],COLUMN(INDIRECT("YES_Reading_FLA[Difference - Per "&amp;VLOOKUP($D$2, 'Reading Report Logic'!$A$2:$B$8, 2, FALSE)&amp;"]")),FALSE))),""))),"")</f>
        <v/>
      </c>
      <c r="H576" s="206" t="str">
        <f ca="1">IFERROR(VLOOKUP('Teacher Reading Pull Sheets'!$D576,_xlfn.VSTACK('ELA Reading Logic'!$A$22:$B$48,'FLA Reading Logic'!$A$22:$B$53),2,FALSE)-VLOOKUP('Teacher Reading Pull Sheets'!$C576,_xlfn.VSTACK('ELA Reading Logic'!$A$22:$B$48,'FLA Reading Logic'!$A$22:$B$53),2,FALSE),"")</f>
        <v/>
      </c>
      <c r="I576" s="212"/>
      <c r="J576" s="206"/>
      <c r="K576" s="197" t="str" cm="1">
        <f t="array" ref="K576">IFERROR(
IF($J$2="ELA",
IF(VLOOKUP($A576, YES_Reading_ELA[], COLUMN(YES_Reading_ELA[Self-Identified as African Descent]), FALSE)="", "",
VLOOKUP($A576,YES_Reading_ELA[], COLUMN(YES_Reading_ELA[Self-Identified as African Descent]), FALSE)),
IF($J$2="FLA",
IF(VLOOKUP($A576, YES_Reading_FLA[], COLUMN(YES_Reading_FLA[Self-Identified as African Descent]),FALSE)="","",
VLOOKUP($A576,YES_Reading_FLA[],COLUMN(YES_Reading_FLA[Self-Identified as African Descent]),FALSE)),
IF($J$2="Combined",
IFERROR(
IF(VLOOKUP($A576, YES_Reading_ELA[], COLUMN(YES_Reading_ELA[Self-Identified as African Descent]), FALSE)="", "",
VLOOKUP($A576,YES_Reading_ELA[],COLUMN(YES_Reading_ELA[Self-Identified as African Descent]),FALSE)),
IF(VLOOKUP($A576, YES_Reading_FLA[], COLUMN(YES_Reading_FLA[Self-Identified as African Descent]),FALSE)="", "", VLOOKUP($A576,YES_Reading_FLA[],COLUMN(YES_Reading_FLA[Self-Identified as African Descent]),FALSE))),""))),"")</f>
        <v/>
      </c>
      <c r="L576" s="73" t="str" cm="1">
        <f t="array" ref="L576">IFERROR(
IF($J$2="ELA",
IF(VLOOKUP($A576, YES_Reading_ELA[], COLUMN(YES_Reading_ELA[Self-Identified as Indigenous]), FALSE)="", "",
VLOOKUP($A576,YES_Reading_ELA[], COLUMN(YES_Reading_ELA[Self-Identified as Indigenous]), FALSE)),
IF($J$2="FLA",
IF(VLOOKUP($A576, YES_Reading_FLA[], COLUMN(YES_Reading_FLA[Self-Identified as Indigenous]),FALSE)="","",
VLOOKUP($A576,YES_Reading_FLA[],COLUMN(YES_Reading_FLA[Self-Identified as Indigenous]),FALSE)),
IF($J$2="Combined",
IFERROR(
IF(VLOOKUP($A576, YES_Reading_ELA[], COLUMN(YES_Reading_ELA[Self-Identified as Indigenous]), FALSE)="", "",
VLOOKUP($A576,YES_Reading_ELA[],COLUMN(YES_Reading_ELA[Self-Identified as Indigenous]),FALSE)),
IF(VLOOKUP($A576, YES_Reading_FLA[], COLUMN(YES_Reading_FLA[Self-Identified as Indigenous]),FALSE)="", "", VLOOKUP($A576,YES_Reading_FLA[],COLUMN(YES_Reading_FLA[Self-Identified as Indigenous]),FALSE))),""))),"")</f>
        <v/>
      </c>
    </row>
    <row r="577" spans="1:12" ht="19.5" customHeight="1" x14ac:dyDescent="0.25">
      <c r="A577" s="217"/>
      <c r="B577" s="220" t="str">
        <f>IFERROR(VLOOKUP(A577,_xlfn.VSTACK(YES_Reading_ELA[],YES_Reading_FLA[]),2,FALSE),"")</f>
        <v/>
      </c>
      <c r="C577" s="203" t="str" cm="1">
        <f t="array" aca="1" ref="C577" ca="1">IFERROR(
IF($J$2="ELA",
IF(VLOOKUP($A577, YES_Reading_ELA[], COLUMN(IF(VLOOKUP($D$2, 'Reading Report Logic'!$A$2:$B$8, 2, FALSE)=1, YES_Reading_ELA[Reading Level June of Previous School Year], INDIRECT("YES_Reading_ELA[Instructional Reading Level - Per "&amp;(VLOOKUP($D$2,'Reading Report Logic'!$A$2:$B$8,2,FALSE)-1)&amp;"]"))), FALSE)="", "",
VLOOKUP($A577,YES_Reading_ELA[], COLUMN(IF(VLOOKUP($D$2,'Reading Report Logic'!$A$2:$B$8,2,FALSE)=1, YES_Reading_ELA[Reading Level June of Previous School Year],INDIRECT("YES_Reading_ELA[Instructional Reading Level - Per "&amp;(VLOOKUP($D$2,'Reading Report Logic'!$A$2:$B$8,2,FALSE)-1)&amp;"]"))), FALSE)),
IF($J$2="FLA",
IF(VLOOKUP($A577, YES_Reading_FLA[], COLUMN(IF(VLOOKUP($D$2,'Reading Report Logic'!$A$2:$B$8,2,FALSE)=1, YES_Reading_FLA[Reading Level June of Previous School Year],INDIRECT("YES_Reading_FLA[Instructional Reading Level - Per "&amp;(VLOOKUP($D$2,'Reading Report Logic'!$A$2:$B$8,2,FALSE)-1)&amp;"]"))),FALSE)="","",
VLOOKUP($A577,YES_Reading_FLA[], COLUMN(IF(VLOOKUP($D$2,'Reading Report Logic'!$A$2:$B$8,2,FALSE)=1, YES_Reading_FLA[Reading Level June of Previous School Year],INDIRECT("YES_Reading_FLA[Instructional Reading Level - Per "&amp;(VLOOKUP($D$2,'Reading Report Logic'!$A$2:$B$8,2,FALSE)-1)&amp;"]"))),FALSE)),
IF($J$2="Combined",
IFERROR(
IF(VLOOKUP($A577, YES_Reading_ELA[], COLUMN(IF(VLOOKUP($D$2,'Reading Report Logic'!$A$2:$B$8,2,FALSE)=1, YES_Reading_ELA[Reading Level June of Previous School Year],INDIRECT("YES_Reading_ELA[Instructional Reading Level - Per "&amp;(VLOOKUP($D$2,'Reading Report Logic'!$A$2:$B$8,2,FALSE)-1)&amp;"]"))), FALSE)="", "",
VLOOKUP($A577,YES_Reading_ELA[],COLUMN(IF(VLOOKUP($D$2,'Reading Report Logic'!$A$2:$B$8,2,FALSE)=1, YES_Reading_ELA[Reading Level June of Previous School Year],INDIRECT("YES_Reading_ELA[Instructional Reading Level - Per "&amp;(VLOOKUP($D$2,'Reading Report Logic'!$A$2:$B$8,2,FALSE)-1)&amp;"]"))),FALSE)),
IF(VLOOKUP($A577, YES_Reading_FLA[], COLUMN(IF(VLOOKUP($D$2,'Reading Report Logic'!$A$2:$B$8,2,FALSE)=1, YES_Reading_FLA[Reading Level June of Previous School Year],INDIRECT("YES_Reading_FLA[Instructional Reading Level - Per "&amp;(VLOOKUP($D$2,'Reading Report Logic'!$A$2:$B$8,2,FALSE)-1)&amp;"]"))),FALSE)="", "", VLOOKUP($A577,YES_Reading_FLA[],COLUMN(IF(VLOOKUP($D$2,'Reading Report Logic'!$A$2:$B$8,2,FALSE)=1, YES_Reading_FLA[Reading Level June of Previous School Year],INDIRECT("YES_Reading_FLA[Instructional Reading Level - Per "&amp;(VLOOKUP($D$2,'Reading Report Logic'!$A$2:$B$8,2,FALSE)-1)&amp;"]"))), FALSE))),""))),"")</f>
        <v/>
      </c>
      <c r="D577" s="204" t="str" cm="1">
        <f t="array" aca="1" ref="D577" ca="1">IFERROR(
IF($J$2="ELA",
IF(VLOOKUP($A577, YES_Reading_ELA[], COLUMN(INDIRECT("YES_Reading_ELA[Instructional Reading Level - Per "&amp;VLOOKUP($D$2, 'Reading Report Logic'!$A$2:$B$8, 2, FALSE)&amp;"]")), FALSE)="", "",
VLOOKUP($A577,YES_Reading_ELA[], COLUMN(INDIRECT("YES_Reading_ELA[Instructional Reading Level - Per "&amp;VLOOKUP($D$2,'Reading Report Logic'!$A$2:$B$8,2,FALSE)&amp;"]")), FALSE)),
IF($J$2="FLA",
IF(VLOOKUP($A577, YES_Reading_FLA[], COLUMN(INDIRECT("YES_Reading_FLA[Instructional Reading Level - Per "&amp;VLOOKUP($D$2,'Reading Report Logic'!$A$2:$B$8,2,FALSE)&amp;"]")),FALSE)="","",
VLOOKUP($A577,YES_Reading_FLA[],COLUMN(INDIRECT("YES_Reading_FLA[Instructional Reading Level - Per "&amp;VLOOKUP($D$2,'Reading Report Logic'!$A$2:$B$8,2,FALSE)&amp;"]")),FALSE)),
IF($J$2="Combined",
IFERROR(
IF(VLOOKUP($A577, YES_Reading_ELA[], COLUMN(INDIRECT("YES_Reading_ELA[Instructional Reading Level - Per "&amp;VLOOKUP($D$2, 'Reading Report Logic'!$A$2:$B$8,2,FALSE)&amp;"]")), FALSE)="", "",
VLOOKUP($A577,YES_Reading_ELA[],COLUMN(INDIRECT("YES_Reading_ELA[Instructional Reading Level - Per "&amp;VLOOKUP($D$2,'Reading Report Logic'!$A$2:$B$8,2,FALSE)&amp;"]")),FALSE)),
IF(VLOOKUP($A577, YES_Reading_FLA[], COLUMN(INDIRECT("YES_Reading_FLA[Instructional Reading Level - Per "&amp;VLOOKUP($D$2, 'Reading Report Logic'!$A$2:$B$8, 2, FALSE)&amp;"]")),FALSE)="", "", VLOOKUP($A577,YES_Reading_FLA[],COLUMN(INDIRECT("YES_Reading_FLA[Instructional Reading Level - Per "&amp;VLOOKUP($D$2, 'Reading Report Logic'!$A$2:$B$8, 2, FALSE)&amp;"]")),FALSE))),""))),"")</f>
        <v/>
      </c>
      <c r="E577" s="205" t="str" cm="1">
        <f t="array" aca="1" ref="E577" ca="1">IFERROR(
IF($J$2="ELA",
IF(VLOOKUP($A577, YES_Reading_ELA[], COLUMN(INDIRECT("YES_Reading_ELA[Min Expectation - Per "&amp;VLOOKUP($D$2, 'Reading Report Logic'!$A$2:$B$8, 2, FALSE)&amp;"]")), FALSE)="", "",
VLOOKUP($A577,YES_Reading_ELA[], COLUMN(INDIRECT("YES_Reading_ELA[Min Expectation - Per "&amp;VLOOKUP($D$2,'Reading Report Logic'!$A$2:$B$8,2,FALSE)&amp;"]")), FALSE)),
IF($J$2="FLA",
IF(VLOOKUP($A577, YES_Reading_FLA[], COLUMN(INDIRECT("YES_Reading_FLA[Min Expectation - Per "&amp;VLOOKUP($D$2,'Reading Report Logic'!$A$2:$B$8,2,FALSE)&amp;"]")),FALSE)="","",
VLOOKUP($A577,YES_Reading_FLA[],COLUMN(INDIRECT("YES_Reading_FLA[Min Expectation - Per "&amp;VLOOKUP($D$2,'Reading Report Logic'!$A$2:$B$8,2,FALSE)&amp;"]")),FALSE)),
IF($J$2="Combined",
IFERROR(
IF(VLOOKUP($A577, YES_Reading_ELA[], COLUMN(INDIRECT("YES_Reading_ELA[Min Expectation - Per "&amp;VLOOKUP($D$2, 'Reading Report Logic'!$A$2:$B$8,2,FALSE)&amp;"]")), FALSE)="", "",
VLOOKUP($A577,YES_Reading_ELA[],COLUMN(INDIRECT("YES_Reading_ELA[Min Expectation - Per "&amp;VLOOKUP($D$2,'Reading Report Logic'!$A$2:$B$8,2,FALSE)&amp;"]")),FALSE)),
IF(VLOOKUP($A577, YES_Reading_FLA[], COLUMN(INDIRECT("YES_Reading_FLA[Min Expectation - Per "&amp;VLOOKUP($D$2, 'Reading Report Logic'!$A$2:$B$8, 2, FALSE)&amp;"]")),FALSE)="", "", VLOOKUP($A577,YES_Reading_FLA[],COLUMN(INDIRECT("YES_Reading_FLA[Min Expectation - Per "&amp;VLOOKUP($D$2, 'Reading Report Logic'!$A$2:$B$8, 2, FALSE)&amp;"]")),FALSE))),""))),"")</f>
        <v/>
      </c>
      <c r="F577" s="205" t="str" cm="1">
        <f t="array" aca="1" ref="F577" ca="1">IFERROR(
IF($J$2="ELA",
IF(VLOOKUP($A577, YES_Reading_ELA[], COLUMN(INDIRECT("YES_Reading_ELA[Max Expectation - Per "&amp;VLOOKUP($D$2, 'Reading Report Logic'!$A$2:$B$8, 2, FALSE)&amp;"]")), FALSE)="", "",
VLOOKUP($A577,YES_Reading_ELA[], COLUMN(INDIRECT("YES_Reading_ELA[Max Expectation - Per "&amp;VLOOKUP($D$2,'Reading Report Logic'!$A$2:$B$8,2,FALSE)&amp;"]")), FALSE)),
IF($J$2="FLA",
IF(VLOOKUP($A577, YES_Reading_FLA[], COLUMN(INDIRECT("YES_Reading_FLA[Max Expectation - Per "&amp;VLOOKUP($D$2,'Reading Report Logic'!$A$2:$B$8,2,FALSE)&amp;"]")),FALSE)="","",
VLOOKUP($A577,YES_Reading_FLA[],COLUMN(INDIRECT("YES_Reading_FLA[Max Expectation - Per "&amp;VLOOKUP($D$2,'Reading Report Logic'!$A$2:$B$8,2,FALSE)&amp;"]")),FALSE)),
IF($J$2="Combined",
IFERROR(
IF(VLOOKUP($A577, YES_Reading_ELA[], COLUMN(INDIRECT("YES_Reading_ELA[Max Expectation - Per "&amp;VLOOKUP($D$2, 'Reading Report Logic'!$A$2:$B$8,2,FALSE)&amp;"]")), FALSE)="", "",
VLOOKUP($A577,YES_Reading_ELA[],COLUMN(INDIRECT("YES_Reading_ELA[Max Expectation - Per "&amp;VLOOKUP($D$2,'Reading Report Logic'!$A$2:$B$8,2,FALSE)&amp;"]")),FALSE)),
IF(VLOOKUP($A577, YES_Reading_FLA[], COLUMN(INDIRECT("YES_Reading_FLA[Max Expectation - Per "&amp;VLOOKUP($D$2, 'Reading Report Logic'!$A$2:$B$8, 2, FALSE)&amp;"]")),FALSE)="", "", VLOOKUP($A577,YES_Reading_FLA[],COLUMN(INDIRECT("YES_Reading_FLA[Max Expectation - Per "&amp;VLOOKUP($D$2, 'Reading Report Logic'!$A$2:$B$8, 2, FALSE)&amp;"]")),FALSE))),""))),"")</f>
        <v/>
      </c>
      <c r="G577" s="205" t="str" cm="1">
        <f t="array" aca="1" ref="G577" ca="1">IFERROR(
IF($J$2="ELA",
IF(VLOOKUP($A577, YES_Reading_ELA[], COLUMN(INDIRECT("YES_Reading_ELA[Difference - Per "&amp;VLOOKUP($D$2, 'Reading Report Logic'!$A$2:$B$8, 2, FALSE)&amp;"]")), FALSE)="", "",
VLOOKUP($A577,YES_Reading_ELA[], COLUMN(INDIRECT("YES_Reading_ELA[Difference - Per "&amp;VLOOKUP($D$2,'Reading Report Logic'!$A$2:$B$8,2,FALSE)&amp;"]")), FALSE)),
IF($J$2="FLA",
IF(VLOOKUP($A577, YES_Reading_FLA[], COLUMN(INDIRECT("YES_Reading_FLA[Difference - Per "&amp;VLOOKUP($D$2,'Reading Report Logic'!$A$2:$B$8,2,FALSE)&amp;"]")),FALSE)="","",
VLOOKUP($A577,YES_Reading_FLA[],COLUMN(INDIRECT("YES_Reading_FLA[Difference - Per "&amp;VLOOKUP($D$2,'Reading Report Logic'!$A$2:$B$8,2,FALSE)&amp;"]")),FALSE)),
IF($J$2="Combined",
IFERROR(
IF(VLOOKUP($A577, YES_Reading_ELA[], COLUMN(INDIRECT("YES_Reading_ELA[Difference - Per "&amp;VLOOKUP($D$2, 'Reading Report Logic'!$A$2:$B$8,2,FALSE)&amp;"]")), FALSE)="", "",
VLOOKUP($A577,YES_Reading_ELA[],COLUMN(INDIRECT("YES_Reading_ELA[Difference - Per "&amp;VLOOKUP($D$2,'Reading Report Logic'!$A$2:$B$8,2,FALSE)&amp;"]")),FALSE)),
IF(VLOOKUP($A577, YES_Reading_FLA[], COLUMN(INDIRECT("YES_Reading_FLA[Difference - Per "&amp;VLOOKUP($D$2, 'Reading Report Logic'!$A$2:$B$8, 2, FALSE)&amp;"]")),FALSE)="", "", VLOOKUP($A577,YES_Reading_FLA[],COLUMN(INDIRECT("YES_Reading_FLA[Difference - Per "&amp;VLOOKUP($D$2, 'Reading Report Logic'!$A$2:$B$8, 2, FALSE)&amp;"]")),FALSE))),""))),"")</f>
        <v/>
      </c>
      <c r="H577" s="206" t="str">
        <f ca="1">IFERROR(VLOOKUP('Teacher Reading Pull Sheets'!$D577,_xlfn.VSTACK('ELA Reading Logic'!$A$22:$B$48,'FLA Reading Logic'!$A$22:$B$53),2,FALSE)-VLOOKUP('Teacher Reading Pull Sheets'!$C577,_xlfn.VSTACK('ELA Reading Logic'!$A$22:$B$48,'FLA Reading Logic'!$A$22:$B$53),2,FALSE),"")</f>
        <v/>
      </c>
      <c r="I577" s="212"/>
      <c r="J577" s="206"/>
      <c r="K577" s="197" t="str" cm="1">
        <f t="array" ref="K577">IFERROR(
IF($J$2="ELA",
IF(VLOOKUP($A577, YES_Reading_ELA[], COLUMN(YES_Reading_ELA[Self-Identified as African Descent]), FALSE)="", "",
VLOOKUP($A577,YES_Reading_ELA[], COLUMN(YES_Reading_ELA[Self-Identified as African Descent]), FALSE)),
IF($J$2="FLA",
IF(VLOOKUP($A577, YES_Reading_FLA[], COLUMN(YES_Reading_FLA[Self-Identified as African Descent]),FALSE)="","",
VLOOKUP($A577,YES_Reading_FLA[],COLUMN(YES_Reading_FLA[Self-Identified as African Descent]),FALSE)),
IF($J$2="Combined",
IFERROR(
IF(VLOOKUP($A577, YES_Reading_ELA[], COLUMN(YES_Reading_ELA[Self-Identified as African Descent]), FALSE)="", "",
VLOOKUP($A577,YES_Reading_ELA[],COLUMN(YES_Reading_ELA[Self-Identified as African Descent]),FALSE)),
IF(VLOOKUP($A577, YES_Reading_FLA[], COLUMN(YES_Reading_FLA[Self-Identified as African Descent]),FALSE)="", "", VLOOKUP($A577,YES_Reading_FLA[],COLUMN(YES_Reading_FLA[Self-Identified as African Descent]),FALSE))),""))),"")</f>
        <v/>
      </c>
      <c r="L577" s="73" t="str" cm="1">
        <f t="array" ref="L577">IFERROR(
IF($J$2="ELA",
IF(VLOOKUP($A577, YES_Reading_ELA[], COLUMN(YES_Reading_ELA[Self-Identified as Indigenous]), FALSE)="", "",
VLOOKUP($A577,YES_Reading_ELA[], COLUMN(YES_Reading_ELA[Self-Identified as Indigenous]), FALSE)),
IF($J$2="FLA",
IF(VLOOKUP($A577, YES_Reading_FLA[], COLUMN(YES_Reading_FLA[Self-Identified as Indigenous]),FALSE)="","",
VLOOKUP($A577,YES_Reading_FLA[],COLUMN(YES_Reading_FLA[Self-Identified as Indigenous]),FALSE)),
IF($J$2="Combined",
IFERROR(
IF(VLOOKUP($A577, YES_Reading_ELA[], COLUMN(YES_Reading_ELA[Self-Identified as Indigenous]), FALSE)="", "",
VLOOKUP($A577,YES_Reading_ELA[],COLUMN(YES_Reading_ELA[Self-Identified as Indigenous]),FALSE)),
IF(VLOOKUP($A577, YES_Reading_FLA[], COLUMN(YES_Reading_FLA[Self-Identified as Indigenous]),FALSE)="", "", VLOOKUP($A577,YES_Reading_FLA[],COLUMN(YES_Reading_FLA[Self-Identified as Indigenous]),FALSE))),""))),"")</f>
        <v/>
      </c>
    </row>
    <row r="578" spans="1:12" ht="19.5" customHeight="1" x14ac:dyDescent="0.25">
      <c r="A578" s="217"/>
      <c r="B578" s="220" t="str">
        <f>IFERROR(VLOOKUP(A578,_xlfn.VSTACK(YES_Reading_ELA[],YES_Reading_FLA[]),2,FALSE),"")</f>
        <v/>
      </c>
      <c r="C578" s="203" t="str" cm="1">
        <f t="array" aca="1" ref="C578" ca="1">IFERROR(
IF($J$2="ELA",
IF(VLOOKUP($A578, YES_Reading_ELA[], COLUMN(IF(VLOOKUP($D$2, 'Reading Report Logic'!$A$2:$B$8, 2, FALSE)=1, YES_Reading_ELA[Reading Level June of Previous School Year], INDIRECT("YES_Reading_ELA[Instructional Reading Level - Per "&amp;(VLOOKUP($D$2,'Reading Report Logic'!$A$2:$B$8,2,FALSE)-1)&amp;"]"))), FALSE)="", "",
VLOOKUP($A578,YES_Reading_ELA[], COLUMN(IF(VLOOKUP($D$2,'Reading Report Logic'!$A$2:$B$8,2,FALSE)=1, YES_Reading_ELA[Reading Level June of Previous School Year],INDIRECT("YES_Reading_ELA[Instructional Reading Level - Per "&amp;(VLOOKUP($D$2,'Reading Report Logic'!$A$2:$B$8,2,FALSE)-1)&amp;"]"))), FALSE)),
IF($J$2="FLA",
IF(VLOOKUP($A578, YES_Reading_FLA[], COLUMN(IF(VLOOKUP($D$2,'Reading Report Logic'!$A$2:$B$8,2,FALSE)=1, YES_Reading_FLA[Reading Level June of Previous School Year],INDIRECT("YES_Reading_FLA[Instructional Reading Level - Per "&amp;(VLOOKUP($D$2,'Reading Report Logic'!$A$2:$B$8,2,FALSE)-1)&amp;"]"))),FALSE)="","",
VLOOKUP($A578,YES_Reading_FLA[], COLUMN(IF(VLOOKUP($D$2,'Reading Report Logic'!$A$2:$B$8,2,FALSE)=1, YES_Reading_FLA[Reading Level June of Previous School Year],INDIRECT("YES_Reading_FLA[Instructional Reading Level - Per "&amp;(VLOOKUP($D$2,'Reading Report Logic'!$A$2:$B$8,2,FALSE)-1)&amp;"]"))),FALSE)),
IF($J$2="Combined",
IFERROR(
IF(VLOOKUP($A578, YES_Reading_ELA[], COLUMN(IF(VLOOKUP($D$2,'Reading Report Logic'!$A$2:$B$8,2,FALSE)=1, YES_Reading_ELA[Reading Level June of Previous School Year],INDIRECT("YES_Reading_ELA[Instructional Reading Level - Per "&amp;(VLOOKUP($D$2,'Reading Report Logic'!$A$2:$B$8,2,FALSE)-1)&amp;"]"))), FALSE)="", "",
VLOOKUP($A578,YES_Reading_ELA[],COLUMN(IF(VLOOKUP($D$2,'Reading Report Logic'!$A$2:$B$8,2,FALSE)=1, YES_Reading_ELA[Reading Level June of Previous School Year],INDIRECT("YES_Reading_ELA[Instructional Reading Level - Per "&amp;(VLOOKUP($D$2,'Reading Report Logic'!$A$2:$B$8,2,FALSE)-1)&amp;"]"))),FALSE)),
IF(VLOOKUP($A578, YES_Reading_FLA[], COLUMN(IF(VLOOKUP($D$2,'Reading Report Logic'!$A$2:$B$8,2,FALSE)=1, YES_Reading_FLA[Reading Level June of Previous School Year],INDIRECT("YES_Reading_FLA[Instructional Reading Level - Per "&amp;(VLOOKUP($D$2,'Reading Report Logic'!$A$2:$B$8,2,FALSE)-1)&amp;"]"))),FALSE)="", "", VLOOKUP($A578,YES_Reading_FLA[],COLUMN(IF(VLOOKUP($D$2,'Reading Report Logic'!$A$2:$B$8,2,FALSE)=1, YES_Reading_FLA[Reading Level June of Previous School Year],INDIRECT("YES_Reading_FLA[Instructional Reading Level - Per "&amp;(VLOOKUP($D$2,'Reading Report Logic'!$A$2:$B$8,2,FALSE)-1)&amp;"]"))), FALSE))),""))),"")</f>
        <v/>
      </c>
      <c r="D578" s="204" t="str" cm="1">
        <f t="array" aca="1" ref="D578" ca="1">IFERROR(
IF($J$2="ELA",
IF(VLOOKUP($A578, YES_Reading_ELA[], COLUMN(INDIRECT("YES_Reading_ELA[Instructional Reading Level - Per "&amp;VLOOKUP($D$2, 'Reading Report Logic'!$A$2:$B$8, 2, FALSE)&amp;"]")), FALSE)="", "",
VLOOKUP($A578,YES_Reading_ELA[], COLUMN(INDIRECT("YES_Reading_ELA[Instructional Reading Level - Per "&amp;VLOOKUP($D$2,'Reading Report Logic'!$A$2:$B$8,2,FALSE)&amp;"]")), FALSE)),
IF($J$2="FLA",
IF(VLOOKUP($A578, YES_Reading_FLA[], COLUMN(INDIRECT("YES_Reading_FLA[Instructional Reading Level - Per "&amp;VLOOKUP($D$2,'Reading Report Logic'!$A$2:$B$8,2,FALSE)&amp;"]")),FALSE)="","",
VLOOKUP($A578,YES_Reading_FLA[],COLUMN(INDIRECT("YES_Reading_FLA[Instructional Reading Level - Per "&amp;VLOOKUP($D$2,'Reading Report Logic'!$A$2:$B$8,2,FALSE)&amp;"]")),FALSE)),
IF($J$2="Combined",
IFERROR(
IF(VLOOKUP($A578, YES_Reading_ELA[], COLUMN(INDIRECT("YES_Reading_ELA[Instructional Reading Level - Per "&amp;VLOOKUP($D$2, 'Reading Report Logic'!$A$2:$B$8,2,FALSE)&amp;"]")), FALSE)="", "",
VLOOKUP($A578,YES_Reading_ELA[],COLUMN(INDIRECT("YES_Reading_ELA[Instructional Reading Level - Per "&amp;VLOOKUP($D$2,'Reading Report Logic'!$A$2:$B$8,2,FALSE)&amp;"]")),FALSE)),
IF(VLOOKUP($A578, YES_Reading_FLA[], COLUMN(INDIRECT("YES_Reading_FLA[Instructional Reading Level - Per "&amp;VLOOKUP($D$2, 'Reading Report Logic'!$A$2:$B$8, 2, FALSE)&amp;"]")),FALSE)="", "", VLOOKUP($A578,YES_Reading_FLA[],COLUMN(INDIRECT("YES_Reading_FLA[Instructional Reading Level - Per "&amp;VLOOKUP($D$2, 'Reading Report Logic'!$A$2:$B$8, 2, FALSE)&amp;"]")),FALSE))),""))),"")</f>
        <v/>
      </c>
      <c r="E578" s="205" t="str" cm="1">
        <f t="array" aca="1" ref="E578" ca="1">IFERROR(
IF($J$2="ELA",
IF(VLOOKUP($A578, YES_Reading_ELA[], COLUMN(INDIRECT("YES_Reading_ELA[Min Expectation - Per "&amp;VLOOKUP($D$2, 'Reading Report Logic'!$A$2:$B$8, 2, FALSE)&amp;"]")), FALSE)="", "",
VLOOKUP($A578,YES_Reading_ELA[], COLUMN(INDIRECT("YES_Reading_ELA[Min Expectation - Per "&amp;VLOOKUP($D$2,'Reading Report Logic'!$A$2:$B$8,2,FALSE)&amp;"]")), FALSE)),
IF($J$2="FLA",
IF(VLOOKUP($A578, YES_Reading_FLA[], COLUMN(INDIRECT("YES_Reading_FLA[Min Expectation - Per "&amp;VLOOKUP($D$2,'Reading Report Logic'!$A$2:$B$8,2,FALSE)&amp;"]")),FALSE)="","",
VLOOKUP($A578,YES_Reading_FLA[],COLUMN(INDIRECT("YES_Reading_FLA[Min Expectation - Per "&amp;VLOOKUP($D$2,'Reading Report Logic'!$A$2:$B$8,2,FALSE)&amp;"]")),FALSE)),
IF($J$2="Combined",
IFERROR(
IF(VLOOKUP($A578, YES_Reading_ELA[], COLUMN(INDIRECT("YES_Reading_ELA[Min Expectation - Per "&amp;VLOOKUP($D$2, 'Reading Report Logic'!$A$2:$B$8,2,FALSE)&amp;"]")), FALSE)="", "",
VLOOKUP($A578,YES_Reading_ELA[],COLUMN(INDIRECT("YES_Reading_ELA[Min Expectation - Per "&amp;VLOOKUP($D$2,'Reading Report Logic'!$A$2:$B$8,2,FALSE)&amp;"]")),FALSE)),
IF(VLOOKUP($A578, YES_Reading_FLA[], COLUMN(INDIRECT("YES_Reading_FLA[Min Expectation - Per "&amp;VLOOKUP($D$2, 'Reading Report Logic'!$A$2:$B$8, 2, FALSE)&amp;"]")),FALSE)="", "", VLOOKUP($A578,YES_Reading_FLA[],COLUMN(INDIRECT("YES_Reading_FLA[Min Expectation - Per "&amp;VLOOKUP($D$2, 'Reading Report Logic'!$A$2:$B$8, 2, FALSE)&amp;"]")),FALSE))),""))),"")</f>
        <v/>
      </c>
      <c r="F578" s="205" t="str" cm="1">
        <f t="array" aca="1" ref="F578" ca="1">IFERROR(
IF($J$2="ELA",
IF(VLOOKUP($A578, YES_Reading_ELA[], COLUMN(INDIRECT("YES_Reading_ELA[Max Expectation - Per "&amp;VLOOKUP($D$2, 'Reading Report Logic'!$A$2:$B$8, 2, FALSE)&amp;"]")), FALSE)="", "",
VLOOKUP($A578,YES_Reading_ELA[], COLUMN(INDIRECT("YES_Reading_ELA[Max Expectation - Per "&amp;VLOOKUP($D$2,'Reading Report Logic'!$A$2:$B$8,2,FALSE)&amp;"]")), FALSE)),
IF($J$2="FLA",
IF(VLOOKUP($A578, YES_Reading_FLA[], COLUMN(INDIRECT("YES_Reading_FLA[Max Expectation - Per "&amp;VLOOKUP($D$2,'Reading Report Logic'!$A$2:$B$8,2,FALSE)&amp;"]")),FALSE)="","",
VLOOKUP($A578,YES_Reading_FLA[],COLUMN(INDIRECT("YES_Reading_FLA[Max Expectation - Per "&amp;VLOOKUP($D$2,'Reading Report Logic'!$A$2:$B$8,2,FALSE)&amp;"]")),FALSE)),
IF($J$2="Combined",
IFERROR(
IF(VLOOKUP($A578, YES_Reading_ELA[], COLUMN(INDIRECT("YES_Reading_ELA[Max Expectation - Per "&amp;VLOOKUP($D$2, 'Reading Report Logic'!$A$2:$B$8,2,FALSE)&amp;"]")), FALSE)="", "",
VLOOKUP($A578,YES_Reading_ELA[],COLUMN(INDIRECT("YES_Reading_ELA[Max Expectation - Per "&amp;VLOOKUP($D$2,'Reading Report Logic'!$A$2:$B$8,2,FALSE)&amp;"]")),FALSE)),
IF(VLOOKUP($A578, YES_Reading_FLA[], COLUMN(INDIRECT("YES_Reading_FLA[Max Expectation - Per "&amp;VLOOKUP($D$2, 'Reading Report Logic'!$A$2:$B$8, 2, FALSE)&amp;"]")),FALSE)="", "", VLOOKUP($A578,YES_Reading_FLA[],COLUMN(INDIRECT("YES_Reading_FLA[Max Expectation - Per "&amp;VLOOKUP($D$2, 'Reading Report Logic'!$A$2:$B$8, 2, FALSE)&amp;"]")),FALSE))),""))),"")</f>
        <v/>
      </c>
      <c r="G578" s="205" t="str" cm="1">
        <f t="array" aca="1" ref="G578" ca="1">IFERROR(
IF($J$2="ELA",
IF(VLOOKUP($A578, YES_Reading_ELA[], COLUMN(INDIRECT("YES_Reading_ELA[Difference - Per "&amp;VLOOKUP($D$2, 'Reading Report Logic'!$A$2:$B$8, 2, FALSE)&amp;"]")), FALSE)="", "",
VLOOKUP($A578,YES_Reading_ELA[], COLUMN(INDIRECT("YES_Reading_ELA[Difference - Per "&amp;VLOOKUP($D$2,'Reading Report Logic'!$A$2:$B$8,2,FALSE)&amp;"]")), FALSE)),
IF($J$2="FLA",
IF(VLOOKUP($A578, YES_Reading_FLA[], COLUMN(INDIRECT("YES_Reading_FLA[Difference - Per "&amp;VLOOKUP($D$2,'Reading Report Logic'!$A$2:$B$8,2,FALSE)&amp;"]")),FALSE)="","",
VLOOKUP($A578,YES_Reading_FLA[],COLUMN(INDIRECT("YES_Reading_FLA[Difference - Per "&amp;VLOOKUP($D$2,'Reading Report Logic'!$A$2:$B$8,2,FALSE)&amp;"]")),FALSE)),
IF($J$2="Combined",
IFERROR(
IF(VLOOKUP($A578, YES_Reading_ELA[], COLUMN(INDIRECT("YES_Reading_ELA[Difference - Per "&amp;VLOOKUP($D$2, 'Reading Report Logic'!$A$2:$B$8,2,FALSE)&amp;"]")), FALSE)="", "",
VLOOKUP($A578,YES_Reading_ELA[],COLUMN(INDIRECT("YES_Reading_ELA[Difference - Per "&amp;VLOOKUP($D$2,'Reading Report Logic'!$A$2:$B$8,2,FALSE)&amp;"]")),FALSE)),
IF(VLOOKUP($A578, YES_Reading_FLA[], COLUMN(INDIRECT("YES_Reading_FLA[Difference - Per "&amp;VLOOKUP($D$2, 'Reading Report Logic'!$A$2:$B$8, 2, FALSE)&amp;"]")),FALSE)="", "", VLOOKUP($A578,YES_Reading_FLA[],COLUMN(INDIRECT("YES_Reading_FLA[Difference - Per "&amp;VLOOKUP($D$2, 'Reading Report Logic'!$A$2:$B$8, 2, FALSE)&amp;"]")),FALSE))),""))),"")</f>
        <v/>
      </c>
      <c r="H578" s="206" t="str">
        <f ca="1">IFERROR(VLOOKUP('Teacher Reading Pull Sheets'!$D578,_xlfn.VSTACK('ELA Reading Logic'!$A$22:$B$48,'FLA Reading Logic'!$A$22:$B$53),2,FALSE)-VLOOKUP('Teacher Reading Pull Sheets'!$C578,_xlfn.VSTACK('ELA Reading Logic'!$A$22:$B$48,'FLA Reading Logic'!$A$22:$B$53),2,FALSE),"")</f>
        <v/>
      </c>
      <c r="I578" s="212"/>
      <c r="J578" s="206"/>
      <c r="K578" s="197" t="str" cm="1">
        <f t="array" ref="K578">IFERROR(
IF($J$2="ELA",
IF(VLOOKUP($A578, YES_Reading_ELA[], COLUMN(YES_Reading_ELA[Self-Identified as African Descent]), FALSE)="", "",
VLOOKUP($A578,YES_Reading_ELA[], COLUMN(YES_Reading_ELA[Self-Identified as African Descent]), FALSE)),
IF($J$2="FLA",
IF(VLOOKUP($A578, YES_Reading_FLA[], COLUMN(YES_Reading_FLA[Self-Identified as African Descent]),FALSE)="","",
VLOOKUP($A578,YES_Reading_FLA[],COLUMN(YES_Reading_FLA[Self-Identified as African Descent]),FALSE)),
IF($J$2="Combined",
IFERROR(
IF(VLOOKUP($A578, YES_Reading_ELA[], COLUMN(YES_Reading_ELA[Self-Identified as African Descent]), FALSE)="", "",
VLOOKUP($A578,YES_Reading_ELA[],COLUMN(YES_Reading_ELA[Self-Identified as African Descent]),FALSE)),
IF(VLOOKUP($A578, YES_Reading_FLA[], COLUMN(YES_Reading_FLA[Self-Identified as African Descent]),FALSE)="", "", VLOOKUP($A578,YES_Reading_FLA[],COLUMN(YES_Reading_FLA[Self-Identified as African Descent]),FALSE))),""))),"")</f>
        <v/>
      </c>
      <c r="L578" s="73" t="str" cm="1">
        <f t="array" ref="L578">IFERROR(
IF($J$2="ELA",
IF(VLOOKUP($A578, YES_Reading_ELA[], COLUMN(YES_Reading_ELA[Self-Identified as Indigenous]), FALSE)="", "",
VLOOKUP($A578,YES_Reading_ELA[], COLUMN(YES_Reading_ELA[Self-Identified as Indigenous]), FALSE)),
IF($J$2="FLA",
IF(VLOOKUP($A578, YES_Reading_FLA[], COLUMN(YES_Reading_FLA[Self-Identified as Indigenous]),FALSE)="","",
VLOOKUP($A578,YES_Reading_FLA[],COLUMN(YES_Reading_FLA[Self-Identified as Indigenous]),FALSE)),
IF($J$2="Combined",
IFERROR(
IF(VLOOKUP($A578, YES_Reading_ELA[], COLUMN(YES_Reading_ELA[Self-Identified as Indigenous]), FALSE)="", "",
VLOOKUP($A578,YES_Reading_ELA[],COLUMN(YES_Reading_ELA[Self-Identified as Indigenous]),FALSE)),
IF(VLOOKUP($A578, YES_Reading_FLA[], COLUMN(YES_Reading_FLA[Self-Identified as Indigenous]),FALSE)="", "", VLOOKUP($A578,YES_Reading_FLA[],COLUMN(YES_Reading_FLA[Self-Identified as Indigenous]),FALSE))),""))),"")</f>
        <v/>
      </c>
    </row>
    <row r="579" spans="1:12" ht="19.5" customHeight="1" x14ac:dyDescent="0.25">
      <c r="A579" s="217"/>
      <c r="B579" s="220" t="str">
        <f>IFERROR(VLOOKUP(A579,_xlfn.VSTACK(YES_Reading_ELA[],YES_Reading_FLA[]),2,FALSE),"")</f>
        <v/>
      </c>
      <c r="C579" s="203" t="str" cm="1">
        <f t="array" aca="1" ref="C579" ca="1">IFERROR(
IF($J$2="ELA",
IF(VLOOKUP($A579, YES_Reading_ELA[], COLUMN(IF(VLOOKUP($D$2, 'Reading Report Logic'!$A$2:$B$8, 2, FALSE)=1, YES_Reading_ELA[Reading Level June of Previous School Year], INDIRECT("YES_Reading_ELA[Instructional Reading Level - Per "&amp;(VLOOKUP($D$2,'Reading Report Logic'!$A$2:$B$8,2,FALSE)-1)&amp;"]"))), FALSE)="", "",
VLOOKUP($A579,YES_Reading_ELA[], COLUMN(IF(VLOOKUP($D$2,'Reading Report Logic'!$A$2:$B$8,2,FALSE)=1, YES_Reading_ELA[Reading Level June of Previous School Year],INDIRECT("YES_Reading_ELA[Instructional Reading Level - Per "&amp;(VLOOKUP($D$2,'Reading Report Logic'!$A$2:$B$8,2,FALSE)-1)&amp;"]"))), FALSE)),
IF($J$2="FLA",
IF(VLOOKUP($A579, YES_Reading_FLA[], COLUMN(IF(VLOOKUP($D$2,'Reading Report Logic'!$A$2:$B$8,2,FALSE)=1, YES_Reading_FLA[Reading Level June of Previous School Year],INDIRECT("YES_Reading_FLA[Instructional Reading Level - Per "&amp;(VLOOKUP($D$2,'Reading Report Logic'!$A$2:$B$8,2,FALSE)-1)&amp;"]"))),FALSE)="","",
VLOOKUP($A579,YES_Reading_FLA[], COLUMN(IF(VLOOKUP($D$2,'Reading Report Logic'!$A$2:$B$8,2,FALSE)=1, YES_Reading_FLA[Reading Level June of Previous School Year],INDIRECT("YES_Reading_FLA[Instructional Reading Level - Per "&amp;(VLOOKUP($D$2,'Reading Report Logic'!$A$2:$B$8,2,FALSE)-1)&amp;"]"))),FALSE)),
IF($J$2="Combined",
IFERROR(
IF(VLOOKUP($A579, YES_Reading_ELA[], COLUMN(IF(VLOOKUP($D$2,'Reading Report Logic'!$A$2:$B$8,2,FALSE)=1, YES_Reading_ELA[Reading Level June of Previous School Year],INDIRECT("YES_Reading_ELA[Instructional Reading Level - Per "&amp;(VLOOKUP($D$2,'Reading Report Logic'!$A$2:$B$8,2,FALSE)-1)&amp;"]"))), FALSE)="", "",
VLOOKUP($A579,YES_Reading_ELA[],COLUMN(IF(VLOOKUP($D$2,'Reading Report Logic'!$A$2:$B$8,2,FALSE)=1, YES_Reading_ELA[Reading Level June of Previous School Year],INDIRECT("YES_Reading_ELA[Instructional Reading Level - Per "&amp;(VLOOKUP($D$2,'Reading Report Logic'!$A$2:$B$8,2,FALSE)-1)&amp;"]"))),FALSE)),
IF(VLOOKUP($A579, YES_Reading_FLA[], COLUMN(IF(VLOOKUP($D$2,'Reading Report Logic'!$A$2:$B$8,2,FALSE)=1, YES_Reading_FLA[Reading Level June of Previous School Year],INDIRECT("YES_Reading_FLA[Instructional Reading Level - Per "&amp;(VLOOKUP($D$2,'Reading Report Logic'!$A$2:$B$8,2,FALSE)-1)&amp;"]"))),FALSE)="", "", VLOOKUP($A579,YES_Reading_FLA[],COLUMN(IF(VLOOKUP($D$2,'Reading Report Logic'!$A$2:$B$8,2,FALSE)=1, YES_Reading_FLA[Reading Level June of Previous School Year],INDIRECT("YES_Reading_FLA[Instructional Reading Level - Per "&amp;(VLOOKUP($D$2,'Reading Report Logic'!$A$2:$B$8,2,FALSE)-1)&amp;"]"))), FALSE))),""))),"")</f>
        <v/>
      </c>
      <c r="D579" s="204" t="str" cm="1">
        <f t="array" aca="1" ref="D579" ca="1">IFERROR(
IF($J$2="ELA",
IF(VLOOKUP($A579, YES_Reading_ELA[], COLUMN(INDIRECT("YES_Reading_ELA[Instructional Reading Level - Per "&amp;VLOOKUP($D$2, 'Reading Report Logic'!$A$2:$B$8, 2, FALSE)&amp;"]")), FALSE)="", "",
VLOOKUP($A579,YES_Reading_ELA[], COLUMN(INDIRECT("YES_Reading_ELA[Instructional Reading Level - Per "&amp;VLOOKUP($D$2,'Reading Report Logic'!$A$2:$B$8,2,FALSE)&amp;"]")), FALSE)),
IF($J$2="FLA",
IF(VLOOKUP($A579, YES_Reading_FLA[], COLUMN(INDIRECT("YES_Reading_FLA[Instructional Reading Level - Per "&amp;VLOOKUP($D$2,'Reading Report Logic'!$A$2:$B$8,2,FALSE)&amp;"]")),FALSE)="","",
VLOOKUP($A579,YES_Reading_FLA[],COLUMN(INDIRECT("YES_Reading_FLA[Instructional Reading Level - Per "&amp;VLOOKUP($D$2,'Reading Report Logic'!$A$2:$B$8,2,FALSE)&amp;"]")),FALSE)),
IF($J$2="Combined",
IFERROR(
IF(VLOOKUP($A579, YES_Reading_ELA[], COLUMN(INDIRECT("YES_Reading_ELA[Instructional Reading Level - Per "&amp;VLOOKUP($D$2, 'Reading Report Logic'!$A$2:$B$8,2,FALSE)&amp;"]")), FALSE)="", "",
VLOOKUP($A579,YES_Reading_ELA[],COLUMN(INDIRECT("YES_Reading_ELA[Instructional Reading Level - Per "&amp;VLOOKUP($D$2,'Reading Report Logic'!$A$2:$B$8,2,FALSE)&amp;"]")),FALSE)),
IF(VLOOKUP($A579, YES_Reading_FLA[], COLUMN(INDIRECT("YES_Reading_FLA[Instructional Reading Level - Per "&amp;VLOOKUP($D$2, 'Reading Report Logic'!$A$2:$B$8, 2, FALSE)&amp;"]")),FALSE)="", "", VLOOKUP($A579,YES_Reading_FLA[],COLUMN(INDIRECT("YES_Reading_FLA[Instructional Reading Level - Per "&amp;VLOOKUP($D$2, 'Reading Report Logic'!$A$2:$B$8, 2, FALSE)&amp;"]")),FALSE))),""))),"")</f>
        <v/>
      </c>
      <c r="E579" s="205" t="str" cm="1">
        <f t="array" aca="1" ref="E579" ca="1">IFERROR(
IF($J$2="ELA",
IF(VLOOKUP($A579, YES_Reading_ELA[], COLUMN(INDIRECT("YES_Reading_ELA[Min Expectation - Per "&amp;VLOOKUP($D$2, 'Reading Report Logic'!$A$2:$B$8, 2, FALSE)&amp;"]")), FALSE)="", "",
VLOOKUP($A579,YES_Reading_ELA[], COLUMN(INDIRECT("YES_Reading_ELA[Min Expectation - Per "&amp;VLOOKUP($D$2,'Reading Report Logic'!$A$2:$B$8,2,FALSE)&amp;"]")), FALSE)),
IF($J$2="FLA",
IF(VLOOKUP($A579, YES_Reading_FLA[], COLUMN(INDIRECT("YES_Reading_FLA[Min Expectation - Per "&amp;VLOOKUP($D$2,'Reading Report Logic'!$A$2:$B$8,2,FALSE)&amp;"]")),FALSE)="","",
VLOOKUP($A579,YES_Reading_FLA[],COLUMN(INDIRECT("YES_Reading_FLA[Min Expectation - Per "&amp;VLOOKUP($D$2,'Reading Report Logic'!$A$2:$B$8,2,FALSE)&amp;"]")),FALSE)),
IF($J$2="Combined",
IFERROR(
IF(VLOOKUP($A579, YES_Reading_ELA[], COLUMN(INDIRECT("YES_Reading_ELA[Min Expectation - Per "&amp;VLOOKUP($D$2, 'Reading Report Logic'!$A$2:$B$8,2,FALSE)&amp;"]")), FALSE)="", "",
VLOOKUP($A579,YES_Reading_ELA[],COLUMN(INDIRECT("YES_Reading_ELA[Min Expectation - Per "&amp;VLOOKUP($D$2,'Reading Report Logic'!$A$2:$B$8,2,FALSE)&amp;"]")),FALSE)),
IF(VLOOKUP($A579, YES_Reading_FLA[], COLUMN(INDIRECT("YES_Reading_FLA[Min Expectation - Per "&amp;VLOOKUP($D$2, 'Reading Report Logic'!$A$2:$B$8, 2, FALSE)&amp;"]")),FALSE)="", "", VLOOKUP($A579,YES_Reading_FLA[],COLUMN(INDIRECT("YES_Reading_FLA[Min Expectation - Per "&amp;VLOOKUP($D$2, 'Reading Report Logic'!$A$2:$B$8, 2, FALSE)&amp;"]")),FALSE))),""))),"")</f>
        <v/>
      </c>
      <c r="F579" s="205" t="str" cm="1">
        <f t="array" aca="1" ref="F579" ca="1">IFERROR(
IF($J$2="ELA",
IF(VLOOKUP($A579, YES_Reading_ELA[], COLUMN(INDIRECT("YES_Reading_ELA[Max Expectation - Per "&amp;VLOOKUP($D$2, 'Reading Report Logic'!$A$2:$B$8, 2, FALSE)&amp;"]")), FALSE)="", "",
VLOOKUP($A579,YES_Reading_ELA[], COLUMN(INDIRECT("YES_Reading_ELA[Max Expectation - Per "&amp;VLOOKUP($D$2,'Reading Report Logic'!$A$2:$B$8,2,FALSE)&amp;"]")), FALSE)),
IF($J$2="FLA",
IF(VLOOKUP($A579, YES_Reading_FLA[], COLUMN(INDIRECT("YES_Reading_FLA[Max Expectation - Per "&amp;VLOOKUP($D$2,'Reading Report Logic'!$A$2:$B$8,2,FALSE)&amp;"]")),FALSE)="","",
VLOOKUP($A579,YES_Reading_FLA[],COLUMN(INDIRECT("YES_Reading_FLA[Max Expectation - Per "&amp;VLOOKUP($D$2,'Reading Report Logic'!$A$2:$B$8,2,FALSE)&amp;"]")),FALSE)),
IF($J$2="Combined",
IFERROR(
IF(VLOOKUP($A579, YES_Reading_ELA[], COLUMN(INDIRECT("YES_Reading_ELA[Max Expectation - Per "&amp;VLOOKUP($D$2, 'Reading Report Logic'!$A$2:$B$8,2,FALSE)&amp;"]")), FALSE)="", "",
VLOOKUP($A579,YES_Reading_ELA[],COLUMN(INDIRECT("YES_Reading_ELA[Max Expectation - Per "&amp;VLOOKUP($D$2,'Reading Report Logic'!$A$2:$B$8,2,FALSE)&amp;"]")),FALSE)),
IF(VLOOKUP($A579, YES_Reading_FLA[], COLUMN(INDIRECT("YES_Reading_FLA[Max Expectation - Per "&amp;VLOOKUP($D$2, 'Reading Report Logic'!$A$2:$B$8, 2, FALSE)&amp;"]")),FALSE)="", "", VLOOKUP($A579,YES_Reading_FLA[],COLUMN(INDIRECT("YES_Reading_FLA[Max Expectation - Per "&amp;VLOOKUP($D$2, 'Reading Report Logic'!$A$2:$B$8, 2, FALSE)&amp;"]")),FALSE))),""))),"")</f>
        <v/>
      </c>
      <c r="G579" s="205" t="str" cm="1">
        <f t="array" aca="1" ref="G579" ca="1">IFERROR(
IF($J$2="ELA",
IF(VLOOKUP($A579, YES_Reading_ELA[], COLUMN(INDIRECT("YES_Reading_ELA[Difference - Per "&amp;VLOOKUP($D$2, 'Reading Report Logic'!$A$2:$B$8, 2, FALSE)&amp;"]")), FALSE)="", "",
VLOOKUP($A579,YES_Reading_ELA[], COLUMN(INDIRECT("YES_Reading_ELA[Difference - Per "&amp;VLOOKUP($D$2,'Reading Report Logic'!$A$2:$B$8,2,FALSE)&amp;"]")), FALSE)),
IF($J$2="FLA",
IF(VLOOKUP($A579, YES_Reading_FLA[], COLUMN(INDIRECT("YES_Reading_FLA[Difference - Per "&amp;VLOOKUP($D$2,'Reading Report Logic'!$A$2:$B$8,2,FALSE)&amp;"]")),FALSE)="","",
VLOOKUP($A579,YES_Reading_FLA[],COLUMN(INDIRECT("YES_Reading_FLA[Difference - Per "&amp;VLOOKUP($D$2,'Reading Report Logic'!$A$2:$B$8,2,FALSE)&amp;"]")),FALSE)),
IF($J$2="Combined",
IFERROR(
IF(VLOOKUP($A579, YES_Reading_ELA[], COLUMN(INDIRECT("YES_Reading_ELA[Difference - Per "&amp;VLOOKUP($D$2, 'Reading Report Logic'!$A$2:$B$8,2,FALSE)&amp;"]")), FALSE)="", "",
VLOOKUP($A579,YES_Reading_ELA[],COLUMN(INDIRECT("YES_Reading_ELA[Difference - Per "&amp;VLOOKUP($D$2,'Reading Report Logic'!$A$2:$B$8,2,FALSE)&amp;"]")),FALSE)),
IF(VLOOKUP($A579, YES_Reading_FLA[], COLUMN(INDIRECT("YES_Reading_FLA[Difference - Per "&amp;VLOOKUP($D$2, 'Reading Report Logic'!$A$2:$B$8, 2, FALSE)&amp;"]")),FALSE)="", "", VLOOKUP($A579,YES_Reading_FLA[],COLUMN(INDIRECT("YES_Reading_FLA[Difference - Per "&amp;VLOOKUP($D$2, 'Reading Report Logic'!$A$2:$B$8, 2, FALSE)&amp;"]")),FALSE))),""))),"")</f>
        <v/>
      </c>
      <c r="H579" s="206" t="str">
        <f ca="1">IFERROR(VLOOKUP('Teacher Reading Pull Sheets'!$D579,_xlfn.VSTACK('ELA Reading Logic'!$A$22:$B$48,'FLA Reading Logic'!$A$22:$B$53),2,FALSE)-VLOOKUP('Teacher Reading Pull Sheets'!$C579,_xlfn.VSTACK('ELA Reading Logic'!$A$22:$B$48,'FLA Reading Logic'!$A$22:$B$53),2,FALSE),"")</f>
        <v/>
      </c>
      <c r="I579" s="212"/>
      <c r="J579" s="206"/>
      <c r="K579" s="197" t="str" cm="1">
        <f t="array" ref="K579">IFERROR(
IF($J$2="ELA",
IF(VLOOKUP($A579, YES_Reading_ELA[], COLUMN(YES_Reading_ELA[Self-Identified as African Descent]), FALSE)="", "",
VLOOKUP($A579,YES_Reading_ELA[], COLUMN(YES_Reading_ELA[Self-Identified as African Descent]), FALSE)),
IF($J$2="FLA",
IF(VLOOKUP($A579, YES_Reading_FLA[], COLUMN(YES_Reading_FLA[Self-Identified as African Descent]),FALSE)="","",
VLOOKUP($A579,YES_Reading_FLA[],COLUMN(YES_Reading_FLA[Self-Identified as African Descent]),FALSE)),
IF($J$2="Combined",
IFERROR(
IF(VLOOKUP($A579, YES_Reading_ELA[], COLUMN(YES_Reading_ELA[Self-Identified as African Descent]), FALSE)="", "",
VLOOKUP($A579,YES_Reading_ELA[],COLUMN(YES_Reading_ELA[Self-Identified as African Descent]),FALSE)),
IF(VLOOKUP($A579, YES_Reading_FLA[], COLUMN(YES_Reading_FLA[Self-Identified as African Descent]),FALSE)="", "", VLOOKUP($A579,YES_Reading_FLA[],COLUMN(YES_Reading_FLA[Self-Identified as African Descent]),FALSE))),""))),"")</f>
        <v/>
      </c>
      <c r="L579" s="73" t="str" cm="1">
        <f t="array" ref="L579">IFERROR(
IF($J$2="ELA",
IF(VLOOKUP($A579, YES_Reading_ELA[], COLUMN(YES_Reading_ELA[Self-Identified as Indigenous]), FALSE)="", "",
VLOOKUP($A579,YES_Reading_ELA[], COLUMN(YES_Reading_ELA[Self-Identified as Indigenous]), FALSE)),
IF($J$2="FLA",
IF(VLOOKUP($A579, YES_Reading_FLA[], COLUMN(YES_Reading_FLA[Self-Identified as Indigenous]),FALSE)="","",
VLOOKUP($A579,YES_Reading_FLA[],COLUMN(YES_Reading_FLA[Self-Identified as Indigenous]),FALSE)),
IF($J$2="Combined",
IFERROR(
IF(VLOOKUP($A579, YES_Reading_ELA[], COLUMN(YES_Reading_ELA[Self-Identified as Indigenous]), FALSE)="", "",
VLOOKUP($A579,YES_Reading_ELA[],COLUMN(YES_Reading_ELA[Self-Identified as Indigenous]),FALSE)),
IF(VLOOKUP($A579, YES_Reading_FLA[], COLUMN(YES_Reading_FLA[Self-Identified as Indigenous]),FALSE)="", "", VLOOKUP($A579,YES_Reading_FLA[],COLUMN(YES_Reading_FLA[Self-Identified as Indigenous]),FALSE))),""))),"")</f>
        <v/>
      </c>
    </row>
    <row r="580" spans="1:12" ht="19.5" customHeight="1" x14ac:dyDescent="0.25">
      <c r="A580" s="217"/>
      <c r="B580" s="220" t="str">
        <f>IFERROR(VLOOKUP(A580,_xlfn.VSTACK(YES_Reading_ELA[],YES_Reading_FLA[]),2,FALSE),"")</f>
        <v/>
      </c>
      <c r="C580" s="203" t="str" cm="1">
        <f t="array" aca="1" ref="C580" ca="1">IFERROR(
IF($J$2="ELA",
IF(VLOOKUP($A580, YES_Reading_ELA[], COLUMN(IF(VLOOKUP($D$2, 'Reading Report Logic'!$A$2:$B$8, 2, FALSE)=1, YES_Reading_ELA[Reading Level June of Previous School Year], INDIRECT("YES_Reading_ELA[Instructional Reading Level - Per "&amp;(VLOOKUP($D$2,'Reading Report Logic'!$A$2:$B$8,2,FALSE)-1)&amp;"]"))), FALSE)="", "",
VLOOKUP($A580,YES_Reading_ELA[], COLUMN(IF(VLOOKUP($D$2,'Reading Report Logic'!$A$2:$B$8,2,FALSE)=1, YES_Reading_ELA[Reading Level June of Previous School Year],INDIRECT("YES_Reading_ELA[Instructional Reading Level - Per "&amp;(VLOOKUP($D$2,'Reading Report Logic'!$A$2:$B$8,2,FALSE)-1)&amp;"]"))), FALSE)),
IF($J$2="FLA",
IF(VLOOKUP($A580, YES_Reading_FLA[], COLUMN(IF(VLOOKUP($D$2,'Reading Report Logic'!$A$2:$B$8,2,FALSE)=1, YES_Reading_FLA[Reading Level June of Previous School Year],INDIRECT("YES_Reading_FLA[Instructional Reading Level - Per "&amp;(VLOOKUP($D$2,'Reading Report Logic'!$A$2:$B$8,2,FALSE)-1)&amp;"]"))),FALSE)="","",
VLOOKUP($A580,YES_Reading_FLA[], COLUMN(IF(VLOOKUP($D$2,'Reading Report Logic'!$A$2:$B$8,2,FALSE)=1, YES_Reading_FLA[Reading Level June of Previous School Year],INDIRECT("YES_Reading_FLA[Instructional Reading Level - Per "&amp;(VLOOKUP($D$2,'Reading Report Logic'!$A$2:$B$8,2,FALSE)-1)&amp;"]"))),FALSE)),
IF($J$2="Combined",
IFERROR(
IF(VLOOKUP($A580, YES_Reading_ELA[], COLUMN(IF(VLOOKUP($D$2,'Reading Report Logic'!$A$2:$B$8,2,FALSE)=1, YES_Reading_ELA[Reading Level June of Previous School Year],INDIRECT("YES_Reading_ELA[Instructional Reading Level - Per "&amp;(VLOOKUP($D$2,'Reading Report Logic'!$A$2:$B$8,2,FALSE)-1)&amp;"]"))), FALSE)="", "",
VLOOKUP($A580,YES_Reading_ELA[],COLUMN(IF(VLOOKUP($D$2,'Reading Report Logic'!$A$2:$B$8,2,FALSE)=1, YES_Reading_ELA[Reading Level June of Previous School Year],INDIRECT("YES_Reading_ELA[Instructional Reading Level - Per "&amp;(VLOOKUP($D$2,'Reading Report Logic'!$A$2:$B$8,2,FALSE)-1)&amp;"]"))),FALSE)),
IF(VLOOKUP($A580, YES_Reading_FLA[], COLUMN(IF(VLOOKUP($D$2,'Reading Report Logic'!$A$2:$B$8,2,FALSE)=1, YES_Reading_FLA[Reading Level June of Previous School Year],INDIRECT("YES_Reading_FLA[Instructional Reading Level - Per "&amp;(VLOOKUP($D$2,'Reading Report Logic'!$A$2:$B$8,2,FALSE)-1)&amp;"]"))),FALSE)="", "", VLOOKUP($A580,YES_Reading_FLA[],COLUMN(IF(VLOOKUP($D$2,'Reading Report Logic'!$A$2:$B$8,2,FALSE)=1, YES_Reading_FLA[Reading Level June of Previous School Year],INDIRECT("YES_Reading_FLA[Instructional Reading Level - Per "&amp;(VLOOKUP($D$2,'Reading Report Logic'!$A$2:$B$8,2,FALSE)-1)&amp;"]"))), FALSE))),""))),"")</f>
        <v/>
      </c>
      <c r="D580" s="204" t="str" cm="1">
        <f t="array" aca="1" ref="D580" ca="1">IFERROR(
IF($J$2="ELA",
IF(VLOOKUP($A580, YES_Reading_ELA[], COLUMN(INDIRECT("YES_Reading_ELA[Instructional Reading Level - Per "&amp;VLOOKUP($D$2, 'Reading Report Logic'!$A$2:$B$8, 2, FALSE)&amp;"]")), FALSE)="", "",
VLOOKUP($A580,YES_Reading_ELA[], COLUMN(INDIRECT("YES_Reading_ELA[Instructional Reading Level - Per "&amp;VLOOKUP($D$2,'Reading Report Logic'!$A$2:$B$8,2,FALSE)&amp;"]")), FALSE)),
IF($J$2="FLA",
IF(VLOOKUP($A580, YES_Reading_FLA[], COLUMN(INDIRECT("YES_Reading_FLA[Instructional Reading Level - Per "&amp;VLOOKUP($D$2,'Reading Report Logic'!$A$2:$B$8,2,FALSE)&amp;"]")),FALSE)="","",
VLOOKUP($A580,YES_Reading_FLA[],COLUMN(INDIRECT("YES_Reading_FLA[Instructional Reading Level - Per "&amp;VLOOKUP($D$2,'Reading Report Logic'!$A$2:$B$8,2,FALSE)&amp;"]")),FALSE)),
IF($J$2="Combined",
IFERROR(
IF(VLOOKUP($A580, YES_Reading_ELA[], COLUMN(INDIRECT("YES_Reading_ELA[Instructional Reading Level - Per "&amp;VLOOKUP($D$2, 'Reading Report Logic'!$A$2:$B$8,2,FALSE)&amp;"]")), FALSE)="", "",
VLOOKUP($A580,YES_Reading_ELA[],COLUMN(INDIRECT("YES_Reading_ELA[Instructional Reading Level - Per "&amp;VLOOKUP($D$2,'Reading Report Logic'!$A$2:$B$8,2,FALSE)&amp;"]")),FALSE)),
IF(VLOOKUP($A580, YES_Reading_FLA[], COLUMN(INDIRECT("YES_Reading_FLA[Instructional Reading Level - Per "&amp;VLOOKUP($D$2, 'Reading Report Logic'!$A$2:$B$8, 2, FALSE)&amp;"]")),FALSE)="", "", VLOOKUP($A580,YES_Reading_FLA[],COLUMN(INDIRECT("YES_Reading_FLA[Instructional Reading Level - Per "&amp;VLOOKUP($D$2, 'Reading Report Logic'!$A$2:$B$8, 2, FALSE)&amp;"]")),FALSE))),""))),"")</f>
        <v/>
      </c>
      <c r="E580" s="205" t="str" cm="1">
        <f t="array" aca="1" ref="E580" ca="1">IFERROR(
IF($J$2="ELA",
IF(VLOOKUP($A580, YES_Reading_ELA[], COLUMN(INDIRECT("YES_Reading_ELA[Min Expectation - Per "&amp;VLOOKUP($D$2, 'Reading Report Logic'!$A$2:$B$8, 2, FALSE)&amp;"]")), FALSE)="", "",
VLOOKUP($A580,YES_Reading_ELA[], COLUMN(INDIRECT("YES_Reading_ELA[Min Expectation - Per "&amp;VLOOKUP($D$2,'Reading Report Logic'!$A$2:$B$8,2,FALSE)&amp;"]")), FALSE)),
IF($J$2="FLA",
IF(VLOOKUP($A580, YES_Reading_FLA[], COLUMN(INDIRECT("YES_Reading_FLA[Min Expectation - Per "&amp;VLOOKUP($D$2,'Reading Report Logic'!$A$2:$B$8,2,FALSE)&amp;"]")),FALSE)="","",
VLOOKUP($A580,YES_Reading_FLA[],COLUMN(INDIRECT("YES_Reading_FLA[Min Expectation - Per "&amp;VLOOKUP($D$2,'Reading Report Logic'!$A$2:$B$8,2,FALSE)&amp;"]")),FALSE)),
IF($J$2="Combined",
IFERROR(
IF(VLOOKUP($A580, YES_Reading_ELA[], COLUMN(INDIRECT("YES_Reading_ELA[Min Expectation - Per "&amp;VLOOKUP($D$2, 'Reading Report Logic'!$A$2:$B$8,2,FALSE)&amp;"]")), FALSE)="", "",
VLOOKUP($A580,YES_Reading_ELA[],COLUMN(INDIRECT("YES_Reading_ELA[Min Expectation - Per "&amp;VLOOKUP($D$2,'Reading Report Logic'!$A$2:$B$8,2,FALSE)&amp;"]")),FALSE)),
IF(VLOOKUP($A580, YES_Reading_FLA[], COLUMN(INDIRECT("YES_Reading_FLA[Min Expectation - Per "&amp;VLOOKUP($D$2, 'Reading Report Logic'!$A$2:$B$8, 2, FALSE)&amp;"]")),FALSE)="", "", VLOOKUP($A580,YES_Reading_FLA[],COLUMN(INDIRECT("YES_Reading_FLA[Min Expectation - Per "&amp;VLOOKUP($D$2, 'Reading Report Logic'!$A$2:$B$8, 2, FALSE)&amp;"]")),FALSE))),""))),"")</f>
        <v/>
      </c>
      <c r="F580" s="205" t="str" cm="1">
        <f t="array" aca="1" ref="F580" ca="1">IFERROR(
IF($J$2="ELA",
IF(VLOOKUP($A580, YES_Reading_ELA[], COLUMN(INDIRECT("YES_Reading_ELA[Max Expectation - Per "&amp;VLOOKUP($D$2, 'Reading Report Logic'!$A$2:$B$8, 2, FALSE)&amp;"]")), FALSE)="", "",
VLOOKUP($A580,YES_Reading_ELA[], COLUMN(INDIRECT("YES_Reading_ELA[Max Expectation - Per "&amp;VLOOKUP($D$2,'Reading Report Logic'!$A$2:$B$8,2,FALSE)&amp;"]")), FALSE)),
IF($J$2="FLA",
IF(VLOOKUP($A580, YES_Reading_FLA[], COLUMN(INDIRECT("YES_Reading_FLA[Max Expectation - Per "&amp;VLOOKUP($D$2,'Reading Report Logic'!$A$2:$B$8,2,FALSE)&amp;"]")),FALSE)="","",
VLOOKUP($A580,YES_Reading_FLA[],COLUMN(INDIRECT("YES_Reading_FLA[Max Expectation - Per "&amp;VLOOKUP($D$2,'Reading Report Logic'!$A$2:$B$8,2,FALSE)&amp;"]")),FALSE)),
IF($J$2="Combined",
IFERROR(
IF(VLOOKUP($A580, YES_Reading_ELA[], COLUMN(INDIRECT("YES_Reading_ELA[Max Expectation - Per "&amp;VLOOKUP($D$2, 'Reading Report Logic'!$A$2:$B$8,2,FALSE)&amp;"]")), FALSE)="", "",
VLOOKUP($A580,YES_Reading_ELA[],COLUMN(INDIRECT("YES_Reading_ELA[Max Expectation - Per "&amp;VLOOKUP($D$2,'Reading Report Logic'!$A$2:$B$8,2,FALSE)&amp;"]")),FALSE)),
IF(VLOOKUP($A580, YES_Reading_FLA[], COLUMN(INDIRECT("YES_Reading_FLA[Max Expectation - Per "&amp;VLOOKUP($D$2, 'Reading Report Logic'!$A$2:$B$8, 2, FALSE)&amp;"]")),FALSE)="", "", VLOOKUP($A580,YES_Reading_FLA[],COLUMN(INDIRECT("YES_Reading_FLA[Max Expectation - Per "&amp;VLOOKUP($D$2, 'Reading Report Logic'!$A$2:$B$8, 2, FALSE)&amp;"]")),FALSE))),""))),"")</f>
        <v/>
      </c>
      <c r="G580" s="205" t="str" cm="1">
        <f t="array" aca="1" ref="G580" ca="1">IFERROR(
IF($J$2="ELA",
IF(VLOOKUP($A580, YES_Reading_ELA[], COLUMN(INDIRECT("YES_Reading_ELA[Difference - Per "&amp;VLOOKUP($D$2, 'Reading Report Logic'!$A$2:$B$8, 2, FALSE)&amp;"]")), FALSE)="", "",
VLOOKUP($A580,YES_Reading_ELA[], COLUMN(INDIRECT("YES_Reading_ELA[Difference - Per "&amp;VLOOKUP($D$2,'Reading Report Logic'!$A$2:$B$8,2,FALSE)&amp;"]")), FALSE)),
IF($J$2="FLA",
IF(VLOOKUP($A580, YES_Reading_FLA[], COLUMN(INDIRECT("YES_Reading_FLA[Difference - Per "&amp;VLOOKUP($D$2,'Reading Report Logic'!$A$2:$B$8,2,FALSE)&amp;"]")),FALSE)="","",
VLOOKUP($A580,YES_Reading_FLA[],COLUMN(INDIRECT("YES_Reading_FLA[Difference - Per "&amp;VLOOKUP($D$2,'Reading Report Logic'!$A$2:$B$8,2,FALSE)&amp;"]")),FALSE)),
IF($J$2="Combined",
IFERROR(
IF(VLOOKUP($A580, YES_Reading_ELA[], COLUMN(INDIRECT("YES_Reading_ELA[Difference - Per "&amp;VLOOKUP($D$2, 'Reading Report Logic'!$A$2:$B$8,2,FALSE)&amp;"]")), FALSE)="", "",
VLOOKUP($A580,YES_Reading_ELA[],COLUMN(INDIRECT("YES_Reading_ELA[Difference - Per "&amp;VLOOKUP($D$2,'Reading Report Logic'!$A$2:$B$8,2,FALSE)&amp;"]")),FALSE)),
IF(VLOOKUP($A580, YES_Reading_FLA[], COLUMN(INDIRECT("YES_Reading_FLA[Difference - Per "&amp;VLOOKUP($D$2, 'Reading Report Logic'!$A$2:$B$8, 2, FALSE)&amp;"]")),FALSE)="", "", VLOOKUP($A580,YES_Reading_FLA[],COLUMN(INDIRECT("YES_Reading_FLA[Difference - Per "&amp;VLOOKUP($D$2, 'Reading Report Logic'!$A$2:$B$8, 2, FALSE)&amp;"]")),FALSE))),""))),"")</f>
        <v/>
      </c>
      <c r="H580" s="206" t="str">
        <f ca="1">IFERROR(VLOOKUP('Teacher Reading Pull Sheets'!$D580,_xlfn.VSTACK('ELA Reading Logic'!$A$22:$B$48,'FLA Reading Logic'!$A$22:$B$53),2,FALSE)-VLOOKUP('Teacher Reading Pull Sheets'!$C580,_xlfn.VSTACK('ELA Reading Logic'!$A$22:$B$48,'FLA Reading Logic'!$A$22:$B$53),2,FALSE),"")</f>
        <v/>
      </c>
      <c r="I580" s="212"/>
      <c r="J580" s="206"/>
      <c r="K580" s="197" t="str" cm="1">
        <f t="array" ref="K580">IFERROR(
IF($J$2="ELA",
IF(VLOOKUP($A580, YES_Reading_ELA[], COLUMN(YES_Reading_ELA[Self-Identified as African Descent]), FALSE)="", "",
VLOOKUP($A580,YES_Reading_ELA[], COLUMN(YES_Reading_ELA[Self-Identified as African Descent]), FALSE)),
IF($J$2="FLA",
IF(VLOOKUP($A580, YES_Reading_FLA[], COLUMN(YES_Reading_FLA[Self-Identified as African Descent]),FALSE)="","",
VLOOKUP($A580,YES_Reading_FLA[],COLUMN(YES_Reading_FLA[Self-Identified as African Descent]),FALSE)),
IF($J$2="Combined",
IFERROR(
IF(VLOOKUP($A580, YES_Reading_ELA[], COLUMN(YES_Reading_ELA[Self-Identified as African Descent]), FALSE)="", "",
VLOOKUP($A580,YES_Reading_ELA[],COLUMN(YES_Reading_ELA[Self-Identified as African Descent]),FALSE)),
IF(VLOOKUP($A580, YES_Reading_FLA[], COLUMN(YES_Reading_FLA[Self-Identified as African Descent]),FALSE)="", "", VLOOKUP($A580,YES_Reading_FLA[],COLUMN(YES_Reading_FLA[Self-Identified as African Descent]),FALSE))),""))),"")</f>
        <v/>
      </c>
      <c r="L580" s="73" t="str" cm="1">
        <f t="array" ref="L580">IFERROR(
IF($J$2="ELA",
IF(VLOOKUP($A580, YES_Reading_ELA[], COLUMN(YES_Reading_ELA[Self-Identified as Indigenous]), FALSE)="", "",
VLOOKUP($A580,YES_Reading_ELA[], COLUMN(YES_Reading_ELA[Self-Identified as Indigenous]), FALSE)),
IF($J$2="FLA",
IF(VLOOKUP($A580, YES_Reading_FLA[], COLUMN(YES_Reading_FLA[Self-Identified as Indigenous]),FALSE)="","",
VLOOKUP($A580,YES_Reading_FLA[],COLUMN(YES_Reading_FLA[Self-Identified as Indigenous]),FALSE)),
IF($J$2="Combined",
IFERROR(
IF(VLOOKUP($A580, YES_Reading_ELA[], COLUMN(YES_Reading_ELA[Self-Identified as Indigenous]), FALSE)="", "",
VLOOKUP($A580,YES_Reading_ELA[],COLUMN(YES_Reading_ELA[Self-Identified as Indigenous]),FALSE)),
IF(VLOOKUP($A580, YES_Reading_FLA[], COLUMN(YES_Reading_FLA[Self-Identified as Indigenous]),FALSE)="", "", VLOOKUP($A580,YES_Reading_FLA[],COLUMN(YES_Reading_FLA[Self-Identified as Indigenous]),FALSE))),""))),"")</f>
        <v/>
      </c>
    </row>
    <row r="581" spans="1:12" ht="19.5" customHeight="1" x14ac:dyDescent="0.25">
      <c r="A581" s="217"/>
      <c r="B581" s="220" t="str">
        <f>IFERROR(VLOOKUP(A581,_xlfn.VSTACK(YES_Reading_ELA[],YES_Reading_FLA[]),2,FALSE),"")</f>
        <v/>
      </c>
      <c r="C581" s="203" t="str" cm="1">
        <f t="array" aca="1" ref="C581" ca="1">IFERROR(
IF($J$2="ELA",
IF(VLOOKUP($A581, YES_Reading_ELA[], COLUMN(IF(VLOOKUP($D$2, 'Reading Report Logic'!$A$2:$B$8, 2, FALSE)=1, YES_Reading_ELA[Reading Level June of Previous School Year], INDIRECT("YES_Reading_ELA[Instructional Reading Level - Per "&amp;(VLOOKUP($D$2,'Reading Report Logic'!$A$2:$B$8,2,FALSE)-1)&amp;"]"))), FALSE)="", "",
VLOOKUP($A581,YES_Reading_ELA[], COLUMN(IF(VLOOKUP($D$2,'Reading Report Logic'!$A$2:$B$8,2,FALSE)=1, YES_Reading_ELA[Reading Level June of Previous School Year],INDIRECT("YES_Reading_ELA[Instructional Reading Level - Per "&amp;(VLOOKUP($D$2,'Reading Report Logic'!$A$2:$B$8,2,FALSE)-1)&amp;"]"))), FALSE)),
IF($J$2="FLA",
IF(VLOOKUP($A581, YES_Reading_FLA[], COLUMN(IF(VLOOKUP($D$2,'Reading Report Logic'!$A$2:$B$8,2,FALSE)=1, YES_Reading_FLA[Reading Level June of Previous School Year],INDIRECT("YES_Reading_FLA[Instructional Reading Level - Per "&amp;(VLOOKUP($D$2,'Reading Report Logic'!$A$2:$B$8,2,FALSE)-1)&amp;"]"))),FALSE)="","",
VLOOKUP($A581,YES_Reading_FLA[], COLUMN(IF(VLOOKUP($D$2,'Reading Report Logic'!$A$2:$B$8,2,FALSE)=1, YES_Reading_FLA[Reading Level June of Previous School Year],INDIRECT("YES_Reading_FLA[Instructional Reading Level - Per "&amp;(VLOOKUP($D$2,'Reading Report Logic'!$A$2:$B$8,2,FALSE)-1)&amp;"]"))),FALSE)),
IF($J$2="Combined",
IFERROR(
IF(VLOOKUP($A581, YES_Reading_ELA[], COLUMN(IF(VLOOKUP($D$2,'Reading Report Logic'!$A$2:$B$8,2,FALSE)=1, YES_Reading_ELA[Reading Level June of Previous School Year],INDIRECT("YES_Reading_ELA[Instructional Reading Level - Per "&amp;(VLOOKUP($D$2,'Reading Report Logic'!$A$2:$B$8,2,FALSE)-1)&amp;"]"))), FALSE)="", "",
VLOOKUP($A581,YES_Reading_ELA[],COLUMN(IF(VLOOKUP($D$2,'Reading Report Logic'!$A$2:$B$8,2,FALSE)=1, YES_Reading_ELA[Reading Level June of Previous School Year],INDIRECT("YES_Reading_ELA[Instructional Reading Level - Per "&amp;(VLOOKUP($D$2,'Reading Report Logic'!$A$2:$B$8,2,FALSE)-1)&amp;"]"))),FALSE)),
IF(VLOOKUP($A581, YES_Reading_FLA[], COLUMN(IF(VLOOKUP($D$2,'Reading Report Logic'!$A$2:$B$8,2,FALSE)=1, YES_Reading_FLA[Reading Level June of Previous School Year],INDIRECT("YES_Reading_FLA[Instructional Reading Level - Per "&amp;(VLOOKUP($D$2,'Reading Report Logic'!$A$2:$B$8,2,FALSE)-1)&amp;"]"))),FALSE)="", "", VLOOKUP($A581,YES_Reading_FLA[],COLUMN(IF(VLOOKUP($D$2,'Reading Report Logic'!$A$2:$B$8,2,FALSE)=1, YES_Reading_FLA[Reading Level June of Previous School Year],INDIRECT("YES_Reading_FLA[Instructional Reading Level - Per "&amp;(VLOOKUP($D$2,'Reading Report Logic'!$A$2:$B$8,2,FALSE)-1)&amp;"]"))), FALSE))),""))),"")</f>
        <v/>
      </c>
      <c r="D581" s="204" t="str" cm="1">
        <f t="array" aca="1" ref="D581" ca="1">IFERROR(
IF($J$2="ELA",
IF(VLOOKUP($A581, YES_Reading_ELA[], COLUMN(INDIRECT("YES_Reading_ELA[Instructional Reading Level - Per "&amp;VLOOKUP($D$2, 'Reading Report Logic'!$A$2:$B$8, 2, FALSE)&amp;"]")), FALSE)="", "",
VLOOKUP($A581,YES_Reading_ELA[], COLUMN(INDIRECT("YES_Reading_ELA[Instructional Reading Level - Per "&amp;VLOOKUP($D$2,'Reading Report Logic'!$A$2:$B$8,2,FALSE)&amp;"]")), FALSE)),
IF($J$2="FLA",
IF(VLOOKUP($A581, YES_Reading_FLA[], COLUMN(INDIRECT("YES_Reading_FLA[Instructional Reading Level - Per "&amp;VLOOKUP($D$2,'Reading Report Logic'!$A$2:$B$8,2,FALSE)&amp;"]")),FALSE)="","",
VLOOKUP($A581,YES_Reading_FLA[],COLUMN(INDIRECT("YES_Reading_FLA[Instructional Reading Level - Per "&amp;VLOOKUP($D$2,'Reading Report Logic'!$A$2:$B$8,2,FALSE)&amp;"]")),FALSE)),
IF($J$2="Combined",
IFERROR(
IF(VLOOKUP($A581, YES_Reading_ELA[], COLUMN(INDIRECT("YES_Reading_ELA[Instructional Reading Level - Per "&amp;VLOOKUP($D$2, 'Reading Report Logic'!$A$2:$B$8,2,FALSE)&amp;"]")), FALSE)="", "",
VLOOKUP($A581,YES_Reading_ELA[],COLUMN(INDIRECT("YES_Reading_ELA[Instructional Reading Level - Per "&amp;VLOOKUP($D$2,'Reading Report Logic'!$A$2:$B$8,2,FALSE)&amp;"]")),FALSE)),
IF(VLOOKUP($A581, YES_Reading_FLA[], COLUMN(INDIRECT("YES_Reading_FLA[Instructional Reading Level - Per "&amp;VLOOKUP($D$2, 'Reading Report Logic'!$A$2:$B$8, 2, FALSE)&amp;"]")),FALSE)="", "", VLOOKUP($A581,YES_Reading_FLA[],COLUMN(INDIRECT("YES_Reading_FLA[Instructional Reading Level - Per "&amp;VLOOKUP($D$2, 'Reading Report Logic'!$A$2:$B$8, 2, FALSE)&amp;"]")),FALSE))),""))),"")</f>
        <v/>
      </c>
      <c r="E581" s="205" t="str" cm="1">
        <f t="array" aca="1" ref="E581" ca="1">IFERROR(
IF($J$2="ELA",
IF(VLOOKUP($A581, YES_Reading_ELA[], COLUMN(INDIRECT("YES_Reading_ELA[Min Expectation - Per "&amp;VLOOKUP($D$2, 'Reading Report Logic'!$A$2:$B$8, 2, FALSE)&amp;"]")), FALSE)="", "",
VLOOKUP($A581,YES_Reading_ELA[], COLUMN(INDIRECT("YES_Reading_ELA[Min Expectation - Per "&amp;VLOOKUP($D$2,'Reading Report Logic'!$A$2:$B$8,2,FALSE)&amp;"]")), FALSE)),
IF($J$2="FLA",
IF(VLOOKUP($A581, YES_Reading_FLA[], COLUMN(INDIRECT("YES_Reading_FLA[Min Expectation - Per "&amp;VLOOKUP($D$2,'Reading Report Logic'!$A$2:$B$8,2,FALSE)&amp;"]")),FALSE)="","",
VLOOKUP($A581,YES_Reading_FLA[],COLUMN(INDIRECT("YES_Reading_FLA[Min Expectation - Per "&amp;VLOOKUP($D$2,'Reading Report Logic'!$A$2:$B$8,2,FALSE)&amp;"]")),FALSE)),
IF($J$2="Combined",
IFERROR(
IF(VLOOKUP($A581, YES_Reading_ELA[], COLUMN(INDIRECT("YES_Reading_ELA[Min Expectation - Per "&amp;VLOOKUP($D$2, 'Reading Report Logic'!$A$2:$B$8,2,FALSE)&amp;"]")), FALSE)="", "",
VLOOKUP($A581,YES_Reading_ELA[],COLUMN(INDIRECT("YES_Reading_ELA[Min Expectation - Per "&amp;VLOOKUP($D$2,'Reading Report Logic'!$A$2:$B$8,2,FALSE)&amp;"]")),FALSE)),
IF(VLOOKUP($A581, YES_Reading_FLA[], COLUMN(INDIRECT("YES_Reading_FLA[Min Expectation - Per "&amp;VLOOKUP($D$2, 'Reading Report Logic'!$A$2:$B$8, 2, FALSE)&amp;"]")),FALSE)="", "", VLOOKUP($A581,YES_Reading_FLA[],COLUMN(INDIRECT("YES_Reading_FLA[Min Expectation - Per "&amp;VLOOKUP($D$2, 'Reading Report Logic'!$A$2:$B$8, 2, FALSE)&amp;"]")),FALSE))),""))),"")</f>
        <v/>
      </c>
      <c r="F581" s="205" t="str" cm="1">
        <f t="array" aca="1" ref="F581" ca="1">IFERROR(
IF($J$2="ELA",
IF(VLOOKUP($A581, YES_Reading_ELA[], COLUMN(INDIRECT("YES_Reading_ELA[Max Expectation - Per "&amp;VLOOKUP($D$2, 'Reading Report Logic'!$A$2:$B$8, 2, FALSE)&amp;"]")), FALSE)="", "",
VLOOKUP($A581,YES_Reading_ELA[], COLUMN(INDIRECT("YES_Reading_ELA[Max Expectation - Per "&amp;VLOOKUP($D$2,'Reading Report Logic'!$A$2:$B$8,2,FALSE)&amp;"]")), FALSE)),
IF($J$2="FLA",
IF(VLOOKUP($A581, YES_Reading_FLA[], COLUMN(INDIRECT("YES_Reading_FLA[Max Expectation - Per "&amp;VLOOKUP($D$2,'Reading Report Logic'!$A$2:$B$8,2,FALSE)&amp;"]")),FALSE)="","",
VLOOKUP($A581,YES_Reading_FLA[],COLUMN(INDIRECT("YES_Reading_FLA[Max Expectation - Per "&amp;VLOOKUP($D$2,'Reading Report Logic'!$A$2:$B$8,2,FALSE)&amp;"]")),FALSE)),
IF($J$2="Combined",
IFERROR(
IF(VLOOKUP($A581, YES_Reading_ELA[], COLUMN(INDIRECT("YES_Reading_ELA[Max Expectation - Per "&amp;VLOOKUP($D$2, 'Reading Report Logic'!$A$2:$B$8,2,FALSE)&amp;"]")), FALSE)="", "",
VLOOKUP($A581,YES_Reading_ELA[],COLUMN(INDIRECT("YES_Reading_ELA[Max Expectation - Per "&amp;VLOOKUP($D$2,'Reading Report Logic'!$A$2:$B$8,2,FALSE)&amp;"]")),FALSE)),
IF(VLOOKUP($A581, YES_Reading_FLA[], COLUMN(INDIRECT("YES_Reading_FLA[Max Expectation - Per "&amp;VLOOKUP($D$2, 'Reading Report Logic'!$A$2:$B$8, 2, FALSE)&amp;"]")),FALSE)="", "", VLOOKUP($A581,YES_Reading_FLA[],COLUMN(INDIRECT("YES_Reading_FLA[Max Expectation - Per "&amp;VLOOKUP($D$2, 'Reading Report Logic'!$A$2:$B$8, 2, FALSE)&amp;"]")),FALSE))),""))),"")</f>
        <v/>
      </c>
      <c r="G581" s="205" t="str" cm="1">
        <f t="array" aca="1" ref="G581" ca="1">IFERROR(
IF($J$2="ELA",
IF(VLOOKUP($A581, YES_Reading_ELA[], COLUMN(INDIRECT("YES_Reading_ELA[Difference - Per "&amp;VLOOKUP($D$2, 'Reading Report Logic'!$A$2:$B$8, 2, FALSE)&amp;"]")), FALSE)="", "",
VLOOKUP($A581,YES_Reading_ELA[], COLUMN(INDIRECT("YES_Reading_ELA[Difference - Per "&amp;VLOOKUP($D$2,'Reading Report Logic'!$A$2:$B$8,2,FALSE)&amp;"]")), FALSE)),
IF($J$2="FLA",
IF(VLOOKUP($A581, YES_Reading_FLA[], COLUMN(INDIRECT("YES_Reading_FLA[Difference - Per "&amp;VLOOKUP($D$2,'Reading Report Logic'!$A$2:$B$8,2,FALSE)&amp;"]")),FALSE)="","",
VLOOKUP($A581,YES_Reading_FLA[],COLUMN(INDIRECT("YES_Reading_FLA[Difference - Per "&amp;VLOOKUP($D$2,'Reading Report Logic'!$A$2:$B$8,2,FALSE)&amp;"]")),FALSE)),
IF($J$2="Combined",
IFERROR(
IF(VLOOKUP($A581, YES_Reading_ELA[], COLUMN(INDIRECT("YES_Reading_ELA[Difference - Per "&amp;VLOOKUP($D$2, 'Reading Report Logic'!$A$2:$B$8,2,FALSE)&amp;"]")), FALSE)="", "",
VLOOKUP($A581,YES_Reading_ELA[],COLUMN(INDIRECT("YES_Reading_ELA[Difference - Per "&amp;VLOOKUP($D$2,'Reading Report Logic'!$A$2:$B$8,2,FALSE)&amp;"]")),FALSE)),
IF(VLOOKUP($A581, YES_Reading_FLA[], COLUMN(INDIRECT("YES_Reading_FLA[Difference - Per "&amp;VLOOKUP($D$2, 'Reading Report Logic'!$A$2:$B$8, 2, FALSE)&amp;"]")),FALSE)="", "", VLOOKUP($A581,YES_Reading_FLA[],COLUMN(INDIRECT("YES_Reading_FLA[Difference - Per "&amp;VLOOKUP($D$2, 'Reading Report Logic'!$A$2:$B$8, 2, FALSE)&amp;"]")),FALSE))),""))),"")</f>
        <v/>
      </c>
      <c r="H581" s="206" t="str">
        <f ca="1">IFERROR(VLOOKUP('Teacher Reading Pull Sheets'!$D581,_xlfn.VSTACK('ELA Reading Logic'!$A$22:$B$48,'FLA Reading Logic'!$A$22:$B$53),2,FALSE)-VLOOKUP('Teacher Reading Pull Sheets'!$C581,_xlfn.VSTACK('ELA Reading Logic'!$A$22:$B$48,'FLA Reading Logic'!$A$22:$B$53),2,FALSE),"")</f>
        <v/>
      </c>
      <c r="I581" s="212"/>
      <c r="J581" s="206"/>
      <c r="K581" s="197" t="str" cm="1">
        <f t="array" ref="K581">IFERROR(
IF($J$2="ELA",
IF(VLOOKUP($A581, YES_Reading_ELA[], COLUMN(YES_Reading_ELA[Self-Identified as African Descent]), FALSE)="", "",
VLOOKUP($A581,YES_Reading_ELA[], COLUMN(YES_Reading_ELA[Self-Identified as African Descent]), FALSE)),
IF($J$2="FLA",
IF(VLOOKUP($A581, YES_Reading_FLA[], COLUMN(YES_Reading_FLA[Self-Identified as African Descent]),FALSE)="","",
VLOOKUP($A581,YES_Reading_FLA[],COLUMN(YES_Reading_FLA[Self-Identified as African Descent]),FALSE)),
IF($J$2="Combined",
IFERROR(
IF(VLOOKUP($A581, YES_Reading_ELA[], COLUMN(YES_Reading_ELA[Self-Identified as African Descent]), FALSE)="", "",
VLOOKUP($A581,YES_Reading_ELA[],COLUMN(YES_Reading_ELA[Self-Identified as African Descent]),FALSE)),
IF(VLOOKUP($A581, YES_Reading_FLA[], COLUMN(YES_Reading_FLA[Self-Identified as African Descent]),FALSE)="", "", VLOOKUP($A581,YES_Reading_FLA[],COLUMN(YES_Reading_FLA[Self-Identified as African Descent]),FALSE))),""))),"")</f>
        <v/>
      </c>
      <c r="L581" s="73" t="str" cm="1">
        <f t="array" ref="L581">IFERROR(
IF($J$2="ELA",
IF(VLOOKUP($A581, YES_Reading_ELA[], COLUMN(YES_Reading_ELA[Self-Identified as Indigenous]), FALSE)="", "",
VLOOKUP($A581,YES_Reading_ELA[], COLUMN(YES_Reading_ELA[Self-Identified as Indigenous]), FALSE)),
IF($J$2="FLA",
IF(VLOOKUP($A581, YES_Reading_FLA[], COLUMN(YES_Reading_FLA[Self-Identified as Indigenous]),FALSE)="","",
VLOOKUP($A581,YES_Reading_FLA[],COLUMN(YES_Reading_FLA[Self-Identified as Indigenous]),FALSE)),
IF($J$2="Combined",
IFERROR(
IF(VLOOKUP($A581, YES_Reading_ELA[], COLUMN(YES_Reading_ELA[Self-Identified as Indigenous]), FALSE)="", "",
VLOOKUP($A581,YES_Reading_ELA[],COLUMN(YES_Reading_ELA[Self-Identified as Indigenous]),FALSE)),
IF(VLOOKUP($A581, YES_Reading_FLA[], COLUMN(YES_Reading_FLA[Self-Identified as Indigenous]),FALSE)="", "", VLOOKUP($A581,YES_Reading_FLA[],COLUMN(YES_Reading_FLA[Self-Identified as Indigenous]),FALSE))),""))),"")</f>
        <v/>
      </c>
    </row>
    <row r="582" spans="1:12" ht="19.5" customHeight="1" x14ac:dyDescent="0.25">
      <c r="A582" s="217"/>
      <c r="B582" s="220" t="str">
        <f>IFERROR(VLOOKUP(A582,_xlfn.VSTACK(YES_Reading_ELA[],YES_Reading_FLA[]),2,FALSE),"")</f>
        <v/>
      </c>
      <c r="C582" s="203" t="str" cm="1">
        <f t="array" aca="1" ref="C582" ca="1">IFERROR(
IF($J$2="ELA",
IF(VLOOKUP($A582, YES_Reading_ELA[], COLUMN(IF(VLOOKUP($D$2, 'Reading Report Logic'!$A$2:$B$8, 2, FALSE)=1, YES_Reading_ELA[Reading Level June of Previous School Year], INDIRECT("YES_Reading_ELA[Instructional Reading Level - Per "&amp;(VLOOKUP($D$2,'Reading Report Logic'!$A$2:$B$8,2,FALSE)-1)&amp;"]"))), FALSE)="", "",
VLOOKUP($A582,YES_Reading_ELA[], COLUMN(IF(VLOOKUP($D$2,'Reading Report Logic'!$A$2:$B$8,2,FALSE)=1, YES_Reading_ELA[Reading Level June of Previous School Year],INDIRECT("YES_Reading_ELA[Instructional Reading Level - Per "&amp;(VLOOKUP($D$2,'Reading Report Logic'!$A$2:$B$8,2,FALSE)-1)&amp;"]"))), FALSE)),
IF($J$2="FLA",
IF(VLOOKUP($A582, YES_Reading_FLA[], COLUMN(IF(VLOOKUP($D$2,'Reading Report Logic'!$A$2:$B$8,2,FALSE)=1, YES_Reading_FLA[Reading Level June of Previous School Year],INDIRECT("YES_Reading_FLA[Instructional Reading Level - Per "&amp;(VLOOKUP($D$2,'Reading Report Logic'!$A$2:$B$8,2,FALSE)-1)&amp;"]"))),FALSE)="","",
VLOOKUP($A582,YES_Reading_FLA[], COLUMN(IF(VLOOKUP($D$2,'Reading Report Logic'!$A$2:$B$8,2,FALSE)=1, YES_Reading_FLA[Reading Level June of Previous School Year],INDIRECT("YES_Reading_FLA[Instructional Reading Level - Per "&amp;(VLOOKUP($D$2,'Reading Report Logic'!$A$2:$B$8,2,FALSE)-1)&amp;"]"))),FALSE)),
IF($J$2="Combined",
IFERROR(
IF(VLOOKUP($A582, YES_Reading_ELA[], COLUMN(IF(VLOOKUP($D$2,'Reading Report Logic'!$A$2:$B$8,2,FALSE)=1, YES_Reading_ELA[Reading Level June of Previous School Year],INDIRECT("YES_Reading_ELA[Instructional Reading Level - Per "&amp;(VLOOKUP($D$2,'Reading Report Logic'!$A$2:$B$8,2,FALSE)-1)&amp;"]"))), FALSE)="", "",
VLOOKUP($A582,YES_Reading_ELA[],COLUMN(IF(VLOOKUP($D$2,'Reading Report Logic'!$A$2:$B$8,2,FALSE)=1, YES_Reading_ELA[Reading Level June of Previous School Year],INDIRECT("YES_Reading_ELA[Instructional Reading Level - Per "&amp;(VLOOKUP($D$2,'Reading Report Logic'!$A$2:$B$8,2,FALSE)-1)&amp;"]"))),FALSE)),
IF(VLOOKUP($A582, YES_Reading_FLA[], COLUMN(IF(VLOOKUP($D$2,'Reading Report Logic'!$A$2:$B$8,2,FALSE)=1, YES_Reading_FLA[Reading Level June of Previous School Year],INDIRECT("YES_Reading_FLA[Instructional Reading Level - Per "&amp;(VLOOKUP($D$2,'Reading Report Logic'!$A$2:$B$8,2,FALSE)-1)&amp;"]"))),FALSE)="", "", VLOOKUP($A582,YES_Reading_FLA[],COLUMN(IF(VLOOKUP($D$2,'Reading Report Logic'!$A$2:$B$8,2,FALSE)=1, YES_Reading_FLA[Reading Level June of Previous School Year],INDIRECT("YES_Reading_FLA[Instructional Reading Level - Per "&amp;(VLOOKUP($D$2,'Reading Report Logic'!$A$2:$B$8,2,FALSE)-1)&amp;"]"))), FALSE))),""))),"")</f>
        <v/>
      </c>
      <c r="D582" s="204" t="str" cm="1">
        <f t="array" aca="1" ref="D582" ca="1">IFERROR(
IF($J$2="ELA",
IF(VLOOKUP($A582, YES_Reading_ELA[], COLUMN(INDIRECT("YES_Reading_ELA[Instructional Reading Level - Per "&amp;VLOOKUP($D$2, 'Reading Report Logic'!$A$2:$B$8, 2, FALSE)&amp;"]")), FALSE)="", "",
VLOOKUP($A582,YES_Reading_ELA[], COLUMN(INDIRECT("YES_Reading_ELA[Instructional Reading Level - Per "&amp;VLOOKUP($D$2,'Reading Report Logic'!$A$2:$B$8,2,FALSE)&amp;"]")), FALSE)),
IF($J$2="FLA",
IF(VLOOKUP($A582, YES_Reading_FLA[], COLUMN(INDIRECT("YES_Reading_FLA[Instructional Reading Level - Per "&amp;VLOOKUP($D$2,'Reading Report Logic'!$A$2:$B$8,2,FALSE)&amp;"]")),FALSE)="","",
VLOOKUP($A582,YES_Reading_FLA[],COLUMN(INDIRECT("YES_Reading_FLA[Instructional Reading Level - Per "&amp;VLOOKUP($D$2,'Reading Report Logic'!$A$2:$B$8,2,FALSE)&amp;"]")),FALSE)),
IF($J$2="Combined",
IFERROR(
IF(VLOOKUP($A582, YES_Reading_ELA[], COLUMN(INDIRECT("YES_Reading_ELA[Instructional Reading Level - Per "&amp;VLOOKUP($D$2, 'Reading Report Logic'!$A$2:$B$8,2,FALSE)&amp;"]")), FALSE)="", "",
VLOOKUP($A582,YES_Reading_ELA[],COLUMN(INDIRECT("YES_Reading_ELA[Instructional Reading Level - Per "&amp;VLOOKUP($D$2,'Reading Report Logic'!$A$2:$B$8,2,FALSE)&amp;"]")),FALSE)),
IF(VLOOKUP($A582, YES_Reading_FLA[], COLUMN(INDIRECT("YES_Reading_FLA[Instructional Reading Level - Per "&amp;VLOOKUP($D$2, 'Reading Report Logic'!$A$2:$B$8, 2, FALSE)&amp;"]")),FALSE)="", "", VLOOKUP($A582,YES_Reading_FLA[],COLUMN(INDIRECT("YES_Reading_FLA[Instructional Reading Level - Per "&amp;VLOOKUP($D$2, 'Reading Report Logic'!$A$2:$B$8, 2, FALSE)&amp;"]")),FALSE))),""))),"")</f>
        <v/>
      </c>
      <c r="E582" s="205" t="str" cm="1">
        <f t="array" aca="1" ref="E582" ca="1">IFERROR(
IF($J$2="ELA",
IF(VLOOKUP($A582, YES_Reading_ELA[], COLUMN(INDIRECT("YES_Reading_ELA[Min Expectation - Per "&amp;VLOOKUP($D$2, 'Reading Report Logic'!$A$2:$B$8, 2, FALSE)&amp;"]")), FALSE)="", "",
VLOOKUP($A582,YES_Reading_ELA[], COLUMN(INDIRECT("YES_Reading_ELA[Min Expectation - Per "&amp;VLOOKUP($D$2,'Reading Report Logic'!$A$2:$B$8,2,FALSE)&amp;"]")), FALSE)),
IF($J$2="FLA",
IF(VLOOKUP($A582, YES_Reading_FLA[], COLUMN(INDIRECT("YES_Reading_FLA[Min Expectation - Per "&amp;VLOOKUP($D$2,'Reading Report Logic'!$A$2:$B$8,2,FALSE)&amp;"]")),FALSE)="","",
VLOOKUP($A582,YES_Reading_FLA[],COLUMN(INDIRECT("YES_Reading_FLA[Min Expectation - Per "&amp;VLOOKUP($D$2,'Reading Report Logic'!$A$2:$B$8,2,FALSE)&amp;"]")),FALSE)),
IF($J$2="Combined",
IFERROR(
IF(VLOOKUP($A582, YES_Reading_ELA[], COLUMN(INDIRECT("YES_Reading_ELA[Min Expectation - Per "&amp;VLOOKUP($D$2, 'Reading Report Logic'!$A$2:$B$8,2,FALSE)&amp;"]")), FALSE)="", "",
VLOOKUP($A582,YES_Reading_ELA[],COLUMN(INDIRECT("YES_Reading_ELA[Min Expectation - Per "&amp;VLOOKUP($D$2,'Reading Report Logic'!$A$2:$B$8,2,FALSE)&amp;"]")),FALSE)),
IF(VLOOKUP($A582, YES_Reading_FLA[], COLUMN(INDIRECT("YES_Reading_FLA[Min Expectation - Per "&amp;VLOOKUP($D$2, 'Reading Report Logic'!$A$2:$B$8, 2, FALSE)&amp;"]")),FALSE)="", "", VLOOKUP($A582,YES_Reading_FLA[],COLUMN(INDIRECT("YES_Reading_FLA[Min Expectation - Per "&amp;VLOOKUP($D$2, 'Reading Report Logic'!$A$2:$B$8, 2, FALSE)&amp;"]")),FALSE))),""))),"")</f>
        <v/>
      </c>
      <c r="F582" s="205" t="str" cm="1">
        <f t="array" aca="1" ref="F582" ca="1">IFERROR(
IF($J$2="ELA",
IF(VLOOKUP($A582, YES_Reading_ELA[], COLUMN(INDIRECT("YES_Reading_ELA[Max Expectation - Per "&amp;VLOOKUP($D$2, 'Reading Report Logic'!$A$2:$B$8, 2, FALSE)&amp;"]")), FALSE)="", "",
VLOOKUP($A582,YES_Reading_ELA[], COLUMN(INDIRECT("YES_Reading_ELA[Max Expectation - Per "&amp;VLOOKUP($D$2,'Reading Report Logic'!$A$2:$B$8,2,FALSE)&amp;"]")), FALSE)),
IF($J$2="FLA",
IF(VLOOKUP($A582, YES_Reading_FLA[], COLUMN(INDIRECT("YES_Reading_FLA[Max Expectation - Per "&amp;VLOOKUP($D$2,'Reading Report Logic'!$A$2:$B$8,2,FALSE)&amp;"]")),FALSE)="","",
VLOOKUP($A582,YES_Reading_FLA[],COLUMN(INDIRECT("YES_Reading_FLA[Max Expectation - Per "&amp;VLOOKUP($D$2,'Reading Report Logic'!$A$2:$B$8,2,FALSE)&amp;"]")),FALSE)),
IF($J$2="Combined",
IFERROR(
IF(VLOOKUP($A582, YES_Reading_ELA[], COLUMN(INDIRECT("YES_Reading_ELA[Max Expectation - Per "&amp;VLOOKUP($D$2, 'Reading Report Logic'!$A$2:$B$8,2,FALSE)&amp;"]")), FALSE)="", "",
VLOOKUP($A582,YES_Reading_ELA[],COLUMN(INDIRECT("YES_Reading_ELA[Max Expectation - Per "&amp;VLOOKUP($D$2,'Reading Report Logic'!$A$2:$B$8,2,FALSE)&amp;"]")),FALSE)),
IF(VLOOKUP($A582, YES_Reading_FLA[], COLUMN(INDIRECT("YES_Reading_FLA[Max Expectation - Per "&amp;VLOOKUP($D$2, 'Reading Report Logic'!$A$2:$B$8, 2, FALSE)&amp;"]")),FALSE)="", "", VLOOKUP($A582,YES_Reading_FLA[],COLUMN(INDIRECT("YES_Reading_FLA[Max Expectation - Per "&amp;VLOOKUP($D$2, 'Reading Report Logic'!$A$2:$B$8, 2, FALSE)&amp;"]")),FALSE))),""))),"")</f>
        <v/>
      </c>
      <c r="G582" s="205" t="str" cm="1">
        <f t="array" aca="1" ref="G582" ca="1">IFERROR(
IF($J$2="ELA",
IF(VLOOKUP($A582, YES_Reading_ELA[], COLUMN(INDIRECT("YES_Reading_ELA[Difference - Per "&amp;VLOOKUP($D$2, 'Reading Report Logic'!$A$2:$B$8, 2, FALSE)&amp;"]")), FALSE)="", "",
VLOOKUP($A582,YES_Reading_ELA[], COLUMN(INDIRECT("YES_Reading_ELA[Difference - Per "&amp;VLOOKUP($D$2,'Reading Report Logic'!$A$2:$B$8,2,FALSE)&amp;"]")), FALSE)),
IF($J$2="FLA",
IF(VLOOKUP($A582, YES_Reading_FLA[], COLUMN(INDIRECT("YES_Reading_FLA[Difference - Per "&amp;VLOOKUP($D$2,'Reading Report Logic'!$A$2:$B$8,2,FALSE)&amp;"]")),FALSE)="","",
VLOOKUP($A582,YES_Reading_FLA[],COLUMN(INDIRECT("YES_Reading_FLA[Difference - Per "&amp;VLOOKUP($D$2,'Reading Report Logic'!$A$2:$B$8,2,FALSE)&amp;"]")),FALSE)),
IF($J$2="Combined",
IFERROR(
IF(VLOOKUP($A582, YES_Reading_ELA[], COLUMN(INDIRECT("YES_Reading_ELA[Difference - Per "&amp;VLOOKUP($D$2, 'Reading Report Logic'!$A$2:$B$8,2,FALSE)&amp;"]")), FALSE)="", "",
VLOOKUP($A582,YES_Reading_ELA[],COLUMN(INDIRECT("YES_Reading_ELA[Difference - Per "&amp;VLOOKUP($D$2,'Reading Report Logic'!$A$2:$B$8,2,FALSE)&amp;"]")),FALSE)),
IF(VLOOKUP($A582, YES_Reading_FLA[], COLUMN(INDIRECT("YES_Reading_FLA[Difference - Per "&amp;VLOOKUP($D$2, 'Reading Report Logic'!$A$2:$B$8, 2, FALSE)&amp;"]")),FALSE)="", "", VLOOKUP($A582,YES_Reading_FLA[],COLUMN(INDIRECT("YES_Reading_FLA[Difference - Per "&amp;VLOOKUP($D$2, 'Reading Report Logic'!$A$2:$B$8, 2, FALSE)&amp;"]")),FALSE))),""))),"")</f>
        <v/>
      </c>
      <c r="H582" s="206" t="str">
        <f ca="1">IFERROR(VLOOKUP('Teacher Reading Pull Sheets'!$D582,_xlfn.VSTACK('ELA Reading Logic'!$A$22:$B$48,'FLA Reading Logic'!$A$22:$B$53),2,FALSE)-VLOOKUP('Teacher Reading Pull Sheets'!$C582,_xlfn.VSTACK('ELA Reading Logic'!$A$22:$B$48,'FLA Reading Logic'!$A$22:$B$53),2,FALSE),"")</f>
        <v/>
      </c>
      <c r="I582" s="212"/>
      <c r="J582" s="206"/>
      <c r="K582" s="197" t="str" cm="1">
        <f t="array" ref="K582">IFERROR(
IF($J$2="ELA",
IF(VLOOKUP($A582, YES_Reading_ELA[], COLUMN(YES_Reading_ELA[Self-Identified as African Descent]), FALSE)="", "",
VLOOKUP($A582,YES_Reading_ELA[], COLUMN(YES_Reading_ELA[Self-Identified as African Descent]), FALSE)),
IF($J$2="FLA",
IF(VLOOKUP($A582, YES_Reading_FLA[], COLUMN(YES_Reading_FLA[Self-Identified as African Descent]),FALSE)="","",
VLOOKUP($A582,YES_Reading_FLA[],COLUMN(YES_Reading_FLA[Self-Identified as African Descent]),FALSE)),
IF($J$2="Combined",
IFERROR(
IF(VLOOKUP($A582, YES_Reading_ELA[], COLUMN(YES_Reading_ELA[Self-Identified as African Descent]), FALSE)="", "",
VLOOKUP($A582,YES_Reading_ELA[],COLUMN(YES_Reading_ELA[Self-Identified as African Descent]),FALSE)),
IF(VLOOKUP($A582, YES_Reading_FLA[], COLUMN(YES_Reading_FLA[Self-Identified as African Descent]),FALSE)="", "", VLOOKUP($A582,YES_Reading_FLA[],COLUMN(YES_Reading_FLA[Self-Identified as African Descent]),FALSE))),""))),"")</f>
        <v/>
      </c>
      <c r="L582" s="73" t="str" cm="1">
        <f t="array" ref="L582">IFERROR(
IF($J$2="ELA",
IF(VLOOKUP($A582, YES_Reading_ELA[], COLUMN(YES_Reading_ELA[Self-Identified as Indigenous]), FALSE)="", "",
VLOOKUP($A582,YES_Reading_ELA[], COLUMN(YES_Reading_ELA[Self-Identified as Indigenous]), FALSE)),
IF($J$2="FLA",
IF(VLOOKUP($A582, YES_Reading_FLA[], COLUMN(YES_Reading_FLA[Self-Identified as Indigenous]),FALSE)="","",
VLOOKUP($A582,YES_Reading_FLA[],COLUMN(YES_Reading_FLA[Self-Identified as Indigenous]),FALSE)),
IF($J$2="Combined",
IFERROR(
IF(VLOOKUP($A582, YES_Reading_ELA[], COLUMN(YES_Reading_ELA[Self-Identified as Indigenous]), FALSE)="", "",
VLOOKUP($A582,YES_Reading_ELA[],COLUMN(YES_Reading_ELA[Self-Identified as Indigenous]),FALSE)),
IF(VLOOKUP($A582, YES_Reading_FLA[], COLUMN(YES_Reading_FLA[Self-Identified as Indigenous]),FALSE)="", "", VLOOKUP($A582,YES_Reading_FLA[],COLUMN(YES_Reading_FLA[Self-Identified as Indigenous]),FALSE))),""))),"")</f>
        <v/>
      </c>
    </row>
    <row r="583" spans="1:12" ht="19.5" customHeight="1" x14ac:dyDescent="0.25">
      <c r="A583" s="217"/>
      <c r="B583" s="220" t="str">
        <f>IFERROR(VLOOKUP(A583,_xlfn.VSTACK(YES_Reading_ELA[],YES_Reading_FLA[]),2,FALSE),"")</f>
        <v/>
      </c>
      <c r="C583" s="203" t="str" cm="1">
        <f t="array" aca="1" ref="C583" ca="1">IFERROR(
IF($J$2="ELA",
IF(VLOOKUP($A583, YES_Reading_ELA[], COLUMN(IF(VLOOKUP($D$2, 'Reading Report Logic'!$A$2:$B$8, 2, FALSE)=1, YES_Reading_ELA[Reading Level June of Previous School Year], INDIRECT("YES_Reading_ELA[Instructional Reading Level - Per "&amp;(VLOOKUP($D$2,'Reading Report Logic'!$A$2:$B$8,2,FALSE)-1)&amp;"]"))), FALSE)="", "",
VLOOKUP($A583,YES_Reading_ELA[], COLUMN(IF(VLOOKUP($D$2,'Reading Report Logic'!$A$2:$B$8,2,FALSE)=1, YES_Reading_ELA[Reading Level June of Previous School Year],INDIRECT("YES_Reading_ELA[Instructional Reading Level - Per "&amp;(VLOOKUP($D$2,'Reading Report Logic'!$A$2:$B$8,2,FALSE)-1)&amp;"]"))), FALSE)),
IF($J$2="FLA",
IF(VLOOKUP($A583, YES_Reading_FLA[], COLUMN(IF(VLOOKUP($D$2,'Reading Report Logic'!$A$2:$B$8,2,FALSE)=1, YES_Reading_FLA[Reading Level June of Previous School Year],INDIRECT("YES_Reading_FLA[Instructional Reading Level - Per "&amp;(VLOOKUP($D$2,'Reading Report Logic'!$A$2:$B$8,2,FALSE)-1)&amp;"]"))),FALSE)="","",
VLOOKUP($A583,YES_Reading_FLA[], COLUMN(IF(VLOOKUP($D$2,'Reading Report Logic'!$A$2:$B$8,2,FALSE)=1, YES_Reading_FLA[Reading Level June of Previous School Year],INDIRECT("YES_Reading_FLA[Instructional Reading Level - Per "&amp;(VLOOKUP($D$2,'Reading Report Logic'!$A$2:$B$8,2,FALSE)-1)&amp;"]"))),FALSE)),
IF($J$2="Combined",
IFERROR(
IF(VLOOKUP($A583, YES_Reading_ELA[], COLUMN(IF(VLOOKUP($D$2,'Reading Report Logic'!$A$2:$B$8,2,FALSE)=1, YES_Reading_ELA[Reading Level June of Previous School Year],INDIRECT("YES_Reading_ELA[Instructional Reading Level - Per "&amp;(VLOOKUP($D$2,'Reading Report Logic'!$A$2:$B$8,2,FALSE)-1)&amp;"]"))), FALSE)="", "",
VLOOKUP($A583,YES_Reading_ELA[],COLUMN(IF(VLOOKUP($D$2,'Reading Report Logic'!$A$2:$B$8,2,FALSE)=1, YES_Reading_ELA[Reading Level June of Previous School Year],INDIRECT("YES_Reading_ELA[Instructional Reading Level - Per "&amp;(VLOOKUP($D$2,'Reading Report Logic'!$A$2:$B$8,2,FALSE)-1)&amp;"]"))),FALSE)),
IF(VLOOKUP($A583, YES_Reading_FLA[], COLUMN(IF(VLOOKUP($D$2,'Reading Report Logic'!$A$2:$B$8,2,FALSE)=1, YES_Reading_FLA[Reading Level June of Previous School Year],INDIRECT("YES_Reading_FLA[Instructional Reading Level - Per "&amp;(VLOOKUP($D$2,'Reading Report Logic'!$A$2:$B$8,2,FALSE)-1)&amp;"]"))),FALSE)="", "", VLOOKUP($A583,YES_Reading_FLA[],COLUMN(IF(VLOOKUP($D$2,'Reading Report Logic'!$A$2:$B$8,2,FALSE)=1, YES_Reading_FLA[Reading Level June of Previous School Year],INDIRECT("YES_Reading_FLA[Instructional Reading Level - Per "&amp;(VLOOKUP($D$2,'Reading Report Logic'!$A$2:$B$8,2,FALSE)-1)&amp;"]"))), FALSE))),""))),"")</f>
        <v/>
      </c>
      <c r="D583" s="204" t="str" cm="1">
        <f t="array" aca="1" ref="D583" ca="1">IFERROR(
IF($J$2="ELA",
IF(VLOOKUP($A583, YES_Reading_ELA[], COLUMN(INDIRECT("YES_Reading_ELA[Instructional Reading Level - Per "&amp;VLOOKUP($D$2, 'Reading Report Logic'!$A$2:$B$8, 2, FALSE)&amp;"]")), FALSE)="", "",
VLOOKUP($A583,YES_Reading_ELA[], COLUMN(INDIRECT("YES_Reading_ELA[Instructional Reading Level - Per "&amp;VLOOKUP($D$2,'Reading Report Logic'!$A$2:$B$8,2,FALSE)&amp;"]")), FALSE)),
IF($J$2="FLA",
IF(VLOOKUP($A583, YES_Reading_FLA[], COLUMN(INDIRECT("YES_Reading_FLA[Instructional Reading Level - Per "&amp;VLOOKUP($D$2,'Reading Report Logic'!$A$2:$B$8,2,FALSE)&amp;"]")),FALSE)="","",
VLOOKUP($A583,YES_Reading_FLA[],COLUMN(INDIRECT("YES_Reading_FLA[Instructional Reading Level - Per "&amp;VLOOKUP($D$2,'Reading Report Logic'!$A$2:$B$8,2,FALSE)&amp;"]")),FALSE)),
IF($J$2="Combined",
IFERROR(
IF(VLOOKUP($A583, YES_Reading_ELA[], COLUMN(INDIRECT("YES_Reading_ELA[Instructional Reading Level - Per "&amp;VLOOKUP($D$2, 'Reading Report Logic'!$A$2:$B$8,2,FALSE)&amp;"]")), FALSE)="", "",
VLOOKUP($A583,YES_Reading_ELA[],COLUMN(INDIRECT("YES_Reading_ELA[Instructional Reading Level - Per "&amp;VLOOKUP($D$2,'Reading Report Logic'!$A$2:$B$8,2,FALSE)&amp;"]")),FALSE)),
IF(VLOOKUP($A583, YES_Reading_FLA[], COLUMN(INDIRECT("YES_Reading_FLA[Instructional Reading Level - Per "&amp;VLOOKUP($D$2, 'Reading Report Logic'!$A$2:$B$8, 2, FALSE)&amp;"]")),FALSE)="", "", VLOOKUP($A583,YES_Reading_FLA[],COLUMN(INDIRECT("YES_Reading_FLA[Instructional Reading Level - Per "&amp;VLOOKUP($D$2, 'Reading Report Logic'!$A$2:$B$8, 2, FALSE)&amp;"]")),FALSE))),""))),"")</f>
        <v/>
      </c>
      <c r="E583" s="205" t="str" cm="1">
        <f t="array" aca="1" ref="E583" ca="1">IFERROR(
IF($J$2="ELA",
IF(VLOOKUP($A583, YES_Reading_ELA[], COLUMN(INDIRECT("YES_Reading_ELA[Min Expectation - Per "&amp;VLOOKUP($D$2, 'Reading Report Logic'!$A$2:$B$8, 2, FALSE)&amp;"]")), FALSE)="", "",
VLOOKUP($A583,YES_Reading_ELA[], COLUMN(INDIRECT("YES_Reading_ELA[Min Expectation - Per "&amp;VLOOKUP($D$2,'Reading Report Logic'!$A$2:$B$8,2,FALSE)&amp;"]")), FALSE)),
IF($J$2="FLA",
IF(VLOOKUP($A583, YES_Reading_FLA[], COLUMN(INDIRECT("YES_Reading_FLA[Min Expectation - Per "&amp;VLOOKUP($D$2,'Reading Report Logic'!$A$2:$B$8,2,FALSE)&amp;"]")),FALSE)="","",
VLOOKUP($A583,YES_Reading_FLA[],COLUMN(INDIRECT("YES_Reading_FLA[Min Expectation - Per "&amp;VLOOKUP($D$2,'Reading Report Logic'!$A$2:$B$8,2,FALSE)&amp;"]")),FALSE)),
IF($J$2="Combined",
IFERROR(
IF(VLOOKUP($A583, YES_Reading_ELA[], COLUMN(INDIRECT("YES_Reading_ELA[Min Expectation - Per "&amp;VLOOKUP($D$2, 'Reading Report Logic'!$A$2:$B$8,2,FALSE)&amp;"]")), FALSE)="", "",
VLOOKUP($A583,YES_Reading_ELA[],COLUMN(INDIRECT("YES_Reading_ELA[Min Expectation - Per "&amp;VLOOKUP($D$2,'Reading Report Logic'!$A$2:$B$8,2,FALSE)&amp;"]")),FALSE)),
IF(VLOOKUP($A583, YES_Reading_FLA[], COLUMN(INDIRECT("YES_Reading_FLA[Min Expectation - Per "&amp;VLOOKUP($D$2, 'Reading Report Logic'!$A$2:$B$8, 2, FALSE)&amp;"]")),FALSE)="", "", VLOOKUP($A583,YES_Reading_FLA[],COLUMN(INDIRECT("YES_Reading_FLA[Min Expectation - Per "&amp;VLOOKUP($D$2, 'Reading Report Logic'!$A$2:$B$8, 2, FALSE)&amp;"]")),FALSE))),""))),"")</f>
        <v/>
      </c>
      <c r="F583" s="205" t="str" cm="1">
        <f t="array" aca="1" ref="F583" ca="1">IFERROR(
IF($J$2="ELA",
IF(VLOOKUP($A583, YES_Reading_ELA[], COLUMN(INDIRECT("YES_Reading_ELA[Max Expectation - Per "&amp;VLOOKUP($D$2, 'Reading Report Logic'!$A$2:$B$8, 2, FALSE)&amp;"]")), FALSE)="", "",
VLOOKUP($A583,YES_Reading_ELA[], COLUMN(INDIRECT("YES_Reading_ELA[Max Expectation - Per "&amp;VLOOKUP($D$2,'Reading Report Logic'!$A$2:$B$8,2,FALSE)&amp;"]")), FALSE)),
IF($J$2="FLA",
IF(VLOOKUP($A583, YES_Reading_FLA[], COLUMN(INDIRECT("YES_Reading_FLA[Max Expectation - Per "&amp;VLOOKUP($D$2,'Reading Report Logic'!$A$2:$B$8,2,FALSE)&amp;"]")),FALSE)="","",
VLOOKUP($A583,YES_Reading_FLA[],COLUMN(INDIRECT("YES_Reading_FLA[Max Expectation - Per "&amp;VLOOKUP($D$2,'Reading Report Logic'!$A$2:$B$8,2,FALSE)&amp;"]")),FALSE)),
IF($J$2="Combined",
IFERROR(
IF(VLOOKUP($A583, YES_Reading_ELA[], COLUMN(INDIRECT("YES_Reading_ELA[Max Expectation - Per "&amp;VLOOKUP($D$2, 'Reading Report Logic'!$A$2:$B$8,2,FALSE)&amp;"]")), FALSE)="", "",
VLOOKUP($A583,YES_Reading_ELA[],COLUMN(INDIRECT("YES_Reading_ELA[Max Expectation - Per "&amp;VLOOKUP($D$2,'Reading Report Logic'!$A$2:$B$8,2,FALSE)&amp;"]")),FALSE)),
IF(VLOOKUP($A583, YES_Reading_FLA[], COLUMN(INDIRECT("YES_Reading_FLA[Max Expectation - Per "&amp;VLOOKUP($D$2, 'Reading Report Logic'!$A$2:$B$8, 2, FALSE)&amp;"]")),FALSE)="", "", VLOOKUP($A583,YES_Reading_FLA[],COLUMN(INDIRECT("YES_Reading_FLA[Max Expectation - Per "&amp;VLOOKUP($D$2, 'Reading Report Logic'!$A$2:$B$8, 2, FALSE)&amp;"]")),FALSE))),""))),"")</f>
        <v/>
      </c>
      <c r="G583" s="205" t="str" cm="1">
        <f t="array" aca="1" ref="G583" ca="1">IFERROR(
IF($J$2="ELA",
IF(VLOOKUP($A583, YES_Reading_ELA[], COLUMN(INDIRECT("YES_Reading_ELA[Difference - Per "&amp;VLOOKUP($D$2, 'Reading Report Logic'!$A$2:$B$8, 2, FALSE)&amp;"]")), FALSE)="", "",
VLOOKUP($A583,YES_Reading_ELA[], COLUMN(INDIRECT("YES_Reading_ELA[Difference - Per "&amp;VLOOKUP($D$2,'Reading Report Logic'!$A$2:$B$8,2,FALSE)&amp;"]")), FALSE)),
IF($J$2="FLA",
IF(VLOOKUP($A583, YES_Reading_FLA[], COLUMN(INDIRECT("YES_Reading_FLA[Difference - Per "&amp;VLOOKUP($D$2,'Reading Report Logic'!$A$2:$B$8,2,FALSE)&amp;"]")),FALSE)="","",
VLOOKUP($A583,YES_Reading_FLA[],COLUMN(INDIRECT("YES_Reading_FLA[Difference - Per "&amp;VLOOKUP($D$2,'Reading Report Logic'!$A$2:$B$8,2,FALSE)&amp;"]")),FALSE)),
IF($J$2="Combined",
IFERROR(
IF(VLOOKUP($A583, YES_Reading_ELA[], COLUMN(INDIRECT("YES_Reading_ELA[Difference - Per "&amp;VLOOKUP($D$2, 'Reading Report Logic'!$A$2:$B$8,2,FALSE)&amp;"]")), FALSE)="", "",
VLOOKUP($A583,YES_Reading_ELA[],COLUMN(INDIRECT("YES_Reading_ELA[Difference - Per "&amp;VLOOKUP($D$2,'Reading Report Logic'!$A$2:$B$8,2,FALSE)&amp;"]")),FALSE)),
IF(VLOOKUP($A583, YES_Reading_FLA[], COLUMN(INDIRECT("YES_Reading_FLA[Difference - Per "&amp;VLOOKUP($D$2, 'Reading Report Logic'!$A$2:$B$8, 2, FALSE)&amp;"]")),FALSE)="", "", VLOOKUP($A583,YES_Reading_FLA[],COLUMN(INDIRECT("YES_Reading_FLA[Difference - Per "&amp;VLOOKUP($D$2, 'Reading Report Logic'!$A$2:$B$8, 2, FALSE)&amp;"]")),FALSE))),""))),"")</f>
        <v/>
      </c>
      <c r="H583" s="206" t="str">
        <f ca="1">IFERROR(VLOOKUP('Teacher Reading Pull Sheets'!$D583,_xlfn.VSTACK('ELA Reading Logic'!$A$22:$B$48,'FLA Reading Logic'!$A$22:$B$53),2,FALSE)-VLOOKUP('Teacher Reading Pull Sheets'!$C583,_xlfn.VSTACK('ELA Reading Logic'!$A$22:$B$48,'FLA Reading Logic'!$A$22:$B$53),2,FALSE),"")</f>
        <v/>
      </c>
      <c r="I583" s="212"/>
      <c r="J583" s="206"/>
      <c r="K583" s="197" t="str" cm="1">
        <f t="array" ref="K583">IFERROR(
IF($J$2="ELA",
IF(VLOOKUP($A583, YES_Reading_ELA[], COLUMN(YES_Reading_ELA[Self-Identified as African Descent]), FALSE)="", "",
VLOOKUP($A583,YES_Reading_ELA[], COLUMN(YES_Reading_ELA[Self-Identified as African Descent]), FALSE)),
IF($J$2="FLA",
IF(VLOOKUP($A583, YES_Reading_FLA[], COLUMN(YES_Reading_FLA[Self-Identified as African Descent]),FALSE)="","",
VLOOKUP($A583,YES_Reading_FLA[],COLUMN(YES_Reading_FLA[Self-Identified as African Descent]),FALSE)),
IF($J$2="Combined",
IFERROR(
IF(VLOOKUP($A583, YES_Reading_ELA[], COLUMN(YES_Reading_ELA[Self-Identified as African Descent]), FALSE)="", "",
VLOOKUP($A583,YES_Reading_ELA[],COLUMN(YES_Reading_ELA[Self-Identified as African Descent]),FALSE)),
IF(VLOOKUP($A583, YES_Reading_FLA[], COLUMN(YES_Reading_FLA[Self-Identified as African Descent]),FALSE)="", "", VLOOKUP($A583,YES_Reading_FLA[],COLUMN(YES_Reading_FLA[Self-Identified as African Descent]),FALSE))),""))),"")</f>
        <v/>
      </c>
      <c r="L583" s="73" t="str" cm="1">
        <f t="array" ref="L583">IFERROR(
IF($J$2="ELA",
IF(VLOOKUP($A583, YES_Reading_ELA[], COLUMN(YES_Reading_ELA[Self-Identified as Indigenous]), FALSE)="", "",
VLOOKUP($A583,YES_Reading_ELA[], COLUMN(YES_Reading_ELA[Self-Identified as Indigenous]), FALSE)),
IF($J$2="FLA",
IF(VLOOKUP($A583, YES_Reading_FLA[], COLUMN(YES_Reading_FLA[Self-Identified as Indigenous]),FALSE)="","",
VLOOKUP($A583,YES_Reading_FLA[],COLUMN(YES_Reading_FLA[Self-Identified as Indigenous]),FALSE)),
IF($J$2="Combined",
IFERROR(
IF(VLOOKUP($A583, YES_Reading_ELA[], COLUMN(YES_Reading_ELA[Self-Identified as Indigenous]), FALSE)="", "",
VLOOKUP($A583,YES_Reading_ELA[],COLUMN(YES_Reading_ELA[Self-Identified as Indigenous]),FALSE)),
IF(VLOOKUP($A583, YES_Reading_FLA[], COLUMN(YES_Reading_FLA[Self-Identified as Indigenous]),FALSE)="", "", VLOOKUP($A583,YES_Reading_FLA[],COLUMN(YES_Reading_FLA[Self-Identified as Indigenous]),FALSE))),""))),"")</f>
        <v/>
      </c>
    </row>
    <row r="584" spans="1:12" ht="19.5" customHeight="1" x14ac:dyDescent="0.25">
      <c r="A584" s="217"/>
      <c r="B584" s="220" t="str">
        <f>IFERROR(VLOOKUP(A584,_xlfn.VSTACK(YES_Reading_ELA[],YES_Reading_FLA[]),2,FALSE),"")</f>
        <v/>
      </c>
      <c r="C584" s="203" t="str" cm="1">
        <f t="array" aca="1" ref="C584" ca="1">IFERROR(
IF($J$2="ELA",
IF(VLOOKUP($A584, YES_Reading_ELA[], COLUMN(IF(VLOOKUP($D$2, 'Reading Report Logic'!$A$2:$B$8, 2, FALSE)=1, YES_Reading_ELA[Reading Level June of Previous School Year], INDIRECT("YES_Reading_ELA[Instructional Reading Level - Per "&amp;(VLOOKUP($D$2,'Reading Report Logic'!$A$2:$B$8,2,FALSE)-1)&amp;"]"))), FALSE)="", "",
VLOOKUP($A584,YES_Reading_ELA[], COLUMN(IF(VLOOKUP($D$2,'Reading Report Logic'!$A$2:$B$8,2,FALSE)=1, YES_Reading_ELA[Reading Level June of Previous School Year],INDIRECT("YES_Reading_ELA[Instructional Reading Level - Per "&amp;(VLOOKUP($D$2,'Reading Report Logic'!$A$2:$B$8,2,FALSE)-1)&amp;"]"))), FALSE)),
IF($J$2="FLA",
IF(VLOOKUP($A584, YES_Reading_FLA[], COLUMN(IF(VLOOKUP($D$2,'Reading Report Logic'!$A$2:$B$8,2,FALSE)=1, YES_Reading_FLA[Reading Level June of Previous School Year],INDIRECT("YES_Reading_FLA[Instructional Reading Level - Per "&amp;(VLOOKUP($D$2,'Reading Report Logic'!$A$2:$B$8,2,FALSE)-1)&amp;"]"))),FALSE)="","",
VLOOKUP($A584,YES_Reading_FLA[], COLUMN(IF(VLOOKUP($D$2,'Reading Report Logic'!$A$2:$B$8,2,FALSE)=1, YES_Reading_FLA[Reading Level June of Previous School Year],INDIRECT("YES_Reading_FLA[Instructional Reading Level - Per "&amp;(VLOOKUP($D$2,'Reading Report Logic'!$A$2:$B$8,2,FALSE)-1)&amp;"]"))),FALSE)),
IF($J$2="Combined",
IFERROR(
IF(VLOOKUP($A584, YES_Reading_ELA[], COLUMN(IF(VLOOKUP($D$2,'Reading Report Logic'!$A$2:$B$8,2,FALSE)=1, YES_Reading_ELA[Reading Level June of Previous School Year],INDIRECT("YES_Reading_ELA[Instructional Reading Level - Per "&amp;(VLOOKUP($D$2,'Reading Report Logic'!$A$2:$B$8,2,FALSE)-1)&amp;"]"))), FALSE)="", "",
VLOOKUP($A584,YES_Reading_ELA[],COLUMN(IF(VLOOKUP($D$2,'Reading Report Logic'!$A$2:$B$8,2,FALSE)=1, YES_Reading_ELA[Reading Level June of Previous School Year],INDIRECT("YES_Reading_ELA[Instructional Reading Level - Per "&amp;(VLOOKUP($D$2,'Reading Report Logic'!$A$2:$B$8,2,FALSE)-1)&amp;"]"))),FALSE)),
IF(VLOOKUP($A584, YES_Reading_FLA[], COLUMN(IF(VLOOKUP($D$2,'Reading Report Logic'!$A$2:$B$8,2,FALSE)=1, YES_Reading_FLA[Reading Level June of Previous School Year],INDIRECT("YES_Reading_FLA[Instructional Reading Level - Per "&amp;(VLOOKUP($D$2,'Reading Report Logic'!$A$2:$B$8,2,FALSE)-1)&amp;"]"))),FALSE)="", "", VLOOKUP($A584,YES_Reading_FLA[],COLUMN(IF(VLOOKUP($D$2,'Reading Report Logic'!$A$2:$B$8,2,FALSE)=1, YES_Reading_FLA[Reading Level June of Previous School Year],INDIRECT("YES_Reading_FLA[Instructional Reading Level - Per "&amp;(VLOOKUP($D$2,'Reading Report Logic'!$A$2:$B$8,2,FALSE)-1)&amp;"]"))), FALSE))),""))),"")</f>
        <v/>
      </c>
      <c r="D584" s="204" t="str" cm="1">
        <f t="array" aca="1" ref="D584" ca="1">IFERROR(
IF($J$2="ELA",
IF(VLOOKUP($A584, YES_Reading_ELA[], COLUMN(INDIRECT("YES_Reading_ELA[Instructional Reading Level - Per "&amp;VLOOKUP($D$2, 'Reading Report Logic'!$A$2:$B$8, 2, FALSE)&amp;"]")), FALSE)="", "",
VLOOKUP($A584,YES_Reading_ELA[], COLUMN(INDIRECT("YES_Reading_ELA[Instructional Reading Level - Per "&amp;VLOOKUP($D$2,'Reading Report Logic'!$A$2:$B$8,2,FALSE)&amp;"]")), FALSE)),
IF($J$2="FLA",
IF(VLOOKUP($A584, YES_Reading_FLA[], COLUMN(INDIRECT("YES_Reading_FLA[Instructional Reading Level - Per "&amp;VLOOKUP($D$2,'Reading Report Logic'!$A$2:$B$8,2,FALSE)&amp;"]")),FALSE)="","",
VLOOKUP($A584,YES_Reading_FLA[],COLUMN(INDIRECT("YES_Reading_FLA[Instructional Reading Level - Per "&amp;VLOOKUP($D$2,'Reading Report Logic'!$A$2:$B$8,2,FALSE)&amp;"]")),FALSE)),
IF($J$2="Combined",
IFERROR(
IF(VLOOKUP($A584, YES_Reading_ELA[], COLUMN(INDIRECT("YES_Reading_ELA[Instructional Reading Level - Per "&amp;VLOOKUP($D$2, 'Reading Report Logic'!$A$2:$B$8,2,FALSE)&amp;"]")), FALSE)="", "",
VLOOKUP($A584,YES_Reading_ELA[],COLUMN(INDIRECT("YES_Reading_ELA[Instructional Reading Level - Per "&amp;VLOOKUP($D$2,'Reading Report Logic'!$A$2:$B$8,2,FALSE)&amp;"]")),FALSE)),
IF(VLOOKUP($A584, YES_Reading_FLA[], COLUMN(INDIRECT("YES_Reading_FLA[Instructional Reading Level - Per "&amp;VLOOKUP($D$2, 'Reading Report Logic'!$A$2:$B$8, 2, FALSE)&amp;"]")),FALSE)="", "", VLOOKUP($A584,YES_Reading_FLA[],COLUMN(INDIRECT("YES_Reading_FLA[Instructional Reading Level - Per "&amp;VLOOKUP($D$2, 'Reading Report Logic'!$A$2:$B$8, 2, FALSE)&amp;"]")),FALSE))),""))),"")</f>
        <v/>
      </c>
      <c r="E584" s="205" t="str" cm="1">
        <f t="array" aca="1" ref="E584" ca="1">IFERROR(
IF($J$2="ELA",
IF(VLOOKUP($A584, YES_Reading_ELA[], COLUMN(INDIRECT("YES_Reading_ELA[Min Expectation - Per "&amp;VLOOKUP($D$2, 'Reading Report Logic'!$A$2:$B$8, 2, FALSE)&amp;"]")), FALSE)="", "",
VLOOKUP($A584,YES_Reading_ELA[], COLUMN(INDIRECT("YES_Reading_ELA[Min Expectation - Per "&amp;VLOOKUP($D$2,'Reading Report Logic'!$A$2:$B$8,2,FALSE)&amp;"]")), FALSE)),
IF($J$2="FLA",
IF(VLOOKUP($A584, YES_Reading_FLA[], COLUMN(INDIRECT("YES_Reading_FLA[Min Expectation - Per "&amp;VLOOKUP($D$2,'Reading Report Logic'!$A$2:$B$8,2,FALSE)&amp;"]")),FALSE)="","",
VLOOKUP($A584,YES_Reading_FLA[],COLUMN(INDIRECT("YES_Reading_FLA[Min Expectation - Per "&amp;VLOOKUP($D$2,'Reading Report Logic'!$A$2:$B$8,2,FALSE)&amp;"]")),FALSE)),
IF($J$2="Combined",
IFERROR(
IF(VLOOKUP($A584, YES_Reading_ELA[], COLUMN(INDIRECT("YES_Reading_ELA[Min Expectation - Per "&amp;VLOOKUP($D$2, 'Reading Report Logic'!$A$2:$B$8,2,FALSE)&amp;"]")), FALSE)="", "",
VLOOKUP($A584,YES_Reading_ELA[],COLUMN(INDIRECT("YES_Reading_ELA[Min Expectation - Per "&amp;VLOOKUP($D$2,'Reading Report Logic'!$A$2:$B$8,2,FALSE)&amp;"]")),FALSE)),
IF(VLOOKUP($A584, YES_Reading_FLA[], COLUMN(INDIRECT("YES_Reading_FLA[Min Expectation - Per "&amp;VLOOKUP($D$2, 'Reading Report Logic'!$A$2:$B$8, 2, FALSE)&amp;"]")),FALSE)="", "", VLOOKUP($A584,YES_Reading_FLA[],COLUMN(INDIRECT("YES_Reading_FLA[Min Expectation - Per "&amp;VLOOKUP($D$2, 'Reading Report Logic'!$A$2:$B$8, 2, FALSE)&amp;"]")),FALSE))),""))),"")</f>
        <v/>
      </c>
      <c r="F584" s="205" t="str" cm="1">
        <f t="array" aca="1" ref="F584" ca="1">IFERROR(
IF($J$2="ELA",
IF(VLOOKUP($A584, YES_Reading_ELA[], COLUMN(INDIRECT("YES_Reading_ELA[Max Expectation - Per "&amp;VLOOKUP($D$2, 'Reading Report Logic'!$A$2:$B$8, 2, FALSE)&amp;"]")), FALSE)="", "",
VLOOKUP($A584,YES_Reading_ELA[], COLUMN(INDIRECT("YES_Reading_ELA[Max Expectation - Per "&amp;VLOOKUP($D$2,'Reading Report Logic'!$A$2:$B$8,2,FALSE)&amp;"]")), FALSE)),
IF($J$2="FLA",
IF(VLOOKUP($A584, YES_Reading_FLA[], COLUMN(INDIRECT("YES_Reading_FLA[Max Expectation - Per "&amp;VLOOKUP($D$2,'Reading Report Logic'!$A$2:$B$8,2,FALSE)&amp;"]")),FALSE)="","",
VLOOKUP($A584,YES_Reading_FLA[],COLUMN(INDIRECT("YES_Reading_FLA[Max Expectation - Per "&amp;VLOOKUP($D$2,'Reading Report Logic'!$A$2:$B$8,2,FALSE)&amp;"]")),FALSE)),
IF($J$2="Combined",
IFERROR(
IF(VLOOKUP($A584, YES_Reading_ELA[], COLUMN(INDIRECT("YES_Reading_ELA[Max Expectation - Per "&amp;VLOOKUP($D$2, 'Reading Report Logic'!$A$2:$B$8,2,FALSE)&amp;"]")), FALSE)="", "",
VLOOKUP($A584,YES_Reading_ELA[],COLUMN(INDIRECT("YES_Reading_ELA[Max Expectation - Per "&amp;VLOOKUP($D$2,'Reading Report Logic'!$A$2:$B$8,2,FALSE)&amp;"]")),FALSE)),
IF(VLOOKUP($A584, YES_Reading_FLA[], COLUMN(INDIRECT("YES_Reading_FLA[Max Expectation - Per "&amp;VLOOKUP($D$2, 'Reading Report Logic'!$A$2:$B$8, 2, FALSE)&amp;"]")),FALSE)="", "", VLOOKUP($A584,YES_Reading_FLA[],COLUMN(INDIRECT("YES_Reading_FLA[Max Expectation - Per "&amp;VLOOKUP($D$2, 'Reading Report Logic'!$A$2:$B$8, 2, FALSE)&amp;"]")),FALSE))),""))),"")</f>
        <v/>
      </c>
      <c r="G584" s="205" t="str" cm="1">
        <f t="array" aca="1" ref="G584" ca="1">IFERROR(
IF($J$2="ELA",
IF(VLOOKUP($A584, YES_Reading_ELA[], COLUMN(INDIRECT("YES_Reading_ELA[Difference - Per "&amp;VLOOKUP($D$2, 'Reading Report Logic'!$A$2:$B$8, 2, FALSE)&amp;"]")), FALSE)="", "",
VLOOKUP($A584,YES_Reading_ELA[], COLUMN(INDIRECT("YES_Reading_ELA[Difference - Per "&amp;VLOOKUP($D$2,'Reading Report Logic'!$A$2:$B$8,2,FALSE)&amp;"]")), FALSE)),
IF($J$2="FLA",
IF(VLOOKUP($A584, YES_Reading_FLA[], COLUMN(INDIRECT("YES_Reading_FLA[Difference - Per "&amp;VLOOKUP($D$2,'Reading Report Logic'!$A$2:$B$8,2,FALSE)&amp;"]")),FALSE)="","",
VLOOKUP($A584,YES_Reading_FLA[],COLUMN(INDIRECT("YES_Reading_FLA[Difference - Per "&amp;VLOOKUP($D$2,'Reading Report Logic'!$A$2:$B$8,2,FALSE)&amp;"]")),FALSE)),
IF($J$2="Combined",
IFERROR(
IF(VLOOKUP($A584, YES_Reading_ELA[], COLUMN(INDIRECT("YES_Reading_ELA[Difference - Per "&amp;VLOOKUP($D$2, 'Reading Report Logic'!$A$2:$B$8,2,FALSE)&amp;"]")), FALSE)="", "",
VLOOKUP($A584,YES_Reading_ELA[],COLUMN(INDIRECT("YES_Reading_ELA[Difference - Per "&amp;VLOOKUP($D$2,'Reading Report Logic'!$A$2:$B$8,2,FALSE)&amp;"]")),FALSE)),
IF(VLOOKUP($A584, YES_Reading_FLA[], COLUMN(INDIRECT("YES_Reading_FLA[Difference - Per "&amp;VLOOKUP($D$2, 'Reading Report Logic'!$A$2:$B$8, 2, FALSE)&amp;"]")),FALSE)="", "", VLOOKUP($A584,YES_Reading_FLA[],COLUMN(INDIRECT("YES_Reading_FLA[Difference - Per "&amp;VLOOKUP($D$2, 'Reading Report Logic'!$A$2:$B$8, 2, FALSE)&amp;"]")),FALSE))),""))),"")</f>
        <v/>
      </c>
      <c r="H584" s="206" t="str">
        <f ca="1">IFERROR(VLOOKUP('Teacher Reading Pull Sheets'!$D584,_xlfn.VSTACK('ELA Reading Logic'!$A$22:$B$48,'FLA Reading Logic'!$A$22:$B$53),2,FALSE)-VLOOKUP('Teacher Reading Pull Sheets'!$C584,_xlfn.VSTACK('ELA Reading Logic'!$A$22:$B$48,'FLA Reading Logic'!$A$22:$B$53),2,FALSE),"")</f>
        <v/>
      </c>
      <c r="I584" s="212"/>
      <c r="J584" s="206"/>
      <c r="K584" s="197" t="str" cm="1">
        <f t="array" ref="K584">IFERROR(
IF($J$2="ELA",
IF(VLOOKUP($A584, YES_Reading_ELA[], COLUMN(YES_Reading_ELA[Self-Identified as African Descent]), FALSE)="", "",
VLOOKUP($A584,YES_Reading_ELA[], COLUMN(YES_Reading_ELA[Self-Identified as African Descent]), FALSE)),
IF($J$2="FLA",
IF(VLOOKUP($A584, YES_Reading_FLA[], COLUMN(YES_Reading_FLA[Self-Identified as African Descent]),FALSE)="","",
VLOOKUP($A584,YES_Reading_FLA[],COLUMN(YES_Reading_FLA[Self-Identified as African Descent]),FALSE)),
IF($J$2="Combined",
IFERROR(
IF(VLOOKUP($A584, YES_Reading_ELA[], COLUMN(YES_Reading_ELA[Self-Identified as African Descent]), FALSE)="", "",
VLOOKUP($A584,YES_Reading_ELA[],COLUMN(YES_Reading_ELA[Self-Identified as African Descent]),FALSE)),
IF(VLOOKUP($A584, YES_Reading_FLA[], COLUMN(YES_Reading_FLA[Self-Identified as African Descent]),FALSE)="", "", VLOOKUP($A584,YES_Reading_FLA[],COLUMN(YES_Reading_FLA[Self-Identified as African Descent]),FALSE))),""))),"")</f>
        <v/>
      </c>
      <c r="L584" s="73" t="str" cm="1">
        <f t="array" ref="L584">IFERROR(
IF($J$2="ELA",
IF(VLOOKUP($A584, YES_Reading_ELA[], COLUMN(YES_Reading_ELA[Self-Identified as Indigenous]), FALSE)="", "",
VLOOKUP($A584,YES_Reading_ELA[], COLUMN(YES_Reading_ELA[Self-Identified as Indigenous]), FALSE)),
IF($J$2="FLA",
IF(VLOOKUP($A584, YES_Reading_FLA[], COLUMN(YES_Reading_FLA[Self-Identified as Indigenous]),FALSE)="","",
VLOOKUP($A584,YES_Reading_FLA[],COLUMN(YES_Reading_FLA[Self-Identified as Indigenous]),FALSE)),
IF($J$2="Combined",
IFERROR(
IF(VLOOKUP($A584, YES_Reading_ELA[], COLUMN(YES_Reading_ELA[Self-Identified as Indigenous]), FALSE)="", "",
VLOOKUP($A584,YES_Reading_ELA[],COLUMN(YES_Reading_ELA[Self-Identified as Indigenous]),FALSE)),
IF(VLOOKUP($A584, YES_Reading_FLA[], COLUMN(YES_Reading_FLA[Self-Identified as Indigenous]),FALSE)="", "", VLOOKUP($A584,YES_Reading_FLA[],COLUMN(YES_Reading_FLA[Self-Identified as Indigenous]),FALSE))),""))),"")</f>
        <v/>
      </c>
    </row>
    <row r="585" spans="1:12" ht="19.5" customHeight="1" x14ac:dyDescent="0.25">
      <c r="A585" s="217"/>
      <c r="B585" s="220" t="str">
        <f>IFERROR(VLOOKUP(A585,_xlfn.VSTACK(YES_Reading_ELA[],YES_Reading_FLA[]),2,FALSE),"")</f>
        <v/>
      </c>
      <c r="C585" s="203" t="str" cm="1">
        <f t="array" aca="1" ref="C585" ca="1">IFERROR(
IF($J$2="ELA",
IF(VLOOKUP($A585, YES_Reading_ELA[], COLUMN(IF(VLOOKUP($D$2, 'Reading Report Logic'!$A$2:$B$8, 2, FALSE)=1, YES_Reading_ELA[Reading Level June of Previous School Year], INDIRECT("YES_Reading_ELA[Instructional Reading Level - Per "&amp;(VLOOKUP($D$2,'Reading Report Logic'!$A$2:$B$8,2,FALSE)-1)&amp;"]"))), FALSE)="", "",
VLOOKUP($A585,YES_Reading_ELA[], COLUMN(IF(VLOOKUP($D$2,'Reading Report Logic'!$A$2:$B$8,2,FALSE)=1, YES_Reading_ELA[Reading Level June of Previous School Year],INDIRECT("YES_Reading_ELA[Instructional Reading Level - Per "&amp;(VLOOKUP($D$2,'Reading Report Logic'!$A$2:$B$8,2,FALSE)-1)&amp;"]"))), FALSE)),
IF($J$2="FLA",
IF(VLOOKUP($A585, YES_Reading_FLA[], COLUMN(IF(VLOOKUP($D$2,'Reading Report Logic'!$A$2:$B$8,2,FALSE)=1, YES_Reading_FLA[Reading Level June of Previous School Year],INDIRECT("YES_Reading_FLA[Instructional Reading Level - Per "&amp;(VLOOKUP($D$2,'Reading Report Logic'!$A$2:$B$8,2,FALSE)-1)&amp;"]"))),FALSE)="","",
VLOOKUP($A585,YES_Reading_FLA[], COLUMN(IF(VLOOKUP($D$2,'Reading Report Logic'!$A$2:$B$8,2,FALSE)=1, YES_Reading_FLA[Reading Level June of Previous School Year],INDIRECT("YES_Reading_FLA[Instructional Reading Level - Per "&amp;(VLOOKUP($D$2,'Reading Report Logic'!$A$2:$B$8,2,FALSE)-1)&amp;"]"))),FALSE)),
IF($J$2="Combined",
IFERROR(
IF(VLOOKUP($A585, YES_Reading_ELA[], COLUMN(IF(VLOOKUP($D$2,'Reading Report Logic'!$A$2:$B$8,2,FALSE)=1, YES_Reading_ELA[Reading Level June of Previous School Year],INDIRECT("YES_Reading_ELA[Instructional Reading Level - Per "&amp;(VLOOKUP($D$2,'Reading Report Logic'!$A$2:$B$8,2,FALSE)-1)&amp;"]"))), FALSE)="", "",
VLOOKUP($A585,YES_Reading_ELA[],COLUMN(IF(VLOOKUP($D$2,'Reading Report Logic'!$A$2:$B$8,2,FALSE)=1, YES_Reading_ELA[Reading Level June of Previous School Year],INDIRECT("YES_Reading_ELA[Instructional Reading Level - Per "&amp;(VLOOKUP($D$2,'Reading Report Logic'!$A$2:$B$8,2,FALSE)-1)&amp;"]"))),FALSE)),
IF(VLOOKUP($A585, YES_Reading_FLA[], COLUMN(IF(VLOOKUP($D$2,'Reading Report Logic'!$A$2:$B$8,2,FALSE)=1, YES_Reading_FLA[Reading Level June of Previous School Year],INDIRECT("YES_Reading_FLA[Instructional Reading Level - Per "&amp;(VLOOKUP($D$2,'Reading Report Logic'!$A$2:$B$8,2,FALSE)-1)&amp;"]"))),FALSE)="", "", VLOOKUP($A585,YES_Reading_FLA[],COLUMN(IF(VLOOKUP($D$2,'Reading Report Logic'!$A$2:$B$8,2,FALSE)=1, YES_Reading_FLA[Reading Level June of Previous School Year],INDIRECT("YES_Reading_FLA[Instructional Reading Level - Per "&amp;(VLOOKUP($D$2,'Reading Report Logic'!$A$2:$B$8,2,FALSE)-1)&amp;"]"))), FALSE))),""))),"")</f>
        <v/>
      </c>
      <c r="D585" s="204" t="str" cm="1">
        <f t="array" aca="1" ref="D585" ca="1">IFERROR(
IF($J$2="ELA",
IF(VLOOKUP($A585, YES_Reading_ELA[], COLUMN(INDIRECT("YES_Reading_ELA[Instructional Reading Level - Per "&amp;VLOOKUP($D$2, 'Reading Report Logic'!$A$2:$B$8, 2, FALSE)&amp;"]")), FALSE)="", "",
VLOOKUP($A585,YES_Reading_ELA[], COLUMN(INDIRECT("YES_Reading_ELA[Instructional Reading Level - Per "&amp;VLOOKUP($D$2,'Reading Report Logic'!$A$2:$B$8,2,FALSE)&amp;"]")), FALSE)),
IF($J$2="FLA",
IF(VLOOKUP($A585, YES_Reading_FLA[], COLUMN(INDIRECT("YES_Reading_FLA[Instructional Reading Level - Per "&amp;VLOOKUP($D$2,'Reading Report Logic'!$A$2:$B$8,2,FALSE)&amp;"]")),FALSE)="","",
VLOOKUP($A585,YES_Reading_FLA[],COLUMN(INDIRECT("YES_Reading_FLA[Instructional Reading Level - Per "&amp;VLOOKUP($D$2,'Reading Report Logic'!$A$2:$B$8,2,FALSE)&amp;"]")),FALSE)),
IF($J$2="Combined",
IFERROR(
IF(VLOOKUP($A585, YES_Reading_ELA[], COLUMN(INDIRECT("YES_Reading_ELA[Instructional Reading Level - Per "&amp;VLOOKUP($D$2, 'Reading Report Logic'!$A$2:$B$8,2,FALSE)&amp;"]")), FALSE)="", "",
VLOOKUP($A585,YES_Reading_ELA[],COLUMN(INDIRECT("YES_Reading_ELA[Instructional Reading Level - Per "&amp;VLOOKUP($D$2,'Reading Report Logic'!$A$2:$B$8,2,FALSE)&amp;"]")),FALSE)),
IF(VLOOKUP($A585, YES_Reading_FLA[], COLUMN(INDIRECT("YES_Reading_FLA[Instructional Reading Level - Per "&amp;VLOOKUP($D$2, 'Reading Report Logic'!$A$2:$B$8, 2, FALSE)&amp;"]")),FALSE)="", "", VLOOKUP($A585,YES_Reading_FLA[],COLUMN(INDIRECT("YES_Reading_FLA[Instructional Reading Level - Per "&amp;VLOOKUP($D$2, 'Reading Report Logic'!$A$2:$B$8, 2, FALSE)&amp;"]")),FALSE))),""))),"")</f>
        <v/>
      </c>
      <c r="E585" s="205" t="str" cm="1">
        <f t="array" aca="1" ref="E585" ca="1">IFERROR(
IF($J$2="ELA",
IF(VLOOKUP($A585, YES_Reading_ELA[], COLUMN(INDIRECT("YES_Reading_ELA[Min Expectation - Per "&amp;VLOOKUP($D$2, 'Reading Report Logic'!$A$2:$B$8, 2, FALSE)&amp;"]")), FALSE)="", "",
VLOOKUP($A585,YES_Reading_ELA[], COLUMN(INDIRECT("YES_Reading_ELA[Min Expectation - Per "&amp;VLOOKUP($D$2,'Reading Report Logic'!$A$2:$B$8,2,FALSE)&amp;"]")), FALSE)),
IF($J$2="FLA",
IF(VLOOKUP($A585, YES_Reading_FLA[], COLUMN(INDIRECT("YES_Reading_FLA[Min Expectation - Per "&amp;VLOOKUP($D$2,'Reading Report Logic'!$A$2:$B$8,2,FALSE)&amp;"]")),FALSE)="","",
VLOOKUP($A585,YES_Reading_FLA[],COLUMN(INDIRECT("YES_Reading_FLA[Min Expectation - Per "&amp;VLOOKUP($D$2,'Reading Report Logic'!$A$2:$B$8,2,FALSE)&amp;"]")),FALSE)),
IF($J$2="Combined",
IFERROR(
IF(VLOOKUP($A585, YES_Reading_ELA[], COLUMN(INDIRECT("YES_Reading_ELA[Min Expectation - Per "&amp;VLOOKUP($D$2, 'Reading Report Logic'!$A$2:$B$8,2,FALSE)&amp;"]")), FALSE)="", "",
VLOOKUP($A585,YES_Reading_ELA[],COLUMN(INDIRECT("YES_Reading_ELA[Min Expectation - Per "&amp;VLOOKUP($D$2,'Reading Report Logic'!$A$2:$B$8,2,FALSE)&amp;"]")),FALSE)),
IF(VLOOKUP($A585, YES_Reading_FLA[], COLUMN(INDIRECT("YES_Reading_FLA[Min Expectation - Per "&amp;VLOOKUP($D$2, 'Reading Report Logic'!$A$2:$B$8, 2, FALSE)&amp;"]")),FALSE)="", "", VLOOKUP($A585,YES_Reading_FLA[],COLUMN(INDIRECT("YES_Reading_FLA[Min Expectation - Per "&amp;VLOOKUP($D$2, 'Reading Report Logic'!$A$2:$B$8, 2, FALSE)&amp;"]")),FALSE))),""))),"")</f>
        <v/>
      </c>
      <c r="F585" s="205" t="str" cm="1">
        <f t="array" aca="1" ref="F585" ca="1">IFERROR(
IF($J$2="ELA",
IF(VLOOKUP($A585, YES_Reading_ELA[], COLUMN(INDIRECT("YES_Reading_ELA[Max Expectation - Per "&amp;VLOOKUP($D$2, 'Reading Report Logic'!$A$2:$B$8, 2, FALSE)&amp;"]")), FALSE)="", "",
VLOOKUP($A585,YES_Reading_ELA[], COLUMN(INDIRECT("YES_Reading_ELA[Max Expectation - Per "&amp;VLOOKUP($D$2,'Reading Report Logic'!$A$2:$B$8,2,FALSE)&amp;"]")), FALSE)),
IF($J$2="FLA",
IF(VLOOKUP($A585, YES_Reading_FLA[], COLUMN(INDIRECT("YES_Reading_FLA[Max Expectation - Per "&amp;VLOOKUP($D$2,'Reading Report Logic'!$A$2:$B$8,2,FALSE)&amp;"]")),FALSE)="","",
VLOOKUP($A585,YES_Reading_FLA[],COLUMN(INDIRECT("YES_Reading_FLA[Max Expectation - Per "&amp;VLOOKUP($D$2,'Reading Report Logic'!$A$2:$B$8,2,FALSE)&amp;"]")),FALSE)),
IF($J$2="Combined",
IFERROR(
IF(VLOOKUP($A585, YES_Reading_ELA[], COLUMN(INDIRECT("YES_Reading_ELA[Max Expectation - Per "&amp;VLOOKUP($D$2, 'Reading Report Logic'!$A$2:$B$8,2,FALSE)&amp;"]")), FALSE)="", "",
VLOOKUP($A585,YES_Reading_ELA[],COLUMN(INDIRECT("YES_Reading_ELA[Max Expectation - Per "&amp;VLOOKUP($D$2,'Reading Report Logic'!$A$2:$B$8,2,FALSE)&amp;"]")),FALSE)),
IF(VLOOKUP($A585, YES_Reading_FLA[], COLUMN(INDIRECT("YES_Reading_FLA[Max Expectation - Per "&amp;VLOOKUP($D$2, 'Reading Report Logic'!$A$2:$B$8, 2, FALSE)&amp;"]")),FALSE)="", "", VLOOKUP($A585,YES_Reading_FLA[],COLUMN(INDIRECT("YES_Reading_FLA[Max Expectation - Per "&amp;VLOOKUP($D$2, 'Reading Report Logic'!$A$2:$B$8, 2, FALSE)&amp;"]")),FALSE))),""))),"")</f>
        <v/>
      </c>
      <c r="G585" s="205" t="str" cm="1">
        <f t="array" aca="1" ref="G585" ca="1">IFERROR(
IF($J$2="ELA",
IF(VLOOKUP($A585, YES_Reading_ELA[], COLUMN(INDIRECT("YES_Reading_ELA[Difference - Per "&amp;VLOOKUP($D$2, 'Reading Report Logic'!$A$2:$B$8, 2, FALSE)&amp;"]")), FALSE)="", "",
VLOOKUP($A585,YES_Reading_ELA[], COLUMN(INDIRECT("YES_Reading_ELA[Difference - Per "&amp;VLOOKUP($D$2,'Reading Report Logic'!$A$2:$B$8,2,FALSE)&amp;"]")), FALSE)),
IF($J$2="FLA",
IF(VLOOKUP($A585, YES_Reading_FLA[], COLUMN(INDIRECT("YES_Reading_FLA[Difference - Per "&amp;VLOOKUP($D$2,'Reading Report Logic'!$A$2:$B$8,2,FALSE)&amp;"]")),FALSE)="","",
VLOOKUP($A585,YES_Reading_FLA[],COLUMN(INDIRECT("YES_Reading_FLA[Difference - Per "&amp;VLOOKUP($D$2,'Reading Report Logic'!$A$2:$B$8,2,FALSE)&amp;"]")),FALSE)),
IF($J$2="Combined",
IFERROR(
IF(VLOOKUP($A585, YES_Reading_ELA[], COLUMN(INDIRECT("YES_Reading_ELA[Difference - Per "&amp;VLOOKUP($D$2, 'Reading Report Logic'!$A$2:$B$8,2,FALSE)&amp;"]")), FALSE)="", "",
VLOOKUP($A585,YES_Reading_ELA[],COLUMN(INDIRECT("YES_Reading_ELA[Difference - Per "&amp;VLOOKUP($D$2,'Reading Report Logic'!$A$2:$B$8,2,FALSE)&amp;"]")),FALSE)),
IF(VLOOKUP($A585, YES_Reading_FLA[], COLUMN(INDIRECT("YES_Reading_FLA[Difference - Per "&amp;VLOOKUP($D$2, 'Reading Report Logic'!$A$2:$B$8, 2, FALSE)&amp;"]")),FALSE)="", "", VLOOKUP($A585,YES_Reading_FLA[],COLUMN(INDIRECT("YES_Reading_FLA[Difference - Per "&amp;VLOOKUP($D$2, 'Reading Report Logic'!$A$2:$B$8, 2, FALSE)&amp;"]")),FALSE))),""))),"")</f>
        <v/>
      </c>
      <c r="H585" s="206" t="str">
        <f ca="1">IFERROR(VLOOKUP('Teacher Reading Pull Sheets'!$D585,_xlfn.VSTACK('ELA Reading Logic'!$A$22:$B$48,'FLA Reading Logic'!$A$22:$B$53),2,FALSE)-VLOOKUP('Teacher Reading Pull Sheets'!$C585,_xlfn.VSTACK('ELA Reading Logic'!$A$22:$B$48,'FLA Reading Logic'!$A$22:$B$53),2,FALSE),"")</f>
        <v/>
      </c>
      <c r="I585" s="212"/>
      <c r="J585" s="206"/>
      <c r="K585" s="197" t="str" cm="1">
        <f t="array" ref="K585">IFERROR(
IF($J$2="ELA",
IF(VLOOKUP($A585, YES_Reading_ELA[], COLUMN(YES_Reading_ELA[Self-Identified as African Descent]), FALSE)="", "",
VLOOKUP($A585,YES_Reading_ELA[], COLUMN(YES_Reading_ELA[Self-Identified as African Descent]), FALSE)),
IF($J$2="FLA",
IF(VLOOKUP($A585, YES_Reading_FLA[], COLUMN(YES_Reading_FLA[Self-Identified as African Descent]),FALSE)="","",
VLOOKUP($A585,YES_Reading_FLA[],COLUMN(YES_Reading_FLA[Self-Identified as African Descent]),FALSE)),
IF($J$2="Combined",
IFERROR(
IF(VLOOKUP($A585, YES_Reading_ELA[], COLUMN(YES_Reading_ELA[Self-Identified as African Descent]), FALSE)="", "",
VLOOKUP($A585,YES_Reading_ELA[],COLUMN(YES_Reading_ELA[Self-Identified as African Descent]),FALSE)),
IF(VLOOKUP($A585, YES_Reading_FLA[], COLUMN(YES_Reading_FLA[Self-Identified as African Descent]),FALSE)="", "", VLOOKUP($A585,YES_Reading_FLA[],COLUMN(YES_Reading_FLA[Self-Identified as African Descent]),FALSE))),""))),"")</f>
        <v/>
      </c>
      <c r="L585" s="73" t="str" cm="1">
        <f t="array" ref="L585">IFERROR(
IF($J$2="ELA",
IF(VLOOKUP($A585, YES_Reading_ELA[], COLUMN(YES_Reading_ELA[Self-Identified as Indigenous]), FALSE)="", "",
VLOOKUP($A585,YES_Reading_ELA[], COLUMN(YES_Reading_ELA[Self-Identified as Indigenous]), FALSE)),
IF($J$2="FLA",
IF(VLOOKUP($A585, YES_Reading_FLA[], COLUMN(YES_Reading_FLA[Self-Identified as Indigenous]),FALSE)="","",
VLOOKUP($A585,YES_Reading_FLA[],COLUMN(YES_Reading_FLA[Self-Identified as Indigenous]),FALSE)),
IF($J$2="Combined",
IFERROR(
IF(VLOOKUP($A585, YES_Reading_ELA[], COLUMN(YES_Reading_ELA[Self-Identified as Indigenous]), FALSE)="", "",
VLOOKUP($A585,YES_Reading_ELA[],COLUMN(YES_Reading_ELA[Self-Identified as Indigenous]),FALSE)),
IF(VLOOKUP($A585, YES_Reading_FLA[], COLUMN(YES_Reading_FLA[Self-Identified as Indigenous]),FALSE)="", "", VLOOKUP($A585,YES_Reading_FLA[],COLUMN(YES_Reading_FLA[Self-Identified as Indigenous]),FALSE))),""))),"")</f>
        <v/>
      </c>
    </row>
    <row r="586" spans="1:12" ht="19.5" customHeight="1" x14ac:dyDescent="0.25">
      <c r="A586" s="217"/>
      <c r="B586" s="220" t="str">
        <f>IFERROR(VLOOKUP(A586,_xlfn.VSTACK(YES_Reading_ELA[],YES_Reading_FLA[]),2,FALSE),"")</f>
        <v/>
      </c>
      <c r="C586" s="203" t="str" cm="1">
        <f t="array" aca="1" ref="C586" ca="1">IFERROR(
IF($J$2="ELA",
IF(VLOOKUP($A586, YES_Reading_ELA[], COLUMN(IF(VLOOKUP($D$2, 'Reading Report Logic'!$A$2:$B$8, 2, FALSE)=1, YES_Reading_ELA[Reading Level June of Previous School Year], INDIRECT("YES_Reading_ELA[Instructional Reading Level - Per "&amp;(VLOOKUP($D$2,'Reading Report Logic'!$A$2:$B$8,2,FALSE)-1)&amp;"]"))), FALSE)="", "",
VLOOKUP($A586,YES_Reading_ELA[], COLUMN(IF(VLOOKUP($D$2,'Reading Report Logic'!$A$2:$B$8,2,FALSE)=1, YES_Reading_ELA[Reading Level June of Previous School Year],INDIRECT("YES_Reading_ELA[Instructional Reading Level - Per "&amp;(VLOOKUP($D$2,'Reading Report Logic'!$A$2:$B$8,2,FALSE)-1)&amp;"]"))), FALSE)),
IF($J$2="FLA",
IF(VLOOKUP($A586, YES_Reading_FLA[], COLUMN(IF(VLOOKUP($D$2,'Reading Report Logic'!$A$2:$B$8,2,FALSE)=1, YES_Reading_FLA[Reading Level June of Previous School Year],INDIRECT("YES_Reading_FLA[Instructional Reading Level - Per "&amp;(VLOOKUP($D$2,'Reading Report Logic'!$A$2:$B$8,2,FALSE)-1)&amp;"]"))),FALSE)="","",
VLOOKUP($A586,YES_Reading_FLA[], COLUMN(IF(VLOOKUP($D$2,'Reading Report Logic'!$A$2:$B$8,2,FALSE)=1, YES_Reading_FLA[Reading Level June of Previous School Year],INDIRECT("YES_Reading_FLA[Instructional Reading Level - Per "&amp;(VLOOKUP($D$2,'Reading Report Logic'!$A$2:$B$8,2,FALSE)-1)&amp;"]"))),FALSE)),
IF($J$2="Combined",
IFERROR(
IF(VLOOKUP($A586, YES_Reading_ELA[], COLUMN(IF(VLOOKUP($D$2,'Reading Report Logic'!$A$2:$B$8,2,FALSE)=1, YES_Reading_ELA[Reading Level June of Previous School Year],INDIRECT("YES_Reading_ELA[Instructional Reading Level - Per "&amp;(VLOOKUP($D$2,'Reading Report Logic'!$A$2:$B$8,2,FALSE)-1)&amp;"]"))), FALSE)="", "",
VLOOKUP($A586,YES_Reading_ELA[],COLUMN(IF(VLOOKUP($D$2,'Reading Report Logic'!$A$2:$B$8,2,FALSE)=1, YES_Reading_ELA[Reading Level June of Previous School Year],INDIRECT("YES_Reading_ELA[Instructional Reading Level - Per "&amp;(VLOOKUP($D$2,'Reading Report Logic'!$A$2:$B$8,2,FALSE)-1)&amp;"]"))),FALSE)),
IF(VLOOKUP($A586, YES_Reading_FLA[], COLUMN(IF(VLOOKUP($D$2,'Reading Report Logic'!$A$2:$B$8,2,FALSE)=1, YES_Reading_FLA[Reading Level June of Previous School Year],INDIRECT("YES_Reading_FLA[Instructional Reading Level - Per "&amp;(VLOOKUP($D$2,'Reading Report Logic'!$A$2:$B$8,2,FALSE)-1)&amp;"]"))),FALSE)="", "", VLOOKUP($A586,YES_Reading_FLA[],COLUMN(IF(VLOOKUP($D$2,'Reading Report Logic'!$A$2:$B$8,2,FALSE)=1, YES_Reading_FLA[Reading Level June of Previous School Year],INDIRECT("YES_Reading_FLA[Instructional Reading Level - Per "&amp;(VLOOKUP($D$2,'Reading Report Logic'!$A$2:$B$8,2,FALSE)-1)&amp;"]"))), FALSE))),""))),"")</f>
        <v/>
      </c>
      <c r="D586" s="204" t="str" cm="1">
        <f t="array" aca="1" ref="D586" ca="1">IFERROR(
IF($J$2="ELA",
IF(VLOOKUP($A586, YES_Reading_ELA[], COLUMN(INDIRECT("YES_Reading_ELA[Instructional Reading Level - Per "&amp;VLOOKUP($D$2, 'Reading Report Logic'!$A$2:$B$8, 2, FALSE)&amp;"]")), FALSE)="", "",
VLOOKUP($A586,YES_Reading_ELA[], COLUMN(INDIRECT("YES_Reading_ELA[Instructional Reading Level - Per "&amp;VLOOKUP($D$2,'Reading Report Logic'!$A$2:$B$8,2,FALSE)&amp;"]")), FALSE)),
IF($J$2="FLA",
IF(VLOOKUP($A586, YES_Reading_FLA[], COLUMN(INDIRECT("YES_Reading_FLA[Instructional Reading Level - Per "&amp;VLOOKUP($D$2,'Reading Report Logic'!$A$2:$B$8,2,FALSE)&amp;"]")),FALSE)="","",
VLOOKUP($A586,YES_Reading_FLA[],COLUMN(INDIRECT("YES_Reading_FLA[Instructional Reading Level - Per "&amp;VLOOKUP($D$2,'Reading Report Logic'!$A$2:$B$8,2,FALSE)&amp;"]")),FALSE)),
IF($J$2="Combined",
IFERROR(
IF(VLOOKUP($A586, YES_Reading_ELA[], COLUMN(INDIRECT("YES_Reading_ELA[Instructional Reading Level - Per "&amp;VLOOKUP($D$2, 'Reading Report Logic'!$A$2:$B$8,2,FALSE)&amp;"]")), FALSE)="", "",
VLOOKUP($A586,YES_Reading_ELA[],COLUMN(INDIRECT("YES_Reading_ELA[Instructional Reading Level - Per "&amp;VLOOKUP($D$2,'Reading Report Logic'!$A$2:$B$8,2,FALSE)&amp;"]")),FALSE)),
IF(VLOOKUP($A586, YES_Reading_FLA[], COLUMN(INDIRECT("YES_Reading_FLA[Instructional Reading Level - Per "&amp;VLOOKUP($D$2, 'Reading Report Logic'!$A$2:$B$8, 2, FALSE)&amp;"]")),FALSE)="", "", VLOOKUP($A586,YES_Reading_FLA[],COLUMN(INDIRECT("YES_Reading_FLA[Instructional Reading Level - Per "&amp;VLOOKUP($D$2, 'Reading Report Logic'!$A$2:$B$8, 2, FALSE)&amp;"]")),FALSE))),""))),"")</f>
        <v/>
      </c>
      <c r="E586" s="205" t="str" cm="1">
        <f t="array" aca="1" ref="E586" ca="1">IFERROR(
IF($J$2="ELA",
IF(VLOOKUP($A586, YES_Reading_ELA[], COLUMN(INDIRECT("YES_Reading_ELA[Min Expectation - Per "&amp;VLOOKUP($D$2, 'Reading Report Logic'!$A$2:$B$8, 2, FALSE)&amp;"]")), FALSE)="", "",
VLOOKUP($A586,YES_Reading_ELA[], COLUMN(INDIRECT("YES_Reading_ELA[Min Expectation - Per "&amp;VLOOKUP($D$2,'Reading Report Logic'!$A$2:$B$8,2,FALSE)&amp;"]")), FALSE)),
IF($J$2="FLA",
IF(VLOOKUP($A586, YES_Reading_FLA[], COLUMN(INDIRECT("YES_Reading_FLA[Min Expectation - Per "&amp;VLOOKUP($D$2,'Reading Report Logic'!$A$2:$B$8,2,FALSE)&amp;"]")),FALSE)="","",
VLOOKUP($A586,YES_Reading_FLA[],COLUMN(INDIRECT("YES_Reading_FLA[Min Expectation - Per "&amp;VLOOKUP($D$2,'Reading Report Logic'!$A$2:$B$8,2,FALSE)&amp;"]")),FALSE)),
IF($J$2="Combined",
IFERROR(
IF(VLOOKUP($A586, YES_Reading_ELA[], COLUMN(INDIRECT("YES_Reading_ELA[Min Expectation - Per "&amp;VLOOKUP($D$2, 'Reading Report Logic'!$A$2:$B$8,2,FALSE)&amp;"]")), FALSE)="", "",
VLOOKUP($A586,YES_Reading_ELA[],COLUMN(INDIRECT("YES_Reading_ELA[Min Expectation - Per "&amp;VLOOKUP($D$2,'Reading Report Logic'!$A$2:$B$8,2,FALSE)&amp;"]")),FALSE)),
IF(VLOOKUP($A586, YES_Reading_FLA[], COLUMN(INDIRECT("YES_Reading_FLA[Min Expectation - Per "&amp;VLOOKUP($D$2, 'Reading Report Logic'!$A$2:$B$8, 2, FALSE)&amp;"]")),FALSE)="", "", VLOOKUP($A586,YES_Reading_FLA[],COLUMN(INDIRECT("YES_Reading_FLA[Min Expectation - Per "&amp;VLOOKUP($D$2, 'Reading Report Logic'!$A$2:$B$8, 2, FALSE)&amp;"]")),FALSE))),""))),"")</f>
        <v/>
      </c>
      <c r="F586" s="205" t="str" cm="1">
        <f t="array" aca="1" ref="F586" ca="1">IFERROR(
IF($J$2="ELA",
IF(VLOOKUP($A586, YES_Reading_ELA[], COLUMN(INDIRECT("YES_Reading_ELA[Max Expectation - Per "&amp;VLOOKUP($D$2, 'Reading Report Logic'!$A$2:$B$8, 2, FALSE)&amp;"]")), FALSE)="", "",
VLOOKUP($A586,YES_Reading_ELA[], COLUMN(INDIRECT("YES_Reading_ELA[Max Expectation - Per "&amp;VLOOKUP($D$2,'Reading Report Logic'!$A$2:$B$8,2,FALSE)&amp;"]")), FALSE)),
IF($J$2="FLA",
IF(VLOOKUP($A586, YES_Reading_FLA[], COLUMN(INDIRECT("YES_Reading_FLA[Max Expectation - Per "&amp;VLOOKUP($D$2,'Reading Report Logic'!$A$2:$B$8,2,FALSE)&amp;"]")),FALSE)="","",
VLOOKUP($A586,YES_Reading_FLA[],COLUMN(INDIRECT("YES_Reading_FLA[Max Expectation - Per "&amp;VLOOKUP($D$2,'Reading Report Logic'!$A$2:$B$8,2,FALSE)&amp;"]")),FALSE)),
IF($J$2="Combined",
IFERROR(
IF(VLOOKUP($A586, YES_Reading_ELA[], COLUMN(INDIRECT("YES_Reading_ELA[Max Expectation - Per "&amp;VLOOKUP($D$2, 'Reading Report Logic'!$A$2:$B$8,2,FALSE)&amp;"]")), FALSE)="", "",
VLOOKUP($A586,YES_Reading_ELA[],COLUMN(INDIRECT("YES_Reading_ELA[Max Expectation - Per "&amp;VLOOKUP($D$2,'Reading Report Logic'!$A$2:$B$8,2,FALSE)&amp;"]")),FALSE)),
IF(VLOOKUP($A586, YES_Reading_FLA[], COLUMN(INDIRECT("YES_Reading_FLA[Max Expectation - Per "&amp;VLOOKUP($D$2, 'Reading Report Logic'!$A$2:$B$8, 2, FALSE)&amp;"]")),FALSE)="", "", VLOOKUP($A586,YES_Reading_FLA[],COLUMN(INDIRECT("YES_Reading_FLA[Max Expectation - Per "&amp;VLOOKUP($D$2, 'Reading Report Logic'!$A$2:$B$8, 2, FALSE)&amp;"]")),FALSE))),""))),"")</f>
        <v/>
      </c>
      <c r="G586" s="205" t="str" cm="1">
        <f t="array" aca="1" ref="G586" ca="1">IFERROR(
IF($J$2="ELA",
IF(VLOOKUP($A586, YES_Reading_ELA[], COLUMN(INDIRECT("YES_Reading_ELA[Difference - Per "&amp;VLOOKUP($D$2, 'Reading Report Logic'!$A$2:$B$8, 2, FALSE)&amp;"]")), FALSE)="", "",
VLOOKUP($A586,YES_Reading_ELA[], COLUMN(INDIRECT("YES_Reading_ELA[Difference - Per "&amp;VLOOKUP($D$2,'Reading Report Logic'!$A$2:$B$8,2,FALSE)&amp;"]")), FALSE)),
IF($J$2="FLA",
IF(VLOOKUP($A586, YES_Reading_FLA[], COLUMN(INDIRECT("YES_Reading_FLA[Difference - Per "&amp;VLOOKUP($D$2,'Reading Report Logic'!$A$2:$B$8,2,FALSE)&amp;"]")),FALSE)="","",
VLOOKUP($A586,YES_Reading_FLA[],COLUMN(INDIRECT("YES_Reading_FLA[Difference - Per "&amp;VLOOKUP($D$2,'Reading Report Logic'!$A$2:$B$8,2,FALSE)&amp;"]")),FALSE)),
IF($J$2="Combined",
IFERROR(
IF(VLOOKUP($A586, YES_Reading_ELA[], COLUMN(INDIRECT("YES_Reading_ELA[Difference - Per "&amp;VLOOKUP($D$2, 'Reading Report Logic'!$A$2:$B$8,2,FALSE)&amp;"]")), FALSE)="", "",
VLOOKUP($A586,YES_Reading_ELA[],COLUMN(INDIRECT("YES_Reading_ELA[Difference - Per "&amp;VLOOKUP($D$2,'Reading Report Logic'!$A$2:$B$8,2,FALSE)&amp;"]")),FALSE)),
IF(VLOOKUP($A586, YES_Reading_FLA[], COLUMN(INDIRECT("YES_Reading_FLA[Difference - Per "&amp;VLOOKUP($D$2, 'Reading Report Logic'!$A$2:$B$8, 2, FALSE)&amp;"]")),FALSE)="", "", VLOOKUP($A586,YES_Reading_FLA[],COLUMN(INDIRECT("YES_Reading_FLA[Difference - Per "&amp;VLOOKUP($D$2, 'Reading Report Logic'!$A$2:$B$8, 2, FALSE)&amp;"]")),FALSE))),""))),"")</f>
        <v/>
      </c>
      <c r="H586" s="206" t="str">
        <f ca="1">IFERROR(VLOOKUP('Teacher Reading Pull Sheets'!$D586,_xlfn.VSTACK('ELA Reading Logic'!$A$22:$B$48,'FLA Reading Logic'!$A$22:$B$53),2,FALSE)-VLOOKUP('Teacher Reading Pull Sheets'!$C586,_xlfn.VSTACK('ELA Reading Logic'!$A$22:$B$48,'FLA Reading Logic'!$A$22:$B$53),2,FALSE),"")</f>
        <v/>
      </c>
      <c r="I586" s="212"/>
      <c r="J586" s="206"/>
      <c r="K586" s="197" t="str" cm="1">
        <f t="array" ref="K586">IFERROR(
IF($J$2="ELA",
IF(VLOOKUP($A586, YES_Reading_ELA[], COLUMN(YES_Reading_ELA[Self-Identified as African Descent]), FALSE)="", "",
VLOOKUP($A586,YES_Reading_ELA[], COLUMN(YES_Reading_ELA[Self-Identified as African Descent]), FALSE)),
IF($J$2="FLA",
IF(VLOOKUP($A586, YES_Reading_FLA[], COLUMN(YES_Reading_FLA[Self-Identified as African Descent]),FALSE)="","",
VLOOKUP($A586,YES_Reading_FLA[],COLUMN(YES_Reading_FLA[Self-Identified as African Descent]),FALSE)),
IF($J$2="Combined",
IFERROR(
IF(VLOOKUP($A586, YES_Reading_ELA[], COLUMN(YES_Reading_ELA[Self-Identified as African Descent]), FALSE)="", "",
VLOOKUP($A586,YES_Reading_ELA[],COLUMN(YES_Reading_ELA[Self-Identified as African Descent]),FALSE)),
IF(VLOOKUP($A586, YES_Reading_FLA[], COLUMN(YES_Reading_FLA[Self-Identified as African Descent]),FALSE)="", "", VLOOKUP($A586,YES_Reading_FLA[],COLUMN(YES_Reading_FLA[Self-Identified as African Descent]),FALSE))),""))),"")</f>
        <v/>
      </c>
      <c r="L586" s="73" t="str" cm="1">
        <f t="array" ref="L586">IFERROR(
IF($J$2="ELA",
IF(VLOOKUP($A586, YES_Reading_ELA[], COLUMN(YES_Reading_ELA[Self-Identified as Indigenous]), FALSE)="", "",
VLOOKUP($A586,YES_Reading_ELA[], COLUMN(YES_Reading_ELA[Self-Identified as Indigenous]), FALSE)),
IF($J$2="FLA",
IF(VLOOKUP($A586, YES_Reading_FLA[], COLUMN(YES_Reading_FLA[Self-Identified as Indigenous]),FALSE)="","",
VLOOKUP($A586,YES_Reading_FLA[],COLUMN(YES_Reading_FLA[Self-Identified as Indigenous]),FALSE)),
IF($J$2="Combined",
IFERROR(
IF(VLOOKUP($A586, YES_Reading_ELA[], COLUMN(YES_Reading_ELA[Self-Identified as Indigenous]), FALSE)="", "",
VLOOKUP($A586,YES_Reading_ELA[],COLUMN(YES_Reading_ELA[Self-Identified as Indigenous]),FALSE)),
IF(VLOOKUP($A586, YES_Reading_FLA[], COLUMN(YES_Reading_FLA[Self-Identified as Indigenous]),FALSE)="", "", VLOOKUP($A586,YES_Reading_FLA[],COLUMN(YES_Reading_FLA[Self-Identified as Indigenous]),FALSE))),""))),"")</f>
        <v/>
      </c>
    </row>
    <row r="587" spans="1:12" ht="19.5" customHeight="1" x14ac:dyDescent="0.25">
      <c r="A587" s="217"/>
      <c r="B587" s="220" t="str">
        <f>IFERROR(VLOOKUP(A587,_xlfn.VSTACK(YES_Reading_ELA[],YES_Reading_FLA[]),2,FALSE),"")</f>
        <v/>
      </c>
      <c r="C587" s="203" t="str" cm="1">
        <f t="array" aca="1" ref="C587" ca="1">IFERROR(
IF($J$2="ELA",
IF(VLOOKUP($A587, YES_Reading_ELA[], COLUMN(IF(VLOOKUP($D$2, 'Reading Report Logic'!$A$2:$B$8, 2, FALSE)=1, YES_Reading_ELA[Reading Level June of Previous School Year], INDIRECT("YES_Reading_ELA[Instructional Reading Level - Per "&amp;(VLOOKUP($D$2,'Reading Report Logic'!$A$2:$B$8,2,FALSE)-1)&amp;"]"))), FALSE)="", "",
VLOOKUP($A587,YES_Reading_ELA[], COLUMN(IF(VLOOKUP($D$2,'Reading Report Logic'!$A$2:$B$8,2,FALSE)=1, YES_Reading_ELA[Reading Level June of Previous School Year],INDIRECT("YES_Reading_ELA[Instructional Reading Level - Per "&amp;(VLOOKUP($D$2,'Reading Report Logic'!$A$2:$B$8,2,FALSE)-1)&amp;"]"))), FALSE)),
IF($J$2="FLA",
IF(VLOOKUP($A587, YES_Reading_FLA[], COLUMN(IF(VLOOKUP($D$2,'Reading Report Logic'!$A$2:$B$8,2,FALSE)=1, YES_Reading_FLA[Reading Level June of Previous School Year],INDIRECT("YES_Reading_FLA[Instructional Reading Level - Per "&amp;(VLOOKUP($D$2,'Reading Report Logic'!$A$2:$B$8,2,FALSE)-1)&amp;"]"))),FALSE)="","",
VLOOKUP($A587,YES_Reading_FLA[], COLUMN(IF(VLOOKUP($D$2,'Reading Report Logic'!$A$2:$B$8,2,FALSE)=1, YES_Reading_FLA[Reading Level June of Previous School Year],INDIRECT("YES_Reading_FLA[Instructional Reading Level - Per "&amp;(VLOOKUP($D$2,'Reading Report Logic'!$A$2:$B$8,2,FALSE)-1)&amp;"]"))),FALSE)),
IF($J$2="Combined",
IFERROR(
IF(VLOOKUP($A587, YES_Reading_ELA[], COLUMN(IF(VLOOKUP($D$2,'Reading Report Logic'!$A$2:$B$8,2,FALSE)=1, YES_Reading_ELA[Reading Level June of Previous School Year],INDIRECT("YES_Reading_ELA[Instructional Reading Level - Per "&amp;(VLOOKUP($D$2,'Reading Report Logic'!$A$2:$B$8,2,FALSE)-1)&amp;"]"))), FALSE)="", "",
VLOOKUP($A587,YES_Reading_ELA[],COLUMN(IF(VLOOKUP($D$2,'Reading Report Logic'!$A$2:$B$8,2,FALSE)=1, YES_Reading_ELA[Reading Level June of Previous School Year],INDIRECT("YES_Reading_ELA[Instructional Reading Level - Per "&amp;(VLOOKUP($D$2,'Reading Report Logic'!$A$2:$B$8,2,FALSE)-1)&amp;"]"))),FALSE)),
IF(VLOOKUP($A587, YES_Reading_FLA[], COLUMN(IF(VLOOKUP($D$2,'Reading Report Logic'!$A$2:$B$8,2,FALSE)=1, YES_Reading_FLA[Reading Level June of Previous School Year],INDIRECT("YES_Reading_FLA[Instructional Reading Level - Per "&amp;(VLOOKUP($D$2,'Reading Report Logic'!$A$2:$B$8,2,FALSE)-1)&amp;"]"))),FALSE)="", "", VLOOKUP($A587,YES_Reading_FLA[],COLUMN(IF(VLOOKUP($D$2,'Reading Report Logic'!$A$2:$B$8,2,FALSE)=1, YES_Reading_FLA[Reading Level June of Previous School Year],INDIRECT("YES_Reading_FLA[Instructional Reading Level - Per "&amp;(VLOOKUP($D$2,'Reading Report Logic'!$A$2:$B$8,2,FALSE)-1)&amp;"]"))), FALSE))),""))),"")</f>
        <v/>
      </c>
      <c r="D587" s="204" t="str" cm="1">
        <f t="array" aca="1" ref="D587" ca="1">IFERROR(
IF($J$2="ELA",
IF(VLOOKUP($A587, YES_Reading_ELA[], COLUMN(INDIRECT("YES_Reading_ELA[Instructional Reading Level - Per "&amp;VLOOKUP($D$2, 'Reading Report Logic'!$A$2:$B$8, 2, FALSE)&amp;"]")), FALSE)="", "",
VLOOKUP($A587,YES_Reading_ELA[], COLUMN(INDIRECT("YES_Reading_ELA[Instructional Reading Level - Per "&amp;VLOOKUP($D$2,'Reading Report Logic'!$A$2:$B$8,2,FALSE)&amp;"]")), FALSE)),
IF($J$2="FLA",
IF(VLOOKUP($A587, YES_Reading_FLA[], COLUMN(INDIRECT("YES_Reading_FLA[Instructional Reading Level - Per "&amp;VLOOKUP($D$2,'Reading Report Logic'!$A$2:$B$8,2,FALSE)&amp;"]")),FALSE)="","",
VLOOKUP($A587,YES_Reading_FLA[],COLUMN(INDIRECT("YES_Reading_FLA[Instructional Reading Level - Per "&amp;VLOOKUP($D$2,'Reading Report Logic'!$A$2:$B$8,2,FALSE)&amp;"]")),FALSE)),
IF($J$2="Combined",
IFERROR(
IF(VLOOKUP($A587, YES_Reading_ELA[], COLUMN(INDIRECT("YES_Reading_ELA[Instructional Reading Level - Per "&amp;VLOOKUP($D$2, 'Reading Report Logic'!$A$2:$B$8,2,FALSE)&amp;"]")), FALSE)="", "",
VLOOKUP($A587,YES_Reading_ELA[],COLUMN(INDIRECT("YES_Reading_ELA[Instructional Reading Level - Per "&amp;VLOOKUP($D$2,'Reading Report Logic'!$A$2:$B$8,2,FALSE)&amp;"]")),FALSE)),
IF(VLOOKUP($A587, YES_Reading_FLA[], COLUMN(INDIRECT("YES_Reading_FLA[Instructional Reading Level - Per "&amp;VLOOKUP($D$2, 'Reading Report Logic'!$A$2:$B$8, 2, FALSE)&amp;"]")),FALSE)="", "", VLOOKUP($A587,YES_Reading_FLA[],COLUMN(INDIRECT("YES_Reading_FLA[Instructional Reading Level - Per "&amp;VLOOKUP($D$2, 'Reading Report Logic'!$A$2:$B$8, 2, FALSE)&amp;"]")),FALSE))),""))),"")</f>
        <v/>
      </c>
      <c r="E587" s="205" t="str" cm="1">
        <f t="array" aca="1" ref="E587" ca="1">IFERROR(
IF($J$2="ELA",
IF(VLOOKUP($A587, YES_Reading_ELA[], COLUMN(INDIRECT("YES_Reading_ELA[Min Expectation - Per "&amp;VLOOKUP($D$2, 'Reading Report Logic'!$A$2:$B$8, 2, FALSE)&amp;"]")), FALSE)="", "",
VLOOKUP($A587,YES_Reading_ELA[], COLUMN(INDIRECT("YES_Reading_ELA[Min Expectation - Per "&amp;VLOOKUP($D$2,'Reading Report Logic'!$A$2:$B$8,2,FALSE)&amp;"]")), FALSE)),
IF($J$2="FLA",
IF(VLOOKUP($A587, YES_Reading_FLA[], COLUMN(INDIRECT("YES_Reading_FLA[Min Expectation - Per "&amp;VLOOKUP($D$2,'Reading Report Logic'!$A$2:$B$8,2,FALSE)&amp;"]")),FALSE)="","",
VLOOKUP($A587,YES_Reading_FLA[],COLUMN(INDIRECT("YES_Reading_FLA[Min Expectation - Per "&amp;VLOOKUP($D$2,'Reading Report Logic'!$A$2:$B$8,2,FALSE)&amp;"]")),FALSE)),
IF($J$2="Combined",
IFERROR(
IF(VLOOKUP($A587, YES_Reading_ELA[], COLUMN(INDIRECT("YES_Reading_ELA[Min Expectation - Per "&amp;VLOOKUP($D$2, 'Reading Report Logic'!$A$2:$B$8,2,FALSE)&amp;"]")), FALSE)="", "",
VLOOKUP($A587,YES_Reading_ELA[],COLUMN(INDIRECT("YES_Reading_ELA[Min Expectation - Per "&amp;VLOOKUP($D$2,'Reading Report Logic'!$A$2:$B$8,2,FALSE)&amp;"]")),FALSE)),
IF(VLOOKUP($A587, YES_Reading_FLA[], COLUMN(INDIRECT("YES_Reading_FLA[Min Expectation - Per "&amp;VLOOKUP($D$2, 'Reading Report Logic'!$A$2:$B$8, 2, FALSE)&amp;"]")),FALSE)="", "", VLOOKUP($A587,YES_Reading_FLA[],COLUMN(INDIRECT("YES_Reading_FLA[Min Expectation - Per "&amp;VLOOKUP($D$2, 'Reading Report Logic'!$A$2:$B$8, 2, FALSE)&amp;"]")),FALSE))),""))),"")</f>
        <v/>
      </c>
      <c r="F587" s="205" t="str" cm="1">
        <f t="array" aca="1" ref="F587" ca="1">IFERROR(
IF($J$2="ELA",
IF(VLOOKUP($A587, YES_Reading_ELA[], COLUMN(INDIRECT("YES_Reading_ELA[Max Expectation - Per "&amp;VLOOKUP($D$2, 'Reading Report Logic'!$A$2:$B$8, 2, FALSE)&amp;"]")), FALSE)="", "",
VLOOKUP($A587,YES_Reading_ELA[], COLUMN(INDIRECT("YES_Reading_ELA[Max Expectation - Per "&amp;VLOOKUP($D$2,'Reading Report Logic'!$A$2:$B$8,2,FALSE)&amp;"]")), FALSE)),
IF($J$2="FLA",
IF(VLOOKUP($A587, YES_Reading_FLA[], COLUMN(INDIRECT("YES_Reading_FLA[Max Expectation - Per "&amp;VLOOKUP($D$2,'Reading Report Logic'!$A$2:$B$8,2,FALSE)&amp;"]")),FALSE)="","",
VLOOKUP($A587,YES_Reading_FLA[],COLUMN(INDIRECT("YES_Reading_FLA[Max Expectation - Per "&amp;VLOOKUP($D$2,'Reading Report Logic'!$A$2:$B$8,2,FALSE)&amp;"]")),FALSE)),
IF($J$2="Combined",
IFERROR(
IF(VLOOKUP($A587, YES_Reading_ELA[], COLUMN(INDIRECT("YES_Reading_ELA[Max Expectation - Per "&amp;VLOOKUP($D$2, 'Reading Report Logic'!$A$2:$B$8,2,FALSE)&amp;"]")), FALSE)="", "",
VLOOKUP($A587,YES_Reading_ELA[],COLUMN(INDIRECT("YES_Reading_ELA[Max Expectation - Per "&amp;VLOOKUP($D$2,'Reading Report Logic'!$A$2:$B$8,2,FALSE)&amp;"]")),FALSE)),
IF(VLOOKUP($A587, YES_Reading_FLA[], COLUMN(INDIRECT("YES_Reading_FLA[Max Expectation - Per "&amp;VLOOKUP($D$2, 'Reading Report Logic'!$A$2:$B$8, 2, FALSE)&amp;"]")),FALSE)="", "", VLOOKUP($A587,YES_Reading_FLA[],COLUMN(INDIRECT("YES_Reading_FLA[Max Expectation - Per "&amp;VLOOKUP($D$2, 'Reading Report Logic'!$A$2:$B$8, 2, FALSE)&amp;"]")),FALSE))),""))),"")</f>
        <v/>
      </c>
      <c r="G587" s="205" t="str" cm="1">
        <f t="array" aca="1" ref="G587" ca="1">IFERROR(
IF($J$2="ELA",
IF(VLOOKUP($A587, YES_Reading_ELA[], COLUMN(INDIRECT("YES_Reading_ELA[Difference - Per "&amp;VLOOKUP($D$2, 'Reading Report Logic'!$A$2:$B$8, 2, FALSE)&amp;"]")), FALSE)="", "",
VLOOKUP($A587,YES_Reading_ELA[], COLUMN(INDIRECT("YES_Reading_ELA[Difference - Per "&amp;VLOOKUP($D$2,'Reading Report Logic'!$A$2:$B$8,2,FALSE)&amp;"]")), FALSE)),
IF($J$2="FLA",
IF(VLOOKUP($A587, YES_Reading_FLA[], COLUMN(INDIRECT("YES_Reading_FLA[Difference - Per "&amp;VLOOKUP($D$2,'Reading Report Logic'!$A$2:$B$8,2,FALSE)&amp;"]")),FALSE)="","",
VLOOKUP($A587,YES_Reading_FLA[],COLUMN(INDIRECT("YES_Reading_FLA[Difference - Per "&amp;VLOOKUP($D$2,'Reading Report Logic'!$A$2:$B$8,2,FALSE)&amp;"]")),FALSE)),
IF($J$2="Combined",
IFERROR(
IF(VLOOKUP($A587, YES_Reading_ELA[], COLUMN(INDIRECT("YES_Reading_ELA[Difference - Per "&amp;VLOOKUP($D$2, 'Reading Report Logic'!$A$2:$B$8,2,FALSE)&amp;"]")), FALSE)="", "",
VLOOKUP($A587,YES_Reading_ELA[],COLUMN(INDIRECT("YES_Reading_ELA[Difference - Per "&amp;VLOOKUP($D$2,'Reading Report Logic'!$A$2:$B$8,2,FALSE)&amp;"]")),FALSE)),
IF(VLOOKUP($A587, YES_Reading_FLA[], COLUMN(INDIRECT("YES_Reading_FLA[Difference - Per "&amp;VLOOKUP($D$2, 'Reading Report Logic'!$A$2:$B$8, 2, FALSE)&amp;"]")),FALSE)="", "", VLOOKUP($A587,YES_Reading_FLA[],COLUMN(INDIRECT("YES_Reading_FLA[Difference - Per "&amp;VLOOKUP($D$2, 'Reading Report Logic'!$A$2:$B$8, 2, FALSE)&amp;"]")),FALSE))),""))),"")</f>
        <v/>
      </c>
      <c r="H587" s="206" t="str">
        <f ca="1">IFERROR(VLOOKUP('Teacher Reading Pull Sheets'!$D587,_xlfn.VSTACK('ELA Reading Logic'!$A$22:$B$48,'FLA Reading Logic'!$A$22:$B$53),2,FALSE)-VLOOKUP('Teacher Reading Pull Sheets'!$C587,_xlfn.VSTACK('ELA Reading Logic'!$A$22:$B$48,'FLA Reading Logic'!$A$22:$B$53),2,FALSE),"")</f>
        <v/>
      </c>
      <c r="I587" s="212"/>
      <c r="J587" s="206"/>
      <c r="K587" s="197" t="str" cm="1">
        <f t="array" ref="K587">IFERROR(
IF($J$2="ELA",
IF(VLOOKUP($A587, YES_Reading_ELA[], COLUMN(YES_Reading_ELA[Self-Identified as African Descent]), FALSE)="", "",
VLOOKUP($A587,YES_Reading_ELA[], COLUMN(YES_Reading_ELA[Self-Identified as African Descent]), FALSE)),
IF($J$2="FLA",
IF(VLOOKUP($A587, YES_Reading_FLA[], COLUMN(YES_Reading_FLA[Self-Identified as African Descent]),FALSE)="","",
VLOOKUP($A587,YES_Reading_FLA[],COLUMN(YES_Reading_FLA[Self-Identified as African Descent]),FALSE)),
IF($J$2="Combined",
IFERROR(
IF(VLOOKUP($A587, YES_Reading_ELA[], COLUMN(YES_Reading_ELA[Self-Identified as African Descent]), FALSE)="", "",
VLOOKUP($A587,YES_Reading_ELA[],COLUMN(YES_Reading_ELA[Self-Identified as African Descent]),FALSE)),
IF(VLOOKUP($A587, YES_Reading_FLA[], COLUMN(YES_Reading_FLA[Self-Identified as African Descent]),FALSE)="", "", VLOOKUP($A587,YES_Reading_FLA[],COLUMN(YES_Reading_FLA[Self-Identified as African Descent]),FALSE))),""))),"")</f>
        <v/>
      </c>
      <c r="L587" s="73" t="str" cm="1">
        <f t="array" ref="L587">IFERROR(
IF($J$2="ELA",
IF(VLOOKUP($A587, YES_Reading_ELA[], COLUMN(YES_Reading_ELA[Self-Identified as Indigenous]), FALSE)="", "",
VLOOKUP($A587,YES_Reading_ELA[], COLUMN(YES_Reading_ELA[Self-Identified as Indigenous]), FALSE)),
IF($J$2="FLA",
IF(VLOOKUP($A587, YES_Reading_FLA[], COLUMN(YES_Reading_FLA[Self-Identified as Indigenous]),FALSE)="","",
VLOOKUP($A587,YES_Reading_FLA[],COLUMN(YES_Reading_FLA[Self-Identified as Indigenous]),FALSE)),
IF($J$2="Combined",
IFERROR(
IF(VLOOKUP($A587, YES_Reading_ELA[], COLUMN(YES_Reading_ELA[Self-Identified as Indigenous]), FALSE)="", "",
VLOOKUP($A587,YES_Reading_ELA[],COLUMN(YES_Reading_ELA[Self-Identified as Indigenous]),FALSE)),
IF(VLOOKUP($A587, YES_Reading_FLA[], COLUMN(YES_Reading_FLA[Self-Identified as Indigenous]),FALSE)="", "", VLOOKUP($A587,YES_Reading_FLA[],COLUMN(YES_Reading_FLA[Self-Identified as Indigenous]),FALSE))),""))),"")</f>
        <v/>
      </c>
    </row>
    <row r="588" spans="1:12" ht="19.5" customHeight="1" x14ac:dyDescent="0.25">
      <c r="A588" s="217"/>
      <c r="B588" s="220" t="str">
        <f>IFERROR(VLOOKUP(A588,_xlfn.VSTACK(YES_Reading_ELA[],YES_Reading_FLA[]),2,FALSE),"")</f>
        <v/>
      </c>
      <c r="C588" s="203" t="str" cm="1">
        <f t="array" aca="1" ref="C588" ca="1">IFERROR(
IF($J$2="ELA",
IF(VLOOKUP($A588, YES_Reading_ELA[], COLUMN(IF(VLOOKUP($D$2, 'Reading Report Logic'!$A$2:$B$8, 2, FALSE)=1, YES_Reading_ELA[Reading Level June of Previous School Year], INDIRECT("YES_Reading_ELA[Instructional Reading Level - Per "&amp;(VLOOKUP($D$2,'Reading Report Logic'!$A$2:$B$8,2,FALSE)-1)&amp;"]"))), FALSE)="", "",
VLOOKUP($A588,YES_Reading_ELA[], COLUMN(IF(VLOOKUP($D$2,'Reading Report Logic'!$A$2:$B$8,2,FALSE)=1, YES_Reading_ELA[Reading Level June of Previous School Year],INDIRECT("YES_Reading_ELA[Instructional Reading Level - Per "&amp;(VLOOKUP($D$2,'Reading Report Logic'!$A$2:$B$8,2,FALSE)-1)&amp;"]"))), FALSE)),
IF($J$2="FLA",
IF(VLOOKUP($A588, YES_Reading_FLA[], COLUMN(IF(VLOOKUP($D$2,'Reading Report Logic'!$A$2:$B$8,2,FALSE)=1, YES_Reading_FLA[Reading Level June of Previous School Year],INDIRECT("YES_Reading_FLA[Instructional Reading Level - Per "&amp;(VLOOKUP($D$2,'Reading Report Logic'!$A$2:$B$8,2,FALSE)-1)&amp;"]"))),FALSE)="","",
VLOOKUP($A588,YES_Reading_FLA[], COLUMN(IF(VLOOKUP($D$2,'Reading Report Logic'!$A$2:$B$8,2,FALSE)=1, YES_Reading_FLA[Reading Level June of Previous School Year],INDIRECT("YES_Reading_FLA[Instructional Reading Level - Per "&amp;(VLOOKUP($D$2,'Reading Report Logic'!$A$2:$B$8,2,FALSE)-1)&amp;"]"))),FALSE)),
IF($J$2="Combined",
IFERROR(
IF(VLOOKUP($A588, YES_Reading_ELA[], COLUMN(IF(VLOOKUP($D$2,'Reading Report Logic'!$A$2:$B$8,2,FALSE)=1, YES_Reading_ELA[Reading Level June of Previous School Year],INDIRECT("YES_Reading_ELA[Instructional Reading Level - Per "&amp;(VLOOKUP($D$2,'Reading Report Logic'!$A$2:$B$8,2,FALSE)-1)&amp;"]"))), FALSE)="", "",
VLOOKUP($A588,YES_Reading_ELA[],COLUMN(IF(VLOOKUP($D$2,'Reading Report Logic'!$A$2:$B$8,2,FALSE)=1, YES_Reading_ELA[Reading Level June of Previous School Year],INDIRECT("YES_Reading_ELA[Instructional Reading Level - Per "&amp;(VLOOKUP($D$2,'Reading Report Logic'!$A$2:$B$8,2,FALSE)-1)&amp;"]"))),FALSE)),
IF(VLOOKUP($A588, YES_Reading_FLA[], COLUMN(IF(VLOOKUP($D$2,'Reading Report Logic'!$A$2:$B$8,2,FALSE)=1, YES_Reading_FLA[Reading Level June of Previous School Year],INDIRECT("YES_Reading_FLA[Instructional Reading Level - Per "&amp;(VLOOKUP($D$2,'Reading Report Logic'!$A$2:$B$8,2,FALSE)-1)&amp;"]"))),FALSE)="", "", VLOOKUP($A588,YES_Reading_FLA[],COLUMN(IF(VLOOKUP($D$2,'Reading Report Logic'!$A$2:$B$8,2,FALSE)=1, YES_Reading_FLA[Reading Level June of Previous School Year],INDIRECT("YES_Reading_FLA[Instructional Reading Level - Per "&amp;(VLOOKUP($D$2,'Reading Report Logic'!$A$2:$B$8,2,FALSE)-1)&amp;"]"))), FALSE))),""))),"")</f>
        <v/>
      </c>
      <c r="D588" s="204" t="str" cm="1">
        <f t="array" aca="1" ref="D588" ca="1">IFERROR(
IF($J$2="ELA",
IF(VLOOKUP($A588, YES_Reading_ELA[], COLUMN(INDIRECT("YES_Reading_ELA[Instructional Reading Level - Per "&amp;VLOOKUP($D$2, 'Reading Report Logic'!$A$2:$B$8, 2, FALSE)&amp;"]")), FALSE)="", "",
VLOOKUP($A588,YES_Reading_ELA[], COLUMN(INDIRECT("YES_Reading_ELA[Instructional Reading Level - Per "&amp;VLOOKUP($D$2,'Reading Report Logic'!$A$2:$B$8,2,FALSE)&amp;"]")), FALSE)),
IF($J$2="FLA",
IF(VLOOKUP($A588, YES_Reading_FLA[], COLUMN(INDIRECT("YES_Reading_FLA[Instructional Reading Level - Per "&amp;VLOOKUP($D$2,'Reading Report Logic'!$A$2:$B$8,2,FALSE)&amp;"]")),FALSE)="","",
VLOOKUP($A588,YES_Reading_FLA[],COLUMN(INDIRECT("YES_Reading_FLA[Instructional Reading Level - Per "&amp;VLOOKUP($D$2,'Reading Report Logic'!$A$2:$B$8,2,FALSE)&amp;"]")),FALSE)),
IF($J$2="Combined",
IFERROR(
IF(VLOOKUP($A588, YES_Reading_ELA[], COLUMN(INDIRECT("YES_Reading_ELA[Instructional Reading Level - Per "&amp;VLOOKUP($D$2, 'Reading Report Logic'!$A$2:$B$8,2,FALSE)&amp;"]")), FALSE)="", "",
VLOOKUP($A588,YES_Reading_ELA[],COLUMN(INDIRECT("YES_Reading_ELA[Instructional Reading Level - Per "&amp;VLOOKUP($D$2,'Reading Report Logic'!$A$2:$B$8,2,FALSE)&amp;"]")),FALSE)),
IF(VLOOKUP($A588, YES_Reading_FLA[], COLUMN(INDIRECT("YES_Reading_FLA[Instructional Reading Level - Per "&amp;VLOOKUP($D$2, 'Reading Report Logic'!$A$2:$B$8, 2, FALSE)&amp;"]")),FALSE)="", "", VLOOKUP($A588,YES_Reading_FLA[],COLUMN(INDIRECT("YES_Reading_FLA[Instructional Reading Level - Per "&amp;VLOOKUP($D$2, 'Reading Report Logic'!$A$2:$B$8, 2, FALSE)&amp;"]")),FALSE))),""))),"")</f>
        <v/>
      </c>
      <c r="E588" s="205" t="str" cm="1">
        <f t="array" aca="1" ref="E588" ca="1">IFERROR(
IF($J$2="ELA",
IF(VLOOKUP($A588, YES_Reading_ELA[], COLUMN(INDIRECT("YES_Reading_ELA[Min Expectation - Per "&amp;VLOOKUP($D$2, 'Reading Report Logic'!$A$2:$B$8, 2, FALSE)&amp;"]")), FALSE)="", "",
VLOOKUP($A588,YES_Reading_ELA[], COLUMN(INDIRECT("YES_Reading_ELA[Min Expectation - Per "&amp;VLOOKUP($D$2,'Reading Report Logic'!$A$2:$B$8,2,FALSE)&amp;"]")), FALSE)),
IF($J$2="FLA",
IF(VLOOKUP($A588, YES_Reading_FLA[], COLUMN(INDIRECT("YES_Reading_FLA[Min Expectation - Per "&amp;VLOOKUP($D$2,'Reading Report Logic'!$A$2:$B$8,2,FALSE)&amp;"]")),FALSE)="","",
VLOOKUP($A588,YES_Reading_FLA[],COLUMN(INDIRECT("YES_Reading_FLA[Min Expectation - Per "&amp;VLOOKUP($D$2,'Reading Report Logic'!$A$2:$B$8,2,FALSE)&amp;"]")),FALSE)),
IF($J$2="Combined",
IFERROR(
IF(VLOOKUP($A588, YES_Reading_ELA[], COLUMN(INDIRECT("YES_Reading_ELA[Min Expectation - Per "&amp;VLOOKUP($D$2, 'Reading Report Logic'!$A$2:$B$8,2,FALSE)&amp;"]")), FALSE)="", "",
VLOOKUP($A588,YES_Reading_ELA[],COLUMN(INDIRECT("YES_Reading_ELA[Min Expectation - Per "&amp;VLOOKUP($D$2,'Reading Report Logic'!$A$2:$B$8,2,FALSE)&amp;"]")),FALSE)),
IF(VLOOKUP($A588, YES_Reading_FLA[], COLUMN(INDIRECT("YES_Reading_FLA[Min Expectation - Per "&amp;VLOOKUP($D$2, 'Reading Report Logic'!$A$2:$B$8, 2, FALSE)&amp;"]")),FALSE)="", "", VLOOKUP($A588,YES_Reading_FLA[],COLUMN(INDIRECT("YES_Reading_FLA[Min Expectation - Per "&amp;VLOOKUP($D$2, 'Reading Report Logic'!$A$2:$B$8, 2, FALSE)&amp;"]")),FALSE))),""))),"")</f>
        <v/>
      </c>
      <c r="F588" s="205" t="str" cm="1">
        <f t="array" aca="1" ref="F588" ca="1">IFERROR(
IF($J$2="ELA",
IF(VLOOKUP($A588, YES_Reading_ELA[], COLUMN(INDIRECT("YES_Reading_ELA[Max Expectation - Per "&amp;VLOOKUP($D$2, 'Reading Report Logic'!$A$2:$B$8, 2, FALSE)&amp;"]")), FALSE)="", "",
VLOOKUP($A588,YES_Reading_ELA[], COLUMN(INDIRECT("YES_Reading_ELA[Max Expectation - Per "&amp;VLOOKUP($D$2,'Reading Report Logic'!$A$2:$B$8,2,FALSE)&amp;"]")), FALSE)),
IF($J$2="FLA",
IF(VLOOKUP($A588, YES_Reading_FLA[], COLUMN(INDIRECT("YES_Reading_FLA[Max Expectation - Per "&amp;VLOOKUP($D$2,'Reading Report Logic'!$A$2:$B$8,2,FALSE)&amp;"]")),FALSE)="","",
VLOOKUP($A588,YES_Reading_FLA[],COLUMN(INDIRECT("YES_Reading_FLA[Max Expectation - Per "&amp;VLOOKUP($D$2,'Reading Report Logic'!$A$2:$B$8,2,FALSE)&amp;"]")),FALSE)),
IF($J$2="Combined",
IFERROR(
IF(VLOOKUP($A588, YES_Reading_ELA[], COLUMN(INDIRECT("YES_Reading_ELA[Max Expectation - Per "&amp;VLOOKUP($D$2, 'Reading Report Logic'!$A$2:$B$8,2,FALSE)&amp;"]")), FALSE)="", "",
VLOOKUP($A588,YES_Reading_ELA[],COLUMN(INDIRECT("YES_Reading_ELA[Max Expectation - Per "&amp;VLOOKUP($D$2,'Reading Report Logic'!$A$2:$B$8,2,FALSE)&amp;"]")),FALSE)),
IF(VLOOKUP($A588, YES_Reading_FLA[], COLUMN(INDIRECT("YES_Reading_FLA[Max Expectation - Per "&amp;VLOOKUP($D$2, 'Reading Report Logic'!$A$2:$B$8, 2, FALSE)&amp;"]")),FALSE)="", "", VLOOKUP($A588,YES_Reading_FLA[],COLUMN(INDIRECT("YES_Reading_FLA[Max Expectation - Per "&amp;VLOOKUP($D$2, 'Reading Report Logic'!$A$2:$B$8, 2, FALSE)&amp;"]")),FALSE))),""))),"")</f>
        <v/>
      </c>
      <c r="G588" s="205" t="str" cm="1">
        <f t="array" aca="1" ref="G588" ca="1">IFERROR(
IF($J$2="ELA",
IF(VLOOKUP($A588, YES_Reading_ELA[], COLUMN(INDIRECT("YES_Reading_ELA[Difference - Per "&amp;VLOOKUP($D$2, 'Reading Report Logic'!$A$2:$B$8, 2, FALSE)&amp;"]")), FALSE)="", "",
VLOOKUP($A588,YES_Reading_ELA[], COLUMN(INDIRECT("YES_Reading_ELA[Difference - Per "&amp;VLOOKUP($D$2,'Reading Report Logic'!$A$2:$B$8,2,FALSE)&amp;"]")), FALSE)),
IF($J$2="FLA",
IF(VLOOKUP($A588, YES_Reading_FLA[], COLUMN(INDIRECT("YES_Reading_FLA[Difference - Per "&amp;VLOOKUP($D$2,'Reading Report Logic'!$A$2:$B$8,2,FALSE)&amp;"]")),FALSE)="","",
VLOOKUP($A588,YES_Reading_FLA[],COLUMN(INDIRECT("YES_Reading_FLA[Difference - Per "&amp;VLOOKUP($D$2,'Reading Report Logic'!$A$2:$B$8,2,FALSE)&amp;"]")),FALSE)),
IF($J$2="Combined",
IFERROR(
IF(VLOOKUP($A588, YES_Reading_ELA[], COLUMN(INDIRECT("YES_Reading_ELA[Difference - Per "&amp;VLOOKUP($D$2, 'Reading Report Logic'!$A$2:$B$8,2,FALSE)&amp;"]")), FALSE)="", "",
VLOOKUP($A588,YES_Reading_ELA[],COLUMN(INDIRECT("YES_Reading_ELA[Difference - Per "&amp;VLOOKUP($D$2,'Reading Report Logic'!$A$2:$B$8,2,FALSE)&amp;"]")),FALSE)),
IF(VLOOKUP($A588, YES_Reading_FLA[], COLUMN(INDIRECT("YES_Reading_FLA[Difference - Per "&amp;VLOOKUP($D$2, 'Reading Report Logic'!$A$2:$B$8, 2, FALSE)&amp;"]")),FALSE)="", "", VLOOKUP($A588,YES_Reading_FLA[],COLUMN(INDIRECT("YES_Reading_FLA[Difference - Per "&amp;VLOOKUP($D$2, 'Reading Report Logic'!$A$2:$B$8, 2, FALSE)&amp;"]")),FALSE))),""))),"")</f>
        <v/>
      </c>
      <c r="H588" s="206" t="str">
        <f ca="1">IFERROR(VLOOKUP('Teacher Reading Pull Sheets'!$D588,_xlfn.VSTACK('ELA Reading Logic'!$A$22:$B$48,'FLA Reading Logic'!$A$22:$B$53),2,FALSE)-VLOOKUP('Teacher Reading Pull Sheets'!$C588,_xlfn.VSTACK('ELA Reading Logic'!$A$22:$B$48,'FLA Reading Logic'!$A$22:$B$53),2,FALSE),"")</f>
        <v/>
      </c>
      <c r="I588" s="212"/>
      <c r="J588" s="206"/>
      <c r="K588" s="197" t="str" cm="1">
        <f t="array" ref="K588">IFERROR(
IF($J$2="ELA",
IF(VLOOKUP($A588, YES_Reading_ELA[], COLUMN(YES_Reading_ELA[Self-Identified as African Descent]), FALSE)="", "",
VLOOKUP($A588,YES_Reading_ELA[], COLUMN(YES_Reading_ELA[Self-Identified as African Descent]), FALSE)),
IF($J$2="FLA",
IF(VLOOKUP($A588, YES_Reading_FLA[], COLUMN(YES_Reading_FLA[Self-Identified as African Descent]),FALSE)="","",
VLOOKUP($A588,YES_Reading_FLA[],COLUMN(YES_Reading_FLA[Self-Identified as African Descent]),FALSE)),
IF($J$2="Combined",
IFERROR(
IF(VLOOKUP($A588, YES_Reading_ELA[], COLUMN(YES_Reading_ELA[Self-Identified as African Descent]), FALSE)="", "",
VLOOKUP($A588,YES_Reading_ELA[],COLUMN(YES_Reading_ELA[Self-Identified as African Descent]),FALSE)),
IF(VLOOKUP($A588, YES_Reading_FLA[], COLUMN(YES_Reading_FLA[Self-Identified as African Descent]),FALSE)="", "", VLOOKUP($A588,YES_Reading_FLA[],COLUMN(YES_Reading_FLA[Self-Identified as African Descent]),FALSE))),""))),"")</f>
        <v/>
      </c>
      <c r="L588" s="73" t="str" cm="1">
        <f t="array" ref="L588">IFERROR(
IF($J$2="ELA",
IF(VLOOKUP($A588, YES_Reading_ELA[], COLUMN(YES_Reading_ELA[Self-Identified as Indigenous]), FALSE)="", "",
VLOOKUP($A588,YES_Reading_ELA[], COLUMN(YES_Reading_ELA[Self-Identified as Indigenous]), FALSE)),
IF($J$2="FLA",
IF(VLOOKUP($A588, YES_Reading_FLA[], COLUMN(YES_Reading_FLA[Self-Identified as Indigenous]),FALSE)="","",
VLOOKUP($A588,YES_Reading_FLA[],COLUMN(YES_Reading_FLA[Self-Identified as Indigenous]),FALSE)),
IF($J$2="Combined",
IFERROR(
IF(VLOOKUP($A588, YES_Reading_ELA[], COLUMN(YES_Reading_ELA[Self-Identified as Indigenous]), FALSE)="", "",
VLOOKUP($A588,YES_Reading_ELA[],COLUMN(YES_Reading_ELA[Self-Identified as Indigenous]),FALSE)),
IF(VLOOKUP($A588, YES_Reading_FLA[], COLUMN(YES_Reading_FLA[Self-Identified as Indigenous]),FALSE)="", "", VLOOKUP($A588,YES_Reading_FLA[],COLUMN(YES_Reading_FLA[Self-Identified as Indigenous]),FALSE))),""))),"")</f>
        <v/>
      </c>
    </row>
    <row r="589" spans="1:12" ht="19.5" customHeight="1" x14ac:dyDescent="0.25">
      <c r="A589" s="217"/>
      <c r="B589" s="220" t="str">
        <f>IFERROR(VLOOKUP(A589,_xlfn.VSTACK(YES_Reading_ELA[],YES_Reading_FLA[]),2,FALSE),"")</f>
        <v/>
      </c>
      <c r="C589" s="203" t="str" cm="1">
        <f t="array" aca="1" ref="C589" ca="1">IFERROR(
IF($J$2="ELA",
IF(VLOOKUP($A589, YES_Reading_ELA[], COLUMN(IF(VLOOKUP($D$2, 'Reading Report Logic'!$A$2:$B$8, 2, FALSE)=1, YES_Reading_ELA[Reading Level June of Previous School Year], INDIRECT("YES_Reading_ELA[Instructional Reading Level - Per "&amp;(VLOOKUP($D$2,'Reading Report Logic'!$A$2:$B$8,2,FALSE)-1)&amp;"]"))), FALSE)="", "",
VLOOKUP($A589,YES_Reading_ELA[], COLUMN(IF(VLOOKUP($D$2,'Reading Report Logic'!$A$2:$B$8,2,FALSE)=1, YES_Reading_ELA[Reading Level June of Previous School Year],INDIRECT("YES_Reading_ELA[Instructional Reading Level - Per "&amp;(VLOOKUP($D$2,'Reading Report Logic'!$A$2:$B$8,2,FALSE)-1)&amp;"]"))), FALSE)),
IF($J$2="FLA",
IF(VLOOKUP($A589, YES_Reading_FLA[], COLUMN(IF(VLOOKUP($D$2,'Reading Report Logic'!$A$2:$B$8,2,FALSE)=1, YES_Reading_FLA[Reading Level June of Previous School Year],INDIRECT("YES_Reading_FLA[Instructional Reading Level - Per "&amp;(VLOOKUP($D$2,'Reading Report Logic'!$A$2:$B$8,2,FALSE)-1)&amp;"]"))),FALSE)="","",
VLOOKUP($A589,YES_Reading_FLA[], COLUMN(IF(VLOOKUP($D$2,'Reading Report Logic'!$A$2:$B$8,2,FALSE)=1, YES_Reading_FLA[Reading Level June of Previous School Year],INDIRECT("YES_Reading_FLA[Instructional Reading Level - Per "&amp;(VLOOKUP($D$2,'Reading Report Logic'!$A$2:$B$8,2,FALSE)-1)&amp;"]"))),FALSE)),
IF($J$2="Combined",
IFERROR(
IF(VLOOKUP($A589, YES_Reading_ELA[], COLUMN(IF(VLOOKUP($D$2,'Reading Report Logic'!$A$2:$B$8,2,FALSE)=1, YES_Reading_ELA[Reading Level June of Previous School Year],INDIRECT("YES_Reading_ELA[Instructional Reading Level - Per "&amp;(VLOOKUP($D$2,'Reading Report Logic'!$A$2:$B$8,2,FALSE)-1)&amp;"]"))), FALSE)="", "",
VLOOKUP($A589,YES_Reading_ELA[],COLUMN(IF(VLOOKUP($D$2,'Reading Report Logic'!$A$2:$B$8,2,FALSE)=1, YES_Reading_ELA[Reading Level June of Previous School Year],INDIRECT("YES_Reading_ELA[Instructional Reading Level - Per "&amp;(VLOOKUP($D$2,'Reading Report Logic'!$A$2:$B$8,2,FALSE)-1)&amp;"]"))),FALSE)),
IF(VLOOKUP($A589, YES_Reading_FLA[], COLUMN(IF(VLOOKUP($D$2,'Reading Report Logic'!$A$2:$B$8,2,FALSE)=1, YES_Reading_FLA[Reading Level June of Previous School Year],INDIRECT("YES_Reading_FLA[Instructional Reading Level - Per "&amp;(VLOOKUP($D$2,'Reading Report Logic'!$A$2:$B$8,2,FALSE)-1)&amp;"]"))),FALSE)="", "", VLOOKUP($A589,YES_Reading_FLA[],COLUMN(IF(VLOOKUP($D$2,'Reading Report Logic'!$A$2:$B$8,2,FALSE)=1, YES_Reading_FLA[Reading Level June of Previous School Year],INDIRECT("YES_Reading_FLA[Instructional Reading Level - Per "&amp;(VLOOKUP($D$2,'Reading Report Logic'!$A$2:$B$8,2,FALSE)-1)&amp;"]"))), FALSE))),""))),"")</f>
        <v/>
      </c>
      <c r="D589" s="204" t="str" cm="1">
        <f t="array" aca="1" ref="D589" ca="1">IFERROR(
IF($J$2="ELA",
IF(VLOOKUP($A589, YES_Reading_ELA[], COLUMN(INDIRECT("YES_Reading_ELA[Instructional Reading Level - Per "&amp;VLOOKUP($D$2, 'Reading Report Logic'!$A$2:$B$8, 2, FALSE)&amp;"]")), FALSE)="", "",
VLOOKUP($A589,YES_Reading_ELA[], COLUMN(INDIRECT("YES_Reading_ELA[Instructional Reading Level - Per "&amp;VLOOKUP($D$2,'Reading Report Logic'!$A$2:$B$8,2,FALSE)&amp;"]")), FALSE)),
IF($J$2="FLA",
IF(VLOOKUP($A589, YES_Reading_FLA[], COLUMN(INDIRECT("YES_Reading_FLA[Instructional Reading Level - Per "&amp;VLOOKUP($D$2,'Reading Report Logic'!$A$2:$B$8,2,FALSE)&amp;"]")),FALSE)="","",
VLOOKUP($A589,YES_Reading_FLA[],COLUMN(INDIRECT("YES_Reading_FLA[Instructional Reading Level - Per "&amp;VLOOKUP($D$2,'Reading Report Logic'!$A$2:$B$8,2,FALSE)&amp;"]")),FALSE)),
IF($J$2="Combined",
IFERROR(
IF(VLOOKUP($A589, YES_Reading_ELA[], COLUMN(INDIRECT("YES_Reading_ELA[Instructional Reading Level - Per "&amp;VLOOKUP($D$2, 'Reading Report Logic'!$A$2:$B$8,2,FALSE)&amp;"]")), FALSE)="", "",
VLOOKUP($A589,YES_Reading_ELA[],COLUMN(INDIRECT("YES_Reading_ELA[Instructional Reading Level - Per "&amp;VLOOKUP($D$2,'Reading Report Logic'!$A$2:$B$8,2,FALSE)&amp;"]")),FALSE)),
IF(VLOOKUP($A589, YES_Reading_FLA[], COLUMN(INDIRECT("YES_Reading_FLA[Instructional Reading Level - Per "&amp;VLOOKUP($D$2, 'Reading Report Logic'!$A$2:$B$8, 2, FALSE)&amp;"]")),FALSE)="", "", VLOOKUP($A589,YES_Reading_FLA[],COLUMN(INDIRECT("YES_Reading_FLA[Instructional Reading Level - Per "&amp;VLOOKUP($D$2, 'Reading Report Logic'!$A$2:$B$8, 2, FALSE)&amp;"]")),FALSE))),""))),"")</f>
        <v/>
      </c>
      <c r="E589" s="205" t="str" cm="1">
        <f t="array" aca="1" ref="E589" ca="1">IFERROR(
IF($J$2="ELA",
IF(VLOOKUP($A589, YES_Reading_ELA[], COLUMN(INDIRECT("YES_Reading_ELA[Min Expectation - Per "&amp;VLOOKUP($D$2, 'Reading Report Logic'!$A$2:$B$8, 2, FALSE)&amp;"]")), FALSE)="", "",
VLOOKUP($A589,YES_Reading_ELA[], COLUMN(INDIRECT("YES_Reading_ELA[Min Expectation - Per "&amp;VLOOKUP($D$2,'Reading Report Logic'!$A$2:$B$8,2,FALSE)&amp;"]")), FALSE)),
IF($J$2="FLA",
IF(VLOOKUP($A589, YES_Reading_FLA[], COLUMN(INDIRECT("YES_Reading_FLA[Min Expectation - Per "&amp;VLOOKUP($D$2,'Reading Report Logic'!$A$2:$B$8,2,FALSE)&amp;"]")),FALSE)="","",
VLOOKUP($A589,YES_Reading_FLA[],COLUMN(INDIRECT("YES_Reading_FLA[Min Expectation - Per "&amp;VLOOKUP($D$2,'Reading Report Logic'!$A$2:$B$8,2,FALSE)&amp;"]")),FALSE)),
IF($J$2="Combined",
IFERROR(
IF(VLOOKUP($A589, YES_Reading_ELA[], COLUMN(INDIRECT("YES_Reading_ELA[Min Expectation - Per "&amp;VLOOKUP($D$2, 'Reading Report Logic'!$A$2:$B$8,2,FALSE)&amp;"]")), FALSE)="", "",
VLOOKUP($A589,YES_Reading_ELA[],COLUMN(INDIRECT("YES_Reading_ELA[Min Expectation - Per "&amp;VLOOKUP($D$2,'Reading Report Logic'!$A$2:$B$8,2,FALSE)&amp;"]")),FALSE)),
IF(VLOOKUP($A589, YES_Reading_FLA[], COLUMN(INDIRECT("YES_Reading_FLA[Min Expectation - Per "&amp;VLOOKUP($D$2, 'Reading Report Logic'!$A$2:$B$8, 2, FALSE)&amp;"]")),FALSE)="", "", VLOOKUP($A589,YES_Reading_FLA[],COLUMN(INDIRECT("YES_Reading_FLA[Min Expectation - Per "&amp;VLOOKUP($D$2, 'Reading Report Logic'!$A$2:$B$8, 2, FALSE)&amp;"]")),FALSE))),""))),"")</f>
        <v/>
      </c>
      <c r="F589" s="205" t="str" cm="1">
        <f t="array" aca="1" ref="F589" ca="1">IFERROR(
IF($J$2="ELA",
IF(VLOOKUP($A589, YES_Reading_ELA[], COLUMN(INDIRECT("YES_Reading_ELA[Max Expectation - Per "&amp;VLOOKUP($D$2, 'Reading Report Logic'!$A$2:$B$8, 2, FALSE)&amp;"]")), FALSE)="", "",
VLOOKUP($A589,YES_Reading_ELA[], COLUMN(INDIRECT("YES_Reading_ELA[Max Expectation - Per "&amp;VLOOKUP($D$2,'Reading Report Logic'!$A$2:$B$8,2,FALSE)&amp;"]")), FALSE)),
IF($J$2="FLA",
IF(VLOOKUP($A589, YES_Reading_FLA[], COLUMN(INDIRECT("YES_Reading_FLA[Max Expectation - Per "&amp;VLOOKUP($D$2,'Reading Report Logic'!$A$2:$B$8,2,FALSE)&amp;"]")),FALSE)="","",
VLOOKUP($A589,YES_Reading_FLA[],COLUMN(INDIRECT("YES_Reading_FLA[Max Expectation - Per "&amp;VLOOKUP($D$2,'Reading Report Logic'!$A$2:$B$8,2,FALSE)&amp;"]")),FALSE)),
IF($J$2="Combined",
IFERROR(
IF(VLOOKUP($A589, YES_Reading_ELA[], COLUMN(INDIRECT("YES_Reading_ELA[Max Expectation - Per "&amp;VLOOKUP($D$2, 'Reading Report Logic'!$A$2:$B$8,2,FALSE)&amp;"]")), FALSE)="", "",
VLOOKUP($A589,YES_Reading_ELA[],COLUMN(INDIRECT("YES_Reading_ELA[Max Expectation - Per "&amp;VLOOKUP($D$2,'Reading Report Logic'!$A$2:$B$8,2,FALSE)&amp;"]")),FALSE)),
IF(VLOOKUP($A589, YES_Reading_FLA[], COLUMN(INDIRECT("YES_Reading_FLA[Max Expectation - Per "&amp;VLOOKUP($D$2, 'Reading Report Logic'!$A$2:$B$8, 2, FALSE)&amp;"]")),FALSE)="", "", VLOOKUP($A589,YES_Reading_FLA[],COLUMN(INDIRECT("YES_Reading_FLA[Max Expectation - Per "&amp;VLOOKUP($D$2, 'Reading Report Logic'!$A$2:$B$8, 2, FALSE)&amp;"]")),FALSE))),""))),"")</f>
        <v/>
      </c>
      <c r="G589" s="205" t="str" cm="1">
        <f t="array" aca="1" ref="G589" ca="1">IFERROR(
IF($J$2="ELA",
IF(VLOOKUP($A589, YES_Reading_ELA[], COLUMN(INDIRECT("YES_Reading_ELA[Difference - Per "&amp;VLOOKUP($D$2, 'Reading Report Logic'!$A$2:$B$8, 2, FALSE)&amp;"]")), FALSE)="", "",
VLOOKUP($A589,YES_Reading_ELA[], COLUMN(INDIRECT("YES_Reading_ELA[Difference - Per "&amp;VLOOKUP($D$2,'Reading Report Logic'!$A$2:$B$8,2,FALSE)&amp;"]")), FALSE)),
IF($J$2="FLA",
IF(VLOOKUP($A589, YES_Reading_FLA[], COLUMN(INDIRECT("YES_Reading_FLA[Difference - Per "&amp;VLOOKUP($D$2,'Reading Report Logic'!$A$2:$B$8,2,FALSE)&amp;"]")),FALSE)="","",
VLOOKUP($A589,YES_Reading_FLA[],COLUMN(INDIRECT("YES_Reading_FLA[Difference - Per "&amp;VLOOKUP($D$2,'Reading Report Logic'!$A$2:$B$8,2,FALSE)&amp;"]")),FALSE)),
IF($J$2="Combined",
IFERROR(
IF(VLOOKUP($A589, YES_Reading_ELA[], COLUMN(INDIRECT("YES_Reading_ELA[Difference - Per "&amp;VLOOKUP($D$2, 'Reading Report Logic'!$A$2:$B$8,2,FALSE)&amp;"]")), FALSE)="", "",
VLOOKUP($A589,YES_Reading_ELA[],COLUMN(INDIRECT("YES_Reading_ELA[Difference - Per "&amp;VLOOKUP($D$2,'Reading Report Logic'!$A$2:$B$8,2,FALSE)&amp;"]")),FALSE)),
IF(VLOOKUP($A589, YES_Reading_FLA[], COLUMN(INDIRECT("YES_Reading_FLA[Difference - Per "&amp;VLOOKUP($D$2, 'Reading Report Logic'!$A$2:$B$8, 2, FALSE)&amp;"]")),FALSE)="", "", VLOOKUP($A589,YES_Reading_FLA[],COLUMN(INDIRECT("YES_Reading_FLA[Difference - Per "&amp;VLOOKUP($D$2, 'Reading Report Logic'!$A$2:$B$8, 2, FALSE)&amp;"]")),FALSE))),""))),"")</f>
        <v/>
      </c>
      <c r="H589" s="206" t="str">
        <f ca="1">IFERROR(VLOOKUP('Teacher Reading Pull Sheets'!$D589,_xlfn.VSTACK('ELA Reading Logic'!$A$22:$B$48,'FLA Reading Logic'!$A$22:$B$53),2,FALSE)-VLOOKUP('Teacher Reading Pull Sheets'!$C589,_xlfn.VSTACK('ELA Reading Logic'!$A$22:$B$48,'FLA Reading Logic'!$A$22:$B$53),2,FALSE),"")</f>
        <v/>
      </c>
      <c r="I589" s="212"/>
      <c r="J589" s="206"/>
      <c r="K589" s="197" t="str" cm="1">
        <f t="array" ref="K589">IFERROR(
IF($J$2="ELA",
IF(VLOOKUP($A589, YES_Reading_ELA[], COLUMN(YES_Reading_ELA[Self-Identified as African Descent]), FALSE)="", "",
VLOOKUP($A589,YES_Reading_ELA[], COLUMN(YES_Reading_ELA[Self-Identified as African Descent]), FALSE)),
IF($J$2="FLA",
IF(VLOOKUP($A589, YES_Reading_FLA[], COLUMN(YES_Reading_FLA[Self-Identified as African Descent]),FALSE)="","",
VLOOKUP($A589,YES_Reading_FLA[],COLUMN(YES_Reading_FLA[Self-Identified as African Descent]),FALSE)),
IF($J$2="Combined",
IFERROR(
IF(VLOOKUP($A589, YES_Reading_ELA[], COLUMN(YES_Reading_ELA[Self-Identified as African Descent]), FALSE)="", "",
VLOOKUP($A589,YES_Reading_ELA[],COLUMN(YES_Reading_ELA[Self-Identified as African Descent]),FALSE)),
IF(VLOOKUP($A589, YES_Reading_FLA[], COLUMN(YES_Reading_FLA[Self-Identified as African Descent]),FALSE)="", "", VLOOKUP($A589,YES_Reading_FLA[],COLUMN(YES_Reading_FLA[Self-Identified as African Descent]),FALSE))),""))),"")</f>
        <v/>
      </c>
      <c r="L589" s="73" t="str" cm="1">
        <f t="array" ref="L589">IFERROR(
IF($J$2="ELA",
IF(VLOOKUP($A589, YES_Reading_ELA[], COLUMN(YES_Reading_ELA[Self-Identified as Indigenous]), FALSE)="", "",
VLOOKUP($A589,YES_Reading_ELA[], COLUMN(YES_Reading_ELA[Self-Identified as Indigenous]), FALSE)),
IF($J$2="FLA",
IF(VLOOKUP($A589, YES_Reading_FLA[], COLUMN(YES_Reading_FLA[Self-Identified as Indigenous]),FALSE)="","",
VLOOKUP($A589,YES_Reading_FLA[],COLUMN(YES_Reading_FLA[Self-Identified as Indigenous]),FALSE)),
IF($J$2="Combined",
IFERROR(
IF(VLOOKUP($A589, YES_Reading_ELA[], COLUMN(YES_Reading_ELA[Self-Identified as Indigenous]), FALSE)="", "",
VLOOKUP($A589,YES_Reading_ELA[],COLUMN(YES_Reading_ELA[Self-Identified as Indigenous]),FALSE)),
IF(VLOOKUP($A589, YES_Reading_FLA[], COLUMN(YES_Reading_FLA[Self-Identified as Indigenous]),FALSE)="", "", VLOOKUP($A589,YES_Reading_FLA[],COLUMN(YES_Reading_FLA[Self-Identified as Indigenous]),FALSE))),""))),"")</f>
        <v/>
      </c>
    </row>
    <row r="590" spans="1:12" ht="19.5" customHeight="1" x14ac:dyDescent="0.25">
      <c r="A590" s="217"/>
      <c r="B590" s="220" t="str">
        <f>IFERROR(VLOOKUP(A590,_xlfn.VSTACK(YES_Reading_ELA[],YES_Reading_FLA[]),2,FALSE),"")</f>
        <v/>
      </c>
      <c r="C590" s="203" t="str" cm="1">
        <f t="array" aca="1" ref="C590" ca="1">IFERROR(
IF($J$2="ELA",
IF(VLOOKUP($A590, YES_Reading_ELA[], COLUMN(IF(VLOOKUP($D$2, 'Reading Report Logic'!$A$2:$B$8, 2, FALSE)=1, YES_Reading_ELA[Reading Level June of Previous School Year], INDIRECT("YES_Reading_ELA[Instructional Reading Level - Per "&amp;(VLOOKUP($D$2,'Reading Report Logic'!$A$2:$B$8,2,FALSE)-1)&amp;"]"))), FALSE)="", "",
VLOOKUP($A590,YES_Reading_ELA[], COLUMN(IF(VLOOKUP($D$2,'Reading Report Logic'!$A$2:$B$8,2,FALSE)=1, YES_Reading_ELA[Reading Level June of Previous School Year],INDIRECT("YES_Reading_ELA[Instructional Reading Level - Per "&amp;(VLOOKUP($D$2,'Reading Report Logic'!$A$2:$B$8,2,FALSE)-1)&amp;"]"))), FALSE)),
IF($J$2="FLA",
IF(VLOOKUP($A590, YES_Reading_FLA[], COLUMN(IF(VLOOKUP($D$2,'Reading Report Logic'!$A$2:$B$8,2,FALSE)=1, YES_Reading_FLA[Reading Level June of Previous School Year],INDIRECT("YES_Reading_FLA[Instructional Reading Level - Per "&amp;(VLOOKUP($D$2,'Reading Report Logic'!$A$2:$B$8,2,FALSE)-1)&amp;"]"))),FALSE)="","",
VLOOKUP($A590,YES_Reading_FLA[], COLUMN(IF(VLOOKUP($D$2,'Reading Report Logic'!$A$2:$B$8,2,FALSE)=1, YES_Reading_FLA[Reading Level June of Previous School Year],INDIRECT("YES_Reading_FLA[Instructional Reading Level - Per "&amp;(VLOOKUP($D$2,'Reading Report Logic'!$A$2:$B$8,2,FALSE)-1)&amp;"]"))),FALSE)),
IF($J$2="Combined",
IFERROR(
IF(VLOOKUP($A590, YES_Reading_ELA[], COLUMN(IF(VLOOKUP($D$2,'Reading Report Logic'!$A$2:$B$8,2,FALSE)=1, YES_Reading_ELA[Reading Level June of Previous School Year],INDIRECT("YES_Reading_ELA[Instructional Reading Level - Per "&amp;(VLOOKUP($D$2,'Reading Report Logic'!$A$2:$B$8,2,FALSE)-1)&amp;"]"))), FALSE)="", "",
VLOOKUP($A590,YES_Reading_ELA[],COLUMN(IF(VLOOKUP($D$2,'Reading Report Logic'!$A$2:$B$8,2,FALSE)=1, YES_Reading_ELA[Reading Level June of Previous School Year],INDIRECT("YES_Reading_ELA[Instructional Reading Level - Per "&amp;(VLOOKUP($D$2,'Reading Report Logic'!$A$2:$B$8,2,FALSE)-1)&amp;"]"))),FALSE)),
IF(VLOOKUP($A590, YES_Reading_FLA[], COLUMN(IF(VLOOKUP($D$2,'Reading Report Logic'!$A$2:$B$8,2,FALSE)=1, YES_Reading_FLA[Reading Level June of Previous School Year],INDIRECT("YES_Reading_FLA[Instructional Reading Level - Per "&amp;(VLOOKUP($D$2,'Reading Report Logic'!$A$2:$B$8,2,FALSE)-1)&amp;"]"))),FALSE)="", "", VLOOKUP($A590,YES_Reading_FLA[],COLUMN(IF(VLOOKUP($D$2,'Reading Report Logic'!$A$2:$B$8,2,FALSE)=1, YES_Reading_FLA[Reading Level June of Previous School Year],INDIRECT("YES_Reading_FLA[Instructional Reading Level - Per "&amp;(VLOOKUP($D$2,'Reading Report Logic'!$A$2:$B$8,2,FALSE)-1)&amp;"]"))), FALSE))),""))),"")</f>
        <v/>
      </c>
      <c r="D590" s="204" t="str" cm="1">
        <f t="array" aca="1" ref="D590" ca="1">IFERROR(
IF($J$2="ELA",
IF(VLOOKUP($A590, YES_Reading_ELA[], COLUMN(INDIRECT("YES_Reading_ELA[Instructional Reading Level - Per "&amp;VLOOKUP($D$2, 'Reading Report Logic'!$A$2:$B$8, 2, FALSE)&amp;"]")), FALSE)="", "",
VLOOKUP($A590,YES_Reading_ELA[], COLUMN(INDIRECT("YES_Reading_ELA[Instructional Reading Level - Per "&amp;VLOOKUP($D$2,'Reading Report Logic'!$A$2:$B$8,2,FALSE)&amp;"]")), FALSE)),
IF($J$2="FLA",
IF(VLOOKUP($A590, YES_Reading_FLA[], COLUMN(INDIRECT("YES_Reading_FLA[Instructional Reading Level - Per "&amp;VLOOKUP($D$2,'Reading Report Logic'!$A$2:$B$8,2,FALSE)&amp;"]")),FALSE)="","",
VLOOKUP($A590,YES_Reading_FLA[],COLUMN(INDIRECT("YES_Reading_FLA[Instructional Reading Level - Per "&amp;VLOOKUP($D$2,'Reading Report Logic'!$A$2:$B$8,2,FALSE)&amp;"]")),FALSE)),
IF($J$2="Combined",
IFERROR(
IF(VLOOKUP($A590, YES_Reading_ELA[], COLUMN(INDIRECT("YES_Reading_ELA[Instructional Reading Level - Per "&amp;VLOOKUP($D$2, 'Reading Report Logic'!$A$2:$B$8,2,FALSE)&amp;"]")), FALSE)="", "",
VLOOKUP($A590,YES_Reading_ELA[],COLUMN(INDIRECT("YES_Reading_ELA[Instructional Reading Level - Per "&amp;VLOOKUP($D$2,'Reading Report Logic'!$A$2:$B$8,2,FALSE)&amp;"]")),FALSE)),
IF(VLOOKUP($A590, YES_Reading_FLA[], COLUMN(INDIRECT("YES_Reading_FLA[Instructional Reading Level - Per "&amp;VLOOKUP($D$2, 'Reading Report Logic'!$A$2:$B$8, 2, FALSE)&amp;"]")),FALSE)="", "", VLOOKUP($A590,YES_Reading_FLA[],COLUMN(INDIRECT("YES_Reading_FLA[Instructional Reading Level - Per "&amp;VLOOKUP($D$2, 'Reading Report Logic'!$A$2:$B$8, 2, FALSE)&amp;"]")),FALSE))),""))),"")</f>
        <v/>
      </c>
      <c r="E590" s="205" t="str" cm="1">
        <f t="array" aca="1" ref="E590" ca="1">IFERROR(
IF($J$2="ELA",
IF(VLOOKUP($A590, YES_Reading_ELA[], COLUMN(INDIRECT("YES_Reading_ELA[Min Expectation - Per "&amp;VLOOKUP($D$2, 'Reading Report Logic'!$A$2:$B$8, 2, FALSE)&amp;"]")), FALSE)="", "",
VLOOKUP($A590,YES_Reading_ELA[], COLUMN(INDIRECT("YES_Reading_ELA[Min Expectation - Per "&amp;VLOOKUP($D$2,'Reading Report Logic'!$A$2:$B$8,2,FALSE)&amp;"]")), FALSE)),
IF($J$2="FLA",
IF(VLOOKUP($A590, YES_Reading_FLA[], COLUMN(INDIRECT("YES_Reading_FLA[Min Expectation - Per "&amp;VLOOKUP($D$2,'Reading Report Logic'!$A$2:$B$8,2,FALSE)&amp;"]")),FALSE)="","",
VLOOKUP($A590,YES_Reading_FLA[],COLUMN(INDIRECT("YES_Reading_FLA[Min Expectation - Per "&amp;VLOOKUP($D$2,'Reading Report Logic'!$A$2:$B$8,2,FALSE)&amp;"]")),FALSE)),
IF($J$2="Combined",
IFERROR(
IF(VLOOKUP($A590, YES_Reading_ELA[], COLUMN(INDIRECT("YES_Reading_ELA[Min Expectation - Per "&amp;VLOOKUP($D$2, 'Reading Report Logic'!$A$2:$B$8,2,FALSE)&amp;"]")), FALSE)="", "",
VLOOKUP($A590,YES_Reading_ELA[],COLUMN(INDIRECT("YES_Reading_ELA[Min Expectation - Per "&amp;VLOOKUP($D$2,'Reading Report Logic'!$A$2:$B$8,2,FALSE)&amp;"]")),FALSE)),
IF(VLOOKUP($A590, YES_Reading_FLA[], COLUMN(INDIRECT("YES_Reading_FLA[Min Expectation - Per "&amp;VLOOKUP($D$2, 'Reading Report Logic'!$A$2:$B$8, 2, FALSE)&amp;"]")),FALSE)="", "", VLOOKUP($A590,YES_Reading_FLA[],COLUMN(INDIRECT("YES_Reading_FLA[Min Expectation - Per "&amp;VLOOKUP($D$2, 'Reading Report Logic'!$A$2:$B$8, 2, FALSE)&amp;"]")),FALSE))),""))),"")</f>
        <v/>
      </c>
      <c r="F590" s="205" t="str" cm="1">
        <f t="array" aca="1" ref="F590" ca="1">IFERROR(
IF($J$2="ELA",
IF(VLOOKUP($A590, YES_Reading_ELA[], COLUMN(INDIRECT("YES_Reading_ELA[Max Expectation - Per "&amp;VLOOKUP($D$2, 'Reading Report Logic'!$A$2:$B$8, 2, FALSE)&amp;"]")), FALSE)="", "",
VLOOKUP($A590,YES_Reading_ELA[], COLUMN(INDIRECT("YES_Reading_ELA[Max Expectation - Per "&amp;VLOOKUP($D$2,'Reading Report Logic'!$A$2:$B$8,2,FALSE)&amp;"]")), FALSE)),
IF($J$2="FLA",
IF(VLOOKUP($A590, YES_Reading_FLA[], COLUMN(INDIRECT("YES_Reading_FLA[Max Expectation - Per "&amp;VLOOKUP($D$2,'Reading Report Logic'!$A$2:$B$8,2,FALSE)&amp;"]")),FALSE)="","",
VLOOKUP($A590,YES_Reading_FLA[],COLUMN(INDIRECT("YES_Reading_FLA[Max Expectation - Per "&amp;VLOOKUP($D$2,'Reading Report Logic'!$A$2:$B$8,2,FALSE)&amp;"]")),FALSE)),
IF($J$2="Combined",
IFERROR(
IF(VLOOKUP($A590, YES_Reading_ELA[], COLUMN(INDIRECT("YES_Reading_ELA[Max Expectation - Per "&amp;VLOOKUP($D$2, 'Reading Report Logic'!$A$2:$B$8,2,FALSE)&amp;"]")), FALSE)="", "",
VLOOKUP($A590,YES_Reading_ELA[],COLUMN(INDIRECT("YES_Reading_ELA[Max Expectation - Per "&amp;VLOOKUP($D$2,'Reading Report Logic'!$A$2:$B$8,2,FALSE)&amp;"]")),FALSE)),
IF(VLOOKUP($A590, YES_Reading_FLA[], COLUMN(INDIRECT("YES_Reading_FLA[Max Expectation - Per "&amp;VLOOKUP($D$2, 'Reading Report Logic'!$A$2:$B$8, 2, FALSE)&amp;"]")),FALSE)="", "", VLOOKUP($A590,YES_Reading_FLA[],COLUMN(INDIRECT("YES_Reading_FLA[Max Expectation - Per "&amp;VLOOKUP($D$2, 'Reading Report Logic'!$A$2:$B$8, 2, FALSE)&amp;"]")),FALSE))),""))),"")</f>
        <v/>
      </c>
      <c r="G590" s="205" t="str" cm="1">
        <f t="array" aca="1" ref="G590" ca="1">IFERROR(
IF($J$2="ELA",
IF(VLOOKUP($A590, YES_Reading_ELA[], COLUMN(INDIRECT("YES_Reading_ELA[Difference - Per "&amp;VLOOKUP($D$2, 'Reading Report Logic'!$A$2:$B$8, 2, FALSE)&amp;"]")), FALSE)="", "",
VLOOKUP($A590,YES_Reading_ELA[], COLUMN(INDIRECT("YES_Reading_ELA[Difference - Per "&amp;VLOOKUP($D$2,'Reading Report Logic'!$A$2:$B$8,2,FALSE)&amp;"]")), FALSE)),
IF($J$2="FLA",
IF(VLOOKUP($A590, YES_Reading_FLA[], COLUMN(INDIRECT("YES_Reading_FLA[Difference - Per "&amp;VLOOKUP($D$2,'Reading Report Logic'!$A$2:$B$8,2,FALSE)&amp;"]")),FALSE)="","",
VLOOKUP($A590,YES_Reading_FLA[],COLUMN(INDIRECT("YES_Reading_FLA[Difference - Per "&amp;VLOOKUP($D$2,'Reading Report Logic'!$A$2:$B$8,2,FALSE)&amp;"]")),FALSE)),
IF($J$2="Combined",
IFERROR(
IF(VLOOKUP($A590, YES_Reading_ELA[], COLUMN(INDIRECT("YES_Reading_ELA[Difference - Per "&amp;VLOOKUP($D$2, 'Reading Report Logic'!$A$2:$B$8,2,FALSE)&amp;"]")), FALSE)="", "",
VLOOKUP($A590,YES_Reading_ELA[],COLUMN(INDIRECT("YES_Reading_ELA[Difference - Per "&amp;VLOOKUP($D$2,'Reading Report Logic'!$A$2:$B$8,2,FALSE)&amp;"]")),FALSE)),
IF(VLOOKUP($A590, YES_Reading_FLA[], COLUMN(INDIRECT("YES_Reading_FLA[Difference - Per "&amp;VLOOKUP($D$2, 'Reading Report Logic'!$A$2:$B$8, 2, FALSE)&amp;"]")),FALSE)="", "", VLOOKUP($A590,YES_Reading_FLA[],COLUMN(INDIRECT("YES_Reading_FLA[Difference - Per "&amp;VLOOKUP($D$2, 'Reading Report Logic'!$A$2:$B$8, 2, FALSE)&amp;"]")),FALSE))),""))),"")</f>
        <v/>
      </c>
      <c r="H590" s="206" t="str">
        <f ca="1">IFERROR(VLOOKUP('Teacher Reading Pull Sheets'!$D590,_xlfn.VSTACK('ELA Reading Logic'!$A$22:$B$48,'FLA Reading Logic'!$A$22:$B$53),2,FALSE)-VLOOKUP('Teacher Reading Pull Sheets'!$C590,_xlfn.VSTACK('ELA Reading Logic'!$A$22:$B$48,'FLA Reading Logic'!$A$22:$B$53),2,FALSE),"")</f>
        <v/>
      </c>
      <c r="I590" s="212"/>
      <c r="J590" s="206"/>
      <c r="K590" s="197" t="str" cm="1">
        <f t="array" ref="K590">IFERROR(
IF($J$2="ELA",
IF(VLOOKUP($A590, YES_Reading_ELA[], COLUMN(YES_Reading_ELA[Self-Identified as African Descent]), FALSE)="", "",
VLOOKUP($A590,YES_Reading_ELA[], COLUMN(YES_Reading_ELA[Self-Identified as African Descent]), FALSE)),
IF($J$2="FLA",
IF(VLOOKUP($A590, YES_Reading_FLA[], COLUMN(YES_Reading_FLA[Self-Identified as African Descent]),FALSE)="","",
VLOOKUP($A590,YES_Reading_FLA[],COLUMN(YES_Reading_FLA[Self-Identified as African Descent]),FALSE)),
IF($J$2="Combined",
IFERROR(
IF(VLOOKUP($A590, YES_Reading_ELA[], COLUMN(YES_Reading_ELA[Self-Identified as African Descent]), FALSE)="", "",
VLOOKUP($A590,YES_Reading_ELA[],COLUMN(YES_Reading_ELA[Self-Identified as African Descent]),FALSE)),
IF(VLOOKUP($A590, YES_Reading_FLA[], COLUMN(YES_Reading_FLA[Self-Identified as African Descent]),FALSE)="", "", VLOOKUP($A590,YES_Reading_FLA[],COLUMN(YES_Reading_FLA[Self-Identified as African Descent]),FALSE))),""))),"")</f>
        <v/>
      </c>
      <c r="L590" s="73" t="str" cm="1">
        <f t="array" ref="L590">IFERROR(
IF($J$2="ELA",
IF(VLOOKUP($A590, YES_Reading_ELA[], COLUMN(YES_Reading_ELA[Self-Identified as Indigenous]), FALSE)="", "",
VLOOKUP($A590,YES_Reading_ELA[], COLUMN(YES_Reading_ELA[Self-Identified as Indigenous]), FALSE)),
IF($J$2="FLA",
IF(VLOOKUP($A590, YES_Reading_FLA[], COLUMN(YES_Reading_FLA[Self-Identified as Indigenous]),FALSE)="","",
VLOOKUP($A590,YES_Reading_FLA[],COLUMN(YES_Reading_FLA[Self-Identified as Indigenous]),FALSE)),
IF($J$2="Combined",
IFERROR(
IF(VLOOKUP($A590, YES_Reading_ELA[], COLUMN(YES_Reading_ELA[Self-Identified as Indigenous]), FALSE)="", "",
VLOOKUP($A590,YES_Reading_ELA[],COLUMN(YES_Reading_ELA[Self-Identified as Indigenous]),FALSE)),
IF(VLOOKUP($A590, YES_Reading_FLA[], COLUMN(YES_Reading_FLA[Self-Identified as Indigenous]),FALSE)="", "", VLOOKUP($A590,YES_Reading_FLA[],COLUMN(YES_Reading_FLA[Self-Identified as Indigenous]),FALSE))),""))),"")</f>
        <v/>
      </c>
    </row>
    <row r="591" spans="1:12" ht="19.5" customHeight="1" x14ac:dyDescent="0.25">
      <c r="A591" s="217"/>
      <c r="B591" s="220" t="str">
        <f>IFERROR(VLOOKUP(A591,_xlfn.VSTACK(YES_Reading_ELA[],YES_Reading_FLA[]),2,FALSE),"")</f>
        <v/>
      </c>
      <c r="C591" s="203" t="str" cm="1">
        <f t="array" aca="1" ref="C591" ca="1">IFERROR(
IF($J$2="ELA",
IF(VLOOKUP($A591, YES_Reading_ELA[], COLUMN(IF(VLOOKUP($D$2, 'Reading Report Logic'!$A$2:$B$8, 2, FALSE)=1, YES_Reading_ELA[Reading Level June of Previous School Year], INDIRECT("YES_Reading_ELA[Instructional Reading Level - Per "&amp;(VLOOKUP($D$2,'Reading Report Logic'!$A$2:$B$8,2,FALSE)-1)&amp;"]"))), FALSE)="", "",
VLOOKUP($A591,YES_Reading_ELA[], COLUMN(IF(VLOOKUP($D$2,'Reading Report Logic'!$A$2:$B$8,2,FALSE)=1, YES_Reading_ELA[Reading Level June of Previous School Year],INDIRECT("YES_Reading_ELA[Instructional Reading Level - Per "&amp;(VLOOKUP($D$2,'Reading Report Logic'!$A$2:$B$8,2,FALSE)-1)&amp;"]"))), FALSE)),
IF($J$2="FLA",
IF(VLOOKUP($A591, YES_Reading_FLA[], COLUMN(IF(VLOOKUP($D$2,'Reading Report Logic'!$A$2:$B$8,2,FALSE)=1, YES_Reading_FLA[Reading Level June of Previous School Year],INDIRECT("YES_Reading_FLA[Instructional Reading Level - Per "&amp;(VLOOKUP($D$2,'Reading Report Logic'!$A$2:$B$8,2,FALSE)-1)&amp;"]"))),FALSE)="","",
VLOOKUP($A591,YES_Reading_FLA[], COLUMN(IF(VLOOKUP($D$2,'Reading Report Logic'!$A$2:$B$8,2,FALSE)=1, YES_Reading_FLA[Reading Level June of Previous School Year],INDIRECT("YES_Reading_FLA[Instructional Reading Level - Per "&amp;(VLOOKUP($D$2,'Reading Report Logic'!$A$2:$B$8,2,FALSE)-1)&amp;"]"))),FALSE)),
IF($J$2="Combined",
IFERROR(
IF(VLOOKUP($A591, YES_Reading_ELA[], COLUMN(IF(VLOOKUP($D$2,'Reading Report Logic'!$A$2:$B$8,2,FALSE)=1, YES_Reading_ELA[Reading Level June of Previous School Year],INDIRECT("YES_Reading_ELA[Instructional Reading Level - Per "&amp;(VLOOKUP($D$2,'Reading Report Logic'!$A$2:$B$8,2,FALSE)-1)&amp;"]"))), FALSE)="", "",
VLOOKUP($A591,YES_Reading_ELA[],COLUMN(IF(VLOOKUP($D$2,'Reading Report Logic'!$A$2:$B$8,2,FALSE)=1, YES_Reading_ELA[Reading Level June of Previous School Year],INDIRECT("YES_Reading_ELA[Instructional Reading Level - Per "&amp;(VLOOKUP($D$2,'Reading Report Logic'!$A$2:$B$8,2,FALSE)-1)&amp;"]"))),FALSE)),
IF(VLOOKUP($A591, YES_Reading_FLA[], COLUMN(IF(VLOOKUP($D$2,'Reading Report Logic'!$A$2:$B$8,2,FALSE)=1, YES_Reading_FLA[Reading Level June of Previous School Year],INDIRECT("YES_Reading_FLA[Instructional Reading Level - Per "&amp;(VLOOKUP($D$2,'Reading Report Logic'!$A$2:$B$8,2,FALSE)-1)&amp;"]"))),FALSE)="", "", VLOOKUP($A591,YES_Reading_FLA[],COLUMN(IF(VLOOKUP($D$2,'Reading Report Logic'!$A$2:$B$8,2,FALSE)=1, YES_Reading_FLA[Reading Level June of Previous School Year],INDIRECT("YES_Reading_FLA[Instructional Reading Level - Per "&amp;(VLOOKUP($D$2,'Reading Report Logic'!$A$2:$B$8,2,FALSE)-1)&amp;"]"))), FALSE))),""))),"")</f>
        <v/>
      </c>
      <c r="D591" s="204" t="str" cm="1">
        <f t="array" aca="1" ref="D591" ca="1">IFERROR(
IF($J$2="ELA",
IF(VLOOKUP($A591, YES_Reading_ELA[], COLUMN(INDIRECT("YES_Reading_ELA[Instructional Reading Level - Per "&amp;VLOOKUP($D$2, 'Reading Report Logic'!$A$2:$B$8, 2, FALSE)&amp;"]")), FALSE)="", "",
VLOOKUP($A591,YES_Reading_ELA[], COLUMN(INDIRECT("YES_Reading_ELA[Instructional Reading Level - Per "&amp;VLOOKUP($D$2,'Reading Report Logic'!$A$2:$B$8,2,FALSE)&amp;"]")), FALSE)),
IF($J$2="FLA",
IF(VLOOKUP($A591, YES_Reading_FLA[], COLUMN(INDIRECT("YES_Reading_FLA[Instructional Reading Level - Per "&amp;VLOOKUP($D$2,'Reading Report Logic'!$A$2:$B$8,2,FALSE)&amp;"]")),FALSE)="","",
VLOOKUP($A591,YES_Reading_FLA[],COLUMN(INDIRECT("YES_Reading_FLA[Instructional Reading Level - Per "&amp;VLOOKUP($D$2,'Reading Report Logic'!$A$2:$B$8,2,FALSE)&amp;"]")),FALSE)),
IF($J$2="Combined",
IFERROR(
IF(VLOOKUP($A591, YES_Reading_ELA[], COLUMN(INDIRECT("YES_Reading_ELA[Instructional Reading Level - Per "&amp;VLOOKUP($D$2, 'Reading Report Logic'!$A$2:$B$8,2,FALSE)&amp;"]")), FALSE)="", "",
VLOOKUP($A591,YES_Reading_ELA[],COLUMN(INDIRECT("YES_Reading_ELA[Instructional Reading Level - Per "&amp;VLOOKUP($D$2,'Reading Report Logic'!$A$2:$B$8,2,FALSE)&amp;"]")),FALSE)),
IF(VLOOKUP($A591, YES_Reading_FLA[], COLUMN(INDIRECT("YES_Reading_FLA[Instructional Reading Level - Per "&amp;VLOOKUP($D$2, 'Reading Report Logic'!$A$2:$B$8, 2, FALSE)&amp;"]")),FALSE)="", "", VLOOKUP($A591,YES_Reading_FLA[],COLUMN(INDIRECT("YES_Reading_FLA[Instructional Reading Level - Per "&amp;VLOOKUP($D$2, 'Reading Report Logic'!$A$2:$B$8, 2, FALSE)&amp;"]")),FALSE))),""))),"")</f>
        <v/>
      </c>
      <c r="E591" s="205" t="str" cm="1">
        <f t="array" aca="1" ref="E591" ca="1">IFERROR(
IF($J$2="ELA",
IF(VLOOKUP($A591, YES_Reading_ELA[], COLUMN(INDIRECT("YES_Reading_ELA[Min Expectation - Per "&amp;VLOOKUP($D$2, 'Reading Report Logic'!$A$2:$B$8, 2, FALSE)&amp;"]")), FALSE)="", "",
VLOOKUP($A591,YES_Reading_ELA[], COLUMN(INDIRECT("YES_Reading_ELA[Min Expectation - Per "&amp;VLOOKUP($D$2,'Reading Report Logic'!$A$2:$B$8,2,FALSE)&amp;"]")), FALSE)),
IF($J$2="FLA",
IF(VLOOKUP($A591, YES_Reading_FLA[], COLUMN(INDIRECT("YES_Reading_FLA[Min Expectation - Per "&amp;VLOOKUP($D$2,'Reading Report Logic'!$A$2:$B$8,2,FALSE)&amp;"]")),FALSE)="","",
VLOOKUP($A591,YES_Reading_FLA[],COLUMN(INDIRECT("YES_Reading_FLA[Min Expectation - Per "&amp;VLOOKUP($D$2,'Reading Report Logic'!$A$2:$B$8,2,FALSE)&amp;"]")),FALSE)),
IF($J$2="Combined",
IFERROR(
IF(VLOOKUP($A591, YES_Reading_ELA[], COLUMN(INDIRECT("YES_Reading_ELA[Min Expectation - Per "&amp;VLOOKUP($D$2, 'Reading Report Logic'!$A$2:$B$8,2,FALSE)&amp;"]")), FALSE)="", "",
VLOOKUP($A591,YES_Reading_ELA[],COLUMN(INDIRECT("YES_Reading_ELA[Min Expectation - Per "&amp;VLOOKUP($D$2,'Reading Report Logic'!$A$2:$B$8,2,FALSE)&amp;"]")),FALSE)),
IF(VLOOKUP($A591, YES_Reading_FLA[], COLUMN(INDIRECT("YES_Reading_FLA[Min Expectation - Per "&amp;VLOOKUP($D$2, 'Reading Report Logic'!$A$2:$B$8, 2, FALSE)&amp;"]")),FALSE)="", "", VLOOKUP($A591,YES_Reading_FLA[],COLUMN(INDIRECT("YES_Reading_FLA[Min Expectation - Per "&amp;VLOOKUP($D$2, 'Reading Report Logic'!$A$2:$B$8, 2, FALSE)&amp;"]")),FALSE))),""))),"")</f>
        <v/>
      </c>
      <c r="F591" s="205" t="str" cm="1">
        <f t="array" aca="1" ref="F591" ca="1">IFERROR(
IF($J$2="ELA",
IF(VLOOKUP($A591, YES_Reading_ELA[], COLUMN(INDIRECT("YES_Reading_ELA[Max Expectation - Per "&amp;VLOOKUP($D$2, 'Reading Report Logic'!$A$2:$B$8, 2, FALSE)&amp;"]")), FALSE)="", "",
VLOOKUP($A591,YES_Reading_ELA[], COLUMN(INDIRECT("YES_Reading_ELA[Max Expectation - Per "&amp;VLOOKUP($D$2,'Reading Report Logic'!$A$2:$B$8,2,FALSE)&amp;"]")), FALSE)),
IF($J$2="FLA",
IF(VLOOKUP($A591, YES_Reading_FLA[], COLUMN(INDIRECT("YES_Reading_FLA[Max Expectation - Per "&amp;VLOOKUP($D$2,'Reading Report Logic'!$A$2:$B$8,2,FALSE)&amp;"]")),FALSE)="","",
VLOOKUP($A591,YES_Reading_FLA[],COLUMN(INDIRECT("YES_Reading_FLA[Max Expectation - Per "&amp;VLOOKUP($D$2,'Reading Report Logic'!$A$2:$B$8,2,FALSE)&amp;"]")),FALSE)),
IF($J$2="Combined",
IFERROR(
IF(VLOOKUP($A591, YES_Reading_ELA[], COLUMN(INDIRECT("YES_Reading_ELA[Max Expectation - Per "&amp;VLOOKUP($D$2, 'Reading Report Logic'!$A$2:$B$8,2,FALSE)&amp;"]")), FALSE)="", "",
VLOOKUP($A591,YES_Reading_ELA[],COLUMN(INDIRECT("YES_Reading_ELA[Max Expectation - Per "&amp;VLOOKUP($D$2,'Reading Report Logic'!$A$2:$B$8,2,FALSE)&amp;"]")),FALSE)),
IF(VLOOKUP($A591, YES_Reading_FLA[], COLUMN(INDIRECT("YES_Reading_FLA[Max Expectation - Per "&amp;VLOOKUP($D$2, 'Reading Report Logic'!$A$2:$B$8, 2, FALSE)&amp;"]")),FALSE)="", "", VLOOKUP($A591,YES_Reading_FLA[],COLUMN(INDIRECT("YES_Reading_FLA[Max Expectation - Per "&amp;VLOOKUP($D$2, 'Reading Report Logic'!$A$2:$B$8, 2, FALSE)&amp;"]")),FALSE))),""))),"")</f>
        <v/>
      </c>
      <c r="G591" s="205" t="str" cm="1">
        <f t="array" aca="1" ref="G591" ca="1">IFERROR(
IF($J$2="ELA",
IF(VLOOKUP($A591, YES_Reading_ELA[], COLUMN(INDIRECT("YES_Reading_ELA[Difference - Per "&amp;VLOOKUP($D$2, 'Reading Report Logic'!$A$2:$B$8, 2, FALSE)&amp;"]")), FALSE)="", "",
VLOOKUP($A591,YES_Reading_ELA[], COLUMN(INDIRECT("YES_Reading_ELA[Difference - Per "&amp;VLOOKUP($D$2,'Reading Report Logic'!$A$2:$B$8,2,FALSE)&amp;"]")), FALSE)),
IF($J$2="FLA",
IF(VLOOKUP($A591, YES_Reading_FLA[], COLUMN(INDIRECT("YES_Reading_FLA[Difference - Per "&amp;VLOOKUP($D$2,'Reading Report Logic'!$A$2:$B$8,2,FALSE)&amp;"]")),FALSE)="","",
VLOOKUP($A591,YES_Reading_FLA[],COLUMN(INDIRECT("YES_Reading_FLA[Difference - Per "&amp;VLOOKUP($D$2,'Reading Report Logic'!$A$2:$B$8,2,FALSE)&amp;"]")),FALSE)),
IF($J$2="Combined",
IFERROR(
IF(VLOOKUP($A591, YES_Reading_ELA[], COLUMN(INDIRECT("YES_Reading_ELA[Difference - Per "&amp;VLOOKUP($D$2, 'Reading Report Logic'!$A$2:$B$8,2,FALSE)&amp;"]")), FALSE)="", "",
VLOOKUP($A591,YES_Reading_ELA[],COLUMN(INDIRECT("YES_Reading_ELA[Difference - Per "&amp;VLOOKUP($D$2,'Reading Report Logic'!$A$2:$B$8,2,FALSE)&amp;"]")),FALSE)),
IF(VLOOKUP($A591, YES_Reading_FLA[], COLUMN(INDIRECT("YES_Reading_FLA[Difference - Per "&amp;VLOOKUP($D$2, 'Reading Report Logic'!$A$2:$B$8, 2, FALSE)&amp;"]")),FALSE)="", "", VLOOKUP($A591,YES_Reading_FLA[],COLUMN(INDIRECT("YES_Reading_FLA[Difference - Per "&amp;VLOOKUP($D$2, 'Reading Report Logic'!$A$2:$B$8, 2, FALSE)&amp;"]")),FALSE))),""))),"")</f>
        <v/>
      </c>
      <c r="H591" s="206" t="str">
        <f ca="1">IFERROR(VLOOKUP('Teacher Reading Pull Sheets'!$D591,_xlfn.VSTACK('ELA Reading Logic'!$A$22:$B$48,'FLA Reading Logic'!$A$22:$B$53),2,FALSE)-VLOOKUP('Teacher Reading Pull Sheets'!$C591,_xlfn.VSTACK('ELA Reading Logic'!$A$22:$B$48,'FLA Reading Logic'!$A$22:$B$53),2,FALSE),"")</f>
        <v/>
      </c>
      <c r="I591" s="212"/>
      <c r="J591" s="206"/>
      <c r="K591" s="197" t="str" cm="1">
        <f t="array" ref="K591">IFERROR(
IF($J$2="ELA",
IF(VLOOKUP($A591, YES_Reading_ELA[], COLUMN(YES_Reading_ELA[Self-Identified as African Descent]), FALSE)="", "",
VLOOKUP($A591,YES_Reading_ELA[], COLUMN(YES_Reading_ELA[Self-Identified as African Descent]), FALSE)),
IF($J$2="FLA",
IF(VLOOKUP($A591, YES_Reading_FLA[], COLUMN(YES_Reading_FLA[Self-Identified as African Descent]),FALSE)="","",
VLOOKUP($A591,YES_Reading_FLA[],COLUMN(YES_Reading_FLA[Self-Identified as African Descent]),FALSE)),
IF($J$2="Combined",
IFERROR(
IF(VLOOKUP($A591, YES_Reading_ELA[], COLUMN(YES_Reading_ELA[Self-Identified as African Descent]), FALSE)="", "",
VLOOKUP($A591,YES_Reading_ELA[],COLUMN(YES_Reading_ELA[Self-Identified as African Descent]),FALSE)),
IF(VLOOKUP($A591, YES_Reading_FLA[], COLUMN(YES_Reading_FLA[Self-Identified as African Descent]),FALSE)="", "", VLOOKUP($A591,YES_Reading_FLA[],COLUMN(YES_Reading_FLA[Self-Identified as African Descent]),FALSE))),""))),"")</f>
        <v/>
      </c>
      <c r="L591" s="73" t="str" cm="1">
        <f t="array" ref="L591">IFERROR(
IF($J$2="ELA",
IF(VLOOKUP($A591, YES_Reading_ELA[], COLUMN(YES_Reading_ELA[Self-Identified as Indigenous]), FALSE)="", "",
VLOOKUP($A591,YES_Reading_ELA[], COLUMN(YES_Reading_ELA[Self-Identified as Indigenous]), FALSE)),
IF($J$2="FLA",
IF(VLOOKUP($A591, YES_Reading_FLA[], COLUMN(YES_Reading_FLA[Self-Identified as Indigenous]),FALSE)="","",
VLOOKUP($A591,YES_Reading_FLA[],COLUMN(YES_Reading_FLA[Self-Identified as Indigenous]),FALSE)),
IF($J$2="Combined",
IFERROR(
IF(VLOOKUP($A591, YES_Reading_ELA[], COLUMN(YES_Reading_ELA[Self-Identified as Indigenous]), FALSE)="", "",
VLOOKUP($A591,YES_Reading_ELA[],COLUMN(YES_Reading_ELA[Self-Identified as Indigenous]),FALSE)),
IF(VLOOKUP($A591, YES_Reading_FLA[], COLUMN(YES_Reading_FLA[Self-Identified as Indigenous]),FALSE)="", "", VLOOKUP($A591,YES_Reading_FLA[],COLUMN(YES_Reading_FLA[Self-Identified as Indigenous]),FALSE))),""))),"")</f>
        <v/>
      </c>
    </row>
    <row r="592" spans="1:12" ht="19.5" customHeight="1" x14ac:dyDescent="0.25">
      <c r="A592" s="217"/>
      <c r="B592" s="220" t="str">
        <f>IFERROR(VLOOKUP(A592,_xlfn.VSTACK(YES_Reading_ELA[],YES_Reading_FLA[]),2,FALSE),"")</f>
        <v/>
      </c>
      <c r="C592" s="203" t="str" cm="1">
        <f t="array" aca="1" ref="C592" ca="1">IFERROR(
IF($J$2="ELA",
IF(VLOOKUP($A592, YES_Reading_ELA[], COLUMN(IF(VLOOKUP($D$2, 'Reading Report Logic'!$A$2:$B$8, 2, FALSE)=1, YES_Reading_ELA[Reading Level June of Previous School Year], INDIRECT("YES_Reading_ELA[Instructional Reading Level - Per "&amp;(VLOOKUP($D$2,'Reading Report Logic'!$A$2:$B$8,2,FALSE)-1)&amp;"]"))), FALSE)="", "",
VLOOKUP($A592,YES_Reading_ELA[], COLUMN(IF(VLOOKUP($D$2,'Reading Report Logic'!$A$2:$B$8,2,FALSE)=1, YES_Reading_ELA[Reading Level June of Previous School Year],INDIRECT("YES_Reading_ELA[Instructional Reading Level - Per "&amp;(VLOOKUP($D$2,'Reading Report Logic'!$A$2:$B$8,2,FALSE)-1)&amp;"]"))), FALSE)),
IF($J$2="FLA",
IF(VLOOKUP($A592, YES_Reading_FLA[], COLUMN(IF(VLOOKUP($D$2,'Reading Report Logic'!$A$2:$B$8,2,FALSE)=1, YES_Reading_FLA[Reading Level June of Previous School Year],INDIRECT("YES_Reading_FLA[Instructional Reading Level - Per "&amp;(VLOOKUP($D$2,'Reading Report Logic'!$A$2:$B$8,2,FALSE)-1)&amp;"]"))),FALSE)="","",
VLOOKUP($A592,YES_Reading_FLA[], COLUMN(IF(VLOOKUP($D$2,'Reading Report Logic'!$A$2:$B$8,2,FALSE)=1, YES_Reading_FLA[Reading Level June of Previous School Year],INDIRECT("YES_Reading_FLA[Instructional Reading Level - Per "&amp;(VLOOKUP($D$2,'Reading Report Logic'!$A$2:$B$8,2,FALSE)-1)&amp;"]"))),FALSE)),
IF($J$2="Combined",
IFERROR(
IF(VLOOKUP($A592, YES_Reading_ELA[], COLUMN(IF(VLOOKUP($D$2,'Reading Report Logic'!$A$2:$B$8,2,FALSE)=1, YES_Reading_ELA[Reading Level June of Previous School Year],INDIRECT("YES_Reading_ELA[Instructional Reading Level - Per "&amp;(VLOOKUP($D$2,'Reading Report Logic'!$A$2:$B$8,2,FALSE)-1)&amp;"]"))), FALSE)="", "",
VLOOKUP($A592,YES_Reading_ELA[],COLUMN(IF(VLOOKUP($D$2,'Reading Report Logic'!$A$2:$B$8,2,FALSE)=1, YES_Reading_ELA[Reading Level June of Previous School Year],INDIRECT("YES_Reading_ELA[Instructional Reading Level - Per "&amp;(VLOOKUP($D$2,'Reading Report Logic'!$A$2:$B$8,2,FALSE)-1)&amp;"]"))),FALSE)),
IF(VLOOKUP($A592, YES_Reading_FLA[], COLUMN(IF(VLOOKUP($D$2,'Reading Report Logic'!$A$2:$B$8,2,FALSE)=1, YES_Reading_FLA[Reading Level June of Previous School Year],INDIRECT("YES_Reading_FLA[Instructional Reading Level - Per "&amp;(VLOOKUP($D$2,'Reading Report Logic'!$A$2:$B$8,2,FALSE)-1)&amp;"]"))),FALSE)="", "", VLOOKUP($A592,YES_Reading_FLA[],COLUMN(IF(VLOOKUP($D$2,'Reading Report Logic'!$A$2:$B$8,2,FALSE)=1, YES_Reading_FLA[Reading Level June of Previous School Year],INDIRECT("YES_Reading_FLA[Instructional Reading Level - Per "&amp;(VLOOKUP($D$2,'Reading Report Logic'!$A$2:$B$8,2,FALSE)-1)&amp;"]"))), FALSE))),""))),"")</f>
        <v/>
      </c>
      <c r="D592" s="204" t="str" cm="1">
        <f t="array" aca="1" ref="D592" ca="1">IFERROR(
IF($J$2="ELA",
IF(VLOOKUP($A592, YES_Reading_ELA[], COLUMN(INDIRECT("YES_Reading_ELA[Instructional Reading Level - Per "&amp;VLOOKUP($D$2, 'Reading Report Logic'!$A$2:$B$8, 2, FALSE)&amp;"]")), FALSE)="", "",
VLOOKUP($A592,YES_Reading_ELA[], COLUMN(INDIRECT("YES_Reading_ELA[Instructional Reading Level - Per "&amp;VLOOKUP($D$2,'Reading Report Logic'!$A$2:$B$8,2,FALSE)&amp;"]")), FALSE)),
IF($J$2="FLA",
IF(VLOOKUP($A592, YES_Reading_FLA[], COLUMN(INDIRECT("YES_Reading_FLA[Instructional Reading Level - Per "&amp;VLOOKUP($D$2,'Reading Report Logic'!$A$2:$B$8,2,FALSE)&amp;"]")),FALSE)="","",
VLOOKUP($A592,YES_Reading_FLA[],COLUMN(INDIRECT("YES_Reading_FLA[Instructional Reading Level - Per "&amp;VLOOKUP($D$2,'Reading Report Logic'!$A$2:$B$8,2,FALSE)&amp;"]")),FALSE)),
IF($J$2="Combined",
IFERROR(
IF(VLOOKUP($A592, YES_Reading_ELA[], COLUMN(INDIRECT("YES_Reading_ELA[Instructional Reading Level - Per "&amp;VLOOKUP($D$2, 'Reading Report Logic'!$A$2:$B$8,2,FALSE)&amp;"]")), FALSE)="", "",
VLOOKUP($A592,YES_Reading_ELA[],COLUMN(INDIRECT("YES_Reading_ELA[Instructional Reading Level - Per "&amp;VLOOKUP($D$2,'Reading Report Logic'!$A$2:$B$8,2,FALSE)&amp;"]")),FALSE)),
IF(VLOOKUP($A592, YES_Reading_FLA[], COLUMN(INDIRECT("YES_Reading_FLA[Instructional Reading Level - Per "&amp;VLOOKUP($D$2, 'Reading Report Logic'!$A$2:$B$8, 2, FALSE)&amp;"]")),FALSE)="", "", VLOOKUP($A592,YES_Reading_FLA[],COLUMN(INDIRECT("YES_Reading_FLA[Instructional Reading Level - Per "&amp;VLOOKUP($D$2, 'Reading Report Logic'!$A$2:$B$8, 2, FALSE)&amp;"]")),FALSE))),""))),"")</f>
        <v/>
      </c>
      <c r="E592" s="205" t="str" cm="1">
        <f t="array" aca="1" ref="E592" ca="1">IFERROR(
IF($J$2="ELA",
IF(VLOOKUP($A592, YES_Reading_ELA[], COLUMN(INDIRECT("YES_Reading_ELA[Min Expectation - Per "&amp;VLOOKUP($D$2, 'Reading Report Logic'!$A$2:$B$8, 2, FALSE)&amp;"]")), FALSE)="", "",
VLOOKUP($A592,YES_Reading_ELA[], COLUMN(INDIRECT("YES_Reading_ELA[Min Expectation - Per "&amp;VLOOKUP($D$2,'Reading Report Logic'!$A$2:$B$8,2,FALSE)&amp;"]")), FALSE)),
IF($J$2="FLA",
IF(VLOOKUP($A592, YES_Reading_FLA[], COLUMN(INDIRECT("YES_Reading_FLA[Min Expectation - Per "&amp;VLOOKUP($D$2,'Reading Report Logic'!$A$2:$B$8,2,FALSE)&amp;"]")),FALSE)="","",
VLOOKUP($A592,YES_Reading_FLA[],COLUMN(INDIRECT("YES_Reading_FLA[Min Expectation - Per "&amp;VLOOKUP($D$2,'Reading Report Logic'!$A$2:$B$8,2,FALSE)&amp;"]")),FALSE)),
IF($J$2="Combined",
IFERROR(
IF(VLOOKUP($A592, YES_Reading_ELA[], COLUMN(INDIRECT("YES_Reading_ELA[Min Expectation - Per "&amp;VLOOKUP($D$2, 'Reading Report Logic'!$A$2:$B$8,2,FALSE)&amp;"]")), FALSE)="", "",
VLOOKUP($A592,YES_Reading_ELA[],COLUMN(INDIRECT("YES_Reading_ELA[Min Expectation - Per "&amp;VLOOKUP($D$2,'Reading Report Logic'!$A$2:$B$8,2,FALSE)&amp;"]")),FALSE)),
IF(VLOOKUP($A592, YES_Reading_FLA[], COLUMN(INDIRECT("YES_Reading_FLA[Min Expectation - Per "&amp;VLOOKUP($D$2, 'Reading Report Logic'!$A$2:$B$8, 2, FALSE)&amp;"]")),FALSE)="", "", VLOOKUP($A592,YES_Reading_FLA[],COLUMN(INDIRECT("YES_Reading_FLA[Min Expectation - Per "&amp;VLOOKUP($D$2, 'Reading Report Logic'!$A$2:$B$8, 2, FALSE)&amp;"]")),FALSE))),""))),"")</f>
        <v/>
      </c>
      <c r="F592" s="205" t="str" cm="1">
        <f t="array" aca="1" ref="F592" ca="1">IFERROR(
IF($J$2="ELA",
IF(VLOOKUP($A592, YES_Reading_ELA[], COLUMN(INDIRECT("YES_Reading_ELA[Max Expectation - Per "&amp;VLOOKUP($D$2, 'Reading Report Logic'!$A$2:$B$8, 2, FALSE)&amp;"]")), FALSE)="", "",
VLOOKUP($A592,YES_Reading_ELA[], COLUMN(INDIRECT("YES_Reading_ELA[Max Expectation - Per "&amp;VLOOKUP($D$2,'Reading Report Logic'!$A$2:$B$8,2,FALSE)&amp;"]")), FALSE)),
IF($J$2="FLA",
IF(VLOOKUP($A592, YES_Reading_FLA[], COLUMN(INDIRECT("YES_Reading_FLA[Max Expectation - Per "&amp;VLOOKUP($D$2,'Reading Report Logic'!$A$2:$B$8,2,FALSE)&amp;"]")),FALSE)="","",
VLOOKUP($A592,YES_Reading_FLA[],COLUMN(INDIRECT("YES_Reading_FLA[Max Expectation - Per "&amp;VLOOKUP($D$2,'Reading Report Logic'!$A$2:$B$8,2,FALSE)&amp;"]")),FALSE)),
IF($J$2="Combined",
IFERROR(
IF(VLOOKUP($A592, YES_Reading_ELA[], COLUMN(INDIRECT("YES_Reading_ELA[Max Expectation - Per "&amp;VLOOKUP($D$2, 'Reading Report Logic'!$A$2:$B$8,2,FALSE)&amp;"]")), FALSE)="", "",
VLOOKUP($A592,YES_Reading_ELA[],COLUMN(INDIRECT("YES_Reading_ELA[Max Expectation - Per "&amp;VLOOKUP($D$2,'Reading Report Logic'!$A$2:$B$8,2,FALSE)&amp;"]")),FALSE)),
IF(VLOOKUP($A592, YES_Reading_FLA[], COLUMN(INDIRECT("YES_Reading_FLA[Max Expectation - Per "&amp;VLOOKUP($D$2, 'Reading Report Logic'!$A$2:$B$8, 2, FALSE)&amp;"]")),FALSE)="", "", VLOOKUP($A592,YES_Reading_FLA[],COLUMN(INDIRECT("YES_Reading_FLA[Max Expectation - Per "&amp;VLOOKUP($D$2, 'Reading Report Logic'!$A$2:$B$8, 2, FALSE)&amp;"]")),FALSE))),""))),"")</f>
        <v/>
      </c>
      <c r="G592" s="205" t="str" cm="1">
        <f t="array" aca="1" ref="G592" ca="1">IFERROR(
IF($J$2="ELA",
IF(VLOOKUP($A592, YES_Reading_ELA[], COLUMN(INDIRECT("YES_Reading_ELA[Difference - Per "&amp;VLOOKUP($D$2, 'Reading Report Logic'!$A$2:$B$8, 2, FALSE)&amp;"]")), FALSE)="", "",
VLOOKUP($A592,YES_Reading_ELA[], COLUMN(INDIRECT("YES_Reading_ELA[Difference - Per "&amp;VLOOKUP($D$2,'Reading Report Logic'!$A$2:$B$8,2,FALSE)&amp;"]")), FALSE)),
IF($J$2="FLA",
IF(VLOOKUP($A592, YES_Reading_FLA[], COLUMN(INDIRECT("YES_Reading_FLA[Difference - Per "&amp;VLOOKUP($D$2,'Reading Report Logic'!$A$2:$B$8,2,FALSE)&amp;"]")),FALSE)="","",
VLOOKUP($A592,YES_Reading_FLA[],COLUMN(INDIRECT("YES_Reading_FLA[Difference - Per "&amp;VLOOKUP($D$2,'Reading Report Logic'!$A$2:$B$8,2,FALSE)&amp;"]")),FALSE)),
IF($J$2="Combined",
IFERROR(
IF(VLOOKUP($A592, YES_Reading_ELA[], COLUMN(INDIRECT("YES_Reading_ELA[Difference - Per "&amp;VLOOKUP($D$2, 'Reading Report Logic'!$A$2:$B$8,2,FALSE)&amp;"]")), FALSE)="", "",
VLOOKUP($A592,YES_Reading_ELA[],COLUMN(INDIRECT("YES_Reading_ELA[Difference - Per "&amp;VLOOKUP($D$2,'Reading Report Logic'!$A$2:$B$8,2,FALSE)&amp;"]")),FALSE)),
IF(VLOOKUP($A592, YES_Reading_FLA[], COLUMN(INDIRECT("YES_Reading_FLA[Difference - Per "&amp;VLOOKUP($D$2, 'Reading Report Logic'!$A$2:$B$8, 2, FALSE)&amp;"]")),FALSE)="", "", VLOOKUP($A592,YES_Reading_FLA[],COLUMN(INDIRECT("YES_Reading_FLA[Difference - Per "&amp;VLOOKUP($D$2, 'Reading Report Logic'!$A$2:$B$8, 2, FALSE)&amp;"]")),FALSE))),""))),"")</f>
        <v/>
      </c>
      <c r="H592" s="206" t="str">
        <f ca="1">IFERROR(VLOOKUP('Teacher Reading Pull Sheets'!$D592,_xlfn.VSTACK('ELA Reading Logic'!$A$22:$B$48,'FLA Reading Logic'!$A$22:$B$53),2,FALSE)-VLOOKUP('Teacher Reading Pull Sheets'!$C592,_xlfn.VSTACK('ELA Reading Logic'!$A$22:$B$48,'FLA Reading Logic'!$A$22:$B$53),2,FALSE),"")</f>
        <v/>
      </c>
      <c r="I592" s="212"/>
      <c r="J592" s="206"/>
      <c r="K592" s="197" t="str" cm="1">
        <f t="array" ref="K592">IFERROR(
IF($J$2="ELA",
IF(VLOOKUP($A592, YES_Reading_ELA[], COLUMN(YES_Reading_ELA[Self-Identified as African Descent]), FALSE)="", "",
VLOOKUP($A592,YES_Reading_ELA[], COLUMN(YES_Reading_ELA[Self-Identified as African Descent]), FALSE)),
IF($J$2="FLA",
IF(VLOOKUP($A592, YES_Reading_FLA[], COLUMN(YES_Reading_FLA[Self-Identified as African Descent]),FALSE)="","",
VLOOKUP($A592,YES_Reading_FLA[],COLUMN(YES_Reading_FLA[Self-Identified as African Descent]),FALSE)),
IF($J$2="Combined",
IFERROR(
IF(VLOOKUP($A592, YES_Reading_ELA[], COLUMN(YES_Reading_ELA[Self-Identified as African Descent]), FALSE)="", "",
VLOOKUP($A592,YES_Reading_ELA[],COLUMN(YES_Reading_ELA[Self-Identified as African Descent]),FALSE)),
IF(VLOOKUP($A592, YES_Reading_FLA[], COLUMN(YES_Reading_FLA[Self-Identified as African Descent]),FALSE)="", "", VLOOKUP($A592,YES_Reading_FLA[],COLUMN(YES_Reading_FLA[Self-Identified as African Descent]),FALSE))),""))),"")</f>
        <v/>
      </c>
      <c r="L592" s="73" t="str" cm="1">
        <f t="array" ref="L592">IFERROR(
IF($J$2="ELA",
IF(VLOOKUP($A592, YES_Reading_ELA[], COLUMN(YES_Reading_ELA[Self-Identified as Indigenous]), FALSE)="", "",
VLOOKUP($A592,YES_Reading_ELA[], COLUMN(YES_Reading_ELA[Self-Identified as Indigenous]), FALSE)),
IF($J$2="FLA",
IF(VLOOKUP($A592, YES_Reading_FLA[], COLUMN(YES_Reading_FLA[Self-Identified as Indigenous]),FALSE)="","",
VLOOKUP($A592,YES_Reading_FLA[],COLUMN(YES_Reading_FLA[Self-Identified as Indigenous]),FALSE)),
IF($J$2="Combined",
IFERROR(
IF(VLOOKUP($A592, YES_Reading_ELA[], COLUMN(YES_Reading_ELA[Self-Identified as Indigenous]), FALSE)="", "",
VLOOKUP($A592,YES_Reading_ELA[],COLUMN(YES_Reading_ELA[Self-Identified as Indigenous]),FALSE)),
IF(VLOOKUP($A592, YES_Reading_FLA[], COLUMN(YES_Reading_FLA[Self-Identified as Indigenous]),FALSE)="", "", VLOOKUP($A592,YES_Reading_FLA[],COLUMN(YES_Reading_FLA[Self-Identified as Indigenous]),FALSE))),""))),"")</f>
        <v/>
      </c>
    </row>
    <row r="593" spans="1:12" ht="19.5" customHeight="1" x14ac:dyDescent="0.25">
      <c r="A593" s="217"/>
      <c r="B593" s="220" t="str">
        <f>IFERROR(VLOOKUP(A593,_xlfn.VSTACK(YES_Reading_ELA[],YES_Reading_FLA[]),2,FALSE),"")</f>
        <v/>
      </c>
      <c r="C593" s="203" t="str" cm="1">
        <f t="array" aca="1" ref="C593" ca="1">IFERROR(
IF($J$2="ELA",
IF(VLOOKUP($A593, YES_Reading_ELA[], COLUMN(IF(VLOOKUP($D$2, 'Reading Report Logic'!$A$2:$B$8, 2, FALSE)=1, YES_Reading_ELA[Reading Level June of Previous School Year], INDIRECT("YES_Reading_ELA[Instructional Reading Level - Per "&amp;(VLOOKUP($D$2,'Reading Report Logic'!$A$2:$B$8,2,FALSE)-1)&amp;"]"))), FALSE)="", "",
VLOOKUP($A593,YES_Reading_ELA[], COLUMN(IF(VLOOKUP($D$2,'Reading Report Logic'!$A$2:$B$8,2,FALSE)=1, YES_Reading_ELA[Reading Level June of Previous School Year],INDIRECT("YES_Reading_ELA[Instructional Reading Level - Per "&amp;(VLOOKUP($D$2,'Reading Report Logic'!$A$2:$B$8,2,FALSE)-1)&amp;"]"))), FALSE)),
IF($J$2="FLA",
IF(VLOOKUP($A593, YES_Reading_FLA[], COLUMN(IF(VLOOKUP($D$2,'Reading Report Logic'!$A$2:$B$8,2,FALSE)=1, YES_Reading_FLA[Reading Level June of Previous School Year],INDIRECT("YES_Reading_FLA[Instructional Reading Level - Per "&amp;(VLOOKUP($D$2,'Reading Report Logic'!$A$2:$B$8,2,FALSE)-1)&amp;"]"))),FALSE)="","",
VLOOKUP($A593,YES_Reading_FLA[], COLUMN(IF(VLOOKUP($D$2,'Reading Report Logic'!$A$2:$B$8,2,FALSE)=1, YES_Reading_FLA[Reading Level June of Previous School Year],INDIRECT("YES_Reading_FLA[Instructional Reading Level - Per "&amp;(VLOOKUP($D$2,'Reading Report Logic'!$A$2:$B$8,2,FALSE)-1)&amp;"]"))),FALSE)),
IF($J$2="Combined",
IFERROR(
IF(VLOOKUP($A593, YES_Reading_ELA[], COLUMN(IF(VLOOKUP($D$2,'Reading Report Logic'!$A$2:$B$8,2,FALSE)=1, YES_Reading_ELA[Reading Level June of Previous School Year],INDIRECT("YES_Reading_ELA[Instructional Reading Level - Per "&amp;(VLOOKUP($D$2,'Reading Report Logic'!$A$2:$B$8,2,FALSE)-1)&amp;"]"))), FALSE)="", "",
VLOOKUP($A593,YES_Reading_ELA[],COLUMN(IF(VLOOKUP($D$2,'Reading Report Logic'!$A$2:$B$8,2,FALSE)=1, YES_Reading_ELA[Reading Level June of Previous School Year],INDIRECT("YES_Reading_ELA[Instructional Reading Level - Per "&amp;(VLOOKUP($D$2,'Reading Report Logic'!$A$2:$B$8,2,FALSE)-1)&amp;"]"))),FALSE)),
IF(VLOOKUP($A593, YES_Reading_FLA[], COLUMN(IF(VLOOKUP($D$2,'Reading Report Logic'!$A$2:$B$8,2,FALSE)=1, YES_Reading_FLA[Reading Level June of Previous School Year],INDIRECT("YES_Reading_FLA[Instructional Reading Level - Per "&amp;(VLOOKUP($D$2,'Reading Report Logic'!$A$2:$B$8,2,FALSE)-1)&amp;"]"))),FALSE)="", "", VLOOKUP($A593,YES_Reading_FLA[],COLUMN(IF(VLOOKUP($D$2,'Reading Report Logic'!$A$2:$B$8,2,FALSE)=1, YES_Reading_FLA[Reading Level June of Previous School Year],INDIRECT("YES_Reading_FLA[Instructional Reading Level - Per "&amp;(VLOOKUP($D$2,'Reading Report Logic'!$A$2:$B$8,2,FALSE)-1)&amp;"]"))), FALSE))),""))),"")</f>
        <v/>
      </c>
      <c r="D593" s="204" t="str" cm="1">
        <f t="array" aca="1" ref="D593" ca="1">IFERROR(
IF($J$2="ELA",
IF(VLOOKUP($A593, YES_Reading_ELA[], COLUMN(INDIRECT("YES_Reading_ELA[Instructional Reading Level - Per "&amp;VLOOKUP($D$2, 'Reading Report Logic'!$A$2:$B$8, 2, FALSE)&amp;"]")), FALSE)="", "",
VLOOKUP($A593,YES_Reading_ELA[], COLUMN(INDIRECT("YES_Reading_ELA[Instructional Reading Level - Per "&amp;VLOOKUP($D$2,'Reading Report Logic'!$A$2:$B$8,2,FALSE)&amp;"]")), FALSE)),
IF($J$2="FLA",
IF(VLOOKUP($A593, YES_Reading_FLA[], COLUMN(INDIRECT("YES_Reading_FLA[Instructional Reading Level - Per "&amp;VLOOKUP($D$2,'Reading Report Logic'!$A$2:$B$8,2,FALSE)&amp;"]")),FALSE)="","",
VLOOKUP($A593,YES_Reading_FLA[],COLUMN(INDIRECT("YES_Reading_FLA[Instructional Reading Level - Per "&amp;VLOOKUP($D$2,'Reading Report Logic'!$A$2:$B$8,2,FALSE)&amp;"]")),FALSE)),
IF($J$2="Combined",
IFERROR(
IF(VLOOKUP($A593, YES_Reading_ELA[], COLUMN(INDIRECT("YES_Reading_ELA[Instructional Reading Level - Per "&amp;VLOOKUP($D$2, 'Reading Report Logic'!$A$2:$B$8,2,FALSE)&amp;"]")), FALSE)="", "",
VLOOKUP($A593,YES_Reading_ELA[],COLUMN(INDIRECT("YES_Reading_ELA[Instructional Reading Level - Per "&amp;VLOOKUP($D$2,'Reading Report Logic'!$A$2:$B$8,2,FALSE)&amp;"]")),FALSE)),
IF(VLOOKUP($A593, YES_Reading_FLA[], COLUMN(INDIRECT("YES_Reading_FLA[Instructional Reading Level - Per "&amp;VLOOKUP($D$2, 'Reading Report Logic'!$A$2:$B$8, 2, FALSE)&amp;"]")),FALSE)="", "", VLOOKUP($A593,YES_Reading_FLA[],COLUMN(INDIRECT("YES_Reading_FLA[Instructional Reading Level - Per "&amp;VLOOKUP($D$2, 'Reading Report Logic'!$A$2:$B$8, 2, FALSE)&amp;"]")),FALSE))),""))),"")</f>
        <v/>
      </c>
      <c r="E593" s="205" t="str" cm="1">
        <f t="array" aca="1" ref="E593" ca="1">IFERROR(
IF($J$2="ELA",
IF(VLOOKUP($A593, YES_Reading_ELA[], COLUMN(INDIRECT("YES_Reading_ELA[Min Expectation - Per "&amp;VLOOKUP($D$2, 'Reading Report Logic'!$A$2:$B$8, 2, FALSE)&amp;"]")), FALSE)="", "",
VLOOKUP($A593,YES_Reading_ELA[], COLUMN(INDIRECT("YES_Reading_ELA[Min Expectation - Per "&amp;VLOOKUP($D$2,'Reading Report Logic'!$A$2:$B$8,2,FALSE)&amp;"]")), FALSE)),
IF($J$2="FLA",
IF(VLOOKUP($A593, YES_Reading_FLA[], COLUMN(INDIRECT("YES_Reading_FLA[Min Expectation - Per "&amp;VLOOKUP($D$2,'Reading Report Logic'!$A$2:$B$8,2,FALSE)&amp;"]")),FALSE)="","",
VLOOKUP($A593,YES_Reading_FLA[],COLUMN(INDIRECT("YES_Reading_FLA[Min Expectation - Per "&amp;VLOOKUP($D$2,'Reading Report Logic'!$A$2:$B$8,2,FALSE)&amp;"]")),FALSE)),
IF($J$2="Combined",
IFERROR(
IF(VLOOKUP($A593, YES_Reading_ELA[], COLUMN(INDIRECT("YES_Reading_ELA[Min Expectation - Per "&amp;VLOOKUP($D$2, 'Reading Report Logic'!$A$2:$B$8,2,FALSE)&amp;"]")), FALSE)="", "",
VLOOKUP($A593,YES_Reading_ELA[],COLUMN(INDIRECT("YES_Reading_ELA[Min Expectation - Per "&amp;VLOOKUP($D$2,'Reading Report Logic'!$A$2:$B$8,2,FALSE)&amp;"]")),FALSE)),
IF(VLOOKUP($A593, YES_Reading_FLA[], COLUMN(INDIRECT("YES_Reading_FLA[Min Expectation - Per "&amp;VLOOKUP($D$2, 'Reading Report Logic'!$A$2:$B$8, 2, FALSE)&amp;"]")),FALSE)="", "", VLOOKUP($A593,YES_Reading_FLA[],COLUMN(INDIRECT("YES_Reading_FLA[Min Expectation - Per "&amp;VLOOKUP($D$2, 'Reading Report Logic'!$A$2:$B$8, 2, FALSE)&amp;"]")),FALSE))),""))),"")</f>
        <v/>
      </c>
      <c r="F593" s="205" t="str" cm="1">
        <f t="array" aca="1" ref="F593" ca="1">IFERROR(
IF($J$2="ELA",
IF(VLOOKUP($A593, YES_Reading_ELA[], COLUMN(INDIRECT("YES_Reading_ELA[Max Expectation - Per "&amp;VLOOKUP($D$2, 'Reading Report Logic'!$A$2:$B$8, 2, FALSE)&amp;"]")), FALSE)="", "",
VLOOKUP($A593,YES_Reading_ELA[], COLUMN(INDIRECT("YES_Reading_ELA[Max Expectation - Per "&amp;VLOOKUP($D$2,'Reading Report Logic'!$A$2:$B$8,2,FALSE)&amp;"]")), FALSE)),
IF($J$2="FLA",
IF(VLOOKUP($A593, YES_Reading_FLA[], COLUMN(INDIRECT("YES_Reading_FLA[Max Expectation - Per "&amp;VLOOKUP($D$2,'Reading Report Logic'!$A$2:$B$8,2,FALSE)&amp;"]")),FALSE)="","",
VLOOKUP($A593,YES_Reading_FLA[],COLUMN(INDIRECT("YES_Reading_FLA[Max Expectation - Per "&amp;VLOOKUP($D$2,'Reading Report Logic'!$A$2:$B$8,2,FALSE)&amp;"]")),FALSE)),
IF($J$2="Combined",
IFERROR(
IF(VLOOKUP($A593, YES_Reading_ELA[], COLUMN(INDIRECT("YES_Reading_ELA[Max Expectation - Per "&amp;VLOOKUP($D$2, 'Reading Report Logic'!$A$2:$B$8,2,FALSE)&amp;"]")), FALSE)="", "",
VLOOKUP($A593,YES_Reading_ELA[],COLUMN(INDIRECT("YES_Reading_ELA[Max Expectation - Per "&amp;VLOOKUP($D$2,'Reading Report Logic'!$A$2:$B$8,2,FALSE)&amp;"]")),FALSE)),
IF(VLOOKUP($A593, YES_Reading_FLA[], COLUMN(INDIRECT("YES_Reading_FLA[Max Expectation - Per "&amp;VLOOKUP($D$2, 'Reading Report Logic'!$A$2:$B$8, 2, FALSE)&amp;"]")),FALSE)="", "", VLOOKUP($A593,YES_Reading_FLA[],COLUMN(INDIRECT("YES_Reading_FLA[Max Expectation - Per "&amp;VLOOKUP($D$2, 'Reading Report Logic'!$A$2:$B$8, 2, FALSE)&amp;"]")),FALSE))),""))),"")</f>
        <v/>
      </c>
      <c r="G593" s="205" t="str" cm="1">
        <f t="array" aca="1" ref="G593" ca="1">IFERROR(
IF($J$2="ELA",
IF(VLOOKUP($A593, YES_Reading_ELA[], COLUMN(INDIRECT("YES_Reading_ELA[Difference - Per "&amp;VLOOKUP($D$2, 'Reading Report Logic'!$A$2:$B$8, 2, FALSE)&amp;"]")), FALSE)="", "",
VLOOKUP($A593,YES_Reading_ELA[], COLUMN(INDIRECT("YES_Reading_ELA[Difference - Per "&amp;VLOOKUP($D$2,'Reading Report Logic'!$A$2:$B$8,2,FALSE)&amp;"]")), FALSE)),
IF($J$2="FLA",
IF(VLOOKUP($A593, YES_Reading_FLA[], COLUMN(INDIRECT("YES_Reading_FLA[Difference - Per "&amp;VLOOKUP($D$2,'Reading Report Logic'!$A$2:$B$8,2,FALSE)&amp;"]")),FALSE)="","",
VLOOKUP($A593,YES_Reading_FLA[],COLUMN(INDIRECT("YES_Reading_FLA[Difference - Per "&amp;VLOOKUP($D$2,'Reading Report Logic'!$A$2:$B$8,2,FALSE)&amp;"]")),FALSE)),
IF($J$2="Combined",
IFERROR(
IF(VLOOKUP($A593, YES_Reading_ELA[], COLUMN(INDIRECT("YES_Reading_ELA[Difference - Per "&amp;VLOOKUP($D$2, 'Reading Report Logic'!$A$2:$B$8,2,FALSE)&amp;"]")), FALSE)="", "",
VLOOKUP($A593,YES_Reading_ELA[],COLUMN(INDIRECT("YES_Reading_ELA[Difference - Per "&amp;VLOOKUP($D$2,'Reading Report Logic'!$A$2:$B$8,2,FALSE)&amp;"]")),FALSE)),
IF(VLOOKUP($A593, YES_Reading_FLA[], COLUMN(INDIRECT("YES_Reading_FLA[Difference - Per "&amp;VLOOKUP($D$2, 'Reading Report Logic'!$A$2:$B$8, 2, FALSE)&amp;"]")),FALSE)="", "", VLOOKUP($A593,YES_Reading_FLA[],COLUMN(INDIRECT("YES_Reading_FLA[Difference - Per "&amp;VLOOKUP($D$2, 'Reading Report Logic'!$A$2:$B$8, 2, FALSE)&amp;"]")),FALSE))),""))),"")</f>
        <v/>
      </c>
      <c r="H593" s="206" t="str">
        <f ca="1">IFERROR(VLOOKUP('Teacher Reading Pull Sheets'!$D593,_xlfn.VSTACK('ELA Reading Logic'!$A$22:$B$48,'FLA Reading Logic'!$A$22:$B$53),2,FALSE)-VLOOKUP('Teacher Reading Pull Sheets'!$C593,_xlfn.VSTACK('ELA Reading Logic'!$A$22:$B$48,'FLA Reading Logic'!$A$22:$B$53),2,FALSE),"")</f>
        <v/>
      </c>
      <c r="I593" s="212"/>
      <c r="J593" s="206"/>
      <c r="K593" s="197" t="str" cm="1">
        <f t="array" ref="K593">IFERROR(
IF($J$2="ELA",
IF(VLOOKUP($A593, YES_Reading_ELA[], COLUMN(YES_Reading_ELA[Self-Identified as African Descent]), FALSE)="", "",
VLOOKUP($A593,YES_Reading_ELA[], COLUMN(YES_Reading_ELA[Self-Identified as African Descent]), FALSE)),
IF($J$2="FLA",
IF(VLOOKUP($A593, YES_Reading_FLA[], COLUMN(YES_Reading_FLA[Self-Identified as African Descent]),FALSE)="","",
VLOOKUP($A593,YES_Reading_FLA[],COLUMN(YES_Reading_FLA[Self-Identified as African Descent]),FALSE)),
IF($J$2="Combined",
IFERROR(
IF(VLOOKUP($A593, YES_Reading_ELA[], COLUMN(YES_Reading_ELA[Self-Identified as African Descent]), FALSE)="", "",
VLOOKUP($A593,YES_Reading_ELA[],COLUMN(YES_Reading_ELA[Self-Identified as African Descent]),FALSE)),
IF(VLOOKUP($A593, YES_Reading_FLA[], COLUMN(YES_Reading_FLA[Self-Identified as African Descent]),FALSE)="", "", VLOOKUP($A593,YES_Reading_FLA[],COLUMN(YES_Reading_FLA[Self-Identified as African Descent]),FALSE))),""))),"")</f>
        <v/>
      </c>
      <c r="L593" s="73" t="str" cm="1">
        <f t="array" ref="L593">IFERROR(
IF($J$2="ELA",
IF(VLOOKUP($A593, YES_Reading_ELA[], COLUMN(YES_Reading_ELA[Self-Identified as Indigenous]), FALSE)="", "",
VLOOKUP($A593,YES_Reading_ELA[], COLUMN(YES_Reading_ELA[Self-Identified as Indigenous]), FALSE)),
IF($J$2="FLA",
IF(VLOOKUP($A593, YES_Reading_FLA[], COLUMN(YES_Reading_FLA[Self-Identified as Indigenous]),FALSE)="","",
VLOOKUP($A593,YES_Reading_FLA[],COLUMN(YES_Reading_FLA[Self-Identified as Indigenous]),FALSE)),
IF($J$2="Combined",
IFERROR(
IF(VLOOKUP($A593, YES_Reading_ELA[], COLUMN(YES_Reading_ELA[Self-Identified as Indigenous]), FALSE)="", "",
VLOOKUP($A593,YES_Reading_ELA[],COLUMN(YES_Reading_ELA[Self-Identified as Indigenous]),FALSE)),
IF(VLOOKUP($A593, YES_Reading_FLA[], COLUMN(YES_Reading_FLA[Self-Identified as Indigenous]),FALSE)="", "", VLOOKUP($A593,YES_Reading_FLA[],COLUMN(YES_Reading_FLA[Self-Identified as Indigenous]),FALSE))),""))),"")</f>
        <v/>
      </c>
    </row>
    <row r="594" spans="1:12" ht="19.5" customHeight="1" thickBot="1" x14ac:dyDescent="0.3">
      <c r="A594" s="218"/>
      <c r="B594" s="221" t="str">
        <f>IFERROR(VLOOKUP(A594,_xlfn.VSTACK(YES_Reading_ELA[],YES_Reading_FLA[]),2,FALSE),"")</f>
        <v/>
      </c>
      <c r="C594" s="208" t="str" cm="1">
        <f t="array" aca="1" ref="C594" ca="1">IFERROR(
IF($J$2="ELA",
IF(VLOOKUP($A594, YES_Reading_ELA[], COLUMN(IF(VLOOKUP($D$2, 'Reading Report Logic'!$A$2:$B$8, 2, FALSE)=1, YES_Reading_ELA[Reading Level June of Previous School Year], INDIRECT("YES_Reading_ELA[Instructional Reading Level - Per "&amp;(VLOOKUP($D$2,'Reading Report Logic'!$A$2:$B$8,2,FALSE)-1)&amp;"]"))), FALSE)="", "",
VLOOKUP($A594,YES_Reading_ELA[], COLUMN(IF(VLOOKUP($D$2,'Reading Report Logic'!$A$2:$B$8,2,FALSE)=1, YES_Reading_ELA[Reading Level June of Previous School Year],INDIRECT("YES_Reading_ELA[Instructional Reading Level - Per "&amp;(VLOOKUP($D$2,'Reading Report Logic'!$A$2:$B$8,2,FALSE)-1)&amp;"]"))), FALSE)),
IF($J$2="FLA",
IF(VLOOKUP($A594, YES_Reading_FLA[], COLUMN(IF(VLOOKUP($D$2,'Reading Report Logic'!$A$2:$B$8,2,FALSE)=1, YES_Reading_FLA[Reading Level June of Previous School Year],INDIRECT("YES_Reading_FLA[Instructional Reading Level - Per "&amp;(VLOOKUP($D$2,'Reading Report Logic'!$A$2:$B$8,2,FALSE)-1)&amp;"]"))),FALSE)="","",
VLOOKUP($A594,YES_Reading_FLA[], COLUMN(IF(VLOOKUP($D$2,'Reading Report Logic'!$A$2:$B$8,2,FALSE)=1, YES_Reading_FLA[Reading Level June of Previous School Year],INDIRECT("YES_Reading_FLA[Instructional Reading Level - Per "&amp;(VLOOKUP($D$2,'Reading Report Logic'!$A$2:$B$8,2,FALSE)-1)&amp;"]"))),FALSE)),
IF($J$2="Combined",
IFERROR(
IF(VLOOKUP($A594, YES_Reading_ELA[], COLUMN(IF(VLOOKUP($D$2,'Reading Report Logic'!$A$2:$B$8,2,FALSE)=1, YES_Reading_ELA[Reading Level June of Previous School Year],INDIRECT("YES_Reading_ELA[Instructional Reading Level - Per "&amp;(VLOOKUP($D$2,'Reading Report Logic'!$A$2:$B$8,2,FALSE)-1)&amp;"]"))), FALSE)="", "",
VLOOKUP($A594,YES_Reading_ELA[],COLUMN(IF(VLOOKUP($D$2,'Reading Report Logic'!$A$2:$B$8,2,FALSE)=1, YES_Reading_ELA[Reading Level June of Previous School Year],INDIRECT("YES_Reading_ELA[Instructional Reading Level - Per "&amp;(VLOOKUP($D$2,'Reading Report Logic'!$A$2:$B$8,2,FALSE)-1)&amp;"]"))),FALSE)),
IF(VLOOKUP($A594, YES_Reading_FLA[], COLUMN(IF(VLOOKUP($D$2,'Reading Report Logic'!$A$2:$B$8,2,FALSE)=1, YES_Reading_FLA[Reading Level June of Previous School Year],INDIRECT("YES_Reading_FLA[Instructional Reading Level - Per "&amp;(VLOOKUP($D$2,'Reading Report Logic'!$A$2:$B$8,2,FALSE)-1)&amp;"]"))),FALSE)="", "", VLOOKUP($A594,YES_Reading_FLA[],COLUMN(IF(VLOOKUP($D$2,'Reading Report Logic'!$A$2:$B$8,2,FALSE)=1, YES_Reading_FLA[Reading Level June of Previous School Year],INDIRECT("YES_Reading_FLA[Instructional Reading Level - Per "&amp;(VLOOKUP($D$2,'Reading Report Logic'!$A$2:$B$8,2,FALSE)-1)&amp;"]"))), FALSE))),""))),"")</f>
        <v/>
      </c>
      <c r="D594" s="209" t="str" cm="1">
        <f t="array" aca="1" ref="D594" ca="1">IFERROR(
IF($J$2="ELA",
IF(VLOOKUP($A594, YES_Reading_ELA[], COLUMN(INDIRECT("YES_Reading_ELA[Instructional Reading Level - Per "&amp;VLOOKUP($D$2, 'Reading Report Logic'!$A$2:$B$8, 2, FALSE)&amp;"]")), FALSE)="", "",
VLOOKUP($A594,YES_Reading_ELA[], COLUMN(INDIRECT("YES_Reading_ELA[Instructional Reading Level - Per "&amp;VLOOKUP($D$2,'Reading Report Logic'!$A$2:$B$8,2,FALSE)&amp;"]")), FALSE)),
IF($J$2="FLA",
IF(VLOOKUP($A594, YES_Reading_FLA[], COLUMN(INDIRECT("YES_Reading_FLA[Instructional Reading Level - Per "&amp;VLOOKUP($D$2,'Reading Report Logic'!$A$2:$B$8,2,FALSE)&amp;"]")),FALSE)="","",
VLOOKUP($A594,YES_Reading_FLA[],COLUMN(INDIRECT("YES_Reading_FLA[Instructional Reading Level - Per "&amp;VLOOKUP($D$2,'Reading Report Logic'!$A$2:$B$8,2,FALSE)&amp;"]")),FALSE)),
IF($J$2="Combined",
IFERROR(
IF(VLOOKUP($A594, YES_Reading_ELA[], COLUMN(INDIRECT("YES_Reading_ELA[Instructional Reading Level - Per "&amp;VLOOKUP($D$2, 'Reading Report Logic'!$A$2:$B$8,2,FALSE)&amp;"]")), FALSE)="", "",
VLOOKUP($A594,YES_Reading_ELA[],COLUMN(INDIRECT("YES_Reading_ELA[Instructional Reading Level - Per "&amp;VLOOKUP($D$2,'Reading Report Logic'!$A$2:$B$8,2,FALSE)&amp;"]")),FALSE)),
IF(VLOOKUP($A594, YES_Reading_FLA[], COLUMN(INDIRECT("YES_Reading_FLA[Instructional Reading Level - Per "&amp;VLOOKUP($D$2, 'Reading Report Logic'!$A$2:$B$8, 2, FALSE)&amp;"]")),FALSE)="", "", VLOOKUP($A594,YES_Reading_FLA[],COLUMN(INDIRECT("YES_Reading_FLA[Instructional Reading Level - Per "&amp;VLOOKUP($D$2, 'Reading Report Logic'!$A$2:$B$8, 2, FALSE)&amp;"]")),FALSE))),""))),"")</f>
        <v/>
      </c>
      <c r="E594" s="210" t="str" cm="1">
        <f t="array" aca="1" ref="E594" ca="1">IFERROR(
IF($J$2="ELA",
IF(VLOOKUP($A594, YES_Reading_ELA[], COLUMN(INDIRECT("YES_Reading_ELA[Min Expectation - Per "&amp;VLOOKUP($D$2, 'Reading Report Logic'!$A$2:$B$8, 2, FALSE)&amp;"]")), FALSE)="", "",
VLOOKUP($A594,YES_Reading_ELA[], COLUMN(INDIRECT("YES_Reading_ELA[Min Expectation - Per "&amp;VLOOKUP($D$2,'Reading Report Logic'!$A$2:$B$8,2,FALSE)&amp;"]")), FALSE)),
IF($J$2="FLA",
IF(VLOOKUP($A594, YES_Reading_FLA[], COLUMN(INDIRECT("YES_Reading_FLA[Min Expectation - Per "&amp;VLOOKUP($D$2,'Reading Report Logic'!$A$2:$B$8,2,FALSE)&amp;"]")),FALSE)="","",
VLOOKUP($A594,YES_Reading_FLA[],COLUMN(INDIRECT("YES_Reading_FLA[Min Expectation - Per "&amp;VLOOKUP($D$2,'Reading Report Logic'!$A$2:$B$8,2,FALSE)&amp;"]")),FALSE)),
IF($J$2="Combined",
IFERROR(
IF(VLOOKUP($A594, YES_Reading_ELA[], COLUMN(INDIRECT("YES_Reading_ELA[Min Expectation - Per "&amp;VLOOKUP($D$2, 'Reading Report Logic'!$A$2:$B$8,2,FALSE)&amp;"]")), FALSE)="", "",
VLOOKUP($A594,YES_Reading_ELA[],COLUMN(INDIRECT("YES_Reading_ELA[Min Expectation - Per "&amp;VLOOKUP($D$2,'Reading Report Logic'!$A$2:$B$8,2,FALSE)&amp;"]")),FALSE)),
IF(VLOOKUP($A594, YES_Reading_FLA[], COLUMN(INDIRECT("YES_Reading_FLA[Min Expectation - Per "&amp;VLOOKUP($D$2, 'Reading Report Logic'!$A$2:$B$8, 2, FALSE)&amp;"]")),FALSE)="", "", VLOOKUP($A594,YES_Reading_FLA[],COLUMN(INDIRECT("YES_Reading_FLA[Min Expectation - Per "&amp;VLOOKUP($D$2, 'Reading Report Logic'!$A$2:$B$8, 2, FALSE)&amp;"]")),FALSE))),""))),"")</f>
        <v/>
      </c>
      <c r="F594" s="210" t="str" cm="1">
        <f t="array" aca="1" ref="F594" ca="1">IFERROR(
IF($J$2="ELA",
IF(VLOOKUP($A594, YES_Reading_ELA[], COLUMN(INDIRECT("YES_Reading_ELA[Max Expectation - Per "&amp;VLOOKUP($D$2, 'Reading Report Logic'!$A$2:$B$8, 2, FALSE)&amp;"]")), FALSE)="", "",
VLOOKUP($A594,YES_Reading_ELA[], COLUMN(INDIRECT("YES_Reading_ELA[Max Expectation - Per "&amp;VLOOKUP($D$2,'Reading Report Logic'!$A$2:$B$8,2,FALSE)&amp;"]")), FALSE)),
IF($J$2="FLA",
IF(VLOOKUP($A594, YES_Reading_FLA[], COLUMN(INDIRECT("YES_Reading_FLA[Max Expectation - Per "&amp;VLOOKUP($D$2,'Reading Report Logic'!$A$2:$B$8,2,FALSE)&amp;"]")),FALSE)="","",
VLOOKUP($A594,YES_Reading_FLA[],COLUMN(INDIRECT("YES_Reading_FLA[Max Expectation - Per "&amp;VLOOKUP($D$2,'Reading Report Logic'!$A$2:$B$8,2,FALSE)&amp;"]")),FALSE)),
IF($J$2="Combined",
IFERROR(
IF(VLOOKUP($A594, YES_Reading_ELA[], COLUMN(INDIRECT("YES_Reading_ELA[Max Expectation - Per "&amp;VLOOKUP($D$2, 'Reading Report Logic'!$A$2:$B$8,2,FALSE)&amp;"]")), FALSE)="", "",
VLOOKUP($A594,YES_Reading_ELA[],COLUMN(INDIRECT("YES_Reading_ELA[Max Expectation - Per "&amp;VLOOKUP($D$2,'Reading Report Logic'!$A$2:$B$8,2,FALSE)&amp;"]")),FALSE)),
IF(VLOOKUP($A594, YES_Reading_FLA[], COLUMN(INDIRECT("YES_Reading_FLA[Max Expectation - Per "&amp;VLOOKUP($D$2, 'Reading Report Logic'!$A$2:$B$8, 2, FALSE)&amp;"]")),FALSE)="", "", VLOOKUP($A594,YES_Reading_FLA[],COLUMN(INDIRECT("YES_Reading_FLA[Max Expectation - Per "&amp;VLOOKUP($D$2, 'Reading Report Logic'!$A$2:$B$8, 2, FALSE)&amp;"]")),FALSE))),""))),"")</f>
        <v/>
      </c>
      <c r="G594" s="210" t="str" cm="1">
        <f t="array" aca="1" ref="G594" ca="1">IFERROR(
IF($J$2="ELA",
IF(VLOOKUP($A594, YES_Reading_ELA[], COLUMN(INDIRECT("YES_Reading_ELA[Difference - Per "&amp;VLOOKUP($D$2, 'Reading Report Logic'!$A$2:$B$8, 2, FALSE)&amp;"]")), FALSE)="", "",
VLOOKUP($A594,YES_Reading_ELA[], COLUMN(INDIRECT("YES_Reading_ELA[Difference - Per "&amp;VLOOKUP($D$2,'Reading Report Logic'!$A$2:$B$8,2,FALSE)&amp;"]")), FALSE)),
IF($J$2="FLA",
IF(VLOOKUP($A594, YES_Reading_FLA[], COLUMN(INDIRECT("YES_Reading_FLA[Difference - Per "&amp;VLOOKUP($D$2,'Reading Report Logic'!$A$2:$B$8,2,FALSE)&amp;"]")),FALSE)="","",
VLOOKUP($A594,YES_Reading_FLA[],COLUMN(INDIRECT("YES_Reading_FLA[Difference - Per "&amp;VLOOKUP($D$2,'Reading Report Logic'!$A$2:$B$8,2,FALSE)&amp;"]")),FALSE)),
IF($J$2="Combined",
IFERROR(
IF(VLOOKUP($A594, YES_Reading_ELA[], COLUMN(INDIRECT("YES_Reading_ELA[Difference - Per "&amp;VLOOKUP($D$2, 'Reading Report Logic'!$A$2:$B$8,2,FALSE)&amp;"]")), FALSE)="", "",
VLOOKUP($A594,YES_Reading_ELA[],COLUMN(INDIRECT("YES_Reading_ELA[Difference - Per "&amp;VLOOKUP($D$2,'Reading Report Logic'!$A$2:$B$8,2,FALSE)&amp;"]")),FALSE)),
IF(VLOOKUP($A594, YES_Reading_FLA[], COLUMN(INDIRECT("YES_Reading_FLA[Difference - Per "&amp;VLOOKUP($D$2, 'Reading Report Logic'!$A$2:$B$8, 2, FALSE)&amp;"]")),FALSE)="", "", VLOOKUP($A594,YES_Reading_FLA[],COLUMN(INDIRECT("YES_Reading_FLA[Difference - Per "&amp;VLOOKUP($D$2, 'Reading Report Logic'!$A$2:$B$8, 2, FALSE)&amp;"]")),FALSE))),""))),"")</f>
        <v/>
      </c>
      <c r="H594" s="211" t="str">
        <f ca="1">IFERROR(VLOOKUP('Teacher Reading Pull Sheets'!$D594,_xlfn.VSTACK('ELA Reading Logic'!$A$22:$B$48,'FLA Reading Logic'!$A$22:$B$53),2,FALSE)-VLOOKUP('Teacher Reading Pull Sheets'!$C594,_xlfn.VSTACK('ELA Reading Logic'!$A$22:$B$48,'FLA Reading Logic'!$A$22:$B$53),2,FALSE),"")</f>
        <v/>
      </c>
      <c r="I594" s="213"/>
      <c r="J594" s="211"/>
      <c r="K594" s="198" t="str" cm="1">
        <f t="array" ref="K594">IFERROR(
IF($J$2="ELA",
IF(VLOOKUP($A594, YES_Reading_ELA[], COLUMN(YES_Reading_ELA[Self-Identified as African Descent]), FALSE)="", "",
VLOOKUP($A594,YES_Reading_ELA[], COLUMN(YES_Reading_ELA[Self-Identified as African Descent]), FALSE)),
IF($J$2="FLA",
IF(VLOOKUP($A594, YES_Reading_FLA[], COLUMN(YES_Reading_FLA[Self-Identified as African Descent]),FALSE)="","",
VLOOKUP($A594,YES_Reading_FLA[],COLUMN(YES_Reading_FLA[Self-Identified as African Descent]),FALSE)),
IF($J$2="Combined",
IFERROR(
IF(VLOOKUP($A594, YES_Reading_ELA[], COLUMN(YES_Reading_ELA[Self-Identified as African Descent]), FALSE)="", "",
VLOOKUP($A594,YES_Reading_ELA[],COLUMN(YES_Reading_ELA[Self-Identified as African Descent]),FALSE)),
IF(VLOOKUP($A594, YES_Reading_FLA[], COLUMN(YES_Reading_FLA[Self-Identified as African Descent]),FALSE)="", "", VLOOKUP($A594,YES_Reading_FLA[],COLUMN(YES_Reading_FLA[Self-Identified as African Descent]),FALSE))),""))),"")</f>
        <v/>
      </c>
      <c r="L594" s="74" t="str" cm="1">
        <f t="array" ref="L594">IFERROR(
IF($J$2="ELA",
IF(VLOOKUP($A594, YES_Reading_ELA[], COLUMN(YES_Reading_ELA[Self-Identified as Indigenous]), FALSE)="", "",
VLOOKUP($A594,YES_Reading_ELA[], COLUMN(YES_Reading_ELA[Self-Identified as Indigenous]), FALSE)),
IF($J$2="FLA",
IF(VLOOKUP($A594, YES_Reading_FLA[], COLUMN(YES_Reading_FLA[Self-Identified as Indigenous]),FALSE)="","",
VLOOKUP($A594,YES_Reading_FLA[],COLUMN(YES_Reading_FLA[Self-Identified as Indigenous]),FALSE)),
IF($J$2="Combined",
IFERROR(
IF(VLOOKUP($A594, YES_Reading_ELA[], COLUMN(YES_Reading_ELA[Self-Identified as Indigenous]), FALSE)="", "",
VLOOKUP($A594,YES_Reading_ELA[],COLUMN(YES_Reading_ELA[Self-Identified as Indigenous]),FALSE)),
IF(VLOOKUP($A594, YES_Reading_FLA[], COLUMN(YES_Reading_FLA[Self-Identified as Indigenous]),FALSE)="", "", VLOOKUP($A594,YES_Reading_FLA[],COLUMN(YES_Reading_FLA[Self-Identified as Indigenous]),FALSE))),""))),"")</f>
        <v/>
      </c>
    </row>
    <row r="595" spans="1:12" x14ac:dyDescent="0.25">
      <c r="A595" s="214"/>
      <c r="B595" s="214" t="s">
        <v>241</v>
      </c>
      <c r="C595" s="214"/>
      <c r="D595" s="215" t="str" cm="1">
        <f t="array" ref="D595">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Set")))=$D$1)),1,1,FALSE),FALSE,FALSE),20),"")</f>
        <v/>
      </c>
      <c r="E595" s="215"/>
      <c r="F595" s="215"/>
      <c r="G595" s="215"/>
      <c r="H595" s="355" t="s">
        <v>242</v>
      </c>
      <c r="I595" s="356"/>
      <c r="J595" s="215"/>
    </row>
    <row r="596" spans="1:12" x14ac:dyDescent="0.25">
      <c r="A596" s="214"/>
      <c r="B596" s="214" t="str">
        <f>"Date: "&amp;$D$3</f>
        <v xml:space="preserve">Date: </v>
      </c>
      <c r="C596" s="214"/>
      <c r="D596" s="215"/>
      <c r="E596" s="215"/>
      <c r="F596" s="215"/>
      <c r="G596" s="215"/>
      <c r="H596" s="357" t="s">
        <v>243</v>
      </c>
      <c r="I596" s="358"/>
      <c r="J596" s="215"/>
    </row>
    <row r="597" spans="1:12" ht="15.75" thickBot="1" x14ac:dyDescent="0.3">
      <c r="A597" s="215"/>
      <c r="B597" s="215"/>
      <c r="C597" s="215"/>
      <c r="D597" s="215"/>
      <c r="E597" s="215"/>
      <c r="F597" s="215"/>
      <c r="G597" s="215"/>
      <c r="H597" s="353" t="s">
        <v>244</v>
      </c>
      <c r="I597" s="354"/>
      <c r="J597" s="215"/>
    </row>
    <row r="598" spans="1:12" ht="85.5" customHeight="1" thickBot="1" x14ac:dyDescent="0.3">
      <c r="A598" s="192" t="s">
        <v>44</v>
      </c>
      <c r="B598" s="187" t="s">
        <v>245</v>
      </c>
      <c r="C598" s="188" t="s">
        <v>246</v>
      </c>
      <c r="D598" s="188" t="s">
        <v>247</v>
      </c>
      <c r="E598" s="188" t="s">
        <v>248</v>
      </c>
      <c r="F598" s="188" t="s">
        <v>249</v>
      </c>
      <c r="G598" s="188" t="s">
        <v>250</v>
      </c>
      <c r="H598" s="189" t="s">
        <v>251</v>
      </c>
      <c r="I598" s="202" t="s">
        <v>252</v>
      </c>
      <c r="J598" s="191" t="s">
        <v>253</v>
      </c>
      <c r="K598" s="200" t="s">
        <v>256</v>
      </c>
      <c r="L598" s="201" t="s">
        <v>257</v>
      </c>
    </row>
    <row r="599" spans="1:12" ht="19.5" customHeight="1" x14ac:dyDescent="0.25">
      <c r="A599" s="216" t="e" cm="1" vm="1">
        <f t="array" aca="1" ref="A599" ca="1">_xlfn._xlws.FILTER(_xlfn.VSTACK(YES_Reading_ELA[Student Number],YES_Reading_FLA[Student Number]),_xlfn.VSTACK(YES_Reading_ELA[HomeRoom],YES_Reading_FLA[Homeroom])=D595)</f>
        <v>#VALUE!</v>
      </c>
      <c r="B599" s="219" t="str">
        <f ca="1">IFERROR(VLOOKUP(A599,_xlfn.VSTACK(YES_Reading_ELA[],YES_Reading_FLA[]),2,FALSE),"")</f>
        <v/>
      </c>
      <c r="C599" s="203" t="str" cm="1">
        <f t="array" aca="1" ref="C599" ca="1">IFERROR(
IF($J$2="ELA",
IF(VLOOKUP($A599, YES_Reading_ELA[], COLUMN(IF(VLOOKUP($D$2, 'Reading Report Logic'!$A$2:$B$8, 2, FALSE)=1, YES_Reading_ELA[Reading Level June of Previous School Year], INDIRECT("YES_Reading_ELA[Instructional Reading Level - Per "&amp;(VLOOKUP($D$2,'Reading Report Logic'!$A$2:$B$8,2,FALSE)-1)&amp;"]"))), FALSE)="", "",
VLOOKUP($A599,YES_Reading_ELA[], COLUMN(IF(VLOOKUP($D$2,'Reading Report Logic'!$A$2:$B$8,2,FALSE)=1, YES_Reading_ELA[Reading Level June of Previous School Year],INDIRECT("YES_Reading_ELA[Instructional Reading Level - Per "&amp;(VLOOKUP($D$2,'Reading Report Logic'!$A$2:$B$8,2,FALSE)-1)&amp;"]"))), FALSE)),
IF($J$2="FLA",
IF(VLOOKUP($A599, YES_Reading_FLA[], COLUMN(IF(VLOOKUP($D$2,'Reading Report Logic'!$A$2:$B$8,2,FALSE)=1, YES_Reading_FLA[Reading Level June of Previous School Year],INDIRECT("YES_Reading_FLA[Instructional Reading Level - Per "&amp;(VLOOKUP($D$2,'Reading Report Logic'!$A$2:$B$8,2,FALSE)-1)&amp;"]"))),FALSE)="","",
VLOOKUP($A599,YES_Reading_FLA[], COLUMN(IF(VLOOKUP($D$2,'Reading Report Logic'!$A$2:$B$8,2,FALSE)=1, YES_Reading_FLA[Reading Level June of Previous School Year],INDIRECT("YES_Reading_FLA[Instructional Reading Level - Per "&amp;(VLOOKUP($D$2,'Reading Report Logic'!$A$2:$B$8,2,FALSE)-1)&amp;"]"))),FALSE)),
IF($J$2="Combined",
IFERROR(
IF(VLOOKUP($A599, YES_Reading_ELA[], COLUMN(IF(VLOOKUP($D$2,'Reading Report Logic'!$A$2:$B$8,2,FALSE)=1, YES_Reading_ELA[Reading Level June of Previous School Year],INDIRECT("YES_Reading_ELA[Instructional Reading Level - Per "&amp;(VLOOKUP($D$2,'Reading Report Logic'!$A$2:$B$8,2,FALSE)-1)&amp;"]"))), FALSE)="", "",
VLOOKUP($A599,YES_Reading_ELA[],COLUMN(IF(VLOOKUP($D$2,'Reading Report Logic'!$A$2:$B$8,2,FALSE)=1, YES_Reading_ELA[Reading Level June of Previous School Year],INDIRECT("YES_Reading_ELA[Instructional Reading Level - Per "&amp;(VLOOKUP($D$2,'Reading Report Logic'!$A$2:$B$8,2,FALSE)-1)&amp;"]"))),FALSE)),
IF(VLOOKUP($A599, YES_Reading_FLA[], COLUMN(IF(VLOOKUP($D$2,'Reading Report Logic'!$A$2:$B$8,2,FALSE)=1, YES_Reading_FLA[Reading Level June of Previous School Year],INDIRECT("YES_Reading_FLA[Instructional Reading Level - Per "&amp;(VLOOKUP($D$2,'Reading Report Logic'!$A$2:$B$8,2,FALSE)-1)&amp;"]"))),FALSE)="", "", VLOOKUP($A599,YES_Reading_FLA[],COLUMN(IF(VLOOKUP($D$2,'Reading Report Logic'!$A$2:$B$8,2,FALSE)=1, YES_Reading_FLA[Reading Level June of Previous School Year],INDIRECT("YES_Reading_FLA[Instructional Reading Level - Per "&amp;(VLOOKUP($D$2,'Reading Report Logic'!$A$2:$B$8,2,FALSE)-1)&amp;"]"))), FALSE))),""))),"")</f>
        <v/>
      </c>
      <c r="D599" s="204" t="str" cm="1">
        <f t="array" aca="1" ref="D599" ca="1">IFERROR(
IF($J$2="ELA",
IF(VLOOKUP($A599, YES_Reading_ELA[], COLUMN(INDIRECT("YES_Reading_ELA[Instructional Reading Level - Per "&amp;VLOOKUP($D$2, 'Reading Report Logic'!$A$2:$B$8, 2, FALSE)&amp;"]")), FALSE)="", "",
VLOOKUP($A599,YES_Reading_ELA[], COLUMN(INDIRECT("YES_Reading_ELA[Instructional Reading Level - Per "&amp;VLOOKUP($D$2,'Reading Report Logic'!$A$2:$B$8,2,FALSE)&amp;"]")), FALSE)),
IF($J$2="FLA",
IF(VLOOKUP($A599, YES_Reading_FLA[], COLUMN(INDIRECT("YES_Reading_FLA[Instructional Reading Level - Per "&amp;VLOOKUP($D$2,'Reading Report Logic'!$A$2:$B$8,2,FALSE)&amp;"]")),FALSE)="","",
VLOOKUP($A599,YES_Reading_FLA[],COLUMN(INDIRECT("YES_Reading_FLA[Instructional Reading Level - Per "&amp;VLOOKUP($D$2,'Reading Report Logic'!$A$2:$B$8,2,FALSE)&amp;"]")),FALSE)),
IF($J$2="Combined",
IFERROR(
IF(VLOOKUP($A599, YES_Reading_ELA[], COLUMN(INDIRECT("YES_Reading_ELA[Instructional Reading Level - Per "&amp;VLOOKUP($D$2, 'Reading Report Logic'!$A$2:$B$8,2,FALSE)&amp;"]")), FALSE)="", "",
VLOOKUP($A599,YES_Reading_ELA[],COLUMN(INDIRECT("YES_Reading_ELA[Instructional Reading Level - Per "&amp;VLOOKUP($D$2,'Reading Report Logic'!$A$2:$B$8,2,FALSE)&amp;"]")),FALSE)),
IF(VLOOKUP($A599, YES_Reading_FLA[], COLUMN(INDIRECT("YES_Reading_FLA[Instructional Reading Level - Per "&amp;VLOOKUP($D$2, 'Reading Report Logic'!$A$2:$B$8, 2, FALSE)&amp;"]")),FALSE)="", "", VLOOKUP($A599,YES_Reading_FLA[],COLUMN(INDIRECT("YES_Reading_FLA[Instructional Reading Level - Per "&amp;VLOOKUP($D$2, 'Reading Report Logic'!$A$2:$B$8, 2, FALSE)&amp;"]")),FALSE))),""))),"")</f>
        <v/>
      </c>
      <c r="E599" s="205" t="str" cm="1">
        <f t="array" aca="1" ref="E599" ca="1">IFERROR(
IF($J$2="ELA",
IF(VLOOKUP($A599, YES_Reading_ELA[], COLUMN(INDIRECT("YES_Reading_ELA[Min Expectation - Per "&amp;VLOOKUP($D$2, 'Reading Report Logic'!$A$2:$B$8, 2, FALSE)&amp;"]")), FALSE)="", "",
VLOOKUP($A599,YES_Reading_ELA[], COLUMN(INDIRECT("YES_Reading_ELA[Min Expectation - Per "&amp;VLOOKUP($D$2,'Reading Report Logic'!$A$2:$B$8,2,FALSE)&amp;"]")), FALSE)),
IF($J$2="FLA",
IF(VLOOKUP($A599, YES_Reading_FLA[], COLUMN(INDIRECT("YES_Reading_FLA[Min Expectation - Per "&amp;VLOOKUP($D$2,'Reading Report Logic'!$A$2:$B$8,2,FALSE)&amp;"]")),FALSE)="","",
VLOOKUP($A599,YES_Reading_FLA[],COLUMN(INDIRECT("YES_Reading_FLA[Min Expectation - Per "&amp;VLOOKUP($D$2,'Reading Report Logic'!$A$2:$B$8,2,FALSE)&amp;"]")),FALSE)),
IF($J$2="Combined",
IFERROR(
IF(VLOOKUP($A599, YES_Reading_ELA[], COLUMN(INDIRECT("YES_Reading_ELA[Min Expectation - Per "&amp;VLOOKUP($D$2, 'Reading Report Logic'!$A$2:$B$8,2,FALSE)&amp;"]")), FALSE)="", "",
VLOOKUP($A599,YES_Reading_ELA[],COLUMN(INDIRECT("YES_Reading_ELA[Min Expectation - Per "&amp;VLOOKUP($D$2,'Reading Report Logic'!$A$2:$B$8,2,FALSE)&amp;"]")),FALSE)),
IF(VLOOKUP($A599, YES_Reading_FLA[], COLUMN(INDIRECT("YES_Reading_FLA[Min Expectation - Per "&amp;VLOOKUP($D$2, 'Reading Report Logic'!$A$2:$B$8, 2, FALSE)&amp;"]")),FALSE)="", "", VLOOKUP($A599,YES_Reading_FLA[],COLUMN(INDIRECT("YES_Reading_FLA[Min Expectation - Per "&amp;VLOOKUP($D$2, 'Reading Report Logic'!$A$2:$B$8, 2, FALSE)&amp;"]")),FALSE))),""))),"")</f>
        <v/>
      </c>
      <c r="F599" s="205" t="str" cm="1">
        <f t="array" aca="1" ref="F599" ca="1">IFERROR(
IF($J$2="ELA",
IF(VLOOKUP($A599, YES_Reading_ELA[], COLUMN(INDIRECT("YES_Reading_ELA[Max Expectation - Per "&amp;VLOOKUP($D$2, 'Reading Report Logic'!$A$2:$B$8, 2, FALSE)&amp;"]")), FALSE)="", "",
VLOOKUP($A599,YES_Reading_ELA[], COLUMN(INDIRECT("YES_Reading_ELA[Max Expectation - Per "&amp;VLOOKUP($D$2,'Reading Report Logic'!$A$2:$B$8,2,FALSE)&amp;"]")), FALSE)),
IF($J$2="FLA",
IF(VLOOKUP($A599, YES_Reading_FLA[], COLUMN(INDIRECT("YES_Reading_FLA[Max Expectation - Per "&amp;VLOOKUP($D$2,'Reading Report Logic'!$A$2:$B$8,2,FALSE)&amp;"]")),FALSE)="","",
VLOOKUP($A599,YES_Reading_FLA[],COLUMN(INDIRECT("YES_Reading_FLA[Max Expectation - Per "&amp;VLOOKUP($D$2,'Reading Report Logic'!$A$2:$B$8,2,FALSE)&amp;"]")),FALSE)),
IF($J$2="Combined",
IFERROR(
IF(VLOOKUP($A599, YES_Reading_ELA[], COLUMN(INDIRECT("YES_Reading_ELA[Max Expectation - Per "&amp;VLOOKUP($D$2, 'Reading Report Logic'!$A$2:$B$8,2,FALSE)&amp;"]")), FALSE)="", "",
VLOOKUP($A599,YES_Reading_ELA[],COLUMN(INDIRECT("YES_Reading_ELA[Max Expectation - Per "&amp;VLOOKUP($D$2,'Reading Report Logic'!$A$2:$B$8,2,FALSE)&amp;"]")),FALSE)),
IF(VLOOKUP($A599, YES_Reading_FLA[], COLUMN(INDIRECT("YES_Reading_FLA[Max Expectation - Per "&amp;VLOOKUP($D$2, 'Reading Report Logic'!$A$2:$B$8, 2, FALSE)&amp;"]")),FALSE)="", "", VLOOKUP($A599,YES_Reading_FLA[],COLUMN(INDIRECT("YES_Reading_FLA[Max Expectation - Per "&amp;VLOOKUP($D$2, 'Reading Report Logic'!$A$2:$B$8, 2, FALSE)&amp;"]")),FALSE))),""))),"")</f>
        <v/>
      </c>
      <c r="G599" s="205" t="str" cm="1">
        <f t="array" aca="1" ref="G599" ca="1">IFERROR(
IF($J$2="ELA",
IF(VLOOKUP($A599, YES_Reading_ELA[], COLUMN(INDIRECT("YES_Reading_ELA[Difference - Per "&amp;VLOOKUP($D$2, 'Reading Report Logic'!$A$2:$B$8, 2, FALSE)&amp;"]")), FALSE)="", "",
VLOOKUP($A599,YES_Reading_ELA[], COLUMN(INDIRECT("YES_Reading_ELA[Difference - Per "&amp;VLOOKUP($D$2,'Reading Report Logic'!$A$2:$B$8,2,FALSE)&amp;"]")), FALSE)),
IF($J$2="FLA",
IF(VLOOKUP($A599, YES_Reading_FLA[], COLUMN(INDIRECT("YES_Reading_FLA[Difference - Per "&amp;VLOOKUP($D$2,'Reading Report Logic'!$A$2:$B$8,2,FALSE)&amp;"]")),FALSE)="","",
VLOOKUP($A599,YES_Reading_FLA[],COLUMN(INDIRECT("YES_Reading_FLA[Difference - Per "&amp;VLOOKUP($D$2,'Reading Report Logic'!$A$2:$B$8,2,FALSE)&amp;"]")),FALSE)),
IF($J$2="Combined",
IFERROR(
IF(VLOOKUP($A599, YES_Reading_ELA[], COLUMN(INDIRECT("YES_Reading_ELA[Difference - Per "&amp;VLOOKUP($D$2, 'Reading Report Logic'!$A$2:$B$8,2,FALSE)&amp;"]")), FALSE)="", "",
VLOOKUP($A599,YES_Reading_ELA[],COLUMN(INDIRECT("YES_Reading_ELA[Difference - Per "&amp;VLOOKUP($D$2,'Reading Report Logic'!$A$2:$B$8,2,FALSE)&amp;"]")),FALSE)),
IF(VLOOKUP($A599, YES_Reading_FLA[], COLUMN(INDIRECT("YES_Reading_FLA[Difference - Per "&amp;VLOOKUP($D$2, 'Reading Report Logic'!$A$2:$B$8, 2, FALSE)&amp;"]")),FALSE)="", "", VLOOKUP($A599,YES_Reading_FLA[],COLUMN(INDIRECT("YES_Reading_FLA[Difference - Per "&amp;VLOOKUP($D$2, 'Reading Report Logic'!$A$2:$B$8, 2, FALSE)&amp;"]")),FALSE))),""))),"")</f>
        <v/>
      </c>
      <c r="H599" s="206" t="str">
        <f ca="1">IFERROR(VLOOKUP('Teacher Reading Pull Sheets'!$D599,_xlfn.VSTACK('ELA Reading Logic'!$A$22:$B$48,'FLA Reading Logic'!$A$22:$B$53),2,FALSE)-VLOOKUP('Teacher Reading Pull Sheets'!$C599,_xlfn.VSTACK('ELA Reading Logic'!$A$22:$B$48,'FLA Reading Logic'!$A$22:$B$53),2,FALSE),"")</f>
        <v/>
      </c>
      <c r="I599" s="205"/>
      <c r="J599" s="206"/>
      <c r="K599" s="24" t="str" cm="1">
        <f t="array" aca="1" ref="K599" ca="1">IFERROR(
IF($J$2="ELA",
IF(VLOOKUP($A599, YES_Reading_ELA[], COLUMN(YES_Reading_ELA[Self-Identified as African Descent]), FALSE)="", "",
VLOOKUP($A599,YES_Reading_ELA[], COLUMN(YES_Reading_ELA[Self-Identified as African Descent]), FALSE)),
IF($J$2="FLA",
IF(VLOOKUP($A599, YES_Reading_FLA[], COLUMN(YES_Reading_FLA[Self-Identified as African Descent]),FALSE)="","",
VLOOKUP($A599,YES_Reading_FLA[],COLUMN(YES_Reading_FLA[Self-Identified as African Descent]),FALSE)),
IF($J$2="Combined",
IFERROR(
IF(VLOOKUP($A599, YES_Reading_ELA[], COLUMN(YES_Reading_ELA[Self-Identified as African Descent]), FALSE)="", "",
VLOOKUP($A599,YES_Reading_ELA[],COLUMN(YES_Reading_ELA[Self-Identified as African Descent]),FALSE)),
IF(VLOOKUP($A599, YES_Reading_FLA[], COLUMN(YES_Reading_FLA[Self-Identified as African Descent]),FALSE)="", "", VLOOKUP($A599,YES_Reading_FLA[],COLUMN(YES_Reading_FLA[Self-Identified as African Descent]),FALSE))),""))),"")</f>
        <v/>
      </c>
      <c r="L599" s="199" t="str" cm="1">
        <f t="array" aca="1" ref="L599" ca="1">IFERROR(
IF($J$2="ELA",
IF(VLOOKUP($A599, YES_Reading_ELA[], COLUMN(YES_Reading_ELA[Self-Identified as Indigenous]), FALSE)="", "",
VLOOKUP($A599,YES_Reading_ELA[], COLUMN(YES_Reading_ELA[Self-Identified as Indigenous]), FALSE)),
IF($J$2="FLA",
IF(VLOOKUP($A599, YES_Reading_FLA[], COLUMN(YES_Reading_FLA[Self-Identified as Indigenous]),FALSE)="","",
VLOOKUP($A599,YES_Reading_FLA[],COLUMN(YES_Reading_FLA[Self-Identified as Indigenous]),FALSE)),
IF($J$2="Combined",
IFERROR(
IF(VLOOKUP($A599, YES_Reading_ELA[], COLUMN(YES_Reading_ELA[Self-Identified as Indigenous]), FALSE)="", "",
VLOOKUP($A599,YES_Reading_ELA[],COLUMN(YES_Reading_ELA[Self-Identified as Indigenous]),FALSE)),
IF(VLOOKUP($A599, YES_Reading_FLA[], COLUMN(YES_Reading_FLA[Self-Identified as Indigenous]),FALSE)="", "", VLOOKUP($A599,YES_Reading_FLA[],COLUMN(YES_Reading_FLA[Self-Identified as Indigenous]),FALSE))),""))),"")</f>
        <v/>
      </c>
    </row>
    <row r="600" spans="1:12" ht="19.5" customHeight="1" x14ac:dyDescent="0.25">
      <c r="A600" s="217"/>
      <c r="B600" s="220" t="str">
        <f>IFERROR(VLOOKUP(A600,_xlfn.VSTACK(YES_Reading_ELA[],YES_Reading_FLA[]),2,FALSE),"")</f>
        <v/>
      </c>
      <c r="C600" s="203" t="str" cm="1">
        <f t="array" aca="1" ref="C600" ca="1">IFERROR(
IF($J$2="ELA",
IF(VLOOKUP($A600, YES_Reading_ELA[], COLUMN(IF(VLOOKUP($D$2, 'Reading Report Logic'!$A$2:$B$8, 2, FALSE)=1, YES_Reading_ELA[Reading Level June of Previous School Year], INDIRECT("YES_Reading_ELA[Instructional Reading Level - Per "&amp;(VLOOKUP($D$2,'Reading Report Logic'!$A$2:$B$8,2,FALSE)-1)&amp;"]"))), FALSE)="", "",
VLOOKUP($A600,YES_Reading_ELA[], COLUMN(IF(VLOOKUP($D$2,'Reading Report Logic'!$A$2:$B$8,2,FALSE)=1, YES_Reading_ELA[Reading Level June of Previous School Year],INDIRECT("YES_Reading_ELA[Instructional Reading Level - Per "&amp;(VLOOKUP($D$2,'Reading Report Logic'!$A$2:$B$8,2,FALSE)-1)&amp;"]"))), FALSE)),
IF($J$2="FLA",
IF(VLOOKUP($A600, YES_Reading_FLA[], COLUMN(IF(VLOOKUP($D$2,'Reading Report Logic'!$A$2:$B$8,2,FALSE)=1, YES_Reading_FLA[Reading Level June of Previous School Year],INDIRECT("YES_Reading_FLA[Instructional Reading Level - Per "&amp;(VLOOKUP($D$2,'Reading Report Logic'!$A$2:$B$8,2,FALSE)-1)&amp;"]"))),FALSE)="","",
VLOOKUP($A600,YES_Reading_FLA[], COLUMN(IF(VLOOKUP($D$2,'Reading Report Logic'!$A$2:$B$8,2,FALSE)=1, YES_Reading_FLA[Reading Level June of Previous School Year],INDIRECT("YES_Reading_FLA[Instructional Reading Level - Per "&amp;(VLOOKUP($D$2,'Reading Report Logic'!$A$2:$B$8,2,FALSE)-1)&amp;"]"))),FALSE)),
IF($J$2="Combined",
IFERROR(
IF(VLOOKUP($A600, YES_Reading_ELA[], COLUMN(IF(VLOOKUP($D$2,'Reading Report Logic'!$A$2:$B$8,2,FALSE)=1, YES_Reading_ELA[Reading Level June of Previous School Year],INDIRECT("YES_Reading_ELA[Instructional Reading Level - Per "&amp;(VLOOKUP($D$2,'Reading Report Logic'!$A$2:$B$8,2,FALSE)-1)&amp;"]"))), FALSE)="", "",
VLOOKUP($A600,YES_Reading_ELA[],COLUMN(IF(VLOOKUP($D$2,'Reading Report Logic'!$A$2:$B$8,2,FALSE)=1, YES_Reading_ELA[Reading Level June of Previous School Year],INDIRECT("YES_Reading_ELA[Instructional Reading Level - Per "&amp;(VLOOKUP($D$2,'Reading Report Logic'!$A$2:$B$8,2,FALSE)-1)&amp;"]"))),FALSE)),
IF(VLOOKUP($A600, YES_Reading_FLA[], COLUMN(IF(VLOOKUP($D$2,'Reading Report Logic'!$A$2:$B$8,2,FALSE)=1, YES_Reading_FLA[Reading Level June of Previous School Year],INDIRECT("YES_Reading_FLA[Instructional Reading Level - Per "&amp;(VLOOKUP($D$2,'Reading Report Logic'!$A$2:$B$8,2,FALSE)-1)&amp;"]"))),FALSE)="", "", VLOOKUP($A600,YES_Reading_FLA[],COLUMN(IF(VLOOKUP($D$2,'Reading Report Logic'!$A$2:$B$8,2,FALSE)=1, YES_Reading_FLA[Reading Level June of Previous School Year],INDIRECT("YES_Reading_FLA[Instructional Reading Level - Per "&amp;(VLOOKUP($D$2,'Reading Report Logic'!$A$2:$B$8,2,FALSE)-1)&amp;"]"))), FALSE))),""))),"")</f>
        <v/>
      </c>
      <c r="D600" s="204" t="str" cm="1">
        <f t="array" aca="1" ref="D600" ca="1">IFERROR(
IF($J$2="ELA",
IF(VLOOKUP($A600, YES_Reading_ELA[], COLUMN(INDIRECT("YES_Reading_ELA[Instructional Reading Level - Per "&amp;VLOOKUP($D$2, 'Reading Report Logic'!$A$2:$B$8, 2, FALSE)&amp;"]")), FALSE)="", "",
VLOOKUP($A600,YES_Reading_ELA[], COLUMN(INDIRECT("YES_Reading_ELA[Instructional Reading Level - Per "&amp;VLOOKUP($D$2,'Reading Report Logic'!$A$2:$B$8,2,FALSE)&amp;"]")), FALSE)),
IF($J$2="FLA",
IF(VLOOKUP($A600, YES_Reading_FLA[], COLUMN(INDIRECT("YES_Reading_FLA[Instructional Reading Level - Per "&amp;VLOOKUP($D$2,'Reading Report Logic'!$A$2:$B$8,2,FALSE)&amp;"]")),FALSE)="","",
VLOOKUP($A600,YES_Reading_FLA[],COLUMN(INDIRECT("YES_Reading_FLA[Instructional Reading Level - Per "&amp;VLOOKUP($D$2,'Reading Report Logic'!$A$2:$B$8,2,FALSE)&amp;"]")),FALSE)),
IF($J$2="Combined",
IFERROR(
IF(VLOOKUP($A600, YES_Reading_ELA[], COLUMN(INDIRECT("YES_Reading_ELA[Instructional Reading Level - Per "&amp;VLOOKUP($D$2, 'Reading Report Logic'!$A$2:$B$8,2,FALSE)&amp;"]")), FALSE)="", "",
VLOOKUP($A600,YES_Reading_ELA[],COLUMN(INDIRECT("YES_Reading_ELA[Instructional Reading Level - Per "&amp;VLOOKUP($D$2,'Reading Report Logic'!$A$2:$B$8,2,FALSE)&amp;"]")),FALSE)),
IF(VLOOKUP($A600, YES_Reading_FLA[], COLUMN(INDIRECT("YES_Reading_FLA[Instructional Reading Level - Per "&amp;VLOOKUP($D$2, 'Reading Report Logic'!$A$2:$B$8, 2, FALSE)&amp;"]")),FALSE)="", "", VLOOKUP($A600,YES_Reading_FLA[],COLUMN(INDIRECT("YES_Reading_FLA[Instructional Reading Level - Per "&amp;VLOOKUP($D$2, 'Reading Report Logic'!$A$2:$B$8, 2, FALSE)&amp;"]")),FALSE))),""))),"")</f>
        <v/>
      </c>
      <c r="E600" s="205" t="str" cm="1">
        <f t="array" aca="1" ref="E600" ca="1">IFERROR(
IF($J$2="ELA",
IF(VLOOKUP($A600, YES_Reading_ELA[], COLUMN(INDIRECT("YES_Reading_ELA[Min Expectation - Per "&amp;VLOOKUP($D$2, 'Reading Report Logic'!$A$2:$B$8, 2, FALSE)&amp;"]")), FALSE)="", "",
VLOOKUP($A600,YES_Reading_ELA[], COLUMN(INDIRECT("YES_Reading_ELA[Min Expectation - Per "&amp;VLOOKUP($D$2,'Reading Report Logic'!$A$2:$B$8,2,FALSE)&amp;"]")), FALSE)),
IF($J$2="FLA",
IF(VLOOKUP($A600, YES_Reading_FLA[], COLUMN(INDIRECT("YES_Reading_FLA[Min Expectation - Per "&amp;VLOOKUP($D$2,'Reading Report Logic'!$A$2:$B$8,2,FALSE)&amp;"]")),FALSE)="","",
VLOOKUP($A600,YES_Reading_FLA[],COLUMN(INDIRECT("YES_Reading_FLA[Min Expectation - Per "&amp;VLOOKUP($D$2,'Reading Report Logic'!$A$2:$B$8,2,FALSE)&amp;"]")),FALSE)),
IF($J$2="Combined",
IFERROR(
IF(VLOOKUP($A600, YES_Reading_ELA[], COLUMN(INDIRECT("YES_Reading_ELA[Min Expectation - Per "&amp;VLOOKUP($D$2, 'Reading Report Logic'!$A$2:$B$8,2,FALSE)&amp;"]")), FALSE)="", "",
VLOOKUP($A600,YES_Reading_ELA[],COLUMN(INDIRECT("YES_Reading_ELA[Min Expectation - Per "&amp;VLOOKUP($D$2,'Reading Report Logic'!$A$2:$B$8,2,FALSE)&amp;"]")),FALSE)),
IF(VLOOKUP($A600, YES_Reading_FLA[], COLUMN(INDIRECT("YES_Reading_FLA[Min Expectation - Per "&amp;VLOOKUP($D$2, 'Reading Report Logic'!$A$2:$B$8, 2, FALSE)&amp;"]")),FALSE)="", "", VLOOKUP($A600,YES_Reading_FLA[],COLUMN(INDIRECT("YES_Reading_FLA[Min Expectation - Per "&amp;VLOOKUP($D$2, 'Reading Report Logic'!$A$2:$B$8, 2, FALSE)&amp;"]")),FALSE))),""))),"")</f>
        <v/>
      </c>
      <c r="F600" s="205" t="str" cm="1">
        <f t="array" aca="1" ref="F600" ca="1">IFERROR(
IF($J$2="ELA",
IF(VLOOKUP($A600, YES_Reading_ELA[], COLUMN(INDIRECT("YES_Reading_ELA[Max Expectation - Per "&amp;VLOOKUP($D$2, 'Reading Report Logic'!$A$2:$B$8, 2, FALSE)&amp;"]")), FALSE)="", "",
VLOOKUP($A600,YES_Reading_ELA[], COLUMN(INDIRECT("YES_Reading_ELA[Max Expectation - Per "&amp;VLOOKUP($D$2,'Reading Report Logic'!$A$2:$B$8,2,FALSE)&amp;"]")), FALSE)),
IF($J$2="FLA",
IF(VLOOKUP($A600, YES_Reading_FLA[], COLUMN(INDIRECT("YES_Reading_FLA[Max Expectation - Per "&amp;VLOOKUP($D$2,'Reading Report Logic'!$A$2:$B$8,2,FALSE)&amp;"]")),FALSE)="","",
VLOOKUP($A600,YES_Reading_FLA[],COLUMN(INDIRECT("YES_Reading_FLA[Max Expectation - Per "&amp;VLOOKUP($D$2,'Reading Report Logic'!$A$2:$B$8,2,FALSE)&amp;"]")),FALSE)),
IF($J$2="Combined",
IFERROR(
IF(VLOOKUP($A600, YES_Reading_ELA[], COLUMN(INDIRECT("YES_Reading_ELA[Max Expectation - Per "&amp;VLOOKUP($D$2, 'Reading Report Logic'!$A$2:$B$8,2,FALSE)&amp;"]")), FALSE)="", "",
VLOOKUP($A600,YES_Reading_ELA[],COLUMN(INDIRECT("YES_Reading_ELA[Max Expectation - Per "&amp;VLOOKUP($D$2,'Reading Report Logic'!$A$2:$B$8,2,FALSE)&amp;"]")),FALSE)),
IF(VLOOKUP($A600, YES_Reading_FLA[], COLUMN(INDIRECT("YES_Reading_FLA[Max Expectation - Per "&amp;VLOOKUP($D$2, 'Reading Report Logic'!$A$2:$B$8, 2, FALSE)&amp;"]")),FALSE)="", "", VLOOKUP($A600,YES_Reading_FLA[],COLUMN(INDIRECT("YES_Reading_FLA[Max Expectation - Per "&amp;VLOOKUP($D$2, 'Reading Report Logic'!$A$2:$B$8, 2, FALSE)&amp;"]")),FALSE))),""))),"")</f>
        <v/>
      </c>
      <c r="G600" s="205" t="str" cm="1">
        <f t="array" aca="1" ref="G600" ca="1">IFERROR(
IF($J$2="ELA",
IF(VLOOKUP($A600, YES_Reading_ELA[], COLUMN(INDIRECT("YES_Reading_ELA[Difference - Per "&amp;VLOOKUP($D$2, 'Reading Report Logic'!$A$2:$B$8, 2, FALSE)&amp;"]")), FALSE)="", "",
VLOOKUP($A600,YES_Reading_ELA[], COLUMN(INDIRECT("YES_Reading_ELA[Difference - Per "&amp;VLOOKUP($D$2,'Reading Report Logic'!$A$2:$B$8,2,FALSE)&amp;"]")), FALSE)),
IF($J$2="FLA",
IF(VLOOKUP($A600, YES_Reading_FLA[], COLUMN(INDIRECT("YES_Reading_FLA[Difference - Per "&amp;VLOOKUP($D$2,'Reading Report Logic'!$A$2:$B$8,2,FALSE)&amp;"]")),FALSE)="","",
VLOOKUP($A600,YES_Reading_FLA[],COLUMN(INDIRECT("YES_Reading_FLA[Difference - Per "&amp;VLOOKUP($D$2,'Reading Report Logic'!$A$2:$B$8,2,FALSE)&amp;"]")),FALSE)),
IF($J$2="Combined",
IFERROR(
IF(VLOOKUP($A600, YES_Reading_ELA[], COLUMN(INDIRECT("YES_Reading_ELA[Difference - Per "&amp;VLOOKUP($D$2, 'Reading Report Logic'!$A$2:$B$8,2,FALSE)&amp;"]")), FALSE)="", "",
VLOOKUP($A600,YES_Reading_ELA[],COLUMN(INDIRECT("YES_Reading_ELA[Difference - Per "&amp;VLOOKUP($D$2,'Reading Report Logic'!$A$2:$B$8,2,FALSE)&amp;"]")),FALSE)),
IF(VLOOKUP($A600, YES_Reading_FLA[], COLUMN(INDIRECT("YES_Reading_FLA[Difference - Per "&amp;VLOOKUP($D$2, 'Reading Report Logic'!$A$2:$B$8, 2, FALSE)&amp;"]")),FALSE)="", "", VLOOKUP($A600,YES_Reading_FLA[],COLUMN(INDIRECT("YES_Reading_FLA[Difference - Per "&amp;VLOOKUP($D$2, 'Reading Report Logic'!$A$2:$B$8, 2, FALSE)&amp;"]")),FALSE))),""))),"")</f>
        <v/>
      </c>
      <c r="H600" s="206" t="str">
        <f ca="1">IFERROR(VLOOKUP('Teacher Reading Pull Sheets'!$D600,_xlfn.VSTACK('ELA Reading Logic'!$A$22:$B$48,'FLA Reading Logic'!$A$22:$B$53),2,FALSE)-VLOOKUP('Teacher Reading Pull Sheets'!$C600,_xlfn.VSTACK('ELA Reading Logic'!$A$22:$B$48,'FLA Reading Logic'!$A$22:$B$53),2,FALSE),"")</f>
        <v/>
      </c>
      <c r="I600" s="212"/>
      <c r="J600" s="206"/>
      <c r="K600" s="197" t="str" cm="1">
        <f t="array" ref="K600">IFERROR(
IF($J$2="ELA",
IF(VLOOKUP($A600, YES_Reading_ELA[], COLUMN(YES_Reading_ELA[Self-Identified as African Descent]), FALSE)="", "",
VLOOKUP($A600,YES_Reading_ELA[], COLUMN(YES_Reading_ELA[Self-Identified as African Descent]), FALSE)),
IF($J$2="FLA",
IF(VLOOKUP($A600, YES_Reading_FLA[], COLUMN(YES_Reading_FLA[Self-Identified as African Descent]),FALSE)="","",
VLOOKUP($A600,YES_Reading_FLA[],COLUMN(YES_Reading_FLA[Self-Identified as African Descent]),FALSE)),
IF($J$2="Combined",
IFERROR(
IF(VLOOKUP($A600, YES_Reading_ELA[], COLUMN(YES_Reading_ELA[Self-Identified as African Descent]), FALSE)="", "",
VLOOKUP($A600,YES_Reading_ELA[],COLUMN(YES_Reading_ELA[Self-Identified as African Descent]),FALSE)),
IF(VLOOKUP($A600, YES_Reading_FLA[], COLUMN(YES_Reading_FLA[Self-Identified as African Descent]),FALSE)="", "", VLOOKUP($A600,YES_Reading_FLA[],COLUMN(YES_Reading_FLA[Self-Identified as African Descent]),FALSE))),""))),"")</f>
        <v/>
      </c>
      <c r="L600" s="73" t="str" cm="1">
        <f t="array" ref="L600">IFERROR(
IF($J$2="ELA",
IF(VLOOKUP($A600, YES_Reading_ELA[], COLUMN(YES_Reading_ELA[Self-Identified as Indigenous]), FALSE)="", "",
VLOOKUP($A600,YES_Reading_ELA[], COLUMN(YES_Reading_ELA[Self-Identified as Indigenous]), FALSE)),
IF($J$2="FLA",
IF(VLOOKUP($A600, YES_Reading_FLA[], COLUMN(YES_Reading_FLA[Self-Identified as Indigenous]),FALSE)="","",
VLOOKUP($A600,YES_Reading_FLA[],COLUMN(YES_Reading_FLA[Self-Identified as Indigenous]),FALSE)),
IF($J$2="Combined",
IFERROR(
IF(VLOOKUP($A600, YES_Reading_ELA[], COLUMN(YES_Reading_ELA[Self-Identified as Indigenous]), FALSE)="", "",
VLOOKUP($A600,YES_Reading_ELA[],COLUMN(YES_Reading_ELA[Self-Identified as Indigenous]),FALSE)),
IF(VLOOKUP($A600, YES_Reading_FLA[], COLUMN(YES_Reading_FLA[Self-Identified as Indigenous]),FALSE)="", "", VLOOKUP($A600,YES_Reading_FLA[],COLUMN(YES_Reading_FLA[Self-Identified as Indigenous]),FALSE))),""))),"")</f>
        <v/>
      </c>
    </row>
    <row r="601" spans="1:12" ht="19.5" customHeight="1" x14ac:dyDescent="0.25">
      <c r="A601" s="217"/>
      <c r="B601" s="220" t="str">
        <f>IFERROR(VLOOKUP(A601,_xlfn.VSTACK(YES_Reading_ELA[],YES_Reading_FLA[]),2,FALSE),"")</f>
        <v/>
      </c>
      <c r="C601" s="203" t="str" cm="1">
        <f t="array" aca="1" ref="C601" ca="1">IFERROR(
IF($J$2="ELA",
IF(VLOOKUP($A601, YES_Reading_ELA[], COLUMN(IF(VLOOKUP($D$2, 'Reading Report Logic'!$A$2:$B$8, 2, FALSE)=1, YES_Reading_ELA[Reading Level June of Previous School Year], INDIRECT("YES_Reading_ELA[Instructional Reading Level - Per "&amp;(VLOOKUP($D$2,'Reading Report Logic'!$A$2:$B$8,2,FALSE)-1)&amp;"]"))), FALSE)="", "",
VLOOKUP($A601,YES_Reading_ELA[], COLUMN(IF(VLOOKUP($D$2,'Reading Report Logic'!$A$2:$B$8,2,FALSE)=1, YES_Reading_ELA[Reading Level June of Previous School Year],INDIRECT("YES_Reading_ELA[Instructional Reading Level - Per "&amp;(VLOOKUP($D$2,'Reading Report Logic'!$A$2:$B$8,2,FALSE)-1)&amp;"]"))), FALSE)),
IF($J$2="FLA",
IF(VLOOKUP($A601, YES_Reading_FLA[], COLUMN(IF(VLOOKUP($D$2,'Reading Report Logic'!$A$2:$B$8,2,FALSE)=1, YES_Reading_FLA[Reading Level June of Previous School Year],INDIRECT("YES_Reading_FLA[Instructional Reading Level - Per "&amp;(VLOOKUP($D$2,'Reading Report Logic'!$A$2:$B$8,2,FALSE)-1)&amp;"]"))),FALSE)="","",
VLOOKUP($A601,YES_Reading_FLA[], COLUMN(IF(VLOOKUP($D$2,'Reading Report Logic'!$A$2:$B$8,2,FALSE)=1, YES_Reading_FLA[Reading Level June of Previous School Year],INDIRECT("YES_Reading_FLA[Instructional Reading Level - Per "&amp;(VLOOKUP($D$2,'Reading Report Logic'!$A$2:$B$8,2,FALSE)-1)&amp;"]"))),FALSE)),
IF($J$2="Combined",
IFERROR(
IF(VLOOKUP($A601, YES_Reading_ELA[], COLUMN(IF(VLOOKUP($D$2,'Reading Report Logic'!$A$2:$B$8,2,FALSE)=1, YES_Reading_ELA[Reading Level June of Previous School Year],INDIRECT("YES_Reading_ELA[Instructional Reading Level - Per "&amp;(VLOOKUP($D$2,'Reading Report Logic'!$A$2:$B$8,2,FALSE)-1)&amp;"]"))), FALSE)="", "",
VLOOKUP($A601,YES_Reading_ELA[],COLUMN(IF(VLOOKUP($D$2,'Reading Report Logic'!$A$2:$B$8,2,FALSE)=1, YES_Reading_ELA[Reading Level June of Previous School Year],INDIRECT("YES_Reading_ELA[Instructional Reading Level - Per "&amp;(VLOOKUP($D$2,'Reading Report Logic'!$A$2:$B$8,2,FALSE)-1)&amp;"]"))),FALSE)),
IF(VLOOKUP($A601, YES_Reading_FLA[], COLUMN(IF(VLOOKUP($D$2,'Reading Report Logic'!$A$2:$B$8,2,FALSE)=1, YES_Reading_FLA[Reading Level June of Previous School Year],INDIRECT("YES_Reading_FLA[Instructional Reading Level - Per "&amp;(VLOOKUP($D$2,'Reading Report Logic'!$A$2:$B$8,2,FALSE)-1)&amp;"]"))),FALSE)="", "", VLOOKUP($A601,YES_Reading_FLA[],COLUMN(IF(VLOOKUP($D$2,'Reading Report Logic'!$A$2:$B$8,2,FALSE)=1, YES_Reading_FLA[Reading Level June of Previous School Year],INDIRECT("YES_Reading_FLA[Instructional Reading Level - Per "&amp;(VLOOKUP($D$2,'Reading Report Logic'!$A$2:$B$8,2,FALSE)-1)&amp;"]"))), FALSE))),""))),"")</f>
        <v/>
      </c>
      <c r="D601" s="204" t="str" cm="1">
        <f t="array" aca="1" ref="D601" ca="1">IFERROR(
IF($J$2="ELA",
IF(VLOOKUP($A601, YES_Reading_ELA[], COLUMN(INDIRECT("YES_Reading_ELA[Instructional Reading Level - Per "&amp;VLOOKUP($D$2, 'Reading Report Logic'!$A$2:$B$8, 2, FALSE)&amp;"]")), FALSE)="", "",
VLOOKUP($A601,YES_Reading_ELA[], COLUMN(INDIRECT("YES_Reading_ELA[Instructional Reading Level - Per "&amp;VLOOKUP($D$2,'Reading Report Logic'!$A$2:$B$8,2,FALSE)&amp;"]")), FALSE)),
IF($J$2="FLA",
IF(VLOOKUP($A601, YES_Reading_FLA[], COLUMN(INDIRECT("YES_Reading_FLA[Instructional Reading Level - Per "&amp;VLOOKUP($D$2,'Reading Report Logic'!$A$2:$B$8,2,FALSE)&amp;"]")),FALSE)="","",
VLOOKUP($A601,YES_Reading_FLA[],COLUMN(INDIRECT("YES_Reading_FLA[Instructional Reading Level - Per "&amp;VLOOKUP($D$2,'Reading Report Logic'!$A$2:$B$8,2,FALSE)&amp;"]")),FALSE)),
IF($J$2="Combined",
IFERROR(
IF(VLOOKUP($A601, YES_Reading_ELA[], COLUMN(INDIRECT("YES_Reading_ELA[Instructional Reading Level - Per "&amp;VLOOKUP($D$2, 'Reading Report Logic'!$A$2:$B$8,2,FALSE)&amp;"]")), FALSE)="", "",
VLOOKUP($A601,YES_Reading_ELA[],COLUMN(INDIRECT("YES_Reading_ELA[Instructional Reading Level - Per "&amp;VLOOKUP($D$2,'Reading Report Logic'!$A$2:$B$8,2,FALSE)&amp;"]")),FALSE)),
IF(VLOOKUP($A601, YES_Reading_FLA[], COLUMN(INDIRECT("YES_Reading_FLA[Instructional Reading Level - Per "&amp;VLOOKUP($D$2, 'Reading Report Logic'!$A$2:$B$8, 2, FALSE)&amp;"]")),FALSE)="", "", VLOOKUP($A601,YES_Reading_FLA[],COLUMN(INDIRECT("YES_Reading_FLA[Instructional Reading Level - Per "&amp;VLOOKUP($D$2, 'Reading Report Logic'!$A$2:$B$8, 2, FALSE)&amp;"]")),FALSE))),""))),"")</f>
        <v/>
      </c>
      <c r="E601" s="205" t="str" cm="1">
        <f t="array" aca="1" ref="E601" ca="1">IFERROR(
IF($J$2="ELA",
IF(VLOOKUP($A601, YES_Reading_ELA[], COLUMN(INDIRECT("YES_Reading_ELA[Min Expectation - Per "&amp;VLOOKUP($D$2, 'Reading Report Logic'!$A$2:$B$8, 2, FALSE)&amp;"]")), FALSE)="", "",
VLOOKUP($A601,YES_Reading_ELA[], COLUMN(INDIRECT("YES_Reading_ELA[Min Expectation - Per "&amp;VLOOKUP($D$2,'Reading Report Logic'!$A$2:$B$8,2,FALSE)&amp;"]")), FALSE)),
IF($J$2="FLA",
IF(VLOOKUP($A601, YES_Reading_FLA[], COLUMN(INDIRECT("YES_Reading_FLA[Min Expectation - Per "&amp;VLOOKUP($D$2,'Reading Report Logic'!$A$2:$B$8,2,FALSE)&amp;"]")),FALSE)="","",
VLOOKUP($A601,YES_Reading_FLA[],COLUMN(INDIRECT("YES_Reading_FLA[Min Expectation - Per "&amp;VLOOKUP($D$2,'Reading Report Logic'!$A$2:$B$8,2,FALSE)&amp;"]")),FALSE)),
IF($J$2="Combined",
IFERROR(
IF(VLOOKUP($A601, YES_Reading_ELA[], COLUMN(INDIRECT("YES_Reading_ELA[Min Expectation - Per "&amp;VLOOKUP($D$2, 'Reading Report Logic'!$A$2:$B$8,2,FALSE)&amp;"]")), FALSE)="", "",
VLOOKUP($A601,YES_Reading_ELA[],COLUMN(INDIRECT("YES_Reading_ELA[Min Expectation - Per "&amp;VLOOKUP($D$2,'Reading Report Logic'!$A$2:$B$8,2,FALSE)&amp;"]")),FALSE)),
IF(VLOOKUP($A601, YES_Reading_FLA[], COLUMN(INDIRECT("YES_Reading_FLA[Min Expectation - Per "&amp;VLOOKUP($D$2, 'Reading Report Logic'!$A$2:$B$8, 2, FALSE)&amp;"]")),FALSE)="", "", VLOOKUP($A601,YES_Reading_FLA[],COLUMN(INDIRECT("YES_Reading_FLA[Min Expectation - Per "&amp;VLOOKUP($D$2, 'Reading Report Logic'!$A$2:$B$8, 2, FALSE)&amp;"]")),FALSE))),""))),"")</f>
        <v/>
      </c>
      <c r="F601" s="205" t="str" cm="1">
        <f t="array" aca="1" ref="F601" ca="1">IFERROR(
IF($J$2="ELA",
IF(VLOOKUP($A601, YES_Reading_ELA[], COLUMN(INDIRECT("YES_Reading_ELA[Max Expectation - Per "&amp;VLOOKUP($D$2, 'Reading Report Logic'!$A$2:$B$8, 2, FALSE)&amp;"]")), FALSE)="", "",
VLOOKUP($A601,YES_Reading_ELA[], COLUMN(INDIRECT("YES_Reading_ELA[Max Expectation - Per "&amp;VLOOKUP($D$2,'Reading Report Logic'!$A$2:$B$8,2,FALSE)&amp;"]")), FALSE)),
IF($J$2="FLA",
IF(VLOOKUP($A601, YES_Reading_FLA[], COLUMN(INDIRECT("YES_Reading_FLA[Max Expectation - Per "&amp;VLOOKUP($D$2,'Reading Report Logic'!$A$2:$B$8,2,FALSE)&amp;"]")),FALSE)="","",
VLOOKUP($A601,YES_Reading_FLA[],COLUMN(INDIRECT("YES_Reading_FLA[Max Expectation - Per "&amp;VLOOKUP($D$2,'Reading Report Logic'!$A$2:$B$8,2,FALSE)&amp;"]")),FALSE)),
IF($J$2="Combined",
IFERROR(
IF(VLOOKUP($A601, YES_Reading_ELA[], COLUMN(INDIRECT("YES_Reading_ELA[Max Expectation - Per "&amp;VLOOKUP($D$2, 'Reading Report Logic'!$A$2:$B$8,2,FALSE)&amp;"]")), FALSE)="", "",
VLOOKUP($A601,YES_Reading_ELA[],COLUMN(INDIRECT("YES_Reading_ELA[Max Expectation - Per "&amp;VLOOKUP($D$2,'Reading Report Logic'!$A$2:$B$8,2,FALSE)&amp;"]")),FALSE)),
IF(VLOOKUP($A601, YES_Reading_FLA[], COLUMN(INDIRECT("YES_Reading_FLA[Max Expectation - Per "&amp;VLOOKUP($D$2, 'Reading Report Logic'!$A$2:$B$8, 2, FALSE)&amp;"]")),FALSE)="", "", VLOOKUP($A601,YES_Reading_FLA[],COLUMN(INDIRECT("YES_Reading_FLA[Max Expectation - Per "&amp;VLOOKUP($D$2, 'Reading Report Logic'!$A$2:$B$8, 2, FALSE)&amp;"]")),FALSE))),""))),"")</f>
        <v/>
      </c>
      <c r="G601" s="205" t="str" cm="1">
        <f t="array" aca="1" ref="G601" ca="1">IFERROR(
IF($J$2="ELA",
IF(VLOOKUP($A601, YES_Reading_ELA[], COLUMN(INDIRECT("YES_Reading_ELA[Difference - Per "&amp;VLOOKUP($D$2, 'Reading Report Logic'!$A$2:$B$8, 2, FALSE)&amp;"]")), FALSE)="", "",
VLOOKUP($A601,YES_Reading_ELA[], COLUMN(INDIRECT("YES_Reading_ELA[Difference - Per "&amp;VLOOKUP($D$2,'Reading Report Logic'!$A$2:$B$8,2,FALSE)&amp;"]")), FALSE)),
IF($J$2="FLA",
IF(VLOOKUP($A601, YES_Reading_FLA[], COLUMN(INDIRECT("YES_Reading_FLA[Difference - Per "&amp;VLOOKUP($D$2,'Reading Report Logic'!$A$2:$B$8,2,FALSE)&amp;"]")),FALSE)="","",
VLOOKUP($A601,YES_Reading_FLA[],COLUMN(INDIRECT("YES_Reading_FLA[Difference - Per "&amp;VLOOKUP($D$2,'Reading Report Logic'!$A$2:$B$8,2,FALSE)&amp;"]")),FALSE)),
IF($J$2="Combined",
IFERROR(
IF(VLOOKUP($A601, YES_Reading_ELA[], COLUMN(INDIRECT("YES_Reading_ELA[Difference - Per "&amp;VLOOKUP($D$2, 'Reading Report Logic'!$A$2:$B$8,2,FALSE)&amp;"]")), FALSE)="", "",
VLOOKUP($A601,YES_Reading_ELA[],COLUMN(INDIRECT("YES_Reading_ELA[Difference - Per "&amp;VLOOKUP($D$2,'Reading Report Logic'!$A$2:$B$8,2,FALSE)&amp;"]")),FALSE)),
IF(VLOOKUP($A601, YES_Reading_FLA[], COLUMN(INDIRECT("YES_Reading_FLA[Difference - Per "&amp;VLOOKUP($D$2, 'Reading Report Logic'!$A$2:$B$8, 2, FALSE)&amp;"]")),FALSE)="", "", VLOOKUP($A601,YES_Reading_FLA[],COLUMN(INDIRECT("YES_Reading_FLA[Difference - Per "&amp;VLOOKUP($D$2, 'Reading Report Logic'!$A$2:$B$8, 2, FALSE)&amp;"]")),FALSE))),""))),"")</f>
        <v/>
      </c>
      <c r="H601" s="206" t="str">
        <f ca="1">IFERROR(VLOOKUP('Teacher Reading Pull Sheets'!$D601,_xlfn.VSTACK('ELA Reading Logic'!$A$22:$B$48,'FLA Reading Logic'!$A$22:$B$53),2,FALSE)-VLOOKUP('Teacher Reading Pull Sheets'!$C601,_xlfn.VSTACK('ELA Reading Logic'!$A$22:$B$48,'FLA Reading Logic'!$A$22:$B$53),2,FALSE),"")</f>
        <v/>
      </c>
      <c r="I601" s="212"/>
      <c r="J601" s="206"/>
      <c r="K601" s="197" t="str" cm="1">
        <f t="array" ref="K601">IFERROR(
IF($J$2="ELA",
IF(VLOOKUP($A601, YES_Reading_ELA[], COLUMN(YES_Reading_ELA[Self-Identified as African Descent]), FALSE)="", "",
VLOOKUP($A601,YES_Reading_ELA[], COLUMN(YES_Reading_ELA[Self-Identified as African Descent]), FALSE)),
IF($J$2="FLA",
IF(VLOOKUP($A601, YES_Reading_FLA[], COLUMN(YES_Reading_FLA[Self-Identified as African Descent]),FALSE)="","",
VLOOKUP($A601,YES_Reading_FLA[],COLUMN(YES_Reading_FLA[Self-Identified as African Descent]),FALSE)),
IF($J$2="Combined",
IFERROR(
IF(VLOOKUP($A601, YES_Reading_ELA[], COLUMN(YES_Reading_ELA[Self-Identified as African Descent]), FALSE)="", "",
VLOOKUP($A601,YES_Reading_ELA[],COLUMN(YES_Reading_ELA[Self-Identified as African Descent]),FALSE)),
IF(VLOOKUP($A601, YES_Reading_FLA[], COLUMN(YES_Reading_FLA[Self-Identified as African Descent]),FALSE)="", "", VLOOKUP($A601,YES_Reading_FLA[],COLUMN(YES_Reading_FLA[Self-Identified as African Descent]),FALSE))),""))),"")</f>
        <v/>
      </c>
      <c r="L601" s="73" t="str" cm="1">
        <f t="array" ref="L601">IFERROR(
IF($J$2="ELA",
IF(VLOOKUP($A601, YES_Reading_ELA[], COLUMN(YES_Reading_ELA[Self-Identified as Indigenous]), FALSE)="", "",
VLOOKUP($A601,YES_Reading_ELA[], COLUMN(YES_Reading_ELA[Self-Identified as Indigenous]), FALSE)),
IF($J$2="FLA",
IF(VLOOKUP($A601, YES_Reading_FLA[], COLUMN(YES_Reading_FLA[Self-Identified as Indigenous]),FALSE)="","",
VLOOKUP($A601,YES_Reading_FLA[],COLUMN(YES_Reading_FLA[Self-Identified as Indigenous]),FALSE)),
IF($J$2="Combined",
IFERROR(
IF(VLOOKUP($A601, YES_Reading_ELA[], COLUMN(YES_Reading_ELA[Self-Identified as Indigenous]), FALSE)="", "",
VLOOKUP($A601,YES_Reading_ELA[],COLUMN(YES_Reading_ELA[Self-Identified as Indigenous]),FALSE)),
IF(VLOOKUP($A601, YES_Reading_FLA[], COLUMN(YES_Reading_FLA[Self-Identified as Indigenous]),FALSE)="", "", VLOOKUP($A601,YES_Reading_FLA[],COLUMN(YES_Reading_FLA[Self-Identified as Indigenous]),FALSE))),""))),"")</f>
        <v/>
      </c>
    </row>
    <row r="602" spans="1:12" ht="19.5" customHeight="1" x14ac:dyDescent="0.25">
      <c r="A602" s="217"/>
      <c r="B602" s="220" t="str">
        <f>IFERROR(VLOOKUP(A602,_xlfn.VSTACK(YES_Reading_ELA[],YES_Reading_FLA[]),2,FALSE),"")</f>
        <v/>
      </c>
      <c r="C602" s="203" t="str" cm="1">
        <f t="array" aca="1" ref="C602" ca="1">IFERROR(
IF($J$2="ELA",
IF(VLOOKUP($A602, YES_Reading_ELA[], COLUMN(IF(VLOOKUP($D$2, 'Reading Report Logic'!$A$2:$B$8, 2, FALSE)=1, YES_Reading_ELA[Reading Level June of Previous School Year], INDIRECT("YES_Reading_ELA[Instructional Reading Level - Per "&amp;(VLOOKUP($D$2,'Reading Report Logic'!$A$2:$B$8,2,FALSE)-1)&amp;"]"))), FALSE)="", "",
VLOOKUP($A602,YES_Reading_ELA[], COLUMN(IF(VLOOKUP($D$2,'Reading Report Logic'!$A$2:$B$8,2,FALSE)=1, YES_Reading_ELA[Reading Level June of Previous School Year],INDIRECT("YES_Reading_ELA[Instructional Reading Level - Per "&amp;(VLOOKUP($D$2,'Reading Report Logic'!$A$2:$B$8,2,FALSE)-1)&amp;"]"))), FALSE)),
IF($J$2="FLA",
IF(VLOOKUP($A602, YES_Reading_FLA[], COLUMN(IF(VLOOKUP($D$2,'Reading Report Logic'!$A$2:$B$8,2,FALSE)=1, YES_Reading_FLA[Reading Level June of Previous School Year],INDIRECT("YES_Reading_FLA[Instructional Reading Level - Per "&amp;(VLOOKUP($D$2,'Reading Report Logic'!$A$2:$B$8,2,FALSE)-1)&amp;"]"))),FALSE)="","",
VLOOKUP($A602,YES_Reading_FLA[], COLUMN(IF(VLOOKUP($D$2,'Reading Report Logic'!$A$2:$B$8,2,FALSE)=1, YES_Reading_FLA[Reading Level June of Previous School Year],INDIRECT("YES_Reading_FLA[Instructional Reading Level - Per "&amp;(VLOOKUP($D$2,'Reading Report Logic'!$A$2:$B$8,2,FALSE)-1)&amp;"]"))),FALSE)),
IF($J$2="Combined",
IFERROR(
IF(VLOOKUP($A602, YES_Reading_ELA[], COLUMN(IF(VLOOKUP($D$2,'Reading Report Logic'!$A$2:$B$8,2,FALSE)=1, YES_Reading_ELA[Reading Level June of Previous School Year],INDIRECT("YES_Reading_ELA[Instructional Reading Level - Per "&amp;(VLOOKUP($D$2,'Reading Report Logic'!$A$2:$B$8,2,FALSE)-1)&amp;"]"))), FALSE)="", "",
VLOOKUP($A602,YES_Reading_ELA[],COLUMN(IF(VLOOKUP($D$2,'Reading Report Logic'!$A$2:$B$8,2,FALSE)=1, YES_Reading_ELA[Reading Level June of Previous School Year],INDIRECT("YES_Reading_ELA[Instructional Reading Level - Per "&amp;(VLOOKUP($D$2,'Reading Report Logic'!$A$2:$B$8,2,FALSE)-1)&amp;"]"))),FALSE)),
IF(VLOOKUP($A602, YES_Reading_FLA[], COLUMN(IF(VLOOKUP($D$2,'Reading Report Logic'!$A$2:$B$8,2,FALSE)=1, YES_Reading_FLA[Reading Level June of Previous School Year],INDIRECT("YES_Reading_FLA[Instructional Reading Level - Per "&amp;(VLOOKUP($D$2,'Reading Report Logic'!$A$2:$B$8,2,FALSE)-1)&amp;"]"))),FALSE)="", "", VLOOKUP($A602,YES_Reading_FLA[],COLUMN(IF(VLOOKUP($D$2,'Reading Report Logic'!$A$2:$B$8,2,FALSE)=1, YES_Reading_FLA[Reading Level June of Previous School Year],INDIRECT("YES_Reading_FLA[Instructional Reading Level - Per "&amp;(VLOOKUP($D$2,'Reading Report Logic'!$A$2:$B$8,2,FALSE)-1)&amp;"]"))), FALSE))),""))),"")</f>
        <v/>
      </c>
      <c r="D602" s="204" t="str" cm="1">
        <f t="array" aca="1" ref="D602" ca="1">IFERROR(
IF($J$2="ELA",
IF(VLOOKUP($A602, YES_Reading_ELA[], COLUMN(INDIRECT("YES_Reading_ELA[Instructional Reading Level - Per "&amp;VLOOKUP($D$2, 'Reading Report Logic'!$A$2:$B$8, 2, FALSE)&amp;"]")), FALSE)="", "",
VLOOKUP($A602,YES_Reading_ELA[], COLUMN(INDIRECT("YES_Reading_ELA[Instructional Reading Level - Per "&amp;VLOOKUP($D$2,'Reading Report Logic'!$A$2:$B$8,2,FALSE)&amp;"]")), FALSE)),
IF($J$2="FLA",
IF(VLOOKUP($A602, YES_Reading_FLA[], COLUMN(INDIRECT("YES_Reading_FLA[Instructional Reading Level - Per "&amp;VLOOKUP($D$2,'Reading Report Logic'!$A$2:$B$8,2,FALSE)&amp;"]")),FALSE)="","",
VLOOKUP($A602,YES_Reading_FLA[],COLUMN(INDIRECT("YES_Reading_FLA[Instructional Reading Level - Per "&amp;VLOOKUP($D$2,'Reading Report Logic'!$A$2:$B$8,2,FALSE)&amp;"]")),FALSE)),
IF($J$2="Combined",
IFERROR(
IF(VLOOKUP($A602, YES_Reading_ELA[], COLUMN(INDIRECT("YES_Reading_ELA[Instructional Reading Level - Per "&amp;VLOOKUP($D$2, 'Reading Report Logic'!$A$2:$B$8,2,FALSE)&amp;"]")), FALSE)="", "",
VLOOKUP($A602,YES_Reading_ELA[],COLUMN(INDIRECT("YES_Reading_ELA[Instructional Reading Level - Per "&amp;VLOOKUP($D$2,'Reading Report Logic'!$A$2:$B$8,2,FALSE)&amp;"]")),FALSE)),
IF(VLOOKUP($A602, YES_Reading_FLA[], COLUMN(INDIRECT("YES_Reading_FLA[Instructional Reading Level - Per "&amp;VLOOKUP($D$2, 'Reading Report Logic'!$A$2:$B$8, 2, FALSE)&amp;"]")),FALSE)="", "", VLOOKUP($A602,YES_Reading_FLA[],COLUMN(INDIRECT("YES_Reading_FLA[Instructional Reading Level - Per "&amp;VLOOKUP($D$2, 'Reading Report Logic'!$A$2:$B$8, 2, FALSE)&amp;"]")),FALSE))),""))),"")</f>
        <v/>
      </c>
      <c r="E602" s="205" t="str" cm="1">
        <f t="array" aca="1" ref="E602" ca="1">IFERROR(
IF($J$2="ELA",
IF(VLOOKUP($A602, YES_Reading_ELA[], COLUMN(INDIRECT("YES_Reading_ELA[Min Expectation - Per "&amp;VLOOKUP($D$2, 'Reading Report Logic'!$A$2:$B$8, 2, FALSE)&amp;"]")), FALSE)="", "",
VLOOKUP($A602,YES_Reading_ELA[], COLUMN(INDIRECT("YES_Reading_ELA[Min Expectation - Per "&amp;VLOOKUP($D$2,'Reading Report Logic'!$A$2:$B$8,2,FALSE)&amp;"]")), FALSE)),
IF($J$2="FLA",
IF(VLOOKUP($A602, YES_Reading_FLA[], COLUMN(INDIRECT("YES_Reading_FLA[Min Expectation - Per "&amp;VLOOKUP($D$2,'Reading Report Logic'!$A$2:$B$8,2,FALSE)&amp;"]")),FALSE)="","",
VLOOKUP($A602,YES_Reading_FLA[],COLUMN(INDIRECT("YES_Reading_FLA[Min Expectation - Per "&amp;VLOOKUP($D$2,'Reading Report Logic'!$A$2:$B$8,2,FALSE)&amp;"]")),FALSE)),
IF($J$2="Combined",
IFERROR(
IF(VLOOKUP($A602, YES_Reading_ELA[], COLUMN(INDIRECT("YES_Reading_ELA[Min Expectation - Per "&amp;VLOOKUP($D$2, 'Reading Report Logic'!$A$2:$B$8,2,FALSE)&amp;"]")), FALSE)="", "",
VLOOKUP($A602,YES_Reading_ELA[],COLUMN(INDIRECT("YES_Reading_ELA[Min Expectation - Per "&amp;VLOOKUP($D$2,'Reading Report Logic'!$A$2:$B$8,2,FALSE)&amp;"]")),FALSE)),
IF(VLOOKUP($A602, YES_Reading_FLA[], COLUMN(INDIRECT("YES_Reading_FLA[Min Expectation - Per "&amp;VLOOKUP($D$2, 'Reading Report Logic'!$A$2:$B$8, 2, FALSE)&amp;"]")),FALSE)="", "", VLOOKUP($A602,YES_Reading_FLA[],COLUMN(INDIRECT("YES_Reading_FLA[Min Expectation - Per "&amp;VLOOKUP($D$2, 'Reading Report Logic'!$A$2:$B$8, 2, FALSE)&amp;"]")),FALSE))),""))),"")</f>
        <v/>
      </c>
      <c r="F602" s="205" t="str" cm="1">
        <f t="array" aca="1" ref="F602" ca="1">IFERROR(
IF($J$2="ELA",
IF(VLOOKUP($A602, YES_Reading_ELA[], COLUMN(INDIRECT("YES_Reading_ELA[Max Expectation - Per "&amp;VLOOKUP($D$2, 'Reading Report Logic'!$A$2:$B$8, 2, FALSE)&amp;"]")), FALSE)="", "",
VLOOKUP($A602,YES_Reading_ELA[], COLUMN(INDIRECT("YES_Reading_ELA[Max Expectation - Per "&amp;VLOOKUP($D$2,'Reading Report Logic'!$A$2:$B$8,2,FALSE)&amp;"]")), FALSE)),
IF($J$2="FLA",
IF(VLOOKUP($A602, YES_Reading_FLA[], COLUMN(INDIRECT("YES_Reading_FLA[Max Expectation - Per "&amp;VLOOKUP($D$2,'Reading Report Logic'!$A$2:$B$8,2,FALSE)&amp;"]")),FALSE)="","",
VLOOKUP($A602,YES_Reading_FLA[],COLUMN(INDIRECT("YES_Reading_FLA[Max Expectation - Per "&amp;VLOOKUP($D$2,'Reading Report Logic'!$A$2:$B$8,2,FALSE)&amp;"]")),FALSE)),
IF($J$2="Combined",
IFERROR(
IF(VLOOKUP($A602, YES_Reading_ELA[], COLUMN(INDIRECT("YES_Reading_ELA[Max Expectation - Per "&amp;VLOOKUP($D$2, 'Reading Report Logic'!$A$2:$B$8,2,FALSE)&amp;"]")), FALSE)="", "",
VLOOKUP($A602,YES_Reading_ELA[],COLUMN(INDIRECT("YES_Reading_ELA[Max Expectation - Per "&amp;VLOOKUP($D$2,'Reading Report Logic'!$A$2:$B$8,2,FALSE)&amp;"]")),FALSE)),
IF(VLOOKUP($A602, YES_Reading_FLA[], COLUMN(INDIRECT("YES_Reading_FLA[Max Expectation - Per "&amp;VLOOKUP($D$2, 'Reading Report Logic'!$A$2:$B$8, 2, FALSE)&amp;"]")),FALSE)="", "", VLOOKUP($A602,YES_Reading_FLA[],COLUMN(INDIRECT("YES_Reading_FLA[Max Expectation - Per "&amp;VLOOKUP($D$2, 'Reading Report Logic'!$A$2:$B$8, 2, FALSE)&amp;"]")),FALSE))),""))),"")</f>
        <v/>
      </c>
      <c r="G602" s="205" t="str" cm="1">
        <f t="array" aca="1" ref="G602" ca="1">IFERROR(
IF($J$2="ELA",
IF(VLOOKUP($A602, YES_Reading_ELA[], COLUMN(INDIRECT("YES_Reading_ELA[Difference - Per "&amp;VLOOKUP($D$2, 'Reading Report Logic'!$A$2:$B$8, 2, FALSE)&amp;"]")), FALSE)="", "",
VLOOKUP($A602,YES_Reading_ELA[], COLUMN(INDIRECT("YES_Reading_ELA[Difference - Per "&amp;VLOOKUP($D$2,'Reading Report Logic'!$A$2:$B$8,2,FALSE)&amp;"]")), FALSE)),
IF($J$2="FLA",
IF(VLOOKUP($A602, YES_Reading_FLA[], COLUMN(INDIRECT("YES_Reading_FLA[Difference - Per "&amp;VLOOKUP($D$2,'Reading Report Logic'!$A$2:$B$8,2,FALSE)&amp;"]")),FALSE)="","",
VLOOKUP($A602,YES_Reading_FLA[],COLUMN(INDIRECT("YES_Reading_FLA[Difference - Per "&amp;VLOOKUP($D$2,'Reading Report Logic'!$A$2:$B$8,2,FALSE)&amp;"]")),FALSE)),
IF($J$2="Combined",
IFERROR(
IF(VLOOKUP($A602, YES_Reading_ELA[], COLUMN(INDIRECT("YES_Reading_ELA[Difference - Per "&amp;VLOOKUP($D$2, 'Reading Report Logic'!$A$2:$B$8,2,FALSE)&amp;"]")), FALSE)="", "",
VLOOKUP($A602,YES_Reading_ELA[],COLUMN(INDIRECT("YES_Reading_ELA[Difference - Per "&amp;VLOOKUP($D$2,'Reading Report Logic'!$A$2:$B$8,2,FALSE)&amp;"]")),FALSE)),
IF(VLOOKUP($A602, YES_Reading_FLA[], COLUMN(INDIRECT("YES_Reading_FLA[Difference - Per "&amp;VLOOKUP($D$2, 'Reading Report Logic'!$A$2:$B$8, 2, FALSE)&amp;"]")),FALSE)="", "", VLOOKUP($A602,YES_Reading_FLA[],COLUMN(INDIRECT("YES_Reading_FLA[Difference - Per "&amp;VLOOKUP($D$2, 'Reading Report Logic'!$A$2:$B$8, 2, FALSE)&amp;"]")),FALSE))),""))),"")</f>
        <v/>
      </c>
      <c r="H602" s="206" t="str">
        <f ca="1">IFERROR(VLOOKUP('Teacher Reading Pull Sheets'!$D602,_xlfn.VSTACK('ELA Reading Logic'!$A$22:$B$48,'FLA Reading Logic'!$A$22:$B$53),2,FALSE)-VLOOKUP('Teacher Reading Pull Sheets'!$C602,_xlfn.VSTACK('ELA Reading Logic'!$A$22:$B$48,'FLA Reading Logic'!$A$22:$B$53),2,FALSE),"")</f>
        <v/>
      </c>
      <c r="I602" s="212"/>
      <c r="J602" s="206"/>
      <c r="K602" s="197" t="str" cm="1">
        <f t="array" ref="K602">IFERROR(
IF($J$2="ELA",
IF(VLOOKUP($A602, YES_Reading_ELA[], COLUMN(YES_Reading_ELA[Self-Identified as African Descent]), FALSE)="", "",
VLOOKUP($A602,YES_Reading_ELA[], COLUMN(YES_Reading_ELA[Self-Identified as African Descent]), FALSE)),
IF($J$2="FLA",
IF(VLOOKUP($A602, YES_Reading_FLA[], COLUMN(YES_Reading_FLA[Self-Identified as African Descent]),FALSE)="","",
VLOOKUP($A602,YES_Reading_FLA[],COLUMN(YES_Reading_FLA[Self-Identified as African Descent]),FALSE)),
IF($J$2="Combined",
IFERROR(
IF(VLOOKUP($A602, YES_Reading_ELA[], COLUMN(YES_Reading_ELA[Self-Identified as African Descent]), FALSE)="", "",
VLOOKUP($A602,YES_Reading_ELA[],COLUMN(YES_Reading_ELA[Self-Identified as African Descent]),FALSE)),
IF(VLOOKUP($A602, YES_Reading_FLA[], COLUMN(YES_Reading_FLA[Self-Identified as African Descent]),FALSE)="", "", VLOOKUP($A602,YES_Reading_FLA[],COLUMN(YES_Reading_FLA[Self-Identified as African Descent]),FALSE))),""))),"")</f>
        <v/>
      </c>
      <c r="L602" s="73" t="str" cm="1">
        <f t="array" ref="L602">IFERROR(
IF($J$2="ELA",
IF(VLOOKUP($A602, YES_Reading_ELA[], COLUMN(YES_Reading_ELA[Self-Identified as Indigenous]), FALSE)="", "",
VLOOKUP($A602,YES_Reading_ELA[], COLUMN(YES_Reading_ELA[Self-Identified as Indigenous]), FALSE)),
IF($J$2="FLA",
IF(VLOOKUP($A602, YES_Reading_FLA[], COLUMN(YES_Reading_FLA[Self-Identified as Indigenous]),FALSE)="","",
VLOOKUP($A602,YES_Reading_FLA[],COLUMN(YES_Reading_FLA[Self-Identified as Indigenous]),FALSE)),
IF($J$2="Combined",
IFERROR(
IF(VLOOKUP($A602, YES_Reading_ELA[], COLUMN(YES_Reading_ELA[Self-Identified as Indigenous]), FALSE)="", "",
VLOOKUP($A602,YES_Reading_ELA[],COLUMN(YES_Reading_ELA[Self-Identified as Indigenous]),FALSE)),
IF(VLOOKUP($A602, YES_Reading_FLA[], COLUMN(YES_Reading_FLA[Self-Identified as Indigenous]),FALSE)="", "", VLOOKUP($A602,YES_Reading_FLA[],COLUMN(YES_Reading_FLA[Self-Identified as Indigenous]),FALSE))),""))),"")</f>
        <v/>
      </c>
    </row>
    <row r="603" spans="1:12" ht="19.5" customHeight="1" x14ac:dyDescent="0.25">
      <c r="A603" s="217"/>
      <c r="B603" s="220" t="str">
        <f>IFERROR(VLOOKUP(A603,_xlfn.VSTACK(YES_Reading_ELA[],YES_Reading_FLA[]),2,FALSE),"")</f>
        <v/>
      </c>
      <c r="C603" s="203" t="str" cm="1">
        <f t="array" aca="1" ref="C603" ca="1">IFERROR(
IF($J$2="ELA",
IF(VLOOKUP($A603, YES_Reading_ELA[], COLUMN(IF(VLOOKUP($D$2, 'Reading Report Logic'!$A$2:$B$8, 2, FALSE)=1, YES_Reading_ELA[Reading Level June of Previous School Year], INDIRECT("YES_Reading_ELA[Instructional Reading Level - Per "&amp;(VLOOKUP($D$2,'Reading Report Logic'!$A$2:$B$8,2,FALSE)-1)&amp;"]"))), FALSE)="", "",
VLOOKUP($A603,YES_Reading_ELA[], COLUMN(IF(VLOOKUP($D$2,'Reading Report Logic'!$A$2:$B$8,2,FALSE)=1, YES_Reading_ELA[Reading Level June of Previous School Year],INDIRECT("YES_Reading_ELA[Instructional Reading Level - Per "&amp;(VLOOKUP($D$2,'Reading Report Logic'!$A$2:$B$8,2,FALSE)-1)&amp;"]"))), FALSE)),
IF($J$2="FLA",
IF(VLOOKUP($A603, YES_Reading_FLA[], COLUMN(IF(VLOOKUP($D$2,'Reading Report Logic'!$A$2:$B$8,2,FALSE)=1, YES_Reading_FLA[Reading Level June of Previous School Year],INDIRECT("YES_Reading_FLA[Instructional Reading Level - Per "&amp;(VLOOKUP($D$2,'Reading Report Logic'!$A$2:$B$8,2,FALSE)-1)&amp;"]"))),FALSE)="","",
VLOOKUP($A603,YES_Reading_FLA[], COLUMN(IF(VLOOKUP($D$2,'Reading Report Logic'!$A$2:$B$8,2,FALSE)=1, YES_Reading_FLA[Reading Level June of Previous School Year],INDIRECT("YES_Reading_FLA[Instructional Reading Level - Per "&amp;(VLOOKUP($D$2,'Reading Report Logic'!$A$2:$B$8,2,FALSE)-1)&amp;"]"))),FALSE)),
IF($J$2="Combined",
IFERROR(
IF(VLOOKUP($A603, YES_Reading_ELA[], COLUMN(IF(VLOOKUP($D$2,'Reading Report Logic'!$A$2:$B$8,2,FALSE)=1, YES_Reading_ELA[Reading Level June of Previous School Year],INDIRECT("YES_Reading_ELA[Instructional Reading Level - Per "&amp;(VLOOKUP($D$2,'Reading Report Logic'!$A$2:$B$8,2,FALSE)-1)&amp;"]"))), FALSE)="", "",
VLOOKUP($A603,YES_Reading_ELA[],COLUMN(IF(VLOOKUP($D$2,'Reading Report Logic'!$A$2:$B$8,2,FALSE)=1, YES_Reading_ELA[Reading Level June of Previous School Year],INDIRECT("YES_Reading_ELA[Instructional Reading Level - Per "&amp;(VLOOKUP($D$2,'Reading Report Logic'!$A$2:$B$8,2,FALSE)-1)&amp;"]"))),FALSE)),
IF(VLOOKUP($A603, YES_Reading_FLA[], COLUMN(IF(VLOOKUP($D$2,'Reading Report Logic'!$A$2:$B$8,2,FALSE)=1, YES_Reading_FLA[Reading Level June of Previous School Year],INDIRECT("YES_Reading_FLA[Instructional Reading Level - Per "&amp;(VLOOKUP($D$2,'Reading Report Logic'!$A$2:$B$8,2,FALSE)-1)&amp;"]"))),FALSE)="", "", VLOOKUP($A603,YES_Reading_FLA[],COLUMN(IF(VLOOKUP($D$2,'Reading Report Logic'!$A$2:$B$8,2,FALSE)=1, YES_Reading_FLA[Reading Level June of Previous School Year],INDIRECT("YES_Reading_FLA[Instructional Reading Level - Per "&amp;(VLOOKUP($D$2,'Reading Report Logic'!$A$2:$B$8,2,FALSE)-1)&amp;"]"))), FALSE))),""))),"")</f>
        <v/>
      </c>
      <c r="D603" s="204" t="str" cm="1">
        <f t="array" aca="1" ref="D603" ca="1">IFERROR(
IF($J$2="ELA",
IF(VLOOKUP($A603, YES_Reading_ELA[], COLUMN(INDIRECT("YES_Reading_ELA[Instructional Reading Level - Per "&amp;VLOOKUP($D$2, 'Reading Report Logic'!$A$2:$B$8, 2, FALSE)&amp;"]")), FALSE)="", "",
VLOOKUP($A603,YES_Reading_ELA[], COLUMN(INDIRECT("YES_Reading_ELA[Instructional Reading Level - Per "&amp;VLOOKUP($D$2,'Reading Report Logic'!$A$2:$B$8,2,FALSE)&amp;"]")), FALSE)),
IF($J$2="FLA",
IF(VLOOKUP($A603, YES_Reading_FLA[], COLUMN(INDIRECT("YES_Reading_FLA[Instructional Reading Level - Per "&amp;VLOOKUP($D$2,'Reading Report Logic'!$A$2:$B$8,2,FALSE)&amp;"]")),FALSE)="","",
VLOOKUP($A603,YES_Reading_FLA[],COLUMN(INDIRECT("YES_Reading_FLA[Instructional Reading Level - Per "&amp;VLOOKUP($D$2,'Reading Report Logic'!$A$2:$B$8,2,FALSE)&amp;"]")),FALSE)),
IF($J$2="Combined",
IFERROR(
IF(VLOOKUP($A603, YES_Reading_ELA[], COLUMN(INDIRECT("YES_Reading_ELA[Instructional Reading Level - Per "&amp;VLOOKUP($D$2, 'Reading Report Logic'!$A$2:$B$8,2,FALSE)&amp;"]")), FALSE)="", "",
VLOOKUP($A603,YES_Reading_ELA[],COLUMN(INDIRECT("YES_Reading_ELA[Instructional Reading Level - Per "&amp;VLOOKUP($D$2,'Reading Report Logic'!$A$2:$B$8,2,FALSE)&amp;"]")),FALSE)),
IF(VLOOKUP($A603, YES_Reading_FLA[], COLUMN(INDIRECT("YES_Reading_FLA[Instructional Reading Level - Per "&amp;VLOOKUP($D$2, 'Reading Report Logic'!$A$2:$B$8, 2, FALSE)&amp;"]")),FALSE)="", "", VLOOKUP($A603,YES_Reading_FLA[],COLUMN(INDIRECT("YES_Reading_FLA[Instructional Reading Level - Per "&amp;VLOOKUP($D$2, 'Reading Report Logic'!$A$2:$B$8, 2, FALSE)&amp;"]")),FALSE))),""))),"")</f>
        <v/>
      </c>
      <c r="E603" s="205" t="str" cm="1">
        <f t="array" aca="1" ref="E603" ca="1">IFERROR(
IF($J$2="ELA",
IF(VLOOKUP($A603, YES_Reading_ELA[], COLUMN(INDIRECT("YES_Reading_ELA[Min Expectation - Per "&amp;VLOOKUP($D$2, 'Reading Report Logic'!$A$2:$B$8, 2, FALSE)&amp;"]")), FALSE)="", "",
VLOOKUP($A603,YES_Reading_ELA[], COLUMN(INDIRECT("YES_Reading_ELA[Min Expectation - Per "&amp;VLOOKUP($D$2,'Reading Report Logic'!$A$2:$B$8,2,FALSE)&amp;"]")), FALSE)),
IF($J$2="FLA",
IF(VLOOKUP($A603, YES_Reading_FLA[], COLUMN(INDIRECT("YES_Reading_FLA[Min Expectation - Per "&amp;VLOOKUP($D$2,'Reading Report Logic'!$A$2:$B$8,2,FALSE)&amp;"]")),FALSE)="","",
VLOOKUP($A603,YES_Reading_FLA[],COLUMN(INDIRECT("YES_Reading_FLA[Min Expectation - Per "&amp;VLOOKUP($D$2,'Reading Report Logic'!$A$2:$B$8,2,FALSE)&amp;"]")),FALSE)),
IF($J$2="Combined",
IFERROR(
IF(VLOOKUP($A603, YES_Reading_ELA[], COLUMN(INDIRECT("YES_Reading_ELA[Min Expectation - Per "&amp;VLOOKUP($D$2, 'Reading Report Logic'!$A$2:$B$8,2,FALSE)&amp;"]")), FALSE)="", "",
VLOOKUP($A603,YES_Reading_ELA[],COLUMN(INDIRECT("YES_Reading_ELA[Min Expectation - Per "&amp;VLOOKUP($D$2,'Reading Report Logic'!$A$2:$B$8,2,FALSE)&amp;"]")),FALSE)),
IF(VLOOKUP($A603, YES_Reading_FLA[], COLUMN(INDIRECT("YES_Reading_FLA[Min Expectation - Per "&amp;VLOOKUP($D$2, 'Reading Report Logic'!$A$2:$B$8, 2, FALSE)&amp;"]")),FALSE)="", "", VLOOKUP($A603,YES_Reading_FLA[],COLUMN(INDIRECT("YES_Reading_FLA[Min Expectation - Per "&amp;VLOOKUP($D$2, 'Reading Report Logic'!$A$2:$B$8, 2, FALSE)&amp;"]")),FALSE))),""))),"")</f>
        <v/>
      </c>
      <c r="F603" s="205" t="str" cm="1">
        <f t="array" aca="1" ref="F603" ca="1">IFERROR(
IF($J$2="ELA",
IF(VLOOKUP($A603, YES_Reading_ELA[], COLUMN(INDIRECT("YES_Reading_ELA[Max Expectation - Per "&amp;VLOOKUP($D$2, 'Reading Report Logic'!$A$2:$B$8, 2, FALSE)&amp;"]")), FALSE)="", "",
VLOOKUP($A603,YES_Reading_ELA[], COLUMN(INDIRECT("YES_Reading_ELA[Max Expectation - Per "&amp;VLOOKUP($D$2,'Reading Report Logic'!$A$2:$B$8,2,FALSE)&amp;"]")), FALSE)),
IF($J$2="FLA",
IF(VLOOKUP($A603, YES_Reading_FLA[], COLUMN(INDIRECT("YES_Reading_FLA[Max Expectation - Per "&amp;VLOOKUP($D$2,'Reading Report Logic'!$A$2:$B$8,2,FALSE)&amp;"]")),FALSE)="","",
VLOOKUP($A603,YES_Reading_FLA[],COLUMN(INDIRECT("YES_Reading_FLA[Max Expectation - Per "&amp;VLOOKUP($D$2,'Reading Report Logic'!$A$2:$B$8,2,FALSE)&amp;"]")),FALSE)),
IF($J$2="Combined",
IFERROR(
IF(VLOOKUP($A603, YES_Reading_ELA[], COLUMN(INDIRECT("YES_Reading_ELA[Max Expectation - Per "&amp;VLOOKUP($D$2, 'Reading Report Logic'!$A$2:$B$8,2,FALSE)&amp;"]")), FALSE)="", "",
VLOOKUP($A603,YES_Reading_ELA[],COLUMN(INDIRECT("YES_Reading_ELA[Max Expectation - Per "&amp;VLOOKUP($D$2,'Reading Report Logic'!$A$2:$B$8,2,FALSE)&amp;"]")),FALSE)),
IF(VLOOKUP($A603, YES_Reading_FLA[], COLUMN(INDIRECT("YES_Reading_FLA[Max Expectation - Per "&amp;VLOOKUP($D$2, 'Reading Report Logic'!$A$2:$B$8, 2, FALSE)&amp;"]")),FALSE)="", "", VLOOKUP($A603,YES_Reading_FLA[],COLUMN(INDIRECT("YES_Reading_FLA[Max Expectation - Per "&amp;VLOOKUP($D$2, 'Reading Report Logic'!$A$2:$B$8, 2, FALSE)&amp;"]")),FALSE))),""))),"")</f>
        <v/>
      </c>
      <c r="G603" s="205" t="str" cm="1">
        <f t="array" aca="1" ref="G603" ca="1">IFERROR(
IF($J$2="ELA",
IF(VLOOKUP($A603, YES_Reading_ELA[], COLUMN(INDIRECT("YES_Reading_ELA[Difference - Per "&amp;VLOOKUP($D$2, 'Reading Report Logic'!$A$2:$B$8, 2, FALSE)&amp;"]")), FALSE)="", "",
VLOOKUP($A603,YES_Reading_ELA[], COLUMN(INDIRECT("YES_Reading_ELA[Difference - Per "&amp;VLOOKUP($D$2,'Reading Report Logic'!$A$2:$B$8,2,FALSE)&amp;"]")), FALSE)),
IF($J$2="FLA",
IF(VLOOKUP($A603, YES_Reading_FLA[], COLUMN(INDIRECT("YES_Reading_FLA[Difference - Per "&amp;VLOOKUP($D$2,'Reading Report Logic'!$A$2:$B$8,2,FALSE)&amp;"]")),FALSE)="","",
VLOOKUP($A603,YES_Reading_FLA[],COLUMN(INDIRECT("YES_Reading_FLA[Difference - Per "&amp;VLOOKUP($D$2,'Reading Report Logic'!$A$2:$B$8,2,FALSE)&amp;"]")),FALSE)),
IF($J$2="Combined",
IFERROR(
IF(VLOOKUP($A603, YES_Reading_ELA[], COLUMN(INDIRECT("YES_Reading_ELA[Difference - Per "&amp;VLOOKUP($D$2, 'Reading Report Logic'!$A$2:$B$8,2,FALSE)&amp;"]")), FALSE)="", "",
VLOOKUP($A603,YES_Reading_ELA[],COLUMN(INDIRECT("YES_Reading_ELA[Difference - Per "&amp;VLOOKUP($D$2,'Reading Report Logic'!$A$2:$B$8,2,FALSE)&amp;"]")),FALSE)),
IF(VLOOKUP($A603, YES_Reading_FLA[], COLUMN(INDIRECT("YES_Reading_FLA[Difference - Per "&amp;VLOOKUP($D$2, 'Reading Report Logic'!$A$2:$B$8, 2, FALSE)&amp;"]")),FALSE)="", "", VLOOKUP($A603,YES_Reading_FLA[],COLUMN(INDIRECT("YES_Reading_FLA[Difference - Per "&amp;VLOOKUP($D$2, 'Reading Report Logic'!$A$2:$B$8, 2, FALSE)&amp;"]")),FALSE))),""))),"")</f>
        <v/>
      </c>
      <c r="H603" s="206" t="str">
        <f ca="1">IFERROR(VLOOKUP('Teacher Reading Pull Sheets'!$D603,_xlfn.VSTACK('ELA Reading Logic'!$A$22:$B$48,'FLA Reading Logic'!$A$22:$B$53),2,FALSE)-VLOOKUP('Teacher Reading Pull Sheets'!$C603,_xlfn.VSTACK('ELA Reading Logic'!$A$22:$B$48,'FLA Reading Logic'!$A$22:$B$53),2,FALSE),"")</f>
        <v/>
      </c>
      <c r="I603" s="212"/>
      <c r="J603" s="206"/>
      <c r="K603" s="197" t="str" cm="1">
        <f t="array" ref="K603">IFERROR(
IF($J$2="ELA",
IF(VLOOKUP($A603, YES_Reading_ELA[], COLUMN(YES_Reading_ELA[Self-Identified as African Descent]), FALSE)="", "",
VLOOKUP($A603,YES_Reading_ELA[], COLUMN(YES_Reading_ELA[Self-Identified as African Descent]), FALSE)),
IF($J$2="FLA",
IF(VLOOKUP($A603, YES_Reading_FLA[], COLUMN(YES_Reading_FLA[Self-Identified as African Descent]),FALSE)="","",
VLOOKUP($A603,YES_Reading_FLA[],COLUMN(YES_Reading_FLA[Self-Identified as African Descent]),FALSE)),
IF($J$2="Combined",
IFERROR(
IF(VLOOKUP($A603, YES_Reading_ELA[], COLUMN(YES_Reading_ELA[Self-Identified as African Descent]), FALSE)="", "",
VLOOKUP($A603,YES_Reading_ELA[],COLUMN(YES_Reading_ELA[Self-Identified as African Descent]),FALSE)),
IF(VLOOKUP($A603, YES_Reading_FLA[], COLUMN(YES_Reading_FLA[Self-Identified as African Descent]),FALSE)="", "", VLOOKUP($A603,YES_Reading_FLA[],COLUMN(YES_Reading_FLA[Self-Identified as African Descent]),FALSE))),""))),"")</f>
        <v/>
      </c>
      <c r="L603" s="73" t="str" cm="1">
        <f t="array" ref="L603">IFERROR(
IF($J$2="ELA",
IF(VLOOKUP($A603, YES_Reading_ELA[], COLUMN(YES_Reading_ELA[Self-Identified as Indigenous]), FALSE)="", "",
VLOOKUP($A603,YES_Reading_ELA[], COLUMN(YES_Reading_ELA[Self-Identified as Indigenous]), FALSE)),
IF($J$2="FLA",
IF(VLOOKUP($A603, YES_Reading_FLA[], COLUMN(YES_Reading_FLA[Self-Identified as Indigenous]),FALSE)="","",
VLOOKUP($A603,YES_Reading_FLA[],COLUMN(YES_Reading_FLA[Self-Identified as Indigenous]),FALSE)),
IF($J$2="Combined",
IFERROR(
IF(VLOOKUP($A603, YES_Reading_ELA[], COLUMN(YES_Reading_ELA[Self-Identified as Indigenous]), FALSE)="", "",
VLOOKUP($A603,YES_Reading_ELA[],COLUMN(YES_Reading_ELA[Self-Identified as Indigenous]),FALSE)),
IF(VLOOKUP($A603, YES_Reading_FLA[], COLUMN(YES_Reading_FLA[Self-Identified as Indigenous]),FALSE)="", "", VLOOKUP($A603,YES_Reading_FLA[],COLUMN(YES_Reading_FLA[Self-Identified as Indigenous]),FALSE))),""))),"")</f>
        <v/>
      </c>
    </row>
    <row r="604" spans="1:12" ht="19.5" customHeight="1" x14ac:dyDescent="0.25">
      <c r="A604" s="217"/>
      <c r="B604" s="220" t="str">
        <f>IFERROR(VLOOKUP(A604,_xlfn.VSTACK(YES_Reading_ELA[],YES_Reading_FLA[]),2,FALSE),"")</f>
        <v/>
      </c>
      <c r="C604" s="203" t="str" cm="1">
        <f t="array" aca="1" ref="C604" ca="1">IFERROR(
IF($J$2="ELA",
IF(VLOOKUP($A604, YES_Reading_ELA[], COLUMN(IF(VLOOKUP($D$2, 'Reading Report Logic'!$A$2:$B$8, 2, FALSE)=1, YES_Reading_ELA[Reading Level June of Previous School Year], INDIRECT("YES_Reading_ELA[Instructional Reading Level - Per "&amp;(VLOOKUP($D$2,'Reading Report Logic'!$A$2:$B$8,2,FALSE)-1)&amp;"]"))), FALSE)="", "",
VLOOKUP($A604,YES_Reading_ELA[], COLUMN(IF(VLOOKUP($D$2,'Reading Report Logic'!$A$2:$B$8,2,FALSE)=1, YES_Reading_ELA[Reading Level June of Previous School Year],INDIRECT("YES_Reading_ELA[Instructional Reading Level - Per "&amp;(VLOOKUP($D$2,'Reading Report Logic'!$A$2:$B$8,2,FALSE)-1)&amp;"]"))), FALSE)),
IF($J$2="FLA",
IF(VLOOKUP($A604, YES_Reading_FLA[], COLUMN(IF(VLOOKUP($D$2,'Reading Report Logic'!$A$2:$B$8,2,FALSE)=1, YES_Reading_FLA[Reading Level June of Previous School Year],INDIRECT("YES_Reading_FLA[Instructional Reading Level - Per "&amp;(VLOOKUP($D$2,'Reading Report Logic'!$A$2:$B$8,2,FALSE)-1)&amp;"]"))),FALSE)="","",
VLOOKUP($A604,YES_Reading_FLA[], COLUMN(IF(VLOOKUP($D$2,'Reading Report Logic'!$A$2:$B$8,2,FALSE)=1, YES_Reading_FLA[Reading Level June of Previous School Year],INDIRECT("YES_Reading_FLA[Instructional Reading Level - Per "&amp;(VLOOKUP($D$2,'Reading Report Logic'!$A$2:$B$8,2,FALSE)-1)&amp;"]"))),FALSE)),
IF($J$2="Combined",
IFERROR(
IF(VLOOKUP($A604, YES_Reading_ELA[], COLUMN(IF(VLOOKUP($D$2,'Reading Report Logic'!$A$2:$B$8,2,FALSE)=1, YES_Reading_ELA[Reading Level June of Previous School Year],INDIRECT("YES_Reading_ELA[Instructional Reading Level - Per "&amp;(VLOOKUP($D$2,'Reading Report Logic'!$A$2:$B$8,2,FALSE)-1)&amp;"]"))), FALSE)="", "",
VLOOKUP($A604,YES_Reading_ELA[],COLUMN(IF(VLOOKUP($D$2,'Reading Report Logic'!$A$2:$B$8,2,FALSE)=1, YES_Reading_ELA[Reading Level June of Previous School Year],INDIRECT("YES_Reading_ELA[Instructional Reading Level - Per "&amp;(VLOOKUP($D$2,'Reading Report Logic'!$A$2:$B$8,2,FALSE)-1)&amp;"]"))),FALSE)),
IF(VLOOKUP($A604, YES_Reading_FLA[], COLUMN(IF(VLOOKUP($D$2,'Reading Report Logic'!$A$2:$B$8,2,FALSE)=1, YES_Reading_FLA[Reading Level June of Previous School Year],INDIRECT("YES_Reading_FLA[Instructional Reading Level - Per "&amp;(VLOOKUP($D$2,'Reading Report Logic'!$A$2:$B$8,2,FALSE)-1)&amp;"]"))),FALSE)="", "", VLOOKUP($A604,YES_Reading_FLA[],COLUMN(IF(VLOOKUP($D$2,'Reading Report Logic'!$A$2:$B$8,2,FALSE)=1, YES_Reading_FLA[Reading Level June of Previous School Year],INDIRECT("YES_Reading_FLA[Instructional Reading Level - Per "&amp;(VLOOKUP($D$2,'Reading Report Logic'!$A$2:$B$8,2,FALSE)-1)&amp;"]"))), FALSE))),""))),"")</f>
        <v/>
      </c>
      <c r="D604" s="204" t="str" cm="1">
        <f t="array" aca="1" ref="D604" ca="1">IFERROR(
IF($J$2="ELA",
IF(VLOOKUP($A604, YES_Reading_ELA[], COLUMN(INDIRECT("YES_Reading_ELA[Instructional Reading Level - Per "&amp;VLOOKUP($D$2, 'Reading Report Logic'!$A$2:$B$8, 2, FALSE)&amp;"]")), FALSE)="", "",
VLOOKUP($A604,YES_Reading_ELA[], COLUMN(INDIRECT("YES_Reading_ELA[Instructional Reading Level - Per "&amp;VLOOKUP($D$2,'Reading Report Logic'!$A$2:$B$8,2,FALSE)&amp;"]")), FALSE)),
IF($J$2="FLA",
IF(VLOOKUP($A604, YES_Reading_FLA[], COLUMN(INDIRECT("YES_Reading_FLA[Instructional Reading Level - Per "&amp;VLOOKUP($D$2,'Reading Report Logic'!$A$2:$B$8,2,FALSE)&amp;"]")),FALSE)="","",
VLOOKUP($A604,YES_Reading_FLA[],COLUMN(INDIRECT("YES_Reading_FLA[Instructional Reading Level - Per "&amp;VLOOKUP($D$2,'Reading Report Logic'!$A$2:$B$8,2,FALSE)&amp;"]")),FALSE)),
IF($J$2="Combined",
IFERROR(
IF(VLOOKUP($A604, YES_Reading_ELA[], COLUMN(INDIRECT("YES_Reading_ELA[Instructional Reading Level - Per "&amp;VLOOKUP($D$2, 'Reading Report Logic'!$A$2:$B$8,2,FALSE)&amp;"]")), FALSE)="", "",
VLOOKUP($A604,YES_Reading_ELA[],COLUMN(INDIRECT("YES_Reading_ELA[Instructional Reading Level - Per "&amp;VLOOKUP($D$2,'Reading Report Logic'!$A$2:$B$8,2,FALSE)&amp;"]")),FALSE)),
IF(VLOOKUP($A604, YES_Reading_FLA[], COLUMN(INDIRECT("YES_Reading_FLA[Instructional Reading Level - Per "&amp;VLOOKUP($D$2, 'Reading Report Logic'!$A$2:$B$8, 2, FALSE)&amp;"]")),FALSE)="", "", VLOOKUP($A604,YES_Reading_FLA[],COLUMN(INDIRECT("YES_Reading_FLA[Instructional Reading Level - Per "&amp;VLOOKUP($D$2, 'Reading Report Logic'!$A$2:$B$8, 2, FALSE)&amp;"]")),FALSE))),""))),"")</f>
        <v/>
      </c>
      <c r="E604" s="205" t="str" cm="1">
        <f t="array" aca="1" ref="E604" ca="1">IFERROR(
IF($J$2="ELA",
IF(VLOOKUP($A604, YES_Reading_ELA[], COLUMN(INDIRECT("YES_Reading_ELA[Min Expectation - Per "&amp;VLOOKUP($D$2, 'Reading Report Logic'!$A$2:$B$8, 2, FALSE)&amp;"]")), FALSE)="", "",
VLOOKUP($A604,YES_Reading_ELA[], COLUMN(INDIRECT("YES_Reading_ELA[Min Expectation - Per "&amp;VLOOKUP($D$2,'Reading Report Logic'!$A$2:$B$8,2,FALSE)&amp;"]")), FALSE)),
IF($J$2="FLA",
IF(VLOOKUP($A604, YES_Reading_FLA[], COLUMN(INDIRECT("YES_Reading_FLA[Min Expectation - Per "&amp;VLOOKUP($D$2,'Reading Report Logic'!$A$2:$B$8,2,FALSE)&amp;"]")),FALSE)="","",
VLOOKUP($A604,YES_Reading_FLA[],COLUMN(INDIRECT("YES_Reading_FLA[Min Expectation - Per "&amp;VLOOKUP($D$2,'Reading Report Logic'!$A$2:$B$8,2,FALSE)&amp;"]")),FALSE)),
IF($J$2="Combined",
IFERROR(
IF(VLOOKUP($A604, YES_Reading_ELA[], COLUMN(INDIRECT("YES_Reading_ELA[Min Expectation - Per "&amp;VLOOKUP($D$2, 'Reading Report Logic'!$A$2:$B$8,2,FALSE)&amp;"]")), FALSE)="", "",
VLOOKUP($A604,YES_Reading_ELA[],COLUMN(INDIRECT("YES_Reading_ELA[Min Expectation - Per "&amp;VLOOKUP($D$2,'Reading Report Logic'!$A$2:$B$8,2,FALSE)&amp;"]")),FALSE)),
IF(VLOOKUP($A604, YES_Reading_FLA[], COLUMN(INDIRECT("YES_Reading_FLA[Min Expectation - Per "&amp;VLOOKUP($D$2, 'Reading Report Logic'!$A$2:$B$8, 2, FALSE)&amp;"]")),FALSE)="", "", VLOOKUP($A604,YES_Reading_FLA[],COLUMN(INDIRECT("YES_Reading_FLA[Min Expectation - Per "&amp;VLOOKUP($D$2, 'Reading Report Logic'!$A$2:$B$8, 2, FALSE)&amp;"]")),FALSE))),""))),"")</f>
        <v/>
      </c>
      <c r="F604" s="205" t="str" cm="1">
        <f t="array" aca="1" ref="F604" ca="1">IFERROR(
IF($J$2="ELA",
IF(VLOOKUP($A604, YES_Reading_ELA[], COLUMN(INDIRECT("YES_Reading_ELA[Max Expectation - Per "&amp;VLOOKUP($D$2, 'Reading Report Logic'!$A$2:$B$8, 2, FALSE)&amp;"]")), FALSE)="", "",
VLOOKUP($A604,YES_Reading_ELA[], COLUMN(INDIRECT("YES_Reading_ELA[Max Expectation - Per "&amp;VLOOKUP($D$2,'Reading Report Logic'!$A$2:$B$8,2,FALSE)&amp;"]")), FALSE)),
IF($J$2="FLA",
IF(VLOOKUP($A604, YES_Reading_FLA[], COLUMN(INDIRECT("YES_Reading_FLA[Max Expectation - Per "&amp;VLOOKUP($D$2,'Reading Report Logic'!$A$2:$B$8,2,FALSE)&amp;"]")),FALSE)="","",
VLOOKUP($A604,YES_Reading_FLA[],COLUMN(INDIRECT("YES_Reading_FLA[Max Expectation - Per "&amp;VLOOKUP($D$2,'Reading Report Logic'!$A$2:$B$8,2,FALSE)&amp;"]")),FALSE)),
IF($J$2="Combined",
IFERROR(
IF(VLOOKUP($A604, YES_Reading_ELA[], COLUMN(INDIRECT("YES_Reading_ELA[Max Expectation - Per "&amp;VLOOKUP($D$2, 'Reading Report Logic'!$A$2:$B$8,2,FALSE)&amp;"]")), FALSE)="", "",
VLOOKUP($A604,YES_Reading_ELA[],COLUMN(INDIRECT("YES_Reading_ELA[Max Expectation - Per "&amp;VLOOKUP($D$2,'Reading Report Logic'!$A$2:$B$8,2,FALSE)&amp;"]")),FALSE)),
IF(VLOOKUP($A604, YES_Reading_FLA[], COLUMN(INDIRECT("YES_Reading_FLA[Max Expectation - Per "&amp;VLOOKUP($D$2, 'Reading Report Logic'!$A$2:$B$8, 2, FALSE)&amp;"]")),FALSE)="", "", VLOOKUP($A604,YES_Reading_FLA[],COLUMN(INDIRECT("YES_Reading_FLA[Max Expectation - Per "&amp;VLOOKUP($D$2, 'Reading Report Logic'!$A$2:$B$8, 2, FALSE)&amp;"]")),FALSE))),""))),"")</f>
        <v/>
      </c>
      <c r="G604" s="205" t="str" cm="1">
        <f t="array" aca="1" ref="G604" ca="1">IFERROR(
IF($J$2="ELA",
IF(VLOOKUP($A604, YES_Reading_ELA[], COLUMN(INDIRECT("YES_Reading_ELA[Difference - Per "&amp;VLOOKUP($D$2, 'Reading Report Logic'!$A$2:$B$8, 2, FALSE)&amp;"]")), FALSE)="", "",
VLOOKUP($A604,YES_Reading_ELA[], COLUMN(INDIRECT("YES_Reading_ELA[Difference - Per "&amp;VLOOKUP($D$2,'Reading Report Logic'!$A$2:$B$8,2,FALSE)&amp;"]")), FALSE)),
IF($J$2="FLA",
IF(VLOOKUP($A604, YES_Reading_FLA[], COLUMN(INDIRECT("YES_Reading_FLA[Difference - Per "&amp;VLOOKUP($D$2,'Reading Report Logic'!$A$2:$B$8,2,FALSE)&amp;"]")),FALSE)="","",
VLOOKUP($A604,YES_Reading_FLA[],COLUMN(INDIRECT("YES_Reading_FLA[Difference - Per "&amp;VLOOKUP($D$2,'Reading Report Logic'!$A$2:$B$8,2,FALSE)&amp;"]")),FALSE)),
IF($J$2="Combined",
IFERROR(
IF(VLOOKUP($A604, YES_Reading_ELA[], COLUMN(INDIRECT("YES_Reading_ELA[Difference - Per "&amp;VLOOKUP($D$2, 'Reading Report Logic'!$A$2:$B$8,2,FALSE)&amp;"]")), FALSE)="", "",
VLOOKUP($A604,YES_Reading_ELA[],COLUMN(INDIRECT("YES_Reading_ELA[Difference - Per "&amp;VLOOKUP($D$2,'Reading Report Logic'!$A$2:$B$8,2,FALSE)&amp;"]")),FALSE)),
IF(VLOOKUP($A604, YES_Reading_FLA[], COLUMN(INDIRECT("YES_Reading_FLA[Difference - Per "&amp;VLOOKUP($D$2, 'Reading Report Logic'!$A$2:$B$8, 2, FALSE)&amp;"]")),FALSE)="", "", VLOOKUP($A604,YES_Reading_FLA[],COLUMN(INDIRECT("YES_Reading_FLA[Difference - Per "&amp;VLOOKUP($D$2, 'Reading Report Logic'!$A$2:$B$8, 2, FALSE)&amp;"]")),FALSE))),""))),"")</f>
        <v/>
      </c>
      <c r="H604" s="206" t="str">
        <f ca="1">IFERROR(VLOOKUP('Teacher Reading Pull Sheets'!$D604,_xlfn.VSTACK('ELA Reading Logic'!$A$22:$B$48,'FLA Reading Logic'!$A$22:$B$53),2,FALSE)-VLOOKUP('Teacher Reading Pull Sheets'!$C604,_xlfn.VSTACK('ELA Reading Logic'!$A$22:$B$48,'FLA Reading Logic'!$A$22:$B$53),2,FALSE),"")</f>
        <v/>
      </c>
      <c r="I604" s="212"/>
      <c r="J604" s="206"/>
      <c r="K604" s="197" t="str" cm="1">
        <f t="array" ref="K604">IFERROR(
IF($J$2="ELA",
IF(VLOOKUP($A604, YES_Reading_ELA[], COLUMN(YES_Reading_ELA[Self-Identified as African Descent]), FALSE)="", "",
VLOOKUP($A604,YES_Reading_ELA[], COLUMN(YES_Reading_ELA[Self-Identified as African Descent]), FALSE)),
IF($J$2="FLA",
IF(VLOOKUP($A604, YES_Reading_FLA[], COLUMN(YES_Reading_FLA[Self-Identified as African Descent]),FALSE)="","",
VLOOKUP($A604,YES_Reading_FLA[],COLUMN(YES_Reading_FLA[Self-Identified as African Descent]),FALSE)),
IF($J$2="Combined",
IFERROR(
IF(VLOOKUP($A604, YES_Reading_ELA[], COLUMN(YES_Reading_ELA[Self-Identified as African Descent]), FALSE)="", "",
VLOOKUP($A604,YES_Reading_ELA[],COLUMN(YES_Reading_ELA[Self-Identified as African Descent]),FALSE)),
IF(VLOOKUP($A604, YES_Reading_FLA[], COLUMN(YES_Reading_FLA[Self-Identified as African Descent]),FALSE)="", "", VLOOKUP($A604,YES_Reading_FLA[],COLUMN(YES_Reading_FLA[Self-Identified as African Descent]),FALSE))),""))),"")</f>
        <v/>
      </c>
      <c r="L604" s="73" t="str" cm="1">
        <f t="array" ref="L604">IFERROR(
IF($J$2="ELA",
IF(VLOOKUP($A604, YES_Reading_ELA[], COLUMN(YES_Reading_ELA[Self-Identified as Indigenous]), FALSE)="", "",
VLOOKUP($A604,YES_Reading_ELA[], COLUMN(YES_Reading_ELA[Self-Identified as Indigenous]), FALSE)),
IF($J$2="FLA",
IF(VLOOKUP($A604, YES_Reading_FLA[], COLUMN(YES_Reading_FLA[Self-Identified as Indigenous]),FALSE)="","",
VLOOKUP($A604,YES_Reading_FLA[],COLUMN(YES_Reading_FLA[Self-Identified as Indigenous]),FALSE)),
IF($J$2="Combined",
IFERROR(
IF(VLOOKUP($A604, YES_Reading_ELA[], COLUMN(YES_Reading_ELA[Self-Identified as Indigenous]), FALSE)="", "",
VLOOKUP($A604,YES_Reading_ELA[],COLUMN(YES_Reading_ELA[Self-Identified as Indigenous]),FALSE)),
IF(VLOOKUP($A604, YES_Reading_FLA[], COLUMN(YES_Reading_FLA[Self-Identified as Indigenous]),FALSE)="", "", VLOOKUP($A604,YES_Reading_FLA[],COLUMN(YES_Reading_FLA[Self-Identified as Indigenous]),FALSE))),""))),"")</f>
        <v/>
      </c>
    </row>
    <row r="605" spans="1:12" ht="19.5" customHeight="1" x14ac:dyDescent="0.25">
      <c r="A605" s="217"/>
      <c r="B605" s="220" t="str">
        <f>IFERROR(VLOOKUP(A605,_xlfn.VSTACK(YES_Reading_ELA[],YES_Reading_FLA[]),2,FALSE),"")</f>
        <v/>
      </c>
      <c r="C605" s="203" t="str" cm="1">
        <f t="array" aca="1" ref="C605" ca="1">IFERROR(
IF($J$2="ELA",
IF(VLOOKUP($A605, YES_Reading_ELA[], COLUMN(IF(VLOOKUP($D$2, 'Reading Report Logic'!$A$2:$B$8, 2, FALSE)=1, YES_Reading_ELA[Reading Level June of Previous School Year], INDIRECT("YES_Reading_ELA[Instructional Reading Level - Per "&amp;(VLOOKUP($D$2,'Reading Report Logic'!$A$2:$B$8,2,FALSE)-1)&amp;"]"))), FALSE)="", "",
VLOOKUP($A605,YES_Reading_ELA[], COLUMN(IF(VLOOKUP($D$2,'Reading Report Logic'!$A$2:$B$8,2,FALSE)=1, YES_Reading_ELA[Reading Level June of Previous School Year],INDIRECT("YES_Reading_ELA[Instructional Reading Level - Per "&amp;(VLOOKUP($D$2,'Reading Report Logic'!$A$2:$B$8,2,FALSE)-1)&amp;"]"))), FALSE)),
IF($J$2="FLA",
IF(VLOOKUP($A605, YES_Reading_FLA[], COLUMN(IF(VLOOKUP($D$2,'Reading Report Logic'!$A$2:$B$8,2,FALSE)=1, YES_Reading_FLA[Reading Level June of Previous School Year],INDIRECT("YES_Reading_FLA[Instructional Reading Level - Per "&amp;(VLOOKUP($D$2,'Reading Report Logic'!$A$2:$B$8,2,FALSE)-1)&amp;"]"))),FALSE)="","",
VLOOKUP($A605,YES_Reading_FLA[], COLUMN(IF(VLOOKUP($D$2,'Reading Report Logic'!$A$2:$B$8,2,FALSE)=1, YES_Reading_FLA[Reading Level June of Previous School Year],INDIRECT("YES_Reading_FLA[Instructional Reading Level - Per "&amp;(VLOOKUP($D$2,'Reading Report Logic'!$A$2:$B$8,2,FALSE)-1)&amp;"]"))),FALSE)),
IF($J$2="Combined",
IFERROR(
IF(VLOOKUP($A605, YES_Reading_ELA[], COLUMN(IF(VLOOKUP($D$2,'Reading Report Logic'!$A$2:$B$8,2,FALSE)=1, YES_Reading_ELA[Reading Level June of Previous School Year],INDIRECT("YES_Reading_ELA[Instructional Reading Level - Per "&amp;(VLOOKUP($D$2,'Reading Report Logic'!$A$2:$B$8,2,FALSE)-1)&amp;"]"))), FALSE)="", "",
VLOOKUP($A605,YES_Reading_ELA[],COLUMN(IF(VLOOKUP($D$2,'Reading Report Logic'!$A$2:$B$8,2,FALSE)=1, YES_Reading_ELA[Reading Level June of Previous School Year],INDIRECT("YES_Reading_ELA[Instructional Reading Level - Per "&amp;(VLOOKUP($D$2,'Reading Report Logic'!$A$2:$B$8,2,FALSE)-1)&amp;"]"))),FALSE)),
IF(VLOOKUP($A605, YES_Reading_FLA[], COLUMN(IF(VLOOKUP($D$2,'Reading Report Logic'!$A$2:$B$8,2,FALSE)=1, YES_Reading_FLA[Reading Level June of Previous School Year],INDIRECT("YES_Reading_FLA[Instructional Reading Level - Per "&amp;(VLOOKUP($D$2,'Reading Report Logic'!$A$2:$B$8,2,FALSE)-1)&amp;"]"))),FALSE)="", "", VLOOKUP($A605,YES_Reading_FLA[],COLUMN(IF(VLOOKUP($D$2,'Reading Report Logic'!$A$2:$B$8,2,FALSE)=1, YES_Reading_FLA[Reading Level June of Previous School Year],INDIRECT("YES_Reading_FLA[Instructional Reading Level - Per "&amp;(VLOOKUP($D$2,'Reading Report Logic'!$A$2:$B$8,2,FALSE)-1)&amp;"]"))), FALSE))),""))),"")</f>
        <v/>
      </c>
      <c r="D605" s="204" t="str" cm="1">
        <f t="array" aca="1" ref="D605" ca="1">IFERROR(
IF($J$2="ELA",
IF(VLOOKUP($A605, YES_Reading_ELA[], COLUMN(INDIRECT("YES_Reading_ELA[Instructional Reading Level - Per "&amp;VLOOKUP($D$2, 'Reading Report Logic'!$A$2:$B$8, 2, FALSE)&amp;"]")), FALSE)="", "",
VLOOKUP($A605,YES_Reading_ELA[], COLUMN(INDIRECT("YES_Reading_ELA[Instructional Reading Level - Per "&amp;VLOOKUP($D$2,'Reading Report Logic'!$A$2:$B$8,2,FALSE)&amp;"]")), FALSE)),
IF($J$2="FLA",
IF(VLOOKUP($A605, YES_Reading_FLA[], COLUMN(INDIRECT("YES_Reading_FLA[Instructional Reading Level - Per "&amp;VLOOKUP($D$2,'Reading Report Logic'!$A$2:$B$8,2,FALSE)&amp;"]")),FALSE)="","",
VLOOKUP($A605,YES_Reading_FLA[],COLUMN(INDIRECT("YES_Reading_FLA[Instructional Reading Level - Per "&amp;VLOOKUP($D$2,'Reading Report Logic'!$A$2:$B$8,2,FALSE)&amp;"]")),FALSE)),
IF($J$2="Combined",
IFERROR(
IF(VLOOKUP($A605, YES_Reading_ELA[], COLUMN(INDIRECT("YES_Reading_ELA[Instructional Reading Level - Per "&amp;VLOOKUP($D$2, 'Reading Report Logic'!$A$2:$B$8,2,FALSE)&amp;"]")), FALSE)="", "",
VLOOKUP($A605,YES_Reading_ELA[],COLUMN(INDIRECT("YES_Reading_ELA[Instructional Reading Level - Per "&amp;VLOOKUP($D$2,'Reading Report Logic'!$A$2:$B$8,2,FALSE)&amp;"]")),FALSE)),
IF(VLOOKUP($A605, YES_Reading_FLA[], COLUMN(INDIRECT("YES_Reading_FLA[Instructional Reading Level - Per "&amp;VLOOKUP($D$2, 'Reading Report Logic'!$A$2:$B$8, 2, FALSE)&amp;"]")),FALSE)="", "", VLOOKUP($A605,YES_Reading_FLA[],COLUMN(INDIRECT("YES_Reading_FLA[Instructional Reading Level - Per "&amp;VLOOKUP($D$2, 'Reading Report Logic'!$A$2:$B$8, 2, FALSE)&amp;"]")),FALSE))),""))),"")</f>
        <v/>
      </c>
      <c r="E605" s="205" t="str" cm="1">
        <f t="array" aca="1" ref="E605" ca="1">IFERROR(
IF($J$2="ELA",
IF(VLOOKUP($A605, YES_Reading_ELA[], COLUMN(INDIRECT("YES_Reading_ELA[Min Expectation - Per "&amp;VLOOKUP($D$2, 'Reading Report Logic'!$A$2:$B$8, 2, FALSE)&amp;"]")), FALSE)="", "",
VLOOKUP($A605,YES_Reading_ELA[], COLUMN(INDIRECT("YES_Reading_ELA[Min Expectation - Per "&amp;VLOOKUP($D$2,'Reading Report Logic'!$A$2:$B$8,2,FALSE)&amp;"]")), FALSE)),
IF($J$2="FLA",
IF(VLOOKUP($A605, YES_Reading_FLA[], COLUMN(INDIRECT("YES_Reading_FLA[Min Expectation - Per "&amp;VLOOKUP($D$2,'Reading Report Logic'!$A$2:$B$8,2,FALSE)&amp;"]")),FALSE)="","",
VLOOKUP($A605,YES_Reading_FLA[],COLUMN(INDIRECT("YES_Reading_FLA[Min Expectation - Per "&amp;VLOOKUP($D$2,'Reading Report Logic'!$A$2:$B$8,2,FALSE)&amp;"]")),FALSE)),
IF($J$2="Combined",
IFERROR(
IF(VLOOKUP($A605, YES_Reading_ELA[], COLUMN(INDIRECT("YES_Reading_ELA[Min Expectation - Per "&amp;VLOOKUP($D$2, 'Reading Report Logic'!$A$2:$B$8,2,FALSE)&amp;"]")), FALSE)="", "",
VLOOKUP($A605,YES_Reading_ELA[],COLUMN(INDIRECT("YES_Reading_ELA[Min Expectation - Per "&amp;VLOOKUP($D$2,'Reading Report Logic'!$A$2:$B$8,2,FALSE)&amp;"]")),FALSE)),
IF(VLOOKUP($A605, YES_Reading_FLA[], COLUMN(INDIRECT("YES_Reading_FLA[Min Expectation - Per "&amp;VLOOKUP($D$2, 'Reading Report Logic'!$A$2:$B$8, 2, FALSE)&amp;"]")),FALSE)="", "", VLOOKUP($A605,YES_Reading_FLA[],COLUMN(INDIRECT("YES_Reading_FLA[Min Expectation - Per "&amp;VLOOKUP($D$2, 'Reading Report Logic'!$A$2:$B$8, 2, FALSE)&amp;"]")),FALSE))),""))),"")</f>
        <v/>
      </c>
      <c r="F605" s="205" t="str" cm="1">
        <f t="array" aca="1" ref="F605" ca="1">IFERROR(
IF($J$2="ELA",
IF(VLOOKUP($A605, YES_Reading_ELA[], COLUMN(INDIRECT("YES_Reading_ELA[Max Expectation - Per "&amp;VLOOKUP($D$2, 'Reading Report Logic'!$A$2:$B$8, 2, FALSE)&amp;"]")), FALSE)="", "",
VLOOKUP($A605,YES_Reading_ELA[], COLUMN(INDIRECT("YES_Reading_ELA[Max Expectation - Per "&amp;VLOOKUP($D$2,'Reading Report Logic'!$A$2:$B$8,2,FALSE)&amp;"]")), FALSE)),
IF($J$2="FLA",
IF(VLOOKUP($A605, YES_Reading_FLA[], COLUMN(INDIRECT("YES_Reading_FLA[Max Expectation - Per "&amp;VLOOKUP($D$2,'Reading Report Logic'!$A$2:$B$8,2,FALSE)&amp;"]")),FALSE)="","",
VLOOKUP($A605,YES_Reading_FLA[],COLUMN(INDIRECT("YES_Reading_FLA[Max Expectation - Per "&amp;VLOOKUP($D$2,'Reading Report Logic'!$A$2:$B$8,2,FALSE)&amp;"]")),FALSE)),
IF($J$2="Combined",
IFERROR(
IF(VLOOKUP($A605, YES_Reading_ELA[], COLUMN(INDIRECT("YES_Reading_ELA[Max Expectation - Per "&amp;VLOOKUP($D$2, 'Reading Report Logic'!$A$2:$B$8,2,FALSE)&amp;"]")), FALSE)="", "",
VLOOKUP($A605,YES_Reading_ELA[],COLUMN(INDIRECT("YES_Reading_ELA[Max Expectation - Per "&amp;VLOOKUP($D$2,'Reading Report Logic'!$A$2:$B$8,2,FALSE)&amp;"]")),FALSE)),
IF(VLOOKUP($A605, YES_Reading_FLA[], COLUMN(INDIRECT("YES_Reading_FLA[Max Expectation - Per "&amp;VLOOKUP($D$2, 'Reading Report Logic'!$A$2:$B$8, 2, FALSE)&amp;"]")),FALSE)="", "", VLOOKUP($A605,YES_Reading_FLA[],COLUMN(INDIRECT("YES_Reading_FLA[Max Expectation - Per "&amp;VLOOKUP($D$2, 'Reading Report Logic'!$A$2:$B$8, 2, FALSE)&amp;"]")),FALSE))),""))),"")</f>
        <v/>
      </c>
      <c r="G605" s="205" t="str" cm="1">
        <f t="array" aca="1" ref="G605" ca="1">IFERROR(
IF($J$2="ELA",
IF(VLOOKUP($A605, YES_Reading_ELA[], COLUMN(INDIRECT("YES_Reading_ELA[Difference - Per "&amp;VLOOKUP($D$2, 'Reading Report Logic'!$A$2:$B$8, 2, FALSE)&amp;"]")), FALSE)="", "",
VLOOKUP($A605,YES_Reading_ELA[], COLUMN(INDIRECT("YES_Reading_ELA[Difference - Per "&amp;VLOOKUP($D$2,'Reading Report Logic'!$A$2:$B$8,2,FALSE)&amp;"]")), FALSE)),
IF($J$2="FLA",
IF(VLOOKUP($A605, YES_Reading_FLA[], COLUMN(INDIRECT("YES_Reading_FLA[Difference - Per "&amp;VLOOKUP($D$2,'Reading Report Logic'!$A$2:$B$8,2,FALSE)&amp;"]")),FALSE)="","",
VLOOKUP($A605,YES_Reading_FLA[],COLUMN(INDIRECT("YES_Reading_FLA[Difference - Per "&amp;VLOOKUP($D$2,'Reading Report Logic'!$A$2:$B$8,2,FALSE)&amp;"]")),FALSE)),
IF($J$2="Combined",
IFERROR(
IF(VLOOKUP($A605, YES_Reading_ELA[], COLUMN(INDIRECT("YES_Reading_ELA[Difference - Per "&amp;VLOOKUP($D$2, 'Reading Report Logic'!$A$2:$B$8,2,FALSE)&amp;"]")), FALSE)="", "",
VLOOKUP($A605,YES_Reading_ELA[],COLUMN(INDIRECT("YES_Reading_ELA[Difference - Per "&amp;VLOOKUP($D$2,'Reading Report Logic'!$A$2:$B$8,2,FALSE)&amp;"]")),FALSE)),
IF(VLOOKUP($A605, YES_Reading_FLA[], COLUMN(INDIRECT("YES_Reading_FLA[Difference - Per "&amp;VLOOKUP($D$2, 'Reading Report Logic'!$A$2:$B$8, 2, FALSE)&amp;"]")),FALSE)="", "", VLOOKUP($A605,YES_Reading_FLA[],COLUMN(INDIRECT("YES_Reading_FLA[Difference - Per "&amp;VLOOKUP($D$2, 'Reading Report Logic'!$A$2:$B$8, 2, FALSE)&amp;"]")),FALSE))),""))),"")</f>
        <v/>
      </c>
      <c r="H605" s="206" t="str">
        <f ca="1">IFERROR(VLOOKUP('Teacher Reading Pull Sheets'!$D605,_xlfn.VSTACK('ELA Reading Logic'!$A$22:$B$48,'FLA Reading Logic'!$A$22:$B$53),2,FALSE)-VLOOKUP('Teacher Reading Pull Sheets'!$C605,_xlfn.VSTACK('ELA Reading Logic'!$A$22:$B$48,'FLA Reading Logic'!$A$22:$B$53),2,FALSE),"")</f>
        <v/>
      </c>
      <c r="I605" s="212"/>
      <c r="J605" s="206"/>
      <c r="K605" s="197" t="str" cm="1">
        <f t="array" ref="K605">IFERROR(
IF($J$2="ELA",
IF(VLOOKUP($A605, YES_Reading_ELA[], COLUMN(YES_Reading_ELA[Self-Identified as African Descent]), FALSE)="", "",
VLOOKUP($A605,YES_Reading_ELA[], COLUMN(YES_Reading_ELA[Self-Identified as African Descent]), FALSE)),
IF($J$2="FLA",
IF(VLOOKUP($A605, YES_Reading_FLA[], COLUMN(YES_Reading_FLA[Self-Identified as African Descent]),FALSE)="","",
VLOOKUP($A605,YES_Reading_FLA[],COLUMN(YES_Reading_FLA[Self-Identified as African Descent]),FALSE)),
IF($J$2="Combined",
IFERROR(
IF(VLOOKUP($A605, YES_Reading_ELA[], COLUMN(YES_Reading_ELA[Self-Identified as African Descent]), FALSE)="", "",
VLOOKUP($A605,YES_Reading_ELA[],COLUMN(YES_Reading_ELA[Self-Identified as African Descent]),FALSE)),
IF(VLOOKUP($A605, YES_Reading_FLA[], COLUMN(YES_Reading_FLA[Self-Identified as African Descent]),FALSE)="", "", VLOOKUP($A605,YES_Reading_FLA[],COLUMN(YES_Reading_FLA[Self-Identified as African Descent]),FALSE))),""))),"")</f>
        <v/>
      </c>
      <c r="L605" s="73" t="str" cm="1">
        <f t="array" ref="L605">IFERROR(
IF($J$2="ELA",
IF(VLOOKUP($A605, YES_Reading_ELA[], COLUMN(YES_Reading_ELA[Self-Identified as Indigenous]), FALSE)="", "",
VLOOKUP($A605,YES_Reading_ELA[], COLUMN(YES_Reading_ELA[Self-Identified as Indigenous]), FALSE)),
IF($J$2="FLA",
IF(VLOOKUP($A605, YES_Reading_FLA[], COLUMN(YES_Reading_FLA[Self-Identified as Indigenous]),FALSE)="","",
VLOOKUP($A605,YES_Reading_FLA[],COLUMN(YES_Reading_FLA[Self-Identified as Indigenous]),FALSE)),
IF($J$2="Combined",
IFERROR(
IF(VLOOKUP($A605, YES_Reading_ELA[], COLUMN(YES_Reading_ELA[Self-Identified as Indigenous]), FALSE)="", "",
VLOOKUP($A605,YES_Reading_ELA[],COLUMN(YES_Reading_ELA[Self-Identified as Indigenous]),FALSE)),
IF(VLOOKUP($A605, YES_Reading_FLA[], COLUMN(YES_Reading_FLA[Self-Identified as Indigenous]),FALSE)="", "", VLOOKUP($A605,YES_Reading_FLA[],COLUMN(YES_Reading_FLA[Self-Identified as Indigenous]),FALSE))),""))),"")</f>
        <v/>
      </c>
    </row>
    <row r="606" spans="1:12" ht="19.5" customHeight="1" x14ac:dyDescent="0.25">
      <c r="A606" s="217"/>
      <c r="B606" s="220" t="str">
        <f>IFERROR(VLOOKUP(A606,_xlfn.VSTACK(YES_Reading_ELA[],YES_Reading_FLA[]),2,FALSE),"")</f>
        <v/>
      </c>
      <c r="C606" s="203" t="str" cm="1">
        <f t="array" aca="1" ref="C606" ca="1">IFERROR(
IF($J$2="ELA",
IF(VLOOKUP($A606, YES_Reading_ELA[], COLUMN(IF(VLOOKUP($D$2, 'Reading Report Logic'!$A$2:$B$8, 2, FALSE)=1, YES_Reading_ELA[Reading Level June of Previous School Year], INDIRECT("YES_Reading_ELA[Instructional Reading Level - Per "&amp;(VLOOKUP($D$2,'Reading Report Logic'!$A$2:$B$8,2,FALSE)-1)&amp;"]"))), FALSE)="", "",
VLOOKUP($A606,YES_Reading_ELA[], COLUMN(IF(VLOOKUP($D$2,'Reading Report Logic'!$A$2:$B$8,2,FALSE)=1, YES_Reading_ELA[Reading Level June of Previous School Year],INDIRECT("YES_Reading_ELA[Instructional Reading Level - Per "&amp;(VLOOKUP($D$2,'Reading Report Logic'!$A$2:$B$8,2,FALSE)-1)&amp;"]"))), FALSE)),
IF($J$2="FLA",
IF(VLOOKUP($A606, YES_Reading_FLA[], COLUMN(IF(VLOOKUP($D$2,'Reading Report Logic'!$A$2:$B$8,2,FALSE)=1, YES_Reading_FLA[Reading Level June of Previous School Year],INDIRECT("YES_Reading_FLA[Instructional Reading Level - Per "&amp;(VLOOKUP($D$2,'Reading Report Logic'!$A$2:$B$8,2,FALSE)-1)&amp;"]"))),FALSE)="","",
VLOOKUP($A606,YES_Reading_FLA[], COLUMN(IF(VLOOKUP($D$2,'Reading Report Logic'!$A$2:$B$8,2,FALSE)=1, YES_Reading_FLA[Reading Level June of Previous School Year],INDIRECT("YES_Reading_FLA[Instructional Reading Level - Per "&amp;(VLOOKUP($D$2,'Reading Report Logic'!$A$2:$B$8,2,FALSE)-1)&amp;"]"))),FALSE)),
IF($J$2="Combined",
IFERROR(
IF(VLOOKUP($A606, YES_Reading_ELA[], COLUMN(IF(VLOOKUP($D$2,'Reading Report Logic'!$A$2:$B$8,2,FALSE)=1, YES_Reading_ELA[Reading Level June of Previous School Year],INDIRECT("YES_Reading_ELA[Instructional Reading Level - Per "&amp;(VLOOKUP($D$2,'Reading Report Logic'!$A$2:$B$8,2,FALSE)-1)&amp;"]"))), FALSE)="", "",
VLOOKUP($A606,YES_Reading_ELA[],COLUMN(IF(VLOOKUP($D$2,'Reading Report Logic'!$A$2:$B$8,2,FALSE)=1, YES_Reading_ELA[Reading Level June of Previous School Year],INDIRECT("YES_Reading_ELA[Instructional Reading Level - Per "&amp;(VLOOKUP($D$2,'Reading Report Logic'!$A$2:$B$8,2,FALSE)-1)&amp;"]"))),FALSE)),
IF(VLOOKUP($A606, YES_Reading_FLA[], COLUMN(IF(VLOOKUP($D$2,'Reading Report Logic'!$A$2:$B$8,2,FALSE)=1, YES_Reading_FLA[Reading Level June of Previous School Year],INDIRECT("YES_Reading_FLA[Instructional Reading Level - Per "&amp;(VLOOKUP($D$2,'Reading Report Logic'!$A$2:$B$8,2,FALSE)-1)&amp;"]"))),FALSE)="", "", VLOOKUP($A606,YES_Reading_FLA[],COLUMN(IF(VLOOKUP($D$2,'Reading Report Logic'!$A$2:$B$8,2,FALSE)=1, YES_Reading_FLA[Reading Level June of Previous School Year],INDIRECT("YES_Reading_FLA[Instructional Reading Level - Per "&amp;(VLOOKUP($D$2,'Reading Report Logic'!$A$2:$B$8,2,FALSE)-1)&amp;"]"))), FALSE))),""))),"")</f>
        <v/>
      </c>
      <c r="D606" s="204" t="str" cm="1">
        <f t="array" aca="1" ref="D606" ca="1">IFERROR(
IF($J$2="ELA",
IF(VLOOKUP($A606, YES_Reading_ELA[], COLUMN(INDIRECT("YES_Reading_ELA[Instructional Reading Level - Per "&amp;VLOOKUP($D$2, 'Reading Report Logic'!$A$2:$B$8, 2, FALSE)&amp;"]")), FALSE)="", "",
VLOOKUP($A606,YES_Reading_ELA[], COLUMN(INDIRECT("YES_Reading_ELA[Instructional Reading Level - Per "&amp;VLOOKUP($D$2,'Reading Report Logic'!$A$2:$B$8,2,FALSE)&amp;"]")), FALSE)),
IF($J$2="FLA",
IF(VLOOKUP($A606, YES_Reading_FLA[], COLUMN(INDIRECT("YES_Reading_FLA[Instructional Reading Level - Per "&amp;VLOOKUP($D$2,'Reading Report Logic'!$A$2:$B$8,2,FALSE)&amp;"]")),FALSE)="","",
VLOOKUP($A606,YES_Reading_FLA[],COLUMN(INDIRECT("YES_Reading_FLA[Instructional Reading Level - Per "&amp;VLOOKUP($D$2,'Reading Report Logic'!$A$2:$B$8,2,FALSE)&amp;"]")),FALSE)),
IF($J$2="Combined",
IFERROR(
IF(VLOOKUP($A606, YES_Reading_ELA[], COLUMN(INDIRECT("YES_Reading_ELA[Instructional Reading Level - Per "&amp;VLOOKUP($D$2, 'Reading Report Logic'!$A$2:$B$8,2,FALSE)&amp;"]")), FALSE)="", "",
VLOOKUP($A606,YES_Reading_ELA[],COLUMN(INDIRECT("YES_Reading_ELA[Instructional Reading Level - Per "&amp;VLOOKUP($D$2,'Reading Report Logic'!$A$2:$B$8,2,FALSE)&amp;"]")),FALSE)),
IF(VLOOKUP($A606, YES_Reading_FLA[], COLUMN(INDIRECT("YES_Reading_FLA[Instructional Reading Level - Per "&amp;VLOOKUP($D$2, 'Reading Report Logic'!$A$2:$B$8, 2, FALSE)&amp;"]")),FALSE)="", "", VLOOKUP($A606,YES_Reading_FLA[],COLUMN(INDIRECT("YES_Reading_FLA[Instructional Reading Level - Per "&amp;VLOOKUP($D$2, 'Reading Report Logic'!$A$2:$B$8, 2, FALSE)&amp;"]")),FALSE))),""))),"")</f>
        <v/>
      </c>
      <c r="E606" s="205" t="str" cm="1">
        <f t="array" aca="1" ref="E606" ca="1">IFERROR(
IF($J$2="ELA",
IF(VLOOKUP($A606, YES_Reading_ELA[], COLUMN(INDIRECT("YES_Reading_ELA[Min Expectation - Per "&amp;VLOOKUP($D$2, 'Reading Report Logic'!$A$2:$B$8, 2, FALSE)&amp;"]")), FALSE)="", "",
VLOOKUP($A606,YES_Reading_ELA[], COLUMN(INDIRECT("YES_Reading_ELA[Min Expectation - Per "&amp;VLOOKUP($D$2,'Reading Report Logic'!$A$2:$B$8,2,FALSE)&amp;"]")), FALSE)),
IF($J$2="FLA",
IF(VLOOKUP($A606, YES_Reading_FLA[], COLUMN(INDIRECT("YES_Reading_FLA[Min Expectation - Per "&amp;VLOOKUP($D$2,'Reading Report Logic'!$A$2:$B$8,2,FALSE)&amp;"]")),FALSE)="","",
VLOOKUP($A606,YES_Reading_FLA[],COLUMN(INDIRECT("YES_Reading_FLA[Min Expectation - Per "&amp;VLOOKUP($D$2,'Reading Report Logic'!$A$2:$B$8,2,FALSE)&amp;"]")),FALSE)),
IF($J$2="Combined",
IFERROR(
IF(VLOOKUP($A606, YES_Reading_ELA[], COLUMN(INDIRECT("YES_Reading_ELA[Min Expectation - Per "&amp;VLOOKUP($D$2, 'Reading Report Logic'!$A$2:$B$8,2,FALSE)&amp;"]")), FALSE)="", "",
VLOOKUP($A606,YES_Reading_ELA[],COLUMN(INDIRECT("YES_Reading_ELA[Min Expectation - Per "&amp;VLOOKUP($D$2,'Reading Report Logic'!$A$2:$B$8,2,FALSE)&amp;"]")),FALSE)),
IF(VLOOKUP($A606, YES_Reading_FLA[], COLUMN(INDIRECT("YES_Reading_FLA[Min Expectation - Per "&amp;VLOOKUP($D$2, 'Reading Report Logic'!$A$2:$B$8, 2, FALSE)&amp;"]")),FALSE)="", "", VLOOKUP($A606,YES_Reading_FLA[],COLUMN(INDIRECT("YES_Reading_FLA[Min Expectation - Per "&amp;VLOOKUP($D$2, 'Reading Report Logic'!$A$2:$B$8, 2, FALSE)&amp;"]")),FALSE))),""))),"")</f>
        <v/>
      </c>
      <c r="F606" s="205" t="str" cm="1">
        <f t="array" aca="1" ref="F606" ca="1">IFERROR(
IF($J$2="ELA",
IF(VLOOKUP($A606, YES_Reading_ELA[], COLUMN(INDIRECT("YES_Reading_ELA[Max Expectation - Per "&amp;VLOOKUP($D$2, 'Reading Report Logic'!$A$2:$B$8, 2, FALSE)&amp;"]")), FALSE)="", "",
VLOOKUP($A606,YES_Reading_ELA[], COLUMN(INDIRECT("YES_Reading_ELA[Max Expectation - Per "&amp;VLOOKUP($D$2,'Reading Report Logic'!$A$2:$B$8,2,FALSE)&amp;"]")), FALSE)),
IF($J$2="FLA",
IF(VLOOKUP($A606, YES_Reading_FLA[], COLUMN(INDIRECT("YES_Reading_FLA[Max Expectation - Per "&amp;VLOOKUP($D$2,'Reading Report Logic'!$A$2:$B$8,2,FALSE)&amp;"]")),FALSE)="","",
VLOOKUP($A606,YES_Reading_FLA[],COLUMN(INDIRECT("YES_Reading_FLA[Max Expectation - Per "&amp;VLOOKUP($D$2,'Reading Report Logic'!$A$2:$B$8,2,FALSE)&amp;"]")),FALSE)),
IF($J$2="Combined",
IFERROR(
IF(VLOOKUP($A606, YES_Reading_ELA[], COLUMN(INDIRECT("YES_Reading_ELA[Max Expectation - Per "&amp;VLOOKUP($D$2, 'Reading Report Logic'!$A$2:$B$8,2,FALSE)&amp;"]")), FALSE)="", "",
VLOOKUP($A606,YES_Reading_ELA[],COLUMN(INDIRECT("YES_Reading_ELA[Max Expectation - Per "&amp;VLOOKUP($D$2,'Reading Report Logic'!$A$2:$B$8,2,FALSE)&amp;"]")),FALSE)),
IF(VLOOKUP($A606, YES_Reading_FLA[], COLUMN(INDIRECT("YES_Reading_FLA[Max Expectation - Per "&amp;VLOOKUP($D$2, 'Reading Report Logic'!$A$2:$B$8, 2, FALSE)&amp;"]")),FALSE)="", "", VLOOKUP($A606,YES_Reading_FLA[],COLUMN(INDIRECT("YES_Reading_FLA[Max Expectation - Per "&amp;VLOOKUP($D$2, 'Reading Report Logic'!$A$2:$B$8, 2, FALSE)&amp;"]")),FALSE))),""))),"")</f>
        <v/>
      </c>
      <c r="G606" s="205" t="str" cm="1">
        <f t="array" aca="1" ref="G606" ca="1">IFERROR(
IF($J$2="ELA",
IF(VLOOKUP($A606, YES_Reading_ELA[], COLUMN(INDIRECT("YES_Reading_ELA[Difference - Per "&amp;VLOOKUP($D$2, 'Reading Report Logic'!$A$2:$B$8, 2, FALSE)&amp;"]")), FALSE)="", "",
VLOOKUP($A606,YES_Reading_ELA[], COLUMN(INDIRECT("YES_Reading_ELA[Difference - Per "&amp;VLOOKUP($D$2,'Reading Report Logic'!$A$2:$B$8,2,FALSE)&amp;"]")), FALSE)),
IF($J$2="FLA",
IF(VLOOKUP($A606, YES_Reading_FLA[], COLUMN(INDIRECT("YES_Reading_FLA[Difference - Per "&amp;VLOOKUP($D$2,'Reading Report Logic'!$A$2:$B$8,2,FALSE)&amp;"]")),FALSE)="","",
VLOOKUP($A606,YES_Reading_FLA[],COLUMN(INDIRECT("YES_Reading_FLA[Difference - Per "&amp;VLOOKUP($D$2,'Reading Report Logic'!$A$2:$B$8,2,FALSE)&amp;"]")),FALSE)),
IF($J$2="Combined",
IFERROR(
IF(VLOOKUP($A606, YES_Reading_ELA[], COLUMN(INDIRECT("YES_Reading_ELA[Difference - Per "&amp;VLOOKUP($D$2, 'Reading Report Logic'!$A$2:$B$8,2,FALSE)&amp;"]")), FALSE)="", "",
VLOOKUP($A606,YES_Reading_ELA[],COLUMN(INDIRECT("YES_Reading_ELA[Difference - Per "&amp;VLOOKUP($D$2,'Reading Report Logic'!$A$2:$B$8,2,FALSE)&amp;"]")),FALSE)),
IF(VLOOKUP($A606, YES_Reading_FLA[], COLUMN(INDIRECT("YES_Reading_FLA[Difference - Per "&amp;VLOOKUP($D$2, 'Reading Report Logic'!$A$2:$B$8, 2, FALSE)&amp;"]")),FALSE)="", "", VLOOKUP($A606,YES_Reading_FLA[],COLUMN(INDIRECT("YES_Reading_FLA[Difference - Per "&amp;VLOOKUP($D$2, 'Reading Report Logic'!$A$2:$B$8, 2, FALSE)&amp;"]")),FALSE))),""))),"")</f>
        <v/>
      </c>
      <c r="H606" s="206" t="str">
        <f ca="1">IFERROR(VLOOKUP('Teacher Reading Pull Sheets'!$D606,_xlfn.VSTACK('ELA Reading Logic'!$A$22:$B$48,'FLA Reading Logic'!$A$22:$B$53),2,FALSE)-VLOOKUP('Teacher Reading Pull Sheets'!$C606,_xlfn.VSTACK('ELA Reading Logic'!$A$22:$B$48,'FLA Reading Logic'!$A$22:$B$53),2,FALSE),"")</f>
        <v/>
      </c>
      <c r="I606" s="212"/>
      <c r="J606" s="206"/>
      <c r="K606" s="197" t="str" cm="1">
        <f t="array" ref="K606">IFERROR(
IF($J$2="ELA",
IF(VLOOKUP($A606, YES_Reading_ELA[], COLUMN(YES_Reading_ELA[Self-Identified as African Descent]), FALSE)="", "",
VLOOKUP($A606,YES_Reading_ELA[], COLUMN(YES_Reading_ELA[Self-Identified as African Descent]), FALSE)),
IF($J$2="FLA",
IF(VLOOKUP($A606, YES_Reading_FLA[], COLUMN(YES_Reading_FLA[Self-Identified as African Descent]),FALSE)="","",
VLOOKUP($A606,YES_Reading_FLA[],COLUMN(YES_Reading_FLA[Self-Identified as African Descent]),FALSE)),
IF($J$2="Combined",
IFERROR(
IF(VLOOKUP($A606, YES_Reading_ELA[], COLUMN(YES_Reading_ELA[Self-Identified as African Descent]), FALSE)="", "",
VLOOKUP($A606,YES_Reading_ELA[],COLUMN(YES_Reading_ELA[Self-Identified as African Descent]),FALSE)),
IF(VLOOKUP($A606, YES_Reading_FLA[], COLUMN(YES_Reading_FLA[Self-Identified as African Descent]),FALSE)="", "", VLOOKUP($A606,YES_Reading_FLA[],COLUMN(YES_Reading_FLA[Self-Identified as African Descent]),FALSE))),""))),"")</f>
        <v/>
      </c>
      <c r="L606" s="73" t="str" cm="1">
        <f t="array" ref="L606">IFERROR(
IF($J$2="ELA",
IF(VLOOKUP($A606, YES_Reading_ELA[], COLUMN(YES_Reading_ELA[Self-Identified as Indigenous]), FALSE)="", "",
VLOOKUP($A606,YES_Reading_ELA[], COLUMN(YES_Reading_ELA[Self-Identified as Indigenous]), FALSE)),
IF($J$2="FLA",
IF(VLOOKUP($A606, YES_Reading_FLA[], COLUMN(YES_Reading_FLA[Self-Identified as Indigenous]),FALSE)="","",
VLOOKUP($A606,YES_Reading_FLA[],COLUMN(YES_Reading_FLA[Self-Identified as Indigenous]),FALSE)),
IF($J$2="Combined",
IFERROR(
IF(VLOOKUP($A606, YES_Reading_ELA[], COLUMN(YES_Reading_ELA[Self-Identified as Indigenous]), FALSE)="", "",
VLOOKUP($A606,YES_Reading_ELA[],COLUMN(YES_Reading_ELA[Self-Identified as Indigenous]),FALSE)),
IF(VLOOKUP($A606, YES_Reading_FLA[], COLUMN(YES_Reading_FLA[Self-Identified as Indigenous]),FALSE)="", "", VLOOKUP($A606,YES_Reading_FLA[],COLUMN(YES_Reading_FLA[Self-Identified as Indigenous]),FALSE))),""))),"")</f>
        <v/>
      </c>
    </row>
    <row r="607" spans="1:12" ht="19.5" customHeight="1" x14ac:dyDescent="0.25">
      <c r="A607" s="217"/>
      <c r="B607" s="220" t="str">
        <f>IFERROR(VLOOKUP(A607,_xlfn.VSTACK(YES_Reading_ELA[],YES_Reading_FLA[]),2,FALSE),"")</f>
        <v/>
      </c>
      <c r="C607" s="203" t="str" cm="1">
        <f t="array" aca="1" ref="C607" ca="1">IFERROR(
IF($J$2="ELA",
IF(VLOOKUP($A607, YES_Reading_ELA[], COLUMN(IF(VLOOKUP($D$2, 'Reading Report Logic'!$A$2:$B$8, 2, FALSE)=1, YES_Reading_ELA[Reading Level June of Previous School Year], INDIRECT("YES_Reading_ELA[Instructional Reading Level - Per "&amp;(VLOOKUP($D$2,'Reading Report Logic'!$A$2:$B$8,2,FALSE)-1)&amp;"]"))), FALSE)="", "",
VLOOKUP($A607,YES_Reading_ELA[], COLUMN(IF(VLOOKUP($D$2,'Reading Report Logic'!$A$2:$B$8,2,FALSE)=1, YES_Reading_ELA[Reading Level June of Previous School Year],INDIRECT("YES_Reading_ELA[Instructional Reading Level - Per "&amp;(VLOOKUP($D$2,'Reading Report Logic'!$A$2:$B$8,2,FALSE)-1)&amp;"]"))), FALSE)),
IF($J$2="FLA",
IF(VLOOKUP($A607, YES_Reading_FLA[], COLUMN(IF(VLOOKUP($D$2,'Reading Report Logic'!$A$2:$B$8,2,FALSE)=1, YES_Reading_FLA[Reading Level June of Previous School Year],INDIRECT("YES_Reading_FLA[Instructional Reading Level - Per "&amp;(VLOOKUP($D$2,'Reading Report Logic'!$A$2:$B$8,2,FALSE)-1)&amp;"]"))),FALSE)="","",
VLOOKUP($A607,YES_Reading_FLA[], COLUMN(IF(VLOOKUP($D$2,'Reading Report Logic'!$A$2:$B$8,2,FALSE)=1, YES_Reading_FLA[Reading Level June of Previous School Year],INDIRECT("YES_Reading_FLA[Instructional Reading Level - Per "&amp;(VLOOKUP($D$2,'Reading Report Logic'!$A$2:$B$8,2,FALSE)-1)&amp;"]"))),FALSE)),
IF($J$2="Combined",
IFERROR(
IF(VLOOKUP($A607, YES_Reading_ELA[], COLUMN(IF(VLOOKUP($D$2,'Reading Report Logic'!$A$2:$B$8,2,FALSE)=1, YES_Reading_ELA[Reading Level June of Previous School Year],INDIRECT("YES_Reading_ELA[Instructional Reading Level - Per "&amp;(VLOOKUP($D$2,'Reading Report Logic'!$A$2:$B$8,2,FALSE)-1)&amp;"]"))), FALSE)="", "",
VLOOKUP($A607,YES_Reading_ELA[],COLUMN(IF(VLOOKUP($D$2,'Reading Report Logic'!$A$2:$B$8,2,FALSE)=1, YES_Reading_ELA[Reading Level June of Previous School Year],INDIRECT("YES_Reading_ELA[Instructional Reading Level - Per "&amp;(VLOOKUP($D$2,'Reading Report Logic'!$A$2:$B$8,2,FALSE)-1)&amp;"]"))),FALSE)),
IF(VLOOKUP($A607, YES_Reading_FLA[], COLUMN(IF(VLOOKUP($D$2,'Reading Report Logic'!$A$2:$B$8,2,FALSE)=1, YES_Reading_FLA[Reading Level June of Previous School Year],INDIRECT("YES_Reading_FLA[Instructional Reading Level - Per "&amp;(VLOOKUP($D$2,'Reading Report Logic'!$A$2:$B$8,2,FALSE)-1)&amp;"]"))),FALSE)="", "", VLOOKUP($A607,YES_Reading_FLA[],COLUMN(IF(VLOOKUP($D$2,'Reading Report Logic'!$A$2:$B$8,2,FALSE)=1, YES_Reading_FLA[Reading Level June of Previous School Year],INDIRECT("YES_Reading_FLA[Instructional Reading Level - Per "&amp;(VLOOKUP($D$2,'Reading Report Logic'!$A$2:$B$8,2,FALSE)-1)&amp;"]"))), FALSE))),""))),"")</f>
        <v/>
      </c>
      <c r="D607" s="204" t="str" cm="1">
        <f t="array" aca="1" ref="D607" ca="1">IFERROR(
IF($J$2="ELA",
IF(VLOOKUP($A607, YES_Reading_ELA[], COLUMN(INDIRECT("YES_Reading_ELA[Instructional Reading Level - Per "&amp;VLOOKUP($D$2, 'Reading Report Logic'!$A$2:$B$8, 2, FALSE)&amp;"]")), FALSE)="", "",
VLOOKUP($A607,YES_Reading_ELA[], COLUMN(INDIRECT("YES_Reading_ELA[Instructional Reading Level - Per "&amp;VLOOKUP($D$2,'Reading Report Logic'!$A$2:$B$8,2,FALSE)&amp;"]")), FALSE)),
IF($J$2="FLA",
IF(VLOOKUP($A607, YES_Reading_FLA[], COLUMN(INDIRECT("YES_Reading_FLA[Instructional Reading Level - Per "&amp;VLOOKUP($D$2,'Reading Report Logic'!$A$2:$B$8,2,FALSE)&amp;"]")),FALSE)="","",
VLOOKUP($A607,YES_Reading_FLA[],COLUMN(INDIRECT("YES_Reading_FLA[Instructional Reading Level - Per "&amp;VLOOKUP($D$2,'Reading Report Logic'!$A$2:$B$8,2,FALSE)&amp;"]")),FALSE)),
IF($J$2="Combined",
IFERROR(
IF(VLOOKUP($A607, YES_Reading_ELA[], COLUMN(INDIRECT("YES_Reading_ELA[Instructional Reading Level - Per "&amp;VLOOKUP($D$2, 'Reading Report Logic'!$A$2:$B$8,2,FALSE)&amp;"]")), FALSE)="", "",
VLOOKUP($A607,YES_Reading_ELA[],COLUMN(INDIRECT("YES_Reading_ELA[Instructional Reading Level - Per "&amp;VLOOKUP($D$2,'Reading Report Logic'!$A$2:$B$8,2,FALSE)&amp;"]")),FALSE)),
IF(VLOOKUP($A607, YES_Reading_FLA[], COLUMN(INDIRECT("YES_Reading_FLA[Instructional Reading Level - Per "&amp;VLOOKUP($D$2, 'Reading Report Logic'!$A$2:$B$8, 2, FALSE)&amp;"]")),FALSE)="", "", VLOOKUP($A607,YES_Reading_FLA[],COLUMN(INDIRECT("YES_Reading_FLA[Instructional Reading Level - Per "&amp;VLOOKUP($D$2, 'Reading Report Logic'!$A$2:$B$8, 2, FALSE)&amp;"]")),FALSE))),""))),"")</f>
        <v/>
      </c>
      <c r="E607" s="205" t="str" cm="1">
        <f t="array" aca="1" ref="E607" ca="1">IFERROR(
IF($J$2="ELA",
IF(VLOOKUP($A607, YES_Reading_ELA[], COLUMN(INDIRECT("YES_Reading_ELA[Min Expectation - Per "&amp;VLOOKUP($D$2, 'Reading Report Logic'!$A$2:$B$8, 2, FALSE)&amp;"]")), FALSE)="", "",
VLOOKUP($A607,YES_Reading_ELA[], COLUMN(INDIRECT("YES_Reading_ELA[Min Expectation - Per "&amp;VLOOKUP($D$2,'Reading Report Logic'!$A$2:$B$8,2,FALSE)&amp;"]")), FALSE)),
IF($J$2="FLA",
IF(VLOOKUP($A607, YES_Reading_FLA[], COLUMN(INDIRECT("YES_Reading_FLA[Min Expectation - Per "&amp;VLOOKUP($D$2,'Reading Report Logic'!$A$2:$B$8,2,FALSE)&amp;"]")),FALSE)="","",
VLOOKUP($A607,YES_Reading_FLA[],COLUMN(INDIRECT("YES_Reading_FLA[Min Expectation - Per "&amp;VLOOKUP($D$2,'Reading Report Logic'!$A$2:$B$8,2,FALSE)&amp;"]")),FALSE)),
IF($J$2="Combined",
IFERROR(
IF(VLOOKUP($A607, YES_Reading_ELA[], COLUMN(INDIRECT("YES_Reading_ELA[Min Expectation - Per "&amp;VLOOKUP($D$2, 'Reading Report Logic'!$A$2:$B$8,2,FALSE)&amp;"]")), FALSE)="", "",
VLOOKUP($A607,YES_Reading_ELA[],COLUMN(INDIRECT("YES_Reading_ELA[Min Expectation - Per "&amp;VLOOKUP($D$2,'Reading Report Logic'!$A$2:$B$8,2,FALSE)&amp;"]")),FALSE)),
IF(VLOOKUP($A607, YES_Reading_FLA[], COLUMN(INDIRECT("YES_Reading_FLA[Min Expectation - Per "&amp;VLOOKUP($D$2, 'Reading Report Logic'!$A$2:$B$8, 2, FALSE)&amp;"]")),FALSE)="", "", VLOOKUP($A607,YES_Reading_FLA[],COLUMN(INDIRECT("YES_Reading_FLA[Min Expectation - Per "&amp;VLOOKUP($D$2, 'Reading Report Logic'!$A$2:$B$8, 2, FALSE)&amp;"]")),FALSE))),""))),"")</f>
        <v/>
      </c>
      <c r="F607" s="205" t="str" cm="1">
        <f t="array" aca="1" ref="F607" ca="1">IFERROR(
IF($J$2="ELA",
IF(VLOOKUP($A607, YES_Reading_ELA[], COLUMN(INDIRECT("YES_Reading_ELA[Max Expectation - Per "&amp;VLOOKUP($D$2, 'Reading Report Logic'!$A$2:$B$8, 2, FALSE)&amp;"]")), FALSE)="", "",
VLOOKUP($A607,YES_Reading_ELA[], COLUMN(INDIRECT("YES_Reading_ELA[Max Expectation - Per "&amp;VLOOKUP($D$2,'Reading Report Logic'!$A$2:$B$8,2,FALSE)&amp;"]")), FALSE)),
IF($J$2="FLA",
IF(VLOOKUP($A607, YES_Reading_FLA[], COLUMN(INDIRECT("YES_Reading_FLA[Max Expectation - Per "&amp;VLOOKUP($D$2,'Reading Report Logic'!$A$2:$B$8,2,FALSE)&amp;"]")),FALSE)="","",
VLOOKUP($A607,YES_Reading_FLA[],COLUMN(INDIRECT("YES_Reading_FLA[Max Expectation - Per "&amp;VLOOKUP($D$2,'Reading Report Logic'!$A$2:$B$8,2,FALSE)&amp;"]")),FALSE)),
IF($J$2="Combined",
IFERROR(
IF(VLOOKUP($A607, YES_Reading_ELA[], COLUMN(INDIRECT("YES_Reading_ELA[Max Expectation - Per "&amp;VLOOKUP($D$2, 'Reading Report Logic'!$A$2:$B$8,2,FALSE)&amp;"]")), FALSE)="", "",
VLOOKUP($A607,YES_Reading_ELA[],COLUMN(INDIRECT("YES_Reading_ELA[Max Expectation - Per "&amp;VLOOKUP($D$2,'Reading Report Logic'!$A$2:$B$8,2,FALSE)&amp;"]")),FALSE)),
IF(VLOOKUP($A607, YES_Reading_FLA[], COLUMN(INDIRECT("YES_Reading_FLA[Max Expectation - Per "&amp;VLOOKUP($D$2, 'Reading Report Logic'!$A$2:$B$8, 2, FALSE)&amp;"]")),FALSE)="", "", VLOOKUP($A607,YES_Reading_FLA[],COLUMN(INDIRECT("YES_Reading_FLA[Max Expectation - Per "&amp;VLOOKUP($D$2, 'Reading Report Logic'!$A$2:$B$8, 2, FALSE)&amp;"]")),FALSE))),""))),"")</f>
        <v/>
      </c>
      <c r="G607" s="205" t="str" cm="1">
        <f t="array" aca="1" ref="G607" ca="1">IFERROR(
IF($J$2="ELA",
IF(VLOOKUP($A607, YES_Reading_ELA[], COLUMN(INDIRECT("YES_Reading_ELA[Difference - Per "&amp;VLOOKUP($D$2, 'Reading Report Logic'!$A$2:$B$8, 2, FALSE)&amp;"]")), FALSE)="", "",
VLOOKUP($A607,YES_Reading_ELA[], COLUMN(INDIRECT("YES_Reading_ELA[Difference - Per "&amp;VLOOKUP($D$2,'Reading Report Logic'!$A$2:$B$8,2,FALSE)&amp;"]")), FALSE)),
IF($J$2="FLA",
IF(VLOOKUP($A607, YES_Reading_FLA[], COLUMN(INDIRECT("YES_Reading_FLA[Difference - Per "&amp;VLOOKUP($D$2,'Reading Report Logic'!$A$2:$B$8,2,FALSE)&amp;"]")),FALSE)="","",
VLOOKUP($A607,YES_Reading_FLA[],COLUMN(INDIRECT("YES_Reading_FLA[Difference - Per "&amp;VLOOKUP($D$2,'Reading Report Logic'!$A$2:$B$8,2,FALSE)&amp;"]")),FALSE)),
IF($J$2="Combined",
IFERROR(
IF(VLOOKUP($A607, YES_Reading_ELA[], COLUMN(INDIRECT("YES_Reading_ELA[Difference - Per "&amp;VLOOKUP($D$2, 'Reading Report Logic'!$A$2:$B$8,2,FALSE)&amp;"]")), FALSE)="", "",
VLOOKUP($A607,YES_Reading_ELA[],COLUMN(INDIRECT("YES_Reading_ELA[Difference - Per "&amp;VLOOKUP($D$2,'Reading Report Logic'!$A$2:$B$8,2,FALSE)&amp;"]")),FALSE)),
IF(VLOOKUP($A607, YES_Reading_FLA[], COLUMN(INDIRECT("YES_Reading_FLA[Difference - Per "&amp;VLOOKUP($D$2, 'Reading Report Logic'!$A$2:$B$8, 2, FALSE)&amp;"]")),FALSE)="", "", VLOOKUP($A607,YES_Reading_FLA[],COLUMN(INDIRECT("YES_Reading_FLA[Difference - Per "&amp;VLOOKUP($D$2, 'Reading Report Logic'!$A$2:$B$8, 2, FALSE)&amp;"]")),FALSE))),""))),"")</f>
        <v/>
      </c>
      <c r="H607" s="206" t="str">
        <f ca="1">IFERROR(VLOOKUP('Teacher Reading Pull Sheets'!$D607,_xlfn.VSTACK('ELA Reading Logic'!$A$22:$B$48,'FLA Reading Logic'!$A$22:$B$53),2,FALSE)-VLOOKUP('Teacher Reading Pull Sheets'!$C607,_xlfn.VSTACK('ELA Reading Logic'!$A$22:$B$48,'FLA Reading Logic'!$A$22:$B$53),2,FALSE),"")</f>
        <v/>
      </c>
      <c r="I607" s="212"/>
      <c r="J607" s="206"/>
      <c r="K607" s="197" t="str" cm="1">
        <f t="array" ref="K607">IFERROR(
IF($J$2="ELA",
IF(VLOOKUP($A607, YES_Reading_ELA[], COLUMN(YES_Reading_ELA[Self-Identified as African Descent]), FALSE)="", "",
VLOOKUP($A607,YES_Reading_ELA[], COLUMN(YES_Reading_ELA[Self-Identified as African Descent]), FALSE)),
IF($J$2="FLA",
IF(VLOOKUP($A607, YES_Reading_FLA[], COLUMN(YES_Reading_FLA[Self-Identified as African Descent]),FALSE)="","",
VLOOKUP($A607,YES_Reading_FLA[],COLUMN(YES_Reading_FLA[Self-Identified as African Descent]),FALSE)),
IF($J$2="Combined",
IFERROR(
IF(VLOOKUP($A607, YES_Reading_ELA[], COLUMN(YES_Reading_ELA[Self-Identified as African Descent]), FALSE)="", "",
VLOOKUP($A607,YES_Reading_ELA[],COLUMN(YES_Reading_ELA[Self-Identified as African Descent]),FALSE)),
IF(VLOOKUP($A607, YES_Reading_FLA[], COLUMN(YES_Reading_FLA[Self-Identified as African Descent]),FALSE)="", "", VLOOKUP($A607,YES_Reading_FLA[],COLUMN(YES_Reading_FLA[Self-Identified as African Descent]),FALSE))),""))),"")</f>
        <v/>
      </c>
      <c r="L607" s="73" t="str" cm="1">
        <f t="array" ref="L607">IFERROR(
IF($J$2="ELA",
IF(VLOOKUP($A607, YES_Reading_ELA[], COLUMN(YES_Reading_ELA[Self-Identified as Indigenous]), FALSE)="", "",
VLOOKUP($A607,YES_Reading_ELA[], COLUMN(YES_Reading_ELA[Self-Identified as Indigenous]), FALSE)),
IF($J$2="FLA",
IF(VLOOKUP($A607, YES_Reading_FLA[], COLUMN(YES_Reading_FLA[Self-Identified as Indigenous]),FALSE)="","",
VLOOKUP($A607,YES_Reading_FLA[],COLUMN(YES_Reading_FLA[Self-Identified as Indigenous]),FALSE)),
IF($J$2="Combined",
IFERROR(
IF(VLOOKUP($A607, YES_Reading_ELA[], COLUMN(YES_Reading_ELA[Self-Identified as Indigenous]), FALSE)="", "",
VLOOKUP($A607,YES_Reading_ELA[],COLUMN(YES_Reading_ELA[Self-Identified as Indigenous]),FALSE)),
IF(VLOOKUP($A607, YES_Reading_FLA[], COLUMN(YES_Reading_FLA[Self-Identified as Indigenous]),FALSE)="", "", VLOOKUP($A607,YES_Reading_FLA[],COLUMN(YES_Reading_FLA[Self-Identified as Indigenous]),FALSE))),""))),"")</f>
        <v/>
      </c>
    </row>
    <row r="608" spans="1:12" ht="19.5" customHeight="1" x14ac:dyDescent="0.25">
      <c r="A608" s="217"/>
      <c r="B608" s="220" t="str">
        <f>IFERROR(VLOOKUP(A608,_xlfn.VSTACK(YES_Reading_ELA[],YES_Reading_FLA[]),2,FALSE),"")</f>
        <v/>
      </c>
      <c r="C608" s="203" t="str" cm="1">
        <f t="array" aca="1" ref="C608" ca="1">IFERROR(
IF($J$2="ELA",
IF(VLOOKUP($A608, YES_Reading_ELA[], COLUMN(IF(VLOOKUP($D$2, 'Reading Report Logic'!$A$2:$B$8, 2, FALSE)=1, YES_Reading_ELA[Reading Level June of Previous School Year], INDIRECT("YES_Reading_ELA[Instructional Reading Level - Per "&amp;(VLOOKUP($D$2,'Reading Report Logic'!$A$2:$B$8,2,FALSE)-1)&amp;"]"))), FALSE)="", "",
VLOOKUP($A608,YES_Reading_ELA[], COLUMN(IF(VLOOKUP($D$2,'Reading Report Logic'!$A$2:$B$8,2,FALSE)=1, YES_Reading_ELA[Reading Level June of Previous School Year],INDIRECT("YES_Reading_ELA[Instructional Reading Level - Per "&amp;(VLOOKUP($D$2,'Reading Report Logic'!$A$2:$B$8,2,FALSE)-1)&amp;"]"))), FALSE)),
IF($J$2="FLA",
IF(VLOOKUP($A608, YES_Reading_FLA[], COLUMN(IF(VLOOKUP($D$2,'Reading Report Logic'!$A$2:$B$8,2,FALSE)=1, YES_Reading_FLA[Reading Level June of Previous School Year],INDIRECT("YES_Reading_FLA[Instructional Reading Level - Per "&amp;(VLOOKUP($D$2,'Reading Report Logic'!$A$2:$B$8,2,FALSE)-1)&amp;"]"))),FALSE)="","",
VLOOKUP($A608,YES_Reading_FLA[], COLUMN(IF(VLOOKUP($D$2,'Reading Report Logic'!$A$2:$B$8,2,FALSE)=1, YES_Reading_FLA[Reading Level June of Previous School Year],INDIRECT("YES_Reading_FLA[Instructional Reading Level - Per "&amp;(VLOOKUP($D$2,'Reading Report Logic'!$A$2:$B$8,2,FALSE)-1)&amp;"]"))),FALSE)),
IF($J$2="Combined",
IFERROR(
IF(VLOOKUP($A608, YES_Reading_ELA[], COLUMN(IF(VLOOKUP($D$2,'Reading Report Logic'!$A$2:$B$8,2,FALSE)=1, YES_Reading_ELA[Reading Level June of Previous School Year],INDIRECT("YES_Reading_ELA[Instructional Reading Level - Per "&amp;(VLOOKUP($D$2,'Reading Report Logic'!$A$2:$B$8,2,FALSE)-1)&amp;"]"))), FALSE)="", "",
VLOOKUP($A608,YES_Reading_ELA[],COLUMN(IF(VLOOKUP($D$2,'Reading Report Logic'!$A$2:$B$8,2,FALSE)=1, YES_Reading_ELA[Reading Level June of Previous School Year],INDIRECT("YES_Reading_ELA[Instructional Reading Level - Per "&amp;(VLOOKUP($D$2,'Reading Report Logic'!$A$2:$B$8,2,FALSE)-1)&amp;"]"))),FALSE)),
IF(VLOOKUP($A608, YES_Reading_FLA[], COLUMN(IF(VLOOKUP($D$2,'Reading Report Logic'!$A$2:$B$8,2,FALSE)=1, YES_Reading_FLA[Reading Level June of Previous School Year],INDIRECT("YES_Reading_FLA[Instructional Reading Level - Per "&amp;(VLOOKUP($D$2,'Reading Report Logic'!$A$2:$B$8,2,FALSE)-1)&amp;"]"))),FALSE)="", "", VLOOKUP($A608,YES_Reading_FLA[],COLUMN(IF(VLOOKUP($D$2,'Reading Report Logic'!$A$2:$B$8,2,FALSE)=1, YES_Reading_FLA[Reading Level June of Previous School Year],INDIRECT("YES_Reading_FLA[Instructional Reading Level - Per "&amp;(VLOOKUP($D$2,'Reading Report Logic'!$A$2:$B$8,2,FALSE)-1)&amp;"]"))), FALSE))),""))),"")</f>
        <v/>
      </c>
      <c r="D608" s="204" t="str" cm="1">
        <f t="array" aca="1" ref="D608" ca="1">IFERROR(
IF($J$2="ELA",
IF(VLOOKUP($A608, YES_Reading_ELA[], COLUMN(INDIRECT("YES_Reading_ELA[Instructional Reading Level - Per "&amp;VLOOKUP($D$2, 'Reading Report Logic'!$A$2:$B$8, 2, FALSE)&amp;"]")), FALSE)="", "",
VLOOKUP($A608,YES_Reading_ELA[], COLUMN(INDIRECT("YES_Reading_ELA[Instructional Reading Level - Per "&amp;VLOOKUP($D$2,'Reading Report Logic'!$A$2:$B$8,2,FALSE)&amp;"]")), FALSE)),
IF($J$2="FLA",
IF(VLOOKUP($A608, YES_Reading_FLA[], COLUMN(INDIRECT("YES_Reading_FLA[Instructional Reading Level - Per "&amp;VLOOKUP($D$2,'Reading Report Logic'!$A$2:$B$8,2,FALSE)&amp;"]")),FALSE)="","",
VLOOKUP($A608,YES_Reading_FLA[],COLUMN(INDIRECT("YES_Reading_FLA[Instructional Reading Level - Per "&amp;VLOOKUP($D$2,'Reading Report Logic'!$A$2:$B$8,2,FALSE)&amp;"]")),FALSE)),
IF($J$2="Combined",
IFERROR(
IF(VLOOKUP($A608, YES_Reading_ELA[], COLUMN(INDIRECT("YES_Reading_ELA[Instructional Reading Level - Per "&amp;VLOOKUP($D$2, 'Reading Report Logic'!$A$2:$B$8,2,FALSE)&amp;"]")), FALSE)="", "",
VLOOKUP($A608,YES_Reading_ELA[],COLUMN(INDIRECT("YES_Reading_ELA[Instructional Reading Level - Per "&amp;VLOOKUP($D$2,'Reading Report Logic'!$A$2:$B$8,2,FALSE)&amp;"]")),FALSE)),
IF(VLOOKUP($A608, YES_Reading_FLA[], COLUMN(INDIRECT("YES_Reading_FLA[Instructional Reading Level - Per "&amp;VLOOKUP($D$2, 'Reading Report Logic'!$A$2:$B$8, 2, FALSE)&amp;"]")),FALSE)="", "", VLOOKUP($A608,YES_Reading_FLA[],COLUMN(INDIRECT("YES_Reading_FLA[Instructional Reading Level - Per "&amp;VLOOKUP($D$2, 'Reading Report Logic'!$A$2:$B$8, 2, FALSE)&amp;"]")),FALSE))),""))),"")</f>
        <v/>
      </c>
      <c r="E608" s="205" t="str" cm="1">
        <f t="array" aca="1" ref="E608" ca="1">IFERROR(
IF($J$2="ELA",
IF(VLOOKUP($A608, YES_Reading_ELA[], COLUMN(INDIRECT("YES_Reading_ELA[Min Expectation - Per "&amp;VLOOKUP($D$2, 'Reading Report Logic'!$A$2:$B$8, 2, FALSE)&amp;"]")), FALSE)="", "",
VLOOKUP($A608,YES_Reading_ELA[], COLUMN(INDIRECT("YES_Reading_ELA[Min Expectation - Per "&amp;VLOOKUP($D$2,'Reading Report Logic'!$A$2:$B$8,2,FALSE)&amp;"]")), FALSE)),
IF($J$2="FLA",
IF(VLOOKUP($A608, YES_Reading_FLA[], COLUMN(INDIRECT("YES_Reading_FLA[Min Expectation - Per "&amp;VLOOKUP($D$2,'Reading Report Logic'!$A$2:$B$8,2,FALSE)&amp;"]")),FALSE)="","",
VLOOKUP($A608,YES_Reading_FLA[],COLUMN(INDIRECT("YES_Reading_FLA[Min Expectation - Per "&amp;VLOOKUP($D$2,'Reading Report Logic'!$A$2:$B$8,2,FALSE)&amp;"]")),FALSE)),
IF($J$2="Combined",
IFERROR(
IF(VLOOKUP($A608, YES_Reading_ELA[], COLUMN(INDIRECT("YES_Reading_ELA[Min Expectation - Per "&amp;VLOOKUP($D$2, 'Reading Report Logic'!$A$2:$B$8,2,FALSE)&amp;"]")), FALSE)="", "",
VLOOKUP($A608,YES_Reading_ELA[],COLUMN(INDIRECT("YES_Reading_ELA[Min Expectation - Per "&amp;VLOOKUP($D$2,'Reading Report Logic'!$A$2:$B$8,2,FALSE)&amp;"]")),FALSE)),
IF(VLOOKUP($A608, YES_Reading_FLA[], COLUMN(INDIRECT("YES_Reading_FLA[Min Expectation - Per "&amp;VLOOKUP($D$2, 'Reading Report Logic'!$A$2:$B$8, 2, FALSE)&amp;"]")),FALSE)="", "", VLOOKUP($A608,YES_Reading_FLA[],COLUMN(INDIRECT("YES_Reading_FLA[Min Expectation - Per "&amp;VLOOKUP($D$2, 'Reading Report Logic'!$A$2:$B$8, 2, FALSE)&amp;"]")),FALSE))),""))),"")</f>
        <v/>
      </c>
      <c r="F608" s="205" t="str" cm="1">
        <f t="array" aca="1" ref="F608" ca="1">IFERROR(
IF($J$2="ELA",
IF(VLOOKUP($A608, YES_Reading_ELA[], COLUMN(INDIRECT("YES_Reading_ELA[Max Expectation - Per "&amp;VLOOKUP($D$2, 'Reading Report Logic'!$A$2:$B$8, 2, FALSE)&amp;"]")), FALSE)="", "",
VLOOKUP($A608,YES_Reading_ELA[], COLUMN(INDIRECT("YES_Reading_ELA[Max Expectation - Per "&amp;VLOOKUP($D$2,'Reading Report Logic'!$A$2:$B$8,2,FALSE)&amp;"]")), FALSE)),
IF($J$2="FLA",
IF(VLOOKUP($A608, YES_Reading_FLA[], COLUMN(INDIRECT("YES_Reading_FLA[Max Expectation - Per "&amp;VLOOKUP($D$2,'Reading Report Logic'!$A$2:$B$8,2,FALSE)&amp;"]")),FALSE)="","",
VLOOKUP($A608,YES_Reading_FLA[],COLUMN(INDIRECT("YES_Reading_FLA[Max Expectation - Per "&amp;VLOOKUP($D$2,'Reading Report Logic'!$A$2:$B$8,2,FALSE)&amp;"]")),FALSE)),
IF($J$2="Combined",
IFERROR(
IF(VLOOKUP($A608, YES_Reading_ELA[], COLUMN(INDIRECT("YES_Reading_ELA[Max Expectation - Per "&amp;VLOOKUP($D$2, 'Reading Report Logic'!$A$2:$B$8,2,FALSE)&amp;"]")), FALSE)="", "",
VLOOKUP($A608,YES_Reading_ELA[],COLUMN(INDIRECT("YES_Reading_ELA[Max Expectation - Per "&amp;VLOOKUP($D$2,'Reading Report Logic'!$A$2:$B$8,2,FALSE)&amp;"]")),FALSE)),
IF(VLOOKUP($A608, YES_Reading_FLA[], COLUMN(INDIRECT("YES_Reading_FLA[Max Expectation - Per "&amp;VLOOKUP($D$2, 'Reading Report Logic'!$A$2:$B$8, 2, FALSE)&amp;"]")),FALSE)="", "", VLOOKUP($A608,YES_Reading_FLA[],COLUMN(INDIRECT("YES_Reading_FLA[Max Expectation - Per "&amp;VLOOKUP($D$2, 'Reading Report Logic'!$A$2:$B$8, 2, FALSE)&amp;"]")),FALSE))),""))),"")</f>
        <v/>
      </c>
      <c r="G608" s="205" t="str" cm="1">
        <f t="array" aca="1" ref="G608" ca="1">IFERROR(
IF($J$2="ELA",
IF(VLOOKUP($A608, YES_Reading_ELA[], COLUMN(INDIRECT("YES_Reading_ELA[Difference - Per "&amp;VLOOKUP($D$2, 'Reading Report Logic'!$A$2:$B$8, 2, FALSE)&amp;"]")), FALSE)="", "",
VLOOKUP($A608,YES_Reading_ELA[], COLUMN(INDIRECT("YES_Reading_ELA[Difference - Per "&amp;VLOOKUP($D$2,'Reading Report Logic'!$A$2:$B$8,2,FALSE)&amp;"]")), FALSE)),
IF($J$2="FLA",
IF(VLOOKUP($A608, YES_Reading_FLA[], COLUMN(INDIRECT("YES_Reading_FLA[Difference - Per "&amp;VLOOKUP($D$2,'Reading Report Logic'!$A$2:$B$8,2,FALSE)&amp;"]")),FALSE)="","",
VLOOKUP($A608,YES_Reading_FLA[],COLUMN(INDIRECT("YES_Reading_FLA[Difference - Per "&amp;VLOOKUP($D$2,'Reading Report Logic'!$A$2:$B$8,2,FALSE)&amp;"]")),FALSE)),
IF($J$2="Combined",
IFERROR(
IF(VLOOKUP($A608, YES_Reading_ELA[], COLUMN(INDIRECT("YES_Reading_ELA[Difference - Per "&amp;VLOOKUP($D$2, 'Reading Report Logic'!$A$2:$B$8,2,FALSE)&amp;"]")), FALSE)="", "",
VLOOKUP($A608,YES_Reading_ELA[],COLUMN(INDIRECT("YES_Reading_ELA[Difference - Per "&amp;VLOOKUP($D$2,'Reading Report Logic'!$A$2:$B$8,2,FALSE)&amp;"]")),FALSE)),
IF(VLOOKUP($A608, YES_Reading_FLA[], COLUMN(INDIRECT("YES_Reading_FLA[Difference - Per "&amp;VLOOKUP($D$2, 'Reading Report Logic'!$A$2:$B$8, 2, FALSE)&amp;"]")),FALSE)="", "", VLOOKUP($A608,YES_Reading_FLA[],COLUMN(INDIRECT("YES_Reading_FLA[Difference - Per "&amp;VLOOKUP($D$2, 'Reading Report Logic'!$A$2:$B$8, 2, FALSE)&amp;"]")),FALSE))),""))),"")</f>
        <v/>
      </c>
      <c r="H608" s="206" t="str">
        <f ca="1">IFERROR(VLOOKUP('Teacher Reading Pull Sheets'!$D608,_xlfn.VSTACK('ELA Reading Logic'!$A$22:$B$48,'FLA Reading Logic'!$A$22:$B$53),2,FALSE)-VLOOKUP('Teacher Reading Pull Sheets'!$C608,_xlfn.VSTACK('ELA Reading Logic'!$A$22:$B$48,'FLA Reading Logic'!$A$22:$B$53),2,FALSE),"")</f>
        <v/>
      </c>
      <c r="I608" s="212"/>
      <c r="J608" s="206"/>
      <c r="K608" s="197" t="str" cm="1">
        <f t="array" ref="K608">IFERROR(
IF($J$2="ELA",
IF(VLOOKUP($A608, YES_Reading_ELA[], COLUMN(YES_Reading_ELA[Self-Identified as African Descent]), FALSE)="", "",
VLOOKUP($A608,YES_Reading_ELA[], COLUMN(YES_Reading_ELA[Self-Identified as African Descent]), FALSE)),
IF($J$2="FLA",
IF(VLOOKUP($A608, YES_Reading_FLA[], COLUMN(YES_Reading_FLA[Self-Identified as African Descent]),FALSE)="","",
VLOOKUP($A608,YES_Reading_FLA[],COLUMN(YES_Reading_FLA[Self-Identified as African Descent]),FALSE)),
IF($J$2="Combined",
IFERROR(
IF(VLOOKUP($A608, YES_Reading_ELA[], COLUMN(YES_Reading_ELA[Self-Identified as African Descent]), FALSE)="", "",
VLOOKUP($A608,YES_Reading_ELA[],COLUMN(YES_Reading_ELA[Self-Identified as African Descent]),FALSE)),
IF(VLOOKUP($A608, YES_Reading_FLA[], COLUMN(YES_Reading_FLA[Self-Identified as African Descent]),FALSE)="", "", VLOOKUP($A608,YES_Reading_FLA[],COLUMN(YES_Reading_FLA[Self-Identified as African Descent]),FALSE))),""))),"")</f>
        <v/>
      </c>
      <c r="L608" s="73" t="str" cm="1">
        <f t="array" ref="L608">IFERROR(
IF($J$2="ELA",
IF(VLOOKUP($A608, YES_Reading_ELA[], COLUMN(YES_Reading_ELA[Self-Identified as Indigenous]), FALSE)="", "",
VLOOKUP($A608,YES_Reading_ELA[], COLUMN(YES_Reading_ELA[Self-Identified as Indigenous]), FALSE)),
IF($J$2="FLA",
IF(VLOOKUP($A608, YES_Reading_FLA[], COLUMN(YES_Reading_FLA[Self-Identified as Indigenous]),FALSE)="","",
VLOOKUP($A608,YES_Reading_FLA[],COLUMN(YES_Reading_FLA[Self-Identified as Indigenous]),FALSE)),
IF($J$2="Combined",
IFERROR(
IF(VLOOKUP($A608, YES_Reading_ELA[], COLUMN(YES_Reading_ELA[Self-Identified as Indigenous]), FALSE)="", "",
VLOOKUP($A608,YES_Reading_ELA[],COLUMN(YES_Reading_ELA[Self-Identified as Indigenous]),FALSE)),
IF(VLOOKUP($A608, YES_Reading_FLA[], COLUMN(YES_Reading_FLA[Self-Identified as Indigenous]),FALSE)="", "", VLOOKUP($A608,YES_Reading_FLA[],COLUMN(YES_Reading_FLA[Self-Identified as Indigenous]),FALSE))),""))),"")</f>
        <v/>
      </c>
    </row>
    <row r="609" spans="1:12" ht="19.5" customHeight="1" x14ac:dyDescent="0.25">
      <c r="A609" s="217"/>
      <c r="B609" s="220" t="str">
        <f>IFERROR(VLOOKUP(A609,_xlfn.VSTACK(YES_Reading_ELA[],YES_Reading_FLA[]),2,FALSE),"")</f>
        <v/>
      </c>
      <c r="C609" s="203" t="str" cm="1">
        <f t="array" aca="1" ref="C609" ca="1">IFERROR(
IF($J$2="ELA",
IF(VLOOKUP($A609, YES_Reading_ELA[], COLUMN(IF(VLOOKUP($D$2, 'Reading Report Logic'!$A$2:$B$8, 2, FALSE)=1, YES_Reading_ELA[Reading Level June of Previous School Year], INDIRECT("YES_Reading_ELA[Instructional Reading Level - Per "&amp;(VLOOKUP($D$2,'Reading Report Logic'!$A$2:$B$8,2,FALSE)-1)&amp;"]"))), FALSE)="", "",
VLOOKUP($A609,YES_Reading_ELA[], COLUMN(IF(VLOOKUP($D$2,'Reading Report Logic'!$A$2:$B$8,2,FALSE)=1, YES_Reading_ELA[Reading Level June of Previous School Year],INDIRECT("YES_Reading_ELA[Instructional Reading Level - Per "&amp;(VLOOKUP($D$2,'Reading Report Logic'!$A$2:$B$8,2,FALSE)-1)&amp;"]"))), FALSE)),
IF($J$2="FLA",
IF(VLOOKUP($A609, YES_Reading_FLA[], COLUMN(IF(VLOOKUP($D$2,'Reading Report Logic'!$A$2:$B$8,2,FALSE)=1, YES_Reading_FLA[Reading Level June of Previous School Year],INDIRECT("YES_Reading_FLA[Instructional Reading Level - Per "&amp;(VLOOKUP($D$2,'Reading Report Logic'!$A$2:$B$8,2,FALSE)-1)&amp;"]"))),FALSE)="","",
VLOOKUP($A609,YES_Reading_FLA[], COLUMN(IF(VLOOKUP($D$2,'Reading Report Logic'!$A$2:$B$8,2,FALSE)=1, YES_Reading_FLA[Reading Level June of Previous School Year],INDIRECT("YES_Reading_FLA[Instructional Reading Level - Per "&amp;(VLOOKUP($D$2,'Reading Report Logic'!$A$2:$B$8,2,FALSE)-1)&amp;"]"))),FALSE)),
IF($J$2="Combined",
IFERROR(
IF(VLOOKUP($A609, YES_Reading_ELA[], COLUMN(IF(VLOOKUP($D$2,'Reading Report Logic'!$A$2:$B$8,2,FALSE)=1, YES_Reading_ELA[Reading Level June of Previous School Year],INDIRECT("YES_Reading_ELA[Instructional Reading Level - Per "&amp;(VLOOKUP($D$2,'Reading Report Logic'!$A$2:$B$8,2,FALSE)-1)&amp;"]"))), FALSE)="", "",
VLOOKUP($A609,YES_Reading_ELA[],COLUMN(IF(VLOOKUP($D$2,'Reading Report Logic'!$A$2:$B$8,2,FALSE)=1, YES_Reading_ELA[Reading Level June of Previous School Year],INDIRECT("YES_Reading_ELA[Instructional Reading Level - Per "&amp;(VLOOKUP($D$2,'Reading Report Logic'!$A$2:$B$8,2,FALSE)-1)&amp;"]"))),FALSE)),
IF(VLOOKUP($A609, YES_Reading_FLA[], COLUMN(IF(VLOOKUP($D$2,'Reading Report Logic'!$A$2:$B$8,2,FALSE)=1, YES_Reading_FLA[Reading Level June of Previous School Year],INDIRECT("YES_Reading_FLA[Instructional Reading Level - Per "&amp;(VLOOKUP($D$2,'Reading Report Logic'!$A$2:$B$8,2,FALSE)-1)&amp;"]"))),FALSE)="", "", VLOOKUP($A609,YES_Reading_FLA[],COLUMN(IF(VLOOKUP($D$2,'Reading Report Logic'!$A$2:$B$8,2,FALSE)=1, YES_Reading_FLA[Reading Level June of Previous School Year],INDIRECT("YES_Reading_FLA[Instructional Reading Level - Per "&amp;(VLOOKUP($D$2,'Reading Report Logic'!$A$2:$B$8,2,FALSE)-1)&amp;"]"))), FALSE))),""))),"")</f>
        <v/>
      </c>
      <c r="D609" s="204" t="str" cm="1">
        <f t="array" aca="1" ref="D609" ca="1">IFERROR(
IF($J$2="ELA",
IF(VLOOKUP($A609, YES_Reading_ELA[], COLUMN(INDIRECT("YES_Reading_ELA[Instructional Reading Level - Per "&amp;VLOOKUP($D$2, 'Reading Report Logic'!$A$2:$B$8, 2, FALSE)&amp;"]")), FALSE)="", "",
VLOOKUP($A609,YES_Reading_ELA[], COLUMN(INDIRECT("YES_Reading_ELA[Instructional Reading Level - Per "&amp;VLOOKUP($D$2,'Reading Report Logic'!$A$2:$B$8,2,FALSE)&amp;"]")), FALSE)),
IF($J$2="FLA",
IF(VLOOKUP($A609, YES_Reading_FLA[], COLUMN(INDIRECT("YES_Reading_FLA[Instructional Reading Level - Per "&amp;VLOOKUP($D$2,'Reading Report Logic'!$A$2:$B$8,2,FALSE)&amp;"]")),FALSE)="","",
VLOOKUP($A609,YES_Reading_FLA[],COLUMN(INDIRECT("YES_Reading_FLA[Instructional Reading Level - Per "&amp;VLOOKUP($D$2,'Reading Report Logic'!$A$2:$B$8,2,FALSE)&amp;"]")),FALSE)),
IF($J$2="Combined",
IFERROR(
IF(VLOOKUP($A609, YES_Reading_ELA[], COLUMN(INDIRECT("YES_Reading_ELA[Instructional Reading Level - Per "&amp;VLOOKUP($D$2, 'Reading Report Logic'!$A$2:$B$8,2,FALSE)&amp;"]")), FALSE)="", "",
VLOOKUP($A609,YES_Reading_ELA[],COLUMN(INDIRECT("YES_Reading_ELA[Instructional Reading Level - Per "&amp;VLOOKUP($D$2,'Reading Report Logic'!$A$2:$B$8,2,FALSE)&amp;"]")),FALSE)),
IF(VLOOKUP($A609, YES_Reading_FLA[], COLUMN(INDIRECT("YES_Reading_FLA[Instructional Reading Level - Per "&amp;VLOOKUP($D$2, 'Reading Report Logic'!$A$2:$B$8, 2, FALSE)&amp;"]")),FALSE)="", "", VLOOKUP($A609,YES_Reading_FLA[],COLUMN(INDIRECT("YES_Reading_FLA[Instructional Reading Level - Per "&amp;VLOOKUP($D$2, 'Reading Report Logic'!$A$2:$B$8, 2, FALSE)&amp;"]")),FALSE))),""))),"")</f>
        <v/>
      </c>
      <c r="E609" s="205" t="str" cm="1">
        <f t="array" aca="1" ref="E609" ca="1">IFERROR(
IF($J$2="ELA",
IF(VLOOKUP($A609, YES_Reading_ELA[], COLUMN(INDIRECT("YES_Reading_ELA[Min Expectation - Per "&amp;VLOOKUP($D$2, 'Reading Report Logic'!$A$2:$B$8, 2, FALSE)&amp;"]")), FALSE)="", "",
VLOOKUP($A609,YES_Reading_ELA[], COLUMN(INDIRECT("YES_Reading_ELA[Min Expectation - Per "&amp;VLOOKUP($D$2,'Reading Report Logic'!$A$2:$B$8,2,FALSE)&amp;"]")), FALSE)),
IF($J$2="FLA",
IF(VLOOKUP($A609, YES_Reading_FLA[], COLUMN(INDIRECT("YES_Reading_FLA[Min Expectation - Per "&amp;VLOOKUP($D$2,'Reading Report Logic'!$A$2:$B$8,2,FALSE)&amp;"]")),FALSE)="","",
VLOOKUP($A609,YES_Reading_FLA[],COLUMN(INDIRECT("YES_Reading_FLA[Min Expectation - Per "&amp;VLOOKUP($D$2,'Reading Report Logic'!$A$2:$B$8,2,FALSE)&amp;"]")),FALSE)),
IF($J$2="Combined",
IFERROR(
IF(VLOOKUP($A609, YES_Reading_ELA[], COLUMN(INDIRECT("YES_Reading_ELA[Min Expectation - Per "&amp;VLOOKUP($D$2, 'Reading Report Logic'!$A$2:$B$8,2,FALSE)&amp;"]")), FALSE)="", "",
VLOOKUP($A609,YES_Reading_ELA[],COLUMN(INDIRECT("YES_Reading_ELA[Min Expectation - Per "&amp;VLOOKUP($D$2,'Reading Report Logic'!$A$2:$B$8,2,FALSE)&amp;"]")),FALSE)),
IF(VLOOKUP($A609, YES_Reading_FLA[], COLUMN(INDIRECT("YES_Reading_FLA[Min Expectation - Per "&amp;VLOOKUP($D$2, 'Reading Report Logic'!$A$2:$B$8, 2, FALSE)&amp;"]")),FALSE)="", "", VLOOKUP($A609,YES_Reading_FLA[],COLUMN(INDIRECT("YES_Reading_FLA[Min Expectation - Per "&amp;VLOOKUP($D$2, 'Reading Report Logic'!$A$2:$B$8, 2, FALSE)&amp;"]")),FALSE))),""))),"")</f>
        <v/>
      </c>
      <c r="F609" s="205" t="str" cm="1">
        <f t="array" aca="1" ref="F609" ca="1">IFERROR(
IF($J$2="ELA",
IF(VLOOKUP($A609, YES_Reading_ELA[], COLUMN(INDIRECT("YES_Reading_ELA[Max Expectation - Per "&amp;VLOOKUP($D$2, 'Reading Report Logic'!$A$2:$B$8, 2, FALSE)&amp;"]")), FALSE)="", "",
VLOOKUP($A609,YES_Reading_ELA[], COLUMN(INDIRECT("YES_Reading_ELA[Max Expectation - Per "&amp;VLOOKUP($D$2,'Reading Report Logic'!$A$2:$B$8,2,FALSE)&amp;"]")), FALSE)),
IF($J$2="FLA",
IF(VLOOKUP($A609, YES_Reading_FLA[], COLUMN(INDIRECT("YES_Reading_FLA[Max Expectation - Per "&amp;VLOOKUP($D$2,'Reading Report Logic'!$A$2:$B$8,2,FALSE)&amp;"]")),FALSE)="","",
VLOOKUP($A609,YES_Reading_FLA[],COLUMN(INDIRECT("YES_Reading_FLA[Max Expectation - Per "&amp;VLOOKUP($D$2,'Reading Report Logic'!$A$2:$B$8,2,FALSE)&amp;"]")),FALSE)),
IF($J$2="Combined",
IFERROR(
IF(VLOOKUP($A609, YES_Reading_ELA[], COLUMN(INDIRECT("YES_Reading_ELA[Max Expectation - Per "&amp;VLOOKUP($D$2, 'Reading Report Logic'!$A$2:$B$8,2,FALSE)&amp;"]")), FALSE)="", "",
VLOOKUP($A609,YES_Reading_ELA[],COLUMN(INDIRECT("YES_Reading_ELA[Max Expectation - Per "&amp;VLOOKUP($D$2,'Reading Report Logic'!$A$2:$B$8,2,FALSE)&amp;"]")),FALSE)),
IF(VLOOKUP($A609, YES_Reading_FLA[], COLUMN(INDIRECT("YES_Reading_FLA[Max Expectation - Per "&amp;VLOOKUP($D$2, 'Reading Report Logic'!$A$2:$B$8, 2, FALSE)&amp;"]")),FALSE)="", "", VLOOKUP($A609,YES_Reading_FLA[],COLUMN(INDIRECT("YES_Reading_FLA[Max Expectation - Per "&amp;VLOOKUP($D$2, 'Reading Report Logic'!$A$2:$B$8, 2, FALSE)&amp;"]")),FALSE))),""))),"")</f>
        <v/>
      </c>
      <c r="G609" s="205" t="str" cm="1">
        <f t="array" aca="1" ref="G609" ca="1">IFERROR(
IF($J$2="ELA",
IF(VLOOKUP($A609, YES_Reading_ELA[], COLUMN(INDIRECT("YES_Reading_ELA[Difference - Per "&amp;VLOOKUP($D$2, 'Reading Report Logic'!$A$2:$B$8, 2, FALSE)&amp;"]")), FALSE)="", "",
VLOOKUP($A609,YES_Reading_ELA[], COLUMN(INDIRECT("YES_Reading_ELA[Difference - Per "&amp;VLOOKUP($D$2,'Reading Report Logic'!$A$2:$B$8,2,FALSE)&amp;"]")), FALSE)),
IF($J$2="FLA",
IF(VLOOKUP($A609, YES_Reading_FLA[], COLUMN(INDIRECT("YES_Reading_FLA[Difference - Per "&amp;VLOOKUP($D$2,'Reading Report Logic'!$A$2:$B$8,2,FALSE)&amp;"]")),FALSE)="","",
VLOOKUP($A609,YES_Reading_FLA[],COLUMN(INDIRECT("YES_Reading_FLA[Difference - Per "&amp;VLOOKUP($D$2,'Reading Report Logic'!$A$2:$B$8,2,FALSE)&amp;"]")),FALSE)),
IF($J$2="Combined",
IFERROR(
IF(VLOOKUP($A609, YES_Reading_ELA[], COLUMN(INDIRECT("YES_Reading_ELA[Difference - Per "&amp;VLOOKUP($D$2, 'Reading Report Logic'!$A$2:$B$8,2,FALSE)&amp;"]")), FALSE)="", "",
VLOOKUP($A609,YES_Reading_ELA[],COLUMN(INDIRECT("YES_Reading_ELA[Difference - Per "&amp;VLOOKUP($D$2,'Reading Report Logic'!$A$2:$B$8,2,FALSE)&amp;"]")),FALSE)),
IF(VLOOKUP($A609, YES_Reading_FLA[], COLUMN(INDIRECT("YES_Reading_FLA[Difference - Per "&amp;VLOOKUP($D$2, 'Reading Report Logic'!$A$2:$B$8, 2, FALSE)&amp;"]")),FALSE)="", "", VLOOKUP($A609,YES_Reading_FLA[],COLUMN(INDIRECT("YES_Reading_FLA[Difference - Per "&amp;VLOOKUP($D$2, 'Reading Report Logic'!$A$2:$B$8, 2, FALSE)&amp;"]")),FALSE))),""))),"")</f>
        <v/>
      </c>
      <c r="H609" s="206" t="str">
        <f ca="1">IFERROR(VLOOKUP('Teacher Reading Pull Sheets'!$D609,_xlfn.VSTACK('ELA Reading Logic'!$A$22:$B$48,'FLA Reading Logic'!$A$22:$B$53),2,FALSE)-VLOOKUP('Teacher Reading Pull Sheets'!$C609,_xlfn.VSTACK('ELA Reading Logic'!$A$22:$B$48,'FLA Reading Logic'!$A$22:$B$53),2,FALSE),"")</f>
        <v/>
      </c>
      <c r="I609" s="212"/>
      <c r="J609" s="206"/>
      <c r="K609" s="197" t="str" cm="1">
        <f t="array" ref="K609">IFERROR(
IF($J$2="ELA",
IF(VLOOKUP($A609, YES_Reading_ELA[], COLUMN(YES_Reading_ELA[Self-Identified as African Descent]), FALSE)="", "",
VLOOKUP($A609,YES_Reading_ELA[], COLUMN(YES_Reading_ELA[Self-Identified as African Descent]), FALSE)),
IF($J$2="FLA",
IF(VLOOKUP($A609, YES_Reading_FLA[], COLUMN(YES_Reading_FLA[Self-Identified as African Descent]),FALSE)="","",
VLOOKUP($A609,YES_Reading_FLA[],COLUMN(YES_Reading_FLA[Self-Identified as African Descent]),FALSE)),
IF($J$2="Combined",
IFERROR(
IF(VLOOKUP($A609, YES_Reading_ELA[], COLUMN(YES_Reading_ELA[Self-Identified as African Descent]), FALSE)="", "",
VLOOKUP($A609,YES_Reading_ELA[],COLUMN(YES_Reading_ELA[Self-Identified as African Descent]),FALSE)),
IF(VLOOKUP($A609, YES_Reading_FLA[], COLUMN(YES_Reading_FLA[Self-Identified as African Descent]),FALSE)="", "", VLOOKUP($A609,YES_Reading_FLA[],COLUMN(YES_Reading_FLA[Self-Identified as African Descent]),FALSE))),""))),"")</f>
        <v/>
      </c>
      <c r="L609" s="73" t="str" cm="1">
        <f t="array" ref="L609">IFERROR(
IF($J$2="ELA",
IF(VLOOKUP($A609, YES_Reading_ELA[], COLUMN(YES_Reading_ELA[Self-Identified as Indigenous]), FALSE)="", "",
VLOOKUP($A609,YES_Reading_ELA[], COLUMN(YES_Reading_ELA[Self-Identified as Indigenous]), FALSE)),
IF($J$2="FLA",
IF(VLOOKUP($A609, YES_Reading_FLA[], COLUMN(YES_Reading_FLA[Self-Identified as Indigenous]),FALSE)="","",
VLOOKUP($A609,YES_Reading_FLA[],COLUMN(YES_Reading_FLA[Self-Identified as Indigenous]),FALSE)),
IF($J$2="Combined",
IFERROR(
IF(VLOOKUP($A609, YES_Reading_ELA[], COLUMN(YES_Reading_ELA[Self-Identified as Indigenous]), FALSE)="", "",
VLOOKUP($A609,YES_Reading_ELA[],COLUMN(YES_Reading_ELA[Self-Identified as Indigenous]),FALSE)),
IF(VLOOKUP($A609, YES_Reading_FLA[], COLUMN(YES_Reading_FLA[Self-Identified as Indigenous]),FALSE)="", "", VLOOKUP($A609,YES_Reading_FLA[],COLUMN(YES_Reading_FLA[Self-Identified as Indigenous]),FALSE))),""))),"")</f>
        <v/>
      </c>
    </row>
    <row r="610" spans="1:12" ht="19.5" customHeight="1" x14ac:dyDescent="0.25">
      <c r="A610" s="217"/>
      <c r="B610" s="220" t="str">
        <f>IFERROR(VLOOKUP(A610,_xlfn.VSTACK(YES_Reading_ELA[],YES_Reading_FLA[]),2,FALSE),"")</f>
        <v/>
      </c>
      <c r="C610" s="203" t="str" cm="1">
        <f t="array" aca="1" ref="C610" ca="1">IFERROR(
IF($J$2="ELA",
IF(VLOOKUP($A610, YES_Reading_ELA[], COLUMN(IF(VLOOKUP($D$2, 'Reading Report Logic'!$A$2:$B$8, 2, FALSE)=1, YES_Reading_ELA[Reading Level June of Previous School Year], INDIRECT("YES_Reading_ELA[Instructional Reading Level - Per "&amp;(VLOOKUP($D$2,'Reading Report Logic'!$A$2:$B$8,2,FALSE)-1)&amp;"]"))), FALSE)="", "",
VLOOKUP($A610,YES_Reading_ELA[], COLUMN(IF(VLOOKUP($D$2,'Reading Report Logic'!$A$2:$B$8,2,FALSE)=1, YES_Reading_ELA[Reading Level June of Previous School Year],INDIRECT("YES_Reading_ELA[Instructional Reading Level - Per "&amp;(VLOOKUP($D$2,'Reading Report Logic'!$A$2:$B$8,2,FALSE)-1)&amp;"]"))), FALSE)),
IF($J$2="FLA",
IF(VLOOKUP($A610, YES_Reading_FLA[], COLUMN(IF(VLOOKUP($D$2,'Reading Report Logic'!$A$2:$B$8,2,FALSE)=1, YES_Reading_FLA[Reading Level June of Previous School Year],INDIRECT("YES_Reading_FLA[Instructional Reading Level - Per "&amp;(VLOOKUP($D$2,'Reading Report Logic'!$A$2:$B$8,2,FALSE)-1)&amp;"]"))),FALSE)="","",
VLOOKUP($A610,YES_Reading_FLA[], COLUMN(IF(VLOOKUP($D$2,'Reading Report Logic'!$A$2:$B$8,2,FALSE)=1, YES_Reading_FLA[Reading Level June of Previous School Year],INDIRECT("YES_Reading_FLA[Instructional Reading Level - Per "&amp;(VLOOKUP($D$2,'Reading Report Logic'!$A$2:$B$8,2,FALSE)-1)&amp;"]"))),FALSE)),
IF($J$2="Combined",
IFERROR(
IF(VLOOKUP($A610, YES_Reading_ELA[], COLUMN(IF(VLOOKUP($D$2,'Reading Report Logic'!$A$2:$B$8,2,FALSE)=1, YES_Reading_ELA[Reading Level June of Previous School Year],INDIRECT("YES_Reading_ELA[Instructional Reading Level - Per "&amp;(VLOOKUP($D$2,'Reading Report Logic'!$A$2:$B$8,2,FALSE)-1)&amp;"]"))), FALSE)="", "",
VLOOKUP($A610,YES_Reading_ELA[],COLUMN(IF(VLOOKUP($D$2,'Reading Report Logic'!$A$2:$B$8,2,FALSE)=1, YES_Reading_ELA[Reading Level June of Previous School Year],INDIRECT("YES_Reading_ELA[Instructional Reading Level - Per "&amp;(VLOOKUP($D$2,'Reading Report Logic'!$A$2:$B$8,2,FALSE)-1)&amp;"]"))),FALSE)),
IF(VLOOKUP($A610, YES_Reading_FLA[], COLUMN(IF(VLOOKUP($D$2,'Reading Report Logic'!$A$2:$B$8,2,FALSE)=1, YES_Reading_FLA[Reading Level June of Previous School Year],INDIRECT("YES_Reading_FLA[Instructional Reading Level - Per "&amp;(VLOOKUP($D$2,'Reading Report Logic'!$A$2:$B$8,2,FALSE)-1)&amp;"]"))),FALSE)="", "", VLOOKUP($A610,YES_Reading_FLA[],COLUMN(IF(VLOOKUP($D$2,'Reading Report Logic'!$A$2:$B$8,2,FALSE)=1, YES_Reading_FLA[Reading Level June of Previous School Year],INDIRECT("YES_Reading_FLA[Instructional Reading Level - Per "&amp;(VLOOKUP($D$2,'Reading Report Logic'!$A$2:$B$8,2,FALSE)-1)&amp;"]"))), FALSE))),""))),"")</f>
        <v/>
      </c>
      <c r="D610" s="204" t="str" cm="1">
        <f t="array" aca="1" ref="D610" ca="1">IFERROR(
IF($J$2="ELA",
IF(VLOOKUP($A610, YES_Reading_ELA[], COLUMN(INDIRECT("YES_Reading_ELA[Instructional Reading Level - Per "&amp;VLOOKUP($D$2, 'Reading Report Logic'!$A$2:$B$8, 2, FALSE)&amp;"]")), FALSE)="", "",
VLOOKUP($A610,YES_Reading_ELA[], COLUMN(INDIRECT("YES_Reading_ELA[Instructional Reading Level - Per "&amp;VLOOKUP($D$2,'Reading Report Logic'!$A$2:$B$8,2,FALSE)&amp;"]")), FALSE)),
IF($J$2="FLA",
IF(VLOOKUP($A610, YES_Reading_FLA[], COLUMN(INDIRECT("YES_Reading_FLA[Instructional Reading Level - Per "&amp;VLOOKUP($D$2,'Reading Report Logic'!$A$2:$B$8,2,FALSE)&amp;"]")),FALSE)="","",
VLOOKUP($A610,YES_Reading_FLA[],COLUMN(INDIRECT("YES_Reading_FLA[Instructional Reading Level - Per "&amp;VLOOKUP($D$2,'Reading Report Logic'!$A$2:$B$8,2,FALSE)&amp;"]")),FALSE)),
IF($J$2="Combined",
IFERROR(
IF(VLOOKUP($A610, YES_Reading_ELA[], COLUMN(INDIRECT("YES_Reading_ELA[Instructional Reading Level - Per "&amp;VLOOKUP($D$2, 'Reading Report Logic'!$A$2:$B$8,2,FALSE)&amp;"]")), FALSE)="", "",
VLOOKUP($A610,YES_Reading_ELA[],COLUMN(INDIRECT("YES_Reading_ELA[Instructional Reading Level - Per "&amp;VLOOKUP($D$2,'Reading Report Logic'!$A$2:$B$8,2,FALSE)&amp;"]")),FALSE)),
IF(VLOOKUP($A610, YES_Reading_FLA[], COLUMN(INDIRECT("YES_Reading_FLA[Instructional Reading Level - Per "&amp;VLOOKUP($D$2, 'Reading Report Logic'!$A$2:$B$8, 2, FALSE)&amp;"]")),FALSE)="", "", VLOOKUP($A610,YES_Reading_FLA[],COLUMN(INDIRECT("YES_Reading_FLA[Instructional Reading Level - Per "&amp;VLOOKUP($D$2, 'Reading Report Logic'!$A$2:$B$8, 2, FALSE)&amp;"]")),FALSE))),""))),"")</f>
        <v/>
      </c>
      <c r="E610" s="205" t="str" cm="1">
        <f t="array" aca="1" ref="E610" ca="1">IFERROR(
IF($J$2="ELA",
IF(VLOOKUP($A610, YES_Reading_ELA[], COLUMN(INDIRECT("YES_Reading_ELA[Min Expectation - Per "&amp;VLOOKUP($D$2, 'Reading Report Logic'!$A$2:$B$8, 2, FALSE)&amp;"]")), FALSE)="", "",
VLOOKUP($A610,YES_Reading_ELA[], COLUMN(INDIRECT("YES_Reading_ELA[Min Expectation - Per "&amp;VLOOKUP($D$2,'Reading Report Logic'!$A$2:$B$8,2,FALSE)&amp;"]")), FALSE)),
IF($J$2="FLA",
IF(VLOOKUP($A610, YES_Reading_FLA[], COLUMN(INDIRECT("YES_Reading_FLA[Min Expectation - Per "&amp;VLOOKUP($D$2,'Reading Report Logic'!$A$2:$B$8,2,FALSE)&amp;"]")),FALSE)="","",
VLOOKUP($A610,YES_Reading_FLA[],COLUMN(INDIRECT("YES_Reading_FLA[Min Expectation - Per "&amp;VLOOKUP($D$2,'Reading Report Logic'!$A$2:$B$8,2,FALSE)&amp;"]")),FALSE)),
IF($J$2="Combined",
IFERROR(
IF(VLOOKUP($A610, YES_Reading_ELA[], COLUMN(INDIRECT("YES_Reading_ELA[Min Expectation - Per "&amp;VLOOKUP($D$2, 'Reading Report Logic'!$A$2:$B$8,2,FALSE)&amp;"]")), FALSE)="", "",
VLOOKUP($A610,YES_Reading_ELA[],COLUMN(INDIRECT("YES_Reading_ELA[Min Expectation - Per "&amp;VLOOKUP($D$2,'Reading Report Logic'!$A$2:$B$8,2,FALSE)&amp;"]")),FALSE)),
IF(VLOOKUP($A610, YES_Reading_FLA[], COLUMN(INDIRECT("YES_Reading_FLA[Min Expectation - Per "&amp;VLOOKUP($D$2, 'Reading Report Logic'!$A$2:$B$8, 2, FALSE)&amp;"]")),FALSE)="", "", VLOOKUP($A610,YES_Reading_FLA[],COLUMN(INDIRECT("YES_Reading_FLA[Min Expectation - Per "&amp;VLOOKUP($D$2, 'Reading Report Logic'!$A$2:$B$8, 2, FALSE)&amp;"]")),FALSE))),""))),"")</f>
        <v/>
      </c>
      <c r="F610" s="205" t="str" cm="1">
        <f t="array" aca="1" ref="F610" ca="1">IFERROR(
IF($J$2="ELA",
IF(VLOOKUP($A610, YES_Reading_ELA[], COLUMN(INDIRECT("YES_Reading_ELA[Max Expectation - Per "&amp;VLOOKUP($D$2, 'Reading Report Logic'!$A$2:$B$8, 2, FALSE)&amp;"]")), FALSE)="", "",
VLOOKUP($A610,YES_Reading_ELA[], COLUMN(INDIRECT("YES_Reading_ELA[Max Expectation - Per "&amp;VLOOKUP($D$2,'Reading Report Logic'!$A$2:$B$8,2,FALSE)&amp;"]")), FALSE)),
IF($J$2="FLA",
IF(VLOOKUP($A610, YES_Reading_FLA[], COLUMN(INDIRECT("YES_Reading_FLA[Max Expectation - Per "&amp;VLOOKUP($D$2,'Reading Report Logic'!$A$2:$B$8,2,FALSE)&amp;"]")),FALSE)="","",
VLOOKUP($A610,YES_Reading_FLA[],COLUMN(INDIRECT("YES_Reading_FLA[Max Expectation - Per "&amp;VLOOKUP($D$2,'Reading Report Logic'!$A$2:$B$8,2,FALSE)&amp;"]")),FALSE)),
IF($J$2="Combined",
IFERROR(
IF(VLOOKUP($A610, YES_Reading_ELA[], COLUMN(INDIRECT("YES_Reading_ELA[Max Expectation - Per "&amp;VLOOKUP($D$2, 'Reading Report Logic'!$A$2:$B$8,2,FALSE)&amp;"]")), FALSE)="", "",
VLOOKUP($A610,YES_Reading_ELA[],COLUMN(INDIRECT("YES_Reading_ELA[Max Expectation - Per "&amp;VLOOKUP($D$2,'Reading Report Logic'!$A$2:$B$8,2,FALSE)&amp;"]")),FALSE)),
IF(VLOOKUP($A610, YES_Reading_FLA[], COLUMN(INDIRECT("YES_Reading_FLA[Max Expectation - Per "&amp;VLOOKUP($D$2, 'Reading Report Logic'!$A$2:$B$8, 2, FALSE)&amp;"]")),FALSE)="", "", VLOOKUP($A610,YES_Reading_FLA[],COLUMN(INDIRECT("YES_Reading_FLA[Max Expectation - Per "&amp;VLOOKUP($D$2, 'Reading Report Logic'!$A$2:$B$8, 2, FALSE)&amp;"]")),FALSE))),""))),"")</f>
        <v/>
      </c>
      <c r="G610" s="205" t="str" cm="1">
        <f t="array" aca="1" ref="G610" ca="1">IFERROR(
IF($J$2="ELA",
IF(VLOOKUP($A610, YES_Reading_ELA[], COLUMN(INDIRECT("YES_Reading_ELA[Difference - Per "&amp;VLOOKUP($D$2, 'Reading Report Logic'!$A$2:$B$8, 2, FALSE)&amp;"]")), FALSE)="", "",
VLOOKUP($A610,YES_Reading_ELA[], COLUMN(INDIRECT("YES_Reading_ELA[Difference - Per "&amp;VLOOKUP($D$2,'Reading Report Logic'!$A$2:$B$8,2,FALSE)&amp;"]")), FALSE)),
IF($J$2="FLA",
IF(VLOOKUP($A610, YES_Reading_FLA[], COLUMN(INDIRECT("YES_Reading_FLA[Difference - Per "&amp;VLOOKUP($D$2,'Reading Report Logic'!$A$2:$B$8,2,FALSE)&amp;"]")),FALSE)="","",
VLOOKUP($A610,YES_Reading_FLA[],COLUMN(INDIRECT("YES_Reading_FLA[Difference - Per "&amp;VLOOKUP($D$2,'Reading Report Logic'!$A$2:$B$8,2,FALSE)&amp;"]")),FALSE)),
IF($J$2="Combined",
IFERROR(
IF(VLOOKUP($A610, YES_Reading_ELA[], COLUMN(INDIRECT("YES_Reading_ELA[Difference - Per "&amp;VLOOKUP($D$2, 'Reading Report Logic'!$A$2:$B$8,2,FALSE)&amp;"]")), FALSE)="", "",
VLOOKUP($A610,YES_Reading_ELA[],COLUMN(INDIRECT("YES_Reading_ELA[Difference - Per "&amp;VLOOKUP($D$2,'Reading Report Logic'!$A$2:$B$8,2,FALSE)&amp;"]")),FALSE)),
IF(VLOOKUP($A610, YES_Reading_FLA[], COLUMN(INDIRECT("YES_Reading_FLA[Difference - Per "&amp;VLOOKUP($D$2, 'Reading Report Logic'!$A$2:$B$8, 2, FALSE)&amp;"]")),FALSE)="", "", VLOOKUP($A610,YES_Reading_FLA[],COLUMN(INDIRECT("YES_Reading_FLA[Difference - Per "&amp;VLOOKUP($D$2, 'Reading Report Logic'!$A$2:$B$8, 2, FALSE)&amp;"]")),FALSE))),""))),"")</f>
        <v/>
      </c>
      <c r="H610" s="206" t="str">
        <f ca="1">IFERROR(VLOOKUP('Teacher Reading Pull Sheets'!$D610,_xlfn.VSTACK('ELA Reading Logic'!$A$22:$B$48,'FLA Reading Logic'!$A$22:$B$53),2,FALSE)-VLOOKUP('Teacher Reading Pull Sheets'!$C610,_xlfn.VSTACK('ELA Reading Logic'!$A$22:$B$48,'FLA Reading Logic'!$A$22:$B$53),2,FALSE),"")</f>
        <v/>
      </c>
      <c r="I610" s="212"/>
      <c r="J610" s="206"/>
      <c r="K610" s="197" t="str" cm="1">
        <f t="array" ref="K610">IFERROR(
IF($J$2="ELA",
IF(VLOOKUP($A610, YES_Reading_ELA[], COLUMN(YES_Reading_ELA[Self-Identified as African Descent]), FALSE)="", "",
VLOOKUP($A610,YES_Reading_ELA[], COLUMN(YES_Reading_ELA[Self-Identified as African Descent]), FALSE)),
IF($J$2="FLA",
IF(VLOOKUP($A610, YES_Reading_FLA[], COLUMN(YES_Reading_FLA[Self-Identified as African Descent]),FALSE)="","",
VLOOKUP($A610,YES_Reading_FLA[],COLUMN(YES_Reading_FLA[Self-Identified as African Descent]),FALSE)),
IF($J$2="Combined",
IFERROR(
IF(VLOOKUP($A610, YES_Reading_ELA[], COLUMN(YES_Reading_ELA[Self-Identified as African Descent]), FALSE)="", "",
VLOOKUP($A610,YES_Reading_ELA[],COLUMN(YES_Reading_ELA[Self-Identified as African Descent]),FALSE)),
IF(VLOOKUP($A610, YES_Reading_FLA[], COLUMN(YES_Reading_FLA[Self-Identified as African Descent]),FALSE)="", "", VLOOKUP($A610,YES_Reading_FLA[],COLUMN(YES_Reading_FLA[Self-Identified as African Descent]),FALSE))),""))),"")</f>
        <v/>
      </c>
      <c r="L610" s="73" t="str" cm="1">
        <f t="array" ref="L610">IFERROR(
IF($J$2="ELA",
IF(VLOOKUP($A610, YES_Reading_ELA[], COLUMN(YES_Reading_ELA[Self-Identified as Indigenous]), FALSE)="", "",
VLOOKUP($A610,YES_Reading_ELA[], COLUMN(YES_Reading_ELA[Self-Identified as Indigenous]), FALSE)),
IF($J$2="FLA",
IF(VLOOKUP($A610, YES_Reading_FLA[], COLUMN(YES_Reading_FLA[Self-Identified as Indigenous]),FALSE)="","",
VLOOKUP($A610,YES_Reading_FLA[],COLUMN(YES_Reading_FLA[Self-Identified as Indigenous]),FALSE)),
IF($J$2="Combined",
IFERROR(
IF(VLOOKUP($A610, YES_Reading_ELA[], COLUMN(YES_Reading_ELA[Self-Identified as Indigenous]), FALSE)="", "",
VLOOKUP($A610,YES_Reading_ELA[],COLUMN(YES_Reading_ELA[Self-Identified as Indigenous]),FALSE)),
IF(VLOOKUP($A610, YES_Reading_FLA[], COLUMN(YES_Reading_FLA[Self-Identified as Indigenous]),FALSE)="", "", VLOOKUP($A610,YES_Reading_FLA[],COLUMN(YES_Reading_FLA[Self-Identified as Indigenous]),FALSE))),""))),"")</f>
        <v/>
      </c>
    </row>
    <row r="611" spans="1:12" ht="19.5" customHeight="1" x14ac:dyDescent="0.25">
      <c r="A611" s="217"/>
      <c r="B611" s="220" t="str">
        <f>IFERROR(VLOOKUP(A611,_xlfn.VSTACK(YES_Reading_ELA[],YES_Reading_FLA[]),2,FALSE),"")</f>
        <v/>
      </c>
      <c r="C611" s="203" t="str" cm="1">
        <f t="array" aca="1" ref="C611" ca="1">IFERROR(
IF($J$2="ELA",
IF(VLOOKUP($A611, YES_Reading_ELA[], COLUMN(IF(VLOOKUP($D$2, 'Reading Report Logic'!$A$2:$B$8, 2, FALSE)=1, YES_Reading_ELA[Reading Level June of Previous School Year], INDIRECT("YES_Reading_ELA[Instructional Reading Level - Per "&amp;(VLOOKUP($D$2,'Reading Report Logic'!$A$2:$B$8,2,FALSE)-1)&amp;"]"))), FALSE)="", "",
VLOOKUP($A611,YES_Reading_ELA[], COLUMN(IF(VLOOKUP($D$2,'Reading Report Logic'!$A$2:$B$8,2,FALSE)=1, YES_Reading_ELA[Reading Level June of Previous School Year],INDIRECT("YES_Reading_ELA[Instructional Reading Level - Per "&amp;(VLOOKUP($D$2,'Reading Report Logic'!$A$2:$B$8,2,FALSE)-1)&amp;"]"))), FALSE)),
IF($J$2="FLA",
IF(VLOOKUP($A611, YES_Reading_FLA[], COLUMN(IF(VLOOKUP($D$2,'Reading Report Logic'!$A$2:$B$8,2,FALSE)=1, YES_Reading_FLA[Reading Level June of Previous School Year],INDIRECT("YES_Reading_FLA[Instructional Reading Level - Per "&amp;(VLOOKUP($D$2,'Reading Report Logic'!$A$2:$B$8,2,FALSE)-1)&amp;"]"))),FALSE)="","",
VLOOKUP($A611,YES_Reading_FLA[], COLUMN(IF(VLOOKUP($D$2,'Reading Report Logic'!$A$2:$B$8,2,FALSE)=1, YES_Reading_FLA[Reading Level June of Previous School Year],INDIRECT("YES_Reading_FLA[Instructional Reading Level - Per "&amp;(VLOOKUP($D$2,'Reading Report Logic'!$A$2:$B$8,2,FALSE)-1)&amp;"]"))),FALSE)),
IF($J$2="Combined",
IFERROR(
IF(VLOOKUP($A611, YES_Reading_ELA[], COLUMN(IF(VLOOKUP($D$2,'Reading Report Logic'!$A$2:$B$8,2,FALSE)=1, YES_Reading_ELA[Reading Level June of Previous School Year],INDIRECT("YES_Reading_ELA[Instructional Reading Level - Per "&amp;(VLOOKUP($D$2,'Reading Report Logic'!$A$2:$B$8,2,FALSE)-1)&amp;"]"))), FALSE)="", "",
VLOOKUP($A611,YES_Reading_ELA[],COLUMN(IF(VLOOKUP($D$2,'Reading Report Logic'!$A$2:$B$8,2,FALSE)=1, YES_Reading_ELA[Reading Level June of Previous School Year],INDIRECT("YES_Reading_ELA[Instructional Reading Level - Per "&amp;(VLOOKUP($D$2,'Reading Report Logic'!$A$2:$B$8,2,FALSE)-1)&amp;"]"))),FALSE)),
IF(VLOOKUP($A611, YES_Reading_FLA[], COLUMN(IF(VLOOKUP($D$2,'Reading Report Logic'!$A$2:$B$8,2,FALSE)=1, YES_Reading_FLA[Reading Level June of Previous School Year],INDIRECT("YES_Reading_FLA[Instructional Reading Level - Per "&amp;(VLOOKUP($D$2,'Reading Report Logic'!$A$2:$B$8,2,FALSE)-1)&amp;"]"))),FALSE)="", "", VLOOKUP($A611,YES_Reading_FLA[],COLUMN(IF(VLOOKUP($D$2,'Reading Report Logic'!$A$2:$B$8,2,FALSE)=1, YES_Reading_FLA[Reading Level June of Previous School Year],INDIRECT("YES_Reading_FLA[Instructional Reading Level - Per "&amp;(VLOOKUP($D$2,'Reading Report Logic'!$A$2:$B$8,2,FALSE)-1)&amp;"]"))), FALSE))),""))),"")</f>
        <v/>
      </c>
      <c r="D611" s="204" t="str" cm="1">
        <f t="array" aca="1" ref="D611" ca="1">IFERROR(
IF($J$2="ELA",
IF(VLOOKUP($A611, YES_Reading_ELA[], COLUMN(INDIRECT("YES_Reading_ELA[Instructional Reading Level - Per "&amp;VLOOKUP($D$2, 'Reading Report Logic'!$A$2:$B$8, 2, FALSE)&amp;"]")), FALSE)="", "",
VLOOKUP($A611,YES_Reading_ELA[], COLUMN(INDIRECT("YES_Reading_ELA[Instructional Reading Level - Per "&amp;VLOOKUP($D$2,'Reading Report Logic'!$A$2:$B$8,2,FALSE)&amp;"]")), FALSE)),
IF($J$2="FLA",
IF(VLOOKUP($A611, YES_Reading_FLA[], COLUMN(INDIRECT("YES_Reading_FLA[Instructional Reading Level - Per "&amp;VLOOKUP($D$2,'Reading Report Logic'!$A$2:$B$8,2,FALSE)&amp;"]")),FALSE)="","",
VLOOKUP($A611,YES_Reading_FLA[],COLUMN(INDIRECT("YES_Reading_FLA[Instructional Reading Level - Per "&amp;VLOOKUP($D$2,'Reading Report Logic'!$A$2:$B$8,2,FALSE)&amp;"]")),FALSE)),
IF($J$2="Combined",
IFERROR(
IF(VLOOKUP($A611, YES_Reading_ELA[], COLUMN(INDIRECT("YES_Reading_ELA[Instructional Reading Level - Per "&amp;VLOOKUP($D$2, 'Reading Report Logic'!$A$2:$B$8,2,FALSE)&amp;"]")), FALSE)="", "",
VLOOKUP($A611,YES_Reading_ELA[],COLUMN(INDIRECT("YES_Reading_ELA[Instructional Reading Level - Per "&amp;VLOOKUP($D$2,'Reading Report Logic'!$A$2:$B$8,2,FALSE)&amp;"]")),FALSE)),
IF(VLOOKUP($A611, YES_Reading_FLA[], COLUMN(INDIRECT("YES_Reading_FLA[Instructional Reading Level - Per "&amp;VLOOKUP($D$2, 'Reading Report Logic'!$A$2:$B$8, 2, FALSE)&amp;"]")),FALSE)="", "", VLOOKUP($A611,YES_Reading_FLA[],COLUMN(INDIRECT("YES_Reading_FLA[Instructional Reading Level - Per "&amp;VLOOKUP($D$2, 'Reading Report Logic'!$A$2:$B$8, 2, FALSE)&amp;"]")),FALSE))),""))),"")</f>
        <v/>
      </c>
      <c r="E611" s="205" t="str" cm="1">
        <f t="array" aca="1" ref="E611" ca="1">IFERROR(
IF($J$2="ELA",
IF(VLOOKUP($A611, YES_Reading_ELA[], COLUMN(INDIRECT("YES_Reading_ELA[Min Expectation - Per "&amp;VLOOKUP($D$2, 'Reading Report Logic'!$A$2:$B$8, 2, FALSE)&amp;"]")), FALSE)="", "",
VLOOKUP($A611,YES_Reading_ELA[], COLUMN(INDIRECT("YES_Reading_ELA[Min Expectation - Per "&amp;VLOOKUP($D$2,'Reading Report Logic'!$A$2:$B$8,2,FALSE)&amp;"]")), FALSE)),
IF($J$2="FLA",
IF(VLOOKUP($A611, YES_Reading_FLA[], COLUMN(INDIRECT("YES_Reading_FLA[Min Expectation - Per "&amp;VLOOKUP($D$2,'Reading Report Logic'!$A$2:$B$8,2,FALSE)&amp;"]")),FALSE)="","",
VLOOKUP($A611,YES_Reading_FLA[],COLUMN(INDIRECT("YES_Reading_FLA[Min Expectation - Per "&amp;VLOOKUP($D$2,'Reading Report Logic'!$A$2:$B$8,2,FALSE)&amp;"]")),FALSE)),
IF($J$2="Combined",
IFERROR(
IF(VLOOKUP($A611, YES_Reading_ELA[], COLUMN(INDIRECT("YES_Reading_ELA[Min Expectation - Per "&amp;VLOOKUP($D$2, 'Reading Report Logic'!$A$2:$B$8,2,FALSE)&amp;"]")), FALSE)="", "",
VLOOKUP($A611,YES_Reading_ELA[],COLUMN(INDIRECT("YES_Reading_ELA[Min Expectation - Per "&amp;VLOOKUP($D$2,'Reading Report Logic'!$A$2:$B$8,2,FALSE)&amp;"]")),FALSE)),
IF(VLOOKUP($A611, YES_Reading_FLA[], COLUMN(INDIRECT("YES_Reading_FLA[Min Expectation - Per "&amp;VLOOKUP($D$2, 'Reading Report Logic'!$A$2:$B$8, 2, FALSE)&amp;"]")),FALSE)="", "", VLOOKUP($A611,YES_Reading_FLA[],COLUMN(INDIRECT("YES_Reading_FLA[Min Expectation - Per "&amp;VLOOKUP($D$2, 'Reading Report Logic'!$A$2:$B$8, 2, FALSE)&amp;"]")),FALSE))),""))),"")</f>
        <v/>
      </c>
      <c r="F611" s="205" t="str" cm="1">
        <f t="array" aca="1" ref="F611" ca="1">IFERROR(
IF($J$2="ELA",
IF(VLOOKUP($A611, YES_Reading_ELA[], COLUMN(INDIRECT("YES_Reading_ELA[Max Expectation - Per "&amp;VLOOKUP($D$2, 'Reading Report Logic'!$A$2:$B$8, 2, FALSE)&amp;"]")), FALSE)="", "",
VLOOKUP($A611,YES_Reading_ELA[], COLUMN(INDIRECT("YES_Reading_ELA[Max Expectation - Per "&amp;VLOOKUP($D$2,'Reading Report Logic'!$A$2:$B$8,2,FALSE)&amp;"]")), FALSE)),
IF($J$2="FLA",
IF(VLOOKUP($A611, YES_Reading_FLA[], COLUMN(INDIRECT("YES_Reading_FLA[Max Expectation - Per "&amp;VLOOKUP($D$2,'Reading Report Logic'!$A$2:$B$8,2,FALSE)&amp;"]")),FALSE)="","",
VLOOKUP($A611,YES_Reading_FLA[],COLUMN(INDIRECT("YES_Reading_FLA[Max Expectation - Per "&amp;VLOOKUP($D$2,'Reading Report Logic'!$A$2:$B$8,2,FALSE)&amp;"]")),FALSE)),
IF($J$2="Combined",
IFERROR(
IF(VLOOKUP($A611, YES_Reading_ELA[], COLUMN(INDIRECT("YES_Reading_ELA[Max Expectation - Per "&amp;VLOOKUP($D$2, 'Reading Report Logic'!$A$2:$B$8,2,FALSE)&amp;"]")), FALSE)="", "",
VLOOKUP($A611,YES_Reading_ELA[],COLUMN(INDIRECT("YES_Reading_ELA[Max Expectation - Per "&amp;VLOOKUP($D$2,'Reading Report Logic'!$A$2:$B$8,2,FALSE)&amp;"]")),FALSE)),
IF(VLOOKUP($A611, YES_Reading_FLA[], COLUMN(INDIRECT("YES_Reading_FLA[Max Expectation - Per "&amp;VLOOKUP($D$2, 'Reading Report Logic'!$A$2:$B$8, 2, FALSE)&amp;"]")),FALSE)="", "", VLOOKUP($A611,YES_Reading_FLA[],COLUMN(INDIRECT("YES_Reading_FLA[Max Expectation - Per "&amp;VLOOKUP($D$2, 'Reading Report Logic'!$A$2:$B$8, 2, FALSE)&amp;"]")),FALSE))),""))),"")</f>
        <v/>
      </c>
      <c r="G611" s="205" t="str" cm="1">
        <f t="array" aca="1" ref="G611" ca="1">IFERROR(
IF($J$2="ELA",
IF(VLOOKUP($A611, YES_Reading_ELA[], COLUMN(INDIRECT("YES_Reading_ELA[Difference - Per "&amp;VLOOKUP($D$2, 'Reading Report Logic'!$A$2:$B$8, 2, FALSE)&amp;"]")), FALSE)="", "",
VLOOKUP($A611,YES_Reading_ELA[], COLUMN(INDIRECT("YES_Reading_ELA[Difference - Per "&amp;VLOOKUP($D$2,'Reading Report Logic'!$A$2:$B$8,2,FALSE)&amp;"]")), FALSE)),
IF($J$2="FLA",
IF(VLOOKUP($A611, YES_Reading_FLA[], COLUMN(INDIRECT("YES_Reading_FLA[Difference - Per "&amp;VLOOKUP($D$2,'Reading Report Logic'!$A$2:$B$8,2,FALSE)&amp;"]")),FALSE)="","",
VLOOKUP($A611,YES_Reading_FLA[],COLUMN(INDIRECT("YES_Reading_FLA[Difference - Per "&amp;VLOOKUP($D$2,'Reading Report Logic'!$A$2:$B$8,2,FALSE)&amp;"]")),FALSE)),
IF($J$2="Combined",
IFERROR(
IF(VLOOKUP($A611, YES_Reading_ELA[], COLUMN(INDIRECT("YES_Reading_ELA[Difference - Per "&amp;VLOOKUP($D$2, 'Reading Report Logic'!$A$2:$B$8,2,FALSE)&amp;"]")), FALSE)="", "",
VLOOKUP($A611,YES_Reading_ELA[],COLUMN(INDIRECT("YES_Reading_ELA[Difference - Per "&amp;VLOOKUP($D$2,'Reading Report Logic'!$A$2:$B$8,2,FALSE)&amp;"]")),FALSE)),
IF(VLOOKUP($A611, YES_Reading_FLA[], COLUMN(INDIRECT("YES_Reading_FLA[Difference - Per "&amp;VLOOKUP($D$2, 'Reading Report Logic'!$A$2:$B$8, 2, FALSE)&amp;"]")),FALSE)="", "", VLOOKUP($A611,YES_Reading_FLA[],COLUMN(INDIRECT("YES_Reading_FLA[Difference - Per "&amp;VLOOKUP($D$2, 'Reading Report Logic'!$A$2:$B$8, 2, FALSE)&amp;"]")),FALSE))),""))),"")</f>
        <v/>
      </c>
      <c r="H611" s="206" t="str">
        <f ca="1">IFERROR(VLOOKUP('Teacher Reading Pull Sheets'!$D611,_xlfn.VSTACK('ELA Reading Logic'!$A$22:$B$48,'FLA Reading Logic'!$A$22:$B$53),2,FALSE)-VLOOKUP('Teacher Reading Pull Sheets'!$C611,_xlfn.VSTACK('ELA Reading Logic'!$A$22:$B$48,'FLA Reading Logic'!$A$22:$B$53),2,FALSE),"")</f>
        <v/>
      </c>
      <c r="I611" s="212"/>
      <c r="J611" s="206"/>
      <c r="K611" s="197" t="str" cm="1">
        <f t="array" ref="K611">IFERROR(
IF($J$2="ELA",
IF(VLOOKUP($A611, YES_Reading_ELA[], COLUMN(YES_Reading_ELA[Self-Identified as African Descent]), FALSE)="", "",
VLOOKUP($A611,YES_Reading_ELA[], COLUMN(YES_Reading_ELA[Self-Identified as African Descent]), FALSE)),
IF($J$2="FLA",
IF(VLOOKUP($A611, YES_Reading_FLA[], COLUMN(YES_Reading_FLA[Self-Identified as African Descent]),FALSE)="","",
VLOOKUP($A611,YES_Reading_FLA[],COLUMN(YES_Reading_FLA[Self-Identified as African Descent]),FALSE)),
IF($J$2="Combined",
IFERROR(
IF(VLOOKUP($A611, YES_Reading_ELA[], COLUMN(YES_Reading_ELA[Self-Identified as African Descent]), FALSE)="", "",
VLOOKUP($A611,YES_Reading_ELA[],COLUMN(YES_Reading_ELA[Self-Identified as African Descent]),FALSE)),
IF(VLOOKUP($A611, YES_Reading_FLA[], COLUMN(YES_Reading_FLA[Self-Identified as African Descent]),FALSE)="", "", VLOOKUP($A611,YES_Reading_FLA[],COLUMN(YES_Reading_FLA[Self-Identified as African Descent]),FALSE))),""))),"")</f>
        <v/>
      </c>
      <c r="L611" s="73" t="str" cm="1">
        <f t="array" ref="L611">IFERROR(
IF($J$2="ELA",
IF(VLOOKUP($A611, YES_Reading_ELA[], COLUMN(YES_Reading_ELA[Self-Identified as Indigenous]), FALSE)="", "",
VLOOKUP($A611,YES_Reading_ELA[], COLUMN(YES_Reading_ELA[Self-Identified as Indigenous]), FALSE)),
IF($J$2="FLA",
IF(VLOOKUP($A611, YES_Reading_FLA[], COLUMN(YES_Reading_FLA[Self-Identified as Indigenous]),FALSE)="","",
VLOOKUP($A611,YES_Reading_FLA[],COLUMN(YES_Reading_FLA[Self-Identified as Indigenous]),FALSE)),
IF($J$2="Combined",
IFERROR(
IF(VLOOKUP($A611, YES_Reading_ELA[], COLUMN(YES_Reading_ELA[Self-Identified as Indigenous]), FALSE)="", "",
VLOOKUP($A611,YES_Reading_ELA[],COLUMN(YES_Reading_ELA[Self-Identified as Indigenous]),FALSE)),
IF(VLOOKUP($A611, YES_Reading_FLA[], COLUMN(YES_Reading_FLA[Self-Identified as Indigenous]),FALSE)="", "", VLOOKUP($A611,YES_Reading_FLA[],COLUMN(YES_Reading_FLA[Self-Identified as Indigenous]),FALSE))),""))),"")</f>
        <v/>
      </c>
    </row>
    <row r="612" spans="1:12" ht="19.5" customHeight="1" x14ac:dyDescent="0.25">
      <c r="A612" s="217"/>
      <c r="B612" s="220" t="str">
        <f>IFERROR(VLOOKUP(A612,_xlfn.VSTACK(YES_Reading_ELA[],YES_Reading_FLA[]),2,FALSE),"")</f>
        <v/>
      </c>
      <c r="C612" s="203" t="str" cm="1">
        <f t="array" aca="1" ref="C612" ca="1">IFERROR(
IF($J$2="ELA",
IF(VLOOKUP($A612, YES_Reading_ELA[], COLUMN(IF(VLOOKUP($D$2, 'Reading Report Logic'!$A$2:$B$8, 2, FALSE)=1, YES_Reading_ELA[Reading Level June of Previous School Year], INDIRECT("YES_Reading_ELA[Instructional Reading Level - Per "&amp;(VLOOKUP($D$2,'Reading Report Logic'!$A$2:$B$8,2,FALSE)-1)&amp;"]"))), FALSE)="", "",
VLOOKUP($A612,YES_Reading_ELA[], COLUMN(IF(VLOOKUP($D$2,'Reading Report Logic'!$A$2:$B$8,2,FALSE)=1, YES_Reading_ELA[Reading Level June of Previous School Year],INDIRECT("YES_Reading_ELA[Instructional Reading Level - Per "&amp;(VLOOKUP($D$2,'Reading Report Logic'!$A$2:$B$8,2,FALSE)-1)&amp;"]"))), FALSE)),
IF($J$2="FLA",
IF(VLOOKUP($A612, YES_Reading_FLA[], COLUMN(IF(VLOOKUP($D$2,'Reading Report Logic'!$A$2:$B$8,2,FALSE)=1, YES_Reading_FLA[Reading Level June of Previous School Year],INDIRECT("YES_Reading_FLA[Instructional Reading Level - Per "&amp;(VLOOKUP($D$2,'Reading Report Logic'!$A$2:$B$8,2,FALSE)-1)&amp;"]"))),FALSE)="","",
VLOOKUP($A612,YES_Reading_FLA[], COLUMN(IF(VLOOKUP($D$2,'Reading Report Logic'!$A$2:$B$8,2,FALSE)=1, YES_Reading_FLA[Reading Level June of Previous School Year],INDIRECT("YES_Reading_FLA[Instructional Reading Level - Per "&amp;(VLOOKUP($D$2,'Reading Report Logic'!$A$2:$B$8,2,FALSE)-1)&amp;"]"))),FALSE)),
IF($J$2="Combined",
IFERROR(
IF(VLOOKUP($A612, YES_Reading_ELA[], COLUMN(IF(VLOOKUP($D$2,'Reading Report Logic'!$A$2:$B$8,2,FALSE)=1, YES_Reading_ELA[Reading Level June of Previous School Year],INDIRECT("YES_Reading_ELA[Instructional Reading Level - Per "&amp;(VLOOKUP($D$2,'Reading Report Logic'!$A$2:$B$8,2,FALSE)-1)&amp;"]"))), FALSE)="", "",
VLOOKUP($A612,YES_Reading_ELA[],COLUMN(IF(VLOOKUP($D$2,'Reading Report Logic'!$A$2:$B$8,2,FALSE)=1, YES_Reading_ELA[Reading Level June of Previous School Year],INDIRECT("YES_Reading_ELA[Instructional Reading Level - Per "&amp;(VLOOKUP($D$2,'Reading Report Logic'!$A$2:$B$8,2,FALSE)-1)&amp;"]"))),FALSE)),
IF(VLOOKUP($A612, YES_Reading_FLA[], COLUMN(IF(VLOOKUP($D$2,'Reading Report Logic'!$A$2:$B$8,2,FALSE)=1, YES_Reading_FLA[Reading Level June of Previous School Year],INDIRECT("YES_Reading_FLA[Instructional Reading Level - Per "&amp;(VLOOKUP($D$2,'Reading Report Logic'!$A$2:$B$8,2,FALSE)-1)&amp;"]"))),FALSE)="", "", VLOOKUP($A612,YES_Reading_FLA[],COLUMN(IF(VLOOKUP($D$2,'Reading Report Logic'!$A$2:$B$8,2,FALSE)=1, YES_Reading_FLA[Reading Level June of Previous School Year],INDIRECT("YES_Reading_FLA[Instructional Reading Level - Per "&amp;(VLOOKUP($D$2,'Reading Report Logic'!$A$2:$B$8,2,FALSE)-1)&amp;"]"))), FALSE))),""))),"")</f>
        <v/>
      </c>
      <c r="D612" s="204" t="str" cm="1">
        <f t="array" aca="1" ref="D612" ca="1">IFERROR(
IF($J$2="ELA",
IF(VLOOKUP($A612, YES_Reading_ELA[], COLUMN(INDIRECT("YES_Reading_ELA[Instructional Reading Level - Per "&amp;VLOOKUP($D$2, 'Reading Report Logic'!$A$2:$B$8, 2, FALSE)&amp;"]")), FALSE)="", "",
VLOOKUP($A612,YES_Reading_ELA[], COLUMN(INDIRECT("YES_Reading_ELA[Instructional Reading Level - Per "&amp;VLOOKUP($D$2,'Reading Report Logic'!$A$2:$B$8,2,FALSE)&amp;"]")), FALSE)),
IF($J$2="FLA",
IF(VLOOKUP($A612, YES_Reading_FLA[], COLUMN(INDIRECT("YES_Reading_FLA[Instructional Reading Level - Per "&amp;VLOOKUP($D$2,'Reading Report Logic'!$A$2:$B$8,2,FALSE)&amp;"]")),FALSE)="","",
VLOOKUP($A612,YES_Reading_FLA[],COLUMN(INDIRECT("YES_Reading_FLA[Instructional Reading Level - Per "&amp;VLOOKUP($D$2,'Reading Report Logic'!$A$2:$B$8,2,FALSE)&amp;"]")),FALSE)),
IF($J$2="Combined",
IFERROR(
IF(VLOOKUP($A612, YES_Reading_ELA[], COLUMN(INDIRECT("YES_Reading_ELA[Instructional Reading Level - Per "&amp;VLOOKUP($D$2, 'Reading Report Logic'!$A$2:$B$8,2,FALSE)&amp;"]")), FALSE)="", "",
VLOOKUP($A612,YES_Reading_ELA[],COLUMN(INDIRECT("YES_Reading_ELA[Instructional Reading Level - Per "&amp;VLOOKUP($D$2,'Reading Report Logic'!$A$2:$B$8,2,FALSE)&amp;"]")),FALSE)),
IF(VLOOKUP($A612, YES_Reading_FLA[], COLUMN(INDIRECT("YES_Reading_FLA[Instructional Reading Level - Per "&amp;VLOOKUP($D$2, 'Reading Report Logic'!$A$2:$B$8, 2, FALSE)&amp;"]")),FALSE)="", "", VLOOKUP($A612,YES_Reading_FLA[],COLUMN(INDIRECT("YES_Reading_FLA[Instructional Reading Level - Per "&amp;VLOOKUP($D$2, 'Reading Report Logic'!$A$2:$B$8, 2, FALSE)&amp;"]")),FALSE))),""))),"")</f>
        <v/>
      </c>
      <c r="E612" s="205" t="str" cm="1">
        <f t="array" aca="1" ref="E612" ca="1">IFERROR(
IF($J$2="ELA",
IF(VLOOKUP($A612, YES_Reading_ELA[], COLUMN(INDIRECT("YES_Reading_ELA[Min Expectation - Per "&amp;VLOOKUP($D$2, 'Reading Report Logic'!$A$2:$B$8, 2, FALSE)&amp;"]")), FALSE)="", "",
VLOOKUP($A612,YES_Reading_ELA[], COLUMN(INDIRECT("YES_Reading_ELA[Min Expectation - Per "&amp;VLOOKUP($D$2,'Reading Report Logic'!$A$2:$B$8,2,FALSE)&amp;"]")), FALSE)),
IF($J$2="FLA",
IF(VLOOKUP($A612, YES_Reading_FLA[], COLUMN(INDIRECT("YES_Reading_FLA[Min Expectation - Per "&amp;VLOOKUP($D$2,'Reading Report Logic'!$A$2:$B$8,2,FALSE)&amp;"]")),FALSE)="","",
VLOOKUP($A612,YES_Reading_FLA[],COLUMN(INDIRECT("YES_Reading_FLA[Min Expectation - Per "&amp;VLOOKUP($D$2,'Reading Report Logic'!$A$2:$B$8,2,FALSE)&amp;"]")),FALSE)),
IF($J$2="Combined",
IFERROR(
IF(VLOOKUP($A612, YES_Reading_ELA[], COLUMN(INDIRECT("YES_Reading_ELA[Min Expectation - Per "&amp;VLOOKUP($D$2, 'Reading Report Logic'!$A$2:$B$8,2,FALSE)&amp;"]")), FALSE)="", "",
VLOOKUP($A612,YES_Reading_ELA[],COLUMN(INDIRECT("YES_Reading_ELA[Min Expectation - Per "&amp;VLOOKUP($D$2,'Reading Report Logic'!$A$2:$B$8,2,FALSE)&amp;"]")),FALSE)),
IF(VLOOKUP($A612, YES_Reading_FLA[], COLUMN(INDIRECT("YES_Reading_FLA[Min Expectation - Per "&amp;VLOOKUP($D$2, 'Reading Report Logic'!$A$2:$B$8, 2, FALSE)&amp;"]")),FALSE)="", "", VLOOKUP($A612,YES_Reading_FLA[],COLUMN(INDIRECT("YES_Reading_FLA[Min Expectation - Per "&amp;VLOOKUP($D$2, 'Reading Report Logic'!$A$2:$B$8, 2, FALSE)&amp;"]")),FALSE))),""))),"")</f>
        <v/>
      </c>
      <c r="F612" s="205" t="str" cm="1">
        <f t="array" aca="1" ref="F612" ca="1">IFERROR(
IF($J$2="ELA",
IF(VLOOKUP($A612, YES_Reading_ELA[], COLUMN(INDIRECT("YES_Reading_ELA[Max Expectation - Per "&amp;VLOOKUP($D$2, 'Reading Report Logic'!$A$2:$B$8, 2, FALSE)&amp;"]")), FALSE)="", "",
VLOOKUP($A612,YES_Reading_ELA[], COLUMN(INDIRECT("YES_Reading_ELA[Max Expectation - Per "&amp;VLOOKUP($D$2,'Reading Report Logic'!$A$2:$B$8,2,FALSE)&amp;"]")), FALSE)),
IF($J$2="FLA",
IF(VLOOKUP($A612, YES_Reading_FLA[], COLUMN(INDIRECT("YES_Reading_FLA[Max Expectation - Per "&amp;VLOOKUP($D$2,'Reading Report Logic'!$A$2:$B$8,2,FALSE)&amp;"]")),FALSE)="","",
VLOOKUP($A612,YES_Reading_FLA[],COLUMN(INDIRECT("YES_Reading_FLA[Max Expectation - Per "&amp;VLOOKUP($D$2,'Reading Report Logic'!$A$2:$B$8,2,FALSE)&amp;"]")),FALSE)),
IF($J$2="Combined",
IFERROR(
IF(VLOOKUP($A612, YES_Reading_ELA[], COLUMN(INDIRECT("YES_Reading_ELA[Max Expectation - Per "&amp;VLOOKUP($D$2, 'Reading Report Logic'!$A$2:$B$8,2,FALSE)&amp;"]")), FALSE)="", "",
VLOOKUP($A612,YES_Reading_ELA[],COLUMN(INDIRECT("YES_Reading_ELA[Max Expectation - Per "&amp;VLOOKUP($D$2,'Reading Report Logic'!$A$2:$B$8,2,FALSE)&amp;"]")),FALSE)),
IF(VLOOKUP($A612, YES_Reading_FLA[], COLUMN(INDIRECT("YES_Reading_FLA[Max Expectation - Per "&amp;VLOOKUP($D$2, 'Reading Report Logic'!$A$2:$B$8, 2, FALSE)&amp;"]")),FALSE)="", "", VLOOKUP($A612,YES_Reading_FLA[],COLUMN(INDIRECT("YES_Reading_FLA[Max Expectation - Per "&amp;VLOOKUP($D$2, 'Reading Report Logic'!$A$2:$B$8, 2, FALSE)&amp;"]")),FALSE))),""))),"")</f>
        <v/>
      </c>
      <c r="G612" s="205" t="str" cm="1">
        <f t="array" aca="1" ref="G612" ca="1">IFERROR(
IF($J$2="ELA",
IF(VLOOKUP($A612, YES_Reading_ELA[], COLUMN(INDIRECT("YES_Reading_ELA[Difference - Per "&amp;VLOOKUP($D$2, 'Reading Report Logic'!$A$2:$B$8, 2, FALSE)&amp;"]")), FALSE)="", "",
VLOOKUP($A612,YES_Reading_ELA[], COLUMN(INDIRECT("YES_Reading_ELA[Difference - Per "&amp;VLOOKUP($D$2,'Reading Report Logic'!$A$2:$B$8,2,FALSE)&amp;"]")), FALSE)),
IF($J$2="FLA",
IF(VLOOKUP($A612, YES_Reading_FLA[], COLUMN(INDIRECT("YES_Reading_FLA[Difference - Per "&amp;VLOOKUP($D$2,'Reading Report Logic'!$A$2:$B$8,2,FALSE)&amp;"]")),FALSE)="","",
VLOOKUP($A612,YES_Reading_FLA[],COLUMN(INDIRECT("YES_Reading_FLA[Difference - Per "&amp;VLOOKUP($D$2,'Reading Report Logic'!$A$2:$B$8,2,FALSE)&amp;"]")),FALSE)),
IF($J$2="Combined",
IFERROR(
IF(VLOOKUP($A612, YES_Reading_ELA[], COLUMN(INDIRECT("YES_Reading_ELA[Difference - Per "&amp;VLOOKUP($D$2, 'Reading Report Logic'!$A$2:$B$8,2,FALSE)&amp;"]")), FALSE)="", "",
VLOOKUP($A612,YES_Reading_ELA[],COLUMN(INDIRECT("YES_Reading_ELA[Difference - Per "&amp;VLOOKUP($D$2,'Reading Report Logic'!$A$2:$B$8,2,FALSE)&amp;"]")),FALSE)),
IF(VLOOKUP($A612, YES_Reading_FLA[], COLUMN(INDIRECT("YES_Reading_FLA[Difference - Per "&amp;VLOOKUP($D$2, 'Reading Report Logic'!$A$2:$B$8, 2, FALSE)&amp;"]")),FALSE)="", "", VLOOKUP($A612,YES_Reading_FLA[],COLUMN(INDIRECT("YES_Reading_FLA[Difference - Per "&amp;VLOOKUP($D$2, 'Reading Report Logic'!$A$2:$B$8, 2, FALSE)&amp;"]")),FALSE))),""))),"")</f>
        <v/>
      </c>
      <c r="H612" s="206" t="str">
        <f ca="1">IFERROR(VLOOKUP('Teacher Reading Pull Sheets'!$D612,_xlfn.VSTACK('ELA Reading Logic'!$A$22:$B$48,'FLA Reading Logic'!$A$22:$B$53),2,FALSE)-VLOOKUP('Teacher Reading Pull Sheets'!$C612,_xlfn.VSTACK('ELA Reading Logic'!$A$22:$B$48,'FLA Reading Logic'!$A$22:$B$53),2,FALSE),"")</f>
        <v/>
      </c>
      <c r="I612" s="212"/>
      <c r="J612" s="206"/>
      <c r="K612" s="197" t="str" cm="1">
        <f t="array" ref="K612">IFERROR(
IF($J$2="ELA",
IF(VLOOKUP($A612, YES_Reading_ELA[], COLUMN(YES_Reading_ELA[Self-Identified as African Descent]), FALSE)="", "",
VLOOKUP($A612,YES_Reading_ELA[], COLUMN(YES_Reading_ELA[Self-Identified as African Descent]), FALSE)),
IF($J$2="FLA",
IF(VLOOKUP($A612, YES_Reading_FLA[], COLUMN(YES_Reading_FLA[Self-Identified as African Descent]),FALSE)="","",
VLOOKUP($A612,YES_Reading_FLA[],COLUMN(YES_Reading_FLA[Self-Identified as African Descent]),FALSE)),
IF($J$2="Combined",
IFERROR(
IF(VLOOKUP($A612, YES_Reading_ELA[], COLUMN(YES_Reading_ELA[Self-Identified as African Descent]), FALSE)="", "",
VLOOKUP($A612,YES_Reading_ELA[],COLUMN(YES_Reading_ELA[Self-Identified as African Descent]),FALSE)),
IF(VLOOKUP($A612, YES_Reading_FLA[], COLUMN(YES_Reading_FLA[Self-Identified as African Descent]),FALSE)="", "", VLOOKUP($A612,YES_Reading_FLA[],COLUMN(YES_Reading_FLA[Self-Identified as African Descent]),FALSE))),""))),"")</f>
        <v/>
      </c>
      <c r="L612" s="73" t="str" cm="1">
        <f t="array" ref="L612">IFERROR(
IF($J$2="ELA",
IF(VLOOKUP($A612, YES_Reading_ELA[], COLUMN(YES_Reading_ELA[Self-Identified as Indigenous]), FALSE)="", "",
VLOOKUP($A612,YES_Reading_ELA[], COLUMN(YES_Reading_ELA[Self-Identified as Indigenous]), FALSE)),
IF($J$2="FLA",
IF(VLOOKUP($A612, YES_Reading_FLA[], COLUMN(YES_Reading_FLA[Self-Identified as Indigenous]),FALSE)="","",
VLOOKUP($A612,YES_Reading_FLA[],COLUMN(YES_Reading_FLA[Self-Identified as Indigenous]),FALSE)),
IF($J$2="Combined",
IFERROR(
IF(VLOOKUP($A612, YES_Reading_ELA[], COLUMN(YES_Reading_ELA[Self-Identified as Indigenous]), FALSE)="", "",
VLOOKUP($A612,YES_Reading_ELA[],COLUMN(YES_Reading_ELA[Self-Identified as Indigenous]),FALSE)),
IF(VLOOKUP($A612, YES_Reading_FLA[], COLUMN(YES_Reading_FLA[Self-Identified as Indigenous]),FALSE)="", "", VLOOKUP($A612,YES_Reading_FLA[],COLUMN(YES_Reading_FLA[Self-Identified as Indigenous]),FALSE))),""))),"")</f>
        <v/>
      </c>
    </row>
    <row r="613" spans="1:12" ht="19.5" customHeight="1" x14ac:dyDescent="0.25">
      <c r="A613" s="217"/>
      <c r="B613" s="220" t="str">
        <f>IFERROR(VLOOKUP(A613,_xlfn.VSTACK(YES_Reading_ELA[],YES_Reading_FLA[]),2,FALSE),"")</f>
        <v/>
      </c>
      <c r="C613" s="203" t="str" cm="1">
        <f t="array" aca="1" ref="C613" ca="1">IFERROR(
IF($J$2="ELA",
IF(VLOOKUP($A613, YES_Reading_ELA[], COLUMN(IF(VLOOKUP($D$2, 'Reading Report Logic'!$A$2:$B$8, 2, FALSE)=1, YES_Reading_ELA[Reading Level June of Previous School Year], INDIRECT("YES_Reading_ELA[Instructional Reading Level - Per "&amp;(VLOOKUP($D$2,'Reading Report Logic'!$A$2:$B$8,2,FALSE)-1)&amp;"]"))), FALSE)="", "",
VLOOKUP($A613,YES_Reading_ELA[], COLUMN(IF(VLOOKUP($D$2,'Reading Report Logic'!$A$2:$B$8,2,FALSE)=1, YES_Reading_ELA[Reading Level June of Previous School Year],INDIRECT("YES_Reading_ELA[Instructional Reading Level - Per "&amp;(VLOOKUP($D$2,'Reading Report Logic'!$A$2:$B$8,2,FALSE)-1)&amp;"]"))), FALSE)),
IF($J$2="FLA",
IF(VLOOKUP($A613, YES_Reading_FLA[], COLUMN(IF(VLOOKUP($D$2,'Reading Report Logic'!$A$2:$B$8,2,FALSE)=1, YES_Reading_FLA[Reading Level June of Previous School Year],INDIRECT("YES_Reading_FLA[Instructional Reading Level - Per "&amp;(VLOOKUP($D$2,'Reading Report Logic'!$A$2:$B$8,2,FALSE)-1)&amp;"]"))),FALSE)="","",
VLOOKUP($A613,YES_Reading_FLA[], COLUMN(IF(VLOOKUP($D$2,'Reading Report Logic'!$A$2:$B$8,2,FALSE)=1, YES_Reading_FLA[Reading Level June of Previous School Year],INDIRECT("YES_Reading_FLA[Instructional Reading Level - Per "&amp;(VLOOKUP($D$2,'Reading Report Logic'!$A$2:$B$8,2,FALSE)-1)&amp;"]"))),FALSE)),
IF($J$2="Combined",
IFERROR(
IF(VLOOKUP($A613, YES_Reading_ELA[], COLUMN(IF(VLOOKUP($D$2,'Reading Report Logic'!$A$2:$B$8,2,FALSE)=1, YES_Reading_ELA[Reading Level June of Previous School Year],INDIRECT("YES_Reading_ELA[Instructional Reading Level - Per "&amp;(VLOOKUP($D$2,'Reading Report Logic'!$A$2:$B$8,2,FALSE)-1)&amp;"]"))), FALSE)="", "",
VLOOKUP($A613,YES_Reading_ELA[],COLUMN(IF(VLOOKUP($D$2,'Reading Report Logic'!$A$2:$B$8,2,FALSE)=1, YES_Reading_ELA[Reading Level June of Previous School Year],INDIRECT("YES_Reading_ELA[Instructional Reading Level - Per "&amp;(VLOOKUP($D$2,'Reading Report Logic'!$A$2:$B$8,2,FALSE)-1)&amp;"]"))),FALSE)),
IF(VLOOKUP($A613, YES_Reading_FLA[], COLUMN(IF(VLOOKUP($D$2,'Reading Report Logic'!$A$2:$B$8,2,FALSE)=1, YES_Reading_FLA[Reading Level June of Previous School Year],INDIRECT("YES_Reading_FLA[Instructional Reading Level - Per "&amp;(VLOOKUP($D$2,'Reading Report Logic'!$A$2:$B$8,2,FALSE)-1)&amp;"]"))),FALSE)="", "", VLOOKUP($A613,YES_Reading_FLA[],COLUMN(IF(VLOOKUP($D$2,'Reading Report Logic'!$A$2:$B$8,2,FALSE)=1, YES_Reading_FLA[Reading Level June of Previous School Year],INDIRECT("YES_Reading_FLA[Instructional Reading Level - Per "&amp;(VLOOKUP($D$2,'Reading Report Logic'!$A$2:$B$8,2,FALSE)-1)&amp;"]"))), FALSE))),""))),"")</f>
        <v/>
      </c>
      <c r="D613" s="204" t="str" cm="1">
        <f t="array" aca="1" ref="D613" ca="1">IFERROR(
IF($J$2="ELA",
IF(VLOOKUP($A613, YES_Reading_ELA[], COLUMN(INDIRECT("YES_Reading_ELA[Instructional Reading Level - Per "&amp;VLOOKUP($D$2, 'Reading Report Logic'!$A$2:$B$8, 2, FALSE)&amp;"]")), FALSE)="", "",
VLOOKUP($A613,YES_Reading_ELA[], COLUMN(INDIRECT("YES_Reading_ELA[Instructional Reading Level - Per "&amp;VLOOKUP($D$2,'Reading Report Logic'!$A$2:$B$8,2,FALSE)&amp;"]")), FALSE)),
IF($J$2="FLA",
IF(VLOOKUP($A613, YES_Reading_FLA[], COLUMN(INDIRECT("YES_Reading_FLA[Instructional Reading Level - Per "&amp;VLOOKUP($D$2,'Reading Report Logic'!$A$2:$B$8,2,FALSE)&amp;"]")),FALSE)="","",
VLOOKUP($A613,YES_Reading_FLA[],COLUMN(INDIRECT("YES_Reading_FLA[Instructional Reading Level - Per "&amp;VLOOKUP($D$2,'Reading Report Logic'!$A$2:$B$8,2,FALSE)&amp;"]")),FALSE)),
IF($J$2="Combined",
IFERROR(
IF(VLOOKUP($A613, YES_Reading_ELA[], COLUMN(INDIRECT("YES_Reading_ELA[Instructional Reading Level - Per "&amp;VLOOKUP($D$2, 'Reading Report Logic'!$A$2:$B$8,2,FALSE)&amp;"]")), FALSE)="", "",
VLOOKUP($A613,YES_Reading_ELA[],COLUMN(INDIRECT("YES_Reading_ELA[Instructional Reading Level - Per "&amp;VLOOKUP($D$2,'Reading Report Logic'!$A$2:$B$8,2,FALSE)&amp;"]")),FALSE)),
IF(VLOOKUP($A613, YES_Reading_FLA[], COLUMN(INDIRECT("YES_Reading_FLA[Instructional Reading Level - Per "&amp;VLOOKUP($D$2, 'Reading Report Logic'!$A$2:$B$8, 2, FALSE)&amp;"]")),FALSE)="", "", VLOOKUP($A613,YES_Reading_FLA[],COLUMN(INDIRECT("YES_Reading_FLA[Instructional Reading Level - Per "&amp;VLOOKUP($D$2, 'Reading Report Logic'!$A$2:$B$8, 2, FALSE)&amp;"]")),FALSE))),""))),"")</f>
        <v/>
      </c>
      <c r="E613" s="205" t="str" cm="1">
        <f t="array" aca="1" ref="E613" ca="1">IFERROR(
IF($J$2="ELA",
IF(VLOOKUP($A613, YES_Reading_ELA[], COLUMN(INDIRECT("YES_Reading_ELA[Min Expectation - Per "&amp;VLOOKUP($D$2, 'Reading Report Logic'!$A$2:$B$8, 2, FALSE)&amp;"]")), FALSE)="", "",
VLOOKUP($A613,YES_Reading_ELA[], COLUMN(INDIRECT("YES_Reading_ELA[Min Expectation - Per "&amp;VLOOKUP($D$2,'Reading Report Logic'!$A$2:$B$8,2,FALSE)&amp;"]")), FALSE)),
IF($J$2="FLA",
IF(VLOOKUP($A613, YES_Reading_FLA[], COLUMN(INDIRECT("YES_Reading_FLA[Min Expectation - Per "&amp;VLOOKUP($D$2,'Reading Report Logic'!$A$2:$B$8,2,FALSE)&amp;"]")),FALSE)="","",
VLOOKUP($A613,YES_Reading_FLA[],COLUMN(INDIRECT("YES_Reading_FLA[Min Expectation - Per "&amp;VLOOKUP($D$2,'Reading Report Logic'!$A$2:$B$8,2,FALSE)&amp;"]")),FALSE)),
IF($J$2="Combined",
IFERROR(
IF(VLOOKUP($A613, YES_Reading_ELA[], COLUMN(INDIRECT("YES_Reading_ELA[Min Expectation - Per "&amp;VLOOKUP($D$2, 'Reading Report Logic'!$A$2:$B$8,2,FALSE)&amp;"]")), FALSE)="", "",
VLOOKUP($A613,YES_Reading_ELA[],COLUMN(INDIRECT("YES_Reading_ELA[Min Expectation - Per "&amp;VLOOKUP($D$2,'Reading Report Logic'!$A$2:$B$8,2,FALSE)&amp;"]")),FALSE)),
IF(VLOOKUP($A613, YES_Reading_FLA[], COLUMN(INDIRECT("YES_Reading_FLA[Min Expectation - Per "&amp;VLOOKUP($D$2, 'Reading Report Logic'!$A$2:$B$8, 2, FALSE)&amp;"]")),FALSE)="", "", VLOOKUP($A613,YES_Reading_FLA[],COLUMN(INDIRECT("YES_Reading_FLA[Min Expectation - Per "&amp;VLOOKUP($D$2, 'Reading Report Logic'!$A$2:$B$8, 2, FALSE)&amp;"]")),FALSE))),""))),"")</f>
        <v/>
      </c>
      <c r="F613" s="205" t="str" cm="1">
        <f t="array" aca="1" ref="F613" ca="1">IFERROR(
IF($J$2="ELA",
IF(VLOOKUP($A613, YES_Reading_ELA[], COLUMN(INDIRECT("YES_Reading_ELA[Max Expectation - Per "&amp;VLOOKUP($D$2, 'Reading Report Logic'!$A$2:$B$8, 2, FALSE)&amp;"]")), FALSE)="", "",
VLOOKUP($A613,YES_Reading_ELA[], COLUMN(INDIRECT("YES_Reading_ELA[Max Expectation - Per "&amp;VLOOKUP($D$2,'Reading Report Logic'!$A$2:$B$8,2,FALSE)&amp;"]")), FALSE)),
IF($J$2="FLA",
IF(VLOOKUP($A613, YES_Reading_FLA[], COLUMN(INDIRECT("YES_Reading_FLA[Max Expectation - Per "&amp;VLOOKUP($D$2,'Reading Report Logic'!$A$2:$B$8,2,FALSE)&amp;"]")),FALSE)="","",
VLOOKUP($A613,YES_Reading_FLA[],COLUMN(INDIRECT("YES_Reading_FLA[Max Expectation - Per "&amp;VLOOKUP($D$2,'Reading Report Logic'!$A$2:$B$8,2,FALSE)&amp;"]")),FALSE)),
IF($J$2="Combined",
IFERROR(
IF(VLOOKUP($A613, YES_Reading_ELA[], COLUMN(INDIRECT("YES_Reading_ELA[Max Expectation - Per "&amp;VLOOKUP($D$2, 'Reading Report Logic'!$A$2:$B$8,2,FALSE)&amp;"]")), FALSE)="", "",
VLOOKUP($A613,YES_Reading_ELA[],COLUMN(INDIRECT("YES_Reading_ELA[Max Expectation - Per "&amp;VLOOKUP($D$2,'Reading Report Logic'!$A$2:$B$8,2,FALSE)&amp;"]")),FALSE)),
IF(VLOOKUP($A613, YES_Reading_FLA[], COLUMN(INDIRECT("YES_Reading_FLA[Max Expectation - Per "&amp;VLOOKUP($D$2, 'Reading Report Logic'!$A$2:$B$8, 2, FALSE)&amp;"]")),FALSE)="", "", VLOOKUP($A613,YES_Reading_FLA[],COLUMN(INDIRECT("YES_Reading_FLA[Max Expectation - Per "&amp;VLOOKUP($D$2, 'Reading Report Logic'!$A$2:$B$8, 2, FALSE)&amp;"]")),FALSE))),""))),"")</f>
        <v/>
      </c>
      <c r="G613" s="205" t="str" cm="1">
        <f t="array" aca="1" ref="G613" ca="1">IFERROR(
IF($J$2="ELA",
IF(VLOOKUP($A613, YES_Reading_ELA[], COLUMN(INDIRECT("YES_Reading_ELA[Difference - Per "&amp;VLOOKUP($D$2, 'Reading Report Logic'!$A$2:$B$8, 2, FALSE)&amp;"]")), FALSE)="", "",
VLOOKUP($A613,YES_Reading_ELA[], COLUMN(INDIRECT("YES_Reading_ELA[Difference - Per "&amp;VLOOKUP($D$2,'Reading Report Logic'!$A$2:$B$8,2,FALSE)&amp;"]")), FALSE)),
IF($J$2="FLA",
IF(VLOOKUP($A613, YES_Reading_FLA[], COLUMN(INDIRECT("YES_Reading_FLA[Difference - Per "&amp;VLOOKUP($D$2,'Reading Report Logic'!$A$2:$B$8,2,FALSE)&amp;"]")),FALSE)="","",
VLOOKUP($A613,YES_Reading_FLA[],COLUMN(INDIRECT("YES_Reading_FLA[Difference - Per "&amp;VLOOKUP($D$2,'Reading Report Logic'!$A$2:$B$8,2,FALSE)&amp;"]")),FALSE)),
IF($J$2="Combined",
IFERROR(
IF(VLOOKUP($A613, YES_Reading_ELA[], COLUMN(INDIRECT("YES_Reading_ELA[Difference - Per "&amp;VLOOKUP($D$2, 'Reading Report Logic'!$A$2:$B$8,2,FALSE)&amp;"]")), FALSE)="", "",
VLOOKUP($A613,YES_Reading_ELA[],COLUMN(INDIRECT("YES_Reading_ELA[Difference - Per "&amp;VLOOKUP($D$2,'Reading Report Logic'!$A$2:$B$8,2,FALSE)&amp;"]")),FALSE)),
IF(VLOOKUP($A613, YES_Reading_FLA[], COLUMN(INDIRECT("YES_Reading_FLA[Difference - Per "&amp;VLOOKUP($D$2, 'Reading Report Logic'!$A$2:$B$8, 2, FALSE)&amp;"]")),FALSE)="", "", VLOOKUP($A613,YES_Reading_FLA[],COLUMN(INDIRECT("YES_Reading_FLA[Difference - Per "&amp;VLOOKUP($D$2, 'Reading Report Logic'!$A$2:$B$8, 2, FALSE)&amp;"]")),FALSE))),""))),"")</f>
        <v/>
      </c>
      <c r="H613" s="206" t="str">
        <f ca="1">IFERROR(VLOOKUP('Teacher Reading Pull Sheets'!$D613,_xlfn.VSTACK('ELA Reading Logic'!$A$22:$B$48,'FLA Reading Logic'!$A$22:$B$53),2,FALSE)-VLOOKUP('Teacher Reading Pull Sheets'!$C613,_xlfn.VSTACK('ELA Reading Logic'!$A$22:$B$48,'FLA Reading Logic'!$A$22:$B$53),2,FALSE),"")</f>
        <v/>
      </c>
      <c r="I613" s="212"/>
      <c r="J613" s="206"/>
      <c r="K613" s="197" t="str" cm="1">
        <f t="array" ref="K613">IFERROR(
IF($J$2="ELA",
IF(VLOOKUP($A613, YES_Reading_ELA[], COLUMN(YES_Reading_ELA[Self-Identified as African Descent]), FALSE)="", "",
VLOOKUP($A613,YES_Reading_ELA[], COLUMN(YES_Reading_ELA[Self-Identified as African Descent]), FALSE)),
IF($J$2="FLA",
IF(VLOOKUP($A613, YES_Reading_FLA[], COLUMN(YES_Reading_FLA[Self-Identified as African Descent]),FALSE)="","",
VLOOKUP($A613,YES_Reading_FLA[],COLUMN(YES_Reading_FLA[Self-Identified as African Descent]),FALSE)),
IF($J$2="Combined",
IFERROR(
IF(VLOOKUP($A613, YES_Reading_ELA[], COLUMN(YES_Reading_ELA[Self-Identified as African Descent]), FALSE)="", "",
VLOOKUP($A613,YES_Reading_ELA[],COLUMN(YES_Reading_ELA[Self-Identified as African Descent]),FALSE)),
IF(VLOOKUP($A613, YES_Reading_FLA[], COLUMN(YES_Reading_FLA[Self-Identified as African Descent]),FALSE)="", "", VLOOKUP($A613,YES_Reading_FLA[],COLUMN(YES_Reading_FLA[Self-Identified as African Descent]),FALSE))),""))),"")</f>
        <v/>
      </c>
      <c r="L613" s="73" t="str" cm="1">
        <f t="array" ref="L613">IFERROR(
IF($J$2="ELA",
IF(VLOOKUP($A613, YES_Reading_ELA[], COLUMN(YES_Reading_ELA[Self-Identified as Indigenous]), FALSE)="", "",
VLOOKUP($A613,YES_Reading_ELA[], COLUMN(YES_Reading_ELA[Self-Identified as Indigenous]), FALSE)),
IF($J$2="FLA",
IF(VLOOKUP($A613, YES_Reading_FLA[], COLUMN(YES_Reading_FLA[Self-Identified as Indigenous]),FALSE)="","",
VLOOKUP($A613,YES_Reading_FLA[],COLUMN(YES_Reading_FLA[Self-Identified as Indigenous]),FALSE)),
IF($J$2="Combined",
IFERROR(
IF(VLOOKUP($A613, YES_Reading_ELA[], COLUMN(YES_Reading_ELA[Self-Identified as Indigenous]), FALSE)="", "",
VLOOKUP($A613,YES_Reading_ELA[],COLUMN(YES_Reading_ELA[Self-Identified as Indigenous]),FALSE)),
IF(VLOOKUP($A613, YES_Reading_FLA[], COLUMN(YES_Reading_FLA[Self-Identified as Indigenous]),FALSE)="", "", VLOOKUP($A613,YES_Reading_FLA[],COLUMN(YES_Reading_FLA[Self-Identified as Indigenous]),FALSE))),""))),"")</f>
        <v/>
      </c>
    </row>
    <row r="614" spans="1:12" ht="19.5" customHeight="1" x14ac:dyDescent="0.25">
      <c r="A614" s="217"/>
      <c r="B614" s="220" t="str">
        <f>IFERROR(VLOOKUP(A614,_xlfn.VSTACK(YES_Reading_ELA[],YES_Reading_FLA[]),2,FALSE),"")</f>
        <v/>
      </c>
      <c r="C614" s="203" t="str" cm="1">
        <f t="array" aca="1" ref="C614" ca="1">IFERROR(
IF($J$2="ELA",
IF(VLOOKUP($A614, YES_Reading_ELA[], COLUMN(IF(VLOOKUP($D$2, 'Reading Report Logic'!$A$2:$B$8, 2, FALSE)=1, YES_Reading_ELA[Reading Level June of Previous School Year], INDIRECT("YES_Reading_ELA[Instructional Reading Level - Per "&amp;(VLOOKUP($D$2,'Reading Report Logic'!$A$2:$B$8,2,FALSE)-1)&amp;"]"))), FALSE)="", "",
VLOOKUP($A614,YES_Reading_ELA[], COLUMN(IF(VLOOKUP($D$2,'Reading Report Logic'!$A$2:$B$8,2,FALSE)=1, YES_Reading_ELA[Reading Level June of Previous School Year],INDIRECT("YES_Reading_ELA[Instructional Reading Level - Per "&amp;(VLOOKUP($D$2,'Reading Report Logic'!$A$2:$B$8,2,FALSE)-1)&amp;"]"))), FALSE)),
IF($J$2="FLA",
IF(VLOOKUP($A614, YES_Reading_FLA[], COLUMN(IF(VLOOKUP($D$2,'Reading Report Logic'!$A$2:$B$8,2,FALSE)=1, YES_Reading_FLA[Reading Level June of Previous School Year],INDIRECT("YES_Reading_FLA[Instructional Reading Level - Per "&amp;(VLOOKUP($D$2,'Reading Report Logic'!$A$2:$B$8,2,FALSE)-1)&amp;"]"))),FALSE)="","",
VLOOKUP($A614,YES_Reading_FLA[], COLUMN(IF(VLOOKUP($D$2,'Reading Report Logic'!$A$2:$B$8,2,FALSE)=1, YES_Reading_FLA[Reading Level June of Previous School Year],INDIRECT("YES_Reading_FLA[Instructional Reading Level - Per "&amp;(VLOOKUP($D$2,'Reading Report Logic'!$A$2:$B$8,2,FALSE)-1)&amp;"]"))),FALSE)),
IF($J$2="Combined",
IFERROR(
IF(VLOOKUP($A614, YES_Reading_ELA[], COLUMN(IF(VLOOKUP($D$2,'Reading Report Logic'!$A$2:$B$8,2,FALSE)=1, YES_Reading_ELA[Reading Level June of Previous School Year],INDIRECT("YES_Reading_ELA[Instructional Reading Level - Per "&amp;(VLOOKUP($D$2,'Reading Report Logic'!$A$2:$B$8,2,FALSE)-1)&amp;"]"))), FALSE)="", "",
VLOOKUP($A614,YES_Reading_ELA[],COLUMN(IF(VLOOKUP($D$2,'Reading Report Logic'!$A$2:$B$8,2,FALSE)=1, YES_Reading_ELA[Reading Level June of Previous School Year],INDIRECT("YES_Reading_ELA[Instructional Reading Level - Per "&amp;(VLOOKUP($D$2,'Reading Report Logic'!$A$2:$B$8,2,FALSE)-1)&amp;"]"))),FALSE)),
IF(VLOOKUP($A614, YES_Reading_FLA[], COLUMN(IF(VLOOKUP($D$2,'Reading Report Logic'!$A$2:$B$8,2,FALSE)=1, YES_Reading_FLA[Reading Level June of Previous School Year],INDIRECT("YES_Reading_FLA[Instructional Reading Level - Per "&amp;(VLOOKUP($D$2,'Reading Report Logic'!$A$2:$B$8,2,FALSE)-1)&amp;"]"))),FALSE)="", "", VLOOKUP($A614,YES_Reading_FLA[],COLUMN(IF(VLOOKUP($D$2,'Reading Report Logic'!$A$2:$B$8,2,FALSE)=1, YES_Reading_FLA[Reading Level June of Previous School Year],INDIRECT("YES_Reading_FLA[Instructional Reading Level - Per "&amp;(VLOOKUP($D$2,'Reading Report Logic'!$A$2:$B$8,2,FALSE)-1)&amp;"]"))), FALSE))),""))),"")</f>
        <v/>
      </c>
      <c r="D614" s="204" t="str" cm="1">
        <f t="array" aca="1" ref="D614" ca="1">IFERROR(
IF($J$2="ELA",
IF(VLOOKUP($A614, YES_Reading_ELA[], COLUMN(INDIRECT("YES_Reading_ELA[Instructional Reading Level - Per "&amp;VLOOKUP($D$2, 'Reading Report Logic'!$A$2:$B$8, 2, FALSE)&amp;"]")), FALSE)="", "",
VLOOKUP($A614,YES_Reading_ELA[], COLUMN(INDIRECT("YES_Reading_ELA[Instructional Reading Level - Per "&amp;VLOOKUP($D$2,'Reading Report Logic'!$A$2:$B$8,2,FALSE)&amp;"]")), FALSE)),
IF($J$2="FLA",
IF(VLOOKUP($A614, YES_Reading_FLA[], COLUMN(INDIRECT("YES_Reading_FLA[Instructional Reading Level - Per "&amp;VLOOKUP($D$2,'Reading Report Logic'!$A$2:$B$8,2,FALSE)&amp;"]")),FALSE)="","",
VLOOKUP($A614,YES_Reading_FLA[],COLUMN(INDIRECT("YES_Reading_FLA[Instructional Reading Level - Per "&amp;VLOOKUP($D$2,'Reading Report Logic'!$A$2:$B$8,2,FALSE)&amp;"]")),FALSE)),
IF($J$2="Combined",
IFERROR(
IF(VLOOKUP($A614, YES_Reading_ELA[], COLUMN(INDIRECT("YES_Reading_ELA[Instructional Reading Level - Per "&amp;VLOOKUP($D$2, 'Reading Report Logic'!$A$2:$B$8,2,FALSE)&amp;"]")), FALSE)="", "",
VLOOKUP($A614,YES_Reading_ELA[],COLUMN(INDIRECT("YES_Reading_ELA[Instructional Reading Level - Per "&amp;VLOOKUP($D$2,'Reading Report Logic'!$A$2:$B$8,2,FALSE)&amp;"]")),FALSE)),
IF(VLOOKUP($A614, YES_Reading_FLA[], COLUMN(INDIRECT("YES_Reading_FLA[Instructional Reading Level - Per "&amp;VLOOKUP($D$2, 'Reading Report Logic'!$A$2:$B$8, 2, FALSE)&amp;"]")),FALSE)="", "", VLOOKUP($A614,YES_Reading_FLA[],COLUMN(INDIRECT("YES_Reading_FLA[Instructional Reading Level - Per "&amp;VLOOKUP($D$2, 'Reading Report Logic'!$A$2:$B$8, 2, FALSE)&amp;"]")),FALSE))),""))),"")</f>
        <v/>
      </c>
      <c r="E614" s="205" t="str" cm="1">
        <f t="array" aca="1" ref="E614" ca="1">IFERROR(
IF($J$2="ELA",
IF(VLOOKUP($A614, YES_Reading_ELA[], COLUMN(INDIRECT("YES_Reading_ELA[Min Expectation - Per "&amp;VLOOKUP($D$2, 'Reading Report Logic'!$A$2:$B$8, 2, FALSE)&amp;"]")), FALSE)="", "",
VLOOKUP($A614,YES_Reading_ELA[], COLUMN(INDIRECT("YES_Reading_ELA[Min Expectation - Per "&amp;VLOOKUP($D$2,'Reading Report Logic'!$A$2:$B$8,2,FALSE)&amp;"]")), FALSE)),
IF($J$2="FLA",
IF(VLOOKUP($A614, YES_Reading_FLA[], COLUMN(INDIRECT("YES_Reading_FLA[Min Expectation - Per "&amp;VLOOKUP($D$2,'Reading Report Logic'!$A$2:$B$8,2,FALSE)&amp;"]")),FALSE)="","",
VLOOKUP($A614,YES_Reading_FLA[],COLUMN(INDIRECT("YES_Reading_FLA[Min Expectation - Per "&amp;VLOOKUP($D$2,'Reading Report Logic'!$A$2:$B$8,2,FALSE)&amp;"]")),FALSE)),
IF($J$2="Combined",
IFERROR(
IF(VLOOKUP($A614, YES_Reading_ELA[], COLUMN(INDIRECT("YES_Reading_ELA[Min Expectation - Per "&amp;VLOOKUP($D$2, 'Reading Report Logic'!$A$2:$B$8,2,FALSE)&amp;"]")), FALSE)="", "",
VLOOKUP($A614,YES_Reading_ELA[],COLUMN(INDIRECT("YES_Reading_ELA[Min Expectation - Per "&amp;VLOOKUP($D$2,'Reading Report Logic'!$A$2:$B$8,2,FALSE)&amp;"]")),FALSE)),
IF(VLOOKUP($A614, YES_Reading_FLA[], COLUMN(INDIRECT("YES_Reading_FLA[Min Expectation - Per "&amp;VLOOKUP($D$2, 'Reading Report Logic'!$A$2:$B$8, 2, FALSE)&amp;"]")),FALSE)="", "", VLOOKUP($A614,YES_Reading_FLA[],COLUMN(INDIRECT("YES_Reading_FLA[Min Expectation - Per "&amp;VLOOKUP($D$2, 'Reading Report Logic'!$A$2:$B$8, 2, FALSE)&amp;"]")),FALSE))),""))),"")</f>
        <v/>
      </c>
      <c r="F614" s="205" t="str" cm="1">
        <f t="array" aca="1" ref="F614" ca="1">IFERROR(
IF($J$2="ELA",
IF(VLOOKUP($A614, YES_Reading_ELA[], COLUMN(INDIRECT("YES_Reading_ELA[Max Expectation - Per "&amp;VLOOKUP($D$2, 'Reading Report Logic'!$A$2:$B$8, 2, FALSE)&amp;"]")), FALSE)="", "",
VLOOKUP($A614,YES_Reading_ELA[], COLUMN(INDIRECT("YES_Reading_ELA[Max Expectation - Per "&amp;VLOOKUP($D$2,'Reading Report Logic'!$A$2:$B$8,2,FALSE)&amp;"]")), FALSE)),
IF($J$2="FLA",
IF(VLOOKUP($A614, YES_Reading_FLA[], COLUMN(INDIRECT("YES_Reading_FLA[Max Expectation - Per "&amp;VLOOKUP($D$2,'Reading Report Logic'!$A$2:$B$8,2,FALSE)&amp;"]")),FALSE)="","",
VLOOKUP($A614,YES_Reading_FLA[],COLUMN(INDIRECT("YES_Reading_FLA[Max Expectation - Per "&amp;VLOOKUP($D$2,'Reading Report Logic'!$A$2:$B$8,2,FALSE)&amp;"]")),FALSE)),
IF($J$2="Combined",
IFERROR(
IF(VLOOKUP($A614, YES_Reading_ELA[], COLUMN(INDIRECT("YES_Reading_ELA[Max Expectation - Per "&amp;VLOOKUP($D$2, 'Reading Report Logic'!$A$2:$B$8,2,FALSE)&amp;"]")), FALSE)="", "",
VLOOKUP($A614,YES_Reading_ELA[],COLUMN(INDIRECT("YES_Reading_ELA[Max Expectation - Per "&amp;VLOOKUP($D$2,'Reading Report Logic'!$A$2:$B$8,2,FALSE)&amp;"]")),FALSE)),
IF(VLOOKUP($A614, YES_Reading_FLA[], COLUMN(INDIRECT("YES_Reading_FLA[Max Expectation - Per "&amp;VLOOKUP($D$2, 'Reading Report Logic'!$A$2:$B$8, 2, FALSE)&amp;"]")),FALSE)="", "", VLOOKUP($A614,YES_Reading_FLA[],COLUMN(INDIRECT("YES_Reading_FLA[Max Expectation - Per "&amp;VLOOKUP($D$2, 'Reading Report Logic'!$A$2:$B$8, 2, FALSE)&amp;"]")),FALSE))),""))),"")</f>
        <v/>
      </c>
      <c r="G614" s="205" t="str" cm="1">
        <f t="array" aca="1" ref="G614" ca="1">IFERROR(
IF($J$2="ELA",
IF(VLOOKUP($A614, YES_Reading_ELA[], COLUMN(INDIRECT("YES_Reading_ELA[Difference - Per "&amp;VLOOKUP($D$2, 'Reading Report Logic'!$A$2:$B$8, 2, FALSE)&amp;"]")), FALSE)="", "",
VLOOKUP($A614,YES_Reading_ELA[], COLUMN(INDIRECT("YES_Reading_ELA[Difference - Per "&amp;VLOOKUP($D$2,'Reading Report Logic'!$A$2:$B$8,2,FALSE)&amp;"]")), FALSE)),
IF($J$2="FLA",
IF(VLOOKUP($A614, YES_Reading_FLA[], COLUMN(INDIRECT("YES_Reading_FLA[Difference - Per "&amp;VLOOKUP($D$2,'Reading Report Logic'!$A$2:$B$8,2,FALSE)&amp;"]")),FALSE)="","",
VLOOKUP($A614,YES_Reading_FLA[],COLUMN(INDIRECT("YES_Reading_FLA[Difference - Per "&amp;VLOOKUP($D$2,'Reading Report Logic'!$A$2:$B$8,2,FALSE)&amp;"]")),FALSE)),
IF($J$2="Combined",
IFERROR(
IF(VLOOKUP($A614, YES_Reading_ELA[], COLUMN(INDIRECT("YES_Reading_ELA[Difference - Per "&amp;VLOOKUP($D$2, 'Reading Report Logic'!$A$2:$B$8,2,FALSE)&amp;"]")), FALSE)="", "",
VLOOKUP($A614,YES_Reading_ELA[],COLUMN(INDIRECT("YES_Reading_ELA[Difference - Per "&amp;VLOOKUP($D$2,'Reading Report Logic'!$A$2:$B$8,2,FALSE)&amp;"]")),FALSE)),
IF(VLOOKUP($A614, YES_Reading_FLA[], COLUMN(INDIRECT("YES_Reading_FLA[Difference - Per "&amp;VLOOKUP($D$2, 'Reading Report Logic'!$A$2:$B$8, 2, FALSE)&amp;"]")),FALSE)="", "", VLOOKUP($A614,YES_Reading_FLA[],COLUMN(INDIRECT("YES_Reading_FLA[Difference - Per "&amp;VLOOKUP($D$2, 'Reading Report Logic'!$A$2:$B$8, 2, FALSE)&amp;"]")),FALSE))),""))),"")</f>
        <v/>
      </c>
      <c r="H614" s="206" t="str">
        <f ca="1">IFERROR(VLOOKUP('Teacher Reading Pull Sheets'!$D614,_xlfn.VSTACK('ELA Reading Logic'!$A$22:$B$48,'FLA Reading Logic'!$A$22:$B$53),2,FALSE)-VLOOKUP('Teacher Reading Pull Sheets'!$C614,_xlfn.VSTACK('ELA Reading Logic'!$A$22:$B$48,'FLA Reading Logic'!$A$22:$B$53),2,FALSE),"")</f>
        <v/>
      </c>
      <c r="I614" s="212"/>
      <c r="J614" s="206"/>
      <c r="K614" s="197" t="str" cm="1">
        <f t="array" ref="K614">IFERROR(
IF($J$2="ELA",
IF(VLOOKUP($A614, YES_Reading_ELA[], COLUMN(YES_Reading_ELA[Self-Identified as African Descent]), FALSE)="", "",
VLOOKUP($A614,YES_Reading_ELA[], COLUMN(YES_Reading_ELA[Self-Identified as African Descent]), FALSE)),
IF($J$2="FLA",
IF(VLOOKUP($A614, YES_Reading_FLA[], COLUMN(YES_Reading_FLA[Self-Identified as African Descent]),FALSE)="","",
VLOOKUP($A614,YES_Reading_FLA[],COLUMN(YES_Reading_FLA[Self-Identified as African Descent]),FALSE)),
IF($J$2="Combined",
IFERROR(
IF(VLOOKUP($A614, YES_Reading_ELA[], COLUMN(YES_Reading_ELA[Self-Identified as African Descent]), FALSE)="", "",
VLOOKUP($A614,YES_Reading_ELA[],COLUMN(YES_Reading_ELA[Self-Identified as African Descent]),FALSE)),
IF(VLOOKUP($A614, YES_Reading_FLA[], COLUMN(YES_Reading_FLA[Self-Identified as African Descent]),FALSE)="", "", VLOOKUP($A614,YES_Reading_FLA[],COLUMN(YES_Reading_FLA[Self-Identified as African Descent]),FALSE))),""))),"")</f>
        <v/>
      </c>
      <c r="L614" s="73" t="str" cm="1">
        <f t="array" ref="L614">IFERROR(
IF($J$2="ELA",
IF(VLOOKUP($A614, YES_Reading_ELA[], COLUMN(YES_Reading_ELA[Self-Identified as Indigenous]), FALSE)="", "",
VLOOKUP($A614,YES_Reading_ELA[], COLUMN(YES_Reading_ELA[Self-Identified as Indigenous]), FALSE)),
IF($J$2="FLA",
IF(VLOOKUP($A614, YES_Reading_FLA[], COLUMN(YES_Reading_FLA[Self-Identified as Indigenous]),FALSE)="","",
VLOOKUP($A614,YES_Reading_FLA[],COLUMN(YES_Reading_FLA[Self-Identified as Indigenous]),FALSE)),
IF($J$2="Combined",
IFERROR(
IF(VLOOKUP($A614, YES_Reading_ELA[], COLUMN(YES_Reading_ELA[Self-Identified as Indigenous]), FALSE)="", "",
VLOOKUP($A614,YES_Reading_ELA[],COLUMN(YES_Reading_ELA[Self-Identified as Indigenous]),FALSE)),
IF(VLOOKUP($A614, YES_Reading_FLA[], COLUMN(YES_Reading_FLA[Self-Identified as Indigenous]),FALSE)="", "", VLOOKUP($A614,YES_Reading_FLA[],COLUMN(YES_Reading_FLA[Self-Identified as Indigenous]),FALSE))),""))),"")</f>
        <v/>
      </c>
    </row>
    <row r="615" spans="1:12" ht="19.5" customHeight="1" x14ac:dyDescent="0.25">
      <c r="A615" s="217"/>
      <c r="B615" s="220" t="str">
        <f>IFERROR(VLOOKUP(A615,_xlfn.VSTACK(YES_Reading_ELA[],YES_Reading_FLA[]),2,FALSE),"")</f>
        <v/>
      </c>
      <c r="C615" s="203" t="str" cm="1">
        <f t="array" aca="1" ref="C615" ca="1">IFERROR(
IF($J$2="ELA",
IF(VLOOKUP($A615, YES_Reading_ELA[], COLUMN(IF(VLOOKUP($D$2, 'Reading Report Logic'!$A$2:$B$8, 2, FALSE)=1, YES_Reading_ELA[Reading Level June of Previous School Year], INDIRECT("YES_Reading_ELA[Instructional Reading Level - Per "&amp;(VLOOKUP($D$2,'Reading Report Logic'!$A$2:$B$8,2,FALSE)-1)&amp;"]"))), FALSE)="", "",
VLOOKUP($A615,YES_Reading_ELA[], COLUMN(IF(VLOOKUP($D$2,'Reading Report Logic'!$A$2:$B$8,2,FALSE)=1, YES_Reading_ELA[Reading Level June of Previous School Year],INDIRECT("YES_Reading_ELA[Instructional Reading Level - Per "&amp;(VLOOKUP($D$2,'Reading Report Logic'!$A$2:$B$8,2,FALSE)-1)&amp;"]"))), FALSE)),
IF($J$2="FLA",
IF(VLOOKUP($A615, YES_Reading_FLA[], COLUMN(IF(VLOOKUP($D$2,'Reading Report Logic'!$A$2:$B$8,2,FALSE)=1, YES_Reading_FLA[Reading Level June of Previous School Year],INDIRECT("YES_Reading_FLA[Instructional Reading Level - Per "&amp;(VLOOKUP($D$2,'Reading Report Logic'!$A$2:$B$8,2,FALSE)-1)&amp;"]"))),FALSE)="","",
VLOOKUP($A615,YES_Reading_FLA[], COLUMN(IF(VLOOKUP($D$2,'Reading Report Logic'!$A$2:$B$8,2,FALSE)=1, YES_Reading_FLA[Reading Level June of Previous School Year],INDIRECT("YES_Reading_FLA[Instructional Reading Level - Per "&amp;(VLOOKUP($D$2,'Reading Report Logic'!$A$2:$B$8,2,FALSE)-1)&amp;"]"))),FALSE)),
IF($J$2="Combined",
IFERROR(
IF(VLOOKUP($A615, YES_Reading_ELA[], COLUMN(IF(VLOOKUP($D$2,'Reading Report Logic'!$A$2:$B$8,2,FALSE)=1, YES_Reading_ELA[Reading Level June of Previous School Year],INDIRECT("YES_Reading_ELA[Instructional Reading Level - Per "&amp;(VLOOKUP($D$2,'Reading Report Logic'!$A$2:$B$8,2,FALSE)-1)&amp;"]"))), FALSE)="", "",
VLOOKUP($A615,YES_Reading_ELA[],COLUMN(IF(VLOOKUP($D$2,'Reading Report Logic'!$A$2:$B$8,2,FALSE)=1, YES_Reading_ELA[Reading Level June of Previous School Year],INDIRECT("YES_Reading_ELA[Instructional Reading Level - Per "&amp;(VLOOKUP($D$2,'Reading Report Logic'!$A$2:$B$8,2,FALSE)-1)&amp;"]"))),FALSE)),
IF(VLOOKUP($A615, YES_Reading_FLA[], COLUMN(IF(VLOOKUP($D$2,'Reading Report Logic'!$A$2:$B$8,2,FALSE)=1, YES_Reading_FLA[Reading Level June of Previous School Year],INDIRECT("YES_Reading_FLA[Instructional Reading Level - Per "&amp;(VLOOKUP($D$2,'Reading Report Logic'!$A$2:$B$8,2,FALSE)-1)&amp;"]"))),FALSE)="", "", VLOOKUP($A615,YES_Reading_FLA[],COLUMN(IF(VLOOKUP($D$2,'Reading Report Logic'!$A$2:$B$8,2,FALSE)=1, YES_Reading_FLA[Reading Level June of Previous School Year],INDIRECT("YES_Reading_FLA[Instructional Reading Level - Per "&amp;(VLOOKUP($D$2,'Reading Report Logic'!$A$2:$B$8,2,FALSE)-1)&amp;"]"))), FALSE))),""))),"")</f>
        <v/>
      </c>
      <c r="D615" s="204" t="str" cm="1">
        <f t="array" aca="1" ref="D615" ca="1">IFERROR(
IF($J$2="ELA",
IF(VLOOKUP($A615, YES_Reading_ELA[], COLUMN(INDIRECT("YES_Reading_ELA[Instructional Reading Level - Per "&amp;VLOOKUP($D$2, 'Reading Report Logic'!$A$2:$B$8, 2, FALSE)&amp;"]")), FALSE)="", "",
VLOOKUP($A615,YES_Reading_ELA[], COLUMN(INDIRECT("YES_Reading_ELA[Instructional Reading Level - Per "&amp;VLOOKUP($D$2,'Reading Report Logic'!$A$2:$B$8,2,FALSE)&amp;"]")), FALSE)),
IF($J$2="FLA",
IF(VLOOKUP($A615, YES_Reading_FLA[], COLUMN(INDIRECT("YES_Reading_FLA[Instructional Reading Level - Per "&amp;VLOOKUP($D$2,'Reading Report Logic'!$A$2:$B$8,2,FALSE)&amp;"]")),FALSE)="","",
VLOOKUP($A615,YES_Reading_FLA[],COLUMN(INDIRECT("YES_Reading_FLA[Instructional Reading Level - Per "&amp;VLOOKUP($D$2,'Reading Report Logic'!$A$2:$B$8,2,FALSE)&amp;"]")),FALSE)),
IF($J$2="Combined",
IFERROR(
IF(VLOOKUP($A615, YES_Reading_ELA[], COLUMN(INDIRECT("YES_Reading_ELA[Instructional Reading Level - Per "&amp;VLOOKUP($D$2, 'Reading Report Logic'!$A$2:$B$8,2,FALSE)&amp;"]")), FALSE)="", "",
VLOOKUP($A615,YES_Reading_ELA[],COLUMN(INDIRECT("YES_Reading_ELA[Instructional Reading Level - Per "&amp;VLOOKUP($D$2,'Reading Report Logic'!$A$2:$B$8,2,FALSE)&amp;"]")),FALSE)),
IF(VLOOKUP($A615, YES_Reading_FLA[], COLUMN(INDIRECT("YES_Reading_FLA[Instructional Reading Level - Per "&amp;VLOOKUP($D$2, 'Reading Report Logic'!$A$2:$B$8, 2, FALSE)&amp;"]")),FALSE)="", "", VLOOKUP($A615,YES_Reading_FLA[],COLUMN(INDIRECT("YES_Reading_FLA[Instructional Reading Level - Per "&amp;VLOOKUP($D$2, 'Reading Report Logic'!$A$2:$B$8, 2, FALSE)&amp;"]")),FALSE))),""))),"")</f>
        <v/>
      </c>
      <c r="E615" s="205" t="str" cm="1">
        <f t="array" aca="1" ref="E615" ca="1">IFERROR(
IF($J$2="ELA",
IF(VLOOKUP($A615, YES_Reading_ELA[], COLUMN(INDIRECT("YES_Reading_ELA[Min Expectation - Per "&amp;VLOOKUP($D$2, 'Reading Report Logic'!$A$2:$B$8, 2, FALSE)&amp;"]")), FALSE)="", "",
VLOOKUP($A615,YES_Reading_ELA[], COLUMN(INDIRECT("YES_Reading_ELA[Min Expectation - Per "&amp;VLOOKUP($D$2,'Reading Report Logic'!$A$2:$B$8,2,FALSE)&amp;"]")), FALSE)),
IF($J$2="FLA",
IF(VLOOKUP($A615, YES_Reading_FLA[], COLUMN(INDIRECT("YES_Reading_FLA[Min Expectation - Per "&amp;VLOOKUP($D$2,'Reading Report Logic'!$A$2:$B$8,2,FALSE)&amp;"]")),FALSE)="","",
VLOOKUP($A615,YES_Reading_FLA[],COLUMN(INDIRECT("YES_Reading_FLA[Min Expectation - Per "&amp;VLOOKUP($D$2,'Reading Report Logic'!$A$2:$B$8,2,FALSE)&amp;"]")),FALSE)),
IF($J$2="Combined",
IFERROR(
IF(VLOOKUP($A615, YES_Reading_ELA[], COLUMN(INDIRECT("YES_Reading_ELA[Min Expectation - Per "&amp;VLOOKUP($D$2, 'Reading Report Logic'!$A$2:$B$8,2,FALSE)&amp;"]")), FALSE)="", "",
VLOOKUP($A615,YES_Reading_ELA[],COLUMN(INDIRECT("YES_Reading_ELA[Min Expectation - Per "&amp;VLOOKUP($D$2,'Reading Report Logic'!$A$2:$B$8,2,FALSE)&amp;"]")),FALSE)),
IF(VLOOKUP($A615, YES_Reading_FLA[], COLUMN(INDIRECT("YES_Reading_FLA[Min Expectation - Per "&amp;VLOOKUP($D$2, 'Reading Report Logic'!$A$2:$B$8, 2, FALSE)&amp;"]")),FALSE)="", "", VLOOKUP($A615,YES_Reading_FLA[],COLUMN(INDIRECT("YES_Reading_FLA[Min Expectation - Per "&amp;VLOOKUP($D$2, 'Reading Report Logic'!$A$2:$B$8, 2, FALSE)&amp;"]")),FALSE))),""))),"")</f>
        <v/>
      </c>
      <c r="F615" s="205" t="str" cm="1">
        <f t="array" aca="1" ref="F615" ca="1">IFERROR(
IF($J$2="ELA",
IF(VLOOKUP($A615, YES_Reading_ELA[], COLUMN(INDIRECT("YES_Reading_ELA[Max Expectation - Per "&amp;VLOOKUP($D$2, 'Reading Report Logic'!$A$2:$B$8, 2, FALSE)&amp;"]")), FALSE)="", "",
VLOOKUP($A615,YES_Reading_ELA[], COLUMN(INDIRECT("YES_Reading_ELA[Max Expectation - Per "&amp;VLOOKUP($D$2,'Reading Report Logic'!$A$2:$B$8,2,FALSE)&amp;"]")), FALSE)),
IF($J$2="FLA",
IF(VLOOKUP($A615, YES_Reading_FLA[], COLUMN(INDIRECT("YES_Reading_FLA[Max Expectation - Per "&amp;VLOOKUP($D$2,'Reading Report Logic'!$A$2:$B$8,2,FALSE)&amp;"]")),FALSE)="","",
VLOOKUP($A615,YES_Reading_FLA[],COLUMN(INDIRECT("YES_Reading_FLA[Max Expectation - Per "&amp;VLOOKUP($D$2,'Reading Report Logic'!$A$2:$B$8,2,FALSE)&amp;"]")),FALSE)),
IF($J$2="Combined",
IFERROR(
IF(VLOOKUP($A615, YES_Reading_ELA[], COLUMN(INDIRECT("YES_Reading_ELA[Max Expectation - Per "&amp;VLOOKUP($D$2, 'Reading Report Logic'!$A$2:$B$8,2,FALSE)&amp;"]")), FALSE)="", "",
VLOOKUP($A615,YES_Reading_ELA[],COLUMN(INDIRECT("YES_Reading_ELA[Max Expectation - Per "&amp;VLOOKUP($D$2,'Reading Report Logic'!$A$2:$B$8,2,FALSE)&amp;"]")),FALSE)),
IF(VLOOKUP($A615, YES_Reading_FLA[], COLUMN(INDIRECT("YES_Reading_FLA[Max Expectation - Per "&amp;VLOOKUP($D$2, 'Reading Report Logic'!$A$2:$B$8, 2, FALSE)&amp;"]")),FALSE)="", "", VLOOKUP($A615,YES_Reading_FLA[],COLUMN(INDIRECT("YES_Reading_FLA[Max Expectation - Per "&amp;VLOOKUP($D$2, 'Reading Report Logic'!$A$2:$B$8, 2, FALSE)&amp;"]")),FALSE))),""))),"")</f>
        <v/>
      </c>
      <c r="G615" s="205" t="str" cm="1">
        <f t="array" aca="1" ref="G615" ca="1">IFERROR(
IF($J$2="ELA",
IF(VLOOKUP($A615, YES_Reading_ELA[], COLUMN(INDIRECT("YES_Reading_ELA[Difference - Per "&amp;VLOOKUP($D$2, 'Reading Report Logic'!$A$2:$B$8, 2, FALSE)&amp;"]")), FALSE)="", "",
VLOOKUP($A615,YES_Reading_ELA[], COLUMN(INDIRECT("YES_Reading_ELA[Difference - Per "&amp;VLOOKUP($D$2,'Reading Report Logic'!$A$2:$B$8,2,FALSE)&amp;"]")), FALSE)),
IF($J$2="FLA",
IF(VLOOKUP($A615, YES_Reading_FLA[], COLUMN(INDIRECT("YES_Reading_FLA[Difference - Per "&amp;VLOOKUP($D$2,'Reading Report Logic'!$A$2:$B$8,2,FALSE)&amp;"]")),FALSE)="","",
VLOOKUP($A615,YES_Reading_FLA[],COLUMN(INDIRECT("YES_Reading_FLA[Difference - Per "&amp;VLOOKUP($D$2,'Reading Report Logic'!$A$2:$B$8,2,FALSE)&amp;"]")),FALSE)),
IF($J$2="Combined",
IFERROR(
IF(VLOOKUP($A615, YES_Reading_ELA[], COLUMN(INDIRECT("YES_Reading_ELA[Difference - Per "&amp;VLOOKUP($D$2, 'Reading Report Logic'!$A$2:$B$8,2,FALSE)&amp;"]")), FALSE)="", "",
VLOOKUP($A615,YES_Reading_ELA[],COLUMN(INDIRECT("YES_Reading_ELA[Difference - Per "&amp;VLOOKUP($D$2,'Reading Report Logic'!$A$2:$B$8,2,FALSE)&amp;"]")),FALSE)),
IF(VLOOKUP($A615, YES_Reading_FLA[], COLUMN(INDIRECT("YES_Reading_FLA[Difference - Per "&amp;VLOOKUP($D$2, 'Reading Report Logic'!$A$2:$B$8, 2, FALSE)&amp;"]")),FALSE)="", "", VLOOKUP($A615,YES_Reading_FLA[],COLUMN(INDIRECT("YES_Reading_FLA[Difference - Per "&amp;VLOOKUP($D$2, 'Reading Report Logic'!$A$2:$B$8, 2, FALSE)&amp;"]")),FALSE))),""))),"")</f>
        <v/>
      </c>
      <c r="H615" s="206" t="str">
        <f ca="1">IFERROR(VLOOKUP('Teacher Reading Pull Sheets'!$D615,_xlfn.VSTACK('ELA Reading Logic'!$A$22:$B$48,'FLA Reading Logic'!$A$22:$B$53),2,FALSE)-VLOOKUP('Teacher Reading Pull Sheets'!$C615,_xlfn.VSTACK('ELA Reading Logic'!$A$22:$B$48,'FLA Reading Logic'!$A$22:$B$53),2,FALSE),"")</f>
        <v/>
      </c>
      <c r="I615" s="212"/>
      <c r="J615" s="206"/>
      <c r="K615" s="197" t="str" cm="1">
        <f t="array" ref="K615">IFERROR(
IF($J$2="ELA",
IF(VLOOKUP($A615, YES_Reading_ELA[], COLUMN(YES_Reading_ELA[Self-Identified as African Descent]), FALSE)="", "",
VLOOKUP($A615,YES_Reading_ELA[], COLUMN(YES_Reading_ELA[Self-Identified as African Descent]), FALSE)),
IF($J$2="FLA",
IF(VLOOKUP($A615, YES_Reading_FLA[], COLUMN(YES_Reading_FLA[Self-Identified as African Descent]),FALSE)="","",
VLOOKUP($A615,YES_Reading_FLA[],COLUMN(YES_Reading_FLA[Self-Identified as African Descent]),FALSE)),
IF($J$2="Combined",
IFERROR(
IF(VLOOKUP($A615, YES_Reading_ELA[], COLUMN(YES_Reading_ELA[Self-Identified as African Descent]), FALSE)="", "",
VLOOKUP($A615,YES_Reading_ELA[],COLUMN(YES_Reading_ELA[Self-Identified as African Descent]),FALSE)),
IF(VLOOKUP($A615, YES_Reading_FLA[], COLUMN(YES_Reading_FLA[Self-Identified as African Descent]),FALSE)="", "", VLOOKUP($A615,YES_Reading_FLA[],COLUMN(YES_Reading_FLA[Self-Identified as African Descent]),FALSE))),""))),"")</f>
        <v/>
      </c>
      <c r="L615" s="73" t="str" cm="1">
        <f t="array" ref="L615">IFERROR(
IF($J$2="ELA",
IF(VLOOKUP($A615, YES_Reading_ELA[], COLUMN(YES_Reading_ELA[Self-Identified as Indigenous]), FALSE)="", "",
VLOOKUP($A615,YES_Reading_ELA[], COLUMN(YES_Reading_ELA[Self-Identified as Indigenous]), FALSE)),
IF($J$2="FLA",
IF(VLOOKUP($A615, YES_Reading_FLA[], COLUMN(YES_Reading_FLA[Self-Identified as Indigenous]),FALSE)="","",
VLOOKUP($A615,YES_Reading_FLA[],COLUMN(YES_Reading_FLA[Self-Identified as Indigenous]),FALSE)),
IF($J$2="Combined",
IFERROR(
IF(VLOOKUP($A615, YES_Reading_ELA[], COLUMN(YES_Reading_ELA[Self-Identified as Indigenous]), FALSE)="", "",
VLOOKUP($A615,YES_Reading_ELA[],COLUMN(YES_Reading_ELA[Self-Identified as Indigenous]),FALSE)),
IF(VLOOKUP($A615, YES_Reading_FLA[], COLUMN(YES_Reading_FLA[Self-Identified as Indigenous]),FALSE)="", "", VLOOKUP($A615,YES_Reading_FLA[],COLUMN(YES_Reading_FLA[Self-Identified as Indigenous]),FALSE))),""))),"")</f>
        <v/>
      </c>
    </row>
    <row r="616" spans="1:12" ht="19.5" customHeight="1" x14ac:dyDescent="0.25">
      <c r="A616" s="217"/>
      <c r="B616" s="220" t="str">
        <f>IFERROR(VLOOKUP(A616,_xlfn.VSTACK(YES_Reading_ELA[],YES_Reading_FLA[]),2,FALSE),"")</f>
        <v/>
      </c>
      <c r="C616" s="203" t="str" cm="1">
        <f t="array" aca="1" ref="C616" ca="1">IFERROR(
IF($J$2="ELA",
IF(VLOOKUP($A616, YES_Reading_ELA[], COLUMN(IF(VLOOKUP($D$2, 'Reading Report Logic'!$A$2:$B$8, 2, FALSE)=1, YES_Reading_ELA[Reading Level June of Previous School Year], INDIRECT("YES_Reading_ELA[Instructional Reading Level - Per "&amp;(VLOOKUP($D$2,'Reading Report Logic'!$A$2:$B$8,2,FALSE)-1)&amp;"]"))), FALSE)="", "",
VLOOKUP($A616,YES_Reading_ELA[], COLUMN(IF(VLOOKUP($D$2,'Reading Report Logic'!$A$2:$B$8,2,FALSE)=1, YES_Reading_ELA[Reading Level June of Previous School Year],INDIRECT("YES_Reading_ELA[Instructional Reading Level - Per "&amp;(VLOOKUP($D$2,'Reading Report Logic'!$A$2:$B$8,2,FALSE)-1)&amp;"]"))), FALSE)),
IF($J$2="FLA",
IF(VLOOKUP($A616, YES_Reading_FLA[], COLUMN(IF(VLOOKUP($D$2,'Reading Report Logic'!$A$2:$B$8,2,FALSE)=1, YES_Reading_FLA[Reading Level June of Previous School Year],INDIRECT("YES_Reading_FLA[Instructional Reading Level - Per "&amp;(VLOOKUP($D$2,'Reading Report Logic'!$A$2:$B$8,2,FALSE)-1)&amp;"]"))),FALSE)="","",
VLOOKUP($A616,YES_Reading_FLA[], COLUMN(IF(VLOOKUP($D$2,'Reading Report Logic'!$A$2:$B$8,2,FALSE)=1, YES_Reading_FLA[Reading Level June of Previous School Year],INDIRECT("YES_Reading_FLA[Instructional Reading Level - Per "&amp;(VLOOKUP($D$2,'Reading Report Logic'!$A$2:$B$8,2,FALSE)-1)&amp;"]"))),FALSE)),
IF($J$2="Combined",
IFERROR(
IF(VLOOKUP($A616, YES_Reading_ELA[], COLUMN(IF(VLOOKUP($D$2,'Reading Report Logic'!$A$2:$B$8,2,FALSE)=1, YES_Reading_ELA[Reading Level June of Previous School Year],INDIRECT("YES_Reading_ELA[Instructional Reading Level - Per "&amp;(VLOOKUP($D$2,'Reading Report Logic'!$A$2:$B$8,2,FALSE)-1)&amp;"]"))), FALSE)="", "",
VLOOKUP($A616,YES_Reading_ELA[],COLUMN(IF(VLOOKUP($D$2,'Reading Report Logic'!$A$2:$B$8,2,FALSE)=1, YES_Reading_ELA[Reading Level June of Previous School Year],INDIRECT("YES_Reading_ELA[Instructional Reading Level - Per "&amp;(VLOOKUP($D$2,'Reading Report Logic'!$A$2:$B$8,2,FALSE)-1)&amp;"]"))),FALSE)),
IF(VLOOKUP($A616, YES_Reading_FLA[], COLUMN(IF(VLOOKUP($D$2,'Reading Report Logic'!$A$2:$B$8,2,FALSE)=1, YES_Reading_FLA[Reading Level June of Previous School Year],INDIRECT("YES_Reading_FLA[Instructional Reading Level - Per "&amp;(VLOOKUP($D$2,'Reading Report Logic'!$A$2:$B$8,2,FALSE)-1)&amp;"]"))),FALSE)="", "", VLOOKUP($A616,YES_Reading_FLA[],COLUMN(IF(VLOOKUP($D$2,'Reading Report Logic'!$A$2:$B$8,2,FALSE)=1, YES_Reading_FLA[Reading Level June of Previous School Year],INDIRECT("YES_Reading_FLA[Instructional Reading Level - Per "&amp;(VLOOKUP($D$2,'Reading Report Logic'!$A$2:$B$8,2,FALSE)-1)&amp;"]"))), FALSE))),""))),"")</f>
        <v/>
      </c>
      <c r="D616" s="204" t="str" cm="1">
        <f t="array" aca="1" ref="D616" ca="1">IFERROR(
IF($J$2="ELA",
IF(VLOOKUP($A616, YES_Reading_ELA[], COLUMN(INDIRECT("YES_Reading_ELA[Instructional Reading Level - Per "&amp;VLOOKUP($D$2, 'Reading Report Logic'!$A$2:$B$8, 2, FALSE)&amp;"]")), FALSE)="", "",
VLOOKUP($A616,YES_Reading_ELA[], COLUMN(INDIRECT("YES_Reading_ELA[Instructional Reading Level - Per "&amp;VLOOKUP($D$2,'Reading Report Logic'!$A$2:$B$8,2,FALSE)&amp;"]")), FALSE)),
IF($J$2="FLA",
IF(VLOOKUP($A616, YES_Reading_FLA[], COLUMN(INDIRECT("YES_Reading_FLA[Instructional Reading Level - Per "&amp;VLOOKUP($D$2,'Reading Report Logic'!$A$2:$B$8,2,FALSE)&amp;"]")),FALSE)="","",
VLOOKUP($A616,YES_Reading_FLA[],COLUMN(INDIRECT("YES_Reading_FLA[Instructional Reading Level - Per "&amp;VLOOKUP($D$2,'Reading Report Logic'!$A$2:$B$8,2,FALSE)&amp;"]")),FALSE)),
IF($J$2="Combined",
IFERROR(
IF(VLOOKUP($A616, YES_Reading_ELA[], COLUMN(INDIRECT("YES_Reading_ELA[Instructional Reading Level - Per "&amp;VLOOKUP($D$2, 'Reading Report Logic'!$A$2:$B$8,2,FALSE)&amp;"]")), FALSE)="", "",
VLOOKUP($A616,YES_Reading_ELA[],COLUMN(INDIRECT("YES_Reading_ELA[Instructional Reading Level - Per "&amp;VLOOKUP($D$2,'Reading Report Logic'!$A$2:$B$8,2,FALSE)&amp;"]")),FALSE)),
IF(VLOOKUP($A616, YES_Reading_FLA[], COLUMN(INDIRECT("YES_Reading_FLA[Instructional Reading Level - Per "&amp;VLOOKUP($D$2, 'Reading Report Logic'!$A$2:$B$8, 2, FALSE)&amp;"]")),FALSE)="", "", VLOOKUP($A616,YES_Reading_FLA[],COLUMN(INDIRECT("YES_Reading_FLA[Instructional Reading Level - Per "&amp;VLOOKUP($D$2, 'Reading Report Logic'!$A$2:$B$8, 2, FALSE)&amp;"]")),FALSE))),""))),"")</f>
        <v/>
      </c>
      <c r="E616" s="205" t="str" cm="1">
        <f t="array" aca="1" ref="E616" ca="1">IFERROR(
IF($J$2="ELA",
IF(VLOOKUP($A616, YES_Reading_ELA[], COLUMN(INDIRECT("YES_Reading_ELA[Min Expectation - Per "&amp;VLOOKUP($D$2, 'Reading Report Logic'!$A$2:$B$8, 2, FALSE)&amp;"]")), FALSE)="", "",
VLOOKUP($A616,YES_Reading_ELA[], COLUMN(INDIRECT("YES_Reading_ELA[Min Expectation - Per "&amp;VLOOKUP($D$2,'Reading Report Logic'!$A$2:$B$8,2,FALSE)&amp;"]")), FALSE)),
IF($J$2="FLA",
IF(VLOOKUP($A616, YES_Reading_FLA[], COLUMN(INDIRECT("YES_Reading_FLA[Min Expectation - Per "&amp;VLOOKUP($D$2,'Reading Report Logic'!$A$2:$B$8,2,FALSE)&amp;"]")),FALSE)="","",
VLOOKUP($A616,YES_Reading_FLA[],COLUMN(INDIRECT("YES_Reading_FLA[Min Expectation - Per "&amp;VLOOKUP($D$2,'Reading Report Logic'!$A$2:$B$8,2,FALSE)&amp;"]")),FALSE)),
IF($J$2="Combined",
IFERROR(
IF(VLOOKUP($A616, YES_Reading_ELA[], COLUMN(INDIRECT("YES_Reading_ELA[Min Expectation - Per "&amp;VLOOKUP($D$2, 'Reading Report Logic'!$A$2:$B$8,2,FALSE)&amp;"]")), FALSE)="", "",
VLOOKUP($A616,YES_Reading_ELA[],COLUMN(INDIRECT("YES_Reading_ELA[Min Expectation - Per "&amp;VLOOKUP($D$2,'Reading Report Logic'!$A$2:$B$8,2,FALSE)&amp;"]")),FALSE)),
IF(VLOOKUP($A616, YES_Reading_FLA[], COLUMN(INDIRECT("YES_Reading_FLA[Min Expectation - Per "&amp;VLOOKUP($D$2, 'Reading Report Logic'!$A$2:$B$8, 2, FALSE)&amp;"]")),FALSE)="", "", VLOOKUP($A616,YES_Reading_FLA[],COLUMN(INDIRECT("YES_Reading_FLA[Min Expectation - Per "&amp;VLOOKUP($D$2, 'Reading Report Logic'!$A$2:$B$8, 2, FALSE)&amp;"]")),FALSE))),""))),"")</f>
        <v/>
      </c>
      <c r="F616" s="205" t="str" cm="1">
        <f t="array" aca="1" ref="F616" ca="1">IFERROR(
IF($J$2="ELA",
IF(VLOOKUP($A616, YES_Reading_ELA[], COLUMN(INDIRECT("YES_Reading_ELA[Max Expectation - Per "&amp;VLOOKUP($D$2, 'Reading Report Logic'!$A$2:$B$8, 2, FALSE)&amp;"]")), FALSE)="", "",
VLOOKUP($A616,YES_Reading_ELA[], COLUMN(INDIRECT("YES_Reading_ELA[Max Expectation - Per "&amp;VLOOKUP($D$2,'Reading Report Logic'!$A$2:$B$8,2,FALSE)&amp;"]")), FALSE)),
IF($J$2="FLA",
IF(VLOOKUP($A616, YES_Reading_FLA[], COLUMN(INDIRECT("YES_Reading_FLA[Max Expectation - Per "&amp;VLOOKUP($D$2,'Reading Report Logic'!$A$2:$B$8,2,FALSE)&amp;"]")),FALSE)="","",
VLOOKUP($A616,YES_Reading_FLA[],COLUMN(INDIRECT("YES_Reading_FLA[Max Expectation - Per "&amp;VLOOKUP($D$2,'Reading Report Logic'!$A$2:$B$8,2,FALSE)&amp;"]")),FALSE)),
IF($J$2="Combined",
IFERROR(
IF(VLOOKUP($A616, YES_Reading_ELA[], COLUMN(INDIRECT("YES_Reading_ELA[Max Expectation - Per "&amp;VLOOKUP($D$2, 'Reading Report Logic'!$A$2:$B$8,2,FALSE)&amp;"]")), FALSE)="", "",
VLOOKUP($A616,YES_Reading_ELA[],COLUMN(INDIRECT("YES_Reading_ELA[Max Expectation - Per "&amp;VLOOKUP($D$2,'Reading Report Logic'!$A$2:$B$8,2,FALSE)&amp;"]")),FALSE)),
IF(VLOOKUP($A616, YES_Reading_FLA[], COLUMN(INDIRECT("YES_Reading_FLA[Max Expectation - Per "&amp;VLOOKUP($D$2, 'Reading Report Logic'!$A$2:$B$8, 2, FALSE)&amp;"]")),FALSE)="", "", VLOOKUP($A616,YES_Reading_FLA[],COLUMN(INDIRECT("YES_Reading_FLA[Max Expectation - Per "&amp;VLOOKUP($D$2, 'Reading Report Logic'!$A$2:$B$8, 2, FALSE)&amp;"]")),FALSE))),""))),"")</f>
        <v/>
      </c>
      <c r="G616" s="205" t="str" cm="1">
        <f t="array" aca="1" ref="G616" ca="1">IFERROR(
IF($J$2="ELA",
IF(VLOOKUP($A616, YES_Reading_ELA[], COLUMN(INDIRECT("YES_Reading_ELA[Difference - Per "&amp;VLOOKUP($D$2, 'Reading Report Logic'!$A$2:$B$8, 2, FALSE)&amp;"]")), FALSE)="", "",
VLOOKUP($A616,YES_Reading_ELA[], COLUMN(INDIRECT("YES_Reading_ELA[Difference - Per "&amp;VLOOKUP($D$2,'Reading Report Logic'!$A$2:$B$8,2,FALSE)&amp;"]")), FALSE)),
IF($J$2="FLA",
IF(VLOOKUP($A616, YES_Reading_FLA[], COLUMN(INDIRECT("YES_Reading_FLA[Difference - Per "&amp;VLOOKUP($D$2,'Reading Report Logic'!$A$2:$B$8,2,FALSE)&amp;"]")),FALSE)="","",
VLOOKUP($A616,YES_Reading_FLA[],COLUMN(INDIRECT("YES_Reading_FLA[Difference - Per "&amp;VLOOKUP($D$2,'Reading Report Logic'!$A$2:$B$8,2,FALSE)&amp;"]")),FALSE)),
IF($J$2="Combined",
IFERROR(
IF(VLOOKUP($A616, YES_Reading_ELA[], COLUMN(INDIRECT("YES_Reading_ELA[Difference - Per "&amp;VLOOKUP($D$2, 'Reading Report Logic'!$A$2:$B$8,2,FALSE)&amp;"]")), FALSE)="", "",
VLOOKUP($A616,YES_Reading_ELA[],COLUMN(INDIRECT("YES_Reading_ELA[Difference - Per "&amp;VLOOKUP($D$2,'Reading Report Logic'!$A$2:$B$8,2,FALSE)&amp;"]")),FALSE)),
IF(VLOOKUP($A616, YES_Reading_FLA[], COLUMN(INDIRECT("YES_Reading_FLA[Difference - Per "&amp;VLOOKUP($D$2, 'Reading Report Logic'!$A$2:$B$8, 2, FALSE)&amp;"]")),FALSE)="", "", VLOOKUP($A616,YES_Reading_FLA[],COLUMN(INDIRECT("YES_Reading_FLA[Difference - Per "&amp;VLOOKUP($D$2, 'Reading Report Logic'!$A$2:$B$8, 2, FALSE)&amp;"]")),FALSE))),""))),"")</f>
        <v/>
      </c>
      <c r="H616" s="206" t="str">
        <f ca="1">IFERROR(VLOOKUP('Teacher Reading Pull Sheets'!$D616,_xlfn.VSTACK('ELA Reading Logic'!$A$22:$B$48,'FLA Reading Logic'!$A$22:$B$53),2,FALSE)-VLOOKUP('Teacher Reading Pull Sheets'!$C616,_xlfn.VSTACK('ELA Reading Logic'!$A$22:$B$48,'FLA Reading Logic'!$A$22:$B$53),2,FALSE),"")</f>
        <v/>
      </c>
      <c r="I616" s="212"/>
      <c r="J616" s="206"/>
      <c r="K616" s="197" t="str" cm="1">
        <f t="array" ref="K616">IFERROR(
IF($J$2="ELA",
IF(VLOOKUP($A616, YES_Reading_ELA[], COLUMN(YES_Reading_ELA[Self-Identified as African Descent]), FALSE)="", "",
VLOOKUP($A616,YES_Reading_ELA[], COLUMN(YES_Reading_ELA[Self-Identified as African Descent]), FALSE)),
IF($J$2="FLA",
IF(VLOOKUP($A616, YES_Reading_FLA[], COLUMN(YES_Reading_FLA[Self-Identified as African Descent]),FALSE)="","",
VLOOKUP($A616,YES_Reading_FLA[],COLUMN(YES_Reading_FLA[Self-Identified as African Descent]),FALSE)),
IF($J$2="Combined",
IFERROR(
IF(VLOOKUP($A616, YES_Reading_ELA[], COLUMN(YES_Reading_ELA[Self-Identified as African Descent]), FALSE)="", "",
VLOOKUP($A616,YES_Reading_ELA[],COLUMN(YES_Reading_ELA[Self-Identified as African Descent]),FALSE)),
IF(VLOOKUP($A616, YES_Reading_FLA[], COLUMN(YES_Reading_FLA[Self-Identified as African Descent]),FALSE)="", "", VLOOKUP($A616,YES_Reading_FLA[],COLUMN(YES_Reading_FLA[Self-Identified as African Descent]),FALSE))),""))),"")</f>
        <v/>
      </c>
      <c r="L616" s="73" t="str" cm="1">
        <f t="array" ref="L616">IFERROR(
IF($J$2="ELA",
IF(VLOOKUP($A616, YES_Reading_ELA[], COLUMN(YES_Reading_ELA[Self-Identified as Indigenous]), FALSE)="", "",
VLOOKUP($A616,YES_Reading_ELA[], COLUMN(YES_Reading_ELA[Self-Identified as Indigenous]), FALSE)),
IF($J$2="FLA",
IF(VLOOKUP($A616, YES_Reading_FLA[], COLUMN(YES_Reading_FLA[Self-Identified as Indigenous]),FALSE)="","",
VLOOKUP($A616,YES_Reading_FLA[],COLUMN(YES_Reading_FLA[Self-Identified as Indigenous]),FALSE)),
IF($J$2="Combined",
IFERROR(
IF(VLOOKUP($A616, YES_Reading_ELA[], COLUMN(YES_Reading_ELA[Self-Identified as Indigenous]), FALSE)="", "",
VLOOKUP($A616,YES_Reading_ELA[],COLUMN(YES_Reading_ELA[Self-Identified as Indigenous]),FALSE)),
IF(VLOOKUP($A616, YES_Reading_FLA[], COLUMN(YES_Reading_FLA[Self-Identified as Indigenous]),FALSE)="", "", VLOOKUP($A616,YES_Reading_FLA[],COLUMN(YES_Reading_FLA[Self-Identified as Indigenous]),FALSE))),""))),"")</f>
        <v/>
      </c>
    </row>
    <row r="617" spans="1:12" ht="19.5" customHeight="1" x14ac:dyDescent="0.25">
      <c r="A617" s="217"/>
      <c r="B617" s="220" t="str">
        <f>IFERROR(VLOOKUP(A617,_xlfn.VSTACK(YES_Reading_ELA[],YES_Reading_FLA[]),2,FALSE),"")</f>
        <v/>
      </c>
      <c r="C617" s="203" t="str" cm="1">
        <f t="array" aca="1" ref="C617" ca="1">IFERROR(
IF($J$2="ELA",
IF(VLOOKUP($A617, YES_Reading_ELA[], COLUMN(IF(VLOOKUP($D$2, 'Reading Report Logic'!$A$2:$B$8, 2, FALSE)=1, YES_Reading_ELA[Reading Level June of Previous School Year], INDIRECT("YES_Reading_ELA[Instructional Reading Level - Per "&amp;(VLOOKUP($D$2,'Reading Report Logic'!$A$2:$B$8,2,FALSE)-1)&amp;"]"))), FALSE)="", "",
VLOOKUP($A617,YES_Reading_ELA[], COLUMN(IF(VLOOKUP($D$2,'Reading Report Logic'!$A$2:$B$8,2,FALSE)=1, YES_Reading_ELA[Reading Level June of Previous School Year],INDIRECT("YES_Reading_ELA[Instructional Reading Level - Per "&amp;(VLOOKUP($D$2,'Reading Report Logic'!$A$2:$B$8,2,FALSE)-1)&amp;"]"))), FALSE)),
IF($J$2="FLA",
IF(VLOOKUP($A617, YES_Reading_FLA[], COLUMN(IF(VLOOKUP($D$2,'Reading Report Logic'!$A$2:$B$8,2,FALSE)=1, YES_Reading_FLA[Reading Level June of Previous School Year],INDIRECT("YES_Reading_FLA[Instructional Reading Level - Per "&amp;(VLOOKUP($D$2,'Reading Report Logic'!$A$2:$B$8,2,FALSE)-1)&amp;"]"))),FALSE)="","",
VLOOKUP($A617,YES_Reading_FLA[], COLUMN(IF(VLOOKUP($D$2,'Reading Report Logic'!$A$2:$B$8,2,FALSE)=1, YES_Reading_FLA[Reading Level June of Previous School Year],INDIRECT("YES_Reading_FLA[Instructional Reading Level - Per "&amp;(VLOOKUP($D$2,'Reading Report Logic'!$A$2:$B$8,2,FALSE)-1)&amp;"]"))),FALSE)),
IF($J$2="Combined",
IFERROR(
IF(VLOOKUP($A617, YES_Reading_ELA[], COLUMN(IF(VLOOKUP($D$2,'Reading Report Logic'!$A$2:$B$8,2,FALSE)=1, YES_Reading_ELA[Reading Level June of Previous School Year],INDIRECT("YES_Reading_ELA[Instructional Reading Level - Per "&amp;(VLOOKUP($D$2,'Reading Report Logic'!$A$2:$B$8,2,FALSE)-1)&amp;"]"))), FALSE)="", "",
VLOOKUP($A617,YES_Reading_ELA[],COLUMN(IF(VLOOKUP($D$2,'Reading Report Logic'!$A$2:$B$8,2,FALSE)=1, YES_Reading_ELA[Reading Level June of Previous School Year],INDIRECT("YES_Reading_ELA[Instructional Reading Level - Per "&amp;(VLOOKUP($D$2,'Reading Report Logic'!$A$2:$B$8,2,FALSE)-1)&amp;"]"))),FALSE)),
IF(VLOOKUP($A617, YES_Reading_FLA[], COLUMN(IF(VLOOKUP($D$2,'Reading Report Logic'!$A$2:$B$8,2,FALSE)=1, YES_Reading_FLA[Reading Level June of Previous School Year],INDIRECT("YES_Reading_FLA[Instructional Reading Level - Per "&amp;(VLOOKUP($D$2,'Reading Report Logic'!$A$2:$B$8,2,FALSE)-1)&amp;"]"))),FALSE)="", "", VLOOKUP($A617,YES_Reading_FLA[],COLUMN(IF(VLOOKUP($D$2,'Reading Report Logic'!$A$2:$B$8,2,FALSE)=1, YES_Reading_FLA[Reading Level June of Previous School Year],INDIRECT("YES_Reading_FLA[Instructional Reading Level - Per "&amp;(VLOOKUP($D$2,'Reading Report Logic'!$A$2:$B$8,2,FALSE)-1)&amp;"]"))), FALSE))),""))),"")</f>
        <v/>
      </c>
      <c r="D617" s="204" t="str" cm="1">
        <f t="array" aca="1" ref="D617" ca="1">IFERROR(
IF($J$2="ELA",
IF(VLOOKUP($A617, YES_Reading_ELA[], COLUMN(INDIRECT("YES_Reading_ELA[Instructional Reading Level - Per "&amp;VLOOKUP($D$2, 'Reading Report Logic'!$A$2:$B$8, 2, FALSE)&amp;"]")), FALSE)="", "",
VLOOKUP($A617,YES_Reading_ELA[], COLUMN(INDIRECT("YES_Reading_ELA[Instructional Reading Level - Per "&amp;VLOOKUP($D$2,'Reading Report Logic'!$A$2:$B$8,2,FALSE)&amp;"]")), FALSE)),
IF($J$2="FLA",
IF(VLOOKUP($A617, YES_Reading_FLA[], COLUMN(INDIRECT("YES_Reading_FLA[Instructional Reading Level - Per "&amp;VLOOKUP($D$2,'Reading Report Logic'!$A$2:$B$8,2,FALSE)&amp;"]")),FALSE)="","",
VLOOKUP($A617,YES_Reading_FLA[],COLUMN(INDIRECT("YES_Reading_FLA[Instructional Reading Level - Per "&amp;VLOOKUP($D$2,'Reading Report Logic'!$A$2:$B$8,2,FALSE)&amp;"]")),FALSE)),
IF($J$2="Combined",
IFERROR(
IF(VLOOKUP($A617, YES_Reading_ELA[], COLUMN(INDIRECT("YES_Reading_ELA[Instructional Reading Level - Per "&amp;VLOOKUP($D$2, 'Reading Report Logic'!$A$2:$B$8,2,FALSE)&amp;"]")), FALSE)="", "",
VLOOKUP($A617,YES_Reading_ELA[],COLUMN(INDIRECT("YES_Reading_ELA[Instructional Reading Level - Per "&amp;VLOOKUP($D$2,'Reading Report Logic'!$A$2:$B$8,2,FALSE)&amp;"]")),FALSE)),
IF(VLOOKUP($A617, YES_Reading_FLA[], COLUMN(INDIRECT("YES_Reading_FLA[Instructional Reading Level - Per "&amp;VLOOKUP($D$2, 'Reading Report Logic'!$A$2:$B$8, 2, FALSE)&amp;"]")),FALSE)="", "", VLOOKUP($A617,YES_Reading_FLA[],COLUMN(INDIRECT("YES_Reading_FLA[Instructional Reading Level - Per "&amp;VLOOKUP($D$2, 'Reading Report Logic'!$A$2:$B$8, 2, FALSE)&amp;"]")),FALSE))),""))),"")</f>
        <v/>
      </c>
      <c r="E617" s="205" t="str" cm="1">
        <f t="array" aca="1" ref="E617" ca="1">IFERROR(
IF($J$2="ELA",
IF(VLOOKUP($A617, YES_Reading_ELA[], COLUMN(INDIRECT("YES_Reading_ELA[Min Expectation - Per "&amp;VLOOKUP($D$2, 'Reading Report Logic'!$A$2:$B$8, 2, FALSE)&amp;"]")), FALSE)="", "",
VLOOKUP($A617,YES_Reading_ELA[], COLUMN(INDIRECT("YES_Reading_ELA[Min Expectation - Per "&amp;VLOOKUP($D$2,'Reading Report Logic'!$A$2:$B$8,2,FALSE)&amp;"]")), FALSE)),
IF($J$2="FLA",
IF(VLOOKUP($A617, YES_Reading_FLA[], COLUMN(INDIRECT("YES_Reading_FLA[Min Expectation - Per "&amp;VLOOKUP($D$2,'Reading Report Logic'!$A$2:$B$8,2,FALSE)&amp;"]")),FALSE)="","",
VLOOKUP($A617,YES_Reading_FLA[],COLUMN(INDIRECT("YES_Reading_FLA[Min Expectation - Per "&amp;VLOOKUP($D$2,'Reading Report Logic'!$A$2:$B$8,2,FALSE)&amp;"]")),FALSE)),
IF($J$2="Combined",
IFERROR(
IF(VLOOKUP($A617, YES_Reading_ELA[], COLUMN(INDIRECT("YES_Reading_ELA[Min Expectation - Per "&amp;VLOOKUP($D$2, 'Reading Report Logic'!$A$2:$B$8,2,FALSE)&amp;"]")), FALSE)="", "",
VLOOKUP($A617,YES_Reading_ELA[],COLUMN(INDIRECT("YES_Reading_ELA[Min Expectation - Per "&amp;VLOOKUP($D$2,'Reading Report Logic'!$A$2:$B$8,2,FALSE)&amp;"]")),FALSE)),
IF(VLOOKUP($A617, YES_Reading_FLA[], COLUMN(INDIRECT("YES_Reading_FLA[Min Expectation - Per "&amp;VLOOKUP($D$2, 'Reading Report Logic'!$A$2:$B$8, 2, FALSE)&amp;"]")),FALSE)="", "", VLOOKUP($A617,YES_Reading_FLA[],COLUMN(INDIRECT("YES_Reading_FLA[Min Expectation - Per "&amp;VLOOKUP($D$2, 'Reading Report Logic'!$A$2:$B$8, 2, FALSE)&amp;"]")),FALSE))),""))),"")</f>
        <v/>
      </c>
      <c r="F617" s="205" t="str" cm="1">
        <f t="array" aca="1" ref="F617" ca="1">IFERROR(
IF($J$2="ELA",
IF(VLOOKUP($A617, YES_Reading_ELA[], COLUMN(INDIRECT("YES_Reading_ELA[Max Expectation - Per "&amp;VLOOKUP($D$2, 'Reading Report Logic'!$A$2:$B$8, 2, FALSE)&amp;"]")), FALSE)="", "",
VLOOKUP($A617,YES_Reading_ELA[], COLUMN(INDIRECT("YES_Reading_ELA[Max Expectation - Per "&amp;VLOOKUP($D$2,'Reading Report Logic'!$A$2:$B$8,2,FALSE)&amp;"]")), FALSE)),
IF($J$2="FLA",
IF(VLOOKUP($A617, YES_Reading_FLA[], COLUMN(INDIRECT("YES_Reading_FLA[Max Expectation - Per "&amp;VLOOKUP($D$2,'Reading Report Logic'!$A$2:$B$8,2,FALSE)&amp;"]")),FALSE)="","",
VLOOKUP($A617,YES_Reading_FLA[],COLUMN(INDIRECT("YES_Reading_FLA[Max Expectation - Per "&amp;VLOOKUP($D$2,'Reading Report Logic'!$A$2:$B$8,2,FALSE)&amp;"]")),FALSE)),
IF($J$2="Combined",
IFERROR(
IF(VLOOKUP($A617, YES_Reading_ELA[], COLUMN(INDIRECT("YES_Reading_ELA[Max Expectation - Per "&amp;VLOOKUP($D$2, 'Reading Report Logic'!$A$2:$B$8,2,FALSE)&amp;"]")), FALSE)="", "",
VLOOKUP($A617,YES_Reading_ELA[],COLUMN(INDIRECT("YES_Reading_ELA[Max Expectation - Per "&amp;VLOOKUP($D$2,'Reading Report Logic'!$A$2:$B$8,2,FALSE)&amp;"]")),FALSE)),
IF(VLOOKUP($A617, YES_Reading_FLA[], COLUMN(INDIRECT("YES_Reading_FLA[Max Expectation - Per "&amp;VLOOKUP($D$2, 'Reading Report Logic'!$A$2:$B$8, 2, FALSE)&amp;"]")),FALSE)="", "", VLOOKUP($A617,YES_Reading_FLA[],COLUMN(INDIRECT("YES_Reading_FLA[Max Expectation - Per "&amp;VLOOKUP($D$2, 'Reading Report Logic'!$A$2:$B$8, 2, FALSE)&amp;"]")),FALSE))),""))),"")</f>
        <v/>
      </c>
      <c r="G617" s="205" t="str" cm="1">
        <f t="array" aca="1" ref="G617" ca="1">IFERROR(
IF($J$2="ELA",
IF(VLOOKUP($A617, YES_Reading_ELA[], COLUMN(INDIRECT("YES_Reading_ELA[Difference - Per "&amp;VLOOKUP($D$2, 'Reading Report Logic'!$A$2:$B$8, 2, FALSE)&amp;"]")), FALSE)="", "",
VLOOKUP($A617,YES_Reading_ELA[], COLUMN(INDIRECT("YES_Reading_ELA[Difference - Per "&amp;VLOOKUP($D$2,'Reading Report Logic'!$A$2:$B$8,2,FALSE)&amp;"]")), FALSE)),
IF($J$2="FLA",
IF(VLOOKUP($A617, YES_Reading_FLA[], COLUMN(INDIRECT("YES_Reading_FLA[Difference - Per "&amp;VLOOKUP($D$2,'Reading Report Logic'!$A$2:$B$8,2,FALSE)&amp;"]")),FALSE)="","",
VLOOKUP($A617,YES_Reading_FLA[],COLUMN(INDIRECT("YES_Reading_FLA[Difference - Per "&amp;VLOOKUP($D$2,'Reading Report Logic'!$A$2:$B$8,2,FALSE)&amp;"]")),FALSE)),
IF($J$2="Combined",
IFERROR(
IF(VLOOKUP($A617, YES_Reading_ELA[], COLUMN(INDIRECT("YES_Reading_ELA[Difference - Per "&amp;VLOOKUP($D$2, 'Reading Report Logic'!$A$2:$B$8,2,FALSE)&amp;"]")), FALSE)="", "",
VLOOKUP($A617,YES_Reading_ELA[],COLUMN(INDIRECT("YES_Reading_ELA[Difference - Per "&amp;VLOOKUP($D$2,'Reading Report Logic'!$A$2:$B$8,2,FALSE)&amp;"]")),FALSE)),
IF(VLOOKUP($A617, YES_Reading_FLA[], COLUMN(INDIRECT("YES_Reading_FLA[Difference - Per "&amp;VLOOKUP($D$2, 'Reading Report Logic'!$A$2:$B$8, 2, FALSE)&amp;"]")),FALSE)="", "", VLOOKUP($A617,YES_Reading_FLA[],COLUMN(INDIRECT("YES_Reading_FLA[Difference - Per "&amp;VLOOKUP($D$2, 'Reading Report Logic'!$A$2:$B$8, 2, FALSE)&amp;"]")),FALSE))),""))),"")</f>
        <v/>
      </c>
      <c r="H617" s="206" t="str">
        <f ca="1">IFERROR(VLOOKUP('Teacher Reading Pull Sheets'!$D617,_xlfn.VSTACK('ELA Reading Logic'!$A$22:$B$48,'FLA Reading Logic'!$A$22:$B$53),2,FALSE)-VLOOKUP('Teacher Reading Pull Sheets'!$C617,_xlfn.VSTACK('ELA Reading Logic'!$A$22:$B$48,'FLA Reading Logic'!$A$22:$B$53),2,FALSE),"")</f>
        <v/>
      </c>
      <c r="I617" s="212"/>
      <c r="J617" s="206"/>
      <c r="K617" s="197" t="str" cm="1">
        <f t="array" ref="K617">IFERROR(
IF($J$2="ELA",
IF(VLOOKUP($A617, YES_Reading_ELA[], COLUMN(YES_Reading_ELA[Self-Identified as African Descent]), FALSE)="", "",
VLOOKUP($A617,YES_Reading_ELA[], COLUMN(YES_Reading_ELA[Self-Identified as African Descent]), FALSE)),
IF($J$2="FLA",
IF(VLOOKUP($A617, YES_Reading_FLA[], COLUMN(YES_Reading_FLA[Self-Identified as African Descent]),FALSE)="","",
VLOOKUP($A617,YES_Reading_FLA[],COLUMN(YES_Reading_FLA[Self-Identified as African Descent]),FALSE)),
IF($J$2="Combined",
IFERROR(
IF(VLOOKUP($A617, YES_Reading_ELA[], COLUMN(YES_Reading_ELA[Self-Identified as African Descent]), FALSE)="", "",
VLOOKUP($A617,YES_Reading_ELA[],COLUMN(YES_Reading_ELA[Self-Identified as African Descent]),FALSE)),
IF(VLOOKUP($A617, YES_Reading_FLA[], COLUMN(YES_Reading_FLA[Self-Identified as African Descent]),FALSE)="", "", VLOOKUP($A617,YES_Reading_FLA[],COLUMN(YES_Reading_FLA[Self-Identified as African Descent]),FALSE))),""))),"")</f>
        <v/>
      </c>
      <c r="L617" s="73" t="str" cm="1">
        <f t="array" ref="L617">IFERROR(
IF($J$2="ELA",
IF(VLOOKUP($A617, YES_Reading_ELA[], COLUMN(YES_Reading_ELA[Self-Identified as Indigenous]), FALSE)="", "",
VLOOKUP($A617,YES_Reading_ELA[], COLUMN(YES_Reading_ELA[Self-Identified as Indigenous]), FALSE)),
IF($J$2="FLA",
IF(VLOOKUP($A617, YES_Reading_FLA[], COLUMN(YES_Reading_FLA[Self-Identified as Indigenous]),FALSE)="","",
VLOOKUP($A617,YES_Reading_FLA[],COLUMN(YES_Reading_FLA[Self-Identified as Indigenous]),FALSE)),
IF($J$2="Combined",
IFERROR(
IF(VLOOKUP($A617, YES_Reading_ELA[], COLUMN(YES_Reading_ELA[Self-Identified as Indigenous]), FALSE)="", "",
VLOOKUP($A617,YES_Reading_ELA[],COLUMN(YES_Reading_ELA[Self-Identified as Indigenous]),FALSE)),
IF(VLOOKUP($A617, YES_Reading_FLA[], COLUMN(YES_Reading_FLA[Self-Identified as Indigenous]),FALSE)="", "", VLOOKUP($A617,YES_Reading_FLA[],COLUMN(YES_Reading_FLA[Self-Identified as Indigenous]),FALSE))),""))),"")</f>
        <v/>
      </c>
    </row>
    <row r="618" spans="1:12" ht="19.5" customHeight="1" x14ac:dyDescent="0.25">
      <c r="A618" s="217"/>
      <c r="B618" s="220" t="str">
        <f>IFERROR(VLOOKUP(A618,_xlfn.VSTACK(YES_Reading_ELA[],YES_Reading_FLA[]),2,FALSE),"")</f>
        <v/>
      </c>
      <c r="C618" s="203" t="str" cm="1">
        <f t="array" aca="1" ref="C618" ca="1">IFERROR(
IF($J$2="ELA",
IF(VLOOKUP($A618, YES_Reading_ELA[], COLUMN(IF(VLOOKUP($D$2, 'Reading Report Logic'!$A$2:$B$8, 2, FALSE)=1, YES_Reading_ELA[Reading Level June of Previous School Year], INDIRECT("YES_Reading_ELA[Instructional Reading Level - Per "&amp;(VLOOKUP($D$2,'Reading Report Logic'!$A$2:$B$8,2,FALSE)-1)&amp;"]"))), FALSE)="", "",
VLOOKUP($A618,YES_Reading_ELA[], COLUMN(IF(VLOOKUP($D$2,'Reading Report Logic'!$A$2:$B$8,2,FALSE)=1, YES_Reading_ELA[Reading Level June of Previous School Year],INDIRECT("YES_Reading_ELA[Instructional Reading Level - Per "&amp;(VLOOKUP($D$2,'Reading Report Logic'!$A$2:$B$8,2,FALSE)-1)&amp;"]"))), FALSE)),
IF($J$2="FLA",
IF(VLOOKUP($A618, YES_Reading_FLA[], COLUMN(IF(VLOOKUP($D$2,'Reading Report Logic'!$A$2:$B$8,2,FALSE)=1, YES_Reading_FLA[Reading Level June of Previous School Year],INDIRECT("YES_Reading_FLA[Instructional Reading Level - Per "&amp;(VLOOKUP($D$2,'Reading Report Logic'!$A$2:$B$8,2,FALSE)-1)&amp;"]"))),FALSE)="","",
VLOOKUP($A618,YES_Reading_FLA[], COLUMN(IF(VLOOKUP($D$2,'Reading Report Logic'!$A$2:$B$8,2,FALSE)=1, YES_Reading_FLA[Reading Level June of Previous School Year],INDIRECT("YES_Reading_FLA[Instructional Reading Level - Per "&amp;(VLOOKUP($D$2,'Reading Report Logic'!$A$2:$B$8,2,FALSE)-1)&amp;"]"))),FALSE)),
IF($J$2="Combined",
IFERROR(
IF(VLOOKUP($A618, YES_Reading_ELA[], COLUMN(IF(VLOOKUP($D$2,'Reading Report Logic'!$A$2:$B$8,2,FALSE)=1, YES_Reading_ELA[Reading Level June of Previous School Year],INDIRECT("YES_Reading_ELA[Instructional Reading Level - Per "&amp;(VLOOKUP($D$2,'Reading Report Logic'!$A$2:$B$8,2,FALSE)-1)&amp;"]"))), FALSE)="", "",
VLOOKUP($A618,YES_Reading_ELA[],COLUMN(IF(VLOOKUP($D$2,'Reading Report Logic'!$A$2:$B$8,2,FALSE)=1, YES_Reading_ELA[Reading Level June of Previous School Year],INDIRECT("YES_Reading_ELA[Instructional Reading Level - Per "&amp;(VLOOKUP($D$2,'Reading Report Logic'!$A$2:$B$8,2,FALSE)-1)&amp;"]"))),FALSE)),
IF(VLOOKUP($A618, YES_Reading_FLA[], COLUMN(IF(VLOOKUP($D$2,'Reading Report Logic'!$A$2:$B$8,2,FALSE)=1, YES_Reading_FLA[Reading Level June of Previous School Year],INDIRECT("YES_Reading_FLA[Instructional Reading Level - Per "&amp;(VLOOKUP($D$2,'Reading Report Logic'!$A$2:$B$8,2,FALSE)-1)&amp;"]"))),FALSE)="", "", VLOOKUP($A618,YES_Reading_FLA[],COLUMN(IF(VLOOKUP($D$2,'Reading Report Logic'!$A$2:$B$8,2,FALSE)=1, YES_Reading_FLA[Reading Level June of Previous School Year],INDIRECT("YES_Reading_FLA[Instructional Reading Level - Per "&amp;(VLOOKUP($D$2,'Reading Report Logic'!$A$2:$B$8,2,FALSE)-1)&amp;"]"))), FALSE))),""))),"")</f>
        <v/>
      </c>
      <c r="D618" s="204" t="str" cm="1">
        <f t="array" aca="1" ref="D618" ca="1">IFERROR(
IF($J$2="ELA",
IF(VLOOKUP($A618, YES_Reading_ELA[], COLUMN(INDIRECT("YES_Reading_ELA[Instructional Reading Level - Per "&amp;VLOOKUP($D$2, 'Reading Report Logic'!$A$2:$B$8, 2, FALSE)&amp;"]")), FALSE)="", "",
VLOOKUP($A618,YES_Reading_ELA[], COLUMN(INDIRECT("YES_Reading_ELA[Instructional Reading Level - Per "&amp;VLOOKUP($D$2,'Reading Report Logic'!$A$2:$B$8,2,FALSE)&amp;"]")), FALSE)),
IF($J$2="FLA",
IF(VLOOKUP($A618, YES_Reading_FLA[], COLUMN(INDIRECT("YES_Reading_FLA[Instructional Reading Level - Per "&amp;VLOOKUP($D$2,'Reading Report Logic'!$A$2:$B$8,2,FALSE)&amp;"]")),FALSE)="","",
VLOOKUP($A618,YES_Reading_FLA[],COLUMN(INDIRECT("YES_Reading_FLA[Instructional Reading Level - Per "&amp;VLOOKUP($D$2,'Reading Report Logic'!$A$2:$B$8,2,FALSE)&amp;"]")),FALSE)),
IF($J$2="Combined",
IFERROR(
IF(VLOOKUP($A618, YES_Reading_ELA[], COLUMN(INDIRECT("YES_Reading_ELA[Instructional Reading Level - Per "&amp;VLOOKUP($D$2, 'Reading Report Logic'!$A$2:$B$8,2,FALSE)&amp;"]")), FALSE)="", "",
VLOOKUP($A618,YES_Reading_ELA[],COLUMN(INDIRECT("YES_Reading_ELA[Instructional Reading Level - Per "&amp;VLOOKUP($D$2,'Reading Report Logic'!$A$2:$B$8,2,FALSE)&amp;"]")),FALSE)),
IF(VLOOKUP($A618, YES_Reading_FLA[], COLUMN(INDIRECT("YES_Reading_FLA[Instructional Reading Level - Per "&amp;VLOOKUP($D$2, 'Reading Report Logic'!$A$2:$B$8, 2, FALSE)&amp;"]")),FALSE)="", "", VLOOKUP($A618,YES_Reading_FLA[],COLUMN(INDIRECT("YES_Reading_FLA[Instructional Reading Level - Per "&amp;VLOOKUP($D$2, 'Reading Report Logic'!$A$2:$B$8, 2, FALSE)&amp;"]")),FALSE))),""))),"")</f>
        <v/>
      </c>
      <c r="E618" s="205" t="str" cm="1">
        <f t="array" aca="1" ref="E618" ca="1">IFERROR(
IF($J$2="ELA",
IF(VLOOKUP($A618, YES_Reading_ELA[], COLUMN(INDIRECT("YES_Reading_ELA[Min Expectation - Per "&amp;VLOOKUP($D$2, 'Reading Report Logic'!$A$2:$B$8, 2, FALSE)&amp;"]")), FALSE)="", "",
VLOOKUP($A618,YES_Reading_ELA[], COLUMN(INDIRECT("YES_Reading_ELA[Min Expectation - Per "&amp;VLOOKUP($D$2,'Reading Report Logic'!$A$2:$B$8,2,FALSE)&amp;"]")), FALSE)),
IF($J$2="FLA",
IF(VLOOKUP($A618, YES_Reading_FLA[], COLUMN(INDIRECT("YES_Reading_FLA[Min Expectation - Per "&amp;VLOOKUP($D$2,'Reading Report Logic'!$A$2:$B$8,2,FALSE)&amp;"]")),FALSE)="","",
VLOOKUP($A618,YES_Reading_FLA[],COLUMN(INDIRECT("YES_Reading_FLA[Min Expectation - Per "&amp;VLOOKUP($D$2,'Reading Report Logic'!$A$2:$B$8,2,FALSE)&amp;"]")),FALSE)),
IF($J$2="Combined",
IFERROR(
IF(VLOOKUP($A618, YES_Reading_ELA[], COLUMN(INDIRECT("YES_Reading_ELA[Min Expectation - Per "&amp;VLOOKUP($D$2, 'Reading Report Logic'!$A$2:$B$8,2,FALSE)&amp;"]")), FALSE)="", "",
VLOOKUP($A618,YES_Reading_ELA[],COLUMN(INDIRECT("YES_Reading_ELA[Min Expectation - Per "&amp;VLOOKUP($D$2,'Reading Report Logic'!$A$2:$B$8,2,FALSE)&amp;"]")),FALSE)),
IF(VLOOKUP($A618, YES_Reading_FLA[], COLUMN(INDIRECT("YES_Reading_FLA[Min Expectation - Per "&amp;VLOOKUP($D$2, 'Reading Report Logic'!$A$2:$B$8, 2, FALSE)&amp;"]")),FALSE)="", "", VLOOKUP($A618,YES_Reading_FLA[],COLUMN(INDIRECT("YES_Reading_FLA[Min Expectation - Per "&amp;VLOOKUP($D$2, 'Reading Report Logic'!$A$2:$B$8, 2, FALSE)&amp;"]")),FALSE))),""))),"")</f>
        <v/>
      </c>
      <c r="F618" s="205" t="str" cm="1">
        <f t="array" aca="1" ref="F618" ca="1">IFERROR(
IF($J$2="ELA",
IF(VLOOKUP($A618, YES_Reading_ELA[], COLUMN(INDIRECT("YES_Reading_ELA[Max Expectation - Per "&amp;VLOOKUP($D$2, 'Reading Report Logic'!$A$2:$B$8, 2, FALSE)&amp;"]")), FALSE)="", "",
VLOOKUP($A618,YES_Reading_ELA[], COLUMN(INDIRECT("YES_Reading_ELA[Max Expectation - Per "&amp;VLOOKUP($D$2,'Reading Report Logic'!$A$2:$B$8,2,FALSE)&amp;"]")), FALSE)),
IF($J$2="FLA",
IF(VLOOKUP($A618, YES_Reading_FLA[], COLUMN(INDIRECT("YES_Reading_FLA[Max Expectation - Per "&amp;VLOOKUP($D$2,'Reading Report Logic'!$A$2:$B$8,2,FALSE)&amp;"]")),FALSE)="","",
VLOOKUP($A618,YES_Reading_FLA[],COLUMN(INDIRECT("YES_Reading_FLA[Max Expectation - Per "&amp;VLOOKUP($D$2,'Reading Report Logic'!$A$2:$B$8,2,FALSE)&amp;"]")),FALSE)),
IF($J$2="Combined",
IFERROR(
IF(VLOOKUP($A618, YES_Reading_ELA[], COLUMN(INDIRECT("YES_Reading_ELA[Max Expectation - Per "&amp;VLOOKUP($D$2, 'Reading Report Logic'!$A$2:$B$8,2,FALSE)&amp;"]")), FALSE)="", "",
VLOOKUP($A618,YES_Reading_ELA[],COLUMN(INDIRECT("YES_Reading_ELA[Max Expectation - Per "&amp;VLOOKUP($D$2,'Reading Report Logic'!$A$2:$B$8,2,FALSE)&amp;"]")),FALSE)),
IF(VLOOKUP($A618, YES_Reading_FLA[], COLUMN(INDIRECT("YES_Reading_FLA[Max Expectation - Per "&amp;VLOOKUP($D$2, 'Reading Report Logic'!$A$2:$B$8, 2, FALSE)&amp;"]")),FALSE)="", "", VLOOKUP($A618,YES_Reading_FLA[],COLUMN(INDIRECT("YES_Reading_FLA[Max Expectation - Per "&amp;VLOOKUP($D$2, 'Reading Report Logic'!$A$2:$B$8, 2, FALSE)&amp;"]")),FALSE))),""))),"")</f>
        <v/>
      </c>
      <c r="G618" s="205" t="str" cm="1">
        <f t="array" aca="1" ref="G618" ca="1">IFERROR(
IF($J$2="ELA",
IF(VLOOKUP($A618, YES_Reading_ELA[], COLUMN(INDIRECT("YES_Reading_ELA[Difference - Per "&amp;VLOOKUP($D$2, 'Reading Report Logic'!$A$2:$B$8, 2, FALSE)&amp;"]")), FALSE)="", "",
VLOOKUP($A618,YES_Reading_ELA[], COLUMN(INDIRECT("YES_Reading_ELA[Difference - Per "&amp;VLOOKUP($D$2,'Reading Report Logic'!$A$2:$B$8,2,FALSE)&amp;"]")), FALSE)),
IF($J$2="FLA",
IF(VLOOKUP($A618, YES_Reading_FLA[], COLUMN(INDIRECT("YES_Reading_FLA[Difference - Per "&amp;VLOOKUP($D$2,'Reading Report Logic'!$A$2:$B$8,2,FALSE)&amp;"]")),FALSE)="","",
VLOOKUP($A618,YES_Reading_FLA[],COLUMN(INDIRECT("YES_Reading_FLA[Difference - Per "&amp;VLOOKUP($D$2,'Reading Report Logic'!$A$2:$B$8,2,FALSE)&amp;"]")),FALSE)),
IF($J$2="Combined",
IFERROR(
IF(VLOOKUP($A618, YES_Reading_ELA[], COLUMN(INDIRECT("YES_Reading_ELA[Difference - Per "&amp;VLOOKUP($D$2, 'Reading Report Logic'!$A$2:$B$8,2,FALSE)&amp;"]")), FALSE)="", "",
VLOOKUP($A618,YES_Reading_ELA[],COLUMN(INDIRECT("YES_Reading_ELA[Difference - Per "&amp;VLOOKUP($D$2,'Reading Report Logic'!$A$2:$B$8,2,FALSE)&amp;"]")),FALSE)),
IF(VLOOKUP($A618, YES_Reading_FLA[], COLUMN(INDIRECT("YES_Reading_FLA[Difference - Per "&amp;VLOOKUP($D$2, 'Reading Report Logic'!$A$2:$B$8, 2, FALSE)&amp;"]")),FALSE)="", "", VLOOKUP($A618,YES_Reading_FLA[],COLUMN(INDIRECT("YES_Reading_FLA[Difference - Per "&amp;VLOOKUP($D$2, 'Reading Report Logic'!$A$2:$B$8, 2, FALSE)&amp;"]")),FALSE))),""))),"")</f>
        <v/>
      </c>
      <c r="H618" s="206" t="str">
        <f ca="1">IFERROR(VLOOKUP('Teacher Reading Pull Sheets'!$D618,_xlfn.VSTACK('ELA Reading Logic'!$A$22:$B$48,'FLA Reading Logic'!$A$22:$B$53),2,FALSE)-VLOOKUP('Teacher Reading Pull Sheets'!$C618,_xlfn.VSTACK('ELA Reading Logic'!$A$22:$B$48,'FLA Reading Logic'!$A$22:$B$53),2,FALSE),"")</f>
        <v/>
      </c>
      <c r="I618" s="212"/>
      <c r="J618" s="206"/>
      <c r="K618" s="197" t="str" cm="1">
        <f t="array" ref="K618">IFERROR(
IF($J$2="ELA",
IF(VLOOKUP($A618, YES_Reading_ELA[], COLUMN(YES_Reading_ELA[Self-Identified as African Descent]), FALSE)="", "",
VLOOKUP($A618,YES_Reading_ELA[], COLUMN(YES_Reading_ELA[Self-Identified as African Descent]), FALSE)),
IF($J$2="FLA",
IF(VLOOKUP($A618, YES_Reading_FLA[], COLUMN(YES_Reading_FLA[Self-Identified as African Descent]),FALSE)="","",
VLOOKUP($A618,YES_Reading_FLA[],COLUMN(YES_Reading_FLA[Self-Identified as African Descent]),FALSE)),
IF($J$2="Combined",
IFERROR(
IF(VLOOKUP($A618, YES_Reading_ELA[], COLUMN(YES_Reading_ELA[Self-Identified as African Descent]), FALSE)="", "",
VLOOKUP($A618,YES_Reading_ELA[],COLUMN(YES_Reading_ELA[Self-Identified as African Descent]),FALSE)),
IF(VLOOKUP($A618, YES_Reading_FLA[], COLUMN(YES_Reading_FLA[Self-Identified as African Descent]),FALSE)="", "", VLOOKUP($A618,YES_Reading_FLA[],COLUMN(YES_Reading_FLA[Self-Identified as African Descent]),FALSE))),""))),"")</f>
        <v/>
      </c>
      <c r="L618" s="73" t="str" cm="1">
        <f t="array" ref="L618">IFERROR(
IF($J$2="ELA",
IF(VLOOKUP($A618, YES_Reading_ELA[], COLUMN(YES_Reading_ELA[Self-Identified as Indigenous]), FALSE)="", "",
VLOOKUP($A618,YES_Reading_ELA[], COLUMN(YES_Reading_ELA[Self-Identified as Indigenous]), FALSE)),
IF($J$2="FLA",
IF(VLOOKUP($A618, YES_Reading_FLA[], COLUMN(YES_Reading_FLA[Self-Identified as Indigenous]),FALSE)="","",
VLOOKUP($A618,YES_Reading_FLA[],COLUMN(YES_Reading_FLA[Self-Identified as Indigenous]),FALSE)),
IF($J$2="Combined",
IFERROR(
IF(VLOOKUP($A618, YES_Reading_ELA[], COLUMN(YES_Reading_ELA[Self-Identified as Indigenous]), FALSE)="", "",
VLOOKUP($A618,YES_Reading_ELA[],COLUMN(YES_Reading_ELA[Self-Identified as Indigenous]),FALSE)),
IF(VLOOKUP($A618, YES_Reading_FLA[], COLUMN(YES_Reading_FLA[Self-Identified as Indigenous]),FALSE)="", "", VLOOKUP($A618,YES_Reading_FLA[],COLUMN(YES_Reading_FLA[Self-Identified as Indigenous]),FALSE))),""))),"")</f>
        <v/>
      </c>
    </row>
    <row r="619" spans="1:12" ht="19.5" customHeight="1" x14ac:dyDescent="0.25">
      <c r="A619" s="217"/>
      <c r="B619" s="220" t="str">
        <f>IFERROR(VLOOKUP(A619,_xlfn.VSTACK(YES_Reading_ELA[],YES_Reading_FLA[]),2,FALSE),"")</f>
        <v/>
      </c>
      <c r="C619" s="203" t="str" cm="1">
        <f t="array" aca="1" ref="C619" ca="1">IFERROR(
IF($J$2="ELA",
IF(VLOOKUP($A619, YES_Reading_ELA[], COLUMN(IF(VLOOKUP($D$2, 'Reading Report Logic'!$A$2:$B$8, 2, FALSE)=1, YES_Reading_ELA[Reading Level June of Previous School Year], INDIRECT("YES_Reading_ELA[Instructional Reading Level - Per "&amp;(VLOOKUP($D$2,'Reading Report Logic'!$A$2:$B$8,2,FALSE)-1)&amp;"]"))), FALSE)="", "",
VLOOKUP($A619,YES_Reading_ELA[], COLUMN(IF(VLOOKUP($D$2,'Reading Report Logic'!$A$2:$B$8,2,FALSE)=1, YES_Reading_ELA[Reading Level June of Previous School Year],INDIRECT("YES_Reading_ELA[Instructional Reading Level - Per "&amp;(VLOOKUP($D$2,'Reading Report Logic'!$A$2:$B$8,2,FALSE)-1)&amp;"]"))), FALSE)),
IF($J$2="FLA",
IF(VLOOKUP($A619, YES_Reading_FLA[], COLUMN(IF(VLOOKUP($D$2,'Reading Report Logic'!$A$2:$B$8,2,FALSE)=1, YES_Reading_FLA[Reading Level June of Previous School Year],INDIRECT("YES_Reading_FLA[Instructional Reading Level - Per "&amp;(VLOOKUP($D$2,'Reading Report Logic'!$A$2:$B$8,2,FALSE)-1)&amp;"]"))),FALSE)="","",
VLOOKUP($A619,YES_Reading_FLA[], COLUMN(IF(VLOOKUP($D$2,'Reading Report Logic'!$A$2:$B$8,2,FALSE)=1, YES_Reading_FLA[Reading Level June of Previous School Year],INDIRECT("YES_Reading_FLA[Instructional Reading Level - Per "&amp;(VLOOKUP($D$2,'Reading Report Logic'!$A$2:$B$8,2,FALSE)-1)&amp;"]"))),FALSE)),
IF($J$2="Combined",
IFERROR(
IF(VLOOKUP($A619, YES_Reading_ELA[], COLUMN(IF(VLOOKUP($D$2,'Reading Report Logic'!$A$2:$B$8,2,FALSE)=1, YES_Reading_ELA[Reading Level June of Previous School Year],INDIRECT("YES_Reading_ELA[Instructional Reading Level - Per "&amp;(VLOOKUP($D$2,'Reading Report Logic'!$A$2:$B$8,2,FALSE)-1)&amp;"]"))), FALSE)="", "",
VLOOKUP($A619,YES_Reading_ELA[],COLUMN(IF(VLOOKUP($D$2,'Reading Report Logic'!$A$2:$B$8,2,FALSE)=1, YES_Reading_ELA[Reading Level June of Previous School Year],INDIRECT("YES_Reading_ELA[Instructional Reading Level - Per "&amp;(VLOOKUP($D$2,'Reading Report Logic'!$A$2:$B$8,2,FALSE)-1)&amp;"]"))),FALSE)),
IF(VLOOKUP($A619, YES_Reading_FLA[], COLUMN(IF(VLOOKUP($D$2,'Reading Report Logic'!$A$2:$B$8,2,FALSE)=1, YES_Reading_FLA[Reading Level June of Previous School Year],INDIRECT("YES_Reading_FLA[Instructional Reading Level - Per "&amp;(VLOOKUP($D$2,'Reading Report Logic'!$A$2:$B$8,2,FALSE)-1)&amp;"]"))),FALSE)="", "", VLOOKUP($A619,YES_Reading_FLA[],COLUMN(IF(VLOOKUP($D$2,'Reading Report Logic'!$A$2:$B$8,2,FALSE)=1, YES_Reading_FLA[Reading Level June of Previous School Year],INDIRECT("YES_Reading_FLA[Instructional Reading Level - Per "&amp;(VLOOKUP($D$2,'Reading Report Logic'!$A$2:$B$8,2,FALSE)-1)&amp;"]"))), FALSE))),""))),"")</f>
        <v/>
      </c>
      <c r="D619" s="204" t="str" cm="1">
        <f t="array" aca="1" ref="D619" ca="1">IFERROR(
IF($J$2="ELA",
IF(VLOOKUP($A619, YES_Reading_ELA[], COLUMN(INDIRECT("YES_Reading_ELA[Instructional Reading Level - Per "&amp;VLOOKUP($D$2, 'Reading Report Logic'!$A$2:$B$8, 2, FALSE)&amp;"]")), FALSE)="", "",
VLOOKUP($A619,YES_Reading_ELA[], COLUMN(INDIRECT("YES_Reading_ELA[Instructional Reading Level - Per "&amp;VLOOKUP($D$2,'Reading Report Logic'!$A$2:$B$8,2,FALSE)&amp;"]")), FALSE)),
IF($J$2="FLA",
IF(VLOOKUP($A619, YES_Reading_FLA[], COLUMN(INDIRECT("YES_Reading_FLA[Instructional Reading Level - Per "&amp;VLOOKUP($D$2,'Reading Report Logic'!$A$2:$B$8,2,FALSE)&amp;"]")),FALSE)="","",
VLOOKUP($A619,YES_Reading_FLA[],COLUMN(INDIRECT("YES_Reading_FLA[Instructional Reading Level - Per "&amp;VLOOKUP($D$2,'Reading Report Logic'!$A$2:$B$8,2,FALSE)&amp;"]")),FALSE)),
IF($J$2="Combined",
IFERROR(
IF(VLOOKUP($A619, YES_Reading_ELA[], COLUMN(INDIRECT("YES_Reading_ELA[Instructional Reading Level - Per "&amp;VLOOKUP($D$2, 'Reading Report Logic'!$A$2:$B$8,2,FALSE)&amp;"]")), FALSE)="", "",
VLOOKUP($A619,YES_Reading_ELA[],COLUMN(INDIRECT("YES_Reading_ELA[Instructional Reading Level - Per "&amp;VLOOKUP($D$2,'Reading Report Logic'!$A$2:$B$8,2,FALSE)&amp;"]")),FALSE)),
IF(VLOOKUP($A619, YES_Reading_FLA[], COLUMN(INDIRECT("YES_Reading_FLA[Instructional Reading Level - Per "&amp;VLOOKUP($D$2, 'Reading Report Logic'!$A$2:$B$8, 2, FALSE)&amp;"]")),FALSE)="", "", VLOOKUP($A619,YES_Reading_FLA[],COLUMN(INDIRECT("YES_Reading_FLA[Instructional Reading Level - Per "&amp;VLOOKUP($D$2, 'Reading Report Logic'!$A$2:$B$8, 2, FALSE)&amp;"]")),FALSE))),""))),"")</f>
        <v/>
      </c>
      <c r="E619" s="205" t="str" cm="1">
        <f t="array" aca="1" ref="E619" ca="1">IFERROR(
IF($J$2="ELA",
IF(VLOOKUP($A619, YES_Reading_ELA[], COLUMN(INDIRECT("YES_Reading_ELA[Min Expectation - Per "&amp;VLOOKUP($D$2, 'Reading Report Logic'!$A$2:$B$8, 2, FALSE)&amp;"]")), FALSE)="", "",
VLOOKUP($A619,YES_Reading_ELA[], COLUMN(INDIRECT("YES_Reading_ELA[Min Expectation - Per "&amp;VLOOKUP($D$2,'Reading Report Logic'!$A$2:$B$8,2,FALSE)&amp;"]")), FALSE)),
IF($J$2="FLA",
IF(VLOOKUP($A619, YES_Reading_FLA[], COLUMN(INDIRECT("YES_Reading_FLA[Min Expectation - Per "&amp;VLOOKUP($D$2,'Reading Report Logic'!$A$2:$B$8,2,FALSE)&amp;"]")),FALSE)="","",
VLOOKUP($A619,YES_Reading_FLA[],COLUMN(INDIRECT("YES_Reading_FLA[Min Expectation - Per "&amp;VLOOKUP($D$2,'Reading Report Logic'!$A$2:$B$8,2,FALSE)&amp;"]")),FALSE)),
IF($J$2="Combined",
IFERROR(
IF(VLOOKUP($A619, YES_Reading_ELA[], COLUMN(INDIRECT("YES_Reading_ELA[Min Expectation - Per "&amp;VLOOKUP($D$2, 'Reading Report Logic'!$A$2:$B$8,2,FALSE)&amp;"]")), FALSE)="", "",
VLOOKUP($A619,YES_Reading_ELA[],COLUMN(INDIRECT("YES_Reading_ELA[Min Expectation - Per "&amp;VLOOKUP($D$2,'Reading Report Logic'!$A$2:$B$8,2,FALSE)&amp;"]")),FALSE)),
IF(VLOOKUP($A619, YES_Reading_FLA[], COLUMN(INDIRECT("YES_Reading_FLA[Min Expectation - Per "&amp;VLOOKUP($D$2, 'Reading Report Logic'!$A$2:$B$8, 2, FALSE)&amp;"]")),FALSE)="", "", VLOOKUP($A619,YES_Reading_FLA[],COLUMN(INDIRECT("YES_Reading_FLA[Min Expectation - Per "&amp;VLOOKUP($D$2, 'Reading Report Logic'!$A$2:$B$8, 2, FALSE)&amp;"]")),FALSE))),""))),"")</f>
        <v/>
      </c>
      <c r="F619" s="205" t="str" cm="1">
        <f t="array" aca="1" ref="F619" ca="1">IFERROR(
IF($J$2="ELA",
IF(VLOOKUP($A619, YES_Reading_ELA[], COLUMN(INDIRECT("YES_Reading_ELA[Max Expectation - Per "&amp;VLOOKUP($D$2, 'Reading Report Logic'!$A$2:$B$8, 2, FALSE)&amp;"]")), FALSE)="", "",
VLOOKUP($A619,YES_Reading_ELA[], COLUMN(INDIRECT("YES_Reading_ELA[Max Expectation - Per "&amp;VLOOKUP($D$2,'Reading Report Logic'!$A$2:$B$8,2,FALSE)&amp;"]")), FALSE)),
IF($J$2="FLA",
IF(VLOOKUP($A619, YES_Reading_FLA[], COLUMN(INDIRECT("YES_Reading_FLA[Max Expectation - Per "&amp;VLOOKUP($D$2,'Reading Report Logic'!$A$2:$B$8,2,FALSE)&amp;"]")),FALSE)="","",
VLOOKUP($A619,YES_Reading_FLA[],COLUMN(INDIRECT("YES_Reading_FLA[Max Expectation - Per "&amp;VLOOKUP($D$2,'Reading Report Logic'!$A$2:$B$8,2,FALSE)&amp;"]")),FALSE)),
IF($J$2="Combined",
IFERROR(
IF(VLOOKUP($A619, YES_Reading_ELA[], COLUMN(INDIRECT("YES_Reading_ELA[Max Expectation - Per "&amp;VLOOKUP($D$2, 'Reading Report Logic'!$A$2:$B$8,2,FALSE)&amp;"]")), FALSE)="", "",
VLOOKUP($A619,YES_Reading_ELA[],COLUMN(INDIRECT("YES_Reading_ELA[Max Expectation - Per "&amp;VLOOKUP($D$2,'Reading Report Logic'!$A$2:$B$8,2,FALSE)&amp;"]")),FALSE)),
IF(VLOOKUP($A619, YES_Reading_FLA[], COLUMN(INDIRECT("YES_Reading_FLA[Max Expectation - Per "&amp;VLOOKUP($D$2, 'Reading Report Logic'!$A$2:$B$8, 2, FALSE)&amp;"]")),FALSE)="", "", VLOOKUP($A619,YES_Reading_FLA[],COLUMN(INDIRECT("YES_Reading_FLA[Max Expectation - Per "&amp;VLOOKUP($D$2, 'Reading Report Logic'!$A$2:$B$8, 2, FALSE)&amp;"]")),FALSE))),""))),"")</f>
        <v/>
      </c>
      <c r="G619" s="205" t="str" cm="1">
        <f t="array" aca="1" ref="G619" ca="1">IFERROR(
IF($J$2="ELA",
IF(VLOOKUP($A619, YES_Reading_ELA[], COLUMN(INDIRECT("YES_Reading_ELA[Difference - Per "&amp;VLOOKUP($D$2, 'Reading Report Logic'!$A$2:$B$8, 2, FALSE)&amp;"]")), FALSE)="", "",
VLOOKUP($A619,YES_Reading_ELA[], COLUMN(INDIRECT("YES_Reading_ELA[Difference - Per "&amp;VLOOKUP($D$2,'Reading Report Logic'!$A$2:$B$8,2,FALSE)&amp;"]")), FALSE)),
IF($J$2="FLA",
IF(VLOOKUP($A619, YES_Reading_FLA[], COLUMN(INDIRECT("YES_Reading_FLA[Difference - Per "&amp;VLOOKUP($D$2,'Reading Report Logic'!$A$2:$B$8,2,FALSE)&amp;"]")),FALSE)="","",
VLOOKUP($A619,YES_Reading_FLA[],COLUMN(INDIRECT("YES_Reading_FLA[Difference - Per "&amp;VLOOKUP($D$2,'Reading Report Logic'!$A$2:$B$8,2,FALSE)&amp;"]")),FALSE)),
IF($J$2="Combined",
IFERROR(
IF(VLOOKUP($A619, YES_Reading_ELA[], COLUMN(INDIRECT("YES_Reading_ELA[Difference - Per "&amp;VLOOKUP($D$2, 'Reading Report Logic'!$A$2:$B$8,2,FALSE)&amp;"]")), FALSE)="", "",
VLOOKUP($A619,YES_Reading_ELA[],COLUMN(INDIRECT("YES_Reading_ELA[Difference - Per "&amp;VLOOKUP($D$2,'Reading Report Logic'!$A$2:$B$8,2,FALSE)&amp;"]")),FALSE)),
IF(VLOOKUP($A619, YES_Reading_FLA[], COLUMN(INDIRECT("YES_Reading_FLA[Difference - Per "&amp;VLOOKUP($D$2, 'Reading Report Logic'!$A$2:$B$8, 2, FALSE)&amp;"]")),FALSE)="", "", VLOOKUP($A619,YES_Reading_FLA[],COLUMN(INDIRECT("YES_Reading_FLA[Difference - Per "&amp;VLOOKUP($D$2, 'Reading Report Logic'!$A$2:$B$8, 2, FALSE)&amp;"]")),FALSE))),""))),"")</f>
        <v/>
      </c>
      <c r="H619" s="206" t="str">
        <f ca="1">IFERROR(VLOOKUP('Teacher Reading Pull Sheets'!$D619,_xlfn.VSTACK('ELA Reading Logic'!$A$22:$B$48,'FLA Reading Logic'!$A$22:$B$53),2,FALSE)-VLOOKUP('Teacher Reading Pull Sheets'!$C619,_xlfn.VSTACK('ELA Reading Logic'!$A$22:$B$48,'FLA Reading Logic'!$A$22:$B$53),2,FALSE),"")</f>
        <v/>
      </c>
      <c r="I619" s="212"/>
      <c r="J619" s="206"/>
      <c r="K619" s="197" t="str" cm="1">
        <f t="array" ref="K619">IFERROR(
IF($J$2="ELA",
IF(VLOOKUP($A619, YES_Reading_ELA[], COLUMN(YES_Reading_ELA[Self-Identified as African Descent]), FALSE)="", "",
VLOOKUP($A619,YES_Reading_ELA[], COLUMN(YES_Reading_ELA[Self-Identified as African Descent]), FALSE)),
IF($J$2="FLA",
IF(VLOOKUP($A619, YES_Reading_FLA[], COLUMN(YES_Reading_FLA[Self-Identified as African Descent]),FALSE)="","",
VLOOKUP($A619,YES_Reading_FLA[],COLUMN(YES_Reading_FLA[Self-Identified as African Descent]),FALSE)),
IF($J$2="Combined",
IFERROR(
IF(VLOOKUP($A619, YES_Reading_ELA[], COLUMN(YES_Reading_ELA[Self-Identified as African Descent]), FALSE)="", "",
VLOOKUP($A619,YES_Reading_ELA[],COLUMN(YES_Reading_ELA[Self-Identified as African Descent]),FALSE)),
IF(VLOOKUP($A619, YES_Reading_FLA[], COLUMN(YES_Reading_FLA[Self-Identified as African Descent]),FALSE)="", "", VLOOKUP($A619,YES_Reading_FLA[],COLUMN(YES_Reading_FLA[Self-Identified as African Descent]),FALSE))),""))),"")</f>
        <v/>
      </c>
      <c r="L619" s="73" t="str" cm="1">
        <f t="array" ref="L619">IFERROR(
IF($J$2="ELA",
IF(VLOOKUP($A619, YES_Reading_ELA[], COLUMN(YES_Reading_ELA[Self-Identified as Indigenous]), FALSE)="", "",
VLOOKUP($A619,YES_Reading_ELA[], COLUMN(YES_Reading_ELA[Self-Identified as Indigenous]), FALSE)),
IF($J$2="FLA",
IF(VLOOKUP($A619, YES_Reading_FLA[], COLUMN(YES_Reading_FLA[Self-Identified as Indigenous]),FALSE)="","",
VLOOKUP($A619,YES_Reading_FLA[],COLUMN(YES_Reading_FLA[Self-Identified as Indigenous]),FALSE)),
IF($J$2="Combined",
IFERROR(
IF(VLOOKUP($A619, YES_Reading_ELA[], COLUMN(YES_Reading_ELA[Self-Identified as Indigenous]), FALSE)="", "",
VLOOKUP($A619,YES_Reading_ELA[],COLUMN(YES_Reading_ELA[Self-Identified as Indigenous]),FALSE)),
IF(VLOOKUP($A619, YES_Reading_FLA[], COLUMN(YES_Reading_FLA[Self-Identified as Indigenous]),FALSE)="", "", VLOOKUP($A619,YES_Reading_FLA[],COLUMN(YES_Reading_FLA[Self-Identified as Indigenous]),FALSE))),""))),"")</f>
        <v/>
      </c>
    </row>
    <row r="620" spans="1:12" ht="19.5" customHeight="1" x14ac:dyDescent="0.25">
      <c r="A620" s="217"/>
      <c r="B620" s="220" t="str">
        <f>IFERROR(VLOOKUP(A620,_xlfn.VSTACK(YES_Reading_ELA[],YES_Reading_FLA[]),2,FALSE),"")</f>
        <v/>
      </c>
      <c r="C620" s="203" t="str" cm="1">
        <f t="array" aca="1" ref="C620" ca="1">IFERROR(
IF($J$2="ELA",
IF(VLOOKUP($A620, YES_Reading_ELA[], COLUMN(IF(VLOOKUP($D$2, 'Reading Report Logic'!$A$2:$B$8, 2, FALSE)=1, YES_Reading_ELA[Reading Level June of Previous School Year], INDIRECT("YES_Reading_ELA[Instructional Reading Level - Per "&amp;(VLOOKUP($D$2,'Reading Report Logic'!$A$2:$B$8,2,FALSE)-1)&amp;"]"))), FALSE)="", "",
VLOOKUP($A620,YES_Reading_ELA[], COLUMN(IF(VLOOKUP($D$2,'Reading Report Logic'!$A$2:$B$8,2,FALSE)=1, YES_Reading_ELA[Reading Level June of Previous School Year],INDIRECT("YES_Reading_ELA[Instructional Reading Level - Per "&amp;(VLOOKUP($D$2,'Reading Report Logic'!$A$2:$B$8,2,FALSE)-1)&amp;"]"))), FALSE)),
IF($J$2="FLA",
IF(VLOOKUP($A620, YES_Reading_FLA[], COLUMN(IF(VLOOKUP($D$2,'Reading Report Logic'!$A$2:$B$8,2,FALSE)=1, YES_Reading_FLA[Reading Level June of Previous School Year],INDIRECT("YES_Reading_FLA[Instructional Reading Level - Per "&amp;(VLOOKUP($D$2,'Reading Report Logic'!$A$2:$B$8,2,FALSE)-1)&amp;"]"))),FALSE)="","",
VLOOKUP($A620,YES_Reading_FLA[], COLUMN(IF(VLOOKUP($D$2,'Reading Report Logic'!$A$2:$B$8,2,FALSE)=1, YES_Reading_FLA[Reading Level June of Previous School Year],INDIRECT("YES_Reading_FLA[Instructional Reading Level - Per "&amp;(VLOOKUP($D$2,'Reading Report Logic'!$A$2:$B$8,2,FALSE)-1)&amp;"]"))),FALSE)),
IF($J$2="Combined",
IFERROR(
IF(VLOOKUP($A620, YES_Reading_ELA[], COLUMN(IF(VLOOKUP($D$2,'Reading Report Logic'!$A$2:$B$8,2,FALSE)=1, YES_Reading_ELA[Reading Level June of Previous School Year],INDIRECT("YES_Reading_ELA[Instructional Reading Level - Per "&amp;(VLOOKUP($D$2,'Reading Report Logic'!$A$2:$B$8,2,FALSE)-1)&amp;"]"))), FALSE)="", "",
VLOOKUP($A620,YES_Reading_ELA[],COLUMN(IF(VLOOKUP($D$2,'Reading Report Logic'!$A$2:$B$8,2,FALSE)=1, YES_Reading_ELA[Reading Level June of Previous School Year],INDIRECT("YES_Reading_ELA[Instructional Reading Level - Per "&amp;(VLOOKUP($D$2,'Reading Report Logic'!$A$2:$B$8,2,FALSE)-1)&amp;"]"))),FALSE)),
IF(VLOOKUP($A620, YES_Reading_FLA[], COLUMN(IF(VLOOKUP($D$2,'Reading Report Logic'!$A$2:$B$8,2,FALSE)=1, YES_Reading_FLA[Reading Level June of Previous School Year],INDIRECT("YES_Reading_FLA[Instructional Reading Level - Per "&amp;(VLOOKUP($D$2,'Reading Report Logic'!$A$2:$B$8,2,FALSE)-1)&amp;"]"))),FALSE)="", "", VLOOKUP($A620,YES_Reading_FLA[],COLUMN(IF(VLOOKUP($D$2,'Reading Report Logic'!$A$2:$B$8,2,FALSE)=1, YES_Reading_FLA[Reading Level June of Previous School Year],INDIRECT("YES_Reading_FLA[Instructional Reading Level - Per "&amp;(VLOOKUP($D$2,'Reading Report Logic'!$A$2:$B$8,2,FALSE)-1)&amp;"]"))), FALSE))),""))),"")</f>
        <v/>
      </c>
      <c r="D620" s="204" t="str" cm="1">
        <f t="array" aca="1" ref="D620" ca="1">IFERROR(
IF($J$2="ELA",
IF(VLOOKUP($A620, YES_Reading_ELA[], COLUMN(INDIRECT("YES_Reading_ELA[Instructional Reading Level - Per "&amp;VLOOKUP($D$2, 'Reading Report Logic'!$A$2:$B$8, 2, FALSE)&amp;"]")), FALSE)="", "",
VLOOKUP($A620,YES_Reading_ELA[], COLUMN(INDIRECT("YES_Reading_ELA[Instructional Reading Level - Per "&amp;VLOOKUP($D$2,'Reading Report Logic'!$A$2:$B$8,2,FALSE)&amp;"]")), FALSE)),
IF($J$2="FLA",
IF(VLOOKUP($A620, YES_Reading_FLA[], COLUMN(INDIRECT("YES_Reading_FLA[Instructional Reading Level - Per "&amp;VLOOKUP($D$2,'Reading Report Logic'!$A$2:$B$8,2,FALSE)&amp;"]")),FALSE)="","",
VLOOKUP($A620,YES_Reading_FLA[],COLUMN(INDIRECT("YES_Reading_FLA[Instructional Reading Level - Per "&amp;VLOOKUP($D$2,'Reading Report Logic'!$A$2:$B$8,2,FALSE)&amp;"]")),FALSE)),
IF($J$2="Combined",
IFERROR(
IF(VLOOKUP($A620, YES_Reading_ELA[], COLUMN(INDIRECT("YES_Reading_ELA[Instructional Reading Level - Per "&amp;VLOOKUP($D$2, 'Reading Report Logic'!$A$2:$B$8,2,FALSE)&amp;"]")), FALSE)="", "",
VLOOKUP($A620,YES_Reading_ELA[],COLUMN(INDIRECT("YES_Reading_ELA[Instructional Reading Level - Per "&amp;VLOOKUP($D$2,'Reading Report Logic'!$A$2:$B$8,2,FALSE)&amp;"]")),FALSE)),
IF(VLOOKUP($A620, YES_Reading_FLA[], COLUMN(INDIRECT("YES_Reading_FLA[Instructional Reading Level - Per "&amp;VLOOKUP($D$2, 'Reading Report Logic'!$A$2:$B$8, 2, FALSE)&amp;"]")),FALSE)="", "", VLOOKUP($A620,YES_Reading_FLA[],COLUMN(INDIRECT("YES_Reading_FLA[Instructional Reading Level - Per "&amp;VLOOKUP($D$2, 'Reading Report Logic'!$A$2:$B$8, 2, FALSE)&amp;"]")),FALSE))),""))),"")</f>
        <v/>
      </c>
      <c r="E620" s="205" t="str" cm="1">
        <f t="array" aca="1" ref="E620" ca="1">IFERROR(
IF($J$2="ELA",
IF(VLOOKUP($A620, YES_Reading_ELA[], COLUMN(INDIRECT("YES_Reading_ELA[Min Expectation - Per "&amp;VLOOKUP($D$2, 'Reading Report Logic'!$A$2:$B$8, 2, FALSE)&amp;"]")), FALSE)="", "",
VLOOKUP($A620,YES_Reading_ELA[], COLUMN(INDIRECT("YES_Reading_ELA[Min Expectation - Per "&amp;VLOOKUP($D$2,'Reading Report Logic'!$A$2:$B$8,2,FALSE)&amp;"]")), FALSE)),
IF($J$2="FLA",
IF(VLOOKUP($A620, YES_Reading_FLA[], COLUMN(INDIRECT("YES_Reading_FLA[Min Expectation - Per "&amp;VLOOKUP($D$2,'Reading Report Logic'!$A$2:$B$8,2,FALSE)&amp;"]")),FALSE)="","",
VLOOKUP($A620,YES_Reading_FLA[],COLUMN(INDIRECT("YES_Reading_FLA[Min Expectation - Per "&amp;VLOOKUP($D$2,'Reading Report Logic'!$A$2:$B$8,2,FALSE)&amp;"]")),FALSE)),
IF($J$2="Combined",
IFERROR(
IF(VLOOKUP($A620, YES_Reading_ELA[], COLUMN(INDIRECT("YES_Reading_ELA[Min Expectation - Per "&amp;VLOOKUP($D$2, 'Reading Report Logic'!$A$2:$B$8,2,FALSE)&amp;"]")), FALSE)="", "",
VLOOKUP($A620,YES_Reading_ELA[],COLUMN(INDIRECT("YES_Reading_ELA[Min Expectation - Per "&amp;VLOOKUP($D$2,'Reading Report Logic'!$A$2:$B$8,2,FALSE)&amp;"]")),FALSE)),
IF(VLOOKUP($A620, YES_Reading_FLA[], COLUMN(INDIRECT("YES_Reading_FLA[Min Expectation - Per "&amp;VLOOKUP($D$2, 'Reading Report Logic'!$A$2:$B$8, 2, FALSE)&amp;"]")),FALSE)="", "", VLOOKUP($A620,YES_Reading_FLA[],COLUMN(INDIRECT("YES_Reading_FLA[Min Expectation - Per "&amp;VLOOKUP($D$2, 'Reading Report Logic'!$A$2:$B$8, 2, FALSE)&amp;"]")),FALSE))),""))),"")</f>
        <v/>
      </c>
      <c r="F620" s="205" t="str" cm="1">
        <f t="array" aca="1" ref="F620" ca="1">IFERROR(
IF($J$2="ELA",
IF(VLOOKUP($A620, YES_Reading_ELA[], COLUMN(INDIRECT("YES_Reading_ELA[Max Expectation - Per "&amp;VLOOKUP($D$2, 'Reading Report Logic'!$A$2:$B$8, 2, FALSE)&amp;"]")), FALSE)="", "",
VLOOKUP($A620,YES_Reading_ELA[], COLUMN(INDIRECT("YES_Reading_ELA[Max Expectation - Per "&amp;VLOOKUP($D$2,'Reading Report Logic'!$A$2:$B$8,2,FALSE)&amp;"]")), FALSE)),
IF($J$2="FLA",
IF(VLOOKUP($A620, YES_Reading_FLA[], COLUMN(INDIRECT("YES_Reading_FLA[Max Expectation - Per "&amp;VLOOKUP($D$2,'Reading Report Logic'!$A$2:$B$8,2,FALSE)&amp;"]")),FALSE)="","",
VLOOKUP($A620,YES_Reading_FLA[],COLUMN(INDIRECT("YES_Reading_FLA[Max Expectation - Per "&amp;VLOOKUP($D$2,'Reading Report Logic'!$A$2:$B$8,2,FALSE)&amp;"]")),FALSE)),
IF($J$2="Combined",
IFERROR(
IF(VLOOKUP($A620, YES_Reading_ELA[], COLUMN(INDIRECT("YES_Reading_ELA[Max Expectation - Per "&amp;VLOOKUP($D$2, 'Reading Report Logic'!$A$2:$B$8,2,FALSE)&amp;"]")), FALSE)="", "",
VLOOKUP($A620,YES_Reading_ELA[],COLUMN(INDIRECT("YES_Reading_ELA[Max Expectation - Per "&amp;VLOOKUP($D$2,'Reading Report Logic'!$A$2:$B$8,2,FALSE)&amp;"]")),FALSE)),
IF(VLOOKUP($A620, YES_Reading_FLA[], COLUMN(INDIRECT("YES_Reading_FLA[Max Expectation - Per "&amp;VLOOKUP($D$2, 'Reading Report Logic'!$A$2:$B$8, 2, FALSE)&amp;"]")),FALSE)="", "", VLOOKUP($A620,YES_Reading_FLA[],COLUMN(INDIRECT("YES_Reading_FLA[Max Expectation - Per "&amp;VLOOKUP($D$2, 'Reading Report Logic'!$A$2:$B$8, 2, FALSE)&amp;"]")),FALSE))),""))),"")</f>
        <v/>
      </c>
      <c r="G620" s="205" t="str" cm="1">
        <f t="array" aca="1" ref="G620" ca="1">IFERROR(
IF($J$2="ELA",
IF(VLOOKUP($A620, YES_Reading_ELA[], COLUMN(INDIRECT("YES_Reading_ELA[Difference - Per "&amp;VLOOKUP($D$2, 'Reading Report Logic'!$A$2:$B$8, 2, FALSE)&amp;"]")), FALSE)="", "",
VLOOKUP($A620,YES_Reading_ELA[], COLUMN(INDIRECT("YES_Reading_ELA[Difference - Per "&amp;VLOOKUP($D$2,'Reading Report Logic'!$A$2:$B$8,2,FALSE)&amp;"]")), FALSE)),
IF($J$2="FLA",
IF(VLOOKUP($A620, YES_Reading_FLA[], COLUMN(INDIRECT("YES_Reading_FLA[Difference - Per "&amp;VLOOKUP($D$2,'Reading Report Logic'!$A$2:$B$8,2,FALSE)&amp;"]")),FALSE)="","",
VLOOKUP($A620,YES_Reading_FLA[],COLUMN(INDIRECT("YES_Reading_FLA[Difference - Per "&amp;VLOOKUP($D$2,'Reading Report Logic'!$A$2:$B$8,2,FALSE)&amp;"]")),FALSE)),
IF($J$2="Combined",
IFERROR(
IF(VLOOKUP($A620, YES_Reading_ELA[], COLUMN(INDIRECT("YES_Reading_ELA[Difference - Per "&amp;VLOOKUP($D$2, 'Reading Report Logic'!$A$2:$B$8,2,FALSE)&amp;"]")), FALSE)="", "",
VLOOKUP($A620,YES_Reading_ELA[],COLUMN(INDIRECT("YES_Reading_ELA[Difference - Per "&amp;VLOOKUP($D$2,'Reading Report Logic'!$A$2:$B$8,2,FALSE)&amp;"]")),FALSE)),
IF(VLOOKUP($A620, YES_Reading_FLA[], COLUMN(INDIRECT("YES_Reading_FLA[Difference - Per "&amp;VLOOKUP($D$2, 'Reading Report Logic'!$A$2:$B$8, 2, FALSE)&amp;"]")),FALSE)="", "", VLOOKUP($A620,YES_Reading_FLA[],COLUMN(INDIRECT("YES_Reading_FLA[Difference - Per "&amp;VLOOKUP($D$2, 'Reading Report Logic'!$A$2:$B$8, 2, FALSE)&amp;"]")),FALSE))),""))),"")</f>
        <v/>
      </c>
      <c r="H620" s="206" t="str">
        <f ca="1">IFERROR(VLOOKUP('Teacher Reading Pull Sheets'!$D620,_xlfn.VSTACK('ELA Reading Logic'!$A$22:$B$48,'FLA Reading Logic'!$A$22:$B$53),2,FALSE)-VLOOKUP('Teacher Reading Pull Sheets'!$C620,_xlfn.VSTACK('ELA Reading Logic'!$A$22:$B$48,'FLA Reading Logic'!$A$22:$B$53),2,FALSE),"")</f>
        <v/>
      </c>
      <c r="I620" s="212"/>
      <c r="J620" s="206"/>
      <c r="K620" s="197" t="str" cm="1">
        <f t="array" ref="K620">IFERROR(
IF($J$2="ELA",
IF(VLOOKUP($A620, YES_Reading_ELA[], COLUMN(YES_Reading_ELA[Self-Identified as African Descent]), FALSE)="", "",
VLOOKUP($A620,YES_Reading_ELA[], COLUMN(YES_Reading_ELA[Self-Identified as African Descent]), FALSE)),
IF($J$2="FLA",
IF(VLOOKUP($A620, YES_Reading_FLA[], COLUMN(YES_Reading_FLA[Self-Identified as African Descent]),FALSE)="","",
VLOOKUP($A620,YES_Reading_FLA[],COLUMN(YES_Reading_FLA[Self-Identified as African Descent]),FALSE)),
IF($J$2="Combined",
IFERROR(
IF(VLOOKUP($A620, YES_Reading_ELA[], COLUMN(YES_Reading_ELA[Self-Identified as African Descent]), FALSE)="", "",
VLOOKUP($A620,YES_Reading_ELA[],COLUMN(YES_Reading_ELA[Self-Identified as African Descent]),FALSE)),
IF(VLOOKUP($A620, YES_Reading_FLA[], COLUMN(YES_Reading_FLA[Self-Identified as African Descent]),FALSE)="", "", VLOOKUP($A620,YES_Reading_FLA[],COLUMN(YES_Reading_FLA[Self-Identified as African Descent]),FALSE))),""))),"")</f>
        <v/>
      </c>
      <c r="L620" s="73" t="str" cm="1">
        <f t="array" ref="L620">IFERROR(
IF($J$2="ELA",
IF(VLOOKUP($A620, YES_Reading_ELA[], COLUMN(YES_Reading_ELA[Self-Identified as Indigenous]), FALSE)="", "",
VLOOKUP($A620,YES_Reading_ELA[], COLUMN(YES_Reading_ELA[Self-Identified as Indigenous]), FALSE)),
IF($J$2="FLA",
IF(VLOOKUP($A620, YES_Reading_FLA[], COLUMN(YES_Reading_FLA[Self-Identified as Indigenous]),FALSE)="","",
VLOOKUP($A620,YES_Reading_FLA[],COLUMN(YES_Reading_FLA[Self-Identified as Indigenous]),FALSE)),
IF($J$2="Combined",
IFERROR(
IF(VLOOKUP($A620, YES_Reading_ELA[], COLUMN(YES_Reading_ELA[Self-Identified as Indigenous]), FALSE)="", "",
VLOOKUP($A620,YES_Reading_ELA[],COLUMN(YES_Reading_ELA[Self-Identified as Indigenous]),FALSE)),
IF(VLOOKUP($A620, YES_Reading_FLA[], COLUMN(YES_Reading_FLA[Self-Identified as Indigenous]),FALSE)="", "", VLOOKUP($A620,YES_Reading_FLA[],COLUMN(YES_Reading_FLA[Self-Identified as Indigenous]),FALSE))),""))),"")</f>
        <v/>
      </c>
    </row>
    <row r="621" spans="1:12" ht="19.5" customHeight="1" x14ac:dyDescent="0.25">
      <c r="A621" s="217"/>
      <c r="B621" s="220" t="str">
        <f>IFERROR(VLOOKUP(A621,_xlfn.VSTACK(YES_Reading_ELA[],YES_Reading_FLA[]),2,FALSE),"")</f>
        <v/>
      </c>
      <c r="C621" s="203" t="str" cm="1">
        <f t="array" aca="1" ref="C621" ca="1">IFERROR(
IF($J$2="ELA",
IF(VLOOKUP($A621, YES_Reading_ELA[], COLUMN(IF(VLOOKUP($D$2, 'Reading Report Logic'!$A$2:$B$8, 2, FALSE)=1, YES_Reading_ELA[Reading Level June of Previous School Year], INDIRECT("YES_Reading_ELA[Instructional Reading Level - Per "&amp;(VLOOKUP($D$2,'Reading Report Logic'!$A$2:$B$8,2,FALSE)-1)&amp;"]"))), FALSE)="", "",
VLOOKUP($A621,YES_Reading_ELA[], COLUMN(IF(VLOOKUP($D$2,'Reading Report Logic'!$A$2:$B$8,2,FALSE)=1, YES_Reading_ELA[Reading Level June of Previous School Year],INDIRECT("YES_Reading_ELA[Instructional Reading Level - Per "&amp;(VLOOKUP($D$2,'Reading Report Logic'!$A$2:$B$8,2,FALSE)-1)&amp;"]"))), FALSE)),
IF($J$2="FLA",
IF(VLOOKUP($A621, YES_Reading_FLA[], COLUMN(IF(VLOOKUP($D$2,'Reading Report Logic'!$A$2:$B$8,2,FALSE)=1, YES_Reading_FLA[Reading Level June of Previous School Year],INDIRECT("YES_Reading_FLA[Instructional Reading Level - Per "&amp;(VLOOKUP($D$2,'Reading Report Logic'!$A$2:$B$8,2,FALSE)-1)&amp;"]"))),FALSE)="","",
VLOOKUP($A621,YES_Reading_FLA[], COLUMN(IF(VLOOKUP($D$2,'Reading Report Logic'!$A$2:$B$8,2,FALSE)=1, YES_Reading_FLA[Reading Level June of Previous School Year],INDIRECT("YES_Reading_FLA[Instructional Reading Level - Per "&amp;(VLOOKUP($D$2,'Reading Report Logic'!$A$2:$B$8,2,FALSE)-1)&amp;"]"))),FALSE)),
IF($J$2="Combined",
IFERROR(
IF(VLOOKUP($A621, YES_Reading_ELA[], COLUMN(IF(VLOOKUP($D$2,'Reading Report Logic'!$A$2:$B$8,2,FALSE)=1, YES_Reading_ELA[Reading Level June of Previous School Year],INDIRECT("YES_Reading_ELA[Instructional Reading Level - Per "&amp;(VLOOKUP($D$2,'Reading Report Logic'!$A$2:$B$8,2,FALSE)-1)&amp;"]"))), FALSE)="", "",
VLOOKUP($A621,YES_Reading_ELA[],COLUMN(IF(VLOOKUP($D$2,'Reading Report Logic'!$A$2:$B$8,2,FALSE)=1, YES_Reading_ELA[Reading Level June of Previous School Year],INDIRECT("YES_Reading_ELA[Instructional Reading Level - Per "&amp;(VLOOKUP($D$2,'Reading Report Logic'!$A$2:$B$8,2,FALSE)-1)&amp;"]"))),FALSE)),
IF(VLOOKUP($A621, YES_Reading_FLA[], COLUMN(IF(VLOOKUP($D$2,'Reading Report Logic'!$A$2:$B$8,2,FALSE)=1, YES_Reading_FLA[Reading Level June of Previous School Year],INDIRECT("YES_Reading_FLA[Instructional Reading Level - Per "&amp;(VLOOKUP($D$2,'Reading Report Logic'!$A$2:$B$8,2,FALSE)-1)&amp;"]"))),FALSE)="", "", VLOOKUP($A621,YES_Reading_FLA[],COLUMN(IF(VLOOKUP($D$2,'Reading Report Logic'!$A$2:$B$8,2,FALSE)=1, YES_Reading_FLA[Reading Level June of Previous School Year],INDIRECT("YES_Reading_FLA[Instructional Reading Level - Per "&amp;(VLOOKUP($D$2,'Reading Report Logic'!$A$2:$B$8,2,FALSE)-1)&amp;"]"))), FALSE))),""))),"")</f>
        <v/>
      </c>
      <c r="D621" s="204" t="str" cm="1">
        <f t="array" aca="1" ref="D621" ca="1">IFERROR(
IF($J$2="ELA",
IF(VLOOKUP($A621, YES_Reading_ELA[], COLUMN(INDIRECT("YES_Reading_ELA[Instructional Reading Level - Per "&amp;VLOOKUP($D$2, 'Reading Report Logic'!$A$2:$B$8, 2, FALSE)&amp;"]")), FALSE)="", "",
VLOOKUP($A621,YES_Reading_ELA[], COLUMN(INDIRECT("YES_Reading_ELA[Instructional Reading Level - Per "&amp;VLOOKUP($D$2,'Reading Report Logic'!$A$2:$B$8,2,FALSE)&amp;"]")), FALSE)),
IF($J$2="FLA",
IF(VLOOKUP($A621, YES_Reading_FLA[], COLUMN(INDIRECT("YES_Reading_FLA[Instructional Reading Level - Per "&amp;VLOOKUP($D$2,'Reading Report Logic'!$A$2:$B$8,2,FALSE)&amp;"]")),FALSE)="","",
VLOOKUP($A621,YES_Reading_FLA[],COLUMN(INDIRECT("YES_Reading_FLA[Instructional Reading Level - Per "&amp;VLOOKUP($D$2,'Reading Report Logic'!$A$2:$B$8,2,FALSE)&amp;"]")),FALSE)),
IF($J$2="Combined",
IFERROR(
IF(VLOOKUP($A621, YES_Reading_ELA[], COLUMN(INDIRECT("YES_Reading_ELA[Instructional Reading Level - Per "&amp;VLOOKUP($D$2, 'Reading Report Logic'!$A$2:$B$8,2,FALSE)&amp;"]")), FALSE)="", "",
VLOOKUP($A621,YES_Reading_ELA[],COLUMN(INDIRECT("YES_Reading_ELA[Instructional Reading Level - Per "&amp;VLOOKUP($D$2,'Reading Report Logic'!$A$2:$B$8,2,FALSE)&amp;"]")),FALSE)),
IF(VLOOKUP($A621, YES_Reading_FLA[], COLUMN(INDIRECT("YES_Reading_FLA[Instructional Reading Level - Per "&amp;VLOOKUP($D$2, 'Reading Report Logic'!$A$2:$B$8, 2, FALSE)&amp;"]")),FALSE)="", "", VLOOKUP($A621,YES_Reading_FLA[],COLUMN(INDIRECT("YES_Reading_FLA[Instructional Reading Level - Per "&amp;VLOOKUP($D$2, 'Reading Report Logic'!$A$2:$B$8, 2, FALSE)&amp;"]")),FALSE))),""))),"")</f>
        <v/>
      </c>
      <c r="E621" s="205" t="str" cm="1">
        <f t="array" aca="1" ref="E621" ca="1">IFERROR(
IF($J$2="ELA",
IF(VLOOKUP($A621, YES_Reading_ELA[], COLUMN(INDIRECT("YES_Reading_ELA[Min Expectation - Per "&amp;VLOOKUP($D$2, 'Reading Report Logic'!$A$2:$B$8, 2, FALSE)&amp;"]")), FALSE)="", "",
VLOOKUP($A621,YES_Reading_ELA[], COLUMN(INDIRECT("YES_Reading_ELA[Min Expectation - Per "&amp;VLOOKUP($D$2,'Reading Report Logic'!$A$2:$B$8,2,FALSE)&amp;"]")), FALSE)),
IF($J$2="FLA",
IF(VLOOKUP($A621, YES_Reading_FLA[], COLUMN(INDIRECT("YES_Reading_FLA[Min Expectation - Per "&amp;VLOOKUP($D$2,'Reading Report Logic'!$A$2:$B$8,2,FALSE)&amp;"]")),FALSE)="","",
VLOOKUP($A621,YES_Reading_FLA[],COLUMN(INDIRECT("YES_Reading_FLA[Min Expectation - Per "&amp;VLOOKUP($D$2,'Reading Report Logic'!$A$2:$B$8,2,FALSE)&amp;"]")),FALSE)),
IF($J$2="Combined",
IFERROR(
IF(VLOOKUP($A621, YES_Reading_ELA[], COLUMN(INDIRECT("YES_Reading_ELA[Min Expectation - Per "&amp;VLOOKUP($D$2, 'Reading Report Logic'!$A$2:$B$8,2,FALSE)&amp;"]")), FALSE)="", "",
VLOOKUP($A621,YES_Reading_ELA[],COLUMN(INDIRECT("YES_Reading_ELA[Min Expectation - Per "&amp;VLOOKUP($D$2,'Reading Report Logic'!$A$2:$B$8,2,FALSE)&amp;"]")),FALSE)),
IF(VLOOKUP($A621, YES_Reading_FLA[], COLUMN(INDIRECT("YES_Reading_FLA[Min Expectation - Per "&amp;VLOOKUP($D$2, 'Reading Report Logic'!$A$2:$B$8, 2, FALSE)&amp;"]")),FALSE)="", "", VLOOKUP($A621,YES_Reading_FLA[],COLUMN(INDIRECT("YES_Reading_FLA[Min Expectation - Per "&amp;VLOOKUP($D$2, 'Reading Report Logic'!$A$2:$B$8, 2, FALSE)&amp;"]")),FALSE))),""))),"")</f>
        <v/>
      </c>
      <c r="F621" s="205" t="str" cm="1">
        <f t="array" aca="1" ref="F621" ca="1">IFERROR(
IF($J$2="ELA",
IF(VLOOKUP($A621, YES_Reading_ELA[], COLUMN(INDIRECT("YES_Reading_ELA[Max Expectation - Per "&amp;VLOOKUP($D$2, 'Reading Report Logic'!$A$2:$B$8, 2, FALSE)&amp;"]")), FALSE)="", "",
VLOOKUP($A621,YES_Reading_ELA[], COLUMN(INDIRECT("YES_Reading_ELA[Max Expectation - Per "&amp;VLOOKUP($D$2,'Reading Report Logic'!$A$2:$B$8,2,FALSE)&amp;"]")), FALSE)),
IF($J$2="FLA",
IF(VLOOKUP($A621, YES_Reading_FLA[], COLUMN(INDIRECT("YES_Reading_FLA[Max Expectation - Per "&amp;VLOOKUP($D$2,'Reading Report Logic'!$A$2:$B$8,2,FALSE)&amp;"]")),FALSE)="","",
VLOOKUP($A621,YES_Reading_FLA[],COLUMN(INDIRECT("YES_Reading_FLA[Max Expectation - Per "&amp;VLOOKUP($D$2,'Reading Report Logic'!$A$2:$B$8,2,FALSE)&amp;"]")),FALSE)),
IF($J$2="Combined",
IFERROR(
IF(VLOOKUP($A621, YES_Reading_ELA[], COLUMN(INDIRECT("YES_Reading_ELA[Max Expectation - Per "&amp;VLOOKUP($D$2, 'Reading Report Logic'!$A$2:$B$8,2,FALSE)&amp;"]")), FALSE)="", "",
VLOOKUP($A621,YES_Reading_ELA[],COLUMN(INDIRECT("YES_Reading_ELA[Max Expectation - Per "&amp;VLOOKUP($D$2,'Reading Report Logic'!$A$2:$B$8,2,FALSE)&amp;"]")),FALSE)),
IF(VLOOKUP($A621, YES_Reading_FLA[], COLUMN(INDIRECT("YES_Reading_FLA[Max Expectation - Per "&amp;VLOOKUP($D$2, 'Reading Report Logic'!$A$2:$B$8, 2, FALSE)&amp;"]")),FALSE)="", "", VLOOKUP($A621,YES_Reading_FLA[],COLUMN(INDIRECT("YES_Reading_FLA[Max Expectation - Per "&amp;VLOOKUP($D$2, 'Reading Report Logic'!$A$2:$B$8, 2, FALSE)&amp;"]")),FALSE))),""))),"")</f>
        <v/>
      </c>
      <c r="G621" s="205" t="str" cm="1">
        <f t="array" aca="1" ref="G621" ca="1">IFERROR(
IF($J$2="ELA",
IF(VLOOKUP($A621, YES_Reading_ELA[], COLUMN(INDIRECT("YES_Reading_ELA[Difference - Per "&amp;VLOOKUP($D$2, 'Reading Report Logic'!$A$2:$B$8, 2, FALSE)&amp;"]")), FALSE)="", "",
VLOOKUP($A621,YES_Reading_ELA[], COLUMN(INDIRECT("YES_Reading_ELA[Difference - Per "&amp;VLOOKUP($D$2,'Reading Report Logic'!$A$2:$B$8,2,FALSE)&amp;"]")), FALSE)),
IF($J$2="FLA",
IF(VLOOKUP($A621, YES_Reading_FLA[], COLUMN(INDIRECT("YES_Reading_FLA[Difference - Per "&amp;VLOOKUP($D$2,'Reading Report Logic'!$A$2:$B$8,2,FALSE)&amp;"]")),FALSE)="","",
VLOOKUP($A621,YES_Reading_FLA[],COLUMN(INDIRECT("YES_Reading_FLA[Difference - Per "&amp;VLOOKUP($D$2,'Reading Report Logic'!$A$2:$B$8,2,FALSE)&amp;"]")),FALSE)),
IF($J$2="Combined",
IFERROR(
IF(VLOOKUP($A621, YES_Reading_ELA[], COLUMN(INDIRECT("YES_Reading_ELA[Difference - Per "&amp;VLOOKUP($D$2, 'Reading Report Logic'!$A$2:$B$8,2,FALSE)&amp;"]")), FALSE)="", "",
VLOOKUP($A621,YES_Reading_ELA[],COLUMN(INDIRECT("YES_Reading_ELA[Difference - Per "&amp;VLOOKUP($D$2,'Reading Report Logic'!$A$2:$B$8,2,FALSE)&amp;"]")),FALSE)),
IF(VLOOKUP($A621, YES_Reading_FLA[], COLUMN(INDIRECT("YES_Reading_FLA[Difference - Per "&amp;VLOOKUP($D$2, 'Reading Report Logic'!$A$2:$B$8, 2, FALSE)&amp;"]")),FALSE)="", "", VLOOKUP($A621,YES_Reading_FLA[],COLUMN(INDIRECT("YES_Reading_FLA[Difference - Per "&amp;VLOOKUP($D$2, 'Reading Report Logic'!$A$2:$B$8, 2, FALSE)&amp;"]")),FALSE))),""))),"")</f>
        <v/>
      </c>
      <c r="H621" s="206" t="str">
        <f ca="1">IFERROR(VLOOKUP('Teacher Reading Pull Sheets'!$D621,_xlfn.VSTACK('ELA Reading Logic'!$A$22:$B$48,'FLA Reading Logic'!$A$22:$B$53),2,FALSE)-VLOOKUP('Teacher Reading Pull Sheets'!$C621,_xlfn.VSTACK('ELA Reading Logic'!$A$22:$B$48,'FLA Reading Logic'!$A$22:$B$53),2,FALSE),"")</f>
        <v/>
      </c>
      <c r="I621" s="212"/>
      <c r="J621" s="206"/>
      <c r="K621" s="197" t="str" cm="1">
        <f t="array" ref="K621">IFERROR(
IF($J$2="ELA",
IF(VLOOKUP($A621, YES_Reading_ELA[], COLUMN(YES_Reading_ELA[Self-Identified as African Descent]), FALSE)="", "",
VLOOKUP($A621,YES_Reading_ELA[], COLUMN(YES_Reading_ELA[Self-Identified as African Descent]), FALSE)),
IF($J$2="FLA",
IF(VLOOKUP($A621, YES_Reading_FLA[], COLUMN(YES_Reading_FLA[Self-Identified as African Descent]),FALSE)="","",
VLOOKUP($A621,YES_Reading_FLA[],COLUMN(YES_Reading_FLA[Self-Identified as African Descent]),FALSE)),
IF($J$2="Combined",
IFERROR(
IF(VLOOKUP($A621, YES_Reading_ELA[], COLUMN(YES_Reading_ELA[Self-Identified as African Descent]), FALSE)="", "",
VLOOKUP($A621,YES_Reading_ELA[],COLUMN(YES_Reading_ELA[Self-Identified as African Descent]),FALSE)),
IF(VLOOKUP($A621, YES_Reading_FLA[], COLUMN(YES_Reading_FLA[Self-Identified as African Descent]),FALSE)="", "", VLOOKUP($A621,YES_Reading_FLA[],COLUMN(YES_Reading_FLA[Self-Identified as African Descent]),FALSE))),""))),"")</f>
        <v/>
      </c>
      <c r="L621" s="73" t="str" cm="1">
        <f t="array" ref="L621">IFERROR(
IF($J$2="ELA",
IF(VLOOKUP($A621, YES_Reading_ELA[], COLUMN(YES_Reading_ELA[Self-Identified as Indigenous]), FALSE)="", "",
VLOOKUP($A621,YES_Reading_ELA[], COLUMN(YES_Reading_ELA[Self-Identified as Indigenous]), FALSE)),
IF($J$2="FLA",
IF(VLOOKUP($A621, YES_Reading_FLA[], COLUMN(YES_Reading_FLA[Self-Identified as Indigenous]),FALSE)="","",
VLOOKUP($A621,YES_Reading_FLA[],COLUMN(YES_Reading_FLA[Self-Identified as Indigenous]),FALSE)),
IF($J$2="Combined",
IFERROR(
IF(VLOOKUP($A621, YES_Reading_ELA[], COLUMN(YES_Reading_ELA[Self-Identified as Indigenous]), FALSE)="", "",
VLOOKUP($A621,YES_Reading_ELA[],COLUMN(YES_Reading_ELA[Self-Identified as Indigenous]),FALSE)),
IF(VLOOKUP($A621, YES_Reading_FLA[], COLUMN(YES_Reading_FLA[Self-Identified as Indigenous]),FALSE)="", "", VLOOKUP($A621,YES_Reading_FLA[],COLUMN(YES_Reading_FLA[Self-Identified as Indigenous]),FALSE))),""))),"")</f>
        <v/>
      </c>
    </row>
    <row r="622" spans="1:12" ht="19.5" customHeight="1" x14ac:dyDescent="0.25">
      <c r="A622" s="217"/>
      <c r="B622" s="220" t="str">
        <f>IFERROR(VLOOKUP(A622,_xlfn.VSTACK(YES_Reading_ELA[],YES_Reading_FLA[]),2,FALSE),"")</f>
        <v/>
      </c>
      <c r="C622" s="203" t="str" cm="1">
        <f t="array" aca="1" ref="C622" ca="1">IFERROR(
IF($J$2="ELA",
IF(VLOOKUP($A622, YES_Reading_ELA[], COLUMN(IF(VLOOKUP($D$2, 'Reading Report Logic'!$A$2:$B$8, 2, FALSE)=1, YES_Reading_ELA[Reading Level June of Previous School Year], INDIRECT("YES_Reading_ELA[Instructional Reading Level - Per "&amp;(VLOOKUP($D$2,'Reading Report Logic'!$A$2:$B$8,2,FALSE)-1)&amp;"]"))), FALSE)="", "",
VLOOKUP($A622,YES_Reading_ELA[], COLUMN(IF(VLOOKUP($D$2,'Reading Report Logic'!$A$2:$B$8,2,FALSE)=1, YES_Reading_ELA[Reading Level June of Previous School Year],INDIRECT("YES_Reading_ELA[Instructional Reading Level - Per "&amp;(VLOOKUP($D$2,'Reading Report Logic'!$A$2:$B$8,2,FALSE)-1)&amp;"]"))), FALSE)),
IF($J$2="FLA",
IF(VLOOKUP($A622, YES_Reading_FLA[], COLUMN(IF(VLOOKUP($D$2,'Reading Report Logic'!$A$2:$B$8,2,FALSE)=1, YES_Reading_FLA[Reading Level June of Previous School Year],INDIRECT("YES_Reading_FLA[Instructional Reading Level - Per "&amp;(VLOOKUP($D$2,'Reading Report Logic'!$A$2:$B$8,2,FALSE)-1)&amp;"]"))),FALSE)="","",
VLOOKUP($A622,YES_Reading_FLA[], COLUMN(IF(VLOOKUP($D$2,'Reading Report Logic'!$A$2:$B$8,2,FALSE)=1, YES_Reading_FLA[Reading Level June of Previous School Year],INDIRECT("YES_Reading_FLA[Instructional Reading Level - Per "&amp;(VLOOKUP($D$2,'Reading Report Logic'!$A$2:$B$8,2,FALSE)-1)&amp;"]"))),FALSE)),
IF($J$2="Combined",
IFERROR(
IF(VLOOKUP($A622, YES_Reading_ELA[], COLUMN(IF(VLOOKUP($D$2,'Reading Report Logic'!$A$2:$B$8,2,FALSE)=1, YES_Reading_ELA[Reading Level June of Previous School Year],INDIRECT("YES_Reading_ELA[Instructional Reading Level - Per "&amp;(VLOOKUP($D$2,'Reading Report Logic'!$A$2:$B$8,2,FALSE)-1)&amp;"]"))), FALSE)="", "",
VLOOKUP($A622,YES_Reading_ELA[],COLUMN(IF(VLOOKUP($D$2,'Reading Report Logic'!$A$2:$B$8,2,FALSE)=1, YES_Reading_ELA[Reading Level June of Previous School Year],INDIRECT("YES_Reading_ELA[Instructional Reading Level - Per "&amp;(VLOOKUP($D$2,'Reading Report Logic'!$A$2:$B$8,2,FALSE)-1)&amp;"]"))),FALSE)),
IF(VLOOKUP($A622, YES_Reading_FLA[], COLUMN(IF(VLOOKUP($D$2,'Reading Report Logic'!$A$2:$B$8,2,FALSE)=1, YES_Reading_FLA[Reading Level June of Previous School Year],INDIRECT("YES_Reading_FLA[Instructional Reading Level - Per "&amp;(VLOOKUP($D$2,'Reading Report Logic'!$A$2:$B$8,2,FALSE)-1)&amp;"]"))),FALSE)="", "", VLOOKUP($A622,YES_Reading_FLA[],COLUMN(IF(VLOOKUP($D$2,'Reading Report Logic'!$A$2:$B$8,2,FALSE)=1, YES_Reading_FLA[Reading Level June of Previous School Year],INDIRECT("YES_Reading_FLA[Instructional Reading Level - Per "&amp;(VLOOKUP($D$2,'Reading Report Logic'!$A$2:$B$8,2,FALSE)-1)&amp;"]"))), FALSE))),""))),"")</f>
        <v/>
      </c>
      <c r="D622" s="204" t="str" cm="1">
        <f t="array" aca="1" ref="D622" ca="1">IFERROR(
IF($J$2="ELA",
IF(VLOOKUP($A622, YES_Reading_ELA[], COLUMN(INDIRECT("YES_Reading_ELA[Instructional Reading Level - Per "&amp;VLOOKUP($D$2, 'Reading Report Logic'!$A$2:$B$8, 2, FALSE)&amp;"]")), FALSE)="", "",
VLOOKUP($A622,YES_Reading_ELA[], COLUMN(INDIRECT("YES_Reading_ELA[Instructional Reading Level - Per "&amp;VLOOKUP($D$2,'Reading Report Logic'!$A$2:$B$8,2,FALSE)&amp;"]")), FALSE)),
IF($J$2="FLA",
IF(VLOOKUP($A622, YES_Reading_FLA[], COLUMN(INDIRECT("YES_Reading_FLA[Instructional Reading Level - Per "&amp;VLOOKUP($D$2,'Reading Report Logic'!$A$2:$B$8,2,FALSE)&amp;"]")),FALSE)="","",
VLOOKUP($A622,YES_Reading_FLA[],COLUMN(INDIRECT("YES_Reading_FLA[Instructional Reading Level - Per "&amp;VLOOKUP($D$2,'Reading Report Logic'!$A$2:$B$8,2,FALSE)&amp;"]")),FALSE)),
IF($J$2="Combined",
IFERROR(
IF(VLOOKUP($A622, YES_Reading_ELA[], COLUMN(INDIRECT("YES_Reading_ELA[Instructional Reading Level - Per "&amp;VLOOKUP($D$2, 'Reading Report Logic'!$A$2:$B$8,2,FALSE)&amp;"]")), FALSE)="", "",
VLOOKUP($A622,YES_Reading_ELA[],COLUMN(INDIRECT("YES_Reading_ELA[Instructional Reading Level - Per "&amp;VLOOKUP($D$2,'Reading Report Logic'!$A$2:$B$8,2,FALSE)&amp;"]")),FALSE)),
IF(VLOOKUP($A622, YES_Reading_FLA[], COLUMN(INDIRECT("YES_Reading_FLA[Instructional Reading Level - Per "&amp;VLOOKUP($D$2, 'Reading Report Logic'!$A$2:$B$8, 2, FALSE)&amp;"]")),FALSE)="", "", VLOOKUP($A622,YES_Reading_FLA[],COLUMN(INDIRECT("YES_Reading_FLA[Instructional Reading Level - Per "&amp;VLOOKUP($D$2, 'Reading Report Logic'!$A$2:$B$8, 2, FALSE)&amp;"]")),FALSE))),""))),"")</f>
        <v/>
      </c>
      <c r="E622" s="205" t="str" cm="1">
        <f t="array" aca="1" ref="E622" ca="1">IFERROR(
IF($J$2="ELA",
IF(VLOOKUP($A622, YES_Reading_ELA[], COLUMN(INDIRECT("YES_Reading_ELA[Min Expectation - Per "&amp;VLOOKUP($D$2, 'Reading Report Logic'!$A$2:$B$8, 2, FALSE)&amp;"]")), FALSE)="", "",
VLOOKUP($A622,YES_Reading_ELA[], COLUMN(INDIRECT("YES_Reading_ELA[Min Expectation - Per "&amp;VLOOKUP($D$2,'Reading Report Logic'!$A$2:$B$8,2,FALSE)&amp;"]")), FALSE)),
IF($J$2="FLA",
IF(VLOOKUP($A622, YES_Reading_FLA[], COLUMN(INDIRECT("YES_Reading_FLA[Min Expectation - Per "&amp;VLOOKUP($D$2,'Reading Report Logic'!$A$2:$B$8,2,FALSE)&amp;"]")),FALSE)="","",
VLOOKUP($A622,YES_Reading_FLA[],COLUMN(INDIRECT("YES_Reading_FLA[Min Expectation - Per "&amp;VLOOKUP($D$2,'Reading Report Logic'!$A$2:$B$8,2,FALSE)&amp;"]")),FALSE)),
IF($J$2="Combined",
IFERROR(
IF(VLOOKUP($A622, YES_Reading_ELA[], COLUMN(INDIRECT("YES_Reading_ELA[Min Expectation - Per "&amp;VLOOKUP($D$2, 'Reading Report Logic'!$A$2:$B$8,2,FALSE)&amp;"]")), FALSE)="", "",
VLOOKUP($A622,YES_Reading_ELA[],COLUMN(INDIRECT("YES_Reading_ELA[Min Expectation - Per "&amp;VLOOKUP($D$2,'Reading Report Logic'!$A$2:$B$8,2,FALSE)&amp;"]")),FALSE)),
IF(VLOOKUP($A622, YES_Reading_FLA[], COLUMN(INDIRECT("YES_Reading_FLA[Min Expectation - Per "&amp;VLOOKUP($D$2, 'Reading Report Logic'!$A$2:$B$8, 2, FALSE)&amp;"]")),FALSE)="", "", VLOOKUP($A622,YES_Reading_FLA[],COLUMN(INDIRECT("YES_Reading_FLA[Min Expectation - Per "&amp;VLOOKUP($D$2, 'Reading Report Logic'!$A$2:$B$8, 2, FALSE)&amp;"]")),FALSE))),""))),"")</f>
        <v/>
      </c>
      <c r="F622" s="205" t="str" cm="1">
        <f t="array" aca="1" ref="F622" ca="1">IFERROR(
IF($J$2="ELA",
IF(VLOOKUP($A622, YES_Reading_ELA[], COLUMN(INDIRECT("YES_Reading_ELA[Max Expectation - Per "&amp;VLOOKUP($D$2, 'Reading Report Logic'!$A$2:$B$8, 2, FALSE)&amp;"]")), FALSE)="", "",
VLOOKUP($A622,YES_Reading_ELA[], COLUMN(INDIRECT("YES_Reading_ELA[Max Expectation - Per "&amp;VLOOKUP($D$2,'Reading Report Logic'!$A$2:$B$8,2,FALSE)&amp;"]")), FALSE)),
IF($J$2="FLA",
IF(VLOOKUP($A622, YES_Reading_FLA[], COLUMN(INDIRECT("YES_Reading_FLA[Max Expectation - Per "&amp;VLOOKUP($D$2,'Reading Report Logic'!$A$2:$B$8,2,FALSE)&amp;"]")),FALSE)="","",
VLOOKUP($A622,YES_Reading_FLA[],COLUMN(INDIRECT("YES_Reading_FLA[Max Expectation - Per "&amp;VLOOKUP($D$2,'Reading Report Logic'!$A$2:$B$8,2,FALSE)&amp;"]")),FALSE)),
IF($J$2="Combined",
IFERROR(
IF(VLOOKUP($A622, YES_Reading_ELA[], COLUMN(INDIRECT("YES_Reading_ELA[Max Expectation - Per "&amp;VLOOKUP($D$2, 'Reading Report Logic'!$A$2:$B$8,2,FALSE)&amp;"]")), FALSE)="", "",
VLOOKUP($A622,YES_Reading_ELA[],COLUMN(INDIRECT("YES_Reading_ELA[Max Expectation - Per "&amp;VLOOKUP($D$2,'Reading Report Logic'!$A$2:$B$8,2,FALSE)&amp;"]")),FALSE)),
IF(VLOOKUP($A622, YES_Reading_FLA[], COLUMN(INDIRECT("YES_Reading_FLA[Max Expectation - Per "&amp;VLOOKUP($D$2, 'Reading Report Logic'!$A$2:$B$8, 2, FALSE)&amp;"]")),FALSE)="", "", VLOOKUP($A622,YES_Reading_FLA[],COLUMN(INDIRECT("YES_Reading_FLA[Max Expectation - Per "&amp;VLOOKUP($D$2, 'Reading Report Logic'!$A$2:$B$8, 2, FALSE)&amp;"]")),FALSE))),""))),"")</f>
        <v/>
      </c>
      <c r="G622" s="205" t="str" cm="1">
        <f t="array" aca="1" ref="G622" ca="1">IFERROR(
IF($J$2="ELA",
IF(VLOOKUP($A622, YES_Reading_ELA[], COLUMN(INDIRECT("YES_Reading_ELA[Difference - Per "&amp;VLOOKUP($D$2, 'Reading Report Logic'!$A$2:$B$8, 2, FALSE)&amp;"]")), FALSE)="", "",
VLOOKUP($A622,YES_Reading_ELA[], COLUMN(INDIRECT("YES_Reading_ELA[Difference - Per "&amp;VLOOKUP($D$2,'Reading Report Logic'!$A$2:$B$8,2,FALSE)&amp;"]")), FALSE)),
IF($J$2="FLA",
IF(VLOOKUP($A622, YES_Reading_FLA[], COLUMN(INDIRECT("YES_Reading_FLA[Difference - Per "&amp;VLOOKUP($D$2,'Reading Report Logic'!$A$2:$B$8,2,FALSE)&amp;"]")),FALSE)="","",
VLOOKUP($A622,YES_Reading_FLA[],COLUMN(INDIRECT("YES_Reading_FLA[Difference - Per "&amp;VLOOKUP($D$2,'Reading Report Logic'!$A$2:$B$8,2,FALSE)&amp;"]")),FALSE)),
IF($J$2="Combined",
IFERROR(
IF(VLOOKUP($A622, YES_Reading_ELA[], COLUMN(INDIRECT("YES_Reading_ELA[Difference - Per "&amp;VLOOKUP($D$2, 'Reading Report Logic'!$A$2:$B$8,2,FALSE)&amp;"]")), FALSE)="", "",
VLOOKUP($A622,YES_Reading_ELA[],COLUMN(INDIRECT("YES_Reading_ELA[Difference - Per "&amp;VLOOKUP($D$2,'Reading Report Logic'!$A$2:$B$8,2,FALSE)&amp;"]")),FALSE)),
IF(VLOOKUP($A622, YES_Reading_FLA[], COLUMN(INDIRECT("YES_Reading_FLA[Difference - Per "&amp;VLOOKUP($D$2, 'Reading Report Logic'!$A$2:$B$8, 2, FALSE)&amp;"]")),FALSE)="", "", VLOOKUP($A622,YES_Reading_FLA[],COLUMN(INDIRECT("YES_Reading_FLA[Difference - Per "&amp;VLOOKUP($D$2, 'Reading Report Logic'!$A$2:$B$8, 2, FALSE)&amp;"]")),FALSE))),""))),"")</f>
        <v/>
      </c>
      <c r="H622" s="206" t="str">
        <f ca="1">IFERROR(VLOOKUP('Teacher Reading Pull Sheets'!$D622,_xlfn.VSTACK('ELA Reading Logic'!$A$22:$B$48,'FLA Reading Logic'!$A$22:$B$53),2,FALSE)-VLOOKUP('Teacher Reading Pull Sheets'!$C622,_xlfn.VSTACK('ELA Reading Logic'!$A$22:$B$48,'FLA Reading Logic'!$A$22:$B$53),2,FALSE),"")</f>
        <v/>
      </c>
      <c r="I622" s="212"/>
      <c r="J622" s="206"/>
      <c r="K622" s="197" t="str" cm="1">
        <f t="array" ref="K622">IFERROR(
IF($J$2="ELA",
IF(VLOOKUP($A622, YES_Reading_ELA[], COLUMN(YES_Reading_ELA[Self-Identified as African Descent]), FALSE)="", "",
VLOOKUP($A622,YES_Reading_ELA[], COLUMN(YES_Reading_ELA[Self-Identified as African Descent]), FALSE)),
IF($J$2="FLA",
IF(VLOOKUP($A622, YES_Reading_FLA[], COLUMN(YES_Reading_FLA[Self-Identified as African Descent]),FALSE)="","",
VLOOKUP($A622,YES_Reading_FLA[],COLUMN(YES_Reading_FLA[Self-Identified as African Descent]),FALSE)),
IF($J$2="Combined",
IFERROR(
IF(VLOOKUP($A622, YES_Reading_ELA[], COLUMN(YES_Reading_ELA[Self-Identified as African Descent]), FALSE)="", "",
VLOOKUP($A622,YES_Reading_ELA[],COLUMN(YES_Reading_ELA[Self-Identified as African Descent]),FALSE)),
IF(VLOOKUP($A622, YES_Reading_FLA[], COLUMN(YES_Reading_FLA[Self-Identified as African Descent]),FALSE)="", "", VLOOKUP($A622,YES_Reading_FLA[],COLUMN(YES_Reading_FLA[Self-Identified as African Descent]),FALSE))),""))),"")</f>
        <v/>
      </c>
      <c r="L622" s="73" t="str" cm="1">
        <f t="array" ref="L622">IFERROR(
IF($J$2="ELA",
IF(VLOOKUP($A622, YES_Reading_ELA[], COLUMN(YES_Reading_ELA[Self-Identified as Indigenous]), FALSE)="", "",
VLOOKUP($A622,YES_Reading_ELA[], COLUMN(YES_Reading_ELA[Self-Identified as Indigenous]), FALSE)),
IF($J$2="FLA",
IF(VLOOKUP($A622, YES_Reading_FLA[], COLUMN(YES_Reading_FLA[Self-Identified as Indigenous]),FALSE)="","",
VLOOKUP($A622,YES_Reading_FLA[],COLUMN(YES_Reading_FLA[Self-Identified as Indigenous]),FALSE)),
IF($J$2="Combined",
IFERROR(
IF(VLOOKUP($A622, YES_Reading_ELA[], COLUMN(YES_Reading_ELA[Self-Identified as Indigenous]), FALSE)="", "",
VLOOKUP($A622,YES_Reading_ELA[],COLUMN(YES_Reading_ELA[Self-Identified as Indigenous]),FALSE)),
IF(VLOOKUP($A622, YES_Reading_FLA[], COLUMN(YES_Reading_FLA[Self-Identified as Indigenous]),FALSE)="", "", VLOOKUP($A622,YES_Reading_FLA[],COLUMN(YES_Reading_FLA[Self-Identified as Indigenous]),FALSE))),""))),"")</f>
        <v/>
      </c>
    </row>
    <row r="623" spans="1:12" ht="19.5" customHeight="1" x14ac:dyDescent="0.25">
      <c r="A623" s="217"/>
      <c r="B623" s="220" t="str">
        <f>IFERROR(VLOOKUP(A623,_xlfn.VSTACK(YES_Reading_ELA[],YES_Reading_FLA[]),2,FALSE),"")</f>
        <v/>
      </c>
      <c r="C623" s="203" t="str" cm="1">
        <f t="array" aca="1" ref="C623" ca="1">IFERROR(
IF($J$2="ELA",
IF(VLOOKUP($A623, YES_Reading_ELA[], COLUMN(IF(VLOOKUP($D$2, 'Reading Report Logic'!$A$2:$B$8, 2, FALSE)=1, YES_Reading_ELA[Reading Level June of Previous School Year], INDIRECT("YES_Reading_ELA[Instructional Reading Level - Per "&amp;(VLOOKUP($D$2,'Reading Report Logic'!$A$2:$B$8,2,FALSE)-1)&amp;"]"))), FALSE)="", "",
VLOOKUP($A623,YES_Reading_ELA[], COLUMN(IF(VLOOKUP($D$2,'Reading Report Logic'!$A$2:$B$8,2,FALSE)=1, YES_Reading_ELA[Reading Level June of Previous School Year],INDIRECT("YES_Reading_ELA[Instructional Reading Level - Per "&amp;(VLOOKUP($D$2,'Reading Report Logic'!$A$2:$B$8,2,FALSE)-1)&amp;"]"))), FALSE)),
IF($J$2="FLA",
IF(VLOOKUP($A623, YES_Reading_FLA[], COLUMN(IF(VLOOKUP($D$2,'Reading Report Logic'!$A$2:$B$8,2,FALSE)=1, YES_Reading_FLA[Reading Level June of Previous School Year],INDIRECT("YES_Reading_FLA[Instructional Reading Level - Per "&amp;(VLOOKUP($D$2,'Reading Report Logic'!$A$2:$B$8,2,FALSE)-1)&amp;"]"))),FALSE)="","",
VLOOKUP($A623,YES_Reading_FLA[], COLUMN(IF(VLOOKUP($D$2,'Reading Report Logic'!$A$2:$B$8,2,FALSE)=1, YES_Reading_FLA[Reading Level June of Previous School Year],INDIRECT("YES_Reading_FLA[Instructional Reading Level - Per "&amp;(VLOOKUP($D$2,'Reading Report Logic'!$A$2:$B$8,2,FALSE)-1)&amp;"]"))),FALSE)),
IF($J$2="Combined",
IFERROR(
IF(VLOOKUP($A623, YES_Reading_ELA[], COLUMN(IF(VLOOKUP($D$2,'Reading Report Logic'!$A$2:$B$8,2,FALSE)=1, YES_Reading_ELA[Reading Level June of Previous School Year],INDIRECT("YES_Reading_ELA[Instructional Reading Level - Per "&amp;(VLOOKUP($D$2,'Reading Report Logic'!$A$2:$B$8,2,FALSE)-1)&amp;"]"))), FALSE)="", "",
VLOOKUP($A623,YES_Reading_ELA[],COLUMN(IF(VLOOKUP($D$2,'Reading Report Logic'!$A$2:$B$8,2,FALSE)=1, YES_Reading_ELA[Reading Level June of Previous School Year],INDIRECT("YES_Reading_ELA[Instructional Reading Level - Per "&amp;(VLOOKUP($D$2,'Reading Report Logic'!$A$2:$B$8,2,FALSE)-1)&amp;"]"))),FALSE)),
IF(VLOOKUP($A623, YES_Reading_FLA[], COLUMN(IF(VLOOKUP($D$2,'Reading Report Logic'!$A$2:$B$8,2,FALSE)=1, YES_Reading_FLA[Reading Level June of Previous School Year],INDIRECT("YES_Reading_FLA[Instructional Reading Level - Per "&amp;(VLOOKUP($D$2,'Reading Report Logic'!$A$2:$B$8,2,FALSE)-1)&amp;"]"))),FALSE)="", "", VLOOKUP($A623,YES_Reading_FLA[],COLUMN(IF(VLOOKUP($D$2,'Reading Report Logic'!$A$2:$B$8,2,FALSE)=1, YES_Reading_FLA[Reading Level June of Previous School Year],INDIRECT("YES_Reading_FLA[Instructional Reading Level - Per "&amp;(VLOOKUP($D$2,'Reading Report Logic'!$A$2:$B$8,2,FALSE)-1)&amp;"]"))), FALSE))),""))),"")</f>
        <v/>
      </c>
      <c r="D623" s="204" t="str" cm="1">
        <f t="array" aca="1" ref="D623" ca="1">IFERROR(
IF($J$2="ELA",
IF(VLOOKUP($A623, YES_Reading_ELA[], COLUMN(INDIRECT("YES_Reading_ELA[Instructional Reading Level - Per "&amp;VLOOKUP($D$2, 'Reading Report Logic'!$A$2:$B$8, 2, FALSE)&amp;"]")), FALSE)="", "",
VLOOKUP($A623,YES_Reading_ELA[], COLUMN(INDIRECT("YES_Reading_ELA[Instructional Reading Level - Per "&amp;VLOOKUP($D$2,'Reading Report Logic'!$A$2:$B$8,2,FALSE)&amp;"]")), FALSE)),
IF($J$2="FLA",
IF(VLOOKUP($A623, YES_Reading_FLA[], COLUMN(INDIRECT("YES_Reading_FLA[Instructional Reading Level - Per "&amp;VLOOKUP($D$2,'Reading Report Logic'!$A$2:$B$8,2,FALSE)&amp;"]")),FALSE)="","",
VLOOKUP($A623,YES_Reading_FLA[],COLUMN(INDIRECT("YES_Reading_FLA[Instructional Reading Level - Per "&amp;VLOOKUP($D$2,'Reading Report Logic'!$A$2:$B$8,2,FALSE)&amp;"]")),FALSE)),
IF($J$2="Combined",
IFERROR(
IF(VLOOKUP($A623, YES_Reading_ELA[], COLUMN(INDIRECT("YES_Reading_ELA[Instructional Reading Level - Per "&amp;VLOOKUP($D$2, 'Reading Report Logic'!$A$2:$B$8,2,FALSE)&amp;"]")), FALSE)="", "",
VLOOKUP($A623,YES_Reading_ELA[],COLUMN(INDIRECT("YES_Reading_ELA[Instructional Reading Level - Per "&amp;VLOOKUP($D$2,'Reading Report Logic'!$A$2:$B$8,2,FALSE)&amp;"]")),FALSE)),
IF(VLOOKUP($A623, YES_Reading_FLA[], COLUMN(INDIRECT("YES_Reading_FLA[Instructional Reading Level - Per "&amp;VLOOKUP($D$2, 'Reading Report Logic'!$A$2:$B$8, 2, FALSE)&amp;"]")),FALSE)="", "", VLOOKUP($A623,YES_Reading_FLA[],COLUMN(INDIRECT("YES_Reading_FLA[Instructional Reading Level - Per "&amp;VLOOKUP($D$2, 'Reading Report Logic'!$A$2:$B$8, 2, FALSE)&amp;"]")),FALSE))),""))),"")</f>
        <v/>
      </c>
      <c r="E623" s="205" t="str" cm="1">
        <f t="array" aca="1" ref="E623" ca="1">IFERROR(
IF($J$2="ELA",
IF(VLOOKUP($A623, YES_Reading_ELA[], COLUMN(INDIRECT("YES_Reading_ELA[Min Expectation - Per "&amp;VLOOKUP($D$2, 'Reading Report Logic'!$A$2:$B$8, 2, FALSE)&amp;"]")), FALSE)="", "",
VLOOKUP($A623,YES_Reading_ELA[], COLUMN(INDIRECT("YES_Reading_ELA[Min Expectation - Per "&amp;VLOOKUP($D$2,'Reading Report Logic'!$A$2:$B$8,2,FALSE)&amp;"]")), FALSE)),
IF($J$2="FLA",
IF(VLOOKUP($A623, YES_Reading_FLA[], COLUMN(INDIRECT("YES_Reading_FLA[Min Expectation - Per "&amp;VLOOKUP($D$2,'Reading Report Logic'!$A$2:$B$8,2,FALSE)&amp;"]")),FALSE)="","",
VLOOKUP($A623,YES_Reading_FLA[],COLUMN(INDIRECT("YES_Reading_FLA[Min Expectation - Per "&amp;VLOOKUP($D$2,'Reading Report Logic'!$A$2:$B$8,2,FALSE)&amp;"]")),FALSE)),
IF($J$2="Combined",
IFERROR(
IF(VLOOKUP($A623, YES_Reading_ELA[], COLUMN(INDIRECT("YES_Reading_ELA[Min Expectation - Per "&amp;VLOOKUP($D$2, 'Reading Report Logic'!$A$2:$B$8,2,FALSE)&amp;"]")), FALSE)="", "",
VLOOKUP($A623,YES_Reading_ELA[],COLUMN(INDIRECT("YES_Reading_ELA[Min Expectation - Per "&amp;VLOOKUP($D$2,'Reading Report Logic'!$A$2:$B$8,2,FALSE)&amp;"]")),FALSE)),
IF(VLOOKUP($A623, YES_Reading_FLA[], COLUMN(INDIRECT("YES_Reading_FLA[Min Expectation - Per "&amp;VLOOKUP($D$2, 'Reading Report Logic'!$A$2:$B$8, 2, FALSE)&amp;"]")),FALSE)="", "", VLOOKUP($A623,YES_Reading_FLA[],COLUMN(INDIRECT("YES_Reading_FLA[Min Expectation - Per "&amp;VLOOKUP($D$2, 'Reading Report Logic'!$A$2:$B$8, 2, FALSE)&amp;"]")),FALSE))),""))),"")</f>
        <v/>
      </c>
      <c r="F623" s="205" t="str" cm="1">
        <f t="array" aca="1" ref="F623" ca="1">IFERROR(
IF($J$2="ELA",
IF(VLOOKUP($A623, YES_Reading_ELA[], COLUMN(INDIRECT("YES_Reading_ELA[Max Expectation - Per "&amp;VLOOKUP($D$2, 'Reading Report Logic'!$A$2:$B$8, 2, FALSE)&amp;"]")), FALSE)="", "",
VLOOKUP($A623,YES_Reading_ELA[], COLUMN(INDIRECT("YES_Reading_ELA[Max Expectation - Per "&amp;VLOOKUP($D$2,'Reading Report Logic'!$A$2:$B$8,2,FALSE)&amp;"]")), FALSE)),
IF($J$2="FLA",
IF(VLOOKUP($A623, YES_Reading_FLA[], COLUMN(INDIRECT("YES_Reading_FLA[Max Expectation - Per "&amp;VLOOKUP($D$2,'Reading Report Logic'!$A$2:$B$8,2,FALSE)&amp;"]")),FALSE)="","",
VLOOKUP($A623,YES_Reading_FLA[],COLUMN(INDIRECT("YES_Reading_FLA[Max Expectation - Per "&amp;VLOOKUP($D$2,'Reading Report Logic'!$A$2:$B$8,2,FALSE)&amp;"]")),FALSE)),
IF($J$2="Combined",
IFERROR(
IF(VLOOKUP($A623, YES_Reading_ELA[], COLUMN(INDIRECT("YES_Reading_ELA[Max Expectation - Per "&amp;VLOOKUP($D$2, 'Reading Report Logic'!$A$2:$B$8,2,FALSE)&amp;"]")), FALSE)="", "",
VLOOKUP($A623,YES_Reading_ELA[],COLUMN(INDIRECT("YES_Reading_ELA[Max Expectation - Per "&amp;VLOOKUP($D$2,'Reading Report Logic'!$A$2:$B$8,2,FALSE)&amp;"]")),FALSE)),
IF(VLOOKUP($A623, YES_Reading_FLA[], COLUMN(INDIRECT("YES_Reading_FLA[Max Expectation - Per "&amp;VLOOKUP($D$2, 'Reading Report Logic'!$A$2:$B$8, 2, FALSE)&amp;"]")),FALSE)="", "", VLOOKUP($A623,YES_Reading_FLA[],COLUMN(INDIRECT("YES_Reading_FLA[Max Expectation - Per "&amp;VLOOKUP($D$2, 'Reading Report Logic'!$A$2:$B$8, 2, FALSE)&amp;"]")),FALSE))),""))),"")</f>
        <v/>
      </c>
      <c r="G623" s="205" t="str" cm="1">
        <f t="array" aca="1" ref="G623" ca="1">IFERROR(
IF($J$2="ELA",
IF(VLOOKUP($A623, YES_Reading_ELA[], COLUMN(INDIRECT("YES_Reading_ELA[Difference - Per "&amp;VLOOKUP($D$2, 'Reading Report Logic'!$A$2:$B$8, 2, FALSE)&amp;"]")), FALSE)="", "",
VLOOKUP($A623,YES_Reading_ELA[], COLUMN(INDIRECT("YES_Reading_ELA[Difference - Per "&amp;VLOOKUP($D$2,'Reading Report Logic'!$A$2:$B$8,2,FALSE)&amp;"]")), FALSE)),
IF($J$2="FLA",
IF(VLOOKUP($A623, YES_Reading_FLA[], COLUMN(INDIRECT("YES_Reading_FLA[Difference - Per "&amp;VLOOKUP($D$2,'Reading Report Logic'!$A$2:$B$8,2,FALSE)&amp;"]")),FALSE)="","",
VLOOKUP($A623,YES_Reading_FLA[],COLUMN(INDIRECT("YES_Reading_FLA[Difference - Per "&amp;VLOOKUP($D$2,'Reading Report Logic'!$A$2:$B$8,2,FALSE)&amp;"]")),FALSE)),
IF($J$2="Combined",
IFERROR(
IF(VLOOKUP($A623, YES_Reading_ELA[], COLUMN(INDIRECT("YES_Reading_ELA[Difference - Per "&amp;VLOOKUP($D$2, 'Reading Report Logic'!$A$2:$B$8,2,FALSE)&amp;"]")), FALSE)="", "",
VLOOKUP($A623,YES_Reading_ELA[],COLUMN(INDIRECT("YES_Reading_ELA[Difference - Per "&amp;VLOOKUP($D$2,'Reading Report Logic'!$A$2:$B$8,2,FALSE)&amp;"]")),FALSE)),
IF(VLOOKUP($A623, YES_Reading_FLA[], COLUMN(INDIRECT("YES_Reading_FLA[Difference - Per "&amp;VLOOKUP($D$2, 'Reading Report Logic'!$A$2:$B$8, 2, FALSE)&amp;"]")),FALSE)="", "", VLOOKUP($A623,YES_Reading_FLA[],COLUMN(INDIRECT("YES_Reading_FLA[Difference - Per "&amp;VLOOKUP($D$2, 'Reading Report Logic'!$A$2:$B$8, 2, FALSE)&amp;"]")),FALSE))),""))),"")</f>
        <v/>
      </c>
      <c r="H623" s="206" t="str">
        <f ca="1">IFERROR(VLOOKUP('Teacher Reading Pull Sheets'!$D623,_xlfn.VSTACK('ELA Reading Logic'!$A$22:$B$48,'FLA Reading Logic'!$A$22:$B$53),2,FALSE)-VLOOKUP('Teacher Reading Pull Sheets'!$C623,_xlfn.VSTACK('ELA Reading Logic'!$A$22:$B$48,'FLA Reading Logic'!$A$22:$B$53),2,FALSE),"")</f>
        <v/>
      </c>
      <c r="I623" s="212"/>
      <c r="J623" s="206"/>
      <c r="K623" s="197" t="str" cm="1">
        <f t="array" ref="K623">IFERROR(
IF($J$2="ELA",
IF(VLOOKUP($A623, YES_Reading_ELA[], COLUMN(YES_Reading_ELA[Self-Identified as African Descent]), FALSE)="", "",
VLOOKUP($A623,YES_Reading_ELA[], COLUMN(YES_Reading_ELA[Self-Identified as African Descent]), FALSE)),
IF($J$2="FLA",
IF(VLOOKUP($A623, YES_Reading_FLA[], COLUMN(YES_Reading_FLA[Self-Identified as African Descent]),FALSE)="","",
VLOOKUP($A623,YES_Reading_FLA[],COLUMN(YES_Reading_FLA[Self-Identified as African Descent]),FALSE)),
IF($J$2="Combined",
IFERROR(
IF(VLOOKUP($A623, YES_Reading_ELA[], COLUMN(YES_Reading_ELA[Self-Identified as African Descent]), FALSE)="", "",
VLOOKUP($A623,YES_Reading_ELA[],COLUMN(YES_Reading_ELA[Self-Identified as African Descent]),FALSE)),
IF(VLOOKUP($A623, YES_Reading_FLA[], COLUMN(YES_Reading_FLA[Self-Identified as African Descent]),FALSE)="", "", VLOOKUP($A623,YES_Reading_FLA[],COLUMN(YES_Reading_FLA[Self-Identified as African Descent]),FALSE))),""))),"")</f>
        <v/>
      </c>
      <c r="L623" s="73" t="str" cm="1">
        <f t="array" ref="L623">IFERROR(
IF($J$2="ELA",
IF(VLOOKUP($A623, YES_Reading_ELA[], COLUMN(YES_Reading_ELA[Self-Identified as Indigenous]), FALSE)="", "",
VLOOKUP($A623,YES_Reading_ELA[], COLUMN(YES_Reading_ELA[Self-Identified as Indigenous]), FALSE)),
IF($J$2="FLA",
IF(VLOOKUP($A623, YES_Reading_FLA[], COLUMN(YES_Reading_FLA[Self-Identified as Indigenous]),FALSE)="","",
VLOOKUP($A623,YES_Reading_FLA[],COLUMN(YES_Reading_FLA[Self-Identified as Indigenous]),FALSE)),
IF($J$2="Combined",
IFERROR(
IF(VLOOKUP($A623, YES_Reading_ELA[], COLUMN(YES_Reading_ELA[Self-Identified as Indigenous]), FALSE)="", "",
VLOOKUP($A623,YES_Reading_ELA[],COLUMN(YES_Reading_ELA[Self-Identified as Indigenous]),FALSE)),
IF(VLOOKUP($A623, YES_Reading_FLA[], COLUMN(YES_Reading_FLA[Self-Identified as Indigenous]),FALSE)="", "", VLOOKUP($A623,YES_Reading_FLA[],COLUMN(YES_Reading_FLA[Self-Identified as Indigenous]),FALSE))),""))),"")</f>
        <v/>
      </c>
    </row>
    <row r="624" spans="1:12" ht="19.5" customHeight="1" x14ac:dyDescent="0.25">
      <c r="A624" s="217"/>
      <c r="B624" s="220" t="str">
        <f>IFERROR(VLOOKUP(A624,_xlfn.VSTACK(YES_Reading_ELA[],YES_Reading_FLA[]),2,FALSE),"")</f>
        <v/>
      </c>
      <c r="C624" s="203" t="str" cm="1">
        <f t="array" aca="1" ref="C624" ca="1">IFERROR(
IF($J$2="ELA",
IF(VLOOKUP($A624, YES_Reading_ELA[], COLUMN(IF(VLOOKUP($D$2, 'Reading Report Logic'!$A$2:$B$8, 2, FALSE)=1, YES_Reading_ELA[Reading Level June of Previous School Year], INDIRECT("YES_Reading_ELA[Instructional Reading Level - Per "&amp;(VLOOKUP($D$2,'Reading Report Logic'!$A$2:$B$8,2,FALSE)-1)&amp;"]"))), FALSE)="", "",
VLOOKUP($A624,YES_Reading_ELA[], COLUMN(IF(VLOOKUP($D$2,'Reading Report Logic'!$A$2:$B$8,2,FALSE)=1, YES_Reading_ELA[Reading Level June of Previous School Year],INDIRECT("YES_Reading_ELA[Instructional Reading Level - Per "&amp;(VLOOKUP($D$2,'Reading Report Logic'!$A$2:$B$8,2,FALSE)-1)&amp;"]"))), FALSE)),
IF($J$2="FLA",
IF(VLOOKUP($A624, YES_Reading_FLA[], COLUMN(IF(VLOOKUP($D$2,'Reading Report Logic'!$A$2:$B$8,2,FALSE)=1, YES_Reading_FLA[Reading Level June of Previous School Year],INDIRECT("YES_Reading_FLA[Instructional Reading Level - Per "&amp;(VLOOKUP($D$2,'Reading Report Logic'!$A$2:$B$8,2,FALSE)-1)&amp;"]"))),FALSE)="","",
VLOOKUP($A624,YES_Reading_FLA[], COLUMN(IF(VLOOKUP($D$2,'Reading Report Logic'!$A$2:$B$8,2,FALSE)=1, YES_Reading_FLA[Reading Level June of Previous School Year],INDIRECT("YES_Reading_FLA[Instructional Reading Level - Per "&amp;(VLOOKUP($D$2,'Reading Report Logic'!$A$2:$B$8,2,FALSE)-1)&amp;"]"))),FALSE)),
IF($J$2="Combined",
IFERROR(
IF(VLOOKUP($A624, YES_Reading_ELA[], COLUMN(IF(VLOOKUP($D$2,'Reading Report Logic'!$A$2:$B$8,2,FALSE)=1, YES_Reading_ELA[Reading Level June of Previous School Year],INDIRECT("YES_Reading_ELA[Instructional Reading Level - Per "&amp;(VLOOKUP($D$2,'Reading Report Logic'!$A$2:$B$8,2,FALSE)-1)&amp;"]"))), FALSE)="", "",
VLOOKUP($A624,YES_Reading_ELA[],COLUMN(IF(VLOOKUP($D$2,'Reading Report Logic'!$A$2:$B$8,2,FALSE)=1, YES_Reading_ELA[Reading Level June of Previous School Year],INDIRECT("YES_Reading_ELA[Instructional Reading Level - Per "&amp;(VLOOKUP($D$2,'Reading Report Logic'!$A$2:$B$8,2,FALSE)-1)&amp;"]"))),FALSE)),
IF(VLOOKUP($A624, YES_Reading_FLA[], COLUMN(IF(VLOOKUP($D$2,'Reading Report Logic'!$A$2:$B$8,2,FALSE)=1, YES_Reading_FLA[Reading Level June of Previous School Year],INDIRECT("YES_Reading_FLA[Instructional Reading Level - Per "&amp;(VLOOKUP($D$2,'Reading Report Logic'!$A$2:$B$8,2,FALSE)-1)&amp;"]"))),FALSE)="", "", VLOOKUP($A624,YES_Reading_FLA[],COLUMN(IF(VLOOKUP($D$2,'Reading Report Logic'!$A$2:$B$8,2,FALSE)=1, YES_Reading_FLA[Reading Level June of Previous School Year],INDIRECT("YES_Reading_FLA[Instructional Reading Level - Per "&amp;(VLOOKUP($D$2,'Reading Report Logic'!$A$2:$B$8,2,FALSE)-1)&amp;"]"))), FALSE))),""))),"")</f>
        <v/>
      </c>
      <c r="D624" s="204" t="str" cm="1">
        <f t="array" aca="1" ref="D624" ca="1">IFERROR(
IF($J$2="ELA",
IF(VLOOKUP($A624, YES_Reading_ELA[], COLUMN(INDIRECT("YES_Reading_ELA[Instructional Reading Level - Per "&amp;VLOOKUP($D$2, 'Reading Report Logic'!$A$2:$B$8, 2, FALSE)&amp;"]")), FALSE)="", "",
VLOOKUP($A624,YES_Reading_ELA[], COLUMN(INDIRECT("YES_Reading_ELA[Instructional Reading Level - Per "&amp;VLOOKUP($D$2,'Reading Report Logic'!$A$2:$B$8,2,FALSE)&amp;"]")), FALSE)),
IF($J$2="FLA",
IF(VLOOKUP($A624, YES_Reading_FLA[], COLUMN(INDIRECT("YES_Reading_FLA[Instructional Reading Level - Per "&amp;VLOOKUP($D$2,'Reading Report Logic'!$A$2:$B$8,2,FALSE)&amp;"]")),FALSE)="","",
VLOOKUP($A624,YES_Reading_FLA[],COLUMN(INDIRECT("YES_Reading_FLA[Instructional Reading Level - Per "&amp;VLOOKUP($D$2,'Reading Report Logic'!$A$2:$B$8,2,FALSE)&amp;"]")),FALSE)),
IF($J$2="Combined",
IFERROR(
IF(VLOOKUP($A624, YES_Reading_ELA[], COLUMN(INDIRECT("YES_Reading_ELA[Instructional Reading Level - Per "&amp;VLOOKUP($D$2, 'Reading Report Logic'!$A$2:$B$8,2,FALSE)&amp;"]")), FALSE)="", "",
VLOOKUP($A624,YES_Reading_ELA[],COLUMN(INDIRECT("YES_Reading_ELA[Instructional Reading Level - Per "&amp;VLOOKUP($D$2,'Reading Report Logic'!$A$2:$B$8,2,FALSE)&amp;"]")),FALSE)),
IF(VLOOKUP($A624, YES_Reading_FLA[], COLUMN(INDIRECT("YES_Reading_FLA[Instructional Reading Level - Per "&amp;VLOOKUP($D$2, 'Reading Report Logic'!$A$2:$B$8, 2, FALSE)&amp;"]")),FALSE)="", "", VLOOKUP($A624,YES_Reading_FLA[],COLUMN(INDIRECT("YES_Reading_FLA[Instructional Reading Level - Per "&amp;VLOOKUP($D$2, 'Reading Report Logic'!$A$2:$B$8, 2, FALSE)&amp;"]")),FALSE))),""))),"")</f>
        <v/>
      </c>
      <c r="E624" s="205" t="str" cm="1">
        <f t="array" aca="1" ref="E624" ca="1">IFERROR(
IF($J$2="ELA",
IF(VLOOKUP($A624, YES_Reading_ELA[], COLUMN(INDIRECT("YES_Reading_ELA[Min Expectation - Per "&amp;VLOOKUP($D$2, 'Reading Report Logic'!$A$2:$B$8, 2, FALSE)&amp;"]")), FALSE)="", "",
VLOOKUP($A624,YES_Reading_ELA[], COLUMN(INDIRECT("YES_Reading_ELA[Min Expectation - Per "&amp;VLOOKUP($D$2,'Reading Report Logic'!$A$2:$B$8,2,FALSE)&amp;"]")), FALSE)),
IF($J$2="FLA",
IF(VLOOKUP($A624, YES_Reading_FLA[], COLUMN(INDIRECT("YES_Reading_FLA[Min Expectation - Per "&amp;VLOOKUP($D$2,'Reading Report Logic'!$A$2:$B$8,2,FALSE)&amp;"]")),FALSE)="","",
VLOOKUP($A624,YES_Reading_FLA[],COLUMN(INDIRECT("YES_Reading_FLA[Min Expectation - Per "&amp;VLOOKUP($D$2,'Reading Report Logic'!$A$2:$B$8,2,FALSE)&amp;"]")),FALSE)),
IF($J$2="Combined",
IFERROR(
IF(VLOOKUP($A624, YES_Reading_ELA[], COLUMN(INDIRECT("YES_Reading_ELA[Min Expectation - Per "&amp;VLOOKUP($D$2, 'Reading Report Logic'!$A$2:$B$8,2,FALSE)&amp;"]")), FALSE)="", "",
VLOOKUP($A624,YES_Reading_ELA[],COLUMN(INDIRECT("YES_Reading_ELA[Min Expectation - Per "&amp;VLOOKUP($D$2,'Reading Report Logic'!$A$2:$B$8,2,FALSE)&amp;"]")),FALSE)),
IF(VLOOKUP($A624, YES_Reading_FLA[], COLUMN(INDIRECT("YES_Reading_FLA[Min Expectation - Per "&amp;VLOOKUP($D$2, 'Reading Report Logic'!$A$2:$B$8, 2, FALSE)&amp;"]")),FALSE)="", "", VLOOKUP($A624,YES_Reading_FLA[],COLUMN(INDIRECT("YES_Reading_FLA[Min Expectation - Per "&amp;VLOOKUP($D$2, 'Reading Report Logic'!$A$2:$B$8, 2, FALSE)&amp;"]")),FALSE))),""))),"")</f>
        <v/>
      </c>
      <c r="F624" s="205" t="str" cm="1">
        <f t="array" aca="1" ref="F624" ca="1">IFERROR(
IF($J$2="ELA",
IF(VLOOKUP($A624, YES_Reading_ELA[], COLUMN(INDIRECT("YES_Reading_ELA[Max Expectation - Per "&amp;VLOOKUP($D$2, 'Reading Report Logic'!$A$2:$B$8, 2, FALSE)&amp;"]")), FALSE)="", "",
VLOOKUP($A624,YES_Reading_ELA[], COLUMN(INDIRECT("YES_Reading_ELA[Max Expectation - Per "&amp;VLOOKUP($D$2,'Reading Report Logic'!$A$2:$B$8,2,FALSE)&amp;"]")), FALSE)),
IF($J$2="FLA",
IF(VLOOKUP($A624, YES_Reading_FLA[], COLUMN(INDIRECT("YES_Reading_FLA[Max Expectation - Per "&amp;VLOOKUP($D$2,'Reading Report Logic'!$A$2:$B$8,2,FALSE)&amp;"]")),FALSE)="","",
VLOOKUP($A624,YES_Reading_FLA[],COLUMN(INDIRECT("YES_Reading_FLA[Max Expectation - Per "&amp;VLOOKUP($D$2,'Reading Report Logic'!$A$2:$B$8,2,FALSE)&amp;"]")),FALSE)),
IF($J$2="Combined",
IFERROR(
IF(VLOOKUP($A624, YES_Reading_ELA[], COLUMN(INDIRECT("YES_Reading_ELA[Max Expectation - Per "&amp;VLOOKUP($D$2, 'Reading Report Logic'!$A$2:$B$8,2,FALSE)&amp;"]")), FALSE)="", "",
VLOOKUP($A624,YES_Reading_ELA[],COLUMN(INDIRECT("YES_Reading_ELA[Max Expectation - Per "&amp;VLOOKUP($D$2,'Reading Report Logic'!$A$2:$B$8,2,FALSE)&amp;"]")),FALSE)),
IF(VLOOKUP($A624, YES_Reading_FLA[], COLUMN(INDIRECT("YES_Reading_FLA[Max Expectation - Per "&amp;VLOOKUP($D$2, 'Reading Report Logic'!$A$2:$B$8, 2, FALSE)&amp;"]")),FALSE)="", "", VLOOKUP($A624,YES_Reading_FLA[],COLUMN(INDIRECT("YES_Reading_FLA[Max Expectation - Per "&amp;VLOOKUP($D$2, 'Reading Report Logic'!$A$2:$B$8, 2, FALSE)&amp;"]")),FALSE))),""))),"")</f>
        <v/>
      </c>
      <c r="G624" s="205" t="str" cm="1">
        <f t="array" aca="1" ref="G624" ca="1">IFERROR(
IF($J$2="ELA",
IF(VLOOKUP($A624, YES_Reading_ELA[], COLUMN(INDIRECT("YES_Reading_ELA[Difference - Per "&amp;VLOOKUP($D$2, 'Reading Report Logic'!$A$2:$B$8, 2, FALSE)&amp;"]")), FALSE)="", "",
VLOOKUP($A624,YES_Reading_ELA[], COLUMN(INDIRECT("YES_Reading_ELA[Difference - Per "&amp;VLOOKUP($D$2,'Reading Report Logic'!$A$2:$B$8,2,FALSE)&amp;"]")), FALSE)),
IF($J$2="FLA",
IF(VLOOKUP($A624, YES_Reading_FLA[], COLUMN(INDIRECT("YES_Reading_FLA[Difference - Per "&amp;VLOOKUP($D$2,'Reading Report Logic'!$A$2:$B$8,2,FALSE)&amp;"]")),FALSE)="","",
VLOOKUP($A624,YES_Reading_FLA[],COLUMN(INDIRECT("YES_Reading_FLA[Difference - Per "&amp;VLOOKUP($D$2,'Reading Report Logic'!$A$2:$B$8,2,FALSE)&amp;"]")),FALSE)),
IF($J$2="Combined",
IFERROR(
IF(VLOOKUP($A624, YES_Reading_ELA[], COLUMN(INDIRECT("YES_Reading_ELA[Difference - Per "&amp;VLOOKUP($D$2, 'Reading Report Logic'!$A$2:$B$8,2,FALSE)&amp;"]")), FALSE)="", "",
VLOOKUP($A624,YES_Reading_ELA[],COLUMN(INDIRECT("YES_Reading_ELA[Difference - Per "&amp;VLOOKUP($D$2,'Reading Report Logic'!$A$2:$B$8,2,FALSE)&amp;"]")),FALSE)),
IF(VLOOKUP($A624, YES_Reading_FLA[], COLUMN(INDIRECT("YES_Reading_FLA[Difference - Per "&amp;VLOOKUP($D$2, 'Reading Report Logic'!$A$2:$B$8, 2, FALSE)&amp;"]")),FALSE)="", "", VLOOKUP($A624,YES_Reading_FLA[],COLUMN(INDIRECT("YES_Reading_FLA[Difference - Per "&amp;VLOOKUP($D$2, 'Reading Report Logic'!$A$2:$B$8, 2, FALSE)&amp;"]")),FALSE))),""))),"")</f>
        <v/>
      </c>
      <c r="H624" s="206" t="str">
        <f ca="1">IFERROR(VLOOKUP('Teacher Reading Pull Sheets'!$D624,_xlfn.VSTACK('ELA Reading Logic'!$A$22:$B$48,'FLA Reading Logic'!$A$22:$B$53),2,FALSE)-VLOOKUP('Teacher Reading Pull Sheets'!$C624,_xlfn.VSTACK('ELA Reading Logic'!$A$22:$B$48,'FLA Reading Logic'!$A$22:$B$53),2,FALSE),"")</f>
        <v/>
      </c>
      <c r="I624" s="212"/>
      <c r="J624" s="206"/>
      <c r="K624" s="197" t="str" cm="1">
        <f t="array" ref="K624">IFERROR(
IF($J$2="ELA",
IF(VLOOKUP($A624, YES_Reading_ELA[], COLUMN(YES_Reading_ELA[Self-Identified as African Descent]), FALSE)="", "",
VLOOKUP($A624,YES_Reading_ELA[], COLUMN(YES_Reading_ELA[Self-Identified as African Descent]), FALSE)),
IF($J$2="FLA",
IF(VLOOKUP($A624, YES_Reading_FLA[], COLUMN(YES_Reading_FLA[Self-Identified as African Descent]),FALSE)="","",
VLOOKUP($A624,YES_Reading_FLA[],COLUMN(YES_Reading_FLA[Self-Identified as African Descent]),FALSE)),
IF($J$2="Combined",
IFERROR(
IF(VLOOKUP($A624, YES_Reading_ELA[], COLUMN(YES_Reading_ELA[Self-Identified as African Descent]), FALSE)="", "",
VLOOKUP($A624,YES_Reading_ELA[],COLUMN(YES_Reading_ELA[Self-Identified as African Descent]),FALSE)),
IF(VLOOKUP($A624, YES_Reading_FLA[], COLUMN(YES_Reading_FLA[Self-Identified as African Descent]),FALSE)="", "", VLOOKUP($A624,YES_Reading_FLA[],COLUMN(YES_Reading_FLA[Self-Identified as African Descent]),FALSE))),""))),"")</f>
        <v/>
      </c>
      <c r="L624" s="73" t="str" cm="1">
        <f t="array" ref="L624">IFERROR(
IF($J$2="ELA",
IF(VLOOKUP($A624, YES_Reading_ELA[], COLUMN(YES_Reading_ELA[Self-Identified as Indigenous]), FALSE)="", "",
VLOOKUP($A624,YES_Reading_ELA[], COLUMN(YES_Reading_ELA[Self-Identified as Indigenous]), FALSE)),
IF($J$2="FLA",
IF(VLOOKUP($A624, YES_Reading_FLA[], COLUMN(YES_Reading_FLA[Self-Identified as Indigenous]),FALSE)="","",
VLOOKUP($A624,YES_Reading_FLA[],COLUMN(YES_Reading_FLA[Self-Identified as Indigenous]),FALSE)),
IF($J$2="Combined",
IFERROR(
IF(VLOOKUP($A624, YES_Reading_ELA[], COLUMN(YES_Reading_ELA[Self-Identified as Indigenous]), FALSE)="", "",
VLOOKUP($A624,YES_Reading_ELA[],COLUMN(YES_Reading_ELA[Self-Identified as Indigenous]),FALSE)),
IF(VLOOKUP($A624, YES_Reading_FLA[], COLUMN(YES_Reading_FLA[Self-Identified as Indigenous]),FALSE)="", "", VLOOKUP($A624,YES_Reading_FLA[],COLUMN(YES_Reading_FLA[Self-Identified as Indigenous]),FALSE))),""))),"")</f>
        <v/>
      </c>
    </row>
    <row r="625" spans="1:12" ht="19.5" customHeight="1" thickBot="1" x14ac:dyDescent="0.3">
      <c r="A625" s="218"/>
      <c r="B625" s="221" t="str">
        <f>IFERROR(VLOOKUP(A625,_xlfn.VSTACK(YES_Reading_ELA[],YES_Reading_FLA[]),2,FALSE),"")</f>
        <v/>
      </c>
      <c r="C625" s="208" t="str" cm="1">
        <f t="array" aca="1" ref="C625" ca="1">IFERROR(
IF($J$2="ELA",
IF(VLOOKUP($A625, YES_Reading_ELA[], COLUMN(IF(VLOOKUP($D$2, 'Reading Report Logic'!$A$2:$B$8, 2, FALSE)=1, YES_Reading_ELA[Reading Level June of Previous School Year], INDIRECT("YES_Reading_ELA[Instructional Reading Level - Per "&amp;(VLOOKUP($D$2,'Reading Report Logic'!$A$2:$B$8,2,FALSE)-1)&amp;"]"))), FALSE)="", "",
VLOOKUP($A625,YES_Reading_ELA[], COLUMN(IF(VLOOKUP($D$2,'Reading Report Logic'!$A$2:$B$8,2,FALSE)=1, YES_Reading_ELA[Reading Level June of Previous School Year],INDIRECT("YES_Reading_ELA[Instructional Reading Level - Per "&amp;(VLOOKUP($D$2,'Reading Report Logic'!$A$2:$B$8,2,FALSE)-1)&amp;"]"))), FALSE)),
IF($J$2="FLA",
IF(VLOOKUP($A625, YES_Reading_FLA[], COLUMN(IF(VLOOKUP($D$2,'Reading Report Logic'!$A$2:$B$8,2,FALSE)=1, YES_Reading_FLA[Reading Level June of Previous School Year],INDIRECT("YES_Reading_FLA[Instructional Reading Level - Per "&amp;(VLOOKUP($D$2,'Reading Report Logic'!$A$2:$B$8,2,FALSE)-1)&amp;"]"))),FALSE)="","",
VLOOKUP($A625,YES_Reading_FLA[], COLUMN(IF(VLOOKUP($D$2,'Reading Report Logic'!$A$2:$B$8,2,FALSE)=1, YES_Reading_FLA[Reading Level June of Previous School Year],INDIRECT("YES_Reading_FLA[Instructional Reading Level - Per "&amp;(VLOOKUP($D$2,'Reading Report Logic'!$A$2:$B$8,2,FALSE)-1)&amp;"]"))),FALSE)),
IF($J$2="Combined",
IFERROR(
IF(VLOOKUP($A625, YES_Reading_ELA[], COLUMN(IF(VLOOKUP($D$2,'Reading Report Logic'!$A$2:$B$8,2,FALSE)=1, YES_Reading_ELA[Reading Level June of Previous School Year],INDIRECT("YES_Reading_ELA[Instructional Reading Level - Per "&amp;(VLOOKUP($D$2,'Reading Report Logic'!$A$2:$B$8,2,FALSE)-1)&amp;"]"))), FALSE)="", "",
VLOOKUP($A625,YES_Reading_ELA[],COLUMN(IF(VLOOKUP($D$2,'Reading Report Logic'!$A$2:$B$8,2,FALSE)=1, YES_Reading_ELA[Reading Level June of Previous School Year],INDIRECT("YES_Reading_ELA[Instructional Reading Level - Per "&amp;(VLOOKUP($D$2,'Reading Report Logic'!$A$2:$B$8,2,FALSE)-1)&amp;"]"))),FALSE)),
IF(VLOOKUP($A625, YES_Reading_FLA[], COLUMN(IF(VLOOKUP($D$2,'Reading Report Logic'!$A$2:$B$8,2,FALSE)=1, YES_Reading_FLA[Reading Level June of Previous School Year],INDIRECT("YES_Reading_FLA[Instructional Reading Level - Per "&amp;(VLOOKUP($D$2,'Reading Report Logic'!$A$2:$B$8,2,FALSE)-1)&amp;"]"))),FALSE)="", "", VLOOKUP($A625,YES_Reading_FLA[],COLUMN(IF(VLOOKUP($D$2,'Reading Report Logic'!$A$2:$B$8,2,FALSE)=1, YES_Reading_FLA[Reading Level June of Previous School Year],INDIRECT("YES_Reading_FLA[Instructional Reading Level - Per "&amp;(VLOOKUP($D$2,'Reading Report Logic'!$A$2:$B$8,2,FALSE)-1)&amp;"]"))), FALSE))),""))),"")</f>
        <v/>
      </c>
      <c r="D625" s="209" t="str" cm="1">
        <f t="array" aca="1" ref="D625" ca="1">IFERROR(
IF($J$2="ELA",
IF(VLOOKUP($A625, YES_Reading_ELA[], COLUMN(INDIRECT("YES_Reading_ELA[Instructional Reading Level - Per "&amp;VLOOKUP($D$2, 'Reading Report Logic'!$A$2:$B$8, 2, FALSE)&amp;"]")), FALSE)="", "",
VLOOKUP($A625,YES_Reading_ELA[], COLUMN(INDIRECT("YES_Reading_ELA[Instructional Reading Level - Per "&amp;VLOOKUP($D$2,'Reading Report Logic'!$A$2:$B$8,2,FALSE)&amp;"]")), FALSE)),
IF($J$2="FLA",
IF(VLOOKUP($A625, YES_Reading_FLA[], COLUMN(INDIRECT("YES_Reading_FLA[Instructional Reading Level - Per "&amp;VLOOKUP($D$2,'Reading Report Logic'!$A$2:$B$8,2,FALSE)&amp;"]")),FALSE)="","",
VLOOKUP($A625,YES_Reading_FLA[],COLUMN(INDIRECT("YES_Reading_FLA[Instructional Reading Level - Per "&amp;VLOOKUP($D$2,'Reading Report Logic'!$A$2:$B$8,2,FALSE)&amp;"]")),FALSE)),
IF($J$2="Combined",
IFERROR(
IF(VLOOKUP($A625, YES_Reading_ELA[], COLUMN(INDIRECT("YES_Reading_ELA[Instructional Reading Level - Per "&amp;VLOOKUP($D$2, 'Reading Report Logic'!$A$2:$B$8,2,FALSE)&amp;"]")), FALSE)="", "",
VLOOKUP($A625,YES_Reading_ELA[],COLUMN(INDIRECT("YES_Reading_ELA[Instructional Reading Level - Per "&amp;VLOOKUP($D$2,'Reading Report Logic'!$A$2:$B$8,2,FALSE)&amp;"]")),FALSE)),
IF(VLOOKUP($A625, YES_Reading_FLA[], COLUMN(INDIRECT("YES_Reading_FLA[Instructional Reading Level - Per "&amp;VLOOKUP($D$2, 'Reading Report Logic'!$A$2:$B$8, 2, FALSE)&amp;"]")),FALSE)="", "", VLOOKUP($A625,YES_Reading_FLA[],COLUMN(INDIRECT("YES_Reading_FLA[Instructional Reading Level - Per "&amp;VLOOKUP($D$2, 'Reading Report Logic'!$A$2:$B$8, 2, FALSE)&amp;"]")),FALSE))),""))),"")</f>
        <v/>
      </c>
      <c r="E625" s="210" t="str" cm="1">
        <f t="array" aca="1" ref="E625" ca="1">IFERROR(
IF($J$2="ELA",
IF(VLOOKUP($A625, YES_Reading_ELA[], COLUMN(INDIRECT("YES_Reading_ELA[Min Expectation - Per "&amp;VLOOKUP($D$2, 'Reading Report Logic'!$A$2:$B$8, 2, FALSE)&amp;"]")), FALSE)="", "",
VLOOKUP($A625,YES_Reading_ELA[], COLUMN(INDIRECT("YES_Reading_ELA[Min Expectation - Per "&amp;VLOOKUP($D$2,'Reading Report Logic'!$A$2:$B$8,2,FALSE)&amp;"]")), FALSE)),
IF($J$2="FLA",
IF(VLOOKUP($A625, YES_Reading_FLA[], COLUMN(INDIRECT("YES_Reading_FLA[Min Expectation - Per "&amp;VLOOKUP($D$2,'Reading Report Logic'!$A$2:$B$8,2,FALSE)&amp;"]")),FALSE)="","",
VLOOKUP($A625,YES_Reading_FLA[],COLUMN(INDIRECT("YES_Reading_FLA[Min Expectation - Per "&amp;VLOOKUP($D$2,'Reading Report Logic'!$A$2:$B$8,2,FALSE)&amp;"]")),FALSE)),
IF($J$2="Combined",
IFERROR(
IF(VLOOKUP($A625, YES_Reading_ELA[], COLUMN(INDIRECT("YES_Reading_ELA[Min Expectation - Per "&amp;VLOOKUP($D$2, 'Reading Report Logic'!$A$2:$B$8,2,FALSE)&amp;"]")), FALSE)="", "",
VLOOKUP($A625,YES_Reading_ELA[],COLUMN(INDIRECT("YES_Reading_ELA[Min Expectation - Per "&amp;VLOOKUP($D$2,'Reading Report Logic'!$A$2:$B$8,2,FALSE)&amp;"]")),FALSE)),
IF(VLOOKUP($A625, YES_Reading_FLA[], COLUMN(INDIRECT("YES_Reading_FLA[Min Expectation - Per "&amp;VLOOKUP($D$2, 'Reading Report Logic'!$A$2:$B$8, 2, FALSE)&amp;"]")),FALSE)="", "", VLOOKUP($A625,YES_Reading_FLA[],COLUMN(INDIRECT("YES_Reading_FLA[Min Expectation - Per "&amp;VLOOKUP($D$2, 'Reading Report Logic'!$A$2:$B$8, 2, FALSE)&amp;"]")),FALSE))),""))),"")</f>
        <v/>
      </c>
      <c r="F625" s="210" t="str" cm="1">
        <f t="array" aca="1" ref="F625" ca="1">IFERROR(
IF($J$2="ELA",
IF(VLOOKUP($A625, YES_Reading_ELA[], COLUMN(INDIRECT("YES_Reading_ELA[Max Expectation - Per "&amp;VLOOKUP($D$2, 'Reading Report Logic'!$A$2:$B$8, 2, FALSE)&amp;"]")), FALSE)="", "",
VLOOKUP($A625,YES_Reading_ELA[], COLUMN(INDIRECT("YES_Reading_ELA[Max Expectation - Per "&amp;VLOOKUP($D$2,'Reading Report Logic'!$A$2:$B$8,2,FALSE)&amp;"]")), FALSE)),
IF($J$2="FLA",
IF(VLOOKUP($A625, YES_Reading_FLA[], COLUMN(INDIRECT("YES_Reading_FLA[Max Expectation - Per "&amp;VLOOKUP($D$2,'Reading Report Logic'!$A$2:$B$8,2,FALSE)&amp;"]")),FALSE)="","",
VLOOKUP($A625,YES_Reading_FLA[],COLUMN(INDIRECT("YES_Reading_FLA[Max Expectation - Per "&amp;VLOOKUP($D$2,'Reading Report Logic'!$A$2:$B$8,2,FALSE)&amp;"]")),FALSE)),
IF($J$2="Combined",
IFERROR(
IF(VLOOKUP($A625, YES_Reading_ELA[], COLUMN(INDIRECT("YES_Reading_ELA[Max Expectation - Per "&amp;VLOOKUP($D$2, 'Reading Report Logic'!$A$2:$B$8,2,FALSE)&amp;"]")), FALSE)="", "",
VLOOKUP($A625,YES_Reading_ELA[],COLUMN(INDIRECT("YES_Reading_ELA[Max Expectation - Per "&amp;VLOOKUP($D$2,'Reading Report Logic'!$A$2:$B$8,2,FALSE)&amp;"]")),FALSE)),
IF(VLOOKUP($A625, YES_Reading_FLA[], COLUMN(INDIRECT("YES_Reading_FLA[Max Expectation - Per "&amp;VLOOKUP($D$2, 'Reading Report Logic'!$A$2:$B$8, 2, FALSE)&amp;"]")),FALSE)="", "", VLOOKUP($A625,YES_Reading_FLA[],COLUMN(INDIRECT("YES_Reading_FLA[Max Expectation - Per "&amp;VLOOKUP($D$2, 'Reading Report Logic'!$A$2:$B$8, 2, FALSE)&amp;"]")),FALSE))),""))),"")</f>
        <v/>
      </c>
      <c r="G625" s="210" t="str" cm="1">
        <f t="array" aca="1" ref="G625" ca="1">IFERROR(
IF($J$2="ELA",
IF(VLOOKUP($A625, YES_Reading_ELA[], COLUMN(INDIRECT("YES_Reading_ELA[Difference - Per "&amp;VLOOKUP($D$2, 'Reading Report Logic'!$A$2:$B$8, 2, FALSE)&amp;"]")), FALSE)="", "",
VLOOKUP($A625,YES_Reading_ELA[], COLUMN(INDIRECT("YES_Reading_ELA[Difference - Per "&amp;VLOOKUP($D$2,'Reading Report Logic'!$A$2:$B$8,2,FALSE)&amp;"]")), FALSE)),
IF($J$2="FLA",
IF(VLOOKUP($A625, YES_Reading_FLA[], COLUMN(INDIRECT("YES_Reading_FLA[Difference - Per "&amp;VLOOKUP($D$2,'Reading Report Logic'!$A$2:$B$8,2,FALSE)&amp;"]")),FALSE)="","",
VLOOKUP($A625,YES_Reading_FLA[],COLUMN(INDIRECT("YES_Reading_FLA[Difference - Per "&amp;VLOOKUP($D$2,'Reading Report Logic'!$A$2:$B$8,2,FALSE)&amp;"]")),FALSE)),
IF($J$2="Combined",
IFERROR(
IF(VLOOKUP($A625, YES_Reading_ELA[], COLUMN(INDIRECT("YES_Reading_ELA[Difference - Per "&amp;VLOOKUP($D$2, 'Reading Report Logic'!$A$2:$B$8,2,FALSE)&amp;"]")), FALSE)="", "",
VLOOKUP($A625,YES_Reading_ELA[],COLUMN(INDIRECT("YES_Reading_ELA[Difference - Per "&amp;VLOOKUP($D$2,'Reading Report Logic'!$A$2:$B$8,2,FALSE)&amp;"]")),FALSE)),
IF(VLOOKUP($A625, YES_Reading_FLA[], COLUMN(INDIRECT("YES_Reading_FLA[Difference - Per "&amp;VLOOKUP($D$2, 'Reading Report Logic'!$A$2:$B$8, 2, FALSE)&amp;"]")),FALSE)="", "", VLOOKUP($A625,YES_Reading_FLA[],COLUMN(INDIRECT("YES_Reading_FLA[Difference - Per "&amp;VLOOKUP($D$2, 'Reading Report Logic'!$A$2:$B$8, 2, FALSE)&amp;"]")),FALSE))),""))),"")</f>
        <v/>
      </c>
      <c r="H625" s="211" t="str">
        <f ca="1">IFERROR(VLOOKUP('Teacher Reading Pull Sheets'!$D625,_xlfn.VSTACK('ELA Reading Logic'!$A$22:$B$48,'FLA Reading Logic'!$A$22:$B$53),2,FALSE)-VLOOKUP('Teacher Reading Pull Sheets'!$C625,_xlfn.VSTACK('ELA Reading Logic'!$A$22:$B$48,'FLA Reading Logic'!$A$22:$B$53),2,FALSE),"")</f>
        <v/>
      </c>
      <c r="I625" s="213"/>
      <c r="J625" s="211"/>
      <c r="K625" s="198" t="str" cm="1">
        <f t="array" ref="K625">IFERROR(
IF($J$2="ELA",
IF(VLOOKUP($A625, YES_Reading_ELA[], COLUMN(YES_Reading_ELA[Self-Identified as African Descent]), FALSE)="", "",
VLOOKUP($A625,YES_Reading_ELA[], COLUMN(YES_Reading_ELA[Self-Identified as African Descent]), FALSE)),
IF($J$2="FLA",
IF(VLOOKUP($A625, YES_Reading_FLA[], COLUMN(YES_Reading_FLA[Self-Identified as African Descent]),FALSE)="","",
VLOOKUP($A625,YES_Reading_FLA[],COLUMN(YES_Reading_FLA[Self-Identified as African Descent]),FALSE)),
IF($J$2="Combined",
IFERROR(
IF(VLOOKUP($A625, YES_Reading_ELA[], COLUMN(YES_Reading_ELA[Self-Identified as African Descent]), FALSE)="", "",
VLOOKUP($A625,YES_Reading_ELA[],COLUMN(YES_Reading_ELA[Self-Identified as African Descent]),FALSE)),
IF(VLOOKUP($A625, YES_Reading_FLA[], COLUMN(YES_Reading_FLA[Self-Identified as African Descent]),FALSE)="", "", VLOOKUP($A625,YES_Reading_FLA[],COLUMN(YES_Reading_FLA[Self-Identified as African Descent]),FALSE))),""))),"")</f>
        <v/>
      </c>
      <c r="L625" s="74" t="str" cm="1">
        <f t="array" ref="L625">IFERROR(
IF($J$2="ELA",
IF(VLOOKUP($A625, YES_Reading_ELA[], COLUMN(YES_Reading_ELA[Self-Identified as Indigenous]), FALSE)="", "",
VLOOKUP($A625,YES_Reading_ELA[], COLUMN(YES_Reading_ELA[Self-Identified as Indigenous]), FALSE)),
IF($J$2="FLA",
IF(VLOOKUP($A625, YES_Reading_FLA[], COLUMN(YES_Reading_FLA[Self-Identified as Indigenous]),FALSE)="","",
VLOOKUP($A625,YES_Reading_FLA[],COLUMN(YES_Reading_FLA[Self-Identified as Indigenous]),FALSE)),
IF($J$2="Combined",
IFERROR(
IF(VLOOKUP($A625, YES_Reading_ELA[], COLUMN(YES_Reading_ELA[Self-Identified as Indigenous]), FALSE)="", "",
VLOOKUP($A625,YES_Reading_ELA[],COLUMN(YES_Reading_ELA[Self-Identified as Indigenous]),FALSE)),
IF(VLOOKUP($A625, YES_Reading_FLA[], COLUMN(YES_Reading_FLA[Self-Identified as Indigenous]),FALSE)="", "", VLOOKUP($A625,YES_Reading_FLA[],COLUMN(YES_Reading_FLA[Self-Identified as Indigenous]),FALSE))),""))),"")</f>
        <v/>
      </c>
    </row>
    <row r="626" spans="1:12" x14ac:dyDescent="0.25">
      <c r="A626" s="214"/>
      <c r="B626" s="214" t="s">
        <v>241</v>
      </c>
      <c r="C626" s="214"/>
      <c r="D626" s="215" t="str" cm="1">
        <f t="array" ref="D626">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Set")))=$D$1)),1,1,FALSE),FALSE,FALSE),21),"")</f>
        <v/>
      </c>
      <c r="E626" s="215"/>
      <c r="F626" s="215"/>
      <c r="G626" s="215"/>
      <c r="H626" s="355" t="s">
        <v>242</v>
      </c>
      <c r="I626" s="356"/>
      <c r="J626" s="215"/>
    </row>
    <row r="627" spans="1:12" x14ac:dyDescent="0.25">
      <c r="A627" s="214"/>
      <c r="B627" s="214" t="str">
        <f>"Date: "&amp;$D$3</f>
        <v xml:space="preserve">Date: </v>
      </c>
      <c r="C627" s="214"/>
      <c r="D627" s="215"/>
      <c r="E627" s="215"/>
      <c r="F627" s="215"/>
      <c r="G627" s="215"/>
      <c r="H627" s="357" t="s">
        <v>243</v>
      </c>
      <c r="I627" s="358"/>
      <c r="J627" s="215"/>
    </row>
    <row r="628" spans="1:12" ht="15.75" thickBot="1" x14ac:dyDescent="0.3">
      <c r="A628" s="215"/>
      <c r="B628" s="215"/>
      <c r="C628" s="215"/>
      <c r="D628" s="215"/>
      <c r="E628" s="215"/>
      <c r="F628" s="215"/>
      <c r="G628" s="215"/>
      <c r="H628" s="353" t="s">
        <v>244</v>
      </c>
      <c r="I628" s="354"/>
      <c r="J628" s="215"/>
    </row>
    <row r="629" spans="1:12" ht="85.5" customHeight="1" thickBot="1" x14ac:dyDescent="0.3">
      <c r="A629" s="192" t="s">
        <v>44</v>
      </c>
      <c r="B629" s="187" t="s">
        <v>245</v>
      </c>
      <c r="C629" s="188" t="s">
        <v>246</v>
      </c>
      <c r="D629" s="188" t="s">
        <v>247</v>
      </c>
      <c r="E629" s="188" t="s">
        <v>248</v>
      </c>
      <c r="F629" s="188" t="s">
        <v>249</v>
      </c>
      <c r="G629" s="188" t="s">
        <v>250</v>
      </c>
      <c r="H629" s="189" t="s">
        <v>251</v>
      </c>
      <c r="I629" s="202" t="s">
        <v>252</v>
      </c>
      <c r="J629" s="191" t="s">
        <v>253</v>
      </c>
      <c r="K629" s="200" t="s">
        <v>256</v>
      </c>
      <c r="L629" s="201" t="s">
        <v>257</v>
      </c>
    </row>
    <row r="630" spans="1:12" ht="19.5" customHeight="1" x14ac:dyDescent="0.25">
      <c r="A630" s="216" t="e" cm="1" vm="1">
        <f t="array" aca="1" ref="A630" ca="1">_xlfn._xlws.FILTER(_xlfn.VSTACK(YES_Reading_ELA[Student Number],YES_Reading_FLA[Student Number]),_xlfn.VSTACK(YES_Reading_ELA[HomeRoom],YES_Reading_FLA[Homeroom])=D626)</f>
        <v>#VALUE!</v>
      </c>
      <c r="B630" s="219" t="str">
        <f ca="1">IFERROR(VLOOKUP(A630,_xlfn.VSTACK(YES_Reading_ELA[],YES_Reading_FLA[]),2,FALSE),"")</f>
        <v/>
      </c>
      <c r="C630" s="203" t="str" cm="1">
        <f t="array" aca="1" ref="C630" ca="1">IFERROR(
IF($J$2="ELA",
IF(VLOOKUP($A630, YES_Reading_ELA[], COLUMN(IF(VLOOKUP($D$2, 'Reading Report Logic'!$A$2:$B$8, 2, FALSE)=1, YES_Reading_ELA[Reading Level June of Previous School Year], INDIRECT("YES_Reading_ELA[Instructional Reading Level - Per "&amp;(VLOOKUP($D$2,'Reading Report Logic'!$A$2:$B$8,2,FALSE)-1)&amp;"]"))), FALSE)="", "",
VLOOKUP($A630,YES_Reading_ELA[], COLUMN(IF(VLOOKUP($D$2,'Reading Report Logic'!$A$2:$B$8,2,FALSE)=1, YES_Reading_ELA[Reading Level June of Previous School Year],INDIRECT("YES_Reading_ELA[Instructional Reading Level - Per "&amp;(VLOOKUP($D$2,'Reading Report Logic'!$A$2:$B$8,2,FALSE)-1)&amp;"]"))), FALSE)),
IF($J$2="FLA",
IF(VLOOKUP($A630, YES_Reading_FLA[], COLUMN(IF(VLOOKUP($D$2,'Reading Report Logic'!$A$2:$B$8,2,FALSE)=1, YES_Reading_FLA[Reading Level June of Previous School Year],INDIRECT("YES_Reading_FLA[Instructional Reading Level - Per "&amp;(VLOOKUP($D$2,'Reading Report Logic'!$A$2:$B$8,2,FALSE)-1)&amp;"]"))),FALSE)="","",
VLOOKUP($A630,YES_Reading_FLA[], COLUMN(IF(VLOOKUP($D$2,'Reading Report Logic'!$A$2:$B$8,2,FALSE)=1, YES_Reading_FLA[Reading Level June of Previous School Year],INDIRECT("YES_Reading_FLA[Instructional Reading Level - Per "&amp;(VLOOKUP($D$2,'Reading Report Logic'!$A$2:$B$8,2,FALSE)-1)&amp;"]"))),FALSE)),
IF($J$2="Combined",
IFERROR(
IF(VLOOKUP($A630, YES_Reading_ELA[], COLUMN(IF(VLOOKUP($D$2,'Reading Report Logic'!$A$2:$B$8,2,FALSE)=1, YES_Reading_ELA[Reading Level June of Previous School Year],INDIRECT("YES_Reading_ELA[Instructional Reading Level - Per "&amp;(VLOOKUP($D$2,'Reading Report Logic'!$A$2:$B$8,2,FALSE)-1)&amp;"]"))), FALSE)="", "",
VLOOKUP($A630,YES_Reading_ELA[],COLUMN(IF(VLOOKUP($D$2,'Reading Report Logic'!$A$2:$B$8,2,FALSE)=1, YES_Reading_ELA[Reading Level June of Previous School Year],INDIRECT("YES_Reading_ELA[Instructional Reading Level - Per "&amp;(VLOOKUP($D$2,'Reading Report Logic'!$A$2:$B$8,2,FALSE)-1)&amp;"]"))),FALSE)),
IF(VLOOKUP($A630, YES_Reading_FLA[], COLUMN(IF(VLOOKUP($D$2,'Reading Report Logic'!$A$2:$B$8,2,FALSE)=1, YES_Reading_FLA[Reading Level June of Previous School Year],INDIRECT("YES_Reading_FLA[Instructional Reading Level - Per "&amp;(VLOOKUP($D$2,'Reading Report Logic'!$A$2:$B$8,2,FALSE)-1)&amp;"]"))),FALSE)="", "", VLOOKUP($A630,YES_Reading_FLA[],COLUMN(IF(VLOOKUP($D$2,'Reading Report Logic'!$A$2:$B$8,2,FALSE)=1, YES_Reading_FLA[Reading Level June of Previous School Year],INDIRECT("YES_Reading_FLA[Instructional Reading Level - Per "&amp;(VLOOKUP($D$2,'Reading Report Logic'!$A$2:$B$8,2,FALSE)-1)&amp;"]"))), FALSE))),""))),"")</f>
        <v/>
      </c>
      <c r="D630" s="204" t="str" cm="1">
        <f t="array" aca="1" ref="D630" ca="1">IFERROR(
IF($J$2="ELA",
IF(VLOOKUP($A630, YES_Reading_ELA[], COLUMN(INDIRECT("YES_Reading_ELA[Instructional Reading Level - Per "&amp;VLOOKUP($D$2, 'Reading Report Logic'!$A$2:$B$8, 2, FALSE)&amp;"]")), FALSE)="", "",
VLOOKUP($A630,YES_Reading_ELA[], COLUMN(INDIRECT("YES_Reading_ELA[Instructional Reading Level - Per "&amp;VLOOKUP($D$2,'Reading Report Logic'!$A$2:$B$8,2,FALSE)&amp;"]")), FALSE)),
IF($J$2="FLA",
IF(VLOOKUP($A630, YES_Reading_FLA[], COLUMN(INDIRECT("YES_Reading_FLA[Instructional Reading Level - Per "&amp;VLOOKUP($D$2,'Reading Report Logic'!$A$2:$B$8,2,FALSE)&amp;"]")),FALSE)="","",
VLOOKUP($A630,YES_Reading_FLA[],COLUMN(INDIRECT("YES_Reading_FLA[Instructional Reading Level - Per "&amp;VLOOKUP($D$2,'Reading Report Logic'!$A$2:$B$8,2,FALSE)&amp;"]")),FALSE)),
IF($J$2="Combined",
IFERROR(
IF(VLOOKUP($A630, YES_Reading_ELA[], COLUMN(INDIRECT("YES_Reading_ELA[Instructional Reading Level - Per "&amp;VLOOKUP($D$2, 'Reading Report Logic'!$A$2:$B$8,2,FALSE)&amp;"]")), FALSE)="", "",
VLOOKUP($A630,YES_Reading_ELA[],COLUMN(INDIRECT("YES_Reading_ELA[Instructional Reading Level - Per "&amp;VLOOKUP($D$2,'Reading Report Logic'!$A$2:$B$8,2,FALSE)&amp;"]")),FALSE)),
IF(VLOOKUP($A630, YES_Reading_FLA[], COLUMN(INDIRECT("YES_Reading_FLA[Instructional Reading Level - Per "&amp;VLOOKUP($D$2, 'Reading Report Logic'!$A$2:$B$8, 2, FALSE)&amp;"]")),FALSE)="", "", VLOOKUP($A630,YES_Reading_FLA[],COLUMN(INDIRECT("YES_Reading_FLA[Instructional Reading Level - Per "&amp;VLOOKUP($D$2, 'Reading Report Logic'!$A$2:$B$8, 2, FALSE)&amp;"]")),FALSE))),""))),"")</f>
        <v/>
      </c>
      <c r="E630" s="205" t="str" cm="1">
        <f t="array" aca="1" ref="E630" ca="1">IFERROR(
IF($J$2="ELA",
IF(VLOOKUP($A630, YES_Reading_ELA[], COLUMN(INDIRECT("YES_Reading_ELA[Min Expectation - Per "&amp;VLOOKUP($D$2, 'Reading Report Logic'!$A$2:$B$8, 2, FALSE)&amp;"]")), FALSE)="", "",
VLOOKUP($A630,YES_Reading_ELA[], COLUMN(INDIRECT("YES_Reading_ELA[Min Expectation - Per "&amp;VLOOKUP($D$2,'Reading Report Logic'!$A$2:$B$8,2,FALSE)&amp;"]")), FALSE)),
IF($J$2="FLA",
IF(VLOOKUP($A630, YES_Reading_FLA[], COLUMN(INDIRECT("YES_Reading_FLA[Min Expectation - Per "&amp;VLOOKUP($D$2,'Reading Report Logic'!$A$2:$B$8,2,FALSE)&amp;"]")),FALSE)="","",
VLOOKUP($A630,YES_Reading_FLA[],COLUMN(INDIRECT("YES_Reading_FLA[Min Expectation - Per "&amp;VLOOKUP($D$2,'Reading Report Logic'!$A$2:$B$8,2,FALSE)&amp;"]")),FALSE)),
IF($J$2="Combined",
IFERROR(
IF(VLOOKUP($A630, YES_Reading_ELA[], COLUMN(INDIRECT("YES_Reading_ELA[Min Expectation - Per "&amp;VLOOKUP($D$2, 'Reading Report Logic'!$A$2:$B$8,2,FALSE)&amp;"]")), FALSE)="", "",
VLOOKUP($A630,YES_Reading_ELA[],COLUMN(INDIRECT("YES_Reading_ELA[Min Expectation - Per "&amp;VLOOKUP($D$2,'Reading Report Logic'!$A$2:$B$8,2,FALSE)&amp;"]")),FALSE)),
IF(VLOOKUP($A630, YES_Reading_FLA[], COLUMN(INDIRECT("YES_Reading_FLA[Min Expectation - Per "&amp;VLOOKUP($D$2, 'Reading Report Logic'!$A$2:$B$8, 2, FALSE)&amp;"]")),FALSE)="", "", VLOOKUP($A630,YES_Reading_FLA[],COLUMN(INDIRECT("YES_Reading_FLA[Min Expectation - Per "&amp;VLOOKUP($D$2, 'Reading Report Logic'!$A$2:$B$8, 2, FALSE)&amp;"]")),FALSE))),""))),"")</f>
        <v/>
      </c>
      <c r="F630" s="205" t="str" cm="1">
        <f t="array" aca="1" ref="F630" ca="1">IFERROR(
IF($J$2="ELA",
IF(VLOOKUP($A630, YES_Reading_ELA[], COLUMN(INDIRECT("YES_Reading_ELA[Max Expectation - Per "&amp;VLOOKUP($D$2, 'Reading Report Logic'!$A$2:$B$8, 2, FALSE)&amp;"]")), FALSE)="", "",
VLOOKUP($A630,YES_Reading_ELA[], COLUMN(INDIRECT("YES_Reading_ELA[Max Expectation - Per "&amp;VLOOKUP($D$2,'Reading Report Logic'!$A$2:$B$8,2,FALSE)&amp;"]")), FALSE)),
IF($J$2="FLA",
IF(VLOOKUP($A630, YES_Reading_FLA[], COLUMN(INDIRECT("YES_Reading_FLA[Max Expectation - Per "&amp;VLOOKUP($D$2,'Reading Report Logic'!$A$2:$B$8,2,FALSE)&amp;"]")),FALSE)="","",
VLOOKUP($A630,YES_Reading_FLA[],COLUMN(INDIRECT("YES_Reading_FLA[Max Expectation - Per "&amp;VLOOKUP($D$2,'Reading Report Logic'!$A$2:$B$8,2,FALSE)&amp;"]")),FALSE)),
IF($J$2="Combined",
IFERROR(
IF(VLOOKUP($A630, YES_Reading_ELA[], COLUMN(INDIRECT("YES_Reading_ELA[Max Expectation - Per "&amp;VLOOKUP($D$2, 'Reading Report Logic'!$A$2:$B$8,2,FALSE)&amp;"]")), FALSE)="", "",
VLOOKUP($A630,YES_Reading_ELA[],COLUMN(INDIRECT("YES_Reading_ELA[Max Expectation - Per "&amp;VLOOKUP($D$2,'Reading Report Logic'!$A$2:$B$8,2,FALSE)&amp;"]")),FALSE)),
IF(VLOOKUP($A630, YES_Reading_FLA[], COLUMN(INDIRECT("YES_Reading_FLA[Max Expectation - Per "&amp;VLOOKUP($D$2, 'Reading Report Logic'!$A$2:$B$8, 2, FALSE)&amp;"]")),FALSE)="", "", VLOOKUP($A630,YES_Reading_FLA[],COLUMN(INDIRECT("YES_Reading_FLA[Max Expectation - Per "&amp;VLOOKUP($D$2, 'Reading Report Logic'!$A$2:$B$8, 2, FALSE)&amp;"]")),FALSE))),""))),"")</f>
        <v/>
      </c>
      <c r="G630" s="205" t="str" cm="1">
        <f t="array" aca="1" ref="G630" ca="1">IFERROR(
IF($J$2="ELA",
IF(VLOOKUP($A630, YES_Reading_ELA[], COLUMN(INDIRECT("YES_Reading_ELA[Difference - Per "&amp;VLOOKUP($D$2, 'Reading Report Logic'!$A$2:$B$8, 2, FALSE)&amp;"]")), FALSE)="", "",
VLOOKUP($A630,YES_Reading_ELA[], COLUMN(INDIRECT("YES_Reading_ELA[Difference - Per "&amp;VLOOKUP($D$2,'Reading Report Logic'!$A$2:$B$8,2,FALSE)&amp;"]")), FALSE)),
IF($J$2="FLA",
IF(VLOOKUP($A630, YES_Reading_FLA[], COLUMN(INDIRECT("YES_Reading_FLA[Difference - Per "&amp;VLOOKUP($D$2,'Reading Report Logic'!$A$2:$B$8,2,FALSE)&amp;"]")),FALSE)="","",
VLOOKUP($A630,YES_Reading_FLA[],COLUMN(INDIRECT("YES_Reading_FLA[Difference - Per "&amp;VLOOKUP($D$2,'Reading Report Logic'!$A$2:$B$8,2,FALSE)&amp;"]")),FALSE)),
IF($J$2="Combined",
IFERROR(
IF(VLOOKUP($A630, YES_Reading_ELA[], COLUMN(INDIRECT("YES_Reading_ELA[Difference - Per "&amp;VLOOKUP($D$2, 'Reading Report Logic'!$A$2:$B$8,2,FALSE)&amp;"]")), FALSE)="", "",
VLOOKUP($A630,YES_Reading_ELA[],COLUMN(INDIRECT("YES_Reading_ELA[Difference - Per "&amp;VLOOKUP($D$2,'Reading Report Logic'!$A$2:$B$8,2,FALSE)&amp;"]")),FALSE)),
IF(VLOOKUP($A630, YES_Reading_FLA[], COLUMN(INDIRECT("YES_Reading_FLA[Difference - Per "&amp;VLOOKUP($D$2, 'Reading Report Logic'!$A$2:$B$8, 2, FALSE)&amp;"]")),FALSE)="", "", VLOOKUP($A630,YES_Reading_FLA[],COLUMN(INDIRECT("YES_Reading_FLA[Difference - Per "&amp;VLOOKUP($D$2, 'Reading Report Logic'!$A$2:$B$8, 2, FALSE)&amp;"]")),FALSE))),""))),"")</f>
        <v/>
      </c>
      <c r="H630" s="206" t="str">
        <f ca="1">IFERROR(VLOOKUP('Teacher Reading Pull Sheets'!$D630,_xlfn.VSTACK('ELA Reading Logic'!$A$22:$B$48,'FLA Reading Logic'!$A$22:$B$53),2,FALSE)-VLOOKUP('Teacher Reading Pull Sheets'!$C630,_xlfn.VSTACK('ELA Reading Logic'!$A$22:$B$48,'FLA Reading Logic'!$A$22:$B$53),2,FALSE),"")</f>
        <v/>
      </c>
      <c r="I630" s="205"/>
      <c r="J630" s="206"/>
      <c r="K630" s="24" t="str" cm="1">
        <f t="array" aca="1" ref="K630" ca="1">IFERROR(
IF($J$2="ELA",
IF(VLOOKUP($A630, YES_Reading_ELA[], COLUMN(YES_Reading_ELA[Self-Identified as African Descent]), FALSE)="", "",
VLOOKUP($A630,YES_Reading_ELA[], COLUMN(YES_Reading_ELA[Self-Identified as African Descent]), FALSE)),
IF($J$2="FLA",
IF(VLOOKUP($A630, YES_Reading_FLA[], COLUMN(YES_Reading_FLA[Self-Identified as African Descent]),FALSE)="","",
VLOOKUP($A630,YES_Reading_FLA[],COLUMN(YES_Reading_FLA[Self-Identified as African Descent]),FALSE)),
IF($J$2="Combined",
IFERROR(
IF(VLOOKUP($A630, YES_Reading_ELA[], COLUMN(YES_Reading_ELA[Self-Identified as African Descent]), FALSE)="", "",
VLOOKUP($A630,YES_Reading_ELA[],COLUMN(YES_Reading_ELA[Self-Identified as African Descent]),FALSE)),
IF(VLOOKUP($A630, YES_Reading_FLA[], COLUMN(YES_Reading_FLA[Self-Identified as African Descent]),FALSE)="", "", VLOOKUP($A630,YES_Reading_FLA[],COLUMN(YES_Reading_FLA[Self-Identified as African Descent]),FALSE))),""))),"")</f>
        <v/>
      </c>
      <c r="L630" s="199" t="str" cm="1">
        <f t="array" aca="1" ref="L630" ca="1">IFERROR(
IF($J$2="ELA",
IF(VLOOKUP($A630, YES_Reading_ELA[], COLUMN(YES_Reading_ELA[Self-Identified as Indigenous]), FALSE)="", "",
VLOOKUP($A630,YES_Reading_ELA[], COLUMN(YES_Reading_ELA[Self-Identified as Indigenous]), FALSE)),
IF($J$2="FLA",
IF(VLOOKUP($A630, YES_Reading_FLA[], COLUMN(YES_Reading_FLA[Self-Identified as Indigenous]),FALSE)="","",
VLOOKUP($A630,YES_Reading_FLA[],COLUMN(YES_Reading_FLA[Self-Identified as Indigenous]),FALSE)),
IF($J$2="Combined",
IFERROR(
IF(VLOOKUP($A630, YES_Reading_ELA[], COLUMN(YES_Reading_ELA[Self-Identified as Indigenous]), FALSE)="", "",
VLOOKUP($A630,YES_Reading_ELA[],COLUMN(YES_Reading_ELA[Self-Identified as Indigenous]),FALSE)),
IF(VLOOKUP($A630, YES_Reading_FLA[], COLUMN(YES_Reading_FLA[Self-Identified as Indigenous]),FALSE)="", "", VLOOKUP($A630,YES_Reading_FLA[],COLUMN(YES_Reading_FLA[Self-Identified as Indigenous]),FALSE))),""))),"")</f>
        <v/>
      </c>
    </row>
    <row r="631" spans="1:12" ht="19.5" customHeight="1" x14ac:dyDescent="0.25">
      <c r="A631" s="217"/>
      <c r="B631" s="220" t="str">
        <f>IFERROR(VLOOKUP(A631,_xlfn.VSTACK(YES_Reading_ELA[],YES_Reading_FLA[]),2,FALSE),"")</f>
        <v/>
      </c>
      <c r="C631" s="203" t="str" cm="1">
        <f t="array" aca="1" ref="C631" ca="1">IFERROR(
IF($J$2="ELA",
IF(VLOOKUP($A631, YES_Reading_ELA[], COLUMN(IF(VLOOKUP($D$2, 'Reading Report Logic'!$A$2:$B$8, 2, FALSE)=1, YES_Reading_ELA[Reading Level June of Previous School Year], INDIRECT("YES_Reading_ELA[Instructional Reading Level - Per "&amp;(VLOOKUP($D$2,'Reading Report Logic'!$A$2:$B$8,2,FALSE)-1)&amp;"]"))), FALSE)="", "",
VLOOKUP($A631,YES_Reading_ELA[], COLUMN(IF(VLOOKUP($D$2,'Reading Report Logic'!$A$2:$B$8,2,FALSE)=1, YES_Reading_ELA[Reading Level June of Previous School Year],INDIRECT("YES_Reading_ELA[Instructional Reading Level - Per "&amp;(VLOOKUP($D$2,'Reading Report Logic'!$A$2:$B$8,2,FALSE)-1)&amp;"]"))), FALSE)),
IF($J$2="FLA",
IF(VLOOKUP($A631, YES_Reading_FLA[], COLUMN(IF(VLOOKUP($D$2,'Reading Report Logic'!$A$2:$B$8,2,FALSE)=1, YES_Reading_FLA[Reading Level June of Previous School Year],INDIRECT("YES_Reading_FLA[Instructional Reading Level - Per "&amp;(VLOOKUP($D$2,'Reading Report Logic'!$A$2:$B$8,2,FALSE)-1)&amp;"]"))),FALSE)="","",
VLOOKUP($A631,YES_Reading_FLA[], COLUMN(IF(VLOOKUP($D$2,'Reading Report Logic'!$A$2:$B$8,2,FALSE)=1, YES_Reading_FLA[Reading Level June of Previous School Year],INDIRECT("YES_Reading_FLA[Instructional Reading Level - Per "&amp;(VLOOKUP($D$2,'Reading Report Logic'!$A$2:$B$8,2,FALSE)-1)&amp;"]"))),FALSE)),
IF($J$2="Combined",
IFERROR(
IF(VLOOKUP($A631, YES_Reading_ELA[], COLUMN(IF(VLOOKUP($D$2,'Reading Report Logic'!$A$2:$B$8,2,FALSE)=1, YES_Reading_ELA[Reading Level June of Previous School Year],INDIRECT("YES_Reading_ELA[Instructional Reading Level - Per "&amp;(VLOOKUP($D$2,'Reading Report Logic'!$A$2:$B$8,2,FALSE)-1)&amp;"]"))), FALSE)="", "",
VLOOKUP($A631,YES_Reading_ELA[],COLUMN(IF(VLOOKUP($D$2,'Reading Report Logic'!$A$2:$B$8,2,FALSE)=1, YES_Reading_ELA[Reading Level June of Previous School Year],INDIRECT("YES_Reading_ELA[Instructional Reading Level - Per "&amp;(VLOOKUP($D$2,'Reading Report Logic'!$A$2:$B$8,2,FALSE)-1)&amp;"]"))),FALSE)),
IF(VLOOKUP($A631, YES_Reading_FLA[], COLUMN(IF(VLOOKUP($D$2,'Reading Report Logic'!$A$2:$B$8,2,FALSE)=1, YES_Reading_FLA[Reading Level June of Previous School Year],INDIRECT("YES_Reading_FLA[Instructional Reading Level - Per "&amp;(VLOOKUP($D$2,'Reading Report Logic'!$A$2:$B$8,2,FALSE)-1)&amp;"]"))),FALSE)="", "", VLOOKUP($A631,YES_Reading_FLA[],COLUMN(IF(VLOOKUP($D$2,'Reading Report Logic'!$A$2:$B$8,2,FALSE)=1, YES_Reading_FLA[Reading Level June of Previous School Year],INDIRECT("YES_Reading_FLA[Instructional Reading Level - Per "&amp;(VLOOKUP($D$2,'Reading Report Logic'!$A$2:$B$8,2,FALSE)-1)&amp;"]"))), FALSE))),""))),"")</f>
        <v/>
      </c>
      <c r="D631" s="204" t="str" cm="1">
        <f t="array" aca="1" ref="D631" ca="1">IFERROR(
IF($J$2="ELA",
IF(VLOOKUP($A631, YES_Reading_ELA[], COLUMN(INDIRECT("YES_Reading_ELA[Instructional Reading Level - Per "&amp;VLOOKUP($D$2, 'Reading Report Logic'!$A$2:$B$8, 2, FALSE)&amp;"]")), FALSE)="", "",
VLOOKUP($A631,YES_Reading_ELA[], COLUMN(INDIRECT("YES_Reading_ELA[Instructional Reading Level - Per "&amp;VLOOKUP($D$2,'Reading Report Logic'!$A$2:$B$8,2,FALSE)&amp;"]")), FALSE)),
IF($J$2="FLA",
IF(VLOOKUP($A631, YES_Reading_FLA[], COLUMN(INDIRECT("YES_Reading_FLA[Instructional Reading Level - Per "&amp;VLOOKUP($D$2,'Reading Report Logic'!$A$2:$B$8,2,FALSE)&amp;"]")),FALSE)="","",
VLOOKUP($A631,YES_Reading_FLA[],COLUMN(INDIRECT("YES_Reading_FLA[Instructional Reading Level - Per "&amp;VLOOKUP($D$2,'Reading Report Logic'!$A$2:$B$8,2,FALSE)&amp;"]")),FALSE)),
IF($J$2="Combined",
IFERROR(
IF(VLOOKUP($A631, YES_Reading_ELA[], COLUMN(INDIRECT("YES_Reading_ELA[Instructional Reading Level - Per "&amp;VLOOKUP($D$2, 'Reading Report Logic'!$A$2:$B$8,2,FALSE)&amp;"]")), FALSE)="", "",
VLOOKUP($A631,YES_Reading_ELA[],COLUMN(INDIRECT("YES_Reading_ELA[Instructional Reading Level - Per "&amp;VLOOKUP($D$2,'Reading Report Logic'!$A$2:$B$8,2,FALSE)&amp;"]")),FALSE)),
IF(VLOOKUP($A631, YES_Reading_FLA[], COLUMN(INDIRECT("YES_Reading_FLA[Instructional Reading Level - Per "&amp;VLOOKUP($D$2, 'Reading Report Logic'!$A$2:$B$8, 2, FALSE)&amp;"]")),FALSE)="", "", VLOOKUP($A631,YES_Reading_FLA[],COLUMN(INDIRECT("YES_Reading_FLA[Instructional Reading Level - Per "&amp;VLOOKUP($D$2, 'Reading Report Logic'!$A$2:$B$8, 2, FALSE)&amp;"]")),FALSE))),""))),"")</f>
        <v/>
      </c>
      <c r="E631" s="205" t="str" cm="1">
        <f t="array" aca="1" ref="E631" ca="1">IFERROR(
IF($J$2="ELA",
IF(VLOOKUP($A631, YES_Reading_ELA[], COLUMN(INDIRECT("YES_Reading_ELA[Min Expectation - Per "&amp;VLOOKUP($D$2, 'Reading Report Logic'!$A$2:$B$8, 2, FALSE)&amp;"]")), FALSE)="", "",
VLOOKUP($A631,YES_Reading_ELA[], COLUMN(INDIRECT("YES_Reading_ELA[Min Expectation - Per "&amp;VLOOKUP($D$2,'Reading Report Logic'!$A$2:$B$8,2,FALSE)&amp;"]")), FALSE)),
IF($J$2="FLA",
IF(VLOOKUP($A631, YES_Reading_FLA[], COLUMN(INDIRECT("YES_Reading_FLA[Min Expectation - Per "&amp;VLOOKUP($D$2,'Reading Report Logic'!$A$2:$B$8,2,FALSE)&amp;"]")),FALSE)="","",
VLOOKUP($A631,YES_Reading_FLA[],COLUMN(INDIRECT("YES_Reading_FLA[Min Expectation - Per "&amp;VLOOKUP($D$2,'Reading Report Logic'!$A$2:$B$8,2,FALSE)&amp;"]")),FALSE)),
IF($J$2="Combined",
IFERROR(
IF(VLOOKUP($A631, YES_Reading_ELA[], COLUMN(INDIRECT("YES_Reading_ELA[Min Expectation - Per "&amp;VLOOKUP($D$2, 'Reading Report Logic'!$A$2:$B$8,2,FALSE)&amp;"]")), FALSE)="", "",
VLOOKUP($A631,YES_Reading_ELA[],COLUMN(INDIRECT("YES_Reading_ELA[Min Expectation - Per "&amp;VLOOKUP($D$2,'Reading Report Logic'!$A$2:$B$8,2,FALSE)&amp;"]")),FALSE)),
IF(VLOOKUP($A631, YES_Reading_FLA[], COLUMN(INDIRECT("YES_Reading_FLA[Min Expectation - Per "&amp;VLOOKUP($D$2, 'Reading Report Logic'!$A$2:$B$8, 2, FALSE)&amp;"]")),FALSE)="", "", VLOOKUP($A631,YES_Reading_FLA[],COLUMN(INDIRECT("YES_Reading_FLA[Min Expectation - Per "&amp;VLOOKUP($D$2, 'Reading Report Logic'!$A$2:$B$8, 2, FALSE)&amp;"]")),FALSE))),""))),"")</f>
        <v/>
      </c>
      <c r="F631" s="205" t="str" cm="1">
        <f t="array" aca="1" ref="F631" ca="1">IFERROR(
IF($J$2="ELA",
IF(VLOOKUP($A631, YES_Reading_ELA[], COLUMN(INDIRECT("YES_Reading_ELA[Max Expectation - Per "&amp;VLOOKUP($D$2, 'Reading Report Logic'!$A$2:$B$8, 2, FALSE)&amp;"]")), FALSE)="", "",
VLOOKUP($A631,YES_Reading_ELA[], COLUMN(INDIRECT("YES_Reading_ELA[Max Expectation - Per "&amp;VLOOKUP($D$2,'Reading Report Logic'!$A$2:$B$8,2,FALSE)&amp;"]")), FALSE)),
IF($J$2="FLA",
IF(VLOOKUP($A631, YES_Reading_FLA[], COLUMN(INDIRECT("YES_Reading_FLA[Max Expectation - Per "&amp;VLOOKUP($D$2,'Reading Report Logic'!$A$2:$B$8,2,FALSE)&amp;"]")),FALSE)="","",
VLOOKUP($A631,YES_Reading_FLA[],COLUMN(INDIRECT("YES_Reading_FLA[Max Expectation - Per "&amp;VLOOKUP($D$2,'Reading Report Logic'!$A$2:$B$8,2,FALSE)&amp;"]")),FALSE)),
IF($J$2="Combined",
IFERROR(
IF(VLOOKUP($A631, YES_Reading_ELA[], COLUMN(INDIRECT("YES_Reading_ELA[Max Expectation - Per "&amp;VLOOKUP($D$2, 'Reading Report Logic'!$A$2:$B$8,2,FALSE)&amp;"]")), FALSE)="", "",
VLOOKUP($A631,YES_Reading_ELA[],COLUMN(INDIRECT("YES_Reading_ELA[Max Expectation - Per "&amp;VLOOKUP($D$2,'Reading Report Logic'!$A$2:$B$8,2,FALSE)&amp;"]")),FALSE)),
IF(VLOOKUP($A631, YES_Reading_FLA[], COLUMN(INDIRECT("YES_Reading_FLA[Max Expectation - Per "&amp;VLOOKUP($D$2, 'Reading Report Logic'!$A$2:$B$8, 2, FALSE)&amp;"]")),FALSE)="", "", VLOOKUP($A631,YES_Reading_FLA[],COLUMN(INDIRECT("YES_Reading_FLA[Max Expectation - Per "&amp;VLOOKUP($D$2, 'Reading Report Logic'!$A$2:$B$8, 2, FALSE)&amp;"]")),FALSE))),""))),"")</f>
        <v/>
      </c>
      <c r="G631" s="205" t="str" cm="1">
        <f t="array" aca="1" ref="G631" ca="1">IFERROR(
IF($J$2="ELA",
IF(VLOOKUP($A631, YES_Reading_ELA[], COLUMN(INDIRECT("YES_Reading_ELA[Difference - Per "&amp;VLOOKUP($D$2, 'Reading Report Logic'!$A$2:$B$8, 2, FALSE)&amp;"]")), FALSE)="", "",
VLOOKUP($A631,YES_Reading_ELA[], COLUMN(INDIRECT("YES_Reading_ELA[Difference - Per "&amp;VLOOKUP($D$2,'Reading Report Logic'!$A$2:$B$8,2,FALSE)&amp;"]")), FALSE)),
IF($J$2="FLA",
IF(VLOOKUP($A631, YES_Reading_FLA[], COLUMN(INDIRECT("YES_Reading_FLA[Difference - Per "&amp;VLOOKUP($D$2,'Reading Report Logic'!$A$2:$B$8,2,FALSE)&amp;"]")),FALSE)="","",
VLOOKUP($A631,YES_Reading_FLA[],COLUMN(INDIRECT("YES_Reading_FLA[Difference - Per "&amp;VLOOKUP($D$2,'Reading Report Logic'!$A$2:$B$8,2,FALSE)&amp;"]")),FALSE)),
IF($J$2="Combined",
IFERROR(
IF(VLOOKUP($A631, YES_Reading_ELA[], COLUMN(INDIRECT("YES_Reading_ELA[Difference - Per "&amp;VLOOKUP($D$2, 'Reading Report Logic'!$A$2:$B$8,2,FALSE)&amp;"]")), FALSE)="", "",
VLOOKUP($A631,YES_Reading_ELA[],COLUMN(INDIRECT("YES_Reading_ELA[Difference - Per "&amp;VLOOKUP($D$2,'Reading Report Logic'!$A$2:$B$8,2,FALSE)&amp;"]")),FALSE)),
IF(VLOOKUP($A631, YES_Reading_FLA[], COLUMN(INDIRECT("YES_Reading_FLA[Difference - Per "&amp;VLOOKUP($D$2, 'Reading Report Logic'!$A$2:$B$8, 2, FALSE)&amp;"]")),FALSE)="", "", VLOOKUP($A631,YES_Reading_FLA[],COLUMN(INDIRECT("YES_Reading_FLA[Difference - Per "&amp;VLOOKUP($D$2, 'Reading Report Logic'!$A$2:$B$8, 2, FALSE)&amp;"]")),FALSE))),""))),"")</f>
        <v/>
      </c>
      <c r="H631" s="206" t="str">
        <f ca="1">IFERROR(VLOOKUP('Teacher Reading Pull Sheets'!$D631,_xlfn.VSTACK('ELA Reading Logic'!$A$22:$B$48,'FLA Reading Logic'!$A$22:$B$53),2,FALSE)-VLOOKUP('Teacher Reading Pull Sheets'!$C631,_xlfn.VSTACK('ELA Reading Logic'!$A$22:$B$48,'FLA Reading Logic'!$A$22:$B$53),2,FALSE),"")</f>
        <v/>
      </c>
      <c r="I631" s="212"/>
      <c r="J631" s="206"/>
      <c r="K631" s="197" t="str" cm="1">
        <f t="array" ref="K631">IFERROR(
IF($J$2="ELA",
IF(VLOOKUP($A631, YES_Reading_ELA[], COLUMN(YES_Reading_ELA[Self-Identified as African Descent]), FALSE)="", "",
VLOOKUP($A631,YES_Reading_ELA[], COLUMN(YES_Reading_ELA[Self-Identified as African Descent]), FALSE)),
IF($J$2="FLA",
IF(VLOOKUP($A631, YES_Reading_FLA[], COLUMN(YES_Reading_FLA[Self-Identified as African Descent]),FALSE)="","",
VLOOKUP($A631,YES_Reading_FLA[],COLUMN(YES_Reading_FLA[Self-Identified as African Descent]),FALSE)),
IF($J$2="Combined",
IFERROR(
IF(VLOOKUP($A631, YES_Reading_ELA[], COLUMN(YES_Reading_ELA[Self-Identified as African Descent]), FALSE)="", "",
VLOOKUP($A631,YES_Reading_ELA[],COLUMN(YES_Reading_ELA[Self-Identified as African Descent]),FALSE)),
IF(VLOOKUP($A631, YES_Reading_FLA[], COLUMN(YES_Reading_FLA[Self-Identified as African Descent]),FALSE)="", "", VLOOKUP($A631,YES_Reading_FLA[],COLUMN(YES_Reading_FLA[Self-Identified as African Descent]),FALSE))),""))),"")</f>
        <v/>
      </c>
      <c r="L631" s="73" t="str" cm="1">
        <f t="array" ref="L631">IFERROR(
IF($J$2="ELA",
IF(VLOOKUP($A631, YES_Reading_ELA[], COLUMN(YES_Reading_ELA[Self-Identified as Indigenous]), FALSE)="", "",
VLOOKUP($A631,YES_Reading_ELA[], COLUMN(YES_Reading_ELA[Self-Identified as Indigenous]), FALSE)),
IF($J$2="FLA",
IF(VLOOKUP($A631, YES_Reading_FLA[], COLUMN(YES_Reading_FLA[Self-Identified as Indigenous]),FALSE)="","",
VLOOKUP($A631,YES_Reading_FLA[],COLUMN(YES_Reading_FLA[Self-Identified as Indigenous]),FALSE)),
IF($J$2="Combined",
IFERROR(
IF(VLOOKUP($A631, YES_Reading_ELA[], COLUMN(YES_Reading_ELA[Self-Identified as Indigenous]), FALSE)="", "",
VLOOKUP($A631,YES_Reading_ELA[],COLUMN(YES_Reading_ELA[Self-Identified as Indigenous]),FALSE)),
IF(VLOOKUP($A631, YES_Reading_FLA[], COLUMN(YES_Reading_FLA[Self-Identified as Indigenous]),FALSE)="", "", VLOOKUP($A631,YES_Reading_FLA[],COLUMN(YES_Reading_FLA[Self-Identified as Indigenous]),FALSE))),""))),"")</f>
        <v/>
      </c>
    </row>
    <row r="632" spans="1:12" ht="19.5" customHeight="1" x14ac:dyDescent="0.25">
      <c r="A632" s="217"/>
      <c r="B632" s="220" t="str">
        <f>IFERROR(VLOOKUP(A632,_xlfn.VSTACK(YES_Reading_ELA[],YES_Reading_FLA[]),2,FALSE),"")</f>
        <v/>
      </c>
      <c r="C632" s="203" t="str" cm="1">
        <f t="array" aca="1" ref="C632" ca="1">IFERROR(
IF($J$2="ELA",
IF(VLOOKUP($A632, YES_Reading_ELA[], COLUMN(IF(VLOOKUP($D$2, 'Reading Report Logic'!$A$2:$B$8, 2, FALSE)=1, YES_Reading_ELA[Reading Level June of Previous School Year], INDIRECT("YES_Reading_ELA[Instructional Reading Level - Per "&amp;(VLOOKUP($D$2,'Reading Report Logic'!$A$2:$B$8,2,FALSE)-1)&amp;"]"))), FALSE)="", "",
VLOOKUP($A632,YES_Reading_ELA[], COLUMN(IF(VLOOKUP($D$2,'Reading Report Logic'!$A$2:$B$8,2,FALSE)=1, YES_Reading_ELA[Reading Level June of Previous School Year],INDIRECT("YES_Reading_ELA[Instructional Reading Level - Per "&amp;(VLOOKUP($D$2,'Reading Report Logic'!$A$2:$B$8,2,FALSE)-1)&amp;"]"))), FALSE)),
IF($J$2="FLA",
IF(VLOOKUP($A632, YES_Reading_FLA[], COLUMN(IF(VLOOKUP($D$2,'Reading Report Logic'!$A$2:$B$8,2,FALSE)=1, YES_Reading_FLA[Reading Level June of Previous School Year],INDIRECT("YES_Reading_FLA[Instructional Reading Level - Per "&amp;(VLOOKUP($D$2,'Reading Report Logic'!$A$2:$B$8,2,FALSE)-1)&amp;"]"))),FALSE)="","",
VLOOKUP($A632,YES_Reading_FLA[], COLUMN(IF(VLOOKUP($D$2,'Reading Report Logic'!$A$2:$B$8,2,FALSE)=1, YES_Reading_FLA[Reading Level June of Previous School Year],INDIRECT("YES_Reading_FLA[Instructional Reading Level - Per "&amp;(VLOOKUP($D$2,'Reading Report Logic'!$A$2:$B$8,2,FALSE)-1)&amp;"]"))),FALSE)),
IF($J$2="Combined",
IFERROR(
IF(VLOOKUP($A632, YES_Reading_ELA[], COLUMN(IF(VLOOKUP($D$2,'Reading Report Logic'!$A$2:$B$8,2,FALSE)=1, YES_Reading_ELA[Reading Level June of Previous School Year],INDIRECT("YES_Reading_ELA[Instructional Reading Level - Per "&amp;(VLOOKUP($D$2,'Reading Report Logic'!$A$2:$B$8,2,FALSE)-1)&amp;"]"))), FALSE)="", "",
VLOOKUP($A632,YES_Reading_ELA[],COLUMN(IF(VLOOKUP($D$2,'Reading Report Logic'!$A$2:$B$8,2,FALSE)=1, YES_Reading_ELA[Reading Level June of Previous School Year],INDIRECT("YES_Reading_ELA[Instructional Reading Level - Per "&amp;(VLOOKUP($D$2,'Reading Report Logic'!$A$2:$B$8,2,FALSE)-1)&amp;"]"))),FALSE)),
IF(VLOOKUP($A632, YES_Reading_FLA[], COLUMN(IF(VLOOKUP($D$2,'Reading Report Logic'!$A$2:$B$8,2,FALSE)=1, YES_Reading_FLA[Reading Level June of Previous School Year],INDIRECT("YES_Reading_FLA[Instructional Reading Level - Per "&amp;(VLOOKUP($D$2,'Reading Report Logic'!$A$2:$B$8,2,FALSE)-1)&amp;"]"))),FALSE)="", "", VLOOKUP($A632,YES_Reading_FLA[],COLUMN(IF(VLOOKUP($D$2,'Reading Report Logic'!$A$2:$B$8,2,FALSE)=1, YES_Reading_FLA[Reading Level June of Previous School Year],INDIRECT("YES_Reading_FLA[Instructional Reading Level - Per "&amp;(VLOOKUP($D$2,'Reading Report Logic'!$A$2:$B$8,2,FALSE)-1)&amp;"]"))), FALSE))),""))),"")</f>
        <v/>
      </c>
      <c r="D632" s="204" t="str" cm="1">
        <f t="array" aca="1" ref="D632" ca="1">IFERROR(
IF($J$2="ELA",
IF(VLOOKUP($A632, YES_Reading_ELA[], COLUMN(INDIRECT("YES_Reading_ELA[Instructional Reading Level - Per "&amp;VLOOKUP($D$2, 'Reading Report Logic'!$A$2:$B$8, 2, FALSE)&amp;"]")), FALSE)="", "",
VLOOKUP($A632,YES_Reading_ELA[], COLUMN(INDIRECT("YES_Reading_ELA[Instructional Reading Level - Per "&amp;VLOOKUP($D$2,'Reading Report Logic'!$A$2:$B$8,2,FALSE)&amp;"]")), FALSE)),
IF($J$2="FLA",
IF(VLOOKUP($A632, YES_Reading_FLA[], COLUMN(INDIRECT("YES_Reading_FLA[Instructional Reading Level - Per "&amp;VLOOKUP($D$2,'Reading Report Logic'!$A$2:$B$8,2,FALSE)&amp;"]")),FALSE)="","",
VLOOKUP($A632,YES_Reading_FLA[],COLUMN(INDIRECT("YES_Reading_FLA[Instructional Reading Level - Per "&amp;VLOOKUP($D$2,'Reading Report Logic'!$A$2:$B$8,2,FALSE)&amp;"]")),FALSE)),
IF($J$2="Combined",
IFERROR(
IF(VLOOKUP($A632, YES_Reading_ELA[], COLUMN(INDIRECT("YES_Reading_ELA[Instructional Reading Level - Per "&amp;VLOOKUP($D$2, 'Reading Report Logic'!$A$2:$B$8,2,FALSE)&amp;"]")), FALSE)="", "",
VLOOKUP($A632,YES_Reading_ELA[],COLUMN(INDIRECT("YES_Reading_ELA[Instructional Reading Level - Per "&amp;VLOOKUP($D$2,'Reading Report Logic'!$A$2:$B$8,2,FALSE)&amp;"]")),FALSE)),
IF(VLOOKUP($A632, YES_Reading_FLA[], COLUMN(INDIRECT("YES_Reading_FLA[Instructional Reading Level - Per "&amp;VLOOKUP($D$2, 'Reading Report Logic'!$A$2:$B$8, 2, FALSE)&amp;"]")),FALSE)="", "", VLOOKUP($A632,YES_Reading_FLA[],COLUMN(INDIRECT("YES_Reading_FLA[Instructional Reading Level - Per "&amp;VLOOKUP($D$2, 'Reading Report Logic'!$A$2:$B$8, 2, FALSE)&amp;"]")),FALSE))),""))),"")</f>
        <v/>
      </c>
      <c r="E632" s="205" t="str" cm="1">
        <f t="array" aca="1" ref="E632" ca="1">IFERROR(
IF($J$2="ELA",
IF(VLOOKUP($A632, YES_Reading_ELA[], COLUMN(INDIRECT("YES_Reading_ELA[Min Expectation - Per "&amp;VLOOKUP($D$2, 'Reading Report Logic'!$A$2:$B$8, 2, FALSE)&amp;"]")), FALSE)="", "",
VLOOKUP($A632,YES_Reading_ELA[], COLUMN(INDIRECT("YES_Reading_ELA[Min Expectation - Per "&amp;VLOOKUP($D$2,'Reading Report Logic'!$A$2:$B$8,2,FALSE)&amp;"]")), FALSE)),
IF($J$2="FLA",
IF(VLOOKUP($A632, YES_Reading_FLA[], COLUMN(INDIRECT("YES_Reading_FLA[Min Expectation - Per "&amp;VLOOKUP($D$2,'Reading Report Logic'!$A$2:$B$8,2,FALSE)&amp;"]")),FALSE)="","",
VLOOKUP($A632,YES_Reading_FLA[],COLUMN(INDIRECT("YES_Reading_FLA[Min Expectation - Per "&amp;VLOOKUP($D$2,'Reading Report Logic'!$A$2:$B$8,2,FALSE)&amp;"]")),FALSE)),
IF($J$2="Combined",
IFERROR(
IF(VLOOKUP($A632, YES_Reading_ELA[], COLUMN(INDIRECT("YES_Reading_ELA[Min Expectation - Per "&amp;VLOOKUP($D$2, 'Reading Report Logic'!$A$2:$B$8,2,FALSE)&amp;"]")), FALSE)="", "",
VLOOKUP($A632,YES_Reading_ELA[],COLUMN(INDIRECT("YES_Reading_ELA[Min Expectation - Per "&amp;VLOOKUP($D$2,'Reading Report Logic'!$A$2:$B$8,2,FALSE)&amp;"]")),FALSE)),
IF(VLOOKUP($A632, YES_Reading_FLA[], COLUMN(INDIRECT("YES_Reading_FLA[Min Expectation - Per "&amp;VLOOKUP($D$2, 'Reading Report Logic'!$A$2:$B$8, 2, FALSE)&amp;"]")),FALSE)="", "", VLOOKUP($A632,YES_Reading_FLA[],COLUMN(INDIRECT("YES_Reading_FLA[Min Expectation - Per "&amp;VLOOKUP($D$2, 'Reading Report Logic'!$A$2:$B$8, 2, FALSE)&amp;"]")),FALSE))),""))),"")</f>
        <v/>
      </c>
      <c r="F632" s="205" t="str" cm="1">
        <f t="array" aca="1" ref="F632" ca="1">IFERROR(
IF($J$2="ELA",
IF(VLOOKUP($A632, YES_Reading_ELA[], COLUMN(INDIRECT("YES_Reading_ELA[Max Expectation - Per "&amp;VLOOKUP($D$2, 'Reading Report Logic'!$A$2:$B$8, 2, FALSE)&amp;"]")), FALSE)="", "",
VLOOKUP($A632,YES_Reading_ELA[], COLUMN(INDIRECT("YES_Reading_ELA[Max Expectation - Per "&amp;VLOOKUP($D$2,'Reading Report Logic'!$A$2:$B$8,2,FALSE)&amp;"]")), FALSE)),
IF($J$2="FLA",
IF(VLOOKUP($A632, YES_Reading_FLA[], COLUMN(INDIRECT("YES_Reading_FLA[Max Expectation - Per "&amp;VLOOKUP($D$2,'Reading Report Logic'!$A$2:$B$8,2,FALSE)&amp;"]")),FALSE)="","",
VLOOKUP($A632,YES_Reading_FLA[],COLUMN(INDIRECT("YES_Reading_FLA[Max Expectation - Per "&amp;VLOOKUP($D$2,'Reading Report Logic'!$A$2:$B$8,2,FALSE)&amp;"]")),FALSE)),
IF($J$2="Combined",
IFERROR(
IF(VLOOKUP($A632, YES_Reading_ELA[], COLUMN(INDIRECT("YES_Reading_ELA[Max Expectation - Per "&amp;VLOOKUP($D$2, 'Reading Report Logic'!$A$2:$B$8,2,FALSE)&amp;"]")), FALSE)="", "",
VLOOKUP($A632,YES_Reading_ELA[],COLUMN(INDIRECT("YES_Reading_ELA[Max Expectation - Per "&amp;VLOOKUP($D$2,'Reading Report Logic'!$A$2:$B$8,2,FALSE)&amp;"]")),FALSE)),
IF(VLOOKUP($A632, YES_Reading_FLA[], COLUMN(INDIRECT("YES_Reading_FLA[Max Expectation - Per "&amp;VLOOKUP($D$2, 'Reading Report Logic'!$A$2:$B$8, 2, FALSE)&amp;"]")),FALSE)="", "", VLOOKUP($A632,YES_Reading_FLA[],COLUMN(INDIRECT("YES_Reading_FLA[Max Expectation - Per "&amp;VLOOKUP($D$2, 'Reading Report Logic'!$A$2:$B$8, 2, FALSE)&amp;"]")),FALSE))),""))),"")</f>
        <v/>
      </c>
      <c r="G632" s="205" t="str" cm="1">
        <f t="array" aca="1" ref="G632" ca="1">IFERROR(
IF($J$2="ELA",
IF(VLOOKUP($A632, YES_Reading_ELA[], COLUMN(INDIRECT("YES_Reading_ELA[Difference - Per "&amp;VLOOKUP($D$2, 'Reading Report Logic'!$A$2:$B$8, 2, FALSE)&amp;"]")), FALSE)="", "",
VLOOKUP($A632,YES_Reading_ELA[], COLUMN(INDIRECT("YES_Reading_ELA[Difference - Per "&amp;VLOOKUP($D$2,'Reading Report Logic'!$A$2:$B$8,2,FALSE)&amp;"]")), FALSE)),
IF($J$2="FLA",
IF(VLOOKUP($A632, YES_Reading_FLA[], COLUMN(INDIRECT("YES_Reading_FLA[Difference - Per "&amp;VLOOKUP($D$2,'Reading Report Logic'!$A$2:$B$8,2,FALSE)&amp;"]")),FALSE)="","",
VLOOKUP($A632,YES_Reading_FLA[],COLUMN(INDIRECT("YES_Reading_FLA[Difference - Per "&amp;VLOOKUP($D$2,'Reading Report Logic'!$A$2:$B$8,2,FALSE)&amp;"]")),FALSE)),
IF($J$2="Combined",
IFERROR(
IF(VLOOKUP($A632, YES_Reading_ELA[], COLUMN(INDIRECT("YES_Reading_ELA[Difference - Per "&amp;VLOOKUP($D$2, 'Reading Report Logic'!$A$2:$B$8,2,FALSE)&amp;"]")), FALSE)="", "",
VLOOKUP($A632,YES_Reading_ELA[],COLUMN(INDIRECT("YES_Reading_ELA[Difference - Per "&amp;VLOOKUP($D$2,'Reading Report Logic'!$A$2:$B$8,2,FALSE)&amp;"]")),FALSE)),
IF(VLOOKUP($A632, YES_Reading_FLA[], COLUMN(INDIRECT("YES_Reading_FLA[Difference - Per "&amp;VLOOKUP($D$2, 'Reading Report Logic'!$A$2:$B$8, 2, FALSE)&amp;"]")),FALSE)="", "", VLOOKUP($A632,YES_Reading_FLA[],COLUMN(INDIRECT("YES_Reading_FLA[Difference - Per "&amp;VLOOKUP($D$2, 'Reading Report Logic'!$A$2:$B$8, 2, FALSE)&amp;"]")),FALSE))),""))),"")</f>
        <v/>
      </c>
      <c r="H632" s="206" t="str">
        <f ca="1">IFERROR(VLOOKUP('Teacher Reading Pull Sheets'!$D632,_xlfn.VSTACK('ELA Reading Logic'!$A$22:$B$48,'FLA Reading Logic'!$A$22:$B$53),2,FALSE)-VLOOKUP('Teacher Reading Pull Sheets'!$C632,_xlfn.VSTACK('ELA Reading Logic'!$A$22:$B$48,'FLA Reading Logic'!$A$22:$B$53),2,FALSE),"")</f>
        <v/>
      </c>
      <c r="I632" s="212"/>
      <c r="J632" s="206"/>
      <c r="K632" s="197" t="str" cm="1">
        <f t="array" ref="K632">IFERROR(
IF($J$2="ELA",
IF(VLOOKUP($A632, YES_Reading_ELA[], COLUMN(YES_Reading_ELA[Self-Identified as African Descent]), FALSE)="", "",
VLOOKUP($A632,YES_Reading_ELA[], COLUMN(YES_Reading_ELA[Self-Identified as African Descent]), FALSE)),
IF($J$2="FLA",
IF(VLOOKUP($A632, YES_Reading_FLA[], COLUMN(YES_Reading_FLA[Self-Identified as African Descent]),FALSE)="","",
VLOOKUP($A632,YES_Reading_FLA[],COLUMN(YES_Reading_FLA[Self-Identified as African Descent]),FALSE)),
IF($J$2="Combined",
IFERROR(
IF(VLOOKUP($A632, YES_Reading_ELA[], COLUMN(YES_Reading_ELA[Self-Identified as African Descent]), FALSE)="", "",
VLOOKUP($A632,YES_Reading_ELA[],COLUMN(YES_Reading_ELA[Self-Identified as African Descent]),FALSE)),
IF(VLOOKUP($A632, YES_Reading_FLA[], COLUMN(YES_Reading_FLA[Self-Identified as African Descent]),FALSE)="", "", VLOOKUP($A632,YES_Reading_FLA[],COLUMN(YES_Reading_FLA[Self-Identified as African Descent]),FALSE))),""))),"")</f>
        <v/>
      </c>
      <c r="L632" s="73" t="str" cm="1">
        <f t="array" ref="L632">IFERROR(
IF($J$2="ELA",
IF(VLOOKUP($A632, YES_Reading_ELA[], COLUMN(YES_Reading_ELA[Self-Identified as Indigenous]), FALSE)="", "",
VLOOKUP($A632,YES_Reading_ELA[], COLUMN(YES_Reading_ELA[Self-Identified as Indigenous]), FALSE)),
IF($J$2="FLA",
IF(VLOOKUP($A632, YES_Reading_FLA[], COLUMN(YES_Reading_FLA[Self-Identified as Indigenous]),FALSE)="","",
VLOOKUP($A632,YES_Reading_FLA[],COLUMN(YES_Reading_FLA[Self-Identified as Indigenous]),FALSE)),
IF($J$2="Combined",
IFERROR(
IF(VLOOKUP($A632, YES_Reading_ELA[], COLUMN(YES_Reading_ELA[Self-Identified as Indigenous]), FALSE)="", "",
VLOOKUP($A632,YES_Reading_ELA[],COLUMN(YES_Reading_ELA[Self-Identified as Indigenous]),FALSE)),
IF(VLOOKUP($A632, YES_Reading_FLA[], COLUMN(YES_Reading_FLA[Self-Identified as Indigenous]),FALSE)="", "", VLOOKUP($A632,YES_Reading_FLA[],COLUMN(YES_Reading_FLA[Self-Identified as Indigenous]),FALSE))),""))),"")</f>
        <v/>
      </c>
    </row>
    <row r="633" spans="1:12" ht="19.5" customHeight="1" x14ac:dyDescent="0.25">
      <c r="A633" s="217"/>
      <c r="B633" s="220" t="str">
        <f>IFERROR(VLOOKUP(A633,_xlfn.VSTACK(YES_Reading_ELA[],YES_Reading_FLA[]),2,FALSE),"")</f>
        <v/>
      </c>
      <c r="C633" s="203" t="str" cm="1">
        <f t="array" aca="1" ref="C633" ca="1">IFERROR(
IF($J$2="ELA",
IF(VLOOKUP($A633, YES_Reading_ELA[], COLUMN(IF(VLOOKUP($D$2, 'Reading Report Logic'!$A$2:$B$8, 2, FALSE)=1, YES_Reading_ELA[Reading Level June of Previous School Year], INDIRECT("YES_Reading_ELA[Instructional Reading Level - Per "&amp;(VLOOKUP($D$2,'Reading Report Logic'!$A$2:$B$8,2,FALSE)-1)&amp;"]"))), FALSE)="", "",
VLOOKUP($A633,YES_Reading_ELA[], COLUMN(IF(VLOOKUP($D$2,'Reading Report Logic'!$A$2:$B$8,2,FALSE)=1, YES_Reading_ELA[Reading Level June of Previous School Year],INDIRECT("YES_Reading_ELA[Instructional Reading Level - Per "&amp;(VLOOKUP($D$2,'Reading Report Logic'!$A$2:$B$8,2,FALSE)-1)&amp;"]"))), FALSE)),
IF($J$2="FLA",
IF(VLOOKUP($A633, YES_Reading_FLA[], COLUMN(IF(VLOOKUP($D$2,'Reading Report Logic'!$A$2:$B$8,2,FALSE)=1, YES_Reading_FLA[Reading Level June of Previous School Year],INDIRECT("YES_Reading_FLA[Instructional Reading Level - Per "&amp;(VLOOKUP($D$2,'Reading Report Logic'!$A$2:$B$8,2,FALSE)-1)&amp;"]"))),FALSE)="","",
VLOOKUP($A633,YES_Reading_FLA[], COLUMN(IF(VLOOKUP($D$2,'Reading Report Logic'!$A$2:$B$8,2,FALSE)=1, YES_Reading_FLA[Reading Level June of Previous School Year],INDIRECT("YES_Reading_FLA[Instructional Reading Level - Per "&amp;(VLOOKUP($D$2,'Reading Report Logic'!$A$2:$B$8,2,FALSE)-1)&amp;"]"))),FALSE)),
IF($J$2="Combined",
IFERROR(
IF(VLOOKUP($A633, YES_Reading_ELA[], COLUMN(IF(VLOOKUP($D$2,'Reading Report Logic'!$A$2:$B$8,2,FALSE)=1, YES_Reading_ELA[Reading Level June of Previous School Year],INDIRECT("YES_Reading_ELA[Instructional Reading Level - Per "&amp;(VLOOKUP($D$2,'Reading Report Logic'!$A$2:$B$8,2,FALSE)-1)&amp;"]"))), FALSE)="", "",
VLOOKUP($A633,YES_Reading_ELA[],COLUMN(IF(VLOOKUP($D$2,'Reading Report Logic'!$A$2:$B$8,2,FALSE)=1, YES_Reading_ELA[Reading Level June of Previous School Year],INDIRECT("YES_Reading_ELA[Instructional Reading Level - Per "&amp;(VLOOKUP($D$2,'Reading Report Logic'!$A$2:$B$8,2,FALSE)-1)&amp;"]"))),FALSE)),
IF(VLOOKUP($A633, YES_Reading_FLA[], COLUMN(IF(VLOOKUP($D$2,'Reading Report Logic'!$A$2:$B$8,2,FALSE)=1, YES_Reading_FLA[Reading Level June of Previous School Year],INDIRECT("YES_Reading_FLA[Instructional Reading Level - Per "&amp;(VLOOKUP($D$2,'Reading Report Logic'!$A$2:$B$8,2,FALSE)-1)&amp;"]"))),FALSE)="", "", VLOOKUP($A633,YES_Reading_FLA[],COLUMN(IF(VLOOKUP($D$2,'Reading Report Logic'!$A$2:$B$8,2,FALSE)=1, YES_Reading_FLA[Reading Level June of Previous School Year],INDIRECT("YES_Reading_FLA[Instructional Reading Level - Per "&amp;(VLOOKUP($D$2,'Reading Report Logic'!$A$2:$B$8,2,FALSE)-1)&amp;"]"))), FALSE))),""))),"")</f>
        <v/>
      </c>
      <c r="D633" s="204" t="str" cm="1">
        <f t="array" aca="1" ref="D633" ca="1">IFERROR(
IF($J$2="ELA",
IF(VLOOKUP($A633, YES_Reading_ELA[], COLUMN(INDIRECT("YES_Reading_ELA[Instructional Reading Level - Per "&amp;VLOOKUP($D$2, 'Reading Report Logic'!$A$2:$B$8, 2, FALSE)&amp;"]")), FALSE)="", "",
VLOOKUP($A633,YES_Reading_ELA[], COLUMN(INDIRECT("YES_Reading_ELA[Instructional Reading Level - Per "&amp;VLOOKUP($D$2,'Reading Report Logic'!$A$2:$B$8,2,FALSE)&amp;"]")), FALSE)),
IF($J$2="FLA",
IF(VLOOKUP($A633, YES_Reading_FLA[], COLUMN(INDIRECT("YES_Reading_FLA[Instructional Reading Level - Per "&amp;VLOOKUP($D$2,'Reading Report Logic'!$A$2:$B$8,2,FALSE)&amp;"]")),FALSE)="","",
VLOOKUP($A633,YES_Reading_FLA[],COLUMN(INDIRECT("YES_Reading_FLA[Instructional Reading Level - Per "&amp;VLOOKUP($D$2,'Reading Report Logic'!$A$2:$B$8,2,FALSE)&amp;"]")),FALSE)),
IF($J$2="Combined",
IFERROR(
IF(VLOOKUP($A633, YES_Reading_ELA[], COLUMN(INDIRECT("YES_Reading_ELA[Instructional Reading Level - Per "&amp;VLOOKUP($D$2, 'Reading Report Logic'!$A$2:$B$8,2,FALSE)&amp;"]")), FALSE)="", "",
VLOOKUP($A633,YES_Reading_ELA[],COLUMN(INDIRECT("YES_Reading_ELA[Instructional Reading Level - Per "&amp;VLOOKUP($D$2,'Reading Report Logic'!$A$2:$B$8,2,FALSE)&amp;"]")),FALSE)),
IF(VLOOKUP($A633, YES_Reading_FLA[], COLUMN(INDIRECT("YES_Reading_FLA[Instructional Reading Level - Per "&amp;VLOOKUP($D$2, 'Reading Report Logic'!$A$2:$B$8, 2, FALSE)&amp;"]")),FALSE)="", "", VLOOKUP($A633,YES_Reading_FLA[],COLUMN(INDIRECT("YES_Reading_FLA[Instructional Reading Level - Per "&amp;VLOOKUP($D$2, 'Reading Report Logic'!$A$2:$B$8, 2, FALSE)&amp;"]")),FALSE))),""))),"")</f>
        <v/>
      </c>
      <c r="E633" s="205" t="str" cm="1">
        <f t="array" aca="1" ref="E633" ca="1">IFERROR(
IF($J$2="ELA",
IF(VLOOKUP($A633, YES_Reading_ELA[], COLUMN(INDIRECT("YES_Reading_ELA[Min Expectation - Per "&amp;VLOOKUP($D$2, 'Reading Report Logic'!$A$2:$B$8, 2, FALSE)&amp;"]")), FALSE)="", "",
VLOOKUP($A633,YES_Reading_ELA[], COLUMN(INDIRECT("YES_Reading_ELA[Min Expectation - Per "&amp;VLOOKUP($D$2,'Reading Report Logic'!$A$2:$B$8,2,FALSE)&amp;"]")), FALSE)),
IF($J$2="FLA",
IF(VLOOKUP($A633, YES_Reading_FLA[], COLUMN(INDIRECT("YES_Reading_FLA[Min Expectation - Per "&amp;VLOOKUP($D$2,'Reading Report Logic'!$A$2:$B$8,2,FALSE)&amp;"]")),FALSE)="","",
VLOOKUP($A633,YES_Reading_FLA[],COLUMN(INDIRECT("YES_Reading_FLA[Min Expectation - Per "&amp;VLOOKUP($D$2,'Reading Report Logic'!$A$2:$B$8,2,FALSE)&amp;"]")),FALSE)),
IF($J$2="Combined",
IFERROR(
IF(VLOOKUP($A633, YES_Reading_ELA[], COLUMN(INDIRECT("YES_Reading_ELA[Min Expectation - Per "&amp;VLOOKUP($D$2, 'Reading Report Logic'!$A$2:$B$8,2,FALSE)&amp;"]")), FALSE)="", "",
VLOOKUP($A633,YES_Reading_ELA[],COLUMN(INDIRECT("YES_Reading_ELA[Min Expectation - Per "&amp;VLOOKUP($D$2,'Reading Report Logic'!$A$2:$B$8,2,FALSE)&amp;"]")),FALSE)),
IF(VLOOKUP($A633, YES_Reading_FLA[], COLUMN(INDIRECT("YES_Reading_FLA[Min Expectation - Per "&amp;VLOOKUP($D$2, 'Reading Report Logic'!$A$2:$B$8, 2, FALSE)&amp;"]")),FALSE)="", "", VLOOKUP($A633,YES_Reading_FLA[],COLUMN(INDIRECT("YES_Reading_FLA[Min Expectation - Per "&amp;VLOOKUP($D$2, 'Reading Report Logic'!$A$2:$B$8, 2, FALSE)&amp;"]")),FALSE))),""))),"")</f>
        <v/>
      </c>
      <c r="F633" s="205" t="str" cm="1">
        <f t="array" aca="1" ref="F633" ca="1">IFERROR(
IF($J$2="ELA",
IF(VLOOKUP($A633, YES_Reading_ELA[], COLUMN(INDIRECT("YES_Reading_ELA[Max Expectation - Per "&amp;VLOOKUP($D$2, 'Reading Report Logic'!$A$2:$B$8, 2, FALSE)&amp;"]")), FALSE)="", "",
VLOOKUP($A633,YES_Reading_ELA[], COLUMN(INDIRECT("YES_Reading_ELA[Max Expectation - Per "&amp;VLOOKUP($D$2,'Reading Report Logic'!$A$2:$B$8,2,FALSE)&amp;"]")), FALSE)),
IF($J$2="FLA",
IF(VLOOKUP($A633, YES_Reading_FLA[], COLUMN(INDIRECT("YES_Reading_FLA[Max Expectation - Per "&amp;VLOOKUP($D$2,'Reading Report Logic'!$A$2:$B$8,2,FALSE)&amp;"]")),FALSE)="","",
VLOOKUP($A633,YES_Reading_FLA[],COLUMN(INDIRECT("YES_Reading_FLA[Max Expectation - Per "&amp;VLOOKUP($D$2,'Reading Report Logic'!$A$2:$B$8,2,FALSE)&amp;"]")),FALSE)),
IF($J$2="Combined",
IFERROR(
IF(VLOOKUP($A633, YES_Reading_ELA[], COLUMN(INDIRECT("YES_Reading_ELA[Max Expectation - Per "&amp;VLOOKUP($D$2, 'Reading Report Logic'!$A$2:$B$8,2,FALSE)&amp;"]")), FALSE)="", "",
VLOOKUP($A633,YES_Reading_ELA[],COLUMN(INDIRECT("YES_Reading_ELA[Max Expectation - Per "&amp;VLOOKUP($D$2,'Reading Report Logic'!$A$2:$B$8,2,FALSE)&amp;"]")),FALSE)),
IF(VLOOKUP($A633, YES_Reading_FLA[], COLUMN(INDIRECT("YES_Reading_FLA[Max Expectation - Per "&amp;VLOOKUP($D$2, 'Reading Report Logic'!$A$2:$B$8, 2, FALSE)&amp;"]")),FALSE)="", "", VLOOKUP($A633,YES_Reading_FLA[],COLUMN(INDIRECT("YES_Reading_FLA[Max Expectation - Per "&amp;VLOOKUP($D$2, 'Reading Report Logic'!$A$2:$B$8, 2, FALSE)&amp;"]")),FALSE))),""))),"")</f>
        <v/>
      </c>
      <c r="G633" s="205" t="str" cm="1">
        <f t="array" aca="1" ref="G633" ca="1">IFERROR(
IF($J$2="ELA",
IF(VLOOKUP($A633, YES_Reading_ELA[], COLUMN(INDIRECT("YES_Reading_ELA[Difference - Per "&amp;VLOOKUP($D$2, 'Reading Report Logic'!$A$2:$B$8, 2, FALSE)&amp;"]")), FALSE)="", "",
VLOOKUP($A633,YES_Reading_ELA[], COLUMN(INDIRECT("YES_Reading_ELA[Difference - Per "&amp;VLOOKUP($D$2,'Reading Report Logic'!$A$2:$B$8,2,FALSE)&amp;"]")), FALSE)),
IF($J$2="FLA",
IF(VLOOKUP($A633, YES_Reading_FLA[], COLUMN(INDIRECT("YES_Reading_FLA[Difference - Per "&amp;VLOOKUP($D$2,'Reading Report Logic'!$A$2:$B$8,2,FALSE)&amp;"]")),FALSE)="","",
VLOOKUP($A633,YES_Reading_FLA[],COLUMN(INDIRECT("YES_Reading_FLA[Difference - Per "&amp;VLOOKUP($D$2,'Reading Report Logic'!$A$2:$B$8,2,FALSE)&amp;"]")),FALSE)),
IF($J$2="Combined",
IFERROR(
IF(VLOOKUP($A633, YES_Reading_ELA[], COLUMN(INDIRECT("YES_Reading_ELA[Difference - Per "&amp;VLOOKUP($D$2, 'Reading Report Logic'!$A$2:$B$8,2,FALSE)&amp;"]")), FALSE)="", "",
VLOOKUP($A633,YES_Reading_ELA[],COLUMN(INDIRECT("YES_Reading_ELA[Difference - Per "&amp;VLOOKUP($D$2,'Reading Report Logic'!$A$2:$B$8,2,FALSE)&amp;"]")),FALSE)),
IF(VLOOKUP($A633, YES_Reading_FLA[], COLUMN(INDIRECT("YES_Reading_FLA[Difference - Per "&amp;VLOOKUP($D$2, 'Reading Report Logic'!$A$2:$B$8, 2, FALSE)&amp;"]")),FALSE)="", "", VLOOKUP($A633,YES_Reading_FLA[],COLUMN(INDIRECT("YES_Reading_FLA[Difference - Per "&amp;VLOOKUP($D$2, 'Reading Report Logic'!$A$2:$B$8, 2, FALSE)&amp;"]")),FALSE))),""))),"")</f>
        <v/>
      </c>
      <c r="H633" s="206" t="str">
        <f ca="1">IFERROR(VLOOKUP('Teacher Reading Pull Sheets'!$D633,_xlfn.VSTACK('ELA Reading Logic'!$A$22:$B$48,'FLA Reading Logic'!$A$22:$B$53),2,FALSE)-VLOOKUP('Teacher Reading Pull Sheets'!$C633,_xlfn.VSTACK('ELA Reading Logic'!$A$22:$B$48,'FLA Reading Logic'!$A$22:$B$53),2,FALSE),"")</f>
        <v/>
      </c>
      <c r="I633" s="212"/>
      <c r="J633" s="206"/>
      <c r="K633" s="197" t="str" cm="1">
        <f t="array" ref="K633">IFERROR(
IF($J$2="ELA",
IF(VLOOKUP($A633, YES_Reading_ELA[], COLUMN(YES_Reading_ELA[Self-Identified as African Descent]), FALSE)="", "",
VLOOKUP($A633,YES_Reading_ELA[], COLUMN(YES_Reading_ELA[Self-Identified as African Descent]), FALSE)),
IF($J$2="FLA",
IF(VLOOKUP($A633, YES_Reading_FLA[], COLUMN(YES_Reading_FLA[Self-Identified as African Descent]),FALSE)="","",
VLOOKUP($A633,YES_Reading_FLA[],COLUMN(YES_Reading_FLA[Self-Identified as African Descent]),FALSE)),
IF($J$2="Combined",
IFERROR(
IF(VLOOKUP($A633, YES_Reading_ELA[], COLUMN(YES_Reading_ELA[Self-Identified as African Descent]), FALSE)="", "",
VLOOKUP($A633,YES_Reading_ELA[],COLUMN(YES_Reading_ELA[Self-Identified as African Descent]),FALSE)),
IF(VLOOKUP($A633, YES_Reading_FLA[], COLUMN(YES_Reading_FLA[Self-Identified as African Descent]),FALSE)="", "", VLOOKUP($A633,YES_Reading_FLA[],COLUMN(YES_Reading_FLA[Self-Identified as African Descent]),FALSE))),""))),"")</f>
        <v/>
      </c>
      <c r="L633" s="73" t="str" cm="1">
        <f t="array" ref="L633">IFERROR(
IF($J$2="ELA",
IF(VLOOKUP($A633, YES_Reading_ELA[], COLUMN(YES_Reading_ELA[Self-Identified as Indigenous]), FALSE)="", "",
VLOOKUP($A633,YES_Reading_ELA[], COLUMN(YES_Reading_ELA[Self-Identified as Indigenous]), FALSE)),
IF($J$2="FLA",
IF(VLOOKUP($A633, YES_Reading_FLA[], COLUMN(YES_Reading_FLA[Self-Identified as Indigenous]),FALSE)="","",
VLOOKUP($A633,YES_Reading_FLA[],COLUMN(YES_Reading_FLA[Self-Identified as Indigenous]),FALSE)),
IF($J$2="Combined",
IFERROR(
IF(VLOOKUP($A633, YES_Reading_ELA[], COLUMN(YES_Reading_ELA[Self-Identified as Indigenous]), FALSE)="", "",
VLOOKUP($A633,YES_Reading_ELA[],COLUMN(YES_Reading_ELA[Self-Identified as Indigenous]),FALSE)),
IF(VLOOKUP($A633, YES_Reading_FLA[], COLUMN(YES_Reading_FLA[Self-Identified as Indigenous]),FALSE)="", "", VLOOKUP($A633,YES_Reading_FLA[],COLUMN(YES_Reading_FLA[Self-Identified as Indigenous]),FALSE))),""))),"")</f>
        <v/>
      </c>
    </row>
    <row r="634" spans="1:12" ht="19.5" customHeight="1" x14ac:dyDescent="0.25">
      <c r="A634" s="217"/>
      <c r="B634" s="220" t="str">
        <f>IFERROR(VLOOKUP(A634,_xlfn.VSTACK(YES_Reading_ELA[],YES_Reading_FLA[]),2,FALSE),"")</f>
        <v/>
      </c>
      <c r="C634" s="203" t="str" cm="1">
        <f t="array" aca="1" ref="C634" ca="1">IFERROR(
IF($J$2="ELA",
IF(VLOOKUP($A634, YES_Reading_ELA[], COLUMN(IF(VLOOKUP($D$2, 'Reading Report Logic'!$A$2:$B$8, 2, FALSE)=1, YES_Reading_ELA[Reading Level June of Previous School Year], INDIRECT("YES_Reading_ELA[Instructional Reading Level - Per "&amp;(VLOOKUP($D$2,'Reading Report Logic'!$A$2:$B$8,2,FALSE)-1)&amp;"]"))), FALSE)="", "",
VLOOKUP($A634,YES_Reading_ELA[], COLUMN(IF(VLOOKUP($D$2,'Reading Report Logic'!$A$2:$B$8,2,FALSE)=1, YES_Reading_ELA[Reading Level June of Previous School Year],INDIRECT("YES_Reading_ELA[Instructional Reading Level - Per "&amp;(VLOOKUP($D$2,'Reading Report Logic'!$A$2:$B$8,2,FALSE)-1)&amp;"]"))), FALSE)),
IF($J$2="FLA",
IF(VLOOKUP($A634, YES_Reading_FLA[], COLUMN(IF(VLOOKUP($D$2,'Reading Report Logic'!$A$2:$B$8,2,FALSE)=1, YES_Reading_FLA[Reading Level June of Previous School Year],INDIRECT("YES_Reading_FLA[Instructional Reading Level - Per "&amp;(VLOOKUP($D$2,'Reading Report Logic'!$A$2:$B$8,2,FALSE)-1)&amp;"]"))),FALSE)="","",
VLOOKUP($A634,YES_Reading_FLA[], COLUMN(IF(VLOOKUP($D$2,'Reading Report Logic'!$A$2:$B$8,2,FALSE)=1, YES_Reading_FLA[Reading Level June of Previous School Year],INDIRECT("YES_Reading_FLA[Instructional Reading Level - Per "&amp;(VLOOKUP($D$2,'Reading Report Logic'!$A$2:$B$8,2,FALSE)-1)&amp;"]"))),FALSE)),
IF($J$2="Combined",
IFERROR(
IF(VLOOKUP($A634, YES_Reading_ELA[], COLUMN(IF(VLOOKUP($D$2,'Reading Report Logic'!$A$2:$B$8,2,FALSE)=1, YES_Reading_ELA[Reading Level June of Previous School Year],INDIRECT("YES_Reading_ELA[Instructional Reading Level - Per "&amp;(VLOOKUP($D$2,'Reading Report Logic'!$A$2:$B$8,2,FALSE)-1)&amp;"]"))), FALSE)="", "",
VLOOKUP($A634,YES_Reading_ELA[],COLUMN(IF(VLOOKUP($D$2,'Reading Report Logic'!$A$2:$B$8,2,FALSE)=1, YES_Reading_ELA[Reading Level June of Previous School Year],INDIRECT("YES_Reading_ELA[Instructional Reading Level - Per "&amp;(VLOOKUP($D$2,'Reading Report Logic'!$A$2:$B$8,2,FALSE)-1)&amp;"]"))),FALSE)),
IF(VLOOKUP($A634, YES_Reading_FLA[], COLUMN(IF(VLOOKUP($D$2,'Reading Report Logic'!$A$2:$B$8,2,FALSE)=1, YES_Reading_FLA[Reading Level June of Previous School Year],INDIRECT("YES_Reading_FLA[Instructional Reading Level - Per "&amp;(VLOOKUP($D$2,'Reading Report Logic'!$A$2:$B$8,2,FALSE)-1)&amp;"]"))),FALSE)="", "", VLOOKUP($A634,YES_Reading_FLA[],COLUMN(IF(VLOOKUP($D$2,'Reading Report Logic'!$A$2:$B$8,2,FALSE)=1, YES_Reading_FLA[Reading Level June of Previous School Year],INDIRECT("YES_Reading_FLA[Instructional Reading Level - Per "&amp;(VLOOKUP($D$2,'Reading Report Logic'!$A$2:$B$8,2,FALSE)-1)&amp;"]"))), FALSE))),""))),"")</f>
        <v/>
      </c>
      <c r="D634" s="204" t="str" cm="1">
        <f t="array" aca="1" ref="D634" ca="1">IFERROR(
IF($J$2="ELA",
IF(VLOOKUP($A634, YES_Reading_ELA[], COLUMN(INDIRECT("YES_Reading_ELA[Instructional Reading Level - Per "&amp;VLOOKUP($D$2, 'Reading Report Logic'!$A$2:$B$8, 2, FALSE)&amp;"]")), FALSE)="", "",
VLOOKUP($A634,YES_Reading_ELA[], COLUMN(INDIRECT("YES_Reading_ELA[Instructional Reading Level - Per "&amp;VLOOKUP($D$2,'Reading Report Logic'!$A$2:$B$8,2,FALSE)&amp;"]")), FALSE)),
IF($J$2="FLA",
IF(VLOOKUP($A634, YES_Reading_FLA[], COLUMN(INDIRECT("YES_Reading_FLA[Instructional Reading Level - Per "&amp;VLOOKUP($D$2,'Reading Report Logic'!$A$2:$B$8,2,FALSE)&amp;"]")),FALSE)="","",
VLOOKUP($A634,YES_Reading_FLA[],COLUMN(INDIRECT("YES_Reading_FLA[Instructional Reading Level - Per "&amp;VLOOKUP($D$2,'Reading Report Logic'!$A$2:$B$8,2,FALSE)&amp;"]")),FALSE)),
IF($J$2="Combined",
IFERROR(
IF(VLOOKUP($A634, YES_Reading_ELA[], COLUMN(INDIRECT("YES_Reading_ELA[Instructional Reading Level - Per "&amp;VLOOKUP($D$2, 'Reading Report Logic'!$A$2:$B$8,2,FALSE)&amp;"]")), FALSE)="", "",
VLOOKUP($A634,YES_Reading_ELA[],COLUMN(INDIRECT("YES_Reading_ELA[Instructional Reading Level - Per "&amp;VLOOKUP($D$2,'Reading Report Logic'!$A$2:$B$8,2,FALSE)&amp;"]")),FALSE)),
IF(VLOOKUP($A634, YES_Reading_FLA[], COLUMN(INDIRECT("YES_Reading_FLA[Instructional Reading Level - Per "&amp;VLOOKUP($D$2, 'Reading Report Logic'!$A$2:$B$8, 2, FALSE)&amp;"]")),FALSE)="", "", VLOOKUP($A634,YES_Reading_FLA[],COLUMN(INDIRECT("YES_Reading_FLA[Instructional Reading Level - Per "&amp;VLOOKUP($D$2, 'Reading Report Logic'!$A$2:$B$8, 2, FALSE)&amp;"]")),FALSE))),""))),"")</f>
        <v/>
      </c>
      <c r="E634" s="205" t="str" cm="1">
        <f t="array" aca="1" ref="E634" ca="1">IFERROR(
IF($J$2="ELA",
IF(VLOOKUP($A634, YES_Reading_ELA[], COLUMN(INDIRECT("YES_Reading_ELA[Min Expectation - Per "&amp;VLOOKUP($D$2, 'Reading Report Logic'!$A$2:$B$8, 2, FALSE)&amp;"]")), FALSE)="", "",
VLOOKUP($A634,YES_Reading_ELA[], COLUMN(INDIRECT("YES_Reading_ELA[Min Expectation - Per "&amp;VLOOKUP($D$2,'Reading Report Logic'!$A$2:$B$8,2,FALSE)&amp;"]")), FALSE)),
IF($J$2="FLA",
IF(VLOOKUP($A634, YES_Reading_FLA[], COLUMN(INDIRECT("YES_Reading_FLA[Min Expectation - Per "&amp;VLOOKUP($D$2,'Reading Report Logic'!$A$2:$B$8,2,FALSE)&amp;"]")),FALSE)="","",
VLOOKUP($A634,YES_Reading_FLA[],COLUMN(INDIRECT("YES_Reading_FLA[Min Expectation - Per "&amp;VLOOKUP($D$2,'Reading Report Logic'!$A$2:$B$8,2,FALSE)&amp;"]")),FALSE)),
IF($J$2="Combined",
IFERROR(
IF(VLOOKUP($A634, YES_Reading_ELA[], COLUMN(INDIRECT("YES_Reading_ELA[Min Expectation - Per "&amp;VLOOKUP($D$2, 'Reading Report Logic'!$A$2:$B$8,2,FALSE)&amp;"]")), FALSE)="", "",
VLOOKUP($A634,YES_Reading_ELA[],COLUMN(INDIRECT("YES_Reading_ELA[Min Expectation - Per "&amp;VLOOKUP($D$2,'Reading Report Logic'!$A$2:$B$8,2,FALSE)&amp;"]")),FALSE)),
IF(VLOOKUP($A634, YES_Reading_FLA[], COLUMN(INDIRECT("YES_Reading_FLA[Min Expectation - Per "&amp;VLOOKUP($D$2, 'Reading Report Logic'!$A$2:$B$8, 2, FALSE)&amp;"]")),FALSE)="", "", VLOOKUP($A634,YES_Reading_FLA[],COLUMN(INDIRECT("YES_Reading_FLA[Min Expectation - Per "&amp;VLOOKUP($D$2, 'Reading Report Logic'!$A$2:$B$8, 2, FALSE)&amp;"]")),FALSE))),""))),"")</f>
        <v/>
      </c>
      <c r="F634" s="205" t="str" cm="1">
        <f t="array" aca="1" ref="F634" ca="1">IFERROR(
IF($J$2="ELA",
IF(VLOOKUP($A634, YES_Reading_ELA[], COLUMN(INDIRECT("YES_Reading_ELA[Max Expectation - Per "&amp;VLOOKUP($D$2, 'Reading Report Logic'!$A$2:$B$8, 2, FALSE)&amp;"]")), FALSE)="", "",
VLOOKUP($A634,YES_Reading_ELA[], COLUMN(INDIRECT("YES_Reading_ELA[Max Expectation - Per "&amp;VLOOKUP($D$2,'Reading Report Logic'!$A$2:$B$8,2,FALSE)&amp;"]")), FALSE)),
IF($J$2="FLA",
IF(VLOOKUP($A634, YES_Reading_FLA[], COLUMN(INDIRECT("YES_Reading_FLA[Max Expectation - Per "&amp;VLOOKUP($D$2,'Reading Report Logic'!$A$2:$B$8,2,FALSE)&amp;"]")),FALSE)="","",
VLOOKUP($A634,YES_Reading_FLA[],COLUMN(INDIRECT("YES_Reading_FLA[Max Expectation - Per "&amp;VLOOKUP($D$2,'Reading Report Logic'!$A$2:$B$8,2,FALSE)&amp;"]")),FALSE)),
IF($J$2="Combined",
IFERROR(
IF(VLOOKUP($A634, YES_Reading_ELA[], COLUMN(INDIRECT("YES_Reading_ELA[Max Expectation - Per "&amp;VLOOKUP($D$2, 'Reading Report Logic'!$A$2:$B$8,2,FALSE)&amp;"]")), FALSE)="", "",
VLOOKUP($A634,YES_Reading_ELA[],COLUMN(INDIRECT("YES_Reading_ELA[Max Expectation - Per "&amp;VLOOKUP($D$2,'Reading Report Logic'!$A$2:$B$8,2,FALSE)&amp;"]")),FALSE)),
IF(VLOOKUP($A634, YES_Reading_FLA[], COLUMN(INDIRECT("YES_Reading_FLA[Max Expectation - Per "&amp;VLOOKUP($D$2, 'Reading Report Logic'!$A$2:$B$8, 2, FALSE)&amp;"]")),FALSE)="", "", VLOOKUP($A634,YES_Reading_FLA[],COLUMN(INDIRECT("YES_Reading_FLA[Max Expectation - Per "&amp;VLOOKUP($D$2, 'Reading Report Logic'!$A$2:$B$8, 2, FALSE)&amp;"]")),FALSE))),""))),"")</f>
        <v/>
      </c>
      <c r="G634" s="205" t="str" cm="1">
        <f t="array" aca="1" ref="G634" ca="1">IFERROR(
IF($J$2="ELA",
IF(VLOOKUP($A634, YES_Reading_ELA[], COLUMN(INDIRECT("YES_Reading_ELA[Difference - Per "&amp;VLOOKUP($D$2, 'Reading Report Logic'!$A$2:$B$8, 2, FALSE)&amp;"]")), FALSE)="", "",
VLOOKUP($A634,YES_Reading_ELA[], COLUMN(INDIRECT("YES_Reading_ELA[Difference - Per "&amp;VLOOKUP($D$2,'Reading Report Logic'!$A$2:$B$8,2,FALSE)&amp;"]")), FALSE)),
IF($J$2="FLA",
IF(VLOOKUP($A634, YES_Reading_FLA[], COLUMN(INDIRECT("YES_Reading_FLA[Difference - Per "&amp;VLOOKUP($D$2,'Reading Report Logic'!$A$2:$B$8,2,FALSE)&amp;"]")),FALSE)="","",
VLOOKUP($A634,YES_Reading_FLA[],COLUMN(INDIRECT("YES_Reading_FLA[Difference - Per "&amp;VLOOKUP($D$2,'Reading Report Logic'!$A$2:$B$8,2,FALSE)&amp;"]")),FALSE)),
IF($J$2="Combined",
IFERROR(
IF(VLOOKUP($A634, YES_Reading_ELA[], COLUMN(INDIRECT("YES_Reading_ELA[Difference - Per "&amp;VLOOKUP($D$2, 'Reading Report Logic'!$A$2:$B$8,2,FALSE)&amp;"]")), FALSE)="", "",
VLOOKUP($A634,YES_Reading_ELA[],COLUMN(INDIRECT("YES_Reading_ELA[Difference - Per "&amp;VLOOKUP($D$2,'Reading Report Logic'!$A$2:$B$8,2,FALSE)&amp;"]")),FALSE)),
IF(VLOOKUP($A634, YES_Reading_FLA[], COLUMN(INDIRECT("YES_Reading_FLA[Difference - Per "&amp;VLOOKUP($D$2, 'Reading Report Logic'!$A$2:$B$8, 2, FALSE)&amp;"]")),FALSE)="", "", VLOOKUP($A634,YES_Reading_FLA[],COLUMN(INDIRECT("YES_Reading_FLA[Difference - Per "&amp;VLOOKUP($D$2, 'Reading Report Logic'!$A$2:$B$8, 2, FALSE)&amp;"]")),FALSE))),""))),"")</f>
        <v/>
      </c>
      <c r="H634" s="206" t="str">
        <f ca="1">IFERROR(VLOOKUP('Teacher Reading Pull Sheets'!$D634,_xlfn.VSTACK('ELA Reading Logic'!$A$22:$B$48,'FLA Reading Logic'!$A$22:$B$53),2,FALSE)-VLOOKUP('Teacher Reading Pull Sheets'!$C634,_xlfn.VSTACK('ELA Reading Logic'!$A$22:$B$48,'FLA Reading Logic'!$A$22:$B$53),2,FALSE),"")</f>
        <v/>
      </c>
      <c r="I634" s="212"/>
      <c r="J634" s="206"/>
      <c r="K634" s="197" t="str" cm="1">
        <f t="array" ref="K634">IFERROR(
IF($J$2="ELA",
IF(VLOOKUP($A634, YES_Reading_ELA[], COLUMN(YES_Reading_ELA[Self-Identified as African Descent]), FALSE)="", "",
VLOOKUP($A634,YES_Reading_ELA[], COLUMN(YES_Reading_ELA[Self-Identified as African Descent]), FALSE)),
IF($J$2="FLA",
IF(VLOOKUP($A634, YES_Reading_FLA[], COLUMN(YES_Reading_FLA[Self-Identified as African Descent]),FALSE)="","",
VLOOKUP($A634,YES_Reading_FLA[],COLUMN(YES_Reading_FLA[Self-Identified as African Descent]),FALSE)),
IF($J$2="Combined",
IFERROR(
IF(VLOOKUP($A634, YES_Reading_ELA[], COLUMN(YES_Reading_ELA[Self-Identified as African Descent]), FALSE)="", "",
VLOOKUP($A634,YES_Reading_ELA[],COLUMN(YES_Reading_ELA[Self-Identified as African Descent]),FALSE)),
IF(VLOOKUP($A634, YES_Reading_FLA[], COLUMN(YES_Reading_FLA[Self-Identified as African Descent]),FALSE)="", "", VLOOKUP($A634,YES_Reading_FLA[],COLUMN(YES_Reading_FLA[Self-Identified as African Descent]),FALSE))),""))),"")</f>
        <v/>
      </c>
      <c r="L634" s="73" t="str" cm="1">
        <f t="array" ref="L634">IFERROR(
IF($J$2="ELA",
IF(VLOOKUP($A634, YES_Reading_ELA[], COLUMN(YES_Reading_ELA[Self-Identified as Indigenous]), FALSE)="", "",
VLOOKUP($A634,YES_Reading_ELA[], COLUMN(YES_Reading_ELA[Self-Identified as Indigenous]), FALSE)),
IF($J$2="FLA",
IF(VLOOKUP($A634, YES_Reading_FLA[], COLUMN(YES_Reading_FLA[Self-Identified as Indigenous]),FALSE)="","",
VLOOKUP($A634,YES_Reading_FLA[],COLUMN(YES_Reading_FLA[Self-Identified as Indigenous]),FALSE)),
IF($J$2="Combined",
IFERROR(
IF(VLOOKUP($A634, YES_Reading_ELA[], COLUMN(YES_Reading_ELA[Self-Identified as Indigenous]), FALSE)="", "",
VLOOKUP($A634,YES_Reading_ELA[],COLUMN(YES_Reading_ELA[Self-Identified as Indigenous]),FALSE)),
IF(VLOOKUP($A634, YES_Reading_FLA[], COLUMN(YES_Reading_FLA[Self-Identified as Indigenous]),FALSE)="", "", VLOOKUP($A634,YES_Reading_FLA[],COLUMN(YES_Reading_FLA[Self-Identified as Indigenous]),FALSE))),""))),"")</f>
        <v/>
      </c>
    </row>
    <row r="635" spans="1:12" ht="19.5" customHeight="1" x14ac:dyDescent="0.25">
      <c r="A635" s="217"/>
      <c r="B635" s="220" t="str">
        <f>IFERROR(VLOOKUP(A635,_xlfn.VSTACK(YES_Reading_ELA[],YES_Reading_FLA[]),2,FALSE),"")</f>
        <v/>
      </c>
      <c r="C635" s="203" t="str" cm="1">
        <f t="array" aca="1" ref="C635" ca="1">IFERROR(
IF($J$2="ELA",
IF(VLOOKUP($A635, YES_Reading_ELA[], COLUMN(IF(VLOOKUP($D$2, 'Reading Report Logic'!$A$2:$B$8, 2, FALSE)=1, YES_Reading_ELA[Reading Level June of Previous School Year], INDIRECT("YES_Reading_ELA[Instructional Reading Level - Per "&amp;(VLOOKUP($D$2,'Reading Report Logic'!$A$2:$B$8,2,FALSE)-1)&amp;"]"))), FALSE)="", "",
VLOOKUP($A635,YES_Reading_ELA[], COLUMN(IF(VLOOKUP($D$2,'Reading Report Logic'!$A$2:$B$8,2,FALSE)=1, YES_Reading_ELA[Reading Level June of Previous School Year],INDIRECT("YES_Reading_ELA[Instructional Reading Level - Per "&amp;(VLOOKUP($D$2,'Reading Report Logic'!$A$2:$B$8,2,FALSE)-1)&amp;"]"))), FALSE)),
IF($J$2="FLA",
IF(VLOOKUP($A635, YES_Reading_FLA[], COLUMN(IF(VLOOKUP($D$2,'Reading Report Logic'!$A$2:$B$8,2,FALSE)=1, YES_Reading_FLA[Reading Level June of Previous School Year],INDIRECT("YES_Reading_FLA[Instructional Reading Level - Per "&amp;(VLOOKUP($D$2,'Reading Report Logic'!$A$2:$B$8,2,FALSE)-1)&amp;"]"))),FALSE)="","",
VLOOKUP($A635,YES_Reading_FLA[], COLUMN(IF(VLOOKUP($D$2,'Reading Report Logic'!$A$2:$B$8,2,FALSE)=1, YES_Reading_FLA[Reading Level June of Previous School Year],INDIRECT("YES_Reading_FLA[Instructional Reading Level - Per "&amp;(VLOOKUP($D$2,'Reading Report Logic'!$A$2:$B$8,2,FALSE)-1)&amp;"]"))),FALSE)),
IF($J$2="Combined",
IFERROR(
IF(VLOOKUP($A635, YES_Reading_ELA[], COLUMN(IF(VLOOKUP($D$2,'Reading Report Logic'!$A$2:$B$8,2,FALSE)=1, YES_Reading_ELA[Reading Level June of Previous School Year],INDIRECT("YES_Reading_ELA[Instructional Reading Level - Per "&amp;(VLOOKUP($D$2,'Reading Report Logic'!$A$2:$B$8,2,FALSE)-1)&amp;"]"))), FALSE)="", "",
VLOOKUP($A635,YES_Reading_ELA[],COLUMN(IF(VLOOKUP($D$2,'Reading Report Logic'!$A$2:$B$8,2,FALSE)=1, YES_Reading_ELA[Reading Level June of Previous School Year],INDIRECT("YES_Reading_ELA[Instructional Reading Level - Per "&amp;(VLOOKUP($D$2,'Reading Report Logic'!$A$2:$B$8,2,FALSE)-1)&amp;"]"))),FALSE)),
IF(VLOOKUP($A635, YES_Reading_FLA[], COLUMN(IF(VLOOKUP($D$2,'Reading Report Logic'!$A$2:$B$8,2,FALSE)=1, YES_Reading_FLA[Reading Level June of Previous School Year],INDIRECT("YES_Reading_FLA[Instructional Reading Level - Per "&amp;(VLOOKUP($D$2,'Reading Report Logic'!$A$2:$B$8,2,FALSE)-1)&amp;"]"))),FALSE)="", "", VLOOKUP($A635,YES_Reading_FLA[],COLUMN(IF(VLOOKUP($D$2,'Reading Report Logic'!$A$2:$B$8,2,FALSE)=1, YES_Reading_FLA[Reading Level June of Previous School Year],INDIRECT("YES_Reading_FLA[Instructional Reading Level - Per "&amp;(VLOOKUP($D$2,'Reading Report Logic'!$A$2:$B$8,2,FALSE)-1)&amp;"]"))), FALSE))),""))),"")</f>
        <v/>
      </c>
      <c r="D635" s="204" t="str" cm="1">
        <f t="array" aca="1" ref="D635" ca="1">IFERROR(
IF($J$2="ELA",
IF(VLOOKUP($A635, YES_Reading_ELA[], COLUMN(INDIRECT("YES_Reading_ELA[Instructional Reading Level - Per "&amp;VLOOKUP($D$2, 'Reading Report Logic'!$A$2:$B$8, 2, FALSE)&amp;"]")), FALSE)="", "",
VLOOKUP($A635,YES_Reading_ELA[], COLUMN(INDIRECT("YES_Reading_ELA[Instructional Reading Level - Per "&amp;VLOOKUP($D$2,'Reading Report Logic'!$A$2:$B$8,2,FALSE)&amp;"]")), FALSE)),
IF($J$2="FLA",
IF(VLOOKUP($A635, YES_Reading_FLA[], COLUMN(INDIRECT("YES_Reading_FLA[Instructional Reading Level - Per "&amp;VLOOKUP($D$2,'Reading Report Logic'!$A$2:$B$8,2,FALSE)&amp;"]")),FALSE)="","",
VLOOKUP($A635,YES_Reading_FLA[],COLUMN(INDIRECT("YES_Reading_FLA[Instructional Reading Level - Per "&amp;VLOOKUP($D$2,'Reading Report Logic'!$A$2:$B$8,2,FALSE)&amp;"]")),FALSE)),
IF($J$2="Combined",
IFERROR(
IF(VLOOKUP($A635, YES_Reading_ELA[], COLUMN(INDIRECT("YES_Reading_ELA[Instructional Reading Level - Per "&amp;VLOOKUP($D$2, 'Reading Report Logic'!$A$2:$B$8,2,FALSE)&amp;"]")), FALSE)="", "",
VLOOKUP($A635,YES_Reading_ELA[],COLUMN(INDIRECT("YES_Reading_ELA[Instructional Reading Level - Per "&amp;VLOOKUP($D$2,'Reading Report Logic'!$A$2:$B$8,2,FALSE)&amp;"]")),FALSE)),
IF(VLOOKUP($A635, YES_Reading_FLA[], COLUMN(INDIRECT("YES_Reading_FLA[Instructional Reading Level - Per "&amp;VLOOKUP($D$2, 'Reading Report Logic'!$A$2:$B$8, 2, FALSE)&amp;"]")),FALSE)="", "", VLOOKUP($A635,YES_Reading_FLA[],COLUMN(INDIRECT("YES_Reading_FLA[Instructional Reading Level - Per "&amp;VLOOKUP($D$2, 'Reading Report Logic'!$A$2:$B$8, 2, FALSE)&amp;"]")),FALSE))),""))),"")</f>
        <v/>
      </c>
      <c r="E635" s="205" t="str" cm="1">
        <f t="array" aca="1" ref="E635" ca="1">IFERROR(
IF($J$2="ELA",
IF(VLOOKUP($A635, YES_Reading_ELA[], COLUMN(INDIRECT("YES_Reading_ELA[Min Expectation - Per "&amp;VLOOKUP($D$2, 'Reading Report Logic'!$A$2:$B$8, 2, FALSE)&amp;"]")), FALSE)="", "",
VLOOKUP($A635,YES_Reading_ELA[], COLUMN(INDIRECT("YES_Reading_ELA[Min Expectation - Per "&amp;VLOOKUP($D$2,'Reading Report Logic'!$A$2:$B$8,2,FALSE)&amp;"]")), FALSE)),
IF($J$2="FLA",
IF(VLOOKUP($A635, YES_Reading_FLA[], COLUMN(INDIRECT("YES_Reading_FLA[Min Expectation - Per "&amp;VLOOKUP($D$2,'Reading Report Logic'!$A$2:$B$8,2,FALSE)&amp;"]")),FALSE)="","",
VLOOKUP($A635,YES_Reading_FLA[],COLUMN(INDIRECT("YES_Reading_FLA[Min Expectation - Per "&amp;VLOOKUP($D$2,'Reading Report Logic'!$A$2:$B$8,2,FALSE)&amp;"]")),FALSE)),
IF($J$2="Combined",
IFERROR(
IF(VLOOKUP($A635, YES_Reading_ELA[], COLUMN(INDIRECT("YES_Reading_ELA[Min Expectation - Per "&amp;VLOOKUP($D$2, 'Reading Report Logic'!$A$2:$B$8,2,FALSE)&amp;"]")), FALSE)="", "",
VLOOKUP($A635,YES_Reading_ELA[],COLUMN(INDIRECT("YES_Reading_ELA[Min Expectation - Per "&amp;VLOOKUP($D$2,'Reading Report Logic'!$A$2:$B$8,2,FALSE)&amp;"]")),FALSE)),
IF(VLOOKUP($A635, YES_Reading_FLA[], COLUMN(INDIRECT("YES_Reading_FLA[Min Expectation - Per "&amp;VLOOKUP($D$2, 'Reading Report Logic'!$A$2:$B$8, 2, FALSE)&amp;"]")),FALSE)="", "", VLOOKUP($A635,YES_Reading_FLA[],COLUMN(INDIRECT("YES_Reading_FLA[Min Expectation - Per "&amp;VLOOKUP($D$2, 'Reading Report Logic'!$A$2:$B$8, 2, FALSE)&amp;"]")),FALSE))),""))),"")</f>
        <v/>
      </c>
      <c r="F635" s="205" t="str" cm="1">
        <f t="array" aca="1" ref="F635" ca="1">IFERROR(
IF($J$2="ELA",
IF(VLOOKUP($A635, YES_Reading_ELA[], COLUMN(INDIRECT("YES_Reading_ELA[Max Expectation - Per "&amp;VLOOKUP($D$2, 'Reading Report Logic'!$A$2:$B$8, 2, FALSE)&amp;"]")), FALSE)="", "",
VLOOKUP($A635,YES_Reading_ELA[], COLUMN(INDIRECT("YES_Reading_ELA[Max Expectation - Per "&amp;VLOOKUP($D$2,'Reading Report Logic'!$A$2:$B$8,2,FALSE)&amp;"]")), FALSE)),
IF($J$2="FLA",
IF(VLOOKUP($A635, YES_Reading_FLA[], COLUMN(INDIRECT("YES_Reading_FLA[Max Expectation - Per "&amp;VLOOKUP($D$2,'Reading Report Logic'!$A$2:$B$8,2,FALSE)&amp;"]")),FALSE)="","",
VLOOKUP($A635,YES_Reading_FLA[],COLUMN(INDIRECT("YES_Reading_FLA[Max Expectation - Per "&amp;VLOOKUP($D$2,'Reading Report Logic'!$A$2:$B$8,2,FALSE)&amp;"]")),FALSE)),
IF($J$2="Combined",
IFERROR(
IF(VLOOKUP($A635, YES_Reading_ELA[], COLUMN(INDIRECT("YES_Reading_ELA[Max Expectation - Per "&amp;VLOOKUP($D$2, 'Reading Report Logic'!$A$2:$B$8,2,FALSE)&amp;"]")), FALSE)="", "",
VLOOKUP($A635,YES_Reading_ELA[],COLUMN(INDIRECT("YES_Reading_ELA[Max Expectation - Per "&amp;VLOOKUP($D$2,'Reading Report Logic'!$A$2:$B$8,2,FALSE)&amp;"]")),FALSE)),
IF(VLOOKUP($A635, YES_Reading_FLA[], COLUMN(INDIRECT("YES_Reading_FLA[Max Expectation - Per "&amp;VLOOKUP($D$2, 'Reading Report Logic'!$A$2:$B$8, 2, FALSE)&amp;"]")),FALSE)="", "", VLOOKUP($A635,YES_Reading_FLA[],COLUMN(INDIRECT("YES_Reading_FLA[Max Expectation - Per "&amp;VLOOKUP($D$2, 'Reading Report Logic'!$A$2:$B$8, 2, FALSE)&amp;"]")),FALSE))),""))),"")</f>
        <v/>
      </c>
      <c r="G635" s="205" t="str" cm="1">
        <f t="array" aca="1" ref="G635" ca="1">IFERROR(
IF($J$2="ELA",
IF(VLOOKUP($A635, YES_Reading_ELA[], COLUMN(INDIRECT("YES_Reading_ELA[Difference - Per "&amp;VLOOKUP($D$2, 'Reading Report Logic'!$A$2:$B$8, 2, FALSE)&amp;"]")), FALSE)="", "",
VLOOKUP($A635,YES_Reading_ELA[], COLUMN(INDIRECT("YES_Reading_ELA[Difference - Per "&amp;VLOOKUP($D$2,'Reading Report Logic'!$A$2:$B$8,2,FALSE)&amp;"]")), FALSE)),
IF($J$2="FLA",
IF(VLOOKUP($A635, YES_Reading_FLA[], COLUMN(INDIRECT("YES_Reading_FLA[Difference - Per "&amp;VLOOKUP($D$2,'Reading Report Logic'!$A$2:$B$8,2,FALSE)&amp;"]")),FALSE)="","",
VLOOKUP($A635,YES_Reading_FLA[],COLUMN(INDIRECT("YES_Reading_FLA[Difference - Per "&amp;VLOOKUP($D$2,'Reading Report Logic'!$A$2:$B$8,2,FALSE)&amp;"]")),FALSE)),
IF($J$2="Combined",
IFERROR(
IF(VLOOKUP($A635, YES_Reading_ELA[], COLUMN(INDIRECT("YES_Reading_ELA[Difference - Per "&amp;VLOOKUP($D$2, 'Reading Report Logic'!$A$2:$B$8,2,FALSE)&amp;"]")), FALSE)="", "",
VLOOKUP($A635,YES_Reading_ELA[],COLUMN(INDIRECT("YES_Reading_ELA[Difference - Per "&amp;VLOOKUP($D$2,'Reading Report Logic'!$A$2:$B$8,2,FALSE)&amp;"]")),FALSE)),
IF(VLOOKUP($A635, YES_Reading_FLA[], COLUMN(INDIRECT("YES_Reading_FLA[Difference - Per "&amp;VLOOKUP($D$2, 'Reading Report Logic'!$A$2:$B$8, 2, FALSE)&amp;"]")),FALSE)="", "", VLOOKUP($A635,YES_Reading_FLA[],COLUMN(INDIRECT("YES_Reading_FLA[Difference - Per "&amp;VLOOKUP($D$2, 'Reading Report Logic'!$A$2:$B$8, 2, FALSE)&amp;"]")),FALSE))),""))),"")</f>
        <v/>
      </c>
      <c r="H635" s="206" t="str">
        <f ca="1">IFERROR(VLOOKUP('Teacher Reading Pull Sheets'!$D635,_xlfn.VSTACK('ELA Reading Logic'!$A$22:$B$48,'FLA Reading Logic'!$A$22:$B$53),2,FALSE)-VLOOKUP('Teacher Reading Pull Sheets'!$C635,_xlfn.VSTACK('ELA Reading Logic'!$A$22:$B$48,'FLA Reading Logic'!$A$22:$B$53),2,FALSE),"")</f>
        <v/>
      </c>
      <c r="I635" s="212"/>
      <c r="J635" s="206"/>
      <c r="K635" s="197" t="str" cm="1">
        <f t="array" ref="K635">IFERROR(
IF($J$2="ELA",
IF(VLOOKUP($A635, YES_Reading_ELA[], COLUMN(YES_Reading_ELA[Self-Identified as African Descent]), FALSE)="", "",
VLOOKUP($A635,YES_Reading_ELA[], COLUMN(YES_Reading_ELA[Self-Identified as African Descent]), FALSE)),
IF($J$2="FLA",
IF(VLOOKUP($A635, YES_Reading_FLA[], COLUMN(YES_Reading_FLA[Self-Identified as African Descent]),FALSE)="","",
VLOOKUP($A635,YES_Reading_FLA[],COLUMN(YES_Reading_FLA[Self-Identified as African Descent]),FALSE)),
IF($J$2="Combined",
IFERROR(
IF(VLOOKUP($A635, YES_Reading_ELA[], COLUMN(YES_Reading_ELA[Self-Identified as African Descent]), FALSE)="", "",
VLOOKUP($A635,YES_Reading_ELA[],COLUMN(YES_Reading_ELA[Self-Identified as African Descent]),FALSE)),
IF(VLOOKUP($A635, YES_Reading_FLA[], COLUMN(YES_Reading_FLA[Self-Identified as African Descent]),FALSE)="", "", VLOOKUP($A635,YES_Reading_FLA[],COLUMN(YES_Reading_FLA[Self-Identified as African Descent]),FALSE))),""))),"")</f>
        <v/>
      </c>
      <c r="L635" s="73" t="str" cm="1">
        <f t="array" ref="L635">IFERROR(
IF($J$2="ELA",
IF(VLOOKUP($A635, YES_Reading_ELA[], COLUMN(YES_Reading_ELA[Self-Identified as Indigenous]), FALSE)="", "",
VLOOKUP($A635,YES_Reading_ELA[], COLUMN(YES_Reading_ELA[Self-Identified as Indigenous]), FALSE)),
IF($J$2="FLA",
IF(VLOOKUP($A635, YES_Reading_FLA[], COLUMN(YES_Reading_FLA[Self-Identified as Indigenous]),FALSE)="","",
VLOOKUP($A635,YES_Reading_FLA[],COLUMN(YES_Reading_FLA[Self-Identified as Indigenous]),FALSE)),
IF($J$2="Combined",
IFERROR(
IF(VLOOKUP($A635, YES_Reading_ELA[], COLUMN(YES_Reading_ELA[Self-Identified as Indigenous]), FALSE)="", "",
VLOOKUP($A635,YES_Reading_ELA[],COLUMN(YES_Reading_ELA[Self-Identified as Indigenous]),FALSE)),
IF(VLOOKUP($A635, YES_Reading_FLA[], COLUMN(YES_Reading_FLA[Self-Identified as Indigenous]),FALSE)="", "", VLOOKUP($A635,YES_Reading_FLA[],COLUMN(YES_Reading_FLA[Self-Identified as Indigenous]),FALSE))),""))),"")</f>
        <v/>
      </c>
    </row>
    <row r="636" spans="1:12" ht="19.5" customHeight="1" x14ac:dyDescent="0.25">
      <c r="A636" s="217"/>
      <c r="B636" s="220" t="str">
        <f>IFERROR(VLOOKUP(A636,_xlfn.VSTACK(YES_Reading_ELA[],YES_Reading_FLA[]),2,FALSE),"")</f>
        <v/>
      </c>
      <c r="C636" s="203" t="str" cm="1">
        <f t="array" aca="1" ref="C636" ca="1">IFERROR(
IF($J$2="ELA",
IF(VLOOKUP($A636, YES_Reading_ELA[], COLUMN(IF(VLOOKUP($D$2, 'Reading Report Logic'!$A$2:$B$8, 2, FALSE)=1, YES_Reading_ELA[Reading Level June of Previous School Year], INDIRECT("YES_Reading_ELA[Instructional Reading Level - Per "&amp;(VLOOKUP($D$2,'Reading Report Logic'!$A$2:$B$8,2,FALSE)-1)&amp;"]"))), FALSE)="", "",
VLOOKUP($A636,YES_Reading_ELA[], COLUMN(IF(VLOOKUP($D$2,'Reading Report Logic'!$A$2:$B$8,2,FALSE)=1, YES_Reading_ELA[Reading Level June of Previous School Year],INDIRECT("YES_Reading_ELA[Instructional Reading Level - Per "&amp;(VLOOKUP($D$2,'Reading Report Logic'!$A$2:$B$8,2,FALSE)-1)&amp;"]"))), FALSE)),
IF($J$2="FLA",
IF(VLOOKUP($A636, YES_Reading_FLA[], COLUMN(IF(VLOOKUP($D$2,'Reading Report Logic'!$A$2:$B$8,2,FALSE)=1, YES_Reading_FLA[Reading Level June of Previous School Year],INDIRECT("YES_Reading_FLA[Instructional Reading Level - Per "&amp;(VLOOKUP($D$2,'Reading Report Logic'!$A$2:$B$8,2,FALSE)-1)&amp;"]"))),FALSE)="","",
VLOOKUP($A636,YES_Reading_FLA[], COLUMN(IF(VLOOKUP($D$2,'Reading Report Logic'!$A$2:$B$8,2,FALSE)=1, YES_Reading_FLA[Reading Level June of Previous School Year],INDIRECT("YES_Reading_FLA[Instructional Reading Level - Per "&amp;(VLOOKUP($D$2,'Reading Report Logic'!$A$2:$B$8,2,FALSE)-1)&amp;"]"))),FALSE)),
IF($J$2="Combined",
IFERROR(
IF(VLOOKUP($A636, YES_Reading_ELA[], COLUMN(IF(VLOOKUP($D$2,'Reading Report Logic'!$A$2:$B$8,2,FALSE)=1, YES_Reading_ELA[Reading Level June of Previous School Year],INDIRECT("YES_Reading_ELA[Instructional Reading Level - Per "&amp;(VLOOKUP($D$2,'Reading Report Logic'!$A$2:$B$8,2,FALSE)-1)&amp;"]"))), FALSE)="", "",
VLOOKUP($A636,YES_Reading_ELA[],COLUMN(IF(VLOOKUP($D$2,'Reading Report Logic'!$A$2:$B$8,2,FALSE)=1, YES_Reading_ELA[Reading Level June of Previous School Year],INDIRECT("YES_Reading_ELA[Instructional Reading Level - Per "&amp;(VLOOKUP($D$2,'Reading Report Logic'!$A$2:$B$8,2,FALSE)-1)&amp;"]"))),FALSE)),
IF(VLOOKUP($A636, YES_Reading_FLA[], COLUMN(IF(VLOOKUP($D$2,'Reading Report Logic'!$A$2:$B$8,2,FALSE)=1, YES_Reading_FLA[Reading Level June of Previous School Year],INDIRECT("YES_Reading_FLA[Instructional Reading Level - Per "&amp;(VLOOKUP($D$2,'Reading Report Logic'!$A$2:$B$8,2,FALSE)-1)&amp;"]"))),FALSE)="", "", VLOOKUP($A636,YES_Reading_FLA[],COLUMN(IF(VLOOKUP($D$2,'Reading Report Logic'!$A$2:$B$8,2,FALSE)=1, YES_Reading_FLA[Reading Level June of Previous School Year],INDIRECT("YES_Reading_FLA[Instructional Reading Level - Per "&amp;(VLOOKUP($D$2,'Reading Report Logic'!$A$2:$B$8,2,FALSE)-1)&amp;"]"))), FALSE))),""))),"")</f>
        <v/>
      </c>
      <c r="D636" s="204" t="str" cm="1">
        <f t="array" aca="1" ref="D636" ca="1">IFERROR(
IF($J$2="ELA",
IF(VLOOKUP($A636, YES_Reading_ELA[], COLUMN(INDIRECT("YES_Reading_ELA[Instructional Reading Level - Per "&amp;VLOOKUP($D$2, 'Reading Report Logic'!$A$2:$B$8, 2, FALSE)&amp;"]")), FALSE)="", "",
VLOOKUP($A636,YES_Reading_ELA[], COLUMN(INDIRECT("YES_Reading_ELA[Instructional Reading Level - Per "&amp;VLOOKUP($D$2,'Reading Report Logic'!$A$2:$B$8,2,FALSE)&amp;"]")), FALSE)),
IF($J$2="FLA",
IF(VLOOKUP($A636, YES_Reading_FLA[], COLUMN(INDIRECT("YES_Reading_FLA[Instructional Reading Level - Per "&amp;VLOOKUP($D$2,'Reading Report Logic'!$A$2:$B$8,2,FALSE)&amp;"]")),FALSE)="","",
VLOOKUP($A636,YES_Reading_FLA[],COLUMN(INDIRECT("YES_Reading_FLA[Instructional Reading Level - Per "&amp;VLOOKUP($D$2,'Reading Report Logic'!$A$2:$B$8,2,FALSE)&amp;"]")),FALSE)),
IF($J$2="Combined",
IFERROR(
IF(VLOOKUP($A636, YES_Reading_ELA[], COLUMN(INDIRECT("YES_Reading_ELA[Instructional Reading Level - Per "&amp;VLOOKUP($D$2, 'Reading Report Logic'!$A$2:$B$8,2,FALSE)&amp;"]")), FALSE)="", "",
VLOOKUP($A636,YES_Reading_ELA[],COLUMN(INDIRECT("YES_Reading_ELA[Instructional Reading Level - Per "&amp;VLOOKUP($D$2,'Reading Report Logic'!$A$2:$B$8,2,FALSE)&amp;"]")),FALSE)),
IF(VLOOKUP($A636, YES_Reading_FLA[], COLUMN(INDIRECT("YES_Reading_FLA[Instructional Reading Level - Per "&amp;VLOOKUP($D$2, 'Reading Report Logic'!$A$2:$B$8, 2, FALSE)&amp;"]")),FALSE)="", "", VLOOKUP($A636,YES_Reading_FLA[],COLUMN(INDIRECT("YES_Reading_FLA[Instructional Reading Level - Per "&amp;VLOOKUP($D$2, 'Reading Report Logic'!$A$2:$B$8, 2, FALSE)&amp;"]")),FALSE))),""))),"")</f>
        <v/>
      </c>
      <c r="E636" s="205" t="str" cm="1">
        <f t="array" aca="1" ref="E636" ca="1">IFERROR(
IF($J$2="ELA",
IF(VLOOKUP($A636, YES_Reading_ELA[], COLUMN(INDIRECT("YES_Reading_ELA[Min Expectation - Per "&amp;VLOOKUP($D$2, 'Reading Report Logic'!$A$2:$B$8, 2, FALSE)&amp;"]")), FALSE)="", "",
VLOOKUP($A636,YES_Reading_ELA[], COLUMN(INDIRECT("YES_Reading_ELA[Min Expectation - Per "&amp;VLOOKUP($D$2,'Reading Report Logic'!$A$2:$B$8,2,FALSE)&amp;"]")), FALSE)),
IF($J$2="FLA",
IF(VLOOKUP($A636, YES_Reading_FLA[], COLUMN(INDIRECT("YES_Reading_FLA[Min Expectation - Per "&amp;VLOOKUP($D$2,'Reading Report Logic'!$A$2:$B$8,2,FALSE)&amp;"]")),FALSE)="","",
VLOOKUP($A636,YES_Reading_FLA[],COLUMN(INDIRECT("YES_Reading_FLA[Min Expectation - Per "&amp;VLOOKUP($D$2,'Reading Report Logic'!$A$2:$B$8,2,FALSE)&amp;"]")),FALSE)),
IF($J$2="Combined",
IFERROR(
IF(VLOOKUP($A636, YES_Reading_ELA[], COLUMN(INDIRECT("YES_Reading_ELA[Min Expectation - Per "&amp;VLOOKUP($D$2, 'Reading Report Logic'!$A$2:$B$8,2,FALSE)&amp;"]")), FALSE)="", "",
VLOOKUP($A636,YES_Reading_ELA[],COLUMN(INDIRECT("YES_Reading_ELA[Min Expectation - Per "&amp;VLOOKUP($D$2,'Reading Report Logic'!$A$2:$B$8,2,FALSE)&amp;"]")),FALSE)),
IF(VLOOKUP($A636, YES_Reading_FLA[], COLUMN(INDIRECT("YES_Reading_FLA[Min Expectation - Per "&amp;VLOOKUP($D$2, 'Reading Report Logic'!$A$2:$B$8, 2, FALSE)&amp;"]")),FALSE)="", "", VLOOKUP($A636,YES_Reading_FLA[],COLUMN(INDIRECT("YES_Reading_FLA[Min Expectation - Per "&amp;VLOOKUP($D$2, 'Reading Report Logic'!$A$2:$B$8, 2, FALSE)&amp;"]")),FALSE))),""))),"")</f>
        <v/>
      </c>
      <c r="F636" s="205" t="str" cm="1">
        <f t="array" aca="1" ref="F636" ca="1">IFERROR(
IF($J$2="ELA",
IF(VLOOKUP($A636, YES_Reading_ELA[], COLUMN(INDIRECT("YES_Reading_ELA[Max Expectation - Per "&amp;VLOOKUP($D$2, 'Reading Report Logic'!$A$2:$B$8, 2, FALSE)&amp;"]")), FALSE)="", "",
VLOOKUP($A636,YES_Reading_ELA[], COLUMN(INDIRECT("YES_Reading_ELA[Max Expectation - Per "&amp;VLOOKUP($D$2,'Reading Report Logic'!$A$2:$B$8,2,FALSE)&amp;"]")), FALSE)),
IF($J$2="FLA",
IF(VLOOKUP($A636, YES_Reading_FLA[], COLUMN(INDIRECT("YES_Reading_FLA[Max Expectation - Per "&amp;VLOOKUP($D$2,'Reading Report Logic'!$A$2:$B$8,2,FALSE)&amp;"]")),FALSE)="","",
VLOOKUP($A636,YES_Reading_FLA[],COLUMN(INDIRECT("YES_Reading_FLA[Max Expectation - Per "&amp;VLOOKUP($D$2,'Reading Report Logic'!$A$2:$B$8,2,FALSE)&amp;"]")),FALSE)),
IF($J$2="Combined",
IFERROR(
IF(VLOOKUP($A636, YES_Reading_ELA[], COLUMN(INDIRECT("YES_Reading_ELA[Max Expectation - Per "&amp;VLOOKUP($D$2, 'Reading Report Logic'!$A$2:$B$8,2,FALSE)&amp;"]")), FALSE)="", "",
VLOOKUP($A636,YES_Reading_ELA[],COLUMN(INDIRECT("YES_Reading_ELA[Max Expectation - Per "&amp;VLOOKUP($D$2,'Reading Report Logic'!$A$2:$B$8,2,FALSE)&amp;"]")),FALSE)),
IF(VLOOKUP($A636, YES_Reading_FLA[], COLUMN(INDIRECT("YES_Reading_FLA[Max Expectation - Per "&amp;VLOOKUP($D$2, 'Reading Report Logic'!$A$2:$B$8, 2, FALSE)&amp;"]")),FALSE)="", "", VLOOKUP($A636,YES_Reading_FLA[],COLUMN(INDIRECT("YES_Reading_FLA[Max Expectation - Per "&amp;VLOOKUP($D$2, 'Reading Report Logic'!$A$2:$B$8, 2, FALSE)&amp;"]")),FALSE))),""))),"")</f>
        <v/>
      </c>
      <c r="G636" s="205" t="str" cm="1">
        <f t="array" aca="1" ref="G636" ca="1">IFERROR(
IF($J$2="ELA",
IF(VLOOKUP($A636, YES_Reading_ELA[], COLUMN(INDIRECT("YES_Reading_ELA[Difference - Per "&amp;VLOOKUP($D$2, 'Reading Report Logic'!$A$2:$B$8, 2, FALSE)&amp;"]")), FALSE)="", "",
VLOOKUP($A636,YES_Reading_ELA[], COLUMN(INDIRECT("YES_Reading_ELA[Difference - Per "&amp;VLOOKUP($D$2,'Reading Report Logic'!$A$2:$B$8,2,FALSE)&amp;"]")), FALSE)),
IF($J$2="FLA",
IF(VLOOKUP($A636, YES_Reading_FLA[], COLUMN(INDIRECT("YES_Reading_FLA[Difference - Per "&amp;VLOOKUP($D$2,'Reading Report Logic'!$A$2:$B$8,2,FALSE)&amp;"]")),FALSE)="","",
VLOOKUP($A636,YES_Reading_FLA[],COLUMN(INDIRECT("YES_Reading_FLA[Difference - Per "&amp;VLOOKUP($D$2,'Reading Report Logic'!$A$2:$B$8,2,FALSE)&amp;"]")),FALSE)),
IF($J$2="Combined",
IFERROR(
IF(VLOOKUP($A636, YES_Reading_ELA[], COLUMN(INDIRECT("YES_Reading_ELA[Difference - Per "&amp;VLOOKUP($D$2, 'Reading Report Logic'!$A$2:$B$8,2,FALSE)&amp;"]")), FALSE)="", "",
VLOOKUP($A636,YES_Reading_ELA[],COLUMN(INDIRECT("YES_Reading_ELA[Difference - Per "&amp;VLOOKUP($D$2,'Reading Report Logic'!$A$2:$B$8,2,FALSE)&amp;"]")),FALSE)),
IF(VLOOKUP($A636, YES_Reading_FLA[], COLUMN(INDIRECT("YES_Reading_FLA[Difference - Per "&amp;VLOOKUP($D$2, 'Reading Report Logic'!$A$2:$B$8, 2, FALSE)&amp;"]")),FALSE)="", "", VLOOKUP($A636,YES_Reading_FLA[],COLUMN(INDIRECT("YES_Reading_FLA[Difference - Per "&amp;VLOOKUP($D$2, 'Reading Report Logic'!$A$2:$B$8, 2, FALSE)&amp;"]")),FALSE))),""))),"")</f>
        <v/>
      </c>
      <c r="H636" s="206" t="str">
        <f ca="1">IFERROR(VLOOKUP('Teacher Reading Pull Sheets'!$D636,_xlfn.VSTACK('ELA Reading Logic'!$A$22:$B$48,'FLA Reading Logic'!$A$22:$B$53),2,FALSE)-VLOOKUP('Teacher Reading Pull Sheets'!$C636,_xlfn.VSTACK('ELA Reading Logic'!$A$22:$B$48,'FLA Reading Logic'!$A$22:$B$53),2,FALSE),"")</f>
        <v/>
      </c>
      <c r="I636" s="212"/>
      <c r="J636" s="206"/>
      <c r="K636" s="197" t="str" cm="1">
        <f t="array" ref="K636">IFERROR(
IF($J$2="ELA",
IF(VLOOKUP($A636, YES_Reading_ELA[], COLUMN(YES_Reading_ELA[Self-Identified as African Descent]), FALSE)="", "",
VLOOKUP($A636,YES_Reading_ELA[], COLUMN(YES_Reading_ELA[Self-Identified as African Descent]), FALSE)),
IF($J$2="FLA",
IF(VLOOKUP($A636, YES_Reading_FLA[], COLUMN(YES_Reading_FLA[Self-Identified as African Descent]),FALSE)="","",
VLOOKUP($A636,YES_Reading_FLA[],COLUMN(YES_Reading_FLA[Self-Identified as African Descent]),FALSE)),
IF($J$2="Combined",
IFERROR(
IF(VLOOKUP($A636, YES_Reading_ELA[], COLUMN(YES_Reading_ELA[Self-Identified as African Descent]), FALSE)="", "",
VLOOKUP($A636,YES_Reading_ELA[],COLUMN(YES_Reading_ELA[Self-Identified as African Descent]),FALSE)),
IF(VLOOKUP($A636, YES_Reading_FLA[], COLUMN(YES_Reading_FLA[Self-Identified as African Descent]),FALSE)="", "", VLOOKUP($A636,YES_Reading_FLA[],COLUMN(YES_Reading_FLA[Self-Identified as African Descent]),FALSE))),""))),"")</f>
        <v/>
      </c>
      <c r="L636" s="73" t="str" cm="1">
        <f t="array" ref="L636">IFERROR(
IF($J$2="ELA",
IF(VLOOKUP($A636, YES_Reading_ELA[], COLUMN(YES_Reading_ELA[Self-Identified as Indigenous]), FALSE)="", "",
VLOOKUP($A636,YES_Reading_ELA[], COLUMN(YES_Reading_ELA[Self-Identified as Indigenous]), FALSE)),
IF($J$2="FLA",
IF(VLOOKUP($A636, YES_Reading_FLA[], COLUMN(YES_Reading_FLA[Self-Identified as Indigenous]),FALSE)="","",
VLOOKUP($A636,YES_Reading_FLA[],COLUMN(YES_Reading_FLA[Self-Identified as Indigenous]),FALSE)),
IF($J$2="Combined",
IFERROR(
IF(VLOOKUP($A636, YES_Reading_ELA[], COLUMN(YES_Reading_ELA[Self-Identified as Indigenous]), FALSE)="", "",
VLOOKUP($A636,YES_Reading_ELA[],COLUMN(YES_Reading_ELA[Self-Identified as Indigenous]),FALSE)),
IF(VLOOKUP($A636, YES_Reading_FLA[], COLUMN(YES_Reading_FLA[Self-Identified as Indigenous]),FALSE)="", "", VLOOKUP($A636,YES_Reading_FLA[],COLUMN(YES_Reading_FLA[Self-Identified as Indigenous]),FALSE))),""))),"")</f>
        <v/>
      </c>
    </row>
    <row r="637" spans="1:12" ht="19.5" customHeight="1" x14ac:dyDescent="0.25">
      <c r="A637" s="217"/>
      <c r="B637" s="220" t="str">
        <f>IFERROR(VLOOKUP(A637,_xlfn.VSTACK(YES_Reading_ELA[],YES_Reading_FLA[]),2,FALSE),"")</f>
        <v/>
      </c>
      <c r="C637" s="203" t="str" cm="1">
        <f t="array" aca="1" ref="C637" ca="1">IFERROR(
IF($J$2="ELA",
IF(VLOOKUP($A637, YES_Reading_ELA[], COLUMN(IF(VLOOKUP($D$2, 'Reading Report Logic'!$A$2:$B$8, 2, FALSE)=1, YES_Reading_ELA[Reading Level June of Previous School Year], INDIRECT("YES_Reading_ELA[Instructional Reading Level - Per "&amp;(VLOOKUP($D$2,'Reading Report Logic'!$A$2:$B$8,2,FALSE)-1)&amp;"]"))), FALSE)="", "",
VLOOKUP($A637,YES_Reading_ELA[], COLUMN(IF(VLOOKUP($D$2,'Reading Report Logic'!$A$2:$B$8,2,FALSE)=1, YES_Reading_ELA[Reading Level June of Previous School Year],INDIRECT("YES_Reading_ELA[Instructional Reading Level - Per "&amp;(VLOOKUP($D$2,'Reading Report Logic'!$A$2:$B$8,2,FALSE)-1)&amp;"]"))), FALSE)),
IF($J$2="FLA",
IF(VLOOKUP($A637, YES_Reading_FLA[], COLUMN(IF(VLOOKUP($D$2,'Reading Report Logic'!$A$2:$B$8,2,FALSE)=1, YES_Reading_FLA[Reading Level June of Previous School Year],INDIRECT("YES_Reading_FLA[Instructional Reading Level - Per "&amp;(VLOOKUP($D$2,'Reading Report Logic'!$A$2:$B$8,2,FALSE)-1)&amp;"]"))),FALSE)="","",
VLOOKUP($A637,YES_Reading_FLA[], COLUMN(IF(VLOOKUP($D$2,'Reading Report Logic'!$A$2:$B$8,2,FALSE)=1, YES_Reading_FLA[Reading Level June of Previous School Year],INDIRECT("YES_Reading_FLA[Instructional Reading Level - Per "&amp;(VLOOKUP($D$2,'Reading Report Logic'!$A$2:$B$8,2,FALSE)-1)&amp;"]"))),FALSE)),
IF($J$2="Combined",
IFERROR(
IF(VLOOKUP($A637, YES_Reading_ELA[], COLUMN(IF(VLOOKUP($D$2,'Reading Report Logic'!$A$2:$B$8,2,FALSE)=1, YES_Reading_ELA[Reading Level June of Previous School Year],INDIRECT("YES_Reading_ELA[Instructional Reading Level - Per "&amp;(VLOOKUP($D$2,'Reading Report Logic'!$A$2:$B$8,2,FALSE)-1)&amp;"]"))), FALSE)="", "",
VLOOKUP($A637,YES_Reading_ELA[],COLUMN(IF(VLOOKUP($D$2,'Reading Report Logic'!$A$2:$B$8,2,FALSE)=1, YES_Reading_ELA[Reading Level June of Previous School Year],INDIRECT("YES_Reading_ELA[Instructional Reading Level - Per "&amp;(VLOOKUP($D$2,'Reading Report Logic'!$A$2:$B$8,2,FALSE)-1)&amp;"]"))),FALSE)),
IF(VLOOKUP($A637, YES_Reading_FLA[], COLUMN(IF(VLOOKUP($D$2,'Reading Report Logic'!$A$2:$B$8,2,FALSE)=1, YES_Reading_FLA[Reading Level June of Previous School Year],INDIRECT("YES_Reading_FLA[Instructional Reading Level - Per "&amp;(VLOOKUP($D$2,'Reading Report Logic'!$A$2:$B$8,2,FALSE)-1)&amp;"]"))),FALSE)="", "", VLOOKUP($A637,YES_Reading_FLA[],COLUMN(IF(VLOOKUP($D$2,'Reading Report Logic'!$A$2:$B$8,2,FALSE)=1, YES_Reading_FLA[Reading Level June of Previous School Year],INDIRECT("YES_Reading_FLA[Instructional Reading Level - Per "&amp;(VLOOKUP($D$2,'Reading Report Logic'!$A$2:$B$8,2,FALSE)-1)&amp;"]"))), FALSE))),""))),"")</f>
        <v/>
      </c>
      <c r="D637" s="204" t="str" cm="1">
        <f t="array" aca="1" ref="D637" ca="1">IFERROR(
IF($J$2="ELA",
IF(VLOOKUP($A637, YES_Reading_ELA[], COLUMN(INDIRECT("YES_Reading_ELA[Instructional Reading Level - Per "&amp;VLOOKUP($D$2, 'Reading Report Logic'!$A$2:$B$8, 2, FALSE)&amp;"]")), FALSE)="", "",
VLOOKUP($A637,YES_Reading_ELA[], COLUMN(INDIRECT("YES_Reading_ELA[Instructional Reading Level - Per "&amp;VLOOKUP($D$2,'Reading Report Logic'!$A$2:$B$8,2,FALSE)&amp;"]")), FALSE)),
IF($J$2="FLA",
IF(VLOOKUP($A637, YES_Reading_FLA[], COLUMN(INDIRECT("YES_Reading_FLA[Instructional Reading Level - Per "&amp;VLOOKUP($D$2,'Reading Report Logic'!$A$2:$B$8,2,FALSE)&amp;"]")),FALSE)="","",
VLOOKUP($A637,YES_Reading_FLA[],COLUMN(INDIRECT("YES_Reading_FLA[Instructional Reading Level - Per "&amp;VLOOKUP($D$2,'Reading Report Logic'!$A$2:$B$8,2,FALSE)&amp;"]")),FALSE)),
IF($J$2="Combined",
IFERROR(
IF(VLOOKUP($A637, YES_Reading_ELA[], COLUMN(INDIRECT("YES_Reading_ELA[Instructional Reading Level - Per "&amp;VLOOKUP($D$2, 'Reading Report Logic'!$A$2:$B$8,2,FALSE)&amp;"]")), FALSE)="", "",
VLOOKUP($A637,YES_Reading_ELA[],COLUMN(INDIRECT("YES_Reading_ELA[Instructional Reading Level - Per "&amp;VLOOKUP($D$2,'Reading Report Logic'!$A$2:$B$8,2,FALSE)&amp;"]")),FALSE)),
IF(VLOOKUP($A637, YES_Reading_FLA[], COLUMN(INDIRECT("YES_Reading_FLA[Instructional Reading Level - Per "&amp;VLOOKUP($D$2, 'Reading Report Logic'!$A$2:$B$8, 2, FALSE)&amp;"]")),FALSE)="", "", VLOOKUP($A637,YES_Reading_FLA[],COLUMN(INDIRECT("YES_Reading_FLA[Instructional Reading Level - Per "&amp;VLOOKUP($D$2, 'Reading Report Logic'!$A$2:$B$8, 2, FALSE)&amp;"]")),FALSE))),""))),"")</f>
        <v/>
      </c>
      <c r="E637" s="205" t="str" cm="1">
        <f t="array" aca="1" ref="E637" ca="1">IFERROR(
IF($J$2="ELA",
IF(VLOOKUP($A637, YES_Reading_ELA[], COLUMN(INDIRECT("YES_Reading_ELA[Min Expectation - Per "&amp;VLOOKUP($D$2, 'Reading Report Logic'!$A$2:$B$8, 2, FALSE)&amp;"]")), FALSE)="", "",
VLOOKUP($A637,YES_Reading_ELA[], COLUMN(INDIRECT("YES_Reading_ELA[Min Expectation - Per "&amp;VLOOKUP($D$2,'Reading Report Logic'!$A$2:$B$8,2,FALSE)&amp;"]")), FALSE)),
IF($J$2="FLA",
IF(VLOOKUP($A637, YES_Reading_FLA[], COLUMN(INDIRECT("YES_Reading_FLA[Min Expectation - Per "&amp;VLOOKUP($D$2,'Reading Report Logic'!$A$2:$B$8,2,FALSE)&amp;"]")),FALSE)="","",
VLOOKUP($A637,YES_Reading_FLA[],COLUMN(INDIRECT("YES_Reading_FLA[Min Expectation - Per "&amp;VLOOKUP($D$2,'Reading Report Logic'!$A$2:$B$8,2,FALSE)&amp;"]")),FALSE)),
IF($J$2="Combined",
IFERROR(
IF(VLOOKUP($A637, YES_Reading_ELA[], COLUMN(INDIRECT("YES_Reading_ELA[Min Expectation - Per "&amp;VLOOKUP($D$2, 'Reading Report Logic'!$A$2:$B$8,2,FALSE)&amp;"]")), FALSE)="", "",
VLOOKUP($A637,YES_Reading_ELA[],COLUMN(INDIRECT("YES_Reading_ELA[Min Expectation - Per "&amp;VLOOKUP($D$2,'Reading Report Logic'!$A$2:$B$8,2,FALSE)&amp;"]")),FALSE)),
IF(VLOOKUP($A637, YES_Reading_FLA[], COLUMN(INDIRECT("YES_Reading_FLA[Min Expectation - Per "&amp;VLOOKUP($D$2, 'Reading Report Logic'!$A$2:$B$8, 2, FALSE)&amp;"]")),FALSE)="", "", VLOOKUP($A637,YES_Reading_FLA[],COLUMN(INDIRECT("YES_Reading_FLA[Min Expectation - Per "&amp;VLOOKUP($D$2, 'Reading Report Logic'!$A$2:$B$8, 2, FALSE)&amp;"]")),FALSE))),""))),"")</f>
        <v/>
      </c>
      <c r="F637" s="205" t="str" cm="1">
        <f t="array" aca="1" ref="F637" ca="1">IFERROR(
IF($J$2="ELA",
IF(VLOOKUP($A637, YES_Reading_ELA[], COLUMN(INDIRECT("YES_Reading_ELA[Max Expectation - Per "&amp;VLOOKUP($D$2, 'Reading Report Logic'!$A$2:$B$8, 2, FALSE)&amp;"]")), FALSE)="", "",
VLOOKUP($A637,YES_Reading_ELA[], COLUMN(INDIRECT("YES_Reading_ELA[Max Expectation - Per "&amp;VLOOKUP($D$2,'Reading Report Logic'!$A$2:$B$8,2,FALSE)&amp;"]")), FALSE)),
IF($J$2="FLA",
IF(VLOOKUP($A637, YES_Reading_FLA[], COLUMN(INDIRECT("YES_Reading_FLA[Max Expectation - Per "&amp;VLOOKUP($D$2,'Reading Report Logic'!$A$2:$B$8,2,FALSE)&amp;"]")),FALSE)="","",
VLOOKUP($A637,YES_Reading_FLA[],COLUMN(INDIRECT("YES_Reading_FLA[Max Expectation - Per "&amp;VLOOKUP($D$2,'Reading Report Logic'!$A$2:$B$8,2,FALSE)&amp;"]")),FALSE)),
IF($J$2="Combined",
IFERROR(
IF(VLOOKUP($A637, YES_Reading_ELA[], COLUMN(INDIRECT("YES_Reading_ELA[Max Expectation - Per "&amp;VLOOKUP($D$2, 'Reading Report Logic'!$A$2:$B$8,2,FALSE)&amp;"]")), FALSE)="", "",
VLOOKUP($A637,YES_Reading_ELA[],COLUMN(INDIRECT("YES_Reading_ELA[Max Expectation - Per "&amp;VLOOKUP($D$2,'Reading Report Logic'!$A$2:$B$8,2,FALSE)&amp;"]")),FALSE)),
IF(VLOOKUP($A637, YES_Reading_FLA[], COLUMN(INDIRECT("YES_Reading_FLA[Max Expectation - Per "&amp;VLOOKUP($D$2, 'Reading Report Logic'!$A$2:$B$8, 2, FALSE)&amp;"]")),FALSE)="", "", VLOOKUP($A637,YES_Reading_FLA[],COLUMN(INDIRECT("YES_Reading_FLA[Max Expectation - Per "&amp;VLOOKUP($D$2, 'Reading Report Logic'!$A$2:$B$8, 2, FALSE)&amp;"]")),FALSE))),""))),"")</f>
        <v/>
      </c>
      <c r="G637" s="205" t="str" cm="1">
        <f t="array" aca="1" ref="G637" ca="1">IFERROR(
IF($J$2="ELA",
IF(VLOOKUP($A637, YES_Reading_ELA[], COLUMN(INDIRECT("YES_Reading_ELA[Difference - Per "&amp;VLOOKUP($D$2, 'Reading Report Logic'!$A$2:$B$8, 2, FALSE)&amp;"]")), FALSE)="", "",
VLOOKUP($A637,YES_Reading_ELA[], COLUMN(INDIRECT("YES_Reading_ELA[Difference - Per "&amp;VLOOKUP($D$2,'Reading Report Logic'!$A$2:$B$8,2,FALSE)&amp;"]")), FALSE)),
IF($J$2="FLA",
IF(VLOOKUP($A637, YES_Reading_FLA[], COLUMN(INDIRECT("YES_Reading_FLA[Difference - Per "&amp;VLOOKUP($D$2,'Reading Report Logic'!$A$2:$B$8,2,FALSE)&amp;"]")),FALSE)="","",
VLOOKUP($A637,YES_Reading_FLA[],COLUMN(INDIRECT("YES_Reading_FLA[Difference - Per "&amp;VLOOKUP($D$2,'Reading Report Logic'!$A$2:$B$8,2,FALSE)&amp;"]")),FALSE)),
IF($J$2="Combined",
IFERROR(
IF(VLOOKUP($A637, YES_Reading_ELA[], COLUMN(INDIRECT("YES_Reading_ELA[Difference - Per "&amp;VLOOKUP($D$2, 'Reading Report Logic'!$A$2:$B$8,2,FALSE)&amp;"]")), FALSE)="", "",
VLOOKUP($A637,YES_Reading_ELA[],COLUMN(INDIRECT("YES_Reading_ELA[Difference - Per "&amp;VLOOKUP($D$2,'Reading Report Logic'!$A$2:$B$8,2,FALSE)&amp;"]")),FALSE)),
IF(VLOOKUP($A637, YES_Reading_FLA[], COLUMN(INDIRECT("YES_Reading_FLA[Difference - Per "&amp;VLOOKUP($D$2, 'Reading Report Logic'!$A$2:$B$8, 2, FALSE)&amp;"]")),FALSE)="", "", VLOOKUP($A637,YES_Reading_FLA[],COLUMN(INDIRECT("YES_Reading_FLA[Difference - Per "&amp;VLOOKUP($D$2, 'Reading Report Logic'!$A$2:$B$8, 2, FALSE)&amp;"]")),FALSE))),""))),"")</f>
        <v/>
      </c>
      <c r="H637" s="206" t="str">
        <f ca="1">IFERROR(VLOOKUP('Teacher Reading Pull Sheets'!$D637,_xlfn.VSTACK('ELA Reading Logic'!$A$22:$B$48,'FLA Reading Logic'!$A$22:$B$53),2,FALSE)-VLOOKUP('Teacher Reading Pull Sheets'!$C637,_xlfn.VSTACK('ELA Reading Logic'!$A$22:$B$48,'FLA Reading Logic'!$A$22:$B$53),2,FALSE),"")</f>
        <v/>
      </c>
      <c r="I637" s="212"/>
      <c r="J637" s="206"/>
      <c r="K637" s="197" t="str" cm="1">
        <f t="array" ref="K637">IFERROR(
IF($J$2="ELA",
IF(VLOOKUP($A637, YES_Reading_ELA[], COLUMN(YES_Reading_ELA[Self-Identified as African Descent]), FALSE)="", "",
VLOOKUP($A637,YES_Reading_ELA[], COLUMN(YES_Reading_ELA[Self-Identified as African Descent]), FALSE)),
IF($J$2="FLA",
IF(VLOOKUP($A637, YES_Reading_FLA[], COLUMN(YES_Reading_FLA[Self-Identified as African Descent]),FALSE)="","",
VLOOKUP($A637,YES_Reading_FLA[],COLUMN(YES_Reading_FLA[Self-Identified as African Descent]),FALSE)),
IF($J$2="Combined",
IFERROR(
IF(VLOOKUP($A637, YES_Reading_ELA[], COLUMN(YES_Reading_ELA[Self-Identified as African Descent]), FALSE)="", "",
VLOOKUP($A637,YES_Reading_ELA[],COLUMN(YES_Reading_ELA[Self-Identified as African Descent]),FALSE)),
IF(VLOOKUP($A637, YES_Reading_FLA[], COLUMN(YES_Reading_FLA[Self-Identified as African Descent]),FALSE)="", "", VLOOKUP($A637,YES_Reading_FLA[],COLUMN(YES_Reading_FLA[Self-Identified as African Descent]),FALSE))),""))),"")</f>
        <v/>
      </c>
      <c r="L637" s="73" t="str" cm="1">
        <f t="array" ref="L637">IFERROR(
IF($J$2="ELA",
IF(VLOOKUP($A637, YES_Reading_ELA[], COLUMN(YES_Reading_ELA[Self-Identified as Indigenous]), FALSE)="", "",
VLOOKUP($A637,YES_Reading_ELA[], COLUMN(YES_Reading_ELA[Self-Identified as Indigenous]), FALSE)),
IF($J$2="FLA",
IF(VLOOKUP($A637, YES_Reading_FLA[], COLUMN(YES_Reading_FLA[Self-Identified as Indigenous]),FALSE)="","",
VLOOKUP($A637,YES_Reading_FLA[],COLUMN(YES_Reading_FLA[Self-Identified as Indigenous]),FALSE)),
IF($J$2="Combined",
IFERROR(
IF(VLOOKUP($A637, YES_Reading_ELA[], COLUMN(YES_Reading_ELA[Self-Identified as Indigenous]), FALSE)="", "",
VLOOKUP($A637,YES_Reading_ELA[],COLUMN(YES_Reading_ELA[Self-Identified as Indigenous]),FALSE)),
IF(VLOOKUP($A637, YES_Reading_FLA[], COLUMN(YES_Reading_FLA[Self-Identified as Indigenous]),FALSE)="", "", VLOOKUP($A637,YES_Reading_FLA[],COLUMN(YES_Reading_FLA[Self-Identified as Indigenous]),FALSE))),""))),"")</f>
        <v/>
      </c>
    </row>
    <row r="638" spans="1:12" ht="19.5" customHeight="1" x14ac:dyDescent="0.25">
      <c r="A638" s="217"/>
      <c r="B638" s="220" t="str">
        <f>IFERROR(VLOOKUP(A638,_xlfn.VSTACK(YES_Reading_ELA[],YES_Reading_FLA[]),2,FALSE),"")</f>
        <v/>
      </c>
      <c r="C638" s="203" t="str" cm="1">
        <f t="array" aca="1" ref="C638" ca="1">IFERROR(
IF($J$2="ELA",
IF(VLOOKUP($A638, YES_Reading_ELA[], COLUMN(IF(VLOOKUP($D$2, 'Reading Report Logic'!$A$2:$B$8, 2, FALSE)=1, YES_Reading_ELA[Reading Level June of Previous School Year], INDIRECT("YES_Reading_ELA[Instructional Reading Level - Per "&amp;(VLOOKUP($D$2,'Reading Report Logic'!$A$2:$B$8,2,FALSE)-1)&amp;"]"))), FALSE)="", "",
VLOOKUP($A638,YES_Reading_ELA[], COLUMN(IF(VLOOKUP($D$2,'Reading Report Logic'!$A$2:$B$8,2,FALSE)=1, YES_Reading_ELA[Reading Level June of Previous School Year],INDIRECT("YES_Reading_ELA[Instructional Reading Level - Per "&amp;(VLOOKUP($D$2,'Reading Report Logic'!$A$2:$B$8,2,FALSE)-1)&amp;"]"))), FALSE)),
IF($J$2="FLA",
IF(VLOOKUP($A638, YES_Reading_FLA[], COLUMN(IF(VLOOKUP($D$2,'Reading Report Logic'!$A$2:$B$8,2,FALSE)=1, YES_Reading_FLA[Reading Level June of Previous School Year],INDIRECT("YES_Reading_FLA[Instructional Reading Level - Per "&amp;(VLOOKUP($D$2,'Reading Report Logic'!$A$2:$B$8,2,FALSE)-1)&amp;"]"))),FALSE)="","",
VLOOKUP($A638,YES_Reading_FLA[], COLUMN(IF(VLOOKUP($D$2,'Reading Report Logic'!$A$2:$B$8,2,FALSE)=1, YES_Reading_FLA[Reading Level June of Previous School Year],INDIRECT("YES_Reading_FLA[Instructional Reading Level - Per "&amp;(VLOOKUP($D$2,'Reading Report Logic'!$A$2:$B$8,2,FALSE)-1)&amp;"]"))),FALSE)),
IF($J$2="Combined",
IFERROR(
IF(VLOOKUP($A638, YES_Reading_ELA[], COLUMN(IF(VLOOKUP($D$2,'Reading Report Logic'!$A$2:$B$8,2,FALSE)=1, YES_Reading_ELA[Reading Level June of Previous School Year],INDIRECT("YES_Reading_ELA[Instructional Reading Level - Per "&amp;(VLOOKUP($D$2,'Reading Report Logic'!$A$2:$B$8,2,FALSE)-1)&amp;"]"))), FALSE)="", "",
VLOOKUP($A638,YES_Reading_ELA[],COLUMN(IF(VLOOKUP($D$2,'Reading Report Logic'!$A$2:$B$8,2,FALSE)=1, YES_Reading_ELA[Reading Level June of Previous School Year],INDIRECT("YES_Reading_ELA[Instructional Reading Level - Per "&amp;(VLOOKUP($D$2,'Reading Report Logic'!$A$2:$B$8,2,FALSE)-1)&amp;"]"))),FALSE)),
IF(VLOOKUP($A638, YES_Reading_FLA[], COLUMN(IF(VLOOKUP($D$2,'Reading Report Logic'!$A$2:$B$8,2,FALSE)=1, YES_Reading_FLA[Reading Level June of Previous School Year],INDIRECT("YES_Reading_FLA[Instructional Reading Level - Per "&amp;(VLOOKUP($D$2,'Reading Report Logic'!$A$2:$B$8,2,FALSE)-1)&amp;"]"))),FALSE)="", "", VLOOKUP($A638,YES_Reading_FLA[],COLUMN(IF(VLOOKUP($D$2,'Reading Report Logic'!$A$2:$B$8,2,FALSE)=1, YES_Reading_FLA[Reading Level June of Previous School Year],INDIRECT("YES_Reading_FLA[Instructional Reading Level - Per "&amp;(VLOOKUP($D$2,'Reading Report Logic'!$A$2:$B$8,2,FALSE)-1)&amp;"]"))), FALSE))),""))),"")</f>
        <v/>
      </c>
      <c r="D638" s="204" t="str" cm="1">
        <f t="array" aca="1" ref="D638" ca="1">IFERROR(
IF($J$2="ELA",
IF(VLOOKUP($A638, YES_Reading_ELA[], COLUMN(INDIRECT("YES_Reading_ELA[Instructional Reading Level - Per "&amp;VLOOKUP($D$2, 'Reading Report Logic'!$A$2:$B$8, 2, FALSE)&amp;"]")), FALSE)="", "",
VLOOKUP($A638,YES_Reading_ELA[], COLUMN(INDIRECT("YES_Reading_ELA[Instructional Reading Level - Per "&amp;VLOOKUP($D$2,'Reading Report Logic'!$A$2:$B$8,2,FALSE)&amp;"]")), FALSE)),
IF($J$2="FLA",
IF(VLOOKUP($A638, YES_Reading_FLA[], COLUMN(INDIRECT("YES_Reading_FLA[Instructional Reading Level - Per "&amp;VLOOKUP($D$2,'Reading Report Logic'!$A$2:$B$8,2,FALSE)&amp;"]")),FALSE)="","",
VLOOKUP($A638,YES_Reading_FLA[],COLUMN(INDIRECT("YES_Reading_FLA[Instructional Reading Level - Per "&amp;VLOOKUP($D$2,'Reading Report Logic'!$A$2:$B$8,2,FALSE)&amp;"]")),FALSE)),
IF($J$2="Combined",
IFERROR(
IF(VLOOKUP($A638, YES_Reading_ELA[], COLUMN(INDIRECT("YES_Reading_ELA[Instructional Reading Level - Per "&amp;VLOOKUP($D$2, 'Reading Report Logic'!$A$2:$B$8,2,FALSE)&amp;"]")), FALSE)="", "",
VLOOKUP($A638,YES_Reading_ELA[],COLUMN(INDIRECT("YES_Reading_ELA[Instructional Reading Level - Per "&amp;VLOOKUP($D$2,'Reading Report Logic'!$A$2:$B$8,2,FALSE)&amp;"]")),FALSE)),
IF(VLOOKUP($A638, YES_Reading_FLA[], COLUMN(INDIRECT("YES_Reading_FLA[Instructional Reading Level - Per "&amp;VLOOKUP($D$2, 'Reading Report Logic'!$A$2:$B$8, 2, FALSE)&amp;"]")),FALSE)="", "", VLOOKUP($A638,YES_Reading_FLA[],COLUMN(INDIRECT("YES_Reading_FLA[Instructional Reading Level - Per "&amp;VLOOKUP($D$2, 'Reading Report Logic'!$A$2:$B$8, 2, FALSE)&amp;"]")),FALSE))),""))),"")</f>
        <v/>
      </c>
      <c r="E638" s="205" t="str" cm="1">
        <f t="array" aca="1" ref="E638" ca="1">IFERROR(
IF($J$2="ELA",
IF(VLOOKUP($A638, YES_Reading_ELA[], COLUMN(INDIRECT("YES_Reading_ELA[Min Expectation - Per "&amp;VLOOKUP($D$2, 'Reading Report Logic'!$A$2:$B$8, 2, FALSE)&amp;"]")), FALSE)="", "",
VLOOKUP($A638,YES_Reading_ELA[], COLUMN(INDIRECT("YES_Reading_ELA[Min Expectation - Per "&amp;VLOOKUP($D$2,'Reading Report Logic'!$A$2:$B$8,2,FALSE)&amp;"]")), FALSE)),
IF($J$2="FLA",
IF(VLOOKUP($A638, YES_Reading_FLA[], COLUMN(INDIRECT("YES_Reading_FLA[Min Expectation - Per "&amp;VLOOKUP($D$2,'Reading Report Logic'!$A$2:$B$8,2,FALSE)&amp;"]")),FALSE)="","",
VLOOKUP($A638,YES_Reading_FLA[],COLUMN(INDIRECT("YES_Reading_FLA[Min Expectation - Per "&amp;VLOOKUP($D$2,'Reading Report Logic'!$A$2:$B$8,2,FALSE)&amp;"]")),FALSE)),
IF($J$2="Combined",
IFERROR(
IF(VLOOKUP($A638, YES_Reading_ELA[], COLUMN(INDIRECT("YES_Reading_ELA[Min Expectation - Per "&amp;VLOOKUP($D$2, 'Reading Report Logic'!$A$2:$B$8,2,FALSE)&amp;"]")), FALSE)="", "",
VLOOKUP($A638,YES_Reading_ELA[],COLUMN(INDIRECT("YES_Reading_ELA[Min Expectation - Per "&amp;VLOOKUP($D$2,'Reading Report Logic'!$A$2:$B$8,2,FALSE)&amp;"]")),FALSE)),
IF(VLOOKUP($A638, YES_Reading_FLA[], COLUMN(INDIRECT("YES_Reading_FLA[Min Expectation - Per "&amp;VLOOKUP($D$2, 'Reading Report Logic'!$A$2:$B$8, 2, FALSE)&amp;"]")),FALSE)="", "", VLOOKUP($A638,YES_Reading_FLA[],COLUMN(INDIRECT("YES_Reading_FLA[Min Expectation - Per "&amp;VLOOKUP($D$2, 'Reading Report Logic'!$A$2:$B$8, 2, FALSE)&amp;"]")),FALSE))),""))),"")</f>
        <v/>
      </c>
      <c r="F638" s="205" t="str" cm="1">
        <f t="array" aca="1" ref="F638" ca="1">IFERROR(
IF($J$2="ELA",
IF(VLOOKUP($A638, YES_Reading_ELA[], COLUMN(INDIRECT("YES_Reading_ELA[Max Expectation - Per "&amp;VLOOKUP($D$2, 'Reading Report Logic'!$A$2:$B$8, 2, FALSE)&amp;"]")), FALSE)="", "",
VLOOKUP($A638,YES_Reading_ELA[], COLUMN(INDIRECT("YES_Reading_ELA[Max Expectation - Per "&amp;VLOOKUP($D$2,'Reading Report Logic'!$A$2:$B$8,2,FALSE)&amp;"]")), FALSE)),
IF($J$2="FLA",
IF(VLOOKUP($A638, YES_Reading_FLA[], COLUMN(INDIRECT("YES_Reading_FLA[Max Expectation - Per "&amp;VLOOKUP($D$2,'Reading Report Logic'!$A$2:$B$8,2,FALSE)&amp;"]")),FALSE)="","",
VLOOKUP($A638,YES_Reading_FLA[],COLUMN(INDIRECT("YES_Reading_FLA[Max Expectation - Per "&amp;VLOOKUP($D$2,'Reading Report Logic'!$A$2:$B$8,2,FALSE)&amp;"]")),FALSE)),
IF($J$2="Combined",
IFERROR(
IF(VLOOKUP($A638, YES_Reading_ELA[], COLUMN(INDIRECT("YES_Reading_ELA[Max Expectation - Per "&amp;VLOOKUP($D$2, 'Reading Report Logic'!$A$2:$B$8,2,FALSE)&amp;"]")), FALSE)="", "",
VLOOKUP($A638,YES_Reading_ELA[],COLUMN(INDIRECT("YES_Reading_ELA[Max Expectation - Per "&amp;VLOOKUP($D$2,'Reading Report Logic'!$A$2:$B$8,2,FALSE)&amp;"]")),FALSE)),
IF(VLOOKUP($A638, YES_Reading_FLA[], COLUMN(INDIRECT("YES_Reading_FLA[Max Expectation - Per "&amp;VLOOKUP($D$2, 'Reading Report Logic'!$A$2:$B$8, 2, FALSE)&amp;"]")),FALSE)="", "", VLOOKUP($A638,YES_Reading_FLA[],COLUMN(INDIRECT("YES_Reading_FLA[Max Expectation - Per "&amp;VLOOKUP($D$2, 'Reading Report Logic'!$A$2:$B$8, 2, FALSE)&amp;"]")),FALSE))),""))),"")</f>
        <v/>
      </c>
      <c r="G638" s="205" t="str" cm="1">
        <f t="array" aca="1" ref="G638" ca="1">IFERROR(
IF($J$2="ELA",
IF(VLOOKUP($A638, YES_Reading_ELA[], COLUMN(INDIRECT("YES_Reading_ELA[Difference - Per "&amp;VLOOKUP($D$2, 'Reading Report Logic'!$A$2:$B$8, 2, FALSE)&amp;"]")), FALSE)="", "",
VLOOKUP($A638,YES_Reading_ELA[], COLUMN(INDIRECT("YES_Reading_ELA[Difference - Per "&amp;VLOOKUP($D$2,'Reading Report Logic'!$A$2:$B$8,2,FALSE)&amp;"]")), FALSE)),
IF($J$2="FLA",
IF(VLOOKUP($A638, YES_Reading_FLA[], COLUMN(INDIRECT("YES_Reading_FLA[Difference - Per "&amp;VLOOKUP($D$2,'Reading Report Logic'!$A$2:$B$8,2,FALSE)&amp;"]")),FALSE)="","",
VLOOKUP($A638,YES_Reading_FLA[],COLUMN(INDIRECT("YES_Reading_FLA[Difference - Per "&amp;VLOOKUP($D$2,'Reading Report Logic'!$A$2:$B$8,2,FALSE)&amp;"]")),FALSE)),
IF($J$2="Combined",
IFERROR(
IF(VLOOKUP($A638, YES_Reading_ELA[], COLUMN(INDIRECT("YES_Reading_ELA[Difference - Per "&amp;VLOOKUP($D$2, 'Reading Report Logic'!$A$2:$B$8,2,FALSE)&amp;"]")), FALSE)="", "",
VLOOKUP($A638,YES_Reading_ELA[],COLUMN(INDIRECT("YES_Reading_ELA[Difference - Per "&amp;VLOOKUP($D$2,'Reading Report Logic'!$A$2:$B$8,2,FALSE)&amp;"]")),FALSE)),
IF(VLOOKUP($A638, YES_Reading_FLA[], COLUMN(INDIRECT("YES_Reading_FLA[Difference - Per "&amp;VLOOKUP($D$2, 'Reading Report Logic'!$A$2:$B$8, 2, FALSE)&amp;"]")),FALSE)="", "", VLOOKUP($A638,YES_Reading_FLA[],COLUMN(INDIRECT("YES_Reading_FLA[Difference - Per "&amp;VLOOKUP($D$2, 'Reading Report Logic'!$A$2:$B$8, 2, FALSE)&amp;"]")),FALSE))),""))),"")</f>
        <v/>
      </c>
      <c r="H638" s="206" t="str">
        <f ca="1">IFERROR(VLOOKUP('Teacher Reading Pull Sheets'!$D638,_xlfn.VSTACK('ELA Reading Logic'!$A$22:$B$48,'FLA Reading Logic'!$A$22:$B$53),2,FALSE)-VLOOKUP('Teacher Reading Pull Sheets'!$C638,_xlfn.VSTACK('ELA Reading Logic'!$A$22:$B$48,'FLA Reading Logic'!$A$22:$B$53),2,FALSE),"")</f>
        <v/>
      </c>
      <c r="I638" s="212"/>
      <c r="J638" s="206"/>
      <c r="K638" s="197" t="str" cm="1">
        <f t="array" ref="K638">IFERROR(
IF($J$2="ELA",
IF(VLOOKUP($A638, YES_Reading_ELA[], COLUMN(YES_Reading_ELA[Self-Identified as African Descent]), FALSE)="", "",
VLOOKUP($A638,YES_Reading_ELA[], COLUMN(YES_Reading_ELA[Self-Identified as African Descent]), FALSE)),
IF($J$2="FLA",
IF(VLOOKUP($A638, YES_Reading_FLA[], COLUMN(YES_Reading_FLA[Self-Identified as African Descent]),FALSE)="","",
VLOOKUP($A638,YES_Reading_FLA[],COLUMN(YES_Reading_FLA[Self-Identified as African Descent]),FALSE)),
IF($J$2="Combined",
IFERROR(
IF(VLOOKUP($A638, YES_Reading_ELA[], COLUMN(YES_Reading_ELA[Self-Identified as African Descent]), FALSE)="", "",
VLOOKUP($A638,YES_Reading_ELA[],COLUMN(YES_Reading_ELA[Self-Identified as African Descent]),FALSE)),
IF(VLOOKUP($A638, YES_Reading_FLA[], COLUMN(YES_Reading_FLA[Self-Identified as African Descent]),FALSE)="", "", VLOOKUP($A638,YES_Reading_FLA[],COLUMN(YES_Reading_FLA[Self-Identified as African Descent]),FALSE))),""))),"")</f>
        <v/>
      </c>
      <c r="L638" s="73" t="str" cm="1">
        <f t="array" ref="L638">IFERROR(
IF($J$2="ELA",
IF(VLOOKUP($A638, YES_Reading_ELA[], COLUMN(YES_Reading_ELA[Self-Identified as Indigenous]), FALSE)="", "",
VLOOKUP($A638,YES_Reading_ELA[], COLUMN(YES_Reading_ELA[Self-Identified as Indigenous]), FALSE)),
IF($J$2="FLA",
IF(VLOOKUP($A638, YES_Reading_FLA[], COLUMN(YES_Reading_FLA[Self-Identified as Indigenous]),FALSE)="","",
VLOOKUP($A638,YES_Reading_FLA[],COLUMN(YES_Reading_FLA[Self-Identified as Indigenous]),FALSE)),
IF($J$2="Combined",
IFERROR(
IF(VLOOKUP($A638, YES_Reading_ELA[], COLUMN(YES_Reading_ELA[Self-Identified as Indigenous]), FALSE)="", "",
VLOOKUP($A638,YES_Reading_ELA[],COLUMN(YES_Reading_ELA[Self-Identified as Indigenous]),FALSE)),
IF(VLOOKUP($A638, YES_Reading_FLA[], COLUMN(YES_Reading_FLA[Self-Identified as Indigenous]),FALSE)="", "", VLOOKUP($A638,YES_Reading_FLA[],COLUMN(YES_Reading_FLA[Self-Identified as Indigenous]),FALSE))),""))),"")</f>
        <v/>
      </c>
    </row>
    <row r="639" spans="1:12" ht="19.5" customHeight="1" x14ac:dyDescent="0.25">
      <c r="A639" s="217"/>
      <c r="B639" s="220" t="str">
        <f>IFERROR(VLOOKUP(A639,_xlfn.VSTACK(YES_Reading_ELA[],YES_Reading_FLA[]),2,FALSE),"")</f>
        <v/>
      </c>
      <c r="C639" s="203" t="str" cm="1">
        <f t="array" aca="1" ref="C639" ca="1">IFERROR(
IF($J$2="ELA",
IF(VLOOKUP($A639, YES_Reading_ELA[], COLUMN(IF(VLOOKUP($D$2, 'Reading Report Logic'!$A$2:$B$8, 2, FALSE)=1, YES_Reading_ELA[Reading Level June of Previous School Year], INDIRECT("YES_Reading_ELA[Instructional Reading Level - Per "&amp;(VLOOKUP($D$2,'Reading Report Logic'!$A$2:$B$8,2,FALSE)-1)&amp;"]"))), FALSE)="", "",
VLOOKUP($A639,YES_Reading_ELA[], COLUMN(IF(VLOOKUP($D$2,'Reading Report Logic'!$A$2:$B$8,2,FALSE)=1, YES_Reading_ELA[Reading Level June of Previous School Year],INDIRECT("YES_Reading_ELA[Instructional Reading Level - Per "&amp;(VLOOKUP($D$2,'Reading Report Logic'!$A$2:$B$8,2,FALSE)-1)&amp;"]"))), FALSE)),
IF($J$2="FLA",
IF(VLOOKUP($A639, YES_Reading_FLA[], COLUMN(IF(VLOOKUP($D$2,'Reading Report Logic'!$A$2:$B$8,2,FALSE)=1, YES_Reading_FLA[Reading Level June of Previous School Year],INDIRECT("YES_Reading_FLA[Instructional Reading Level - Per "&amp;(VLOOKUP($D$2,'Reading Report Logic'!$A$2:$B$8,2,FALSE)-1)&amp;"]"))),FALSE)="","",
VLOOKUP($A639,YES_Reading_FLA[], COLUMN(IF(VLOOKUP($D$2,'Reading Report Logic'!$A$2:$B$8,2,FALSE)=1, YES_Reading_FLA[Reading Level June of Previous School Year],INDIRECT("YES_Reading_FLA[Instructional Reading Level - Per "&amp;(VLOOKUP($D$2,'Reading Report Logic'!$A$2:$B$8,2,FALSE)-1)&amp;"]"))),FALSE)),
IF($J$2="Combined",
IFERROR(
IF(VLOOKUP($A639, YES_Reading_ELA[], COLUMN(IF(VLOOKUP($D$2,'Reading Report Logic'!$A$2:$B$8,2,FALSE)=1, YES_Reading_ELA[Reading Level June of Previous School Year],INDIRECT("YES_Reading_ELA[Instructional Reading Level - Per "&amp;(VLOOKUP($D$2,'Reading Report Logic'!$A$2:$B$8,2,FALSE)-1)&amp;"]"))), FALSE)="", "",
VLOOKUP($A639,YES_Reading_ELA[],COLUMN(IF(VLOOKUP($D$2,'Reading Report Logic'!$A$2:$B$8,2,FALSE)=1, YES_Reading_ELA[Reading Level June of Previous School Year],INDIRECT("YES_Reading_ELA[Instructional Reading Level - Per "&amp;(VLOOKUP($D$2,'Reading Report Logic'!$A$2:$B$8,2,FALSE)-1)&amp;"]"))),FALSE)),
IF(VLOOKUP($A639, YES_Reading_FLA[], COLUMN(IF(VLOOKUP($D$2,'Reading Report Logic'!$A$2:$B$8,2,FALSE)=1, YES_Reading_FLA[Reading Level June of Previous School Year],INDIRECT("YES_Reading_FLA[Instructional Reading Level - Per "&amp;(VLOOKUP($D$2,'Reading Report Logic'!$A$2:$B$8,2,FALSE)-1)&amp;"]"))),FALSE)="", "", VLOOKUP($A639,YES_Reading_FLA[],COLUMN(IF(VLOOKUP($D$2,'Reading Report Logic'!$A$2:$B$8,2,FALSE)=1, YES_Reading_FLA[Reading Level June of Previous School Year],INDIRECT("YES_Reading_FLA[Instructional Reading Level - Per "&amp;(VLOOKUP($D$2,'Reading Report Logic'!$A$2:$B$8,2,FALSE)-1)&amp;"]"))), FALSE))),""))),"")</f>
        <v/>
      </c>
      <c r="D639" s="204" t="str" cm="1">
        <f t="array" aca="1" ref="D639" ca="1">IFERROR(
IF($J$2="ELA",
IF(VLOOKUP($A639, YES_Reading_ELA[], COLUMN(INDIRECT("YES_Reading_ELA[Instructional Reading Level - Per "&amp;VLOOKUP($D$2, 'Reading Report Logic'!$A$2:$B$8, 2, FALSE)&amp;"]")), FALSE)="", "",
VLOOKUP($A639,YES_Reading_ELA[], COLUMN(INDIRECT("YES_Reading_ELA[Instructional Reading Level - Per "&amp;VLOOKUP($D$2,'Reading Report Logic'!$A$2:$B$8,2,FALSE)&amp;"]")), FALSE)),
IF($J$2="FLA",
IF(VLOOKUP($A639, YES_Reading_FLA[], COLUMN(INDIRECT("YES_Reading_FLA[Instructional Reading Level - Per "&amp;VLOOKUP($D$2,'Reading Report Logic'!$A$2:$B$8,2,FALSE)&amp;"]")),FALSE)="","",
VLOOKUP($A639,YES_Reading_FLA[],COLUMN(INDIRECT("YES_Reading_FLA[Instructional Reading Level - Per "&amp;VLOOKUP($D$2,'Reading Report Logic'!$A$2:$B$8,2,FALSE)&amp;"]")),FALSE)),
IF($J$2="Combined",
IFERROR(
IF(VLOOKUP($A639, YES_Reading_ELA[], COLUMN(INDIRECT("YES_Reading_ELA[Instructional Reading Level - Per "&amp;VLOOKUP($D$2, 'Reading Report Logic'!$A$2:$B$8,2,FALSE)&amp;"]")), FALSE)="", "",
VLOOKUP($A639,YES_Reading_ELA[],COLUMN(INDIRECT("YES_Reading_ELA[Instructional Reading Level - Per "&amp;VLOOKUP($D$2,'Reading Report Logic'!$A$2:$B$8,2,FALSE)&amp;"]")),FALSE)),
IF(VLOOKUP($A639, YES_Reading_FLA[], COLUMN(INDIRECT("YES_Reading_FLA[Instructional Reading Level - Per "&amp;VLOOKUP($D$2, 'Reading Report Logic'!$A$2:$B$8, 2, FALSE)&amp;"]")),FALSE)="", "", VLOOKUP($A639,YES_Reading_FLA[],COLUMN(INDIRECT("YES_Reading_FLA[Instructional Reading Level - Per "&amp;VLOOKUP($D$2, 'Reading Report Logic'!$A$2:$B$8, 2, FALSE)&amp;"]")),FALSE))),""))),"")</f>
        <v/>
      </c>
      <c r="E639" s="205" t="str" cm="1">
        <f t="array" aca="1" ref="E639" ca="1">IFERROR(
IF($J$2="ELA",
IF(VLOOKUP($A639, YES_Reading_ELA[], COLUMN(INDIRECT("YES_Reading_ELA[Min Expectation - Per "&amp;VLOOKUP($D$2, 'Reading Report Logic'!$A$2:$B$8, 2, FALSE)&amp;"]")), FALSE)="", "",
VLOOKUP($A639,YES_Reading_ELA[], COLUMN(INDIRECT("YES_Reading_ELA[Min Expectation - Per "&amp;VLOOKUP($D$2,'Reading Report Logic'!$A$2:$B$8,2,FALSE)&amp;"]")), FALSE)),
IF($J$2="FLA",
IF(VLOOKUP($A639, YES_Reading_FLA[], COLUMN(INDIRECT("YES_Reading_FLA[Min Expectation - Per "&amp;VLOOKUP($D$2,'Reading Report Logic'!$A$2:$B$8,2,FALSE)&amp;"]")),FALSE)="","",
VLOOKUP($A639,YES_Reading_FLA[],COLUMN(INDIRECT("YES_Reading_FLA[Min Expectation - Per "&amp;VLOOKUP($D$2,'Reading Report Logic'!$A$2:$B$8,2,FALSE)&amp;"]")),FALSE)),
IF($J$2="Combined",
IFERROR(
IF(VLOOKUP($A639, YES_Reading_ELA[], COLUMN(INDIRECT("YES_Reading_ELA[Min Expectation - Per "&amp;VLOOKUP($D$2, 'Reading Report Logic'!$A$2:$B$8,2,FALSE)&amp;"]")), FALSE)="", "",
VLOOKUP($A639,YES_Reading_ELA[],COLUMN(INDIRECT("YES_Reading_ELA[Min Expectation - Per "&amp;VLOOKUP($D$2,'Reading Report Logic'!$A$2:$B$8,2,FALSE)&amp;"]")),FALSE)),
IF(VLOOKUP($A639, YES_Reading_FLA[], COLUMN(INDIRECT("YES_Reading_FLA[Min Expectation - Per "&amp;VLOOKUP($D$2, 'Reading Report Logic'!$A$2:$B$8, 2, FALSE)&amp;"]")),FALSE)="", "", VLOOKUP($A639,YES_Reading_FLA[],COLUMN(INDIRECT("YES_Reading_FLA[Min Expectation - Per "&amp;VLOOKUP($D$2, 'Reading Report Logic'!$A$2:$B$8, 2, FALSE)&amp;"]")),FALSE))),""))),"")</f>
        <v/>
      </c>
      <c r="F639" s="205" t="str" cm="1">
        <f t="array" aca="1" ref="F639" ca="1">IFERROR(
IF($J$2="ELA",
IF(VLOOKUP($A639, YES_Reading_ELA[], COLUMN(INDIRECT("YES_Reading_ELA[Max Expectation - Per "&amp;VLOOKUP($D$2, 'Reading Report Logic'!$A$2:$B$8, 2, FALSE)&amp;"]")), FALSE)="", "",
VLOOKUP($A639,YES_Reading_ELA[], COLUMN(INDIRECT("YES_Reading_ELA[Max Expectation - Per "&amp;VLOOKUP($D$2,'Reading Report Logic'!$A$2:$B$8,2,FALSE)&amp;"]")), FALSE)),
IF($J$2="FLA",
IF(VLOOKUP($A639, YES_Reading_FLA[], COLUMN(INDIRECT("YES_Reading_FLA[Max Expectation - Per "&amp;VLOOKUP($D$2,'Reading Report Logic'!$A$2:$B$8,2,FALSE)&amp;"]")),FALSE)="","",
VLOOKUP($A639,YES_Reading_FLA[],COLUMN(INDIRECT("YES_Reading_FLA[Max Expectation - Per "&amp;VLOOKUP($D$2,'Reading Report Logic'!$A$2:$B$8,2,FALSE)&amp;"]")),FALSE)),
IF($J$2="Combined",
IFERROR(
IF(VLOOKUP($A639, YES_Reading_ELA[], COLUMN(INDIRECT("YES_Reading_ELA[Max Expectation - Per "&amp;VLOOKUP($D$2, 'Reading Report Logic'!$A$2:$B$8,2,FALSE)&amp;"]")), FALSE)="", "",
VLOOKUP($A639,YES_Reading_ELA[],COLUMN(INDIRECT("YES_Reading_ELA[Max Expectation - Per "&amp;VLOOKUP($D$2,'Reading Report Logic'!$A$2:$B$8,2,FALSE)&amp;"]")),FALSE)),
IF(VLOOKUP($A639, YES_Reading_FLA[], COLUMN(INDIRECT("YES_Reading_FLA[Max Expectation - Per "&amp;VLOOKUP($D$2, 'Reading Report Logic'!$A$2:$B$8, 2, FALSE)&amp;"]")),FALSE)="", "", VLOOKUP($A639,YES_Reading_FLA[],COLUMN(INDIRECT("YES_Reading_FLA[Max Expectation - Per "&amp;VLOOKUP($D$2, 'Reading Report Logic'!$A$2:$B$8, 2, FALSE)&amp;"]")),FALSE))),""))),"")</f>
        <v/>
      </c>
      <c r="G639" s="205" t="str" cm="1">
        <f t="array" aca="1" ref="G639" ca="1">IFERROR(
IF($J$2="ELA",
IF(VLOOKUP($A639, YES_Reading_ELA[], COLUMN(INDIRECT("YES_Reading_ELA[Difference - Per "&amp;VLOOKUP($D$2, 'Reading Report Logic'!$A$2:$B$8, 2, FALSE)&amp;"]")), FALSE)="", "",
VLOOKUP($A639,YES_Reading_ELA[], COLUMN(INDIRECT("YES_Reading_ELA[Difference - Per "&amp;VLOOKUP($D$2,'Reading Report Logic'!$A$2:$B$8,2,FALSE)&amp;"]")), FALSE)),
IF($J$2="FLA",
IF(VLOOKUP($A639, YES_Reading_FLA[], COLUMN(INDIRECT("YES_Reading_FLA[Difference - Per "&amp;VLOOKUP($D$2,'Reading Report Logic'!$A$2:$B$8,2,FALSE)&amp;"]")),FALSE)="","",
VLOOKUP($A639,YES_Reading_FLA[],COLUMN(INDIRECT("YES_Reading_FLA[Difference - Per "&amp;VLOOKUP($D$2,'Reading Report Logic'!$A$2:$B$8,2,FALSE)&amp;"]")),FALSE)),
IF($J$2="Combined",
IFERROR(
IF(VLOOKUP($A639, YES_Reading_ELA[], COLUMN(INDIRECT("YES_Reading_ELA[Difference - Per "&amp;VLOOKUP($D$2, 'Reading Report Logic'!$A$2:$B$8,2,FALSE)&amp;"]")), FALSE)="", "",
VLOOKUP($A639,YES_Reading_ELA[],COLUMN(INDIRECT("YES_Reading_ELA[Difference - Per "&amp;VLOOKUP($D$2,'Reading Report Logic'!$A$2:$B$8,2,FALSE)&amp;"]")),FALSE)),
IF(VLOOKUP($A639, YES_Reading_FLA[], COLUMN(INDIRECT("YES_Reading_FLA[Difference - Per "&amp;VLOOKUP($D$2, 'Reading Report Logic'!$A$2:$B$8, 2, FALSE)&amp;"]")),FALSE)="", "", VLOOKUP($A639,YES_Reading_FLA[],COLUMN(INDIRECT("YES_Reading_FLA[Difference - Per "&amp;VLOOKUP($D$2, 'Reading Report Logic'!$A$2:$B$8, 2, FALSE)&amp;"]")),FALSE))),""))),"")</f>
        <v/>
      </c>
      <c r="H639" s="206" t="str">
        <f ca="1">IFERROR(VLOOKUP('Teacher Reading Pull Sheets'!$D639,_xlfn.VSTACK('ELA Reading Logic'!$A$22:$B$48,'FLA Reading Logic'!$A$22:$B$53),2,FALSE)-VLOOKUP('Teacher Reading Pull Sheets'!$C639,_xlfn.VSTACK('ELA Reading Logic'!$A$22:$B$48,'FLA Reading Logic'!$A$22:$B$53),2,FALSE),"")</f>
        <v/>
      </c>
      <c r="I639" s="212"/>
      <c r="J639" s="206"/>
      <c r="K639" s="197" t="str" cm="1">
        <f t="array" ref="K639">IFERROR(
IF($J$2="ELA",
IF(VLOOKUP($A639, YES_Reading_ELA[], COLUMN(YES_Reading_ELA[Self-Identified as African Descent]), FALSE)="", "",
VLOOKUP($A639,YES_Reading_ELA[], COLUMN(YES_Reading_ELA[Self-Identified as African Descent]), FALSE)),
IF($J$2="FLA",
IF(VLOOKUP($A639, YES_Reading_FLA[], COLUMN(YES_Reading_FLA[Self-Identified as African Descent]),FALSE)="","",
VLOOKUP($A639,YES_Reading_FLA[],COLUMN(YES_Reading_FLA[Self-Identified as African Descent]),FALSE)),
IF($J$2="Combined",
IFERROR(
IF(VLOOKUP($A639, YES_Reading_ELA[], COLUMN(YES_Reading_ELA[Self-Identified as African Descent]), FALSE)="", "",
VLOOKUP($A639,YES_Reading_ELA[],COLUMN(YES_Reading_ELA[Self-Identified as African Descent]),FALSE)),
IF(VLOOKUP($A639, YES_Reading_FLA[], COLUMN(YES_Reading_FLA[Self-Identified as African Descent]),FALSE)="", "", VLOOKUP($A639,YES_Reading_FLA[],COLUMN(YES_Reading_FLA[Self-Identified as African Descent]),FALSE))),""))),"")</f>
        <v/>
      </c>
      <c r="L639" s="73" t="str" cm="1">
        <f t="array" ref="L639">IFERROR(
IF($J$2="ELA",
IF(VLOOKUP($A639, YES_Reading_ELA[], COLUMN(YES_Reading_ELA[Self-Identified as Indigenous]), FALSE)="", "",
VLOOKUP($A639,YES_Reading_ELA[], COLUMN(YES_Reading_ELA[Self-Identified as Indigenous]), FALSE)),
IF($J$2="FLA",
IF(VLOOKUP($A639, YES_Reading_FLA[], COLUMN(YES_Reading_FLA[Self-Identified as Indigenous]),FALSE)="","",
VLOOKUP($A639,YES_Reading_FLA[],COLUMN(YES_Reading_FLA[Self-Identified as Indigenous]),FALSE)),
IF($J$2="Combined",
IFERROR(
IF(VLOOKUP($A639, YES_Reading_ELA[], COLUMN(YES_Reading_ELA[Self-Identified as Indigenous]), FALSE)="", "",
VLOOKUP($A639,YES_Reading_ELA[],COLUMN(YES_Reading_ELA[Self-Identified as Indigenous]),FALSE)),
IF(VLOOKUP($A639, YES_Reading_FLA[], COLUMN(YES_Reading_FLA[Self-Identified as Indigenous]),FALSE)="", "", VLOOKUP($A639,YES_Reading_FLA[],COLUMN(YES_Reading_FLA[Self-Identified as Indigenous]),FALSE))),""))),"")</f>
        <v/>
      </c>
    </row>
    <row r="640" spans="1:12" ht="19.5" customHeight="1" x14ac:dyDescent="0.25">
      <c r="A640" s="217"/>
      <c r="B640" s="220" t="str">
        <f>IFERROR(VLOOKUP(A640,_xlfn.VSTACK(YES_Reading_ELA[],YES_Reading_FLA[]),2,FALSE),"")</f>
        <v/>
      </c>
      <c r="C640" s="203" t="str" cm="1">
        <f t="array" aca="1" ref="C640" ca="1">IFERROR(
IF($J$2="ELA",
IF(VLOOKUP($A640, YES_Reading_ELA[], COLUMN(IF(VLOOKUP($D$2, 'Reading Report Logic'!$A$2:$B$8, 2, FALSE)=1, YES_Reading_ELA[Reading Level June of Previous School Year], INDIRECT("YES_Reading_ELA[Instructional Reading Level - Per "&amp;(VLOOKUP($D$2,'Reading Report Logic'!$A$2:$B$8,2,FALSE)-1)&amp;"]"))), FALSE)="", "",
VLOOKUP($A640,YES_Reading_ELA[], COLUMN(IF(VLOOKUP($D$2,'Reading Report Logic'!$A$2:$B$8,2,FALSE)=1, YES_Reading_ELA[Reading Level June of Previous School Year],INDIRECT("YES_Reading_ELA[Instructional Reading Level - Per "&amp;(VLOOKUP($D$2,'Reading Report Logic'!$A$2:$B$8,2,FALSE)-1)&amp;"]"))), FALSE)),
IF($J$2="FLA",
IF(VLOOKUP($A640, YES_Reading_FLA[], COLUMN(IF(VLOOKUP($D$2,'Reading Report Logic'!$A$2:$B$8,2,FALSE)=1, YES_Reading_FLA[Reading Level June of Previous School Year],INDIRECT("YES_Reading_FLA[Instructional Reading Level - Per "&amp;(VLOOKUP($D$2,'Reading Report Logic'!$A$2:$B$8,2,FALSE)-1)&amp;"]"))),FALSE)="","",
VLOOKUP($A640,YES_Reading_FLA[], COLUMN(IF(VLOOKUP($D$2,'Reading Report Logic'!$A$2:$B$8,2,FALSE)=1, YES_Reading_FLA[Reading Level June of Previous School Year],INDIRECT("YES_Reading_FLA[Instructional Reading Level - Per "&amp;(VLOOKUP($D$2,'Reading Report Logic'!$A$2:$B$8,2,FALSE)-1)&amp;"]"))),FALSE)),
IF($J$2="Combined",
IFERROR(
IF(VLOOKUP($A640, YES_Reading_ELA[], COLUMN(IF(VLOOKUP($D$2,'Reading Report Logic'!$A$2:$B$8,2,FALSE)=1, YES_Reading_ELA[Reading Level June of Previous School Year],INDIRECT("YES_Reading_ELA[Instructional Reading Level - Per "&amp;(VLOOKUP($D$2,'Reading Report Logic'!$A$2:$B$8,2,FALSE)-1)&amp;"]"))), FALSE)="", "",
VLOOKUP($A640,YES_Reading_ELA[],COLUMN(IF(VLOOKUP($D$2,'Reading Report Logic'!$A$2:$B$8,2,FALSE)=1, YES_Reading_ELA[Reading Level June of Previous School Year],INDIRECT("YES_Reading_ELA[Instructional Reading Level - Per "&amp;(VLOOKUP($D$2,'Reading Report Logic'!$A$2:$B$8,2,FALSE)-1)&amp;"]"))),FALSE)),
IF(VLOOKUP($A640, YES_Reading_FLA[], COLUMN(IF(VLOOKUP($D$2,'Reading Report Logic'!$A$2:$B$8,2,FALSE)=1, YES_Reading_FLA[Reading Level June of Previous School Year],INDIRECT("YES_Reading_FLA[Instructional Reading Level - Per "&amp;(VLOOKUP($D$2,'Reading Report Logic'!$A$2:$B$8,2,FALSE)-1)&amp;"]"))),FALSE)="", "", VLOOKUP($A640,YES_Reading_FLA[],COLUMN(IF(VLOOKUP($D$2,'Reading Report Logic'!$A$2:$B$8,2,FALSE)=1, YES_Reading_FLA[Reading Level June of Previous School Year],INDIRECT("YES_Reading_FLA[Instructional Reading Level - Per "&amp;(VLOOKUP($D$2,'Reading Report Logic'!$A$2:$B$8,2,FALSE)-1)&amp;"]"))), FALSE))),""))),"")</f>
        <v/>
      </c>
      <c r="D640" s="204" t="str" cm="1">
        <f t="array" aca="1" ref="D640" ca="1">IFERROR(
IF($J$2="ELA",
IF(VLOOKUP($A640, YES_Reading_ELA[], COLUMN(INDIRECT("YES_Reading_ELA[Instructional Reading Level - Per "&amp;VLOOKUP($D$2, 'Reading Report Logic'!$A$2:$B$8, 2, FALSE)&amp;"]")), FALSE)="", "",
VLOOKUP($A640,YES_Reading_ELA[], COLUMN(INDIRECT("YES_Reading_ELA[Instructional Reading Level - Per "&amp;VLOOKUP($D$2,'Reading Report Logic'!$A$2:$B$8,2,FALSE)&amp;"]")), FALSE)),
IF($J$2="FLA",
IF(VLOOKUP($A640, YES_Reading_FLA[], COLUMN(INDIRECT("YES_Reading_FLA[Instructional Reading Level - Per "&amp;VLOOKUP($D$2,'Reading Report Logic'!$A$2:$B$8,2,FALSE)&amp;"]")),FALSE)="","",
VLOOKUP($A640,YES_Reading_FLA[],COLUMN(INDIRECT("YES_Reading_FLA[Instructional Reading Level - Per "&amp;VLOOKUP($D$2,'Reading Report Logic'!$A$2:$B$8,2,FALSE)&amp;"]")),FALSE)),
IF($J$2="Combined",
IFERROR(
IF(VLOOKUP($A640, YES_Reading_ELA[], COLUMN(INDIRECT("YES_Reading_ELA[Instructional Reading Level - Per "&amp;VLOOKUP($D$2, 'Reading Report Logic'!$A$2:$B$8,2,FALSE)&amp;"]")), FALSE)="", "",
VLOOKUP($A640,YES_Reading_ELA[],COLUMN(INDIRECT("YES_Reading_ELA[Instructional Reading Level - Per "&amp;VLOOKUP($D$2,'Reading Report Logic'!$A$2:$B$8,2,FALSE)&amp;"]")),FALSE)),
IF(VLOOKUP($A640, YES_Reading_FLA[], COLUMN(INDIRECT("YES_Reading_FLA[Instructional Reading Level - Per "&amp;VLOOKUP($D$2, 'Reading Report Logic'!$A$2:$B$8, 2, FALSE)&amp;"]")),FALSE)="", "", VLOOKUP($A640,YES_Reading_FLA[],COLUMN(INDIRECT("YES_Reading_FLA[Instructional Reading Level - Per "&amp;VLOOKUP($D$2, 'Reading Report Logic'!$A$2:$B$8, 2, FALSE)&amp;"]")),FALSE))),""))),"")</f>
        <v/>
      </c>
      <c r="E640" s="205" t="str" cm="1">
        <f t="array" aca="1" ref="E640" ca="1">IFERROR(
IF($J$2="ELA",
IF(VLOOKUP($A640, YES_Reading_ELA[], COLUMN(INDIRECT("YES_Reading_ELA[Min Expectation - Per "&amp;VLOOKUP($D$2, 'Reading Report Logic'!$A$2:$B$8, 2, FALSE)&amp;"]")), FALSE)="", "",
VLOOKUP($A640,YES_Reading_ELA[], COLUMN(INDIRECT("YES_Reading_ELA[Min Expectation - Per "&amp;VLOOKUP($D$2,'Reading Report Logic'!$A$2:$B$8,2,FALSE)&amp;"]")), FALSE)),
IF($J$2="FLA",
IF(VLOOKUP($A640, YES_Reading_FLA[], COLUMN(INDIRECT("YES_Reading_FLA[Min Expectation - Per "&amp;VLOOKUP($D$2,'Reading Report Logic'!$A$2:$B$8,2,FALSE)&amp;"]")),FALSE)="","",
VLOOKUP($A640,YES_Reading_FLA[],COLUMN(INDIRECT("YES_Reading_FLA[Min Expectation - Per "&amp;VLOOKUP($D$2,'Reading Report Logic'!$A$2:$B$8,2,FALSE)&amp;"]")),FALSE)),
IF($J$2="Combined",
IFERROR(
IF(VLOOKUP($A640, YES_Reading_ELA[], COLUMN(INDIRECT("YES_Reading_ELA[Min Expectation - Per "&amp;VLOOKUP($D$2, 'Reading Report Logic'!$A$2:$B$8,2,FALSE)&amp;"]")), FALSE)="", "",
VLOOKUP($A640,YES_Reading_ELA[],COLUMN(INDIRECT("YES_Reading_ELA[Min Expectation - Per "&amp;VLOOKUP($D$2,'Reading Report Logic'!$A$2:$B$8,2,FALSE)&amp;"]")),FALSE)),
IF(VLOOKUP($A640, YES_Reading_FLA[], COLUMN(INDIRECT("YES_Reading_FLA[Min Expectation - Per "&amp;VLOOKUP($D$2, 'Reading Report Logic'!$A$2:$B$8, 2, FALSE)&amp;"]")),FALSE)="", "", VLOOKUP($A640,YES_Reading_FLA[],COLUMN(INDIRECT("YES_Reading_FLA[Min Expectation - Per "&amp;VLOOKUP($D$2, 'Reading Report Logic'!$A$2:$B$8, 2, FALSE)&amp;"]")),FALSE))),""))),"")</f>
        <v/>
      </c>
      <c r="F640" s="205" t="str" cm="1">
        <f t="array" aca="1" ref="F640" ca="1">IFERROR(
IF($J$2="ELA",
IF(VLOOKUP($A640, YES_Reading_ELA[], COLUMN(INDIRECT("YES_Reading_ELA[Max Expectation - Per "&amp;VLOOKUP($D$2, 'Reading Report Logic'!$A$2:$B$8, 2, FALSE)&amp;"]")), FALSE)="", "",
VLOOKUP($A640,YES_Reading_ELA[], COLUMN(INDIRECT("YES_Reading_ELA[Max Expectation - Per "&amp;VLOOKUP($D$2,'Reading Report Logic'!$A$2:$B$8,2,FALSE)&amp;"]")), FALSE)),
IF($J$2="FLA",
IF(VLOOKUP($A640, YES_Reading_FLA[], COLUMN(INDIRECT("YES_Reading_FLA[Max Expectation - Per "&amp;VLOOKUP($D$2,'Reading Report Logic'!$A$2:$B$8,2,FALSE)&amp;"]")),FALSE)="","",
VLOOKUP($A640,YES_Reading_FLA[],COLUMN(INDIRECT("YES_Reading_FLA[Max Expectation - Per "&amp;VLOOKUP($D$2,'Reading Report Logic'!$A$2:$B$8,2,FALSE)&amp;"]")),FALSE)),
IF($J$2="Combined",
IFERROR(
IF(VLOOKUP($A640, YES_Reading_ELA[], COLUMN(INDIRECT("YES_Reading_ELA[Max Expectation - Per "&amp;VLOOKUP($D$2, 'Reading Report Logic'!$A$2:$B$8,2,FALSE)&amp;"]")), FALSE)="", "",
VLOOKUP($A640,YES_Reading_ELA[],COLUMN(INDIRECT("YES_Reading_ELA[Max Expectation - Per "&amp;VLOOKUP($D$2,'Reading Report Logic'!$A$2:$B$8,2,FALSE)&amp;"]")),FALSE)),
IF(VLOOKUP($A640, YES_Reading_FLA[], COLUMN(INDIRECT("YES_Reading_FLA[Max Expectation - Per "&amp;VLOOKUP($D$2, 'Reading Report Logic'!$A$2:$B$8, 2, FALSE)&amp;"]")),FALSE)="", "", VLOOKUP($A640,YES_Reading_FLA[],COLUMN(INDIRECT("YES_Reading_FLA[Max Expectation - Per "&amp;VLOOKUP($D$2, 'Reading Report Logic'!$A$2:$B$8, 2, FALSE)&amp;"]")),FALSE))),""))),"")</f>
        <v/>
      </c>
      <c r="G640" s="205" t="str" cm="1">
        <f t="array" aca="1" ref="G640" ca="1">IFERROR(
IF($J$2="ELA",
IF(VLOOKUP($A640, YES_Reading_ELA[], COLUMN(INDIRECT("YES_Reading_ELA[Difference - Per "&amp;VLOOKUP($D$2, 'Reading Report Logic'!$A$2:$B$8, 2, FALSE)&amp;"]")), FALSE)="", "",
VLOOKUP($A640,YES_Reading_ELA[], COLUMN(INDIRECT("YES_Reading_ELA[Difference - Per "&amp;VLOOKUP($D$2,'Reading Report Logic'!$A$2:$B$8,2,FALSE)&amp;"]")), FALSE)),
IF($J$2="FLA",
IF(VLOOKUP($A640, YES_Reading_FLA[], COLUMN(INDIRECT("YES_Reading_FLA[Difference - Per "&amp;VLOOKUP($D$2,'Reading Report Logic'!$A$2:$B$8,2,FALSE)&amp;"]")),FALSE)="","",
VLOOKUP($A640,YES_Reading_FLA[],COLUMN(INDIRECT("YES_Reading_FLA[Difference - Per "&amp;VLOOKUP($D$2,'Reading Report Logic'!$A$2:$B$8,2,FALSE)&amp;"]")),FALSE)),
IF($J$2="Combined",
IFERROR(
IF(VLOOKUP($A640, YES_Reading_ELA[], COLUMN(INDIRECT("YES_Reading_ELA[Difference - Per "&amp;VLOOKUP($D$2, 'Reading Report Logic'!$A$2:$B$8,2,FALSE)&amp;"]")), FALSE)="", "",
VLOOKUP($A640,YES_Reading_ELA[],COLUMN(INDIRECT("YES_Reading_ELA[Difference - Per "&amp;VLOOKUP($D$2,'Reading Report Logic'!$A$2:$B$8,2,FALSE)&amp;"]")),FALSE)),
IF(VLOOKUP($A640, YES_Reading_FLA[], COLUMN(INDIRECT("YES_Reading_FLA[Difference - Per "&amp;VLOOKUP($D$2, 'Reading Report Logic'!$A$2:$B$8, 2, FALSE)&amp;"]")),FALSE)="", "", VLOOKUP($A640,YES_Reading_FLA[],COLUMN(INDIRECT("YES_Reading_FLA[Difference - Per "&amp;VLOOKUP($D$2, 'Reading Report Logic'!$A$2:$B$8, 2, FALSE)&amp;"]")),FALSE))),""))),"")</f>
        <v/>
      </c>
      <c r="H640" s="206" t="str">
        <f ca="1">IFERROR(VLOOKUP('Teacher Reading Pull Sheets'!$D640,_xlfn.VSTACK('ELA Reading Logic'!$A$22:$B$48,'FLA Reading Logic'!$A$22:$B$53),2,FALSE)-VLOOKUP('Teacher Reading Pull Sheets'!$C640,_xlfn.VSTACK('ELA Reading Logic'!$A$22:$B$48,'FLA Reading Logic'!$A$22:$B$53),2,FALSE),"")</f>
        <v/>
      </c>
      <c r="I640" s="212"/>
      <c r="J640" s="206"/>
      <c r="K640" s="197" t="str" cm="1">
        <f t="array" ref="K640">IFERROR(
IF($J$2="ELA",
IF(VLOOKUP($A640, YES_Reading_ELA[], COLUMN(YES_Reading_ELA[Self-Identified as African Descent]), FALSE)="", "",
VLOOKUP($A640,YES_Reading_ELA[], COLUMN(YES_Reading_ELA[Self-Identified as African Descent]), FALSE)),
IF($J$2="FLA",
IF(VLOOKUP($A640, YES_Reading_FLA[], COLUMN(YES_Reading_FLA[Self-Identified as African Descent]),FALSE)="","",
VLOOKUP($A640,YES_Reading_FLA[],COLUMN(YES_Reading_FLA[Self-Identified as African Descent]),FALSE)),
IF($J$2="Combined",
IFERROR(
IF(VLOOKUP($A640, YES_Reading_ELA[], COLUMN(YES_Reading_ELA[Self-Identified as African Descent]), FALSE)="", "",
VLOOKUP($A640,YES_Reading_ELA[],COLUMN(YES_Reading_ELA[Self-Identified as African Descent]),FALSE)),
IF(VLOOKUP($A640, YES_Reading_FLA[], COLUMN(YES_Reading_FLA[Self-Identified as African Descent]),FALSE)="", "", VLOOKUP($A640,YES_Reading_FLA[],COLUMN(YES_Reading_FLA[Self-Identified as African Descent]),FALSE))),""))),"")</f>
        <v/>
      </c>
      <c r="L640" s="73" t="str" cm="1">
        <f t="array" ref="L640">IFERROR(
IF($J$2="ELA",
IF(VLOOKUP($A640, YES_Reading_ELA[], COLUMN(YES_Reading_ELA[Self-Identified as Indigenous]), FALSE)="", "",
VLOOKUP($A640,YES_Reading_ELA[], COLUMN(YES_Reading_ELA[Self-Identified as Indigenous]), FALSE)),
IF($J$2="FLA",
IF(VLOOKUP($A640, YES_Reading_FLA[], COLUMN(YES_Reading_FLA[Self-Identified as Indigenous]),FALSE)="","",
VLOOKUP($A640,YES_Reading_FLA[],COLUMN(YES_Reading_FLA[Self-Identified as Indigenous]),FALSE)),
IF($J$2="Combined",
IFERROR(
IF(VLOOKUP($A640, YES_Reading_ELA[], COLUMN(YES_Reading_ELA[Self-Identified as Indigenous]), FALSE)="", "",
VLOOKUP($A640,YES_Reading_ELA[],COLUMN(YES_Reading_ELA[Self-Identified as Indigenous]),FALSE)),
IF(VLOOKUP($A640, YES_Reading_FLA[], COLUMN(YES_Reading_FLA[Self-Identified as Indigenous]),FALSE)="", "", VLOOKUP($A640,YES_Reading_FLA[],COLUMN(YES_Reading_FLA[Self-Identified as Indigenous]),FALSE))),""))),"")</f>
        <v/>
      </c>
    </row>
    <row r="641" spans="1:12" ht="19.5" customHeight="1" x14ac:dyDescent="0.25">
      <c r="A641" s="217"/>
      <c r="B641" s="220" t="str">
        <f>IFERROR(VLOOKUP(A641,_xlfn.VSTACK(YES_Reading_ELA[],YES_Reading_FLA[]),2,FALSE),"")</f>
        <v/>
      </c>
      <c r="C641" s="203" t="str" cm="1">
        <f t="array" aca="1" ref="C641" ca="1">IFERROR(
IF($J$2="ELA",
IF(VLOOKUP($A641, YES_Reading_ELA[], COLUMN(IF(VLOOKUP($D$2, 'Reading Report Logic'!$A$2:$B$8, 2, FALSE)=1, YES_Reading_ELA[Reading Level June of Previous School Year], INDIRECT("YES_Reading_ELA[Instructional Reading Level - Per "&amp;(VLOOKUP($D$2,'Reading Report Logic'!$A$2:$B$8,2,FALSE)-1)&amp;"]"))), FALSE)="", "",
VLOOKUP($A641,YES_Reading_ELA[], COLUMN(IF(VLOOKUP($D$2,'Reading Report Logic'!$A$2:$B$8,2,FALSE)=1, YES_Reading_ELA[Reading Level June of Previous School Year],INDIRECT("YES_Reading_ELA[Instructional Reading Level - Per "&amp;(VLOOKUP($D$2,'Reading Report Logic'!$A$2:$B$8,2,FALSE)-1)&amp;"]"))), FALSE)),
IF($J$2="FLA",
IF(VLOOKUP($A641, YES_Reading_FLA[], COLUMN(IF(VLOOKUP($D$2,'Reading Report Logic'!$A$2:$B$8,2,FALSE)=1, YES_Reading_FLA[Reading Level June of Previous School Year],INDIRECT("YES_Reading_FLA[Instructional Reading Level - Per "&amp;(VLOOKUP($D$2,'Reading Report Logic'!$A$2:$B$8,2,FALSE)-1)&amp;"]"))),FALSE)="","",
VLOOKUP($A641,YES_Reading_FLA[], COLUMN(IF(VLOOKUP($D$2,'Reading Report Logic'!$A$2:$B$8,2,FALSE)=1, YES_Reading_FLA[Reading Level June of Previous School Year],INDIRECT("YES_Reading_FLA[Instructional Reading Level - Per "&amp;(VLOOKUP($D$2,'Reading Report Logic'!$A$2:$B$8,2,FALSE)-1)&amp;"]"))),FALSE)),
IF($J$2="Combined",
IFERROR(
IF(VLOOKUP($A641, YES_Reading_ELA[], COLUMN(IF(VLOOKUP($D$2,'Reading Report Logic'!$A$2:$B$8,2,FALSE)=1, YES_Reading_ELA[Reading Level June of Previous School Year],INDIRECT("YES_Reading_ELA[Instructional Reading Level - Per "&amp;(VLOOKUP($D$2,'Reading Report Logic'!$A$2:$B$8,2,FALSE)-1)&amp;"]"))), FALSE)="", "",
VLOOKUP($A641,YES_Reading_ELA[],COLUMN(IF(VLOOKUP($D$2,'Reading Report Logic'!$A$2:$B$8,2,FALSE)=1, YES_Reading_ELA[Reading Level June of Previous School Year],INDIRECT("YES_Reading_ELA[Instructional Reading Level - Per "&amp;(VLOOKUP($D$2,'Reading Report Logic'!$A$2:$B$8,2,FALSE)-1)&amp;"]"))),FALSE)),
IF(VLOOKUP($A641, YES_Reading_FLA[], COLUMN(IF(VLOOKUP($D$2,'Reading Report Logic'!$A$2:$B$8,2,FALSE)=1, YES_Reading_FLA[Reading Level June of Previous School Year],INDIRECT("YES_Reading_FLA[Instructional Reading Level - Per "&amp;(VLOOKUP($D$2,'Reading Report Logic'!$A$2:$B$8,2,FALSE)-1)&amp;"]"))),FALSE)="", "", VLOOKUP($A641,YES_Reading_FLA[],COLUMN(IF(VLOOKUP($D$2,'Reading Report Logic'!$A$2:$B$8,2,FALSE)=1, YES_Reading_FLA[Reading Level June of Previous School Year],INDIRECT("YES_Reading_FLA[Instructional Reading Level - Per "&amp;(VLOOKUP($D$2,'Reading Report Logic'!$A$2:$B$8,2,FALSE)-1)&amp;"]"))), FALSE))),""))),"")</f>
        <v/>
      </c>
      <c r="D641" s="204" t="str" cm="1">
        <f t="array" aca="1" ref="D641" ca="1">IFERROR(
IF($J$2="ELA",
IF(VLOOKUP($A641, YES_Reading_ELA[], COLUMN(INDIRECT("YES_Reading_ELA[Instructional Reading Level - Per "&amp;VLOOKUP($D$2, 'Reading Report Logic'!$A$2:$B$8, 2, FALSE)&amp;"]")), FALSE)="", "",
VLOOKUP($A641,YES_Reading_ELA[], COLUMN(INDIRECT("YES_Reading_ELA[Instructional Reading Level - Per "&amp;VLOOKUP($D$2,'Reading Report Logic'!$A$2:$B$8,2,FALSE)&amp;"]")), FALSE)),
IF($J$2="FLA",
IF(VLOOKUP($A641, YES_Reading_FLA[], COLUMN(INDIRECT("YES_Reading_FLA[Instructional Reading Level - Per "&amp;VLOOKUP($D$2,'Reading Report Logic'!$A$2:$B$8,2,FALSE)&amp;"]")),FALSE)="","",
VLOOKUP($A641,YES_Reading_FLA[],COLUMN(INDIRECT("YES_Reading_FLA[Instructional Reading Level - Per "&amp;VLOOKUP($D$2,'Reading Report Logic'!$A$2:$B$8,2,FALSE)&amp;"]")),FALSE)),
IF($J$2="Combined",
IFERROR(
IF(VLOOKUP($A641, YES_Reading_ELA[], COLUMN(INDIRECT("YES_Reading_ELA[Instructional Reading Level - Per "&amp;VLOOKUP($D$2, 'Reading Report Logic'!$A$2:$B$8,2,FALSE)&amp;"]")), FALSE)="", "",
VLOOKUP($A641,YES_Reading_ELA[],COLUMN(INDIRECT("YES_Reading_ELA[Instructional Reading Level - Per "&amp;VLOOKUP($D$2,'Reading Report Logic'!$A$2:$B$8,2,FALSE)&amp;"]")),FALSE)),
IF(VLOOKUP($A641, YES_Reading_FLA[], COLUMN(INDIRECT("YES_Reading_FLA[Instructional Reading Level - Per "&amp;VLOOKUP($D$2, 'Reading Report Logic'!$A$2:$B$8, 2, FALSE)&amp;"]")),FALSE)="", "", VLOOKUP($A641,YES_Reading_FLA[],COLUMN(INDIRECT("YES_Reading_FLA[Instructional Reading Level - Per "&amp;VLOOKUP($D$2, 'Reading Report Logic'!$A$2:$B$8, 2, FALSE)&amp;"]")),FALSE))),""))),"")</f>
        <v/>
      </c>
      <c r="E641" s="205" t="str" cm="1">
        <f t="array" aca="1" ref="E641" ca="1">IFERROR(
IF($J$2="ELA",
IF(VLOOKUP($A641, YES_Reading_ELA[], COLUMN(INDIRECT("YES_Reading_ELA[Min Expectation - Per "&amp;VLOOKUP($D$2, 'Reading Report Logic'!$A$2:$B$8, 2, FALSE)&amp;"]")), FALSE)="", "",
VLOOKUP($A641,YES_Reading_ELA[], COLUMN(INDIRECT("YES_Reading_ELA[Min Expectation - Per "&amp;VLOOKUP($D$2,'Reading Report Logic'!$A$2:$B$8,2,FALSE)&amp;"]")), FALSE)),
IF($J$2="FLA",
IF(VLOOKUP($A641, YES_Reading_FLA[], COLUMN(INDIRECT("YES_Reading_FLA[Min Expectation - Per "&amp;VLOOKUP($D$2,'Reading Report Logic'!$A$2:$B$8,2,FALSE)&amp;"]")),FALSE)="","",
VLOOKUP($A641,YES_Reading_FLA[],COLUMN(INDIRECT("YES_Reading_FLA[Min Expectation - Per "&amp;VLOOKUP($D$2,'Reading Report Logic'!$A$2:$B$8,2,FALSE)&amp;"]")),FALSE)),
IF($J$2="Combined",
IFERROR(
IF(VLOOKUP($A641, YES_Reading_ELA[], COLUMN(INDIRECT("YES_Reading_ELA[Min Expectation - Per "&amp;VLOOKUP($D$2, 'Reading Report Logic'!$A$2:$B$8,2,FALSE)&amp;"]")), FALSE)="", "",
VLOOKUP($A641,YES_Reading_ELA[],COLUMN(INDIRECT("YES_Reading_ELA[Min Expectation - Per "&amp;VLOOKUP($D$2,'Reading Report Logic'!$A$2:$B$8,2,FALSE)&amp;"]")),FALSE)),
IF(VLOOKUP($A641, YES_Reading_FLA[], COLUMN(INDIRECT("YES_Reading_FLA[Min Expectation - Per "&amp;VLOOKUP($D$2, 'Reading Report Logic'!$A$2:$B$8, 2, FALSE)&amp;"]")),FALSE)="", "", VLOOKUP($A641,YES_Reading_FLA[],COLUMN(INDIRECT("YES_Reading_FLA[Min Expectation - Per "&amp;VLOOKUP($D$2, 'Reading Report Logic'!$A$2:$B$8, 2, FALSE)&amp;"]")),FALSE))),""))),"")</f>
        <v/>
      </c>
      <c r="F641" s="205" t="str" cm="1">
        <f t="array" aca="1" ref="F641" ca="1">IFERROR(
IF($J$2="ELA",
IF(VLOOKUP($A641, YES_Reading_ELA[], COLUMN(INDIRECT("YES_Reading_ELA[Max Expectation - Per "&amp;VLOOKUP($D$2, 'Reading Report Logic'!$A$2:$B$8, 2, FALSE)&amp;"]")), FALSE)="", "",
VLOOKUP($A641,YES_Reading_ELA[], COLUMN(INDIRECT("YES_Reading_ELA[Max Expectation - Per "&amp;VLOOKUP($D$2,'Reading Report Logic'!$A$2:$B$8,2,FALSE)&amp;"]")), FALSE)),
IF($J$2="FLA",
IF(VLOOKUP($A641, YES_Reading_FLA[], COLUMN(INDIRECT("YES_Reading_FLA[Max Expectation - Per "&amp;VLOOKUP($D$2,'Reading Report Logic'!$A$2:$B$8,2,FALSE)&amp;"]")),FALSE)="","",
VLOOKUP($A641,YES_Reading_FLA[],COLUMN(INDIRECT("YES_Reading_FLA[Max Expectation - Per "&amp;VLOOKUP($D$2,'Reading Report Logic'!$A$2:$B$8,2,FALSE)&amp;"]")),FALSE)),
IF($J$2="Combined",
IFERROR(
IF(VLOOKUP($A641, YES_Reading_ELA[], COLUMN(INDIRECT("YES_Reading_ELA[Max Expectation - Per "&amp;VLOOKUP($D$2, 'Reading Report Logic'!$A$2:$B$8,2,FALSE)&amp;"]")), FALSE)="", "",
VLOOKUP($A641,YES_Reading_ELA[],COLUMN(INDIRECT("YES_Reading_ELA[Max Expectation - Per "&amp;VLOOKUP($D$2,'Reading Report Logic'!$A$2:$B$8,2,FALSE)&amp;"]")),FALSE)),
IF(VLOOKUP($A641, YES_Reading_FLA[], COLUMN(INDIRECT("YES_Reading_FLA[Max Expectation - Per "&amp;VLOOKUP($D$2, 'Reading Report Logic'!$A$2:$B$8, 2, FALSE)&amp;"]")),FALSE)="", "", VLOOKUP($A641,YES_Reading_FLA[],COLUMN(INDIRECT("YES_Reading_FLA[Max Expectation - Per "&amp;VLOOKUP($D$2, 'Reading Report Logic'!$A$2:$B$8, 2, FALSE)&amp;"]")),FALSE))),""))),"")</f>
        <v/>
      </c>
      <c r="G641" s="205" t="str" cm="1">
        <f t="array" aca="1" ref="G641" ca="1">IFERROR(
IF($J$2="ELA",
IF(VLOOKUP($A641, YES_Reading_ELA[], COLUMN(INDIRECT("YES_Reading_ELA[Difference - Per "&amp;VLOOKUP($D$2, 'Reading Report Logic'!$A$2:$B$8, 2, FALSE)&amp;"]")), FALSE)="", "",
VLOOKUP($A641,YES_Reading_ELA[], COLUMN(INDIRECT("YES_Reading_ELA[Difference - Per "&amp;VLOOKUP($D$2,'Reading Report Logic'!$A$2:$B$8,2,FALSE)&amp;"]")), FALSE)),
IF($J$2="FLA",
IF(VLOOKUP($A641, YES_Reading_FLA[], COLUMN(INDIRECT("YES_Reading_FLA[Difference - Per "&amp;VLOOKUP($D$2,'Reading Report Logic'!$A$2:$B$8,2,FALSE)&amp;"]")),FALSE)="","",
VLOOKUP($A641,YES_Reading_FLA[],COLUMN(INDIRECT("YES_Reading_FLA[Difference - Per "&amp;VLOOKUP($D$2,'Reading Report Logic'!$A$2:$B$8,2,FALSE)&amp;"]")),FALSE)),
IF($J$2="Combined",
IFERROR(
IF(VLOOKUP($A641, YES_Reading_ELA[], COLUMN(INDIRECT("YES_Reading_ELA[Difference - Per "&amp;VLOOKUP($D$2, 'Reading Report Logic'!$A$2:$B$8,2,FALSE)&amp;"]")), FALSE)="", "",
VLOOKUP($A641,YES_Reading_ELA[],COLUMN(INDIRECT("YES_Reading_ELA[Difference - Per "&amp;VLOOKUP($D$2,'Reading Report Logic'!$A$2:$B$8,2,FALSE)&amp;"]")),FALSE)),
IF(VLOOKUP($A641, YES_Reading_FLA[], COLUMN(INDIRECT("YES_Reading_FLA[Difference - Per "&amp;VLOOKUP($D$2, 'Reading Report Logic'!$A$2:$B$8, 2, FALSE)&amp;"]")),FALSE)="", "", VLOOKUP($A641,YES_Reading_FLA[],COLUMN(INDIRECT("YES_Reading_FLA[Difference - Per "&amp;VLOOKUP($D$2, 'Reading Report Logic'!$A$2:$B$8, 2, FALSE)&amp;"]")),FALSE))),""))),"")</f>
        <v/>
      </c>
      <c r="H641" s="206" t="str">
        <f ca="1">IFERROR(VLOOKUP('Teacher Reading Pull Sheets'!$D641,_xlfn.VSTACK('ELA Reading Logic'!$A$22:$B$48,'FLA Reading Logic'!$A$22:$B$53),2,FALSE)-VLOOKUP('Teacher Reading Pull Sheets'!$C641,_xlfn.VSTACK('ELA Reading Logic'!$A$22:$B$48,'FLA Reading Logic'!$A$22:$B$53),2,FALSE),"")</f>
        <v/>
      </c>
      <c r="I641" s="212"/>
      <c r="J641" s="206"/>
      <c r="K641" s="197" t="str" cm="1">
        <f t="array" ref="K641">IFERROR(
IF($J$2="ELA",
IF(VLOOKUP($A641, YES_Reading_ELA[], COLUMN(YES_Reading_ELA[Self-Identified as African Descent]), FALSE)="", "",
VLOOKUP($A641,YES_Reading_ELA[], COLUMN(YES_Reading_ELA[Self-Identified as African Descent]), FALSE)),
IF($J$2="FLA",
IF(VLOOKUP($A641, YES_Reading_FLA[], COLUMN(YES_Reading_FLA[Self-Identified as African Descent]),FALSE)="","",
VLOOKUP($A641,YES_Reading_FLA[],COLUMN(YES_Reading_FLA[Self-Identified as African Descent]),FALSE)),
IF($J$2="Combined",
IFERROR(
IF(VLOOKUP($A641, YES_Reading_ELA[], COLUMN(YES_Reading_ELA[Self-Identified as African Descent]), FALSE)="", "",
VLOOKUP($A641,YES_Reading_ELA[],COLUMN(YES_Reading_ELA[Self-Identified as African Descent]),FALSE)),
IF(VLOOKUP($A641, YES_Reading_FLA[], COLUMN(YES_Reading_FLA[Self-Identified as African Descent]),FALSE)="", "", VLOOKUP($A641,YES_Reading_FLA[],COLUMN(YES_Reading_FLA[Self-Identified as African Descent]),FALSE))),""))),"")</f>
        <v/>
      </c>
      <c r="L641" s="73" t="str" cm="1">
        <f t="array" ref="L641">IFERROR(
IF($J$2="ELA",
IF(VLOOKUP($A641, YES_Reading_ELA[], COLUMN(YES_Reading_ELA[Self-Identified as Indigenous]), FALSE)="", "",
VLOOKUP($A641,YES_Reading_ELA[], COLUMN(YES_Reading_ELA[Self-Identified as Indigenous]), FALSE)),
IF($J$2="FLA",
IF(VLOOKUP($A641, YES_Reading_FLA[], COLUMN(YES_Reading_FLA[Self-Identified as Indigenous]),FALSE)="","",
VLOOKUP($A641,YES_Reading_FLA[],COLUMN(YES_Reading_FLA[Self-Identified as Indigenous]),FALSE)),
IF($J$2="Combined",
IFERROR(
IF(VLOOKUP($A641, YES_Reading_ELA[], COLUMN(YES_Reading_ELA[Self-Identified as Indigenous]), FALSE)="", "",
VLOOKUP($A641,YES_Reading_ELA[],COLUMN(YES_Reading_ELA[Self-Identified as Indigenous]),FALSE)),
IF(VLOOKUP($A641, YES_Reading_FLA[], COLUMN(YES_Reading_FLA[Self-Identified as Indigenous]),FALSE)="", "", VLOOKUP($A641,YES_Reading_FLA[],COLUMN(YES_Reading_FLA[Self-Identified as Indigenous]),FALSE))),""))),"")</f>
        <v/>
      </c>
    </row>
    <row r="642" spans="1:12" ht="19.5" customHeight="1" x14ac:dyDescent="0.25">
      <c r="A642" s="217"/>
      <c r="B642" s="220" t="str">
        <f>IFERROR(VLOOKUP(A642,_xlfn.VSTACK(YES_Reading_ELA[],YES_Reading_FLA[]),2,FALSE),"")</f>
        <v/>
      </c>
      <c r="C642" s="203" t="str" cm="1">
        <f t="array" aca="1" ref="C642" ca="1">IFERROR(
IF($J$2="ELA",
IF(VLOOKUP($A642, YES_Reading_ELA[], COLUMN(IF(VLOOKUP($D$2, 'Reading Report Logic'!$A$2:$B$8, 2, FALSE)=1, YES_Reading_ELA[Reading Level June of Previous School Year], INDIRECT("YES_Reading_ELA[Instructional Reading Level - Per "&amp;(VLOOKUP($D$2,'Reading Report Logic'!$A$2:$B$8,2,FALSE)-1)&amp;"]"))), FALSE)="", "",
VLOOKUP($A642,YES_Reading_ELA[], COLUMN(IF(VLOOKUP($D$2,'Reading Report Logic'!$A$2:$B$8,2,FALSE)=1, YES_Reading_ELA[Reading Level June of Previous School Year],INDIRECT("YES_Reading_ELA[Instructional Reading Level - Per "&amp;(VLOOKUP($D$2,'Reading Report Logic'!$A$2:$B$8,2,FALSE)-1)&amp;"]"))), FALSE)),
IF($J$2="FLA",
IF(VLOOKUP($A642, YES_Reading_FLA[], COLUMN(IF(VLOOKUP($D$2,'Reading Report Logic'!$A$2:$B$8,2,FALSE)=1, YES_Reading_FLA[Reading Level June of Previous School Year],INDIRECT("YES_Reading_FLA[Instructional Reading Level - Per "&amp;(VLOOKUP($D$2,'Reading Report Logic'!$A$2:$B$8,2,FALSE)-1)&amp;"]"))),FALSE)="","",
VLOOKUP($A642,YES_Reading_FLA[], COLUMN(IF(VLOOKUP($D$2,'Reading Report Logic'!$A$2:$B$8,2,FALSE)=1, YES_Reading_FLA[Reading Level June of Previous School Year],INDIRECT("YES_Reading_FLA[Instructional Reading Level - Per "&amp;(VLOOKUP($D$2,'Reading Report Logic'!$A$2:$B$8,2,FALSE)-1)&amp;"]"))),FALSE)),
IF($J$2="Combined",
IFERROR(
IF(VLOOKUP($A642, YES_Reading_ELA[], COLUMN(IF(VLOOKUP($D$2,'Reading Report Logic'!$A$2:$B$8,2,FALSE)=1, YES_Reading_ELA[Reading Level June of Previous School Year],INDIRECT("YES_Reading_ELA[Instructional Reading Level - Per "&amp;(VLOOKUP($D$2,'Reading Report Logic'!$A$2:$B$8,2,FALSE)-1)&amp;"]"))), FALSE)="", "",
VLOOKUP($A642,YES_Reading_ELA[],COLUMN(IF(VLOOKUP($D$2,'Reading Report Logic'!$A$2:$B$8,2,FALSE)=1, YES_Reading_ELA[Reading Level June of Previous School Year],INDIRECT("YES_Reading_ELA[Instructional Reading Level - Per "&amp;(VLOOKUP($D$2,'Reading Report Logic'!$A$2:$B$8,2,FALSE)-1)&amp;"]"))),FALSE)),
IF(VLOOKUP($A642, YES_Reading_FLA[], COLUMN(IF(VLOOKUP($D$2,'Reading Report Logic'!$A$2:$B$8,2,FALSE)=1, YES_Reading_FLA[Reading Level June of Previous School Year],INDIRECT("YES_Reading_FLA[Instructional Reading Level - Per "&amp;(VLOOKUP($D$2,'Reading Report Logic'!$A$2:$B$8,2,FALSE)-1)&amp;"]"))),FALSE)="", "", VLOOKUP($A642,YES_Reading_FLA[],COLUMN(IF(VLOOKUP($D$2,'Reading Report Logic'!$A$2:$B$8,2,FALSE)=1, YES_Reading_FLA[Reading Level June of Previous School Year],INDIRECT("YES_Reading_FLA[Instructional Reading Level - Per "&amp;(VLOOKUP($D$2,'Reading Report Logic'!$A$2:$B$8,2,FALSE)-1)&amp;"]"))), FALSE))),""))),"")</f>
        <v/>
      </c>
      <c r="D642" s="204" t="str" cm="1">
        <f t="array" aca="1" ref="D642" ca="1">IFERROR(
IF($J$2="ELA",
IF(VLOOKUP($A642, YES_Reading_ELA[], COLUMN(INDIRECT("YES_Reading_ELA[Instructional Reading Level - Per "&amp;VLOOKUP($D$2, 'Reading Report Logic'!$A$2:$B$8, 2, FALSE)&amp;"]")), FALSE)="", "",
VLOOKUP($A642,YES_Reading_ELA[], COLUMN(INDIRECT("YES_Reading_ELA[Instructional Reading Level - Per "&amp;VLOOKUP($D$2,'Reading Report Logic'!$A$2:$B$8,2,FALSE)&amp;"]")), FALSE)),
IF($J$2="FLA",
IF(VLOOKUP($A642, YES_Reading_FLA[], COLUMN(INDIRECT("YES_Reading_FLA[Instructional Reading Level - Per "&amp;VLOOKUP($D$2,'Reading Report Logic'!$A$2:$B$8,2,FALSE)&amp;"]")),FALSE)="","",
VLOOKUP($A642,YES_Reading_FLA[],COLUMN(INDIRECT("YES_Reading_FLA[Instructional Reading Level - Per "&amp;VLOOKUP($D$2,'Reading Report Logic'!$A$2:$B$8,2,FALSE)&amp;"]")),FALSE)),
IF($J$2="Combined",
IFERROR(
IF(VLOOKUP($A642, YES_Reading_ELA[], COLUMN(INDIRECT("YES_Reading_ELA[Instructional Reading Level - Per "&amp;VLOOKUP($D$2, 'Reading Report Logic'!$A$2:$B$8,2,FALSE)&amp;"]")), FALSE)="", "",
VLOOKUP($A642,YES_Reading_ELA[],COLUMN(INDIRECT("YES_Reading_ELA[Instructional Reading Level - Per "&amp;VLOOKUP($D$2,'Reading Report Logic'!$A$2:$B$8,2,FALSE)&amp;"]")),FALSE)),
IF(VLOOKUP($A642, YES_Reading_FLA[], COLUMN(INDIRECT("YES_Reading_FLA[Instructional Reading Level - Per "&amp;VLOOKUP($D$2, 'Reading Report Logic'!$A$2:$B$8, 2, FALSE)&amp;"]")),FALSE)="", "", VLOOKUP($A642,YES_Reading_FLA[],COLUMN(INDIRECT("YES_Reading_FLA[Instructional Reading Level - Per "&amp;VLOOKUP($D$2, 'Reading Report Logic'!$A$2:$B$8, 2, FALSE)&amp;"]")),FALSE))),""))),"")</f>
        <v/>
      </c>
      <c r="E642" s="205" t="str" cm="1">
        <f t="array" aca="1" ref="E642" ca="1">IFERROR(
IF($J$2="ELA",
IF(VLOOKUP($A642, YES_Reading_ELA[], COLUMN(INDIRECT("YES_Reading_ELA[Min Expectation - Per "&amp;VLOOKUP($D$2, 'Reading Report Logic'!$A$2:$B$8, 2, FALSE)&amp;"]")), FALSE)="", "",
VLOOKUP($A642,YES_Reading_ELA[], COLUMN(INDIRECT("YES_Reading_ELA[Min Expectation - Per "&amp;VLOOKUP($D$2,'Reading Report Logic'!$A$2:$B$8,2,FALSE)&amp;"]")), FALSE)),
IF($J$2="FLA",
IF(VLOOKUP($A642, YES_Reading_FLA[], COLUMN(INDIRECT("YES_Reading_FLA[Min Expectation - Per "&amp;VLOOKUP($D$2,'Reading Report Logic'!$A$2:$B$8,2,FALSE)&amp;"]")),FALSE)="","",
VLOOKUP($A642,YES_Reading_FLA[],COLUMN(INDIRECT("YES_Reading_FLA[Min Expectation - Per "&amp;VLOOKUP($D$2,'Reading Report Logic'!$A$2:$B$8,2,FALSE)&amp;"]")),FALSE)),
IF($J$2="Combined",
IFERROR(
IF(VLOOKUP($A642, YES_Reading_ELA[], COLUMN(INDIRECT("YES_Reading_ELA[Min Expectation - Per "&amp;VLOOKUP($D$2, 'Reading Report Logic'!$A$2:$B$8,2,FALSE)&amp;"]")), FALSE)="", "",
VLOOKUP($A642,YES_Reading_ELA[],COLUMN(INDIRECT("YES_Reading_ELA[Min Expectation - Per "&amp;VLOOKUP($D$2,'Reading Report Logic'!$A$2:$B$8,2,FALSE)&amp;"]")),FALSE)),
IF(VLOOKUP($A642, YES_Reading_FLA[], COLUMN(INDIRECT("YES_Reading_FLA[Min Expectation - Per "&amp;VLOOKUP($D$2, 'Reading Report Logic'!$A$2:$B$8, 2, FALSE)&amp;"]")),FALSE)="", "", VLOOKUP($A642,YES_Reading_FLA[],COLUMN(INDIRECT("YES_Reading_FLA[Min Expectation - Per "&amp;VLOOKUP($D$2, 'Reading Report Logic'!$A$2:$B$8, 2, FALSE)&amp;"]")),FALSE))),""))),"")</f>
        <v/>
      </c>
      <c r="F642" s="205" t="str" cm="1">
        <f t="array" aca="1" ref="F642" ca="1">IFERROR(
IF($J$2="ELA",
IF(VLOOKUP($A642, YES_Reading_ELA[], COLUMN(INDIRECT("YES_Reading_ELA[Max Expectation - Per "&amp;VLOOKUP($D$2, 'Reading Report Logic'!$A$2:$B$8, 2, FALSE)&amp;"]")), FALSE)="", "",
VLOOKUP($A642,YES_Reading_ELA[], COLUMN(INDIRECT("YES_Reading_ELA[Max Expectation - Per "&amp;VLOOKUP($D$2,'Reading Report Logic'!$A$2:$B$8,2,FALSE)&amp;"]")), FALSE)),
IF($J$2="FLA",
IF(VLOOKUP($A642, YES_Reading_FLA[], COLUMN(INDIRECT("YES_Reading_FLA[Max Expectation - Per "&amp;VLOOKUP($D$2,'Reading Report Logic'!$A$2:$B$8,2,FALSE)&amp;"]")),FALSE)="","",
VLOOKUP($A642,YES_Reading_FLA[],COLUMN(INDIRECT("YES_Reading_FLA[Max Expectation - Per "&amp;VLOOKUP($D$2,'Reading Report Logic'!$A$2:$B$8,2,FALSE)&amp;"]")),FALSE)),
IF($J$2="Combined",
IFERROR(
IF(VLOOKUP($A642, YES_Reading_ELA[], COLUMN(INDIRECT("YES_Reading_ELA[Max Expectation - Per "&amp;VLOOKUP($D$2, 'Reading Report Logic'!$A$2:$B$8,2,FALSE)&amp;"]")), FALSE)="", "",
VLOOKUP($A642,YES_Reading_ELA[],COLUMN(INDIRECT("YES_Reading_ELA[Max Expectation - Per "&amp;VLOOKUP($D$2,'Reading Report Logic'!$A$2:$B$8,2,FALSE)&amp;"]")),FALSE)),
IF(VLOOKUP($A642, YES_Reading_FLA[], COLUMN(INDIRECT("YES_Reading_FLA[Max Expectation - Per "&amp;VLOOKUP($D$2, 'Reading Report Logic'!$A$2:$B$8, 2, FALSE)&amp;"]")),FALSE)="", "", VLOOKUP($A642,YES_Reading_FLA[],COLUMN(INDIRECT("YES_Reading_FLA[Max Expectation - Per "&amp;VLOOKUP($D$2, 'Reading Report Logic'!$A$2:$B$8, 2, FALSE)&amp;"]")),FALSE))),""))),"")</f>
        <v/>
      </c>
      <c r="G642" s="205" t="str" cm="1">
        <f t="array" aca="1" ref="G642" ca="1">IFERROR(
IF($J$2="ELA",
IF(VLOOKUP($A642, YES_Reading_ELA[], COLUMN(INDIRECT("YES_Reading_ELA[Difference - Per "&amp;VLOOKUP($D$2, 'Reading Report Logic'!$A$2:$B$8, 2, FALSE)&amp;"]")), FALSE)="", "",
VLOOKUP($A642,YES_Reading_ELA[], COLUMN(INDIRECT("YES_Reading_ELA[Difference - Per "&amp;VLOOKUP($D$2,'Reading Report Logic'!$A$2:$B$8,2,FALSE)&amp;"]")), FALSE)),
IF($J$2="FLA",
IF(VLOOKUP($A642, YES_Reading_FLA[], COLUMN(INDIRECT("YES_Reading_FLA[Difference - Per "&amp;VLOOKUP($D$2,'Reading Report Logic'!$A$2:$B$8,2,FALSE)&amp;"]")),FALSE)="","",
VLOOKUP($A642,YES_Reading_FLA[],COLUMN(INDIRECT("YES_Reading_FLA[Difference - Per "&amp;VLOOKUP($D$2,'Reading Report Logic'!$A$2:$B$8,2,FALSE)&amp;"]")),FALSE)),
IF($J$2="Combined",
IFERROR(
IF(VLOOKUP($A642, YES_Reading_ELA[], COLUMN(INDIRECT("YES_Reading_ELA[Difference - Per "&amp;VLOOKUP($D$2, 'Reading Report Logic'!$A$2:$B$8,2,FALSE)&amp;"]")), FALSE)="", "",
VLOOKUP($A642,YES_Reading_ELA[],COLUMN(INDIRECT("YES_Reading_ELA[Difference - Per "&amp;VLOOKUP($D$2,'Reading Report Logic'!$A$2:$B$8,2,FALSE)&amp;"]")),FALSE)),
IF(VLOOKUP($A642, YES_Reading_FLA[], COLUMN(INDIRECT("YES_Reading_FLA[Difference - Per "&amp;VLOOKUP($D$2, 'Reading Report Logic'!$A$2:$B$8, 2, FALSE)&amp;"]")),FALSE)="", "", VLOOKUP($A642,YES_Reading_FLA[],COLUMN(INDIRECT("YES_Reading_FLA[Difference - Per "&amp;VLOOKUP($D$2, 'Reading Report Logic'!$A$2:$B$8, 2, FALSE)&amp;"]")),FALSE))),""))),"")</f>
        <v/>
      </c>
      <c r="H642" s="206" t="str">
        <f ca="1">IFERROR(VLOOKUP('Teacher Reading Pull Sheets'!$D642,_xlfn.VSTACK('ELA Reading Logic'!$A$22:$B$48,'FLA Reading Logic'!$A$22:$B$53),2,FALSE)-VLOOKUP('Teacher Reading Pull Sheets'!$C642,_xlfn.VSTACK('ELA Reading Logic'!$A$22:$B$48,'FLA Reading Logic'!$A$22:$B$53),2,FALSE),"")</f>
        <v/>
      </c>
      <c r="I642" s="212"/>
      <c r="J642" s="206"/>
      <c r="K642" s="197" t="str" cm="1">
        <f t="array" ref="K642">IFERROR(
IF($J$2="ELA",
IF(VLOOKUP($A642, YES_Reading_ELA[], COLUMN(YES_Reading_ELA[Self-Identified as African Descent]), FALSE)="", "",
VLOOKUP($A642,YES_Reading_ELA[], COLUMN(YES_Reading_ELA[Self-Identified as African Descent]), FALSE)),
IF($J$2="FLA",
IF(VLOOKUP($A642, YES_Reading_FLA[], COLUMN(YES_Reading_FLA[Self-Identified as African Descent]),FALSE)="","",
VLOOKUP($A642,YES_Reading_FLA[],COLUMN(YES_Reading_FLA[Self-Identified as African Descent]),FALSE)),
IF($J$2="Combined",
IFERROR(
IF(VLOOKUP($A642, YES_Reading_ELA[], COLUMN(YES_Reading_ELA[Self-Identified as African Descent]), FALSE)="", "",
VLOOKUP($A642,YES_Reading_ELA[],COLUMN(YES_Reading_ELA[Self-Identified as African Descent]),FALSE)),
IF(VLOOKUP($A642, YES_Reading_FLA[], COLUMN(YES_Reading_FLA[Self-Identified as African Descent]),FALSE)="", "", VLOOKUP($A642,YES_Reading_FLA[],COLUMN(YES_Reading_FLA[Self-Identified as African Descent]),FALSE))),""))),"")</f>
        <v/>
      </c>
      <c r="L642" s="73" t="str" cm="1">
        <f t="array" ref="L642">IFERROR(
IF($J$2="ELA",
IF(VLOOKUP($A642, YES_Reading_ELA[], COLUMN(YES_Reading_ELA[Self-Identified as Indigenous]), FALSE)="", "",
VLOOKUP($A642,YES_Reading_ELA[], COLUMN(YES_Reading_ELA[Self-Identified as Indigenous]), FALSE)),
IF($J$2="FLA",
IF(VLOOKUP($A642, YES_Reading_FLA[], COLUMN(YES_Reading_FLA[Self-Identified as Indigenous]),FALSE)="","",
VLOOKUP($A642,YES_Reading_FLA[],COLUMN(YES_Reading_FLA[Self-Identified as Indigenous]),FALSE)),
IF($J$2="Combined",
IFERROR(
IF(VLOOKUP($A642, YES_Reading_ELA[], COLUMN(YES_Reading_ELA[Self-Identified as Indigenous]), FALSE)="", "",
VLOOKUP($A642,YES_Reading_ELA[],COLUMN(YES_Reading_ELA[Self-Identified as Indigenous]),FALSE)),
IF(VLOOKUP($A642, YES_Reading_FLA[], COLUMN(YES_Reading_FLA[Self-Identified as Indigenous]),FALSE)="", "", VLOOKUP($A642,YES_Reading_FLA[],COLUMN(YES_Reading_FLA[Self-Identified as Indigenous]),FALSE))),""))),"")</f>
        <v/>
      </c>
    </row>
    <row r="643" spans="1:12" ht="19.5" customHeight="1" x14ac:dyDescent="0.25">
      <c r="A643" s="217"/>
      <c r="B643" s="220" t="str">
        <f>IFERROR(VLOOKUP(A643,_xlfn.VSTACK(YES_Reading_ELA[],YES_Reading_FLA[]),2,FALSE),"")</f>
        <v/>
      </c>
      <c r="C643" s="203" t="str" cm="1">
        <f t="array" aca="1" ref="C643" ca="1">IFERROR(
IF($J$2="ELA",
IF(VLOOKUP($A643, YES_Reading_ELA[], COLUMN(IF(VLOOKUP($D$2, 'Reading Report Logic'!$A$2:$B$8, 2, FALSE)=1, YES_Reading_ELA[Reading Level June of Previous School Year], INDIRECT("YES_Reading_ELA[Instructional Reading Level - Per "&amp;(VLOOKUP($D$2,'Reading Report Logic'!$A$2:$B$8,2,FALSE)-1)&amp;"]"))), FALSE)="", "",
VLOOKUP($A643,YES_Reading_ELA[], COLUMN(IF(VLOOKUP($D$2,'Reading Report Logic'!$A$2:$B$8,2,FALSE)=1, YES_Reading_ELA[Reading Level June of Previous School Year],INDIRECT("YES_Reading_ELA[Instructional Reading Level - Per "&amp;(VLOOKUP($D$2,'Reading Report Logic'!$A$2:$B$8,2,FALSE)-1)&amp;"]"))), FALSE)),
IF($J$2="FLA",
IF(VLOOKUP($A643, YES_Reading_FLA[], COLUMN(IF(VLOOKUP($D$2,'Reading Report Logic'!$A$2:$B$8,2,FALSE)=1, YES_Reading_FLA[Reading Level June of Previous School Year],INDIRECT("YES_Reading_FLA[Instructional Reading Level - Per "&amp;(VLOOKUP($D$2,'Reading Report Logic'!$A$2:$B$8,2,FALSE)-1)&amp;"]"))),FALSE)="","",
VLOOKUP($A643,YES_Reading_FLA[], COLUMN(IF(VLOOKUP($D$2,'Reading Report Logic'!$A$2:$B$8,2,FALSE)=1, YES_Reading_FLA[Reading Level June of Previous School Year],INDIRECT("YES_Reading_FLA[Instructional Reading Level - Per "&amp;(VLOOKUP($D$2,'Reading Report Logic'!$A$2:$B$8,2,FALSE)-1)&amp;"]"))),FALSE)),
IF($J$2="Combined",
IFERROR(
IF(VLOOKUP($A643, YES_Reading_ELA[], COLUMN(IF(VLOOKUP($D$2,'Reading Report Logic'!$A$2:$B$8,2,FALSE)=1, YES_Reading_ELA[Reading Level June of Previous School Year],INDIRECT("YES_Reading_ELA[Instructional Reading Level - Per "&amp;(VLOOKUP($D$2,'Reading Report Logic'!$A$2:$B$8,2,FALSE)-1)&amp;"]"))), FALSE)="", "",
VLOOKUP($A643,YES_Reading_ELA[],COLUMN(IF(VLOOKUP($D$2,'Reading Report Logic'!$A$2:$B$8,2,FALSE)=1, YES_Reading_ELA[Reading Level June of Previous School Year],INDIRECT("YES_Reading_ELA[Instructional Reading Level - Per "&amp;(VLOOKUP($D$2,'Reading Report Logic'!$A$2:$B$8,2,FALSE)-1)&amp;"]"))),FALSE)),
IF(VLOOKUP($A643, YES_Reading_FLA[], COLUMN(IF(VLOOKUP($D$2,'Reading Report Logic'!$A$2:$B$8,2,FALSE)=1, YES_Reading_FLA[Reading Level June of Previous School Year],INDIRECT("YES_Reading_FLA[Instructional Reading Level - Per "&amp;(VLOOKUP($D$2,'Reading Report Logic'!$A$2:$B$8,2,FALSE)-1)&amp;"]"))),FALSE)="", "", VLOOKUP($A643,YES_Reading_FLA[],COLUMN(IF(VLOOKUP($D$2,'Reading Report Logic'!$A$2:$B$8,2,FALSE)=1, YES_Reading_FLA[Reading Level June of Previous School Year],INDIRECT("YES_Reading_FLA[Instructional Reading Level - Per "&amp;(VLOOKUP($D$2,'Reading Report Logic'!$A$2:$B$8,2,FALSE)-1)&amp;"]"))), FALSE))),""))),"")</f>
        <v/>
      </c>
      <c r="D643" s="204" t="str" cm="1">
        <f t="array" aca="1" ref="D643" ca="1">IFERROR(
IF($J$2="ELA",
IF(VLOOKUP($A643, YES_Reading_ELA[], COLUMN(INDIRECT("YES_Reading_ELA[Instructional Reading Level - Per "&amp;VLOOKUP($D$2, 'Reading Report Logic'!$A$2:$B$8, 2, FALSE)&amp;"]")), FALSE)="", "",
VLOOKUP($A643,YES_Reading_ELA[], COLUMN(INDIRECT("YES_Reading_ELA[Instructional Reading Level - Per "&amp;VLOOKUP($D$2,'Reading Report Logic'!$A$2:$B$8,2,FALSE)&amp;"]")), FALSE)),
IF($J$2="FLA",
IF(VLOOKUP($A643, YES_Reading_FLA[], COLUMN(INDIRECT("YES_Reading_FLA[Instructional Reading Level - Per "&amp;VLOOKUP($D$2,'Reading Report Logic'!$A$2:$B$8,2,FALSE)&amp;"]")),FALSE)="","",
VLOOKUP($A643,YES_Reading_FLA[],COLUMN(INDIRECT("YES_Reading_FLA[Instructional Reading Level - Per "&amp;VLOOKUP($D$2,'Reading Report Logic'!$A$2:$B$8,2,FALSE)&amp;"]")),FALSE)),
IF($J$2="Combined",
IFERROR(
IF(VLOOKUP($A643, YES_Reading_ELA[], COLUMN(INDIRECT("YES_Reading_ELA[Instructional Reading Level - Per "&amp;VLOOKUP($D$2, 'Reading Report Logic'!$A$2:$B$8,2,FALSE)&amp;"]")), FALSE)="", "",
VLOOKUP($A643,YES_Reading_ELA[],COLUMN(INDIRECT("YES_Reading_ELA[Instructional Reading Level - Per "&amp;VLOOKUP($D$2,'Reading Report Logic'!$A$2:$B$8,2,FALSE)&amp;"]")),FALSE)),
IF(VLOOKUP($A643, YES_Reading_FLA[], COLUMN(INDIRECT("YES_Reading_FLA[Instructional Reading Level - Per "&amp;VLOOKUP($D$2, 'Reading Report Logic'!$A$2:$B$8, 2, FALSE)&amp;"]")),FALSE)="", "", VLOOKUP($A643,YES_Reading_FLA[],COLUMN(INDIRECT("YES_Reading_FLA[Instructional Reading Level - Per "&amp;VLOOKUP($D$2, 'Reading Report Logic'!$A$2:$B$8, 2, FALSE)&amp;"]")),FALSE))),""))),"")</f>
        <v/>
      </c>
      <c r="E643" s="205" t="str" cm="1">
        <f t="array" aca="1" ref="E643" ca="1">IFERROR(
IF($J$2="ELA",
IF(VLOOKUP($A643, YES_Reading_ELA[], COLUMN(INDIRECT("YES_Reading_ELA[Min Expectation - Per "&amp;VLOOKUP($D$2, 'Reading Report Logic'!$A$2:$B$8, 2, FALSE)&amp;"]")), FALSE)="", "",
VLOOKUP($A643,YES_Reading_ELA[], COLUMN(INDIRECT("YES_Reading_ELA[Min Expectation - Per "&amp;VLOOKUP($D$2,'Reading Report Logic'!$A$2:$B$8,2,FALSE)&amp;"]")), FALSE)),
IF($J$2="FLA",
IF(VLOOKUP($A643, YES_Reading_FLA[], COLUMN(INDIRECT("YES_Reading_FLA[Min Expectation - Per "&amp;VLOOKUP($D$2,'Reading Report Logic'!$A$2:$B$8,2,FALSE)&amp;"]")),FALSE)="","",
VLOOKUP($A643,YES_Reading_FLA[],COLUMN(INDIRECT("YES_Reading_FLA[Min Expectation - Per "&amp;VLOOKUP($D$2,'Reading Report Logic'!$A$2:$B$8,2,FALSE)&amp;"]")),FALSE)),
IF($J$2="Combined",
IFERROR(
IF(VLOOKUP($A643, YES_Reading_ELA[], COLUMN(INDIRECT("YES_Reading_ELA[Min Expectation - Per "&amp;VLOOKUP($D$2, 'Reading Report Logic'!$A$2:$B$8,2,FALSE)&amp;"]")), FALSE)="", "",
VLOOKUP($A643,YES_Reading_ELA[],COLUMN(INDIRECT("YES_Reading_ELA[Min Expectation - Per "&amp;VLOOKUP($D$2,'Reading Report Logic'!$A$2:$B$8,2,FALSE)&amp;"]")),FALSE)),
IF(VLOOKUP($A643, YES_Reading_FLA[], COLUMN(INDIRECT("YES_Reading_FLA[Min Expectation - Per "&amp;VLOOKUP($D$2, 'Reading Report Logic'!$A$2:$B$8, 2, FALSE)&amp;"]")),FALSE)="", "", VLOOKUP($A643,YES_Reading_FLA[],COLUMN(INDIRECT("YES_Reading_FLA[Min Expectation - Per "&amp;VLOOKUP($D$2, 'Reading Report Logic'!$A$2:$B$8, 2, FALSE)&amp;"]")),FALSE))),""))),"")</f>
        <v/>
      </c>
      <c r="F643" s="205" t="str" cm="1">
        <f t="array" aca="1" ref="F643" ca="1">IFERROR(
IF($J$2="ELA",
IF(VLOOKUP($A643, YES_Reading_ELA[], COLUMN(INDIRECT("YES_Reading_ELA[Max Expectation - Per "&amp;VLOOKUP($D$2, 'Reading Report Logic'!$A$2:$B$8, 2, FALSE)&amp;"]")), FALSE)="", "",
VLOOKUP($A643,YES_Reading_ELA[], COLUMN(INDIRECT("YES_Reading_ELA[Max Expectation - Per "&amp;VLOOKUP($D$2,'Reading Report Logic'!$A$2:$B$8,2,FALSE)&amp;"]")), FALSE)),
IF($J$2="FLA",
IF(VLOOKUP($A643, YES_Reading_FLA[], COLUMN(INDIRECT("YES_Reading_FLA[Max Expectation - Per "&amp;VLOOKUP($D$2,'Reading Report Logic'!$A$2:$B$8,2,FALSE)&amp;"]")),FALSE)="","",
VLOOKUP($A643,YES_Reading_FLA[],COLUMN(INDIRECT("YES_Reading_FLA[Max Expectation - Per "&amp;VLOOKUP($D$2,'Reading Report Logic'!$A$2:$B$8,2,FALSE)&amp;"]")),FALSE)),
IF($J$2="Combined",
IFERROR(
IF(VLOOKUP($A643, YES_Reading_ELA[], COLUMN(INDIRECT("YES_Reading_ELA[Max Expectation - Per "&amp;VLOOKUP($D$2, 'Reading Report Logic'!$A$2:$B$8,2,FALSE)&amp;"]")), FALSE)="", "",
VLOOKUP($A643,YES_Reading_ELA[],COLUMN(INDIRECT("YES_Reading_ELA[Max Expectation - Per "&amp;VLOOKUP($D$2,'Reading Report Logic'!$A$2:$B$8,2,FALSE)&amp;"]")),FALSE)),
IF(VLOOKUP($A643, YES_Reading_FLA[], COLUMN(INDIRECT("YES_Reading_FLA[Max Expectation - Per "&amp;VLOOKUP($D$2, 'Reading Report Logic'!$A$2:$B$8, 2, FALSE)&amp;"]")),FALSE)="", "", VLOOKUP($A643,YES_Reading_FLA[],COLUMN(INDIRECT("YES_Reading_FLA[Max Expectation - Per "&amp;VLOOKUP($D$2, 'Reading Report Logic'!$A$2:$B$8, 2, FALSE)&amp;"]")),FALSE))),""))),"")</f>
        <v/>
      </c>
      <c r="G643" s="205" t="str" cm="1">
        <f t="array" aca="1" ref="G643" ca="1">IFERROR(
IF($J$2="ELA",
IF(VLOOKUP($A643, YES_Reading_ELA[], COLUMN(INDIRECT("YES_Reading_ELA[Difference - Per "&amp;VLOOKUP($D$2, 'Reading Report Logic'!$A$2:$B$8, 2, FALSE)&amp;"]")), FALSE)="", "",
VLOOKUP($A643,YES_Reading_ELA[], COLUMN(INDIRECT("YES_Reading_ELA[Difference - Per "&amp;VLOOKUP($D$2,'Reading Report Logic'!$A$2:$B$8,2,FALSE)&amp;"]")), FALSE)),
IF($J$2="FLA",
IF(VLOOKUP($A643, YES_Reading_FLA[], COLUMN(INDIRECT("YES_Reading_FLA[Difference - Per "&amp;VLOOKUP($D$2,'Reading Report Logic'!$A$2:$B$8,2,FALSE)&amp;"]")),FALSE)="","",
VLOOKUP($A643,YES_Reading_FLA[],COLUMN(INDIRECT("YES_Reading_FLA[Difference - Per "&amp;VLOOKUP($D$2,'Reading Report Logic'!$A$2:$B$8,2,FALSE)&amp;"]")),FALSE)),
IF($J$2="Combined",
IFERROR(
IF(VLOOKUP($A643, YES_Reading_ELA[], COLUMN(INDIRECT("YES_Reading_ELA[Difference - Per "&amp;VLOOKUP($D$2, 'Reading Report Logic'!$A$2:$B$8,2,FALSE)&amp;"]")), FALSE)="", "",
VLOOKUP($A643,YES_Reading_ELA[],COLUMN(INDIRECT("YES_Reading_ELA[Difference - Per "&amp;VLOOKUP($D$2,'Reading Report Logic'!$A$2:$B$8,2,FALSE)&amp;"]")),FALSE)),
IF(VLOOKUP($A643, YES_Reading_FLA[], COLUMN(INDIRECT("YES_Reading_FLA[Difference - Per "&amp;VLOOKUP($D$2, 'Reading Report Logic'!$A$2:$B$8, 2, FALSE)&amp;"]")),FALSE)="", "", VLOOKUP($A643,YES_Reading_FLA[],COLUMN(INDIRECT("YES_Reading_FLA[Difference - Per "&amp;VLOOKUP($D$2, 'Reading Report Logic'!$A$2:$B$8, 2, FALSE)&amp;"]")),FALSE))),""))),"")</f>
        <v/>
      </c>
      <c r="H643" s="206" t="str">
        <f ca="1">IFERROR(VLOOKUP('Teacher Reading Pull Sheets'!$D643,_xlfn.VSTACK('ELA Reading Logic'!$A$22:$B$48,'FLA Reading Logic'!$A$22:$B$53),2,FALSE)-VLOOKUP('Teacher Reading Pull Sheets'!$C643,_xlfn.VSTACK('ELA Reading Logic'!$A$22:$B$48,'FLA Reading Logic'!$A$22:$B$53),2,FALSE),"")</f>
        <v/>
      </c>
      <c r="I643" s="212"/>
      <c r="J643" s="206"/>
      <c r="K643" s="197" t="str" cm="1">
        <f t="array" ref="K643">IFERROR(
IF($J$2="ELA",
IF(VLOOKUP($A643, YES_Reading_ELA[], COLUMN(YES_Reading_ELA[Self-Identified as African Descent]), FALSE)="", "",
VLOOKUP($A643,YES_Reading_ELA[], COLUMN(YES_Reading_ELA[Self-Identified as African Descent]), FALSE)),
IF($J$2="FLA",
IF(VLOOKUP($A643, YES_Reading_FLA[], COLUMN(YES_Reading_FLA[Self-Identified as African Descent]),FALSE)="","",
VLOOKUP($A643,YES_Reading_FLA[],COLUMN(YES_Reading_FLA[Self-Identified as African Descent]),FALSE)),
IF($J$2="Combined",
IFERROR(
IF(VLOOKUP($A643, YES_Reading_ELA[], COLUMN(YES_Reading_ELA[Self-Identified as African Descent]), FALSE)="", "",
VLOOKUP($A643,YES_Reading_ELA[],COLUMN(YES_Reading_ELA[Self-Identified as African Descent]),FALSE)),
IF(VLOOKUP($A643, YES_Reading_FLA[], COLUMN(YES_Reading_FLA[Self-Identified as African Descent]),FALSE)="", "", VLOOKUP($A643,YES_Reading_FLA[],COLUMN(YES_Reading_FLA[Self-Identified as African Descent]),FALSE))),""))),"")</f>
        <v/>
      </c>
      <c r="L643" s="73" t="str" cm="1">
        <f t="array" ref="L643">IFERROR(
IF($J$2="ELA",
IF(VLOOKUP($A643, YES_Reading_ELA[], COLUMN(YES_Reading_ELA[Self-Identified as Indigenous]), FALSE)="", "",
VLOOKUP($A643,YES_Reading_ELA[], COLUMN(YES_Reading_ELA[Self-Identified as Indigenous]), FALSE)),
IF($J$2="FLA",
IF(VLOOKUP($A643, YES_Reading_FLA[], COLUMN(YES_Reading_FLA[Self-Identified as Indigenous]),FALSE)="","",
VLOOKUP($A643,YES_Reading_FLA[],COLUMN(YES_Reading_FLA[Self-Identified as Indigenous]),FALSE)),
IF($J$2="Combined",
IFERROR(
IF(VLOOKUP($A643, YES_Reading_ELA[], COLUMN(YES_Reading_ELA[Self-Identified as Indigenous]), FALSE)="", "",
VLOOKUP($A643,YES_Reading_ELA[],COLUMN(YES_Reading_ELA[Self-Identified as Indigenous]),FALSE)),
IF(VLOOKUP($A643, YES_Reading_FLA[], COLUMN(YES_Reading_FLA[Self-Identified as Indigenous]),FALSE)="", "", VLOOKUP($A643,YES_Reading_FLA[],COLUMN(YES_Reading_FLA[Self-Identified as Indigenous]),FALSE))),""))),"")</f>
        <v/>
      </c>
    </row>
    <row r="644" spans="1:12" ht="19.5" customHeight="1" x14ac:dyDescent="0.25">
      <c r="A644" s="217"/>
      <c r="B644" s="220" t="str">
        <f>IFERROR(VLOOKUP(A644,_xlfn.VSTACK(YES_Reading_ELA[],YES_Reading_FLA[]),2,FALSE),"")</f>
        <v/>
      </c>
      <c r="C644" s="203" t="str" cm="1">
        <f t="array" aca="1" ref="C644" ca="1">IFERROR(
IF($J$2="ELA",
IF(VLOOKUP($A644, YES_Reading_ELA[], COLUMN(IF(VLOOKUP($D$2, 'Reading Report Logic'!$A$2:$B$8, 2, FALSE)=1, YES_Reading_ELA[Reading Level June of Previous School Year], INDIRECT("YES_Reading_ELA[Instructional Reading Level - Per "&amp;(VLOOKUP($D$2,'Reading Report Logic'!$A$2:$B$8,2,FALSE)-1)&amp;"]"))), FALSE)="", "",
VLOOKUP($A644,YES_Reading_ELA[], COLUMN(IF(VLOOKUP($D$2,'Reading Report Logic'!$A$2:$B$8,2,FALSE)=1, YES_Reading_ELA[Reading Level June of Previous School Year],INDIRECT("YES_Reading_ELA[Instructional Reading Level - Per "&amp;(VLOOKUP($D$2,'Reading Report Logic'!$A$2:$B$8,2,FALSE)-1)&amp;"]"))), FALSE)),
IF($J$2="FLA",
IF(VLOOKUP($A644, YES_Reading_FLA[], COLUMN(IF(VLOOKUP($D$2,'Reading Report Logic'!$A$2:$B$8,2,FALSE)=1, YES_Reading_FLA[Reading Level June of Previous School Year],INDIRECT("YES_Reading_FLA[Instructional Reading Level - Per "&amp;(VLOOKUP($D$2,'Reading Report Logic'!$A$2:$B$8,2,FALSE)-1)&amp;"]"))),FALSE)="","",
VLOOKUP($A644,YES_Reading_FLA[], COLUMN(IF(VLOOKUP($D$2,'Reading Report Logic'!$A$2:$B$8,2,FALSE)=1, YES_Reading_FLA[Reading Level June of Previous School Year],INDIRECT("YES_Reading_FLA[Instructional Reading Level - Per "&amp;(VLOOKUP($D$2,'Reading Report Logic'!$A$2:$B$8,2,FALSE)-1)&amp;"]"))),FALSE)),
IF($J$2="Combined",
IFERROR(
IF(VLOOKUP($A644, YES_Reading_ELA[], COLUMN(IF(VLOOKUP($D$2,'Reading Report Logic'!$A$2:$B$8,2,FALSE)=1, YES_Reading_ELA[Reading Level June of Previous School Year],INDIRECT("YES_Reading_ELA[Instructional Reading Level - Per "&amp;(VLOOKUP($D$2,'Reading Report Logic'!$A$2:$B$8,2,FALSE)-1)&amp;"]"))), FALSE)="", "",
VLOOKUP($A644,YES_Reading_ELA[],COLUMN(IF(VLOOKUP($D$2,'Reading Report Logic'!$A$2:$B$8,2,FALSE)=1, YES_Reading_ELA[Reading Level June of Previous School Year],INDIRECT("YES_Reading_ELA[Instructional Reading Level - Per "&amp;(VLOOKUP($D$2,'Reading Report Logic'!$A$2:$B$8,2,FALSE)-1)&amp;"]"))),FALSE)),
IF(VLOOKUP($A644, YES_Reading_FLA[], COLUMN(IF(VLOOKUP($D$2,'Reading Report Logic'!$A$2:$B$8,2,FALSE)=1, YES_Reading_FLA[Reading Level June of Previous School Year],INDIRECT("YES_Reading_FLA[Instructional Reading Level - Per "&amp;(VLOOKUP($D$2,'Reading Report Logic'!$A$2:$B$8,2,FALSE)-1)&amp;"]"))),FALSE)="", "", VLOOKUP($A644,YES_Reading_FLA[],COLUMN(IF(VLOOKUP($D$2,'Reading Report Logic'!$A$2:$B$8,2,FALSE)=1, YES_Reading_FLA[Reading Level June of Previous School Year],INDIRECT("YES_Reading_FLA[Instructional Reading Level - Per "&amp;(VLOOKUP($D$2,'Reading Report Logic'!$A$2:$B$8,2,FALSE)-1)&amp;"]"))), FALSE))),""))),"")</f>
        <v/>
      </c>
      <c r="D644" s="204" t="str" cm="1">
        <f t="array" aca="1" ref="D644" ca="1">IFERROR(
IF($J$2="ELA",
IF(VLOOKUP($A644, YES_Reading_ELA[], COLUMN(INDIRECT("YES_Reading_ELA[Instructional Reading Level - Per "&amp;VLOOKUP($D$2, 'Reading Report Logic'!$A$2:$B$8, 2, FALSE)&amp;"]")), FALSE)="", "",
VLOOKUP($A644,YES_Reading_ELA[], COLUMN(INDIRECT("YES_Reading_ELA[Instructional Reading Level - Per "&amp;VLOOKUP($D$2,'Reading Report Logic'!$A$2:$B$8,2,FALSE)&amp;"]")), FALSE)),
IF($J$2="FLA",
IF(VLOOKUP($A644, YES_Reading_FLA[], COLUMN(INDIRECT("YES_Reading_FLA[Instructional Reading Level - Per "&amp;VLOOKUP($D$2,'Reading Report Logic'!$A$2:$B$8,2,FALSE)&amp;"]")),FALSE)="","",
VLOOKUP($A644,YES_Reading_FLA[],COLUMN(INDIRECT("YES_Reading_FLA[Instructional Reading Level - Per "&amp;VLOOKUP($D$2,'Reading Report Logic'!$A$2:$B$8,2,FALSE)&amp;"]")),FALSE)),
IF($J$2="Combined",
IFERROR(
IF(VLOOKUP($A644, YES_Reading_ELA[], COLUMN(INDIRECT("YES_Reading_ELA[Instructional Reading Level - Per "&amp;VLOOKUP($D$2, 'Reading Report Logic'!$A$2:$B$8,2,FALSE)&amp;"]")), FALSE)="", "",
VLOOKUP($A644,YES_Reading_ELA[],COLUMN(INDIRECT("YES_Reading_ELA[Instructional Reading Level - Per "&amp;VLOOKUP($D$2,'Reading Report Logic'!$A$2:$B$8,2,FALSE)&amp;"]")),FALSE)),
IF(VLOOKUP($A644, YES_Reading_FLA[], COLUMN(INDIRECT("YES_Reading_FLA[Instructional Reading Level - Per "&amp;VLOOKUP($D$2, 'Reading Report Logic'!$A$2:$B$8, 2, FALSE)&amp;"]")),FALSE)="", "", VLOOKUP($A644,YES_Reading_FLA[],COLUMN(INDIRECT("YES_Reading_FLA[Instructional Reading Level - Per "&amp;VLOOKUP($D$2, 'Reading Report Logic'!$A$2:$B$8, 2, FALSE)&amp;"]")),FALSE))),""))),"")</f>
        <v/>
      </c>
      <c r="E644" s="205" t="str" cm="1">
        <f t="array" aca="1" ref="E644" ca="1">IFERROR(
IF($J$2="ELA",
IF(VLOOKUP($A644, YES_Reading_ELA[], COLUMN(INDIRECT("YES_Reading_ELA[Min Expectation - Per "&amp;VLOOKUP($D$2, 'Reading Report Logic'!$A$2:$B$8, 2, FALSE)&amp;"]")), FALSE)="", "",
VLOOKUP($A644,YES_Reading_ELA[], COLUMN(INDIRECT("YES_Reading_ELA[Min Expectation - Per "&amp;VLOOKUP($D$2,'Reading Report Logic'!$A$2:$B$8,2,FALSE)&amp;"]")), FALSE)),
IF($J$2="FLA",
IF(VLOOKUP($A644, YES_Reading_FLA[], COLUMN(INDIRECT("YES_Reading_FLA[Min Expectation - Per "&amp;VLOOKUP($D$2,'Reading Report Logic'!$A$2:$B$8,2,FALSE)&amp;"]")),FALSE)="","",
VLOOKUP($A644,YES_Reading_FLA[],COLUMN(INDIRECT("YES_Reading_FLA[Min Expectation - Per "&amp;VLOOKUP($D$2,'Reading Report Logic'!$A$2:$B$8,2,FALSE)&amp;"]")),FALSE)),
IF($J$2="Combined",
IFERROR(
IF(VLOOKUP($A644, YES_Reading_ELA[], COLUMN(INDIRECT("YES_Reading_ELA[Min Expectation - Per "&amp;VLOOKUP($D$2, 'Reading Report Logic'!$A$2:$B$8,2,FALSE)&amp;"]")), FALSE)="", "",
VLOOKUP($A644,YES_Reading_ELA[],COLUMN(INDIRECT("YES_Reading_ELA[Min Expectation - Per "&amp;VLOOKUP($D$2,'Reading Report Logic'!$A$2:$B$8,2,FALSE)&amp;"]")),FALSE)),
IF(VLOOKUP($A644, YES_Reading_FLA[], COLUMN(INDIRECT("YES_Reading_FLA[Min Expectation - Per "&amp;VLOOKUP($D$2, 'Reading Report Logic'!$A$2:$B$8, 2, FALSE)&amp;"]")),FALSE)="", "", VLOOKUP($A644,YES_Reading_FLA[],COLUMN(INDIRECT("YES_Reading_FLA[Min Expectation - Per "&amp;VLOOKUP($D$2, 'Reading Report Logic'!$A$2:$B$8, 2, FALSE)&amp;"]")),FALSE))),""))),"")</f>
        <v/>
      </c>
      <c r="F644" s="205" t="str" cm="1">
        <f t="array" aca="1" ref="F644" ca="1">IFERROR(
IF($J$2="ELA",
IF(VLOOKUP($A644, YES_Reading_ELA[], COLUMN(INDIRECT("YES_Reading_ELA[Max Expectation - Per "&amp;VLOOKUP($D$2, 'Reading Report Logic'!$A$2:$B$8, 2, FALSE)&amp;"]")), FALSE)="", "",
VLOOKUP($A644,YES_Reading_ELA[], COLUMN(INDIRECT("YES_Reading_ELA[Max Expectation - Per "&amp;VLOOKUP($D$2,'Reading Report Logic'!$A$2:$B$8,2,FALSE)&amp;"]")), FALSE)),
IF($J$2="FLA",
IF(VLOOKUP($A644, YES_Reading_FLA[], COLUMN(INDIRECT("YES_Reading_FLA[Max Expectation - Per "&amp;VLOOKUP($D$2,'Reading Report Logic'!$A$2:$B$8,2,FALSE)&amp;"]")),FALSE)="","",
VLOOKUP($A644,YES_Reading_FLA[],COLUMN(INDIRECT("YES_Reading_FLA[Max Expectation - Per "&amp;VLOOKUP($D$2,'Reading Report Logic'!$A$2:$B$8,2,FALSE)&amp;"]")),FALSE)),
IF($J$2="Combined",
IFERROR(
IF(VLOOKUP($A644, YES_Reading_ELA[], COLUMN(INDIRECT("YES_Reading_ELA[Max Expectation - Per "&amp;VLOOKUP($D$2, 'Reading Report Logic'!$A$2:$B$8,2,FALSE)&amp;"]")), FALSE)="", "",
VLOOKUP($A644,YES_Reading_ELA[],COLUMN(INDIRECT("YES_Reading_ELA[Max Expectation - Per "&amp;VLOOKUP($D$2,'Reading Report Logic'!$A$2:$B$8,2,FALSE)&amp;"]")),FALSE)),
IF(VLOOKUP($A644, YES_Reading_FLA[], COLUMN(INDIRECT("YES_Reading_FLA[Max Expectation - Per "&amp;VLOOKUP($D$2, 'Reading Report Logic'!$A$2:$B$8, 2, FALSE)&amp;"]")),FALSE)="", "", VLOOKUP($A644,YES_Reading_FLA[],COLUMN(INDIRECT("YES_Reading_FLA[Max Expectation - Per "&amp;VLOOKUP($D$2, 'Reading Report Logic'!$A$2:$B$8, 2, FALSE)&amp;"]")),FALSE))),""))),"")</f>
        <v/>
      </c>
      <c r="G644" s="205" t="str" cm="1">
        <f t="array" aca="1" ref="G644" ca="1">IFERROR(
IF($J$2="ELA",
IF(VLOOKUP($A644, YES_Reading_ELA[], COLUMN(INDIRECT("YES_Reading_ELA[Difference - Per "&amp;VLOOKUP($D$2, 'Reading Report Logic'!$A$2:$B$8, 2, FALSE)&amp;"]")), FALSE)="", "",
VLOOKUP($A644,YES_Reading_ELA[], COLUMN(INDIRECT("YES_Reading_ELA[Difference - Per "&amp;VLOOKUP($D$2,'Reading Report Logic'!$A$2:$B$8,2,FALSE)&amp;"]")), FALSE)),
IF($J$2="FLA",
IF(VLOOKUP($A644, YES_Reading_FLA[], COLUMN(INDIRECT("YES_Reading_FLA[Difference - Per "&amp;VLOOKUP($D$2,'Reading Report Logic'!$A$2:$B$8,2,FALSE)&amp;"]")),FALSE)="","",
VLOOKUP($A644,YES_Reading_FLA[],COLUMN(INDIRECT("YES_Reading_FLA[Difference - Per "&amp;VLOOKUP($D$2,'Reading Report Logic'!$A$2:$B$8,2,FALSE)&amp;"]")),FALSE)),
IF($J$2="Combined",
IFERROR(
IF(VLOOKUP($A644, YES_Reading_ELA[], COLUMN(INDIRECT("YES_Reading_ELA[Difference - Per "&amp;VLOOKUP($D$2, 'Reading Report Logic'!$A$2:$B$8,2,FALSE)&amp;"]")), FALSE)="", "",
VLOOKUP($A644,YES_Reading_ELA[],COLUMN(INDIRECT("YES_Reading_ELA[Difference - Per "&amp;VLOOKUP($D$2,'Reading Report Logic'!$A$2:$B$8,2,FALSE)&amp;"]")),FALSE)),
IF(VLOOKUP($A644, YES_Reading_FLA[], COLUMN(INDIRECT("YES_Reading_FLA[Difference - Per "&amp;VLOOKUP($D$2, 'Reading Report Logic'!$A$2:$B$8, 2, FALSE)&amp;"]")),FALSE)="", "", VLOOKUP($A644,YES_Reading_FLA[],COLUMN(INDIRECT("YES_Reading_FLA[Difference - Per "&amp;VLOOKUP($D$2, 'Reading Report Logic'!$A$2:$B$8, 2, FALSE)&amp;"]")),FALSE))),""))),"")</f>
        <v/>
      </c>
      <c r="H644" s="206" t="str">
        <f ca="1">IFERROR(VLOOKUP('Teacher Reading Pull Sheets'!$D644,_xlfn.VSTACK('ELA Reading Logic'!$A$22:$B$48,'FLA Reading Logic'!$A$22:$B$53),2,FALSE)-VLOOKUP('Teacher Reading Pull Sheets'!$C644,_xlfn.VSTACK('ELA Reading Logic'!$A$22:$B$48,'FLA Reading Logic'!$A$22:$B$53),2,FALSE),"")</f>
        <v/>
      </c>
      <c r="I644" s="212"/>
      <c r="J644" s="206"/>
      <c r="K644" s="197" t="str" cm="1">
        <f t="array" ref="K644">IFERROR(
IF($J$2="ELA",
IF(VLOOKUP($A644, YES_Reading_ELA[], COLUMN(YES_Reading_ELA[Self-Identified as African Descent]), FALSE)="", "",
VLOOKUP($A644,YES_Reading_ELA[], COLUMN(YES_Reading_ELA[Self-Identified as African Descent]), FALSE)),
IF($J$2="FLA",
IF(VLOOKUP($A644, YES_Reading_FLA[], COLUMN(YES_Reading_FLA[Self-Identified as African Descent]),FALSE)="","",
VLOOKUP($A644,YES_Reading_FLA[],COLUMN(YES_Reading_FLA[Self-Identified as African Descent]),FALSE)),
IF($J$2="Combined",
IFERROR(
IF(VLOOKUP($A644, YES_Reading_ELA[], COLUMN(YES_Reading_ELA[Self-Identified as African Descent]), FALSE)="", "",
VLOOKUP($A644,YES_Reading_ELA[],COLUMN(YES_Reading_ELA[Self-Identified as African Descent]),FALSE)),
IF(VLOOKUP($A644, YES_Reading_FLA[], COLUMN(YES_Reading_FLA[Self-Identified as African Descent]),FALSE)="", "", VLOOKUP($A644,YES_Reading_FLA[],COLUMN(YES_Reading_FLA[Self-Identified as African Descent]),FALSE))),""))),"")</f>
        <v/>
      </c>
      <c r="L644" s="73" t="str" cm="1">
        <f t="array" ref="L644">IFERROR(
IF($J$2="ELA",
IF(VLOOKUP($A644, YES_Reading_ELA[], COLUMN(YES_Reading_ELA[Self-Identified as Indigenous]), FALSE)="", "",
VLOOKUP($A644,YES_Reading_ELA[], COLUMN(YES_Reading_ELA[Self-Identified as Indigenous]), FALSE)),
IF($J$2="FLA",
IF(VLOOKUP($A644, YES_Reading_FLA[], COLUMN(YES_Reading_FLA[Self-Identified as Indigenous]),FALSE)="","",
VLOOKUP($A644,YES_Reading_FLA[],COLUMN(YES_Reading_FLA[Self-Identified as Indigenous]),FALSE)),
IF($J$2="Combined",
IFERROR(
IF(VLOOKUP($A644, YES_Reading_ELA[], COLUMN(YES_Reading_ELA[Self-Identified as Indigenous]), FALSE)="", "",
VLOOKUP($A644,YES_Reading_ELA[],COLUMN(YES_Reading_ELA[Self-Identified as Indigenous]),FALSE)),
IF(VLOOKUP($A644, YES_Reading_FLA[], COLUMN(YES_Reading_FLA[Self-Identified as Indigenous]),FALSE)="", "", VLOOKUP($A644,YES_Reading_FLA[],COLUMN(YES_Reading_FLA[Self-Identified as Indigenous]),FALSE))),""))),"")</f>
        <v/>
      </c>
    </row>
    <row r="645" spans="1:12" ht="19.5" customHeight="1" x14ac:dyDescent="0.25">
      <c r="A645" s="217"/>
      <c r="B645" s="220" t="str">
        <f>IFERROR(VLOOKUP(A645,_xlfn.VSTACK(YES_Reading_ELA[],YES_Reading_FLA[]),2,FALSE),"")</f>
        <v/>
      </c>
      <c r="C645" s="203" t="str" cm="1">
        <f t="array" aca="1" ref="C645" ca="1">IFERROR(
IF($J$2="ELA",
IF(VLOOKUP($A645, YES_Reading_ELA[], COLUMN(IF(VLOOKUP($D$2, 'Reading Report Logic'!$A$2:$B$8, 2, FALSE)=1, YES_Reading_ELA[Reading Level June of Previous School Year], INDIRECT("YES_Reading_ELA[Instructional Reading Level - Per "&amp;(VLOOKUP($D$2,'Reading Report Logic'!$A$2:$B$8,2,FALSE)-1)&amp;"]"))), FALSE)="", "",
VLOOKUP($A645,YES_Reading_ELA[], COLUMN(IF(VLOOKUP($D$2,'Reading Report Logic'!$A$2:$B$8,2,FALSE)=1, YES_Reading_ELA[Reading Level June of Previous School Year],INDIRECT("YES_Reading_ELA[Instructional Reading Level - Per "&amp;(VLOOKUP($D$2,'Reading Report Logic'!$A$2:$B$8,2,FALSE)-1)&amp;"]"))), FALSE)),
IF($J$2="FLA",
IF(VLOOKUP($A645, YES_Reading_FLA[], COLUMN(IF(VLOOKUP($D$2,'Reading Report Logic'!$A$2:$B$8,2,FALSE)=1, YES_Reading_FLA[Reading Level June of Previous School Year],INDIRECT("YES_Reading_FLA[Instructional Reading Level - Per "&amp;(VLOOKUP($D$2,'Reading Report Logic'!$A$2:$B$8,2,FALSE)-1)&amp;"]"))),FALSE)="","",
VLOOKUP($A645,YES_Reading_FLA[], COLUMN(IF(VLOOKUP($D$2,'Reading Report Logic'!$A$2:$B$8,2,FALSE)=1, YES_Reading_FLA[Reading Level June of Previous School Year],INDIRECT("YES_Reading_FLA[Instructional Reading Level - Per "&amp;(VLOOKUP($D$2,'Reading Report Logic'!$A$2:$B$8,2,FALSE)-1)&amp;"]"))),FALSE)),
IF($J$2="Combined",
IFERROR(
IF(VLOOKUP($A645, YES_Reading_ELA[], COLUMN(IF(VLOOKUP($D$2,'Reading Report Logic'!$A$2:$B$8,2,FALSE)=1, YES_Reading_ELA[Reading Level June of Previous School Year],INDIRECT("YES_Reading_ELA[Instructional Reading Level - Per "&amp;(VLOOKUP($D$2,'Reading Report Logic'!$A$2:$B$8,2,FALSE)-1)&amp;"]"))), FALSE)="", "",
VLOOKUP($A645,YES_Reading_ELA[],COLUMN(IF(VLOOKUP($D$2,'Reading Report Logic'!$A$2:$B$8,2,FALSE)=1, YES_Reading_ELA[Reading Level June of Previous School Year],INDIRECT("YES_Reading_ELA[Instructional Reading Level - Per "&amp;(VLOOKUP($D$2,'Reading Report Logic'!$A$2:$B$8,2,FALSE)-1)&amp;"]"))),FALSE)),
IF(VLOOKUP($A645, YES_Reading_FLA[], COLUMN(IF(VLOOKUP($D$2,'Reading Report Logic'!$A$2:$B$8,2,FALSE)=1, YES_Reading_FLA[Reading Level June of Previous School Year],INDIRECT("YES_Reading_FLA[Instructional Reading Level - Per "&amp;(VLOOKUP($D$2,'Reading Report Logic'!$A$2:$B$8,2,FALSE)-1)&amp;"]"))),FALSE)="", "", VLOOKUP($A645,YES_Reading_FLA[],COLUMN(IF(VLOOKUP($D$2,'Reading Report Logic'!$A$2:$B$8,2,FALSE)=1, YES_Reading_FLA[Reading Level June of Previous School Year],INDIRECT("YES_Reading_FLA[Instructional Reading Level - Per "&amp;(VLOOKUP($D$2,'Reading Report Logic'!$A$2:$B$8,2,FALSE)-1)&amp;"]"))), FALSE))),""))),"")</f>
        <v/>
      </c>
      <c r="D645" s="204" t="str" cm="1">
        <f t="array" aca="1" ref="D645" ca="1">IFERROR(
IF($J$2="ELA",
IF(VLOOKUP($A645, YES_Reading_ELA[], COLUMN(INDIRECT("YES_Reading_ELA[Instructional Reading Level - Per "&amp;VLOOKUP($D$2, 'Reading Report Logic'!$A$2:$B$8, 2, FALSE)&amp;"]")), FALSE)="", "",
VLOOKUP($A645,YES_Reading_ELA[], COLUMN(INDIRECT("YES_Reading_ELA[Instructional Reading Level - Per "&amp;VLOOKUP($D$2,'Reading Report Logic'!$A$2:$B$8,2,FALSE)&amp;"]")), FALSE)),
IF($J$2="FLA",
IF(VLOOKUP($A645, YES_Reading_FLA[], COLUMN(INDIRECT("YES_Reading_FLA[Instructional Reading Level - Per "&amp;VLOOKUP($D$2,'Reading Report Logic'!$A$2:$B$8,2,FALSE)&amp;"]")),FALSE)="","",
VLOOKUP($A645,YES_Reading_FLA[],COLUMN(INDIRECT("YES_Reading_FLA[Instructional Reading Level - Per "&amp;VLOOKUP($D$2,'Reading Report Logic'!$A$2:$B$8,2,FALSE)&amp;"]")),FALSE)),
IF($J$2="Combined",
IFERROR(
IF(VLOOKUP($A645, YES_Reading_ELA[], COLUMN(INDIRECT("YES_Reading_ELA[Instructional Reading Level - Per "&amp;VLOOKUP($D$2, 'Reading Report Logic'!$A$2:$B$8,2,FALSE)&amp;"]")), FALSE)="", "",
VLOOKUP($A645,YES_Reading_ELA[],COLUMN(INDIRECT("YES_Reading_ELA[Instructional Reading Level - Per "&amp;VLOOKUP($D$2,'Reading Report Logic'!$A$2:$B$8,2,FALSE)&amp;"]")),FALSE)),
IF(VLOOKUP($A645, YES_Reading_FLA[], COLUMN(INDIRECT("YES_Reading_FLA[Instructional Reading Level - Per "&amp;VLOOKUP($D$2, 'Reading Report Logic'!$A$2:$B$8, 2, FALSE)&amp;"]")),FALSE)="", "", VLOOKUP($A645,YES_Reading_FLA[],COLUMN(INDIRECT("YES_Reading_FLA[Instructional Reading Level - Per "&amp;VLOOKUP($D$2, 'Reading Report Logic'!$A$2:$B$8, 2, FALSE)&amp;"]")),FALSE))),""))),"")</f>
        <v/>
      </c>
      <c r="E645" s="205" t="str" cm="1">
        <f t="array" aca="1" ref="E645" ca="1">IFERROR(
IF($J$2="ELA",
IF(VLOOKUP($A645, YES_Reading_ELA[], COLUMN(INDIRECT("YES_Reading_ELA[Min Expectation - Per "&amp;VLOOKUP($D$2, 'Reading Report Logic'!$A$2:$B$8, 2, FALSE)&amp;"]")), FALSE)="", "",
VLOOKUP($A645,YES_Reading_ELA[], COLUMN(INDIRECT("YES_Reading_ELA[Min Expectation - Per "&amp;VLOOKUP($D$2,'Reading Report Logic'!$A$2:$B$8,2,FALSE)&amp;"]")), FALSE)),
IF($J$2="FLA",
IF(VLOOKUP($A645, YES_Reading_FLA[], COLUMN(INDIRECT("YES_Reading_FLA[Min Expectation - Per "&amp;VLOOKUP($D$2,'Reading Report Logic'!$A$2:$B$8,2,FALSE)&amp;"]")),FALSE)="","",
VLOOKUP($A645,YES_Reading_FLA[],COLUMN(INDIRECT("YES_Reading_FLA[Min Expectation - Per "&amp;VLOOKUP($D$2,'Reading Report Logic'!$A$2:$B$8,2,FALSE)&amp;"]")),FALSE)),
IF($J$2="Combined",
IFERROR(
IF(VLOOKUP($A645, YES_Reading_ELA[], COLUMN(INDIRECT("YES_Reading_ELA[Min Expectation - Per "&amp;VLOOKUP($D$2, 'Reading Report Logic'!$A$2:$B$8,2,FALSE)&amp;"]")), FALSE)="", "",
VLOOKUP($A645,YES_Reading_ELA[],COLUMN(INDIRECT("YES_Reading_ELA[Min Expectation - Per "&amp;VLOOKUP($D$2,'Reading Report Logic'!$A$2:$B$8,2,FALSE)&amp;"]")),FALSE)),
IF(VLOOKUP($A645, YES_Reading_FLA[], COLUMN(INDIRECT("YES_Reading_FLA[Min Expectation - Per "&amp;VLOOKUP($D$2, 'Reading Report Logic'!$A$2:$B$8, 2, FALSE)&amp;"]")),FALSE)="", "", VLOOKUP($A645,YES_Reading_FLA[],COLUMN(INDIRECT("YES_Reading_FLA[Min Expectation - Per "&amp;VLOOKUP($D$2, 'Reading Report Logic'!$A$2:$B$8, 2, FALSE)&amp;"]")),FALSE))),""))),"")</f>
        <v/>
      </c>
      <c r="F645" s="205" t="str" cm="1">
        <f t="array" aca="1" ref="F645" ca="1">IFERROR(
IF($J$2="ELA",
IF(VLOOKUP($A645, YES_Reading_ELA[], COLUMN(INDIRECT("YES_Reading_ELA[Max Expectation - Per "&amp;VLOOKUP($D$2, 'Reading Report Logic'!$A$2:$B$8, 2, FALSE)&amp;"]")), FALSE)="", "",
VLOOKUP($A645,YES_Reading_ELA[], COLUMN(INDIRECT("YES_Reading_ELA[Max Expectation - Per "&amp;VLOOKUP($D$2,'Reading Report Logic'!$A$2:$B$8,2,FALSE)&amp;"]")), FALSE)),
IF($J$2="FLA",
IF(VLOOKUP($A645, YES_Reading_FLA[], COLUMN(INDIRECT("YES_Reading_FLA[Max Expectation - Per "&amp;VLOOKUP($D$2,'Reading Report Logic'!$A$2:$B$8,2,FALSE)&amp;"]")),FALSE)="","",
VLOOKUP($A645,YES_Reading_FLA[],COLUMN(INDIRECT("YES_Reading_FLA[Max Expectation - Per "&amp;VLOOKUP($D$2,'Reading Report Logic'!$A$2:$B$8,2,FALSE)&amp;"]")),FALSE)),
IF($J$2="Combined",
IFERROR(
IF(VLOOKUP($A645, YES_Reading_ELA[], COLUMN(INDIRECT("YES_Reading_ELA[Max Expectation - Per "&amp;VLOOKUP($D$2, 'Reading Report Logic'!$A$2:$B$8,2,FALSE)&amp;"]")), FALSE)="", "",
VLOOKUP($A645,YES_Reading_ELA[],COLUMN(INDIRECT("YES_Reading_ELA[Max Expectation - Per "&amp;VLOOKUP($D$2,'Reading Report Logic'!$A$2:$B$8,2,FALSE)&amp;"]")),FALSE)),
IF(VLOOKUP($A645, YES_Reading_FLA[], COLUMN(INDIRECT("YES_Reading_FLA[Max Expectation - Per "&amp;VLOOKUP($D$2, 'Reading Report Logic'!$A$2:$B$8, 2, FALSE)&amp;"]")),FALSE)="", "", VLOOKUP($A645,YES_Reading_FLA[],COLUMN(INDIRECT("YES_Reading_FLA[Max Expectation - Per "&amp;VLOOKUP($D$2, 'Reading Report Logic'!$A$2:$B$8, 2, FALSE)&amp;"]")),FALSE))),""))),"")</f>
        <v/>
      </c>
      <c r="G645" s="205" t="str" cm="1">
        <f t="array" aca="1" ref="G645" ca="1">IFERROR(
IF($J$2="ELA",
IF(VLOOKUP($A645, YES_Reading_ELA[], COLUMN(INDIRECT("YES_Reading_ELA[Difference - Per "&amp;VLOOKUP($D$2, 'Reading Report Logic'!$A$2:$B$8, 2, FALSE)&amp;"]")), FALSE)="", "",
VLOOKUP($A645,YES_Reading_ELA[], COLUMN(INDIRECT("YES_Reading_ELA[Difference - Per "&amp;VLOOKUP($D$2,'Reading Report Logic'!$A$2:$B$8,2,FALSE)&amp;"]")), FALSE)),
IF($J$2="FLA",
IF(VLOOKUP($A645, YES_Reading_FLA[], COLUMN(INDIRECT("YES_Reading_FLA[Difference - Per "&amp;VLOOKUP($D$2,'Reading Report Logic'!$A$2:$B$8,2,FALSE)&amp;"]")),FALSE)="","",
VLOOKUP($A645,YES_Reading_FLA[],COLUMN(INDIRECT("YES_Reading_FLA[Difference - Per "&amp;VLOOKUP($D$2,'Reading Report Logic'!$A$2:$B$8,2,FALSE)&amp;"]")),FALSE)),
IF($J$2="Combined",
IFERROR(
IF(VLOOKUP($A645, YES_Reading_ELA[], COLUMN(INDIRECT("YES_Reading_ELA[Difference - Per "&amp;VLOOKUP($D$2, 'Reading Report Logic'!$A$2:$B$8,2,FALSE)&amp;"]")), FALSE)="", "",
VLOOKUP($A645,YES_Reading_ELA[],COLUMN(INDIRECT("YES_Reading_ELA[Difference - Per "&amp;VLOOKUP($D$2,'Reading Report Logic'!$A$2:$B$8,2,FALSE)&amp;"]")),FALSE)),
IF(VLOOKUP($A645, YES_Reading_FLA[], COLUMN(INDIRECT("YES_Reading_FLA[Difference - Per "&amp;VLOOKUP($D$2, 'Reading Report Logic'!$A$2:$B$8, 2, FALSE)&amp;"]")),FALSE)="", "", VLOOKUP($A645,YES_Reading_FLA[],COLUMN(INDIRECT("YES_Reading_FLA[Difference - Per "&amp;VLOOKUP($D$2, 'Reading Report Logic'!$A$2:$B$8, 2, FALSE)&amp;"]")),FALSE))),""))),"")</f>
        <v/>
      </c>
      <c r="H645" s="206" t="str">
        <f ca="1">IFERROR(VLOOKUP('Teacher Reading Pull Sheets'!$D645,_xlfn.VSTACK('ELA Reading Logic'!$A$22:$B$48,'FLA Reading Logic'!$A$22:$B$53),2,FALSE)-VLOOKUP('Teacher Reading Pull Sheets'!$C645,_xlfn.VSTACK('ELA Reading Logic'!$A$22:$B$48,'FLA Reading Logic'!$A$22:$B$53),2,FALSE),"")</f>
        <v/>
      </c>
      <c r="I645" s="212"/>
      <c r="J645" s="206"/>
      <c r="K645" s="197" t="str" cm="1">
        <f t="array" ref="K645">IFERROR(
IF($J$2="ELA",
IF(VLOOKUP($A645, YES_Reading_ELA[], COLUMN(YES_Reading_ELA[Self-Identified as African Descent]), FALSE)="", "",
VLOOKUP($A645,YES_Reading_ELA[], COLUMN(YES_Reading_ELA[Self-Identified as African Descent]), FALSE)),
IF($J$2="FLA",
IF(VLOOKUP($A645, YES_Reading_FLA[], COLUMN(YES_Reading_FLA[Self-Identified as African Descent]),FALSE)="","",
VLOOKUP($A645,YES_Reading_FLA[],COLUMN(YES_Reading_FLA[Self-Identified as African Descent]),FALSE)),
IF($J$2="Combined",
IFERROR(
IF(VLOOKUP($A645, YES_Reading_ELA[], COLUMN(YES_Reading_ELA[Self-Identified as African Descent]), FALSE)="", "",
VLOOKUP($A645,YES_Reading_ELA[],COLUMN(YES_Reading_ELA[Self-Identified as African Descent]),FALSE)),
IF(VLOOKUP($A645, YES_Reading_FLA[], COLUMN(YES_Reading_FLA[Self-Identified as African Descent]),FALSE)="", "", VLOOKUP($A645,YES_Reading_FLA[],COLUMN(YES_Reading_FLA[Self-Identified as African Descent]),FALSE))),""))),"")</f>
        <v/>
      </c>
      <c r="L645" s="73" t="str" cm="1">
        <f t="array" ref="L645">IFERROR(
IF($J$2="ELA",
IF(VLOOKUP($A645, YES_Reading_ELA[], COLUMN(YES_Reading_ELA[Self-Identified as Indigenous]), FALSE)="", "",
VLOOKUP($A645,YES_Reading_ELA[], COLUMN(YES_Reading_ELA[Self-Identified as Indigenous]), FALSE)),
IF($J$2="FLA",
IF(VLOOKUP($A645, YES_Reading_FLA[], COLUMN(YES_Reading_FLA[Self-Identified as Indigenous]),FALSE)="","",
VLOOKUP($A645,YES_Reading_FLA[],COLUMN(YES_Reading_FLA[Self-Identified as Indigenous]),FALSE)),
IF($J$2="Combined",
IFERROR(
IF(VLOOKUP($A645, YES_Reading_ELA[], COLUMN(YES_Reading_ELA[Self-Identified as Indigenous]), FALSE)="", "",
VLOOKUP($A645,YES_Reading_ELA[],COLUMN(YES_Reading_ELA[Self-Identified as Indigenous]),FALSE)),
IF(VLOOKUP($A645, YES_Reading_FLA[], COLUMN(YES_Reading_FLA[Self-Identified as Indigenous]),FALSE)="", "", VLOOKUP($A645,YES_Reading_FLA[],COLUMN(YES_Reading_FLA[Self-Identified as Indigenous]),FALSE))),""))),"")</f>
        <v/>
      </c>
    </row>
    <row r="646" spans="1:12" ht="19.5" customHeight="1" x14ac:dyDescent="0.25">
      <c r="A646" s="217"/>
      <c r="B646" s="220" t="str">
        <f>IFERROR(VLOOKUP(A646,_xlfn.VSTACK(YES_Reading_ELA[],YES_Reading_FLA[]),2,FALSE),"")</f>
        <v/>
      </c>
      <c r="C646" s="203" t="str" cm="1">
        <f t="array" aca="1" ref="C646" ca="1">IFERROR(
IF($J$2="ELA",
IF(VLOOKUP($A646, YES_Reading_ELA[], COLUMN(IF(VLOOKUP($D$2, 'Reading Report Logic'!$A$2:$B$8, 2, FALSE)=1, YES_Reading_ELA[Reading Level June of Previous School Year], INDIRECT("YES_Reading_ELA[Instructional Reading Level - Per "&amp;(VLOOKUP($D$2,'Reading Report Logic'!$A$2:$B$8,2,FALSE)-1)&amp;"]"))), FALSE)="", "",
VLOOKUP($A646,YES_Reading_ELA[], COLUMN(IF(VLOOKUP($D$2,'Reading Report Logic'!$A$2:$B$8,2,FALSE)=1, YES_Reading_ELA[Reading Level June of Previous School Year],INDIRECT("YES_Reading_ELA[Instructional Reading Level - Per "&amp;(VLOOKUP($D$2,'Reading Report Logic'!$A$2:$B$8,2,FALSE)-1)&amp;"]"))), FALSE)),
IF($J$2="FLA",
IF(VLOOKUP($A646, YES_Reading_FLA[], COLUMN(IF(VLOOKUP($D$2,'Reading Report Logic'!$A$2:$B$8,2,FALSE)=1, YES_Reading_FLA[Reading Level June of Previous School Year],INDIRECT("YES_Reading_FLA[Instructional Reading Level - Per "&amp;(VLOOKUP($D$2,'Reading Report Logic'!$A$2:$B$8,2,FALSE)-1)&amp;"]"))),FALSE)="","",
VLOOKUP($A646,YES_Reading_FLA[], COLUMN(IF(VLOOKUP($D$2,'Reading Report Logic'!$A$2:$B$8,2,FALSE)=1, YES_Reading_FLA[Reading Level June of Previous School Year],INDIRECT("YES_Reading_FLA[Instructional Reading Level - Per "&amp;(VLOOKUP($D$2,'Reading Report Logic'!$A$2:$B$8,2,FALSE)-1)&amp;"]"))),FALSE)),
IF($J$2="Combined",
IFERROR(
IF(VLOOKUP($A646, YES_Reading_ELA[], COLUMN(IF(VLOOKUP($D$2,'Reading Report Logic'!$A$2:$B$8,2,FALSE)=1, YES_Reading_ELA[Reading Level June of Previous School Year],INDIRECT("YES_Reading_ELA[Instructional Reading Level - Per "&amp;(VLOOKUP($D$2,'Reading Report Logic'!$A$2:$B$8,2,FALSE)-1)&amp;"]"))), FALSE)="", "",
VLOOKUP($A646,YES_Reading_ELA[],COLUMN(IF(VLOOKUP($D$2,'Reading Report Logic'!$A$2:$B$8,2,FALSE)=1, YES_Reading_ELA[Reading Level June of Previous School Year],INDIRECT("YES_Reading_ELA[Instructional Reading Level - Per "&amp;(VLOOKUP($D$2,'Reading Report Logic'!$A$2:$B$8,2,FALSE)-1)&amp;"]"))),FALSE)),
IF(VLOOKUP($A646, YES_Reading_FLA[], COLUMN(IF(VLOOKUP($D$2,'Reading Report Logic'!$A$2:$B$8,2,FALSE)=1, YES_Reading_FLA[Reading Level June of Previous School Year],INDIRECT("YES_Reading_FLA[Instructional Reading Level - Per "&amp;(VLOOKUP($D$2,'Reading Report Logic'!$A$2:$B$8,2,FALSE)-1)&amp;"]"))),FALSE)="", "", VLOOKUP($A646,YES_Reading_FLA[],COLUMN(IF(VLOOKUP($D$2,'Reading Report Logic'!$A$2:$B$8,2,FALSE)=1, YES_Reading_FLA[Reading Level June of Previous School Year],INDIRECT("YES_Reading_FLA[Instructional Reading Level - Per "&amp;(VLOOKUP($D$2,'Reading Report Logic'!$A$2:$B$8,2,FALSE)-1)&amp;"]"))), FALSE))),""))),"")</f>
        <v/>
      </c>
      <c r="D646" s="204" t="str" cm="1">
        <f t="array" aca="1" ref="D646" ca="1">IFERROR(
IF($J$2="ELA",
IF(VLOOKUP($A646, YES_Reading_ELA[], COLUMN(INDIRECT("YES_Reading_ELA[Instructional Reading Level - Per "&amp;VLOOKUP($D$2, 'Reading Report Logic'!$A$2:$B$8, 2, FALSE)&amp;"]")), FALSE)="", "",
VLOOKUP($A646,YES_Reading_ELA[], COLUMN(INDIRECT("YES_Reading_ELA[Instructional Reading Level - Per "&amp;VLOOKUP($D$2,'Reading Report Logic'!$A$2:$B$8,2,FALSE)&amp;"]")), FALSE)),
IF($J$2="FLA",
IF(VLOOKUP($A646, YES_Reading_FLA[], COLUMN(INDIRECT("YES_Reading_FLA[Instructional Reading Level - Per "&amp;VLOOKUP($D$2,'Reading Report Logic'!$A$2:$B$8,2,FALSE)&amp;"]")),FALSE)="","",
VLOOKUP($A646,YES_Reading_FLA[],COLUMN(INDIRECT("YES_Reading_FLA[Instructional Reading Level - Per "&amp;VLOOKUP($D$2,'Reading Report Logic'!$A$2:$B$8,2,FALSE)&amp;"]")),FALSE)),
IF($J$2="Combined",
IFERROR(
IF(VLOOKUP($A646, YES_Reading_ELA[], COLUMN(INDIRECT("YES_Reading_ELA[Instructional Reading Level - Per "&amp;VLOOKUP($D$2, 'Reading Report Logic'!$A$2:$B$8,2,FALSE)&amp;"]")), FALSE)="", "",
VLOOKUP($A646,YES_Reading_ELA[],COLUMN(INDIRECT("YES_Reading_ELA[Instructional Reading Level - Per "&amp;VLOOKUP($D$2,'Reading Report Logic'!$A$2:$B$8,2,FALSE)&amp;"]")),FALSE)),
IF(VLOOKUP($A646, YES_Reading_FLA[], COLUMN(INDIRECT("YES_Reading_FLA[Instructional Reading Level - Per "&amp;VLOOKUP($D$2, 'Reading Report Logic'!$A$2:$B$8, 2, FALSE)&amp;"]")),FALSE)="", "", VLOOKUP($A646,YES_Reading_FLA[],COLUMN(INDIRECT("YES_Reading_FLA[Instructional Reading Level - Per "&amp;VLOOKUP($D$2, 'Reading Report Logic'!$A$2:$B$8, 2, FALSE)&amp;"]")),FALSE))),""))),"")</f>
        <v/>
      </c>
      <c r="E646" s="205" t="str" cm="1">
        <f t="array" aca="1" ref="E646" ca="1">IFERROR(
IF($J$2="ELA",
IF(VLOOKUP($A646, YES_Reading_ELA[], COLUMN(INDIRECT("YES_Reading_ELA[Min Expectation - Per "&amp;VLOOKUP($D$2, 'Reading Report Logic'!$A$2:$B$8, 2, FALSE)&amp;"]")), FALSE)="", "",
VLOOKUP($A646,YES_Reading_ELA[], COLUMN(INDIRECT("YES_Reading_ELA[Min Expectation - Per "&amp;VLOOKUP($D$2,'Reading Report Logic'!$A$2:$B$8,2,FALSE)&amp;"]")), FALSE)),
IF($J$2="FLA",
IF(VLOOKUP($A646, YES_Reading_FLA[], COLUMN(INDIRECT("YES_Reading_FLA[Min Expectation - Per "&amp;VLOOKUP($D$2,'Reading Report Logic'!$A$2:$B$8,2,FALSE)&amp;"]")),FALSE)="","",
VLOOKUP($A646,YES_Reading_FLA[],COLUMN(INDIRECT("YES_Reading_FLA[Min Expectation - Per "&amp;VLOOKUP($D$2,'Reading Report Logic'!$A$2:$B$8,2,FALSE)&amp;"]")),FALSE)),
IF($J$2="Combined",
IFERROR(
IF(VLOOKUP($A646, YES_Reading_ELA[], COLUMN(INDIRECT("YES_Reading_ELA[Min Expectation - Per "&amp;VLOOKUP($D$2, 'Reading Report Logic'!$A$2:$B$8,2,FALSE)&amp;"]")), FALSE)="", "",
VLOOKUP($A646,YES_Reading_ELA[],COLUMN(INDIRECT("YES_Reading_ELA[Min Expectation - Per "&amp;VLOOKUP($D$2,'Reading Report Logic'!$A$2:$B$8,2,FALSE)&amp;"]")),FALSE)),
IF(VLOOKUP($A646, YES_Reading_FLA[], COLUMN(INDIRECT("YES_Reading_FLA[Min Expectation - Per "&amp;VLOOKUP($D$2, 'Reading Report Logic'!$A$2:$B$8, 2, FALSE)&amp;"]")),FALSE)="", "", VLOOKUP($A646,YES_Reading_FLA[],COLUMN(INDIRECT("YES_Reading_FLA[Min Expectation - Per "&amp;VLOOKUP($D$2, 'Reading Report Logic'!$A$2:$B$8, 2, FALSE)&amp;"]")),FALSE))),""))),"")</f>
        <v/>
      </c>
      <c r="F646" s="205" t="str" cm="1">
        <f t="array" aca="1" ref="F646" ca="1">IFERROR(
IF($J$2="ELA",
IF(VLOOKUP($A646, YES_Reading_ELA[], COLUMN(INDIRECT("YES_Reading_ELA[Max Expectation - Per "&amp;VLOOKUP($D$2, 'Reading Report Logic'!$A$2:$B$8, 2, FALSE)&amp;"]")), FALSE)="", "",
VLOOKUP($A646,YES_Reading_ELA[], COLUMN(INDIRECT("YES_Reading_ELA[Max Expectation - Per "&amp;VLOOKUP($D$2,'Reading Report Logic'!$A$2:$B$8,2,FALSE)&amp;"]")), FALSE)),
IF($J$2="FLA",
IF(VLOOKUP($A646, YES_Reading_FLA[], COLUMN(INDIRECT("YES_Reading_FLA[Max Expectation - Per "&amp;VLOOKUP($D$2,'Reading Report Logic'!$A$2:$B$8,2,FALSE)&amp;"]")),FALSE)="","",
VLOOKUP($A646,YES_Reading_FLA[],COLUMN(INDIRECT("YES_Reading_FLA[Max Expectation - Per "&amp;VLOOKUP($D$2,'Reading Report Logic'!$A$2:$B$8,2,FALSE)&amp;"]")),FALSE)),
IF($J$2="Combined",
IFERROR(
IF(VLOOKUP($A646, YES_Reading_ELA[], COLUMN(INDIRECT("YES_Reading_ELA[Max Expectation - Per "&amp;VLOOKUP($D$2, 'Reading Report Logic'!$A$2:$B$8,2,FALSE)&amp;"]")), FALSE)="", "",
VLOOKUP($A646,YES_Reading_ELA[],COLUMN(INDIRECT("YES_Reading_ELA[Max Expectation - Per "&amp;VLOOKUP($D$2,'Reading Report Logic'!$A$2:$B$8,2,FALSE)&amp;"]")),FALSE)),
IF(VLOOKUP($A646, YES_Reading_FLA[], COLUMN(INDIRECT("YES_Reading_FLA[Max Expectation - Per "&amp;VLOOKUP($D$2, 'Reading Report Logic'!$A$2:$B$8, 2, FALSE)&amp;"]")),FALSE)="", "", VLOOKUP($A646,YES_Reading_FLA[],COLUMN(INDIRECT("YES_Reading_FLA[Max Expectation - Per "&amp;VLOOKUP($D$2, 'Reading Report Logic'!$A$2:$B$8, 2, FALSE)&amp;"]")),FALSE))),""))),"")</f>
        <v/>
      </c>
      <c r="G646" s="205" t="str" cm="1">
        <f t="array" aca="1" ref="G646" ca="1">IFERROR(
IF($J$2="ELA",
IF(VLOOKUP($A646, YES_Reading_ELA[], COLUMN(INDIRECT("YES_Reading_ELA[Difference - Per "&amp;VLOOKUP($D$2, 'Reading Report Logic'!$A$2:$B$8, 2, FALSE)&amp;"]")), FALSE)="", "",
VLOOKUP($A646,YES_Reading_ELA[], COLUMN(INDIRECT("YES_Reading_ELA[Difference - Per "&amp;VLOOKUP($D$2,'Reading Report Logic'!$A$2:$B$8,2,FALSE)&amp;"]")), FALSE)),
IF($J$2="FLA",
IF(VLOOKUP($A646, YES_Reading_FLA[], COLUMN(INDIRECT("YES_Reading_FLA[Difference - Per "&amp;VLOOKUP($D$2,'Reading Report Logic'!$A$2:$B$8,2,FALSE)&amp;"]")),FALSE)="","",
VLOOKUP($A646,YES_Reading_FLA[],COLUMN(INDIRECT("YES_Reading_FLA[Difference - Per "&amp;VLOOKUP($D$2,'Reading Report Logic'!$A$2:$B$8,2,FALSE)&amp;"]")),FALSE)),
IF($J$2="Combined",
IFERROR(
IF(VLOOKUP($A646, YES_Reading_ELA[], COLUMN(INDIRECT("YES_Reading_ELA[Difference - Per "&amp;VLOOKUP($D$2, 'Reading Report Logic'!$A$2:$B$8,2,FALSE)&amp;"]")), FALSE)="", "",
VLOOKUP($A646,YES_Reading_ELA[],COLUMN(INDIRECT("YES_Reading_ELA[Difference - Per "&amp;VLOOKUP($D$2,'Reading Report Logic'!$A$2:$B$8,2,FALSE)&amp;"]")),FALSE)),
IF(VLOOKUP($A646, YES_Reading_FLA[], COLUMN(INDIRECT("YES_Reading_FLA[Difference - Per "&amp;VLOOKUP($D$2, 'Reading Report Logic'!$A$2:$B$8, 2, FALSE)&amp;"]")),FALSE)="", "", VLOOKUP($A646,YES_Reading_FLA[],COLUMN(INDIRECT("YES_Reading_FLA[Difference - Per "&amp;VLOOKUP($D$2, 'Reading Report Logic'!$A$2:$B$8, 2, FALSE)&amp;"]")),FALSE))),""))),"")</f>
        <v/>
      </c>
      <c r="H646" s="206" t="str">
        <f ca="1">IFERROR(VLOOKUP('Teacher Reading Pull Sheets'!$D646,_xlfn.VSTACK('ELA Reading Logic'!$A$22:$B$48,'FLA Reading Logic'!$A$22:$B$53),2,FALSE)-VLOOKUP('Teacher Reading Pull Sheets'!$C646,_xlfn.VSTACK('ELA Reading Logic'!$A$22:$B$48,'FLA Reading Logic'!$A$22:$B$53),2,FALSE),"")</f>
        <v/>
      </c>
      <c r="I646" s="212"/>
      <c r="J646" s="206"/>
      <c r="K646" s="197" t="str" cm="1">
        <f t="array" ref="K646">IFERROR(
IF($J$2="ELA",
IF(VLOOKUP($A646, YES_Reading_ELA[], COLUMN(YES_Reading_ELA[Self-Identified as African Descent]), FALSE)="", "",
VLOOKUP($A646,YES_Reading_ELA[], COLUMN(YES_Reading_ELA[Self-Identified as African Descent]), FALSE)),
IF($J$2="FLA",
IF(VLOOKUP($A646, YES_Reading_FLA[], COLUMN(YES_Reading_FLA[Self-Identified as African Descent]),FALSE)="","",
VLOOKUP($A646,YES_Reading_FLA[],COLUMN(YES_Reading_FLA[Self-Identified as African Descent]),FALSE)),
IF($J$2="Combined",
IFERROR(
IF(VLOOKUP($A646, YES_Reading_ELA[], COLUMN(YES_Reading_ELA[Self-Identified as African Descent]), FALSE)="", "",
VLOOKUP($A646,YES_Reading_ELA[],COLUMN(YES_Reading_ELA[Self-Identified as African Descent]),FALSE)),
IF(VLOOKUP($A646, YES_Reading_FLA[], COLUMN(YES_Reading_FLA[Self-Identified as African Descent]),FALSE)="", "", VLOOKUP($A646,YES_Reading_FLA[],COLUMN(YES_Reading_FLA[Self-Identified as African Descent]),FALSE))),""))),"")</f>
        <v/>
      </c>
      <c r="L646" s="73" t="str" cm="1">
        <f t="array" ref="L646">IFERROR(
IF($J$2="ELA",
IF(VLOOKUP($A646, YES_Reading_ELA[], COLUMN(YES_Reading_ELA[Self-Identified as Indigenous]), FALSE)="", "",
VLOOKUP($A646,YES_Reading_ELA[], COLUMN(YES_Reading_ELA[Self-Identified as Indigenous]), FALSE)),
IF($J$2="FLA",
IF(VLOOKUP($A646, YES_Reading_FLA[], COLUMN(YES_Reading_FLA[Self-Identified as Indigenous]),FALSE)="","",
VLOOKUP($A646,YES_Reading_FLA[],COLUMN(YES_Reading_FLA[Self-Identified as Indigenous]),FALSE)),
IF($J$2="Combined",
IFERROR(
IF(VLOOKUP($A646, YES_Reading_ELA[], COLUMN(YES_Reading_ELA[Self-Identified as Indigenous]), FALSE)="", "",
VLOOKUP($A646,YES_Reading_ELA[],COLUMN(YES_Reading_ELA[Self-Identified as Indigenous]),FALSE)),
IF(VLOOKUP($A646, YES_Reading_FLA[], COLUMN(YES_Reading_FLA[Self-Identified as Indigenous]),FALSE)="", "", VLOOKUP($A646,YES_Reading_FLA[],COLUMN(YES_Reading_FLA[Self-Identified as Indigenous]),FALSE))),""))),"")</f>
        <v/>
      </c>
    </row>
    <row r="647" spans="1:12" ht="19.5" customHeight="1" x14ac:dyDescent="0.25">
      <c r="A647" s="217"/>
      <c r="B647" s="220" t="str">
        <f>IFERROR(VLOOKUP(A647,_xlfn.VSTACK(YES_Reading_ELA[],YES_Reading_FLA[]),2,FALSE),"")</f>
        <v/>
      </c>
      <c r="C647" s="203" t="str" cm="1">
        <f t="array" aca="1" ref="C647" ca="1">IFERROR(
IF($J$2="ELA",
IF(VLOOKUP($A647, YES_Reading_ELA[], COLUMN(IF(VLOOKUP($D$2, 'Reading Report Logic'!$A$2:$B$8, 2, FALSE)=1, YES_Reading_ELA[Reading Level June of Previous School Year], INDIRECT("YES_Reading_ELA[Instructional Reading Level - Per "&amp;(VLOOKUP($D$2,'Reading Report Logic'!$A$2:$B$8,2,FALSE)-1)&amp;"]"))), FALSE)="", "",
VLOOKUP($A647,YES_Reading_ELA[], COLUMN(IF(VLOOKUP($D$2,'Reading Report Logic'!$A$2:$B$8,2,FALSE)=1, YES_Reading_ELA[Reading Level June of Previous School Year],INDIRECT("YES_Reading_ELA[Instructional Reading Level - Per "&amp;(VLOOKUP($D$2,'Reading Report Logic'!$A$2:$B$8,2,FALSE)-1)&amp;"]"))), FALSE)),
IF($J$2="FLA",
IF(VLOOKUP($A647, YES_Reading_FLA[], COLUMN(IF(VLOOKUP($D$2,'Reading Report Logic'!$A$2:$B$8,2,FALSE)=1, YES_Reading_FLA[Reading Level June of Previous School Year],INDIRECT("YES_Reading_FLA[Instructional Reading Level - Per "&amp;(VLOOKUP($D$2,'Reading Report Logic'!$A$2:$B$8,2,FALSE)-1)&amp;"]"))),FALSE)="","",
VLOOKUP($A647,YES_Reading_FLA[], COLUMN(IF(VLOOKUP($D$2,'Reading Report Logic'!$A$2:$B$8,2,FALSE)=1, YES_Reading_FLA[Reading Level June of Previous School Year],INDIRECT("YES_Reading_FLA[Instructional Reading Level - Per "&amp;(VLOOKUP($D$2,'Reading Report Logic'!$A$2:$B$8,2,FALSE)-1)&amp;"]"))),FALSE)),
IF($J$2="Combined",
IFERROR(
IF(VLOOKUP($A647, YES_Reading_ELA[], COLUMN(IF(VLOOKUP($D$2,'Reading Report Logic'!$A$2:$B$8,2,FALSE)=1, YES_Reading_ELA[Reading Level June of Previous School Year],INDIRECT("YES_Reading_ELA[Instructional Reading Level - Per "&amp;(VLOOKUP($D$2,'Reading Report Logic'!$A$2:$B$8,2,FALSE)-1)&amp;"]"))), FALSE)="", "",
VLOOKUP($A647,YES_Reading_ELA[],COLUMN(IF(VLOOKUP($D$2,'Reading Report Logic'!$A$2:$B$8,2,FALSE)=1, YES_Reading_ELA[Reading Level June of Previous School Year],INDIRECT("YES_Reading_ELA[Instructional Reading Level - Per "&amp;(VLOOKUP($D$2,'Reading Report Logic'!$A$2:$B$8,2,FALSE)-1)&amp;"]"))),FALSE)),
IF(VLOOKUP($A647, YES_Reading_FLA[], COLUMN(IF(VLOOKUP($D$2,'Reading Report Logic'!$A$2:$B$8,2,FALSE)=1, YES_Reading_FLA[Reading Level June of Previous School Year],INDIRECT("YES_Reading_FLA[Instructional Reading Level - Per "&amp;(VLOOKUP($D$2,'Reading Report Logic'!$A$2:$B$8,2,FALSE)-1)&amp;"]"))),FALSE)="", "", VLOOKUP($A647,YES_Reading_FLA[],COLUMN(IF(VLOOKUP($D$2,'Reading Report Logic'!$A$2:$B$8,2,FALSE)=1, YES_Reading_FLA[Reading Level June of Previous School Year],INDIRECT("YES_Reading_FLA[Instructional Reading Level - Per "&amp;(VLOOKUP($D$2,'Reading Report Logic'!$A$2:$B$8,2,FALSE)-1)&amp;"]"))), FALSE))),""))),"")</f>
        <v/>
      </c>
      <c r="D647" s="204" t="str" cm="1">
        <f t="array" aca="1" ref="D647" ca="1">IFERROR(
IF($J$2="ELA",
IF(VLOOKUP($A647, YES_Reading_ELA[], COLUMN(INDIRECT("YES_Reading_ELA[Instructional Reading Level - Per "&amp;VLOOKUP($D$2, 'Reading Report Logic'!$A$2:$B$8, 2, FALSE)&amp;"]")), FALSE)="", "",
VLOOKUP($A647,YES_Reading_ELA[], COLUMN(INDIRECT("YES_Reading_ELA[Instructional Reading Level - Per "&amp;VLOOKUP($D$2,'Reading Report Logic'!$A$2:$B$8,2,FALSE)&amp;"]")), FALSE)),
IF($J$2="FLA",
IF(VLOOKUP($A647, YES_Reading_FLA[], COLUMN(INDIRECT("YES_Reading_FLA[Instructional Reading Level - Per "&amp;VLOOKUP($D$2,'Reading Report Logic'!$A$2:$B$8,2,FALSE)&amp;"]")),FALSE)="","",
VLOOKUP($A647,YES_Reading_FLA[],COLUMN(INDIRECT("YES_Reading_FLA[Instructional Reading Level - Per "&amp;VLOOKUP($D$2,'Reading Report Logic'!$A$2:$B$8,2,FALSE)&amp;"]")),FALSE)),
IF($J$2="Combined",
IFERROR(
IF(VLOOKUP($A647, YES_Reading_ELA[], COLUMN(INDIRECT("YES_Reading_ELA[Instructional Reading Level - Per "&amp;VLOOKUP($D$2, 'Reading Report Logic'!$A$2:$B$8,2,FALSE)&amp;"]")), FALSE)="", "",
VLOOKUP($A647,YES_Reading_ELA[],COLUMN(INDIRECT("YES_Reading_ELA[Instructional Reading Level - Per "&amp;VLOOKUP($D$2,'Reading Report Logic'!$A$2:$B$8,2,FALSE)&amp;"]")),FALSE)),
IF(VLOOKUP($A647, YES_Reading_FLA[], COLUMN(INDIRECT("YES_Reading_FLA[Instructional Reading Level - Per "&amp;VLOOKUP($D$2, 'Reading Report Logic'!$A$2:$B$8, 2, FALSE)&amp;"]")),FALSE)="", "", VLOOKUP($A647,YES_Reading_FLA[],COLUMN(INDIRECT("YES_Reading_FLA[Instructional Reading Level - Per "&amp;VLOOKUP($D$2, 'Reading Report Logic'!$A$2:$B$8, 2, FALSE)&amp;"]")),FALSE))),""))),"")</f>
        <v/>
      </c>
      <c r="E647" s="205" t="str" cm="1">
        <f t="array" aca="1" ref="E647" ca="1">IFERROR(
IF($J$2="ELA",
IF(VLOOKUP($A647, YES_Reading_ELA[], COLUMN(INDIRECT("YES_Reading_ELA[Min Expectation - Per "&amp;VLOOKUP($D$2, 'Reading Report Logic'!$A$2:$B$8, 2, FALSE)&amp;"]")), FALSE)="", "",
VLOOKUP($A647,YES_Reading_ELA[], COLUMN(INDIRECT("YES_Reading_ELA[Min Expectation - Per "&amp;VLOOKUP($D$2,'Reading Report Logic'!$A$2:$B$8,2,FALSE)&amp;"]")), FALSE)),
IF($J$2="FLA",
IF(VLOOKUP($A647, YES_Reading_FLA[], COLUMN(INDIRECT("YES_Reading_FLA[Min Expectation - Per "&amp;VLOOKUP($D$2,'Reading Report Logic'!$A$2:$B$8,2,FALSE)&amp;"]")),FALSE)="","",
VLOOKUP($A647,YES_Reading_FLA[],COLUMN(INDIRECT("YES_Reading_FLA[Min Expectation - Per "&amp;VLOOKUP($D$2,'Reading Report Logic'!$A$2:$B$8,2,FALSE)&amp;"]")),FALSE)),
IF($J$2="Combined",
IFERROR(
IF(VLOOKUP($A647, YES_Reading_ELA[], COLUMN(INDIRECT("YES_Reading_ELA[Min Expectation - Per "&amp;VLOOKUP($D$2, 'Reading Report Logic'!$A$2:$B$8,2,FALSE)&amp;"]")), FALSE)="", "",
VLOOKUP($A647,YES_Reading_ELA[],COLUMN(INDIRECT("YES_Reading_ELA[Min Expectation - Per "&amp;VLOOKUP($D$2,'Reading Report Logic'!$A$2:$B$8,2,FALSE)&amp;"]")),FALSE)),
IF(VLOOKUP($A647, YES_Reading_FLA[], COLUMN(INDIRECT("YES_Reading_FLA[Min Expectation - Per "&amp;VLOOKUP($D$2, 'Reading Report Logic'!$A$2:$B$8, 2, FALSE)&amp;"]")),FALSE)="", "", VLOOKUP($A647,YES_Reading_FLA[],COLUMN(INDIRECT("YES_Reading_FLA[Min Expectation - Per "&amp;VLOOKUP($D$2, 'Reading Report Logic'!$A$2:$B$8, 2, FALSE)&amp;"]")),FALSE))),""))),"")</f>
        <v/>
      </c>
      <c r="F647" s="205" t="str" cm="1">
        <f t="array" aca="1" ref="F647" ca="1">IFERROR(
IF($J$2="ELA",
IF(VLOOKUP($A647, YES_Reading_ELA[], COLUMN(INDIRECT("YES_Reading_ELA[Max Expectation - Per "&amp;VLOOKUP($D$2, 'Reading Report Logic'!$A$2:$B$8, 2, FALSE)&amp;"]")), FALSE)="", "",
VLOOKUP($A647,YES_Reading_ELA[], COLUMN(INDIRECT("YES_Reading_ELA[Max Expectation - Per "&amp;VLOOKUP($D$2,'Reading Report Logic'!$A$2:$B$8,2,FALSE)&amp;"]")), FALSE)),
IF($J$2="FLA",
IF(VLOOKUP($A647, YES_Reading_FLA[], COLUMN(INDIRECT("YES_Reading_FLA[Max Expectation - Per "&amp;VLOOKUP($D$2,'Reading Report Logic'!$A$2:$B$8,2,FALSE)&amp;"]")),FALSE)="","",
VLOOKUP($A647,YES_Reading_FLA[],COLUMN(INDIRECT("YES_Reading_FLA[Max Expectation - Per "&amp;VLOOKUP($D$2,'Reading Report Logic'!$A$2:$B$8,2,FALSE)&amp;"]")),FALSE)),
IF($J$2="Combined",
IFERROR(
IF(VLOOKUP($A647, YES_Reading_ELA[], COLUMN(INDIRECT("YES_Reading_ELA[Max Expectation - Per "&amp;VLOOKUP($D$2, 'Reading Report Logic'!$A$2:$B$8,2,FALSE)&amp;"]")), FALSE)="", "",
VLOOKUP($A647,YES_Reading_ELA[],COLUMN(INDIRECT("YES_Reading_ELA[Max Expectation - Per "&amp;VLOOKUP($D$2,'Reading Report Logic'!$A$2:$B$8,2,FALSE)&amp;"]")),FALSE)),
IF(VLOOKUP($A647, YES_Reading_FLA[], COLUMN(INDIRECT("YES_Reading_FLA[Max Expectation - Per "&amp;VLOOKUP($D$2, 'Reading Report Logic'!$A$2:$B$8, 2, FALSE)&amp;"]")),FALSE)="", "", VLOOKUP($A647,YES_Reading_FLA[],COLUMN(INDIRECT("YES_Reading_FLA[Max Expectation - Per "&amp;VLOOKUP($D$2, 'Reading Report Logic'!$A$2:$B$8, 2, FALSE)&amp;"]")),FALSE))),""))),"")</f>
        <v/>
      </c>
      <c r="G647" s="205" t="str" cm="1">
        <f t="array" aca="1" ref="G647" ca="1">IFERROR(
IF($J$2="ELA",
IF(VLOOKUP($A647, YES_Reading_ELA[], COLUMN(INDIRECT("YES_Reading_ELA[Difference - Per "&amp;VLOOKUP($D$2, 'Reading Report Logic'!$A$2:$B$8, 2, FALSE)&amp;"]")), FALSE)="", "",
VLOOKUP($A647,YES_Reading_ELA[], COLUMN(INDIRECT("YES_Reading_ELA[Difference - Per "&amp;VLOOKUP($D$2,'Reading Report Logic'!$A$2:$B$8,2,FALSE)&amp;"]")), FALSE)),
IF($J$2="FLA",
IF(VLOOKUP($A647, YES_Reading_FLA[], COLUMN(INDIRECT("YES_Reading_FLA[Difference - Per "&amp;VLOOKUP($D$2,'Reading Report Logic'!$A$2:$B$8,2,FALSE)&amp;"]")),FALSE)="","",
VLOOKUP($A647,YES_Reading_FLA[],COLUMN(INDIRECT("YES_Reading_FLA[Difference - Per "&amp;VLOOKUP($D$2,'Reading Report Logic'!$A$2:$B$8,2,FALSE)&amp;"]")),FALSE)),
IF($J$2="Combined",
IFERROR(
IF(VLOOKUP($A647, YES_Reading_ELA[], COLUMN(INDIRECT("YES_Reading_ELA[Difference - Per "&amp;VLOOKUP($D$2, 'Reading Report Logic'!$A$2:$B$8,2,FALSE)&amp;"]")), FALSE)="", "",
VLOOKUP($A647,YES_Reading_ELA[],COLUMN(INDIRECT("YES_Reading_ELA[Difference - Per "&amp;VLOOKUP($D$2,'Reading Report Logic'!$A$2:$B$8,2,FALSE)&amp;"]")),FALSE)),
IF(VLOOKUP($A647, YES_Reading_FLA[], COLUMN(INDIRECT("YES_Reading_FLA[Difference - Per "&amp;VLOOKUP($D$2, 'Reading Report Logic'!$A$2:$B$8, 2, FALSE)&amp;"]")),FALSE)="", "", VLOOKUP($A647,YES_Reading_FLA[],COLUMN(INDIRECT("YES_Reading_FLA[Difference - Per "&amp;VLOOKUP($D$2, 'Reading Report Logic'!$A$2:$B$8, 2, FALSE)&amp;"]")),FALSE))),""))),"")</f>
        <v/>
      </c>
      <c r="H647" s="206" t="str">
        <f ca="1">IFERROR(VLOOKUP('Teacher Reading Pull Sheets'!$D647,_xlfn.VSTACK('ELA Reading Logic'!$A$22:$B$48,'FLA Reading Logic'!$A$22:$B$53),2,FALSE)-VLOOKUP('Teacher Reading Pull Sheets'!$C647,_xlfn.VSTACK('ELA Reading Logic'!$A$22:$B$48,'FLA Reading Logic'!$A$22:$B$53),2,FALSE),"")</f>
        <v/>
      </c>
      <c r="I647" s="212"/>
      <c r="J647" s="206"/>
      <c r="K647" s="197" t="str" cm="1">
        <f t="array" ref="K647">IFERROR(
IF($J$2="ELA",
IF(VLOOKUP($A647, YES_Reading_ELA[], COLUMN(YES_Reading_ELA[Self-Identified as African Descent]), FALSE)="", "",
VLOOKUP($A647,YES_Reading_ELA[], COLUMN(YES_Reading_ELA[Self-Identified as African Descent]), FALSE)),
IF($J$2="FLA",
IF(VLOOKUP($A647, YES_Reading_FLA[], COLUMN(YES_Reading_FLA[Self-Identified as African Descent]),FALSE)="","",
VLOOKUP($A647,YES_Reading_FLA[],COLUMN(YES_Reading_FLA[Self-Identified as African Descent]),FALSE)),
IF($J$2="Combined",
IFERROR(
IF(VLOOKUP($A647, YES_Reading_ELA[], COLUMN(YES_Reading_ELA[Self-Identified as African Descent]), FALSE)="", "",
VLOOKUP($A647,YES_Reading_ELA[],COLUMN(YES_Reading_ELA[Self-Identified as African Descent]),FALSE)),
IF(VLOOKUP($A647, YES_Reading_FLA[], COLUMN(YES_Reading_FLA[Self-Identified as African Descent]),FALSE)="", "", VLOOKUP($A647,YES_Reading_FLA[],COLUMN(YES_Reading_FLA[Self-Identified as African Descent]),FALSE))),""))),"")</f>
        <v/>
      </c>
      <c r="L647" s="73" t="str" cm="1">
        <f t="array" ref="L647">IFERROR(
IF($J$2="ELA",
IF(VLOOKUP($A647, YES_Reading_ELA[], COLUMN(YES_Reading_ELA[Self-Identified as Indigenous]), FALSE)="", "",
VLOOKUP($A647,YES_Reading_ELA[], COLUMN(YES_Reading_ELA[Self-Identified as Indigenous]), FALSE)),
IF($J$2="FLA",
IF(VLOOKUP($A647, YES_Reading_FLA[], COLUMN(YES_Reading_FLA[Self-Identified as Indigenous]),FALSE)="","",
VLOOKUP($A647,YES_Reading_FLA[],COLUMN(YES_Reading_FLA[Self-Identified as Indigenous]),FALSE)),
IF($J$2="Combined",
IFERROR(
IF(VLOOKUP($A647, YES_Reading_ELA[], COLUMN(YES_Reading_ELA[Self-Identified as Indigenous]), FALSE)="", "",
VLOOKUP($A647,YES_Reading_ELA[],COLUMN(YES_Reading_ELA[Self-Identified as Indigenous]),FALSE)),
IF(VLOOKUP($A647, YES_Reading_FLA[], COLUMN(YES_Reading_FLA[Self-Identified as Indigenous]),FALSE)="", "", VLOOKUP($A647,YES_Reading_FLA[],COLUMN(YES_Reading_FLA[Self-Identified as Indigenous]),FALSE))),""))),"")</f>
        <v/>
      </c>
    </row>
    <row r="648" spans="1:12" ht="19.5" customHeight="1" x14ac:dyDescent="0.25">
      <c r="A648" s="217"/>
      <c r="B648" s="220" t="str">
        <f>IFERROR(VLOOKUP(A648,_xlfn.VSTACK(YES_Reading_ELA[],YES_Reading_FLA[]),2,FALSE),"")</f>
        <v/>
      </c>
      <c r="C648" s="203" t="str" cm="1">
        <f t="array" aca="1" ref="C648" ca="1">IFERROR(
IF($J$2="ELA",
IF(VLOOKUP($A648, YES_Reading_ELA[], COLUMN(IF(VLOOKUP($D$2, 'Reading Report Logic'!$A$2:$B$8, 2, FALSE)=1, YES_Reading_ELA[Reading Level June of Previous School Year], INDIRECT("YES_Reading_ELA[Instructional Reading Level - Per "&amp;(VLOOKUP($D$2,'Reading Report Logic'!$A$2:$B$8,2,FALSE)-1)&amp;"]"))), FALSE)="", "",
VLOOKUP($A648,YES_Reading_ELA[], COLUMN(IF(VLOOKUP($D$2,'Reading Report Logic'!$A$2:$B$8,2,FALSE)=1, YES_Reading_ELA[Reading Level June of Previous School Year],INDIRECT("YES_Reading_ELA[Instructional Reading Level - Per "&amp;(VLOOKUP($D$2,'Reading Report Logic'!$A$2:$B$8,2,FALSE)-1)&amp;"]"))), FALSE)),
IF($J$2="FLA",
IF(VLOOKUP($A648, YES_Reading_FLA[], COLUMN(IF(VLOOKUP($D$2,'Reading Report Logic'!$A$2:$B$8,2,FALSE)=1, YES_Reading_FLA[Reading Level June of Previous School Year],INDIRECT("YES_Reading_FLA[Instructional Reading Level - Per "&amp;(VLOOKUP($D$2,'Reading Report Logic'!$A$2:$B$8,2,FALSE)-1)&amp;"]"))),FALSE)="","",
VLOOKUP($A648,YES_Reading_FLA[], COLUMN(IF(VLOOKUP($D$2,'Reading Report Logic'!$A$2:$B$8,2,FALSE)=1, YES_Reading_FLA[Reading Level June of Previous School Year],INDIRECT("YES_Reading_FLA[Instructional Reading Level - Per "&amp;(VLOOKUP($D$2,'Reading Report Logic'!$A$2:$B$8,2,FALSE)-1)&amp;"]"))),FALSE)),
IF($J$2="Combined",
IFERROR(
IF(VLOOKUP($A648, YES_Reading_ELA[], COLUMN(IF(VLOOKUP($D$2,'Reading Report Logic'!$A$2:$B$8,2,FALSE)=1, YES_Reading_ELA[Reading Level June of Previous School Year],INDIRECT("YES_Reading_ELA[Instructional Reading Level - Per "&amp;(VLOOKUP($D$2,'Reading Report Logic'!$A$2:$B$8,2,FALSE)-1)&amp;"]"))), FALSE)="", "",
VLOOKUP($A648,YES_Reading_ELA[],COLUMN(IF(VLOOKUP($D$2,'Reading Report Logic'!$A$2:$B$8,2,FALSE)=1, YES_Reading_ELA[Reading Level June of Previous School Year],INDIRECT("YES_Reading_ELA[Instructional Reading Level - Per "&amp;(VLOOKUP($D$2,'Reading Report Logic'!$A$2:$B$8,2,FALSE)-1)&amp;"]"))),FALSE)),
IF(VLOOKUP($A648, YES_Reading_FLA[], COLUMN(IF(VLOOKUP($D$2,'Reading Report Logic'!$A$2:$B$8,2,FALSE)=1, YES_Reading_FLA[Reading Level June of Previous School Year],INDIRECT("YES_Reading_FLA[Instructional Reading Level - Per "&amp;(VLOOKUP($D$2,'Reading Report Logic'!$A$2:$B$8,2,FALSE)-1)&amp;"]"))),FALSE)="", "", VLOOKUP($A648,YES_Reading_FLA[],COLUMN(IF(VLOOKUP($D$2,'Reading Report Logic'!$A$2:$B$8,2,FALSE)=1, YES_Reading_FLA[Reading Level June of Previous School Year],INDIRECT("YES_Reading_FLA[Instructional Reading Level - Per "&amp;(VLOOKUP($D$2,'Reading Report Logic'!$A$2:$B$8,2,FALSE)-1)&amp;"]"))), FALSE))),""))),"")</f>
        <v/>
      </c>
      <c r="D648" s="204" t="str" cm="1">
        <f t="array" aca="1" ref="D648" ca="1">IFERROR(
IF($J$2="ELA",
IF(VLOOKUP($A648, YES_Reading_ELA[], COLUMN(INDIRECT("YES_Reading_ELA[Instructional Reading Level - Per "&amp;VLOOKUP($D$2, 'Reading Report Logic'!$A$2:$B$8, 2, FALSE)&amp;"]")), FALSE)="", "",
VLOOKUP($A648,YES_Reading_ELA[], COLUMN(INDIRECT("YES_Reading_ELA[Instructional Reading Level - Per "&amp;VLOOKUP($D$2,'Reading Report Logic'!$A$2:$B$8,2,FALSE)&amp;"]")), FALSE)),
IF($J$2="FLA",
IF(VLOOKUP($A648, YES_Reading_FLA[], COLUMN(INDIRECT("YES_Reading_FLA[Instructional Reading Level - Per "&amp;VLOOKUP($D$2,'Reading Report Logic'!$A$2:$B$8,2,FALSE)&amp;"]")),FALSE)="","",
VLOOKUP($A648,YES_Reading_FLA[],COLUMN(INDIRECT("YES_Reading_FLA[Instructional Reading Level - Per "&amp;VLOOKUP($D$2,'Reading Report Logic'!$A$2:$B$8,2,FALSE)&amp;"]")),FALSE)),
IF($J$2="Combined",
IFERROR(
IF(VLOOKUP($A648, YES_Reading_ELA[], COLUMN(INDIRECT("YES_Reading_ELA[Instructional Reading Level - Per "&amp;VLOOKUP($D$2, 'Reading Report Logic'!$A$2:$B$8,2,FALSE)&amp;"]")), FALSE)="", "",
VLOOKUP($A648,YES_Reading_ELA[],COLUMN(INDIRECT("YES_Reading_ELA[Instructional Reading Level - Per "&amp;VLOOKUP($D$2,'Reading Report Logic'!$A$2:$B$8,2,FALSE)&amp;"]")),FALSE)),
IF(VLOOKUP($A648, YES_Reading_FLA[], COLUMN(INDIRECT("YES_Reading_FLA[Instructional Reading Level - Per "&amp;VLOOKUP($D$2, 'Reading Report Logic'!$A$2:$B$8, 2, FALSE)&amp;"]")),FALSE)="", "", VLOOKUP($A648,YES_Reading_FLA[],COLUMN(INDIRECT("YES_Reading_FLA[Instructional Reading Level - Per "&amp;VLOOKUP($D$2, 'Reading Report Logic'!$A$2:$B$8, 2, FALSE)&amp;"]")),FALSE))),""))),"")</f>
        <v/>
      </c>
      <c r="E648" s="205" t="str" cm="1">
        <f t="array" aca="1" ref="E648" ca="1">IFERROR(
IF($J$2="ELA",
IF(VLOOKUP($A648, YES_Reading_ELA[], COLUMN(INDIRECT("YES_Reading_ELA[Min Expectation - Per "&amp;VLOOKUP($D$2, 'Reading Report Logic'!$A$2:$B$8, 2, FALSE)&amp;"]")), FALSE)="", "",
VLOOKUP($A648,YES_Reading_ELA[], COLUMN(INDIRECT("YES_Reading_ELA[Min Expectation - Per "&amp;VLOOKUP($D$2,'Reading Report Logic'!$A$2:$B$8,2,FALSE)&amp;"]")), FALSE)),
IF($J$2="FLA",
IF(VLOOKUP($A648, YES_Reading_FLA[], COLUMN(INDIRECT("YES_Reading_FLA[Min Expectation - Per "&amp;VLOOKUP($D$2,'Reading Report Logic'!$A$2:$B$8,2,FALSE)&amp;"]")),FALSE)="","",
VLOOKUP($A648,YES_Reading_FLA[],COLUMN(INDIRECT("YES_Reading_FLA[Min Expectation - Per "&amp;VLOOKUP($D$2,'Reading Report Logic'!$A$2:$B$8,2,FALSE)&amp;"]")),FALSE)),
IF($J$2="Combined",
IFERROR(
IF(VLOOKUP($A648, YES_Reading_ELA[], COLUMN(INDIRECT("YES_Reading_ELA[Min Expectation - Per "&amp;VLOOKUP($D$2, 'Reading Report Logic'!$A$2:$B$8,2,FALSE)&amp;"]")), FALSE)="", "",
VLOOKUP($A648,YES_Reading_ELA[],COLUMN(INDIRECT("YES_Reading_ELA[Min Expectation - Per "&amp;VLOOKUP($D$2,'Reading Report Logic'!$A$2:$B$8,2,FALSE)&amp;"]")),FALSE)),
IF(VLOOKUP($A648, YES_Reading_FLA[], COLUMN(INDIRECT("YES_Reading_FLA[Min Expectation - Per "&amp;VLOOKUP($D$2, 'Reading Report Logic'!$A$2:$B$8, 2, FALSE)&amp;"]")),FALSE)="", "", VLOOKUP($A648,YES_Reading_FLA[],COLUMN(INDIRECT("YES_Reading_FLA[Min Expectation - Per "&amp;VLOOKUP($D$2, 'Reading Report Logic'!$A$2:$B$8, 2, FALSE)&amp;"]")),FALSE))),""))),"")</f>
        <v/>
      </c>
      <c r="F648" s="205" t="str" cm="1">
        <f t="array" aca="1" ref="F648" ca="1">IFERROR(
IF($J$2="ELA",
IF(VLOOKUP($A648, YES_Reading_ELA[], COLUMN(INDIRECT("YES_Reading_ELA[Max Expectation - Per "&amp;VLOOKUP($D$2, 'Reading Report Logic'!$A$2:$B$8, 2, FALSE)&amp;"]")), FALSE)="", "",
VLOOKUP($A648,YES_Reading_ELA[], COLUMN(INDIRECT("YES_Reading_ELA[Max Expectation - Per "&amp;VLOOKUP($D$2,'Reading Report Logic'!$A$2:$B$8,2,FALSE)&amp;"]")), FALSE)),
IF($J$2="FLA",
IF(VLOOKUP($A648, YES_Reading_FLA[], COLUMN(INDIRECT("YES_Reading_FLA[Max Expectation - Per "&amp;VLOOKUP($D$2,'Reading Report Logic'!$A$2:$B$8,2,FALSE)&amp;"]")),FALSE)="","",
VLOOKUP($A648,YES_Reading_FLA[],COLUMN(INDIRECT("YES_Reading_FLA[Max Expectation - Per "&amp;VLOOKUP($D$2,'Reading Report Logic'!$A$2:$B$8,2,FALSE)&amp;"]")),FALSE)),
IF($J$2="Combined",
IFERROR(
IF(VLOOKUP($A648, YES_Reading_ELA[], COLUMN(INDIRECT("YES_Reading_ELA[Max Expectation - Per "&amp;VLOOKUP($D$2, 'Reading Report Logic'!$A$2:$B$8,2,FALSE)&amp;"]")), FALSE)="", "",
VLOOKUP($A648,YES_Reading_ELA[],COLUMN(INDIRECT("YES_Reading_ELA[Max Expectation - Per "&amp;VLOOKUP($D$2,'Reading Report Logic'!$A$2:$B$8,2,FALSE)&amp;"]")),FALSE)),
IF(VLOOKUP($A648, YES_Reading_FLA[], COLUMN(INDIRECT("YES_Reading_FLA[Max Expectation - Per "&amp;VLOOKUP($D$2, 'Reading Report Logic'!$A$2:$B$8, 2, FALSE)&amp;"]")),FALSE)="", "", VLOOKUP($A648,YES_Reading_FLA[],COLUMN(INDIRECT("YES_Reading_FLA[Max Expectation - Per "&amp;VLOOKUP($D$2, 'Reading Report Logic'!$A$2:$B$8, 2, FALSE)&amp;"]")),FALSE))),""))),"")</f>
        <v/>
      </c>
      <c r="G648" s="205" t="str" cm="1">
        <f t="array" aca="1" ref="G648" ca="1">IFERROR(
IF($J$2="ELA",
IF(VLOOKUP($A648, YES_Reading_ELA[], COLUMN(INDIRECT("YES_Reading_ELA[Difference - Per "&amp;VLOOKUP($D$2, 'Reading Report Logic'!$A$2:$B$8, 2, FALSE)&amp;"]")), FALSE)="", "",
VLOOKUP($A648,YES_Reading_ELA[], COLUMN(INDIRECT("YES_Reading_ELA[Difference - Per "&amp;VLOOKUP($D$2,'Reading Report Logic'!$A$2:$B$8,2,FALSE)&amp;"]")), FALSE)),
IF($J$2="FLA",
IF(VLOOKUP($A648, YES_Reading_FLA[], COLUMN(INDIRECT("YES_Reading_FLA[Difference - Per "&amp;VLOOKUP($D$2,'Reading Report Logic'!$A$2:$B$8,2,FALSE)&amp;"]")),FALSE)="","",
VLOOKUP($A648,YES_Reading_FLA[],COLUMN(INDIRECT("YES_Reading_FLA[Difference - Per "&amp;VLOOKUP($D$2,'Reading Report Logic'!$A$2:$B$8,2,FALSE)&amp;"]")),FALSE)),
IF($J$2="Combined",
IFERROR(
IF(VLOOKUP($A648, YES_Reading_ELA[], COLUMN(INDIRECT("YES_Reading_ELA[Difference - Per "&amp;VLOOKUP($D$2, 'Reading Report Logic'!$A$2:$B$8,2,FALSE)&amp;"]")), FALSE)="", "",
VLOOKUP($A648,YES_Reading_ELA[],COLUMN(INDIRECT("YES_Reading_ELA[Difference - Per "&amp;VLOOKUP($D$2,'Reading Report Logic'!$A$2:$B$8,2,FALSE)&amp;"]")),FALSE)),
IF(VLOOKUP($A648, YES_Reading_FLA[], COLUMN(INDIRECT("YES_Reading_FLA[Difference - Per "&amp;VLOOKUP($D$2, 'Reading Report Logic'!$A$2:$B$8, 2, FALSE)&amp;"]")),FALSE)="", "", VLOOKUP($A648,YES_Reading_FLA[],COLUMN(INDIRECT("YES_Reading_FLA[Difference - Per "&amp;VLOOKUP($D$2, 'Reading Report Logic'!$A$2:$B$8, 2, FALSE)&amp;"]")),FALSE))),""))),"")</f>
        <v/>
      </c>
      <c r="H648" s="206" t="str">
        <f ca="1">IFERROR(VLOOKUP('Teacher Reading Pull Sheets'!$D648,_xlfn.VSTACK('ELA Reading Logic'!$A$22:$B$48,'FLA Reading Logic'!$A$22:$B$53),2,FALSE)-VLOOKUP('Teacher Reading Pull Sheets'!$C648,_xlfn.VSTACK('ELA Reading Logic'!$A$22:$B$48,'FLA Reading Logic'!$A$22:$B$53),2,FALSE),"")</f>
        <v/>
      </c>
      <c r="I648" s="212"/>
      <c r="J648" s="206"/>
      <c r="K648" s="197" t="str" cm="1">
        <f t="array" ref="K648">IFERROR(
IF($J$2="ELA",
IF(VLOOKUP($A648, YES_Reading_ELA[], COLUMN(YES_Reading_ELA[Self-Identified as African Descent]), FALSE)="", "",
VLOOKUP($A648,YES_Reading_ELA[], COLUMN(YES_Reading_ELA[Self-Identified as African Descent]), FALSE)),
IF($J$2="FLA",
IF(VLOOKUP($A648, YES_Reading_FLA[], COLUMN(YES_Reading_FLA[Self-Identified as African Descent]),FALSE)="","",
VLOOKUP($A648,YES_Reading_FLA[],COLUMN(YES_Reading_FLA[Self-Identified as African Descent]),FALSE)),
IF($J$2="Combined",
IFERROR(
IF(VLOOKUP($A648, YES_Reading_ELA[], COLUMN(YES_Reading_ELA[Self-Identified as African Descent]), FALSE)="", "",
VLOOKUP($A648,YES_Reading_ELA[],COLUMN(YES_Reading_ELA[Self-Identified as African Descent]),FALSE)),
IF(VLOOKUP($A648, YES_Reading_FLA[], COLUMN(YES_Reading_FLA[Self-Identified as African Descent]),FALSE)="", "", VLOOKUP($A648,YES_Reading_FLA[],COLUMN(YES_Reading_FLA[Self-Identified as African Descent]),FALSE))),""))),"")</f>
        <v/>
      </c>
      <c r="L648" s="73" t="str" cm="1">
        <f t="array" ref="L648">IFERROR(
IF($J$2="ELA",
IF(VLOOKUP($A648, YES_Reading_ELA[], COLUMN(YES_Reading_ELA[Self-Identified as Indigenous]), FALSE)="", "",
VLOOKUP($A648,YES_Reading_ELA[], COLUMN(YES_Reading_ELA[Self-Identified as Indigenous]), FALSE)),
IF($J$2="FLA",
IF(VLOOKUP($A648, YES_Reading_FLA[], COLUMN(YES_Reading_FLA[Self-Identified as Indigenous]),FALSE)="","",
VLOOKUP($A648,YES_Reading_FLA[],COLUMN(YES_Reading_FLA[Self-Identified as Indigenous]),FALSE)),
IF($J$2="Combined",
IFERROR(
IF(VLOOKUP($A648, YES_Reading_ELA[], COLUMN(YES_Reading_ELA[Self-Identified as Indigenous]), FALSE)="", "",
VLOOKUP($A648,YES_Reading_ELA[],COLUMN(YES_Reading_ELA[Self-Identified as Indigenous]),FALSE)),
IF(VLOOKUP($A648, YES_Reading_FLA[], COLUMN(YES_Reading_FLA[Self-Identified as Indigenous]),FALSE)="", "", VLOOKUP($A648,YES_Reading_FLA[],COLUMN(YES_Reading_FLA[Self-Identified as Indigenous]),FALSE))),""))),"")</f>
        <v/>
      </c>
    </row>
    <row r="649" spans="1:12" ht="19.5" customHeight="1" x14ac:dyDescent="0.25">
      <c r="A649" s="217"/>
      <c r="B649" s="220" t="str">
        <f>IFERROR(VLOOKUP(A649,_xlfn.VSTACK(YES_Reading_ELA[],YES_Reading_FLA[]),2,FALSE),"")</f>
        <v/>
      </c>
      <c r="C649" s="203" t="str" cm="1">
        <f t="array" aca="1" ref="C649" ca="1">IFERROR(
IF($J$2="ELA",
IF(VLOOKUP($A649, YES_Reading_ELA[], COLUMN(IF(VLOOKUP($D$2, 'Reading Report Logic'!$A$2:$B$8, 2, FALSE)=1, YES_Reading_ELA[Reading Level June of Previous School Year], INDIRECT("YES_Reading_ELA[Instructional Reading Level - Per "&amp;(VLOOKUP($D$2,'Reading Report Logic'!$A$2:$B$8,2,FALSE)-1)&amp;"]"))), FALSE)="", "",
VLOOKUP($A649,YES_Reading_ELA[], COLUMN(IF(VLOOKUP($D$2,'Reading Report Logic'!$A$2:$B$8,2,FALSE)=1, YES_Reading_ELA[Reading Level June of Previous School Year],INDIRECT("YES_Reading_ELA[Instructional Reading Level - Per "&amp;(VLOOKUP($D$2,'Reading Report Logic'!$A$2:$B$8,2,FALSE)-1)&amp;"]"))), FALSE)),
IF($J$2="FLA",
IF(VLOOKUP($A649, YES_Reading_FLA[], COLUMN(IF(VLOOKUP($D$2,'Reading Report Logic'!$A$2:$B$8,2,FALSE)=1, YES_Reading_FLA[Reading Level June of Previous School Year],INDIRECT("YES_Reading_FLA[Instructional Reading Level - Per "&amp;(VLOOKUP($D$2,'Reading Report Logic'!$A$2:$B$8,2,FALSE)-1)&amp;"]"))),FALSE)="","",
VLOOKUP($A649,YES_Reading_FLA[], COLUMN(IF(VLOOKUP($D$2,'Reading Report Logic'!$A$2:$B$8,2,FALSE)=1, YES_Reading_FLA[Reading Level June of Previous School Year],INDIRECT("YES_Reading_FLA[Instructional Reading Level - Per "&amp;(VLOOKUP($D$2,'Reading Report Logic'!$A$2:$B$8,2,FALSE)-1)&amp;"]"))),FALSE)),
IF($J$2="Combined",
IFERROR(
IF(VLOOKUP($A649, YES_Reading_ELA[], COLUMN(IF(VLOOKUP($D$2,'Reading Report Logic'!$A$2:$B$8,2,FALSE)=1, YES_Reading_ELA[Reading Level June of Previous School Year],INDIRECT("YES_Reading_ELA[Instructional Reading Level - Per "&amp;(VLOOKUP($D$2,'Reading Report Logic'!$A$2:$B$8,2,FALSE)-1)&amp;"]"))), FALSE)="", "",
VLOOKUP($A649,YES_Reading_ELA[],COLUMN(IF(VLOOKUP($D$2,'Reading Report Logic'!$A$2:$B$8,2,FALSE)=1, YES_Reading_ELA[Reading Level June of Previous School Year],INDIRECT("YES_Reading_ELA[Instructional Reading Level - Per "&amp;(VLOOKUP($D$2,'Reading Report Logic'!$A$2:$B$8,2,FALSE)-1)&amp;"]"))),FALSE)),
IF(VLOOKUP($A649, YES_Reading_FLA[], COLUMN(IF(VLOOKUP($D$2,'Reading Report Logic'!$A$2:$B$8,2,FALSE)=1, YES_Reading_FLA[Reading Level June of Previous School Year],INDIRECT("YES_Reading_FLA[Instructional Reading Level - Per "&amp;(VLOOKUP($D$2,'Reading Report Logic'!$A$2:$B$8,2,FALSE)-1)&amp;"]"))),FALSE)="", "", VLOOKUP($A649,YES_Reading_FLA[],COLUMN(IF(VLOOKUP($D$2,'Reading Report Logic'!$A$2:$B$8,2,FALSE)=1, YES_Reading_FLA[Reading Level June of Previous School Year],INDIRECT("YES_Reading_FLA[Instructional Reading Level - Per "&amp;(VLOOKUP($D$2,'Reading Report Logic'!$A$2:$B$8,2,FALSE)-1)&amp;"]"))), FALSE))),""))),"")</f>
        <v/>
      </c>
      <c r="D649" s="204" t="str" cm="1">
        <f t="array" aca="1" ref="D649" ca="1">IFERROR(
IF($J$2="ELA",
IF(VLOOKUP($A649, YES_Reading_ELA[], COLUMN(INDIRECT("YES_Reading_ELA[Instructional Reading Level - Per "&amp;VLOOKUP($D$2, 'Reading Report Logic'!$A$2:$B$8, 2, FALSE)&amp;"]")), FALSE)="", "",
VLOOKUP($A649,YES_Reading_ELA[], COLUMN(INDIRECT("YES_Reading_ELA[Instructional Reading Level - Per "&amp;VLOOKUP($D$2,'Reading Report Logic'!$A$2:$B$8,2,FALSE)&amp;"]")), FALSE)),
IF($J$2="FLA",
IF(VLOOKUP($A649, YES_Reading_FLA[], COLUMN(INDIRECT("YES_Reading_FLA[Instructional Reading Level - Per "&amp;VLOOKUP($D$2,'Reading Report Logic'!$A$2:$B$8,2,FALSE)&amp;"]")),FALSE)="","",
VLOOKUP($A649,YES_Reading_FLA[],COLUMN(INDIRECT("YES_Reading_FLA[Instructional Reading Level - Per "&amp;VLOOKUP($D$2,'Reading Report Logic'!$A$2:$B$8,2,FALSE)&amp;"]")),FALSE)),
IF($J$2="Combined",
IFERROR(
IF(VLOOKUP($A649, YES_Reading_ELA[], COLUMN(INDIRECT("YES_Reading_ELA[Instructional Reading Level - Per "&amp;VLOOKUP($D$2, 'Reading Report Logic'!$A$2:$B$8,2,FALSE)&amp;"]")), FALSE)="", "",
VLOOKUP($A649,YES_Reading_ELA[],COLUMN(INDIRECT("YES_Reading_ELA[Instructional Reading Level - Per "&amp;VLOOKUP($D$2,'Reading Report Logic'!$A$2:$B$8,2,FALSE)&amp;"]")),FALSE)),
IF(VLOOKUP($A649, YES_Reading_FLA[], COLUMN(INDIRECT("YES_Reading_FLA[Instructional Reading Level - Per "&amp;VLOOKUP($D$2, 'Reading Report Logic'!$A$2:$B$8, 2, FALSE)&amp;"]")),FALSE)="", "", VLOOKUP($A649,YES_Reading_FLA[],COLUMN(INDIRECT("YES_Reading_FLA[Instructional Reading Level - Per "&amp;VLOOKUP($D$2, 'Reading Report Logic'!$A$2:$B$8, 2, FALSE)&amp;"]")),FALSE))),""))),"")</f>
        <v/>
      </c>
      <c r="E649" s="205" t="str" cm="1">
        <f t="array" aca="1" ref="E649" ca="1">IFERROR(
IF($J$2="ELA",
IF(VLOOKUP($A649, YES_Reading_ELA[], COLUMN(INDIRECT("YES_Reading_ELA[Min Expectation - Per "&amp;VLOOKUP($D$2, 'Reading Report Logic'!$A$2:$B$8, 2, FALSE)&amp;"]")), FALSE)="", "",
VLOOKUP($A649,YES_Reading_ELA[], COLUMN(INDIRECT("YES_Reading_ELA[Min Expectation - Per "&amp;VLOOKUP($D$2,'Reading Report Logic'!$A$2:$B$8,2,FALSE)&amp;"]")), FALSE)),
IF($J$2="FLA",
IF(VLOOKUP($A649, YES_Reading_FLA[], COLUMN(INDIRECT("YES_Reading_FLA[Min Expectation - Per "&amp;VLOOKUP($D$2,'Reading Report Logic'!$A$2:$B$8,2,FALSE)&amp;"]")),FALSE)="","",
VLOOKUP($A649,YES_Reading_FLA[],COLUMN(INDIRECT("YES_Reading_FLA[Min Expectation - Per "&amp;VLOOKUP($D$2,'Reading Report Logic'!$A$2:$B$8,2,FALSE)&amp;"]")),FALSE)),
IF($J$2="Combined",
IFERROR(
IF(VLOOKUP($A649, YES_Reading_ELA[], COLUMN(INDIRECT("YES_Reading_ELA[Min Expectation - Per "&amp;VLOOKUP($D$2, 'Reading Report Logic'!$A$2:$B$8,2,FALSE)&amp;"]")), FALSE)="", "",
VLOOKUP($A649,YES_Reading_ELA[],COLUMN(INDIRECT("YES_Reading_ELA[Min Expectation - Per "&amp;VLOOKUP($D$2,'Reading Report Logic'!$A$2:$B$8,2,FALSE)&amp;"]")),FALSE)),
IF(VLOOKUP($A649, YES_Reading_FLA[], COLUMN(INDIRECT("YES_Reading_FLA[Min Expectation - Per "&amp;VLOOKUP($D$2, 'Reading Report Logic'!$A$2:$B$8, 2, FALSE)&amp;"]")),FALSE)="", "", VLOOKUP($A649,YES_Reading_FLA[],COLUMN(INDIRECT("YES_Reading_FLA[Min Expectation - Per "&amp;VLOOKUP($D$2, 'Reading Report Logic'!$A$2:$B$8, 2, FALSE)&amp;"]")),FALSE))),""))),"")</f>
        <v/>
      </c>
      <c r="F649" s="205" t="str" cm="1">
        <f t="array" aca="1" ref="F649" ca="1">IFERROR(
IF($J$2="ELA",
IF(VLOOKUP($A649, YES_Reading_ELA[], COLUMN(INDIRECT("YES_Reading_ELA[Max Expectation - Per "&amp;VLOOKUP($D$2, 'Reading Report Logic'!$A$2:$B$8, 2, FALSE)&amp;"]")), FALSE)="", "",
VLOOKUP($A649,YES_Reading_ELA[], COLUMN(INDIRECT("YES_Reading_ELA[Max Expectation - Per "&amp;VLOOKUP($D$2,'Reading Report Logic'!$A$2:$B$8,2,FALSE)&amp;"]")), FALSE)),
IF($J$2="FLA",
IF(VLOOKUP($A649, YES_Reading_FLA[], COLUMN(INDIRECT("YES_Reading_FLA[Max Expectation - Per "&amp;VLOOKUP($D$2,'Reading Report Logic'!$A$2:$B$8,2,FALSE)&amp;"]")),FALSE)="","",
VLOOKUP($A649,YES_Reading_FLA[],COLUMN(INDIRECT("YES_Reading_FLA[Max Expectation - Per "&amp;VLOOKUP($D$2,'Reading Report Logic'!$A$2:$B$8,2,FALSE)&amp;"]")),FALSE)),
IF($J$2="Combined",
IFERROR(
IF(VLOOKUP($A649, YES_Reading_ELA[], COLUMN(INDIRECT("YES_Reading_ELA[Max Expectation - Per "&amp;VLOOKUP($D$2, 'Reading Report Logic'!$A$2:$B$8,2,FALSE)&amp;"]")), FALSE)="", "",
VLOOKUP($A649,YES_Reading_ELA[],COLUMN(INDIRECT("YES_Reading_ELA[Max Expectation - Per "&amp;VLOOKUP($D$2,'Reading Report Logic'!$A$2:$B$8,2,FALSE)&amp;"]")),FALSE)),
IF(VLOOKUP($A649, YES_Reading_FLA[], COLUMN(INDIRECT("YES_Reading_FLA[Max Expectation - Per "&amp;VLOOKUP($D$2, 'Reading Report Logic'!$A$2:$B$8, 2, FALSE)&amp;"]")),FALSE)="", "", VLOOKUP($A649,YES_Reading_FLA[],COLUMN(INDIRECT("YES_Reading_FLA[Max Expectation - Per "&amp;VLOOKUP($D$2, 'Reading Report Logic'!$A$2:$B$8, 2, FALSE)&amp;"]")),FALSE))),""))),"")</f>
        <v/>
      </c>
      <c r="G649" s="205" t="str" cm="1">
        <f t="array" aca="1" ref="G649" ca="1">IFERROR(
IF($J$2="ELA",
IF(VLOOKUP($A649, YES_Reading_ELA[], COLUMN(INDIRECT("YES_Reading_ELA[Difference - Per "&amp;VLOOKUP($D$2, 'Reading Report Logic'!$A$2:$B$8, 2, FALSE)&amp;"]")), FALSE)="", "",
VLOOKUP($A649,YES_Reading_ELA[], COLUMN(INDIRECT("YES_Reading_ELA[Difference - Per "&amp;VLOOKUP($D$2,'Reading Report Logic'!$A$2:$B$8,2,FALSE)&amp;"]")), FALSE)),
IF($J$2="FLA",
IF(VLOOKUP($A649, YES_Reading_FLA[], COLUMN(INDIRECT("YES_Reading_FLA[Difference - Per "&amp;VLOOKUP($D$2,'Reading Report Logic'!$A$2:$B$8,2,FALSE)&amp;"]")),FALSE)="","",
VLOOKUP($A649,YES_Reading_FLA[],COLUMN(INDIRECT("YES_Reading_FLA[Difference - Per "&amp;VLOOKUP($D$2,'Reading Report Logic'!$A$2:$B$8,2,FALSE)&amp;"]")),FALSE)),
IF($J$2="Combined",
IFERROR(
IF(VLOOKUP($A649, YES_Reading_ELA[], COLUMN(INDIRECT("YES_Reading_ELA[Difference - Per "&amp;VLOOKUP($D$2, 'Reading Report Logic'!$A$2:$B$8,2,FALSE)&amp;"]")), FALSE)="", "",
VLOOKUP($A649,YES_Reading_ELA[],COLUMN(INDIRECT("YES_Reading_ELA[Difference - Per "&amp;VLOOKUP($D$2,'Reading Report Logic'!$A$2:$B$8,2,FALSE)&amp;"]")),FALSE)),
IF(VLOOKUP($A649, YES_Reading_FLA[], COLUMN(INDIRECT("YES_Reading_FLA[Difference - Per "&amp;VLOOKUP($D$2, 'Reading Report Logic'!$A$2:$B$8, 2, FALSE)&amp;"]")),FALSE)="", "", VLOOKUP($A649,YES_Reading_FLA[],COLUMN(INDIRECT("YES_Reading_FLA[Difference - Per "&amp;VLOOKUP($D$2, 'Reading Report Logic'!$A$2:$B$8, 2, FALSE)&amp;"]")),FALSE))),""))),"")</f>
        <v/>
      </c>
      <c r="H649" s="206" t="str">
        <f ca="1">IFERROR(VLOOKUP('Teacher Reading Pull Sheets'!$D649,_xlfn.VSTACK('ELA Reading Logic'!$A$22:$B$48,'FLA Reading Logic'!$A$22:$B$53),2,FALSE)-VLOOKUP('Teacher Reading Pull Sheets'!$C649,_xlfn.VSTACK('ELA Reading Logic'!$A$22:$B$48,'FLA Reading Logic'!$A$22:$B$53),2,FALSE),"")</f>
        <v/>
      </c>
      <c r="I649" s="212"/>
      <c r="J649" s="206"/>
      <c r="K649" s="197" t="str" cm="1">
        <f t="array" ref="K649">IFERROR(
IF($J$2="ELA",
IF(VLOOKUP($A649, YES_Reading_ELA[], COLUMN(YES_Reading_ELA[Self-Identified as African Descent]), FALSE)="", "",
VLOOKUP($A649,YES_Reading_ELA[], COLUMN(YES_Reading_ELA[Self-Identified as African Descent]), FALSE)),
IF($J$2="FLA",
IF(VLOOKUP($A649, YES_Reading_FLA[], COLUMN(YES_Reading_FLA[Self-Identified as African Descent]),FALSE)="","",
VLOOKUP($A649,YES_Reading_FLA[],COLUMN(YES_Reading_FLA[Self-Identified as African Descent]),FALSE)),
IF($J$2="Combined",
IFERROR(
IF(VLOOKUP($A649, YES_Reading_ELA[], COLUMN(YES_Reading_ELA[Self-Identified as African Descent]), FALSE)="", "",
VLOOKUP($A649,YES_Reading_ELA[],COLUMN(YES_Reading_ELA[Self-Identified as African Descent]),FALSE)),
IF(VLOOKUP($A649, YES_Reading_FLA[], COLUMN(YES_Reading_FLA[Self-Identified as African Descent]),FALSE)="", "", VLOOKUP($A649,YES_Reading_FLA[],COLUMN(YES_Reading_FLA[Self-Identified as African Descent]),FALSE))),""))),"")</f>
        <v/>
      </c>
      <c r="L649" s="73" t="str" cm="1">
        <f t="array" ref="L649">IFERROR(
IF($J$2="ELA",
IF(VLOOKUP($A649, YES_Reading_ELA[], COLUMN(YES_Reading_ELA[Self-Identified as Indigenous]), FALSE)="", "",
VLOOKUP($A649,YES_Reading_ELA[], COLUMN(YES_Reading_ELA[Self-Identified as Indigenous]), FALSE)),
IF($J$2="FLA",
IF(VLOOKUP($A649, YES_Reading_FLA[], COLUMN(YES_Reading_FLA[Self-Identified as Indigenous]),FALSE)="","",
VLOOKUP($A649,YES_Reading_FLA[],COLUMN(YES_Reading_FLA[Self-Identified as Indigenous]),FALSE)),
IF($J$2="Combined",
IFERROR(
IF(VLOOKUP($A649, YES_Reading_ELA[], COLUMN(YES_Reading_ELA[Self-Identified as Indigenous]), FALSE)="", "",
VLOOKUP($A649,YES_Reading_ELA[],COLUMN(YES_Reading_ELA[Self-Identified as Indigenous]),FALSE)),
IF(VLOOKUP($A649, YES_Reading_FLA[], COLUMN(YES_Reading_FLA[Self-Identified as Indigenous]),FALSE)="", "", VLOOKUP($A649,YES_Reading_FLA[],COLUMN(YES_Reading_FLA[Self-Identified as Indigenous]),FALSE))),""))),"")</f>
        <v/>
      </c>
    </row>
    <row r="650" spans="1:12" ht="19.5" customHeight="1" x14ac:dyDescent="0.25">
      <c r="A650" s="217"/>
      <c r="B650" s="220" t="str">
        <f>IFERROR(VLOOKUP(A650,_xlfn.VSTACK(YES_Reading_ELA[],YES_Reading_FLA[]),2,FALSE),"")</f>
        <v/>
      </c>
      <c r="C650" s="203" t="str" cm="1">
        <f t="array" aca="1" ref="C650" ca="1">IFERROR(
IF($J$2="ELA",
IF(VLOOKUP($A650, YES_Reading_ELA[], COLUMN(IF(VLOOKUP($D$2, 'Reading Report Logic'!$A$2:$B$8, 2, FALSE)=1, YES_Reading_ELA[Reading Level June of Previous School Year], INDIRECT("YES_Reading_ELA[Instructional Reading Level - Per "&amp;(VLOOKUP($D$2,'Reading Report Logic'!$A$2:$B$8,2,FALSE)-1)&amp;"]"))), FALSE)="", "",
VLOOKUP($A650,YES_Reading_ELA[], COLUMN(IF(VLOOKUP($D$2,'Reading Report Logic'!$A$2:$B$8,2,FALSE)=1, YES_Reading_ELA[Reading Level June of Previous School Year],INDIRECT("YES_Reading_ELA[Instructional Reading Level - Per "&amp;(VLOOKUP($D$2,'Reading Report Logic'!$A$2:$B$8,2,FALSE)-1)&amp;"]"))), FALSE)),
IF($J$2="FLA",
IF(VLOOKUP($A650, YES_Reading_FLA[], COLUMN(IF(VLOOKUP($D$2,'Reading Report Logic'!$A$2:$B$8,2,FALSE)=1, YES_Reading_FLA[Reading Level June of Previous School Year],INDIRECT("YES_Reading_FLA[Instructional Reading Level - Per "&amp;(VLOOKUP($D$2,'Reading Report Logic'!$A$2:$B$8,2,FALSE)-1)&amp;"]"))),FALSE)="","",
VLOOKUP($A650,YES_Reading_FLA[], COLUMN(IF(VLOOKUP($D$2,'Reading Report Logic'!$A$2:$B$8,2,FALSE)=1, YES_Reading_FLA[Reading Level June of Previous School Year],INDIRECT("YES_Reading_FLA[Instructional Reading Level - Per "&amp;(VLOOKUP($D$2,'Reading Report Logic'!$A$2:$B$8,2,FALSE)-1)&amp;"]"))),FALSE)),
IF($J$2="Combined",
IFERROR(
IF(VLOOKUP($A650, YES_Reading_ELA[], COLUMN(IF(VLOOKUP($D$2,'Reading Report Logic'!$A$2:$B$8,2,FALSE)=1, YES_Reading_ELA[Reading Level June of Previous School Year],INDIRECT("YES_Reading_ELA[Instructional Reading Level - Per "&amp;(VLOOKUP($D$2,'Reading Report Logic'!$A$2:$B$8,2,FALSE)-1)&amp;"]"))), FALSE)="", "",
VLOOKUP($A650,YES_Reading_ELA[],COLUMN(IF(VLOOKUP($D$2,'Reading Report Logic'!$A$2:$B$8,2,FALSE)=1, YES_Reading_ELA[Reading Level June of Previous School Year],INDIRECT("YES_Reading_ELA[Instructional Reading Level - Per "&amp;(VLOOKUP($D$2,'Reading Report Logic'!$A$2:$B$8,2,FALSE)-1)&amp;"]"))),FALSE)),
IF(VLOOKUP($A650, YES_Reading_FLA[], COLUMN(IF(VLOOKUP($D$2,'Reading Report Logic'!$A$2:$B$8,2,FALSE)=1, YES_Reading_FLA[Reading Level June of Previous School Year],INDIRECT("YES_Reading_FLA[Instructional Reading Level - Per "&amp;(VLOOKUP($D$2,'Reading Report Logic'!$A$2:$B$8,2,FALSE)-1)&amp;"]"))),FALSE)="", "", VLOOKUP($A650,YES_Reading_FLA[],COLUMN(IF(VLOOKUP($D$2,'Reading Report Logic'!$A$2:$B$8,2,FALSE)=1, YES_Reading_FLA[Reading Level June of Previous School Year],INDIRECT("YES_Reading_FLA[Instructional Reading Level - Per "&amp;(VLOOKUP($D$2,'Reading Report Logic'!$A$2:$B$8,2,FALSE)-1)&amp;"]"))), FALSE))),""))),"")</f>
        <v/>
      </c>
      <c r="D650" s="204" t="str" cm="1">
        <f t="array" aca="1" ref="D650" ca="1">IFERROR(
IF($J$2="ELA",
IF(VLOOKUP($A650, YES_Reading_ELA[], COLUMN(INDIRECT("YES_Reading_ELA[Instructional Reading Level - Per "&amp;VLOOKUP($D$2, 'Reading Report Logic'!$A$2:$B$8, 2, FALSE)&amp;"]")), FALSE)="", "",
VLOOKUP($A650,YES_Reading_ELA[], COLUMN(INDIRECT("YES_Reading_ELA[Instructional Reading Level - Per "&amp;VLOOKUP($D$2,'Reading Report Logic'!$A$2:$B$8,2,FALSE)&amp;"]")), FALSE)),
IF($J$2="FLA",
IF(VLOOKUP($A650, YES_Reading_FLA[], COLUMN(INDIRECT("YES_Reading_FLA[Instructional Reading Level - Per "&amp;VLOOKUP($D$2,'Reading Report Logic'!$A$2:$B$8,2,FALSE)&amp;"]")),FALSE)="","",
VLOOKUP($A650,YES_Reading_FLA[],COLUMN(INDIRECT("YES_Reading_FLA[Instructional Reading Level - Per "&amp;VLOOKUP($D$2,'Reading Report Logic'!$A$2:$B$8,2,FALSE)&amp;"]")),FALSE)),
IF($J$2="Combined",
IFERROR(
IF(VLOOKUP($A650, YES_Reading_ELA[], COLUMN(INDIRECT("YES_Reading_ELA[Instructional Reading Level - Per "&amp;VLOOKUP($D$2, 'Reading Report Logic'!$A$2:$B$8,2,FALSE)&amp;"]")), FALSE)="", "",
VLOOKUP($A650,YES_Reading_ELA[],COLUMN(INDIRECT("YES_Reading_ELA[Instructional Reading Level - Per "&amp;VLOOKUP($D$2,'Reading Report Logic'!$A$2:$B$8,2,FALSE)&amp;"]")),FALSE)),
IF(VLOOKUP($A650, YES_Reading_FLA[], COLUMN(INDIRECT("YES_Reading_FLA[Instructional Reading Level - Per "&amp;VLOOKUP($D$2, 'Reading Report Logic'!$A$2:$B$8, 2, FALSE)&amp;"]")),FALSE)="", "", VLOOKUP($A650,YES_Reading_FLA[],COLUMN(INDIRECT("YES_Reading_FLA[Instructional Reading Level - Per "&amp;VLOOKUP($D$2, 'Reading Report Logic'!$A$2:$B$8, 2, FALSE)&amp;"]")),FALSE))),""))),"")</f>
        <v/>
      </c>
      <c r="E650" s="205" t="str" cm="1">
        <f t="array" aca="1" ref="E650" ca="1">IFERROR(
IF($J$2="ELA",
IF(VLOOKUP($A650, YES_Reading_ELA[], COLUMN(INDIRECT("YES_Reading_ELA[Min Expectation - Per "&amp;VLOOKUP($D$2, 'Reading Report Logic'!$A$2:$B$8, 2, FALSE)&amp;"]")), FALSE)="", "",
VLOOKUP($A650,YES_Reading_ELA[], COLUMN(INDIRECT("YES_Reading_ELA[Min Expectation - Per "&amp;VLOOKUP($D$2,'Reading Report Logic'!$A$2:$B$8,2,FALSE)&amp;"]")), FALSE)),
IF($J$2="FLA",
IF(VLOOKUP($A650, YES_Reading_FLA[], COLUMN(INDIRECT("YES_Reading_FLA[Min Expectation - Per "&amp;VLOOKUP($D$2,'Reading Report Logic'!$A$2:$B$8,2,FALSE)&amp;"]")),FALSE)="","",
VLOOKUP($A650,YES_Reading_FLA[],COLUMN(INDIRECT("YES_Reading_FLA[Min Expectation - Per "&amp;VLOOKUP($D$2,'Reading Report Logic'!$A$2:$B$8,2,FALSE)&amp;"]")),FALSE)),
IF($J$2="Combined",
IFERROR(
IF(VLOOKUP($A650, YES_Reading_ELA[], COLUMN(INDIRECT("YES_Reading_ELA[Min Expectation - Per "&amp;VLOOKUP($D$2, 'Reading Report Logic'!$A$2:$B$8,2,FALSE)&amp;"]")), FALSE)="", "",
VLOOKUP($A650,YES_Reading_ELA[],COLUMN(INDIRECT("YES_Reading_ELA[Min Expectation - Per "&amp;VLOOKUP($D$2,'Reading Report Logic'!$A$2:$B$8,2,FALSE)&amp;"]")),FALSE)),
IF(VLOOKUP($A650, YES_Reading_FLA[], COLUMN(INDIRECT("YES_Reading_FLA[Min Expectation - Per "&amp;VLOOKUP($D$2, 'Reading Report Logic'!$A$2:$B$8, 2, FALSE)&amp;"]")),FALSE)="", "", VLOOKUP($A650,YES_Reading_FLA[],COLUMN(INDIRECT("YES_Reading_FLA[Min Expectation - Per "&amp;VLOOKUP($D$2, 'Reading Report Logic'!$A$2:$B$8, 2, FALSE)&amp;"]")),FALSE))),""))),"")</f>
        <v/>
      </c>
      <c r="F650" s="205" t="str" cm="1">
        <f t="array" aca="1" ref="F650" ca="1">IFERROR(
IF($J$2="ELA",
IF(VLOOKUP($A650, YES_Reading_ELA[], COLUMN(INDIRECT("YES_Reading_ELA[Max Expectation - Per "&amp;VLOOKUP($D$2, 'Reading Report Logic'!$A$2:$B$8, 2, FALSE)&amp;"]")), FALSE)="", "",
VLOOKUP($A650,YES_Reading_ELA[], COLUMN(INDIRECT("YES_Reading_ELA[Max Expectation - Per "&amp;VLOOKUP($D$2,'Reading Report Logic'!$A$2:$B$8,2,FALSE)&amp;"]")), FALSE)),
IF($J$2="FLA",
IF(VLOOKUP($A650, YES_Reading_FLA[], COLUMN(INDIRECT("YES_Reading_FLA[Max Expectation - Per "&amp;VLOOKUP($D$2,'Reading Report Logic'!$A$2:$B$8,2,FALSE)&amp;"]")),FALSE)="","",
VLOOKUP($A650,YES_Reading_FLA[],COLUMN(INDIRECT("YES_Reading_FLA[Max Expectation - Per "&amp;VLOOKUP($D$2,'Reading Report Logic'!$A$2:$B$8,2,FALSE)&amp;"]")),FALSE)),
IF($J$2="Combined",
IFERROR(
IF(VLOOKUP($A650, YES_Reading_ELA[], COLUMN(INDIRECT("YES_Reading_ELA[Max Expectation - Per "&amp;VLOOKUP($D$2, 'Reading Report Logic'!$A$2:$B$8,2,FALSE)&amp;"]")), FALSE)="", "",
VLOOKUP($A650,YES_Reading_ELA[],COLUMN(INDIRECT("YES_Reading_ELA[Max Expectation - Per "&amp;VLOOKUP($D$2,'Reading Report Logic'!$A$2:$B$8,2,FALSE)&amp;"]")),FALSE)),
IF(VLOOKUP($A650, YES_Reading_FLA[], COLUMN(INDIRECT("YES_Reading_FLA[Max Expectation - Per "&amp;VLOOKUP($D$2, 'Reading Report Logic'!$A$2:$B$8, 2, FALSE)&amp;"]")),FALSE)="", "", VLOOKUP($A650,YES_Reading_FLA[],COLUMN(INDIRECT("YES_Reading_FLA[Max Expectation - Per "&amp;VLOOKUP($D$2, 'Reading Report Logic'!$A$2:$B$8, 2, FALSE)&amp;"]")),FALSE))),""))),"")</f>
        <v/>
      </c>
      <c r="G650" s="205" t="str" cm="1">
        <f t="array" aca="1" ref="G650" ca="1">IFERROR(
IF($J$2="ELA",
IF(VLOOKUP($A650, YES_Reading_ELA[], COLUMN(INDIRECT("YES_Reading_ELA[Difference - Per "&amp;VLOOKUP($D$2, 'Reading Report Logic'!$A$2:$B$8, 2, FALSE)&amp;"]")), FALSE)="", "",
VLOOKUP($A650,YES_Reading_ELA[], COLUMN(INDIRECT("YES_Reading_ELA[Difference - Per "&amp;VLOOKUP($D$2,'Reading Report Logic'!$A$2:$B$8,2,FALSE)&amp;"]")), FALSE)),
IF($J$2="FLA",
IF(VLOOKUP($A650, YES_Reading_FLA[], COLUMN(INDIRECT("YES_Reading_FLA[Difference - Per "&amp;VLOOKUP($D$2,'Reading Report Logic'!$A$2:$B$8,2,FALSE)&amp;"]")),FALSE)="","",
VLOOKUP($A650,YES_Reading_FLA[],COLUMN(INDIRECT("YES_Reading_FLA[Difference - Per "&amp;VLOOKUP($D$2,'Reading Report Logic'!$A$2:$B$8,2,FALSE)&amp;"]")),FALSE)),
IF($J$2="Combined",
IFERROR(
IF(VLOOKUP($A650, YES_Reading_ELA[], COLUMN(INDIRECT("YES_Reading_ELA[Difference - Per "&amp;VLOOKUP($D$2, 'Reading Report Logic'!$A$2:$B$8,2,FALSE)&amp;"]")), FALSE)="", "",
VLOOKUP($A650,YES_Reading_ELA[],COLUMN(INDIRECT("YES_Reading_ELA[Difference - Per "&amp;VLOOKUP($D$2,'Reading Report Logic'!$A$2:$B$8,2,FALSE)&amp;"]")),FALSE)),
IF(VLOOKUP($A650, YES_Reading_FLA[], COLUMN(INDIRECT("YES_Reading_FLA[Difference - Per "&amp;VLOOKUP($D$2, 'Reading Report Logic'!$A$2:$B$8, 2, FALSE)&amp;"]")),FALSE)="", "", VLOOKUP($A650,YES_Reading_FLA[],COLUMN(INDIRECT("YES_Reading_FLA[Difference - Per "&amp;VLOOKUP($D$2, 'Reading Report Logic'!$A$2:$B$8, 2, FALSE)&amp;"]")),FALSE))),""))),"")</f>
        <v/>
      </c>
      <c r="H650" s="206" t="str">
        <f ca="1">IFERROR(VLOOKUP('Teacher Reading Pull Sheets'!$D650,_xlfn.VSTACK('ELA Reading Logic'!$A$22:$B$48,'FLA Reading Logic'!$A$22:$B$53),2,FALSE)-VLOOKUP('Teacher Reading Pull Sheets'!$C650,_xlfn.VSTACK('ELA Reading Logic'!$A$22:$B$48,'FLA Reading Logic'!$A$22:$B$53),2,FALSE),"")</f>
        <v/>
      </c>
      <c r="I650" s="212"/>
      <c r="J650" s="206"/>
      <c r="K650" s="197" t="str" cm="1">
        <f t="array" ref="K650">IFERROR(
IF($J$2="ELA",
IF(VLOOKUP($A650, YES_Reading_ELA[], COLUMN(YES_Reading_ELA[Self-Identified as African Descent]), FALSE)="", "",
VLOOKUP($A650,YES_Reading_ELA[], COLUMN(YES_Reading_ELA[Self-Identified as African Descent]), FALSE)),
IF($J$2="FLA",
IF(VLOOKUP($A650, YES_Reading_FLA[], COLUMN(YES_Reading_FLA[Self-Identified as African Descent]),FALSE)="","",
VLOOKUP($A650,YES_Reading_FLA[],COLUMN(YES_Reading_FLA[Self-Identified as African Descent]),FALSE)),
IF($J$2="Combined",
IFERROR(
IF(VLOOKUP($A650, YES_Reading_ELA[], COLUMN(YES_Reading_ELA[Self-Identified as African Descent]), FALSE)="", "",
VLOOKUP($A650,YES_Reading_ELA[],COLUMN(YES_Reading_ELA[Self-Identified as African Descent]),FALSE)),
IF(VLOOKUP($A650, YES_Reading_FLA[], COLUMN(YES_Reading_FLA[Self-Identified as African Descent]),FALSE)="", "", VLOOKUP($A650,YES_Reading_FLA[],COLUMN(YES_Reading_FLA[Self-Identified as African Descent]),FALSE))),""))),"")</f>
        <v/>
      </c>
      <c r="L650" s="73" t="str" cm="1">
        <f t="array" ref="L650">IFERROR(
IF($J$2="ELA",
IF(VLOOKUP($A650, YES_Reading_ELA[], COLUMN(YES_Reading_ELA[Self-Identified as Indigenous]), FALSE)="", "",
VLOOKUP($A650,YES_Reading_ELA[], COLUMN(YES_Reading_ELA[Self-Identified as Indigenous]), FALSE)),
IF($J$2="FLA",
IF(VLOOKUP($A650, YES_Reading_FLA[], COLUMN(YES_Reading_FLA[Self-Identified as Indigenous]),FALSE)="","",
VLOOKUP($A650,YES_Reading_FLA[],COLUMN(YES_Reading_FLA[Self-Identified as Indigenous]),FALSE)),
IF($J$2="Combined",
IFERROR(
IF(VLOOKUP($A650, YES_Reading_ELA[], COLUMN(YES_Reading_ELA[Self-Identified as Indigenous]), FALSE)="", "",
VLOOKUP($A650,YES_Reading_ELA[],COLUMN(YES_Reading_ELA[Self-Identified as Indigenous]),FALSE)),
IF(VLOOKUP($A650, YES_Reading_FLA[], COLUMN(YES_Reading_FLA[Self-Identified as Indigenous]),FALSE)="", "", VLOOKUP($A650,YES_Reading_FLA[],COLUMN(YES_Reading_FLA[Self-Identified as Indigenous]),FALSE))),""))),"")</f>
        <v/>
      </c>
    </row>
    <row r="651" spans="1:12" ht="19.5" customHeight="1" x14ac:dyDescent="0.25">
      <c r="A651" s="217"/>
      <c r="B651" s="220" t="str">
        <f>IFERROR(VLOOKUP(A651,_xlfn.VSTACK(YES_Reading_ELA[],YES_Reading_FLA[]),2,FALSE),"")</f>
        <v/>
      </c>
      <c r="C651" s="203" t="str" cm="1">
        <f t="array" aca="1" ref="C651" ca="1">IFERROR(
IF($J$2="ELA",
IF(VLOOKUP($A651, YES_Reading_ELA[], COLUMN(IF(VLOOKUP($D$2, 'Reading Report Logic'!$A$2:$B$8, 2, FALSE)=1, YES_Reading_ELA[Reading Level June of Previous School Year], INDIRECT("YES_Reading_ELA[Instructional Reading Level - Per "&amp;(VLOOKUP($D$2,'Reading Report Logic'!$A$2:$B$8,2,FALSE)-1)&amp;"]"))), FALSE)="", "",
VLOOKUP($A651,YES_Reading_ELA[], COLUMN(IF(VLOOKUP($D$2,'Reading Report Logic'!$A$2:$B$8,2,FALSE)=1, YES_Reading_ELA[Reading Level June of Previous School Year],INDIRECT("YES_Reading_ELA[Instructional Reading Level - Per "&amp;(VLOOKUP($D$2,'Reading Report Logic'!$A$2:$B$8,2,FALSE)-1)&amp;"]"))), FALSE)),
IF($J$2="FLA",
IF(VLOOKUP($A651, YES_Reading_FLA[], COLUMN(IF(VLOOKUP($D$2,'Reading Report Logic'!$A$2:$B$8,2,FALSE)=1, YES_Reading_FLA[Reading Level June of Previous School Year],INDIRECT("YES_Reading_FLA[Instructional Reading Level - Per "&amp;(VLOOKUP($D$2,'Reading Report Logic'!$A$2:$B$8,2,FALSE)-1)&amp;"]"))),FALSE)="","",
VLOOKUP($A651,YES_Reading_FLA[], COLUMN(IF(VLOOKUP($D$2,'Reading Report Logic'!$A$2:$B$8,2,FALSE)=1, YES_Reading_FLA[Reading Level June of Previous School Year],INDIRECT("YES_Reading_FLA[Instructional Reading Level - Per "&amp;(VLOOKUP($D$2,'Reading Report Logic'!$A$2:$B$8,2,FALSE)-1)&amp;"]"))),FALSE)),
IF($J$2="Combined",
IFERROR(
IF(VLOOKUP($A651, YES_Reading_ELA[], COLUMN(IF(VLOOKUP($D$2,'Reading Report Logic'!$A$2:$B$8,2,FALSE)=1, YES_Reading_ELA[Reading Level June of Previous School Year],INDIRECT("YES_Reading_ELA[Instructional Reading Level - Per "&amp;(VLOOKUP($D$2,'Reading Report Logic'!$A$2:$B$8,2,FALSE)-1)&amp;"]"))), FALSE)="", "",
VLOOKUP($A651,YES_Reading_ELA[],COLUMN(IF(VLOOKUP($D$2,'Reading Report Logic'!$A$2:$B$8,2,FALSE)=1, YES_Reading_ELA[Reading Level June of Previous School Year],INDIRECT("YES_Reading_ELA[Instructional Reading Level - Per "&amp;(VLOOKUP($D$2,'Reading Report Logic'!$A$2:$B$8,2,FALSE)-1)&amp;"]"))),FALSE)),
IF(VLOOKUP($A651, YES_Reading_FLA[], COLUMN(IF(VLOOKUP($D$2,'Reading Report Logic'!$A$2:$B$8,2,FALSE)=1, YES_Reading_FLA[Reading Level June of Previous School Year],INDIRECT("YES_Reading_FLA[Instructional Reading Level - Per "&amp;(VLOOKUP($D$2,'Reading Report Logic'!$A$2:$B$8,2,FALSE)-1)&amp;"]"))),FALSE)="", "", VLOOKUP($A651,YES_Reading_FLA[],COLUMN(IF(VLOOKUP($D$2,'Reading Report Logic'!$A$2:$B$8,2,FALSE)=1, YES_Reading_FLA[Reading Level June of Previous School Year],INDIRECT("YES_Reading_FLA[Instructional Reading Level - Per "&amp;(VLOOKUP($D$2,'Reading Report Logic'!$A$2:$B$8,2,FALSE)-1)&amp;"]"))), FALSE))),""))),"")</f>
        <v/>
      </c>
      <c r="D651" s="204" t="str" cm="1">
        <f t="array" aca="1" ref="D651" ca="1">IFERROR(
IF($J$2="ELA",
IF(VLOOKUP($A651, YES_Reading_ELA[], COLUMN(INDIRECT("YES_Reading_ELA[Instructional Reading Level - Per "&amp;VLOOKUP($D$2, 'Reading Report Logic'!$A$2:$B$8, 2, FALSE)&amp;"]")), FALSE)="", "",
VLOOKUP($A651,YES_Reading_ELA[], COLUMN(INDIRECT("YES_Reading_ELA[Instructional Reading Level - Per "&amp;VLOOKUP($D$2,'Reading Report Logic'!$A$2:$B$8,2,FALSE)&amp;"]")), FALSE)),
IF($J$2="FLA",
IF(VLOOKUP($A651, YES_Reading_FLA[], COLUMN(INDIRECT("YES_Reading_FLA[Instructional Reading Level - Per "&amp;VLOOKUP($D$2,'Reading Report Logic'!$A$2:$B$8,2,FALSE)&amp;"]")),FALSE)="","",
VLOOKUP($A651,YES_Reading_FLA[],COLUMN(INDIRECT("YES_Reading_FLA[Instructional Reading Level - Per "&amp;VLOOKUP($D$2,'Reading Report Logic'!$A$2:$B$8,2,FALSE)&amp;"]")),FALSE)),
IF($J$2="Combined",
IFERROR(
IF(VLOOKUP($A651, YES_Reading_ELA[], COLUMN(INDIRECT("YES_Reading_ELA[Instructional Reading Level - Per "&amp;VLOOKUP($D$2, 'Reading Report Logic'!$A$2:$B$8,2,FALSE)&amp;"]")), FALSE)="", "",
VLOOKUP($A651,YES_Reading_ELA[],COLUMN(INDIRECT("YES_Reading_ELA[Instructional Reading Level - Per "&amp;VLOOKUP($D$2,'Reading Report Logic'!$A$2:$B$8,2,FALSE)&amp;"]")),FALSE)),
IF(VLOOKUP($A651, YES_Reading_FLA[], COLUMN(INDIRECT("YES_Reading_FLA[Instructional Reading Level - Per "&amp;VLOOKUP($D$2, 'Reading Report Logic'!$A$2:$B$8, 2, FALSE)&amp;"]")),FALSE)="", "", VLOOKUP($A651,YES_Reading_FLA[],COLUMN(INDIRECT("YES_Reading_FLA[Instructional Reading Level - Per "&amp;VLOOKUP($D$2, 'Reading Report Logic'!$A$2:$B$8, 2, FALSE)&amp;"]")),FALSE))),""))),"")</f>
        <v/>
      </c>
      <c r="E651" s="205" t="str" cm="1">
        <f t="array" aca="1" ref="E651" ca="1">IFERROR(
IF($J$2="ELA",
IF(VLOOKUP($A651, YES_Reading_ELA[], COLUMN(INDIRECT("YES_Reading_ELA[Min Expectation - Per "&amp;VLOOKUP($D$2, 'Reading Report Logic'!$A$2:$B$8, 2, FALSE)&amp;"]")), FALSE)="", "",
VLOOKUP($A651,YES_Reading_ELA[], COLUMN(INDIRECT("YES_Reading_ELA[Min Expectation - Per "&amp;VLOOKUP($D$2,'Reading Report Logic'!$A$2:$B$8,2,FALSE)&amp;"]")), FALSE)),
IF($J$2="FLA",
IF(VLOOKUP($A651, YES_Reading_FLA[], COLUMN(INDIRECT("YES_Reading_FLA[Min Expectation - Per "&amp;VLOOKUP($D$2,'Reading Report Logic'!$A$2:$B$8,2,FALSE)&amp;"]")),FALSE)="","",
VLOOKUP($A651,YES_Reading_FLA[],COLUMN(INDIRECT("YES_Reading_FLA[Min Expectation - Per "&amp;VLOOKUP($D$2,'Reading Report Logic'!$A$2:$B$8,2,FALSE)&amp;"]")),FALSE)),
IF($J$2="Combined",
IFERROR(
IF(VLOOKUP($A651, YES_Reading_ELA[], COLUMN(INDIRECT("YES_Reading_ELA[Min Expectation - Per "&amp;VLOOKUP($D$2, 'Reading Report Logic'!$A$2:$B$8,2,FALSE)&amp;"]")), FALSE)="", "",
VLOOKUP($A651,YES_Reading_ELA[],COLUMN(INDIRECT("YES_Reading_ELA[Min Expectation - Per "&amp;VLOOKUP($D$2,'Reading Report Logic'!$A$2:$B$8,2,FALSE)&amp;"]")),FALSE)),
IF(VLOOKUP($A651, YES_Reading_FLA[], COLUMN(INDIRECT("YES_Reading_FLA[Min Expectation - Per "&amp;VLOOKUP($D$2, 'Reading Report Logic'!$A$2:$B$8, 2, FALSE)&amp;"]")),FALSE)="", "", VLOOKUP($A651,YES_Reading_FLA[],COLUMN(INDIRECT("YES_Reading_FLA[Min Expectation - Per "&amp;VLOOKUP($D$2, 'Reading Report Logic'!$A$2:$B$8, 2, FALSE)&amp;"]")),FALSE))),""))),"")</f>
        <v/>
      </c>
      <c r="F651" s="205" t="str" cm="1">
        <f t="array" aca="1" ref="F651" ca="1">IFERROR(
IF($J$2="ELA",
IF(VLOOKUP($A651, YES_Reading_ELA[], COLUMN(INDIRECT("YES_Reading_ELA[Max Expectation - Per "&amp;VLOOKUP($D$2, 'Reading Report Logic'!$A$2:$B$8, 2, FALSE)&amp;"]")), FALSE)="", "",
VLOOKUP($A651,YES_Reading_ELA[], COLUMN(INDIRECT("YES_Reading_ELA[Max Expectation - Per "&amp;VLOOKUP($D$2,'Reading Report Logic'!$A$2:$B$8,2,FALSE)&amp;"]")), FALSE)),
IF($J$2="FLA",
IF(VLOOKUP($A651, YES_Reading_FLA[], COLUMN(INDIRECT("YES_Reading_FLA[Max Expectation - Per "&amp;VLOOKUP($D$2,'Reading Report Logic'!$A$2:$B$8,2,FALSE)&amp;"]")),FALSE)="","",
VLOOKUP($A651,YES_Reading_FLA[],COLUMN(INDIRECT("YES_Reading_FLA[Max Expectation - Per "&amp;VLOOKUP($D$2,'Reading Report Logic'!$A$2:$B$8,2,FALSE)&amp;"]")),FALSE)),
IF($J$2="Combined",
IFERROR(
IF(VLOOKUP($A651, YES_Reading_ELA[], COLUMN(INDIRECT("YES_Reading_ELA[Max Expectation - Per "&amp;VLOOKUP($D$2, 'Reading Report Logic'!$A$2:$B$8,2,FALSE)&amp;"]")), FALSE)="", "",
VLOOKUP($A651,YES_Reading_ELA[],COLUMN(INDIRECT("YES_Reading_ELA[Max Expectation - Per "&amp;VLOOKUP($D$2,'Reading Report Logic'!$A$2:$B$8,2,FALSE)&amp;"]")),FALSE)),
IF(VLOOKUP($A651, YES_Reading_FLA[], COLUMN(INDIRECT("YES_Reading_FLA[Max Expectation - Per "&amp;VLOOKUP($D$2, 'Reading Report Logic'!$A$2:$B$8, 2, FALSE)&amp;"]")),FALSE)="", "", VLOOKUP($A651,YES_Reading_FLA[],COLUMN(INDIRECT("YES_Reading_FLA[Max Expectation - Per "&amp;VLOOKUP($D$2, 'Reading Report Logic'!$A$2:$B$8, 2, FALSE)&amp;"]")),FALSE))),""))),"")</f>
        <v/>
      </c>
      <c r="G651" s="205" t="str" cm="1">
        <f t="array" aca="1" ref="G651" ca="1">IFERROR(
IF($J$2="ELA",
IF(VLOOKUP($A651, YES_Reading_ELA[], COLUMN(INDIRECT("YES_Reading_ELA[Difference - Per "&amp;VLOOKUP($D$2, 'Reading Report Logic'!$A$2:$B$8, 2, FALSE)&amp;"]")), FALSE)="", "",
VLOOKUP($A651,YES_Reading_ELA[], COLUMN(INDIRECT("YES_Reading_ELA[Difference - Per "&amp;VLOOKUP($D$2,'Reading Report Logic'!$A$2:$B$8,2,FALSE)&amp;"]")), FALSE)),
IF($J$2="FLA",
IF(VLOOKUP($A651, YES_Reading_FLA[], COLUMN(INDIRECT("YES_Reading_FLA[Difference - Per "&amp;VLOOKUP($D$2,'Reading Report Logic'!$A$2:$B$8,2,FALSE)&amp;"]")),FALSE)="","",
VLOOKUP($A651,YES_Reading_FLA[],COLUMN(INDIRECT("YES_Reading_FLA[Difference - Per "&amp;VLOOKUP($D$2,'Reading Report Logic'!$A$2:$B$8,2,FALSE)&amp;"]")),FALSE)),
IF($J$2="Combined",
IFERROR(
IF(VLOOKUP($A651, YES_Reading_ELA[], COLUMN(INDIRECT("YES_Reading_ELA[Difference - Per "&amp;VLOOKUP($D$2, 'Reading Report Logic'!$A$2:$B$8,2,FALSE)&amp;"]")), FALSE)="", "",
VLOOKUP($A651,YES_Reading_ELA[],COLUMN(INDIRECT("YES_Reading_ELA[Difference - Per "&amp;VLOOKUP($D$2,'Reading Report Logic'!$A$2:$B$8,2,FALSE)&amp;"]")),FALSE)),
IF(VLOOKUP($A651, YES_Reading_FLA[], COLUMN(INDIRECT("YES_Reading_FLA[Difference - Per "&amp;VLOOKUP($D$2, 'Reading Report Logic'!$A$2:$B$8, 2, FALSE)&amp;"]")),FALSE)="", "", VLOOKUP($A651,YES_Reading_FLA[],COLUMN(INDIRECT("YES_Reading_FLA[Difference - Per "&amp;VLOOKUP($D$2, 'Reading Report Logic'!$A$2:$B$8, 2, FALSE)&amp;"]")),FALSE))),""))),"")</f>
        <v/>
      </c>
      <c r="H651" s="206" t="str">
        <f ca="1">IFERROR(VLOOKUP('Teacher Reading Pull Sheets'!$D651,_xlfn.VSTACK('ELA Reading Logic'!$A$22:$B$48,'FLA Reading Logic'!$A$22:$B$53),2,FALSE)-VLOOKUP('Teacher Reading Pull Sheets'!$C651,_xlfn.VSTACK('ELA Reading Logic'!$A$22:$B$48,'FLA Reading Logic'!$A$22:$B$53),2,FALSE),"")</f>
        <v/>
      </c>
      <c r="I651" s="212"/>
      <c r="J651" s="206"/>
      <c r="K651" s="197" t="str" cm="1">
        <f t="array" ref="K651">IFERROR(
IF($J$2="ELA",
IF(VLOOKUP($A651, YES_Reading_ELA[], COLUMN(YES_Reading_ELA[Self-Identified as African Descent]), FALSE)="", "",
VLOOKUP($A651,YES_Reading_ELA[], COLUMN(YES_Reading_ELA[Self-Identified as African Descent]), FALSE)),
IF($J$2="FLA",
IF(VLOOKUP($A651, YES_Reading_FLA[], COLUMN(YES_Reading_FLA[Self-Identified as African Descent]),FALSE)="","",
VLOOKUP($A651,YES_Reading_FLA[],COLUMN(YES_Reading_FLA[Self-Identified as African Descent]),FALSE)),
IF($J$2="Combined",
IFERROR(
IF(VLOOKUP($A651, YES_Reading_ELA[], COLUMN(YES_Reading_ELA[Self-Identified as African Descent]), FALSE)="", "",
VLOOKUP($A651,YES_Reading_ELA[],COLUMN(YES_Reading_ELA[Self-Identified as African Descent]),FALSE)),
IF(VLOOKUP($A651, YES_Reading_FLA[], COLUMN(YES_Reading_FLA[Self-Identified as African Descent]),FALSE)="", "", VLOOKUP($A651,YES_Reading_FLA[],COLUMN(YES_Reading_FLA[Self-Identified as African Descent]),FALSE))),""))),"")</f>
        <v/>
      </c>
      <c r="L651" s="73" t="str" cm="1">
        <f t="array" ref="L651">IFERROR(
IF($J$2="ELA",
IF(VLOOKUP($A651, YES_Reading_ELA[], COLUMN(YES_Reading_ELA[Self-Identified as Indigenous]), FALSE)="", "",
VLOOKUP($A651,YES_Reading_ELA[], COLUMN(YES_Reading_ELA[Self-Identified as Indigenous]), FALSE)),
IF($J$2="FLA",
IF(VLOOKUP($A651, YES_Reading_FLA[], COLUMN(YES_Reading_FLA[Self-Identified as Indigenous]),FALSE)="","",
VLOOKUP($A651,YES_Reading_FLA[],COLUMN(YES_Reading_FLA[Self-Identified as Indigenous]),FALSE)),
IF($J$2="Combined",
IFERROR(
IF(VLOOKUP($A651, YES_Reading_ELA[], COLUMN(YES_Reading_ELA[Self-Identified as Indigenous]), FALSE)="", "",
VLOOKUP($A651,YES_Reading_ELA[],COLUMN(YES_Reading_ELA[Self-Identified as Indigenous]),FALSE)),
IF(VLOOKUP($A651, YES_Reading_FLA[], COLUMN(YES_Reading_FLA[Self-Identified as Indigenous]),FALSE)="", "", VLOOKUP($A651,YES_Reading_FLA[],COLUMN(YES_Reading_FLA[Self-Identified as Indigenous]),FALSE))),""))),"")</f>
        <v/>
      </c>
    </row>
    <row r="652" spans="1:12" ht="19.5" customHeight="1" x14ac:dyDescent="0.25">
      <c r="A652" s="217"/>
      <c r="B652" s="220" t="str">
        <f>IFERROR(VLOOKUP(A652,_xlfn.VSTACK(YES_Reading_ELA[],YES_Reading_FLA[]),2,FALSE),"")</f>
        <v/>
      </c>
      <c r="C652" s="203" t="str" cm="1">
        <f t="array" aca="1" ref="C652" ca="1">IFERROR(
IF($J$2="ELA",
IF(VLOOKUP($A652, YES_Reading_ELA[], COLUMN(IF(VLOOKUP($D$2, 'Reading Report Logic'!$A$2:$B$8, 2, FALSE)=1, YES_Reading_ELA[Reading Level June of Previous School Year], INDIRECT("YES_Reading_ELA[Instructional Reading Level - Per "&amp;(VLOOKUP($D$2,'Reading Report Logic'!$A$2:$B$8,2,FALSE)-1)&amp;"]"))), FALSE)="", "",
VLOOKUP($A652,YES_Reading_ELA[], COLUMN(IF(VLOOKUP($D$2,'Reading Report Logic'!$A$2:$B$8,2,FALSE)=1, YES_Reading_ELA[Reading Level June of Previous School Year],INDIRECT("YES_Reading_ELA[Instructional Reading Level - Per "&amp;(VLOOKUP($D$2,'Reading Report Logic'!$A$2:$B$8,2,FALSE)-1)&amp;"]"))), FALSE)),
IF($J$2="FLA",
IF(VLOOKUP($A652, YES_Reading_FLA[], COLUMN(IF(VLOOKUP($D$2,'Reading Report Logic'!$A$2:$B$8,2,FALSE)=1, YES_Reading_FLA[Reading Level June of Previous School Year],INDIRECT("YES_Reading_FLA[Instructional Reading Level - Per "&amp;(VLOOKUP($D$2,'Reading Report Logic'!$A$2:$B$8,2,FALSE)-1)&amp;"]"))),FALSE)="","",
VLOOKUP($A652,YES_Reading_FLA[], COLUMN(IF(VLOOKUP($D$2,'Reading Report Logic'!$A$2:$B$8,2,FALSE)=1, YES_Reading_FLA[Reading Level June of Previous School Year],INDIRECT("YES_Reading_FLA[Instructional Reading Level - Per "&amp;(VLOOKUP($D$2,'Reading Report Logic'!$A$2:$B$8,2,FALSE)-1)&amp;"]"))),FALSE)),
IF($J$2="Combined",
IFERROR(
IF(VLOOKUP($A652, YES_Reading_ELA[], COLUMN(IF(VLOOKUP($D$2,'Reading Report Logic'!$A$2:$B$8,2,FALSE)=1, YES_Reading_ELA[Reading Level June of Previous School Year],INDIRECT("YES_Reading_ELA[Instructional Reading Level - Per "&amp;(VLOOKUP($D$2,'Reading Report Logic'!$A$2:$B$8,2,FALSE)-1)&amp;"]"))), FALSE)="", "",
VLOOKUP($A652,YES_Reading_ELA[],COLUMN(IF(VLOOKUP($D$2,'Reading Report Logic'!$A$2:$B$8,2,FALSE)=1, YES_Reading_ELA[Reading Level June of Previous School Year],INDIRECT("YES_Reading_ELA[Instructional Reading Level - Per "&amp;(VLOOKUP($D$2,'Reading Report Logic'!$A$2:$B$8,2,FALSE)-1)&amp;"]"))),FALSE)),
IF(VLOOKUP($A652, YES_Reading_FLA[], COLUMN(IF(VLOOKUP($D$2,'Reading Report Logic'!$A$2:$B$8,2,FALSE)=1, YES_Reading_FLA[Reading Level June of Previous School Year],INDIRECT("YES_Reading_FLA[Instructional Reading Level - Per "&amp;(VLOOKUP($D$2,'Reading Report Logic'!$A$2:$B$8,2,FALSE)-1)&amp;"]"))),FALSE)="", "", VLOOKUP($A652,YES_Reading_FLA[],COLUMN(IF(VLOOKUP($D$2,'Reading Report Logic'!$A$2:$B$8,2,FALSE)=1, YES_Reading_FLA[Reading Level June of Previous School Year],INDIRECT("YES_Reading_FLA[Instructional Reading Level - Per "&amp;(VLOOKUP($D$2,'Reading Report Logic'!$A$2:$B$8,2,FALSE)-1)&amp;"]"))), FALSE))),""))),"")</f>
        <v/>
      </c>
      <c r="D652" s="204" t="str" cm="1">
        <f t="array" aca="1" ref="D652" ca="1">IFERROR(
IF($J$2="ELA",
IF(VLOOKUP($A652, YES_Reading_ELA[], COLUMN(INDIRECT("YES_Reading_ELA[Instructional Reading Level - Per "&amp;VLOOKUP($D$2, 'Reading Report Logic'!$A$2:$B$8, 2, FALSE)&amp;"]")), FALSE)="", "",
VLOOKUP($A652,YES_Reading_ELA[], COLUMN(INDIRECT("YES_Reading_ELA[Instructional Reading Level - Per "&amp;VLOOKUP($D$2,'Reading Report Logic'!$A$2:$B$8,2,FALSE)&amp;"]")), FALSE)),
IF($J$2="FLA",
IF(VLOOKUP($A652, YES_Reading_FLA[], COLUMN(INDIRECT("YES_Reading_FLA[Instructional Reading Level - Per "&amp;VLOOKUP($D$2,'Reading Report Logic'!$A$2:$B$8,2,FALSE)&amp;"]")),FALSE)="","",
VLOOKUP($A652,YES_Reading_FLA[],COLUMN(INDIRECT("YES_Reading_FLA[Instructional Reading Level - Per "&amp;VLOOKUP($D$2,'Reading Report Logic'!$A$2:$B$8,2,FALSE)&amp;"]")),FALSE)),
IF($J$2="Combined",
IFERROR(
IF(VLOOKUP($A652, YES_Reading_ELA[], COLUMN(INDIRECT("YES_Reading_ELA[Instructional Reading Level - Per "&amp;VLOOKUP($D$2, 'Reading Report Logic'!$A$2:$B$8,2,FALSE)&amp;"]")), FALSE)="", "",
VLOOKUP($A652,YES_Reading_ELA[],COLUMN(INDIRECT("YES_Reading_ELA[Instructional Reading Level - Per "&amp;VLOOKUP($D$2,'Reading Report Logic'!$A$2:$B$8,2,FALSE)&amp;"]")),FALSE)),
IF(VLOOKUP($A652, YES_Reading_FLA[], COLUMN(INDIRECT("YES_Reading_FLA[Instructional Reading Level - Per "&amp;VLOOKUP($D$2, 'Reading Report Logic'!$A$2:$B$8, 2, FALSE)&amp;"]")),FALSE)="", "", VLOOKUP($A652,YES_Reading_FLA[],COLUMN(INDIRECT("YES_Reading_FLA[Instructional Reading Level - Per "&amp;VLOOKUP($D$2, 'Reading Report Logic'!$A$2:$B$8, 2, FALSE)&amp;"]")),FALSE))),""))),"")</f>
        <v/>
      </c>
      <c r="E652" s="205" t="str" cm="1">
        <f t="array" aca="1" ref="E652" ca="1">IFERROR(
IF($J$2="ELA",
IF(VLOOKUP($A652, YES_Reading_ELA[], COLUMN(INDIRECT("YES_Reading_ELA[Min Expectation - Per "&amp;VLOOKUP($D$2, 'Reading Report Logic'!$A$2:$B$8, 2, FALSE)&amp;"]")), FALSE)="", "",
VLOOKUP($A652,YES_Reading_ELA[], COLUMN(INDIRECT("YES_Reading_ELA[Min Expectation - Per "&amp;VLOOKUP($D$2,'Reading Report Logic'!$A$2:$B$8,2,FALSE)&amp;"]")), FALSE)),
IF($J$2="FLA",
IF(VLOOKUP($A652, YES_Reading_FLA[], COLUMN(INDIRECT("YES_Reading_FLA[Min Expectation - Per "&amp;VLOOKUP($D$2,'Reading Report Logic'!$A$2:$B$8,2,FALSE)&amp;"]")),FALSE)="","",
VLOOKUP($A652,YES_Reading_FLA[],COLUMN(INDIRECT("YES_Reading_FLA[Min Expectation - Per "&amp;VLOOKUP($D$2,'Reading Report Logic'!$A$2:$B$8,2,FALSE)&amp;"]")),FALSE)),
IF($J$2="Combined",
IFERROR(
IF(VLOOKUP($A652, YES_Reading_ELA[], COLUMN(INDIRECT("YES_Reading_ELA[Min Expectation - Per "&amp;VLOOKUP($D$2, 'Reading Report Logic'!$A$2:$B$8,2,FALSE)&amp;"]")), FALSE)="", "",
VLOOKUP($A652,YES_Reading_ELA[],COLUMN(INDIRECT("YES_Reading_ELA[Min Expectation - Per "&amp;VLOOKUP($D$2,'Reading Report Logic'!$A$2:$B$8,2,FALSE)&amp;"]")),FALSE)),
IF(VLOOKUP($A652, YES_Reading_FLA[], COLUMN(INDIRECT("YES_Reading_FLA[Min Expectation - Per "&amp;VLOOKUP($D$2, 'Reading Report Logic'!$A$2:$B$8, 2, FALSE)&amp;"]")),FALSE)="", "", VLOOKUP($A652,YES_Reading_FLA[],COLUMN(INDIRECT("YES_Reading_FLA[Min Expectation - Per "&amp;VLOOKUP($D$2, 'Reading Report Logic'!$A$2:$B$8, 2, FALSE)&amp;"]")),FALSE))),""))),"")</f>
        <v/>
      </c>
      <c r="F652" s="205" t="str" cm="1">
        <f t="array" aca="1" ref="F652" ca="1">IFERROR(
IF($J$2="ELA",
IF(VLOOKUP($A652, YES_Reading_ELA[], COLUMN(INDIRECT("YES_Reading_ELA[Max Expectation - Per "&amp;VLOOKUP($D$2, 'Reading Report Logic'!$A$2:$B$8, 2, FALSE)&amp;"]")), FALSE)="", "",
VLOOKUP($A652,YES_Reading_ELA[], COLUMN(INDIRECT("YES_Reading_ELA[Max Expectation - Per "&amp;VLOOKUP($D$2,'Reading Report Logic'!$A$2:$B$8,2,FALSE)&amp;"]")), FALSE)),
IF($J$2="FLA",
IF(VLOOKUP($A652, YES_Reading_FLA[], COLUMN(INDIRECT("YES_Reading_FLA[Max Expectation - Per "&amp;VLOOKUP($D$2,'Reading Report Logic'!$A$2:$B$8,2,FALSE)&amp;"]")),FALSE)="","",
VLOOKUP($A652,YES_Reading_FLA[],COLUMN(INDIRECT("YES_Reading_FLA[Max Expectation - Per "&amp;VLOOKUP($D$2,'Reading Report Logic'!$A$2:$B$8,2,FALSE)&amp;"]")),FALSE)),
IF($J$2="Combined",
IFERROR(
IF(VLOOKUP($A652, YES_Reading_ELA[], COLUMN(INDIRECT("YES_Reading_ELA[Max Expectation - Per "&amp;VLOOKUP($D$2, 'Reading Report Logic'!$A$2:$B$8,2,FALSE)&amp;"]")), FALSE)="", "",
VLOOKUP($A652,YES_Reading_ELA[],COLUMN(INDIRECT("YES_Reading_ELA[Max Expectation - Per "&amp;VLOOKUP($D$2,'Reading Report Logic'!$A$2:$B$8,2,FALSE)&amp;"]")),FALSE)),
IF(VLOOKUP($A652, YES_Reading_FLA[], COLUMN(INDIRECT("YES_Reading_FLA[Max Expectation - Per "&amp;VLOOKUP($D$2, 'Reading Report Logic'!$A$2:$B$8, 2, FALSE)&amp;"]")),FALSE)="", "", VLOOKUP($A652,YES_Reading_FLA[],COLUMN(INDIRECT("YES_Reading_FLA[Max Expectation - Per "&amp;VLOOKUP($D$2, 'Reading Report Logic'!$A$2:$B$8, 2, FALSE)&amp;"]")),FALSE))),""))),"")</f>
        <v/>
      </c>
      <c r="G652" s="205" t="str" cm="1">
        <f t="array" aca="1" ref="G652" ca="1">IFERROR(
IF($J$2="ELA",
IF(VLOOKUP($A652, YES_Reading_ELA[], COLUMN(INDIRECT("YES_Reading_ELA[Difference - Per "&amp;VLOOKUP($D$2, 'Reading Report Logic'!$A$2:$B$8, 2, FALSE)&amp;"]")), FALSE)="", "",
VLOOKUP($A652,YES_Reading_ELA[], COLUMN(INDIRECT("YES_Reading_ELA[Difference - Per "&amp;VLOOKUP($D$2,'Reading Report Logic'!$A$2:$B$8,2,FALSE)&amp;"]")), FALSE)),
IF($J$2="FLA",
IF(VLOOKUP($A652, YES_Reading_FLA[], COLUMN(INDIRECT("YES_Reading_FLA[Difference - Per "&amp;VLOOKUP($D$2,'Reading Report Logic'!$A$2:$B$8,2,FALSE)&amp;"]")),FALSE)="","",
VLOOKUP($A652,YES_Reading_FLA[],COLUMN(INDIRECT("YES_Reading_FLA[Difference - Per "&amp;VLOOKUP($D$2,'Reading Report Logic'!$A$2:$B$8,2,FALSE)&amp;"]")),FALSE)),
IF($J$2="Combined",
IFERROR(
IF(VLOOKUP($A652, YES_Reading_ELA[], COLUMN(INDIRECT("YES_Reading_ELA[Difference - Per "&amp;VLOOKUP($D$2, 'Reading Report Logic'!$A$2:$B$8,2,FALSE)&amp;"]")), FALSE)="", "",
VLOOKUP($A652,YES_Reading_ELA[],COLUMN(INDIRECT("YES_Reading_ELA[Difference - Per "&amp;VLOOKUP($D$2,'Reading Report Logic'!$A$2:$B$8,2,FALSE)&amp;"]")),FALSE)),
IF(VLOOKUP($A652, YES_Reading_FLA[], COLUMN(INDIRECT("YES_Reading_FLA[Difference - Per "&amp;VLOOKUP($D$2, 'Reading Report Logic'!$A$2:$B$8, 2, FALSE)&amp;"]")),FALSE)="", "", VLOOKUP($A652,YES_Reading_FLA[],COLUMN(INDIRECT("YES_Reading_FLA[Difference - Per "&amp;VLOOKUP($D$2, 'Reading Report Logic'!$A$2:$B$8, 2, FALSE)&amp;"]")),FALSE))),""))),"")</f>
        <v/>
      </c>
      <c r="H652" s="206" t="str">
        <f ca="1">IFERROR(VLOOKUP('Teacher Reading Pull Sheets'!$D652,_xlfn.VSTACK('ELA Reading Logic'!$A$22:$B$48,'FLA Reading Logic'!$A$22:$B$53),2,FALSE)-VLOOKUP('Teacher Reading Pull Sheets'!$C652,_xlfn.VSTACK('ELA Reading Logic'!$A$22:$B$48,'FLA Reading Logic'!$A$22:$B$53),2,FALSE),"")</f>
        <v/>
      </c>
      <c r="I652" s="212"/>
      <c r="J652" s="206"/>
      <c r="K652" s="197" t="str" cm="1">
        <f t="array" ref="K652">IFERROR(
IF($J$2="ELA",
IF(VLOOKUP($A652, YES_Reading_ELA[], COLUMN(YES_Reading_ELA[Self-Identified as African Descent]), FALSE)="", "",
VLOOKUP($A652,YES_Reading_ELA[], COLUMN(YES_Reading_ELA[Self-Identified as African Descent]), FALSE)),
IF($J$2="FLA",
IF(VLOOKUP($A652, YES_Reading_FLA[], COLUMN(YES_Reading_FLA[Self-Identified as African Descent]),FALSE)="","",
VLOOKUP($A652,YES_Reading_FLA[],COLUMN(YES_Reading_FLA[Self-Identified as African Descent]),FALSE)),
IF($J$2="Combined",
IFERROR(
IF(VLOOKUP($A652, YES_Reading_ELA[], COLUMN(YES_Reading_ELA[Self-Identified as African Descent]), FALSE)="", "",
VLOOKUP($A652,YES_Reading_ELA[],COLUMN(YES_Reading_ELA[Self-Identified as African Descent]),FALSE)),
IF(VLOOKUP($A652, YES_Reading_FLA[], COLUMN(YES_Reading_FLA[Self-Identified as African Descent]),FALSE)="", "", VLOOKUP($A652,YES_Reading_FLA[],COLUMN(YES_Reading_FLA[Self-Identified as African Descent]),FALSE))),""))),"")</f>
        <v/>
      </c>
      <c r="L652" s="73" t="str" cm="1">
        <f t="array" ref="L652">IFERROR(
IF($J$2="ELA",
IF(VLOOKUP($A652, YES_Reading_ELA[], COLUMN(YES_Reading_ELA[Self-Identified as Indigenous]), FALSE)="", "",
VLOOKUP($A652,YES_Reading_ELA[], COLUMN(YES_Reading_ELA[Self-Identified as Indigenous]), FALSE)),
IF($J$2="FLA",
IF(VLOOKUP($A652, YES_Reading_FLA[], COLUMN(YES_Reading_FLA[Self-Identified as Indigenous]),FALSE)="","",
VLOOKUP($A652,YES_Reading_FLA[],COLUMN(YES_Reading_FLA[Self-Identified as Indigenous]),FALSE)),
IF($J$2="Combined",
IFERROR(
IF(VLOOKUP($A652, YES_Reading_ELA[], COLUMN(YES_Reading_ELA[Self-Identified as Indigenous]), FALSE)="", "",
VLOOKUP($A652,YES_Reading_ELA[],COLUMN(YES_Reading_ELA[Self-Identified as Indigenous]),FALSE)),
IF(VLOOKUP($A652, YES_Reading_FLA[], COLUMN(YES_Reading_FLA[Self-Identified as Indigenous]),FALSE)="", "", VLOOKUP($A652,YES_Reading_FLA[],COLUMN(YES_Reading_FLA[Self-Identified as Indigenous]),FALSE))),""))),"")</f>
        <v/>
      </c>
    </row>
    <row r="653" spans="1:12" ht="19.5" customHeight="1" x14ac:dyDescent="0.25">
      <c r="A653" s="217"/>
      <c r="B653" s="220" t="str">
        <f>IFERROR(VLOOKUP(A653,_xlfn.VSTACK(YES_Reading_ELA[],YES_Reading_FLA[]),2,FALSE),"")</f>
        <v/>
      </c>
      <c r="C653" s="203" t="str" cm="1">
        <f t="array" aca="1" ref="C653" ca="1">IFERROR(
IF($J$2="ELA",
IF(VLOOKUP($A653, YES_Reading_ELA[], COLUMN(IF(VLOOKUP($D$2, 'Reading Report Logic'!$A$2:$B$8, 2, FALSE)=1, YES_Reading_ELA[Reading Level June of Previous School Year], INDIRECT("YES_Reading_ELA[Instructional Reading Level - Per "&amp;(VLOOKUP($D$2,'Reading Report Logic'!$A$2:$B$8,2,FALSE)-1)&amp;"]"))), FALSE)="", "",
VLOOKUP($A653,YES_Reading_ELA[], COLUMN(IF(VLOOKUP($D$2,'Reading Report Logic'!$A$2:$B$8,2,FALSE)=1, YES_Reading_ELA[Reading Level June of Previous School Year],INDIRECT("YES_Reading_ELA[Instructional Reading Level - Per "&amp;(VLOOKUP($D$2,'Reading Report Logic'!$A$2:$B$8,2,FALSE)-1)&amp;"]"))), FALSE)),
IF($J$2="FLA",
IF(VLOOKUP($A653, YES_Reading_FLA[], COLUMN(IF(VLOOKUP($D$2,'Reading Report Logic'!$A$2:$B$8,2,FALSE)=1, YES_Reading_FLA[Reading Level June of Previous School Year],INDIRECT("YES_Reading_FLA[Instructional Reading Level - Per "&amp;(VLOOKUP($D$2,'Reading Report Logic'!$A$2:$B$8,2,FALSE)-1)&amp;"]"))),FALSE)="","",
VLOOKUP($A653,YES_Reading_FLA[], COLUMN(IF(VLOOKUP($D$2,'Reading Report Logic'!$A$2:$B$8,2,FALSE)=1, YES_Reading_FLA[Reading Level June of Previous School Year],INDIRECT("YES_Reading_FLA[Instructional Reading Level - Per "&amp;(VLOOKUP($D$2,'Reading Report Logic'!$A$2:$B$8,2,FALSE)-1)&amp;"]"))),FALSE)),
IF($J$2="Combined",
IFERROR(
IF(VLOOKUP($A653, YES_Reading_ELA[], COLUMN(IF(VLOOKUP($D$2,'Reading Report Logic'!$A$2:$B$8,2,FALSE)=1, YES_Reading_ELA[Reading Level June of Previous School Year],INDIRECT("YES_Reading_ELA[Instructional Reading Level - Per "&amp;(VLOOKUP($D$2,'Reading Report Logic'!$A$2:$B$8,2,FALSE)-1)&amp;"]"))), FALSE)="", "",
VLOOKUP($A653,YES_Reading_ELA[],COLUMN(IF(VLOOKUP($D$2,'Reading Report Logic'!$A$2:$B$8,2,FALSE)=1, YES_Reading_ELA[Reading Level June of Previous School Year],INDIRECT("YES_Reading_ELA[Instructional Reading Level - Per "&amp;(VLOOKUP($D$2,'Reading Report Logic'!$A$2:$B$8,2,FALSE)-1)&amp;"]"))),FALSE)),
IF(VLOOKUP($A653, YES_Reading_FLA[], COLUMN(IF(VLOOKUP($D$2,'Reading Report Logic'!$A$2:$B$8,2,FALSE)=1, YES_Reading_FLA[Reading Level June of Previous School Year],INDIRECT("YES_Reading_FLA[Instructional Reading Level - Per "&amp;(VLOOKUP($D$2,'Reading Report Logic'!$A$2:$B$8,2,FALSE)-1)&amp;"]"))),FALSE)="", "", VLOOKUP($A653,YES_Reading_FLA[],COLUMN(IF(VLOOKUP($D$2,'Reading Report Logic'!$A$2:$B$8,2,FALSE)=1, YES_Reading_FLA[Reading Level June of Previous School Year],INDIRECT("YES_Reading_FLA[Instructional Reading Level - Per "&amp;(VLOOKUP($D$2,'Reading Report Logic'!$A$2:$B$8,2,FALSE)-1)&amp;"]"))), FALSE))),""))),"")</f>
        <v/>
      </c>
      <c r="D653" s="204" t="str" cm="1">
        <f t="array" aca="1" ref="D653" ca="1">IFERROR(
IF($J$2="ELA",
IF(VLOOKUP($A653, YES_Reading_ELA[], COLUMN(INDIRECT("YES_Reading_ELA[Instructional Reading Level - Per "&amp;VLOOKUP($D$2, 'Reading Report Logic'!$A$2:$B$8, 2, FALSE)&amp;"]")), FALSE)="", "",
VLOOKUP($A653,YES_Reading_ELA[], COLUMN(INDIRECT("YES_Reading_ELA[Instructional Reading Level - Per "&amp;VLOOKUP($D$2,'Reading Report Logic'!$A$2:$B$8,2,FALSE)&amp;"]")), FALSE)),
IF($J$2="FLA",
IF(VLOOKUP($A653, YES_Reading_FLA[], COLUMN(INDIRECT("YES_Reading_FLA[Instructional Reading Level - Per "&amp;VLOOKUP($D$2,'Reading Report Logic'!$A$2:$B$8,2,FALSE)&amp;"]")),FALSE)="","",
VLOOKUP($A653,YES_Reading_FLA[],COLUMN(INDIRECT("YES_Reading_FLA[Instructional Reading Level - Per "&amp;VLOOKUP($D$2,'Reading Report Logic'!$A$2:$B$8,2,FALSE)&amp;"]")),FALSE)),
IF($J$2="Combined",
IFERROR(
IF(VLOOKUP($A653, YES_Reading_ELA[], COLUMN(INDIRECT("YES_Reading_ELA[Instructional Reading Level - Per "&amp;VLOOKUP($D$2, 'Reading Report Logic'!$A$2:$B$8,2,FALSE)&amp;"]")), FALSE)="", "",
VLOOKUP($A653,YES_Reading_ELA[],COLUMN(INDIRECT("YES_Reading_ELA[Instructional Reading Level - Per "&amp;VLOOKUP($D$2,'Reading Report Logic'!$A$2:$B$8,2,FALSE)&amp;"]")),FALSE)),
IF(VLOOKUP($A653, YES_Reading_FLA[], COLUMN(INDIRECT("YES_Reading_FLA[Instructional Reading Level - Per "&amp;VLOOKUP($D$2, 'Reading Report Logic'!$A$2:$B$8, 2, FALSE)&amp;"]")),FALSE)="", "", VLOOKUP($A653,YES_Reading_FLA[],COLUMN(INDIRECT("YES_Reading_FLA[Instructional Reading Level - Per "&amp;VLOOKUP($D$2, 'Reading Report Logic'!$A$2:$B$8, 2, FALSE)&amp;"]")),FALSE))),""))),"")</f>
        <v/>
      </c>
      <c r="E653" s="205" t="str" cm="1">
        <f t="array" aca="1" ref="E653" ca="1">IFERROR(
IF($J$2="ELA",
IF(VLOOKUP($A653, YES_Reading_ELA[], COLUMN(INDIRECT("YES_Reading_ELA[Min Expectation - Per "&amp;VLOOKUP($D$2, 'Reading Report Logic'!$A$2:$B$8, 2, FALSE)&amp;"]")), FALSE)="", "",
VLOOKUP($A653,YES_Reading_ELA[], COLUMN(INDIRECT("YES_Reading_ELA[Min Expectation - Per "&amp;VLOOKUP($D$2,'Reading Report Logic'!$A$2:$B$8,2,FALSE)&amp;"]")), FALSE)),
IF($J$2="FLA",
IF(VLOOKUP($A653, YES_Reading_FLA[], COLUMN(INDIRECT("YES_Reading_FLA[Min Expectation - Per "&amp;VLOOKUP($D$2,'Reading Report Logic'!$A$2:$B$8,2,FALSE)&amp;"]")),FALSE)="","",
VLOOKUP($A653,YES_Reading_FLA[],COLUMN(INDIRECT("YES_Reading_FLA[Min Expectation - Per "&amp;VLOOKUP($D$2,'Reading Report Logic'!$A$2:$B$8,2,FALSE)&amp;"]")),FALSE)),
IF($J$2="Combined",
IFERROR(
IF(VLOOKUP($A653, YES_Reading_ELA[], COLUMN(INDIRECT("YES_Reading_ELA[Min Expectation - Per "&amp;VLOOKUP($D$2, 'Reading Report Logic'!$A$2:$B$8,2,FALSE)&amp;"]")), FALSE)="", "",
VLOOKUP($A653,YES_Reading_ELA[],COLUMN(INDIRECT("YES_Reading_ELA[Min Expectation - Per "&amp;VLOOKUP($D$2,'Reading Report Logic'!$A$2:$B$8,2,FALSE)&amp;"]")),FALSE)),
IF(VLOOKUP($A653, YES_Reading_FLA[], COLUMN(INDIRECT("YES_Reading_FLA[Min Expectation - Per "&amp;VLOOKUP($D$2, 'Reading Report Logic'!$A$2:$B$8, 2, FALSE)&amp;"]")),FALSE)="", "", VLOOKUP($A653,YES_Reading_FLA[],COLUMN(INDIRECT("YES_Reading_FLA[Min Expectation - Per "&amp;VLOOKUP($D$2, 'Reading Report Logic'!$A$2:$B$8, 2, FALSE)&amp;"]")),FALSE))),""))),"")</f>
        <v/>
      </c>
      <c r="F653" s="205" t="str" cm="1">
        <f t="array" aca="1" ref="F653" ca="1">IFERROR(
IF($J$2="ELA",
IF(VLOOKUP($A653, YES_Reading_ELA[], COLUMN(INDIRECT("YES_Reading_ELA[Max Expectation - Per "&amp;VLOOKUP($D$2, 'Reading Report Logic'!$A$2:$B$8, 2, FALSE)&amp;"]")), FALSE)="", "",
VLOOKUP($A653,YES_Reading_ELA[], COLUMN(INDIRECT("YES_Reading_ELA[Max Expectation - Per "&amp;VLOOKUP($D$2,'Reading Report Logic'!$A$2:$B$8,2,FALSE)&amp;"]")), FALSE)),
IF($J$2="FLA",
IF(VLOOKUP($A653, YES_Reading_FLA[], COLUMN(INDIRECT("YES_Reading_FLA[Max Expectation - Per "&amp;VLOOKUP($D$2,'Reading Report Logic'!$A$2:$B$8,2,FALSE)&amp;"]")),FALSE)="","",
VLOOKUP($A653,YES_Reading_FLA[],COLUMN(INDIRECT("YES_Reading_FLA[Max Expectation - Per "&amp;VLOOKUP($D$2,'Reading Report Logic'!$A$2:$B$8,2,FALSE)&amp;"]")),FALSE)),
IF($J$2="Combined",
IFERROR(
IF(VLOOKUP($A653, YES_Reading_ELA[], COLUMN(INDIRECT("YES_Reading_ELA[Max Expectation - Per "&amp;VLOOKUP($D$2, 'Reading Report Logic'!$A$2:$B$8,2,FALSE)&amp;"]")), FALSE)="", "",
VLOOKUP($A653,YES_Reading_ELA[],COLUMN(INDIRECT("YES_Reading_ELA[Max Expectation - Per "&amp;VLOOKUP($D$2,'Reading Report Logic'!$A$2:$B$8,2,FALSE)&amp;"]")),FALSE)),
IF(VLOOKUP($A653, YES_Reading_FLA[], COLUMN(INDIRECT("YES_Reading_FLA[Max Expectation - Per "&amp;VLOOKUP($D$2, 'Reading Report Logic'!$A$2:$B$8, 2, FALSE)&amp;"]")),FALSE)="", "", VLOOKUP($A653,YES_Reading_FLA[],COLUMN(INDIRECT("YES_Reading_FLA[Max Expectation - Per "&amp;VLOOKUP($D$2, 'Reading Report Logic'!$A$2:$B$8, 2, FALSE)&amp;"]")),FALSE))),""))),"")</f>
        <v/>
      </c>
      <c r="G653" s="205" t="str" cm="1">
        <f t="array" aca="1" ref="G653" ca="1">IFERROR(
IF($J$2="ELA",
IF(VLOOKUP($A653, YES_Reading_ELA[], COLUMN(INDIRECT("YES_Reading_ELA[Difference - Per "&amp;VLOOKUP($D$2, 'Reading Report Logic'!$A$2:$B$8, 2, FALSE)&amp;"]")), FALSE)="", "",
VLOOKUP($A653,YES_Reading_ELA[], COLUMN(INDIRECT("YES_Reading_ELA[Difference - Per "&amp;VLOOKUP($D$2,'Reading Report Logic'!$A$2:$B$8,2,FALSE)&amp;"]")), FALSE)),
IF($J$2="FLA",
IF(VLOOKUP($A653, YES_Reading_FLA[], COLUMN(INDIRECT("YES_Reading_FLA[Difference - Per "&amp;VLOOKUP($D$2,'Reading Report Logic'!$A$2:$B$8,2,FALSE)&amp;"]")),FALSE)="","",
VLOOKUP($A653,YES_Reading_FLA[],COLUMN(INDIRECT("YES_Reading_FLA[Difference - Per "&amp;VLOOKUP($D$2,'Reading Report Logic'!$A$2:$B$8,2,FALSE)&amp;"]")),FALSE)),
IF($J$2="Combined",
IFERROR(
IF(VLOOKUP($A653, YES_Reading_ELA[], COLUMN(INDIRECT("YES_Reading_ELA[Difference - Per "&amp;VLOOKUP($D$2, 'Reading Report Logic'!$A$2:$B$8,2,FALSE)&amp;"]")), FALSE)="", "",
VLOOKUP($A653,YES_Reading_ELA[],COLUMN(INDIRECT("YES_Reading_ELA[Difference - Per "&amp;VLOOKUP($D$2,'Reading Report Logic'!$A$2:$B$8,2,FALSE)&amp;"]")),FALSE)),
IF(VLOOKUP($A653, YES_Reading_FLA[], COLUMN(INDIRECT("YES_Reading_FLA[Difference - Per "&amp;VLOOKUP($D$2, 'Reading Report Logic'!$A$2:$B$8, 2, FALSE)&amp;"]")),FALSE)="", "", VLOOKUP($A653,YES_Reading_FLA[],COLUMN(INDIRECT("YES_Reading_FLA[Difference - Per "&amp;VLOOKUP($D$2, 'Reading Report Logic'!$A$2:$B$8, 2, FALSE)&amp;"]")),FALSE))),""))),"")</f>
        <v/>
      </c>
      <c r="H653" s="206" t="str">
        <f ca="1">IFERROR(VLOOKUP('Teacher Reading Pull Sheets'!$D653,_xlfn.VSTACK('ELA Reading Logic'!$A$22:$B$48,'FLA Reading Logic'!$A$22:$B$53),2,FALSE)-VLOOKUP('Teacher Reading Pull Sheets'!$C653,_xlfn.VSTACK('ELA Reading Logic'!$A$22:$B$48,'FLA Reading Logic'!$A$22:$B$53),2,FALSE),"")</f>
        <v/>
      </c>
      <c r="I653" s="212"/>
      <c r="J653" s="206"/>
      <c r="K653" s="197" t="str" cm="1">
        <f t="array" ref="K653">IFERROR(
IF($J$2="ELA",
IF(VLOOKUP($A653, YES_Reading_ELA[], COLUMN(YES_Reading_ELA[Self-Identified as African Descent]), FALSE)="", "",
VLOOKUP($A653,YES_Reading_ELA[], COLUMN(YES_Reading_ELA[Self-Identified as African Descent]), FALSE)),
IF($J$2="FLA",
IF(VLOOKUP($A653, YES_Reading_FLA[], COLUMN(YES_Reading_FLA[Self-Identified as African Descent]),FALSE)="","",
VLOOKUP($A653,YES_Reading_FLA[],COLUMN(YES_Reading_FLA[Self-Identified as African Descent]),FALSE)),
IF($J$2="Combined",
IFERROR(
IF(VLOOKUP($A653, YES_Reading_ELA[], COLUMN(YES_Reading_ELA[Self-Identified as African Descent]), FALSE)="", "",
VLOOKUP($A653,YES_Reading_ELA[],COLUMN(YES_Reading_ELA[Self-Identified as African Descent]),FALSE)),
IF(VLOOKUP($A653, YES_Reading_FLA[], COLUMN(YES_Reading_FLA[Self-Identified as African Descent]),FALSE)="", "", VLOOKUP($A653,YES_Reading_FLA[],COLUMN(YES_Reading_FLA[Self-Identified as African Descent]),FALSE))),""))),"")</f>
        <v/>
      </c>
      <c r="L653" s="73" t="str" cm="1">
        <f t="array" ref="L653">IFERROR(
IF($J$2="ELA",
IF(VLOOKUP($A653, YES_Reading_ELA[], COLUMN(YES_Reading_ELA[Self-Identified as Indigenous]), FALSE)="", "",
VLOOKUP($A653,YES_Reading_ELA[], COLUMN(YES_Reading_ELA[Self-Identified as Indigenous]), FALSE)),
IF($J$2="FLA",
IF(VLOOKUP($A653, YES_Reading_FLA[], COLUMN(YES_Reading_FLA[Self-Identified as Indigenous]),FALSE)="","",
VLOOKUP($A653,YES_Reading_FLA[],COLUMN(YES_Reading_FLA[Self-Identified as Indigenous]),FALSE)),
IF($J$2="Combined",
IFERROR(
IF(VLOOKUP($A653, YES_Reading_ELA[], COLUMN(YES_Reading_ELA[Self-Identified as Indigenous]), FALSE)="", "",
VLOOKUP($A653,YES_Reading_ELA[],COLUMN(YES_Reading_ELA[Self-Identified as Indigenous]),FALSE)),
IF(VLOOKUP($A653, YES_Reading_FLA[], COLUMN(YES_Reading_FLA[Self-Identified as Indigenous]),FALSE)="", "", VLOOKUP($A653,YES_Reading_FLA[],COLUMN(YES_Reading_FLA[Self-Identified as Indigenous]),FALSE))),""))),"")</f>
        <v/>
      </c>
    </row>
    <row r="654" spans="1:12" ht="19.5" customHeight="1" x14ac:dyDescent="0.25">
      <c r="A654" s="217"/>
      <c r="B654" s="220" t="str">
        <f>IFERROR(VLOOKUP(A654,_xlfn.VSTACK(YES_Reading_ELA[],YES_Reading_FLA[]),2,FALSE),"")</f>
        <v/>
      </c>
      <c r="C654" s="203" t="str" cm="1">
        <f t="array" aca="1" ref="C654" ca="1">IFERROR(
IF($J$2="ELA",
IF(VLOOKUP($A654, YES_Reading_ELA[], COLUMN(IF(VLOOKUP($D$2, 'Reading Report Logic'!$A$2:$B$8, 2, FALSE)=1, YES_Reading_ELA[Reading Level June of Previous School Year], INDIRECT("YES_Reading_ELA[Instructional Reading Level - Per "&amp;(VLOOKUP($D$2,'Reading Report Logic'!$A$2:$B$8,2,FALSE)-1)&amp;"]"))), FALSE)="", "",
VLOOKUP($A654,YES_Reading_ELA[], COLUMN(IF(VLOOKUP($D$2,'Reading Report Logic'!$A$2:$B$8,2,FALSE)=1, YES_Reading_ELA[Reading Level June of Previous School Year],INDIRECT("YES_Reading_ELA[Instructional Reading Level - Per "&amp;(VLOOKUP($D$2,'Reading Report Logic'!$A$2:$B$8,2,FALSE)-1)&amp;"]"))), FALSE)),
IF($J$2="FLA",
IF(VLOOKUP($A654, YES_Reading_FLA[], COLUMN(IF(VLOOKUP($D$2,'Reading Report Logic'!$A$2:$B$8,2,FALSE)=1, YES_Reading_FLA[Reading Level June of Previous School Year],INDIRECT("YES_Reading_FLA[Instructional Reading Level - Per "&amp;(VLOOKUP($D$2,'Reading Report Logic'!$A$2:$B$8,2,FALSE)-1)&amp;"]"))),FALSE)="","",
VLOOKUP($A654,YES_Reading_FLA[], COLUMN(IF(VLOOKUP($D$2,'Reading Report Logic'!$A$2:$B$8,2,FALSE)=1, YES_Reading_FLA[Reading Level June of Previous School Year],INDIRECT("YES_Reading_FLA[Instructional Reading Level - Per "&amp;(VLOOKUP($D$2,'Reading Report Logic'!$A$2:$B$8,2,FALSE)-1)&amp;"]"))),FALSE)),
IF($J$2="Combined",
IFERROR(
IF(VLOOKUP($A654, YES_Reading_ELA[], COLUMN(IF(VLOOKUP($D$2,'Reading Report Logic'!$A$2:$B$8,2,FALSE)=1, YES_Reading_ELA[Reading Level June of Previous School Year],INDIRECT("YES_Reading_ELA[Instructional Reading Level - Per "&amp;(VLOOKUP($D$2,'Reading Report Logic'!$A$2:$B$8,2,FALSE)-1)&amp;"]"))), FALSE)="", "",
VLOOKUP($A654,YES_Reading_ELA[],COLUMN(IF(VLOOKUP($D$2,'Reading Report Logic'!$A$2:$B$8,2,FALSE)=1, YES_Reading_ELA[Reading Level June of Previous School Year],INDIRECT("YES_Reading_ELA[Instructional Reading Level - Per "&amp;(VLOOKUP($D$2,'Reading Report Logic'!$A$2:$B$8,2,FALSE)-1)&amp;"]"))),FALSE)),
IF(VLOOKUP($A654, YES_Reading_FLA[], COLUMN(IF(VLOOKUP($D$2,'Reading Report Logic'!$A$2:$B$8,2,FALSE)=1, YES_Reading_FLA[Reading Level June of Previous School Year],INDIRECT("YES_Reading_FLA[Instructional Reading Level - Per "&amp;(VLOOKUP($D$2,'Reading Report Logic'!$A$2:$B$8,2,FALSE)-1)&amp;"]"))),FALSE)="", "", VLOOKUP($A654,YES_Reading_FLA[],COLUMN(IF(VLOOKUP($D$2,'Reading Report Logic'!$A$2:$B$8,2,FALSE)=1, YES_Reading_FLA[Reading Level June of Previous School Year],INDIRECT("YES_Reading_FLA[Instructional Reading Level - Per "&amp;(VLOOKUP($D$2,'Reading Report Logic'!$A$2:$B$8,2,FALSE)-1)&amp;"]"))), FALSE))),""))),"")</f>
        <v/>
      </c>
      <c r="D654" s="204" t="str" cm="1">
        <f t="array" aca="1" ref="D654" ca="1">IFERROR(
IF($J$2="ELA",
IF(VLOOKUP($A654, YES_Reading_ELA[], COLUMN(INDIRECT("YES_Reading_ELA[Instructional Reading Level - Per "&amp;VLOOKUP($D$2, 'Reading Report Logic'!$A$2:$B$8, 2, FALSE)&amp;"]")), FALSE)="", "",
VLOOKUP($A654,YES_Reading_ELA[], COLUMN(INDIRECT("YES_Reading_ELA[Instructional Reading Level - Per "&amp;VLOOKUP($D$2,'Reading Report Logic'!$A$2:$B$8,2,FALSE)&amp;"]")), FALSE)),
IF($J$2="FLA",
IF(VLOOKUP($A654, YES_Reading_FLA[], COLUMN(INDIRECT("YES_Reading_FLA[Instructional Reading Level - Per "&amp;VLOOKUP($D$2,'Reading Report Logic'!$A$2:$B$8,2,FALSE)&amp;"]")),FALSE)="","",
VLOOKUP($A654,YES_Reading_FLA[],COLUMN(INDIRECT("YES_Reading_FLA[Instructional Reading Level - Per "&amp;VLOOKUP($D$2,'Reading Report Logic'!$A$2:$B$8,2,FALSE)&amp;"]")),FALSE)),
IF($J$2="Combined",
IFERROR(
IF(VLOOKUP($A654, YES_Reading_ELA[], COLUMN(INDIRECT("YES_Reading_ELA[Instructional Reading Level - Per "&amp;VLOOKUP($D$2, 'Reading Report Logic'!$A$2:$B$8,2,FALSE)&amp;"]")), FALSE)="", "",
VLOOKUP($A654,YES_Reading_ELA[],COLUMN(INDIRECT("YES_Reading_ELA[Instructional Reading Level - Per "&amp;VLOOKUP($D$2,'Reading Report Logic'!$A$2:$B$8,2,FALSE)&amp;"]")),FALSE)),
IF(VLOOKUP($A654, YES_Reading_FLA[], COLUMN(INDIRECT("YES_Reading_FLA[Instructional Reading Level - Per "&amp;VLOOKUP($D$2, 'Reading Report Logic'!$A$2:$B$8, 2, FALSE)&amp;"]")),FALSE)="", "", VLOOKUP($A654,YES_Reading_FLA[],COLUMN(INDIRECT("YES_Reading_FLA[Instructional Reading Level - Per "&amp;VLOOKUP($D$2, 'Reading Report Logic'!$A$2:$B$8, 2, FALSE)&amp;"]")),FALSE))),""))),"")</f>
        <v/>
      </c>
      <c r="E654" s="205" t="str" cm="1">
        <f t="array" aca="1" ref="E654" ca="1">IFERROR(
IF($J$2="ELA",
IF(VLOOKUP($A654, YES_Reading_ELA[], COLUMN(INDIRECT("YES_Reading_ELA[Min Expectation - Per "&amp;VLOOKUP($D$2, 'Reading Report Logic'!$A$2:$B$8, 2, FALSE)&amp;"]")), FALSE)="", "",
VLOOKUP($A654,YES_Reading_ELA[], COLUMN(INDIRECT("YES_Reading_ELA[Min Expectation - Per "&amp;VLOOKUP($D$2,'Reading Report Logic'!$A$2:$B$8,2,FALSE)&amp;"]")), FALSE)),
IF($J$2="FLA",
IF(VLOOKUP($A654, YES_Reading_FLA[], COLUMN(INDIRECT("YES_Reading_FLA[Min Expectation - Per "&amp;VLOOKUP($D$2,'Reading Report Logic'!$A$2:$B$8,2,FALSE)&amp;"]")),FALSE)="","",
VLOOKUP($A654,YES_Reading_FLA[],COLUMN(INDIRECT("YES_Reading_FLA[Min Expectation - Per "&amp;VLOOKUP($D$2,'Reading Report Logic'!$A$2:$B$8,2,FALSE)&amp;"]")),FALSE)),
IF($J$2="Combined",
IFERROR(
IF(VLOOKUP($A654, YES_Reading_ELA[], COLUMN(INDIRECT("YES_Reading_ELA[Min Expectation - Per "&amp;VLOOKUP($D$2, 'Reading Report Logic'!$A$2:$B$8,2,FALSE)&amp;"]")), FALSE)="", "",
VLOOKUP($A654,YES_Reading_ELA[],COLUMN(INDIRECT("YES_Reading_ELA[Min Expectation - Per "&amp;VLOOKUP($D$2,'Reading Report Logic'!$A$2:$B$8,2,FALSE)&amp;"]")),FALSE)),
IF(VLOOKUP($A654, YES_Reading_FLA[], COLUMN(INDIRECT("YES_Reading_FLA[Min Expectation - Per "&amp;VLOOKUP($D$2, 'Reading Report Logic'!$A$2:$B$8, 2, FALSE)&amp;"]")),FALSE)="", "", VLOOKUP($A654,YES_Reading_FLA[],COLUMN(INDIRECT("YES_Reading_FLA[Min Expectation - Per "&amp;VLOOKUP($D$2, 'Reading Report Logic'!$A$2:$B$8, 2, FALSE)&amp;"]")),FALSE))),""))),"")</f>
        <v/>
      </c>
      <c r="F654" s="205" t="str" cm="1">
        <f t="array" aca="1" ref="F654" ca="1">IFERROR(
IF($J$2="ELA",
IF(VLOOKUP($A654, YES_Reading_ELA[], COLUMN(INDIRECT("YES_Reading_ELA[Max Expectation - Per "&amp;VLOOKUP($D$2, 'Reading Report Logic'!$A$2:$B$8, 2, FALSE)&amp;"]")), FALSE)="", "",
VLOOKUP($A654,YES_Reading_ELA[], COLUMN(INDIRECT("YES_Reading_ELA[Max Expectation - Per "&amp;VLOOKUP($D$2,'Reading Report Logic'!$A$2:$B$8,2,FALSE)&amp;"]")), FALSE)),
IF($J$2="FLA",
IF(VLOOKUP($A654, YES_Reading_FLA[], COLUMN(INDIRECT("YES_Reading_FLA[Max Expectation - Per "&amp;VLOOKUP($D$2,'Reading Report Logic'!$A$2:$B$8,2,FALSE)&amp;"]")),FALSE)="","",
VLOOKUP($A654,YES_Reading_FLA[],COLUMN(INDIRECT("YES_Reading_FLA[Max Expectation - Per "&amp;VLOOKUP($D$2,'Reading Report Logic'!$A$2:$B$8,2,FALSE)&amp;"]")),FALSE)),
IF($J$2="Combined",
IFERROR(
IF(VLOOKUP($A654, YES_Reading_ELA[], COLUMN(INDIRECT("YES_Reading_ELA[Max Expectation - Per "&amp;VLOOKUP($D$2, 'Reading Report Logic'!$A$2:$B$8,2,FALSE)&amp;"]")), FALSE)="", "",
VLOOKUP($A654,YES_Reading_ELA[],COLUMN(INDIRECT("YES_Reading_ELA[Max Expectation - Per "&amp;VLOOKUP($D$2,'Reading Report Logic'!$A$2:$B$8,2,FALSE)&amp;"]")),FALSE)),
IF(VLOOKUP($A654, YES_Reading_FLA[], COLUMN(INDIRECT("YES_Reading_FLA[Max Expectation - Per "&amp;VLOOKUP($D$2, 'Reading Report Logic'!$A$2:$B$8, 2, FALSE)&amp;"]")),FALSE)="", "", VLOOKUP($A654,YES_Reading_FLA[],COLUMN(INDIRECT("YES_Reading_FLA[Max Expectation - Per "&amp;VLOOKUP($D$2, 'Reading Report Logic'!$A$2:$B$8, 2, FALSE)&amp;"]")),FALSE))),""))),"")</f>
        <v/>
      </c>
      <c r="G654" s="205" t="str" cm="1">
        <f t="array" aca="1" ref="G654" ca="1">IFERROR(
IF($J$2="ELA",
IF(VLOOKUP($A654, YES_Reading_ELA[], COLUMN(INDIRECT("YES_Reading_ELA[Difference - Per "&amp;VLOOKUP($D$2, 'Reading Report Logic'!$A$2:$B$8, 2, FALSE)&amp;"]")), FALSE)="", "",
VLOOKUP($A654,YES_Reading_ELA[], COLUMN(INDIRECT("YES_Reading_ELA[Difference - Per "&amp;VLOOKUP($D$2,'Reading Report Logic'!$A$2:$B$8,2,FALSE)&amp;"]")), FALSE)),
IF($J$2="FLA",
IF(VLOOKUP($A654, YES_Reading_FLA[], COLUMN(INDIRECT("YES_Reading_FLA[Difference - Per "&amp;VLOOKUP($D$2,'Reading Report Logic'!$A$2:$B$8,2,FALSE)&amp;"]")),FALSE)="","",
VLOOKUP($A654,YES_Reading_FLA[],COLUMN(INDIRECT("YES_Reading_FLA[Difference - Per "&amp;VLOOKUP($D$2,'Reading Report Logic'!$A$2:$B$8,2,FALSE)&amp;"]")),FALSE)),
IF($J$2="Combined",
IFERROR(
IF(VLOOKUP($A654, YES_Reading_ELA[], COLUMN(INDIRECT("YES_Reading_ELA[Difference - Per "&amp;VLOOKUP($D$2, 'Reading Report Logic'!$A$2:$B$8,2,FALSE)&amp;"]")), FALSE)="", "",
VLOOKUP($A654,YES_Reading_ELA[],COLUMN(INDIRECT("YES_Reading_ELA[Difference - Per "&amp;VLOOKUP($D$2,'Reading Report Logic'!$A$2:$B$8,2,FALSE)&amp;"]")),FALSE)),
IF(VLOOKUP($A654, YES_Reading_FLA[], COLUMN(INDIRECT("YES_Reading_FLA[Difference - Per "&amp;VLOOKUP($D$2, 'Reading Report Logic'!$A$2:$B$8, 2, FALSE)&amp;"]")),FALSE)="", "", VLOOKUP($A654,YES_Reading_FLA[],COLUMN(INDIRECT("YES_Reading_FLA[Difference - Per "&amp;VLOOKUP($D$2, 'Reading Report Logic'!$A$2:$B$8, 2, FALSE)&amp;"]")),FALSE))),""))),"")</f>
        <v/>
      </c>
      <c r="H654" s="206" t="str">
        <f ca="1">IFERROR(VLOOKUP('Teacher Reading Pull Sheets'!$D654,_xlfn.VSTACK('ELA Reading Logic'!$A$22:$B$48,'FLA Reading Logic'!$A$22:$B$53),2,FALSE)-VLOOKUP('Teacher Reading Pull Sheets'!$C654,_xlfn.VSTACK('ELA Reading Logic'!$A$22:$B$48,'FLA Reading Logic'!$A$22:$B$53),2,FALSE),"")</f>
        <v/>
      </c>
      <c r="I654" s="212"/>
      <c r="J654" s="206"/>
      <c r="K654" s="197" t="str" cm="1">
        <f t="array" ref="K654">IFERROR(
IF($J$2="ELA",
IF(VLOOKUP($A654, YES_Reading_ELA[], COLUMN(YES_Reading_ELA[Self-Identified as African Descent]), FALSE)="", "",
VLOOKUP($A654,YES_Reading_ELA[], COLUMN(YES_Reading_ELA[Self-Identified as African Descent]), FALSE)),
IF($J$2="FLA",
IF(VLOOKUP($A654, YES_Reading_FLA[], COLUMN(YES_Reading_FLA[Self-Identified as African Descent]),FALSE)="","",
VLOOKUP($A654,YES_Reading_FLA[],COLUMN(YES_Reading_FLA[Self-Identified as African Descent]),FALSE)),
IF($J$2="Combined",
IFERROR(
IF(VLOOKUP($A654, YES_Reading_ELA[], COLUMN(YES_Reading_ELA[Self-Identified as African Descent]), FALSE)="", "",
VLOOKUP($A654,YES_Reading_ELA[],COLUMN(YES_Reading_ELA[Self-Identified as African Descent]),FALSE)),
IF(VLOOKUP($A654, YES_Reading_FLA[], COLUMN(YES_Reading_FLA[Self-Identified as African Descent]),FALSE)="", "", VLOOKUP($A654,YES_Reading_FLA[],COLUMN(YES_Reading_FLA[Self-Identified as African Descent]),FALSE))),""))),"")</f>
        <v/>
      </c>
      <c r="L654" s="73" t="str" cm="1">
        <f t="array" ref="L654">IFERROR(
IF($J$2="ELA",
IF(VLOOKUP($A654, YES_Reading_ELA[], COLUMN(YES_Reading_ELA[Self-Identified as Indigenous]), FALSE)="", "",
VLOOKUP($A654,YES_Reading_ELA[], COLUMN(YES_Reading_ELA[Self-Identified as Indigenous]), FALSE)),
IF($J$2="FLA",
IF(VLOOKUP($A654, YES_Reading_FLA[], COLUMN(YES_Reading_FLA[Self-Identified as Indigenous]),FALSE)="","",
VLOOKUP($A654,YES_Reading_FLA[],COLUMN(YES_Reading_FLA[Self-Identified as Indigenous]),FALSE)),
IF($J$2="Combined",
IFERROR(
IF(VLOOKUP($A654, YES_Reading_ELA[], COLUMN(YES_Reading_ELA[Self-Identified as Indigenous]), FALSE)="", "",
VLOOKUP($A654,YES_Reading_ELA[],COLUMN(YES_Reading_ELA[Self-Identified as Indigenous]),FALSE)),
IF(VLOOKUP($A654, YES_Reading_FLA[], COLUMN(YES_Reading_FLA[Self-Identified as Indigenous]),FALSE)="", "", VLOOKUP($A654,YES_Reading_FLA[],COLUMN(YES_Reading_FLA[Self-Identified as Indigenous]),FALSE))),""))),"")</f>
        <v/>
      </c>
    </row>
    <row r="655" spans="1:12" ht="19.5" customHeight="1" x14ac:dyDescent="0.25">
      <c r="A655" s="217"/>
      <c r="B655" s="220" t="str">
        <f>IFERROR(VLOOKUP(A655,_xlfn.VSTACK(YES_Reading_ELA[],YES_Reading_FLA[]),2,FALSE),"")</f>
        <v/>
      </c>
      <c r="C655" s="203" t="str" cm="1">
        <f t="array" aca="1" ref="C655" ca="1">IFERROR(
IF($J$2="ELA",
IF(VLOOKUP($A655, YES_Reading_ELA[], COLUMN(IF(VLOOKUP($D$2, 'Reading Report Logic'!$A$2:$B$8, 2, FALSE)=1, YES_Reading_ELA[Reading Level June of Previous School Year], INDIRECT("YES_Reading_ELA[Instructional Reading Level - Per "&amp;(VLOOKUP($D$2,'Reading Report Logic'!$A$2:$B$8,2,FALSE)-1)&amp;"]"))), FALSE)="", "",
VLOOKUP($A655,YES_Reading_ELA[], COLUMN(IF(VLOOKUP($D$2,'Reading Report Logic'!$A$2:$B$8,2,FALSE)=1, YES_Reading_ELA[Reading Level June of Previous School Year],INDIRECT("YES_Reading_ELA[Instructional Reading Level - Per "&amp;(VLOOKUP($D$2,'Reading Report Logic'!$A$2:$B$8,2,FALSE)-1)&amp;"]"))), FALSE)),
IF($J$2="FLA",
IF(VLOOKUP($A655, YES_Reading_FLA[], COLUMN(IF(VLOOKUP($D$2,'Reading Report Logic'!$A$2:$B$8,2,FALSE)=1, YES_Reading_FLA[Reading Level June of Previous School Year],INDIRECT("YES_Reading_FLA[Instructional Reading Level - Per "&amp;(VLOOKUP($D$2,'Reading Report Logic'!$A$2:$B$8,2,FALSE)-1)&amp;"]"))),FALSE)="","",
VLOOKUP($A655,YES_Reading_FLA[], COLUMN(IF(VLOOKUP($D$2,'Reading Report Logic'!$A$2:$B$8,2,FALSE)=1, YES_Reading_FLA[Reading Level June of Previous School Year],INDIRECT("YES_Reading_FLA[Instructional Reading Level - Per "&amp;(VLOOKUP($D$2,'Reading Report Logic'!$A$2:$B$8,2,FALSE)-1)&amp;"]"))),FALSE)),
IF($J$2="Combined",
IFERROR(
IF(VLOOKUP($A655, YES_Reading_ELA[], COLUMN(IF(VLOOKUP($D$2,'Reading Report Logic'!$A$2:$B$8,2,FALSE)=1, YES_Reading_ELA[Reading Level June of Previous School Year],INDIRECT("YES_Reading_ELA[Instructional Reading Level - Per "&amp;(VLOOKUP($D$2,'Reading Report Logic'!$A$2:$B$8,2,FALSE)-1)&amp;"]"))), FALSE)="", "",
VLOOKUP($A655,YES_Reading_ELA[],COLUMN(IF(VLOOKUP($D$2,'Reading Report Logic'!$A$2:$B$8,2,FALSE)=1, YES_Reading_ELA[Reading Level June of Previous School Year],INDIRECT("YES_Reading_ELA[Instructional Reading Level - Per "&amp;(VLOOKUP($D$2,'Reading Report Logic'!$A$2:$B$8,2,FALSE)-1)&amp;"]"))),FALSE)),
IF(VLOOKUP($A655, YES_Reading_FLA[], COLUMN(IF(VLOOKUP($D$2,'Reading Report Logic'!$A$2:$B$8,2,FALSE)=1, YES_Reading_FLA[Reading Level June of Previous School Year],INDIRECT("YES_Reading_FLA[Instructional Reading Level - Per "&amp;(VLOOKUP($D$2,'Reading Report Logic'!$A$2:$B$8,2,FALSE)-1)&amp;"]"))),FALSE)="", "", VLOOKUP($A655,YES_Reading_FLA[],COLUMN(IF(VLOOKUP($D$2,'Reading Report Logic'!$A$2:$B$8,2,FALSE)=1, YES_Reading_FLA[Reading Level June of Previous School Year],INDIRECT("YES_Reading_FLA[Instructional Reading Level - Per "&amp;(VLOOKUP($D$2,'Reading Report Logic'!$A$2:$B$8,2,FALSE)-1)&amp;"]"))), FALSE))),""))),"")</f>
        <v/>
      </c>
      <c r="D655" s="204" t="str" cm="1">
        <f t="array" aca="1" ref="D655" ca="1">IFERROR(
IF($J$2="ELA",
IF(VLOOKUP($A655, YES_Reading_ELA[], COLUMN(INDIRECT("YES_Reading_ELA[Instructional Reading Level - Per "&amp;VLOOKUP($D$2, 'Reading Report Logic'!$A$2:$B$8, 2, FALSE)&amp;"]")), FALSE)="", "",
VLOOKUP($A655,YES_Reading_ELA[], COLUMN(INDIRECT("YES_Reading_ELA[Instructional Reading Level - Per "&amp;VLOOKUP($D$2,'Reading Report Logic'!$A$2:$B$8,2,FALSE)&amp;"]")), FALSE)),
IF($J$2="FLA",
IF(VLOOKUP($A655, YES_Reading_FLA[], COLUMN(INDIRECT("YES_Reading_FLA[Instructional Reading Level - Per "&amp;VLOOKUP($D$2,'Reading Report Logic'!$A$2:$B$8,2,FALSE)&amp;"]")),FALSE)="","",
VLOOKUP($A655,YES_Reading_FLA[],COLUMN(INDIRECT("YES_Reading_FLA[Instructional Reading Level - Per "&amp;VLOOKUP($D$2,'Reading Report Logic'!$A$2:$B$8,2,FALSE)&amp;"]")),FALSE)),
IF($J$2="Combined",
IFERROR(
IF(VLOOKUP($A655, YES_Reading_ELA[], COLUMN(INDIRECT("YES_Reading_ELA[Instructional Reading Level - Per "&amp;VLOOKUP($D$2, 'Reading Report Logic'!$A$2:$B$8,2,FALSE)&amp;"]")), FALSE)="", "",
VLOOKUP($A655,YES_Reading_ELA[],COLUMN(INDIRECT("YES_Reading_ELA[Instructional Reading Level - Per "&amp;VLOOKUP($D$2,'Reading Report Logic'!$A$2:$B$8,2,FALSE)&amp;"]")),FALSE)),
IF(VLOOKUP($A655, YES_Reading_FLA[], COLUMN(INDIRECT("YES_Reading_FLA[Instructional Reading Level - Per "&amp;VLOOKUP($D$2, 'Reading Report Logic'!$A$2:$B$8, 2, FALSE)&amp;"]")),FALSE)="", "", VLOOKUP($A655,YES_Reading_FLA[],COLUMN(INDIRECT("YES_Reading_FLA[Instructional Reading Level - Per "&amp;VLOOKUP($D$2, 'Reading Report Logic'!$A$2:$B$8, 2, FALSE)&amp;"]")),FALSE))),""))),"")</f>
        <v/>
      </c>
      <c r="E655" s="205" t="str" cm="1">
        <f t="array" aca="1" ref="E655" ca="1">IFERROR(
IF($J$2="ELA",
IF(VLOOKUP($A655, YES_Reading_ELA[], COLUMN(INDIRECT("YES_Reading_ELA[Min Expectation - Per "&amp;VLOOKUP($D$2, 'Reading Report Logic'!$A$2:$B$8, 2, FALSE)&amp;"]")), FALSE)="", "",
VLOOKUP($A655,YES_Reading_ELA[], COLUMN(INDIRECT("YES_Reading_ELA[Min Expectation - Per "&amp;VLOOKUP($D$2,'Reading Report Logic'!$A$2:$B$8,2,FALSE)&amp;"]")), FALSE)),
IF($J$2="FLA",
IF(VLOOKUP($A655, YES_Reading_FLA[], COLUMN(INDIRECT("YES_Reading_FLA[Min Expectation - Per "&amp;VLOOKUP($D$2,'Reading Report Logic'!$A$2:$B$8,2,FALSE)&amp;"]")),FALSE)="","",
VLOOKUP($A655,YES_Reading_FLA[],COLUMN(INDIRECT("YES_Reading_FLA[Min Expectation - Per "&amp;VLOOKUP($D$2,'Reading Report Logic'!$A$2:$B$8,2,FALSE)&amp;"]")),FALSE)),
IF($J$2="Combined",
IFERROR(
IF(VLOOKUP($A655, YES_Reading_ELA[], COLUMN(INDIRECT("YES_Reading_ELA[Min Expectation - Per "&amp;VLOOKUP($D$2, 'Reading Report Logic'!$A$2:$B$8,2,FALSE)&amp;"]")), FALSE)="", "",
VLOOKUP($A655,YES_Reading_ELA[],COLUMN(INDIRECT("YES_Reading_ELA[Min Expectation - Per "&amp;VLOOKUP($D$2,'Reading Report Logic'!$A$2:$B$8,2,FALSE)&amp;"]")),FALSE)),
IF(VLOOKUP($A655, YES_Reading_FLA[], COLUMN(INDIRECT("YES_Reading_FLA[Min Expectation - Per "&amp;VLOOKUP($D$2, 'Reading Report Logic'!$A$2:$B$8, 2, FALSE)&amp;"]")),FALSE)="", "", VLOOKUP($A655,YES_Reading_FLA[],COLUMN(INDIRECT("YES_Reading_FLA[Min Expectation - Per "&amp;VLOOKUP($D$2, 'Reading Report Logic'!$A$2:$B$8, 2, FALSE)&amp;"]")),FALSE))),""))),"")</f>
        <v/>
      </c>
      <c r="F655" s="205" t="str" cm="1">
        <f t="array" aca="1" ref="F655" ca="1">IFERROR(
IF($J$2="ELA",
IF(VLOOKUP($A655, YES_Reading_ELA[], COLUMN(INDIRECT("YES_Reading_ELA[Max Expectation - Per "&amp;VLOOKUP($D$2, 'Reading Report Logic'!$A$2:$B$8, 2, FALSE)&amp;"]")), FALSE)="", "",
VLOOKUP($A655,YES_Reading_ELA[], COLUMN(INDIRECT("YES_Reading_ELA[Max Expectation - Per "&amp;VLOOKUP($D$2,'Reading Report Logic'!$A$2:$B$8,2,FALSE)&amp;"]")), FALSE)),
IF($J$2="FLA",
IF(VLOOKUP($A655, YES_Reading_FLA[], COLUMN(INDIRECT("YES_Reading_FLA[Max Expectation - Per "&amp;VLOOKUP($D$2,'Reading Report Logic'!$A$2:$B$8,2,FALSE)&amp;"]")),FALSE)="","",
VLOOKUP($A655,YES_Reading_FLA[],COLUMN(INDIRECT("YES_Reading_FLA[Max Expectation - Per "&amp;VLOOKUP($D$2,'Reading Report Logic'!$A$2:$B$8,2,FALSE)&amp;"]")),FALSE)),
IF($J$2="Combined",
IFERROR(
IF(VLOOKUP($A655, YES_Reading_ELA[], COLUMN(INDIRECT("YES_Reading_ELA[Max Expectation - Per "&amp;VLOOKUP($D$2, 'Reading Report Logic'!$A$2:$B$8,2,FALSE)&amp;"]")), FALSE)="", "",
VLOOKUP($A655,YES_Reading_ELA[],COLUMN(INDIRECT("YES_Reading_ELA[Max Expectation - Per "&amp;VLOOKUP($D$2,'Reading Report Logic'!$A$2:$B$8,2,FALSE)&amp;"]")),FALSE)),
IF(VLOOKUP($A655, YES_Reading_FLA[], COLUMN(INDIRECT("YES_Reading_FLA[Max Expectation - Per "&amp;VLOOKUP($D$2, 'Reading Report Logic'!$A$2:$B$8, 2, FALSE)&amp;"]")),FALSE)="", "", VLOOKUP($A655,YES_Reading_FLA[],COLUMN(INDIRECT("YES_Reading_FLA[Max Expectation - Per "&amp;VLOOKUP($D$2, 'Reading Report Logic'!$A$2:$B$8, 2, FALSE)&amp;"]")),FALSE))),""))),"")</f>
        <v/>
      </c>
      <c r="G655" s="205" t="str" cm="1">
        <f t="array" aca="1" ref="G655" ca="1">IFERROR(
IF($J$2="ELA",
IF(VLOOKUP($A655, YES_Reading_ELA[], COLUMN(INDIRECT("YES_Reading_ELA[Difference - Per "&amp;VLOOKUP($D$2, 'Reading Report Logic'!$A$2:$B$8, 2, FALSE)&amp;"]")), FALSE)="", "",
VLOOKUP($A655,YES_Reading_ELA[], COLUMN(INDIRECT("YES_Reading_ELA[Difference - Per "&amp;VLOOKUP($D$2,'Reading Report Logic'!$A$2:$B$8,2,FALSE)&amp;"]")), FALSE)),
IF($J$2="FLA",
IF(VLOOKUP($A655, YES_Reading_FLA[], COLUMN(INDIRECT("YES_Reading_FLA[Difference - Per "&amp;VLOOKUP($D$2,'Reading Report Logic'!$A$2:$B$8,2,FALSE)&amp;"]")),FALSE)="","",
VLOOKUP($A655,YES_Reading_FLA[],COLUMN(INDIRECT("YES_Reading_FLA[Difference - Per "&amp;VLOOKUP($D$2,'Reading Report Logic'!$A$2:$B$8,2,FALSE)&amp;"]")),FALSE)),
IF($J$2="Combined",
IFERROR(
IF(VLOOKUP($A655, YES_Reading_ELA[], COLUMN(INDIRECT("YES_Reading_ELA[Difference - Per "&amp;VLOOKUP($D$2, 'Reading Report Logic'!$A$2:$B$8,2,FALSE)&amp;"]")), FALSE)="", "",
VLOOKUP($A655,YES_Reading_ELA[],COLUMN(INDIRECT("YES_Reading_ELA[Difference - Per "&amp;VLOOKUP($D$2,'Reading Report Logic'!$A$2:$B$8,2,FALSE)&amp;"]")),FALSE)),
IF(VLOOKUP($A655, YES_Reading_FLA[], COLUMN(INDIRECT("YES_Reading_FLA[Difference - Per "&amp;VLOOKUP($D$2, 'Reading Report Logic'!$A$2:$B$8, 2, FALSE)&amp;"]")),FALSE)="", "", VLOOKUP($A655,YES_Reading_FLA[],COLUMN(INDIRECT("YES_Reading_FLA[Difference - Per "&amp;VLOOKUP($D$2, 'Reading Report Logic'!$A$2:$B$8, 2, FALSE)&amp;"]")),FALSE))),""))),"")</f>
        <v/>
      </c>
      <c r="H655" s="206" t="str">
        <f ca="1">IFERROR(VLOOKUP('Teacher Reading Pull Sheets'!$D655,_xlfn.VSTACK('ELA Reading Logic'!$A$22:$B$48,'FLA Reading Logic'!$A$22:$B$53),2,FALSE)-VLOOKUP('Teacher Reading Pull Sheets'!$C655,_xlfn.VSTACK('ELA Reading Logic'!$A$22:$B$48,'FLA Reading Logic'!$A$22:$B$53),2,FALSE),"")</f>
        <v/>
      </c>
      <c r="I655" s="212"/>
      <c r="J655" s="206"/>
      <c r="K655" s="197" t="str" cm="1">
        <f t="array" ref="K655">IFERROR(
IF($J$2="ELA",
IF(VLOOKUP($A655, YES_Reading_ELA[], COLUMN(YES_Reading_ELA[Self-Identified as African Descent]), FALSE)="", "",
VLOOKUP($A655,YES_Reading_ELA[], COLUMN(YES_Reading_ELA[Self-Identified as African Descent]), FALSE)),
IF($J$2="FLA",
IF(VLOOKUP($A655, YES_Reading_FLA[], COLUMN(YES_Reading_FLA[Self-Identified as African Descent]),FALSE)="","",
VLOOKUP($A655,YES_Reading_FLA[],COLUMN(YES_Reading_FLA[Self-Identified as African Descent]),FALSE)),
IF($J$2="Combined",
IFERROR(
IF(VLOOKUP($A655, YES_Reading_ELA[], COLUMN(YES_Reading_ELA[Self-Identified as African Descent]), FALSE)="", "",
VLOOKUP($A655,YES_Reading_ELA[],COLUMN(YES_Reading_ELA[Self-Identified as African Descent]),FALSE)),
IF(VLOOKUP($A655, YES_Reading_FLA[], COLUMN(YES_Reading_FLA[Self-Identified as African Descent]),FALSE)="", "", VLOOKUP($A655,YES_Reading_FLA[],COLUMN(YES_Reading_FLA[Self-Identified as African Descent]),FALSE))),""))),"")</f>
        <v/>
      </c>
      <c r="L655" s="73" t="str" cm="1">
        <f t="array" ref="L655">IFERROR(
IF($J$2="ELA",
IF(VLOOKUP($A655, YES_Reading_ELA[], COLUMN(YES_Reading_ELA[Self-Identified as Indigenous]), FALSE)="", "",
VLOOKUP($A655,YES_Reading_ELA[], COLUMN(YES_Reading_ELA[Self-Identified as Indigenous]), FALSE)),
IF($J$2="FLA",
IF(VLOOKUP($A655, YES_Reading_FLA[], COLUMN(YES_Reading_FLA[Self-Identified as Indigenous]),FALSE)="","",
VLOOKUP($A655,YES_Reading_FLA[],COLUMN(YES_Reading_FLA[Self-Identified as Indigenous]),FALSE)),
IF($J$2="Combined",
IFERROR(
IF(VLOOKUP($A655, YES_Reading_ELA[], COLUMN(YES_Reading_ELA[Self-Identified as Indigenous]), FALSE)="", "",
VLOOKUP($A655,YES_Reading_ELA[],COLUMN(YES_Reading_ELA[Self-Identified as Indigenous]),FALSE)),
IF(VLOOKUP($A655, YES_Reading_FLA[], COLUMN(YES_Reading_FLA[Self-Identified as Indigenous]),FALSE)="", "", VLOOKUP($A655,YES_Reading_FLA[],COLUMN(YES_Reading_FLA[Self-Identified as Indigenous]),FALSE))),""))),"")</f>
        <v/>
      </c>
    </row>
    <row r="656" spans="1:12" ht="19.5" customHeight="1" thickBot="1" x14ac:dyDescent="0.3">
      <c r="A656" s="218"/>
      <c r="B656" s="221" t="str">
        <f>IFERROR(VLOOKUP(A656,_xlfn.VSTACK(YES_Reading_ELA[],YES_Reading_FLA[]),2,FALSE),"")</f>
        <v/>
      </c>
      <c r="C656" s="208" t="str" cm="1">
        <f t="array" aca="1" ref="C656" ca="1">IFERROR(
IF($J$2="ELA",
IF(VLOOKUP($A656, YES_Reading_ELA[], COLUMN(IF(VLOOKUP($D$2, 'Reading Report Logic'!$A$2:$B$8, 2, FALSE)=1, YES_Reading_ELA[Reading Level June of Previous School Year], INDIRECT("YES_Reading_ELA[Instructional Reading Level - Per "&amp;(VLOOKUP($D$2,'Reading Report Logic'!$A$2:$B$8,2,FALSE)-1)&amp;"]"))), FALSE)="", "",
VLOOKUP($A656,YES_Reading_ELA[], COLUMN(IF(VLOOKUP($D$2,'Reading Report Logic'!$A$2:$B$8,2,FALSE)=1, YES_Reading_ELA[Reading Level June of Previous School Year],INDIRECT("YES_Reading_ELA[Instructional Reading Level - Per "&amp;(VLOOKUP($D$2,'Reading Report Logic'!$A$2:$B$8,2,FALSE)-1)&amp;"]"))), FALSE)),
IF($J$2="FLA",
IF(VLOOKUP($A656, YES_Reading_FLA[], COLUMN(IF(VLOOKUP($D$2,'Reading Report Logic'!$A$2:$B$8,2,FALSE)=1, YES_Reading_FLA[Reading Level June of Previous School Year],INDIRECT("YES_Reading_FLA[Instructional Reading Level - Per "&amp;(VLOOKUP($D$2,'Reading Report Logic'!$A$2:$B$8,2,FALSE)-1)&amp;"]"))),FALSE)="","",
VLOOKUP($A656,YES_Reading_FLA[], COLUMN(IF(VLOOKUP($D$2,'Reading Report Logic'!$A$2:$B$8,2,FALSE)=1, YES_Reading_FLA[Reading Level June of Previous School Year],INDIRECT("YES_Reading_FLA[Instructional Reading Level - Per "&amp;(VLOOKUP($D$2,'Reading Report Logic'!$A$2:$B$8,2,FALSE)-1)&amp;"]"))),FALSE)),
IF($J$2="Combined",
IFERROR(
IF(VLOOKUP($A656, YES_Reading_ELA[], COLUMN(IF(VLOOKUP($D$2,'Reading Report Logic'!$A$2:$B$8,2,FALSE)=1, YES_Reading_ELA[Reading Level June of Previous School Year],INDIRECT("YES_Reading_ELA[Instructional Reading Level - Per "&amp;(VLOOKUP($D$2,'Reading Report Logic'!$A$2:$B$8,2,FALSE)-1)&amp;"]"))), FALSE)="", "",
VLOOKUP($A656,YES_Reading_ELA[],COLUMN(IF(VLOOKUP($D$2,'Reading Report Logic'!$A$2:$B$8,2,FALSE)=1, YES_Reading_ELA[Reading Level June of Previous School Year],INDIRECT("YES_Reading_ELA[Instructional Reading Level - Per "&amp;(VLOOKUP($D$2,'Reading Report Logic'!$A$2:$B$8,2,FALSE)-1)&amp;"]"))),FALSE)),
IF(VLOOKUP($A656, YES_Reading_FLA[], COLUMN(IF(VLOOKUP($D$2,'Reading Report Logic'!$A$2:$B$8,2,FALSE)=1, YES_Reading_FLA[Reading Level June of Previous School Year],INDIRECT("YES_Reading_FLA[Instructional Reading Level - Per "&amp;(VLOOKUP($D$2,'Reading Report Logic'!$A$2:$B$8,2,FALSE)-1)&amp;"]"))),FALSE)="", "", VLOOKUP($A656,YES_Reading_FLA[],COLUMN(IF(VLOOKUP($D$2,'Reading Report Logic'!$A$2:$B$8,2,FALSE)=1, YES_Reading_FLA[Reading Level June of Previous School Year],INDIRECT("YES_Reading_FLA[Instructional Reading Level - Per "&amp;(VLOOKUP($D$2,'Reading Report Logic'!$A$2:$B$8,2,FALSE)-1)&amp;"]"))), FALSE))),""))),"")</f>
        <v/>
      </c>
      <c r="D656" s="209" t="str" cm="1">
        <f t="array" aca="1" ref="D656" ca="1">IFERROR(
IF($J$2="ELA",
IF(VLOOKUP($A656, YES_Reading_ELA[], COLUMN(INDIRECT("YES_Reading_ELA[Instructional Reading Level - Per "&amp;VLOOKUP($D$2, 'Reading Report Logic'!$A$2:$B$8, 2, FALSE)&amp;"]")), FALSE)="", "",
VLOOKUP($A656,YES_Reading_ELA[], COLUMN(INDIRECT("YES_Reading_ELA[Instructional Reading Level - Per "&amp;VLOOKUP($D$2,'Reading Report Logic'!$A$2:$B$8,2,FALSE)&amp;"]")), FALSE)),
IF($J$2="FLA",
IF(VLOOKUP($A656, YES_Reading_FLA[], COLUMN(INDIRECT("YES_Reading_FLA[Instructional Reading Level - Per "&amp;VLOOKUP($D$2,'Reading Report Logic'!$A$2:$B$8,2,FALSE)&amp;"]")),FALSE)="","",
VLOOKUP($A656,YES_Reading_FLA[],COLUMN(INDIRECT("YES_Reading_FLA[Instructional Reading Level - Per "&amp;VLOOKUP($D$2,'Reading Report Logic'!$A$2:$B$8,2,FALSE)&amp;"]")),FALSE)),
IF($J$2="Combined",
IFERROR(
IF(VLOOKUP($A656, YES_Reading_ELA[], COLUMN(INDIRECT("YES_Reading_ELA[Instructional Reading Level - Per "&amp;VLOOKUP($D$2, 'Reading Report Logic'!$A$2:$B$8,2,FALSE)&amp;"]")), FALSE)="", "",
VLOOKUP($A656,YES_Reading_ELA[],COLUMN(INDIRECT("YES_Reading_ELA[Instructional Reading Level - Per "&amp;VLOOKUP($D$2,'Reading Report Logic'!$A$2:$B$8,2,FALSE)&amp;"]")),FALSE)),
IF(VLOOKUP($A656, YES_Reading_FLA[], COLUMN(INDIRECT("YES_Reading_FLA[Instructional Reading Level - Per "&amp;VLOOKUP($D$2, 'Reading Report Logic'!$A$2:$B$8, 2, FALSE)&amp;"]")),FALSE)="", "", VLOOKUP($A656,YES_Reading_FLA[],COLUMN(INDIRECT("YES_Reading_FLA[Instructional Reading Level - Per "&amp;VLOOKUP($D$2, 'Reading Report Logic'!$A$2:$B$8, 2, FALSE)&amp;"]")),FALSE))),""))),"")</f>
        <v/>
      </c>
      <c r="E656" s="210" t="str" cm="1">
        <f t="array" aca="1" ref="E656" ca="1">IFERROR(
IF($J$2="ELA",
IF(VLOOKUP($A656, YES_Reading_ELA[], COLUMN(INDIRECT("YES_Reading_ELA[Min Expectation - Per "&amp;VLOOKUP($D$2, 'Reading Report Logic'!$A$2:$B$8, 2, FALSE)&amp;"]")), FALSE)="", "",
VLOOKUP($A656,YES_Reading_ELA[], COLUMN(INDIRECT("YES_Reading_ELA[Min Expectation - Per "&amp;VLOOKUP($D$2,'Reading Report Logic'!$A$2:$B$8,2,FALSE)&amp;"]")), FALSE)),
IF($J$2="FLA",
IF(VLOOKUP($A656, YES_Reading_FLA[], COLUMN(INDIRECT("YES_Reading_FLA[Min Expectation - Per "&amp;VLOOKUP($D$2,'Reading Report Logic'!$A$2:$B$8,2,FALSE)&amp;"]")),FALSE)="","",
VLOOKUP($A656,YES_Reading_FLA[],COLUMN(INDIRECT("YES_Reading_FLA[Min Expectation - Per "&amp;VLOOKUP($D$2,'Reading Report Logic'!$A$2:$B$8,2,FALSE)&amp;"]")),FALSE)),
IF($J$2="Combined",
IFERROR(
IF(VLOOKUP($A656, YES_Reading_ELA[], COLUMN(INDIRECT("YES_Reading_ELA[Min Expectation - Per "&amp;VLOOKUP($D$2, 'Reading Report Logic'!$A$2:$B$8,2,FALSE)&amp;"]")), FALSE)="", "",
VLOOKUP($A656,YES_Reading_ELA[],COLUMN(INDIRECT("YES_Reading_ELA[Min Expectation - Per "&amp;VLOOKUP($D$2,'Reading Report Logic'!$A$2:$B$8,2,FALSE)&amp;"]")),FALSE)),
IF(VLOOKUP($A656, YES_Reading_FLA[], COLUMN(INDIRECT("YES_Reading_FLA[Min Expectation - Per "&amp;VLOOKUP($D$2, 'Reading Report Logic'!$A$2:$B$8, 2, FALSE)&amp;"]")),FALSE)="", "", VLOOKUP($A656,YES_Reading_FLA[],COLUMN(INDIRECT("YES_Reading_FLA[Min Expectation - Per "&amp;VLOOKUP($D$2, 'Reading Report Logic'!$A$2:$B$8, 2, FALSE)&amp;"]")),FALSE))),""))),"")</f>
        <v/>
      </c>
      <c r="F656" s="210" t="str" cm="1">
        <f t="array" aca="1" ref="F656" ca="1">IFERROR(
IF($J$2="ELA",
IF(VLOOKUP($A656, YES_Reading_ELA[], COLUMN(INDIRECT("YES_Reading_ELA[Max Expectation - Per "&amp;VLOOKUP($D$2, 'Reading Report Logic'!$A$2:$B$8, 2, FALSE)&amp;"]")), FALSE)="", "",
VLOOKUP($A656,YES_Reading_ELA[], COLUMN(INDIRECT("YES_Reading_ELA[Max Expectation - Per "&amp;VLOOKUP($D$2,'Reading Report Logic'!$A$2:$B$8,2,FALSE)&amp;"]")), FALSE)),
IF($J$2="FLA",
IF(VLOOKUP($A656, YES_Reading_FLA[], COLUMN(INDIRECT("YES_Reading_FLA[Max Expectation - Per "&amp;VLOOKUP($D$2,'Reading Report Logic'!$A$2:$B$8,2,FALSE)&amp;"]")),FALSE)="","",
VLOOKUP($A656,YES_Reading_FLA[],COLUMN(INDIRECT("YES_Reading_FLA[Max Expectation - Per "&amp;VLOOKUP($D$2,'Reading Report Logic'!$A$2:$B$8,2,FALSE)&amp;"]")),FALSE)),
IF($J$2="Combined",
IFERROR(
IF(VLOOKUP($A656, YES_Reading_ELA[], COLUMN(INDIRECT("YES_Reading_ELA[Max Expectation - Per "&amp;VLOOKUP($D$2, 'Reading Report Logic'!$A$2:$B$8,2,FALSE)&amp;"]")), FALSE)="", "",
VLOOKUP($A656,YES_Reading_ELA[],COLUMN(INDIRECT("YES_Reading_ELA[Max Expectation - Per "&amp;VLOOKUP($D$2,'Reading Report Logic'!$A$2:$B$8,2,FALSE)&amp;"]")),FALSE)),
IF(VLOOKUP($A656, YES_Reading_FLA[], COLUMN(INDIRECT("YES_Reading_FLA[Max Expectation - Per "&amp;VLOOKUP($D$2, 'Reading Report Logic'!$A$2:$B$8, 2, FALSE)&amp;"]")),FALSE)="", "", VLOOKUP($A656,YES_Reading_FLA[],COLUMN(INDIRECT("YES_Reading_FLA[Max Expectation - Per "&amp;VLOOKUP($D$2, 'Reading Report Logic'!$A$2:$B$8, 2, FALSE)&amp;"]")),FALSE))),""))),"")</f>
        <v/>
      </c>
      <c r="G656" s="210" t="str" cm="1">
        <f t="array" aca="1" ref="G656" ca="1">IFERROR(
IF($J$2="ELA",
IF(VLOOKUP($A656, YES_Reading_ELA[], COLUMN(INDIRECT("YES_Reading_ELA[Difference - Per "&amp;VLOOKUP($D$2, 'Reading Report Logic'!$A$2:$B$8, 2, FALSE)&amp;"]")), FALSE)="", "",
VLOOKUP($A656,YES_Reading_ELA[], COLUMN(INDIRECT("YES_Reading_ELA[Difference - Per "&amp;VLOOKUP($D$2,'Reading Report Logic'!$A$2:$B$8,2,FALSE)&amp;"]")), FALSE)),
IF($J$2="FLA",
IF(VLOOKUP($A656, YES_Reading_FLA[], COLUMN(INDIRECT("YES_Reading_FLA[Difference - Per "&amp;VLOOKUP($D$2,'Reading Report Logic'!$A$2:$B$8,2,FALSE)&amp;"]")),FALSE)="","",
VLOOKUP($A656,YES_Reading_FLA[],COLUMN(INDIRECT("YES_Reading_FLA[Difference - Per "&amp;VLOOKUP($D$2,'Reading Report Logic'!$A$2:$B$8,2,FALSE)&amp;"]")),FALSE)),
IF($J$2="Combined",
IFERROR(
IF(VLOOKUP($A656, YES_Reading_ELA[], COLUMN(INDIRECT("YES_Reading_ELA[Difference - Per "&amp;VLOOKUP($D$2, 'Reading Report Logic'!$A$2:$B$8,2,FALSE)&amp;"]")), FALSE)="", "",
VLOOKUP($A656,YES_Reading_ELA[],COLUMN(INDIRECT("YES_Reading_ELA[Difference - Per "&amp;VLOOKUP($D$2,'Reading Report Logic'!$A$2:$B$8,2,FALSE)&amp;"]")),FALSE)),
IF(VLOOKUP($A656, YES_Reading_FLA[], COLUMN(INDIRECT("YES_Reading_FLA[Difference - Per "&amp;VLOOKUP($D$2, 'Reading Report Logic'!$A$2:$B$8, 2, FALSE)&amp;"]")),FALSE)="", "", VLOOKUP($A656,YES_Reading_FLA[],COLUMN(INDIRECT("YES_Reading_FLA[Difference - Per "&amp;VLOOKUP($D$2, 'Reading Report Logic'!$A$2:$B$8, 2, FALSE)&amp;"]")),FALSE))),""))),"")</f>
        <v/>
      </c>
      <c r="H656" s="211" t="str">
        <f ca="1">IFERROR(VLOOKUP('Teacher Reading Pull Sheets'!$D656,_xlfn.VSTACK('ELA Reading Logic'!$A$22:$B$48,'FLA Reading Logic'!$A$22:$B$53),2,FALSE)-VLOOKUP('Teacher Reading Pull Sheets'!$C656,_xlfn.VSTACK('ELA Reading Logic'!$A$22:$B$48,'FLA Reading Logic'!$A$22:$B$53),2,FALSE),"")</f>
        <v/>
      </c>
      <c r="I656" s="213"/>
      <c r="J656" s="211"/>
      <c r="K656" s="198" t="str" cm="1">
        <f t="array" ref="K656">IFERROR(
IF($J$2="ELA",
IF(VLOOKUP($A656, YES_Reading_ELA[], COLUMN(YES_Reading_ELA[Self-Identified as African Descent]), FALSE)="", "",
VLOOKUP($A656,YES_Reading_ELA[], COLUMN(YES_Reading_ELA[Self-Identified as African Descent]), FALSE)),
IF($J$2="FLA",
IF(VLOOKUP($A656, YES_Reading_FLA[], COLUMN(YES_Reading_FLA[Self-Identified as African Descent]),FALSE)="","",
VLOOKUP($A656,YES_Reading_FLA[],COLUMN(YES_Reading_FLA[Self-Identified as African Descent]),FALSE)),
IF($J$2="Combined",
IFERROR(
IF(VLOOKUP($A656, YES_Reading_ELA[], COLUMN(YES_Reading_ELA[Self-Identified as African Descent]), FALSE)="", "",
VLOOKUP($A656,YES_Reading_ELA[],COLUMN(YES_Reading_ELA[Self-Identified as African Descent]),FALSE)),
IF(VLOOKUP($A656, YES_Reading_FLA[], COLUMN(YES_Reading_FLA[Self-Identified as African Descent]),FALSE)="", "", VLOOKUP($A656,YES_Reading_FLA[],COLUMN(YES_Reading_FLA[Self-Identified as African Descent]),FALSE))),""))),"")</f>
        <v/>
      </c>
      <c r="L656" s="74" t="str" cm="1">
        <f t="array" ref="L656">IFERROR(
IF($J$2="ELA",
IF(VLOOKUP($A656, YES_Reading_ELA[], COLUMN(YES_Reading_ELA[Self-Identified as Indigenous]), FALSE)="", "",
VLOOKUP($A656,YES_Reading_ELA[], COLUMN(YES_Reading_ELA[Self-Identified as Indigenous]), FALSE)),
IF($J$2="FLA",
IF(VLOOKUP($A656, YES_Reading_FLA[], COLUMN(YES_Reading_FLA[Self-Identified as Indigenous]),FALSE)="","",
VLOOKUP($A656,YES_Reading_FLA[],COLUMN(YES_Reading_FLA[Self-Identified as Indigenous]),FALSE)),
IF($J$2="Combined",
IFERROR(
IF(VLOOKUP($A656, YES_Reading_ELA[], COLUMN(YES_Reading_ELA[Self-Identified as Indigenous]), FALSE)="", "",
VLOOKUP($A656,YES_Reading_ELA[],COLUMN(YES_Reading_ELA[Self-Identified as Indigenous]),FALSE)),
IF(VLOOKUP($A656, YES_Reading_FLA[], COLUMN(YES_Reading_FLA[Self-Identified as Indigenous]),FALSE)="", "", VLOOKUP($A656,YES_Reading_FLA[],COLUMN(YES_Reading_FLA[Self-Identified as Indigenous]),FALSE))),""))),"")</f>
        <v/>
      </c>
    </row>
    <row r="657" spans="1:12" x14ac:dyDescent="0.25">
      <c r="A657" s="214"/>
      <c r="B657" s="214" t="s">
        <v>241</v>
      </c>
      <c r="C657" s="214"/>
      <c r="D657" s="215" t="str" cm="1">
        <f t="array" ref="D657">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Set")))=$D$1)),1,1,FALSE),FALSE,FALSE),22),"")</f>
        <v/>
      </c>
      <c r="E657" s="215"/>
      <c r="F657" s="215"/>
      <c r="G657" s="215"/>
      <c r="H657" s="355" t="s">
        <v>242</v>
      </c>
      <c r="I657" s="356"/>
      <c r="J657" s="215"/>
    </row>
    <row r="658" spans="1:12" x14ac:dyDescent="0.25">
      <c r="A658" s="214"/>
      <c r="B658" s="214" t="str">
        <f>"Date: "&amp;$D$3</f>
        <v xml:space="preserve">Date: </v>
      </c>
      <c r="C658" s="214"/>
      <c r="D658" s="215"/>
      <c r="E658" s="215"/>
      <c r="F658" s="215"/>
      <c r="G658" s="215"/>
      <c r="H658" s="357" t="s">
        <v>243</v>
      </c>
      <c r="I658" s="358"/>
      <c r="J658" s="215"/>
    </row>
    <row r="659" spans="1:12" ht="15.75" thickBot="1" x14ac:dyDescent="0.3">
      <c r="A659" s="215"/>
      <c r="B659" s="215"/>
      <c r="C659" s="215"/>
      <c r="D659" s="215"/>
      <c r="E659" s="215"/>
      <c r="F659" s="215"/>
      <c r="G659" s="215"/>
      <c r="H659" s="353" t="s">
        <v>244</v>
      </c>
      <c r="I659" s="354"/>
      <c r="J659" s="215"/>
    </row>
    <row r="660" spans="1:12" ht="85.5" customHeight="1" thickBot="1" x14ac:dyDescent="0.3">
      <c r="A660" s="192" t="s">
        <v>44</v>
      </c>
      <c r="B660" s="187" t="s">
        <v>245</v>
      </c>
      <c r="C660" s="188" t="s">
        <v>246</v>
      </c>
      <c r="D660" s="188" t="s">
        <v>247</v>
      </c>
      <c r="E660" s="188" t="s">
        <v>248</v>
      </c>
      <c r="F660" s="188" t="s">
        <v>249</v>
      </c>
      <c r="G660" s="188" t="s">
        <v>250</v>
      </c>
      <c r="H660" s="189" t="s">
        <v>251</v>
      </c>
      <c r="I660" s="202" t="s">
        <v>252</v>
      </c>
      <c r="J660" s="191" t="s">
        <v>253</v>
      </c>
      <c r="K660" s="200" t="s">
        <v>256</v>
      </c>
      <c r="L660" s="201" t="s">
        <v>257</v>
      </c>
    </row>
    <row r="661" spans="1:12" ht="19.5" customHeight="1" x14ac:dyDescent="0.25">
      <c r="A661" s="216" t="e" cm="1" vm="1">
        <f t="array" aca="1" ref="A661" ca="1">_xlfn._xlws.FILTER(_xlfn.VSTACK(YES_Reading_ELA[Student Number],YES_Reading_FLA[Student Number]),_xlfn.VSTACK(YES_Reading_ELA[HomeRoom],YES_Reading_FLA[Homeroom])=D657)</f>
        <v>#VALUE!</v>
      </c>
      <c r="B661" s="219" t="str">
        <f ca="1">IFERROR(VLOOKUP(A661,_xlfn.VSTACK(YES_Reading_ELA[],YES_Reading_FLA[]),2,FALSE),"")</f>
        <v/>
      </c>
      <c r="C661" s="203" t="str" cm="1">
        <f t="array" aca="1" ref="C661" ca="1">IFERROR(
IF($J$2="ELA",
IF(VLOOKUP($A661, YES_Reading_ELA[], COLUMN(IF(VLOOKUP($D$2, 'Reading Report Logic'!$A$2:$B$8, 2, FALSE)=1, YES_Reading_ELA[Reading Level June of Previous School Year], INDIRECT("YES_Reading_ELA[Instructional Reading Level - Per "&amp;(VLOOKUP($D$2,'Reading Report Logic'!$A$2:$B$8,2,FALSE)-1)&amp;"]"))), FALSE)="", "",
VLOOKUP($A661,YES_Reading_ELA[], COLUMN(IF(VLOOKUP($D$2,'Reading Report Logic'!$A$2:$B$8,2,FALSE)=1, YES_Reading_ELA[Reading Level June of Previous School Year],INDIRECT("YES_Reading_ELA[Instructional Reading Level - Per "&amp;(VLOOKUP($D$2,'Reading Report Logic'!$A$2:$B$8,2,FALSE)-1)&amp;"]"))), FALSE)),
IF($J$2="FLA",
IF(VLOOKUP($A661, YES_Reading_FLA[], COLUMN(IF(VLOOKUP($D$2,'Reading Report Logic'!$A$2:$B$8,2,FALSE)=1, YES_Reading_FLA[Reading Level June of Previous School Year],INDIRECT("YES_Reading_FLA[Instructional Reading Level - Per "&amp;(VLOOKUP($D$2,'Reading Report Logic'!$A$2:$B$8,2,FALSE)-1)&amp;"]"))),FALSE)="","",
VLOOKUP($A661,YES_Reading_FLA[], COLUMN(IF(VLOOKUP($D$2,'Reading Report Logic'!$A$2:$B$8,2,FALSE)=1, YES_Reading_FLA[Reading Level June of Previous School Year],INDIRECT("YES_Reading_FLA[Instructional Reading Level - Per "&amp;(VLOOKUP($D$2,'Reading Report Logic'!$A$2:$B$8,2,FALSE)-1)&amp;"]"))),FALSE)),
IF($J$2="Combined",
IFERROR(
IF(VLOOKUP($A661, YES_Reading_ELA[], COLUMN(IF(VLOOKUP($D$2,'Reading Report Logic'!$A$2:$B$8,2,FALSE)=1, YES_Reading_ELA[Reading Level June of Previous School Year],INDIRECT("YES_Reading_ELA[Instructional Reading Level - Per "&amp;(VLOOKUP($D$2,'Reading Report Logic'!$A$2:$B$8,2,FALSE)-1)&amp;"]"))), FALSE)="", "",
VLOOKUP($A661,YES_Reading_ELA[],COLUMN(IF(VLOOKUP($D$2,'Reading Report Logic'!$A$2:$B$8,2,FALSE)=1, YES_Reading_ELA[Reading Level June of Previous School Year],INDIRECT("YES_Reading_ELA[Instructional Reading Level - Per "&amp;(VLOOKUP($D$2,'Reading Report Logic'!$A$2:$B$8,2,FALSE)-1)&amp;"]"))),FALSE)),
IF(VLOOKUP($A661, YES_Reading_FLA[], COLUMN(IF(VLOOKUP($D$2,'Reading Report Logic'!$A$2:$B$8,2,FALSE)=1, YES_Reading_FLA[Reading Level June of Previous School Year],INDIRECT("YES_Reading_FLA[Instructional Reading Level - Per "&amp;(VLOOKUP($D$2,'Reading Report Logic'!$A$2:$B$8,2,FALSE)-1)&amp;"]"))),FALSE)="", "", VLOOKUP($A661,YES_Reading_FLA[],COLUMN(IF(VLOOKUP($D$2,'Reading Report Logic'!$A$2:$B$8,2,FALSE)=1, YES_Reading_FLA[Reading Level June of Previous School Year],INDIRECT("YES_Reading_FLA[Instructional Reading Level - Per "&amp;(VLOOKUP($D$2,'Reading Report Logic'!$A$2:$B$8,2,FALSE)-1)&amp;"]"))), FALSE))),""))),"")</f>
        <v/>
      </c>
      <c r="D661" s="204" t="str" cm="1">
        <f t="array" aca="1" ref="D661" ca="1">IFERROR(
IF($J$2="ELA",
IF(VLOOKUP($A661, YES_Reading_ELA[], COLUMN(INDIRECT("YES_Reading_ELA[Instructional Reading Level - Per "&amp;VLOOKUP($D$2, 'Reading Report Logic'!$A$2:$B$8, 2, FALSE)&amp;"]")), FALSE)="", "",
VLOOKUP($A661,YES_Reading_ELA[], COLUMN(INDIRECT("YES_Reading_ELA[Instructional Reading Level - Per "&amp;VLOOKUP($D$2,'Reading Report Logic'!$A$2:$B$8,2,FALSE)&amp;"]")), FALSE)),
IF($J$2="FLA",
IF(VLOOKUP($A661, YES_Reading_FLA[], COLUMN(INDIRECT("YES_Reading_FLA[Instructional Reading Level - Per "&amp;VLOOKUP($D$2,'Reading Report Logic'!$A$2:$B$8,2,FALSE)&amp;"]")),FALSE)="","",
VLOOKUP($A661,YES_Reading_FLA[],COLUMN(INDIRECT("YES_Reading_FLA[Instructional Reading Level - Per "&amp;VLOOKUP($D$2,'Reading Report Logic'!$A$2:$B$8,2,FALSE)&amp;"]")),FALSE)),
IF($J$2="Combined",
IFERROR(
IF(VLOOKUP($A661, YES_Reading_ELA[], COLUMN(INDIRECT("YES_Reading_ELA[Instructional Reading Level - Per "&amp;VLOOKUP($D$2, 'Reading Report Logic'!$A$2:$B$8,2,FALSE)&amp;"]")), FALSE)="", "",
VLOOKUP($A661,YES_Reading_ELA[],COLUMN(INDIRECT("YES_Reading_ELA[Instructional Reading Level - Per "&amp;VLOOKUP($D$2,'Reading Report Logic'!$A$2:$B$8,2,FALSE)&amp;"]")),FALSE)),
IF(VLOOKUP($A661, YES_Reading_FLA[], COLUMN(INDIRECT("YES_Reading_FLA[Instructional Reading Level - Per "&amp;VLOOKUP($D$2, 'Reading Report Logic'!$A$2:$B$8, 2, FALSE)&amp;"]")),FALSE)="", "", VLOOKUP($A661,YES_Reading_FLA[],COLUMN(INDIRECT("YES_Reading_FLA[Instructional Reading Level - Per "&amp;VLOOKUP($D$2, 'Reading Report Logic'!$A$2:$B$8, 2, FALSE)&amp;"]")),FALSE))),""))),"")</f>
        <v/>
      </c>
      <c r="E661" s="205" t="str" cm="1">
        <f t="array" aca="1" ref="E661" ca="1">IFERROR(
IF($J$2="ELA",
IF(VLOOKUP($A661, YES_Reading_ELA[], COLUMN(INDIRECT("YES_Reading_ELA[Min Expectation - Per "&amp;VLOOKUP($D$2, 'Reading Report Logic'!$A$2:$B$8, 2, FALSE)&amp;"]")), FALSE)="", "",
VLOOKUP($A661,YES_Reading_ELA[], COLUMN(INDIRECT("YES_Reading_ELA[Min Expectation - Per "&amp;VLOOKUP($D$2,'Reading Report Logic'!$A$2:$B$8,2,FALSE)&amp;"]")), FALSE)),
IF($J$2="FLA",
IF(VLOOKUP($A661, YES_Reading_FLA[], COLUMN(INDIRECT("YES_Reading_FLA[Min Expectation - Per "&amp;VLOOKUP($D$2,'Reading Report Logic'!$A$2:$B$8,2,FALSE)&amp;"]")),FALSE)="","",
VLOOKUP($A661,YES_Reading_FLA[],COLUMN(INDIRECT("YES_Reading_FLA[Min Expectation - Per "&amp;VLOOKUP($D$2,'Reading Report Logic'!$A$2:$B$8,2,FALSE)&amp;"]")),FALSE)),
IF($J$2="Combined",
IFERROR(
IF(VLOOKUP($A661, YES_Reading_ELA[], COLUMN(INDIRECT("YES_Reading_ELA[Min Expectation - Per "&amp;VLOOKUP($D$2, 'Reading Report Logic'!$A$2:$B$8,2,FALSE)&amp;"]")), FALSE)="", "",
VLOOKUP($A661,YES_Reading_ELA[],COLUMN(INDIRECT("YES_Reading_ELA[Min Expectation - Per "&amp;VLOOKUP($D$2,'Reading Report Logic'!$A$2:$B$8,2,FALSE)&amp;"]")),FALSE)),
IF(VLOOKUP($A661, YES_Reading_FLA[], COLUMN(INDIRECT("YES_Reading_FLA[Min Expectation - Per "&amp;VLOOKUP($D$2, 'Reading Report Logic'!$A$2:$B$8, 2, FALSE)&amp;"]")),FALSE)="", "", VLOOKUP($A661,YES_Reading_FLA[],COLUMN(INDIRECT("YES_Reading_FLA[Min Expectation - Per "&amp;VLOOKUP($D$2, 'Reading Report Logic'!$A$2:$B$8, 2, FALSE)&amp;"]")),FALSE))),""))),"")</f>
        <v/>
      </c>
      <c r="F661" s="205" t="str" cm="1">
        <f t="array" aca="1" ref="F661" ca="1">IFERROR(
IF($J$2="ELA",
IF(VLOOKUP($A661, YES_Reading_ELA[], COLUMN(INDIRECT("YES_Reading_ELA[Max Expectation - Per "&amp;VLOOKUP($D$2, 'Reading Report Logic'!$A$2:$B$8, 2, FALSE)&amp;"]")), FALSE)="", "",
VLOOKUP($A661,YES_Reading_ELA[], COLUMN(INDIRECT("YES_Reading_ELA[Max Expectation - Per "&amp;VLOOKUP($D$2,'Reading Report Logic'!$A$2:$B$8,2,FALSE)&amp;"]")), FALSE)),
IF($J$2="FLA",
IF(VLOOKUP($A661, YES_Reading_FLA[], COLUMN(INDIRECT("YES_Reading_FLA[Max Expectation - Per "&amp;VLOOKUP($D$2,'Reading Report Logic'!$A$2:$B$8,2,FALSE)&amp;"]")),FALSE)="","",
VLOOKUP($A661,YES_Reading_FLA[],COLUMN(INDIRECT("YES_Reading_FLA[Max Expectation - Per "&amp;VLOOKUP($D$2,'Reading Report Logic'!$A$2:$B$8,2,FALSE)&amp;"]")),FALSE)),
IF($J$2="Combined",
IFERROR(
IF(VLOOKUP($A661, YES_Reading_ELA[], COLUMN(INDIRECT("YES_Reading_ELA[Max Expectation - Per "&amp;VLOOKUP($D$2, 'Reading Report Logic'!$A$2:$B$8,2,FALSE)&amp;"]")), FALSE)="", "",
VLOOKUP($A661,YES_Reading_ELA[],COLUMN(INDIRECT("YES_Reading_ELA[Max Expectation - Per "&amp;VLOOKUP($D$2,'Reading Report Logic'!$A$2:$B$8,2,FALSE)&amp;"]")),FALSE)),
IF(VLOOKUP($A661, YES_Reading_FLA[], COLUMN(INDIRECT("YES_Reading_FLA[Max Expectation - Per "&amp;VLOOKUP($D$2, 'Reading Report Logic'!$A$2:$B$8, 2, FALSE)&amp;"]")),FALSE)="", "", VLOOKUP($A661,YES_Reading_FLA[],COLUMN(INDIRECT("YES_Reading_FLA[Max Expectation - Per "&amp;VLOOKUP($D$2, 'Reading Report Logic'!$A$2:$B$8, 2, FALSE)&amp;"]")),FALSE))),""))),"")</f>
        <v/>
      </c>
      <c r="G661" s="205" t="str" cm="1">
        <f t="array" aca="1" ref="G661" ca="1">IFERROR(
IF($J$2="ELA",
IF(VLOOKUP($A661, YES_Reading_ELA[], COLUMN(INDIRECT("YES_Reading_ELA[Difference - Per "&amp;VLOOKUP($D$2, 'Reading Report Logic'!$A$2:$B$8, 2, FALSE)&amp;"]")), FALSE)="", "",
VLOOKUP($A661,YES_Reading_ELA[], COLUMN(INDIRECT("YES_Reading_ELA[Difference - Per "&amp;VLOOKUP($D$2,'Reading Report Logic'!$A$2:$B$8,2,FALSE)&amp;"]")), FALSE)),
IF($J$2="FLA",
IF(VLOOKUP($A661, YES_Reading_FLA[], COLUMN(INDIRECT("YES_Reading_FLA[Difference - Per "&amp;VLOOKUP($D$2,'Reading Report Logic'!$A$2:$B$8,2,FALSE)&amp;"]")),FALSE)="","",
VLOOKUP($A661,YES_Reading_FLA[],COLUMN(INDIRECT("YES_Reading_FLA[Difference - Per "&amp;VLOOKUP($D$2,'Reading Report Logic'!$A$2:$B$8,2,FALSE)&amp;"]")),FALSE)),
IF($J$2="Combined",
IFERROR(
IF(VLOOKUP($A661, YES_Reading_ELA[], COLUMN(INDIRECT("YES_Reading_ELA[Difference - Per "&amp;VLOOKUP($D$2, 'Reading Report Logic'!$A$2:$B$8,2,FALSE)&amp;"]")), FALSE)="", "",
VLOOKUP($A661,YES_Reading_ELA[],COLUMN(INDIRECT("YES_Reading_ELA[Difference - Per "&amp;VLOOKUP($D$2,'Reading Report Logic'!$A$2:$B$8,2,FALSE)&amp;"]")),FALSE)),
IF(VLOOKUP($A661, YES_Reading_FLA[], COLUMN(INDIRECT("YES_Reading_FLA[Difference - Per "&amp;VLOOKUP($D$2, 'Reading Report Logic'!$A$2:$B$8, 2, FALSE)&amp;"]")),FALSE)="", "", VLOOKUP($A661,YES_Reading_FLA[],COLUMN(INDIRECT("YES_Reading_FLA[Difference - Per "&amp;VLOOKUP($D$2, 'Reading Report Logic'!$A$2:$B$8, 2, FALSE)&amp;"]")),FALSE))),""))),"")</f>
        <v/>
      </c>
      <c r="H661" s="206" t="str">
        <f ca="1">IFERROR(VLOOKUP('Teacher Reading Pull Sheets'!$D661,_xlfn.VSTACK('ELA Reading Logic'!$A$22:$B$48,'FLA Reading Logic'!$A$22:$B$53),2,FALSE)-VLOOKUP('Teacher Reading Pull Sheets'!$C661,_xlfn.VSTACK('ELA Reading Logic'!$A$22:$B$48,'FLA Reading Logic'!$A$22:$B$53),2,FALSE),"")</f>
        <v/>
      </c>
      <c r="I661" s="205"/>
      <c r="J661" s="206"/>
      <c r="K661" s="24" t="str" cm="1">
        <f t="array" aca="1" ref="K661" ca="1">IFERROR(
IF($J$2="ELA",
IF(VLOOKUP($A661, YES_Reading_ELA[], COLUMN(YES_Reading_ELA[Self-Identified as African Descent]), FALSE)="", "",
VLOOKUP($A661,YES_Reading_ELA[], COLUMN(YES_Reading_ELA[Self-Identified as African Descent]), FALSE)),
IF($J$2="FLA",
IF(VLOOKUP($A661, YES_Reading_FLA[], COLUMN(YES_Reading_FLA[Self-Identified as African Descent]),FALSE)="","",
VLOOKUP($A661,YES_Reading_FLA[],COLUMN(YES_Reading_FLA[Self-Identified as African Descent]),FALSE)),
IF($J$2="Combined",
IFERROR(
IF(VLOOKUP($A661, YES_Reading_ELA[], COLUMN(YES_Reading_ELA[Self-Identified as African Descent]), FALSE)="", "",
VLOOKUP($A661,YES_Reading_ELA[],COLUMN(YES_Reading_ELA[Self-Identified as African Descent]),FALSE)),
IF(VLOOKUP($A661, YES_Reading_FLA[], COLUMN(YES_Reading_FLA[Self-Identified as African Descent]),FALSE)="", "", VLOOKUP($A661,YES_Reading_FLA[],COLUMN(YES_Reading_FLA[Self-Identified as African Descent]),FALSE))),""))),"")</f>
        <v/>
      </c>
      <c r="L661" s="199" t="str" cm="1">
        <f t="array" aca="1" ref="L661" ca="1">IFERROR(
IF($J$2="ELA",
IF(VLOOKUP($A661, YES_Reading_ELA[], COLUMN(YES_Reading_ELA[Self-Identified as Indigenous]), FALSE)="", "",
VLOOKUP($A661,YES_Reading_ELA[], COLUMN(YES_Reading_ELA[Self-Identified as Indigenous]), FALSE)),
IF($J$2="FLA",
IF(VLOOKUP($A661, YES_Reading_FLA[], COLUMN(YES_Reading_FLA[Self-Identified as Indigenous]),FALSE)="","",
VLOOKUP($A661,YES_Reading_FLA[],COLUMN(YES_Reading_FLA[Self-Identified as Indigenous]),FALSE)),
IF($J$2="Combined",
IFERROR(
IF(VLOOKUP($A661, YES_Reading_ELA[], COLUMN(YES_Reading_ELA[Self-Identified as Indigenous]), FALSE)="", "",
VLOOKUP($A661,YES_Reading_ELA[],COLUMN(YES_Reading_ELA[Self-Identified as Indigenous]),FALSE)),
IF(VLOOKUP($A661, YES_Reading_FLA[], COLUMN(YES_Reading_FLA[Self-Identified as Indigenous]),FALSE)="", "", VLOOKUP($A661,YES_Reading_FLA[],COLUMN(YES_Reading_FLA[Self-Identified as Indigenous]),FALSE))),""))),"")</f>
        <v/>
      </c>
    </row>
    <row r="662" spans="1:12" ht="19.5" customHeight="1" x14ac:dyDescent="0.25">
      <c r="A662" s="217"/>
      <c r="B662" s="220" t="str">
        <f>IFERROR(VLOOKUP(A662,_xlfn.VSTACK(YES_Reading_ELA[],YES_Reading_FLA[]),2,FALSE),"")</f>
        <v/>
      </c>
      <c r="C662" s="203" t="str" cm="1">
        <f t="array" aca="1" ref="C662" ca="1">IFERROR(
IF($J$2="ELA",
IF(VLOOKUP($A662, YES_Reading_ELA[], COLUMN(IF(VLOOKUP($D$2, 'Reading Report Logic'!$A$2:$B$8, 2, FALSE)=1, YES_Reading_ELA[Reading Level June of Previous School Year], INDIRECT("YES_Reading_ELA[Instructional Reading Level - Per "&amp;(VLOOKUP($D$2,'Reading Report Logic'!$A$2:$B$8,2,FALSE)-1)&amp;"]"))), FALSE)="", "",
VLOOKUP($A662,YES_Reading_ELA[], COLUMN(IF(VLOOKUP($D$2,'Reading Report Logic'!$A$2:$B$8,2,FALSE)=1, YES_Reading_ELA[Reading Level June of Previous School Year],INDIRECT("YES_Reading_ELA[Instructional Reading Level - Per "&amp;(VLOOKUP($D$2,'Reading Report Logic'!$A$2:$B$8,2,FALSE)-1)&amp;"]"))), FALSE)),
IF($J$2="FLA",
IF(VLOOKUP($A662, YES_Reading_FLA[], COLUMN(IF(VLOOKUP($D$2,'Reading Report Logic'!$A$2:$B$8,2,FALSE)=1, YES_Reading_FLA[Reading Level June of Previous School Year],INDIRECT("YES_Reading_FLA[Instructional Reading Level - Per "&amp;(VLOOKUP($D$2,'Reading Report Logic'!$A$2:$B$8,2,FALSE)-1)&amp;"]"))),FALSE)="","",
VLOOKUP($A662,YES_Reading_FLA[], COLUMN(IF(VLOOKUP($D$2,'Reading Report Logic'!$A$2:$B$8,2,FALSE)=1, YES_Reading_FLA[Reading Level June of Previous School Year],INDIRECT("YES_Reading_FLA[Instructional Reading Level - Per "&amp;(VLOOKUP($D$2,'Reading Report Logic'!$A$2:$B$8,2,FALSE)-1)&amp;"]"))),FALSE)),
IF($J$2="Combined",
IFERROR(
IF(VLOOKUP($A662, YES_Reading_ELA[], COLUMN(IF(VLOOKUP($D$2,'Reading Report Logic'!$A$2:$B$8,2,FALSE)=1, YES_Reading_ELA[Reading Level June of Previous School Year],INDIRECT("YES_Reading_ELA[Instructional Reading Level - Per "&amp;(VLOOKUP($D$2,'Reading Report Logic'!$A$2:$B$8,2,FALSE)-1)&amp;"]"))), FALSE)="", "",
VLOOKUP($A662,YES_Reading_ELA[],COLUMN(IF(VLOOKUP($D$2,'Reading Report Logic'!$A$2:$B$8,2,FALSE)=1, YES_Reading_ELA[Reading Level June of Previous School Year],INDIRECT("YES_Reading_ELA[Instructional Reading Level - Per "&amp;(VLOOKUP($D$2,'Reading Report Logic'!$A$2:$B$8,2,FALSE)-1)&amp;"]"))),FALSE)),
IF(VLOOKUP($A662, YES_Reading_FLA[], COLUMN(IF(VLOOKUP($D$2,'Reading Report Logic'!$A$2:$B$8,2,FALSE)=1, YES_Reading_FLA[Reading Level June of Previous School Year],INDIRECT("YES_Reading_FLA[Instructional Reading Level - Per "&amp;(VLOOKUP($D$2,'Reading Report Logic'!$A$2:$B$8,2,FALSE)-1)&amp;"]"))),FALSE)="", "", VLOOKUP($A662,YES_Reading_FLA[],COLUMN(IF(VLOOKUP($D$2,'Reading Report Logic'!$A$2:$B$8,2,FALSE)=1, YES_Reading_FLA[Reading Level June of Previous School Year],INDIRECT("YES_Reading_FLA[Instructional Reading Level - Per "&amp;(VLOOKUP($D$2,'Reading Report Logic'!$A$2:$B$8,2,FALSE)-1)&amp;"]"))), FALSE))),""))),"")</f>
        <v/>
      </c>
      <c r="D662" s="204" t="str" cm="1">
        <f t="array" aca="1" ref="D662" ca="1">IFERROR(
IF($J$2="ELA",
IF(VLOOKUP($A662, YES_Reading_ELA[], COLUMN(INDIRECT("YES_Reading_ELA[Instructional Reading Level - Per "&amp;VLOOKUP($D$2, 'Reading Report Logic'!$A$2:$B$8, 2, FALSE)&amp;"]")), FALSE)="", "",
VLOOKUP($A662,YES_Reading_ELA[], COLUMN(INDIRECT("YES_Reading_ELA[Instructional Reading Level - Per "&amp;VLOOKUP($D$2,'Reading Report Logic'!$A$2:$B$8,2,FALSE)&amp;"]")), FALSE)),
IF($J$2="FLA",
IF(VLOOKUP($A662, YES_Reading_FLA[], COLUMN(INDIRECT("YES_Reading_FLA[Instructional Reading Level - Per "&amp;VLOOKUP($D$2,'Reading Report Logic'!$A$2:$B$8,2,FALSE)&amp;"]")),FALSE)="","",
VLOOKUP($A662,YES_Reading_FLA[],COLUMN(INDIRECT("YES_Reading_FLA[Instructional Reading Level - Per "&amp;VLOOKUP($D$2,'Reading Report Logic'!$A$2:$B$8,2,FALSE)&amp;"]")),FALSE)),
IF($J$2="Combined",
IFERROR(
IF(VLOOKUP($A662, YES_Reading_ELA[], COLUMN(INDIRECT("YES_Reading_ELA[Instructional Reading Level - Per "&amp;VLOOKUP($D$2, 'Reading Report Logic'!$A$2:$B$8,2,FALSE)&amp;"]")), FALSE)="", "",
VLOOKUP($A662,YES_Reading_ELA[],COLUMN(INDIRECT("YES_Reading_ELA[Instructional Reading Level - Per "&amp;VLOOKUP($D$2,'Reading Report Logic'!$A$2:$B$8,2,FALSE)&amp;"]")),FALSE)),
IF(VLOOKUP($A662, YES_Reading_FLA[], COLUMN(INDIRECT("YES_Reading_FLA[Instructional Reading Level - Per "&amp;VLOOKUP($D$2, 'Reading Report Logic'!$A$2:$B$8, 2, FALSE)&amp;"]")),FALSE)="", "", VLOOKUP($A662,YES_Reading_FLA[],COLUMN(INDIRECT("YES_Reading_FLA[Instructional Reading Level - Per "&amp;VLOOKUP($D$2, 'Reading Report Logic'!$A$2:$B$8, 2, FALSE)&amp;"]")),FALSE))),""))),"")</f>
        <v/>
      </c>
      <c r="E662" s="205" t="str" cm="1">
        <f t="array" aca="1" ref="E662" ca="1">IFERROR(
IF($J$2="ELA",
IF(VLOOKUP($A662, YES_Reading_ELA[], COLUMN(INDIRECT("YES_Reading_ELA[Min Expectation - Per "&amp;VLOOKUP($D$2, 'Reading Report Logic'!$A$2:$B$8, 2, FALSE)&amp;"]")), FALSE)="", "",
VLOOKUP($A662,YES_Reading_ELA[], COLUMN(INDIRECT("YES_Reading_ELA[Min Expectation - Per "&amp;VLOOKUP($D$2,'Reading Report Logic'!$A$2:$B$8,2,FALSE)&amp;"]")), FALSE)),
IF($J$2="FLA",
IF(VLOOKUP($A662, YES_Reading_FLA[], COLUMN(INDIRECT("YES_Reading_FLA[Min Expectation - Per "&amp;VLOOKUP($D$2,'Reading Report Logic'!$A$2:$B$8,2,FALSE)&amp;"]")),FALSE)="","",
VLOOKUP($A662,YES_Reading_FLA[],COLUMN(INDIRECT("YES_Reading_FLA[Min Expectation - Per "&amp;VLOOKUP($D$2,'Reading Report Logic'!$A$2:$B$8,2,FALSE)&amp;"]")),FALSE)),
IF($J$2="Combined",
IFERROR(
IF(VLOOKUP($A662, YES_Reading_ELA[], COLUMN(INDIRECT("YES_Reading_ELA[Min Expectation - Per "&amp;VLOOKUP($D$2, 'Reading Report Logic'!$A$2:$B$8,2,FALSE)&amp;"]")), FALSE)="", "",
VLOOKUP($A662,YES_Reading_ELA[],COLUMN(INDIRECT("YES_Reading_ELA[Min Expectation - Per "&amp;VLOOKUP($D$2,'Reading Report Logic'!$A$2:$B$8,2,FALSE)&amp;"]")),FALSE)),
IF(VLOOKUP($A662, YES_Reading_FLA[], COLUMN(INDIRECT("YES_Reading_FLA[Min Expectation - Per "&amp;VLOOKUP($D$2, 'Reading Report Logic'!$A$2:$B$8, 2, FALSE)&amp;"]")),FALSE)="", "", VLOOKUP($A662,YES_Reading_FLA[],COLUMN(INDIRECT("YES_Reading_FLA[Min Expectation - Per "&amp;VLOOKUP($D$2, 'Reading Report Logic'!$A$2:$B$8, 2, FALSE)&amp;"]")),FALSE))),""))),"")</f>
        <v/>
      </c>
      <c r="F662" s="205" t="str" cm="1">
        <f t="array" aca="1" ref="F662" ca="1">IFERROR(
IF($J$2="ELA",
IF(VLOOKUP($A662, YES_Reading_ELA[], COLUMN(INDIRECT("YES_Reading_ELA[Max Expectation - Per "&amp;VLOOKUP($D$2, 'Reading Report Logic'!$A$2:$B$8, 2, FALSE)&amp;"]")), FALSE)="", "",
VLOOKUP($A662,YES_Reading_ELA[], COLUMN(INDIRECT("YES_Reading_ELA[Max Expectation - Per "&amp;VLOOKUP($D$2,'Reading Report Logic'!$A$2:$B$8,2,FALSE)&amp;"]")), FALSE)),
IF($J$2="FLA",
IF(VLOOKUP($A662, YES_Reading_FLA[], COLUMN(INDIRECT("YES_Reading_FLA[Max Expectation - Per "&amp;VLOOKUP($D$2,'Reading Report Logic'!$A$2:$B$8,2,FALSE)&amp;"]")),FALSE)="","",
VLOOKUP($A662,YES_Reading_FLA[],COLUMN(INDIRECT("YES_Reading_FLA[Max Expectation - Per "&amp;VLOOKUP($D$2,'Reading Report Logic'!$A$2:$B$8,2,FALSE)&amp;"]")),FALSE)),
IF($J$2="Combined",
IFERROR(
IF(VLOOKUP($A662, YES_Reading_ELA[], COLUMN(INDIRECT("YES_Reading_ELA[Max Expectation - Per "&amp;VLOOKUP($D$2, 'Reading Report Logic'!$A$2:$B$8,2,FALSE)&amp;"]")), FALSE)="", "",
VLOOKUP($A662,YES_Reading_ELA[],COLUMN(INDIRECT("YES_Reading_ELA[Max Expectation - Per "&amp;VLOOKUP($D$2,'Reading Report Logic'!$A$2:$B$8,2,FALSE)&amp;"]")),FALSE)),
IF(VLOOKUP($A662, YES_Reading_FLA[], COLUMN(INDIRECT("YES_Reading_FLA[Max Expectation - Per "&amp;VLOOKUP($D$2, 'Reading Report Logic'!$A$2:$B$8, 2, FALSE)&amp;"]")),FALSE)="", "", VLOOKUP($A662,YES_Reading_FLA[],COLUMN(INDIRECT("YES_Reading_FLA[Max Expectation - Per "&amp;VLOOKUP($D$2, 'Reading Report Logic'!$A$2:$B$8, 2, FALSE)&amp;"]")),FALSE))),""))),"")</f>
        <v/>
      </c>
      <c r="G662" s="205" t="str" cm="1">
        <f t="array" aca="1" ref="G662" ca="1">IFERROR(
IF($J$2="ELA",
IF(VLOOKUP($A662, YES_Reading_ELA[], COLUMN(INDIRECT("YES_Reading_ELA[Difference - Per "&amp;VLOOKUP($D$2, 'Reading Report Logic'!$A$2:$B$8, 2, FALSE)&amp;"]")), FALSE)="", "",
VLOOKUP($A662,YES_Reading_ELA[], COLUMN(INDIRECT("YES_Reading_ELA[Difference - Per "&amp;VLOOKUP($D$2,'Reading Report Logic'!$A$2:$B$8,2,FALSE)&amp;"]")), FALSE)),
IF($J$2="FLA",
IF(VLOOKUP($A662, YES_Reading_FLA[], COLUMN(INDIRECT("YES_Reading_FLA[Difference - Per "&amp;VLOOKUP($D$2,'Reading Report Logic'!$A$2:$B$8,2,FALSE)&amp;"]")),FALSE)="","",
VLOOKUP($A662,YES_Reading_FLA[],COLUMN(INDIRECT("YES_Reading_FLA[Difference - Per "&amp;VLOOKUP($D$2,'Reading Report Logic'!$A$2:$B$8,2,FALSE)&amp;"]")),FALSE)),
IF($J$2="Combined",
IFERROR(
IF(VLOOKUP($A662, YES_Reading_ELA[], COLUMN(INDIRECT("YES_Reading_ELA[Difference - Per "&amp;VLOOKUP($D$2, 'Reading Report Logic'!$A$2:$B$8,2,FALSE)&amp;"]")), FALSE)="", "",
VLOOKUP($A662,YES_Reading_ELA[],COLUMN(INDIRECT("YES_Reading_ELA[Difference - Per "&amp;VLOOKUP($D$2,'Reading Report Logic'!$A$2:$B$8,2,FALSE)&amp;"]")),FALSE)),
IF(VLOOKUP($A662, YES_Reading_FLA[], COLUMN(INDIRECT("YES_Reading_FLA[Difference - Per "&amp;VLOOKUP($D$2, 'Reading Report Logic'!$A$2:$B$8, 2, FALSE)&amp;"]")),FALSE)="", "", VLOOKUP($A662,YES_Reading_FLA[],COLUMN(INDIRECT("YES_Reading_FLA[Difference - Per "&amp;VLOOKUP($D$2, 'Reading Report Logic'!$A$2:$B$8, 2, FALSE)&amp;"]")),FALSE))),""))),"")</f>
        <v/>
      </c>
      <c r="H662" s="206" t="str">
        <f ca="1">IFERROR(VLOOKUP('Teacher Reading Pull Sheets'!$D662,_xlfn.VSTACK('ELA Reading Logic'!$A$22:$B$48,'FLA Reading Logic'!$A$22:$B$53),2,FALSE)-VLOOKUP('Teacher Reading Pull Sheets'!$C662,_xlfn.VSTACK('ELA Reading Logic'!$A$22:$B$48,'FLA Reading Logic'!$A$22:$B$53),2,FALSE),"")</f>
        <v/>
      </c>
      <c r="I662" s="212"/>
      <c r="J662" s="206"/>
      <c r="K662" s="197" t="str" cm="1">
        <f t="array" ref="K662">IFERROR(
IF($J$2="ELA",
IF(VLOOKUP($A662, YES_Reading_ELA[], COLUMN(YES_Reading_ELA[Self-Identified as African Descent]), FALSE)="", "",
VLOOKUP($A662,YES_Reading_ELA[], COLUMN(YES_Reading_ELA[Self-Identified as African Descent]), FALSE)),
IF($J$2="FLA",
IF(VLOOKUP($A662, YES_Reading_FLA[], COLUMN(YES_Reading_FLA[Self-Identified as African Descent]),FALSE)="","",
VLOOKUP($A662,YES_Reading_FLA[],COLUMN(YES_Reading_FLA[Self-Identified as African Descent]),FALSE)),
IF($J$2="Combined",
IFERROR(
IF(VLOOKUP($A662, YES_Reading_ELA[], COLUMN(YES_Reading_ELA[Self-Identified as African Descent]), FALSE)="", "",
VLOOKUP($A662,YES_Reading_ELA[],COLUMN(YES_Reading_ELA[Self-Identified as African Descent]),FALSE)),
IF(VLOOKUP($A662, YES_Reading_FLA[], COLUMN(YES_Reading_FLA[Self-Identified as African Descent]),FALSE)="", "", VLOOKUP($A662,YES_Reading_FLA[],COLUMN(YES_Reading_FLA[Self-Identified as African Descent]),FALSE))),""))),"")</f>
        <v/>
      </c>
      <c r="L662" s="73" t="str" cm="1">
        <f t="array" ref="L662">IFERROR(
IF($J$2="ELA",
IF(VLOOKUP($A662, YES_Reading_ELA[], COLUMN(YES_Reading_ELA[Self-Identified as Indigenous]), FALSE)="", "",
VLOOKUP($A662,YES_Reading_ELA[], COLUMN(YES_Reading_ELA[Self-Identified as Indigenous]), FALSE)),
IF($J$2="FLA",
IF(VLOOKUP($A662, YES_Reading_FLA[], COLUMN(YES_Reading_FLA[Self-Identified as Indigenous]),FALSE)="","",
VLOOKUP($A662,YES_Reading_FLA[],COLUMN(YES_Reading_FLA[Self-Identified as Indigenous]),FALSE)),
IF($J$2="Combined",
IFERROR(
IF(VLOOKUP($A662, YES_Reading_ELA[], COLUMN(YES_Reading_ELA[Self-Identified as Indigenous]), FALSE)="", "",
VLOOKUP($A662,YES_Reading_ELA[],COLUMN(YES_Reading_ELA[Self-Identified as Indigenous]),FALSE)),
IF(VLOOKUP($A662, YES_Reading_FLA[], COLUMN(YES_Reading_FLA[Self-Identified as Indigenous]),FALSE)="", "", VLOOKUP($A662,YES_Reading_FLA[],COLUMN(YES_Reading_FLA[Self-Identified as Indigenous]),FALSE))),""))),"")</f>
        <v/>
      </c>
    </row>
    <row r="663" spans="1:12" ht="19.5" customHeight="1" x14ac:dyDescent="0.25">
      <c r="A663" s="217"/>
      <c r="B663" s="220" t="str">
        <f>IFERROR(VLOOKUP(A663,_xlfn.VSTACK(YES_Reading_ELA[],YES_Reading_FLA[]),2,FALSE),"")</f>
        <v/>
      </c>
      <c r="C663" s="203" t="str" cm="1">
        <f t="array" aca="1" ref="C663" ca="1">IFERROR(
IF($J$2="ELA",
IF(VLOOKUP($A663, YES_Reading_ELA[], COLUMN(IF(VLOOKUP($D$2, 'Reading Report Logic'!$A$2:$B$8, 2, FALSE)=1, YES_Reading_ELA[Reading Level June of Previous School Year], INDIRECT("YES_Reading_ELA[Instructional Reading Level - Per "&amp;(VLOOKUP($D$2,'Reading Report Logic'!$A$2:$B$8,2,FALSE)-1)&amp;"]"))), FALSE)="", "",
VLOOKUP($A663,YES_Reading_ELA[], COLUMN(IF(VLOOKUP($D$2,'Reading Report Logic'!$A$2:$B$8,2,FALSE)=1, YES_Reading_ELA[Reading Level June of Previous School Year],INDIRECT("YES_Reading_ELA[Instructional Reading Level - Per "&amp;(VLOOKUP($D$2,'Reading Report Logic'!$A$2:$B$8,2,FALSE)-1)&amp;"]"))), FALSE)),
IF($J$2="FLA",
IF(VLOOKUP($A663, YES_Reading_FLA[], COLUMN(IF(VLOOKUP($D$2,'Reading Report Logic'!$A$2:$B$8,2,FALSE)=1, YES_Reading_FLA[Reading Level June of Previous School Year],INDIRECT("YES_Reading_FLA[Instructional Reading Level - Per "&amp;(VLOOKUP($D$2,'Reading Report Logic'!$A$2:$B$8,2,FALSE)-1)&amp;"]"))),FALSE)="","",
VLOOKUP($A663,YES_Reading_FLA[], COLUMN(IF(VLOOKUP($D$2,'Reading Report Logic'!$A$2:$B$8,2,FALSE)=1, YES_Reading_FLA[Reading Level June of Previous School Year],INDIRECT("YES_Reading_FLA[Instructional Reading Level - Per "&amp;(VLOOKUP($D$2,'Reading Report Logic'!$A$2:$B$8,2,FALSE)-1)&amp;"]"))),FALSE)),
IF($J$2="Combined",
IFERROR(
IF(VLOOKUP($A663, YES_Reading_ELA[], COLUMN(IF(VLOOKUP($D$2,'Reading Report Logic'!$A$2:$B$8,2,FALSE)=1, YES_Reading_ELA[Reading Level June of Previous School Year],INDIRECT("YES_Reading_ELA[Instructional Reading Level - Per "&amp;(VLOOKUP($D$2,'Reading Report Logic'!$A$2:$B$8,2,FALSE)-1)&amp;"]"))), FALSE)="", "",
VLOOKUP($A663,YES_Reading_ELA[],COLUMN(IF(VLOOKUP($D$2,'Reading Report Logic'!$A$2:$B$8,2,FALSE)=1, YES_Reading_ELA[Reading Level June of Previous School Year],INDIRECT("YES_Reading_ELA[Instructional Reading Level - Per "&amp;(VLOOKUP($D$2,'Reading Report Logic'!$A$2:$B$8,2,FALSE)-1)&amp;"]"))),FALSE)),
IF(VLOOKUP($A663, YES_Reading_FLA[], COLUMN(IF(VLOOKUP($D$2,'Reading Report Logic'!$A$2:$B$8,2,FALSE)=1, YES_Reading_FLA[Reading Level June of Previous School Year],INDIRECT("YES_Reading_FLA[Instructional Reading Level - Per "&amp;(VLOOKUP($D$2,'Reading Report Logic'!$A$2:$B$8,2,FALSE)-1)&amp;"]"))),FALSE)="", "", VLOOKUP($A663,YES_Reading_FLA[],COLUMN(IF(VLOOKUP($D$2,'Reading Report Logic'!$A$2:$B$8,2,FALSE)=1, YES_Reading_FLA[Reading Level June of Previous School Year],INDIRECT("YES_Reading_FLA[Instructional Reading Level - Per "&amp;(VLOOKUP($D$2,'Reading Report Logic'!$A$2:$B$8,2,FALSE)-1)&amp;"]"))), FALSE))),""))),"")</f>
        <v/>
      </c>
      <c r="D663" s="204" t="str" cm="1">
        <f t="array" aca="1" ref="D663" ca="1">IFERROR(
IF($J$2="ELA",
IF(VLOOKUP($A663, YES_Reading_ELA[], COLUMN(INDIRECT("YES_Reading_ELA[Instructional Reading Level - Per "&amp;VLOOKUP($D$2, 'Reading Report Logic'!$A$2:$B$8, 2, FALSE)&amp;"]")), FALSE)="", "",
VLOOKUP($A663,YES_Reading_ELA[], COLUMN(INDIRECT("YES_Reading_ELA[Instructional Reading Level - Per "&amp;VLOOKUP($D$2,'Reading Report Logic'!$A$2:$B$8,2,FALSE)&amp;"]")), FALSE)),
IF($J$2="FLA",
IF(VLOOKUP($A663, YES_Reading_FLA[], COLUMN(INDIRECT("YES_Reading_FLA[Instructional Reading Level - Per "&amp;VLOOKUP($D$2,'Reading Report Logic'!$A$2:$B$8,2,FALSE)&amp;"]")),FALSE)="","",
VLOOKUP($A663,YES_Reading_FLA[],COLUMN(INDIRECT("YES_Reading_FLA[Instructional Reading Level - Per "&amp;VLOOKUP($D$2,'Reading Report Logic'!$A$2:$B$8,2,FALSE)&amp;"]")),FALSE)),
IF($J$2="Combined",
IFERROR(
IF(VLOOKUP($A663, YES_Reading_ELA[], COLUMN(INDIRECT("YES_Reading_ELA[Instructional Reading Level - Per "&amp;VLOOKUP($D$2, 'Reading Report Logic'!$A$2:$B$8,2,FALSE)&amp;"]")), FALSE)="", "",
VLOOKUP($A663,YES_Reading_ELA[],COLUMN(INDIRECT("YES_Reading_ELA[Instructional Reading Level - Per "&amp;VLOOKUP($D$2,'Reading Report Logic'!$A$2:$B$8,2,FALSE)&amp;"]")),FALSE)),
IF(VLOOKUP($A663, YES_Reading_FLA[], COLUMN(INDIRECT("YES_Reading_FLA[Instructional Reading Level - Per "&amp;VLOOKUP($D$2, 'Reading Report Logic'!$A$2:$B$8, 2, FALSE)&amp;"]")),FALSE)="", "", VLOOKUP($A663,YES_Reading_FLA[],COLUMN(INDIRECT("YES_Reading_FLA[Instructional Reading Level - Per "&amp;VLOOKUP($D$2, 'Reading Report Logic'!$A$2:$B$8, 2, FALSE)&amp;"]")),FALSE))),""))),"")</f>
        <v/>
      </c>
      <c r="E663" s="205" t="str" cm="1">
        <f t="array" aca="1" ref="E663" ca="1">IFERROR(
IF($J$2="ELA",
IF(VLOOKUP($A663, YES_Reading_ELA[], COLUMN(INDIRECT("YES_Reading_ELA[Min Expectation - Per "&amp;VLOOKUP($D$2, 'Reading Report Logic'!$A$2:$B$8, 2, FALSE)&amp;"]")), FALSE)="", "",
VLOOKUP($A663,YES_Reading_ELA[], COLUMN(INDIRECT("YES_Reading_ELA[Min Expectation - Per "&amp;VLOOKUP($D$2,'Reading Report Logic'!$A$2:$B$8,2,FALSE)&amp;"]")), FALSE)),
IF($J$2="FLA",
IF(VLOOKUP($A663, YES_Reading_FLA[], COLUMN(INDIRECT("YES_Reading_FLA[Min Expectation - Per "&amp;VLOOKUP($D$2,'Reading Report Logic'!$A$2:$B$8,2,FALSE)&amp;"]")),FALSE)="","",
VLOOKUP($A663,YES_Reading_FLA[],COLUMN(INDIRECT("YES_Reading_FLA[Min Expectation - Per "&amp;VLOOKUP($D$2,'Reading Report Logic'!$A$2:$B$8,2,FALSE)&amp;"]")),FALSE)),
IF($J$2="Combined",
IFERROR(
IF(VLOOKUP($A663, YES_Reading_ELA[], COLUMN(INDIRECT("YES_Reading_ELA[Min Expectation - Per "&amp;VLOOKUP($D$2, 'Reading Report Logic'!$A$2:$B$8,2,FALSE)&amp;"]")), FALSE)="", "",
VLOOKUP($A663,YES_Reading_ELA[],COLUMN(INDIRECT("YES_Reading_ELA[Min Expectation - Per "&amp;VLOOKUP($D$2,'Reading Report Logic'!$A$2:$B$8,2,FALSE)&amp;"]")),FALSE)),
IF(VLOOKUP($A663, YES_Reading_FLA[], COLUMN(INDIRECT("YES_Reading_FLA[Min Expectation - Per "&amp;VLOOKUP($D$2, 'Reading Report Logic'!$A$2:$B$8, 2, FALSE)&amp;"]")),FALSE)="", "", VLOOKUP($A663,YES_Reading_FLA[],COLUMN(INDIRECT("YES_Reading_FLA[Min Expectation - Per "&amp;VLOOKUP($D$2, 'Reading Report Logic'!$A$2:$B$8, 2, FALSE)&amp;"]")),FALSE))),""))),"")</f>
        <v/>
      </c>
      <c r="F663" s="205" t="str" cm="1">
        <f t="array" aca="1" ref="F663" ca="1">IFERROR(
IF($J$2="ELA",
IF(VLOOKUP($A663, YES_Reading_ELA[], COLUMN(INDIRECT("YES_Reading_ELA[Max Expectation - Per "&amp;VLOOKUP($D$2, 'Reading Report Logic'!$A$2:$B$8, 2, FALSE)&amp;"]")), FALSE)="", "",
VLOOKUP($A663,YES_Reading_ELA[], COLUMN(INDIRECT("YES_Reading_ELA[Max Expectation - Per "&amp;VLOOKUP($D$2,'Reading Report Logic'!$A$2:$B$8,2,FALSE)&amp;"]")), FALSE)),
IF($J$2="FLA",
IF(VLOOKUP($A663, YES_Reading_FLA[], COLUMN(INDIRECT("YES_Reading_FLA[Max Expectation - Per "&amp;VLOOKUP($D$2,'Reading Report Logic'!$A$2:$B$8,2,FALSE)&amp;"]")),FALSE)="","",
VLOOKUP($A663,YES_Reading_FLA[],COLUMN(INDIRECT("YES_Reading_FLA[Max Expectation - Per "&amp;VLOOKUP($D$2,'Reading Report Logic'!$A$2:$B$8,2,FALSE)&amp;"]")),FALSE)),
IF($J$2="Combined",
IFERROR(
IF(VLOOKUP($A663, YES_Reading_ELA[], COLUMN(INDIRECT("YES_Reading_ELA[Max Expectation - Per "&amp;VLOOKUP($D$2, 'Reading Report Logic'!$A$2:$B$8,2,FALSE)&amp;"]")), FALSE)="", "",
VLOOKUP($A663,YES_Reading_ELA[],COLUMN(INDIRECT("YES_Reading_ELA[Max Expectation - Per "&amp;VLOOKUP($D$2,'Reading Report Logic'!$A$2:$B$8,2,FALSE)&amp;"]")),FALSE)),
IF(VLOOKUP($A663, YES_Reading_FLA[], COLUMN(INDIRECT("YES_Reading_FLA[Max Expectation - Per "&amp;VLOOKUP($D$2, 'Reading Report Logic'!$A$2:$B$8, 2, FALSE)&amp;"]")),FALSE)="", "", VLOOKUP($A663,YES_Reading_FLA[],COLUMN(INDIRECT("YES_Reading_FLA[Max Expectation - Per "&amp;VLOOKUP($D$2, 'Reading Report Logic'!$A$2:$B$8, 2, FALSE)&amp;"]")),FALSE))),""))),"")</f>
        <v/>
      </c>
      <c r="G663" s="205" t="str" cm="1">
        <f t="array" aca="1" ref="G663" ca="1">IFERROR(
IF($J$2="ELA",
IF(VLOOKUP($A663, YES_Reading_ELA[], COLUMN(INDIRECT("YES_Reading_ELA[Difference - Per "&amp;VLOOKUP($D$2, 'Reading Report Logic'!$A$2:$B$8, 2, FALSE)&amp;"]")), FALSE)="", "",
VLOOKUP($A663,YES_Reading_ELA[], COLUMN(INDIRECT("YES_Reading_ELA[Difference - Per "&amp;VLOOKUP($D$2,'Reading Report Logic'!$A$2:$B$8,2,FALSE)&amp;"]")), FALSE)),
IF($J$2="FLA",
IF(VLOOKUP($A663, YES_Reading_FLA[], COLUMN(INDIRECT("YES_Reading_FLA[Difference - Per "&amp;VLOOKUP($D$2,'Reading Report Logic'!$A$2:$B$8,2,FALSE)&amp;"]")),FALSE)="","",
VLOOKUP($A663,YES_Reading_FLA[],COLUMN(INDIRECT("YES_Reading_FLA[Difference - Per "&amp;VLOOKUP($D$2,'Reading Report Logic'!$A$2:$B$8,2,FALSE)&amp;"]")),FALSE)),
IF($J$2="Combined",
IFERROR(
IF(VLOOKUP($A663, YES_Reading_ELA[], COLUMN(INDIRECT("YES_Reading_ELA[Difference - Per "&amp;VLOOKUP($D$2, 'Reading Report Logic'!$A$2:$B$8,2,FALSE)&amp;"]")), FALSE)="", "",
VLOOKUP($A663,YES_Reading_ELA[],COLUMN(INDIRECT("YES_Reading_ELA[Difference - Per "&amp;VLOOKUP($D$2,'Reading Report Logic'!$A$2:$B$8,2,FALSE)&amp;"]")),FALSE)),
IF(VLOOKUP($A663, YES_Reading_FLA[], COLUMN(INDIRECT("YES_Reading_FLA[Difference - Per "&amp;VLOOKUP($D$2, 'Reading Report Logic'!$A$2:$B$8, 2, FALSE)&amp;"]")),FALSE)="", "", VLOOKUP($A663,YES_Reading_FLA[],COLUMN(INDIRECT("YES_Reading_FLA[Difference - Per "&amp;VLOOKUP($D$2, 'Reading Report Logic'!$A$2:$B$8, 2, FALSE)&amp;"]")),FALSE))),""))),"")</f>
        <v/>
      </c>
      <c r="H663" s="206" t="str">
        <f ca="1">IFERROR(VLOOKUP('Teacher Reading Pull Sheets'!$D663,_xlfn.VSTACK('ELA Reading Logic'!$A$22:$B$48,'FLA Reading Logic'!$A$22:$B$53),2,FALSE)-VLOOKUP('Teacher Reading Pull Sheets'!$C663,_xlfn.VSTACK('ELA Reading Logic'!$A$22:$B$48,'FLA Reading Logic'!$A$22:$B$53),2,FALSE),"")</f>
        <v/>
      </c>
      <c r="I663" s="212"/>
      <c r="J663" s="206"/>
      <c r="K663" s="197" t="str" cm="1">
        <f t="array" ref="K663">IFERROR(
IF($J$2="ELA",
IF(VLOOKUP($A663, YES_Reading_ELA[], COLUMN(YES_Reading_ELA[Self-Identified as African Descent]), FALSE)="", "",
VLOOKUP($A663,YES_Reading_ELA[], COLUMN(YES_Reading_ELA[Self-Identified as African Descent]), FALSE)),
IF($J$2="FLA",
IF(VLOOKUP($A663, YES_Reading_FLA[], COLUMN(YES_Reading_FLA[Self-Identified as African Descent]),FALSE)="","",
VLOOKUP($A663,YES_Reading_FLA[],COLUMN(YES_Reading_FLA[Self-Identified as African Descent]),FALSE)),
IF($J$2="Combined",
IFERROR(
IF(VLOOKUP($A663, YES_Reading_ELA[], COLUMN(YES_Reading_ELA[Self-Identified as African Descent]), FALSE)="", "",
VLOOKUP($A663,YES_Reading_ELA[],COLUMN(YES_Reading_ELA[Self-Identified as African Descent]),FALSE)),
IF(VLOOKUP($A663, YES_Reading_FLA[], COLUMN(YES_Reading_FLA[Self-Identified as African Descent]),FALSE)="", "", VLOOKUP($A663,YES_Reading_FLA[],COLUMN(YES_Reading_FLA[Self-Identified as African Descent]),FALSE))),""))),"")</f>
        <v/>
      </c>
      <c r="L663" s="73" t="str" cm="1">
        <f t="array" ref="L663">IFERROR(
IF($J$2="ELA",
IF(VLOOKUP($A663, YES_Reading_ELA[], COLUMN(YES_Reading_ELA[Self-Identified as Indigenous]), FALSE)="", "",
VLOOKUP($A663,YES_Reading_ELA[], COLUMN(YES_Reading_ELA[Self-Identified as Indigenous]), FALSE)),
IF($J$2="FLA",
IF(VLOOKUP($A663, YES_Reading_FLA[], COLUMN(YES_Reading_FLA[Self-Identified as Indigenous]),FALSE)="","",
VLOOKUP($A663,YES_Reading_FLA[],COLUMN(YES_Reading_FLA[Self-Identified as Indigenous]),FALSE)),
IF($J$2="Combined",
IFERROR(
IF(VLOOKUP($A663, YES_Reading_ELA[], COLUMN(YES_Reading_ELA[Self-Identified as Indigenous]), FALSE)="", "",
VLOOKUP($A663,YES_Reading_ELA[],COLUMN(YES_Reading_ELA[Self-Identified as Indigenous]),FALSE)),
IF(VLOOKUP($A663, YES_Reading_FLA[], COLUMN(YES_Reading_FLA[Self-Identified as Indigenous]),FALSE)="", "", VLOOKUP($A663,YES_Reading_FLA[],COLUMN(YES_Reading_FLA[Self-Identified as Indigenous]),FALSE))),""))),"")</f>
        <v/>
      </c>
    </row>
    <row r="664" spans="1:12" ht="19.5" customHeight="1" x14ac:dyDescent="0.25">
      <c r="A664" s="217"/>
      <c r="B664" s="220" t="str">
        <f>IFERROR(VLOOKUP(A664,_xlfn.VSTACK(YES_Reading_ELA[],YES_Reading_FLA[]),2,FALSE),"")</f>
        <v/>
      </c>
      <c r="C664" s="203" t="str" cm="1">
        <f t="array" aca="1" ref="C664" ca="1">IFERROR(
IF($J$2="ELA",
IF(VLOOKUP($A664, YES_Reading_ELA[], COLUMN(IF(VLOOKUP($D$2, 'Reading Report Logic'!$A$2:$B$8, 2, FALSE)=1, YES_Reading_ELA[Reading Level June of Previous School Year], INDIRECT("YES_Reading_ELA[Instructional Reading Level - Per "&amp;(VLOOKUP($D$2,'Reading Report Logic'!$A$2:$B$8,2,FALSE)-1)&amp;"]"))), FALSE)="", "",
VLOOKUP($A664,YES_Reading_ELA[], COLUMN(IF(VLOOKUP($D$2,'Reading Report Logic'!$A$2:$B$8,2,FALSE)=1, YES_Reading_ELA[Reading Level June of Previous School Year],INDIRECT("YES_Reading_ELA[Instructional Reading Level - Per "&amp;(VLOOKUP($D$2,'Reading Report Logic'!$A$2:$B$8,2,FALSE)-1)&amp;"]"))), FALSE)),
IF($J$2="FLA",
IF(VLOOKUP($A664, YES_Reading_FLA[], COLUMN(IF(VLOOKUP($D$2,'Reading Report Logic'!$A$2:$B$8,2,FALSE)=1, YES_Reading_FLA[Reading Level June of Previous School Year],INDIRECT("YES_Reading_FLA[Instructional Reading Level - Per "&amp;(VLOOKUP($D$2,'Reading Report Logic'!$A$2:$B$8,2,FALSE)-1)&amp;"]"))),FALSE)="","",
VLOOKUP($A664,YES_Reading_FLA[], COLUMN(IF(VLOOKUP($D$2,'Reading Report Logic'!$A$2:$B$8,2,FALSE)=1, YES_Reading_FLA[Reading Level June of Previous School Year],INDIRECT("YES_Reading_FLA[Instructional Reading Level - Per "&amp;(VLOOKUP($D$2,'Reading Report Logic'!$A$2:$B$8,2,FALSE)-1)&amp;"]"))),FALSE)),
IF($J$2="Combined",
IFERROR(
IF(VLOOKUP($A664, YES_Reading_ELA[], COLUMN(IF(VLOOKUP($D$2,'Reading Report Logic'!$A$2:$B$8,2,FALSE)=1, YES_Reading_ELA[Reading Level June of Previous School Year],INDIRECT("YES_Reading_ELA[Instructional Reading Level - Per "&amp;(VLOOKUP($D$2,'Reading Report Logic'!$A$2:$B$8,2,FALSE)-1)&amp;"]"))), FALSE)="", "",
VLOOKUP($A664,YES_Reading_ELA[],COLUMN(IF(VLOOKUP($D$2,'Reading Report Logic'!$A$2:$B$8,2,FALSE)=1, YES_Reading_ELA[Reading Level June of Previous School Year],INDIRECT("YES_Reading_ELA[Instructional Reading Level - Per "&amp;(VLOOKUP($D$2,'Reading Report Logic'!$A$2:$B$8,2,FALSE)-1)&amp;"]"))),FALSE)),
IF(VLOOKUP($A664, YES_Reading_FLA[], COLUMN(IF(VLOOKUP($D$2,'Reading Report Logic'!$A$2:$B$8,2,FALSE)=1, YES_Reading_FLA[Reading Level June of Previous School Year],INDIRECT("YES_Reading_FLA[Instructional Reading Level - Per "&amp;(VLOOKUP($D$2,'Reading Report Logic'!$A$2:$B$8,2,FALSE)-1)&amp;"]"))),FALSE)="", "", VLOOKUP($A664,YES_Reading_FLA[],COLUMN(IF(VLOOKUP($D$2,'Reading Report Logic'!$A$2:$B$8,2,FALSE)=1, YES_Reading_FLA[Reading Level June of Previous School Year],INDIRECT("YES_Reading_FLA[Instructional Reading Level - Per "&amp;(VLOOKUP($D$2,'Reading Report Logic'!$A$2:$B$8,2,FALSE)-1)&amp;"]"))), FALSE))),""))),"")</f>
        <v/>
      </c>
      <c r="D664" s="204" t="str" cm="1">
        <f t="array" aca="1" ref="D664" ca="1">IFERROR(
IF($J$2="ELA",
IF(VLOOKUP($A664, YES_Reading_ELA[], COLUMN(INDIRECT("YES_Reading_ELA[Instructional Reading Level - Per "&amp;VLOOKUP($D$2, 'Reading Report Logic'!$A$2:$B$8, 2, FALSE)&amp;"]")), FALSE)="", "",
VLOOKUP($A664,YES_Reading_ELA[], COLUMN(INDIRECT("YES_Reading_ELA[Instructional Reading Level - Per "&amp;VLOOKUP($D$2,'Reading Report Logic'!$A$2:$B$8,2,FALSE)&amp;"]")), FALSE)),
IF($J$2="FLA",
IF(VLOOKUP($A664, YES_Reading_FLA[], COLUMN(INDIRECT("YES_Reading_FLA[Instructional Reading Level - Per "&amp;VLOOKUP($D$2,'Reading Report Logic'!$A$2:$B$8,2,FALSE)&amp;"]")),FALSE)="","",
VLOOKUP($A664,YES_Reading_FLA[],COLUMN(INDIRECT("YES_Reading_FLA[Instructional Reading Level - Per "&amp;VLOOKUP($D$2,'Reading Report Logic'!$A$2:$B$8,2,FALSE)&amp;"]")),FALSE)),
IF($J$2="Combined",
IFERROR(
IF(VLOOKUP($A664, YES_Reading_ELA[], COLUMN(INDIRECT("YES_Reading_ELA[Instructional Reading Level - Per "&amp;VLOOKUP($D$2, 'Reading Report Logic'!$A$2:$B$8,2,FALSE)&amp;"]")), FALSE)="", "",
VLOOKUP($A664,YES_Reading_ELA[],COLUMN(INDIRECT("YES_Reading_ELA[Instructional Reading Level - Per "&amp;VLOOKUP($D$2,'Reading Report Logic'!$A$2:$B$8,2,FALSE)&amp;"]")),FALSE)),
IF(VLOOKUP($A664, YES_Reading_FLA[], COLUMN(INDIRECT("YES_Reading_FLA[Instructional Reading Level - Per "&amp;VLOOKUP($D$2, 'Reading Report Logic'!$A$2:$B$8, 2, FALSE)&amp;"]")),FALSE)="", "", VLOOKUP($A664,YES_Reading_FLA[],COLUMN(INDIRECT("YES_Reading_FLA[Instructional Reading Level - Per "&amp;VLOOKUP($D$2, 'Reading Report Logic'!$A$2:$B$8, 2, FALSE)&amp;"]")),FALSE))),""))),"")</f>
        <v/>
      </c>
      <c r="E664" s="205" t="str" cm="1">
        <f t="array" aca="1" ref="E664" ca="1">IFERROR(
IF($J$2="ELA",
IF(VLOOKUP($A664, YES_Reading_ELA[], COLUMN(INDIRECT("YES_Reading_ELA[Min Expectation - Per "&amp;VLOOKUP($D$2, 'Reading Report Logic'!$A$2:$B$8, 2, FALSE)&amp;"]")), FALSE)="", "",
VLOOKUP($A664,YES_Reading_ELA[], COLUMN(INDIRECT("YES_Reading_ELA[Min Expectation - Per "&amp;VLOOKUP($D$2,'Reading Report Logic'!$A$2:$B$8,2,FALSE)&amp;"]")), FALSE)),
IF($J$2="FLA",
IF(VLOOKUP($A664, YES_Reading_FLA[], COLUMN(INDIRECT("YES_Reading_FLA[Min Expectation - Per "&amp;VLOOKUP($D$2,'Reading Report Logic'!$A$2:$B$8,2,FALSE)&amp;"]")),FALSE)="","",
VLOOKUP($A664,YES_Reading_FLA[],COLUMN(INDIRECT("YES_Reading_FLA[Min Expectation - Per "&amp;VLOOKUP($D$2,'Reading Report Logic'!$A$2:$B$8,2,FALSE)&amp;"]")),FALSE)),
IF($J$2="Combined",
IFERROR(
IF(VLOOKUP($A664, YES_Reading_ELA[], COLUMN(INDIRECT("YES_Reading_ELA[Min Expectation - Per "&amp;VLOOKUP($D$2, 'Reading Report Logic'!$A$2:$B$8,2,FALSE)&amp;"]")), FALSE)="", "",
VLOOKUP($A664,YES_Reading_ELA[],COLUMN(INDIRECT("YES_Reading_ELA[Min Expectation - Per "&amp;VLOOKUP($D$2,'Reading Report Logic'!$A$2:$B$8,2,FALSE)&amp;"]")),FALSE)),
IF(VLOOKUP($A664, YES_Reading_FLA[], COLUMN(INDIRECT("YES_Reading_FLA[Min Expectation - Per "&amp;VLOOKUP($D$2, 'Reading Report Logic'!$A$2:$B$8, 2, FALSE)&amp;"]")),FALSE)="", "", VLOOKUP($A664,YES_Reading_FLA[],COLUMN(INDIRECT("YES_Reading_FLA[Min Expectation - Per "&amp;VLOOKUP($D$2, 'Reading Report Logic'!$A$2:$B$8, 2, FALSE)&amp;"]")),FALSE))),""))),"")</f>
        <v/>
      </c>
      <c r="F664" s="205" t="str" cm="1">
        <f t="array" aca="1" ref="F664" ca="1">IFERROR(
IF($J$2="ELA",
IF(VLOOKUP($A664, YES_Reading_ELA[], COLUMN(INDIRECT("YES_Reading_ELA[Max Expectation - Per "&amp;VLOOKUP($D$2, 'Reading Report Logic'!$A$2:$B$8, 2, FALSE)&amp;"]")), FALSE)="", "",
VLOOKUP($A664,YES_Reading_ELA[], COLUMN(INDIRECT("YES_Reading_ELA[Max Expectation - Per "&amp;VLOOKUP($D$2,'Reading Report Logic'!$A$2:$B$8,2,FALSE)&amp;"]")), FALSE)),
IF($J$2="FLA",
IF(VLOOKUP($A664, YES_Reading_FLA[], COLUMN(INDIRECT("YES_Reading_FLA[Max Expectation - Per "&amp;VLOOKUP($D$2,'Reading Report Logic'!$A$2:$B$8,2,FALSE)&amp;"]")),FALSE)="","",
VLOOKUP($A664,YES_Reading_FLA[],COLUMN(INDIRECT("YES_Reading_FLA[Max Expectation - Per "&amp;VLOOKUP($D$2,'Reading Report Logic'!$A$2:$B$8,2,FALSE)&amp;"]")),FALSE)),
IF($J$2="Combined",
IFERROR(
IF(VLOOKUP($A664, YES_Reading_ELA[], COLUMN(INDIRECT("YES_Reading_ELA[Max Expectation - Per "&amp;VLOOKUP($D$2, 'Reading Report Logic'!$A$2:$B$8,2,FALSE)&amp;"]")), FALSE)="", "",
VLOOKUP($A664,YES_Reading_ELA[],COLUMN(INDIRECT("YES_Reading_ELA[Max Expectation - Per "&amp;VLOOKUP($D$2,'Reading Report Logic'!$A$2:$B$8,2,FALSE)&amp;"]")),FALSE)),
IF(VLOOKUP($A664, YES_Reading_FLA[], COLUMN(INDIRECT("YES_Reading_FLA[Max Expectation - Per "&amp;VLOOKUP($D$2, 'Reading Report Logic'!$A$2:$B$8, 2, FALSE)&amp;"]")),FALSE)="", "", VLOOKUP($A664,YES_Reading_FLA[],COLUMN(INDIRECT("YES_Reading_FLA[Max Expectation - Per "&amp;VLOOKUP($D$2, 'Reading Report Logic'!$A$2:$B$8, 2, FALSE)&amp;"]")),FALSE))),""))),"")</f>
        <v/>
      </c>
      <c r="G664" s="205" t="str" cm="1">
        <f t="array" aca="1" ref="G664" ca="1">IFERROR(
IF($J$2="ELA",
IF(VLOOKUP($A664, YES_Reading_ELA[], COLUMN(INDIRECT("YES_Reading_ELA[Difference - Per "&amp;VLOOKUP($D$2, 'Reading Report Logic'!$A$2:$B$8, 2, FALSE)&amp;"]")), FALSE)="", "",
VLOOKUP($A664,YES_Reading_ELA[], COLUMN(INDIRECT("YES_Reading_ELA[Difference - Per "&amp;VLOOKUP($D$2,'Reading Report Logic'!$A$2:$B$8,2,FALSE)&amp;"]")), FALSE)),
IF($J$2="FLA",
IF(VLOOKUP($A664, YES_Reading_FLA[], COLUMN(INDIRECT("YES_Reading_FLA[Difference - Per "&amp;VLOOKUP($D$2,'Reading Report Logic'!$A$2:$B$8,2,FALSE)&amp;"]")),FALSE)="","",
VLOOKUP($A664,YES_Reading_FLA[],COLUMN(INDIRECT("YES_Reading_FLA[Difference - Per "&amp;VLOOKUP($D$2,'Reading Report Logic'!$A$2:$B$8,2,FALSE)&amp;"]")),FALSE)),
IF($J$2="Combined",
IFERROR(
IF(VLOOKUP($A664, YES_Reading_ELA[], COLUMN(INDIRECT("YES_Reading_ELA[Difference - Per "&amp;VLOOKUP($D$2, 'Reading Report Logic'!$A$2:$B$8,2,FALSE)&amp;"]")), FALSE)="", "",
VLOOKUP($A664,YES_Reading_ELA[],COLUMN(INDIRECT("YES_Reading_ELA[Difference - Per "&amp;VLOOKUP($D$2,'Reading Report Logic'!$A$2:$B$8,2,FALSE)&amp;"]")),FALSE)),
IF(VLOOKUP($A664, YES_Reading_FLA[], COLUMN(INDIRECT("YES_Reading_FLA[Difference - Per "&amp;VLOOKUP($D$2, 'Reading Report Logic'!$A$2:$B$8, 2, FALSE)&amp;"]")),FALSE)="", "", VLOOKUP($A664,YES_Reading_FLA[],COLUMN(INDIRECT("YES_Reading_FLA[Difference - Per "&amp;VLOOKUP($D$2, 'Reading Report Logic'!$A$2:$B$8, 2, FALSE)&amp;"]")),FALSE))),""))),"")</f>
        <v/>
      </c>
      <c r="H664" s="206" t="str">
        <f ca="1">IFERROR(VLOOKUP('Teacher Reading Pull Sheets'!$D664,_xlfn.VSTACK('ELA Reading Logic'!$A$22:$B$48,'FLA Reading Logic'!$A$22:$B$53),2,FALSE)-VLOOKUP('Teacher Reading Pull Sheets'!$C664,_xlfn.VSTACK('ELA Reading Logic'!$A$22:$B$48,'FLA Reading Logic'!$A$22:$B$53),2,FALSE),"")</f>
        <v/>
      </c>
      <c r="I664" s="212"/>
      <c r="J664" s="206"/>
      <c r="K664" s="197" t="str" cm="1">
        <f t="array" ref="K664">IFERROR(
IF($J$2="ELA",
IF(VLOOKUP($A664, YES_Reading_ELA[], COLUMN(YES_Reading_ELA[Self-Identified as African Descent]), FALSE)="", "",
VLOOKUP($A664,YES_Reading_ELA[], COLUMN(YES_Reading_ELA[Self-Identified as African Descent]), FALSE)),
IF($J$2="FLA",
IF(VLOOKUP($A664, YES_Reading_FLA[], COLUMN(YES_Reading_FLA[Self-Identified as African Descent]),FALSE)="","",
VLOOKUP($A664,YES_Reading_FLA[],COLUMN(YES_Reading_FLA[Self-Identified as African Descent]),FALSE)),
IF($J$2="Combined",
IFERROR(
IF(VLOOKUP($A664, YES_Reading_ELA[], COLUMN(YES_Reading_ELA[Self-Identified as African Descent]), FALSE)="", "",
VLOOKUP($A664,YES_Reading_ELA[],COLUMN(YES_Reading_ELA[Self-Identified as African Descent]),FALSE)),
IF(VLOOKUP($A664, YES_Reading_FLA[], COLUMN(YES_Reading_FLA[Self-Identified as African Descent]),FALSE)="", "", VLOOKUP($A664,YES_Reading_FLA[],COLUMN(YES_Reading_FLA[Self-Identified as African Descent]),FALSE))),""))),"")</f>
        <v/>
      </c>
      <c r="L664" s="73" t="str" cm="1">
        <f t="array" ref="L664">IFERROR(
IF($J$2="ELA",
IF(VLOOKUP($A664, YES_Reading_ELA[], COLUMN(YES_Reading_ELA[Self-Identified as Indigenous]), FALSE)="", "",
VLOOKUP($A664,YES_Reading_ELA[], COLUMN(YES_Reading_ELA[Self-Identified as Indigenous]), FALSE)),
IF($J$2="FLA",
IF(VLOOKUP($A664, YES_Reading_FLA[], COLUMN(YES_Reading_FLA[Self-Identified as Indigenous]),FALSE)="","",
VLOOKUP($A664,YES_Reading_FLA[],COLUMN(YES_Reading_FLA[Self-Identified as Indigenous]),FALSE)),
IF($J$2="Combined",
IFERROR(
IF(VLOOKUP($A664, YES_Reading_ELA[], COLUMN(YES_Reading_ELA[Self-Identified as Indigenous]), FALSE)="", "",
VLOOKUP($A664,YES_Reading_ELA[],COLUMN(YES_Reading_ELA[Self-Identified as Indigenous]),FALSE)),
IF(VLOOKUP($A664, YES_Reading_FLA[], COLUMN(YES_Reading_FLA[Self-Identified as Indigenous]),FALSE)="", "", VLOOKUP($A664,YES_Reading_FLA[],COLUMN(YES_Reading_FLA[Self-Identified as Indigenous]),FALSE))),""))),"")</f>
        <v/>
      </c>
    </row>
    <row r="665" spans="1:12" ht="19.5" customHeight="1" x14ac:dyDescent="0.25">
      <c r="A665" s="217"/>
      <c r="B665" s="220" t="str">
        <f>IFERROR(VLOOKUP(A665,_xlfn.VSTACK(YES_Reading_ELA[],YES_Reading_FLA[]),2,FALSE),"")</f>
        <v/>
      </c>
      <c r="C665" s="203" t="str" cm="1">
        <f t="array" aca="1" ref="C665" ca="1">IFERROR(
IF($J$2="ELA",
IF(VLOOKUP($A665, YES_Reading_ELA[], COLUMN(IF(VLOOKUP($D$2, 'Reading Report Logic'!$A$2:$B$8, 2, FALSE)=1, YES_Reading_ELA[Reading Level June of Previous School Year], INDIRECT("YES_Reading_ELA[Instructional Reading Level - Per "&amp;(VLOOKUP($D$2,'Reading Report Logic'!$A$2:$B$8,2,FALSE)-1)&amp;"]"))), FALSE)="", "",
VLOOKUP($A665,YES_Reading_ELA[], COLUMN(IF(VLOOKUP($D$2,'Reading Report Logic'!$A$2:$B$8,2,FALSE)=1, YES_Reading_ELA[Reading Level June of Previous School Year],INDIRECT("YES_Reading_ELA[Instructional Reading Level - Per "&amp;(VLOOKUP($D$2,'Reading Report Logic'!$A$2:$B$8,2,FALSE)-1)&amp;"]"))), FALSE)),
IF($J$2="FLA",
IF(VLOOKUP($A665, YES_Reading_FLA[], COLUMN(IF(VLOOKUP($D$2,'Reading Report Logic'!$A$2:$B$8,2,FALSE)=1, YES_Reading_FLA[Reading Level June of Previous School Year],INDIRECT("YES_Reading_FLA[Instructional Reading Level - Per "&amp;(VLOOKUP($D$2,'Reading Report Logic'!$A$2:$B$8,2,FALSE)-1)&amp;"]"))),FALSE)="","",
VLOOKUP($A665,YES_Reading_FLA[], COLUMN(IF(VLOOKUP($D$2,'Reading Report Logic'!$A$2:$B$8,2,FALSE)=1, YES_Reading_FLA[Reading Level June of Previous School Year],INDIRECT("YES_Reading_FLA[Instructional Reading Level - Per "&amp;(VLOOKUP($D$2,'Reading Report Logic'!$A$2:$B$8,2,FALSE)-1)&amp;"]"))),FALSE)),
IF($J$2="Combined",
IFERROR(
IF(VLOOKUP($A665, YES_Reading_ELA[], COLUMN(IF(VLOOKUP($D$2,'Reading Report Logic'!$A$2:$B$8,2,FALSE)=1, YES_Reading_ELA[Reading Level June of Previous School Year],INDIRECT("YES_Reading_ELA[Instructional Reading Level - Per "&amp;(VLOOKUP($D$2,'Reading Report Logic'!$A$2:$B$8,2,FALSE)-1)&amp;"]"))), FALSE)="", "",
VLOOKUP($A665,YES_Reading_ELA[],COLUMN(IF(VLOOKUP($D$2,'Reading Report Logic'!$A$2:$B$8,2,FALSE)=1, YES_Reading_ELA[Reading Level June of Previous School Year],INDIRECT("YES_Reading_ELA[Instructional Reading Level - Per "&amp;(VLOOKUP($D$2,'Reading Report Logic'!$A$2:$B$8,2,FALSE)-1)&amp;"]"))),FALSE)),
IF(VLOOKUP($A665, YES_Reading_FLA[], COLUMN(IF(VLOOKUP($D$2,'Reading Report Logic'!$A$2:$B$8,2,FALSE)=1, YES_Reading_FLA[Reading Level June of Previous School Year],INDIRECT("YES_Reading_FLA[Instructional Reading Level - Per "&amp;(VLOOKUP($D$2,'Reading Report Logic'!$A$2:$B$8,2,FALSE)-1)&amp;"]"))),FALSE)="", "", VLOOKUP($A665,YES_Reading_FLA[],COLUMN(IF(VLOOKUP($D$2,'Reading Report Logic'!$A$2:$B$8,2,FALSE)=1, YES_Reading_FLA[Reading Level June of Previous School Year],INDIRECT("YES_Reading_FLA[Instructional Reading Level - Per "&amp;(VLOOKUP($D$2,'Reading Report Logic'!$A$2:$B$8,2,FALSE)-1)&amp;"]"))), FALSE))),""))),"")</f>
        <v/>
      </c>
      <c r="D665" s="204" t="str" cm="1">
        <f t="array" aca="1" ref="D665" ca="1">IFERROR(
IF($J$2="ELA",
IF(VLOOKUP($A665, YES_Reading_ELA[], COLUMN(INDIRECT("YES_Reading_ELA[Instructional Reading Level - Per "&amp;VLOOKUP($D$2, 'Reading Report Logic'!$A$2:$B$8, 2, FALSE)&amp;"]")), FALSE)="", "",
VLOOKUP($A665,YES_Reading_ELA[], COLUMN(INDIRECT("YES_Reading_ELA[Instructional Reading Level - Per "&amp;VLOOKUP($D$2,'Reading Report Logic'!$A$2:$B$8,2,FALSE)&amp;"]")), FALSE)),
IF($J$2="FLA",
IF(VLOOKUP($A665, YES_Reading_FLA[], COLUMN(INDIRECT("YES_Reading_FLA[Instructional Reading Level - Per "&amp;VLOOKUP($D$2,'Reading Report Logic'!$A$2:$B$8,2,FALSE)&amp;"]")),FALSE)="","",
VLOOKUP($A665,YES_Reading_FLA[],COLUMN(INDIRECT("YES_Reading_FLA[Instructional Reading Level - Per "&amp;VLOOKUP($D$2,'Reading Report Logic'!$A$2:$B$8,2,FALSE)&amp;"]")),FALSE)),
IF($J$2="Combined",
IFERROR(
IF(VLOOKUP($A665, YES_Reading_ELA[], COLUMN(INDIRECT("YES_Reading_ELA[Instructional Reading Level - Per "&amp;VLOOKUP($D$2, 'Reading Report Logic'!$A$2:$B$8,2,FALSE)&amp;"]")), FALSE)="", "",
VLOOKUP($A665,YES_Reading_ELA[],COLUMN(INDIRECT("YES_Reading_ELA[Instructional Reading Level - Per "&amp;VLOOKUP($D$2,'Reading Report Logic'!$A$2:$B$8,2,FALSE)&amp;"]")),FALSE)),
IF(VLOOKUP($A665, YES_Reading_FLA[], COLUMN(INDIRECT("YES_Reading_FLA[Instructional Reading Level - Per "&amp;VLOOKUP($D$2, 'Reading Report Logic'!$A$2:$B$8, 2, FALSE)&amp;"]")),FALSE)="", "", VLOOKUP($A665,YES_Reading_FLA[],COLUMN(INDIRECT("YES_Reading_FLA[Instructional Reading Level - Per "&amp;VLOOKUP($D$2, 'Reading Report Logic'!$A$2:$B$8, 2, FALSE)&amp;"]")),FALSE))),""))),"")</f>
        <v/>
      </c>
      <c r="E665" s="205" t="str" cm="1">
        <f t="array" aca="1" ref="E665" ca="1">IFERROR(
IF($J$2="ELA",
IF(VLOOKUP($A665, YES_Reading_ELA[], COLUMN(INDIRECT("YES_Reading_ELA[Min Expectation - Per "&amp;VLOOKUP($D$2, 'Reading Report Logic'!$A$2:$B$8, 2, FALSE)&amp;"]")), FALSE)="", "",
VLOOKUP($A665,YES_Reading_ELA[], COLUMN(INDIRECT("YES_Reading_ELA[Min Expectation - Per "&amp;VLOOKUP($D$2,'Reading Report Logic'!$A$2:$B$8,2,FALSE)&amp;"]")), FALSE)),
IF($J$2="FLA",
IF(VLOOKUP($A665, YES_Reading_FLA[], COLUMN(INDIRECT("YES_Reading_FLA[Min Expectation - Per "&amp;VLOOKUP($D$2,'Reading Report Logic'!$A$2:$B$8,2,FALSE)&amp;"]")),FALSE)="","",
VLOOKUP($A665,YES_Reading_FLA[],COLUMN(INDIRECT("YES_Reading_FLA[Min Expectation - Per "&amp;VLOOKUP($D$2,'Reading Report Logic'!$A$2:$B$8,2,FALSE)&amp;"]")),FALSE)),
IF($J$2="Combined",
IFERROR(
IF(VLOOKUP($A665, YES_Reading_ELA[], COLUMN(INDIRECT("YES_Reading_ELA[Min Expectation - Per "&amp;VLOOKUP($D$2, 'Reading Report Logic'!$A$2:$B$8,2,FALSE)&amp;"]")), FALSE)="", "",
VLOOKUP($A665,YES_Reading_ELA[],COLUMN(INDIRECT("YES_Reading_ELA[Min Expectation - Per "&amp;VLOOKUP($D$2,'Reading Report Logic'!$A$2:$B$8,2,FALSE)&amp;"]")),FALSE)),
IF(VLOOKUP($A665, YES_Reading_FLA[], COLUMN(INDIRECT("YES_Reading_FLA[Min Expectation - Per "&amp;VLOOKUP($D$2, 'Reading Report Logic'!$A$2:$B$8, 2, FALSE)&amp;"]")),FALSE)="", "", VLOOKUP($A665,YES_Reading_FLA[],COLUMN(INDIRECT("YES_Reading_FLA[Min Expectation - Per "&amp;VLOOKUP($D$2, 'Reading Report Logic'!$A$2:$B$8, 2, FALSE)&amp;"]")),FALSE))),""))),"")</f>
        <v/>
      </c>
      <c r="F665" s="205" t="str" cm="1">
        <f t="array" aca="1" ref="F665" ca="1">IFERROR(
IF($J$2="ELA",
IF(VLOOKUP($A665, YES_Reading_ELA[], COLUMN(INDIRECT("YES_Reading_ELA[Max Expectation - Per "&amp;VLOOKUP($D$2, 'Reading Report Logic'!$A$2:$B$8, 2, FALSE)&amp;"]")), FALSE)="", "",
VLOOKUP($A665,YES_Reading_ELA[], COLUMN(INDIRECT("YES_Reading_ELA[Max Expectation - Per "&amp;VLOOKUP($D$2,'Reading Report Logic'!$A$2:$B$8,2,FALSE)&amp;"]")), FALSE)),
IF($J$2="FLA",
IF(VLOOKUP($A665, YES_Reading_FLA[], COLUMN(INDIRECT("YES_Reading_FLA[Max Expectation - Per "&amp;VLOOKUP($D$2,'Reading Report Logic'!$A$2:$B$8,2,FALSE)&amp;"]")),FALSE)="","",
VLOOKUP($A665,YES_Reading_FLA[],COLUMN(INDIRECT("YES_Reading_FLA[Max Expectation - Per "&amp;VLOOKUP($D$2,'Reading Report Logic'!$A$2:$B$8,2,FALSE)&amp;"]")),FALSE)),
IF($J$2="Combined",
IFERROR(
IF(VLOOKUP($A665, YES_Reading_ELA[], COLUMN(INDIRECT("YES_Reading_ELA[Max Expectation - Per "&amp;VLOOKUP($D$2, 'Reading Report Logic'!$A$2:$B$8,2,FALSE)&amp;"]")), FALSE)="", "",
VLOOKUP($A665,YES_Reading_ELA[],COLUMN(INDIRECT("YES_Reading_ELA[Max Expectation - Per "&amp;VLOOKUP($D$2,'Reading Report Logic'!$A$2:$B$8,2,FALSE)&amp;"]")),FALSE)),
IF(VLOOKUP($A665, YES_Reading_FLA[], COLUMN(INDIRECT("YES_Reading_FLA[Max Expectation - Per "&amp;VLOOKUP($D$2, 'Reading Report Logic'!$A$2:$B$8, 2, FALSE)&amp;"]")),FALSE)="", "", VLOOKUP($A665,YES_Reading_FLA[],COLUMN(INDIRECT("YES_Reading_FLA[Max Expectation - Per "&amp;VLOOKUP($D$2, 'Reading Report Logic'!$A$2:$B$8, 2, FALSE)&amp;"]")),FALSE))),""))),"")</f>
        <v/>
      </c>
      <c r="G665" s="205" t="str" cm="1">
        <f t="array" aca="1" ref="G665" ca="1">IFERROR(
IF($J$2="ELA",
IF(VLOOKUP($A665, YES_Reading_ELA[], COLUMN(INDIRECT("YES_Reading_ELA[Difference - Per "&amp;VLOOKUP($D$2, 'Reading Report Logic'!$A$2:$B$8, 2, FALSE)&amp;"]")), FALSE)="", "",
VLOOKUP($A665,YES_Reading_ELA[], COLUMN(INDIRECT("YES_Reading_ELA[Difference - Per "&amp;VLOOKUP($D$2,'Reading Report Logic'!$A$2:$B$8,2,FALSE)&amp;"]")), FALSE)),
IF($J$2="FLA",
IF(VLOOKUP($A665, YES_Reading_FLA[], COLUMN(INDIRECT("YES_Reading_FLA[Difference - Per "&amp;VLOOKUP($D$2,'Reading Report Logic'!$A$2:$B$8,2,FALSE)&amp;"]")),FALSE)="","",
VLOOKUP($A665,YES_Reading_FLA[],COLUMN(INDIRECT("YES_Reading_FLA[Difference - Per "&amp;VLOOKUP($D$2,'Reading Report Logic'!$A$2:$B$8,2,FALSE)&amp;"]")),FALSE)),
IF($J$2="Combined",
IFERROR(
IF(VLOOKUP($A665, YES_Reading_ELA[], COLUMN(INDIRECT("YES_Reading_ELA[Difference - Per "&amp;VLOOKUP($D$2, 'Reading Report Logic'!$A$2:$B$8,2,FALSE)&amp;"]")), FALSE)="", "",
VLOOKUP($A665,YES_Reading_ELA[],COLUMN(INDIRECT("YES_Reading_ELA[Difference - Per "&amp;VLOOKUP($D$2,'Reading Report Logic'!$A$2:$B$8,2,FALSE)&amp;"]")),FALSE)),
IF(VLOOKUP($A665, YES_Reading_FLA[], COLUMN(INDIRECT("YES_Reading_FLA[Difference - Per "&amp;VLOOKUP($D$2, 'Reading Report Logic'!$A$2:$B$8, 2, FALSE)&amp;"]")),FALSE)="", "", VLOOKUP($A665,YES_Reading_FLA[],COLUMN(INDIRECT("YES_Reading_FLA[Difference - Per "&amp;VLOOKUP($D$2, 'Reading Report Logic'!$A$2:$B$8, 2, FALSE)&amp;"]")),FALSE))),""))),"")</f>
        <v/>
      </c>
      <c r="H665" s="206" t="str">
        <f ca="1">IFERROR(VLOOKUP('Teacher Reading Pull Sheets'!$D665,_xlfn.VSTACK('ELA Reading Logic'!$A$22:$B$48,'FLA Reading Logic'!$A$22:$B$53),2,FALSE)-VLOOKUP('Teacher Reading Pull Sheets'!$C665,_xlfn.VSTACK('ELA Reading Logic'!$A$22:$B$48,'FLA Reading Logic'!$A$22:$B$53),2,FALSE),"")</f>
        <v/>
      </c>
      <c r="I665" s="212"/>
      <c r="J665" s="206"/>
      <c r="K665" s="197" t="str" cm="1">
        <f t="array" ref="K665">IFERROR(
IF($J$2="ELA",
IF(VLOOKUP($A665, YES_Reading_ELA[], COLUMN(YES_Reading_ELA[Self-Identified as African Descent]), FALSE)="", "",
VLOOKUP($A665,YES_Reading_ELA[], COLUMN(YES_Reading_ELA[Self-Identified as African Descent]), FALSE)),
IF($J$2="FLA",
IF(VLOOKUP($A665, YES_Reading_FLA[], COLUMN(YES_Reading_FLA[Self-Identified as African Descent]),FALSE)="","",
VLOOKUP($A665,YES_Reading_FLA[],COLUMN(YES_Reading_FLA[Self-Identified as African Descent]),FALSE)),
IF($J$2="Combined",
IFERROR(
IF(VLOOKUP($A665, YES_Reading_ELA[], COLUMN(YES_Reading_ELA[Self-Identified as African Descent]), FALSE)="", "",
VLOOKUP($A665,YES_Reading_ELA[],COLUMN(YES_Reading_ELA[Self-Identified as African Descent]),FALSE)),
IF(VLOOKUP($A665, YES_Reading_FLA[], COLUMN(YES_Reading_FLA[Self-Identified as African Descent]),FALSE)="", "", VLOOKUP($A665,YES_Reading_FLA[],COLUMN(YES_Reading_FLA[Self-Identified as African Descent]),FALSE))),""))),"")</f>
        <v/>
      </c>
      <c r="L665" s="73" t="str" cm="1">
        <f t="array" ref="L665">IFERROR(
IF($J$2="ELA",
IF(VLOOKUP($A665, YES_Reading_ELA[], COLUMN(YES_Reading_ELA[Self-Identified as Indigenous]), FALSE)="", "",
VLOOKUP($A665,YES_Reading_ELA[], COLUMN(YES_Reading_ELA[Self-Identified as Indigenous]), FALSE)),
IF($J$2="FLA",
IF(VLOOKUP($A665, YES_Reading_FLA[], COLUMN(YES_Reading_FLA[Self-Identified as Indigenous]),FALSE)="","",
VLOOKUP($A665,YES_Reading_FLA[],COLUMN(YES_Reading_FLA[Self-Identified as Indigenous]),FALSE)),
IF($J$2="Combined",
IFERROR(
IF(VLOOKUP($A665, YES_Reading_ELA[], COLUMN(YES_Reading_ELA[Self-Identified as Indigenous]), FALSE)="", "",
VLOOKUP($A665,YES_Reading_ELA[],COLUMN(YES_Reading_ELA[Self-Identified as Indigenous]),FALSE)),
IF(VLOOKUP($A665, YES_Reading_FLA[], COLUMN(YES_Reading_FLA[Self-Identified as Indigenous]),FALSE)="", "", VLOOKUP($A665,YES_Reading_FLA[],COLUMN(YES_Reading_FLA[Self-Identified as Indigenous]),FALSE))),""))),"")</f>
        <v/>
      </c>
    </row>
    <row r="666" spans="1:12" ht="19.5" customHeight="1" x14ac:dyDescent="0.25">
      <c r="A666" s="217"/>
      <c r="B666" s="220" t="str">
        <f>IFERROR(VLOOKUP(A666,_xlfn.VSTACK(YES_Reading_ELA[],YES_Reading_FLA[]),2,FALSE),"")</f>
        <v/>
      </c>
      <c r="C666" s="203" t="str" cm="1">
        <f t="array" aca="1" ref="C666" ca="1">IFERROR(
IF($J$2="ELA",
IF(VLOOKUP($A666, YES_Reading_ELA[], COLUMN(IF(VLOOKUP($D$2, 'Reading Report Logic'!$A$2:$B$8, 2, FALSE)=1, YES_Reading_ELA[Reading Level June of Previous School Year], INDIRECT("YES_Reading_ELA[Instructional Reading Level - Per "&amp;(VLOOKUP($D$2,'Reading Report Logic'!$A$2:$B$8,2,FALSE)-1)&amp;"]"))), FALSE)="", "",
VLOOKUP($A666,YES_Reading_ELA[], COLUMN(IF(VLOOKUP($D$2,'Reading Report Logic'!$A$2:$B$8,2,FALSE)=1, YES_Reading_ELA[Reading Level June of Previous School Year],INDIRECT("YES_Reading_ELA[Instructional Reading Level - Per "&amp;(VLOOKUP($D$2,'Reading Report Logic'!$A$2:$B$8,2,FALSE)-1)&amp;"]"))), FALSE)),
IF($J$2="FLA",
IF(VLOOKUP($A666, YES_Reading_FLA[], COLUMN(IF(VLOOKUP($D$2,'Reading Report Logic'!$A$2:$B$8,2,FALSE)=1, YES_Reading_FLA[Reading Level June of Previous School Year],INDIRECT("YES_Reading_FLA[Instructional Reading Level - Per "&amp;(VLOOKUP($D$2,'Reading Report Logic'!$A$2:$B$8,2,FALSE)-1)&amp;"]"))),FALSE)="","",
VLOOKUP($A666,YES_Reading_FLA[], COLUMN(IF(VLOOKUP($D$2,'Reading Report Logic'!$A$2:$B$8,2,FALSE)=1, YES_Reading_FLA[Reading Level June of Previous School Year],INDIRECT("YES_Reading_FLA[Instructional Reading Level - Per "&amp;(VLOOKUP($D$2,'Reading Report Logic'!$A$2:$B$8,2,FALSE)-1)&amp;"]"))),FALSE)),
IF($J$2="Combined",
IFERROR(
IF(VLOOKUP($A666, YES_Reading_ELA[], COLUMN(IF(VLOOKUP($D$2,'Reading Report Logic'!$A$2:$B$8,2,FALSE)=1, YES_Reading_ELA[Reading Level June of Previous School Year],INDIRECT("YES_Reading_ELA[Instructional Reading Level - Per "&amp;(VLOOKUP($D$2,'Reading Report Logic'!$A$2:$B$8,2,FALSE)-1)&amp;"]"))), FALSE)="", "",
VLOOKUP($A666,YES_Reading_ELA[],COLUMN(IF(VLOOKUP($D$2,'Reading Report Logic'!$A$2:$B$8,2,FALSE)=1, YES_Reading_ELA[Reading Level June of Previous School Year],INDIRECT("YES_Reading_ELA[Instructional Reading Level - Per "&amp;(VLOOKUP($D$2,'Reading Report Logic'!$A$2:$B$8,2,FALSE)-1)&amp;"]"))),FALSE)),
IF(VLOOKUP($A666, YES_Reading_FLA[], COLUMN(IF(VLOOKUP($D$2,'Reading Report Logic'!$A$2:$B$8,2,FALSE)=1, YES_Reading_FLA[Reading Level June of Previous School Year],INDIRECT("YES_Reading_FLA[Instructional Reading Level - Per "&amp;(VLOOKUP($D$2,'Reading Report Logic'!$A$2:$B$8,2,FALSE)-1)&amp;"]"))),FALSE)="", "", VLOOKUP($A666,YES_Reading_FLA[],COLUMN(IF(VLOOKUP($D$2,'Reading Report Logic'!$A$2:$B$8,2,FALSE)=1, YES_Reading_FLA[Reading Level June of Previous School Year],INDIRECT("YES_Reading_FLA[Instructional Reading Level - Per "&amp;(VLOOKUP($D$2,'Reading Report Logic'!$A$2:$B$8,2,FALSE)-1)&amp;"]"))), FALSE))),""))),"")</f>
        <v/>
      </c>
      <c r="D666" s="204" t="str" cm="1">
        <f t="array" aca="1" ref="D666" ca="1">IFERROR(
IF($J$2="ELA",
IF(VLOOKUP($A666, YES_Reading_ELA[], COLUMN(INDIRECT("YES_Reading_ELA[Instructional Reading Level - Per "&amp;VLOOKUP($D$2, 'Reading Report Logic'!$A$2:$B$8, 2, FALSE)&amp;"]")), FALSE)="", "",
VLOOKUP($A666,YES_Reading_ELA[], COLUMN(INDIRECT("YES_Reading_ELA[Instructional Reading Level - Per "&amp;VLOOKUP($D$2,'Reading Report Logic'!$A$2:$B$8,2,FALSE)&amp;"]")), FALSE)),
IF($J$2="FLA",
IF(VLOOKUP($A666, YES_Reading_FLA[], COLUMN(INDIRECT("YES_Reading_FLA[Instructional Reading Level - Per "&amp;VLOOKUP($D$2,'Reading Report Logic'!$A$2:$B$8,2,FALSE)&amp;"]")),FALSE)="","",
VLOOKUP($A666,YES_Reading_FLA[],COLUMN(INDIRECT("YES_Reading_FLA[Instructional Reading Level - Per "&amp;VLOOKUP($D$2,'Reading Report Logic'!$A$2:$B$8,2,FALSE)&amp;"]")),FALSE)),
IF($J$2="Combined",
IFERROR(
IF(VLOOKUP($A666, YES_Reading_ELA[], COLUMN(INDIRECT("YES_Reading_ELA[Instructional Reading Level - Per "&amp;VLOOKUP($D$2, 'Reading Report Logic'!$A$2:$B$8,2,FALSE)&amp;"]")), FALSE)="", "",
VLOOKUP($A666,YES_Reading_ELA[],COLUMN(INDIRECT("YES_Reading_ELA[Instructional Reading Level - Per "&amp;VLOOKUP($D$2,'Reading Report Logic'!$A$2:$B$8,2,FALSE)&amp;"]")),FALSE)),
IF(VLOOKUP($A666, YES_Reading_FLA[], COLUMN(INDIRECT("YES_Reading_FLA[Instructional Reading Level - Per "&amp;VLOOKUP($D$2, 'Reading Report Logic'!$A$2:$B$8, 2, FALSE)&amp;"]")),FALSE)="", "", VLOOKUP($A666,YES_Reading_FLA[],COLUMN(INDIRECT("YES_Reading_FLA[Instructional Reading Level - Per "&amp;VLOOKUP($D$2, 'Reading Report Logic'!$A$2:$B$8, 2, FALSE)&amp;"]")),FALSE))),""))),"")</f>
        <v/>
      </c>
      <c r="E666" s="205" t="str" cm="1">
        <f t="array" aca="1" ref="E666" ca="1">IFERROR(
IF($J$2="ELA",
IF(VLOOKUP($A666, YES_Reading_ELA[], COLUMN(INDIRECT("YES_Reading_ELA[Min Expectation - Per "&amp;VLOOKUP($D$2, 'Reading Report Logic'!$A$2:$B$8, 2, FALSE)&amp;"]")), FALSE)="", "",
VLOOKUP($A666,YES_Reading_ELA[], COLUMN(INDIRECT("YES_Reading_ELA[Min Expectation - Per "&amp;VLOOKUP($D$2,'Reading Report Logic'!$A$2:$B$8,2,FALSE)&amp;"]")), FALSE)),
IF($J$2="FLA",
IF(VLOOKUP($A666, YES_Reading_FLA[], COLUMN(INDIRECT("YES_Reading_FLA[Min Expectation - Per "&amp;VLOOKUP($D$2,'Reading Report Logic'!$A$2:$B$8,2,FALSE)&amp;"]")),FALSE)="","",
VLOOKUP($A666,YES_Reading_FLA[],COLUMN(INDIRECT("YES_Reading_FLA[Min Expectation - Per "&amp;VLOOKUP($D$2,'Reading Report Logic'!$A$2:$B$8,2,FALSE)&amp;"]")),FALSE)),
IF($J$2="Combined",
IFERROR(
IF(VLOOKUP($A666, YES_Reading_ELA[], COLUMN(INDIRECT("YES_Reading_ELA[Min Expectation - Per "&amp;VLOOKUP($D$2, 'Reading Report Logic'!$A$2:$B$8,2,FALSE)&amp;"]")), FALSE)="", "",
VLOOKUP($A666,YES_Reading_ELA[],COLUMN(INDIRECT("YES_Reading_ELA[Min Expectation - Per "&amp;VLOOKUP($D$2,'Reading Report Logic'!$A$2:$B$8,2,FALSE)&amp;"]")),FALSE)),
IF(VLOOKUP($A666, YES_Reading_FLA[], COLUMN(INDIRECT("YES_Reading_FLA[Min Expectation - Per "&amp;VLOOKUP($D$2, 'Reading Report Logic'!$A$2:$B$8, 2, FALSE)&amp;"]")),FALSE)="", "", VLOOKUP($A666,YES_Reading_FLA[],COLUMN(INDIRECT("YES_Reading_FLA[Min Expectation - Per "&amp;VLOOKUP($D$2, 'Reading Report Logic'!$A$2:$B$8, 2, FALSE)&amp;"]")),FALSE))),""))),"")</f>
        <v/>
      </c>
      <c r="F666" s="205" t="str" cm="1">
        <f t="array" aca="1" ref="F666" ca="1">IFERROR(
IF($J$2="ELA",
IF(VLOOKUP($A666, YES_Reading_ELA[], COLUMN(INDIRECT("YES_Reading_ELA[Max Expectation - Per "&amp;VLOOKUP($D$2, 'Reading Report Logic'!$A$2:$B$8, 2, FALSE)&amp;"]")), FALSE)="", "",
VLOOKUP($A666,YES_Reading_ELA[], COLUMN(INDIRECT("YES_Reading_ELA[Max Expectation - Per "&amp;VLOOKUP($D$2,'Reading Report Logic'!$A$2:$B$8,2,FALSE)&amp;"]")), FALSE)),
IF($J$2="FLA",
IF(VLOOKUP($A666, YES_Reading_FLA[], COLUMN(INDIRECT("YES_Reading_FLA[Max Expectation - Per "&amp;VLOOKUP($D$2,'Reading Report Logic'!$A$2:$B$8,2,FALSE)&amp;"]")),FALSE)="","",
VLOOKUP($A666,YES_Reading_FLA[],COLUMN(INDIRECT("YES_Reading_FLA[Max Expectation - Per "&amp;VLOOKUP($D$2,'Reading Report Logic'!$A$2:$B$8,2,FALSE)&amp;"]")),FALSE)),
IF($J$2="Combined",
IFERROR(
IF(VLOOKUP($A666, YES_Reading_ELA[], COLUMN(INDIRECT("YES_Reading_ELA[Max Expectation - Per "&amp;VLOOKUP($D$2, 'Reading Report Logic'!$A$2:$B$8,2,FALSE)&amp;"]")), FALSE)="", "",
VLOOKUP($A666,YES_Reading_ELA[],COLUMN(INDIRECT("YES_Reading_ELA[Max Expectation - Per "&amp;VLOOKUP($D$2,'Reading Report Logic'!$A$2:$B$8,2,FALSE)&amp;"]")),FALSE)),
IF(VLOOKUP($A666, YES_Reading_FLA[], COLUMN(INDIRECT("YES_Reading_FLA[Max Expectation - Per "&amp;VLOOKUP($D$2, 'Reading Report Logic'!$A$2:$B$8, 2, FALSE)&amp;"]")),FALSE)="", "", VLOOKUP($A666,YES_Reading_FLA[],COLUMN(INDIRECT("YES_Reading_FLA[Max Expectation - Per "&amp;VLOOKUP($D$2, 'Reading Report Logic'!$A$2:$B$8, 2, FALSE)&amp;"]")),FALSE))),""))),"")</f>
        <v/>
      </c>
      <c r="G666" s="205" t="str" cm="1">
        <f t="array" aca="1" ref="G666" ca="1">IFERROR(
IF($J$2="ELA",
IF(VLOOKUP($A666, YES_Reading_ELA[], COLUMN(INDIRECT("YES_Reading_ELA[Difference - Per "&amp;VLOOKUP($D$2, 'Reading Report Logic'!$A$2:$B$8, 2, FALSE)&amp;"]")), FALSE)="", "",
VLOOKUP($A666,YES_Reading_ELA[], COLUMN(INDIRECT("YES_Reading_ELA[Difference - Per "&amp;VLOOKUP($D$2,'Reading Report Logic'!$A$2:$B$8,2,FALSE)&amp;"]")), FALSE)),
IF($J$2="FLA",
IF(VLOOKUP($A666, YES_Reading_FLA[], COLUMN(INDIRECT("YES_Reading_FLA[Difference - Per "&amp;VLOOKUP($D$2,'Reading Report Logic'!$A$2:$B$8,2,FALSE)&amp;"]")),FALSE)="","",
VLOOKUP($A666,YES_Reading_FLA[],COLUMN(INDIRECT("YES_Reading_FLA[Difference - Per "&amp;VLOOKUP($D$2,'Reading Report Logic'!$A$2:$B$8,2,FALSE)&amp;"]")),FALSE)),
IF($J$2="Combined",
IFERROR(
IF(VLOOKUP($A666, YES_Reading_ELA[], COLUMN(INDIRECT("YES_Reading_ELA[Difference - Per "&amp;VLOOKUP($D$2, 'Reading Report Logic'!$A$2:$B$8,2,FALSE)&amp;"]")), FALSE)="", "",
VLOOKUP($A666,YES_Reading_ELA[],COLUMN(INDIRECT("YES_Reading_ELA[Difference - Per "&amp;VLOOKUP($D$2,'Reading Report Logic'!$A$2:$B$8,2,FALSE)&amp;"]")),FALSE)),
IF(VLOOKUP($A666, YES_Reading_FLA[], COLUMN(INDIRECT("YES_Reading_FLA[Difference - Per "&amp;VLOOKUP($D$2, 'Reading Report Logic'!$A$2:$B$8, 2, FALSE)&amp;"]")),FALSE)="", "", VLOOKUP($A666,YES_Reading_FLA[],COLUMN(INDIRECT("YES_Reading_FLA[Difference - Per "&amp;VLOOKUP($D$2, 'Reading Report Logic'!$A$2:$B$8, 2, FALSE)&amp;"]")),FALSE))),""))),"")</f>
        <v/>
      </c>
      <c r="H666" s="206" t="str">
        <f ca="1">IFERROR(VLOOKUP('Teacher Reading Pull Sheets'!$D666,_xlfn.VSTACK('ELA Reading Logic'!$A$22:$B$48,'FLA Reading Logic'!$A$22:$B$53),2,FALSE)-VLOOKUP('Teacher Reading Pull Sheets'!$C666,_xlfn.VSTACK('ELA Reading Logic'!$A$22:$B$48,'FLA Reading Logic'!$A$22:$B$53),2,FALSE),"")</f>
        <v/>
      </c>
      <c r="I666" s="212"/>
      <c r="J666" s="206"/>
      <c r="K666" s="197" t="str" cm="1">
        <f t="array" ref="K666">IFERROR(
IF($J$2="ELA",
IF(VLOOKUP($A666, YES_Reading_ELA[], COLUMN(YES_Reading_ELA[Self-Identified as African Descent]), FALSE)="", "",
VLOOKUP($A666,YES_Reading_ELA[], COLUMN(YES_Reading_ELA[Self-Identified as African Descent]), FALSE)),
IF($J$2="FLA",
IF(VLOOKUP($A666, YES_Reading_FLA[], COLUMN(YES_Reading_FLA[Self-Identified as African Descent]),FALSE)="","",
VLOOKUP($A666,YES_Reading_FLA[],COLUMN(YES_Reading_FLA[Self-Identified as African Descent]),FALSE)),
IF($J$2="Combined",
IFERROR(
IF(VLOOKUP($A666, YES_Reading_ELA[], COLUMN(YES_Reading_ELA[Self-Identified as African Descent]), FALSE)="", "",
VLOOKUP($A666,YES_Reading_ELA[],COLUMN(YES_Reading_ELA[Self-Identified as African Descent]),FALSE)),
IF(VLOOKUP($A666, YES_Reading_FLA[], COLUMN(YES_Reading_FLA[Self-Identified as African Descent]),FALSE)="", "", VLOOKUP($A666,YES_Reading_FLA[],COLUMN(YES_Reading_FLA[Self-Identified as African Descent]),FALSE))),""))),"")</f>
        <v/>
      </c>
      <c r="L666" s="73" t="str" cm="1">
        <f t="array" ref="L666">IFERROR(
IF($J$2="ELA",
IF(VLOOKUP($A666, YES_Reading_ELA[], COLUMN(YES_Reading_ELA[Self-Identified as Indigenous]), FALSE)="", "",
VLOOKUP($A666,YES_Reading_ELA[], COLUMN(YES_Reading_ELA[Self-Identified as Indigenous]), FALSE)),
IF($J$2="FLA",
IF(VLOOKUP($A666, YES_Reading_FLA[], COLUMN(YES_Reading_FLA[Self-Identified as Indigenous]),FALSE)="","",
VLOOKUP($A666,YES_Reading_FLA[],COLUMN(YES_Reading_FLA[Self-Identified as Indigenous]),FALSE)),
IF($J$2="Combined",
IFERROR(
IF(VLOOKUP($A666, YES_Reading_ELA[], COLUMN(YES_Reading_ELA[Self-Identified as Indigenous]), FALSE)="", "",
VLOOKUP($A666,YES_Reading_ELA[],COLUMN(YES_Reading_ELA[Self-Identified as Indigenous]),FALSE)),
IF(VLOOKUP($A666, YES_Reading_FLA[], COLUMN(YES_Reading_FLA[Self-Identified as Indigenous]),FALSE)="", "", VLOOKUP($A666,YES_Reading_FLA[],COLUMN(YES_Reading_FLA[Self-Identified as Indigenous]),FALSE))),""))),"")</f>
        <v/>
      </c>
    </row>
    <row r="667" spans="1:12" ht="19.5" customHeight="1" x14ac:dyDescent="0.25">
      <c r="A667" s="217"/>
      <c r="B667" s="220" t="str">
        <f>IFERROR(VLOOKUP(A667,_xlfn.VSTACK(YES_Reading_ELA[],YES_Reading_FLA[]),2,FALSE),"")</f>
        <v/>
      </c>
      <c r="C667" s="203" t="str" cm="1">
        <f t="array" aca="1" ref="C667" ca="1">IFERROR(
IF($J$2="ELA",
IF(VLOOKUP($A667, YES_Reading_ELA[], COLUMN(IF(VLOOKUP($D$2, 'Reading Report Logic'!$A$2:$B$8, 2, FALSE)=1, YES_Reading_ELA[Reading Level June of Previous School Year], INDIRECT("YES_Reading_ELA[Instructional Reading Level - Per "&amp;(VLOOKUP($D$2,'Reading Report Logic'!$A$2:$B$8,2,FALSE)-1)&amp;"]"))), FALSE)="", "",
VLOOKUP($A667,YES_Reading_ELA[], COLUMN(IF(VLOOKUP($D$2,'Reading Report Logic'!$A$2:$B$8,2,FALSE)=1, YES_Reading_ELA[Reading Level June of Previous School Year],INDIRECT("YES_Reading_ELA[Instructional Reading Level - Per "&amp;(VLOOKUP($D$2,'Reading Report Logic'!$A$2:$B$8,2,FALSE)-1)&amp;"]"))), FALSE)),
IF($J$2="FLA",
IF(VLOOKUP($A667, YES_Reading_FLA[], COLUMN(IF(VLOOKUP($D$2,'Reading Report Logic'!$A$2:$B$8,2,FALSE)=1, YES_Reading_FLA[Reading Level June of Previous School Year],INDIRECT("YES_Reading_FLA[Instructional Reading Level - Per "&amp;(VLOOKUP($D$2,'Reading Report Logic'!$A$2:$B$8,2,FALSE)-1)&amp;"]"))),FALSE)="","",
VLOOKUP($A667,YES_Reading_FLA[], COLUMN(IF(VLOOKUP($D$2,'Reading Report Logic'!$A$2:$B$8,2,FALSE)=1, YES_Reading_FLA[Reading Level June of Previous School Year],INDIRECT("YES_Reading_FLA[Instructional Reading Level - Per "&amp;(VLOOKUP($D$2,'Reading Report Logic'!$A$2:$B$8,2,FALSE)-1)&amp;"]"))),FALSE)),
IF($J$2="Combined",
IFERROR(
IF(VLOOKUP($A667, YES_Reading_ELA[], COLUMN(IF(VLOOKUP($D$2,'Reading Report Logic'!$A$2:$B$8,2,FALSE)=1, YES_Reading_ELA[Reading Level June of Previous School Year],INDIRECT("YES_Reading_ELA[Instructional Reading Level - Per "&amp;(VLOOKUP($D$2,'Reading Report Logic'!$A$2:$B$8,2,FALSE)-1)&amp;"]"))), FALSE)="", "",
VLOOKUP($A667,YES_Reading_ELA[],COLUMN(IF(VLOOKUP($D$2,'Reading Report Logic'!$A$2:$B$8,2,FALSE)=1, YES_Reading_ELA[Reading Level June of Previous School Year],INDIRECT("YES_Reading_ELA[Instructional Reading Level - Per "&amp;(VLOOKUP($D$2,'Reading Report Logic'!$A$2:$B$8,2,FALSE)-1)&amp;"]"))),FALSE)),
IF(VLOOKUP($A667, YES_Reading_FLA[], COLUMN(IF(VLOOKUP($D$2,'Reading Report Logic'!$A$2:$B$8,2,FALSE)=1, YES_Reading_FLA[Reading Level June of Previous School Year],INDIRECT("YES_Reading_FLA[Instructional Reading Level - Per "&amp;(VLOOKUP($D$2,'Reading Report Logic'!$A$2:$B$8,2,FALSE)-1)&amp;"]"))),FALSE)="", "", VLOOKUP($A667,YES_Reading_FLA[],COLUMN(IF(VLOOKUP($D$2,'Reading Report Logic'!$A$2:$B$8,2,FALSE)=1, YES_Reading_FLA[Reading Level June of Previous School Year],INDIRECT("YES_Reading_FLA[Instructional Reading Level - Per "&amp;(VLOOKUP($D$2,'Reading Report Logic'!$A$2:$B$8,2,FALSE)-1)&amp;"]"))), FALSE))),""))),"")</f>
        <v/>
      </c>
      <c r="D667" s="204" t="str" cm="1">
        <f t="array" aca="1" ref="D667" ca="1">IFERROR(
IF($J$2="ELA",
IF(VLOOKUP($A667, YES_Reading_ELA[], COLUMN(INDIRECT("YES_Reading_ELA[Instructional Reading Level - Per "&amp;VLOOKUP($D$2, 'Reading Report Logic'!$A$2:$B$8, 2, FALSE)&amp;"]")), FALSE)="", "",
VLOOKUP($A667,YES_Reading_ELA[], COLUMN(INDIRECT("YES_Reading_ELA[Instructional Reading Level - Per "&amp;VLOOKUP($D$2,'Reading Report Logic'!$A$2:$B$8,2,FALSE)&amp;"]")), FALSE)),
IF($J$2="FLA",
IF(VLOOKUP($A667, YES_Reading_FLA[], COLUMN(INDIRECT("YES_Reading_FLA[Instructional Reading Level - Per "&amp;VLOOKUP($D$2,'Reading Report Logic'!$A$2:$B$8,2,FALSE)&amp;"]")),FALSE)="","",
VLOOKUP($A667,YES_Reading_FLA[],COLUMN(INDIRECT("YES_Reading_FLA[Instructional Reading Level - Per "&amp;VLOOKUP($D$2,'Reading Report Logic'!$A$2:$B$8,2,FALSE)&amp;"]")),FALSE)),
IF($J$2="Combined",
IFERROR(
IF(VLOOKUP($A667, YES_Reading_ELA[], COLUMN(INDIRECT("YES_Reading_ELA[Instructional Reading Level - Per "&amp;VLOOKUP($D$2, 'Reading Report Logic'!$A$2:$B$8,2,FALSE)&amp;"]")), FALSE)="", "",
VLOOKUP($A667,YES_Reading_ELA[],COLUMN(INDIRECT("YES_Reading_ELA[Instructional Reading Level - Per "&amp;VLOOKUP($D$2,'Reading Report Logic'!$A$2:$B$8,2,FALSE)&amp;"]")),FALSE)),
IF(VLOOKUP($A667, YES_Reading_FLA[], COLUMN(INDIRECT("YES_Reading_FLA[Instructional Reading Level - Per "&amp;VLOOKUP($D$2, 'Reading Report Logic'!$A$2:$B$8, 2, FALSE)&amp;"]")),FALSE)="", "", VLOOKUP($A667,YES_Reading_FLA[],COLUMN(INDIRECT("YES_Reading_FLA[Instructional Reading Level - Per "&amp;VLOOKUP($D$2, 'Reading Report Logic'!$A$2:$B$8, 2, FALSE)&amp;"]")),FALSE))),""))),"")</f>
        <v/>
      </c>
      <c r="E667" s="205" t="str" cm="1">
        <f t="array" aca="1" ref="E667" ca="1">IFERROR(
IF($J$2="ELA",
IF(VLOOKUP($A667, YES_Reading_ELA[], COLUMN(INDIRECT("YES_Reading_ELA[Min Expectation - Per "&amp;VLOOKUP($D$2, 'Reading Report Logic'!$A$2:$B$8, 2, FALSE)&amp;"]")), FALSE)="", "",
VLOOKUP($A667,YES_Reading_ELA[], COLUMN(INDIRECT("YES_Reading_ELA[Min Expectation - Per "&amp;VLOOKUP($D$2,'Reading Report Logic'!$A$2:$B$8,2,FALSE)&amp;"]")), FALSE)),
IF($J$2="FLA",
IF(VLOOKUP($A667, YES_Reading_FLA[], COLUMN(INDIRECT("YES_Reading_FLA[Min Expectation - Per "&amp;VLOOKUP($D$2,'Reading Report Logic'!$A$2:$B$8,2,FALSE)&amp;"]")),FALSE)="","",
VLOOKUP($A667,YES_Reading_FLA[],COLUMN(INDIRECT("YES_Reading_FLA[Min Expectation - Per "&amp;VLOOKUP($D$2,'Reading Report Logic'!$A$2:$B$8,2,FALSE)&amp;"]")),FALSE)),
IF($J$2="Combined",
IFERROR(
IF(VLOOKUP($A667, YES_Reading_ELA[], COLUMN(INDIRECT("YES_Reading_ELA[Min Expectation - Per "&amp;VLOOKUP($D$2, 'Reading Report Logic'!$A$2:$B$8,2,FALSE)&amp;"]")), FALSE)="", "",
VLOOKUP($A667,YES_Reading_ELA[],COLUMN(INDIRECT("YES_Reading_ELA[Min Expectation - Per "&amp;VLOOKUP($D$2,'Reading Report Logic'!$A$2:$B$8,2,FALSE)&amp;"]")),FALSE)),
IF(VLOOKUP($A667, YES_Reading_FLA[], COLUMN(INDIRECT("YES_Reading_FLA[Min Expectation - Per "&amp;VLOOKUP($D$2, 'Reading Report Logic'!$A$2:$B$8, 2, FALSE)&amp;"]")),FALSE)="", "", VLOOKUP($A667,YES_Reading_FLA[],COLUMN(INDIRECT("YES_Reading_FLA[Min Expectation - Per "&amp;VLOOKUP($D$2, 'Reading Report Logic'!$A$2:$B$8, 2, FALSE)&amp;"]")),FALSE))),""))),"")</f>
        <v/>
      </c>
      <c r="F667" s="205" t="str" cm="1">
        <f t="array" aca="1" ref="F667" ca="1">IFERROR(
IF($J$2="ELA",
IF(VLOOKUP($A667, YES_Reading_ELA[], COLUMN(INDIRECT("YES_Reading_ELA[Max Expectation - Per "&amp;VLOOKUP($D$2, 'Reading Report Logic'!$A$2:$B$8, 2, FALSE)&amp;"]")), FALSE)="", "",
VLOOKUP($A667,YES_Reading_ELA[], COLUMN(INDIRECT("YES_Reading_ELA[Max Expectation - Per "&amp;VLOOKUP($D$2,'Reading Report Logic'!$A$2:$B$8,2,FALSE)&amp;"]")), FALSE)),
IF($J$2="FLA",
IF(VLOOKUP($A667, YES_Reading_FLA[], COLUMN(INDIRECT("YES_Reading_FLA[Max Expectation - Per "&amp;VLOOKUP($D$2,'Reading Report Logic'!$A$2:$B$8,2,FALSE)&amp;"]")),FALSE)="","",
VLOOKUP($A667,YES_Reading_FLA[],COLUMN(INDIRECT("YES_Reading_FLA[Max Expectation - Per "&amp;VLOOKUP($D$2,'Reading Report Logic'!$A$2:$B$8,2,FALSE)&amp;"]")),FALSE)),
IF($J$2="Combined",
IFERROR(
IF(VLOOKUP($A667, YES_Reading_ELA[], COLUMN(INDIRECT("YES_Reading_ELA[Max Expectation - Per "&amp;VLOOKUP($D$2, 'Reading Report Logic'!$A$2:$B$8,2,FALSE)&amp;"]")), FALSE)="", "",
VLOOKUP($A667,YES_Reading_ELA[],COLUMN(INDIRECT("YES_Reading_ELA[Max Expectation - Per "&amp;VLOOKUP($D$2,'Reading Report Logic'!$A$2:$B$8,2,FALSE)&amp;"]")),FALSE)),
IF(VLOOKUP($A667, YES_Reading_FLA[], COLUMN(INDIRECT("YES_Reading_FLA[Max Expectation - Per "&amp;VLOOKUP($D$2, 'Reading Report Logic'!$A$2:$B$8, 2, FALSE)&amp;"]")),FALSE)="", "", VLOOKUP($A667,YES_Reading_FLA[],COLUMN(INDIRECT("YES_Reading_FLA[Max Expectation - Per "&amp;VLOOKUP($D$2, 'Reading Report Logic'!$A$2:$B$8, 2, FALSE)&amp;"]")),FALSE))),""))),"")</f>
        <v/>
      </c>
      <c r="G667" s="205" t="str" cm="1">
        <f t="array" aca="1" ref="G667" ca="1">IFERROR(
IF($J$2="ELA",
IF(VLOOKUP($A667, YES_Reading_ELA[], COLUMN(INDIRECT("YES_Reading_ELA[Difference - Per "&amp;VLOOKUP($D$2, 'Reading Report Logic'!$A$2:$B$8, 2, FALSE)&amp;"]")), FALSE)="", "",
VLOOKUP($A667,YES_Reading_ELA[], COLUMN(INDIRECT("YES_Reading_ELA[Difference - Per "&amp;VLOOKUP($D$2,'Reading Report Logic'!$A$2:$B$8,2,FALSE)&amp;"]")), FALSE)),
IF($J$2="FLA",
IF(VLOOKUP($A667, YES_Reading_FLA[], COLUMN(INDIRECT("YES_Reading_FLA[Difference - Per "&amp;VLOOKUP($D$2,'Reading Report Logic'!$A$2:$B$8,2,FALSE)&amp;"]")),FALSE)="","",
VLOOKUP($A667,YES_Reading_FLA[],COLUMN(INDIRECT("YES_Reading_FLA[Difference - Per "&amp;VLOOKUP($D$2,'Reading Report Logic'!$A$2:$B$8,2,FALSE)&amp;"]")),FALSE)),
IF($J$2="Combined",
IFERROR(
IF(VLOOKUP($A667, YES_Reading_ELA[], COLUMN(INDIRECT("YES_Reading_ELA[Difference - Per "&amp;VLOOKUP($D$2, 'Reading Report Logic'!$A$2:$B$8,2,FALSE)&amp;"]")), FALSE)="", "",
VLOOKUP($A667,YES_Reading_ELA[],COLUMN(INDIRECT("YES_Reading_ELA[Difference - Per "&amp;VLOOKUP($D$2,'Reading Report Logic'!$A$2:$B$8,2,FALSE)&amp;"]")),FALSE)),
IF(VLOOKUP($A667, YES_Reading_FLA[], COLUMN(INDIRECT("YES_Reading_FLA[Difference - Per "&amp;VLOOKUP($D$2, 'Reading Report Logic'!$A$2:$B$8, 2, FALSE)&amp;"]")),FALSE)="", "", VLOOKUP($A667,YES_Reading_FLA[],COLUMN(INDIRECT("YES_Reading_FLA[Difference - Per "&amp;VLOOKUP($D$2, 'Reading Report Logic'!$A$2:$B$8, 2, FALSE)&amp;"]")),FALSE))),""))),"")</f>
        <v/>
      </c>
      <c r="H667" s="206" t="str">
        <f ca="1">IFERROR(VLOOKUP('Teacher Reading Pull Sheets'!$D667,_xlfn.VSTACK('ELA Reading Logic'!$A$22:$B$48,'FLA Reading Logic'!$A$22:$B$53),2,FALSE)-VLOOKUP('Teacher Reading Pull Sheets'!$C667,_xlfn.VSTACK('ELA Reading Logic'!$A$22:$B$48,'FLA Reading Logic'!$A$22:$B$53),2,FALSE),"")</f>
        <v/>
      </c>
      <c r="I667" s="212"/>
      <c r="J667" s="206"/>
      <c r="K667" s="197" t="str" cm="1">
        <f t="array" ref="K667">IFERROR(
IF($J$2="ELA",
IF(VLOOKUP($A667, YES_Reading_ELA[], COLUMN(YES_Reading_ELA[Self-Identified as African Descent]), FALSE)="", "",
VLOOKUP($A667,YES_Reading_ELA[], COLUMN(YES_Reading_ELA[Self-Identified as African Descent]), FALSE)),
IF($J$2="FLA",
IF(VLOOKUP($A667, YES_Reading_FLA[], COLUMN(YES_Reading_FLA[Self-Identified as African Descent]),FALSE)="","",
VLOOKUP($A667,YES_Reading_FLA[],COLUMN(YES_Reading_FLA[Self-Identified as African Descent]),FALSE)),
IF($J$2="Combined",
IFERROR(
IF(VLOOKUP($A667, YES_Reading_ELA[], COLUMN(YES_Reading_ELA[Self-Identified as African Descent]), FALSE)="", "",
VLOOKUP($A667,YES_Reading_ELA[],COLUMN(YES_Reading_ELA[Self-Identified as African Descent]),FALSE)),
IF(VLOOKUP($A667, YES_Reading_FLA[], COLUMN(YES_Reading_FLA[Self-Identified as African Descent]),FALSE)="", "", VLOOKUP($A667,YES_Reading_FLA[],COLUMN(YES_Reading_FLA[Self-Identified as African Descent]),FALSE))),""))),"")</f>
        <v/>
      </c>
      <c r="L667" s="73" t="str" cm="1">
        <f t="array" ref="L667">IFERROR(
IF($J$2="ELA",
IF(VLOOKUP($A667, YES_Reading_ELA[], COLUMN(YES_Reading_ELA[Self-Identified as Indigenous]), FALSE)="", "",
VLOOKUP($A667,YES_Reading_ELA[], COLUMN(YES_Reading_ELA[Self-Identified as Indigenous]), FALSE)),
IF($J$2="FLA",
IF(VLOOKUP($A667, YES_Reading_FLA[], COLUMN(YES_Reading_FLA[Self-Identified as Indigenous]),FALSE)="","",
VLOOKUP($A667,YES_Reading_FLA[],COLUMN(YES_Reading_FLA[Self-Identified as Indigenous]),FALSE)),
IF($J$2="Combined",
IFERROR(
IF(VLOOKUP($A667, YES_Reading_ELA[], COLUMN(YES_Reading_ELA[Self-Identified as Indigenous]), FALSE)="", "",
VLOOKUP($A667,YES_Reading_ELA[],COLUMN(YES_Reading_ELA[Self-Identified as Indigenous]),FALSE)),
IF(VLOOKUP($A667, YES_Reading_FLA[], COLUMN(YES_Reading_FLA[Self-Identified as Indigenous]),FALSE)="", "", VLOOKUP($A667,YES_Reading_FLA[],COLUMN(YES_Reading_FLA[Self-Identified as Indigenous]),FALSE))),""))),"")</f>
        <v/>
      </c>
    </row>
    <row r="668" spans="1:12" ht="19.5" customHeight="1" x14ac:dyDescent="0.25">
      <c r="A668" s="217"/>
      <c r="B668" s="220" t="str">
        <f>IFERROR(VLOOKUP(A668,_xlfn.VSTACK(YES_Reading_ELA[],YES_Reading_FLA[]),2,FALSE),"")</f>
        <v/>
      </c>
      <c r="C668" s="203" t="str" cm="1">
        <f t="array" aca="1" ref="C668" ca="1">IFERROR(
IF($J$2="ELA",
IF(VLOOKUP($A668, YES_Reading_ELA[], COLUMN(IF(VLOOKUP($D$2, 'Reading Report Logic'!$A$2:$B$8, 2, FALSE)=1, YES_Reading_ELA[Reading Level June of Previous School Year], INDIRECT("YES_Reading_ELA[Instructional Reading Level - Per "&amp;(VLOOKUP($D$2,'Reading Report Logic'!$A$2:$B$8,2,FALSE)-1)&amp;"]"))), FALSE)="", "",
VLOOKUP($A668,YES_Reading_ELA[], COLUMN(IF(VLOOKUP($D$2,'Reading Report Logic'!$A$2:$B$8,2,FALSE)=1, YES_Reading_ELA[Reading Level June of Previous School Year],INDIRECT("YES_Reading_ELA[Instructional Reading Level - Per "&amp;(VLOOKUP($D$2,'Reading Report Logic'!$A$2:$B$8,2,FALSE)-1)&amp;"]"))), FALSE)),
IF($J$2="FLA",
IF(VLOOKUP($A668, YES_Reading_FLA[], COLUMN(IF(VLOOKUP($D$2,'Reading Report Logic'!$A$2:$B$8,2,FALSE)=1, YES_Reading_FLA[Reading Level June of Previous School Year],INDIRECT("YES_Reading_FLA[Instructional Reading Level - Per "&amp;(VLOOKUP($D$2,'Reading Report Logic'!$A$2:$B$8,2,FALSE)-1)&amp;"]"))),FALSE)="","",
VLOOKUP($A668,YES_Reading_FLA[], COLUMN(IF(VLOOKUP($D$2,'Reading Report Logic'!$A$2:$B$8,2,FALSE)=1, YES_Reading_FLA[Reading Level June of Previous School Year],INDIRECT("YES_Reading_FLA[Instructional Reading Level - Per "&amp;(VLOOKUP($D$2,'Reading Report Logic'!$A$2:$B$8,2,FALSE)-1)&amp;"]"))),FALSE)),
IF($J$2="Combined",
IFERROR(
IF(VLOOKUP($A668, YES_Reading_ELA[], COLUMN(IF(VLOOKUP($D$2,'Reading Report Logic'!$A$2:$B$8,2,FALSE)=1, YES_Reading_ELA[Reading Level June of Previous School Year],INDIRECT("YES_Reading_ELA[Instructional Reading Level - Per "&amp;(VLOOKUP($D$2,'Reading Report Logic'!$A$2:$B$8,2,FALSE)-1)&amp;"]"))), FALSE)="", "",
VLOOKUP($A668,YES_Reading_ELA[],COLUMN(IF(VLOOKUP($D$2,'Reading Report Logic'!$A$2:$B$8,2,FALSE)=1, YES_Reading_ELA[Reading Level June of Previous School Year],INDIRECT("YES_Reading_ELA[Instructional Reading Level - Per "&amp;(VLOOKUP($D$2,'Reading Report Logic'!$A$2:$B$8,2,FALSE)-1)&amp;"]"))),FALSE)),
IF(VLOOKUP($A668, YES_Reading_FLA[], COLUMN(IF(VLOOKUP($D$2,'Reading Report Logic'!$A$2:$B$8,2,FALSE)=1, YES_Reading_FLA[Reading Level June of Previous School Year],INDIRECT("YES_Reading_FLA[Instructional Reading Level - Per "&amp;(VLOOKUP($D$2,'Reading Report Logic'!$A$2:$B$8,2,FALSE)-1)&amp;"]"))),FALSE)="", "", VLOOKUP($A668,YES_Reading_FLA[],COLUMN(IF(VLOOKUP($D$2,'Reading Report Logic'!$A$2:$B$8,2,FALSE)=1, YES_Reading_FLA[Reading Level June of Previous School Year],INDIRECT("YES_Reading_FLA[Instructional Reading Level - Per "&amp;(VLOOKUP($D$2,'Reading Report Logic'!$A$2:$B$8,2,FALSE)-1)&amp;"]"))), FALSE))),""))),"")</f>
        <v/>
      </c>
      <c r="D668" s="204" t="str" cm="1">
        <f t="array" aca="1" ref="D668" ca="1">IFERROR(
IF($J$2="ELA",
IF(VLOOKUP($A668, YES_Reading_ELA[], COLUMN(INDIRECT("YES_Reading_ELA[Instructional Reading Level - Per "&amp;VLOOKUP($D$2, 'Reading Report Logic'!$A$2:$B$8, 2, FALSE)&amp;"]")), FALSE)="", "",
VLOOKUP($A668,YES_Reading_ELA[], COLUMN(INDIRECT("YES_Reading_ELA[Instructional Reading Level - Per "&amp;VLOOKUP($D$2,'Reading Report Logic'!$A$2:$B$8,2,FALSE)&amp;"]")), FALSE)),
IF($J$2="FLA",
IF(VLOOKUP($A668, YES_Reading_FLA[], COLUMN(INDIRECT("YES_Reading_FLA[Instructional Reading Level - Per "&amp;VLOOKUP($D$2,'Reading Report Logic'!$A$2:$B$8,2,FALSE)&amp;"]")),FALSE)="","",
VLOOKUP($A668,YES_Reading_FLA[],COLUMN(INDIRECT("YES_Reading_FLA[Instructional Reading Level - Per "&amp;VLOOKUP($D$2,'Reading Report Logic'!$A$2:$B$8,2,FALSE)&amp;"]")),FALSE)),
IF($J$2="Combined",
IFERROR(
IF(VLOOKUP($A668, YES_Reading_ELA[], COLUMN(INDIRECT("YES_Reading_ELA[Instructional Reading Level - Per "&amp;VLOOKUP($D$2, 'Reading Report Logic'!$A$2:$B$8,2,FALSE)&amp;"]")), FALSE)="", "",
VLOOKUP($A668,YES_Reading_ELA[],COLUMN(INDIRECT("YES_Reading_ELA[Instructional Reading Level - Per "&amp;VLOOKUP($D$2,'Reading Report Logic'!$A$2:$B$8,2,FALSE)&amp;"]")),FALSE)),
IF(VLOOKUP($A668, YES_Reading_FLA[], COLUMN(INDIRECT("YES_Reading_FLA[Instructional Reading Level - Per "&amp;VLOOKUP($D$2, 'Reading Report Logic'!$A$2:$B$8, 2, FALSE)&amp;"]")),FALSE)="", "", VLOOKUP($A668,YES_Reading_FLA[],COLUMN(INDIRECT("YES_Reading_FLA[Instructional Reading Level - Per "&amp;VLOOKUP($D$2, 'Reading Report Logic'!$A$2:$B$8, 2, FALSE)&amp;"]")),FALSE))),""))),"")</f>
        <v/>
      </c>
      <c r="E668" s="205" t="str" cm="1">
        <f t="array" aca="1" ref="E668" ca="1">IFERROR(
IF($J$2="ELA",
IF(VLOOKUP($A668, YES_Reading_ELA[], COLUMN(INDIRECT("YES_Reading_ELA[Min Expectation - Per "&amp;VLOOKUP($D$2, 'Reading Report Logic'!$A$2:$B$8, 2, FALSE)&amp;"]")), FALSE)="", "",
VLOOKUP($A668,YES_Reading_ELA[], COLUMN(INDIRECT("YES_Reading_ELA[Min Expectation - Per "&amp;VLOOKUP($D$2,'Reading Report Logic'!$A$2:$B$8,2,FALSE)&amp;"]")), FALSE)),
IF($J$2="FLA",
IF(VLOOKUP($A668, YES_Reading_FLA[], COLUMN(INDIRECT("YES_Reading_FLA[Min Expectation - Per "&amp;VLOOKUP($D$2,'Reading Report Logic'!$A$2:$B$8,2,FALSE)&amp;"]")),FALSE)="","",
VLOOKUP($A668,YES_Reading_FLA[],COLUMN(INDIRECT("YES_Reading_FLA[Min Expectation - Per "&amp;VLOOKUP($D$2,'Reading Report Logic'!$A$2:$B$8,2,FALSE)&amp;"]")),FALSE)),
IF($J$2="Combined",
IFERROR(
IF(VLOOKUP($A668, YES_Reading_ELA[], COLUMN(INDIRECT("YES_Reading_ELA[Min Expectation - Per "&amp;VLOOKUP($D$2, 'Reading Report Logic'!$A$2:$B$8,2,FALSE)&amp;"]")), FALSE)="", "",
VLOOKUP($A668,YES_Reading_ELA[],COLUMN(INDIRECT("YES_Reading_ELA[Min Expectation - Per "&amp;VLOOKUP($D$2,'Reading Report Logic'!$A$2:$B$8,2,FALSE)&amp;"]")),FALSE)),
IF(VLOOKUP($A668, YES_Reading_FLA[], COLUMN(INDIRECT("YES_Reading_FLA[Min Expectation - Per "&amp;VLOOKUP($D$2, 'Reading Report Logic'!$A$2:$B$8, 2, FALSE)&amp;"]")),FALSE)="", "", VLOOKUP($A668,YES_Reading_FLA[],COLUMN(INDIRECT("YES_Reading_FLA[Min Expectation - Per "&amp;VLOOKUP($D$2, 'Reading Report Logic'!$A$2:$B$8, 2, FALSE)&amp;"]")),FALSE))),""))),"")</f>
        <v/>
      </c>
      <c r="F668" s="205" t="str" cm="1">
        <f t="array" aca="1" ref="F668" ca="1">IFERROR(
IF($J$2="ELA",
IF(VLOOKUP($A668, YES_Reading_ELA[], COLUMN(INDIRECT("YES_Reading_ELA[Max Expectation - Per "&amp;VLOOKUP($D$2, 'Reading Report Logic'!$A$2:$B$8, 2, FALSE)&amp;"]")), FALSE)="", "",
VLOOKUP($A668,YES_Reading_ELA[], COLUMN(INDIRECT("YES_Reading_ELA[Max Expectation - Per "&amp;VLOOKUP($D$2,'Reading Report Logic'!$A$2:$B$8,2,FALSE)&amp;"]")), FALSE)),
IF($J$2="FLA",
IF(VLOOKUP($A668, YES_Reading_FLA[], COLUMN(INDIRECT("YES_Reading_FLA[Max Expectation - Per "&amp;VLOOKUP($D$2,'Reading Report Logic'!$A$2:$B$8,2,FALSE)&amp;"]")),FALSE)="","",
VLOOKUP($A668,YES_Reading_FLA[],COLUMN(INDIRECT("YES_Reading_FLA[Max Expectation - Per "&amp;VLOOKUP($D$2,'Reading Report Logic'!$A$2:$B$8,2,FALSE)&amp;"]")),FALSE)),
IF($J$2="Combined",
IFERROR(
IF(VLOOKUP($A668, YES_Reading_ELA[], COLUMN(INDIRECT("YES_Reading_ELA[Max Expectation - Per "&amp;VLOOKUP($D$2, 'Reading Report Logic'!$A$2:$B$8,2,FALSE)&amp;"]")), FALSE)="", "",
VLOOKUP($A668,YES_Reading_ELA[],COLUMN(INDIRECT("YES_Reading_ELA[Max Expectation - Per "&amp;VLOOKUP($D$2,'Reading Report Logic'!$A$2:$B$8,2,FALSE)&amp;"]")),FALSE)),
IF(VLOOKUP($A668, YES_Reading_FLA[], COLUMN(INDIRECT("YES_Reading_FLA[Max Expectation - Per "&amp;VLOOKUP($D$2, 'Reading Report Logic'!$A$2:$B$8, 2, FALSE)&amp;"]")),FALSE)="", "", VLOOKUP($A668,YES_Reading_FLA[],COLUMN(INDIRECT("YES_Reading_FLA[Max Expectation - Per "&amp;VLOOKUP($D$2, 'Reading Report Logic'!$A$2:$B$8, 2, FALSE)&amp;"]")),FALSE))),""))),"")</f>
        <v/>
      </c>
      <c r="G668" s="205" t="str" cm="1">
        <f t="array" aca="1" ref="G668" ca="1">IFERROR(
IF($J$2="ELA",
IF(VLOOKUP($A668, YES_Reading_ELA[], COLUMN(INDIRECT("YES_Reading_ELA[Difference - Per "&amp;VLOOKUP($D$2, 'Reading Report Logic'!$A$2:$B$8, 2, FALSE)&amp;"]")), FALSE)="", "",
VLOOKUP($A668,YES_Reading_ELA[], COLUMN(INDIRECT("YES_Reading_ELA[Difference - Per "&amp;VLOOKUP($D$2,'Reading Report Logic'!$A$2:$B$8,2,FALSE)&amp;"]")), FALSE)),
IF($J$2="FLA",
IF(VLOOKUP($A668, YES_Reading_FLA[], COLUMN(INDIRECT("YES_Reading_FLA[Difference - Per "&amp;VLOOKUP($D$2,'Reading Report Logic'!$A$2:$B$8,2,FALSE)&amp;"]")),FALSE)="","",
VLOOKUP($A668,YES_Reading_FLA[],COLUMN(INDIRECT("YES_Reading_FLA[Difference - Per "&amp;VLOOKUP($D$2,'Reading Report Logic'!$A$2:$B$8,2,FALSE)&amp;"]")),FALSE)),
IF($J$2="Combined",
IFERROR(
IF(VLOOKUP($A668, YES_Reading_ELA[], COLUMN(INDIRECT("YES_Reading_ELA[Difference - Per "&amp;VLOOKUP($D$2, 'Reading Report Logic'!$A$2:$B$8,2,FALSE)&amp;"]")), FALSE)="", "",
VLOOKUP($A668,YES_Reading_ELA[],COLUMN(INDIRECT("YES_Reading_ELA[Difference - Per "&amp;VLOOKUP($D$2,'Reading Report Logic'!$A$2:$B$8,2,FALSE)&amp;"]")),FALSE)),
IF(VLOOKUP($A668, YES_Reading_FLA[], COLUMN(INDIRECT("YES_Reading_FLA[Difference - Per "&amp;VLOOKUP($D$2, 'Reading Report Logic'!$A$2:$B$8, 2, FALSE)&amp;"]")),FALSE)="", "", VLOOKUP($A668,YES_Reading_FLA[],COLUMN(INDIRECT("YES_Reading_FLA[Difference - Per "&amp;VLOOKUP($D$2, 'Reading Report Logic'!$A$2:$B$8, 2, FALSE)&amp;"]")),FALSE))),""))),"")</f>
        <v/>
      </c>
      <c r="H668" s="206" t="str">
        <f ca="1">IFERROR(VLOOKUP('Teacher Reading Pull Sheets'!$D668,_xlfn.VSTACK('ELA Reading Logic'!$A$22:$B$48,'FLA Reading Logic'!$A$22:$B$53),2,FALSE)-VLOOKUP('Teacher Reading Pull Sheets'!$C668,_xlfn.VSTACK('ELA Reading Logic'!$A$22:$B$48,'FLA Reading Logic'!$A$22:$B$53),2,FALSE),"")</f>
        <v/>
      </c>
      <c r="I668" s="212"/>
      <c r="J668" s="206"/>
      <c r="K668" s="197" t="str" cm="1">
        <f t="array" ref="K668">IFERROR(
IF($J$2="ELA",
IF(VLOOKUP($A668, YES_Reading_ELA[], COLUMN(YES_Reading_ELA[Self-Identified as African Descent]), FALSE)="", "",
VLOOKUP($A668,YES_Reading_ELA[], COLUMN(YES_Reading_ELA[Self-Identified as African Descent]), FALSE)),
IF($J$2="FLA",
IF(VLOOKUP($A668, YES_Reading_FLA[], COLUMN(YES_Reading_FLA[Self-Identified as African Descent]),FALSE)="","",
VLOOKUP($A668,YES_Reading_FLA[],COLUMN(YES_Reading_FLA[Self-Identified as African Descent]),FALSE)),
IF($J$2="Combined",
IFERROR(
IF(VLOOKUP($A668, YES_Reading_ELA[], COLUMN(YES_Reading_ELA[Self-Identified as African Descent]), FALSE)="", "",
VLOOKUP($A668,YES_Reading_ELA[],COLUMN(YES_Reading_ELA[Self-Identified as African Descent]),FALSE)),
IF(VLOOKUP($A668, YES_Reading_FLA[], COLUMN(YES_Reading_FLA[Self-Identified as African Descent]),FALSE)="", "", VLOOKUP($A668,YES_Reading_FLA[],COLUMN(YES_Reading_FLA[Self-Identified as African Descent]),FALSE))),""))),"")</f>
        <v/>
      </c>
      <c r="L668" s="73" t="str" cm="1">
        <f t="array" ref="L668">IFERROR(
IF($J$2="ELA",
IF(VLOOKUP($A668, YES_Reading_ELA[], COLUMN(YES_Reading_ELA[Self-Identified as Indigenous]), FALSE)="", "",
VLOOKUP($A668,YES_Reading_ELA[], COLUMN(YES_Reading_ELA[Self-Identified as Indigenous]), FALSE)),
IF($J$2="FLA",
IF(VLOOKUP($A668, YES_Reading_FLA[], COLUMN(YES_Reading_FLA[Self-Identified as Indigenous]),FALSE)="","",
VLOOKUP($A668,YES_Reading_FLA[],COLUMN(YES_Reading_FLA[Self-Identified as Indigenous]),FALSE)),
IF($J$2="Combined",
IFERROR(
IF(VLOOKUP($A668, YES_Reading_ELA[], COLUMN(YES_Reading_ELA[Self-Identified as Indigenous]), FALSE)="", "",
VLOOKUP($A668,YES_Reading_ELA[],COLUMN(YES_Reading_ELA[Self-Identified as Indigenous]),FALSE)),
IF(VLOOKUP($A668, YES_Reading_FLA[], COLUMN(YES_Reading_FLA[Self-Identified as Indigenous]),FALSE)="", "", VLOOKUP($A668,YES_Reading_FLA[],COLUMN(YES_Reading_FLA[Self-Identified as Indigenous]),FALSE))),""))),"")</f>
        <v/>
      </c>
    </row>
    <row r="669" spans="1:12" ht="19.5" customHeight="1" x14ac:dyDescent="0.25">
      <c r="A669" s="217"/>
      <c r="B669" s="220" t="str">
        <f>IFERROR(VLOOKUP(A669,_xlfn.VSTACK(YES_Reading_ELA[],YES_Reading_FLA[]),2,FALSE),"")</f>
        <v/>
      </c>
      <c r="C669" s="203" t="str" cm="1">
        <f t="array" aca="1" ref="C669" ca="1">IFERROR(
IF($J$2="ELA",
IF(VLOOKUP($A669, YES_Reading_ELA[], COLUMN(IF(VLOOKUP($D$2, 'Reading Report Logic'!$A$2:$B$8, 2, FALSE)=1, YES_Reading_ELA[Reading Level June of Previous School Year], INDIRECT("YES_Reading_ELA[Instructional Reading Level - Per "&amp;(VLOOKUP($D$2,'Reading Report Logic'!$A$2:$B$8,2,FALSE)-1)&amp;"]"))), FALSE)="", "",
VLOOKUP($A669,YES_Reading_ELA[], COLUMN(IF(VLOOKUP($D$2,'Reading Report Logic'!$A$2:$B$8,2,FALSE)=1, YES_Reading_ELA[Reading Level June of Previous School Year],INDIRECT("YES_Reading_ELA[Instructional Reading Level - Per "&amp;(VLOOKUP($D$2,'Reading Report Logic'!$A$2:$B$8,2,FALSE)-1)&amp;"]"))), FALSE)),
IF($J$2="FLA",
IF(VLOOKUP($A669, YES_Reading_FLA[], COLUMN(IF(VLOOKUP($D$2,'Reading Report Logic'!$A$2:$B$8,2,FALSE)=1, YES_Reading_FLA[Reading Level June of Previous School Year],INDIRECT("YES_Reading_FLA[Instructional Reading Level - Per "&amp;(VLOOKUP($D$2,'Reading Report Logic'!$A$2:$B$8,2,FALSE)-1)&amp;"]"))),FALSE)="","",
VLOOKUP($A669,YES_Reading_FLA[], COLUMN(IF(VLOOKUP($D$2,'Reading Report Logic'!$A$2:$B$8,2,FALSE)=1, YES_Reading_FLA[Reading Level June of Previous School Year],INDIRECT("YES_Reading_FLA[Instructional Reading Level - Per "&amp;(VLOOKUP($D$2,'Reading Report Logic'!$A$2:$B$8,2,FALSE)-1)&amp;"]"))),FALSE)),
IF($J$2="Combined",
IFERROR(
IF(VLOOKUP($A669, YES_Reading_ELA[], COLUMN(IF(VLOOKUP($D$2,'Reading Report Logic'!$A$2:$B$8,2,FALSE)=1, YES_Reading_ELA[Reading Level June of Previous School Year],INDIRECT("YES_Reading_ELA[Instructional Reading Level - Per "&amp;(VLOOKUP($D$2,'Reading Report Logic'!$A$2:$B$8,2,FALSE)-1)&amp;"]"))), FALSE)="", "",
VLOOKUP($A669,YES_Reading_ELA[],COLUMN(IF(VLOOKUP($D$2,'Reading Report Logic'!$A$2:$B$8,2,FALSE)=1, YES_Reading_ELA[Reading Level June of Previous School Year],INDIRECT("YES_Reading_ELA[Instructional Reading Level - Per "&amp;(VLOOKUP($D$2,'Reading Report Logic'!$A$2:$B$8,2,FALSE)-1)&amp;"]"))),FALSE)),
IF(VLOOKUP($A669, YES_Reading_FLA[], COLUMN(IF(VLOOKUP($D$2,'Reading Report Logic'!$A$2:$B$8,2,FALSE)=1, YES_Reading_FLA[Reading Level June of Previous School Year],INDIRECT("YES_Reading_FLA[Instructional Reading Level - Per "&amp;(VLOOKUP($D$2,'Reading Report Logic'!$A$2:$B$8,2,FALSE)-1)&amp;"]"))),FALSE)="", "", VLOOKUP($A669,YES_Reading_FLA[],COLUMN(IF(VLOOKUP($D$2,'Reading Report Logic'!$A$2:$B$8,2,FALSE)=1, YES_Reading_FLA[Reading Level June of Previous School Year],INDIRECT("YES_Reading_FLA[Instructional Reading Level - Per "&amp;(VLOOKUP($D$2,'Reading Report Logic'!$A$2:$B$8,2,FALSE)-1)&amp;"]"))), FALSE))),""))),"")</f>
        <v/>
      </c>
      <c r="D669" s="204" t="str" cm="1">
        <f t="array" aca="1" ref="D669" ca="1">IFERROR(
IF($J$2="ELA",
IF(VLOOKUP($A669, YES_Reading_ELA[], COLUMN(INDIRECT("YES_Reading_ELA[Instructional Reading Level - Per "&amp;VLOOKUP($D$2, 'Reading Report Logic'!$A$2:$B$8, 2, FALSE)&amp;"]")), FALSE)="", "",
VLOOKUP($A669,YES_Reading_ELA[], COLUMN(INDIRECT("YES_Reading_ELA[Instructional Reading Level - Per "&amp;VLOOKUP($D$2,'Reading Report Logic'!$A$2:$B$8,2,FALSE)&amp;"]")), FALSE)),
IF($J$2="FLA",
IF(VLOOKUP($A669, YES_Reading_FLA[], COLUMN(INDIRECT("YES_Reading_FLA[Instructional Reading Level - Per "&amp;VLOOKUP($D$2,'Reading Report Logic'!$A$2:$B$8,2,FALSE)&amp;"]")),FALSE)="","",
VLOOKUP($A669,YES_Reading_FLA[],COLUMN(INDIRECT("YES_Reading_FLA[Instructional Reading Level - Per "&amp;VLOOKUP($D$2,'Reading Report Logic'!$A$2:$B$8,2,FALSE)&amp;"]")),FALSE)),
IF($J$2="Combined",
IFERROR(
IF(VLOOKUP($A669, YES_Reading_ELA[], COLUMN(INDIRECT("YES_Reading_ELA[Instructional Reading Level - Per "&amp;VLOOKUP($D$2, 'Reading Report Logic'!$A$2:$B$8,2,FALSE)&amp;"]")), FALSE)="", "",
VLOOKUP($A669,YES_Reading_ELA[],COLUMN(INDIRECT("YES_Reading_ELA[Instructional Reading Level - Per "&amp;VLOOKUP($D$2,'Reading Report Logic'!$A$2:$B$8,2,FALSE)&amp;"]")),FALSE)),
IF(VLOOKUP($A669, YES_Reading_FLA[], COLUMN(INDIRECT("YES_Reading_FLA[Instructional Reading Level - Per "&amp;VLOOKUP($D$2, 'Reading Report Logic'!$A$2:$B$8, 2, FALSE)&amp;"]")),FALSE)="", "", VLOOKUP($A669,YES_Reading_FLA[],COLUMN(INDIRECT("YES_Reading_FLA[Instructional Reading Level - Per "&amp;VLOOKUP($D$2, 'Reading Report Logic'!$A$2:$B$8, 2, FALSE)&amp;"]")),FALSE))),""))),"")</f>
        <v/>
      </c>
      <c r="E669" s="205" t="str" cm="1">
        <f t="array" aca="1" ref="E669" ca="1">IFERROR(
IF($J$2="ELA",
IF(VLOOKUP($A669, YES_Reading_ELA[], COLUMN(INDIRECT("YES_Reading_ELA[Min Expectation - Per "&amp;VLOOKUP($D$2, 'Reading Report Logic'!$A$2:$B$8, 2, FALSE)&amp;"]")), FALSE)="", "",
VLOOKUP($A669,YES_Reading_ELA[], COLUMN(INDIRECT("YES_Reading_ELA[Min Expectation - Per "&amp;VLOOKUP($D$2,'Reading Report Logic'!$A$2:$B$8,2,FALSE)&amp;"]")), FALSE)),
IF($J$2="FLA",
IF(VLOOKUP($A669, YES_Reading_FLA[], COLUMN(INDIRECT("YES_Reading_FLA[Min Expectation - Per "&amp;VLOOKUP($D$2,'Reading Report Logic'!$A$2:$B$8,2,FALSE)&amp;"]")),FALSE)="","",
VLOOKUP($A669,YES_Reading_FLA[],COLUMN(INDIRECT("YES_Reading_FLA[Min Expectation - Per "&amp;VLOOKUP($D$2,'Reading Report Logic'!$A$2:$B$8,2,FALSE)&amp;"]")),FALSE)),
IF($J$2="Combined",
IFERROR(
IF(VLOOKUP($A669, YES_Reading_ELA[], COLUMN(INDIRECT("YES_Reading_ELA[Min Expectation - Per "&amp;VLOOKUP($D$2, 'Reading Report Logic'!$A$2:$B$8,2,FALSE)&amp;"]")), FALSE)="", "",
VLOOKUP($A669,YES_Reading_ELA[],COLUMN(INDIRECT("YES_Reading_ELA[Min Expectation - Per "&amp;VLOOKUP($D$2,'Reading Report Logic'!$A$2:$B$8,2,FALSE)&amp;"]")),FALSE)),
IF(VLOOKUP($A669, YES_Reading_FLA[], COLUMN(INDIRECT("YES_Reading_FLA[Min Expectation - Per "&amp;VLOOKUP($D$2, 'Reading Report Logic'!$A$2:$B$8, 2, FALSE)&amp;"]")),FALSE)="", "", VLOOKUP($A669,YES_Reading_FLA[],COLUMN(INDIRECT("YES_Reading_FLA[Min Expectation - Per "&amp;VLOOKUP($D$2, 'Reading Report Logic'!$A$2:$B$8, 2, FALSE)&amp;"]")),FALSE))),""))),"")</f>
        <v/>
      </c>
      <c r="F669" s="205" t="str" cm="1">
        <f t="array" aca="1" ref="F669" ca="1">IFERROR(
IF($J$2="ELA",
IF(VLOOKUP($A669, YES_Reading_ELA[], COLUMN(INDIRECT("YES_Reading_ELA[Max Expectation - Per "&amp;VLOOKUP($D$2, 'Reading Report Logic'!$A$2:$B$8, 2, FALSE)&amp;"]")), FALSE)="", "",
VLOOKUP($A669,YES_Reading_ELA[], COLUMN(INDIRECT("YES_Reading_ELA[Max Expectation - Per "&amp;VLOOKUP($D$2,'Reading Report Logic'!$A$2:$B$8,2,FALSE)&amp;"]")), FALSE)),
IF($J$2="FLA",
IF(VLOOKUP($A669, YES_Reading_FLA[], COLUMN(INDIRECT("YES_Reading_FLA[Max Expectation - Per "&amp;VLOOKUP($D$2,'Reading Report Logic'!$A$2:$B$8,2,FALSE)&amp;"]")),FALSE)="","",
VLOOKUP($A669,YES_Reading_FLA[],COLUMN(INDIRECT("YES_Reading_FLA[Max Expectation - Per "&amp;VLOOKUP($D$2,'Reading Report Logic'!$A$2:$B$8,2,FALSE)&amp;"]")),FALSE)),
IF($J$2="Combined",
IFERROR(
IF(VLOOKUP($A669, YES_Reading_ELA[], COLUMN(INDIRECT("YES_Reading_ELA[Max Expectation - Per "&amp;VLOOKUP($D$2, 'Reading Report Logic'!$A$2:$B$8,2,FALSE)&amp;"]")), FALSE)="", "",
VLOOKUP($A669,YES_Reading_ELA[],COLUMN(INDIRECT("YES_Reading_ELA[Max Expectation - Per "&amp;VLOOKUP($D$2,'Reading Report Logic'!$A$2:$B$8,2,FALSE)&amp;"]")),FALSE)),
IF(VLOOKUP($A669, YES_Reading_FLA[], COLUMN(INDIRECT("YES_Reading_FLA[Max Expectation - Per "&amp;VLOOKUP($D$2, 'Reading Report Logic'!$A$2:$B$8, 2, FALSE)&amp;"]")),FALSE)="", "", VLOOKUP($A669,YES_Reading_FLA[],COLUMN(INDIRECT("YES_Reading_FLA[Max Expectation - Per "&amp;VLOOKUP($D$2, 'Reading Report Logic'!$A$2:$B$8, 2, FALSE)&amp;"]")),FALSE))),""))),"")</f>
        <v/>
      </c>
      <c r="G669" s="205" t="str" cm="1">
        <f t="array" aca="1" ref="G669" ca="1">IFERROR(
IF($J$2="ELA",
IF(VLOOKUP($A669, YES_Reading_ELA[], COLUMN(INDIRECT("YES_Reading_ELA[Difference - Per "&amp;VLOOKUP($D$2, 'Reading Report Logic'!$A$2:$B$8, 2, FALSE)&amp;"]")), FALSE)="", "",
VLOOKUP($A669,YES_Reading_ELA[], COLUMN(INDIRECT("YES_Reading_ELA[Difference - Per "&amp;VLOOKUP($D$2,'Reading Report Logic'!$A$2:$B$8,2,FALSE)&amp;"]")), FALSE)),
IF($J$2="FLA",
IF(VLOOKUP($A669, YES_Reading_FLA[], COLUMN(INDIRECT("YES_Reading_FLA[Difference - Per "&amp;VLOOKUP($D$2,'Reading Report Logic'!$A$2:$B$8,2,FALSE)&amp;"]")),FALSE)="","",
VLOOKUP($A669,YES_Reading_FLA[],COLUMN(INDIRECT("YES_Reading_FLA[Difference - Per "&amp;VLOOKUP($D$2,'Reading Report Logic'!$A$2:$B$8,2,FALSE)&amp;"]")),FALSE)),
IF($J$2="Combined",
IFERROR(
IF(VLOOKUP($A669, YES_Reading_ELA[], COLUMN(INDIRECT("YES_Reading_ELA[Difference - Per "&amp;VLOOKUP($D$2, 'Reading Report Logic'!$A$2:$B$8,2,FALSE)&amp;"]")), FALSE)="", "",
VLOOKUP($A669,YES_Reading_ELA[],COLUMN(INDIRECT("YES_Reading_ELA[Difference - Per "&amp;VLOOKUP($D$2,'Reading Report Logic'!$A$2:$B$8,2,FALSE)&amp;"]")),FALSE)),
IF(VLOOKUP($A669, YES_Reading_FLA[], COLUMN(INDIRECT("YES_Reading_FLA[Difference - Per "&amp;VLOOKUP($D$2, 'Reading Report Logic'!$A$2:$B$8, 2, FALSE)&amp;"]")),FALSE)="", "", VLOOKUP($A669,YES_Reading_FLA[],COLUMN(INDIRECT("YES_Reading_FLA[Difference - Per "&amp;VLOOKUP($D$2, 'Reading Report Logic'!$A$2:$B$8, 2, FALSE)&amp;"]")),FALSE))),""))),"")</f>
        <v/>
      </c>
      <c r="H669" s="206" t="str">
        <f ca="1">IFERROR(VLOOKUP('Teacher Reading Pull Sheets'!$D669,_xlfn.VSTACK('ELA Reading Logic'!$A$22:$B$48,'FLA Reading Logic'!$A$22:$B$53),2,FALSE)-VLOOKUP('Teacher Reading Pull Sheets'!$C669,_xlfn.VSTACK('ELA Reading Logic'!$A$22:$B$48,'FLA Reading Logic'!$A$22:$B$53),2,FALSE),"")</f>
        <v/>
      </c>
      <c r="I669" s="212"/>
      <c r="J669" s="206"/>
      <c r="K669" s="197" t="str" cm="1">
        <f t="array" ref="K669">IFERROR(
IF($J$2="ELA",
IF(VLOOKUP($A669, YES_Reading_ELA[], COLUMN(YES_Reading_ELA[Self-Identified as African Descent]), FALSE)="", "",
VLOOKUP($A669,YES_Reading_ELA[], COLUMN(YES_Reading_ELA[Self-Identified as African Descent]), FALSE)),
IF($J$2="FLA",
IF(VLOOKUP($A669, YES_Reading_FLA[], COLUMN(YES_Reading_FLA[Self-Identified as African Descent]),FALSE)="","",
VLOOKUP($A669,YES_Reading_FLA[],COLUMN(YES_Reading_FLA[Self-Identified as African Descent]),FALSE)),
IF($J$2="Combined",
IFERROR(
IF(VLOOKUP($A669, YES_Reading_ELA[], COLUMN(YES_Reading_ELA[Self-Identified as African Descent]), FALSE)="", "",
VLOOKUP($A669,YES_Reading_ELA[],COLUMN(YES_Reading_ELA[Self-Identified as African Descent]),FALSE)),
IF(VLOOKUP($A669, YES_Reading_FLA[], COLUMN(YES_Reading_FLA[Self-Identified as African Descent]),FALSE)="", "", VLOOKUP($A669,YES_Reading_FLA[],COLUMN(YES_Reading_FLA[Self-Identified as African Descent]),FALSE))),""))),"")</f>
        <v/>
      </c>
      <c r="L669" s="73" t="str" cm="1">
        <f t="array" ref="L669">IFERROR(
IF($J$2="ELA",
IF(VLOOKUP($A669, YES_Reading_ELA[], COLUMN(YES_Reading_ELA[Self-Identified as Indigenous]), FALSE)="", "",
VLOOKUP($A669,YES_Reading_ELA[], COLUMN(YES_Reading_ELA[Self-Identified as Indigenous]), FALSE)),
IF($J$2="FLA",
IF(VLOOKUP($A669, YES_Reading_FLA[], COLUMN(YES_Reading_FLA[Self-Identified as Indigenous]),FALSE)="","",
VLOOKUP($A669,YES_Reading_FLA[],COLUMN(YES_Reading_FLA[Self-Identified as Indigenous]),FALSE)),
IF($J$2="Combined",
IFERROR(
IF(VLOOKUP($A669, YES_Reading_ELA[], COLUMN(YES_Reading_ELA[Self-Identified as Indigenous]), FALSE)="", "",
VLOOKUP($A669,YES_Reading_ELA[],COLUMN(YES_Reading_ELA[Self-Identified as Indigenous]),FALSE)),
IF(VLOOKUP($A669, YES_Reading_FLA[], COLUMN(YES_Reading_FLA[Self-Identified as Indigenous]),FALSE)="", "", VLOOKUP($A669,YES_Reading_FLA[],COLUMN(YES_Reading_FLA[Self-Identified as Indigenous]),FALSE))),""))),"")</f>
        <v/>
      </c>
    </row>
    <row r="670" spans="1:12" ht="19.5" customHeight="1" x14ac:dyDescent="0.25">
      <c r="A670" s="217"/>
      <c r="B670" s="220" t="str">
        <f>IFERROR(VLOOKUP(A670,_xlfn.VSTACK(YES_Reading_ELA[],YES_Reading_FLA[]),2,FALSE),"")</f>
        <v/>
      </c>
      <c r="C670" s="203" t="str" cm="1">
        <f t="array" aca="1" ref="C670" ca="1">IFERROR(
IF($J$2="ELA",
IF(VLOOKUP($A670, YES_Reading_ELA[], COLUMN(IF(VLOOKUP($D$2, 'Reading Report Logic'!$A$2:$B$8, 2, FALSE)=1, YES_Reading_ELA[Reading Level June of Previous School Year], INDIRECT("YES_Reading_ELA[Instructional Reading Level - Per "&amp;(VLOOKUP($D$2,'Reading Report Logic'!$A$2:$B$8,2,FALSE)-1)&amp;"]"))), FALSE)="", "",
VLOOKUP($A670,YES_Reading_ELA[], COLUMN(IF(VLOOKUP($D$2,'Reading Report Logic'!$A$2:$B$8,2,FALSE)=1, YES_Reading_ELA[Reading Level June of Previous School Year],INDIRECT("YES_Reading_ELA[Instructional Reading Level - Per "&amp;(VLOOKUP($D$2,'Reading Report Logic'!$A$2:$B$8,2,FALSE)-1)&amp;"]"))), FALSE)),
IF($J$2="FLA",
IF(VLOOKUP($A670, YES_Reading_FLA[], COLUMN(IF(VLOOKUP($D$2,'Reading Report Logic'!$A$2:$B$8,2,FALSE)=1, YES_Reading_FLA[Reading Level June of Previous School Year],INDIRECT("YES_Reading_FLA[Instructional Reading Level - Per "&amp;(VLOOKUP($D$2,'Reading Report Logic'!$A$2:$B$8,2,FALSE)-1)&amp;"]"))),FALSE)="","",
VLOOKUP($A670,YES_Reading_FLA[], COLUMN(IF(VLOOKUP($D$2,'Reading Report Logic'!$A$2:$B$8,2,FALSE)=1, YES_Reading_FLA[Reading Level June of Previous School Year],INDIRECT("YES_Reading_FLA[Instructional Reading Level - Per "&amp;(VLOOKUP($D$2,'Reading Report Logic'!$A$2:$B$8,2,FALSE)-1)&amp;"]"))),FALSE)),
IF($J$2="Combined",
IFERROR(
IF(VLOOKUP($A670, YES_Reading_ELA[], COLUMN(IF(VLOOKUP($D$2,'Reading Report Logic'!$A$2:$B$8,2,FALSE)=1, YES_Reading_ELA[Reading Level June of Previous School Year],INDIRECT("YES_Reading_ELA[Instructional Reading Level - Per "&amp;(VLOOKUP($D$2,'Reading Report Logic'!$A$2:$B$8,2,FALSE)-1)&amp;"]"))), FALSE)="", "",
VLOOKUP($A670,YES_Reading_ELA[],COLUMN(IF(VLOOKUP($D$2,'Reading Report Logic'!$A$2:$B$8,2,FALSE)=1, YES_Reading_ELA[Reading Level June of Previous School Year],INDIRECT("YES_Reading_ELA[Instructional Reading Level - Per "&amp;(VLOOKUP($D$2,'Reading Report Logic'!$A$2:$B$8,2,FALSE)-1)&amp;"]"))),FALSE)),
IF(VLOOKUP($A670, YES_Reading_FLA[], COLUMN(IF(VLOOKUP($D$2,'Reading Report Logic'!$A$2:$B$8,2,FALSE)=1, YES_Reading_FLA[Reading Level June of Previous School Year],INDIRECT("YES_Reading_FLA[Instructional Reading Level - Per "&amp;(VLOOKUP($D$2,'Reading Report Logic'!$A$2:$B$8,2,FALSE)-1)&amp;"]"))),FALSE)="", "", VLOOKUP($A670,YES_Reading_FLA[],COLUMN(IF(VLOOKUP($D$2,'Reading Report Logic'!$A$2:$B$8,2,FALSE)=1, YES_Reading_FLA[Reading Level June of Previous School Year],INDIRECT("YES_Reading_FLA[Instructional Reading Level - Per "&amp;(VLOOKUP($D$2,'Reading Report Logic'!$A$2:$B$8,2,FALSE)-1)&amp;"]"))), FALSE))),""))),"")</f>
        <v/>
      </c>
      <c r="D670" s="204" t="str" cm="1">
        <f t="array" aca="1" ref="D670" ca="1">IFERROR(
IF($J$2="ELA",
IF(VLOOKUP($A670, YES_Reading_ELA[], COLUMN(INDIRECT("YES_Reading_ELA[Instructional Reading Level - Per "&amp;VLOOKUP($D$2, 'Reading Report Logic'!$A$2:$B$8, 2, FALSE)&amp;"]")), FALSE)="", "",
VLOOKUP($A670,YES_Reading_ELA[], COLUMN(INDIRECT("YES_Reading_ELA[Instructional Reading Level - Per "&amp;VLOOKUP($D$2,'Reading Report Logic'!$A$2:$B$8,2,FALSE)&amp;"]")), FALSE)),
IF($J$2="FLA",
IF(VLOOKUP($A670, YES_Reading_FLA[], COLUMN(INDIRECT("YES_Reading_FLA[Instructional Reading Level - Per "&amp;VLOOKUP($D$2,'Reading Report Logic'!$A$2:$B$8,2,FALSE)&amp;"]")),FALSE)="","",
VLOOKUP($A670,YES_Reading_FLA[],COLUMN(INDIRECT("YES_Reading_FLA[Instructional Reading Level - Per "&amp;VLOOKUP($D$2,'Reading Report Logic'!$A$2:$B$8,2,FALSE)&amp;"]")),FALSE)),
IF($J$2="Combined",
IFERROR(
IF(VLOOKUP($A670, YES_Reading_ELA[], COLUMN(INDIRECT("YES_Reading_ELA[Instructional Reading Level - Per "&amp;VLOOKUP($D$2, 'Reading Report Logic'!$A$2:$B$8,2,FALSE)&amp;"]")), FALSE)="", "",
VLOOKUP($A670,YES_Reading_ELA[],COLUMN(INDIRECT("YES_Reading_ELA[Instructional Reading Level - Per "&amp;VLOOKUP($D$2,'Reading Report Logic'!$A$2:$B$8,2,FALSE)&amp;"]")),FALSE)),
IF(VLOOKUP($A670, YES_Reading_FLA[], COLUMN(INDIRECT("YES_Reading_FLA[Instructional Reading Level - Per "&amp;VLOOKUP($D$2, 'Reading Report Logic'!$A$2:$B$8, 2, FALSE)&amp;"]")),FALSE)="", "", VLOOKUP($A670,YES_Reading_FLA[],COLUMN(INDIRECT("YES_Reading_FLA[Instructional Reading Level - Per "&amp;VLOOKUP($D$2, 'Reading Report Logic'!$A$2:$B$8, 2, FALSE)&amp;"]")),FALSE))),""))),"")</f>
        <v/>
      </c>
      <c r="E670" s="205" t="str" cm="1">
        <f t="array" aca="1" ref="E670" ca="1">IFERROR(
IF($J$2="ELA",
IF(VLOOKUP($A670, YES_Reading_ELA[], COLUMN(INDIRECT("YES_Reading_ELA[Min Expectation - Per "&amp;VLOOKUP($D$2, 'Reading Report Logic'!$A$2:$B$8, 2, FALSE)&amp;"]")), FALSE)="", "",
VLOOKUP($A670,YES_Reading_ELA[], COLUMN(INDIRECT("YES_Reading_ELA[Min Expectation - Per "&amp;VLOOKUP($D$2,'Reading Report Logic'!$A$2:$B$8,2,FALSE)&amp;"]")), FALSE)),
IF($J$2="FLA",
IF(VLOOKUP($A670, YES_Reading_FLA[], COLUMN(INDIRECT("YES_Reading_FLA[Min Expectation - Per "&amp;VLOOKUP($D$2,'Reading Report Logic'!$A$2:$B$8,2,FALSE)&amp;"]")),FALSE)="","",
VLOOKUP($A670,YES_Reading_FLA[],COLUMN(INDIRECT("YES_Reading_FLA[Min Expectation - Per "&amp;VLOOKUP($D$2,'Reading Report Logic'!$A$2:$B$8,2,FALSE)&amp;"]")),FALSE)),
IF($J$2="Combined",
IFERROR(
IF(VLOOKUP($A670, YES_Reading_ELA[], COLUMN(INDIRECT("YES_Reading_ELA[Min Expectation - Per "&amp;VLOOKUP($D$2, 'Reading Report Logic'!$A$2:$B$8,2,FALSE)&amp;"]")), FALSE)="", "",
VLOOKUP($A670,YES_Reading_ELA[],COLUMN(INDIRECT("YES_Reading_ELA[Min Expectation - Per "&amp;VLOOKUP($D$2,'Reading Report Logic'!$A$2:$B$8,2,FALSE)&amp;"]")),FALSE)),
IF(VLOOKUP($A670, YES_Reading_FLA[], COLUMN(INDIRECT("YES_Reading_FLA[Min Expectation - Per "&amp;VLOOKUP($D$2, 'Reading Report Logic'!$A$2:$B$8, 2, FALSE)&amp;"]")),FALSE)="", "", VLOOKUP($A670,YES_Reading_FLA[],COLUMN(INDIRECT("YES_Reading_FLA[Min Expectation - Per "&amp;VLOOKUP($D$2, 'Reading Report Logic'!$A$2:$B$8, 2, FALSE)&amp;"]")),FALSE))),""))),"")</f>
        <v/>
      </c>
      <c r="F670" s="205" t="str" cm="1">
        <f t="array" aca="1" ref="F670" ca="1">IFERROR(
IF($J$2="ELA",
IF(VLOOKUP($A670, YES_Reading_ELA[], COLUMN(INDIRECT("YES_Reading_ELA[Max Expectation - Per "&amp;VLOOKUP($D$2, 'Reading Report Logic'!$A$2:$B$8, 2, FALSE)&amp;"]")), FALSE)="", "",
VLOOKUP($A670,YES_Reading_ELA[], COLUMN(INDIRECT("YES_Reading_ELA[Max Expectation - Per "&amp;VLOOKUP($D$2,'Reading Report Logic'!$A$2:$B$8,2,FALSE)&amp;"]")), FALSE)),
IF($J$2="FLA",
IF(VLOOKUP($A670, YES_Reading_FLA[], COLUMN(INDIRECT("YES_Reading_FLA[Max Expectation - Per "&amp;VLOOKUP($D$2,'Reading Report Logic'!$A$2:$B$8,2,FALSE)&amp;"]")),FALSE)="","",
VLOOKUP($A670,YES_Reading_FLA[],COLUMN(INDIRECT("YES_Reading_FLA[Max Expectation - Per "&amp;VLOOKUP($D$2,'Reading Report Logic'!$A$2:$B$8,2,FALSE)&amp;"]")),FALSE)),
IF($J$2="Combined",
IFERROR(
IF(VLOOKUP($A670, YES_Reading_ELA[], COLUMN(INDIRECT("YES_Reading_ELA[Max Expectation - Per "&amp;VLOOKUP($D$2, 'Reading Report Logic'!$A$2:$B$8,2,FALSE)&amp;"]")), FALSE)="", "",
VLOOKUP($A670,YES_Reading_ELA[],COLUMN(INDIRECT("YES_Reading_ELA[Max Expectation - Per "&amp;VLOOKUP($D$2,'Reading Report Logic'!$A$2:$B$8,2,FALSE)&amp;"]")),FALSE)),
IF(VLOOKUP($A670, YES_Reading_FLA[], COLUMN(INDIRECT("YES_Reading_FLA[Max Expectation - Per "&amp;VLOOKUP($D$2, 'Reading Report Logic'!$A$2:$B$8, 2, FALSE)&amp;"]")),FALSE)="", "", VLOOKUP($A670,YES_Reading_FLA[],COLUMN(INDIRECT("YES_Reading_FLA[Max Expectation - Per "&amp;VLOOKUP($D$2, 'Reading Report Logic'!$A$2:$B$8, 2, FALSE)&amp;"]")),FALSE))),""))),"")</f>
        <v/>
      </c>
      <c r="G670" s="205" t="str" cm="1">
        <f t="array" aca="1" ref="G670" ca="1">IFERROR(
IF($J$2="ELA",
IF(VLOOKUP($A670, YES_Reading_ELA[], COLUMN(INDIRECT("YES_Reading_ELA[Difference - Per "&amp;VLOOKUP($D$2, 'Reading Report Logic'!$A$2:$B$8, 2, FALSE)&amp;"]")), FALSE)="", "",
VLOOKUP($A670,YES_Reading_ELA[], COLUMN(INDIRECT("YES_Reading_ELA[Difference - Per "&amp;VLOOKUP($D$2,'Reading Report Logic'!$A$2:$B$8,2,FALSE)&amp;"]")), FALSE)),
IF($J$2="FLA",
IF(VLOOKUP($A670, YES_Reading_FLA[], COLUMN(INDIRECT("YES_Reading_FLA[Difference - Per "&amp;VLOOKUP($D$2,'Reading Report Logic'!$A$2:$B$8,2,FALSE)&amp;"]")),FALSE)="","",
VLOOKUP($A670,YES_Reading_FLA[],COLUMN(INDIRECT("YES_Reading_FLA[Difference - Per "&amp;VLOOKUP($D$2,'Reading Report Logic'!$A$2:$B$8,2,FALSE)&amp;"]")),FALSE)),
IF($J$2="Combined",
IFERROR(
IF(VLOOKUP($A670, YES_Reading_ELA[], COLUMN(INDIRECT("YES_Reading_ELA[Difference - Per "&amp;VLOOKUP($D$2, 'Reading Report Logic'!$A$2:$B$8,2,FALSE)&amp;"]")), FALSE)="", "",
VLOOKUP($A670,YES_Reading_ELA[],COLUMN(INDIRECT("YES_Reading_ELA[Difference - Per "&amp;VLOOKUP($D$2,'Reading Report Logic'!$A$2:$B$8,2,FALSE)&amp;"]")),FALSE)),
IF(VLOOKUP($A670, YES_Reading_FLA[], COLUMN(INDIRECT("YES_Reading_FLA[Difference - Per "&amp;VLOOKUP($D$2, 'Reading Report Logic'!$A$2:$B$8, 2, FALSE)&amp;"]")),FALSE)="", "", VLOOKUP($A670,YES_Reading_FLA[],COLUMN(INDIRECT("YES_Reading_FLA[Difference - Per "&amp;VLOOKUP($D$2, 'Reading Report Logic'!$A$2:$B$8, 2, FALSE)&amp;"]")),FALSE))),""))),"")</f>
        <v/>
      </c>
      <c r="H670" s="206" t="str">
        <f ca="1">IFERROR(VLOOKUP('Teacher Reading Pull Sheets'!$D670,_xlfn.VSTACK('ELA Reading Logic'!$A$22:$B$48,'FLA Reading Logic'!$A$22:$B$53),2,FALSE)-VLOOKUP('Teacher Reading Pull Sheets'!$C670,_xlfn.VSTACK('ELA Reading Logic'!$A$22:$B$48,'FLA Reading Logic'!$A$22:$B$53),2,FALSE),"")</f>
        <v/>
      </c>
      <c r="I670" s="212"/>
      <c r="J670" s="206"/>
      <c r="K670" s="197" t="str" cm="1">
        <f t="array" ref="K670">IFERROR(
IF($J$2="ELA",
IF(VLOOKUP($A670, YES_Reading_ELA[], COLUMN(YES_Reading_ELA[Self-Identified as African Descent]), FALSE)="", "",
VLOOKUP($A670,YES_Reading_ELA[], COLUMN(YES_Reading_ELA[Self-Identified as African Descent]), FALSE)),
IF($J$2="FLA",
IF(VLOOKUP($A670, YES_Reading_FLA[], COLUMN(YES_Reading_FLA[Self-Identified as African Descent]),FALSE)="","",
VLOOKUP($A670,YES_Reading_FLA[],COLUMN(YES_Reading_FLA[Self-Identified as African Descent]),FALSE)),
IF($J$2="Combined",
IFERROR(
IF(VLOOKUP($A670, YES_Reading_ELA[], COLUMN(YES_Reading_ELA[Self-Identified as African Descent]), FALSE)="", "",
VLOOKUP($A670,YES_Reading_ELA[],COLUMN(YES_Reading_ELA[Self-Identified as African Descent]),FALSE)),
IF(VLOOKUP($A670, YES_Reading_FLA[], COLUMN(YES_Reading_FLA[Self-Identified as African Descent]),FALSE)="", "", VLOOKUP($A670,YES_Reading_FLA[],COLUMN(YES_Reading_FLA[Self-Identified as African Descent]),FALSE))),""))),"")</f>
        <v/>
      </c>
      <c r="L670" s="73" t="str" cm="1">
        <f t="array" ref="L670">IFERROR(
IF($J$2="ELA",
IF(VLOOKUP($A670, YES_Reading_ELA[], COLUMN(YES_Reading_ELA[Self-Identified as Indigenous]), FALSE)="", "",
VLOOKUP($A670,YES_Reading_ELA[], COLUMN(YES_Reading_ELA[Self-Identified as Indigenous]), FALSE)),
IF($J$2="FLA",
IF(VLOOKUP($A670, YES_Reading_FLA[], COLUMN(YES_Reading_FLA[Self-Identified as Indigenous]),FALSE)="","",
VLOOKUP($A670,YES_Reading_FLA[],COLUMN(YES_Reading_FLA[Self-Identified as Indigenous]),FALSE)),
IF($J$2="Combined",
IFERROR(
IF(VLOOKUP($A670, YES_Reading_ELA[], COLUMN(YES_Reading_ELA[Self-Identified as Indigenous]), FALSE)="", "",
VLOOKUP($A670,YES_Reading_ELA[],COLUMN(YES_Reading_ELA[Self-Identified as Indigenous]),FALSE)),
IF(VLOOKUP($A670, YES_Reading_FLA[], COLUMN(YES_Reading_FLA[Self-Identified as Indigenous]),FALSE)="", "", VLOOKUP($A670,YES_Reading_FLA[],COLUMN(YES_Reading_FLA[Self-Identified as Indigenous]),FALSE))),""))),"")</f>
        <v/>
      </c>
    </row>
    <row r="671" spans="1:12" ht="19.5" customHeight="1" x14ac:dyDescent="0.25">
      <c r="A671" s="217"/>
      <c r="B671" s="220" t="str">
        <f>IFERROR(VLOOKUP(A671,_xlfn.VSTACK(YES_Reading_ELA[],YES_Reading_FLA[]),2,FALSE),"")</f>
        <v/>
      </c>
      <c r="C671" s="203" t="str" cm="1">
        <f t="array" aca="1" ref="C671" ca="1">IFERROR(
IF($J$2="ELA",
IF(VLOOKUP($A671, YES_Reading_ELA[], COLUMN(IF(VLOOKUP($D$2, 'Reading Report Logic'!$A$2:$B$8, 2, FALSE)=1, YES_Reading_ELA[Reading Level June of Previous School Year], INDIRECT("YES_Reading_ELA[Instructional Reading Level - Per "&amp;(VLOOKUP($D$2,'Reading Report Logic'!$A$2:$B$8,2,FALSE)-1)&amp;"]"))), FALSE)="", "",
VLOOKUP($A671,YES_Reading_ELA[], COLUMN(IF(VLOOKUP($D$2,'Reading Report Logic'!$A$2:$B$8,2,FALSE)=1, YES_Reading_ELA[Reading Level June of Previous School Year],INDIRECT("YES_Reading_ELA[Instructional Reading Level - Per "&amp;(VLOOKUP($D$2,'Reading Report Logic'!$A$2:$B$8,2,FALSE)-1)&amp;"]"))), FALSE)),
IF($J$2="FLA",
IF(VLOOKUP($A671, YES_Reading_FLA[], COLUMN(IF(VLOOKUP($D$2,'Reading Report Logic'!$A$2:$B$8,2,FALSE)=1, YES_Reading_FLA[Reading Level June of Previous School Year],INDIRECT("YES_Reading_FLA[Instructional Reading Level - Per "&amp;(VLOOKUP($D$2,'Reading Report Logic'!$A$2:$B$8,2,FALSE)-1)&amp;"]"))),FALSE)="","",
VLOOKUP($A671,YES_Reading_FLA[], COLUMN(IF(VLOOKUP($D$2,'Reading Report Logic'!$A$2:$B$8,2,FALSE)=1, YES_Reading_FLA[Reading Level June of Previous School Year],INDIRECT("YES_Reading_FLA[Instructional Reading Level - Per "&amp;(VLOOKUP($D$2,'Reading Report Logic'!$A$2:$B$8,2,FALSE)-1)&amp;"]"))),FALSE)),
IF($J$2="Combined",
IFERROR(
IF(VLOOKUP($A671, YES_Reading_ELA[], COLUMN(IF(VLOOKUP($D$2,'Reading Report Logic'!$A$2:$B$8,2,FALSE)=1, YES_Reading_ELA[Reading Level June of Previous School Year],INDIRECT("YES_Reading_ELA[Instructional Reading Level - Per "&amp;(VLOOKUP($D$2,'Reading Report Logic'!$A$2:$B$8,2,FALSE)-1)&amp;"]"))), FALSE)="", "",
VLOOKUP($A671,YES_Reading_ELA[],COLUMN(IF(VLOOKUP($D$2,'Reading Report Logic'!$A$2:$B$8,2,FALSE)=1, YES_Reading_ELA[Reading Level June of Previous School Year],INDIRECT("YES_Reading_ELA[Instructional Reading Level - Per "&amp;(VLOOKUP($D$2,'Reading Report Logic'!$A$2:$B$8,2,FALSE)-1)&amp;"]"))),FALSE)),
IF(VLOOKUP($A671, YES_Reading_FLA[], COLUMN(IF(VLOOKUP($D$2,'Reading Report Logic'!$A$2:$B$8,2,FALSE)=1, YES_Reading_FLA[Reading Level June of Previous School Year],INDIRECT("YES_Reading_FLA[Instructional Reading Level - Per "&amp;(VLOOKUP($D$2,'Reading Report Logic'!$A$2:$B$8,2,FALSE)-1)&amp;"]"))),FALSE)="", "", VLOOKUP($A671,YES_Reading_FLA[],COLUMN(IF(VLOOKUP($D$2,'Reading Report Logic'!$A$2:$B$8,2,FALSE)=1, YES_Reading_FLA[Reading Level June of Previous School Year],INDIRECT("YES_Reading_FLA[Instructional Reading Level - Per "&amp;(VLOOKUP($D$2,'Reading Report Logic'!$A$2:$B$8,2,FALSE)-1)&amp;"]"))), FALSE))),""))),"")</f>
        <v/>
      </c>
      <c r="D671" s="204" t="str" cm="1">
        <f t="array" aca="1" ref="D671" ca="1">IFERROR(
IF($J$2="ELA",
IF(VLOOKUP($A671, YES_Reading_ELA[], COLUMN(INDIRECT("YES_Reading_ELA[Instructional Reading Level - Per "&amp;VLOOKUP($D$2, 'Reading Report Logic'!$A$2:$B$8, 2, FALSE)&amp;"]")), FALSE)="", "",
VLOOKUP($A671,YES_Reading_ELA[], COLUMN(INDIRECT("YES_Reading_ELA[Instructional Reading Level - Per "&amp;VLOOKUP($D$2,'Reading Report Logic'!$A$2:$B$8,2,FALSE)&amp;"]")), FALSE)),
IF($J$2="FLA",
IF(VLOOKUP($A671, YES_Reading_FLA[], COLUMN(INDIRECT("YES_Reading_FLA[Instructional Reading Level - Per "&amp;VLOOKUP($D$2,'Reading Report Logic'!$A$2:$B$8,2,FALSE)&amp;"]")),FALSE)="","",
VLOOKUP($A671,YES_Reading_FLA[],COLUMN(INDIRECT("YES_Reading_FLA[Instructional Reading Level - Per "&amp;VLOOKUP($D$2,'Reading Report Logic'!$A$2:$B$8,2,FALSE)&amp;"]")),FALSE)),
IF($J$2="Combined",
IFERROR(
IF(VLOOKUP($A671, YES_Reading_ELA[], COLUMN(INDIRECT("YES_Reading_ELA[Instructional Reading Level - Per "&amp;VLOOKUP($D$2, 'Reading Report Logic'!$A$2:$B$8,2,FALSE)&amp;"]")), FALSE)="", "",
VLOOKUP($A671,YES_Reading_ELA[],COLUMN(INDIRECT("YES_Reading_ELA[Instructional Reading Level - Per "&amp;VLOOKUP($D$2,'Reading Report Logic'!$A$2:$B$8,2,FALSE)&amp;"]")),FALSE)),
IF(VLOOKUP($A671, YES_Reading_FLA[], COLUMN(INDIRECT("YES_Reading_FLA[Instructional Reading Level - Per "&amp;VLOOKUP($D$2, 'Reading Report Logic'!$A$2:$B$8, 2, FALSE)&amp;"]")),FALSE)="", "", VLOOKUP($A671,YES_Reading_FLA[],COLUMN(INDIRECT("YES_Reading_FLA[Instructional Reading Level - Per "&amp;VLOOKUP($D$2, 'Reading Report Logic'!$A$2:$B$8, 2, FALSE)&amp;"]")),FALSE))),""))),"")</f>
        <v/>
      </c>
      <c r="E671" s="205" t="str" cm="1">
        <f t="array" aca="1" ref="E671" ca="1">IFERROR(
IF($J$2="ELA",
IF(VLOOKUP($A671, YES_Reading_ELA[], COLUMN(INDIRECT("YES_Reading_ELA[Min Expectation - Per "&amp;VLOOKUP($D$2, 'Reading Report Logic'!$A$2:$B$8, 2, FALSE)&amp;"]")), FALSE)="", "",
VLOOKUP($A671,YES_Reading_ELA[], COLUMN(INDIRECT("YES_Reading_ELA[Min Expectation - Per "&amp;VLOOKUP($D$2,'Reading Report Logic'!$A$2:$B$8,2,FALSE)&amp;"]")), FALSE)),
IF($J$2="FLA",
IF(VLOOKUP($A671, YES_Reading_FLA[], COLUMN(INDIRECT("YES_Reading_FLA[Min Expectation - Per "&amp;VLOOKUP($D$2,'Reading Report Logic'!$A$2:$B$8,2,FALSE)&amp;"]")),FALSE)="","",
VLOOKUP($A671,YES_Reading_FLA[],COLUMN(INDIRECT("YES_Reading_FLA[Min Expectation - Per "&amp;VLOOKUP($D$2,'Reading Report Logic'!$A$2:$B$8,2,FALSE)&amp;"]")),FALSE)),
IF($J$2="Combined",
IFERROR(
IF(VLOOKUP($A671, YES_Reading_ELA[], COLUMN(INDIRECT("YES_Reading_ELA[Min Expectation - Per "&amp;VLOOKUP($D$2, 'Reading Report Logic'!$A$2:$B$8,2,FALSE)&amp;"]")), FALSE)="", "",
VLOOKUP($A671,YES_Reading_ELA[],COLUMN(INDIRECT("YES_Reading_ELA[Min Expectation - Per "&amp;VLOOKUP($D$2,'Reading Report Logic'!$A$2:$B$8,2,FALSE)&amp;"]")),FALSE)),
IF(VLOOKUP($A671, YES_Reading_FLA[], COLUMN(INDIRECT("YES_Reading_FLA[Min Expectation - Per "&amp;VLOOKUP($D$2, 'Reading Report Logic'!$A$2:$B$8, 2, FALSE)&amp;"]")),FALSE)="", "", VLOOKUP($A671,YES_Reading_FLA[],COLUMN(INDIRECT("YES_Reading_FLA[Min Expectation - Per "&amp;VLOOKUP($D$2, 'Reading Report Logic'!$A$2:$B$8, 2, FALSE)&amp;"]")),FALSE))),""))),"")</f>
        <v/>
      </c>
      <c r="F671" s="205" t="str" cm="1">
        <f t="array" aca="1" ref="F671" ca="1">IFERROR(
IF($J$2="ELA",
IF(VLOOKUP($A671, YES_Reading_ELA[], COLUMN(INDIRECT("YES_Reading_ELA[Max Expectation - Per "&amp;VLOOKUP($D$2, 'Reading Report Logic'!$A$2:$B$8, 2, FALSE)&amp;"]")), FALSE)="", "",
VLOOKUP($A671,YES_Reading_ELA[], COLUMN(INDIRECT("YES_Reading_ELA[Max Expectation - Per "&amp;VLOOKUP($D$2,'Reading Report Logic'!$A$2:$B$8,2,FALSE)&amp;"]")), FALSE)),
IF($J$2="FLA",
IF(VLOOKUP($A671, YES_Reading_FLA[], COLUMN(INDIRECT("YES_Reading_FLA[Max Expectation - Per "&amp;VLOOKUP($D$2,'Reading Report Logic'!$A$2:$B$8,2,FALSE)&amp;"]")),FALSE)="","",
VLOOKUP($A671,YES_Reading_FLA[],COLUMN(INDIRECT("YES_Reading_FLA[Max Expectation - Per "&amp;VLOOKUP($D$2,'Reading Report Logic'!$A$2:$B$8,2,FALSE)&amp;"]")),FALSE)),
IF($J$2="Combined",
IFERROR(
IF(VLOOKUP($A671, YES_Reading_ELA[], COLUMN(INDIRECT("YES_Reading_ELA[Max Expectation - Per "&amp;VLOOKUP($D$2, 'Reading Report Logic'!$A$2:$B$8,2,FALSE)&amp;"]")), FALSE)="", "",
VLOOKUP($A671,YES_Reading_ELA[],COLUMN(INDIRECT("YES_Reading_ELA[Max Expectation - Per "&amp;VLOOKUP($D$2,'Reading Report Logic'!$A$2:$B$8,2,FALSE)&amp;"]")),FALSE)),
IF(VLOOKUP($A671, YES_Reading_FLA[], COLUMN(INDIRECT("YES_Reading_FLA[Max Expectation - Per "&amp;VLOOKUP($D$2, 'Reading Report Logic'!$A$2:$B$8, 2, FALSE)&amp;"]")),FALSE)="", "", VLOOKUP($A671,YES_Reading_FLA[],COLUMN(INDIRECT("YES_Reading_FLA[Max Expectation - Per "&amp;VLOOKUP($D$2, 'Reading Report Logic'!$A$2:$B$8, 2, FALSE)&amp;"]")),FALSE))),""))),"")</f>
        <v/>
      </c>
      <c r="G671" s="205" t="str" cm="1">
        <f t="array" aca="1" ref="G671" ca="1">IFERROR(
IF($J$2="ELA",
IF(VLOOKUP($A671, YES_Reading_ELA[], COLUMN(INDIRECT("YES_Reading_ELA[Difference - Per "&amp;VLOOKUP($D$2, 'Reading Report Logic'!$A$2:$B$8, 2, FALSE)&amp;"]")), FALSE)="", "",
VLOOKUP($A671,YES_Reading_ELA[], COLUMN(INDIRECT("YES_Reading_ELA[Difference - Per "&amp;VLOOKUP($D$2,'Reading Report Logic'!$A$2:$B$8,2,FALSE)&amp;"]")), FALSE)),
IF($J$2="FLA",
IF(VLOOKUP($A671, YES_Reading_FLA[], COLUMN(INDIRECT("YES_Reading_FLA[Difference - Per "&amp;VLOOKUP($D$2,'Reading Report Logic'!$A$2:$B$8,2,FALSE)&amp;"]")),FALSE)="","",
VLOOKUP($A671,YES_Reading_FLA[],COLUMN(INDIRECT("YES_Reading_FLA[Difference - Per "&amp;VLOOKUP($D$2,'Reading Report Logic'!$A$2:$B$8,2,FALSE)&amp;"]")),FALSE)),
IF($J$2="Combined",
IFERROR(
IF(VLOOKUP($A671, YES_Reading_ELA[], COLUMN(INDIRECT("YES_Reading_ELA[Difference - Per "&amp;VLOOKUP($D$2, 'Reading Report Logic'!$A$2:$B$8,2,FALSE)&amp;"]")), FALSE)="", "",
VLOOKUP($A671,YES_Reading_ELA[],COLUMN(INDIRECT("YES_Reading_ELA[Difference - Per "&amp;VLOOKUP($D$2,'Reading Report Logic'!$A$2:$B$8,2,FALSE)&amp;"]")),FALSE)),
IF(VLOOKUP($A671, YES_Reading_FLA[], COLUMN(INDIRECT("YES_Reading_FLA[Difference - Per "&amp;VLOOKUP($D$2, 'Reading Report Logic'!$A$2:$B$8, 2, FALSE)&amp;"]")),FALSE)="", "", VLOOKUP($A671,YES_Reading_FLA[],COLUMN(INDIRECT("YES_Reading_FLA[Difference - Per "&amp;VLOOKUP($D$2, 'Reading Report Logic'!$A$2:$B$8, 2, FALSE)&amp;"]")),FALSE))),""))),"")</f>
        <v/>
      </c>
      <c r="H671" s="206" t="str">
        <f ca="1">IFERROR(VLOOKUP('Teacher Reading Pull Sheets'!$D671,_xlfn.VSTACK('ELA Reading Logic'!$A$22:$B$48,'FLA Reading Logic'!$A$22:$B$53),2,FALSE)-VLOOKUP('Teacher Reading Pull Sheets'!$C671,_xlfn.VSTACK('ELA Reading Logic'!$A$22:$B$48,'FLA Reading Logic'!$A$22:$B$53),2,FALSE),"")</f>
        <v/>
      </c>
      <c r="I671" s="212"/>
      <c r="J671" s="206"/>
      <c r="K671" s="197" t="str" cm="1">
        <f t="array" ref="K671">IFERROR(
IF($J$2="ELA",
IF(VLOOKUP($A671, YES_Reading_ELA[], COLUMN(YES_Reading_ELA[Self-Identified as African Descent]), FALSE)="", "",
VLOOKUP($A671,YES_Reading_ELA[], COLUMN(YES_Reading_ELA[Self-Identified as African Descent]), FALSE)),
IF($J$2="FLA",
IF(VLOOKUP($A671, YES_Reading_FLA[], COLUMN(YES_Reading_FLA[Self-Identified as African Descent]),FALSE)="","",
VLOOKUP($A671,YES_Reading_FLA[],COLUMN(YES_Reading_FLA[Self-Identified as African Descent]),FALSE)),
IF($J$2="Combined",
IFERROR(
IF(VLOOKUP($A671, YES_Reading_ELA[], COLUMN(YES_Reading_ELA[Self-Identified as African Descent]), FALSE)="", "",
VLOOKUP($A671,YES_Reading_ELA[],COLUMN(YES_Reading_ELA[Self-Identified as African Descent]),FALSE)),
IF(VLOOKUP($A671, YES_Reading_FLA[], COLUMN(YES_Reading_FLA[Self-Identified as African Descent]),FALSE)="", "", VLOOKUP($A671,YES_Reading_FLA[],COLUMN(YES_Reading_FLA[Self-Identified as African Descent]),FALSE))),""))),"")</f>
        <v/>
      </c>
      <c r="L671" s="73" t="str" cm="1">
        <f t="array" ref="L671">IFERROR(
IF($J$2="ELA",
IF(VLOOKUP($A671, YES_Reading_ELA[], COLUMN(YES_Reading_ELA[Self-Identified as Indigenous]), FALSE)="", "",
VLOOKUP($A671,YES_Reading_ELA[], COLUMN(YES_Reading_ELA[Self-Identified as Indigenous]), FALSE)),
IF($J$2="FLA",
IF(VLOOKUP($A671, YES_Reading_FLA[], COLUMN(YES_Reading_FLA[Self-Identified as Indigenous]),FALSE)="","",
VLOOKUP($A671,YES_Reading_FLA[],COLUMN(YES_Reading_FLA[Self-Identified as Indigenous]),FALSE)),
IF($J$2="Combined",
IFERROR(
IF(VLOOKUP($A671, YES_Reading_ELA[], COLUMN(YES_Reading_ELA[Self-Identified as Indigenous]), FALSE)="", "",
VLOOKUP($A671,YES_Reading_ELA[],COLUMN(YES_Reading_ELA[Self-Identified as Indigenous]),FALSE)),
IF(VLOOKUP($A671, YES_Reading_FLA[], COLUMN(YES_Reading_FLA[Self-Identified as Indigenous]),FALSE)="", "", VLOOKUP($A671,YES_Reading_FLA[],COLUMN(YES_Reading_FLA[Self-Identified as Indigenous]),FALSE))),""))),"")</f>
        <v/>
      </c>
    </row>
    <row r="672" spans="1:12" ht="19.5" customHeight="1" x14ac:dyDescent="0.25">
      <c r="A672" s="217"/>
      <c r="B672" s="220" t="str">
        <f>IFERROR(VLOOKUP(A672,_xlfn.VSTACK(YES_Reading_ELA[],YES_Reading_FLA[]),2,FALSE),"")</f>
        <v/>
      </c>
      <c r="C672" s="203" t="str" cm="1">
        <f t="array" aca="1" ref="C672" ca="1">IFERROR(
IF($J$2="ELA",
IF(VLOOKUP($A672, YES_Reading_ELA[], COLUMN(IF(VLOOKUP($D$2, 'Reading Report Logic'!$A$2:$B$8, 2, FALSE)=1, YES_Reading_ELA[Reading Level June of Previous School Year], INDIRECT("YES_Reading_ELA[Instructional Reading Level - Per "&amp;(VLOOKUP($D$2,'Reading Report Logic'!$A$2:$B$8,2,FALSE)-1)&amp;"]"))), FALSE)="", "",
VLOOKUP($A672,YES_Reading_ELA[], COLUMN(IF(VLOOKUP($D$2,'Reading Report Logic'!$A$2:$B$8,2,FALSE)=1, YES_Reading_ELA[Reading Level June of Previous School Year],INDIRECT("YES_Reading_ELA[Instructional Reading Level - Per "&amp;(VLOOKUP($D$2,'Reading Report Logic'!$A$2:$B$8,2,FALSE)-1)&amp;"]"))), FALSE)),
IF($J$2="FLA",
IF(VLOOKUP($A672, YES_Reading_FLA[], COLUMN(IF(VLOOKUP($D$2,'Reading Report Logic'!$A$2:$B$8,2,FALSE)=1, YES_Reading_FLA[Reading Level June of Previous School Year],INDIRECT("YES_Reading_FLA[Instructional Reading Level - Per "&amp;(VLOOKUP($D$2,'Reading Report Logic'!$A$2:$B$8,2,FALSE)-1)&amp;"]"))),FALSE)="","",
VLOOKUP($A672,YES_Reading_FLA[], COLUMN(IF(VLOOKUP($D$2,'Reading Report Logic'!$A$2:$B$8,2,FALSE)=1, YES_Reading_FLA[Reading Level June of Previous School Year],INDIRECT("YES_Reading_FLA[Instructional Reading Level - Per "&amp;(VLOOKUP($D$2,'Reading Report Logic'!$A$2:$B$8,2,FALSE)-1)&amp;"]"))),FALSE)),
IF($J$2="Combined",
IFERROR(
IF(VLOOKUP($A672, YES_Reading_ELA[], COLUMN(IF(VLOOKUP($D$2,'Reading Report Logic'!$A$2:$B$8,2,FALSE)=1, YES_Reading_ELA[Reading Level June of Previous School Year],INDIRECT("YES_Reading_ELA[Instructional Reading Level - Per "&amp;(VLOOKUP($D$2,'Reading Report Logic'!$A$2:$B$8,2,FALSE)-1)&amp;"]"))), FALSE)="", "",
VLOOKUP($A672,YES_Reading_ELA[],COLUMN(IF(VLOOKUP($D$2,'Reading Report Logic'!$A$2:$B$8,2,FALSE)=1, YES_Reading_ELA[Reading Level June of Previous School Year],INDIRECT("YES_Reading_ELA[Instructional Reading Level - Per "&amp;(VLOOKUP($D$2,'Reading Report Logic'!$A$2:$B$8,2,FALSE)-1)&amp;"]"))),FALSE)),
IF(VLOOKUP($A672, YES_Reading_FLA[], COLUMN(IF(VLOOKUP($D$2,'Reading Report Logic'!$A$2:$B$8,2,FALSE)=1, YES_Reading_FLA[Reading Level June of Previous School Year],INDIRECT("YES_Reading_FLA[Instructional Reading Level - Per "&amp;(VLOOKUP($D$2,'Reading Report Logic'!$A$2:$B$8,2,FALSE)-1)&amp;"]"))),FALSE)="", "", VLOOKUP($A672,YES_Reading_FLA[],COLUMN(IF(VLOOKUP($D$2,'Reading Report Logic'!$A$2:$B$8,2,FALSE)=1, YES_Reading_FLA[Reading Level June of Previous School Year],INDIRECT("YES_Reading_FLA[Instructional Reading Level - Per "&amp;(VLOOKUP($D$2,'Reading Report Logic'!$A$2:$B$8,2,FALSE)-1)&amp;"]"))), FALSE))),""))),"")</f>
        <v/>
      </c>
      <c r="D672" s="204" t="str" cm="1">
        <f t="array" aca="1" ref="D672" ca="1">IFERROR(
IF($J$2="ELA",
IF(VLOOKUP($A672, YES_Reading_ELA[], COLUMN(INDIRECT("YES_Reading_ELA[Instructional Reading Level - Per "&amp;VLOOKUP($D$2, 'Reading Report Logic'!$A$2:$B$8, 2, FALSE)&amp;"]")), FALSE)="", "",
VLOOKUP($A672,YES_Reading_ELA[], COLUMN(INDIRECT("YES_Reading_ELA[Instructional Reading Level - Per "&amp;VLOOKUP($D$2,'Reading Report Logic'!$A$2:$B$8,2,FALSE)&amp;"]")), FALSE)),
IF($J$2="FLA",
IF(VLOOKUP($A672, YES_Reading_FLA[], COLUMN(INDIRECT("YES_Reading_FLA[Instructional Reading Level - Per "&amp;VLOOKUP($D$2,'Reading Report Logic'!$A$2:$B$8,2,FALSE)&amp;"]")),FALSE)="","",
VLOOKUP($A672,YES_Reading_FLA[],COLUMN(INDIRECT("YES_Reading_FLA[Instructional Reading Level - Per "&amp;VLOOKUP($D$2,'Reading Report Logic'!$A$2:$B$8,2,FALSE)&amp;"]")),FALSE)),
IF($J$2="Combined",
IFERROR(
IF(VLOOKUP($A672, YES_Reading_ELA[], COLUMN(INDIRECT("YES_Reading_ELA[Instructional Reading Level - Per "&amp;VLOOKUP($D$2, 'Reading Report Logic'!$A$2:$B$8,2,FALSE)&amp;"]")), FALSE)="", "",
VLOOKUP($A672,YES_Reading_ELA[],COLUMN(INDIRECT("YES_Reading_ELA[Instructional Reading Level - Per "&amp;VLOOKUP($D$2,'Reading Report Logic'!$A$2:$B$8,2,FALSE)&amp;"]")),FALSE)),
IF(VLOOKUP($A672, YES_Reading_FLA[], COLUMN(INDIRECT("YES_Reading_FLA[Instructional Reading Level - Per "&amp;VLOOKUP($D$2, 'Reading Report Logic'!$A$2:$B$8, 2, FALSE)&amp;"]")),FALSE)="", "", VLOOKUP($A672,YES_Reading_FLA[],COLUMN(INDIRECT("YES_Reading_FLA[Instructional Reading Level - Per "&amp;VLOOKUP($D$2, 'Reading Report Logic'!$A$2:$B$8, 2, FALSE)&amp;"]")),FALSE))),""))),"")</f>
        <v/>
      </c>
      <c r="E672" s="205" t="str" cm="1">
        <f t="array" aca="1" ref="E672" ca="1">IFERROR(
IF($J$2="ELA",
IF(VLOOKUP($A672, YES_Reading_ELA[], COLUMN(INDIRECT("YES_Reading_ELA[Min Expectation - Per "&amp;VLOOKUP($D$2, 'Reading Report Logic'!$A$2:$B$8, 2, FALSE)&amp;"]")), FALSE)="", "",
VLOOKUP($A672,YES_Reading_ELA[], COLUMN(INDIRECT("YES_Reading_ELA[Min Expectation - Per "&amp;VLOOKUP($D$2,'Reading Report Logic'!$A$2:$B$8,2,FALSE)&amp;"]")), FALSE)),
IF($J$2="FLA",
IF(VLOOKUP($A672, YES_Reading_FLA[], COLUMN(INDIRECT("YES_Reading_FLA[Min Expectation - Per "&amp;VLOOKUP($D$2,'Reading Report Logic'!$A$2:$B$8,2,FALSE)&amp;"]")),FALSE)="","",
VLOOKUP($A672,YES_Reading_FLA[],COLUMN(INDIRECT("YES_Reading_FLA[Min Expectation - Per "&amp;VLOOKUP($D$2,'Reading Report Logic'!$A$2:$B$8,2,FALSE)&amp;"]")),FALSE)),
IF($J$2="Combined",
IFERROR(
IF(VLOOKUP($A672, YES_Reading_ELA[], COLUMN(INDIRECT("YES_Reading_ELA[Min Expectation - Per "&amp;VLOOKUP($D$2, 'Reading Report Logic'!$A$2:$B$8,2,FALSE)&amp;"]")), FALSE)="", "",
VLOOKUP($A672,YES_Reading_ELA[],COLUMN(INDIRECT("YES_Reading_ELA[Min Expectation - Per "&amp;VLOOKUP($D$2,'Reading Report Logic'!$A$2:$B$8,2,FALSE)&amp;"]")),FALSE)),
IF(VLOOKUP($A672, YES_Reading_FLA[], COLUMN(INDIRECT("YES_Reading_FLA[Min Expectation - Per "&amp;VLOOKUP($D$2, 'Reading Report Logic'!$A$2:$B$8, 2, FALSE)&amp;"]")),FALSE)="", "", VLOOKUP($A672,YES_Reading_FLA[],COLUMN(INDIRECT("YES_Reading_FLA[Min Expectation - Per "&amp;VLOOKUP($D$2, 'Reading Report Logic'!$A$2:$B$8, 2, FALSE)&amp;"]")),FALSE))),""))),"")</f>
        <v/>
      </c>
      <c r="F672" s="205" t="str" cm="1">
        <f t="array" aca="1" ref="F672" ca="1">IFERROR(
IF($J$2="ELA",
IF(VLOOKUP($A672, YES_Reading_ELA[], COLUMN(INDIRECT("YES_Reading_ELA[Max Expectation - Per "&amp;VLOOKUP($D$2, 'Reading Report Logic'!$A$2:$B$8, 2, FALSE)&amp;"]")), FALSE)="", "",
VLOOKUP($A672,YES_Reading_ELA[], COLUMN(INDIRECT("YES_Reading_ELA[Max Expectation - Per "&amp;VLOOKUP($D$2,'Reading Report Logic'!$A$2:$B$8,2,FALSE)&amp;"]")), FALSE)),
IF($J$2="FLA",
IF(VLOOKUP($A672, YES_Reading_FLA[], COLUMN(INDIRECT("YES_Reading_FLA[Max Expectation - Per "&amp;VLOOKUP($D$2,'Reading Report Logic'!$A$2:$B$8,2,FALSE)&amp;"]")),FALSE)="","",
VLOOKUP($A672,YES_Reading_FLA[],COLUMN(INDIRECT("YES_Reading_FLA[Max Expectation - Per "&amp;VLOOKUP($D$2,'Reading Report Logic'!$A$2:$B$8,2,FALSE)&amp;"]")),FALSE)),
IF($J$2="Combined",
IFERROR(
IF(VLOOKUP($A672, YES_Reading_ELA[], COLUMN(INDIRECT("YES_Reading_ELA[Max Expectation - Per "&amp;VLOOKUP($D$2, 'Reading Report Logic'!$A$2:$B$8,2,FALSE)&amp;"]")), FALSE)="", "",
VLOOKUP($A672,YES_Reading_ELA[],COLUMN(INDIRECT("YES_Reading_ELA[Max Expectation - Per "&amp;VLOOKUP($D$2,'Reading Report Logic'!$A$2:$B$8,2,FALSE)&amp;"]")),FALSE)),
IF(VLOOKUP($A672, YES_Reading_FLA[], COLUMN(INDIRECT("YES_Reading_FLA[Max Expectation - Per "&amp;VLOOKUP($D$2, 'Reading Report Logic'!$A$2:$B$8, 2, FALSE)&amp;"]")),FALSE)="", "", VLOOKUP($A672,YES_Reading_FLA[],COLUMN(INDIRECT("YES_Reading_FLA[Max Expectation - Per "&amp;VLOOKUP($D$2, 'Reading Report Logic'!$A$2:$B$8, 2, FALSE)&amp;"]")),FALSE))),""))),"")</f>
        <v/>
      </c>
      <c r="G672" s="205" t="str" cm="1">
        <f t="array" aca="1" ref="G672" ca="1">IFERROR(
IF($J$2="ELA",
IF(VLOOKUP($A672, YES_Reading_ELA[], COLUMN(INDIRECT("YES_Reading_ELA[Difference - Per "&amp;VLOOKUP($D$2, 'Reading Report Logic'!$A$2:$B$8, 2, FALSE)&amp;"]")), FALSE)="", "",
VLOOKUP($A672,YES_Reading_ELA[], COLUMN(INDIRECT("YES_Reading_ELA[Difference - Per "&amp;VLOOKUP($D$2,'Reading Report Logic'!$A$2:$B$8,2,FALSE)&amp;"]")), FALSE)),
IF($J$2="FLA",
IF(VLOOKUP($A672, YES_Reading_FLA[], COLUMN(INDIRECT("YES_Reading_FLA[Difference - Per "&amp;VLOOKUP($D$2,'Reading Report Logic'!$A$2:$B$8,2,FALSE)&amp;"]")),FALSE)="","",
VLOOKUP($A672,YES_Reading_FLA[],COLUMN(INDIRECT("YES_Reading_FLA[Difference - Per "&amp;VLOOKUP($D$2,'Reading Report Logic'!$A$2:$B$8,2,FALSE)&amp;"]")),FALSE)),
IF($J$2="Combined",
IFERROR(
IF(VLOOKUP($A672, YES_Reading_ELA[], COLUMN(INDIRECT("YES_Reading_ELA[Difference - Per "&amp;VLOOKUP($D$2, 'Reading Report Logic'!$A$2:$B$8,2,FALSE)&amp;"]")), FALSE)="", "",
VLOOKUP($A672,YES_Reading_ELA[],COLUMN(INDIRECT("YES_Reading_ELA[Difference - Per "&amp;VLOOKUP($D$2,'Reading Report Logic'!$A$2:$B$8,2,FALSE)&amp;"]")),FALSE)),
IF(VLOOKUP($A672, YES_Reading_FLA[], COLUMN(INDIRECT("YES_Reading_FLA[Difference - Per "&amp;VLOOKUP($D$2, 'Reading Report Logic'!$A$2:$B$8, 2, FALSE)&amp;"]")),FALSE)="", "", VLOOKUP($A672,YES_Reading_FLA[],COLUMN(INDIRECT("YES_Reading_FLA[Difference - Per "&amp;VLOOKUP($D$2, 'Reading Report Logic'!$A$2:$B$8, 2, FALSE)&amp;"]")),FALSE))),""))),"")</f>
        <v/>
      </c>
      <c r="H672" s="206" t="str">
        <f ca="1">IFERROR(VLOOKUP('Teacher Reading Pull Sheets'!$D672,_xlfn.VSTACK('ELA Reading Logic'!$A$22:$B$48,'FLA Reading Logic'!$A$22:$B$53),2,FALSE)-VLOOKUP('Teacher Reading Pull Sheets'!$C672,_xlfn.VSTACK('ELA Reading Logic'!$A$22:$B$48,'FLA Reading Logic'!$A$22:$B$53),2,FALSE),"")</f>
        <v/>
      </c>
      <c r="I672" s="212"/>
      <c r="J672" s="206"/>
      <c r="K672" s="197" t="str" cm="1">
        <f t="array" ref="K672">IFERROR(
IF($J$2="ELA",
IF(VLOOKUP($A672, YES_Reading_ELA[], COLUMN(YES_Reading_ELA[Self-Identified as African Descent]), FALSE)="", "",
VLOOKUP($A672,YES_Reading_ELA[], COLUMN(YES_Reading_ELA[Self-Identified as African Descent]), FALSE)),
IF($J$2="FLA",
IF(VLOOKUP($A672, YES_Reading_FLA[], COLUMN(YES_Reading_FLA[Self-Identified as African Descent]),FALSE)="","",
VLOOKUP($A672,YES_Reading_FLA[],COLUMN(YES_Reading_FLA[Self-Identified as African Descent]),FALSE)),
IF($J$2="Combined",
IFERROR(
IF(VLOOKUP($A672, YES_Reading_ELA[], COLUMN(YES_Reading_ELA[Self-Identified as African Descent]), FALSE)="", "",
VLOOKUP($A672,YES_Reading_ELA[],COLUMN(YES_Reading_ELA[Self-Identified as African Descent]),FALSE)),
IF(VLOOKUP($A672, YES_Reading_FLA[], COLUMN(YES_Reading_FLA[Self-Identified as African Descent]),FALSE)="", "", VLOOKUP($A672,YES_Reading_FLA[],COLUMN(YES_Reading_FLA[Self-Identified as African Descent]),FALSE))),""))),"")</f>
        <v/>
      </c>
      <c r="L672" s="73" t="str" cm="1">
        <f t="array" ref="L672">IFERROR(
IF($J$2="ELA",
IF(VLOOKUP($A672, YES_Reading_ELA[], COLUMN(YES_Reading_ELA[Self-Identified as Indigenous]), FALSE)="", "",
VLOOKUP($A672,YES_Reading_ELA[], COLUMN(YES_Reading_ELA[Self-Identified as Indigenous]), FALSE)),
IF($J$2="FLA",
IF(VLOOKUP($A672, YES_Reading_FLA[], COLUMN(YES_Reading_FLA[Self-Identified as Indigenous]),FALSE)="","",
VLOOKUP($A672,YES_Reading_FLA[],COLUMN(YES_Reading_FLA[Self-Identified as Indigenous]),FALSE)),
IF($J$2="Combined",
IFERROR(
IF(VLOOKUP($A672, YES_Reading_ELA[], COLUMN(YES_Reading_ELA[Self-Identified as Indigenous]), FALSE)="", "",
VLOOKUP($A672,YES_Reading_ELA[],COLUMN(YES_Reading_ELA[Self-Identified as Indigenous]),FALSE)),
IF(VLOOKUP($A672, YES_Reading_FLA[], COLUMN(YES_Reading_FLA[Self-Identified as Indigenous]),FALSE)="", "", VLOOKUP($A672,YES_Reading_FLA[],COLUMN(YES_Reading_FLA[Self-Identified as Indigenous]),FALSE))),""))),"")</f>
        <v/>
      </c>
    </row>
    <row r="673" spans="1:12" ht="19.5" customHeight="1" x14ac:dyDescent="0.25">
      <c r="A673" s="217"/>
      <c r="B673" s="220" t="str">
        <f>IFERROR(VLOOKUP(A673,_xlfn.VSTACK(YES_Reading_ELA[],YES_Reading_FLA[]),2,FALSE),"")</f>
        <v/>
      </c>
      <c r="C673" s="203" t="str" cm="1">
        <f t="array" aca="1" ref="C673" ca="1">IFERROR(
IF($J$2="ELA",
IF(VLOOKUP($A673, YES_Reading_ELA[], COLUMN(IF(VLOOKUP($D$2, 'Reading Report Logic'!$A$2:$B$8, 2, FALSE)=1, YES_Reading_ELA[Reading Level June of Previous School Year], INDIRECT("YES_Reading_ELA[Instructional Reading Level - Per "&amp;(VLOOKUP($D$2,'Reading Report Logic'!$A$2:$B$8,2,FALSE)-1)&amp;"]"))), FALSE)="", "",
VLOOKUP($A673,YES_Reading_ELA[], COLUMN(IF(VLOOKUP($D$2,'Reading Report Logic'!$A$2:$B$8,2,FALSE)=1, YES_Reading_ELA[Reading Level June of Previous School Year],INDIRECT("YES_Reading_ELA[Instructional Reading Level - Per "&amp;(VLOOKUP($D$2,'Reading Report Logic'!$A$2:$B$8,2,FALSE)-1)&amp;"]"))), FALSE)),
IF($J$2="FLA",
IF(VLOOKUP($A673, YES_Reading_FLA[], COLUMN(IF(VLOOKUP($D$2,'Reading Report Logic'!$A$2:$B$8,2,FALSE)=1, YES_Reading_FLA[Reading Level June of Previous School Year],INDIRECT("YES_Reading_FLA[Instructional Reading Level - Per "&amp;(VLOOKUP($D$2,'Reading Report Logic'!$A$2:$B$8,2,FALSE)-1)&amp;"]"))),FALSE)="","",
VLOOKUP($A673,YES_Reading_FLA[], COLUMN(IF(VLOOKUP($D$2,'Reading Report Logic'!$A$2:$B$8,2,FALSE)=1, YES_Reading_FLA[Reading Level June of Previous School Year],INDIRECT("YES_Reading_FLA[Instructional Reading Level - Per "&amp;(VLOOKUP($D$2,'Reading Report Logic'!$A$2:$B$8,2,FALSE)-1)&amp;"]"))),FALSE)),
IF($J$2="Combined",
IFERROR(
IF(VLOOKUP($A673, YES_Reading_ELA[], COLUMN(IF(VLOOKUP($D$2,'Reading Report Logic'!$A$2:$B$8,2,FALSE)=1, YES_Reading_ELA[Reading Level June of Previous School Year],INDIRECT("YES_Reading_ELA[Instructional Reading Level - Per "&amp;(VLOOKUP($D$2,'Reading Report Logic'!$A$2:$B$8,2,FALSE)-1)&amp;"]"))), FALSE)="", "",
VLOOKUP($A673,YES_Reading_ELA[],COLUMN(IF(VLOOKUP($D$2,'Reading Report Logic'!$A$2:$B$8,2,FALSE)=1, YES_Reading_ELA[Reading Level June of Previous School Year],INDIRECT("YES_Reading_ELA[Instructional Reading Level - Per "&amp;(VLOOKUP($D$2,'Reading Report Logic'!$A$2:$B$8,2,FALSE)-1)&amp;"]"))),FALSE)),
IF(VLOOKUP($A673, YES_Reading_FLA[], COLUMN(IF(VLOOKUP($D$2,'Reading Report Logic'!$A$2:$B$8,2,FALSE)=1, YES_Reading_FLA[Reading Level June of Previous School Year],INDIRECT("YES_Reading_FLA[Instructional Reading Level - Per "&amp;(VLOOKUP($D$2,'Reading Report Logic'!$A$2:$B$8,2,FALSE)-1)&amp;"]"))),FALSE)="", "", VLOOKUP($A673,YES_Reading_FLA[],COLUMN(IF(VLOOKUP($D$2,'Reading Report Logic'!$A$2:$B$8,2,FALSE)=1, YES_Reading_FLA[Reading Level June of Previous School Year],INDIRECT("YES_Reading_FLA[Instructional Reading Level - Per "&amp;(VLOOKUP($D$2,'Reading Report Logic'!$A$2:$B$8,2,FALSE)-1)&amp;"]"))), FALSE))),""))),"")</f>
        <v/>
      </c>
      <c r="D673" s="204" t="str" cm="1">
        <f t="array" aca="1" ref="D673" ca="1">IFERROR(
IF($J$2="ELA",
IF(VLOOKUP($A673, YES_Reading_ELA[], COLUMN(INDIRECT("YES_Reading_ELA[Instructional Reading Level - Per "&amp;VLOOKUP($D$2, 'Reading Report Logic'!$A$2:$B$8, 2, FALSE)&amp;"]")), FALSE)="", "",
VLOOKUP($A673,YES_Reading_ELA[], COLUMN(INDIRECT("YES_Reading_ELA[Instructional Reading Level - Per "&amp;VLOOKUP($D$2,'Reading Report Logic'!$A$2:$B$8,2,FALSE)&amp;"]")), FALSE)),
IF($J$2="FLA",
IF(VLOOKUP($A673, YES_Reading_FLA[], COLUMN(INDIRECT("YES_Reading_FLA[Instructional Reading Level - Per "&amp;VLOOKUP($D$2,'Reading Report Logic'!$A$2:$B$8,2,FALSE)&amp;"]")),FALSE)="","",
VLOOKUP($A673,YES_Reading_FLA[],COLUMN(INDIRECT("YES_Reading_FLA[Instructional Reading Level - Per "&amp;VLOOKUP($D$2,'Reading Report Logic'!$A$2:$B$8,2,FALSE)&amp;"]")),FALSE)),
IF($J$2="Combined",
IFERROR(
IF(VLOOKUP($A673, YES_Reading_ELA[], COLUMN(INDIRECT("YES_Reading_ELA[Instructional Reading Level - Per "&amp;VLOOKUP($D$2, 'Reading Report Logic'!$A$2:$B$8,2,FALSE)&amp;"]")), FALSE)="", "",
VLOOKUP($A673,YES_Reading_ELA[],COLUMN(INDIRECT("YES_Reading_ELA[Instructional Reading Level - Per "&amp;VLOOKUP($D$2,'Reading Report Logic'!$A$2:$B$8,2,FALSE)&amp;"]")),FALSE)),
IF(VLOOKUP($A673, YES_Reading_FLA[], COLUMN(INDIRECT("YES_Reading_FLA[Instructional Reading Level - Per "&amp;VLOOKUP($D$2, 'Reading Report Logic'!$A$2:$B$8, 2, FALSE)&amp;"]")),FALSE)="", "", VLOOKUP($A673,YES_Reading_FLA[],COLUMN(INDIRECT("YES_Reading_FLA[Instructional Reading Level - Per "&amp;VLOOKUP($D$2, 'Reading Report Logic'!$A$2:$B$8, 2, FALSE)&amp;"]")),FALSE))),""))),"")</f>
        <v/>
      </c>
      <c r="E673" s="205" t="str" cm="1">
        <f t="array" aca="1" ref="E673" ca="1">IFERROR(
IF($J$2="ELA",
IF(VLOOKUP($A673, YES_Reading_ELA[], COLUMN(INDIRECT("YES_Reading_ELA[Min Expectation - Per "&amp;VLOOKUP($D$2, 'Reading Report Logic'!$A$2:$B$8, 2, FALSE)&amp;"]")), FALSE)="", "",
VLOOKUP($A673,YES_Reading_ELA[], COLUMN(INDIRECT("YES_Reading_ELA[Min Expectation - Per "&amp;VLOOKUP($D$2,'Reading Report Logic'!$A$2:$B$8,2,FALSE)&amp;"]")), FALSE)),
IF($J$2="FLA",
IF(VLOOKUP($A673, YES_Reading_FLA[], COLUMN(INDIRECT("YES_Reading_FLA[Min Expectation - Per "&amp;VLOOKUP($D$2,'Reading Report Logic'!$A$2:$B$8,2,FALSE)&amp;"]")),FALSE)="","",
VLOOKUP($A673,YES_Reading_FLA[],COLUMN(INDIRECT("YES_Reading_FLA[Min Expectation - Per "&amp;VLOOKUP($D$2,'Reading Report Logic'!$A$2:$B$8,2,FALSE)&amp;"]")),FALSE)),
IF($J$2="Combined",
IFERROR(
IF(VLOOKUP($A673, YES_Reading_ELA[], COLUMN(INDIRECT("YES_Reading_ELA[Min Expectation - Per "&amp;VLOOKUP($D$2, 'Reading Report Logic'!$A$2:$B$8,2,FALSE)&amp;"]")), FALSE)="", "",
VLOOKUP($A673,YES_Reading_ELA[],COLUMN(INDIRECT("YES_Reading_ELA[Min Expectation - Per "&amp;VLOOKUP($D$2,'Reading Report Logic'!$A$2:$B$8,2,FALSE)&amp;"]")),FALSE)),
IF(VLOOKUP($A673, YES_Reading_FLA[], COLUMN(INDIRECT("YES_Reading_FLA[Min Expectation - Per "&amp;VLOOKUP($D$2, 'Reading Report Logic'!$A$2:$B$8, 2, FALSE)&amp;"]")),FALSE)="", "", VLOOKUP($A673,YES_Reading_FLA[],COLUMN(INDIRECT("YES_Reading_FLA[Min Expectation - Per "&amp;VLOOKUP($D$2, 'Reading Report Logic'!$A$2:$B$8, 2, FALSE)&amp;"]")),FALSE))),""))),"")</f>
        <v/>
      </c>
      <c r="F673" s="205" t="str" cm="1">
        <f t="array" aca="1" ref="F673" ca="1">IFERROR(
IF($J$2="ELA",
IF(VLOOKUP($A673, YES_Reading_ELA[], COLUMN(INDIRECT("YES_Reading_ELA[Max Expectation - Per "&amp;VLOOKUP($D$2, 'Reading Report Logic'!$A$2:$B$8, 2, FALSE)&amp;"]")), FALSE)="", "",
VLOOKUP($A673,YES_Reading_ELA[], COLUMN(INDIRECT("YES_Reading_ELA[Max Expectation - Per "&amp;VLOOKUP($D$2,'Reading Report Logic'!$A$2:$B$8,2,FALSE)&amp;"]")), FALSE)),
IF($J$2="FLA",
IF(VLOOKUP($A673, YES_Reading_FLA[], COLUMN(INDIRECT("YES_Reading_FLA[Max Expectation - Per "&amp;VLOOKUP($D$2,'Reading Report Logic'!$A$2:$B$8,2,FALSE)&amp;"]")),FALSE)="","",
VLOOKUP($A673,YES_Reading_FLA[],COLUMN(INDIRECT("YES_Reading_FLA[Max Expectation - Per "&amp;VLOOKUP($D$2,'Reading Report Logic'!$A$2:$B$8,2,FALSE)&amp;"]")),FALSE)),
IF($J$2="Combined",
IFERROR(
IF(VLOOKUP($A673, YES_Reading_ELA[], COLUMN(INDIRECT("YES_Reading_ELA[Max Expectation - Per "&amp;VLOOKUP($D$2, 'Reading Report Logic'!$A$2:$B$8,2,FALSE)&amp;"]")), FALSE)="", "",
VLOOKUP($A673,YES_Reading_ELA[],COLUMN(INDIRECT("YES_Reading_ELA[Max Expectation - Per "&amp;VLOOKUP($D$2,'Reading Report Logic'!$A$2:$B$8,2,FALSE)&amp;"]")),FALSE)),
IF(VLOOKUP($A673, YES_Reading_FLA[], COLUMN(INDIRECT("YES_Reading_FLA[Max Expectation - Per "&amp;VLOOKUP($D$2, 'Reading Report Logic'!$A$2:$B$8, 2, FALSE)&amp;"]")),FALSE)="", "", VLOOKUP($A673,YES_Reading_FLA[],COLUMN(INDIRECT("YES_Reading_FLA[Max Expectation - Per "&amp;VLOOKUP($D$2, 'Reading Report Logic'!$A$2:$B$8, 2, FALSE)&amp;"]")),FALSE))),""))),"")</f>
        <v/>
      </c>
      <c r="G673" s="205" t="str" cm="1">
        <f t="array" aca="1" ref="G673" ca="1">IFERROR(
IF($J$2="ELA",
IF(VLOOKUP($A673, YES_Reading_ELA[], COLUMN(INDIRECT("YES_Reading_ELA[Difference - Per "&amp;VLOOKUP($D$2, 'Reading Report Logic'!$A$2:$B$8, 2, FALSE)&amp;"]")), FALSE)="", "",
VLOOKUP($A673,YES_Reading_ELA[], COLUMN(INDIRECT("YES_Reading_ELA[Difference - Per "&amp;VLOOKUP($D$2,'Reading Report Logic'!$A$2:$B$8,2,FALSE)&amp;"]")), FALSE)),
IF($J$2="FLA",
IF(VLOOKUP($A673, YES_Reading_FLA[], COLUMN(INDIRECT("YES_Reading_FLA[Difference - Per "&amp;VLOOKUP($D$2,'Reading Report Logic'!$A$2:$B$8,2,FALSE)&amp;"]")),FALSE)="","",
VLOOKUP($A673,YES_Reading_FLA[],COLUMN(INDIRECT("YES_Reading_FLA[Difference - Per "&amp;VLOOKUP($D$2,'Reading Report Logic'!$A$2:$B$8,2,FALSE)&amp;"]")),FALSE)),
IF($J$2="Combined",
IFERROR(
IF(VLOOKUP($A673, YES_Reading_ELA[], COLUMN(INDIRECT("YES_Reading_ELA[Difference - Per "&amp;VLOOKUP($D$2, 'Reading Report Logic'!$A$2:$B$8,2,FALSE)&amp;"]")), FALSE)="", "",
VLOOKUP($A673,YES_Reading_ELA[],COLUMN(INDIRECT("YES_Reading_ELA[Difference - Per "&amp;VLOOKUP($D$2,'Reading Report Logic'!$A$2:$B$8,2,FALSE)&amp;"]")),FALSE)),
IF(VLOOKUP($A673, YES_Reading_FLA[], COLUMN(INDIRECT("YES_Reading_FLA[Difference - Per "&amp;VLOOKUP($D$2, 'Reading Report Logic'!$A$2:$B$8, 2, FALSE)&amp;"]")),FALSE)="", "", VLOOKUP($A673,YES_Reading_FLA[],COLUMN(INDIRECT("YES_Reading_FLA[Difference - Per "&amp;VLOOKUP($D$2, 'Reading Report Logic'!$A$2:$B$8, 2, FALSE)&amp;"]")),FALSE))),""))),"")</f>
        <v/>
      </c>
      <c r="H673" s="206" t="str">
        <f ca="1">IFERROR(VLOOKUP('Teacher Reading Pull Sheets'!$D673,_xlfn.VSTACK('ELA Reading Logic'!$A$22:$B$48,'FLA Reading Logic'!$A$22:$B$53),2,FALSE)-VLOOKUP('Teacher Reading Pull Sheets'!$C673,_xlfn.VSTACK('ELA Reading Logic'!$A$22:$B$48,'FLA Reading Logic'!$A$22:$B$53),2,FALSE),"")</f>
        <v/>
      </c>
      <c r="I673" s="212"/>
      <c r="J673" s="206"/>
      <c r="K673" s="197" t="str" cm="1">
        <f t="array" ref="K673">IFERROR(
IF($J$2="ELA",
IF(VLOOKUP($A673, YES_Reading_ELA[], COLUMN(YES_Reading_ELA[Self-Identified as African Descent]), FALSE)="", "",
VLOOKUP($A673,YES_Reading_ELA[], COLUMN(YES_Reading_ELA[Self-Identified as African Descent]), FALSE)),
IF($J$2="FLA",
IF(VLOOKUP($A673, YES_Reading_FLA[], COLUMN(YES_Reading_FLA[Self-Identified as African Descent]),FALSE)="","",
VLOOKUP($A673,YES_Reading_FLA[],COLUMN(YES_Reading_FLA[Self-Identified as African Descent]),FALSE)),
IF($J$2="Combined",
IFERROR(
IF(VLOOKUP($A673, YES_Reading_ELA[], COLUMN(YES_Reading_ELA[Self-Identified as African Descent]), FALSE)="", "",
VLOOKUP($A673,YES_Reading_ELA[],COLUMN(YES_Reading_ELA[Self-Identified as African Descent]),FALSE)),
IF(VLOOKUP($A673, YES_Reading_FLA[], COLUMN(YES_Reading_FLA[Self-Identified as African Descent]),FALSE)="", "", VLOOKUP($A673,YES_Reading_FLA[],COLUMN(YES_Reading_FLA[Self-Identified as African Descent]),FALSE))),""))),"")</f>
        <v/>
      </c>
      <c r="L673" s="73" t="str" cm="1">
        <f t="array" ref="L673">IFERROR(
IF($J$2="ELA",
IF(VLOOKUP($A673, YES_Reading_ELA[], COLUMN(YES_Reading_ELA[Self-Identified as Indigenous]), FALSE)="", "",
VLOOKUP($A673,YES_Reading_ELA[], COLUMN(YES_Reading_ELA[Self-Identified as Indigenous]), FALSE)),
IF($J$2="FLA",
IF(VLOOKUP($A673, YES_Reading_FLA[], COLUMN(YES_Reading_FLA[Self-Identified as Indigenous]),FALSE)="","",
VLOOKUP($A673,YES_Reading_FLA[],COLUMN(YES_Reading_FLA[Self-Identified as Indigenous]),FALSE)),
IF($J$2="Combined",
IFERROR(
IF(VLOOKUP($A673, YES_Reading_ELA[], COLUMN(YES_Reading_ELA[Self-Identified as Indigenous]), FALSE)="", "",
VLOOKUP($A673,YES_Reading_ELA[],COLUMN(YES_Reading_ELA[Self-Identified as Indigenous]),FALSE)),
IF(VLOOKUP($A673, YES_Reading_FLA[], COLUMN(YES_Reading_FLA[Self-Identified as Indigenous]),FALSE)="", "", VLOOKUP($A673,YES_Reading_FLA[],COLUMN(YES_Reading_FLA[Self-Identified as Indigenous]),FALSE))),""))),"")</f>
        <v/>
      </c>
    </row>
    <row r="674" spans="1:12" ht="19.5" customHeight="1" x14ac:dyDescent="0.25">
      <c r="A674" s="217"/>
      <c r="B674" s="220" t="str">
        <f>IFERROR(VLOOKUP(A674,_xlfn.VSTACK(YES_Reading_ELA[],YES_Reading_FLA[]),2,FALSE),"")</f>
        <v/>
      </c>
      <c r="C674" s="203" t="str" cm="1">
        <f t="array" aca="1" ref="C674" ca="1">IFERROR(
IF($J$2="ELA",
IF(VLOOKUP($A674, YES_Reading_ELA[], COLUMN(IF(VLOOKUP($D$2, 'Reading Report Logic'!$A$2:$B$8, 2, FALSE)=1, YES_Reading_ELA[Reading Level June of Previous School Year], INDIRECT("YES_Reading_ELA[Instructional Reading Level - Per "&amp;(VLOOKUP($D$2,'Reading Report Logic'!$A$2:$B$8,2,FALSE)-1)&amp;"]"))), FALSE)="", "",
VLOOKUP($A674,YES_Reading_ELA[], COLUMN(IF(VLOOKUP($D$2,'Reading Report Logic'!$A$2:$B$8,2,FALSE)=1, YES_Reading_ELA[Reading Level June of Previous School Year],INDIRECT("YES_Reading_ELA[Instructional Reading Level - Per "&amp;(VLOOKUP($D$2,'Reading Report Logic'!$A$2:$B$8,2,FALSE)-1)&amp;"]"))), FALSE)),
IF($J$2="FLA",
IF(VLOOKUP($A674, YES_Reading_FLA[], COLUMN(IF(VLOOKUP($D$2,'Reading Report Logic'!$A$2:$B$8,2,FALSE)=1, YES_Reading_FLA[Reading Level June of Previous School Year],INDIRECT("YES_Reading_FLA[Instructional Reading Level - Per "&amp;(VLOOKUP($D$2,'Reading Report Logic'!$A$2:$B$8,2,FALSE)-1)&amp;"]"))),FALSE)="","",
VLOOKUP($A674,YES_Reading_FLA[], COLUMN(IF(VLOOKUP($D$2,'Reading Report Logic'!$A$2:$B$8,2,FALSE)=1, YES_Reading_FLA[Reading Level June of Previous School Year],INDIRECT("YES_Reading_FLA[Instructional Reading Level - Per "&amp;(VLOOKUP($D$2,'Reading Report Logic'!$A$2:$B$8,2,FALSE)-1)&amp;"]"))),FALSE)),
IF($J$2="Combined",
IFERROR(
IF(VLOOKUP($A674, YES_Reading_ELA[], COLUMN(IF(VLOOKUP($D$2,'Reading Report Logic'!$A$2:$B$8,2,FALSE)=1, YES_Reading_ELA[Reading Level June of Previous School Year],INDIRECT("YES_Reading_ELA[Instructional Reading Level - Per "&amp;(VLOOKUP($D$2,'Reading Report Logic'!$A$2:$B$8,2,FALSE)-1)&amp;"]"))), FALSE)="", "",
VLOOKUP($A674,YES_Reading_ELA[],COLUMN(IF(VLOOKUP($D$2,'Reading Report Logic'!$A$2:$B$8,2,FALSE)=1, YES_Reading_ELA[Reading Level June of Previous School Year],INDIRECT("YES_Reading_ELA[Instructional Reading Level - Per "&amp;(VLOOKUP($D$2,'Reading Report Logic'!$A$2:$B$8,2,FALSE)-1)&amp;"]"))),FALSE)),
IF(VLOOKUP($A674, YES_Reading_FLA[], COLUMN(IF(VLOOKUP($D$2,'Reading Report Logic'!$A$2:$B$8,2,FALSE)=1, YES_Reading_FLA[Reading Level June of Previous School Year],INDIRECT("YES_Reading_FLA[Instructional Reading Level - Per "&amp;(VLOOKUP($D$2,'Reading Report Logic'!$A$2:$B$8,2,FALSE)-1)&amp;"]"))),FALSE)="", "", VLOOKUP($A674,YES_Reading_FLA[],COLUMN(IF(VLOOKUP($D$2,'Reading Report Logic'!$A$2:$B$8,2,FALSE)=1, YES_Reading_FLA[Reading Level June of Previous School Year],INDIRECT("YES_Reading_FLA[Instructional Reading Level - Per "&amp;(VLOOKUP($D$2,'Reading Report Logic'!$A$2:$B$8,2,FALSE)-1)&amp;"]"))), FALSE))),""))),"")</f>
        <v/>
      </c>
      <c r="D674" s="204" t="str" cm="1">
        <f t="array" aca="1" ref="D674" ca="1">IFERROR(
IF($J$2="ELA",
IF(VLOOKUP($A674, YES_Reading_ELA[], COLUMN(INDIRECT("YES_Reading_ELA[Instructional Reading Level - Per "&amp;VLOOKUP($D$2, 'Reading Report Logic'!$A$2:$B$8, 2, FALSE)&amp;"]")), FALSE)="", "",
VLOOKUP($A674,YES_Reading_ELA[], COLUMN(INDIRECT("YES_Reading_ELA[Instructional Reading Level - Per "&amp;VLOOKUP($D$2,'Reading Report Logic'!$A$2:$B$8,2,FALSE)&amp;"]")), FALSE)),
IF($J$2="FLA",
IF(VLOOKUP($A674, YES_Reading_FLA[], COLUMN(INDIRECT("YES_Reading_FLA[Instructional Reading Level - Per "&amp;VLOOKUP($D$2,'Reading Report Logic'!$A$2:$B$8,2,FALSE)&amp;"]")),FALSE)="","",
VLOOKUP($A674,YES_Reading_FLA[],COLUMN(INDIRECT("YES_Reading_FLA[Instructional Reading Level - Per "&amp;VLOOKUP($D$2,'Reading Report Logic'!$A$2:$B$8,2,FALSE)&amp;"]")),FALSE)),
IF($J$2="Combined",
IFERROR(
IF(VLOOKUP($A674, YES_Reading_ELA[], COLUMN(INDIRECT("YES_Reading_ELA[Instructional Reading Level - Per "&amp;VLOOKUP($D$2, 'Reading Report Logic'!$A$2:$B$8,2,FALSE)&amp;"]")), FALSE)="", "",
VLOOKUP($A674,YES_Reading_ELA[],COLUMN(INDIRECT("YES_Reading_ELA[Instructional Reading Level - Per "&amp;VLOOKUP($D$2,'Reading Report Logic'!$A$2:$B$8,2,FALSE)&amp;"]")),FALSE)),
IF(VLOOKUP($A674, YES_Reading_FLA[], COLUMN(INDIRECT("YES_Reading_FLA[Instructional Reading Level - Per "&amp;VLOOKUP($D$2, 'Reading Report Logic'!$A$2:$B$8, 2, FALSE)&amp;"]")),FALSE)="", "", VLOOKUP($A674,YES_Reading_FLA[],COLUMN(INDIRECT("YES_Reading_FLA[Instructional Reading Level - Per "&amp;VLOOKUP($D$2, 'Reading Report Logic'!$A$2:$B$8, 2, FALSE)&amp;"]")),FALSE))),""))),"")</f>
        <v/>
      </c>
      <c r="E674" s="205" t="str" cm="1">
        <f t="array" aca="1" ref="E674" ca="1">IFERROR(
IF($J$2="ELA",
IF(VLOOKUP($A674, YES_Reading_ELA[], COLUMN(INDIRECT("YES_Reading_ELA[Min Expectation - Per "&amp;VLOOKUP($D$2, 'Reading Report Logic'!$A$2:$B$8, 2, FALSE)&amp;"]")), FALSE)="", "",
VLOOKUP($A674,YES_Reading_ELA[], COLUMN(INDIRECT("YES_Reading_ELA[Min Expectation - Per "&amp;VLOOKUP($D$2,'Reading Report Logic'!$A$2:$B$8,2,FALSE)&amp;"]")), FALSE)),
IF($J$2="FLA",
IF(VLOOKUP($A674, YES_Reading_FLA[], COLUMN(INDIRECT("YES_Reading_FLA[Min Expectation - Per "&amp;VLOOKUP($D$2,'Reading Report Logic'!$A$2:$B$8,2,FALSE)&amp;"]")),FALSE)="","",
VLOOKUP($A674,YES_Reading_FLA[],COLUMN(INDIRECT("YES_Reading_FLA[Min Expectation - Per "&amp;VLOOKUP($D$2,'Reading Report Logic'!$A$2:$B$8,2,FALSE)&amp;"]")),FALSE)),
IF($J$2="Combined",
IFERROR(
IF(VLOOKUP($A674, YES_Reading_ELA[], COLUMN(INDIRECT("YES_Reading_ELA[Min Expectation - Per "&amp;VLOOKUP($D$2, 'Reading Report Logic'!$A$2:$B$8,2,FALSE)&amp;"]")), FALSE)="", "",
VLOOKUP($A674,YES_Reading_ELA[],COLUMN(INDIRECT("YES_Reading_ELA[Min Expectation - Per "&amp;VLOOKUP($D$2,'Reading Report Logic'!$A$2:$B$8,2,FALSE)&amp;"]")),FALSE)),
IF(VLOOKUP($A674, YES_Reading_FLA[], COLUMN(INDIRECT("YES_Reading_FLA[Min Expectation - Per "&amp;VLOOKUP($D$2, 'Reading Report Logic'!$A$2:$B$8, 2, FALSE)&amp;"]")),FALSE)="", "", VLOOKUP($A674,YES_Reading_FLA[],COLUMN(INDIRECT("YES_Reading_FLA[Min Expectation - Per "&amp;VLOOKUP($D$2, 'Reading Report Logic'!$A$2:$B$8, 2, FALSE)&amp;"]")),FALSE))),""))),"")</f>
        <v/>
      </c>
      <c r="F674" s="205" t="str" cm="1">
        <f t="array" aca="1" ref="F674" ca="1">IFERROR(
IF($J$2="ELA",
IF(VLOOKUP($A674, YES_Reading_ELA[], COLUMN(INDIRECT("YES_Reading_ELA[Max Expectation - Per "&amp;VLOOKUP($D$2, 'Reading Report Logic'!$A$2:$B$8, 2, FALSE)&amp;"]")), FALSE)="", "",
VLOOKUP($A674,YES_Reading_ELA[], COLUMN(INDIRECT("YES_Reading_ELA[Max Expectation - Per "&amp;VLOOKUP($D$2,'Reading Report Logic'!$A$2:$B$8,2,FALSE)&amp;"]")), FALSE)),
IF($J$2="FLA",
IF(VLOOKUP($A674, YES_Reading_FLA[], COLUMN(INDIRECT("YES_Reading_FLA[Max Expectation - Per "&amp;VLOOKUP($D$2,'Reading Report Logic'!$A$2:$B$8,2,FALSE)&amp;"]")),FALSE)="","",
VLOOKUP($A674,YES_Reading_FLA[],COLUMN(INDIRECT("YES_Reading_FLA[Max Expectation - Per "&amp;VLOOKUP($D$2,'Reading Report Logic'!$A$2:$B$8,2,FALSE)&amp;"]")),FALSE)),
IF($J$2="Combined",
IFERROR(
IF(VLOOKUP($A674, YES_Reading_ELA[], COLUMN(INDIRECT("YES_Reading_ELA[Max Expectation - Per "&amp;VLOOKUP($D$2, 'Reading Report Logic'!$A$2:$B$8,2,FALSE)&amp;"]")), FALSE)="", "",
VLOOKUP($A674,YES_Reading_ELA[],COLUMN(INDIRECT("YES_Reading_ELA[Max Expectation - Per "&amp;VLOOKUP($D$2,'Reading Report Logic'!$A$2:$B$8,2,FALSE)&amp;"]")),FALSE)),
IF(VLOOKUP($A674, YES_Reading_FLA[], COLUMN(INDIRECT("YES_Reading_FLA[Max Expectation - Per "&amp;VLOOKUP($D$2, 'Reading Report Logic'!$A$2:$B$8, 2, FALSE)&amp;"]")),FALSE)="", "", VLOOKUP($A674,YES_Reading_FLA[],COLUMN(INDIRECT("YES_Reading_FLA[Max Expectation - Per "&amp;VLOOKUP($D$2, 'Reading Report Logic'!$A$2:$B$8, 2, FALSE)&amp;"]")),FALSE))),""))),"")</f>
        <v/>
      </c>
      <c r="G674" s="205" t="str" cm="1">
        <f t="array" aca="1" ref="G674" ca="1">IFERROR(
IF($J$2="ELA",
IF(VLOOKUP($A674, YES_Reading_ELA[], COLUMN(INDIRECT("YES_Reading_ELA[Difference - Per "&amp;VLOOKUP($D$2, 'Reading Report Logic'!$A$2:$B$8, 2, FALSE)&amp;"]")), FALSE)="", "",
VLOOKUP($A674,YES_Reading_ELA[], COLUMN(INDIRECT("YES_Reading_ELA[Difference - Per "&amp;VLOOKUP($D$2,'Reading Report Logic'!$A$2:$B$8,2,FALSE)&amp;"]")), FALSE)),
IF($J$2="FLA",
IF(VLOOKUP($A674, YES_Reading_FLA[], COLUMN(INDIRECT("YES_Reading_FLA[Difference - Per "&amp;VLOOKUP($D$2,'Reading Report Logic'!$A$2:$B$8,2,FALSE)&amp;"]")),FALSE)="","",
VLOOKUP($A674,YES_Reading_FLA[],COLUMN(INDIRECT("YES_Reading_FLA[Difference - Per "&amp;VLOOKUP($D$2,'Reading Report Logic'!$A$2:$B$8,2,FALSE)&amp;"]")),FALSE)),
IF($J$2="Combined",
IFERROR(
IF(VLOOKUP($A674, YES_Reading_ELA[], COLUMN(INDIRECT("YES_Reading_ELA[Difference - Per "&amp;VLOOKUP($D$2, 'Reading Report Logic'!$A$2:$B$8,2,FALSE)&amp;"]")), FALSE)="", "",
VLOOKUP($A674,YES_Reading_ELA[],COLUMN(INDIRECT("YES_Reading_ELA[Difference - Per "&amp;VLOOKUP($D$2,'Reading Report Logic'!$A$2:$B$8,2,FALSE)&amp;"]")),FALSE)),
IF(VLOOKUP($A674, YES_Reading_FLA[], COLUMN(INDIRECT("YES_Reading_FLA[Difference - Per "&amp;VLOOKUP($D$2, 'Reading Report Logic'!$A$2:$B$8, 2, FALSE)&amp;"]")),FALSE)="", "", VLOOKUP($A674,YES_Reading_FLA[],COLUMN(INDIRECT("YES_Reading_FLA[Difference - Per "&amp;VLOOKUP($D$2, 'Reading Report Logic'!$A$2:$B$8, 2, FALSE)&amp;"]")),FALSE))),""))),"")</f>
        <v/>
      </c>
      <c r="H674" s="206" t="str">
        <f ca="1">IFERROR(VLOOKUP('Teacher Reading Pull Sheets'!$D674,_xlfn.VSTACK('ELA Reading Logic'!$A$22:$B$48,'FLA Reading Logic'!$A$22:$B$53),2,FALSE)-VLOOKUP('Teacher Reading Pull Sheets'!$C674,_xlfn.VSTACK('ELA Reading Logic'!$A$22:$B$48,'FLA Reading Logic'!$A$22:$B$53),2,FALSE),"")</f>
        <v/>
      </c>
      <c r="I674" s="212"/>
      <c r="J674" s="206"/>
      <c r="K674" s="197" t="str" cm="1">
        <f t="array" ref="K674">IFERROR(
IF($J$2="ELA",
IF(VLOOKUP($A674, YES_Reading_ELA[], COLUMN(YES_Reading_ELA[Self-Identified as African Descent]), FALSE)="", "",
VLOOKUP($A674,YES_Reading_ELA[], COLUMN(YES_Reading_ELA[Self-Identified as African Descent]), FALSE)),
IF($J$2="FLA",
IF(VLOOKUP($A674, YES_Reading_FLA[], COLUMN(YES_Reading_FLA[Self-Identified as African Descent]),FALSE)="","",
VLOOKUP($A674,YES_Reading_FLA[],COLUMN(YES_Reading_FLA[Self-Identified as African Descent]),FALSE)),
IF($J$2="Combined",
IFERROR(
IF(VLOOKUP($A674, YES_Reading_ELA[], COLUMN(YES_Reading_ELA[Self-Identified as African Descent]), FALSE)="", "",
VLOOKUP($A674,YES_Reading_ELA[],COLUMN(YES_Reading_ELA[Self-Identified as African Descent]),FALSE)),
IF(VLOOKUP($A674, YES_Reading_FLA[], COLUMN(YES_Reading_FLA[Self-Identified as African Descent]),FALSE)="", "", VLOOKUP($A674,YES_Reading_FLA[],COLUMN(YES_Reading_FLA[Self-Identified as African Descent]),FALSE))),""))),"")</f>
        <v/>
      </c>
      <c r="L674" s="73" t="str" cm="1">
        <f t="array" ref="L674">IFERROR(
IF($J$2="ELA",
IF(VLOOKUP($A674, YES_Reading_ELA[], COLUMN(YES_Reading_ELA[Self-Identified as Indigenous]), FALSE)="", "",
VLOOKUP($A674,YES_Reading_ELA[], COLUMN(YES_Reading_ELA[Self-Identified as Indigenous]), FALSE)),
IF($J$2="FLA",
IF(VLOOKUP($A674, YES_Reading_FLA[], COLUMN(YES_Reading_FLA[Self-Identified as Indigenous]),FALSE)="","",
VLOOKUP($A674,YES_Reading_FLA[],COLUMN(YES_Reading_FLA[Self-Identified as Indigenous]),FALSE)),
IF($J$2="Combined",
IFERROR(
IF(VLOOKUP($A674, YES_Reading_ELA[], COLUMN(YES_Reading_ELA[Self-Identified as Indigenous]), FALSE)="", "",
VLOOKUP($A674,YES_Reading_ELA[],COLUMN(YES_Reading_ELA[Self-Identified as Indigenous]),FALSE)),
IF(VLOOKUP($A674, YES_Reading_FLA[], COLUMN(YES_Reading_FLA[Self-Identified as Indigenous]),FALSE)="", "", VLOOKUP($A674,YES_Reading_FLA[],COLUMN(YES_Reading_FLA[Self-Identified as Indigenous]),FALSE))),""))),"")</f>
        <v/>
      </c>
    </row>
    <row r="675" spans="1:12" ht="19.5" customHeight="1" x14ac:dyDescent="0.25">
      <c r="A675" s="217"/>
      <c r="B675" s="220" t="str">
        <f>IFERROR(VLOOKUP(A675,_xlfn.VSTACK(YES_Reading_ELA[],YES_Reading_FLA[]),2,FALSE),"")</f>
        <v/>
      </c>
      <c r="C675" s="203" t="str" cm="1">
        <f t="array" aca="1" ref="C675" ca="1">IFERROR(
IF($J$2="ELA",
IF(VLOOKUP($A675, YES_Reading_ELA[], COLUMN(IF(VLOOKUP($D$2, 'Reading Report Logic'!$A$2:$B$8, 2, FALSE)=1, YES_Reading_ELA[Reading Level June of Previous School Year], INDIRECT("YES_Reading_ELA[Instructional Reading Level - Per "&amp;(VLOOKUP($D$2,'Reading Report Logic'!$A$2:$B$8,2,FALSE)-1)&amp;"]"))), FALSE)="", "",
VLOOKUP($A675,YES_Reading_ELA[], COLUMN(IF(VLOOKUP($D$2,'Reading Report Logic'!$A$2:$B$8,2,FALSE)=1, YES_Reading_ELA[Reading Level June of Previous School Year],INDIRECT("YES_Reading_ELA[Instructional Reading Level - Per "&amp;(VLOOKUP($D$2,'Reading Report Logic'!$A$2:$B$8,2,FALSE)-1)&amp;"]"))), FALSE)),
IF($J$2="FLA",
IF(VLOOKUP($A675, YES_Reading_FLA[], COLUMN(IF(VLOOKUP($D$2,'Reading Report Logic'!$A$2:$B$8,2,FALSE)=1, YES_Reading_FLA[Reading Level June of Previous School Year],INDIRECT("YES_Reading_FLA[Instructional Reading Level - Per "&amp;(VLOOKUP($D$2,'Reading Report Logic'!$A$2:$B$8,2,FALSE)-1)&amp;"]"))),FALSE)="","",
VLOOKUP($A675,YES_Reading_FLA[], COLUMN(IF(VLOOKUP($D$2,'Reading Report Logic'!$A$2:$B$8,2,FALSE)=1, YES_Reading_FLA[Reading Level June of Previous School Year],INDIRECT("YES_Reading_FLA[Instructional Reading Level - Per "&amp;(VLOOKUP($D$2,'Reading Report Logic'!$A$2:$B$8,2,FALSE)-1)&amp;"]"))),FALSE)),
IF($J$2="Combined",
IFERROR(
IF(VLOOKUP($A675, YES_Reading_ELA[], COLUMN(IF(VLOOKUP($D$2,'Reading Report Logic'!$A$2:$B$8,2,FALSE)=1, YES_Reading_ELA[Reading Level June of Previous School Year],INDIRECT("YES_Reading_ELA[Instructional Reading Level - Per "&amp;(VLOOKUP($D$2,'Reading Report Logic'!$A$2:$B$8,2,FALSE)-1)&amp;"]"))), FALSE)="", "",
VLOOKUP($A675,YES_Reading_ELA[],COLUMN(IF(VLOOKUP($D$2,'Reading Report Logic'!$A$2:$B$8,2,FALSE)=1, YES_Reading_ELA[Reading Level June of Previous School Year],INDIRECT("YES_Reading_ELA[Instructional Reading Level - Per "&amp;(VLOOKUP($D$2,'Reading Report Logic'!$A$2:$B$8,2,FALSE)-1)&amp;"]"))),FALSE)),
IF(VLOOKUP($A675, YES_Reading_FLA[], COLUMN(IF(VLOOKUP($D$2,'Reading Report Logic'!$A$2:$B$8,2,FALSE)=1, YES_Reading_FLA[Reading Level June of Previous School Year],INDIRECT("YES_Reading_FLA[Instructional Reading Level - Per "&amp;(VLOOKUP($D$2,'Reading Report Logic'!$A$2:$B$8,2,FALSE)-1)&amp;"]"))),FALSE)="", "", VLOOKUP($A675,YES_Reading_FLA[],COLUMN(IF(VLOOKUP($D$2,'Reading Report Logic'!$A$2:$B$8,2,FALSE)=1, YES_Reading_FLA[Reading Level June of Previous School Year],INDIRECT("YES_Reading_FLA[Instructional Reading Level - Per "&amp;(VLOOKUP($D$2,'Reading Report Logic'!$A$2:$B$8,2,FALSE)-1)&amp;"]"))), FALSE))),""))),"")</f>
        <v/>
      </c>
      <c r="D675" s="204" t="str" cm="1">
        <f t="array" aca="1" ref="D675" ca="1">IFERROR(
IF($J$2="ELA",
IF(VLOOKUP($A675, YES_Reading_ELA[], COLUMN(INDIRECT("YES_Reading_ELA[Instructional Reading Level - Per "&amp;VLOOKUP($D$2, 'Reading Report Logic'!$A$2:$B$8, 2, FALSE)&amp;"]")), FALSE)="", "",
VLOOKUP($A675,YES_Reading_ELA[], COLUMN(INDIRECT("YES_Reading_ELA[Instructional Reading Level - Per "&amp;VLOOKUP($D$2,'Reading Report Logic'!$A$2:$B$8,2,FALSE)&amp;"]")), FALSE)),
IF($J$2="FLA",
IF(VLOOKUP($A675, YES_Reading_FLA[], COLUMN(INDIRECT("YES_Reading_FLA[Instructional Reading Level - Per "&amp;VLOOKUP($D$2,'Reading Report Logic'!$A$2:$B$8,2,FALSE)&amp;"]")),FALSE)="","",
VLOOKUP($A675,YES_Reading_FLA[],COLUMN(INDIRECT("YES_Reading_FLA[Instructional Reading Level - Per "&amp;VLOOKUP($D$2,'Reading Report Logic'!$A$2:$B$8,2,FALSE)&amp;"]")),FALSE)),
IF($J$2="Combined",
IFERROR(
IF(VLOOKUP($A675, YES_Reading_ELA[], COLUMN(INDIRECT("YES_Reading_ELA[Instructional Reading Level - Per "&amp;VLOOKUP($D$2, 'Reading Report Logic'!$A$2:$B$8,2,FALSE)&amp;"]")), FALSE)="", "",
VLOOKUP($A675,YES_Reading_ELA[],COLUMN(INDIRECT("YES_Reading_ELA[Instructional Reading Level - Per "&amp;VLOOKUP($D$2,'Reading Report Logic'!$A$2:$B$8,2,FALSE)&amp;"]")),FALSE)),
IF(VLOOKUP($A675, YES_Reading_FLA[], COLUMN(INDIRECT("YES_Reading_FLA[Instructional Reading Level - Per "&amp;VLOOKUP($D$2, 'Reading Report Logic'!$A$2:$B$8, 2, FALSE)&amp;"]")),FALSE)="", "", VLOOKUP($A675,YES_Reading_FLA[],COLUMN(INDIRECT("YES_Reading_FLA[Instructional Reading Level - Per "&amp;VLOOKUP($D$2, 'Reading Report Logic'!$A$2:$B$8, 2, FALSE)&amp;"]")),FALSE))),""))),"")</f>
        <v/>
      </c>
      <c r="E675" s="205" t="str" cm="1">
        <f t="array" aca="1" ref="E675" ca="1">IFERROR(
IF($J$2="ELA",
IF(VLOOKUP($A675, YES_Reading_ELA[], COLUMN(INDIRECT("YES_Reading_ELA[Min Expectation - Per "&amp;VLOOKUP($D$2, 'Reading Report Logic'!$A$2:$B$8, 2, FALSE)&amp;"]")), FALSE)="", "",
VLOOKUP($A675,YES_Reading_ELA[], COLUMN(INDIRECT("YES_Reading_ELA[Min Expectation - Per "&amp;VLOOKUP($D$2,'Reading Report Logic'!$A$2:$B$8,2,FALSE)&amp;"]")), FALSE)),
IF($J$2="FLA",
IF(VLOOKUP($A675, YES_Reading_FLA[], COLUMN(INDIRECT("YES_Reading_FLA[Min Expectation - Per "&amp;VLOOKUP($D$2,'Reading Report Logic'!$A$2:$B$8,2,FALSE)&amp;"]")),FALSE)="","",
VLOOKUP($A675,YES_Reading_FLA[],COLUMN(INDIRECT("YES_Reading_FLA[Min Expectation - Per "&amp;VLOOKUP($D$2,'Reading Report Logic'!$A$2:$B$8,2,FALSE)&amp;"]")),FALSE)),
IF($J$2="Combined",
IFERROR(
IF(VLOOKUP($A675, YES_Reading_ELA[], COLUMN(INDIRECT("YES_Reading_ELA[Min Expectation - Per "&amp;VLOOKUP($D$2, 'Reading Report Logic'!$A$2:$B$8,2,FALSE)&amp;"]")), FALSE)="", "",
VLOOKUP($A675,YES_Reading_ELA[],COLUMN(INDIRECT("YES_Reading_ELA[Min Expectation - Per "&amp;VLOOKUP($D$2,'Reading Report Logic'!$A$2:$B$8,2,FALSE)&amp;"]")),FALSE)),
IF(VLOOKUP($A675, YES_Reading_FLA[], COLUMN(INDIRECT("YES_Reading_FLA[Min Expectation - Per "&amp;VLOOKUP($D$2, 'Reading Report Logic'!$A$2:$B$8, 2, FALSE)&amp;"]")),FALSE)="", "", VLOOKUP($A675,YES_Reading_FLA[],COLUMN(INDIRECT("YES_Reading_FLA[Min Expectation - Per "&amp;VLOOKUP($D$2, 'Reading Report Logic'!$A$2:$B$8, 2, FALSE)&amp;"]")),FALSE))),""))),"")</f>
        <v/>
      </c>
      <c r="F675" s="205" t="str" cm="1">
        <f t="array" aca="1" ref="F675" ca="1">IFERROR(
IF($J$2="ELA",
IF(VLOOKUP($A675, YES_Reading_ELA[], COLUMN(INDIRECT("YES_Reading_ELA[Max Expectation - Per "&amp;VLOOKUP($D$2, 'Reading Report Logic'!$A$2:$B$8, 2, FALSE)&amp;"]")), FALSE)="", "",
VLOOKUP($A675,YES_Reading_ELA[], COLUMN(INDIRECT("YES_Reading_ELA[Max Expectation - Per "&amp;VLOOKUP($D$2,'Reading Report Logic'!$A$2:$B$8,2,FALSE)&amp;"]")), FALSE)),
IF($J$2="FLA",
IF(VLOOKUP($A675, YES_Reading_FLA[], COLUMN(INDIRECT("YES_Reading_FLA[Max Expectation - Per "&amp;VLOOKUP($D$2,'Reading Report Logic'!$A$2:$B$8,2,FALSE)&amp;"]")),FALSE)="","",
VLOOKUP($A675,YES_Reading_FLA[],COLUMN(INDIRECT("YES_Reading_FLA[Max Expectation - Per "&amp;VLOOKUP($D$2,'Reading Report Logic'!$A$2:$B$8,2,FALSE)&amp;"]")),FALSE)),
IF($J$2="Combined",
IFERROR(
IF(VLOOKUP($A675, YES_Reading_ELA[], COLUMN(INDIRECT("YES_Reading_ELA[Max Expectation - Per "&amp;VLOOKUP($D$2, 'Reading Report Logic'!$A$2:$B$8,2,FALSE)&amp;"]")), FALSE)="", "",
VLOOKUP($A675,YES_Reading_ELA[],COLUMN(INDIRECT("YES_Reading_ELA[Max Expectation - Per "&amp;VLOOKUP($D$2,'Reading Report Logic'!$A$2:$B$8,2,FALSE)&amp;"]")),FALSE)),
IF(VLOOKUP($A675, YES_Reading_FLA[], COLUMN(INDIRECT("YES_Reading_FLA[Max Expectation - Per "&amp;VLOOKUP($D$2, 'Reading Report Logic'!$A$2:$B$8, 2, FALSE)&amp;"]")),FALSE)="", "", VLOOKUP($A675,YES_Reading_FLA[],COLUMN(INDIRECT("YES_Reading_FLA[Max Expectation - Per "&amp;VLOOKUP($D$2, 'Reading Report Logic'!$A$2:$B$8, 2, FALSE)&amp;"]")),FALSE))),""))),"")</f>
        <v/>
      </c>
      <c r="G675" s="205" t="str" cm="1">
        <f t="array" aca="1" ref="G675" ca="1">IFERROR(
IF($J$2="ELA",
IF(VLOOKUP($A675, YES_Reading_ELA[], COLUMN(INDIRECT("YES_Reading_ELA[Difference - Per "&amp;VLOOKUP($D$2, 'Reading Report Logic'!$A$2:$B$8, 2, FALSE)&amp;"]")), FALSE)="", "",
VLOOKUP($A675,YES_Reading_ELA[], COLUMN(INDIRECT("YES_Reading_ELA[Difference - Per "&amp;VLOOKUP($D$2,'Reading Report Logic'!$A$2:$B$8,2,FALSE)&amp;"]")), FALSE)),
IF($J$2="FLA",
IF(VLOOKUP($A675, YES_Reading_FLA[], COLUMN(INDIRECT("YES_Reading_FLA[Difference - Per "&amp;VLOOKUP($D$2,'Reading Report Logic'!$A$2:$B$8,2,FALSE)&amp;"]")),FALSE)="","",
VLOOKUP($A675,YES_Reading_FLA[],COLUMN(INDIRECT("YES_Reading_FLA[Difference - Per "&amp;VLOOKUP($D$2,'Reading Report Logic'!$A$2:$B$8,2,FALSE)&amp;"]")),FALSE)),
IF($J$2="Combined",
IFERROR(
IF(VLOOKUP($A675, YES_Reading_ELA[], COLUMN(INDIRECT("YES_Reading_ELA[Difference - Per "&amp;VLOOKUP($D$2, 'Reading Report Logic'!$A$2:$B$8,2,FALSE)&amp;"]")), FALSE)="", "",
VLOOKUP($A675,YES_Reading_ELA[],COLUMN(INDIRECT("YES_Reading_ELA[Difference - Per "&amp;VLOOKUP($D$2,'Reading Report Logic'!$A$2:$B$8,2,FALSE)&amp;"]")),FALSE)),
IF(VLOOKUP($A675, YES_Reading_FLA[], COLUMN(INDIRECT("YES_Reading_FLA[Difference - Per "&amp;VLOOKUP($D$2, 'Reading Report Logic'!$A$2:$B$8, 2, FALSE)&amp;"]")),FALSE)="", "", VLOOKUP($A675,YES_Reading_FLA[],COLUMN(INDIRECT("YES_Reading_FLA[Difference - Per "&amp;VLOOKUP($D$2, 'Reading Report Logic'!$A$2:$B$8, 2, FALSE)&amp;"]")),FALSE))),""))),"")</f>
        <v/>
      </c>
      <c r="H675" s="206" t="str">
        <f ca="1">IFERROR(VLOOKUP('Teacher Reading Pull Sheets'!$D675,_xlfn.VSTACK('ELA Reading Logic'!$A$22:$B$48,'FLA Reading Logic'!$A$22:$B$53),2,FALSE)-VLOOKUP('Teacher Reading Pull Sheets'!$C675,_xlfn.VSTACK('ELA Reading Logic'!$A$22:$B$48,'FLA Reading Logic'!$A$22:$B$53),2,FALSE),"")</f>
        <v/>
      </c>
      <c r="I675" s="212"/>
      <c r="J675" s="206"/>
      <c r="K675" s="197" t="str" cm="1">
        <f t="array" ref="K675">IFERROR(
IF($J$2="ELA",
IF(VLOOKUP($A675, YES_Reading_ELA[], COLUMN(YES_Reading_ELA[Self-Identified as African Descent]), FALSE)="", "",
VLOOKUP($A675,YES_Reading_ELA[], COLUMN(YES_Reading_ELA[Self-Identified as African Descent]), FALSE)),
IF($J$2="FLA",
IF(VLOOKUP($A675, YES_Reading_FLA[], COLUMN(YES_Reading_FLA[Self-Identified as African Descent]),FALSE)="","",
VLOOKUP($A675,YES_Reading_FLA[],COLUMN(YES_Reading_FLA[Self-Identified as African Descent]),FALSE)),
IF($J$2="Combined",
IFERROR(
IF(VLOOKUP($A675, YES_Reading_ELA[], COLUMN(YES_Reading_ELA[Self-Identified as African Descent]), FALSE)="", "",
VLOOKUP($A675,YES_Reading_ELA[],COLUMN(YES_Reading_ELA[Self-Identified as African Descent]),FALSE)),
IF(VLOOKUP($A675, YES_Reading_FLA[], COLUMN(YES_Reading_FLA[Self-Identified as African Descent]),FALSE)="", "", VLOOKUP($A675,YES_Reading_FLA[],COLUMN(YES_Reading_FLA[Self-Identified as African Descent]),FALSE))),""))),"")</f>
        <v/>
      </c>
      <c r="L675" s="73" t="str" cm="1">
        <f t="array" ref="L675">IFERROR(
IF($J$2="ELA",
IF(VLOOKUP($A675, YES_Reading_ELA[], COLUMN(YES_Reading_ELA[Self-Identified as Indigenous]), FALSE)="", "",
VLOOKUP($A675,YES_Reading_ELA[], COLUMN(YES_Reading_ELA[Self-Identified as Indigenous]), FALSE)),
IF($J$2="FLA",
IF(VLOOKUP($A675, YES_Reading_FLA[], COLUMN(YES_Reading_FLA[Self-Identified as Indigenous]),FALSE)="","",
VLOOKUP($A675,YES_Reading_FLA[],COLUMN(YES_Reading_FLA[Self-Identified as Indigenous]),FALSE)),
IF($J$2="Combined",
IFERROR(
IF(VLOOKUP($A675, YES_Reading_ELA[], COLUMN(YES_Reading_ELA[Self-Identified as Indigenous]), FALSE)="", "",
VLOOKUP($A675,YES_Reading_ELA[],COLUMN(YES_Reading_ELA[Self-Identified as Indigenous]),FALSE)),
IF(VLOOKUP($A675, YES_Reading_FLA[], COLUMN(YES_Reading_FLA[Self-Identified as Indigenous]),FALSE)="", "", VLOOKUP($A675,YES_Reading_FLA[],COLUMN(YES_Reading_FLA[Self-Identified as Indigenous]),FALSE))),""))),"")</f>
        <v/>
      </c>
    </row>
    <row r="676" spans="1:12" ht="19.5" customHeight="1" x14ac:dyDescent="0.25">
      <c r="A676" s="217"/>
      <c r="B676" s="220" t="str">
        <f>IFERROR(VLOOKUP(A676,_xlfn.VSTACK(YES_Reading_ELA[],YES_Reading_FLA[]),2,FALSE),"")</f>
        <v/>
      </c>
      <c r="C676" s="203" t="str" cm="1">
        <f t="array" aca="1" ref="C676" ca="1">IFERROR(
IF($J$2="ELA",
IF(VLOOKUP($A676, YES_Reading_ELA[], COLUMN(IF(VLOOKUP($D$2, 'Reading Report Logic'!$A$2:$B$8, 2, FALSE)=1, YES_Reading_ELA[Reading Level June of Previous School Year], INDIRECT("YES_Reading_ELA[Instructional Reading Level - Per "&amp;(VLOOKUP($D$2,'Reading Report Logic'!$A$2:$B$8,2,FALSE)-1)&amp;"]"))), FALSE)="", "",
VLOOKUP($A676,YES_Reading_ELA[], COLUMN(IF(VLOOKUP($D$2,'Reading Report Logic'!$A$2:$B$8,2,FALSE)=1, YES_Reading_ELA[Reading Level June of Previous School Year],INDIRECT("YES_Reading_ELA[Instructional Reading Level - Per "&amp;(VLOOKUP($D$2,'Reading Report Logic'!$A$2:$B$8,2,FALSE)-1)&amp;"]"))), FALSE)),
IF($J$2="FLA",
IF(VLOOKUP($A676, YES_Reading_FLA[], COLUMN(IF(VLOOKUP($D$2,'Reading Report Logic'!$A$2:$B$8,2,FALSE)=1, YES_Reading_FLA[Reading Level June of Previous School Year],INDIRECT("YES_Reading_FLA[Instructional Reading Level - Per "&amp;(VLOOKUP($D$2,'Reading Report Logic'!$A$2:$B$8,2,FALSE)-1)&amp;"]"))),FALSE)="","",
VLOOKUP($A676,YES_Reading_FLA[], COLUMN(IF(VLOOKUP($D$2,'Reading Report Logic'!$A$2:$B$8,2,FALSE)=1, YES_Reading_FLA[Reading Level June of Previous School Year],INDIRECT("YES_Reading_FLA[Instructional Reading Level - Per "&amp;(VLOOKUP($D$2,'Reading Report Logic'!$A$2:$B$8,2,FALSE)-1)&amp;"]"))),FALSE)),
IF($J$2="Combined",
IFERROR(
IF(VLOOKUP($A676, YES_Reading_ELA[], COLUMN(IF(VLOOKUP($D$2,'Reading Report Logic'!$A$2:$B$8,2,FALSE)=1, YES_Reading_ELA[Reading Level June of Previous School Year],INDIRECT("YES_Reading_ELA[Instructional Reading Level - Per "&amp;(VLOOKUP($D$2,'Reading Report Logic'!$A$2:$B$8,2,FALSE)-1)&amp;"]"))), FALSE)="", "",
VLOOKUP($A676,YES_Reading_ELA[],COLUMN(IF(VLOOKUP($D$2,'Reading Report Logic'!$A$2:$B$8,2,FALSE)=1, YES_Reading_ELA[Reading Level June of Previous School Year],INDIRECT("YES_Reading_ELA[Instructional Reading Level - Per "&amp;(VLOOKUP($D$2,'Reading Report Logic'!$A$2:$B$8,2,FALSE)-1)&amp;"]"))),FALSE)),
IF(VLOOKUP($A676, YES_Reading_FLA[], COLUMN(IF(VLOOKUP($D$2,'Reading Report Logic'!$A$2:$B$8,2,FALSE)=1, YES_Reading_FLA[Reading Level June of Previous School Year],INDIRECT("YES_Reading_FLA[Instructional Reading Level - Per "&amp;(VLOOKUP($D$2,'Reading Report Logic'!$A$2:$B$8,2,FALSE)-1)&amp;"]"))),FALSE)="", "", VLOOKUP($A676,YES_Reading_FLA[],COLUMN(IF(VLOOKUP($D$2,'Reading Report Logic'!$A$2:$B$8,2,FALSE)=1, YES_Reading_FLA[Reading Level June of Previous School Year],INDIRECT("YES_Reading_FLA[Instructional Reading Level - Per "&amp;(VLOOKUP($D$2,'Reading Report Logic'!$A$2:$B$8,2,FALSE)-1)&amp;"]"))), FALSE))),""))),"")</f>
        <v/>
      </c>
      <c r="D676" s="204" t="str" cm="1">
        <f t="array" aca="1" ref="D676" ca="1">IFERROR(
IF($J$2="ELA",
IF(VLOOKUP($A676, YES_Reading_ELA[], COLUMN(INDIRECT("YES_Reading_ELA[Instructional Reading Level - Per "&amp;VLOOKUP($D$2, 'Reading Report Logic'!$A$2:$B$8, 2, FALSE)&amp;"]")), FALSE)="", "",
VLOOKUP($A676,YES_Reading_ELA[], COLUMN(INDIRECT("YES_Reading_ELA[Instructional Reading Level - Per "&amp;VLOOKUP($D$2,'Reading Report Logic'!$A$2:$B$8,2,FALSE)&amp;"]")), FALSE)),
IF($J$2="FLA",
IF(VLOOKUP($A676, YES_Reading_FLA[], COLUMN(INDIRECT("YES_Reading_FLA[Instructional Reading Level - Per "&amp;VLOOKUP($D$2,'Reading Report Logic'!$A$2:$B$8,2,FALSE)&amp;"]")),FALSE)="","",
VLOOKUP($A676,YES_Reading_FLA[],COLUMN(INDIRECT("YES_Reading_FLA[Instructional Reading Level - Per "&amp;VLOOKUP($D$2,'Reading Report Logic'!$A$2:$B$8,2,FALSE)&amp;"]")),FALSE)),
IF($J$2="Combined",
IFERROR(
IF(VLOOKUP($A676, YES_Reading_ELA[], COLUMN(INDIRECT("YES_Reading_ELA[Instructional Reading Level - Per "&amp;VLOOKUP($D$2, 'Reading Report Logic'!$A$2:$B$8,2,FALSE)&amp;"]")), FALSE)="", "",
VLOOKUP($A676,YES_Reading_ELA[],COLUMN(INDIRECT("YES_Reading_ELA[Instructional Reading Level - Per "&amp;VLOOKUP($D$2,'Reading Report Logic'!$A$2:$B$8,2,FALSE)&amp;"]")),FALSE)),
IF(VLOOKUP($A676, YES_Reading_FLA[], COLUMN(INDIRECT("YES_Reading_FLA[Instructional Reading Level - Per "&amp;VLOOKUP($D$2, 'Reading Report Logic'!$A$2:$B$8, 2, FALSE)&amp;"]")),FALSE)="", "", VLOOKUP($A676,YES_Reading_FLA[],COLUMN(INDIRECT("YES_Reading_FLA[Instructional Reading Level - Per "&amp;VLOOKUP($D$2, 'Reading Report Logic'!$A$2:$B$8, 2, FALSE)&amp;"]")),FALSE))),""))),"")</f>
        <v/>
      </c>
      <c r="E676" s="205" t="str" cm="1">
        <f t="array" aca="1" ref="E676" ca="1">IFERROR(
IF($J$2="ELA",
IF(VLOOKUP($A676, YES_Reading_ELA[], COLUMN(INDIRECT("YES_Reading_ELA[Min Expectation - Per "&amp;VLOOKUP($D$2, 'Reading Report Logic'!$A$2:$B$8, 2, FALSE)&amp;"]")), FALSE)="", "",
VLOOKUP($A676,YES_Reading_ELA[], COLUMN(INDIRECT("YES_Reading_ELA[Min Expectation - Per "&amp;VLOOKUP($D$2,'Reading Report Logic'!$A$2:$B$8,2,FALSE)&amp;"]")), FALSE)),
IF($J$2="FLA",
IF(VLOOKUP($A676, YES_Reading_FLA[], COLUMN(INDIRECT("YES_Reading_FLA[Min Expectation - Per "&amp;VLOOKUP($D$2,'Reading Report Logic'!$A$2:$B$8,2,FALSE)&amp;"]")),FALSE)="","",
VLOOKUP($A676,YES_Reading_FLA[],COLUMN(INDIRECT("YES_Reading_FLA[Min Expectation - Per "&amp;VLOOKUP($D$2,'Reading Report Logic'!$A$2:$B$8,2,FALSE)&amp;"]")),FALSE)),
IF($J$2="Combined",
IFERROR(
IF(VLOOKUP($A676, YES_Reading_ELA[], COLUMN(INDIRECT("YES_Reading_ELA[Min Expectation - Per "&amp;VLOOKUP($D$2, 'Reading Report Logic'!$A$2:$B$8,2,FALSE)&amp;"]")), FALSE)="", "",
VLOOKUP($A676,YES_Reading_ELA[],COLUMN(INDIRECT("YES_Reading_ELA[Min Expectation - Per "&amp;VLOOKUP($D$2,'Reading Report Logic'!$A$2:$B$8,2,FALSE)&amp;"]")),FALSE)),
IF(VLOOKUP($A676, YES_Reading_FLA[], COLUMN(INDIRECT("YES_Reading_FLA[Min Expectation - Per "&amp;VLOOKUP($D$2, 'Reading Report Logic'!$A$2:$B$8, 2, FALSE)&amp;"]")),FALSE)="", "", VLOOKUP($A676,YES_Reading_FLA[],COLUMN(INDIRECT("YES_Reading_FLA[Min Expectation - Per "&amp;VLOOKUP($D$2, 'Reading Report Logic'!$A$2:$B$8, 2, FALSE)&amp;"]")),FALSE))),""))),"")</f>
        <v/>
      </c>
      <c r="F676" s="205" t="str" cm="1">
        <f t="array" aca="1" ref="F676" ca="1">IFERROR(
IF($J$2="ELA",
IF(VLOOKUP($A676, YES_Reading_ELA[], COLUMN(INDIRECT("YES_Reading_ELA[Max Expectation - Per "&amp;VLOOKUP($D$2, 'Reading Report Logic'!$A$2:$B$8, 2, FALSE)&amp;"]")), FALSE)="", "",
VLOOKUP($A676,YES_Reading_ELA[], COLUMN(INDIRECT("YES_Reading_ELA[Max Expectation - Per "&amp;VLOOKUP($D$2,'Reading Report Logic'!$A$2:$B$8,2,FALSE)&amp;"]")), FALSE)),
IF($J$2="FLA",
IF(VLOOKUP($A676, YES_Reading_FLA[], COLUMN(INDIRECT("YES_Reading_FLA[Max Expectation - Per "&amp;VLOOKUP($D$2,'Reading Report Logic'!$A$2:$B$8,2,FALSE)&amp;"]")),FALSE)="","",
VLOOKUP($A676,YES_Reading_FLA[],COLUMN(INDIRECT("YES_Reading_FLA[Max Expectation - Per "&amp;VLOOKUP($D$2,'Reading Report Logic'!$A$2:$B$8,2,FALSE)&amp;"]")),FALSE)),
IF($J$2="Combined",
IFERROR(
IF(VLOOKUP($A676, YES_Reading_ELA[], COLUMN(INDIRECT("YES_Reading_ELA[Max Expectation - Per "&amp;VLOOKUP($D$2, 'Reading Report Logic'!$A$2:$B$8,2,FALSE)&amp;"]")), FALSE)="", "",
VLOOKUP($A676,YES_Reading_ELA[],COLUMN(INDIRECT("YES_Reading_ELA[Max Expectation - Per "&amp;VLOOKUP($D$2,'Reading Report Logic'!$A$2:$B$8,2,FALSE)&amp;"]")),FALSE)),
IF(VLOOKUP($A676, YES_Reading_FLA[], COLUMN(INDIRECT("YES_Reading_FLA[Max Expectation - Per "&amp;VLOOKUP($D$2, 'Reading Report Logic'!$A$2:$B$8, 2, FALSE)&amp;"]")),FALSE)="", "", VLOOKUP($A676,YES_Reading_FLA[],COLUMN(INDIRECT("YES_Reading_FLA[Max Expectation - Per "&amp;VLOOKUP($D$2, 'Reading Report Logic'!$A$2:$B$8, 2, FALSE)&amp;"]")),FALSE))),""))),"")</f>
        <v/>
      </c>
      <c r="G676" s="205" t="str" cm="1">
        <f t="array" aca="1" ref="G676" ca="1">IFERROR(
IF($J$2="ELA",
IF(VLOOKUP($A676, YES_Reading_ELA[], COLUMN(INDIRECT("YES_Reading_ELA[Difference - Per "&amp;VLOOKUP($D$2, 'Reading Report Logic'!$A$2:$B$8, 2, FALSE)&amp;"]")), FALSE)="", "",
VLOOKUP($A676,YES_Reading_ELA[], COLUMN(INDIRECT("YES_Reading_ELA[Difference - Per "&amp;VLOOKUP($D$2,'Reading Report Logic'!$A$2:$B$8,2,FALSE)&amp;"]")), FALSE)),
IF($J$2="FLA",
IF(VLOOKUP($A676, YES_Reading_FLA[], COLUMN(INDIRECT("YES_Reading_FLA[Difference - Per "&amp;VLOOKUP($D$2,'Reading Report Logic'!$A$2:$B$8,2,FALSE)&amp;"]")),FALSE)="","",
VLOOKUP($A676,YES_Reading_FLA[],COLUMN(INDIRECT("YES_Reading_FLA[Difference - Per "&amp;VLOOKUP($D$2,'Reading Report Logic'!$A$2:$B$8,2,FALSE)&amp;"]")),FALSE)),
IF($J$2="Combined",
IFERROR(
IF(VLOOKUP($A676, YES_Reading_ELA[], COLUMN(INDIRECT("YES_Reading_ELA[Difference - Per "&amp;VLOOKUP($D$2, 'Reading Report Logic'!$A$2:$B$8,2,FALSE)&amp;"]")), FALSE)="", "",
VLOOKUP($A676,YES_Reading_ELA[],COLUMN(INDIRECT("YES_Reading_ELA[Difference - Per "&amp;VLOOKUP($D$2,'Reading Report Logic'!$A$2:$B$8,2,FALSE)&amp;"]")),FALSE)),
IF(VLOOKUP($A676, YES_Reading_FLA[], COLUMN(INDIRECT("YES_Reading_FLA[Difference - Per "&amp;VLOOKUP($D$2, 'Reading Report Logic'!$A$2:$B$8, 2, FALSE)&amp;"]")),FALSE)="", "", VLOOKUP($A676,YES_Reading_FLA[],COLUMN(INDIRECT("YES_Reading_FLA[Difference - Per "&amp;VLOOKUP($D$2, 'Reading Report Logic'!$A$2:$B$8, 2, FALSE)&amp;"]")),FALSE))),""))),"")</f>
        <v/>
      </c>
      <c r="H676" s="206" t="str">
        <f ca="1">IFERROR(VLOOKUP('Teacher Reading Pull Sheets'!$D676,_xlfn.VSTACK('ELA Reading Logic'!$A$22:$B$48,'FLA Reading Logic'!$A$22:$B$53),2,FALSE)-VLOOKUP('Teacher Reading Pull Sheets'!$C676,_xlfn.VSTACK('ELA Reading Logic'!$A$22:$B$48,'FLA Reading Logic'!$A$22:$B$53),2,FALSE),"")</f>
        <v/>
      </c>
      <c r="I676" s="212"/>
      <c r="J676" s="206"/>
      <c r="K676" s="197" t="str" cm="1">
        <f t="array" ref="K676">IFERROR(
IF($J$2="ELA",
IF(VLOOKUP($A676, YES_Reading_ELA[], COLUMN(YES_Reading_ELA[Self-Identified as African Descent]), FALSE)="", "",
VLOOKUP($A676,YES_Reading_ELA[], COLUMN(YES_Reading_ELA[Self-Identified as African Descent]), FALSE)),
IF($J$2="FLA",
IF(VLOOKUP($A676, YES_Reading_FLA[], COLUMN(YES_Reading_FLA[Self-Identified as African Descent]),FALSE)="","",
VLOOKUP($A676,YES_Reading_FLA[],COLUMN(YES_Reading_FLA[Self-Identified as African Descent]),FALSE)),
IF($J$2="Combined",
IFERROR(
IF(VLOOKUP($A676, YES_Reading_ELA[], COLUMN(YES_Reading_ELA[Self-Identified as African Descent]), FALSE)="", "",
VLOOKUP($A676,YES_Reading_ELA[],COLUMN(YES_Reading_ELA[Self-Identified as African Descent]),FALSE)),
IF(VLOOKUP($A676, YES_Reading_FLA[], COLUMN(YES_Reading_FLA[Self-Identified as African Descent]),FALSE)="", "", VLOOKUP($A676,YES_Reading_FLA[],COLUMN(YES_Reading_FLA[Self-Identified as African Descent]),FALSE))),""))),"")</f>
        <v/>
      </c>
      <c r="L676" s="73" t="str" cm="1">
        <f t="array" ref="L676">IFERROR(
IF($J$2="ELA",
IF(VLOOKUP($A676, YES_Reading_ELA[], COLUMN(YES_Reading_ELA[Self-Identified as Indigenous]), FALSE)="", "",
VLOOKUP($A676,YES_Reading_ELA[], COLUMN(YES_Reading_ELA[Self-Identified as Indigenous]), FALSE)),
IF($J$2="FLA",
IF(VLOOKUP($A676, YES_Reading_FLA[], COLUMN(YES_Reading_FLA[Self-Identified as Indigenous]),FALSE)="","",
VLOOKUP($A676,YES_Reading_FLA[],COLUMN(YES_Reading_FLA[Self-Identified as Indigenous]),FALSE)),
IF($J$2="Combined",
IFERROR(
IF(VLOOKUP($A676, YES_Reading_ELA[], COLUMN(YES_Reading_ELA[Self-Identified as Indigenous]), FALSE)="", "",
VLOOKUP($A676,YES_Reading_ELA[],COLUMN(YES_Reading_ELA[Self-Identified as Indigenous]),FALSE)),
IF(VLOOKUP($A676, YES_Reading_FLA[], COLUMN(YES_Reading_FLA[Self-Identified as Indigenous]),FALSE)="", "", VLOOKUP($A676,YES_Reading_FLA[],COLUMN(YES_Reading_FLA[Self-Identified as Indigenous]),FALSE))),""))),"")</f>
        <v/>
      </c>
    </row>
    <row r="677" spans="1:12" ht="19.5" customHeight="1" x14ac:dyDescent="0.25">
      <c r="A677" s="217"/>
      <c r="B677" s="220" t="str">
        <f>IFERROR(VLOOKUP(A677,_xlfn.VSTACK(YES_Reading_ELA[],YES_Reading_FLA[]),2,FALSE),"")</f>
        <v/>
      </c>
      <c r="C677" s="203" t="str" cm="1">
        <f t="array" aca="1" ref="C677" ca="1">IFERROR(
IF($J$2="ELA",
IF(VLOOKUP($A677, YES_Reading_ELA[], COLUMN(IF(VLOOKUP($D$2, 'Reading Report Logic'!$A$2:$B$8, 2, FALSE)=1, YES_Reading_ELA[Reading Level June of Previous School Year], INDIRECT("YES_Reading_ELA[Instructional Reading Level - Per "&amp;(VLOOKUP($D$2,'Reading Report Logic'!$A$2:$B$8,2,FALSE)-1)&amp;"]"))), FALSE)="", "",
VLOOKUP($A677,YES_Reading_ELA[], COLUMN(IF(VLOOKUP($D$2,'Reading Report Logic'!$A$2:$B$8,2,FALSE)=1, YES_Reading_ELA[Reading Level June of Previous School Year],INDIRECT("YES_Reading_ELA[Instructional Reading Level - Per "&amp;(VLOOKUP($D$2,'Reading Report Logic'!$A$2:$B$8,2,FALSE)-1)&amp;"]"))), FALSE)),
IF($J$2="FLA",
IF(VLOOKUP($A677, YES_Reading_FLA[], COLUMN(IF(VLOOKUP($D$2,'Reading Report Logic'!$A$2:$B$8,2,FALSE)=1, YES_Reading_FLA[Reading Level June of Previous School Year],INDIRECT("YES_Reading_FLA[Instructional Reading Level - Per "&amp;(VLOOKUP($D$2,'Reading Report Logic'!$A$2:$B$8,2,FALSE)-1)&amp;"]"))),FALSE)="","",
VLOOKUP($A677,YES_Reading_FLA[], COLUMN(IF(VLOOKUP($D$2,'Reading Report Logic'!$A$2:$B$8,2,FALSE)=1, YES_Reading_FLA[Reading Level June of Previous School Year],INDIRECT("YES_Reading_FLA[Instructional Reading Level - Per "&amp;(VLOOKUP($D$2,'Reading Report Logic'!$A$2:$B$8,2,FALSE)-1)&amp;"]"))),FALSE)),
IF($J$2="Combined",
IFERROR(
IF(VLOOKUP($A677, YES_Reading_ELA[], COLUMN(IF(VLOOKUP($D$2,'Reading Report Logic'!$A$2:$B$8,2,FALSE)=1, YES_Reading_ELA[Reading Level June of Previous School Year],INDIRECT("YES_Reading_ELA[Instructional Reading Level - Per "&amp;(VLOOKUP($D$2,'Reading Report Logic'!$A$2:$B$8,2,FALSE)-1)&amp;"]"))), FALSE)="", "",
VLOOKUP($A677,YES_Reading_ELA[],COLUMN(IF(VLOOKUP($D$2,'Reading Report Logic'!$A$2:$B$8,2,FALSE)=1, YES_Reading_ELA[Reading Level June of Previous School Year],INDIRECT("YES_Reading_ELA[Instructional Reading Level - Per "&amp;(VLOOKUP($D$2,'Reading Report Logic'!$A$2:$B$8,2,FALSE)-1)&amp;"]"))),FALSE)),
IF(VLOOKUP($A677, YES_Reading_FLA[], COLUMN(IF(VLOOKUP($D$2,'Reading Report Logic'!$A$2:$B$8,2,FALSE)=1, YES_Reading_FLA[Reading Level June of Previous School Year],INDIRECT("YES_Reading_FLA[Instructional Reading Level - Per "&amp;(VLOOKUP($D$2,'Reading Report Logic'!$A$2:$B$8,2,FALSE)-1)&amp;"]"))),FALSE)="", "", VLOOKUP($A677,YES_Reading_FLA[],COLUMN(IF(VLOOKUP($D$2,'Reading Report Logic'!$A$2:$B$8,2,FALSE)=1, YES_Reading_FLA[Reading Level June of Previous School Year],INDIRECT("YES_Reading_FLA[Instructional Reading Level - Per "&amp;(VLOOKUP($D$2,'Reading Report Logic'!$A$2:$B$8,2,FALSE)-1)&amp;"]"))), FALSE))),""))),"")</f>
        <v/>
      </c>
      <c r="D677" s="204" t="str" cm="1">
        <f t="array" aca="1" ref="D677" ca="1">IFERROR(
IF($J$2="ELA",
IF(VLOOKUP($A677, YES_Reading_ELA[], COLUMN(INDIRECT("YES_Reading_ELA[Instructional Reading Level - Per "&amp;VLOOKUP($D$2, 'Reading Report Logic'!$A$2:$B$8, 2, FALSE)&amp;"]")), FALSE)="", "",
VLOOKUP($A677,YES_Reading_ELA[], COLUMN(INDIRECT("YES_Reading_ELA[Instructional Reading Level - Per "&amp;VLOOKUP($D$2,'Reading Report Logic'!$A$2:$B$8,2,FALSE)&amp;"]")), FALSE)),
IF($J$2="FLA",
IF(VLOOKUP($A677, YES_Reading_FLA[], COLUMN(INDIRECT("YES_Reading_FLA[Instructional Reading Level - Per "&amp;VLOOKUP($D$2,'Reading Report Logic'!$A$2:$B$8,2,FALSE)&amp;"]")),FALSE)="","",
VLOOKUP($A677,YES_Reading_FLA[],COLUMN(INDIRECT("YES_Reading_FLA[Instructional Reading Level - Per "&amp;VLOOKUP($D$2,'Reading Report Logic'!$A$2:$B$8,2,FALSE)&amp;"]")),FALSE)),
IF($J$2="Combined",
IFERROR(
IF(VLOOKUP($A677, YES_Reading_ELA[], COLUMN(INDIRECT("YES_Reading_ELA[Instructional Reading Level - Per "&amp;VLOOKUP($D$2, 'Reading Report Logic'!$A$2:$B$8,2,FALSE)&amp;"]")), FALSE)="", "",
VLOOKUP($A677,YES_Reading_ELA[],COLUMN(INDIRECT("YES_Reading_ELA[Instructional Reading Level - Per "&amp;VLOOKUP($D$2,'Reading Report Logic'!$A$2:$B$8,2,FALSE)&amp;"]")),FALSE)),
IF(VLOOKUP($A677, YES_Reading_FLA[], COLUMN(INDIRECT("YES_Reading_FLA[Instructional Reading Level - Per "&amp;VLOOKUP($D$2, 'Reading Report Logic'!$A$2:$B$8, 2, FALSE)&amp;"]")),FALSE)="", "", VLOOKUP($A677,YES_Reading_FLA[],COLUMN(INDIRECT("YES_Reading_FLA[Instructional Reading Level - Per "&amp;VLOOKUP($D$2, 'Reading Report Logic'!$A$2:$B$8, 2, FALSE)&amp;"]")),FALSE))),""))),"")</f>
        <v/>
      </c>
      <c r="E677" s="205" t="str" cm="1">
        <f t="array" aca="1" ref="E677" ca="1">IFERROR(
IF($J$2="ELA",
IF(VLOOKUP($A677, YES_Reading_ELA[], COLUMN(INDIRECT("YES_Reading_ELA[Min Expectation - Per "&amp;VLOOKUP($D$2, 'Reading Report Logic'!$A$2:$B$8, 2, FALSE)&amp;"]")), FALSE)="", "",
VLOOKUP($A677,YES_Reading_ELA[], COLUMN(INDIRECT("YES_Reading_ELA[Min Expectation - Per "&amp;VLOOKUP($D$2,'Reading Report Logic'!$A$2:$B$8,2,FALSE)&amp;"]")), FALSE)),
IF($J$2="FLA",
IF(VLOOKUP($A677, YES_Reading_FLA[], COLUMN(INDIRECT("YES_Reading_FLA[Min Expectation - Per "&amp;VLOOKUP($D$2,'Reading Report Logic'!$A$2:$B$8,2,FALSE)&amp;"]")),FALSE)="","",
VLOOKUP($A677,YES_Reading_FLA[],COLUMN(INDIRECT("YES_Reading_FLA[Min Expectation - Per "&amp;VLOOKUP($D$2,'Reading Report Logic'!$A$2:$B$8,2,FALSE)&amp;"]")),FALSE)),
IF($J$2="Combined",
IFERROR(
IF(VLOOKUP($A677, YES_Reading_ELA[], COLUMN(INDIRECT("YES_Reading_ELA[Min Expectation - Per "&amp;VLOOKUP($D$2, 'Reading Report Logic'!$A$2:$B$8,2,FALSE)&amp;"]")), FALSE)="", "",
VLOOKUP($A677,YES_Reading_ELA[],COLUMN(INDIRECT("YES_Reading_ELA[Min Expectation - Per "&amp;VLOOKUP($D$2,'Reading Report Logic'!$A$2:$B$8,2,FALSE)&amp;"]")),FALSE)),
IF(VLOOKUP($A677, YES_Reading_FLA[], COLUMN(INDIRECT("YES_Reading_FLA[Min Expectation - Per "&amp;VLOOKUP($D$2, 'Reading Report Logic'!$A$2:$B$8, 2, FALSE)&amp;"]")),FALSE)="", "", VLOOKUP($A677,YES_Reading_FLA[],COLUMN(INDIRECT("YES_Reading_FLA[Min Expectation - Per "&amp;VLOOKUP($D$2, 'Reading Report Logic'!$A$2:$B$8, 2, FALSE)&amp;"]")),FALSE))),""))),"")</f>
        <v/>
      </c>
      <c r="F677" s="205" t="str" cm="1">
        <f t="array" aca="1" ref="F677" ca="1">IFERROR(
IF($J$2="ELA",
IF(VLOOKUP($A677, YES_Reading_ELA[], COLUMN(INDIRECT("YES_Reading_ELA[Max Expectation - Per "&amp;VLOOKUP($D$2, 'Reading Report Logic'!$A$2:$B$8, 2, FALSE)&amp;"]")), FALSE)="", "",
VLOOKUP($A677,YES_Reading_ELA[], COLUMN(INDIRECT("YES_Reading_ELA[Max Expectation - Per "&amp;VLOOKUP($D$2,'Reading Report Logic'!$A$2:$B$8,2,FALSE)&amp;"]")), FALSE)),
IF($J$2="FLA",
IF(VLOOKUP($A677, YES_Reading_FLA[], COLUMN(INDIRECT("YES_Reading_FLA[Max Expectation - Per "&amp;VLOOKUP($D$2,'Reading Report Logic'!$A$2:$B$8,2,FALSE)&amp;"]")),FALSE)="","",
VLOOKUP($A677,YES_Reading_FLA[],COLUMN(INDIRECT("YES_Reading_FLA[Max Expectation - Per "&amp;VLOOKUP($D$2,'Reading Report Logic'!$A$2:$B$8,2,FALSE)&amp;"]")),FALSE)),
IF($J$2="Combined",
IFERROR(
IF(VLOOKUP($A677, YES_Reading_ELA[], COLUMN(INDIRECT("YES_Reading_ELA[Max Expectation - Per "&amp;VLOOKUP($D$2, 'Reading Report Logic'!$A$2:$B$8,2,FALSE)&amp;"]")), FALSE)="", "",
VLOOKUP($A677,YES_Reading_ELA[],COLUMN(INDIRECT("YES_Reading_ELA[Max Expectation - Per "&amp;VLOOKUP($D$2,'Reading Report Logic'!$A$2:$B$8,2,FALSE)&amp;"]")),FALSE)),
IF(VLOOKUP($A677, YES_Reading_FLA[], COLUMN(INDIRECT("YES_Reading_FLA[Max Expectation - Per "&amp;VLOOKUP($D$2, 'Reading Report Logic'!$A$2:$B$8, 2, FALSE)&amp;"]")),FALSE)="", "", VLOOKUP($A677,YES_Reading_FLA[],COLUMN(INDIRECT("YES_Reading_FLA[Max Expectation - Per "&amp;VLOOKUP($D$2, 'Reading Report Logic'!$A$2:$B$8, 2, FALSE)&amp;"]")),FALSE))),""))),"")</f>
        <v/>
      </c>
      <c r="G677" s="205" t="str" cm="1">
        <f t="array" aca="1" ref="G677" ca="1">IFERROR(
IF($J$2="ELA",
IF(VLOOKUP($A677, YES_Reading_ELA[], COLUMN(INDIRECT("YES_Reading_ELA[Difference - Per "&amp;VLOOKUP($D$2, 'Reading Report Logic'!$A$2:$B$8, 2, FALSE)&amp;"]")), FALSE)="", "",
VLOOKUP($A677,YES_Reading_ELA[], COLUMN(INDIRECT("YES_Reading_ELA[Difference - Per "&amp;VLOOKUP($D$2,'Reading Report Logic'!$A$2:$B$8,2,FALSE)&amp;"]")), FALSE)),
IF($J$2="FLA",
IF(VLOOKUP($A677, YES_Reading_FLA[], COLUMN(INDIRECT("YES_Reading_FLA[Difference - Per "&amp;VLOOKUP($D$2,'Reading Report Logic'!$A$2:$B$8,2,FALSE)&amp;"]")),FALSE)="","",
VLOOKUP($A677,YES_Reading_FLA[],COLUMN(INDIRECT("YES_Reading_FLA[Difference - Per "&amp;VLOOKUP($D$2,'Reading Report Logic'!$A$2:$B$8,2,FALSE)&amp;"]")),FALSE)),
IF($J$2="Combined",
IFERROR(
IF(VLOOKUP($A677, YES_Reading_ELA[], COLUMN(INDIRECT("YES_Reading_ELA[Difference - Per "&amp;VLOOKUP($D$2, 'Reading Report Logic'!$A$2:$B$8,2,FALSE)&amp;"]")), FALSE)="", "",
VLOOKUP($A677,YES_Reading_ELA[],COLUMN(INDIRECT("YES_Reading_ELA[Difference - Per "&amp;VLOOKUP($D$2,'Reading Report Logic'!$A$2:$B$8,2,FALSE)&amp;"]")),FALSE)),
IF(VLOOKUP($A677, YES_Reading_FLA[], COLUMN(INDIRECT("YES_Reading_FLA[Difference - Per "&amp;VLOOKUP($D$2, 'Reading Report Logic'!$A$2:$B$8, 2, FALSE)&amp;"]")),FALSE)="", "", VLOOKUP($A677,YES_Reading_FLA[],COLUMN(INDIRECT("YES_Reading_FLA[Difference - Per "&amp;VLOOKUP($D$2, 'Reading Report Logic'!$A$2:$B$8, 2, FALSE)&amp;"]")),FALSE))),""))),"")</f>
        <v/>
      </c>
      <c r="H677" s="206" t="str">
        <f ca="1">IFERROR(VLOOKUP('Teacher Reading Pull Sheets'!$D677,_xlfn.VSTACK('ELA Reading Logic'!$A$22:$B$48,'FLA Reading Logic'!$A$22:$B$53),2,FALSE)-VLOOKUP('Teacher Reading Pull Sheets'!$C677,_xlfn.VSTACK('ELA Reading Logic'!$A$22:$B$48,'FLA Reading Logic'!$A$22:$B$53),2,FALSE),"")</f>
        <v/>
      </c>
      <c r="I677" s="212"/>
      <c r="J677" s="206"/>
      <c r="K677" s="197" t="str" cm="1">
        <f t="array" ref="K677">IFERROR(
IF($J$2="ELA",
IF(VLOOKUP($A677, YES_Reading_ELA[], COLUMN(YES_Reading_ELA[Self-Identified as African Descent]), FALSE)="", "",
VLOOKUP($A677,YES_Reading_ELA[], COLUMN(YES_Reading_ELA[Self-Identified as African Descent]), FALSE)),
IF($J$2="FLA",
IF(VLOOKUP($A677, YES_Reading_FLA[], COLUMN(YES_Reading_FLA[Self-Identified as African Descent]),FALSE)="","",
VLOOKUP($A677,YES_Reading_FLA[],COLUMN(YES_Reading_FLA[Self-Identified as African Descent]),FALSE)),
IF($J$2="Combined",
IFERROR(
IF(VLOOKUP($A677, YES_Reading_ELA[], COLUMN(YES_Reading_ELA[Self-Identified as African Descent]), FALSE)="", "",
VLOOKUP($A677,YES_Reading_ELA[],COLUMN(YES_Reading_ELA[Self-Identified as African Descent]),FALSE)),
IF(VLOOKUP($A677, YES_Reading_FLA[], COLUMN(YES_Reading_FLA[Self-Identified as African Descent]),FALSE)="", "", VLOOKUP($A677,YES_Reading_FLA[],COLUMN(YES_Reading_FLA[Self-Identified as African Descent]),FALSE))),""))),"")</f>
        <v/>
      </c>
      <c r="L677" s="73" t="str" cm="1">
        <f t="array" ref="L677">IFERROR(
IF($J$2="ELA",
IF(VLOOKUP($A677, YES_Reading_ELA[], COLUMN(YES_Reading_ELA[Self-Identified as Indigenous]), FALSE)="", "",
VLOOKUP($A677,YES_Reading_ELA[], COLUMN(YES_Reading_ELA[Self-Identified as Indigenous]), FALSE)),
IF($J$2="FLA",
IF(VLOOKUP($A677, YES_Reading_FLA[], COLUMN(YES_Reading_FLA[Self-Identified as Indigenous]),FALSE)="","",
VLOOKUP($A677,YES_Reading_FLA[],COLUMN(YES_Reading_FLA[Self-Identified as Indigenous]),FALSE)),
IF($J$2="Combined",
IFERROR(
IF(VLOOKUP($A677, YES_Reading_ELA[], COLUMN(YES_Reading_ELA[Self-Identified as Indigenous]), FALSE)="", "",
VLOOKUP($A677,YES_Reading_ELA[],COLUMN(YES_Reading_ELA[Self-Identified as Indigenous]),FALSE)),
IF(VLOOKUP($A677, YES_Reading_FLA[], COLUMN(YES_Reading_FLA[Self-Identified as Indigenous]),FALSE)="", "", VLOOKUP($A677,YES_Reading_FLA[],COLUMN(YES_Reading_FLA[Self-Identified as Indigenous]),FALSE))),""))),"")</f>
        <v/>
      </c>
    </row>
    <row r="678" spans="1:12" ht="19.5" customHeight="1" x14ac:dyDescent="0.25">
      <c r="A678" s="217"/>
      <c r="B678" s="220" t="str">
        <f>IFERROR(VLOOKUP(A678,_xlfn.VSTACK(YES_Reading_ELA[],YES_Reading_FLA[]),2,FALSE),"")</f>
        <v/>
      </c>
      <c r="C678" s="203" t="str" cm="1">
        <f t="array" aca="1" ref="C678" ca="1">IFERROR(
IF($J$2="ELA",
IF(VLOOKUP($A678, YES_Reading_ELA[], COLUMN(IF(VLOOKUP($D$2, 'Reading Report Logic'!$A$2:$B$8, 2, FALSE)=1, YES_Reading_ELA[Reading Level June of Previous School Year], INDIRECT("YES_Reading_ELA[Instructional Reading Level - Per "&amp;(VLOOKUP($D$2,'Reading Report Logic'!$A$2:$B$8,2,FALSE)-1)&amp;"]"))), FALSE)="", "",
VLOOKUP($A678,YES_Reading_ELA[], COLUMN(IF(VLOOKUP($D$2,'Reading Report Logic'!$A$2:$B$8,2,FALSE)=1, YES_Reading_ELA[Reading Level June of Previous School Year],INDIRECT("YES_Reading_ELA[Instructional Reading Level - Per "&amp;(VLOOKUP($D$2,'Reading Report Logic'!$A$2:$B$8,2,FALSE)-1)&amp;"]"))), FALSE)),
IF($J$2="FLA",
IF(VLOOKUP($A678, YES_Reading_FLA[], COLUMN(IF(VLOOKUP($D$2,'Reading Report Logic'!$A$2:$B$8,2,FALSE)=1, YES_Reading_FLA[Reading Level June of Previous School Year],INDIRECT("YES_Reading_FLA[Instructional Reading Level - Per "&amp;(VLOOKUP($D$2,'Reading Report Logic'!$A$2:$B$8,2,FALSE)-1)&amp;"]"))),FALSE)="","",
VLOOKUP($A678,YES_Reading_FLA[], COLUMN(IF(VLOOKUP($D$2,'Reading Report Logic'!$A$2:$B$8,2,FALSE)=1, YES_Reading_FLA[Reading Level June of Previous School Year],INDIRECT("YES_Reading_FLA[Instructional Reading Level - Per "&amp;(VLOOKUP($D$2,'Reading Report Logic'!$A$2:$B$8,2,FALSE)-1)&amp;"]"))),FALSE)),
IF($J$2="Combined",
IFERROR(
IF(VLOOKUP($A678, YES_Reading_ELA[], COLUMN(IF(VLOOKUP($D$2,'Reading Report Logic'!$A$2:$B$8,2,FALSE)=1, YES_Reading_ELA[Reading Level June of Previous School Year],INDIRECT("YES_Reading_ELA[Instructional Reading Level - Per "&amp;(VLOOKUP($D$2,'Reading Report Logic'!$A$2:$B$8,2,FALSE)-1)&amp;"]"))), FALSE)="", "",
VLOOKUP($A678,YES_Reading_ELA[],COLUMN(IF(VLOOKUP($D$2,'Reading Report Logic'!$A$2:$B$8,2,FALSE)=1, YES_Reading_ELA[Reading Level June of Previous School Year],INDIRECT("YES_Reading_ELA[Instructional Reading Level - Per "&amp;(VLOOKUP($D$2,'Reading Report Logic'!$A$2:$B$8,2,FALSE)-1)&amp;"]"))),FALSE)),
IF(VLOOKUP($A678, YES_Reading_FLA[], COLUMN(IF(VLOOKUP($D$2,'Reading Report Logic'!$A$2:$B$8,2,FALSE)=1, YES_Reading_FLA[Reading Level June of Previous School Year],INDIRECT("YES_Reading_FLA[Instructional Reading Level - Per "&amp;(VLOOKUP($D$2,'Reading Report Logic'!$A$2:$B$8,2,FALSE)-1)&amp;"]"))),FALSE)="", "", VLOOKUP($A678,YES_Reading_FLA[],COLUMN(IF(VLOOKUP($D$2,'Reading Report Logic'!$A$2:$B$8,2,FALSE)=1, YES_Reading_FLA[Reading Level June of Previous School Year],INDIRECT("YES_Reading_FLA[Instructional Reading Level - Per "&amp;(VLOOKUP($D$2,'Reading Report Logic'!$A$2:$B$8,2,FALSE)-1)&amp;"]"))), FALSE))),""))),"")</f>
        <v/>
      </c>
      <c r="D678" s="204" t="str" cm="1">
        <f t="array" aca="1" ref="D678" ca="1">IFERROR(
IF($J$2="ELA",
IF(VLOOKUP($A678, YES_Reading_ELA[], COLUMN(INDIRECT("YES_Reading_ELA[Instructional Reading Level - Per "&amp;VLOOKUP($D$2, 'Reading Report Logic'!$A$2:$B$8, 2, FALSE)&amp;"]")), FALSE)="", "",
VLOOKUP($A678,YES_Reading_ELA[], COLUMN(INDIRECT("YES_Reading_ELA[Instructional Reading Level - Per "&amp;VLOOKUP($D$2,'Reading Report Logic'!$A$2:$B$8,2,FALSE)&amp;"]")), FALSE)),
IF($J$2="FLA",
IF(VLOOKUP($A678, YES_Reading_FLA[], COLUMN(INDIRECT("YES_Reading_FLA[Instructional Reading Level - Per "&amp;VLOOKUP($D$2,'Reading Report Logic'!$A$2:$B$8,2,FALSE)&amp;"]")),FALSE)="","",
VLOOKUP($A678,YES_Reading_FLA[],COLUMN(INDIRECT("YES_Reading_FLA[Instructional Reading Level - Per "&amp;VLOOKUP($D$2,'Reading Report Logic'!$A$2:$B$8,2,FALSE)&amp;"]")),FALSE)),
IF($J$2="Combined",
IFERROR(
IF(VLOOKUP($A678, YES_Reading_ELA[], COLUMN(INDIRECT("YES_Reading_ELA[Instructional Reading Level - Per "&amp;VLOOKUP($D$2, 'Reading Report Logic'!$A$2:$B$8,2,FALSE)&amp;"]")), FALSE)="", "",
VLOOKUP($A678,YES_Reading_ELA[],COLUMN(INDIRECT("YES_Reading_ELA[Instructional Reading Level - Per "&amp;VLOOKUP($D$2,'Reading Report Logic'!$A$2:$B$8,2,FALSE)&amp;"]")),FALSE)),
IF(VLOOKUP($A678, YES_Reading_FLA[], COLUMN(INDIRECT("YES_Reading_FLA[Instructional Reading Level - Per "&amp;VLOOKUP($D$2, 'Reading Report Logic'!$A$2:$B$8, 2, FALSE)&amp;"]")),FALSE)="", "", VLOOKUP($A678,YES_Reading_FLA[],COLUMN(INDIRECT("YES_Reading_FLA[Instructional Reading Level - Per "&amp;VLOOKUP($D$2, 'Reading Report Logic'!$A$2:$B$8, 2, FALSE)&amp;"]")),FALSE))),""))),"")</f>
        <v/>
      </c>
      <c r="E678" s="205" t="str" cm="1">
        <f t="array" aca="1" ref="E678" ca="1">IFERROR(
IF($J$2="ELA",
IF(VLOOKUP($A678, YES_Reading_ELA[], COLUMN(INDIRECT("YES_Reading_ELA[Min Expectation - Per "&amp;VLOOKUP($D$2, 'Reading Report Logic'!$A$2:$B$8, 2, FALSE)&amp;"]")), FALSE)="", "",
VLOOKUP($A678,YES_Reading_ELA[], COLUMN(INDIRECT("YES_Reading_ELA[Min Expectation - Per "&amp;VLOOKUP($D$2,'Reading Report Logic'!$A$2:$B$8,2,FALSE)&amp;"]")), FALSE)),
IF($J$2="FLA",
IF(VLOOKUP($A678, YES_Reading_FLA[], COLUMN(INDIRECT("YES_Reading_FLA[Min Expectation - Per "&amp;VLOOKUP($D$2,'Reading Report Logic'!$A$2:$B$8,2,FALSE)&amp;"]")),FALSE)="","",
VLOOKUP($A678,YES_Reading_FLA[],COLUMN(INDIRECT("YES_Reading_FLA[Min Expectation - Per "&amp;VLOOKUP($D$2,'Reading Report Logic'!$A$2:$B$8,2,FALSE)&amp;"]")),FALSE)),
IF($J$2="Combined",
IFERROR(
IF(VLOOKUP($A678, YES_Reading_ELA[], COLUMN(INDIRECT("YES_Reading_ELA[Min Expectation - Per "&amp;VLOOKUP($D$2, 'Reading Report Logic'!$A$2:$B$8,2,FALSE)&amp;"]")), FALSE)="", "",
VLOOKUP($A678,YES_Reading_ELA[],COLUMN(INDIRECT("YES_Reading_ELA[Min Expectation - Per "&amp;VLOOKUP($D$2,'Reading Report Logic'!$A$2:$B$8,2,FALSE)&amp;"]")),FALSE)),
IF(VLOOKUP($A678, YES_Reading_FLA[], COLUMN(INDIRECT("YES_Reading_FLA[Min Expectation - Per "&amp;VLOOKUP($D$2, 'Reading Report Logic'!$A$2:$B$8, 2, FALSE)&amp;"]")),FALSE)="", "", VLOOKUP($A678,YES_Reading_FLA[],COLUMN(INDIRECT("YES_Reading_FLA[Min Expectation - Per "&amp;VLOOKUP($D$2, 'Reading Report Logic'!$A$2:$B$8, 2, FALSE)&amp;"]")),FALSE))),""))),"")</f>
        <v/>
      </c>
      <c r="F678" s="205" t="str" cm="1">
        <f t="array" aca="1" ref="F678" ca="1">IFERROR(
IF($J$2="ELA",
IF(VLOOKUP($A678, YES_Reading_ELA[], COLUMN(INDIRECT("YES_Reading_ELA[Max Expectation - Per "&amp;VLOOKUP($D$2, 'Reading Report Logic'!$A$2:$B$8, 2, FALSE)&amp;"]")), FALSE)="", "",
VLOOKUP($A678,YES_Reading_ELA[], COLUMN(INDIRECT("YES_Reading_ELA[Max Expectation - Per "&amp;VLOOKUP($D$2,'Reading Report Logic'!$A$2:$B$8,2,FALSE)&amp;"]")), FALSE)),
IF($J$2="FLA",
IF(VLOOKUP($A678, YES_Reading_FLA[], COLUMN(INDIRECT("YES_Reading_FLA[Max Expectation - Per "&amp;VLOOKUP($D$2,'Reading Report Logic'!$A$2:$B$8,2,FALSE)&amp;"]")),FALSE)="","",
VLOOKUP($A678,YES_Reading_FLA[],COLUMN(INDIRECT("YES_Reading_FLA[Max Expectation - Per "&amp;VLOOKUP($D$2,'Reading Report Logic'!$A$2:$B$8,2,FALSE)&amp;"]")),FALSE)),
IF($J$2="Combined",
IFERROR(
IF(VLOOKUP($A678, YES_Reading_ELA[], COLUMN(INDIRECT("YES_Reading_ELA[Max Expectation - Per "&amp;VLOOKUP($D$2, 'Reading Report Logic'!$A$2:$B$8,2,FALSE)&amp;"]")), FALSE)="", "",
VLOOKUP($A678,YES_Reading_ELA[],COLUMN(INDIRECT("YES_Reading_ELA[Max Expectation - Per "&amp;VLOOKUP($D$2,'Reading Report Logic'!$A$2:$B$8,2,FALSE)&amp;"]")),FALSE)),
IF(VLOOKUP($A678, YES_Reading_FLA[], COLUMN(INDIRECT("YES_Reading_FLA[Max Expectation - Per "&amp;VLOOKUP($D$2, 'Reading Report Logic'!$A$2:$B$8, 2, FALSE)&amp;"]")),FALSE)="", "", VLOOKUP($A678,YES_Reading_FLA[],COLUMN(INDIRECT("YES_Reading_FLA[Max Expectation - Per "&amp;VLOOKUP($D$2, 'Reading Report Logic'!$A$2:$B$8, 2, FALSE)&amp;"]")),FALSE))),""))),"")</f>
        <v/>
      </c>
      <c r="G678" s="205" t="str" cm="1">
        <f t="array" aca="1" ref="G678" ca="1">IFERROR(
IF($J$2="ELA",
IF(VLOOKUP($A678, YES_Reading_ELA[], COLUMN(INDIRECT("YES_Reading_ELA[Difference - Per "&amp;VLOOKUP($D$2, 'Reading Report Logic'!$A$2:$B$8, 2, FALSE)&amp;"]")), FALSE)="", "",
VLOOKUP($A678,YES_Reading_ELA[], COLUMN(INDIRECT("YES_Reading_ELA[Difference - Per "&amp;VLOOKUP($D$2,'Reading Report Logic'!$A$2:$B$8,2,FALSE)&amp;"]")), FALSE)),
IF($J$2="FLA",
IF(VLOOKUP($A678, YES_Reading_FLA[], COLUMN(INDIRECT("YES_Reading_FLA[Difference - Per "&amp;VLOOKUP($D$2,'Reading Report Logic'!$A$2:$B$8,2,FALSE)&amp;"]")),FALSE)="","",
VLOOKUP($A678,YES_Reading_FLA[],COLUMN(INDIRECT("YES_Reading_FLA[Difference - Per "&amp;VLOOKUP($D$2,'Reading Report Logic'!$A$2:$B$8,2,FALSE)&amp;"]")),FALSE)),
IF($J$2="Combined",
IFERROR(
IF(VLOOKUP($A678, YES_Reading_ELA[], COLUMN(INDIRECT("YES_Reading_ELA[Difference - Per "&amp;VLOOKUP($D$2, 'Reading Report Logic'!$A$2:$B$8,2,FALSE)&amp;"]")), FALSE)="", "",
VLOOKUP($A678,YES_Reading_ELA[],COLUMN(INDIRECT("YES_Reading_ELA[Difference - Per "&amp;VLOOKUP($D$2,'Reading Report Logic'!$A$2:$B$8,2,FALSE)&amp;"]")),FALSE)),
IF(VLOOKUP($A678, YES_Reading_FLA[], COLUMN(INDIRECT("YES_Reading_FLA[Difference - Per "&amp;VLOOKUP($D$2, 'Reading Report Logic'!$A$2:$B$8, 2, FALSE)&amp;"]")),FALSE)="", "", VLOOKUP($A678,YES_Reading_FLA[],COLUMN(INDIRECT("YES_Reading_FLA[Difference - Per "&amp;VLOOKUP($D$2, 'Reading Report Logic'!$A$2:$B$8, 2, FALSE)&amp;"]")),FALSE))),""))),"")</f>
        <v/>
      </c>
      <c r="H678" s="206" t="str">
        <f ca="1">IFERROR(VLOOKUP('Teacher Reading Pull Sheets'!$D678,_xlfn.VSTACK('ELA Reading Logic'!$A$22:$B$48,'FLA Reading Logic'!$A$22:$B$53),2,FALSE)-VLOOKUP('Teacher Reading Pull Sheets'!$C678,_xlfn.VSTACK('ELA Reading Logic'!$A$22:$B$48,'FLA Reading Logic'!$A$22:$B$53),2,FALSE),"")</f>
        <v/>
      </c>
      <c r="I678" s="212"/>
      <c r="J678" s="206"/>
      <c r="K678" s="197" t="str" cm="1">
        <f t="array" ref="K678">IFERROR(
IF($J$2="ELA",
IF(VLOOKUP($A678, YES_Reading_ELA[], COLUMN(YES_Reading_ELA[Self-Identified as African Descent]), FALSE)="", "",
VLOOKUP($A678,YES_Reading_ELA[], COLUMN(YES_Reading_ELA[Self-Identified as African Descent]), FALSE)),
IF($J$2="FLA",
IF(VLOOKUP($A678, YES_Reading_FLA[], COLUMN(YES_Reading_FLA[Self-Identified as African Descent]),FALSE)="","",
VLOOKUP($A678,YES_Reading_FLA[],COLUMN(YES_Reading_FLA[Self-Identified as African Descent]),FALSE)),
IF($J$2="Combined",
IFERROR(
IF(VLOOKUP($A678, YES_Reading_ELA[], COLUMN(YES_Reading_ELA[Self-Identified as African Descent]), FALSE)="", "",
VLOOKUP($A678,YES_Reading_ELA[],COLUMN(YES_Reading_ELA[Self-Identified as African Descent]),FALSE)),
IF(VLOOKUP($A678, YES_Reading_FLA[], COLUMN(YES_Reading_FLA[Self-Identified as African Descent]),FALSE)="", "", VLOOKUP($A678,YES_Reading_FLA[],COLUMN(YES_Reading_FLA[Self-Identified as African Descent]),FALSE))),""))),"")</f>
        <v/>
      </c>
      <c r="L678" s="73" t="str" cm="1">
        <f t="array" ref="L678">IFERROR(
IF($J$2="ELA",
IF(VLOOKUP($A678, YES_Reading_ELA[], COLUMN(YES_Reading_ELA[Self-Identified as Indigenous]), FALSE)="", "",
VLOOKUP($A678,YES_Reading_ELA[], COLUMN(YES_Reading_ELA[Self-Identified as Indigenous]), FALSE)),
IF($J$2="FLA",
IF(VLOOKUP($A678, YES_Reading_FLA[], COLUMN(YES_Reading_FLA[Self-Identified as Indigenous]),FALSE)="","",
VLOOKUP($A678,YES_Reading_FLA[],COLUMN(YES_Reading_FLA[Self-Identified as Indigenous]),FALSE)),
IF($J$2="Combined",
IFERROR(
IF(VLOOKUP($A678, YES_Reading_ELA[], COLUMN(YES_Reading_ELA[Self-Identified as Indigenous]), FALSE)="", "",
VLOOKUP($A678,YES_Reading_ELA[],COLUMN(YES_Reading_ELA[Self-Identified as Indigenous]),FALSE)),
IF(VLOOKUP($A678, YES_Reading_FLA[], COLUMN(YES_Reading_FLA[Self-Identified as Indigenous]),FALSE)="", "", VLOOKUP($A678,YES_Reading_FLA[],COLUMN(YES_Reading_FLA[Self-Identified as Indigenous]),FALSE))),""))),"")</f>
        <v/>
      </c>
    </row>
    <row r="679" spans="1:12" ht="19.5" customHeight="1" x14ac:dyDescent="0.25">
      <c r="A679" s="217"/>
      <c r="B679" s="220" t="str">
        <f>IFERROR(VLOOKUP(A679,_xlfn.VSTACK(YES_Reading_ELA[],YES_Reading_FLA[]),2,FALSE),"")</f>
        <v/>
      </c>
      <c r="C679" s="203" t="str" cm="1">
        <f t="array" aca="1" ref="C679" ca="1">IFERROR(
IF($J$2="ELA",
IF(VLOOKUP($A679, YES_Reading_ELA[], COLUMN(IF(VLOOKUP($D$2, 'Reading Report Logic'!$A$2:$B$8, 2, FALSE)=1, YES_Reading_ELA[Reading Level June of Previous School Year], INDIRECT("YES_Reading_ELA[Instructional Reading Level - Per "&amp;(VLOOKUP($D$2,'Reading Report Logic'!$A$2:$B$8,2,FALSE)-1)&amp;"]"))), FALSE)="", "",
VLOOKUP($A679,YES_Reading_ELA[], COLUMN(IF(VLOOKUP($D$2,'Reading Report Logic'!$A$2:$B$8,2,FALSE)=1, YES_Reading_ELA[Reading Level June of Previous School Year],INDIRECT("YES_Reading_ELA[Instructional Reading Level - Per "&amp;(VLOOKUP($D$2,'Reading Report Logic'!$A$2:$B$8,2,FALSE)-1)&amp;"]"))), FALSE)),
IF($J$2="FLA",
IF(VLOOKUP($A679, YES_Reading_FLA[], COLUMN(IF(VLOOKUP($D$2,'Reading Report Logic'!$A$2:$B$8,2,FALSE)=1, YES_Reading_FLA[Reading Level June of Previous School Year],INDIRECT("YES_Reading_FLA[Instructional Reading Level - Per "&amp;(VLOOKUP($D$2,'Reading Report Logic'!$A$2:$B$8,2,FALSE)-1)&amp;"]"))),FALSE)="","",
VLOOKUP($A679,YES_Reading_FLA[], COLUMN(IF(VLOOKUP($D$2,'Reading Report Logic'!$A$2:$B$8,2,FALSE)=1, YES_Reading_FLA[Reading Level June of Previous School Year],INDIRECT("YES_Reading_FLA[Instructional Reading Level - Per "&amp;(VLOOKUP($D$2,'Reading Report Logic'!$A$2:$B$8,2,FALSE)-1)&amp;"]"))),FALSE)),
IF($J$2="Combined",
IFERROR(
IF(VLOOKUP($A679, YES_Reading_ELA[], COLUMN(IF(VLOOKUP($D$2,'Reading Report Logic'!$A$2:$B$8,2,FALSE)=1, YES_Reading_ELA[Reading Level June of Previous School Year],INDIRECT("YES_Reading_ELA[Instructional Reading Level - Per "&amp;(VLOOKUP($D$2,'Reading Report Logic'!$A$2:$B$8,2,FALSE)-1)&amp;"]"))), FALSE)="", "",
VLOOKUP($A679,YES_Reading_ELA[],COLUMN(IF(VLOOKUP($D$2,'Reading Report Logic'!$A$2:$B$8,2,FALSE)=1, YES_Reading_ELA[Reading Level June of Previous School Year],INDIRECT("YES_Reading_ELA[Instructional Reading Level - Per "&amp;(VLOOKUP($D$2,'Reading Report Logic'!$A$2:$B$8,2,FALSE)-1)&amp;"]"))),FALSE)),
IF(VLOOKUP($A679, YES_Reading_FLA[], COLUMN(IF(VLOOKUP($D$2,'Reading Report Logic'!$A$2:$B$8,2,FALSE)=1, YES_Reading_FLA[Reading Level June of Previous School Year],INDIRECT("YES_Reading_FLA[Instructional Reading Level - Per "&amp;(VLOOKUP($D$2,'Reading Report Logic'!$A$2:$B$8,2,FALSE)-1)&amp;"]"))),FALSE)="", "", VLOOKUP($A679,YES_Reading_FLA[],COLUMN(IF(VLOOKUP($D$2,'Reading Report Logic'!$A$2:$B$8,2,FALSE)=1, YES_Reading_FLA[Reading Level June of Previous School Year],INDIRECT("YES_Reading_FLA[Instructional Reading Level - Per "&amp;(VLOOKUP($D$2,'Reading Report Logic'!$A$2:$B$8,2,FALSE)-1)&amp;"]"))), FALSE))),""))),"")</f>
        <v/>
      </c>
      <c r="D679" s="204" t="str" cm="1">
        <f t="array" aca="1" ref="D679" ca="1">IFERROR(
IF($J$2="ELA",
IF(VLOOKUP($A679, YES_Reading_ELA[], COLUMN(INDIRECT("YES_Reading_ELA[Instructional Reading Level - Per "&amp;VLOOKUP($D$2, 'Reading Report Logic'!$A$2:$B$8, 2, FALSE)&amp;"]")), FALSE)="", "",
VLOOKUP($A679,YES_Reading_ELA[], COLUMN(INDIRECT("YES_Reading_ELA[Instructional Reading Level - Per "&amp;VLOOKUP($D$2,'Reading Report Logic'!$A$2:$B$8,2,FALSE)&amp;"]")), FALSE)),
IF($J$2="FLA",
IF(VLOOKUP($A679, YES_Reading_FLA[], COLUMN(INDIRECT("YES_Reading_FLA[Instructional Reading Level - Per "&amp;VLOOKUP($D$2,'Reading Report Logic'!$A$2:$B$8,2,FALSE)&amp;"]")),FALSE)="","",
VLOOKUP($A679,YES_Reading_FLA[],COLUMN(INDIRECT("YES_Reading_FLA[Instructional Reading Level - Per "&amp;VLOOKUP($D$2,'Reading Report Logic'!$A$2:$B$8,2,FALSE)&amp;"]")),FALSE)),
IF($J$2="Combined",
IFERROR(
IF(VLOOKUP($A679, YES_Reading_ELA[], COLUMN(INDIRECT("YES_Reading_ELA[Instructional Reading Level - Per "&amp;VLOOKUP($D$2, 'Reading Report Logic'!$A$2:$B$8,2,FALSE)&amp;"]")), FALSE)="", "",
VLOOKUP($A679,YES_Reading_ELA[],COLUMN(INDIRECT("YES_Reading_ELA[Instructional Reading Level - Per "&amp;VLOOKUP($D$2,'Reading Report Logic'!$A$2:$B$8,2,FALSE)&amp;"]")),FALSE)),
IF(VLOOKUP($A679, YES_Reading_FLA[], COLUMN(INDIRECT("YES_Reading_FLA[Instructional Reading Level - Per "&amp;VLOOKUP($D$2, 'Reading Report Logic'!$A$2:$B$8, 2, FALSE)&amp;"]")),FALSE)="", "", VLOOKUP($A679,YES_Reading_FLA[],COLUMN(INDIRECT("YES_Reading_FLA[Instructional Reading Level - Per "&amp;VLOOKUP($D$2, 'Reading Report Logic'!$A$2:$B$8, 2, FALSE)&amp;"]")),FALSE))),""))),"")</f>
        <v/>
      </c>
      <c r="E679" s="205" t="str" cm="1">
        <f t="array" aca="1" ref="E679" ca="1">IFERROR(
IF($J$2="ELA",
IF(VLOOKUP($A679, YES_Reading_ELA[], COLUMN(INDIRECT("YES_Reading_ELA[Min Expectation - Per "&amp;VLOOKUP($D$2, 'Reading Report Logic'!$A$2:$B$8, 2, FALSE)&amp;"]")), FALSE)="", "",
VLOOKUP($A679,YES_Reading_ELA[], COLUMN(INDIRECT("YES_Reading_ELA[Min Expectation - Per "&amp;VLOOKUP($D$2,'Reading Report Logic'!$A$2:$B$8,2,FALSE)&amp;"]")), FALSE)),
IF($J$2="FLA",
IF(VLOOKUP($A679, YES_Reading_FLA[], COLUMN(INDIRECT("YES_Reading_FLA[Min Expectation - Per "&amp;VLOOKUP($D$2,'Reading Report Logic'!$A$2:$B$8,2,FALSE)&amp;"]")),FALSE)="","",
VLOOKUP($A679,YES_Reading_FLA[],COLUMN(INDIRECT("YES_Reading_FLA[Min Expectation - Per "&amp;VLOOKUP($D$2,'Reading Report Logic'!$A$2:$B$8,2,FALSE)&amp;"]")),FALSE)),
IF($J$2="Combined",
IFERROR(
IF(VLOOKUP($A679, YES_Reading_ELA[], COLUMN(INDIRECT("YES_Reading_ELA[Min Expectation - Per "&amp;VLOOKUP($D$2, 'Reading Report Logic'!$A$2:$B$8,2,FALSE)&amp;"]")), FALSE)="", "",
VLOOKUP($A679,YES_Reading_ELA[],COLUMN(INDIRECT("YES_Reading_ELA[Min Expectation - Per "&amp;VLOOKUP($D$2,'Reading Report Logic'!$A$2:$B$8,2,FALSE)&amp;"]")),FALSE)),
IF(VLOOKUP($A679, YES_Reading_FLA[], COLUMN(INDIRECT("YES_Reading_FLA[Min Expectation - Per "&amp;VLOOKUP($D$2, 'Reading Report Logic'!$A$2:$B$8, 2, FALSE)&amp;"]")),FALSE)="", "", VLOOKUP($A679,YES_Reading_FLA[],COLUMN(INDIRECT("YES_Reading_FLA[Min Expectation - Per "&amp;VLOOKUP($D$2, 'Reading Report Logic'!$A$2:$B$8, 2, FALSE)&amp;"]")),FALSE))),""))),"")</f>
        <v/>
      </c>
      <c r="F679" s="205" t="str" cm="1">
        <f t="array" aca="1" ref="F679" ca="1">IFERROR(
IF($J$2="ELA",
IF(VLOOKUP($A679, YES_Reading_ELA[], COLUMN(INDIRECT("YES_Reading_ELA[Max Expectation - Per "&amp;VLOOKUP($D$2, 'Reading Report Logic'!$A$2:$B$8, 2, FALSE)&amp;"]")), FALSE)="", "",
VLOOKUP($A679,YES_Reading_ELA[], COLUMN(INDIRECT("YES_Reading_ELA[Max Expectation - Per "&amp;VLOOKUP($D$2,'Reading Report Logic'!$A$2:$B$8,2,FALSE)&amp;"]")), FALSE)),
IF($J$2="FLA",
IF(VLOOKUP($A679, YES_Reading_FLA[], COLUMN(INDIRECT("YES_Reading_FLA[Max Expectation - Per "&amp;VLOOKUP($D$2,'Reading Report Logic'!$A$2:$B$8,2,FALSE)&amp;"]")),FALSE)="","",
VLOOKUP($A679,YES_Reading_FLA[],COLUMN(INDIRECT("YES_Reading_FLA[Max Expectation - Per "&amp;VLOOKUP($D$2,'Reading Report Logic'!$A$2:$B$8,2,FALSE)&amp;"]")),FALSE)),
IF($J$2="Combined",
IFERROR(
IF(VLOOKUP($A679, YES_Reading_ELA[], COLUMN(INDIRECT("YES_Reading_ELA[Max Expectation - Per "&amp;VLOOKUP($D$2, 'Reading Report Logic'!$A$2:$B$8,2,FALSE)&amp;"]")), FALSE)="", "",
VLOOKUP($A679,YES_Reading_ELA[],COLUMN(INDIRECT("YES_Reading_ELA[Max Expectation - Per "&amp;VLOOKUP($D$2,'Reading Report Logic'!$A$2:$B$8,2,FALSE)&amp;"]")),FALSE)),
IF(VLOOKUP($A679, YES_Reading_FLA[], COLUMN(INDIRECT("YES_Reading_FLA[Max Expectation - Per "&amp;VLOOKUP($D$2, 'Reading Report Logic'!$A$2:$B$8, 2, FALSE)&amp;"]")),FALSE)="", "", VLOOKUP($A679,YES_Reading_FLA[],COLUMN(INDIRECT("YES_Reading_FLA[Max Expectation - Per "&amp;VLOOKUP($D$2, 'Reading Report Logic'!$A$2:$B$8, 2, FALSE)&amp;"]")),FALSE))),""))),"")</f>
        <v/>
      </c>
      <c r="G679" s="205" t="str" cm="1">
        <f t="array" aca="1" ref="G679" ca="1">IFERROR(
IF($J$2="ELA",
IF(VLOOKUP($A679, YES_Reading_ELA[], COLUMN(INDIRECT("YES_Reading_ELA[Difference - Per "&amp;VLOOKUP($D$2, 'Reading Report Logic'!$A$2:$B$8, 2, FALSE)&amp;"]")), FALSE)="", "",
VLOOKUP($A679,YES_Reading_ELA[], COLUMN(INDIRECT("YES_Reading_ELA[Difference - Per "&amp;VLOOKUP($D$2,'Reading Report Logic'!$A$2:$B$8,2,FALSE)&amp;"]")), FALSE)),
IF($J$2="FLA",
IF(VLOOKUP($A679, YES_Reading_FLA[], COLUMN(INDIRECT("YES_Reading_FLA[Difference - Per "&amp;VLOOKUP($D$2,'Reading Report Logic'!$A$2:$B$8,2,FALSE)&amp;"]")),FALSE)="","",
VLOOKUP($A679,YES_Reading_FLA[],COLUMN(INDIRECT("YES_Reading_FLA[Difference - Per "&amp;VLOOKUP($D$2,'Reading Report Logic'!$A$2:$B$8,2,FALSE)&amp;"]")),FALSE)),
IF($J$2="Combined",
IFERROR(
IF(VLOOKUP($A679, YES_Reading_ELA[], COLUMN(INDIRECT("YES_Reading_ELA[Difference - Per "&amp;VLOOKUP($D$2, 'Reading Report Logic'!$A$2:$B$8,2,FALSE)&amp;"]")), FALSE)="", "",
VLOOKUP($A679,YES_Reading_ELA[],COLUMN(INDIRECT("YES_Reading_ELA[Difference - Per "&amp;VLOOKUP($D$2,'Reading Report Logic'!$A$2:$B$8,2,FALSE)&amp;"]")),FALSE)),
IF(VLOOKUP($A679, YES_Reading_FLA[], COLUMN(INDIRECT("YES_Reading_FLA[Difference - Per "&amp;VLOOKUP($D$2, 'Reading Report Logic'!$A$2:$B$8, 2, FALSE)&amp;"]")),FALSE)="", "", VLOOKUP($A679,YES_Reading_FLA[],COLUMN(INDIRECT("YES_Reading_FLA[Difference - Per "&amp;VLOOKUP($D$2, 'Reading Report Logic'!$A$2:$B$8, 2, FALSE)&amp;"]")),FALSE))),""))),"")</f>
        <v/>
      </c>
      <c r="H679" s="206" t="str">
        <f ca="1">IFERROR(VLOOKUP('Teacher Reading Pull Sheets'!$D679,_xlfn.VSTACK('ELA Reading Logic'!$A$22:$B$48,'FLA Reading Logic'!$A$22:$B$53),2,FALSE)-VLOOKUP('Teacher Reading Pull Sheets'!$C679,_xlfn.VSTACK('ELA Reading Logic'!$A$22:$B$48,'FLA Reading Logic'!$A$22:$B$53),2,FALSE),"")</f>
        <v/>
      </c>
      <c r="I679" s="212"/>
      <c r="J679" s="206"/>
      <c r="K679" s="197" t="str" cm="1">
        <f t="array" ref="K679">IFERROR(
IF($J$2="ELA",
IF(VLOOKUP($A679, YES_Reading_ELA[], COLUMN(YES_Reading_ELA[Self-Identified as African Descent]), FALSE)="", "",
VLOOKUP($A679,YES_Reading_ELA[], COLUMN(YES_Reading_ELA[Self-Identified as African Descent]), FALSE)),
IF($J$2="FLA",
IF(VLOOKUP($A679, YES_Reading_FLA[], COLUMN(YES_Reading_FLA[Self-Identified as African Descent]),FALSE)="","",
VLOOKUP($A679,YES_Reading_FLA[],COLUMN(YES_Reading_FLA[Self-Identified as African Descent]),FALSE)),
IF($J$2="Combined",
IFERROR(
IF(VLOOKUP($A679, YES_Reading_ELA[], COLUMN(YES_Reading_ELA[Self-Identified as African Descent]), FALSE)="", "",
VLOOKUP($A679,YES_Reading_ELA[],COLUMN(YES_Reading_ELA[Self-Identified as African Descent]),FALSE)),
IF(VLOOKUP($A679, YES_Reading_FLA[], COLUMN(YES_Reading_FLA[Self-Identified as African Descent]),FALSE)="", "", VLOOKUP($A679,YES_Reading_FLA[],COLUMN(YES_Reading_FLA[Self-Identified as African Descent]),FALSE))),""))),"")</f>
        <v/>
      </c>
      <c r="L679" s="73" t="str" cm="1">
        <f t="array" ref="L679">IFERROR(
IF($J$2="ELA",
IF(VLOOKUP($A679, YES_Reading_ELA[], COLUMN(YES_Reading_ELA[Self-Identified as Indigenous]), FALSE)="", "",
VLOOKUP($A679,YES_Reading_ELA[], COLUMN(YES_Reading_ELA[Self-Identified as Indigenous]), FALSE)),
IF($J$2="FLA",
IF(VLOOKUP($A679, YES_Reading_FLA[], COLUMN(YES_Reading_FLA[Self-Identified as Indigenous]),FALSE)="","",
VLOOKUP($A679,YES_Reading_FLA[],COLUMN(YES_Reading_FLA[Self-Identified as Indigenous]),FALSE)),
IF($J$2="Combined",
IFERROR(
IF(VLOOKUP($A679, YES_Reading_ELA[], COLUMN(YES_Reading_ELA[Self-Identified as Indigenous]), FALSE)="", "",
VLOOKUP($A679,YES_Reading_ELA[],COLUMN(YES_Reading_ELA[Self-Identified as Indigenous]),FALSE)),
IF(VLOOKUP($A679, YES_Reading_FLA[], COLUMN(YES_Reading_FLA[Self-Identified as Indigenous]),FALSE)="", "", VLOOKUP($A679,YES_Reading_FLA[],COLUMN(YES_Reading_FLA[Self-Identified as Indigenous]),FALSE))),""))),"")</f>
        <v/>
      </c>
    </row>
    <row r="680" spans="1:12" ht="19.5" customHeight="1" x14ac:dyDescent="0.25">
      <c r="A680" s="217"/>
      <c r="B680" s="220" t="str">
        <f>IFERROR(VLOOKUP(A680,_xlfn.VSTACK(YES_Reading_ELA[],YES_Reading_FLA[]),2,FALSE),"")</f>
        <v/>
      </c>
      <c r="C680" s="203" t="str" cm="1">
        <f t="array" aca="1" ref="C680" ca="1">IFERROR(
IF($J$2="ELA",
IF(VLOOKUP($A680, YES_Reading_ELA[], COLUMN(IF(VLOOKUP($D$2, 'Reading Report Logic'!$A$2:$B$8, 2, FALSE)=1, YES_Reading_ELA[Reading Level June of Previous School Year], INDIRECT("YES_Reading_ELA[Instructional Reading Level - Per "&amp;(VLOOKUP($D$2,'Reading Report Logic'!$A$2:$B$8,2,FALSE)-1)&amp;"]"))), FALSE)="", "",
VLOOKUP($A680,YES_Reading_ELA[], COLUMN(IF(VLOOKUP($D$2,'Reading Report Logic'!$A$2:$B$8,2,FALSE)=1, YES_Reading_ELA[Reading Level June of Previous School Year],INDIRECT("YES_Reading_ELA[Instructional Reading Level - Per "&amp;(VLOOKUP($D$2,'Reading Report Logic'!$A$2:$B$8,2,FALSE)-1)&amp;"]"))), FALSE)),
IF($J$2="FLA",
IF(VLOOKUP($A680, YES_Reading_FLA[], COLUMN(IF(VLOOKUP($D$2,'Reading Report Logic'!$A$2:$B$8,2,FALSE)=1, YES_Reading_FLA[Reading Level June of Previous School Year],INDIRECT("YES_Reading_FLA[Instructional Reading Level - Per "&amp;(VLOOKUP($D$2,'Reading Report Logic'!$A$2:$B$8,2,FALSE)-1)&amp;"]"))),FALSE)="","",
VLOOKUP($A680,YES_Reading_FLA[], COLUMN(IF(VLOOKUP($D$2,'Reading Report Logic'!$A$2:$B$8,2,FALSE)=1, YES_Reading_FLA[Reading Level June of Previous School Year],INDIRECT("YES_Reading_FLA[Instructional Reading Level - Per "&amp;(VLOOKUP($D$2,'Reading Report Logic'!$A$2:$B$8,2,FALSE)-1)&amp;"]"))),FALSE)),
IF($J$2="Combined",
IFERROR(
IF(VLOOKUP($A680, YES_Reading_ELA[], COLUMN(IF(VLOOKUP($D$2,'Reading Report Logic'!$A$2:$B$8,2,FALSE)=1, YES_Reading_ELA[Reading Level June of Previous School Year],INDIRECT("YES_Reading_ELA[Instructional Reading Level - Per "&amp;(VLOOKUP($D$2,'Reading Report Logic'!$A$2:$B$8,2,FALSE)-1)&amp;"]"))), FALSE)="", "",
VLOOKUP($A680,YES_Reading_ELA[],COLUMN(IF(VLOOKUP($D$2,'Reading Report Logic'!$A$2:$B$8,2,FALSE)=1, YES_Reading_ELA[Reading Level June of Previous School Year],INDIRECT("YES_Reading_ELA[Instructional Reading Level - Per "&amp;(VLOOKUP($D$2,'Reading Report Logic'!$A$2:$B$8,2,FALSE)-1)&amp;"]"))),FALSE)),
IF(VLOOKUP($A680, YES_Reading_FLA[], COLUMN(IF(VLOOKUP($D$2,'Reading Report Logic'!$A$2:$B$8,2,FALSE)=1, YES_Reading_FLA[Reading Level June of Previous School Year],INDIRECT("YES_Reading_FLA[Instructional Reading Level - Per "&amp;(VLOOKUP($D$2,'Reading Report Logic'!$A$2:$B$8,2,FALSE)-1)&amp;"]"))),FALSE)="", "", VLOOKUP($A680,YES_Reading_FLA[],COLUMN(IF(VLOOKUP($D$2,'Reading Report Logic'!$A$2:$B$8,2,FALSE)=1, YES_Reading_FLA[Reading Level June of Previous School Year],INDIRECT("YES_Reading_FLA[Instructional Reading Level - Per "&amp;(VLOOKUP($D$2,'Reading Report Logic'!$A$2:$B$8,2,FALSE)-1)&amp;"]"))), FALSE))),""))),"")</f>
        <v/>
      </c>
      <c r="D680" s="204" t="str" cm="1">
        <f t="array" aca="1" ref="D680" ca="1">IFERROR(
IF($J$2="ELA",
IF(VLOOKUP($A680, YES_Reading_ELA[], COLUMN(INDIRECT("YES_Reading_ELA[Instructional Reading Level - Per "&amp;VLOOKUP($D$2, 'Reading Report Logic'!$A$2:$B$8, 2, FALSE)&amp;"]")), FALSE)="", "",
VLOOKUP($A680,YES_Reading_ELA[], COLUMN(INDIRECT("YES_Reading_ELA[Instructional Reading Level - Per "&amp;VLOOKUP($D$2,'Reading Report Logic'!$A$2:$B$8,2,FALSE)&amp;"]")), FALSE)),
IF($J$2="FLA",
IF(VLOOKUP($A680, YES_Reading_FLA[], COLUMN(INDIRECT("YES_Reading_FLA[Instructional Reading Level - Per "&amp;VLOOKUP($D$2,'Reading Report Logic'!$A$2:$B$8,2,FALSE)&amp;"]")),FALSE)="","",
VLOOKUP($A680,YES_Reading_FLA[],COLUMN(INDIRECT("YES_Reading_FLA[Instructional Reading Level - Per "&amp;VLOOKUP($D$2,'Reading Report Logic'!$A$2:$B$8,2,FALSE)&amp;"]")),FALSE)),
IF($J$2="Combined",
IFERROR(
IF(VLOOKUP($A680, YES_Reading_ELA[], COLUMN(INDIRECT("YES_Reading_ELA[Instructional Reading Level - Per "&amp;VLOOKUP($D$2, 'Reading Report Logic'!$A$2:$B$8,2,FALSE)&amp;"]")), FALSE)="", "",
VLOOKUP($A680,YES_Reading_ELA[],COLUMN(INDIRECT("YES_Reading_ELA[Instructional Reading Level - Per "&amp;VLOOKUP($D$2,'Reading Report Logic'!$A$2:$B$8,2,FALSE)&amp;"]")),FALSE)),
IF(VLOOKUP($A680, YES_Reading_FLA[], COLUMN(INDIRECT("YES_Reading_FLA[Instructional Reading Level - Per "&amp;VLOOKUP($D$2, 'Reading Report Logic'!$A$2:$B$8, 2, FALSE)&amp;"]")),FALSE)="", "", VLOOKUP($A680,YES_Reading_FLA[],COLUMN(INDIRECT("YES_Reading_FLA[Instructional Reading Level - Per "&amp;VLOOKUP($D$2, 'Reading Report Logic'!$A$2:$B$8, 2, FALSE)&amp;"]")),FALSE))),""))),"")</f>
        <v/>
      </c>
      <c r="E680" s="205" t="str" cm="1">
        <f t="array" aca="1" ref="E680" ca="1">IFERROR(
IF($J$2="ELA",
IF(VLOOKUP($A680, YES_Reading_ELA[], COLUMN(INDIRECT("YES_Reading_ELA[Min Expectation - Per "&amp;VLOOKUP($D$2, 'Reading Report Logic'!$A$2:$B$8, 2, FALSE)&amp;"]")), FALSE)="", "",
VLOOKUP($A680,YES_Reading_ELA[], COLUMN(INDIRECT("YES_Reading_ELA[Min Expectation - Per "&amp;VLOOKUP($D$2,'Reading Report Logic'!$A$2:$B$8,2,FALSE)&amp;"]")), FALSE)),
IF($J$2="FLA",
IF(VLOOKUP($A680, YES_Reading_FLA[], COLUMN(INDIRECT("YES_Reading_FLA[Min Expectation - Per "&amp;VLOOKUP($D$2,'Reading Report Logic'!$A$2:$B$8,2,FALSE)&amp;"]")),FALSE)="","",
VLOOKUP($A680,YES_Reading_FLA[],COLUMN(INDIRECT("YES_Reading_FLA[Min Expectation - Per "&amp;VLOOKUP($D$2,'Reading Report Logic'!$A$2:$B$8,2,FALSE)&amp;"]")),FALSE)),
IF($J$2="Combined",
IFERROR(
IF(VLOOKUP($A680, YES_Reading_ELA[], COLUMN(INDIRECT("YES_Reading_ELA[Min Expectation - Per "&amp;VLOOKUP($D$2, 'Reading Report Logic'!$A$2:$B$8,2,FALSE)&amp;"]")), FALSE)="", "",
VLOOKUP($A680,YES_Reading_ELA[],COLUMN(INDIRECT("YES_Reading_ELA[Min Expectation - Per "&amp;VLOOKUP($D$2,'Reading Report Logic'!$A$2:$B$8,2,FALSE)&amp;"]")),FALSE)),
IF(VLOOKUP($A680, YES_Reading_FLA[], COLUMN(INDIRECT("YES_Reading_FLA[Min Expectation - Per "&amp;VLOOKUP($D$2, 'Reading Report Logic'!$A$2:$B$8, 2, FALSE)&amp;"]")),FALSE)="", "", VLOOKUP($A680,YES_Reading_FLA[],COLUMN(INDIRECT("YES_Reading_FLA[Min Expectation - Per "&amp;VLOOKUP($D$2, 'Reading Report Logic'!$A$2:$B$8, 2, FALSE)&amp;"]")),FALSE))),""))),"")</f>
        <v/>
      </c>
      <c r="F680" s="205" t="str" cm="1">
        <f t="array" aca="1" ref="F680" ca="1">IFERROR(
IF($J$2="ELA",
IF(VLOOKUP($A680, YES_Reading_ELA[], COLUMN(INDIRECT("YES_Reading_ELA[Max Expectation - Per "&amp;VLOOKUP($D$2, 'Reading Report Logic'!$A$2:$B$8, 2, FALSE)&amp;"]")), FALSE)="", "",
VLOOKUP($A680,YES_Reading_ELA[], COLUMN(INDIRECT("YES_Reading_ELA[Max Expectation - Per "&amp;VLOOKUP($D$2,'Reading Report Logic'!$A$2:$B$8,2,FALSE)&amp;"]")), FALSE)),
IF($J$2="FLA",
IF(VLOOKUP($A680, YES_Reading_FLA[], COLUMN(INDIRECT("YES_Reading_FLA[Max Expectation - Per "&amp;VLOOKUP($D$2,'Reading Report Logic'!$A$2:$B$8,2,FALSE)&amp;"]")),FALSE)="","",
VLOOKUP($A680,YES_Reading_FLA[],COLUMN(INDIRECT("YES_Reading_FLA[Max Expectation - Per "&amp;VLOOKUP($D$2,'Reading Report Logic'!$A$2:$B$8,2,FALSE)&amp;"]")),FALSE)),
IF($J$2="Combined",
IFERROR(
IF(VLOOKUP($A680, YES_Reading_ELA[], COLUMN(INDIRECT("YES_Reading_ELA[Max Expectation - Per "&amp;VLOOKUP($D$2, 'Reading Report Logic'!$A$2:$B$8,2,FALSE)&amp;"]")), FALSE)="", "",
VLOOKUP($A680,YES_Reading_ELA[],COLUMN(INDIRECT("YES_Reading_ELA[Max Expectation - Per "&amp;VLOOKUP($D$2,'Reading Report Logic'!$A$2:$B$8,2,FALSE)&amp;"]")),FALSE)),
IF(VLOOKUP($A680, YES_Reading_FLA[], COLUMN(INDIRECT("YES_Reading_FLA[Max Expectation - Per "&amp;VLOOKUP($D$2, 'Reading Report Logic'!$A$2:$B$8, 2, FALSE)&amp;"]")),FALSE)="", "", VLOOKUP($A680,YES_Reading_FLA[],COLUMN(INDIRECT("YES_Reading_FLA[Max Expectation - Per "&amp;VLOOKUP($D$2, 'Reading Report Logic'!$A$2:$B$8, 2, FALSE)&amp;"]")),FALSE))),""))),"")</f>
        <v/>
      </c>
      <c r="G680" s="205" t="str" cm="1">
        <f t="array" aca="1" ref="G680" ca="1">IFERROR(
IF($J$2="ELA",
IF(VLOOKUP($A680, YES_Reading_ELA[], COLUMN(INDIRECT("YES_Reading_ELA[Difference - Per "&amp;VLOOKUP($D$2, 'Reading Report Logic'!$A$2:$B$8, 2, FALSE)&amp;"]")), FALSE)="", "",
VLOOKUP($A680,YES_Reading_ELA[], COLUMN(INDIRECT("YES_Reading_ELA[Difference - Per "&amp;VLOOKUP($D$2,'Reading Report Logic'!$A$2:$B$8,2,FALSE)&amp;"]")), FALSE)),
IF($J$2="FLA",
IF(VLOOKUP($A680, YES_Reading_FLA[], COLUMN(INDIRECT("YES_Reading_FLA[Difference - Per "&amp;VLOOKUP($D$2,'Reading Report Logic'!$A$2:$B$8,2,FALSE)&amp;"]")),FALSE)="","",
VLOOKUP($A680,YES_Reading_FLA[],COLUMN(INDIRECT("YES_Reading_FLA[Difference - Per "&amp;VLOOKUP($D$2,'Reading Report Logic'!$A$2:$B$8,2,FALSE)&amp;"]")),FALSE)),
IF($J$2="Combined",
IFERROR(
IF(VLOOKUP($A680, YES_Reading_ELA[], COLUMN(INDIRECT("YES_Reading_ELA[Difference - Per "&amp;VLOOKUP($D$2, 'Reading Report Logic'!$A$2:$B$8,2,FALSE)&amp;"]")), FALSE)="", "",
VLOOKUP($A680,YES_Reading_ELA[],COLUMN(INDIRECT("YES_Reading_ELA[Difference - Per "&amp;VLOOKUP($D$2,'Reading Report Logic'!$A$2:$B$8,2,FALSE)&amp;"]")),FALSE)),
IF(VLOOKUP($A680, YES_Reading_FLA[], COLUMN(INDIRECT("YES_Reading_FLA[Difference - Per "&amp;VLOOKUP($D$2, 'Reading Report Logic'!$A$2:$B$8, 2, FALSE)&amp;"]")),FALSE)="", "", VLOOKUP($A680,YES_Reading_FLA[],COLUMN(INDIRECT("YES_Reading_FLA[Difference - Per "&amp;VLOOKUP($D$2, 'Reading Report Logic'!$A$2:$B$8, 2, FALSE)&amp;"]")),FALSE))),""))),"")</f>
        <v/>
      </c>
      <c r="H680" s="206" t="str">
        <f ca="1">IFERROR(VLOOKUP('Teacher Reading Pull Sheets'!$D680,_xlfn.VSTACK('ELA Reading Logic'!$A$22:$B$48,'FLA Reading Logic'!$A$22:$B$53),2,FALSE)-VLOOKUP('Teacher Reading Pull Sheets'!$C680,_xlfn.VSTACK('ELA Reading Logic'!$A$22:$B$48,'FLA Reading Logic'!$A$22:$B$53),2,FALSE),"")</f>
        <v/>
      </c>
      <c r="I680" s="212"/>
      <c r="J680" s="206"/>
      <c r="K680" s="197" t="str" cm="1">
        <f t="array" ref="K680">IFERROR(
IF($J$2="ELA",
IF(VLOOKUP($A680, YES_Reading_ELA[], COLUMN(YES_Reading_ELA[Self-Identified as African Descent]), FALSE)="", "",
VLOOKUP($A680,YES_Reading_ELA[], COLUMN(YES_Reading_ELA[Self-Identified as African Descent]), FALSE)),
IF($J$2="FLA",
IF(VLOOKUP($A680, YES_Reading_FLA[], COLUMN(YES_Reading_FLA[Self-Identified as African Descent]),FALSE)="","",
VLOOKUP($A680,YES_Reading_FLA[],COLUMN(YES_Reading_FLA[Self-Identified as African Descent]),FALSE)),
IF($J$2="Combined",
IFERROR(
IF(VLOOKUP($A680, YES_Reading_ELA[], COLUMN(YES_Reading_ELA[Self-Identified as African Descent]), FALSE)="", "",
VLOOKUP($A680,YES_Reading_ELA[],COLUMN(YES_Reading_ELA[Self-Identified as African Descent]),FALSE)),
IF(VLOOKUP($A680, YES_Reading_FLA[], COLUMN(YES_Reading_FLA[Self-Identified as African Descent]),FALSE)="", "", VLOOKUP($A680,YES_Reading_FLA[],COLUMN(YES_Reading_FLA[Self-Identified as African Descent]),FALSE))),""))),"")</f>
        <v/>
      </c>
      <c r="L680" s="73" t="str" cm="1">
        <f t="array" ref="L680">IFERROR(
IF($J$2="ELA",
IF(VLOOKUP($A680, YES_Reading_ELA[], COLUMN(YES_Reading_ELA[Self-Identified as Indigenous]), FALSE)="", "",
VLOOKUP($A680,YES_Reading_ELA[], COLUMN(YES_Reading_ELA[Self-Identified as Indigenous]), FALSE)),
IF($J$2="FLA",
IF(VLOOKUP($A680, YES_Reading_FLA[], COLUMN(YES_Reading_FLA[Self-Identified as Indigenous]),FALSE)="","",
VLOOKUP($A680,YES_Reading_FLA[],COLUMN(YES_Reading_FLA[Self-Identified as Indigenous]),FALSE)),
IF($J$2="Combined",
IFERROR(
IF(VLOOKUP($A680, YES_Reading_ELA[], COLUMN(YES_Reading_ELA[Self-Identified as Indigenous]), FALSE)="", "",
VLOOKUP($A680,YES_Reading_ELA[],COLUMN(YES_Reading_ELA[Self-Identified as Indigenous]),FALSE)),
IF(VLOOKUP($A680, YES_Reading_FLA[], COLUMN(YES_Reading_FLA[Self-Identified as Indigenous]),FALSE)="", "", VLOOKUP($A680,YES_Reading_FLA[],COLUMN(YES_Reading_FLA[Self-Identified as Indigenous]),FALSE))),""))),"")</f>
        <v/>
      </c>
    </row>
    <row r="681" spans="1:12" ht="19.5" customHeight="1" x14ac:dyDescent="0.25">
      <c r="A681" s="217"/>
      <c r="B681" s="220" t="str">
        <f>IFERROR(VLOOKUP(A681,_xlfn.VSTACK(YES_Reading_ELA[],YES_Reading_FLA[]),2,FALSE),"")</f>
        <v/>
      </c>
      <c r="C681" s="203" t="str" cm="1">
        <f t="array" aca="1" ref="C681" ca="1">IFERROR(
IF($J$2="ELA",
IF(VLOOKUP($A681, YES_Reading_ELA[], COLUMN(IF(VLOOKUP($D$2, 'Reading Report Logic'!$A$2:$B$8, 2, FALSE)=1, YES_Reading_ELA[Reading Level June of Previous School Year], INDIRECT("YES_Reading_ELA[Instructional Reading Level - Per "&amp;(VLOOKUP($D$2,'Reading Report Logic'!$A$2:$B$8,2,FALSE)-1)&amp;"]"))), FALSE)="", "",
VLOOKUP($A681,YES_Reading_ELA[], COLUMN(IF(VLOOKUP($D$2,'Reading Report Logic'!$A$2:$B$8,2,FALSE)=1, YES_Reading_ELA[Reading Level June of Previous School Year],INDIRECT("YES_Reading_ELA[Instructional Reading Level - Per "&amp;(VLOOKUP($D$2,'Reading Report Logic'!$A$2:$B$8,2,FALSE)-1)&amp;"]"))), FALSE)),
IF($J$2="FLA",
IF(VLOOKUP($A681, YES_Reading_FLA[], COLUMN(IF(VLOOKUP($D$2,'Reading Report Logic'!$A$2:$B$8,2,FALSE)=1, YES_Reading_FLA[Reading Level June of Previous School Year],INDIRECT("YES_Reading_FLA[Instructional Reading Level - Per "&amp;(VLOOKUP($D$2,'Reading Report Logic'!$A$2:$B$8,2,FALSE)-1)&amp;"]"))),FALSE)="","",
VLOOKUP($A681,YES_Reading_FLA[], COLUMN(IF(VLOOKUP($D$2,'Reading Report Logic'!$A$2:$B$8,2,FALSE)=1, YES_Reading_FLA[Reading Level June of Previous School Year],INDIRECT("YES_Reading_FLA[Instructional Reading Level - Per "&amp;(VLOOKUP($D$2,'Reading Report Logic'!$A$2:$B$8,2,FALSE)-1)&amp;"]"))),FALSE)),
IF($J$2="Combined",
IFERROR(
IF(VLOOKUP($A681, YES_Reading_ELA[], COLUMN(IF(VLOOKUP($D$2,'Reading Report Logic'!$A$2:$B$8,2,FALSE)=1, YES_Reading_ELA[Reading Level June of Previous School Year],INDIRECT("YES_Reading_ELA[Instructional Reading Level - Per "&amp;(VLOOKUP($D$2,'Reading Report Logic'!$A$2:$B$8,2,FALSE)-1)&amp;"]"))), FALSE)="", "",
VLOOKUP($A681,YES_Reading_ELA[],COLUMN(IF(VLOOKUP($D$2,'Reading Report Logic'!$A$2:$B$8,2,FALSE)=1, YES_Reading_ELA[Reading Level June of Previous School Year],INDIRECT("YES_Reading_ELA[Instructional Reading Level - Per "&amp;(VLOOKUP($D$2,'Reading Report Logic'!$A$2:$B$8,2,FALSE)-1)&amp;"]"))),FALSE)),
IF(VLOOKUP($A681, YES_Reading_FLA[], COLUMN(IF(VLOOKUP($D$2,'Reading Report Logic'!$A$2:$B$8,2,FALSE)=1, YES_Reading_FLA[Reading Level June of Previous School Year],INDIRECT("YES_Reading_FLA[Instructional Reading Level - Per "&amp;(VLOOKUP($D$2,'Reading Report Logic'!$A$2:$B$8,2,FALSE)-1)&amp;"]"))),FALSE)="", "", VLOOKUP($A681,YES_Reading_FLA[],COLUMN(IF(VLOOKUP($D$2,'Reading Report Logic'!$A$2:$B$8,2,FALSE)=1, YES_Reading_FLA[Reading Level June of Previous School Year],INDIRECT("YES_Reading_FLA[Instructional Reading Level - Per "&amp;(VLOOKUP($D$2,'Reading Report Logic'!$A$2:$B$8,2,FALSE)-1)&amp;"]"))), FALSE))),""))),"")</f>
        <v/>
      </c>
      <c r="D681" s="204" t="str" cm="1">
        <f t="array" aca="1" ref="D681" ca="1">IFERROR(
IF($J$2="ELA",
IF(VLOOKUP($A681, YES_Reading_ELA[], COLUMN(INDIRECT("YES_Reading_ELA[Instructional Reading Level - Per "&amp;VLOOKUP($D$2, 'Reading Report Logic'!$A$2:$B$8, 2, FALSE)&amp;"]")), FALSE)="", "",
VLOOKUP($A681,YES_Reading_ELA[], COLUMN(INDIRECT("YES_Reading_ELA[Instructional Reading Level - Per "&amp;VLOOKUP($D$2,'Reading Report Logic'!$A$2:$B$8,2,FALSE)&amp;"]")), FALSE)),
IF($J$2="FLA",
IF(VLOOKUP($A681, YES_Reading_FLA[], COLUMN(INDIRECT("YES_Reading_FLA[Instructional Reading Level - Per "&amp;VLOOKUP($D$2,'Reading Report Logic'!$A$2:$B$8,2,FALSE)&amp;"]")),FALSE)="","",
VLOOKUP($A681,YES_Reading_FLA[],COLUMN(INDIRECT("YES_Reading_FLA[Instructional Reading Level - Per "&amp;VLOOKUP($D$2,'Reading Report Logic'!$A$2:$B$8,2,FALSE)&amp;"]")),FALSE)),
IF($J$2="Combined",
IFERROR(
IF(VLOOKUP($A681, YES_Reading_ELA[], COLUMN(INDIRECT("YES_Reading_ELA[Instructional Reading Level - Per "&amp;VLOOKUP($D$2, 'Reading Report Logic'!$A$2:$B$8,2,FALSE)&amp;"]")), FALSE)="", "",
VLOOKUP($A681,YES_Reading_ELA[],COLUMN(INDIRECT("YES_Reading_ELA[Instructional Reading Level - Per "&amp;VLOOKUP($D$2,'Reading Report Logic'!$A$2:$B$8,2,FALSE)&amp;"]")),FALSE)),
IF(VLOOKUP($A681, YES_Reading_FLA[], COLUMN(INDIRECT("YES_Reading_FLA[Instructional Reading Level - Per "&amp;VLOOKUP($D$2, 'Reading Report Logic'!$A$2:$B$8, 2, FALSE)&amp;"]")),FALSE)="", "", VLOOKUP($A681,YES_Reading_FLA[],COLUMN(INDIRECT("YES_Reading_FLA[Instructional Reading Level - Per "&amp;VLOOKUP($D$2, 'Reading Report Logic'!$A$2:$B$8, 2, FALSE)&amp;"]")),FALSE))),""))),"")</f>
        <v/>
      </c>
      <c r="E681" s="205" t="str" cm="1">
        <f t="array" aca="1" ref="E681" ca="1">IFERROR(
IF($J$2="ELA",
IF(VLOOKUP($A681, YES_Reading_ELA[], COLUMN(INDIRECT("YES_Reading_ELA[Min Expectation - Per "&amp;VLOOKUP($D$2, 'Reading Report Logic'!$A$2:$B$8, 2, FALSE)&amp;"]")), FALSE)="", "",
VLOOKUP($A681,YES_Reading_ELA[], COLUMN(INDIRECT("YES_Reading_ELA[Min Expectation - Per "&amp;VLOOKUP($D$2,'Reading Report Logic'!$A$2:$B$8,2,FALSE)&amp;"]")), FALSE)),
IF($J$2="FLA",
IF(VLOOKUP($A681, YES_Reading_FLA[], COLUMN(INDIRECT("YES_Reading_FLA[Min Expectation - Per "&amp;VLOOKUP($D$2,'Reading Report Logic'!$A$2:$B$8,2,FALSE)&amp;"]")),FALSE)="","",
VLOOKUP($A681,YES_Reading_FLA[],COLUMN(INDIRECT("YES_Reading_FLA[Min Expectation - Per "&amp;VLOOKUP($D$2,'Reading Report Logic'!$A$2:$B$8,2,FALSE)&amp;"]")),FALSE)),
IF($J$2="Combined",
IFERROR(
IF(VLOOKUP($A681, YES_Reading_ELA[], COLUMN(INDIRECT("YES_Reading_ELA[Min Expectation - Per "&amp;VLOOKUP($D$2, 'Reading Report Logic'!$A$2:$B$8,2,FALSE)&amp;"]")), FALSE)="", "",
VLOOKUP($A681,YES_Reading_ELA[],COLUMN(INDIRECT("YES_Reading_ELA[Min Expectation - Per "&amp;VLOOKUP($D$2,'Reading Report Logic'!$A$2:$B$8,2,FALSE)&amp;"]")),FALSE)),
IF(VLOOKUP($A681, YES_Reading_FLA[], COLUMN(INDIRECT("YES_Reading_FLA[Min Expectation - Per "&amp;VLOOKUP($D$2, 'Reading Report Logic'!$A$2:$B$8, 2, FALSE)&amp;"]")),FALSE)="", "", VLOOKUP($A681,YES_Reading_FLA[],COLUMN(INDIRECT("YES_Reading_FLA[Min Expectation - Per "&amp;VLOOKUP($D$2, 'Reading Report Logic'!$A$2:$B$8, 2, FALSE)&amp;"]")),FALSE))),""))),"")</f>
        <v/>
      </c>
      <c r="F681" s="205" t="str" cm="1">
        <f t="array" aca="1" ref="F681" ca="1">IFERROR(
IF($J$2="ELA",
IF(VLOOKUP($A681, YES_Reading_ELA[], COLUMN(INDIRECT("YES_Reading_ELA[Max Expectation - Per "&amp;VLOOKUP($D$2, 'Reading Report Logic'!$A$2:$B$8, 2, FALSE)&amp;"]")), FALSE)="", "",
VLOOKUP($A681,YES_Reading_ELA[], COLUMN(INDIRECT("YES_Reading_ELA[Max Expectation - Per "&amp;VLOOKUP($D$2,'Reading Report Logic'!$A$2:$B$8,2,FALSE)&amp;"]")), FALSE)),
IF($J$2="FLA",
IF(VLOOKUP($A681, YES_Reading_FLA[], COLUMN(INDIRECT("YES_Reading_FLA[Max Expectation - Per "&amp;VLOOKUP($D$2,'Reading Report Logic'!$A$2:$B$8,2,FALSE)&amp;"]")),FALSE)="","",
VLOOKUP($A681,YES_Reading_FLA[],COLUMN(INDIRECT("YES_Reading_FLA[Max Expectation - Per "&amp;VLOOKUP($D$2,'Reading Report Logic'!$A$2:$B$8,2,FALSE)&amp;"]")),FALSE)),
IF($J$2="Combined",
IFERROR(
IF(VLOOKUP($A681, YES_Reading_ELA[], COLUMN(INDIRECT("YES_Reading_ELA[Max Expectation - Per "&amp;VLOOKUP($D$2, 'Reading Report Logic'!$A$2:$B$8,2,FALSE)&amp;"]")), FALSE)="", "",
VLOOKUP($A681,YES_Reading_ELA[],COLUMN(INDIRECT("YES_Reading_ELA[Max Expectation - Per "&amp;VLOOKUP($D$2,'Reading Report Logic'!$A$2:$B$8,2,FALSE)&amp;"]")),FALSE)),
IF(VLOOKUP($A681, YES_Reading_FLA[], COLUMN(INDIRECT("YES_Reading_FLA[Max Expectation - Per "&amp;VLOOKUP($D$2, 'Reading Report Logic'!$A$2:$B$8, 2, FALSE)&amp;"]")),FALSE)="", "", VLOOKUP($A681,YES_Reading_FLA[],COLUMN(INDIRECT("YES_Reading_FLA[Max Expectation - Per "&amp;VLOOKUP($D$2, 'Reading Report Logic'!$A$2:$B$8, 2, FALSE)&amp;"]")),FALSE))),""))),"")</f>
        <v/>
      </c>
      <c r="G681" s="205" t="str" cm="1">
        <f t="array" aca="1" ref="G681" ca="1">IFERROR(
IF($J$2="ELA",
IF(VLOOKUP($A681, YES_Reading_ELA[], COLUMN(INDIRECT("YES_Reading_ELA[Difference - Per "&amp;VLOOKUP($D$2, 'Reading Report Logic'!$A$2:$B$8, 2, FALSE)&amp;"]")), FALSE)="", "",
VLOOKUP($A681,YES_Reading_ELA[], COLUMN(INDIRECT("YES_Reading_ELA[Difference - Per "&amp;VLOOKUP($D$2,'Reading Report Logic'!$A$2:$B$8,2,FALSE)&amp;"]")), FALSE)),
IF($J$2="FLA",
IF(VLOOKUP($A681, YES_Reading_FLA[], COLUMN(INDIRECT("YES_Reading_FLA[Difference - Per "&amp;VLOOKUP($D$2,'Reading Report Logic'!$A$2:$B$8,2,FALSE)&amp;"]")),FALSE)="","",
VLOOKUP($A681,YES_Reading_FLA[],COLUMN(INDIRECT("YES_Reading_FLA[Difference - Per "&amp;VLOOKUP($D$2,'Reading Report Logic'!$A$2:$B$8,2,FALSE)&amp;"]")),FALSE)),
IF($J$2="Combined",
IFERROR(
IF(VLOOKUP($A681, YES_Reading_ELA[], COLUMN(INDIRECT("YES_Reading_ELA[Difference - Per "&amp;VLOOKUP($D$2, 'Reading Report Logic'!$A$2:$B$8,2,FALSE)&amp;"]")), FALSE)="", "",
VLOOKUP($A681,YES_Reading_ELA[],COLUMN(INDIRECT("YES_Reading_ELA[Difference - Per "&amp;VLOOKUP($D$2,'Reading Report Logic'!$A$2:$B$8,2,FALSE)&amp;"]")),FALSE)),
IF(VLOOKUP($A681, YES_Reading_FLA[], COLUMN(INDIRECT("YES_Reading_FLA[Difference - Per "&amp;VLOOKUP($D$2, 'Reading Report Logic'!$A$2:$B$8, 2, FALSE)&amp;"]")),FALSE)="", "", VLOOKUP($A681,YES_Reading_FLA[],COLUMN(INDIRECT("YES_Reading_FLA[Difference - Per "&amp;VLOOKUP($D$2, 'Reading Report Logic'!$A$2:$B$8, 2, FALSE)&amp;"]")),FALSE))),""))),"")</f>
        <v/>
      </c>
      <c r="H681" s="206" t="str">
        <f ca="1">IFERROR(VLOOKUP('Teacher Reading Pull Sheets'!$D681,_xlfn.VSTACK('ELA Reading Logic'!$A$22:$B$48,'FLA Reading Logic'!$A$22:$B$53),2,FALSE)-VLOOKUP('Teacher Reading Pull Sheets'!$C681,_xlfn.VSTACK('ELA Reading Logic'!$A$22:$B$48,'FLA Reading Logic'!$A$22:$B$53),2,FALSE),"")</f>
        <v/>
      </c>
      <c r="I681" s="212"/>
      <c r="J681" s="206"/>
      <c r="K681" s="197" t="str" cm="1">
        <f t="array" ref="K681">IFERROR(
IF($J$2="ELA",
IF(VLOOKUP($A681, YES_Reading_ELA[], COLUMN(YES_Reading_ELA[Self-Identified as African Descent]), FALSE)="", "",
VLOOKUP($A681,YES_Reading_ELA[], COLUMN(YES_Reading_ELA[Self-Identified as African Descent]), FALSE)),
IF($J$2="FLA",
IF(VLOOKUP($A681, YES_Reading_FLA[], COLUMN(YES_Reading_FLA[Self-Identified as African Descent]),FALSE)="","",
VLOOKUP($A681,YES_Reading_FLA[],COLUMN(YES_Reading_FLA[Self-Identified as African Descent]),FALSE)),
IF($J$2="Combined",
IFERROR(
IF(VLOOKUP($A681, YES_Reading_ELA[], COLUMN(YES_Reading_ELA[Self-Identified as African Descent]), FALSE)="", "",
VLOOKUP($A681,YES_Reading_ELA[],COLUMN(YES_Reading_ELA[Self-Identified as African Descent]),FALSE)),
IF(VLOOKUP($A681, YES_Reading_FLA[], COLUMN(YES_Reading_FLA[Self-Identified as African Descent]),FALSE)="", "", VLOOKUP($A681,YES_Reading_FLA[],COLUMN(YES_Reading_FLA[Self-Identified as African Descent]),FALSE))),""))),"")</f>
        <v/>
      </c>
      <c r="L681" s="73" t="str" cm="1">
        <f t="array" ref="L681">IFERROR(
IF($J$2="ELA",
IF(VLOOKUP($A681, YES_Reading_ELA[], COLUMN(YES_Reading_ELA[Self-Identified as Indigenous]), FALSE)="", "",
VLOOKUP($A681,YES_Reading_ELA[], COLUMN(YES_Reading_ELA[Self-Identified as Indigenous]), FALSE)),
IF($J$2="FLA",
IF(VLOOKUP($A681, YES_Reading_FLA[], COLUMN(YES_Reading_FLA[Self-Identified as Indigenous]),FALSE)="","",
VLOOKUP($A681,YES_Reading_FLA[],COLUMN(YES_Reading_FLA[Self-Identified as Indigenous]),FALSE)),
IF($J$2="Combined",
IFERROR(
IF(VLOOKUP($A681, YES_Reading_ELA[], COLUMN(YES_Reading_ELA[Self-Identified as Indigenous]), FALSE)="", "",
VLOOKUP($A681,YES_Reading_ELA[],COLUMN(YES_Reading_ELA[Self-Identified as Indigenous]),FALSE)),
IF(VLOOKUP($A681, YES_Reading_FLA[], COLUMN(YES_Reading_FLA[Self-Identified as Indigenous]),FALSE)="", "", VLOOKUP($A681,YES_Reading_FLA[],COLUMN(YES_Reading_FLA[Self-Identified as Indigenous]),FALSE))),""))),"")</f>
        <v/>
      </c>
    </row>
    <row r="682" spans="1:12" ht="19.5" customHeight="1" x14ac:dyDescent="0.25">
      <c r="A682" s="217"/>
      <c r="B682" s="220" t="str">
        <f>IFERROR(VLOOKUP(A682,_xlfn.VSTACK(YES_Reading_ELA[],YES_Reading_FLA[]),2,FALSE),"")</f>
        <v/>
      </c>
      <c r="C682" s="203" t="str" cm="1">
        <f t="array" aca="1" ref="C682" ca="1">IFERROR(
IF($J$2="ELA",
IF(VLOOKUP($A682, YES_Reading_ELA[], COLUMN(IF(VLOOKUP($D$2, 'Reading Report Logic'!$A$2:$B$8, 2, FALSE)=1, YES_Reading_ELA[Reading Level June of Previous School Year], INDIRECT("YES_Reading_ELA[Instructional Reading Level - Per "&amp;(VLOOKUP($D$2,'Reading Report Logic'!$A$2:$B$8,2,FALSE)-1)&amp;"]"))), FALSE)="", "",
VLOOKUP($A682,YES_Reading_ELA[], COLUMN(IF(VLOOKUP($D$2,'Reading Report Logic'!$A$2:$B$8,2,FALSE)=1, YES_Reading_ELA[Reading Level June of Previous School Year],INDIRECT("YES_Reading_ELA[Instructional Reading Level - Per "&amp;(VLOOKUP($D$2,'Reading Report Logic'!$A$2:$B$8,2,FALSE)-1)&amp;"]"))), FALSE)),
IF($J$2="FLA",
IF(VLOOKUP($A682, YES_Reading_FLA[], COLUMN(IF(VLOOKUP($D$2,'Reading Report Logic'!$A$2:$B$8,2,FALSE)=1, YES_Reading_FLA[Reading Level June of Previous School Year],INDIRECT("YES_Reading_FLA[Instructional Reading Level - Per "&amp;(VLOOKUP($D$2,'Reading Report Logic'!$A$2:$B$8,2,FALSE)-1)&amp;"]"))),FALSE)="","",
VLOOKUP($A682,YES_Reading_FLA[], COLUMN(IF(VLOOKUP($D$2,'Reading Report Logic'!$A$2:$B$8,2,FALSE)=1, YES_Reading_FLA[Reading Level June of Previous School Year],INDIRECT("YES_Reading_FLA[Instructional Reading Level - Per "&amp;(VLOOKUP($D$2,'Reading Report Logic'!$A$2:$B$8,2,FALSE)-1)&amp;"]"))),FALSE)),
IF($J$2="Combined",
IFERROR(
IF(VLOOKUP($A682, YES_Reading_ELA[], COLUMN(IF(VLOOKUP($D$2,'Reading Report Logic'!$A$2:$B$8,2,FALSE)=1, YES_Reading_ELA[Reading Level June of Previous School Year],INDIRECT("YES_Reading_ELA[Instructional Reading Level - Per "&amp;(VLOOKUP($D$2,'Reading Report Logic'!$A$2:$B$8,2,FALSE)-1)&amp;"]"))), FALSE)="", "",
VLOOKUP($A682,YES_Reading_ELA[],COLUMN(IF(VLOOKUP($D$2,'Reading Report Logic'!$A$2:$B$8,2,FALSE)=1, YES_Reading_ELA[Reading Level June of Previous School Year],INDIRECT("YES_Reading_ELA[Instructional Reading Level - Per "&amp;(VLOOKUP($D$2,'Reading Report Logic'!$A$2:$B$8,2,FALSE)-1)&amp;"]"))),FALSE)),
IF(VLOOKUP($A682, YES_Reading_FLA[], COLUMN(IF(VLOOKUP($D$2,'Reading Report Logic'!$A$2:$B$8,2,FALSE)=1, YES_Reading_FLA[Reading Level June of Previous School Year],INDIRECT("YES_Reading_FLA[Instructional Reading Level - Per "&amp;(VLOOKUP($D$2,'Reading Report Logic'!$A$2:$B$8,2,FALSE)-1)&amp;"]"))),FALSE)="", "", VLOOKUP($A682,YES_Reading_FLA[],COLUMN(IF(VLOOKUP($D$2,'Reading Report Logic'!$A$2:$B$8,2,FALSE)=1, YES_Reading_FLA[Reading Level June of Previous School Year],INDIRECT("YES_Reading_FLA[Instructional Reading Level - Per "&amp;(VLOOKUP($D$2,'Reading Report Logic'!$A$2:$B$8,2,FALSE)-1)&amp;"]"))), FALSE))),""))),"")</f>
        <v/>
      </c>
      <c r="D682" s="204" t="str" cm="1">
        <f t="array" aca="1" ref="D682" ca="1">IFERROR(
IF($J$2="ELA",
IF(VLOOKUP($A682, YES_Reading_ELA[], COLUMN(INDIRECT("YES_Reading_ELA[Instructional Reading Level - Per "&amp;VLOOKUP($D$2, 'Reading Report Logic'!$A$2:$B$8, 2, FALSE)&amp;"]")), FALSE)="", "",
VLOOKUP($A682,YES_Reading_ELA[], COLUMN(INDIRECT("YES_Reading_ELA[Instructional Reading Level - Per "&amp;VLOOKUP($D$2,'Reading Report Logic'!$A$2:$B$8,2,FALSE)&amp;"]")), FALSE)),
IF($J$2="FLA",
IF(VLOOKUP($A682, YES_Reading_FLA[], COLUMN(INDIRECT("YES_Reading_FLA[Instructional Reading Level - Per "&amp;VLOOKUP($D$2,'Reading Report Logic'!$A$2:$B$8,2,FALSE)&amp;"]")),FALSE)="","",
VLOOKUP($A682,YES_Reading_FLA[],COLUMN(INDIRECT("YES_Reading_FLA[Instructional Reading Level - Per "&amp;VLOOKUP($D$2,'Reading Report Logic'!$A$2:$B$8,2,FALSE)&amp;"]")),FALSE)),
IF($J$2="Combined",
IFERROR(
IF(VLOOKUP($A682, YES_Reading_ELA[], COLUMN(INDIRECT("YES_Reading_ELA[Instructional Reading Level - Per "&amp;VLOOKUP($D$2, 'Reading Report Logic'!$A$2:$B$8,2,FALSE)&amp;"]")), FALSE)="", "",
VLOOKUP($A682,YES_Reading_ELA[],COLUMN(INDIRECT("YES_Reading_ELA[Instructional Reading Level - Per "&amp;VLOOKUP($D$2,'Reading Report Logic'!$A$2:$B$8,2,FALSE)&amp;"]")),FALSE)),
IF(VLOOKUP($A682, YES_Reading_FLA[], COLUMN(INDIRECT("YES_Reading_FLA[Instructional Reading Level - Per "&amp;VLOOKUP($D$2, 'Reading Report Logic'!$A$2:$B$8, 2, FALSE)&amp;"]")),FALSE)="", "", VLOOKUP($A682,YES_Reading_FLA[],COLUMN(INDIRECT("YES_Reading_FLA[Instructional Reading Level - Per "&amp;VLOOKUP($D$2, 'Reading Report Logic'!$A$2:$B$8, 2, FALSE)&amp;"]")),FALSE))),""))),"")</f>
        <v/>
      </c>
      <c r="E682" s="205" t="str" cm="1">
        <f t="array" aca="1" ref="E682" ca="1">IFERROR(
IF($J$2="ELA",
IF(VLOOKUP($A682, YES_Reading_ELA[], COLUMN(INDIRECT("YES_Reading_ELA[Min Expectation - Per "&amp;VLOOKUP($D$2, 'Reading Report Logic'!$A$2:$B$8, 2, FALSE)&amp;"]")), FALSE)="", "",
VLOOKUP($A682,YES_Reading_ELA[], COLUMN(INDIRECT("YES_Reading_ELA[Min Expectation - Per "&amp;VLOOKUP($D$2,'Reading Report Logic'!$A$2:$B$8,2,FALSE)&amp;"]")), FALSE)),
IF($J$2="FLA",
IF(VLOOKUP($A682, YES_Reading_FLA[], COLUMN(INDIRECT("YES_Reading_FLA[Min Expectation - Per "&amp;VLOOKUP($D$2,'Reading Report Logic'!$A$2:$B$8,2,FALSE)&amp;"]")),FALSE)="","",
VLOOKUP($A682,YES_Reading_FLA[],COLUMN(INDIRECT("YES_Reading_FLA[Min Expectation - Per "&amp;VLOOKUP($D$2,'Reading Report Logic'!$A$2:$B$8,2,FALSE)&amp;"]")),FALSE)),
IF($J$2="Combined",
IFERROR(
IF(VLOOKUP($A682, YES_Reading_ELA[], COLUMN(INDIRECT("YES_Reading_ELA[Min Expectation - Per "&amp;VLOOKUP($D$2, 'Reading Report Logic'!$A$2:$B$8,2,FALSE)&amp;"]")), FALSE)="", "",
VLOOKUP($A682,YES_Reading_ELA[],COLUMN(INDIRECT("YES_Reading_ELA[Min Expectation - Per "&amp;VLOOKUP($D$2,'Reading Report Logic'!$A$2:$B$8,2,FALSE)&amp;"]")),FALSE)),
IF(VLOOKUP($A682, YES_Reading_FLA[], COLUMN(INDIRECT("YES_Reading_FLA[Min Expectation - Per "&amp;VLOOKUP($D$2, 'Reading Report Logic'!$A$2:$B$8, 2, FALSE)&amp;"]")),FALSE)="", "", VLOOKUP($A682,YES_Reading_FLA[],COLUMN(INDIRECT("YES_Reading_FLA[Min Expectation - Per "&amp;VLOOKUP($D$2, 'Reading Report Logic'!$A$2:$B$8, 2, FALSE)&amp;"]")),FALSE))),""))),"")</f>
        <v/>
      </c>
      <c r="F682" s="205" t="str" cm="1">
        <f t="array" aca="1" ref="F682" ca="1">IFERROR(
IF($J$2="ELA",
IF(VLOOKUP($A682, YES_Reading_ELA[], COLUMN(INDIRECT("YES_Reading_ELA[Max Expectation - Per "&amp;VLOOKUP($D$2, 'Reading Report Logic'!$A$2:$B$8, 2, FALSE)&amp;"]")), FALSE)="", "",
VLOOKUP($A682,YES_Reading_ELA[], COLUMN(INDIRECT("YES_Reading_ELA[Max Expectation - Per "&amp;VLOOKUP($D$2,'Reading Report Logic'!$A$2:$B$8,2,FALSE)&amp;"]")), FALSE)),
IF($J$2="FLA",
IF(VLOOKUP($A682, YES_Reading_FLA[], COLUMN(INDIRECT("YES_Reading_FLA[Max Expectation - Per "&amp;VLOOKUP($D$2,'Reading Report Logic'!$A$2:$B$8,2,FALSE)&amp;"]")),FALSE)="","",
VLOOKUP($A682,YES_Reading_FLA[],COLUMN(INDIRECT("YES_Reading_FLA[Max Expectation - Per "&amp;VLOOKUP($D$2,'Reading Report Logic'!$A$2:$B$8,2,FALSE)&amp;"]")),FALSE)),
IF($J$2="Combined",
IFERROR(
IF(VLOOKUP($A682, YES_Reading_ELA[], COLUMN(INDIRECT("YES_Reading_ELA[Max Expectation - Per "&amp;VLOOKUP($D$2, 'Reading Report Logic'!$A$2:$B$8,2,FALSE)&amp;"]")), FALSE)="", "",
VLOOKUP($A682,YES_Reading_ELA[],COLUMN(INDIRECT("YES_Reading_ELA[Max Expectation - Per "&amp;VLOOKUP($D$2,'Reading Report Logic'!$A$2:$B$8,2,FALSE)&amp;"]")),FALSE)),
IF(VLOOKUP($A682, YES_Reading_FLA[], COLUMN(INDIRECT("YES_Reading_FLA[Max Expectation - Per "&amp;VLOOKUP($D$2, 'Reading Report Logic'!$A$2:$B$8, 2, FALSE)&amp;"]")),FALSE)="", "", VLOOKUP($A682,YES_Reading_FLA[],COLUMN(INDIRECT("YES_Reading_FLA[Max Expectation - Per "&amp;VLOOKUP($D$2, 'Reading Report Logic'!$A$2:$B$8, 2, FALSE)&amp;"]")),FALSE))),""))),"")</f>
        <v/>
      </c>
      <c r="G682" s="205" t="str" cm="1">
        <f t="array" aca="1" ref="G682" ca="1">IFERROR(
IF($J$2="ELA",
IF(VLOOKUP($A682, YES_Reading_ELA[], COLUMN(INDIRECT("YES_Reading_ELA[Difference - Per "&amp;VLOOKUP($D$2, 'Reading Report Logic'!$A$2:$B$8, 2, FALSE)&amp;"]")), FALSE)="", "",
VLOOKUP($A682,YES_Reading_ELA[], COLUMN(INDIRECT("YES_Reading_ELA[Difference - Per "&amp;VLOOKUP($D$2,'Reading Report Logic'!$A$2:$B$8,2,FALSE)&amp;"]")), FALSE)),
IF($J$2="FLA",
IF(VLOOKUP($A682, YES_Reading_FLA[], COLUMN(INDIRECT("YES_Reading_FLA[Difference - Per "&amp;VLOOKUP($D$2,'Reading Report Logic'!$A$2:$B$8,2,FALSE)&amp;"]")),FALSE)="","",
VLOOKUP($A682,YES_Reading_FLA[],COLUMN(INDIRECT("YES_Reading_FLA[Difference - Per "&amp;VLOOKUP($D$2,'Reading Report Logic'!$A$2:$B$8,2,FALSE)&amp;"]")),FALSE)),
IF($J$2="Combined",
IFERROR(
IF(VLOOKUP($A682, YES_Reading_ELA[], COLUMN(INDIRECT("YES_Reading_ELA[Difference - Per "&amp;VLOOKUP($D$2, 'Reading Report Logic'!$A$2:$B$8,2,FALSE)&amp;"]")), FALSE)="", "",
VLOOKUP($A682,YES_Reading_ELA[],COLUMN(INDIRECT("YES_Reading_ELA[Difference - Per "&amp;VLOOKUP($D$2,'Reading Report Logic'!$A$2:$B$8,2,FALSE)&amp;"]")),FALSE)),
IF(VLOOKUP($A682, YES_Reading_FLA[], COLUMN(INDIRECT("YES_Reading_FLA[Difference - Per "&amp;VLOOKUP($D$2, 'Reading Report Logic'!$A$2:$B$8, 2, FALSE)&amp;"]")),FALSE)="", "", VLOOKUP($A682,YES_Reading_FLA[],COLUMN(INDIRECT("YES_Reading_FLA[Difference - Per "&amp;VLOOKUP($D$2, 'Reading Report Logic'!$A$2:$B$8, 2, FALSE)&amp;"]")),FALSE))),""))),"")</f>
        <v/>
      </c>
      <c r="H682" s="206" t="str">
        <f ca="1">IFERROR(VLOOKUP('Teacher Reading Pull Sheets'!$D682,_xlfn.VSTACK('ELA Reading Logic'!$A$22:$B$48,'FLA Reading Logic'!$A$22:$B$53),2,FALSE)-VLOOKUP('Teacher Reading Pull Sheets'!$C682,_xlfn.VSTACK('ELA Reading Logic'!$A$22:$B$48,'FLA Reading Logic'!$A$22:$B$53),2,FALSE),"")</f>
        <v/>
      </c>
      <c r="I682" s="212"/>
      <c r="J682" s="206"/>
      <c r="K682" s="197" t="str" cm="1">
        <f t="array" ref="K682">IFERROR(
IF($J$2="ELA",
IF(VLOOKUP($A682, YES_Reading_ELA[], COLUMN(YES_Reading_ELA[Self-Identified as African Descent]), FALSE)="", "",
VLOOKUP($A682,YES_Reading_ELA[], COLUMN(YES_Reading_ELA[Self-Identified as African Descent]), FALSE)),
IF($J$2="FLA",
IF(VLOOKUP($A682, YES_Reading_FLA[], COLUMN(YES_Reading_FLA[Self-Identified as African Descent]),FALSE)="","",
VLOOKUP($A682,YES_Reading_FLA[],COLUMN(YES_Reading_FLA[Self-Identified as African Descent]),FALSE)),
IF($J$2="Combined",
IFERROR(
IF(VLOOKUP($A682, YES_Reading_ELA[], COLUMN(YES_Reading_ELA[Self-Identified as African Descent]), FALSE)="", "",
VLOOKUP($A682,YES_Reading_ELA[],COLUMN(YES_Reading_ELA[Self-Identified as African Descent]),FALSE)),
IF(VLOOKUP($A682, YES_Reading_FLA[], COLUMN(YES_Reading_FLA[Self-Identified as African Descent]),FALSE)="", "", VLOOKUP($A682,YES_Reading_FLA[],COLUMN(YES_Reading_FLA[Self-Identified as African Descent]),FALSE))),""))),"")</f>
        <v/>
      </c>
      <c r="L682" s="73" t="str" cm="1">
        <f t="array" ref="L682">IFERROR(
IF($J$2="ELA",
IF(VLOOKUP($A682, YES_Reading_ELA[], COLUMN(YES_Reading_ELA[Self-Identified as Indigenous]), FALSE)="", "",
VLOOKUP($A682,YES_Reading_ELA[], COLUMN(YES_Reading_ELA[Self-Identified as Indigenous]), FALSE)),
IF($J$2="FLA",
IF(VLOOKUP($A682, YES_Reading_FLA[], COLUMN(YES_Reading_FLA[Self-Identified as Indigenous]),FALSE)="","",
VLOOKUP($A682,YES_Reading_FLA[],COLUMN(YES_Reading_FLA[Self-Identified as Indigenous]),FALSE)),
IF($J$2="Combined",
IFERROR(
IF(VLOOKUP($A682, YES_Reading_ELA[], COLUMN(YES_Reading_ELA[Self-Identified as Indigenous]), FALSE)="", "",
VLOOKUP($A682,YES_Reading_ELA[],COLUMN(YES_Reading_ELA[Self-Identified as Indigenous]),FALSE)),
IF(VLOOKUP($A682, YES_Reading_FLA[], COLUMN(YES_Reading_FLA[Self-Identified as Indigenous]),FALSE)="", "", VLOOKUP($A682,YES_Reading_FLA[],COLUMN(YES_Reading_FLA[Self-Identified as Indigenous]),FALSE))),""))),"")</f>
        <v/>
      </c>
    </row>
    <row r="683" spans="1:12" ht="19.5" customHeight="1" x14ac:dyDescent="0.25">
      <c r="A683" s="217"/>
      <c r="B683" s="220" t="str">
        <f>IFERROR(VLOOKUP(A683,_xlfn.VSTACK(YES_Reading_ELA[],YES_Reading_FLA[]),2,FALSE),"")</f>
        <v/>
      </c>
      <c r="C683" s="203" t="str" cm="1">
        <f t="array" aca="1" ref="C683" ca="1">IFERROR(
IF($J$2="ELA",
IF(VLOOKUP($A683, YES_Reading_ELA[], COLUMN(IF(VLOOKUP($D$2, 'Reading Report Logic'!$A$2:$B$8, 2, FALSE)=1, YES_Reading_ELA[Reading Level June of Previous School Year], INDIRECT("YES_Reading_ELA[Instructional Reading Level - Per "&amp;(VLOOKUP($D$2,'Reading Report Logic'!$A$2:$B$8,2,FALSE)-1)&amp;"]"))), FALSE)="", "",
VLOOKUP($A683,YES_Reading_ELA[], COLUMN(IF(VLOOKUP($D$2,'Reading Report Logic'!$A$2:$B$8,2,FALSE)=1, YES_Reading_ELA[Reading Level June of Previous School Year],INDIRECT("YES_Reading_ELA[Instructional Reading Level - Per "&amp;(VLOOKUP($D$2,'Reading Report Logic'!$A$2:$B$8,2,FALSE)-1)&amp;"]"))), FALSE)),
IF($J$2="FLA",
IF(VLOOKUP($A683, YES_Reading_FLA[], COLUMN(IF(VLOOKUP($D$2,'Reading Report Logic'!$A$2:$B$8,2,FALSE)=1, YES_Reading_FLA[Reading Level June of Previous School Year],INDIRECT("YES_Reading_FLA[Instructional Reading Level - Per "&amp;(VLOOKUP($D$2,'Reading Report Logic'!$A$2:$B$8,2,FALSE)-1)&amp;"]"))),FALSE)="","",
VLOOKUP($A683,YES_Reading_FLA[], COLUMN(IF(VLOOKUP($D$2,'Reading Report Logic'!$A$2:$B$8,2,FALSE)=1, YES_Reading_FLA[Reading Level June of Previous School Year],INDIRECT("YES_Reading_FLA[Instructional Reading Level - Per "&amp;(VLOOKUP($D$2,'Reading Report Logic'!$A$2:$B$8,2,FALSE)-1)&amp;"]"))),FALSE)),
IF($J$2="Combined",
IFERROR(
IF(VLOOKUP($A683, YES_Reading_ELA[], COLUMN(IF(VLOOKUP($D$2,'Reading Report Logic'!$A$2:$B$8,2,FALSE)=1, YES_Reading_ELA[Reading Level June of Previous School Year],INDIRECT("YES_Reading_ELA[Instructional Reading Level - Per "&amp;(VLOOKUP($D$2,'Reading Report Logic'!$A$2:$B$8,2,FALSE)-1)&amp;"]"))), FALSE)="", "",
VLOOKUP($A683,YES_Reading_ELA[],COLUMN(IF(VLOOKUP($D$2,'Reading Report Logic'!$A$2:$B$8,2,FALSE)=1, YES_Reading_ELA[Reading Level June of Previous School Year],INDIRECT("YES_Reading_ELA[Instructional Reading Level - Per "&amp;(VLOOKUP($D$2,'Reading Report Logic'!$A$2:$B$8,2,FALSE)-1)&amp;"]"))),FALSE)),
IF(VLOOKUP($A683, YES_Reading_FLA[], COLUMN(IF(VLOOKUP($D$2,'Reading Report Logic'!$A$2:$B$8,2,FALSE)=1, YES_Reading_FLA[Reading Level June of Previous School Year],INDIRECT("YES_Reading_FLA[Instructional Reading Level - Per "&amp;(VLOOKUP($D$2,'Reading Report Logic'!$A$2:$B$8,2,FALSE)-1)&amp;"]"))),FALSE)="", "", VLOOKUP($A683,YES_Reading_FLA[],COLUMN(IF(VLOOKUP($D$2,'Reading Report Logic'!$A$2:$B$8,2,FALSE)=1, YES_Reading_FLA[Reading Level June of Previous School Year],INDIRECT("YES_Reading_FLA[Instructional Reading Level - Per "&amp;(VLOOKUP($D$2,'Reading Report Logic'!$A$2:$B$8,2,FALSE)-1)&amp;"]"))), FALSE))),""))),"")</f>
        <v/>
      </c>
      <c r="D683" s="204" t="str" cm="1">
        <f t="array" aca="1" ref="D683" ca="1">IFERROR(
IF($J$2="ELA",
IF(VLOOKUP($A683, YES_Reading_ELA[], COLUMN(INDIRECT("YES_Reading_ELA[Instructional Reading Level - Per "&amp;VLOOKUP($D$2, 'Reading Report Logic'!$A$2:$B$8, 2, FALSE)&amp;"]")), FALSE)="", "",
VLOOKUP($A683,YES_Reading_ELA[], COLUMN(INDIRECT("YES_Reading_ELA[Instructional Reading Level - Per "&amp;VLOOKUP($D$2,'Reading Report Logic'!$A$2:$B$8,2,FALSE)&amp;"]")), FALSE)),
IF($J$2="FLA",
IF(VLOOKUP($A683, YES_Reading_FLA[], COLUMN(INDIRECT("YES_Reading_FLA[Instructional Reading Level - Per "&amp;VLOOKUP($D$2,'Reading Report Logic'!$A$2:$B$8,2,FALSE)&amp;"]")),FALSE)="","",
VLOOKUP($A683,YES_Reading_FLA[],COLUMN(INDIRECT("YES_Reading_FLA[Instructional Reading Level - Per "&amp;VLOOKUP($D$2,'Reading Report Logic'!$A$2:$B$8,2,FALSE)&amp;"]")),FALSE)),
IF($J$2="Combined",
IFERROR(
IF(VLOOKUP($A683, YES_Reading_ELA[], COLUMN(INDIRECT("YES_Reading_ELA[Instructional Reading Level - Per "&amp;VLOOKUP($D$2, 'Reading Report Logic'!$A$2:$B$8,2,FALSE)&amp;"]")), FALSE)="", "",
VLOOKUP($A683,YES_Reading_ELA[],COLUMN(INDIRECT("YES_Reading_ELA[Instructional Reading Level - Per "&amp;VLOOKUP($D$2,'Reading Report Logic'!$A$2:$B$8,2,FALSE)&amp;"]")),FALSE)),
IF(VLOOKUP($A683, YES_Reading_FLA[], COLUMN(INDIRECT("YES_Reading_FLA[Instructional Reading Level - Per "&amp;VLOOKUP($D$2, 'Reading Report Logic'!$A$2:$B$8, 2, FALSE)&amp;"]")),FALSE)="", "", VLOOKUP($A683,YES_Reading_FLA[],COLUMN(INDIRECT("YES_Reading_FLA[Instructional Reading Level - Per "&amp;VLOOKUP($D$2, 'Reading Report Logic'!$A$2:$B$8, 2, FALSE)&amp;"]")),FALSE))),""))),"")</f>
        <v/>
      </c>
      <c r="E683" s="205" t="str" cm="1">
        <f t="array" aca="1" ref="E683" ca="1">IFERROR(
IF($J$2="ELA",
IF(VLOOKUP($A683, YES_Reading_ELA[], COLUMN(INDIRECT("YES_Reading_ELA[Min Expectation - Per "&amp;VLOOKUP($D$2, 'Reading Report Logic'!$A$2:$B$8, 2, FALSE)&amp;"]")), FALSE)="", "",
VLOOKUP($A683,YES_Reading_ELA[], COLUMN(INDIRECT("YES_Reading_ELA[Min Expectation - Per "&amp;VLOOKUP($D$2,'Reading Report Logic'!$A$2:$B$8,2,FALSE)&amp;"]")), FALSE)),
IF($J$2="FLA",
IF(VLOOKUP($A683, YES_Reading_FLA[], COLUMN(INDIRECT("YES_Reading_FLA[Min Expectation - Per "&amp;VLOOKUP($D$2,'Reading Report Logic'!$A$2:$B$8,2,FALSE)&amp;"]")),FALSE)="","",
VLOOKUP($A683,YES_Reading_FLA[],COLUMN(INDIRECT("YES_Reading_FLA[Min Expectation - Per "&amp;VLOOKUP($D$2,'Reading Report Logic'!$A$2:$B$8,2,FALSE)&amp;"]")),FALSE)),
IF($J$2="Combined",
IFERROR(
IF(VLOOKUP($A683, YES_Reading_ELA[], COLUMN(INDIRECT("YES_Reading_ELA[Min Expectation - Per "&amp;VLOOKUP($D$2, 'Reading Report Logic'!$A$2:$B$8,2,FALSE)&amp;"]")), FALSE)="", "",
VLOOKUP($A683,YES_Reading_ELA[],COLUMN(INDIRECT("YES_Reading_ELA[Min Expectation - Per "&amp;VLOOKUP($D$2,'Reading Report Logic'!$A$2:$B$8,2,FALSE)&amp;"]")),FALSE)),
IF(VLOOKUP($A683, YES_Reading_FLA[], COLUMN(INDIRECT("YES_Reading_FLA[Min Expectation - Per "&amp;VLOOKUP($D$2, 'Reading Report Logic'!$A$2:$B$8, 2, FALSE)&amp;"]")),FALSE)="", "", VLOOKUP($A683,YES_Reading_FLA[],COLUMN(INDIRECT("YES_Reading_FLA[Min Expectation - Per "&amp;VLOOKUP($D$2, 'Reading Report Logic'!$A$2:$B$8, 2, FALSE)&amp;"]")),FALSE))),""))),"")</f>
        <v/>
      </c>
      <c r="F683" s="205" t="str" cm="1">
        <f t="array" aca="1" ref="F683" ca="1">IFERROR(
IF($J$2="ELA",
IF(VLOOKUP($A683, YES_Reading_ELA[], COLUMN(INDIRECT("YES_Reading_ELA[Max Expectation - Per "&amp;VLOOKUP($D$2, 'Reading Report Logic'!$A$2:$B$8, 2, FALSE)&amp;"]")), FALSE)="", "",
VLOOKUP($A683,YES_Reading_ELA[], COLUMN(INDIRECT("YES_Reading_ELA[Max Expectation - Per "&amp;VLOOKUP($D$2,'Reading Report Logic'!$A$2:$B$8,2,FALSE)&amp;"]")), FALSE)),
IF($J$2="FLA",
IF(VLOOKUP($A683, YES_Reading_FLA[], COLUMN(INDIRECT("YES_Reading_FLA[Max Expectation - Per "&amp;VLOOKUP($D$2,'Reading Report Logic'!$A$2:$B$8,2,FALSE)&amp;"]")),FALSE)="","",
VLOOKUP($A683,YES_Reading_FLA[],COLUMN(INDIRECT("YES_Reading_FLA[Max Expectation - Per "&amp;VLOOKUP($D$2,'Reading Report Logic'!$A$2:$B$8,2,FALSE)&amp;"]")),FALSE)),
IF($J$2="Combined",
IFERROR(
IF(VLOOKUP($A683, YES_Reading_ELA[], COLUMN(INDIRECT("YES_Reading_ELA[Max Expectation - Per "&amp;VLOOKUP($D$2, 'Reading Report Logic'!$A$2:$B$8,2,FALSE)&amp;"]")), FALSE)="", "",
VLOOKUP($A683,YES_Reading_ELA[],COLUMN(INDIRECT("YES_Reading_ELA[Max Expectation - Per "&amp;VLOOKUP($D$2,'Reading Report Logic'!$A$2:$B$8,2,FALSE)&amp;"]")),FALSE)),
IF(VLOOKUP($A683, YES_Reading_FLA[], COLUMN(INDIRECT("YES_Reading_FLA[Max Expectation - Per "&amp;VLOOKUP($D$2, 'Reading Report Logic'!$A$2:$B$8, 2, FALSE)&amp;"]")),FALSE)="", "", VLOOKUP($A683,YES_Reading_FLA[],COLUMN(INDIRECT("YES_Reading_FLA[Max Expectation - Per "&amp;VLOOKUP($D$2, 'Reading Report Logic'!$A$2:$B$8, 2, FALSE)&amp;"]")),FALSE))),""))),"")</f>
        <v/>
      </c>
      <c r="G683" s="205" t="str" cm="1">
        <f t="array" aca="1" ref="G683" ca="1">IFERROR(
IF($J$2="ELA",
IF(VLOOKUP($A683, YES_Reading_ELA[], COLUMN(INDIRECT("YES_Reading_ELA[Difference - Per "&amp;VLOOKUP($D$2, 'Reading Report Logic'!$A$2:$B$8, 2, FALSE)&amp;"]")), FALSE)="", "",
VLOOKUP($A683,YES_Reading_ELA[], COLUMN(INDIRECT("YES_Reading_ELA[Difference - Per "&amp;VLOOKUP($D$2,'Reading Report Logic'!$A$2:$B$8,2,FALSE)&amp;"]")), FALSE)),
IF($J$2="FLA",
IF(VLOOKUP($A683, YES_Reading_FLA[], COLUMN(INDIRECT("YES_Reading_FLA[Difference - Per "&amp;VLOOKUP($D$2,'Reading Report Logic'!$A$2:$B$8,2,FALSE)&amp;"]")),FALSE)="","",
VLOOKUP($A683,YES_Reading_FLA[],COLUMN(INDIRECT("YES_Reading_FLA[Difference - Per "&amp;VLOOKUP($D$2,'Reading Report Logic'!$A$2:$B$8,2,FALSE)&amp;"]")),FALSE)),
IF($J$2="Combined",
IFERROR(
IF(VLOOKUP($A683, YES_Reading_ELA[], COLUMN(INDIRECT("YES_Reading_ELA[Difference - Per "&amp;VLOOKUP($D$2, 'Reading Report Logic'!$A$2:$B$8,2,FALSE)&amp;"]")), FALSE)="", "",
VLOOKUP($A683,YES_Reading_ELA[],COLUMN(INDIRECT("YES_Reading_ELA[Difference - Per "&amp;VLOOKUP($D$2,'Reading Report Logic'!$A$2:$B$8,2,FALSE)&amp;"]")),FALSE)),
IF(VLOOKUP($A683, YES_Reading_FLA[], COLUMN(INDIRECT("YES_Reading_FLA[Difference - Per "&amp;VLOOKUP($D$2, 'Reading Report Logic'!$A$2:$B$8, 2, FALSE)&amp;"]")),FALSE)="", "", VLOOKUP($A683,YES_Reading_FLA[],COLUMN(INDIRECT("YES_Reading_FLA[Difference - Per "&amp;VLOOKUP($D$2, 'Reading Report Logic'!$A$2:$B$8, 2, FALSE)&amp;"]")),FALSE))),""))),"")</f>
        <v/>
      </c>
      <c r="H683" s="206" t="str">
        <f ca="1">IFERROR(VLOOKUP('Teacher Reading Pull Sheets'!$D683,_xlfn.VSTACK('ELA Reading Logic'!$A$22:$B$48,'FLA Reading Logic'!$A$22:$B$53),2,FALSE)-VLOOKUP('Teacher Reading Pull Sheets'!$C683,_xlfn.VSTACK('ELA Reading Logic'!$A$22:$B$48,'FLA Reading Logic'!$A$22:$B$53),2,FALSE),"")</f>
        <v/>
      </c>
      <c r="I683" s="212"/>
      <c r="J683" s="206"/>
      <c r="K683" s="197" t="str" cm="1">
        <f t="array" ref="K683">IFERROR(
IF($J$2="ELA",
IF(VLOOKUP($A683, YES_Reading_ELA[], COLUMN(YES_Reading_ELA[Self-Identified as African Descent]), FALSE)="", "",
VLOOKUP($A683,YES_Reading_ELA[], COLUMN(YES_Reading_ELA[Self-Identified as African Descent]), FALSE)),
IF($J$2="FLA",
IF(VLOOKUP($A683, YES_Reading_FLA[], COLUMN(YES_Reading_FLA[Self-Identified as African Descent]),FALSE)="","",
VLOOKUP($A683,YES_Reading_FLA[],COLUMN(YES_Reading_FLA[Self-Identified as African Descent]),FALSE)),
IF($J$2="Combined",
IFERROR(
IF(VLOOKUP($A683, YES_Reading_ELA[], COLUMN(YES_Reading_ELA[Self-Identified as African Descent]), FALSE)="", "",
VLOOKUP($A683,YES_Reading_ELA[],COLUMN(YES_Reading_ELA[Self-Identified as African Descent]),FALSE)),
IF(VLOOKUP($A683, YES_Reading_FLA[], COLUMN(YES_Reading_FLA[Self-Identified as African Descent]),FALSE)="", "", VLOOKUP($A683,YES_Reading_FLA[],COLUMN(YES_Reading_FLA[Self-Identified as African Descent]),FALSE))),""))),"")</f>
        <v/>
      </c>
      <c r="L683" s="73" t="str" cm="1">
        <f t="array" ref="L683">IFERROR(
IF($J$2="ELA",
IF(VLOOKUP($A683, YES_Reading_ELA[], COLUMN(YES_Reading_ELA[Self-Identified as Indigenous]), FALSE)="", "",
VLOOKUP($A683,YES_Reading_ELA[], COLUMN(YES_Reading_ELA[Self-Identified as Indigenous]), FALSE)),
IF($J$2="FLA",
IF(VLOOKUP($A683, YES_Reading_FLA[], COLUMN(YES_Reading_FLA[Self-Identified as Indigenous]),FALSE)="","",
VLOOKUP($A683,YES_Reading_FLA[],COLUMN(YES_Reading_FLA[Self-Identified as Indigenous]),FALSE)),
IF($J$2="Combined",
IFERROR(
IF(VLOOKUP($A683, YES_Reading_ELA[], COLUMN(YES_Reading_ELA[Self-Identified as Indigenous]), FALSE)="", "",
VLOOKUP($A683,YES_Reading_ELA[],COLUMN(YES_Reading_ELA[Self-Identified as Indigenous]),FALSE)),
IF(VLOOKUP($A683, YES_Reading_FLA[], COLUMN(YES_Reading_FLA[Self-Identified as Indigenous]),FALSE)="", "", VLOOKUP($A683,YES_Reading_FLA[],COLUMN(YES_Reading_FLA[Self-Identified as Indigenous]),FALSE))),""))),"")</f>
        <v/>
      </c>
    </row>
    <row r="684" spans="1:12" ht="19.5" customHeight="1" x14ac:dyDescent="0.25">
      <c r="A684" s="217"/>
      <c r="B684" s="220" t="str">
        <f>IFERROR(VLOOKUP(A684,_xlfn.VSTACK(YES_Reading_ELA[],YES_Reading_FLA[]),2,FALSE),"")</f>
        <v/>
      </c>
      <c r="C684" s="203" t="str" cm="1">
        <f t="array" aca="1" ref="C684" ca="1">IFERROR(
IF($J$2="ELA",
IF(VLOOKUP($A684, YES_Reading_ELA[], COLUMN(IF(VLOOKUP($D$2, 'Reading Report Logic'!$A$2:$B$8, 2, FALSE)=1, YES_Reading_ELA[Reading Level June of Previous School Year], INDIRECT("YES_Reading_ELA[Instructional Reading Level - Per "&amp;(VLOOKUP($D$2,'Reading Report Logic'!$A$2:$B$8,2,FALSE)-1)&amp;"]"))), FALSE)="", "",
VLOOKUP($A684,YES_Reading_ELA[], COLUMN(IF(VLOOKUP($D$2,'Reading Report Logic'!$A$2:$B$8,2,FALSE)=1, YES_Reading_ELA[Reading Level June of Previous School Year],INDIRECT("YES_Reading_ELA[Instructional Reading Level - Per "&amp;(VLOOKUP($D$2,'Reading Report Logic'!$A$2:$B$8,2,FALSE)-1)&amp;"]"))), FALSE)),
IF($J$2="FLA",
IF(VLOOKUP($A684, YES_Reading_FLA[], COLUMN(IF(VLOOKUP($D$2,'Reading Report Logic'!$A$2:$B$8,2,FALSE)=1, YES_Reading_FLA[Reading Level June of Previous School Year],INDIRECT("YES_Reading_FLA[Instructional Reading Level - Per "&amp;(VLOOKUP($D$2,'Reading Report Logic'!$A$2:$B$8,2,FALSE)-1)&amp;"]"))),FALSE)="","",
VLOOKUP($A684,YES_Reading_FLA[], COLUMN(IF(VLOOKUP($D$2,'Reading Report Logic'!$A$2:$B$8,2,FALSE)=1, YES_Reading_FLA[Reading Level June of Previous School Year],INDIRECT("YES_Reading_FLA[Instructional Reading Level - Per "&amp;(VLOOKUP($D$2,'Reading Report Logic'!$A$2:$B$8,2,FALSE)-1)&amp;"]"))),FALSE)),
IF($J$2="Combined",
IFERROR(
IF(VLOOKUP($A684, YES_Reading_ELA[], COLUMN(IF(VLOOKUP($D$2,'Reading Report Logic'!$A$2:$B$8,2,FALSE)=1, YES_Reading_ELA[Reading Level June of Previous School Year],INDIRECT("YES_Reading_ELA[Instructional Reading Level - Per "&amp;(VLOOKUP($D$2,'Reading Report Logic'!$A$2:$B$8,2,FALSE)-1)&amp;"]"))), FALSE)="", "",
VLOOKUP($A684,YES_Reading_ELA[],COLUMN(IF(VLOOKUP($D$2,'Reading Report Logic'!$A$2:$B$8,2,FALSE)=1, YES_Reading_ELA[Reading Level June of Previous School Year],INDIRECT("YES_Reading_ELA[Instructional Reading Level - Per "&amp;(VLOOKUP($D$2,'Reading Report Logic'!$A$2:$B$8,2,FALSE)-1)&amp;"]"))),FALSE)),
IF(VLOOKUP($A684, YES_Reading_FLA[], COLUMN(IF(VLOOKUP($D$2,'Reading Report Logic'!$A$2:$B$8,2,FALSE)=1, YES_Reading_FLA[Reading Level June of Previous School Year],INDIRECT("YES_Reading_FLA[Instructional Reading Level - Per "&amp;(VLOOKUP($D$2,'Reading Report Logic'!$A$2:$B$8,2,FALSE)-1)&amp;"]"))),FALSE)="", "", VLOOKUP($A684,YES_Reading_FLA[],COLUMN(IF(VLOOKUP($D$2,'Reading Report Logic'!$A$2:$B$8,2,FALSE)=1, YES_Reading_FLA[Reading Level June of Previous School Year],INDIRECT("YES_Reading_FLA[Instructional Reading Level - Per "&amp;(VLOOKUP($D$2,'Reading Report Logic'!$A$2:$B$8,2,FALSE)-1)&amp;"]"))), FALSE))),""))),"")</f>
        <v/>
      </c>
      <c r="D684" s="204" t="str" cm="1">
        <f t="array" aca="1" ref="D684" ca="1">IFERROR(
IF($J$2="ELA",
IF(VLOOKUP($A684, YES_Reading_ELA[], COLUMN(INDIRECT("YES_Reading_ELA[Instructional Reading Level - Per "&amp;VLOOKUP($D$2, 'Reading Report Logic'!$A$2:$B$8, 2, FALSE)&amp;"]")), FALSE)="", "",
VLOOKUP($A684,YES_Reading_ELA[], COLUMN(INDIRECT("YES_Reading_ELA[Instructional Reading Level - Per "&amp;VLOOKUP($D$2,'Reading Report Logic'!$A$2:$B$8,2,FALSE)&amp;"]")), FALSE)),
IF($J$2="FLA",
IF(VLOOKUP($A684, YES_Reading_FLA[], COLUMN(INDIRECT("YES_Reading_FLA[Instructional Reading Level - Per "&amp;VLOOKUP($D$2,'Reading Report Logic'!$A$2:$B$8,2,FALSE)&amp;"]")),FALSE)="","",
VLOOKUP($A684,YES_Reading_FLA[],COLUMN(INDIRECT("YES_Reading_FLA[Instructional Reading Level - Per "&amp;VLOOKUP($D$2,'Reading Report Logic'!$A$2:$B$8,2,FALSE)&amp;"]")),FALSE)),
IF($J$2="Combined",
IFERROR(
IF(VLOOKUP($A684, YES_Reading_ELA[], COLUMN(INDIRECT("YES_Reading_ELA[Instructional Reading Level - Per "&amp;VLOOKUP($D$2, 'Reading Report Logic'!$A$2:$B$8,2,FALSE)&amp;"]")), FALSE)="", "",
VLOOKUP($A684,YES_Reading_ELA[],COLUMN(INDIRECT("YES_Reading_ELA[Instructional Reading Level - Per "&amp;VLOOKUP($D$2,'Reading Report Logic'!$A$2:$B$8,2,FALSE)&amp;"]")),FALSE)),
IF(VLOOKUP($A684, YES_Reading_FLA[], COLUMN(INDIRECT("YES_Reading_FLA[Instructional Reading Level - Per "&amp;VLOOKUP($D$2, 'Reading Report Logic'!$A$2:$B$8, 2, FALSE)&amp;"]")),FALSE)="", "", VLOOKUP($A684,YES_Reading_FLA[],COLUMN(INDIRECT("YES_Reading_FLA[Instructional Reading Level - Per "&amp;VLOOKUP($D$2, 'Reading Report Logic'!$A$2:$B$8, 2, FALSE)&amp;"]")),FALSE))),""))),"")</f>
        <v/>
      </c>
      <c r="E684" s="205" t="str" cm="1">
        <f t="array" aca="1" ref="E684" ca="1">IFERROR(
IF($J$2="ELA",
IF(VLOOKUP($A684, YES_Reading_ELA[], COLUMN(INDIRECT("YES_Reading_ELA[Min Expectation - Per "&amp;VLOOKUP($D$2, 'Reading Report Logic'!$A$2:$B$8, 2, FALSE)&amp;"]")), FALSE)="", "",
VLOOKUP($A684,YES_Reading_ELA[], COLUMN(INDIRECT("YES_Reading_ELA[Min Expectation - Per "&amp;VLOOKUP($D$2,'Reading Report Logic'!$A$2:$B$8,2,FALSE)&amp;"]")), FALSE)),
IF($J$2="FLA",
IF(VLOOKUP($A684, YES_Reading_FLA[], COLUMN(INDIRECT("YES_Reading_FLA[Min Expectation - Per "&amp;VLOOKUP($D$2,'Reading Report Logic'!$A$2:$B$8,2,FALSE)&amp;"]")),FALSE)="","",
VLOOKUP($A684,YES_Reading_FLA[],COLUMN(INDIRECT("YES_Reading_FLA[Min Expectation - Per "&amp;VLOOKUP($D$2,'Reading Report Logic'!$A$2:$B$8,2,FALSE)&amp;"]")),FALSE)),
IF($J$2="Combined",
IFERROR(
IF(VLOOKUP($A684, YES_Reading_ELA[], COLUMN(INDIRECT("YES_Reading_ELA[Min Expectation - Per "&amp;VLOOKUP($D$2, 'Reading Report Logic'!$A$2:$B$8,2,FALSE)&amp;"]")), FALSE)="", "",
VLOOKUP($A684,YES_Reading_ELA[],COLUMN(INDIRECT("YES_Reading_ELA[Min Expectation - Per "&amp;VLOOKUP($D$2,'Reading Report Logic'!$A$2:$B$8,2,FALSE)&amp;"]")),FALSE)),
IF(VLOOKUP($A684, YES_Reading_FLA[], COLUMN(INDIRECT("YES_Reading_FLA[Min Expectation - Per "&amp;VLOOKUP($D$2, 'Reading Report Logic'!$A$2:$B$8, 2, FALSE)&amp;"]")),FALSE)="", "", VLOOKUP($A684,YES_Reading_FLA[],COLUMN(INDIRECT("YES_Reading_FLA[Min Expectation - Per "&amp;VLOOKUP($D$2, 'Reading Report Logic'!$A$2:$B$8, 2, FALSE)&amp;"]")),FALSE))),""))),"")</f>
        <v/>
      </c>
      <c r="F684" s="205" t="str" cm="1">
        <f t="array" aca="1" ref="F684" ca="1">IFERROR(
IF($J$2="ELA",
IF(VLOOKUP($A684, YES_Reading_ELA[], COLUMN(INDIRECT("YES_Reading_ELA[Max Expectation - Per "&amp;VLOOKUP($D$2, 'Reading Report Logic'!$A$2:$B$8, 2, FALSE)&amp;"]")), FALSE)="", "",
VLOOKUP($A684,YES_Reading_ELA[], COLUMN(INDIRECT("YES_Reading_ELA[Max Expectation - Per "&amp;VLOOKUP($D$2,'Reading Report Logic'!$A$2:$B$8,2,FALSE)&amp;"]")), FALSE)),
IF($J$2="FLA",
IF(VLOOKUP($A684, YES_Reading_FLA[], COLUMN(INDIRECT("YES_Reading_FLA[Max Expectation - Per "&amp;VLOOKUP($D$2,'Reading Report Logic'!$A$2:$B$8,2,FALSE)&amp;"]")),FALSE)="","",
VLOOKUP($A684,YES_Reading_FLA[],COLUMN(INDIRECT("YES_Reading_FLA[Max Expectation - Per "&amp;VLOOKUP($D$2,'Reading Report Logic'!$A$2:$B$8,2,FALSE)&amp;"]")),FALSE)),
IF($J$2="Combined",
IFERROR(
IF(VLOOKUP($A684, YES_Reading_ELA[], COLUMN(INDIRECT("YES_Reading_ELA[Max Expectation - Per "&amp;VLOOKUP($D$2, 'Reading Report Logic'!$A$2:$B$8,2,FALSE)&amp;"]")), FALSE)="", "",
VLOOKUP($A684,YES_Reading_ELA[],COLUMN(INDIRECT("YES_Reading_ELA[Max Expectation - Per "&amp;VLOOKUP($D$2,'Reading Report Logic'!$A$2:$B$8,2,FALSE)&amp;"]")),FALSE)),
IF(VLOOKUP($A684, YES_Reading_FLA[], COLUMN(INDIRECT("YES_Reading_FLA[Max Expectation - Per "&amp;VLOOKUP($D$2, 'Reading Report Logic'!$A$2:$B$8, 2, FALSE)&amp;"]")),FALSE)="", "", VLOOKUP($A684,YES_Reading_FLA[],COLUMN(INDIRECT("YES_Reading_FLA[Max Expectation - Per "&amp;VLOOKUP($D$2, 'Reading Report Logic'!$A$2:$B$8, 2, FALSE)&amp;"]")),FALSE))),""))),"")</f>
        <v/>
      </c>
      <c r="G684" s="205" t="str" cm="1">
        <f t="array" aca="1" ref="G684" ca="1">IFERROR(
IF($J$2="ELA",
IF(VLOOKUP($A684, YES_Reading_ELA[], COLUMN(INDIRECT("YES_Reading_ELA[Difference - Per "&amp;VLOOKUP($D$2, 'Reading Report Logic'!$A$2:$B$8, 2, FALSE)&amp;"]")), FALSE)="", "",
VLOOKUP($A684,YES_Reading_ELA[], COLUMN(INDIRECT("YES_Reading_ELA[Difference - Per "&amp;VLOOKUP($D$2,'Reading Report Logic'!$A$2:$B$8,2,FALSE)&amp;"]")), FALSE)),
IF($J$2="FLA",
IF(VLOOKUP($A684, YES_Reading_FLA[], COLUMN(INDIRECT("YES_Reading_FLA[Difference - Per "&amp;VLOOKUP($D$2,'Reading Report Logic'!$A$2:$B$8,2,FALSE)&amp;"]")),FALSE)="","",
VLOOKUP($A684,YES_Reading_FLA[],COLUMN(INDIRECT("YES_Reading_FLA[Difference - Per "&amp;VLOOKUP($D$2,'Reading Report Logic'!$A$2:$B$8,2,FALSE)&amp;"]")),FALSE)),
IF($J$2="Combined",
IFERROR(
IF(VLOOKUP($A684, YES_Reading_ELA[], COLUMN(INDIRECT("YES_Reading_ELA[Difference - Per "&amp;VLOOKUP($D$2, 'Reading Report Logic'!$A$2:$B$8,2,FALSE)&amp;"]")), FALSE)="", "",
VLOOKUP($A684,YES_Reading_ELA[],COLUMN(INDIRECT("YES_Reading_ELA[Difference - Per "&amp;VLOOKUP($D$2,'Reading Report Logic'!$A$2:$B$8,2,FALSE)&amp;"]")),FALSE)),
IF(VLOOKUP($A684, YES_Reading_FLA[], COLUMN(INDIRECT("YES_Reading_FLA[Difference - Per "&amp;VLOOKUP($D$2, 'Reading Report Logic'!$A$2:$B$8, 2, FALSE)&amp;"]")),FALSE)="", "", VLOOKUP($A684,YES_Reading_FLA[],COLUMN(INDIRECT("YES_Reading_FLA[Difference - Per "&amp;VLOOKUP($D$2, 'Reading Report Logic'!$A$2:$B$8, 2, FALSE)&amp;"]")),FALSE))),""))),"")</f>
        <v/>
      </c>
      <c r="H684" s="206" t="str">
        <f ca="1">IFERROR(VLOOKUP('Teacher Reading Pull Sheets'!$D684,_xlfn.VSTACK('ELA Reading Logic'!$A$22:$B$48,'FLA Reading Logic'!$A$22:$B$53),2,FALSE)-VLOOKUP('Teacher Reading Pull Sheets'!$C684,_xlfn.VSTACK('ELA Reading Logic'!$A$22:$B$48,'FLA Reading Logic'!$A$22:$B$53),2,FALSE),"")</f>
        <v/>
      </c>
      <c r="I684" s="212"/>
      <c r="J684" s="206"/>
      <c r="K684" s="197" t="str" cm="1">
        <f t="array" ref="K684">IFERROR(
IF($J$2="ELA",
IF(VLOOKUP($A684, YES_Reading_ELA[], COLUMN(YES_Reading_ELA[Self-Identified as African Descent]), FALSE)="", "",
VLOOKUP($A684,YES_Reading_ELA[], COLUMN(YES_Reading_ELA[Self-Identified as African Descent]), FALSE)),
IF($J$2="FLA",
IF(VLOOKUP($A684, YES_Reading_FLA[], COLUMN(YES_Reading_FLA[Self-Identified as African Descent]),FALSE)="","",
VLOOKUP($A684,YES_Reading_FLA[],COLUMN(YES_Reading_FLA[Self-Identified as African Descent]),FALSE)),
IF($J$2="Combined",
IFERROR(
IF(VLOOKUP($A684, YES_Reading_ELA[], COLUMN(YES_Reading_ELA[Self-Identified as African Descent]), FALSE)="", "",
VLOOKUP($A684,YES_Reading_ELA[],COLUMN(YES_Reading_ELA[Self-Identified as African Descent]),FALSE)),
IF(VLOOKUP($A684, YES_Reading_FLA[], COLUMN(YES_Reading_FLA[Self-Identified as African Descent]),FALSE)="", "", VLOOKUP($A684,YES_Reading_FLA[],COLUMN(YES_Reading_FLA[Self-Identified as African Descent]),FALSE))),""))),"")</f>
        <v/>
      </c>
      <c r="L684" s="73" t="str" cm="1">
        <f t="array" ref="L684">IFERROR(
IF($J$2="ELA",
IF(VLOOKUP($A684, YES_Reading_ELA[], COLUMN(YES_Reading_ELA[Self-Identified as Indigenous]), FALSE)="", "",
VLOOKUP($A684,YES_Reading_ELA[], COLUMN(YES_Reading_ELA[Self-Identified as Indigenous]), FALSE)),
IF($J$2="FLA",
IF(VLOOKUP($A684, YES_Reading_FLA[], COLUMN(YES_Reading_FLA[Self-Identified as Indigenous]),FALSE)="","",
VLOOKUP($A684,YES_Reading_FLA[],COLUMN(YES_Reading_FLA[Self-Identified as Indigenous]),FALSE)),
IF($J$2="Combined",
IFERROR(
IF(VLOOKUP($A684, YES_Reading_ELA[], COLUMN(YES_Reading_ELA[Self-Identified as Indigenous]), FALSE)="", "",
VLOOKUP($A684,YES_Reading_ELA[],COLUMN(YES_Reading_ELA[Self-Identified as Indigenous]),FALSE)),
IF(VLOOKUP($A684, YES_Reading_FLA[], COLUMN(YES_Reading_FLA[Self-Identified as Indigenous]),FALSE)="", "", VLOOKUP($A684,YES_Reading_FLA[],COLUMN(YES_Reading_FLA[Self-Identified as Indigenous]),FALSE))),""))),"")</f>
        <v/>
      </c>
    </row>
    <row r="685" spans="1:12" ht="19.5" customHeight="1" x14ac:dyDescent="0.25">
      <c r="A685" s="217"/>
      <c r="B685" s="220" t="str">
        <f>IFERROR(VLOOKUP(A685,_xlfn.VSTACK(YES_Reading_ELA[],YES_Reading_FLA[]),2,FALSE),"")</f>
        <v/>
      </c>
      <c r="C685" s="203" t="str" cm="1">
        <f t="array" aca="1" ref="C685" ca="1">IFERROR(
IF($J$2="ELA",
IF(VLOOKUP($A685, YES_Reading_ELA[], COLUMN(IF(VLOOKUP($D$2, 'Reading Report Logic'!$A$2:$B$8, 2, FALSE)=1, YES_Reading_ELA[Reading Level June of Previous School Year], INDIRECT("YES_Reading_ELA[Instructional Reading Level - Per "&amp;(VLOOKUP($D$2,'Reading Report Logic'!$A$2:$B$8,2,FALSE)-1)&amp;"]"))), FALSE)="", "",
VLOOKUP($A685,YES_Reading_ELA[], COLUMN(IF(VLOOKUP($D$2,'Reading Report Logic'!$A$2:$B$8,2,FALSE)=1, YES_Reading_ELA[Reading Level June of Previous School Year],INDIRECT("YES_Reading_ELA[Instructional Reading Level - Per "&amp;(VLOOKUP($D$2,'Reading Report Logic'!$A$2:$B$8,2,FALSE)-1)&amp;"]"))), FALSE)),
IF($J$2="FLA",
IF(VLOOKUP($A685, YES_Reading_FLA[], COLUMN(IF(VLOOKUP($D$2,'Reading Report Logic'!$A$2:$B$8,2,FALSE)=1, YES_Reading_FLA[Reading Level June of Previous School Year],INDIRECT("YES_Reading_FLA[Instructional Reading Level - Per "&amp;(VLOOKUP($D$2,'Reading Report Logic'!$A$2:$B$8,2,FALSE)-1)&amp;"]"))),FALSE)="","",
VLOOKUP($A685,YES_Reading_FLA[], COLUMN(IF(VLOOKUP($D$2,'Reading Report Logic'!$A$2:$B$8,2,FALSE)=1, YES_Reading_FLA[Reading Level June of Previous School Year],INDIRECT("YES_Reading_FLA[Instructional Reading Level - Per "&amp;(VLOOKUP($D$2,'Reading Report Logic'!$A$2:$B$8,2,FALSE)-1)&amp;"]"))),FALSE)),
IF($J$2="Combined",
IFERROR(
IF(VLOOKUP($A685, YES_Reading_ELA[], COLUMN(IF(VLOOKUP($D$2,'Reading Report Logic'!$A$2:$B$8,2,FALSE)=1, YES_Reading_ELA[Reading Level June of Previous School Year],INDIRECT("YES_Reading_ELA[Instructional Reading Level - Per "&amp;(VLOOKUP($D$2,'Reading Report Logic'!$A$2:$B$8,2,FALSE)-1)&amp;"]"))), FALSE)="", "",
VLOOKUP($A685,YES_Reading_ELA[],COLUMN(IF(VLOOKUP($D$2,'Reading Report Logic'!$A$2:$B$8,2,FALSE)=1, YES_Reading_ELA[Reading Level June of Previous School Year],INDIRECT("YES_Reading_ELA[Instructional Reading Level - Per "&amp;(VLOOKUP($D$2,'Reading Report Logic'!$A$2:$B$8,2,FALSE)-1)&amp;"]"))),FALSE)),
IF(VLOOKUP($A685, YES_Reading_FLA[], COLUMN(IF(VLOOKUP($D$2,'Reading Report Logic'!$A$2:$B$8,2,FALSE)=1, YES_Reading_FLA[Reading Level June of Previous School Year],INDIRECT("YES_Reading_FLA[Instructional Reading Level - Per "&amp;(VLOOKUP($D$2,'Reading Report Logic'!$A$2:$B$8,2,FALSE)-1)&amp;"]"))),FALSE)="", "", VLOOKUP($A685,YES_Reading_FLA[],COLUMN(IF(VLOOKUP($D$2,'Reading Report Logic'!$A$2:$B$8,2,FALSE)=1, YES_Reading_FLA[Reading Level June of Previous School Year],INDIRECT("YES_Reading_FLA[Instructional Reading Level - Per "&amp;(VLOOKUP($D$2,'Reading Report Logic'!$A$2:$B$8,2,FALSE)-1)&amp;"]"))), FALSE))),""))),"")</f>
        <v/>
      </c>
      <c r="D685" s="204" t="str" cm="1">
        <f t="array" aca="1" ref="D685" ca="1">IFERROR(
IF($J$2="ELA",
IF(VLOOKUP($A685, YES_Reading_ELA[], COLUMN(INDIRECT("YES_Reading_ELA[Instructional Reading Level - Per "&amp;VLOOKUP($D$2, 'Reading Report Logic'!$A$2:$B$8, 2, FALSE)&amp;"]")), FALSE)="", "",
VLOOKUP($A685,YES_Reading_ELA[], COLUMN(INDIRECT("YES_Reading_ELA[Instructional Reading Level - Per "&amp;VLOOKUP($D$2,'Reading Report Logic'!$A$2:$B$8,2,FALSE)&amp;"]")), FALSE)),
IF($J$2="FLA",
IF(VLOOKUP($A685, YES_Reading_FLA[], COLUMN(INDIRECT("YES_Reading_FLA[Instructional Reading Level - Per "&amp;VLOOKUP($D$2,'Reading Report Logic'!$A$2:$B$8,2,FALSE)&amp;"]")),FALSE)="","",
VLOOKUP($A685,YES_Reading_FLA[],COLUMN(INDIRECT("YES_Reading_FLA[Instructional Reading Level - Per "&amp;VLOOKUP($D$2,'Reading Report Logic'!$A$2:$B$8,2,FALSE)&amp;"]")),FALSE)),
IF($J$2="Combined",
IFERROR(
IF(VLOOKUP($A685, YES_Reading_ELA[], COLUMN(INDIRECT("YES_Reading_ELA[Instructional Reading Level - Per "&amp;VLOOKUP($D$2, 'Reading Report Logic'!$A$2:$B$8,2,FALSE)&amp;"]")), FALSE)="", "",
VLOOKUP($A685,YES_Reading_ELA[],COLUMN(INDIRECT("YES_Reading_ELA[Instructional Reading Level - Per "&amp;VLOOKUP($D$2,'Reading Report Logic'!$A$2:$B$8,2,FALSE)&amp;"]")),FALSE)),
IF(VLOOKUP($A685, YES_Reading_FLA[], COLUMN(INDIRECT("YES_Reading_FLA[Instructional Reading Level - Per "&amp;VLOOKUP($D$2, 'Reading Report Logic'!$A$2:$B$8, 2, FALSE)&amp;"]")),FALSE)="", "", VLOOKUP($A685,YES_Reading_FLA[],COLUMN(INDIRECT("YES_Reading_FLA[Instructional Reading Level - Per "&amp;VLOOKUP($D$2, 'Reading Report Logic'!$A$2:$B$8, 2, FALSE)&amp;"]")),FALSE))),""))),"")</f>
        <v/>
      </c>
      <c r="E685" s="205" t="str" cm="1">
        <f t="array" aca="1" ref="E685" ca="1">IFERROR(
IF($J$2="ELA",
IF(VLOOKUP($A685, YES_Reading_ELA[], COLUMN(INDIRECT("YES_Reading_ELA[Min Expectation - Per "&amp;VLOOKUP($D$2, 'Reading Report Logic'!$A$2:$B$8, 2, FALSE)&amp;"]")), FALSE)="", "",
VLOOKUP($A685,YES_Reading_ELA[], COLUMN(INDIRECT("YES_Reading_ELA[Min Expectation - Per "&amp;VLOOKUP($D$2,'Reading Report Logic'!$A$2:$B$8,2,FALSE)&amp;"]")), FALSE)),
IF($J$2="FLA",
IF(VLOOKUP($A685, YES_Reading_FLA[], COLUMN(INDIRECT("YES_Reading_FLA[Min Expectation - Per "&amp;VLOOKUP($D$2,'Reading Report Logic'!$A$2:$B$8,2,FALSE)&amp;"]")),FALSE)="","",
VLOOKUP($A685,YES_Reading_FLA[],COLUMN(INDIRECT("YES_Reading_FLA[Min Expectation - Per "&amp;VLOOKUP($D$2,'Reading Report Logic'!$A$2:$B$8,2,FALSE)&amp;"]")),FALSE)),
IF($J$2="Combined",
IFERROR(
IF(VLOOKUP($A685, YES_Reading_ELA[], COLUMN(INDIRECT("YES_Reading_ELA[Min Expectation - Per "&amp;VLOOKUP($D$2, 'Reading Report Logic'!$A$2:$B$8,2,FALSE)&amp;"]")), FALSE)="", "",
VLOOKUP($A685,YES_Reading_ELA[],COLUMN(INDIRECT("YES_Reading_ELA[Min Expectation - Per "&amp;VLOOKUP($D$2,'Reading Report Logic'!$A$2:$B$8,2,FALSE)&amp;"]")),FALSE)),
IF(VLOOKUP($A685, YES_Reading_FLA[], COLUMN(INDIRECT("YES_Reading_FLA[Min Expectation - Per "&amp;VLOOKUP($D$2, 'Reading Report Logic'!$A$2:$B$8, 2, FALSE)&amp;"]")),FALSE)="", "", VLOOKUP($A685,YES_Reading_FLA[],COLUMN(INDIRECT("YES_Reading_FLA[Min Expectation - Per "&amp;VLOOKUP($D$2, 'Reading Report Logic'!$A$2:$B$8, 2, FALSE)&amp;"]")),FALSE))),""))),"")</f>
        <v/>
      </c>
      <c r="F685" s="205" t="str" cm="1">
        <f t="array" aca="1" ref="F685" ca="1">IFERROR(
IF($J$2="ELA",
IF(VLOOKUP($A685, YES_Reading_ELA[], COLUMN(INDIRECT("YES_Reading_ELA[Max Expectation - Per "&amp;VLOOKUP($D$2, 'Reading Report Logic'!$A$2:$B$8, 2, FALSE)&amp;"]")), FALSE)="", "",
VLOOKUP($A685,YES_Reading_ELA[], COLUMN(INDIRECT("YES_Reading_ELA[Max Expectation - Per "&amp;VLOOKUP($D$2,'Reading Report Logic'!$A$2:$B$8,2,FALSE)&amp;"]")), FALSE)),
IF($J$2="FLA",
IF(VLOOKUP($A685, YES_Reading_FLA[], COLUMN(INDIRECT("YES_Reading_FLA[Max Expectation - Per "&amp;VLOOKUP($D$2,'Reading Report Logic'!$A$2:$B$8,2,FALSE)&amp;"]")),FALSE)="","",
VLOOKUP($A685,YES_Reading_FLA[],COLUMN(INDIRECT("YES_Reading_FLA[Max Expectation - Per "&amp;VLOOKUP($D$2,'Reading Report Logic'!$A$2:$B$8,2,FALSE)&amp;"]")),FALSE)),
IF($J$2="Combined",
IFERROR(
IF(VLOOKUP($A685, YES_Reading_ELA[], COLUMN(INDIRECT("YES_Reading_ELA[Max Expectation - Per "&amp;VLOOKUP($D$2, 'Reading Report Logic'!$A$2:$B$8,2,FALSE)&amp;"]")), FALSE)="", "",
VLOOKUP($A685,YES_Reading_ELA[],COLUMN(INDIRECT("YES_Reading_ELA[Max Expectation - Per "&amp;VLOOKUP($D$2,'Reading Report Logic'!$A$2:$B$8,2,FALSE)&amp;"]")),FALSE)),
IF(VLOOKUP($A685, YES_Reading_FLA[], COLUMN(INDIRECT("YES_Reading_FLA[Max Expectation - Per "&amp;VLOOKUP($D$2, 'Reading Report Logic'!$A$2:$B$8, 2, FALSE)&amp;"]")),FALSE)="", "", VLOOKUP($A685,YES_Reading_FLA[],COLUMN(INDIRECT("YES_Reading_FLA[Max Expectation - Per "&amp;VLOOKUP($D$2, 'Reading Report Logic'!$A$2:$B$8, 2, FALSE)&amp;"]")),FALSE))),""))),"")</f>
        <v/>
      </c>
      <c r="G685" s="205" t="str" cm="1">
        <f t="array" aca="1" ref="G685" ca="1">IFERROR(
IF($J$2="ELA",
IF(VLOOKUP($A685, YES_Reading_ELA[], COLUMN(INDIRECT("YES_Reading_ELA[Difference - Per "&amp;VLOOKUP($D$2, 'Reading Report Logic'!$A$2:$B$8, 2, FALSE)&amp;"]")), FALSE)="", "",
VLOOKUP($A685,YES_Reading_ELA[], COLUMN(INDIRECT("YES_Reading_ELA[Difference - Per "&amp;VLOOKUP($D$2,'Reading Report Logic'!$A$2:$B$8,2,FALSE)&amp;"]")), FALSE)),
IF($J$2="FLA",
IF(VLOOKUP($A685, YES_Reading_FLA[], COLUMN(INDIRECT("YES_Reading_FLA[Difference - Per "&amp;VLOOKUP($D$2,'Reading Report Logic'!$A$2:$B$8,2,FALSE)&amp;"]")),FALSE)="","",
VLOOKUP($A685,YES_Reading_FLA[],COLUMN(INDIRECT("YES_Reading_FLA[Difference - Per "&amp;VLOOKUP($D$2,'Reading Report Logic'!$A$2:$B$8,2,FALSE)&amp;"]")),FALSE)),
IF($J$2="Combined",
IFERROR(
IF(VLOOKUP($A685, YES_Reading_ELA[], COLUMN(INDIRECT("YES_Reading_ELA[Difference - Per "&amp;VLOOKUP($D$2, 'Reading Report Logic'!$A$2:$B$8,2,FALSE)&amp;"]")), FALSE)="", "",
VLOOKUP($A685,YES_Reading_ELA[],COLUMN(INDIRECT("YES_Reading_ELA[Difference - Per "&amp;VLOOKUP($D$2,'Reading Report Logic'!$A$2:$B$8,2,FALSE)&amp;"]")),FALSE)),
IF(VLOOKUP($A685, YES_Reading_FLA[], COLUMN(INDIRECT("YES_Reading_FLA[Difference - Per "&amp;VLOOKUP($D$2, 'Reading Report Logic'!$A$2:$B$8, 2, FALSE)&amp;"]")),FALSE)="", "", VLOOKUP($A685,YES_Reading_FLA[],COLUMN(INDIRECT("YES_Reading_FLA[Difference - Per "&amp;VLOOKUP($D$2, 'Reading Report Logic'!$A$2:$B$8, 2, FALSE)&amp;"]")),FALSE))),""))),"")</f>
        <v/>
      </c>
      <c r="H685" s="206" t="str">
        <f ca="1">IFERROR(VLOOKUP('Teacher Reading Pull Sheets'!$D685,_xlfn.VSTACK('ELA Reading Logic'!$A$22:$B$48,'FLA Reading Logic'!$A$22:$B$53),2,FALSE)-VLOOKUP('Teacher Reading Pull Sheets'!$C685,_xlfn.VSTACK('ELA Reading Logic'!$A$22:$B$48,'FLA Reading Logic'!$A$22:$B$53),2,FALSE),"")</f>
        <v/>
      </c>
      <c r="I685" s="212"/>
      <c r="J685" s="206"/>
      <c r="K685" s="197" t="str" cm="1">
        <f t="array" ref="K685">IFERROR(
IF($J$2="ELA",
IF(VLOOKUP($A685, YES_Reading_ELA[], COLUMN(YES_Reading_ELA[Self-Identified as African Descent]), FALSE)="", "",
VLOOKUP($A685,YES_Reading_ELA[], COLUMN(YES_Reading_ELA[Self-Identified as African Descent]), FALSE)),
IF($J$2="FLA",
IF(VLOOKUP($A685, YES_Reading_FLA[], COLUMN(YES_Reading_FLA[Self-Identified as African Descent]),FALSE)="","",
VLOOKUP($A685,YES_Reading_FLA[],COLUMN(YES_Reading_FLA[Self-Identified as African Descent]),FALSE)),
IF($J$2="Combined",
IFERROR(
IF(VLOOKUP($A685, YES_Reading_ELA[], COLUMN(YES_Reading_ELA[Self-Identified as African Descent]), FALSE)="", "",
VLOOKUP($A685,YES_Reading_ELA[],COLUMN(YES_Reading_ELA[Self-Identified as African Descent]),FALSE)),
IF(VLOOKUP($A685, YES_Reading_FLA[], COLUMN(YES_Reading_FLA[Self-Identified as African Descent]),FALSE)="", "", VLOOKUP($A685,YES_Reading_FLA[],COLUMN(YES_Reading_FLA[Self-Identified as African Descent]),FALSE))),""))),"")</f>
        <v/>
      </c>
      <c r="L685" s="73" t="str" cm="1">
        <f t="array" ref="L685">IFERROR(
IF($J$2="ELA",
IF(VLOOKUP($A685, YES_Reading_ELA[], COLUMN(YES_Reading_ELA[Self-Identified as Indigenous]), FALSE)="", "",
VLOOKUP($A685,YES_Reading_ELA[], COLUMN(YES_Reading_ELA[Self-Identified as Indigenous]), FALSE)),
IF($J$2="FLA",
IF(VLOOKUP($A685, YES_Reading_FLA[], COLUMN(YES_Reading_FLA[Self-Identified as Indigenous]),FALSE)="","",
VLOOKUP($A685,YES_Reading_FLA[],COLUMN(YES_Reading_FLA[Self-Identified as Indigenous]),FALSE)),
IF($J$2="Combined",
IFERROR(
IF(VLOOKUP($A685, YES_Reading_ELA[], COLUMN(YES_Reading_ELA[Self-Identified as Indigenous]), FALSE)="", "",
VLOOKUP($A685,YES_Reading_ELA[],COLUMN(YES_Reading_ELA[Self-Identified as Indigenous]),FALSE)),
IF(VLOOKUP($A685, YES_Reading_FLA[], COLUMN(YES_Reading_FLA[Self-Identified as Indigenous]),FALSE)="", "", VLOOKUP($A685,YES_Reading_FLA[],COLUMN(YES_Reading_FLA[Self-Identified as Indigenous]),FALSE))),""))),"")</f>
        <v/>
      </c>
    </row>
    <row r="686" spans="1:12" ht="19.5" customHeight="1" x14ac:dyDescent="0.25">
      <c r="A686" s="217"/>
      <c r="B686" s="220" t="str">
        <f>IFERROR(VLOOKUP(A686,_xlfn.VSTACK(YES_Reading_ELA[],YES_Reading_FLA[]),2,FALSE),"")</f>
        <v/>
      </c>
      <c r="C686" s="203" t="str" cm="1">
        <f t="array" aca="1" ref="C686" ca="1">IFERROR(
IF($J$2="ELA",
IF(VLOOKUP($A686, YES_Reading_ELA[], COLUMN(IF(VLOOKUP($D$2, 'Reading Report Logic'!$A$2:$B$8, 2, FALSE)=1, YES_Reading_ELA[Reading Level June of Previous School Year], INDIRECT("YES_Reading_ELA[Instructional Reading Level - Per "&amp;(VLOOKUP($D$2,'Reading Report Logic'!$A$2:$B$8,2,FALSE)-1)&amp;"]"))), FALSE)="", "",
VLOOKUP($A686,YES_Reading_ELA[], COLUMN(IF(VLOOKUP($D$2,'Reading Report Logic'!$A$2:$B$8,2,FALSE)=1, YES_Reading_ELA[Reading Level June of Previous School Year],INDIRECT("YES_Reading_ELA[Instructional Reading Level - Per "&amp;(VLOOKUP($D$2,'Reading Report Logic'!$A$2:$B$8,2,FALSE)-1)&amp;"]"))), FALSE)),
IF($J$2="FLA",
IF(VLOOKUP($A686, YES_Reading_FLA[], COLUMN(IF(VLOOKUP($D$2,'Reading Report Logic'!$A$2:$B$8,2,FALSE)=1, YES_Reading_FLA[Reading Level June of Previous School Year],INDIRECT("YES_Reading_FLA[Instructional Reading Level - Per "&amp;(VLOOKUP($D$2,'Reading Report Logic'!$A$2:$B$8,2,FALSE)-1)&amp;"]"))),FALSE)="","",
VLOOKUP($A686,YES_Reading_FLA[], COLUMN(IF(VLOOKUP($D$2,'Reading Report Logic'!$A$2:$B$8,2,FALSE)=1, YES_Reading_FLA[Reading Level June of Previous School Year],INDIRECT("YES_Reading_FLA[Instructional Reading Level - Per "&amp;(VLOOKUP($D$2,'Reading Report Logic'!$A$2:$B$8,2,FALSE)-1)&amp;"]"))),FALSE)),
IF($J$2="Combined",
IFERROR(
IF(VLOOKUP($A686, YES_Reading_ELA[], COLUMN(IF(VLOOKUP($D$2,'Reading Report Logic'!$A$2:$B$8,2,FALSE)=1, YES_Reading_ELA[Reading Level June of Previous School Year],INDIRECT("YES_Reading_ELA[Instructional Reading Level - Per "&amp;(VLOOKUP($D$2,'Reading Report Logic'!$A$2:$B$8,2,FALSE)-1)&amp;"]"))), FALSE)="", "",
VLOOKUP($A686,YES_Reading_ELA[],COLUMN(IF(VLOOKUP($D$2,'Reading Report Logic'!$A$2:$B$8,2,FALSE)=1, YES_Reading_ELA[Reading Level June of Previous School Year],INDIRECT("YES_Reading_ELA[Instructional Reading Level - Per "&amp;(VLOOKUP($D$2,'Reading Report Logic'!$A$2:$B$8,2,FALSE)-1)&amp;"]"))),FALSE)),
IF(VLOOKUP($A686, YES_Reading_FLA[], COLUMN(IF(VLOOKUP($D$2,'Reading Report Logic'!$A$2:$B$8,2,FALSE)=1, YES_Reading_FLA[Reading Level June of Previous School Year],INDIRECT("YES_Reading_FLA[Instructional Reading Level - Per "&amp;(VLOOKUP($D$2,'Reading Report Logic'!$A$2:$B$8,2,FALSE)-1)&amp;"]"))),FALSE)="", "", VLOOKUP($A686,YES_Reading_FLA[],COLUMN(IF(VLOOKUP($D$2,'Reading Report Logic'!$A$2:$B$8,2,FALSE)=1, YES_Reading_FLA[Reading Level June of Previous School Year],INDIRECT("YES_Reading_FLA[Instructional Reading Level - Per "&amp;(VLOOKUP($D$2,'Reading Report Logic'!$A$2:$B$8,2,FALSE)-1)&amp;"]"))), FALSE))),""))),"")</f>
        <v/>
      </c>
      <c r="D686" s="204" t="str" cm="1">
        <f t="array" aca="1" ref="D686" ca="1">IFERROR(
IF($J$2="ELA",
IF(VLOOKUP($A686, YES_Reading_ELA[], COLUMN(INDIRECT("YES_Reading_ELA[Instructional Reading Level - Per "&amp;VLOOKUP($D$2, 'Reading Report Logic'!$A$2:$B$8, 2, FALSE)&amp;"]")), FALSE)="", "",
VLOOKUP($A686,YES_Reading_ELA[], COLUMN(INDIRECT("YES_Reading_ELA[Instructional Reading Level - Per "&amp;VLOOKUP($D$2,'Reading Report Logic'!$A$2:$B$8,2,FALSE)&amp;"]")), FALSE)),
IF($J$2="FLA",
IF(VLOOKUP($A686, YES_Reading_FLA[], COLUMN(INDIRECT("YES_Reading_FLA[Instructional Reading Level - Per "&amp;VLOOKUP($D$2,'Reading Report Logic'!$A$2:$B$8,2,FALSE)&amp;"]")),FALSE)="","",
VLOOKUP($A686,YES_Reading_FLA[],COLUMN(INDIRECT("YES_Reading_FLA[Instructional Reading Level - Per "&amp;VLOOKUP($D$2,'Reading Report Logic'!$A$2:$B$8,2,FALSE)&amp;"]")),FALSE)),
IF($J$2="Combined",
IFERROR(
IF(VLOOKUP($A686, YES_Reading_ELA[], COLUMN(INDIRECT("YES_Reading_ELA[Instructional Reading Level - Per "&amp;VLOOKUP($D$2, 'Reading Report Logic'!$A$2:$B$8,2,FALSE)&amp;"]")), FALSE)="", "",
VLOOKUP($A686,YES_Reading_ELA[],COLUMN(INDIRECT("YES_Reading_ELA[Instructional Reading Level - Per "&amp;VLOOKUP($D$2,'Reading Report Logic'!$A$2:$B$8,2,FALSE)&amp;"]")),FALSE)),
IF(VLOOKUP($A686, YES_Reading_FLA[], COLUMN(INDIRECT("YES_Reading_FLA[Instructional Reading Level - Per "&amp;VLOOKUP($D$2, 'Reading Report Logic'!$A$2:$B$8, 2, FALSE)&amp;"]")),FALSE)="", "", VLOOKUP($A686,YES_Reading_FLA[],COLUMN(INDIRECT("YES_Reading_FLA[Instructional Reading Level - Per "&amp;VLOOKUP($D$2, 'Reading Report Logic'!$A$2:$B$8, 2, FALSE)&amp;"]")),FALSE))),""))),"")</f>
        <v/>
      </c>
      <c r="E686" s="205" t="str" cm="1">
        <f t="array" aca="1" ref="E686" ca="1">IFERROR(
IF($J$2="ELA",
IF(VLOOKUP($A686, YES_Reading_ELA[], COLUMN(INDIRECT("YES_Reading_ELA[Min Expectation - Per "&amp;VLOOKUP($D$2, 'Reading Report Logic'!$A$2:$B$8, 2, FALSE)&amp;"]")), FALSE)="", "",
VLOOKUP($A686,YES_Reading_ELA[], COLUMN(INDIRECT("YES_Reading_ELA[Min Expectation - Per "&amp;VLOOKUP($D$2,'Reading Report Logic'!$A$2:$B$8,2,FALSE)&amp;"]")), FALSE)),
IF($J$2="FLA",
IF(VLOOKUP($A686, YES_Reading_FLA[], COLUMN(INDIRECT("YES_Reading_FLA[Min Expectation - Per "&amp;VLOOKUP($D$2,'Reading Report Logic'!$A$2:$B$8,2,FALSE)&amp;"]")),FALSE)="","",
VLOOKUP($A686,YES_Reading_FLA[],COLUMN(INDIRECT("YES_Reading_FLA[Min Expectation - Per "&amp;VLOOKUP($D$2,'Reading Report Logic'!$A$2:$B$8,2,FALSE)&amp;"]")),FALSE)),
IF($J$2="Combined",
IFERROR(
IF(VLOOKUP($A686, YES_Reading_ELA[], COLUMN(INDIRECT("YES_Reading_ELA[Min Expectation - Per "&amp;VLOOKUP($D$2, 'Reading Report Logic'!$A$2:$B$8,2,FALSE)&amp;"]")), FALSE)="", "",
VLOOKUP($A686,YES_Reading_ELA[],COLUMN(INDIRECT("YES_Reading_ELA[Min Expectation - Per "&amp;VLOOKUP($D$2,'Reading Report Logic'!$A$2:$B$8,2,FALSE)&amp;"]")),FALSE)),
IF(VLOOKUP($A686, YES_Reading_FLA[], COLUMN(INDIRECT("YES_Reading_FLA[Min Expectation - Per "&amp;VLOOKUP($D$2, 'Reading Report Logic'!$A$2:$B$8, 2, FALSE)&amp;"]")),FALSE)="", "", VLOOKUP($A686,YES_Reading_FLA[],COLUMN(INDIRECT("YES_Reading_FLA[Min Expectation - Per "&amp;VLOOKUP($D$2, 'Reading Report Logic'!$A$2:$B$8, 2, FALSE)&amp;"]")),FALSE))),""))),"")</f>
        <v/>
      </c>
      <c r="F686" s="205" t="str" cm="1">
        <f t="array" aca="1" ref="F686" ca="1">IFERROR(
IF($J$2="ELA",
IF(VLOOKUP($A686, YES_Reading_ELA[], COLUMN(INDIRECT("YES_Reading_ELA[Max Expectation - Per "&amp;VLOOKUP($D$2, 'Reading Report Logic'!$A$2:$B$8, 2, FALSE)&amp;"]")), FALSE)="", "",
VLOOKUP($A686,YES_Reading_ELA[], COLUMN(INDIRECT("YES_Reading_ELA[Max Expectation - Per "&amp;VLOOKUP($D$2,'Reading Report Logic'!$A$2:$B$8,2,FALSE)&amp;"]")), FALSE)),
IF($J$2="FLA",
IF(VLOOKUP($A686, YES_Reading_FLA[], COLUMN(INDIRECT("YES_Reading_FLA[Max Expectation - Per "&amp;VLOOKUP($D$2,'Reading Report Logic'!$A$2:$B$8,2,FALSE)&amp;"]")),FALSE)="","",
VLOOKUP($A686,YES_Reading_FLA[],COLUMN(INDIRECT("YES_Reading_FLA[Max Expectation - Per "&amp;VLOOKUP($D$2,'Reading Report Logic'!$A$2:$B$8,2,FALSE)&amp;"]")),FALSE)),
IF($J$2="Combined",
IFERROR(
IF(VLOOKUP($A686, YES_Reading_ELA[], COLUMN(INDIRECT("YES_Reading_ELA[Max Expectation - Per "&amp;VLOOKUP($D$2, 'Reading Report Logic'!$A$2:$B$8,2,FALSE)&amp;"]")), FALSE)="", "",
VLOOKUP($A686,YES_Reading_ELA[],COLUMN(INDIRECT("YES_Reading_ELA[Max Expectation - Per "&amp;VLOOKUP($D$2,'Reading Report Logic'!$A$2:$B$8,2,FALSE)&amp;"]")),FALSE)),
IF(VLOOKUP($A686, YES_Reading_FLA[], COLUMN(INDIRECT("YES_Reading_FLA[Max Expectation - Per "&amp;VLOOKUP($D$2, 'Reading Report Logic'!$A$2:$B$8, 2, FALSE)&amp;"]")),FALSE)="", "", VLOOKUP($A686,YES_Reading_FLA[],COLUMN(INDIRECT("YES_Reading_FLA[Max Expectation - Per "&amp;VLOOKUP($D$2, 'Reading Report Logic'!$A$2:$B$8, 2, FALSE)&amp;"]")),FALSE))),""))),"")</f>
        <v/>
      </c>
      <c r="G686" s="205" t="str" cm="1">
        <f t="array" aca="1" ref="G686" ca="1">IFERROR(
IF($J$2="ELA",
IF(VLOOKUP($A686, YES_Reading_ELA[], COLUMN(INDIRECT("YES_Reading_ELA[Difference - Per "&amp;VLOOKUP($D$2, 'Reading Report Logic'!$A$2:$B$8, 2, FALSE)&amp;"]")), FALSE)="", "",
VLOOKUP($A686,YES_Reading_ELA[], COLUMN(INDIRECT("YES_Reading_ELA[Difference - Per "&amp;VLOOKUP($D$2,'Reading Report Logic'!$A$2:$B$8,2,FALSE)&amp;"]")), FALSE)),
IF($J$2="FLA",
IF(VLOOKUP($A686, YES_Reading_FLA[], COLUMN(INDIRECT("YES_Reading_FLA[Difference - Per "&amp;VLOOKUP($D$2,'Reading Report Logic'!$A$2:$B$8,2,FALSE)&amp;"]")),FALSE)="","",
VLOOKUP($A686,YES_Reading_FLA[],COLUMN(INDIRECT("YES_Reading_FLA[Difference - Per "&amp;VLOOKUP($D$2,'Reading Report Logic'!$A$2:$B$8,2,FALSE)&amp;"]")),FALSE)),
IF($J$2="Combined",
IFERROR(
IF(VLOOKUP($A686, YES_Reading_ELA[], COLUMN(INDIRECT("YES_Reading_ELA[Difference - Per "&amp;VLOOKUP($D$2, 'Reading Report Logic'!$A$2:$B$8,2,FALSE)&amp;"]")), FALSE)="", "",
VLOOKUP($A686,YES_Reading_ELA[],COLUMN(INDIRECT("YES_Reading_ELA[Difference - Per "&amp;VLOOKUP($D$2,'Reading Report Logic'!$A$2:$B$8,2,FALSE)&amp;"]")),FALSE)),
IF(VLOOKUP($A686, YES_Reading_FLA[], COLUMN(INDIRECT("YES_Reading_FLA[Difference - Per "&amp;VLOOKUP($D$2, 'Reading Report Logic'!$A$2:$B$8, 2, FALSE)&amp;"]")),FALSE)="", "", VLOOKUP($A686,YES_Reading_FLA[],COLUMN(INDIRECT("YES_Reading_FLA[Difference - Per "&amp;VLOOKUP($D$2, 'Reading Report Logic'!$A$2:$B$8, 2, FALSE)&amp;"]")),FALSE))),""))),"")</f>
        <v/>
      </c>
      <c r="H686" s="206" t="str">
        <f ca="1">IFERROR(VLOOKUP('Teacher Reading Pull Sheets'!$D686,_xlfn.VSTACK('ELA Reading Logic'!$A$22:$B$48,'FLA Reading Logic'!$A$22:$B$53),2,FALSE)-VLOOKUP('Teacher Reading Pull Sheets'!$C686,_xlfn.VSTACK('ELA Reading Logic'!$A$22:$B$48,'FLA Reading Logic'!$A$22:$B$53),2,FALSE),"")</f>
        <v/>
      </c>
      <c r="I686" s="212"/>
      <c r="J686" s="206"/>
      <c r="K686" s="197" t="str" cm="1">
        <f t="array" ref="K686">IFERROR(
IF($J$2="ELA",
IF(VLOOKUP($A686, YES_Reading_ELA[], COLUMN(YES_Reading_ELA[Self-Identified as African Descent]), FALSE)="", "",
VLOOKUP($A686,YES_Reading_ELA[], COLUMN(YES_Reading_ELA[Self-Identified as African Descent]), FALSE)),
IF($J$2="FLA",
IF(VLOOKUP($A686, YES_Reading_FLA[], COLUMN(YES_Reading_FLA[Self-Identified as African Descent]),FALSE)="","",
VLOOKUP($A686,YES_Reading_FLA[],COLUMN(YES_Reading_FLA[Self-Identified as African Descent]),FALSE)),
IF($J$2="Combined",
IFERROR(
IF(VLOOKUP($A686, YES_Reading_ELA[], COLUMN(YES_Reading_ELA[Self-Identified as African Descent]), FALSE)="", "",
VLOOKUP($A686,YES_Reading_ELA[],COLUMN(YES_Reading_ELA[Self-Identified as African Descent]),FALSE)),
IF(VLOOKUP($A686, YES_Reading_FLA[], COLUMN(YES_Reading_FLA[Self-Identified as African Descent]),FALSE)="", "", VLOOKUP($A686,YES_Reading_FLA[],COLUMN(YES_Reading_FLA[Self-Identified as African Descent]),FALSE))),""))),"")</f>
        <v/>
      </c>
      <c r="L686" s="73" t="str" cm="1">
        <f t="array" ref="L686">IFERROR(
IF($J$2="ELA",
IF(VLOOKUP($A686, YES_Reading_ELA[], COLUMN(YES_Reading_ELA[Self-Identified as Indigenous]), FALSE)="", "",
VLOOKUP($A686,YES_Reading_ELA[], COLUMN(YES_Reading_ELA[Self-Identified as Indigenous]), FALSE)),
IF($J$2="FLA",
IF(VLOOKUP($A686, YES_Reading_FLA[], COLUMN(YES_Reading_FLA[Self-Identified as Indigenous]),FALSE)="","",
VLOOKUP($A686,YES_Reading_FLA[],COLUMN(YES_Reading_FLA[Self-Identified as Indigenous]),FALSE)),
IF($J$2="Combined",
IFERROR(
IF(VLOOKUP($A686, YES_Reading_ELA[], COLUMN(YES_Reading_ELA[Self-Identified as Indigenous]), FALSE)="", "",
VLOOKUP($A686,YES_Reading_ELA[],COLUMN(YES_Reading_ELA[Self-Identified as Indigenous]),FALSE)),
IF(VLOOKUP($A686, YES_Reading_FLA[], COLUMN(YES_Reading_FLA[Self-Identified as Indigenous]),FALSE)="", "", VLOOKUP($A686,YES_Reading_FLA[],COLUMN(YES_Reading_FLA[Self-Identified as Indigenous]),FALSE))),""))),"")</f>
        <v/>
      </c>
    </row>
    <row r="687" spans="1:12" ht="19.5" customHeight="1" thickBot="1" x14ac:dyDescent="0.3">
      <c r="A687" s="218"/>
      <c r="B687" s="221" t="str">
        <f>IFERROR(VLOOKUP(A687,_xlfn.VSTACK(YES_Reading_ELA[],YES_Reading_FLA[]),2,FALSE),"")</f>
        <v/>
      </c>
      <c r="C687" s="208" t="str" cm="1">
        <f t="array" aca="1" ref="C687" ca="1">IFERROR(
IF($J$2="ELA",
IF(VLOOKUP($A687, YES_Reading_ELA[], COLUMN(IF(VLOOKUP($D$2, 'Reading Report Logic'!$A$2:$B$8, 2, FALSE)=1, YES_Reading_ELA[Reading Level June of Previous School Year], INDIRECT("YES_Reading_ELA[Instructional Reading Level - Per "&amp;(VLOOKUP($D$2,'Reading Report Logic'!$A$2:$B$8,2,FALSE)-1)&amp;"]"))), FALSE)="", "",
VLOOKUP($A687,YES_Reading_ELA[], COLUMN(IF(VLOOKUP($D$2,'Reading Report Logic'!$A$2:$B$8,2,FALSE)=1, YES_Reading_ELA[Reading Level June of Previous School Year],INDIRECT("YES_Reading_ELA[Instructional Reading Level - Per "&amp;(VLOOKUP($D$2,'Reading Report Logic'!$A$2:$B$8,2,FALSE)-1)&amp;"]"))), FALSE)),
IF($J$2="FLA",
IF(VLOOKUP($A687, YES_Reading_FLA[], COLUMN(IF(VLOOKUP($D$2,'Reading Report Logic'!$A$2:$B$8,2,FALSE)=1, YES_Reading_FLA[Reading Level June of Previous School Year],INDIRECT("YES_Reading_FLA[Instructional Reading Level - Per "&amp;(VLOOKUP($D$2,'Reading Report Logic'!$A$2:$B$8,2,FALSE)-1)&amp;"]"))),FALSE)="","",
VLOOKUP($A687,YES_Reading_FLA[], COLUMN(IF(VLOOKUP($D$2,'Reading Report Logic'!$A$2:$B$8,2,FALSE)=1, YES_Reading_FLA[Reading Level June of Previous School Year],INDIRECT("YES_Reading_FLA[Instructional Reading Level - Per "&amp;(VLOOKUP($D$2,'Reading Report Logic'!$A$2:$B$8,2,FALSE)-1)&amp;"]"))),FALSE)),
IF($J$2="Combined",
IFERROR(
IF(VLOOKUP($A687, YES_Reading_ELA[], COLUMN(IF(VLOOKUP($D$2,'Reading Report Logic'!$A$2:$B$8,2,FALSE)=1, YES_Reading_ELA[Reading Level June of Previous School Year],INDIRECT("YES_Reading_ELA[Instructional Reading Level - Per "&amp;(VLOOKUP($D$2,'Reading Report Logic'!$A$2:$B$8,2,FALSE)-1)&amp;"]"))), FALSE)="", "",
VLOOKUP($A687,YES_Reading_ELA[],COLUMN(IF(VLOOKUP($D$2,'Reading Report Logic'!$A$2:$B$8,2,FALSE)=1, YES_Reading_ELA[Reading Level June of Previous School Year],INDIRECT("YES_Reading_ELA[Instructional Reading Level - Per "&amp;(VLOOKUP($D$2,'Reading Report Logic'!$A$2:$B$8,2,FALSE)-1)&amp;"]"))),FALSE)),
IF(VLOOKUP($A687, YES_Reading_FLA[], COLUMN(IF(VLOOKUP($D$2,'Reading Report Logic'!$A$2:$B$8,2,FALSE)=1, YES_Reading_FLA[Reading Level June of Previous School Year],INDIRECT("YES_Reading_FLA[Instructional Reading Level - Per "&amp;(VLOOKUP($D$2,'Reading Report Logic'!$A$2:$B$8,2,FALSE)-1)&amp;"]"))),FALSE)="", "", VLOOKUP($A687,YES_Reading_FLA[],COLUMN(IF(VLOOKUP($D$2,'Reading Report Logic'!$A$2:$B$8,2,FALSE)=1, YES_Reading_FLA[Reading Level June of Previous School Year],INDIRECT("YES_Reading_FLA[Instructional Reading Level - Per "&amp;(VLOOKUP($D$2,'Reading Report Logic'!$A$2:$B$8,2,FALSE)-1)&amp;"]"))), FALSE))),""))),"")</f>
        <v/>
      </c>
      <c r="D687" s="209" t="str" cm="1">
        <f t="array" aca="1" ref="D687" ca="1">IFERROR(
IF($J$2="ELA",
IF(VLOOKUP($A687, YES_Reading_ELA[], COLUMN(INDIRECT("YES_Reading_ELA[Instructional Reading Level - Per "&amp;VLOOKUP($D$2, 'Reading Report Logic'!$A$2:$B$8, 2, FALSE)&amp;"]")), FALSE)="", "",
VLOOKUP($A687,YES_Reading_ELA[], COLUMN(INDIRECT("YES_Reading_ELA[Instructional Reading Level - Per "&amp;VLOOKUP($D$2,'Reading Report Logic'!$A$2:$B$8,2,FALSE)&amp;"]")), FALSE)),
IF($J$2="FLA",
IF(VLOOKUP($A687, YES_Reading_FLA[], COLUMN(INDIRECT("YES_Reading_FLA[Instructional Reading Level - Per "&amp;VLOOKUP($D$2,'Reading Report Logic'!$A$2:$B$8,2,FALSE)&amp;"]")),FALSE)="","",
VLOOKUP($A687,YES_Reading_FLA[],COLUMN(INDIRECT("YES_Reading_FLA[Instructional Reading Level - Per "&amp;VLOOKUP($D$2,'Reading Report Logic'!$A$2:$B$8,2,FALSE)&amp;"]")),FALSE)),
IF($J$2="Combined",
IFERROR(
IF(VLOOKUP($A687, YES_Reading_ELA[], COLUMN(INDIRECT("YES_Reading_ELA[Instructional Reading Level - Per "&amp;VLOOKUP($D$2, 'Reading Report Logic'!$A$2:$B$8,2,FALSE)&amp;"]")), FALSE)="", "",
VLOOKUP($A687,YES_Reading_ELA[],COLUMN(INDIRECT("YES_Reading_ELA[Instructional Reading Level - Per "&amp;VLOOKUP($D$2,'Reading Report Logic'!$A$2:$B$8,2,FALSE)&amp;"]")),FALSE)),
IF(VLOOKUP($A687, YES_Reading_FLA[], COLUMN(INDIRECT("YES_Reading_FLA[Instructional Reading Level - Per "&amp;VLOOKUP($D$2, 'Reading Report Logic'!$A$2:$B$8, 2, FALSE)&amp;"]")),FALSE)="", "", VLOOKUP($A687,YES_Reading_FLA[],COLUMN(INDIRECT("YES_Reading_FLA[Instructional Reading Level - Per "&amp;VLOOKUP($D$2, 'Reading Report Logic'!$A$2:$B$8, 2, FALSE)&amp;"]")),FALSE))),""))),"")</f>
        <v/>
      </c>
      <c r="E687" s="210" t="str" cm="1">
        <f t="array" aca="1" ref="E687" ca="1">IFERROR(
IF($J$2="ELA",
IF(VLOOKUP($A687, YES_Reading_ELA[], COLUMN(INDIRECT("YES_Reading_ELA[Min Expectation - Per "&amp;VLOOKUP($D$2, 'Reading Report Logic'!$A$2:$B$8, 2, FALSE)&amp;"]")), FALSE)="", "",
VLOOKUP($A687,YES_Reading_ELA[], COLUMN(INDIRECT("YES_Reading_ELA[Min Expectation - Per "&amp;VLOOKUP($D$2,'Reading Report Logic'!$A$2:$B$8,2,FALSE)&amp;"]")), FALSE)),
IF($J$2="FLA",
IF(VLOOKUP($A687, YES_Reading_FLA[], COLUMN(INDIRECT("YES_Reading_FLA[Min Expectation - Per "&amp;VLOOKUP($D$2,'Reading Report Logic'!$A$2:$B$8,2,FALSE)&amp;"]")),FALSE)="","",
VLOOKUP($A687,YES_Reading_FLA[],COLUMN(INDIRECT("YES_Reading_FLA[Min Expectation - Per "&amp;VLOOKUP($D$2,'Reading Report Logic'!$A$2:$B$8,2,FALSE)&amp;"]")),FALSE)),
IF($J$2="Combined",
IFERROR(
IF(VLOOKUP($A687, YES_Reading_ELA[], COLUMN(INDIRECT("YES_Reading_ELA[Min Expectation - Per "&amp;VLOOKUP($D$2, 'Reading Report Logic'!$A$2:$B$8,2,FALSE)&amp;"]")), FALSE)="", "",
VLOOKUP($A687,YES_Reading_ELA[],COLUMN(INDIRECT("YES_Reading_ELA[Min Expectation - Per "&amp;VLOOKUP($D$2,'Reading Report Logic'!$A$2:$B$8,2,FALSE)&amp;"]")),FALSE)),
IF(VLOOKUP($A687, YES_Reading_FLA[], COLUMN(INDIRECT("YES_Reading_FLA[Min Expectation - Per "&amp;VLOOKUP($D$2, 'Reading Report Logic'!$A$2:$B$8, 2, FALSE)&amp;"]")),FALSE)="", "", VLOOKUP($A687,YES_Reading_FLA[],COLUMN(INDIRECT("YES_Reading_FLA[Min Expectation - Per "&amp;VLOOKUP($D$2, 'Reading Report Logic'!$A$2:$B$8, 2, FALSE)&amp;"]")),FALSE))),""))),"")</f>
        <v/>
      </c>
      <c r="F687" s="210" t="str" cm="1">
        <f t="array" aca="1" ref="F687" ca="1">IFERROR(
IF($J$2="ELA",
IF(VLOOKUP($A687, YES_Reading_ELA[], COLUMN(INDIRECT("YES_Reading_ELA[Max Expectation - Per "&amp;VLOOKUP($D$2, 'Reading Report Logic'!$A$2:$B$8, 2, FALSE)&amp;"]")), FALSE)="", "",
VLOOKUP($A687,YES_Reading_ELA[], COLUMN(INDIRECT("YES_Reading_ELA[Max Expectation - Per "&amp;VLOOKUP($D$2,'Reading Report Logic'!$A$2:$B$8,2,FALSE)&amp;"]")), FALSE)),
IF($J$2="FLA",
IF(VLOOKUP($A687, YES_Reading_FLA[], COLUMN(INDIRECT("YES_Reading_FLA[Max Expectation - Per "&amp;VLOOKUP($D$2,'Reading Report Logic'!$A$2:$B$8,2,FALSE)&amp;"]")),FALSE)="","",
VLOOKUP($A687,YES_Reading_FLA[],COLUMN(INDIRECT("YES_Reading_FLA[Max Expectation - Per "&amp;VLOOKUP($D$2,'Reading Report Logic'!$A$2:$B$8,2,FALSE)&amp;"]")),FALSE)),
IF($J$2="Combined",
IFERROR(
IF(VLOOKUP($A687, YES_Reading_ELA[], COLUMN(INDIRECT("YES_Reading_ELA[Max Expectation - Per "&amp;VLOOKUP($D$2, 'Reading Report Logic'!$A$2:$B$8,2,FALSE)&amp;"]")), FALSE)="", "",
VLOOKUP($A687,YES_Reading_ELA[],COLUMN(INDIRECT("YES_Reading_ELA[Max Expectation - Per "&amp;VLOOKUP($D$2,'Reading Report Logic'!$A$2:$B$8,2,FALSE)&amp;"]")),FALSE)),
IF(VLOOKUP($A687, YES_Reading_FLA[], COLUMN(INDIRECT("YES_Reading_FLA[Max Expectation - Per "&amp;VLOOKUP($D$2, 'Reading Report Logic'!$A$2:$B$8, 2, FALSE)&amp;"]")),FALSE)="", "", VLOOKUP($A687,YES_Reading_FLA[],COLUMN(INDIRECT("YES_Reading_FLA[Max Expectation - Per "&amp;VLOOKUP($D$2, 'Reading Report Logic'!$A$2:$B$8, 2, FALSE)&amp;"]")),FALSE))),""))),"")</f>
        <v/>
      </c>
      <c r="G687" s="210" t="str" cm="1">
        <f t="array" aca="1" ref="G687" ca="1">IFERROR(
IF($J$2="ELA",
IF(VLOOKUP($A687, YES_Reading_ELA[], COLUMN(INDIRECT("YES_Reading_ELA[Difference - Per "&amp;VLOOKUP($D$2, 'Reading Report Logic'!$A$2:$B$8, 2, FALSE)&amp;"]")), FALSE)="", "",
VLOOKUP($A687,YES_Reading_ELA[], COLUMN(INDIRECT("YES_Reading_ELA[Difference - Per "&amp;VLOOKUP($D$2,'Reading Report Logic'!$A$2:$B$8,2,FALSE)&amp;"]")), FALSE)),
IF($J$2="FLA",
IF(VLOOKUP($A687, YES_Reading_FLA[], COLUMN(INDIRECT("YES_Reading_FLA[Difference - Per "&amp;VLOOKUP($D$2,'Reading Report Logic'!$A$2:$B$8,2,FALSE)&amp;"]")),FALSE)="","",
VLOOKUP($A687,YES_Reading_FLA[],COLUMN(INDIRECT("YES_Reading_FLA[Difference - Per "&amp;VLOOKUP($D$2,'Reading Report Logic'!$A$2:$B$8,2,FALSE)&amp;"]")),FALSE)),
IF($J$2="Combined",
IFERROR(
IF(VLOOKUP($A687, YES_Reading_ELA[], COLUMN(INDIRECT("YES_Reading_ELA[Difference - Per "&amp;VLOOKUP($D$2, 'Reading Report Logic'!$A$2:$B$8,2,FALSE)&amp;"]")), FALSE)="", "",
VLOOKUP($A687,YES_Reading_ELA[],COLUMN(INDIRECT("YES_Reading_ELA[Difference - Per "&amp;VLOOKUP($D$2,'Reading Report Logic'!$A$2:$B$8,2,FALSE)&amp;"]")),FALSE)),
IF(VLOOKUP($A687, YES_Reading_FLA[], COLUMN(INDIRECT("YES_Reading_FLA[Difference - Per "&amp;VLOOKUP($D$2, 'Reading Report Logic'!$A$2:$B$8, 2, FALSE)&amp;"]")),FALSE)="", "", VLOOKUP($A687,YES_Reading_FLA[],COLUMN(INDIRECT("YES_Reading_FLA[Difference - Per "&amp;VLOOKUP($D$2, 'Reading Report Logic'!$A$2:$B$8, 2, FALSE)&amp;"]")),FALSE))),""))),"")</f>
        <v/>
      </c>
      <c r="H687" s="211" t="str">
        <f ca="1">IFERROR(VLOOKUP('Teacher Reading Pull Sheets'!$D687,_xlfn.VSTACK('ELA Reading Logic'!$A$22:$B$48,'FLA Reading Logic'!$A$22:$B$53),2,FALSE)-VLOOKUP('Teacher Reading Pull Sheets'!$C687,_xlfn.VSTACK('ELA Reading Logic'!$A$22:$B$48,'FLA Reading Logic'!$A$22:$B$53),2,FALSE),"")</f>
        <v/>
      </c>
      <c r="I687" s="213"/>
      <c r="J687" s="211"/>
      <c r="K687" s="198" t="str" cm="1">
        <f t="array" ref="K687">IFERROR(
IF($J$2="ELA",
IF(VLOOKUP($A687, YES_Reading_ELA[], COLUMN(YES_Reading_ELA[Self-Identified as African Descent]), FALSE)="", "",
VLOOKUP($A687,YES_Reading_ELA[], COLUMN(YES_Reading_ELA[Self-Identified as African Descent]), FALSE)),
IF($J$2="FLA",
IF(VLOOKUP($A687, YES_Reading_FLA[], COLUMN(YES_Reading_FLA[Self-Identified as African Descent]),FALSE)="","",
VLOOKUP($A687,YES_Reading_FLA[],COLUMN(YES_Reading_FLA[Self-Identified as African Descent]),FALSE)),
IF($J$2="Combined",
IFERROR(
IF(VLOOKUP($A687, YES_Reading_ELA[], COLUMN(YES_Reading_ELA[Self-Identified as African Descent]), FALSE)="", "",
VLOOKUP($A687,YES_Reading_ELA[],COLUMN(YES_Reading_ELA[Self-Identified as African Descent]),FALSE)),
IF(VLOOKUP($A687, YES_Reading_FLA[], COLUMN(YES_Reading_FLA[Self-Identified as African Descent]),FALSE)="", "", VLOOKUP($A687,YES_Reading_FLA[],COLUMN(YES_Reading_FLA[Self-Identified as African Descent]),FALSE))),""))),"")</f>
        <v/>
      </c>
      <c r="L687" s="74" t="str" cm="1">
        <f t="array" ref="L687">IFERROR(
IF($J$2="ELA",
IF(VLOOKUP($A687, YES_Reading_ELA[], COLUMN(YES_Reading_ELA[Self-Identified as Indigenous]), FALSE)="", "",
VLOOKUP($A687,YES_Reading_ELA[], COLUMN(YES_Reading_ELA[Self-Identified as Indigenous]), FALSE)),
IF($J$2="FLA",
IF(VLOOKUP($A687, YES_Reading_FLA[], COLUMN(YES_Reading_FLA[Self-Identified as Indigenous]),FALSE)="","",
VLOOKUP($A687,YES_Reading_FLA[],COLUMN(YES_Reading_FLA[Self-Identified as Indigenous]),FALSE)),
IF($J$2="Combined",
IFERROR(
IF(VLOOKUP($A687, YES_Reading_ELA[], COLUMN(YES_Reading_ELA[Self-Identified as Indigenous]), FALSE)="", "",
VLOOKUP($A687,YES_Reading_ELA[],COLUMN(YES_Reading_ELA[Self-Identified as Indigenous]),FALSE)),
IF(VLOOKUP($A687, YES_Reading_FLA[], COLUMN(YES_Reading_FLA[Self-Identified as Indigenous]),FALSE)="", "", VLOOKUP($A687,YES_Reading_FLA[],COLUMN(YES_Reading_FLA[Self-Identified as Indigenous]),FALSE))),""))),"")</f>
        <v/>
      </c>
    </row>
    <row r="688" spans="1:12" x14ac:dyDescent="0.25">
      <c r="A688" s="214"/>
      <c r="B688" s="214" t="s">
        <v>241</v>
      </c>
      <c r="C688" s="214"/>
      <c r="D688" s="215" t="str" cm="1">
        <f t="array" ref="D688">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Set")))=$D$1)),1,1,FALSE),FALSE,FALSE),23),"")</f>
        <v/>
      </c>
      <c r="E688" s="215"/>
      <c r="F688" s="215"/>
      <c r="G688" s="215"/>
      <c r="H688" s="355" t="s">
        <v>242</v>
      </c>
      <c r="I688" s="356"/>
      <c r="J688" s="215"/>
    </row>
    <row r="689" spans="1:12" x14ac:dyDescent="0.25">
      <c r="A689" s="214"/>
      <c r="B689" s="214" t="str">
        <f>"Date: "&amp;$D$3</f>
        <v xml:space="preserve">Date: </v>
      </c>
      <c r="C689" s="214"/>
      <c r="D689" s="215"/>
      <c r="E689" s="215"/>
      <c r="F689" s="215"/>
      <c r="G689" s="215"/>
      <c r="H689" s="357" t="s">
        <v>243</v>
      </c>
      <c r="I689" s="358"/>
      <c r="J689" s="215"/>
    </row>
    <row r="690" spans="1:12" ht="15.75" thickBot="1" x14ac:dyDescent="0.3">
      <c r="A690" s="215"/>
      <c r="B690" s="215"/>
      <c r="C690" s="215"/>
      <c r="D690" s="215"/>
      <c r="E690" s="215"/>
      <c r="F690" s="215"/>
      <c r="G690" s="215"/>
      <c r="H690" s="353" t="s">
        <v>244</v>
      </c>
      <c r="I690" s="354"/>
      <c r="J690" s="215"/>
    </row>
    <row r="691" spans="1:12" ht="85.5" customHeight="1" thickBot="1" x14ac:dyDescent="0.3">
      <c r="A691" s="192" t="s">
        <v>44</v>
      </c>
      <c r="B691" s="187" t="s">
        <v>245</v>
      </c>
      <c r="C691" s="188" t="s">
        <v>246</v>
      </c>
      <c r="D691" s="188" t="s">
        <v>247</v>
      </c>
      <c r="E691" s="188" t="s">
        <v>248</v>
      </c>
      <c r="F691" s="188" t="s">
        <v>249</v>
      </c>
      <c r="G691" s="188" t="s">
        <v>250</v>
      </c>
      <c r="H691" s="189" t="s">
        <v>251</v>
      </c>
      <c r="I691" s="202" t="s">
        <v>252</v>
      </c>
      <c r="J691" s="191" t="s">
        <v>253</v>
      </c>
      <c r="K691" s="200" t="s">
        <v>256</v>
      </c>
      <c r="L691" s="201" t="s">
        <v>257</v>
      </c>
    </row>
    <row r="692" spans="1:12" ht="19.5" customHeight="1" x14ac:dyDescent="0.25">
      <c r="A692" s="216" t="e" cm="1" vm="1">
        <f t="array" aca="1" ref="A692" ca="1">_xlfn._xlws.FILTER(_xlfn.VSTACK(YES_Reading_ELA[Student Number],YES_Reading_FLA[Student Number]),_xlfn.VSTACK(YES_Reading_ELA[HomeRoom],YES_Reading_FLA[Homeroom])=D688)</f>
        <v>#VALUE!</v>
      </c>
      <c r="B692" s="219" t="str">
        <f ca="1">IFERROR(VLOOKUP(A692,_xlfn.VSTACK(YES_Reading_ELA[],YES_Reading_FLA[]),2,FALSE),"")</f>
        <v/>
      </c>
      <c r="C692" s="203" t="str" cm="1">
        <f t="array" aca="1" ref="C692" ca="1">IFERROR(
IF($J$2="ELA",
IF(VLOOKUP($A692, YES_Reading_ELA[], COLUMN(IF(VLOOKUP($D$2, 'Reading Report Logic'!$A$2:$B$8, 2, FALSE)=1, YES_Reading_ELA[Reading Level June of Previous School Year], INDIRECT("YES_Reading_ELA[Instructional Reading Level - Per "&amp;(VLOOKUP($D$2,'Reading Report Logic'!$A$2:$B$8,2,FALSE)-1)&amp;"]"))), FALSE)="", "",
VLOOKUP($A692,YES_Reading_ELA[], COLUMN(IF(VLOOKUP($D$2,'Reading Report Logic'!$A$2:$B$8,2,FALSE)=1, YES_Reading_ELA[Reading Level June of Previous School Year],INDIRECT("YES_Reading_ELA[Instructional Reading Level - Per "&amp;(VLOOKUP($D$2,'Reading Report Logic'!$A$2:$B$8,2,FALSE)-1)&amp;"]"))), FALSE)),
IF($J$2="FLA",
IF(VLOOKUP($A692, YES_Reading_FLA[], COLUMN(IF(VLOOKUP($D$2,'Reading Report Logic'!$A$2:$B$8,2,FALSE)=1, YES_Reading_FLA[Reading Level June of Previous School Year],INDIRECT("YES_Reading_FLA[Instructional Reading Level - Per "&amp;(VLOOKUP($D$2,'Reading Report Logic'!$A$2:$B$8,2,FALSE)-1)&amp;"]"))),FALSE)="","",
VLOOKUP($A692,YES_Reading_FLA[], COLUMN(IF(VLOOKUP($D$2,'Reading Report Logic'!$A$2:$B$8,2,FALSE)=1, YES_Reading_FLA[Reading Level June of Previous School Year],INDIRECT("YES_Reading_FLA[Instructional Reading Level - Per "&amp;(VLOOKUP($D$2,'Reading Report Logic'!$A$2:$B$8,2,FALSE)-1)&amp;"]"))),FALSE)),
IF($J$2="Combined",
IFERROR(
IF(VLOOKUP($A692, YES_Reading_ELA[], COLUMN(IF(VLOOKUP($D$2,'Reading Report Logic'!$A$2:$B$8,2,FALSE)=1, YES_Reading_ELA[Reading Level June of Previous School Year],INDIRECT("YES_Reading_ELA[Instructional Reading Level - Per "&amp;(VLOOKUP($D$2,'Reading Report Logic'!$A$2:$B$8,2,FALSE)-1)&amp;"]"))), FALSE)="", "",
VLOOKUP($A692,YES_Reading_ELA[],COLUMN(IF(VLOOKUP($D$2,'Reading Report Logic'!$A$2:$B$8,2,FALSE)=1, YES_Reading_ELA[Reading Level June of Previous School Year],INDIRECT("YES_Reading_ELA[Instructional Reading Level - Per "&amp;(VLOOKUP($D$2,'Reading Report Logic'!$A$2:$B$8,2,FALSE)-1)&amp;"]"))),FALSE)),
IF(VLOOKUP($A692, YES_Reading_FLA[], COLUMN(IF(VLOOKUP($D$2,'Reading Report Logic'!$A$2:$B$8,2,FALSE)=1, YES_Reading_FLA[Reading Level June of Previous School Year],INDIRECT("YES_Reading_FLA[Instructional Reading Level - Per "&amp;(VLOOKUP($D$2,'Reading Report Logic'!$A$2:$B$8,2,FALSE)-1)&amp;"]"))),FALSE)="", "", VLOOKUP($A692,YES_Reading_FLA[],COLUMN(IF(VLOOKUP($D$2,'Reading Report Logic'!$A$2:$B$8,2,FALSE)=1, YES_Reading_FLA[Reading Level June of Previous School Year],INDIRECT("YES_Reading_FLA[Instructional Reading Level - Per "&amp;(VLOOKUP($D$2,'Reading Report Logic'!$A$2:$B$8,2,FALSE)-1)&amp;"]"))), FALSE))),""))),"")</f>
        <v/>
      </c>
      <c r="D692" s="204" t="str" cm="1">
        <f t="array" aca="1" ref="D692" ca="1">IFERROR(
IF($J$2="ELA",
IF(VLOOKUP($A692, YES_Reading_ELA[], COLUMN(INDIRECT("YES_Reading_ELA[Instructional Reading Level - Per "&amp;VLOOKUP($D$2, 'Reading Report Logic'!$A$2:$B$8, 2, FALSE)&amp;"]")), FALSE)="", "",
VLOOKUP($A692,YES_Reading_ELA[], COLUMN(INDIRECT("YES_Reading_ELA[Instructional Reading Level - Per "&amp;VLOOKUP($D$2,'Reading Report Logic'!$A$2:$B$8,2,FALSE)&amp;"]")), FALSE)),
IF($J$2="FLA",
IF(VLOOKUP($A692, YES_Reading_FLA[], COLUMN(INDIRECT("YES_Reading_FLA[Instructional Reading Level - Per "&amp;VLOOKUP($D$2,'Reading Report Logic'!$A$2:$B$8,2,FALSE)&amp;"]")),FALSE)="","",
VLOOKUP($A692,YES_Reading_FLA[],COLUMN(INDIRECT("YES_Reading_FLA[Instructional Reading Level - Per "&amp;VLOOKUP($D$2,'Reading Report Logic'!$A$2:$B$8,2,FALSE)&amp;"]")),FALSE)),
IF($J$2="Combined",
IFERROR(
IF(VLOOKUP($A692, YES_Reading_ELA[], COLUMN(INDIRECT("YES_Reading_ELA[Instructional Reading Level - Per "&amp;VLOOKUP($D$2, 'Reading Report Logic'!$A$2:$B$8,2,FALSE)&amp;"]")), FALSE)="", "",
VLOOKUP($A692,YES_Reading_ELA[],COLUMN(INDIRECT("YES_Reading_ELA[Instructional Reading Level - Per "&amp;VLOOKUP($D$2,'Reading Report Logic'!$A$2:$B$8,2,FALSE)&amp;"]")),FALSE)),
IF(VLOOKUP($A692, YES_Reading_FLA[], COLUMN(INDIRECT("YES_Reading_FLA[Instructional Reading Level - Per "&amp;VLOOKUP($D$2, 'Reading Report Logic'!$A$2:$B$8, 2, FALSE)&amp;"]")),FALSE)="", "", VLOOKUP($A692,YES_Reading_FLA[],COLUMN(INDIRECT("YES_Reading_FLA[Instructional Reading Level - Per "&amp;VLOOKUP($D$2, 'Reading Report Logic'!$A$2:$B$8, 2, FALSE)&amp;"]")),FALSE))),""))),"")</f>
        <v/>
      </c>
      <c r="E692" s="205" t="str" cm="1">
        <f t="array" aca="1" ref="E692" ca="1">IFERROR(
IF($J$2="ELA",
IF(VLOOKUP($A692, YES_Reading_ELA[], COLUMN(INDIRECT("YES_Reading_ELA[Min Expectation - Per "&amp;VLOOKUP($D$2, 'Reading Report Logic'!$A$2:$B$8, 2, FALSE)&amp;"]")), FALSE)="", "",
VLOOKUP($A692,YES_Reading_ELA[], COLUMN(INDIRECT("YES_Reading_ELA[Min Expectation - Per "&amp;VLOOKUP($D$2,'Reading Report Logic'!$A$2:$B$8,2,FALSE)&amp;"]")), FALSE)),
IF($J$2="FLA",
IF(VLOOKUP($A692, YES_Reading_FLA[], COLUMN(INDIRECT("YES_Reading_FLA[Min Expectation - Per "&amp;VLOOKUP($D$2,'Reading Report Logic'!$A$2:$B$8,2,FALSE)&amp;"]")),FALSE)="","",
VLOOKUP($A692,YES_Reading_FLA[],COLUMN(INDIRECT("YES_Reading_FLA[Min Expectation - Per "&amp;VLOOKUP($D$2,'Reading Report Logic'!$A$2:$B$8,2,FALSE)&amp;"]")),FALSE)),
IF($J$2="Combined",
IFERROR(
IF(VLOOKUP($A692, YES_Reading_ELA[], COLUMN(INDIRECT("YES_Reading_ELA[Min Expectation - Per "&amp;VLOOKUP($D$2, 'Reading Report Logic'!$A$2:$B$8,2,FALSE)&amp;"]")), FALSE)="", "",
VLOOKUP($A692,YES_Reading_ELA[],COLUMN(INDIRECT("YES_Reading_ELA[Min Expectation - Per "&amp;VLOOKUP($D$2,'Reading Report Logic'!$A$2:$B$8,2,FALSE)&amp;"]")),FALSE)),
IF(VLOOKUP($A692, YES_Reading_FLA[], COLUMN(INDIRECT("YES_Reading_FLA[Min Expectation - Per "&amp;VLOOKUP($D$2, 'Reading Report Logic'!$A$2:$B$8, 2, FALSE)&amp;"]")),FALSE)="", "", VLOOKUP($A692,YES_Reading_FLA[],COLUMN(INDIRECT("YES_Reading_FLA[Min Expectation - Per "&amp;VLOOKUP($D$2, 'Reading Report Logic'!$A$2:$B$8, 2, FALSE)&amp;"]")),FALSE))),""))),"")</f>
        <v/>
      </c>
      <c r="F692" s="205" t="str" cm="1">
        <f t="array" aca="1" ref="F692" ca="1">IFERROR(
IF($J$2="ELA",
IF(VLOOKUP($A692, YES_Reading_ELA[], COLUMN(INDIRECT("YES_Reading_ELA[Max Expectation - Per "&amp;VLOOKUP($D$2, 'Reading Report Logic'!$A$2:$B$8, 2, FALSE)&amp;"]")), FALSE)="", "",
VLOOKUP($A692,YES_Reading_ELA[], COLUMN(INDIRECT("YES_Reading_ELA[Max Expectation - Per "&amp;VLOOKUP($D$2,'Reading Report Logic'!$A$2:$B$8,2,FALSE)&amp;"]")), FALSE)),
IF($J$2="FLA",
IF(VLOOKUP($A692, YES_Reading_FLA[], COLUMN(INDIRECT("YES_Reading_FLA[Max Expectation - Per "&amp;VLOOKUP($D$2,'Reading Report Logic'!$A$2:$B$8,2,FALSE)&amp;"]")),FALSE)="","",
VLOOKUP($A692,YES_Reading_FLA[],COLUMN(INDIRECT("YES_Reading_FLA[Max Expectation - Per "&amp;VLOOKUP($D$2,'Reading Report Logic'!$A$2:$B$8,2,FALSE)&amp;"]")),FALSE)),
IF($J$2="Combined",
IFERROR(
IF(VLOOKUP($A692, YES_Reading_ELA[], COLUMN(INDIRECT("YES_Reading_ELA[Max Expectation - Per "&amp;VLOOKUP($D$2, 'Reading Report Logic'!$A$2:$B$8,2,FALSE)&amp;"]")), FALSE)="", "",
VLOOKUP($A692,YES_Reading_ELA[],COLUMN(INDIRECT("YES_Reading_ELA[Max Expectation - Per "&amp;VLOOKUP($D$2,'Reading Report Logic'!$A$2:$B$8,2,FALSE)&amp;"]")),FALSE)),
IF(VLOOKUP($A692, YES_Reading_FLA[], COLUMN(INDIRECT("YES_Reading_FLA[Max Expectation - Per "&amp;VLOOKUP($D$2, 'Reading Report Logic'!$A$2:$B$8, 2, FALSE)&amp;"]")),FALSE)="", "", VLOOKUP($A692,YES_Reading_FLA[],COLUMN(INDIRECT("YES_Reading_FLA[Max Expectation - Per "&amp;VLOOKUP($D$2, 'Reading Report Logic'!$A$2:$B$8, 2, FALSE)&amp;"]")),FALSE))),""))),"")</f>
        <v/>
      </c>
      <c r="G692" s="205" t="str" cm="1">
        <f t="array" aca="1" ref="G692" ca="1">IFERROR(
IF($J$2="ELA",
IF(VLOOKUP($A692, YES_Reading_ELA[], COLUMN(INDIRECT("YES_Reading_ELA[Difference - Per "&amp;VLOOKUP($D$2, 'Reading Report Logic'!$A$2:$B$8, 2, FALSE)&amp;"]")), FALSE)="", "",
VLOOKUP($A692,YES_Reading_ELA[], COLUMN(INDIRECT("YES_Reading_ELA[Difference - Per "&amp;VLOOKUP($D$2,'Reading Report Logic'!$A$2:$B$8,2,FALSE)&amp;"]")), FALSE)),
IF($J$2="FLA",
IF(VLOOKUP($A692, YES_Reading_FLA[], COLUMN(INDIRECT("YES_Reading_FLA[Difference - Per "&amp;VLOOKUP($D$2,'Reading Report Logic'!$A$2:$B$8,2,FALSE)&amp;"]")),FALSE)="","",
VLOOKUP($A692,YES_Reading_FLA[],COLUMN(INDIRECT("YES_Reading_FLA[Difference - Per "&amp;VLOOKUP($D$2,'Reading Report Logic'!$A$2:$B$8,2,FALSE)&amp;"]")),FALSE)),
IF($J$2="Combined",
IFERROR(
IF(VLOOKUP($A692, YES_Reading_ELA[], COLUMN(INDIRECT("YES_Reading_ELA[Difference - Per "&amp;VLOOKUP($D$2, 'Reading Report Logic'!$A$2:$B$8,2,FALSE)&amp;"]")), FALSE)="", "",
VLOOKUP($A692,YES_Reading_ELA[],COLUMN(INDIRECT("YES_Reading_ELA[Difference - Per "&amp;VLOOKUP($D$2,'Reading Report Logic'!$A$2:$B$8,2,FALSE)&amp;"]")),FALSE)),
IF(VLOOKUP($A692, YES_Reading_FLA[], COLUMN(INDIRECT("YES_Reading_FLA[Difference - Per "&amp;VLOOKUP($D$2, 'Reading Report Logic'!$A$2:$B$8, 2, FALSE)&amp;"]")),FALSE)="", "", VLOOKUP($A692,YES_Reading_FLA[],COLUMN(INDIRECT("YES_Reading_FLA[Difference - Per "&amp;VLOOKUP($D$2, 'Reading Report Logic'!$A$2:$B$8, 2, FALSE)&amp;"]")),FALSE))),""))),"")</f>
        <v/>
      </c>
      <c r="H692" s="206" t="str">
        <f ca="1">IFERROR(VLOOKUP('Teacher Reading Pull Sheets'!$D692,_xlfn.VSTACK('ELA Reading Logic'!$A$22:$B$48,'FLA Reading Logic'!$A$22:$B$53),2,FALSE)-VLOOKUP('Teacher Reading Pull Sheets'!$C692,_xlfn.VSTACK('ELA Reading Logic'!$A$22:$B$48,'FLA Reading Logic'!$A$22:$B$53),2,FALSE),"")</f>
        <v/>
      </c>
      <c r="I692" s="205"/>
      <c r="J692" s="206"/>
      <c r="K692" s="24" t="str" cm="1">
        <f t="array" aca="1" ref="K692" ca="1">IFERROR(
IF($J$2="ELA",
IF(VLOOKUP($A692, YES_Reading_ELA[], COLUMN(YES_Reading_ELA[Self-Identified as African Descent]), FALSE)="", "",
VLOOKUP($A692,YES_Reading_ELA[], COLUMN(YES_Reading_ELA[Self-Identified as African Descent]), FALSE)),
IF($J$2="FLA",
IF(VLOOKUP($A692, YES_Reading_FLA[], COLUMN(YES_Reading_FLA[Self-Identified as African Descent]),FALSE)="","",
VLOOKUP($A692,YES_Reading_FLA[],COLUMN(YES_Reading_FLA[Self-Identified as African Descent]),FALSE)),
IF($J$2="Combined",
IFERROR(
IF(VLOOKUP($A692, YES_Reading_ELA[], COLUMN(YES_Reading_ELA[Self-Identified as African Descent]), FALSE)="", "",
VLOOKUP($A692,YES_Reading_ELA[],COLUMN(YES_Reading_ELA[Self-Identified as African Descent]),FALSE)),
IF(VLOOKUP($A692, YES_Reading_FLA[], COLUMN(YES_Reading_FLA[Self-Identified as African Descent]),FALSE)="", "", VLOOKUP($A692,YES_Reading_FLA[],COLUMN(YES_Reading_FLA[Self-Identified as African Descent]),FALSE))),""))),"")</f>
        <v/>
      </c>
      <c r="L692" s="199" t="str" cm="1">
        <f t="array" aca="1" ref="L692" ca="1">IFERROR(
IF($J$2="ELA",
IF(VLOOKUP($A692, YES_Reading_ELA[], COLUMN(YES_Reading_ELA[Self-Identified as Indigenous]), FALSE)="", "",
VLOOKUP($A692,YES_Reading_ELA[], COLUMN(YES_Reading_ELA[Self-Identified as Indigenous]), FALSE)),
IF($J$2="FLA",
IF(VLOOKUP($A692, YES_Reading_FLA[], COLUMN(YES_Reading_FLA[Self-Identified as Indigenous]),FALSE)="","",
VLOOKUP($A692,YES_Reading_FLA[],COLUMN(YES_Reading_FLA[Self-Identified as Indigenous]),FALSE)),
IF($J$2="Combined",
IFERROR(
IF(VLOOKUP($A692, YES_Reading_ELA[], COLUMN(YES_Reading_ELA[Self-Identified as Indigenous]), FALSE)="", "",
VLOOKUP($A692,YES_Reading_ELA[],COLUMN(YES_Reading_ELA[Self-Identified as Indigenous]),FALSE)),
IF(VLOOKUP($A692, YES_Reading_FLA[], COLUMN(YES_Reading_FLA[Self-Identified as Indigenous]),FALSE)="", "", VLOOKUP($A692,YES_Reading_FLA[],COLUMN(YES_Reading_FLA[Self-Identified as Indigenous]),FALSE))),""))),"")</f>
        <v/>
      </c>
    </row>
    <row r="693" spans="1:12" ht="19.5" customHeight="1" x14ac:dyDescent="0.25">
      <c r="A693" s="217"/>
      <c r="B693" s="220" t="str">
        <f>IFERROR(VLOOKUP(A693,_xlfn.VSTACK(YES_Reading_ELA[],YES_Reading_FLA[]),2,FALSE),"")</f>
        <v/>
      </c>
      <c r="C693" s="203" t="str" cm="1">
        <f t="array" aca="1" ref="C693" ca="1">IFERROR(
IF($J$2="ELA",
IF(VLOOKUP($A693, YES_Reading_ELA[], COLUMN(IF(VLOOKUP($D$2, 'Reading Report Logic'!$A$2:$B$8, 2, FALSE)=1, YES_Reading_ELA[Reading Level June of Previous School Year], INDIRECT("YES_Reading_ELA[Instructional Reading Level - Per "&amp;(VLOOKUP($D$2,'Reading Report Logic'!$A$2:$B$8,2,FALSE)-1)&amp;"]"))), FALSE)="", "",
VLOOKUP($A693,YES_Reading_ELA[], COLUMN(IF(VLOOKUP($D$2,'Reading Report Logic'!$A$2:$B$8,2,FALSE)=1, YES_Reading_ELA[Reading Level June of Previous School Year],INDIRECT("YES_Reading_ELA[Instructional Reading Level - Per "&amp;(VLOOKUP($D$2,'Reading Report Logic'!$A$2:$B$8,2,FALSE)-1)&amp;"]"))), FALSE)),
IF($J$2="FLA",
IF(VLOOKUP($A693, YES_Reading_FLA[], COLUMN(IF(VLOOKUP($D$2,'Reading Report Logic'!$A$2:$B$8,2,FALSE)=1, YES_Reading_FLA[Reading Level June of Previous School Year],INDIRECT("YES_Reading_FLA[Instructional Reading Level - Per "&amp;(VLOOKUP($D$2,'Reading Report Logic'!$A$2:$B$8,2,FALSE)-1)&amp;"]"))),FALSE)="","",
VLOOKUP($A693,YES_Reading_FLA[], COLUMN(IF(VLOOKUP($D$2,'Reading Report Logic'!$A$2:$B$8,2,FALSE)=1, YES_Reading_FLA[Reading Level June of Previous School Year],INDIRECT("YES_Reading_FLA[Instructional Reading Level - Per "&amp;(VLOOKUP($D$2,'Reading Report Logic'!$A$2:$B$8,2,FALSE)-1)&amp;"]"))),FALSE)),
IF($J$2="Combined",
IFERROR(
IF(VLOOKUP($A693, YES_Reading_ELA[], COLUMN(IF(VLOOKUP($D$2,'Reading Report Logic'!$A$2:$B$8,2,FALSE)=1, YES_Reading_ELA[Reading Level June of Previous School Year],INDIRECT("YES_Reading_ELA[Instructional Reading Level - Per "&amp;(VLOOKUP($D$2,'Reading Report Logic'!$A$2:$B$8,2,FALSE)-1)&amp;"]"))), FALSE)="", "",
VLOOKUP($A693,YES_Reading_ELA[],COLUMN(IF(VLOOKUP($D$2,'Reading Report Logic'!$A$2:$B$8,2,FALSE)=1, YES_Reading_ELA[Reading Level June of Previous School Year],INDIRECT("YES_Reading_ELA[Instructional Reading Level - Per "&amp;(VLOOKUP($D$2,'Reading Report Logic'!$A$2:$B$8,2,FALSE)-1)&amp;"]"))),FALSE)),
IF(VLOOKUP($A693, YES_Reading_FLA[], COLUMN(IF(VLOOKUP($D$2,'Reading Report Logic'!$A$2:$B$8,2,FALSE)=1, YES_Reading_FLA[Reading Level June of Previous School Year],INDIRECT("YES_Reading_FLA[Instructional Reading Level - Per "&amp;(VLOOKUP($D$2,'Reading Report Logic'!$A$2:$B$8,2,FALSE)-1)&amp;"]"))),FALSE)="", "", VLOOKUP($A693,YES_Reading_FLA[],COLUMN(IF(VLOOKUP($D$2,'Reading Report Logic'!$A$2:$B$8,2,FALSE)=1, YES_Reading_FLA[Reading Level June of Previous School Year],INDIRECT("YES_Reading_FLA[Instructional Reading Level - Per "&amp;(VLOOKUP($D$2,'Reading Report Logic'!$A$2:$B$8,2,FALSE)-1)&amp;"]"))), FALSE))),""))),"")</f>
        <v/>
      </c>
      <c r="D693" s="204" t="str" cm="1">
        <f t="array" aca="1" ref="D693" ca="1">IFERROR(
IF($J$2="ELA",
IF(VLOOKUP($A693, YES_Reading_ELA[], COLUMN(INDIRECT("YES_Reading_ELA[Instructional Reading Level - Per "&amp;VLOOKUP($D$2, 'Reading Report Logic'!$A$2:$B$8, 2, FALSE)&amp;"]")), FALSE)="", "",
VLOOKUP($A693,YES_Reading_ELA[], COLUMN(INDIRECT("YES_Reading_ELA[Instructional Reading Level - Per "&amp;VLOOKUP($D$2,'Reading Report Logic'!$A$2:$B$8,2,FALSE)&amp;"]")), FALSE)),
IF($J$2="FLA",
IF(VLOOKUP($A693, YES_Reading_FLA[], COLUMN(INDIRECT("YES_Reading_FLA[Instructional Reading Level - Per "&amp;VLOOKUP($D$2,'Reading Report Logic'!$A$2:$B$8,2,FALSE)&amp;"]")),FALSE)="","",
VLOOKUP($A693,YES_Reading_FLA[],COLUMN(INDIRECT("YES_Reading_FLA[Instructional Reading Level - Per "&amp;VLOOKUP($D$2,'Reading Report Logic'!$A$2:$B$8,2,FALSE)&amp;"]")),FALSE)),
IF($J$2="Combined",
IFERROR(
IF(VLOOKUP($A693, YES_Reading_ELA[], COLUMN(INDIRECT("YES_Reading_ELA[Instructional Reading Level - Per "&amp;VLOOKUP($D$2, 'Reading Report Logic'!$A$2:$B$8,2,FALSE)&amp;"]")), FALSE)="", "",
VLOOKUP($A693,YES_Reading_ELA[],COLUMN(INDIRECT("YES_Reading_ELA[Instructional Reading Level - Per "&amp;VLOOKUP($D$2,'Reading Report Logic'!$A$2:$B$8,2,FALSE)&amp;"]")),FALSE)),
IF(VLOOKUP($A693, YES_Reading_FLA[], COLUMN(INDIRECT("YES_Reading_FLA[Instructional Reading Level - Per "&amp;VLOOKUP($D$2, 'Reading Report Logic'!$A$2:$B$8, 2, FALSE)&amp;"]")),FALSE)="", "", VLOOKUP($A693,YES_Reading_FLA[],COLUMN(INDIRECT("YES_Reading_FLA[Instructional Reading Level - Per "&amp;VLOOKUP($D$2, 'Reading Report Logic'!$A$2:$B$8, 2, FALSE)&amp;"]")),FALSE))),""))),"")</f>
        <v/>
      </c>
      <c r="E693" s="205" t="str" cm="1">
        <f t="array" aca="1" ref="E693" ca="1">IFERROR(
IF($J$2="ELA",
IF(VLOOKUP($A693, YES_Reading_ELA[], COLUMN(INDIRECT("YES_Reading_ELA[Min Expectation - Per "&amp;VLOOKUP($D$2, 'Reading Report Logic'!$A$2:$B$8, 2, FALSE)&amp;"]")), FALSE)="", "",
VLOOKUP($A693,YES_Reading_ELA[], COLUMN(INDIRECT("YES_Reading_ELA[Min Expectation - Per "&amp;VLOOKUP($D$2,'Reading Report Logic'!$A$2:$B$8,2,FALSE)&amp;"]")), FALSE)),
IF($J$2="FLA",
IF(VLOOKUP($A693, YES_Reading_FLA[], COLUMN(INDIRECT("YES_Reading_FLA[Min Expectation - Per "&amp;VLOOKUP($D$2,'Reading Report Logic'!$A$2:$B$8,2,FALSE)&amp;"]")),FALSE)="","",
VLOOKUP($A693,YES_Reading_FLA[],COLUMN(INDIRECT("YES_Reading_FLA[Min Expectation - Per "&amp;VLOOKUP($D$2,'Reading Report Logic'!$A$2:$B$8,2,FALSE)&amp;"]")),FALSE)),
IF($J$2="Combined",
IFERROR(
IF(VLOOKUP($A693, YES_Reading_ELA[], COLUMN(INDIRECT("YES_Reading_ELA[Min Expectation - Per "&amp;VLOOKUP($D$2, 'Reading Report Logic'!$A$2:$B$8,2,FALSE)&amp;"]")), FALSE)="", "",
VLOOKUP($A693,YES_Reading_ELA[],COLUMN(INDIRECT("YES_Reading_ELA[Min Expectation - Per "&amp;VLOOKUP($D$2,'Reading Report Logic'!$A$2:$B$8,2,FALSE)&amp;"]")),FALSE)),
IF(VLOOKUP($A693, YES_Reading_FLA[], COLUMN(INDIRECT("YES_Reading_FLA[Min Expectation - Per "&amp;VLOOKUP($D$2, 'Reading Report Logic'!$A$2:$B$8, 2, FALSE)&amp;"]")),FALSE)="", "", VLOOKUP($A693,YES_Reading_FLA[],COLUMN(INDIRECT("YES_Reading_FLA[Min Expectation - Per "&amp;VLOOKUP($D$2, 'Reading Report Logic'!$A$2:$B$8, 2, FALSE)&amp;"]")),FALSE))),""))),"")</f>
        <v/>
      </c>
      <c r="F693" s="205" t="str" cm="1">
        <f t="array" aca="1" ref="F693" ca="1">IFERROR(
IF($J$2="ELA",
IF(VLOOKUP($A693, YES_Reading_ELA[], COLUMN(INDIRECT("YES_Reading_ELA[Max Expectation - Per "&amp;VLOOKUP($D$2, 'Reading Report Logic'!$A$2:$B$8, 2, FALSE)&amp;"]")), FALSE)="", "",
VLOOKUP($A693,YES_Reading_ELA[], COLUMN(INDIRECT("YES_Reading_ELA[Max Expectation - Per "&amp;VLOOKUP($D$2,'Reading Report Logic'!$A$2:$B$8,2,FALSE)&amp;"]")), FALSE)),
IF($J$2="FLA",
IF(VLOOKUP($A693, YES_Reading_FLA[], COLUMN(INDIRECT("YES_Reading_FLA[Max Expectation - Per "&amp;VLOOKUP($D$2,'Reading Report Logic'!$A$2:$B$8,2,FALSE)&amp;"]")),FALSE)="","",
VLOOKUP($A693,YES_Reading_FLA[],COLUMN(INDIRECT("YES_Reading_FLA[Max Expectation - Per "&amp;VLOOKUP($D$2,'Reading Report Logic'!$A$2:$B$8,2,FALSE)&amp;"]")),FALSE)),
IF($J$2="Combined",
IFERROR(
IF(VLOOKUP($A693, YES_Reading_ELA[], COLUMN(INDIRECT("YES_Reading_ELA[Max Expectation - Per "&amp;VLOOKUP($D$2, 'Reading Report Logic'!$A$2:$B$8,2,FALSE)&amp;"]")), FALSE)="", "",
VLOOKUP($A693,YES_Reading_ELA[],COLUMN(INDIRECT("YES_Reading_ELA[Max Expectation - Per "&amp;VLOOKUP($D$2,'Reading Report Logic'!$A$2:$B$8,2,FALSE)&amp;"]")),FALSE)),
IF(VLOOKUP($A693, YES_Reading_FLA[], COLUMN(INDIRECT("YES_Reading_FLA[Max Expectation - Per "&amp;VLOOKUP($D$2, 'Reading Report Logic'!$A$2:$B$8, 2, FALSE)&amp;"]")),FALSE)="", "", VLOOKUP($A693,YES_Reading_FLA[],COLUMN(INDIRECT("YES_Reading_FLA[Max Expectation - Per "&amp;VLOOKUP($D$2, 'Reading Report Logic'!$A$2:$B$8, 2, FALSE)&amp;"]")),FALSE))),""))),"")</f>
        <v/>
      </c>
      <c r="G693" s="205" t="str" cm="1">
        <f t="array" aca="1" ref="G693" ca="1">IFERROR(
IF($J$2="ELA",
IF(VLOOKUP($A693, YES_Reading_ELA[], COLUMN(INDIRECT("YES_Reading_ELA[Difference - Per "&amp;VLOOKUP($D$2, 'Reading Report Logic'!$A$2:$B$8, 2, FALSE)&amp;"]")), FALSE)="", "",
VLOOKUP($A693,YES_Reading_ELA[], COLUMN(INDIRECT("YES_Reading_ELA[Difference - Per "&amp;VLOOKUP($D$2,'Reading Report Logic'!$A$2:$B$8,2,FALSE)&amp;"]")), FALSE)),
IF($J$2="FLA",
IF(VLOOKUP($A693, YES_Reading_FLA[], COLUMN(INDIRECT("YES_Reading_FLA[Difference - Per "&amp;VLOOKUP($D$2,'Reading Report Logic'!$A$2:$B$8,2,FALSE)&amp;"]")),FALSE)="","",
VLOOKUP($A693,YES_Reading_FLA[],COLUMN(INDIRECT("YES_Reading_FLA[Difference - Per "&amp;VLOOKUP($D$2,'Reading Report Logic'!$A$2:$B$8,2,FALSE)&amp;"]")),FALSE)),
IF($J$2="Combined",
IFERROR(
IF(VLOOKUP($A693, YES_Reading_ELA[], COLUMN(INDIRECT("YES_Reading_ELA[Difference - Per "&amp;VLOOKUP($D$2, 'Reading Report Logic'!$A$2:$B$8,2,FALSE)&amp;"]")), FALSE)="", "",
VLOOKUP($A693,YES_Reading_ELA[],COLUMN(INDIRECT("YES_Reading_ELA[Difference - Per "&amp;VLOOKUP($D$2,'Reading Report Logic'!$A$2:$B$8,2,FALSE)&amp;"]")),FALSE)),
IF(VLOOKUP($A693, YES_Reading_FLA[], COLUMN(INDIRECT("YES_Reading_FLA[Difference - Per "&amp;VLOOKUP($D$2, 'Reading Report Logic'!$A$2:$B$8, 2, FALSE)&amp;"]")),FALSE)="", "", VLOOKUP($A693,YES_Reading_FLA[],COLUMN(INDIRECT("YES_Reading_FLA[Difference - Per "&amp;VLOOKUP($D$2, 'Reading Report Logic'!$A$2:$B$8, 2, FALSE)&amp;"]")),FALSE))),""))),"")</f>
        <v/>
      </c>
      <c r="H693" s="206" t="str">
        <f ca="1">IFERROR(VLOOKUP('Teacher Reading Pull Sheets'!$D693,_xlfn.VSTACK('ELA Reading Logic'!$A$22:$B$48,'FLA Reading Logic'!$A$22:$B$53),2,FALSE)-VLOOKUP('Teacher Reading Pull Sheets'!$C693,_xlfn.VSTACK('ELA Reading Logic'!$A$22:$B$48,'FLA Reading Logic'!$A$22:$B$53),2,FALSE),"")</f>
        <v/>
      </c>
      <c r="I693" s="212"/>
      <c r="J693" s="206"/>
      <c r="K693" s="197" t="str" cm="1">
        <f t="array" ref="K693">IFERROR(
IF($J$2="ELA",
IF(VLOOKUP($A693, YES_Reading_ELA[], COLUMN(YES_Reading_ELA[Self-Identified as African Descent]), FALSE)="", "",
VLOOKUP($A693,YES_Reading_ELA[], COLUMN(YES_Reading_ELA[Self-Identified as African Descent]), FALSE)),
IF($J$2="FLA",
IF(VLOOKUP($A693, YES_Reading_FLA[], COLUMN(YES_Reading_FLA[Self-Identified as African Descent]),FALSE)="","",
VLOOKUP($A693,YES_Reading_FLA[],COLUMN(YES_Reading_FLA[Self-Identified as African Descent]),FALSE)),
IF($J$2="Combined",
IFERROR(
IF(VLOOKUP($A693, YES_Reading_ELA[], COLUMN(YES_Reading_ELA[Self-Identified as African Descent]), FALSE)="", "",
VLOOKUP($A693,YES_Reading_ELA[],COLUMN(YES_Reading_ELA[Self-Identified as African Descent]),FALSE)),
IF(VLOOKUP($A693, YES_Reading_FLA[], COLUMN(YES_Reading_FLA[Self-Identified as African Descent]),FALSE)="", "", VLOOKUP($A693,YES_Reading_FLA[],COLUMN(YES_Reading_FLA[Self-Identified as African Descent]),FALSE))),""))),"")</f>
        <v/>
      </c>
      <c r="L693" s="73" t="str" cm="1">
        <f t="array" ref="L693">IFERROR(
IF($J$2="ELA",
IF(VLOOKUP($A693, YES_Reading_ELA[], COLUMN(YES_Reading_ELA[Self-Identified as Indigenous]), FALSE)="", "",
VLOOKUP($A693,YES_Reading_ELA[], COLUMN(YES_Reading_ELA[Self-Identified as Indigenous]), FALSE)),
IF($J$2="FLA",
IF(VLOOKUP($A693, YES_Reading_FLA[], COLUMN(YES_Reading_FLA[Self-Identified as Indigenous]),FALSE)="","",
VLOOKUP($A693,YES_Reading_FLA[],COLUMN(YES_Reading_FLA[Self-Identified as Indigenous]),FALSE)),
IF($J$2="Combined",
IFERROR(
IF(VLOOKUP($A693, YES_Reading_ELA[], COLUMN(YES_Reading_ELA[Self-Identified as Indigenous]), FALSE)="", "",
VLOOKUP($A693,YES_Reading_ELA[],COLUMN(YES_Reading_ELA[Self-Identified as Indigenous]),FALSE)),
IF(VLOOKUP($A693, YES_Reading_FLA[], COLUMN(YES_Reading_FLA[Self-Identified as Indigenous]),FALSE)="", "", VLOOKUP($A693,YES_Reading_FLA[],COLUMN(YES_Reading_FLA[Self-Identified as Indigenous]),FALSE))),""))),"")</f>
        <v/>
      </c>
    </row>
    <row r="694" spans="1:12" ht="19.5" customHeight="1" x14ac:dyDescent="0.25">
      <c r="A694" s="217"/>
      <c r="B694" s="220" t="str">
        <f>IFERROR(VLOOKUP(A694,_xlfn.VSTACK(YES_Reading_ELA[],YES_Reading_FLA[]),2,FALSE),"")</f>
        <v/>
      </c>
      <c r="C694" s="203" t="str" cm="1">
        <f t="array" aca="1" ref="C694" ca="1">IFERROR(
IF($J$2="ELA",
IF(VLOOKUP($A694, YES_Reading_ELA[], COLUMN(IF(VLOOKUP($D$2, 'Reading Report Logic'!$A$2:$B$8, 2, FALSE)=1, YES_Reading_ELA[Reading Level June of Previous School Year], INDIRECT("YES_Reading_ELA[Instructional Reading Level - Per "&amp;(VLOOKUP($D$2,'Reading Report Logic'!$A$2:$B$8,2,FALSE)-1)&amp;"]"))), FALSE)="", "",
VLOOKUP($A694,YES_Reading_ELA[], COLUMN(IF(VLOOKUP($D$2,'Reading Report Logic'!$A$2:$B$8,2,FALSE)=1, YES_Reading_ELA[Reading Level June of Previous School Year],INDIRECT("YES_Reading_ELA[Instructional Reading Level - Per "&amp;(VLOOKUP($D$2,'Reading Report Logic'!$A$2:$B$8,2,FALSE)-1)&amp;"]"))), FALSE)),
IF($J$2="FLA",
IF(VLOOKUP($A694, YES_Reading_FLA[], COLUMN(IF(VLOOKUP($D$2,'Reading Report Logic'!$A$2:$B$8,2,FALSE)=1, YES_Reading_FLA[Reading Level June of Previous School Year],INDIRECT("YES_Reading_FLA[Instructional Reading Level - Per "&amp;(VLOOKUP($D$2,'Reading Report Logic'!$A$2:$B$8,2,FALSE)-1)&amp;"]"))),FALSE)="","",
VLOOKUP($A694,YES_Reading_FLA[], COLUMN(IF(VLOOKUP($D$2,'Reading Report Logic'!$A$2:$B$8,2,FALSE)=1, YES_Reading_FLA[Reading Level June of Previous School Year],INDIRECT("YES_Reading_FLA[Instructional Reading Level - Per "&amp;(VLOOKUP($D$2,'Reading Report Logic'!$A$2:$B$8,2,FALSE)-1)&amp;"]"))),FALSE)),
IF($J$2="Combined",
IFERROR(
IF(VLOOKUP($A694, YES_Reading_ELA[], COLUMN(IF(VLOOKUP($D$2,'Reading Report Logic'!$A$2:$B$8,2,FALSE)=1, YES_Reading_ELA[Reading Level June of Previous School Year],INDIRECT("YES_Reading_ELA[Instructional Reading Level - Per "&amp;(VLOOKUP($D$2,'Reading Report Logic'!$A$2:$B$8,2,FALSE)-1)&amp;"]"))), FALSE)="", "",
VLOOKUP($A694,YES_Reading_ELA[],COLUMN(IF(VLOOKUP($D$2,'Reading Report Logic'!$A$2:$B$8,2,FALSE)=1, YES_Reading_ELA[Reading Level June of Previous School Year],INDIRECT("YES_Reading_ELA[Instructional Reading Level - Per "&amp;(VLOOKUP($D$2,'Reading Report Logic'!$A$2:$B$8,2,FALSE)-1)&amp;"]"))),FALSE)),
IF(VLOOKUP($A694, YES_Reading_FLA[], COLUMN(IF(VLOOKUP($D$2,'Reading Report Logic'!$A$2:$B$8,2,FALSE)=1, YES_Reading_FLA[Reading Level June of Previous School Year],INDIRECT("YES_Reading_FLA[Instructional Reading Level - Per "&amp;(VLOOKUP($D$2,'Reading Report Logic'!$A$2:$B$8,2,FALSE)-1)&amp;"]"))),FALSE)="", "", VLOOKUP($A694,YES_Reading_FLA[],COLUMN(IF(VLOOKUP($D$2,'Reading Report Logic'!$A$2:$B$8,2,FALSE)=1, YES_Reading_FLA[Reading Level June of Previous School Year],INDIRECT("YES_Reading_FLA[Instructional Reading Level - Per "&amp;(VLOOKUP($D$2,'Reading Report Logic'!$A$2:$B$8,2,FALSE)-1)&amp;"]"))), FALSE))),""))),"")</f>
        <v/>
      </c>
      <c r="D694" s="204" t="str" cm="1">
        <f t="array" aca="1" ref="D694" ca="1">IFERROR(
IF($J$2="ELA",
IF(VLOOKUP($A694, YES_Reading_ELA[], COLUMN(INDIRECT("YES_Reading_ELA[Instructional Reading Level - Per "&amp;VLOOKUP($D$2, 'Reading Report Logic'!$A$2:$B$8, 2, FALSE)&amp;"]")), FALSE)="", "",
VLOOKUP($A694,YES_Reading_ELA[], COLUMN(INDIRECT("YES_Reading_ELA[Instructional Reading Level - Per "&amp;VLOOKUP($D$2,'Reading Report Logic'!$A$2:$B$8,2,FALSE)&amp;"]")), FALSE)),
IF($J$2="FLA",
IF(VLOOKUP($A694, YES_Reading_FLA[], COLUMN(INDIRECT("YES_Reading_FLA[Instructional Reading Level - Per "&amp;VLOOKUP($D$2,'Reading Report Logic'!$A$2:$B$8,2,FALSE)&amp;"]")),FALSE)="","",
VLOOKUP($A694,YES_Reading_FLA[],COLUMN(INDIRECT("YES_Reading_FLA[Instructional Reading Level - Per "&amp;VLOOKUP($D$2,'Reading Report Logic'!$A$2:$B$8,2,FALSE)&amp;"]")),FALSE)),
IF($J$2="Combined",
IFERROR(
IF(VLOOKUP($A694, YES_Reading_ELA[], COLUMN(INDIRECT("YES_Reading_ELA[Instructional Reading Level - Per "&amp;VLOOKUP($D$2, 'Reading Report Logic'!$A$2:$B$8,2,FALSE)&amp;"]")), FALSE)="", "",
VLOOKUP($A694,YES_Reading_ELA[],COLUMN(INDIRECT("YES_Reading_ELA[Instructional Reading Level - Per "&amp;VLOOKUP($D$2,'Reading Report Logic'!$A$2:$B$8,2,FALSE)&amp;"]")),FALSE)),
IF(VLOOKUP($A694, YES_Reading_FLA[], COLUMN(INDIRECT("YES_Reading_FLA[Instructional Reading Level - Per "&amp;VLOOKUP($D$2, 'Reading Report Logic'!$A$2:$B$8, 2, FALSE)&amp;"]")),FALSE)="", "", VLOOKUP($A694,YES_Reading_FLA[],COLUMN(INDIRECT("YES_Reading_FLA[Instructional Reading Level - Per "&amp;VLOOKUP($D$2, 'Reading Report Logic'!$A$2:$B$8, 2, FALSE)&amp;"]")),FALSE))),""))),"")</f>
        <v/>
      </c>
      <c r="E694" s="205" t="str" cm="1">
        <f t="array" aca="1" ref="E694" ca="1">IFERROR(
IF($J$2="ELA",
IF(VLOOKUP($A694, YES_Reading_ELA[], COLUMN(INDIRECT("YES_Reading_ELA[Min Expectation - Per "&amp;VLOOKUP($D$2, 'Reading Report Logic'!$A$2:$B$8, 2, FALSE)&amp;"]")), FALSE)="", "",
VLOOKUP($A694,YES_Reading_ELA[], COLUMN(INDIRECT("YES_Reading_ELA[Min Expectation - Per "&amp;VLOOKUP($D$2,'Reading Report Logic'!$A$2:$B$8,2,FALSE)&amp;"]")), FALSE)),
IF($J$2="FLA",
IF(VLOOKUP($A694, YES_Reading_FLA[], COLUMN(INDIRECT("YES_Reading_FLA[Min Expectation - Per "&amp;VLOOKUP($D$2,'Reading Report Logic'!$A$2:$B$8,2,FALSE)&amp;"]")),FALSE)="","",
VLOOKUP($A694,YES_Reading_FLA[],COLUMN(INDIRECT("YES_Reading_FLA[Min Expectation - Per "&amp;VLOOKUP($D$2,'Reading Report Logic'!$A$2:$B$8,2,FALSE)&amp;"]")),FALSE)),
IF($J$2="Combined",
IFERROR(
IF(VLOOKUP($A694, YES_Reading_ELA[], COLUMN(INDIRECT("YES_Reading_ELA[Min Expectation - Per "&amp;VLOOKUP($D$2, 'Reading Report Logic'!$A$2:$B$8,2,FALSE)&amp;"]")), FALSE)="", "",
VLOOKUP($A694,YES_Reading_ELA[],COLUMN(INDIRECT("YES_Reading_ELA[Min Expectation - Per "&amp;VLOOKUP($D$2,'Reading Report Logic'!$A$2:$B$8,2,FALSE)&amp;"]")),FALSE)),
IF(VLOOKUP($A694, YES_Reading_FLA[], COLUMN(INDIRECT("YES_Reading_FLA[Min Expectation - Per "&amp;VLOOKUP($D$2, 'Reading Report Logic'!$A$2:$B$8, 2, FALSE)&amp;"]")),FALSE)="", "", VLOOKUP($A694,YES_Reading_FLA[],COLUMN(INDIRECT("YES_Reading_FLA[Min Expectation - Per "&amp;VLOOKUP($D$2, 'Reading Report Logic'!$A$2:$B$8, 2, FALSE)&amp;"]")),FALSE))),""))),"")</f>
        <v/>
      </c>
      <c r="F694" s="205" t="str" cm="1">
        <f t="array" aca="1" ref="F694" ca="1">IFERROR(
IF($J$2="ELA",
IF(VLOOKUP($A694, YES_Reading_ELA[], COLUMN(INDIRECT("YES_Reading_ELA[Max Expectation - Per "&amp;VLOOKUP($D$2, 'Reading Report Logic'!$A$2:$B$8, 2, FALSE)&amp;"]")), FALSE)="", "",
VLOOKUP($A694,YES_Reading_ELA[], COLUMN(INDIRECT("YES_Reading_ELA[Max Expectation - Per "&amp;VLOOKUP($D$2,'Reading Report Logic'!$A$2:$B$8,2,FALSE)&amp;"]")), FALSE)),
IF($J$2="FLA",
IF(VLOOKUP($A694, YES_Reading_FLA[], COLUMN(INDIRECT("YES_Reading_FLA[Max Expectation - Per "&amp;VLOOKUP($D$2,'Reading Report Logic'!$A$2:$B$8,2,FALSE)&amp;"]")),FALSE)="","",
VLOOKUP($A694,YES_Reading_FLA[],COLUMN(INDIRECT("YES_Reading_FLA[Max Expectation - Per "&amp;VLOOKUP($D$2,'Reading Report Logic'!$A$2:$B$8,2,FALSE)&amp;"]")),FALSE)),
IF($J$2="Combined",
IFERROR(
IF(VLOOKUP($A694, YES_Reading_ELA[], COLUMN(INDIRECT("YES_Reading_ELA[Max Expectation - Per "&amp;VLOOKUP($D$2, 'Reading Report Logic'!$A$2:$B$8,2,FALSE)&amp;"]")), FALSE)="", "",
VLOOKUP($A694,YES_Reading_ELA[],COLUMN(INDIRECT("YES_Reading_ELA[Max Expectation - Per "&amp;VLOOKUP($D$2,'Reading Report Logic'!$A$2:$B$8,2,FALSE)&amp;"]")),FALSE)),
IF(VLOOKUP($A694, YES_Reading_FLA[], COLUMN(INDIRECT("YES_Reading_FLA[Max Expectation - Per "&amp;VLOOKUP($D$2, 'Reading Report Logic'!$A$2:$B$8, 2, FALSE)&amp;"]")),FALSE)="", "", VLOOKUP($A694,YES_Reading_FLA[],COLUMN(INDIRECT("YES_Reading_FLA[Max Expectation - Per "&amp;VLOOKUP($D$2, 'Reading Report Logic'!$A$2:$B$8, 2, FALSE)&amp;"]")),FALSE))),""))),"")</f>
        <v/>
      </c>
      <c r="G694" s="205" t="str" cm="1">
        <f t="array" aca="1" ref="G694" ca="1">IFERROR(
IF($J$2="ELA",
IF(VLOOKUP($A694, YES_Reading_ELA[], COLUMN(INDIRECT("YES_Reading_ELA[Difference - Per "&amp;VLOOKUP($D$2, 'Reading Report Logic'!$A$2:$B$8, 2, FALSE)&amp;"]")), FALSE)="", "",
VLOOKUP($A694,YES_Reading_ELA[], COLUMN(INDIRECT("YES_Reading_ELA[Difference - Per "&amp;VLOOKUP($D$2,'Reading Report Logic'!$A$2:$B$8,2,FALSE)&amp;"]")), FALSE)),
IF($J$2="FLA",
IF(VLOOKUP($A694, YES_Reading_FLA[], COLUMN(INDIRECT("YES_Reading_FLA[Difference - Per "&amp;VLOOKUP($D$2,'Reading Report Logic'!$A$2:$B$8,2,FALSE)&amp;"]")),FALSE)="","",
VLOOKUP($A694,YES_Reading_FLA[],COLUMN(INDIRECT("YES_Reading_FLA[Difference - Per "&amp;VLOOKUP($D$2,'Reading Report Logic'!$A$2:$B$8,2,FALSE)&amp;"]")),FALSE)),
IF($J$2="Combined",
IFERROR(
IF(VLOOKUP($A694, YES_Reading_ELA[], COLUMN(INDIRECT("YES_Reading_ELA[Difference - Per "&amp;VLOOKUP($D$2, 'Reading Report Logic'!$A$2:$B$8,2,FALSE)&amp;"]")), FALSE)="", "",
VLOOKUP($A694,YES_Reading_ELA[],COLUMN(INDIRECT("YES_Reading_ELA[Difference - Per "&amp;VLOOKUP($D$2,'Reading Report Logic'!$A$2:$B$8,2,FALSE)&amp;"]")),FALSE)),
IF(VLOOKUP($A694, YES_Reading_FLA[], COLUMN(INDIRECT("YES_Reading_FLA[Difference - Per "&amp;VLOOKUP($D$2, 'Reading Report Logic'!$A$2:$B$8, 2, FALSE)&amp;"]")),FALSE)="", "", VLOOKUP($A694,YES_Reading_FLA[],COLUMN(INDIRECT("YES_Reading_FLA[Difference - Per "&amp;VLOOKUP($D$2, 'Reading Report Logic'!$A$2:$B$8, 2, FALSE)&amp;"]")),FALSE))),""))),"")</f>
        <v/>
      </c>
      <c r="H694" s="206" t="str">
        <f ca="1">IFERROR(VLOOKUP('Teacher Reading Pull Sheets'!$D694,_xlfn.VSTACK('ELA Reading Logic'!$A$22:$B$48,'FLA Reading Logic'!$A$22:$B$53),2,FALSE)-VLOOKUP('Teacher Reading Pull Sheets'!$C694,_xlfn.VSTACK('ELA Reading Logic'!$A$22:$B$48,'FLA Reading Logic'!$A$22:$B$53),2,FALSE),"")</f>
        <v/>
      </c>
      <c r="I694" s="212"/>
      <c r="J694" s="206"/>
      <c r="K694" s="197" t="str" cm="1">
        <f t="array" ref="K694">IFERROR(
IF($J$2="ELA",
IF(VLOOKUP($A694, YES_Reading_ELA[], COLUMN(YES_Reading_ELA[Self-Identified as African Descent]), FALSE)="", "",
VLOOKUP($A694,YES_Reading_ELA[], COLUMN(YES_Reading_ELA[Self-Identified as African Descent]), FALSE)),
IF($J$2="FLA",
IF(VLOOKUP($A694, YES_Reading_FLA[], COLUMN(YES_Reading_FLA[Self-Identified as African Descent]),FALSE)="","",
VLOOKUP($A694,YES_Reading_FLA[],COLUMN(YES_Reading_FLA[Self-Identified as African Descent]),FALSE)),
IF($J$2="Combined",
IFERROR(
IF(VLOOKUP($A694, YES_Reading_ELA[], COLUMN(YES_Reading_ELA[Self-Identified as African Descent]), FALSE)="", "",
VLOOKUP($A694,YES_Reading_ELA[],COLUMN(YES_Reading_ELA[Self-Identified as African Descent]),FALSE)),
IF(VLOOKUP($A694, YES_Reading_FLA[], COLUMN(YES_Reading_FLA[Self-Identified as African Descent]),FALSE)="", "", VLOOKUP($A694,YES_Reading_FLA[],COLUMN(YES_Reading_FLA[Self-Identified as African Descent]),FALSE))),""))),"")</f>
        <v/>
      </c>
      <c r="L694" s="73" t="str" cm="1">
        <f t="array" ref="L694">IFERROR(
IF($J$2="ELA",
IF(VLOOKUP($A694, YES_Reading_ELA[], COLUMN(YES_Reading_ELA[Self-Identified as Indigenous]), FALSE)="", "",
VLOOKUP($A694,YES_Reading_ELA[], COLUMN(YES_Reading_ELA[Self-Identified as Indigenous]), FALSE)),
IF($J$2="FLA",
IF(VLOOKUP($A694, YES_Reading_FLA[], COLUMN(YES_Reading_FLA[Self-Identified as Indigenous]),FALSE)="","",
VLOOKUP($A694,YES_Reading_FLA[],COLUMN(YES_Reading_FLA[Self-Identified as Indigenous]),FALSE)),
IF($J$2="Combined",
IFERROR(
IF(VLOOKUP($A694, YES_Reading_ELA[], COLUMN(YES_Reading_ELA[Self-Identified as Indigenous]), FALSE)="", "",
VLOOKUP($A694,YES_Reading_ELA[],COLUMN(YES_Reading_ELA[Self-Identified as Indigenous]),FALSE)),
IF(VLOOKUP($A694, YES_Reading_FLA[], COLUMN(YES_Reading_FLA[Self-Identified as Indigenous]),FALSE)="", "", VLOOKUP($A694,YES_Reading_FLA[],COLUMN(YES_Reading_FLA[Self-Identified as Indigenous]),FALSE))),""))),"")</f>
        <v/>
      </c>
    </row>
    <row r="695" spans="1:12" ht="19.5" customHeight="1" x14ac:dyDescent="0.25">
      <c r="A695" s="217"/>
      <c r="B695" s="220" t="str">
        <f>IFERROR(VLOOKUP(A695,_xlfn.VSTACK(YES_Reading_ELA[],YES_Reading_FLA[]),2,FALSE),"")</f>
        <v/>
      </c>
      <c r="C695" s="203" t="str" cm="1">
        <f t="array" aca="1" ref="C695" ca="1">IFERROR(
IF($J$2="ELA",
IF(VLOOKUP($A695, YES_Reading_ELA[], COLUMN(IF(VLOOKUP($D$2, 'Reading Report Logic'!$A$2:$B$8, 2, FALSE)=1, YES_Reading_ELA[Reading Level June of Previous School Year], INDIRECT("YES_Reading_ELA[Instructional Reading Level - Per "&amp;(VLOOKUP($D$2,'Reading Report Logic'!$A$2:$B$8,2,FALSE)-1)&amp;"]"))), FALSE)="", "",
VLOOKUP($A695,YES_Reading_ELA[], COLUMN(IF(VLOOKUP($D$2,'Reading Report Logic'!$A$2:$B$8,2,FALSE)=1, YES_Reading_ELA[Reading Level June of Previous School Year],INDIRECT("YES_Reading_ELA[Instructional Reading Level - Per "&amp;(VLOOKUP($D$2,'Reading Report Logic'!$A$2:$B$8,2,FALSE)-1)&amp;"]"))), FALSE)),
IF($J$2="FLA",
IF(VLOOKUP($A695, YES_Reading_FLA[], COLUMN(IF(VLOOKUP($D$2,'Reading Report Logic'!$A$2:$B$8,2,FALSE)=1, YES_Reading_FLA[Reading Level June of Previous School Year],INDIRECT("YES_Reading_FLA[Instructional Reading Level - Per "&amp;(VLOOKUP($D$2,'Reading Report Logic'!$A$2:$B$8,2,FALSE)-1)&amp;"]"))),FALSE)="","",
VLOOKUP($A695,YES_Reading_FLA[], COLUMN(IF(VLOOKUP($D$2,'Reading Report Logic'!$A$2:$B$8,2,FALSE)=1, YES_Reading_FLA[Reading Level June of Previous School Year],INDIRECT("YES_Reading_FLA[Instructional Reading Level - Per "&amp;(VLOOKUP($D$2,'Reading Report Logic'!$A$2:$B$8,2,FALSE)-1)&amp;"]"))),FALSE)),
IF($J$2="Combined",
IFERROR(
IF(VLOOKUP($A695, YES_Reading_ELA[], COLUMN(IF(VLOOKUP($D$2,'Reading Report Logic'!$A$2:$B$8,2,FALSE)=1, YES_Reading_ELA[Reading Level June of Previous School Year],INDIRECT("YES_Reading_ELA[Instructional Reading Level - Per "&amp;(VLOOKUP($D$2,'Reading Report Logic'!$A$2:$B$8,2,FALSE)-1)&amp;"]"))), FALSE)="", "",
VLOOKUP($A695,YES_Reading_ELA[],COLUMN(IF(VLOOKUP($D$2,'Reading Report Logic'!$A$2:$B$8,2,FALSE)=1, YES_Reading_ELA[Reading Level June of Previous School Year],INDIRECT("YES_Reading_ELA[Instructional Reading Level - Per "&amp;(VLOOKUP($D$2,'Reading Report Logic'!$A$2:$B$8,2,FALSE)-1)&amp;"]"))),FALSE)),
IF(VLOOKUP($A695, YES_Reading_FLA[], COLUMN(IF(VLOOKUP($D$2,'Reading Report Logic'!$A$2:$B$8,2,FALSE)=1, YES_Reading_FLA[Reading Level June of Previous School Year],INDIRECT("YES_Reading_FLA[Instructional Reading Level - Per "&amp;(VLOOKUP($D$2,'Reading Report Logic'!$A$2:$B$8,2,FALSE)-1)&amp;"]"))),FALSE)="", "", VLOOKUP($A695,YES_Reading_FLA[],COLUMN(IF(VLOOKUP($D$2,'Reading Report Logic'!$A$2:$B$8,2,FALSE)=1, YES_Reading_FLA[Reading Level June of Previous School Year],INDIRECT("YES_Reading_FLA[Instructional Reading Level - Per "&amp;(VLOOKUP($D$2,'Reading Report Logic'!$A$2:$B$8,2,FALSE)-1)&amp;"]"))), FALSE))),""))),"")</f>
        <v/>
      </c>
      <c r="D695" s="204" t="str" cm="1">
        <f t="array" aca="1" ref="D695" ca="1">IFERROR(
IF($J$2="ELA",
IF(VLOOKUP($A695, YES_Reading_ELA[], COLUMN(INDIRECT("YES_Reading_ELA[Instructional Reading Level - Per "&amp;VLOOKUP($D$2, 'Reading Report Logic'!$A$2:$B$8, 2, FALSE)&amp;"]")), FALSE)="", "",
VLOOKUP($A695,YES_Reading_ELA[], COLUMN(INDIRECT("YES_Reading_ELA[Instructional Reading Level - Per "&amp;VLOOKUP($D$2,'Reading Report Logic'!$A$2:$B$8,2,FALSE)&amp;"]")), FALSE)),
IF($J$2="FLA",
IF(VLOOKUP($A695, YES_Reading_FLA[], COLUMN(INDIRECT("YES_Reading_FLA[Instructional Reading Level - Per "&amp;VLOOKUP($D$2,'Reading Report Logic'!$A$2:$B$8,2,FALSE)&amp;"]")),FALSE)="","",
VLOOKUP($A695,YES_Reading_FLA[],COLUMN(INDIRECT("YES_Reading_FLA[Instructional Reading Level - Per "&amp;VLOOKUP($D$2,'Reading Report Logic'!$A$2:$B$8,2,FALSE)&amp;"]")),FALSE)),
IF($J$2="Combined",
IFERROR(
IF(VLOOKUP($A695, YES_Reading_ELA[], COLUMN(INDIRECT("YES_Reading_ELA[Instructional Reading Level - Per "&amp;VLOOKUP($D$2, 'Reading Report Logic'!$A$2:$B$8,2,FALSE)&amp;"]")), FALSE)="", "",
VLOOKUP($A695,YES_Reading_ELA[],COLUMN(INDIRECT("YES_Reading_ELA[Instructional Reading Level - Per "&amp;VLOOKUP($D$2,'Reading Report Logic'!$A$2:$B$8,2,FALSE)&amp;"]")),FALSE)),
IF(VLOOKUP($A695, YES_Reading_FLA[], COLUMN(INDIRECT("YES_Reading_FLA[Instructional Reading Level - Per "&amp;VLOOKUP($D$2, 'Reading Report Logic'!$A$2:$B$8, 2, FALSE)&amp;"]")),FALSE)="", "", VLOOKUP($A695,YES_Reading_FLA[],COLUMN(INDIRECT("YES_Reading_FLA[Instructional Reading Level - Per "&amp;VLOOKUP($D$2, 'Reading Report Logic'!$A$2:$B$8, 2, FALSE)&amp;"]")),FALSE))),""))),"")</f>
        <v/>
      </c>
      <c r="E695" s="205" t="str" cm="1">
        <f t="array" aca="1" ref="E695" ca="1">IFERROR(
IF($J$2="ELA",
IF(VLOOKUP($A695, YES_Reading_ELA[], COLUMN(INDIRECT("YES_Reading_ELA[Min Expectation - Per "&amp;VLOOKUP($D$2, 'Reading Report Logic'!$A$2:$B$8, 2, FALSE)&amp;"]")), FALSE)="", "",
VLOOKUP($A695,YES_Reading_ELA[], COLUMN(INDIRECT("YES_Reading_ELA[Min Expectation - Per "&amp;VLOOKUP($D$2,'Reading Report Logic'!$A$2:$B$8,2,FALSE)&amp;"]")), FALSE)),
IF($J$2="FLA",
IF(VLOOKUP($A695, YES_Reading_FLA[], COLUMN(INDIRECT("YES_Reading_FLA[Min Expectation - Per "&amp;VLOOKUP($D$2,'Reading Report Logic'!$A$2:$B$8,2,FALSE)&amp;"]")),FALSE)="","",
VLOOKUP($A695,YES_Reading_FLA[],COLUMN(INDIRECT("YES_Reading_FLA[Min Expectation - Per "&amp;VLOOKUP($D$2,'Reading Report Logic'!$A$2:$B$8,2,FALSE)&amp;"]")),FALSE)),
IF($J$2="Combined",
IFERROR(
IF(VLOOKUP($A695, YES_Reading_ELA[], COLUMN(INDIRECT("YES_Reading_ELA[Min Expectation - Per "&amp;VLOOKUP($D$2, 'Reading Report Logic'!$A$2:$B$8,2,FALSE)&amp;"]")), FALSE)="", "",
VLOOKUP($A695,YES_Reading_ELA[],COLUMN(INDIRECT("YES_Reading_ELA[Min Expectation - Per "&amp;VLOOKUP($D$2,'Reading Report Logic'!$A$2:$B$8,2,FALSE)&amp;"]")),FALSE)),
IF(VLOOKUP($A695, YES_Reading_FLA[], COLUMN(INDIRECT("YES_Reading_FLA[Min Expectation - Per "&amp;VLOOKUP($D$2, 'Reading Report Logic'!$A$2:$B$8, 2, FALSE)&amp;"]")),FALSE)="", "", VLOOKUP($A695,YES_Reading_FLA[],COLUMN(INDIRECT("YES_Reading_FLA[Min Expectation - Per "&amp;VLOOKUP($D$2, 'Reading Report Logic'!$A$2:$B$8, 2, FALSE)&amp;"]")),FALSE))),""))),"")</f>
        <v/>
      </c>
      <c r="F695" s="205" t="str" cm="1">
        <f t="array" aca="1" ref="F695" ca="1">IFERROR(
IF($J$2="ELA",
IF(VLOOKUP($A695, YES_Reading_ELA[], COLUMN(INDIRECT("YES_Reading_ELA[Max Expectation - Per "&amp;VLOOKUP($D$2, 'Reading Report Logic'!$A$2:$B$8, 2, FALSE)&amp;"]")), FALSE)="", "",
VLOOKUP($A695,YES_Reading_ELA[], COLUMN(INDIRECT("YES_Reading_ELA[Max Expectation - Per "&amp;VLOOKUP($D$2,'Reading Report Logic'!$A$2:$B$8,2,FALSE)&amp;"]")), FALSE)),
IF($J$2="FLA",
IF(VLOOKUP($A695, YES_Reading_FLA[], COLUMN(INDIRECT("YES_Reading_FLA[Max Expectation - Per "&amp;VLOOKUP($D$2,'Reading Report Logic'!$A$2:$B$8,2,FALSE)&amp;"]")),FALSE)="","",
VLOOKUP($A695,YES_Reading_FLA[],COLUMN(INDIRECT("YES_Reading_FLA[Max Expectation - Per "&amp;VLOOKUP($D$2,'Reading Report Logic'!$A$2:$B$8,2,FALSE)&amp;"]")),FALSE)),
IF($J$2="Combined",
IFERROR(
IF(VLOOKUP($A695, YES_Reading_ELA[], COLUMN(INDIRECT("YES_Reading_ELA[Max Expectation - Per "&amp;VLOOKUP($D$2, 'Reading Report Logic'!$A$2:$B$8,2,FALSE)&amp;"]")), FALSE)="", "",
VLOOKUP($A695,YES_Reading_ELA[],COLUMN(INDIRECT("YES_Reading_ELA[Max Expectation - Per "&amp;VLOOKUP($D$2,'Reading Report Logic'!$A$2:$B$8,2,FALSE)&amp;"]")),FALSE)),
IF(VLOOKUP($A695, YES_Reading_FLA[], COLUMN(INDIRECT("YES_Reading_FLA[Max Expectation - Per "&amp;VLOOKUP($D$2, 'Reading Report Logic'!$A$2:$B$8, 2, FALSE)&amp;"]")),FALSE)="", "", VLOOKUP($A695,YES_Reading_FLA[],COLUMN(INDIRECT("YES_Reading_FLA[Max Expectation - Per "&amp;VLOOKUP($D$2, 'Reading Report Logic'!$A$2:$B$8, 2, FALSE)&amp;"]")),FALSE))),""))),"")</f>
        <v/>
      </c>
      <c r="G695" s="205" t="str" cm="1">
        <f t="array" aca="1" ref="G695" ca="1">IFERROR(
IF($J$2="ELA",
IF(VLOOKUP($A695, YES_Reading_ELA[], COLUMN(INDIRECT("YES_Reading_ELA[Difference - Per "&amp;VLOOKUP($D$2, 'Reading Report Logic'!$A$2:$B$8, 2, FALSE)&amp;"]")), FALSE)="", "",
VLOOKUP($A695,YES_Reading_ELA[], COLUMN(INDIRECT("YES_Reading_ELA[Difference - Per "&amp;VLOOKUP($D$2,'Reading Report Logic'!$A$2:$B$8,2,FALSE)&amp;"]")), FALSE)),
IF($J$2="FLA",
IF(VLOOKUP($A695, YES_Reading_FLA[], COLUMN(INDIRECT("YES_Reading_FLA[Difference - Per "&amp;VLOOKUP($D$2,'Reading Report Logic'!$A$2:$B$8,2,FALSE)&amp;"]")),FALSE)="","",
VLOOKUP($A695,YES_Reading_FLA[],COLUMN(INDIRECT("YES_Reading_FLA[Difference - Per "&amp;VLOOKUP($D$2,'Reading Report Logic'!$A$2:$B$8,2,FALSE)&amp;"]")),FALSE)),
IF($J$2="Combined",
IFERROR(
IF(VLOOKUP($A695, YES_Reading_ELA[], COLUMN(INDIRECT("YES_Reading_ELA[Difference - Per "&amp;VLOOKUP($D$2, 'Reading Report Logic'!$A$2:$B$8,2,FALSE)&amp;"]")), FALSE)="", "",
VLOOKUP($A695,YES_Reading_ELA[],COLUMN(INDIRECT("YES_Reading_ELA[Difference - Per "&amp;VLOOKUP($D$2,'Reading Report Logic'!$A$2:$B$8,2,FALSE)&amp;"]")),FALSE)),
IF(VLOOKUP($A695, YES_Reading_FLA[], COLUMN(INDIRECT("YES_Reading_FLA[Difference - Per "&amp;VLOOKUP($D$2, 'Reading Report Logic'!$A$2:$B$8, 2, FALSE)&amp;"]")),FALSE)="", "", VLOOKUP($A695,YES_Reading_FLA[],COLUMN(INDIRECT("YES_Reading_FLA[Difference - Per "&amp;VLOOKUP($D$2, 'Reading Report Logic'!$A$2:$B$8, 2, FALSE)&amp;"]")),FALSE))),""))),"")</f>
        <v/>
      </c>
      <c r="H695" s="206" t="str">
        <f ca="1">IFERROR(VLOOKUP('Teacher Reading Pull Sheets'!$D695,_xlfn.VSTACK('ELA Reading Logic'!$A$22:$B$48,'FLA Reading Logic'!$A$22:$B$53),2,FALSE)-VLOOKUP('Teacher Reading Pull Sheets'!$C695,_xlfn.VSTACK('ELA Reading Logic'!$A$22:$B$48,'FLA Reading Logic'!$A$22:$B$53),2,FALSE),"")</f>
        <v/>
      </c>
      <c r="I695" s="212"/>
      <c r="J695" s="206"/>
      <c r="K695" s="197" t="str" cm="1">
        <f t="array" ref="K695">IFERROR(
IF($J$2="ELA",
IF(VLOOKUP($A695, YES_Reading_ELA[], COLUMN(YES_Reading_ELA[Self-Identified as African Descent]), FALSE)="", "",
VLOOKUP($A695,YES_Reading_ELA[], COLUMN(YES_Reading_ELA[Self-Identified as African Descent]), FALSE)),
IF($J$2="FLA",
IF(VLOOKUP($A695, YES_Reading_FLA[], COLUMN(YES_Reading_FLA[Self-Identified as African Descent]),FALSE)="","",
VLOOKUP($A695,YES_Reading_FLA[],COLUMN(YES_Reading_FLA[Self-Identified as African Descent]),FALSE)),
IF($J$2="Combined",
IFERROR(
IF(VLOOKUP($A695, YES_Reading_ELA[], COLUMN(YES_Reading_ELA[Self-Identified as African Descent]), FALSE)="", "",
VLOOKUP($A695,YES_Reading_ELA[],COLUMN(YES_Reading_ELA[Self-Identified as African Descent]),FALSE)),
IF(VLOOKUP($A695, YES_Reading_FLA[], COLUMN(YES_Reading_FLA[Self-Identified as African Descent]),FALSE)="", "", VLOOKUP($A695,YES_Reading_FLA[],COLUMN(YES_Reading_FLA[Self-Identified as African Descent]),FALSE))),""))),"")</f>
        <v/>
      </c>
      <c r="L695" s="73" t="str" cm="1">
        <f t="array" ref="L695">IFERROR(
IF($J$2="ELA",
IF(VLOOKUP($A695, YES_Reading_ELA[], COLUMN(YES_Reading_ELA[Self-Identified as Indigenous]), FALSE)="", "",
VLOOKUP($A695,YES_Reading_ELA[], COLUMN(YES_Reading_ELA[Self-Identified as Indigenous]), FALSE)),
IF($J$2="FLA",
IF(VLOOKUP($A695, YES_Reading_FLA[], COLUMN(YES_Reading_FLA[Self-Identified as Indigenous]),FALSE)="","",
VLOOKUP($A695,YES_Reading_FLA[],COLUMN(YES_Reading_FLA[Self-Identified as Indigenous]),FALSE)),
IF($J$2="Combined",
IFERROR(
IF(VLOOKUP($A695, YES_Reading_ELA[], COLUMN(YES_Reading_ELA[Self-Identified as Indigenous]), FALSE)="", "",
VLOOKUP($A695,YES_Reading_ELA[],COLUMN(YES_Reading_ELA[Self-Identified as Indigenous]),FALSE)),
IF(VLOOKUP($A695, YES_Reading_FLA[], COLUMN(YES_Reading_FLA[Self-Identified as Indigenous]),FALSE)="", "", VLOOKUP($A695,YES_Reading_FLA[],COLUMN(YES_Reading_FLA[Self-Identified as Indigenous]),FALSE))),""))),"")</f>
        <v/>
      </c>
    </row>
    <row r="696" spans="1:12" ht="19.5" customHeight="1" x14ac:dyDescent="0.25">
      <c r="A696" s="217"/>
      <c r="B696" s="220" t="str">
        <f>IFERROR(VLOOKUP(A696,_xlfn.VSTACK(YES_Reading_ELA[],YES_Reading_FLA[]),2,FALSE),"")</f>
        <v/>
      </c>
      <c r="C696" s="203" t="str" cm="1">
        <f t="array" aca="1" ref="C696" ca="1">IFERROR(
IF($J$2="ELA",
IF(VLOOKUP($A696, YES_Reading_ELA[], COLUMN(IF(VLOOKUP($D$2, 'Reading Report Logic'!$A$2:$B$8, 2, FALSE)=1, YES_Reading_ELA[Reading Level June of Previous School Year], INDIRECT("YES_Reading_ELA[Instructional Reading Level - Per "&amp;(VLOOKUP($D$2,'Reading Report Logic'!$A$2:$B$8,2,FALSE)-1)&amp;"]"))), FALSE)="", "",
VLOOKUP($A696,YES_Reading_ELA[], COLUMN(IF(VLOOKUP($D$2,'Reading Report Logic'!$A$2:$B$8,2,FALSE)=1, YES_Reading_ELA[Reading Level June of Previous School Year],INDIRECT("YES_Reading_ELA[Instructional Reading Level - Per "&amp;(VLOOKUP($D$2,'Reading Report Logic'!$A$2:$B$8,2,FALSE)-1)&amp;"]"))), FALSE)),
IF($J$2="FLA",
IF(VLOOKUP($A696, YES_Reading_FLA[], COLUMN(IF(VLOOKUP($D$2,'Reading Report Logic'!$A$2:$B$8,2,FALSE)=1, YES_Reading_FLA[Reading Level June of Previous School Year],INDIRECT("YES_Reading_FLA[Instructional Reading Level - Per "&amp;(VLOOKUP($D$2,'Reading Report Logic'!$A$2:$B$8,2,FALSE)-1)&amp;"]"))),FALSE)="","",
VLOOKUP($A696,YES_Reading_FLA[], COLUMN(IF(VLOOKUP($D$2,'Reading Report Logic'!$A$2:$B$8,2,FALSE)=1, YES_Reading_FLA[Reading Level June of Previous School Year],INDIRECT("YES_Reading_FLA[Instructional Reading Level - Per "&amp;(VLOOKUP($D$2,'Reading Report Logic'!$A$2:$B$8,2,FALSE)-1)&amp;"]"))),FALSE)),
IF($J$2="Combined",
IFERROR(
IF(VLOOKUP($A696, YES_Reading_ELA[], COLUMN(IF(VLOOKUP($D$2,'Reading Report Logic'!$A$2:$B$8,2,FALSE)=1, YES_Reading_ELA[Reading Level June of Previous School Year],INDIRECT("YES_Reading_ELA[Instructional Reading Level - Per "&amp;(VLOOKUP($D$2,'Reading Report Logic'!$A$2:$B$8,2,FALSE)-1)&amp;"]"))), FALSE)="", "",
VLOOKUP($A696,YES_Reading_ELA[],COLUMN(IF(VLOOKUP($D$2,'Reading Report Logic'!$A$2:$B$8,2,FALSE)=1, YES_Reading_ELA[Reading Level June of Previous School Year],INDIRECT("YES_Reading_ELA[Instructional Reading Level - Per "&amp;(VLOOKUP($D$2,'Reading Report Logic'!$A$2:$B$8,2,FALSE)-1)&amp;"]"))),FALSE)),
IF(VLOOKUP($A696, YES_Reading_FLA[], COLUMN(IF(VLOOKUP($D$2,'Reading Report Logic'!$A$2:$B$8,2,FALSE)=1, YES_Reading_FLA[Reading Level June of Previous School Year],INDIRECT("YES_Reading_FLA[Instructional Reading Level - Per "&amp;(VLOOKUP($D$2,'Reading Report Logic'!$A$2:$B$8,2,FALSE)-1)&amp;"]"))),FALSE)="", "", VLOOKUP($A696,YES_Reading_FLA[],COLUMN(IF(VLOOKUP($D$2,'Reading Report Logic'!$A$2:$B$8,2,FALSE)=1, YES_Reading_FLA[Reading Level June of Previous School Year],INDIRECT("YES_Reading_FLA[Instructional Reading Level - Per "&amp;(VLOOKUP($D$2,'Reading Report Logic'!$A$2:$B$8,2,FALSE)-1)&amp;"]"))), FALSE))),""))),"")</f>
        <v/>
      </c>
      <c r="D696" s="204" t="str" cm="1">
        <f t="array" aca="1" ref="D696" ca="1">IFERROR(
IF($J$2="ELA",
IF(VLOOKUP($A696, YES_Reading_ELA[], COLUMN(INDIRECT("YES_Reading_ELA[Instructional Reading Level - Per "&amp;VLOOKUP($D$2, 'Reading Report Logic'!$A$2:$B$8, 2, FALSE)&amp;"]")), FALSE)="", "",
VLOOKUP($A696,YES_Reading_ELA[], COLUMN(INDIRECT("YES_Reading_ELA[Instructional Reading Level - Per "&amp;VLOOKUP($D$2,'Reading Report Logic'!$A$2:$B$8,2,FALSE)&amp;"]")), FALSE)),
IF($J$2="FLA",
IF(VLOOKUP($A696, YES_Reading_FLA[], COLUMN(INDIRECT("YES_Reading_FLA[Instructional Reading Level - Per "&amp;VLOOKUP($D$2,'Reading Report Logic'!$A$2:$B$8,2,FALSE)&amp;"]")),FALSE)="","",
VLOOKUP($A696,YES_Reading_FLA[],COLUMN(INDIRECT("YES_Reading_FLA[Instructional Reading Level - Per "&amp;VLOOKUP($D$2,'Reading Report Logic'!$A$2:$B$8,2,FALSE)&amp;"]")),FALSE)),
IF($J$2="Combined",
IFERROR(
IF(VLOOKUP($A696, YES_Reading_ELA[], COLUMN(INDIRECT("YES_Reading_ELA[Instructional Reading Level - Per "&amp;VLOOKUP($D$2, 'Reading Report Logic'!$A$2:$B$8,2,FALSE)&amp;"]")), FALSE)="", "",
VLOOKUP($A696,YES_Reading_ELA[],COLUMN(INDIRECT("YES_Reading_ELA[Instructional Reading Level - Per "&amp;VLOOKUP($D$2,'Reading Report Logic'!$A$2:$B$8,2,FALSE)&amp;"]")),FALSE)),
IF(VLOOKUP($A696, YES_Reading_FLA[], COLUMN(INDIRECT("YES_Reading_FLA[Instructional Reading Level - Per "&amp;VLOOKUP($D$2, 'Reading Report Logic'!$A$2:$B$8, 2, FALSE)&amp;"]")),FALSE)="", "", VLOOKUP($A696,YES_Reading_FLA[],COLUMN(INDIRECT("YES_Reading_FLA[Instructional Reading Level - Per "&amp;VLOOKUP($D$2, 'Reading Report Logic'!$A$2:$B$8, 2, FALSE)&amp;"]")),FALSE))),""))),"")</f>
        <v/>
      </c>
      <c r="E696" s="205" t="str" cm="1">
        <f t="array" aca="1" ref="E696" ca="1">IFERROR(
IF($J$2="ELA",
IF(VLOOKUP($A696, YES_Reading_ELA[], COLUMN(INDIRECT("YES_Reading_ELA[Min Expectation - Per "&amp;VLOOKUP($D$2, 'Reading Report Logic'!$A$2:$B$8, 2, FALSE)&amp;"]")), FALSE)="", "",
VLOOKUP($A696,YES_Reading_ELA[], COLUMN(INDIRECT("YES_Reading_ELA[Min Expectation - Per "&amp;VLOOKUP($D$2,'Reading Report Logic'!$A$2:$B$8,2,FALSE)&amp;"]")), FALSE)),
IF($J$2="FLA",
IF(VLOOKUP($A696, YES_Reading_FLA[], COLUMN(INDIRECT("YES_Reading_FLA[Min Expectation - Per "&amp;VLOOKUP($D$2,'Reading Report Logic'!$A$2:$B$8,2,FALSE)&amp;"]")),FALSE)="","",
VLOOKUP($A696,YES_Reading_FLA[],COLUMN(INDIRECT("YES_Reading_FLA[Min Expectation - Per "&amp;VLOOKUP($D$2,'Reading Report Logic'!$A$2:$B$8,2,FALSE)&amp;"]")),FALSE)),
IF($J$2="Combined",
IFERROR(
IF(VLOOKUP($A696, YES_Reading_ELA[], COLUMN(INDIRECT("YES_Reading_ELA[Min Expectation - Per "&amp;VLOOKUP($D$2, 'Reading Report Logic'!$A$2:$B$8,2,FALSE)&amp;"]")), FALSE)="", "",
VLOOKUP($A696,YES_Reading_ELA[],COLUMN(INDIRECT("YES_Reading_ELA[Min Expectation - Per "&amp;VLOOKUP($D$2,'Reading Report Logic'!$A$2:$B$8,2,FALSE)&amp;"]")),FALSE)),
IF(VLOOKUP($A696, YES_Reading_FLA[], COLUMN(INDIRECT("YES_Reading_FLA[Min Expectation - Per "&amp;VLOOKUP($D$2, 'Reading Report Logic'!$A$2:$B$8, 2, FALSE)&amp;"]")),FALSE)="", "", VLOOKUP($A696,YES_Reading_FLA[],COLUMN(INDIRECT("YES_Reading_FLA[Min Expectation - Per "&amp;VLOOKUP($D$2, 'Reading Report Logic'!$A$2:$B$8, 2, FALSE)&amp;"]")),FALSE))),""))),"")</f>
        <v/>
      </c>
      <c r="F696" s="205" t="str" cm="1">
        <f t="array" aca="1" ref="F696" ca="1">IFERROR(
IF($J$2="ELA",
IF(VLOOKUP($A696, YES_Reading_ELA[], COLUMN(INDIRECT("YES_Reading_ELA[Max Expectation - Per "&amp;VLOOKUP($D$2, 'Reading Report Logic'!$A$2:$B$8, 2, FALSE)&amp;"]")), FALSE)="", "",
VLOOKUP($A696,YES_Reading_ELA[], COLUMN(INDIRECT("YES_Reading_ELA[Max Expectation - Per "&amp;VLOOKUP($D$2,'Reading Report Logic'!$A$2:$B$8,2,FALSE)&amp;"]")), FALSE)),
IF($J$2="FLA",
IF(VLOOKUP($A696, YES_Reading_FLA[], COLUMN(INDIRECT("YES_Reading_FLA[Max Expectation - Per "&amp;VLOOKUP($D$2,'Reading Report Logic'!$A$2:$B$8,2,FALSE)&amp;"]")),FALSE)="","",
VLOOKUP($A696,YES_Reading_FLA[],COLUMN(INDIRECT("YES_Reading_FLA[Max Expectation - Per "&amp;VLOOKUP($D$2,'Reading Report Logic'!$A$2:$B$8,2,FALSE)&amp;"]")),FALSE)),
IF($J$2="Combined",
IFERROR(
IF(VLOOKUP($A696, YES_Reading_ELA[], COLUMN(INDIRECT("YES_Reading_ELA[Max Expectation - Per "&amp;VLOOKUP($D$2, 'Reading Report Logic'!$A$2:$B$8,2,FALSE)&amp;"]")), FALSE)="", "",
VLOOKUP($A696,YES_Reading_ELA[],COLUMN(INDIRECT("YES_Reading_ELA[Max Expectation - Per "&amp;VLOOKUP($D$2,'Reading Report Logic'!$A$2:$B$8,2,FALSE)&amp;"]")),FALSE)),
IF(VLOOKUP($A696, YES_Reading_FLA[], COLUMN(INDIRECT("YES_Reading_FLA[Max Expectation - Per "&amp;VLOOKUP($D$2, 'Reading Report Logic'!$A$2:$B$8, 2, FALSE)&amp;"]")),FALSE)="", "", VLOOKUP($A696,YES_Reading_FLA[],COLUMN(INDIRECT("YES_Reading_FLA[Max Expectation - Per "&amp;VLOOKUP($D$2, 'Reading Report Logic'!$A$2:$B$8, 2, FALSE)&amp;"]")),FALSE))),""))),"")</f>
        <v/>
      </c>
      <c r="G696" s="205" t="str" cm="1">
        <f t="array" aca="1" ref="G696" ca="1">IFERROR(
IF($J$2="ELA",
IF(VLOOKUP($A696, YES_Reading_ELA[], COLUMN(INDIRECT("YES_Reading_ELA[Difference - Per "&amp;VLOOKUP($D$2, 'Reading Report Logic'!$A$2:$B$8, 2, FALSE)&amp;"]")), FALSE)="", "",
VLOOKUP($A696,YES_Reading_ELA[], COLUMN(INDIRECT("YES_Reading_ELA[Difference - Per "&amp;VLOOKUP($D$2,'Reading Report Logic'!$A$2:$B$8,2,FALSE)&amp;"]")), FALSE)),
IF($J$2="FLA",
IF(VLOOKUP($A696, YES_Reading_FLA[], COLUMN(INDIRECT("YES_Reading_FLA[Difference - Per "&amp;VLOOKUP($D$2,'Reading Report Logic'!$A$2:$B$8,2,FALSE)&amp;"]")),FALSE)="","",
VLOOKUP($A696,YES_Reading_FLA[],COLUMN(INDIRECT("YES_Reading_FLA[Difference - Per "&amp;VLOOKUP($D$2,'Reading Report Logic'!$A$2:$B$8,2,FALSE)&amp;"]")),FALSE)),
IF($J$2="Combined",
IFERROR(
IF(VLOOKUP($A696, YES_Reading_ELA[], COLUMN(INDIRECT("YES_Reading_ELA[Difference - Per "&amp;VLOOKUP($D$2, 'Reading Report Logic'!$A$2:$B$8,2,FALSE)&amp;"]")), FALSE)="", "",
VLOOKUP($A696,YES_Reading_ELA[],COLUMN(INDIRECT("YES_Reading_ELA[Difference - Per "&amp;VLOOKUP($D$2,'Reading Report Logic'!$A$2:$B$8,2,FALSE)&amp;"]")),FALSE)),
IF(VLOOKUP($A696, YES_Reading_FLA[], COLUMN(INDIRECT("YES_Reading_FLA[Difference - Per "&amp;VLOOKUP($D$2, 'Reading Report Logic'!$A$2:$B$8, 2, FALSE)&amp;"]")),FALSE)="", "", VLOOKUP($A696,YES_Reading_FLA[],COLUMN(INDIRECT("YES_Reading_FLA[Difference - Per "&amp;VLOOKUP($D$2, 'Reading Report Logic'!$A$2:$B$8, 2, FALSE)&amp;"]")),FALSE))),""))),"")</f>
        <v/>
      </c>
      <c r="H696" s="206" t="str">
        <f ca="1">IFERROR(VLOOKUP('Teacher Reading Pull Sheets'!$D696,_xlfn.VSTACK('ELA Reading Logic'!$A$22:$B$48,'FLA Reading Logic'!$A$22:$B$53),2,FALSE)-VLOOKUP('Teacher Reading Pull Sheets'!$C696,_xlfn.VSTACK('ELA Reading Logic'!$A$22:$B$48,'FLA Reading Logic'!$A$22:$B$53),2,FALSE),"")</f>
        <v/>
      </c>
      <c r="I696" s="212"/>
      <c r="J696" s="206"/>
      <c r="K696" s="197" t="str" cm="1">
        <f t="array" ref="K696">IFERROR(
IF($J$2="ELA",
IF(VLOOKUP($A696, YES_Reading_ELA[], COLUMN(YES_Reading_ELA[Self-Identified as African Descent]), FALSE)="", "",
VLOOKUP($A696,YES_Reading_ELA[], COLUMN(YES_Reading_ELA[Self-Identified as African Descent]), FALSE)),
IF($J$2="FLA",
IF(VLOOKUP($A696, YES_Reading_FLA[], COLUMN(YES_Reading_FLA[Self-Identified as African Descent]),FALSE)="","",
VLOOKUP($A696,YES_Reading_FLA[],COLUMN(YES_Reading_FLA[Self-Identified as African Descent]),FALSE)),
IF($J$2="Combined",
IFERROR(
IF(VLOOKUP($A696, YES_Reading_ELA[], COLUMN(YES_Reading_ELA[Self-Identified as African Descent]), FALSE)="", "",
VLOOKUP($A696,YES_Reading_ELA[],COLUMN(YES_Reading_ELA[Self-Identified as African Descent]),FALSE)),
IF(VLOOKUP($A696, YES_Reading_FLA[], COLUMN(YES_Reading_FLA[Self-Identified as African Descent]),FALSE)="", "", VLOOKUP($A696,YES_Reading_FLA[],COLUMN(YES_Reading_FLA[Self-Identified as African Descent]),FALSE))),""))),"")</f>
        <v/>
      </c>
      <c r="L696" s="73" t="str" cm="1">
        <f t="array" ref="L696">IFERROR(
IF($J$2="ELA",
IF(VLOOKUP($A696, YES_Reading_ELA[], COLUMN(YES_Reading_ELA[Self-Identified as Indigenous]), FALSE)="", "",
VLOOKUP($A696,YES_Reading_ELA[], COLUMN(YES_Reading_ELA[Self-Identified as Indigenous]), FALSE)),
IF($J$2="FLA",
IF(VLOOKUP($A696, YES_Reading_FLA[], COLUMN(YES_Reading_FLA[Self-Identified as Indigenous]),FALSE)="","",
VLOOKUP($A696,YES_Reading_FLA[],COLUMN(YES_Reading_FLA[Self-Identified as Indigenous]),FALSE)),
IF($J$2="Combined",
IFERROR(
IF(VLOOKUP($A696, YES_Reading_ELA[], COLUMN(YES_Reading_ELA[Self-Identified as Indigenous]), FALSE)="", "",
VLOOKUP($A696,YES_Reading_ELA[],COLUMN(YES_Reading_ELA[Self-Identified as Indigenous]),FALSE)),
IF(VLOOKUP($A696, YES_Reading_FLA[], COLUMN(YES_Reading_FLA[Self-Identified as Indigenous]),FALSE)="", "", VLOOKUP($A696,YES_Reading_FLA[],COLUMN(YES_Reading_FLA[Self-Identified as Indigenous]),FALSE))),""))),"")</f>
        <v/>
      </c>
    </row>
    <row r="697" spans="1:12" ht="19.5" customHeight="1" x14ac:dyDescent="0.25">
      <c r="A697" s="217"/>
      <c r="B697" s="220" t="str">
        <f>IFERROR(VLOOKUP(A697,_xlfn.VSTACK(YES_Reading_ELA[],YES_Reading_FLA[]),2,FALSE),"")</f>
        <v/>
      </c>
      <c r="C697" s="203" t="str" cm="1">
        <f t="array" aca="1" ref="C697" ca="1">IFERROR(
IF($J$2="ELA",
IF(VLOOKUP($A697, YES_Reading_ELA[], COLUMN(IF(VLOOKUP($D$2, 'Reading Report Logic'!$A$2:$B$8, 2, FALSE)=1, YES_Reading_ELA[Reading Level June of Previous School Year], INDIRECT("YES_Reading_ELA[Instructional Reading Level - Per "&amp;(VLOOKUP($D$2,'Reading Report Logic'!$A$2:$B$8,2,FALSE)-1)&amp;"]"))), FALSE)="", "",
VLOOKUP($A697,YES_Reading_ELA[], COLUMN(IF(VLOOKUP($D$2,'Reading Report Logic'!$A$2:$B$8,2,FALSE)=1, YES_Reading_ELA[Reading Level June of Previous School Year],INDIRECT("YES_Reading_ELA[Instructional Reading Level - Per "&amp;(VLOOKUP($D$2,'Reading Report Logic'!$A$2:$B$8,2,FALSE)-1)&amp;"]"))), FALSE)),
IF($J$2="FLA",
IF(VLOOKUP($A697, YES_Reading_FLA[], COLUMN(IF(VLOOKUP($D$2,'Reading Report Logic'!$A$2:$B$8,2,FALSE)=1, YES_Reading_FLA[Reading Level June of Previous School Year],INDIRECT("YES_Reading_FLA[Instructional Reading Level - Per "&amp;(VLOOKUP($D$2,'Reading Report Logic'!$A$2:$B$8,2,FALSE)-1)&amp;"]"))),FALSE)="","",
VLOOKUP($A697,YES_Reading_FLA[], COLUMN(IF(VLOOKUP($D$2,'Reading Report Logic'!$A$2:$B$8,2,FALSE)=1, YES_Reading_FLA[Reading Level June of Previous School Year],INDIRECT("YES_Reading_FLA[Instructional Reading Level - Per "&amp;(VLOOKUP($D$2,'Reading Report Logic'!$A$2:$B$8,2,FALSE)-1)&amp;"]"))),FALSE)),
IF($J$2="Combined",
IFERROR(
IF(VLOOKUP($A697, YES_Reading_ELA[], COLUMN(IF(VLOOKUP($D$2,'Reading Report Logic'!$A$2:$B$8,2,FALSE)=1, YES_Reading_ELA[Reading Level June of Previous School Year],INDIRECT("YES_Reading_ELA[Instructional Reading Level - Per "&amp;(VLOOKUP($D$2,'Reading Report Logic'!$A$2:$B$8,2,FALSE)-1)&amp;"]"))), FALSE)="", "",
VLOOKUP($A697,YES_Reading_ELA[],COLUMN(IF(VLOOKUP($D$2,'Reading Report Logic'!$A$2:$B$8,2,FALSE)=1, YES_Reading_ELA[Reading Level June of Previous School Year],INDIRECT("YES_Reading_ELA[Instructional Reading Level - Per "&amp;(VLOOKUP($D$2,'Reading Report Logic'!$A$2:$B$8,2,FALSE)-1)&amp;"]"))),FALSE)),
IF(VLOOKUP($A697, YES_Reading_FLA[], COLUMN(IF(VLOOKUP($D$2,'Reading Report Logic'!$A$2:$B$8,2,FALSE)=1, YES_Reading_FLA[Reading Level June of Previous School Year],INDIRECT("YES_Reading_FLA[Instructional Reading Level - Per "&amp;(VLOOKUP($D$2,'Reading Report Logic'!$A$2:$B$8,2,FALSE)-1)&amp;"]"))),FALSE)="", "", VLOOKUP($A697,YES_Reading_FLA[],COLUMN(IF(VLOOKUP($D$2,'Reading Report Logic'!$A$2:$B$8,2,FALSE)=1, YES_Reading_FLA[Reading Level June of Previous School Year],INDIRECT("YES_Reading_FLA[Instructional Reading Level - Per "&amp;(VLOOKUP($D$2,'Reading Report Logic'!$A$2:$B$8,2,FALSE)-1)&amp;"]"))), FALSE))),""))),"")</f>
        <v/>
      </c>
      <c r="D697" s="204" t="str" cm="1">
        <f t="array" aca="1" ref="D697" ca="1">IFERROR(
IF($J$2="ELA",
IF(VLOOKUP($A697, YES_Reading_ELA[], COLUMN(INDIRECT("YES_Reading_ELA[Instructional Reading Level - Per "&amp;VLOOKUP($D$2, 'Reading Report Logic'!$A$2:$B$8, 2, FALSE)&amp;"]")), FALSE)="", "",
VLOOKUP($A697,YES_Reading_ELA[], COLUMN(INDIRECT("YES_Reading_ELA[Instructional Reading Level - Per "&amp;VLOOKUP($D$2,'Reading Report Logic'!$A$2:$B$8,2,FALSE)&amp;"]")), FALSE)),
IF($J$2="FLA",
IF(VLOOKUP($A697, YES_Reading_FLA[], COLUMN(INDIRECT("YES_Reading_FLA[Instructional Reading Level - Per "&amp;VLOOKUP($D$2,'Reading Report Logic'!$A$2:$B$8,2,FALSE)&amp;"]")),FALSE)="","",
VLOOKUP($A697,YES_Reading_FLA[],COLUMN(INDIRECT("YES_Reading_FLA[Instructional Reading Level - Per "&amp;VLOOKUP($D$2,'Reading Report Logic'!$A$2:$B$8,2,FALSE)&amp;"]")),FALSE)),
IF($J$2="Combined",
IFERROR(
IF(VLOOKUP($A697, YES_Reading_ELA[], COLUMN(INDIRECT("YES_Reading_ELA[Instructional Reading Level - Per "&amp;VLOOKUP($D$2, 'Reading Report Logic'!$A$2:$B$8,2,FALSE)&amp;"]")), FALSE)="", "",
VLOOKUP($A697,YES_Reading_ELA[],COLUMN(INDIRECT("YES_Reading_ELA[Instructional Reading Level - Per "&amp;VLOOKUP($D$2,'Reading Report Logic'!$A$2:$B$8,2,FALSE)&amp;"]")),FALSE)),
IF(VLOOKUP($A697, YES_Reading_FLA[], COLUMN(INDIRECT("YES_Reading_FLA[Instructional Reading Level - Per "&amp;VLOOKUP($D$2, 'Reading Report Logic'!$A$2:$B$8, 2, FALSE)&amp;"]")),FALSE)="", "", VLOOKUP($A697,YES_Reading_FLA[],COLUMN(INDIRECT("YES_Reading_FLA[Instructional Reading Level - Per "&amp;VLOOKUP($D$2, 'Reading Report Logic'!$A$2:$B$8, 2, FALSE)&amp;"]")),FALSE))),""))),"")</f>
        <v/>
      </c>
      <c r="E697" s="205" t="str" cm="1">
        <f t="array" aca="1" ref="E697" ca="1">IFERROR(
IF($J$2="ELA",
IF(VLOOKUP($A697, YES_Reading_ELA[], COLUMN(INDIRECT("YES_Reading_ELA[Min Expectation - Per "&amp;VLOOKUP($D$2, 'Reading Report Logic'!$A$2:$B$8, 2, FALSE)&amp;"]")), FALSE)="", "",
VLOOKUP($A697,YES_Reading_ELA[], COLUMN(INDIRECT("YES_Reading_ELA[Min Expectation - Per "&amp;VLOOKUP($D$2,'Reading Report Logic'!$A$2:$B$8,2,FALSE)&amp;"]")), FALSE)),
IF($J$2="FLA",
IF(VLOOKUP($A697, YES_Reading_FLA[], COLUMN(INDIRECT("YES_Reading_FLA[Min Expectation - Per "&amp;VLOOKUP($D$2,'Reading Report Logic'!$A$2:$B$8,2,FALSE)&amp;"]")),FALSE)="","",
VLOOKUP($A697,YES_Reading_FLA[],COLUMN(INDIRECT("YES_Reading_FLA[Min Expectation - Per "&amp;VLOOKUP($D$2,'Reading Report Logic'!$A$2:$B$8,2,FALSE)&amp;"]")),FALSE)),
IF($J$2="Combined",
IFERROR(
IF(VLOOKUP($A697, YES_Reading_ELA[], COLUMN(INDIRECT("YES_Reading_ELA[Min Expectation - Per "&amp;VLOOKUP($D$2, 'Reading Report Logic'!$A$2:$B$8,2,FALSE)&amp;"]")), FALSE)="", "",
VLOOKUP($A697,YES_Reading_ELA[],COLUMN(INDIRECT("YES_Reading_ELA[Min Expectation - Per "&amp;VLOOKUP($D$2,'Reading Report Logic'!$A$2:$B$8,2,FALSE)&amp;"]")),FALSE)),
IF(VLOOKUP($A697, YES_Reading_FLA[], COLUMN(INDIRECT("YES_Reading_FLA[Min Expectation - Per "&amp;VLOOKUP($D$2, 'Reading Report Logic'!$A$2:$B$8, 2, FALSE)&amp;"]")),FALSE)="", "", VLOOKUP($A697,YES_Reading_FLA[],COLUMN(INDIRECT("YES_Reading_FLA[Min Expectation - Per "&amp;VLOOKUP($D$2, 'Reading Report Logic'!$A$2:$B$8, 2, FALSE)&amp;"]")),FALSE))),""))),"")</f>
        <v/>
      </c>
      <c r="F697" s="205" t="str" cm="1">
        <f t="array" aca="1" ref="F697" ca="1">IFERROR(
IF($J$2="ELA",
IF(VLOOKUP($A697, YES_Reading_ELA[], COLUMN(INDIRECT("YES_Reading_ELA[Max Expectation - Per "&amp;VLOOKUP($D$2, 'Reading Report Logic'!$A$2:$B$8, 2, FALSE)&amp;"]")), FALSE)="", "",
VLOOKUP($A697,YES_Reading_ELA[], COLUMN(INDIRECT("YES_Reading_ELA[Max Expectation - Per "&amp;VLOOKUP($D$2,'Reading Report Logic'!$A$2:$B$8,2,FALSE)&amp;"]")), FALSE)),
IF($J$2="FLA",
IF(VLOOKUP($A697, YES_Reading_FLA[], COLUMN(INDIRECT("YES_Reading_FLA[Max Expectation - Per "&amp;VLOOKUP($D$2,'Reading Report Logic'!$A$2:$B$8,2,FALSE)&amp;"]")),FALSE)="","",
VLOOKUP($A697,YES_Reading_FLA[],COLUMN(INDIRECT("YES_Reading_FLA[Max Expectation - Per "&amp;VLOOKUP($D$2,'Reading Report Logic'!$A$2:$B$8,2,FALSE)&amp;"]")),FALSE)),
IF($J$2="Combined",
IFERROR(
IF(VLOOKUP($A697, YES_Reading_ELA[], COLUMN(INDIRECT("YES_Reading_ELA[Max Expectation - Per "&amp;VLOOKUP($D$2, 'Reading Report Logic'!$A$2:$B$8,2,FALSE)&amp;"]")), FALSE)="", "",
VLOOKUP($A697,YES_Reading_ELA[],COLUMN(INDIRECT("YES_Reading_ELA[Max Expectation - Per "&amp;VLOOKUP($D$2,'Reading Report Logic'!$A$2:$B$8,2,FALSE)&amp;"]")),FALSE)),
IF(VLOOKUP($A697, YES_Reading_FLA[], COLUMN(INDIRECT("YES_Reading_FLA[Max Expectation - Per "&amp;VLOOKUP($D$2, 'Reading Report Logic'!$A$2:$B$8, 2, FALSE)&amp;"]")),FALSE)="", "", VLOOKUP($A697,YES_Reading_FLA[],COLUMN(INDIRECT("YES_Reading_FLA[Max Expectation - Per "&amp;VLOOKUP($D$2, 'Reading Report Logic'!$A$2:$B$8, 2, FALSE)&amp;"]")),FALSE))),""))),"")</f>
        <v/>
      </c>
      <c r="G697" s="205" t="str" cm="1">
        <f t="array" aca="1" ref="G697" ca="1">IFERROR(
IF($J$2="ELA",
IF(VLOOKUP($A697, YES_Reading_ELA[], COLUMN(INDIRECT("YES_Reading_ELA[Difference - Per "&amp;VLOOKUP($D$2, 'Reading Report Logic'!$A$2:$B$8, 2, FALSE)&amp;"]")), FALSE)="", "",
VLOOKUP($A697,YES_Reading_ELA[], COLUMN(INDIRECT("YES_Reading_ELA[Difference - Per "&amp;VLOOKUP($D$2,'Reading Report Logic'!$A$2:$B$8,2,FALSE)&amp;"]")), FALSE)),
IF($J$2="FLA",
IF(VLOOKUP($A697, YES_Reading_FLA[], COLUMN(INDIRECT("YES_Reading_FLA[Difference - Per "&amp;VLOOKUP($D$2,'Reading Report Logic'!$A$2:$B$8,2,FALSE)&amp;"]")),FALSE)="","",
VLOOKUP($A697,YES_Reading_FLA[],COLUMN(INDIRECT("YES_Reading_FLA[Difference - Per "&amp;VLOOKUP($D$2,'Reading Report Logic'!$A$2:$B$8,2,FALSE)&amp;"]")),FALSE)),
IF($J$2="Combined",
IFERROR(
IF(VLOOKUP($A697, YES_Reading_ELA[], COLUMN(INDIRECT("YES_Reading_ELA[Difference - Per "&amp;VLOOKUP($D$2, 'Reading Report Logic'!$A$2:$B$8,2,FALSE)&amp;"]")), FALSE)="", "",
VLOOKUP($A697,YES_Reading_ELA[],COLUMN(INDIRECT("YES_Reading_ELA[Difference - Per "&amp;VLOOKUP($D$2,'Reading Report Logic'!$A$2:$B$8,2,FALSE)&amp;"]")),FALSE)),
IF(VLOOKUP($A697, YES_Reading_FLA[], COLUMN(INDIRECT("YES_Reading_FLA[Difference - Per "&amp;VLOOKUP($D$2, 'Reading Report Logic'!$A$2:$B$8, 2, FALSE)&amp;"]")),FALSE)="", "", VLOOKUP($A697,YES_Reading_FLA[],COLUMN(INDIRECT("YES_Reading_FLA[Difference - Per "&amp;VLOOKUP($D$2, 'Reading Report Logic'!$A$2:$B$8, 2, FALSE)&amp;"]")),FALSE))),""))),"")</f>
        <v/>
      </c>
      <c r="H697" s="206" t="str">
        <f ca="1">IFERROR(VLOOKUP('Teacher Reading Pull Sheets'!$D697,_xlfn.VSTACK('ELA Reading Logic'!$A$22:$B$48,'FLA Reading Logic'!$A$22:$B$53),2,FALSE)-VLOOKUP('Teacher Reading Pull Sheets'!$C697,_xlfn.VSTACK('ELA Reading Logic'!$A$22:$B$48,'FLA Reading Logic'!$A$22:$B$53),2,FALSE),"")</f>
        <v/>
      </c>
      <c r="I697" s="212"/>
      <c r="J697" s="206"/>
      <c r="K697" s="197" t="str" cm="1">
        <f t="array" ref="K697">IFERROR(
IF($J$2="ELA",
IF(VLOOKUP($A697, YES_Reading_ELA[], COLUMN(YES_Reading_ELA[Self-Identified as African Descent]), FALSE)="", "",
VLOOKUP($A697,YES_Reading_ELA[], COLUMN(YES_Reading_ELA[Self-Identified as African Descent]), FALSE)),
IF($J$2="FLA",
IF(VLOOKUP($A697, YES_Reading_FLA[], COLUMN(YES_Reading_FLA[Self-Identified as African Descent]),FALSE)="","",
VLOOKUP($A697,YES_Reading_FLA[],COLUMN(YES_Reading_FLA[Self-Identified as African Descent]),FALSE)),
IF($J$2="Combined",
IFERROR(
IF(VLOOKUP($A697, YES_Reading_ELA[], COLUMN(YES_Reading_ELA[Self-Identified as African Descent]), FALSE)="", "",
VLOOKUP($A697,YES_Reading_ELA[],COLUMN(YES_Reading_ELA[Self-Identified as African Descent]),FALSE)),
IF(VLOOKUP($A697, YES_Reading_FLA[], COLUMN(YES_Reading_FLA[Self-Identified as African Descent]),FALSE)="", "", VLOOKUP($A697,YES_Reading_FLA[],COLUMN(YES_Reading_FLA[Self-Identified as African Descent]),FALSE))),""))),"")</f>
        <v/>
      </c>
      <c r="L697" s="73" t="str" cm="1">
        <f t="array" ref="L697">IFERROR(
IF($J$2="ELA",
IF(VLOOKUP($A697, YES_Reading_ELA[], COLUMN(YES_Reading_ELA[Self-Identified as Indigenous]), FALSE)="", "",
VLOOKUP($A697,YES_Reading_ELA[], COLUMN(YES_Reading_ELA[Self-Identified as Indigenous]), FALSE)),
IF($J$2="FLA",
IF(VLOOKUP($A697, YES_Reading_FLA[], COLUMN(YES_Reading_FLA[Self-Identified as Indigenous]),FALSE)="","",
VLOOKUP($A697,YES_Reading_FLA[],COLUMN(YES_Reading_FLA[Self-Identified as Indigenous]),FALSE)),
IF($J$2="Combined",
IFERROR(
IF(VLOOKUP($A697, YES_Reading_ELA[], COLUMN(YES_Reading_ELA[Self-Identified as Indigenous]), FALSE)="", "",
VLOOKUP($A697,YES_Reading_ELA[],COLUMN(YES_Reading_ELA[Self-Identified as Indigenous]),FALSE)),
IF(VLOOKUP($A697, YES_Reading_FLA[], COLUMN(YES_Reading_FLA[Self-Identified as Indigenous]),FALSE)="", "", VLOOKUP($A697,YES_Reading_FLA[],COLUMN(YES_Reading_FLA[Self-Identified as Indigenous]),FALSE))),""))),"")</f>
        <v/>
      </c>
    </row>
    <row r="698" spans="1:12" ht="19.5" customHeight="1" x14ac:dyDescent="0.25">
      <c r="A698" s="217"/>
      <c r="B698" s="220" t="str">
        <f>IFERROR(VLOOKUP(A698,_xlfn.VSTACK(YES_Reading_ELA[],YES_Reading_FLA[]),2,FALSE),"")</f>
        <v/>
      </c>
      <c r="C698" s="203" t="str" cm="1">
        <f t="array" aca="1" ref="C698" ca="1">IFERROR(
IF($J$2="ELA",
IF(VLOOKUP($A698, YES_Reading_ELA[], COLUMN(IF(VLOOKUP($D$2, 'Reading Report Logic'!$A$2:$B$8, 2, FALSE)=1, YES_Reading_ELA[Reading Level June of Previous School Year], INDIRECT("YES_Reading_ELA[Instructional Reading Level - Per "&amp;(VLOOKUP($D$2,'Reading Report Logic'!$A$2:$B$8,2,FALSE)-1)&amp;"]"))), FALSE)="", "",
VLOOKUP($A698,YES_Reading_ELA[], COLUMN(IF(VLOOKUP($D$2,'Reading Report Logic'!$A$2:$B$8,2,FALSE)=1, YES_Reading_ELA[Reading Level June of Previous School Year],INDIRECT("YES_Reading_ELA[Instructional Reading Level - Per "&amp;(VLOOKUP($D$2,'Reading Report Logic'!$A$2:$B$8,2,FALSE)-1)&amp;"]"))), FALSE)),
IF($J$2="FLA",
IF(VLOOKUP($A698, YES_Reading_FLA[], COLUMN(IF(VLOOKUP($D$2,'Reading Report Logic'!$A$2:$B$8,2,FALSE)=1, YES_Reading_FLA[Reading Level June of Previous School Year],INDIRECT("YES_Reading_FLA[Instructional Reading Level - Per "&amp;(VLOOKUP($D$2,'Reading Report Logic'!$A$2:$B$8,2,FALSE)-1)&amp;"]"))),FALSE)="","",
VLOOKUP($A698,YES_Reading_FLA[], COLUMN(IF(VLOOKUP($D$2,'Reading Report Logic'!$A$2:$B$8,2,FALSE)=1, YES_Reading_FLA[Reading Level June of Previous School Year],INDIRECT("YES_Reading_FLA[Instructional Reading Level - Per "&amp;(VLOOKUP($D$2,'Reading Report Logic'!$A$2:$B$8,2,FALSE)-1)&amp;"]"))),FALSE)),
IF($J$2="Combined",
IFERROR(
IF(VLOOKUP($A698, YES_Reading_ELA[], COLUMN(IF(VLOOKUP($D$2,'Reading Report Logic'!$A$2:$B$8,2,FALSE)=1, YES_Reading_ELA[Reading Level June of Previous School Year],INDIRECT("YES_Reading_ELA[Instructional Reading Level - Per "&amp;(VLOOKUP($D$2,'Reading Report Logic'!$A$2:$B$8,2,FALSE)-1)&amp;"]"))), FALSE)="", "",
VLOOKUP($A698,YES_Reading_ELA[],COLUMN(IF(VLOOKUP($D$2,'Reading Report Logic'!$A$2:$B$8,2,FALSE)=1, YES_Reading_ELA[Reading Level June of Previous School Year],INDIRECT("YES_Reading_ELA[Instructional Reading Level - Per "&amp;(VLOOKUP($D$2,'Reading Report Logic'!$A$2:$B$8,2,FALSE)-1)&amp;"]"))),FALSE)),
IF(VLOOKUP($A698, YES_Reading_FLA[], COLUMN(IF(VLOOKUP($D$2,'Reading Report Logic'!$A$2:$B$8,2,FALSE)=1, YES_Reading_FLA[Reading Level June of Previous School Year],INDIRECT("YES_Reading_FLA[Instructional Reading Level - Per "&amp;(VLOOKUP($D$2,'Reading Report Logic'!$A$2:$B$8,2,FALSE)-1)&amp;"]"))),FALSE)="", "", VLOOKUP($A698,YES_Reading_FLA[],COLUMN(IF(VLOOKUP($D$2,'Reading Report Logic'!$A$2:$B$8,2,FALSE)=1, YES_Reading_FLA[Reading Level June of Previous School Year],INDIRECT("YES_Reading_FLA[Instructional Reading Level - Per "&amp;(VLOOKUP($D$2,'Reading Report Logic'!$A$2:$B$8,2,FALSE)-1)&amp;"]"))), FALSE))),""))),"")</f>
        <v/>
      </c>
      <c r="D698" s="204" t="str" cm="1">
        <f t="array" aca="1" ref="D698" ca="1">IFERROR(
IF($J$2="ELA",
IF(VLOOKUP($A698, YES_Reading_ELA[], COLUMN(INDIRECT("YES_Reading_ELA[Instructional Reading Level - Per "&amp;VLOOKUP($D$2, 'Reading Report Logic'!$A$2:$B$8, 2, FALSE)&amp;"]")), FALSE)="", "",
VLOOKUP($A698,YES_Reading_ELA[], COLUMN(INDIRECT("YES_Reading_ELA[Instructional Reading Level - Per "&amp;VLOOKUP($D$2,'Reading Report Logic'!$A$2:$B$8,2,FALSE)&amp;"]")), FALSE)),
IF($J$2="FLA",
IF(VLOOKUP($A698, YES_Reading_FLA[], COLUMN(INDIRECT("YES_Reading_FLA[Instructional Reading Level - Per "&amp;VLOOKUP($D$2,'Reading Report Logic'!$A$2:$B$8,2,FALSE)&amp;"]")),FALSE)="","",
VLOOKUP($A698,YES_Reading_FLA[],COLUMN(INDIRECT("YES_Reading_FLA[Instructional Reading Level - Per "&amp;VLOOKUP($D$2,'Reading Report Logic'!$A$2:$B$8,2,FALSE)&amp;"]")),FALSE)),
IF($J$2="Combined",
IFERROR(
IF(VLOOKUP($A698, YES_Reading_ELA[], COLUMN(INDIRECT("YES_Reading_ELA[Instructional Reading Level - Per "&amp;VLOOKUP($D$2, 'Reading Report Logic'!$A$2:$B$8,2,FALSE)&amp;"]")), FALSE)="", "",
VLOOKUP($A698,YES_Reading_ELA[],COLUMN(INDIRECT("YES_Reading_ELA[Instructional Reading Level - Per "&amp;VLOOKUP($D$2,'Reading Report Logic'!$A$2:$B$8,2,FALSE)&amp;"]")),FALSE)),
IF(VLOOKUP($A698, YES_Reading_FLA[], COLUMN(INDIRECT("YES_Reading_FLA[Instructional Reading Level - Per "&amp;VLOOKUP($D$2, 'Reading Report Logic'!$A$2:$B$8, 2, FALSE)&amp;"]")),FALSE)="", "", VLOOKUP($A698,YES_Reading_FLA[],COLUMN(INDIRECT("YES_Reading_FLA[Instructional Reading Level - Per "&amp;VLOOKUP($D$2, 'Reading Report Logic'!$A$2:$B$8, 2, FALSE)&amp;"]")),FALSE))),""))),"")</f>
        <v/>
      </c>
      <c r="E698" s="205" t="str" cm="1">
        <f t="array" aca="1" ref="E698" ca="1">IFERROR(
IF($J$2="ELA",
IF(VLOOKUP($A698, YES_Reading_ELA[], COLUMN(INDIRECT("YES_Reading_ELA[Min Expectation - Per "&amp;VLOOKUP($D$2, 'Reading Report Logic'!$A$2:$B$8, 2, FALSE)&amp;"]")), FALSE)="", "",
VLOOKUP($A698,YES_Reading_ELA[], COLUMN(INDIRECT("YES_Reading_ELA[Min Expectation - Per "&amp;VLOOKUP($D$2,'Reading Report Logic'!$A$2:$B$8,2,FALSE)&amp;"]")), FALSE)),
IF($J$2="FLA",
IF(VLOOKUP($A698, YES_Reading_FLA[], COLUMN(INDIRECT("YES_Reading_FLA[Min Expectation - Per "&amp;VLOOKUP($D$2,'Reading Report Logic'!$A$2:$B$8,2,FALSE)&amp;"]")),FALSE)="","",
VLOOKUP($A698,YES_Reading_FLA[],COLUMN(INDIRECT("YES_Reading_FLA[Min Expectation - Per "&amp;VLOOKUP($D$2,'Reading Report Logic'!$A$2:$B$8,2,FALSE)&amp;"]")),FALSE)),
IF($J$2="Combined",
IFERROR(
IF(VLOOKUP($A698, YES_Reading_ELA[], COLUMN(INDIRECT("YES_Reading_ELA[Min Expectation - Per "&amp;VLOOKUP($D$2, 'Reading Report Logic'!$A$2:$B$8,2,FALSE)&amp;"]")), FALSE)="", "",
VLOOKUP($A698,YES_Reading_ELA[],COLUMN(INDIRECT("YES_Reading_ELA[Min Expectation - Per "&amp;VLOOKUP($D$2,'Reading Report Logic'!$A$2:$B$8,2,FALSE)&amp;"]")),FALSE)),
IF(VLOOKUP($A698, YES_Reading_FLA[], COLUMN(INDIRECT("YES_Reading_FLA[Min Expectation - Per "&amp;VLOOKUP($D$2, 'Reading Report Logic'!$A$2:$B$8, 2, FALSE)&amp;"]")),FALSE)="", "", VLOOKUP($A698,YES_Reading_FLA[],COLUMN(INDIRECT("YES_Reading_FLA[Min Expectation - Per "&amp;VLOOKUP($D$2, 'Reading Report Logic'!$A$2:$B$8, 2, FALSE)&amp;"]")),FALSE))),""))),"")</f>
        <v/>
      </c>
      <c r="F698" s="205" t="str" cm="1">
        <f t="array" aca="1" ref="F698" ca="1">IFERROR(
IF($J$2="ELA",
IF(VLOOKUP($A698, YES_Reading_ELA[], COLUMN(INDIRECT("YES_Reading_ELA[Max Expectation - Per "&amp;VLOOKUP($D$2, 'Reading Report Logic'!$A$2:$B$8, 2, FALSE)&amp;"]")), FALSE)="", "",
VLOOKUP($A698,YES_Reading_ELA[], COLUMN(INDIRECT("YES_Reading_ELA[Max Expectation - Per "&amp;VLOOKUP($D$2,'Reading Report Logic'!$A$2:$B$8,2,FALSE)&amp;"]")), FALSE)),
IF($J$2="FLA",
IF(VLOOKUP($A698, YES_Reading_FLA[], COLUMN(INDIRECT("YES_Reading_FLA[Max Expectation - Per "&amp;VLOOKUP($D$2,'Reading Report Logic'!$A$2:$B$8,2,FALSE)&amp;"]")),FALSE)="","",
VLOOKUP($A698,YES_Reading_FLA[],COLUMN(INDIRECT("YES_Reading_FLA[Max Expectation - Per "&amp;VLOOKUP($D$2,'Reading Report Logic'!$A$2:$B$8,2,FALSE)&amp;"]")),FALSE)),
IF($J$2="Combined",
IFERROR(
IF(VLOOKUP($A698, YES_Reading_ELA[], COLUMN(INDIRECT("YES_Reading_ELA[Max Expectation - Per "&amp;VLOOKUP($D$2, 'Reading Report Logic'!$A$2:$B$8,2,FALSE)&amp;"]")), FALSE)="", "",
VLOOKUP($A698,YES_Reading_ELA[],COLUMN(INDIRECT("YES_Reading_ELA[Max Expectation - Per "&amp;VLOOKUP($D$2,'Reading Report Logic'!$A$2:$B$8,2,FALSE)&amp;"]")),FALSE)),
IF(VLOOKUP($A698, YES_Reading_FLA[], COLUMN(INDIRECT("YES_Reading_FLA[Max Expectation - Per "&amp;VLOOKUP($D$2, 'Reading Report Logic'!$A$2:$B$8, 2, FALSE)&amp;"]")),FALSE)="", "", VLOOKUP($A698,YES_Reading_FLA[],COLUMN(INDIRECT("YES_Reading_FLA[Max Expectation - Per "&amp;VLOOKUP($D$2, 'Reading Report Logic'!$A$2:$B$8, 2, FALSE)&amp;"]")),FALSE))),""))),"")</f>
        <v/>
      </c>
      <c r="G698" s="205" t="str" cm="1">
        <f t="array" aca="1" ref="G698" ca="1">IFERROR(
IF($J$2="ELA",
IF(VLOOKUP($A698, YES_Reading_ELA[], COLUMN(INDIRECT("YES_Reading_ELA[Difference - Per "&amp;VLOOKUP($D$2, 'Reading Report Logic'!$A$2:$B$8, 2, FALSE)&amp;"]")), FALSE)="", "",
VLOOKUP($A698,YES_Reading_ELA[], COLUMN(INDIRECT("YES_Reading_ELA[Difference - Per "&amp;VLOOKUP($D$2,'Reading Report Logic'!$A$2:$B$8,2,FALSE)&amp;"]")), FALSE)),
IF($J$2="FLA",
IF(VLOOKUP($A698, YES_Reading_FLA[], COLUMN(INDIRECT("YES_Reading_FLA[Difference - Per "&amp;VLOOKUP($D$2,'Reading Report Logic'!$A$2:$B$8,2,FALSE)&amp;"]")),FALSE)="","",
VLOOKUP($A698,YES_Reading_FLA[],COLUMN(INDIRECT("YES_Reading_FLA[Difference - Per "&amp;VLOOKUP($D$2,'Reading Report Logic'!$A$2:$B$8,2,FALSE)&amp;"]")),FALSE)),
IF($J$2="Combined",
IFERROR(
IF(VLOOKUP($A698, YES_Reading_ELA[], COLUMN(INDIRECT("YES_Reading_ELA[Difference - Per "&amp;VLOOKUP($D$2, 'Reading Report Logic'!$A$2:$B$8,2,FALSE)&amp;"]")), FALSE)="", "",
VLOOKUP($A698,YES_Reading_ELA[],COLUMN(INDIRECT("YES_Reading_ELA[Difference - Per "&amp;VLOOKUP($D$2,'Reading Report Logic'!$A$2:$B$8,2,FALSE)&amp;"]")),FALSE)),
IF(VLOOKUP($A698, YES_Reading_FLA[], COLUMN(INDIRECT("YES_Reading_FLA[Difference - Per "&amp;VLOOKUP($D$2, 'Reading Report Logic'!$A$2:$B$8, 2, FALSE)&amp;"]")),FALSE)="", "", VLOOKUP($A698,YES_Reading_FLA[],COLUMN(INDIRECT("YES_Reading_FLA[Difference - Per "&amp;VLOOKUP($D$2, 'Reading Report Logic'!$A$2:$B$8, 2, FALSE)&amp;"]")),FALSE))),""))),"")</f>
        <v/>
      </c>
      <c r="H698" s="206" t="str">
        <f ca="1">IFERROR(VLOOKUP('Teacher Reading Pull Sheets'!$D698,_xlfn.VSTACK('ELA Reading Logic'!$A$22:$B$48,'FLA Reading Logic'!$A$22:$B$53),2,FALSE)-VLOOKUP('Teacher Reading Pull Sheets'!$C698,_xlfn.VSTACK('ELA Reading Logic'!$A$22:$B$48,'FLA Reading Logic'!$A$22:$B$53),2,FALSE),"")</f>
        <v/>
      </c>
      <c r="I698" s="212"/>
      <c r="J698" s="206"/>
      <c r="K698" s="197" t="str" cm="1">
        <f t="array" ref="K698">IFERROR(
IF($J$2="ELA",
IF(VLOOKUP($A698, YES_Reading_ELA[], COLUMN(YES_Reading_ELA[Self-Identified as African Descent]), FALSE)="", "",
VLOOKUP($A698,YES_Reading_ELA[], COLUMN(YES_Reading_ELA[Self-Identified as African Descent]), FALSE)),
IF($J$2="FLA",
IF(VLOOKUP($A698, YES_Reading_FLA[], COLUMN(YES_Reading_FLA[Self-Identified as African Descent]),FALSE)="","",
VLOOKUP($A698,YES_Reading_FLA[],COLUMN(YES_Reading_FLA[Self-Identified as African Descent]),FALSE)),
IF($J$2="Combined",
IFERROR(
IF(VLOOKUP($A698, YES_Reading_ELA[], COLUMN(YES_Reading_ELA[Self-Identified as African Descent]), FALSE)="", "",
VLOOKUP($A698,YES_Reading_ELA[],COLUMN(YES_Reading_ELA[Self-Identified as African Descent]),FALSE)),
IF(VLOOKUP($A698, YES_Reading_FLA[], COLUMN(YES_Reading_FLA[Self-Identified as African Descent]),FALSE)="", "", VLOOKUP($A698,YES_Reading_FLA[],COLUMN(YES_Reading_FLA[Self-Identified as African Descent]),FALSE))),""))),"")</f>
        <v/>
      </c>
      <c r="L698" s="73" t="str" cm="1">
        <f t="array" ref="L698">IFERROR(
IF($J$2="ELA",
IF(VLOOKUP($A698, YES_Reading_ELA[], COLUMN(YES_Reading_ELA[Self-Identified as Indigenous]), FALSE)="", "",
VLOOKUP($A698,YES_Reading_ELA[], COLUMN(YES_Reading_ELA[Self-Identified as Indigenous]), FALSE)),
IF($J$2="FLA",
IF(VLOOKUP($A698, YES_Reading_FLA[], COLUMN(YES_Reading_FLA[Self-Identified as Indigenous]),FALSE)="","",
VLOOKUP($A698,YES_Reading_FLA[],COLUMN(YES_Reading_FLA[Self-Identified as Indigenous]),FALSE)),
IF($J$2="Combined",
IFERROR(
IF(VLOOKUP($A698, YES_Reading_ELA[], COLUMN(YES_Reading_ELA[Self-Identified as Indigenous]), FALSE)="", "",
VLOOKUP($A698,YES_Reading_ELA[],COLUMN(YES_Reading_ELA[Self-Identified as Indigenous]),FALSE)),
IF(VLOOKUP($A698, YES_Reading_FLA[], COLUMN(YES_Reading_FLA[Self-Identified as Indigenous]),FALSE)="", "", VLOOKUP($A698,YES_Reading_FLA[],COLUMN(YES_Reading_FLA[Self-Identified as Indigenous]),FALSE))),""))),"")</f>
        <v/>
      </c>
    </row>
    <row r="699" spans="1:12" ht="19.5" customHeight="1" x14ac:dyDescent="0.25">
      <c r="A699" s="217"/>
      <c r="B699" s="220" t="str">
        <f>IFERROR(VLOOKUP(A699,_xlfn.VSTACK(YES_Reading_ELA[],YES_Reading_FLA[]),2,FALSE),"")</f>
        <v/>
      </c>
      <c r="C699" s="203" t="str" cm="1">
        <f t="array" aca="1" ref="C699" ca="1">IFERROR(
IF($J$2="ELA",
IF(VLOOKUP($A699, YES_Reading_ELA[], COLUMN(IF(VLOOKUP($D$2, 'Reading Report Logic'!$A$2:$B$8, 2, FALSE)=1, YES_Reading_ELA[Reading Level June of Previous School Year], INDIRECT("YES_Reading_ELA[Instructional Reading Level - Per "&amp;(VLOOKUP($D$2,'Reading Report Logic'!$A$2:$B$8,2,FALSE)-1)&amp;"]"))), FALSE)="", "",
VLOOKUP($A699,YES_Reading_ELA[], COLUMN(IF(VLOOKUP($D$2,'Reading Report Logic'!$A$2:$B$8,2,FALSE)=1, YES_Reading_ELA[Reading Level June of Previous School Year],INDIRECT("YES_Reading_ELA[Instructional Reading Level - Per "&amp;(VLOOKUP($D$2,'Reading Report Logic'!$A$2:$B$8,2,FALSE)-1)&amp;"]"))), FALSE)),
IF($J$2="FLA",
IF(VLOOKUP($A699, YES_Reading_FLA[], COLUMN(IF(VLOOKUP($D$2,'Reading Report Logic'!$A$2:$B$8,2,FALSE)=1, YES_Reading_FLA[Reading Level June of Previous School Year],INDIRECT("YES_Reading_FLA[Instructional Reading Level - Per "&amp;(VLOOKUP($D$2,'Reading Report Logic'!$A$2:$B$8,2,FALSE)-1)&amp;"]"))),FALSE)="","",
VLOOKUP($A699,YES_Reading_FLA[], COLUMN(IF(VLOOKUP($D$2,'Reading Report Logic'!$A$2:$B$8,2,FALSE)=1, YES_Reading_FLA[Reading Level June of Previous School Year],INDIRECT("YES_Reading_FLA[Instructional Reading Level - Per "&amp;(VLOOKUP($D$2,'Reading Report Logic'!$A$2:$B$8,2,FALSE)-1)&amp;"]"))),FALSE)),
IF($J$2="Combined",
IFERROR(
IF(VLOOKUP($A699, YES_Reading_ELA[], COLUMN(IF(VLOOKUP($D$2,'Reading Report Logic'!$A$2:$B$8,2,FALSE)=1, YES_Reading_ELA[Reading Level June of Previous School Year],INDIRECT("YES_Reading_ELA[Instructional Reading Level - Per "&amp;(VLOOKUP($D$2,'Reading Report Logic'!$A$2:$B$8,2,FALSE)-1)&amp;"]"))), FALSE)="", "",
VLOOKUP($A699,YES_Reading_ELA[],COLUMN(IF(VLOOKUP($D$2,'Reading Report Logic'!$A$2:$B$8,2,FALSE)=1, YES_Reading_ELA[Reading Level June of Previous School Year],INDIRECT("YES_Reading_ELA[Instructional Reading Level - Per "&amp;(VLOOKUP($D$2,'Reading Report Logic'!$A$2:$B$8,2,FALSE)-1)&amp;"]"))),FALSE)),
IF(VLOOKUP($A699, YES_Reading_FLA[], COLUMN(IF(VLOOKUP($D$2,'Reading Report Logic'!$A$2:$B$8,2,FALSE)=1, YES_Reading_FLA[Reading Level June of Previous School Year],INDIRECT("YES_Reading_FLA[Instructional Reading Level - Per "&amp;(VLOOKUP($D$2,'Reading Report Logic'!$A$2:$B$8,2,FALSE)-1)&amp;"]"))),FALSE)="", "", VLOOKUP($A699,YES_Reading_FLA[],COLUMN(IF(VLOOKUP($D$2,'Reading Report Logic'!$A$2:$B$8,2,FALSE)=1, YES_Reading_FLA[Reading Level June of Previous School Year],INDIRECT("YES_Reading_FLA[Instructional Reading Level - Per "&amp;(VLOOKUP($D$2,'Reading Report Logic'!$A$2:$B$8,2,FALSE)-1)&amp;"]"))), FALSE))),""))),"")</f>
        <v/>
      </c>
      <c r="D699" s="204" t="str" cm="1">
        <f t="array" aca="1" ref="D699" ca="1">IFERROR(
IF($J$2="ELA",
IF(VLOOKUP($A699, YES_Reading_ELA[], COLUMN(INDIRECT("YES_Reading_ELA[Instructional Reading Level - Per "&amp;VLOOKUP($D$2, 'Reading Report Logic'!$A$2:$B$8, 2, FALSE)&amp;"]")), FALSE)="", "",
VLOOKUP($A699,YES_Reading_ELA[], COLUMN(INDIRECT("YES_Reading_ELA[Instructional Reading Level - Per "&amp;VLOOKUP($D$2,'Reading Report Logic'!$A$2:$B$8,2,FALSE)&amp;"]")), FALSE)),
IF($J$2="FLA",
IF(VLOOKUP($A699, YES_Reading_FLA[], COLUMN(INDIRECT("YES_Reading_FLA[Instructional Reading Level - Per "&amp;VLOOKUP($D$2,'Reading Report Logic'!$A$2:$B$8,2,FALSE)&amp;"]")),FALSE)="","",
VLOOKUP($A699,YES_Reading_FLA[],COLUMN(INDIRECT("YES_Reading_FLA[Instructional Reading Level - Per "&amp;VLOOKUP($D$2,'Reading Report Logic'!$A$2:$B$8,2,FALSE)&amp;"]")),FALSE)),
IF($J$2="Combined",
IFERROR(
IF(VLOOKUP($A699, YES_Reading_ELA[], COLUMN(INDIRECT("YES_Reading_ELA[Instructional Reading Level - Per "&amp;VLOOKUP($D$2, 'Reading Report Logic'!$A$2:$B$8,2,FALSE)&amp;"]")), FALSE)="", "",
VLOOKUP($A699,YES_Reading_ELA[],COLUMN(INDIRECT("YES_Reading_ELA[Instructional Reading Level - Per "&amp;VLOOKUP($D$2,'Reading Report Logic'!$A$2:$B$8,2,FALSE)&amp;"]")),FALSE)),
IF(VLOOKUP($A699, YES_Reading_FLA[], COLUMN(INDIRECT("YES_Reading_FLA[Instructional Reading Level - Per "&amp;VLOOKUP($D$2, 'Reading Report Logic'!$A$2:$B$8, 2, FALSE)&amp;"]")),FALSE)="", "", VLOOKUP($A699,YES_Reading_FLA[],COLUMN(INDIRECT("YES_Reading_FLA[Instructional Reading Level - Per "&amp;VLOOKUP($D$2, 'Reading Report Logic'!$A$2:$B$8, 2, FALSE)&amp;"]")),FALSE))),""))),"")</f>
        <v/>
      </c>
      <c r="E699" s="205" t="str" cm="1">
        <f t="array" aca="1" ref="E699" ca="1">IFERROR(
IF($J$2="ELA",
IF(VLOOKUP($A699, YES_Reading_ELA[], COLUMN(INDIRECT("YES_Reading_ELA[Min Expectation - Per "&amp;VLOOKUP($D$2, 'Reading Report Logic'!$A$2:$B$8, 2, FALSE)&amp;"]")), FALSE)="", "",
VLOOKUP($A699,YES_Reading_ELA[], COLUMN(INDIRECT("YES_Reading_ELA[Min Expectation - Per "&amp;VLOOKUP($D$2,'Reading Report Logic'!$A$2:$B$8,2,FALSE)&amp;"]")), FALSE)),
IF($J$2="FLA",
IF(VLOOKUP($A699, YES_Reading_FLA[], COLUMN(INDIRECT("YES_Reading_FLA[Min Expectation - Per "&amp;VLOOKUP($D$2,'Reading Report Logic'!$A$2:$B$8,2,FALSE)&amp;"]")),FALSE)="","",
VLOOKUP($A699,YES_Reading_FLA[],COLUMN(INDIRECT("YES_Reading_FLA[Min Expectation - Per "&amp;VLOOKUP($D$2,'Reading Report Logic'!$A$2:$B$8,2,FALSE)&amp;"]")),FALSE)),
IF($J$2="Combined",
IFERROR(
IF(VLOOKUP($A699, YES_Reading_ELA[], COLUMN(INDIRECT("YES_Reading_ELA[Min Expectation - Per "&amp;VLOOKUP($D$2, 'Reading Report Logic'!$A$2:$B$8,2,FALSE)&amp;"]")), FALSE)="", "",
VLOOKUP($A699,YES_Reading_ELA[],COLUMN(INDIRECT("YES_Reading_ELA[Min Expectation - Per "&amp;VLOOKUP($D$2,'Reading Report Logic'!$A$2:$B$8,2,FALSE)&amp;"]")),FALSE)),
IF(VLOOKUP($A699, YES_Reading_FLA[], COLUMN(INDIRECT("YES_Reading_FLA[Min Expectation - Per "&amp;VLOOKUP($D$2, 'Reading Report Logic'!$A$2:$B$8, 2, FALSE)&amp;"]")),FALSE)="", "", VLOOKUP($A699,YES_Reading_FLA[],COLUMN(INDIRECT("YES_Reading_FLA[Min Expectation - Per "&amp;VLOOKUP($D$2, 'Reading Report Logic'!$A$2:$B$8, 2, FALSE)&amp;"]")),FALSE))),""))),"")</f>
        <v/>
      </c>
      <c r="F699" s="205" t="str" cm="1">
        <f t="array" aca="1" ref="F699" ca="1">IFERROR(
IF($J$2="ELA",
IF(VLOOKUP($A699, YES_Reading_ELA[], COLUMN(INDIRECT("YES_Reading_ELA[Max Expectation - Per "&amp;VLOOKUP($D$2, 'Reading Report Logic'!$A$2:$B$8, 2, FALSE)&amp;"]")), FALSE)="", "",
VLOOKUP($A699,YES_Reading_ELA[], COLUMN(INDIRECT("YES_Reading_ELA[Max Expectation - Per "&amp;VLOOKUP($D$2,'Reading Report Logic'!$A$2:$B$8,2,FALSE)&amp;"]")), FALSE)),
IF($J$2="FLA",
IF(VLOOKUP($A699, YES_Reading_FLA[], COLUMN(INDIRECT("YES_Reading_FLA[Max Expectation - Per "&amp;VLOOKUP($D$2,'Reading Report Logic'!$A$2:$B$8,2,FALSE)&amp;"]")),FALSE)="","",
VLOOKUP($A699,YES_Reading_FLA[],COLUMN(INDIRECT("YES_Reading_FLA[Max Expectation - Per "&amp;VLOOKUP($D$2,'Reading Report Logic'!$A$2:$B$8,2,FALSE)&amp;"]")),FALSE)),
IF($J$2="Combined",
IFERROR(
IF(VLOOKUP($A699, YES_Reading_ELA[], COLUMN(INDIRECT("YES_Reading_ELA[Max Expectation - Per "&amp;VLOOKUP($D$2, 'Reading Report Logic'!$A$2:$B$8,2,FALSE)&amp;"]")), FALSE)="", "",
VLOOKUP($A699,YES_Reading_ELA[],COLUMN(INDIRECT("YES_Reading_ELA[Max Expectation - Per "&amp;VLOOKUP($D$2,'Reading Report Logic'!$A$2:$B$8,2,FALSE)&amp;"]")),FALSE)),
IF(VLOOKUP($A699, YES_Reading_FLA[], COLUMN(INDIRECT("YES_Reading_FLA[Max Expectation - Per "&amp;VLOOKUP($D$2, 'Reading Report Logic'!$A$2:$B$8, 2, FALSE)&amp;"]")),FALSE)="", "", VLOOKUP($A699,YES_Reading_FLA[],COLUMN(INDIRECT("YES_Reading_FLA[Max Expectation - Per "&amp;VLOOKUP($D$2, 'Reading Report Logic'!$A$2:$B$8, 2, FALSE)&amp;"]")),FALSE))),""))),"")</f>
        <v/>
      </c>
      <c r="G699" s="205" t="str" cm="1">
        <f t="array" aca="1" ref="G699" ca="1">IFERROR(
IF($J$2="ELA",
IF(VLOOKUP($A699, YES_Reading_ELA[], COLUMN(INDIRECT("YES_Reading_ELA[Difference - Per "&amp;VLOOKUP($D$2, 'Reading Report Logic'!$A$2:$B$8, 2, FALSE)&amp;"]")), FALSE)="", "",
VLOOKUP($A699,YES_Reading_ELA[], COLUMN(INDIRECT("YES_Reading_ELA[Difference - Per "&amp;VLOOKUP($D$2,'Reading Report Logic'!$A$2:$B$8,2,FALSE)&amp;"]")), FALSE)),
IF($J$2="FLA",
IF(VLOOKUP($A699, YES_Reading_FLA[], COLUMN(INDIRECT("YES_Reading_FLA[Difference - Per "&amp;VLOOKUP($D$2,'Reading Report Logic'!$A$2:$B$8,2,FALSE)&amp;"]")),FALSE)="","",
VLOOKUP($A699,YES_Reading_FLA[],COLUMN(INDIRECT("YES_Reading_FLA[Difference - Per "&amp;VLOOKUP($D$2,'Reading Report Logic'!$A$2:$B$8,2,FALSE)&amp;"]")),FALSE)),
IF($J$2="Combined",
IFERROR(
IF(VLOOKUP($A699, YES_Reading_ELA[], COLUMN(INDIRECT("YES_Reading_ELA[Difference - Per "&amp;VLOOKUP($D$2, 'Reading Report Logic'!$A$2:$B$8,2,FALSE)&amp;"]")), FALSE)="", "",
VLOOKUP($A699,YES_Reading_ELA[],COLUMN(INDIRECT("YES_Reading_ELA[Difference - Per "&amp;VLOOKUP($D$2,'Reading Report Logic'!$A$2:$B$8,2,FALSE)&amp;"]")),FALSE)),
IF(VLOOKUP($A699, YES_Reading_FLA[], COLUMN(INDIRECT("YES_Reading_FLA[Difference - Per "&amp;VLOOKUP($D$2, 'Reading Report Logic'!$A$2:$B$8, 2, FALSE)&amp;"]")),FALSE)="", "", VLOOKUP($A699,YES_Reading_FLA[],COLUMN(INDIRECT("YES_Reading_FLA[Difference - Per "&amp;VLOOKUP($D$2, 'Reading Report Logic'!$A$2:$B$8, 2, FALSE)&amp;"]")),FALSE))),""))),"")</f>
        <v/>
      </c>
      <c r="H699" s="206" t="str">
        <f ca="1">IFERROR(VLOOKUP('Teacher Reading Pull Sheets'!$D699,_xlfn.VSTACK('ELA Reading Logic'!$A$22:$B$48,'FLA Reading Logic'!$A$22:$B$53),2,FALSE)-VLOOKUP('Teacher Reading Pull Sheets'!$C699,_xlfn.VSTACK('ELA Reading Logic'!$A$22:$B$48,'FLA Reading Logic'!$A$22:$B$53),2,FALSE),"")</f>
        <v/>
      </c>
      <c r="I699" s="212"/>
      <c r="J699" s="206"/>
      <c r="K699" s="197" t="str" cm="1">
        <f t="array" ref="K699">IFERROR(
IF($J$2="ELA",
IF(VLOOKUP($A699, YES_Reading_ELA[], COLUMN(YES_Reading_ELA[Self-Identified as African Descent]), FALSE)="", "",
VLOOKUP($A699,YES_Reading_ELA[], COLUMN(YES_Reading_ELA[Self-Identified as African Descent]), FALSE)),
IF($J$2="FLA",
IF(VLOOKUP($A699, YES_Reading_FLA[], COLUMN(YES_Reading_FLA[Self-Identified as African Descent]),FALSE)="","",
VLOOKUP($A699,YES_Reading_FLA[],COLUMN(YES_Reading_FLA[Self-Identified as African Descent]),FALSE)),
IF($J$2="Combined",
IFERROR(
IF(VLOOKUP($A699, YES_Reading_ELA[], COLUMN(YES_Reading_ELA[Self-Identified as African Descent]), FALSE)="", "",
VLOOKUP($A699,YES_Reading_ELA[],COLUMN(YES_Reading_ELA[Self-Identified as African Descent]),FALSE)),
IF(VLOOKUP($A699, YES_Reading_FLA[], COLUMN(YES_Reading_FLA[Self-Identified as African Descent]),FALSE)="", "", VLOOKUP($A699,YES_Reading_FLA[],COLUMN(YES_Reading_FLA[Self-Identified as African Descent]),FALSE))),""))),"")</f>
        <v/>
      </c>
      <c r="L699" s="73" t="str" cm="1">
        <f t="array" ref="L699">IFERROR(
IF($J$2="ELA",
IF(VLOOKUP($A699, YES_Reading_ELA[], COLUMN(YES_Reading_ELA[Self-Identified as Indigenous]), FALSE)="", "",
VLOOKUP($A699,YES_Reading_ELA[], COLUMN(YES_Reading_ELA[Self-Identified as Indigenous]), FALSE)),
IF($J$2="FLA",
IF(VLOOKUP($A699, YES_Reading_FLA[], COLUMN(YES_Reading_FLA[Self-Identified as Indigenous]),FALSE)="","",
VLOOKUP($A699,YES_Reading_FLA[],COLUMN(YES_Reading_FLA[Self-Identified as Indigenous]),FALSE)),
IF($J$2="Combined",
IFERROR(
IF(VLOOKUP($A699, YES_Reading_ELA[], COLUMN(YES_Reading_ELA[Self-Identified as Indigenous]), FALSE)="", "",
VLOOKUP($A699,YES_Reading_ELA[],COLUMN(YES_Reading_ELA[Self-Identified as Indigenous]),FALSE)),
IF(VLOOKUP($A699, YES_Reading_FLA[], COLUMN(YES_Reading_FLA[Self-Identified as Indigenous]),FALSE)="", "", VLOOKUP($A699,YES_Reading_FLA[],COLUMN(YES_Reading_FLA[Self-Identified as Indigenous]),FALSE))),""))),"")</f>
        <v/>
      </c>
    </row>
    <row r="700" spans="1:12" ht="19.5" customHeight="1" x14ac:dyDescent="0.25">
      <c r="A700" s="217"/>
      <c r="B700" s="220" t="str">
        <f>IFERROR(VLOOKUP(A700,_xlfn.VSTACK(YES_Reading_ELA[],YES_Reading_FLA[]),2,FALSE),"")</f>
        <v/>
      </c>
      <c r="C700" s="203" t="str" cm="1">
        <f t="array" aca="1" ref="C700" ca="1">IFERROR(
IF($J$2="ELA",
IF(VLOOKUP($A700, YES_Reading_ELA[], COLUMN(IF(VLOOKUP($D$2, 'Reading Report Logic'!$A$2:$B$8, 2, FALSE)=1, YES_Reading_ELA[Reading Level June of Previous School Year], INDIRECT("YES_Reading_ELA[Instructional Reading Level - Per "&amp;(VLOOKUP($D$2,'Reading Report Logic'!$A$2:$B$8,2,FALSE)-1)&amp;"]"))), FALSE)="", "",
VLOOKUP($A700,YES_Reading_ELA[], COLUMN(IF(VLOOKUP($D$2,'Reading Report Logic'!$A$2:$B$8,2,FALSE)=1, YES_Reading_ELA[Reading Level June of Previous School Year],INDIRECT("YES_Reading_ELA[Instructional Reading Level - Per "&amp;(VLOOKUP($D$2,'Reading Report Logic'!$A$2:$B$8,2,FALSE)-1)&amp;"]"))), FALSE)),
IF($J$2="FLA",
IF(VLOOKUP($A700, YES_Reading_FLA[], COLUMN(IF(VLOOKUP($D$2,'Reading Report Logic'!$A$2:$B$8,2,FALSE)=1, YES_Reading_FLA[Reading Level June of Previous School Year],INDIRECT("YES_Reading_FLA[Instructional Reading Level - Per "&amp;(VLOOKUP($D$2,'Reading Report Logic'!$A$2:$B$8,2,FALSE)-1)&amp;"]"))),FALSE)="","",
VLOOKUP($A700,YES_Reading_FLA[], COLUMN(IF(VLOOKUP($D$2,'Reading Report Logic'!$A$2:$B$8,2,FALSE)=1, YES_Reading_FLA[Reading Level June of Previous School Year],INDIRECT("YES_Reading_FLA[Instructional Reading Level - Per "&amp;(VLOOKUP($D$2,'Reading Report Logic'!$A$2:$B$8,2,FALSE)-1)&amp;"]"))),FALSE)),
IF($J$2="Combined",
IFERROR(
IF(VLOOKUP($A700, YES_Reading_ELA[], COLUMN(IF(VLOOKUP($D$2,'Reading Report Logic'!$A$2:$B$8,2,FALSE)=1, YES_Reading_ELA[Reading Level June of Previous School Year],INDIRECT("YES_Reading_ELA[Instructional Reading Level - Per "&amp;(VLOOKUP($D$2,'Reading Report Logic'!$A$2:$B$8,2,FALSE)-1)&amp;"]"))), FALSE)="", "",
VLOOKUP($A700,YES_Reading_ELA[],COLUMN(IF(VLOOKUP($D$2,'Reading Report Logic'!$A$2:$B$8,2,FALSE)=1, YES_Reading_ELA[Reading Level June of Previous School Year],INDIRECT("YES_Reading_ELA[Instructional Reading Level - Per "&amp;(VLOOKUP($D$2,'Reading Report Logic'!$A$2:$B$8,2,FALSE)-1)&amp;"]"))),FALSE)),
IF(VLOOKUP($A700, YES_Reading_FLA[], COLUMN(IF(VLOOKUP($D$2,'Reading Report Logic'!$A$2:$B$8,2,FALSE)=1, YES_Reading_FLA[Reading Level June of Previous School Year],INDIRECT("YES_Reading_FLA[Instructional Reading Level - Per "&amp;(VLOOKUP($D$2,'Reading Report Logic'!$A$2:$B$8,2,FALSE)-1)&amp;"]"))),FALSE)="", "", VLOOKUP($A700,YES_Reading_FLA[],COLUMN(IF(VLOOKUP($D$2,'Reading Report Logic'!$A$2:$B$8,2,FALSE)=1, YES_Reading_FLA[Reading Level June of Previous School Year],INDIRECT("YES_Reading_FLA[Instructional Reading Level - Per "&amp;(VLOOKUP($D$2,'Reading Report Logic'!$A$2:$B$8,2,FALSE)-1)&amp;"]"))), FALSE))),""))),"")</f>
        <v/>
      </c>
      <c r="D700" s="204" t="str" cm="1">
        <f t="array" aca="1" ref="D700" ca="1">IFERROR(
IF($J$2="ELA",
IF(VLOOKUP($A700, YES_Reading_ELA[], COLUMN(INDIRECT("YES_Reading_ELA[Instructional Reading Level - Per "&amp;VLOOKUP($D$2, 'Reading Report Logic'!$A$2:$B$8, 2, FALSE)&amp;"]")), FALSE)="", "",
VLOOKUP($A700,YES_Reading_ELA[], COLUMN(INDIRECT("YES_Reading_ELA[Instructional Reading Level - Per "&amp;VLOOKUP($D$2,'Reading Report Logic'!$A$2:$B$8,2,FALSE)&amp;"]")), FALSE)),
IF($J$2="FLA",
IF(VLOOKUP($A700, YES_Reading_FLA[], COLUMN(INDIRECT("YES_Reading_FLA[Instructional Reading Level - Per "&amp;VLOOKUP($D$2,'Reading Report Logic'!$A$2:$B$8,2,FALSE)&amp;"]")),FALSE)="","",
VLOOKUP($A700,YES_Reading_FLA[],COLUMN(INDIRECT("YES_Reading_FLA[Instructional Reading Level - Per "&amp;VLOOKUP($D$2,'Reading Report Logic'!$A$2:$B$8,2,FALSE)&amp;"]")),FALSE)),
IF($J$2="Combined",
IFERROR(
IF(VLOOKUP($A700, YES_Reading_ELA[], COLUMN(INDIRECT("YES_Reading_ELA[Instructional Reading Level - Per "&amp;VLOOKUP($D$2, 'Reading Report Logic'!$A$2:$B$8,2,FALSE)&amp;"]")), FALSE)="", "",
VLOOKUP($A700,YES_Reading_ELA[],COLUMN(INDIRECT("YES_Reading_ELA[Instructional Reading Level - Per "&amp;VLOOKUP($D$2,'Reading Report Logic'!$A$2:$B$8,2,FALSE)&amp;"]")),FALSE)),
IF(VLOOKUP($A700, YES_Reading_FLA[], COLUMN(INDIRECT("YES_Reading_FLA[Instructional Reading Level - Per "&amp;VLOOKUP($D$2, 'Reading Report Logic'!$A$2:$B$8, 2, FALSE)&amp;"]")),FALSE)="", "", VLOOKUP($A700,YES_Reading_FLA[],COLUMN(INDIRECT("YES_Reading_FLA[Instructional Reading Level - Per "&amp;VLOOKUP($D$2, 'Reading Report Logic'!$A$2:$B$8, 2, FALSE)&amp;"]")),FALSE))),""))),"")</f>
        <v/>
      </c>
      <c r="E700" s="205" t="str" cm="1">
        <f t="array" aca="1" ref="E700" ca="1">IFERROR(
IF($J$2="ELA",
IF(VLOOKUP($A700, YES_Reading_ELA[], COLUMN(INDIRECT("YES_Reading_ELA[Min Expectation - Per "&amp;VLOOKUP($D$2, 'Reading Report Logic'!$A$2:$B$8, 2, FALSE)&amp;"]")), FALSE)="", "",
VLOOKUP($A700,YES_Reading_ELA[], COLUMN(INDIRECT("YES_Reading_ELA[Min Expectation - Per "&amp;VLOOKUP($D$2,'Reading Report Logic'!$A$2:$B$8,2,FALSE)&amp;"]")), FALSE)),
IF($J$2="FLA",
IF(VLOOKUP($A700, YES_Reading_FLA[], COLUMN(INDIRECT("YES_Reading_FLA[Min Expectation - Per "&amp;VLOOKUP($D$2,'Reading Report Logic'!$A$2:$B$8,2,FALSE)&amp;"]")),FALSE)="","",
VLOOKUP($A700,YES_Reading_FLA[],COLUMN(INDIRECT("YES_Reading_FLA[Min Expectation - Per "&amp;VLOOKUP($D$2,'Reading Report Logic'!$A$2:$B$8,2,FALSE)&amp;"]")),FALSE)),
IF($J$2="Combined",
IFERROR(
IF(VLOOKUP($A700, YES_Reading_ELA[], COLUMN(INDIRECT("YES_Reading_ELA[Min Expectation - Per "&amp;VLOOKUP($D$2, 'Reading Report Logic'!$A$2:$B$8,2,FALSE)&amp;"]")), FALSE)="", "",
VLOOKUP($A700,YES_Reading_ELA[],COLUMN(INDIRECT("YES_Reading_ELA[Min Expectation - Per "&amp;VLOOKUP($D$2,'Reading Report Logic'!$A$2:$B$8,2,FALSE)&amp;"]")),FALSE)),
IF(VLOOKUP($A700, YES_Reading_FLA[], COLUMN(INDIRECT("YES_Reading_FLA[Min Expectation - Per "&amp;VLOOKUP($D$2, 'Reading Report Logic'!$A$2:$B$8, 2, FALSE)&amp;"]")),FALSE)="", "", VLOOKUP($A700,YES_Reading_FLA[],COLUMN(INDIRECT("YES_Reading_FLA[Min Expectation - Per "&amp;VLOOKUP($D$2, 'Reading Report Logic'!$A$2:$B$8, 2, FALSE)&amp;"]")),FALSE))),""))),"")</f>
        <v/>
      </c>
      <c r="F700" s="205" t="str" cm="1">
        <f t="array" aca="1" ref="F700" ca="1">IFERROR(
IF($J$2="ELA",
IF(VLOOKUP($A700, YES_Reading_ELA[], COLUMN(INDIRECT("YES_Reading_ELA[Max Expectation - Per "&amp;VLOOKUP($D$2, 'Reading Report Logic'!$A$2:$B$8, 2, FALSE)&amp;"]")), FALSE)="", "",
VLOOKUP($A700,YES_Reading_ELA[], COLUMN(INDIRECT("YES_Reading_ELA[Max Expectation - Per "&amp;VLOOKUP($D$2,'Reading Report Logic'!$A$2:$B$8,2,FALSE)&amp;"]")), FALSE)),
IF($J$2="FLA",
IF(VLOOKUP($A700, YES_Reading_FLA[], COLUMN(INDIRECT("YES_Reading_FLA[Max Expectation - Per "&amp;VLOOKUP($D$2,'Reading Report Logic'!$A$2:$B$8,2,FALSE)&amp;"]")),FALSE)="","",
VLOOKUP($A700,YES_Reading_FLA[],COLUMN(INDIRECT("YES_Reading_FLA[Max Expectation - Per "&amp;VLOOKUP($D$2,'Reading Report Logic'!$A$2:$B$8,2,FALSE)&amp;"]")),FALSE)),
IF($J$2="Combined",
IFERROR(
IF(VLOOKUP($A700, YES_Reading_ELA[], COLUMN(INDIRECT("YES_Reading_ELA[Max Expectation - Per "&amp;VLOOKUP($D$2, 'Reading Report Logic'!$A$2:$B$8,2,FALSE)&amp;"]")), FALSE)="", "",
VLOOKUP($A700,YES_Reading_ELA[],COLUMN(INDIRECT("YES_Reading_ELA[Max Expectation - Per "&amp;VLOOKUP($D$2,'Reading Report Logic'!$A$2:$B$8,2,FALSE)&amp;"]")),FALSE)),
IF(VLOOKUP($A700, YES_Reading_FLA[], COLUMN(INDIRECT("YES_Reading_FLA[Max Expectation - Per "&amp;VLOOKUP($D$2, 'Reading Report Logic'!$A$2:$B$8, 2, FALSE)&amp;"]")),FALSE)="", "", VLOOKUP($A700,YES_Reading_FLA[],COLUMN(INDIRECT("YES_Reading_FLA[Max Expectation - Per "&amp;VLOOKUP($D$2, 'Reading Report Logic'!$A$2:$B$8, 2, FALSE)&amp;"]")),FALSE))),""))),"")</f>
        <v/>
      </c>
      <c r="G700" s="205" t="str" cm="1">
        <f t="array" aca="1" ref="G700" ca="1">IFERROR(
IF($J$2="ELA",
IF(VLOOKUP($A700, YES_Reading_ELA[], COLUMN(INDIRECT("YES_Reading_ELA[Difference - Per "&amp;VLOOKUP($D$2, 'Reading Report Logic'!$A$2:$B$8, 2, FALSE)&amp;"]")), FALSE)="", "",
VLOOKUP($A700,YES_Reading_ELA[], COLUMN(INDIRECT("YES_Reading_ELA[Difference - Per "&amp;VLOOKUP($D$2,'Reading Report Logic'!$A$2:$B$8,2,FALSE)&amp;"]")), FALSE)),
IF($J$2="FLA",
IF(VLOOKUP($A700, YES_Reading_FLA[], COLUMN(INDIRECT("YES_Reading_FLA[Difference - Per "&amp;VLOOKUP($D$2,'Reading Report Logic'!$A$2:$B$8,2,FALSE)&amp;"]")),FALSE)="","",
VLOOKUP($A700,YES_Reading_FLA[],COLUMN(INDIRECT("YES_Reading_FLA[Difference - Per "&amp;VLOOKUP($D$2,'Reading Report Logic'!$A$2:$B$8,2,FALSE)&amp;"]")),FALSE)),
IF($J$2="Combined",
IFERROR(
IF(VLOOKUP($A700, YES_Reading_ELA[], COLUMN(INDIRECT("YES_Reading_ELA[Difference - Per "&amp;VLOOKUP($D$2, 'Reading Report Logic'!$A$2:$B$8,2,FALSE)&amp;"]")), FALSE)="", "",
VLOOKUP($A700,YES_Reading_ELA[],COLUMN(INDIRECT("YES_Reading_ELA[Difference - Per "&amp;VLOOKUP($D$2,'Reading Report Logic'!$A$2:$B$8,2,FALSE)&amp;"]")),FALSE)),
IF(VLOOKUP($A700, YES_Reading_FLA[], COLUMN(INDIRECT("YES_Reading_FLA[Difference - Per "&amp;VLOOKUP($D$2, 'Reading Report Logic'!$A$2:$B$8, 2, FALSE)&amp;"]")),FALSE)="", "", VLOOKUP($A700,YES_Reading_FLA[],COLUMN(INDIRECT("YES_Reading_FLA[Difference - Per "&amp;VLOOKUP($D$2, 'Reading Report Logic'!$A$2:$B$8, 2, FALSE)&amp;"]")),FALSE))),""))),"")</f>
        <v/>
      </c>
      <c r="H700" s="206" t="str">
        <f ca="1">IFERROR(VLOOKUP('Teacher Reading Pull Sheets'!$D700,_xlfn.VSTACK('ELA Reading Logic'!$A$22:$B$48,'FLA Reading Logic'!$A$22:$B$53),2,FALSE)-VLOOKUP('Teacher Reading Pull Sheets'!$C700,_xlfn.VSTACK('ELA Reading Logic'!$A$22:$B$48,'FLA Reading Logic'!$A$22:$B$53),2,FALSE),"")</f>
        <v/>
      </c>
      <c r="I700" s="212"/>
      <c r="J700" s="206"/>
      <c r="K700" s="197" t="str" cm="1">
        <f t="array" ref="K700">IFERROR(
IF($J$2="ELA",
IF(VLOOKUP($A700, YES_Reading_ELA[], COLUMN(YES_Reading_ELA[Self-Identified as African Descent]), FALSE)="", "",
VLOOKUP($A700,YES_Reading_ELA[], COLUMN(YES_Reading_ELA[Self-Identified as African Descent]), FALSE)),
IF($J$2="FLA",
IF(VLOOKUP($A700, YES_Reading_FLA[], COLUMN(YES_Reading_FLA[Self-Identified as African Descent]),FALSE)="","",
VLOOKUP($A700,YES_Reading_FLA[],COLUMN(YES_Reading_FLA[Self-Identified as African Descent]),FALSE)),
IF($J$2="Combined",
IFERROR(
IF(VLOOKUP($A700, YES_Reading_ELA[], COLUMN(YES_Reading_ELA[Self-Identified as African Descent]), FALSE)="", "",
VLOOKUP($A700,YES_Reading_ELA[],COLUMN(YES_Reading_ELA[Self-Identified as African Descent]),FALSE)),
IF(VLOOKUP($A700, YES_Reading_FLA[], COLUMN(YES_Reading_FLA[Self-Identified as African Descent]),FALSE)="", "", VLOOKUP($A700,YES_Reading_FLA[],COLUMN(YES_Reading_FLA[Self-Identified as African Descent]),FALSE))),""))),"")</f>
        <v/>
      </c>
      <c r="L700" s="73" t="str" cm="1">
        <f t="array" ref="L700">IFERROR(
IF($J$2="ELA",
IF(VLOOKUP($A700, YES_Reading_ELA[], COLUMN(YES_Reading_ELA[Self-Identified as Indigenous]), FALSE)="", "",
VLOOKUP($A700,YES_Reading_ELA[], COLUMN(YES_Reading_ELA[Self-Identified as Indigenous]), FALSE)),
IF($J$2="FLA",
IF(VLOOKUP($A700, YES_Reading_FLA[], COLUMN(YES_Reading_FLA[Self-Identified as Indigenous]),FALSE)="","",
VLOOKUP($A700,YES_Reading_FLA[],COLUMN(YES_Reading_FLA[Self-Identified as Indigenous]),FALSE)),
IF($J$2="Combined",
IFERROR(
IF(VLOOKUP($A700, YES_Reading_ELA[], COLUMN(YES_Reading_ELA[Self-Identified as Indigenous]), FALSE)="", "",
VLOOKUP($A700,YES_Reading_ELA[],COLUMN(YES_Reading_ELA[Self-Identified as Indigenous]),FALSE)),
IF(VLOOKUP($A700, YES_Reading_FLA[], COLUMN(YES_Reading_FLA[Self-Identified as Indigenous]),FALSE)="", "", VLOOKUP($A700,YES_Reading_FLA[],COLUMN(YES_Reading_FLA[Self-Identified as Indigenous]),FALSE))),""))),"")</f>
        <v/>
      </c>
    </row>
    <row r="701" spans="1:12" ht="19.5" customHeight="1" x14ac:dyDescent="0.25">
      <c r="A701" s="217"/>
      <c r="B701" s="220" t="str">
        <f>IFERROR(VLOOKUP(A701,_xlfn.VSTACK(YES_Reading_ELA[],YES_Reading_FLA[]),2,FALSE),"")</f>
        <v/>
      </c>
      <c r="C701" s="203" t="str" cm="1">
        <f t="array" aca="1" ref="C701" ca="1">IFERROR(
IF($J$2="ELA",
IF(VLOOKUP($A701, YES_Reading_ELA[], COLUMN(IF(VLOOKUP($D$2, 'Reading Report Logic'!$A$2:$B$8, 2, FALSE)=1, YES_Reading_ELA[Reading Level June of Previous School Year], INDIRECT("YES_Reading_ELA[Instructional Reading Level - Per "&amp;(VLOOKUP($D$2,'Reading Report Logic'!$A$2:$B$8,2,FALSE)-1)&amp;"]"))), FALSE)="", "",
VLOOKUP($A701,YES_Reading_ELA[], COLUMN(IF(VLOOKUP($D$2,'Reading Report Logic'!$A$2:$B$8,2,FALSE)=1, YES_Reading_ELA[Reading Level June of Previous School Year],INDIRECT("YES_Reading_ELA[Instructional Reading Level - Per "&amp;(VLOOKUP($D$2,'Reading Report Logic'!$A$2:$B$8,2,FALSE)-1)&amp;"]"))), FALSE)),
IF($J$2="FLA",
IF(VLOOKUP($A701, YES_Reading_FLA[], COLUMN(IF(VLOOKUP($D$2,'Reading Report Logic'!$A$2:$B$8,2,FALSE)=1, YES_Reading_FLA[Reading Level June of Previous School Year],INDIRECT("YES_Reading_FLA[Instructional Reading Level - Per "&amp;(VLOOKUP($D$2,'Reading Report Logic'!$A$2:$B$8,2,FALSE)-1)&amp;"]"))),FALSE)="","",
VLOOKUP($A701,YES_Reading_FLA[], COLUMN(IF(VLOOKUP($D$2,'Reading Report Logic'!$A$2:$B$8,2,FALSE)=1, YES_Reading_FLA[Reading Level June of Previous School Year],INDIRECT("YES_Reading_FLA[Instructional Reading Level - Per "&amp;(VLOOKUP($D$2,'Reading Report Logic'!$A$2:$B$8,2,FALSE)-1)&amp;"]"))),FALSE)),
IF($J$2="Combined",
IFERROR(
IF(VLOOKUP($A701, YES_Reading_ELA[], COLUMN(IF(VLOOKUP($D$2,'Reading Report Logic'!$A$2:$B$8,2,FALSE)=1, YES_Reading_ELA[Reading Level June of Previous School Year],INDIRECT("YES_Reading_ELA[Instructional Reading Level - Per "&amp;(VLOOKUP($D$2,'Reading Report Logic'!$A$2:$B$8,2,FALSE)-1)&amp;"]"))), FALSE)="", "",
VLOOKUP($A701,YES_Reading_ELA[],COLUMN(IF(VLOOKUP($D$2,'Reading Report Logic'!$A$2:$B$8,2,FALSE)=1, YES_Reading_ELA[Reading Level June of Previous School Year],INDIRECT("YES_Reading_ELA[Instructional Reading Level - Per "&amp;(VLOOKUP($D$2,'Reading Report Logic'!$A$2:$B$8,2,FALSE)-1)&amp;"]"))),FALSE)),
IF(VLOOKUP($A701, YES_Reading_FLA[], COLUMN(IF(VLOOKUP($D$2,'Reading Report Logic'!$A$2:$B$8,2,FALSE)=1, YES_Reading_FLA[Reading Level June of Previous School Year],INDIRECT("YES_Reading_FLA[Instructional Reading Level - Per "&amp;(VLOOKUP($D$2,'Reading Report Logic'!$A$2:$B$8,2,FALSE)-1)&amp;"]"))),FALSE)="", "", VLOOKUP($A701,YES_Reading_FLA[],COLUMN(IF(VLOOKUP($D$2,'Reading Report Logic'!$A$2:$B$8,2,FALSE)=1, YES_Reading_FLA[Reading Level June of Previous School Year],INDIRECT("YES_Reading_FLA[Instructional Reading Level - Per "&amp;(VLOOKUP($D$2,'Reading Report Logic'!$A$2:$B$8,2,FALSE)-1)&amp;"]"))), FALSE))),""))),"")</f>
        <v/>
      </c>
      <c r="D701" s="204" t="str" cm="1">
        <f t="array" aca="1" ref="D701" ca="1">IFERROR(
IF($J$2="ELA",
IF(VLOOKUP($A701, YES_Reading_ELA[], COLUMN(INDIRECT("YES_Reading_ELA[Instructional Reading Level - Per "&amp;VLOOKUP($D$2, 'Reading Report Logic'!$A$2:$B$8, 2, FALSE)&amp;"]")), FALSE)="", "",
VLOOKUP($A701,YES_Reading_ELA[], COLUMN(INDIRECT("YES_Reading_ELA[Instructional Reading Level - Per "&amp;VLOOKUP($D$2,'Reading Report Logic'!$A$2:$B$8,2,FALSE)&amp;"]")), FALSE)),
IF($J$2="FLA",
IF(VLOOKUP($A701, YES_Reading_FLA[], COLUMN(INDIRECT("YES_Reading_FLA[Instructional Reading Level - Per "&amp;VLOOKUP($D$2,'Reading Report Logic'!$A$2:$B$8,2,FALSE)&amp;"]")),FALSE)="","",
VLOOKUP($A701,YES_Reading_FLA[],COLUMN(INDIRECT("YES_Reading_FLA[Instructional Reading Level - Per "&amp;VLOOKUP($D$2,'Reading Report Logic'!$A$2:$B$8,2,FALSE)&amp;"]")),FALSE)),
IF($J$2="Combined",
IFERROR(
IF(VLOOKUP($A701, YES_Reading_ELA[], COLUMN(INDIRECT("YES_Reading_ELA[Instructional Reading Level - Per "&amp;VLOOKUP($D$2, 'Reading Report Logic'!$A$2:$B$8,2,FALSE)&amp;"]")), FALSE)="", "",
VLOOKUP($A701,YES_Reading_ELA[],COLUMN(INDIRECT("YES_Reading_ELA[Instructional Reading Level - Per "&amp;VLOOKUP($D$2,'Reading Report Logic'!$A$2:$B$8,2,FALSE)&amp;"]")),FALSE)),
IF(VLOOKUP($A701, YES_Reading_FLA[], COLUMN(INDIRECT("YES_Reading_FLA[Instructional Reading Level - Per "&amp;VLOOKUP($D$2, 'Reading Report Logic'!$A$2:$B$8, 2, FALSE)&amp;"]")),FALSE)="", "", VLOOKUP($A701,YES_Reading_FLA[],COLUMN(INDIRECT("YES_Reading_FLA[Instructional Reading Level - Per "&amp;VLOOKUP($D$2, 'Reading Report Logic'!$A$2:$B$8, 2, FALSE)&amp;"]")),FALSE))),""))),"")</f>
        <v/>
      </c>
      <c r="E701" s="205" t="str" cm="1">
        <f t="array" aca="1" ref="E701" ca="1">IFERROR(
IF($J$2="ELA",
IF(VLOOKUP($A701, YES_Reading_ELA[], COLUMN(INDIRECT("YES_Reading_ELA[Min Expectation - Per "&amp;VLOOKUP($D$2, 'Reading Report Logic'!$A$2:$B$8, 2, FALSE)&amp;"]")), FALSE)="", "",
VLOOKUP($A701,YES_Reading_ELA[], COLUMN(INDIRECT("YES_Reading_ELA[Min Expectation - Per "&amp;VLOOKUP($D$2,'Reading Report Logic'!$A$2:$B$8,2,FALSE)&amp;"]")), FALSE)),
IF($J$2="FLA",
IF(VLOOKUP($A701, YES_Reading_FLA[], COLUMN(INDIRECT("YES_Reading_FLA[Min Expectation - Per "&amp;VLOOKUP($D$2,'Reading Report Logic'!$A$2:$B$8,2,FALSE)&amp;"]")),FALSE)="","",
VLOOKUP($A701,YES_Reading_FLA[],COLUMN(INDIRECT("YES_Reading_FLA[Min Expectation - Per "&amp;VLOOKUP($D$2,'Reading Report Logic'!$A$2:$B$8,2,FALSE)&amp;"]")),FALSE)),
IF($J$2="Combined",
IFERROR(
IF(VLOOKUP($A701, YES_Reading_ELA[], COLUMN(INDIRECT("YES_Reading_ELA[Min Expectation - Per "&amp;VLOOKUP($D$2, 'Reading Report Logic'!$A$2:$B$8,2,FALSE)&amp;"]")), FALSE)="", "",
VLOOKUP($A701,YES_Reading_ELA[],COLUMN(INDIRECT("YES_Reading_ELA[Min Expectation - Per "&amp;VLOOKUP($D$2,'Reading Report Logic'!$A$2:$B$8,2,FALSE)&amp;"]")),FALSE)),
IF(VLOOKUP($A701, YES_Reading_FLA[], COLUMN(INDIRECT("YES_Reading_FLA[Min Expectation - Per "&amp;VLOOKUP($D$2, 'Reading Report Logic'!$A$2:$B$8, 2, FALSE)&amp;"]")),FALSE)="", "", VLOOKUP($A701,YES_Reading_FLA[],COLUMN(INDIRECT("YES_Reading_FLA[Min Expectation - Per "&amp;VLOOKUP($D$2, 'Reading Report Logic'!$A$2:$B$8, 2, FALSE)&amp;"]")),FALSE))),""))),"")</f>
        <v/>
      </c>
      <c r="F701" s="205" t="str" cm="1">
        <f t="array" aca="1" ref="F701" ca="1">IFERROR(
IF($J$2="ELA",
IF(VLOOKUP($A701, YES_Reading_ELA[], COLUMN(INDIRECT("YES_Reading_ELA[Max Expectation - Per "&amp;VLOOKUP($D$2, 'Reading Report Logic'!$A$2:$B$8, 2, FALSE)&amp;"]")), FALSE)="", "",
VLOOKUP($A701,YES_Reading_ELA[], COLUMN(INDIRECT("YES_Reading_ELA[Max Expectation - Per "&amp;VLOOKUP($D$2,'Reading Report Logic'!$A$2:$B$8,2,FALSE)&amp;"]")), FALSE)),
IF($J$2="FLA",
IF(VLOOKUP($A701, YES_Reading_FLA[], COLUMN(INDIRECT("YES_Reading_FLA[Max Expectation - Per "&amp;VLOOKUP($D$2,'Reading Report Logic'!$A$2:$B$8,2,FALSE)&amp;"]")),FALSE)="","",
VLOOKUP($A701,YES_Reading_FLA[],COLUMN(INDIRECT("YES_Reading_FLA[Max Expectation - Per "&amp;VLOOKUP($D$2,'Reading Report Logic'!$A$2:$B$8,2,FALSE)&amp;"]")),FALSE)),
IF($J$2="Combined",
IFERROR(
IF(VLOOKUP($A701, YES_Reading_ELA[], COLUMN(INDIRECT("YES_Reading_ELA[Max Expectation - Per "&amp;VLOOKUP($D$2, 'Reading Report Logic'!$A$2:$B$8,2,FALSE)&amp;"]")), FALSE)="", "",
VLOOKUP($A701,YES_Reading_ELA[],COLUMN(INDIRECT("YES_Reading_ELA[Max Expectation - Per "&amp;VLOOKUP($D$2,'Reading Report Logic'!$A$2:$B$8,2,FALSE)&amp;"]")),FALSE)),
IF(VLOOKUP($A701, YES_Reading_FLA[], COLUMN(INDIRECT("YES_Reading_FLA[Max Expectation - Per "&amp;VLOOKUP($D$2, 'Reading Report Logic'!$A$2:$B$8, 2, FALSE)&amp;"]")),FALSE)="", "", VLOOKUP($A701,YES_Reading_FLA[],COLUMN(INDIRECT("YES_Reading_FLA[Max Expectation - Per "&amp;VLOOKUP($D$2, 'Reading Report Logic'!$A$2:$B$8, 2, FALSE)&amp;"]")),FALSE))),""))),"")</f>
        <v/>
      </c>
      <c r="G701" s="205" t="str" cm="1">
        <f t="array" aca="1" ref="G701" ca="1">IFERROR(
IF($J$2="ELA",
IF(VLOOKUP($A701, YES_Reading_ELA[], COLUMN(INDIRECT("YES_Reading_ELA[Difference - Per "&amp;VLOOKUP($D$2, 'Reading Report Logic'!$A$2:$B$8, 2, FALSE)&amp;"]")), FALSE)="", "",
VLOOKUP($A701,YES_Reading_ELA[], COLUMN(INDIRECT("YES_Reading_ELA[Difference - Per "&amp;VLOOKUP($D$2,'Reading Report Logic'!$A$2:$B$8,2,FALSE)&amp;"]")), FALSE)),
IF($J$2="FLA",
IF(VLOOKUP($A701, YES_Reading_FLA[], COLUMN(INDIRECT("YES_Reading_FLA[Difference - Per "&amp;VLOOKUP($D$2,'Reading Report Logic'!$A$2:$B$8,2,FALSE)&amp;"]")),FALSE)="","",
VLOOKUP($A701,YES_Reading_FLA[],COLUMN(INDIRECT("YES_Reading_FLA[Difference - Per "&amp;VLOOKUP($D$2,'Reading Report Logic'!$A$2:$B$8,2,FALSE)&amp;"]")),FALSE)),
IF($J$2="Combined",
IFERROR(
IF(VLOOKUP($A701, YES_Reading_ELA[], COLUMN(INDIRECT("YES_Reading_ELA[Difference - Per "&amp;VLOOKUP($D$2, 'Reading Report Logic'!$A$2:$B$8,2,FALSE)&amp;"]")), FALSE)="", "",
VLOOKUP($A701,YES_Reading_ELA[],COLUMN(INDIRECT("YES_Reading_ELA[Difference - Per "&amp;VLOOKUP($D$2,'Reading Report Logic'!$A$2:$B$8,2,FALSE)&amp;"]")),FALSE)),
IF(VLOOKUP($A701, YES_Reading_FLA[], COLUMN(INDIRECT("YES_Reading_FLA[Difference - Per "&amp;VLOOKUP($D$2, 'Reading Report Logic'!$A$2:$B$8, 2, FALSE)&amp;"]")),FALSE)="", "", VLOOKUP($A701,YES_Reading_FLA[],COLUMN(INDIRECT("YES_Reading_FLA[Difference - Per "&amp;VLOOKUP($D$2, 'Reading Report Logic'!$A$2:$B$8, 2, FALSE)&amp;"]")),FALSE))),""))),"")</f>
        <v/>
      </c>
      <c r="H701" s="206" t="str">
        <f ca="1">IFERROR(VLOOKUP('Teacher Reading Pull Sheets'!$D701,_xlfn.VSTACK('ELA Reading Logic'!$A$22:$B$48,'FLA Reading Logic'!$A$22:$B$53),2,FALSE)-VLOOKUP('Teacher Reading Pull Sheets'!$C701,_xlfn.VSTACK('ELA Reading Logic'!$A$22:$B$48,'FLA Reading Logic'!$A$22:$B$53),2,FALSE),"")</f>
        <v/>
      </c>
      <c r="I701" s="212"/>
      <c r="J701" s="206"/>
      <c r="K701" s="197" t="str" cm="1">
        <f t="array" ref="K701">IFERROR(
IF($J$2="ELA",
IF(VLOOKUP($A701, YES_Reading_ELA[], COLUMN(YES_Reading_ELA[Self-Identified as African Descent]), FALSE)="", "",
VLOOKUP($A701,YES_Reading_ELA[], COLUMN(YES_Reading_ELA[Self-Identified as African Descent]), FALSE)),
IF($J$2="FLA",
IF(VLOOKUP($A701, YES_Reading_FLA[], COLUMN(YES_Reading_FLA[Self-Identified as African Descent]),FALSE)="","",
VLOOKUP($A701,YES_Reading_FLA[],COLUMN(YES_Reading_FLA[Self-Identified as African Descent]),FALSE)),
IF($J$2="Combined",
IFERROR(
IF(VLOOKUP($A701, YES_Reading_ELA[], COLUMN(YES_Reading_ELA[Self-Identified as African Descent]), FALSE)="", "",
VLOOKUP($A701,YES_Reading_ELA[],COLUMN(YES_Reading_ELA[Self-Identified as African Descent]),FALSE)),
IF(VLOOKUP($A701, YES_Reading_FLA[], COLUMN(YES_Reading_FLA[Self-Identified as African Descent]),FALSE)="", "", VLOOKUP($A701,YES_Reading_FLA[],COLUMN(YES_Reading_FLA[Self-Identified as African Descent]),FALSE))),""))),"")</f>
        <v/>
      </c>
      <c r="L701" s="73" t="str" cm="1">
        <f t="array" ref="L701">IFERROR(
IF($J$2="ELA",
IF(VLOOKUP($A701, YES_Reading_ELA[], COLUMN(YES_Reading_ELA[Self-Identified as Indigenous]), FALSE)="", "",
VLOOKUP($A701,YES_Reading_ELA[], COLUMN(YES_Reading_ELA[Self-Identified as Indigenous]), FALSE)),
IF($J$2="FLA",
IF(VLOOKUP($A701, YES_Reading_FLA[], COLUMN(YES_Reading_FLA[Self-Identified as Indigenous]),FALSE)="","",
VLOOKUP($A701,YES_Reading_FLA[],COLUMN(YES_Reading_FLA[Self-Identified as Indigenous]),FALSE)),
IF($J$2="Combined",
IFERROR(
IF(VLOOKUP($A701, YES_Reading_ELA[], COLUMN(YES_Reading_ELA[Self-Identified as Indigenous]), FALSE)="", "",
VLOOKUP($A701,YES_Reading_ELA[],COLUMN(YES_Reading_ELA[Self-Identified as Indigenous]),FALSE)),
IF(VLOOKUP($A701, YES_Reading_FLA[], COLUMN(YES_Reading_FLA[Self-Identified as Indigenous]),FALSE)="", "", VLOOKUP($A701,YES_Reading_FLA[],COLUMN(YES_Reading_FLA[Self-Identified as Indigenous]),FALSE))),""))),"")</f>
        <v/>
      </c>
    </row>
    <row r="702" spans="1:12" ht="19.5" customHeight="1" x14ac:dyDescent="0.25">
      <c r="A702" s="217"/>
      <c r="B702" s="220" t="str">
        <f>IFERROR(VLOOKUP(A702,_xlfn.VSTACK(YES_Reading_ELA[],YES_Reading_FLA[]),2,FALSE),"")</f>
        <v/>
      </c>
      <c r="C702" s="203" t="str" cm="1">
        <f t="array" aca="1" ref="C702" ca="1">IFERROR(
IF($J$2="ELA",
IF(VLOOKUP($A702, YES_Reading_ELA[], COLUMN(IF(VLOOKUP($D$2, 'Reading Report Logic'!$A$2:$B$8, 2, FALSE)=1, YES_Reading_ELA[Reading Level June of Previous School Year], INDIRECT("YES_Reading_ELA[Instructional Reading Level - Per "&amp;(VLOOKUP($D$2,'Reading Report Logic'!$A$2:$B$8,2,FALSE)-1)&amp;"]"))), FALSE)="", "",
VLOOKUP($A702,YES_Reading_ELA[], COLUMN(IF(VLOOKUP($D$2,'Reading Report Logic'!$A$2:$B$8,2,FALSE)=1, YES_Reading_ELA[Reading Level June of Previous School Year],INDIRECT("YES_Reading_ELA[Instructional Reading Level - Per "&amp;(VLOOKUP($D$2,'Reading Report Logic'!$A$2:$B$8,2,FALSE)-1)&amp;"]"))), FALSE)),
IF($J$2="FLA",
IF(VLOOKUP($A702, YES_Reading_FLA[], COLUMN(IF(VLOOKUP($D$2,'Reading Report Logic'!$A$2:$B$8,2,FALSE)=1, YES_Reading_FLA[Reading Level June of Previous School Year],INDIRECT("YES_Reading_FLA[Instructional Reading Level - Per "&amp;(VLOOKUP($D$2,'Reading Report Logic'!$A$2:$B$8,2,FALSE)-1)&amp;"]"))),FALSE)="","",
VLOOKUP($A702,YES_Reading_FLA[], COLUMN(IF(VLOOKUP($D$2,'Reading Report Logic'!$A$2:$B$8,2,FALSE)=1, YES_Reading_FLA[Reading Level June of Previous School Year],INDIRECT("YES_Reading_FLA[Instructional Reading Level - Per "&amp;(VLOOKUP($D$2,'Reading Report Logic'!$A$2:$B$8,2,FALSE)-1)&amp;"]"))),FALSE)),
IF($J$2="Combined",
IFERROR(
IF(VLOOKUP($A702, YES_Reading_ELA[], COLUMN(IF(VLOOKUP($D$2,'Reading Report Logic'!$A$2:$B$8,2,FALSE)=1, YES_Reading_ELA[Reading Level June of Previous School Year],INDIRECT("YES_Reading_ELA[Instructional Reading Level - Per "&amp;(VLOOKUP($D$2,'Reading Report Logic'!$A$2:$B$8,2,FALSE)-1)&amp;"]"))), FALSE)="", "",
VLOOKUP($A702,YES_Reading_ELA[],COLUMN(IF(VLOOKUP($D$2,'Reading Report Logic'!$A$2:$B$8,2,FALSE)=1, YES_Reading_ELA[Reading Level June of Previous School Year],INDIRECT("YES_Reading_ELA[Instructional Reading Level - Per "&amp;(VLOOKUP($D$2,'Reading Report Logic'!$A$2:$B$8,2,FALSE)-1)&amp;"]"))),FALSE)),
IF(VLOOKUP($A702, YES_Reading_FLA[], COLUMN(IF(VLOOKUP($D$2,'Reading Report Logic'!$A$2:$B$8,2,FALSE)=1, YES_Reading_FLA[Reading Level June of Previous School Year],INDIRECT("YES_Reading_FLA[Instructional Reading Level - Per "&amp;(VLOOKUP($D$2,'Reading Report Logic'!$A$2:$B$8,2,FALSE)-1)&amp;"]"))),FALSE)="", "", VLOOKUP($A702,YES_Reading_FLA[],COLUMN(IF(VLOOKUP($D$2,'Reading Report Logic'!$A$2:$B$8,2,FALSE)=1, YES_Reading_FLA[Reading Level June of Previous School Year],INDIRECT("YES_Reading_FLA[Instructional Reading Level - Per "&amp;(VLOOKUP($D$2,'Reading Report Logic'!$A$2:$B$8,2,FALSE)-1)&amp;"]"))), FALSE))),""))),"")</f>
        <v/>
      </c>
      <c r="D702" s="204" t="str" cm="1">
        <f t="array" aca="1" ref="D702" ca="1">IFERROR(
IF($J$2="ELA",
IF(VLOOKUP($A702, YES_Reading_ELA[], COLUMN(INDIRECT("YES_Reading_ELA[Instructional Reading Level - Per "&amp;VLOOKUP($D$2, 'Reading Report Logic'!$A$2:$B$8, 2, FALSE)&amp;"]")), FALSE)="", "",
VLOOKUP($A702,YES_Reading_ELA[], COLUMN(INDIRECT("YES_Reading_ELA[Instructional Reading Level - Per "&amp;VLOOKUP($D$2,'Reading Report Logic'!$A$2:$B$8,2,FALSE)&amp;"]")), FALSE)),
IF($J$2="FLA",
IF(VLOOKUP($A702, YES_Reading_FLA[], COLUMN(INDIRECT("YES_Reading_FLA[Instructional Reading Level - Per "&amp;VLOOKUP($D$2,'Reading Report Logic'!$A$2:$B$8,2,FALSE)&amp;"]")),FALSE)="","",
VLOOKUP($A702,YES_Reading_FLA[],COLUMN(INDIRECT("YES_Reading_FLA[Instructional Reading Level - Per "&amp;VLOOKUP($D$2,'Reading Report Logic'!$A$2:$B$8,2,FALSE)&amp;"]")),FALSE)),
IF($J$2="Combined",
IFERROR(
IF(VLOOKUP($A702, YES_Reading_ELA[], COLUMN(INDIRECT("YES_Reading_ELA[Instructional Reading Level - Per "&amp;VLOOKUP($D$2, 'Reading Report Logic'!$A$2:$B$8,2,FALSE)&amp;"]")), FALSE)="", "",
VLOOKUP($A702,YES_Reading_ELA[],COLUMN(INDIRECT("YES_Reading_ELA[Instructional Reading Level - Per "&amp;VLOOKUP($D$2,'Reading Report Logic'!$A$2:$B$8,2,FALSE)&amp;"]")),FALSE)),
IF(VLOOKUP($A702, YES_Reading_FLA[], COLUMN(INDIRECT("YES_Reading_FLA[Instructional Reading Level - Per "&amp;VLOOKUP($D$2, 'Reading Report Logic'!$A$2:$B$8, 2, FALSE)&amp;"]")),FALSE)="", "", VLOOKUP($A702,YES_Reading_FLA[],COLUMN(INDIRECT("YES_Reading_FLA[Instructional Reading Level - Per "&amp;VLOOKUP($D$2, 'Reading Report Logic'!$A$2:$B$8, 2, FALSE)&amp;"]")),FALSE))),""))),"")</f>
        <v/>
      </c>
      <c r="E702" s="205" t="str" cm="1">
        <f t="array" aca="1" ref="E702" ca="1">IFERROR(
IF($J$2="ELA",
IF(VLOOKUP($A702, YES_Reading_ELA[], COLUMN(INDIRECT("YES_Reading_ELA[Min Expectation - Per "&amp;VLOOKUP($D$2, 'Reading Report Logic'!$A$2:$B$8, 2, FALSE)&amp;"]")), FALSE)="", "",
VLOOKUP($A702,YES_Reading_ELA[], COLUMN(INDIRECT("YES_Reading_ELA[Min Expectation - Per "&amp;VLOOKUP($D$2,'Reading Report Logic'!$A$2:$B$8,2,FALSE)&amp;"]")), FALSE)),
IF($J$2="FLA",
IF(VLOOKUP($A702, YES_Reading_FLA[], COLUMN(INDIRECT("YES_Reading_FLA[Min Expectation - Per "&amp;VLOOKUP($D$2,'Reading Report Logic'!$A$2:$B$8,2,FALSE)&amp;"]")),FALSE)="","",
VLOOKUP($A702,YES_Reading_FLA[],COLUMN(INDIRECT("YES_Reading_FLA[Min Expectation - Per "&amp;VLOOKUP($D$2,'Reading Report Logic'!$A$2:$B$8,2,FALSE)&amp;"]")),FALSE)),
IF($J$2="Combined",
IFERROR(
IF(VLOOKUP($A702, YES_Reading_ELA[], COLUMN(INDIRECT("YES_Reading_ELA[Min Expectation - Per "&amp;VLOOKUP($D$2, 'Reading Report Logic'!$A$2:$B$8,2,FALSE)&amp;"]")), FALSE)="", "",
VLOOKUP($A702,YES_Reading_ELA[],COLUMN(INDIRECT("YES_Reading_ELA[Min Expectation - Per "&amp;VLOOKUP($D$2,'Reading Report Logic'!$A$2:$B$8,2,FALSE)&amp;"]")),FALSE)),
IF(VLOOKUP($A702, YES_Reading_FLA[], COLUMN(INDIRECT("YES_Reading_FLA[Min Expectation - Per "&amp;VLOOKUP($D$2, 'Reading Report Logic'!$A$2:$B$8, 2, FALSE)&amp;"]")),FALSE)="", "", VLOOKUP($A702,YES_Reading_FLA[],COLUMN(INDIRECT("YES_Reading_FLA[Min Expectation - Per "&amp;VLOOKUP($D$2, 'Reading Report Logic'!$A$2:$B$8, 2, FALSE)&amp;"]")),FALSE))),""))),"")</f>
        <v/>
      </c>
      <c r="F702" s="205" t="str" cm="1">
        <f t="array" aca="1" ref="F702" ca="1">IFERROR(
IF($J$2="ELA",
IF(VLOOKUP($A702, YES_Reading_ELA[], COLUMN(INDIRECT("YES_Reading_ELA[Max Expectation - Per "&amp;VLOOKUP($D$2, 'Reading Report Logic'!$A$2:$B$8, 2, FALSE)&amp;"]")), FALSE)="", "",
VLOOKUP($A702,YES_Reading_ELA[], COLUMN(INDIRECT("YES_Reading_ELA[Max Expectation - Per "&amp;VLOOKUP($D$2,'Reading Report Logic'!$A$2:$B$8,2,FALSE)&amp;"]")), FALSE)),
IF($J$2="FLA",
IF(VLOOKUP($A702, YES_Reading_FLA[], COLUMN(INDIRECT("YES_Reading_FLA[Max Expectation - Per "&amp;VLOOKUP($D$2,'Reading Report Logic'!$A$2:$B$8,2,FALSE)&amp;"]")),FALSE)="","",
VLOOKUP($A702,YES_Reading_FLA[],COLUMN(INDIRECT("YES_Reading_FLA[Max Expectation - Per "&amp;VLOOKUP($D$2,'Reading Report Logic'!$A$2:$B$8,2,FALSE)&amp;"]")),FALSE)),
IF($J$2="Combined",
IFERROR(
IF(VLOOKUP($A702, YES_Reading_ELA[], COLUMN(INDIRECT("YES_Reading_ELA[Max Expectation - Per "&amp;VLOOKUP($D$2, 'Reading Report Logic'!$A$2:$B$8,2,FALSE)&amp;"]")), FALSE)="", "",
VLOOKUP($A702,YES_Reading_ELA[],COLUMN(INDIRECT("YES_Reading_ELA[Max Expectation - Per "&amp;VLOOKUP($D$2,'Reading Report Logic'!$A$2:$B$8,2,FALSE)&amp;"]")),FALSE)),
IF(VLOOKUP($A702, YES_Reading_FLA[], COLUMN(INDIRECT("YES_Reading_FLA[Max Expectation - Per "&amp;VLOOKUP($D$2, 'Reading Report Logic'!$A$2:$B$8, 2, FALSE)&amp;"]")),FALSE)="", "", VLOOKUP($A702,YES_Reading_FLA[],COLUMN(INDIRECT("YES_Reading_FLA[Max Expectation - Per "&amp;VLOOKUP($D$2, 'Reading Report Logic'!$A$2:$B$8, 2, FALSE)&amp;"]")),FALSE))),""))),"")</f>
        <v/>
      </c>
      <c r="G702" s="205" t="str" cm="1">
        <f t="array" aca="1" ref="G702" ca="1">IFERROR(
IF($J$2="ELA",
IF(VLOOKUP($A702, YES_Reading_ELA[], COLUMN(INDIRECT("YES_Reading_ELA[Difference - Per "&amp;VLOOKUP($D$2, 'Reading Report Logic'!$A$2:$B$8, 2, FALSE)&amp;"]")), FALSE)="", "",
VLOOKUP($A702,YES_Reading_ELA[], COLUMN(INDIRECT("YES_Reading_ELA[Difference - Per "&amp;VLOOKUP($D$2,'Reading Report Logic'!$A$2:$B$8,2,FALSE)&amp;"]")), FALSE)),
IF($J$2="FLA",
IF(VLOOKUP($A702, YES_Reading_FLA[], COLUMN(INDIRECT("YES_Reading_FLA[Difference - Per "&amp;VLOOKUP($D$2,'Reading Report Logic'!$A$2:$B$8,2,FALSE)&amp;"]")),FALSE)="","",
VLOOKUP($A702,YES_Reading_FLA[],COLUMN(INDIRECT("YES_Reading_FLA[Difference - Per "&amp;VLOOKUP($D$2,'Reading Report Logic'!$A$2:$B$8,2,FALSE)&amp;"]")),FALSE)),
IF($J$2="Combined",
IFERROR(
IF(VLOOKUP($A702, YES_Reading_ELA[], COLUMN(INDIRECT("YES_Reading_ELA[Difference - Per "&amp;VLOOKUP($D$2, 'Reading Report Logic'!$A$2:$B$8,2,FALSE)&amp;"]")), FALSE)="", "",
VLOOKUP($A702,YES_Reading_ELA[],COLUMN(INDIRECT("YES_Reading_ELA[Difference - Per "&amp;VLOOKUP($D$2,'Reading Report Logic'!$A$2:$B$8,2,FALSE)&amp;"]")),FALSE)),
IF(VLOOKUP($A702, YES_Reading_FLA[], COLUMN(INDIRECT("YES_Reading_FLA[Difference - Per "&amp;VLOOKUP($D$2, 'Reading Report Logic'!$A$2:$B$8, 2, FALSE)&amp;"]")),FALSE)="", "", VLOOKUP($A702,YES_Reading_FLA[],COLUMN(INDIRECT("YES_Reading_FLA[Difference - Per "&amp;VLOOKUP($D$2, 'Reading Report Logic'!$A$2:$B$8, 2, FALSE)&amp;"]")),FALSE))),""))),"")</f>
        <v/>
      </c>
      <c r="H702" s="206" t="str">
        <f ca="1">IFERROR(VLOOKUP('Teacher Reading Pull Sheets'!$D702,_xlfn.VSTACK('ELA Reading Logic'!$A$22:$B$48,'FLA Reading Logic'!$A$22:$B$53),2,FALSE)-VLOOKUP('Teacher Reading Pull Sheets'!$C702,_xlfn.VSTACK('ELA Reading Logic'!$A$22:$B$48,'FLA Reading Logic'!$A$22:$B$53),2,FALSE),"")</f>
        <v/>
      </c>
      <c r="I702" s="212"/>
      <c r="J702" s="206"/>
      <c r="K702" s="197" t="str" cm="1">
        <f t="array" ref="K702">IFERROR(
IF($J$2="ELA",
IF(VLOOKUP($A702, YES_Reading_ELA[], COLUMN(YES_Reading_ELA[Self-Identified as African Descent]), FALSE)="", "",
VLOOKUP($A702,YES_Reading_ELA[], COLUMN(YES_Reading_ELA[Self-Identified as African Descent]), FALSE)),
IF($J$2="FLA",
IF(VLOOKUP($A702, YES_Reading_FLA[], COLUMN(YES_Reading_FLA[Self-Identified as African Descent]),FALSE)="","",
VLOOKUP($A702,YES_Reading_FLA[],COLUMN(YES_Reading_FLA[Self-Identified as African Descent]),FALSE)),
IF($J$2="Combined",
IFERROR(
IF(VLOOKUP($A702, YES_Reading_ELA[], COLUMN(YES_Reading_ELA[Self-Identified as African Descent]), FALSE)="", "",
VLOOKUP($A702,YES_Reading_ELA[],COLUMN(YES_Reading_ELA[Self-Identified as African Descent]),FALSE)),
IF(VLOOKUP($A702, YES_Reading_FLA[], COLUMN(YES_Reading_FLA[Self-Identified as African Descent]),FALSE)="", "", VLOOKUP($A702,YES_Reading_FLA[],COLUMN(YES_Reading_FLA[Self-Identified as African Descent]),FALSE))),""))),"")</f>
        <v/>
      </c>
      <c r="L702" s="73" t="str" cm="1">
        <f t="array" ref="L702">IFERROR(
IF($J$2="ELA",
IF(VLOOKUP($A702, YES_Reading_ELA[], COLUMN(YES_Reading_ELA[Self-Identified as Indigenous]), FALSE)="", "",
VLOOKUP($A702,YES_Reading_ELA[], COLUMN(YES_Reading_ELA[Self-Identified as Indigenous]), FALSE)),
IF($J$2="FLA",
IF(VLOOKUP($A702, YES_Reading_FLA[], COLUMN(YES_Reading_FLA[Self-Identified as Indigenous]),FALSE)="","",
VLOOKUP($A702,YES_Reading_FLA[],COLUMN(YES_Reading_FLA[Self-Identified as Indigenous]),FALSE)),
IF($J$2="Combined",
IFERROR(
IF(VLOOKUP($A702, YES_Reading_ELA[], COLUMN(YES_Reading_ELA[Self-Identified as Indigenous]), FALSE)="", "",
VLOOKUP($A702,YES_Reading_ELA[],COLUMN(YES_Reading_ELA[Self-Identified as Indigenous]),FALSE)),
IF(VLOOKUP($A702, YES_Reading_FLA[], COLUMN(YES_Reading_FLA[Self-Identified as Indigenous]),FALSE)="", "", VLOOKUP($A702,YES_Reading_FLA[],COLUMN(YES_Reading_FLA[Self-Identified as Indigenous]),FALSE))),""))),"")</f>
        <v/>
      </c>
    </row>
    <row r="703" spans="1:12" ht="19.5" customHeight="1" x14ac:dyDescent="0.25">
      <c r="A703" s="217"/>
      <c r="B703" s="220" t="str">
        <f>IFERROR(VLOOKUP(A703,_xlfn.VSTACK(YES_Reading_ELA[],YES_Reading_FLA[]),2,FALSE),"")</f>
        <v/>
      </c>
      <c r="C703" s="203" t="str" cm="1">
        <f t="array" aca="1" ref="C703" ca="1">IFERROR(
IF($J$2="ELA",
IF(VLOOKUP($A703, YES_Reading_ELA[], COLUMN(IF(VLOOKUP($D$2, 'Reading Report Logic'!$A$2:$B$8, 2, FALSE)=1, YES_Reading_ELA[Reading Level June of Previous School Year], INDIRECT("YES_Reading_ELA[Instructional Reading Level - Per "&amp;(VLOOKUP($D$2,'Reading Report Logic'!$A$2:$B$8,2,FALSE)-1)&amp;"]"))), FALSE)="", "",
VLOOKUP($A703,YES_Reading_ELA[], COLUMN(IF(VLOOKUP($D$2,'Reading Report Logic'!$A$2:$B$8,2,FALSE)=1, YES_Reading_ELA[Reading Level June of Previous School Year],INDIRECT("YES_Reading_ELA[Instructional Reading Level - Per "&amp;(VLOOKUP($D$2,'Reading Report Logic'!$A$2:$B$8,2,FALSE)-1)&amp;"]"))), FALSE)),
IF($J$2="FLA",
IF(VLOOKUP($A703, YES_Reading_FLA[], COLUMN(IF(VLOOKUP($D$2,'Reading Report Logic'!$A$2:$B$8,2,FALSE)=1, YES_Reading_FLA[Reading Level June of Previous School Year],INDIRECT("YES_Reading_FLA[Instructional Reading Level - Per "&amp;(VLOOKUP($D$2,'Reading Report Logic'!$A$2:$B$8,2,FALSE)-1)&amp;"]"))),FALSE)="","",
VLOOKUP($A703,YES_Reading_FLA[], COLUMN(IF(VLOOKUP($D$2,'Reading Report Logic'!$A$2:$B$8,2,FALSE)=1, YES_Reading_FLA[Reading Level June of Previous School Year],INDIRECT("YES_Reading_FLA[Instructional Reading Level - Per "&amp;(VLOOKUP($D$2,'Reading Report Logic'!$A$2:$B$8,2,FALSE)-1)&amp;"]"))),FALSE)),
IF($J$2="Combined",
IFERROR(
IF(VLOOKUP($A703, YES_Reading_ELA[], COLUMN(IF(VLOOKUP($D$2,'Reading Report Logic'!$A$2:$B$8,2,FALSE)=1, YES_Reading_ELA[Reading Level June of Previous School Year],INDIRECT("YES_Reading_ELA[Instructional Reading Level - Per "&amp;(VLOOKUP($D$2,'Reading Report Logic'!$A$2:$B$8,2,FALSE)-1)&amp;"]"))), FALSE)="", "",
VLOOKUP($A703,YES_Reading_ELA[],COLUMN(IF(VLOOKUP($D$2,'Reading Report Logic'!$A$2:$B$8,2,FALSE)=1, YES_Reading_ELA[Reading Level June of Previous School Year],INDIRECT("YES_Reading_ELA[Instructional Reading Level - Per "&amp;(VLOOKUP($D$2,'Reading Report Logic'!$A$2:$B$8,2,FALSE)-1)&amp;"]"))),FALSE)),
IF(VLOOKUP($A703, YES_Reading_FLA[], COLUMN(IF(VLOOKUP($D$2,'Reading Report Logic'!$A$2:$B$8,2,FALSE)=1, YES_Reading_FLA[Reading Level June of Previous School Year],INDIRECT("YES_Reading_FLA[Instructional Reading Level - Per "&amp;(VLOOKUP($D$2,'Reading Report Logic'!$A$2:$B$8,2,FALSE)-1)&amp;"]"))),FALSE)="", "", VLOOKUP($A703,YES_Reading_FLA[],COLUMN(IF(VLOOKUP($D$2,'Reading Report Logic'!$A$2:$B$8,2,FALSE)=1, YES_Reading_FLA[Reading Level June of Previous School Year],INDIRECT("YES_Reading_FLA[Instructional Reading Level - Per "&amp;(VLOOKUP($D$2,'Reading Report Logic'!$A$2:$B$8,2,FALSE)-1)&amp;"]"))), FALSE))),""))),"")</f>
        <v/>
      </c>
      <c r="D703" s="204" t="str" cm="1">
        <f t="array" aca="1" ref="D703" ca="1">IFERROR(
IF($J$2="ELA",
IF(VLOOKUP($A703, YES_Reading_ELA[], COLUMN(INDIRECT("YES_Reading_ELA[Instructional Reading Level - Per "&amp;VLOOKUP($D$2, 'Reading Report Logic'!$A$2:$B$8, 2, FALSE)&amp;"]")), FALSE)="", "",
VLOOKUP($A703,YES_Reading_ELA[], COLUMN(INDIRECT("YES_Reading_ELA[Instructional Reading Level - Per "&amp;VLOOKUP($D$2,'Reading Report Logic'!$A$2:$B$8,2,FALSE)&amp;"]")), FALSE)),
IF($J$2="FLA",
IF(VLOOKUP($A703, YES_Reading_FLA[], COLUMN(INDIRECT("YES_Reading_FLA[Instructional Reading Level - Per "&amp;VLOOKUP($D$2,'Reading Report Logic'!$A$2:$B$8,2,FALSE)&amp;"]")),FALSE)="","",
VLOOKUP($A703,YES_Reading_FLA[],COLUMN(INDIRECT("YES_Reading_FLA[Instructional Reading Level - Per "&amp;VLOOKUP($D$2,'Reading Report Logic'!$A$2:$B$8,2,FALSE)&amp;"]")),FALSE)),
IF($J$2="Combined",
IFERROR(
IF(VLOOKUP($A703, YES_Reading_ELA[], COLUMN(INDIRECT("YES_Reading_ELA[Instructional Reading Level - Per "&amp;VLOOKUP($D$2, 'Reading Report Logic'!$A$2:$B$8,2,FALSE)&amp;"]")), FALSE)="", "",
VLOOKUP($A703,YES_Reading_ELA[],COLUMN(INDIRECT("YES_Reading_ELA[Instructional Reading Level - Per "&amp;VLOOKUP($D$2,'Reading Report Logic'!$A$2:$B$8,2,FALSE)&amp;"]")),FALSE)),
IF(VLOOKUP($A703, YES_Reading_FLA[], COLUMN(INDIRECT("YES_Reading_FLA[Instructional Reading Level - Per "&amp;VLOOKUP($D$2, 'Reading Report Logic'!$A$2:$B$8, 2, FALSE)&amp;"]")),FALSE)="", "", VLOOKUP($A703,YES_Reading_FLA[],COLUMN(INDIRECT("YES_Reading_FLA[Instructional Reading Level - Per "&amp;VLOOKUP($D$2, 'Reading Report Logic'!$A$2:$B$8, 2, FALSE)&amp;"]")),FALSE))),""))),"")</f>
        <v/>
      </c>
      <c r="E703" s="205" t="str" cm="1">
        <f t="array" aca="1" ref="E703" ca="1">IFERROR(
IF($J$2="ELA",
IF(VLOOKUP($A703, YES_Reading_ELA[], COLUMN(INDIRECT("YES_Reading_ELA[Min Expectation - Per "&amp;VLOOKUP($D$2, 'Reading Report Logic'!$A$2:$B$8, 2, FALSE)&amp;"]")), FALSE)="", "",
VLOOKUP($A703,YES_Reading_ELA[], COLUMN(INDIRECT("YES_Reading_ELA[Min Expectation - Per "&amp;VLOOKUP($D$2,'Reading Report Logic'!$A$2:$B$8,2,FALSE)&amp;"]")), FALSE)),
IF($J$2="FLA",
IF(VLOOKUP($A703, YES_Reading_FLA[], COLUMN(INDIRECT("YES_Reading_FLA[Min Expectation - Per "&amp;VLOOKUP($D$2,'Reading Report Logic'!$A$2:$B$8,2,FALSE)&amp;"]")),FALSE)="","",
VLOOKUP($A703,YES_Reading_FLA[],COLUMN(INDIRECT("YES_Reading_FLA[Min Expectation - Per "&amp;VLOOKUP($D$2,'Reading Report Logic'!$A$2:$B$8,2,FALSE)&amp;"]")),FALSE)),
IF($J$2="Combined",
IFERROR(
IF(VLOOKUP($A703, YES_Reading_ELA[], COLUMN(INDIRECT("YES_Reading_ELA[Min Expectation - Per "&amp;VLOOKUP($D$2, 'Reading Report Logic'!$A$2:$B$8,2,FALSE)&amp;"]")), FALSE)="", "",
VLOOKUP($A703,YES_Reading_ELA[],COLUMN(INDIRECT("YES_Reading_ELA[Min Expectation - Per "&amp;VLOOKUP($D$2,'Reading Report Logic'!$A$2:$B$8,2,FALSE)&amp;"]")),FALSE)),
IF(VLOOKUP($A703, YES_Reading_FLA[], COLUMN(INDIRECT("YES_Reading_FLA[Min Expectation - Per "&amp;VLOOKUP($D$2, 'Reading Report Logic'!$A$2:$B$8, 2, FALSE)&amp;"]")),FALSE)="", "", VLOOKUP($A703,YES_Reading_FLA[],COLUMN(INDIRECT("YES_Reading_FLA[Min Expectation - Per "&amp;VLOOKUP($D$2, 'Reading Report Logic'!$A$2:$B$8, 2, FALSE)&amp;"]")),FALSE))),""))),"")</f>
        <v/>
      </c>
      <c r="F703" s="205" t="str" cm="1">
        <f t="array" aca="1" ref="F703" ca="1">IFERROR(
IF($J$2="ELA",
IF(VLOOKUP($A703, YES_Reading_ELA[], COLUMN(INDIRECT("YES_Reading_ELA[Max Expectation - Per "&amp;VLOOKUP($D$2, 'Reading Report Logic'!$A$2:$B$8, 2, FALSE)&amp;"]")), FALSE)="", "",
VLOOKUP($A703,YES_Reading_ELA[], COLUMN(INDIRECT("YES_Reading_ELA[Max Expectation - Per "&amp;VLOOKUP($D$2,'Reading Report Logic'!$A$2:$B$8,2,FALSE)&amp;"]")), FALSE)),
IF($J$2="FLA",
IF(VLOOKUP($A703, YES_Reading_FLA[], COLUMN(INDIRECT("YES_Reading_FLA[Max Expectation - Per "&amp;VLOOKUP($D$2,'Reading Report Logic'!$A$2:$B$8,2,FALSE)&amp;"]")),FALSE)="","",
VLOOKUP($A703,YES_Reading_FLA[],COLUMN(INDIRECT("YES_Reading_FLA[Max Expectation - Per "&amp;VLOOKUP($D$2,'Reading Report Logic'!$A$2:$B$8,2,FALSE)&amp;"]")),FALSE)),
IF($J$2="Combined",
IFERROR(
IF(VLOOKUP($A703, YES_Reading_ELA[], COLUMN(INDIRECT("YES_Reading_ELA[Max Expectation - Per "&amp;VLOOKUP($D$2, 'Reading Report Logic'!$A$2:$B$8,2,FALSE)&amp;"]")), FALSE)="", "",
VLOOKUP($A703,YES_Reading_ELA[],COLUMN(INDIRECT("YES_Reading_ELA[Max Expectation - Per "&amp;VLOOKUP($D$2,'Reading Report Logic'!$A$2:$B$8,2,FALSE)&amp;"]")),FALSE)),
IF(VLOOKUP($A703, YES_Reading_FLA[], COLUMN(INDIRECT("YES_Reading_FLA[Max Expectation - Per "&amp;VLOOKUP($D$2, 'Reading Report Logic'!$A$2:$B$8, 2, FALSE)&amp;"]")),FALSE)="", "", VLOOKUP($A703,YES_Reading_FLA[],COLUMN(INDIRECT("YES_Reading_FLA[Max Expectation - Per "&amp;VLOOKUP($D$2, 'Reading Report Logic'!$A$2:$B$8, 2, FALSE)&amp;"]")),FALSE))),""))),"")</f>
        <v/>
      </c>
      <c r="G703" s="205" t="str" cm="1">
        <f t="array" aca="1" ref="G703" ca="1">IFERROR(
IF($J$2="ELA",
IF(VLOOKUP($A703, YES_Reading_ELA[], COLUMN(INDIRECT("YES_Reading_ELA[Difference - Per "&amp;VLOOKUP($D$2, 'Reading Report Logic'!$A$2:$B$8, 2, FALSE)&amp;"]")), FALSE)="", "",
VLOOKUP($A703,YES_Reading_ELA[], COLUMN(INDIRECT("YES_Reading_ELA[Difference - Per "&amp;VLOOKUP($D$2,'Reading Report Logic'!$A$2:$B$8,2,FALSE)&amp;"]")), FALSE)),
IF($J$2="FLA",
IF(VLOOKUP($A703, YES_Reading_FLA[], COLUMN(INDIRECT("YES_Reading_FLA[Difference - Per "&amp;VLOOKUP($D$2,'Reading Report Logic'!$A$2:$B$8,2,FALSE)&amp;"]")),FALSE)="","",
VLOOKUP($A703,YES_Reading_FLA[],COLUMN(INDIRECT("YES_Reading_FLA[Difference - Per "&amp;VLOOKUP($D$2,'Reading Report Logic'!$A$2:$B$8,2,FALSE)&amp;"]")),FALSE)),
IF($J$2="Combined",
IFERROR(
IF(VLOOKUP($A703, YES_Reading_ELA[], COLUMN(INDIRECT("YES_Reading_ELA[Difference - Per "&amp;VLOOKUP($D$2, 'Reading Report Logic'!$A$2:$B$8,2,FALSE)&amp;"]")), FALSE)="", "",
VLOOKUP($A703,YES_Reading_ELA[],COLUMN(INDIRECT("YES_Reading_ELA[Difference - Per "&amp;VLOOKUP($D$2,'Reading Report Logic'!$A$2:$B$8,2,FALSE)&amp;"]")),FALSE)),
IF(VLOOKUP($A703, YES_Reading_FLA[], COLUMN(INDIRECT("YES_Reading_FLA[Difference - Per "&amp;VLOOKUP($D$2, 'Reading Report Logic'!$A$2:$B$8, 2, FALSE)&amp;"]")),FALSE)="", "", VLOOKUP($A703,YES_Reading_FLA[],COLUMN(INDIRECT("YES_Reading_FLA[Difference - Per "&amp;VLOOKUP($D$2, 'Reading Report Logic'!$A$2:$B$8, 2, FALSE)&amp;"]")),FALSE))),""))),"")</f>
        <v/>
      </c>
      <c r="H703" s="206" t="str">
        <f ca="1">IFERROR(VLOOKUP('Teacher Reading Pull Sheets'!$D703,_xlfn.VSTACK('ELA Reading Logic'!$A$22:$B$48,'FLA Reading Logic'!$A$22:$B$53),2,FALSE)-VLOOKUP('Teacher Reading Pull Sheets'!$C703,_xlfn.VSTACK('ELA Reading Logic'!$A$22:$B$48,'FLA Reading Logic'!$A$22:$B$53),2,FALSE),"")</f>
        <v/>
      </c>
      <c r="I703" s="212"/>
      <c r="J703" s="206"/>
      <c r="K703" s="197" t="str" cm="1">
        <f t="array" ref="K703">IFERROR(
IF($J$2="ELA",
IF(VLOOKUP($A703, YES_Reading_ELA[], COLUMN(YES_Reading_ELA[Self-Identified as African Descent]), FALSE)="", "",
VLOOKUP($A703,YES_Reading_ELA[], COLUMN(YES_Reading_ELA[Self-Identified as African Descent]), FALSE)),
IF($J$2="FLA",
IF(VLOOKUP($A703, YES_Reading_FLA[], COLUMN(YES_Reading_FLA[Self-Identified as African Descent]),FALSE)="","",
VLOOKUP($A703,YES_Reading_FLA[],COLUMN(YES_Reading_FLA[Self-Identified as African Descent]),FALSE)),
IF($J$2="Combined",
IFERROR(
IF(VLOOKUP($A703, YES_Reading_ELA[], COLUMN(YES_Reading_ELA[Self-Identified as African Descent]), FALSE)="", "",
VLOOKUP($A703,YES_Reading_ELA[],COLUMN(YES_Reading_ELA[Self-Identified as African Descent]),FALSE)),
IF(VLOOKUP($A703, YES_Reading_FLA[], COLUMN(YES_Reading_FLA[Self-Identified as African Descent]),FALSE)="", "", VLOOKUP($A703,YES_Reading_FLA[],COLUMN(YES_Reading_FLA[Self-Identified as African Descent]),FALSE))),""))),"")</f>
        <v/>
      </c>
      <c r="L703" s="73" t="str" cm="1">
        <f t="array" ref="L703">IFERROR(
IF($J$2="ELA",
IF(VLOOKUP($A703, YES_Reading_ELA[], COLUMN(YES_Reading_ELA[Self-Identified as Indigenous]), FALSE)="", "",
VLOOKUP($A703,YES_Reading_ELA[], COLUMN(YES_Reading_ELA[Self-Identified as Indigenous]), FALSE)),
IF($J$2="FLA",
IF(VLOOKUP($A703, YES_Reading_FLA[], COLUMN(YES_Reading_FLA[Self-Identified as Indigenous]),FALSE)="","",
VLOOKUP($A703,YES_Reading_FLA[],COLUMN(YES_Reading_FLA[Self-Identified as Indigenous]),FALSE)),
IF($J$2="Combined",
IFERROR(
IF(VLOOKUP($A703, YES_Reading_ELA[], COLUMN(YES_Reading_ELA[Self-Identified as Indigenous]), FALSE)="", "",
VLOOKUP($A703,YES_Reading_ELA[],COLUMN(YES_Reading_ELA[Self-Identified as Indigenous]),FALSE)),
IF(VLOOKUP($A703, YES_Reading_FLA[], COLUMN(YES_Reading_FLA[Self-Identified as Indigenous]),FALSE)="", "", VLOOKUP($A703,YES_Reading_FLA[],COLUMN(YES_Reading_FLA[Self-Identified as Indigenous]),FALSE))),""))),"")</f>
        <v/>
      </c>
    </row>
    <row r="704" spans="1:12" ht="19.5" customHeight="1" x14ac:dyDescent="0.25">
      <c r="A704" s="217"/>
      <c r="B704" s="220" t="str">
        <f>IFERROR(VLOOKUP(A704,_xlfn.VSTACK(YES_Reading_ELA[],YES_Reading_FLA[]),2,FALSE),"")</f>
        <v/>
      </c>
      <c r="C704" s="203" t="str" cm="1">
        <f t="array" aca="1" ref="C704" ca="1">IFERROR(
IF($J$2="ELA",
IF(VLOOKUP($A704, YES_Reading_ELA[], COLUMN(IF(VLOOKUP($D$2, 'Reading Report Logic'!$A$2:$B$8, 2, FALSE)=1, YES_Reading_ELA[Reading Level June of Previous School Year], INDIRECT("YES_Reading_ELA[Instructional Reading Level - Per "&amp;(VLOOKUP($D$2,'Reading Report Logic'!$A$2:$B$8,2,FALSE)-1)&amp;"]"))), FALSE)="", "",
VLOOKUP($A704,YES_Reading_ELA[], COLUMN(IF(VLOOKUP($D$2,'Reading Report Logic'!$A$2:$B$8,2,FALSE)=1, YES_Reading_ELA[Reading Level June of Previous School Year],INDIRECT("YES_Reading_ELA[Instructional Reading Level - Per "&amp;(VLOOKUP($D$2,'Reading Report Logic'!$A$2:$B$8,2,FALSE)-1)&amp;"]"))), FALSE)),
IF($J$2="FLA",
IF(VLOOKUP($A704, YES_Reading_FLA[], COLUMN(IF(VLOOKUP($D$2,'Reading Report Logic'!$A$2:$B$8,2,FALSE)=1, YES_Reading_FLA[Reading Level June of Previous School Year],INDIRECT("YES_Reading_FLA[Instructional Reading Level - Per "&amp;(VLOOKUP($D$2,'Reading Report Logic'!$A$2:$B$8,2,FALSE)-1)&amp;"]"))),FALSE)="","",
VLOOKUP($A704,YES_Reading_FLA[], COLUMN(IF(VLOOKUP($D$2,'Reading Report Logic'!$A$2:$B$8,2,FALSE)=1, YES_Reading_FLA[Reading Level June of Previous School Year],INDIRECT("YES_Reading_FLA[Instructional Reading Level - Per "&amp;(VLOOKUP($D$2,'Reading Report Logic'!$A$2:$B$8,2,FALSE)-1)&amp;"]"))),FALSE)),
IF($J$2="Combined",
IFERROR(
IF(VLOOKUP($A704, YES_Reading_ELA[], COLUMN(IF(VLOOKUP($D$2,'Reading Report Logic'!$A$2:$B$8,2,FALSE)=1, YES_Reading_ELA[Reading Level June of Previous School Year],INDIRECT("YES_Reading_ELA[Instructional Reading Level - Per "&amp;(VLOOKUP($D$2,'Reading Report Logic'!$A$2:$B$8,2,FALSE)-1)&amp;"]"))), FALSE)="", "",
VLOOKUP($A704,YES_Reading_ELA[],COLUMN(IF(VLOOKUP($D$2,'Reading Report Logic'!$A$2:$B$8,2,FALSE)=1, YES_Reading_ELA[Reading Level June of Previous School Year],INDIRECT("YES_Reading_ELA[Instructional Reading Level - Per "&amp;(VLOOKUP($D$2,'Reading Report Logic'!$A$2:$B$8,2,FALSE)-1)&amp;"]"))),FALSE)),
IF(VLOOKUP($A704, YES_Reading_FLA[], COLUMN(IF(VLOOKUP($D$2,'Reading Report Logic'!$A$2:$B$8,2,FALSE)=1, YES_Reading_FLA[Reading Level June of Previous School Year],INDIRECT("YES_Reading_FLA[Instructional Reading Level - Per "&amp;(VLOOKUP($D$2,'Reading Report Logic'!$A$2:$B$8,2,FALSE)-1)&amp;"]"))),FALSE)="", "", VLOOKUP($A704,YES_Reading_FLA[],COLUMN(IF(VLOOKUP($D$2,'Reading Report Logic'!$A$2:$B$8,2,FALSE)=1, YES_Reading_FLA[Reading Level June of Previous School Year],INDIRECT("YES_Reading_FLA[Instructional Reading Level - Per "&amp;(VLOOKUP($D$2,'Reading Report Logic'!$A$2:$B$8,2,FALSE)-1)&amp;"]"))), FALSE))),""))),"")</f>
        <v/>
      </c>
      <c r="D704" s="204" t="str" cm="1">
        <f t="array" aca="1" ref="D704" ca="1">IFERROR(
IF($J$2="ELA",
IF(VLOOKUP($A704, YES_Reading_ELA[], COLUMN(INDIRECT("YES_Reading_ELA[Instructional Reading Level - Per "&amp;VLOOKUP($D$2, 'Reading Report Logic'!$A$2:$B$8, 2, FALSE)&amp;"]")), FALSE)="", "",
VLOOKUP($A704,YES_Reading_ELA[], COLUMN(INDIRECT("YES_Reading_ELA[Instructional Reading Level - Per "&amp;VLOOKUP($D$2,'Reading Report Logic'!$A$2:$B$8,2,FALSE)&amp;"]")), FALSE)),
IF($J$2="FLA",
IF(VLOOKUP($A704, YES_Reading_FLA[], COLUMN(INDIRECT("YES_Reading_FLA[Instructional Reading Level - Per "&amp;VLOOKUP($D$2,'Reading Report Logic'!$A$2:$B$8,2,FALSE)&amp;"]")),FALSE)="","",
VLOOKUP($A704,YES_Reading_FLA[],COLUMN(INDIRECT("YES_Reading_FLA[Instructional Reading Level - Per "&amp;VLOOKUP($D$2,'Reading Report Logic'!$A$2:$B$8,2,FALSE)&amp;"]")),FALSE)),
IF($J$2="Combined",
IFERROR(
IF(VLOOKUP($A704, YES_Reading_ELA[], COLUMN(INDIRECT("YES_Reading_ELA[Instructional Reading Level - Per "&amp;VLOOKUP($D$2, 'Reading Report Logic'!$A$2:$B$8,2,FALSE)&amp;"]")), FALSE)="", "",
VLOOKUP($A704,YES_Reading_ELA[],COLUMN(INDIRECT("YES_Reading_ELA[Instructional Reading Level - Per "&amp;VLOOKUP($D$2,'Reading Report Logic'!$A$2:$B$8,2,FALSE)&amp;"]")),FALSE)),
IF(VLOOKUP($A704, YES_Reading_FLA[], COLUMN(INDIRECT("YES_Reading_FLA[Instructional Reading Level - Per "&amp;VLOOKUP($D$2, 'Reading Report Logic'!$A$2:$B$8, 2, FALSE)&amp;"]")),FALSE)="", "", VLOOKUP($A704,YES_Reading_FLA[],COLUMN(INDIRECT("YES_Reading_FLA[Instructional Reading Level - Per "&amp;VLOOKUP($D$2, 'Reading Report Logic'!$A$2:$B$8, 2, FALSE)&amp;"]")),FALSE))),""))),"")</f>
        <v/>
      </c>
      <c r="E704" s="205" t="str" cm="1">
        <f t="array" aca="1" ref="E704" ca="1">IFERROR(
IF($J$2="ELA",
IF(VLOOKUP($A704, YES_Reading_ELA[], COLUMN(INDIRECT("YES_Reading_ELA[Min Expectation - Per "&amp;VLOOKUP($D$2, 'Reading Report Logic'!$A$2:$B$8, 2, FALSE)&amp;"]")), FALSE)="", "",
VLOOKUP($A704,YES_Reading_ELA[], COLUMN(INDIRECT("YES_Reading_ELA[Min Expectation - Per "&amp;VLOOKUP($D$2,'Reading Report Logic'!$A$2:$B$8,2,FALSE)&amp;"]")), FALSE)),
IF($J$2="FLA",
IF(VLOOKUP($A704, YES_Reading_FLA[], COLUMN(INDIRECT("YES_Reading_FLA[Min Expectation - Per "&amp;VLOOKUP($D$2,'Reading Report Logic'!$A$2:$B$8,2,FALSE)&amp;"]")),FALSE)="","",
VLOOKUP($A704,YES_Reading_FLA[],COLUMN(INDIRECT("YES_Reading_FLA[Min Expectation - Per "&amp;VLOOKUP($D$2,'Reading Report Logic'!$A$2:$B$8,2,FALSE)&amp;"]")),FALSE)),
IF($J$2="Combined",
IFERROR(
IF(VLOOKUP($A704, YES_Reading_ELA[], COLUMN(INDIRECT("YES_Reading_ELA[Min Expectation - Per "&amp;VLOOKUP($D$2, 'Reading Report Logic'!$A$2:$B$8,2,FALSE)&amp;"]")), FALSE)="", "",
VLOOKUP($A704,YES_Reading_ELA[],COLUMN(INDIRECT("YES_Reading_ELA[Min Expectation - Per "&amp;VLOOKUP($D$2,'Reading Report Logic'!$A$2:$B$8,2,FALSE)&amp;"]")),FALSE)),
IF(VLOOKUP($A704, YES_Reading_FLA[], COLUMN(INDIRECT("YES_Reading_FLA[Min Expectation - Per "&amp;VLOOKUP($D$2, 'Reading Report Logic'!$A$2:$B$8, 2, FALSE)&amp;"]")),FALSE)="", "", VLOOKUP($A704,YES_Reading_FLA[],COLUMN(INDIRECT("YES_Reading_FLA[Min Expectation - Per "&amp;VLOOKUP($D$2, 'Reading Report Logic'!$A$2:$B$8, 2, FALSE)&amp;"]")),FALSE))),""))),"")</f>
        <v/>
      </c>
      <c r="F704" s="205" t="str" cm="1">
        <f t="array" aca="1" ref="F704" ca="1">IFERROR(
IF($J$2="ELA",
IF(VLOOKUP($A704, YES_Reading_ELA[], COLUMN(INDIRECT("YES_Reading_ELA[Max Expectation - Per "&amp;VLOOKUP($D$2, 'Reading Report Logic'!$A$2:$B$8, 2, FALSE)&amp;"]")), FALSE)="", "",
VLOOKUP($A704,YES_Reading_ELA[], COLUMN(INDIRECT("YES_Reading_ELA[Max Expectation - Per "&amp;VLOOKUP($D$2,'Reading Report Logic'!$A$2:$B$8,2,FALSE)&amp;"]")), FALSE)),
IF($J$2="FLA",
IF(VLOOKUP($A704, YES_Reading_FLA[], COLUMN(INDIRECT("YES_Reading_FLA[Max Expectation - Per "&amp;VLOOKUP($D$2,'Reading Report Logic'!$A$2:$B$8,2,FALSE)&amp;"]")),FALSE)="","",
VLOOKUP($A704,YES_Reading_FLA[],COLUMN(INDIRECT("YES_Reading_FLA[Max Expectation - Per "&amp;VLOOKUP($D$2,'Reading Report Logic'!$A$2:$B$8,2,FALSE)&amp;"]")),FALSE)),
IF($J$2="Combined",
IFERROR(
IF(VLOOKUP($A704, YES_Reading_ELA[], COLUMN(INDIRECT("YES_Reading_ELA[Max Expectation - Per "&amp;VLOOKUP($D$2, 'Reading Report Logic'!$A$2:$B$8,2,FALSE)&amp;"]")), FALSE)="", "",
VLOOKUP($A704,YES_Reading_ELA[],COLUMN(INDIRECT("YES_Reading_ELA[Max Expectation - Per "&amp;VLOOKUP($D$2,'Reading Report Logic'!$A$2:$B$8,2,FALSE)&amp;"]")),FALSE)),
IF(VLOOKUP($A704, YES_Reading_FLA[], COLUMN(INDIRECT("YES_Reading_FLA[Max Expectation - Per "&amp;VLOOKUP($D$2, 'Reading Report Logic'!$A$2:$B$8, 2, FALSE)&amp;"]")),FALSE)="", "", VLOOKUP($A704,YES_Reading_FLA[],COLUMN(INDIRECT("YES_Reading_FLA[Max Expectation - Per "&amp;VLOOKUP($D$2, 'Reading Report Logic'!$A$2:$B$8, 2, FALSE)&amp;"]")),FALSE))),""))),"")</f>
        <v/>
      </c>
      <c r="G704" s="205" t="str" cm="1">
        <f t="array" aca="1" ref="G704" ca="1">IFERROR(
IF($J$2="ELA",
IF(VLOOKUP($A704, YES_Reading_ELA[], COLUMN(INDIRECT("YES_Reading_ELA[Difference - Per "&amp;VLOOKUP($D$2, 'Reading Report Logic'!$A$2:$B$8, 2, FALSE)&amp;"]")), FALSE)="", "",
VLOOKUP($A704,YES_Reading_ELA[], COLUMN(INDIRECT("YES_Reading_ELA[Difference - Per "&amp;VLOOKUP($D$2,'Reading Report Logic'!$A$2:$B$8,2,FALSE)&amp;"]")), FALSE)),
IF($J$2="FLA",
IF(VLOOKUP($A704, YES_Reading_FLA[], COLUMN(INDIRECT("YES_Reading_FLA[Difference - Per "&amp;VLOOKUP($D$2,'Reading Report Logic'!$A$2:$B$8,2,FALSE)&amp;"]")),FALSE)="","",
VLOOKUP($A704,YES_Reading_FLA[],COLUMN(INDIRECT("YES_Reading_FLA[Difference - Per "&amp;VLOOKUP($D$2,'Reading Report Logic'!$A$2:$B$8,2,FALSE)&amp;"]")),FALSE)),
IF($J$2="Combined",
IFERROR(
IF(VLOOKUP($A704, YES_Reading_ELA[], COLUMN(INDIRECT("YES_Reading_ELA[Difference - Per "&amp;VLOOKUP($D$2, 'Reading Report Logic'!$A$2:$B$8,2,FALSE)&amp;"]")), FALSE)="", "",
VLOOKUP($A704,YES_Reading_ELA[],COLUMN(INDIRECT("YES_Reading_ELA[Difference - Per "&amp;VLOOKUP($D$2,'Reading Report Logic'!$A$2:$B$8,2,FALSE)&amp;"]")),FALSE)),
IF(VLOOKUP($A704, YES_Reading_FLA[], COLUMN(INDIRECT("YES_Reading_FLA[Difference - Per "&amp;VLOOKUP($D$2, 'Reading Report Logic'!$A$2:$B$8, 2, FALSE)&amp;"]")),FALSE)="", "", VLOOKUP($A704,YES_Reading_FLA[],COLUMN(INDIRECT("YES_Reading_FLA[Difference - Per "&amp;VLOOKUP($D$2, 'Reading Report Logic'!$A$2:$B$8, 2, FALSE)&amp;"]")),FALSE))),""))),"")</f>
        <v/>
      </c>
      <c r="H704" s="206" t="str">
        <f ca="1">IFERROR(VLOOKUP('Teacher Reading Pull Sheets'!$D704,_xlfn.VSTACK('ELA Reading Logic'!$A$22:$B$48,'FLA Reading Logic'!$A$22:$B$53),2,FALSE)-VLOOKUP('Teacher Reading Pull Sheets'!$C704,_xlfn.VSTACK('ELA Reading Logic'!$A$22:$B$48,'FLA Reading Logic'!$A$22:$B$53),2,FALSE),"")</f>
        <v/>
      </c>
      <c r="I704" s="212"/>
      <c r="J704" s="206"/>
      <c r="K704" s="197" t="str" cm="1">
        <f t="array" ref="K704">IFERROR(
IF($J$2="ELA",
IF(VLOOKUP($A704, YES_Reading_ELA[], COLUMN(YES_Reading_ELA[Self-Identified as African Descent]), FALSE)="", "",
VLOOKUP($A704,YES_Reading_ELA[], COLUMN(YES_Reading_ELA[Self-Identified as African Descent]), FALSE)),
IF($J$2="FLA",
IF(VLOOKUP($A704, YES_Reading_FLA[], COLUMN(YES_Reading_FLA[Self-Identified as African Descent]),FALSE)="","",
VLOOKUP($A704,YES_Reading_FLA[],COLUMN(YES_Reading_FLA[Self-Identified as African Descent]),FALSE)),
IF($J$2="Combined",
IFERROR(
IF(VLOOKUP($A704, YES_Reading_ELA[], COLUMN(YES_Reading_ELA[Self-Identified as African Descent]), FALSE)="", "",
VLOOKUP($A704,YES_Reading_ELA[],COLUMN(YES_Reading_ELA[Self-Identified as African Descent]),FALSE)),
IF(VLOOKUP($A704, YES_Reading_FLA[], COLUMN(YES_Reading_FLA[Self-Identified as African Descent]),FALSE)="", "", VLOOKUP($A704,YES_Reading_FLA[],COLUMN(YES_Reading_FLA[Self-Identified as African Descent]),FALSE))),""))),"")</f>
        <v/>
      </c>
      <c r="L704" s="73" t="str" cm="1">
        <f t="array" ref="L704">IFERROR(
IF($J$2="ELA",
IF(VLOOKUP($A704, YES_Reading_ELA[], COLUMN(YES_Reading_ELA[Self-Identified as Indigenous]), FALSE)="", "",
VLOOKUP($A704,YES_Reading_ELA[], COLUMN(YES_Reading_ELA[Self-Identified as Indigenous]), FALSE)),
IF($J$2="FLA",
IF(VLOOKUP($A704, YES_Reading_FLA[], COLUMN(YES_Reading_FLA[Self-Identified as Indigenous]),FALSE)="","",
VLOOKUP($A704,YES_Reading_FLA[],COLUMN(YES_Reading_FLA[Self-Identified as Indigenous]),FALSE)),
IF($J$2="Combined",
IFERROR(
IF(VLOOKUP($A704, YES_Reading_ELA[], COLUMN(YES_Reading_ELA[Self-Identified as Indigenous]), FALSE)="", "",
VLOOKUP($A704,YES_Reading_ELA[],COLUMN(YES_Reading_ELA[Self-Identified as Indigenous]),FALSE)),
IF(VLOOKUP($A704, YES_Reading_FLA[], COLUMN(YES_Reading_FLA[Self-Identified as Indigenous]),FALSE)="", "", VLOOKUP($A704,YES_Reading_FLA[],COLUMN(YES_Reading_FLA[Self-Identified as Indigenous]),FALSE))),""))),"")</f>
        <v/>
      </c>
    </row>
    <row r="705" spans="1:12" ht="19.5" customHeight="1" x14ac:dyDescent="0.25">
      <c r="A705" s="217"/>
      <c r="B705" s="220" t="str">
        <f>IFERROR(VLOOKUP(A705,_xlfn.VSTACK(YES_Reading_ELA[],YES_Reading_FLA[]),2,FALSE),"")</f>
        <v/>
      </c>
      <c r="C705" s="203" t="str" cm="1">
        <f t="array" aca="1" ref="C705" ca="1">IFERROR(
IF($J$2="ELA",
IF(VLOOKUP($A705, YES_Reading_ELA[], COLUMN(IF(VLOOKUP($D$2, 'Reading Report Logic'!$A$2:$B$8, 2, FALSE)=1, YES_Reading_ELA[Reading Level June of Previous School Year], INDIRECT("YES_Reading_ELA[Instructional Reading Level - Per "&amp;(VLOOKUP($D$2,'Reading Report Logic'!$A$2:$B$8,2,FALSE)-1)&amp;"]"))), FALSE)="", "",
VLOOKUP($A705,YES_Reading_ELA[], COLUMN(IF(VLOOKUP($D$2,'Reading Report Logic'!$A$2:$B$8,2,FALSE)=1, YES_Reading_ELA[Reading Level June of Previous School Year],INDIRECT("YES_Reading_ELA[Instructional Reading Level - Per "&amp;(VLOOKUP($D$2,'Reading Report Logic'!$A$2:$B$8,2,FALSE)-1)&amp;"]"))), FALSE)),
IF($J$2="FLA",
IF(VLOOKUP($A705, YES_Reading_FLA[], COLUMN(IF(VLOOKUP($D$2,'Reading Report Logic'!$A$2:$B$8,2,FALSE)=1, YES_Reading_FLA[Reading Level June of Previous School Year],INDIRECT("YES_Reading_FLA[Instructional Reading Level - Per "&amp;(VLOOKUP($D$2,'Reading Report Logic'!$A$2:$B$8,2,FALSE)-1)&amp;"]"))),FALSE)="","",
VLOOKUP($A705,YES_Reading_FLA[], COLUMN(IF(VLOOKUP($D$2,'Reading Report Logic'!$A$2:$B$8,2,FALSE)=1, YES_Reading_FLA[Reading Level June of Previous School Year],INDIRECT("YES_Reading_FLA[Instructional Reading Level - Per "&amp;(VLOOKUP($D$2,'Reading Report Logic'!$A$2:$B$8,2,FALSE)-1)&amp;"]"))),FALSE)),
IF($J$2="Combined",
IFERROR(
IF(VLOOKUP($A705, YES_Reading_ELA[], COLUMN(IF(VLOOKUP($D$2,'Reading Report Logic'!$A$2:$B$8,2,FALSE)=1, YES_Reading_ELA[Reading Level June of Previous School Year],INDIRECT("YES_Reading_ELA[Instructional Reading Level - Per "&amp;(VLOOKUP($D$2,'Reading Report Logic'!$A$2:$B$8,2,FALSE)-1)&amp;"]"))), FALSE)="", "",
VLOOKUP($A705,YES_Reading_ELA[],COLUMN(IF(VLOOKUP($D$2,'Reading Report Logic'!$A$2:$B$8,2,FALSE)=1, YES_Reading_ELA[Reading Level June of Previous School Year],INDIRECT("YES_Reading_ELA[Instructional Reading Level - Per "&amp;(VLOOKUP($D$2,'Reading Report Logic'!$A$2:$B$8,2,FALSE)-1)&amp;"]"))),FALSE)),
IF(VLOOKUP($A705, YES_Reading_FLA[], COLUMN(IF(VLOOKUP($D$2,'Reading Report Logic'!$A$2:$B$8,2,FALSE)=1, YES_Reading_FLA[Reading Level June of Previous School Year],INDIRECT("YES_Reading_FLA[Instructional Reading Level - Per "&amp;(VLOOKUP($D$2,'Reading Report Logic'!$A$2:$B$8,2,FALSE)-1)&amp;"]"))),FALSE)="", "", VLOOKUP($A705,YES_Reading_FLA[],COLUMN(IF(VLOOKUP($D$2,'Reading Report Logic'!$A$2:$B$8,2,FALSE)=1, YES_Reading_FLA[Reading Level June of Previous School Year],INDIRECT("YES_Reading_FLA[Instructional Reading Level - Per "&amp;(VLOOKUP($D$2,'Reading Report Logic'!$A$2:$B$8,2,FALSE)-1)&amp;"]"))), FALSE))),""))),"")</f>
        <v/>
      </c>
      <c r="D705" s="204" t="str" cm="1">
        <f t="array" aca="1" ref="D705" ca="1">IFERROR(
IF($J$2="ELA",
IF(VLOOKUP($A705, YES_Reading_ELA[], COLUMN(INDIRECT("YES_Reading_ELA[Instructional Reading Level - Per "&amp;VLOOKUP($D$2, 'Reading Report Logic'!$A$2:$B$8, 2, FALSE)&amp;"]")), FALSE)="", "",
VLOOKUP($A705,YES_Reading_ELA[], COLUMN(INDIRECT("YES_Reading_ELA[Instructional Reading Level - Per "&amp;VLOOKUP($D$2,'Reading Report Logic'!$A$2:$B$8,2,FALSE)&amp;"]")), FALSE)),
IF($J$2="FLA",
IF(VLOOKUP($A705, YES_Reading_FLA[], COLUMN(INDIRECT("YES_Reading_FLA[Instructional Reading Level - Per "&amp;VLOOKUP($D$2,'Reading Report Logic'!$A$2:$B$8,2,FALSE)&amp;"]")),FALSE)="","",
VLOOKUP($A705,YES_Reading_FLA[],COLUMN(INDIRECT("YES_Reading_FLA[Instructional Reading Level - Per "&amp;VLOOKUP($D$2,'Reading Report Logic'!$A$2:$B$8,2,FALSE)&amp;"]")),FALSE)),
IF($J$2="Combined",
IFERROR(
IF(VLOOKUP($A705, YES_Reading_ELA[], COLUMN(INDIRECT("YES_Reading_ELA[Instructional Reading Level - Per "&amp;VLOOKUP($D$2, 'Reading Report Logic'!$A$2:$B$8,2,FALSE)&amp;"]")), FALSE)="", "",
VLOOKUP($A705,YES_Reading_ELA[],COLUMN(INDIRECT("YES_Reading_ELA[Instructional Reading Level - Per "&amp;VLOOKUP($D$2,'Reading Report Logic'!$A$2:$B$8,2,FALSE)&amp;"]")),FALSE)),
IF(VLOOKUP($A705, YES_Reading_FLA[], COLUMN(INDIRECT("YES_Reading_FLA[Instructional Reading Level - Per "&amp;VLOOKUP($D$2, 'Reading Report Logic'!$A$2:$B$8, 2, FALSE)&amp;"]")),FALSE)="", "", VLOOKUP($A705,YES_Reading_FLA[],COLUMN(INDIRECT("YES_Reading_FLA[Instructional Reading Level - Per "&amp;VLOOKUP($D$2, 'Reading Report Logic'!$A$2:$B$8, 2, FALSE)&amp;"]")),FALSE))),""))),"")</f>
        <v/>
      </c>
      <c r="E705" s="205" t="str" cm="1">
        <f t="array" aca="1" ref="E705" ca="1">IFERROR(
IF($J$2="ELA",
IF(VLOOKUP($A705, YES_Reading_ELA[], COLUMN(INDIRECT("YES_Reading_ELA[Min Expectation - Per "&amp;VLOOKUP($D$2, 'Reading Report Logic'!$A$2:$B$8, 2, FALSE)&amp;"]")), FALSE)="", "",
VLOOKUP($A705,YES_Reading_ELA[], COLUMN(INDIRECT("YES_Reading_ELA[Min Expectation - Per "&amp;VLOOKUP($D$2,'Reading Report Logic'!$A$2:$B$8,2,FALSE)&amp;"]")), FALSE)),
IF($J$2="FLA",
IF(VLOOKUP($A705, YES_Reading_FLA[], COLUMN(INDIRECT("YES_Reading_FLA[Min Expectation - Per "&amp;VLOOKUP($D$2,'Reading Report Logic'!$A$2:$B$8,2,FALSE)&amp;"]")),FALSE)="","",
VLOOKUP($A705,YES_Reading_FLA[],COLUMN(INDIRECT("YES_Reading_FLA[Min Expectation - Per "&amp;VLOOKUP($D$2,'Reading Report Logic'!$A$2:$B$8,2,FALSE)&amp;"]")),FALSE)),
IF($J$2="Combined",
IFERROR(
IF(VLOOKUP($A705, YES_Reading_ELA[], COLUMN(INDIRECT("YES_Reading_ELA[Min Expectation - Per "&amp;VLOOKUP($D$2, 'Reading Report Logic'!$A$2:$B$8,2,FALSE)&amp;"]")), FALSE)="", "",
VLOOKUP($A705,YES_Reading_ELA[],COLUMN(INDIRECT("YES_Reading_ELA[Min Expectation - Per "&amp;VLOOKUP($D$2,'Reading Report Logic'!$A$2:$B$8,2,FALSE)&amp;"]")),FALSE)),
IF(VLOOKUP($A705, YES_Reading_FLA[], COLUMN(INDIRECT("YES_Reading_FLA[Min Expectation - Per "&amp;VLOOKUP($D$2, 'Reading Report Logic'!$A$2:$B$8, 2, FALSE)&amp;"]")),FALSE)="", "", VLOOKUP($A705,YES_Reading_FLA[],COLUMN(INDIRECT("YES_Reading_FLA[Min Expectation - Per "&amp;VLOOKUP($D$2, 'Reading Report Logic'!$A$2:$B$8, 2, FALSE)&amp;"]")),FALSE))),""))),"")</f>
        <v/>
      </c>
      <c r="F705" s="205" t="str" cm="1">
        <f t="array" aca="1" ref="F705" ca="1">IFERROR(
IF($J$2="ELA",
IF(VLOOKUP($A705, YES_Reading_ELA[], COLUMN(INDIRECT("YES_Reading_ELA[Max Expectation - Per "&amp;VLOOKUP($D$2, 'Reading Report Logic'!$A$2:$B$8, 2, FALSE)&amp;"]")), FALSE)="", "",
VLOOKUP($A705,YES_Reading_ELA[], COLUMN(INDIRECT("YES_Reading_ELA[Max Expectation - Per "&amp;VLOOKUP($D$2,'Reading Report Logic'!$A$2:$B$8,2,FALSE)&amp;"]")), FALSE)),
IF($J$2="FLA",
IF(VLOOKUP($A705, YES_Reading_FLA[], COLUMN(INDIRECT("YES_Reading_FLA[Max Expectation - Per "&amp;VLOOKUP($D$2,'Reading Report Logic'!$A$2:$B$8,2,FALSE)&amp;"]")),FALSE)="","",
VLOOKUP($A705,YES_Reading_FLA[],COLUMN(INDIRECT("YES_Reading_FLA[Max Expectation - Per "&amp;VLOOKUP($D$2,'Reading Report Logic'!$A$2:$B$8,2,FALSE)&amp;"]")),FALSE)),
IF($J$2="Combined",
IFERROR(
IF(VLOOKUP($A705, YES_Reading_ELA[], COLUMN(INDIRECT("YES_Reading_ELA[Max Expectation - Per "&amp;VLOOKUP($D$2, 'Reading Report Logic'!$A$2:$B$8,2,FALSE)&amp;"]")), FALSE)="", "",
VLOOKUP($A705,YES_Reading_ELA[],COLUMN(INDIRECT("YES_Reading_ELA[Max Expectation - Per "&amp;VLOOKUP($D$2,'Reading Report Logic'!$A$2:$B$8,2,FALSE)&amp;"]")),FALSE)),
IF(VLOOKUP($A705, YES_Reading_FLA[], COLUMN(INDIRECT("YES_Reading_FLA[Max Expectation - Per "&amp;VLOOKUP($D$2, 'Reading Report Logic'!$A$2:$B$8, 2, FALSE)&amp;"]")),FALSE)="", "", VLOOKUP($A705,YES_Reading_FLA[],COLUMN(INDIRECT("YES_Reading_FLA[Max Expectation - Per "&amp;VLOOKUP($D$2, 'Reading Report Logic'!$A$2:$B$8, 2, FALSE)&amp;"]")),FALSE))),""))),"")</f>
        <v/>
      </c>
      <c r="G705" s="205" t="str" cm="1">
        <f t="array" aca="1" ref="G705" ca="1">IFERROR(
IF($J$2="ELA",
IF(VLOOKUP($A705, YES_Reading_ELA[], COLUMN(INDIRECT("YES_Reading_ELA[Difference - Per "&amp;VLOOKUP($D$2, 'Reading Report Logic'!$A$2:$B$8, 2, FALSE)&amp;"]")), FALSE)="", "",
VLOOKUP($A705,YES_Reading_ELA[], COLUMN(INDIRECT("YES_Reading_ELA[Difference - Per "&amp;VLOOKUP($D$2,'Reading Report Logic'!$A$2:$B$8,2,FALSE)&amp;"]")), FALSE)),
IF($J$2="FLA",
IF(VLOOKUP($A705, YES_Reading_FLA[], COLUMN(INDIRECT("YES_Reading_FLA[Difference - Per "&amp;VLOOKUP($D$2,'Reading Report Logic'!$A$2:$B$8,2,FALSE)&amp;"]")),FALSE)="","",
VLOOKUP($A705,YES_Reading_FLA[],COLUMN(INDIRECT("YES_Reading_FLA[Difference - Per "&amp;VLOOKUP($D$2,'Reading Report Logic'!$A$2:$B$8,2,FALSE)&amp;"]")),FALSE)),
IF($J$2="Combined",
IFERROR(
IF(VLOOKUP($A705, YES_Reading_ELA[], COLUMN(INDIRECT("YES_Reading_ELA[Difference - Per "&amp;VLOOKUP($D$2, 'Reading Report Logic'!$A$2:$B$8,2,FALSE)&amp;"]")), FALSE)="", "",
VLOOKUP($A705,YES_Reading_ELA[],COLUMN(INDIRECT("YES_Reading_ELA[Difference - Per "&amp;VLOOKUP($D$2,'Reading Report Logic'!$A$2:$B$8,2,FALSE)&amp;"]")),FALSE)),
IF(VLOOKUP($A705, YES_Reading_FLA[], COLUMN(INDIRECT("YES_Reading_FLA[Difference - Per "&amp;VLOOKUP($D$2, 'Reading Report Logic'!$A$2:$B$8, 2, FALSE)&amp;"]")),FALSE)="", "", VLOOKUP($A705,YES_Reading_FLA[],COLUMN(INDIRECT("YES_Reading_FLA[Difference - Per "&amp;VLOOKUP($D$2, 'Reading Report Logic'!$A$2:$B$8, 2, FALSE)&amp;"]")),FALSE))),""))),"")</f>
        <v/>
      </c>
      <c r="H705" s="206" t="str">
        <f ca="1">IFERROR(VLOOKUP('Teacher Reading Pull Sheets'!$D705,_xlfn.VSTACK('ELA Reading Logic'!$A$22:$B$48,'FLA Reading Logic'!$A$22:$B$53),2,FALSE)-VLOOKUP('Teacher Reading Pull Sheets'!$C705,_xlfn.VSTACK('ELA Reading Logic'!$A$22:$B$48,'FLA Reading Logic'!$A$22:$B$53),2,FALSE),"")</f>
        <v/>
      </c>
      <c r="I705" s="212"/>
      <c r="J705" s="206"/>
      <c r="K705" s="197" t="str" cm="1">
        <f t="array" ref="K705">IFERROR(
IF($J$2="ELA",
IF(VLOOKUP($A705, YES_Reading_ELA[], COLUMN(YES_Reading_ELA[Self-Identified as African Descent]), FALSE)="", "",
VLOOKUP($A705,YES_Reading_ELA[], COLUMN(YES_Reading_ELA[Self-Identified as African Descent]), FALSE)),
IF($J$2="FLA",
IF(VLOOKUP($A705, YES_Reading_FLA[], COLUMN(YES_Reading_FLA[Self-Identified as African Descent]),FALSE)="","",
VLOOKUP($A705,YES_Reading_FLA[],COLUMN(YES_Reading_FLA[Self-Identified as African Descent]),FALSE)),
IF($J$2="Combined",
IFERROR(
IF(VLOOKUP($A705, YES_Reading_ELA[], COLUMN(YES_Reading_ELA[Self-Identified as African Descent]), FALSE)="", "",
VLOOKUP($A705,YES_Reading_ELA[],COLUMN(YES_Reading_ELA[Self-Identified as African Descent]),FALSE)),
IF(VLOOKUP($A705, YES_Reading_FLA[], COLUMN(YES_Reading_FLA[Self-Identified as African Descent]),FALSE)="", "", VLOOKUP($A705,YES_Reading_FLA[],COLUMN(YES_Reading_FLA[Self-Identified as African Descent]),FALSE))),""))),"")</f>
        <v/>
      </c>
      <c r="L705" s="73" t="str" cm="1">
        <f t="array" ref="L705">IFERROR(
IF($J$2="ELA",
IF(VLOOKUP($A705, YES_Reading_ELA[], COLUMN(YES_Reading_ELA[Self-Identified as Indigenous]), FALSE)="", "",
VLOOKUP($A705,YES_Reading_ELA[], COLUMN(YES_Reading_ELA[Self-Identified as Indigenous]), FALSE)),
IF($J$2="FLA",
IF(VLOOKUP($A705, YES_Reading_FLA[], COLUMN(YES_Reading_FLA[Self-Identified as Indigenous]),FALSE)="","",
VLOOKUP($A705,YES_Reading_FLA[],COLUMN(YES_Reading_FLA[Self-Identified as Indigenous]),FALSE)),
IF($J$2="Combined",
IFERROR(
IF(VLOOKUP($A705, YES_Reading_ELA[], COLUMN(YES_Reading_ELA[Self-Identified as Indigenous]), FALSE)="", "",
VLOOKUP($A705,YES_Reading_ELA[],COLUMN(YES_Reading_ELA[Self-Identified as Indigenous]),FALSE)),
IF(VLOOKUP($A705, YES_Reading_FLA[], COLUMN(YES_Reading_FLA[Self-Identified as Indigenous]),FALSE)="", "", VLOOKUP($A705,YES_Reading_FLA[],COLUMN(YES_Reading_FLA[Self-Identified as Indigenous]),FALSE))),""))),"")</f>
        <v/>
      </c>
    </row>
    <row r="706" spans="1:12" ht="19.5" customHeight="1" x14ac:dyDescent="0.25">
      <c r="A706" s="217"/>
      <c r="B706" s="220" t="str">
        <f>IFERROR(VLOOKUP(A706,_xlfn.VSTACK(YES_Reading_ELA[],YES_Reading_FLA[]),2,FALSE),"")</f>
        <v/>
      </c>
      <c r="C706" s="203" t="str" cm="1">
        <f t="array" aca="1" ref="C706" ca="1">IFERROR(
IF($J$2="ELA",
IF(VLOOKUP($A706, YES_Reading_ELA[], COLUMN(IF(VLOOKUP($D$2, 'Reading Report Logic'!$A$2:$B$8, 2, FALSE)=1, YES_Reading_ELA[Reading Level June of Previous School Year], INDIRECT("YES_Reading_ELA[Instructional Reading Level - Per "&amp;(VLOOKUP($D$2,'Reading Report Logic'!$A$2:$B$8,2,FALSE)-1)&amp;"]"))), FALSE)="", "",
VLOOKUP($A706,YES_Reading_ELA[], COLUMN(IF(VLOOKUP($D$2,'Reading Report Logic'!$A$2:$B$8,2,FALSE)=1, YES_Reading_ELA[Reading Level June of Previous School Year],INDIRECT("YES_Reading_ELA[Instructional Reading Level - Per "&amp;(VLOOKUP($D$2,'Reading Report Logic'!$A$2:$B$8,2,FALSE)-1)&amp;"]"))), FALSE)),
IF($J$2="FLA",
IF(VLOOKUP($A706, YES_Reading_FLA[], COLUMN(IF(VLOOKUP($D$2,'Reading Report Logic'!$A$2:$B$8,2,FALSE)=1, YES_Reading_FLA[Reading Level June of Previous School Year],INDIRECT("YES_Reading_FLA[Instructional Reading Level - Per "&amp;(VLOOKUP($D$2,'Reading Report Logic'!$A$2:$B$8,2,FALSE)-1)&amp;"]"))),FALSE)="","",
VLOOKUP($A706,YES_Reading_FLA[], COLUMN(IF(VLOOKUP($D$2,'Reading Report Logic'!$A$2:$B$8,2,FALSE)=1, YES_Reading_FLA[Reading Level June of Previous School Year],INDIRECT("YES_Reading_FLA[Instructional Reading Level - Per "&amp;(VLOOKUP($D$2,'Reading Report Logic'!$A$2:$B$8,2,FALSE)-1)&amp;"]"))),FALSE)),
IF($J$2="Combined",
IFERROR(
IF(VLOOKUP($A706, YES_Reading_ELA[], COLUMN(IF(VLOOKUP($D$2,'Reading Report Logic'!$A$2:$B$8,2,FALSE)=1, YES_Reading_ELA[Reading Level June of Previous School Year],INDIRECT("YES_Reading_ELA[Instructional Reading Level - Per "&amp;(VLOOKUP($D$2,'Reading Report Logic'!$A$2:$B$8,2,FALSE)-1)&amp;"]"))), FALSE)="", "",
VLOOKUP($A706,YES_Reading_ELA[],COLUMN(IF(VLOOKUP($D$2,'Reading Report Logic'!$A$2:$B$8,2,FALSE)=1, YES_Reading_ELA[Reading Level June of Previous School Year],INDIRECT("YES_Reading_ELA[Instructional Reading Level - Per "&amp;(VLOOKUP($D$2,'Reading Report Logic'!$A$2:$B$8,2,FALSE)-1)&amp;"]"))),FALSE)),
IF(VLOOKUP($A706, YES_Reading_FLA[], COLUMN(IF(VLOOKUP($D$2,'Reading Report Logic'!$A$2:$B$8,2,FALSE)=1, YES_Reading_FLA[Reading Level June of Previous School Year],INDIRECT("YES_Reading_FLA[Instructional Reading Level - Per "&amp;(VLOOKUP($D$2,'Reading Report Logic'!$A$2:$B$8,2,FALSE)-1)&amp;"]"))),FALSE)="", "", VLOOKUP($A706,YES_Reading_FLA[],COLUMN(IF(VLOOKUP($D$2,'Reading Report Logic'!$A$2:$B$8,2,FALSE)=1, YES_Reading_FLA[Reading Level June of Previous School Year],INDIRECT("YES_Reading_FLA[Instructional Reading Level - Per "&amp;(VLOOKUP($D$2,'Reading Report Logic'!$A$2:$B$8,2,FALSE)-1)&amp;"]"))), FALSE))),""))),"")</f>
        <v/>
      </c>
      <c r="D706" s="204" t="str" cm="1">
        <f t="array" aca="1" ref="D706" ca="1">IFERROR(
IF($J$2="ELA",
IF(VLOOKUP($A706, YES_Reading_ELA[], COLUMN(INDIRECT("YES_Reading_ELA[Instructional Reading Level - Per "&amp;VLOOKUP($D$2, 'Reading Report Logic'!$A$2:$B$8, 2, FALSE)&amp;"]")), FALSE)="", "",
VLOOKUP($A706,YES_Reading_ELA[], COLUMN(INDIRECT("YES_Reading_ELA[Instructional Reading Level - Per "&amp;VLOOKUP($D$2,'Reading Report Logic'!$A$2:$B$8,2,FALSE)&amp;"]")), FALSE)),
IF($J$2="FLA",
IF(VLOOKUP($A706, YES_Reading_FLA[], COLUMN(INDIRECT("YES_Reading_FLA[Instructional Reading Level - Per "&amp;VLOOKUP($D$2,'Reading Report Logic'!$A$2:$B$8,2,FALSE)&amp;"]")),FALSE)="","",
VLOOKUP($A706,YES_Reading_FLA[],COLUMN(INDIRECT("YES_Reading_FLA[Instructional Reading Level - Per "&amp;VLOOKUP($D$2,'Reading Report Logic'!$A$2:$B$8,2,FALSE)&amp;"]")),FALSE)),
IF($J$2="Combined",
IFERROR(
IF(VLOOKUP($A706, YES_Reading_ELA[], COLUMN(INDIRECT("YES_Reading_ELA[Instructional Reading Level - Per "&amp;VLOOKUP($D$2, 'Reading Report Logic'!$A$2:$B$8,2,FALSE)&amp;"]")), FALSE)="", "",
VLOOKUP($A706,YES_Reading_ELA[],COLUMN(INDIRECT("YES_Reading_ELA[Instructional Reading Level - Per "&amp;VLOOKUP($D$2,'Reading Report Logic'!$A$2:$B$8,2,FALSE)&amp;"]")),FALSE)),
IF(VLOOKUP($A706, YES_Reading_FLA[], COLUMN(INDIRECT("YES_Reading_FLA[Instructional Reading Level - Per "&amp;VLOOKUP($D$2, 'Reading Report Logic'!$A$2:$B$8, 2, FALSE)&amp;"]")),FALSE)="", "", VLOOKUP($A706,YES_Reading_FLA[],COLUMN(INDIRECT("YES_Reading_FLA[Instructional Reading Level - Per "&amp;VLOOKUP($D$2, 'Reading Report Logic'!$A$2:$B$8, 2, FALSE)&amp;"]")),FALSE))),""))),"")</f>
        <v/>
      </c>
      <c r="E706" s="205" t="str" cm="1">
        <f t="array" aca="1" ref="E706" ca="1">IFERROR(
IF($J$2="ELA",
IF(VLOOKUP($A706, YES_Reading_ELA[], COLUMN(INDIRECT("YES_Reading_ELA[Min Expectation - Per "&amp;VLOOKUP($D$2, 'Reading Report Logic'!$A$2:$B$8, 2, FALSE)&amp;"]")), FALSE)="", "",
VLOOKUP($A706,YES_Reading_ELA[], COLUMN(INDIRECT("YES_Reading_ELA[Min Expectation - Per "&amp;VLOOKUP($D$2,'Reading Report Logic'!$A$2:$B$8,2,FALSE)&amp;"]")), FALSE)),
IF($J$2="FLA",
IF(VLOOKUP($A706, YES_Reading_FLA[], COLUMN(INDIRECT("YES_Reading_FLA[Min Expectation - Per "&amp;VLOOKUP($D$2,'Reading Report Logic'!$A$2:$B$8,2,FALSE)&amp;"]")),FALSE)="","",
VLOOKUP($A706,YES_Reading_FLA[],COLUMN(INDIRECT("YES_Reading_FLA[Min Expectation - Per "&amp;VLOOKUP($D$2,'Reading Report Logic'!$A$2:$B$8,2,FALSE)&amp;"]")),FALSE)),
IF($J$2="Combined",
IFERROR(
IF(VLOOKUP($A706, YES_Reading_ELA[], COLUMN(INDIRECT("YES_Reading_ELA[Min Expectation - Per "&amp;VLOOKUP($D$2, 'Reading Report Logic'!$A$2:$B$8,2,FALSE)&amp;"]")), FALSE)="", "",
VLOOKUP($A706,YES_Reading_ELA[],COLUMN(INDIRECT("YES_Reading_ELA[Min Expectation - Per "&amp;VLOOKUP($D$2,'Reading Report Logic'!$A$2:$B$8,2,FALSE)&amp;"]")),FALSE)),
IF(VLOOKUP($A706, YES_Reading_FLA[], COLUMN(INDIRECT("YES_Reading_FLA[Min Expectation - Per "&amp;VLOOKUP($D$2, 'Reading Report Logic'!$A$2:$B$8, 2, FALSE)&amp;"]")),FALSE)="", "", VLOOKUP($A706,YES_Reading_FLA[],COLUMN(INDIRECT("YES_Reading_FLA[Min Expectation - Per "&amp;VLOOKUP($D$2, 'Reading Report Logic'!$A$2:$B$8, 2, FALSE)&amp;"]")),FALSE))),""))),"")</f>
        <v/>
      </c>
      <c r="F706" s="205" t="str" cm="1">
        <f t="array" aca="1" ref="F706" ca="1">IFERROR(
IF($J$2="ELA",
IF(VLOOKUP($A706, YES_Reading_ELA[], COLUMN(INDIRECT("YES_Reading_ELA[Max Expectation - Per "&amp;VLOOKUP($D$2, 'Reading Report Logic'!$A$2:$B$8, 2, FALSE)&amp;"]")), FALSE)="", "",
VLOOKUP($A706,YES_Reading_ELA[], COLUMN(INDIRECT("YES_Reading_ELA[Max Expectation - Per "&amp;VLOOKUP($D$2,'Reading Report Logic'!$A$2:$B$8,2,FALSE)&amp;"]")), FALSE)),
IF($J$2="FLA",
IF(VLOOKUP($A706, YES_Reading_FLA[], COLUMN(INDIRECT("YES_Reading_FLA[Max Expectation - Per "&amp;VLOOKUP($D$2,'Reading Report Logic'!$A$2:$B$8,2,FALSE)&amp;"]")),FALSE)="","",
VLOOKUP($A706,YES_Reading_FLA[],COLUMN(INDIRECT("YES_Reading_FLA[Max Expectation - Per "&amp;VLOOKUP($D$2,'Reading Report Logic'!$A$2:$B$8,2,FALSE)&amp;"]")),FALSE)),
IF($J$2="Combined",
IFERROR(
IF(VLOOKUP($A706, YES_Reading_ELA[], COLUMN(INDIRECT("YES_Reading_ELA[Max Expectation - Per "&amp;VLOOKUP($D$2, 'Reading Report Logic'!$A$2:$B$8,2,FALSE)&amp;"]")), FALSE)="", "",
VLOOKUP($A706,YES_Reading_ELA[],COLUMN(INDIRECT("YES_Reading_ELA[Max Expectation - Per "&amp;VLOOKUP($D$2,'Reading Report Logic'!$A$2:$B$8,2,FALSE)&amp;"]")),FALSE)),
IF(VLOOKUP($A706, YES_Reading_FLA[], COLUMN(INDIRECT("YES_Reading_FLA[Max Expectation - Per "&amp;VLOOKUP($D$2, 'Reading Report Logic'!$A$2:$B$8, 2, FALSE)&amp;"]")),FALSE)="", "", VLOOKUP($A706,YES_Reading_FLA[],COLUMN(INDIRECT("YES_Reading_FLA[Max Expectation - Per "&amp;VLOOKUP($D$2, 'Reading Report Logic'!$A$2:$B$8, 2, FALSE)&amp;"]")),FALSE))),""))),"")</f>
        <v/>
      </c>
      <c r="G706" s="205" t="str" cm="1">
        <f t="array" aca="1" ref="G706" ca="1">IFERROR(
IF($J$2="ELA",
IF(VLOOKUP($A706, YES_Reading_ELA[], COLUMN(INDIRECT("YES_Reading_ELA[Difference - Per "&amp;VLOOKUP($D$2, 'Reading Report Logic'!$A$2:$B$8, 2, FALSE)&amp;"]")), FALSE)="", "",
VLOOKUP($A706,YES_Reading_ELA[], COLUMN(INDIRECT("YES_Reading_ELA[Difference - Per "&amp;VLOOKUP($D$2,'Reading Report Logic'!$A$2:$B$8,2,FALSE)&amp;"]")), FALSE)),
IF($J$2="FLA",
IF(VLOOKUP($A706, YES_Reading_FLA[], COLUMN(INDIRECT("YES_Reading_FLA[Difference - Per "&amp;VLOOKUP($D$2,'Reading Report Logic'!$A$2:$B$8,2,FALSE)&amp;"]")),FALSE)="","",
VLOOKUP($A706,YES_Reading_FLA[],COLUMN(INDIRECT("YES_Reading_FLA[Difference - Per "&amp;VLOOKUP($D$2,'Reading Report Logic'!$A$2:$B$8,2,FALSE)&amp;"]")),FALSE)),
IF($J$2="Combined",
IFERROR(
IF(VLOOKUP($A706, YES_Reading_ELA[], COLUMN(INDIRECT("YES_Reading_ELA[Difference - Per "&amp;VLOOKUP($D$2, 'Reading Report Logic'!$A$2:$B$8,2,FALSE)&amp;"]")), FALSE)="", "",
VLOOKUP($A706,YES_Reading_ELA[],COLUMN(INDIRECT("YES_Reading_ELA[Difference - Per "&amp;VLOOKUP($D$2,'Reading Report Logic'!$A$2:$B$8,2,FALSE)&amp;"]")),FALSE)),
IF(VLOOKUP($A706, YES_Reading_FLA[], COLUMN(INDIRECT("YES_Reading_FLA[Difference - Per "&amp;VLOOKUP($D$2, 'Reading Report Logic'!$A$2:$B$8, 2, FALSE)&amp;"]")),FALSE)="", "", VLOOKUP($A706,YES_Reading_FLA[],COLUMN(INDIRECT("YES_Reading_FLA[Difference - Per "&amp;VLOOKUP($D$2, 'Reading Report Logic'!$A$2:$B$8, 2, FALSE)&amp;"]")),FALSE))),""))),"")</f>
        <v/>
      </c>
      <c r="H706" s="206" t="str">
        <f ca="1">IFERROR(VLOOKUP('Teacher Reading Pull Sheets'!$D706,_xlfn.VSTACK('ELA Reading Logic'!$A$22:$B$48,'FLA Reading Logic'!$A$22:$B$53),2,FALSE)-VLOOKUP('Teacher Reading Pull Sheets'!$C706,_xlfn.VSTACK('ELA Reading Logic'!$A$22:$B$48,'FLA Reading Logic'!$A$22:$B$53),2,FALSE),"")</f>
        <v/>
      </c>
      <c r="I706" s="212"/>
      <c r="J706" s="206"/>
      <c r="K706" s="197" t="str" cm="1">
        <f t="array" ref="K706">IFERROR(
IF($J$2="ELA",
IF(VLOOKUP($A706, YES_Reading_ELA[], COLUMN(YES_Reading_ELA[Self-Identified as African Descent]), FALSE)="", "",
VLOOKUP($A706,YES_Reading_ELA[], COLUMN(YES_Reading_ELA[Self-Identified as African Descent]), FALSE)),
IF($J$2="FLA",
IF(VLOOKUP($A706, YES_Reading_FLA[], COLUMN(YES_Reading_FLA[Self-Identified as African Descent]),FALSE)="","",
VLOOKUP($A706,YES_Reading_FLA[],COLUMN(YES_Reading_FLA[Self-Identified as African Descent]),FALSE)),
IF($J$2="Combined",
IFERROR(
IF(VLOOKUP($A706, YES_Reading_ELA[], COLUMN(YES_Reading_ELA[Self-Identified as African Descent]), FALSE)="", "",
VLOOKUP($A706,YES_Reading_ELA[],COLUMN(YES_Reading_ELA[Self-Identified as African Descent]),FALSE)),
IF(VLOOKUP($A706, YES_Reading_FLA[], COLUMN(YES_Reading_FLA[Self-Identified as African Descent]),FALSE)="", "", VLOOKUP($A706,YES_Reading_FLA[],COLUMN(YES_Reading_FLA[Self-Identified as African Descent]),FALSE))),""))),"")</f>
        <v/>
      </c>
      <c r="L706" s="73" t="str" cm="1">
        <f t="array" ref="L706">IFERROR(
IF($J$2="ELA",
IF(VLOOKUP($A706, YES_Reading_ELA[], COLUMN(YES_Reading_ELA[Self-Identified as Indigenous]), FALSE)="", "",
VLOOKUP($A706,YES_Reading_ELA[], COLUMN(YES_Reading_ELA[Self-Identified as Indigenous]), FALSE)),
IF($J$2="FLA",
IF(VLOOKUP($A706, YES_Reading_FLA[], COLUMN(YES_Reading_FLA[Self-Identified as Indigenous]),FALSE)="","",
VLOOKUP($A706,YES_Reading_FLA[],COLUMN(YES_Reading_FLA[Self-Identified as Indigenous]),FALSE)),
IF($J$2="Combined",
IFERROR(
IF(VLOOKUP($A706, YES_Reading_ELA[], COLUMN(YES_Reading_ELA[Self-Identified as Indigenous]), FALSE)="", "",
VLOOKUP($A706,YES_Reading_ELA[],COLUMN(YES_Reading_ELA[Self-Identified as Indigenous]),FALSE)),
IF(VLOOKUP($A706, YES_Reading_FLA[], COLUMN(YES_Reading_FLA[Self-Identified as Indigenous]),FALSE)="", "", VLOOKUP($A706,YES_Reading_FLA[],COLUMN(YES_Reading_FLA[Self-Identified as Indigenous]),FALSE))),""))),"")</f>
        <v/>
      </c>
    </row>
    <row r="707" spans="1:12" ht="19.5" customHeight="1" x14ac:dyDescent="0.25">
      <c r="A707" s="217"/>
      <c r="B707" s="220" t="str">
        <f>IFERROR(VLOOKUP(A707,_xlfn.VSTACK(YES_Reading_ELA[],YES_Reading_FLA[]),2,FALSE),"")</f>
        <v/>
      </c>
      <c r="C707" s="203" t="str" cm="1">
        <f t="array" aca="1" ref="C707" ca="1">IFERROR(
IF($J$2="ELA",
IF(VLOOKUP($A707, YES_Reading_ELA[], COLUMN(IF(VLOOKUP($D$2, 'Reading Report Logic'!$A$2:$B$8, 2, FALSE)=1, YES_Reading_ELA[Reading Level June of Previous School Year], INDIRECT("YES_Reading_ELA[Instructional Reading Level - Per "&amp;(VLOOKUP($D$2,'Reading Report Logic'!$A$2:$B$8,2,FALSE)-1)&amp;"]"))), FALSE)="", "",
VLOOKUP($A707,YES_Reading_ELA[], COLUMN(IF(VLOOKUP($D$2,'Reading Report Logic'!$A$2:$B$8,2,FALSE)=1, YES_Reading_ELA[Reading Level June of Previous School Year],INDIRECT("YES_Reading_ELA[Instructional Reading Level - Per "&amp;(VLOOKUP($D$2,'Reading Report Logic'!$A$2:$B$8,2,FALSE)-1)&amp;"]"))), FALSE)),
IF($J$2="FLA",
IF(VLOOKUP($A707, YES_Reading_FLA[], COLUMN(IF(VLOOKUP($D$2,'Reading Report Logic'!$A$2:$B$8,2,FALSE)=1, YES_Reading_FLA[Reading Level June of Previous School Year],INDIRECT("YES_Reading_FLA[Instructional Reading Level - Per "&amp;(VLOOKUP($D$2,'Reading Report Logic'!$A$2:$B$8,2,FALSE)-1)&amp;"]"))),FALSE)="","",
VLOOKUP($A707,YES_Reading_FLA[], COLUMN(IF(VLOOKUP($D$2,'Reading Report Logic'!$A$2:$B$8,2,FALSE)=1, YES_Reading_FLA[Reading Level June of Previous School Year],INDIRECT("YES_Reading_FLA[Instructional Reading Level - Per "&amp;(VLOOKUP($D$2,'Reading Report Logic'!$A$2:$B$8,2,FALSE)-1)&amp;"]"))),FALSE)),
IF($J$2="Combined",
IFERROR(
IF(VLOOKUP($A707, YES_Reading_ELA[], COLUMN(IF(VLOOKUP($D$2,'Reading Report Logic'!$A$2:$B$8,2,FALSE)=1, YES_Reading_ELA[Reading Level June of Previous School Year],INDIRECT("YES_Reading_ELA[Instructional Reading Level - Per "&amp;(VLOOKUP($D$2,'Reading Report Logic'!$A$2:$B$8,2,FALSE)-1)&amp;"]"))), FALSE)="", "",
VLOOKUP($A707,YES_Reading_ELA[],COLUMN(IF(VLOOKUP($D$2,'Reading Report Logic'!$A$2:$B$8,2,FALSE)=1, YES_Reading_ELA[Reading Level June of Previous School Year],INDIRECT("YES_Reading_ELA[Instructional Reading Level - Per "&amp;(VLOOKUP($D$2,'Reading Report Logic'!$A$2:$B$8,2,FALSE)-1)&amp;"]"))),FALSE)),
IF(VLOOKUP($A707, YES_Reading_FLA[], COLUMN(IF(VLOOKUP($D$2,'Reading Report Logic'!$A$2:$B$8,2,FALSE)=1, YES_Reading_FLA[Reading Level June of Previous School Year],INDIRECT("YES_Reading_FLA[Instructional Reading Level - Per "&amp;(VLOOKUP($D$2,'Reading Report Logic'!$A$2:$B$8,2,FALSE)-1)&amp;"]"))),FALSE)="", "", VLOOKUP($A707,YES_Reading_FLA[],COLUMN(IF(VLOOKUP($D$2,'Reading Report Logic'!$A$2:$B$8,2,FALSE)=1, YES_Reading_FLA[Reading Level June of Previous School Year],INDIRECT("YES_Reading_FLA[Instructional Reading Level - Per "&amp;(VLOOKUP($D$2,'Reading Report Logic'!$A$2:$B$8,2,FALSE)-1)&amp;"]"))), FALSE))),""))),"")</f>
        <v/>
      </c>
      <c r="D707" s="204" t="str" cm="1">
        <f t="array" aca="1" ref="D707" ca="1">IFERROR(
IF($J$2="ELA",
IF(VLOOKUP($A707, YES_Reading_ELA[], COLUMN(INDIRECT("YES_Reading_ELA[Instructional Reading Level - Per "&amp;VLOOKUP($D$2, 'Reading Report Logic'!$A$2:$B$8, 2, FALSE)&amp;"]")), FALSE)="", "",
VLOOKUP($A707,YES_Reading_ELA[], COLUMN(INDIRECT("YES_Reading_ELA[Instructional Reading Level - Per "&amp;VLOOKUP($D$2,'Reading Report Logic'!$A$2:$B$8,2,FALSE)&amp;"]")), FALSE)),
IF($J$2="FLA",
IF(VLOOKUP($A707, YES_Reading_FLA[], COLUMN(INDIRECT("YES_Reading_FLA[Instructional Reading Level - Per "&amp;VLOOKUP($D$2,'Reading Report Logic'!$A$2:$B$8,2,FALSE)&amp;"]")),FALSE)="","",
VLOOKUP($A707,YES_Reading_FLA[],COLUMN(INDIRECT("YES_Reading_FLA[Instructional Reading Level - Per "&amp;VLOOKUP($D$2,'Reading Report Logic'!$A$2:$B$8,2,FALSE)&amp;"]")),FALSE)),
IF($J$2="Combined",
IFERROR(
IF(VLOOKUP($A707, YES_Reading_ELA[], COLUMN(INDIRECT("YES_Reading_ELA[Instructional Reading Level - Per "&amp;VLOOKUP($D$2, 'Reading Report Logic'!$A$2:$B$8,2,FALSE)&amp;"]")), FALSE)="", "",
VLOOKUP($A707,YES_Reading_ELA[],COLUMN(INDIRECT("YES_Reading_ELA[Instructional Reading Level - Per "&amp;VLOOKUP($D$2,'Reading Report Logic'!$A$2:$B$8,2,FALSE)&amp;"]")),FALSE)),
IF(VLOOKUP($A707, YES_Reading_FLA[], COLUMN(INDIRECT("YES_Reading_FLA[Instructional Reading Level - Per "&amp;VLOOKUP($D$2, 'Reading Report Logic'!$A$2:$B$8, 2, FALSE)&amp;"]")),FALSE)="", "", VLOOKUP($A707,YES_Reading_FLA[],COLUMN(INDIRECT("YES_Reading_FLA[Instructional Reading Level - Per "&amp;VLOOKUP($D$2, 'Reading Report Logic'!$A$2:$B$8, 2, FALSE)&amp;"]")),FALSE))),""))),"")</f>
        <v/>
      </c>
      <c r="E707" s="205" t="str" cm="1">
        <f t="array" aca="1" ref="E707" ca="1">IFERROR(
IF($J$2="ELA",
IF(VLOOKUP($A707, YES_Reading_ELA[], COLUMN(INDIRECT("YES_Reading_ELA[Min Expectation - Per "&amp;VLOOKUP($D$2, 'Reading Report Logic'!$A$2:$B$8, 2, FALSE)&amp;"]")), FALSE)="", "",
VLOOKUP($A707,YES_Reading_ELA[], COLUMN(INDIRECT("YES_Reading_ELA[Min Expectation - Per "&amp;VLOOKUP($D$2,'Reading Report Logic'!$A$2:$B$8,2,FALSE)&amp;"]")), FALSE)),
IF($J$2="FLA",
IF(VLOOKUP($A707, YES_Reading_FLA[], COLUMN(INDIRECT("YES_Reading_FLA[Min Expectation - Per "&amp;VLOOKUP($D$2,'Reading Report Logic'!$A$2:$B$8,2,FALSE)&amp;"]")),FALSE)="","",
VLOOKUP($A707,YES_Reading_FLA[],COLUMN(INDIRECT("YES_Reading_FLA[Min Expectation - Per "&amp;VLOOKUP($D$2,'Reading Report Logic'!$A$2:$B$8,2,FALSE)&amp;"]")),FALSE)),
IF($J$2="Combined",
IFERROR(
IF(VLOOKUP($A707, YES_Reading_ELA[], COLUMN(INDIRECT("YES_Reading_ELA[Min Expectation - Per "&amp;VLOOKUP($D$2, 'Reading Report Logic'!$A$2:$B$8,2,FALSE)&amp;"]")), FALSE)="", "",
VLOOKUP($A707,YES_Reading_ELA[],COLUMN(INDIRECT("YES_Reading_ELA[Min Expectation - Per "&amp;VLOOKUP($D$2,'Reading Report Logic'!$A$2:$B$8,2,FALSE)&amp;"]")),FALSE)),
IF(VLOOKUP($A707, YES_Reading_FLA[], COLUMN(INDIRECT("YES_Reading_FLA[Min Expectation - Per "&amp;VLOOKUP($D$2, 'Reading Report Logic'!$A$2:$B$8, 2, FALSE)&amp;"]")),FALSE)="", "", VLOOKUP($A707,YES_Reading_FLA[],COLUMN(INDIRECT("YES_Reading_FLA[Min Expectation - Per "&amp;VLOOKUP($D$2, 'Reading Report Logic'!$A$2:$B$8, 2, FALSE)&amp;"]")),FALSE))),""))),"")</f>
        <v/>
      </c>
      <c r="F707" s="205" t="str" cm="1">
        <f t="array" aca="1" ref="F707" ca="1">IFERROR(
IF($J$2="ELA",
IF(VLOOKUP($A707, YES_Reading_ELA[], COLUMN(INDIRECT("YES_Reading_ELA[Max Expectation - Per "&amp;VLOOKUP($D$2, 'Reading Report Logic'!$A$2:$B$8, 2, FALSE)&amp;"]")), FALSE)="", "",
VLOOKUP($A707,YES_Reading_ELA[], COLUMN(INDIRECT("YES_Reading_ELA[Max Expectation - Per "&amp;VLOOKUP($D$2,'Reading Report Logic'!$A$2:$B$8,2,FALSE)&amp;"]")), FALSE)),
IF($J$2="FLA",
IF(VLOOKUP($A707, YES_Reading_FLA[], COLUMN(INDIRECT("YES_Reading_FLA[Max Expectation - Per "&amp;VLOOKUP($D$2,'Reading Report Logic'!$A$2:$B$8,2,FALSE)&amp;"]")),FALSE)="","",
VLOOKUP($A707,YES_Reading_FLA[],COLUMN(INDIRECT("YES_Reading_FLA[Max Expectation - Per "&amp;VLOOKUP($D$2,'Reading Report Logic'!$A$2:$B$8,2,FALSE)&amp;"]")),FALSE)),
IF($J$2="Combined",
IFERROR(
IF(VLOOKUP($A707, YES_Reading_ELA[], COLUMN(INDIRECT("YES_Reading_ELA[Max Expectation - Per "&amp;VLOOKUP($D$2, 'Reading Report Logic'!$A$2:$B$8,2,FALSE)&amp;"]")), FALSE)="", "",
VLOOKUP($A707,YES_Reading_ELA[],COLUMN(INDIRECT("YES_Reading_ELA[Max Expectation - Per "&amp;VLOOKUP($D$2,'Reading Report Logic'!$A$2:$B$8,2,FALSE)&amp;"]")),FALSE)),
IF(VLOOKUP($A707, YES_Reading_FLA[], COLUMN(INDIRECT("YES_Reading_FLA[Max Expectation - Per "&amp;VLOOKUP($D$2, 'Reading Report Logic'!$A$2:$B$8, 2, FALSE)&amp;"]")),FALSE)="", "", VLOOKUP($A707,YES_Reading_FLA[],COLUMN(INDIRECT("YES_Reading_FLA[Max Expectation - Per "&amp;VLOOKUP($D$2, 'Reading Report Logic'!$A$2:$B$8, 2, FALSE)&amp;"]")),FALSE))),""))),"")</f>
        <v/>
      </c>
      <c r="G707" s="205" t="str" cm="1">
        <f t="array" aca="1" ref="G707" ca="1">IFERROR(
IF($J$2="ELA",
IF(VLOOKUP($A707, YES_Reading_ELA[], COLUMN(INDIRECT("YES_Reading_ELA[Difference - Per "&amp;VLOOKUP($D$2, 'Reading Report Logic'!$A$2:$B$8, 2, FALSE)&amp;"]")), FALSE)="", "",
VLOOKUP($A707,YES_Reading_ELA[], COLUMN(INDIRECT("YES_Reading_ELA[Difference - Per "&amp;VLOOKUP($D$2,'Reading Report Logic'!$A$2:$B$8,2,FALSE)&amp;"]")), FALSE)),
IF($J$2="FLA",
IF(VLOOKUP($A707, YES_Reading_FLA[], COLUMN(INDIRECT("YES_Reading_FLA[Difference - Per "&amp;VLOOKUP($D$2,'Reading Report Logic'!$A$2:$B$8,2,FALSE)&amp;"]")),FALSE)="","",
VLOOKUP($A707,YES_Reading_FLA[],COLUMN(INDIRECT("YES_Reading_FLA[Difference - Per "&amp;VLOOKUP($D$2,'Reading Report Logic'!$A$2:$B$8,2,FALSE)&amp;"]")),FALSE)),
IF($J$2="Combined",
IFERROR(
IF(VLOOKUP($A707, YES_Reading_ELA[], COLUMN(INDIRECT("YES_Reading_ELA[Difference - Per "&amp;VLOOKUP($D$2, 'Reading Report Logic'!$A$2:$B$8,2,FALSE)&amp;"]")), FALSE)="", "",
VLOOKUP($A707,YES_Reading_ELA[],COLUMN(INDIRECT("YES_Reading_ELA[Difference - Per "&amp;VLOOKUP($D$2,'Reading Report Logic'!$A$2:$B$8,2,FALSE)&amp;"]")),FALSE)),
IF(VLOOKUP($A707, YES_Reading_FLA[], COLUMN(INDIRECT("YES_Reading_FLA[Difference - Per "&amp;VLOOKUP($D$2, 'Reading Report Logic'!$A$2:$B$8, 2, FALSE)&amp;"]")),FALSE)="", "", VLOOKUP($A707,YES_Reading_FLA[],COLUMN(INDIRECT("YES_Reading_FLA[Difference - Per "&amp;VLOOKUP($D$2, 'Reading Report Logic'!$A$2:$B$8, 2, FALSE)&amp;"]")),FALSE))),""))),"")</f>
        <v/>
      </c>
      <c r="H707" s="206" t="str">
        <f ca="1">IFERROR(VLOOKUP('Teacher Reading Pull Sheets'!$D707,_xlfn.VSTACK('ELA Reading Logic'!$A$22:$B$48,'FLA Reading Logic'!$A$22:$B$53),2,FALSE)-VLOOKUP('Teacher Reading Pull Sheets'!$C707,_xlfn.VSTACK('ELA Reading Logic'!$A$22:$B$48,'FLA Reading Logic'!$A$22:$B$53),2,FALSE),"")</f>
        <v/>
      </c>
      <c r="I707" s="212"/>
      <c r="J707" s="206"/>
      <c r="K707" s="197" t="str" cm="1">
        <f t="array" ref="K707">IFERROR(
IF($J$2="ELA",
IF(VLOOKUP($A707, YES_Reading_ELA[], COLUMN(YES_Reading_ELA[Self-Identified as African Descent]), FALSE)="", "",
VLOOKUP($A707,YES_Reading_ELA[], COLUMN(YES_Reading_ELA[Self-Identified as African Descent]), FALSE)),
IF($J$2="FLA",
IF(VLOOKUP($A707, YES_Reading_FLA[], COLUMN(YES_Reading_FLA[Self-Identified as African Descent]),FALSE)="","",
VLOOKUP($A707,YES_Reading_FLA[],COLUMN(YES_Reading_FLA[Self-Identified as African Descent]),FALSE)),
IF($J$2="Combined",
IFERROR(
IF(VLOOKUP($A707, YES_Reading_ELA[], COLUMN(YES_Reading_ELA[Self-Identified as African Descent]), FALSE)="", "",
VLOOKUP($A707,YES_Reading_ELA[],COLUMN(YES_Reading_ELA[Self-Identified as African Descent]),FALSE)),
IF(VLOOKUP($A707, YES_Reading_FLA[], COLUMN(YES_Reading_FLA[Self-Identified as African Descent]),FALSE)="", "", VLOOKUP($A707,YES_Reading_FLA[],COLUMN(YES_Reading_FLA[Self-Identified as African Descent]),FALSE))),""))),"")</f>
        <v/>
      </c>
      <c r="L707" s="73" t="str" cm="1">
        <f t="array" ref="L707">IFERROR(
IF($J$2="ELA",
IF(VLOOKUP($A707, YES_Reading_ELA[], COLUMN(YES_Reading_ELA[Self-Identified as Indigenous]), FALSE)="", "",
VLOOKUP($A707,YES_Reading_ELA[], COLUMN(YES_Reading_ELA[Self-Identified as Indigenous]), FALSE)),
IF($J$2="FLA",
IF(VLOOKUP($A707, YES_Reading_FLA[], COLUMN(YES_Reading_FLA[Self-Identified as Indigenous]),FALSE)="","",
VLOOKUP($A707,YES_Reading_FLA[],COLUMN(YES_Reading_FLA[Self-Identified as Indigenous]),FALSE)),
IF($J$2="Combined",
IFERROR(
IF(VLOOKUP($A707, YES_Reading_ELA[], COLUMN(YES_Reading_ELA[Self-Identified as Indigenous]), FALSE)="", "",
VLOOKUP($A707,YES_Reading_ELA[],COLUMN(YES_Reading_ELA[Self-Identified as Indigenous]),FALSE)),
IF(VLOOKUP($A707, YES_Reading_FLA[], COLUMN(YES_Reading_FLA[Self-Identified as Indigenous]),FALSE)="", "", VLOOKUP($A707,YES_Reading_FLA[],COLUMN(YES_Reading_FLA[Self-Identified as Indigenous]),FALSE))),""))),"")</f>
        <v/>
      </c>
    </row>
    <row r="708" spans="1:12" ht="19.5" customHeight="1" x14ac:dyDescent="0.25">
      <c r="A708" s="217"/>
      <c r="B708" s="220" t="str">
        <f>IFERROR(VLOOKUP(A708,_xlfn.VSTACK(YES_Reading_ELA[],YES_Reading_FLA[]),2,FALSE),"")</f>
        <v/>
      </c>
      <c r="C708" s="203" t="str" cm="1">
        <f t="array" aca="1" ref="C708" ca="1">IFERROR(
IF($J$2="ELA",
IF(VLOOKUP($A708, YES_Reading_ELA[], COLUMN(IF(VLOOKUP($D$2, 'Reading Report Logic'!$A$2:$B$8, 2, FALSE)=1, YES_Reading_ELA[Reading Level June of Previous School Year], INDIRECT("YES_Reading_ELA[Instructional Reading Level - Per "&amp;(VLOOKUP($D$2,'Reading Report Logic'!$A$2:$B$8,2,FALSE)-1)&amp;"]"))), FALSE)="", "",
VLOOKUP($A708,YES_Reading_ELA[], COLUMN(IF(VLOOKUP($D$2,'Reading Report Logic'!$A$2:$B$8,2,FALSE)=1, YES_Reading_ELA[Reading Level June of Previous School Year],INDIRECT("YES_Reading_ELA[Instructional Reading Level - Per "&amp;(VLOOKUP($D$2,'Reading Report Logic'!$A$2:$B$8,2,FALSE)-1)&amp;"]"))), FALSE)),
IF($J$2="FLA",
IF(VLOOKUP($A708, YES_Reading_FLA[], COLUMN(IF(VLOOKUP($D$2,'Reading Report Logic'!$A$2:$B$8,2,FALSE)=1, YES_Reading_FLA[Reading Level June of Previous School Year],INDIRECT("YES_Reading_FLA[Instructional Reading Level - Per "&amp;(VLOOKUP($D$2,'Reading Report Logic'!$A$2:$B$8,2,FALSE)-1)&amp;"]"))),FALSE)="","",
VLOOKUP($A708,YES_Reading_FLA[], COLUMN(IF(VLOOKUP($D$2,'Reading Report Logic'!$A$2:$B$8,2,FALSE)=1, YES_Reading_FLA[Reading Level June of Previous School Year],INDIRECT("YES_Reading_FLA[Instructional Reading Level - Per "&amp;(VLOOKUP($D$2,'Reading Report Logic'!$A$2:$B$8,2,FALSE)-1)&amp;"]"))),FALSE)),
IF($J$2="Combined",
IFERROR(
IF(VLOOKUP($A708, YES_Reading_ELA[], COLUMN(IF(VLOOKUP($D$2,'Reading Report Logic'!$A$2:$B$8,2,FALSE)=1, YES_Reading_ELA[Reading Level June of Previous School Year],INDIRECT("YES_Reading_ELA[Instructional Reading Level - Per "&amp;(VLOOKUP($D$2,'Reading Report Logic'!$A$2:$B$8,2,FALSE)-1)&amp;"]"))), FALSE)="", "",
VLOOKUP($A708,YES_Reading_ELA[],COLUMN(IF(VLOOKUP($D$2,'Reading Report Logic'!$A$2:$B$8,2,FALSE)=1, YES_Reading_ELA[Reading Level June of Previous School Year],INDIRECT("YES_Reading_ELA[Instructional Reading Level - Per "&amp;(VLOOKUP($D$2,'Reading Report Logic'!$A$2:$B$8,2,FALSE)-1)&amp;"]"))),FALSE)),
IF(VLOOKUP($A708, YES_Reading_FLA[], COLUMN(IF(VLOOKUP($D$2,'Reading Report Logic'!$A$2:$B$8,2,FALSE)=1, YES_Reading_FLA[Reading Level June of Previous School Year],INDIRECT("YES_Reading_FLA[Instructional Reading Level - Per "&amp;(VLOOKUP($D$2,'Reading Report Logic'!$A$2:$B$8,2,FALSE)-1)&amp;"]"))),FALSE)="", "", VLOOKUP($A708,YES_Reading_FLA[],COLUMN(IF(VLOOKUP($D$2,'Reading Report Logic'!$A$2:$B$8,2,FALSE)=1, YES_Reading_FLA[Reading Level June of Previous School Year],INDIRECT("YES_Reading_FLA[Instructional Reading Level - Per "&amp;(VLOOKUP($D$2,'Reading Report Logic'!$A$2:$B$8,2,FALSE)-1)&amp;"]"))), FALSE))),""))),"")</f>
        <v/>
      </c>
      <c r="D708" s="204" t="str" cm="1">
        <f t="array" aca="1" ref="D708" ca="1">IFERROR(
IF($J$2="ELA",
IF(VLOOKUP($A708, YES_Reading_ELA[], COLUMN(INDIRECT("YES_Reading_ELA[Instructional Reading Level - Per "&amp;VLOOKUP($D$2, 'Reading Report Logic'!$A$2:$B$8, 2, FALSE)&amp;"]")), FALSE)="", "",
VLOOKUP($A708,YES_Reading_ELA[], COLUMN(INDIRECT("YES_Reading_ELA[Instructional Reading Level - Per "&amp;VLOOKUP($D$2,'Reading Report Logic'!$A$2:$B$8,2,FALSE)&amp;"]")), FALSE)),
IF($J$2="FLA",
IF(VLOOKUP($A708, YES_Reading_FLA[], COLUMN(INDIRECT("YES_Reading_FLA[Instructional Reading Level - Per "&amp;VLOOKUP($D$2,'Reading Report Logic'!$A$2:$B$8,2,FALSE)&amp;"]")),FALSE)="","",
VLOOKUP($A708,YES_Reading_FLA[],COLUMN(INDIRECT("YES_Reading_FLA[Instructional Reading Level - Per "&amp;VLOOKUP($D$2,'Reading Report Logic'!$A$2:$B$8,2,FALSE)&amp;"]")),FALSE)),
IF($J$2="Combined",
IFERROR(
IF(VLOOKUP($A708, YES_Reading_ELA[], COLUMN(INDIRECT("YES_Reading_ELA[Instructional Reading Level - Per "&amp;VLOOKUP($D$2, 'Reading Report Logic'!$A$2:$B$8,2,FALSE)&amp;"]")), FALSE)="", "",
VLOOKUP($A708,YES_Reading_ELA[],COLUMN(INDIRECT("YES_Reading_ELA[Instructional Reading Level - Per "&amp;VLOOKUP($D$2,'Reading Report Logic'!$A$2:$B$8,2,FALSE)&amp;"]")),FALSE)),
IF(VLOOKUP($A708, YES_Reading_FLA[], COLUMN(INDIRECT("YES_Reading_FLA[Instructional Reading Level - Per "&amp;VLOOKUP($D$2, 'Reading Report Logic'!$A$2:$B$8, 2, FALSE)&amp;"]")),FALSE)="", "", VLOOKUP($A708,YES_Reading_FLA[],COLUMN(INDIRECT("YES_Reading_FLA[Instructional Reading Level - Per "&amp;VLOOKUP($D$2, 'Reading Report Logic'!$A$2:$B$8, 2, FALSE)&amp;"]")),FALSE))),""))),"")</f>
        <v/>
      </c>
      <c r="E708" s="205" t="str" cm="1">
        <f t="array" aca="1" ref="E708" ca="1">IFERROR(
IF($J$2="ELA",
IF(VLOOKUP($A708, YES_Reading_ELA[], COLUMN(INDIRECT("YES_Reading_ELA[Min Expectation - Per "&amp;VLOOKUP($D$2, 'Reading Report Logic'!$A$2:$B$8, 2, FALSE)&amp;"]")), FALSE)="", "",
VLOOKUP($A708,YES_Reading_ELA[], COLUMN(INDIRECT("YES_Reading_ELA[Min Expectation - Per "&amp;VLOOKUP($D$2,'Reading Report Logic'!$A$2:$B$8,2,FALSE)&amp;"]")), FALSE)),
IF($J$2="FLA",
IF(VLOOKUP($A708, YES_Reading_FLA[], COLUMN(INDIRECT("YES_Reading_FLA[Min Expectation - Per "&amp;VLOOKUP($D$2,'Reading Report Logic'!$A$2:$B$8,2,FALSE)&amp;"]")),FALSE)="","",
VLOOKUP($A708,YES_Reading_FLA[],COLUMN(INDIRECT("YES_Reading_FLA[Min Expectation - Per "&amp;VLOOKUP($D$2,'Reading Report Logic'!$A$2:$B$8,2,FALSE)&amp;"]")),FALSE)),
IF($J$2="Combined",
IFERROR(
IF(VLOOKUP($A708, YES_Reading_ELA[], COLUMN(INDIRECT("YES_Reading_ELA[Min Expectation - Per "&amp;VLOOKUP($D$2, 'Reading Report Logic'!$A$2:$B$8,2,FALSE)&amp;"]")), FALSE)="", "",
VLOOKUP($A708,YES_Reading_ELA[],COLUMN(INDIRECT("YES_Reading_ELA[Min Expectation - Per "&amp;VLOOKUP($D$2,'Reading Report Logic'!$A$2:$B$8,2,FALSE)&amp;"]")),FALSE)),
IF(VLOOKUP($A708, YES_Reading_FLA[], COLUMN(INDIRECT("YES_Reading_FLA[Min Expectation - Per "&amp;VLOOKUP($D$2, 'Reading Report Logic'!$A$2:$B$8, 2, FALSE)&amp;"]")),FALSE)="", "", VLOOKUP($A708,YES_Reading_FLA[],COLUMN(INDIRECT("YES_Reading_FLA[Min Expectation - Per "&amp;VLOOKUP($D$2, 'Reading Report Logic'!$A$2:$B$8, 2, FALSE)&amp;"]")),FALSE))),""))),"")</f>
        <v/>
      </c>
      <c r="F708" s="205" t="str" cm="1">
        <f t="array" aca="1" ref="F708" ca="1">IFERROR(
IF($J$2="ELA",
IF(VLOOKUP($A708, YES_Reading_ELA[], COLUMN(INDIRECT("YES_Reading_ELA[Max Expectation - Per "&amp;VLOOKUP($D$2, 'Reading Report Logic'!$A$2:$B$8, 2, FALSE)&amp;"]")), FALSE)="", "",
VLOOKUP($A708,YES_Reading_ELA[], COLUMN(INDIRECT("YES_Reading_ELA[Max Expectation - Per "&amp;VLOOKUP($D$2,'Reading Report Logic'!$A$2:$B$8,2,FALSE)&amp;"]")), FALSE)),
IF($J$2="FLA",
IF(VLOOKUP($A708, YES_Reading_FLA[], COLUMN(INDIRECT("YES_Reading_FLA[Max Expectation - Per "&amp;VLOOKUP($D$2,'Reading Report Logic'!$A$2:$B$8,2,FALSE)&amp;"]")),FALSE)="","",
VLOOKUP($A708,YES_Reading_FLA[],COLUMN(INDIRECT("YES_Reading_FLA[Max Expectation - Per "&amp;VLOOKUP($D$2,'Reading Report Logic'!$A$2:$B$8,2,FALSE)&amp;"]")),FALSE)),
IF($J$2="Combined",
IFERROR(
IF(VLOOKUP($A708, YES_Reading_ELA[], COLUMN(INDIRECT("YES_Reading_ELA[Max Expectation - Per "&amp;VLOOKUP($D$2, 'Reading Report Logic'!$A$2:$B$8,2,FALSE)&amp;"]")), FALSE)="", "",
VLOOKUP($A708,YES_Reading_ELA[],COLUMN(INDIRECT("YES_Reading_ELA[Max Expectation - Per "&amp;VLOOKUP($D$2,'Reading Report Logic'!$A$2:$B$8,2,FALSE)&amp;"]")),FALSE)),
IF(VLOOKUP($A708, YES_Reading_FLA[], COLUMN(INDIRECT("YES_Reading_FLA[Max Expectation - Per "&amp;VLOOKUP($D$2, 'Reading Report Logic'!$A$2:$B$8, 2, FALSE)&amp;"]")),FALSE)="", "", VLOOKUP($A708,YES_Reading_FLA[],COLUMN(INDIRECT("YES_Reading_FLA[Max Expectation - Per "&amp;VLOOKUP($D$2, 'Reading Report Logic'!$A$2:$B$8, 2, FALSE)&amp;"]")),FALSE))),""))),"")</f>
        <v/>
      </c>
      <c r="G708" s="205" t="str" cm="1">
        <f t="array" aca="1" ref="G708" ca="1">IFERROR(
IF($J$2="ELA",
IF(VLOOKUP($A708, YES_Reading_ELA[], COLUMN(INDIRECT("YES_Reading_ELA[Difference - Per "&amp;VLOOKUP($D$2, 'Reading Report Logic'!$A$2:$B$8, 2, FALSE)&amp;"]")), FALSE)="", "",
VLOOKUP($A708,YES_Reading_ELA[], COLUMN(INDIRECT("YES_Reading_ELA[Difference - Per "&amp;VLOOKUP($D$2,'Reading Report Logic'!$A$2:$B$8,2,FALSE)&amp;"]")), FALSE)),
IF($J$2="FLA",
IF(VLOOKUP($A708, YES_Reading_FLA[], COLUMN(INDIRECT("YES_Reading_FLA[Difference - Per "&amp;VLOOKUP($D$2,'Reading Report Logic'!$A$2:$B$8,2,FALSE)&amp;"]")),FALSE)="","",
VLOOKUP($A708,YES_Reading_FLA[],COLUMN(INDIRECT("YES_Reading_FLA[Difference - Per "&amp;VLOOKUP($D$2,'Reading Report Logic'!$A$2:$B$8,2,FALSE)&amp;"]")),FALSE)),
IF($J$2="Combined",
IFERROR(
IF(VLOOKUP($A708, YES_Reading_ELA[], COLUMN(INDIRECT("YES_Reading_ELA[Difference - Per "&amp;VLOOKUP($D$2, 'Reading Report Logic'!$A$2:$B$8,2,FALSE)&amp;"]")), FALSE)="", "",
VLOOKUP($A708,YES_Reading_ELA[],COLUMN(INDIRECT("YES_Reading_ELA[Difference - Per "&amp;VLOOKUP($D$2,'Reading Report Logic'!$A$2:$B$8,2,FALSE)&amp;"]")),FALSE)),
IF(VLOOKUP($A708, YES_Reading_FLA[], COLUMN(INDIRECT("YES_Reading_FLA[Difference - Per "&amp;VLOOKUP($D$2, 'Reading Report Logic'!$A$2:$B$8, 2, FALSE)&amp;"]")),FALSE)="", "", VLOOKUP($A708,YES_Reading_FLA[],COLUMN(INDIRECT("YES_Reading_FLA[Difference - Per "&amp;VLOOKUP($D$2, 'Reading Report Logic'!$A$2:$B$8, 2, FALSE)&amp;"]")),FALSE))),""))),"")</f>
        <v/>
      </c>
      <c r="H708" s="206" t="str">
        <f ca="1">IFERROR(VLOOKUP('Teacher Reading Pull Sheets'!$D708,_xlfn.VSTACK('ELA Reading Logic'!$A$22:$B$48,'FLA Reading Logic'!$A$22:$B$53),2,FALSE)-VLOOKUP('Teacher Reading Pull Sheets'!$C708,_xlfn.VSTACK('ELA Reading Logic'!$A$22:$B$48,'FLA Reading Logic'!$A$22:$B$53),2,FALSE),"")</f>
        <v/>
      </c>
      <c r="I708" s="212"/>
      <c r="J708" s="206"/>
      <c r="K708" s="197" t="str" cm="1">
        <f t="array" ref="K708">IFERROR(
IF($J$2="ELA",
IF(VLOOKUP($A708, YES_Reading_ELA[], COLUMN(YES_Reading_ELA[Self-Identified as African Descent]), FALSE)="", "",
VLOOKUP($A708,YES_Reading_ELA[], COLUMN(YES_Reading_ELA[Self-Identified as African Descent]), FALSE)),
IF($J$2="FLA",
IF(VLOOKUP($A708, YES_Reading_FLA[], COLUMN(YES_Reading_FLA[Self-Identified as African Descent]),FALSE)="","",
VLOOKUP($A708,YES_Reading_FLA[],COLUMN(YES_Reading_FLA[Self-Identified as African Descent]),FALSE)),
IF($J$2="Combined",
IFERROR(
IF(VLOOKUP($A708, YES_Reading_ELA[], COLUMN(YES_Reading_ELA[Self-Identified as African Descent]), FALSE)="", "",
VLOOKUP($A708,YES_Reading_ELA[],COLUMN(YES_Reading_ELA[Self-Identified as African Descent]),FALSE)),
IF(VLOOKUP($A708, YES_Reading_FLA[], COLUMN(YES_Reading_FLA[Self-Identified as African Descent]),FALSE)="", "", VLOOKUP($A708,YES_Reading_FLA[],COLUMN(YES_Reading_FLA[Self-Identified as African Descent]),FALSE))),""))),"")</f>
        <v/>
      </c>
      <c r="L708" s="73" t="str" cm="1">
        <f t="array" ref="L708">IFERROR(
IF($J$2="ELA",
IF(VLOOKUP($A708, YES_Reading_ELA[], COLUMN(YES_Reading_ELA[Self-Identified as Indigenous]), FALSE)="", "",
VLOOKUP($A708,YES_Reading_ELA[], COLUMN(YES_Reading_ELA[Self-Identified as Indigenous]), FALSE)),
IF($J$2="FLA",
IF(VLOOKUP($A708, YES_Reading_FLA[], COLUMN(YES_Reading_FLA[Self-Identified as Indigenous]),FALSE)="","",
VLOOKUP($A708,YES_Reading_FLA[],COLUMN(YES_Reading_FLA[Self-Identified as Indigenous]),FALSE)),
IF($J$2="Combined",
IFERROR(
IF(VLOOKUP($A708, YES_Reading_ELA[], COLUMN(YES_Reading_ELA[Self-Identified as Indigenous]), FALSE)="", "",
VLOOKUP($A708,YES_Reading_ELA[],COLUMN(YES_Reading_ELA[Self-Identified as Indigenous]),FALSE)),
IF(VLOOKUP($A708, YES_Reading_FLA[], COLUMN(YES_Reading_FLA[Self-Identified as Indigenous]),FALSE)="", "", VLOOKUP($A708,YES_Reading_FLA[],COLUMN(YES_Reading_FLA[Self-Identified as Indigenous]),FALSE))),""))),"")</f>
        <v/>
      </c>
    </row>
    <row r="709" spans="1:12" ht="19.5" customHeight="1" x14ac:dyDescent="0.25">
      <c r="A709" s="217"/>
      <c r="B709" s="220" t="str">
        <f>IFERROR(VLOOKUP(A709,_xlfn.VSTACK(YES_Reading_ELA[],YES_Reading_FLA[]),2,FALSE),"")</f>
        <v/>
      </c>
      <c r="C709" s="203" t="str" cm="1">
        <f t="array" aca="1" ref="C709" ca="1">IFERROR(
IF($J$2="ELA",
IF(VLOOKUP($A709, YES_Reading_ELA[], COLUMN(IF(VLOOKUP($D$2, 'Reading Report Logic'!$A$2:$B$8, 2, FALSE)=1, YES_Reading_ELA[Reading Level June of Previous School Year], INDIRECT("YES_Reading_ELA[Instructional Reading Level - Per "&amp;(VLOOKUP($D$2,'Reading Report Logic'!$A$2:$B$8,2,FALSE)-1)&amp;"]"))), FALSE)="", "",
VLOOKUP($A709,YES_Reading_ELA[], COLUMN(IF(VLOOKUP($D$2,'Reading Report Logic'!$A$2:$B$8,2,FALSE)=1, YES_Reading_ELA[Reading Level June of Previous School Year],INDIRECT("YES_Reading_ELA[Instructional Reading Level - Per "&amp;(VLOOKUP($D$2,'Reading Report Logic'!$A$2:$B$8,2,FALSE)-1)&amp;"]"))), FALSE)),
IF($J$2="FLA",
IF(VLOOKUP($A709, YES_Reading_FLA[], COLUMN(IF(VLOOKUP($D$2,'Reading Report Logic'!$A$2:$B$8,2,FALSE)=1, YES_Reading_FLA[Reading Level June of Previous School Year],INDIRECT("YES_Reading_FLA[Instructional Reading Level - Per "&amp;(VLOOKUP($D$2,'Reading Report Logic'!$A$2:$B$8,2,FALSE)-1)&amp;"]"))),FALSE)="","",
VLOOKUP($A709,YES_Reading_FLA[], COLUMN(IF(VLOOKUP($D$2,'Reading Report Logic'!$A$2:$B$8,2,FALSE)=1, YES_Reading_FLA[Reading Level June of Previous School Year],INDIRECT("YES_Reading_FLA[Instructional Reading Level - Per "&amp;(VLOOKUP($D$2,'Reading Report Logic'!$A$2:$B$8,2,FALSE)-1)&amp;"]"))),FALSE)),
IF($J$2="Combined",
IFERROR(
IF(VLOOKUP($A709, YES_Reading_ELA[], COLUMN(IF(VLOOKUP($D$2,'Reading Report Logic'!$A$2:$B$8,2,FALSE)=1, YES_Reading_ELA[Reading Level June of Previous School Year],INDIRECT("YES_Reading_ELA[Instructional Reading Level - Per "&amp;(VLOOKUP($D$2,'Reading Report Logic'!$A$2:$B$8,2,FALSE)-1)&amp;"]"))), FALSE)="", "",
VLOOKUP($A709,YES_Reading_ELA[],COLUMN(IF(VLOOKUP($D$2,'Reading Report Logic'!$A$2:$B$8,2,FALSE)=1, YES_Reading_ELA[Reading Level June of Previous School Year],INDIRECT("YES_Reading_ELA[Instructional Reading Level - Per "&amp;(VLOOKUP($D$2,'Reading Report Logic'!$A$2:$B$8,2,FALSE)-1)&amp;"]"))),FALSE)),
IF(VLOOKUP($A709, YES_Reading_FLA[], COLUMN(IF(VLOOKUP($D$2,'Reading Report Logic'!$A$2:$B$8,2,FALSE)=1, YES_Reading_FLA[Reading Level June of Previous School Year],INDIRECT("YES_Reading_FLA[Instructional Reading Level - Per "&amp;(VLOOKUP($D$2,'Reading Report Logic'!$A$2:$B$8,2,FALSE)-1)&amp;"]"))),FALSE)="", "", VLOOKUP($A709,YES_Reading_FLA[],COLUMN(IF(VLOOKUP($D$2,'Reading Report Logic'!$A$2:$B$8,2,FALSE)=1, YES_Reading_FLA[Reading Level June of Previous School Year],INDIRECT("YES_Reading_FLA[Instructional Reading Level - Per "&amp;(VLOOKUP($D$2,'Reading Report Logic'!$A$2:$B$8,2,FALSE)-1)&amp;"]"))), FALSE))),""))),"")</f>
        <v/>
      </c>
      <c r="D709" s="204" t="str" cm="1">
        <f t="array" aca="1" ref="D709" ca="1">IFERROR(
IF($J$2="ELA",
IF(VLOOKUP($A709, YES_Reading_ELA[], COLUMN(INDIRECT("YES_Reading_ELA[Instructional Reading Level - Per "&amp;VLOOKUP($D$2, 'Reading Report Logic'!$A$2:$B$8, 2, FALSE)&amp;"]")), FALSE)="", "",
VLOOKUP($A709,YES_Reading_ELA[], COLUMN(INDIRECT("YES_Reading_ELA[Instructional Reading Level - Per "&amp;VLOOKUP($D$2,'Reading Report Logic'!$A$2:$B$8,2,FALSE)&amp;"]")), FALSE)),
IF($J$2="FLA",
IF(VLOOKUP($A709, YES_Reading_FLA[], COLUMN(INDIRECT("YES_Reading_FLA[Instructional Reading Level - Per "&amp;VLOOKUP($D$2,'Reading Report Logic'!$A$2:$B$8,2,FALSE)&amp;"]")),FALSE)="","",
VLOOKUP($A709,YES_Reading_FLA[],COLUMN(INDIRECT("YES_Reading_FLA[Instructional Reading Level - Per "&amp;VLOOKUP($D$2,'Reading Report Logic'!$A$2:$B$8,2,FALSE)&amp;"]")),FALSE)),
IF($J$2="Combined",
IFERROR(
IF(VLOOKUP($A709, YES_Reading_ELA[], COLUMN(INDIRECT("YES_Reading_ELA[Instructional Reading Level - Per "&amp;VLOOKUP($D$2, 'Reading Report Logic'!$A$2:$B$8,2,FALSE)&amp;"]")), FALSE)="", "",
VLOOKUP($A709,YES_Reading_ELA[],COLUMN(INDIRECT("YES_Reading_ELA[Instructional Reading Level - Per "&amp;VLOOKUP($D$2,'Reading Report Logic'!$A$2:$B$8,2,FALSE)&amp;"]")),FALSE)),
IF(VLOOKUP($A709, YES_Reading_FLA[], COLUMN(INDIRECT("YES_Reading_FLA[Instructional Reading Level - Per "&amp;VLOOKUP($D$2, 'Reading Report Logic'!$A$2:$B$8, 2, FALSE)&amp;"]")),FALSE)="", "", VLOOKUP($A709,YES_Reading_FLA[],COLUMN(INDIRECT("YES_Reading_FLA[Instructional Reading Level - Per "&amp;VLOOKUP($D$2, 'Reading Report Logic'!$A$2:$B$8, 2, FALSE)&amp;"]")),FALSE))),""))),"")</f>
        <v/>
      </c>
      <c r="E709" s="205" t="str" cm="1">
        <f t="array" aca="1" ref="E709" ca="1">IFERROR(
IF($J$2="ELA",
IF(VLOOKUP($A709, YES_Reading_ELA[], COLUMN(INDIRECT("YES_Reading_ELA[Min Expectation - Per "&amp;VLOOKUP($D$2, 'Reading Report Logic'!$A$2:$B$8, 2, FALSE)&amp;"]")), FALSE)="", "",
VLOOKUP($A709,YES_Reading_ELA[], COLUMN(INDIRECT("YES_Reading_ELA[Min Expectation - Per "&amp;VLOOKUP($D$2,'Reading Report Logic'!$A$2:$B$8,2,FALSE)&amp;"]")), FALSE)),
IF($J$2="FLA",
IF(VLOOKUP($A709, YES_Reading_FLA[], COLUMN(INDIRECT("YES_Reading_FLA[Min Expectation - Per "&amp;VLOOKUP($D$2,'Reading Report Logic'!$A$2:$B$8,2,FALSE)&amp;"]")),FALSE)="","",
VLOOKUP($A709,YES_Reading_FLA[],COLUMN(INDIRECT("YES_Reading_FLA[Min Expectation - Per "&amp;VLOOKUP($D$2,'Reading Report Logic'!$A$2:$B$8,2,FALSE)&amp;"]")),FALSE)),
IF($J$2="Combined",
IFERROR(
IF(VLOOKUP($A709, YES_Reading_ELA[], COLUMN(INDIRECT("YES_Reading_ELA[Min Expectation - Per "&amp;VLOOKUP($D$2, 'Reading Report Logic'!$A$2:$B$8,2,FALSE)&amp;"]")), FALSE)="", "",
VLOOKUP($A709,YES_Reading_ELA[],COLUMN(INDIRECT("YES_Reading_ELA[Min Expectation - Per "&amp;VLOOKUP($D$2,'Reading Report Logic'!$A$2:$B$8,2,FALSE)&amp;"]")),FALSE)),
IF(VLOOKUP($A709, YES_Reading_FLA[], COLUMN(INDIRECT("YES_Reading_FLA[Min Expectation - Per "&amp;VLOOKUP($D$2, 'Reading Report Logic'!$A$2:$B$8, 2, FALSE)&amp;"]")),FALSE)="", "", VLOOKUP($A709,YES_Reading_FLA[],COLUMN(INDIRECT("YES_Reading_FLA[Min Expectation - Per "&amp;VLOOKUP($D$2, 'Reading Report Logic'!$A$2:$B$8, 2, FALSE)&amp;"]")),FALSE))),""))),"")</f>
        <v/>
      </c>
      <c r="F709" s="205" t="str" cm="1">
        <f t="array" aca="1" ref="F709" ca="1">IFERROR(
IF($J$2="ELA",
IF(VLOOKUP($A709, YES_Reading_ELA[], COLUMN(INDIRECT("YES_Reading_ELA[Max Expectation - Per "&amp;VLOOKUP($D$2, 'Reading Report Logic'!$A$2:$B$8, 2, FALSE)&amp;"]")), FALSE)="", "",
VLOOKUP($A709,YES_Reading_ELA[], COLUMN(INDIRECT("YES_Reading_ELA[Max Expectation - Per "&amp;VLOOKUP($D$2,'Reading Report Logic'!$A$2:$B$8,2,FALSE)&amp;"]")), FALSE)),
IF($J$2="FLA",
IF(VLOOKUP($A709, YES_Reading_FLA[], COLUMN(INDIRECT("YES_Reading_FLA[Max Expectation - Per "&amp;VLOOKUP($D$2,'Reading Report Logic'!$A$2:$B$8,2,FALSE)&amp;"]")),FALSE)="","",
VLOOKUP($A709,YES_Reading_FLA[],COLUMN(INDIRECT("YES_Reading_FLA[Max Expectation - Per "&amp;VLOOKUP($D$2,'Reading Report Logic'!$A$2:$B$8,2,FALSE)&amp;"]")),FALSE)),
IF($J$2="Combined",
IFERROR(
IF(VLOOKUP($A709, YES_Reading_ELA[], COLUMN(INDIRECT("YES_Reading_ELA[Max Expectation - Per "&amp;VLOOKUP($D$2, 'Reading Report Logic'!$A$2:$B$8,2,FALSE)&amp;"]")), FALSE)="", "",
VLOOKUP($A709,YES_Reading_ELA[],COLUMN(INDIRECT("YES_Reading_ELA[Max Expectation - Per "&amp;VLOOKUP($D$2,'Reading Report Logic'!$A$2:$B$8,2,FALSE)&amp;"]")),FALSE)),
IF(VLOOKUP($A709, YES_Reading_FLA[], COLUMN(INDIRECT("YES_Reading_FLA[Max Expectation - Per "&amp;VLOOKUP($D$2, 'Reading Report Logic'!$A$2:$B$8, 2, FALSE)&amp;"]")),FALSE)="", "", VLOOKUP($A709,YES_Reading_FLA[],COLUMN(INDIRECT("YES_Reading_FLA[Max Expectation - Per "&amp;VLOOKUP($D$2, 'Reading Report Logic'!$A$2:$B$8, 2, FALSE)&amp;"]")),FALSE))),""))),"")</f>
        <v/>
      </c>
      <c r="G709" s="205" t="str" cm="1">
        <f t="array" aca="1" ref="G709" ca="1">IFERROR(
IF($J$2="ELA",
IF(VLOOKUP($A709, YES_Reading_ELA[], COLUMN(INDIRECT("YES_Reading_ELA[Difference - Per "&amp;VLOOKUP($D$2, 'Reading Report Logic'!$A$2:$B$8, 2, FALSE)&amp;"]")), FALSE)="", "",
VLOOKUP($A709,YES_Reading_ELA[], COLUMN(INDIRECT("YES_Reading_ELA[Difference - Per "&amp;VLOOKUP($D$2,'Reading Report Logic'!$A$2:$B$8,2,FALSE)&amp;"]")), FALSE)),
IF($J$2="FLA",
IF(VLOOKUP($A709, YES_Reading_FLA[], COLUMN(INDIRECT("YES_Reading_FLA[Difference - Per "&amp;VLOOKUP($D$2,'Reading Report Logic'!$A$2:$B$8,2,FALSE)&amp;"]")),FALSE)="","",
VLOOKUP($A709,YES_Reading_FLA[],COLUMN(INDIRECT("YES_Reading_FLA[Difference - Per "&amp;VLOOKUP($D$2,'Reading Report Logic'!$A$2:$B$8,2,FALSE)&amp;"]")),FALSE)),
IF($J$2="Combined",
IFERROR(
IF(VLOOKUP($A709, YES_Reading_ELA[], COLUMN(INDIRECT("YES_Reading_ELA[Difference - Per "&amp;VLOOKUP($D$2, 'Reading Report Logic'!$A$2:$B$8,2,FALSE)&amp;"]")), FALSE)="", "",
VLOOKUP($A709,YES_Reading_ELA[],COLUMN(INDIRECT("YES_Reading_ELA[Difference - Per "&amp;VLOOKUP($D$2,'Reading Report Logic'!$A$2:$B$8,2,FALSE)&amp;"]")),FALSE)),
IF(VLOOKUP($A709, YES_Reading_FLA[], COLUMN(INDIRECT("YES_Reading_FLA[Difference - Per "&amp;VLOOKUP($D$2, 'Reading Report Logic'!$A$2:$B$8, 2, FALSE)&amp;"]")),FALSE)="", "", VLOOKUP($A709,YES_Reading_FLA[],COLUMN(INDIRECT("YES_Reading_FLA[Difference - Per "&amp;VLOOKUP($D$2, 'Reading Report Logic'!$A$2:$B$8, 2, FALSE)&amp;"]")),FALSE))),""))),"")</f>
        <v/>
      </c>
      <c r="H709" s="206" t="str">
        <f ca="1">IFERROR(VLOOKUP('Teacher Reading Pull Sheets'!$D709,_xlfn.VSTACK('ELA Reading Logic'!$A$22:$B$48,'FLA Reading Logic'!$A$22:$B$53),2,FALSE)-VLOOKUP('Teacher Reading Pull Sheets'!$C709,_xlfn.VSTACK('ELA Reading Logic'!$A$22:$B$48,'FLA Reading Logic'!$A$22:$B$53),2,FALSE),"")</f>
        <v/>
      </c>
      <c r="I709" s="212"/>
      <c r="J709" s="206"/>
      <c r="K709" s="197" t="str" cm="1">
        <f t="array" ref="K709">IFERROR(
IF($J$2="ELA",
IF(VLOOKUP($A709, YES_Reading_ELA[], COLUMN(YES_Reading_ELA[Self-Identified as African Descent]), FALSE)="", "",
VLOOKUP($A709,YES_Reading_ELA[], COLUMN(YES_Reading_ELA[Self-Identified as African Descent]), FALSE)),
IF($J$2="FLA",
IF(VLOOKUP($A709, YES_Reading_FLA[], COLUMN(YES_Reading_FLA[Self-Identified as African Descent]),FALSE)="","",
VLOOKUP($A709,YES_Reading_FLA[],COLUMN(YES_Reading_FLA[Self-Identified as African Descent]),FALSE)),
IF($J$2="Combined",
IFERROR(
IF(VLOOKUP($A709, YES_Reading_ELA[], COLUMN(YES_Reading_ELA[Self-Identified as African Descent]), FALSE)="", "",
VLOOKUP($A709,YES_Reading_ELA[],COLUMN(YES_Reading_ELA[Self-Identified as African Descent]),FALSE)),
IF(VLOOKUP($A709, YES_Reading_FLA[], COLUMN(YES_Reading_FLA[Self-Identified as African Descent]),FALSE)="", "", VLOOKUP($A709,YES_Reading_FLA[],COLUMN(YES_Reading_FLA[Self-Identified as African Descent]),FALSE))),""))),"")</f>
        <v/>
      </c>
      <c r="L709" s="73" t="str" cm="1">
        <f t="array" ref="L709">IFERROR(
IF($J$2="ELA",
IF(VLOOKUP($A709, YES_Reading_ELA[], COLUMN(YES_Reading_ELA[Self-Identified as Indigenous]), FALSE)="", "",
VLOOKUP($A709,YES_Reading_ELA[], COLUMN(YES_Reading_ELA[Self-Identified as Indigenous]), FALSE)),
IF($J$2="FLA",
IF(VLOOKUP($A709, YES_Reading_FLA[], COLUMN(YES_Reading_FLA[Self-Identified as Indigenous]),FALSE)="","",
VLOOKUP($A709,YES_Reading_FLA[],COLUMN(YES_Reading_FLA[Self-Identified as Indigenous]),FALSE)),
IF($J$2="Combined",
IFERROR(
IF(VLOOKUP($A709, YES_Reading_ELA[], COLUMN(YES_Reading_ELA[Self-Identified as Indigenous]), FALSE)="", "",
VLOOKUP($A709,YES_Reading_ELA[],COLUMN(YES_Reading_ELA[Self-Identified as Indigenous]),FALSE)),
IF(VLOOKUP($A709, YES_Reading_FLA[], COLUMN(YES_Reading_FLA[Self-Identified as Indigenous]),FALSE)="", "", VLOOKUP($A709,YES_Reading_FLA[],COLUMN(YES_Reading_FLA[Self-Identified as Indigenous]),FALSE))),""))),"")</f>
        <v/>
      </c>
    </row>
    <row r="710" spans="1:12" ht="19.5" customHeight="1" x14ac:dyDescent="0.25">
      <c r="A710" s="217"/>
      <c r="B710" s="220" t="str">
        <f>IFERROR(VLOOKUP(A710,_xlfn.VSTACK(YES_Reading_ELA[],YES_Reading_FLA[]),2,FALSE),"")</f>
        <v/>
      </c>
      <c r="C710" s="203" t="str" cm="1">
        <f t="array" aca="1" ref="C710" ca="1">IFERROR(
IF($J$2="ELA",
IF(VLOOKUP($A710, YES_Reading_ELA[], COLUMN(IF(VLOOKUP($D$2, 'Reading Report Logic'!$A$2:$B$8, 2, FALSE)=1, YES_Reading_ELA[Reading Level June of Previous School Year], INDIRECT("YES_Reading_ELA[Instructional Reading Level - Per "&amp;(VLOOKUP($D$2,'Reading Report Logic'!$A$2:$B$8,2,FALSE)-1)&amp;"]"))), FALSE)="", "",
VLOOKUP($A710,YES_Reading_ELA[], COLUMN(IF(VLOOKUP($D$2,'Reading Report Logic'!$A$2:$B$8,2,FALSE)=1, YES_Reading_ELA[Reading Level June of Previous School Year],INDIRECT("YES_Reading_ELA[Instructional Reading Level - Per "&amp;(VLOOKUP($D$2,'Reading Report Logic'!$A$2:$B$8,2,FALSE)-1)&amp;"]"))), FALSE)),
IF($J$2="FLA",
IF(VLOOKUP($A710, YES_Reading_FLA[], COLUMN(IF(VLOOKUP($D$2,'Reading Report Logic'!$A$2:$B$8,2,FALSE)=1, YES_Reading_FLA[Reading Level June of Previous School Year],INDIRECT("YES_Reading_FLA[Instructional Reading Level - Per "&amp;(VLOOKUP($D$2,'Reading Report Logic'!$A$2:$B$8,2,FALSE)-1)&amp;"]"))),FALSE)="","",
VLOOKUP($A710,YES_Reading_FLA[], COLUMN(IF(VLOOKUP($D$2,'Reading Report Logic'!$A$2:$B$8,2,FALSE)=1, YES_Reading_FLA[Reading Level June of Previous School Year],INDIRECT("YES_Reading_FLA[Instructional Reading Level - Per "&amp;(VLOOKUP($D$2,'Reading Report Logic'!$A$2:$B$8,2,FALSE)-1)&amp;"]"))),FALSE)),
IF($J$2="Combined",
IFERROR(
IF(VLOOKUP($A710, YES_Reading_ELA[], COLUMN(IF(VLOOKUP($D$2,'Reading Report Logic'!$A$2:$B$8,2,FALSE)=1, YES_Reading_ELA[Reading Level June of Previous School Year],INDIRECT("YES_Reading_ELA[Instructional Reading Level - Per "&amp;(VLOOKUP($D$2,'Reading Report Logic'!$A$2:$B$8,2,FALSE)-1)&amp;"]"))), FALSE)="", "",
VLOOKUP($A710,YES_Reading_ELA[],COLUMN(IF(VLOOKUP($D$2,'Reading Report Logic'!$A$2:$B$8,2,FALSE)=1, YES_Reading_ELA[Reading Level June of Previous School Year],INDIRECT("YES_Reading_ELA[Instructional Reading Level - Per "&amp;(VLOOKUP($D$2,'Reading Report Logic'!$A$2:$B$8,2,FALSE)-1)&amp;"]"))),FALSE)),
IF(VLOOKUP($A710, YES_Reading_FLA[], COLUMN(IF(VLOOKUP($D$2,'Reading Report Logic'!$A$2:$B$8,2,FALSE)=1, YES_Reading_FLA[Reading Level June of Previous School Year],INDIRECT("YES_Reading_FLA[Instructional Reading Level - Per "&amp;(VLOOKUP($D$2,'Reading Report Logic'!$A$2:$B$8,2,FALSE)-1)&amp;"]"))),FALSE)="", "", VLOOKUP($A710,YES_Reading_FLA[],COLUMN(IF(VLOOKUP($D$2,'Reading Report Logic'!$A$2:$B$8,2,FALSE)=1, YES_Reading_FLA[Reading Level June of Previous School Year],INDIRECT("YES_Reading_FLA[Instructional Reading Level - Per "&amp;(VLOOKUP($D$2,'Reading Report Logic'!$A$2:$B$8,2,FALSE)-1)&amp;"]"))), FALSE))),""))),"")</f>
        <v/>
      </c>
      <c r="D710" s="204" t="str" cm="1">
        <f t="array" aca="1" ref="D710" ca="1">IFERROR(
IF($J$2="ELA",
IF(VLOOKUP($A710, YES_Reading_ELA[], COLUMN(INDIRECT("YES_Reading_ELA[Instructional Reading Level - Per "&amp;VLOOKUP($D$2, 'Reading Report Logic'!$A$2:$B$8, 2, FALSE)&amp;"]")), FALSE)="", "",
VLOOKUP($A710,YES_Reading_ELA[], COLUMN(INDIRECT("YES_Reading_ELA[Instructional Reading Level - Per "&amp;VLOOKUP($D$2,'Reading Report Logic'!$A$2:$B$8,2,FALSE)&amp;"]")), FALSE)),
IF($J$2="FLA",
IF(VLOOKUP($A710, YES_Reading_FLA[], COLUMN(INDIRECT("YES_Reading_FLA[Instructional Reading Level - Per "&amp;VLOOKUP($D$2,'Reading Report Logic'!$A$2:$B$8,2,FALSE)&amp;"]")),FALSE)="","",
VLOOKUP($A710,YES_Reading_FLA[],COLUMN(INDIRECT("YES_Reading_FLA[Instructional Reading Level - Per "&amp;VLOOKUP($D$2,'Reading Report Logic'!$A$2:$B$8,2,FALSE)&amp;"]")),FALSE)),
IF($J$2="Combined",
IFERROR(
IF(VLOOKUP($A710, YES_Reading_ELA[], COLUMN(INDIRECT("YES_Reading_ELA[Instructional Reading Level - Per "&amp;VLOOKUP($D$2, 'Reading Report Logic'!$A$2:$B$8,2,FALSE)&amp;"]")), FALSE)="", "",
VLOOKUP($A710,YES_Reading_ELA[],COLUMN(INDIRECT("YES_Reading_ELA[Instructional Reading Level - Per "&amp;VLOOKUP($D$2,'Reading Report Logic'!$A$2:$B$8,2,FALSE)&amp;"]")),FALSE)),
IF(VLOOKUP($A710, YES_Reading_FLA[], COLUMN(INDIRECT("YES_Reading_FLA[Instructional Reading Level - Per "&amp;VLOOKUP($D$2, 'Reading Report Logic'!$A$2:$B$8, 2, FALSE)&amp;"]")),FALSE)="", "", VLOOKUP($A710,YES_Reading_FLA[],COLUMN(INDIRECT("YES_Reading_FLA[Instructional Reading Level - Per "&amp;VLOOKUP($D$2, 'Reading Report Logic'!$A$2:$B$8, 2, FALSE)&amp;"]")),FALSE))),""))),"")</f>
        <v/>
      </c>
      <c r="E710" s="205" t="str" cm="1">
        <f t="array" aca="1" ref="E710" ca="1">IFERROR(
IF($J$2="ELA",
IF(VLOOKUP($A710, YES_Reading_ELA[], COLUMN(INDIRECT("YES_Reading_ELA[Min Expectation - Per "&amp;VLOOKUP($D$2, 'Reading Report Logic'!$A$2:$B$8, 2, FALSE)&amp;"]")), FALSE)="", "",
VLOOKUP($A710,YES_Reading_ELA[], COLUMN(INDIRECT("YES_Reading_ELA[Min Expectation - Per "&amp;VLOOKUP($D$2,'Reading Report Logic'!$A$2:$B$8,2,FALSE)&amp;"]")), FALSE)),
IF($J$2="FLA",
IF(VLOOKUP($A710, YES_Reading_FLA[], COLUMN(INDIRECT("YES_Reading_FLA[Min Expectation - Per "&amp;VLOOKUP($D$2,'Reading Report Logic'!$A$2:$B$8,2,FALSE)&amp;"]")),FALSE)="","",
VLOOKUP($A710,YES_Reading_FLA[],COLUMN(INDIRECT("YES_Reading_FLA[Min Expectation - Per "&amp;VLOOKUP($D$2,'Reading Report Logic'!$A$2:$B$8,2,FALSE)&amp;"]")),FALSE)),
IF($J$2="Combined",
IFERROR(
IF(VLOOKUP($A710, YES_Reading_ELA[], COLUMN(INDIRECT("YES_Reading_ELA[Min Expectation - Per "&amp;VLOOKUP($D$2, 'Reading Report Logic'!$A$2:$B$8,2,FALSE)&amp;"]")), FALSE)="", "",
VLOOKUP($A710,YES_Reading_ELA[],COLUMN(INDIRECT("YES_Reading_ELA[Min Expectation - Per "&amp;VLOOKUP($D$2,'Reading Report Logic'!$A$2:$B$8,2,FALSE)&amp;"]")),FALSE)),
IF(VLOOKUP($A710, YES_Reading_FLA[], COLUMN(INDIRECT("YES_Reading_FLA[Min Expectation - Per "&amp;VLOOKUP($D$2, 'Reading Report Logic'!$A$2:$B$8, 2, FALSE)&amp;"]")),FALSE)="", "", VLOOKUP($A710,YES_Reading_FLA[],COLUMN(INDIRECT("YES_Reading_FLA[Min Expectation - Per "&amp;VLOOKUP($D$2, 'Reading Report Logic'!$A$2:$B$8, 2, FALSE)&amp;"]")),FALSE))),""))),"")</f>
        <v/>
      </c>
      <c r="F710" s="205" t="str" cm="1">
        <f t="array" aca="1" ref="F710" ca="1">IFERROR(
IF($J$2="ELA",
IF(VLOOKUP($A710, YES_Reading_ELA[], COLUMN(INDIRECT("YES_Reading_ELA[Max Expectation - Per "&amp;VLOOKUP($D$2, 'Reading Report Logic'!$A$2:$B$8, 2, FALSE)&amp;"]")), FALSE)="", "",
VLOOKUP($A710,YES_Reading_ELA[], COLUMN(INDIRECT("YES_Reading_ELA[Max Expectation - Per "&amp;VLOOKUP($D$2,'Reading Report Logic'!$A$2:$B$8,2,FALSE)&amp;"]")), FALSE)),
IF($J$2="FLA",
IF(VLOOKUP($A710, YES_Reading_FLA[], COLUMN(INDIRECT("YES_Reading_FLA[Max Expectation - Per "&amp;VLOOKUP($D$2,'Reading Report Logic'!$A$2:$B$8,2,FALSE)&amp;"]")),FALSE)="","",
VLOOKUP($A710,YES_Reading_FLA[],COLUMN(INDIRECT("YES_Reading_FLA[Max Expectation - Per "&amp;VLOOKUP($D$2,'Reading Report Logic'!$A$2:$B$8,2,FALSE)&amp;"]")),FALSE)),
IF($J$2="Combined",
IFERROR(
IF(VLOOKUP($A710, YES_Reading_ELA[], COLUMN(INDIRECT("YES_Reading_ELA[Max Expectation - Per "&amp;VLOOKUP($D$2, 'Reading Report Logic'!$A$2:$B$8,2,FALSE)&amp;"]")), FALSE)="", "",
VLOOKUP($A710,YES_Reading_ELA[],COLUMN(INDIRECT("YES_Reading_ELA[Max Expectation - Per "&amp;VLOOKUP($D$2,'Reading Report Logic'!$A$2:$B$8,2,FALSE)&amp;"]")),FALSE)),
IF(VLOOKUP($A710, YES_Reading_FLA[], COLUMN(INDIRECT("YES_Reading_FLA[Max Expectation - Per "&amp;VLOOKUP($D$2, 'Reading Report Logic'!$A$2:$B$8, 2, FALSE)&amp;"]")),FALSE)="", "", VLOOKUP($A710,YES_Reading_FLA[],COLUMN(INDIRECT("YES_Reading_FLA[Max Expectation - Per "&amp;VLOOKUP($D$2, 'Reading Report Logic'!$A$2:$B$8, 2, FALSE)&amp;"]")),FALSE))),""))),"")</f>
        <v/>
      </c>
      <c r="G710" s="205" t="str" cm="1">
        <f t="array" aca="1" ref="G710" ca="1">IFERROR(
IF($J$2="ELA",
IF(VLOOKUP($A710, YES_Reading_ELA[], COLUMN(INDIRECT("YES_Reading_ELA[Difference - Per "&amp;VLOOKUP($D$2, 'Reading Report Logic'!$A$2:$B$8, 2, FALSE)&amp;"]")), FALSE)="", "",
VLOOKUP($A710,YES_Reading_ELA[], COLUMN(INDIRECT("YES_Reading_ELA[Difference - Per "&amp;VLOOKUP($D$2,'Reading Report Logic'!$A$2:$B$8,2,FALSE)&amp;"]")), FALSE)),
IF($J$2="FLA",
IF(VLOOKUP($A710, YES_Reading_FLA[], COLUMN(INDIRECT("YES_Reading_FLA[Difference - Per "&amp;VLOOKUP($D$2,'Reading Report Logic'!$A$2:$B$8,2,FALSE)&amp;"]")),FALSE)="","",
VLOOKUP($A710,YES_Reading_FLA[],COLUMN(INDIRECT("YES_Reading_FLA[Difference - Per "&amp;VLOOKUP($D$2,'Reading Report Logic'!$A$2:$B$8,2,FALSE)&amp;"]")),FALSE)),
IF($J$2="Combined",
IFERROR(
IF(VLOOKUP($A710, YES_Reading_ELA[], COLUMN(INDIRECT("YES_Reading_ELA[Difference - Per "&amp;VLOOKUP($D$2, 'Reading Report Logic'!$A$2:$B$8,2,FALSE)&amp;"]")), FALSE)="", "",
VLOOKUP($A710,YES_Reading_ELA[],COLUMN(INDIRECT("YES_Reading_ELA[Difference - Per "&amp;VLOOKUP($D$2,'Reading Report Logic'!$A$2:$B$8,2,FALSE)&amp;"]")),FALSE)),
IF(VLOOKUP($A710, YES_Reading_FLA[], COLUMN(INDIRECT("YES_Reading_FLA[Difference - Per "&amp;VLOOKUP($D$2, 'Reading Report Logic'!$A$2:$B$8, 2, FALSE)&amp;"]")),FALSE)="", "", VLOOKUP($A710,YES_Reading_FLA[],COLUMN(INDIRECT("YES_Reading_FLA[Difference - Per "&amp;VLOOKUP($D$2, 'Reading Report Logic'!$A$2:$B$8, 2, FALSE)&amp;"]")),FALSE))),""))),"")</f>
        <v/>
      </c>
      <c r="H710" s="206" t="str">
        <f ca="1">IFERROR(VLOOKUP('Teacher Reading Pull Sheets'!$D710,_xlfn.VSTACK('ELA Reading Logic'!$A$22:$B$48,'FLA Reading Logic'!$A$22:$B$53),2,FALSE)-VLOOKUP('Teacher Reading Pull Sheets'!$C710,_xlfn.VSTACK('ELA Reading Logic'!$A$22:$B$48,'FLA Reading Logic'!$A$22:$B$53),2,FALSE),"")</f>
        <v/>
      </c>
      <c r="I710" s="212"/>
      <c r="J710" s="206"/>
      <c r="K710" s="197" t="str" cm="1">
        <f t="array" ref="K710">IFERROR(
IF($J$2="ELA",
IF(VLOOKUP($A710, YES_Reading_ELA[], COLUMN(YES_Reading_ELA[Self-Identified as African Descent]), FALSE)="", "",
VLOOKUP($A710,YES_Reading_ELA[], COLUMN(YES_Reading_ELA[Self-Identified as African Descent]), FALSE)),
IF($J$2="FLA",
IF(VLOOKUP($A710, YES_Reading_FLA[], COLUMN(YES_Reading_FLA[Self-Identified as African Descent]),FALSE)="","",
VLOOKUP($A710,YES_Reading_FLA[],COLUMN(YES_Reading_FLA[Self-Identified as African Descent]),FALSE)),
IF($J$2="Combined",
IFERROR(
IF(VLOOKUP($A710, YES_Reading_ELA[], COLUMN(YES_Reading_ELA[Self-Identified as African Descent]), FALSE)="", "",
VLOOKUP($A710,YES_Reading_ELA[],COLUMN(YES_Reading_ELA[Self-Identified as African Descent]),FALSE)),
IF(VLOOKUP($A710, YES_Reading_FLA[], COLUMN(YES_Reading_FLA[Self-Identified as African Descent]),FALSE)="", "", VLOOKUP($A710,YES_Reading_FLA[],COLUMN(YES_Reading_FLA[Self-Identified as African Descent]),FALSE))),""))),"")</f>
        <v/>
      </c>
      <c r="L710" s="73" t="str" cm="1">
        <f t="array" ref="L710">IFERROR(
IF($J$2="ELA",
IF(VLOOKUP($A710, YES_Reading_ELA[], COLUMN(YES_Reading_ELA[Self-Identified as Indigenous]), FALSE)="", "",
VLOOKUP($A710,YES_Reading_ELA[], COLUMN(YES_Reading_ELA[Self-Identified as Indigenous]), FALSE)),
IF($J$2="FLA",
IF(VLOOKUP($A710, YES_Reading_FLA[], COLUMN(YES_Reading_FLA[Self-Identified as Indigenous]),FALSE)="","",
VLOOKUP($A710,YES_Reading_FLA[],COLUMN(YES_Reading_FLA[Self-Identified as Indigenous]),FALSE)),
IF($J$2="Combined",
IFERROR(
IF(VLOOKUP($A710, YES_Reading_ELA[], COLUMN(YES_Reading_ELA[Self-Identified as Indigenous]), FALSE)="", "",
VLOOKUP($A710,YES_Reading_ELA[],COLUMN(YES_Reading_ELA[Self-Identified as Indigenous]),FALSE)),
IF(VLOOKUP($A710, YES_Reading_FLA[], COLUMN(YES_Reading_FLA[Self-Identified as Indigenous]),FALSE)="", "", VLOOKUP($A710,YES_Reading_FLA[],COLUMN(YES_Reading_FLA[Self-Identified as Indigenous]),FALSE))),""))),"")</f>
        <v/>
      </c>
    </row>
    <row r="711" spans="1:12" ht="19.5" customHeight="1" x14ac:dyDescent="0.25">
      <c r="A711" s="217"/>
      <c r="B711" s="220" t="str">
        <f>IFERROR(VLOOKUP(A711,_xlfn.VSTACK(YES_Reading_ELA[],YES_Reading_FLA[]),2,FALSE),"")</f>
        <v/>
      </c>
      <c r="C711" s="203" t="str" cm="1">
        <f t="array" aca="1" ref="C711" ca="1">IFERROR(
IF($J$2="ELA",
IF(VLOOKUP($A711, YES_Reading_ELA[], COLUMN(IF(VLOOKUP($D$2, 'Reading Report Logic'!$A$2:$B$8, 2, FALSE)=1, YES_Reading_ELA[Reading Level June of Previous School Year], INDIRECT("YES_Reading_ELA[Instructional Reading Level - Per "&amp;(VLOOKUP($D$2,'Reading Report Logic'!$A$2:$B$8,2,FALSE)-1)&amp;"]"))), FALSE)="", "",
VLOOKUP($A711,YES_Reading_ELA[], COLUMN(IF(VLOOKUP($D$2,'Reading Report Logic'!$A$2:$B$8,2,FALSE)=1, YES_Reading_ELA[Reading Level June of Previous School Year],INDIRECT("YES_Reading_ELA[Instructional Reading Level - Per "&amp;(VLOOKUP($D$2,'Reading Report Logic'!$A$2:$B$8,2,FALSE)-1)&amp;"]"))), FALSE)),
IF($J$2="FLA",
IF(VLOOKUP($A711, YES_Reading_FLA[], COLUMN(IF(VLOOKUP($D$2,'Reading Report Logic'!$A$2:$B$8,2,FALSE)=1, YES_Reading_FLA[Reading Level June of Previous School Year],INDIRECT("YES_Reading_FLA[Instructional Reading Level - Per "&amp;(VLOOKUP($D$2,'Reading Report Logic'!$A$2:$B$8,2,FALSE)-1)&amp;"]"))),FALSE)="","",
VLOOKUP($A711,YES_Reading_FLA[], COLUMN(IF(VLOOKUP($D$2,'Reading Report Logic'!$A$2:$B$8,2,FALSE)=1, YES_Reading_FLA[Reading Level June of Previous School Year],INDIRECT("YES_Reading_FLA[Instructional Reading Level - Per "&amp;(VLOOKUP($D$2,'Reading Report Logic'!$A$2:$B$8,2,FALSE)-1)&amp;"]"))),FALSE)),
IF($J$2="Combined",
IFERROR(
IF(VLOOKUP($A711, YES_Reading_ELA[], COLUMN(IF(VLOOKUP($D$2,'Reading Report Logic'!$A$2:$B$8,2,FALSE)=1, YES_Reading_ELA[Reading Level June of Previous School Year],INDIRECT("YES_Reading_ELA[Instructional Reading Level - Per "&amp;(VLOOKUP($D$2,'Reading Report Logic'!$A$2:$B$8,2,FALSE)-1)&amp;"]"))), FALSE)="", "",
VLOOKUP($A711,YES_Reading_ELA[],COLUMN(IF(VLOOKUP($D$2,'Reading Report Logic'!$A$2:$B$8,2,FALSE)=1, YES_Reading_ELA[Reading Level June of Previous School Year],INDIRECT("YES_Reading_ELA[Instructional Reading Level - Per "&amp;(VLOOKUP($D$2,'Reading Report Logic'!$A$2:$B$8,2,FALSE)-1)&amp;"]"))),FALSE)),
IF(VLOOKUP($A711, YES_Reading_FLA[], COLUMN(IF(VLOOKUP($D$2,'Reading Report Logic'!$A$2:$B$8,2,FALSE)=1, YES_Reading_FLA[Reading Level June of Previous School Year],INDIRECT("YES_Reading_FLA[Instructional Reading Level - Per "&amp;(VLOOKUP($D$2,'Reading Report Logic'!$A$2:$B$8,2,FALSE)-1)&amp;"]"))),FALSE)="", "", VLOOKUP($A711,YES_Reading_FLA[],COLUMN(IF(VLOOKUP($D$2,'Reading Report Logic'!$A$2:$B$8,2,FALSE)=1, YES_Reading_FLA[Reading Level June of Previous School Year],INDIRECT("YES_Reading_FLA[Instructional Reading Level - Per "&amp;(VLOOKUP($D$2,'Reading Report Logic'!$A$2:$B$8,2,FALSE)-1)&amp;"]"))), FALSE))),""))),"")</f>
        <v/>
      </c>
      <c r="D711" s="204" t="str" cm="1">
        <f t="array" aca="1" ref="D711" ca="1">IFERROR(
IF($J$2="ELA",
IF(VLOOKUP($A711, YES_Reading_ELA[], COLUMN(INDIRECT("YES_Reading_ELA[Instructional Reading Level - Per "&amp;VLOOKUP($D$2, 'Reading Report Logic'!$A$2:$B$8, 2, FALSE)&amp;"]")), FALSE)="", "",
VLOOKUP($A711,YES_Reading_ELA[], COLUMN(INDIRECT("YES_Reading_ELA[Instructional Reading Level - Per "&amp;VLOOKUP($D$2,'Reading Report Logic'!$A$2:$B$8,2,FALSE)&amp;"]")), FALSE)),
IF($J$2="FLA",
IF(VLOOKUP($A711, YES_Reading_FLA[], COLUMN(INDIRECT("YES_Reading_FLA[Instructional Reading Level - Per "&amp;VLOOKUP($D$2,'Reading Report Logic'!$A$2:$B$8,2,FALSE)&amp;"]")),FALSE)="","",
VLOOKUP($A711,YES_Reading_FLA[],COLUMN(INDIRECT("YES_Reading_FLA[Instructional Reading Level - Per "&amp;VLOOKUP($D$2,'Reading Report Logic'!$A$2:$B$8,2,FALSE)&amp;"]")),FALSE)),
IF($J$2="Combined",
IFERROR(
IF(VLOOKUP($A711, YES_Reading_ELA[], COLUMN(INDIRECT("YES_Reading_ELA[Instructional Reading Level - Per "&amp;VLOOKUP($D$2, 'Reading Report Logic'!$A$2:$B$8,2,FALSE)&amp;"]")), FALSE)="", "",
VLOOKUP($A711,YES_Reading_ELA[],COLUMN(INDIRECT("YES_Reading_ELA[Instructional Reading Level - Per "&amp;VLOOKUP($D$2,'Reading Report Logic'!$A$2:$B$8,2,FALSE)&amp;"]")),FALSE)),
IF(VLOOKUP($A711, YES_Reading_FLA[], COLUMN(INDIRECT("YES_Reading_FLA[Instructional Reading Level - Per "&amp;VLOOKUP($D$2, 'Reading Report Logic'!$A$2:$B$8, 2, FALSE)&amp;"]")),FALSE)="", "", VLOOKUP($A711,YES_Reading_FLA[],COLUMN(INDIRECT("YES_Reading_FLA[Instructional Reading Level - Per "&amp;VLOOKUP($D$2, 'Reading Report Logic'!$A$2:$B$8, 2, FALSE)&amp;"]")),FALSE))),""))),"")</f>
        <v/>
      </c>
      <c r="E711" s="205" t="str" cm="1">
        <f t="array" aca="1" ref="E711" ca="1">IFERROR(
IF($J$2="ELA",
IF(VLOOKUP($A711, YES_Reading_ELA[], COLUMN(INDIRECT("YES_Reading_ELA[Min Expectation - Per "&amp;VLOOKUP($D$2, 'Reading Report Logic'!$A$2:$B$8, 2, FALSE)&amp;"]")), FALSE)="", "",
VLOOKUP($A711,YES_Reading_ELA[], COLUMN(INDIRECT("YES_Reading_ELA[Min Expectation - Per "&amp;VLOOKUP($D$2,'Reading Report Logic'!$A$2:$B$8,2,FALSE)&amp;"]")), FALSE)),
IF($J$2="FLA",
IF(VLOOKUP($A711, YES_Reading_FLA[], COLUMN(INDIRECT("YES_Reading_FLA[Min Expectation - Per "&amp;VLOOKUP($D$2,'Reading Report Logic'!$A$2:$B$8,2,FALSE)&amp;"]")),FALSE)="","",
VLOOKUP($A711,YES_Reading_FLA[],COLUMN(INDIRECT("YES_Reading_FLA[Min Expectation - Per "&amp;VLOOKUP($D$2,'Reading Report Logic'!$A$2:$B$8,2,FALSE)&amp;"]")),FALSE)),
IF($J$2="Combined",
IFERROR(
IF(VLOOKUP($A711, YES_Reading_ELA[], COLUMN(INDIRECT("YES_Reading_ELA[Min Expectation - Per "&amp;VLOOKUP($D$2, 'Reading Report Logic'!$A$2:$B$8,2,FALSE)&amp;"]")), FALSE)="", "",
VLOOKUP($A711,YES_Reading_ELA[],COLUMN(INDIRECT("YES_Reading_ELA[Min Expectation - Per "&amp;VLOOKUP($D$2,'Reading Report Logic'!$A$2:$B$8,2,FALSE)&amp;"]")),FALSE)),
IF(VLOOKUP($A711, YES_Reading_FLA[], COLUMN(INDIRECT("YES_Reading_FLA[Min Expectation - Per "&amp;VLOOKUP($D$2, 'Reading Report Logic'!$A$2:$B$8, 2, FALSE)&amp;"]")),FALSE)="", "", VLOOKUP($A711,YES_Reading_FLA[],COLUMN(INDIRECT("YES_Reading_FLA[Min Expectation - Per "&amp;VLOOKUP($D$2, 'Reading Report Logic'!$A$2:$B$8, 2, FALSE)&amp;"]")),FALSE))),""))),"")</f>
        <v/>
      </c>
      <c r="F711" s="205" t="str" cm="1">
        <f t="array" aca="1" ref="F711" ca="1">IFERROR(
IF($J$2="ELA",
IF(VLOOKUP($A711, YES_Reading_ELA[], COLUMN(INDIRECT("YES_Reading_ELA[Max Expectation - Per "&amp;VLOOKUP($D$2, 'Reading Report Logic'!$A$2:$B$8, 2, FALSE)&amp;"]")), FALSE)="", "",
VLOOKUP($A711,YES_Reading_ELA[], COLUMN(INDIRECT("YES_Reading_ELA[Max Expectation - Per "&amp;VLOOKUP($D$2,'Reading Report Logic'!$A$2:$B$8,2,FALSE)&amp;"]")), FALSE)),
IF($J$2="FLA",
IF(VLOOKUP($A711, YES_Reading_FLA[], COLUMN(INDIRECT("YES_Reading_FLA[Max Expectation - Per "&amp;VLOOKUP($D$2,'Reading Report Logic'!$A$2:$B$8,2,FALSE)&amp;"]")),FALSE)="","",
VLOOKUP($A711,YES_Reading_FLA[],COLUMN(INDIRECT("YES_Reading_FLA[Max Expectation - Per "&amp;VLOOKUP($D$2,'Reading Report Logic'!$A$2:$B$8,2,FALSE)&amp;"]")),FALSE)),
IF($J$2="Combined",
IFERROR(
IF(VLOOKUP($A711, YES_Reading_ELA[], COLUMN(INDIRECT("YES_Reading_ELA[Max Expectation - Per "&amp;VLOOKUP($D$2, 'Reading Report Logic'!$A$2:$B$8,2,FALSE)&amp;"]")), FALSE)="", "",
VLOOKUP($A711,YES_Reading_ELA[],COLUMN(INDIRECT("YES_Reading_ELA[Max Expectation - Per "&amp;VLOOKUP($D$2,'Reading Report Logic'!$A$2:$B$8,2,FALSE)&amp;"]")),FALSE)),
IF(VLOOKUP($A711, YES_Reading_FLA[], COLUMN(INDIRECT("YES_Reading_FLA[Max Expectation - Per "&amp;VLOOKUP($D$2, 'Reading Report Logic'!$A$2:$B$8, 2, FALSE)&amp;"]")),FALSE)="", "", VLOOKUP($A711,YES_Reading_FLA[],COLUMN(INDIRECT("YES_Reading_FLA[Max Expectation - Per "&amp;VLOOKUP($D$2, 'Reading Report Logic'!$A$2:$B$8, 2, FALSE)&amp;"]")),FALSE))),""))),"")</f>
        <v/>
      </c>
      <c r="G711" s="205" t="str" cm="1">
        <f t="array" aca="1" ref="G711" ca="1">IFERROR(
IF($J$2="ELA",
IF(VLOOKUP($A711, YES_Reading_ELA[], COLUMN(INDIRECT("YES_Reading_ELA[Difference - Per "&amp;VLOOKUP($D$2, 'Reading Report Logic'!$A$2:$B$8, 2, FALSE)&amp;"]")), FALSE)="", "",
VLOOKUP($A711,YES_Reading_ELA[], COLUMN(INDIRECT("YES_Reading_ELA[Difference - Per "&amp;VLOOKUP($D$2,'Reading Report Logic'!$A$2:$B$8,2,FALSE)&amp;"]")), FALSE)),
IF($J$2="FLA",
IF(VLOOKUP($A711, YES_Reading_FLA[], COLUMN(INDIRECT("YES_Reading_FLA[Difference - Per "&amp;VLOOKUP($D$2,'Reading Report Logic'!$A$2:$B$8,2,FALSE)&amp;"]")),FALSE)="","",
VLOOKUP($A711,YES_Reading_FLA[],COLUMN(INDIRECT("YES_Reading_FLA[Difference - Per "&amp;VLOOKUP($D$2,'Reading Report Logic'!$A$2:$B$8,2,FALSE)&amp;"]")),FALSE)),
IF($J$2="Combined",
IFERROR(
IF(VLOOKUP($A711, YES_Reading_ELA[], COLUMN(INDIRECT("YES_Reading_ELA[Difference - Per "&amp;VLOOKUP($D$2, 'Reading Report Logic'!$A$2:$B$8,2,FALSE)&amp;"]")), FALSE)="", "",
VLOOKUP($A711,YES_Reading_ELA[],COLUMN(INDIRECT("YES_Reading_ELA[Difference - Per "&amp;VLOOKUP($D$2,'Reading Report Logic'!$A$2:$B$8,2,FALSE)&amp;"]")),FALSE)),
IF(VLOOKUP($A711, YES_Reading_FLA[], COLUMN(INDIRECT("YES_Reading_FLA[Difference - Per "&amp;VLOOKUP($D$2, 'Reading Report Logic'!$A$2:$B$8, 2, FALSE)&amp;"]")),FALSE)="", "", VLOOKUP($A711,YES_Reading_FLA[],COLUMN(INDIRECT("YES_Reading_FLA[Difference - Per "&amp;VLOOKUP($D$2, 'Reading Report Logic'!$A$2:$B$8, 2, FALSE)&amp;"]")),FALSE))),""))),"")</f>
        <v/>
      </c>
      <c r="H711" s="206" t="str">
        <f ca="1">IFERROR(VLOOKUP('Teacher Reading Pull Sheets'!$D711,_xlfn.VSTACK('ELA Reading Logic'!$A$22:$B$48,'FLA Reading Logic'!$A$22:$B$53),2,FALSE)-VLOOKUP('Teacher Reading Pull Sheets'!$C711,_xlfn.VSTACK('ELA Reading Logic'!$A$22:$B$48,'FLA Reading Logic'!$A$22:$B$53),2,FALSE),"")</f>
        <v/>
      </c>
      <c r="I711" s="212"/>
      <c r="J711" s="206"/>
      <c r="K711" s="197" t="str" cm="1">
        <f t="array" ref="K711">IFERROR(
IF($J$2="ELA",
IF(VLOOKUP($A711, YES_Reading_ELA[], COLUMN(YES_Reading_ELA[Self-Identified as African Descent]), FALSE)="", "",
VLOOKUP($A711,YES_Reading_ELA[], COLUMN(YES_Reading_ELA[Self-Identified as African Descent]), FALSE)),
IF($J$2="FLA",
IF(VLOOKUP($A711, YES_Reading_FLA[], COLUMN(YES_Reading_FLA[Self-Identified as African Descent]),FALSE)="","",
VLOOKUP($A711,YES_Reading_FLA[],COLUMN(YES_Reading_FLA[Self-Identified as African Descent]),FALSE)),
IF($J$2="Combined",
IFERROR(
IF(VLOOKUP($A711, YES_Reading_ELA[], COLUMN(YES_Reading_ELA[Self-Identified as African Descent]), FALSE)="", "",
VLOOKUP($A711,YES_Reading_ELA[],COLUMN(YES_Reading_ELA[Self-Identified as African Descent]),FALSE)),
IF(VLOOKUP($A711, YES_Reading_FLA[], COLUMN(YES_Reading_FLA[Self-Identified as African Descent]),FALSE)="", "", VLOOKUP($A711,YES_Reading_FLA[],COLUMN(YES_Reading_FLA[Self-Identified as African Descent]),FALSE))),""))),"")</f>
        <v/>
      </c>
      <c r="L711" s="73" t="str" cm="1">
        <f t="array" ref="L711">IFERROR(
IF($J$2="ELA",
IF(VLOOKUP($A711, YES_Reading_ELA[], COLUMN(YES_Reading_ELA[Self-Identified as Indigenous]), FALSE)="", "",
VLOOKUP($A711,YES_Reading_ELA[], COLUMN(YES_Reading_ELA[Self-Identified as Indigenous]), FALSE)),
IF($J$2="FLA",
IF(VLOOKUP($A711, YES_Reading_FLA[], COLUMN(YES_Reading_FLA[Self-Identified as Indigenous]),FALSE)="","",
VLOOKUP($A711,YES_Reading_FLA[],COLUMN(YES_Reading_FLA[Self-Identified as Indigenous]),FALSE)),
IF($J$2="Combined",
IFERROR(
IF(VLOOKUP($A711, YES_Reading_ELA[], COLUMN(YES_Reading_ELA[Self-Identified as Indigenous]), FALSE)="", "",
VLOOKUP($A711,YES_Reading_ELA[],COLUMN(YES_Reading_ELA[Self-Identified as Indigenous]),FALSE)),
IF(VLOOKUP($A711, YES_Reading_FLA[], COLUMN(YES_Reading_FLA[Self-Identified as Indigenous]),FALSE)="", "", VLOOKUP($A711,YES_Reading_FLA[],COLUMN(YES_Reading_FLA[Self-Identified as Indigenous]),FALSE))),""))),"")</f>
        <v/>
      </c>
    </row>
    <row r="712" spans="1:12" ht="19.5" customHeight="1" x14ac:dyDescent="0.25">
      <c r="A712" s="217"/>
      <c r="B712" s="220" t="str">
        <f>IFERROR(VLOOKUP(A712,_xlfn.VSTACK(YES_Reading_ELA[],YES_Reading_FLA[]),2,FALSE),"")</f>
        <v/>
      </c>
      <c r="C712" s="203" t="str" cm="1">
        <f t="array" aca="1" ref="C712" ca="1">IFERROR(
IF($J$2="ELA",
IF(VLOOKUP($A712, YES_Reading_ELA[], COLUMN(IF(VLOOKUP($D$2, 'Reading Report Logic'!$A$2:$B$8, 2, FALSE)=1, YES_Reading_ELA[Reading Level June of Previous School Year], INDIRECT("YES_Reading_ELA[Instructional Reading Level - Per "&amp;(VLOOKUP($D$2,'Reading Report Logic'!$A$2:$B$8,2,FALSE)-1)&amp;"]"))), FALSE)="", "",
VLOOKUP($A712,YES_Reading_ELA[], COLUMN(IF(VLOOKUP($D$2,'Reading Report Logic'!$A$2:$B$8,2,FALSE)=1, YES_Reading_ELA[Reading Level June of Previous School Year],INDIRECT("YES_Reading_ELA[Instructional Reading Level - Per "&amp;(VLOOKUP($D$2,'Reading Report Logic'!$A$2:$B$8,2,FALSE)-1)&amp;"]"))), FALSE)),
IF($J$2="FLA",
IF(VLOOKUP($A712, YES_Reading_FLA[], COLUMN(IF(VLOOKUP($D$2,'Reading Report Logic'!$A$2:$B$8,2,FALSE)=1, YES_Reading_FLA[Reading Level June of Previous School Year],INDIRECT("YES_Reading_FLA[Instructional Reading Level - Per "&amp;(VLOOKUP($D$2,'Reading Report Logic'!$A$2:$B$8,2,FALSE)-1)&amp;"]"))),FALSE)="","",
VLOOKUP($A712,YES_Reading_FLA[], COLUMN(IF(VLOOKUP($D$2,'Reading Report Logic'!$A$2:$B$8,2,FALSE)=1, YES_Reading_FLA[Reading Level June of Previous School Year],INDIRECT("YES_Reading_FLA[Instructional Reading Level - Per "&amp;(VLOOKUP($D$2,'Reading Report Logic'!$A$2:$B$8,2,FALSE)-1)&amp;"]"))),FALSE)),
IF($J$2="Combined",
IFERROR(
IF(VLOOKUP($A712, YES_Reading_ELA[], COLUMN(IF(VLOOKUP($D$2,'Reading Report Logic'!$A$2:$B$8,2,FALSE)=1, YES_Reading_ELA[Reading Level June of Previous School Year],INDIRECT("YES_Reading_ELA[Instructional Reading Level - Per "&amp;(VLOOKUP($D$2,'Reading Report Logic'!$A$2:$B$8,2,FALSE)-1)&amp;"]"))), FALSE)="", "",
VLOOKUP($A712,YES_Reading_ELA[],COLUMN(IF(VLOOKUP($D$2,'Reading Report Logic'!$A$2:$B$8,2,FALSE)=1, YES_Reading_ELA[Reading Level June of Previous School Year],INDIRECT("YES_Reading_ELA[Instructional Reading Level - Per "&amp;(VLOOKUP($D$2,'Reading Report Logic'!$A$2:$B$8,2,FALSE)-1)&amp;"]"))),FALSE)),
IF(VLOOKUP($A712, YES_Reading_FLA[], COLUMN(IF(VLOOKUP($D$2,'Reading Report Logic'!$A$2:$B$8,2,FALSE)=1, YES_Reading_FLA[Reading Level June of Previous School Year],INDIRECT("YES_Reading_FLA[Instructional Reading Level - Per "&amp;(VLOOKUP($D$2,'Reading Report Logic'!$A$2:$B$8,2,FALSE)-1)&amp;"]"))),FALSE)="", "", VLOOKUP($A712,YES_Reading_FLA[],COLUMN(IF(VLOOKUP($D$2,'Reading Report Logic'!$A$2:$B$8,2,FALSE)=1, YES_Reading_FLA[Reading Level June of Previous School Year],INDIRECT("YES_Reading_FLA[Instructional Reading Level - Per "&amp;(VLOOKUP($D$2,'Reading Report Logic'!$A$2:$B$8,2,FALSE)-1)&amp;"]"))), FALSE))),""))),"")</f>
        <v/>
      </c>
      <c r="D712" s="204" t="str" cm="1">
        <f t="array" aca="1" ref="D712" ca="1">IFERROR(
IF($J$2="ELA",
IF(VLOOKUP($A712, YES_Reading_ELA[], COLUMN(INDIRECT("YES_Reading_ELA[Instructional Reading Level - Per "&amp;VLOOKUP($D$2, 'Reading Report Logic'!$A$2:$B$8, 2, FALSE)&amp;"]")), FALSE)="", "",
VLOOKUP($A712,YES_Reading_ELA[], COLUMN(INDIRECT("YES_Reading_ELA[Instructional Reading Level - Per "&amp;VLOOKUP($D$2,'Reading Report Logic'!$A$2:$B$8,2,FALSE)&amp;"]")), FALSE)),
IF($J$2="FLA",
IF(VLOOKUP($A712, YES_Reading_FLA[], COLUMN(INDIRECT("YES_Reading_FLA[Instructional Reading Level - Per "&amp;VLOOKUP($D$2,'Reading Report Logic'!$A$2:$B$8,2,FALSE)&amp;"]")),FALSE)="","",
VLOOKUP($A712,YES_Reading_FLA[],COLUMN(INDIRECT("YES_Reading_FLA[Instructional Reading Level - Per "&amp;VLOOKUP($D$2,'Reading Report Logic'!$A$2:$B$8,2,FALSE)&amp;"]")),FALSE)),
IF($J$2="Combined",
IFERROR(
IF(VLOOKUP($A712, YES_Reading_ELA[], COLUMN(INDIRECT("YES_Reading_ELA[Instructional Reading Level - Per "&amp;VLOOKUP($D$2, 'Reading Report Logic'!$A$2:$B$8,2,FALSE)&amp;"]")), FALSE)="", "",
VLOOKUP($A712,YES_Reading_ELA[],COLUMN(INDIRECT("YES_Reading_ELA[Instructional Reading Level - Per "&amp;VLOOKUP($D$2,'Reading Report Logic'!$A$2:$B$8,2,FALSE)&amp;"]")),FALSE)),
IF(VLOOKUP($A712, YES_Reading_FLA[], COLUMN(INDIRECT("YES_Reading_FLA[Instructional Reading Level - Per "&amp;VLOOKUP($D$2, 'Reading Report Logic'!$A$2:$B$8, 2, FALSE)&amp;"]")),FALSE)="", "", VLOOKUP($A712,YES_Reading_FLA[],COLUMN(INDIRECT("YES_Reading_FLA[Instructional Reading Level - Per "&amp;VLOOKUP($D$2, 'Reading Report Logic'!$A$2:$B$8, 2, FALSE)&amp;"]")),FALSE))),""))),"")</f>
        <v/>
      </c>
      <c r="E712" s="205" t="str" cm="1">
        <f t="array" aca="1" ref="E712" ca="1">IFERROR(
IF($J$2="ELA",
IF(VLOOKUP($A712, YES_Reading_ELA[], COLUMN(INDIRECT("YES_Reading_ELA[Min Expectation - Per "&amp;VLOOKUP($D$2, 'Reading Report Logic'!$A$2:$B$8, 2, FALSE)&amp;"]")), FALSE)="", "",
VLOOKUP($A712,YES_Reading_ELA[], COLUMN(INDIRECT("YES_Reading_ELA[Min Expectation - Per "&amp;VLOOKUP($D$2,'Reading Report Logic'!$A$2:$B$8,2,FALSE)&amp;"]")), FALSE)),
IF($J$2="FLA",
IF(VLOOKUP($A712, YES_Reading_FLA[], COLUMN(INDIRECT("YES_Reading_FLA[Min Expectation - Per "&amp;VLOOKUP($D$2,'Reading Report Logic'!$A$2:$B$8,2,FALSE)&amp;"]")),FALSE)="","",
VLOOKUP($A712,YES_Reading_FLA[],COLUMN(INDIRECT("YES_Reading_FLA[Min Expectation - Per "&amp;VLOOKUP($D$2,'Reading Report Logic'!$A$2:$B$8,2,FALSE)&amp;"]")),FALSE)),
IF($J$2="Combined",
IFERROR(
IF(VLOOKUP($A712, YES_Reading_ELA[], COLUMN(INDIRECT("YES_Reading_ELA[Min Expectation - Per "&amp;VLOOKUP($D$2, 'Reading Report Logic'!$A$2:$B$8,2,FALSE)&amp;"]")), FALSE)="", "",
VLOOKUP($A712,YES_Reading_ELA[],COLUMN(INDIRECT("YES_Reading_ELA[Min Expectation - Per "&amp;VLOOKUP($D$2,'Reading Report Logic'!$A$2:$B$8,2,FALSE)&amp;"]")),FALSE)),
IF(VLOOKUP($A712, YES_Reading_FLA[], COLUMN(INDIRECT("YES_Reading_FLA[Min Expectation - Per "&amp;VLOOKUP($D$2, 'Reading Report Logic'!$A$2:$B$8, 2, FALSE)&amp;"]")),FALSE)="", "", VLOOKUP($A712,YES_Reading_FLA[],COLUMN(INDIRECT("YES_Reading_FLA[Min Expectation - Per "&amp;VLOOKUP($D$2, 'Reading Report Logic'!$A$2:$B$8, 2, FALSE)&amp;"]")),FALSE))),""))),"")</f>
        <v/>
      </c>
      <c r="F712" s="205" t="str" cm="1">
        <f t="array" aca="1" ref="F712" ca="1">IFERROR(
IF($J$2="ELA",
IF(VLOOKUP($A712, YES_Reading_ELA[], COLUMN(INDIRECT("YES_Reading_ELA[Max Expectation - Per "&amp;VLOOKUP($D$2, 'Reading Report Logic'!$A$2:$B$8, 2, FALSE)&amp;"]")), FALSE)="", "",
VLOOKUP($A712,YES_Reading_ELA[], COLUMN(INDIRECT("YES_Reading_ELA[Max Expectation - Per "&amp;VLOOKUP($D$2,'Reading Report Logic'!$A$2:$B$8,2,FALSE)&amp;"]")), FALSE)),
IF($J$2="FLA",
IF(VLOOKUP($A712, YES_Reading_FLA[], COLUMN(INDIRECT("YES_Reading_FLA[Max Expectation - Per "&amp;VLOOKUP($D$2,'Reading Report Logic'!$A$2:$B$8,2,FALSE)&amp;"]")),FALSE)="","",
VLOOKUP($A712,YES_Reading_FLA[],COLUMN(INDIRECT("YES_Reading_FLA[Max Expectation - Per "&amp;VLOOKUP($D$2,'Reading Report Logic'!$A$2:$B$8,2,FALSE)&amp;"]")),FALSE)),
IF($J$2="Combined",
IFERROR(
IF(VLOOKUP($A712, YES_Reading_ELA[], COLUMN(INDIRECT("YES_Reading_ELA[Max Expectation - Per "&amp;VLOOKUP($D$2, 'Reading Report Logic'!$A$2:$B$8,2,FALSE)&amp;"]")), FALSE)="", "",
VLOOKUP($A712,YES_Reading_ELA[],COLUMN(INDIRECT("YES_Reading_ELA[Max Expectation - Per "&amp;VLOOKUP($D$2,'Reading Report Logic'!$A$2:$B$8,2,FALSE)&amp;"]")),FALSE)),
IF(VLOOKUP($A712, YES_Reading_FLA[], COLUMN(INDIRECT("YES_Reading_FLA[Max Expectation - Per "&amp;VLOOKUP($D$2, 'Reading Report Logic'!$A$2:$B$8, 2, FALSE)&amp;"]")),FALSE)="", "", VLOOKUP($A712,YES_Reading_FLA[],COLUMN(INDIRECT("YES_Reading_FLA[Max Expectation - Per "&amp;VLOOKUP($D$2, 'Reading Report Logic'!$A$2:$B$8, 2, FALSE)&amp;"]")),FALSE))),""))),"")</f>
        <v/>
      </c>
      <c r="G712" s="205" t="str" cm="1">
        <f t="array" aca="1" ref="G712" ca="1">IFERROR(
IF($J$2="ELA",
IF(VLOOKUP($A712, YES_Reading_ELA[], COLUMN(INDIRECT("YES_Reading_ELA[Difference - Per "&amp;VLOOKUP($D$2, 'Reading Report Logic'!$A$2:$B$8, 2, FALSE)&amp;"]")), FALSE)="", "",
VLOOKUP($A712,YES_Reading_ELA[], COLUMN(INDIRECT("YES_Reading_ELA[Difference - Per "&amp;VLOOKUP($D$2,'Reading Report Logic'!$A$2:$B$8,2,FALSE)&amp;"]")), FALSE)),
IF($J$2="FLA",
IF(VLOOKUP($A712, YES_Reading_FLA[], COLUMN(INDIRECT("YES_Reading_FLA[Difference - Per "&amp;VLOOKUP($D$2,'Reading Report Logic'!$A$2:$B$8,2,FALSE)&amp;"]")),FALSE)="","",
VLOOKUP($A712,YES_Reading_FLA[],COLUMN(INDIRECT("YES_Reading_FLA[Difference - Per "&amp;VLOOKUP($D$2,'Reading Report Logic'!$A$2:$B$8,2,FALSE)&amp;"]")),FALSE)),
IF($J$2="Combined",
IFERROR(
IF(VLOOKUP($A712, YES_Reading_ELA[], COLUMN(INDIRECT("YES_Reading_ELA[Difference - Per "&amp;VLOOKUP($D$2, 'Reading Report Logic'!$A$2:$B$8,2,FALSE)&amp;"]")), FALSE)="", "",
VLOOKUP($A712,YES_Reading_ELA[],COLUMN(INDIRECT("YES_Reading_ELA[Difference - Per "&amp;VLOOKUP($D$2,'Reading Report Logic'!$A$2:$B$8,2,FALSE)&amp;"]")),FALSE)),
IF(VLOOKUP($A712, YES_Reading_FLA[], COLUMN(INDIRECT("YES_Reading_FLA[Difference - Per "&amp;VLOOKUP($D$2, 'Reading Report Logic'!$A$2:$B$8, 2, FALSE)&amp;"]")),FALSE)="", "", VLOOKUP($A712,YES_Reading_FLA[],COLUMN(INDIRECT("YES_Reading_FLA[Difference - Per "&amp;VLOOKUP($D$2, 'Reading Report Logic'!$A$2:$B$8, 2, FALSE)&amp;"]")),FALSE))),""))),"")</f>
        <v/>
      </c>
      <c r="H712" s="206" t="str">
        <f ca="1">IFERROR(VLOOKUP('Teacher Reading Pull Sheets'!$D712,_xlfn.VSTACK('ELA Reading Logic'!$A$22:$B$48,'FLA Reading Logic'!$A$22:$B$53),2,FALSE)-VLOOKUP('Teacher Reading Pull Sheets'!$C712,_xlfn.VSTACK('ELA Reading Logic'!$A$22:$B$48,'FLA Reading Logic'!$A$22:$B$53),2,FALSE),"")</f>
        <v/>
      </c>
      <c r="I712" s="212"/>
      <c r="J712" s="206"/>
      <c r="K712" s="197" t="str" cm="1">
        <f t="array" ref="K712">IFERROR(
IF($J$2="ELA",
IF(VLOOKUP($A712, YES_Reading_ELA[], COLUMN(YES_Reading_ELA[Self-Identified as African Descent]), FALSE)="", "",
VLOOKUP($A712,YES_Reading_ELA[], COLUMN(YES_Reading_ELA[Self-Identified as African Descent]), FALSE)),
IF($J$2="FLA",
IF(VLOOKUP($A712, YES_Reading_FLA[], COLUMN(YES_Reading_FLA[Self-Identified as African Descent]),FALSE)="","",
VLOOKUP($A712,YES_Reading_FLA[],COLUMN(YES_Reading_FLA[Self-Identified as African Descent]),FALSE)),
IF($J$2="Combined",
IFERROR(
IF(VLOOKUP($A712, YES_Reading_ELA[], COLUMN(YES_Reading_ELA[Self-Identified as African Descent]), FALSE)="", "",
VLOOKUP($A712,YES_Reading_ELA[],COLUMN(YES_Reading_ELA[Self-Identified as African Descent]),FALSE)),
IF(VLOOKUP($A712, YES_Reading_FLA[], COLUMN(YES_Reading_FLA[Self-Identified as African Descent]),FALSE)="", "", VLOOKUP($A712,YES_Reading_FLA[],COLUMN(YES_Reading_FLA[Self-Identified as African Descent]),FALSE))),""))),"")</f>
        <v/>
      </c>
      <c r="L712" s="73" t="str" cm="1">
        <f t="array" ref="L712">IFERROR(
IF($J$2="ELA",
IF(VLOOKUP($A712, YES_Reading_ELA[], COLUMN(YES_Reading_ELA[Self-Identified as Indigenous]), FALSE)="", "",
VLOOKUP($A712,YES_Reading_ELA[], COLUMN(YES_Reading_ELA[Self-Identified as Indigenous]), FALSE)),
IF($J$2="FLA",
IF(VLOOKUP($A712, YES_Reading_FLA[], COLUMN(YES_Reading_FLA[Self-Identified as Indigenous]),FALSE)="","",
VLOOKUP($A712,YES_Reading_FLA[],COLUMN(YES_Reading_FLA[Self-Identified as Indigenous]),FALSE)),
IF($J$2="Combined",
IFERROR(
IF(VLOOKUP($A712, YES_Reading_ELA[], COLUMN(YES_Reading_ELA[Self-Identified as Indigenous]), FALSE)="", "",
VLOOKUP($A712,YES_Reading_ELA[],COLUMN(YES_Reading_ELA[Self-Identified as Indigenous]),FALSE)),
IF(VLOOKUP($A712, YES_Reading_FLA[], COLUMN(YES_Reading_FLA[Self-Identified as Indigenous]),FALSE)="", "", VLOOKUP($A712,YES_Reading_FLA[],COLUMN(YES_Reading_FLA[Self-Identified as Indigenous]),FALSE))),""))),"")</f>
        <v/>
      </c>
    </row>
    <row r="713" spans="1:12" ht="19.5" customHeight="1" x14ac:dyDescent="0.25">
      <c r="A713" s="217"/>
      <c r="B713" s="220" t="str">
        <f>IFERROR(VLOOKUP(A713,_xlfn.VSTACK(YES_Reading_ELA[],YES_Reading_FLA[]),2,FALSE),"")</f>
        <v/>
      </c>
      <c r="C713" s="203" t="str" cm="1">
        <f t="array" aca="1" ref="C713" ca="1">IFERROR(
IF($J$2="ELA",
IF(VLOOKUP($A713, YES_Reading_ELA[], COLUMN(IF(VLOOKUP($D$2, 'Reading Report Logic'!$A$2:$B$8, 2, FALSE)=1, YES_Reading_ELA[Reading Level June of Previous School Year], INDIRECT("YES_Reading_ELA[Instructional Reading Level - Per "&amp;(VLOOKUP($D$2,'Reading Report Logic'!$A$2:$B$8,2,FALSE)-1)&amp;"]"))), FALSE)="", "",
VLOOKUP($A713,YES_Reading_ELA[], COLUMN(IF(VLOOKUP($D$2,'Reading Report Logic'!$A$2:$B$8,2,FALSE)=1, YES_Reading_ELA[Reading Level June of Previous School Year],INDIRECT("YES_Reading_ELA[Instructional Reading Level - Per "&amp;(VLOOKUP($D$2,'Reading Report Logic'!$A$2:$B$8,2,FALSE)-1)&amp;"]"))), FALSE)),
IF($J$2="FLA",
IF(VLOOKUP($A713, YES_Reading_FLA[], COLUMN(IF(VLOOKUP($D$2,'Reading Report Logic'!$A$2:$B$8,2,FALSE)=1, YES_Reading_FLA[Reading Level June of Previous School Year],INDIRECT("YES_Reading_FLA[Instructional Reading Level - Per "&amp;(VLOOKUP($D$2,'Reading Report Logic'!$A$2:$B$8,2,FALSE)-1)&amp;"]"))),FALSE)="","",
VLOOKUP($A713,YES_Reading_FLA[], COLUMN(IF(VLOOKUP($D$2,'Reading Report Logic'!$A$2:$B$8,2,FALSE)=1, YES_Reading_FLA[Reading Level June of Previous School Year],INDIRECT("YES_Reading_FLA[Instructional Reading Level - Per "&amp;(VLOOKUP($D$2,'Reading Report Logic'!$A$2:$B$8,2,FALSE)-1)&amp;"]"))),FALSE)),
IF($J$2="Combined",
IFERROR(
IF(VLOOKUP($A713, YES_Reading_ELA[], COLUMN(IF(VLOOKUP($D$2,'Reading Report Logic'!$A$2:$B$8,2,FALSE)=1, YES_Reading_ELA[Reading Level June of Previous School Year],INDIRECT("YES_Reading_ELA[Instructional Reading Level - Per "&amp;(VLOOKUP($D$2,'Reading Report Logic'!$A$2:$B$8,2,FALSE)-1)&amp;"]"))), FALSE)="", "",
VLOOKUP($A713,YES_Reading_ELA[],COLUMN(IF(VLOOKUP($D$2,'Reading Report Logic'!$A$2:$B$8,2,FALSE)=1, YES_Reading_ELA[Reading Level June of Previous School Year],INDIRECT("YES_Reading_ELA[Instructional Reading Level - Per "&amp;(VLOOKUP($D$2,'Reading Report Logic'!$A$2:$B$8,2,FALSE)-1)&amp;"]"))),FALSE)),
IF(VLOOKUP($A713, YES_Reading_FLA[], COLUMN(IF(VLOOKUP($D$2,'Reading Report Logic'!$A$2:$B$8,2,FALSE)=1, YES_Reading_FLA[Reading Level June of Previous School Year],INDIRECT("YES_Reading_FLA[Instructional Reading Level - Per "&amp;(VLOOKUP($D$2,'Reading Report Logic'!$A$2:$B$8,2,FALSE)-1)&amp;"]"))),FALSE)="", "", VLOOKUP($A713,YES_Reading_FLA[],COLUMN(IF(VLOOKUP($D$2,'Reading Report Logic'!$A$2:$B$8,2,FALSE)=1, YES_Reading_FLA[Reading Level June of Previous School Year],INDIRECT("YES_Reading_FLA[Instructional Reading Level - Per "&amp;(VLOOKUP($D$2,'Reading Report Logic'!$A$2:$B$8,2,FALSE)-1)&amp;"]"))), FALSE))),""))),"")</f>
        <v/>
      </c>
      <c r="D713" s="204" t="str" cm="1">
        <f t="array" aca="1" ref="D713" ca="1">IFERROR(
IF($J$2="ELA",
IF(VLOOKUP($A713, YES_Reading_ELA[], COLUMN(INDIRECT("YES_Reading_ELA[Instructional Reading Level - Per "&amp;VLOOKUP($D$2, 'Reading Report Logic'!$A$2:$B$8, 2, FALSE)&amp;"]")), FALSE)="", "",
VLOOKUP($A713,YES_Reading_ELA[], COLUMN(INDIRECT("YES_Reading_ELA[Instructional Reading Level - Per "&amp;VLOOKUP($D$2,'Reading Report Logic'!$A$2:$B$8,2,FALSE)&amp;"]")), FALSE)),
IF($J$2="FLA",
IF(VLOOKUP($A713, YES_Reading_FLA[], COLUMN(INDIRECT("YES_Reading_FLA[Instructional Reading Level - Per "&amp;VLOOKUP($D$2,'Reading Report Logic'!$A$2:$B$8,2,FALSE)&amp;"]")),FALSE)="","",
VLOOKUP($A713,YES_Reading_FLA[],COLUMN(INDIRECT("YES_Reading_FLA[Instructional Reading Level - Per "&amp;VLOOKUP($D$2,'Reading Report Logic'!$A$2:$B$8,2,FALSE)&amp;"]")),FALSE)),
IF($J$2="Combined",
IFERROR(
IF(VLOOKUP($A713, YES_Reading_ELA[], COLUMN(INDIRECT("YES_Reading_ELA[Instructional Reading Level - Per "&amp;VLOOKUP($D$2, 'Reading Report Logic'!$A$2:$B$8,2,FALSE)&amp;"]")), FALSE)="", "",
VLOOKUP($A713,YES_Reading_ELA[],COLUMN(INDIRECT("YES_Reading_ELA[Instructional Reading Level - Per "&amp;VLOOKUP($D$2,'Reading Report Logic'!$A$2:$B$8,2,FALSE)&amp;"]")),FALSE)),
IF(VLOOKUP($A713, YES_Reading_FLA[], COLUMN(INDIRECT("YES_Reading_FLA[Instructional Reading Level - Per "&amp;VLOOKUP($D$2, 'Reading Report Logic'!$A$2:$B$8, 2, FALSE)&amp;"]")),FALSE)="", "", VLOOKUP($A713,YES_Reading_FLA[],COLUMN(INDIRECT("YES_Reading_FLA[Instructional Reading Level - Per "&amp;VLOOKUP($D$2, 'Reading Report Logic'!$A$2:$B$8, 2, FALSE)&amp;"]")),FALSE))),""))),"")</f>
        <v/>
      </c>
      <c r="E713" s="205" t="str" cm="1">
        <f t="array" aca="1" ref="E713" ca="1">IFERROR(
IF($J$2="ELA",
IF(VLOOKUP($A713, YES_Reading_ELA[], COLUMN(INDIRECT("YES_Reading_ELA[Min Expectation - Per "&amp;VLOOKUP($D$2, 'Reading Report Logic'!$A$2:$B$8, 2, FALSE)&amp;"]")), FALSE)="", "",
VLOOKUP($A713,YES_Reading_ELA[], COLUMN(INDIRECT("YES_Reading_ELA[Min Expectation - Per "&amp;VLOOKUP($D$2,'Reading Report Logic'!$A$2:$B$8,2,FALSE)&amp;"]")), FALSE)),
IF($J$2="FLA",
IF(VLOOKUP($A713, YES_Reading_FLA[], COLUMN(INDIRECT("YES_Reading_FLA[Min Expectation - Per "&amp;VLOOKUP($D$2,'Reading Report Logic'!$A$2:$B$8,2,FALSE)&amp;"]")),FALSE)="","",
VLOOKUP($A713,YES_Reading_FLA[],COLUMN(INDIRECT("YES_Reading_FLA[Min Expectation - Per "&amp;VLOOKUP($D$2,'Reading Report Logic'!$A$2:$B$8,2,FALSE)&amp;"]")),FALSE)),
IF($J$2="Combined",
IFERROR(
IF(VLOOKUP($A713, YES_Reading_ELA[], COLUMN(INDIRECT("YES_Reading_ELA[Min Expectation - Per "&amp;VLOOKUP($D$2, 'Reading Report Logic'!$A$2:$B$8,2,FALSE)&amp;"]")), FALSE)="", "",
VLOOKUP($A713,YES_Reading_ELA[],COLUMN(INDIRECT("YES_Reading_ELA[Min Expectation - Per "&amp;VLOOKUP($D$2,'Reading Report Logic'!$A$2:$B$8,2,FALSE)&amp;"]")),FALSE)),
IF(VLOOKUP($A713, YES_Reading_FLA[], COLUMN(INDIRECT("YES_Reading_FLA[Min Expectation - Per "&amp;VLOOKUP($D$2, 'Reading Report Logic'!$A$2:$B$8, 2, FALSE)&amp;"]")),FALSE)="", "", VLOOKUP($A713,YES_Reading_FLA[],COLUMN(INDIRECT("YES_Reading_FLA[Min Expectation - Per "&amp;VLOOKUP($D$2, 'Reading Report Logic'!$A$2:$B$8, 2, FALSE)&amp;"]")),FALSE))),""))),"")</f>
        <v/>
      </c>
      <c r="F713" s="205" t="str" cm="1">
        <f t="array" aca="1" ref="F713" ca="1">IFERROR(
IF($J$2="ELA",
IF(VLOOKUP($A713, YES_Reading_ELA[], COLUMN(INDIRECT("YES_Reading_ELA[Max Expectation - Per "&amp;VLOOKUP($D$2, 'Reading Report Logic'!$A$2:$B$8, 2, FALSE)&amp;"]")), FALSE)="", "",
VLOOKUP($A713,YES_Reading_ELA[], COLUMN(INDIRECT("YES_Reading_ELA[Max Expectation - Per "&amp;VLOOKUP($D$2,'Reading Report Logic'!$A$2:$B$8,2,FALSE)&amp;"]")), FALSE)),
IF($J$2="FLA",
IF(VLOOKUP($A713, YES_Reading_FLA[], COLUMN(INDIRECT("YES_Reading_FLA[Max Expectation - Per "&amp;VLOOKUP($D$2,'Reading Report Logic'!$A$2:$B$8,2,FALSE)&amp;"]")),FALSE)="","",
VLOOKUP($A713,YES_Reading_FLA[],COLUMN(INDIRECT("YES_Reading_FLA[Max Expectation - Per "&amp;VLOOKUP($D$2,'Reading Report Logic'!$A$2:$B$8,2,FALSE)&amp;"]")),FALSE)),
IF($J$2="Combined",
IFERROR(
IF(VLOOKUP($A713, YES_Reading_ELA[], COLUMN(INDIRECT("YES_Reading_ELA[Max Expectation - Per "&amp;VLOOKUP($D$2, 'Reading Report Logic'!$A$2:$B$8,2,FALSE)&amp;"]")), FALSE)="", "",
VLOOKUP($A713,YES_Reading_ELA[],COLUMN(INDIRECT("YES_Reading_ELA[Max Expectation - Per "&amp;VLOOKUP($D$2,'Reading Report Logic'!$A$2:$B$8,2,FALSE)&amp;"]")),FALSE)),
IF(VLOOKUP($A713, YES_Reading_FLA[], COLUMN(INDIRECT("YES_Reading_FLA[Max Expectation - Per "&amp;VLOOKUP($D$2, 'Reading Report Logic'!$A$2:$B$8, 2, FALSE)&amp;"]")),FALSE)="", "", VLOOKUP($A713,YES_Reading_FLA[],COLUMN(INDIRECT("YES_Reading_FLA[Max Expectation - Per "&amp;VLOOKUP($D$2, 'Reading Report Logic'!$A$2:$B$8, 2, FALSE)&amp;"]")),FALSE))),""))),"")</f>
        <v/>
      </c>
      <c r="G713" s="205" t="str" cm="1">
        <f t="array" aca="1" ref="G713" ca="1">IFERROR(
IF($J$2="ELA",
IF(VLOOKUP($A713, YES_Reading_ELA[], COLUMN(INDIRECT("YES_Reading_ELA[Difference - Per "&amp;VLOOKUP($D$2, 'Reading Report Logic'!$A$2:$B$8, 2, FALSE)&amp;"]")), FALSE)="", "",
VLOOKUP($A713,YES_Reading_ELA[], COLUMN(INDIRECT("YES_Reading_ELA[Difference - Per "&amp;VLOOKUP($D$2,'Reading Report Logic'!$A$2:$B$8,2,FALSE)&amp;"]")), FALSE)),
IF($J$2="FLA",
IF(VLOOKUP($A713, YES_Reading_FLA[], COLUMN(INDIRECT("YES_Reading_FLA[Difference - Per "&amp;VLOOKUP($D$2,'Reading Report Logic'!$A$2:$B$8,2,FALSE)&amp;"]")),FALSE)="","",
VLOOKUP($A713,YES_Reading_FLA[],COLUMN(INDIRECT("YES_Reading_FLA[Difference - Per "&amp;VLOOKUP($D$2,'Reading Report Logic'!$A$2:$B$8,2,FALSE)&amp;"]")),FALSE)),
IF($J$2="Combined",
IFERROR(
IF(VLOOKUP($A713, YES_Reading_ELA[], COLUMN(INDIRECT("YES_Reading_ELA[Difference - Per "&amp;VLOOKUP($D$2, 'Reading Report Logic'!$A$2:$B$8,2,FALSE)&amp;"]")), FALSE)="", "",
VLOOKUP($A713,YES_Reading_ELA[],COLUMN(INDIRECT("YES_Reading_ELA[Difference - Per "&amp;VLOOKUP($D$2,'Reading Report Logic'!$A$2:$B$8,2,FALSE)&amp;"]")),FALSE)),
IF(VLOOKUP($A713, YES_Reading_FLA[], COLUMN(INDIRECT("YES_Reading_FLA[Difference - Per "&amp;VLOOKUP($D$2, 'Reading Report Logic'!$A$2:$B$8, 2, FALSE)&amp;"]")),FALSE)="", "", VLOOKUP($A713,YES_Reading_FLA[],COLUMN(INDIRECT("YES_Reading_FLA[Difference - Per "&amp;VLOOKUP($D$2, 'Reading Report Logic'!$A$2:$B$8, 2, FALSE)&amp;"]")),FALSE))),""))),"")</f>
        <v/>
      </c>
      <c r="H713" s="206" t="str">
        <f ca="1">IFERROR(VLOOKUP('Teacher Reading Pull Sheets'!$D713,_xlfn.VSTACK('ELA Reading Logic'!$A$22:$B$48,'FLA Reading Logic'!$A$22:$B$53),2,FALSE)-VLOOKUP('Teacher Reading Pull Sheets'!$C713,_xlfn.VSTACK('ELA Reading Logic'!$A$22:$B$48,'FLA Reading Logic'!$A$22:$B$53),2,FALSE),"")</f>
        <v/>
      </c>
      <c r="I713" s="212"/>
      <c r="J713" s="206"/>
      <c r="K713" s="197" t="str" cm="1">
        <f t="array" ref="K713">IFERROR(
IF($J$2="ELA",
IF(VLOOKUP($A713, YES_Reading_ELA[], COLUMN(YES_Reading_ELA[Self-Identified as African Descent]), FALSE)="", "",
VLOOKUP($A713,YES_Reading_ELA[], COLUMN(YES_Reading_ELA[Self-Identified as African Descent]), FALSE)),
IF($J$2="FLA",
IF(VLOOKUP($A713, YES_Reading_FLA[], COLUMN(YES_Reading_FLA[Self-Identified as African Descent]),FALSE)="","",
VLOOKUP($A713,YES_Reading_FLA[],COLUMN(YES_Reading_FLA[Self-Identified as African Descent]),FALSE)),
IF($J$2="Combined",
IFERROR(
IF(VLOOKUP($A713, YES_Reading_ELA[], COLUMN(YES_Reading_ELA[Self-Identified as African Descent]), FALSE)="", "",
VLOOKUP($A713,YES_Reading_ELA[],COLUMN(YES_Reading_ELA[Self-Identified as African Descent]),FALSE)),
IF(VLOOKUP($A713, YES_Reading_FLA[], COLUMN(YES_Reading_FLA[Self-Identified as African Descent]),FALSE)="", "", VLOOKUP($A713,YES_Reading_FLA[],COLUMN(YES_Reading_FLA[Self-Identified as African Descent]),FALSE))),""))),"")</f>
        <v/>
      </c>
      <c r="L713" s="73" t="str" cm="1">
        <f t="array" ref="L713">IFERROR(
IF($J$2="ELA",
IF(VLOOKUP($A713, YES_Reading_ELA[], COLUMN(YES_Reading_ELA[Self-Identified as Indigenous]), FALSE)="", "",
VLOOKUP($A713,YES_Reading_ELA[], COLUMN(YES_Reading_ELA[Self-Identified as Indigenous]), FALSE)),
IF($J$2="FLA",
IF(VLOOKUP($A713, YES_Reading_FLA[], COLUMN(YES_Reading_FLA[Self-Identified as Indigenous]),FALSE)="","",
VLOOKUP($A713,YES_Reading_FLA[],COLUMN(YES_Reading_FLA[Self-Identified as Indigenous]),FALSE)),
IF($J$2="Combined",
IFERROR(
IF(VLOOKUP($A713, YES_Reading_ELA[], COLUMN(YES_Reading_ELA[Self-Identified as Indigenous]), FALSE)="", "",
VLOOKUP($A713,YES_Reading_ELA[],COLUMN(YES_Reading_ELA[Self-Identified as Indigenous]),FALSE)),
IF(VLOOKUP($A713, YES_Reading_FLA[], COLUMN(YES_Reading_FLA[Self-Identified as Indigenous]),FALSE)="", "", VLOOKUP($A713,YES_Reading_FLA[],COLUMN(YES_Reading_FLA[Self-Identified as Indigenous]),FALSE))),""))),"")</f>
        <v/>
      </c>
    </row>
    <row r="714" spans="1:12" ht="19.5" customHeight="1" x14ac:dyDescent="0.25">
      <c r="A714" s="217"/>
      <c r="B714" s="220" t="str">
        <f>IFERROR(VLOOKUP(A714,_xlfn.VSTACK(YES_Reading_ELA[],YES_Reading_FLA[]),2,FALSE),"")</f>
        <v/>
      </c>
      <c r="C714" s="203" t="str" cm="1">
        <f t="array" aca="1" ref="C714" ca="1">IFERROR(
IF($J$2="ELA",
IF(VLOOKUP($A714, YES_Reading_ELA[], COLUMN(IF(VLOOKUP($D$2, 'Reading Report Logic'!$A$2:$B$8, 2, FALSE)=1, YES_Reading_ELA[Reading Level June of Previous School Year], INDIRECT("YES_Reading_ELA[Instructional Reading Level - Per "&amp;(VLOOKUP($D$2,'Reading Report Logic'!$A$2:$B$8,2,FALSE)-1)&amp;"]"))), FALSE)="", "",
VLOOKUP($A714,YES_Reading_ELA[], COLUMN(IF(VLOOKUP($D$2,'Reading Report Logic'!$A$2:$B$8,2,FALSE)=1, YES_Reading_ELA[Reading Level June of Previous School Year],INDIRECT("YES_Reading_ELA[Instructional Reading Level - Per "&amp;(VLOOKUP($D$2,'Reading Report Logic'!$A$2:$B$8,2,FALSE)-1)&amp;"]"))), FALSE)),
IF($J$2="FLA",
IF(VLOOKUP($A714, YES_Reading_FLA[], COLUMN(IF(VLOOKUP($D$2,'Reading Report Logic'!$A$2:$B$8,2,FALSE)=1, YES_Reading_FLA[Reading Level June of Previous School Year],INDIRECT("YES_Reading_FLA[Instructional Reading Level - Per "&amp;(VLOOKUP($D$2,'Reading Report Logic'!$A$2:$B$8,2,FALSE)-1)&amp;"]"))),FALSE)="","",
VLOOKUP($A714,YES_Reading_FLA[], COLUMN(IF(VLOOKUP($D$2,'Reading Report Logic'!$A$2:$B$8,2,FALSE)=1, YES_Reading_FLA[Reading Level June of Previous School Year],INDIRECT("YES_Reading_FLA[Instructional Reading Level - Per "&amp;(VLOOKUP($D$2,'Reading Report Logic'!$A$2:$B$8,2,FALSE)-1)&amp;"]"))),FALSE)),
IF($J$2="Combined",
IFERROR(
IF(VLOOKUP($A714, YES_Reading_ELA[], COLUMN(IF(VLOOKUP($D$2,'Reading Report Logic'!$A$2:$B$8,2,FALSE)=1, YES_Reading_ELA[Reading Level June of Previous School Year],INDIRECT("YES_Reading_ELA[Instructional Reading Level - Per "&amp;(VLOOKUP($D$2,'Reading Report Logic'!$A$2:$B$8,2,FALSE)-1)&amp;"]"))), FALSE)="", "",
VLOOKUP($A714,YES_Reading_ELA[],COLUMN(IF(VLOOKUP($D$2,'Reading Report Logic'!$A$2:$B$8,2,FALSE)=1, YES_Reading_ELA[Reading Level June of Previous School Year],INDIRECT("YES_Reading_ELA[Instructional Reading Level - Per "&amp;(VLOOKUP($D$2,'Reading Report Logic'!$A$2:$B$8,2,FALSE)-1)&amp;"]"))),FALSE)),
IF(VLOOKUP($A714, YES_Reading_FLA[], COLUMN(IF(VLOOKUP($D$2,'Reading Report Logic'!$A$2:$B$8,2,FALSE)=1, YES_Reading_FLA[Reading Level June of Previous School Year],INDIRECT("YES_Reading_FLA[Instructional Reading Level - Per "&amp;(VLOOKUP($D$2,'Reading Report Logic'!$A$2:$B$8,2,FALSE)-1)&amp;"]"))),FALSE)="", "", VLOOKUP($A714,YES_Reading_FLA[],COLUMN(IF(VLOOKUP($D$2,'Reading Report Logic'!$A$2:$B$8,2,FALSE)=1, YES_Reading_FLA[Reading Level June of Previous School Year],INDIRECT("YES_Reading_FLA[Instructional Reading Level - Per "&amp;(VLOOKUP($D$2,'Reading Report Logic'!$A$2:$B$8,2,FALSE)-1)&amp;"]"))), FALSE))),""))),"")</f>
        <v/>
      </c>
      <c r="D714" s="204" t="str" cm="1">
        <f t="array" aca="1" ref="D714" ca="1">IFERROR(
IF($J$2="ELA",
IF(VLOOKUP($A714, YES_Reading_ELA[], COLUMN(INDIRECT("YES_Reading_ELA[Instructional Reading Level - Per "&amp;VLOOKUP($D$2, 'Reading Report Logic'!$A$2:$B$8, 2, FALSE)&amp;"]")), FALSE)="", "",
VLOOKUP($A714,YES_Reading_ELA[], COLUMN(INDIRECT("YES_Reading_ELA[Instructional Reading Level - Per "&amp;VLOOKUP($D$2,'Reading Report Logic'!$A$2:$B$8,2,FALSE)&amp;"]")), FALSE)),
IF($J$2="FLA",
IF(VLOOKUP($A714, YES_Reading_FLA[], COLUMN(INDIRECT("YES_Reading_FLA[Instructional Reading Level - Per "&amp;VLOOKUP($D$2,'Reading Report Logic'!$A$2:$B$8,2,FALSE)&amp;"]")),FALSE)="","",
VLOOKUP($A714,YES_Reading_FLA[],COLUMN(INDIRECT("YES_Reading_FLA[Instructional Reading Level - Per "&amp;VLOOKUP($D$2,'Reading Report Logic'!$A$2:$B$8,2,FALSE)&amp;"]")),FALSE)),
IF($J$2="Combined",
IFERROR(
IF(VLOOKUP($A714, YES_Reading_ELA[], COLUMN(INDIRECT("YES_Reading_ELA[Instructional Reading Level - Per "&amp;VLOOKUP($D$2, 'Reading Report Logic'!$A$2:$B$8,2,FALSE)&amp;"]")), FALSE)="", "",
VLOOKUP($A714,YES_Reading_ELA[],COLUMN(INDIRECT("YES_Reading_ELA[Instructional Reading Level - Per "&amp;VLOOKUP($D$2,'Reading Report Logic'!$A$2:$B$8,2,FALSE)&amp;"]")),FALSE)),
IF(VLOOKUP($A714, YES_Reading_FLA[], COLUMN(INDIRECT("YES_Reading_FLA[Instructional Reading Level - Per "&amp;VLOOKUP($D$2, 'Reading Report Logic'!$A$2:$B$8, 2, FALSE)&amp;"]")),FALSE)="", "", VLOOKUP($A714,YES_Reading_FLA[],COLUMN(INDIRECT("YES_Reading_FLA[Instructional Reading Level - Per "&amp;VLOOKUP($D$2, 'Reading Report Logic'!$A$2:$B$8, 2, FALSE)&amp;"]")),FALSE))),""))),"")</f>
        <v/>
      </c>
      <c r="E714" s="205" t="str" cm="1">
        <f t="array" aca="1" ref="E714" ca="1">IFERROR(
IF($J$2="ELA",
IF(VLOOKUP($A714, YES_Reading_ELA[], COLUMN(INDIRECT("YES_Reading_ELA[Min Expectation - Per "&amp;VLOOKUP($D$2, 'Reading Report Logic'!$A$2:$B$8, 2, FALSE)&amp;"]")), FALSE)="", "",
VLOOKUP($A714,YES_Reading_ELA[], COLUMN(INDIRECT("YES_Reading_ELA[Min Expectation - Per "&amp;VLOOKUP($D$2,'Reading Report Logic'!$A$2:$B$8,2,FALSE)&amp;"]")), FALSE)),
IF($J$2="FLA",
IF(VLOOKUP($A714, YES_Reading_FLA[], COLUMN(INDIRECT("YES_Reading_FLA[Min Expectation - Per "&amp;VLOOKUP($D$2,'Reading Report Logic'!$A$2:$B$8,2,FALSE)&amp;"]")),FALSE)="","",
VLOOKUP($A714,YES_Reading_FLA[],COLUMN(INDIRECT("YES_Reading_FLA[Min Expectation - Per "&amp;VLOOKUP($D$2,'Reading Report Logic'!$A$2:$B$8,2,FALSE)&amp;"]")),FALSE)),
IF($J$2="Combined",
IFERROR(
IF(VLOOKUP($A714, YES_Reading_ELA[], COLUMN(INDIRECT("YES_Reading_ELA[Min Expectation - Per "&amp;VLOOKUP($D$2, 'Reading Report Logic'!$A$2:$B$8,2,FALSE)&amp;"]")), FALSE)="", "",
VLOOKUP($A714,YES_Reading_ELA[],COLUMN(INDIRECT("YES_Reading_ELA[Min Expectation - Per "&amp;VLOOKUP($D$2,'Reading Report Logic'!$A$2:$B$8,2,FALSE)&amp;"]")),FALSE)),
IF(VLOOKUP($A714, YES_Reading_FLA[], COLUMN(INDIRECT("YES_Reading_FLA[Min Expectation - Per "&amp;VLOOKUP($D$2, 'Reading Report Logic'!$A$2:$B$8, 2, FALSE)&amp;"]")),FALSE)="", "", VLOOKUP($A714,YES_Reading_FLA[],COLUMN(INDIRECT("YES_Reading_FLA[Min Expectation - Per "&amp;VLOOKUP($D$2, 'Reading Report Logic'!$A$2:$B$8, 2, FALSE)&amp;"]")),FALSE))),""))),"")</f>
        <v/>
      </c>
      <c r="F714" s="205" t="str" cm="1">
        <f t="array" aca="1" ref="F714" ca="1">IFERROR(
IF($J$2="ELA",
IF(VLOOKUP($A714, YES_Reading_ELA[], COLUMN(INDIRECT("YES_Reading_ELA[Max Expectation - Per "&amp;VLOOKUP($D$2, 'Reading Report Logic'!$A$2:$B$8, 2, FALSE)&amp;"]")), FALSE)="", "",
VLOOKUP($A714,YES_Reading_ELA[], COLUMN(INDIRECT("YES_Reading_ELA[Max Expectation - Per "&amp;VLOOKUP($D$2,'Reading Report Logic'!$A$2:$B$8,2,FALSE)&amp;"]")), FALSE)),
IF($J$2="FLA",
IF(VLOOKUP($A714, YES_Reading_FLA[], COLUMN(INDIRECT("YES_Reading_FLA[Max Expectation - Per "&amp;VLOOKUP($D$2,'Reading Report Logic'!$A$2:$B$8,2,FALSE)&amp;"]")),FALSE)="","",
VLOOKUP($A714,YES_Reading_FLA[],COLUMN(INDIRECT("YES_Reading_FLA[Max Expectation - Per "&amp;VLOOKUP($D$2,'Reading Report Logic'!$A$2:$B$8,2,FALSE)&amp;"]")),FALSE)),
IF($J$2="Combined",
IFERROR(
IF(VLOOKUP($A714, YES_Reading_ELA[], COLUMN(INDIRECT("YES_Reading_ELA[Max Expectation - Per "&amp;VLOOKUP($D$2, 'Reading Report Logic'!$A$2:$B$8,2,FALSE)&amp;"]")), FALSE)="", "",
VLOOKUP($A714,YES_Reading_ELA[],COLUMN(INDIRECT("YES_Reading_ELA[Max Expectation - Per "&amp;VLOOKUP($D$2,'Reading Report Logic'!$A$2:$B$8,2,FALSE)&amp;"]")),FALSE)),
IF(VLOOKUP($A714, YES_Reading_FLA[], COLUMN(INDIRECT("YES_Reading_FLA[Max Expectation - Per "&amp;VLOOKUP($D$2, 'Reading Report Logic'!$A$2:$B$8, 2, FALSE)&amp;"]")),FALSE)="", "", VLOOKUP($A714,YES_Reading_FLA[],COLUMN(INDIRECT("YES_Reading_FLA[Max Expectation - Per "&amp;VLOOKUP($D$2, 'Reading Report Logic'!$A$2:$B$8, 2, FALSE)&amp;"]")),FALSE))),""))),"")</f>
        <v/>
      </c>
      <c r="G714" s="205" t="str" cm="1">
        <f t="array" aca="1" ref="G714" ca="1">IFERROR(
IF($J$2="ELA",
IF(VLOOKUP($A714, YES_Reading_ELA[], COLUMN(INDIRECT("YES_Reading_ELA[Difference - Per "&amp;VLOOKUP($D$2, 'Reading Report Logic'!$A$2:$B$8, 2, FALSE)&amp;"]")), FALSE)="", "",
VLOOKUP($A714,YES_Reading_ELA[], COLUMN(INDIRECT("YES_Reading_ELA[Difference - Per "&amp;VLOOKUP($D$2,'Reading Report Logic'!$A$2:$B$8,2,FALSE)&amp;"]")), FALSE)),
IF($J$2="FLA",
IF(VLOOKUP($A714, YES_Reading_FLA[], COLUMN(INDIRECT("YES_Reading_FLA[Difference - Per "&amp;VLOOKUP($D$2,'Reading Report Logic'!$A$2:$B$8,2,FALSE)&amp;"]")),FALSE)="","",
VLOOKUP($A714,YES_Reading_FLA[],COLUMN(INDIRECT("YES_Reading_FLA[Difference - Per "&amp;VLOOKUP($D$2,'Reading Report Logic'!$A$2:$B$8,2,FALSE)&amp;"]")),FALSE)),
IF($J$2="Combined",
IFERROR(
IF(VLOOKUP($A714, YES_Reading_ELA[], COLUMN(INDIRECT("YES_Reading_ELA[Difference - Per "&amp;VLOOKUP($D$2, 'Reading Report Logic'!$A$2:$B$8,2,FALSE)&amp;"]")), FALSE)="", "",
VLOOKUP($A714,YES_Reading_ELA[],COLUMN(INDIRECT("YES_Reading_ELA[Difference - Per "&amp;VLOOKUP($D$2,'Reading Report Logic'!$A$2:$B$8,2,FALSE)&amp;"]")),FALSE)),
IF(VLOOKUP($A714, YES_Reading_FLA[], COLUMN(INDIRECT("YES_Reading_FLA[Difference - Per "&amp;VLOOKUP($D$2, 'Reading Report Logic'!$A$2:$B$8, 2, FALSE)&amp;"]")),FALSE)="", "", VLOOKUP($A714,YES_Reading_FLA[],COLUMN(INDIRECT("YES_Reading_FLA[Difference - Per "&amp;VLOOKUP($D$2, 'Reading Report Logic'!$A$2:$B$8, 2, FALSE)&amp;"]")),FALSE))),""))),"")</f>
        <v/>
      </c>
      <c r="H714" s="206" t="str">
        <f ca="1">IFERROR(VLOOKUP('Teacher Reading Pull Sheets'!$D714,_xlfn.VSTACK('ELA Reading Logic'!$A$22:$B$48,'FLA Reading Logic'!$A$22:$B$53),2,FALSE)-VLOOKUP('Teacher Reading Pull Sheets'!$C714,_xlfn.VSTACK('ELA Reading Logic'!$A$22:$B$48,'FLA Reading Logic'!$A$22:$B$53),2,FALSE),"")</f>
        <v/>
      </c>
      <c r="I714" s="212"/>
      <c r="J714" s="206"/>
      <c r="K714" s="197" t="str" cm="1">
        <f t="array" ref="K714">IFERROR(
IF($J$2="ELA",
IF(VLOOKUP($A714, YES_Reading_ELA[], COLUMN(YES_Reading_ELA[Self-Identified as African Descent]), FALSE)="", "",
VLOOKUP($A714,YES_Reading_ELA[], COLUMN(YES_Reading_ELA[Self-Identified as African Descent]), FALSE)),
IF($J$2="FLA",
IF(VLOOKUP($A714, YES_Reading_FLA[], COLUMN(YES_Reading_FLA[Self-Identified as African Descent]),FALSE)="","",
VLOOKUP($A714,YES_Reading_FLA[],COLUMN(YES_Reading_FLA[Self-Identified as African Descent]),FALSE)),
IF($J$2="Combined",
IFERROR(
IF(VLOOKUP($A714, YES_Reading_ELA[], COLUMN(YES_Reading_ELA[Self-Identified as African Descent]), FALSE)="", "",
VLOOKUP($A714,YES_Reading_ELA[],COLUMN(YES_Reading_ELA[Self-Identified as African Descent]),FALSE)),
IF(VLOOKUP($A714, YES_Reading_FLA[], COLUMN(YES_Reading_FLA[Self-Identified as African Descent]),FALSE)="", "", VLOOKUP($A714,YES_Reading_FLA[],COLUMN(YES_Reading_FLA[Self-Identified as African Descent]),FALSE))),""))),"")</f>
        <v/>
      </c>
      <c r="L714" s="73" t="str" cm="1">
        <f t="array" ref="L714">IFERROR(
IF($J$2="ELA",
IF(VLOOKUP($A714, YES_Reading_ELA[], COLUMN(YES_Reading_ELA[Self-Identified as Indigenous]), FALSE)="", "",
VLOOKUP($A714,YES_Reading_ELA[], COLUMN(YES_Reading_ELA[Self-Identified as Indigenous]), FALSE)),
IF($J$2="FLA",
IF(VLOOKUP($A714, YES_Reading_FLA[], COLUMN(YES_Reading_FLA[Self-Identified as Indigenous]),FALSE)="","",
VLOOKUP($A714,YES_Reading_FLA[],COLUMN(YES_Reading_FLA[Self-Identified as Indigenous]),FALSE)),
IF($J$2="Combined",
IFERROR(
IF(VLOOKUP($A714, YES_Reading_ELA[], COLUMN(YES_Reading_ELA[Self-Identified as Indigenous]), FALSE)="", "",
VLOOKUP($A714,YES_Reading_ELA[],COLUMN(YES_Reading_ELA[Self-Identified as Indigenous]),FALSE)),
IF(VLOOKUP($A714, YES_Reading_FLA[], COLUMN(YES_Reading_FLA[Self-Identified as Indigenous]),FALSE)="", "", VLOOKUP($A714,YES_Reading_FLA[],COLUMN(YES_Reading_FLA[Self-Identified as Indigenous]),FALSE))),""))),"")</f>
        <v/>
      </c>
    </row>
    <row r="715" spans="1:12" ht="19.5" customHeight="1" x14ac:dyDescent="0.25">
      <c r="A715" s="217"/>
      <c r="B715" s="220" t="str">
        <f>IFERROR(VLOOKUP(A715,_xlfn.VSTACK(YES_Reading_ELA[],YES_Reading_FLA[]),2,FALSE),"")</f>
        <v/>
      </c>
      <c r="C715" s="203" t="str" cm="1">
        <f t="array" aca="1" ref="C715" ca="1">IFERROR(
IF($J$2="ELA",
IF(VLOOKUP($A715, YES_Reading_ELA[], COLUMN(IF(VLOOKUP($D$2, 'Reading Report Logic'!$A$2:$B$8, 2, FALSE)=1, YES_Reading_ELA[Reading Level June of Previous School Year], INDIRECT("YES_Reading_ELA[Instructional Reading Level - Per "&amp;(VLOOKUP($D$2,'Reading Report Logic'!$A$2:$B$8,2,FALSE)-1)&amp;"]"))), FALSE)="", "",
VLOOKUP($A715,YES_Reading_ELA[], COLUMN(IF(VLOOKUP($D$2,'Reading Report Logic'!$A$2:$B$8,2,FALSE)=1, YES_Reading_ELA[Reading Level June of Previous School Year],INDIRECT("YES_Reading_ELA[Instructional Reading Level - Per "&amp;(VLOOKUP($D$2,'Reading Report Logic'!$A$2:$B$8,2,FALSE)-1)&amp;"]"))), FALSE)),
IF($J$2="FLA",
IF(VLOOKUP($A715, YES_Reading_FLA[], COLUMN(IF(VLOOKUP($D$2,'Reading Report Logic'!$A$2:$B$8,2,FALSE)=1, YES_Reading_FLA[Reading Level June of Previous School Year],INDIRECT("YES_Reading_FLA[Instructional Reading Level - Per "&amp;(VLOOKUP($D$2,'Reading Report Logic'!$A$2:$B$8,2,FALSE)-1)&amp;"]"))),FALSE)="","",
VLOOKUP($A715,YES_Reading_FLA[], COLUMN(IF(VLOOKUP($D$2,'Reading Report Logic'!$A$2:$B$8,2,FALSE)=1, YES_Reading_FLA[Reading Level June of Previous School Year],INDIRECT("YES_Reading_FLA[Instructional Reading Level - Per "&amp;(VLOOKUP($D$2,'Reading Report Logic'!$A$2:$B$8,2,FALSE)-1)&amp;"]"))),FALSE)),
IF($J$2="Combined",
IFERROR(
IF(VLOOKUP($A715, YES_Reading_ELA[], COLUMN(IF(VLOOKUP($D$2,'Reading Report Logic'!$A$2:$B$8,2,FALSE)=1, YES_Reading_ELA[Reading Level June of Previous School Year],INDIRECT("YES_Reading_ELA[Instructional Reading Level - Per "&amp;(VLOOKUP($D$2,'Reading Report Logic'!$A$2:$B$8,2,FALSE)-1)&amp;"]"))), FALSE)="", "",
VLOOKUP($A715,YES_Reading_ELA[],COLUMN(IF(VLOOKUP($D$2,'Reading Report Logic'!$A$2:$B$8,2,FALSE)=1, YES_Reading_ELA[Reading Level June of Previous School Year],INDIRECT("YES_Reading_ELA[Instructional Reading Level - Per "&amp;(VLOOKUP($D$2,'Reading Report Logic'!$A$2:$B$8,2,FALSE)-1)&amp;"]"))),FALSE)),
IF(VLOOKUP($A715, YES_Reading_FLA[], COLUMN(IF(VLOOKUP($D$2,'Reading Report Logic'!$A$2:$B$8,2,FALSE)=1, YES_Reading_FLA[Reading Level June of Previous School Year],INDIRECT("YES_Reading_FLA[Instructional Reading Level - Per "&amp;(VLOOKUP($D$2,'Reading Report Logic'!$A$2:$B$8,2,FALSE)-1)&amp;"]"))),FALSE)="", "", VLOOKUP($A715,YES_Reading_FLA[],COLUMN(IF(VLOOKUP($D$2,'Reading Report Logic'!$A$2:$B$8,2,FALSE)=1, YES_Reading_FLA[Reading Level June of Previous School Year],INDIRECT("YES_Reading_FLA[Instructional Reading Level - Per "&amp;(VLOOKUP($D$2,'Reading Report Logic'!$A$2:$B$8,2,FALSE)-1)&amp;"]"))), FALSE))),""))),"")</f>
        <v/>
      </c>
      <c r="D715" s="204" t="str" cm="1">
        <f t="array" aca="1" ref="D715" ca="1">IFERROR(
IF($J$2="ELA",
IF(VLOOKUP($A715, YES_Reading_ELA[], COLUMN(INDIRECT("YES_Reading_ELA[Instructional Reading Level - Per "&amp;VLOOKUP($D$2, 'Reading Report Logic'!$A$2:$B$8, 2, FALSE)&amp;"]")), FALSE)="", "",
VLOOKUP($A715,YES_Reading_ELA[], COLUMN(INDIRECT("YES_Reading_ELA[Instructional Reading Level - Per "&amp;VLOOKUP($D$2,'Reading Report Logic'!$A$2:$B$8,2,FALSE)&amp;"]")), FALSE)),
IF($J$2="FLA",
IF(VLOOKUP($A715, YES_Reading_FLA[], COLUMN(INDIRECT("YES_Reading_FLA[Instructional Reading Level - Per "&amp;VLOOKUP($D$2,'Reading Report Logic'!$A$2:$B$8,2,FALSE)&amp;"]")),FALSE)="","",
VLOOKUP($A715,YES_Reading_FLA[],COLUMN(INDIRECT("YES_Reading_FLA[Instructional Reading Level - Per "&amp;VLOOKUP($D$2,'Reading Report Logic'!$A$2:$B$8,2,FALSE)&amp;"]")),FALSE)),
IF($J$2="Combined",
IFERROR(
IF(VLOOKUP($A715, YES_Reading_ELA[], COLUMN(INDIRECT("YES_Reading_ELA[Instructional Reading Level - Per "&amp;VLOOKUP($D$2, 'Reading Report Logic'!$A$2:$B$8,2,FALSE)&amp;"]")), FALSE)="", "",
VLOOKUP($A715,YES_Reading_ELA[],COLUMN(INDIRECT("YES_Reading_ELA[Instructional Reading Level - Per "&amp;VLOOKUP($D$2,'Reading Report Logic'!$A$2:$B$8,2,FALSE)&amp;"]")),FALSE)),
IF(VLOOKUP($A715, YES_Reading_FLA[], COLUMN(INDIRECT("YES_Reading_FLA[Instructional Reading Level - Per "&amp;VLOOKUP($D$2, 'Reading Report Logic'!$A$2:$B$8, 2, FALSE)&amp;"]")),FALSE)="", "", VLOOKUP($A715,YES_Reading_FLA[],COLUMN(INDIRECT("YES_Reading_FLA[Instructional Reading Level - Per "&amp;VLOOKUP($D$2, 'Reading Report Logic'!$A$2:$B$8, 2, FALSE)&amp;"]")),FALSE))),""))),"")</f>
        <v/>
      </c>
      <c r="E715" s="205" t="str" cm="1">
        <f t="array" aca="1" ref="E715" ca="1">IFERROR(
IF($J$2="ELA",
IF(VLOOKUP($A715, YES_Reading_ELA[], COLUMN(INDIRECT("YES_Reading_ELA[Min Expectation - Per "&amp;VLOOKUP($D$2, 'Reading Report Logic'!$A$2:$B$8, 2, FALSE)&amp;"]")), FALSE)="", "",
VLOOKUP($A715,YES_Reading_ELA[], COLUMN(INDIRECT("YES_Reading_ELA[Min Expectation - Per "&amp;VLOOKUP($D$2,'Reading Report Logic'!$A$2:$B$8,2,FALSE)&amp;"]")), FALSE)),
IF($J$2="FLA",
IF(VLOOKUP($A715, YES_Reading_FLA[], COLUMN(INDIRECT("YES_Reading_FLA[Min Expectation - Per "&amp;VLOOKUP($D$2,'Reading Report Logic'!$A$2:$B$8,2,FALSE)&amp;"]")),FALSE)="","",
VLOOKUP($A715,YES_Reading_FLA[],COLUMN(INDIRECT("YES_Reading_FLA[Min Expectation - Per "&amp;VLOOKUP($D$2,'Reading Report Logic'!$A$2:$B$8,2,FALSE)&amp;"]")),FALSE)),
IF($J$2="Combined",
IFERROR(
IF(VLOOKUP($A715, YES_Reading_ELA[], COLUMN(INDIRECT("YES_Reading_ELA[Min Expectation - Per "&amp;VLOOKUP($D$2, 'Reading Report Logic'!$A$2:$B$8,2,FALSE)&amp;"]")), FALSE)="", "",
VLOOKUP($A715,YES_Reading_ELA[],COLUMN(INDIRECT("YES_Reading_ELA[Min Expectation - Per "&amp;VLOOKUP($D$2,'Reading Report Logic'!$A$2:$B$8,2,FALSE)&amp;"]")),FALSE)),
IF(VLOOKUP($A715, YES_Reading_FLA[], COLUMN(INDIRECT("YES_Reading_FLA[Min Expectation - Per "&amp;VLOOKUP($D$2, 'Reading Report Logic'!$A$2:$B$8, 2, FALSE)&amp;"]")),FALSE)="", "", VLOOKUP($A715,YES_Reading_FLA[],COLUMN(INDIRECT("YES_Reading_FLA[Min Expectation - Per "&amp;VLOOKUP($D$2, 'Reading Report Logic'!$A$2:$B$8, 2, FALSE)&amp;"]")),FALSE))),""))),"")</f>
        <v/>
      </c>
      <c r="F715" s="205" t="str" cm="1">
        <f t="array" aca="1" ref="F715" ca="1">IFERROR(
IF($J$2="ELA",
IF(VLOOKUP($A715, YES_Reading_ELA[], COLUMN(INDIRECT("YES_Reading_ELA[Max Expectation - Per "&amp;VLOOKUP($D$2, 'Reading Report Logic'!$A$2:$B$8, 2, FALSE)&amp;"]")), FALSE)="", "",
VLOOKUP($A715,YES_Reading_ELA[], COLUMN(INDIRECT("YES_Reading_ELA[Max Expectation - Per "&amp;VLOOKUP($D$2,'Reading Report Logic'!$A$2:$B$8,2,FALSE)&amp;"]")), FALSE)),
IF($J$2="FLA",
IF(VLOOKUP($A715, YES_Reading_FLA[], COLUMN(INDIRECT("YES_Reading_FLA[Max Expectation - Per "&amp;VLOOKUP($D$2,'Reading Report Logic'!$A$2:$B$8,2,FALSE)&amp;"]")),FALSE)="","",
VLOOKUP($A715,YES_Reading_FLA[],COLUMN(INDIRECT("YES_Reading_FLA[Max Expectation - Per "&amp;VLOOKUP($D$2,'Reading Report Logic'!$A$2:$B$8,2,FALSE)&amp;"]")),FALSE)),
IF($J$2="Combined",
IFERROR(
IF(VLOOKUP($A715, YES_Reading_ELA[], COLUMN(INDIRECT("YES_Reading_ELA[Max Expectation - Per "&amp;VLOOKUP($D$2, 'Reading Report Logic'!$A$2:$B$8,2,FALSE)&amp;"]")), FALSE)="", "",
VLOOKUP($A715,YES_Reading_ELA[],COLUMN(INDIRECT("YES_Reading_ELA[Max Expectation - Per "&amp;VLOOKUP($D$2,'Reading Report Logic'!$A$2:$B$8,2,FALSE)&amp;"]")),FALSE)),
IF(VLOOKUP($A715, YES_Reading_FLA[], COLUMN(INDIRECT("YES_Reading_FLA[Max Expectation - Per "&amp;VLOOKUP($D$2, 'Reading Report Logic'!$A$2:$B$8, 2, FALSE)&amp;"]")),FALSE)="", "", VLOOKUP($A715,YES_Reading_FLA[],COLUMN(INDIRECT("YES_Reading_FLA[Max Expectation - Per "&amp;VLOOKUP($D$2, 'Reading Report Logic'!$A$2:$B$8, 2, FALSE)&amp;"]")),FALSE))),""))),"")</f>
        <v/>
      </c>
      <c r="G715" s="205" t="str" cm="1">
        <f t="array" aca="1" ref="G715" ca="1">IFERROR(
IF($J$2="ELA",
IF(VLOOKUP($A715, YES_Reading_ELA[], COLUMN(INDIRECT("YES_Reading_ELA[Difference - Per "&amp;VLOOKUP($D$2, 'Reading Report Logic'!$A$2:$B$8, 2, FALSE)&amp;"]")), FALSE)="", "",
VLOOKUP($A715,YES_Reading_ELA[], COLUMN(INDIRECT("YES_Reading_ELA[Difference - Per "&amp;VLOOKUP($D$2,'Reading Report Logic'!$A$2:$B$8,2,FALSE)&amp;"]")), FALSE)),
IF($J$2="FLA",
IF(VLOOKUP($A715, YES_Reading_FLA[], COLUMN(INDIRECT("YES_Reading_FLA[Difference - Per "&amp;VLOOKUP($D$2,'Reading Report Logic'!$A$2:$B$8,2,FALSE)&amp;"]")),FALSE)="","",
VLOOKUP($A715,YES_Reading_FLA[],COLUMN(INDIRECT("YES_Reading_FLA[Difference - Per "&amp;VLOOKUP($D$2,'Reading Report Logic'!$A$2:$B$8,2,FALSE)&amp;"]")),FALSE)),
IF($J$2="Combined",
IFERROR(
IF(VLOOKUP($A715, YES_Reading_ELA[], COLUMN(INDIRECT("YES_Reading_ELA[Difference - Per "&amp;VLOOKUP($D$2, 'Reading Report Logic'!$A$2:$B$8,2,FALSE)&amp;"]")), FALSE)="", "",
VLOOKUP($A715,YES_Reading_ELA[],COLUMN(INDIRECT("YES_Reading_ELA[Difference - Per "&amp;VLOOKUP($D$2,'Reading Report Logic'!$A$2:$B$8,2,FALSE)&amp;"]")),FALSE)),
IF(VLOOKUP($A715, YES_Reading_FLA[], COLUMN(INDIRECT("YES_Reading_FLA[Difference - Per "&amp;VLOOKUP($D$2, 'Reading Report Logic'!$A$2:$B$8, 2, FALSE)&amp;"]")),FALSE)="", "", VLOOKUP($A715,YES_Reading_FLA[],COLUMN(INDIRECT("YES_Reading_FLA[Difference - Per "&amp;VLOOKUP($D$2, 'Reading Report Logic'!$A$2:$B$8, 2, FALSE)&amp;"]")),FALSE))),""))),"")</f>
        <v/>
      </c>
      <c r="H715" s="206" t="str">
        <f ca="1">IFERROR(VLOOKUP('Teacher Reading Pull Sheets'!$D715,_xlfn.VSTACK('ELA Reading Logic'!$A$22:$B$48,'FLA Reading Logic'!$A$22:$B$53),2,FALSE)-VLOOKUP('Teacher Reading Pull Sheets'!$C715,_xlfn.VSTACK('ELA Reading Logic'!$A$22:$B$48,'FLA Reading Logic'!$A$22:$B$53),2,FALSE),"")</f>
        <v/>
      </c>
      <c r="I715" s="212"/>
      <c r="J715" s="206"/>
      <c r="K715" s="197" t="str" cm="1">
        <f t="array" ref="K715">IFERROR(
IF($J$2="ELA",
IF(VLOOKUP($A715, YES_Reading_ELA[], COLUMN(YES_Reading_ELA[Self-Identified as African Descent]), FALSE)="", "",
VLOOKUP($A715,YES_Reading_ELA[], COLUMN(YES_Reading_ELA[Self-Identified as African Descent]), FALSE)),
IF($J$2="FLA",
IF(VLOOKUP($A715, YES_Reading_FLA[], COLUMN(YES_Reading_FLA[Self-Identified as African Descent]),FALSE)="","",
VLOOKUP($A715,YES_Reading_FLA[],COLUMN(YES_Reading_FLA[Self-Identified as African Descent]),FALSE)),
IF($J$2="Combined",
IFERROR(
IF(VLOOKUP($A715, YES_Reading_ELA[], COLUMN(YES_Reading_ELA[Self-Identified as African Descent]), FALSE)="", "",
VLOOKUP($A715,YES_Reading_ELA[],COLUMN(YES_Reading_ELA[Self-Identified as African Descent]),FALSE)),
IF(VLOOKUP($A715, YES_Reading_FLA[], COLUMN(YES_Reading_FLA[Self-Identified as African Descent]),FALSE)="", "", VLOOKUP($A715,YES_Reading_FLA[],COLUMN(YES_Reading_FLA[Self-Identified as African Descent]),FALSE))),""))),"")</f>
        <v/>
      </c>
      <c r="L715" s="73" t="str" cm="1">
        <f t="array" ref="L715">IFERROR(
IF($J$2="ELA",
IF(VLOOKUP($A715, YES_Reading_ELA[], COLUMN(YES_Reading_ELA[Self-Identified as Indigenous]), FALSE)="", "",
VLOOKUP($A715,YES_Reading_ELA[], COLUMN(YES_Reading_ELA[Self-Identified as Indigenous]), FALSE)),
IF($J$2="FLA",
IF(VLOOKUP($A715, YES_Reading_FLA[], COLUMN(YES_Reading_FLA[Self-Identified as Indigenous]),FALSE)="","",
VLOOKUP($A715,YES_Reading_FLA[],COLUMN(YES_Reading_FLA[Self-Identified as Indigenous]),FALSE)),
IF($J$2="Combined",
IFERROR(
IF(VLOOKUP($A715, YES_Reading_ELA[], COLUMN(YES_Reading_ELA[Self-Identified as Indigenous]), FALSE)="", "",
VLOOKUP($A715,YES_Reading_ELA[],COLUMN(YES_Reading_ELA[Self-Identified as Indigenous]),FALSE)),
IF(VLOOKUP($A715, YES_Reading_FLA[], COLUMN(YES_Reading_FLA[Self-Identified as Indigenous]),FALSE)="", "", VLOOKUP($A715,YES_Reading_FLA[],COLUMN(YES_Reading_FLA[Self-Identified as Indigenous]),FALSE))),""))),"")</f>
        <v/>
      </c>
    </row>
    <row r="716" spans="1:12" ht="19.5" customHeight="1" x14ac:dyDescent="0.25">
      <c r="A716" s="217"/>
      <c r="B716" s="220" t="str">
        <f>IFERROR(VLOOKUP(A716,_xlfn.VSTACK(YES_Reading_ELA[],YES_Reading_FLA[]),2,FALSE),"")</f>
        <v/>
      </c>
      <c r="C716" s="203" t="str" cm="1">
        <f t="array" aca="1" ref="C716" ca="1">IFERROR(
IF($J$2="ELA",
IF(VLOOKUP($A716, YES_Reading_ELA[], COLUMN(IF(VLOOKUP($D$2, 'Reading Report Logic'!$A$2:$B$8, 2, FALSE)=1, YES_Reading_ELA[Reading Level June of Previous School Year], INDIRECT("YES_Reading_ELA[Instructional Reading Level - Per "&amp;(VLOOKUP($D$2,'Reading Report Logic'!$A$2:$B$8,2,FALSE)-1)&amp;"]"))), FALSE)="", "",
VLOOKUP($A716,YES_Reading_ELA[], COLUMN(IF(VLOOKUP($D$2,'Reading Report Logic'!$A$2:$B$8,2,FALSE)=1, YES_Reading_ELA[Reading Level June of Previous School Year],INDIRECT("YES_Reading_ELA[Instructional Reading Level - Per "&amp;(VLOOKUP($D$2,'Reading Report Logic'!$A$2:$B$8,2,FALSE)-1)&amp;"]"))), FALSE)),
IF($J$2="FLA",
IF(VLOOKUP($A716, YES_Reading_FLA[], COLUMN(IF(VLOOKUP($D$2,'Reading Report Logic'!$A$2:$B$8,2,FALSE)=1, YES_Reading_FLA[Reading Level June of Previous School Year],INDIRECT("YES_Reading_FLA[Instructional Reading Level - Per "&amp;(VLOOKUP($D$2,'Reading Report Logic'!$A$2:$B$8,2,FALSE)-1)&amp;"]"))),FALSE)="","",
VLOOKUP($A716,YES_Reading_FLA[], COLUMN(IF(VLOOKUP($D$2,'Reading Report Logic'!$A$2:$B$8,2,FALSE)=1, YES_Reading_FLA[Reading Level June of Previous School Year],INDIRECT("YES_Reading_FLA[Instructional Reading Level - Per "&amp;(VLOOKUP($D$2,'Reading Report Logic'!$A$2:$B$8,2,FALSE)-1)&amp;"]"))),FALSE)),
IF($J$2="Combined",
IFERROR(
IF(VLOOKUP($A716, YES_Reading_ELA[], COLUMN(IF(VLOOKUP($D$2,'Reading Report Logic'!$A$2:$B$8,2,FALSE)=1, YES_Reading_ELA[Reading Level June of Previous School Year],INDIRECT("YES_Reading_ELA[Instructional Reading Level - Per "&amp;(VLOOKUP($D$2,'Reading Report Logic'!$A$2:$B$8,2,FALSE)-1)&amp;"]"))), FALSE)="", "",
VLOOKUP($A716,YES_Reading_ELA[],COLUMN(IF(VLOOKUP($D$2,'Reading Report Logic'!$A$2:$B$8,2,FALSE)=1, YES_Reading_ELA[Reading Level June of Previous School Year],INDIRECT("YES_Reading_ELA[Instructional Reading Level - Per "&amp;(VLOOKUP($D$2,'Reading Report Logic'!$A$2:$B$8,2,FALSE)-1)&amp;"]"))),FALSE)),
IF(VLOOKUP($A716, YES_Reading_FLA[], COLUMN(IF(VLOOKUP($D$2,'Reading Report Logic'!$A$2:$B$8,2,FALSE)=1, YES_Reading_FLA[Reading Level June of Previous School Year],INDIRECT("YES_Reading_FLA[Instructional Reading Level - Per "&amp;(VLOOKUP($D$2,'Reading Report Logic'!$A$2:$B$8,2,FALSE)-1)&amp;"]"))),FALSE)="", "", VLOOKUP($A716,YES_Reading_FLA[],COLUMN(IF(VLOOKUP($D$2,'Reading Report Logic'!$A$2:$B$8,2,FALSE)=1, YES_Reading_FLA[Reading Level June of Previous School Year],INDIRECT("YES_Reading_FLA[Instructional Reading Level - Per "&amp;(VLOOKUP($D$2,'Reading Report Logic'!$A$2:$B$8,2,FALSE)-1)&amp;"]"))), FALSE))),""))),"")</f>
        <v/>
      </c>
      <c r="D716" s="204" t="str" cm="1">
        <f t="array" aca="1" ref="D716" ca="1">IFERROR(
IF($J$2="ELA",
IF(VLOOKUP($A716, YES_Reading_ELA[], COLUMN(INDIRECT("YES_Reading_ELA[Instructional Reading Level - Per "&amp;VLOOKUP($D$2, 'Reading Report Logic'!$A$2:$B$8, 2, FALSE)&amp;"]")), FALSE)="", "",
VLOOKUP($A716,YES_Reading_ELA[], COLUMN(INDIRECT("YES_Reading_ELA[Instructional Reading Level - Per "&amp;VLOOKUP($D$2,'Reading Report Logic'!$A$2:$B$8,2,FALSE)&amp;"]")), FALSE)),
IF($J$2="FLA",
IF(VLOOKUP($A716, YES_Reading_FLA[], COLUMN(INDIRECT("YES_Reading_FLA[Instructional Reading Level - Per "&amp;VLOOKUP($D$2,'Reading Report Logic'!$A$2:$B$8,2,FALSE)&amp;"]")),FALSE)="","",
VLOOKUP($A716,YES_Reading_FLA[],COLUMN(INDIRECT("YES_Reading_FLA[Instructional Reading Level - Per "&amp;VLOOKUP($D$2,'Reading Report Logic'!$A$2:$B$8,2,FALSE)&amp;"]")),FALSE)),
IF($J$2="Combined",
IFERROR(
IF(VLOOKUP($A716, YES_Reading_ELA[], COLUMN(INDIRECT("YES_Reading_ELA[Instructional Reading Level - Per "&amp;VLOOKUP($D$2, 'Reading Report Logic'!$A$2:$B$8,2,FALSE)&amp;"]")), FALSE)="", "",
VLOOKUP($A716,YES_Reading_ELA[],COLUMN(INDIRECT("YES_Reading_ELA[Instructional Reading Level - Per "&amp;VLOOKUP($D$2,'Reading Report Logic'!$A$2:$B$8,2,FALSE)&amp;"]")),FALSE)),
IF(VLOOKUP($A716, YES_Reading_FLA[], COLUMN(INDIRECT("YES_Reading_FLA[Instructional Reading Level - Per "&amp;VLOOKUP($D$2, 'Reading Report Logic'!$A$2:$B$8, 2, FALSE)&amp;"]")),FALSE)="", "", VLOOKUP($A716,YES_Reading_FLA[],COLUMN(INDIRECT("YES_Reading_FLA[Instructional Reading Level - Per "&amp;VLOOKUP($D$2, 'Reading Report Logic'!$A$2:$B$8, 2, FALSE)&amp;"]")),FALSE))),""))),"")</f>
        <v/>
      </c>
      <c r="E716" s="205" t="str" cm="1">
        <f t="array" aca="1" ref="E716" ca="1">IFERROR(
IF($J$2="ELA",
IF(VLOOKUP($A716, YES_Reading_ELA[], COLUMN(INDIRECT("YES_Reading_ELA[Min Expectation - Per "&amp;VLOOKUP($D$2, 'Reading Report Logic'!$A$2:$B$8, 2, FALSE)&amp;"]")), FALSE)="", "",
VLOOKUP($A716,YES_Reading_ELA[], COLUMN(INDIRECT("YES_Reading_ELA[Min Expectation - Per "&amp;VLOOKUP($D$2,'Reading Report Logic'!$A$2:$B$8,2,FALSE)&amp;"]")), FALSE)),
IF($J$2="FLA",
IF(VLOOKUP($A716, YES_Reading_FLA[], COLUMN(INDIRECT("YES_Reading_FLA[Min Expectation - Per "&amp;VLOOKUP($D$2,'Reading Report Logic'!$A$2:$B$8,2,FALSE)&amp;"]")),FALSE)="","",
VLOOKUP($A716,YES_Reading_FLA[],COLUMN(INDIRECT("YES_Reading_FLA[Min Expectation - Per "&amp;VLOOKUP($D$2,'Reading Report Logic'!$A$2:$B$8,2,FALSE)&amp;"]")),FALSE)),
IF($J$2="Combined",
IFERROR(
IF(VLOOKUP($A716, YES_Reading_ELA[], COLUMN(INDIRECT("YES_Reading_ELA[Min Expectation - Per "&amp;VLOOKUP($D$2, 'Reading Report Logic'!$A$2:$B$8,2,FALSE)&amp;"]")), FALSE)="", "",
VLOOKUP($A716,YES_Reading_ELA[],COLUMN(INDIRECT("YES_Reading_ELA[Min Expectation - Per "&amp;VLOOKUP($D$2,'Reading Report Logic'!$A$2:$B$8,2,FALSE)&amp;"]")),FALSE)),
IF(VLOOKUP($A716, YES_Reading_FLA[], COLUMN(INDIRECT("YES_Reading_FLA[Min Expectation - Per "&amp;VLOOKUP($D$2, 'Reading Report Logic'!$A$2:$B$8, 2, FALSE)&amp;"]")),FALSE)="", "", VLOOKUP($A716,YES_Reading_FLA[],COLUMN(INDIRECT("YES_Reading_FLA[Min Expectation - Per "&amp;VLOOKUP($D$2, 'Reading Report Logic'!$A$2:$B$8, 2, FALSE)&amp;"]")),FALSE))),""))),"")</f>
        <v/>
      </c>
      <c r="F716" s="205" t="str" cm="1">
        <f t="array" aca="1" ref="F716" ca="1">IFERROR(
IF($J$2="ELA",
IF(VLOOKUP($A716, YES_Reading_ELA[], COLUMN(INDIRECT("YES_Reading_ELA[Max Expectation - Per "&amp;VLOOKUP($D$2, 'Reading Report Logic'!$A$2:$B$8, 2, FALSE)&amp;"]")), FALSE)="", "",
VLOOKUP($A716,YES_Reading_ELA[], COLUMN(INDIRECT("YES_Reading_ELA[Max Expectation - Per "&amp;VLOOKUP($D$2,'Reading Report Logic'!$A$2:$B$8,2,FALSE)&amp;"]")), FALSE)),
IF($J$2="FLA",
IF(VLOOKUP($A716, YES_Reading_FLA[], COLUMN(INDIRECT("YES_Reading_FLA[Max Expectation - Per "&amp;VLOOKUP($D$2,'Reading Report Logic'!$A$2:$B$8,2,FALSE)&amp;"]")),FALSE)="","",
VLOOKUP($A716,YES_Reading_FLA[],COLUMN(INDIRECT("YES_Reading_FLA[Max Expectation - Per "&amp;VLOOKUP($D$2,'Reading Report Logic'!$A$2:$B$8,2,FALSE)&amp;"]")),FALSE)),
IF($J$2="Combined",
IFERROR(
IF(VLOOKUP($A716, YES_Reading_ELA[], COLUMN(INDIRECT("YES_Reading_ELA[Max Expectation - Per "&amp;VLOOKUP($D$2, 'Reading Report Logic'!$A$2:$B$8,2,FALSE)&amp;"]")), FALSE)="", "",
VLOOKUP($A716,YES_Reading_ELA[],COLUMN(INDIRECT("YES_Reading_ELA[Max Expectation - Per "&amp;VLOOKUP($D$2,'Reading Report Logic'!$A$2:$B$8,2,FALSE)&amp;"]")),FALSE)),
IF(VLOOKUP($A716, YES_Reading_FLA[], COLUMN(INDIRECT("YES_Reading_FLA[Max Expectation - Per "&amp;VLOOKUP($D$2, 'Reading Report Logic'!$A$2:$B$8, 2, FALSE)&amp;"]")),FALSE)="", "", VLOOKUP($A716,YES_Reading_FLA[],COLUMN(INDIRECT("YES_Reading_FLA[Max Expectation - Per "&amp;VLOOKUP($D$2, 'Reading Report Logic'!$A$2:$B$8, 2, FALSE)&amp;"]")),FALSE))),""))),"")</f>
        <v/>
      </c>
      <c r="G716" s="205" t="str" cm="1">
        <f t="array" aca="1" ref="G716" ca="1">IFERROR(
IF($J$2="ELA",
IF(VLOOKUP($A716, YES_Reading_ELA[], COLUMN(INDIRECT("YES_Reading_ELA[Difference - Per "&amp;VLOOKUP($D$2, 'Reading Report Logic'!$A$2:$B$8, 2, FALSE)&amp;"]")), FALSE)="", "",
VLOOKUP($A716,YES_Reading_ELA[], COLUMN(INDIRECT("YES_Reading_ELA[Difference - Per "&amp;VLOOKUP($D$2,'Reading Report Logic'!$A$2:$B$8,2,FALSE)&amp;"]")), FALSE)),
IF($J$2="FLA",
IF(VLOOKUP($A716, YES_Reading_FLA[], COLUMN(INDIRECT("YES_Reading_FLA[Difference - Per "&amp;VLOOKUP($D$2,'Reading Report Logic'!$A$2:$B$8,2,FALSE)&amp;"]")),FALSE)="","",
VLOOKUP($A716,YES_Reading_FLA[],COLUMN(INDIRECT("YES_Reading_FLA[Difference - Per "&amp;VLOOKUP($D$2,'Reading Report Logic'!$A$2:$B$8,2,FALSE)&amp;"]")),FALSE)),
IF($J$2="Combined",
IFERROR(
IF(VLOOKUP($A716, YES_Reading_ELA[], COLUMN(INDIRECT("YES_Reading_ELA[Difference - Per "&amp;VLOOKUP($D$2, 'Reading Report Logic'!$A$2:$B$8,2,FALSE)&amp;"]")), FALSE)="", "",
VLOOKUP($A716,YES_Reading_ELA[],COLUMN(INDIRECT("YES_Reading_ELA[Difference - Per "&amp;VLOOKUP($D$2,'Reading Report Logic'!$A$2:$B$8,2,FALSE)&amp;"]")),FALSE)),
IF(VLOOKUP($A716, YES_Reading_FLA[], COLUMN(INDIRECT("YES_Reading_FLA[Difference - Per "&amp;VLOOKUP($D$2, 'Reading Report Logic'!$A$2:$B$8, 2, FALSE)&amp;"]")),FALSE)="", "", VLOOKUP($A716,YES_Reading_FLA[],COLUMN(INDIRECT("YES_Reading_FLA[Difference - Per "&amp;VLOOKUP($D$2, 'Reading Report Logic'!$A$2:$B$8, 2, FALSE)&amp;"]")),FALSE))),""))),"")</f>
        <v/>
      </c>
      <c r="H716" s="206" t="str">
        <f ca="1">IFERROR(VLOOKUP('Teacher Reading Pull Sheets'!$D716,_xlfn.VSTACK('ELA Reading Logic'!$A$22:$B$48,'FLA Reading Logic'!$A$22:$B$53),2,FALSE)-VLOOKUP('Teacher Reading Pull Sheets'!$C716,_xlfn.VSTACK('ELA Reading Logic'!$A$22:$B$48,'FLA Reading Logic'!$A$22:$B$53),2,FALSE),"")</f>
        <v/>
      </c>
      <c r="I716" s="212"/>
      <c r="J716" s="206"/>
      <c r="K716" s="197" t="str" cm="1">
        <f t="array" ref="K716">IFERROR(
IF($J$2="ELA",
IF(VLOOKUP($A716, YES_Reading_ELA[], COLUMN(YES_Reading_ELA[Self-Identified as African Descent]), FALSE)="", "",
VLOOKUP($A716,YES_Reading_ELA[], COLUMN(YES_Reading_ELA[Self-Identified as African Descent]), FALSE)),
IF($J$2="FLA",
IF(VLOOKUP($A716, YES_Reading_FLA[], COLUMN(YES_Reading_FLA[Self-Identified as African Descent]),FALSE)="","",
VLOOKUP($A716,YES_Reading_FLA[],COLUMN(YES_Reading_FLA[Self-Identified as African Descent]),FALSE)),
IF($J$2="Combined",
IFERROR(
IF(VLOOKUP($A716, YES_Reading_ELA[], COLUMN(YES_Reading_ELA[Self-Identified as African Descent]), FALSE)="", "",
VLOOKUP($A716,YES_Reading_ELA[],COLUMN(YES_Reading_ELA[Self-Identified as African Descent]),FALSE)),
IF(VLOOKUP($A716, YES_Reading_FLA[], COLUMN(YES_Reading_FLA[Self-Identified as African Descent]),FALSE)="", "", VLOOKUP($A716,YES_Reading_FLA[],COLUMN(YES_Reading_FLA[Self-Identified as African Descent]),FALSE))),""))),"")</f>
        <v/>
      </c>
      <c r="L716" s="73" t="str" cm="1">
        <f t="array" ref="L716">IFERROR(
IF($J$2="ELA",
IF(VLOOKUP($A716, YES_Reading_ELA[], COLUMN(YES_Reading_ELA[Self-Identified as Indigenous]), FALSE)="", "",
VLOOKUP($A716,YES_Reading_ELA[], COLUMN(YES_Reading_ELA[Self-Identified as Indigenous]), FALSE)),
IF($J$2="FLA",
IF(VLOOKUP($A716, YES_Reading_FLA[], COLUMN(YES_Reading_FLA[Self-Identified as Indigenous]),FALSE)="","",
VLOOKUP($A716,YES_Reading_FLA[],COLUMN(YES_Reading_FLA[Self-Identified as Indigenous]),FALSE)),
IF($J$2="Combined",
IFERROR(
IF(VLOOKUP($A716, YES_Reading_ELA[], COLUMN(YES_Reading_ELA[Self-Identified as Indigenous]), FALSE)="", "",
VLOOKUP($A716,YES_Reading_ELA[],COLUMN(YES_Reading_ELA[Self-Identified as Indigenous]),FALSE)),
IF(VLOOKUP($A716, YES_Reading_FLA[], COLUMN(YES_Reading_FLA[Self-Identified as Indigenous]),FALSE)="", "", VLOOKUP($A716,YES_Reading_FLA[],COLUMN(YES_Reading_FLA[Self-Identified as Indigenous]),FALSE))),""))),"")</f>
        <v/>
      </c>
    </row>
    <row r="717" spans="1:12" ht="19.5" customHeight="1" x14ac:dyDescent="0.25">
      <c r="A717" s="217"/>
      <c r="B717" s="220" t="str">
        <f>IFERROR(VLOOKUP(A717,_xlfn.VSTACK(YES_Reading_ELA[],YES_Reading_FLA[]),2,FALSE),"")</f>
        <v/>
      </c>
      <c r="C717" s="203" t="str" cm="1">
        <f t="array" aca="1" ref="C717" ca="1">IFERROR(
IF($J$2="ELA",
IF(VLOOKUP($A717, YES_Reading_ELA[], COLUMN(IF(VLOOKUP($D$2, 'Reading Report Logic'!$A$2:$B$8, 2, FALSE)=1, YES_Reading_ELA[Reading Level June of Previous School Year], INDIRECT("YES_Reading_ELA[Instructional Reading Level - Per "&amp;(VLOOKUP($D$2,'Reading Report Logic'!$A$2:$B$8,2,FALSE)-1)&amp;"]"))), FALSE)="", "",
VLOOKUP($A717,YES_Reading_ELA[], COLUMN(IF(VLOOKUP($D$2,'Reading Report Logic'!$A$2:$B$8,2,FALSE)=1, YES_Reading_ELA[Reading Level June of Previous School Year],INDIRECT("YES_Reading_ELA[Instructional Reading Level - Per "&amp;(VLOOKUP($D$2,'Reading Report Logic'!$A$2:$B$8,2,FALSE)-1)&amp;"]"))), FALSE)),
IF($J$2="FLA",
IF(VLOOKUP($A717, YES_Reading_FLA[], COLUMN(IF(VLOOKUP($D$2,'Reading Report Logic'!$A$2:$B$8,2,FALSE)=1, YES_Reading_FLA[Reading Level June of Previous School Year],INDIRECT("YES_Reading_FLA[Instructional Reading Level - Per "&amp;(VLOOKUP($D$2,'Reading Report Logic'!$A$2:$B$8,2,FALSE)-1)&amp;"]"))),FALSE)="","",
VLOOKUP($A717,YES_Reading_FLA[], COLUMN(IF(VLOOKUP($D$2,'Reading Report Logic'!$A$2:$B$8,2,FALSE)=1, YES_Reading_FLA[Reading Level June of Previous School Year],INDIRECT("YES_Reading_FLA[Instructional Reading Level - Per "&amp;(VLOOKUP($D$2,'Reading Report Logic'!$A$2:$B$8,2,FALSE)-1)&amp;"]"))),FALSE)),
IF($J$2="Combined",
IFERROR(
IF(VLOOKUP($A717, YES_Reading_ELA[], COLUMN(IF(VLOOKUP($D$2,'Reading Report Logic'!$A$2:$B$8,2,FALSE)=1, YES_Reading_ELA[Reading Level June of Previous School Year],INDIRECT("YES_Reading_ELA[Instructional Reading Level - Per "&amp;(VLOOKUP($D$2,'Reading Report Logic'!$A$2:$B$8,2,FALSE)-1)&amp;"]"))), FALSE)="", "",
VLOOKUP($A717,YES_Reading_ELA[],COLUMN(IF(VLOOKUP($D$2,'Reading Report Logic'!$A$2:$B$8,2,FALSE)=1, YES_Reading_ELA[Reading Level June of Previous School Year],INDIRECT("YES_Reading_ELA[Instructional Reading Level - Per "&amp;(VLOOKUP($D$2,'Reading Report Logic'!$A$2:$B$8,2,FALSE)-1)&amp;"]"))),FALSE)),
IF(VLOOKUP($A717, YES_Reading_FLA[], COLUMN(IF(VLOOKUP($D$2,'Reading Report Logic'!$A$2:$B$8,2,FALSE)=1, YES_Reading_FLA[Reading Level June of Previous School Year],INDIRECT("YES_Reading_FLA[Instructional Reading Level - Per "&amp;(VLOOKUP($D$2,'Reading Report Logic'!$A$2:$B$8,2,FALSE)-1)&amp;"]"))),FALSE)="", "", VLOOKUP($A717,YES_Reading_FLA[],COLUMN(IF(VLOOKUP($D$2,'Reading Report Logic'!$A$2:$B$8,2,FALSE)=1, YES_Reading_FLA[Reading Level June of Previous School Year],INDIRECT("YES_Reading_FLA[Instructional Reading Level - Per "&amp;(VLOOKUP($D$2,'Reading Report Logic'!$A$2:$B$8,2,FALSE)-1)&amp;"]"))), FALSE))),""))),"")</f>
        <v/>
      </c>
      <c r="D717" s="204" t="str" cm="1">
        <f t="array" aca="1" ref="D717" ca="1">IFERROR(
IF($J$2="ELA",
IF(VLOOKUP($A717, YES_Reading_ELA[], COLUMN(INDIRECT("YES_Reading_ELA[Instructional Reading Level - Per "&amp;VLOOKUP($D$2, 'Reading Report Logic'!$A$2:$B$8, 2, FALSE)&amp;"]")), FALSE)="", "",
VLOOKUP($A717,YES_Reading_ELA[], COLUMN(INDIRECT("YES_Reading_ELA[Instructional Reading Level - Per "&amp;VLOOKUP($D$2,'Reading Report Logic'!$A$2:$B$8,2,FALSE)&amp;"]")), FALSE)),
IF($J$2="FLA",
IF(VLOOKUP($A717, YES_Reading_FLA[], COLUMN(INDIRECT("YES_Reading_FLA[Instructional Reading Level - Per "&amp;VLOOKUP($D$2,'Reading Report Logic'!$A$2:$B$8,2,FALSE)&amp;"]")),FALSE)="","",
VLOOKUP($A717,YES_Reading_FLA[],COLUMN(INDIRECT("YES_Reading_FLA[Instructional Reading Level - Per "&amp;VLOOKUP($D$2,'Reading Report Logic'!$A$2:$B$8,2,FALSE)&amp;"]")),FALSE)),
IF($J$2="Combined",
IFERROR(
IF(VLOOKUP($A717, YES_Reading_ELA[], COLUMN(INDIRECT("YES_Reading_ELA[Instructional Reading Level - Per "&amp;VLOOKUP($D$2, 'Reading Report Logic'!$A$2:$B$8,2,FALSE)&amp;"]")), FALSE)="", "",
VLOOKUP($A717,YES_Reading_ELA[],COLUMN(INDIRECT("YES_Reading_ELA[Instructional Reading Level - Per "&amp;VLOOKUP($D$2,'Reading Report Logic'!$A$2:$B$8,2,FALSE)&amp;"]")),FALSE)),
IF(VLOOKUP($A717, YES_Reading_FLA[], COLUMN(INDIRECT("YES_Reading_FLA[Instructional Reading Level - Per "&amp;VLOOKUP($D$2, 'Reading Report Logic'!$A$2:$B$8, 2, FALSE)&amp;"]")),FALSE)="", "", VLOOKUP($A717,YES_Reading_FLA[],COLUMN(INDIRECT("YES_Reading_FLA[Instructional Reading Level - Per "&amp;VLOOKUP($D$2, 'Reading Report Logic'!$A$2:$B$8, 2, FALSE)&amp;"]")),FALSE))),""))),"")</f>
        <v/>
      </c>
      <c r="E717" s="205" t="str" cm="1">
        <f t="array" aca="1" ref="E717" ca="1">IFERROR(
IF($J$2="ELA",
IF(VLOOKUP($A717, YES_Reading_ELA[], COLUMN(INDIRECT("YES_Reading_ELA[Min Expectation - Per "&amp;VLOOKUP($D$2, 'Reading Report Logic'!$A$2:$B$8, 2, FALSE)&amp;"]")), FALSE)="", "",
VLOOKUP($A717,YES_Reading_ELA[], COLUMN(INDIRECT("YES_Reading_ELA[Min Expectation - Per "&amp;VLOOKUP($D$2,'Reading Report Logic'!$A$2:$B$8,2,FALSE)&amp;"]")), FALSE)),
IF($J$2="FLA",
IF(VLOOKUP($A717, YES_Reading_FLA[], COLUMN(INDIRECT("YES_Reading_FLA[Min Expectation - Per "&amp;VLOOKUP($D$2,'Reading Report Logic'!$A$2:$B$8,2,FALSE)&amp;"]")),FALSE)="","",
VLOOKUP($A717,YES_Reading_FLA[],COLUMN(INDIRECT("YES_Reading_FLA[Min Expectation - Per "&amp;VLOOKUP($D$2,'Reading Report Logic'!$A$2:$B$8,2,FALSE)&amp;"]")),FALSE)),
IF($J$2="Combined",
IFERROR(
IF(VLOOKUP($A717, YES_Reading_ELA[], COLUMN(INDIRECT("YES_Reading_ELA[Min Expectation - Per "&amp;VLOOKUP($D$2, 'Reading Report Logic'!$A$2:$B$8,2,FALSE)&amp;"]")), FALSE)="", "",
VLOOKUP($A717,YES_Reading_ELA[],COLUMN(INDIRECT("YES_Reading_ELA[Min Expectation - Per "&amp;VLOOKUP($D$2,'Reading Report Logic'!$A$2:$B$8,2,FALSE)&amp;"]")),FALSE)),
IF(VLOOKUP($A717, YES_Reading_FLA[], COLUMN(INDIRECT("YES_Reading_FLA[Min Expectation - Per "&amp;VLOOKUP($D$2, 'Reading Report Logic'!$A$2:$B$8, 2, FALSE)&amp;"]")),FALSE)="", "", VLOOKUP($A717,YES_Reading_FLA[],COLUMN(INDIRECT("YES_Reading_FLA[Min Expectation - Per "&amp;VLOOKUP($D$2, 'Reading Report Logic'!$A$2:$B$8, 2, FALSE)&amp;"]")),FALSE))),""))),"")</f>
        <v/>
      </c>
      <c r="F717" s="205" t="str" cm="1">
        <f t="array" aca="1" ref="F717" ca="1">IFERROR(
IF($J$2="ELA",
IF(VLOOKUP($A717, YES_Reading_ELA[], COLUMN(INDIRECT("YES_Reading_ELA[Max Expectation - Per "&amp;VLOOKUP($D$2, 'Reading Report Logic'!$A$2:$B$8, 2, FALSE)&amp;"]")), FALSE)="", "",
VLOOKUP($A717,YES_Reading_ELA[], COLUMN(INDIRECT("YES_Reading_ELA[Max Expectation - Per "&amp;VLOOKUP($D$2,'Reading Report Logic'!$A$2:$B$8,2,FALSE)&amp;"]")), FALSE)),
IF($J$2="FLA",
IF(VLOOKUP($A717, YES_Reading_FLA[], COLUMN(INDIRECT("YES_Reading_FLA[Max Expectation - Per "&amp;VLOOKUP($D$2,'Reading Report Logic'!$A$2:$B$8,2,FALSE)&amp;"]")),FALSE)="","",
VLOOKUP($A717,YES_Reading_FLA[],COLUMN(INDIRECT("YES_Reading_FLA[Max Expectation - Per "&amp;VLOOKUP($D$2,'Reading Report Logic'!$A$2:$B$8,2,FALSE)&amp;"]")),FALSE)),
IF($J$2="Combined",
IFERROR(
IF(VLOOKUP($A717, YES_Reading_ELA[], COLUMN(INDIRECT("YES_Reading_ELA[Max Expectation - Per "&amp;VLOOKUP($D$2, 'Reading Report Logic'!$A$2:$B$8,2,FALSE)&amp;"]")), FALSE)="", "",
VLOOKUP($A717,YES_Reading_ELA[],COLUMN(INDIRECT("YES_Reading_ELA[Max Expectation - Per "&amp;VLOOKUP($D$2,'Reading Report Logic'!$A$2:$B$8,2,FALSE)&amp;"]")),FALSE)),
IF(VLOOKUP($A717, YES_Reading_FLA[], COLUMN(INDIRECT("YES_Reading_FLA[Max Expectation - Per "&amp;VLOOKUP($D$2, 'Reading Report Logic'!$A$2:$B$8, 2, FALSE)&amp;"]")),FALSE)="", "", VLOOKUP($A717,YES_Reading_FLA[],COLUMN(INDIRECT("YES_Reading_FLA[Max Expectation - Per "&amp;VLOOKUP($D$2, 'Reading Report Logic'!$A$2:$B$8, 2, FALSE)&amp;"]")),FALSE))),""))),"")</f>
        <v/>
      </c>
      <c r="G717" s="205" t="str" cm="1">
        <f t="array" aca="1" ref="G717" ca="1">IFERROR(
IF($J$2="ELA",
IF(VLOOKUP($A717, YES_Reading_ELA[], COLUMN(INDIRECT("YES_Reading_ELA[Difference - Per "&amp;VLOOKUP($D$2, 'Reading Report Logic'!$A$2:$B$8, 2, FALSE)&amp;"]")), FALSE)="", "",
VLOOKUP($A717,YES_Reading_ELA[], COLUMN(INDIRECT("YES_Reading_ELA[Difference - Per "&amp;VLOOKUP($D$2,'Reading Report Logic'!$A$2:$B$8,2,FALSE)&amp;"]")), FALSE)),
IF($J$2="FLA",
IF(VLOOKUP($A717, YES_Reading_FLA[], COLUMN(INDIRECT("YES_Reading_FLA[Difference - Per "&amp;VLOOKUP($D$2,'Reading Report Logic'!$A$2:$B$8,2,FALSE)&amp;"]")),FALSE)="","",
VLOOKUP($A717,YES_Reading_FLA[],COLUMN(INDIRECT("YES_Reading_FLA[Difference - Per "&amp;VLOOKUP($D$2,'Reading Report Logic'!$A$2:$B$8,2,FALSE)&amp;"]")),FALSE)),
IF($J$2="Combined",
IFERROR(
IF(VLOOKUP($A717, YES_Reading_ELA[], COLUMN(INDIRECT("YES_Reading_ELA[Difference - Per "&amp;VLOOKUP($D$2, 'Reading Report Logic'!$A$2:$B$8,2,FALSE)&amp;"]")), FALSE)="", "",
VLOOKUP($A717,YES_Reading_ELA[],COLUMN(INDIRECT("YES_Reading_ELA[Difference - Per "&amp;VLOOKUP($D$2,'Reading Report Logic'!$A$2:$B$8,2,FALSE)&amp;"]")),FALSE)),
IF(VLOOKUP($A717, YES_Reading_FLA[], COLUMN(INDIRECT("YES_Reading_FLA[Difference - Per "&amp;VLOOKUP($D$2, 'Reading Report Logic'!$A$2:$B$8, 2, FALSE)&amp;"]")),FALSE)="", "", VLOOKUP($A717,YES_Reading_FLA[],COLUMN(INDIRECT("YES_Reading_FLA[Difference - Per "&amp;VLOOKUP($D$2, 'Reading Report Logic'!$A$2:$B$8, 2, FALSE)&amp;"]")),FALSE))),""))),"")</f>
        <v/>
      </c>
      <c r="H717" s="206" t="str">
        <f ca="1">IFERROR(VLOOKUP('Teacher Reading Pull Sheets'!$D717,_xlfn.VSTACK('ELA Reading Logic'!$A$22:$B$48,'FLA Reading Logic'!$A$22:$B$53),2,FALSE)-VLOOKUP('Teacher Reading Pull Sheets'!$C717,_xlfn.VSTACK('ELA Reading Logic'!$A$22:$B$48,'FLA Reading Logic'!$A$22:$B$53),2,FALSE),"")</f>
        <v/>
      </c>
      <c r="I717" s="212"/>
      <c r="J717" s="206"/>
      <c r="K717" s="197" t="str" cm="1">
        <f t="array" ref="K717">IFERROR(
IF($J$2="ELA",
IF(VLOOKUP($A717, YES_Reading_ELA[], COLUMN(YES_Reading_ELA[Self-Identified as African Descent]), FALSE)="", "",
VLOOKUP($A717,YES_Reading_ELA[], COLUMN(YES_Reading_ELA[Self-Identified as African Descent]), FALSE)),
IF($J$2="FLA",
IF(VLOOKUP($A717, YES_Reading_FLA[], COLUMN(YES_Reading_FLA[Self-Identified as African Descent]),FALSE)="","",
VLOOKUP($A717,YES_Reading_FLA[],COLUMN(YES_Reading_FLA[Self-Identified as African Descent]),FALSE)),
IF($J$2="Combined",
IFERROR(
IF(VLOOKUP($A717, YES_Reading_ELA[], COLUMN(YES_Reading_ELA[Self-Identified as African Descent]), FALSE)="", "",
VLOOKUP($A717,YES_Reading_ELA[],COLUMN(YES_Reading_ELA[Self-Identified as African Descent]),FALSE)),
IF(VLOOKUP($A717, YES_Reading_FLA[], COLUMN(YES_Reading_FLA[Self-Identified as African Descent]),FALSE)="", "", VLOOKUP($A717,YES_Reading_FLA[],COLUMN(YES_Reading_FLA[Self-Identified as African Descent]),FALSE))),""))),"")</f>
        <v/>
      </c>
      <c r="L717" s="73" t="str" cm="1">
        <f t="array" ref="L717">IFERROR(
IF($J$2="ELA",
IF(VLOOKUP($A717, YES_Reading_ELA[], COLUMN(YES_Reading_ELA[Self-Identified as Indigenous]), FALSE)="", "",
VLOOKUP($A717,YES_Reading_ELA[], COLUMN(YES_Reading_ELA[Self-Identified as Indigenous]), FALSE)),
IF($J$2="FLA",
IF(VLOOKUP($A717, YES_Reading_FLA[], COLUMN(YES_Reading_FLA[Self-Identified as Indigenous]),FALSE)="","",
VLOOKUP($A717,YES_Reading_FLA[],COLUMN(YES_Reading_FLA[Self-Identified as Indigenous]),FALSE)),
IF($J$2="Combined",
IFERROR(
IF(VLOOKUP($A717, YES_Reading_ELA[], COLUMN(YES_Reading_ELA[Self-Identified as Indigenous]), FALSE)="", "",
VLOOKUP($A717,YES_Reading_ELA[],COLUMN(YES_Reading_ELA[Self-Identified as Indigenous]),FALSE)),
IF(VLOOKUP($A717, YES_Reading_FLA[], COLUMN(YES_Reading_FLA[Self-Identified as Indigenous]),FALSE)="", "", VLOOKUP($A717,YES_Reading_FLA[],COLUMN(YES_Reading_FLA[Self-Identified as Indigenous]),FALSE))),""))),"")</f>
        <v/>
      </c>
    </row>
    <row r="718" spans="1:12" ht="19.5" customHeight="1" thickBot="1" x14ac:dyDescent="0.3">
      <c r="A718" s="218"/>
      <c r="B718" s="221" t="str">
        <f>IFERROR(VLOOKUP(A718,_xlfn.VSTACK(YES_Reading_ELA[],YES_Reading_FLA[]),2,FALSE),"")</f>
        <v/>
      </c>
      <c r="C718" s="208" t="str" cm="1">
        <f t="array" aca="1" ref="C718" ca="1">IFERROR(
IF($J$2="ELA",
IF(VLOOKUP($A718, YES_Reading_ELA[], COLUMN(IF(VLOOKUP($D$2, 'Reading Report Logic'!$A$2:$B$8, 2, FALSE)=1, YES_Reading_ELA[Reading Level June of Previous School Year], INDIRECT("YES_Reading_ELA[Instructional Reading Level - Per "&amp;(VLOOKUP($D$2,'Reading Report Logic'!$A$2:$B$8,2,FALSE)-1)&amp;"]"))), FALSE)="", "",
VLOOKUP($A718,YES_Reading_ELA[], COLUMN(IF(VLOOKUP($D$2,'Reading Report Logic'!$A$2:$B$8,2,FALSE)=1, YES_Reading_ELA[Reading Level June of Previous School Year],INDIRECT("YES_Reading_ELA[Instructional Reading Level - Per "&amp;(VLOOKUP($D$2,'Reading Report Logic'!$A$2:$B$8,2,FALSE)-1)&amp;"]"))), FALSE)),
IF($J$2="FLA",
IF(VLOOKUP($A718, YES_Reading_FLA[], COLUMN(IF(VLOOKUP($D$2,'Reading Report Logic'!$A$2:$B$8,2,FALSE)=1, YES_Reading_FLA[Reading Level June of Previous School Year],INDIRECT("YES_Reading_FLA[Instructional Reading Level - Per "&amp;(VLOOKUP($D$2,'Reading Report Logic'!$A$2:$B$8,2,FALSE)-1)&amp;"]"))),FALSE)="","",
VLOOKUP($A718,YES_Reading_FLA[], COLUMN(IF(VLOOKUP($D$2,'Reading Report Logic'!$A$2:$B$8,2,FALSE)=1, YES_Reading_FLA[Reading Level June of Previous School Year],INDIRECT("YES_Reading_FLA[Instructional Reading Level - Per "&amp;(VLOOKUP($D$2,'Reading Report Logic'!$A$2:$B$8,2,FALSE)-1)&amp;"]"))),FALSE)),
IF($J$2="Combined",
IFERROR(
IF(VLOOKUP($A718, YES_Reading_ELA[], COLUMN(IF(VLOOKUP($D$2,'Reading Report Logic'!$A$2:$B$8,2,FALSE)=1, YES_Reading_ELA[Reading Level June of Previous School Year],INDIRECT("YES_Reading_ELA[Instructional Reading Level - Per "&amp;(VLOOKUP($D$2,'Reading Report Logic'!$A$2:$B$8,2,FALSE)-1)&amp;"]"))), FALSE)="", "",
VLOOKUP($A718,YES_Reading_ELA[],COLUMN(IF(VLOOKUP($D$2,'Reading Report Logic'!$A$2:$B$8,2,FALSE)=1, YES_Reading_ELA[Reading Level June of Previous School Year],INDIRECT("YES_Reading_ELA[Instructional Reading Level - Per "&amp;(VLOOKUP($D$2,'Reading Report Logic'!$A$2:$B$8,2,FALSE)-1)&amp;"]"))),FALSE)),
IF(VLOOKUP($A718, YES_Reading_FLA[], COLUMN(IF(VLOOKUP($D$2,'Reading Report Logic'!$A$2:$B$8,2,FALSE)=1, YES_Reading_FLA[Reading Level June of Previous School Year],INDIRECT("YES_Reading_FLA[Instructional Reading Level - Per "&amp;(VLOOKUP($D$2,'Reading Report Logic'!$A$2:$B$8,2,FALSE)-1)&amp;"]"))),FALSE)="", "", VLOOKUP($A718,YES_Reading_FLA[],COLUMN(IF(VLOOKUP($D$2,'Reading Report Logic'!$A$2:$B$8,2,FALSE)=1, YES_Reading_FLA[Reading Level June of Previous School Year],INDIRECT("YES_Reading_FLA[Instructional Reading Level - Per "&amp;(VLOOKUP($D$2,'Reading Report Logic'!$A$2:$B$8,2,FALSE)-1)&amp;"]"))), FALSE))),""))),"")</f>
        <v/>
      </c>
      <c r="D718" s="209" t="str" cm="1">
        <f t="array" aca="1" ref="D718" ca="1">IFERROR(
IF($J$2="ELA",
IF(VLOOKUP($A718, YES_Reading_ELA[], COLUMN(INDIRECT("YES_Reading_ELA[Instructional Reading Level - Per "&amp;VLOOKUP($D$2, 'Reading Report Logic'!$A$2:$B$8, 2, FALSE)&amp;"]")), FALSE)="", "",
VLOOKUP($A718,YES_Reading_ELA[], COLUMN(INDIRECT("YES_Reading_ELA[Instructional Reading Level - Per "&amp;VLOOKUP($D$2,'Reading Report Logic'!$A$2:$B$8,2,FALSE)&amp;"]")), FALSE)),
IF($J$2="FLA",
IF(VLOOKUP($A718, YES_Reading_FLA[], COLUMN(INDIRECT("YES_Reading_FLA[Instructional Reading Level - Per "&amp;VLOOKUP($D$2,'Reading Report Logic'!$A$2:$B$8,2,FALSE)&amp;"]")),FALSE)="","",
VLOOKUP($A718,YES_Reading_FLA[],COLUMN(INDIRECT("YES_Reading_FLA[Instructional Reading Level - Per "&amp;VLOOKUP($D$2,'Reading Report Logic'!$A$2:$B$8,2,FALSE)&amp;"]")),FALSE)),
IF($J$2="Combined",
IFERROR(
IF(VLOOKUP($A718, YES_Reading_ELA[], COLUMN(INDIRECT("YES_Reading_ELA[Instructional Reading Level - Per "&amp;VLOOKUP($D$2, 'Reading Report Logic'!$A$2:$B$8,2,FALSE)&amp;"]")), FALSE)="", "",
VLOOKUP($A718,YES_Reading_ELA[],COLUMN(INDIRECT("YES_Reading_ELA[Instructional Reading Level - Per "&amp;VLOOKUP($D$2,'Reading Report Logic'!$A$2:$B$8,2,FALSE)&amp;"]")),FALSE)),
IF(VLOOKUP($A718, YES_Reading_FLA[], COLUMN(INDIRECT("YES_Reading_FLA[Instructional Reading Level - Per "&amp;VLOOKUP($D$2, 'Reading Report Logic'!$A$2:$B$8, 2, FALSE)&amp;"]")),FALSE)="", "", VLOOKUP($A718,YES_Reading_FLA[],COLUMN(INDIRECT("YES_Reading_FLA[Instructional Reading Level - Per "&amp;VLOOKUP($D$2, 'Reading Report Logic'!$A$2:$B$8, 2, FALSE)&amp;"]")),FALSE))),""))),"")</f>
        <v/>
      </c>
      <c r="E718" s="210" t="str" cm="1">
        <f t="array" aca="1" ref="E718" ca="1">IFERROR(
IF($J$2="ELA",
IF(VLOOKUP($A718, YES_Reading_ELA[], COLUMN(INDIRECT("YES_Reading_ELA[Min Expectation - Per "&amp;VLOOKUP($D$2, 'Reading Report Logic'!$A$2:$B$8, 2, FALSE)&amp;"]")), FALSE)="", "",
VLOOKUP($A718,YES_Reading_ELA[], COLUMN(INDIRECT("YES_Reading_ELA[Min Expectation - Per "&amp;VLOOKUP($D$2,'Reading Report Logic'!$A$2:$B$8,2,FALSE)&amp;"]")), FALSE)),
IF($J$2="FLA",
IF(VLOOKUP($A718, YES_Reading_FLA[], COLUMN(INDIRECT("YES_Reading_FLA[Min Expectation - Per "&amp;VLOOKUP($D$2,'Reading Report Logic'!$A$2:$B$8,2,FALSE)&amp;"]")),FALSE)="","",
VLOOKUP($A718,YES_Reading_FLA[],COLUMN(INDIRECT("YES_Reading_FLA[Min Expectation - Per "&amp;VLOOKUP($D$2,'Reading Report Logic'!$A$2:$B$8,2,FALSE)&amp;"]")),FALSE)),
IF($J$2="Combined",
IFERROR(
IF(VLOOKUP($A718, YES_Reading_ELA[], COLUMN(INDIRECT("YES_Reading_ELA[Min Expectation - Per "&amp;VLOOKUP($D$2, 'Reading Report Logic'!$A$2:$B$8,2,FALSE)&amp;"]")), FALSE)="", "",
VLOOKUP($A718,YES_Reading_ELA[],COLUMN(INDIRECT("YES_Reading_ELA[Min Expectation - Per "&amp;VLOOKUP($D$2,'Reading Report Logic'!$A$2:$B$8,2,FALSE)&amp;"]")),FALSE)),
IF(VLOOKUP($A718, YES_Reading_FLA[], COLUMN(INDIRECT("YES_Reading_FLA[Min Expectation - Per "&amp;VLOOKUP($D$2, 'Reading Report Logic'!$A$2:$B$8, 2, FALSE)&amp;"]")),FALSE)="", "", VLOOKUP($A718,YES_Reading_FLA[],COLUMN(INDIRECT("YES_Reading_FLA[Min Expectation - Per "&amp;VLOOKUP($D$2, 'Reading Report Logic'!$A$2:$B$8, 2, FALSE)&amp;"]")),FALSE))),""))),"")</f>
        <v/>
      </c>
      <c r="F718" s="210" t="str" cm="1">
        <f t="array" aca="1" ref="F718" ca="1">IFERROR(
IF($J$2="ELA",
IF(VLOOKUP($A718, YES_Reading_ELA[], COLUMN(INDIRECT("YES_Reading_ELA[Max Expectation - Per "&amp;VLOOKUP($D$2, 'Reading Report Logic'!$A$2:$B$8, 2, FALSE)&amp;"]")), FALSE)="", "",
VLOOKUP($A718,YES_Reading_ELA[], COLUMN(INDIRECT("YES_Reading_ELA[Max Expectation - Per "&amp;VLOOKUP($D$2,'Reading Report Logic'!$A$2:$B$8,2,FALSE)&amp;"]")), FALSE)),
IF($J$2="FLA",
IF(VLOOKUP($A718, YES_Reading_FLA[], COLUMN(INDIRECT("YES_Reading_FLA[Max Expectation - Per "&amp;VLOOKUP($D$2,'Reading Report Logic'!$A$2:$B$8,2,FALSE)&amp;"]")),FALSE)="","",
VLOOKUP($A718,YES_Reading_FLA[],COLUMN(INDIRECT("YES_Reading_FLA[Max Expectation - Per "&amp;VLOOKUP($D$2,'Reading Report Logic'!$A$2:$B$8,2,FALSE)&amp;"]")),FALSE)),
IF($J$2="Combined",
IFERROR(
IF(VLOOKUP($A718, YES_Reading_ELA[], COLUMN(INDIRECT("YES_Reading_ELA[Max Expectation - Per "&amp;VLOOKUP($D$2, 'Reading Report Logic'!$A$2:$B$8,2,FALSE)&amp;"]")), FALSE)="", "",
VLOOKUP($A718,YES_Reading_ELA[],COLUMN(INDIRECT("YES_Reading_ELA[Max Expectation - Per "&amp;VLOOKUP($D$2,'Reading Report Logic'!$A$2:$B$8,2,FALSE)&amp;"]")),FALSE)),
IF(VLOOKUP($A718, YES_Reading_FLA[], COLUMN(INDIRECT("YES_Reading_FLA[Max Expectation - Per "&amp;VLOOKUP($D$2, 'Reading Report Logic'!$A$2:$B$8, 2, FALSE)&amp;"]")),FALSE)="", "", VLOOKUP($A718,YES_Reading_FLA[],COLUMN(INDIRECT("YES_Reading_FLA[Max Expectation - Per "&amp;VLOOKUP($D$2, 'Reading Report Logic'!$A$2:$B$8, 2, FALSE)&amp;"]")),FALSE))),""))),"")</f>
        <v/>
      </c>
      <c r="G718" s="210" t="str" cm="1">
        <f t="array" aca="1" ref="G718" ca="1">IFERROR(
IF($J$2="ELA",
IF(VLOOKUP($A718, YES_Reading_ELA[], COLUMN(INDIRECT("YES_Reading_ELA[Difference - Per "&amp;VLOOKUP($D$2, 'Reading Report Logic'!$A$2:$B$8, 2, FALSE)&amp;"]")), FALSE)="", "",
VLOOKUP($A718,YES_Reading_ELA[], COLUMN(INDIRECT("YES_Reading_ELA[Difference - Per "&amp;VLOOKUP($D$2,'Reading Report Logic'!$A$2:$B$8,2,FALSE)&amp;"]")), FALSE)),
IF($J$2="FLA",
IF(VLOOKUP($A718, YES_Reading_FLA[], COLUMN(INDIRECT("YES_Reading_FLA[Difference - Per "&amp;VLOOKUP($D$2,'Reading Report Logic'!$A$2:$B$8,2,FALSE)&amp;"]")),FALSE)="","",
VLOOKUP($A718,YES_Reading_FLA[],COLUMN(INDIRECT("YES_Reading_FLA[Difference - Per "&amp;VLOOKUP($D$2,'Reading Report Logic'!$A$2:$B$8,2,FALSE)&amp;"]")),FALSE)),
IF($J$2="Combined",
IFERROR(
IF(VLOOKUP($A718, YES_Reading_ELA[], COLUMN(INDIRECT("YES_Reading_ELA[Difference - Per "&amp;VLOOKUP($D$2, 'Reading Report Logic'!$A$2:$B$8,2,FALSE)&amp;"]")), FALSE)="", "",
VLOOKUP($A718,YES_Reading_ELA[],COLUMN(INDIRECT("YES_Reading_ELA[Difference - Per "&amp;VLOOKUP($D$2,'Reading Report Logic'!$A$2:$B$8,2,FALSE)&amp;"]")),FALSE)),
IF(VLOOKUP($A718, YES_Reading_FLA[], COLUMN(INDIRECT("YES_Reading_FLA[Difference - Per "&amp;VLOOKUP($D$2, 'Reading Report Logic'!$A$2:$B$8, 2, FALSE)&amp;"]")),FALSE)="", "", VLOOKUP($A718,YES_Reading_FLA[],COLUMN(INDIRECT("YES_Reading_FLA[Difference - Per "&amp;VLOOKUP($D$2, 'Reading Report Logic'!$A$2:$B$8, 2, FALSE)&amp;"]")),FALSE))),""))),"")</f>
        <v/>
      </c>
      <c r="H718" s="211" t="str">
        <f ca="1">IFERROR(VLOOKUP('Teacher Reading Pull Sheets'!$D718,_xlfn.VSTACK('ELA Reading Logic'!$A$22:$B$48,'FLA Reading Logic'!$A$22:$B$53),2,FALSE)-VLOOKUP('Teacher Reading Pull Sheets'!$C718,_xlfn.VSTACK('ELA Reading Logic'!$A$22:$B$48,'FLA Reading Logic'!$A$22:$B$53),2,FALSE),"")</f>
        <v/>
      </c>
      <c r="I718" s="213"/>
      <c r="J718" s="211"/>
      <c r="K718" s="198" t="str" cm="1">
        <f t="array" ref="K718">IFERROR(
IF($J$2="ELA",
IF(VLOOKUP($A718, YES_Reading_ELA[], COLUMN(YES_Reading_ELA[Self-Identified as African Descent]), FALSE)="", "",
VLOOKUP($A718,YES_Reading_ELA[], COLUMN(YES_Reading_ELA[Self-Identified as African Descent]), FALSE)),
IF($J$2="FLA",
IF(VLOOKUP($A718, YES_Reading_FLA[], COLUMN(YES_Reading_FLA[Self-Identified as African Descent]),FALSE)="","",
VLOOKUP($A718,YES_Reading_FLA[],COLUMN(YES_Reading_FLA[Self-Identified as African Descent]),FALSE)),
IF($J$2="Combined",
IFERROR(
IF(VLOOKUP($A718, YES_Reading_ELA[], COLUMN(YES_Reading_ELA[Self-Identified as African Descent]), FALSE)="", "",
VLOOKUP($A718,YES_Reading_ELA[],COLUMN(YES_Reading_ELA[Self-Identified as African Descent]),FALSE)),
IF(VLOOKUP($A718, YES_Reading_FLA[], COLUMN(YES_Reading_FLA[Self-Identified as African Descent]),FALSE)="", "", VLOOKUP($A718,YES_Reading_FLA[],COLUMN(YES_Reading_FLA[Self-Identified as African Descent]),FALSE))),""))),"")</f>
        <v/>
      </c>
      <c r="L718" s="74" t="str" cm="1">
        <f t="array" ref="L718">IFERROR(
IF($J$2="ELA",
IF(VLOOKUP($A718, YES_Reading_ELA[], COLUMN(YES_Reading_ELA[Self-Identified as Indigenous]), FALSE)="", "",
VLOOKUP($A718,YES_Reading_ELA[], COLUMN(YES_Reading_ELA[Self-Identified as Indigenous]), FALSE)),
IF($J$2="FLA",
IF(VLOOKUP($A718, YES_Reading_FLA[], COLUMN(YES_Reading_FLA[Self-Identified as Indigenous]),FALSE)="","",
VLOOKUP($A718,YES_Reading_FLA[],COLUMN(YES_Reading_FLA[Self-Identified as Indigenous]),FALSE)),
IF($J$2="Combined",
IFERROR(
IF(VLOOKUP($A718, YES_Reading_ELA[], COLUMN(YES_Reading_ELA[Self-Identified as Indigenous]), FALSE)="", "",
VLOOKUP($A718,YES_Reading_ELA[],COLUMN(YES_Reading_ELA[Self-Identified as Indigenous]),FALSE)),
IF(VLOOKUP($A718, YES_Reading_FLA[], COLUMN(YES_Reading_FLA[Self-Identified as Indigenous]),FALSE)="", "", VLOOKUP($A718,YES_Reading_FLA[],COLUMN(YES_Reading_FLA[Self-Identified as Indigenous]),FALSE))),""))),"")</f>
        <v/>
      </c>
    </row>
    <row r="719" spans="1:12" x14ac:dyDescent="0.25">
      <c r="A719" s="214"/>
      <c r="B719" s="214" t="s">
        <v>241</v>
      </c>
      <c r="C719" s="214"/>
      <c r="D719" s="215" t="str" cm="1">
        <f t="array" ref="D719">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Set")))=$D$1)),1,1,FALSE),FALSE,FALSE),24),"")</f>
        <v/>
      </c>
      <c r="E719" s="215"/>
      <c r="F719" s="215"/>
      <c r="G719" s="215"/>
      <c r="H719" s="355" t="s">
        <v>242</v>
      </c>
      <c r="I719" s="356"/>
      <c r="J719" s="215"/>
    </row>
    <row r="720" spans="1:12" x14ac:dyDescent="0.25">
      <c r="A720" s="214"/>
      <c r="B720" s="214" t="str">
        <f>"Date: "&amp;$D$3</f>
        <v xml:space="preserve">Date: </v>
      </c>
      <c r="C720" s="214"/>
      <c r="D720" s="215"/>
      <c r="E720" s="215"/>
      <c r="F720" s="215"/>
      <c r="G720" s="215"/>
      <c r="H720" s="357" t="s">
        <v>243</v>
      </c>
      <c r="I720" s="358"/>
      <c r="J720" s="215"/>
    </row>
    <row r="721" spans="1:12" ht="15.75" thickBot="1" x14ac:dyDescent="0.3">
      <c r="A721" s="215"/>
      <c r="B721" s="215"/>
      <c r="C721" s="215"/>
      <c r="D721" s="215"/>
      <c r="E721" s="215"/>
      <c r="F721" s="215"/>
      <c r="G721" s="215"/>
      <c r="H721" s="353" t="s">
        <v>244</v>
      </c>
      <c r="I721" s="354"/>
      <c r="J721" s="215"/>
    </row>
    <row r="722" spans="1:12" ht="85.5" customHeight="1" thickBot="1" x14ac:dyDescent="0.3">
      <c r="A722" s="192" t="s">
        <v>44</v>
      </c>
      <c r="B722" s="187" t="s">
        <v>245</v>
      </c>
      <c r="C722" s="188" t="s">
        <v>246</v>
      </c>
      <c r="D722" s="188" t="s">
        <v>247</v>
      </c>
      <c r="E722" s="188" t="s">
        <v>248</v>
      </c>
      <c r="F722" s="188" t="s">
        <v>249</v>
      </c>
      <c r="G722" s="188" t="s">
        <v>250</v>
      </c>
      <c r="H722" s="189" t="s">
        <v>251</v>
      </c>
      <c r="I722" s="202" t="s">
        <v>252</v>
      </c>
      <c r="J722" s="191" t="s">
        <v>253</v>
      </c>
      <c r="K722" s="200" t="s">
        <v>256</v>
      </c>
      <c r="L722" s="201" t="s">
        <v>257</v>
      </c>
    </row>
    <row r="723" spans="1:12" ht="19.5" customHeight="1" x14ac:dyDescent="0.25">
      <c r="A723" s="216" t="e" cm="1" vm="1">
        <f t="array" aca="1" ref="A723" ca="1">_xlfn._xlws.FILTER(_xlfn.VSTACK(YES_Reading_ELA[Student Number],YES_Reading_FLA[Student Number]),_xlfn.VSTACK(YES_Reading_ELA[HomeRoom],YES_Reading_FLA[Homeroom])=D719)</f>
        <v>#VALUE!</v>
      </c>
      <c r="B723" s="219" t="str">
        <f ca="1">IFERROR(VLOOKUP(A723,_xlfn.VSTACK(YES_Reading_ELA[],YES_Reading_FLA[]),2,FALSE),"")</f>
        <v/>
      </c>
      <c r="C723" s="203" t="str" cm="1">
        <f t="array" aca="1" ref="C723" ca="1">IFERROR(
IF($J$2="ELA",
IF(VLOOKUP($A723, YES_Reading_ELA[], COLUMN(IF(VLOOKUP($D$2, 'Reading Report Logic'!$A$2:$B$8, 2, FALSE)=1, YES_Reading_ELA[Reading Level June of Previous School Year], INDIRECT("YES_Reading_ELA[Instructional Reading Level - Per "&amp;(VLOOKUP($D$2,'Reading Report Logic'!$A$2:$B$8,2,FALSE)-1)&amp;"]"))), FALSE)="", "",
VLOOKUP($A723,YES_Reading_ELA[], COLUMN(IF(VLOOKUP($D$2,'Reading Report Logic'!$A$2:$B$8,2,FALSE)=1, YES_Reading_ELA[Reading Level June of Previous School Year],INDIRECT("YES_Reading_ELA[Instructional Reading Level - Per "&amp;(VLOOKUP($D$2,'Reading Report Logic'!$A$2:$B$8,2,FALSE)-1)&amp;"]"))), FALSE)),
IF($J$2="FLA",
IF(VLOOKUP($A723, YES_Reading_FLA[], COLUMN(IF(VLOOKUP($D$2,'Reading Report Logic'!$A$2:$B$8,2,FALSE)=1, YES_Reading_FLA[Reading Level June of Previous School Year],INDIRECT("YES_Reading_FLA[Instructional Reading Level - Per "&amp;(VLOOKUP($D$2,'Reading Report Logic'!$A$2:$B$8,2,FALSE)-1)&amp;"]"))),FALSE)="","",
VLOOKUP($A723,YES_Reading_FLA[], COLUMN(IF(VLOOKUP($D$2,'Reading Report Logic'!$A$2:$B$8,2,FALSE)=1, YES_Reading_FLA[Reading Level June of Previous School Year],INDIRECT("YES_Reading_FLA[Instructional Reading Level - Per "&amp;(VLOOKUP($D$2,'Reading Report Logic'!$A$2:$B$8,2,FALSE)-1)&amp;"]"))),FALSE)),
IF($J$2="Combined",
IFERROR(
IF(VLOOKUP($A723, YES_Reading_ELA[], COLUMN(IF(VLOOKUP($D$2,'Reading Report Logic'!$A$2:$B$8,2,FALSE)=1, YES_Reading_ELA[Reading Level June of Previous School Year],INDIRECT("YES_Reading_ELA[Instructional Reading Level - Per "&amp;(VLOOKUP($D$2,'Reading Report Logic'!$A$2:$B$8,2,FALSE)-1)&amp;"]"))), FALSE)="", "",
VLOOKUP($A723,YES_Reading_ELA[],COLUMN(IF(VLOOKUP($D$2,'Reading Report Logic'!$A$2:$B$8,2,FALSE)=1, YES_Reading_ELA[Reading Level June of Previous School Year],INDIRECT("YES_Reading_ELA[Instructional Reading Level - Per "&amp;(VLOOKUP($D$2,'Reading Report Logic'!$A$2:$B$8,2,FALSE)-1)&amp;"]"))),FALSE)),
IF(VLOOKUP($A723, YES_Reading_FLA[], COLUMN(IF(VLOOKUP($D$2,'Reading Report Logic'!$A$2:$B$8,2,FALSE)=1, YES_Reading_FLA[Reading Level June of Previous School Year],INDIRECT("YES_Reading_FLA[Instructional Reading Level - Per "&amp;(VLOOKUP($D$2,'Reading Report Logic'!$A$2:$B$8,2,FALSE)-1)&amp;"]"))),FALSE)="", "", VLOOKUP($A723,YES_Reading_FLA[],COLUMN(IF(VLOOKUP($D$2,'Reading Report Logic'!$A$2:$B$8,2,FALSE)=1, YES_Reading_FLA[Reading Level June of Previous School Year],INDIRECT("YES_Reading_FLA[Instructional Reading Level - Per "&amp;(VLOOKUP($D$2,'Reading Report Logic'!$A$2:$B$8,2,FALSE)-1)&amp;"]"))), FALSE))),""))),"")</f>
        <v/>
      </c>
      <c r="D723" s="204" t="str" cm="1">
        <f t="array" aca="1" ref="D723" ca="1">IFERROR(
IF($J$2="ELA",
IF(VLOOKUP($A723, YES_Reading_ELA[], COLUMN(INDIRECT("YES_Reading_ELA[Instructional Reading Level - Per "&amp;VLOOKUP($D$2, 'Reading Report Logic'!$A$2:$B$8, 2, FALSE)&amp;"]")), FALSE)="", "",
VLOOKUP($A723,YES_Reading_ELA[], COLUMN(INDIRECT("YES_Reading_ELA[Instructional Reading Level - Per "&amp;VLOOKUP($D$2,'Reading Report Logic'!$A$2:$B$8,2,FALSE)&amp;"]")), FALSE)),
IF($J$2="FLA",
IF(VLOOKUP($A723, YES_Reading_FLA[], COLUMN(INDIRECT("YES_Reading_FLA[Instructional Reading Level - Per "&amp;VLOOKUP($D$2,'Reading Report Logic'!$A$2:$B$8,2,FALSE)&amp;"]")),FALSE)="","",
VLOOKUP($A723,YES_Reading_FLA[],COLUMN(INDIRECT("YES_Reading_FLA[Instructional Reading Level - Per "&amp;VLOOKUP($D$2,'Reading Report Logic'!$A$2:$B$8,2,FALSE)&amp;"]")),FALSE)),
IF($J$2="Combined",
IFERROR(
IF(VLOOKUP($A723, YES_Reading_ELA[], COLUMN(INDIRECT("YES_Reading_ELA[Instructional Reading Level - Per "&amp;VLOOKUP($D$2, 'Reading Report Logic'!$A$2:$B$8,2,FALSE)&amp;"]")), FALSE)="", "",
VLOOKUP($A723,YES_Reading_ELA[],COLUMN(INDIRECT("YES_Reading_ELA[Instructional Reading Level - Per "&amp;VLOOKUP($D$2,'Reading Report Logic'!$A$2:$B$8,2,FALSE)&amp;"]")),FALSE)),
IF(VLOOKUP($A723, YES_Reading_FLA[], COLUMN(INDIRECT("YES_Reading_FLA[Instructional Reading Level - Per "&amp;VLOOKUP($D$2, 'Reading Report Logic'!$A$2:$B$8, 2, FALSE)&amp;"]")),FALSE)="", "", VLOOKUP($A723,YES_Reading_FLA[],COLUMN(INDIRECT("YES_Reading_FLA[Instructional Reading Level - Per "&amp;VLOOKUP($D$2, 'Reading Report Logic'!$A$2:$B$8, 2, FALSE)&amp;"]")),FALSE))),""))),"")</f>
        <v/>
      </c>
      <c r="E723" s="205" t="str" cm="1">
        <f t="array" aca="1" ref="E723" ca="1">IFERROR(
IF($J$2="ELA",
IF(VLOOKUP($A723, YES_Reading_ELA[], COLUMN(INDIRECT("YES_Reading_ELA[Min Expectation - Per "&amp;VLOOKUP($D$2, 'Reading Report Logic'!$A$2:$B$8, 2, FALSE)&amp;"]")), FALSE)="", "",
VLOOKUP($A723,YES_Reading_ELA[], COLUMN(INDIRECT("YES_Reading_ELA[Min Expectation - Per "&amp;VLOOKUP($D$2,'Reading Report Logic'!$A$2:$B$8,2,FALSE)&amp;"]")), FALSE)),
IF($J$2="FLA",
IF(VLOOKUP($A723, YES_Reading_FLA[], COLUMN(INDIRECT("YES_Reading_FLA[Min Expectation - Per "&amp;VLOOKUP($D$2,'Reading Report Logic'!$A$2:$B$8,2,FALSE)&amp;"]")),FALSE)="","",
VLOOKUP($A723,YES_Reading_FLA[],COLUMN(INDIRECT("YES_Reading_FLA[Min Expectation - Per "&amp;VLOOKUP($D$2,'Reading Report Logic'!$A$2:$B$8,2,FALSE)&amp;"]")),FALSE)),
IF($J$2="Combined",
IFERROR(
IF(VLOOKUP($A723, YES_Reading_ELA[], COLUMN(INDIRECT("YES_Reading_ELA[Min Expectation - Per "&amp;VLOOKUP($D$2, 'Reading Report Logic'!$A$2:$B$8,2,FALSE)&amp;"]")), FALSE)="", "",
VLOOKUP($A723,YES_Reading_ELA[],COLUMN(INDIRECT("YES_Reading_ELA[Min Expectation - Per "&amp;VLOOKUP($D$2,'Reading Report Logic'!$A$2:$B$8,2,FALSE)&amp;"]")),FALSE)),
IF(VLOOKUP($A723, YES_Reading_FLA[], COLUMN(INDIRECT("YES_Reading_FLA[Min Expectation - Per "&amp;VLOOKUP($D$2, 'Reading Report Logic'!$A$2:$B$8, 2, FALSE)&amp;"]")),FALSE)="", "", VLOOKUP($A723,YES_Reading_FLA[],COLUMN(INDIRECT("YES_Reading_FLA[Min Expectation - Per "&amp;VLOOKUP($D$2, 'Reading Report Logic'!$A$2:$B$8, 2, FALSE)&amp;"]")),FALSE))),""))),"")</f>
        <v/>
      </c>
      <c r="F723" s="205" t="str" cm="1">
        <f t="array" aca="1" ref="F723" ca="1">IFERROR(
IF($J$2="ELA",
IF(VLOOKUP($A723, YES_Reading_ELA[], COLUMN(INDIRECT("YES_Reading_ELA[Max Expectation - Per "&amp;VLOOKUP($D$2, 'Reading Report Logic'!$A$2:$B$8, 2, FALSE)&amp;"]")), FALSE)="", "",
VLOOKUP($A723,YES_Reading_ELA[], COLUMN(INDIRECT("YES_Reading_ELA[Max Expectation - Per "&amp;VLOOKUP($D$2,'Reading Report Logic'!$A$2:$B$8,2,FALSE)&amp;"]")), FALSE)),
IF($J$2="FLA",
IF(VLOOKUP($A723, YES_Reading_FLA[], COLUMN(INDIRECT("YES_Reading_FLA[Max Expectation - Per "&amp;VLOOKUP($D$2,'Reading Report Logic'!$A$2:$B$8,2,FALSE)&amp;"]")),FALSE)="","",
VLOOKUP($A723,YES_Reading_FLA[],COLUMN(INDIRECT("YES_Reading_FLA[Max Expectation - Per "&amp;VLOOKUP($D$2,'Reading Report Logic'!$A$2:$B$8,2,FALSE)&amp;"]")),FALSE)),
IF($J$2="Combined",
IFERROR(
IF(VLOOKUP($A723, YES_Reading_ELA[], COLUMN(INDIRECT("YES_Reading_ELA[Max Expectation - Per "&amp;VLOOKUP($D$2, 'Reading Report Logic'!$A$2:$B$8,2,FALSE)&amp;"]")), FALSE)="", "",
VLOOKUP($A723,YES_Reading_ELA[],COLUMN(INDIRECT("YES_Reading_ELA[Max Expectation - Per "&amp;VLOOKUP($D$2,'Reading Report Logic'!$A$2:$B$8,2,FALSE)&amp;"]")),FALSE)),
IF(VLOOKUP($A723, YES_Reading_FLA[], COLUMN(INDIRECT("YES_Reading_FLA[Max Expectation - Per "&amp;VLOOKUP($D$2, 'Reading Report Logic'!$A$2:$B$8, 2, FALSE)&amp;"]")),FALSE)="", "", VLOOKUP($A723,YES_Reading_FLA[],COLUMN(INDIRECT("YES_Reading_FLA[Max Expectation - Per "&amp;VLOOKUP($D$2, 'Reading Report Logic'!$A$2:$B$8, 2, FALSE)&amp;"]")),FALSE))),""))),"")</f>
        <v/>
      </c>
      <c r="G723" s="205" t="str" cm="1">
        <f t="array" aca="1" ref="G723" ca="1">IFERROR(
IF($J$2="ELA",
IF(VLOOKUP($A723, YES_Reading_ELA[], COLUMN(INDIRECT("YES_Reading_ELA[Difference - Per "&amp;VLOOKUP($D$2, 'Reading Report Logic'!$A$2:$B$8, 2, FALSE)&amp;"]")), FALSE)="", "",
VLOOKUP($A723,YES_Reading_ELA[], COLUMN(INDIRECT("YES_Reading_ELA[Difference - Per "&amp;VLOOKUP($D$2,'Reading Report Logic'!$A$2:$B$8,2,FALSE)&amp;"]")), FALSE)),
IF($J$2="FLA",
IF(VLOOKUP($A723, YES_Reading_FLA[], COLUMN(INDIRECT("YES_Reading_FLA[Difference - Per "&amp;VLOOKUP($D$2,'Reading Report Logic'!$A$2:$B$8,2,FALSE)&amp;"]")),FALSE)="","",
VLOOKUP($A723,YES_Reading_FLA[],COLUMN(INDIRECT("YES_Reading_FLA[Difference - Per "&amp;VLOOKUP($D$2,'Reading Report Logic'!$A$2:$B$8,2,FALSE)&amp;"]")),FALSE)),
IF($J$2="Combined",
IFERROR(
IF(VLOOKUP($A723, YES_Reading_ELA[], COLUMN(INDIRECT("YES_Reading_ELA[Difference - Per "&amp;VLOOKUP($D$2, 'Reading Report Logic'!$A$2:$B$8,2,FALSE)&amp;"]")), FALSE)="", "",
VLOOKUP($A723,YES_Reading_ELA[],COLUMN(INDIRECT("YES_Reading_ELA[Difference - Per "&amp;VLOOKUP($D$2,'Reading Report Logic'!$A$2:$B$8,2,FALSE)&amp;"]")),FALSE)),
IF(VLOOKUP($A723, YES_Reading_FLA[], COLUMN(INDIRECT("YES_Reading_FLA[Difference - Per "&amp;VLOOKUP($D$2, 'Reading Report Logic'!$A$2:$B$8, 2, FALSE)&amp;"]")),FALSE)="", "", VLOOKUP($A723,YES_Reading_FLA[],COLUMN(INDIRECT("YES_Reading_FLA[Difference - Per "&amp;VLOOKUP($D$2, 'Reading Report Logic'!$A$2:$B$8, 2, FALSE)&amp;"]")),FALSE))),""))),"")</f>
        <v/>
      </c>
      <c r="H723" s="206" t="str">
        <f ca="1">IFERROR(VLOOKUP('Teacher Reading Pull Sheets'!$D723,_xlfn.VSTACK('ELA Reading Logic'!$A$22:$B$48,'FLA Reading Logic'!$A$22:$B$53),2,FALSE)-VLOOKUP('Teacher Reading Pull Sheets'!$C723,_xlfn.VSTACK('ELA Reading Logic'!$A$22:$B$48,'FLA Reading Logic'!$A$22:$B$53),2,FALSE),"")</f>
        <v/>
      </c>
      <c r="I723" s="205"/>
      <c r="J723" s="206"/>
      <c r="K723" s="24" t="str" cm="1">
        <f t="array" aca="1" ref="K723" ca="1">IFERROR(
IF($J$2="ELA",
IF(VLOOKUP($A723, YES_Reading_ELA[], COLUMN(YES_Reading_ELA[Self-Identified as African Descent]), FALSE)="", "",
VLOOKUP($A723,YES_Reading_ELA[], COLUMN(YES_Reading_ELA[Self-Identified as African Descent]), FALSE)),
IF($J$2="FLA",
IF(VLOOKUP($A723, YES_Reading_FLA[], COLUMN(YES_Reading_FLA[Self-Identified as African Descent]),FALSE)="","",
VLOOKUP($A723,YES_Reading_FLA[],COLUMN(YES_Reading_FLA[Self-Identified as African Descent]),FALSE)),
IF($J$2="Combined",
IFERROR(
IF(VLOOKUP($A723, YES_Reading_ELA[], COLUMN(YES_Reading_ELA[Self-Identified as African Descent]), FALSE)="", "",
VLOOKUP($A723,YES_Reading_ELA[],COLUMN(YES_Reading_ELA[Self-Identified as African Descent]),FALSE)),
IF(VLOOKUP($A723, YES_Reading_FLA[], COLUMN(YES_Reading_FLA[Self-Identified as African Descent]),FALSE)="", "", VLOOKUP($A723,YES_Reading_FLA[],COLUMN(YES_Reading_FLA[Self-Identified as African Descent]),FALSE))),""))),"")</f>
        <v/>
      </c>
      <c r="L723" s="199" t="str" cm="1">
        <f t="array" aca="1" ref="L723" ca="1">IFERROR(
IF($J$2="ELA",
IF(VLOOKUP($A723, YES_Reading_ELA[], COLUMN(YES_Reading_ELA[Self-Identified as Indigenous]), FALSE)="", "",
VLOOKUP($A723,YES_Reading_ELA[], COLUMN(YES_Reading_ELA[Self-Identified as Indigenous]), FALSE)),
IF($J$2="FLA",
IF(VLOOKUP($A723, YES_Reading_FLA[], COLUMN(YES_Reading_FLA[Self-Identified as Indigenous]),FALSE)="","",
VLOOKUP($A723,YES_Reading_FLA[],COLUMN(YES_Reading_FLA[Self-Identified as Indigenous]),FALSE)),
IF($J$2="Combined",
IFERROR(
IF(VLOOKUP($A723, YES_Reading_ELA[], COLUMN(YES_Reading_ELA[Self-Identified as Indigenous]), FALSE)="", "",
VLOOKUP($A723,YES_Reading_ELA[],COLUMN(YES_Reading_ELA[Self-Identified as Indigenous]),FALSE)),
IF(VLOOKUP($A723, YES_Reading_FLA[], COLUMN(YES_Reading_FLA[Self-Identified as Indigenous]),FALSE)="", "", VLOOKUP($A723,YES_Reading_FLA[],COLUMN(YES_Reading_FLA[Self-Identified as Indigenous]),FALSE))),""))),"")</f>
        <v/>
      </c>
    </row>
    <row r="724" spans="1:12" ht="19.5" customHeight="1" x14ac:dyDescent="0.25">
      <c r="A724" s="217"/>
      <c r="B724" s="220" t="str">
        <f>IFERROR(VLOOKUP(A724,_xlfn.VSTACK(YES_Reading_ELA[],YES_Reading_FLA[]),2,FALSE),"")</f>
        <v/>
      </c>
      <c r="C724" s="203" t="str" cm="1">
        <f t="array" aca="1" ref="C724" ca="1">IFERROR(
IF($J$2="ELA",
IF(VLOOKUP($A724, YES_Reading_ELA[], COLUMN(IF(VLOOKUP($D$2, 'Reading Report Logic'!$A$2:$B$8, 2, FALSE)=1, YES_Reading_ELA[Reading Level June of Previous School Year], INDIRECT("YES_Reading_ELA[Instructional Reading Level - Per "&amp;(VLOOKUP($D$2,'Reading Report Logic'!$A$2:$B$8,2,FALSE)-1)&amp;"]"))), FALSE)="", "",
VLOOKUP($A724,YES_Reading_ELA[], COLUMN(IF(VLOOKUP($D$2,'Reading Report Logic'!$A$2:$B$8,2,FALSE)=1, YES_Reading_ELA[Reading Level June of Previous School Year],INDIRECT("YES_Reading_ELA[Instructional Reading Level - Per "&amp;(VLOOKUP($D$2,'Reading Report Logic'!$A$2:$B$8,2,FALSE)-1)&amp;"]"))), FALSE)),
IF($J$2="FLA",
IF(VLOOKUP($A724, YES_Reading_FLA[], COLUMN(IF(VLOOKUP($D$2,'Reading Report Logic'!$A$2:$B$8,2,FALSE)=1, YES_Reading_FLA[Reading Level June of Previous School Year],INDIRECT("YES_Reading_FLA[Instructional Reading Level - Per "&amp;(VLOOKUP($D$2,'Reading Report Logic'!$A$2:$B$8,2,FALSE)-1)&amp;"]"))),FALSE)="","",
VLOOKUP($A724,YES_Reading_FLA[], COLUMN(IF(VLOOKUP($D$2,'Reading Report Logic'!$A$2:$B$8,2,FALSE)=1, YES_Reading_FLA[Reading Level June of Previous School Year],INDIRECT("YES_Reading_FLA[Instructional Reading Level - Per "&amp;(VLOOKUP($D$2,'Reading Report Logic'!$A$2:$B$8,2,FALSE)-1)&amp;"]"))),FALSE)),
IF($J$2="Combined",
IFERROR(
IF(VLOOKUP($A724, YES_Reading_ELA[], COLUMN(IF(VLOOKUP($D$2,'Reading Report Logic'!$A$2:$B$8,2,FALSE)=1, YES_Reading_ELA[Reading Level June of Previous School Year],INDIRECT("YES_Reading_ELA[Instructional Reading Level - Per "&amp;(VLOOKUP($D$2,'Reading Report Logic'!$A$2:$B$8,2,FALSE)-1)&amp;"]"))), FALSE)="", "",
VLOOKUP($A724,YES_Reading_ELA[],COLUMN(IF(VLOOKUP($D$2,'Reading Report Logic'!$A$2:$B$8,2,FALSE)=1, YES_Reading_ELA[Reading Level June of Previous School Year],INDIRECT("YES_Reading_ELA[Instructional Reading Level - Per "&amp;(VLOOKUP($D$2,'Reading Report Logic'!$A$2:$B$8,2,FALSE)-1)&amp;"]"))),FALSE)),
IF(VLOOKUP($A724, YES_Reading_FLA[], COLUMN(IF(VLOOKUP($D$2,'Reading Report Logic'!$A$2:$B$8,2,FALSE)=1, YES_Reading_FLA[Reading Level June of Previous School Year],INDIRECT("YES_Reading_FLA[Instructional Reading Level - Per "&amp;(VLOOKUP($D$2,'Reading Report Logic'!$A$2:$B$8,2,FALSE)-1)&amp;"]"))),FALSE)="", "", VLOOKUP($A724,YES_Reading_FLA[],COLUMN(IF(VLOOKUP($D$2,'Reading Report Logic'!$A$2:$B$8,2,FALSE)=1, YES_Reading_FLA[Reading Level June of Previous School Year],INDIRECT("YES_Reading_FLA[Instructional Reading Level - Per "&amp;(VLOOKUP($D$2,'Reading Report Logic'!$A$2:$B$8,2,FALSE)-1)&amp;"]"))), FALSE))),""))),"")</f>
        <v/>
      </c>
      <c r="D724" s="204" t="str" cm="1">
        <f t="array" aca="1" ref="D724" ca="1">IFERROR(
IF($J$2="ELA",
IF(VLOOKUP($A724, YES_Reading_ELA[], COLUMN(INDIRECT("YES_Reading_ELA[Instructional Reading Level - Per "&amp;VLOOKUP($D$2, 'Reading Report Logic'!$A$2:$B$8, 2, FALSE)&amp;"]")), FALSE)="", "",
VLOOKUP($A724,YES_Reading_ELA[], COLUMN(INDIRECT("YES_Reading_ELA[Instructional Reading Level - Per "&amp;VLOOKUP($D$2,'Reading Report Logic'!$A$2:$B$8,2,FALSE)&amp;"]")), FALSE)),
IF($J$2="FLA",
IF(VLOOKUP($A724, YES_Reading_FLA[], COLUMN(INDIRECT("YES_Reading_FLA[Instructional Reading Level - Per "&amp;VLOOKUP($D$2,'Reading Report Logic'!$A$2:$B$8,2,FALSE)&amp;"]")),FALSE)="","",
VLOOKUP($A724,YES_Reading_FLA[],COLUMN(INDIRECT("YES_Reading_FLA[Instructional Reading Level - Per "&amp;VLOOKUP($D$2,'Reading Report Logic'!$A$2:$B$8,2,FALSE)&amp;"]")),FALSE)),
IF($J$2="Combined",
IFERROR(
IF(VLOOKUP($A724, YES_Reading_ELA[], COLUMN(INDIRECT("YES_Reading_ELA[Instructional Reading Level - Per "&amp;VLOOKUP($D$2, 'Reading Report Logic'!$A$2:$B$8,2,FALSE)&amp;"]")), FALSE)="", "",
VLOOKUP($A724,YES_Reading_ELA[],COLUMN(INDIRECT("YES_Reading_ELA[Instructional Reading Level - Per "&amp;VLOOKUP($D$2,'Reading Report Logic'!$A$2:$B$8,2,FALSE)&amp;"]")),FALSE)),
IF(VLOOKUP($A724, YES_Reading_FLA[], COLUMN(INDIRECT("YES_Reading_FLA[Instructional Reading Level - Per "&amp;VLOOKUP($D$2, 'Reading Report Logic'!$A$2:$B$8, 2, FALSE)&amp;"]")),FALSE)="", "", VLOOKUP($A724,YES_Reading_FLA[],COLUMN(INDIRECT("YES_Reading_FLA[Instructional Reading Level - Per "&amp;VLOOKUP($D$2, 'Reading Report Logic'!$A$2:$B$8, 2, FALSE)&amp;"]")),FALSE))),""))),"")</f>
        <v/>
      </c>
      <c r="E724" s="205" t="str" cm="1">
        <f t="array" aca="1" ref="E724" ca="1">IFERROR(
IF($J$2="ELA",
IF(VLOOKUP($A724, YES_Reading_ELA[], COLUMN(INDIRECT("YES_Reading_ELA[Min Expectation - Per "&amp;VLOOKUP($D$2, 'Reading Report Logic'!$A$2:$B$8, 2, FALSE)&amp;"]")), FALSE)="", "",
VLOOKUP($A724,YES_Reading_ELA[], COLUMN(INDIRECT("YES_Reading_ELA[Min Expectation - Per "&amp;VLOOKUP($D$2,'Reading Report Logic'!$A$2:$B$8,2,FALSE)&amp;"]")), FALSE)),
IF($J$2="FLA",
IF(VLOOKUP($A724, YES_Reading_FLA[], COLUMN(INDIRECT("YES_Reading_FLA[Min Expectation - Per "&amp;VLOOKUP($D$2,'Reading Report Logic'!$A$2:$B$8,2,FALSE)&amp;"]")),FALSE)="","",
VLOOKUP($A724,YES_Reading_FLA[],COLUMN(INDIRECT("YES_Reading_FLA[Min Expectation - Per "&amp;VLOOKUP($D$2,'Reading Report Logic'!$A$2:$B$8,2,FALSE)&amp;"]")),FALSE)),
IF($J$2="Combined",
IFERROR(
IF(VLOOKUP($A724, YES_Reading_ELA[], COLUMN(INDIRECT("YES_Reading_ELA[Min Expectation - Per "&amp;VLOOKUP($D$2, 'Reading Report Logic'!$A$2:$B$8,2,FALSE)&amp;"]")), FALSE)="", "",
VLOOKUP($A724,YES_Reading_ELA[],COLUMN(INDIRECT("YES_Reading_ELA[Min Expectation - Per "&amp;VLOOKUP($D$2,'Reading Report Logic'!$A$2:$B$8,2,FALSE)&amp;"]")),FALSE)),
IF(VLOOKUP($A724, YES_Reading_FLA[], COLUMN(INDIRECT("YES_Reading_FLA[Min Expectation - Per "&amp;VLOOKUP($D$2, 'Reading Report Logic'!$A$2:$B$8, 2, FALSE)&amp;"]")),FALSE)="", "", VLOOKUP($A724,YES_Reading_FLA[],COLUMN(INDIRECT("YES_Reading_FLA[Min Expectation - Per "&amp;VLOOKUP($D$2, 'Reading Report Logic'!$A$2:$B$8, 2, FALSE)&amp;"]")),FALSE))),""))),"")</f>
        <v/>
      </c>
      <c r="F724" s="205" t="str" cm="1">
        <f t="array" aca="1" ref="F724" ca="1">IFERROR(
IF($J$2="ELA",
IF(VLOOKUP($A724, YES_Reading_ELA[], COLUMN(INDIRECT("YES_Reading_ELA[Max Expectation - Per "&amp;VLOOKUP($D$2, 'Reading Report Logic'!$A$2:$B$8, 2, FALSE)&amp;"]")), FALSE)="", "",
VLOOKUP($A724,YES_Reading_ELA[], COLUMN(INDIRECT("YES_Reading_ELA[Max Expectation - Per "&amp;VLOOKUP($D$2,'Reading Report Logic'!$A$2:$B$8,2,FALSE)&amp;"]")), FALSE)),
IF($J$2="FLA",
IF(VLOOKUP($A724, YES_Reading_FLA[], COLUMN(INDIRECT("YES_Reading_FLA[Max Expectation - Per "&amp;VLOOKUP($D$2,'Reading Report Logic'!$A$2:$B$8,2,FALSE)&amp;"]")),FALSE)="","",
VLOOKUP($A724,YES_Reading_FLA[],COLUMN(INDIRECT("YES_Reading_FLA[Max Expectation - Per "&amp;VLOOKUP($D$2,'Reading Report Logic'!$A$2:$B$8,2,FALSE)&amp;"]")),FALSE)),
IF($J$2="Combined",
IFERROR(
IF(VLOOKUP($A724, YES_Reading_ELA[], COLUMN(INDIRECT("YES_Reading_ELA[Max Expectation - Per "&amp;VLOOKUP($D$2, 'Reading Report Logic'!$A$2:$B$8,2,FALSE)&amp;"]")), FALSE)="", "",
VLOOKUP($A724,YES_Reading_ELA[],COLUMN(INDIRECT("YES_Reading_ELA[Max Expectation - Per "&amp;VLOOKUP($D$2,'Reading Report Logic'!$A$2:$B$8,2,FALSE)&amp;"]")),FALSE)),
IF(VLOOKUP($A724, YES_Reading_FLA[], COLUMN(INDIRECT("YES_Reading_FLA[Max Expectation - Per "&amp;VLOOKUP($D$2, 'Reading Report Logic'!$A$2:$B$8, 2, FALSE)&amp;"]")),FALSE)="", "", VLOOKUP($A724,YES_Reading_FLA[],COLUMN(INDIRECT("YES_Reading_FLA[Max Expectation - Per "&amp;VLOOKUP($D$2, 'Reading Report Logic'!$A$2:$B$8, 2, FALSE)&amp;"]")),FALSE))),""))),"")</f>
        <v/>
      </c>
      <c r="G724" s="205" t="str" cm="1">
        <f t="array" aca="1" ref="G724" ca="1">IFERROR(
IF($J$2="ELA",
IF(VLOOKUP($A724, YES_Reading_ELA[], COLUMN(INDIRECT("YES_Reading_ELA[Difference - Per "&amp;VLOOKUP($D$2, 'Reading Report Logic'!$A$2:$B$8, 2, FALSE)&amp;"]")), FALSE)="", "",
VLOOKUP($A724,YES_Reading_ELA[], COLUMN(INDIRECT("YES_Reading_ELA[Difference - Per "&amp;VLOOKUP($D$2,'Reading Report Logic'!$A$2:$B$8,2,FALSE)&amp;"]")), FALSE)),
IF($J$2="FLA",
IF(VLOOKUP($A724, YES_Reading_FLA[], COLUMN(INDIRECT("YES_Reading_FLA[Difference - Per "&amp;VLOOKUP($D$2,'Reading Report Logic'!$A$2:$B$8,2,FALSE)&amp;"]")),FALSE)="","",
VLOOKUP($A724,YES_Reading_FLA[],COLUMN(INDIRECT("YES_Reading_FLA[Difference - Per "&amp;VLOOKUP($D$2,'Reading Report Logic'!$A$2:$B$8,2,FALSE)&amp;"]")),FALSE)),
IF($J$2="Combined",
IFERROR(
IF(VLOOKUP($A724, YES_Reading_ELA[], COLUMN(INDIRECT("YES_Reading_ELA[Difference - Per "&amp;VLOOKUP($D$2, 'Reading Report Logic'!$A$2:$B$8,2,FALSE)&amp;"]")), FALSE)="", "",
VLOOKUP($A724,YES_Reading_ELA[],COLUMN(INDIRECT("YES_Reading_ELA[Difference - Per "&amp;VLOOKUP($D$2,'Reading Report Logic'!$A$2:$B$8,2,FALSE)&amp;"]")),FALSE)),
IF(VLOOKUP($A724, YES_Reading_FLA[], COLUMN(INDIRECT("YES_Reading_FLA[Difference - Per "&amp;VLOOKUP($D$2, 'Reading Report Logic'!$A$2:$B$8, 2, FALSE)&amp;"]")),FALSE)="", "", VLOOKUP($A724,YES_Reading_FLA[],COLUMN(INDIRECT("YES_Reading_FLA[Difference - Per "&amp;VLOOKUP($D$2, 'Reading Report Logic'!$A$2:$B$8, 2, FALSE)&amp;"]")),FALSE))),""))),"")</f>
        <v/>
      </c>
      <c r="H724" s="206" t="str">
        <f ca="1">IFERROR(VLOOKUP('Teacher Reading Pull Sheets'!$D724,_xlfn.VSTACK('ELA Reading Logic'!$A$22:$B$48,'FLA Reading Logic'!$A$22:$B$53),2,FALSE)-VLOOKUP('Teacher Reading Pull Sheets'!$C724,_xlfn.VSTACK('ELA Reading Logic'!$A$22:$B$48,'FLA Reading Logic'!$A$22:$B$53),2,FALSE),"")</f>
        <v/>
      </c>
      <c r="I724" s="212"/>
      <c r="J724" s="206"/>
      <c r="K724" s="197" t="str" cm="1">
        <f t="array" ref="K724">IFERROR(
IF($J$2="ELA",
IF(VLOOKUP($A724, YES_Reading_ELA[], COLUMN(YES_Reading_ELA[Self-Identified as African Descent]), FALSE)="", "",
VLOOKUP($A724,YES_Reading_ELA[], COLUMN(YES_Reading_ELA[Self-Identified as African Descent]), FALSE)),
IF($J$2="FLA",
IF(VLOOKUP($A724, YES_Reading_FLA[], COLUMN(YES_Reading_FLA[Self-Identified as African Descent]),FALSE)="","",
VLOOKUP($A724,YES_Reading_FLA[],COLUMN(YES_Reading_FLA[Self-Identified as African Descent]),FALSE)),
IF($J$2="Combined",
IFERROR(
IF(VLOOKUP($A724, YES_Reading_ELA[], COLUMN(YES_Reading_ELA[Self-Identified as African Descent]), FALSE)="", "",
VLOOKUP($A724,YES_Reading_ELA[],COLUMN(YES_Reading_ELA[Self-Identified as African Descent]),FALSE)),
IF(VLOOKUP($A724, YES_Reading_FLA[], COLUMN(YES_Reading_FLA[Self-Identified as African Descent]),FALSE)="", "", VLOOKUP($A724,YES_Reading_FLA[],COLUMN(YES_Reading_FLA[Self-Identified as African Descent]),FALSE))),""))),"")</f>
        <v/>
      </c>
      <c r="L724" s="73" t="str" cm="1">
        <f t="array" ref="L724">IFERROR(
IF($J$2="ELA",
IF(VLOOKUP($A724, YES_Reading_ELA[], COLUMN(YES_Reading_ELA[Self-Identified as Indigenous]), FALSE)="", "",
VLOOKUP($A724,YES_Reading_ELA[], COLUMN(YES_Reading_ELA[Self-Identified as Indigenous]), FALSE)),
IF($J$2="FLA",
IF(VLOOKUP($A724, YES_Reading_FLA[], COLUMN(YES_Reading_FLA[Self-Identified as Indigenous]),FALSE)="","",
VLOOKUP($A724,YES_Reading_FLA[],COLUMN(YES_Reading_FLA[Self-Identified as Indigenous]),FALSE)),
IF($J$2="Combined",
IFERROR(
IF(VLOOKUP($A724, YES_Reading_ELA[], COLUMN(YES_Reading_ELA[Self-Identified as Indigenous]), FALSE)="", "",
VLOOKUP($A724,YES_Reading_ELA[],COLUMN(YES_Reading_ELA[Self-Identified as Indigenous]),FALSE)),
IF(VLOOKUP($A724, YES_Reading_FLA[], COLUMN(YES_Reading_FLA[Self-Identified as Indigenous]),FALSE)="", "", VLOOKUP($A724,YES_Reading_FLA[],COLUMN(YES_Reading_FLA[Self-Identified as Indigenous]),FALSE))),""))),"")</f>
        <v/>
      </c>
    </row>
    <row r="725" spans="1:12" ht="19.5" customHeight="1" x14ac:dyDescent="0.25">
      <c r="A725" s="217"/>
      <c r="B725" s="220" t="str">
        <f>IFERROR(VLOOKUP(A725,_xlfn.VSTACK(YES_Reading_ELA[],YES_Reading_FLA[]),2,FALSE),"")</f>
        <v/>
      </c>
      <c r="C725" s="203" t="str" cm="1">
        <f t="array" aca="1" ref="C725" ca="1">IFERROR(
IF($J$2="ELA",
IF(VLOOKUP($A725, YES_Reading_ELA[], COLUMN(IF(VLOOKUP($D$2, 'Reading Report Logic'!$A$2:$B$8, 2, FALSE)=1, YES_Reading_ELA[Reading Level June of Previous School Year], INDIRECT("YES_Reading_ELA[Instructional Reading Level - Per "&amp;(VLOOKUP($D$2,'Reading Report Logic'!$A$2:$B$8,2,FALSE)-1)&amp;"]"))), FALSE)="", "",
VLOOKUP($A725,YES_Reading_ELA[], COLUMN(IF(VLOOKUP($D$2,'Reading Report Logic'!$A$2:$B$8,2,FALSE)=1, YES_Reading_ELA[Reading Level June of Previous School Year],INDIRECT("YES_Reading_ELA[Instructional Reading Level - Per "&amp;(VLOOKUP($D$2,'Reading Report Logic'!$A$2:$B$8,2,FALSE)-1)&amp;"]"))), FALSE)),
IF($J$2="FLA",
IF(VLOOKUP($A725, YES_Reading_FLA[], COLUMN(IF(VLOOKUP($D$2,'Reading Report Logic'!$A$2:$B$8,2,FALSE)=1, YES_Reading_FLA[Reading Level June of Previous School Year],INDIRECT("YES_Reading_FLA[Instructional Reading Level - Per "&amp;(VLOOKUP($D$2,'Reading Report Logic'!$A$2:$B$8,2,FALSE)-1)&amp;"]"))),FALSE)="","",
VLOOKUP($A725,YES_Reading_FLA[], COLUMN(IF(VLOOKUP($D$2,'Reading Report Logic'!$A$2:$B$8,2,FALSE)=1, YES_Reading_FLA[Reading Level June of Previous School Year],INDIRECT("YES_Reading_FLA[Instructional Reading Level - Per "&amp;(VLOOKUP($D$2,'Reading Report Logic'!$A$2:$B$8,2,FALSE)-1)&amp;"]"))),FALSE)),
IF($J$2="Combined",
IFERROR(
IF(VLOOKUP($A725, YES_Reading_ELA[], COLUMN(IF(VLOOKUP($D$2,'Reading Report Logic'!$A$2:$B$8,2,FALSE)=1, YES_Reading_ELA[Reading Level June of Previous School Year],INDIRECT("YES_Reading_ELA[Instructional Reading Level - Per "&amp;(VLOOKUP($D$2,'Reading Report Logic'!$A$2:$B$8,2,FALSE)-1)&amp;"]"))), FALSE)="", "",
VLOOKUP($A725,YES_Reading_ELA[],COLUMN(IF(VLOOKUP($D$2,'Reading Report Logic'!$A$2:$B$8,2,FALSE)=1, YES_Reading_ELA[Reading Level June of Previous School Year],INDIRECT("YES_Reading_ELA[Instructional Reading Level - Per "&amp;(VLOOKUP($D$2,'Reading Report Logic'!$A$2:$B$8,2,FALSE)-1)&amp;"]"))),FALSE)),
IF(VLOOKUP($A725, YES_Reading_FLA[], COLUMN(IF(VLOOKUP($D$2,'Reading Report Logic'!$A$2:$B$8,2,FALSE)=1, YES_Reading_FLA[Reading Level June of Previous School Year],INDIRECT("YES_Reading_FLA[Instructional Reading Level - Per "&amp;(VLOOKUP($D$2,'Reading Report Logic'!$A$2:$B$8,2,FALSE)-1)&amp;"]"))),FALSE)="", "", VLOOKUP($A725,YES_Reading_FLA[],COLUMN(IF(VLOOKUP($D$2,'Reading Report Logic'!$A$2:$B$8,2,FALSE)=1, YES_Reading_FLA[Reading Level June of Previous School Year],INDIRECT("YES_Reading_FLA[Instructional Reading Level - Per "&amp;(VLOOKUP($D$2,'Reading Report Logic'!$A$2:$B$8,2,FALSE)-1)&amp;"]"))), FALSE))),""))),"")</f>
        <v/>
      </c>
      <c r="D725" s="204" t="str" cm="1">
        <f t="array" aca="1" ref="D725" ca="1">IFERROR(
IF($J$2="ELA",
IF(VLOOKUP($A725, YES_Reading_ELA[], COLUMN(INDIRECT("YES_Reading_ELA[Instructional Reading Level - Per "&amp;VLOOKUP($D$2, 'Reading Report Logic'!$A$2:$B$8, 2, FALSE)&amp;"]")), FALSE)="", "",
VLOOKUP($A725,YES_Reading_ELA[], COLUMN(INDIRECT("YES_Reading_ELA[Instructional Reading Level - Per "&amp;VLOOKUP($D$2,'Reading Report Logic'!$A$2:$B$8,2,FALSE)&amp;"]")), FALSE)),
IF($J$2="FLA",
IF(VLOOKUP($A725, YES_Reading_FLA[], COLUMN(INDIRECT("YES_Reading_FLA[Instructional Reading Level - Per "&amp;VLOOKUP($D$2,'Reading Report Logic'!$A$2:$B$8,2,FALSE)&amp;"]")),FALSE)="","",
VLOOKUP($A725,YES_Reading_FLA[],COLUMN(INDIRECT("YES_Reading_FLA[Instructional Reading Level - Per "&amp;VLOOKUP($D$2,'Reading Report Logic'!$A$2:$B$8,2,FALSE)&amp;"]")),FALSE)),
IF($J$2="Combined",
IFERROR(
IF(VLOOKUP($A725, YES_Reading_ELA[], COLUMN(INDIRECT("YES_Reading_ELA[Instructional Reading Level - Per "&amp;VLOOKUP($D$2, 'Reading Report Logic'!$A$2:$B$8,2,FALSE)&amp;"]")), FALSE)="", "",
VLOOKUP($A725,YES_Reading_ELA[],COLUMN(INDIRECT("YES_Reading_ELA[Instructional Reading Level - Per "&amp;VLOOKUP($D$2,'Reading Report Logic'!$A$2:$B$8,2,FALSE)&amp;"]")),FALSE)),
IF(VLOOKUP($A725, YES_Reading_FLA[], COLUMN(INDIRECT("YES_Reading_FLA[Instructional Reading Level - Per "&amp;VLOOKUP($D$2, 'Reading Report Logic'!$A$2:$B$8, 2, FALSE)&amp;"]")),FALSE)="", "", VLOOKUP($A725,YES_Reading_FLA[],COLUMN(INDIRECT("YES_Reading_FLA[Instructional Reading Level - Per "&amp;VLOOKUP($D$2, 'Reading Report Logic'!$A$2:$B$8, 2, FALSE)&amp;"]")),FALSE))),""))),"")</f>
        <v/>
      </c>
      <c r="E725" s="205" t="str" cm="1">
        <f t="array" aca="1" ref="E725" ca="1">IFERROR(
IF($J$2="ELA",
IF(VLOOKUP($A725, YES_Reading_ELA[], COLUMN(INDIRECT("YES_Reading_ELA[Min Expectation - Per "&amp;VLOOKUP($D$2, 'Reading Report Logic'!$A$2:$B$8, 2, FALSE)&amp;"]")), FALSE)="", "",
VLOOKUP($A725,YES_Reading_ELA[], COLUMN(INDIRECT("YES_Reading_ELA[Min Expectation - Per "&amp;VLOOKUP($D$2,'Reading Report Logic'!$A$2:$B$8,2,FALSE)&amp;"]")), FALSE)),
IF($J$2="FLA",
IF(VLOOKUP($A725, YES_Reading_FLA[], COLUMN(INDIRECT("YES_Reading_FLA[Min Expectation - Per "&amp;VLOOKUP($D$2,'Reading Report Logic'!$A$2:$B$8,2,FALSE)&amp;"]")),FALSE)="","",
VLOOKUP($A725,YES_Reading_FLA[],COLUMN(INDIRECT("YES_Reading_FLA[Min Expectation - Per "&amp;VLOOKUP($D$2,'Reading Report Logic'!$A$2:$B$8,2,FALSE)&amp;"]")),FALSE)),
IF($J$2="Combined",
IFERROR(
IF(VLOOKUP($A725, YES_Reading_ELA[], COLUMN(INDIRECT("YES_Reading_ELA[Min Expectation - Per "&amp;VLOOKUP($D$2, 'Reading Report Logic'!$A$2:$B$8,2,FALSE)&amp;"]")), FALSE)="", "",
VLOOKUP($A725,YES_Reading_ELA[],COLUMN(INDIRECT("YES_Reading_ELA[Min Expectation - Per "&amp;VLOOKUP($D$2,'Reading Report Logic'!$A$2:$B$8,2,FALSE)&amp;"]")),FALSE)),
IF(VLOOKUP($A725, YES_Reading_FLA[], COLUMN(INDIRECT("YES_Reading_FLA[Min Expectation - Per "&amp;VLOOKUP($D$2, 'Reading Report Logic'!$A$2:$B$8, 2, FALSE)&amp;"]")),FALSE)="", "", VLOOKUP($A725,YES_Reading_FLA[],COLUMN(INDIRECT("YES_Reading_FLA[Min Expectation - Per "&amp;VLOOKUP($D$2, 'Reading Report Logic'!$A$2:$B$8, 2, FALSE)&amp;"]")),FALSE))),""))),"")</f>
        <v/>
      </c>
      <c r="F725" s="205" t="str" cm="1">
        <f t="array" aca="1" ref="F725" ca="1">IFERROR(
IF($J$2="ELA",
IF(VLOOKUP($A725, YES_Reading_ELA[], COLUMN(INDIRECT("YES_Reading_ELA[Max Expectation - Per "&amp;VLOOKUP($D$2, 'Reading Report Logic'!$A$2:$B$8, 2, FALSE)&amp;"]")), FALSE)="", "",
VLOOKUP($A725,YES_Reading_ELA[], COLUMN(INDIRECT("YES_Reading_ELA[Max Expectation - Per "&amp;VLOOKUP($D$2,'Reading Report Logic'!$A$2:$B$8,2,FALSE)&amp;"]")), FALSE)),
IF($J$2="FLA",
IF(VLOOKUP($A725, YES_Reading_FLA[], COLUMN(INDIRECT("YES_Reading_FLA[Max Expectation - Per "&amp;VLOOKUP($D$2,'Reading Report Logic'!$A$2:$B$8,2,FALSE)&amp;"]")),FALSE)="","",
VLOOKUP($A725,YES_Reading_FLA[],COLUMN(INDIRECT("YES_Reading_FLA[Max Expectation - Per "&amp;VLOOKUP($D$2,'Reading Report Logic'!$A$2:$B$8,2,FALSE)&amp;"]")),FALSE)),
IF($J$2="Combined",
IFERROR(
IF(VLOOKUP($A725, YES_Reading_ELA[], COLUMN(INDIRECT("YES_Reading_ELA[Max Expectation - Per "&amp;VLOOKUP($D$2, 'Reading Report Logic'!$A$2:$B$8,2,FALSE)&amp;"]")), FALSE)="", "",
VLOOKUP($A725,YES_Reading_ELA[],COLUMN(INDIRECT("YES_Reading_ELA[Max Expectation - Per "&amp;VLOOKUP($D$2,'Reading Report Logic'!$A$2:$B$8,2,FALSE)&amp;"]")),FALSE)),
IF(VLOOKUP($A725, YES_Reading_FLA[], COLUMN(INDIRECT("YES_Reading_FLA[Max Expectation - Per "&amp;VLOOKUP($D$2, 'Reading Report Logic'!$A$2:$B$8, 2, FALSE)&amp;"]")),FALSE)="", "", VLOOKUP($A725,YES_Reading_FLA[],COLUMN(INDIRECT("YES_Reading_FLA[Max Expectation - Per "&amp;VLOOKUP($D$2, 'Reading Report Logic'!$A$2:$B$8, 2, FALSE)&amp;"]")),FALSE))),""))),"")</f>
        <v/>
      </c>
      <c r="G725" s="205" t="str" cm="1">
        <f t="array" aca="1" ref="G725" ca="1">IFERROR(
IF($J$2="ELA",
IF(VLOOKUP($A725, YES_Reading_ELA[], COLUMN(INDIRECT("YES_Reading_ELA[Difference - Per "&amp;VLOOKUP($D$2, 'Reading Report Logic'!$A$2:$B$8, 2, FALSE)&amp;"]")), FALSE)="", "",
VLOOKUP($A725,YES_Reading_ELA[], COLUMN(INDIRECT("YES_Reading_ELA[Difference - Per "&amp;VLOOKUP($D$2,'Reading Report Logic'!$A$2:$B$8,2,FALSE)&amp;"]")), FALSE)),
IF($J$2="FLA",
IF(VLOOKUP($A725, YES_Reading_FLA[], COLUMN(INDIRECT("YES_Reading_FLA[Difference - Per "&amp;VLOOKUP($D$2,'Reading Report Logic'!$A$2:$B$8,2,FALSE)&amp;"]")),FALSE)="","",
VLOOKUP($A725,YES_Reading_FLA[],COLUMN(INDIRECT("YES_Reading_FLA[Difference - Per "&amp;VLOOKUP($D$2,'Reading Report Logic'!$A$2:$B$8,2,FALSE)&amp;"]")),FALSE)),
IF($J$2="Combined",
IFERROR(
IF(VLOOKUP($A725, YES_Reading_ELA[], COLUMN(INDIRECT("YES_Reading_ELA[Difference - Per "&amp;VLOOKUP($D$2, 'Reading Report Logic'!$A$2:$B$8,2,FALSE)&amp;"]")), FALSE)="", "",
VLOOKUP($A725,YES_Reading_ELA[],COLUMN(INDIRECT("YES_Reading_ELA[Difference - Per "&amp;VLOOKUP($D$2,'Reading Report Logic'!$A$2:$B$8,2,FALSE)&amp;"]")),FALSE)),
IF(VLOOKUP($A725, YES_Reading_FLA[], COLUMN(INDIRECT("YES_Reading_FLA[Difference - Per "&amp;VLOOKUP($D$2, 'Reading Report Logic'!$A$2:$B$8, 2, FALSE)&amp;"]")),FALSE)="", "", VLOOKUP($A725,YES_Reading_FLA[],COLUMN(INDIRECT("YES_Reading_FLA[Difference - Per "&amp;VLOOKUP($D$2, 'Reading Report Logic'!$A$2:$B$8, 2, FALSE)&amp;"]")),FALSE))),""))),"")</f>
        <v/>
      </c>
      <c r="H725" s="206" t="str">
        <f ca="1">IFERROR(VLOOKUP('Teacher Reading Pull Sheets'!$D725,_xlfn.VSTACK('ELA Reading Logic'!$A$22:$B$48,'FLA Reading Logic'!$A$22:$B$53),2,FALSE)-VLOOKUP('Teacher Reading Pull Sheets'!$C725,_xlfn.VSTACK('ELA Reading Logic'!$A$22:$B$48,'FLA Reading Logic'!$A$22:$B$53),2,FALSE),"")</f>
        <v/>
      </c>
      <c r="I725" s="212"/>
      <c r="J725" s="206"/>
      <c r="K725" s="197" t="str" cm="1">
        <f t="array" ref="K725">IFERROR(
IF($J$2="ELA",
IF(VLOOKUP($A725, YES_Reading_ELA[], COLUMN(YES_Reading_ELA[Self-Identified as African Descent]), FALSE)="", "",
VLOOKUP($A725,YES_Reading_ELA[], COLUMN(YES_Reading_ELA[Self-Identified as African Descent]), FALSE)),
IF($J$2="FLA",
IF(VLOOKUP($A725, YES_Reading_FLA[], COLUMN(YES_Reading_FLA[Self-Identified as African Descent]),FALSE)="","",
VLOOKUP($A725,YES_Reading_FLA[],COLUMN(YES_Reading_FLA[Self-Identified as African Descent]),FALSE)),
IF($J$2="Combined",
IFERROR(
IF(VLOOKUP($A725, YES_Reading_ELA[], COLUMN(YES_Reading_ELA[Self-Identified as African Descent]), FALSE)="", "",
VLOOKUP($A725,YES_Reading_ELA[],COLUMN(YES_Reading_ELA[Self-Identified as African Descent]),FALSE)),
IF(VLOOKUP($A725, YES_Reading_FLA[], COLUMN(YES_Reading_FLA[Self-Identified as African Descent]),FALSE)="", "", VLOOKUP($A725,YES_Reading_FLA[],COLUMN(YES_Reading_FLA[Self-Identified as African Descent]),FALSE))),""))),"")</f>
        <v/>
      </c>
      <c r="L725" s="73" t="str" cm="1">
        <f t="array" ref="L725">IFERROR(
IF($J$2="ELA",
IF(VLOOKUP($A725, YES_Reading_ELA[], COLUMN(YES_Reading_ELA[Self-Identified as Indigenous]), FALSE)="", "",
VLOOKUP($A725,YES_Reading_ELA[], COLUMN(YES_Reading_ELA[Self-Identified as Indigenous]), FALSE)),
IF($J$2="FLA",
IF(VLOOKUP($A725, YES_Reading_FLA[], COLUMN(YES_Reading_FLA[Self-Identified as Indigenous]),FALSE)="","",
VLOOKUP($A725,YES_Reading_FLA[],COLUMN(YES_Reading_FLA[Self-Identified as Indigenous]),FALSE)),
IF($J$2="Combined",
IFERROR(
IF(VLOOKUP($A725, YES_Reading_ELA[], COLUMN(YES_Reading_ELA[Self-Identified as Indigenous]), FALSE)="", "",
VLOOKUP($A725,YES_Reading_ELA[],COLUMN(YES_Reading_ELA[Self-Identified as Indigenous]),FALSE)),
IF(VLOOKUP($A725, YES_Reading_FLA[], COLUMN(YES_Reading_FLA[Self-Identified as Indigenous]),FALSE)="", "", VLOOKUP($A725,YES_Reading_FLA[],COLUMN(YES_Reading_FLA[Self-Identified as Indigenous]),FALSE))),""))),"")</f>
        <v/>
      </c>
    </row>
    <row r="726" spans="1:12" ht="19.5" customHeight="1" x14ac:dyDescent="0.25">
      <c r="A726" s="217"/>
      <c r="B726" s="220" t="str">
        <f>IFERROR(VLOOKUP(A726,_xlfn.VSTACK(YES_Reading_ELA[],YES_Reading_FLA[]),2,FALSE),"")</f>
        <v/>
      </c>
      <c r="C726" s="203" t="str" cm="1">
        <f t="array" aca="1" ref="C726" ca="1">IFERROR(
IF($J$2="ELA",
IF(VLOOKUP($A726, YES_Reading_ELA[], COLUMN(IF(VLOOKUP($D$2, 'Reading Report Logic'!$A$2:$B$8, 2, FALSE)=1, YES_Reading_ELA[Reading Level June of Previous School Year], INDIRECT("YES_Reading_ELA[Instructional Reading Level - Per "&amp;(VLOOKUP($D$2,'Reading Report Logic'!$A$2:$B$8,2,FALSE)-1)&amp;"]"))), FALSE)="", "",
VLOOKUP($A726,YES_Reading_ELA[], COLUMN(IF(VLOOKUP($D$2,'Reading Report Logic'!$A$2:$B$8,2,FALSE)=1, YES_Reading_ELA[Reading Level June of Previous School Year],INDIRECT("YES_Reading_ELA[Instructional Reading Level - Per "&amp;(VLOOKUP($D$2,'Reading Report Logic'!$A$2:$B$8,2,FALSE)-1)&amp;"]"))), FALSE)),
IF($J$2="FLA",
IF(VLOOKUP($A726, YES_Reading_FLA[], COLUMN(IF(VLOOKUP($D$2,'Reading Report Logic'!$A$2:$B$8,2,FALSE)=1, YES_Reading_FLA[Reading Level June of Previous School Year],INDIRECT("YES_Reading_FLA[Instructional Reading Level - Per "&amp;(VLOOKUP($D$2,'Reading Report Logic'!$A$2:$B$8,2,FALSE)-1)&amp;"]"))),FALSE)="","",
VLOOKUP($A726,YES_Reading_FLA[], COLUMN(IF(VLOOKUP($D$2,'Reading Report Logic'!$A$2:$B$8,2,FALSE)=1, YES_Reading_FLA[Reading Level June of Previous School Year],INDIRECT("YES_Reading_FLA[Instructional Reading Level - Per "&amp;(VLOOKUP($D$2,'Reading Report Logic'!$A$2:$B$8,2,FALSE)-1)&amp;"]"))),FALSE)),
IF($J$2="Combined",
IFERROR(
IF(VLOOKUP($A726, YES_Reading_ELA[], COLUMN(IF(VLOOKUP($D$2,'Reading Report Logic'!$A$2:$B$8,2,FALSE)=1, YES_Reading_ELA[Reading Level June of Previous School Year],INDIRECT("YES_Reading_ELA[Instructional Reading Level - Per "&amp;(VLOOKUP($D$2,'Reading Report Logic'!$A$2:$B$8,2,FALSE)-1)&amp;"]"))), FALSE)="", "",
VLOOKUP($A726,YES_Reading_ELA[],COLUMN(IF(VLOOKUP($D$2,'Reading Report Logic'!$A$2:$B$8,2,FALSE)=1, YES_Reading_ELA[Reading Level June of Previous School Year],INDIRECT("YES_Reading_ELA[Instructional Reading Level - Per "&amp;(VLOOKUP($D$2,'Reading Report Logic'!$A$2:$B$8,2,FALSE)-1)&amp;"]"))),FALSE)),
IF(VLOOKUP($A726, YES_Reading_FLA[], COLUMN(IF(VLOOKUP($D$2,'Reading Report Logic'!$A$2:$B$8,2,FALSE)=1, YES_Reading_FLA[Reading Level June of Previous School Year],INDIRECT("YES_Reading_FLA[Instructional Reading Level - Per "&amp;(VLOOKUP($D$2,'Reading Report Logic'!$A$2:$B$8,2,FALSE)-1)&amp;"]"))),FALSE)="", "", VLOOKUP($A726,YES_Reading_FLA[],COLUMN(IF(VLOOKUP($D$2,'Reading Report Logic'!$A$2:$B$8,2,FALSE)=1, YES_Reading_FLA[Reading Level June of Previous School Year],INDIRECT("YES_Reading_FLA[Instructional Reading Level - Per "&amp;(VLOOKUP($D$2,'Reading Report Logic'!$A$2:$B$8,2,FALSE)-1)&amp;"]"))), FALSE))),""))),"")</f>
        <v/>
      </c>
      <c r="D726" s="204" t="str" cm="1">
        <f t="array" aca="1" ref="D726" ca="1">IFERROR(
IF($J$2="ELA",
IF(VLOOKUP($A726, YES_Reading_ELA[], COLUMN(INDIRECT("YES_Reading_ELA[Instructional Reading Level - Per "&amp;VLOOKUP($D$2, 'Reading Report Logic'!$A$2:$B$8, 2, FALSE)&amp;"]")), FALSE)="", "",
VLOOKUP($A726,YES_Reading_ELA[], COLUMN(INDIRECT("YES_Reading_ELA[Instructional Reading Level - Per "&amp;VLOOKUP($D$2,'Reading Report Logic'!$A$2:$B$8,2,FALSE)&amp;"]")), FALSE)),
IF($J$2="FLA",
IF(VLOOKUP($A726, YES_Reading_FLA[], COLUMN(INDIRECT("YES_Reading_FLA[Instructional Reading Level - Per "&amp;VLOOKUP($D$2,'Reading Report Logic'!$A$2:$B$8,2,FALSE)&amp;"]")),FALSE)="","",
VLOOKUP($A726,YES_Reading_FLA[],COLUMN(INDIRECT("YES_Reading_FLA[Instructional Reading Level - Per "&amp;VLOOKUP($D$2,'Reading Report Logic'!$A$2:$B$8,2,FALSE)&amp;"]")),FALSE)),
IF($J$2="Combined",
IFERROR(
IF(VLOOKUP($A726, YES_Reading_ELA[], COLUMN(INDIRECT("YES_Reading_ELA[Instructional Reading Level - Per "&amp;VLOOKUP($D$2, 'Reading Report Logic'!$A$2:$B$8,2,FALSE)&amp;"]")), FALSE)="", "",
VLOOKUP($A726,YES_Reading_ELA[],COLUMN(INDIRECT("YES_Reading_ELA[Instructional Reading Level - Per "&amp;VLOOKUP($D$2,'Reading Report Logic'!$A$2:$B$8,2,FALSE)&amp;"]")),FALSE)),
IF(VLOOKUP($A726, YES_Reading_FLA[], COLUMN(INDIRECT("YES_Reading_FLA[Instructional Reading Level - Per "&amp;VLOOKUP($D$2, 'Reading Report Logic'!$A$2:$B$8, 2, FALSE)&amp;"]")),FALSE)="", "", VLOOKUP($A726,YES_Reading_FLA[],COLUMN(INDIRECT("YES_Reading_FLA[Instructional Reading Level - Per "&amp;VLOOKUP($D$2, 'Reading Report Logic'!$A$2:$B$8, 2, FALSE)&amp;"]")),FALSE))),""))),"")</f>
        <v/>
      </c>
      <c r="E726" s="205" t="str" cm="1">
        <f t="array" aca="1" ref="E726" ca="1">IFERROR(
IF($J$2="ELA",
IF(VLOOKUP($A726, YES_Reading_ELA[], COLUMN(INDIRECT("YES_Reading_ELA[Min Expectation - Per "&amp;VLOOKUP($D$2, 'Reading Report Logic'!$A$2:$B$8, 2, FALSE)&amp;"]")), FALSE)="", "",
VLOOKUP($A726,YES_Reading_ELA[], COLUMN(INDIRECT("YES_Reading_ELA[Min Expectation - Per "&amp;VLOOKUP($D$2,'Reading Report Logic'!$A$2:$B$8,2,FALSE)&amp;"]")), FALSE)),
IF($J$2="FLA",
IF(VLOOKUP($A726, YES_Reading_FLA[], COLUMN(INDIRECT("YES_Reading_FLA[Min Expectation - Per "&amp;VLOOKUP($D$2,'Reading Report Logic'!$A$2:$B$8,2,FALSE)&amp;"]")),FALSE)="","",
VLOOKUP($A726,YES_Reading_FLA[],COLUMN(INDIRECT("YES_Reading_FLA[Min Expectation - Per "&amp;VLOOKUP($D$2,'Reading Report Logic'!$A$2:$B$8,2,FALSE)&amp;"]")),FALSE)),
IF($J$2="Combined",
IFERROR(
IF(VLOOKUP($A726, YES_Reading_ELA[], COLUMN(INDIRECT("YES_Reading_ELA[Min Expectation - Per "&amp;VLOOKUP($D$2, 'Reading Report Logic'!$A$2:$B$8,2,FALSE)&amp;"]")), FALSE)="", "",
VLOOKUP($A726,YES_Reading_ELA[],COLUMN(INDIRECT("YES_Reading_ELA[Min Expectation - Per "&amp;VLOOKUP($D$2,'Reading Report Logic'!$A$2:$B$8,2,FALSE)&amp;"]")),FALSE)),
IF(VLOOKUP($A726, YES_Reading_FLA[], COLUMN(INDIRECT("YES_Reading_FLA[Min Expectation - Per "&amp;VLOOKUP($D$2, 'Reading Report Logic'!$A$2:$B$8, 2, FALSE)&amp;"]")),FALSE)="", "", VLOOKUP($A726,YES_Reading_FLA[],COLUMN(INDIRECT("YES_Reading_FLA[Min Expectation - Per "&amp;VLOOKUP($D$2, 'Reading Report Logic'!$A$2:$B$8, 2, FALSE)&amp;"]")),FALSE))),""))),"")</f>
        <v/>
      </c>
      <c r="F726" s="205" t="str" cm="1">
        <f t="array" aca="1" ref="F726" ca="1">IFERROR(
IF($J$2="ELA",
IF(VLOOKUP($A726, YES_Reading_ELA[], COLUMN(INDIRECT("YES_Reading_ELA[Max Expectation - Per "&amp;VLOOKUP($D$2, 'Reading Report Logic'!$A$2:$B$8, 2, FALSE)&amp;"]")), FALSE)="", "",
VLOOKUP($A726,YES_Reading_ELA[], COLUMN(INDIRECT("YES_Reading_ELA[Max Expectation - Per "&amp;VLOOKUP($D$2,'Reading Report Logic'!$A$2:$B$8,2,FALSE)&amp;"]")), FALSE)),
IF($J$2="FLA",
IF(VLOOKUP($A726, YES_Reading_FLA[], COLUMN(INDIRECT("YES_Reading_FLA[Max Expectation - Per "&amp;VLOOKUP($D$2,'Reading Report Logic'!$A$2:$B$8,2,FALSE)&amp;"]")),FALSE)="","",
VLOOKUP($A726,YES_Reading_FLA[],COLUMN(INDIRECT("YES_Reading_FLA[Max Expectation - Per "&amp;VLOOKUP($D$2,'Reading Report Logic'!$A$2:$B$8,2,FALSE)&amp;"]")),FALSE)),
IF($J$2="Combined",
IFERROR(
IF(VLOOKUP($A726, YES_Reading_ELA[], COLUMN(INDIRECT("YES_Reading_ELA[Max Expectation - Per "&amp;VLOOKUP($D$2, 'Reading Report Logic'!$A$2:$B$8,2,FALSE)&amp;"]")), FALSE)="", "",
VLOOKUP($A726,YES_Reading_ELA[],COLUMN(INDIRECT("YES_Reading_ELA[Max Expectation - Per "&amp;VLOOKUP($D$2,'Reading Report Logic'!$A$2:$B$8,2,FALSE)&amp;"]")),FALSE)),
IF(VLOOKUP($A726, YES_Reading_FLA[], COLUMN(INDIRECT("YES_Reading_FLA[Max Expectation - Per "&amp;VLOOKUP($D$2, 'Reading Report Logic'!$A$2:$B$8, 2, FALSE)&amp;"]")),FALSE)="", "", VLOOKUP($A726,YES_Reading_FLA[],COLUMN(INDIRECT("YES_Reading_FLA[Max Expectation - Per "&amp;VLOOKUP($D$2, 'Reading Report Logic'!$A$2:$B$8, 2, FALSE)&amp;"]")),FALSE))),""))),"")</f>
        <v/>
      </c>
      <c r="G726" s="205" t="str" cm="1">
        <f t="array" aca="1" ref="G726" ca="1">IFERROR(
IF($J$2="ELA",
IF(VLOOKUP($A726, YES_Reading_ELA[], COLUMN(INDIRECT("YES_Reading_ELA[Difference - Per "&amp;VLOOKUP($D$2, 'Reading Report Logic'!$A$2:$B$8, 2, FALSE)&amp;"]")), FALSE)="", "",
VLOOKUP($A726,YES_Reading_ELA[], COLUMN(INDIRECT("YES_Reading_ELA[Difference - Per "&amp;VLOOKUP($D$2,'Reading Report Logic'!$A$2:$B$8,2,FALSE)&amp;"]")), FALSE)),
IF($J$2="FLA",
IF(VLOOKUP($A726, YES_Reading_FLA[], COLUMN(INDIRECT("YES_Reading_FLA[Difference - Per "&amp;VLOOKUP($D$2,'Reading Report Logic'!$A$2:$B$8,2,FALSE)&amp;"]")),FALSE)="","",
VLOOKUP($A726,YES_Reading_FLA[],COLUMN(INDIRECT("YES_Reading_FLA[Difference - Per "&amp;VLOOKUP($D$2,'Reading Report Logic'!$A$2:$B$8,2,FALSE)&amp;"]")),FALSE)),
IF($J$2="Combined",
IFERROR(
IF(VLOOKUP($A726, YES_Reading_ELA[], COLUMN(INDIRECT("YES_Reading_ELA[Difference - Per "&amp;VLOOKUP($D$2, 'Reading Report Logic'!$A$2:$B$8,2,FALSE)&amp;"]")), FALSE)="", "",
VLOOKUP($A726,YES_Reading_ELA[],COLUMN(INDIRECT("YES_Reading_ELA[Difference - Per "&amp;VLOOKUP($D$2,'Reading Report Logic'!$A$2:$B$8,2,FALSE)&amp;"]")),FALSE)),
IF(VLOOKUP($A726, YES_Reading_FLA[], COLUMN(INDIRECT("YES_Reading_FLA[Difference - Per "&amp;VLOOKUP($D$2, 'Reading Report Logic'!$A$2:$B$8, 2, FALSE)&amp;"]")),FALSE)="", "", VLOOKUP($A726,YES_Reading_FLA[],COLUMN(INDIRECT("YES_Reading_FLA[Difference - Per "&amp;VLOOKUP($D$2, 'Reading Report Logic'!$A$2:$B$8, 2, FALSE)&amp;"]")),FALSE))),""))),"")</f>
        <v/>
      </c>
      <c r="H726" s="206" t="str">
        <f ca="1">IFERROR(VLOOKUP('Teacher Reading Pull Sheets'!$D726,_xlfn.VSTACK('ELA Reading Logic'!$A$22:$B$48,'FLA Reading Logic'!$A$22:$B$53),2,FALSE)-VLOOKUP('Teacher Reading Pull Sheets'!$C726,_xlfn.VSTACK('ELA Reading Logic'!$A$22:$B$48,'FLA Reading Logic'!$A$22:$B$53),2,FALSE),"")</f>
        <v/>
      </c>
      <c r="I726" s="212"/>
      <c r="J726" s="206"/>
      <c r="K726" s="197" t="str" cm="1">
        <f t="array" ref="K726">IFERROR(
IF($J$2="ELA",
IF(VLOOKUP($A726, YES_Reading_ELA[], COLUMN(YES_Reading_ELA[Self-Identified as African Descent]), FALSE)="", "",
VLOOKUP($A726,YES_Reading_ELA[], COLUMN(YES_Reading_ELA[Self-Identified as African Descent]), FALSE)),
IF($J$2="FLA",
IF(VLOOKUP($A726, YES_Reading_FLA[], COLUMN(YES_Reading_FLA[Self-Identified as African Descent]),FALSE)="","",
VLOOKUP($A726,YES_Reading_FLA[],COLUMN(YES_Reading_FLA[Self-Identified as African Descent]),FALSE)),
IF($J$2="Combined",
IFERROR(
IF(VLOOKUP($A726, YES_Reading_ELA[], COLUMN(YES_Reading_ELA[Self-Identified as African Descent]), FALSE)="", "",
VLOOKUP($A726,YES_Reading_ELA[],COLUMN(YES_Reading_ELA[Self-Identified as African Descent]),FALSE)),
IF(VLOOKUP($A726, YES_Reading_FLA[], COLUMN(YES_Reading_FLA[Self-Identified as African Descent]),FALSE)="", "", VLOOKUP($A726,YES_Reading_FLA[],COLUMN(YES_Reading_FLA[Self-Identified as African Descent]),FALSE))),""))),"")</f>
        <v/>
      </c>
      <c r="L726" s="73" t="str" cm="1">
        <f t="array" ref="L726">IFERROR(
IF($J$2="ELA",
IF(VLOOKUP($A726, YES_Reading_ELA[], COLUMN(YES_Reading_ELA[Self-Identified as Indigenous]), FALSE)="", "",
VLOOKUP($A726,YES_Reading_ELA[], COLUMN(YES_Reading_ELA[Self-Identified as Indigenous]), FALSE)),
IF($J$2="FLA",
IF(VLOOKUP($A726, YES_Reading_FLA[], COLUMN(YES_Reading_FLA[Self-Identified as Indigenous]),FALSE)="","",
VLOOKUP($A726,YES_Reading_FLA[],COLUMN(YES_Reading_FLA[Self-Identified as Indigenous]),FALSE)),
IF($J$2="Combined",
IFERROR(
IF(VLOOKUP($A726, YES_Reading_ELA[], COLUMN(YES_Reading_ELA[Self-Identified as Indigenous]), FALSE)="", "",
VLOOKUP($A726,YES_Reading_ELA[],COLUMN(YES_Reading_ELA[Self-Identified as Indigenous]),FALSE)),
IF(VLOOKUP($A726, YES_Reading_FLA[], COLUMN(YES_Reading_FLA[Self-Identified as Indigenous]),FALSE)="", "", VLOOKUP($A726,YES_Reading_FLA[],COLUMN(YES_Reading_FLA[Self-Identified as Indigenous]),FALSE))),""))),"")</f>
        <v/>
      </c>
    </row>
    <row r="727" spans="1:12" ht="19.5" customHeight="1" x14ac:dyDescent="0.25">
      <c r="A727" s="217"/>
      <c r="B727" s="220" t="str">
        <f>IFERROR(VLOOKUP(A727,_xlfn.VSTACK(YES_Reading_ELA[],YES_Reading_FLA[]),2,FALSE),"")</f>
        <v/>
      </c>
      <c r="C727" s="203" t="str" cm="1">
        <f t="array" aca="1" ref="C727" ca="1">IFERROR(
IF($J$2="ELA",
IF(VLOOKUP($A727, YES_Reading_ELA[], COLUMN(IF(VLOOKUP($D$2, 'Reading Report Logic'!$A$2:$B$8, 2, FALSE)=1, YES_Reading_ELA[Reading Level June of Previous School Year], INDIRECT("YES_Reading_ELA[Instructional Reading Level - Per "&amp;(VLOOKUP($D$2,'Reading Report Logic'!$A$2:$B$8,2,FALSE)-1)&amp;"]"))), FALSE)="", "",
VLOOKUP($A727,YES_Reading_ELA[], COLUMN(IF(VLOOKUP($D$2,'Reading Report Logic'!$A$2:$B$8,2,FALSE)=1, YES_Reading_ELA[Reading Level June of Previous School Year],INDIRECT("YES_Reading_ELA[Instructional Reading Level - Per "&amp;(VLOOKUP($D$2,'Reading Report Logic'!$A$2:$B$8,2,FALSE)-1)&amp;"]"))), FALSE)),
IF($J$2="FLA",
IF(VLOOKUP($A727, YES_Reading_FLA[], COLUMN(IF(VLOOKUP($D$2,'Reading Report Logic'!$A$2:$B$8,2,FALSE)=1, YES_Reading_FLA[Reading Level June of Previous School Year],INDIRECT("YES_Reading_FLA[Instructional Reading Level - Per "&amp;(VLOOKUP($D$2,'Reading Report Logic'!$A$2:$B$8,2,FALSE)-1)&amp;"]"))),FALSE)="","",
VLOOKUP($A727,YES_Reading_FLA[], COLUMN(IF(VLOOKUP($D$2,'Reading Report Logic'!$A$2:$B$8,2,FALSE)=1, YES_Reading_FLA[Reading Level June of Previous School Year],INDIRECT("YES_Reading_FLA[Instructional Reading Level - Per "&amp;(VLOOKUP($D$2,'Reading Report Logic'!$A$2:$B$8,2,FALSE)-1)&amp;"]"))),FALSE)),
IF($J$2="Combined",
IFERROR(
IF(VLOOKUP($A727, YES_Reading_ELA[], COLUMN(IF(VLOOKUP($D$2,'Reading Report Logic'!$A$2:$B$8,2,FALSE)=1, YES_Reading_ELA[Reading Level June of Previous School Year],INDIRECT("YES_Reading_ELA[Instructional Reading Level - Per "&amp;(VLOOKUP($D$2,'Reading Report Logic'!$A$2:$B$8,2,FALSE)-1)&amp;"]"))), FALSE)="", "",
VLOOKUP($A727,YES_Reading_ELA[],COLUMN(IF(VLOOKUP($D$2,'Reading Report Logic'!$A$2:$B$8,2,FALSE)=1, YES_Reading_ELA[Reading Level June of Previous School Year],INDIRECT("YES_Reading_ELA[Instructional Reading Level - Per "&amp;(VLOOKUP($D$2,'Reading Report Logic'!$A$2:$B$8,2,FALSE)-1)&amp;"]"))),FALSE)),
IF(VLOOKUP($A727, YES_Reading_FLA[], COLUMN(IF(VLOOKUP($D$2,'Reading Report Logic'!$A$2:$B$8,2,FALSE)=1, YES_Reading_FLA[Reading Level June of Previous School Year],INDIRECT("YES_Reading_FLA[Instructional Reading Level - Per "&amp;(VLOOKUP($D$2,'Reading Report Logic'!$A$2:$B$8,2,FALSE)-1)&amp;"]"))),FALSE)="", "", VLOOKUP($A727,YES_Reading_FLA[],COLUMN(IF(VLOOKUP($D$2,'Reading Report Logic'!$A$2:$B$8,2,FALSE)=1, YES_Reading_FLA[Reading Level June of Previous School Year],INDIRECT("YES_Reading_FLA[Instructional Reading Level - Per "&amp;(VLOOKUP($D$2,'Reading Report Logic'!$A$2:$B$8,2,FALSE)-1)&amp;"]"))), FALSE))),""))),"")</f>
        <v/>
      </c>
      <c r="D727" s="204" t="str" cm="1">
        <f t="array" aca="1" ref="D727" ca="1">IFERROR(
IF($J$2="ELA",
IF(VLOOKUP($A727, YES_Reading_ELA[], COLUMN(INDIRECT("YES_Reading_ELA[Instructional Reading Level - Per "&amp;VLOOKUP($D$2, 'Reading Report Logic'!$A$2:$B$8, 2, FALSE)&amp;"]")), FALSE)="", "",
VLOOKUP($A727,YES_Reading_ELA[], COLUMN(INDIRECT("YES_Reading_ELA[Instructional Reading Level - Per "&amp;VLOOKUP($D$2,'Reading Report Logic'!$A$2:$B$8,2,FALSE)&amp;"]")), FALSE)),
IF($J$2="FLA",
IF(VLOOKUP($A727, YES_Reading_FLA[], COLUMN(INDIRECT("YES_Reading_FLA[Instructional Reading Level - Per "&amp;VLOOKUP($D$2,'Reading Report Logic'!$A$2:$B$8,2,FALSE)&amp;"]")),FALSE)="","",
VLOOKUP($A727,YES_Reading_FLA[],COLUMN(INDIRECT("YES_Reading_FLA[Instructional Reading Level - Per "&amp;VLOOKUP($D$2,'Reading Report Logic'!$A$2:$B$8,2,FALSE)&amp;"]")),FALSE)),
IF($J$2="Combined",
IFERROR(
IF(VLOOKUP($A727, YES_Reading_ELA[], COLUMN(INDIRECT("YES_Reading_ELA[Instructional Reading Level - Per "&amp;VLOOKUP($D$2, 'Reading Report Logic'!$A$2:$B$8,2,FALSE)&amp;"]")), FALSE)="", "",
VLOOKUP($A727,YES_Reading_ELA[],COLUMN(INDIRECT("YES_Reading_ELA[Instructional Reading Level - Per "&amp;VLOOKUP($D$2,'Reading Report Logic'!$A$2:$B$8,2,FALSE)&amp;"]")),FALSE)),
IF(VLOOKUP($A727, YES_Reading_FLA[], COLUMN(INDIRECT("YES_Reading_FLA[Instructional Reading Level - Per "&amp;VLOOKUP($D$2, 'Reading Report Logic'!$A$2:$B$8, 2, FALSE)&amp;"]")),FALSE)="", "", VLOOKUP($A727,YES_Reading_FLA[],COLUMN(INDIRECT("YES_Reading_FLA[Instructional Reading Level - Per "&amp;VLOOKUP($D$2, 'Reading Report Logic'!$A$2:$B$8, 2, FALSE)&amp;"]")),FALSE))),""))),"")</f>
        <v/>
      </c>
      <c r="E727" s="205" t="str" cm="1">
        <f t="array" aca="1" ref="E727" ca="1">IFERROR(
IF($J$2="ELA",
IF(VLOOKUP($A727, YES_Reading_ELA[], COLUMN(INDIRECT("YES_Reading_ELA[Min Expectation - Per "&amp;VLOOKUP($D$2, 'Reading Report Logic'!$A$2:$B$8, 2, FALSE)&amp;"]")), FALSE)="", "",
VLOOKUP($A727,YES_Reading_ELA[], COLUMN(INDIRECT("YES_Reading_ELA[Min Expectation - Per "&amp;VLOOKUP($D$2,'Reading Report Logic'!$A$2:$B$8,2,FALSE)&amp;"]")), FALSE)),
IF($J$2="FLA",
IF(VLOOKUP($A727, YES_Reading_FLA[], COLUMN(INDIRECT("YES_Reading_FLA[Min Expectation - Per "&amp;VLOOKUP($D$2,'Reading Report Logic'!$A$2:$B$8,2,FALSE)&amp;"]")),FALSE)="","",
VLOOKUP($A727,YES_Reading_FLA[],COLUMN(INDIRECT("YES_Reading_FLA[Min Expectation - Per "&amp;VLOOKUP($D$2,'Reading Report Logic'!$A$2:$B$8,2,FALSE)&amp;"]")),FALSE)),
IF($J$2="Combined",
IFERROR(
IF(VLOOKUP($A727, YES_Reading_ELA[], COLUMN(INDIRECT("YES_Reading_ELA[Min Expectation - Per "&amp;VLOOKUP($D$2, 'Reading Report Logic'!$A$2:$B$8,2,FALSE)&amp;"]")), FALSE)="", "",
VLOOKUP($A727,YES_Reading_ELA[],COLUMN(INDIRECT("YES_Reading_ELA[Min Expectation - Per "&amp;VLOOKUP($D$2,'Reading Report Logic'!$A$2:$B$8,2,FALSE)&amp;"]")),FALSE)),
IF(VLOOKUP($A727, YES_Reading_FLA[], COLUMN(INDIRECT("YES_Reading_FLA[Min Expectation - Per "&amp;VLOOKUP($D$2, 'Reading Report Logic'!$A$2:$B$8, 2, FALSE)&amp;"]")),FALSE)="", "", VLOOKUP($A727,YES_Reading_FLA[],COLUMN(INDIRECT("YES_Reading_FLA[Min Expectation - Per "&amp;VLOOKUP($D$2, 'Reading Report Logic'!$A$2:$B$8, 2, FALSE)&amp;"]")),FALSE))),""))),"")</f>
        <v/>
      </c>
      <c r="F727" s="205" t="str" cm="1">
        <f t="array" aca="1" ref="F727" ca="1">IFERROR(
IF($J$2="ELA",
IF(VLOOKUP($A727, YES_Reading_ELA[], COLUMN(INDIRECT("YES_Reading_ELA[Max Expectation - Per "&amp;VLOOKUP($D$2, 'Reading Report Logic'!$A$2:$B$8, 2, FALSE)&amp;"]")), FALSE)="", "",
VLOOKUP($A727,YES_Reading_ELA[], COLUMN(INDIRECT("YES_Reading_ELA[Max Expectation - Per "&amp;VLOOKUP($D$2,'Reading Report Logic'!$A$2:$B$8,2,FALSE)&amp;"]")), FALSE)),
IF($J$2="FLA",
IF(VLOOKUP($A727, YES_Reading_FLA[], COLUMN(INDIRECT("YES_Reading_FLA[Max Expectation - Per "&amp;VLOOKUP($D$2,'Reading Report Logic'!$A$2:$B$8,2,FALSE)&amp;"]")),FALSE)="","",
VLOOKUP($A727,YES_Reading_FLA[],COLUMN(INDIRECT("YES_Reading_FLA[Max Expectation - Per "&amp;VLOOKUP($D$2,'Reading Report Logic'!$A$2:$B$8,2,FALSE)&amp;"]")),FALSE)),
IF($J$2="Combined",
IFERROR(
IF(VLOOKUP($A727, YES_Reading_ELA[], COLUMN(INDIRECT("YES_Reading_ELA[Max Expectation - Per "&amp;VLOOKUP($D$2, 'Reading Report Logic'!$A$2:$B$8,2,FALSE)&amp;"]")), FALSE)="", "",
VLOOKUP($A727,YES_Reading_ELA[],COLUMN(INDIRECT("YES_Reading_ELA[Max Expectation - Per "&amp;VLOOKUP($D$2,'Reading Report Logic'!$A$2:$B$8,2,FALSE)&amp;"]")),FALSE)),
IF(VLOOKUP($A727, YES_Reading_FLA[], COLUMN(INDIRECT("YES_Reading_FLA[Max Expectation - Per "&amp;VLOOKUP($D$2, 'Reading Report Logic'!$A$2:$B$8, 2, FALSE)&amp;"]")),FALSE)="", "", VLOOKUP($A727,YES_Reading_FLA[],COLUMN(INDIRECT("YES_Reading_FLA[Max Expectation - Per "&amp;VLOOKUP($D$2, 'Reading Report Logic'!$A$2:$B$8, 2, FALSE)&amp;"]")),FALSE))),""))),"")</f>
        <v/>
      </c>
      <c r="G727" s="205" t="str" cm="1">
        <f t="array" aca="1" ref="G727" ca="1">IFERROR(
IF($J$2="ELA",
IF(VLOOKUP($A727, YES_Reading_ELA[], COLUMN(INDIRECT("YES_Reading_ELA[Difference - Per "&amp;VLOOKUP($D$2, 'Reading Report Logic'!$A$2:$B$8, 2, FALSE)&amp;"]")), FALSE)="", "",
VLOOKUP($A727,YES_Reading_ELA[], COLUMN(INDIRECT("YES_Reading_ELA[Difference - Per "&amp;VLOOKUP($D$2,'Reading Report Logic'!$A$2:$B$8,2,FALSE)&amp;"]")), FALSE)),
IF($J$2="FLA",
IF(VLOOKUP($A727, YES_Reading_FLA[], COLUMN(INDIRECT("YES_Reading_FLA[Difference - Per "&amp;VLOOKUP($D$2,'Reading Report Logic'!$A$2:$B$8,2,FALSE)&amp;"]")),FALSE)="","",
VLOOKUP($A727,YES_Reading_FLA[],COLUMN(INDIRECT("YES_Reading_FLA[Difference - Per "&amp;VLOOKUP($D$2,'Reading Report Logic'!$A$2:$B$8,2,FALSE)&amp;"]")),FALSE)),
IF($J$2="Combined",
IFERROR(
IF(VLOOKUP($A727, YES_Reading_ELA[], COLUMN(INDIRECT("YES_Reading_ELA[Difference - Per "&amp;VLOOKUP($D$2, 'Reading Report Logic'!$A$2:$B$8,2,FALSE)&amp;"]")), FALSE)="", "",
VLOOKUP($A727,YES_Reading_ELA[],COLUMN(INDIRECT("YES_Reading_ELA[Difference - Per "&amp;VLOOKUP($D$2,'Reading Report Logic'!$A$2:$B$8,2,FALSE)&amp;"]")),FALSE)),
IF(VLOOKUP($A727, YES_Reading_FLA[], COLUMN(INDIRECT("YES_Reading_FLA[Difference - Per "&amp;VLOOKUP($D$2, 'Reading Report Logic'!$A$2:$B$8, 2, FALSE)&amp;"]")),FALSE)="", "", VLOOKUP($A727,YES_Reading_FLA[],COLUMN(INDIRECT("YES_Reading_FLA[Difference - Per "&amp;VLOOKUP($D$2, 'Reading Report Logic'!$A$2:$B$8, 2, FALSE)&amp;"]")),FALSE))),""))),"")</f>
        <v/>
      </c>
      <c r="H727" s="206" t="str">
        <f ca="1">IFERROR(VLOOKUP('Teacher Reading Pull Sheets'!$D727,_xlfn.VSTACK('ELA Reading Logic'!$A$22:$B$48,'FLA Reading Logic'!$A$22:$B$53),2,FALSE)-VLOOKUP('Teacher Reading Pull Sheets'!$C727,_xlfn.VSTACK('ELA Reading Logic'!$A$22:$B$48,'FLA Reading Logic'!$A$22:$B$53),2,FALSE),"")</f>
        <v/>
      </c>
      <c r="I727" s="212"/>
      <c r="J727" s="206"/>
      <c r="K727" s="197" t="str" cm="1">
        <f t="array" ref="K727">IFERROR(
IF($J$2="ELA",
IF(VLOOKUP($A727, YES_Reading_ELA[], COLUMN(YES_Reading_ELA[Self-Identified as African Descent]), FALSE)="", "",
VLOOKUP($A727,YES_Reading_ELA[], COLUMN(YES_Reading_ELA[Self-Identified as African Descent]), FALSE)),
IF($J$2="FLA",
IF(VLOOKUP($A727, YES_Reading_FLA[], COLUMN(YES_Reading_FLA[Self-Identified as African Descent]),FALSE)="","",
VLOOKUP($A727,YES_Reading_FLA[],COLUMN(YES_Reading_FLA[Self-Identified as African Descent]),FALSE)),
IF($J$2="Combined",
IFERROR(
IF(VLOOKUP($A727, YES_Reading_ELA[], COLUMN(YES_Reading_ELA[Self-Identified as African Descent]), FALSE)="", "",
VLOOKUP($A727,YES_Reading_ELA[],COLUMN(YES_Reading_ELA[Self-Identified as African Descent]),FALSE)),
IF(VLOOKUP($A727, YES_Reading_FLA[], COLUMN(YES_Reading_FLA[Self-Identified as African Descent]),FALSE)="", "", VLOOKUP($A727,YES_Reading_FLA[],COLUMN(YES_Reading_FLA[Self-Identified as African Descent]),FALSE))),""))),"")</f>
        <v/>
      </c>
      <c r="L727" s="73" t="str" cm="1">
        <f t="array" ref="L727">IFERROR(
IF($J$2="ELA",
IF(VLOOKUP($A727, YES_Reading_ELA[], COLUMN(YES_Reading_ELA[Self-Identified as Indigenous]), FALSE)="", "",
VLOOKUP($A727,YES_Reading_ELA[], COLUMN(YES_Reading_ELA[Self-Identified as Indigenous]), FALSE)),
IF($J$2="FLA",
IF(VLOOKUP($A727, YES_Reading_FLA[], COLUMN(YES_Reading_FLA[Self-Identified as Indigenous]),FALSE)="","",
VLOOKUP($A727,YES_Reading_FLA[],COLUMN(YES_Reading_FLA[Self-Identified as Indigenous]),FALSE)),
IF($J$2="Combined",
IFERROR(
IF(VLOOKUP($A727, YES_Reading_ELA[], COLUMN(YES_Reading_ELA[Self-Identified as Indigenous]), FALSE)="", "",
VLOOKUP($A727,YES_Reading_ELA[],COLUMN(YES_Reading_ELA[Self-Identified as Indigenous]),FALSE)),
IF(VLOOKUP($A727, YES_Reading_FLA[], COLUMN(YES_Reading_FLA[Self-Identified as Indigenous]),FALSE)="", "", VLOOKUP($A727,YES_Reading_FLA[],COLUMN(YES_Reading_FLA[Self-Identified as Indigenous]),FALSE))),""))),"")</f>
        <v/>
      </c>
    </row>
    <row r="728" spans="1:12" ht="19.5" customHeight="1" x14ac:dyDescent="0.25">
      <c r="A728" s="217"/>
      <c r="B728" s="220" t="str">
        <f>IFERROR(VLOOKUP(A728,_xlfn.VSTACK(YES_Reading_ELA[],YES_Reading_FLA[]),2,FALSE),"")</f>
        <v/>
      </c>
      <c r="C728" s="203" t="str" cm="1">
        <f t="array" aca="1" ref="C728" ca="1">IFERROR(
IF($J$2="ELA",
IF(VLOOKUP($A728, YES_Reading_ELA[], COLUMN(IF(VLOOKUP($D$2, 'Reading Report Logic'!$A$2:$B$8, 2, FALSE)=1, YES_Reading_ELA[Reading Level June of Previous School Year], INDIRECT("YES_Reading_ELA[Instructional Reading Level - Per "&amp;(VLOOKUP($D$2,'Reading Report Logic'!$A$2:$B$8,2,FALSE)-1)&amp;"]"))), FALSE)="", "",
VLOOKUP($A728,YES_Reading_ELA[], COLUMN(IF(VLOOKUP($D$2,'Reading Report Logic'!$A$2:$B$8,2,FALSE)=1, YES_Reading_ELA[Reading Level June of Previous School Year],INDIRECT("YES_Reading_ELA[Instructional Reading Level - Per "&amp;(VLOOKUP($D$2,'Reading Report Logic'!$A$2:$B$8,2,FALSE)-1)&amp;"]"))), FALSE)),
IF($J$2="FLA",
IF(VLOOKUP($A728, YES_Reading_FLA[], COLUMN(IF(VLOOKUP($D$2,'Reading Report Logic'!$A$2:$B$8,2,FALSE)=1, YES_Reading_FLA[Reading Level June of Previous School Year],INDIRECT("YES_Reading_FLA[Instructional Reading Level - Per "&amp;(VLOOKUP($D$2,'Reading Report Logic'!$A$2:$B$8,2,FALSE)-1)&amp;"]"))),FALSE)="","",
VLOOKUP($A728,YES_Reading_FLA[], COLUMN(IF(VLOOKUP($D$2,'Reading Report Logic'!$A$2:$B$8,2,FALSE)=1, YES_Reading_FLA[Reading Level June of Previous School Year],INDIRECT("YES_Reading_FLA[Instructional Reading Level - Per "&amp;(VLOOKUP($D$2,'Reading Report Logic'!$A$2:$B$8,2,FALSE)-1)&amp;"]"))),FALSE)),
IF($J$2="Combined",
IFERROR(
IF(VLOOKUP($A728, YES_Reading_ELA[], COLUMN(IF(VLOOKUP($D$2,'Reading Report Logic'!$A$2:$B$8,2,FALSE)=1, YES_Reading_ELA[Reading Level June of Previous School Year],INDIRECT("YES_Reading_ELA[Instructional Reading Level - Per "&amp;(VLOOKUP($D$2,'Reading Report Logic'!$A$2:$B$8,2,FALSE)-1)&amp;"]"))), FALSE)="", "",
VLOOKUP($A728,YES_Reading_ELA[],COLUMN(IF(VLOOKUP($D$2,'Reading Report Logic'!$A$2:$B$8,2,FALSE)=1, YES_Reading_ELA[Reading Level June of Previous School Year],INDIRECT("YES_Reading_ELA[Instructional Reading Level - Per "&amp;(VLOOKUP($D$2,'Reading Report Logic'!$A$2:$B$8,2,FALSE)-1)&amp;"]"))),FALSE)),
IF(VLOOKUP($A728, YES_Reading_FLA[], COLUMN(IF(VLOOKUP($D$2,'Reading Report Logic'!$A$2:$B$8,2,FALSE)=1, YES_Reading_FLA[Reading Level June of Previous School Year],INDIRECT("YES_Reading_FLA[Instructional Reading Level - Per "&amp;(VLOOKUP($D$2,'Reading Report Logic'!$A$2:$B$8,2,FALSE)-1)&amp;"]"))),FALSE)="", "", VLOOKUP($A728,YES_Reading_FLA[],COLUMN(IF(VLOOKUP($D$2,'Reading Report Logic'!$A$2:$B$8,2,FALSE)=1, YES_Reading_FLA[Reading Level June of Previous School Year],INDIRECT("YES_Reading_FLA[Instructional Reading Level - Per "&amp;(VLOOKUP($D$2,'Reading Report Logic'!$A$2:$B$8,2,FALSE)-1)&amp;"]"))), FALSE))),""))),"")</f>
        <v/>
      </c>
      <c r="D728" s="204" t="str" cm="1">
        <f t="array" aca="1" ref="D728" ca="1">IFERROR(
IF($J$2="ELA",
IF(VLOOKUP($A728, YES_Reading_ELA[], COLUMN(INDIRECT("YES_Reading_ELA[Instructional Reading Level - Per "&amp;VLOOKUP($D$2, 'Reading Report Logic'!$A$2:$B$8, 2, FALSE)&amp;"]")), FALSE)="", "",
VLOOKUP($A728,YES_Reading_ELA[], COLUMN(INDIRECT("YES_Reading_ELA[Instructional Reading Level - Per "&amp;VLOOKUP($D$2,'Reading Report Logic'!$A$2:$B$8,2,FALSE)&amp;"]")), FALSE)),
IF($J$2="FLA",
IF(VLOOKUP($A728, YES_Reading_FLA[], COLUMN(INDIRECT("YES_Reading_FLA[Instructional Reading Level - Per "&amp;VLOOKUP($D$2,'Reading Report Logic'!$A$2:$B$8,2,FALSE)&amp;"]")),FALSE)="","",
VLOOKUP($A728,YES_Reading_FLA[],COLUMN(INDIRECT("YES_Reading_FLA[Instructional Reading Level - Per "&amp;VLOOKUP($D$2,'Reading Report Logic'!$A$2:$B$8,2,FALSE)&amp;"]")),FALSE)),
IF($J$2="Combined",
IFERROR(
IF(VLOOKUP($A728, YES_Reading_ELA[], COLUMN(INDIRECT("YES_Reading_ELA[Instructional Reading Level - Per "&amp;VLOOKUP($D$2, 'Reading Report Logic'!$A$2:$B$8,2,FALSE)&amp;"]")), FALSE)="", "",
VLOOKUP($A728,YES_Reading_ELA[],COLUMN(INDIRECT("YES_Reading_ELA[Instructional Reading Level - Per "&amp;VLOOKUP($D$2,'Reading Report Logic'!$A$2:$B$8,2,FALSE)&amp;"]")),FALSE)),
IF(VLOOKUP($A728, YES_Reading_FLA[], COLUMN(INDIRECT("YES_Reading_FLA[Instructional Reading Level - Per "&amp;VLOOKUP($D$2, 'Reading Report Logic'!$A$2:$B$8, 2, FALSE)&amp;"]")),FALSE)="", "", VLOOKUP($A728,YES_Reading_FLA[],COLUMN(INDIRECT("YES_Reading_FLA[Instructional Reading Level - Per "&amp;VLOOKUP($D$2, 'Reading Report Logic'!$A$2:$B$8, 2, FALSE)&amp;"]")),FALSE))),""))),"")</f>
        <v/>
      </c>
      <c r="E728" s="205" t="str" cm="1">
        <f t="array" aca="1" ref="E728" ca="1">IFERROR(
IF($J$2="ELA",
IF(VLOOKUP($A728, YES_Reading_ELA[], COLUMN(INDIRECT("YES_Reading_ELA[Min Expectation - Per "&amp;VLOOKUP($D$2, 'Reading Report Logic'!$A$2:$B$8, 2, FALSE)&amp;"]")), FALSE)="", "",
VLOOKUP($A728,YES_Reading_ELA[], COLUMN(INDIRECT("YES_Reading_ELA[Min Expectation - Per "&amp;VLOOKUP($D$2,'Reading Report Logic'!$A$2:$B$8,2,FALSE)&amp;"]")), FALSE)),
IF($J$2="FLA",
IF(VLOOKUP($A728, YES_Reading_FLA[], COLUMN(INDIRECT("YES_Reading_FLA[Min Expectation - Per "&amp;VLOOKUP($D$2,'Reading Report Logic'!$A$2:$B$8,2,FALSE)&amp;"]")),FALSE)="","",
VLOOKUP($A728,YES_Reading_FLA[],COLUMN(INDIRECT("YES_Reading_FLA[Min Expectation - Per "&amp;VLOOKUP($D$2,'Reading Report Logic'!$A$2:$B$8,2,FALSE)&amp;"]")),FALSE)),
IF($J$2="Combined",
IFERROR(
IF(VLOOKUP($A728, YES_Reading_ELA[], COLUMN(INDIRECT("YES_Reading_ELA[Min Expectation - Per "&amp;VLOOKUP($D$2, 'Reading Report Logic'!$A$2:$B$8,2,FALSE)&amp;"]")), FALSE)="", "",
VLOOKUP($A728,YES_Reading_ELA[],COLUMN(INDIRECT("YES_Reading_ELA[Min Expectation - Per "&amp;VLOOKUP($D$2,'Reading Report Logic'!$A$2:$B$8,2,FALSE)&amp;"]")),FALSE)),
IF(VLOOKUP($A728, YES_Reading_FLA[], COLUMN(INDIRECT("YES_Reading_FLA[Min Expectation - Per "&amp;VLOOKUP($D$2, 'Reading Report Logic'!$A$2:$B$8, 2, FALSE)&amp;"]")),FALSE)="", "", VLOOKUP($A728,YES_Reading_FLA[],COLUMN(INDIRECT("YES_Reading_FLA[Min Expectation - Per "&amp;VLOOKUP($D$2, 'Reading Report Logic'!$A$2:$B$8, 2, FALSE)&amp;"]")),FALSE))),""))),"")</f>
        <v/>
      </c>
      <c r="F728" s="205" t="str" cm="1">
        <f t="array" aca="1" ref="F728" ca="1">IFERROR(
IF($J$2="ELA",
IF(VLOOKUP($A728, YES_Reading_ELA[], COLUMN(INDIRECT("YES_Reading_ELA[Max Expectation - Per "&amp;VLOOKUP($D$2, 'Reading Report Logic'!$A$2:$B$8, 2, FALSE)&amp;"]")), FALSE)="", "",
VLOOKUP($A728,YES_Reading_ELA[], COLUMN(INDIRECT("YES_Reading_ELA[Max Expectation - Per "&amp;VLOOKUP($D$2,'Reading Report Logic'!$A$2:$B$8,2,FALSE)&amp;"]")), FALSE)),
IF($J$2="FLA",
IF(VLOOKUP($A728, YES_Reading_FLA[], COLUMN(INDIRECT("YES_Reading_FLA[Max Expectation - Per "&amp;VLOOKUP($D$2,'Reading Report Logic'!$A$2:$B$8,2,FALSE)&amp;"]")),FALSE)="","",
VLOOKUP($A728,YES_Reading_FLA[],COLUMN(INDIRECT("YES_Reading_FLA[Max Expectation - Per "&amp;VLOOKUP($D$2,'Reading Report Logic'!$A$2:$B$8,2,FALSE)&amp;"]")),FALSE)),
IF($J$2="Combined",
IFERROR(
IF(VLOOKUP($A728, YES_Reading_ELA[], COLUMN(INDIRECT("YES_Reading_ELA[Max Expectation - Per "&amp;VLOOKUP($D$2, 'Reading Report Logic'!$A$2:$B$8,2,FALSE)&amp;"]")), FALSE)="", "",
VLOOKUP($A728,YES_Reading_ELA[],COLUMN(INDIRECT("YES_Reading_ELA[Max Expectation - Per "&amp;VLOOKUP($D$2,'Reading Report Logic'!$A$2:$B$8,2,FALSE)&amp;"]")),FALSE)),
IF(VLOOKUP($A728, YES_Reading_FLA[], COLUMN(INDIRECT("YES_Reading_FLA[Max Expectation - Per "&amp;VLOOKUP($D$2, 'Reading Report Logic'!$A$2:$B$8, 2, FALSE)&amp;"]")),FALSE)="", "", VLOOKUP($A728,YES_Reading_FLA[],COLUMN(INDIRECT("YES_Reading_FLA[Max Expectation - Per "&amp;VLOOKUP($D$2, 'Reading Report Logic'!$A$2:$B$8, 2, FALSE)&amp;"]")),FALSE))),""))),"")</f>
        <v/>
      </c>
      <c r="G728" s="205" t="str" cm="1">
        <f t="array" aca="1" ref="G728" ca="1">IFERROR(
IF($J$2="ELA",
IF(VLOOKUP($A728, YES_Reading_ELA[], COLUMN(INDIRECT("YES_Reading_ELA[Difference - Per "&amp;VLOOKUP($D$2, 'Reading Report Logic'!$A$2:$B$8, 2, FALSE)&amp;"]")), FALSE)="", "",
VLOOKUP($A728,YES_Reading_ELA[], COLUMN(INDIRECT("YES_Reading_ELA[Difference - Per "&amp;VLOOKUP($D$2,'Reading Report Logic'!$A$2:$B$8,2,FALSE)&amp;"]")), FALSE)),
IF($J$2="FLA",
IF(VLOOKUP($A728, YES_Reading_FLA[], COLUMN(INDIRECT("YES_Reading_FLA[Difference - Per "&amp;VLOOKUP($D$2,'Reading Report Logic'!$A$2:$B$8,2,FALSE)&amp;"]")),FALSE)="","",
VLOOKUP($A728,YES_Reading_FLA[],COLUMN(INDIRECT("YES_Reading_FLA[Difference - Per "&amp;VLOOKUP($D$2,'Reading Report Logic'!$A$2:$B$8,2,FALSE)&amp;"]")),FALSE)),
IF($J$2="Combined",
IFERROR(
IF(VLOOKUP($A728, YES_Reading_ELA[], COLUMN(INDIRECT("YES_Reading_ELA[Difference - Per "&amp;VLOOKUP($D$2, 'Reading Report Logic'!$A$2:$B$8,2,FALSE)&amp;"]")), FALSE)="", "",
VLOOKUP($A728,YES_Reading_ELA[],COLUMN(INDIRECT("YES_Reading_ELA[Difference - Per "&amp;VLOOKUP($D$2,'Reading Report Logic'!$A$2:$B$8,2,FALSE)&amp;"]")),FALSE)),
IF(VLOOKUP($A728, YES_Reading_FLA[], COLUMN(INDIRECT("YES_Reading_FLA[Difference - Per "&amp;VLOOKUP($D$2, 'Reading Report Logic'!$A$2:$B$8, 2, FALSE)&amp;"]")),FALSE)="", "", VLOOKUP($A728,YES_Reading_FLA[],COLUMN(INDIRECT("YES_Reading_FLA[Difference - Per "&amp;VLOOKUP($D$2, 'Reading Report Logic'!$A$2:$B$8, 2, FALSE)&amp;"]")),FALSE))),""))),"")</f>
        <v/>
      </c>
      <c r="H728" s="206" t="str">
        <f ca="1">IFERROR(VLOOKUP('Teacher Reading Pull Sheets'!$D728,_xlfn.VSTACK('ELA Reading Logic'!$A$22:$B$48,'FLA Reading Logic'!$A$22:$B$53),2,FALSE)-VLOOKUP('Teacher Reading Pull Sheets'!$C728,_xlfn.VSTACK('ELA Reading Logic'!$A$22:$B$48,'FLA Reading Logic'!$A$22:$B$53),2,FALSE),"")</f>
        <v/>
      </c>
      <c r="I728" s="212"/>
      <c r="J728" s="206"/>
      <c r="K728" s="197" t="str" cm="1">
        <f t="array" ref="K728">IFERROR(
IF($J$2="ELA",
IF(VLOOKUP($A728, YES_Reading_ELA[], COLUMN(YES_Reading_ELA[Self-Identified as African Descent]), FALSE)="", "",
VLOOKUP($A728,YES_Reading_ELA[], COLUMN(YES_Reading_ELA[Self-Identified as African Descent]), FALSE)),
IF($J$2="FLA",
IF(VLOOKUP($A728, YES_Reading_FLA[], COLUMN(YES_Reading_FLA[Self-Identified as African Descent]),FALSE)="","",
VLOOKUP($A728,YES_Reading_FLA[],COLUMN(YES_Reading_FLA[Self-Identified as African Descent]),FALSE)),
IF($J$2="Combined",
IFERROR(
IF(VLOOKUP($A728, YES_Reading_ELA[], COLUMN(YES_Reading_ELA[Self-Identified as African Descent]), FALSE)="", "",
VLOOKUP($A728,YES_Reading_ELA[],COLUMN(YES_Reading_ELA[Self-Identified as African Descent]),FALSE)),
IF(VLOOKUP($A728, YES_Reading_FLA[], COLUMN(YES_Reading_FLA[Self-Identified as African Descent]),FALSE)="", "", VLOOKUP($A728,YES_Reading_FLA[],COLUMN(YES_Reading_FLA[Self-Identified as African Descent]),FALSE))),""))),"")</f>
        <v/>
      </c>
      <c r="L728" s="73" t="str" cm="1">
        <f t="array" ref="L728">IFERROR(
IF($J$2="ELA",
IF(VLOOKUP($A728, YES_Reading_ELA[], COLUMN(YES_Reading_ELA[Self-Identified as Indigenous]), FALSE)="", "",
VLOOKUP($A728,YES_Reading_ELA[], COLUMN(YES_Reading_ELA[Self-Identified as Indigenous]), FALSE)),
IF($J$2="FLA",
IF(VLOOKUP($A728, YES_Reading_FLA[], COLUMN(YES_Reading_FLA[Self-Identified as Indigenous]),FALSE)="","",
VLOOKUP($A728,YES_Reading_FLA[],COLUMN(YES_Reading_FLA[Self-Identified as Indigenous]),FALSE)),
IF($J$2="Combined",
IFERROR(
IF(VLOOKUP($A728, YES_Reading_ELA[], COLUMN(YES_Reading_ELA[Self-Identified as Indigenous]), FALSE)="", "",
VLOOKUP($A728,YES_Reading_ELA[],COLUMN(YES_Reading_ELA[Self-Identified as Indigenous]),FALSE)),
IF(VLOOKUP($A728, YES_Reading_FLA[], COLUMN(YES_Reading_FLA[Self-Identified as Indigenous]),FALSE)="", "", VLOOKUP($A728,YES_Reading_FLA[],COLUMN(YES_Reading_FLA[Self-Identified as Indigenous]),FALSE))),""))),"")</f>
        <v/>
      </c>
    </row>
    <row r="729" spans="1:12" ht="19.5" customHeight="1" x14ac:dyDescent="0.25">
      <c r="A729" s="217"/>
      <c r="B729" s="220" t="str">
        <f>IFERROR(VLOOKUP(A729,_xlfn.VSTACK(YES_Reading_ELA[],YES_Reading_FLA[]),2,FALSE),"")</f>
        <v/>
      </c>
      <c r="C729" s="203" t="str" cm="1">
        <f t="array" aca="1" ref="C729" ca="1">IFERROR(
IF($J$2="ELA",
IF(VLOOKUP($A729, YES_Reading_ELA[], COLUMN(IF(VLOOKUP($D$2, 'Reading Report Logic'!$A$2:$B$8, 2, FALSE)=1, YES_Reading_ELA[Reading Level June of Previous School Year], INDIRECT("YES_Reading_ELA[Instructional Reading Level - Per "&amp;(VLOOKUP($D$2,'Reading Report Logic'!$A$2:$B$8,2,FALSE)-1)&amp;"]"))), FALSE)="", "",
VLOOKUP($A729,YES_Reading_ELA[], COLUMN(IF(VLOOKUP($D$2,'Reading Report Logic'!$A$2:$B$8,2,FALSE)=1, YES_Reading_ELA[Reading Level June of Previous School Year],INDIRECT("YES_Reading_ELA[Instructional Reading Level - Per "&amp;(VLOOKUP($D$2,'Reading Report Logic'!$A$2:$B$8,2,FALSE)-1)&amp;"]"))), FALSE)),
IF($J$2="FLA",
IF(VLOOKUP($A729, YES_Reading_FLA[], COLUMN(IF(VLOOKUP($D$2,'Reading Report Logic'!$A$2:$B$8,2,FALSE)=1, YES_Reading_FLA[Reading Level June of Previous School Year],INDIRECT("YES_Reading_FLA[Instructional Reading Level - Per "&amp;(VLOOKUP($D$2,'Reading Report Logic'!$A$2:$B$8,2,FALSE)-1)&amp;"]"))),FALSE)="","",
VLOOKUP($A729,YES_Reading_FLA[], COLUMN(IF(VLOOKUP($D$2,'Reading Report Logic'!$A$2:$B$8,2,FALSE)=1, YES_Reading_FLA[Reading Level June of Previous School Year],INDIRECT("YES_Reading_FLA[Instructional Reading Level - Per "&amp;(VLOOKUP($D$2,'Reading Report Logic'!$A$2:$B$8,2,FALSE)-1)&amp;"]"))),FALSE)),
IF($J$2="Combined",
IFERROR(
IF(VLOOKUP($A729, YES_Reading_ELA[], COLUMN(IF(VLOOKUP($D$2,'Reading Report Logic'!$A$2:$B$8,2,FALSE)=1, YES_Reading_ELA[Reading Level June of Previous School Year],INDIRECT("YES_Reading_ELA[Instructional Reading Level - Per "&amp;(VLOOKUP($D$2,'Reading Report Logic'!$A$2:$B$8,2,FALSE)-1)&amp;"]"))), FALSE)="", "",
VLOOKUP($A729,YES_Reading_ELA[],COLUMN(IF(VLOOKUP($D$2,'Reading Report Logic'!$A$2:$B$8,2,FALSE)=1, YES_Reading_ELA[Reading Level June of Previous School Year],INDIRECT("YES_Reading_ELA[Instructional Reading Level - Per "&amp;(VLOOKUP($D$2,'Reading Report Logic'!$A$2:$B$8,2,FALSE)-1)&amp;"]"))),FALSE)),
IF(VLOOKUP($A729, YES_Reading_FLA[], COLUMN(IF(VLOOKUP($D$2,'Reading Report Logic'!$A$2:$B$8,2,FALSE)=1, YES_Reading_FLA[Reading Level June of Previous School Year],INDIRECT("YES_Reading_FLA[Instructional Reading Level - Per "&amp;(VLOOKUP($D$2,'Reading Report Logic'!$A$2:$B$8,2,FALSE)-1)&amp;"]"))),FALSE)="", "", VLOOKUP($A729,YES_Reading_FLA[],COLUMN(IF(VLOOKUP($D$2,'Reading Report Logic'!$A$2:$B$8,2,FALSE)=1, YES_Reading_FLA[Reading Level June of Previous School Year],INDIRECT("YES_Reading_FLA[Instructional Reading Level - Per "&amp;(VLOOKUP($D$2,'Reading Report Logic'!$A$2:$B$8,2,FALSE)-1)&amp;"]"))), FALSE))),""))),"")</f>
        <v/>
      </c>
      <c r="D729" s="204" t="str" cm="1">
        <f t="array" aca="1" ref="D729" ca="1">IFERROR(
IF($J$2="ELA",
IF(VLOOKUP($A729, YES_Reading_ELA[], COLUMN(INDIRECT("YES_Reading_ELA[Instructional Reading Level - Per "&amp;VLOOKUP($D$2, 'Reading Report Logic'!$A$2:$B$8, 2, FALSE)&amp;"]")), FALSE)="", "",
VLOOKUP($A729,YES_Reading_ELA[], COLUMN(INDIRECT("YES_Reading_ELA[Instructional Reading Level - Per "&amp;VLOOKUP($D$2,'Reading Report Logic'!$A$2:$B$8,2,FALSE)&amp;"]")), FALSE)),
IF($J$2="FLA",
IF(VLOOKUP($A729, YES_Reading_FLA[], COLUMN(INDIRECT("YES_Reading_FLA[Instructional Reading Level - Per "&amp;VLOOKUP($D$2,'Reading Report Logic'!$A$2:$B$8,2,FALSE)&amp;"]")),FALSE)="","",
VLOOKUP($A729,YES_Reading_FLA[],COLUMN(INDIRECT("YES_Reading_FLA[Instructional Reading Level - Per "&amp;VLOOKUP($D$2,'Reading Report Logic'!$A$2:$B$8,2,FALSE)&amp;"]")),FALSE)),
IF($J$2="Combined",
IFERROR(
IF(VLOOKUP($A729, YES_Reading_ELA[], COLUMN(INDIRECT("YES_Reading_ELA[Instructional Reading Level - Per "&amp;VLOOKUP($D$2, 'Reading Report Logic'!$A$2:$B$8,2,FALSE)&amp;"]")), FALSE)="", "",
VLOOKUP($A729,YES_Reading_ELA[],COLUMN(INDIRECT("YES_Reading_ELA[Instructional Reading Level - Per "&amp;VLOOKUP($D$2,'Reading Report Logic'!$A$2:$B$8,2,FALSE)&amp;"]")),FALSE)),
IF(VLOOKUP($A729, YES_Reading_FLA[], COLUMN(INDIRECT("YES_Reading_FLA[Instructional Reading Level - Per "&amp;VLOOKUP($D$2, 'Reading Report Logic'!$A$2:$B$8, 2, FALSE)&amp;"]")),FALSE)="", "", VLOOKUP($A729,YES_Reading_FLA[],COLUMN(INDIRECT("YES_Reading_FLA[Instructional Reading Level - Per "&amp;VLOOKUP($D$2, 'Reading Report Logic'!$A$2:$B$8, 2, FALSE)&amp;"]")),FALSE))),""))),"")</f>
        <v/>
      </c>
      <c r="E729" s="205" t="str" cm="1">
        <f t="array" aca="1" ref="E729" ca="1">IFERROR(
IF($J$2="ELA",
IF(VLOOKUP($A729, YES_Reading_ELA[], COLUMN(INDIRECT("YES_Reading_ELA[Min Expectation - Per "&amp;VLOOKUP($D$2, 'Reading Report Logic'!$A$2:$B$8, 2, FALSE)&amp;"]")), FALSE)="", "",
VLOOKUP($A729,YES_Reading_ELA[], COLUMN(INDIRECT("YES_Reading_ELA[Min Expectation - Per "&amp;VLOOKUP($D$2,'Reading Report Logic'!$A$2:$B$8,2,FALSE)&amp;"]")), FALSE)),
IF($J$2="FLA",
IF(VLOOKUP($A729, YES_Reading_FLA[], COLUMN(INDIRECT("YES_Reading_FLA[Min Expectation - Per "&amp;VLOOKUP($D$2,'Reading Report Logic'!$A$2:$B$8,2,FALSE)&amp;"]")),FALSE)="","",
VLOOKUP($A729,YES_Reading_FLA[],COLUMN(INDIRECT("YES_Reading_FLA[Min Expectation - Per "&amp;VLOOKUP($D$2,'Reading Report Logic'!$A$2:$B$8,2,FALSE)&amp;"]")),FALSE)),
IF($J$2="Combined",
IFERROR(
IF(VLOOKUP($A729, YES_Reading_ELA[], COLUMN(INDIRECT("YES_Reading_ELA[Min Expectation - Per "&amp;VLOOKUP($D$2, 'Reading Report Logic'!$A$2:$B$8,2,FALSE)&amp;"]")), FALSE)="", "",
VLOOKUP($A729,YES_Reading_ELA[],COLUMN(INDIRECT("YES_Reading_ELA[Min Expectation - Per "&amp;VLOOKUP($D$2,'Reading Report Logic'!$A$2:$B$8,2,FALSE)&amp;"]")),FALSE)),
IF(VLOOKUP($A729, YES_Reading_FLA[], COLUMN(INDIRECT("YES_Reading_FLA[Min Expectation - Per "&amp;VLOOKUP($D$2, 'Reading Report Logic'!$A$2:$B$8, 2, FALSE)&amp;"]")),FALSE)="", "", VLOOKUP($A729,YES_Reading_FLA[],COLUMN(INDIRECT("YES_Reading_FLA[Min Expectation - Per "&amp;VLOOKUP($D$2, 'Reading Report Logic'!$A$2:$B$8, 2, FALSE)&amp;"]")),FALSE))),""))),"")</f>
        <v/>
      </c>
      <c r="F729" s="205" t="str" cm="1">
        <f t="array" aca="1" ref="F729" ca="1">IFERROR(
IF($J$2="ELA",
IF(VLOOKUP($A729, YES_Reading_ELA[], COLUMN(INDIRECT("YES_Reading_ELA[Max Expectation - Per "&amp;VLOOKUP($D$2, 'Reading Report Logic'!$A$2:$B$8, 2, FALSE)&amp;"]")), FALSE)="", "",
VLOOKUP($A729,YES_Reading_ELA[], COLUMN(INDIRECT("YES_Reading_ELA[Max Expectation - Per "&amp;VLOOKUP($D$2,'Reading Report Logic'!$A$2:$B$8,2,FALSE)&amp;"]")), FALSE)),
IF($J$2="FLA",
IF(VLOOKUP($A729, YES_Reading_FLA[], COLUMN(INDIRECT("YES_Reading_FLA[Max Expectation - Per "&amp;VLOOKUP($D$2,'Reading Report Logic'!$A$2:$B$8,2,FALSE)&amp;"]")),FALSE)="","",
VLOOKUP($A729,YES_Reading_FLA[],COLUMN(INDIRECT("YES_Reading_FLA[Max Expectation - Per "&amp;VLOOKUP($D$2,'Reading Report Logic'!$A$2:$B$8,2,FALSE)&amp;"]")),FALSE)),
IF($J$2="Combined",
IFERROR(
IF(VLOOKUP($A729, YES_Reading_ELA[], COLUMN(INDIRECT("YES_Reading_ELA[Max Expectation - Per "&amp;VLOOKUP($D$2, 'Reading Report Logic'!$A$2:$B$8,2,FALSE)&amp;"]")), FALSE)="", "",
VLOOKUP($A729,YES_Reading_ELA[],COLUMN(INDIRECT("YES_Reading_ELA[Max Expectation - Per "&amp;VLOOKUP($D$2,'Reading Report Logic'!$A$2:$B$8,2,FALSE)&amp;"]")),FALSE)),
IF(VLOOKUP($A729, YES_Reading_FLA[], COLUMN(INDIRECT("YES_Reading_FLA[Max Expectation - Per "&amp;VLOOKUP($D$2, 'Reading Report Logic'!$A$2:$B$8, 2, FALSE)&amp;"]")),FALSE)="", "", VLOOKUP($A729,YES_Reading_FLA[],COLUMN(INDIRECT("YES_Reading_FLA[Max Expectation - Per "&amp;VLOOKUP($D$2, 'Reading Report Logic'!$A$2:$B$8, 2, FALSE)&amp;"]")),FALSE))),""))),"")</f>
        <v/>
      </c>
      <c r="G729" s="205" t="str" cm="1">
        <f t="array" aca="1" ref="G729" ca="1">IFERROR(
IF($J$2="ELA",
IF(VLOOKUP($A729, YES_Reading_ELA[], COLUMN(INDIRECT("YES_Reading_ELA[Difference - Per "&amp;VLOOKUP($D$2, 'Reading Report Logic'!$A$2:$B$8, 2, FALSE)&amp;"]")), FALSE)="", "",
VLOOKUP($A729,YES_Reading_ELA[], COLUMN(INDIRECT("YES_Reading_ELA[Difference - Per "&amp;VLOOKUP($D$2,'Reading Report Logic'!$A$2:$B$8,2,FALSE)&amp;"]")), FALSE)),
IF($J$2="FLA",
IF(VLOOKUP($A729, YES_Reading_FLA[], COLUMN(INDIRECT("YES_Reading_FLA[Difference - Per "&amp;VLOOKUP($D$2,'Reading Report Logic'!$A$2:$B$8,2,FALSE)&amp;"]")),FALSE)="","",
VLOOKUP($A729,YES_Reading_FLA[],COLUMN(INDIRECT("YES_Reading_FLA[Difference - Per "&amp;VLOOKUP($D$2,'Reading Report Logic'!$A$2:$B$8,2,FALSE)&amp;"]")),FALSE)),
IF($J$2="Combined",
IFERROR(
IF(VLOOKUP($A729, YES_Reading_ELA[], COLUMN(INDIRECT("YES_Reading_ELA[Difference - Per "&amp;VLOOKUP($D$2, 'Reading Report Logic'!$A$2:$B$8,2,FALSE)&amp;"]")), FALSE)="", "",
VLOOKUP($A729,YES_Reading_ELA[],COLUMN(INDIRECT("YES_Reading_ELA[Difference - Per "&amp;VLOOKUP($D$2,'Reading Report Logic'!$A$2:$B$8,2,FALSE)&amp;"]")),FALSE)),
IF(VLOOKUP($A729, YES_Reading_FLA[], COLUMN(INDIRECT("YES_Reading_FLA[Difference - Per "&amp;VLOOKUP($D$2, 'Reading Report Logic'!$A$2:$B$8, 2, FALSE)&amp;"]")),FALSE)="", "", VLOOKUP($A729,YES_Reading_FLA[],COLUMN(INDIRECT("YES_Reading_FLA[Difference - Per "&amp;VLOOKUP($D$2, 'Reading Report Logic'!$A$2:$B$8, 2, FALSE)&amp;"]")),FALSE))),""))),"")</f>
        <v/>
      </c>
      <c r="H729" s="206" t="str">
        <f ca="1">IFERROR(VLOOKUP('Teacher Reading Pull Sheets'!$D729,_xlfn.VSTACK('ELA Reading Logic'!$A$22:$B$48,'FLA Reading Logic'!$A$22:$B$53),2,FALSE)-VLOOKUP('Teacher Reading Pull Sheets'!$C729,_xlfn.VSTACK('ELA Reading Logic'!$A$22:$B$48,'FLA Reading Logic'!$A$22:$B$53),2,FALSE),"")</f>
        <v/>
      </c>
      <c r="I729" s="212"/>
      <c r="J729" s="206"/>
      <c r="K729" s="197" t="str" cm="1">
        <f t="array" ref="K729">IFERROR(
IF($J$2="ELA",
IF(VLOOKUP($A729, YES_Reading_ELA[], COLUMN(YES_Reading_ELA[Self-Identified as African Descent]), FALSE)="", "",
VLOOKUP($A729,YES_Reading_ELA[], COLUMN(YES_Reading_ELA[Self-Identified as African Descent]), FALSE)),
IF($J$2="FLA",
IF(VLOOKUP($A729, YES_Reading_FLA[], COLUMN(YES_Reading_FLA[Self-Identified as African Descent]),FALSE)="","",
VLOOKUP($A729,YES_Reading_FLA[],COLUMN(YES_Reading_FLA[Self-Identified as African Descent]),FALSE)),
IF($J$2="Combined",
IFERROR(
IF(VLOOKUP($A729, YES_Reading_ELA[], COLUMN(YES_Reading_ELA[Self-Identified as African Descent]), FALSE)="", "",
VLOOKUP($A729,YES_Reading_ELA[],COLUMN(YES_Reading_ELA[Self-Identified as African Descent]),FALSE)),
IF(VLOOKUP($A729, YES_Reading_FLA[], COLUMN(YES_Reading_FLA[Self-Identified as African Descent]),FALSE)="", "", VLOOKUP($A729,YES_Reading_FLA[],COLUMN(YES_Reading_FLA[Self-Identified as African Descent]),FALSE))),""))),"")</f>
        <v/>
      </c>
      <c r="L729" s="73" t="str" cm="1">
        <f t="array" ref="L729">IFERROR(
IF($J$2="ELA",
IF(VLOOKUP($A729, YES_Reading_ELA[], COLUMN(YES_Reading_ELA[Self-Identified as Indigenous]), FALSE)="", "",
VLOOKUP($A729,YES_Reading_ELA[], COLUMN(YES_Reading_ELA[Self-Identified as Indigenous]), FALSE)),
IF($J$2="FLA",
IF(VLOOKUP($A729, YES_Reading_FLA[], COLUMN(YES_Reading_FLA[Self-Identified as Indigenous]),FALSE)="","",
VLOOKUP($A729,YES_Reading_FLA[],COLUMN(YES_Reading_FLA[Self-Identified as Indigenous]),FALSE)),
IF($J$2="Combined",
IFERROR(
IF(VLOOKUP($A729, YES_Reading_ELA[], COLUMN(YES_Reading_ELA[Self-Identified as Indigenous]), FALSE)="", "",
VLOOKUP($A729,YES_Reading_ELA[],COLUMN(YES_Reading_ELA[Self-Identified as Indigenous]),FALSE)),
IF(VLOOKUP($A729, YES_Reading_FLA[], COLUMN(YES_Reading_FLA[Self-Identified as Indigenous]),FALSE)="", "", VLOOKUP($A729,YES_Reading_FLA[],COLUMN(YES_Reading_FLA[Self-Identified as Indigenous]),FALSE))),""))),"")</f>
        <v/>
      </c>
    </row>
    <row r="730" spans="1:12" ht="19.5" customHeight="1" x14ac:dyDescent="0.25">
      <c r="A730" s="217"/>
      <c r="B730" s="220" t="str">
        <f>IFERROR(VLOOKUP(A730,_xlfn.VSTACK(YES_Reading_ELA[],YES_Reading_FLA[]),2,FALSE),"")</f>
        <v/>
      </c>
      <c r="C730" s="203" t="str" cm="1">
        <f t="array" aca="1" ref="C730" ca="1">IFERROR(
IF($J$2="ELA",
IF(VLOOKUP($A730, YES_Reading_ELA[], COLUMN(IF(VLOOKUP($D$2, 'Reading Report Logic'!$A$2:$B$8, 2, FALSE)=1, YES_Reading_ELA[Reading Level June of Previous School Year], INDIRECT("YES_Reading_ELA[Instructional Reading Level - Per "&amp;(VLOOKUP($D$2,'Reading Report Logic'!$A$2:$B$8,2,FALSE)-1)&amp;"]"))), FALSE)="", "",
VLOOKUP($A730,YES_Reading_ELA[], COLUMN(IF(VLOOKUP($D$2,'Reading Report Logic'!$A$2:$B$8,2,FALSE)=1, YES_Reading_ELA[Reading Level June of Previous School Year],INDIRECT("YES_Reading_ELA[Instructional Reading Level - Per "&amp;(VLOOKUP($D$2,'Reading Report Logic'!$A$2:$B$8,2,FALSE)-1)&amp;"]"))), FALSE)),
IF($J$2="FLA",
IF(VLOOKUP($A730, YES_Reading_FLA[], COLUMN(IF(VLOOKUP($D$2,'Reading Report Logic'!$A$2:$B$8,2,FALSE)=1, YES_Reading_FLA[Reading Level June of Previous School Year],INDIRECT("YES_Reading_FLA[Instructional Reading Level - Per "&amp;(VLOOKUP($D$2,'Reading Report Logic'!$A$2:$B$8,2,FALSE)-1)&amp;"]"))),FALSE)="","",
VLOOKUP($A730,YES_Reading_FLA[], COLUMN(IF(VLOOKUP($D$2,'Reading Report Logic'!$A$2:$B$8,2,FALSE)=1, YES_Reading_FLA[Reading Level June of Previous School Year],INDIRECT("YES_Reading_FLA[Instructional Reading Level - Per "&amp;(VLOOKUP($D$2,'Reading Report Logic'!$A$2:$B$8,2,FALSE)-1)&amp;"]"))),FALSE)),
IF($J$2="Combined",
IFERROR(
IF(VLOOKUP($A730, YES_Reading_ELA[], COLUMN(IF(VLOOKUP($D$2,'Reading Report Logic'!$A$2:$B$8,2,FALSE)=1, YES_Reading_ELA[Reading Level June of Previous School Year],INDIRECT("YES_Reading_ELA[Instructional Reading Level - Per "&amp;(VLOOKUP($D$2,'Reading Report Logic'!$A$2:$B$8,2,FALSE)-1)&amp;"]"))), FALSE)="", "",
VLOOKUP($A730,YES_Reading_ELA[],COLUMN(IF(VLOOKUP($D$2,'Reading Report Logic'!$A$2:$B$8,2,FALSE)=1, YES_Reading_ELA[Reading Level June of Previous School Year],INDIRECT("YES_Reading_ELA[Instructional Reading Level - Per "&amp;(VLOOKUP($D$2,'Reading Report Logic'!$A$2:$B$8,2,FALSE)-1)&amp;"]"))),FALSE)),
IF(VLOOKUP($A730, YES_Reading_FLA[], COLUMN(IF(VLOOKUP($D$2,'Reading Report Logic'!$A$2:$B$8,2,FALSE)=1, YES_Reading_FLA[Reading Level June of Previous School Year],INDIRECT("YES_Reading_FLA[Instructional Reading Level - Per "&amp;(VLOOKUP($D$2,'Reading Report Logic'!$A$2:$B$8,2,FALSE)-1)&amp;"]"))),FALSE)="", "", VLOOKUP($A730,YES_Reading_FLA[],COLUMN(IF(VLOOKUP($D$2,'Reading Report Logic'!$A$2:$B$8,2,FALSE)=1, YES_Reading_FLA[Reading Level June of Previous School Year],INDIRECT("YES_Reading_FLA[Instructional Reading Level - Per "&amp;(VLOOKUP($D$2,'Reading Report Logic'!$A$2:$B$8,2,FALSE)-1)&amp;"]"))), FALSE))),""))),"")</f>
        <v/>
      </c>
      <c r="D730" s="204" t="str" cm="1">
        <f t="array" aca="1" ref="D730" ca="1">IFERROR(
IF($J$2="ELA",
IF(VLOOKUP($A730, YES_Reading_ELA[], COLUMN(INDIRECT("YES_Reading_ELA[Instructional Reading Level - Per "&amp;VLOOKUP($D$2, 'Reading Report Logic'!$A$2:$B$8, 2, FALSE)&amp;"]")), FALSE)="", "",
VLOOKUP($A730,YES_Reading_ELA[], COLUMN(INDIRECT("YES_Reading_ELA[Instructional Reading Level - Per "&amp;VLOOKUP($D$2,'Reading Report Logic'!$A$2:$B$8,2,FALSE)&amp;"]")), FALSE)),
IF($J$2="FLA",
IF(VLOOKUP($A730, YES_Reading_FLA[], COLUMN(INDIRECT("YES_Reading_FLA[Instructional Reading Level - Per "&amp;VLOOKUP($D$2,'Reading Report Logic'!$A$2:$B$8,2,FALSE)&amp;"]")),FALSE)="","",
VLOOKUP($A730,YES_Reading_FLA[],COLUMN(INDIRECT("YES_Reading_FLA[Instructional Reading Level - Per "&amp;VLOOKUP($D$2,'Reading Report Logic'!$A$2:$B$8,2,FALSE)&amp;"]")),FALSE)),
IF($J$2="Combined",
IFERROR(
IF(VLOOKUP($A730, YES_Reading_ELA[], COLUMN(INDIRECT("YES_Reading_ELA[Instructional Reading Level - Per "&amp;VLOOKUP($D$2, 'Reading Report Logic'!$A$2:$B$8,2,FALSE)&amp;"]")), FALSE)="", "",
VLOOKUP($A730,YES_Reading_ELA[],COLUMN(INDIRECT("YES_Reading_ELA[Instructional Reading Level - Per "&amp;VLOOKUP($D$2,'Reading Report Logic'!$A$2:$B$8,2,FALSE)&amp;"]")),FALSE)),
IF(VLOOKUP($A730, YES_Reading_FLA[], COLUMN(INDIRECT("YES_Reading_FLA[Instructional Reading Level - Per "&amp;VLOOKUP($D$2, 'Reading Report Logic'!$A$2:$B$8, 2, FALSE)&amp;"]")),FALSE)="", "", VLOOKUP($A730,YES_Reading_FLA[],COLUMN(INDIRECT("YES_Reading_FLA[Instructional Reading Level - Per "&amp;VLOOKUP($D$2, 'Reading Report Logic'!$A$2:$B$8, 2, FALSE)&amp;"]")),FALSE))),""))),"")</f>
        <v/>
      </c>
      <c r="E730" s="205" t="str" cm="1">
        <f t="array" aca="1" ref="E730" ca="1">IFERROR(
IF($J$2="ELA",
IF(VLOOKUP($A730, YES_Reading_ELA[], COLUMN(INDIRECT("YES_Reading_ELA[Min Expectation - Per "&amp;VLOOKUP($D$2, 'Reading Report Logic'!$A$2:$B$8, 2, FALSE)&amp;"]")), FALSE)="", "",
VLOOKUP($A730,YES_Reading_ELA[], COLUMN(INDIRECT("YES_Reading_ELA[Min Expectation - Per "&amp;VLOOKUP($D$2,'Reading Report Logic'!$A$2:$B$8,2,FALSE)&amp;"]")), FALSE)),
IF($J$2="FLA",
IF(VLOOKUP($A730, YES_Reading_FLA[], COLUMN(INDIRECT("YES_Reading_FLA[Min Expectation - Per "&amp;VLOOKUP($D$2,'Reading Report Logic'!$A$2:$B$8,2,FALSE)&amp;"]")),FALSE)="","",
VLOOKUP($A730,YES_Reading_FLA[],COLUMN(INDIRECT("YES_Reading_FLA[Min Expectation - Per "&amp;VLOOKUP($D$2,'Reading Report Logic'!$A$2:$B$8,2,FALSE)&amp;"]")),FALSE)),
IF($J$2="Combined",
IFERROR(
IF(VLOOKUP($A730, YES_Reading_ELA[], COLUMN(INDIRECT("YES_Reading_ELA[Min Expectation - Per "&amp;VLOOKUP($D$2, 'Reading Report Logic'!$A$2:$B$8,2,FALSE)&amp;"]")), FALSE)="", "",
VLOOKUP($A730,YES_Reading_ELA[],COLUMN(INDIRECT("YES_Reading_ELA[Min Expectation - Per "&amp;VLOOKUP($D$2,'Reading Report Logic'!$A$2:$B$8,2,FALSE)&amp;"]")),FALSE)),
IF(VLOOKUP($A730, YES_Reading_FLA[], COLUMN(INDIRECT("YES_Reading_FLA[Min Expectation - Per "&amp;VLOOKUP($D$2, 'Reading Report Logic'!$A$2:$B$8, 2, FALSE)&amp;"]")),FALSE)="", "", VLOOKUP($A730,YES_Reading_FLA[],COLUMN(INDIRECT("YES_Reading_FLA[Min Expectation - Per "&amp;VLOOKUP($D$2, 'Reading Report Logic'!$A$2:$B$8, 2, FALSE)&amp;"]")),FALSE))),""))),"")</f>
        <v/>
      </c>
      <c r="F730" s="205" t="str" cm="1">
        <f t="array" aca="1" ref="F730" ca="1">IFERROR(
IF($J$2="ELA",
IF(VLOOKUP($A730, YES_Reading_ELA[], COLUMN(INDIRECT("YES_Reading_ELA[Max Expectation - Per "&amp;VLOOKUP($D$2, 'Reading Report Logic'!$A$2:$B$8, 2, FALSE)&amp;"]")), FALSE)="", "",
VLOOKUP($A730,YES_Reading_ELA[], COLUMN(INDIRECT("YES_Reading_ELA[Max Expectation - Per "&amp;VLOOKUP($D$2,'Reading Report Logic'!$A$2:$B$8,2,FALSE)&amp;"]")), FALSE)),
IF($J$2="FLA",
IF(VLOOKUP($A730, YES_Reading_FLA[], COLUMN(INDIRECT("YES_Reading_FLA[Max Expectation - Per "&amp;VLOOKUP($D$2,'Reading Report Logic'!$A$2:$B$8,2,FALSE)&amp;"]")),FALSE)="","",
VLOOKUP($A730,YES_Reading_FLA[],COLUMN(INDIRECT("YES_Reading_FLA[Max Expectation - Per "&amp;VLOOKUP($D$2,'Reading Report Logic'!$A$2:$B$8,2,FALSE)&amp;"]")),FALSE)),
IF($J$2="Combined",
IFERROR(
IF(VLOOKUP($A730, YES_Reading_ELA[], COLUMN(INDIRECT("YES_Reading_ELA[Max Expectation - Per "&amp;VLOOKUP($D$2, 'Reading Report Logic'!$A$2:$B$8,2,FALSE)&amp;"]")), FALSE)="", "",
VLOOKUP($A730,YES_Reading_ELA[],COLUMN(INDIRECT("YES_Reading_ELA[Max Expectation - Per "&amp;VLOOKUP($D$2,'Reading Report Logic'!$A$2:$B$8,2,FALSE)&amp;"]")),FALSE)),
IF(VLOOKUP($A730, YES_Reading_FLA[], COLUMN(INDIRECT("YES_Reading_FLA[Max Expectation - Per "&amp;VLOOKUP($D$2, 'Reading Report Logic'!$A$2:$B$8, 2, FALSE)&amp;"]")),FALSE)="", "", VLOOKUP($A730,YES_Reading_FLA[],COLUMN(INDIRECT("YES_Reading_FLA[Max Expectation - Per "&amp;VLOOKUP($D$2, 'Reading Report Logic'!$A$2:$B$8, 2, FALSE)&amp;"]")),FALSE))),""))),"")</f>
        <v/>
      </c>
      <c r="G730" s="205" t="str" cm="1">
        <f t="array" aca="1" ref="G730" ca="1">IFERROR(
IF($J$2="ELA",
IF(VLOOKUP($A730, YES_Reading_ELA[], COLUMN(INDIRECT("YES_Reading_ELA[Difference - Per "&amp;VLOOKUP($D$2, 'Reading Report Logic'!$A$2:$B$8, 2, FALSE)&amp;"]")), FALSE)="", "",
VLOOKUP($A730,YES_Reading_ELA[], COLUMN(INDIRECT("YES_Reading_ELA[Difference - Per "&amp;VLOOKUP($D$2,'Reading Report Logic'!$A$2:$B$8,2,FALSE)&amp;"]")), FALSE)),
IF($J$2="FLA",
IF(VLOOKUP($A730, YES_Reading_FLA[], COLUMN(INDIRECT("YES_Reading_FLA[Difference - Per "&amp;VLOOKUP($D$2,'Reading Report Logic'!$A$2:$B$8,2,FALSE)&amp;"]")),FALSE)="","",
VLOOKUP($A730,YES_Reading_FLA[],COLUMN(INDIRECT("YES_Reading_FLA[Difference - Per "&amp;VLOOKUP($D$2,'Reading Report Logic'!$A$2:$B$8,2,FALSE)&amp;"]")),FALSE)),
IF($J$2="Combined",
IFERROR(
IF(VLOOKUP($A730, YES_Reading_ELA[], COLUMN(INDIRECT("YES_Reading_ELA[Difference - Per "&amp;VLOOKUP($D$2, 'Reading Report Logic'!$A$2:$B$8,2,FALSE)&amp;"]")), FALSE)="", "",
VLOOKUP($A730,YES_Reading_ELA[],COLUMN(INDIRECT("YES_Reading_ELA[Difference - Per "&amp;VLOOKUP($D$2,'Reading Report Logic'!$A$2:$B$8,2,FALSE)&amp;"]")),FALSE)),
IF(VLOOKUP($A730, YES_Reading_FLA[], COLUMN(INDIRECT("YES_Reading_FLA[Difference - Per "&amp;VLOOKUP($D$2, 'Reading Report Logic'!$A$2:$B$8, 2, FALSE)&amp;"]")),FALSE)="", "", VLOOKUP($A730,YES_Reading_FLA[],COLUMN(INDIRECT("YES_Reading_FLA[Difference - Per "&amp;VLOOKUP($D$2, 'Reading Report Logic'!$A$2:$B$8, 2, FALSE)&amp;"]")),FALSE))),""))),"")</f>
        <v/>
      </c>
      <c r="H730" s="206" t="str">
        <f ca="1">IFERROR(VLOOKUP('Teacher Reading Pull Sheets'!$D730,_xlfn.VSTACK('ELA Reading Logic'!$A$22:$B$48,'FLA Reading Logic'!$A$22:$B$53),2,FALSE)-VLOOKUP('Teacher Reading Pull Sheets'!$C730,_xlfn.VSTACK('ELA Reading Logic'!$A$22:$B$48,'FLA Reading Logic'!$A$22:$B$53),2,FALSE),"")</f>
        <v/>
      </c>
      <c r="I730" s="212"/>
      <c r="J730" s="206"/>
      <c r="K730" s="197" t="str" cm="1">
        <f t="array" ref="K730">IFERROR(
IF($J$2="ELA",
IF(VLOOKUP($A730, YES_Reading_ELA[], COLUMN(YES_Reading_ELA[Self-Identified as African Descent]), FALSE)="", "",
VLOOKUP($A730,YES_Reading_ELA[], COLUMN(YES_Reading_ELA[Self-Identified as African Descent]), FALSE)),
IF($J$2="FLA",
IF(VLOOKUP($A730, YES_Reading_FLA[], COLUMN(YES_Reading_FLA[Self-Identified as African Descent]),FALSE)="","",
VLOOKUP($A730,YES_Reading_FLA[],COLUMN(YES_Reading_FLA[Self-Identified as African Descent]),FALSE)),
IF($J$2="Combined",
IFERROR(
IF(VLOOKUP($A730, YES_Reading_ELA[], COLUMN(YES_Reading_ELA[Self-Identified as African Descent]), FALSE)="", "",
VLOOKUP($A730,YES_Reading_ELA[],COLUMN(YES_Reading_ELA[Self-Identified as African Descent]),FALSE)),
IF(VLOOKUP($A730, YES_Reading_FLA[], COLUMN(YES_Reading_FLA[Self-Identified as African Descent]),FALSE)="", "", VLOOKUP($A730,YES_Reading_FLA[],COLUMN(YES_Reading_FLA[Self-Identified as African Descent]),FALSE))),""))),"")</f>
        <v/>
      </c>
      <c r="L730" s="73" t="str" cm="1">
        <f t="array" ref="L730">IFERROR(
IF($J$2="ELA",
IF(VLOOKUP($A730, YES_Reading_ELA[], COLUMN(YES_Reading_ELA[Self-Identified as Indigenous]), FALSE)="", "",
VLOOKUP($A730,YES_Reading_ELA[], COLUMN(YES_Reading_ELA[Self-Identified as Indigenous]), FALSE)),
IF($J$2="FLA",
IF(VLOOKUP($A730, YES_Reading_FLA[], COLUMN(YES_Reading_FLA[Self-Identified as Indigenous]),FALSE)="","",
VLOOKUP($A730,YES_Reading_FLA[],COLUMN(YES_Reading_FLA[Self-Identified as Indigenous]),FALSE)),
IF($J$2="Combined",
IFERROR(
IF(VLOOKUP($A730, YES_Reading_ELA[], COLUMN(YES_Reading_ELA[Self-Identified as Indigenous]), FALSE)="", "",
VLOOKUP($A730,YES_Reading_ELA[],COLUMN(YES_Reading_ELA[Self-Identified as Indigenous]),FALSE)),
IF(VLOOKUP($A730, YES_Reading_FLA[], COLUMN(YES_Reading_FLA[Self-Identified as Indigenous]),FALSE)="", "", VLOOKUP($A730,YES_Reading_FLA[],COLUMN(YES_Reading_FLA[Self-Identified as Indigenous]),FALSE))),""))),"")</f>
        <v/>
      </c>
    </row>
    <row r="731" spans="1:12" ht="19.5" customHeight="1" x14ac:dyDescent="0.25">
      <c r="A731" s="217"/>
      <c r="B731" s="220" t="str">
        <f>IFERROR(VLOOKUP(A731,_xlfn.VSTACK(YES_Reading_ELA[],YES_Reading_FLA[]),2,FALSE),"")</f>
        <v/>
      </c>
      <c r="C731" s="203" t="str" cm="1">
        <f t="array" aca="1" ref="C731" ca="1">IFERROR(
IF($J$2="ELA",
IF(VLOOKUP($A731, YES_Reading_ELA[], COLUMN(IF(VLOOKUP($D$2, 'Reading Report Logic'!$A$2:$B$8, 2, FALSE)=1, YES_Reading_ELA[Reading Level June of Previous School Year], INDIRECT("YES_Reading_ELA[Instructional Reading Level - Per "&amp;(VLOOKUP($D$2,'Reading Report Logic'!$A$2:$B$8,2,FALSE)-1)&amp;"]"))), FALSE)="", "",
VLOOKUP($A731,YES_Reading_ELA[], COLUMN(IF(VLOOKUP($D$2,'Reading Report Logic'!$A$2:$B$8,2,FALSE)=1, YES_Reading_ELA[Reading Level June of Previous School Year],INDIRECT("YES_Reading_ELA[Instructional Reading Level - Per "&amp;(VLOOKUP($D$2,'Reading Report Logic'!$A$2:$B$8,2,FALSE)-1)&amp;"]"))), FALSE)),
IF($J$2="FLA",
IF(VLOOKUP($A731, YES_Reading_FLA[], COLUMN(IF(VLOOKUP($D$2,'Reading Report Logic'!$A$2:$B$8,2,FALSE)=1, YES_Reading_FLA[Reading Level June of Previous School Year],INDIRECT("YES_Reading_FLA[Instructional Reading Level - Per "&amp;(VLOOKUP($D$2,'Reading Report Logic'!$A$2:$B$8,2,FALSE)-1)&amp;"]"))),FALSE)="","",
VLOOKUP($A731,YES_Reading_FLA[], COLUMN(IF(VLOOKUP($D$2,'Reading Report Logic'!$A$2:$B$8,2,FALSE)=1, YES_Reading_FLA[Reading Level June of Previous School Year],INDIRECT("YES_Reading_FLA[Instructional Reading Level - Per "&amp;(VLOOKUP($D$2,'Reading Report Logic'!$A$2:$B$8,2,FALSE)-1)&amp;"]"))),FALSE)),
IF($J$2="Combined",
IFERROR(
IF(VLOOKUP($A731, YES_Reading_ELA[], COLUMN(IF(VLOOKUP($D$2,'Reading Report Logic'!$A$2:$B$8,2,FALSE)=1, YES_Reading_ELA[Reading Level June of Previous School Year],INDIRECT("YES_Reading_ELA[Instructional Reading Level - Per "&amp;(VLOOKUP($D$2,'Reading Report Logic'!$A$2:$B$8,2,FALSE)-1)&amp;"]"))), FALSE)="", "",
VLOOKUP($A731,YES_Reading_ELA[],COLUMN(IF(VLOOKUP($D$2,'Reading Report Logic'!$A$2:$B$8,2,FALSE)=1, YES_Reading_ELA[Reading Level June of Previous School Year],INDIRECT("YES_Reading_ELA[Instructional Reading Level - Per "&amp;(VLOOKUP($D$2,'Reading Report Logic'!$A$2:$B$8,2,FALSE)-1)&amp;"]"))),FALSE)),
IF(VLOOKUP($A731, YES_Reading_FLA[], COLUMN(IF(VLOOKUP($D$2,'Reading Report Logic'!$A$2:$B$8,2,FALSE)=1, YES_Reading_FLA[Reading Level June of Previous School Year],INDIRECT("YES_Reading_FLA[Instructional Reading Level - Per "&amp;(VLOOKUP($D$2,'Reading Report Logic'!$A$2:$B$8,2,FALSE)-1)&amp;"]"))),FALSE)="", "", VLOOKUP($A731,YES_Reading_FLA[],COLUMN(IF(VLOOKUP($D$2,'Reading Report Logic'!$A$2:$B$8,2,FALSE)=1, YES_Reading_FLA[Reading Level June of Previous School Year],INDIRECT("YES_Reading_FLA[Instructional Reading Level - Per "&amp;(VLOOKUP($D$2,'Reading Report Logic'!$A$2:$B$8,2,FALSE)-1)&amp;"]"))), FALSE))),""))),"")</f>
        <v/>
      </c>
      <c r="D731" s="204" t="str" cm="1">
        <f t="array" aca="1" ref="D731" ca="1">IFERROR(
IF($J$2="ELA",
IF(VLOOKUP($A731, YES_Reading_ELA[], COLUMN(INDIRECT("YES_Reading_ELA[Instructional Reading Level - Per "&amp;VLOOKUP($D$2, 'Reading Report Logic'!$A$2:$B$8, 2, FALSE)&amp;"]")), FALSE)="", "",
VLOOKUP($A731,YES_Reading_ELA[], COLUMN(INDIRECT("YES_Reading_ELA[Instructional Reading Level - Per "&amp;VLOOKUP($D$2,'Reading Report Logic'!$A$2:$B$8,2,FALSE)&amp;"]")), FALSE)),
IF($J$2="FLA",
IF(VLOOKUP($A731, YES_Reading_FLA[], COLUMN(INDIRECT("YES_Reading_FLA[Instructional Reading Level - Per "&amp;VLOOKUP($D$2,'Reading Report Logic'!$A$2:$B$8,2,FALSE)&amp;"]")),FALSE)="","",
VLOOKUP($A731,YES_Reading_FLA[],COLUMN(INDIRECT("YES_Reading_FLA[Instructional Reading Level - Per "&amp;VLOOKUP($D$2,'Reading Report Logic'!$A$2:$B$8,2,FALSE)&amp;"]")),FALSE)),
IF($J$2="Combined",
IFERROR(
IF(VLOOKUP($A731, YES_Reading_ELA[], COLUMN(INDIRECT("YES_Reading_ELA[Instructional Reading Level - Per "&amp;VLOOKUP($D$2, 'Reading Report Logic'!$A$2:$B$8,2,FALSE)&amp;"]")), FALSE)="", "",
VLOOKUP($A731,YES_Reading_ELA[],COLUMN(INDIRECT("YES_Reading_ELA[Instructional Reading Level - Per "&amp;VLOOKUP($D$2,'Reading Report Logic'!$A$2:$B$8,2,FALSE)&amp;"]")),FALSE)),
IF(VLOOKUP($A731, YES_Reading_FLA[], COLUMN(INDIRECT("YES_Reading_FLA[Instructional Reading Level - Per "&amp;VLOOKUP($D$2, 'Reading Report Logic'!$A$2:$B$8, 2, FALSE)&amp;"]")),FALSE)="", "", VLOOKUP($A731,YES_Reading_FLA[],COLUMN(INDIRECT("YES_Reading_FLA[Instructional Reading Level - Per "&amp;VLOOKUP($D$2, 'Reading Report Logic'!$A$2:$B$8, 2, FALSE)&amp;"]")),FALSE))),""))),"")</f>
        <v/>
      </c>
      <c r="E731" s="205" t="str" cm="1">
        <f t="array" aca="1" ref="E731" ca="1">IFERROR(
IF($J$2="ELA",
IF(VLOOKUP($A731, YES_Reading_ELA[], COLUMN(INDIRECT("YES_Reading_ELA[Min Expectation - Per "&amp;VLOOKUP($D$2, 'Reading Report Logic'!$A$2:$B$8, 2, FALSE)&amp;"]")), FALSE)="", "",
VLOOKUP($A731,YES_Reading_ELA[], COLUMN(INDIRECT("YES_Reading_ELA[Min Expectation - Per "&amp;VLOOKUP($D$2,'Reading Report Logic'!$A$2:$B$8,2,FALSE)&amp;"]")), FALSE)),
IF($J$2="FLA",
IF(VLOOKUP($A731, YES_Reading_FLA[], COLUMN(INDIRECT("YES_Reading_FLA[Min Expectation - Per "&amp;VLOOKUP($D$2,'Reading Report Logic'!$A$2:$B$8,2,FALSE)&amp;"]")),FALSE)="","",
VLOOKUP($A731,YES_Reading_FLA[],COLUMN(INDIRECT("YES_Reading_FLA[Min Expectation - Per "&amp;VLOOKUP($D$2,'Reading Report Logic'!$A$2:$B$8,2,FALSE)&amp;"]")),FALSE)),
IF($J$2="Combined",
IFERROR(
IF(VLOOKUP($A731, YES_Reading_ELA[], COLUMN(INDIRECT("YES_Reading_ELA[Min Expectation - Per "&amp;VLOOKUP($D$2, 'Reading Report Logic'!$A$2:$B$8,2,FALSE)&amp;"]")), FALSE)="", "",
VLOOKUP($A731,YES_Reading_ELA[],COLUMN(INDIRECT("YES_Reading_ELA[Min Expectation - Per "&amp;VLOOKUP($D$2,'Reading Report Logic'!$A$2:$B$8,2,FALSE)&amp;"]")),FALSE)),
IF(VLOOKUP($A731, YES_Reading_FLA[], COLUMN(INDIRECT("YES_Reading_FLA[Min Expectation - Per "&amp;VLOOKUP($D$2, 'Reading Report Logic'!$A$2:$B$8, 2, FALSE)&amp;"]")),FALSE)="", "", VLOOKUP($A731,YES_Reading_FLA[],COLUMN(INDIRECT("YES_Reading_FLA[Min Expectation - Per "&amp;VLOOKUP($D$2, 'Reading Report Logic'!$A$2:$B$8, 2, FALSE)&amp;"]")),FALSE))),""))),"")</f>
        <v/>
      </c>
      <c r="F731" s="205" t="str" cm="1">
        <f t="array" aca="1" ref="F731" ca="1">IFERROR(
IF($J$2="ELA",
IF(VLOOKUP($A731, YES_Reading_ELA[], COLUMN(INDIRECT("YES_Reading_ELA[Max Expectation - Per "&amp;VLOOKUP($D$2, 'Reading Report Logic'!$A$2:$B$8, 2, FALSE)&amp;"]")), FALSE)="", "",
VLOOKUP($A731,YES_Reading_ELA[], COLUMN(INDIRECT("YES_Reading_ELA[Max Expectation - Per "&amp;VLOOKUP($D$2,'Reading Report Logic'!$A$2:$B$8,2,FALSE)&amp;"]")), FALSE)),
IF($J$2="FLA",
IF(VLOOKUP($A731, YES_Reading_FLA[], COLUMN(INDIRECT("YES_Reading_FLA[Max Expectation - Per "&amp;VLOOKUP($D$2,'Reading Report Logic'!$A$2:$B$8,2,FALSE)&amp;"]")),FALSE)="","",
VLOOKUP($A731,YES_Reading_FLA[],COLUMN(INDIRECT("YES_Reading_FLA[Max Expectation - Per "&amp;VLOOKUP($D$2,'Reading Report Logic'!$A$2:$B$8,2,FALSE)&amp;"]")),FALSE)),
IF($J$2="Combined",
IFERROR(
IF(VLOOKUP($A731, YES_Reading_ELA[], COLUMN(INDIRECT("YES_Reading_ELA[Max Expectation - Per "&amp;VLOOKUP($D$2, 'Reading Report Logic'!$A$2:$B$8,2,FALSE)&amp;"]")), FALSE)="", "",
VLOOKUP($A731,YES_Reading_ELA[],COLUMN(INDIRECT("YES_Reading_ELA[Max Expectation - Per "&amp;VLOOKUP($D$2,'Reading Report Logic'!$A$2:$B$8,2,FALSE)&amp;"]")),FALSE)),
IF(VLOOKUP($A731, YES_Reading_FLA[], COLUMN(INDIRECT("YES_Reading_FLA[Max Expectation - Per "&amp;VLOOKUP($D$2, 'Reading Report Logic'!$A$2:$B$8, 2, FALSE)&amp;"]")),FALSE)="", "", VLOOKUP($A731,YES_Reading_FLA[],COLUMN(INDIRECT("YES_Reading_FLA[Max Expectation - Per "&amp;VLOOKUP($D$2, 'Reading Report Logic'!$A$2:$B$8, 2, FALSE)&amp;"]")),FALSE))),""))),"")</f>
        <v/>
      </c>
      <c r="G731" s="205" t="str" cm="1">
        <f t="array" aca="1" ref="G731" ca="1">IFERROR(
IF($J$2="ELA",
IF(VLOOKUP($A731, YES_Reading_ELA[], COLUMN(INDIRECT("YES_Reading_ELA[Difference - Per "&amp;VLOOKUP($D$2, 'Reading Report Logic'!$A$2:$B$8, 2, FALSE)&amp;"]")), FALSE)="", "",
VLOOKUP($A731,YES_Reading_ELA[], COLUMN(INDIRECT("YES_Reading_ELA[Difference - Per "&amp;VLOOKUP($D$2,'Reading Report Logic'!$A$2:$B$8,2,FALSE)&amp;"]")), FALSE)),
IF($J$2="FLA",
IF(VLOOKUP($A731, YES_Reading_FLA[], COLUMN(INDIRECT("YES_Reading_FLA[Difference - Per "&amp;VLOOKUP($D$2,'Reading Report Logic'!$A$2:$B$8,2,FALSE)&amp;"]")),FALSE)="","",
VLOOKUP($A731,YES_Reading_FLA[],COLUMN(INDIRECT("YES_Reading_FLA[Difference - Per "&amp;VLOOKUP($D$2,'Reading Report Logic'!$A$2:$B$8,2,FALSE)&amp;"]")),FALSE)),
IF($J$2="Combined",
IFERROR(
IF(VLOOKUP($A731, YES_Reading_ELA[], COLUMN(INDIRECT("YES_Reading_ELA[Difference - Per "&amp;VLOOKUP($D$2, 'Reading Report Logic'!$A$2:$B$8,2,FALSE)&amp;"]")), FALSE)="", "",
VLOOKUP($A731,YES_Reading_ELA[],COLUMN(INDIRECT("YES_Reading_ELA[Difference - Per "&amp;VLOOKUP($D$2,'Reading Report Logic'!$A$2:$B$8,2,FALSE)&amp;"]")),FALSE)),
IF(VLOOKUP($A731, YES_Reading_FLA[], COLUMN(INDIRECT("YES_Reading_FLA[Difference - Per "&amp;VLOOKUP($D$2, 'Reading Report Logic'!$A$2:$B$8, 2, FALSE)&amp;"]")),FALSE)="", "", VLOOKUP($A731,YES_Reading_FLA[],COLUMN(INDIRECT("YES_Reading_FLA[Difference - Per "&amp;VLOOKUP($D$2, 'Reading Report Logic'!$A$2:$B$8, 2, FALSE)&amp;"]")),FALSE))),""))),"")</f>
        <v/>
      </c>
      <c r="H731" s="206" t="str">
        <f ca="1">IFERROR(VLOOKUP('Teacher Reading Pull Sheets'!$D731,_xlfn.VSTACK('ELA Reading Logic'!$A$22:$B$48,'FLA Reading Logic'!$A$22:$B$53),2,FALSE)-VLOOKUP('Teacher Reading Pull Sheets'!$C731,_xlfn.VSTACK('ELA Reading Logic'!$A$22:$B$48,'FLA Reading Logic'!$A$22:$B$53),2,FALSE),"")</f>
        <v/>
      </c>
      <c r="I731" s="212"/>
      <c r="J731" s="206"/>
      <c r="K731" s="197" t="str" cm="1">
        <f t="array" ref="K731">IFERROR(
IF($J$2="ELA",
IF(VLOOKUP($A731, YES_Reading_ELA[], COLUMN(YES_Reading_ELA[Self-Identified as African Descent]), FALSE)="", "",
VLOOKUP($A731,YES_Reading_ELA[], COLUMN(YES_Reading_ELA[Self-Identified as African Descent]), FALSE)),
IF($J$2="FLA",
IF(VLOOKUP($A731, YES_Reading_FLA[], COLUMN(YES_Reading_FLA[Self-Identified as African Descent]),FALSE)="","",
VLOOKUP($A731,YES_Reading_FLA[],COLUMN(YES_Reading_FLA[Self-Identified as African Descent]),FALSE)),
IF($J$2="Combined",
IFERROR(
IF(VLOOKUP($A731, YES_Reading_ELA[], COLUMN(YES_Reading_ELA[Self-Identified as African Descent]), FALSE)="", "",
VLOOKUP($A731,YES_Reading_ELA[],COLUMN(YES_Reading_ELA[Self-Identified as African Descent]),FALSE)),
IF(VLOOKUP($A731, YES_Reading_FLA[], COLUMN(YES_Reading_FLA[Self-Identified as African Descent]),FALSE)="", "", VLOOKUP($A731,YES_Reading_FLA[],COLUMN(YES_Reading_FLA[Self-Identified as African Descent]),FALSE))),""))),"")</f>
        <v/>
      </c>
      <c r="L731" s="73" t="str" cm="1">
        <f t="array" ref="L731">IFERROR(
IF($J$2="ELA",
IF(VLOOKUP($A731, YES_Reading_ELA[], COLUMN(YES_Reading_ELA[Self-Identified as Indigenous]), FALSE)="", "",
VLOOKUP($A731,YES_Reading_ELA[], COLUMN(YES_Reading_ELA[Self-Identified as Indigenous]), FALSE)),
IF($J$2="FLA",
IF(VLOOKUP($A731, YES_Reading_FLA[], COLUMN(YES_Reading_FLA[Self-Identified as Indigenous]),FALSE)="","",
VLOOKUP($A731,YES_Reading_FLA[],COLUMN(YES_Reading_FLA[Self-Identified as Indigenous]),FALSE)),
IF($J$2="Combined",
IFERROR(
IF(VLOOKUP($A731, YES_Reading_ELA[], COLUMN(YES_Reading_ELA[Self-Identified as Indigenous]), FALSE)="", "",
VLOOKUP($A731,YES_Reading_ELA[],COLUMN(YES_Reading_ELA[Self-Identified as Indigenous]),FALSE)),
IF(VLOOKUP($A731, YES_Reading_FLA[], COLUMN(YES_Reading_FLA[Self-Identified as Indigenous]),FALSE)="", "", VLOOKUP($A731,YES_Reading_FLA[],COLUMN(YES_Reading_FLA[Self-Identified as Indigenous]),FALSE))),""))),"")</f>
        <v/>
      </c>
    </row>
    <row r="732" spans="1:12" ht="19.5" customHeight="1" x14ac:dyDescent="0.25">
      <c r="A732" s="217"/>
      <c r="B732" s="220" t="str">
        <f>IFERROR(VLOOKUP(A732,_xlfn.VSTACK(YES_Reading_ELA[],YES_Reading_FLA[]),2,FALSE),"")</f>
        <v/>
      </c>
      <c r="C732" s="203" t="str" cm="1">
        <f t="array" aca="1" ref="C732" ca="1">IFERROR(
IF($J$2="ELA",
IF(VLOOKUP($A732, YES_Reading_ELA[], COLUMN(IF(VLOOKUP($D$2, 'Reading Report Logic'!$A$2:$B$8, 2, FALSE)=1, YES_Reading_ELA[Reading Level June of Previous School Year], INDIRECT("YES_Reading_ELA[Instructional Reading Level - Per "&amp;(VLOOKUP($D$2,'Reading Report Logic'!$A$2:$B$8,2,FALSE)-1)&amp;"]"))), FALSE)="", "",
VLOOKUP($A732,YES_Reading_ELA[], COLUMN(IF(VLOOKUP($D$2,'Reading Report Logic'!$A$2:$B$8,2,FALSE)=1, YES_Reading_ELA[Reading Level June of Previous School Year],INDIRECT("YES_Reading_ELA[Instructional Reading Level - Per "&amp;(VLOOKUP($D$2,'Reading Report Logic'!$A$2:$B$8,2,FALSE)-1)&amp;"]"))), FALSE)),
IF($J$2="FLA",
IF(VLOOKUP($A732, YES_Reading_FLA[], COLUMN(IF(VLOOKUP($D$2,'Reading Report Logic'!$A$2:$B$8,2,FALSE)=1, YES_Reading_FLA[Reading Level June of Previous School Year],INDIRECT("YES_Reading_FLA[Instructional Reading Level - Per "&amp;(VLOOKUP($D$2,'Reading Report Logic'!$A$2:$B$8,2,FALSE)-1)&amp;"]"))),FALSE)="","",
VLOOKUP($A732,YES_Reading_FLA[], COLUMN(IF(VLOOKUP($D$2,'Reading Report Logic'!$A$2:$B$8,2,FALSE)=1, YES_Reading_FLA[Reading Level June of Previous School Year],INDIRECT("YES_Reading_FLA[Instructional Reading Level - Per "&amp;(VLOOKUP($D$2,'Reading Report Logic'!$A$2:$B$8,2,FALSE)-1)&amp;"]"))),FALSE)),
IF($J$2="Combined",
IFERROR(
IF(VLOOKUP($A732, YES_Reading_ELA[], COLUMN(IF(VLOOKUP($D$2,'Reading Report Logic'!$A$2:$B$8,2,FALSE)=1, YES_Reading_ELA[Reading Level June of Previous School Year],INDIRECT("YES_Reading_ELA[Instructional Reading Level - Per "&amp;(VLOOKUP($D$2,'Reading Report Logic'!$A$2:$B$8,2,FALSE)-1)&amp;"]"))), FALSE)="", "",
VLOOKUP($A732,YES_Reading_ELA[],COLUMN(IF(VLOOKUP($D$2,'Reading Report Logic'!$A$2:$B$8,2,FALSE)=1, YES_Reading_ELA[Reading Level June of Previous School Year],INDIRECT("YES_Reading_ELA[Instructional Reading Level - Per "&amp;(VLOOKUP($D$2,'Reading Report Logic'!$A$2:$B$8,2,FALSE)-1)&amp;"]"))),FALSE)),
IF(VLOOKUP($A732, YES_Reading_FLA[], COLUMN(IF(VLOOKUP($D$2,'Reading Report Logic'!$A$2:$B$8,2,FALSE)=1, YES_Reading_FLA[Reading Level June of Previous School Year],INDIRECT("YES_Reading_FLA[Instructional Reading Level - Per "&amp;(VLOOKUP($D$2,'Reading Report Logic'!$A$2:$B$8,2,FALSE)-1)&amp;"]"))),FALSE)="", "", VLOOKUP($A732,YES_Reading_FLA[],COLUMN(IF(VLOOKUP($D$2,'Reading Report Logic'!$A$2:$B$8,2,FALSE)=1, YES_Reading_FLA[Reading Level June of Previous School Year],INDIRECT("YES_Reading_FLA[Instructional Reading Level - Per "&amp;(VLOOKUP($D$2,'Reading Report Logic'!$A$2:$B$8,2,FALSE)-1)&amp;"]"))), FALSE))),""))),"")</f>
        <v/>
      </c>
      <c r="D732" s="204" t="str" cm="1">
        <f t="array" aca="1" ref="D732" ca="1">IFERROR(
IF($J$2="ELA",
IF(VLOOKUP($A732, YES_Reading_ELA[], COLUMN(INDIRECT("YES_Reading_ELA[Instructional Reading Level - Per "&amp;VLOOKUP($D$2, 'Reading Report Logic'!$A$2:$B$8, 2, FALSE)&amp;"]")), FALSE)="", "",
VLOOKUP($A732,YES_Reading_ELA[], COLUMN(INDIRECT("YES_Reading_ELA[Instructional Reading Level - Per "&amp;VLOOKUP($D$2,'Reading Report Logic'!$A$2:$B$8,2,FALSE)&amp;"]")), FALSE)),
IF($J$2="FLA",
IF(VLOOKUP($A732, YES_Reading_FLA[], COLUMN(INDIRECT("YES_Reading_FLA[Instructional Reading Level - Per "&amp;VLOOKUP($D$2,'Reading Report Logic'!$A$2:$B$8,2,FALSE)&amp;"]")),FALSE)="","",
VLOOKUP($A732,YES_Reading_FLA[],COLUMN(INDIRECT("YES_Reading_FLA[Instructional Reading Level - Per "&amp;VLOOKUP($D$2,'Reading Report Logic'!$A$2:$B$8,2,FALSE)&amp;"]")),FALSE)),
IF($J$2="Combined",
IFERROR(
IF(VLOOKUP($A732, YES_Reading_ELA[], COLUMN(INDIRECT("YES_Reading_ELA[Instructional Reading Level - Per "&amp;VLOOKUP($D$2, 'Reading Report Logic'!$A$2:$B$8,2,FALSE)&amp;"]")), FALSE)="", "",
VLOOKUP($A732,YES_Reading_ELA[],COLUMN(INDIRECT("YES_Reading_ELA[Instructional Reading Level - Per "&amp;VLOOKUP($D$2,'Reading Report Logic'!$A$2:$B$8,2,FALSE)&amp;"]")),FALSE)),
IF(VLOOKUP($A732, YES_Reading_FLA[], COLUMN(INDIRECT("YES_Reading_FLA[Instructional Reading Level - Per "&amp;VLOOKUP($D$2, 'Reading Report Logic'!$A$2:$B$8, 2, FALSE)&amp;"]")),FALSE)="", "", VLOOKUP($A732,YES_Reading_FLA[],COLUMN(INDIRECT("YES_Reading_FLA[Instructional Reading Level - Per "&amp;VLOOKUP($D$2, 'Reading Report Logic'!$A$2:$B$8, 2, FALSE)&amp;"]")),FALSE))),""))),"")</f>
        <v/>
      </c>
      <c r="E732" s="205" t="str" cm="1">
        <f t="array" aca="1" ref="E732" ca="1">IFERROR(
IF($J$2="ELA",
IF(VLOOKUP($A732, YES_Reading_ELA[], COLUMN(INDIRECT("YES_Reading_ELA[Min Expectation - Per "&amp;VLOOKUP($D$2, 'Reading Report Logic'!$A$2:$B$8, 2, FALSE)&amp;"]")), FALSE)="", "",
VLOOKUP($A732,YES_Reading_ELA[], COLUMN(INDIRECT("YES_Reading_ELA[Min Expectation - Per "&amp;VLOOKUP($D$2,'Reading Report Logic'!$A$2:$B$8,2,FALSE)&amp;"]")), FALSE)),
IF($J$2="FLA",
IF(VLOOKUP($A732, YES_Reading_FLA[], COLUMN(INDIRECT("YES_Reading_FLA[Min Expectation - Per "&amp;VLOOKUP($D$2,'Reading Report Logic'!$A$2:$B$8,2,FALSE)&amp;"]")),FALSE)="","",
VLOOKUP($A732,YES_Reading_FLA[],COLUMN(INDIRECT("YES_Reading_FLA[Min Expectation - Per "&amp;VLOOKUP($D$2,'Reading Report Logic'!$A$2:$B$8,2,FALSE)&amp;"]")),FALSE)),
IF($J$2="Combined",
IFERROR(
IF(VLOOKUP($A732, YES_Reading_ELA[], COLUMN(INDIRECT("YES_Reading_ELA[Min Expectation - Per "&amp;VLOOKUP($D$2, 'Reading Report Logic'!$A$2:$B$8,2,FALSE)&amp;"]")), FALSE)="", "",
VLOOKUP($A732,YES_Reading_ELA[],COLUMN(INDIRECT("YES_Reading_ELA[Min Expectation - Per "&amp;VLOOKUP($D$2,'Reading Report Logic'!$A$2:$B$8,2,FALSE)&amp;"]")),FALSE)),
IF(VLOOKUP($A732, YES_Reading_FLA[], COLUMN(INDIRECT("YES_Reading_FLA[Min Expectation - Per "&amp;VLOOKUP($D$2, 'Reading Report Logic'!$A$2:$B$8, 2, FALSE)&amp;"]")),FALSE)="", "", VLOOKUP($A732,YES_Reading_FLA[],COLUMN(INDIRECT("YES_Reading_FLA[Min Expectation - Per "&amp;VLOOKUP($D$2, 'Reading Report Logic'!$A$2:$B$8, 2, FALSE)&amp;"]")),FALSE))),""))),"")</f>
        <v/>
      </c>
      <c r="F732" s="205" t="str" cm="1">
        <f t="array" aca="1" ref="F732" ca="1">IFERROR(
IF($J$2="ELA",
IF(VLOOKUP($A732, YES_Reading_ELA[], COLUMN(INDIRECT("YES_Reading_ELA[Max Expectation - Per "&amp;VLOOKUP($D$2, 'Reading Report Logic'!$A$2:$B$8, 2, FALSE)&amp;"]")), FALSE)="", "",
VLOOKUP($A732,YES_Reading_ELA[], COLUMN(INDIRECT("YES_Reading_ELA[Max Expectation - Per "&amp;VLOOKUP($D$2,'Reading Report Logic'!$A$2:$B$8,2,FALSE)&amp;"]")), FALSE)),
IF($J$2="FLA",
IF(VLOOKUP($A732, YES_Reading_FLA[], COLUMN(INDIRECT("YES_Reading_FLA[Max Expectation - Per "&amp;VLOOKUP($D$2,'Reading Report Logic'!$A$2:$B$8,2,FALSE)&amp;"]")),FALSE)="","",
VLOOKUP($A732,YES_Reading_FLA[],COLUMN(INDIRECT("YES_Reading_FLA[Max Expectation - Per "&amp;VLOOKUP($D$2,'Reading Report Logic'!$A$2:$B$8,2,FALSE)&amp;"]")),FALSE)),
IF($J$2="Combined",
IFERROR(
IF(VLOOKUP($A732, YES_Reading_ELA[], COLUMN(INDIRECT("YES_Reading_ELA[Max Expectation - Per "&amp;VLOOKUP($D$2, 'Reading Report Logic'!$A$2:$B$8,2,FALSE)&amp;"]")), FALSE)="", "",
VLOOKUP($A732,YES_Reading_ELA[],COLUMN(INDIRECT("YES_Reading_ELA[Max Expectation - Per "&amp;VLOOKUP($D$2,'Reading Report Logic'!$A$2:$B$8,2,FALSE)&amp;"]")),FALSE)),
IF(VLOOKUP($A732, YES_Reading_FLA[], COLUMN(INDIRECT("YES_Reading_FLA[Max Expectation - Per "&amp;VLOOKUP($D$2, 'Reading Report Logic'!$A$2:$B$8, 2, FALSE)&amp;"]")),FALSE)="", "", VLOOKUP($A732,YES_Reading_FLA[],COLUMN(INDIRECT("YES_Reading_FLA[Max Expectation - Per "&amp;VLOOKUP($D$2, 'Reading Report Logic'!$A$2:$B$8, 2, FALSE)&amp;"]")),FALSE))),""))),"")</f>
        <v/>
      </c>
      <c r="G732" s="205" t="str" cm="1">
        <f t="array" aca="1" ref="G732" ca="1">IFERROR(
IF($J$2="ELA",
IF(VLOOKUP($A732, YES_Reading_ELA[], COLUMN(INDIRECT("YES_Reading_ELA[Difference - Per "&amp;VLOOKUP($D$2, 'Reading Report Logic'!$A$2:$B$8, 2, FALSE)&amp;"]")), FALSE)="", "",
VLOOKUP($A732,YES_Reading_ELA[], COLUMN(INDIRECT("YES_Reading_ELA[Difference - Per "&amp;VLOOKUP($D$2,'Reading Report Logic'!$A$2:$B$8,2,FALSE)&amp;"]")), FALSE)),
IF($J$2="FLA",
IF(VLOOKUP($A732, YES_Reading_FLA[], COLUMN(INDIRECT("YES_Reading_FLA[Difference - Per "&amp;VLOOKUP($D$2,'Reading Report Logic'!$A$2:$B$8,2,FALSE)&amp;"]")),FALSE)="","",
VLOOKUP($A732,YES_Reading_FLA[],COLUMN(INDIRECT("YES_Reading_FLA[Difference - Per "&amp;VLOOKUP($D$2,'Reading Report Logic'!$A$2:$B$8,2,FALSE)&amp;"]")),FALSE)),
IF($J$2="Combined",
IFERROR(
IF(VLOOKUP($A732, YES_Reading_ELA[], COLUMN(INDIRECT("YES_Reading_ELA[Difference - Per "&amp;VLOOKUP($D$2, 'Reading Report Logic'!$A$2:$B$8,2,FALSE)&amp;"]")), FALSE)="", "",
VLOOKUP($A732,YES_Reading_ELA[],COLUMN(INDIRECT("YES_Reading_ELA[Difference - Per "&amp;VLOOKUP($D$2,'Reading Report Logic'!$A$2:$B$8,2,FALSE)&amp;"]")),FALSE)),
IF(VLOOKUP($A732, YES_Reading_FLA[], COLUMN(INDIRECT("YES_Reading_FLA[Difference - Per "&amp;VLOOKUP($D$2, 'Reading Report Logic'!$A$2:$B$8, 2, FALSE)&amp;"]")),FALSE)="", "", VLOOKUP($A732,YES_Reading_FLA[],COLUMN(INDIRECT("YES_Reading_FLA[Difference - Per "&amp;VLOOKUP($D$2, 'Reading Report Logic'!$A$2:$B$8, 2, FALSE)&amp;"]")),FALSE))),""))),"")</f>
        <v/>
      </c>
      <c r="H732" s="206" t="str">
        <f ca="1">IFERROR(VLOOKUP('Teacher Reading Pull Sheets'!$D732,_xlfn.VSTACK('ELA Reading Logic'!$A$22:$B$48,'FLA Reading Logic'!$A$22:$B$53),2,FALSE)-VLOOKUP('Teacher Reading Pull Sheets'!$C732,_xlfn.VSTACK('ELA Reading Logic'!$A$22:$B$48,'FLA Reading Logic'!$A$22:$B$53),2,FALSE),"")</f>
        <v/>
      </c>
      <c r="I732" s="212"/>
      <c r="J732" s="206"/>
      <c r="K732" s="197" t="str" cm="1">
        <f t="array" ref="K732">IFERROR(
IF($J$2="ELA",
IF(VLOOKUP($A732, YES_Reading_ELA[], COLUMN(YES_Reading_ELA[Self-Identified as African Descent]), FALSE)="", "",
VLOOKUP($A732,YES_Reading_ELA[], COLUMN(YES_Reading_ELA[Self-Identified as African Descent]), FALSE)),
IF($J$2="FLA",
IF(VLOOKUP($A732, YES_Reading_FLA[], COLUMN(YES_Reading_FLA[Self-Identified as African Descent]),FALSE)="","",
VLOOKUP($A732,YES_Reading_FLA[],COLUMN(YES_Reading_FLA[Self-Identified as African Descent]),FALSE)),
IF($J$2="Combined",
IFERROR(
IF(VLOOKUP($A732, YES_Reading_ELA[], COLUMN(YES_Reading_ELA[Self-Identified as African Descent]), FALSE)="", "",
VLOOKUP($A732,YES_Reading_ELA[],COLUMN(YES_Reading_ELA[Self-Identified as African Descent]),FALSE)),
IF(VLOOKUP($A732, YES_Reading_FLA[], COLUMN(YES_Reading_FLA[Self-Identified as African Descent]),FALSE)="", "", VLOOKUP($A732,YES_Reading_FLA[],COLUMN(YES_Reading_FLA[Self-Identified as African Descent]),FALSE))),""))),"")</f>
        <v/>
      </c>
      <c r="L732" s="73" t="str" cm="1">
        <f t="array" ref="L732">IFERROR(
IF($J$2="ELA",
IF(VLOOKUP($A732, YES_Reading_ELA[], COLUMN(YES_Reading_ELA[Self-Identified as Indigenous]), FALSE)="", "",
VLOOKUP($A732,YES_Reading_ELA[], COLUMN(YES_Reading_ELA[Self-Identified as Indigenous]), FALSE)),
IF($J$2="FLA",
IF(VLOOKUP($A732, YES_Reading_FLA[], COLUMN(YES_Reading_FLA[Self-Identified as Indigenous]),FALSE)="","",
VLOOKUP($A732,YES_Reading_FLA[],COLUMN(YES_Reading_FLA[Self-Identified as Indigenous]),FALSE)),
IF($J$2="Combined",
IFERROR(
IF(VLOOKUP($A732, YES_Reading_ELA[], COLUMN(YES_Reading_ELA[Self-Identified as Indigenous]), FALSE)="", "",
VLOOKUP($A732,YES_Reading_ELA[],COLUMN(YES_Reading_ELA[Self-Identified as Indigenous]),FALSE)),
IF(VLOOKUP($A732, YES_Reading_FLA[], COLUMN(YES_Reading_FLA[Self-Identified as Indigenous]),FALSE)="", "", VLOOKUP($A732,YES_Reading_FLA[],COLUMN(YES_Reading_FLA[Self-Identified as Indigenous]),FALSE))),""))),"")</f>
        <v/>
      </c>
    </row>
    <row r="733" spans="1:12" ht="19.5" customHeight="1" x14ac:dyDescent="0.25">
      <c r="A733" s="217"/>
      <c r="B733" s="220" t="str">
        <f>IFERROR(VLOOKUP(A733,_xlfn.VSTACK(YES_Reading_ELA[],YES_Reading_FLA[]),2,FALSE),"")</f>
        <v/>
      </c>
      <c r="C733" s="203" t="str" cm="1">
        <f t="array" aca="1" ref="C733" ca="1">IFERROR(
IF($J$2="ELA",
IF(VLOOKUP($A733, YES_Reading_ELA[], COLUMN(IF(VLOOKUP($D$2, 'Reading Report Logic'!$A$2:$B$8, 2, FALSE)=1, YES_Reading_ELA[Reading Level June of Previous School Year], INDIRECT("YES_Reading_ELA[Instructional Reading Level - Per "&amp;(VLOOKUP($D$2,'Reading Report Logic'!$A$2:$B$8,2,FALSE)-1)&amp;"]"))), FALSE)="", "",
VLOOKUP($A733,YES_Reading_ELA[], COLUMN(IF(VLOOKUP($D$2,'Reading Report Logic'!$A$2:$B$8,2,FALSE)=1, YES_Reading_ELA[Reading Level June of Previous School Year],INDIRECT("YES_Reading_ELA[Instructional Reading Level - Per "&amp;(VLOOKUP($D$2,'Reading Report Logic'!$A$2:$B$8,2,FALSE)-1)&amp;"]"))), FALSE)),
IF($J$2="FLA",
IF(VLOOKUP($A733, YES_Reading_FLA[], COLUMN(IF(VLOOKUP($D$2,'Reading Report Logic'!$A$2:$B$8,2,FALSE)=1, YES_Reading_FLA[Reading Level June of Previous School Year],INDIRECT("YES_Reading_FLA[Instructional Reading Level - Per "&amp;(VLOOKUP($D$2,'Reading Report Logic'!$A$2:$B$8,2,FALSE)-1)&amp;"]"))),FALSE)="","",
VLOOKUP($A733,YES_Reading_FLA[], COLUMN(IF(VLOOKUP($D$2,'Reading Report Logic'!$A$2:$B$8,2,FALSE)=1, YES_Reading_FLA[Reading Level June of Previous School Year],INDIRECT("YES_Reading_FLA[Instructional Reading Level - Per "&amp;(VLOOKUP($D$2,'Reading Report Logic'!$A$2:$B$8,2,FALSE)-1)&amp;"]"))),FALSE)),
IF($J$2="Combined",
IFERROR(
IF(VLOOKUP($A733, YES_Reading_ELA[], COLUMN(IF(VLOOKUP($D$2,'Reading Report Logic'!$A$2:$B$8,2,FALSE)=1, YES_Reading_ELA[Reading Level June of Previous School Year],INDIRECT("YES_Reading_ELA[Instructional Reading Level - Per "&amp;(VLOOKUP($D$2,'Reading Report Logic'!$A$2:$B$8,2,FALSE)-1)&amp;"]"))), FALSE)="", "",
VLOOKUP($A733,YES_Reading_ELA[],COLUMN(IF(VLOOKUP($D$2,'Reading Report Logic'!$A$2:$B$8,2,FALSE)=1, YES_Reading_ELA[Reading Level June of Previous School Year],INDIRECT("YES_Reading_ELA[Instructional Reading Level - Per "&amp;(VLOOKUP($D$2,'Reading Report Logic'!$A$2:$B$8,2,FALSE)-1)&amp;"]"))),FALSE)),
IF(VLOOKUP($A733, YES_Reading_FLA[], COLUMN(IF(VLOOKUP($D$2,'Reading Report Logic'!$A$2:$B$8,2,FALSE)=1, YES_Reading_FLA[Reading Level June of Previous School Year],INDIRECT("YES_Reading_FLA[Instructional Reading Level - Per "&amp;(VLOOKUP($D$2,'Reading Report Logic'!$A$2:$B$8,2,FALSE)-1)&amp;"]"))),FALSE)="", "", VLOOKUP($A733,YES_Reading_FLA[],COLUMN(IF(VLOOKUP($D$2,'Reading Report Logic'!$A$2:$B$8,2,FALSE)=1, YES_Reading_FLA[Reading Level June of Previous School Year],INDIRECT("YES_Reading_FLA[Instructional Reading Level - Per "&amp;(VLOOKUP($D$2,'Reading Report Logic'!$A$2:$B$8,2,FALSE)-1)&amp;"]"))), FALSE))),""))),"")</f>
        <v/>
      </c>
      <c r="D733" s="204" t="str" cm="1">
        <f t="array" aca="1" ref="D733" ca="1">IFERROR(
IF($J$2="ELA",
IF(VLOOKUP($A733, YES_Reading_ELA[], COLUMN(INDIRECT("YES_Reading_ELA[Instructional Reading Level - Per "&amp;VLOOKUP($D$2, 'Reading Report Logic'!$A$2:$B$8, 2, FALSE)&amp;"]")), FALSE)="", "",
VLOOKUP($A733,YES_Reading_ELA[], COLUMN(INDIRECT("YES_Reading_ELA[Instructional Reading Level - Per "&amp;VLOOKUP($D$2,'Reading Report Logic'!$A$2:$B$8,2,FALSE)&amp;"]")), FALSE)),
IF($J$2="FLA",
IF(VLOOKUP($A733, YES_Reading_FLA[], COLUMN(INDIRECT("YES_Reading_FLA[Instructional Reading Level - Per "&amp;VLOOKUP($D$2,'Reading Report Logic'!$A$2:$B$8,2,FALSE)&amp;"]")),FALSE)="","",
VLOOKUP($A733,YES_Reading_FLA[],COLUMN(INDIRECT("YES_Reading_FLA[Instructional Reading Level - Per "&amp;VLOOKUP($D$2,'Reading Report Logic'!$A$2:$B$8,2,FALSE)&amp;"]")),FALSE)),
IF($J$2="Combined",
IFERROR(
IF(VLOOKUP($A733, YES_Reading_ELA[], COLUMN(INDIRECT("YES_Reading_ELA[Instructional Reading Level - Per "&amp;VLOOKUP($D$2, 'Reading Report Logic'!$A$2:$B$8,2,FALSE)&amp;"]")), FALSE)="", "",
VLOOKUP($A733,YES_Reading_ELA[],COLUMN(INDIRECT("YES_Reading_ELA[Instructional Reading Level - Per "&amp;VLOOKUP($D$2,'Reading Report Logic'!$A$2:$B$8,2,FALSE)&amp;"]")),FALSE)),
IF(VLOOKUP($A733, YES_Reading_FLA[], COLUMN(INDIRECT("YES_Reading_FLA[Instructional Reading Level - Per "&amp;VLOOKUP($D$2, 'Reading Report Logic'!$A$2:$B$8, 2, FALSE)&amp;"]")),FALSE)="", "", VLOOKUP($A733,YES_Reading_FLA[],COLUMN(INDIRECT("YES_Reading_FLA[Instructional Reading Level - Per "&amp;VLOOKUP($D$2, 'Reading Report Logic'!$A$2:$B$8, 2, FALSE)&amp;"]")),FALSE))),""))),"")</f>
        <v/>
      </c>
      <c r="E733" s="205" t="str" cm="1">
        <f t="array" aca="1" ref="E733" ca="1">IFERROR(
IF($J$2="ELA",
IF(VLOOKUP($A733, YES_Reading_ELA[], COLUMN(INDIRECT("YES_Reading_ELA[Min Expectation - Per "&amp;VLOOKUP($D$2, 'Reading Report Logic'!$A$2:$B$8, 2, FALSE)&amp;"]")), FALSE)="", "",
VLOOKUP($A733,YES_Reading_ELA[], COLUMN(INDIRECT("YES_Reading_ELA[Min Expectation - Per "&amp;VLOOKUP($D$2,'Reading Report Logic'!$A$2:$B$8,2,FALSE)&amp;"]")), FALSE)),
IF($J$2="FLA",
IF(VLOOKUP($A733, YES_Reading_FLA[], COLUMN(INDIRECT("YES_Reading_FLA[Min Expectation - Per "&amp;VLOOKUP($D$2,'Reading Report Logic'!$A$2:$B$8,2,FALSE)&amp;"]")),FALSE)="","",
VLOOKUP($A733,YES_Reading_FLA[],COLUMN(INDIRECT("YES_Reading_FLA[Min Expectation - Per "&amp;VLOOKUP($D$2,'Reading Report Logic'!$A$2:$B$8,2,FALSE)&amp;"]")),FALSE)),
IF($J$2="Combined",
IFERROR(
IF(VLOOKUP($A733, YES_Reading_ELA[], COLUMN(INDIRECT("YES_Reading_ELA[Min Expectation - Per "&amp;VLOOKUP($D$2, 'Reading Report Logic'!$A$2:$B$8,2,FALSE)&amp;"]")), FALSE)="", "",
VLOOKUP($A733,YES_Reading_ELA[],COLUMN(INDIRECT("YES_Reading_ELA[Min Expectation - Per "&amp;VLOOKUP($D$2,'Reading Report Logic'!$A$2:$B$8,2,FALSE)&amp;"]")),FALSE)),
IF(VLOOKUP($A733, YES_Reading_FLA[], COLUMN(INDIRECT("YES_Reading_FLA[Min Expectation - Per "&amp;VLOOKUP($D$2, 'Reading Report Logic'!$A$2:$B$8, 2, FALSE)&amp;"]")),FALSE)="", "", VLOOKUP($A733,YES_Reading_FLA[],COLUMN(INDIRECT("YES_Reading_FLA[Min Expectation - Per "&amp;VLOOKUP($D$2, 'Reading Report Logic'!$A$2:$B$8, 2, FALSE)&amp;"]")),FALSE))),""))),"")</f>
        <v/>
      </c>
      <c r="F733" s="205" t="str" cm="1">
        <f t="array" aca="1" ref="F733" ca="1">IFERROR(
IF($J$2="ELA",
IF(VLOOKUP($A733, YES_Reading_ELA[], COLUMN(INDIRECT("YES_Reading_ELA[Max Expectation - Per "&amp;VLOOKUP($D$2, 'Reading Report Logic'!$A$2:$B$8, 2, FALSE)&amp;"]")), FALSE)="", "",
VLOOKUP($A733,YES_Reading_ELA[], COLUMN(INDIRECT("YES_Reading_ELA[Max Expectation - Per "&amp;VLOOKUP($D$2,'Reading Report Logic'!$A$2:$B$8,2,FALSE)&amp;"]")), FALSE)),
IF($J$2="FLA",
IF(VLOOKUP($A733, YES_Reading_FLA[], COLUMN(INDIRECT("YES_Reading_FLA[Max Expectation - Per "&amp;VLOOKUP($D$2,'Reading Report Logic'!$A$2:$B$8,2,FALSE)&amp;"]")),FALSE)="","",
VLOOKUP($A733,YES_Reading_FLA[],COLUMN(INDIRECT("YES_Reading_FLA[Max Expectation - Per "&amp;VLOOKUP($D$2,'Reading Report Logic'!$A$2:$B$8,2,FALSE)&amp;"]")),FALSE)),
IF($J$2="Combined",
IFERROR(
IF(VLOOKUP($A733, YES_Reading_ELA[], COLUMN(INDIRECT("YES_Reading_ELA[Max Expectation - Per "&amp;VLOOKUP($D$2, 'Reading Report Logic'!$A$2:$B$8,2,FALSE)&amp;"]")), FALSE)="", "",
VLOOKUP($A733,YES_Reading_ELA[],COLUMN(INDIRECT("YES_Reading_ELA[Max Expectation - Per "&amp;VLOOKUP($D$2,'Reading Report Logic'!$A$2:$B$8,2,FALSE)&amp;"]")),FALSE)),
IF(VLOOKUP($A733, YES_Reading_FLA[], COLUMN(INDIRECT("YES_Reading_FLA[Max Expectation - Per "&amp;VLOOKUP($D$2, 'Reading Report Logic'!$A$2:$B$8, 2, FALSE)&amp;"]")),FALSE)="", "", VLOOKUP($A733,YES_Reading_FLA[],COLUMN(INDIRECT("YES_Reading_FLA[Max Expectation - Per "&amp;VLOOKUP($D$2, 'Reading Report Logic'!$A$2:$B$8, 2, FALSE)&amp;"]")),FALSE))),""))),"")</f>
        <v/>
      </c>
      <c r="G733" s="205" t="str" cm="1">
        <f t="array" aca="1" ref="G733" ca="1">IFERROR(
IF($J$2="ELA",
IF(VLOOKUP($A733, YES_Reading_ELA[], COLUMN(INDIRECT("YES_Reading_ELA[Difference - Per "&amp;VLOOKUP($D$2, 'Reading Report Logic'!$A$2:$B$8, 2, FALSE)&amp;"]")), FALSE)="", "",
VLOOKUP($A733,YES_Reading_ELA[], COLUMN(INDIRECT("YES_Reading_ELA[Difference - Per "&amp;VLOOKUP($D$2,'Reading Report Logic'!$A$2:$B$8,2,FALSE)&amp;"]")), FALSE)),
IF($J$2="FLA",
IF(VLOOKUP($A733, YES_Reading_FLA[], COLUMN(INDIRECT("YES_Reading_FLA[Difference - Per "&amp;VLOOKUP($D$2,'Reading Report Logic'!$A$2:$B$8,2,FALSE)&amp;"]")),FALSE)="","",
VLOOKUP($A733,YES_Reading_FLA[],COLUMN(INDIRECT("YES_Reading_FLA[Difference - Per "&amp;VLOOKUP($D$2,'Reading Report Logic'!$A$2:$B$8,2,FALSE)&amp;"]")),FALSE)),
IF($J$2="Combined",
IFERROR(
IF(VLOOKUP($A733, YES_Reading_ELA[], COLUMN(INDIRECT("YES_Reading_ELA[Difference - Per "&amp;VLOOKUP($D$2, 'Reading Report Logic'!$A$2:$B$8,2,FALSE)&amp;"]")), FALSE)="", "",
VLOOKUP($A733,YES_Reading_ELA[],COLUMN(INDIRECT("YES_Reading_ELA[Difference - Per "&amp;VLOOKUP($D$2,'Reading Report Logic'!$A$2:$B$8,2,FALSE)&amp;"]")),FALSE)),
IF(VLOOKUP($A733, YES_Reading_FLA[], COLUMN(INDIRECT("YES_Reading_FLA[Difference - Per "&amp;VLOOKUP($D$2, 'Reading Report Logic'!$A$2:$B$8, 2, FALSE)&amp;"]")),FALSE)="", "", VLOOKUP($A733,YES_Reading_FLA[],COLUMN(INDIRECT("YES_Reading_FLA[Difference - Per "&amp;VLOOKUP($D$2, 'Reading Report Logic'!$A$2:$B$8, 2, FALSE)&amp;"]")),FALSE))),""))),"")</f>
        <v/>
      </c>
      <c r="H733" s="206" t="str">
        <f ca="1">IFERROR(VLOOKUP('Teacher Reading Pull Sheets'!$D733,_xlfn.VSTACK('ELA Reading Logic'!$A$22:$B$48,'FLA Reading Logic'!$A$22:$B$53),2,FALSE)-VLOOKUP('Teacher Reading Pull Sheets'!$C733,_xlfn.VSTACK('ELA Reading Logic'!$A$22:$B$48,'FLA Reading Logic'!$A$22:$B$53),2,FALSE),"")</f>
        <v/>
      </c>
      <c r="I733" s="212"/>
      <c r="J733" s="206"/>
      <c r="K733" s="197" t="str" cm="1">
        <f t="array" ref="K733">IFERROR(
IF($J$2="ELA",
IF(VLOOKUP($A733, YES_Reading_ELA[], COLUMN(YES_Reading_ELA[Self-Identified as African Descent]), FALSE)="", "",
VLOOKUP($A733,YES_Reading_ELA[], COLUMN(YES_Reading_ELA[Self-Identified as African Descent]), FALSE)),
IF($J$2="FLA",
IF(VLOOKUP($A733, YES_Reading_FLA[], COLUMN(YES_Reading_FLA[Self-Identified as African Descent]),FALSE)="","",
VLOOKUP($A733,YES_Reading_FLA[],COLUMN(YES_Reading_FLA[Self-Identified as African Descent]),FALSE)),
IF($J$2="Combined",
IFERROR(
IF(VLOOKUP($A733, YES_Reading_ELA[], COLUMN(YES_Reading_ELA[Self-Identified as African Descent]), FALSE)="", "",
VLOOKUP($A733,YES_Reading_ELA[],COLUMN(YES_Reading_ELA[Self-Identified as African Descent]),FALSE)),
IF(VLOOKUP($A733, YES_Reading_FLA[], COLUMN(YES_Reading_FLA[Self-Identified as African Descent]),FALSE)="", "", VLOOKUP($A733,YES_Reading_FLA[],COLUMN(YES_Reading_FLA[Self-Identified as African Descent]),FALSE))),""))),"")</f>
        <v/>
      </c>
      <c r="L733" s="73" t="str" cm="1">
        <f t="array" ref="L733">IFERROR(
IF($J$2="ELA",
IF(VLOOKUP($A733, YES_Reading_ELA[], COLUMN(YES_Reading_ELA[Self-Identified as Indigenous]), FALSE)="", "",
VLOOKUP($A733,YES_Reading_ELA[], COLUMN(YES_Reading_ELA[Self-Identified as Indigenous]), FALSE)),
IF($J$2="FLA",
IF(VLOOKUP($A733, YES_Reading_FLA[], COLUMN(YES_Reading_FLA[Self-Identified as Indigenous]),FALSE)="","",
VLOOKUP($A733,YES_Reading_FLA[],COLUMN(YES_Reading_FLA[Self-Identified as Indigenous]),FALSE)),
IF($J$2="Combined",
IFERROR(
IF(VLOOKUP($A733, YES_Reading_ELA[], COLUMN(YES_Reading_ELA[Self-Identified as Indigenous]), FALSE)="", "",
VLOOKUP($A733,YES_Reading_ELA[],COLUMN(YES_Reading_ELA[Self-Identified as Indigenous]),FALSE)),
IF(VLOOKUP($A733, YES_Reading_FLA[], COLUMN(YES_Reading_FLA[Self-Identified as Indigenous]),FALSE)="", "", VLOOKUP($A733,YES_Reading_FLA[],COLUMN(YES_Reading_FLA[Self-Identified as Indigenous]),FALSE))),""))),"")</f>
        <v/>
      </c>
    </row>
    <row r="734" spans="1:12" ht="19.5" customHeight="1" x14ac:dyDescent="0.25">
      <c r="A734" s="217"/>
      <c r="B734" s="220" t="str">
        <f>IFERROR(VLOOKUP(A734,_xlfn.VSTACK(YES_Reading_ELA[],YES_Reading_FLA[]),2,FALSE),"")</f>
        <v/>
      </c>
      <c r="C734" s="203" t="str" cm="1">
        <f t="array" aca="1" ref="C734" ca="1">IFERROR(
IF($J$2="ELA",
IF(VLOOKUP($A734, YES_Reading_ELA[], COLUMN(IF(VLOOKUP($D$2, 'Reading Report Logic'!$A$2:$B$8, 2, FALSE)=1, YES_Reading_ELA[Reading Level June of Previous School Year], INDIRECT("YES_Reading_ELA[Instructional Reading Level - Per "&amp;(VLOOKUP($D$2,'Reading Report Logic'!$A$2:$B$8,2,FALSE)-1)&amp;"]"))), FALSE)="", "",
VLOOKUP($A734,YES_Reading_ELA[], COLUMN(IF(VLOOKUP($D$2,'Reading Report Logic'!$A$2:$B$8,2,FALSE)=1, YES_Reading_ELA[Reading Level June of Previous School Year],INDIRECT("YES_Reading_ELA[Instructional Reading Level - Per "&amp;(VLOOKUP($D$2,'Reading Report Logic'!$A$2:$B$8,2,FALSE)-1)&amp;"]"))), FALSE)),
IF($J$2="FLA",
IF(VLOOKUP($A734, YES_Reading_FLA[], COLUMN(IF(VLOOKUP($D$2,'Reading Report Logic'!$A$2:$B$8,2,FALSE)=1, YES_Reading_FLA[Reading Level June of Previous School Year],INDIRECT("YES_Reading_FLA[Instructional Reading Level - Per "&amp;(VLOOKUP($D$2,'Reading Report Logic'!$A$2:$B$8,2,FALSE)-1)&amp;"]"))),FALSE)="","",
VLOOKUP($A734,YES_Reading_FLA[], COLUMN(IF(VLOOKUP($D$2,'Reading Report Logic'!$A$2:$B$8,2,FALSE)=1, YES_Reading_FLA[Reading Level June of Previous School Year],INDIRECT("YES_Reading_FLA[Instructional Reading Level - Per "&amp;(VLOOKUP($D$2,'Reading Report Logic'!$A$2:$B$8,2,FALSE)-1)&amp;"]"))),FALSE)),
IF($J$2="Combined",
IFERROR(
IF(VLOOKUP($A734, YES_Reading_ELA[], COLUMN(IF(VLOOKUP($D$2,'Reading Report Logic'!$A$2:$B$8,2,FALSE)=1, YES_Reading_ELA[Reading Level June of Previous School Year],INDIRECT("YES_Reading_ELA[Instructional Reading Level - Per "&amp;(VLOOKUP($D$2,'Reading Report Logic'!$A$2:$B$8,2,FALSE)-1)&amp;"]"))), FALSE)="", "",
VLOOKUP($A734,YES_Reading_ELA[],COLUMN(IF(VLOOKUP($D$2,'Reading Report Logic'!$A$2:$B$8,2,FALSE)=1, YES_Reading_ELA[Reading Level June of Previous School Year],INDIRECT("YES_Reading_ELA[Instructional Reading Level - Per "&amp;(VLOOKUP($D$2,'Reading Report Logic'!$A$2:$B$8,2,FALSE)-1)&amp;"]"))),FALSE)),
IF(VLOOKUP($A734, YES_Reading_FLA[], COLUMN(IF(VLOOKUP($D$2,'Reading Report Logic'!$A$2:$B$8,2,FALSE)=1, YES_Reading_FLA[Reading Level June of Previous School Year],INDIRECT("YES_Reading_FLA[Instructional Reading Level - Per "&amp;(VLOOKUP($D$2,'Reading Report Logic'!$A$2:$B$8,2,FALSE)-1)&amp;"]"))),FALSE)="", "", VLOOKUP($A734,YES_Reading_FLA[],COLUMN(IF(VLOOKUP($D$2,'Reading Report Logic'!$A$2:$B$8,2,FALSE)=1, YES_Reading_FLA[Reading Level June of Previous School Year],INDIRECT("YES_Reading_FLA[Instructional Reading Level - Per "&amp;(VLOOKUP($D$2,'Reading Report Logic'!$A$2:$B$8,2,FALSE)-1)&amp;"]"))), FALSE))),""))),"")</f>
        <v/>
      </c>
      <c r="D734" s="204" t="str" cm="1">
        <f t="array" aca="1" ref="D734" ca="1">IFERROR(
IF($J$2="ELA",
IF(VLOOKUP($A734, YES_Reading_ELA[], COLUMN(INDIRECT("YES_Reading_ELA[Instructional Reading Level - Per "&amp;VLOOKUP($D$2, 'Reading Report Logic'!$A$2:$B$8, 2, FALSE)&amp;"]")), FALSE)="", "",
VLOOKUP($A734,YES_Reading_ELA[], COLUMN(INDIRECT("YES_Reading_ELA[Instructional Reading Level - Per "&amp;VLOOKUP($D$2,'Reading Report Logic'!$A$2:$B$8,2,FALSE)&amp;"]")), FALSE)),
IF($J$2="FLA",
IF(VLOOKUP($A734, YES_Reading_FLA[], COLUMN(INDIRECT("YES_Reading_FLA[Instructional Reading Level - Per "&amp;VLOOKUP($D$2,'Reading Report Logic'!$A$2:$B$8,2,FALSE)&amp;"]")),FALSE)="","",
VLOOKUP($A734,YES_Reading_FLA[],COLUMN(INDIRECT("YES_Reading_FLA[Instructional Reading Level - Per "&amp;VLOOKUP($D$2,'Reading Report Logic'!$A$2:$B$8,2,FALSE)&amp;"]")),FALSE)),
IF($J$2="Combined",
IFERROR(
IF(VLOOKUP($A734, YES_Reading_ELA[], COLUMN(INDIRECT("YES_Reading_ELA[Instructional Reading Level - Per "&amp;VLOOKUP($D$2, 'Reading Report Logic'!$A$2:$B$8,2,FALSE)&amp;"]")), FALSE)="", "",
VLOOKUP($A734,YES_Reading_ELA[],COLUMN(INDIRECT("YES_Reading_ELA[Instructional Reading Level - Per "&amp;VLOOKUP($D$2,'Reading Report Logic'!$A$2:$B$8,2,FALSE)&amp;"]")),FALSE)),
IF(VLOOKUP($A734, YES_Reading_FLA[], COLUMN(INDIRECT("YES_Reading_FLA[Instructional Reading Level - Per "&amp;VLOOKUP($D$2, 'Reading Report Logic'!$A$2:$B$8, 2, FALSE)&amp;"]")),FALSE)="", "", VLOOKUP($A734,YES_Reading_FLA[],COLUMN(INDIRECT("YES_Reading_FLA[Instructional Reading Level - Per "&amp;VLOOKUP($D$2, 'Reading Report Logic'!$A$2:$B$8, 2, FALSE)&amp;"]")),FALSE))),""))),"")</f>
        <v/>
      </c>
      <c r="E734" s="205" t="str" cm="1">
        <f t="array" aca="1" ref="E734" ca="1">IFERROR(
IF($J$2="ELA",
IF(VLOOKUP($A734, YES_Reading_ELA[], COLUMN(INDIRECT("YES_Reading_ELA[Min Expectation - Per "&amp;VLOOKUP($D$2, 'Reading Report Logic'!$A$2:$B$8, 2, FALSE)&amp;"]")), FALSE)="", "",
VLOOKUP($A734,YES_Reading_ELA[], COLUMN(INDIRECT("YES_Reading_ELA[Min Expectation - Per "&amp;VLOOKUP($D$2,'Reading Report Logic'!$A$2:$B$8,2,FALSE)&amp;"]")), FALSE)),
IF($J$2="FLA",
IF(VLOOKUP($A734, YES_Reading_FLA[], COLUMN(INDIRECT("YES_Reading_FLA[Min Expectation - Per "&amp;VLOOKUP($D$2,'Reading Report Logic'!$A$2:$B$8,2,FALSE)&amp;"]")),FALSE)="","",
VLOOKUP($A734,YES_Reading_FLA[],COLUMN(INDIRECT("YES_Reading_FLA[Min Expectation - Per "&amp;VLOOKUP($D$2,'Reading Report Logic'!$A$2:$B$8,2,FALSE)&amp;"]")),FALSE)),
IF($J$2="Combined",
IFERROR(
IF(VLOOKUP($A734, YES_Reading_ELA[], COLUMN(INDIRECT("YES_Reading_ELA[Min Expectation - Per "&amp;VLOOKUP($D$2, 'Reading Report Logic'!$A$2:$B$8,2,FALSE)&amp;"]")), FALSE)="", "",
VLOOKUP($A734,YES_Reading_ELA[],COLUMN(INDIRECT("YES_Reading_ELA[Min Expectation - Per "&amp;VLOOKUP($D$2,'Reading Report Logic'!$A$2:$B$8,2,FALSE)&amp;"]")),FALSE)),
IF(VLOOKUP($A734, YES_Reading_FLA[], COLUMN(INDIRECT("YES_Reading_FLA[Min Expectation - Per "&amp;VLOOKUP($D$2, 'Reading Report Logic'!$A$2:$B$8, 2, FALSE)&amp;"]")),FALSE)="", "", VLOOKUP($A734,YES_Reading_FLA[],COLUMN(INDIRECT("YES_Reading_FLA[Min Expectation - Per "&amp;VLOOKUP($D$2, 'Reading Report Logic'!$A$2:$B$8, 2, FALSE)&amp;"]")),FALSE))),""))),"")</f>
        <v/>
      </c>
      <c r="F734" s="205" t="str" cm="1">
        <f t="array" aca="1" ref="F734" ca="1">IFERROR(
IF($J$2="ELA",
IF(VLOOKUP($A734, YES_Reading_ELA[], COLUMN(INDIRECT("YES_Reading_ELA[Max Expectation - Per "&amp;VLOOKUP($D$2, 'Reading Report Logic'!$A$2:$B$8, 2, FALSE)&amp;"]")), FALSE)="", "",
VLOOKUP($A734,YES_Reading_ELA[], COLUMN(INDIRECT("YES_Reading_ELA[Max Expectation - Per "&amp;VLOOKUP($D$2,'Reading Report Logic'!$A$2:$B$8,2,FALSE)&amp;"]")), FALSE)),
IF($J$2="FLA",
IF(VLOOKUP($A734, YES_Reading_FLA[], COLUMN(INDIRECT("YES_Reading_FLA[Max Expectation - Per "&amp;VLOOKUP($D$2,'Reading Report Logic'!$A$2:$B$8,2,FALSE)&amp;"]")),FALSE)="","",
VLOOKUP($A734,YES_Reading_FLA[],COLUMN(INDIRECT("YES_Reading_FLA[Max Expectation - Per "&amp;VLOOKUP($D$2,'Reading Report Logic'!$A$2:$B$8,2,FALSE)&amp;"]")),FALSE)),
IF($J$2="Combined",
IFERROR(
IF(VLOOKUP($A734, YES_Reading_ELA[], COLUMN(INDIRECT("YES_Reading_ELA[Max Expectation - Per "&amp;VLOOKUP($D$2, 'Reading Report Logic'!$A$2:$B$8,2,FALSE)&amp;"]")), FALSE)="", "",
VLOOKUP($A734,YES_Reading_ELA[],COLUMN(INDIRECT("YES_Reading_ELA[Max Expectation - Per "&amp;VLOOKUP($D$2,'Reading Report Logic'!$A$2:$B$8,2,FALSE)&amp;"]")),FALSE)),
IF(VLOOKUP($A734, YES_Reading_FLA[], COLUMN(INDIRECT("YES_Reading_FLA[Max Expectation - Per "&amp;VLOOKUP($D$2, 'Reading Report Logic'!$A$2:$B$8, 2, FALSE)&amp;"]")),FALSE)="", "", VLOOKUP($A734,YES_Reading_FLA[],COLUMN(INDIRECT("YES_Reading_FLA[Max Expectation - Per "&amp;VLOOKUP($D$2, 'Reading Report Logic'!$A$2:$B$8, 2, FALSE)&amp;"]")),FALSE))),""))),"")</f>
        <v/>
      </c>
      <c r="G734" s="205" t="str" cm="1">
        <f t="array" aca="1" ref="G734" ca="1">IFERROR(
IF($J$2="ELA",
IF(VLOOKUP($A734, YES_Reading_ELA[], COLUMN(INDIRECT("YES_Reading_ELA[Difference - Per "&amp;VLOOKUP($D$2, 'Reading Report Logic'!$A$2:$B$8, 2, FALSE)&amp;"]")), FALSE)="", "",
VLOOKUP($A734,YES_Reading_ELA[], COLUMN(INDIRECT("YES_Reading_ELA[Difference - Per "&amp;VLOOKUP($D$2,'Reading Report Logic'!$A$2:$B$8,2,FALSE)&amp;"]")), FALSE)),
IF($J$2="FLA",
IF(VLOOKUP($A734, YES_Reading_FLA[], COLUMN(INDIRECT("YES_Reading_FLA[Difference - Per "&amp;VLOOKUP($D$2,'Reading Report Logic'!$A$2:$B$8,2,FALSE)&amp;"]")),FALSE)="","",
VLOOKUP($A734,YES_Reading_FLA[],COLUMN(INDIRECT("YES_Reading_FLA[Difference - Per "&amp;VLOOKUP($D$2,'Reading Report Logic'!$A$2:$B$8,2,FALSE)&amp;"]")),FALSE)),
IF($J$2="Combined",
IFERROR(
IF(VLOOKUP($A734, YES_Reading_ELA[], COLUMN(INDIRECT("YES_Reading_ELA[Difference - Per "&amp;VLOOKUP($D$2, 'Reading Report Logic'!$A$2:$B$8,2,FALSE)&amp;"]")), FALSE)="", "",
VLOOKUP($A734,YES_Reading_ELA[],COLUMN(INDIRECT("YES_Reading_ELA[Difference - Per "&amp;VLOOKUP($D$2,'Reading Report Logic'!$A$2:$B$8,2,FALSE)&amp;"]")),FALSE)),
IF(VLOOKUP($A734, YES_Reading_FLA[], COLUMN(INDIRECT("YES_Reading_FLA[Difference - Per "&amp;VLOOKUP($D$2, 'Reading Report Logic'!$A$2:$B$8, 2, FALSE)&amp;"]")),FALSE)="", "", VLOOKUP($A734,YES_Reading_FLA[],COLUMN(INDIRECT("YES_Reading_FLA[Difference - Per "&amp;VLOOKUP($D$2, 'Reading Report Logic'!$A$2:$B$8, 2, FALSE)&amp;"]")),FALSE))),""))),"")</f>
        <v/>
      </c>
      <c r="H734" s="206" t="str">
        <f ca="1">IFERROR(VLOOKUP('Teacher Reading Pull Sheets'!$D734,_xlfn.VSTACK('ELA Reading Logic'!$A$22:$B$48,'FLA Reading Logic'!$A$22:$B$53),2,FALSE)-VLOOKUP('Teacher Reading Pull Sheets'!$C734,_xlfn.VSTACK('ELA Reading Logic'!$A$22:$B$48,'FLA Reading Logic'!$A$22:$B$53),2,FALSE),"")</f>
        <v/>
      </c>
      <c r="I734" s="212"/>
      <c r="J734" s="206"/>
      <c r="K734" s="197" t="str" cm="1">
        <f t="array" ref="K734">IFERROR(
IF($J$2="ELA",
IF(VLOOKUP($A734, YES_Reading_ELA[], COLUMN(YES_Reading_ELA[Self-Identified as African Descent]), FALSE)="", "",
VLOOKUP($A734,YES_Reading_ELA[], COLUMN(YES_Reading_ELA[Self-Identified as African Descent]), FALSE)),
IF($J$2="FLA",
IF(VLOOKUP($A734, YES_Reading_FLA[], COLUMN(YES_Reading_FLA[Self-Identified as African Descent]),FALSE)="","",
VLOOKUP($A734,YES_Reading_FLA[],COLUMN(YES_Reading_FLA[Self-Identified as African Descent]),FALSE)),
IF($J$2="Combined",
IFERROR(
IF(VLOOKUP($A734, YES_Reading_ELA[], COLUMN(YES_Reading_ELA[Self-Identified as African Descent]), FALSE)="", "",
VLOOKUP($A734,YES_Reading_ELA[],COLUMN(YES_Reading_ELA[Self-Identified as African Descent]),FALSE)),
IF(VLOOKUP($A734, YES_Reading_FLA[], COLUMN(YES_Reading_FLA[Self-Identified as African Descent]),FALSE)="", "", VLOOKUP($A734,YES_Reading_FLA[],COLUMN(YES_Reading_FLA[Self-Identified as African Descent]),FALSE))),""))),"")</f>
        <v/>
      </c>
      <c r="L734" s="73" t="str" cm="1">
        <f t="array" ref="L734">IFERROR(
IF($J$2="ELA",
IF(VLOOKUP($A734, YES_Reading_ELA[], COLUMN(YES_Reading_ELA[Self-Identified as Indigenous]), FALSE)="", "",
VLOOKUP($A734,YES_Reading_ELA[], COLUMN(YES_Reading_ELA[Self-Identified as Indigenous]), FALSE)),
IF($J$2="FLA",
IF(VLOOKUP($A734, YES_Reading_FLA[], COLUMN(YES_Reading_FLA[Self-Identified as Indigenous]),FALSE)="","",
VLOOKUP($A734,YES_Reading_FLA[],COLUMN(YES_Reading_FLA[Self-Identified as Indigenous]),FALSE)),
IF($J$2="Combined",
IFERROR(
IF(VLOOKUP($A734, YES_Reading_ELA[], COLUMN(YES_Reading_ELA[Self-Identified as Indigenous]), FALSE)="", "",
VLOOKUP($A734,YES_Reading_ELA[],COLUMN(YES_Reading_ELA[Self-Identified as Indigenous]),FALSE)),
IF(VLOOKUP($A734, YES_Reading_FLA[], COLUMN(YES_Reading_FLA[Self-Identified as Indigenous]),FALSE)="", "", VLOOKUP($A734,YES_Reading_FLA[],COLUMN(YES_Reading_FLA[Self-Identified as Indigenous]),FALSE))),""))),"")</f>
        <v/>
      </c>
    </row>
    <row r="735" spans="1:12" ht="19.5" customHeight="1" x14ac:dyDescent="0.25">
      <c r="A735" s="217"/>
      <c r="B735" s="220" t="str">
        <f>IFERROR(VLOOKUP(A735,_xlfn.VSTACK(YES_Reading_ELA[],YES_Reading_FLA[]),2,FALSE),"")</f>
        <v/>
      </c>
      <c r="C735" s="203" t="str" cm="1">
        <f t="array" aca="1" ref="C735" ca="1">IFERROR(
IF($J$2="ELA",
IF(VLOOKUP($A735, YES_Reading_ELA[], COLUMN(IF(VLOOKUP($D$2, 'Reading Report Logic'!$A$2:$B$8, 2, FALSE)=1, YES_Reading_ELA[Reading Level June of Previous School Year], INDIRECT("YES_Reading_ELA[Instructional Reading Level - Per "&amp;(VLOOKUP($D$2,'Reading Report Logic'!$A$2:$B$8,2,FALSE)-1)&amp;"]"))), FALSE)="", "",
VLOOKUP($A735,YES_Reading_ELA[], COLUMN(IF(VLOOKUP($D$2,'Reading Report Logic'!$A$2:$B$8,2,FALSE)=1, YES_Reading_ELA[Reading Level June of Previous School Year],INDIRECT("YES_Reading_ELA[Instructional Reading Level - Per "&amp;(VLOOKUP($D$2,'Reading Report Logic'!$A$2:$B$8,2,FALSE)-1)&amp;"]"))), FALSE)),
IF($J$2="FLA",
IF(VLOOKUP($A735, YES_Reading_FLA[], COLUMN(IF(VLOOKUP($D$2,'Reading Report Logic'!$A$2:$B$8,2,FALSE)=1, YES_Reading_FLA[Reading Level June of Previous School Year],INDIRECT("YES_Reading_FLA[Instructional Reading Level - Per "&amp;(VLOOKUP($D$2,'Reading Report Logic'!$A$2:$B$8,2,FALSE)-1)&amp;"]"))),FALSE)="","",
VLOOKUP($A735,YES_Reading_FLA[], COLUMN(IF(VLOOKUP($D$2,'Reading Report Logic'!$A$2:$B$8,2,FALSE)=1, YES_Reading_FLA[Reading Level June of Previous School Year],INDIRECT("YES_Reading_FLA[Instructional Reading Level - Per "&amp;(VLOOKUP($D$2,'Reading Report Logic'!$A$2:$B$8,2,FALSE)-1)&amp;"]"))),FALSE)),
IF($J$2="Combined",
IFERROR(
IF(VLOOKUP($A735, YES_Reading_ELA[], COLUMN(IF(VLOOKUP($D$2,'Reading Report Logic'!$A$2:$B$8,2,FALSE)=1, YES_Reading_ELA[Reading Level June of Previous School Year],INDIRECT("YES_Reading_ELA[Instructional Reading Level - Per "&amp;(VLOOKUP($D$2,'Reading Report Logic'!$A$2:$B$8,2,FALSE)-1)&amp;"]"))), FALSE)="", "",
VLOOKUP($A735,YES_Reading_ELA[],COLUMN(IF(VLOOKUP($D$2,'Reading Report Logic'!$A$2:$B$8,2,FALSE)=1, YES_Reading_ELA[Reading Level June of Previous School Year],INDIRECT("YES_Reading_ELA[Instructional Reading Level - Per "&amp;(VLOOKUP($D$2,'Reading Report Logic'!$A$2:$B$8,2,FALSE)-1)&amp;"]"))),FALSE)),
IF(VLOOKUP($A735, YES_Reading_FLA[], COLUMN(IF(VLOOKUP($D$2,'Reading Report Logic'!$A$2:$B$8,2,FALSE)=1, YES_Reading_FLA[Reading Level June of Previous School Year],INDIRECT("YES_Reading_FLA[Instructional Reading Level - Per "&amp;(VLOOKUP($D$2,'Reading Report Logic'!$A$2:$B$8,2,FALSE)-1)&amp;"]"))),FALSE)="", "", VLOOKUP($A735,YES_Reading_FLA[],COLUMN(IF(VLOOKUP($D$2,'Reading Report Logic'!$A$2:$B$8,2,FALSE)=1, YES_Reading_FLA[Reading Level June of Previous School Year],INDIRECT("YES_Reading_FLA[Instructional Reading Level - Per "&amp;(VLOOKUP($D$2,'Reading Report Logic'!$A$2:$B$8,2,FALSE)-1)&amp;"]"))), FALSE))),""))),"")</f>
        <v/>
      </c>
      <c r="D735" s="204" t="str" cm="1">
        <f t="array" aca="1" ref="D735" ca="1">IFERROR(
IF($J$2="ELA",
IF(VLOOKUP($A735, YES_Reading_ELA[], COLUMN(INDIRECT("YES_Reading_ELA[Instructional Reading Level - Per "&amp;VLOOKUP($D$2, 'Reading Report Logic'!$A$2:$B$8, 2, FALSE)&amp;"]")), FALSE)="", "",
VLOOKUP($A735,YES_Reading_ELA[], COLUMN(INDIRECT("YES_Reading_ELA[Instructional Reading Level - Per "&amp;VLOOKUP($D$2,'Reading Report Logic'!$A$2:$B$8,2,FALSE)&amp;"]")), FALSE)),
IF($J$2="FLA",
IF(VLOOKUP($A735, YES_Reading_FLA[], COLUMN(INDIRECT("YES_Reading_FLA[Instructional Reading Level - Per "&amp;VLOOKUP($D$2,'Reading Report Logic'!$A$2:$B$8,2,FALSE)&amp;"]")),FALSE)="","",
VLOOKUP($A735,YES_Reading_FLA[],COLUMN(INDIRECT("YES_Reading_FLA[Instructional Reading Level - Per "&amp;VLOOKUP($D$2,'Reading Report Logic'!$A$2:$B$8,2,FALSE)&amp;"]")),FALSE)),
IF($J$2="Combined",
IFERROR(
IF(VLOOKUP($A735, YES_Reading_ELA[], COLUMN(INDIRECT("YES_Reading_ELA[Instructional Reading Level - Per "&amp;VLOOKUP($D$2, 'Reading Report Logic'!$A$2:$B$8,2,FALSE)&amp;"]")), FALSE)="", "",
VLOOKUP($A735,YES_Reading_ELA[],COLUMN(INDIRECT("YES_Reading_ELA[Instructional Reading Level - Per "&amp;VLOOKUP($D$2,'Reading Report Logic'!$A$2:$B$8,2,FALSE)&amp;"]")),FALSE)),
IF(VLOOKUP($A735, YES_Reading_FLA[], COLUMN(INDIRECT("YES_Reading_FLA[Instructional Reading Level - Per "&amp;VLOOKUP($D$2, 'Reading Report Logic'!$A$2:$B$8, 2, FALSE)&amp;"]")),FALSE)="", "", VLOOKUP($A735,YES_Reading_FLA[],COLUMN(INDIRECT("YES_Reading_FLA[Instructional Reading Level - Per "&amp;VLOOKUP($D$2, 'Reading Report Logic'!$A$2:$B$8, 2, FALSE)&amp;"]")),FALSE))),""))),"")</f>
        <v/>
      </c>
      <c r="E735" s="205" t="str" cm="1">
        <f t="array" aca="1" ref="E735" ca="1">IFERROR(
IF($J$2="ELA",
IF(VLOOKUP($A735, YES_Reading_ELA[], COLUMN(INDIRECT("YES_Reading_ELA[Min Expectation - Per "&amp;VLOOKUP($D$2, 'Reading Report Logic'!$A$2:$B$8, 2, FALSE)&amp;"]")), FALSE)="", "",
VLOOKUP($A735,YES_Reading_ELA[], COLUMN(INDIRECT("YES_Reading_ELA[Min Expectation - Per "&amp;VLOOKUP($D$2,'Reading Report Logic'!$A$2:$B$8,2,FALSE)&amp;"]")), FALSE)),
IF($J$2="FLA",
IF(VLOOKUP($A735, YES_Reading_FLA[], COLUMN(INDIRECT("YES_Reading_FLA[Min Expectation - Per "&amp;VLOOKUP($D$2,'Reading Report Logic'!$A$2:$B$8,2,FALSE)&amp;"]")),FALSE)="","",
VLOOKUP($A735,YES_Reading_FLA[],COLUMN(INDIRECT("YES_Reading_FLA[Min Expectation - Per "&amp;VLOOKUP($D$2,'Reading Report Logic'!$A$2:$B$8,2,FALSE)&amp;"]")),FALSE)),
IF($J$2="Combined",
IFERROR(
IF(VLOOKUP($A735, YES_Reading_ELA[], COLUMN(INDIRECT("YES_Reading_ELA[Min Expectation - Per "&amp;VLOOKUP($D$2, 'Reading Report Logic'!$A$2:$B$8,2,FALSE)&amp;"]")), FALSE)="", "",
VLOOKUP($A735,YES_Reading_ELA[],COLUMN(INDIRECT("YES_Reading_ELA[Min Expectation - Per "&amp;VLOOKUP($D$2,'Reading Report Logic'!$A$2:$B$8,2,FALSE)&amp;"]")),FALSE)),
IF(VLOOKUP($A735, YES_Reading_FLA[], COLUMN(INDIRECT("YES_Reading_FLA[Min Expectation - Per "&amp;VLOOKUP($D$2, 'Reading Report Logic'!$A$2:$B$8, 2, FALSE)&amp;"]")),FALSE)="", "", VLOOKUP($A735,YES_Reading_FLA[],COLUMN(INDIRECT("YES_Reading_FLA[Min Expectation - Per "&amp;VLOOKUP($D$2, 'Reading Report Logic'!$A$2:$B$8, 2, FALSE)&amp;"]")),FALSE))),""))),"")</f>
        <v/>
      </c>
      <c r="F735" s="205" t="str" cm="1">
        <f t="array" aca="1" ref="F735" ca="1">IFERROR(
IF($J$2="ELA",
IF(VLOOKUP($A735, YES_Reading_ELA[], COLUMN(INDIRECT("YES_Reading_ELA[Max Expectation - Per "&amp;VLOOKUP($D$2, 'Reading Report Logic'!$A$2:$B$8, 2, FALSE)&amp;"]")), FALSE)="", "",
VLOOKUP($A735,YES_Reading_ELA[], COLUMN(INDIRECT("YES_Reading_ELA[Max Expectation - Per "&amp;VLOOKUP($D$2,'Reading Report Logic'!$A$2:$B$8,2,FALSE)&amp;"]")), FALSE)),
IF($J$2="FLA",
IF(VLOOKUP($A735, YES_Reading_FLA[], COLUMN(INDIRECT("YES_Reading_FLA[Max Expectation - Per "&amp;VLOOKUP($D$2,'Reading Report Logic'!$A$2:$B$8,2,FALSE)&amp;"]")),FALSE)="","",
VLOOKUP($A735,YES_Reading_FLA[],COLUMN(INDIRECT("YES_Reading_FLA[Max Expectation - Per "&amp;VLOOKUP($D$2,'Reading Report Logic'!$A$2:$B$8,2,FALSE)&amp;"]")),FALSE)),
IF($J$2="Combined",
IFERROR(
IF(VLOOKUP($A735, YES_Reading_ELA[], COLUMN(INDIRECT("YES_Reading_ELA[Max Expectation - Per "&amp;VLOOKUP($D$2, 'Reading Report Logic'!$A$2:$B$8,2,FALSE)&amp;"]")), FALSE)="", "",
VLOOKUP($A735,YES_Reading_ELA[],COLUMN(INDIRECT("YES_Reading_ELA[Max Expectation - Per "&amp;VLOOKUP($D$2,'Reading Report Logic'!$A$2:$B$8,2,FALSE)&amp;"]")),FALSE)),
IF(VLOOKUP($A735, YES_Reading_FLA[], COLUMN(INDIRECT("YES_Reading_FLA[Max Expectation - Per "&amp;VLOOKUP($D$2, 'Reading Report Logic'!$A$2:$B$8, 2, FALSE)&amp;"]")),FALSE)="", "", VLOOKUP($A735,YES_Reading_FLA[],COLUMN(INDIRECT("YES_Reading_FLA[Max Expectation - Per "&amp;VLOOKUP($D$2, 'Reading Report Logic'!$A$2:$B$8, 2, FALSE)&amp;"]")),FALSE))),""))),"")</f>
        <v/>
      </c>
      <c r="G735" s="205" t="str" cm="1">
        <f t="array" aca="1" ref="G735" ca="1">IFERROR(
IF($J$2="ELA",
IF(VLOOKUP($A735, YES_Reading_ELA[], COLUMN(INDIRECT("YES_Reading_ELA[Difference - Per "&amp;VLOOKUP($D$2, 'Reading Report Logic'!$A$2:$B$8, 2, FALSE)&amp;"]")), FALSE)="", "",
VLOOKUP($A735,YES_Reading_ELA[], COLUMN(INDIRECT("YES_Reading_ELA[Difference - Per "&amp;VLOOKUP($D$2,'Reading Report Logic'!$A$2:$B$8,2,FALSE)&amp;"]")), FALSE)),
IF($J$2="FLA",
IF(VLOOKUP($A735, YES_Reading_FLA[], COLUMN(INDIRECT("YES_Reading_FLA[Difference - Per "&amp;VLOOKUP($D$2,'Reading Report Logic'!$A$2:$B$8,2,FALSE)&amp;"]")),FALSE)="","",
VLOOKUP($A735,YES_Reading_FLA[],COLUMN(INDIRECT("YES_Reading_FLA[Difference - Per "&amp;VLOOKUP($D$2,'Reading Report Logic'!$A$2:$B$8,2,FALSE)&amp;"]")),FALSE)),
IF($J$2="Combined",
IFERROR(
IF(VLOOKUP($A735, YES_Reading_ELA[], COLUMN(INDIRECT("YES_Reading_ELA[Difference - Per "&amp;VLOOKUP($D$2, 'Reading Report Logic'!$A$2:$B$8,2,FALSE)&amp;"]")), FALSE)="", "",
VLOOKUP($A735,YES_Reading_ELA[],COLUMN(INDIRECT("YES_Reading_ELA[Difference - Per "&amp;VLOOKUP($D$2,'Reading Report Logic'!$A$2:$B$8,2,FALSE)&amp;"]")),FALSE)),
IF(VLOOKUP($A735, YES_Reading_FLA[], COLUMN(INDIRECT("YES_Reading_FLA[Difference - Per "&amp;VLOOKUP($D$2, 'Reading Report Logic'!$A$2:$B$8, 2, FALSE)&amp;"]")),FALSE)="", "", VLOOKUP($A735,YES_Reading_FLA[],COLUMN(INDIRECT("YES_Reading_FLA[Difference - Per "&amp;VLOOKUP($D$2, 'Reading Report Logic'!$A$2:$B$8, 2, FALSE)&amp;"]")),FALSE))),""))),"")</f>
        <v/>
      </c>
      <c r="H735" s="206" t="str">
        <f ca="1">IFERROR(VLOOKUP('Teacher Reading Pull Sheets'!$D735,_xlfn.VSTACK('ELA Reading Logic'!$A$22:$B$48,'FLA Reading Logic'!$A$22:$B$53),2,FALSE)-VLOOKUP('Teacher Reading Pull Sheets'!$C735,_xlfn.VSTACK('ELA Reading Logic'!$A$22:$B$48,'FLA Reading Logic'!$A$22:$B$53),2,FALSE),"")</f>
        <v/>
      </c>
      <c r="I735" s="212"/>
      <c r="J735" s="206"/>
      <c r="K735" s="197" t="str" cm="1">
        <f t="array" ref="K735">IFERROR(
IF($J$2="ELA",
IF(VLOOKUP($A735, YES_Reading_ELA[], COLUMN(YES_Reading_ELA[Self-Identified as African Descent]), FALSE)="", "",
VLOOKUP($A735,YES_Reading_ELA[], COLUMN(YES_Reading_ELA[Self-Identified as African Descent]), FALSE)),
IF($J$2="FLA",
IF(VLOOKUP($A735, YES_Reading_FLA[], COLUMN(YES_Reading_FLA[Self-Identified as African Descent]),FALSE)="","",
VLOOKUP($A735,YES_Reading_FLA[],COLUMN(YES_Reading_FLA[Self-Identified as African Descent]),FALSE)),
IF($J$2="Combined",
IFERROR(
IF(VLOOKUP($A735, YES_Reading_ELA[], COLUMN(YES_Reading_ELA[Self-Identified as African Descent]), FALSE)="", "",
VLOOKUP($A735,YES_Reading_ELA[],COLUMN(YES_Reading_ELA[Self-Identified as African Descent]),FALSE)),
IF(VLOOKUP($A735, YES_Reading_FLA[], COLUMN(YES_Reading_FLA[Self-Identified as African Descent]),FALSE)="", "", VLOOKUP($A735,YES_Reading_FLA[],COLUMN(YES_Reading_FLA[Self-Identified as African Descent]),FALSE))),""))),"")</f>
        <v/>
      </c>
      <c r="L735" s="73" t="str" cm="1">
        <f t="array" ref="L735">IFERROR(
IF($J$2="ELA",
IF(VLOOKUP($A735, YES_Reading_ELA[], COLUMN(YES_Reading_ELA[Self-Identified as Indigenous]), FALSE)="", "",
VLOOKUP($A735,YES_Reading_ELA[], COLUMN(YES_Reading_ELA[Self-Identified as Indigenous]), FALSE)),
IF($J$2="FLA",
IF(VLOOKUP($A735, YES_Reading_FLA[], COLUMN(YES_Reading_FLA[Self-Identified as Indigenous]),FALSE)="","",
VLOOKUP($A735,YES_Reading_FLA[],COLUMN(YES_Reading_FLA[Self-Identified as Indigenous]),FALSE)),
IF($J$2="Combined",
IFERROR(
IF(VLOOKUP($A735, YES_Reading_ELA[], COLUMN(YES_Reading_ELA[Self-Identified as Indigenous]), FALSE)="", "",
VLOOKUP($A735,YES_Reading_ELA[],COLUMN(YES_Reading_ELA[Self-Identified as Indigenous]),FALSE)),
IF(VLOOKUP($A735, YES_Reading_FLA[], COLUMN(YES_Reading_FLA[Self-Identified as Indigenous]),FALSE)="", "", VLOOKUP($A735,YES_Reading_FLA[],COLUMN(YES_Reading_FLA[Self-Identified as Indigenous]),FALSE))),""))),"")</f>
        <v/>
      </c>
    </row>
    <row r="736" spans="1:12" ht="19.5" customHeight="1" x14ac:dyDescent="0.25">
      <c r="A736" s="217"/>
      <c r="B736" s="220" t="str">
        <f>IFERROR(VLOOKUP(A736,_xlfn.VSTACK(YES_Reading_ELA[],YES_Reading_FLA[]),2,FALSE),"")</f>
        <v/>
      </c>
      <c r="C736" s="203" t="str" cm="1">
        <f t="array" aca="1" ref="C736" ca="1">IFERROR(
IF($J$2="ELA",
IF(VLOOKUP($A736, YES_Reading_ELA[], COLUMN(IF(VLOOKUP($D$2, 'Reading Report Logic'!$A$2:$B$8, 2, FALSE)=1, YES_Reading_ELA[Reading Level June of Previous School Year], INDIRECT("YES_Reading_ELA[Instructional Reading Level - Per "&amp;(VLOOKUP($D$2,'Reading Report Logic'!$A$2:$B$8,2,FALSE)-1)&amp;"]"))), FALSE)="", "",
VLOOKUP($A736,YES_Reading_ELA[], COLUMN(IF(VLOOKUP($D$2,'Reading Report Logic'!$A$2:$B$8,2,FALSE)=1, YES_Reading_ELA[Reading Level June of Previous School Year],INDIRECT("YES_Reading_ELA[Instructional Reading Level - Per "&amp;(VLOOKUP($D$2,'Reading Report Logic'!$A$2:$B$8,2,FALSE)-1)&amp;"]"))), FALSE)),
IF($J$2="FLA",
IF(VLOOKUP($A736, YES_Reading_FLA[], COLUMN(IF(VLOOKUP($D$2,'Reading Report Logic'!$A$2:$B$8,2,FALSE)=1, YES_Reading_FLA[Reading Level June of Previous School Year],INDIRECT("YES_Reading_FLA[Instructional Reading Level - Per "&amp;(VLOOKUP($D$2,'Reading Report Logic'!$A$2:$B$8,2,FALSE)-1)&amp;"]"))),FALSE)="","",
VLOOKUP($A736,YES_Reading_FLA[], COLUMN(IF(VLOOKUP($D$2,'Reading Report Logic'!$A$2:$B$8,2,FALSE)=1, YES_Reading_FLA[Reading Level June of Previous School Year],INDIRECT("YES_Reading_FLA[Instructional Reading Level - Per "&amp;(VLOOKUP($D$2,'Reading Report Logic'!$A$2:$B$8,2,FALSE)-1)&amp;"]"))),FALSE)),
IF($J$2="Combined",
IFERROR(
IF(VLOOKUP($A736, YES_Reading_ELA[], COLUMN(IF(VLOOKUP($D$2,'Reading Report Logic'!$A$2:$B$8,2,FALSE)=1, YES_Reading_ELA[Reading Level June of Previous School Year],INDIRECT("YES_Reading_ELA[Instructional Reading Level - Per "&amp;(VLOOKUP($D$2,'Reading Report Logic'!$A$2:$B$8,2,FALSE)-1)&amp;"]"))), FALSE)="", "",
VLOOKUP($A736,YES_Reading_ELA[],COLUMN(IF(VLOOKUP($D$2,'Reading Report Logic'!$A$2:$B$8,2,FALSE)=1, YES_Reading_ELA[Reading Level June of Previous School Year],INDIRECT("YES_Reading_ELA[Instructional Reading Level - Per "&amp;(VLOOKUP($D$2,'Reading Report Logic'!$A$2:$B$8,2,FALSE)-1)&amp;"]"))),FALSE)),
IF(VLOOKUP($A736, YES_Reading_FLA[], COLUMN(IF(VLOOKUP($D$2,'Reading Report Logic'!$A$2:$B$8,2,FALSE)=1, YES_Reading_FLA[Reading Level June of Previous School Year],INDIRECT("YES_Reading_FLA[Instructional Reading Level - Per "&amp;(VLOOKUP($D$2,'Reading Report Logic'!$A$2:$B$8,2,FALSE)-1)&amp;"]"))),FALSE)="", "", VLOOKUP($A736,YES_Reading_FLA[],COLUMN(IF(VLOOKUP($D$2,'Reading Report Logic'!$A$2:$B$8,2,FALSE)=1, YES_Reading_FLA[Reading Level June of Previous School Year],INDIRECT("YES_Reading_FLA[Instructional Reading Level - Per "&amp;(VLOOKUP($D$2,'Reading Report Logic'!$A$2:$B$8,2,FALSE)-1)&amp;"]"))), FALSE))),""))),"")</f>
        <v/>
      </c>
      <c r="D736" s="204" t="str" cm="1">
        <f t="array" aca="1" ref="D736" ca="1">IFERROR(
IF($J$2="ELA",
IF(VLOOKUP($A736, YES_Reading_ELA[], COLUMN(INDIRECT("YES_Reading_ELA[Instructional Reading Level - Per "&amp;VLOOKUP($D$2, 'Reading Report Logic'!$A$2:$B$8, 2, FALSE)&amp;"]")), FALSE)="", "",
VLOOKUP($A736,YES_Reading_ELA[], COLUMN(INDIRECT("YES_Reading_ELA[Instructional Reading Level - Per "&amp;VLOOKUP($D$2,'Reading Report Logic'!$A$2:$B$8,2,FALSE)&amp;"]")), FALSE)),
IF($J$2="FLA",
IF(VLOOKUP($A736, YES_Reading_FLA[], COLUMN(INDIRECT("YES_Reading_FLA[Instructional Reading Level - Per "&amp;VLOOKUP($D$2,'Reading Report Logic'!$A$2:$B$8,2,FALSE)&amp;"]")),FALSE)="","",
VLOOKUP($A736,YES_Reading_FLA[],COLUMN(INDIRECT("YES_Reading_FLA[Instructional Reading Level - Per "&amp;VLOOKUP($D$2,'Reading Report Logic'!$A$2:$B$8,2,FALSE)&amp;"]")),FALSE)),
IF($J$2="Combined",
IFERROR(
IF(VLOOKUP($A736, YES_Reading_ELA[], COLUMN(INDIRECT("YES_Reading_ELA[Instructional Reading Level - Per "&amp;VLOOKUP($D$2, 'Reading Report Logic'!$A$2:$B$8,2,FALSE)&amp;"]")), FALSE)="", "",
VLOOKUP($A736,YES_Reading_ELA[],COLUMN(INDIRECT("YES_Reading_ELA[Instructional Reading Level - Per "&amp;VLOOKUP($D$2,'Reading Report Logic'!$A$2:$B$8,2,FALSE)&amp;"]")),FALSE)),
IF(VLOOKUP($A736, YES_Reading_FLA[], COLUMN(INDIRECT("YES_Reading_FLA[Instructional Reading Level - Per "&amp;VLOOKUP($D$2, 'Reading Report Logic'!$A$2:$B$8, 2, FALSE)&amp;"]")),FALSE)="", "", VLOOKUP($A736,YES_Reading_FLA[],COLUMN(INDIRECT("YES_Reading_FLA[Instructional Reading Level - Per "&amp;VLOOKUP($D$2, 'Reading Report Logic'!$A$2:$B$8, 2, FALSE)&amp;"]")),FALSE))),""))),"")</f>
        <v/>
      </c>
      <c r="E736" s="205" t="str" cm="1">
        <f t="array" aca="1" ref="E736" ca="1">IFERROR(
IF($J$2="ELA",
IF(VLOOKUP($A736, YES_Reading_ELA[], COLUMN(INDIRECT("YES_Reading_ELA[Min Expectation - Per "&amp;VLOOKUP($D$2, 'Reading Report Logic'!$A$2:$B$8, 2, FALSE)&amp;"]")), FALSE)="", "",
VLOOKUP($A736,YES_Reading_ELA[], COLUMN(INDIRECT("YES_Reading_ELA[Min Expectation - Per "&amp;VLOOKUP($D$2,'Reading Report Logic'!$A$2:$B$8,2,FALSE)&amp;"]")), FALSE)),
IF($J$2="FLA",
IF(VLOOKUP($A736, YES_Reading_FLA[], COLUMN(INDIRECT("YES_Reading_FLA[Min Expectation - Per "&amp;VLOOKUP($D$2,'Reading Report Logic'!$A$2:$B$8,2,FALSE)&amp;"]")),FALSE)="","",
VLOOKUP($A736,YES_Reading_FLA[],COLUMN(INDIRECT("YES_Reading_FLA[Min Expectation - Per "&amp;VLOOKUP($D$2,'Reading Report Logic'!$A$2:$B$8,2,FALSE)&amp;"]")),FALSE)),
IF($J$2="Combined",
IFERROR(
IF(VLOOKUP($A736, YES_Reading_ELA[], COLUMN(INDIRECT("YES_Reading_ELA[Min Expectation - Per "&amp;VLOOKUP($D$2, 'Reading Report Logic'!$A$2:$B$8,2,FALSE)&amp;"]")), FALSE)="", "",
VLOOKUP($A736,YES_Reading_ELA[],COLUMN(INDIRECT("YES_Reading_ELA[Min Expectation - Per "&amp;VLOOKUP($D$2,'Reading Report Logic'!$A$2:$B$8,2,FALSE)&amp;"]")),FALSE)),
IF(VLOOKUP($A736, YES_Reading_FLA[], COLUMN(INDIRECT("YES_Reading_FLA[Min Expectation - Per "&amp;VLOOKUP($D$2, 'Reading Report Logic'!$A$2:$B$8, 2, FALSE)&amp;"]")),FALSE)="", "", VLOOKUP($A736,YES_Reading_FLA[],COLUMN(INDIRECT("YES_Reading_FLA[Min Expectation - Per "&amp;VLOOKUP($D$2, 'Reading Report Logic'!$A$2:$B$8, 2, FALSE)&amp;"]")),FALSE))),""))),"")</f>
        <v/>
      </c>
      <c r="F736" s="205" t="str" cm="1">
        <f t="array" aca="1" ref="F736" ca="1">IFERROR(
IF($J$2="ELA",
IF(VLOOKUP($A736, YES_Reading_ELA[], COLUMN(INDIRECT("YES_Reading_ELA[Max Expectation - Per "&amp;VLOOKUP($D$2, 'Reading Report Logic'!$A$2:$B$8, 2, FALSE)&amp;"]")), FALSE)="", "",
VLOOKUP($A736,YES_Reading_ELA[], COLUMN(INDIRECT("YES_Reading_ELA[Max Expectation - Per "&amp;VLOOKUP($D$2,'Reading Report Logic'!$A$2:$B$8,2,FALSE)&amp;"]")), FALSE)),
IF($J$2="FLA",
IF(VLOOKUP($A736, YES_Reading_FLA[], COLUMN(INDIRECT("YES_Reading_FLA[Max Expectation - Per "&amp;VLOOKUP($D$2,'Reading Report Logic'!$A$2:$B$8,2,FALSE)&amp;"]")),FALSE)="","",
VLOOKUP($A736,YES_Reading_FLA[],COLUMN(INDIRECT("YES_Reading_FLA[Max Expectation - Per "&amp;VLOOKUP($D$2,'Reading Report Logic'!$A$2:$B$8,2,FALSE)&amp;"]")),FALSE)),
IF($J$2="Combined",
IFERROR(
IF(VLOOKUP($A736, YES_Reading_ELA[], COLUMN(INDIRECT("YES_Reading_ELA[Max Expectation - Per "&amp;VLOOKUP($D$2, 'Reading Report Logic'!$A$2:$B$8,2,FALSE)&amp;"]")), FALSE)="", "",
VLOOKUP($A736,YES_Reading_ELA[],COLUMN(INDIRECT("YES_Reading_ELA[Max Expectation - Per "&amp;VLOOKUP($D$2,'Reading Report Logic'!$A$2:$B$8,2,FALSE)&amp;"]")),FALSE)),
IF(VLOOKUP($A736, YES_Reading_FLA[], COLUMN(INDIRECT("YES_Reading_FLA[Max Expectation - Per "&amp;VLOOKUP($D$2, 'Reading Report Logic'!$A$2:$B$8, 2, FALSE)&amp;"]")),FALSE)="", "", VLOOKUP($A736,YES_Reading_FLA[],COLUMN(INDIRECT("YES_Reading_FLA[Max Expectation - Per "&amp;VLOOKUP($D$2, 'Reading Report Logic'!$A$2:$B$8, 2, FALSE)&amp;"]")),FALSE))),""))),"")</f>
        <v/>
      </c>
      <c r="G736" s="205" t="str" cm="1">
        <f t="array" aca="1" ref="G736" ca="1">IFERROR(
IF($J$2="ELA",
IF(VLOOKUP($A736, YES_Reading_ELA[], COLUMN(INDIRECT("YES_Reading_ELA[Difference - Per "&amp;VLOOKUP($D$2, 'Reading Report Logic'!$A$2:$B$8, 2, FALSE)&amp;"]")), FALSE)="", "",
VLOOKUP($A736,YES_Reading_ELA[], COLUMN(INDIRECT("YES_Reading_ELA[Difference - Per "&amp;VLOOKUP($D$2,'Reading Report Logic'!$A$2:$B$8,2,FALSE)&amp;"]")), FALSE)),
IF($J$2="FLA",
IF(VLOOKUP($A736, YES_Reading_FLA[], COLUMN(INDIRECT("YES_Reading_FLA[Difference - Per "&amp;VLOOKUP($D$2,'Reading Report Logic'!$A$2:$B$8,2,FALSE)&amp;"]")),FALSE)="","",
VLOOKUP($A736,YES_Reading_FLA[],COLUMN(INDIRECT("YES_Reading_FLA[Difference - Per "&amp;VLOOKUP($D$2,'Reading Report Logic'!$A$2:$B$8,2,FALSE)&amp;"]")),FALSE)),
IF($J$2="Combined",
IFERROR(
IF(VLOOKUP($A736, YES_Reading_ELA[], COLUMN(INDIRECT("YES_Reading_ELA[Difference - Per "&amp;VLOOKUP($D$2, 'Reading Report Logic'!$A$2:$B$8,2,FALSE)&amp;"]")), FALSE)="", "",
VLOOKUP($A736,YES_Reading_ELA[],COLUMN(INDIRECT("YES_Reading_ELA[Difference - Per "&amp;VLOOKUP($D$2,'Reading Report Logic'!$A$2:$B$8,2,FALSE)&amp;"]")),FALSE)),
IF(VLOOKUP($A736, YES_Reading_FLA[], COLUMN(INDIRECT("YES_Reading_FLA[Difference - Per "&amp;VLOOKUP($D$2, 'Reading Report Logic'!$A$2:$B$8, 2, FALSE)&amp;"]")),FALSE)="", "", VLOOKUP($A736,YES_Reading_FLA[],COLUMN(INDIRECT("YES_Reading_FLA[Difference - Per "&amp;VLOOKUP($D$2, 'Reading Report Logic'!$A$2:$B$8, 2, FALSE)&amp;"]")),FALSE))),""))),"")</f>
        <v/>
      </c>
      <c r="H736" s="206" t="str">
        <f ca="1">IFERROR(VLOOKUP('Teacher Reading Pull Sheets'!$D736,_xlfn.VSTACK('ELA Reading Logic'!$A$22:$B$48,'FLA Reading Logic'!$A$22:$B$53),2,FALSE)-VLOOKUP('Teacher Reading Pull Sheets'!$C736,_xlfn.VSTACK('ELA Reading Logic'!$A$22:$B$48,'FLA Reading Logic'!$A$22:$B$53),2,FALSE),"")</f>
        <v/>
      </c>
      <c r="I736" s="212"/>
      <c r="J736" s="206"/>
      <c r="K736" s="197" t="str" cm="1">
        <f t="array" ref="K736">IFERROR(
IF($J$2="ELA",
IF(VLOOKUP($A736, YES_Reading_ELA[], COLUMN(YES_Reading_ELA[Self-Identified as African Descent]), FALSE)="", "",
VLOOKUP($A736,YES_Reading_ELA[], COLUMN(YES_Reading_ELA[Self-Identified as African Descent]), FALSE)),
IF($J$2="FLA",
IF(VLOOKUP($A736, YES_Reading_FLA[], COLUMN(YES_Reading_FLA[Self-Identified as African Descent]),FALSE)="","",
VLOOKUP($A736,YES_Reading_FLA[],COLUMN(YES_Reading_FLA[Self-Identified as African Descent]),FALSE)),
IF($J$2="Combined",
IFERROR(
IF(VLOOKUP($A736, YES_Reading_ELA[], COLUMN(YES_Reading_ELA[Self-Identified as African Descent]), FALSE)="", "",
VLOOKUP($A736,YES_Reading_ELA[],COLUMN(YES_Reading_ELA[Self-Identified as African Descent]),FALSE)),
IF(VLOOKUP($A736, YES_Reading_FLA[], COLUMN(YES_Reading_FLA[Self-Identified as African Descent]),FALSE)="", "", VLOOKUP($A736,YES_Reading_FLA[],COLUMN(YES_Reading_FLA[Self-Identified as African Descent]),FALSE))),""))),"")</f>
        <v/>
      </c>
      <c r="L736" s="73" t="str" cm="1">
        <f t="array" ref="L736">IFERROR(
IF($J$2="ELA",
IF(VLOOKUP($A736, YES_Reading_ELA[], COLUMN(YES_Reading_ELA[Self-Identified as Indigenous]), FALSE)="", "",
VLOOKUP($A736,YES_Reading_ELA[], COLUMN(YES_Reading_ELA[Self-Identified as Indigenous]), FALSE)),
IF($J$2="FLA",
IF(VLOOKUP($A736, YES_Reading_FLA[], COLUMN(YES_Reading_FLA[Self-Identified as Indigenous]),FALSE)="","",
VLOOKUP($A736,YES_Reading_FLA[],COLUMN(YES_Reading_FLA[Self-Identified as Indigenous]),FALSE)),
IF($J$2="Combined",
IFERROR(
IF(VLOOKUP($A736, YES_Reading_ELA[], COLUMN(YES_Reading_ELA[Self-Identified as Indigenous]), FALSE)="", "",
VLOOKUP($A736,YES_Reading_ELA[],COLUMN(YES_Reading_ELA[Self-Identified as Indigenous]),FALSE)),
IF(VLOOKUP($A736, YES_Reading_FLA[], COLUMN(YES_Reading_FLA[Self-Identified as Indigenous]),FALSE)="", "", VLOOKUP($A736,YES_Reading_FLA[],COLUMN(YES_Reading_FLA[Self-Identified as Indigenous]),FALSE))),""))),"")</f>
        <v/>
      </c>
    </row>
    <row r="737" spans="1:12" ht="19.5" customHeight="1" x14ac:dyDescent="0.25">
      <c r="A737" s="217"/>
      <c r="B737" s="220" t="str">
        <f>IFERROR(VLOOKUP(A737,_xlfn.VSTACK(YES_Reading_ELA[],YES_Reading_FLA[]),2,FALSE),"")</f>
        <v/>
      </c>
      <c r="C737" s="203" t="str" cm="1">
        <f t="array" aca="1" ref="C737" ca="1">IFERROR(
IF($J$2="ELA",
IF(VLOOKUP($A737, YES_Reading_ELA[], COLUMN(IF(VLOOKUP($D$2, 'Reading Report Logic'!$A$2:$B$8, 2, FALSE)=1, YES_Reading_ELA[Reading Level June of Previous School Year], INDIRECT("YES_Reading_ELA[Instructional Reading Level - Per "&amp;(VLOOKUP($D$2,'Reading Report Logic'!$A$2:$B$8,2,FALSE)-1)&amp;"]"))), FALSE)="", "",
VLOOKUP($A737,YES_Reading_ELA[], COLUMN(IF(VLOOKUP($D$2,'Reading Report Logic'!$A$2:$B$8,2,FALSE)=1, YES_Reading_ELA[Reading Level June of Previous School Year],INDIRECT("YES_Reading_ELA[Instructional Reading Level - Per "&amp;(VLOOKUP($D$2,'Reading Report Logic'!$A$2:$B$8,2,FALSE)-1)&amp;"]"))), FALSE)),
IF($J$2="FLA",
IF(VLOOKUP($A737, YES_Reading_FLA[], COLUMN(IF(VLOOKUP($D$2,'Reading Report Logic'!$A$2:$B$8,2,FALSE)=1, YES_Reading_FLA[Reading Level June of Previous School Year],INDIRECT("YES_Reading_FLA[Instructional Reading Level - Per "&amp;(VLOOKUP($D$2,'Reading Report Logic'!$A$2:$B$8,2,FALSE)-1)&amp;"]"))),FALSE)="","",
VLOOKUP($A737,YES_Reading_FLA[], COLUMN(IF(VLOOKUP($D$2,'Reading Report Logic'!$A$2:$B$8,2,FALSE)=1, YES_Reading_FLA[Reading Level June of Previous School Year],INDIRECT("YES_Reading_FLA[Instructional Reading Level - Per "&amp;(VLOOKUP($D$2,'Reading Report Logic'!$A$2:$B$8,2,FALSE)-1)&amp;"]"))),FALSE)),
IF($J$2="Combined",
IFERROR(
IF(VLOOKUP($A737, YES_Reading_ELA[], COLUMN(IF(VLOOKUP($D$2,'Reading Report Logic'!$A$2:$B$8,2,FALSE)=1, YES_Reading_ELA[Reading Level June of Previous School Year],INDIRECT("YES_Reading_ELA[Instructional Reading Level - Per "&amp;(VLOOKUP($D$2,'Reading Report Logic'!$A$2:$B$8,2,FALSE)-1)&amp;"]"))), FALSE)="", "",
VLOOKUP($A737,YES_Reading_ELA[],COLUMN(IF(VLOOKUP($D$2,'Reading Report Logic'!$A$2:$B$8,2,FALSE)=1, YES_Reading_ELA[Reading Level June of Previous School Year],INDIRECT("YES_Reading_ELA[Instructional Reading Level - Per "&amp;(VLOOKUP($D$2,'Reading Report Logic'!$A$2:$B$8,2,FALSE)-1)&amp;"]"))),FALSE)),
IF(VLOOKUP($A737, YES_Reading_FLA[], COLUMN(IF(VLOOKUP($D$2,'Reading Report Logic'!$A$2:$B$8,2,FALSE)=1, YES_Reading_FLA[Reading Level June of Previous School Year],INDIRECT("YES_Reading_FLA[Instructional Reading Level - Per "&amp;(VLOOKUP($D$2,'Reading Report Logic'!$A$2:$B$8,2,FALSE)-1)&amp;"]"))),FALSE)="", "", VLOOKUP($A737,YES_Reading_FLA[],COLUMN(IF(VLOOKUP($D$2,'Reading Report Logic'!$A$2:$B$8,2,FALSE)=1, YES_Reading_FLA[Reading Level June of Previous School Year],INDIRECT("YES_Reading_FLA[Instructional Reading Level - Per "&amp;(VLOOKUP($D$2,'Reading Report Logic'!$A$2:$B$8,2,FALSE)-1)&amp;"]"))), FALSE))),""))),"")</f>
        <v/>
      </c>
      <c r="D737" s="204" t="str" cm="1">
        <f t="array" aca="1" ref="D737" ca="1">IFERROR(
IF($J$2="ELA",
IF(VLOOKUP($A737, YES_Reading_ELA[], COLUMN(INDIRECT("YES_Reading_ELA[Instructional Reading Level - Per "&amp;VLOOKUP($D$2, 'Reading Report Logic'!$A$2:$B$8, 2, FALSE)&amp;"]")), FALSE)="", "",
VLOOKUP($A737,YES_Reading_ELA[], COLUMN(INDIRECT("YES_Reading_ELA[Instructional Reading Level - Per "&amp;VLOOKUP($D$2,'Reading Report Logic'!$A$2:$B$8,2,FALSE)&amp;"]")), FALSE)),
IF($J$2="FLA",
IF(VLOOKUP($A737, YES_Reading_FLA[], COLUMN(INDIRECT("YES_Reading_FLA[Instructional Reading Level - Per "&amp;VLOOKUP($D$2,'Reading Report Logic'!$A$2:$B$8,2,FALSE)&amp;"]")),FALSE)="","",
VLOOKUP($A737,YES_Reading_FLA[],COLUMN(INDIRECT("YES_Reading_FLA[Instructional Reading Level - Per "&amp;VLOOKUP($D$2,'Reading Report Logic'!$A$2:$B$8,2,FALSE)&amp;"]")),FALSE)),
IF($J$2="Combined",
IFERROR(
IF(VLOOKUP($A737, YES_Reading_ELA[], COLUMN(INDIRECT("YES_Reading_ELA[Instructional Reading Level - Per "&amp;VLOOKUP($D$2, 'Reading Report Logic'!$A$2:$B$8,2,FALSE)&amp;"]")), FALSE)="", "",
VLOOKUP($A737,YES_Reading_ELA[],COLUMN(INDIRECT("YES_Reading_ELA[Instructional Reading Level - Per "&amp;VLOOKUP($D$2,'Reading Report Logic'!$A$2:$B$8,2,FALSE)&amp;"]")),FALSE)),
IF(VLOOKUP($A737, YES_Reading_FLA[], COLUMN(INDIRECT("YES_Reading_FLA[Instructional Reading Level - Per "&amp;VLOOKUP($D$2, 'Reading Report Logic'!$A$2:$B$8, 2, FALSE)&amp;"]")),FALSE)="", "", VLOOKUP($A737,YES_Reading_FLA[],COLUMN(INDIRECT("YES_Reading_FLA[Instructional Reading Level - Per "&amp;VLOOKUP($D$2, 'Reading Report Logic'!$A$2:$B$8, 2, FALSE)&amp;"]")),FALSE))),""))),"")</f>
        <v/>
      </c>
      <c r="E737" s="205" t="str" cm="1">
        <f t="array" aca="1" ref="E737" ca="1">IFERROR(
IF($J$2="ELA",
IF(VLOOKUP($A737, YES_Reading_ELA[], COLUMN(INDIRECT("YES_Reading_ELA[Min Expectation - Per "&amp;VLOOKUP($D$2, 'Reading Report Logic'!$A$2:$B$8, 2, FALSE)&amp;"]")), FALSE)="", "",
VLOOKUP($A737,YES_Reading_ELA[], COLUMN(INDIRECT("YES_Reading_ELA[Min Expectation - Per "&amp;VLOOKUP($D$2,'Reading Report Logic'!$A$2:$B$8,2,FALSE)&amp;"]")), FALSE)),
IF($J$2="FLA",
IF(VLOOKUP($A737, YES_Reading_FLA[], COLUMN(INDIRECT("YES_Reading_FLA[Min Expectation - Per "&amp;VLOOKUP($D$2,'Reading Report Logic'!$A$2:$B$8,2,FALSE)&amp;"]")),FALSE)="","",
VLOOKUP($A737,YES_Reading_FLA[],COLUMN(INDIRECT("YES_Reading_FLA[Min Expectation - Per "&amp;VLOOKUP($D$2,'Reading Report Logic'!$A$2:$B$8,2,FALSE)&amp;"]")),FALSE)),
IF($J$2="Combined",
IFERROR(
IF(VLOOKUP($A737, YES_Reading_ELA[], COLUMN(INDIRECT("YES_Reading_ELA[Min Expectation - Per "&amp;VLOOKUP($D$2, 'Reading Report Logic'!$A$2:$B$8,2,FALSE)&amp;"]")), FALSE)="", "",
VLOOKUP($A737,YES_Reading_ELA[],COLUMN(INDIRECT("YES_Reading_ELA[Min Expectation - Per "&amp;VLOOKUP($D$2,'Reading Report Logic'!$A$2:$B$8,2,FALSE)&amp;"]")),FALSE)),
IF(VLOOKUP($A737, YES_Reading_FLA[], COLUMN(INDIRECT("YES_Reading_FLA[Min Expectation - Per "&amp;VLOOKUP($D$2, 'Reading Report Logic'!$A$2:$B$8, 2, FALSE)&amp;"]")),FALSE)="", "", VLOOKUP($A737,YES_Reading_FLA[],COLUMN(INDIRECT("YES_Reading_FLA[Min Expectation - Per "&amp;VLOOKUP($D$2, 'Reading Report Logic'!$A$2:$B$8, 2, FALSE)&amp;"]")),FALSE))),""))),"")</f>
        <v/>
      </c>
      <c r="F737" s="205" t="str" cm="1">
        <f t="array" aca="1" ref="F737" ca="1">IFERROR(
IF($J$2="ELA",
IF(VLOOKUP($A737, YES_Reading_ELA[], COLUMN(INDIRECT("YES_Reading_ELA[Max Expectation - Per "&amp;VLOOKUP($D$2, 'Reading Report Logic'!$A$2:$B$8, 2, FALSE)&amp;"]")), FALSE)="", "",
VLOOKUP($A737,YES_Reading_ELA[], COLUMN(INDIRECT("YES_Reading_ELA[Max Expectation - Per "&amp;VLOOKUP($D$2,'Reading Report Logic'!$A$2:$B$8,2,FALSE)&amp;"]")), FALSE)),
IF($J$2="FLA",
IF(VLOOKUP($A737, YES_Reading_FLA[], COLUMN(INDIRECT("YES_Reading_FLA[Max Expectation - Per "&amp;VLOOKUP($D$2,'Reading Report Logic'!$A$2:$B$8,2,FALSE)&amp;"]")),FALSE)="","",
VLOOKUP($A737,YES_Reading_FLA[],COLUMN(INDIRECT("YES_Reading_FLA[Max Expectation - Per "&amp;VLOOKUP($D$2,'Reading Report Logic'!$A$2:$B$8,2,FALSE)&amp;"]")),FALSE)),
IF($J$2="Combined",
IFERROR(
IF(VLOOKUP($A737, YES_Reading_ELA[], COLUMN(INDIRECT("YES_Reading_ELA[Max Expectation - Per "&amp;VLOOKUP($D$2, 'Reading Report Logic'!$A$2:$B$8,2,FALSE)&amp;"]")), FALSE)="", "",
VLOOKUP($A737,YES_Reading_ELA[],COLUMN(INDIRECT("YES_Reading_ELA[Max Expectation - Per "&amp;VLOOKUP($D$2,'Reading Report Logic'!$A$2:$B$8,2,FALSE)&amp;"]")),FALSE)),
IF(VLOOKUP($A737, YES_Reading_FLA[], COLUMN(INDIRECT("YES_Reading_FLA[Max Expectation - Per "&amp;VLOOKUP($D$2, 'Reading Report Logic'!$A$2:$B$8, 2, FALSE)&amp;"]")),FALSE)="", "", VLOOKUP($A737,YES_Reading_FLA[],COLUMN(INDIRECT("YES_Reading_FLA[Max Expectation - Per "&amp;VLOOKUP($D$2, 'Reading Report Logic'!$A$2:$B$8, 2, FALSE)&amp;"]")),FALSE))),""))),"")</f>
        <v/>
      </c>
      <c r="G737" s="205" t="str" cm="1">
        <f t="array" aca="1" ref="G737" ca="1">IFERROR(
IF($J$2="ELA",
IF(VLOOKUP($A737, YES_Reading_ELA[], COLUMN(INDIRECT("YES_Reading_ELA[Difference - Per "&amp;VLOOKUP($D$2, 'Reading Report Logic'!$A$2:$B$8, 2, FALSE)&amp;"]")), FALSE)="", "",
VLOOKUP($A737,YES_Reading_ELA[], COLUMN(INDIRECT("YES_Reading_ELA[Difference - Per "&amp;VLOOKUP($D$2,'Reading Report Logic'!$A$2:$B$8,2,FALSE)&amp;"]")), FALSE)),
IF($J$2="FLA",
IF(VLOOKUP($A737, YES_Reading_FLA[], COLUMN(INDIRECT("YES_Reading_FLA[Difference - Per "&amp;VLOOKUP($D$2,'Reading Report Logic'!$A$2:$B$8,2,FALSE)&amp;"]")),FALSE)="","",
VLOOKUP($A737,YES_Reading_FLA[],COLUMN(INDIRECT("YES_Reading_FLA[Difference - Per "&amp;VLOOKUP($D$2,'Reading Report Logic'!$A$2:$B$8,2,FALSE)&amp;"]")),FALSE)),
IF($J$2="Combined",
IFERROR(
IF(VLOOKUP($A737, YES_Reading_ELA[], COLUMN(INDIRECT("YES_Reading_ELA[Difference - Per "&amp;VLOOKUP($D$2, 'Reading Report Logic'!$A$2:$B$8,2,FALSE)&amp;"]")), FALSE)="", "",
VLOOKUP($A737,YES_Reading_ELA[],COLUMN(INDIRECT("YES_Reading_ELA[Difference - Per "&amp;VLOOKUP($D$2,'Reading Report Logic'!$A$2:$B$8,2,FALSE)&amp;"]")),FALSE)),
IF(VLOOKUP($A737, YES_Reading_FLA[], COLUMN(INDIRECT("YES_Reading_FLA[Difference - Per "&amp;VLOOKUP($D$2, 'Reading Report Logic'!$A$2:$B$8, 2, FALSE)&amp;"]")),FALSE)="", "", VLOOKUP($A737,YES_Reading_FLA[],COLUMN(INDIRECT("YES_Reading_FLA[Difference - Per "&amp;VLOOKUP($D$2, 'Reading Report Logic'!$A$2:$B$8, 2, FALSE)&amp;"]")),FALSE))),""))),"")</f>
        <v/>
      </c>
      <c r="H737" s="206" t="str">
        <f ca="1">IFERROR(VLOOKUP('Teacher Reading Pull Sheets'!$D737,_xlfn.VSTACK('ELA Reading Logic'!$A$22:$B$48,'FLA Reading Logic'!$A$22:$B$53),2,FALSE)-VLOOKUP('Teacher Reading Pull Sheets'!$C737,_xlfn.VSTACK('ELA Reading Logic'!$A$22:$B$48,'FLA Reading Logic'!$A$22:$B$53),2,FALSE),"")</f>
        <v/>
      </c>
      <c r="I737" s="212"/>
      <c r="J737" s="206"/>
      <c r="K737" s="197" t="str" cm="1">
        <f t="array" ref="K737">IFERROR(
IF($J$2="ELA",
IF(VLOOKUP($A737, YES_Reading_ELA[], COLUMN(YES_Reading_ELA[Self-Identified as African Descent]), FALSE)="", "",
VLOOKUP($A737,YES_Reading_ELA[], COLUMN(YES_Reading_ELA[Self-Identified as African Descent]), FALSE)),
IF($J$2="FLA",
IF(VLOOKUP($A737, YES_Reading_FLA[], COLUMN(YES_Reading_FLA[Self-Identified as African Descent]),FALSE)="","",
VLOOKUP($A737,YES_Reading_FLA[],COLUMN(YES_Reading_FLA[Self-Identified as African Descent]),FALSE)),
IF($J$2="Combined",
IFERROR(
IF(VLOOKUP($A737, YES_Reading_ELA[], COLUMN(YES_Reading_ELA[Self-Identified as African Descent]), FALSE)="", "",
VLOOKUP($A737,YES_Reading_ELA[],COLUMN(YES_Reading_ELA[Self-Identified as African Descent]),FALSE)),
IF(VLOOKUP($A737, YES_Reading_FLA[], COLUMN(YES_Reading_FLA[Self-Identified as African Descent]),FALSE)="", "", VLOOKUP($A737,YES_Reading_FLA[],COLUMN(YES_Reading_FLA[Self-Identified as African Descent]),FALSE))),""))),"")</f>
        <v/>
      </c>
      <c r="L737" s="73" t="str" cm="1">
        <f t="array" ref="L737">IFERROR(
IF($J$2="ELA",
IF(VLOOKUP($A737, YES_Reading_ELA[], COLUMN(YES_Reading_ELA[Self-Identified as Indigenous]), FALSE)="", "",
VLOOKUP($A737,YES_Reading_ELA[], COLUMN(YES_Reading_ELA[Self-Identified as Indigenous]), FALSE)),
IF($J$2="FLA",
IF(VLOOKUP($A737, YES_Reading_FLA[], COLUMN(YES_Reading_FLA[Self-Identified as Indigenous]),FALSE)="","",
VLOOKUP($A737,YES_Reading_FLA[],COLUMN(YES_Reading_FLA[Self-Identified as Indigenous]),FALSE)),
IF($J$2="Combined",
IFERROR(
IF(VLOOKUP($A737, YES_Reading_ELA[], COLUMN(YES_Reading_ELA[Self-Identified as Indigenous]), FALSE)="", "",
VLOOKUP($A737,YES_Reading_ELA[],COLUMN(YES_Reading_ELA[Self-Identified as Indigenous]),FALSE)),
IF(VLOOKUP($A737, YES_Reading_FLA[], COLUMN(YES_Reading_FLA[Self-Identified as Indigenous]),FALSE)="", "", VLOOKUP($A737,YES_Reading_FLA[],COLUMN(YES_Reading_FLA[Self-Identified as Indigenous]),FALSE))),""))),"")</f>
        <v/>
      </c>
    </row>
    <row r="738" spans="1:12" ht="19.5" customHeight="1" x14ac:dyDescent="0.25">
      <c r="A738" s="217"/>
      <c r="B738" s="220" t="str">
        <f>IFERROR(VLOOKUP(A738,_xlfn.VSTACK(YES_Reading_ELA[],YES_Reading_FLA[]),2,FALSE),"")</f>
        <v/>
      </c>
      <c r="C738" s="203" t="str" cm="1">
        <f t="array" aca="1" ref="C738" ca="1">IFERROR(
IF($J$2="ELA",
IF(VLOOKUP($A738, YES_Reading_ELA[], COLUMN(IF(VLOOKUP($D$2, 'Reading Report Logic'!$A$2:$B$8, 2, FALSE)=1, YES_Reading_ELA[Reading Level June of Previous School Year], INDIRECT("YES_Reading_ELA[Instructional Reading Level - Per "&amp;(VLOOKUP($D$2,'Reading Report Logic'!$A$2:$B$8,2,FALSE)-1)&amp;"]"))), FALSE)="", "",
VLOOKUP($A738,YES_Reading_ELA[], COLUMN(IF(VLOOKUP($D$2,'Reading Report Logic'!$A$2:$B$8,2,FALSE)=1, YES_Reading_ELA[Reading Level June of Previous School Year],INDIRECT("YES_Reading_ELA[Instructional Reading Level - Per "&amp;(VLOOKUP($D$2,'Reading Report Logic'!$A$2:$B$8,2,FALSE)-1)&amp;"]"))), FALSE)),
IF($J$2="FLA",
IF(VLOOKUP($A738, YES_Reading_FLA[], COLUMN(IF(VLOOKUP($D$2,'Reading Report Logic'!$A$2:$B$8,2,FALSE)=1, YES_Reading_FLA[Reading Level June of Previous School Year],INDIRECT("YES_Reading_FLA[Instructional Reading Level - Per "&amp;(VLOOKUP($D$2,'Reading Report Logic'!$A$2:$B$8,2,FALSE)-1)&amp;"]"))),FALSE)="","",
VLOOKUP($A738,YES_Reading_FLA[], COLUMN(IF(VLOOKUP($D$2,'Reading Report Logic'!$A$2:$B$8,2,FALSE)=1, YES_Reading_FLA[Reading Level June of Previous School Year],INDIRECT("YES_Reading_FLA[Instructional Reading Level - Per "&amp;(VLOOKUP($D$2,'Reading Report Logic'!$A$2:$B$8,2,FALSE)-1)&amp;"]"))),FALSE)),
IF($J$2="Combined",
IFERROR(
IF(VLOOKUP($A738, YES_Reading_ELA[], COLUMN(IF(VLOOKUP($D$2,'Reading Report Logic'!$A$2:$B$8,2,FALSE)=1, YES_Reading_ELA[Reading Level June of Previous School Year],INDIRECT("YES_Reading_ELA[Instructional Reading Level - Per "&amp;(VLOOKUP($D$2,'Reading Report Logic'!$A$2:$B$8,2,FALSE)-1)&amp;"]"))), FALSE)="", "",
VLOOKUP($A738,YES_Reading_ELA[],COLUMN(IF(VLOOKUP($D$2,'Reading Report Logic'!$A$2:$B$8,2,FALSE)=1, YES_Reading_ELA[Reading Level June of Previous School Year],INDIRECT("YES_Reading_ELA[Instructional Reading Level - Per "&amp;(VLOOKUP($D$2,'Reading Report Logic'!$A$2:$B$8,2,FALSE)-1)&amp;"]"))),FALSE)),
IF(VLOOKUP($A738, YES_Reading_FLA[], COLUMN(IF(VLOOKUP($D$2,'Reading Report Logic'!$A$2:$B$8,2,FALSE)=1, YES_Reading_FLA[Reading Level June of Previous School Year],INDIRECT("YES_Reading_FLA[Instructional Reading Level - Per "&amp;(VLOOKUP($D$2,'Reading Report Logic'!$A$2:$B$8,2,FALSE)-1)&amp;"]"))),FALSE)="", "", VLOOKUP($A738,YES_Reading_FLA[],COLUMN(IF(VLOOKUP($D$2,'Reading Report Logic'!$A$2:$B$8,2,FALSE)=1, YES_Reading_FLA[Reading Level June of Previous School Year],INDIRECT("YES_Reading_FLA[Instructional Reading Level - Per "&amp;(VLOOKUP($D$2,'Reading Report Logic'!$A$2:$B$8,2,FALSE)-1)&amp;"]"))), FALSE))),""))),"")</f>
        <v/>
      </c>
      <c r="D738" s="204" t="str" cm="1">
        <f t="array" aca="1" ref="D738" ca="1">IFERROR(
IF($J$2="ELA",
IF(VLOOKUP($A738, YES_Reading_ELA[], COLUMN(INDIRECT("YES_Reading_ELA[Instructional Reading Level - Per "&amp;VLOOKUP($D$2, 'Reading Report Logic'!$A$2:$B$8, 2, FALSE)&amp;"]")), FALSE)="", "",
VLOOKUP($A738,YES_Reading_ELA[], COLUMN(INDIRECT("YES_Reading_ELA[Instructional Reading Level - Per "&amp;VLOOKUP($D$2,'Reading Report Logic'!$A$2:$B$8,2,FALSE)&amp;"]")), FALSE)),
IF($J$2="FLA",
IF(VLOOKUP($A738, YES_Reading_FLA[], COLUMN(INDIRECT("YES_Reading_FLA[Instructional Reading Level - Per "&amp;VLOOKUP($D$2,'Reading Report Logic'!$A$2:$B$8,2,FALSE)&amp;"]")),FALSE)="","",
VLOOKUP($A738,YES_Reading_FLA[],COLUMN(INDIRECT("YES_Reading_FLA[Instructional Reading Level - Per "&amp;VLOOKUP($D$2,'Reading Report Logic'!$A$2:$B$8,2,FALSE)&amp;"]")),FALSE)),
IF($J$2="Combined",
IFERROR(
IF(VLOOKUP($A738, YES_Reading_ELA[], COLUMN(INDIRECT("YES_Reading_ELA[Instructional Reading Level - Per "&amp;VLOOKUP($D$2, 'Reading Report Logic'!$A$2:$B$8,2,FALSE)&amp;"]")), FALSE)="", "",
VLOOKUP($A738,YES_Reading_ELA[],COLUMN(INDIRECT("YES_Reading_ELA[Instructional Reading Level - Per "&amp;VLOOKUP($D$2,'Reading Report Logic'!$A$2:$B$8,2,FALSE)&amp;"]")),FALSE)),
IF(VLOOKUP($A738, YES_Reading_FLA[], COLUMN(INDIRECT("YES_Reading_FLA[Instructional Reading Level - Per "&amp;VLOOKUP($D$2, 'Reading Report Logic'!$A$2:$B$8, 2, FALSE)&amp;"]")),FALSE)="", "", VLOOKUP($A738,YES_Reading_FLA[],COLUMN(INDIRECT("YES_Reading_FLA[Instructional Reading Level - Per "&amp;VLOOKUP($D$2, 'Reading Report Logic'!$A$2:$B$8, 2, FALSE)&amp;"]")),FALSE))),""))),"")</f>
        <v/>
      </c>
      <c r="E738" s="205" t="str" cm="1">
        <f t="array" aca="1" ref="E738" ca="1">IFERROR(
IF($J$2="ELA",
IF(VLOOKUP($A738, YES_Reading_ELA[], COLUMN(INDIRECT("YES_Reading_ELA[Min Expectation - Per "&amp;VLOOKUP($D$2, 'Reading Report Logic'!$A$2:$B$8, 2, FALSE)&amp;"]")), FALSE)="", "",
VLOOKUP($A738,YES_Reading_ELA[], COLUMN(INDIRECT("YES_Reading_ELA[Min Expectation - Per "&amp;VLOOKUP($D$2,'Reading Report Logic'!$A$2:$B$8,2,FALSE)&amp;"]")), FALSE)),
IF($J$2="FLA",
IF(VLOOKUP($A738, YES_Reading_FLA[], COLUMN(INDIRECT("YES_Reading_FLA[Min Expectation - Per "&amp;VLOOKUP($D$2,'Reading Report Logic'!$A$2:$B$8,2,FALSE)&amp;"]")),FALSE)="","",
VLOOKUP($A738,YES_Reading_FLA[],COLUMN(INDIRECT("YES_Reading_FLA[Min Expectation - Per "&amp;VLOOKUP($D$2,'Reading Report Logic'!$A$2:$B$8,2,FALSE)&amp;"]")),FALSE)),
IF($J$2="Combined",
IFERROR(
IF(VLOOKUP($A738, YES_Reading_ELA[], COLUMN(INDIRECT("YES_Reading_ELA[Min Expectation - Per "&amp;VLOOKUP($D$2, 'Reading Report Logic'!$A$2:$B$8,2,FALSE)&amp;"]")), FALSE)="", "",
VLOOKUP($A738,YES_Reading_ELA[],COLUMN(INDIRECT("YES_Reading_ELA[Min Expectation - Per "&amp;VLOOKUP($D$2,'Reading Report Logic'!$A$2:$B$8,2,FALSE)&amp;"]")),FALSE)),
IF(VLOOKUP($A738, YES_Reading_FLA[], COLUMN(INDIRECT("YES_Reading_FLA[Min Expectation - Per "&amp;VLOOKUP($D$2, 'Reading Report Logic'!$A$2:$B$8, 2, FALSE)&amp;"]")),FALSE)="", "", VLOOKUP($A738,YES_Reading_FLA[],COLUMN(INDIRECT("YES_Reading_FLA[Min Expectation - Per "&amp;VLOOKUP($D$2, 'Reading Report Logic'!$A$2:$B$8, 2, FALSE)&amp;"]")),FALSE))),""))),"")</f>
        <v/>
      </c>
      <c r="F738" s="205" t="str" cm="1">
        <f t="array" aca="1" ref="F738" ca="1">IFERROR(
IF($J$2="ELA",
IF(VLOOKUP($A738, YES_Reading_ELA[], COLUMN(INDIRECT("YES_Reading_ELA[Max Expectation - Per "&amp;VLOOKUP($D$2, 'Reading Report Logic'!$A$2:$B$8, 2, FALSE)&amp;"]")), FALSE)="", "",
VLOOKUP($A738,YES_Reading_ELA[], COLUMN(INDIRECT("YES_Reading_ELA[Max Expectation - Per "&amp;VLOOKUP($D$2,'Reading Report Logic'!$A$2:$B$8,2,FALSE)&amp;"]")), FALSE)),
IF($J$2="FLA",
IF(VLOOKUP($A738, YES_Reading_FLA[], COLUMN(INDIRECT("YES_Reading_FLA[Max Expectation - Per "&amp;VLOOKUP($D$2,'Reading Report Logic'!$A$2:$B$8,2,FALSE)&amp;"]")),FALSE)="","",
VLOOKUP($A738,YES_Reading_FLA[],COLUMN(INDIRECT("YES_Reading_FLA[Max Expectation - Per "&amp;VLOOKUP($D$2,'Reading Report Logic'!$A$2:$B$8,2,FALSE)&amp;"]")),FALSE)),
IF($J$2="Combined",
IFERROR(
IF(VLOOKUP($A738, YES_Reading_ELA[], COLUMN(INDIRECT("YES_Reading_ELA[Max Expectation - Per "&amp;VLOOKUP($D$2, 'Reading Report Logic'!$A$2:$B$8,2,FALSE)&amp;"]")), FALSE)="", "",
VLOOKUP($A738,YES_Reading_ELA[],COLUMN(INDIRECT("YES_Reading_ELA[Max Expectation - Per "&amp;VLOOKUP($D$2,'Reading Report Logic'!$A$2:$B$8,2,FALSE)&amp;"]")),FALSE)),
IF(VLOOKUP($A738, YES_Reading_FLA[], COLUMN(INDIRECT("YES_Reading_FLA[Max Expectation - Per "&amp;VLOOKUP($D$2, 'Reading Report Logic'!$A$2:$B$8, 2, FALSE)&amp;"]")),FALSE)="", "", VLOOKUP($A738,YES_Reading_FLA[],COLUMN(INDIRECT("YES_Reading_FLA[Max Expectation - Per "&amp;VLOOKUP($D$2, 'Reading Report Logic'!$A$2:$B$8, 2, FALSE)&amp;"]")),FALSE))),""))),"")</f>
        <v/>
      </c>
      <c r="G738" s="205" t="str" cm="1">
        <f t="array" aca="1" ref="G738" ca="1">IFERROR(
IF($J$2="ELA",
IF(VLOOKUP($A738, YES_Reading_ELA[], COLUMN(INDIRECT("YES_Reading_ELA[Difference - Per "&amp;VLOOKUP($D$2, 'Reading Report Logic'!$A$2:$B$8, 2, FALSE)&amp;"]")), FALSE)="", "",
VLOOKUP($A738,YES_Reading_ELA[], COLUMN(INDIRECT("YES_Reading_ELA[Difference - Per "&amp;VLOOKUP($D$2,'Reading Report Logic'!$A$2:$B$8,2,FALSE)&amp;"]")), FALSE)),
IF($J$2="FLA",
IF(VLOOKUP($A738, YES_Reading_FLA[], COLUMN(INDIRECT("YES_Reading_FLA[Difference - Per "&amp;VLOOKUP($D$2,'Reading Report Logic'!$A$2:$B$8,2,FALSE)&amp;"]")),FALSE)="","",
VLOOKUP($A738,YES_Reading_FLA[],COLUMN(INDIRECT("YES_Reading_FLA[Difference - Per "&amp;VLOOKUP($D$2,'Reading Report Logic'!$A$2:$B$8,2,FALSE)&amp;"]")),FALSE)),
IF($J$2="Combined",
IFERROR(
IF(VLOOKUP($A738, YES_Reading_ELA[], COLUMN(INDIRECT("YES_Reading_ELA[Difference - Per "&amp;VLOOKUP($D$2, 'Reading Report Logic'!$A$2:$B$8,2,FALSE)&amp;"]")), FALSE)="", "",
VLOOKUP($A738,YES_Reading_ELA[],COLUMN(INDIRECT("YES_Reading_ELA[Difference - Per "&amp;VLOOKUP($D$2,'Reading Report Logic'!$A$2:$B$8,2,FALSE)&amp;"]")),FALSE)),
IF(VLOOKUP($A738, YES_Reading_FLA[], COLUMN(INDIRECT("YES_Reading_FLA[Difference - Per "&amp;VLOOKUP($D$2, 'Reading Report Logic'!$A$2:$B$8, 2, FALSE)&amp;"]")),FALSE)="", "", VLOOKUP($A738,YES_Reading_FLA[],COLUMN(INDIRECT("YES_Reading_FLA[Difference - Per "&amp;VLOOKUP($D$2, 'Reading Report Logic'!$A$2:$B$8, 2, FALSE)&amp;"]")),FALSE))),""))),"")</f>
        <v/>
      </c>
      <c r="H738" s="206" t="str">
        <f ca="1">IFERROR(VLOOKUP('Teacher Reading Pull Sheets'!$D738,_xlfn.VSTACK('ELA Reading Logic'!$A$22:$B$48,'FLA Reading Logic'!$A$22:$B$53),2,FALSE)-VLOOKUP('Teacher Reading Pull Sheets'!$C738,_xlfn.VSTACK('ELA Reading Logic'!$A$22:$B$48,'FLA Reading Logic'!$A$22:$B$53),2,FALSE),"")</f>
        <v/>
      </c>
      <c r="I738" s="212"/>
      <c r="J738" s="206"/>
      <c r="K738" s="197" t="str" cm="1">
        <f t="array" ref="K738">IFERROR(
IF($J$2="ELA",
IF(VLOOKUP($A738, YES_Reading_ELA[], COLUMN(YES_Reading_ELA[Self-Identified as African Descent]), FALSE)="", "",
VLOOKUP($A738,YES_Reading_ELA[], COLUMN(YES_Reading_ELA[Self-Identified as African Descent]), FALSE)),
IF($J$2="FLA",
IF(VLOOKUP($A738, YES_Reading_FLA[], COLUMN(YES_Reading_FLA[Self-Identified as African Descent]),FALSE)="","",
VLOOKUP($A738,YES_Reading_FLA[],COLUMN(YES_Reading_FLA[Self-Identified as African Descent]),FALSE)),
IF($J$2="Combined",
IFERROR(
IF(VLOOKUP($A738, YES_Reading_ELA[], COLUMN(YES_Reading_ELA[Self-Identified as African Descent]), FALSE)="", "",
VLOOKUP($A738,YES_Reading_ELA[],COLUMN(YES_Reading_ELA[Self-Identified as African Descent]),FALSE)),
IF(VLOOKUP($A738, YES_Reading_FLA[], COLUMN(YES_Reading_FLA[Self-Identified as African Descent]),FALSE)="", "", VLOOKUP($A738,YES_Reading_FLA[],COLUMN(YES_Reading_FLA[Self-Identified as African Descent]),FALSE))),""))),"")</f>
        <v/>
      </c>
      <c r="L738" s="73" t="str" cm="1">
        <f t="array" ref="L738">IFERROR(
IF($J$2="ELA",
IF(VLOOKUP($A738, YES_Reading_ELA[], COLUMN(YES_Reading_ELA[Self-Identified as Indigenous]), FALSE)="", "",
VLOOKUP($A738,YES_Reading_ELA[], COLUMN(YES_Reading_ELA[Self-Identified as Indigenous]), FALSE)),
IF($J$2="FLA",
IF(VLOOKUP($A738, YES_Reading_FLA[], COLUMN(YES_Reading_FLA[Self-Identified as Indigenous]),FALSE)="","",
VLOOKUP($A738,YES_Reading_FLA[],COLUMN(YES_Reading_FLA[Self-Identified as Indigenous]),FALSE)),
IF($J$2="Combined",
IFERROR(
IF(VLOOKUP($A738, YES_Reading_ELA[], COLUMN(YES_Reading_ELA[Self-Identified as Indigenous]), FALSE)="", "",
VLOOKUP($A738,YES_Reading_ELA[],COLUMN(YES_Reading_ELA[Self-Identified as Indigenous]),FALSE)),
IF(VLOOKUP($A738, YES_Reading_FLA[], COLUMN(YES_Reading_FLA[Self-Identified as Indigenous]),FALSE)="", "", VLOOKUP($A738,YES_Reading_FLA[],COLUMN(YES_Reading_FLA[Self-Identified as Indigenous]),FALSE))),""))),"")</f>
        <v/>
      </c>
    </row>
    <row r="739" spans="1:12" ht="19.5" customHeight="1" x14ac:dyDescent="0.25">
      <c r="A739" s="217"/>
      <c r="B739" s="220" t="str">
        <f>IFERROR(VLOOKUP(A739,_xlfn.VSTACK(YES_Reading_ELA[],YES_Reading_FLA[]),2,FALSE),"")</f>
        <v/>
      </c>
      <c r="C739" s="203" t="str" cm="1">
        <f t="array" aca="1" ref="C739" ca="1">IFERROR(
IF($J$2="ELA",
IF(VLOOKUP($A739, YES_Reading_ELA[], COLUMN(IF(VLOOKUP($D$2, 'Reading Report Logic'!$A$2:$B$8, 2, FALSE)=1, YES_Reading_ELA[Reading Level June of Previous School Year], INDIRECT("YES_Reading_ELA[Instructional Reading Level - Per "&amp;(VLOOKUP($D$2,'Reading Report Logic'!$A$2:$B$8,2,FALSE)-1)&amp;"]"))), FALSE)="", "",
VLOOKUP($A739,YES_Reading_ELA[], COLUMN(IF(VLOOKUP($D$2,'Reading Report Logic'!$A$2:$B$8,2,FALSE)=1, YES_Reading_ELA[Reading Level June of Previous School Year],INDIRECT("YES_Reading_ELA[Instructional Reading Level - Per "&amp;(VLOOKUP($D$2,'Reading Report Logic'!$A$2:$B$8,2,FALSE)-1)&amp;"]"))), FALSE)),
IF($J$2="FLA",
IF(VLOOKUP($A739, YES_Reading_FLA[], COLUMN(IF(VLOOKUP($D$2,'Reading Report Logic'!$A$2:$B$8,2,FALSE)=1, YES_Reading_FLA[Reading Level June of Previous School Year],INDIRECT("YES_Reading_FLA[Instructional Reading Level - Per "&amp;(VLOOKUP($D$2,'Reading Report Logic'!$A$2:$B$8,2,FALSE)-1)&amp;"]"))),FALSE)="","",
VLOOKUP($A739,YES_Reading_FLA[], COLUMN(IF(VLOOKUP($D$2,'Reading Report Logic'!$A$2:$B$8,2,FALSE)=1, YES_Reading_FLA[Reading Level June of Previous School Year],INDIRECT("YES_Reading_FLA[Instructional Reading Level - Per "&amp;(VLOOKUP($D$2,'Reading Report Logic'!$A$2:$B$8,2,FALSE)-1)&amp;"]"))),FALSE)),
IF($J$2="Combined",
IFERROR(
IF(VLOOKUP($A739, YES_Reading_ELA[], COLUMN(IF(VLOOKUP($D$2,'Reading Report Logic'!$A$2:$B$8,2,FALSE)=1, YES_Reading_ELA[Reading Level June of Previous School Year],INDIRECT("YES_Reading_ELA[Instructional Reading Level - Per "&amp;(VLOOKUP($D$2,'Reading Report Logic'!$A$2:$B$8,2,FALSE)-1)&amp;"]"))), FALSE)="", "",
VLOOKUP($A739,YES_Reading_ELA[],COLUMN(IF(VLOOKUP($D$2,'Reading Report Logic'!$A$2:$B$8,2,FALSE)=1, YES_Reading_ELA[Reading Level June of Previous School Year],INDIRECT("YES_Reading_ELA[Instructional Reading Level - Per "&amp;(VLOOKUP($D$2,'Reading Report Logic'!$A$2:$B$8,2,FALSE)-1)&amp;"]"))),FALSE)),
IF(VLOOKUP($A739, YES_Reading_FLA[], COLUMN(IF(VLOOKUP($D$2,'Reading Report Logic'!$A$2:$B$8,2,FALSE)=1, YES_Reading_FLA[Reading Level June of Previous School Year],INDIRECT("YES_Reading_FLA[Instructional Reading Level - Per "&amp;(VLOOKUP($D$2,'Reading Report Logic'!$A$2:$B$8,2,FALSE)-1)&amp;"]"))),FALSE)="", "", VLOOKUP($A739,YES_Reading_FLA[],COLUMN(IF(VLOOKUP($D$2,'Reading Report Logic'!$A$2:$B$8,2,FALSE)=1, YES_Reading_FLA[Reading Level June of Previous School Year],INDIRECT("YES_Reading_FLA[Instructional Reading Level - Per "&amp;(VLOOKUP($D$2,'Reading Report Logic'!$A$2:$B$8,2,FALSE)-1)&amp;"]"))), FALSE))),""))),"")</f>
        <v/>
      </c>
      <c r="D739" s="204" t="str" cm="1">
        <f t="array" aca="1" ref="D739" ca="1">IFERROR(
IF($J$2="ELA",
IF(VLOOKUP($A739, YES_Reading_ELA[], COLUMN(INDIRECT("YES_Reading_ELA[Instructional Reading Level - Per "&amp;VLOOKUP($D$2, 'Reading Report Logic'!$A$2:$B$8, 2, FALSE)&amp;"]")), FALSE)="", "",
VLOOKUP($A739,YES_Reading_ELA[], COLUMN(INDIRECT("YES_Reading_ELA[Instructional Reading Level - Per "&amp;VLOOKUP($D$2,'Reading Report Logic'!$A$2:$B$8,2,FALSE)&amp;"]")), FALSE)),
IF($J$2="FLA",
IF(VLOOKUP($A739, YES_Reading_FLA[], COLUMN(INDIRECT("YES_Reading_FLA[Instructional Reading Level - Per "&amp;VLOOKUP($D$2,'Reading Report Logic'!$A$2:$B$8,2,FALSE)&amp;"]")),FALSE)="","",
VLOOKUP($A739,YES_Reading_FLA[],COLUMN(INDIRECT("YES_Reading_FLA[Instructional Reading Level - Per "&amp;VLOOKUP($D$2,'Reading Report Logic'!$A$2:$B$8,2,FALSE)&amp;"]")),FALSE)),
IF($J$2="Combined",
IFERROR(
IF(VLOOKUP($A739, YES_Reading_ELA[], COLUMN(INDIRECT("YES_Reading_ELA[Instructional Reading Level - Per "&amp;VLOOKUP($D$2, 'Reading Report Logic'!$A$2:$B$8,2,FALSE)&amp;"]")), FALSE)="", "",
VLOOKUP($A739,YES_Reading_ELA[],COLUMN(INDIRECT("YES_Reading_ELA[Instructional Reading Level - Per "&amp;VLOOKUP($D$2,'Reading Report Logic'!$A$2:$B$8,2,FALSE)&amp;"]")),FALSE)),
IF(VLOOKUP($A739, YES_Reading_FLA[], COLUMN(INDIRECT("YES_Reading_FLA[Instructional Reading Level - Per "&amp;VLOOKUP($D$2, 'Reading Report Logic'!$A$2:$B$8, 2, FALSE)&amp;"]")),FALSE)="", "", VLOOKUP($A739,YES_Reading_FLA[],COLUMN(INDIRECT("YES_Reading_FLA[Instructional Reading Level - Per "&amp;VLOOKUP($D$2, 'Reading Report Logic'!$A$2:$B$8, 2, FALSE)&amp;"]")),FALSE))),""))),"")</f>
        <v/>
      </c>
      <c r="E739" s="205" t="str" cm="1">
        <f t="array" aca="1" ref="E739" ca="1">IFERROR(
IF($J$2="ELA",
IF(VLOOKUP($A739, YES_Reading_ELA[], COLUMN(INDIRECT("YES_Reading_ELA[Min Expectation - Per "&amp;VLOOKUP($D$2, 'Reading Report Logic'!$A$2:$B$8, 2, FALSE)&amp;"]")), FALSE)="", "",
VLOOKUP($A739,YES_Reading_ELA[], COLUMN(INDIRECT("YES_Reading_ELA[Min Expectation - Per "&amp;VLOOKUP($D$2,'Reading Report Logic'!$A$2:$B$8,2,FALSE)&amp;"]")), FALSE)),
IF($J$2="FLA",
IF(VLOOKUP($A739, YES_Reading_FLA[], COLUMN(INDIRECT("YES_Reading_FLA[Min Expectation - Per "&amp;VLOOKUP($D$2,'Reading Report Logic'!$A$2:$B$8,2,FALSE)&amp;"]")),FALSE)="","",
VLOOKUP($A739,YES_Reading_FLA[],COLUMN(INDIRECT("YES_Reading_FLA[Min Expectation - Per "&amp;VLOOKUP($D$2,'Reading Report Logic'!$A$2:$B$8,2,FALSE)&amp;"]")),FALSE)),
IF($J$2="Combined",
IFERROR(
IF(VLOOKUP($A739, YES_Reading_ELA[], COLUMN(INDIRECT("YES_Reading_ELA[Min Expectation - Per "&amp;VLOOKUP($D$2, 'Reading Report Logic'!$A$2:$B$8,2,FALSE)&amp;"]")), FALSE)="", "",
VLOOKUP($A739,YES_Reading_ELA[],COLUMN(INDIRECT("YES_Reading_ELA[Min Expectation - Per "&amp;VLOOKUP($D$2,'Reading Report Logic'!$A$2:$B$8,2,FALSE)&amp;"]")),FALSE)),
IF(VLOOKUP($A739, YES_Reading_FLA[], COLUMN(INDIRECT("YES_Reading_FLA[Min Expectation - Per "&amp;VLOOKUP($D$2, 'Reading Report Logic'!$A$2:$B$8, 2, FALSE)&amp;"]")),FALSE)="", "", VLOOKUP($A739,YES_Reading_FLA[],COLUMN(INDIRECT("YES_Reading_FLA[Min Expectation - Per "&amp;VLOOKUP($D$2, 'Reading Report Logic'!$A$2:$B$8, 2, FALSE)&amp;"]")),FALSE))),""))),"")</f>
        <v/>
      </c>
      <c r="F739" s="205" t="str" cm="1">
        <f t="array" aca="1" ref="F739" ca="1">IFERROR(
IF($J$2="ELA",
IF(VLOOKUP($A739, YES_Reading_ELA[], COLUMN(INDIRECT("YES_Reading_ELA[Max Expectation - Per "&amp;VLOOKUP($D$2, 'Reading Report Logic'!$A$2:$B$8, 2, FALSE)&amp;"]")), FALSE)="", "",
VLOOKUP($A739,YES_Reading_ELA[], COLUMN(INDIRECT("YES_Reading_ELA[Max Expectation - Per "&amp;VLOOKUP($D$2,'Reading Report Logic'!$A$2:$B$8,2,FALSE)&amp;"]")), FALSE)),
IF($J$2="FLA",
IF(VLOOKUP($A739, YES_Reading_FLA[], COLUMN(INDIRECT("YES_Reading_FLA[Max Expectation - Per "&amp;VLOOKUP($D$2,'Reading Report Logic'!$A$2:$B$8,2,FALSE)&amp;"]")),FALSE)="","",
VLOOKUP($A739,YES_Reading_FLA[],COLUMN(INDIRECT("YES_Reading_FLA[Max Expectation - Per "&amp;VLOOKUP($D$2,'Reading Report Logic'!$A$2:$B$8,2,FALSE)&amp;"]")),FALSE)),
IF($J$2="Combined",
IFERROR(
IF(VLOOKUP($A739, YES_Reading_ELA[], COLUMN(INDIRECT("YES_Reading_ELA[Max Expectation - Per "&amp;VLOOKUP($D$2, 'Reading Report Logic'!$A$2:$B$8,2,FALSE)&amp;"]")), FALSE)="", "",
VLOOKUP($A739,YES_Reading_ELA[],COLUMN(INDIRECT("YES_Reading_ELA[Max Expectation - Per "&amp;VLOOKUP($D$2,'Reading Report Logic'!$A$2:$B$8,2,FALSE)&amp;"]")),FALSE)),
IF(VLOOKUP($A739, YES_Reading_FLA[], COLUMN(INDIRECT("YES_Reading_FLA[Max Expectation - Per "&amp;VLOOKUP($D$2, 'Reading Report Logic'!$A$2:$B$8, 2, FALSE)&amp;"]")),FALSE)="", "", VLOOKUP($A739,YES_Reading_FLA[],COLUMN(INDIRECT("YES_Reading_FLA[Max Expectation - Per "&amp;VLOOKUP($D$2, 'Reading Report Logic'!$A$2:$B$8, 2, FALSE)&amp;"]")),FALSE))),""))),"")</f>
        <v/>
      </c>
      <c r="G739" s="205" t="str" cm="1">
        <f t="array" aca="1" ref="G739" ca="1">IFERROR(
IF($J$2="ELA",
IF(VLOOKUP($A739, YES_Reading_ELA[], COLUMN(INDIRECT("YES_Reading_ELA[Difference - Per "&amp;VLOOKUP($D$2, 'Reading Report Logic'!$A$2:$B$8, 2, FALSE)&amp;"]")), FALSE)="", "",
VLOOKUP($A739,YES_Reading_ELA[], COLUMN(INDIRECT("YES_Reading_ELA[Difference - Per "&amp;VLOOKUP($D$2,'Reading Report Logic'!$A$2:$B$8,2,FALSE)&amp;"]")), FALSE)),
IF($J$2="FLA",
IF(VLOOKUP($A739, YES_Reading_FLA[], COLUMN(INDIRECT("YES_Reading_FLA[Difference - Per "&amp;VLOOKUP($D$2,'Reading Report Logic'!$A$2:$B$8,2,FALSE)&amp;"]")),FALSE)="","",
VLOOKUP($A739,YES_Reading_FLA[],COLUMN(INDIRECT("YES_Reading_FLA[Difference - Per "&amp;VLOOKUP($D$2,'Reading Report Logic'!$A$2:$B$8,2,FALSE)&amp;"]")),FALSE)),
IF($J$2="Combined",
IFERROR(
IF(VLOOKUP($A739, YES_Reading_ELA[], COLUMN(INDIRECT("YES_Reading_ELA[Difference - Per "&amp;VLOOKUP($D$2, 'Reading Report Logic'!$A$2:$B$8,2,FALSE)&amp;"]")), FALSE)="", "",
VLOOKUP($A739,YES_Reading_ELA[],COLUMN(INDIRECT("YES_Reading_ELA[Difference - Per "&amp;VLOOKUP($D$2,'Reading Report Logic'!$A$2:$B$8,2,FALSE)&amp;"]")),FALSE)),
IF(VLOOKUP($A739, YES_Reading_FLA[], COLUMN(INDIRECT("YES_Reading_FLA[Difference - Per "&amp;VLOOKUP($D$2, 'Reading Report Logic'!$A$2:$B$8, 2, FALSE)&amp;"]")),FALSE)="", "", VLOOKUP($A739,YES_Reading_FLA[],COLUMN(INDIRECT("YES_Reading_FLA[Difference - Per "&amp;VLOOKUP($D$2, 'Reading Report Logic'!$A$2:$B$8, 2, FALSE)&amp;"]")),FALSE))),""))),"")</f>
        <v/>
      </c>
      <c r="H739" s="206" t="str">
        <f ca="1">IFERROR(VLOOKUP('Teacher Reading Pull Sheets'!$D739,_xlfn.VSTACK('ELA Reading Logic'!$A$22:$B$48,'FLA Reading Logic'!$A$22:$B$53),2,FALSE)-VLOOKUP('Teacher Reading Pull Sheets'!$C739,_xlfn.VSTACK('ELA Reading Logic'!$A$22:$B$48,'FLA Reading Logic'!$A$22:$B$53),2,FALSE),"")</f>
        <v/>
      </c>
      <c r="I739" s="212"/>
      <c r="J739" s="206"/>
      <c r="K739" s="197" t="str" cm="1">
        <f t="array" ref="K739">IFERROR(
IF($J$2="ELA",
IF(VLOOKUP($A739, YES_Reading_ELA[], COLUMN(YES_Reading_ELA[Self-Identified as African Descent]), FALSE)="", "",
VLOOKUP($A739,YES_Reading_ELA[], COLUMN(YES_Reading_ELA[Self-Identified as African Descent]), FALSE)),
IF($J$2="FLA",
IF(VLOOKUP($A739, YES_Reading_FLA[], COLUMN(YES_Reading_FLA[Self-Identified as African Descent]),FALSE)="","",
VLOOKUP($A739,YES_Reading_FLA[],COLUMN(YES_Reading_FLA[Self-Identified as African Descent]),FALSE)),
IF($J$2="Combined",
IFERROR(
IF(VLOOKUP($A739, YES_Reading_ELA[], COLUMN(YES_Reading_ELA[Self-Identified as African Descent]), FALSE)="", "",
VLOOKUP($A739,YES_Reading_ELA[],COLUMN(YES_Reading_ELA[Self-Identified as African Descent]),FALSE)),
IF(VLOOKUP($A739, YES_Reading_FLA[], COLUMN(YES_Reading_FLA[Self-Identified as African Descent]),FALSE)="", "", VLOOKUP($A739,YES_Reading_FLA[],COLUMN(YES_Reading_FLA[Self-Identified as African Descent]),FALSE))),""))),"")</f>
        <v/>
      </c>
      <c r="L739" s="73" t="str" cm="1">
        <f t="array" ref="L739">IFERROR(
IF($J$2="ELA",
IF(VLOOKUP($A739, YES_Reading_ELA[], COLUMN(YES_Reading_ELA[Self-Identified as Indigenous]), FALSE)="", "",
VLOOKUP($A739,YES_Reading_ELA[], COLUMN(YES_Reading_ELA[Self-Identified as Indigenous]), FALSE)),
IF($J$2="FLA",
IF(VLOOKUP($A739, YES_Reading_FLA[], COLUMN(YES_Reading_FLA[Self-Identified as Indigenous]),FALSE)="","",
VLOOKUP($A739,YES_Reading_FLA[],COLUMN(YES_Reading_FLA[Self-Identified as Indigenous]),FALSE)),
IF($J$2="Combined",
IFERROR(
IF(VLOOKUP($A739, YES_Reading_ELA[], COLUMN(YES_Reading_ELA[Self-Identified as Indigenous]), FALSE)="", "",
VLOOKUP($A739,YES_Reading_ELA[],COLUMN(YES_Reading_ELA[Self-Identified as Indigenous]),FALSE)),
IF(VLOOKUP($A739, YES_Reading_FLA[], COLUMN(YES_Reading_FLA[Self-Identified as Indigenous]),FALSE)="", "", VLOOKUP($A739,YES_Reading_FLA[],COLUMN(YES_Reading_FLA[Self-Identified as Indigenous]),FALSE))),""))),"")</f>
        <v/>
      </c>
    </row>
    <row r="740" spans="1:12" ht="19.5" customHeight="1" x14ac:dyDescent="0.25">
      <c r="A740" s="217"/>
      <c r="B740" s="220" t="str">
        <f>IFERROR(VLOOKUP(A740,_xlfn.VSTACK(YES_Reading_ELA[],YES_Reading_FLA[]),2,FALSE),"")</f>
        <v/>
      </c>
      <c r="C740" s="203" t="str" cm="1">
        <f t="array" aca="1" ref="C740" ca="1">IFERROR(
IF($J$2="ELA",
IF(VLOOKUP($A740, YES_Reading_ELA[], COLUMN(IF(VLOOKUP($D$2, 'Reading Report Logic'!$A$2:$B$8, 2, FALSE)=1, YES_Reading_ELA[Reading Level June of Previous School Year], INDIRECT("YES_Reading_ELA[Instructional Reading Level - Per "&amp;(VLOOKUP($D$2,'Reading Report Logic'!$A$2:$B$8,2,FALSE)-1)&amp;"]"))), FALSE)="", "",
VLOOKUP($A740,YES_Reading_ELA[], COLUMN(IF(VLOOKUP($D$2,'Reading Report Logic'!$A$2:$B$8,2,FALSE)=1, YES_Reading_ELA[Reading Level June of Previous School Year],INDIRECT("YES_Reading_ELA[Instructional Reading Level - Per "&amp;(VLOOKUP($D$2,'Reading Report Logic'!$A$2:$B$8,2,FALSE)-1)&amp;"]"))), FALSE)),
IF($J$2="FLA",
IF(VLOOKUP($A740, YES_Reading_FLA[], COLUMN(IF(VLOOKUP($D$2,'Reading Report Logic'!$A$2:$B$8,2,FALSE)=1, YES_Reading_FLA[Reading Level June of Previous School Year],INDIRECT("YES_Reading_FLA[Instructional Reading Level - Per "&amp;(VLOOKUP($D$2,'Reading Report Logic'!$A$2:$B$8,2,FALSE)-1)&amp;"]"))),FALSE)="","",
VLOOKUP($A740,YES_Reading_FLA[], COLUMN(IF(VLOOKUP($D$2,'Reading Report Logic'!$A$2:$B$8,2,FALSE)=1, YES_Reading_FLA[Reading Level June of Previous School Year],INDIRECT("YES_Reading_FLA[Instructional Reading Level - Per "&amp;(VLOOKUP($D$2,'Reading Report Logic'!$A$2:$B$8,2,FALSE)-1)&amp;"]"))),FALSE)),
IF($J$2="Combined",
IFERROR(
IF(VLOOKUP($A740, YES_Reading_ELA[], COLUMN(IF(VLOOKUP($D$2,'Reading Report Logic'!$A$2:$B$8,2,FALSE)=1, YES_Reading_ELA[Reading Level June of Previous School Year],INDIRECT("YES_Reading_ELA[Instructional Reading Level - Per "&amp;(VLOOKUP($D$2,'Reading Report Logic'!$A$2:$B$8,2,FALSE)-1)&amp;"]"))), FALSE)="", "",
VLOOKUP($A740,YES_Reading_ELA[],COLUMN(IF(VLOOKUP($D$2,'Reading Report Logic'!$A$2:$B$8,2,FALSE)=1, YES_Reading_ELA[Reading Level June of Previous School Year],INDIRECT("YES_Reading_ELA[Instructional Reading Level - Per "&amp;(VLOOKUP($D$2,'Reading Report Logic'!$A$2:$B$8,2,FALSE)-1)&amp;"]"))),FALSE)),
IF(VLOOKUP($A740, YES_Reading_FLA[], COLUMN(IF(VLOOKUP($D$2,'Reading Report Logic'!$A$2:$B$8,2,FALSE)=1, YES_Reading_FLA[Reading Level June of Previous School Year],INDIRECT("YES_Reading_FLA[Instructional Reading Level - Per "&amp;(VLOOKUP($D$2,'Reading Report Logic'!$A$2:$B$8,2,FALSE)-1)&amp;"]"))),FALSE)="", "", VLOOKUP($A740,YES_Reading_FLA[],COLUMN(IF(VLOOKUP($D$2,'Reading Report Logic'!$A$2:$B$8,2,FALSE)=1, YES_Reading_FLA[Reading Level June of Previous School Year],INDIRECT("YES_Reading_FLA[Instructional Reading Level - Per "&amp;(VLOOKUP($D$2,'Reading Report Logic'!$A$2:$B$8,2,FALSE)-1)&amp;"]"))), FALSE))),""))),"")</f>
        <v/>
      </c>
      <c r="D740" s="204" t="str" cm="1">
        <f t="array" aca="1" ref="D740" ca="1">IFERROR(
IF($J$2="ELA",
IF(VLOOKUP($A740, YES_Reading_ELA[], COLUMN(INDIRECT("YES_Reading_ELA[Instructional Reading Level - Per "&amp;VLOOKUP($D$2, 'Reading Report Logic'!$A$2:$B$8, 2, FALSE)&amp;"]")), FALSE)="", "",
VLOOKUP($A740,YES_Reading_ELA[], COLUMN(INDIRECT("YES_Reading_ELA[Instructional Reading Level - Per "&amp;VLOOKUP($D$2,'Reading Report Logic'!$A$2:$B$8,2,FALSE)&amp;"]")), FALSE)),
IF($J$2="FLA",
IF(VLOOKUP($A740, YES_Reading_FLA[], COLUMN(INDIRECT("YES_Reading_FLA[Instructional Reading Level - Per "&amp;VLOOKUP($D$2,'Reading Report Logic'!$A$2:$B$8,2,FALSE)&amp;"]")),FALSE)="","",
VLOOKUP($A740,YES_Reading_FLA[],COLUMN(INDIRECT("YES_Reading_FLA[Instructional Reading Level - Per "&amp;VLOOKUP($D$2,'Reading Report Logic'!$A$2:$B$8,2,FALSE)&amp;"]")),FALSE)),
IF($J$2="Combined",
IFERROR(
IF(VLOOKUP($A740, YES_Reading_ELA[], COLUMN(INDIRECT("YES_Reading_ELA[Instructional Reading Level - Per "&amp;VLOOKUP($D$2, 'Reading Report Logic'!$A$2:$B$8,2,FALSE)&amp;"]")), FALSE)="", "",
VLOOKUP($A740,YES_Reading_ELA[],COLUMN(INDIRECT("YES_Reading_ELA[Instructional Reading Level - Per "&amp;VLOOKUP($D$2,'Reading Report Logic'!$A$2:$B$8,2,FALSE)&amp;"]")),FALSE)),
IF(VLOOKUP($A740, YES_Reading_FLA[], COLUMN(INDIRECT("YES_Reading_FLA[Instructional Reading Level - Per "&amp;VLOOKUP($D$2, 'Reading Report Logic'!$A$2:$B$8, 2, FALSE)&amp;"]")),FALSE)="", "", VLOOKUP($A740,YES_Reading_FLA[],COLUMN(INDIRECT("YES_Reading_FLA[Instructional Reading Level - Per "&amp;VLOOKUP($D$2, 'Reading Report Logic'!$A$2:$B$8, 2, FALSE)&amp;"]")),FALSE))),""))),"")</f>
        <v/>
      </c>
      <c r="E740" s="205" t="str" cm="1">
        <f t="array" aca="1" ref="E740" ca="1">IFERROR(
IF($J$2="ELA",
IF(VLOOKUP($A740, YES_Reading_ELA[], COLUMN(INDIRECT("YES_Reading_ELA[Min Expectation - Per "&amp;VLOOKUP($D$2, 'Reading Report Logic'!$A$2:$B$8, 2, FALSE)&amp;"]")), FALSE)="", "",
VLOOKUP($A740,YES_Reading_ELA[], COLUMN(INDIRECT("YES_Reading_ELA[Min Expectation - Per "&amp;VLOOKUP($D$2,'Reading Report Logic'!$A$2:$B$8,2,FALSE)&amp;"]")), FALSE)),
IF($J$2="FLA",
IF(VLOOKUP($A740, YES_Reading_FLA[], COLUMN(INDIRECT("YES_Reading_FLA[Min Expectation - Per "&amp;VLOOKUP($D$2,'Reading Report Logic'!$A$2:$B$8,2,FALSE)&amp;"]")),FALSE)="","",
VLOOKUP($A740,YES_Reading_FLA[],COLUMN(INDIRECT("YES_Reading_FLA[Min Expectation - Per "&amp;VLOOKUP($D$2,'Reading Report Logic'!$A$2:$B$8,2,FALSE)&amp;"]")),FALSE)),
IF($J$2="Combined",
IFERROR(
IF(VLOOKUP($A740, YES_Reading_ELA[], COLUMN(INDIRECT("YES_Reading_ELA[Min Expectation - Per "&amp;VLOOKUP($D$2, 'Reading Report Logic'!$A$2:$B$8,2,FALSE)&amp;"]")), FALSE)="", "",
VLOOKUP($A740,YES_Reading_ELA[],COLUMN(INDIRECT("YES_Reading_ELA[Min Expectation - Per "&amp;VLOOKUP($D$2,'Reading Report Logic'!$A$2:$B$8,2,FALSE)&amp;"]")),FALSE)),
IF(VLOOKUP($A740, YES_Reading_FLA[], COLUMN(INDIRECT("YES_Reading_FLA[Min Expectation - Per "&amp;VLOOKUP($D$2, 'Reading Report Logic'!$A$2:$B$8, 2, FALSE)&amp;"]")),FALSE)="", "", VLOOKUP($A740,YES_Reading_FLA[],COLUMN(INDIRECT("YES_Reading_FLA[Min Expectation - Per "&amp;VLOOKUP($D$2, 'Reading Report Logic'!$A$2:$B$8, 2, FALSE)&amp;"]")),FALSE))),""))),"")</f>
        <v/>
      </c>
      <c r="F740" s="205" t="str" cm="1">
        <f t="array" aca="1" ref="F740" ca="1">IFERROR(
IF($J$2="ELA",
IF(VLOOKUP($A740, YES_Reading_ELA[], COLUMN(INDIRECT("YES_Reading_ELA[Max Expectation - Per "&amp;VLOOKUP($D$2, 'Reading Report Logic'!$A$2:$B$8, 2, FALSE)&amp;"]")), FALSE)="", "",
VLOOKUP($A740,YES_Reading_ELA[], COLUMN(INDIRECT("YES_Reading_ELA[Max Expectation - Per "&amp;VLOOKUP($D$2,'Reading Report Logic'!$A$2:$B$8,2,FALSE)&amp;"]")), FALSE)),
IF($J$2="FLA",
IF(VLOOKUP($A740, YES_Reading_FLA[], COLUMN(INDIRECT("YES_Reading_FLA[Max Expectation - Per "&amp;VLOOKUP($D$2,'Reading Report Logic'!$A$2:$B$8,2,FALSE)&amp;"]")),FALSE)="","",
VLOOKUP($A740,YES_Reading_FLA[],COLUMN(INDIRECT("YES_Reading_FLA[Max Expectation - Per "&amp;VLOOKUP($D$2,'Reading Report Logic'!$A$2:$B$8,2,FALSE)&amp;"]")),FALSE)),
IF($J$2="Combined",
IFERROR(
IF(VLOOKUP($A740, YES_Reading_ELA[], COLUMN(INDIRECT("YES_Reading_ELA[Max Expectation - Per "&amp;VLOOKUP($D$2, 'Reading Report Logic'!$A$2:$B$8,2,FALSE)&amp;"]")), FALSE)="", "",
VLOOKUP($A740,YES_Reading_ELA[],COLUMN(INDIRECT("YES_Reading_ELA[Max Expectation - Per "&amp;VLOOKUP($D$2,'Reading Report Logic'!$A$2:$B$8,2,FALSE)&amp;"]")),FALSE)),
IF(VLOOKUP($A740, YES_Reading_FLA[], COLUMN(INDIRECT("YES_Reading_FLA[Max Expectation - Per "&amp;VLOOKUP($D$2, 'Reading Report Logic'!$A$2:$B$8, 2, FALSE)&amp;"]")),FALSE)="", "", VLOOKUP($A740,YES_Reading_FLA[],COLUMN(INDIRECT("YES_Reading_FLA[Max Expectation - Per "&amp;VLOOKUP($D$2, 'Reading Report Logic'!$A$2:$B$8, 2, FALSE)&amp;"]")),FALSE))),""))),"")</f>
        <v/>
      </c>
      <c r="G740" s="205" t="str" cm="1">
        <f t="array" aca="1" ref="G740" ca="1">IFERROR(
IF($J$2="ELA",
IF(VLOOKUP($A740, YES_Reading_ELA[], COLUMN(INDIRECT("YES_Reading_ELA[Difference - Per "&amp;VLOOKUP($D$2, 'Reading Report Logic'!$A$2:$B$8, 2, FALSE)&amp;"]")), FALSE)="", "",
VLOOKUP($A740,YES_Reading_ELA[], COLUMN(INDIRECT("YES_Reading_ELA[Difference - Per "&amp;VLOOKUP($D$2,'Reading Report Logic'!$A$2:$B$8,2,FALSE)&amp;"]")), FALSE)),
IF($J$2="FLA",
IF(VLOOKUP($A740, YES_Reading_FLA[], COLUMN(INDIRECT("YES_Reading_FLA[Difference - Per "&amp;VLOOKUP($D$2,'Reading Report Logic'!$A$2:$B$8,2,FALSE)&amp;"]")),FALSE)="","",
VLOOKUP($A740,YES_Reading_FLA[],COLUMN(INDIRECT("YES_Reading_FLA[Difference - Per "&amp;VLOOKUP($D$2,'Reading Report Logic'!$A$2:$B$8,2,FALSE)&amp;"]")),FALSE)),
IF($J$2="Combined",
IFERROR(
IF(VLOOKUP($A740, YES_Reading_ELA[], COLUMN(INDIRECT("YES_Reading_ELA[Difference - Per "&amp;VLOOKUP($D$2, 'Reading Report Logic'!$A$2:$B$8,2,FALSE)&amp;"]")), FALSE)="", "",
VLOOKUP($A740,YES_Reading_ELA[],COLUMN(INDIRECT("YES_Reading_ELA[Difference - Per "&amp;VLOOKUP($D$2,'Reading Report Logic'!$A$2:$B$8,2,FALSE)&amp;"]")),FALSE)),
IF(VLOOKUP($A740, YES_Reading_FLA[], COLUMN(INDIRECT("YES_Reading_FLA[Difference - Per "&amp;VLOOKUP($D$2, 'Reading Report Logic'!$A$2:$B$8, 2, FALSE)&amp;"]")),FALSE)="", "", VLOOKUP($A740,YES_Reading_FLA[],COLUMN(INDIRECT("YES_Reading_FLA[Difference - Per "&amp;VLOOKUP($D$2, 'Reading Report Logic'!$A$2:$B$8, 2, FALSE)&amp;"]")),FALSE))),""))),"")</f>
        <v/>
      </c>
      <c r="H740" s="206" t="str">
        <f ca="1">IFERROR(VLOOKUP('Teacher Reading Pull Sheets'!$D740,_xlfn.VSTACK('ELA Reading Logic'!$A$22:$B$48,'FLA Reading Logic'!$A$22:$B$53),2,FALSE)-VLOOKUP('Teacher Reading Pull Sheets'!$C740,_xlfn.VSTACK('ELA Reading Logic'!$A$22:$B$48,'FLA Reading Logic'!$A$22:$B$53),2,FALSE),"")</f>
        <v/>
      </c>
      <c r="I740" s="212"/>
      <c r="J740" s="206"/>
      <c r="K740" s="197" t="str" cm="1">
        <f t="array" ref="K740">IFERROR(
IF($J$2="ELA",
IF(VLOOKUP($A740, YES_Reading_ELA[], COLUMN(YES_Reading_ELA[Self-Identified as African Descent]), FALSE)="", "",
VLOOKUP($A740,YES_Reading_ELA[], COLUMN(YES_Reading_ELA[Self-Identified as African Descent]), FALSE)),
IF($J$2="FLA",
IF(VLOOKUP($A740, YES_Reading_FLA[], COLUMN(YES_Reading_FLA[Self-Identified as African Descent]),FALSE)="","",
VLOOKUP($A740,YES_Reading_FLA[],COLUMN(YES_Reading_FLA[Self-Identified as African Descent]),FALSE)),
IF($J$2="Combined",
IFERROR(
IF(VLOOKUP($A740, YES_Reading_ELA[], COLUMN(YES_Reading_ELA[Self-Identified as African Descent]), FALSE)="", "",
VLOOKUP($A740,YES_Reading_ELA[],COLUMN(YES_Reading_ELA[Self-Identified as African Descent]),FALSE)),
IF(VLOOKUP($A740, YES_Reading_FLA[], COLUMN(YES_Reading_FLA[Self-Identified as African Descent]),FALSE)="", "", VLOOKUP($A740,YES_Reading_FLA[],COLUMN(YES_Reading_FLA[Self-Identified as African Descent]),FALSE))),""))),"")</f>
        <v/>
      </c>
      <c r="L740" s="73" t="str" cm="1">
        <f t="array" ref="L740">IFERROR(
IF($J$2="ELA",
IF(VLOOKUP($A740, YES_Reading_ELA[], COLUMN(YES_Reading_ELA[Self-Identified as Indigenous]), FALSE)="", "",
VLOOKUP($A740,YES_Reading_ELA[], COLUMN(YES_Reading_ELA[Self-Identified as Indigenous]), FALSE)),
IF($J$2="FLA",
IF(VLOOKUP($A740, YES_Reading_FLA[], COLUMN(YES_Reading_FLA[Self-Identified as Indigenous]),FALSE)="","",
VLOOKUP($A740,YES_Reading_FLA[],COLUMN(YES_Reading_FLA[Self-Identified as Indigenous]),FALSE)),
IF($J$2="Combined",
IFERROR(
IF(VLOOKUP($A740, YES_Reading_ELA[], COLUMN(YES_Reading_ELA[Self-Identified as Indigenous]), FALSE)="", "",
VLOOKUP($A740,YES_Reading_ELA[],COLUMN(YES_Reading_ELA[Self-Identified as Indigenous]),FALSE)),
IF(VLOOKUP($A740, YES_Reading_FLA[], COLUMN(YES_Reading_FLA[Self-Identified as Indigenous]),FALSE)="", "", VLOOKUP($A740,YES_Reading_FLA[],COLUMN(YES_Reading_FLA[Self-Identified as Indigenous]),FALSE))),""))),"")</f>
        <v/>
      </c>
    </row>
    <row r="741" spans="1:12" ht="19.5" customHeight="1" x14ac:dyDescent="0.25">
      <c r="A741" s="217"/>
      <c r="B741" s="220" t="str">
        <f>IFERROR(VLOOKUP(A741,_xlfn.VSTACK(YES_Reading_ELA[],YES_Reading_FLA[]),2,FALSE),"")</f>
        <v/>
      </c>
      <c r="C741" s="203" t="str" cm="1">
        <f t="array" aca="1" ref="C741" ca="1">IFERROR(
IF($J$2="ELA",
IF(VLOOKUP($A741, YES_Reading_ELA[], COLUMN(IF(VLOOKUP($D$2, 'Reading Report Logic'!$A$2:$B$8, 2, FALSE)=1, YES_Reading_ELA[Reading Level June of Previous School Year], INDIRECT("YES_Reading_ELA[Instructional Reading Level - Per "&amp;(VLOOKUP($D$2,'Reading Report Logic'!$A$2:$B$8,2,FALSE)-1)&amp;"]"))), FALSE)="", "",
VLOOKUP($A741,YES_Reading_ELA[], COLUMN(IF(VLOOKUP($D$2,'Reading Report Logic'!$A$2:$B$8,2,FALSE)=1, YES_Reading_ELA[Reading Level June of Previous School Year],INDIRECT("YES_Reading_ELA[Instructional Reading Level - Per "&amp;(VLOOKUP($D$2,'Reading Report Logic'!$A$2:$B$8,2,FALSE)-1)&amp;"]"))), FALSE)),
IF($J$2="FLA",
IF(VLOOKUP($A741, YES_Reading_FLA[], COLUMN(IF(VLOOKUP($D$2,'Reading Report Logic'!$A$2:$B$8,2,FALSE)=1, YES_Reading_FLA[Reading Level June of Previous School Year],INDIRECT("YES_Reading_FLA[Instructional Reading Level - Per "&amp;(VLOOKUP($D$2,'Reading Report Logic'!$A$2:$B$8,2,FALSE)-1)&amp;"]"))),FALSE)="","",
VLOOKUP($A741,YES_Reading_FLA[], COLUMN(IF(VLOOKUP($D$2,'Reading Report Logic'!$A$2:$B$8,2,FALSE)=1, YES_Reading_FLA[Reading Level June of Previous School Year],INDIRECT("YES_Reading_FLA[Instructional Reading Level - Per "&amp;(VLOOKUP($D$2,'Reading Report Logic'!$A$2:$B$8,2,FALSE)-1)&amp;"]"))),FALSE)),
IF($J$2="Combined",
IFERROR(
IF(VLOOKUP($A741, YES_Reading_ELA[], COLUMN(IF(VLOOKUP($D$2,'Reading Report Logic'!$A$2:$B$8,2,FALSE)=1, YES_Reading_ELA[Reading Level June of Previous School Year],INDIRECT("YES_Reading_ELA[Instructional Reading Level - Per "&amp;(VLOOKUP($D$2,'Reading Report Logic'!$A$2:$B$8,2,FALSE)-1)&amp;"]"))), FALSE)="", "",
VLOOKUP($A741,YES_Reading_ELA[],COLUMN(IF(VLOOKUP($D$2,'Reading Report Logic'!$A$2:$B$8,2,FALSE)=1, YES_Reading_ELA[Reading Level June of Previous School Year],INDIRECT("YES_Reading_ELA[Instructional Reading Level - Per "&amp;(VLOOKUP($D$2,'Reading Report Logic'!$A$2:$B$8,2,FALSE)-1)&amp;"]"))),FALSE)),
IF(VLOOKUP($A741, YES_Reading_FLA[], COLUMN(IF(VLOOKUP($D$2,'Reading Report Logic'!$A$2:$B$8,2,FALSE)=1, YES_Reading_FLA[Reading Level June of Previous School Year],INDIRECT("YES_Reading_FLA[Instructional Reading Level - Per "&amp;(VLOOKUP($D$2,'Reading Report Logic'!$A$2:$B$8,2,FALSE)-1)&amp;"]"))),FALSE)="", "", VLOOKUP($A741,YES_Reading_FLA[],COLUMN(IF(VLOOKUP($D$2,'Reading Report Logic'!$A$2:$B$8,2,FALSE)=1, YES_Reading_FLA[Reading Level June of Previous School Year],INDIRECT("YES_Reading_FLA[Instructional Reading Level - Per "&amp;(VLOOKUP($D$2,'Reading Report Logic'!$A$2:$B$8,2,FALSE)-1)&amp;"]"))), FALSE))),""))),"")</f>
        <v/>
      </c>
      <c r="D741" s="204" t="str" cm="1">
        <f t="array" aca="1" ref="D741" ca="1">IFERROR(
IF($J$2="ELA",
IF(VLOOKUP($A741, YES_Reading_ELA[], COLUMN(INDIRECT("YES_Reading_ELA[Instructional Reading Level - Per "&amp;VLOOKUP($D$2, 'Reading Report Logic'!$A$2:$B$8, 2, FALSE)&amp;"]")), FALSE)="", "",
VLOOKUP($A741,YES_Reading_ELA[], COLUMN(INDIRECT("YES_Reading_ELA[Instructional Reading Level - Per "&amp;VLOOKUP($D$2,'Reading Report Logic'!$A$2:$B$8,2,FALSE)&amp;"]")), FALSE)),
IF($J$2="FLA",
IF(VLOOKUP($A741, YES_Reading_FLA[], COLUMN(INDIRECT("YES_Reading_FLA[Instructional Reading Level - Per "&amp;VLOOKUP($D$2,'Reading Report Logic'!$A$2:$B$8,2,FALSE)&amp;"]")),FALSE)="","",
VLOOKUP($A741,YES_Reading_FLA[],COLUMN(INDIRECT("YES_Reading_FLA[Instructional Reading Level - Per "&amp;VLOOKUP($D$2,'Reading Report Logic'!$A$2:$B$8,2,FALSE)&amp;"]")),FALSE)),
IF($J$2="Combined",
IFERROR(
IF(VLOOKUP($A741, YES_Reading_ELA[], COLUMN(INDIRECT("YES_Reading_ELA[Instructional Reading Level - Per "&amp;VLOOKUP($D$2, 'Reading Report Logic'!$A$2:$B$8,2,FALSE)&amp;"]")), FALSE)="", "",
VLOOKUP($A741,YES_Reading_ELA[],COLUMN(INDIRECT("YES_Reading_ELA[Instructional Reading Level - Per "&amp;VLOOKUP($D$2,'Reading Report Logic'!$A$2:$B$8,2,FALSE)&amp;"]")),FALSE)),
IF(VLOOKUP($A741, YES_Reading_FLA[], COLUMN(INDIRECT("YES_Reading_FLA[Instructional Reading Level - Per "&amp;VLOOKUP($D$2, 'Reading Report Logic'!$A$2:$B$8, 2, FALSE)&amp;"]")),FALSE)="", "", VLOOKUP($A741,YES_Reading_FLA[],COLUMN(INDIRECT("YES_Reading_FLA[Instructional Reading Level - Per "&amp;VLOOKUP($D$2, 'Reading Report Logic'!$A$2:$B$8, 2, FALSE)&amp;"]")),FALSE))),""))),"")</f>
        <v/>
      </c>
      <c r="E741" s="205" t="str" cm="1">
        <f t="array" aca="1" ref="E741" ca="1">IFERROR(
IF($J$2="ELA",
IF(VLOOKUP($A741, YES_Reading_ELA[], COLUMN(INDIRECT("YES_Reading_ELA[Min Expectation - Per "&amp;VLOOKUP($D$2, 'Reading Report Logic'!$A$2:$B$8, 2, FALSE)&amp;"]")), FALSE)="", "",
VLOOKUP($A741,YES_Reading_ELA[], COLUMN(INDIRECT("YES_Reading_ELA[Min Expectation - Per "&amp;VLOOKUP($D$2,'Reading Report Logic'!$A$2:$B$8,2,FALSE)&amp;"]")), FALSE)),
IF($J$2="FLA",
IF(VLOOKUP($A741, YES_Reading_FLA[], COLUMN(INDIRECT("YES_Reading_FLA[Min Expectation - Per "&amp;VLOOKUP($D$2,'Reading Report Logic'!$A$2:$B$8,2,FALSE)&amp;"]")),FALSE)="","",
VLOOKUP($A741,YES_Reading_FLA[],COLUMN(INDIRECT("YES_Reading_FLA[Min Expectation - Per "&amp;VLOOKUP($D$2,'Reading Report Logic'!$A$2:$B$8,2,FALSE)&amp;"]")),FALSE)),
IF($J$2="Combined",
IFERROR(
IF(VLOOKUP($A741, YES_Reading_ELA[], COLUMN(INDIRECT("YES_Reading_ELA[Min Expectation - Per "&amp;VLOOKUP($D$2, 'Reading Report Logic'!$A$2:$B$8,2,FALSE)&amp;"]")), FALSE)="", "",
VLOOKUP($A741,YES_Reading_ELA[],COLUMN(INDIRECT("YES_Reading_ELA[Min Expectation - Per "&amp;VLOOKUP($D$2,'Reading Report Logic'!$A$2:$B$8,2,FALSE)&amp;"]")),FALSE)),
IF(VLOOKUP($A741, YES_Reading_FLA[], COLUMN(INDIRECT("YES_Reading_FLA[Min Expectation - Per "&amp;VLOOKUP($D$2, 'Reading Report Logic'!$A$2:$B$8, 2, FALSE)&amp;"]")),FALSE)="", "", VLOOKUP($A741,YES_Reading_FLA[],COLUMN(INDIRECT("YES_Reading_FLA[Min Expectation - Per "&amp;VLOOKUP($D$2, 'Reading Report Logic'!$A$2:$B$8, 2, FALSE)&amp;"]")),FALSE))),""))),"")</f>
        <v/>
      </c>
      <c r="F741" s="205" t="str" cm="1">
        <f t="array" aca="1" ref="F741" ca="1">IFERROR(
IF($J$2="ELA",
IF(VLOOKUP($A741, YES_Reading_ELA[], COLUMN(INDIRECT("YES_Reading_ELA[Max Expectation - Per "&amp;VLOOKUP($D$2, 'Reading Report Logic'!$A$2:$B$8, 2, FALSE)&amp;"]")), FALSE)="", "",
VLOOKUP($A741,YES_Reading_ELA[], COLUMN(INDIRECT("YES_Reading_ELA[Max Expectation - Per "&amp;VLOOKUP($D$2,'Reading Report Logic'!$A$2:$B$8,2,FALSE)&amp;"]")), FALSE)),
IF($J$2="FLA",
IF(VLOOKUP($A741, YES_Reading_FLA[], COLUMN(INDIRECT("YES_Reading_FLA[Max Expectation - Per "&amp;VLOOKUP($D$2,'Reading Report Logic'!$A$2:$B$8,2,FALSE)&amp;"]")),FALSE)="","",
VLOOKUP($A741,YES_Reading_FLA[],COLUMN(INDIRECT("YES_Reading_FLA[Max Expectation - Per "&amp;VLOOKUP($D$2,'Reading Report Logic'!$A$2:$B$8,2,FALSE)&amp;"]")),FALSE)),
IF($J$2="Combined",
IFERROR(
IF(VLOOKUP($A741, YES_Reading_ELA[], COLUMN(INDIRECT("YES_Reading_ELA[Max Expectation - Per "&amp;VLOOKUP($D$2, 'Reading Report Logic'!$A$2:$B$8,2,FALSE)&amp;"]")), FALSE)="", "",
VLOOKUP($A741,YES_Reading_ELA[],COLUMN(INDIRECT("YES_Reading_ELA[Max Expectation - Per "&amp;VLOOKUP($D$2,'Reading Report Logic'!$A$2:$B$8,2,FALSE)&amp;"]")),FALSE)),
IF(VLOOKUP($A741, YES_Reading_FLA[], COLUMN(INDIRECT("YES_Reading_FLA[Max Expectation - Per "&amp;VLOOKUP($D$2, 'Reading Report Logic'!$A$2:$B$8, 2, FALSE)&amp;"]")),FALSE)="", "", VLOOKUP($A741,YES_Reading_FLA[],COLUMN(INDIRECT("YES_Reading_FLA[Max Expectation - Per "&amp;VLOOKUP($D$2, 'Reading Report Logic'!$A$2:$B$8, 2, FALSE)&amp;"]")),FALSE))),""))),"")</f>
        <v/>
      </c>
      <c r="G741" s="205" t="str" cm="1">
        <f t="array" aca="1" ref="G741" ca="1">IFERROR(
IF($J$2="ELA",
IF(VLOOKUP($A741, YES_Reading_ELA[], COLUMN(INDIRECT("YES_Reading_ELA[Difference - Per "&amp;VLOOKUP($D$2, 'Reading Report Logic'!$A$2:$B$8, 2, FALSE)&amp;"]")), FALSE)="", "",
VLOOKUP($A741,YES_Reading_ELA[], COLUMN(INDIRECT("YES_Reading_ELA[Difference - Per "&amp;VLOOKUP($D$2,'Reading Report Logic'!$A$2:$B$8,2,FALSE)&amp;"]")), FALSE)),
IF($J$2="FLA",
IF(VLOOKUP($A741, YES_Reading_FLA[], COLUMN(INDIRECT("YES_Reading_FLA[Difference - Per "&amp;VLOOKUP($D$2,'Reading Report Logic'!$A$2:$B$8,2,FALSE)&amp;"]")),FALSE)="","",
VLOOKUP($A741,YES_Reading_FLA[],COLUMN(INDIRECT("YES_Reading_FLA[Difference - Per "&amp;VLOOKUP($D$2,'Reading Report Logic'!$A$2:$B$8,2,FALSE)&amp;"]")),FALSE)),
IF($J$2="Combined",
IFERROR(
IF(VLOOKUP($A741, YES_Reading_ELA[], COLUMN(INDIRECT("YES_Reading_ELA[Difference - Per "&amp;VLOOKUP($D$2, 'Reading Report Logic'!$A$2:$B$8,2,FALSE)&amp;"]")), FALSE)="", "",
VLOOKUP($A741,YES_Reading_ELA[],COLUMN(INDIRECT("YES_Reading_ELA[Difference - Per "&amp;VLOOKUP($D$2,'Reading Report Logic'!$A$2:$B$8,2,FALSE)&amp;"]")),FALSE)),
IF(VLOOKUP($A741, YES_Reading_FLA[], COLUMN(INDIRECT("YES_Reading_FLA[Difference - Per "&amp;VLOOKUP($D$2, 'Reading Report Logic'!$A$2:$B$8, 2, FALSE)&amp;"]")),FALSE)="", "", VLOOKUP($A741,YES_Reading_FLA[],COLUMN(INDIRECT("YES_Reading_FLA[Difference - Per "&amp;VLOOKUP($D$2, 'Reading Report Logic'!$A$2:$B$8, 2, FALSE)&amp;"]")),FALSE))),""))),"")</f>
        <v/>
      </c>
      <c r="H741" s="206" t="str">
        <f ca="1">IFERROR(VLOOKUP('Teacher Reading Pull Sheets'!$D741,_xlfn.VSTACK('ELA Reading Logic'!$A$22:$B$48,'FLA Reading Logic'!$A$22:$B$53),2,FALSE)-VLOOKUP('Teacher Reading Pull Sheets'!$C741,_xlfn.VSTACK('ELA Reading Logic'!$A$22:$B$48,'FLA Reading Logic'!$A$22:$B$53),2,FALSE),"")</f>
        <v/>
      </c>
      <c r="I741" s="212"/>
      <c r="J741" s="206"/>
      <c r="K741" s="197" t="str" cm="1">
        <f t="array" ref="K741">IFERROR(
IF($J$2="ELA",
IF(VLOOKUP($A741, YES_Reading_ELA[], COLUMN(YES_Reading_ELA[Self-Identified as African Descent]), FALSE)="", "",
VLOOKUP($A741,YES_Reading_ELA[], COLUMN(YES_Reading_ELA[Self-Identified as African Descent]), FALSE)),
IF($J$2="FLA",
IF(VLOOKUP($A741, YES_Reading_FLA[], COLUMN(YES_Reading_FLA[Self-Identified as African Descent]),FALSE)="","",
VLOOKUP($A741,YES_Reading_FLA[],COLUMN(YES_Reading_FLA[Self-Identified as African Descent]),FALSE)),
IF($J$2="Combined",
IFERROR(
IF(VLOOKUP($A741, YES_Reading_ELA[], COLUMN(YES_Reading_ELA[Self-Identified as African Descent]), FALSE)="", "",
VLOOKUP($A741,YES_Reading_ELA[],COLUMN(YES_Reading_ELA[Self-Identified as African Descent]),FALSE)),
IF(VLOOKUP($A741, YES_Reading_FLA[], COLUMN(YES_Reading_FLA[Self-Identified as African Descent]),FALSE)="", "", VLOOKUP($A741,YES_Reading_FLA[],COLUMN(YES_Reading_FLA[Self-Identified as African Descent]),FALSE))),""))),"")</f>
        <v/>
      </c>
      <c r="L741" s="73" t="str" cm="1">
        <f t="array" ref="L741">IFERROR(
IF($J$2="ELA",
IF(VLOOKUP($A741, YES_Reading_ELA[], COLUMN(YES_Reading_ELA[Self-Identified as Indigenous]), FALSE)="", "",
VLOOKUP($A741,YES_Reading_ELA[], COLUMN(YES_Reading_ELA[Self-Identified as Indigenous]), FALSE)),
IF($J$2="FLA",
IF(VLOOKUP($A741, YES_Reading_FLA[], COLUMN(YES_Reading_FLA[Self-Identified as Indigenous]),FALSE)="","",
VLOOKUP($A741,YES_Reading_FLA[],COLUMN(YES_Reading_FLA[Self-Identified as Indigenous]),FALSE)),
IF($J$2="Combined",
IFERROR(
IF(VLOOKUP($A741, YES_Reading_ELA[], COLUMN(YES_Reading_ELA[Self-Identified as Indigenous]), FALSE)="", "",
VLOOKUP($A741,YES_Reading_ELA[],COLUMN(YES_Reading_ELA[Self-Identified as Indigenous]),FALSE)),
IF(VLOOKUP($A741, YES_Reading_FLA[], COLUMN(YES_Reading_FLA[Self-Identified as Indigenous]),FALSE)="", "", VLOOKUP($A741,YES_Reading_FLA[],COLUMN(YES_Reading_FLA[Self-Identified as Indigenous]),FALSE))),""))),"")</f>
        <v/>
      </c>
    </row>
    <row r="742" spans="1:12" ht="19.5" customHeight="1" x14ac:dyDescent="0.25">
      <c r="A742" s="217"/>
      <c r="B742" s="220" t="str">
        <f>IFERROR(VLOOKUP(A742,_xlfn.VSTACK(YES_Reading_ELA[],YES_Reading_FLA[]),2,FALSE),"")</f>
        <v/>
      </c>
      <c r="C742" s="203" t="str" cm="1">
        <f t="array" aca="1" ref="C742" ca="1">IFERROR(
IF($J$2="ELA",
IF(VLOOKUP($A742, YES_Reading_ELA[], COLUMN(IF(VLOOKUP($D$2, 'Reading Report Logic'!$A$2:$B$8, 2, FALSE)=1, YES_Reading_ELA[Reading Level June of Previous School Year], INDIRECT("YES_Reading_ELA[Instructional Reading Level - Per "&amp;(VLOOKUP($D$2,'Reading Report Logic'!$A$2:$B$8,2,FALSE)-1)&amp;"]"))), FALSE)="", "",
VLOOKUP($A742,YES_Reading_ELA[], COLUMN(IF(VLOOKUP($D$2,'Reading Report Logic'!$A$2:$B$8,2,FALSE)=1, YES_Reading_ELA[Reading Level June of Previous School Year],INDIRECT("YES_Reading_ELA[Instructional Reading Level - Per "&amp;(VLOOKUP($D$2,'Reading Report Logic'!$A$2:$B$8,2,FALSE)-1)&amp;"]"))), FALSE)),
IF($J$2="FLA",
IF(VLOOKUP($A742, YES_Reading_FLA[], COLUMN(IF(VLOOKUP($D$2,'Reading Report Logic'!$A$2:$B$8,2,FALSE)=1, YES_Reading_FLA[Reading Level June of Previous School Year],INDIRECT("YES_Reading_FLA[Instructional Reading Level - Per "&amp;(VLOOKUP($D$2,'Reading Report Logic'!$A$2:$B$8,2,FALSE)-1)&amp;"]"))),FALSE)="","",
VLOOKUP($A742,YES_Reading_FLA[], COLUMN(IF(VLOOKUP($D$2,'Reading Report Logic'!$A$2:$B$8,2,FALSE)=1, YES_Reading_FLA[Reading Level June of Previous School Year],INDIRECT("YES_Reading_FLA[Instructional Reading Level - Per "&amp;(VLOOKUP($D$2,'Reading Report Logic'!$A$2:$B$8,2,FALSE)-1)&amp;"]"))),FALSE)),
IF($J$2="Combined",
IFERROR(
IF(VLOOKUP($A742, YES_Reading_ELA[], COLUMN(IF(VLOOKUP($D$2,'Reading Report Logic'!$A$2:$B$8,2,FALSE)=1, YES_Reading_ELA[Reading Level June of Previous School Year],INDIRECT("YES_Reading_ELA[Instructional Reading Level - Per "&amp;(VLOOKUP($D$2,'Reading Report Logic'!$A$2:$B$8,2,FALSE)-1)&amp;"]"))), FALSE)="", "",
VLOOKUP($A742,YES_Reading_ELA[],COLUMN(IF(VLOOKUP($D$2,'Reading Report Logic'!$A$2:$B$8,2,FALSE)=1, YES_Reading_ELA[Reading Level June of Previous School Year],INDIRECT("YES_Reading_ELA[Instructional Reading Level - Per "&amp;(VLOOKUP($D$2,'Reading Report Logic'!$A$2:$B$8,2,FALSE)-1)&amp;"]"))),FALSE)),
IF(VLOOKUP($A742, YES_Reading_FLA[], COLUMN(IF(VLOOKUP($D$2,'Reading Report Logic'!$A$2:$B$8,2,FALSE)=1, YES_Reading_FLA[Reading Level June of Previous School Year],INDIRECT("YES_Reading_FLA[Instructional Reading Level - Per "&amp;(VLOOKUP($D$2,'Reading Report Logic'!$A$2:$B$8,2,FALSE)-1)&amp;"]"))),FALSE)="", "", VLOOKUP($A742,YES_Reading_FLA[],COLUMN(IF(VLOOKUP($D$2,'Reading Report Logic'!$A$2:$B$8,2,FALSE)=1, YES_Reading_FLA[Reading Level June of Previous School Year],INDIRECT("YES_Reading_FLA[Instructional Reading Level - Per "&amp;(VLOOKUP($D$2,'Reading Report Logic'!$A$2:$B$8,2,FALSE)-1)&amp;"]"))), FALSE))),""))),"")</f>
        <v/>
      </c>
      <c r="D742" s="204" t="str" cm="1">
        <f t="array" aca="1" ref="D742" ca="1">IFERROR(
IF($J$2="ELA",
IF(VLOOKUP($A742, YES_Reading_ELA[], COLUMN(INDIRECT("YES_Reading_ELA[Instructional Reading Level - Per "&amp;VLOOKUP($D$2, 'Reading Report Logic'!$A$2:$B$8, 2, FALSE)&amp;"]")), FALSE)="", "",
VLOOKUP($A742,YES_Reading_ELA[], COLUMN(INDIRECT("YES_Reading_ELA[Instructional Reading Level - Per "&amp;VLOOKUP($D$2,'Reading Report Logic'!$A$2:$B$8,2,FALSE)&amp;"]")), FALSE)),
IF($J$2="FLA",
IF(VLOOKUP($A742, YES_Reading_FLA[], COLUMN(INDIRECT("YES_Reading_FLA[Instructional Reading Level - Per "&amp;VLOOKUP($D$2,'Reading Report Logic'!$A$2:$B$8,2,FALSE)&amp;"]")),FALSE)="","",
VLOOKUP($A742,YES_Reading_FLA[],COLUMN(INDIRECT("YES_Reading_FLA[Instructional Reading Level - Per "&amp;VLOOKUP($D$2,'Reading Report Logic'!$A$2:$B$8,2,FALSE)&amp;"]")),FALSE)),
IF($J$2="Combined",
IFERROR(
IF(VLOOKUP($A742, YES_Reading_ELA[], COLUMN(INDIRECT("YES_Reading_ELA[Instructional Reading Level - Per "&amp;VLOOKUP($D$2, 'Reading Report Logic'!$A$2:$B$8,2,FALSE)&amp;"]")), FALSE)="", "",
VLOOKUP($A742,YES_Reading_ELA[],COLUMN(INDIRECT("YES_Reading_ELA[Instructional Reading Level - Per "&amp;VLOOKUP($D$2,'Reading Report Logic'!$A$2:$B$8,2,FALSE)&amp;"]")),FALSE)),
IF(VLOOKUP($A742, YES_Reading_FLA[], COLUMN(INDIRECT("YES_Reading_FLA[Instructional Reading Level - Per "&amp;VLOOKUP($D$2, 'Reading Report Logic'!$A$2:$B$8, 2, FALSE)&amp;"]")),FALSE)="", "", VLOOKUP($A742,YES_Reading_FLA[],COLUMN(INDIRECT("YES_Reading_FLA[Instructional Reading Level - Per "&amp;VLOOKUP($D$2, 'Reading Report Logic'!$A$2:$B$8, 2, FALSE)&amp;"]")),FALSE))),""))),"")</f>
        <v/>
      </c>
      <c r="E742" s="205" t="str" cm="1">
        <f t="array" aca="1" ref="E742" ca="1">IFERROR(
IF($J$2="ELA",
IF(VLOOKUP($A742, YES_Reading_ELA[], COLUMN(INDIRECT("YES_Reading_ELA[Min Expectation - Per "&amp;VLOOKUP($D$2, 'Reading Report Logic'!$A$2:$B$8, 2, FALSE)&amp;"]")), FALSE)="", "",
VLOOKUP($A742,YES_Reading_ELA[], COLUMN(INDIRECT("YES_Reading_ELA[Min Expectation - Per "&amp;VLOOKUP($D$2,'Reading Report Logic'!$A$2:$B$8,2,FALSE)&amp;"]")), FALSE)),
IF($J$2="FLA",
IF(VLOOKUP($A742, YES_Reading_FLA[], COLUMN(INDIRECT("YES_Reading_FLA[Min Expectation - Per "&amp;VLOOKUP($D$2,'Reading Report Logic'!$A$2:$B$8,2,FALSE)&amp;"]")),FALSE)="","",
VLOOKUP($A742,YES_Reading_FLA[],COLUMN(INDIRECT("YES_Reading_FLA[Min Expectation - Per "&amp;VLOOKUP($D$2,'Reading Report Logic'!$A$2:$B$8,2,FALSE)&amp;"]")),FALSE)),
IF($J$2="Combined",
IFERROR(
IF(VLOOKUP($A742, YES_Reading_ELA[], COLUMN(INDIRECT("YES_Reading_ELA[Min Expectation - Per "&amp;VLOOKUP($D$2, 'Reading Report Logic'!$A$2:$B$8,2,FALSE)&amp;"]")), FALSE)="", "",
VLOOKUP($A742,YES_Reading_ELA[],COLUMN(INDIRECT("YES_Reading_ELA[Min Expectation - Per "&amp;VLOOKUP($D$2,'Reading Report Logic'!$A$2:$B$8,2,FALSE)&amp;"]")),FALSE)),
IF(VLOOKUP($A742, YES_Reading_FLA[], COLUMN(INDIRECT("YES_Reading_FLA[Min Expectation - Per "&amp;VLOOKUP($D$2, 'Reading Report Logic'!$A$2:$B$8, 2, FALSE)&amp;"]")),FALSE)="", "", VLOOKUP($A742,YES_Reading_FLA[],COLUMN(INDIRECT("YES_Reading_FLA[Min Expectation - Per "&amp;VLOOKUP($D$2, 'Reading Report Logic'!$A$2:$B$8, 2, FALSE)&amp;"]")),FALSE))),""))),"")</f>
        <v/>
      </c>
      <c r="F742" s="205" t="str" cm="1">
        <f t="array" aca="1" ref="F742" ca="1">IFERROR(
IF($J$2="ELA",
IF(VLOOKUP($A742, YES_Reading_ELA[], COLUMN(INDIRECT("YES_Reading_ELA[Max Expectation - Per "&amp;VLOOKUP($D$2, 'Reading Report Logic'!$A$2:$B$8, 2, FALSE)&amp;"]")), FALSE)="", "",
VLOOKUP($A742,YES_Reading_ELA[], COLUMN(INDIRECT("YES_Reading_ELA[Max Expectation - Per "&amp;VLOOKUP($D$2,'Reading Report Logic'!$A$2:$B$8,2,FALSE)&amp;"]")), FALSE)),
IF($J$2="FLA",
IF(VLOOKUP($A742, YES_Reading_FLA[], COLUMN(INDIRECT("YES_Reading_FLA[Max Expectation - Per "&amp;VLOOKUP($D$2,'Reading Report Logic'!$A$2:$B$8,2,FALSE)&amp;"]")),FALSE)="","",
VLOOKUP($A742,YES_Reading_FLA[],COLUMN(INDIRECT("YES_Reading_FLA[Max Expectation - Per "&amp;VLOOKUP($D$2,'Reading Report Logic'!$A$2:$B$8,2,FALSE)&amp;"]")),FALSE)),
IF($J$2="Combined",
IFERROR(
IF(VLOOKUP($A742, YES_Reading_ELA[], COLUMN(INDIRECT("YES_Reading_ELA[Max Expectation - Per "&amp;VLOOKUP($D$2, 'Reading Report Logic'!$A$2:$B$8,2,FALSE)&amp;"]")), FALSE)="", "",
VLOOKUP($A742,YES_Reading_ELA[],COLUMN(INDIRECT("YES_Reading_ELA[Max Expectation - Per "&amp;VLOOKUP($D$2,'Reading Report Logic'!$A$2:$B$8,2,FALSE)&amp;"]")),FALSE)),
IF(VLOOKUP($A742, YES_Reading_FLA[], COLUMN(INDIRECT("YES_Reading_FLA[Max Expectation - Per "&amp;VLOOKUP($D$2, 'Reading Report Logic'!$A$2:$B$8, 2, FALSE)&amp;"]")),FALSE)="", "", VLOOKUP($A742,YES_Reading_FLA[],COLUMN(INDIRECT("YES_Reading_FLA[Max Expectation - Per "&amp;VLOOKUP($D$2, 'Reading Report Logic'!$A$2:$B$8, 2, FALSE)&amp;"]")),FALSE))),""))),"")</f>
        <v/>
      </c>
      <c r="G742" s="205" t="str" cm="1">
        <f t="array" aca="1" ref="G742" ca="1">IFERROR(
IF($J$2="ELA",
IF(VLOOKUP($A742, YES_Reading_ELA[], COLUMN(INDIRECT("YES_Reading_ELA[Difference - Per "&amp;VLOOKUP($D$2, 'Reading Report Logic'!$A$2:$B$8, 2, FALSE)&amp;"]")), FALSE)="", "",
VLOOKUP($A742,YES_Reading_ELA[], COLUMN(INDIRECT("YES_Reading_ELA[Difference - Per "&amp;VLOOKUP($D$2,'Reading Report Logic'!$A$2:$B$8,2,FALSE)&amp;"]")), FALSE)),
IF($J$2="FLA",
IF(VLOOKUP($A742, YES_Reading_FLA[], COLUMN(INDIRECT("YES_Reading_FLA[Difference - Per "&amp;VLOOKUP($D$2,'Reading Report Logic'!$A$2:$B$8,2,FALSE)&amp;"]")),FALSE)="","",
VLOOKUP($A742,YES_Reading_FLA[],COLUMN(INDIRECT("YES_Reading_FLA[Difference - Per "&amp;VLOOKUP($D$2,'Reading Report Logic'!$A$2:$B$8,2,FALSE)&amp;"]")),FALSE)),
IF($J$2="Combined",
IFERROR(
IF(VLOOKUP($A742, YES_Reading_ELA[], COLUMN(INDIRECT("YES_Reading_ELA[Difference - Per "&amp;VLOOKUP($D$2, 'Reading Report Logic'!$A$2:$B$8,2,FALSE)&amp;"]")), FALSE)="", "",
VLOOKUP($A742,YES_Reading_ELA[],COLUMN(INDIRECT("YES_Reading_ELA[Difference - Per "&amp;VLOOKUP($D$2,'Reading Report Logic'!$A$2:$B$8,2,FALSE)&amp;"]")),FALSE)),
IF(VLOOKUP($A742, YES_Reading_FLA[], COLUMN(INDIRECT("YES_Reading_FLA[Difference - Per "&amp;VLOOKUP($D$2, 'Reading Report Logic'!$A$2:$B$8, 2, FALSE)&amp;"]")),FALSE)="", "", VLOOKUP($A742,YES_Reading_FLA[],COLUMN(INDIRECT("YES_Reading_FLA[Difference - Per "&amp;VLOOKUP($D$2, 'Reading Report Logic'!$A$2:$B$8, 2, FALSE)&amp;"]")),FALSE))),""))),"")</f>
        <v/>
      </c>
      <c r="H742" s="206" t="str">
        <f ca="1">IFERROR(VLOOKUP('Teacher Reading Pull Sheets'!$D742,_xlfn.VSTACK('ELA Reading Logic'!$A$22:$B$48,'FLA Reading Logic'!$A$22:$B$53),2,FALSE)-VLOOKUP('Teacher Reading Pull Sheets'!$C742,_xlfn.VSTACK('ELA Reading Logic'!$A$22:$B$48,'FLA Reading Logic'!$A$22:$B$53),2,FALSE),"")</f>
        <v/>
      </c>
      <c r="I742" s="212"/>
      <c r="J742" s="206"/>
      <c r="K742" s="197" t="str" cm="1">
        <f t="array" ref="K742">IFERROR(
IF($J$2="ELA",
IF(VLOOKUP($A742, YES_Reading_ELA[], COLUMN(YES_Reading_ELA[Self-Identified as African Descent]), FALSE)="", "",
VLOOKUP($A742,YES_Reading_ELA[], COLUMN(YES_Reading_ELA[Self-Identified as African Descent]), FALSE)),
IF($J$2="FLA",
IF(VLOOKUP($A742, YES_Reading_FLA[], COLUMN(YES_Reading_FLA[Self-Identified as African Descent]),FALSE)="","",
VLOOKUP($A742,YES_Reading_FLA[],COLUMN(YES_Reading_FLA[Self-Identified as African Descent]),FALSE)),
IF($J$2="Combined",
IFERROR(
IF(VLOOKUP($A742, YES_Reading_ELA[], COLUMN(YES_Reading_ELA[Self-Identified as African Descent]), FALSE)="", "",
VLOOKUP($A742,YES_Reading_ELA[],COLUMN(YES_Reading_ELA[Self-Identified as African Descent]),FALSE)),
IF(VLOOKUP($A742, YES_Reading_FLA[], COLUMN(YES_Reading_FLA[Self-Identified as African Descent]),FALSE)="", "", VLOOKUP($A742,YES_Reading_FLA[],COLUMN(YES_Reading_FLA[Self-Identified as African Descent]),FALSE))),""))),"")</f>
        <v/>
      </c>
      <c r="L742" s="73" t="str" cm="1">
        <f t="array" ref="L742">IFERROR(
IF($J$2="ELA",
IF(VLOOKUP($A742, YES_Reading_ELA[], COLUMN(YES_Reading_ELA[Self-Identified as Indigenous]), FALSE)="", "",
VLOOKUP($A742,YES_Reading_ELA[], COLUMN(YES_Reading_ELA[Self-Identified as Indigenous]), FALSE)),
IF($J$2="FLA",
IF(VLOOKUP($A742, YES_Reading_FLA[], COLUMN(YES_Reading_FLA[Self-Identified as Indigenous]),FALSE)="","",
VLOOKUP($A742,YES_Reading_FLA[],COLUMN(YES_Reading_FLA[Self-Identified as Indigenous]),FALSE)),
IF($J$2="Combined",
IFERROR(
IF(VLOOKUP($A742, YES_Reading_ELA[], COLUMN(YES_Reading_ELA[Self-Identified as Indigenous]), FALSE)="", "",
VLOOKUP($A742,YES_Reading_ELA[],COLUMN(YES_Reading_ELA[Self-Identified as Indigenous]),FALSE)),
IF(VLOOKUP($A742, YES_Reading_FLA[], COLUMN(YES_Reading_FLA[Self-Identified as Indigenous]),FALSE)="", "", VLOOKUP($A742,YES_Reading_FLA[],COLUMN(YES_Reading_FLA[Self-Identified as Indigenous]),FALSE))),""))),"")</f>
        <v/>
      </c>
    </row>
    <row r="743" spans="1:12" ht="19.5" customHeight="1" x14ac:dyDescent="0.25">
      <c r="A743" s="217"/>
      <c r="B743" s="220" t="str">
        <f>IFERROR(VLOOKUP(A743,_xlfn.VSTACK(YES_Reading_ELA[],YES_Reading_FLA[]),2,FALSE),"")</f>
        <v/>
      </c>
      <c r="C743" s="203" t="str" cm="1">
        <f t="array" aca="1" ref="C743" ca="1">IFERROR(
IF($J$2="ELA",
IF(VLOOKUP($A743, YES_Reading_ELA[], COLUMN(IF(VLOOKUP($D$2, 'Reading Report Logic'!$A$2:$B$8, 2, FALSE)=1, YES_Reading_ELA[Reading Level June of Previous School Year], INDIRECT("YES_Reading_ELA[Instructional Reading Level - Per "&amp;(VLOOKUP($D$2,'Reading Report Logic'!$A$2:$B$8,2,FALSE)-1)&amp;"]"))), FALSE)="", "",
VLOOKUP($A743,YES_Reading_ELA[], COLUMN(IF(VLOOKUP($D$2,'Reading Report Logic'!$A$2:$B$8,2,FALSE)=1, YES_Reading_ELA[Reading Level June of Previous School Year],INDIRECT("YES_Reading_ELA[Instructional Reading Level - Per "&amp;(VLOOKUP($D$2,'Reading Report Logic'!$A$2:$B$8,2,FALSE)-1)&amp;"]"))), FALSE)),
IF($J$2="FLA",
IF(VLOOKUP($A743, YES_Reading_FLA[], COLUMN(IF(VLOOKUP($D$2,'Reading Report Logic'!$A$2:$B$8,2,FALSE)=1, YES_Reading_FLA[Reading Level June of Previous School Year],INDIRECT("YES_Reading_FLA[Instructional Reading Level - Per "&amp;(VLOOKUP($D$2,'Reading Report Logic'!$A$2:$B$8,2,FALSE)-1)&amp;"]"))),FALSE)="","",
VLOOKUP($A743,YES_Reading_FLA[], COLUMN(IF(VLOOKUP($D$2,'Reading Report Logic'!$A$2:$B$8,2,FALSE)=1, YES_Reading_FLA[Reading Level June of Previous School Year],INDIRECT("YES_Reading_FLA[Instructional Reading Level - Per "&amp;(VLOOKUP($D$2,'Reading Report Logic'!$A$2:$B$8,2,FALSE)-1)&amp;"]"))),FALSE)),
IF($J$2="Combined",
IFERROR(
IF(VLOOKUP($A743, YES_Reading_ELA[], COLUMN(IF(VLOOKUP($D$2,'Reading Report Logic'!$A$2:$B$8,2,FALSE)=1, YES_Reading_ELA[Reading Level June of Previous School Year],INDIRECT("YES_Reading_ELA[Instructional Reading Level - Per "&amp;(VLOOKUP($D$2,'Reading Report Logic'!$A$2:$B$8,2,FALSE)-1)&amp;"]"))), FALSE)="", "",
VLOOKUP($A743,YES_Reading_ELA[],COLUMN(IF(VLOOKUP($D$2,'Reading Report Logic'!$A$2:$B$8,2,FALSE)=1, YES_Reading_ELA[Reading Level June of Previous School Year],INDIRECT("YES_Reading_ELA[Instructional Reading Level - Per "&amp;(VLOOKUP($D$2,'Reading Report Logic'!$A$2:$B$8,2,FALSE)-1)&amp;"]"))),FALSE)),
IF(VLOOKUP($A743, YES_Reading_FLA[], COLUMN(IF(VLOOKUP($D$2,'Reading Report Logic'!$A$2:$B$8,2,FALSE)=1, YES_Reading_FLA[Reading Level June of Previous School Year],INDIRECT("YES_Reading_FLA[Instructional Reading Level - Per "&amp;(VLOOKUP($D$2,'Reading Report Logic'!$A$2:$B$8,2,FALSE)-1)&amp;"]"))),FALSE)="", "", VLOOKUP($A743,YES_Reading_FLA[],COLUMN(IF(VLOOKUP($D$2,'Reading Report Logic'!$A$2:$B$8,2,FALSE)=1, YES_Reading_FLA[Reading Level June of Previous School Year],INDIRECT("YES_Reading_FLA[Instructional Reading Level - Per "&amp;(VLOOKUP($D$2,'Reading Report Logic'!$A$2:$B$8,2,FALSE)-1)&amp;"]"))), FALSE))),""))),"")</f>
        <v/>
      </c>
      <c r="D743" s="204" t="str" cm="1">
        <f t="array" aca="1" ref="D743" ca="1">IFERROR(
IF($J$2="ELA",
IF(VLOOKUP($A743, YES_Reading_ELA[], COLUMN(INDIRECT("YES_Reading_ELA[Instructional Reading Level - Per "&amp;VLOOKUP($D$2, 'Reading Report Logic'!$A$2:$B$8, 2, FALSE)&amp;"]")), FALSE)="", "",
VLOOKUP($A743,YES_Reading_ELA[], COLUMN(INDIRECT("YES_Reading_ELA[Instructional Reading Level - Per "&amp;VLOOKUP($D$2,'Reading Report Logic'!$A$2:$B$8,2,FALSE)&amp;"]")), FALSE)),
IF($J$2="FLA",
IF(VLOOKUP($A743, YES_Reading_FLA[], COLUMN(INDIRECT("YES_Reading_FLA[Instructional Reading Level - Per "&amp;VLOOKUP($D$2,'Reading Report Logic'!$A$2:$B$8,2,FALSE)&amp;"]")),FALSE)="","",
VLOOKUP($A743,YES_Reading_FLA[],COLUMN(INDIRECT("YES_Reading_FLA[Instructional Reading Level - Per "&amp;VLOOKUP($D$2,'Reading Report Logic'!$A$2:$B$8,2,FALSE)&amp;"]")),FALSE)),
IF($J$2="Combined",
IFERROR(
IF(VLOOKUP($A743, YES_Reading_ELA[], COLUMN(INDIRECT("YES_Reading_ELA[Instructional Reading Level - Per "&amp;VLOOKUP($D$2, 'Reading Report Logic'!$A$2:$B$8,2,FALSE)&amp;"]")), FALSE)="", "",
VLOOKUP($A743,YES_Reading_ELA[],COLUMN(INDIRECT("YES_Reading_ELA[Instructional Reading Level - Per "&amp;VLOOKUP($D$2,'Reading Report Logic'!$A$2:$B$8,2,FALSE)&amp;"]")),FALSE)),
IF(VLOOKUP($A743, YES_Reading_FLA[], COLUMN(INDIRECT("YES_Reading_FLA[Instructional Reading Level - Per "&amp;VLOOKUP($D$2, 'Reading Report Logic'!$A$2:$B$8, 2, FALSE)&amp;"]")),FALSE)="", "", VLOOKUP($A743,YES_Reading_FLA[],COLUMN(INDIRECT("YES_Reading_FLA[Instructional Reading Level - Per "&amp;VLOOKUP($D$2, 'Reading Report Logic'!$A$2:$B$8, 2, FALSE)&amp;"]")),FALSE))),""))),"")</f>
        <v/>
      </c>
      <c r="E743" s="205" t="str" cm="1">
        <f t="array" aca="1" ref="E743" ca="1">IFERROR(
IF($J$2="ELA",
IF(VLOOKUP($A743, YES_Reading_ELA[], COLUMN(INDIRECT("YES_Reading_ELA[Min Expectation - Per "&amp;VLOOKUP($D$2, 'Reading Report Logic'!$A$2:$B$8, 2, FALSE)&amp;"]")), FALSE)="", "",
VLOOKUP($A743,YES_Reading_ELA[], COLUMN(INDIRECT("YES_Reading_ELA[Min Expectation - Per "&amp;VLOOKUP($D$2,'Reading Report Logic'!$A$2:$B$8,2,FALSE)&amp;"]")), FALSE)),
IF($J$2="FLA",
IF(VLOOKUP($A743, YES_Reading_FLA[], COLUMN(INDIRECT("YES_Reading_FLA[Min Expectation - Per "&amp;VLOOKUP($D$2,'Reading Report Logic'!$A$2:$B$8,2,FALSE)&amp;"]")),FALSE)="","",
VLOOKUP($A743,YES_Reading_FLA[],COLUMN(INDIRECT("YES_Reading_FLA[Min Expectation - Per "&amp;VLOOKUP($D$2,'Reading Report Logic'!$A$2:$B$8,2,FALSE)&amp;"]")),FALSE)),
IF($J$2="Combined",
IFERROR(
IF(VLOOKUP($A743, YES_Reading_ELA[], COLUMN(INDIRECT("YES_Reading_ELA[Min Expectation - Per "&amp;VLOOKUP($D$2, 'Reading Report Logic'!$A$2:$B$8,2,FALSE)&amp;"]")), FALSE)="", "",
VLOOKUP($A743,YES_Reading_ELA[],COLUMN(INDIRECT("YES_Reading_ELA[Min Expectation - Per "&amp;VLOOKUP($D$2,'Reading Report Logic'!$A$2:$B$8,2,FALSE)&amp;"]")),FALSE)),
IF(VLOOKUP($A743, YES_Reading_FLA[], COLUMN(INDIRECT("YES_Reading_FLA[Min Expectation - Per "&amp;VLOOKUP($D$2, 'Reading Report Logic'!$A$2:$B$8, 2, FALSE)&amp;"]")),FALSE)="", "", VLOOKUP($A743,YES_Reading_FLA[],COLUMN(INDIRECT("YES_Reading_FLA[Min Expectation - Per "&amp;VLOOKUP($D$2, 'Reading Report Logic'!$A$2:$B$8, 2, FALSE)&amp;"]")),FALSE))),""))),"")</f>
        <v/>
      </c>
      <c r="F743" s="205" t="str" cm="1">
        <f t="array" aca="1" ref="F743" ca="1">IFERROR(
IF($J$2="ELA",
IF(VLOOKUP($A743, YES_Reading_ELA[], COLUMN(INDIRECT("YES_Reading_ELA[Max Expectation - Per "&amp;VLOOKUP($D$2, 'Reading Report Logic'!$A$2:$B$8, 2, FALSE)&amp;"]")), FALSE)="", "",
VLOOKUP($A743,YES_Reading_ELA[], COLUMN(INDIRECT("YES_Reading_ELA[Max Expectation - Per "&amp;VLOOKUP($D$2,'Reading Report Logic'!$A$2:$B$8,2,FALSE)&amp;"]")), FALSE)),
IF($J$2="FLA",
IF(VLOOKUP($A743, YES_Reading_FLA[], COLUMN(INDIRECT("YES_Reading_FLA[Max Expectation - Per "&amp;VLOOKUP($D$2,'Reading Report Logic'!$A$2:$B$8,2,FALSE)&amp;"]")),FALSE)="","",
VLOOKUP($A743,YES_Reading_FLA[],COLUMN(INDIRECT("YES_Reading_FLA[Max Expectation - Per "&amp;VLOOKUP($D$2,'Reading Report Logic'!$A$2:$B$8,2,FALSE)&amp;"]")),FALSE)),
IF($J$2="Combined",
IFERROR(
IF(VLOOKUP($A743, YES_Reading_ELA[], COLUMN(INDIRECT("YES_Reading_ELA[Max Expectation - Per "&amp;VLOOKUP($D$2, 'Reading Report Logic'!$A$2:$B$8,2,FALSE)&amp;"]")), FALSE)="", "",
VLOOKUP($A743,YES_Reading_ELA[],COLUMN(INDIRECT("YES_Reading_ELA[Max Expectation - Per "&amp;VLOOKUP($D$2,'Reading Report Logic'!$A$2:$B$8,2,FALSE)&amp;"]")),FALSE)),
IF(VLOOKUP($A743, YES_Reading_FLA[], COLUMN(INDIRECT("YES_Reading_FLA[Max Expectation - Per "&amp;VLOOKUP($D$2, 'Reading Report Logic'!$A$2:$B$8, 2, FALSE)&amp;"]")),FALSE)="", "", VLOOKUP($A743,YES_Reading_FLA[],COLUMN(INDIRECT("YES_Reading_FLA[Max Expectation - Per "&amp;VLOOKUP($D$2, 'Reading Report Logic'!$A$2:$B$8, 2, FALSE)&amp;"]")),FALSE))),""))),"")</f>
        <v/>
      </c>
      <c r="G743" s="205" t="str" cm="1">
        <f t="array" aca="1" ref="G743" ca="1">IFERROR(
IF($J$2="ELA",
IF(VLOOKUP($A743, YES_Reading_ELA[], COLUMN(INDIRECT("YES_Reading_ELA[Difference - Per "&amp;VLOOKUP($D$2, 'Reading Report Logic'!$A$2:$B$8, 2, FALSE)&amp;"]")), FALSE)="", "",
VLOOKUP($A743,YES_Reading_ELA[], COLUMN(INDIRECT("YES_Reading_ELA[Difference - Per "&amp;VLOOKUP($D$2,'Reading Report Logic'!$A$2:$B$8,2,FALSE)&amp;"]")), FALSE)),
IF($J$2="FLA",
IF(VLOOKUP($A743, YES_Reading_FLA[], COLUMN(INDIRECT("YES_Reading_FLA[Difference - Per "&amp;VLOOKUP($D$2,'Reading Report Logic'!$A$2:$B$8,2,FALSE)&amp;"]")),FALSE)="","",
VLOOKUP($A743,YES_Reading_FLA[],COLUMN(INDIRECT("YES_Reading_FLA[Difference - Per "&amp;VLOOKUP($D$2,'Reading Report Logic'!$A$2:$B$8,2,FALSE)&amp;"]")),FALSE)),
IF($J$2="Combined",
IFERROR(
IF(VLOOKUP($A743, YES_Reading_ELA[], COLUMN(INDIRECT("YES_Reading_ELA[Difference - Per "&amp;VLOOKUP($D$2, 'Reading Report Logic'!$A$2:$B$8,2,FALSE)&amp;"]")), FALSE)="", "",
VLOOKUP($A743,YES_Reading_ELA[],COLUMN(INDIRECT("YES_Reading_ELA[Difference - Per "&amp;VLOOKUP($D$2,'Reading Report Logic'!$A$2:$B$8,2,FALSE)&amp;"]")),FALSE)),
IF(VLOOKUP($A743, YES_Reading_FLA[], COLUMN(INDIRECT("YES_Reading_FLA[Difference - Per "&amp;VLOOKUP($D$2, 'Reading Report Logic'!$A$2:$B$8, 2, FALSE)&amp;"]")),FALSE)="", "", VLOOKUP($A743,YES_Reading_FLA[],COLUMN(INDIRECT("YES_Reading_FLA[Difference - Per "&amp;VLOOKUP($D$2, 'Reading Report Logic'!$A$2:$B$8, 2, FALSE)&amp;"]")),FALSE))),""))),"")</f>
        <v/>
      </c>
      <c r="H743" s="206" t="str">
        <f ca="1">IFERROR(VLOOKUP('Teacher Reading Pull Sheets'!$D743,_xlfn.VSTACK('ELA Reading Logic'!$A$22:$B$48,'FLA Reading Logic'!$A$22:$B$53),2,FALSE)-VLOOKUP('Teacher Reading Pull Sheets'!$C743,_xlfn.VSTACK('ELA Reading Logic'!$A$22:$B$48,'FLA Reading Logic'!$A$22:$B$53),2,FALSE),"")</f>
        <v/>
      </c>
      <c r="I743" s="212"/>
      <c r="J743" s="206"/>
      <c r="K743" s="197" t="str" cm="1">
        <f t="array" ref="K743">IFERROR(
IF($J$2="ELA",
IF(VLOOKUP($A743, YES_Reading_ELA[], COLUMN(YES_Reading_ELA[Self-Identified as African Descent]), FALSE)="", "",
VLOOKUP($A743,YES_Reading_ELA[], COLUMN(YES_Reading_ELA[Self-Identified as African Descent]), FALSE)),
IF($J$2="FLA",
IF(VLOOKUP($A743, YES_Reading_FLA[], COLUMN(YES_Reading_FLA[Self-Identified as African Descent]),FALSE)="","",
VLOOKUP($A743,YES_Reading_FLA[],COLUMN(YES_Reading_FLA[Self-Identified as African Descent]),FALSE)),
IF($J$2="Combined",
IFERROR(
IF(VLOOKUP($A743, YES_Reading_ELA[], COLUMN(YES_Reading_ELA[Self-Identified as African Descent]), FALSE)="", "",
VLOOKUP($A743,YES_Reading_ELA[],COLUMN(YES_Reading_ELA[Self-Identified as African Descent]),FALSE)),
IF(VLOOKUP($A743, YES_Reading_FLA[], COLUMN(YES_Reading_FLA[Self-Identified as African Descent]),FALSE)="", "", VLOOKUP($A743,YES_Reading_FLA[],COLUMN(YES_Reading_FLA[Self-Identified as African Descent]),FALSE))),""))),"")</f>
        <v/>
      </c>
      <c r="L743" s="73" t="str" cm="1">
        <f t="array" ref="L743">IFERROR(
IF($J$2="ELA",
IF(VLOOKUP($A743, YES_Reading_ELA[], COLUMN(YES_Reading_ELA[Self-Identified as Indigenous]), FALSE)="", "",
VLOOKUP($A743,YES_Reading_ELA[], COLUMN(YES_Reading_ELA[Self-Identified as Indigenous]), FALSE)),
IF($J$2="FLA",
IF(VLOOKUP($A743, YES_Reading_FLA[], COLUMN(YES_Reading_FLA[Self-Identified as Indigenous]),FALSE)="","",
VLOOKUP($A743,YES_Reading_FLA[],COLUMN(YES_Reading_FLA[Self-Identified as Indigenous]),FALSE)),
IF($J$2="Combined",
IFERROR(
IF(VLOOKUP($A743, YES_Reading_ELA[], COLUMN(YES_Reading_ELA[Self-Identified as Indigenous]), FALSE)="", "",
VLOOKUP($A743,YES_Reading_ELA[],COLUMN(YES_Reading_ELA[Self-Identified as Indigenous]),FALSE)),
IF(VLOOKUP($A743, YES_Reading_FLA[], COLUMN(YES_Reading_FLA[Self-Identified as Indigenous]),FALSE)="", "", VLOOKUP($A743,YES_Reading_FLA[],COLUMN(YES_Reading_FLA[Self-Identified as Indigenous]),FALSE))),""))),"")</f>
        <v/>
      </c>
    </row>
    <row r="744" spans="1:12" ht="19.5" customHeight="1" x14ac:dyDescent="0.25">
      <c r="A744" s="217"/>
      <c r="B744" s="220" t="str">
        <f>IFERROR(VLOOKUP(A744,_xlfn.VSTACK(YES_Reading_ELA[],YES_Reading_FLA[]),2,FALSE),"")</f>
        <v/>
      </c>
      <c r="C744" s="203" t="str" cm="1">
        <f t="array" aca="1" ref="C744" ca="1">IFERROR(
IF($J$2="ELA",
IF(VLOOKUP($A744, YES_Reading_ELA[], COLUMN(IF(VLOOKUP($D$2, 'Reading Report Logic'!$A$2:$B$8, 2, FALSE)=1, YES_Reading_ELA[Reading Level June of Previous School Year], INDIRECT("YES_Reading_ELA[Instructional Reading Level - Per "&amp;(VLOOKUP($D$2,'Reading Report Logic'!$A$2:$B$8,2,FALSE)-1)&amp;"]"))), FALSE)="", "",
VLOOKUP($A744,YES_Reading_ELA[], COLUMN(IF(VLOOKUP($D$2,'Reading Report Logic'!$A$2:$B$8,2,FALSE)=1, YES_Reading_ELA[Reading Level June of Previous School Year],INDIRECT("YES_Reading_ELA[Instructional Reading Level - Per "&amp;(VLOOKUP($D$2,'Reading Report Logic'!$A$2:$B$8,2,FALSE)-1)&amp;"]"))), FALSE)),
IF($J$2="FLA",
IF(VLOOKUP($A744, YES_Reading_FLA[], COLUMN(IF(VLOOKUP($D$2,'Reading Report Logic'!$A$2:$B$8,2,FALSE)=1, YES_Reading_FLA[Reading Level June of Previous School Year],INDIRECT("YES_Reading_FLA[Instructional Reading Level - Per "&amp;(VLOOKUP($D$2,'Reading Report Logic'!$A$2:$B$8,2,FALSE)-1)&amp;"]"))),FALSE)="","",
VLOOKUP($A744,YES_Reading_FLA[], COLUMN(IF(VLOOKUP($D$2,'Reading Report Logic'!$A$2:$B$8,2,FALSE)=1, YES_Reading_FLA[Reading Level June of Previous School Year],INDIRECT("YES_Reading_FLA[Instructional Reading Level - Per "&amp;(VLOOKUP($D$2,'Reading Report Logic'!$A$2:$B$8,2,FALSE)-1)&amp;"]"))),FALSE)),
IF($J$2="Combined",
IFERROR(
IF(VLOOKUP($A744, YES_Reading_ELA[], COLUMN(IF(VLOOKUP($D$2,'Reading Report Logic'!$A$2:$B$8,2,FALSE)=1, YES_Reading_ELA[Reading Level June of Previous School Year],INDIRECT("YES_Reading_ELA[Instructional Reading Level - Per "&amp;(VLOOKUP($D$2,'Reading Report Logic'!$A$2:$B$8,2,FALSE)-1)&amp;"]"))), FALSE)="", "",
VLOOKUP($A744,YES_Reading_ELA[],COLUMN(IF(VLOOKUP($D$2,'Reading Report Logic'!$A$2:$B$8,2,FALSE)=1, YES_Reading_ELA[Reading Level June of Previous School Year],INDIRECT("YES_Reading_ELA[Instructional Reading Level - Per "&amp;(VLOOKUP($D$2,'Reading Report Logic'!$A$2:$B$8,2,FALSE)-1)&amp;"]"))),FALSE)),
IF(VLOOKUP($A744, YES_Reading_FLA[], COLUMN(IF(VLOOKUP($D$2,'Reading Report Logic'!$A$2:$B$8,2,FALSE)=1, YES_Reading_FLA[Reading Level June of Previous School Year],INDIRECT("YES_Reading_FLA[Instructional Reading Level - Per "&amp;(VLOOKUP($D$2,'Reading Report Logic'!$A$2:$B$8,2,FALSE)-1)&amp;"]"))),FALSE)="", "", VLOOKUP($A744,YES_Reading_FLA[],COLUMN(IF(VLOOKUP($D$2,'Reading Report Logic'!$A$2:$B$8,2,FALSE)=1, YES_Reading_FLA[Reading Level June of Previous School Year],INDIRECT("YES_Reading_FLA[Instructional Reading Level - Per "&amp;(VLOOKUP($D$2,'Reading Report Logic'!$A$2:$B$8,2,FALSE)-1)&amp;"]"))), FALSE))),""))),"")</f>
        <v/>
      </c>
      <c r="D744" s="204" t="str" cm="1">
        <f t="array" aca="1" ref="D744" ca="1">IFERROR(
IF($J$2="ELA",
IF(VLOOKUP($A744, YES_Reading_ELA[], COLUMN(INDIRECT("YES_Reading_ELA[Instructional Reading Level - Per "&amp;VLOOKUP($D$2, 'Reading Report Logic'!$A$2:$B$8, 2, FALSE)&amp;"]")), FALSE)="", "",
VLOOKUP($A744,YES_Reading_ELA[], COLUMN(INDIRECT("YES_Reading_ELA[Instructional Reading Level - Per "&amp;VLOOKUP($D$2,'Reading Report Logic'!$A$2:$B$8,2,FALSE)&amp;"]")), FALSE)),
IF($J$2="FLA",
IF(VLOOKUP($A744, YES_Reading_FLA[], COLUMN(INDIRECT("YES_Reading_FLA[Instructional Reading Level - Per "&amp;VLOOKUP($D$2,'Reading Report Logic'!$A$2:$B$8,2,FALSE)&amp;"]")),FALSE)="","",
VLOOKUP($A744,YES_Reading_FLA[],COLUMN(INDIRECT("YES_Reading_FLA[Instructional Reading Level - Per "&amp;VLOOKUP($D$2,'Reading Report Logic'!$A$2:$B$8,2,FALSE)&amp;"]")),FALSE)),
IF($J$2="Combined",
IFERROR(
IF(VLOOKUP($A744, YES_Reading_ELA[], COLUMN(INDIRECT("YES_Reading_ELA[Instructional Reading Level - Per "&amp;VLOOKUP($D$2, 'Reading Report Logic'!$A$2:$B$8,2,FALSE)&amp;"]")), FALSE)="", "",
VLOOKUP($A744,YES_Reading_ELA[],COLUMN(INDIRECT("YES_Reading_ELA[Instructional Reading Level - Per "&amp;VLOOKUP($D$2,'Reading Report Logic'!$A$2:$B$8,2,FALSE)&amp;"]")),FALSE)),
IF(VLOOKUP($A744, YES_Reading_FLA[], COLUMN(INDIRECT("YES_Reading_FLA[Instructional Reading Level - Per "&amp;VLOOKUP($D$2, 'Reading Report Logic'!$A$2:$B$8, 2, FALSE)&amp;"]")),FALSE)="", "", VLOOKUP($A744,YES_Reading_FLA[],COLUMN(INDIRECT("YES_Reading_FLA[Instructional Reading Level - Per "&amp;VLOOKUP($D$2, 'Reading Report Logic'!$A$2:$B$8, 2, FALSE)&amp;"]")),FALSE))),""))),"")</f>
        <v/>
      </c>
      <c r="E744" s="205" t="str" cm="1">
        <f t="array" aca="1" ref="E744" ca="1">IFERROR(
IF($J$2="ELA",
IF(VLOOKUP($A744, YES_Reading_ELA[], COLUMN(INDIRECT("YES_Reading_ELA[Min Expectation - Per "&amp;VLOOKUP($D$2, 'Reading Report Logic'!$A$2:$B$8, 2, FALSE)&amp;"]")), FALSE)="", "",
VLOOKUP($A744,YES_Reading_ELA[], COLUMN(INDIRECT("YES_Reading_ELA[Min Expectation - Per "&amp;VLOOKUP($D$2,'Reading Report Logic'!$A$2:$B$8,2,FALSE)&amp;"]")), FALSE)),
IF($J$2="FLA",
IF(VLOOKUP($A744, YES_Reading_FLA[], COLUMN(INDIRECT("YES_Reading_FLA[Min Expectation - Per "&amp;VLOOKUP($D$2,'Reading Report Logic'!$A$2:$B$8,2,FALSE)&amp;"]")),FALSE)="","",
VLOOKUP($A744,YES_Reading_FLA[],COLUMN(INDIRECT("YES_Reading_FLA[Min Expectation - Per "&amp;VLOOKUP($D$2,'Reading Report Logic'!$A$2:$B$8,2,FALSE)&amp;"]")),FALSE)),
IF($J$2="Combined",
IFERROR(
IF(VLOOKUP($A744, YES_Reading_ELA[], COLUMN(INDIRECT("YES_Reading_ELA[Min Expectation - Per "&amp;VLOOKUP($D$2, 'Reading Report Logic'!$A$2:$B$8,2,FALSE)&amp;"]")), FALSE)="", "",
VLOOKUP($A744,YES_Reading_ELA[],COLUMN(INDIRECT("YES_Reading_ELA[Min Expectation - Per "&amp;VLOOKUP($D$2,'Reading Report Logic'!$A$2:$B$8,2,FALSE)&amp;"]")),FALSE)),
IF(VLOOKUP($A744, YES_Reading_FLA[], COLUMN(INDIRECT("YES_Reading_FLA[Min Expectation - Per "&amp;VLOOKUP($D$2, 'Reading Report Logic'!$A$2:$B$8, 2, FALSE)&amp;"]")),FALSE)="", "", VLOOKUP($A744,YES_Reading_FLA[],COLUMN(INDIRECT("YES_Reading_FLA[Min Expectation - Per "&amp;VLOOKUP($D$2, 'Reading Report Logic'!$A$2:$B$8, 2, FALSE)&amp;"]")),FALSE))),""))),"")</f>
        <v/>
      </c>
      <c r="F744" s="205" t="str" cm="1">
        <f t="array" aca="1" ref="F744" ca="1">IFERROR(
IF($J$2="ELA",
IF(VLOOKUP($A744, YES_Reading_ELA[], COLUMN(INDIRECT("YES_Reading_ELA[Max Expectation - Per "&amp;VLOOKUP($D$2, 'Reading Report Logic'!$A$2:$B$8, 2, FALSE)&amp;"]")), FALSE)="", "",
VLOOKUP($A744,YES_Reading_ELA[], COLUMN(INDIRECT("YES_Reading_ELA[Max Expectation - Per "&amp;VLOOKUP($D$2,'Reading Report Logic'!$A$2:$B$8,2,FALSE)&amp;"]")), FALSE)),
IF($J$2="FLA",
IF(VLOOKUP($A744, YES_Reading_FLA[], COLUMN(INDIRECT("YES_Reading_FLA[Max Expectation - Per "&amp;VLOOKUP($D$2,'Reading Report Logic'!$A$2:$B$8,2,FALSE)&amp;"]")),FALSE)="","",
VLOOKUP($A744,YES_Reading_FLA[],COLUMN(INDIRECT("YES_Reading_FLA[Max Expectation - Per "&amp;VLOOKUP($D$2,'Reading Report Logic'!$A$2:$B$8,2,FALSE)&amp;"]")),FALSE)),
IF($J$2="Combined",
IFERROR(
IF(VLOOKUP($A744, YES_Reading_ELA[], COLUMN(INDIRECT("YES_Reading_ELA[Max Expectation - Per "&amp;VLOOKUP($D$2, 'Reading Report Logic'!$A$2:$B$8,2,FALSE)&amp;"]")), FALSE)="", "",
VLOOKUP($A744,YES_Reading_ELA[],COLUMN(INDIRECT("YES_Reading_ELA[Max Expectation - Per "&amp;VLOOKUP($D$2,'Reading Report Logic'!$A$2:$B$8,2,FALSE)&amp;"]")),FALSE)),
IF(VLOOKUP($A744, YES_Reading_FLA[], COLUMN(INDIRECT("YES_Reading_FLA[Max Expectation - Per "&amp;VLOOKUP($D$2, 'Reading Report Logic'!$A$2:$B$8, 2, FALSE)&amp;"]")),FALSE)="", "", VLOOKUP($A744,YES_Reading_FLA[],COLUMN(INDIRECT("YES_Reading_FLA[Max Expectation - Per "&amp;VLOOKUP($D$2, 'Reading Report Logic'!$A$2:$B$8, 2, FALSE)&amp;"]")),FALSE))),""))),"")</f>
        <v/>
      </c>
      <c r="G744" s="205" t="str" cm="1">
        <f t="array" aca="1" ref="G744" ca="1">IFERROR(
IF($J$2="ELA",
IF(VLOOKUP($A744, YES_Reading_ELA[], COLUMN(INDIRECT("YES_Reading_ELA[Difference - Per "&amp;VLOOKUP($D$2, 'Reading Report Logic'!$A$2:$B$8, 2, FALSE)&amp;"]")), FALSE)="", "",
VLOOKUP($A744,YES_Reading_ELA[], COLUMN(INDIRECT("YES_Reading_ELA[Difference - Per "&amp;VLOOKUP($D$2,'Reading Report Logic'!$A$2:$B$8,2,FALSE)&amp;"]")), FALSE)),
IF($J$2="FLA",
IF(VLOOKUP($A744, YES_Reading_FLA[], COLUMN(INDIRECT("YES_Reading_FLA[Difference - Per "&amp;VLOOKUP($D$2,'Reading Report Logic'!$A$2:$B$8,2,FALSE)&amp;"]")),FALSE)="","",
VLOOKUP($A744,YES_Reading_FLA[],COLUMN(INDIRECT("YES_Reading_FLA[Difference - Per "&amp;VLOOKUP($D$2,'Reading Report Logic'!$A$2:$B$8,2,FALSE)&amp;"]")),FALSE)),
IF($J$2="Combined",
IFERROR(
IF(VLOOKUP($A744, YES_Reading_ELA[], COLUMN(INDIRECT("YES_Reading_ELA[Difference - Per "&amp;VLOOKUP($D$2, 'Reading Report Logic'!$A$2:$B$8,2,FALSE)&amp;"]")), FALSE)="", "",
VLOOKUP($A744,YES_Reading_ELA[],COLUMN(INDIRECT("YES_Reading_ELA[Difference - Per "&amp;VLOOKUP($D$2,'Reading Report Logic'!$A$2:$B$8,2,FALSE)&amp;"]")),FALSE)),
IF(VLOOKUP($A744, YES_Reading_FLA[], COLUMN(INDIRECT("YES_Reading_FLA[Difference - Per "&amp;VLOOKUP($D$2, 'Reading Report Logic'!$A$2:$B$8, 2, FALSE)&amp;"]")),FALSE)="", "", VLOOKUP($A744,YES_Reading_FLA[],COLUMN(INDIRECT("YES_Reading_FLA[Difference - Per "&amp;VLOOKUP($D$2, 'Reading Report Logic'!$A$2:$B$8, 2, FALSE)&amp;"]")),FALSE))),""))),"")</f>
        <v/>
      </c>
      <c r="H744" s="206" t="str">
        <f ca="1">IFERROR(VLOOKUP('Teacher Reading Pull Sheets'!$D744,_xlfn.VSTACK('ELA Reading Logic'!$A$22:$B$48,'FLA Reading Logic'!$A$22:$B$53),2,FALSE)-VLOOKUP('Teacher Reading Pull Sheets'!$C744,_xlfn.VSTACK('ELA Reading Logic'!$A$22:$B$48,'FLA Reading Logic'!$A$22:$B$53),2,FALSE),"")</f>
        <v/>
      </c>
      <c r="I744" s="212"/>
      <c r="J744" s="206"/>
      <c r="K744" s="197" t="str" cm="1">
        <f t="array" ref="K744">IFERROR(
IF($J$2="ELA",
IF(VLOOKUP($A744, YES_Reading_ELA[], COLUMN(YES_Reading_ELA[Self-Identified as African Descent]), FALSE)="", "",
VLOOKUP($A744,YES_Reading_ELA[], COLUMN(YES_Reading_ELA[Self-Identified as African Descent]), FALSE)),
IF($J$2="FLA",
IF(VLOOKUP($A744, YES_Reading_FLA[], COLUMN(YES_Reading_FLA[Self-Identified as African Descent]),FALSE)="","",
VLOOKUP($A744,YES_Reading_FLA[],COLUMN(YES_Reading_FLA[Self-Identified as African Descent]),FALSE)),
IF($J$2="Combined",
IFERROR(
IF(VLOOKUP($A744, YES_Reading_ELA[], COLUMN(YES_Reading_ELA[Self-Identified as African Descent]), FALSE)="", "",
VLOOKUP($A744,YES_Reading_ELA[],COLUMN(YES_Reading_ELA[Self-Identified as African Descent]),FALSE)),
IF(VLOOKUP($A744, YES_Reading_FLA[], COLUMN(YES_Reading_FLA[Self-Identified as African Descent]),FALSE)="", "", VLOOKUP($A744,YES_Reading_FLA[],COLUMN(YES_Reading_FLA[Self-Identified as African Descent]),FALSE))),""))),"")</f>
        <v/>
      </c>
      <c r="L744" s="73" t="str" cm="1">
        <f t="array" ref="L744">IFERROR(
IF($J$2="ELA",
IF(VLOOKUP($A744, YES_Reading_ELA[], COLUMN(YES_Reading_ELA[Self-Identified as Indigenous]), FALSE)="", "",
VLOOKUP($A744,YES_Reading_ELA[], COLUMN(YES_Reading_ELA[Self-Identified as Indigenous]), FALSE)),
IF($J$2="FLA",
IF(VLOOKUP($A744, YES_Reading_FLA[], COLUMN(YES_Reading_FLA[Self-Identified as Indigenous]),FALSE)="","",
VLOOKUP($A744,YES_Reading_FLA[],COLUMN(YES_Reading_FLA[Self-Identified as Indigenous]),FALSE)),
IF($J$2="Combined",
IFERROR(
IF(VLOOKUP($A744, YES_Reading_ELA[], COLUMN(YES_Reading_ELA[Self-Identified as Indigenous]), FALSE)="", "",
VLOOKUP($A744,YES_Reading_ELA[],COLUMN(YES_Reading_ELA[Self-Identified as Indigenous]),FALSE)),
IF(VLOOKUP($A744, YES_Reading_FLA[], COLUMN(YES_Reading_FLA[Self-Identified as Indigenous]),FALSE)="", "", VLOOKUP($A744,YES_Reading_FLA[],COLUMN(YES_Reading_FLA[Self-Identified as Indigenous]),FALSE))),""))),"")</f>
        <v/>
      </c>
    </row>
    <row r="745" spans="1:12" ht="19.5" customHeight="1" x14ac:dyDescent="0.25">
      <c r="A745" s="217"/>
      <c r="B745" s="220" t="str">
        <f>IFERROR(VLOOKUP(A745,_xlfn.VSTACK(YES_Reading_ELA[],YES_Reading_FLA[]),2,FALSE),"")</f>
        <v/>
      </c>
      <c r="C745" s="203" t="str" cm="1">
        <f t="array" aca="1" ref="C745" ca="1">IFERROR(
IF($J$2="ELA",
IF(VLOOKUP($A745, YES_Reading_ELA[], COLUMN(IF(VLOOKUP($D$2, 'Reading Report Logic'!$A$2:$B$8, 2, FALSE)=1, YES_Reading_ELA[Reading Level June of Previous School Year], INDIRECT("YES_Reading_ELA[Instructional Reading Level - Per "&amp;(VLOOKUP($D$2,'Reading Report Logic'!$A$2:$B$8,2,FALSE)-1)&amp;"]"))), FALSE)="", "",
VLOOKUP($A745,YES_Reading_ELA[], COLUMN(IF(VLOOKUP($D$2,'Reading Report Logic'!$A$2:$B$8,2,FALSE)=1, YES_Reading_ELA[Reading Level June of Previous School Year],INDIRECT("YES_Reading_ELA[Instructional Reading Level - Per "&amp;(VLOOKUP($D$2,'Reading Report Logic'!$A$2:$B$8,2,FALSE)-1)&amp;"]"))), FALSE)),
IF($J$2="FLA",
IF(VLOOKUP($A745, YES_Reading_FLA[], COLUMN(IF(VLOOKUP($D$2,'Reading Report Logic'!$A$2:$B$8,2,FALSE)=1, YES_Reading_FLA[Reading Level June of Previous School Year],INDIRECT("YES_Reading_FLA[Instructional Reading Level - Per "&amp;(VLOOKUP($D$2,'Reading Report Logic'!$A$2:$B$8,2,FALSE)-1)&amp;"]"))),FALSE)="","",
VLOOKUP($A745,YES_Reading_FLA[], COLUMN(IF(VLOOKUP($D$2,'Reading Report Logic'!$A$2:$B$8,2,FALSE)=1, YES_Reading_FLA[Reading Level June of Previous School Year],INDIRECT("YES_Reading_FLA[Instructional Reading Level - Per "&amp;(VLOOKUP($D$2,'Reading Report Logic'!$A$2:$B$8,2,FALSE)-1)&amp;"]"))),FALSE)),
IF($J$2="Combined",
IFERROR(
IF(VLOOKUP($A745, YES_Reading_ELA[], COLUMN(IF(VLOOKUP($D$2,'Reading Report Logic'!$A$2:$B$8,2,FALSE)=1, YES_Reading_ELA[Reading Level June of Previous School Year],INDIRECT("YES_Reading_ELA[Instructional Reading Level - Per "&amp;(VLOOKUP($D$2,'Reading Report Logic'!$A$2:$B$8,2,FALSE)-1)&amp;"]"))), FALSE)="", "",
VLOOKUP($A745,YES_Reading_ELA[],COLUMN(IF(VLOOKUP($D$2,'Reading Report Logic'!$A$2:$B$8,2,FALSE)=1, YES_Reading_ELA[Reading Level June of Previous School Year],INDIRECT("YES_Reading_ELA[Instructional Reading Level - Per "&amp;(VLOOKUP($D$2,'Reading Report Logic'!$A$2:$B$8,2,FALSE)-1)&amp;"]"))),FALSE)),
IF(VLOOKUP($A745, YES_Reading_FLA[], COLUMN(IF(VLOOKUP($D$2,'Reading Report Logic'!$A$2:$B$8,2,FALSE)=1, YES_Reading_FLA[Reading Level June of Previous School Year],INDIRECT("YES_Reading_FLA[Instructional Reading Level - Per "&amp;(VLOOKUP($D$2,'Reading Report Logic'!$A$2:$B$8,2,FALSE)-1)&amp;"]"))),FALSE)="", "", VLOOKUP($A745,YES_Reading_FLA[],COLUMN(IF(VLOOKUP($D$2,'Reading Report Logic'!$A$2:$B$8,2,FALSE)=1, YES_Reading_FLA[Reading Level June of Previous School Year],INDIRECT("YES_Reading_FLA[Instructional Reading Level - Per "&amp;(VLOOKUP($D$2,'Reading Report Logic'!$A$2:$B$8,2,FALSE)-1)&amp;"]"))), FALSE))),""))),"")</f>
        <v/>
      </c>
      <c r="D745" s="204" t="str" cm="1">
        <f t="array" aca="1" ref="D745" ca="1">IFERROR(
IF($J$2="ELA",
IF(VLOOKUP($A745, YES_Reading_ELA[], COLUMN(INDIRECT("YES_Reading_ELA[Instructional Reading Level - Per "&amp;VLOOKUP($D$2, 'Reading Report Logic'!$A$2:$B$8, 2, FALSE)&amp;"]")), FALSE)="", "",
VLOOKUP($A745,YES_Reading_ELA[], COLUMN(INDIRECT("YES_Reading_ELA[Instructional Reading Level - Per "&amp;VLOOKUP($D$2,'Reading Report Logic'!$A$2:$B$8,2,FALSE)&amp;"]")), FALSE)),
IF($J$2="FLA",
IF(VLOOKUP($A745, YES_Reading_FLA[], COLUMN(INDIRECT("YES_Reading_FLA[Instructional Reading Level - Per "&amp;VLOOKUP($D$2,'Reading Report Logic'!$A$2:$B$8,2,FALSE)&amp;"]")),FALSE)="","",
VLOOKUP($A745,YES_Reading_FLA[],COLUMN(INDIRECT("YES_Reading_FLA[Instructional Reading Level - Per "&amp;VLOOKUP($D$2,'Reading Report Logic'!$A$2:$B$8,2,FALSE)&amp;"]")),FALSE)),
IF($J$2="Combined",
IFERROR(
IF(VLOOKUP($A745, YES_Reading_ELA[], COLUMN(INDIRECT("YES_Reading_ELA[Instructional Reading Level - Per "&amp;VLOOKUP($D$2, 'Reading Report Logic'!$A$2:$B$8,2,FALSE)&amp;"]")), FALSE)="", "",
VLOOKUP($A745,YES_Reading_ELA[],COLUMN(INDIRECT("YES_Reading_ELA[Instructional Reading Level - Per "&amp;VLOOKUP($D$2,'Reading Report Logic'!$A$2:$B$8,2,FALSE)&amp;"]")),FALSE)),
IF(VLOOKUP($A745, YES_Reading_FLA[], COLUMN(INDIRECT("YES_Reading_FLA[Instructional Reading Level - Per "&amp;VLOOKUP($D$2, 'Reading Report Logic'!$A$2:$B$8, 2, FALSE)&amp;"]")),FALSE)="", "", VLOOKUP($A745,YES_Reading_FLA[],COLUMN(INDIRECT("YES_Reading_FLA[Instructional Reading Level - Per "&amp;VLOOKUP($D$2, 'Reading Report Logic'!$A$2:$B$8, 2, FALSE)&amp;"]")),FALSE))),""))),"")</f>
        <v/>
      </c>
      <c r="E745" s="205" t="str" cm="1">
        <f t="array" aca="1" ref="E745" ca="1">IFERROR(
IF($J$2="ELA",
IF(VLOOKUP($A745, YES_Reading_ELA[], COLUMN(INDIRECT("YES_Reading_ELA[Min Expectation - Per "&amp;VLOOKUP($D$2, 'Reading Report Logic'!$A$2:$B$8, 2, FALSE)&amp;"]")), FALSE)="", "",
VLOOKUP($A745,YES_Reading_ELA[], COLUMN(INDIRECT("YES_Reading_ELA[Min Expectation - Per "&amp;VLOOKUP($D$2,'Reading Report Logic'!$A$2:$B$8,2,FALSE)&amp;"]")), FALSE)),
IF($J$2="FLA",
IF(VLOOKUP($A745, YES_Reading_FLA[], COLUMN(INDIRECT("YES_Reading_FLA[Min Expectation - Per "&amp;VLOOKUP($D$2,'Reading Report Logic'!$A$2:$B$8,2,FALSE)&amp;"]")),FALSE)="","",
VLOOKUP($A745,YES_Reading_FLA[],COLUMN(INDIRECT("YES_Reading_FLA[Min Expectation - Per "&amp;VLOOKUP($D$2,'Reading Report Logic'!$A$2:$B$8,2,FALSE)&amp;"]")),FALSE)),
IF($J$2="Combined",
IFERROR(
IF(VLOOKUP($A745, YES_Reading_ELA[], COLUMN(INDIRECT("YES_Reading_ELA[Min Expectation - Per "&amp;VLOOKUP($D$2, 'Reading Report Logic'!$A$2:$B$8,2,FALSE)&amp;"]")), FALSE)="", "",
VLOOKUP($A745,YES_Reading_ELA[],COLUMN(INDIRECT("YES_Reading_ELA[Min Expectation - Per "&amp;VLOOKUP($D$2,'Reading Report Logic'!$A$2:$B$8,2,FALSE)&amp;"]")),FALSE)),
IF(VLOOKUP($A745, YES_Reading_FLA[], COLUMN(INDIRECT("YES_Reading_FLA[Min Expectation - Per "&amp;VLOOKUP($D$2, 'Reading Report Logic'!$A$2:$B$8, 2, FALSE)&amp;"]")),FALSE)="", "", VLOOKUP($A745,YES_Reading_FLA[],COLUMN(INDIRECT("YES_Reading_FLA[Min Expectation - Per "&amp;VLOOKUP($D$2, 'Reading Report Logic'!$A$2:$B$8, 2, FALSE)&amp;"]")),FALSE))),""))),"")</f>
        <v/>
      </c>
      <c r="F745" s="205" t="str" cm="1">
        <f t="array" aca="1" ref="F745" ca="1">IFERROR(
IF($J$2="ELA",
IF(VLOOKUP($A745, YES_Reading_ELA[], COLUMN(INDIRECT("YES_Reading_ELA[Max Expectation - Per "&amp;VLOOKUP($D$2, 'Reading Report Logic'!$A$2:$B$8, 2, FALSE)&amp;"]")), FALSE)="", "",
VLOOKUP($A745,YES_Reading_ELA[], COLUMN(INDIRECT("YES_Reading_ELA[Max Expectation - Per "&amp;VLOOKUP($D$2,'Reading Report Logic'!$A$2:$B$8,2,FALSE)&amp;"]")), FALSE)),
IF($J$2="FLA",
IF(VLOOKUP($A745, YES_Reading_FLA[], COLUMN(INDIRECT("YES_Reading_FLA[Max Expectation - Per "&amp;VLOOKUP($D$2,'Reading Report Logic'!$A$2:$B$8,2,FALSE)&amp;"]")),FALSE)="","",
VLOOKUP($A745,YES_Reading_FLA[],COLUMN(INDIRECT("YES_Reading_FLA[Max Expectation - Per "&amp;VLOOKUP($D$2,'Reading Report Logic'!$A$2:$B$8,2,FALSE)&amp;"]")),FALSE)),
IF($J$2="Combined",
IFERROR(
IF(VLOOKUP($A745, YES_Reading_ELA[], COLUMN(INDIRECT("YES_Reading_ELA[Max Expectation - Per "&amp;VLOOKUP($D$2, 'Reading Report Logic'!$A$2:$B$8,2,FALSE)&amp;"]")), FALSE)="", "",
VLOOKUP($A745,YES_Reading_ELA[],COLUMN(INDIRECT("YES_Reading_ELA[Max Expectation - Per "&amp;VLOOKUP($D$2,'Reading Report Logic'!$A$2:$B$8,2,FALSE)&amp;"]")),FALSE)),
IF(VLOOKUP($A745, YES_Reading_FLA[], COLUMN(INDIRECT("YES_Reading_FLA[Max Expectation - Per "&amp;VLOOKUP($D$2, 'Reading Report Logic'!$A$2:$B$8, 2, FALSE)&amp;"]")),FALSE)="", "", VLOOKUP($A745,YES_Reading_FLA[],COLUMN(INDIRECT("YES_Reading_FLA[Max Expectation - Per "&amp;VLOOKUP($D$2, 'Reading Report Logic'!$A$2:$B$8, 2, FALSE)&amp;"]")),FALSE))),""))),"")</f>
        <v/>
      </c>
      <c r="G745" s="205" t="str" cm="1">
        <f t="array" aca="1" ref="G745" ca="1">IFERROR(
IF($J$2="ELA",
IF(VLOOKUP($A745, YES_Reading_ELA[], COLUMN(INDIRECT("YES_Reading_ELA[Difference - Per "&amp;VLOOKUP($D$2, 'Reading Report Logic'!$A$2:$B$8, 2, FALSE)&amp;"]")), FALSE)="", "",
VLOOKUP($A745,YES_Reading_ELA[], COLUMN(INDIRECT("YES_Reading_ELA[Difference - Per "&amp;VLOOKUP($D$2,'Reading Report Logic'!$A$2:$B$8,2,FALSE)&amp;"]")), FALSE)),
IF($J$2="FLA",
IF(VLOOKUP($A745, YES_Reading_FLA[], COLUMN(INDIRECT("YES_Reading_FLA[Difference - Per "&amp;VLOOKUP($D$2,'Reading Report Logic'!$A$2:$B$8,2,FALSE)&amp;"]")),FALSE)="","",
VLOOKUP($A745,YES_Reading_FLA[],COLUMN(INDIRECT("YES_Reading_FLA[Difference - Per "&amp;VLOOKUP($D$2,'Reading Report Logic'!$A$2:$B$8,2,FALSE)&amp;"]")),FALSE)),
IF($J$2="Combined",
IFERROR(
IF(VLOOKUP($A745, YES_Reading_ELA[], COLUMN(INDIRECT("YES_Reading_ELA[Difference - Per "&amp;VLOOKUP($D$2, 'Reading Report Logic'!$A$2:$B$8,2,FALSE)&amp;"]")), FALSE)="", "",
VLOOKUP($A745,YES_Reading_ELA[],COLUMN(INDIRECT("YES_Reading_ELA[Difference - Per "&amp;VLOOKUP($D$2,'Reading Report Logic'!$A$2:$B$8,2,FALSE)&amp;"]")),FALSE)),
IF(VLOOKUP($A745, YES_Reading_FLA[], COLUMN(INDIRECT("YES_Reading_FLA[Difference - Per "&amp;VLOOKUP($D$2, 'Reading Report Logic'!$A$2:$B$8, 2, FALSE)&amp;"]")),FALSE)="", "", VLOOKUP($A745,YES_Reading_FLA[],COLUMN(INDIRECT("YES_Reading_FLA[Difference - Per "&amp;VLOOKUP($D$2, 'Reading Report Logic'!$A$2:$B$8, 2, FALSE)&amp;"]")),FALSE))),""))),"")</f>
        <v/>
      </c>
      <c r="H745" s="206" t="str">
        <f ca="1">IFERROR(VLOOKUP('Teacher Reading Pull Sheets'!$D745,_xlfn.VSTACK('ELA Reading Logic'!$A$22:$B$48,'FLA Reading Logic'!$A$22:$B$53),2,FALSE)-VLOOKUP('Teacher Reading Pull Sheets'!$C745,_xlfn.VSTACK('ELA Reading Logic'!$A$22:$B$48,'FLA Reading Logic'!$A$22:$B$53),2,FALSE),"")</f>
        <v/>
      </c>
      <c r="I745" s="212"/>
      <c r="J745" s="206"/>
      <c r="K745" s="197" t="str" cm="1">
        <f t="array" ref="K745">IFERROR(
IF($J$2="ELA",
IF(VLOOKUP($A745, YES_Reading_ELA[], COLUMN(YES_Reading_ELA[Self-Identified as African Descent]), FALSE)="", "",
VLOOKUP($A745,YES_Reading_ELA[], COLUMN(YES_Reading_ELA[Self-Identified as African Descent]), FALSE)),
IF($J$2="FLA",
IF(VLOOKUP($A745, YES_Reading_FLA[], COLUMN(YES_Reading_FLA[Self-Identified as African Descent]),FALSE)="","",
VLOOKUP($A745,YES_Reading_FLA[],COLUMN(YES_Reading_FLA[Self-Identified as African Descent]),FALSE)),
IF($J$2="Combined",
IFERROR(
IF(VLOOKUP($A745, YES_Reading_ELA[], COLUMN(YES_Reading_ELA[Self-Identified as African Descent]), FALSE)="", "",
VLOOKUP($A745,YES_Reading_ELA[],COLUMN(YES_Reading_ELA[Self-Identified as African Descent]),FALSE)),
IF(VLOOKUP($A745, YES_Reading_FLA[], COLUMN(YES_Reading_FLA[Self-Identified as African Descent]),FALSE)="", "", VLOOKUP($A745,YES_Reading_FLA[],COLUMN(YES_Reading_FLA[Self-Identified as African Descent]),FALSE))),""))),"")</f>
        <v/>
      </c>
      <c r="L745" s="73" t="str" cm="1">
        <f t="array" ref="L745">IFERROR(
IF($J$2="ELA",
IF(VLOOKUP($A745, YES_Reading_ELA[], COLUMN(YES_Reading_ELA[Self-Identified as Indigenous]), FALSE)="", "",
VLOOKUP($A745,YES_Reading_ELA[], COLUMN(YES_Reading_ELA[Self-Identified as Indigenous]), FALSE)),
IF($J$2="FLA",
IF(VLOOKUP($A745, YES_Reading_FLA[], COLUMN(YES_Reading_FLA[Self-Identified as Indigenous]),FALSE)="","",
VLOOKUP($A745,YES_Reading_FLA[],COLUMN(YES_Reading_FLA[Self-Identified as Indigenous]),FALSE)),
IF($J$2="Combined",
IFERROR(
IF(VLOOKUP($A745, YES_Reading_ELA[], COLUMN(YES_Reading_ELA[Self-Identified as Indigenous]), FALSE)="", "",
VLOOKUP($A745,YES_Reading_ELA[],COLUMN(YES_Reading_ELA[Self-Identified as Indigenous]),FALSE)),
IF(VLOOKUP($A745, YES_Reading_FLA[], COLUMN(YES_Reading_FLA[Self-Identified as Indigenous]),FALSE)="", "", VLOOKUP($A745,YES_Reading_FLA[],COLUMN(YES_Reading_FLA[Self-Identified as Indigenous]),FALSE))),""))),"")</f>
        <v/>
      </c>
    </row>
    <row r="746" spans="1:12" ht="19.5" customHeight="1" x14ac:dyDescent="0.25">
      <c r="A746" s="217"/>
      <c r="B746" s="220" t="str">
        <f>IFERROR(VLOOKUP(A746,_xlfn.VSTACK(YES_Reading_ELA[],YES_Reading_FLA[]),2,FALSE),"")</f>
        <v/>
      </c>
      <c r="C746" s="203" t="str" cm="1">
        <f t="array" aca="1" ref="C746" ca="1">IFERROR(
IF($J$2="ELA",
IF(VLOOKUP($A746, YES_Reading_ELA[], COLUMN(IF(VLOOKUP($D$2, 'Reading Report Logic'!$A$2:$B$8, 2, FALSE)=1, YES_Reading_ELA[Reading Level June of Previous School Year], INDIRECT("YES_Reading_ELA[Instructional Reading Level - Per "&amp;(VLOOKUP($D$2,'Reading Report Logic'!$A$2:$B$8,2,FALSE)-1)&amp;"]"))), FALSE)="", "",
VLOOKUP($A746,YES_Reading_ELA[], COLUMN(IF(VLOOKUP($D$2,'Reading Report Logic'!$A$2:$B$8,2,FALSE)=1, YES_Reading_ELA[Reading Level June of Previous School Year],INDIRECT("YES_Reading_ELA[Instructional Reading Level - Per "&amp;(VLOOKUP($D$2,'Reading Report Logic'!$A$2:$B$8,2,FALSE)-1)&amp;"]"))), FALSE)),
IF($J$2="FLA",
IF(VLOOKUP($A746, YES_Reading_FLA[], COLUMN(IF(VLOOKUP($D$2,'Reading Report Logic'!$A$2:$B$8,2,FALSE)=1, YES_Reading_FLA[Reading Level June of Previous School Year],INDIRECT("YES_Reading_FLA[Instructional Reading Level - Per "&amp;(VLOOKUP($D$2,'Reading Report Logic'!$A$2:$B$8,2,FALSE)-1)&amp;"]"))),FALSE)="","",
VLOOKUP($A746,YES_Reading_FLA[], COLUMN(IF(VLOOKUP($D$2,'Reading Report Logic'!$A$2:$B$8,2,FALSE)=1, YES_Reading_FLA[Reading Level June of Previous School Year],INDIRECT("YES_Reading_FLA[Instructional Reading Level - Per "&amp;(VLOOKUP($D$2,'Reading Report Logic'!$A$2:$B$8,2,FALSE)-1)&amp;"]"))),FALSE)),
IF($J$2="Combined",
IFERROR(
IF(VLOOKUP($A746, YES_Reading_ELA[], COLUMN(IF(VLOOKUP($D$2,'Reading Report Logic'!$A$2:$B$8,2,FALSE)=1, YES_Reading_ELA[Reading Level June of Previous School Year],INDIRECT("YES_Reading_ELA[Instructional Reading Level - Per "&amp;(VLOOKUP($D$2,'Reading Report Logic'!$A$2:$B$8,2,FALSE)-1)&amp;"]"))), FALSE)="", "",
VLOOKUP($A746,YES_Reading_ELA[],COLUMN(IF(VLOOKUP($D$2,'Reading Report Logic'!$A$2:$B$8,2,FALSE)=1, YES_Reading_ELA[Reading Level June of Previous School Year],INDIRECT("YES_Reading_ELA[Instructional Reading Level - Per "&amp;(VLOOKUP($D$2,'Reading Report Logic'!$A$2:$B$8,2,FALSE)-1)&amp;"]"))),FALSE)),
IF(VLOOKUP($A746, YES_Reading_FLA[], COLUMN(IF(VLOOKUP($D$2,'Reading Report Logic'!$A$2:$B$8,2,FALSE)=1, YES_Reading_FLA[Reading Level June of Previous School Year],INDIRECT("YES_Reading_FLA[Instructional Reading Level - Per "&amp;(VLOOKUP($D$2,'Reading Report Logic'!$A$2:$B$8,2,FALSE)-1)&amp;"]"))),FALSE)="", "", VLOOKUP($A746,YES_Reading_FLA[],COLUMN(IF(VLOOKUP($D$2,'Reading Report Logic'!$A$2:$B$8,2,FALSE)=1, YES_Reading_FLA[Reading Level June of Previous School Year],INDIRECT("YES_Reading_FLA[Instructional Reading Level - Per "&amp;(VLOOKUP($D$2,'Reading Report Logic'!$A$2:$B$8,2,FALSE)-1)&amp;"]"))), FALSE))),""))),"")</f>
        <v/>
      </c>
      <c r="D746" s="204" t="str" cm="1">
        <f t="array" aca="1" ref="D746" ca="1">IFERROR(
IF($J$2="ELA",
IF(VLOOKUP($A746, YES_Reading_ELA[], COLUMN(INDIRECT("YES_Reading_ELA[Instructional Reading Level - Per "&amp;VLOOKUP($D$2, 'Reading Report Logic'!$A$2:$B$8, 2, FALSE)&amp;"]")), FALSE)="", "",
VLOOKUP($A746,YES_Reading_ELA[], COLUMN(INDIRECT("YES_Reading_ELA[Instructional Reading Level - Per "&amp;VLOOKUP($D$2,'Reading Report Logic'!$A$2:$B$8,2,FALSE)&amp;"]")), FALSE)),
IF($J$2="FLA",
IF(VLOOKUP($A746, YES_Reading_FLA[], COLUMN(INDIRECT("YES_Reading_FLA[Instructional Reading Level - Per "&amp;VLOOKUP($D$2,'Reading Report Logic'!$A$2:$B$8,2,FALSE)&amp;"]")),FALSE)="","",
VLOOKUP($A746,YES_Reading_FLA[],COLUMN(INDIRECT("YES_Reading_FLA[Instructional Reading Level - Per "&amp;VLOOKUP($D$2,'Reading Report Logic'!$A$2:$B$8,2,FALSE)&amp;"]")),FALSE)),
IF($J$2="Combined",
IFERROR(
IF(VLOOKUP($A746, YES_Reading_ELA[], COLUMN(INDIRECT("YES_Reading_ELA[Instructional Reading Level - Per "&amp;VLOOKUP($D$2, 'Reading Report Logic'!$A$2:$B$8,2,FALSE)&amp;"]")), FALSE)="", "",
VLOOKUP($A746,YES_Reading_ELA[],COLUMN(INDIRECT("YES_Reading_ELA[Instructional Reading Level - Per "&amp;VLOOKUP($D$2,'Reading Report Logic'!$A$2:$B$8,2,FALSE)&amp;"]")),FALSE)),
IF(VLOOKUP($A746, YES_Reading_FLA[], COLUMN(INDIRECT("YES_Reading_FLA[Instructional Reading Level - Per "&amp;VLOOKUP($D$2, 'Reading Report Logic'!$A$2:$B$8, 2, FALSE)&amp;"]")),FALSE)="", "", VLOOKUP($A746,YES_Reading_FLA[],COLUMN(INDIRECT("YES_Reading_FLA[Instructional Reading Level - Per "&amp;VLOOKUP($D$2, 'Reading Report Logic'!$A$2:$B$8, 2, FALSE)&amp;"]")),FALSE))),""))),"")</f>
        <v/>
      </c>
      <c r="E746" s="205" t="str" cm="1">
        <f t="array" aca="1" ref="E746" ca="1">IFERROR(
IF($J$2="ELA",
IF(VLOOKUP($A746, YES_Reading_ELA[], COLUMN(INDIRECT("YES_Reading_ELA[Min Expectation - Per "&amp;VLOOKUP($D$2, 'Reading Report Logic'!$A$2:$B$8, 2, FALSE)&amp;"]")), FALSE)="", "",
VLOOKUP($A746,YES_Reading_ELA[], COLUMN(INDIRECT("YES_Reading_ELA[Min Expectation - Per "&amp;VLOOKUP($D$2,'Reading Report Logic'!$A$2:$B$8,2,FALSE)&amp;"]")), FALSE)),
IF($J$2="FLA",
IF(VLOOKUP($A746, YES_Reading_FLA[], COLUMN(INDIRECT("YES_Reading_FLA[Min Expectation - Per "&amp;VLOOKUP($D$2,'Reading Report Logic'!$A$2:$B$8,2,FALSE)&amp;"]")),FALSE)="","",
VLOOKUP($A746,YES_Reading_FLA[],COLUMN(INDIRECT("YES_Reading_FLA[Min Expectation - Per "&amp;VLOOKUP($D$2,'Reading Report Logic'!$A$2:$B$8,2,FALSE)&amp;"]")),FALSE)),
IF($J$2="Combined",
IFERROR(
IF(VLOOKUP($A746, YES_Reading_ELA[], COLUMN(INDIRECT("YES_Reading_ELA[Min Expectation - Per "&amp;VLOOKUP($D$2, 'Reading Report Logic'!$A$2:$B$8,2,FALSE)&amp;"]")), FALSE)="", "",
VLOOKUP($A746,YES_Reading_ELA[],COLUMN(INDIRECT("YES_Reading_ELA[Min Expectation - Per "&amp;VLOOKUP($D$2,'Reading Report Logic'!$A$2:$B$8,2,FALSE)&amp;"]")),FALSE)),
IF(VLOOKUP($A746, YES_Reading_FLA[], COLUMN(INDIRECT("YES_Reading_FLA[Min Expectation - Per "&amp;VLOOKUP($D$2, 'Reading Report Logic'!$A$2:$B$8, 2, FALSE)&amp;"]")),FALSE)="", "", VLOOKUP($A746,YES_Reading_FLA[],COLUMN(INDIRECT("YES_Reading_FLA[Min Expectation - Per "&amp;VLOOKUP($D$2, 'Reading Report Logic'!$A$2:$B$8, 2, FALSE)&amp;"]")),FALSE))),""))),"")</f>
        <v/>
      </c>
      <c r="F746" s="205" t="str" cm="1">
        <f t="array" aca="1" ref="F746" ca="1">IFERROR(
IF($J$2="ELA",
IF(VLOOKUP($A746, YES_Reading_ELA[], COLUMN(INDIRECT("YES_Reading_ELA[Max Expectation - Per "&amp;VLOOKUP($D$2, 'Reading Report Logic'!$A$2:$B$8, 2, FALSE)&amp;"]")), FALSE)="", "",
VLOOKUP($A746,YES_Reading_ELA[], COLUMN(INDIRECT("YES_Reading_ELA[Max Expectation - Per "&amp;VLOOKUP($D$2,'Reading Report Logic'!$A$2:$B$8,2,FALSE)&amp;"]")), FALSE)),
IF($J$2="FLA",
IF(VLOOKUP($A746, YES_Reading_FLA[], COLUMN(INDIRECT("YES_Reading_FLA[Max Expectation - Per "&amp;VLOOKUP($D$2,'Reading Report Logic'!$A$2:$B$8,2,FALSE)&amp;"]")),FALSE)="","",
VLOOKUP($A746,YES_Reading_FLA[],COLUMN(INDIRECT("YES_Reading_FLA[Max Expectation - Per "&amp;VLOOKUP($D$2,'Reading Report Logic'!$A$2:$B$8,2,FALSE)&amp;"]")),FALSE)),
IF($J$2="Combined",
IFERROR(
IF(VLOOKUP($A746, YES_Reading_ELA[], COLUMN(INDIRECT("YES_Reading_ELA[Max Expectation - Per "&amp;VLOOKUP($D$2, 'Reading Report Logic'!$A$2:$B$8,2,FALSE)&amp;"]")), FALSE)="", "",
VLOOKUP($A746,YES_Reading_ELA[],COLUMN(INDIRECT("YES_Reading_ELA[Max Expectation - Per "&amp;VLOOKUP($D$2,'Reading Report Logic'!$A$2:$B$8,2,FALSE)&amp;"]")),FALSE)),
IF(VLOOKUP($A746, YES_Reading_FLA[], COLUMN(INDIRECT("YES_Reading_FLA[Max Expectation - Per "&amp;VLOOKUP($D$2, 'Reading Report Logic'!$A$2:$B$8, 2, FALSE)&amp;"]")),FALSE)="", "", VLOOKUP($A746,YES_Reading_FLA[],COLUMN(INDIRECT("YES_Reading_FLA[Max Expectation - Per "&amp;VLOOKUP($D$2, 'Reading Report Logic'!$A$2:$B$8, 2, FALSE)&amp;"]")),FALSE))),""))),"")</f>
        <v/>
      </c>
      <c r="G746" s="205" t="str" cm="1">
        <f t="array" aca="1" ref="G746" ca="1">IFERROR(
IF($J$2="ELA",
IF(VLOOKUP($A746, YES_Reading_ELA[], COLUMN(INDIRECT("YES_Reading_ELA[Difference - Per "&amp;VLOOKUP($D$2, 'Reading Report Logic'!$A$2:$B$8, 2, FALSE)&amp;"]")), FALSE)="", "",
VLOOKUP($A746,YES_Reading_ELA[], COLUMN(INDIRECT("YES_Reading_ELA[Difference - Per "&amp;VLOOKUP($D$2,'Reading Report Logic'!$A$2:$B$8,2,FALSE)&amp;"]")), FALSE)),
IF($J$2="FLA",
IF(VLOOKUP($A746, YES_Reading_FLA[], COLUMN(INDIRECT("YES_Reading_FLA[Difference - Per "&amp;VLOOKUP($D$2,'Reading Report Logic'!$A$2:$B$8,2,FALSE)&amp;"]")),FALSE)="","",
VLOOKUP($A746,YES_Reading_FLA[],COLUMN(INDIRECT("YES_Reading_FLA[Difference - Per "&amp;VLOOKUP($D$2,'Reading Report Logic'!$A$2:$B$8,2,FALSE)&amp;"]")),FALSE)),
IF($J$2="Combined",
IFERROR(
IF(VLOOKUP($A746, YES_Reading_ELA[], COLUMN(INDIRECT("YES_Reading_ELA[Difference - Per "&amp;VLOOKUP($D$2, 'Reading Report Logic'!$A$2:$B$8,2,FALSE)&amp;"]")), FALSE)="", "",
VLOOKUP($A746,YES_Reading_ELA[],COLUMN(INDIRECT("YES_Reading_ELA[Difference - Per "&amp;VLOOKUP($D$2,'Reading Report Logic'!$A$2:$B$8,2,FALSE)&amp;"]")),FALSE)),
IF(VLOOKUP($A746, YES_Reading_FLA[], COLUMN(INDIRECT("YES_Reading_FLA[Difference - Per "&amp;VLOOKUP($D$2, 'Reading Report Logic'!$A$2:$B$8, 2, FALSE)&amp;"]")),FALSE)="", "", VLOOKUP($A746,YES_Reading_FLA[],COLUMN(INDIRECT("YES_Reading_FLA[Difference - Per "&amp;VLOOKUP($D$2, 'Reading Report Logic'!$A$2:$B$8, 2, FALSE)&amp;"]")),FALSE))),""))),"")</f>
        <v/>
      </c>
      <c r="H746" s="206" t="str">
        <f ca="1">IFERROR(VLOOKUP('Teacher Reading Pull Sheets'!$D746,_xlfn.VSTACK('ELA Reading Logic'!$A$22:$B$48,'FLA Reading Logic'!$A$22:$B$53),2,FALSE)-VLOOKUP('Teacher Reading Pull Sheets'!$C746,_xlfn.VSTACK('ELA Reading Logic'!$A$22:$B$48,'FLA Reading Logic'!$A$22:$B$53),2,FALSE),"")</f>
        <v/>
      </c>
      <c r="I746" s="212"/>
      <c r="J746" s="206"/>
      <c r="K746" s="197" t="str" cm="1">
        <f t="array" ref="K746">IFERROR(
IF($J$2="ELA",
IF(VLOOKUP($A746, YES_Reading_ELA[], COLUMN(YES_Reading_ELA[Self-Identified as African Descent]), FALSE)="", "",
VLOOKUP($A746,YES_Reading_ELA[], COLUMN(YES_Reading_ELA[Self-Identified as African Descent]), FALSE)),
IF($J$2="FLA",
IF(VLOOKUP($A746, YES_Reading_FLA[], COLUMN(YES_Reading_FLA[Self-Identified as African Descent]),FALSE)="","",
VLOOKUP($A746,YES_Reading_FLA[],COLUMN(YES_Reading_FLA[Self-Identified as African Descent]),FALSE)),
IF($J$2="Combined",
IFERROR(
IF(VLOOKUP($A746, YES_Reading_ELA[], COLUMN(YES_Reading_ELA[Self-Identified as African Descent]), FALSE)="", "",
VLOOKUP($A746,YES_Reading_ELA[],COLUMN(YES_Reading_ELA[Self-Identified as African Descent]),FALSE)),
IF(VLOOKUP($A746, YES_Reading_FLA[], COLUMN(YES_Reading_FLA[Self-Identified as African Descent]),FALSE)="", "", VLOOKUP($A746,YES_Reading_FLA[],COLUMN(YES_Reading_FLA[Self-Identified as African Descent]),FALSE))),""))),"")</f>
        <v/>
      </c>
      <c r="L746" s="73" t="str" cm="1">
        <f t="array" ref="L746">IFERROR(
IF($J$2="ELA",
IF(VLOOKUP($A746, YES_Reading_ELA[], COLUMN(YES_Reading_ELA[Self-Identified as Indigenous]), FALSE)="", "",
VLOOKUP($A746,YES_Reading_ELA[], COLUMN(YES_Reading_ELA[Self-Identified as Indigenous]), FALSE)),
IF($J$2="FLA",
IF(VLOOKUP($A746, YES_Reading_FLA[], COLUMN(YES_Reading_FLA[Self-Identified as Indigenous]),FALSE)="","",
VLOOKUP($A746,YES_Reading_FLA[],COLUMN(YES_Reading_FLA[Self-Identified as Indigenous]),FALSE)),
IF($J$2="Combined",
IFERROR(
IF(VLOOKUP($A746, YES_Reading_ELA[], COLUMN(YES_Reading_ELA[Self-Identified as Indigenous]), FALSE)="", "",
VLOOKUP($A746,YES_Reading_ELA[],COLUMN(YES_Reading_ELA[Self-Identified as Indigenous]),FALSE)),
IF(VLOOKUP($A746, YES_Reading_FLA[], COLUMN(YES_Reading_FLA[Self-Identified as Indigenous]),FALSE)="", "", VLOOKUP($A746,YES_Reading_FLA[],COLUMN(YES_Reading_FLA[Self-Identified as Indigenous]),FALSE))),""))),"")</f>
        <v/>
      </c>
    </row>
    <row r="747" spans="1:12" ht="19.5" customHeight="1" x14ac:dyDescent="0.25">
      <c r="A747" s="217"/>
      <c r="B747" s="220" t="str">
        <f>IFERROR(VLOOKUP(A747,_xlfn.VSTACK(YES_Reading_ELA[],YES_Reading_FLA[]),2,FALSE),"")</f>
        <v/>
      </c>
      <c r="C747" s="203" t="str" cm="1">
        <f t="array" aca="1" ref="C747" ca="1">IFERROR(
IF($J$2="ELA",
IF(VLOOKUP($A747, YES_Reading_ELA[], COLUMN(IF(VLOOKUP($D$2, 'Reading Report Logic'!$A$2:$B$8, 2, FALSE)=1, YES_Reading_ELA[Reading Level June of Previous School Year], INDIRECT("YES_Reading_ELA[Instructional Reading Level - Per "&amp;(VLOOKUP($D$2,'Reading Report Logic'!$A$2:$B$8,2,FALSE)-1)&amp;"]"))), FALSE)="", "",
VLOOKUP($A747,YES_Reading_ELA[], COLUMN(IF(VLOOKUP($D$2,'Reading Report Logic'!$A$2:$B$8,2,FALSE)=1, YES_Reading_ELA[Reading Level June of Previous School Year],INDIRECT("YES_Reading_ELA[Instructional Reading Level - Per "&amp;(VLOOKUP($D$2,'Reading Report Logic'!$A$2:$B$8,2,FALSE)-1)&amp;"]"))), FALSE)),
IF($J$2="FLA",
IF(VLOOKUP($A747, YES_Reading_FLA[], COLUMN(IF(VLOOKUP($D$2,'Reading Report Logic'!$A$2:$B$8,2,FALSE)=1, YES_Reading_FLA[Reading Level June of Previous School Year],INDIRECT("YES_Reading_FLA[Instructional Reading Level - Per "&amp;(VLOOKUP($D$2,'Reading Report Logic'!$A$2:$B$8,2,FALSE)-1)&amp;"]"))),FALSE)="","",
VLOOKUP($A747,YES_Reading_FLA[], COLUMN(IF(VLOOKUP($D$2,'Reading Report Logic'!$A$2:$B$8,2,FALSE)=1, YES_Reading_FLA[Reading Level June of Previous School Year],INDIRECT("YES_Reading_FLA[Instructional Reading Level - Per "&amp;(VLOOKUP($D$2,'Reading Report Logic'!$A$2:$B$8,2,FALSE)-1)&amp;"]"))),FALSE)),
IF($J$2="Combined",
IFERROR(
IF(VLOOKUP($A747, YES_Reading_ELA[], COLUMN(IF(VLOOKUP($D$2,'Reading Report Logic'!$A$2:$B$8,2,FALSE)=1, YES_Reading_ELA[Reading Level June of Previous School Year],INDIRECT("YES_Reading_ELA[Instructional Reading Level - Per "&amp;(VLOOKUP($D$2,'Reading Report Logic'!$A$2:$B$8,2,FALSE)-1)&amp;"]"))), FALSE)="", "",
VLOOKUP($A747,YES_Reading_ELA[],COLUMN(IF(VLOOKUP($D$2,'Reading Report Logic'!$A$2:$B$8,2,FALSE)=1, YES_Reading_ELA[Reading Level June of Previous School Year],INDIRECT("YES_Reading_ELA[Instructional Reading Level - Per "&amp;(VLOOKUP($D$2,'Reading Report Logic'!$A$2:$B$8,2,FALSE)-1)&amp;"]"))),FALSE)),
IF(VLOOKUP($A747, YES_Reading_FLA[], COLUMN(IF(VLOOKUP($D$2,'Reading Report Logic'!$A$2:$B$8,2,FALSE)=1, YES_Reading_FLA[Reading Level June of Previous School Year],INDIRECT("YES_Reading_FLA[Instructional Reading Level - Per "&amp;(VLOOKUP($D$2,'Reading Report Logic'!$A$2:$B$8,2,FALSE)-1)&amp;"]"))),FALSE)="", "", VLOOKUP($A747,YES_Reading_FLA[],COLUMN(IF(VLOOKUP($D$2,'Reading Report Logic'!$A$2:$B$8,2,FALSE)=1, YES_Reading_FLA[Reading Level June of Previous School Year],INDIRECT("YES_Reading_FLA[Instructional Reading Level - Per "&amp;(VLOOKUP($D$2,'Reading Report Logic'!$A$2:$B$8,2,FALSE)-1)&amp;"]"))), FALSE))),""))),"")</f>
        <v/>
      </c>
      <c r="D747" s="204" t="str" cm="1">
        <f t="array" aca="1" ref="D747" ca="1">IFERROR(
IF($J$2="ELA",
IF(VLOOKUP($A747, YES_Reading_ELA[], COLUMN(INDIRECT("YES_Reading_ELA[Instructional Reading Level - Per "&amp;VLOOKUP($D$2, 'Reading Report Logic'!$A$2:$B$8, 2, FALSE)&amp;"]")), FALSE)="", "",
VLOOKUP($A747,YES_Reading_ELA[], COLUMN(INDIRECT("YES_Reading_ELA[Instructional Reading Level - Per "&amp;VLOOKUP($D$2,'Reading Report Logic'!$A$2:$B$8,2,FALSE)&amp;"]")), FALSE)),
IF($J$2="FLA",
IF(VLOOKUP($A747, YES_Reading_FLA[], COLUMN(INDIRECT("YES_Reading_FLA[Instructional Reading Level - Per "&amp;VLOOKUP($D$2,'Reading Report Logic'!$A$2:$B$8,2,FALSE)&amp;"]")),FALSE)="","",
VLOOKUP($A747,YES_Reading_FLA[],COLUMN(INDIRECT("YES_Reading_FLA[Instructional Reading Level - Per "&amp;VLOOKUP($D$2,'Reading Report Logic'!$A$2:$B$8,2,FALSE)&amp;"]")),FALSE)),
IF($J$2="Combined",
IFERROR(
IF(VLOOKUP($A747, YES_Reading_ELA[], COLUMN(INDIRECT("YES_Reading_ELA[Instructional Reading Level - Per "&amp;VLOOKUP($D$2, 'Reading Report Logic'!$A$2:$B$8,2,FALSE)&amp;"]")), FALSE)="", "",
VLOOKUP($A747,YES_Reading_ELA[],COLUMN(INDIRECT("YES_Reading_ELA[Instructional Reading Level - Per "&amp;VLOOKUP($D$2,'Reading Report Logic'!$A$2:$B$8,2,FALSE)&amp;"]")),FALSE)),
IF(VLOOKUP($A747, YES_Reading_FLA[], COLUMN(INDIRECT("YES_Reading_FLA[Instructional Reading Level - Per "&amp;VLOOKUP($D$2, 'Reading Report Logic'!$A$2:$B$8, 2, FALSE)&amp;"]")),FALSE)="", "", VLOOKUP($A747,YES_Reading_FLA[],COLUMN(INDIRECT("YES_Reading_FLA[Instructional Reading Level - Per "&amp;VLOOKUP($D$2, 'Reading Report Logic'!$A$2:$B$8, 2, FALSE)&amp;"]")),FALSE))),""))),"")</f>
        <v/>
      </c>
      <c r="E747" s="205" t="str" cm="1">
        <f t="array" aca="1" ref="E747" ca="1">IFERROR(
IF($J$2="ELA",
IF(VLOOKUP($A747, YES_Reading_ELA[], COLUMN(INDIRECT("YES_Reading_ELA[Min Expectation - Per "&amp;VLOOKUP($D$2, 'Reading Report Logic'!$A$2:$B$8, 2, FALSE)&amp;"]")), FALSE)="", "",
VLOOKUP($A747,YES_Reading_ELA[], COLUMN(INDIRECT("YES_Reading_ELA[Min Expectation - Per "&amp;VLOOKUP($D$2,'Reading Report Logic'!$A$2:$B$8,2,FALSE)&amp;"]")), FALSE)),
IF($J$2="FLA",
IF(VLOOKUP($A747, YES_Reading_FLA[], COLUMN(INDIRECT("YES_Reading_FLA[Min Expectation - Per "&amp;VLOOKUP($D$2,'Reading Report Logic'!$A$2:$B$8,2,FALSE)&amp;"]")),FALSE)="","",
VLOOKUP($A747,YES_Reading_FLA[],COLUMN(INDIRECT("YES_Reading_FLA[Min Expectation - Per "&amp;VLOOKUP($D$2,'Reading Report Logic'!$A$2:$B$8,2,FALSE)&amp;"]")),FALSE)),
IF($J$2="Combined",
IFERROR(
IF(VLOOKUP($A747, YES_Reading_ELA[], COLUMN(INDIRECT("YES_Reading_ELA[Min Expectation - Per "&amp;VLOOKUP($D$2, 'Reading Report Logic'!$A$2:$B$8,2,FALSE)&amp;"]")), FALSE)="", "",
VLOOKUP($A747,YES_Reading_ELA[],COLUMN(INDIRECT("YES_Reading_ELA[Min Expectation - Per "&amp;VLOOKUP($D$2,'Reading Report Logic'!$A$2:$B$8,2,FALSE)&amp;"]")),FALSE)),
IF(VLOOKUP($A747, YES_Reading_FLA[], COLUMN(INDIRECT("YES_Reading_FLA[Min Expectation - Per "&amp;VLOOKUP($D$2, 'Reading Report Logic'!$A$2:$B$8, 2, FALSE)&amp;"]")),FALSE)="", "", VLOOKUP($A747,YES_Reading_FLA[],COLUMN(INDIRECT("YES_Reading_FLA[Min Expectation - Per "&amp;VLOOKUP($D$2, 'Reading Report Logic'!$A$2:$B$8, 2, FALSE)&amp;"]")),FALSE))),""))),"")</f>
        <v/>
      </c>
      <c r="F747" s="205" t="str" cm="1">
        <f t="array" aca="1" ref="F747" ca="1">IFERROR(
IF($J$2="ELA",
IF(VLOOKUP($A747, YES_Reading_ELA[], COLUMN(INDIRECT("YES_Reading_ELA[Max Expectation - Per "&amp;VLOOKUP($D$2, 'Reading Report Logic'!$A$2:$B$8, 2, FALSE)&amp;"]")), FALSE)="", "",
VLOOKUP($A747,YES_Reading_ELA[], COLUMN(INDIRECT("YES_Reading_ELA[Max Expectation - Per "&amp;VLOOKUP($D$2,'Reading Report Logic'!$A$2:$B$8,2,FALSE)&amp;"]")), FALSE)),
IF($J$2="FLA",
IF(VLOOKUP($A747, YES_Reading_FLA[], COLUMN(INDIRECT("YES_Reading_FLA[Max Expectation - Per "&amp;VLOOKUP($D$2,'Reading Report Logic'!$A$2:$B$8,2,FALSE)&amp;"]")),FALSE)="","",
VLOOKUP($A747,YES_Reading_FLA[],COLUMN(INDIRECT("YES_Reading_FLA[Max Expectation - Per "&amp;VLOOKUP($D$2,'Reading Report Logic'!$A$2:$B$8,2,FALSE)&amp;"]")),FALSE)),
IF($J$2="Combined",
IFERROR(
IF(VLOOKUP($A747, YES_Reading_ELA[], COLUMN(INDIRECT("YES_Reading_ELA[Max Expectation - Per "&amp;VLOOKUP($D$2, 'Reading Report Logic'!$A$2:$B$8,2,FALSE)&amp;"]")), FALSE)="", "",
VLOOKUP($A747,YES_Reading_ELA[],COLUMN(INDIRECT("YES_Reading_ELA[Max Expectation - Per "&amp;VLOOKUP($D$2,'Reading Report Logic'!$A$2:$B$8,2,FALSE)&amp;"]")),FALSE)),
IF(VLOOKUP($A747, YES_Reading_FLA[], COLUMN(INDIRECT("YES_Reading_FLA[Max Expectation - Per "&amp;VLOOKUP($D$2, 'Reading Report Logic'!$A$2:$B$8, 2, FALSE)&amp;"]")),FALSE)="", "", VLOOKUP($A747,YES_Reading_FLA[],COLUMN(INDIRECT("YES_Reading_FLA[Max Expectation - Per "&amp;VLOOKUP($D$2, 'Reading Report Logic'!$A$2:$B$8, 2, FALSE)&amp;"]")),FALSE))),""))),"")</f>
        <v/>
      </c>
      <c r="G747" s="205" t="str" cm="1">
        <f t="array" aca="1" ref="G747" ca="1">IFERROR(
IF($J$2="ELA",
IF(VLOOKUP($A747, YES_Reading_ELA[], COLUMN(INDIRECT("YES_Reading_ELA[Difference - Per "&amp;VLOOKUP($D$2, 'Reading Report Logic'!$A$2:$B$8, 2, FALSE)&amp;"]")), FALSE)="", "",
VLOOKUP($A747,YES_Reading_ELA[], COLUMN(INDIRECT("YES_Reading_ELA[Difference - Per "&amp;VLOOKUP($D$2,'Reading Report Logic'!$A$2:$B$8,2,FALSE)&amp;"]")), FALSE)),
IF($J$2="FLA",
IF(VLOOKUP($A747, YES_Reading_FLA[], COLUMN(INDIRECT("YES_Reading_FLA[Difference - Per "&amp;VLOOKUP($D$2,'Reading Report Logic'!$A$2:$B$8,2,FALSE)&amp;"]")),FALSE)="","",
VLOOKUP($A747,YES_Reading_FLA[],COLUMN(INDIRECT("YES_Reading_FLA[Difference - Per "&amp;VLOOKUP($D$2,'Reading Report Logic'!$A$2:$B$8,2,FALSE)&amp;"]")),FALSE)),
IF($J$2="Combined",
IFERROR(
IF(VLOOKUP($A747, YES_Reading_ELA[], COLUMN(INDIRECT("YES_Reading_ELA[Difference - Per "&amp;VLOOKUP($D$2, 'Reading Report Logic'!$A$2:$B$8,2,FALSE)&amp;"]")), FALSE)="", "",
VLOOKUP($A747,YES_Reading_ELA[],COLUMN(INDIRECT("YES_Reading_ELA[Difference - Per "&amp;VLOOKUP($D$2,'Reading Report Logic'!$A$2:$B$8,2,FALSE)&amp;"]")),FALSE)),
IF(VLOOKUP($A747, YES_Reading_FLA[], COLUMN(INDIRECT("YES_Reading_FLA[Difference - Per "&amp;VLOOKUP($D$2, 'Reading Report Logic'!$A$2:$B$8, 2, FALSE)&amp;"]")),FALSE)="", "", VLOOKUP($A747,YES_Reading_FLA[],COLUMN(INDIRECT("YES_Reading_FLA[Difference - Per "&amp;VLOOKUP($D$2, 'Reading Report Logic'!$A$2:$B$8, 2, FALSE)&amp;"]")),FALSE))),""))),"")</f>
        <v/>
      </c>
      <c r="H747" s="206" t="str">
        <f ca="1">IFERROR(VLOOKUP('Teacher Reading Pull Sheets'!$D747,_xlfn.VSTACK('ELA Reading Logic'!$A$22:$B$48,'FLA Reading Logic'!$A$22:$B$53),2,FALSE)-VLOOKUP('Teacher Reading Pull Sheets'!$C747,_xlfn.VSTACK('ELA Reading Logic'!$A$22:$B$48,'FLA Reading Logic'!$A$22:$B$53),2,FALSE),"")</f>
        <v/>
      </c>
      <c r="I747" s="212"/>
      <c r="J747" s="206"/>
      <c r="K747" s="197" t="str" cm="1">
        <f t="array" ref="K747">IFERROR(
IF($J$2="ELA",
IF(VLOOKUP($A747, YES_Reading_ELA[], COLUMN(YES_Reading_ELA[Self-Identified as African Descent]), FALSE)="", "",
VLOOKUP($A747,YES_Reading_ELA[], COLUMN(YES_Reading_ELA[Self-Identified as African Descent]), FALSE)),
IF($J$2="FLA",
IF(VLOOKUP($A747, YES_Reading_FLA[], COLUMN(YES_Reading_FLA[Self-Identified as African Descent]),FALSE)="","",
VLOOKUP($A747,YES_Reading_FLA[],COLUMN(YES_Reading_FLA[Self-Identified as African Descent]),FALSE)),
IF($J$2="Combined",
IFERROR(
IF(VLOOKUP($A747, YES_Reading_ELA[], COLUMN(YES_Reading_ELA[Self-Identified as African Descent]), FALSE)="", "",
VLOOKUP($A747,YES_Reading_ELA[],COLUMN(YES_Reading_ELA[Self-Identified as African Descent]),FALSE)),
IF(VLOOKUP($A747, YES_Reading_FLA[], COLUMN(YES_Reading_FLA[Self-Identified as African Descent]),FALSE)="", "", VLOOKUP($A747,YES_Reading_FLA[],COLUMN(YES_Reading_FLA[Self-Identified as African Descent]),FALSE))),""))),"")</f>
        <v/>
      </c>
      <c r="L747" s="73" t="str" cm="1">
        <f t="array" ref="L747">IFERROR(
IF($J$2="ELA",
IF(VLOOKUP($A747, YES_Reading_ELA[], COLUMN(YES_Reading_ELA[Self-Identified as Indigenous]), FALSE)="", "",
VLOOKUP($A747,YES_Reading_ELA[], COLUMN(YES_Reading_ELA[Self-Identified as Indigenous]), FALSE)),
IF($J$2="FLA",
IF(VLOOKUP($A747, YES_Reading_FLA[], COLUMN(YES_Reading_FLA[Self-Identified as Indigenous]),FALSE)="","",
VLOOKUP($A747,YES_Reading_FLA[],COLUMN(YES_Reading_FLA[Self-Identified as Indigenous]),FALSE)),
IF($J$2="Combined",
IFERROR(
IF(VLOOKUP($A747, YES_Reading_ELA[], COLUMN(YES_Reading_ELA[Self-Identified as Indigenous]), FALSE)="", "",
VLOOKUP($A747,YES_Reading_ELA[],COLUMN(YES_Reading_ELA[Self-Identified as Indigenous]),FALSE)),
IF(VLOOKUP($A747, YES_Reading_FLA[], COLUMN(YES_Reading_FLA[Self-Identified as Indigenous]),FALSE)="", "", VLOOKUP($A747,YES_Reading_FLA[],COLUMN(YES_Reading_FLA[Self-Identified as Indigenous]),FALSE))),""))),"")</f>
        <v/>
      </c>
    </row>
    <row r="748" spans="1:12" ht="19.5" customHeight="1" x14ac:dyDescent="0.25">
      <c r="A748" s="217"/>
      <c r="B748" s="220" t="str">
        <f>IFERROR(VLOOKUP(A748,_xlfn.VSTACK(YES_Reading_ELA[],YES_Reading_FLA[]),2,FALSE),"")</f>
        <v/>
      </c>
      <c r="C748" s="203" t="str" cm="1">
        <f t="array" aca="1" ref="C748" ca="1">IFERROR(
IF($J$2="ELA",
IF(VLOOKUP($A748, YES_Reading_ELA[], COLUMN(IF(VLOOKUP($D$2, 'Reading Report Logic'!$A$2:$B$8, 2, FALSE)=1, YES_Reading_ELA[Reading Level June of Previous School Year], INDIRECT("YES_Reading_ELA[Instructional Reading Level - Per "&amp;(VLOOKUP($D$2,'Reading Report Logic'!$A$2:$B$8,2,FALSE)-1)&amp;"]"))), FALSE)="", "",
VLOOKUP($A748,YES_Reading_ELA[], COLUMN(IF(VLOOKUP($D$2,'Reading Report Logic'!$A$2:$B$8,2,FALSE)=1, YES_Reading_ELA[Reading Level June of Previous School Year],INDIRECT("YES_Reading_ELA[Instructional Reading Level - Per "&amp;(VLOOKUP($D$2,'Reading Report Logic'!$A$2:$B$8,2,FALSE)-1)&amp;"]"))), FALSE)),
IF($J$2="FLA",
IF(VLOOKUP($A748, YES_Reading_FLA[], COLUMN(IF(VLOOKUP($D$2,'Reading Report Logic'!$A$2:$B$8,2,FALSE)=1, YES_Reading_FLA[Reading Level June of Previous School Year],INDIRECT("YES_Reading_FLA[Instructional Reading Level - Per "&amp;(VLOOKUP($D$2,'Reading Report Logic'!$A$2:$B$8,2,FALSE)-1)&amp;"]"))),FALSE)="","",
VLOOKUP($A748,YES_Reading_FLA[], COLUMN(IF(VLOOKUP($D$2,'Reading Report Logic'!$A$2:$B$8,2,FALSE)=1, YES_Reading_FLA[Reading Level June of Previous School Year],INDIRECT("YES_Reading_FLA[Instructional Reading Level - Per "&amp;(VLOOKUP($D$2,'Reading Report Logic'!$A$2:$B$8,2,FALSE)-1)&amp;"]"))),FALSE)),
IF($J$2="Combined",
IFERROR(
IF(VLOOKUP($A748, YES_Reading_ELA[], COLUMN(IF(VLOOKUP($D$2,'Reading Report Logic'!$A$2:$B$8,2,FALSE)=1, YES_Reading_ELA[Reading Level June of Previous School Year],INDIRECT("YES_Reading_ELA[Instructional Reading Level - Per "&amp;(VLOOKUP($D$2,'Reading Report Logic'!$A$2:$B$8,2,FALSE)-1)&amp;"]"))), FALSE)="", "",
VLOOKUP($A748,YES_Reading_ELA[],COLUMN(IF(VLOOKUP($D$2,'Reading Report Logic'!$A$2:$B$8,2,FALSE)=1, YES_Reading_ELA[Reading Level June of Previous School Year],INDIRECT("YES_Reading_ELA[Instructional Reading Level - Per "&amp;(VLOOKUP($D$2,'Reading Report Logic'!$A$2:$B$8,2,FALSE)-1)&amp;"]"))),FALSE)),
IF(VLOOKUP($A748, YES_Reading_FLA[], COLUMN(IF(VLOOKUP($D$2,'Reading Report Logic'!$A$2:$B$8,2,FALSE)=1, YES_Reading_FLA[Reading Level June of Previous School Year],INDIRECT("YES_Reading_FLA[Instructional Reading Level - Per "&amp;(VLOOKUP($D$2,'Reading Report Logic'!$A$2:$B$8,2,FALSE)-1)&amp;"]"))),FALSE)="", "", VLOOKUP($A748,YES_Reading_FLA[],COLUMN(IF(VLOOKUP($D$2,'Reading Report Logic'!$A$2:$B$8,2,FALSE)=1, YES_Reading_FLA[Reading Level June of Previous School Year],INDIRECT("YES_Reading_FLA[Instructional Reading Level - Per "&amp;(VLOOKUP($D$2,'Reading Report Logic'!$A$2:$B$8,2,FALSE)-1)&amp;"]"))), FALSE))),""))),"")</f>
        <v/>
      </c>
      <c r="D748" s="204" t="str" cm="1">
        <f t="array" aca="1" ref="D748" ca="1">IFERROR(
IF($J$2="ELA",
IF(VLOOKUP($A748, YES_Reading_ELA[], COLUMN(INDIRECT("YES_Reading_ELA[Instructional Reading Level - Per "&amp;VLOOKUP($D$2, 'Reading Report Logic'!$A$2:$B$8, 2, FALSE)&amp;"]")), FALSE)="", "",
VLOOKUP($A748,YES_Reading_ELA[], COLUMN(INDIRECT("YES_Reading_ELA[Instructional Reading Level - Per "&amp;VLOOKUP($D$2,'Reading Report Logic'!$A$2:$B$8,2,FALSE)&amp;"]")), FALSE)),
IF($J$2="FLA",
IF(VLOOKUP($A748, YES_Reading_FLA[], COLUMN(INDIRECT("YES_Reading_FLA[Instructional Reading Level - Per "&amp;VLOOKUP($D$2,'Reading Report Logic'!$A$2:$B$8,2,FALSE)&amp;"]")),FALSE)="","",
VLOOKUP($A748,YES_Reading_FLA[],COLUMN(INDIRECT("YES_Reading_FLA[Instructional Reading Level - Per "&amp;VLOOKUP($D$2,'Reading Report Logic'!$A$2:$B$8,2,FALSE)&amp;"]")),FALSE)),
IF($J$2="Combined",
IFERROR(
IF(VLOOKUP($A748, YES_Reading_ELA[], COLUMN(INDIRECT("YES_Reading_ELA[Instructional Reading Level - Per "&amp;VLOOKUP($D$2, 'Reading Report Logic'!$A$2:$B$8,2,FALSE)&amp;"]")), FALSE)="", "",
VLOOKUP($A748,YES_Reading_ELA[],COLUMN(INDIRECT("YES_Reading_ELA[Instructional Reading Level - Per "&amp;VLOOKUP($D$2,'Reading Report Logic'!$A$2:$B$8,2,FALSE)&amp;"]")),FALSE)),
IF(VLOOKUP($A748, YES_Reading_FLA[], COLUMN(INDIRECT("YES_Reading_FLA[Instructional Reading Level - Per "&amp;VLOOKUP($D$2, 'Reading Report Logic'!$A$2:$B$8, 2, FALSE)&amp;"]")),FALSE)="", "", VLOOKUP($A748,YES_Reading_FLA[],COLUMN(INDIRECT("YES_Reading_FLA[Instructional Reading Level - Per "&amp;VLOOKUP($D$2, 'Reading Report Logic'!$A$2:$B$8, 2, FALSE)&amp;"]")),FALSE))),""))),"")</f>
        <v/>
      </c>
      <c r="E748" s="205" t="str" cm="1">
        <f t="array" aca="1" ref="E748" ca="1">IFERROR(
IF($J$2="ELA",
IF(VLOOKUP($A748, YES_Reading_ELA[], COLUMN(INDIRECT("YES_Reading_ELA[Min Expectation - Per "&amp;VLOOKUP($D$2, 'Reading Report Logic'!$A$2:$B$8, 2, FALSE)&amp;"]")), FALSE)="", "",
VLOOKUP($A748,YES_Reading_ELA[], COLUMN(INDIRECT("YES_Reading_ELA[Min Expectation - Per "&amp;VLOOKUP($D$2,'Reading Report Logic'!$A$2:$B$8,2,FALSE)&amp;"]")), FALSE)),
IF($J$2="FLA",
IF(VLOOKUP($A748, YES_Reading_FLA[], COLUMN(INDIRECT("YES_Reading_FLA[Min Expectation - Per "&amp;VLOOKUP($D$2,'Reading Report Logic'!$A$2:$B$8,2,FALSE)&amp;"]")),FALSE)="","",
VLOOKUP($A748,YES_Reading_FLA[],COLUMN(INDIRECT("YES_Reading_FLA[Min Expectation - Per "&amp;VLOOKUP($D$2,'Reading Report Logic'!$A$2:$B$8,2,FALSE)&amp;"]")),FALSE)),
IF($J$2="Combined",
IFERROR(
IF(VLOOKUP($A748, YES_Reading_ELA[], COLUMN(INDIRECT("YES_Reading_ELA[Min Expectation - Per "&amp;VLOOKUP($D$2, 'Reading Report Logic'!$A$2:$B$8,2,FALSE)&amp;"]")), FALSE)="", "",
VLOOKUP($A748,YES_Reading_ELA[],COLUMN(INDIRECT("YES_Reading_ELA[Min Expectation - Per "&amp;VLOOKUP($D$2,'Reading Report Logic'!$A$2:$B$8,2,FALSE)&amp;"]")),FALSE)),
IF(VLOOKUP($A748, YES_Reading_FLA[], COLUMN(INDIRECT("YES_Reading_FLA[Min Expectation - Per "&amp;VLOOKUP($D$2, 'Reading Report Logic'!$A$2:$B$8, 2, FALSE)&amp;"]")),FALSE)="", "", VLOOKUP($A748,YES_Reading_FLA[],COLUMN(INDIRECT("YES_Reading_FLA[Min Expectation - Per "&amp;VLOOKUP($D$2, 'Reading Report Logic'!$A$2:$B$8, 2, FALSE)&amp;"]")),FALSE))),""))),"")</f>
        <v/>
      </c>
      <c r="F748" s="205" t="str" cm="1">
        <f t="array" aca="1" ref="F748" ca="1">IFERROR(
IF($J$2="ELA",
IF(VLOOKUP($A748, YES_Reading_ELA[], COLUMN(INDIRECT("YES_Reading_ELA[Max Expectation - Per "&amp;VLOOKUP($D$2, 'Reading Report Logic'!$A$2:$B$8, 2, FALSE)&amp;"]")), FALSE)="", "",
VLOOKUP($A748,YES_Reading_ELA[], COLUMN(INDIRECT("YES_Reading_ELA[Max Expectation - Per "&amp;VLOOKUP($D$2,'Reading Report Logic'!$A$2:$B$8,2,FALSE)&amp;"]")), FALSE)),
IF($J$2="FLA",
IF(VLOOKUP($A748, YES_Reading_FLA[], COLUMN(INDIRECT("YES_Reading_FLA[Max Expectation - Per "&amp;VLOOKUP($D$2,'Reading Report Logic'!$A$2:$B$8,2,FALSE)&amp;"]")),FALSE)="","",
VLOOKUP($A748,YES_Reading_FLA[],COLUMN(INDIRECT("YES_Reading_FLA[Max Expectation - Per "&amp;VLOOKUP($D$2,'Reading Report Logic'!$A$2:$B$8,2,FALSE)&amp;"]")),FALSE)),
IF($J$2="Combined",
IFERROR(
IF(VLOOKUP($A748, YES_Reading_ELA[], COLUMN(INDIRECT("YES_Reading_ELA[Max Expectation - Per "&amp;VLOOKUP($D$2, 'Reading Report Logic'!$A$2:$B$8,2,FALSE)&amp;"]")), FALSE)="", "",
VLOOKUP($A748,YES_Reading_ELA[],COLUMN(INDIRECT("YES_Reading_ELA[Max Expectation - Per "&amp;VLOOKUP($D$2,'Reading Report Logic'!$A$2:$B$8,2,FALSE)&amp;"]")),FALSE)),
IF(VLOOKUP($A748, YES_Reading_FLA[], COLUMN(INDIRECT("YES_Reading_FLA[Max Expectation - Per "&amp;VLOOKUP($D$2, 'Reading Report Logic'!$A$2:$B$8, 2, FALSE)&amp;"]")),FALSE)="", "", VLOOKUP($A748,YES_Reading_FLA[],COLUMN(INDIRECT("YES_Reading_FLA[Max Expectation - Per "&amp;VLOOKUP($D$2, 'Reading Report Logic'!$A$2:$B$8, 2, FALSE)&amp;"]")),FALSE))),""))),"")</f>
        <v/>
      </c>
      <c r="G748" s="205" t="str" cm="1">
        <f t="array" aca="1" ref="G748" ca="1">IFERROR(
IF($J$2="ELA",
IF(VLOOKUP($A748, YES_Reading_ELA[], COLUMN(INDIRECT("YES_Reading_ELA[Difference - Per "&amp;VLOOKUP($D$2, 'Reading Report Logic'!$A$2:$B$8, 2, FALSE)&amp;"]")), FALSE)="", "",
VLOOKUP($A748,YES_Reading_ELA[], COLUMN(INDIRECT("YES_Reading_ELA[Difference - Per "&amp;VLOOKUP($D$2,'Reading Report Logic'!$A$2:$B$8,2,FALSE)&amp;"]")), FALSE)),
IF($J$2="FLA",
IF(VLOOKUP($A748, YES_Reading_FLA[], COLUMN(INDIRECT("YES_Reading_FLA[Difference - Per "&amp;VLOOKUP($D$2,'Reading Report Logic'!$A$2:$B$8,2,FALSE)&amp;"]")),FALSE)="","",
VLOOKUP($A748,YES_Reading_FLA[],COLUMN(INDIRECT("YES_Reading_FLA[Difference - Per "&amp;VLOOKUP($D$2,'Reading Report Logic'!$A$2:$B$8,2,FALSE)&amp;"]")),FALSE)),
IF($J$2="Combined",
IFERROR(
IF(VLOOKUP($A748, YES_Reading_ELA[], COLUMN(INDIRECT("YES_Reading_ELA[Difference - Per "&amp;VLOOKUP($D$2, 'Reading Report Logic'!$A$2:$B$8,2,FALSE)&amp;"]")), FALSE)="", "",
VLOOKUP($A748,YES_Reading_ELA[],COLUMN(INDIRECT("YES_Reading_ELA[Difference - Per "&amp;VLOOKUP($D$2,'Reading Report Logic'!$A$2:$B$8,2,FALSE)&amp;"]")),FALSE)),
IF(VLOOKUP($A748, YES_Reading_FLA[], COLUMN(INDIRECT("YES_Reading_FLA[Difference - Per "&amp;VLOOKUP($D$2, 'Reading Report Logic'!$A$2:$B$8, 2, FALSE)&amp;"]")),FALSE)="", "", VLOOKUP($A748,YES_Reading_FLA[],COLUMN(INDIRECT("YES_Reading_FLA[Difference - Per "&amp;VLOOKUP($D$2, 'Reading Report Logic'!$A$2:$B$8, 2, FALSE)&amp;"]")),FALSE))),""))),"")</f>
        <v/>
      </c>
      <c r="H748" s="206" t="str">
        <f ca="1">IFERROR(VLOOKUP('Teacher Reading Pull Sheets'!$D748,_xlfn.VSTACK('ELA Reading Logic'!$A$22:$B$48,'FLA Reading Logic'!$A$22:$B$53),2,FALSE)-VLOOKUP('Teacher Reading Pull Sheets'!$C748,_xlfn.VSTACK('ELA Reading Logic'!$A$22:$B$48,'FLA Reading Logic'!$A$22:$B$53),2,FALSE),"")</f>
        <v/>
      </c>
      <c r="I748" s="212"/>
      <c r="J748" s="206"/>
      <c r="K748" s="197" t="str" cm="1">
        <f t="array" ref="K748">IFERROR(
IF($J$2="ELA",
IF(VLOOKUP($A748, YES_Reading_ELA[], COLUMN(YES_Reading_ELA[Self-Identified as African Descent]), FALSE)="", "",
VLOOKUP($A748,YES_Reading_ELA[], COLUMN(YES_Reading_ELA[Self-Identified as African Descent]), FALSE)),
IF($J$2="FLA",
IF(VLOOKUP($A748, YES_Reading_FLA[], COLUMN(YES_Reading_FLA[Self-Identified as African Descent]),FALSE)="","",
VLOOKUP($A748,YES_Reading_FLA[],COLUMN(YES_Reading_FLA[Self-Identified as African Descent]),FALSE)),
IF($J$2="Combined",
IFERROR(
IF(VLOOKUP($A748, YES_Reading_ELA[], COLUMN(YES_Reading_ELA[Self-Identified as African Descent]), FALSE)="", "",
VLOOKUP($A748,YES_Reading_ELA[],COLUMN(YES_Reading_ELA[Self-Identified as African Descent]),FALSE)),
IF(VLOOKUP($A748, YES_Reading_FLA[], COLUMN(YES_Reading_FLA[Self-Identified as African Descent]),FALSE)="", "", VLOOKUP($A748,YES_Reading_FLA[],COLUMN(YES_Reading_FLA[Self-Identified as African Descent]),FALSE))),""))),"")</f>
        <v/>
      </c>
      <c r="L748" s="73" t="str" cm="1">
        <f t="array" ref="L748">IFERROR(
IF($J$2="ELA",
IF(VLOOKUP($A748, YES_Reading_ELA[], COLUMN(YES_Reading_ELA[Self-Identified as Indigenous]), FALSE)="", "",
VLOOKUP($A748,YES_Reading_ELA[], COLUMN(YES_Reading_ELA[Self-Identified as Indigenous]), FALSE)),
IF($J$2="FLA",
IF(VLOOKUP($A748, YES_Reading_FLA[], COLUMN(YES_Reading_FLA[Self-Identified as Indigenous]),FALSE)="","",
VLOOKUP($A748,YES_Reading_FLA[],COLUMN(YES_Reading_FLA[Self-Identified as Indigenous]),FALSE)),
IF($J$2="Combined",
IFERROR(
IF(VLOOKUP($A748, YES_Reading_ELA[], COLUMN(YES_Reading_ELA[Self-Identified as Indigenous]), FALSE)="", "",
VLOOKUP($A748,YES_Reading_ELA[],COLUMN(YES_Reading_ELA[Self-Identified as Indigenous]),FALSE)),
IF(VLOOKUP($A748, YES_Reading_FLA[], COLUMN(YES_Reading_FLA[Self-Identified as Indigenous]),FALSE)="", "", VLOOKUP($A748,YES_Reading_FLA[],COLUMN(YES_Reading_FLA[Self-Identified as Indigenous]),FALSE))),""))),"")</f>
        <v/>
      </c>
    </row>
    <row r="749" spans="1:12" ht="19.5" customHeight="1" thickBot="1" x14ac:dyDescent="0.3">
      <c r="A749" s="218"/>
      <c r="B749" s="221" t="str">
        <f>IFERROR(VLOOKUP(A749,_xlfn.VSTACK(YES_Reading_ELA[],YES_Reading_FLA[]),2,FALSE),"")</f>
        <v/>
      </c>
      <c r="C749" s="208" t="str" cm="1">
        <f t="array" aca="1" ref="C749" ca="1">IFERROR(
IF($J$2="ELA",
IF(VLOOKUP($A749, YES_Reading_ELA[], COLUMN(IF(VLOOKUP($D$2, 'Reading Report Logic'!$A$2:$B$8, 2, FALSE)=1, YES_Reading_ELA[Reading Level June of Previous School Year], INDIRECT("YES_Reading_ELA[Instructional Reading Level - Per "&amp;(VLOOKUP($D$2,'Reading Report Logic'!$A$2:$B$8,2,FALSE)-1)&amp;"]"))), FALSE)="", "",
VLOOKUP($A749,YES_Reading_ELA[], COLUMN(IF(VLOOKUP($D$2,'Reading Report Logic'!$A$2:$B$8,2,FALSE)=1, YES_Reading_ELA[Reading Level June of Previous School Year],INDIRECT("YES_Reading_ELA[Instructional Reading Level - Per "&amp;(VLOOKUP($D$2,'Reading Report Logic'!$A$2:$B$8,2,FALSE)-1)&amp;"]"))), FALSE)),
IF($J$2="FLA",
IF(VLOOKUP($A749, YES_Reading_FLA[], COLUMN(IF(VLOOKUP($D$2,'Reading Report Logic'!$A$2:$B$8,2,FALSE)=1, YES_Reading_FLA[Reading Level June of Previous School Year],INDIRECT("YES_Reading_FLA[Instructional Reading Level - Per "&amp;(VLOOKUP($D$2,'Reading Report Logic'!$A$2:$B$8,2,FALSE)-1)&amp;"]"))),FALSE)="","",
VLOOKUP($A749,YES_Reading_FLA[], COLUMN(IF(VLOOKUP($D$2,'Reading Report Logic'!$A$2:$B$8,2,FALSE)=1, YES_Reading_FLA[Reading Level June of Previous School Year],INDIRECT("YES_Reading_FLA[Instructional Reading Level - Per "&amp;(VLOOKUP($D$2,'Reading Report Logic'!$A$2:$B$8,2,FALSE)-1)&amp;"]"))),FALSE)),
IF($J$2="Combined",
IFERROR(
IF(VLOOKUP($A749, YES_Reading_ELA[], COLUMN(IF(VLOOKUP($D$2,'Reading Report Logic'!$A$2:$B$8,2,FALSE)=1, YES_Reading_ELA[Reading Level June of Previous School Year],INDIRECT("YES_Reading_ELA[Instructional Reading Level - Per "&amp;(VLOOKUP($D$2,'Reading Report Logic'!$A$2:$B$8,2,FALSE)-1)&amp;"]"))), FALSE)="", "",
VLOOKUP($A749,YES_Reading_ELA[],COLUMN(IF(VLOOKUP($D$2,'Reading Report Logic'!$A$2:$B$8,2,FALSE)=1, YES_Reading_ELA[Reading Level June of Previous School Year],INDIRECT("YES_Reading_ELA[Instructional Reading Level - Per "&amp;(VLOOKUP($D$2,'Reading Report Logic'!$A$2:$B$8,2,FALSE)-1)&amp;"]"))),FALSE)),
IF(VLOOKUP($A749, YES_Reading_FLA[], COLUMN(IF(VLOOKUP($D$2,'Reading Report Logic'!$A$2:$B$8,2,FALSE)=1, YES_Reading_FLA[Reading Level June of Previous School Year],INDIRECT("YES_Reading_FLA[Instructional Reading Level - Per "&amp;(VLOOKUP($D$2,'Reading Report Logic'!$A$2:$B$8,2,FALSE)-1)&amp;"]"))),FALSE)="", "", VLOOKUP($A749,YES_Reading_FLA[],COLUMN(IF(VLOOKUP($D$2,'Reading Report Logic'!$A$2:$B$8,2,FALSE)=1, YES_Reading_FLA[Reading Level June of Previous School Year],INDIRECT("YES_Reading_FLA[Instructional Reading Level - Per "&amp;(VLOOKUP($D$2,'Reading Report Logic'!$A$2:$B$8,2,FALSE)-1)&amp;"]"))), FALSE))),""))),"")</f>
        <v/>
      </c>
      <c r="D749" s="209" t="str" cm="1">
        <f t="array" aca="1" ref="D749" ca="1">IFERROR(
IF($J$2="ELA",
IF(VLOOKUP($A749, YES_Reading_ELA[], COLUMN(INDIRECT("YES_Reading_ELA[Instructional Reading Level - Per "&amp;VLOOKUP($D$2, 'Reading Report Logic'!$A$2:$B$8, 2, FALSE)&amp;"]")), FALSE)="", "",
VLOOKUP($A749,YES_Reading_ELA[], COLUMN(INDIRECT("YES_Reading_ELA[Instructional Reading Level - Per "&amp;VLOOKUP($D$2,'Reading Report Logic'!$A$2:$B$8,2,FALSE)&amp;"]")), FALSE)),
IF($J$2="FLA",
IF(VLOOKUP($A749, YES_Reading_FLA[], COLUMN(INDIRECT("YES_Reading_FLA[Instructional Reading Level - Per "&amp;VLOOKUP($D$2,'Reading Report Logic'!$A$2:$B$8,2,FALSE)&amp;"]")),FALSE)="","",
VLOOKUP($A749,YES_Reading_FLA[],COLUMN(INDIRECT("YES_Reading_FLA[Instructional Reading Level - Per "&amp;VLOOKUP($D$2,'Reading Report Logic'!$A$2:$B$8,2,FALSE)&amp;"]")),FALSE)),
IF($J$2="Combined",
IFERROR(
IF(VLOOKUP($A749, YES_Reading_ELA[], COLUMN(INDIRECT("YES_Reading_ELA[Instructional Reading Level - Per "&amp;VLOOKUP($D$2, 'Reading Report Logic'!$A$2:$B$8,2,FALSE)&amp;"]")), FALSE)="", "",
VLOOKUP($A749,YES_Reading_ELA[],COLUMN(INDIRECT("YES_Reading_ELA[Instructional Reading Level - Per "&amp;VLOOKUP($D$2,'Reading Report Logic'!$A$2:$B$8,2,FALSE)&amp;"]")),FALSE)),
IF(VLOOKUP($A749, YES_Reading_FLA[], COLUMN(INDIRECT("YES_Reading_FLA[Instructional Reading Level - Per "&amp;VLOOKUP($D$2, 'Reading Report Logic'!$A$2:$B$8, 2, FALSE)&amp;"]")),FALSE)="", "", VLOOKUP($A749,YES_Reading_FLA[],COLUMN(INDIRECT("YES_Reading_FLA[Instructional Reading Level - Per "&amp;VLOOKUP($D$2, 'Reading Report Logic'!$A$2:$B$8, 2, FALSE)&amp;"]")),FALSE))),""))),"")</f>
        <v/>
      </c>
      <c r="E749" s="210" t="str" cm="1">
        <f t="array" aca="1" ref="E749" ca="1">IFERROR(
IF($J$2="ELA",
IF(VLOOKUP($A749, YES_Reading_ELA[], COLUMN(INDIRECT("YES_Reading_ELA[Min Expectation - Per "&amp;VLOOKUP($D$2, 'Reading Report Logic'!$A$2:$B$8, 2, FALSE)&amp;"]")), FALSE)="", "",
VLOOKUP($A749,YES_Reading_ELA[], COLUMN(INDIRECT("YES_Reading_ELA[Min Expectation - Per "&amp;VLOOKUP($D$2,'Reading Report Logic'!$A$2:$B$8,2,FALSE)&amp;"]")), FALSE)),
IF($J$2="FLA",
IF(VLOOKUP($A749, YES_Reading_FLA[], COLUMN(INDIRECT("YES_Reading_FLA[Min Expectation - Per "&amp;VLOOKUP($D$2,'Reading Report Logic'!$A$2:$B$8,2,FALSE)&amp;"]")),FALSE)="","",
VLOOKUP($A749,YES_Reading_FLA[],COLUMN(INDIRECT("YES_Reading_FLA[Min Expectation - Per "&amp;VLOOKUP($D$2,'Reading Report Logic'!$A$2:$B$8,2,FALSE)&amp;"]")),FALSE)),
IF($J$2="Combined",
IFERROR(
IF(VLOOKUP($A749, YES_Reading_ELA[], COLUMN(INDIRECT("YES_Reading_ELA[Min Expectation - Per "&amp;VLOOKUP($D$2, 'Reading Report Logic'!$A$2:$B$8,2,FALSE)&amp;"]")), FALSE)="", "",
VLOOKUP($A749,YES_Reading_ELA[],COLUMN(INDIRECT("YES_Reading_ELA[Min Expectation - Per "&amp;VLOOKUP($D$2,'Reading Report Logic'!$A$2:$B$8,2,FALSE)&amp;"]")),FALSE)),
IF(VLOOKUP($A749, YES_Reading_FLA[], COLUMN(INDIRECT("YES_Reading_FLA[Min Expectation - Per "&amp;VLOOKUP($D$2, 'Reading Report Logic'!$A$2:$B$8, 2, FALSE)&amp;"]")),FALSE)="", "", VLOOKUP($A749,YES_Reading_FLA[],COLUMN(INDIRECT("YES_Reading_FLA[Min Expectation - Per "&amp;VLOOKUP($D$2, 'Reading Report Logic'!$A$2:$B$8, 2, FALSE)&amp;"]")),FALSE))),""))),"")</f>
        <v/>
      </c>
      <c r="F749" s="210" t="str" cm="1">
        <f t="array" aca="1" ref="F749" ca="1">IFERROR(
IF($J$2="ELA",
IF(VLOOKUP($A749, YES_Reading_ELA[], COLUMN(INDIRECT("YES_Reading_ELA[Max Expectation - Per "&amp;VLOOKUP($D$2, 'Reading Report Logic'!$A$2:$B$8, 2, FALSE)&amp;"]")), FALSE)="", "",
VLOOKUP($A749,YES_Reading_ELA[], COLUMN(INDIRECT("YES_Reading_ELA[Max Expectation - Per "&amp;VLOOKUP($D$2,'Reading Report Logic'!$A$2:$B$8,2,FALSE)&amp;"]")), FALSE)),
IF($J$2="FLA",
IF(VLOOKUP($A749, YES_Reading_FLA[], COLUMN(INDIRECT("YES_Reading_FLA[Max Expectation - Per "&amp;VLOOKUP($D$2,'Reading Report Logic'!$A$2:$B$8,2,FALSE)&amp;"]")),FALSE)="","",
VLOOKUP($A749,YES_Reading_FLA[],COLUMN(INDIRECT("YES_Reading_FLA[Max Expectation - Per "&amp;VLOOKUP($D$2,'Reading Report Logic'!$A$2:$B$8,2,FALSE)&amp;"]")),FALSE)),
IF($J$2="Combined",
IFERROR(
IF(VLOOKUP($A749, YES_Reading_ELA[], COLUMN(INDIRECT("YES_Reading_ELA[Max Expectation - Per "&amp;VLOOKUP($D$2, 'Reading Report Logic'!$A$2:$B$8,2,FALSE)&amp;"]")), FALSE)="", "",
VLOOKUP($A749,YES_Reading_ELA[],COLUMN(INDIRECT("YES_Reading_ELA[Max Expectation - Per "&amp;VLOOKUP($D$2,'Reading Report Logic'!$A$2:$B$8,2,FALSE)&amp;"]")),FALSE)),
IF(VLOOKUP($A749, YES_Reading_FLA[], COLUMN(INDIRECT("YES_Reading_FLA[Max Expectation - Per "&amp;VLOOKUP($D$2, 'Reading Report Logic'!$A$2:$B$8, 2, FALSE)&amp;"]")),FALSE)="", "", VLOOKUP($A749,YES_Reading_FLA[],COLUMN(INDIRECT("YES_Reading_FLA[Max Expectation - Per "&amp;VLOOKUP($D$2, 'Reading Report Logic'!$A$2:$B$8, 2, FALSE)&amp;"]")),FALSE))),""))),"")</f>
        <v/>
      </c>
      <c r="G749" s="210" t="str" cm="1">
        <f t="array" aca="1" ref="G749" ca="1">IFERROR(
IF($J$2="ELA",
IF(VLOOKUP($A749, YES_Reading_ELA[], COLUMN(INDIRECT("YES_Reading_ELA[Difference - Per "&amp;VLOOKUP($D$2, 'Reading Report Logic'!$A$2:$B$8, 2, FALSE)&amp;"]")), FALSE)="", "",
VLOOKUP($A749,YES_Reading_ELA[], COLUMN(INDIRECT("YES_Reading_ELA[Difference - Per "&amp;VLOOKUP($D$2,'Reading Report Logic'!$A$2:$B$8,2,FALSE)&amp;"]")), FALSE)),
IF($J$2="FLA",
IF(VLOOKUP($A749, YES_Reading_FLA[], COLUMN(INDIRECT("YES_Reading_FLA[Difference - Per "&amp;VLOOKUP($D$2,'Reading Report Logic'!$A$2:$B$8,2,FALSE)&amp;"]")),FALSE)="","",
VLOOKUP($A749,YES_Reading_FLA[],COLUMN(INDIRECT("YES_Reading_FLA[Difference - Per "&amp;VLOOKUP($D$2,'Reading Report Logic'!$A$2:$B$8,2,FALSE)&amp;"]")),FALSE)),
IF($J$2="Combined",
IFERROR(
IF(VLOOKUP($A749, YES_Reading_ELA[], COLUMN(INDIRECT("YES_Reading_ELA[Difference - Per "&amp;VLOOKUP($D$2, 'Reading Report Logic'!$A$2:$B$8,2,FALSE)&amp;"]")), FALSE)="", "",
VLOOKUP($A749,YES_Reading_ELA[],COLUMN(INDIRECT("YES_Reading_ELA[Difference - Per "&amp;VLOOKUP($D$2,'Reading Report Logic'!$A$2:$B$8,2,FALSE)&amp;"]")),FALSE)),
IF(VLOOKUP($A749, YES_Reading_FLA[], COLUMN(INDIRECT("YES_Reading_FLA[Difference - Per "&amp;VLOOKUP($D$2, 'Reading Report Logic'!$A$2:$B$8, 2, FALSE)&amp;"]")),FALSE)="", "", VLOOKUP($A749,YES_Reading_FLA[],COLUMN(INDIRECT("YES_Reading_FLA[Difference - Per "&amp;VLOOKUP($D$2, 'Reading Report Logic'!$A$2:$B$8, 2, FALSE)&amp;"]")),FALSE))),""))),"")</f>
        <v/>
      </c>
      <c r="H749" s="211" t="str">
        <f ca="1">IFERROR(VLOOKUP('Teacher Reading Pull Sheets'!$D749,_xlfn.VSTACK('ELA Reading Logic'!$A$22:$B$48,'FLA Reading Logic'!$A$22:$B$53),2,FALSE)-VLOOKUP('Teacher Reading Pull Sheets'!$C749,_xlfn.VSTACK('ELA Reading Logic'!$A$22:$B$48,'FLA Reading Logic'!$A$22:$B$53),2,FALSE),"")</f>
        <v/>
      </c>
      <c r="I749" s="213"/>
      <c r="J749" s="211"/>
      <c r="K749" s="198" t="str" cm="1">
        <f t="array" ref="K749">IFERROR(
IF($J$2="ELA",
IF(VLOOKUP($A749, YES_Reading_ELA[], COLUMN(YES_Reading_ELA[Self-Identified as African Descent]), FALSE)="", "",
VLOOKUP($A749,YES_Reading_ELA[], COLUMN(YES_Reading_ELA[Self-Identified as African Descent]), FALSE)),
IF($J$2="FLA",
IF(VLOOKUP($A749, YES_Reading_FLA[], COLUMN(YES_Reading_FLA[Self-Identified as African Descent]),FALSE)="","",
VLOOKUP($A749,YES_Reading_FLA[],COLUMN(YES_Reading_FLA[Self-Identified as African Descent]),FALSE)),
IF($J$2="Combined",
IFERROR(
IF(VLOOKUP($A749, YES_Reading_ELA[], COLUMN(YES_Reading_ELA[Self-Identified as African Descent]), FALSE)="", "",
VLOOKUP($A749,YES_Reading_ELA[],COLUMN(YES_Reading_ELA[Self-Identified as African Descent]),FALSE)),
IF(VLOOKUP($A749, YES_Reading_FLA[], COLUMN(YES_Reading_FLA[Self-Identified as African Descent]),FALSE)="", "", VLOOKUP($A749,YES_Reading_FLA[],COLUMN(YES_Reading_FLA[Self-Identified as African Descent]),FALSE))),""))),"")</f>
        <v/>
      </c>
      <c r="L749" s="74" t="str" cm="1">
        <f t="array" ref="L749">IFERROR(
IF($J$2="ELA",
IF(VLOOKUP($A749, YES_Reading_ELA[], COLUMN(YES_Reading_ELA[Self-Identified as Indigenous]), FALSE)="", "",
VLOOKUP($A749,YES_Reading_ELA[], COLUMN(YES_Reading_ELA[Self-Identified as Indigenous]), FALSE)),
IF($J$2="FLA",
IF(VLOOKUP($A749, YES_Reading_FLA[], COLUMN(YES_Reading_FLA[Self-Identified as Indigenous]),FALSE)="","",
VLOOKUP($A749,YES_Reading_FLA[],COLUMN(YES_Reading_FLA[Self-Identified as Indigenous]),FALSE)),
IF($J$2="Combined",
IFERROR(
IF(VLOOKUP($A749, YES_Reading_ELA[], COLUMN(YES_Reading_ELA[Self-Identified as Indigenous]), FALSE)="", "",
VLOOKUP($A749,YES_Reading_ELA[],COLUMN(YES_Reading_ELA[Self-Identified as Indigenous]),FALSE)),
IF(VLOOKUP($A749, YES_Reading_FLA[], COLUMN(YES_Reading_FLA[Self-Identified as Indigenous]),FALSE)="", "", VLOOKUP($A749,YES_Reading_FLA[],COLUMN(YES_Reading_FLA[Self-Identified as Indigenous]),FALSE))),""))),"")</f>
        <v/>
      </c>
    </row>
    <row r="750" spans="1:12" x14ac:dyDescent="0.25">
      <c r="A750" s="214"/>
      <c r="B750" s="214" t="s">
        <v>241</v>
      </c>
      <c r="C750" s="214"/>
      <c r="D750" s="215" t="str" cm="1">
        <f t="array" ref="D750">IFERROR(
INDEX(
_xlfn.UNIQUE(
_xlfn._xlws.SORT(
_xlfn._xlws.FILTER(
IF($J$2="Combined",_xlfn.VSTACK(YES_Reading_ELA[HomeRoom],YES_Reading_FLA[Homeroom]),IF($J$2="ELA",_xlfn.VSTACK(YES_Reading_ELA[HomeRoom]),IF($J$2="FLA",YES_Reading_FLA[Homeroom],"Check Data Set"))),
IF($D$1="TCRCE",IF($J$2="Combined",_xlfn.VSTACK(YES_Reading_ELA[HomeRoom],YES_Reading_FLA[Homeroom]),IF($J$2="ELA",_xlfn.VSTACK(YES_Reading_ELA[HomeRoom]),IF($J$2="FLA",YES_Reading_FLA[Homeroom],"Check Data Set")))&lt;&gt;"",
IF($J$2="Combined",_xlfn.VSTACK(YES_Reading_ELA[School],YES_Reading_FLA[School]),IF($J$2="ELA",_xlfn.VSTACK(YES_Reading_ELA[School]),IF($J$2="FLA",YES_Reading_FLA[School],"Check Data Set")))=$D$1)),1,1,FALSE),FALSE,FALSE),25),"")</f>
        <v/>
      </c>
      <c r="E750" s="215"/>
      <c r="F750" s="215"/>
      <c r="G750" s="215"/>
      <c r="H750" s="355" t="s">
        <v>242</v>
      </c>
      <c r="I750" s="356"/>
      <c r="J750" s="215"/>
    </row>
    <row r="751" spans="1:12" x14ac:dyDescent="0.25">
      <c r="A751" s="214"/>
      <c r="B751" s="214" t="str">
        <f>"Date: "&amp;$D$3</f>
        <v xml:space="preserve">Date: </v>
      </c>
      <c r="C751" s="214"/>
      <c r="D751" s="215"/>
      <c r="E751" s="215"/>
      <c r="F751" s="215"/>
      <c r="G751" s="215"/>
      <c r="H751" s="357" t="s">
        <v>243</v>
      </c>
      <c r="I751" s="358"/>
      <c r="J751" s="215"/>
    </row>
    <row r="752" spans="1:12" ht="15.75" thickBot="1" x14ac:dyDescent="0.3">
      <c r="A752" s="215"/>
      <c r="B752" s="215"/>
      <c r="C752" s="215"/>
      <c r="D752" s="215"/>
      <c r="E752" s="215"/>
      <c r="F752" s="215"/>
      <c r="G752" s="215"/>
      <c r="H752" s="353" t="s">
        <v>244</v>
      </c>
      <c r="I752" s="354"/>
      <c r="J752" s="215"/>
    </row>
    <row r="753" spans="1:12" ht="85.5" customHeight="1" thickBot="1" x14ac:dyDescent="0.3">
      <c r="A753" s="192" t="s">
        <v>44</v>
      </c>
      <c r="B753" s="187" t="s">
        <v>245</v>
      </c>
      <c r="C753" s="188" t="s">
        <v>246</v>
      </c>
      <c r="D753" s="188" t="s">
        <v>247</v>
      </c>
      <c r="E753" s="188" t="s">
        <v>248</v>
      </c>
      <c r="F753" s="188" t="s">
        <v>249</v>
      </c>
      <c r="G753" s="188" t="s">
        <v>250</v>
      </c>
      <c r="H753" s="189" t="s">
        <v>251</v>
      </c>
      <c r="I753" s="202" t="s">
        <v>252</v>
      </c>
      <c r="J753" s="191" t="s">
        <v>253</v>
      </c>
      <c r="K753" s="200" t="s">
        <v>256</v>
      </c>
      <c r="L753" s="201" t="s">
        <v>257</v>
      </c>
    </row>
    <row r="754" spans="1:12" ht="19.5" customHeight="1" x14ac:dyDescent="0.25">
      <c r="A754" s="216" cm="1">
        <f t="array" ref="A754:A1011">_xlfn._xlws.FILTER(_xlfn.VSTACK(YES_Reading_ELA[Student Number],YES_Reading_FLA[Student Number]),_xlfn.VSTACK(YES_Reading_ELA[HomeRoom],YES_Reading_FLA[Homeroom])=D750)</f>
        <v>0</v>
      </c>
      <c r="B754" s="219" t="str">
        <f>IFERROR(VLOOKUP(A754,_xlfn.VSTACK(YES_Reading_ELA[],YES_Reading_FLA[]),2,FALSE),"")</f>
        <v/>
      </c>
      <c r="C754" s="203" t="str" cm="1">
        <f t="array" aca="1" ref="C754" ca="1">IFERROR(
IF($J$2="ELA",
IF(VLOOKUP($A754, YES_Reading_ELA[], COLUMN(IF(VLOOKUP($D$2, 'Reading Report Logic'!$A$2:$B$8, 2, FALSE)=1, YES_Reading_ELA[Reading Level June of Previous School Year], INDIRECT("YES_Reading_ELA[Instructional Reading Level - Per "&amp;(VLOOKUP($D$2,'Reading Report Logic'!$A$2:$B$8,2,FALSE)-1)&amp;"]"))), FALSE)="", "",
VLOOKUP($A754,YES_Reading_ELA[], COLUMN(IF(VLOOKUP($D$2,'Reading Report Logic'!$A$2:$B$8,2,FALSE)=1, YES_Reading_ELA[Reading Level June of Previous School Year],INDIRECT("YES_Reading_ELA[Instructional Reading Level - Per "&amp;(VLOOKUP($D$2,'Reading Report Logic'!$A$2:$B$8,2,FALSE)-1)&amp;"]"))), FALSE)),
IF($J$2="FLA",
IF(VLOOKUP($A754, YES_Reading_FLA[], COLUMN(IF(VLOOKUP($D$2,'Reading Report Logic'!$A$2:$B$8,2,FALSE)=1, YES_Reading_FLA[Reading Level June of Previous School Year],INDIRECT("YES_Reading_FLA[Instructional Reading Level - Per "&amp;(VLOOKUP($D$2,'Reading Report Logic'!$A$2:$B$8,2,FALSE)-1)&amp;"]"))),FALSE)="","",
VLOOKUP($A754,YES_Reading_FLA[], COLUMN(IF(VLOOKUP($D$2,'Reading Report Logic'!$A$2:$B$8,2,FALSE)=1, YES_Reading_FLA[Reading Level June of Previous School Year],INDIRECT("YES_Reading_FLA[Instructional Reading Level - Per "&amp;(VLOOKUP($D$2,'Reading Report Logic'!$A$2:$B$8,2,FALSE)-1)&amp;"]"))),FALSE)),
IF($J$2="Combined",
IFERROR(
IF(VLOOKUP($A754, YES_Reading_ELA[], COLUMN(IF(VLOOKUP($D$2,'Reading Report Logic'!$A$2:$B$8,2,FALSE)=1, YES_Reading_ELA[Reading Level June of Previous School Year],INDIRECT("YES_Reading_ELA[Instructional Reading Level - Per "&amp;(VLOOKUP($D$2,'Reading Report Logic'!$A$2:$B$8,2,FALSE)-1)&amp;"]"))), FALSE)="", "",
VLOOKUP($A754,YES_Reading_ELA[],COLUMN(IF(VLOOKUP($D$2,'Reading Report Logic'!$A$2:$B$8,2,FALSE)=1, YES_Reading_ELA[Reading Level June of Previous School Year],INDIRECT("YES_Reading_ELA[Instructional Reading Level - Per "&amp;(VLOOKUP($D$2,'Reading Report Logic'!$A$2:$B$8,2,FALSE)-1)&amp;"]"))),FALSE)),
IF(VLOOKUP($A754, YES_Reading_FLA[], COLUMN(IF(VLOOKUP($D$2,'Reading Report Logic'!$A$2:$B$8,2,FALSE)=1, YES_Reading_FLA[Reading Level June of Previous School Year],INDIRECT("YES_Reading_FLA[Instructional Reading Level - Per "&amp;(VLOOKUP($D$2,'Reading Report Logic'!$A$2:$B$8,2,FALSE)-1)&amp;"]"))),FALSE)="", "", VLOOKUP($A754,YES_Reading_FLA[],COLUMN(IF(VLOOKUP($D$2,'Reading Report Logic'!$A$2:$B$8,2,FALSE)=1, YES_Reading_FLA[Reading Level June of Previous School Year],INDIRECT("YES_Reading_FLA[Instructional Reading Level - Per "&amp;(VLOOKUP($D$2,'Reading Report Logic'!$A$2:$B$8,2,FALSE)-1)&amp;"]"))), FALSE))),""))),"")</f>
        <v/>
      </c>
      <c r="D754" s="204" t="str" cm="1">
        <f t="array" aca="1" ref="D754" ca="1">IFERROR(
IF($J$2="ELA",
IF(VLOOKUP($A754, YES_Reading_ELA[], COLUMN(INDIRECT("YES_Reading_ELA[Instructional Reading Level - Per "&amp;VLOOKUP($D$2, 'Reading Report Logic'!$A$2:$B$8, 2, FALSE)&amp;"]")), FALSE)="", "",
VLOOKUP($A754,YES_Reading_ELA[], COLUMN(INDIRECT("YES_Reading_ELA[Instructional Reading Level - Per "&amp;VLOOKUP($D$2,'Reading Report Logic'!$A$2:$B$8,2,FALSE)&amp;"]")), FALSE)),
IF($J$2="FLA",
IF(VLOOKUP($A754, YES_Reading_FLA[], COLUMN(INDIRECT("YES_Reading_FLA[Instructional Reading Level - Per "&amp;VLOOKUP($D$2,'Reading Report Logic'!$A$2:$B$8,2,FALSE)&amp;"]")),FALSE)="","",
VLOOKUP($A754,YES_Reading_FLA[],COLUMN(INDIRECT("YES_Reading_FLA[Instructional Reading Level - Per "&amp;VLOOKUP($D$2,'Reading Report Logic'!$A$2:$B$8,2,FALSE)&amp;"]")),FALSE)),
IF($J$2="Combined",
IFERROR(
IF(VLOOKUP($A754, YES_Reading_ELA[], COLUMN(INDIRECT("YES_Reading_ELA[Instructional Reading Level - Per "&amp;VLOOKUP($D$2, 'Reading Report Logic'!$A$2:$B$8,2,FALSE)&amp;"]")), FALSE)="", "",
VLOOKUP($A754,YES_Reading_ELA[],COLUMN(INDIRECT("YES_Reading_ELA[Instructional Reading Level - Per "&amp;VLOOKUP($D$2,'Reading Report Logic'!$A$2:$B$8,2,FALSE)&amp;"]")),FALSE)),
IF(VLOOKUP($A754, YES_Reading_FLA[], COLUMN(INDIRECT("YES_Reading_FLA[Instructional Reading Level - Per "&amp;VLOOKUP($D$2, 'Reading Report Logic'!$A$2:$B$8, 2, FALSE)&amp;"]")),FALSE)="", "", VLOOKUP($A754,YES_Reading_FLA[],COLUMN(INDIRECT("YES_Reading_FLA[Instructional Reading Level - Per "&amp;VLOOKUP($D$2, 'Reading Report Logic'!$A$2:$B$8, 2, FALSE)&amp;"]")),FALSE))),""))),"")</f>
        <v/>
      </c>
      <c r="E754" s="205" t="str" cm="1">
        <f t="array" aca="1" ref="E754" ca="1">IFERROR(
IF($J$2="ELA",
IF(VLOOKUP($A754, YES_Reading_ELA[], COLUMN(INDIRECT("YES_Reading_ELA[Min Expectation - Per "&amp;VLOOKUP($D$2, 'Reading Report Logic'!$A$2:$B$8, 2, FALSE)&amp;"]")), FALSE)="", "",
VLOOKUP($A754,YES_Reading_ELA[], COLUMN(INDIRECT("YES_Reading_ELA[Min Expectation - Per "&amp;VLOOKUP($D$2,'Reading Report Logic'!$A$2:$B$8,2,FALSE)&amp;"]")), FALSE)),
IF($J$2="FLA",
IF(VLOOKUP($A754, YES_Reading_FLA[], COLUMN(INDIRECT("YES_Reading_FLA[Min Expectation - Per "&amp;VLOOKUP($D$2,'Reading Report Logic'!$A$2:$B$8,2,FALSE)&amp;"]")),FALSE)="","",
VLOOKUP($A754,YES_Reading_FLA[],COLUMN(INDIRECT("YES_Reading_FLA[Min Expectation - Per "&amp;VLOOKUP($D$2,'Reading Report Logic'!$A$2:$B$8,2,FALSE)&amp;"]")),FALSE)),
IF($J$2="Combined",
IFERROR(
IF(VLOOKUP($A754, YES_Reading_ELA[], COLUMN(INDIRECT("YES_Reading_ELA[Min Expectation - Per "&amp;VLOOKUP($D$2, 'Reading Report Logic'!$A$2:$B$8,2,FALSE)&amp;"]")), FALSE)="", "",
VLOOKUP($A754,YES_Reading_ELA[],COLUMN(INDIRECT("YES_Reading_ELA[Min Expectation - Per "&amp;VLOOKUP($D$2,'Reading Report Logic'!$A$2:$B$8,2,FALSE)&amp;"]")),FALSE)),
IF(VLOOKUP($A754, YES_Reading_FLA[], COLUMN(INDIRECT("YES_Reading_FLA[Min Expectation - Per "&amp;VLOOKUP($D$2, 'Reading Report Logic'!$A$2:$B$8, 2, FALSE)&amp;"]")),FALSE)="", "", VLOOKUP($A754,YES_Reading_FLA[],COLUMN(INDIRECT("YES_Reading_FLA[Min Expectation - Per "&amp;VLOOKUP($D$2, 'Reading Report Logic'!$A$2:$B$8, 2, FALSE)&amp;"]")),FALSE))),""))),"")</f>
        <v/>
      </c>
      <c r="F754" s="205" t="str" cm="1">
        <f t="array" aca="1" ref="F754" ca="1">IFERROR(
IF($J$2="ELA",
IF(VLOOKUP($A754, YES_Reading_ELA[], COLUMN(INDIRECT("YES_Reading_ELA[Max Expectation - Per "&amp;VLOOKUP($D$2, 'Reading Report Logic'!$A$2:$B$8, 2, FALSE)&amp;"]")), FALSE)="", "",
VLOOKUP($A754,YES_Reading_ELA[], COLUMN(INDIRECT("YES_Reading_ELA[Max Expectation - Per "&amp;VLOOKUP($D$2,'Reading Report Logic'!$A$2:$B$8,2,FALSE)&amp;"]")), FALSE)),
IF($J$2="FLA",
IF(VLOOKUP($A754, YES_Reading_FLA[], COLUMN(INDIRECT("YES_Reading_FLA[Max Expectation - Per "&amp;VLOOKUP($D$2,'Reading Report Logic'!$A$2:$B$8,2,FALSE)&amp;"]")),FALSE)="","",
VLOOKUP($A754,YES_Reading_FLA[],COLUMN(INDIRECT("YES_Reading_FLA[Max Expectation - Per "&amp;VLOOKUP($D$2,'Reading Report Logic'!$A$2:$B$8,2,FALSE)&amp;"]")),FALSE)),
IF($J$2="Combined",
IFERROR(
IF(VLOOKUP($A754, YES_Reading_ELA[], COLUMN(INDIRECT("YES_Reading_ELA[Max Expectation - Per "&amp;VLOOKUP($D$2, 'Reading Report Logic'!$A$2:$B$8,2,FALSE)&amp;"]")), FALSE)="", "",
VLOOKUP($A754,YES_Reading_ELA[],COLUMN(INDIRECT("YES_Reading_ELA[Max Expectation - Per "&amp;VLOOKUP($D$2,'Reading Report Logic'!$A$2:$B$8,2,FALSE)&amp;"]")),FALSE)),
IF(VLOOKUP($A754, YES_Reading_FLA[], COLUMN(INDIRECT("YES_Reading_FLA[Max Expectation - Per "&amp;VLOOKUP($D$2, 'Reading Report Logic'!$A$2:$B$8, 2, FALSE)&amp;"]")),FALSE)="", "", VLOOKUP($A754,YES_Reading_FLA[],COLUMN(INDIRECT("YES_Reading_FLA[Max Expectation - Per "&amp;VLOOKUP($D$2, 'Reading Report Logic'!$A$2:$B$8, 2, FALSE)&amp;"]")),FALSE))),""))),"")</f>
        <v/>
      </c>
      <c r="G754" s="205" t="str" cm="1">
        <f t="array" aca="1" ref="G754" ca="1">IFERROR(
IF($J$2="ELA",
IF(VLOOKUP($A754, YES_Reading_ELA[], COLUMN(INDIRECT("YES_Reading_ELA[Difference - Per "&amp;VLOOKUP($D$2, 'Reading Report Logic'!$A$2:$B$8, 2, FALSE)&amp;"]")), FALSE)="", "",
VLOOKUP($A754,YES_Reading_ELA[], COLUMN(INDIRECT("YES_Reading_ELA[Difference - Per "&amp;VLOOKUP($D$2,'Reading Report Logic'!$A$2:$B$8,2,FALSE)&amp;"]")), FALSE)),
IF($J$2="FLA",
IF(VLOOKUP($A754, YES_Reading_FLA[], COLUMN(INDIRECT("YES_Reading_FLA[Difference - Per "&amp;VLOOKUP($D$2,'Reading Report Logic'!$A$2:$B$8,2,FALSE)&amp;"]")),FALSE)="","",
VLOOKUP($A754,YES_Reading_FLA[],COLUMN(INDIRECT("YES_Reading_FLA[Difference - Per "&amp;VLOOKUP($D$2,'Reading Report Logic'!$A$2:$B$8,2,FALSE)&amp;"]")),FALSE)),
IF($J$2="Combined",
IFERROR(
IF(VLOOKUP($A754, YES_Reading_ELA[], COLUMN(INDIRECT("YES_Reading_ELA[Difference - Per "&amp;VLOOKUP($D$2, 'Reading Report Logic'!$A$2:$B$8,2,FALSE)&amp;"]")), FALSE)="", "",
VLOOKUP($A754,YES_Reading_ELA[],COLUMN(INDIRECT("YES_Reading_ELA[Difference - Per "&amp;VLOOKUP($D$2,'Reading Report Logic'!$A$2:$B$8,2,FALSE)&amp;"]")),FALSE)),
IF(VLOOKUP($A754, YES_Reading_FLA[], COLUMN(INDIRECT("YES_Reading_FLA[Difference - Per "&amp;VLOOKUP($D$2, 'Reading Report Logic'!$A$2:$B$8, 2, FALSE)&amp;"]")),FALSE)="", "", VLOOKUP($A754,YES_Reading_FLA[],COLUMN(INDIRECT("YES_Reading_FLA[Difference - Per "&amp;VLOOKUP($D$2, 'Reading Report Logic'!$A$2:$B$8, 2, FALSE)&amp;"]")),FALSE))),""))),"")</f>
        <v/>
      </c>
      <c r="H754" s="206" t="str">
        <f ca="1">IFERROR(VLOOKUP('Teacher Reading Pull Sheets'!$D754,_xlfn.VSTACK('ELA Reading Logic'!$A$22:$B$48,'FLA Reading Logic'!$A$22:$B$53),2,FALSE)-VLOOKUP('Teacher Reading Pull Sheets'!$C754,_xlfn.VSTACK('ELA Reading Logic'!$A$22:$B$48,'FLA Reading Logic'!$A$22:$B$53),2,FALSE),"")</f>
        <v/>
      </c>
      <c r="I754" s="205"/>
      <c r="J754" s="206"/>
      <c r="K754" s="24" t="str" cm="1">
        <f t="array" ref="K754">IFERROR(
IF($J$2="ELA",
IF(VLOOKUP($A754, YES_Reading_ELA[], COLUMN(YES_Reading_ELA[Self-Identified as African Descent]), FALSE)="", "",
VLOOKUP($A754,YES_Reading_ELA[], COLUMN(YES_Reading_ELA[Self-Identified as African Descent]), FALSE)),
IF($J$2="FLA",
IF(VLOOKUP($A754, YES_Reading_FLA[], COLUMN(YES_Reading_FLA[Self-Identified as African Descent]),FALSE)="","",
VLOOKUP($A754,YES_Reading_FLA[],COLUMN(YES_Reading_FLA[Self-Identified as African Descent]),FALSE)),
IF($J$2="Combined",
IFERROR(
IF(VLOOKUP($A754, YES_Reading_ELA[], COLUMN(YES_Reading_ELA[Self-Identified as African Descent]), FALSE)="", "",
VLOOKUP($A754,YES_Reading_ELA[],COLUMN(YES_Reading_ELA[Self-Identified as African Descent]),FALSE)),
IF(VLOOKUP($A754, YES_Reading_FLA[], COLUMN(YES_Reading_FLA[Self-Identified as African Descent]),FALSE)="", "", VLOOKUP($A754,YES_Reading_FLA[],COLUMN(YES_Reading_FLA[Self-Identified as African Descent]),FALSE))),""))),"")</f>
        <v/>
      </c>
      <c r="L754" s="199" t="str" cm="1">
        <f t="array" ref="L754">IFERROR(
IF($J$2="ELA",
IF(VLOOKUP($A754, YES_Reading_ELA[], COLUMN(YES_Reading_ELA[Self-Identified as Indigenous]), FALSE)="", "",
VLOOKUP($A754,YES_Reading_ELA[], COLUMN(YES_Reading_ELA[Self-Identified as Indigenous]), FALSE)),
IF($J$2="FLA",
IF(VLOOKUP($A754, YES_Reading_FLA[], COLUMN(YES_Reading_FLA[Self-Identified as Indigenous]),FALSE)="","",
VLOOKUP($A754,YES_Reading_FLA[],COLUMN(YES_Reading_FLA[Self-Identified as Indigenous]),FALSE)),
IF($J$2="Combined",
IFERROR(
IF(VLOOKUP($A754, YES_Reading_ELA[], COLUMN(YES_Reading_ELA[Self-Identified as Indigenous]), FALSE)="", "",
VLOOKUP($A754,YES_Reading_ELA[],COLUMN(YES_Reading_ELA[Self-Identified as Indigenous]),FALSE)),
IF(VLOOKUP($A754, YES_Reading_FLA[], COLUMN(YES_Reading_FLA[Self-Identified as Indigenous]),FALSE)="", "", VLOOKUP($A754,YES_Reading_FLA[],COLUMN(YES_Reading_FLA[Self-Identified as Indigenous]),FALSE))),""))),"")</f>
        <v/>
      </c>
    </row>
    <row r="755" spans="1:12" ht="19.5" customHeight="1" x14ac:dyDescent="0.25">
      <c r="A755" s="217">
        <v>0</v>
      </c>
      <c r="B755" s="220" t="str">
        <f>IFERROR(VLOOKUP(A755,_xlfn.VSTACK(YES_Reading_ELA[],YES_Reading_FLA[]),2,FALSE),"")</f>
        <v/>
      </c>
      <c r="C755" s="203" t="str" cm="1">
        <f t="array" aca="1" ref="C755" ca="1">IFERROR(
IF($J$2="ELA",
IF(VLOOKUP($A755, YES_Reading_ELA[], COLUMN(IF(VLOOKUP($D$2, 'Reading Report Logic'!$A$2:$B$8, 2, FALSE)=1, YES_Reading_ELA[Reading Level June of Previous School Year], INDIRECT("YES_Reading_ELA[Instructional Reading Level - Per "&amp;(VLOOKUP($D$2,'Reading Report Logic'!$A$2:$B$8,2,FALSE)-1)&amp;"]"))), FALSE)="", "",
VLOOKUP($A755,YES_Reading_ELA[], COLUMN(IF(VLOOKUP($D$2,'Reading Report Logic'!$A$2:$B$8,2,FALSE)=1, YES_Reading_ELA[Reading Level June of Previous School Year],INDIRECT("YES_Reading_ELA[Instructional Reading Level - Per "&amp;(VLOOKUP($D$2,'Reading Report Logic'!$A$2:$B$8,2,FALSE)-1)&amp;"]"))), FALSE)),
IF($J$2="FLA",
IF(VLOOKUP($A755, YES_Reading_FLA[], COLUMN(IF(VLOOKUP($D$2,'Reading Report Logic'!$A$2:$B$8,2,FALSE)=1, YES_Reading_FLA[Reading Level June of Previous School Year],INDIRECT("YES_Reading_FLA[Instructional Reading Level - Per "&amp;(VLOOKUP($D$2,'Reading Report Logic'!$A$2:$B$8,2,FALSE)-1)&amp;"]"))),FALSE)="","",
VLOOKUP($A755,YES_Reading_FLA[], COLUMN(IF(VLOOKUP($D$2,'Reading Report Logic'!$A$2:$B$8,2,FALSE)=1, YES_Reading_FLA[Reading Level June of Previous School Year],INDIRECT("YES_Reading_FLA[Instructional Reading Level - Per "&amp;(VLOOKUP($D$2,'Reading Report Logic'!$A$2:$B$8,2,FALSE)-1)&amp;"]"))),FALSE)),
IF($J$2="Combined",
IFERROR(
IF(VLOOKUP($A755, YES_Reading_ELA[], COLUMN(IF(VLOOKUP($D$2,'Reading Report Logic'!$A$2:$B$8,2,FALSE)=1, YES_Reading_ELA[Reading Level June of Previous School Year],INDIRECT("YES_Reading_ELA[Instructional Reading Level - Per "&amp;(VLOOKUP($D$2,'Reading Report Logic'!$A$2:$B$8,2,FALSE)-1)&amp;"]"))), FALSE)="", "",
VLOOKUP($A755,YES_Reading_ELA[],COLUMN(IF(VLOOKUP($D$2,'Reading Report Logic'!$A$2:$B$8,2,FALSE)=1, YES_Reading_ELA[Reading Level June of Previous School Year],INDIRECT("YES_Reading_ELA[Instructional Reading Level - Per "&amp;(VLOOKUP($D$2,'Reading Report Logic'!$A$2:$B$8,2,FALSE)-1)&amp;"]"))),FALSE)),
IF(VLOOKUP($A755, YES_Reading_FLA[], COLUMN(IF(VLOOKUP($D$2,'Reading Report Logic'!$A$2:$B$8,2,FALSE)=1, YES_Reading_FLA[Reading Level June of Previous School Year],INDIRECT("YES_Reading_FLA[Instructional Reading Level - Per "&amp;(VLOOKUP($D$2,'Reading Report Logic'!$A$2:$B$8,2,FALSE)-1)&amp;"]"))),FALSE)="", "", VLOOKUP($A755,YES_Reading_FLA[],COLUMN(IF(VLOOKUP($D$2,'Reading Report Logic'!$A$2:$B$8,2,FALSE)=1, YES_Reading_FLA[Reading Level June of Previous School Year],INDIRECT("YES_Reading_FLA[Instructional Reading Level - Per "&amp;(VLOOKUP($D$2,'Reading Report Logic'!$A$2:$B$8,2,FALSE)-1)&amp;"]"))), FALSE))),""))),"")</f>
        <v/>
      </c>
      <c r="D755" s="204" t="str" cm="1">
        <f t="array" aca="1" ref="D755" ca="1">IFERROR(
IF($J$2="ELA",
IF(VLOOKUP($A755, YES_Reading_ELA[], COLUMN(INDIRECT("YES_Reading_ELA[Instructional Reading Level - Per "&amp;VLOOKUP($D$2, 'Reading Report Logic'!$A$2:$B$8, 2, FALSE)&amp;"]")), FALSE)="", "",
VLOOKUP($A755,YES_Reading_ELA[], COLUMN(INDIRECT("YES_Reading_ELA[Instructional Reading Level - Per "&amp;VLOOKUP($D$2,'Reading Report Logic'!$A$2:$B$8,2,FALSE)&amp;"]")), FALSE)),
IF($J$2="FLA",
IF(VLOOKUP($A755, YES_Reading_FLA[], COLUMN(INDIRECT("YES_Reading_FLA[Instructional Reading Level - Per "&amp;VLOOKUP($D$2,'Reading Report Logic'!$A$2:$B$8,2,FALSE)&amp;"]")),FALSE)="","",
VLOOKUP($A755,YES_Reading_FLA[],COLUMN(INDIRECT("YES_Reading_FLA[Instructional Reading Level - Per "&amp;VLOOKUP($D$2,'Reading Report Logic'!$A$2:$B$8,2,FALSE)&amp;"]")),FALSE)),
IF($J$2="Combined",
IFERROR(
IF(VLOOKUP($A755, YES_Reading_ELA[], COLUMN(INDIRECT("YES_Reading_ELA[Instructional Reading Level - Per "&amp;VLOOKUP($D$2, 'Reading Report Logic'!$A$2:$B$8,2,FALSE)&amp;"]")), FALSE)="", "",
VLOOKUP($A755,YES_Reading_ELA[],COLUMN(INDIRECT("YES_Reading_ELA[Instructional Reading Level - Per "&amp;VLOOKUP($D$2,'Reading Report Logic'!$A$2:$B$8,2,FALSE)&amp;"]")),FALSE)),
IF(VLOOKUP($A755, YES_Reading_FLA[], COLUMN(INDIRECT("YES_Reading_FLA[Instructional Reading Level - Per "&amp;VLOOKUP($D$2, 'Reading Report Logic'!$A$2:$B$8, 2, FALSE)&amp;"]")),FALSE)="", "", VLOOKUP($A755,YES_Reading_FLA[],COLUMN(INDIRECT("YES_Reading_FLA[Instructional Reading Level - Per "&amp;VLOOKUP($D$2, 'Reading Report Logic'!$A$2:$B$8, 2, FALSE)&amp;"]")),FALSE))),""))),"")</f>
        <v/>
      </c>
      <c r="E755" s="205" t="str" cm="1">
        <f t="array" aca="1" ref="E755" ca="1">IFERROR(
IF($J$2="ELA",
IF(VLOOKUP($A755, YES_Reading_ELA[], COLUMN(INDIRECT("YES_Reading_ELA[Min Expectation - Per "&amp;VLOOKUP($D$2, 'Reading Report Logic'!$A$2:$B$8, 2, FALSE)&amp;"]")), FALSE)="", "",
VLOOKUP($A755,YES_Reading_ELA[], COLUMN(INDIRECT("YES_Reading_ELA[Min Expectation - Per "&amp;VLOOKUP($D$2,'Reading Report Logic'!$A$2:$B$8,2,FALSE)&amp;"]")), FALSE)),
IF($J$2="FLA",
IF(VLOOKUP($A755, YES_Reading_FLA[], COLUMN(INDIRECT("YES_Reading_FLA[Min Expectation - Per "&amp;VLOOKUP($D$2,'Reading Report Logic'!$A$2:$B$8,2,FALSE)&amp;"]")),FALSE)="","",
VLOOKUP($A755,YES_Reading_FLA[],COLUMN(INDIRECT("YES_Reading_FLA[Min Expectation - Per "&amp;VLOOKUP($D$2,'Reading Report Logic'!$A$2:$B$8,2,FALSE)&amp;"]")),FALSE)),
IF($J$2="Combined",
IFERROR(
IF(VLOOKUP($A755, YES_Reading_ELA[], COLUMN(INDIRECT("YES_Reading_ELA[Min Expectation - Per "&amp;VLOOKUP($D$2, 'Reading Report Logic'!$A$2:$B$8,2,FALSE)&amp;"]")), FALSE)="", "",
VLOOKUP($A755,YES_Reading_ELA[],COLUMN(INDIRECT("YES_Reading_ELA[Min Expectation - Per "&amp;VLOOKUP($D$2,'Reading Report Logic'!$A$2:$B$8,2,FALSE)&amp;"]")),FALSE)),
IF(VLOOKUP($A755, YES_Reading_FLA[], COLUMN(INDIRECT("YES_Reading_FLA[Min Expectation - Per "&amp;VLOOKUP($D$2, 'Reading Report Logic'!$A$2:$B$8, 2, FALSE)&amp;"]")),FALSE)="", "", VLOOKUP($A755,YES_Reading_FLA[],COLUMN(INDIRECT("YES_Reading_FLA[Min Expectation - Per "&amp;VLOOKUP($D$2, 'Reading Report Logic'!$A$2:$B$8, 2, FALSE)&amp;"]")),FALSE))),""))),"")</f>
        <v/>
      </c>
      <c r="F755" s="205" t="str" cm="1">
        <f t="array" aca="1" ref="F755" ca="1">IFERROR(
IF($J$2="ELA",
IF(VLOOKUP($A755, YES_Reading_ELA[], COLUMN(INDIRECT("YES_Reading_ELA[Max Expectation - Per "&amp;VLOOKUP($D$2, 'Reading Report Logic'!$A$2:$B$8, 2, FALSE)&amp;"]")), FALSE)="", "",
VLOOKUP($A755,YES_Reading_ELA[], COLUMN(INDIRECT("YES_Reading_ELA[Max Expectation - Per "&amp;VLOOKUP($D$2,'Reading Report Logic'!$A$2:$B$8,2,FALSE)&amp;"]")), FALSE)),
IF($J$2="FLA",
IF(VLOOKUP($A755, YES_Reading_FLA[], COLUMN(INDIRECT("YES_Reading_FLA[Max Expectation - Per "&amp;VLOOKUP($D$2,'Reading Report Logic'!$A$2:$B$8,2,FALSE)&amp;"]")),FALSE)="","",
VLOOKUP($A755,YES_Reading_FLA[],COLUMN(INDIRECT("YES_Reading_FLA[Max Expectation - Per "&amp;VLOOKUP($D$2,'Reading Report Logic'!$A$2:$B$8,2,FALSE)&amp;"]")),FALSE)),
IF($J$2="Combined",
IFERROR(
IF(VLOOKUP($A755, YES_Reading_ELA[], COLUMN(INDIRECT("YES_Reading_ELA[Max Expectation - Per "&amp;VLOOKUP($D$2, 'Reading Report Logic'!$A$2:$B$8,2,FALSE)&amp;"]")), FALSE)="", "",
VLOOKUP($A755,YES_Reading_ELA[],COLUMN(INDIRECT("YES_Reading_ELA[Max Expectation - Per "&amp;VLOOKUP($D$2,'Reading Report Logic'!$A$2:$B$8,2,FALSE)&amp;"]")),FALSE)),
IF(VLOOKUP($A755, YES_Reading_FLA[], COLUMN(INDIRECT("YES_Reading_FLA[Max Expectation - Per "&amp;VLOOKUP($D$2, 'Reading Report Logic'!$A$2:$B$8, 2, FALSE)&amp;"]")),FALSE)="", "", VLOOKUP($A755,YES_Reading_FLA[],COLUMN(INDIRECT("YES_Reading_FLA[Max Expectation - Per "&amp;VLOOKUP($D$2, 'Reading Report Logic'!$A$2:$B$8, 2, FALSE)&amp;"]")),FALSE))),""))),"")</f>
        <v/>
      </c>
      <c r="G755" s="205" t="str" cm="1">
        <f t="array" aca="1" ref="G755" ca="1">IFERROR(
IF($J$2="ELA",
IF(VLOOKUP($A755, YES_Reading_ELA[], COLUMN(INDIRECT("YES_Reading_ELA[Difference - Per "&amp;VLOOKUP($D$2, 'Reading Report Logic'!$A$2:$B$8, 2, FALSE)&amp;"]")), FALSE)="", "",
VLOOKUP($A755,YES_Reading_ELA[], COLUMN(INDIRECT("YES_Reading_ELA[Difference - Per "&amp;VLOOKUP($D$2,'Reading Report Logic'!$A$2:$B$8,2,FALSE)&amp;"]")), FALSE)),
IF($J$2="FLA",
IF(VLOOKUP($A755, YES_Reading_FLA[], COLUMN(INDIRECT("YES_Reading_FLA[Difference - Per "&amp;VLOOKUP($D$2,'Reading Report Logic'!$A$2:$B$8,2,FALSE)&amp;"]")),FALSE)="","",
VLOOKUP($A755,YES_Reading_FLA[],COLUMN(INDIRECT("YES_Reading_FLA[Difference - Per "&amp;VLOOKUP($D$2,'Reading Report Logic'!$A$2:$B$8,2,FALSE)&amp;"]")),FALSE)),
IF($J$2="Combined",
IFERROR(
IF(VLOOKUP($A755, YES_Reading_ELA[], COLUMN(INDIRECT("YES_Reading_ELA[Difference - Per "&amp;VLOOKUP($D$2, 'Reading Report Logic'!$A$2:$B$8,2,FALSE)&amp;"]")), FALSE)="", "",
VLOOKUP($A755,YES_Reading_ELA[],COLUMN(INDIRECT("YES_Reading_ELA[Difference - Per "&amp;VLOOKUP($D$2,'Reading Report Logic'!$A$2:$B$8,2,FALSE)&amp;"]")),FALSE)),
IF(VLOOKUP($A755, YES_Reading_FLA[], COLUMN(INDIRECT("YES_Reading_FLA[Difference - Per "&amp;VLOOKUP($D$2, 'Reading Report Logic'!$A$2:$B$8, 2, FALSE)&amp;"]")),FALSE)="", "", VLOOKUP($A755,YES_Reading_FLA[],COLUMN(INDIRECT("YES_Reading_FLA[Difference - Per "&amp;VLOOKUP($D$2, 'Reading Report Logic'!$A$2:$B$8, 2, FALSE)&amp;"]")),FALSE))),""))),"")</f>
        <v/>
      </c>
      <c r="H755" s="206" t="str">
        <f ca="1">IFERROR(VLOOKUP('Teacher Reading Pull Sheets'!$D755,_xlfn.VSTACK('ELA Reading Logic'!$A$22:$B$48,'FLA Reading Logic'!$A$22:$B$53),2,FALSE)-VLOOKUP('Teacher Reading Pull Sheets'!$C755,_xlfn.VSTACK('ELA Reading Logic'!$A$22:$B$48,'FLA Reading Logic'!$A$22:$B$53),2,FALSE),"")</f>
        <v/>
      </c>
      <c r="I755" s="212"/>
      <c r="J755" s="206"/>
      <c r="K755" s="197" t="str" cm="1">
        <f t="array" ref="K755">IFERROR(
IF($J$2="ELA",
IF(VLOOKUP($A755, YES_Reading_ELA[], COLUMN(YES_Reading_ELA[Self-Identified as African Descent]), FALSE)="", "",
VLOOKUP($A755,YES_Reading_ELA[], COLUMN(YES_Reading_ELA[Self-Identified as African Descent]), FALSE)),
IF($J$2="FLA",
IF(VLOOKUP($A755, YES_Reading_FLA[], COLUMN(YES_Reading_FLA[Self-Identified as African Descent]),FALSE)="","",
VLOOKUP($A755,YES_Reading_FLA[],COLUMN(YES_Reading_FLA[Self-Identified as African Descent]),FALSE)),
IF($J$2="Combined",
IFERROR(
IF(VLOOKUP($A755, YES_Reading_ELA[], COLUMN(YES_Reading_ELA[Self-Identified as African Descent]), FALSE)="", "",
VLOOKUP($A755,YES_Reading_ELA[],COLUMN(YES_Reading_ELA[Self-Identified as African Descent]),FALSE)),
IF(VLOOKUP($A755, YES_Reading_FLA[], COLUMN(YES_Reading_FLA[Self-Identified as African Descent]),FALSE)="", "", VLOOKUP($A755,YES_Reading_FLA[],COLUMN(YES_Reading_FLA[Self-Identified as African Descent]),FALSE))),""))),"")</f>
        <v/>
      </c>
      <c r="L755" s="73" t="str" cm="1">
        <f t="array" ref="L755">IFERROR(
IF($J$2="ELA",
IF(VLOOKUP($A755, YES_Reading_ELA[], COLUMN(YES_Reading_ELA[Self-Identified as Indigenous]), FALSE)="", "",
VLOOKUP($A755,YES_Reading_ELA[], COLUMN(YES_Reading_ELA[Self-Identified as Indigenous]), FALSE)),
IF($J$2="FLA",
IF(VLOOKUP($A755, YES_Reading_FLA[], COLUMN(YES_Reading_FLA[Self-Identified as Indigenous]),FALSE)="","",
VLOOKUP($A755,YES_Reading_FLA[],COLUMN(YES_Reading_FLA[Self-Identified as Indigenous]),FALSE)),
IF($J$2="Combined",
IFERROR(
IF(VLOOKUP($A755, YES_Reading_ELA[], COLUMN(YES_Reading_ELA[Self-Identified as Indigenous]), FALSE)="", "",
VLOOKUP($A755,YES_Reading_ELA[],COLUMN(YES_Reading_ELA[Self-Identified as Indigenous]),FALSE)),
IF(VLOOKUP($A755, YES_Reading_FLA[], COLUMN(YES_Reading_FLA[Self-Identified as Indigenous]),FALSE)="", "", VLOOKUP($A755,YES_Reading_FLA[],COLUMN(YES_Reading_FLA[Self-Identified as Indigenous]),FALSE))),""))),"")</f>
        <v/>
      </c>
    </row>
    <row r="756" spans="1:12" ht="19.5" customHeight="1" x14ac:dyDescent="0.25">
      <c r="A756" s="217">
        <v>0</v>
      </c>
      <c r="B756" s="220" t="str">
        <f>IFERROR(VLOOKUP(A756,_xlfn.VSTACK(YES_Reading_ELA[],YES_Reading_FLA[]),2,FALSE),"")</f>
        <v/>
      </c>
      <c r="C756" s="203" t="str" cm="1">
        <f t="array" aca="1" ref="C756" ca="1">IFERROR(
IF($J$2="ELA",
IF(VLOOKUP($A756, YES_Reading_ELA[], COLUMN(IF(VLOOKUP($D$2, 'Reading Report Logic'!$A$2:$B$8, 2, FALSE)=1, YES_Reading_ELA[Reading Level June of Previous School Year], INDIRECT("YES_Reading_ELA[Instructional Reading Level - Per "&amp;(VLOOKUP($D$2,'Reading Report Logic'!$A$2:$B$8,2,FALSE)-1)&amp;"]"))), FALSE)="", "",
VLOOKUP($A756,YES_Reading_ELA[], COLUMN(IF(VLOOKUP($D$2,'Reading Report Logic'!$A$2:$B$8,2,FALSE)=1, YES_Reading_ELA[Reading Level June of Previous School Year],INDIRECT("YES_Reading_ELA[Instructional Reading Level - Per "&amp;(VLOOKUP($D$2,'Reading Report Logic'!$A$2:$B$8,2,FALSE)-1)&amp;"]"))), FALSE)),
IF($J$2="FLA",
IF(VLOOKUP($A756, YES_Reading_FLA[], COLUMN(IF(VLOOKUP($D$2,'Reading Report Logic'!$A$2:$B$8,2,FALSE)=1, YES_Reading_FLA[Reading Level June of Previous School Year],INDIRECT("YES_Reading_FLA[Instructional Reading Level - Per "&amp;(VLOOKUP($D$2,'Reading Report Logic'!$A$2:$B$8,2,FALSE)-1)&amp;"]"))),FALSE)="","",
VLOOKUP($A756,YES_Reading_FLA[], COLUMN(IF(VLOOKUP($D$2,'Reading Report Logic'!$A$2:$B$8,2,FALSE)=1, YES_Reading_FLA[Reading Level June of Previous School Year],INDIRECT("YES_Reading_FLA[Instructional Reading Level - Per "&amp;(VLOOKUP($D$2,'Reading Report Logic'!$A$2:$B$8,2,FALSE)-1)&amp;"]"))),FALSE)),
IF($J$2="Combined",
IFERROR(
IF(VLOOKUP($A756, YES_Reading_ELA[], COLUMN(IF(VLOOKUP($D$2,'Reading Report Logic'!$A$2:$B$8,2,FALSE)=1, YES_Reading_ELA[Reading Level June of Previous School Year],INDIRECT("YES_Reading_ELA[Instructional Reading Level - Per "&amp;(VLOOKUP($D$2,'Reading Report Logic'!$A$2:$B$8,2,FALSE)-1)&amp;"]"))), FALSE)="", "",
VLOOKUP($A756,YES_Reading_ELA[],COLUMN(IF(VLOOKUP($D$2,'Reading Report Logic'!$A$2:$B$8,2,FALSE)=1, YES_Reading_ELA[Reading Level June of Previous School Year],INDIRECT("YES_Reading_ELA[Instructional Reading Level - Per "&amp;(VLOOKUP($D$2,'Reading Report Logic'!$A$2:$B$8,2,FALSE)-1)&amp;"]"))),FALSE)),
IF(VLOOKUP($A756, YES_Reading_FLA[], COLUMN(IF(VLOOKUP($D$2,'Reading Report Logic'!$A$2:$B$8,2,FALSE)=1, YES_Reading_FLA[Reading Level June of Previous School Year],INDIRECT("YES_Reading_FLA[Instructional Reading Level - Per "&amp;(VLOOKUP($D$2,'Reading Report Logic'!$A$2:$B$8,2,FALSE)-1)&amp;"]"))),FALSE)="", "", VLOOKUP($A756,YES_Reading_FLA[],COLUMN(IF(VLOOKUP($D$2,'Reading Report Logic'!$A$2:$B$8,2,FALSE)=1, YES_Reading_FLA[Reading Level June of Previous School Year],INDIRECT("YES_Reading_FLA[Instructional Reading Level - Per "&amp;(VLOOKUP($D$2,'Reading Report Logic'!$A$2:$B$8,2,FALSE)-1)&amp;"]"))), FALSE))),""))),"")</f>
        <v/>
      </c>
      <c r="D756" s="204" t="str" cm="1">
        <f t="array" aca="1" ref="D756" ca="1">IFERROR(
IF($J$2="ELA",
IF(VLOOKUP($A756, YES_Reading_ELA[], COLUMN(INDIRECT("YES_Reading_ELA[Instructional Reading Level - Per "&amp;VLOOKUP($D$2, 'Reading Report Logic'!$A$2:$B$8, 2, FALSE)&amp;"]")), FALSE)="", "",
VLOOKUP($A756,YES_Reading_ELA[], COLUMN(INDIRECT("YES_Reading_ELA[Instructional Reading Level - Per "&amp;VLOOKUP($D$2,'Reading Report Logic'!$A$2:$B$8,2,FALSE)&amp;"]")), FALSE)),
IF($J$2="FLA",
IF(VLOOKUP($A756, YES_Reading_FLA[], COLUMN(INDIRECT("YES_Reading_FLA[Instructional Reading Level - Per "&amp;VLOOKUP($D$2,'Reading Report Logic'!$A$2:$B$8,2,FALSE)&amp;"]")),FALSE)="","",
VLOOKUP($A756,YES_Reading_FLA[],COLUMN(INDIRECT("YES_Reading_FLA[Instructional Reading Level - Per "&amp;VLOOKUP($D$2,'Reading Report Logic'!$A$2:$B$8,2,FALSE)&amp;"]")),FALSE)),
IF($J$2="Combined",
IFERROR(
IF(VLOOKUP($A756, YES_Reading_ELA[], COLUMN(INDIRECT("YES_Reading_ELA[Instructional Reading Level - Per "&amp;VLOOKUP($D$2, 'Reading Report Logic'!$A$2:$B$8,2,FALSE)&amp;"]")), FALSE)="", "",
VLOOKUP($A756,YES_Reading_ELA[],COLUMN(INDIRECT("YES_Reading_ELA[Instructional Reading Level - Per "&amp;VLOOKUP($D$2,'Reading Report Logic'!$A$2:$B$8,2,FALSE)&amp;"]")),FALSE)),
IF(VLOOKUP($A756, YES_Reading_FLA[], COLUMN(INDIRECT("YES_Reading_FLA[Instructional Reading Level - Per "&amp;VLOOKUP($D$2, 'Reading Report Logic'!$A$2:$B$8, 2, FALSE)&amp;"]")),FALSE)="", "", VLOOKUP($A756,YES_Reading_FLA[],COLUMN(INDIRECT("YES_Reading_FLA[Instructional Reading Level - Per "&amp;VLOOKUP($D$2, 'Reading Report Logic'!$A$2:$B$8, 2, FALSE)&amp;"]")),FALSE))),""))),"")</f>
        <v/>
      </c>
      <c r="E756" s="205" t="str" cm="1">
        <f t="array" aca="1" ref="E756" ca="1">IFERROR(
IF($J$2="ELA",
IF(VLOOKUP($A756, YES_Reading_ELA[], COLUMN(INDIRECT("YES_Reading_ELA[Min Expectation - Per "&amp;VLOOKUP($D$2, 'Reading Report Logic'!$A$2:$B$8, 2, FALSE)&amp;"]")), FALSE)="", "",
VLOOKUP($A756,YES_Reading_ELA[], COLUMN(INDIRECT("YES_Reading_ELA[Min Expectation - Per "&amp;VLOOKUP($D$2,'Reading Report Logic'!$A$2:$B$8,2,FALSE)&amp;"]")), FALSE)),
IF($J$2="FLA",
IF(VLOOKUP($A756, YES_Reading_FLA[], COLUMN(INDIRECT("YES_Reading_FLA[Min Expectation - Per "&amp;VLOOKUP($D$2,'Reading Report Logic'!$A$2:$B$8,2,FALSE)&amp;"]")),FALSE)="","",
VLOOKUP($A756,YES_Reading_FLA[],COLUMN(INDIRECT("YES_Reading_FLA[Min Expectation - Per "&amp;VLOOKUP($D$2,'Reading Report Logic'!$A$2:$B$8,2,FALSE)&amp;"]")),FALSE)),
IF($J$2="Combined",
IFERROR(
IF(VLOOKUP($A756, YES_Reading_ELA[], COLUMN(INDIRECT("YES_Reading_ELA[Min Expectation - Per "&amp;VLOOKUP($D$2, 'Reading Report Logic'!$A$2:$B$8,2,FALSE)&amp;"]")), FALSE)="", "",
VLOOKUP($A756,YES_Reading_ELA[],COLUMN(INDIRECT("YES_Reading_ELA[Min Expectation - Per "&amp;VLOOKUP($D$2,'Reading Report Logic'!$A$2:$B$8,2,FALSE)&amp;"]")),FALSE)),
IF(VLOOKUP($A756, YES_Reading_FLA[], COLUMN(INDIRECT("YES_Reading_FLA[Min Expectation - Per "&amp;VLOOKUP($D$2, 'Reading Report Logic'!$A$2:$B$8, 2, FALSE)&amp;"]")),FALSE)="", "", VLOOKUP($A756,YES_Reading_FLA[],COLUMN(INDIRECT("YES_Reading_FLA[Min Expectation - Per "&amp;VLOOKUP($D$2, 'Reading Report Logic'!$A$2:$B$8, 2, FALSE)&amp;"]")),FALSE))),""))),"")</f>
        <v/>
      </c>
      <c r="F756" s="205" t="str" cm="1">
        <f t="array" aca="1" ref="F756" ca="1">IFERROR(
IF($J$2="ELA",
IF(VLOOKUP($A756, YES_Reading_ELA[], COLUMN(INDIRECT("YES_Reading_ELA[Max Expectation - Per "&amp;VLOOKUP($D$2, 'Reading Report Logic'!$A$2:$B$8, 2, FALSE)&amp;"]")), FALSE)="", "",
VLOOKUP($A756,YES_Reading_ELA[], COLUMN(INDIRECT("YES_Reading_ELA[Max Expectation - Per "&amp;VLOOKUP($D$2,'Reading Report Logic'!$A$2:$B$8,2,FALSE)&amp;"]")), FALSE)),
IF($J$2="FLA",
IF(VLOOKUP($A756, YES_Reading_FLA[], COLUMN(INDIRECT("YES_Reading_FLA[Max Expectation - Per "&amp;VLOOKUP($D$2,'Reading Report Logic'!$A$2:$B$8,2,FALSE)&amp;"]")),FALSE)="","",
VLOOKUP($A756,YES_Reading_FLA[],COLUMN(INDIRECT("YES_Reading_FLA[Max Expectation - Per "&amp;VLOOKUP($D$2,'Reading Report Logic'!$A$2:$B$8,2,FALSE)&amp;"]")),FALSE)),
IF($J$2="Combined",
IFERROR(
IF(VLOOKUP($A756, YES_Reading_ELA[], COLUMN(INDIRECT("YES_Reading_ELA[Max Expectation - Per "&amp;VLOOKUP($D$2, 'Reading Report Logic'!$A$2:$B$8,2,FALSE)&amp;"]")), FALSE)="", "",
VLOOKUP($A756,YES_Reading_ELA[],COLUMN(INDIRECT("YES_Reading_ELA[Max Expectation - Per "&amp;VLOOKUP($D$2,'Reading Report Logic'!$A$2:$B$8,2,FALSE)&amp;"]")),FALSE)),
IF(VLOOKUP($A756, YES_Reading_FLA[], COLUMN(INDIRECT("YES_Reading_FLA[Max Expectation - Per "&amp;VLOOKUP($D$2, 'Reading Report Logic'!$A$2:$B$8, 2, FALSE)&amp;"]")),FALSE)="", "", VLOOKUP($A756,YES_Reading_FLA[],COLUMN(INDIRECT("YES_Reading_FLA[Max Expectation - Per "&amp;VLOOKUP($D$2, 'Reading Report Logic'!$A$2:$B$8, 2, FALSE)&amp;"]")),FALSE))),""))),"")</f>
        <v/>
      </c>
      <c r="G756" s="205" t="str" cm="1">
        <f t="array" aca="1" ref="G756" ca="1">IFERROR(
IF($J$2="ELA",
IF(VLOOKUP($A756, YES_Reading_ELA[], COLUMN(INDIRECT("YES_Reading_ELA[Difference - Per "&amp;VLOOKUP($D$2, 'Reading Report Logic'!$A$2:$B$8, 2, FALSE)&amp;"]")), FALSE)="", "",
VLOOKUP($A756,YES_Reading_ELA[], COLUMN(INDIRECT("YES_Reading_ELA[Difference - Per "&amp;VLOOKUP($D$2,'Reading Report Logic'!$A$2:$B$8,2,FALSE)&amp;"]")), FALSE)),
IF($J$2="FLA",
IF(VLOOKUP($A756, YES_Reading_FLA[], COLUMN(INDIRECT("YES_Reading_FLA[Difference - Per "&amp;VLOOKUP($D$2,'Reading Report Logic'!$A$2:$B$8,2,FALSE)&amp;"]")),FALSE)="","",
VLOOKUP($A756,YES_Reading_FLA[],COLUMN(INDIRECT("YES_Reading_FLA[Difference - Per "&amp;VLOOKUP($D$2,'Reading Report Logic'!$A$2:$B$8,2,FALSE)&amp;"]")),FALSE)),
IF($J$2="Combined",
IFERROR(
IF(VLOOKUP($A756, YES_Reading_ELA[], COLUMN(INDIRECT("YES_Reading_ELA[Difference - Per "&amp;VLOOKUP($D$2, 'Reading Report Logic'!$A$2:$B$8,2,FALSE)&amp;"]")), FALSE)="", "",
VLOOKUP($A756,YES_Reading_ELA[],COLUMN(INDIRECT("YES_Reading_ELA[Difference - Per "&amp;VLOOKUP($D$2,'Reading Report Logic'!$A$2:$B$8,2,FALSE)&amp;"]")),FALSE)),
IF(VLOOKUP($A756, YES_Reading_FLA[], COLUMN(INDIRECT("YES_Reading_FLA[Difference - Per "&amp;VLOOKUP($D$2, 'Reading Report Logic'!$A$2:$B$8, 2, FALSE)&amp;"]")),FALSE)="", "", VLOOKUP($A756,YES_Reading_FLA[],COLUMN(INDIRECT("YES_Reading_FLA[Difference - Per "&amp;VLOOKUP($D$2, 'Reading Report Logic'!$A$2:$B$8, 2, FALSE)&amp;"]")),FALSE))),""))),"")</f>
        <v/>
      </c>
      <c r="H756" s="206" t="str">
        <f ca="1">IFERROR(VLOOKUP('Teacher Reading Pull Sheets'!$D756,_xlfn.VSTACK('ELA Reading Logic'!$A$22:$B$48,'FLA Reading Logic'!$A$22:$B$53),2,FALSE)-VLOOKUP('Teacher Reading Pull Sheets'!$C756,_xlfn.VSTACK('ELA Reading Logic'!$A$22:$B$48,'FLA Reading Logic'!$A$22:$B$53),2,FALSE),"")</f>
        <v/>
      </c>
      <c r="I756" s="212"/>
      <c r="J756" s="206"/>
      <c r="K756" s="197" t="str" cm="1">
        <f t="array" ref="K756">IFERROR(
IF($J$2="ELA",
IF(VLOOKUP($A756, YES_Reading_ELA[], COLUMN(YES_Reading_ELA[Self-Identified as African Descent]), FALSE)="", "",
VLOOKUP($A756,YES_Reading_ELA[], COLUMN(YES_Reading_ELA[Self-Identified as African Descent]), FALSE)),
IF($J$2="FLA",
IF(VLOOKUP($A756, YES_Reading_FLA[], COLUMN(YES_Reading_FLA[Self-Identified as African Descent]),FALSE)="","",
VLOOKUP($A756,YES_Reading_FLA[],COLUMN(YES_Reading_FLA[Self-Identified as African Descent]),FALSE)),
IF($J$2="Combined",
IFERROR(
IF(VLOOKUP($A756, YES_Reading_ELA[], COLUMN(YES_Reading_ELA[Self-Identified as African Descent]), FALSE)="", "",
VLOOKUP($A756,YES_Reading_ELA[],COLUMN(YES_Reading_ELA[Self-Identified as African Descent]),FALSE)),
IF(VLOOKUP($A756, YES_Reading_FLA[], COLUMN(YES_Reading_FLA[Self-Identified as African Descent]),FALSE)="", "", VLOOKUP($A756,YES_Reading_FLA[],COLUMN(YES_Reading_FLA[Self-Identified as African Descent]),FALSE))),""))),"")</f>
        <v/>
      </c>
      <c r="L756" s="73" t="str" cm="1">
        <f t="array" ref="L756">IFERROR(
IF($J$2="ELA",
IF(VLOOKUP($A756, YES_Reading_ELA[], COLUMN(YES_Reading_ELA[Self-Identified as Indigenous]), FALSE)="", "",
VLOOKUP($A756,YES_Reading_ELA[], COLUMN(YES_Reading_ELA[Self-Identified as Indigenous]), FALSE)),
IF($J$2="FLA",
IF(VLOOKUP($A756, YES_Reading_FLA[], COLUMN(YES_Reading_FLA[Self-Identified as Indigenous]),FALSE)="","",
VLOOKUP($A756,YES_Reading_FLA[],COLUMN(YES_Reading_FLA[Self-Identified as Indigenous]),FALSE)),
IF($J$2="Combined",
IFERROR(
IF(VLOOKUP($A756, YES_Reading_ELA[], COLUMN(YES_Reading_ELA[Self-Identified as Indigenous]), FALSE)="", "",
VLOOKUP($A756,YES_Reading_ELA[],COLUMN(YES_Reading_ELA[Self-Identified as Indigenous]),FALSE)),
IF(VLOOKUP($A756, YES_Reading_FLA[], COLUMN(YES_Reading_FLA[Self-Identified as Indigenous]),FALSE)="", "", VLOOKUP($A756,YES_Reading_FLA[],COLUMN(YES_Reading_FLA[Self-Identified as Indigenous]),FALSE))),""))),"")</f>
        <v/>
      </c>
    </row>
    <row r="757" spans="1:12" ht="19.5" customHeight="1" x14ac:dyDescent="0.25">
      <c r="A757" s="217">
        <v>0</v>
      </c>
      <c r="B757" s="220" t="str">
        <f>IFERROR(VLOOKUP(A757,_xlfn.VSTACK(YES_Reading_ELA[],YES_Reading_FLA[]),2,FALSE),"")</f>
        <v/>
      </c>
      <c r="C757" s="203" t="str" cm="1">
        <f t="array" aca="1" ref="C757" ca="1">IFERROR(
IF($J$2="ELA",
IF(VLOOKUP($A757, YES_Reading_ELA[], COLUMN(IF(VLOOKUP($D$2, 'Reading Report Logic'!$A$2:$B$8, 2, FALSE)=1, YES_Reading_ELA[Reading Level June of Previous School Year], INDIRECT("YES_Reading_ELA[Instructional Reading Level - Per "&amp;(VLOOKUP($D$2,'Reading Report Logic'!$A$2:$B$8,2,FALSE)-1)&amp;"]"))), FALSE)="", "",
VLOOKUP($A757,YES_Reading_ELA[], COLUMN(IF(VLOOKUP($D$2,'Reading Report Logic'!$A$2:$B$8,2,FALSE)=1, YES_Reading_ELA[Reading Level June of Previous School Year],INDIRECT("YES_Reading_ELA[Instructional Reading Level - Per "&amp;(VLOOKUP($D$2,'Reading Report Logic'!$A$2:$B$8,2,FALSE)-1)&amp;"]"))), FALSE)),
IF($J$2="FLA",
IF(VLOOKUP($A757, YES_Reading_FLA[], COLUMN(IF(VLOOKUP($D$2,'Reading Report Logic'!$A$2:$B$8,2,FALSE)=1, YES_Reading_FLA[Reading Level June of Previous School Year],INDIRECT("YES_Reading_FLA[Instructional Reading Level - Per "&amp;(VLOOKUP($D$2,'Reading Report Logic'!$A$2:$B$8,2,FALSE)-1)&amp;"]"))),FALSE)="","",
VLOOKUP($A757,YES_Reading_FLA[], COLUMN(IF(VLOOKUP($D$2,'Reading Report Logic'!$A$2:$B$8,2,FALSE)=1, YES_Reading_FLA[Reading Level June of Previous School Year],INDIRECT("YES_Reading_FLA[Instructional Reading Level - Per "&amp;(VLOOKUP($D$2,'Reading Report Logic'!$A$2:$B$8,2,FALSE)-1)&amp;"]"))),FALSE)),
IF($J$2="Combined",
IFERROR(
IF(VLOOKUP($A757, YES_Reading_ELA[], COLUMN(IF(VLOOKUP($D$2,'Reading Report Logic'!$A$2:$B$8,2,FALSE)=1, YES_Reading_ELA[Reading Level June of Previous School Year],INDIRECT("YES_Reading_ELA[Instructional Reading Level - Per "&amp;(VLOOKUP($D$2,'Reading Report Logic'!$A$2:$B$8,2,FALSE)-1)&amp;"]"))), FALSE)="", "",
VLOOKUP($A757,YES_Reading_ELA[],COLUMN(IF(VLOOKUP($D$2,'Reading Report Logic'!$A$2:$B$8,2,FALSE)=1, YES_Reading_ELA[Reading Level June of Previous School Year],INDIRECT("YES_Reading_ELA[Instructional Reading Level - Per "&amp;(VLOOKUP($D$2,'Reading Report Logic'!$A$2:$B$8,2,FALSE)-1)&amp;"]"))),FALSE)),
IF(VLOOKUP($A757, YES_Reading_FLA[], COLUMN(IF(VLOOKUP($D$2,'Reading Report Logic'!$A$2:$B$8,2,FALSE)=1, YES_Reading_FLA[Reading Level June of Previous School Year],INDIRECT("YES_Reading_FLA[Instructional Reading Level - Per "&amp;(VLOOKUP($D$2,'Reading Report Logic'!$A$2:$B$8,2,FALSE)-1)&amp;"]"))),FALSE)="", "", VLOOKUP($A757,YES_Reading_FLA[],COLUMN(IF(VLOOKUP($D$2,'Reading Report Logic'!$A$2:$B$8,2,FALSE)=1, YES_Reading_FLA[Reading Level June of Previous School Year],INDIRECT("YES_Reading_FLA[Instructional Reading Level - Per "&amp;(VLOOKUP($D$2,'Reading Report Logic'!$A$2:$B$8,2,FALSE)-1)&amp;"]"))), FALSE))),""))),"")</f>
        <v/>
      </c>
      <c r="D757" s="204" t="str" cm="1">
        <f t="array" aca="1" ref="D757" ca="1">IFERROR(
IF($J$2="ELA",
IF(VLOOKUP($A757, YES_Reading_ELA[], COLUMN(INDIRECT("YES_Reading_ELA[Instructional Reading Level - Per "&amp;VLOOKUP($D$2, 'Reading Report Logic'!$A$2:$B$8, 2, FALSE)&amp;"]")), FALSE)="", "",
VLOOKUP($A757,YES_Reading_ELA[], COLUMN(INDIRECT("YES_Reading_ELA[Instructional Reading Level - Per "&amp;VLOOKUP($D$2,'Reading Report Logic'!$A$2:$B$8,2,FALSE)&amp;"]")), FALSE)),
IF($J$2="FLA",
IF(VLOOKUP($A757, YES_Reading_FLA[], COLUMN(INDIRECT("YES_Reading_FLA[Instructional Reading Level - Per "&amp;VLOOKUP($D$2,'Reading Report Logic'!$A$2:$B$8,2,FALSE)&amp;"]")),FALSE)="","",
VLOOKUP($A757,YES_Reading_FLA[],COLUMN(INDIRECT("YES_Reading_FLA[Instructional Reading Level - Per "&amp;VLOOKUP($D$2,'Reading Report Logic'!$A$2:$B$8,2,FALSE)&amp;"]")),FALSE)),
IF($J$2="Combined",
IFERROR(
IF(VLOOKUP($A757, YES_Reading_ELA[], COLUMN(INDIRECT("YES_Reading_ELA[Instructional Reading Level - Per "&amp;VLOOKUP($D$2, 'Reading Report Logic'!$A$2:$B$8,2,FALSE)&amp;"]")), FALSE)="", "",
VLOOKUP($A757,YES_Reading_ELA[],COLUMN(INDIRECT("YES_Reading_ELA[Instructional Reading Level - Per "&amp;VLOOKUP($D$2,'Reading Report Logic'!$A$2:$B$8,2,FALSE)&amp;"]")),FALSE)),
IF(VLOOKUP($A757, YES_Reading_FLA[], COLUMN(INDIRECT("YES_Reading_FLA[Instructional Reading Level - Per "&amp;VLOOKUP($D$2, 'Reading Report Logic'!$A$2:$B$8, 2, FALSE)&amp;"]")),FALSE)="", "", VLOOKUP($A757,YES_Reading_FLA[],COLUMN(INDIRECT("YES_Reading_FLA[Instructional Reading Level - Per "&amp;VLOOKUP($D$2, 'Reading Report Logic'!$A$2:$B$8, 2, FALSE)&amp;"]")),FALSE))),""))),"")</f>
        <v/>
      </c>
      <c r="E757" s="205" t="str" cm="1">
        <f t="array" aca="1" ref="E757" ca="1">IFERROR(
IF($J$2="ELA",
IF(VLOOKUP($A757, YES_Reading_ELA[], COLUMN(INDIRECT("YES_Reading_ELA[Min Expectation - Per "&amp;VLOOKUP($D$2, 'Reading Report Logic'!$A$2:$B$8, 2, FALSE)&amp;"]")), FALSE)="", "",
VLOOKUP($A757,YES_Reading_ELA[], COLUMN(INDIRECT("YES_Reading_ELA[Min Expectation - Per "&amp;VLOOKUP($D$2,'Reading Report Logic'!$A$2:$B$8,2,FALSE)&amp;"]")), FALSE)),
IF($J$2="FLA",
IF(VLOOKUP($A757, YES_Reading_FLA[], COLUMN(INDIRECT("YES_Reading_FLA[Min Expectation - Per "&amp;VLOOKUP($D$2,'Reading Report Logic'!$A$2:$B$8,2,FALSE)&amp;"]")),FALSE)="","",
VLOOKUP($A757,YES_Reading_FLA[],COLUMN(INDIRECT("YES_Reading_FLA[Min Expectation - Per "&amp;VLOOKUP($D$2,'Reading Report Logic'!$A$2:$B$8,2,FALSE)&amp;"]")),FALSE)),
IF($J$2="Combined",
IFERROR(
IF(VLOOKUP($A757, YES_Reading_ELA[], COLUMN(INDIRECT("YES_Reading_ELA[Min Expectation - Per "&amp;VLOOKUP($D$2, 'Reading Report Logic'!$A$2:$B$8,2,FALSE)&amp;"]")), FALSE)="", "",
VLOOKUP($A757,YES_Reading_ELA[],COLUMN(INDIRECT("YES_Reading_ELA[Min Expectation - Per "&amp;VLOOKUP($D$2,'Reading Report Logic'!$A$2:$B$8,2,FALSE)&amp;"]")),FALSE)),
IF(VLOOKUP($A757, YES_Reading_FLA[], COLUMN(INDIRECT("YES_Reading_FLA[Min Expectation - Per "&amp;VLOOKUP($D$2, 'Reading Report Logic'!$A$2:$B$8, 2, FALSE)&amp;"]")),FALSE)="", "", VLOOKUP($A757,YES_Reading_FLA[],COLUMN(INDIRECT("YES_Reading_FLA[Min Expectation - Per "&amp;VLOOKUP($D$2, 'Reading Report Logic'!$A$2:$B$8, 2, FALSE)&amp;"]")),FALSE))),""))),"")</f>
        <v/>
      </c>
      <c r="F757" s="205" t="str" cm="1">
        <f t="array" aca="1" ref="F757" ca="1">IFERROR(
IF($J$2="ELA",
IF(VLOOKUP($A757, YES_Reading_ELA[], COLUMN(INDIRECT("YES_Reading_ELA[Max Expectation - Per "&amp;VLOOKUP($D$2, 'Reading Report Logic'!$A$2:$B$8, 2, FALSE)&amp;"]")), FALSE)="", "",
VLOOKUP($A757,YES_Reading_ELA[], COLUMN(INDIRECT("YES_Reading_ELA[Max Expectation - Per "&amp;VLOOKUP($D$2,'Reading Report Logic'!$A$2:$B$8,2,FALSE)&amp;"]")), FALSE)),
IF($J$2="FLA",
IF(VLOOKUP($A757, YES_Reading_FLA[], COLUMN(INDIRECT("YES_Reading_FLA[Max Expectation - Per "&amp;VLOOKUP($D$2,'Reading Report Logic'!$A$2:$B$8,2,FALSE)&amp;"]")),FALSE)="","",
VLOOKUP($A757,YES_Reading_FLA[],COLUMN(INDIRECT("YES_Reading_FLA[Max Expectation - Per "&amp;VLOOKUP($D$2,'Reading Report Logic'!$A$2:$B$8,2,FALSE)&amp;"]")),FALSE)),
IF($J$2="Combined",
IFERROR(
IF(VLOOKUP($A757, YES_Reading_ELA[], COLUMN(INDIRECT("YES_Reading_ELA[Max Expectation - Per "&amp;VLOOKUP($D$2, 'Reading Report Logic'!$A$2:$B$8,2,FALSE)&amp;"]")), FALSE)="", "",
VLOOKUP($A757,YES_Reading_ELA[],COLUMN(INDIRECT("YES_Reading_ELA[Max Expectation - Per "&amp;VLOOKUP($D$2,'Reading Report Logic'!$A$2:$B$8,2,FALSE)&amp;"]")),FALSE)),
IF(VLOOKUP($A757, YES_Reading_FLA[], COLUMN(INDIRECT("YES_Reading_FLA[Max Expectation - Per "&amp;VLOOKUP($D$2, 'Reading Report Logic'!$A$2:$B$8, 2, FALSE)&amp;"]")),FALSE)="", "", VLOOKUP($A757,YES_Reading_FLA[],COLUMN(INDIRECT("YES_Reading_FLA[Max Expectation - Per "&amp;VLOOKUP($D$2, 'Reading Report Logic'!$A$2:$B$8, 2, FALSE)&amp;"]")),FALSE))),""))),"")</f>
        <v/>
      </c>
      <c r="G757" s="205" t="str" cm="1">
        <f t="array" aca="1" ref="G757" ca="1">IFERROR(
IF($J$2="ELA",
IF(VLOOKUP($A757, YES_Reading_ELA[], COLUMN(INDIRECT("YES_Reading_ELA[Difference - Per "&amp;VLOOKUP($D$2, 'Reading Report Logic'!$A$2:$B$8, 2, FALSE)&amp;"]")), FALSE)="", "",
VLOOKUP($A757,YES_Reading_ELA[], COLUMN(INDIRECT("YES_Reading_ELA[Difference - Per "&amp;VLOOKUP($D$2,'Reading Report Logic'!$A$2:$B$8,2,FALSE)&amp;"]")), FALSE)),
IF($J$2="FLA",
IF(VLOOKUP($A757, YES_Reading_FLA[], COLUMN(INDIRECT("YES_Reading_FLA[Difference - Per "&amp;VLOOKUP($D$2,'Reading Report Logic'!$A$2:$B$8,2,FALSE)&amp;"]")),FALSE)="","",
VLOOKUP($A757,YES_Reading_FLA[],COLUMN(INDIRECT("YES_Reading_FLA[Difference - Per "&amp;VLOOKUP($D$2,'Reading Report Logic'!$A$2:$B$8,2,FALSE)&amp;"]")),FALSE)),
IF($J$2="Combined",
IFERROR(
IF(VLOOKUP($A757, YES_Reading_ELA[], COLUMN(INDIRECT("YES_Reading_ELA[Difference - Per "&amp;VLOOKUP($D$2, 'Reading Report Logic'!$A$2:$B$8,2,FALSE)&amp;"]")), FALSE)="", "",
VLOOKUP($A757,YES_Reading_ELA[],COLUMN(INDIRECT("YES_Reading_ELA[Difference - Per "&amp;VLOOKUP($D$2,'Reading Report Logic'!$A$2:$B$8,2,FALSE)&amp;"]")),FALSE)),
IF(VLOOKUP($A757, YES_Reading_FLA[], COLUMN(INDIRECT("YES_Reading_FLA[Difference - Per "&amp;VLOOKUP($D$2, 'Reading Report Logic'!$A$2:$B$8, 2, FALSE)&amp;"]")),FALSE)="", "", VLOOKUP($A757,YES_Reading_FLA[],COLUMN(INDIRECT("YES_Reading_FLA[Difference - Per "&amp;VLOOKUP($D$2, 'Reading Report Logic'!$A$2:$B$8, 2, FALSE)&amp;"]")),FALSE))),""))),"")</f>
        <v/>
      </c>
      <c r="H757" s="206" t="str">
        <f ca="1">IFERROR(VLOOKUP('Teacher Reading Pull Sheets'!$D757,_xlfn.VSTACK('ELA Reading Logic'!$A$22:$B$48,'FLA Reading Logic'!$A$22:$B$53),2,FALSE)-VLOOKUP('Teacher Reading Pull Sheets'!$C757,_xlfn.VSTACK('ELA Reading Logic'!$A$22:$B$48,'FLA Reading Logic'!$A$22:$B$53),2,FALSE),"")</f>
        <v/>
      </c>
      <c r="I757" s="212"/>
      <c r="J757" s="206"/>
      <c r="K757" s="197" t="str" cm="1">
        <f t="array" ref="K757">IFERROR(
IF($J$2="ELA",
IF(VLOOKUP($A757, YES_Reading_ELA[], COLUMN(YES_Reading_ELA[Self-Identified as African Descent]), FALSE)="", "",
VLOOKUP($A757,YES_Reading_ELA[], COLUMN(YES_Reading_ELA[Self-Identified as African Descent]), FALSE)),
IF($J$2="FLA",
IF(VLOOKUP($A757, YES_Reading_FLA[], COLUMN(YES_Reading_FLA[Self-Identified as African Descent]),FALSE)="","",
VLOOKUP($A757,YES_Reading_FLA[],COLUMN(YES_Reading_FLA[Self-Identified as African Descent]),FALSE)),
IF($J$2="Combined",
IFERROR(
IF(VLOOKUP($A757, YES_Reading_ELA[], COLUMN(YES_Reading_ELA[Self-Identified as African Descent]), FALSE)="", "",
VLOOKUP($A757,YES_Reading_ELA[],COLUMN(YES_Reading_ELA[Self-Identified as African Descent]),FALSE)),
IF(VLOOKUP($A757, YES_Reading_FLA[], COLUMN(YES_Reading_FLA[Self-Identified as African Descent]),FALSE)="", "", VLOOKUP($A757,YES_Reading_FLA[],COLUMN(YES_Reading_FLA[Self-Identified as African Descent]),FALSE))),""))),"")</f>
        <v/>
      </c>
      <c r="L757" s="73" t="str" cm="1">
        <f t="array" ref="L757">IFERROR(
IF($J$2="ELA",
IF(VLOOKUP($A757, YES_Reading_ELA[], COLUMN(YES_Reading_ELA[Self-Identified as Indigenous]), FALSE)="", "",
VLOOKUP($A757,YES_Reading_ELA[], COLUMN(YES_Reading_ELA[Self-Identified as Indigenous]), FALSE)),
IF($J$2="FLA",
IF(VLOOKUP($A757, YES_Reading_FLA[], COLUMN(YES_Reading_FLA[Self-Identified as Indigenous]),FALSE)="","",
VLOOKUP($A757,YES_Reading_FLA[],COLUMN(YES_Reading_FLA[Self-Identified as Indigenous]),FALSE)),
IF($J$2="Combined",
IFERROR(
IF(VLOOKUP($A757, YES_Reading_ELA[], COLUMN(YES_Reading_ELA[Self-Identified as Indigenous]), FALSE)="", "",
VLOOKUP($A757,YES_Reading_ELA[],COLUMN(YES_Reading_ELA[Self-Identified as Indigenous]),FALSE)),
IF(VLOOKUP($A757, YES_Reading_FLA[], COLUMN(YES_Reading_FLA[Self-Identified as Indigenous]),FALSE)="", "", VLOOKUP($A757,YES_Reading_FLA[],COLUMN(YES_Reading_FLA[Self-Identified as Indigenous]),FALSE))),""))),"")</f>
        <v/>
      </c>
    </row>
    <row r="758" spans="1:12" ht="19.5" customHeight="1" x14ac:dyDescent="0.25">
      <c r="A758" s="217">
        <v>0</v>
      </c>
      <c r="B758" s="220" t="str">
        <f>IFERROR(VLOOKUP(A758,_xlfn.VSTACK(YES_Reading_ELA[],YES_Reading_FLA[]),2,FALSE),"")</f>
        <v/>
      </c>
      <c r="C758" s="203" t="str" cm="1">
        <f t="array" aca="1" ref="C758" ca="1">IFERROR(
IF($J$2="ELA",
IF(VLOOKUP($A758, YES_Reading_ELA[], COLUMN(IF(VLOOKUP($D$2, 'Reading Report Logic'!$A$2:$B$8, 2, FALSE)=1, YES_Reading_ELA[Reading Level June of Previous School Year], INDIRECT("YES_Reading_ELA[Instructional Reading Level - Per "&amp;(VLOOKUP($D$2,'Reading Report Logic'!$A$2:$B$8,2,FALSE)-1)&amp;"]"))), FALSE)="", "",
VLOOKUP($A758,YES_Reading_ELA[], COLUMN(IF(VLOOKUP($D$2,'Reading Report Logic'!$A$2:$B$8,2,FALSE)=1, YES_Reading_ELA[Reading Level June of Previous School Year],INDIRECT("YES_Reading_ELA[Instructional Reading Level - Per "&amp;(VLOOKUP($D$2,'Reading Report Logic'!$A$2:$B$8,2,FALSE)-1)&amp;"]"))), FALSE)),
IF($J$2="FLA",
IF(VLOOKUP($A758, YES_Reading_FLA[], COLUMN(IF(VLOOKUP($D$2,'Reading Report Logic'!$A$2:$B$8,2,FALSE)=1, YES_Reading_FLA[Reading Level June of Previous School Year],INDIRECT("YES_Reading_FLA[Instructional Reading Level - Per "&amp;(VLOOKUP($D$2,'Reading Report Logic'!$A$2:$B$8,2,FALSE)-1)&amp;"]"))),FALSE)="","",
VLOOKUP($A758,YES_Reading_FLA[], COLUMN(IF(VLOOKUP($D$2,'Reading Report Logic'!$A$2:$B$8,2,FALSE)=1, YES_Reading_FLA[Reading Level June of Previous School Year],INDIRECT("YES_Reading_FLA[Instructional Reading Level - Per "&amp;(VLOOKUP($D$2,'Reading Report Logic'!$A$2:$B$8,2,FALSE)-1)&amp;"]"))),FALSE)),
IF($J$2="Combined",
IFERROR(
IF(VLOOKUP($A758, YES_Reading_ELA[], COLUMN(IF(VLOOKUP($D$2,'Reading Report Logic'!$A$2:$B$8,2,FALSE)=1, YES_Reading_ELA[Reading Level June of Previous School Year],INDIRECT("YES_Reading_ELA[Instructional Reading Level - Per "&amp;(VLOOKUP($D$2,'Reading Report Logic'!$A$2:$B$8,2,FALSE)-1)&amp;"]"))), FALSE)="", "",
VLOOKUP($A758,YES_Reading_ELA[],COLUMN(IF(VLOOKUP($D$2,'Reading Report Logic'!$A$2:$B$8,2,FALSE)=1, YES_Reading_ELA[Reading Level June of Previous School Year],INDIRECT("YES_Reading_ELA[Instructional Reading Level - Per "&amp;(VLOOKUP($D$2,'Reading Report Logic'!$A$2:$B$8,2,FALSE)-1)&amp;"]"))),FALSE)),
IF(VLOOKUP($A758, YES_Reading_FLA[], COLUMN(IF(VLOOKUP($D$2,'Reading Report Logic'!$A$2:$B$8,2,FALSE)=1, YES_Reading_FLA[Reading Level June of Previous School Year],INDIRECT("YES_Reading_FLA[Instructional Reading Level - Per "&amp;(VLOOKUP($D$2,'Reading Report Logic'!$A$2:$B$8,2,FALSE)-1)&amp;"]"))),FALSE)="", "", VLOOKUP($A758,YES_Reading_FLA[],COLUMN(IF(VLOOKUP($D$2,'Reading Report Logic'!$A$2:$B$8,2,FALSE)=1, YES_Reading_FLA[Reading Level June of Previous School Year],INDIRECT("YES_Reading_FLA[Instructional Reading Level - Per "&amp;(VLOOKUP($D$2,'Reading Report Logic'!$A$2:$B$8,2,FALSE)-1)&amp;"]"))), FALSE))),""))),"")</f>
        <v/>
      </c>
      <c r="D758" s="204" t="str" cm="1">
        <f t="array" aca="1" ref="D758" ca="1">IFERROR(
IF($J$2="ELA",
IF(VLOOKUP($A758, YES_Reading_ELA[], COLUMN(INDIRECT("YES_Reading_ELA[Instructional Reading Level - Per "&amp;VLOOKUP($D$2, 'Reading Report Logic'!$A$2:$B$8, 2, FALSE)&amp;"]")), FALSE)="", "",
VLOOKUP($A758,YES_Reading_ELA[], COLUMN(INDIRECT("YES_Reading_ELA[Instructional Reading Level - Per "&amp;VLOOKUP($D$2,'Reading Report Logic'!$A$2:$B$8,2,FALSE)&amp;"]")), FALSE)),
IF($J$2="FLA",
IF(VLOOKUP($A758, YES_Reading_FLA[], COLUMN(INDIRECT("YES_Reading_FLA[Instructional Reading Level - Per "&amp;VLOOKUP($D$2,'Reading Report Logic'!$A$2:$B$8,2,FALSE)&amp;"]")),FALSE)="","",
VLOOKUP($A758,YES_Reading_FLA[],COLUMN(INDIRECT("YES_Reading_FLA[Instructional Reading Level - Per "&amp;VLOOKUP($D$2,'Reading Report Logic'!$A$2:$B$8,2,FALSE)&amp;"]")),FALSE)),
IF($J$2="Combined",
IFERROR(
IF(VLOOKUP($A758, YES_Reading_ELA[], COLUMN(INDIRECT("YES_Reading_ELA[Instructional Reading Level - Per "&amp;VLOOKUP($D$2, 'Reading Report Logic'!$A$2:$B$8,2,FALSE)&amp;"]")), FALSE)="", "",
VLOOKUP($A758,YES_Reading_ELA[],COLUMN(INDIRECT("YES_Reading_ELA[Instructional Reading Level - Per "&amp;VLOOKUP($D$2,'Reading Report Logic'!$A$2:$B$8,2,FALSE)&amp;"]")),FALSE)),
IF(VLOOKUP($A758, YES_Reading_FLA[], COLUMN(INDIRECT("YES_Reading_FLA[Instructional Reading Level - Per "&amp;VLOOKUP($D$2, 'Reading Report Logic'!$A$2:$B$8, 2, FALSE)&amp;"]")),FALSE)="", "", VLOOKUP($A758,YES_Reading_FLA[],COLUMN(INDIRECT("YES_Reading_FLA[Instructional Reading Level - Per "&amp;VLOOKUP($D$2, 'Reading Report Logic'!$A$2:$B$8, 2, FALSE)&amp;"]")),FALSE))),""))),"")</f>
        <v/>
      </c>
      <c r="E758" s="205" t="str" cm="1">
        <f t="array" aca="1" ref="E758" ca="1">IFERROR(
IF($J$2="ELA",
IF(VLOOKUP($A758, YES_Reading_ELA[], COLUMN(INDIRECT("YES_Reading_ELA[Min Expectation - Per "&amp;VLOOKUP($D$2, 'Reading Report Logic'!$A$2:$B$8, 2, FALSE)&amp;"]")), FALSE)="", "",
VLOOKUP($A758,YES_Reading_ELA[], COLUMN(INDIRECT("YES_Reading_ELA[Min Expectation - Per "&amp;VLOOKUP($D$2,'Reading Report Logic'!$A$2:$B$8,2,FALSE)&amp;"]")), FALSE)),
IF($J$2="FLA",
IF(VLOOKUP($A758, YES_Reading_FLA[], COLUMN(INDIRECT("YES_Reading_FLA[Min Expectation - Per "&amp;VLOOKUP($D$2,'Reading Report Logic'!$A$2:$B$8,2,FALSE)&amp;"]")),FALSE)="","",
VLOOKUP($A758,YES_Reading_FLA[],COLUMN(INDIRECT("YES_Reading_FLA[Min Expectation - Per "&amp;VLOOKUP($D$2,'Reading Report Logic'!$A$2:$B$8,2,FALSE)&amp;"]")),FALSE)),
IF($J$2="Combined",
IFERROR(
IF(VLOOKUP($A758, YES_Reading_ELA[], COLUMN(INDIRECT("YES_Reading_ELA[Min Expectation - Per "&amp;VLOOKUP($D$2, 'Reading Report Logic'!$A$2:$B$8,2,FALSE)&amp;"]")), FALSE)="", "",
VLOOKUP($A758,YES_Reading_ELA[],COLUMN(INDIRECT("YES_Reading_ELA[Min Expectation - Per "&amp;VLOOKUP($D$2,'Reading Report Logic'!$A$2:$B$8,2,FALSE)&amp;"]")),FALSE)),
IF(VLOOKUP($A758, YES_Reading_FLA[], COLUMN(INDIRECT("YES_Reading_FLA[Min Expectation - Per "&amp;VLOOKUP($D$2, 'Reading Report Logic'!$A$2:$B$8, 2, FALSE)&amp;"]")),FALSE)="", "", VLOOKUP($A758,YES_Reading_FLA[],COLUMN(INDIRECT("YES_Reading_FLA[Min Expectation - Per "&amp;VLOOKUP($D$2, 'Reading Report Logic'!$A$2:$B$8, 2, FALSE)&amp;"]")),FALSE))),""))),"")</f>
        <v/>
      </c>
      <c r="F758" s="205" t="str" cm="1">
        <f t="array" aca="1" ref="F758" ca="1">IFERROR(
IF($J$2="ELA",
IF(VLOOKUP($A758, YES_Reading_ELA[], COLUMN(INDIRECT("YES_Reading_ELA[Max Expectation - Per "&amp;VLOOKUP($D$2, 'Reading Report Logic'!$A$2:$B$8, 2, FALSE)&amp;"]")), FALSE)="", "",
VLOOKUP($A758,YES_Reading_ELA[], COLUMN(INDIRECT("YES_Reading_ELA[Max Expectation - Per "&amp;VLOOKUP($D$2,'Reading Report Logic'!$A$2:$B$8,2,FALSE)&amp;"]")), FALSE)),
IF($J$2="FLA",
IF(VLOOKUP($A758, YES_Reading_FLA[], COLUMN(INDIRECT("YES_Reading_FLA[Max Expectation - Per "&amp;VLOOKUP($D$2,'Reading Report Logic'!$A$2:$B$8,2,FALSE)&amp;"]")),FALSE)="","",
VLOOKUP($A758,YES_Reading_FLA[],COLUMN(INDIRECT("YES_Reading_FLA[Max Expectation - Per "&amp;VLOOKUP($D$2,'Reading Report Logic'!$A$2:$B$8,2,FALSE)&amp;"]")),FALSE)),
IF($J$2="Combined",
IFERROR(
IF(VLOOKUP($A758, YES_Reading_ELA[], COLUMN(INDIRECT("YES_Reading_ELA[Max Expectation - Per "&amp;VLOOKUP($D$2, 'Reading Report Logic'!$A$2:$B$8,2,FALSE)&amp;"]")), FALSE)="", "",
VLOOKUP($A758,YES_Reading_ELA[],COLUMN(INDIRECT("YES_Reading_ELA[Max Expectation - Per "&amp;VLOOKUP($D$2,'Reading Report Logic'!$A$2:$B$8,2,FALSE)&amp;"]")),FALSE)),
IF(VLOOKUP($A758, YES_Reading_FLA[], COLUMN(INDIRECT("YES_Reading_FLA[Max Expectation - Per "&amp;VLOOKUP($D$2, 'Reading Report Logic'!$A$2:$B$8, 2, FALSE)&amp;"]")),FALSE)="", "", VLOOKUP($A758,YES_Reading_FLA[],COLUMN(INDIRECT("YES_Reading_FLA[Max Expectation - Per "&amp;VLOOKUP($D$2, 'Reading Report Logic'!$A$2:$B$8, 2, FALSE)&amp;"]")),FALSE))),""))),"")</f>
        <v/>
      </c>
      <c r="G758" s="205" t="str" cm="1">
        <f t="array" aca="1" ref="G758" ca="1">IFERROR(
IF($J$2="ELA",
IF(VLOOKUP($A758, YES_Reading_ELA[], COLUMN(INDIRECT("YES_Reading_ELA[Difference - Per "&amp;VLOOKUP($D$2, 'Reading Report Logic'!$A$2:$B$8, 2, FALSE)&amp;"]")), FALSE)="", "",
VLOOKUP($A758,YES_Reading_ELA[], COLUMN(INDIRECT("YES_Reading_ELA[Difference - Per "&amp;VLOOKUP($D$2,'Reading Report Logic'!$A$2:$B$8,2,FALSE)&amp;"]")), FALSE)),
IF($J$2="FLA",
IF(VLOOKUP($A758, YES_Reading_FLA[], COLUMN(INDIRECT("YES_Reading_FLA[Difference - Per "&amp;VLOOKUP($D$2,'Reading Report Logic'!$A$2:$B$8,2,FALSE)&amp;"]")),FALSE)="","",
VLOOKUP($A758,YES_Reading_FLA[],COLUMN(INDIRECT("YES_Reading_FLA[Difference - Per "&amp;VLOOKUP($D$2,'Reading Report Logic'!$A$2:$B$8,2,FALSE)&amp;"]")),FALSE)),
IF($J$2="Combined",
IFERROR(
IF(VLOOKUP($A758, YES_Reading_ELA[], COLUMN(INDIRECT("YES_Reading_ELA[Difference - Per "&amp;VLOOKUP($D$2, 'Reading Report Logic'!$A$2:$B$8,2,FALSE)&amp;"]")), FALSE)="", "",
VLOOKUP($A758,YES_Reading_ELA[],COLUMN(INDIRECT("YES_Reading_ELA[Difference - Per "&amp;VLOOKUP($D$2,'Reading Report Logic'!$A$2:$B$8,2,FALSE)&amp;"]")),FALSE)),
IF(VLOOKUP($A758, YES_Reading_FLA[], COLUMN(INDIRECT("YES_Reading_FLA[Difference - Per "&amp;VLOOKUP($D$2, 'Reading Report Logic'!$A$2:$B$8, 2, FALSE)&amp;"]")),FALSE)="", "", VLOOKUP($A758,YES_Reading_FLA[],COLUMN(INDIRECT("YES_Reading_FLA[Difference - Per "&amp;VLOOKUP($D$2, 'Reading Report Logic'!$A$2:$B$8, 2, FALSE)&amp;"]")),FALSE))),""))),"")</f>
        <v/>
      </c>
      <c r="H758" s="206" t="str">
        <f ca="1">IFERROR(VLOOKUP('Teacher Reading Pull Sheets'!$D758,_xlfn.VSTACK('ELA Reading Logic'!$A$22:$B$48,'FLA Reading Logic'!$A$22:$B$53),2,FALSE)-VLOOKUP('Teacher Reading Pull Sheets'!$C758,_xlfn.VSTACK('ELA Reading Logic'!$A$22:$B$48,'FLA Reading Logic'!$A$22:$B$53),2,FALSE),"")</f>
        <v/>
      </c>
      <c r="I758" s="212"/>
      <c r="J758" s="206"/>
      <c r="K758" s="197" t="str" cm="1">
        <f t="array" ref="K758">IFERROR(
IF($J$2="ELA",
IF(VLOOKUP($A758, YES_Reading_ELA[], COLUMN(YES_Reading_ELA[Self-Identified as African Descent]), FALSE)="", "",
VLOOKUP($A758,YES_Reading_ELA[], COLUMN(YES_Reading_ELA[Self-Identified as African Descent]), FALSE)),
IF($J$2="FLA",
IF(VLOOKUP($A758, YES_Reading_FLA[], COLUMN(YES_Reading_FLA[Self-Identified as African Descent]),FALSE)="","",
VLOOKUP($A758,YES_Reading_FLA[],COLUMN(YES_Reading_FLA[Self-Identified as African Descent]),FALSE)),
IF($J$2="Combined",
IFERROR(
IF(VLOOKUP($A758, YES_Reading_ELA[], COLUMN(YES_Reading_ELA[Self-Identified as African Descent]), FALSE)="", "",
VLOOKUP($A758,YES_Reading_ELA[],COLUMN(YES_Reading_ELA[Self-Identified as African Descent]),FALSE)),
IF(VLOOKUP($A758, YES_Reading_FLA[], COLUMN(YES_Reading_FLA[Self-Identified as African Descent]),FALSE)="", "", VLOOKUP($A758,YES_Reading_FLA[],COLUMN(YES_Reading_FLA[Self-Identified as African Descent]),FALSE))),""))),"")</f>
        <v/>
      </c>
      <c r="L758" s="73" t="str" cm="1">
        <f t="array" ref="L758">IFERROR(
IF($J$2="ELA",
IF(VLOOKUP($A758, YES_Reading_ELA[], COLUMN(YES_Reading_ELA[Self-Identified as Indigenous]), FALSE)="", "",
VLOOKUP($A758,YES_Reading_ELA[], COLUMN(YES_Reading_ELA[Self-Identified as Indigenous]), FALSE)),
IF($J$2="FLA",
IF(VLOOKUP($A758, YES_Reading_FLA[], COLUMN(YES_Reading_FLA[Self-Identified as Indigenous]),FALSE)="","",
VLOOKUP($A758,YES_Reading_FLA[],COLUMN(YES_Reading_FLA[Self-Identified as Indigenous]),FALSE)),
IF($J$2="Combined",
IFERROR(
IF(VLOOKUP($A758, YES_Reading_ELA[], COLUMN(YES_Reading_ELA[Self-Identified as Indigenous]), FALSE)="", "",
VLOOKUP($A758,YES_Reading_ELA[],COLUMN(YES_Reading_ELA[Self-Identified as Indigenous]),FALSE)),
IF(VLOOKUP($A758, YES_Reading_FLA[], COLUMN(YES_Reading_FLA[Self-Identified as Indigenous]),FALSE)="", "", VLOOKUP($A758,YES_Reading_FLA[],COLUMN(YES_Reading_FLA[Self-Identified as Indigenous]),FALSE))),""))),"")</f>
        <v/>
      </c>
    </row>
    <row r="759" spans="1:12" ht="19.5" customHeight="1" x14ac:dyDescent="0.25">
      <c r="A759" s="217">
        <v>0</v>
      </c>
      <c r="B759" s="220" t="str">
        <f>IFERROR(VLOOKUP(A759,_xlfn.VSTACK(YES_Reading_ELA[],YES_Reading_FLA[]),2,FALSE),"")</f>
        <v/>
      </c>
      <c r="C759" s="203" t="str" cm="1">
        <f t="array" aca="1" ref="C759" ca="1">IFERROR(
IF($J$2="ELA",
IF(VLOOKUP($A759, YES_Reading_ELA[], COLUMN(IF(VLOOKUP($D$2, 'Reading Report Logic'!$A$2:$B$8, 2, FALSE)=1, YES_Reading_ELA[Reading Level June of Previous School Year], INDIRECT("YES_Reading_ELA[Instructional Reading Level - Per "&amp;(VLOOKUP($D$2,'Reading Report Logic'!$A$2:$B$8,2,FALSE)-1)&amp;"]"))), FALSE)="", "",
VLOOKUP($A759,YES_Reading_ELA[], COLUMN(IF(VLOOKUP($D$2,'Reading Report Logic'!$A$2:$B$8,2,FALSE)=1, YES_Reading_ELA[Reading Level June of Previous School Year],INDIRECT("YES_Reading_ELA[Instructional Reading Level - Per "&amp;(VLOOKUP($D$2,'Reading Report Logic'!$A$2:$B$8,2,FALSE)-1)&amp;"]"))), FALSE)),
IF($J$2="FLA",
IF(VLOOKUP($A759, YES_Reading_FLA[], COLUMN(IF(VLOOKUP($D$2,'Reading Report Logic'!$A$2:$B$8,2,FALSE)=1, YES_Reading_FLA[Reading Level June of Previous School Year],INDIRECT("YES_Reading_FLA[Instructional Reading Level - Per "&amp;(VLOOKUP($D$2,'Reading Report Logic'!$A$2:$B$8,2,FALSE)-1)&amp;"]"))),FALSE)="","",
VLOOKUP($A759,YES_Reading_FLA[], COLUMN(IF(VLOOKUP($D$2,'Reading Report Logic'!$A$2:$B$8,2,FALSE)=1, YES_Reading_FLA[Reading Level June of Previous School Year],INDIRECT("YES_Reading_FLA[Instructional Reading Level - Per "&amp;(VLOOKUP($D$2,'Reading Report Logic'!$A$2:$B$8,2,FALSE)-1)&amp;"]"))),FALSE)),
IF($J$2="Combined",
IFERROR(
IF(VLOOKUP($A759, YES_Reading_ELA[], COLUMN(IF(VLOOKUP($D$2,'Reading Report Logic'!$A$2:$B$8,2,FALSE)=1, YES_Reading_ELA[Reading Level June of Previous School Year],INDIRECT("YES_Reading_ELA[Instructional Reading Level - Per "&amp;(VLOOKUP($D$2,'Reading Report Logic'!$A$2:$B$8,2,FALSE)-1)&amp;"]"))), FALSE)="", "",
VLOOKUP($A759,YES_Reading_ELA[],COLUMN(IF(VLOOKUP($D$2,'Reading Report Logic'!$A$2:$B$8,2,FALSE)=1, YES_Reading_ELA[Reading Level June of Previous School Year],INDIRECT("YES_Reading_ELA[Instructional Reading Level - Per "&amp;(VLOOKUP($D$2,'Reading Report Logic'!$A$2:$B$8,2,FALSE)-1)&amp;"]"))),FALSE)),
IF(VLOOKUP($A759, YES_Reading_FLA[], COLUMN(IF(VLOOKUP($D$2,'Reading Report Logic'!$A$2:$B$8,2,FALSE)=1, YES_Reading_FLA[Reading Level June of Previous School Year],INDIRECT("YES_Reading_FLA[Instructional Reading Level - Per "&amp;(VLOOKUP($D$2,'Reading Report Logic'!$A$2:$B$8,2,FALSE)-1)&amp;"]"))),FALSE)="", "", VLOOKUP($A759,YES_Reading_FLA[],COLUMN(IF(VLOOKUP($D$2,'Reading Report Logic'!$A$2:$B$8,2,FALSE)=1, YES_Reading_FLA[Reading Level June of Previous School Year],INDIRECT("YES_Reading_FLA[Instructional Reading Level - Per "&amp;(VLOOKUP($D$2,'Reading Report Logic'!$A$2:$B$8,2,FALSE)-1)&amp;"]"))), FALSE))),""))),"")</f>
        <v/>
      </c>
      <c r="D759" s="204" t="str" cm="1">
        <f t="array" aca="1" ref="D759" ca="1">IFERROR(
IF($J$2="ELA",
IF(VLOOKUP($A759, YES_Reading_ELA[], COLUMN(INDIRECT("YES_Reading_ELA[Instructional Reading Level - Per "&amp;VLOOKUP($D$2, 'Reading Report Logic'!$A$2:$B$8, 2, FALSE)&amp;"]")), FALSE)="", "",
VLOOKUP($A759,YES_Reading_ELA[], COLUMN(INDIRECT("YES_Reading_ELA[Instructional Reading Level - Per "&amp;VLOOKUP($D$2,'Reading Report Logic'!$A$2:$B$8,2,FALSE)&amp;"]")), FALSE)),
IF($J$2="FLA",
IF(VLOOKUP($A759, YES_Reading_FLA[], COLUMN(INDIRECT("YES_Reading_FLA[Instructional Reading Level - Per "&amp;VLOOKUP($D$2,'Reading Report Logic'!$A$2:$B$8,2,FALSE)&amp;"]")),FALSE)="","",
VLOOKUP($A759,YES_Reading_FLA[],COLUMN(INDIRECT("YES_Reading_FLA[Instructional Reading Level - Per "&amp;VLOOKUP($D$2,'Reading Report Logic'!$A$2:$B$8,2,FALSE)&amp;"]")),FALSE)),
IF($J$2="Combined",
IFERROR(
IF(VLOOKUP($A759, YES_Reading_ELA[], COLUMN(INDIRECT("YES_Reading_ELA[Instructional Reading Level - Per "&amp;VLOOKUP($D$2, 'Reading Report Logic'!$A$2:$B$8,2,FALSE)&amp;"]")), FALSE)="", "",
VLOOKUP($A759,YES_Reading_ELA[],COLUMN(INDIRECT("YES_Reading_ELA[Instructional Reading Level - Per "&amp;VLOOKUP($D$2,'Reading Report Logic'!$A$2:$B$8,2,FALSE)&amp;"]")),FALSE)),
IF(VLOOKUP($A759, YES_Reading_FLA[], COLUMN(INDIRECT("YES_Reading_FLA[Instructional Reading Level - Per "&amp;VLOOKUP($D$2, 'Reading Report Logic'!$A$2:$B$8, 2, FALSE)&amp;"]")),FALSE)="", "", VLOOKUP($A759,YES_Reading_FLA[],COLUMN(INDIRECT("YES_Reading_FLA[Instructional Reading Level - Per "&amp;VLOOKUP($D$2, 'Reading Report Logic'!$A$2:$B$8, 2, FALSE)&amp;"]")),FALSE))),""))),"")</f>
        <v/>
      </c>
      <c r="E759" s="205" t="str" cm="1">
        <f t="array" aca="1" ref="E759" ca="1">IFERROR(
IF($J$2="ELA",
IF(VLOOKUP($A759, YES_Reading_ELA[], COLUMN(INDIRECT("YES_Reading_ELA[Min Expectation - Per "&amp;VLOOKUP($D$2, 'Reading Report Logic'!$A$2:$B$8, 2, FALSE)&amp;"]")), FALSE)="", "",
VLOOKUP($A759,YES_Reading_ELA[], COLUMN(INDIRECT("YES_Reading_ELA[Min Expectation - Per "&amp;VLOOKUP($D$2,'Reading Report Logic'!$A$2:$B$8,2,FALSE)&amp;"]")), FALSE)),
IF($J$2="FLA",
IF(VLOOKUP($A759, YES_Reading_FLA[], COLUMN(INDIRECT("YES_Reading_FLA[Min Expectation - Per "&amp;VLOOKUP($D$2,'Reading Report Logic'!$A$2:$B$8,2,FALSE)&amp;"]")),FALSE)="","",
VLOOKUP($A759,YES_Reading_FLA[],COLUMN(INDIRECT("YES_Reading_FLA[Min Expectation - Per "&amp;VLOOKUP($D$2,'Reading Report Logic'!$A$2:$B$8,2,FALSE)&amp;"]")),FALSE)),
IF($J$2="Combined",
IFERROR(
IF(VLOOKUP($A759, YES_Reading_ELA[], COLUMN(INDIRECT("YES_Reading_ELA[Min Expectation - Per "&amp;VLOOKUP($D$2, 'Reading Report Logic'!$A$2:$B$8,2,FALSE)&amp;"]")), FALSE)="", "",
VLOOKUP($A759,YES_Reading_ELA[],COLUMN(INDIRECT("YES_Reading_ELA[Min Expectation - Per "&amp;VLOOKUP($D$2,'Reading Report Logic'!$A$2:$B$8,2,FALSE)&amp;"]")),FALSE)),
IF(VLOOKUP($A759, YES_Reading_FLA[], COLUMN(INDIRECT("YES_Reading_FLA[Min Expectation - Per "&amp;VLOOKUP($D$2, 'Reading Report Logic'!$A$2:$B$8, 2, FALSE)&amp;"]")),FALSE)="", "", VLOOKUP($A759,YES_Reading_FLA[],COLUMN(INDIRECT("YES_Reading_FLA[Min Expectation - Per "&amp;VLOOKUP($D$2, 'Reading Report Logic'!$A$2:$B$8, 2, FALSE)&amp;"]")),FALSE))),""))),"")</f>
        <v/>
      </c>
      <c r="F759" s="205" t="str" cm="1">
        <f t="array" aca="1" ref="F759" ca="1">IFERROR(
IF($J$2="ELA",
IF(VLOOKUP($A759, YES_Reading_ELA[], COLUMN(INDIRECT("YES_Reading_ELA[Max Expectation - Per "&amp;VLOOKUP($D$2, 'Reading Report Logic'!$A$2:$B$8, 2, FALSE)&amp;"]")), FALSE)="", "",
VLOOKUP($A759,YES_Reading_ELA[], COLUMN(INDIRECT("YES_Reading_ELA[Max Expectation - Per "&amp;VLOOKUP($D$2,'Reading Report Logic'!$A$2:$B$8,2,FALSE)&amp;"]")), FALSE)),
IF($J$2="FLA",
IF(VLOOKUP($A759, YES_Reading_FLA[], COLUMN(INDIRECT("YES_Reading_FLA[Max Expectation - Per "&amp;VLOOKUP($D$2,'Reading Report Logic'!$A$2:$B$8,2,FALSE)&amp;"]")),FALSE)="","",
VLOOKUP($A759,YES_Reading_FLA[],COLUMN(INDIRECT("YES_Reading_FLA[Max Expectation - Per "&amp;VLOOKUP($D$2,'Reading Report Logic'!$A$2:$B$8,2,FALSE)&amp;"]")),FALSE)),
IF($J$2="Combined",
IFERROR(
IF(VLOOKUP($A759, YES_Reading_ELA[], COLUMN(INDIRECT("YES_Reading_ELA[Max Expectation - Per "&amp;VLOOKUP($D$2, 'Reading Report Logic'!$A$2:$B$8,2,FALSE)&amp;"]")), FALSE)="", "",
VLOOKUP($A759,YES_Reading_ELA[],COLUMN(INDIRECT("YES_Reading_ELA[Max Expectation - Per "&amp;VLOOKUP($D$2,'Reading Report Logic'!$A$2:$B$8,2,FALSE)&amp;"]")),FALSE)),
IF(VLOOKUP($A759, YES_Reading_FLA[], COLUMN(INDIRECT("YES_Reading_FLA[Max Expectation - Per "&amp;VLOOKUP($D$2, 'Reading Report Logic'!$A$2:$B$8, 2, FALSE)&amp;"]")),FALSE)="", "", VLOOKUP($A759,YES_Reading_FLA[],COLUMN(INDIRECT("YES_Reading_FLA[Max Expectation - Per "&amp;VLOOKUP($D$2, 'Reading Report Logic'!$A$2:$B$8, 2, FALSE)&amp;"]")),FALSE))),""))),"")</f>
        <v/>
      </c>
      <c r="G759" s="205" t="str" cm="1">
        <f t="array" aca="1" ref="G759" ca="1">IFERROR(
IF($J$2="ELA",
IF(VLOOKUP($A759, YES_Reading_ELA[], COLUMN(INDIRECT("YES_Reading_ELA[Difference - Per "&amp;VLOOKUP($D$2, 'Reading Report Logic'!$A$2:$B$8, 2, FALSE)&amp;"]")), FALSE)="", "",
VLOOKUP($A759,YES_Reading_ELA[], COLUMN(INDIRECT("YES_Reading_ELA[Difference - Per "&amp;VLOOKUP($D$2,'Reading Report Logic'!$A$2:$B$8,2,FALSE)&amp;"]")), FALSE)),
IF($J$2="FLA",
IF(VLOOKUP($A759, YES_Reading_FLA[], COLUMN(INDIRECT("YES_Reading_FLA[Difference - Per "&amp;VLOOKUP($D$2,'Reading Report Logic'!$A$2:$B$8,2,FALSE)&amp;"]")),FALSE)="","",
VLOOKUP($A759,YES_Reading_FLA[],COLUMN(INDIRECT("YES_Reading_FLA[Difference - Per "&amp;VLOOKUP($D$2,'Reading Report Logic'!$A$2:$B$8,2,FALSE)&amp;"]")),FALSE)),
IF($J$2="Combined",
IFERROR(
IF(VLOOKUP($A759, YES_Reading_ELA[], COLUMN(INDIRECT("YES_Reading_ELA[Difference - Per "&amp;VLOOKUP($D$2, 'Reading Report Logic'!$A$2:$B$8,2,FALSE)&amp;"]")), FALSE)="", "",
VLOOKUP($A759,YES_Reading_ELA[],COLUMN(INDIRECT("YES_Reading_ELA[Difference - Per "&amp;VLOOKUP($D$2,'Reading Report Logic'!$A$2:$B$8,2,FALSE)&amp;"]")),FALSE)),
IF(VLOOKUP($A759, YES_Reading_FLA[], COLUMN(INDIRECT("YES_Reading_FLA[Difference - Per "&amp;VLOOKUP($D$2, 'Reading Report Logic'!$A$2:$B$8, 2, FALSE)&amp;"]")),FALSE)="", "", VLOOKUP($A759,YES_Reading_FLA[],COLUMN(INDIRECT("YES_Reading_FLA[Difference - Per "&amp;VLOOKUP($D$2, 'Reading Report Logic'!$A$2:$B$8, 2, FALSE)&amp;"]")),FALSE))),""))),"")</f>
        <v/>
      </c>
      <c r="H759" s="206" t="str">
        <f ca="1">IFERROR(VLOOKUP('Teacher Reading Pull Sheets'!$D759,_xlfn.VSTACK('ELA Reading Logic'!$A$22:$B$48,'FLA Reading Logic'!$A$22:$B$53),2,FALSE)-VLOOKUP('Teacher Reading Pull Sheets'!$C759,_xlfn.VSTACK('ELA Reading Logic'!$A$22:$B$48,'FLA Reading Logic'!$A$22:$B$53),2,FALSE),"")</f>
        <v/>
      </c>
      <c r="I759" s="212"/>
      <c r="J759" s="206"/>
      <c r="K759" s="197" t="str" cm="1">
        <f t="array" ref="K759">IFERROR(
IF($J$2="ELA",
IF(VLOOKUP($A759, YES_Reading_ELA[], COLUMN(YES_Reading_ELA[Self-Identified as African Descent]), FALSE)="", "",
VLOOKUP($A759,YES_Reading_ELA[], COLUMN(YES_Reading_ELA[Self-Identified as African Descent]), FALSE)),
IF($J$2="FLA",
IF(VLOOKUP($A759, YES_Reading_FLA[], COLUMN(YES_Reading_FLA[Self-Identified as African Descent]),FALSE)="","",
VLOOKUP($A759,YES_Reading_FLA[],COLUMN(YES_Reading_FLA[Self-Identified as African Descent]),FALSE)),
IF($J$2="Combined",
IFERROR(
IF(VLOOKUP($A759, YES_Reading_ELA[], COLUMN(YES_Reading_ELA[Self-Identified as African Descent]), FALSE)="", "",
VLOOKUP($A759,YES_Reading_ELA[],COLUMN(YES_Reading_ELA[Self-Identified as African Descent]),FALSE)),
IF(VLOOKUP($A759, YES_Reading_FLA[], COLUMN(YES_Reading_FLA[Self-Identified as African Descent]),FALSE)="", "", VLOOKUP($A759,YES_Reading_FLA[],COLUMN(YES_Reading_FLA[Self-Identified as African Descent]),FALSE))),""))),"")</f>
        <v/>
      </c>
      <c r="L759" s="73" t="str" cm="1">
        <f t="array" ref="L759">IFERROR(
IF($J$2="ELA",
IF(VLOOKUP($A759, YES_Reading_ELA[], COLUMN(YES_Reading_ELA[Self-Identified as Indigenous]), FALSE)="", "",
VLOOKUP($A759,YES_Reading_ELA[], COLUMN(YES_Reading_ELA[Self-Identified as Indigenous]), FALSE)),
IF($J$2="FLA",
IF(VLOOKUP($A759, YES_Reading_FLA[], COLUMN(YES_Reading_FLA[Self-Identified as Indigenous]),FALSE)="","",
VLOOKUP($A759,YES_Reading_FLA[],COLUMN(YES_Reading_FLA[Self-Identified as Indigenous]),FALSE)),
IF($J$2="Combined",
IFERROR(
IF(VLOOKUP($A759, YES_Reading_ELA[], COLUMN(YES_Reading_ELA[Self-Identified as Indigenous]), FALSE)="", "",
VLOOKUP($A759,YES_Reading_ELA[],COLUMN(YES_Reading_ELA[Self-Identified as Indigenous]),FALSE)),
IF(VLOOKUP($A759, YES_Reading_FLA[], COLUMN(YES_Reading_FLA[Self-Identified as Indigenous]),FALSE)="", "", VLOOKUP($A759,YES_Reading_FLA[],COLUMN(YES_Reading_FLA[Self-Identified as Indigenous]),FALSE))),""))),"")</f>
        <v/>
      </c>
    </row>
    <row r="760" spans="1:12" ht="19.5" customHeight="1" x14ac:dyDescent="0.25">
      <c r="A760" s="217">
        <v>0</v>
      </c>
      <c r="B760" s="220" t="str">
        <f>IFERROR(VLOOKUP(A760,_xlfn.VSTACK(YES_Reading_ELA[],YES_Reading_FLA[]),2,FALSE),"")</f>
        <v/>
      </c>
      <c r="C760" s="203" t="str" cm="1">
        <f t="array" aca="1" ref="C760" ca="1">IFERROR(
IF($J$2="ELA",
IF(VLOOKUP($A760, YES_Reading_ELA[], COLUMN(IF(VLOOKUP($D$2, 'Reading Report Logic'!$A$2:$B$8, 2, FALSE)=1, YES_Reading_ELA[Reading Level June of Previous School Year], INDIRECT("YES_Reading_ELA[Instructional Reading Level - Per "&amp;(VLOOKUP($D$2,'Reading Report Logic'!$A$2:$B$8,2,FALSE)-1)&amp;"]"))), FALSE)="", "",
VLOOKUP($A760,YES_Reading_ELA[], COLUMN(IF(VLOOKUP($D$2,'Reading Report Logic'!$A$2:$B$8,2,FALSE)=1, YES_Reading_ELA[Reading Level June of Previous School Year],INDIRECT("YES_Reading_ELA[Instructional Reading Level - Per "&amp;(VLOOKUP($D$2,'Reading Report Logic'!$A$2:$B$8,2,FALSE)-1)&amp;"]"))), FALSE)),
IF($J$2="FLA",
IF(VLOOKUP($A760, YES_Reading_FLA[], COLUMN(IF(VLOOKUP($D$2,'Reading Report Logic'!$A$2:$B$8,2,FALSE)=1, YES_Reading_FLA[Reading Level June of Previous School Year],INDIRECT("YES_Reading_FLA[Instructional Reading Level - Per "&amp;(VLOOKUP($D$2,'Reading Report Logic'!$A$2:$B$8,2,FALSE)-1)&amp;"]"))),FALSE)="","",
VLOOKUP($A760,YES_Reading_FLA[], COLUMN(IF(VLOOKUP($D$2,'Reading Report Logic'!$A$2:$B$8,2,FALSE)=1, YES_Reading_FLA[Reading Level June of Previous School Year],INDIRECT("YES_Reading_FLA[Instructional Reading Level - Per "&amp;(VLOOKUP($D$2,'Reading Report Logic'!$A$2:$B$8,2,FALSE)-1)&amp;"]"))),FALSE)),
IF($J$2="Combined",
IFERROR(
IF(VLOOKUP($A760, YES_Reading_ELA[], COLUMN(IF(VLOOKUP($D$2,'Reading Report Logic'!$A$2:$B$8,2,FALSE)=1, YES_Reading_ELA[Reading Level June of Previous School Year],INDIRECT("YES_Reading_ELA[Instructional Reading Level - Per "&amp;(VLOOKUP($D$2,'Reading Report Logic'!$A$2:$B$8,2,FALSE)-1)&amp;"]"))), FALSE)="", "",
VLOOKUP($A760,YES_Reading_ELA[],COLUMN(IF(VLOOKUP($D$2,'Reading Report Logic'!$A$2:$B$8,2,FALSE)=1, YES_Reading_ELA[Reading Level June of Previous School Year],INDIRECT("YES_Reading_ELA[Instructional Reading Level - Per "&amp;(VLOOKUP($D$2,'Reading Report Logic'!$A$2:$B$8,2,FALSE)-1)&amp;"]"))),FALSE)),
IF(VLOOKUP($A760, YES_Reading_FLA[], COLUMN(IF(VLOOKUP($D$2,'Reading Report Logic'!$A$2:$B$8,2,FALSE)=1, YES_Reading_FLA[Reading Level June of Previous School Year],INDIRECT("YES_Reading_FLA[Instructional Reading Level - Per "&amp;(VLOOKUP($D$2,'Reading Report Logic'!$A$2:$B$8,2,FALSE)-1)&amp;"]"))),FALSE)="", "", VLOOKUP($A760,YES_Reading_FLA[],COLUMN(IF(VLOOKUP($D$2,'Reading Report Logic'!$A$2:$B$8,2,FALSE)=1, YES_Reading_FLA[Reading Level June of Previous School Year],INDIRECT("YES_Reading_FLA[Instructional Reading Level - Per "&amp;(VLOOKUP($D$2,'Reading Report Logic'!$A$2:$B$8,2,FALSE)-1)&amp;"]"))), FALSE))),""))),"")</f>
        <v/>
      </c>
      <c r="D760" s="204" t="str" cm="1">
        <f t="array" aca="1" ref="D760" ca="1">IFERROR(
IF($J$2="ELA",
IF(VLOOKUP($A760, YES_Reading_ELA[], COLUMN(INDIRECT("YES_Reading_ELA[Instructional Reading Level - Per "&amp;VLOOKUP($D$2, 'Reading Report Logic'!$A$2:$B$8, 2, FALSE)&amp;"]")), FALSE)="", "",
VLOOKUP($A760,YES_Reading_ELA[], COLUMN(INDIRECT("YES_Reading_ELA[Instructional Reading Level - Per "&amp;VLOOKUP($D$2,'Reading Report Logic'!$A$2:$B$8,2,FALSE)&amp;"]")), FALSE)),
IF($J$2="FLA",
IF(VLOOKUP($A760, YES_Reading_FLA[], COLUMN(INDIRECT("YES_Reading_FLA[Instructional Reading Level - Per "&amp;VLOOKUP($D$2,'Reading Report Logic'!$A$2:$B$8,2,FALSE)&amp;"]")),FALSE)="","",
VLOOKUP($A760,YES_Reading_FLA[],COLUMN(INDIRECT("YES_Reading_FLA[Instructional Reading Level - Per "&amp;VLOOKUP($D$2,'Reading Report Logic'!$A$2:$B$8,2,FALSE)&amp;"]")),FALSE)),
IF($J$2="Combined",
IFERROR(
IF(VLOOKUP($A760, YES_Reading_ELA[], COLUMN(INDIRECT("YES_Reading_ELA[Instructional Reading Level - Per "&amp;VLOOKUP($D$2, 'Reading Report Logic'!$A$2:$B$8,2,FALSE)&amp;"]")), FALSE)="", "",
VLOOKUP($A760,YES_Reading_ELA[],COLUMN(INDIRECT("YES_Reading_ELA[Instructional Reading Level - Per "&amp;VLOOKUP($D$2,'Reading Report Logic'!$A$2:$B$8,2,FALSE)&amp;"]")),FALSE)),
IF(VLOOKUP($A760, YES_Reading_FLA[], COLUMN(INDIRECT("YES_Reading_FLA[Instructional Reading Level - Per "&amp;VLOOKUP($D$2, 'Reading Report Logic'!$A$2:$B$8, 2, FALSE)&amp;"]")),FALSE)="", "", VLOOKUP($A760,YES_Reading_FLA[],COLUMN(INDIRECT("YES_Reading_FLA[Instructional Reading Level - Per "&amp;VLOOKUP($D$2, 'Reading Report Logic'!$A$2:$B$8, 2, FALSE)&amp;"]")),FALSE))),""))),"")</f>
        <v/>
      </c>
      <c r="E760" s="205" t="str" cm="1">
        <f t="array" aca="1" ref="E760" ca="1">IFERROR(
IF($J$2="ELA",
IF(VLOOKUP($A760, YES_Reading_ELA[], COLUMN(INDIRECT("YES_Reading_ELA[Min Expectation - Per "&amp;VLOOKUP($D$2, 'Reading Report Logic'!$A$2:$B$8, 2, FALSE)&amp;"]")), FALSE)="", "",
VLOOKUP($A760,YES_Reading_ELA[], COLUMN(INDIRECT("YES_Reading_ELA[Min Expectation - Per "&amp;VLOOKUP($D$2,'Reading Report Logic'!$A$2:$B$8,2,FALSE)&amp;"]")), FALSE)),
IF($J$2="FLA",
IF(VLOOKUP($A760, YES_Reading_FLA[], COLUMN(INDIRECT("YES_Reading_FLA[Min Expectation - Per "&amp;VLOOKUP($D$2,'Reading Report Logic'!$A$2:$B$8,2,FALSE)&amp;"]")),FALSE)="","",
VLOOKUP($A760,YES_Reading_FLA[],COLUMN(INDIRECT("YES_Reading_FLA[Min Expectation - Per "&amp;VLOOKUP($D$2,'Reading Report Logic'!$A$2:$B$8,2,FALSE)&amp;"]")),FALSE)),
IF($J$2="Combined",
IFERROR(
IF(VLOOKUP($A760, YES_Reading_ELA[], COLUMN(INDIRECT("YES_Reading_ELA[Min Expectation - Per "&amp;VLOOKUP($D$2, 'Reading Report Logic'!$A$2:$B$8,2,FALSE)&amp;"]")), FALSE)="", "",
VLOOKUP($A760,YES_Reading_ELA[],COLUMN(INDIRECT("YES_Reading_ELA[Min Expectation - Per "&amp;VLOOKUP($D$2,'Reading Report Logic'!$A$2:$B$8,2,FALSE)&amp;"]")),FALSE)),
IF(VLOOKUP($A760, YES_Reading_FLA[], COLUMN(INDIRECT("YES_Reading_FLA[Min Expectation - Per "&amp;VLOOKUP($D$2, 'Reading Report Logic'!$A$2:$B$8, 2, FALSE)&amp;"]")),FALSE)="", "", VLOOKUP($A760,YES_Reading_FLA[],COLUMN(INDIRECT("YES_Reading_FLA[Min Expectation - Per "&amp;VLOOKUP($D$2, 'Reading Report Logic'!$A$2:$B$8, 2, FALSE)&amp;"]")),FALSE))),""))),"")</f>
        <v/>
      </c>
      <c r="F760" s="205" t="str" cm="1">
        <f t="array" aca="1" ref="F760" ca="1">IFERROR(
IF($J$2="ELA",
IF(VLOOKUP($A760, YES_Reading_ELA[], COLUMN(INDIRECT("YES_Reading_ELA[Max Expectation - Per "&amp;VLOOKUP($D$2, 'Reading Report Logic'!$A$2:$B$8, 2, FALSE)&amp;"]")), FALSE)="", "",
VLOOKUP($A760,YES_Reading_ELA[], COLUMN(INDIRECT("YES_Reading_ELA[Max Expectation - Per "&amp;VLOOKUP($D$2,'Reading Report Logic'!$A$2:$B$8,2,FALSE)&amp;"]")), FALSE)),
IF($J$2="FLA",
IF(VLOOKUP($A760, YES_Reading_FLA[], COLUMN(INDIRECT("YES_Reading_FLA[Max Expectation - Per "&amp;VLOOKUP($D$2,'Reading Report Logic'!$A$2:$B$8,2,FALSE)&amp;"]")),FALSE)="","",
VLOOKUP($A760,YES_Reading_FLA[],COLUMN(INDIRECT("YES_Reading_FLA[Max Expectation - Per "&amp;VLOOKUP($D$2,'Reading Report Logic'!$A$2:$B$8,2,FALSE)&amp;"]")),FALSE)),
IF($J$2="Combined",
IFERROR(
IF(VLOOKUP($A760, YES_Reading_ELA[], COLUMN(INDIRECT("YES_Reading_ELA[Max Expectation - Per "&amp;VLOOKUP($D$2, 'Reading Report Logic'!$A$2:$B$8,2,FALSE)&amp;"]")), FALSE)="", "",
VLOOKUP($A760,YES_Reading_ELA[],COLUMN(INDIRECT("YES_Reading_ELA[Max Expectation - Per "&amp;VLOOKUP($D$2,'Reading Report Logic'!$A$2:$B$8,2,FALSE)&amp;"]")),FALSE)),
IF(VLOOKUP($A760, YES_Reading_FLA[], COLUMN(INDIRECT("YES_Reading_FLA[Max Expectation - Per "&amp;VLOOKUP($D$2, 'Reading Report Logic'!$A$2:$B$8, 2, FALSE)&amp;"]")),FALSE)="", "", VLOOKUP($A760,YES_Reading_FLA[],COLUMN(INDIRECT("YES_Reading_FLA[Max Expectation - Per "&amp;VLOOKUP($D$2, 'Reading Report Logic'!$A$2:$B$8, 2, FALSE)&amp;"]")),FALSE))),""))),"")</f>
        <v/>
      </c>
      <c r="G760" s="205" t="str" cm="1">
        <f t="array" aca="1" ref="G760" ca="1">IFERROR(
IF($J$2="ELA",
IF(VLOOKUP($A760, YES_Reading_ELA[], COLUMN(INDIRECT("YES_Reading_ELA[Difference - Per "&amp;VLOOKUP($D$2, 'Reading Report Logic'!$A$2:$B$8, 2, FALSE)&amp;"]")), FALSE)="", "",
VLOOKUP($A760,YES_Reading_ELA[], COLUMN(INDIRECT("YES_Reading_ELA[Difference - Per "&amp;VLOOKUP($D$2,'Reading Report Logic'!$A$2:$B$8,2,FALSE)&amp;"]")), FALSE)),
IF($J$2="FLA",
IF(VLOOKUP($A760, YES_Reading_FLA[], COLUMN(INDIRECT("YES_Reading_FLA[Difference - Per "&amp;VLOOKUP($D$2,'Reading Report Logic'!$A$2:$B$8,2,FALSE)&amp;"]")),FALSE)="","",
VLOOKUP($A760,YES_Reading_FLA[],COLUMN(INDIRECT("YES_Reading_FLA[Difference - Per "&amp;VLOOKUP($D$2,'Reading Report Logic'!$A$2:$B$8,2,FALSE)&amp;"]")),FALSE)),
IF($J$2="Combined",
IFERROR(
IF(VLOOKUP($A760, YES_Reading_ELA[], COLUMN(INDIRECT("YES_Reading_ELA[Difference - Per "&amp;VLOOKUP($D$2, 'Reading Report Logic'!$A$2:$B$8,2,FALSE)&amp;"]")), FALSE)="", "",
VLOOKUP($A760,YES_Reading_ELA[],COLUMN(INDIRECT("YES_Reading_ELA[Difference - Per "&amp;VLOOKUP($D$2,'Reading Report Logic'!$A$2:$B$8,2,FALSE)&amp;"]")),FALSE)),
IF(VLOOKUP($A760, YES_Reading_FLA[], COLUMN(INDIRECT("YES_Reading_FLA[Difference - Per "&amp;VLOOKUP($D$2, 'Reading Report Logic'!$A$2:$B$8, 2, FALSE)&amp;"]")),FALSE)="", "", VLOOKUP($A760,YES_Reading_FLA[],COLUMN(INDIRECT("YES_Reading_FLA[Difference - Per "&amp;VLOOKUP($D$2, 'Reading Report Logic'!$A$2:$B$8, 2, FALSE)&amp;"]")),FALSE))),""))),"")</f>
        <v/>
      </c>
      <c r="H760" s="206" t="str">
        <f ca="1">IFERROR(VLOOKUP('Teacher Reading Pull Sheets'!$D760,_xlfn.VSTACK('ELA Reading Logic'!$A$22:$B$48,'FLA Reading Logic'!$A$22:$B$53),2,FALSE)-VLOOKUP('Teacher Reading Pull Sheets'!$C760,_xlfn.VSTACK('ELA Reading Logic'!$A$22:$B$48,'FLA Reading Logic'!$A$22:$B$53),2,FALSE),"")</f>
        <v/>
      </c>
      <c r="I760" s="212"/>
      <c r="J760" s="206"/>
      <c r="K760" s="197" t="str" cm="1">
        <f t="array" ref="K760">IFERROR(
IF($J$2="ELA",
IF(VLOOKUP($A760, YES_Reading_ELA[], COLUMN(YES_Reading_ELA[Self-Identified as African Descent]), FALSE)="", "",
VLOOKUP($A760,YES_Reading_ELA[], COLUMN(YES_Reading_ELA[Self-Identified as African Descent]), FALSE)),
IF($J$2="FLA",
IF(VLOOKUP($A760, YES_Reading_FLA[], COLUMN(YES_Reading_FLA[Self-Identified as African Descent]),FALSE)="","",
VLOOKUP($A760,YES_Reading_FLA[],COLUMN(YES_Reading_FLA[Self-Identified as African Descent]),FALSE)),
IF($J$2="Combined",
IFERROR(
IF(VLOOKUP($A760, YES_Reading_ELA[], COLUMN(YES_Reading_ELA[Self-Identified as African Descent]), FALSE)="", "",
VLOOKUP($A760,YES_Reading_ELA[],COLUMN(YES_Reading_ELA[Self-Identified as African Descent]),FALSE)),
IF(VLOOKUP($A760, YES_Reading_FLA[], COLUMN(YES_Reading_FLA[Self-Identified as African Descent]),FALSE)="", "", VLOOKUP($A760,YES_Reading_FLA[],COLUMN(YES_Reading_FLA[Self-Identified as African Descent]),FALSE))),""))),"")</f>
        <v/>
      </c>
      <c r="L760" s="73" t="str" cm="1">
        <f t="array" ref="L760">IFERROR(
IF($J$2="ELA",
IF(VLOOKUP($A760, YES_Reading_ELA[], COLUMN(YES_Reading_ELA[Self-Identified as Indigenous]), FALSE)="", "",
VLOOKUP($A760,YES_Reading_ELA[], COLUMN(YES_Reading_ELA[Self-Identified as Indigenous]), FALSE)),
IF($J$2="FLA",
IF(VLOOKUP($A760, YES_Reading_FLA[], COLUMN(YES_Reading_FLA[Self-Identified as Indigenous]),FALSE)="","",
VLOOKUP($A760,YES_Reading_FLA[],COLUMN(YES_Reading_FLA[Self-Identified as Indigenous]),FALSE)),
IF($J$2="Combined",
IFERROR(
IF(VLOOKUP($A760, YES_Reading_ELA[], COLUMN(YES_Reading_ELA[Self-Identified as Indigenous]), FALSE)="", "",
VLOOKUP($A760,YES_Reading_ELA[],COLUMN(YES_Reading_ELA[Self-Identified as Indigenous]),FALSE)),
IF(VLOOKUP($A760, YES_Reading_FLA[], COLUMN(YES_Reading_FLA[Self-Identified as Indigenous]),FALSE)="", "", VLOOKUP($A760,YES_Reading_FLA[],COLUMN(YES_Reading_FLA[Self-Identified as Indigenous]),FALSE))),""))),"")</f>
        <v/>
      </c>
    </row>
    <row r="761" spans="1:12" ht="19.5" customHeight="1" x14ac:dyDescent="0.25">
      <c r="A761" s="217">
        <v>0</v>
      </c>
      <c r="B761" s="220" t="str">
        <f>IFERROR(VLOOKUP(A761,_xlfn.VSTACK(YES_Reading_ELA[],YES_Reading_FLA[]),2,FALSE),"")</f>
        <v/>
      </c>
      <c r="C761" s="203" t="str" cm="1">
        <f t="array" aca="1" ref="C761" ca="1">IFERROR(
IF($J$2="ELA",
IF(VLOOKUP($A761, YES_Reading_ELA[], COLUMN(IF(VLOOKUP($D$2, 'Reading Report Logic'!$A$2:$B$8, 2, FALSE)=1, YES_Reading_ELA[Reading Level June of Previous School Year], INDIRECT("YES_Reading_ELA[Instructional Reading Level - Per "&amp;(VLOOKUP($D$2,'Reading Report Logic'!$A$2:$B$8,2,FALSE)-1)&amp;"]"))), FALSE)="", "",
VLOOKUP($A761,YES_Reading_ELA[], COLUMN(IF(VLOOKUP($D$2,'Reading Report Logic'!$A$2:$B$8,2,FALSE)=1, YES_Reading_ELA[Reading Level June of Previous School Year],INDIRECT("YES_Reading_ELA[Instructional Reading Level - Per "&amp;(VLOOKUP($D$2,'Reading Report Logic'!$A$2:$B$8,2,FALSE)-1)&amp;"]"))), FALSE)),
IF($J$2="FLA",
IF(VLOOKUP($A761, YES_Reading_FLA[], COLUMN(IF(VLOOKUP($D$2,'Reading Report Logic'!$A$2:$B$8,2,FALSE)=1, YES_Reading_FLA[Reading Level June of Previous School Year],INDIRECT("YES_Reading_FLA[Instructional Reading Level - Per "&amp;(VLOOKUP($D$2,'Reading Report Logic'!$A$2:$B$8,2,FALSE)-1)&amp;"]"))),FALSE)="","",
VLOOKUP($A761,YES_Reading_FLA[], COLUMN(IF(VLOOKUP($D$2,'Reading Report Logic'!$A$2:$B$8,2,FALSE)=1, YES_Reading_FLA[Reading Level June of Previous School Year],INDIRECT("YES_Reading_FLA[Instructional Reading Level - Per "&amp;(VLOOKUP($D$2,'Reading Report Logic'!$A$2:$B$8,2,FALSE)-1)&amp;"]"))),FALSE)),
IF($J$2="Combined",
IFERROR(
IF(VLOOKUP($A761, YES_Reading_ELA[], COLUMN(IF(VLOOKUP($D$2,'Reading Report Logic'!$A$2:$B$8,2,FALSE)=1, YES_Reading_ELA[Reading Level June of Previous School Year],INDIRECT("YES_Reading_ELA[Instructional Reading Level - Per "&amp;(VLOOKUP($D$2,'Reading Report Logic'!$A$2:$B$8,2,FALSE)-1)&amp;"]"))), FALSE)="", "",
VLOOKUP($A761,YES_Reading_ELA[],COLUMN(IF(VLOOKUP($D$2,'Reading Report Logic'!$A$2:$B$8,2,FALSE)=1, YES_Reading_ELA[Reading Level June of Previous School Year],INDIRECT("YES_Reading_ELA[Instructional Reading Level - Per "&amp;(VLOOKUP($D$2,'Reading Report Logic'!$A$2:$B$8,2,FALSE)-1)&amp;"]"))),FALSE)),
IF(VLOOKUP($A761, YES_Reading_FLA[], COLUMN(IF(VLOOKUP($D$2,'Reading Report Logic'!$A$2:$B$8,2,FALSE)=1, YES_Reading_FLA[Reading Level June of Previous School Year],INDIRECT("YES_Reading_FLA[Instructional Reading Level - Per "&amp;(VLOOKUP($D$2,'Reading Report Logic'!$A$2:$B$8,2,FALSE)-1)&amp;"]"))),FALSE)="", "", VLOOKUP($A761,YES_Reading_FLA[],COLUMN(IF(VLOOKUP($D$2,'Reading Report Logic'!$A$2:$B$8,2,FALSE)=1, YES_Reading_FLA[Reading Level June of Previous School Year],INDIRECT("YES_Reading_FLA[Instructional Reading Level - Per "&amp;(VLOOKUP($D$2,'Reading Report Logic'!$A$2:$B$8,2,FALSE)-1)&amp;"]"))), FALSE))),""))),"")</f>
        <v/>
      </c>
      <c r="D761" s="204" t="str" cm="1">
        <f t="array" aca="1" ref="D761" ca="1">IFERROR(
IF($J$2="ELA",
IF(VLOOKUP($A761, YES_Reading_ELA[], COLUMN(INDIRECT("YES_Reading_ELA[Instructional Reading Level - Per "&amp;VLOOKUP($D$2, 'Reading Report Logic'!$A$2:$B$8, 2, FALSE)&amp;"]")), FALSE)="", "",
VLOOKUP($A761,YES_Reading_ELA[], COLUMN(INDIRECT("YES_Reading_ELA[Instructional Reading Level - Per "&amp;VLOOKUP($D$2,'Reading Report Logic'!$A$2:$B$8,2,FALSE)&amp;"]")), FALSE)),
IF($J$2="FLA",
IF(VLOOKUP($A761, YES_Reading_FLA[], COLUMN(INDIRECT("YES_Reading_FLA[Instructional Reading Level - Per "&amp;VLOOKUP($D$2,'Reading Report Logic'!$A$2:$B$8,2,FALSE)&amp;"]")),FALSE)="","",
VLOOKUP($A761,YES_Reading_FLA[],COLUMN(INDIRECT("YES_Reading_FLA[Instructional Reading Level - Per "&amp;VLOOKUP($D$2,'Reading Report Logic'!$A$2:$B$8,2,FALSE)&amp;"]")),FALSE)),
IF($J$2="Combined",
IFERROR(
IF(VLOOKUP($A761, YES_Reading_ELA[], COLUMN(INDIRECT("YES_Reading_ELA[Instructional Reading Level - Per "&amp;VLOOKUP($D$2, 'Reading Report Logic'!$A$2:$B$8,2,FALSE)&amp;"]")), FALSE)="", "",
VLOOKUP($A761,YES_Reading_ELA[],COLUMN(INDIRECT("YES_Reading_ELA[Instructional Reading Level - Per "&amp;VLOOKUP($D$2,'Reading Report Logic'!$A$2:$B$8,2,FALSE)&amp;"]")),FALSE)),
IF(VLOOKUP($A761, YES_Reading_FLA[], COLUMN(INDIRECT("YES_Reading_FLA[Instructional Reading Level - Per "&amp;VLOOKUP($D$2, 'Reading Report Logic'!$A$2:$B$8, 2, FALSE)&amp;"]")),FALSE)="", "", VLOOKUP($A761,YES_Reading_FLA[],COLUMN(INDIRECT("YES_Reading_FLA[Instructional Reading Level - Per "&amp;VLOOKUP($D$2, 'Reading Report Logic'!$A$2:$B$8, 2, FALSE)&amp;"]")),FALSE))),""))),"")</f>
        <v/>
      </c>
      <c r="E761" s="205" t="str" cm="1">
        <f t="array" aca="1" ref="E761" ca="1">IFERROR(
IF($J$2="ELA",
IF(VLOOKUP($A761, YES_Reading_ELA[], COLUMN(INDIRECT("YES_Reading_ELA[Min Expectation - Per "&amp;VLOOKUP($D$2, 'Reading Report Logic'!$A$2:$B$8, 2, FALSE)&amp;"]")), FALSE)="", "",
VLOOKUP($A761,YES_Reading_ELA[], COLUMN(INDIRECT("YES_Reading_ELA[Min Expectation - Per "&amp;VLOOKUP($D$2,'Reading Report Logic'!$A$2:$B$8,2,FALSE)&amp;"]")), FALSE)),
IF($J$2="FLA",
IF(VLOOKUP($A761, YES_Reading_FLA[], COLUMN(INDIRECT("YES_Reading_FLA[Min Expectation - Per "&amp;VLOOKUP($D$2,'Reading Report Logic'!$A$2:$B$8,2,FALSE)&amp;"]")),FALSE)="","",
VLOOKUP($A761,YES_Reading_FLA[],COLUMN(INDIRECT("YES_Reading_FLA[Min Expectation - Per "&amp;VLOOKUP($D$2,'Reading Report Logic'!$A$2:$B$8,2,FALSE)&amp;"]")),FALSE)),
IF($J$2="Combined",
IFERROR(
IF(VLOOKUP($A761, YES_Reading_ELA[], COLUMN(INDIRECT("YES_Reading_ELA[Min Expectation - Per "&amp;VLOOKUP($D$2, 'Reading Report Logic'!$A$2:$B$8,2,FALSE)&amp;"]")), FALSE)="", "",
VLOOKUP($A761,YES_Reading_ELA[],COLUMN(INDIRECT("YES_Reading_ELA[Min Expectation - Per "&amp;VLOOKUP($D$2,'Reading Report Logic'!$A$2:$B$8,2,FALSE)&amp;"]")),FALSE)),
IF(VLOOKUP($A761, YES_Reading_FLA[], COLUMN(INDIRECT("YES_Reading_FLA[Min Expectation - Per "&amp;VLOOKUP($D$2, 'Reading Report Logic'!$A$2:$B$8, 2, FALSE)&amp;"]")),FALSE)="", "", VLOOKUP($A761,YES_Reading_FLA[],COLUMN(INDIRECT("YES_Reading_FLA[Min Expectation - Per "&amp;VLOOKUP($D$2, 'Reading Report Logic'!$A$2:$B$8, 2, FALSE)&amp;"]")),FALSE))),""))),"")</f>
        <v/>
      </c>
      <c r="F761" s="205" t="str" cm="1">
        <f t="array" aca="1" ref="F761" ca="1">IFERROR(
IF($J$2="ELA",
IF(VLOOKUP($A761, YES_Reading_ELA[], COLUMN(INDIRECT("YES_Reading_ELA[Max Expectation - Per "&amp;VLOOKUP($D$2, 'Reading Report Logic'!$A$2:$B$8, 2, FALSE)&amp;"]")), FALSE)="", "",
VLOOKUP($A761,YES_Reading_ELA[], COLUMN(INDIRECT("YES_Reading_ELA[Max Expectation - Per "&amp;VLOOKUP($D$2,'Reading Report Logic'!$A$2:$B$8,2,FALSE)&amp;"]")), FALSE)),
IF($J$2="FLA",
IF(VLOOKUP($A761, YES_Reading_FLA[], COLUMN(INDIRECT("YES_Reading_FLA[Max Expectation - Per "&amp;VLOOKUP($D$2,'Reading Report Logic'!$A$2:$B$8,2,FALSE)&amp;"]")),FALSE)="","",
VLOOKUP($A761,YES_Reading_FLA[],COLUMN(INDIRECT("YES_Reading_FLA[Max Expectation - Per "&amp;VLOOKUP($D$2,'Reading Report Logic'!$A$2:$B$8,2,FALSE)&amp;"]")),FALSE)),
IF($J$2="Combined",
IFERROR(
IF(VLOOKUP($A761, YES_Reading_ELA[], COLUMN(INDIRECT("YES_Reading_ELA[Max Expectation - Per "&amp;VLOOKUP($D$2, 'Reading Report Logic'!$A$2:$B$8,2,FALSE)&amp;"]")), FALSE)="", "",
VLOOKUP($A761,YES_Reading_ELA[],COLUMN(INDIRECT("YES_Reading_ELA[Max Expectation - Per "&amp;VLOOKUP($D$2,'Reading Report Logic'!$A$2:$B$8,2,FALSE)&amp;"]")),FALSE)),
IF(VLOOKUP($A761, YES_Reading_FLA[], COLUMN(INDIRECT("YES_Reading_FLA[Max Expectation - Per "&amp;VLOOKUP($D$2, 'Reading Report Logic'!$A$2:$B$8, 2, FALSE)&amp;"]")),FALSE)="", "", VLOOKUP($A761,YES_Reading_FLA[],COLUMN(INDIRECT("YES_Reading_FLA[Max Expectation - Per "&amp;VLOOKUP($D$2, 'Reading Report Logic'!$A$2:$B$8, 2, FALSE)&amp;"]")),FALSE))),""))),"")</f>
        <v/>
      </c>
      <c r="G761" s="205" t="str" cm="1">
        <f t="array" aca="1" ref="G761" ca="1">IFERROR(
IF($J$2="ELA",
IF(VLOOKUP($A761, YES_Reading_ELA[], COLUMN(INDIRECT("YES_Reading_ELA[Difference - Per "&amp;VLOOKUP($D$2, 'Reading Report Logic'!$A$2:$B$8, 2, FALSE)&amp;"]")), FALSE)="", "",
VLOOKUP($A761,YES_Reading_ELA[], COLUMN(INDIRECT("YES_Reading_ELA[Difference - Per "&amp;VLOOKUP($D$2,'Reading Report Logic'!$A$2:$B$8,2,FALSE)&amp;"]")), FALSE)),
IF($J$2="FLA",
IF(VLOOKUP($A761, YES_Reading_FLA[], COLUMN(INDIRECT("YES_Reading_FLA[Difference - Per "&amp;VLOOKUP($D$2,'Reading Report Logic'!$A$2:$B$8,2,FALSE)&amp;"]")),FALSE)="","",
VLOOKUP($A761,YES_Reading_FLA[],COLUMN(INDIRECT("YES_Reading_FLA[Difference - Per "&amp;VLOOKUP($D$2,'Reading Report Logic'!$A$2:$B$8,2,FALSE)&amp;"]")),FALSE)),
IF($J$2="Combined",
IFERROR(
IF(VLOOKUP($A761, YES_Reading_ELA[], COLUMN(INDIRECT("YES_Reading_ELA[Difference - Per "&amp;VLOOKUP($D$2, 'Reading Report Logic'!$A$2:$B$8,2,FALSE)&amp;"]")), FALSE)="", "",
VLOOKUP($A761,YES_Reading_ELA[],COLUMN(INDIRECT("YES_Reading_ELA[Difference - Per "&amp;VLOOKUP($D$2,'Reading Report Logic'!$A$2:$B$8,2,FALSE)&amp;"]")),FALSE)),
IF(VLOOKUP($A761, YES_Reading_FLA[], COLUMN(INDIRECT("YES_Reading_FLA[Difference - Per "&amp;VLOOKUP($D$2, 'Reading Report Logic'!$A$2:$B$8, 2, FALSE)&amp;"]")),FALSE)="", "", VLOOKUP($A761,YES_Reading_FLA[],COLUMN(INDIRECT("YES_Reading_FLA[Difference - Per "&amp;VLOOKUP($D$2, 'Reading Report Logic'!$A$2:$B$8, 2, FALSE)&amp;"]")),FALSE))),""))),"")</f>
        <v/>
      </c>
      <c r="H761" s="206" t="str">
        <f ca="1">IFERROR(VLOOKUP('Teacher Reading Pull Sheets'!$D761,_xlfn.VSTACK('ELA Reading Logic'!$A$22:$B$48,'FLA Reading Logic'!$A$22:$B$53),2,FALSE)-VLOOKUP('Teacher Reading Pull Sheets'!$C761,_xlfn.VSTACK('ELA Reading Logic'!$A$22:$B$48,'FLA Reading Logic'!$A$22:$B$53),2,FALSE),"")</f>
        <v/>
      </c>
      <c r="I761" s="212"/>
      <c r="J761" s="206"/>
      <c r="K761" s="197" t="str" cm="1">
        <f t="array" ref="K761">IFERROR(
IF($J$2="ELA",
IF(VLOOKUP($A761, YES_Reading_ELA[], COLUMN(YES_Reading_ELA[Self-Identified as African Descent]), FALSE)="", "",
VLOOKUP($A761,YES_Reading_ELA[], COLUMN(YES_Reading_ELA[Self-Identified as African Descent]), FALSE)),
IF($J$2="FLA",
IF(VLOOKUP($A761, YES_Reading_FLA[], COLUMN(YES_Reading_FLA[Self-Identified as African Descent]),FALSE)="","",
VLOOKUP($A761,YES_Reading_FLA[],COLUMN(YES_Reading_FLA[Self-Identified as African Descent]),FALSE)),
IF($J$2="Combined",
IFERROR(
IF(VLOOKUP($A761, YES_Reading_ELA[], COLUMN(YES_Reading_ELA[Self-Identified as African Descent]), FALSE)="", "",
VLOOKUP($A761,YES_Reading_ELA[],COLUMN(YES_Reading_ELA[Self-Identified as African Descent]),FALSE)),
IF(VLOOKUP($A761, YES_Reading_FLA[], COLUMN(YES_Reading_FLA[Self-Identified as African Descent]),FALSE)="", "", VLOOKUP($A761,YES_Reading_FLA[],COLUMN(YES_Reading_FLA[Self-Identified as African Descent]),FALSE))),""))),"")</f>
        <v/>
      </c>
      <c r="L761" s="73" t="str" cm="1">
        <f t="array" ref="L761">IFERROR(
IF($J$2="ELA",
IF(VLOOKUP($A761, YES_Reading_ELA[], COLUMN(YES_Reading_ELA[Self-Identified as Indigenous]), FALSE)="", "",
VLOOKUP($A761,YES_Reading_ELA[], COLUMN(YES_Reading_ELA[Self-Identified as Indigenous]), FALSE)),
IF($J$2="FLA",
IF(VLOOKUP($A761, YES_Reading_FLA[], COLUMN(YES_Reading_FLA[Self-Identified as Indigenous]),FALSE)="","",
VLOOKUP($A761,YES_Reading_FLA[],COLUMN(YES_Reading_FLA[Self-Identified as Indigenous]),FALSE)),
IF($J$2="Combined",
IFERROR(
IF(VLOOKUP($A761, YES_Reading_ELA[], COLUMN(YES_Reading_ELA[Self-Identified as Indigenous]), FALSE)="", "",
VLOOKUP($A761,YES_Reading_ELA[],COLUMN(YES_Reading_ELA[Self-Identified as Indigenous]),FALSE)),
IF(VLOOKUP($A761, YES_Reading_FLA[], COLUMN(YES_Reading_FLA[Self-Identified as Indigenous]),FALSE)="", "", VLOOKUP($A761,YES_Reading_FLA[],COLUMN(YES_Reading_FLA[Self-Identified as Indigenous]),FALSE))),""))),"")</f>
        <v/>
      </c>
    </row>
    <row r="762" spans="1:12" ht="19.5" customHeight="1" x14ac:dyDescent="0.25">
      <c r="A762" s="217">
        <v>0</v>
      </c>
      <c r="B762" s="220" t="str">
        <f>IFERROR(VLOOKUP(A762,_xlfn.VSTACK(YES_Reading_ELA[],YES_Reading_FLA[]),2,FALSE),"")</f>
        <v/>
      </c>
      <c r="C762" s="203" t="str" cm="1">
        <f t="array" aca="1" ref="C762" ca="1">IFERROR(
IF($J$2="ELA",
IF(VLOOKUP($A762, YES_Reading_ELA[], COLUMN(IF(VLOOKUP($D$2, 'Reading Report Logic'!$A$2:$B$8, 2, FALSE)=1, YES_Reading_ELA[Reading Level June of Previous School Year], INDIRECT("YES_Reading_ELA[Instructional Reading Level - Per "&amp;(VLOOKUP($D$2,'Reading Report Logic'!$A$2:$B$8,2,FALSE)-1)&amp;"]"))), FALSE)="", "",
VLOOKUP($A762,YES_Reading_ELA[], COLUMN(IF(VLOOKUP($D$2,'Reading Report Logic'!$A$2:$B$8,2,FALSE)=1, YES_Reading_ELA[Reading Level June of Previous School Year],INDIRECT("YES_Reading_ELA[Instructional Reading Level - Per "&amp;(VLOOKUP($D$2,'Reading Report Logic'!$A$2:$B$8,2,FALSE)-1)&amp;"]"))), FALSE)),
IF($J$2="FLA",
IF(VLOOKUP($A762, YES_Reading_FLA[], COLUMN(IF(VLOOKUP($D$2,'Reading Report Logic'!$A$2:$B$8,2,FALSE)=1, YES_Reading_FLA[Reading Level June of Previous School Year],INDIRECT("YES_Reading_FLA[Instructional Reading Level - Per "&amp;(VLOOKUP($D$2,'Reading Report Logic'!$A$2:$B$8,2,FALSE)-1)&amp;"]"))),FALSE)="","",
VLOOKUP($A762,YES_Reading_FLA[], COLUMN(IF(VLOOKUP($D$2,'Reading Report Logic'!$A$2:$B$8,2,FALSE)=1, YES_Reading_FLA[Reading Level June of Previous School Year],INDIRECT("YES_Reading_FLA[Instructional Reading Level - Per "&amp;(VLOOKUP($D$2,'Reading Report Logic'!$A$2:$B$8,2,FALSE)-1)&amp;"]"))),FALSE)),
IF($J$2="Combined",
IFERROR(
IF(VLOOKUP($A762, YES_Reading_ELA[], COLUMN(IF(VLOOKUP($D$2,'Reading Report Logic'!$A$2:$B$8,2,FALSE)=1, YES_Reading_ELA[Reading Level June of Previous School Year],INDIRECT("YES_Reading_ELA[Instructional Reading Level - Per "&amp;(VLOOKUP($D$2,'Reading Report Logic'!$A$2:$B$8,2,FALSE)-1)&amp;"]"))), FALSE)="", "",
VLOOKUP($A762,YES_Reading_ELA[],COLUMN(IF(VLOOKUP($D$2,'Reading Report Logic'!$A$2:$B$8,2,FALSE)=1, YES_Reading_ELA[Reading Level June of Previous School Year],INDIRECT("YES_Reading_ELA[Instructional Reading Level - Per "&amp;(VLOOKUP($D$2,'Reading Report Logic'!$A$2:$B$8,2,FALSE)-1)&amp;"]"))),FALSE)),
IF(VLOOKUP($A762, YES_Reading_FLA[], COLUMN(IF(VLOOKUP($D$2,'Reading Report Logic'!$A$2:$B$8,2,FALSE)=1, YES_Reading_FLA[Reading Level June of Previous School Year],INDIRECT("YES_Reading_FLA[Instructional Reading Level - Per "&amp;(VLOOKUP($D$2,'Reading Report Logic'!$A$2:$B$8,2,FALSE)-1)&amp;"]"))),FALSE)="", "", VLOOKUP($A762,YES_Reading_FLA[],COLUMN(IF(VLOOKUP($D$2,'Reading Report Logic'!$A$2:$B$8,2,FALSE)=1, YES_Reading_FLA[Reading Level June of Previous School Year],INDIRECT("YES_Reading_FLA[Instructional Reading Level - Per "&amp;(VLOOKUP($D$2,'Reading Report Logic'!$A$2:$B$8,2,FALSE)-1)&amp;"]"))), FALSE))),""))),"")</f>
        <v/>
      </c>
      <c r="D762" s="204" t="str" cm="1">
        <f t="array" aca="1" ref="D762" ca="1">IFERROR(
IF($J$2="ELA",
IF(VLOOKUP($A762, YES_Reading_ELA[], COLUMN(INDIRECT("YES_Reading_ELA[Instructional Reading Level - Per "&amp;VLOOKUP($D$2, 'Reading Report Logic'!$A$2:$B$8, 2, FALSE)&amp;"]")), FALSE)="", "",
VLOOKUP($A762,YES_Reading_ELA[], COLUMN(INDIRECT("YES_Reading_ELA[Instructional Reading Level - Per "&amp;VLOOKUP($D$2,'Reading Report Logic'!$A$2:$B$8,2,FALSE)&amp;"]")), FALSE)),
IF($J$2="FLA",
IF(VLOOKUP($A762, YES_Reading_FLA[], COLUMN(INDIRECT("YES_Reading_FLA[Instructional Reading Level - Per "&amp;VLOOKUP($D$2,'Reading Report Logic'!$A$2:$B$8,2,FALSE)&amp;"]")),FALSE)="","",
VLOOKUP($A762,YES_Reading_FLA[],COLUMN(INDIRECT("YES_Reading_FLA[Instructional Reading Level - Per "&amp;VLOOKUP($D$2,'Reading Report Logic'!$A$2:$B$8,2,FALSE)&amp;"]")),FALSE)),
IF($J$2="Combined",
IFERROR(
IF(VLOOKUP($A762, YES_Reading_ELA[], COLUMN(INDIRECT("YES_Reading_ELA[Instructional Reading Level - Per "&amp;VLOOKUP($D$2, 'Reading Report Logic'!$A$2:$B$8,2,FALSE)&amp;"]")), FALSE)="", "",
VLOOKUP($A762,YES_Reading_ELA[],COLUMN(INDIRECT("YES_Reading_ELA[Instructional Reading Level - Per "&amp;VLOOKUP($D$2,'Reading Report Logic'!$A$2:$B$8,2,FALSE)&amp;"]")),FALSE)),
IF(VLOOKUP($A762, YES_Reading_FLA[], COLUMN(INDIRECT("YES_Reading_FLA[Instructional Reading Level - Per "&amp;VLOOKUP($D$2, 'Reading Report Logic'!$A$2:$B$8, 2, FALSE)&amp;"]")),FALSE)="", "", VLOOKUP($A762,YES_Reading_FLA[],COLUMN(INDIRECT("YES_Reading_FLA[Instructional Reading Level - Per "&amp;VLOOKUP($D$2, 'Reading Report Logic'!$A$2:$B$8, 2, FALSE)&amp;"]")),FALSE))),""))),"")</f>
        <v/>
      </c>
      <c r="E762" s="205" t="str" cm="1">
        <f t="array" aca="1" ref="E762" ca="1">IFERROR(
IF($J$2="ELA",
IF(VLOOKUP($A762, YES_Reading_ELA[], COLUMN(INDIRECT("YES_Reading_ELA[Min Expectation - Per "&amp;VLOOKUP($D$2, 'Reading Report Logic'!$A$2:$B$8, 2, FALSE)&amp;"]")), FALSE)="", "",
VLOOKUP($A762,YES_Reading_ELA[], COLUMN(INDIRECT("YES_Reading_ELA[Min Expectation - Per "&amp;VLOOKUP($D$2,'Reading Report Logic'!$A$2:$B$8,2,FALSE)&amp;"]")), FALSE)),
IF($J$2="FLA",
IF(VLOOKUP($A762, YES_Reading_FLA[], COLUMN(INDIRECT("YES_Reading_FLA[Min Expectation - Per "&amp;VLOOKUP($D$2,'Reading Report Logic'!$A$2:$B$8,2,FALSE)&amp;"]")),FALSE)="","",
VLOOKUP($A762,YES_Reading_FLA[],COLUMN(INDIRECT("YES_Reading_FLA[Min Expectation - Per "&amp;VLOOKUP($D$2,'Reading Report Logic'!$A$2:$B$8,2,FALSE)&amp;"]")),FALSE)),
IF($J$2="Combined",
IFERROR(
IF(VLOOKUP($A762, YES_Reading_ELA[], COLUMN(INDIRECT("YES_Reading_ELA[Min Expectation - Per "&amp;VLOOKUP($D$2, 'Reading Report Logic'!$A$2:$B$8,2,FALSE)&amp;"]")), FALSE)="", "",
VLOOKUP($A762,YES_Reading_ELA[],COLUMN(INDIRECT("YES_Reading_ELA[Min Expectation - Per "&amp;VLOOKUP($D$2,'Reading Report Logic'!$A$2:$B$8,2,FALSE)&amp;"]")),FALSE)),
IF(VLOOKUP($A762, YES_Reading_FLA[], COLUMN(INDIRECT("YES_Reading_FLA[Min Expectation - Per "&amp;VLOOKUP($D$2, 'Reading Report Logic'!$A$2:$B$8, 2, FALSE)&amp;"]")),FALSE)="", "", VLOOKUP($A762,YES_Reading_FLA[],COLUMN(INDIRECT("YES_Reading_FLA[Min Expectation - Per "&amp;VLOOKUP($D$2, 'Reading Report Logic'!$A$2:$B$8, 2, FALSE)&amp;"]")),FALSE))),""))),"")</f>
        <v/>
      </c>
      <c r="F762" s="205" t="str" cm="1">
        <f t="array" aca="1" ref="F762" ca="1">IFERROR(
IF($J$2="ELA",
IF(VLOOKUP($A762, YES_Reading_ELA[], COLUMN(INDIRECT("YES_Reading_ELA[Max Expectation - Per "&amp;VLOOKUP($D$2, 'Reading Report Logic'!$A$2:$B$8, 2, FALSE)&amp;"]")), FALSE)="", "",
VLOOKUP($A762,YES_Reading_ELA[], COLUMN(INDIRECT("YES_Reading_ELA[Max Expectation - Per "&amp;VLOOKUP($D$2,'Reading Report Logic'!$A$2:$B$8,2,FALSE)&amp;"]")), FALSE)),
IF($J$2="FLA",
IF(VLOOKUP($A762, YES_Reading_FLA[], COLUMN(INDIRECT("YES_Reading_FLA[Max Expectation - Per "&amp;VLOOKUP($D$2,'Reading Report Logic'!$A$2:$B$8,2,FALSE)&amp;"]")),FALSE)="","",
VLOOKUP($A762,YES_Reading_FLA[],COLUMN(INDIRECT("YES_Reading_FLA[Max Expectation - Per "&amp;VLOOKUP($D$2,'Reading Report Logic'!$A$2:$B$8,2,FALSE)&amp;"]")),FALSE)),
IF($J$2="Combined",
IFERROR(
IF(VLOOKUP($A762, YES_Reading_ELA[], COLUMN(INDIRECT("YES_Reading_ELA[Max Expectation - Per "&amp;VLOOKUP($D$2, 'Reading Report Logic'!$A$2:$B$8,2,FALSE)&amp;"]")), FALSE)="", "",
VLOOKUP($A762,YES_Reading_ELA[],COLUMN(INDIRECT("YES_Reading_ELA[Max Expectation - Per "&amp;VLOOKUP($D$2,'Reading Report Logic'!$A$2:$B$8,2,FALSE)&amp;"]")),FALSE)),
IF(VLOOKUP($A762, YES_Reading_FLA[], COLUMN(INDIRECT("YES_Reading_FLA[Max Expectation - Per "&amp;VLOOKUP($D$2, 'Reading Report Logic'!$A$2:$B$8, 2, FALSE)&amp;"]")),FALSE)="", "", VLOOKUP($A762,YES_Reading_FLA[],COLUMN(INDIRECT("YES_Reading_FLA[Max Expectation - Per "&amp;VLOOKUP($D$2, 'Reading Report Logic'!$A$2:$B$8, 2, FALSE)&amp;"]")),FALSE))),""))),"")</f>
        <v/>
      </c>
      <c r="G762" s="205" t="str" cm="1">
        <f t="array" aca="1" ref="G762" ca="1">IFERROR(
IF($J$2="ELA",
IF(VLOOKUP($A762, YES_Reading_ELA[], COLUMN(INDIRECT("YES_Reading_ELA[Difference - Per "&amp;VLOOKUP($D$2, 'Reading Report Logic'!$A$2:$B$8, 2, FALSE)&amp;"]")), FALSE)="", "",
VLOOKUP($A762,YES_Reading_ELA[], COLUMN(INDIRECT("YES_Reading_ELA[Difference - Per "&amp;VLOOKUP($D$2,'Reading Report Logic'!$A$2:$B$8,2,FALSE)&amp;"]")), FALSE)),
IF($J$2="FLA",
IF(VLOOKUP($A762, YES_Reading_FLA[], COLUMN(INDIRECT("YES_Reading_FLA[Difference - Per "&amp;VLOOKUP($D$2,'Reading Report Logic'!$A$2:$B$8,2,FALSE)&amp;"]")),FALSE)="","",
VLOOKUP($A762,YES_Reading_FLA[],COLUMN(INDIRECT("YES_Reading_FLA[Difference - Per "&amp;VLOOKUP($D$2,'Reading Report Logic'!$A$2:$B$8,2,FALSE)&amp;"]")),FALSE)),
IF($J$2="Combined",
IFERROR(
IF(VLOOKUP($A762, YES_Reading_ELA[], COLUMN(INDIRECT("YES_Reading_ELA[Difference - Per "&amp;VLOOKUP($D$2, 'Reading Report Logic'!$A$2:$B$8,2,FALSE)&amp;"]")), FALSE)="", "",
VLOOKUP($A762,YES_Reading_ELA[],COLUMN(INDIRECT("YES_Reading_ELA[Difference - Per "&amp;VLOOKUP($D$2,'Reading Report Logic'!$A$2:$B$8,2,FALSE)&amp;"]")),FALSE)),
IF(VLOOKUP($A762, YES_Reading_FLA[], COLUMN(INDIRECT("YES_Reading_FLA[Difference - Per "&amp;VLOOKUP($D$2, 'Reading Report Logic'!$A$2:$B$8, 2, FALSE)&amp;"]")),FALSE)="", "", VLOOKUP($A762,YES_Reading_FLA[],COLUMN(INDIRECT("YES_Reading_FLA[Difference - Per "&amp;VLOOKUP($D$2, 'Reading Report Logic'!$A$2:$B$8, 2, FALSE)&amp;"]")),FALSE))),""))),"")</f>
        <v/>
      </c>
      <c r="H762" s="206" t="str">
        <f ca="1">IFERROR(VLOOKUP('Teacher Reading Pull Sheets'!$D762,_xlfn.VSTACK('ELA Reading Logic'!$A$22:$B$48,'FLA Reading Logic'!$A$22:$B$53),2,FALSE)-VLOOKUP('Teacher Reading Pull Sheets'!$C762,_xlfn.VSTACK('ELA Reading Logic'!$A$22:$B$48,'FLA Reading Logic'!$A$22:$B$53),2,FALSE),"")</f>
        <v/>
      </c>
      <c r="I762" s="212"/>
      <c r="J762" s="206"/>
      <c r="K762" s="197" t="str" cm="1">
        <f t="array" ref="K762">IFERROR(
IF($J$2="ELA",
IF(VLOOKUP($A762, YES_Reading_ELA[], COLUMN(YES_Reading_ELA[Self-Identified as African Descent]), FALSE)="", "",
VLOOKUP($A762,YES_Reading_ELA[], COLUMN(YES_Reading_ELA[Self-Identified as African Descent]), FALSE)),
IF($J$2="FLA",
IF(VLOOKUP($A762, YES_Reading_FLA[], COLUMN(YES_Reading_FLA[Self-Identified as African Descent]),FALSE)="","",
VLOOKUP($A762,YES_Reading_FLA[],COLUMN(YES_Reading_FLA[Self-Identified as African Descent]),FALSE)),
IF($J$2="Combined",
IFERROR(
IF(VLOOKUP($A762, YES_Reading_ELA[], COLUMN(YES_Reading_ELA[Self-Identified as African Descent]), FALSE)="", "",
VLOOKUP($A762,YES_Reading_ELA[],COLUMN(YES_Reading_ELA[Self-Identified as African Descent]),FALSE)),
IF(VLOOKUP($A762, YES_Reading_FLA[], COLUMN(YES_Reading_FLA[Self-Identified as African Descent]),FALSE)="", "", VLOOKUP($A762,YES_Reading_FLA[],COLUMN(YES_Reading_FLA[Self-Identified as African Descent]),FALSE))),""))),"")</f>
        <v/>
      </c>
      <c r="L762" s="73" t="str" cm="1">
        <f t="array" ref="L762">IFERROR(
IF($J$2="ELA",
IF(VLOOKUP($A762, YES_Reading_ELA[], COLUMN(YES_Reading_ELA[Self-Identified as Indigenous]), FALSE)="", "",
VLOOKUP($A762,YES_Reading_ELA[], COLUMN(YES_Reading_ELA[Self-Identified as Indigenous]), FALSE)),
IF($J$2="FLA",
IF(VLOOKUP($A762, YES_Reading_FLA[], COLUMN(YES_Reading_FLA[Self-Identified as Indigenous]),FALSE)="","",
VLOOKUP($A762,YES_Reading_FLA[],COLUMN(YES_Reading_FLA[Self-Identified as Indigenous]),FALSE)),
IF($J$2="Combined",
IFERROR(
IF(VLOOKUP($A762, YES_Reading_ELA[], COLUMN(YES_Reading_ELA[Self-Identified as Indigenous]), FALSE)="", "",
VLOOKUP($A762,YES_Reading_ELA[],COLUMN(YES_Reading_ELA[Self-Identified as Indigenous]),FALSE)),
IF(VLOOKUP($A762, YES_Reading_FLA[], COLUMN(YES_Reading_FLA[Self-Identified as Indigenous]),FALSE)="", "", VLOOKUP($A762,YES_Reading_FLA[],COLUMN(YES_Reading_FLA[Self-Identified as Indigenous]),FALSE))),""))),"")</f>
        <v/>
      </c>
    </row>
    <row r="763" spans="1:12" ht="19.5" customHeight="1" x14ac:dyDescent="0.25">
      <c r="A763" s="217">
        <v>0</v>
      </c>
      <c r="B763" s="220" t="str">
        <f>IFERROR(VLOOKUP(A763,_xlfn.VSTACK(YES_Reading_ELA[],YES_Reading_FLA[]),2,FALSE),"")</f>
        <v/>
      </c>
      <c r="C763" s="203" t="str" cm="1">
        <f t="array" aca="1" ref="C763" ca="1">IFERROR(
IF($J$2="ELA",
IF(VLOOKUP($A763, YES_Reading_ELA[], COLUMN(IF(VLOOKUP($D$2, 'Reading Report Logic'!$A$2:$B$8, 2, FALSE)=1, YES_Reading_ELA[Reading Level June of Previous School Year], INDIRECT("YES_Reading_ELA[Instructional Reading Level - Per "&amp;(VLOOKUP($D$2,'Reading Report Logic'!$A$2:$B$8,2,FALSE)-1)&amp;"]"))), FALSE)="", "",
VLOOKUP($A763,YES_Reading_ELA[], COLUMN(IF(VLOOKUP($D$2,'Reading Report Logic'!$A$2:$B$8,2,FALSE)=1, YES_Reading_ELA[Reading Level June of Previous School Year],INDIRECT("YES_Reading_ELA[Instructional Reading Level - Per "&amp;(VLOOKUP($D$2,'Reading Report Logic'!$A$2:$B$8,2,FALSE)-1)&amp;"]"))), FALSE)),
IF($J$2="FLA",
IF(VLOOKUP($A763, YES_Reading_FLA[], COLUMN(IF(VLOOKUP($D$2,'Reading Report Logic'!$A$2:$B$8,2,FALSE)=1, YES_Reading_FLA[Reading Level June of Previous School Year],INDIRECT("YES_Reading_FLA[Instructional Reading Level - Per "&amp;(VLOOKUP($D$2,'Reading Report Logic'!$A$2:$B$8,2,FALSE)-1)&amp;"]"))),FALSE)="","",
VLOOKUP($A763,YES_Reading_FLA[], COLUMN(IF(VLOOKUP($D$2,'Reading Report Logic'!$A$2:$B$8,2,FALSE)=1, YES_Reading_FLA[Reading Level June of Previous School Year],INDIRECT("YES_Reading_FLA[Instructional Reading Level - Per "&amp;(VLOOKUP($D$2,'Reading Report Logic'!$A$2:$B$8,2,FALSE)-1)&amp;"]"))),FALSE)),
IF($J$2="Combined",
IFERROR(
IF(VLOOKUP($A763, YES_Reading_ELA[], COLUMN(IF(VLOOKUP($D$2,'Reading Report Logic'!$A$2:$B$8,2,FALSE)=1, YES_Reading_ELA[Reading Level June of Previous School Year],INDIRECT("YES_Reading_ELA[Instructional Reading Level - Per "&amp;(VLOOKUP($D$2,'Reading Report Logic'!$A$2:$B$8,2,FALSE)-1)&amp;"]"))), FALSE)="", "",
VLOOKUP($A763,YES_Reading_ELA[],COLUMN(IF(VLOOKUP($D$2,'Reading Report Logic'!$A$2:$B$8,2,FALSE)=1, YES_Reading_ELA[Reading Level June of Previous School Year],INDIRECT("YES_Reading_ELA[Instructional Reading Level - Per "&amp;(VLOOKUP($D$2,'Reading Report Logic'!$A$2:$B$8,2,FALSE)-1)&amp;"]"))),FALSE)),
IF(VLOOKUP($A763, YES_Reading_FLA[], COLUMN(IF(VLOOKUP($D$2,'Reading Report Logic'!$A$2:$B$8,2,FALSE)=1, YES_Reading_FLA[Reading Level June of Previous School Year],INDIRECT("YES_Reading_FLA[Instructional Reading Level - Per "&amp;(VLOOKUP($D$2,'Reading Report Logic'!$A$2:$B$8,2,FALSE)-1)&amp;"]"))),FALSE)="", "", VLOOKUP($A763,YES_Reading_FLA[],COLUMN(IF(VLOOKUP($D$2,'Reading Report Logic'!$A$2:$B$8,2,FALSE)=1, YES_Reading_FLA[Reading Level June of Previous School Year],INDIRECT("YES_Reading_FLA[Instructional Reading Level - Per "&amp;(VLOOKUP($D$2,'Reading Report Logic'!$A$2:$B$8,2,FALSE)-1)&amp;"]"))), FALSE))),""))),"")</f>
        <v/>
      </c>
      <c r="D763" s="204" t="str" cm="1">
        <f t="array" aca="1" ref="D763" ca="1">IFERROR(
IF($J$2="ELA",
IF(VLOOKUP($A763, YES_Reading_ELA[], COLUMN(INDIRECT("YES_Reading_ELA[Instructional Reading Level - Per "&amp;VLOOKUP($D$2, 'Reading Report Logic'!$A$2:$B$8, 2, FALSE)&amp;"]")), FALSE)="", "",
VLOOKUP($A763,YES_Reading_ELA[], COLUMN(INDIRECT("YES_Reading_ELA[Instructional Reading Level - Per "&amp;VLOOKUP($D$2,'Reading Report Logic'!$A$2:$B$8,2,FALSE)&amp;"]")), FALSE)),
IF($J$2="FLA",
IF(VLOOKUP($A763, YES_Reading_FLA[], COLUMN(INDIRECT("YES_Reading_FLA[Instructional Reading Level - Per "&amp;VLOOKUP($D$2,'Reading Report Logic'!$A$2:$B$8,2,FALSE)&amp;"]")),FALSE)="","",
VLOOKUP($A763,YES_Reading_FLA[],COLUMN(INDIRECT("YES_Reading_FLA[Instructional Reading Level - Per "&amp;VLOOKUP($D$2,'Reading Report Logic'!$A$2:$B$8,2,FALSE)&amp;"]")),FALSE)),
IF($J$2="Combined",
IFERROR(
IF(VLOOKUP($A763, YES_Reading_ELA[], COLUMN(INDIRECT("YES_Reading_ELA[Instructional Reading Level - Per "&amp;VLOOKUP($D$2, 'Reading Report Logic'!$A$2:$B$8,2,FALSE)&amp;"]")), FALSE)="", "",
VLOOKUP($A763,YES_Reading_ELA[],COLUMN(INDIRECT("YES_Reading_ELA[Instructional Reading Level - Per "&amp;VLOOKUP($D$2,'Reading Report Logic'!$A$2:$B$8,2,FALSE)&amp;"]")),FALSE)),
IF(VLOOKUP($A763, YES_Reading_FLA[], COLUMN(INDIRECT("YES_Reading_FLA[Instructional Reading Level - Per "&amp;VLOOKUP($D$2, 'Reading Report Logic'!$A$2:$B$8, 2, FALSE)&amp;"]")),FALSE)="", "", VLOOKUP($A763,YES_Reading_FLA[],COLUMN(INDIRECT("YES_Reading_FLA[Instructional Reading Level - Per "&amp;VLOOKUP($D$2, 'Reading Report Logic'!$A$2:$B$8, 2, FALSE)&amp;"]")),FALSE))),""))),"")</f>
        <v/>
      </c>
      <c r="E763" s="205" t="str" cm="1">
        <f t="array" aca="1" ref="E763" ca="1">IFERROR(
IF($J$2="ELA",
IF(VLOOKUP($A763, YES_Reading_ELA[], COLUMN(INDIRECT("YES_Reading_ELA[Min Expectation - Per "&amp;VLOOKUP($D$2, 'Reading Report Logic'!$A$2:$B$8, 2, FALSE)&amp;"]")), FALSE)="", "",
VLOOKUP($A763,YES_Reading_ELA[], COLUMN(INDIRECT("YES_Reading_ELA[Min Expectation - Per "&amp;VLOOKUP($D$2,'Reading Report Logic'!$A$2:$B$8,2,FALSE)&amp;"]")), FALSE)),
IF($J$2="FLA",
IF(VLOOKUP($A763, YES_Reading_FLA[], COLUMN(INDIRECT("YES_Reading_FLA[Min Expectation - Per "&amp;VLOOKUP($D$2,'Reading Report Logic'!$A$2:$B$8,2,FALSE)&amp;"]")),FALSE)="","",
VLOOKUP($A763,YES_Reading_FLA[],COLUMN(INDIRECT("YES_Reading_FLA[Min Expectation - Per "&amp;VLOOKUP($D$2,'Reading Report Logic'!$A$2:$B$8,2,FALSE)&amp;"]")),FALSE)),
IF($J$2="Combined",
IFERROR(
IF(VLOOKUP($A763, YES_Reading_ELA[], COLUMN(INDIRECT("YES_Reading_ELA[Min Expectation - Per "&amp;VLOOKUP($D$2, 'Reading Report Logic'!$A$2:$B$8,2,FALSE)&amp;"]")), FALSE)="", "",
VLOOKUP($A763,YES_Reading_ELA[],COLUMN(INDIRECT("YES_Reading_ELA[Min Expectation - Per "&amp;VLOOKUP($D$2,'Reading Report Logic'!$A$2:$B$8,2,FALSE)&amp;"]")),FALSE)),
IF(VLOOKUP($A763, YES_Reading_FLA[], COLUMN(INDIRECT("YES_Reading_FLA[Min Expectation - Per "&amp;VLOOKUP($D$2, 'Reading Report Logic'!$A$2:$B$8, 2, FALSE)&amp;"]")),FALSE)="", "", VLOOKUP($A763,YES_Reading_FLA[],COLUMN(INDIRECT("YES_Reading_FLA[Min Expectation - Per "&amp;VLOOKUP($D$2, 'Reading Report Logic'!$A$2:$B$8, 2, FALSE)&amp;"]")),FALSE))),""))),"")</f>
        <v/>
      </c>
      <c r="F763" s="205" t="str" cm="1">
        <f t="array" aca="1" ref="F763" ca="1">IFERROR(
IF($J$2="ELA",
IF(VLOOKUP($A763, YES_Reading_ELA[], COLUMN(INDIRECT("YES_Reading_ELA[Max Expectation - Per "&amp;VLOOKUP($D$2, 'Reading Report Logic'!$A$2:$B$8, 2, FALSE)&amp;"]")), FALSE)="", "",
VLOOKUP($A763,YES_Reading_ELA[], COLUMN(INDIRECT("YES_Reading_ELA[Max Expectation - Per "&amp;VLOOKUP($D$2,'Reading Report Logic'!$A$2:$B$8,2,FALSE)&amp;"]")), FALSE)),
IF($J$2="FLA",
IF(VLOOKUP($A763, YES_Reading_FLA[], COLUMN(INDIRECT("YES_Reading_FLA[Max Expectation - Per "&amp;VLOOKUP($D$2,'Reading Report Logic'!$A$2:$B$8,2,FALSE)&amp;"]")),FALSE)="","",
VLOOKUP($A763,YES_Reading_FLA[],COLUMN(INDIRECT("YES_Reading_FLA[Max Expectation - Per "&amp;VLOOKUP($D$2,'Reading Report Logic'!$A$2:$B$8,2,FALSE)&amp;"]")),FALSE)),
IF($J$2="Combined",
IFERROR(
IF(VLOOKUP($A763, YES_Reading_ELA[], COLUMN(INDIRECT("YES_Reading_ELA[Max Expectation - Per "&amp;VLOOKUP($D$2, 'Reading Report Logic'!$A$2:$B$8,2,FALSE)&amp;"]")), FALSE)="", "",
VLOOKUP($A763,YES_Reading_ELA[],COLUMN(INDIRECT("YES_Reading_ELA[Max Expectation - Per "&amp;VLOOKUP($D$2,'Reading Report Logic'!$A$2:$B$8,2,FALSE)&amp;"]")),FALSE)),
IF(VLOOKUP($A763, YES_Reading_FLA[], COLUMN(INDIRECT("YES_Reading_FLA[Max Expectation - Per "&amp;VLOOKUP($D$2, 'Reading Report Logic'!$A$2:$B$8, 2, FALSE)&amp;"]")),FALSE)="", "", VLOOKUP($A763,YES_Reading_FLA[],COLUMN(INDIRECT("YES_Reading_FLA[Max Expectation - Per "&amp;VLOOKUP($D$2, 'Reading Report Logic'!$A$2:$B$8, 2, FALSE)&amp;"]")),FALSE))),""))),"")</f>
        <v/>
      </c>
      <c r="G763" s="205" t="str" cm="1">
        <f t="array" aca="1" ref="G763" ca="1">IFERROR(
IF($J$2="ELA",
IF(VLOOKUP($A763, YES_Reading_ELA[], COLUMN(INDIRECT("YES_Reading_ELA[Difference - Per "&amp;VLOOKUP($D$2, 'Reading Report Logic'!$A$2:$B$8, 2, FALSE)&amp;"]")), FALSE)="", "",
VLOOKUP($A763,YES_Reading_ELA[], COLUMN(INDIRECT("YES_Reading_ELA[Difference - Per "&amp;VLOOKUP($D$2,'Reading Report Logic'!$A$2:$B$8,2,FALSE)&amp;"]")), FALSE)),
IF($J$2="FLA",
IF(VLOOKUP($A763, YES_Reading_FLA[], COLUMN(INDIRECT("YES_Reading_FLA[Difference - Per "&amp;VLOOKUP($D$2,'Reading Report Logic'!$A$2:$B$8,2,FALSE)&amp;"]")),FALSE)="","",
VLOOKUP($A763,YES_Reading_FLA[],COLUMN(INDIRECT("YES_Reading_FLA[Difference - Per "&amp;VLOOKUP($D$2,'Reading Report Logic'!$A$2:$B$8,2,FALSE)&amp;"]")),FALSE)),
IF($J$2="Combined",
IFERROR(
IF(VLOOKUP($A763, YES_Reading_ELA[], COLUMN(INDIRECT("YES_Reading_ELA[Difference - Per "&amp;VLOOKUP($D$2, 'Reading Report Logic'!$A$2:$B$8,2,FALSE)&amp;"]")), FALSE)="", "",
VLOOKUP($A763,YES_Reading_ELA[],COLUMN(INDIRECT("YES_Reading_ELA[Difference - Per "&amp;VLOOKUP($D$2,'Reading Report Logic'!$A$2:$B$8,2,FALSE)&amp;"]")),FALSE)),
IF(VLOOKUP($A763, YES_Reading_FLA[], COLUMN(INDIRECT("YES_Reading_FLA[Difference - Per "&amp;VLOOKUP($D$2, 'Reading Report Logic'!$A$2:$B$8, 2, FALSE)&amp;"]")),FALSE)="", "", VLOOKUP($A763,YES_Reading_FLA[],COLUMN(INDIRECT("YES_Reading_FLA[Difference - Per "&amp;VLOOKUP($D$2, 'Reading Report Logic'!$A$2:$B$8, 2, FALSE)&amp;"]")),FALSE))),""))),"")</f>
        <v/>
      </c>
      <c r="H763" s="206" t="str">
        <f ca="1">IFERROR(VLOOKUP('Teacher Reading Pull Sheets'!$D763,_xlfn.VSTACK('ELA Reading Logic'!$A$22:$B$48,'FLA Reading Logic'!$A$22:$B$53),2,FALSE)-VLOOKUP('Teacher Reading Pull Sheets'!$C763,_xlfn.VSTACK('ELA Reading Logic'!$A$22:$B$48,'FLA Reading Logic'!$A$22:$B$53),2,FALSE),"")</f>
        <v/>
      </c>
      <c r="I763" s="212"/>
      <c r="J763" s="206"/>
      <c r="K763" s="197" t="str" cm="1">
        <f t="array" ref="K763">IFERROR(
IF($J$2="ELA",
IF(VLOOKUP($A763, YES_Reading_ELA[], COLUMN(YES_Reading_ELA[Self-Identified as African Descent]), FALSE)="", "",
VLOOKUP($A763,YES_Reading_ELA[], COLUMN(YES_Reading_ELA[Self-Identified as African Descent]), FALSE)),
IF($J$2="FLA",
IF(VLOOKUP($A763, YES_Reading_FLA[], COLUMN(YES_Reading_FLA[Self-Identified as African Descent]),FALSE)="","",
VLOOKUP($A763,YES_Reading_FLA[],COLUMN(YES_Reading_FLA[Self-Identified as African Descent]),FALSE)),
IF($J$2="Combined",
IFERROR(
IF(VLOOKUP($A763, YES_Reading_ELA[], COLUMN(YES_Reading_ELA[Self-Identified as African Descent]), FALSE)="", "",
VLOOKUP($A763,YES_Reading_ELA[],COLUMN(YES_Reading_ELA[Self-Identified as African Descent]),FALSE)),
IF(VLOOKUP($A763, YES_Reading_FLA[], COLUMN(YES_Reading_FLA[Self-Identified as African Descent]),FALSE)="", "", VLOOKUP($A763,YES_Reading_FLA[],COLUMN(YES_Reading_FLA[Self-Identified as African Descent]),FALSE))),""))),"")</f>
        <v/>
      </c>
      <c r="L763" s="73" t="str" cm="1">
        <f t="array" ref="L763">IFERROR(
IF($J$2="ELA",
IF(VLOOKUP($A763, YES_Reading_ELA[], COLUMN(YES_Reading_ELA[Self-Identified as Indigenous]), FALSE)="", "",
VLOOKUP($A763,YES_Reading_ELA[], COLUMN(YES_Reading_ELA[Self-Identified as Indigenous]), FALSE)),
IF($J$2="FLA",
IF(VLOOKUP($A763, YES_Reading_FLA[], COLUMN(YES_Reading_FLA[Self-Identified as Indigenous]),FALSE)="","",
VLOOKUP($A763,YES_Reading_FLA[],COLUMN(YES_Reading_FLA[Self-Identified as Indigenous]),FALSE)),
IF($J$2="Combined",
IFERROR(
IF(VLOOKUP($A763, YES_Reading_ELA[], COLUMN(YES_Reading_ELA[Self-Identified as Indigenous]), FALSE)="", "",
VLOOKUP($A763,YES_Reading_ELA[],COLUMN(YES_Reading_ELA[Self-Identified as Indigenous]),FALSE)),
IF(VLOOKUP($A763, YES_Reading_FLA[], COLUMN(YES_Reading_FLA[Self-Identified as Indigenous]),FALSE)="", "", VLOOKUP($A763,YES_Reading_FLA[],COLUMN(YES_Reading_FLA[Self-Identified as Indigenous]),FALSE))),""))),"")</f>
        <v/>
      </c>
    </row>
    <row r="764" spans="1:12" ht="19.5" customHeight="1" x14ac:dyDescent="0.25">
      <c r="A764" s="217">
        <v>0</v>
      </c>
      <c r="B764" s="220" t="str">
        <f>IFERROR(VLOOKUP(A764,_xlfn.VSTACK(YES_Reading_ELA[],YES_Reading_FLA[]),2,FALSE),"")</f>
        <v/>
      </c>
      <c r="C764" s="203" t="str" cm="1">
        <f t="array" aca="1" ref="C764" ca="1">IFERROR(
IF($J$2="ELA",
IF(VLOOKUP($A764, YES_Reading_ELA[], COLUMN(IF(VLOOKUP($D$2, 'Reading Report Logic'!$A$2:$B$8, 2, FALSE)=1, YES_Reading_ELA[Reading Level June of Previous School Year], INDIRECT("YES_Reading_ELA[Instructional Reading Level - Per "&amp;(VLOOKUP($D$2,'Reading Report Logic'!$A$2:$B$8,2,FALSE)-1)&amp;"]"))), FALSE)="", "",
VLOOKUP($A764,YES_Reading_ELA[], COLUMN(IF(VLOOKUP($D$2,'Reading Report Logic'!$A$2:$B$8,2,FALSE)=1, YES_Reading_ELA[Reading Level June of Previous School Year],INDIRECT("YES_Reading_ELA[Instructional Reading Level - Per "&amp;(VLOOKUP($D$2,'Reading Report Logic'!$A$2:$B$8,2,FALSE)-1)&amp;"]"))), FALSE)),
IF($J$2="FLA",
IF(VLOOKUP($A764, YES_Reading_FLA[], COLUMN(IF(VLOOKUP($D$2,'Reading Report Logic'!$A$2:$B$8,2,FALSE)=1, YES_Reading_FLA[Reading Level June of Previous School Year],INDIRECT("YES_Reading_FLA[Instructional Reading Level - Per "&amp;(VLOOKUP($D$2,'Reading Report Logic'!$A$2:$B$8,2,FALSE)-1)&amp;"]"))),FALSE)="","",
VLOOKUP($A764,YES_Reading_FLA[], COLUMN(IF(VLOOKUP($D$2,'Reading Report Logic'!$A$2:$B$8,2,FALSE)=1, YES_Reading_FLA[Reading Level June of Previous School Year],INDIRECT("YES_Reading_FLA[Instructional Reading Level - Per "&amp;(VLOOKUP($D$2,'Reading Report Logic'!$A$2:$B$8,2,FALSE)-1)&amp;"]"))),FALSE)),
IF($J$2="Combined",
IFERROR(
IF(VLOOKUP($A764, YES_Reading_ELA[], COLUMN(IF(VLOOKUP($D$2,'Reading Report Logic'!$A$2:$B$8,2,FALSE)=1, YES_Reading_ELA[Reading Level June of Previous School Year],INDIRECT("YES_Reading_ELA[Instructional Reading Level - Per "&amp;(VLOOKUP($D$2,'Reading Report Logic'!$A$2:$B$8,2,FALSE)-1)&amp;"]"))), FALSE)="", "",
VLOOKUP($A764,YES_Reading_ELA[],COLUMN(IF(VLOOKUP($D$2,'Reading Report Logic'!$A$2:$B$8,2,FALSE)=1, YES_Reading_ELA[Reading Level June of Previous School Year],INDIRECT("YES_Reading_ELA[Instructional Reading Level - Per "&amp;(VLOOKUP($D$2,'Reading Report Logic'!$A$2:$B$8,2,FALSE)-1)&amp;"]"))),FALSE)),
IF(VLOOKUP($A764, YES_Reading_FLA[], COLUMN(IF(VLOOKUP($D$2,'Reading Report Logic'!$A$2:$B$8,2,FALSE)=1, YES_Reading_FLA[Reading Level June of Previous School Year],INDIRECT("YES_Reading_FLA[Instructional Reading Level - Per "&amp;(VLOOKUP($D$2,'Reading Report Logic'!$A$2:$B$8,2,FALSE)-1)&amp;"]"))),FALSE)="", "", VLOOKUP($A764,YES_Reading_FLA[],COLUMN(IF(VLOOKUP($D$2,'Reading Report Logic'!$A$2:$B$8,2,FALSE)=1, YES_Reading_FLA[Reading Level June of Previous School Year],INDIRECT("YES_Reading_FLA[Instructional Reading Level - Per "&amp;(VLOOKUP($D$2,'Reading Report Logic'!$A$2:$B$8,2,FALSE)-1)&amp;"]"))), FALSE))),""))),"")</f>
        <v/>
      </c>
      <c r="D764" s="204" t="str" cm="1">
        <f t="array" aca="1" ref="D764" ca="1">IFERROR(
IF($J$2="ELA",
IF(VLOOKUP($A764, YES_Reading_ELA[], COLUMN(INDIRECT("YES_Reading_ELA[Instructional Reading Level - Per "&amp;VLOOKUP($D$2, 'Reading Report Logic'!$A$2:$B$8, 2, FALSE)&amp;"]")), FALSE)="", "",
VLOOKUP($A764,YES_Reading_ELA[], COLUMN(INDIRECT("YES_Reading_ELA[Instructional Reading Level - Per "&amp;VLOOKUP($D$2,'Reading Report Logic'!$A$2:$B$8,2,FALSE)&amp;"]")), FALSE)),
IF($J$2="FLA",
IF(VLOOKUP($A764, YES_Reading_FLA[], COLUMN(INDIRECT("YES_Reading_FLA[Instructional Reading Level - Per "&amp;VLOOKUP($D$2,'Reading Report Logic'!$A$2:$B$8,2,FALSE)&amp;"]")),FALSE)="","",
VLOOKUP($A764,YES_Reading_FLA[],COLUMN(INDIRECT("YES_Reading_FLA[Instructional Reading Level - Per "&amp;VLOOKUP($D$2,'Reading Report Logic'!$A$2:$B$8,2,FALSE)&amp;"]")),FALSE)),
IF($J$2="Combined",
IFERROR(
IF(VLOOKUP($A764, YES_Reading_ELA[], COLUMN(INDIRECT("YES_Reading_ELA[Instructional Reading Level - Per "&amp;VLOOKUP($D$2, 'Reading Report Logic'!$A$2:$B$8,2,FALSE)&amp;"]")), FALSE)="", "",
VLOOKUP($A764,YES_Reading_ELA[],COLUMN(INDIRECT("YES_Reading_ELA[Instructional Reading Level - Per "&amp;VLOOKUP($D$2,'Reading Report Logic'!$A$2:$B$8,2,FALSE)&amp;"]")),FALSE)),
IF(VLOOKUP($A764, YES_Reading_FLA[], COLUMN(INDIRECT("YES_Reading_FLA[Instructional Reading Level - Per "&amp;VLOOKUP($D$2, 'Reading Report Logic'!$A$2:$B$8, 2, FALSE)&amp;"]")),FALSE)="", "", VLOOKUP($A764,YES_Reading_FLA[],COLUMN(INDIRECT("YES_Reading_FLA[Instructional Reading Level - Per "&amp;VLOOKUP($D$2, 'Reading Report Logic'!$A$2:$B$8, 2, FALSE)&amp;"]")),FALSE))),""))),"")</f>
        <v/>
      </c>
      <c r="E764" s="205" t="str" cm="1">
        <f t="array" aca="1" ref="E764" ca="1">IFERROR(
IF($J$2="ELA",
IF(VLOOKUP($A764, YES_Reading_ELA[], COLUMN(INDIRECT("YES_Reading_ELA[Min Expectation - Per "&amp;VLOOKUP($D$2, 'Reading Report Logic'!$A$2:$B$8, 2, FALSE)&amp;"]")), FALSE)="", "",
VLOOKUP($A764,YES_Reading_ELA[], COLUMN(INDIRECT("YES_Reading_ELA[Min Expectation - Per "&amp;VLOOKUP($D$2,'Reading Report Logic'!$A$2:$B$8,2,FALSE)&amp;"]")), FALSE)),
IF($J$2="FLA",
IF(VLOOKUP($A764, YES_Reading_FLA[], COLUMN(INDIRECT("YES_Reading_FLA[Min Expectation - Per "&amp;VLOOKUP($D$2,'Reading Report Logic'!$A$2:$B$8,2,FALSE)&amp;"]")),FALSE)="","",
VLOOKUP($A764,YES_Reading_FLA[],COLUMN(INDIRECT("YES_Reading_FLA[Min Expectation - Per "&amp;VLOOKUP($D$2,'Reading Report Logic'!$A$2:$B$8,2,FALSE)&amp;"]")),FALSE)),
IF($J$2="Combined",
IFERROR(
IF(VLOOKUP($A764, YES_Reading_ELA[], COLUMN(INDIRECT("YES_Reading_ELA[Min Expectation - Per "&amp;VLOOKUP($D$2, 'Reading Report Logic'!$A$2:$B$8,2,FALSE)&amp;"]")), FALSE)="", "",
VLOOKUP($A764,YES_Reading_ELA[],COLUMN(INDIRECT("YES_Reading_ELA[Min Expectation - Per "&amp;VLOOKUP($D$2,'Reading Report Logic'!$A$2:$B$8,2,FALSE)&amp;"]")),FALSE)),
IF(VLOOKUP($A764, YES_Reading_FLA[], COLUMN(INDIRECT("YES_Reading_FLA[Min Expectation - Per "&amp;VLOOKUP($D$2, 'Reading Report Logic'!$A$2:$B$8, 2, FALSE)&amp;"]")),FALSE)="", "", VLOOKUP($A764,YES_Reading_FLA[],COLUMN(INDIRECT("YES_Reading_FLA[Min Expectation - Per "&amp;VLOOKUP($D$2, 'Reading Report Logic'!$A$2:$B$8, 2, FALSE)&amp;"]")),FALSE))),""))),"")</f>
        <v/>
      </c>
      <c r="F764" s="205" t="str" cm="1">
        <f t="array" aca="1" ref="F764" ca="1">IFERROR(
IF($J$2="ELA",
IF(VLOOKUP($A764, YES_Reading_ELA[], COLUMN(INDIRECT("YES_Reading_ELA[Max Expectation - Per "&amp;VLOOKUP($D$2, 'Reading Report Logic'!$A$2:$B$8, 2, FALSE)&amp;"]")), FALSE)="", "",
VLOOKUP($A764,YES_Reading_ELA[], COLUMN(INDIRECT("YES_Reading_ELA[Max Expectation - Per "&amp;VLOOKUP($D$2,'Reading Report Logic'!$A$2:$B$8,2,FALSE)&amp;"]")), FALSE)),
IF($J$2="FLA",
IF(VLOOKUP($A764, YES_Reading_FLA[], COLUMN(INDIRECT("YES_Reading_FLA[Max Expectation - Per "&amp;VLOOKUP($D$2,'Reading Report Logic'!$A$2:$B$8,2,FALSE)&amp;"]")),FALSE)="","",
VLOOKUP($A764,YES_Reading_FLA[],COLUMN(INDIRECT("YES_Reading_FLA[Max Expectation - Per "&amp;VLOOKUP($D$2,'Reading Report Logic'!$A$2:$B$8,2,FALSE)&amp;"]")),FALSE)),
IF($J$2="Combined",
IFERROR(
IF(VLOOKUP($A764, YES_Reading_ELA[], COLUMN(INDIRECT("YES_Reading_ELA[Max Expectation - Per "&amp;VLOOKUP($D$2, 'Reading Report Logic'!$A$2:$B$8,2,FALSE)&amp;"]")), FALSE)="", "",
VLOOKUP($A764,YES_Reading_ELA[],COLUMN(INDIRECT("YES_Reading_ELA[Max Expectation - Per "&amp;VLOOKUP($D$2,'Reading Report Logic'!$A$2:$B$8,2,FALSE)&amp;"]")),FALSE)),
IF(VLOOKUP($A764, YES_Reading_FLA[], COLUMN(INDIRECT("YES_Reading_FLA[Max Expectation - Per "&amp;VLOOKUP($D$2, 'Reading Report Logic'!$A$2:$B$8, 2, FALSE)&amp;"]")),FALSE)="", "", VLOOKUP($A764,YES_Reading_FLA[],COLUMN(INDIRECT("YES_Reading_FLA[Max Expectation - Per "&amp;VLOOKUP($D$2, 'Reading Report Logic'!$A$2:$B$8, 2, FALSE)&amp;"]")),FALSE))),""))),"")</f>
        <v/>
      </c>
      <c r="G764" s="205" t="str" cm="1">
        <f t="array" aca="1" ref="G764" ca="1">IFERROR(
IF($J$2="ELA",
IF(VLOOKUP($A764, YES_Reading_ELA[], COLUMN(INDIRECT("YES_Reading_ELA[Difference - Per "&amp;VLOOKUP($D$2, 'Reading Report Logic'!$A$2:$B$8, 2, FALSE)&amp;"]")), FALSE)="", "",
VLOOKUP($A764,YES_Reading_ELA[], COLUMN(INDIRECT("YES_Reading_ELA[Difference - Per "&amp;VLOOKUP($D$2,'Reading Report Logic'!$A$2:$B$8,2,FALSE)&amp;"]")), FALSE)),
IF($J$2="FLA",
IF(VLOOKUP($A764, YES_Reading_FLA[], COLUMN(INDIRECT("YES_Reading_FLA[Difference - Per "&amp;VLOOKUP($D$2,'Reading Report Logic'!$A$2:$B$8,2,FALSE)&amp;"]")),FALSE)="","",
VLOOKUP($A764,YES_Reading_FLA[],COLUMN(INDIRECT("YES_Reading_FLA[Difference - Per "&amp;VLOOKUP($D$2,'Reading Report Logic'!$A$2:$B$8,2,FALSE)&amp;"]")),FALSE)),
IF($J$2="Combined",
IFERROR(
IF(VLOOKUP($A764, YES_Reading_ELA[], COLUMN(INDIRECT("YES_Reading_ELA[Difference - Per "&amp;VLOOKUP($D$2, 'Reading Report Logic'!$A$2:$B$8,2,FALSE)&amp;"]")), FALSE)="", "",
VLOOKUP($A764,YES_Reading_ELA[],COLUMN(INDIRECT("YES_Reading_ELA[Difference - Per "&amp;VLOOKUP($D$2,'Reading Report Logic'!$A$2:$B$8,2,FALSE)&amp;"]")),FALSE)),
IF(VLOOKUP($A764, YES_Reading_FLA[], COLUMN(INDIRECT("YES_Reading_FLA[Difference - Per "&amp;VLOOKUP($D$2, 'Reading Report Logic'!$A$2:$B$8, 2, FALSE)&amp;"]")),FALSE)="", "", VLOOKUP($A764,YES_Reading_FLA[],COLUMN(INDIRECT("YES_Reading_FLA[Difference - Per "&amp;VLOOKUP($D$2, 'Reading Report Logic'!$A$2:$B$8, 2, FALSE)&amp;"]")),FALSE))),""))),"")</f>
        <v/>
      </c>
      <c r="H764" s="206" t="str">
        <f ca="1">IFERROR(VLOOKUP('Teacher Reading Pull Sheets'!$D764,_xlfn.VSTACK('ELA Reading Logic'!$A$22:$B$48,'FLA Reading Logic'!$A$22:$B$53),2,FALSE)-VLOOKUP('Teacher Reading Pull Sheets'!$C764,_xlfn.VSTACK('ELA Reading Logic'!$A$22:$B$48,'FLA Reading Logic'!$A$22:$B$53),2,FALSE),"")</f>
        <v/>
      </c>
      <c r="I764" s="212"/>
      <c r="J764" s="206"/>
      <c r="K764" s="197" t="str" cm="1">
        <f t="array" ref="K764">IFERROR(
IF($J$2="ELA",
IF(VLOOKUP($A764, YES_Reading_ELA[], COLUMN(YES_Reading_ELA[Self-Identified as African Descent]), FALSE)="", "",
VLOOKUP($A764,YES_Reading_ELA[], COLUMN(YES_Reading_ELA[Self-Identified as African Descent]), FALSE)),
IF($J$2="FLA",
IF(VLOOKUP($A764, YES_Reading_FLA[], COLUMN(YES_Reading_FLA[Self-Identified as African Descent]),FALSE)="","",
VLOOKUP($A764,YES_Reading_FLA[],COLUMN(YES_Reading_FLA[Self-Identified as African Descent]),FALSE)),
IF($J$2="Combined",
IFERROR(
IF(VLOOKUP($A764, YES_Reading_ELA[], COLUMN(YES_Reading_ELA[Self-Identified as African Descent]), FALSE)="", "",
VLOOKUP($A764,YES_Reading_ELA[],COLUMN(YES_Reading_ELA[Self-Identified as African Descent]),FALSE)),
IF(VLOOKUP($A764, YES_Reading_FLA[], COLUMN(YES_Reading_FLA[Self-Identified as African Descent]),FALSE)="", "", VLOOKUP($A764,YES_Reading_FLA[],COLUMN(YES_Reading_FLA[Self-Identified as African Descent]),FALSE))),""))),"")</f>
        <v/>
      </c>
      <c r="L764" s="73" t="str" cm="1">
        <f t="array" ref="L764">IFERROR(
IF($J$2="ELA",
IF(VLOOKUP($A764, YES_Reading_ELA[], COLUMN(YES_Reading_ELA[Self-Identified as Indigenous]), FALSE)="", "",
VLOOKUP($A764,YES_Reading_ELA[], COLUMN(YES_Reading_ELA[Self-Identified as Indigenous]), FALSE)),
IF($J$2="FLA",
IF(VLOOKUP($A764, YES_Reading_FLA[], COLUMN(YES_Reading_FLA[Self-Identified as Indigenous]),FALSE)="","",
VLOOKUP($A764,YES_Reading_FLA[],COLUMN(YES_Reading_FLA[Self-Identified as Indigenous]),FALSE)),
IF($J$2="Combined",
IFERROR(
IF(VLOOKUP($A764, YES_Reading_ELA[], COLUMN(YES_Reading_ELA[Self-Identified as Indigenous]), FALSE)="", "",
VLOOKUP($A764,YES_Reading_ELA[],COLUMN(YES_Reading_ELA[Self-Identified as Indigenous]),FALSE)),
IF(VLOOKUP($A764, YES_Reading_FLA[], COLUMN(YES_Reading_FLA[Self-Identified as Indigenous]),FALSE)="", "", VLOOKUP($A764,YES_Reading_FLA[],COLUMN(YES_Reading_FLA[Self-Identified as Indigenous]),FALSE))),""))),"")</f>
        <v/>
      </c>
    </row>
    <row r="765" spans="1:12" ht="19.5" customHeight="1" x14ac:dyDescent="0.25">
      <c r="A765" s="217">
        <v>0</v>
      </c>
      <c r="B765" s="220" t="str">
        <f>IFERROR(VLOOKUP(A765,_xlfn.VSTACK(YES_Reading_ELA[],YES_Reading_FLA[]),2,FALSE),"")</f>
        <v/>
      </c>
      <c r="C765" s="203" t="str" cm="1">
        <f t="array" aca="1" ref="C765" ca="1">IFERROR(
IF($J$2="ELA",
IF(VLOOKUP($A765, YES_Reading_ELA[], COLUMN(IF(VLOOKUP($D$2, 'Reading Report Logic'!$A$2:$B$8, 2, FALSE)=1, YES_Reading_ELA[Reading Level June of Previous School Year], INDIRECT("YES_Reading_ELA[Instructional Reading Level - Per "&amp;(VLOOKUP($D$2,'Reading Report Logic'!$A$2:$B$8,2,FALSE)-1)&amp;"]"))), FALSE)="", "",
VLOOKUP($A765,YES_Reading_ELA[], COLUMN(IF(VLOOKUP($D$2,'Reading Report Logic'!$A$2:$B$8,2,FALSE)=1, YES_Reading_ELA[Reading Level June of Previous School Year],INDIRECT("YES_Reading_ELA[Instructional Reading Level - Per "&amp;(VLOOKUP($D$2,'Reading Report Logic'!$A$2:$B$8,2,FALSE)-1)&amp;"]"))), FALSE)),
IF($J$2="FLA",
IF(VLOOKUP($A765, YES_Reading_FLA[], COLUMN(IF(VLOOKUP($D$2,'Reading Report Logic'!$A$2:$B$8,2,FALSE)=1, YES_Reading_FLA[Reading Level June of Previous School Year],INDIRECT("YES_Reading_FLA[Instructional Reading Level - Per "&amp;(VLOOKUP($D$2,'Reading Report Logic'!$A$2:$B$8,2,FALSE)-1)&amp;"]"))),FALSE)="","",
VLOOKUP($A765,YES_Reading_FLA[], COLUMN(IF(VLOOKUP($D$2,'Reading Report Logic'!$A$2:$B$8,2,FALSE)=1, YES_Reading_FLA[Reading Level June of Previous School Year],INDIRECT("YES_Reading_FLA[Instructional Reading Level - Per "&amp;(VLOOKUP($D$2,'Reading Report Logic'!$A$2:$B$8,2,FALSE)-1)&amp;"]"))),FALSE)),
IF($J$2="Combined",
IFERROR(
IF(VLOOKUP($A765, YES_Reading_ELA[], COLUMN(IF(VLOOKUP($D$2,'Reading Report Logic'!$A$2:$B$8,2,FALSE)=1, YES_Reading_ELA[Reading Level June of Previous School Year],INDIRECT("YES_Reading_ELA[Instructional Reading Level - Per "&amp;(VLOOKUP($D$2,'Reading Report Logic'!$A$2:$B$8,2,FALSE)-1)&amp;"]"))), FALSE)="", "",
VLOOKUP($A765,YES_Reading_ELA[],COLUMN(IF(VLOOKUP($D$2,'Reading Report Logic'!$A$2:$B$8,2,FALSE)=1, YES_Reading_ELA[Reading Level June of Previous School Year],INDIRECT("YES_Reading_ELA[Instructional Reading Level - Per "&amp;(VLOOKUP($D$2,'Reading Report Logic'!$A$2:$B$8,2,FALSE)-1)&amp;"]"))),FALSE)),
IF(VLOOKUP($A765, YES_Reading_FLA[], COLUMN(IF(VLOOKUP($D$2,'Reading Report Logic'!$A$2:$B$8,2,FALSE)=1, YES_Reading_FLA[Reading Level June of Previous School Year],INDIRECT("YES_Reading_FLA[Instructional Reading Level - Per "&amp;(VLOOKUP($D$2,'Reading Report Logic'!$A$2:$B$8,2,FALSE)-1)&amp;"]"))),FALSE)="", "", VLOOKUP($A765,YES_Reading_FLA[],COLUMN(IF(VLOOKUP($D$2,'Reading Report Logic'!$A$2:$B$8,2,FALSE)=1, YES_Reading_FLA[Reading Level June of Previous School Year],INDIRECT("YES_Reading_FLA[Instructional Reading Level - Per "&amp;(VLOOKUP($D$2,'Reading Report Logic'!$A$2:$B$8,2,FALSE)-1)&amp;"]"))), FALSE))),""))),"")</f>
        <v/>
      </c>
      <c r="D765" s="204" t="str" cm="1">
        <f t="array" aca="1" ref="D765" ca="1">IFERROR(
IF($J$2="ELA",
IF(VLOOKUP($A765, YES_Reading_ELA[], COLUMN(INDIRECT("YES_Reading_ELA[Instructional Reading Level - Per "&amp;VLOOKUP($D$2, 'Reading Report Logic'!$A$2:$B$8, 2, FALSE)&amp;"]")), FALSE)="", "",
VLOOKUP($A765,YES_Reading_ELA[], COLUMN(INDIRECT("YES_Reading_ELA[Instructional Reading Level - Per "&amp;VLOOKUP($D$2,'Reading Report Logic'!$A$2:$B$8,2,FALSE)&amp;"]")), FALSE)),
IF($J$2="FLA",
IF(VLOOKUP($A765, YES_Reading_FLA[], COLUMN(INDIRECT("YES_Reading_FLA[Instructional Reading Level - Per "&amp;VLOOKUP($D$2,'Reading Report Logic'!$A$2:$B$8,2,FALSE)&amp;"]")),FALSE)="","",
VLOOKUP($A765,YES_Reading_FLA[],COLUMN(INDIRECT("YES_Reading_FLA[Instructional Reading Level - Per "&amp;VLOOKUP($D$2,'Reading Report Logic'!$A$2:$B$8,2,FALSE)&amp;"]")),FALSE)),
IF($J$2="Combined",
IFERROR(
IF(VLOOKUP($A765, YES_Reading_ELA[], COLUMN(INDIRECT("YES_Reading_ELA[Instructional Reading Level - Per "&amp;VLOOKUP($D$2, 'Reading Report Logic'!$A$2:$B$8,2,FALSE)&amp;"]")), FALSE)="", "",
VLOOKUP($A765,YES_Reading_ELA[],COLUMN(INDIRECT("YES_Reading_ELA[Instructional Reading Level - Per "&amp;VLOOKUP($D$2,'Reading Report Logic'!$A$2:$B$8,2,FALSE)&amp;"]")),FALSE)),
IF(VLOOKUP($A765, YES_Reading_FLA[], COLUMN(INDIRECT("YES_Reading_FLA[Instructional Reading Level - Per "&amp;VLOOKUP($D$2, 'Reading Report Logic'!$A$2:$B$8, 2, FALSE)&amp;"]")),FALSE)="", "", VLOOKUP($A765,YES_Reading_FLA[],COLUMN(INDIRECT("YES_Reading_FLA[Instructional Reading Level - Per "&amp;VLOOKUP($D$2, 'Reading Report Logic'!$A$2:$B$8, 2, FALSE)&amp;"]")),FALSE))),""))),"")</f>
        <v/>
      </c>
      <c r="E765" s="205" t="str" cm="1">
        <f t="array" aca="1" ref="E765" ca="1">IFERROR(
IF($J$2="ELA",
IF(VLOOKUP($A765, YES_Reading_ELA[], COLUMN(INDIRECT("YES_Reading_ELA[Min Expectation - Per "&amp;VLOOKUP($D$2, 'Reading Report Logic'!$A$2:$B$8, 2, FALSE)&amp;"]")), FALSE)="", "",
VLOOKUP($A765,YES_Reading_ELA[], COLUMN(INDIRECT("YES_Reading_ELA[Min Expectation - Per "&amp;VLOOKUP($D$2,'Reading Report Logic'!$A$2:$B$8,2,FALSE)&amp;"]")), FALSE)),
IF($J$2="FLA",
IF(VLOOKUP($A765, YES_Reading_FLA[], COLUMN(INDIRECT("YES_Reading_FLA[Min Expectation - Per "&amp;VLOOKUP($D$2,'Reading Report Logic'!$A$2:$B$8,2,FALSE)&amp;"]")),FALSE)="","",
VLOOKUP($A765,YES_Reading_FLA[],COLUMN(INDIRECT("YES_Reading_FLA[Min Expectation - Per "&amp;VLOOKUP($D$2,'Reading Report Logic'!$A$2:$B$8,2,FALSE)&amp;"]")),FALSE)),
IF($J$2="Combined",
IFERROR(
IF(VLOOKUP($A765, YES_Reading_ELA[], COLUMN(INDIRECT("YES_Reading_ELA[Min Expectation - Per "&amp;VLOOKUP($D$2, 'Reading Report Logic'!$A$2:$B$8,2,FALSE)&amp;"]")), FALSE)="", "",
VLOOKUP($A765,YES_Reading_ELA[],COLUMN(INDIRECT("YES_Reading_ELA[Min Expectation - Per "&amp;VLOOKUP($D$2,'Reading Report Logic'!$A$2:$B$8,2,FALSE)&amp;"]")),FALSE)),
IF(VLOOKUP($A765, YES_Reading_FLA[], COLUMN(INDIRECT("YES_Reading_FLA[Min Expectation - Per "&amp;VLOOKUP($D$2, 'Reading Report Logic'!$A$2:$B$8, 2, FALSE)&amp;"]")),FALSE)="", "", VLOOKUP($A765,YES_Reading_FLA[],COLUMN(INDIRECT("YES_Reading_FLA[Min Expectation - Per "&amp;VLOOKUP($D$2, 'Reading Report Logic'!$A$2:$B$8, 2, FALSE)&amp;"]")),FALSE))),""))),"")</f>
        <v/>
      </c>
      <c r="F765" s="205" t="str" cm="1">
        <f t="array" aca="1" ref="F765" ca="1">IFERROR(
IF($J$2="ELA",
IF(VLOOKUP($A765, YES_Reading_ELA[], COLUMN(INDIRECT("YES_Reading_ELA[Max Expectation - Per "&amp;VLOOKUP($D$2, 'Reading Report Logic'!$A$2:$B$8, 2, FALSE)&amp;"]")), FALSE)="", "",
VLOOKUP($A765,YES_Reading_ELA[], COLUMN(INDIRECT("YES_Reading_ELA[Max Expectation - Per "&amp;VLOOKUP($D$2,'Reading Report Logic'!$A$2:$B$8,2,FALSE)&amp;"]")), FALSE)),
IF($J$2="FLA",
IF(VLOOKUP($A765, YES_Reading_FLA[], COLUMN(INDIRECT("YES_Reading_FLA[Max Expectation - Per "&amp;VLOOKUP($D$2,'Reading Report Logic'!$A$2:$B$8,2,FALSE)&amp;"]")),FALSE)="","",
VLOOKUP($A765,YES_Reading_FLA[],COLUMN(INDIRECT("YES_Reading_FLA[Max Expectation - Per "&amp;VLOOKUP($D$2,'Reading Report Logic'!$A$2:$B$8,2,FALSE)&amp;"]")),FALSE)),
IF($J$2="Combined",
IFERROR(
IF(VLOOKUP($A765, YES_Reading_ELA[], COLUMN(INDIRECT("YES_Reading_ELA[Max Expectation - Per "&amp;VLOOKUP($D$2, 'Reading Report Logic'!$A$2:$B$8,2,FALSE)&amp;"]")), FALSE)="", "",
VLOOKUP($A765,YES_Reading_ELA[],COLUMN(INDIRECT("YES_Reading_ELA[Max Expectation - Per "&amp;VLOOKUP($D$2,'Reading Report Logic'!$A$2:$B$8,2,FALSE)&amp;"]")),FALSE)),
IF(VLOOKUP($A765, YES_Reading_FLA[], COLUMN(INDIRECT("YES_Reading_FLA[Max Expectation - Per "&amp;VLOOKUP($D$2, 'Reading Report Logic'!$A$2:$B$8, 2, FALSE)&amp;"]")),FALSE)="", "", VLOOKUP($A765,YES_Reading_FLA[],COLUMN(INDIRECT("YES_Reading_FLA[Max Expectation - Per "&amp;VLOOKUP($D$2, 'Reading Report Logic'!$A$2:$B$8, 2, FALSE)&amp;"]")),FALSE))),""))),"")</f>
        <v/>
      </c>
      <c r="G765" s="205" t="str" cm="1">
        <f t="array" aca="1" ref="G765" ca="1">IFERROR(
IF($J$2="ELA",
IF(VLOOKUP($A765, YES_Reading_ELA[], COLUMN(INDIRECT("YES_Reading_ELA[Difference - Per "&amp;VLOOKUP($D$2, 'Reading Report Logic'!$A$2:$B$8, 2, FALSE)&amp;"]")), FALSE)="", "",
VLOOKUP($A765,YES_Reading_ELA[], COLUMN(INDIRECT("YES_Reading_ELA[Difference - Per "&amp;VLOOKUP($D$2,'Reading Report Logic'!$A$2:$B$8,2,FALSE)&amp;"]")), FALSE)),
IF($J$2="FLA",
IF(VLOOKUP($A765, YES_Reading_FLA[], COLUMN(INDIRECT("YES_Reading_FLA[Difference - Per "&amp;VLOOKUP($D$2,'Reading Report Logic'!$A$2:$B$8,2,FALSE)&amp;"]")),FALSE)="","",
VLOOKUP($A765,YES_Reading_FLA[],COLUMN(INDIRECT("YES_Reading_FLA[Difference - Per "&amp;VLOOKUP($D$2,'Reading Report Logic'!$A$2:$B$8,2,FALSE)&amp;"]")),FALSE)),
IF($J$2="Combined",
IFERROR(
IF(VLOOKUP($A765, YES_Reading_ELA[], COLUMN(INDIRECT("YES_Reading_ELA[Difference - Per "&amp;VLOOKUP($D$2, 'Reading Report Logic'!$A$2:$B$8,2,FALSE)&amp;"]")), FALSE)="", "",
VLOOKUP($A765,YES_Reading_ELA[],COLUMN(INDIRECT("YES_Reading_ELA[Difference - Per "&amp;VLOOKUP($D$2,'Reading Report Logic'!$A$2:$B$8,2,FALSE)&amp;"]")),FALSE)),
IF(VLOOKUP($A765, YES_Reading_FLA[], COLUMN(INDIRECT("YES_Reading_FLA[Difference - Per "&amp;VLOOKUP($D$2, 'Reading Report Logic'!$A$2:$B$8, 2, FALSE)&amp;"]")),FALSE)="", "", VLOOKUP($A765,YES_Reading_FLA[],COLUMN(INDIRECT("YES_Reading_FLA[Difference - Per "&amp;VLOOKUP($D$2, 'Reading Report Logic'!$A$2:$B$8, 2, FALSE)&amp;"]")),FALSE))),""))),"")</f>
        <v/>
      </c>
      <c r="H765" s="206" t="str">
        <f ca="1">IFERROR(VLOOKUP('Teacher Reading Pull Sheets'!$D765,_xlfn.VSTACK('ELA Reading Logic'!$A$22:$B$48,'FLA Reading Logic'!$A$22:$B$53),2,FALSE)-VLOOKUP('Teacher Reading Pull Sheets'!$C765,_xlfn.VSTACK('ELA Reading Logic'!$A$22:$B$48,'FLA Reading Logic'!$A$22:$B$53),2,FALSE),"")</f>
        <v/>
      </c>
      <c r="I765" s="212"/>
      <c r="J765" s="206"/>
      <c r="K765" s="197" t="str" cm="1">
        <f t="array" ref="K765">IFERROR(
IF($J$2="ELA",
IF(VLOOKUP($A765, YES_Reading_ELA[], COLUMN(YES_Reading_ELA[Self-Identified as African Descent]), FALSE)="", "",
VLOOKUP($A765,YES_Reading_ELA[], COLUMN(YES_Reading_ELA[Self-Identified as African Descent]), FALSE)),
IF($J$2="FLA",
IF(VLOOKUP($A765, YES_Reading_FLA[], COLUMN(YES_Reading_FLA[Self-Identified as African Descent]),FALSE)="","",
VLOOKUP($A765,YES_Reading_FLA[],COLUMN(YES_Reading_FLA[Self-Identified as African Descent]),FALSE)),
IF($J$2="Combined",
IFERROR(
IF(VLOOKUP($A765, YES_Reading_ELA[], COLUMN(YES_Reading_ELA[Self-Identified as African Descent]), FALSE)="", "",
VLOOKUP($A765,YES_Reading_ELA[],COLUMN(YES_Reading_ELA[Self-Identified as African Descent]),FALSE)),
IF(VLOOKUP($A765, YES_Reading_FLA[], COLUMN(YES_Reading_FLA[Self-Identified as African Descent]),FALSE)="", "", VLOOKUP($A765,YES_Reading_FLA[],COLUMN(YES_Reading_FLA[Self-Identified as African Descent]),FALSE))),""))),"")</f>
        <v/>
      </c>
      <c r="L765" s="73" t="str" cm="1">
        <f t="array" ref="L765">IFERROR(
IF($J$2="ELA",
IF(VLOOKUP($A765, YES_Reading_ELA[], COLUMN(YES_Reading_ELA[Self-Identified as Indigenous]), FALSE)="", "",
VLOOKUP($A765,YES_Reading_ELA[], COLUMN(YES_Reading_ELA[Self-Identified as Indigenous]), FALSE)),
IF($J$2="FLA",
IF(VLOOKUP($A765, YES_Reading_FLA[], COLUMN(YES_Reading_FLA[Self-Identified as Indigenous]),FALSE)="","",
VLOOKUP($A765,YES_Reading_FLA[],COLUMN(YES_Reading_FLA[Self-Identified as Indigenous]),FALSE)),
IF($J$2="Combined",
IFERROR(
IF(VLOOKUP($A765, YES_Reading_ELA[], COLUMN(YES_Reading_ELA[Self-Identified as Indigenous]), FALSE)="", "",
VLOOKUP($A765,YES_Reading_ELA[],COLUMN(YES_Reading_ELA[Self-Identified as Indigenous]),FALSE)),
IF(VLOOKUP($A765, YES_Reading_FLA[], COLUMN(YES_Reading_FLA[Self-Identified as Indigenous]),FALSE)="", "", VLOOKUP($A765,YES_Reading_FLA[],COLUMN(YES_Reading_FLA[Self-Identified as Indigenous]),FALSE))),""))),"")</f>
        <v/>
      </c>
    </row>
    <row r="766" spans="1:12" ht="19.5" customHeight="1" x14ac:dyDescent="0.25">
      <c r="A766" s="217">
        <v>0</v>
      </c>
      <c r="B766" s="220" t="str">
        <f>IFERROR(VLOOKUP(A766,_xlfn.VSTACK(YES_Reading_ELA[],YES_Reading_FLA[]),2,FALSE),"")</f>
        <v/>
      </c>
      <c r="C766" s="203" t="str" cm="1">
        <f t="array" aca="1" ref="C766" ca="1">IFERROR(
IF($J$2="ELA",
IF(VLOOKUP($A766, YES_Reading_ELA[], COLUMN(IF(VLOOKUP($D$2, 'Reading Report Logic'!$A$2:$B$8, 2, FALSE)=1, YES_Reading_ELA[Reading Level June of Previous School Year], INDIRECT("YES_Reading_ELA[Instructional Reading Level - Per "&amp;(VLOOKUP($D$2,'Reading Report Logic'!$A$2:$B$8,2,FALSE)-1)&amp;"]"))), FALSE)="", "",
VLOOKUP($A766,YES_Reading_ELA[], COLUMN(IF(VLOOKUP($D$2,'Reading Report Logic'!$A$2:$B$8,2,FALSE)=1, YES_Reading_ELA[Reading Level June of Previous School Year],INDIRECT("YES_Reading_ELA[Instructional Reading Level - Per "&amp;(VLOOKUP($D$2,'Reading Report Logic'!$A$2:$B$8,2,FALSE)-1)&amp;"]"))), FALSE)),
IF($J$2="FLA",
IF(VLOOKUP($A766, YES_Reading_FLA[], COLUMN(IF(VLOOKUP($D$2,'Reading Report Logic'!$A$2:$B$8,2,FALSE)=1, YES_Reading_FLA[Reading Level June of Previous School Year],INDIRECT("YES_Reading_FLA[Instructional Reading Level - Per "&amp;(VLOOKUP($D$2,'Reading Report Logic'!$A$2:$B$8,2,FALSE)-1)&amp;"]"))),FALSE)="","",
VLOOKUP($A766,YES_Reading_FLA[], COLUMN(IF(VLOOKUP($D$2,'Reading Report Logic'!$A$2:$B$8,2,FALSE)=1, YES_Reading_FLA[Reading Level June of Previous School Year],INDIRECT("YES_Reading_FLA[Instructional Reading Level - Per "&amp;(VLOOKUP($D$2,'Reading Report Logic'!$A$2:$B$8,2,FALSE)-1)&amp;"]"))),FALSE)),
IF($J$2="Combined",
IFERROR(
IF(VLOOKUP($A766, YES_Reading_ELA[], COLUMN(IF(VLOOKUP($D$2,'Reading Report Logic'!$A$2:$B$8,2,FALSE)=1, YES_Reading_ELA[Reading Level June of Previous School Year],INDIRECT("YES_Reading_ELA[Instructional Reading Level - Per "&amp;(VLOOKUP($D$2,'Reading Report Logic'!$A$2:$B$8,2,FALSE)-1)&amp;"]"))), FALSE)="", "",
VLOOKUP($A766,YES_Reading_ELA[],COLUMN(IF(VLOOKUP($D$2,'Reading Report Logic'!$A$2:$B$8,2,FALSE)=1, YES_Reading_ELA[Reading Level June of Previous School Year],INDIRECT("YES_Reading_ELA[Instructional Reading Level - Per "&amp;(VLOOKUP($D$2,'Reading Report Logic'!$A$2:$B$8,2,FALSE)-1)&amp;"]"))),FALSE)),
IF(VLOOKUP($A766, YES_Reading_FLA[], COLUMN(IF(VLOOKUP($D$2,'Reading Report Logic'!$A$2:$B$8,2,FALSE)=1, YES_Reading_FLA[Reading Level June of Previous School Year],INDIRECT("YES_Reading_FLA[Instructional Reading Level - Per "&amp;(VLOOKUP($D$2,'Reading Report Logic'!$A$2:$B$8,2,FALSE)-1)&amp;"]"))),FALSE)="", "", VLOOKUP($A766,YES_Reading_FLA[],COLUMN(IF(VLOOKUP($D$2,'Reading Report Logic'!$A$2:$B$8,2,FALSE)=1, YES_Reading_FLA[Reading Level June of Previous School Year],INDIRECT("YES_Reading_FLA[Instructional Reading Level - Per "&amp;(VLOOKUP($D$2,'Reading Report Logic'!$A$2:$B$8,2,FALSE)-1)&amp;"]"))), FALSE))),""))),"")</f>
        <v/>
      </c>
      <c r="D766" s="204" t="str" cm="1">
        <f t="array" aca="1" ref="D766" ca="1">IFERROR(
IF($J$2="ELA",
IF(VLOOKUP($A766, YES_Reading_ELA[], COLUMN(INDIRECT("YES_Reading_ELA[Instructional Reading Level - Per "&amp;VLOOKUP($D$2, 'Reading Report Logic'!$A$2:$B$8, 2, FALSE)&amp;"]")), FALSE)="", "",
VLOOKUP($A766,YES_Reading_ELA[], COLUMN(INDIRECT("YES_Reading_ELA[Instructional Reading Level - Per "&amp;VLOOKUP($D$2,'Reading Report Logic'!$A$2:$B$8,2,FALSE)&amp;"]")), FALSE)),
IF($J$2="FLA",
IF(VLOOKUP($A766, YES_Reading_FLA[], COLUMN(INDIRECT("YES_Reading_FLA[Instructional Reading Level - Per "&amp;VLOOKUP($D$2,'Reading Report Logic'!$A$2:$B$8,2,FALSE)&amp;"]")),FALSE)="","",
VLOOKUP($A766,YES_Reading_FLA[],COLUMN(INDIRECT("YES_Reading_FLA[Instructional Reading Level - Per "&amp;VLOOKUP($D$2,'Reading Report Logic'!$A$2:$B$8,2,FALSE)&amp;"]")),FALSE)),
IF($J$2="Combined",
IFERROR(
IF(VLOOKUP($A766, YES_Reading_ELA[], COLUMN(INDIRECT("YES_Reading_ELA[Instructional Reading Level - Per "&amp;VLOOKUP($D$2, 'Reading Report Logic'!$A$2:$B$8,2,FALSE)&amp;"]")), FALSE)="", "",
VLOOKUP($A766,YES_Reading_ELA[],COLUMN(INDIRECT("YES_Reading_ELA[Instructional Reading Level - Per "&amp;VLOOKUP($D$2,'Reading Report Logic'!$A$2:$B$8,2,FALSE)&amp;"]")),FALSE)),
IF(VLOOKUP($A766, YES_Reading_FLA[], COLUMN(INDIRECT("YES_Reading_FLA[Instructional Reading Level - Per "&amp;VLOOKUP($D$2, 'Reading Report Logic'!$A$2:$B$8, 2, FALSE)&amp;"]")),FALSE)="", "", VLOOKUP($A766,YES_Reading_FLA[],COLUMN(INDIRECT("YES_Reading_FLA[Instructional Reading Level - Per "&amp;VLOOKUP($D$2, 'Reading Report Logic'!$A$2:$B$8, 2, FALSE)&amp;"]")),FALSE))),""))),"")</f>
        <v/>
      </c>
      <c r="E766" s="205" t="str" cm="1">
        <f t="array" aca="1" ref="E766" ca="1">IFERROR(
IF($J$2="ELA",
IF(VLOOKUP($A766, YES_Reading_ELA[], COLUMN(INDIRECT("YES_Reading_ELA[Min Expectation - Per "&amp;VLOOKUP($D$2, 'Reading Report Logic'!$A$2:$B$8, 2, FALSE)&amp;"]")), FALSE)="", "",
VLOOKUP($A766,YES_Reading_ELA[], COLUMN(INDIRECT("YES_Reading_ELA[Min Expectation - Per "&amp;VLOOKUP($D$2,'Reading Report Logic'!$A$2:$B$8,2,FALSE)&amp;"]")), FALSE)),
IF($J$2="FLA",
IF(VLOOKUP($A766, YES_Reading_FLA[], COLUMN(INDIRECT("YES_Reading_FLA[Min Expectation - Per "&amp;VLOOKUP($D$2,'Reading Report Logic'!$A$2:$B$8,2,FALSE)&amp;"]")),FALSE)="","",
VLOOKUP($A766,YES_Reading_FLA[],COLUMN(INDIRECT("YES_Reading_FLA[Min Expectation - Per "&amp;VLOOKUP($D$2,'Reading Report Logic'!$A$2:$B$8,2,FALSE)&amp;"]")),FALSE)),
IF($J$2="Combined",
IFERROR(
IF(VLOOKUP($A766, YES_Reading_ELA[], COLUMN(INDIRECT("YES_Reading_ELA[Min Expectation - Per "&amp;VLOOKUP($D$2, 'Reading Report Logic'!$A$2:$B$8,2,FALSE)&amp;"]")), FALSE)="", "",
VLOOKUP($A766,YES_Reading_ELA[],COLUMN(INDIRECT("YES_Reading_ELA[Min Expectation - Per "&amp;VLOOKUP($D$2,'Reading Report Logic'!$A$2:$B$8,2,FALSE)&amp;"]")),FALSE)),
IF(VLOOKUP($A766, YES_Reading_FLA[], COLUMN(INDIRECT("YES_Reading_FLA[Min Expectation - Per "&amp;VLOOKUP($D$2, 'Reading Report Logic'!$A$2:$B$8, 2, FALSE)&amp;"]")),FALSE)="", "", VLOOKUP($A766,YES_Reading_FLA[],COLUMN(INDIRECT("YES_Reading_FLA[Min Expectation - Per "&amp;VLOOKUP($D$2, 'Reading Report Logic'!$A$2:$B$8, 2, FALSE)&amp;"]")),FALSE))),""))),"")</f>
        <v/>
      </c>
      <c r="F766" s="205" t="str" cm="1">
        <f t="array" aca="1" ref="F766" ca="1">IFERROR(
IF($J$2="ELA",
IF(VLOOKUP($A766, YES_Reading_ELA[], COLUMN(INDIRECT("YES_Reading_ELA[Max Expectation - Per "&amp;VLOOKUP($D$2, 'Reading Report Logic'!$A$2:$B$8, 2, FALSE)&amp;"]")), FALSE)="", "",
VLOOKUP($A766,YES_Reading_ELA[], COLUMN(INDIRECT("YES_Reading_ELA[Max Expectation - Per "&amp;VLOOKUP($D$2,'Reading Report Logic'!$A$2:$B$8,2,FALSE)&amp;"]")), FALSE)),
IF($J$2="FLA",
IF(VLOOKUP($A766, YES_Reading_FLA[], COLUMN(INDIRECT("YES_Reading_FLA[Max Expectation - Per "&amp;VLOOKUP($D$2,'Reading Report Logic'!$A$2:$B$8,2,FALSE)&amp;"]")),FALSE)="","",
VLOOKUP($A766,YES_Reading_FLA[],COLUMN(INDIRECT("YES_Reading_FLA[Max Expectation - Per "&amp;VLOOKUP($D$2,'Reading Report Logic'!$A$2:$B$8,2,FALSE)&amp;"]")),FALSE)),
IF($J$2="Combined",
IFERROR(
IF(VLOOKUP($A766, YES_Reading_ELA[], COLUMN(INDIRECT("YES_Reading_ELA[Max Expectation - Per "&amp;VLOOKUP($D$2, 'Reading Report Logic'!$A$2:$B$8,2,FALSE)&amp;"]")), FALSE)="", "",
VLOOKUP($A766,YES_Reading_ELA[],COLUMN(INDIRECT("YES_Reading_ELA[Max Expectation - Per "&amp;VLOOKUP($D$2,'Reading Report Logic'!$A$2:$B$8,2,FALSE)&amp;"]")),FALSE)),
IF(VLOOKUP($A766, YES_Reading_FLA[], COLUMN(INDIRECT("YES_Reading_FLA[Max Expectation - Per "&amp;VLOOKUP($D$2, 'Reading Report Logic'!$A$2:$B$8, 2, FALSE)&amp;"]")),FALSE)="", "", VLOOKUP($A766,YES_Reading_FLA[],COLUMN(INDIRECT("YES_Reading_FLA[Max Expectation - Per "&amp;VLOOKUP($D$2, 'Reading Report Logic'!$A$2:$B$8, 2, FALSE)&amp;"]")),FALSE))),""))),"")</f>
        <v/>
      </c>
      <c r="G766" s="205" t="str" cm="1">
        <f t="array" aca="1" ref="G766" ca="1">IFERROR(
IF($J$2="ELA",
IF(VLOOKUP($A766, YES_Reading_ELA[], COLUMN(INDIRECT("YES_Reading_ELA[Difference - Per "&amp;VLOOKUP($D$2, 'Reading Report Logic'!$A$2:$B$8, 2, FALSE)&amp;"]")), FALSE)="", "",
VLOOKUP($A766,YES_Reading_ELA[], COLUMN(INDIRECT("YES_Reading_ELA[Difference - Per "&amp;VLOOKUP($D$2,'Reading Report Logic'!$A$2:$B$8,2,FALSE)&amp;"]")), FALSE)),
IF($J$2="FLA",
IF(VLOOKUP($A766, YES_Reading_FLA[], COLUMN(INDIRECT("YES_Reading_FLA[Difference - Per "&amp;VLOOKUP($D$2,'Reading Report Logic'!$A$2:$B$8,2,FALSE)&amp;"]")),FALSE)="","",
VLOOKUP($A766,YES_Reading_FLA[],COLUMN(INDIRECT("YES_Reading_FLA[Difference - Per "&amp;VLOOKUP($D$2,'Reading Report Logic'!$A$2:$B$8,2,FALSE)&amp;"]")),FALSE)),
IF($J$2="Combined",
IFERROR(
IF(VLOOKUP($A766, YES_Reading_ELA[], COLUMN(INDIRECT("YES_Reading_ELA[Difference - Per "&amp;VLOOKUP($D$2, 'Reading Report Logic'!$A$2:$B$8,2,FALSE)&amp;"]")), FALSE)="", "",
VLOOKUP($A766,YES_Reading_ELA[],COLUMN(INDIRECT("YES_Reading_ELA[Difference - Per "&amp;VLOOKUP($D$2,'Reading Report Logic'!$A$2:$B$8,2,FALSE)&amp;"]")),FALSE)),
IF(VLOOKUP($A766, YES_Reading_FLA[], COLUMN(INDIRECT("YES_Reading_FLA[Difference - Per "&amp;VLOOKUP($D$2, 'Reading Report Logic'!$A$2:$B$8, 2, FALSE)&amp;"]")),FALSE)="", "", VLOOKUP($A766,YES_Reading_FLA[],COLUMN(INDIRECT("YES_Reading_FLA[Difference - Per "&amp;VLOOKUP($D$2, 'Reading Report Logic'!$A$2:$B$8, 2, FALSE)&amp;"]")),FALSE))),""))),"")</f>
        <v/>
      </c>
      <c r="H766" s="206" t="str">
        <f ca="1">IFERROR(VLOOKUP('Teacher Reading Pull Sheets'!$D766,_xlfn.VSTACK('ELA Reading Logic'!$A$22:$B$48,'FLA Reading Logic'!$A$22:$B$53),2,FALSE)-VLOOKUP('Teacher Reading Pull Sheets'!$C766,_xlfn.VSTACK('ELA Reading Logic'!$A$22:$B$48,'FLA Reading Logic'!$A$22:$B$53),2,FALSE),"")</f>
        <v/>
      </c>
      <c r="I766" s="212"/>
      <c r="J766" s="206"/>
      <c r="K766" s="197" t="str" cm="1">
        <f t="array" ref="K766">IFERROR(
IF($J$2="ELA",
IF(VLOOKUP($A766, YES_Reading_ELA[], COLUMN(YES_Reading_ELA[Self-Identified as African Descent]), FALSE)="", "",
VLOOKUP($A766,YES_Reading_ELA[], COLUMN(YES_Reading_ELA[Self-Identified as African Descent]), FALSE)),
IF($J$2="FLA",
IF(VLOOKUP($A766, YES_Reading_FLA[], COLUMN(YES_Reading_FLA[Self-Identified as African Descent]),FALSE)="","",
VLOOKUP($A766,YES_Reading_FLA[],COLUMN(YES_Reading_FLA[Self-Identified as African Descent]),FALSE)),
IF($J$2="Combined",
IFERROR(
IF(VLOOKUP($A766, YES_Reading_ELA[], COLUMN(YES_Reading_ELA[Self-Identified as African Descent]), FALSE)="", "",
VLOOKUP($A766,YES_Reading_ELA[],COLUMN(YES_Reading_ELA[Self-Identified as African Descent]),FALSE)),
IF(VLOOKUP($A766, YES_Reading_FLA[], COLUMN(YES_Reading_FLA[Self-Identified as African Descent]),FALSE)="", "", VLOOKUP($A766,YES_Reading_FLA[],COLUMN(YES_Reading_FLA[Self-Identified as African Descent]),FALSE))),""))),"")</f>
        <v/>
      </c>
      <c r="L766" s="73" t="str" cm="1">
        <f t="array" ref="L766">IFERROR(
IF($J$2="ELA",
IF(VLOOKUP($A766, YES_Reading_ELA[], COLUMN(YES_Reading_ELA[Self-Identified as Indigenous]), FALSE)="", "",
VLOOKUP($A766,YES_Reading_ELA[], COLUMN(YES_Reading_ELA[Self-Identified as Indigenous]), FALSE)),
IF($J$2="FLA",
IF(VLOOKUP($A766, YES_Reading_FLA[], COLUMN(YES_Reading_FLA[Self-Identified as Indigenous]),FALSE)="","",
VLOOKUP($A766,YES_Reading_FLA[],COLUMN(YES_Reading_FLA[Self-Identified as Indigenous]),FALSE)),
IF($J$2="Combined",
IFERROR(
IF(VLOOKUP($A766, YES_Reading_ELA[], COLUMN(YES_Reading_ELA[Self-Identified as Indigenous]), FALSE)="", "",
VLOOKUP($A766,YES_Reading_ELA[],COLUMN(YES_Reading_ELA[Self-Identified as Indigenous]),FALSE)),
IF(VLOOKUP($A766, YES_Reading_FLA[], COLUMN(YES_Reading_FLA[Self-Identified as Indigenous]),FALSE)="", "", VLOOKUP($A766,YES_Reading_FLA[],COLUMN(YES_Reading_FLA[Self-Identified as Indigenous]),FALSE))),""))),"")</f>
        <v/>
      </c>
    </row>
    <row r="767" spans="1:12" ht="19.5" customHeight="1" x14ac:dyDescent="0.25">
      <c r="A767" s="217">
        <v>0</v>
      </c>
      <c r="B767" s="220" t="str">
        <f>IFERROR(VLOOKUP(A767,_xlfn.VSTACK(YES_Reading_ELA[],YES_Reading_FLA[]),2,FALSE),"")</f>
        <v/>
      </c>
      <c r="C767" s="203" t="str" cm="1">
        <f t="array" aca="1" ref="C767" ca="1">IFERROR(
IF($J$2="ELA",
IF(VLOOKUP($A767, YES_Reading_ELA[], COLUMN(IF(VLOOKUP($D$2, 'Reading Report Logic'!$A$2:$B$8, 2, FALSE)=1, YES_Reading_ELA[Reading Level June of Previous School Year], INDIRECT("YES_Reading_ELA[Instructional Reading Level - Per "&amp;(VLOOKUP($D$2,'Reading Report Logic'!$A$2:$B$8,2,FALSE)-1)&amp;"]"))), FALSE)="", "",
VLOOKUP($A767,YES_Reading_ELA[], COLUMN(IF(VLOOKUP($D$2,'Reading Report Logic'!$A$2:$B$8,2,FALSE)=1, YES_Reading_ELA[Reading Level June of Previous School Year],INDIRECT("YES_Reading_ELA[Instructional Reading Level - Per "&amp;(VLOOKUP($D$2,'Reading Report Logic'!$A$2:$B$8,2,FALSE)-1)&amp;"]"))), FALSE)),
IF($J$2="FLA",
IF(VLOOKUP($A767, YES_Reading_FLA[], COLUMN(IF(VLOOKUP($D$2,'Reading Report Logic'!$A$2:$B$8,2,FALSE)=1, YES_Reading_FLA[Reading Level June of Previous School Year],INDIRECT("YES_Reading_FLA[Instructional Reading Level - Per "&amp;(VLOOKUP($D$2,'Reading Report Logic'!$A$2:$B$8,2,FALSE)-1)&amp;"]"))),FALSE)="","",
VLOOKUP($A767,YES_Reading_FLA[], COLUMN(IF(VLOOKUP($D$2,'Reading Report Logic'!$A$2:$B$8,2,FALSE)=1, YES_Reading_FLA[Reading Level June of Previous School Year],INDIRECT("YES_Reading_FLA[Instructional Reading Level - Per "&amp;(VLOOKUP($D$2,'Reading Report Logic'!$A$2:$B$8,2,FALSE)-1)&amp;"]"))),FALSE)),
IF($J$2="Combined",
IFERROR(
IF(VLOOKUP($A767, YES_Reading_ELA[], COLUMN(IF(VLOOKUP($D$2,'Reading Report Logic'!$A$2:$B$8,2,FALSE)=1, YES_Reading_ELA[Reading Level June of Previous School Year],INDIRECT("YES_Reading_ELA[Instructional Reading Level - Per "&amp;(VLOOKUP($D$2,'Reading Report Logic'!$A$2:$B$8,2,FALSE)-1)&amp;"]"))), FALSE)="", "",
VLOOKUP($A767,YES_Reading_ELA[],COLUMN(IF(VLOOKUP($D$2,'Reading Report Logic'!$A$2:$B$8,2,FALSE)=1, YES_Reading_ELA[Reading Level June of Previous School Year],INDIRECT("YES_Reading_ELA[Instructional Reading Level - Per "&amp;(VLOOKUP($D$2,'Reading Report Logic'!$A$2:$B$8,2,FALSE)-1)&amp;"]"))),FALSE)),
IF(VLOOKUP($A767, YES_Reading_FLA[], COLUMN(IF(VLOOKUP($D$2,'Reading Report Logic'!$A$2:$B$8,2,FALSE)=1, YES_Reading_FLA[Reading Level June of Previous School Year],INDIRECT("YES_Reading_FLA[Instructional Reading Level - Per "&amp;(VLOOKUP($D$2,'Reading Report Logic'!$A$2:$B$8,2,FALSE)-1)&amp;"]"))),FALSE)="", "", VLOOKUP($A767,YES_Reading_FLA[],COLUMN(IF(VLOOKUP($D$2,'Reading Report Logic'!$A$2:$B$8,2,FALSE)=1, YES_Reading_FLA[Reading Level June of Previous School Year],INDIRECT("YES_Reading_FLA[Instructional Reading Level - Per "&amp;(VLOOKUP($D$2,'Reading Report Logic'!$A$2:$B$8,2,FALSE)-1)&amp;"]"))), FALSE))),""))),"")</f>
        <v/>
      </c>
      <c r="D767" s="204" t="str" cm="1">
        <f t="array" aca="1" ref="D767" ca="1">IFERROR(
IF($J$2="ELA",
IF(VLOOKUP($A767, YES_Reading_ELA[], COLUMN(INDIRECT("YES_Reading_ELA[Instructional Reading Level - Per "&amp;VLOOKUP($D$2, 'Reading Report Logic'!$A$2:$B$8, 2, FALSE)&amp;"]")), FALSE)="", "",
VLOOKUP($A767,YES_Reading_ELA[], COLUMN(INDIRECT("YES_Reading_ELA[Instructional Reading Level - Per "&amp;VLOOKUP($D$2,'Reading Report Logic'!$A$2:$B$8,2,FALSE)&amp;"]")), FALSE)),
IF($J$2="FLA",
IF(VLOOKUP($A767, YES_Reading_FLA[], COLUMN(INDIRECT("YES_Reading_FLA[Instructional Reading Level - Per "&amp;VLOOKUP($D$2,'Reading Report Logic'!$A$2:$B$8,2,FALSE)&amp;"]")),FALSE)="","",
VLOOKUP($A767,YES_Reading_FLA[],COLUMN(INDIRECT("YES_Reading_FLA[Instructional Reading Level - Per "&amp;VLOOKUP($D$2,'Reading Report Logic'!$A$2:$B$8,2,FALSE)&amp;"]")),FALSE)),
IF($J$2="Combined",
IFERROR(
IF(VLOOKUP($A767, YES_Reading_ELA[], COLUMN(INDIRECT("YES_Reading_ELA[Instructional Reading Level - Per "&amp;VLOOKUP($D$2, 'Reading Report Logic'!$A$2:$B$8,2,FALSE)&amp;"]")), FALSE)="", "",
VLOOKUP($A767,YES_Reading_ELA[],COLUMN(INDIRECT("YES_Reading_ELA[Instructional Reading Level - Per "&amp;VLOOKUP($D$2,'Reading Report Logic'!$A$2:$B$8,2,FALSE)&amp;"]")),FALSE)),
IF(VLOOKUP($A767, YES_Reading_FLA[], COLUMN(INDIRECT("YES_Reading_FLA[Instructional Reading Level - Per "&amp;VLOOKUP($D$2, 'Reading Report Logic'!$A$2:$B$8, 2, FALSE)&amp;"]")),FALSE)="", "", VLOOKUP($A767,YES_Reading_FLA[],COLUMN(INDIRECT("YES_Reading_FLA[Instructional Reading Level - Per "&amp;VLOOKUP($D$2, 'Reading Report Logic'!$A$2:$B$8, 2, FALSE)&amp;"]")),FALSE))),""))),"")</f>
        <v/>
      </c>
      <c r="E767" s="205" t="str" cm="1">
        <f t="array" aca="1" ref="E767" ca="1">IFERROR(
IF($J$2="ELA",
IF(VLOOKUP($A767, YES_Reading_ELA[], COLUMN(INDIRECT("YES_Reading_ELA[Min Expectation - Per "&amp;VLOOKUP($D$2, 'Reading Report Logic'!$A$2:$B$8, 2, FALSE)&amp;"]")), FALSE)="", "",
VLOOKUP($A767,YES_Reading_ELA[], COLUMN(INDIRECT("YES_Reading_ELA[Min Expectation - Per "&amp;VLOOKUP($D$2,'Reading Report Logic'!$A$2:$B$8,2,FALSE)&amp;"]")), FALSE)),
IF($J$2="FLA",
IF(VLOOKUP($A767, YES_Reading_FLA[], COLUMN(INDIRECT("YES_Reading_FLA[Min Expectation - Per "&amp;VLOOKUP($D$2,'Reading Report Logic'!$A$2:$B$8,2,FALSE)&amp;"]")),FALSE)="","",
VLOOKUP($A767,YES_Reading_FLA[],COLUMN(INDIRECT("YES_Reading_FLA[Min Expectation - Per "&amp;VLOOKUP($D$2,'Reading Report Logic'!$A$2:$B$8,2,FALSE)&amp;"]")),FALSE)),
IF($J$2="Combined",
IFERROR(
IF(VLOOKUP($A767, YES_Reading_ELA[], COLUMN(INDIRECT("YES_Reading_ELA[Min Expectation - Per "&amp;VLOOKUP($D$2, 'Reading Report Logic'!$A$2:$B$8,2,FALSE)&amp;"]")), FALSE)="", "",
VLOOKUP($A767,YES_Reading_ELA[],COLUMN(INDIRECT("YES_Reading_ELA[Min Expectation - Per "&amp;VLOOKUP($D$2,'Reading Report Logic'!$A$2:$B$8,2,FALSE)&amp;"]")),FALSE)),
IF(VLOOKUP($A767, YES_Reading_FLA[], COLUMN(INDIRECT("YES_Reading_FLA[Min Expectation - Per "&amp;VLOOKUP($D$2, 'Reading Report Logic'!$A$2:$B$8, 2, FALSE)&amp;"]")),FALSE)="", "", VLOOKUP($A767,YES_Reading_FLA[],COLUMN(INDIRECT("YES_Reading_FLA[Min Expectation - Per "&amp;VLOOKUP($D$2, 'Reading Report Logic'!$A$2:$B$8, 2, FALSE)&amp;"]")),FALSE))),""))),"")</f>
        <v/>
      </c>
      <c r="F767" s="205" t="str" cm="1">
        <f t="array" aca="1" ref="F767" ca="1">IFERROR(
IF($J$2="ELA",
IF(VLOOKUP($A767, YES_Reading_ELA[], COLUMN(INDIRECT("YES_Reading_ELA[Max Expectation - Per "&amp;VLOOKUP($D$2, 'Reading Report Logic'!$A$2:$B$8, 2, FALSE)&amp;"]")), FALSE)="", "",
VLOOKUP($A767,YES_Reading_ELA[], COLUMN(INDIRECT("YES_Reading_ELA[Max Expectation - Per "&amp;VLOOKUP($D$2,'Reading Report Logic'!$A$2:$B$8,2,FALSE)&amp;"]")), FALSE)),
IF($J$2="FLA",
IF(VLOOKUP($A767, YES_Reading_FLA[], COLUMN(INDIRECT("YES_Reading_FLA[Max Expectation - Per "&amp;VLOOKUP($D$2,'Reading Report Logic'!$A$2:$B$8,2,FALSE)&amp;"]")),FALSE)="","",
VLOOKUP($A767,YES_Reading_FLA[],COLUMN(INDIRECT("YES_Reading_FLA[Max Expectation - Per "&amp;VLOOKUP($D$2,'Reading Report Logic'!$A$2:$B$8,2,FALSE)&amp;"]")),FALSE)),
IF($J$2="Combined",
IFERROR(
IF(VLOOKUP($A767, YES_Reading_ELA[], COLUMN(INDIRECT("YES_Reading_ELA[Max Expectation - Per "&amp;VLOOKUP($D$2, 'Reading Report Logic'!$A$2:$B$8,2,FALSE)&amp;"]")), FALSE)="", "",
VLOOKUP($A767,YES_Reading_ELA[],COLUMN(INDIRECT("YES_Reading_ELA[Max Expectation - Per "&amp;VLOOKUP($D$2,'Reading Report Logic'!$A$2:$B$8,2,FALSE)&amp;"]")),FALSE)),
IF(VLOOKUP($A767, YES_Reading_FLA[], COLUMN(INDIRECT("YES_Reading_FLA[Max Expectation - Per "&amp;VLOOKUP($D$2, 'Reading Report Logic'!$A$2:$B$8, 2, FALSE)&amp;"]")),FALSE)="", "", VLOOKUP($A767,YES_Reading_FLA[],COLUMN(INDIRECT("YES_Reading_FLA[Max Expectation - Per "&amp;VLOOKUP($D$2, 'Reading Report Logic'!$A$2:$B$8, 2, FALSE)&amp;"]")),FALSE))),""))),"")</f>
        <v/>
      </c>
      <c r="G767" s="205" t="str" cm="1">
        <f t="array" aca="1" ref="G767" ca="1">IFERROR(
IF($J$2="ELA",
IF(VLOOKUP($A767, YES_Reading_ELA[], COLUMN(INDIRECT("YES_Reading_ELA[Difference - Per "&amp;VLOOKUP($D$2, 'Reading Report Logic'!$A$2:$B$8, 2, FALSE)&amp;"]")), FALSE)="", "",
VLOOKUP($A767,YES_Reading_ELA[], COLUMN(INDIRECT("YES_Reading_ELA[Difference - Per "&amp;VLOOKUP($D$2,'Reading Report Logic'!$A$2:$B$8,2,FALSE)&amp;"]")), FALSE)),
IF($J$2="FLA",
IF(VLOOKUP($A767, YES_Reading_FLA[], COLUMN(INDIRECT("YES_Reading_FLA[Difference - Per "&amp;VLOOKUP($D$2,'Reading Report Logic'!$A$2:$B$8,2,FALSE)&amp;"]")),FALSE)="","",
VLOOKUP($A767,YES_Reading_FLA[],COLUMN(INDIRECT("YES_Reading_FLA[Difference - Per "&amp;VLOOKUP($D$2,'Reading Report Logic'!$A$2:$B$8,2,FALSE)&amp;"]")),FALSE)),
IF($J$2="Combined",
IFERROR(
IF(VLOOKUP($A767, YES_Reading_ELA[], COLUMN(INDIRECT("YES_Reading_ELA[Difference - Per "&amp;VLOOKUP($D$2, 'Reading Report Logic'!$A$2:$B$8,2,FALSE)&amp;"]")), FALSE)="", "",
VLOOKUP($A767,YES_Reading_ELA[],COLUMN(INDIRECT("YES_Reading_ELA[Difference - Per "&amp;VLOOKUP($D$2,'Reading Report Logic'!$A$2:$B$8,2,FALSE)&amp;"]")),FALSE)),
IF(VLOOKUP($A767, YES_Reading_FLA[], COLUMN(INDIRECT("YES_Reading_FLA[Difference - Per "&amp;VLOOKUP($D$2, 'Reading Report Logic'!$A$2:$B$8, 2, FALSE)&amp;"]")),FALSE)="", "", VLOOKUP($A767,YES_Reading_FLA[],COLUMN(INDIRECT("YES_Reading_FLA[Difference - Per "&amp;VLOOKUP($D$2, 'Reading Report Logic'!$A$2:$B$8, 2, FALSE)&amp;"]")),FALSE))),""))),"")</f>
        <v/>
      </c>
      <c r="H767" s="206" t="str">
        <f ca="1">IFERROR(VLOOKUP('Teacher Reading Pull Sheets'!$D767,_xlfn.VSTACK('ELA Reading Logic'!$A$22:$B$48,'FLA Reading Logic'!$A$22:$B$53),2,FALSE)-VLOOKUP('Teacher Reading Pull Sheets'!$C767,_xlfn.VSTACK('ELA Reading Logic'!$A$22:$B$48,'FLA Reading Logic'!$A$22:$B$53),2,FALSE),"")</f>
        <v/>
      </c>
      <c r="I767" s="212"/>
      <c r="J767" s="206"/>
      <c r="K767" s="197" t="str" cm="1">
        <f t="array" ref="K767">IFERROR(
IF($J$2="ELA",
IF(VLOOKUP($A767, YES_Reading_ELA[], COLUMN(YES_Reading_ELA[Self-Identified as African Descent]), FALSE)="", "",
VLOOKUP($A767,YES_Reading_ELA[], COLUMN(YES_Reading_ELA[Self-Identified as African Descent]), FALSE)),
IF($J$2="FLA",
IF(VLOOKUP($A767, YES_Reading_FLA[], COLUMN(YES_Reading_FLA[Self-Identified as African Descent]),FALSE)="","",
VLOOKUP($A767,YES_Reading_FLA[],COLUMN(YES_Reading_FLA[Self-Identified as African Descent]),FALSE)),
IF($J$2="Combined",
IFERROR(
IF(VLOOKUP($A767, YES_Reading_ELA[], COLUMN(YES_Reading_ELA[Self-Identified as African Descent]), FALSE)="", "",
VLOOKUP($A767,YES_Reading_ELA[],COLUMN(YES_Reading_ELA[Self-Identified as African Descent]),FALSE)),
IF(VLOOKUP($A767, YES_Reading_FLA[], COLUMN(YES_Reading_FLA[Self-Identified as African Descent]),FALSE)="", "", VLOOKUP($A767,YES_Reading_FLA[],COLUMN(YES_Reading_FLA[Self-Identified as African Descent]),FALSE))),""))),"")</f>
        <v/>
      </c>
      <c r="L767" s="73" t="str" cm="1">
        <f t="array" ref="L767">IFERROR(
IF($J$2="ELA",
IF(VLOOKUP($A767, YES_Reading_ELA[], COLUMN(YES_Reading_ELA[Self-Identified as Indigenous]), FALSE)="", "",
VLOOKUP($A767,YES_Reading_ELA[], COLUMN(YES_Reading_ELA[Self-Identified as Indigenous]), FALSE)),
IF($J$2="FLA",
IF(VLOOKUP($A767, YES_Reading_FLA[], COLUMN(YES_Reading_FLA[Self-Identified as Indigenous]),FALSE)="","",
VLOOKUP($A767,YES_Reading_FLA[],COLUMN(YES_Reading_FLA[Self-Identified as Indigenous]),FALSE)),
IF($J$2="Combined",
IFERROR(
IF(VLOOKUP($A767, YES_Reading_ELA[], COLUMN(YES_Reading_ELA[Self-Identified as Indigenous]), FALSE)="", "",
VLOOKUP($A767,YES_Reading_ELA[],COLUMN(YES_Reading_ELA[Self-Identified as Indigenous]),FALSE)),
IF(VLOOKUP($A767, YES_Reading_FLA[], COLUMN(YES_Reading_FLA[Self-Identified as Indigenous]),FALSE)="", "", VLOOKUP($A767,YES_Reading_FLA[],COLUMN(YES_Reading_FLA[Self-Identified as Indigenous]),FALSE))),""))),"")</f>
        <v/>
      </c>
    </row>
    <row r="768" spans="1:12" ht="19.5" customHeight="1" x14ac:dyDescent="0.25">
      <c r="A768" s="217">
        <v>0</v>
      </c>
      <c r="B768" s="220" t="str">
        <f>IFERROR(VLOOKUP(A768,_xlfn.VSTACK(YES_Reading_ELA[],YES_Reading_FLA[]),2,FALSE),"")</f>
        <v/>
      </c>
      <c r="C768" s="203" t="str" cm="1">
        <f t="array" aca="1" ref="C768" ca="1">IFERROR(
IF($J$2="ELA",
IF(VLOOKUP($A768, YES_Reading_ELA[], COLUMN(IF(VLOOKUP($D$2, 'Reading Report Logic'!$A$2:$B$8, 2, FALSE)=1, YES_Reading_ELA[Reading Level June of Previous School Year], INDIRECT("YES_Reading_ELA[Instructional Reading Level - Per "&amp;(VLOOKUP($D$2,'Reading Report Logic'!$A$2:$B$8,2,FALSE)-1)&amp;"]"))), FALSE)="", "",
VLOOKUP($A768,YES_Reading_ELA[], COLUMN(IF(VLOOKUP($D$2,'Reading Report Logic'!$A$2:$B$8,2,FALSE)=1, YES_Reading_ELA[Reading Level June of Previous School Year],INDIRECT("YES_Reading_ELA[Instructional Reading Level - Per "&amp;(VLOOKUP($D$2,'Reading Report Logic'!$A$2:$B$8,2,FALSE)-1)&amp;"]"))), FALSE)),
IF($J$2="FLA",
IF(VLOOKUP($A768, YES_Reading_FLA[], COLUMN(IF(VLOOKUP($D$2,'Reading Report Logic'!$A$2:$B$8,2,FALSE)=1, YES_Reading_FLA[Reading Level June of Previous School Year],INDIRECT("YES_Reading_FLA[Instructional Reading Level - Per "&amp;(VLOOKUP($D$2,'Reading Report Logic'!$A$2:$B$8,2,FALSE)-1)&amp;"]"))),FALSE)="","",
VLOOKUP($A768,YES_Reading_FLA[], COLUMN(IF(VLOOKUP($D$2,'Reading Report Logic'!$A$2:$B$8,2,FALSE)=1, YES_Reading_FLA[Reading Level June of Previous School Year],INDIRECT("YES_Reading_FLA[Instructional Reading Level - Per "&amp;(VLOOKUP($D$2,'Reading Report Logic'!$A$2:$B$8,2,FALSE)-1)&amp;"]"))),FALSE)),
IF($J$2="Combined",
IFERROR(
IF(VLOOKUP($A768, YES_Reading_ELA[], COLUMN(IF(VLOOKUP($D$2,'Reading Report Logic'!$A$2:$B$8,2,FALSE)=1, YES_Reading_ELA[Reading Level June of Previous School Year],INDIRECT("YES_Reading_ELA[Instructional Reading Level - Per "&amp;(VLOOKUP($D$2,'Reading Report Logic'!$A$2:$B$8,2,FALSE)-1)&amp;"]"))), FALSE)="", "",
VLOOKUP($A768,YES_Reading_ELA[],COLUMN(IF(VLOOKUP($D$2,'Reading Report Logic'!$A$2:$B$8,2,FALSE)=1, YES_Reading_ELA[Reading Level June of Previous School Year],INDIRECT("YES_Reading_ELA[Instructional Reading Level - Per "&amp;(VLOOKUP($D$2,'Reading Report Logic'!$A$2:$B$8,2,FALSE)-1)&amp;"]"))),FALSE)),
IF(VLOOKUP($A768, YES_Reading_FLA[], COLUMN(IF(VLOOKUP($D$2,'Reading Report Logic'!$A$2:$B$8,2,FALSE)=1, YES_Reading_FLA[Reading Level June of Previous School Year],INDIRECT("YES_Reading_FLA[Instructional Reading Level - Per "&amp;(VLOOKUP($D$2,'Reading Report Logic'!$A$2:$B$8,2,FALSE)-1)&amp;"]"))),FALSE)="", "", VLOOKUP($A768,YES_Reading_FLA[],COLUMN(IF(VLOOKUP($D$2,'Reading Report Logic'!$A$2:$B$8,2,FALSE)=1, YES_Reading_FLA[Reading Level June of Previous School Year],INDIRECT("YES_Reading_FLA[Instructional Reading Level - Per "&amp;(VLOOKUP($D$2,'Reading Report Logic'!$A$2:$B$8,2,FALSE)-1)&amp;"]"))), FALSE))),""))),"")</f>
        <v/>
      </c>
      <c r="D768" s="204" t="str" cm="1">
        <f t="array" aca="1" ref="D768" ca="1">IFERROR(
IF($J$2="ELA",
IF(VLOOKUP($A768, YES_Reading_ELA[], COLUMN(INDIRECT("YES_Reading_ELA[Instructional Reading Level - Per "&amp;VLOOKUP($D$2, 'Reading Report Logic'!$A$2:$B$8, 2, FALSE)&amp;"]")), FALSE)="", "",
VLOOKUP($A768,YES_Reading_ELA[], COLUMN(INDIRECT("YES_Reading_ELA[Instructional Reading Level - Per "&amp;VLOOKUP($D$2,'Reading Report Logic'!$A$2:$B$8,2,FALSE)&amp;"]")), FALSE)),
IF($J$2="FLA",
IF(VLOOKUP($A768, YES_Reading_FLA[], COLUMN(INDIRECT("YES_Reading_FLA[Instructional Reading Level - Per "&amp;VLOOKUP($D$2,'Reading Report Logic'!$A$2:$B$8,2,FALSE)&amp;"]")),FALSE)="","",
VLOOKUP($A768,YES_Reading_FLA[],COLUMN(INDIRECT("YES_Reading_FLA[Instructional Reading Level - Per "&amp;VLOOKUP($D$2,'Reading Report Logic'!$A$2:$B$8,2,FALSE)&amp;"]")),FALSE)),
IF($J$2="Combined",
IFERROR(
IF(VLOOKUP($A768, YES_Reading_ELA[], COLUMN(INDIRECT("YES_Reading_ELA[Instructional Reading Level - Per "&amp;VLOOKUP($D$2, 'Reading Report Logic'!$A$2:$B$8,2,FALSE)&amp;"]")), FALSE)="", "",
VLOOKUP($A768,YES_Reading_ELA[],COLUMN(INDIRECT("YES_Reading_ELA[Instructional Reading Level - Per "&amp;VLOOKUP($D$2,'Reading Report Logic'!$A$2:$B$8,2,FALSE)&amp;"]")),FALSE)),
IF(VLOOKUP($A768, YES_Reading_FLA[], COLUMN(INDIRECT("YES_Reading_FLA[Instructional Reading Level - Per "&amp;VLOOKUP($D$2, 'Reading Report Logic'!$A$2:$B$8, 2, FALSE)&amp;"]")),FALSE)="", "", VLOOKUP($A768,YES_Reading_FLA[],COLUMN(INDIRECT("YES_Reading_FLA[Instructional Reading Level - Per "&amp;VLOOKUP($D$2, 'Reading Report Logic'!$A$2:$B$8, 2, FALSE)&amp;"]")),FALSE))),""))),"")</f>
        <v/>
      </c>
      <c r="E768" s="205" t="str" cm="1">
        <f t="array" aca="1" ref="E768" ca="1">IFERROR(
IF($J$2="ELA",
IF(VLOOKUP($A768, YES_Reading_ELA[], COLUMN(INDIRECT("YES_Reading_ELA[Min Expectation - Per "&amp;VLOOKUP($D$2, 'Reading Report Logic'!$A$2:$B$8, 2, FALSE)&amp;"]")), FALSE)="", "",
VLOOKUP($A768,YES_Reading_ELA[], COLUMN(INDIRECT("YES_Reading_ELA[Min Expectation - Per "&amp;VLOOKUP($D$2,'Reading Report Logic'!$A$2:$B$8,2,FALSE)&amp;"]")), FALSE)),
IF($J$2="FLA",
IF(VLOOKUP($A768, YES_Reading_FLA[], COLUMN(INDIRECT("YES_Reading_FLA[Min Expectation - Per "&amp;VLOOKUP($D$2,'Reading Report Logic'!$A$2:$B$8,2,FALSE)&amp;"]")),FALSE)="","",
VLOOKUP($A768,YES_Reading_FLA[],COLUMN(INDIRECT("YES_Reading_FLA[Min Expectation - Per "&amp;VLOOKUP($D$2,'Reading Report Logic'!$A$2:$B$8,2,FALSE)&amp;"]")),FALSE)),
IF($J$2="Combined",
IFERROR(
IF(VLOOKUP($A768, YES_Reading_ELA[], COLUMN(INDIRECT("YES_Reading_ELA[Min Expectation - Per "&amp;VLOOKUP($D$2, 'Reading Report Logic'!$A$2:$B$8,2,FALSE)&amp;"]")), FALSE)="", "",
VLOOKUP($A768,YES_Reading_ELA[],COLUMN(INDIRECT("YES_Reading_ELA[Min Expectation - Per "&amp;VLOOKUP($D$2,'Reading Report Logic'!$A$2:$B$8,2,FALSE)&amp;"]")),FALSE)),
IF(VLOOKUP($A768, YES_Reading_FLA[], COLUMN(INDIRECT("YES_Reading_FLA[Min Expectation - Per "&amp;VLOOKUP($D$2, 'Reading Report Logic'!$A$2:$B$8, 2, FALSE)&amp;"]")),FALSE)="", "", VLOOKUP($A768,YES_Reading_FLA[],COLUMN(INDIRECT("YES_Reading_FLA[Min Expectation - Per "&amp;VLOOKUP($D$2, 'Reading Report Logic'!$A$2:$B$8, 2, FALSE)&amp;"]")),FALSE))),""))),"")</f>
        <v/>
      </c>
      <c r="F768" s="205" t="str" cm="1">
        <f t="array" aca="1" ref="F768" ca="1">IFERROR(
IF($J$2="ELA",
IF(VLOOKUP($A768, YES_Reading_ELA[], COLUMN(INDIRECT("YES_Reading_ELA[Max Expectation - Per "&amp;VLOOKUP($D$2, 'Reading Report Logic'!$A$2:$B$8, 2, FALSE)&amp;"]")), FALSE)="", "",
VLOOKUP($A768,YES_Reading_ELA[], COLUMN(INDIRECT("YES_Reading_ELA[Max Expectation - Per "&amp;VLOOKUP($D$2,'Reading Report Logic'!$A$2:$B$8,2,FALSE)&amp;"]")), FALSE)),
IF($J$2="FLA",
IF(VLOOKUP($A768, YES_Reading_FLA[], COLUMN(INDIRECT("YES_Reading_FLA[Max Expectation - Per "&amp;VLOOKUP($D$2,'Reading Report Logic'!$A$2:$B$8,2,FALSE)&amp;"]")),FALSE)="","",
VLOOKUP($A768,YES_Reading_FLA[],COLUMN(INDIRECT("YES_Reading_FLA[Max Expectation - Per "&amp;VLOOKUP($D$2,'Reading Report Logic'!$A$2:$B$8,2,FALSE)&amp;"]")),FALSE)),
IF($J$2="Combined",
IFERROR(
IF(VLOOKUP($A768, YES_Reading_ELA[], COLUMN(INDIRECT("YES_Reading_ELA[Max Expectation - Per "&amp;VLOOKUP($D$2, 'Reading Report Logic'!$A$2:$B$8,2,FALSE)&amp;"]")), FALSE)="", "",
VLOOKUP($A768,YES_Reading_ELA[],COLUMN(INDIRECT("YES_Reading_ELA[Max Expectation - Per "&amp;VLOOKUP($D$2,'Reading Report Logic'!$A$2:$B$8,2,FALSE)&amp;"]")),FALSE)),
IF(VLOOKUP($A768, YES_Reading_FLA[], COLUMN(INDIRECT("YES_Reading_FLA[Max Expectation - Per "&amp;VLOOKUP($D$2, 'Reading Report Logic'!$A$2:$B$8, 2, FALSE)&amp;"]")),FALSE)="", "", VLOOKUP($A768,YES_Reading_FLA[],COLUMN(INDIRECT("YES_Reading_FLA[Max Expectation - Per "&amp;VLOOKUP($D$2, 'Reading Report Logic'!$A$2:$B$8, 2, FALSE)&amp;"]")),FALSE))),""))),"")</f>
        <v/>
      </c>
      <c r="G768" s="205" t="str" cm="1">
        <f t="array" aca="1" ref="G768" ca="1">IFERROR(
IF($J$2="ELA",
IF(VLOOKUP($A768, YES_Reading_ELA[], COLUMN(INDIRECT("YES_Reading_ELA[Difference - Per "&amp;VLOOKUP($D$2, 'Reading Report Logic'!$A$2:$B$8, 2, FALSE)&amp;"]")), FALSE)="", "",
VLOOKUP($A768,YES_Reading_ELA[], COLUMN(INDIRECT("YES_Reading_ELA[Difference - Per "&amp;VLOOKUP($D$2,'Reading Report Logic'!$A$2:$B$8,2,FALSE)&amp;"]")), FALSE)),
IF($J$2="FLA",
IF(VLOOKUP($A768, YES_Reading_FLA[], COLUMN(INDIRECT("YES_Reading_FLA[Difference - Per "&amp;VLOOKUP($D$2,'Reading Report Logic'!$A$2:$B$8,2,FALSE)&amp;"]")),FALSE)="","",
VLOOKUP($A768,YES_Reading_FLA[],COLUMN(INDIRECT("YES_Reading_FLA[Difference - Per "&amp;VLOOKUP($D$2,'Reading Report Logic'!$A$2:$B$8,2,FALSE)&amp;"]")),FALSE)),
IF($J$2="Combined",
IFERROR(
IF(VLOOKUP($A768, YES_Reading_ELA[], COLUMN(INDIRECT("YES_Reading_ELA[Difference - Per "&amp;VLOOKUP($D$2, 'Reading Report Logic'!$A$2:$B$8,2,FALSE)&amp;"]")), FALSE)="", "",
VLOOKUP($A768,YES_Reading_ELA[],COLUMN(INDIRECT("YES_Reading_ELA[Difference - Per "&amp;VLOOKUP($D$2,'Reading Report Logic'!$A$2:$B$8,2,FALSE)&amp;"]")),FALSE)),
IF(VLOOKUP($A768, YES_Reading_FLA[], COLUMN(INDIRECT("YES_Reading_FLA[Difference - Per "&amp;VLOOKUP($D$2, 'Reading Report Logic'!$A$2:$B$8, 2, FALSE)&amp;"]")),FALSE)="", "", VLOOKUP($A768,YES_Reading_FLA[],COLUMN(INDIRECT("YES_Reading_FLA[Difference - Per "&amp;VLOOKUP($D$2, 'Reading Report Logic'!$A$2:$B$8, 2, FALSE)&amp;"]")),FALSE))),""))),"")</f>
        <v/>
      </c>
      <c r="H768" s="206" t="str">
        <f ca="1">IFERROR(VLOOKUP('Teacher Reading Pull Sheets'!$D768,_xlfn.VSTACK('ELA Reading Logic'!$A$22:$B$48,'FLA Reading Logic'!$A$22:$B$53),2,FALSE)-VLOOKUP('Teacher Reading Pull Sheets'!$C768,_xlfn.VSTACK('ELA Reading Logic'!$A$22:$B$48,'FLA Reading Logic'!$A$22:$B$53),2,FALSE),"")</f>
        <v/>
      </c>
      <c r="I768" s="212"/>
      <c r="J768" s="206"/>
      <c r="K768" s="197" t="str" cm="1">
        <f t="array" ref="K768">IFERROR(
IF($J$2="ELA",
IF(VLOOKUP($A768, YES_Reading_ELA[], COLUMN(YES_Reading_ELA[Self-Identified as African Descent]), FALSE)="", "",
VLOOKUP($A768,YES_Reading_ELA[], COLUMN(YES_Reading_ELA[Self-Identified as African Descent]), FALSE)),
IF($J$2="FLA",
IF(VLOOKUP($A768, YES_Reading_FLA[], COLUMN(YES_Reading_FLA[Self-Identified as African Descent]),FALSE)="","",
VLOOKUP($A768,YES_Reading_FLA[],COLUMN(YES_Reading_FLA[Self-Identified as African Descent]),FALSE)),
IF($J$2="Combined",
IFERROR(
IF(VLOOKUP($A768, YES_Reading_ELA[], COLUMN(YES_Reading_ELA[Self-Identified as African Descent]), FALSE)="", "",
VLOOKUP($A768,YES_Reading_ELA[],COLUMN(YES_Reading_ELA[Self-Identified as African Descent]),FALSE)),
IF(VLOOKUP($A768, YES_Reading_FLA[], COLUMN(YES_Reading_FLA[Self-Identified as African Descent]),FALSE)="", "", VLOOKUP($A768,YES_Reading_FLA[],COLUMN(YES_Reading_FLA[Self-Identified as African Descent]),FALSE))),""))),"")</f>
        <v/>
      </c>
      <c r="L768" s="73" t="str" cm="1">
        <f t="array" ref="L768">IFERROR(
IF($J$2="ELA",
IF(VLOOKUP($A768, YES_Reading_ELA[], COLUMN(YES_Reading_ELA[Self-Identified as Indigenous]), FALSE)="", "",
VLOOKUP($A768,YES_Reading_ELA[], COLUMN(YES_Reading_ELA[Self-Identified as Indigenous]), FALSE)),
IF($J$2="FLA",
IF(VLOOKUP($A768, YES_Reading_FLA[], COLUMN(YES_Reading_FLA[Self-Identified as Indigenous]),FALSE)="","",
VLOOKUP($A768,YES_Reading_FLA[],COLUMN(YES_Reading_FLA[Self-Identified as Indigenous]),FALSE)),
IF($J$2="Combined",
IFERROR(
IF(VLOOKUP($A768, YES_Reading_ELA[], COLUMN(YES_Reading_ELA[Self-Identified as Indigenous]), FALSE)="", "",
VLOOKUP($A768,YES_Reading_ELA[],COLUMN(YES_Reading_ELA[Self-Identified as Indigenous]),FALSE)),
IF(VLOOKUP($A768, YES_Reading_FLA[], COLUMN(YES_Reading_FLA[Self-Identified as Indigenous]),FALSE)="", "", VLOOKUP($A768,YES_Reading_FLA[],COLUMN(YES_Reading_FLA[Self-Identified as Indigenous]),FALSE))),""))),"")</f>
        <v/>
      </c>
    </row>
    <row r="769" spans="1:12" ht="19.5" customHeight="1" x14ac:dyDescent="0.25">
      <c r="A769" s="217">
        <v>0</v>
      </c>
      <c r="B769" s="220" t="str">
        <f>IFERROR(VLOOKUP(A769,_xlfn.VSTACK(YES_Reading_ELA[],YES_Reading_FLA[]),2,FALSE),"")</f>
        <v/>
      </c>
      <c r="C769" s="203" t="str" cm="1">
        <f t="array" aca="1" ref="C769" ca="1">IFERROR(
IF($J$2="ELA",
IF(VLOOKUP($A769, YES_Reading_ELA[], COLUMN(IF(VLOOKUP($D$2, 'Reading Report Logic'!$A$2:$B$8, 2, FALSE)=1, YES_Reading_ELA[Reading Level June of Previous School Year], INDIRECT("YES_Reading_ELA[Instructional Reading Level - Per "&amp;(VLOOKUP($D$2,'Reading Report Logic'!$A$2:$B$8,2,FALSE)-1)&amp;"]"))), FALSE)="", "",
VLOOKUP($A769,YES_Reading_ELA[], COLUMN(IF(VLOOKUP($D$2,'Reading Report Logic'!$A$2:$B$8,2,FALSE)=1, YES_Reading_ELA[Reading Level June of Previous School Year],INDIRECT("YES_Reading_ELA[Instructional Reading Level - Per "&amp;(VLOOKUP($D$2,'Reading Report Logic'!$A$2:$B$8,2,FALSE)-1)&amp;"]"))), FALSE)),
IF($J$2="FLA",
IF(VLOOKUP($A769, YES_Reading_FLA[], COLUMN(IF(VLOOKUP($D$2,'Reading Report Logic'!$A$2:$B$8,2,FALSE)=1, YES_Reading_FLA[Reading Level June of Previous School Year],INDIRECT("YES_Reading_FLA[Instructional Reading Level - Per "&amp;(VLOOKUP($D$2,'Reading Report Logic'!$A$2:$B$8,2,FALSE)-1)&amp;"]"))),FALSE)="","",
VLOOKUP($A769,YES_Reading_FLA[], COLUMN(IF(VLOOKUP($D$2,'Reading Report Logic'!$A$2:$B$8,2,FALSE)=1, YES_Reading_FLA[Reading Level June of Previous School Year],INDIRECT("YES_Reading_FLA[Instructional Reading Level - Per "&amp;(VLOOKUP($D$2,'Reading Report Logic'!$A$2:$B$8,2,FALSE)-1)&amp;"]"))),FALSE)),
IF($J$2="Combined",
IFERROR(
IF(VLOOKUP($A769, YES_Reading_ELA[], COLUMN(IF(VLOOKUP($D$2,'Reading Report Logic'!$A$2:$B$8,2,FALSE)=1, YES_Reading_ELA[Reading Level June of Previous School Year],INDIRECT("YES_Reading_ELA[Instructional Reading Level - Per "&amp;(VLOOKUP($D$2,'Reading Report Logic'!$A$2:$B$8,2,FALSE)-1)&amp;"]"))), FALSE)="", "",
VLOOKUP($A769,YES_Reading_ELA[],COLUMN(IF(VLOOKUP($D$2,'Reading Report Logic'!$A$2:$B$8,2,FALSE)=1, YES_Reading_ELA[Reading Level June of Previous School Year],INDIRECT("YES_Reading_ELA[Instructional Reading Level - Per "&amp;(VLOOKUP($D$2,'Reading Report Logic'!$A$2:$B$8,2,FALSE)-1)&amp;"]"))),FALSE)),
IF(VLOOKUP($A769, YES_Reading_FLA[], COLUMN(IF(VLOOKUP($D$2,'Reading Report Logic'!$A$2:$B$8,2,FALSE)=1, YES_Reading_FLA[Reading Level June of Previous School Year],INDIRECT("YES_Reading_FLA[Instructional Reading Level - Per "&amp;(VLOOKUP($D$2,'Reading Report Logic'!$A$2:$B$8,2,FALSE)-1)&amp;"]"))),FALSE)="", "", VLOOKUP($A769,YES_Reading_FLA[],COLUMN(IF(VLOOKUP($D$2,'Reading Report Logic'!$A$2:$B$8,2,FALSE)=1, YES_Reading_FLA[Reading Level June of Previous School Year],INDIRECT("YES_Reading_FLA[Instructional Reading Level - Per "&amp;(VLOOKUP($D$2,'Reading Report Logic'!$A$2:$B$8,2,FALSE)-1)&amp;"]"))), FALSE))),""))),"")</f>
        <v/>
      </c>
      <c r="D769" s="204" t="str" cm="1">
        <f t="array" aca="1" ref="D769" ca="1">IFERROR(
IF($J$2="ELA",
IF(VLOOKUP($A769, YES_Reading_ELA[], COLUMN(INDIRECT("YES_Reading_ELA[Instructional Reading Level - Per "&amp;VLOOKUP($D$2, 'Reading Report Logic'!$A$2:$B$8, 2, FALSE)&amp;"]")), FALSE)="", "",
VLOOKUP($A769,YES_Reading_ELA[], COLUMN(INDIRECT("YES_Reading_ELA[Instructional Reading Level - Per "&amp;VLOOKUP($D$2,'Reading Report Logic'!$A$2:$B$8,2,FALSE)&amp;"]")), FALSE)),
IF($J$2="FLA",
IF(VLOOKUP($A769, YES_Reading_FLA[], COLUMN(INDIRECT("YES_Reading_FLA[Instructional Reading Level - Per "&amp;VLOOKUP($D$2,'Reading Report Logic'!$A$2:$B$8,2,FALSE)&amp;"]")),FALSE)="","",
VLOOKUP($A769,YES_Reading_FLA[],COLUMN(INDIRECT("YES_Reading_FLA[Instructional Reading Level - Per "&amp;VLOOKUP($D$2,'Reading Report Logic'!$A$2:$B$8,2,FALSE)&amp;"]")),FALSE)),
IF($J$2="Combined",
IFERROR(
IF(VLOOKUP($A769, YES_Reading_ELA[], COLUMN(INDIRECT("YES_Reading_ELA[Instructional Reading Level - Per "&amp;VLOOKUP($D$2, 'Reading Report Logic'!$A$2:$B$8,2,FALSE)&amp;"]")), FALSE)="", "",
VLOOKUP($A769,YES_Reading_ELA[],COLUMN(INDIRECT("YES_Reading_ELA[Instructional Reading Level - Per "&amp;VLOOKUP($D$2,'Reading Report Logic'!$A$2:$B$8,2,FALSE)&amp;"]")),FALSE)),
IF(VLOOKUP($A769, YES_Reading_FLA[], COLUMN(INDIRECT("YES_Reading_FLA[Instructional Reading Level - Per "&amp;VLOOKUP($D$2, 'Reading Report Logic'!$A$2:$B$8, 2, FALSE)&amp;"]")),FALSE)="", "", VLOOKUP($A769,YES_Reading_FLA[],COLUMN(INDIRECT("YES_Reading_FLA[Instructional Reading Level - Per "&amp;VLOOKUP($D$2, 'Reading Report Logic'!$A$2:$B$8, 2, FALSE)&amp;"]")),FALSE))),""))),"")</f>
        <v/>
      </c>
      <c r="E769" s="205" t="str" cm="1">
        <f t="array" aca="1" ref="E769" ca="1">IFERROR(
IF($J$2="ELA",
IF(VLOOKUP($A769, YES_Reading_ELA[], COLUMN(INDIRECT("YES_Reading_ELA[Min Expectation - Per "&amp;VLOOKUP($D$2, 'Reading Report Logic'!$A$2:$B$8, 2, FALSE)&amp;"]")), FALSE)="", "",
VLOOKUP($A769,YES_Reading_ELA[], COLUMN(INDIRECT("YES_Reading_ELA[Min Expectation - Per "&amp;VLOOKUP($D$2,'Reading Report Logic'!$A$2:$B$8,2,FALSE)&amp;"]")), FALSE)),
IF($J$2="FLA",
IF(VLOOKUP($A769, YES_Reading_FLA[], COLUMN(INDIRECT("YES_Reading_FLA[Min Expectation - Per "&amp;VLOOKUP($D$2,'Reading Report Logic'!$A$2:$B$8,2,FALSE)&amp;"]")),FALSE)="","",
VLOOKUP($A769,YES_Reading_FLA[],COLUMN(INDIRECT("YES_Reading_FLA[Min Expectation - Per "&amp;VLOOKUP($D$2,'Reading Report Logic'!$A$2:$B$8,2,FALSE)&amp;"]")),FALSE)),
IF($J$2="Combined",
IFERROR(
IF(VLOOKUP($A769, YES_Reading_ELA[], COLUMN(INDIRECT("YES_Reading_ELA[Min Expectation - Per "&amp;VLOOKUP($D$2, 'Reading Report Logic'!$A$2:$B$8,2,FALSE)&amp;"]")), FALSE)="", "",
VLOOKUP($A769,YES_Reading_ELA[],COLUMN(INDIRECT("YES_Reading_ELA[Min Expectation - Per "&amp;VLOOKUP($D$2,'Reading Report Logic'!$A$2:$B$8,2,FALSE)&amp;"]")),FALSE)),
IF(VLOOKUP($A769, YES_Reading_FLA[], COLUMN(INDIRECT("YES_Reading_FLA[Min Expectation - Per "&amp;VLOOKUP($D$2, 'Reading Report Logic'!$A$2:$B$8, 2, FALSE)&amp;"]")),FALSE)="", "", VLOOKUP($A769,YES_Reading_FLA[],COLUMN(INDIRECT("YES_Reading_FLA[Min Expectation - Per "&amp;VLOOKUP($D$2, 'Reading Report Logic'!$A$2:$B$8, 2, FALSE)&amp;"]")),FALSE))),""))),"")</f>
        <v/>
      </c>
      <c r="F769" s="205" t="str" cm="1">
        <f t="array" aca="1" ref="F769" ca="1">IFERROR(
IF($J$2="ELA",
IF(VLOOKUP($A769, YES_Reading_ELA[], COLUMN(INDIRECT("YES_Reading_ELA[Max Expectation - Per "&amp;VLOOKUP($D$2, 'Reading Report Logic'!$A$2:$B$8, 2, FALSE)&amp;"]")), FALSE)="", "",
VLOOKUP($A769,YES_Reading_ELA[], COLUMN(INDIRECT("YES_Reading_ELA[Max Expectation - Per "&amp;VLOOKUP($D$2,'Reading Report Logic'!$A$2:$B$8,2,FALSE)&amp;"]")), FALSE)),
IF($J$2="FLA",
IF(VLOOKUP($A769, YES_Reading_FLA[], COLUMN(INDIRECT("YES_Reading_FLA[Max Expectation - Per "&amp;VLOOKUP($D$2,'Reading Report Logic'!$A$2:$B$8,2,FALSE)&amp;"]")),FALSE)="","",
VLOOKUP($A769,YES_Reading_FLA[],COLUMN(INDIRECT("YES_Reading_FLA[Max Expectation - Per "&amp;VLOOKUP($D$2,'Reading Report Logic'!$A$2:$B$8,2,FALSE)&amp;"]")),FALSE)),
IF($J$2="Combined",
IFERROR(
IF(VLOOKUP($A769, YES_Reading_ELA[], COLUMN(INDIRECT("YES_Reading_ELA[Max Expectation - Per "&amp;VLOOKUP($D$2, 'Reading Report Logic'!$A$2:$B$8,2,FALSE)&amp;"]")), FALSE)="", "",
VLOOKUP($A769,YES_Reading_ELA[],COLUMN(INDIRECT("YES_Reading_ELA[Max Expectation - Per "&amp;VLOOKUP($D$2,'Reading Report Logic'!$A$2:$B$8,2,FALSE)&amp;"]")),FALSE)),
IF(VLOOKUP($A769, YES_Reading_FLA[], COLUMN(INDIRECT("YES_Reading_FLA[Max Expectation - Per "&amp;VLOOKUP($D$2, 'Reading Report Logic'!$A$2:$B$8, 2, FALSE)&amp;"]")),FALSE)="", "", VLOOKUP($A769,YES_Reading_FLA[],COLUMN(INDIRECT("YES_Reading_FLA[Max Expectation - Per "&amp;VLOOKUP($D$2, 'Reading Report Logic'!$A$2:$B$8, 2, FALSE)&amp;"]")),FALSE))),""))),"")</f>
        <v/>
      </c>
      <c r="G769" s="205" t="str" cm="1">
        <f t="array" aca="1" ref="G769" ca="1">IFERROR(
IF($J$2="ELA",
IF(VLOOKUP($A769, YES_Reading_ELA[], COLUMN(INDIRECT("YES_Reading_ELA[Difference - Per "&amp;VLOOKUP($D$2, 'Reading Report Logic'!$A$2:$B$8, 2, FALSE)&amp;"]")), FALSE)="", "",
VLOOKUP($A769,YES_Reading_ELA[], COLUMN(INDIRECT("YES_Reading_ELA[Difference - Per "&amp;VLOOKUP($D$2,'Reading Report Logic'!$A$2:$B$8,2,FALSE)&amp;"]")), FALSE)),
IF($J$2="FLA",
IF(VLOOKUP($A769, YES_Reading_FLA[], COLUMN(INDIRECT("YES_Reading_FLA[Difference - Per "&amp;VLOOKUP($D$2,'Reading Report Logic'!$A$2:$B$8,2,FALSE)&amp;"]")),FALSE)="","",
VLOOKUP($A769,YES_Reading_FLA[],COLUMN(INDIRECT("YES_Reading_FLA[Difference - Per "&amp;VLOOKUP($D$2,'Reading Report Logic'!$A$2:$B$8,2,FALSE)&amp;"]")),FALSE)),
IF($J$2="Combined",
IFERROR(
IF(VLOOKUP($A769, YES_Reading_ELA[], COLUMN(INDIRECT("YES_Reading_ELA[Difference - Per "&amp;VLOOKUP($D$2, 'Reading Report Logic'!$A$2:$B$8,2,FALSE)&amp;"]")), FALSE)="", "",
VLOOKUP($A769,YES_Reading_ELA[],COLUMN(INDIRECT("YES_Reading_ELA[Difference - Per "&amp;VLOOKUP($D$2,'Reading Report Logic'!$A$2:$B$8,2,FALSE)&amp;"]")),FALSE)),
IF(VLOOKUP($A769, YES_Reading_FLA[], COLUMN(INDIRECT("YES_Reading_FLA[Difference - Per "&amp;VLOOKUP($D$2, 'Reading Report Logic'!$A$2:$B$8, 2, FALSE)&amp;"]")),FALSE)="", "", VLOOKUP($A769,YES_Reading_FLA[],COLUMN(INDIRECT("YES_Reading_FLA[Difference - Per "&amp;VLOOKUP($D$2, 'Reading Report Logic'!$A$2:$B$8, 2, FALSE)&amp;"]")),FALSE))),""))),"")</f>
        <v/>
      </c>
      <c r="H769" s="206" t="str">
        <f ca="1">IFERROR(VLOOKUP('Teacher Reading Pull Sheets'!$D769,_xlfn.VSTACK('ELA Reading Logic'!$A$22:$B$48,'FLA Reading Logic'!$A$22:$B$53),2,FALSE)-VLOOKUP('Teacher Reading Pull Sheets'!$C769,_xlfn.VSTACK('ELA Reading Logic'!$A$22:$B$48,'FLA Reading Logic'!$A$22:$B$53),2,FALSE),"")</f>
        <v/>
      </c>
      <c r="I769" s="212"/>
      <c r="J769" s="206"/>
      <c r="K769" s="197" t="str" cm="1">
        <f t="array" ref="K769">IFERROR(
IF($J$2="ELA",
IF(VLOOKUP($A769, YES_Reading_ELA[], COLUMN(YES_Reading_ELA[Self-Identified as African Descent]), FALSE)="", "",
VLOOKUP($A769,YES_Reading_ELA[], COLUMN(YES_Reading_ELA[Self-Identified as African Descent]), FALSE)),
IF($J$2="FLA",
IF(VLOOKUP($A769, YES_Reading_FLA[], COLUMN(YES_Reading_FLA[Self-Identified as African Descent]),FALSE)="","",
VLOOKUP($A769,YES_Reading_FLA[],COLUMN(YES_Reading_FLA[Self-Identified as African Descent]),FALSE)),
IF($J$2="Combined",
IFERROR(
IF(VLOOKUP($A769, YES_Reading_ELA[], COLUMN(YES_Reading_ELA[Self-Identified as African Descent]), FALSE)="", "",
VLOOKUP($A769,YES_Reading_ELA[],COLUMN(YES_Reading_ELA[Self-Identified as African Descent]),FALSE)),
IF(VLOOKUP($A769, YES_Reading_FLA[], COLUMN(YES_Reading_FLA[Self-Identified as African Descent]),FALSE)="", "", VLOOKUP($A769,YES_Reading_FLA[],COLUMN(YES_Reading_FLA[Self-Identified as African Descent]),FALSE))),""))),"")</f>
        <v/>
      </c>
      <c r="L769" s="73" t="str" cm="1">
        <f t="array" ref="L769">IFERROR(
IF($J$2="ELA",
IF(VLOOKUP($A769, YES_Reading_ELA[], COLUMN(YES_Reading_ELA[Self-Identified as Indigenous]), FALSE)="", "",
VLOOKUP($A769,YES_Reading_ELA[], COLUMN(YES_Reading_ELA[Self-Identified as Indigenous]), FALSE)),
IF($J$2="FLA",
IF(VLOOKUP($A769, YES_Reading_FLA[], COLUMN(YES_Reading_FLA[Self-Identified as Indigenous]),FALSE)="","",
VLOOKUP($A769,YES_Reading_FLA[],COLUMN(YES_Reading_FLA[Self-Identified as Indigenous]),FALSE)),
IF($J$2="Combined",
IFERROR(
IF(VLOOKUP($A769, YES_Reading_ELA[], COLUMN(YES_Reading_ELA[Self-Identified as Indigenous]), FALSE)="", "",
VLOOKUP($A769,YES_Reading_ELA[],COLUMN(YES_Reading_ELA[Self-Identified as Indigenous]),FALSE)),
IF(VLOOKUP($A769, YES_Reading_FLA[], COLUMN(YES_Reading_FLA[Self-Identified as Indigenous]),FALSE)="", "", VLOOKUP($A769,YES_Reading_FLA[],COLUMN(YES_Reading_FLA[Self-Identified as Indigenous]),FALSE))),""))),"")</f>
        <v/>
      </c>
    </row>
    <row r="770" spans="1:12" ht="19.5" customHeight="1" x14ac:dyDescent="0.25">
      <c r="A770" s="217">
        <v>0</v>
      </c>
      <c r="B770" s="220" t="str">
        <f>IFERROR(VLOOKUP(A770,_xlfn.VSTACK(YES_Reading_ELA[],YES_Reading_FLA[]),2,FALSE),"")</f>
        <v/>
      </c>
      <c r="C770" s="203" t="str" cm="1">
        <f t="array" aca="1" ref="C770" ca="1">IFERROR(
IF($J$2="ELA",
IF(VLOOKUP($A770, YES_Reading_ELA[], COLUMN(IF(VLOOKUP($D$2, 'Reading Report Logic'!$A$2:$B$8, 2, FALSE)=1, YES_Reading_ELA[Reading Level June of Previous School Year], INDIRECT("YES_Reading_ELA[Instructional Reading Level - Per "&amp;(VLOOKUP($D$2,'Reading Report Logic'!$A$2:$B$8,2,FALSE)-1)&amp;"]"))), FALSE)="", "",
VLOOKUP($A770,YES_Reading_ELA[], COLUMN(IF(VLOOKUP($D$2,'Reading Report Logic'!$A$2:$B$8,2,FALSE)=1, YES_Reading_ELA[Reading Level June of Previous School Year],INDIRECT("YES_Reading_ELA[Instructional Reading Level - Per "&amp;(VLOOKUP($D$2,'Reading Report Logic'!$A$2:$B$8,2,FALSE)-1)&amp;"]"))), FALSE)),
IF($J$2="FLA",
IF(VLOOKUP($A770, YES_Reading_FLA[], COLUMN(IF(VLOOKUP($D$2,'Reading Report Logic'!$A$2:$B$8,2,FALSE)=1, YES_Reading_FLA[Reading Level June of Previous School Year],INDIRECT("YES_Reading_FLA[Instructional Reading Level - Per "&amp;(VLOOKUP($D$2,'Reading Report Logic'!$A$2:$B$8,2,FALSE)-1)&amp;"]"))),FALSE)="","",
VLOOKUP($A770,YES_Reading_FLA[], COLUMN(IF(VLOOKUP($D$2,'Reading Report Logic'!$A$2:$B$8,2,FALSE)=1, YES_Reading_FLA[Reading Level June of Previous School Year],INDIRECT("YES_Reading_FLA[Instructional Reading Level - Per "&amp;(VLOOKUP($D$2,'Reading Report Logic'!$A$2:$B$8,2,FALSE)-1)&amp;"]"))),FALSE)),
IF($J$2="Combined",
IFERROR(
IF(VLOOKUP($A770, YES_Reading_ELA[], COLUMN(IF(VLOOKUP($D$2,'Reading Report Logic'!$A$2:$B$8,2,FALSE)=1, YES_Reading_ELA[Reading Level June of Previous School Year],INDIRECT("YES_Reading_ELA[Instructional Reading Level - Per "&amp;(VLOOKUP($D$2,'Reading Report Logic'!$A$2:$B$8,2,FALSE)-1)&amp;"]"))), FALSE)="", "",
VLOOKUP($A770,YES_Reading_ELA[],COLUMN(IF(VLOOKUP($D$2,'Reading Report Logic'!$A$2:$B$8,2,FALSE)=1, YES_Reading_ELA[Reading Level June of Previous School Year],INDIRECT("YES_Reading_ELA[Instructional Reading Level - Per "&amp;(VLOOKUP($D$2,'Reading Report Logic'!$A$2:$B$8,2,FALSE)-1)&amp;"]"))),FALSE)),
IF(VLOOKUP($A770, YES_Reading_FLA[], COLUMN(IF(VLOOKUP($D$2,'Reading Report Logic'!$A$2:$B$8,2,FALSE)=1, YES_Reading_FLA[Reading Level June of Previous School Year],INDIRECT("YES_Reading_FLA[Instructional Reading Level - Per "&amp;(VLOOKUP($D$2,'Reading Report Logic'!$A$2:$B$8,2,FALSE)-1)&amp;"]"))),FALSE)="", "", VLOOKUP($A770,YES_Reading_FLA[],COLUMN(IF(VLOOKUP($D$2,'Reading Report Logic'!$A$2:$B$8,2,FALSE)=1, YES_Reading_FLA[Reading Level June of Previous School Year],INDIRECT("YES_Reading_FLA[Instructional Reading Level - Per "&amp;(VLOOKUP($D$2,'Reading Report Logic'!$A$2:$B$8,2,FALSE)-1)&amp;"]"))), FALSE))),""))),"")</f>
        <v/>
      </c>
      <c r="D770" s="204" t="str" cm="1">
        <f t="array" aca="1" ref="D770" ca="1">IFERROR(
IF($J$2="ELA",
IF(VLOOKUP($A770, YES_Reading_ELA[], COLUMN(INDIRECT("YES_Reading_ELA[Instructional Reading Level - Per "&amp;VLOOKUP($D$2, 'Reading Report Logic'!$A$2:$B$8, 2, FALSE)&amp;"]")), FALSE)="", "",
VLOOKUP($A770,YES_Reading_ELA[], COLUMN(INDIRECT("YES_Reading_ELA[Instructional Reading Level - Per "&amp;VLOOKUP($D$2,'Reading Report Logic'!$A$2:$B$8,2,FALSE)&amp;"]")), FALSE)),
IF($J$2="FLA",
IF(VLOOKUP($A770, YES_Reading_FLA[], COLUMN(INDIRECT("YES_Reading_FLA[Instructional Reading Level - Per "&amp;VLOOKUP($D$2,'Reading Report Logic'!$A$2:$B$8,2,FALSE)&amp;"]")),FALSE)="","",
VLOOKUP($A770,YES_Reading_FLA[],COLUMN(INDIRECT("YES_Reading_FLA[Instructional Reading Level - Per "&amp;VLOOKUP($D$2,'Reading Report Logic'!$A$2:$B$8,2,FALSE)&amp;"]")),FALSE)),
IF($J$2="Combined",
IFERROR(
IF(VLOOKUP($A770, YES_Reading_ELA[], COLUMN(INDIRECT("YES_Reading_ELA[Instructional Reading Level - Per "&amp;VLOOKUP($D$2, 'Reading Report Logic'!$A$2:$B$8,2,FALSE)&amp;"]")), FALSE)="", "",
VLOOKUP($A770,YES_Reading_ELA[],COLUMN(INDIRECT("YES_Reading_ELA[Instructional Reading Level - Per "&amp;VLOOKUP($D$2,'Reading Report Logic'!$A$2:$B$8,2,FALSE)&amp;"]")),FALSE)),
IF(VLOOKUP($A770, YES_Reading_FLA[], COLUMN(INDIRECT("YES_Reading_FLA[Instructional Reading Level - Per "&amp;VLOOKUP($D$2, 'Reading Report Logic'!$A$2:$B$8, 2, FALSE)&amp;"]")),FALSE)="", "", VLOOKUP($A770,YES_Reading_FLA[],COLUMN(INDIRECT("YES_Reading_FLA[Instructional Reading Level - Per "&amp;VLOOKUP($D$2, 'Reading Report Logic'!$A$2:$B$8, 2, FALSE)&amp;"]")),FALSE))),""))),"")</f>
        <v/>
      </c>
      <c r="E770" s="205" t="str" cm="1">
        <f t="array" aca="1" ref="E770" ca="1">IFERROR(
IF($J$2="ELA",
IF(VLOOKUP($A770, YES_Reading_ELA[], COLUMN(INDIRECT("YES_Reading_ELA[Min Expectation - Per "&amp;VLOOKUP($D$2, 'Reading Report Logic'!$A$2:$B$8, 2, FALSE)&amp;"]")), FALSE)="", "",
VLOOKUP($A770,YES_Reading_ELA[], COLUMN(INDIRECT("YES_Reading_ELA[Min Expectation - Per "&amp;VLOOKUP($D$2,'Reading Report Logic'!$A$2:$B$8,2,FALSE)&amp;"]")), FALSE)),
IF($J$2="FLA",
IF(VLOOKUP($A770, YES_Reading_FLA[], COLUMN(INDIRECT("YES_Reading_FLA[Min Expectation - Per "&amp;VLOOKUP($D$2,'Reading Report Logic'!$A$2:$B$8,2,FALSE)&amp;"]")),FALSE)="","",
VLOOKUP($A770,YES_Reading_FLA[],COLUMN(INDIRECT("YES_Reading_FLA[Min Expectation - Per "&amp;VLOOKUP($D$2,'Reading Report Logic'!$A$2:$B$8,2,FALSE)&amp;"]")),FALSE)),
IF($J$2="Combined",
IFERROR(
IF(VLOOKUP($A770, YES_Reading_ELA[], COLUMN(INDIRECT("YES_Reading_ELA[Min Expectation - Per "&amp;VLOOKUP($D$2, 'Reading Report Logic'!$A$2:$B$8,2,FALSE)&amp;"]")), FALSE)="", "",
VLOOKUP($A770,YES_Reading_ELA[],COLUMN(INDIRECT("YES_Reading_ELA[Min Expectation - Per "&amp;VLOOKUP($D$2,'Reading Report Logic'!$A$2:$B$8,2,FALSE)&amp;"]")),FALSE)),
IF(VLOOKUP($A770, YES_Reading_FLA[], COLUMN(INDIRECT("YES_Reading_FLA[Min Expectation - Per "&amp;VLOOKUP($D$2, 'Reading Report Logic'!$A$2:$B$8, 2, FALSE)&amp;"]")),FALSE)="", "", VLOOKUP($A770,YES_Reading_FLA[],COLUMN(INDIRECT("YES_Reading_FLA[Min Expectation - Per "&amp;VLOOKUP($D$2, 'Reading Report Logic'!$A$2:$B$8, 2, FALSE)&amp;"]")),FALSE))),""))),"")</f>
        <v/>
      </c>
      <c r="F770" s="205" t="str" cm="1">
        <f t="array" aca="1" ref="F770" ca="1">IFERROR(
IF($J$2="ELA",
IF(VLOOKUP($A770, YES_Reading_ELA[], COLUMN(INDIRECT("YES_Reading_ELA[Max Expectation - Per "&amp;VLOOKUP($D$2, 'Reading Report Logic'!$A$2:$B$8, 2, FALSE)&amp;"]")), FALSE)="", "",
VLOOKUP($A770,YES_Reading_ELA[], COLUMN(INDIRECT("YES_Reading_ELA[Max Expectation - Per "&amp;VLOOKUP($D$2,'Reading Report Logic'!$A$2:$B$8,2,FALSE)&amp;"]")), FALSE)),
IF($J$2="FLA",
IF(VLOOKUP($A770, YES_Reading_FLA[], COLUMN(INDIRECT("YES_Reading_FLA[Max Expectation - Per "&amp;VLOOKUP($D$2,'Reading Report Logic'!$A$2:$B$8,2,FALSE)&amp;"]")),FALSE)="","",
VLOOKUP($A770,YES_Reading_FLA[],COLUMN(INDIRECT("YES_Reading_FLA[Max Expectation - Per "&amp;VLOOKUP($D$2,'Reading Report Logic'!$A$2:$B$8,2,FALSE)&amp;"]")),FALSE)),
IF($J$2="Combined",
IFERROR(
IF(VLOOKUP($A770, YES_Reading_ELA[], COLUMN(INDIRECT("YES_Reading_ELA[Max Expectation - Per "&amp;VLOOKUP($D$2, 'Reading Report Logic'!$A$2:$B$8,2,FALSE)&amp;"]")), FALSE)="", "",
VLOOKUP($A770,YES_Reading_ELA[],COLUMN(INDIRECT("YES_Reading_ELA[Max Expectation - Per "&amp;VLOOKUP($D$2,'Reading Report Logic'!$A$2:$B$8,2,FALSE)&amp;"]")),FALSE)),
IF(VLOOKUP($A770, YES_Reading_FLA[], COLUMN(INDIRECT("YES_Reading_FLA[Max Expectation - Per "&amp;VLOOKUP($D$2, 'Reading Report Logic'!$A$2:$B$8, 2, FALSE)&amp;"]")),FALSE)="", "", VLOOKUP($A770,YES_Reading_FLA[],COLUMN(INDIRECT("YES_Reading_FLA[Max Expectation - Per "&amp;VLOOKUP($D$2, 'Reading Report Logic'!$A$2:$B$8, 2, FALSE)&amp;"]")),FALSE))),""))),"")</f>
        <v/>
      </c>
      <c r="G770" s="205" t="str" cm="1">
        <f t="array" aca="1" ref="G770" ca="1">IFERROR(
IF($J$2="ELA",
IF(VLOOKUP($A770, YES_Reading_ELA[], COLUMN(INDIRECT("YES_Reading_ELA[Difference - Per "&amp;VLOOKUP($D$2, 'Reading Report Logic'!$A$2:$B$8, 2, FALSE)&amp;"]")), FALSE)="", "",
VLOOKUP($A770,YES_Reading_ELA[], COLUMN(INDIRECT("YES_Reading_ELA[Difference - Per "&amp;VLOOKUP($D$2,'Reading Report Logic'!$A$2:$B$8,2,FALSE)&amp;"]")), FALSE)),
IF($J$2="FLA",
IF(VLOOKUP($A770, YES_Reading_FLA[], COLUMN(INDIRECT("YES_Reading_FLA[Difference - Per "&amp;VLOOKUP($D$2,'Reading Report Logic'!$A$2:$B$8,2,FALSE)&amp;"]")),FALSE)="","",
VLOOKUP($A770,YES_Reading_FLA[],COLUMN(INDIRECT("YES_Reading_FLA[Difference - Per "&amp;VLOOKUP($D$2,'Reading Report Logic'!$A$2:$B$8,2,FALSE)&amp;"]")),FALSE)),
IF($J$2="Combined",
IFERROR(
IF(VLOOKUP($A770, YES_Reading_ELA[], COLUMN(INDIRECT("YES_Reading_ELA[Difference - Per "&amp;VLOOKUP($D$2, 'Reading Report Logic'!$A$2:$B$8,2,FALSE)&amp;"]")), FALSE)="", "",
VLOOKUP($A770,YES_Reading_ELA[],COLUMN(INDIRECT("YES_Reading_ELA[Difference - Per "&amp;VLOOKUP($D$2,'Reading Report Logic'!$A$2:$B$8,2,FALSE)&amp;"]")),FALSE)),
IF(VLOOKUP($A770, YES_Reading_FLA[], COLUMN(INDIRECT("YES_Reading_FLA[Difference - Per "&amp;VLOOKUP($D$2, 'Reading Report Logic'!$A$2:$B$8, 2, FALSE)&amp;"]")),FALSE)="", "", VLOOKUP($A770,YES_Reading_FLA[],COLUMN(INDIRECT("YES_Reading_FLA[Difference - Per "&amp;VLOOKUP($D$2, 'Reading Report Logic'!$A$2:$B$8, 2, FALSE)&amp;"]")),FALSE))),""))),"")</f>
        <v/>
      </c>
      <c r="H770" s="206" t="str">
        <f ca="1">IFERROR(VLOOKUP('Teacher Reading Pull Sheets'!$D770,_xlfn.VSTACK('ELA Reading Logic'!$A$22:$B$48,'FLA Reading Logic'!$A$22:$B$53),2,FALSE)-VLOOKUP('Teacher Reading Pull Sheets'!$C770,_xlfn.VSTACK('ELA Reading Logic'!$A$22:$B$48,'FLA Reading Logic'!$A$22:$B$53),2,FALSE),"")</f>
        <v/>
      </c>
      <c r="I770" s="212"/>
      <c r="J770" s="206"/>
      <c r="K770" s="197" t="str" cm="1">
        <f t="array" ref="K770">IFERROR(
IF($J$2="ELA",
IF(VLOOKUP($A770, YES_Reading_ELA[], COLUMN(YES_Reading_ELA[Self-Identified as African Descent]), FALSE)="", "",
VLOOKUP($A770,YES_Reading_ELA[], COLUMN(YES_Reading_ELA[Self-Identified as African Descent]), FALSE)),
IF($J$2="FLA",
IF(VLOOKUP($A770, YES_Reading_FLA[], COLUMN(YES_Reading_FLA[Self-Identified as African Descent]),FALSE)="","",
VLOOKUP($A770,YES_Reading_FLA[],COLUMN(YES_Reading_FLA[Self-Identified as African Descent]),FALSE)),
IF($J$2="Combined",
IFERROR(
IF(VLOOKUP($A770, YES_Reading_ELA[], COLUMN(YES_Reading_ELA[Self-Identified as African Descent]), FALSE)="", "",
VLOOKUP($A770,YES_Reading_ELA[],COLUMN(YES_Reading_ELA[Self-Identified as African Descent]),FALSE)),
IF(VLOOKUP($A770, YES_Reading_FLA[], COLUMN(YES_Reading_FLA[Self-Identified as African Descent]),FALSE)="", "", VLOOKUP($A770,YES_Reading_FLA[],COLUMN(YES_Reading_FLA[Self-Identified as African Descent]),FALSE))),""))),"")</f>
        <v/>
      </c>
      <c r="L770" s="73" t="str" cm="1">
        <f t="array" ref="L770">IFERROR(
IF($J$2="ELA",
IF(VLOOKUP($A770, YES_Reading_ELA[], COLUMN(YES_Reading_ELA[Self-Identified as Indigenous]), FALSE)="", "",
VLOOKUP($A770,YES_Reading_ELA[], COLUMN(YES_Reading_ELA[Self-Identified as Indigenous]), FALSE)),
IF($J$2="FLA",
IF(VLOOKUP($A770, YES_Reading_FLA[], COLUMN(YES_Reading_FLA[Self-Identified as Indigenous]),FALSE)="","",
VLOOKUP($A770,YES_Reading_FLA[],COLUMN(YES_Reading_FLA[Self-Identified as Indigenous]),FALSE)),
IF($J$2="Combined",
IFERROR(
IF(VLOOKUP($A770, YES_Reading_ELA[], COLUMN(YES_Reading_ELA[Self-Identified as Indigenous]), FALSE)="", "",
VLOOKUP($A770,YES_Reading_ELA[],COLUMN(YES_Reading_ELA[Self-Identified as Indigenous]),FALSE)),
IF(VLOOKUP($A770, YES_Reading_FLA[], COLUMN(YES_Reading_FLA[Self-Identified as Indigenous]),FALSE)="", "", VLOOKUP($A770,YES_Reading_FLA[],COLUMN(YES_Reading_FLA[Self-Identified as Indigenous]),FALSE))),""))),"")</f>
        <v/>
      </c>
    </row>
    <row r="771" spans="1:12" ht="19.5" customHeight="1" x14ac:dyDescent="0.25">
      <c r="A771" s="217">
        <v>0</v>
      </c>
      <c r="B771" s="220" t="str">
        <f>IFERROR(VLOOKUP(A771,_xlfn.VSTACK(YES_Reading_ELA[],YES_Reading_FLA[]),2,FALSE),"")</f>
        <v/>
      </c>
      <c r="C771" s="203" t="str" cm="1">
        <f t="array" aca="1" ref="C771" ca="1">IFERROR(
IF($J$2="ELA",
IF(VLOOKUP($A771, YES_Reading_ELA[], COLUMN(IF(VLOOKUP($D$2, 'Reading Report Logic'!$A$2:$B$8, 2, FALSE)=1, YES_Reading_ELA[Reading Level June of Previous School Year], INDIRECT("YES_Reading_ELA[Instructional Reading Level - Per "&amp;(VLOOKUP($D$2,'Reading Report Logic'!$A$2:$B$8,2,FALSE)-1)&amp;"]"))), FALSE)="", "",
VLOOKUP($A771,YES_Reading_ELA[], COLUMN(IF(VLOOKUP($D$2,'Reading Report Logic'!$A$2:$B$8,2,FALSE)=1, YES_Reading_ELA[Reading Level June of Previous School Year],INDIRECT("YES_Reading_ELA[Instructional Reading Level - Per "&amp;(VLOOKUP($D$2,'Reading Report Logic'!$A$2:$B$8,2,FALSE)-1)&amp;"]"))), FALSE)),
IF($J$2="FLA",
IF(VLOOKUP($A771, YES_Reading_FLA[], COLUMN(IF(VLOOKUP($D$2,'Reading Report Logic'!$A$2:$B$8,2,FALSE)=1, YES_Reading_FLA[Reading Level June of Previous School Year],INDIRECT("YES_Reading_FLA[Instructional Reading Level - Per "&amp;(VLOOKUP($D$2,'Reading Report Logic'!$A$2:$B$8,2,FALSE)-1)&amp;"]"))),FALSE)="","",
VLOOKUP($A771,YES_Reading_FLA[], COLUMN(IF(VLOOKUP($D$2,'Reading Report Logic'!$A$2:$B$8,2,FALSE)=1, YES_Reading_FLA[Reading Level June of Previous School Year],INDIRECT("YES_Reading_FLA[Instructional Reading Level - Per "&amp;(VLOOKUP($D$2,'Reading Report Logic'!$A$2:$B$8,2,FALSE)-1)&amp;"]"))),FALSE)),
IF($J$2="Combined",
IFERROR(
IF(VLOOKUP($A771, YES_Reading_ELA[], COLUMN(IF(VLOOKUP($D$2,'Reading Report Logic'!$A$2:$B$8,2,FALSE)=1, YES_Reading_ELA[Reading Level June of Previous School Year],INDIRECT("YES_Reading_ELA[Instructional Reading Level - Per "&amp;(VLOOKUP($D$2,'Reading Report Logic'!$A$2:$B$8,2,FALSE)-1)&amp;"]"))), FALSE)="", "",
VLOOKUP($A771,YES_Reading_ELA[],COLUMN(IF(VLOOKUP($D$2,'Reading Report Logic'!$A$2:$B$8,2,FALSE)=1, YES_Reading_ELA[Reading Level June of Previous School Year],INDIRECT("YES_Reading_ELA[Instructional Reading Level - Per "&amp;(VLOOKUP($D$2,'Reading Report Logic'!$A$2:$B$8,2,FALSE)-1)&amp;"]"))),FALSE)),
IF(VLOOKUP($A771, YES_Reading_FLA[], COLUMN(IF(VLOOKUP($D$2,'Reading Report Logic'!$A$2:$B$8,2,FALSE)=1, YES_Reading_FLA[Reading Level June of Previous School Year],INDIRECT("YES_Reading_FLA[Instructional Reading Level - Per "&amp;(VLOOKUP($D$2,'Reading Report Logic'!$A$2:$B$8,2,FALSE)-1)&amp;"]"))),FALSE)="", "", VLOOKUP($A771,YES_Reading_FLA[],COLUMN(IF(VLOOKUP($D$2,'Reading Report Logic'!$A$2:$B$8,2,FALSE)=1, YES_Reading_FLA[Reading Level June of Previous School Year],INDIRECT("YES_Reading_FLA[Instructional Reading Level - Per "&amp;(VLOOKUP($D$2,'Reading Report Logic'!$A$2:$B$8,2,FALSE)-1)&amp;"]"))), FALSE))),""))),"")</f>
        <v/>
      </c>
      <c r="D771" s="204" t="str" cm="1">
        <f t="array" aca="1" ref="D771" ca="1">IFERROR(
IF($J$2="ELA",
IF(VLOOKUP($A771, YES_Reading_ELA[], COLUMN(INDIRECT("YES_Reading_ELA[Instructional Reading Level - Per "&amp;VLOOKUP($D$2, 'Reading Report Logic'!$A$2:$B$8, 2, FALSE)&amp;"]")), FALSE)="", "",
VLOOKUP($A771,YES_Reading_ELA[], COLUMN(INDIRECT("YES_Reading_ELA[Instructional Reading Level - Per "&amp;VLOOKUP($D$2,'Reading Report Logic'!$A$2:$B$8,2,FALSE)&amp;"]")), FALSE)),
IF($J$2="FLA",
IF(VLOOKUP($A771, YES_Reading_FLA[], COLUMN(INDIRECT("YES_Reading_FLA[Instructional Reading Level - Per "&amp;VLOOKUP($D$2,'Reading Report Logic'!$A$2:$B$8,2,FALSE)&amp;"]")),FALSE)="","",
VLOOKUP($A771,YES_Reading_FLA[],COLUMN(INDIRECT("YES_Reading_FLA[Instructional Reading Level - Per "&amp;VLOOKUP($D$2,'Reading Report Logic'!$A$2:$B$8,2,FALSE)&amp;"]")),FALSE)),
IF($J$2="Combined",
IFERROR(
IF(VLOOKUP($A771, YES_Reading_ELA[], COLUMN(INDIRECT("YES_Reading_ELA[Instructional Reading Level - Per "&amp;VLOOKUP($D$2, 'Reading Report Logic'!$A$2:$B$8,2,FALSE)&amp;"]")), FALSE)="", "",
VLOOKUP($A771,YES_Reading_ELA[],COLUMN(INDIRECT("YES_Reading_ELA[Instructional Reading Level - Per "&amp;VLOOKUP($D$2,'Reading Report Logic'!$A$2:$B$8,2,FALSE)&amp;"]")),FALSE)),
IF(VLOOKUP($A771, YES_Reading_FLA[], COLUMN(INDIRECT("YES_Reading_FLA[Instructional Reading Level - Per "&amp;VLOOKUP($D$2, 'Reading Report Logic'!$A$2:$B$8, 2, FALSE)&amp;"]")),FALSE)="", "", VLOOKUP($A771,YES_Reading_FLA[],COLUMN(INDIRECT("YES_Reading_FLA[Instructional Reading Level - Per "&amp;VLOOKUP($D$2, 'Reading Report Logic'!$A$2:$B$8, 2, FALSE)&amp;"]")),FALSE))),""))),"")</f>
        <v/>
      </c>
      <c r="E771" s="205" t="str" cm="1">
        <f t="array" aca="1" ref="E771" ca="1">IFERROR(
IF($J$2="ELA",
IF(VLOOKUP($A771, YES_Reading_ELA[], COLUMN(INDIRECT("YES_Reading_ELA[Min Expectation - Per "&amp;VLOOKUP($D$2, 'Reading Report Logic'!$A$2:$B$8, 2, FALSE)&amp;"]")), FALSE)="", "",
VLOOKUP($A771,YES_Reading_ELA[], COLUMN(INDIRECT("YES_Reading_ELA[Min Expectation - Per "&amp;VLOOKUP($D$2,'Reading Report Logic'!$A$2:$B$8,2,FALSE)&amp;"]")), FALSE)),
IF($J$2="FLA",
IF(VLOOKUP($A771, YES_Reading_FLA[], COLUMN(INDIRECT("YES_Reading_FLA[Min Expectation - Per "&amp;VLOOKUP($D$2,'Reading Report Logic'!$A$2:$B$8,2,FALSE)&amp;"]")),FALSE)="","",
VLOOKUP($A771,YES_Reading_FLA[],COLUMN(INDIRECT("YES_Reading_FLA[Min Expectation - Per "&amp;VLOOKUP($D$2,'Reading Report Logic'!$A$2:$B$8,2,FALSE)&amp;"]")),FALSE)),
IF($J$2="Combined",
IFERROR(
IF(VLOOKUP($A771, YES_Reading_ELA[], COLUMN(INDIRECT("YES_Reading_ELA[Min Expectation - Per "&amp;VLOOKUP($D$2, 'Reading Report Logic'!$A$2:$B$8,2,FALSE)&amp;"]")), FALSE)="", "",
VLOOKUP($A771,YES_Reading_ELA[],COLUMN(INDIRECT("YES_Reading_ELA[Min Expectation - Per "&amp;VLOOKUP($D$2,'Reading Report Logic'!$A$2:$B$8,2,FALSE)&amp;"]")),FALSE)),
IF(VLOOKUP($A771, YES_Reading_FLA[], COLUMN(INDIRECT("YES_Reading_FLA[Min Expectation - Per "&amp;VLOOKUP($D$2, 'Reading Report Logic'!$A$2:$B$8, 2, FALSE)&amp;"]")),FALSE)="", "", VLOOKUP($A771,YES_Reading_FLA[],COLUMN(INDIRECT("YES_Reading_FLA[Min Expectation - Per "&amp;VLOOKUP($D$2, 'Reading Report Logic'!$A$2:$B$8, 2, FALSE)&amp;"]")),FALSE))),""))),"")</f>
        <v/>
      </c>
      <c r="F771" s="205" t="str" cm="1">
        <f t="array" aca="1" ref="F771" ca="1">IFERROR(
IF($J$2="ELA",
IF(VLOOKUP($A771, YES_Reading_ELA[], COLUMN(INDIRECT("YES_Reading_ELA[Max Expectation - Per "&amp;VLOOKUP($D$2, 'Reading Report Logic'!$A$2:$B$8, 2, FALSE)&amp;"]")), FALSE)="", "",
VLOOKUP($A771,YES_Reading_ELA[], COLUMN(INDIRECT("YES_Reading_ELA[Max Expectation - Per "&amp;VLOOKUP($D$2,'Reading Report Logic'!$A$2:$B$8,2,FALSE)&amp;"]")), FALSE)),
IF($J$2="FLA",
IF(VLOOKUP($A771, YES_Reading_FLA[], COLUMN(INDIRECT("YES_Reading_FLA[Max Expectation - Per "&amp;VLOOKUP($D$2,'Reading Report Logic'!$A$2:$B$8,2,FALSE)&amp;"]")),FALSE)="","",
VLOOKUP($A771,YES_Reading_FLA[],COLUMN(INDIRECT("YES_Reading_FLA[Max Expectation - Per "&amp;VLOOKUP($D$2,'Reading Report Logic'!$A$2:$B$8,2,FALSE)&amp;"]")),FALSE)),
IF($J$2="Combined",
IFERROR(
IF(VLOOKUP($A771, YES_Reading_ELA[], COLUMN(INDIRECT("YES_Reading_ELA[Max Expectation - Per "&amp;VLOOKUP($D$2, 'Reading Report Logic'!$A$2:$B$8,2,FALSE)&amp;"]")), FALSE)="", "",
VLOOKUP($A771,YES_Reading_ELA[],COLUMN(INDIRECT("YES_Reading_ELA[Max Expectation - Per "&amp;VLOOKUP($D$2,'Reading Report Logic'!$A$2:$B$8,2,FALSE)&amp;"]")),FALSE)),
IF(VLOOKUP($A771, YES_Reading_FLA[], COLUMN(INDIRECT("YES_Reading_FLA[Max Expectation - Per "&amp;VLOOKUP($D$2, 'Reading Report Logic'!$A$2:$B$8, 2, FALSE)&amp;"]")),FALSE)="", "", VLOOKUP($A771,YES_Reading_FLA[],COLUMN(INDIRECT("YES_Reading_FLA[Max Expectation - Per "&amp;VLOOKUP($D$2, 'Reading Report Logic'!$A$2:$B$8, 2, FALSE)&amp;"]")),FALSE))),""))),"")</f>
        <v/>
      </c>
      <c r="G771" s="205" t="str" cm="1">
        <f t="array" aca="1" ref="G771" ca="1">IFERROR(
IF($J$2="ELA",
IF(VLOOKUP($A771, YES_Reading_ELA[], COLUMN(INDIRECT("YES_Reading_ELA[Difference - Per "&amp;VLOOKUP($D$2, 'Reading Report Logic'!$A$2:$B$8, 2, FALSE)&amp;"]")), FALSE)="", "",
VLOOKUP($A771,YES_Reading_ELA[], COLUMN(INDIRECT("YES_Reading_ELA[Difference - Per "&amp;VLOOKUP($D$2,'Reading Report Logic'!$A$2:$B$8,2,FALSE)&amp;"]")), FALSE)),
IF($J$2="FLA",
IF(VLOOKUP($A771, YES_Reading_FLA[], COLUMN(INDIRECT("YES_Reading_FLA[Difference - Per "&amp;VLOOKUP($D$2,'Reading Report Logic'!$A$2:$B$8,2,FALSE)&amp;"]")),FALSE)="","",
VLOOKUP($A771,YES_Reading_FLA[],COLUMN(INDIRECT("YES_Reading_FLA[Difference - Per "&amp;VLOOKUP($D$2,'Reading Report Logic'!$A$2:$B$8,2,FALSE)&amp;"]")),FALSE)),
IF($J$2="Combined",
IFERROR(
IF(VLOOKUP($A771, YES_Reading_ELA[], COLUMN(INDIRECT("YES_Reading_ELA[Difference - Per "&amp;VLOOKUP($D$2, 'Reading Report Logic'!$A$2:$B$8,2,FALSE)&amp;"]")), FALSE)="", "",
VLOOKUP($A771,YES_Reading_ELA[],COLUMN(INDIRECT("YES_Reading_ELA[Difference - Per "&amp;VLOOKUP($D$2,'Reading Report Logic'!$A$2:$B$8,2,FALSE)&amp;"]")),FALSE)),
IF(VLOOKUP($A771, YES_Reading_FLA[], COLUMN(INDIRECT("YES_Reading_FLA[Difference - Per "&amp;VLOOKUP($D$2, 'Reading Report Logic'!$A$2:$B$8, 2, FALSE)&amp;"]")),FALSE)="", "", VLOOKUP($A771,YES_Reading_FLA[],COLUMN(INDIRECT("YES_Reading_FLA[Difference - Per "&amp;VLOOKUP($D$2, 'Reading Report Logic'!$A$2:$B$8, 2, FALSE)&amp;"]")),FALSE))),""))),"")</f>
        <v/>
      </c>
      <c r="H771" s="206" t="str">
        <f ca="1">IFERROR(VLOOKUP('Teacher Reading Pull Sheets'!$D771,_xlfn.VSTACK('ELA Reading Logic'!$A$22:$B$48,'FLA Reading Logic'!$A$22:$B$53),2,FALSE)-VLOOKUP('Teacher Reading Pull Sheets'!$C771,_xlfn.VSTACK('ELA Reading Logic'!$A$22:$B$48,'FLA Reading Logic'!$A$22:$B$53),2,FALSE),"")</f>
        <v/>
      </c>
      <c r="I771" s="212"/>
      <c r="J771" s="206"/>
      <c r="K771" s="197" t="str" cm="1">
        <f t="array" ref="K771">IFERROR(
IF($J$2="ELA",
IF(VLOOKUP($A771, YES_Reading_ELA[], COLUMN(YES_Reading_ELA[Self-Identified as African Descent]), FALSE)="", "",
VLOOKUP($A771,YES_Reading_ELA[], COLUMN(YES_Reading_ELA[Self-Identified as African Descent]), FALSE)),
IF($J$2="FLA",
IF(VLOOKUP($A771, YES_Reading_FLA[], COLUMN(YES_Reading_FLA[Self-Identified as African Descent]),FALSE)="","",
VLOOKUP($A771,YES_Reading_FLA[],COLUMN(YES_Reading_FLA[Self-Identified as African Descent]),FALSE)),
IF($J$2="Combined",
IFERROR(
IF(VLOOKUP($A771, YES_Reading_ELA[], COLUMN(YES_Reading_ELA[Self-Identified as African Descent]), FALSE)="", "",
VLOOKUP($A771,YES_Reading_ELA[],COLUMN(YES_Reading_ELA[Self-Identified as African Descent]),FALSE)),
IF(VLOOKUP($A771, YES_Reading_FLA[], COLUMN(YES_Reading_FLA[Self-Identified as African Descent]),FALSE)="", "", VLOOKUP($A771,YES_Reading_FLA[],COLUMN(YES_Reading_FLA[Self-Identified as African Descent]),FALSE))),""))),"")</f>
        <v/>
      </c>
      <c r="L771" s="73" t="str" cm="1">
        <f t="array" ref="L771">IFERROR(
IF($J$2="ELA",
IF(VLOOKUP($A771, YES_Reading_ELA[], COLUMN(YES_Reading_ELA[Self-Identified as Indigenous]), FALSE)="", "",
VLOOKUP($A771,YES_Reading_ELA[], COLUMN(YES_Reading_ELA[Self-Identified as Indigenous]), FALSE)),
IF($J$2="FLA",
IF(VLOOKUP($A771, YES_Reading_FLA[], COLUMN(YES_Reading_FLA[Self-Identified as Indigenous]),FALSE)="","",
VLOOKUP($A771,YES_Reading_FLA[],COLUMN(YES_Reading_FLA[Self-Identified as Indigenous]),FALSE)),
IF($J$2="Combined",
IFERROR(
IF(VLOOKUP($A771, YES_Reading_ELA[], COLUMN(YES_Reading_ELA[Self-Identified as Indigenous]), FALSE)="", "",
VLOOKUP($A771,YES_Reading_ELA[],COLUMN(YES_Reading_ELA[Self-Identified as Indigenous]),FALSE)),
IF(VLOOKUP($A771, YES_Reading_FLA[], COLUMN(YES_Reading_FLA[Self-Identified as Indigenous]),FALSE)="", "", VLOOKUP($A771,YES_Reading_FLA[],COLUMN(YES_Reading_FLA[Self-Identified as Indigenous]),FALSE))),""))),"")</f>
        <v/>
      </c>
    </row>
    <row r="772" spans="1:12" ht="19.5" customHeight="1" x14ac:dyDescent="0.25">
      <c r="A772" s="217">
        <v>0</v>
      </c>
      <c r="B772" s="220" t="str">
        <f>IFERROR(VLOOKUP(A772,_xlfn.VSTACK(YES_Reading_ELA[],YES_Reading_FLA[]),2,FALSE),"")</f>
        <v/>
      </c>
      <c r="C772" s="203" t="str" cm="1">
        <f t="array" aca="1" ref="C772" ca="1">IFERROR(
IF($J$2="ELA",
IF(VLOOKUP($A772, YES_Reading_ELA[], COLUMN(IF(VLOOKUP($D$2, 'Reading Report Logic'!$A$2:$B$8, 2, FALSE)=1, YES_Reading_ELA[Reading Level June of Previous School Year], INDIRECT("YES_Reading_ELA[Instructional Reading Level - Per "&amp;(VLOOKUP($D$2,'Reading Report Logic'!$A$2:$B$8,2,FALSE)-1)&amp;"]"))), FALSE)="", "",
VLOOKUP($A772,YES_Reading_ELA[], COLUMN(IF(VLOOKUP($D$2,'Reading Report Logic'!$A$2:$B$8,2,FALSE)=1, YES_Reading_ELA[Reading Level June of Previous School Year],INDIRECT("YES_Reading_ELA[Instructional Reading Level - Per "&amp;(VLOOKUP($D$2,'Reading Report Logic'!$A$2:$B$8,2,FALSE)-1)&amp;"]"))), FALSE)),
IF($J$2="FLA",
IF(VLOOKUP($A772, YES_Reading_FLA[], COLUMN(IF(VLOOKUP($D$2,'Reading Report Logic'!$A$2:$B$8,2,FALSE)=1, YES_Reading_FLA[Reading Level June of Previous School Year],INDIRECT("YES_Reading_FLA[Instructional Reading Level - Per "&amp;(VLOOKUP($D$2,'Reading Report Logic'!$A$2:$B$8,2,FALSE)-1)&amp;"]"))),FALSE)="","",
VLOOKUP($A772,YES_Reading_FLA[], COLUMN(IF(VLOOKUP($D$2,'Reading Report Logic'!$A$2:$B$8,2,FALSE)=1, YES_Reading_FLA[Reading Level June of Previous School Year],INDIRECT("YES_Reading_FLA[Instructional Reading Level - Per "&amp;(VLOOKUP($D$2,'Reading Report Logic'!$A$2:$B$8,2,FALSE)-1)&amp;"]"))),FALSE)),
IF($J$2="Combined",
IFERROR(
IF(VLOOKUP($A772, YES_Reading_ELA[], COLUMN(IF(VLOOKUP($D$2,'Reading Report Logic'!$A$2:$B$8,2,FALSE)=1, YES_Reading_ELA[Reading Level June of Previous School Year],INDIRECT("YES_Reading_ELA[Instructional Reading Level - Per "&amp;(VLOOKUP($D$2,'Reading Report Logic'!$A$2:$B$8,2,FALSE)-1)&amp;"]"))), FALSE)="", "",
VLOOKUP($A772,YES_Reading_ELA[],COLUMN(IF(VLOOKUP($D$2,'Reading Report Logic'!$A$2:$B$8,2,FALSE)=1, YES_Reading_ELA[Reading Level June of Previous School Year],INDIRECT("YES_Reading_ELA[Instructional Reading Level - Per "&amp;(VLOOKUP($D$2,'Reading Report Logic'!$A$2:$B$8,2,FALSE)-1)&amp;"]"))),FALSE)),
IF(VLOOKUP($A772, YES_Reading_FLA[], COLUMN(IF(VLOOKUP($D$2,'Reading Report Logic'!$A$2:$B$8,2,FALSE)=1, YES_Reading_FLA[Reading Level June of Previous School Year],INDIRECT("YES_Reading_FLA[Instructional Reading Level - Per "&amp;(VLOOKUP($D$2,'Reading Report Logic'!$A$2:$B$8,2,FALSE)-1)&amp;"]"))),FALSE)="", "", VLOOKUP($A772,YES_Reading_FLA[],COLUMN(IF(VLOOKUP($D$2,'Reading Report Logic'!$A$2:$B$8,2,FALSE)=1, YES_Reading_FLA[Reading Level June of Previous School Year],INDIRECT("YES_Reading_FLA[Instructional Reading Level - Per "&amp;(VLOOKUP($D$2,'Reading Report Logic'!$A$2:$B$8,2,FALSE)-1)&amp;"]"))), FALSE))),""))),"")</f>
        <v/>
      </c>
      <c r="D772" s="204" t="str" cm="1">
        <f t="array" aca="1" ref="D772" ca="1">IFERROR(
IF($J$2="ELA",
IF(VLOOKUP($A772, YES_Reading_ELA[], COLUMN(INDIRECT("YES_Reading_ELA[Instructional Reading Level - Per "&amp;VLOOKUP($D$2, 'Reading Report Logic'!$A$2:$B$8, 2, FALSE)&amp;"]")), FALSE)="", "",
VLOOKUP($A772,YES_Reading_ELA[], COLUMN(INDIRECT("YES_Reading_ELA[Instructional Reading Level - Per "&amp;VLOOKUP($D$2,'Reading Report Logic'!$A$2:$B$8,2,FALSE)&amp;"]")), FALSE)),
IF($J$2="FLA",
IF(VLOOKUP($A772, YES_Reading_FLA[], COLUMN(INDIRECT("YES_Reading_FLA[Instructional Reading Level - Per "&amp;VLOOKUP($D$2,'Reading Report Logic'!$A$2:$B$8,2,FALSE)&amp;"]")),FALSE)="","",
VLOOKUP($A772,YES_Reading_FLA[],COLUMN(INDIRECT("YES_Reading_FLA[Instructional Reading Level - Per "&amp;VLOOKUP($D$2,'Reading Report Logic'!$A$2:$B$8,2,FALSE)&amp;"]")),FALSE)),
IF($J$2="Combined",
IFERROR(
IF(VLOOKUP($A772, YES_Reading_ELA[], COLUMN(INDIRECT("YES_Reading_ELA[Instructional Reading Level - Per "&amp;VLOOKUP($D$2, 'Reading Report Logic'!$A$2:$B$8,2,FALSE)&amp;"]")), FALSE)="", "",
VLOOKUP($A772,YES_Reading_ELA[],COLUMN(INDIRECT("YES_Reading_ELA[Instructional Reading Level - Per "&amp;VLOOKUP($D$2,'Reading Report Logic'!$A$2:$B$8,2,FALSE)&amp;"]")),FALSE)),
IF(VLOOKUP($A772, YES_Reading_FLA[], COLUMN(INDIRECT("YES_Reading_FLA[Instructional Reading Level - Per "&amp;VLOOKUP($D$2, 'Reading Report Logic'!$A$2:$B$8, 2, FALSE)&amp;"]")),FALSE)="", "", VLOOKUP($A772,YES_Reading_FLA[],COLUMN(INDIRECT("YES_Reading_FLA[Instructional Reading Level - Per "&amp;VLOOKUP($D$2, 'Reading Report Logic'!$A$2:$B$8, 2, FALSE)&amp;"]")),FALSE))),""))),"")</f>
        <v/>
      </c>
      <c r="E772" s="205" t="str" cm="1">
        <f t="array" aca="1" ref="E772" ca="1">IFERROR(
IF($J$2="ELA",
IF(VLOOKUP($A772, YES_Reading_ELA[], COLUMN(INDIRECT("YES_Reading_ELA[Min Expectation - Per "&amp;VLOOKUP($D$2, 'Reading Report Logic'!$A$2:$B$8, 2, FALSE)&amp;"]")), FALSE)="", "",
VLOOKUP($A772,YES_Reading_ELA[], COLUMN(INDIRECT("YES_Reading_ELA[Min Expectation - Per "&amp;VLOOKUP($D$2,'Reading Report Logic'!$A$2:$B$8,2,FALSE)&amp;"]")), FALSE)),
IF($J$2="FLA",
IF(VLOOKUP($A772, YES_Reading_FLA[], COLUMN(INDIRECT("YES_Reading_FLA[Min Expectation - Per "&amp;VLOOKUP($D$2,'Reading Report Logic'!$A$2:$B$8,2,FALSE)&amp;"]")),FALSE)="","",
VLOOKUP($A772,YES_Reading_FLA[],COLUMN(INDIRECT("YES_Reading_FLA[Min Expectation - Per "&amp;VLOOKUP($D$2,'Reading Report Logic'!$A$2:$B$8,2,FALSE)&amp;"]")),FALSE)),
IF($J$2="Combined",
IFERROR(
IF(VLOOKUP($A772, YES_Reading_ELA[], COLUMN(INDIRECT("YES_Reading_ELA[Min Expectation - Per "&amp;VLOOKUP($D$2, 'Reading Report Logic'!$A$2:$B$8,2,FALSE)&amp;"]")), FALSE)="", "",
VLOOKUP($A772,YES_Reading_ELA[],COLUMN(INDIRECT("YES_Reading_ELA[Min Expectation - Per "&amp;VLOOKUP($D$2,'Reading Report Logic'!$A$2:$B$8,2,FALSE)&amp;"]")),FALSE)),
IF(VLOOKUP($A772, YES_Reading_FLA[], COLUMN(INDIRECT("YES_Reading_FLA[Min Expectation - Per "&amp;VLOOKUP($D$2, 'Reading Report Logic'!$A$2:$B$8, 2, FALSE)&amp;"]")),FALSE)="", "", VLOOKUP($A772,YES_Reading_FLA[],COLUMN(INDIRECT("YES_Reading_FLA[Min Expectation - Per "&amp;VLOOKUP($D$2, 'Reading Report Logic'!$A$2:$B$8, 2, FALSE)&amp;"]")),FALSE))),""))),"")</f>
        <v/>
      </c>
      <c r="F772" s="205" t="str" cm="1">
        <f t="array" aca="1" ref="F772" ca="1">IFERROR(
IF($J$2="ELA",
IF(VLOOKUP($A772, YES_Reading_ELA[], COLUMN(INDIRECT("YES_Reading_ELA[Max Expectation - Per "&amp;VLOOKUP($D$2, 'Reading Report Logic'!$A$2:$B$8, 2, FALSE)&amp;"]")), FALSE)="", "",
VLOOKUP($A772,YES_Reading_ELA[], COLUMN(INDIRECT("YES_Reading_ELA[Max Expectation - Per "&amp;VLOOKUP($D$2,'Reading Report Logic'!$A$2:$B$8,2,FALSE)&amp;"]")), FALSE)),
IF($J$2="FLA",
IF(VLOOKUP($A772, YES_Reading_FLA[], COLUMN(INDIRECT("YES_Reading_FLA[Max Expectation - Per "&amp;VLOOKUP($D$2,'Reading Report Logic'!$A$2:$B$8,2,FALSE)&amp;"]")),FALSE)="","",
VLOOKUP($A772,YES_Reading_FLA[],COLUMN(INDIRECT("YES_Reading_FLA[Max Expectation - Per "&amp;VLOOKUP($D$2,'Reading Report Logic'!$A$2:$B$8,2,FALSE)&amp;"]")),FALSE)),
IF($J$2="Combined",
IFERROR(
IF(VLOOKUP($A772, YES_Reading_ELA[], COLUMN(INDIRECT("YES_Reading_ELA[Max Expectation - Per "&amp;VLOOKUP($D$2, 'Reading Report Logic'!$A$2:$B$8,2,FALSE)&amp;"]")), FALSE)="", "",
VLOOKUP($A772,YES_Reading_ELA[],COLUMN(INDIRECT("YES_Reading_ELA[Max Expectation - Per "&amp;VLOOKUP($D$2,'Reading Report Logic'!$A$2:$B$8,2,FALSE)&amp;"]")),FALSE)),
IF(VLOOKUP($A772, YES_Reading_FLA[], COLUMN(INDIRECT("YES_Reading_FLA[Max Expectation - Per "&amp;VLOOKUP($D$2, 'Reading Report Logic'!$A$2:$B$8, 2, FALSE)&amp;"]")),FALSE)="", "", VLOOKUP($A772,YES_Reading_FLA[],COLUMN(INDIRECT("YES_Reading_FLA[Max Expectation - Per "&amp;VLOOKUP($D$2, 'Reading Report Logic'!$A$2:$B$8, 2, FALSE)&amp;"]")),FALSE))),""))),"")</f>
        <v/>
      </c>
      <c r="G772" s="205" t="str" cm="1">
        <f t="array" aca="1" ref="G772" ca="1">IFERROR(
IF($J$2="ELA",
IF(VLOOKUP($A772, YES_Reading_ELA[], COLUMN(INDIRECT("YES_Reading_ELA[Difference - Per "&amp;VLOOKUP($D$2, 'Reading Report Logic'!$A$2:$B$8, 2, FALSE)&amp;"]")), FALSE)="", "",
VLOOKUP($A772,YES_Reading_ELA[], COLUMN(INDIRECT("YES_Reading_ELA[Difference - Per "&amp;VLOOKUP($D$2,'Reading Report Logic'!$A$2:$B$8,2,FALSE)&amp;"]")), FALSE)),
IF($J$2="FLA",
IF(VLOOKUP($A772, YES_Reading_FLA[], COLUMN(INDIRECT("YES_Reading_FLA[Difference - Per "&amp;VLOOKUP($D$2,'Reading Report Logic'!$A$2:$B$8,2,FALSE)&amp;"]")),FALSE)="","",
VLOOKUP($A772,YES_Reading_FLA[],COLUMN(INDIRECT("YES_Reading_FLA[Difference - Per "&amp;VLOOKUP($D$2,'Reading Report Logic'!$A$2:$B$8,2,FALSE)&amp;"]")),FALSE)),
IF($J$2="Combined",
IFERROR(
IF(VLOOKUP($A772, YES_Reading_ELA[], COLUMN(INDIRECT("YES_Reading_ELA[Difference - Per "&amp;VLOOKUP($D$2, 'Reading Report Logic'!$A$2:$B$8,2,FALSE)&amp;"]")), FALSE)="", "",
VLOOKUP($A772,YES_Reading_ELA[],COLUMN(INDIRECT("YES_Reading_ELA[Difference - Per "&amp;VLOOKUP($D$2,'Reading Report Logic'!$A$2:$B$8,2,FALSE)&amp;"]")),FALSE)),
IF(VLOOKUP($A772, YES_Reading_FLA[], COLUMN(INDIRECT("YES_Reading_FLA[Difference - Per "&amp;VLOOKUP($D$2, 'Reading Report Logic'!$A$2:$B$8, 2, FALSE)&amp;"]")),FALSE)="", "", VLOOKUP($A772,YES_Reading_FLA[],COLUMN(INDIRECT("YES_Reading_FLA[Difference - Per "&amp;VLOOKUP($D$2, 'Reading Report Logic'!$A$2:$B$8, 2, FALSE)&amp;"]")),FALSE))),""))),"")</f>
        <v/>
      </c>
      <c r="H772" s="206" t="str">
        <f ca="1">IFERROR(VLOOKUP('Teacher Reading Pull Sheets'!$D772,_xlfn.VSTACK('ELA Reading Logic'!$A$22:$B$48,'FLA Reading Logic'!$A$22:$B$53),2,FALSE)-VLOOKUP('Teacher Reading Pull Sheets'!$C772,_xlfn.VSTACK('ELA Reading Logic'!$A$22:$B$48,'FLA Reading Logic'!$A$22:$B$53),2,FALSE),"")</f>
        <v/>
      </c>
      <c r="I772" s="212"/>
      <c r="J772" s="206"/>
      <c r="K772" s="197" t="str" cm="1">
        <f t="array" ref="K772">IFERROR(
IF($J$2="ELA",
IF(VLOOKUP($A772, YES_Reading_ELA[], COLUMN(YES_Reading_ELA[Self-Identified as African Descent]), FALSE)="", "",
VLOOKUP($A772,YES_Reading_ELA[], COLUMN(YES_Reading_ELA[Self-Identified as African Descent]), FALSE)),
IF($J$2="FLA",
IF(VLOOKUP($A772, YES_Reading_FLA[], COLUMN(YES_Reading_FLA[Self-Identified as African Descent]),FALSE)="","",
VLOOKUP($A772,YES_Reading_FLA[],COLUMN(YES_Reading_FLA[Self-Identified as African Descent]),FALSE)),
IF($J$2="Combined",
IFERROR(
IF(VLOOKUP($A772, YES_Reading_ELA[], COLUMN(YES_Reading_ELA[Self-Identified as African Descent]), FALSE)="", "",
VLOOKUP($A772,YES_Reading_ELA[],COLUMN(YES_Reading_ELA[Self-Identified as African Descent]),FALSE)),
IF(VLOOKUP($A772, YES_Reading_FLA[], COLUMN(YES_Reading_FLA[Self-Identified as African Descent]),FALSE)="", "", VLOOKUP($A772,YES_Reading_FLA[],COLUMN(YES_Reading_FLA[Self-Identified as African Descent]),FALSE))),""))),"")</f>
        <v/>
      </c>
      <c r="L772" s="73" t="str" cm="1">
        <f t="array" ref="L772">IFERROR(
IF($J$2="ELA",
IF(VLOOKUP($A772, YES_Reading_ELA[], COLUMN(YES_Reading_ELA[Self-Identified as Indigenous]), FALSE)="", "",
VLOOKUP($A772,YES_Reading_ELA[], COLUMN(YES_Reading_ELA[Self-Identified as Indigenous]), FALSE)),
IF($J$2="FLA",
IF(VLOOKUP($A772, YES_Reading_FLA[], COLUMN(YES_Reading_FLA[Self-Identified as Indigenous]),FALSE)="","",
VLOOKUP($A772,YES_Reading_FLA[],COLUMN(YES_Reading_FLA[Self-Identified as Indigenous]),FALSE)),
IF($J$2="Combined",
IFERROR(
IF(VLOOKUP($A772, YES_Reading_ELA[], COLUMN(YES_Reading_ELA[Self-Identified as Indigenous]), FALSE)="", "",
VLOOKUP($A772,YES_Reading_ELA[],COLUMN(YES_Reading_ELA[Self-Identified as Indigenous]),FALSE)),
IF(VLOOKUP($A772, YES_Reading_FLA[], COLUMN(YES_Reading_FLA[Self-Identified as Indigenous]),FALSE)="", "", VLOOKUP($A772,YES_Reading_FLA[],COLUMN(YES_Reading_FLA[Self-Identified as Indigenous]),FALSE))),""))),"")</f>
        <v/>
      </c>
    </row>
    <row r="773" spans="1:12" ht="19.5" customHeight="1" x14ac:dyDescent="0.25">
      <c r="A773" s="217">
        <v>0</v>
      </c>
      <c r="B773" s="220" t="str">
        <f>IFERROR(VLOOKUP(A773,_xlfn.VSTACK(YES_Reading_ELA[],YES_Reading_FLA[]),2,FALSE),"")</f>
        <v/>
      </c>
      <c r="C773" s="203" t="str" cm="1">
        <f t="array" aca="1" ref="C773" ca="1">IFERROR(
IF($J$2="ELA",
IF(VLOOKUP($A773, YES_Reading_ELA[], COLUMN(IF(VLOOKUP($D$2, 'Reading Report Logic'!$A$2:$B$8, 2, FALSE)=1, YES_Reading_ELA[Reading Level June of Previous School Year], INDIRECT("YES_Reading_ELA[Instructional Reading Level - Per "&amp;(VLOOKUP($D$2,'Reading Report Logic'!$A$2:$B$8,2,FALSE)-1)&amp;"]"))), FALSE)="", "",
VLOOKUP($A773,YES_Reading_ELA[], COLUMN(IF(VLOOKUP($D$2,'Reading Report Logic'!$A$2:$B$8,2,FALSE)=1, YES_Reading_ELA[Reading Level June of Previous School Year],INDIRECT("YES_Reading_ELA[Instructional Reading Level - Per "&amp;(VLOOKUP($D$2,'Reading Report Logic'!$A$2:$B$8,2,FALSE)-1)&amp;"]"))), FALSE)),
IF($J$2="FLA",
IF(VLOOKUP($A773, YES_Reading_FLA[], COLUMN(IF(VLOOKUP($D$2,'Reading Report Logic'!$A$2:$B$8,2,FALSE)=1, YES_Reading_FLA[Reading Level June of Previous School Year],INDIRECT("YES_Reading_FLA[Instructional Reading Level - Per "&amp;(VLOOKUP($D$2,'Reading Report Logic'!$A$2:$B$8,2,FALSE)-1)&amp;"]"))),FALSE)="","",
VLOOKUP($A773,YES_Reading_FLA[], COLUMN(IF(VLOOKUP($D$2,'Reading Report Logic'!$A$2:$B$8,2,FALSE)=1, YES_Reading_FLA[Reading Level June of Previous School Year],INDIRECT("YES_Reading_FLA[Instructional Reading Level - Per "&amp;(VLOOKUP($D$2,'Reading Report Logic'!$A$2:$B$8,2,FALSE)-1)&amp;"]"))),FALSE)),
IF($J$2="Combined",
IFERROR(
IF(VLOOKUP($A773, YES_Reading_ELA[], COLUMN(IF(VLOOKUP($D$2,'Reading Report Logic'!$A$2:$B$8,2,FALSE)=1, YES_Reading_ELA[Reading Level June of Previous School Year],INDIRECT("YES_Reading_ELA[Instructional Reading Level - Per "&amp;(VLOOKUP($D$2,'Reading Report Logic'!$A$2:$B$8,2,FALSE)-1)&amp;"]"))), FALSE)="", "",
VLOOKUP($A773,YES_Reading_ELA[],COLUMN(IF(VLOOKUP($D$2,'Reading Report Logic'!$A$2:$B$8,2,FALSE)=1, YES_Reading_ELA[Reading Level June of Previous School Year],INDIRECT("YES_Reading_ELA[Instructional Reading Level - Per "&amp;(VLOOKUP($D$2,'Reading Report Logic'!$A$2:$B$8,2,FALSE)-1)&amp;"]"))),FALSE)),
IF(VLOOKUP($A773, YES_Reading_FLA[], COLUMN(IF(VLOOKUP($D$2,'Reading Report Logic'!$A$2:$B$8,2,FALSE)=1, YES_Reading_FLA[Reading Level June of Previous School Year],INDIRECT("YES_Reading_FLA[Instructional Reading Level - Per "&amp;(VLOOKUP($D$2,'Reading Report Logic'!$A$2:$B$8,2,FALSE)-1)&amp;"]"))),FALSE)="", "", VLOOKUP($A773,YES_Reading_FLA[],COLUMN(IF(VLOOKUP($D$2,'Reading Report Logic'!$A$2:$B$8,2,FALSE)=1, YES_Reading_FLA[Reading Level June of Previous School Year],INDIRECT("YES_Reading_FLA[Instructional Reading Level - Per "&amp;(VLOOKUP($D$2,'Reading Report Logic'!$A$2:$B$8,2,FALSE)-1)&amp;"]"))), FALSE))),""))),"")</f>
        <v/>
      </c>
      <c r="D773" s="204" t="str" cm="1">
        <f t="array" aca="1" ref="D773" ca="1">IFERROR(
IF($J$2="ELA",
IF(VLOOKUP($A773, YES_Reading_ELA[], COLUMN(INDIRECT("YES_Reading_ELA[Instructional Reading Level - Per "&amp;VLOOKUP($D$2, 'Reading Report Logic'!$A$2:$B$8, 2, FALSE)&amp;"]")), FALSE)="", "",
VLOOKUP($A773,YES_Reading_ELA[], COLUMN(INDIRECT("YES_Reading_ELA[Instructional Reading Level - Per "&amp;VLOOKUP($D$2,'Reading Report Logic'!$A$2:$B$8,2,FALSE)&amp;"]")), FALSE)),
IF($J$2="FLA",
IF(VLOOKUP($A773, YES_Reading_FLA[], COLUMN(INDIRECT("YES_Reading_FLA[Instructional Reading Level - Per "&amp;VLOOKUP($D$2,'Reading Report Logic'!$A$2:$B$8,2,FALSE)&amp;"]")),FALSE)="","",
VLOOKUP($A773,YES_Reading_FLA[],COLUMN(INDIRECT("YES_Reading_FLA[Instructional Reading Level - Per "&amp;VLOOKUP($D$2,'Reading Report Logic'!$A$2:$B$8,2,FALSE)&amp;"]")),FALSE)),
IF($J$2="Combined",
IFERROR(
IF(VLOOKUP($A773, YES_Reading_ELA[], COLUMN(INDIRECT("YES_Reading_ELA[Instructional Reading Level - Per "&amp;VLOOKUP($D$2, 'Reading Report Logic'!$A$2:$B$8,2,FALSE)&amp;"]")), FALSE)="", "",
VLOOKUP($A773,YES_Reading_ELA[],COLUMN(INDIRECT("YES_Reading_ELA[Instructional Reading Level - Per "&amp;VLOOKUP($D$2,'Reading Report Logic'!$A$2:$B$8,2,FALSE)&amp;"]")),FALSE)),
IF(VLOOKUP($A773, YES_Reading_FLA[], COLUMN(INDIRECT("YES_Reading_FLA[Instructional Reading Level - Per "&amp;VLOOKUP($D$2, 'Reading Report Logic'!$A$2:$B$8, 2, FALSE)&amp;"]")),FALSE)="", "", VLOOKUP($A773,YES_Reading_FLA[],COLUMN(INDIRECT("YES_Reading_FLA[Instructional Reading Level - Per "&amp;VLOOKUP($D$2, 'Reading Report Logic'!$A$2:$B$8, 2, FALSE)&amp;"]")),FALSE))),""))),"")</f>
        <v/>
      </c>
      <c r="E773" s="205" t="str" cm="1">
        <f t="array" aca="1" ref="E773" ca="1">IFERROR(
IF($J$2="ELA",
IF(VLOOKUP($A773, YES_Reading_ELA[], COLUMN(INDIRECT("YES_Reading_ELA[Min Expectation - Per "&amp;VLOOKUP($D$2, 'Reading Report Logic'!$A$2:$B$8, 2, FALSE)&amp;"]")), FALSE)="", "",
VLOOKUP($A773,YES_Reading_ELA[], COLUMN(INDIRECT("YES_Reading_ELA[Min Expectation - Per "&amp;VLOOKUP($D$2,'Reading Report Logic'!$A$2:$B$8,2,FALSE)&amp;"]")), FALSE)),
IF($J$2="FLA",
IF(VLOOKUP($A773, YES_Reading_FLA[], COLUMN(INDIRECT("YES_Reading_FLA[Min Expectation - Per "&amp;VLOOKUP($D$2,'Reading Report Logic'!$A$2:$B$8,2,FALSE)&amp;"]")),FALSE)="","",
VLOOKUP($A773,YES_Reading_FLA[],COLUMN(INDIRECT("YES_Reading_FLA[Min Expectation - Per "&amp;VLOOKUP($D$2,'Reading Report Logic'!$A$2:$B$8,2,FALSE)&amp;"]")),FALSE)),
IF($J$2="Combined",
IFERROR(
IF(VLOOKUP($A773, YES_Reading_ELA[], COLUMN(INDIRECT("YES_Reading_ELA[Min Expectation - Per "&amp;VLOOKUP($D$2, 'Reading Report Logic'!$A$2:$B$8,2,FALSE)&amp;"]")), FALSE)="", "",
VLOOKUP($A773,YES_Reading_ELA[],COLUMN(INDIRECT("YES_Reading_ELA[Min Expectation - Per "&amp;VLOOKUP($D$2,'Reading Report Logic'!$A$2:$B$8,2,FALSE)&amp;"]")),FALSE)),
IF(VLOOKUP($A773, YES_Reading_FLA[], COLUMN(INDIRECT("YES_Reading_FLA[Min Expectation - Per "&amp;VLOOKUP($D$2, 'Reading Report Logic'!$A$2:$B$8, 2, FALSE)&amp;"]")),FALSE)="", "", VLOOKUP($A773,YES_Reading_FLA[],COLUMN(INDIRECT("YES_Reading_FLA[Min Expectation - Per "&amp;VLOOKUP($D$2, 'Reading Report Logic'!$A$2:$B$8, 2, FALSE)&amp;"]")),FALSE))),""))),"")</f>
        <v/>
      </c>
      <c r="F773" s="205" t="str" cm="1">
        <f t="array" aca="1" ref="F773" ca="1">IFERROR(
IF($J$2="ELA",
IF(VLOOKUP($A773, YES_Reading_ELA[], COLUMN(INDIRECT("YES_Reading_ELA[Max Expectation - Per "&amp;VLOOKUP($D$2, 'Reading Report Logic'!$A$2:$B$8, 2, FALSE)&amp;"]")), FALSE)="", "",
VLOOKUP($A773,YES_Reading_ELA[], COLUMN(INDIRECT("YES_Reading_ELA[Max Expectation - Per "&amp;VLOOKUP($D$2,'Reading Report Logic'!$A$2:$B$8,2,FALSE)&amp;"]")), FALSE)),
IF($J$2="FLA",
IF(VLOOKUP($A773, YES_Reading_FLA[], COLUMN(INDIRECT("YES_Reading_FLA[Max Expectation - Per "&amp;VLOOKUP($D$2,'Reading Report Logic'!$A$2:$B$8,2,FALSE)&amp;"]")),FALSE)="","",
VLOOKUP($A773,YES_Reading_FLA[],COLUMN(INDIRECT("YES_Reading_FLA[Max Expectation - Per "&amp;VLOOKUP($D$2,'Reading Report Logic'!$A$2:$B$8,2,FALSE)&amp;"]")),FALSE)),
IF($J$2="Combined",
IFERROR(
IF(VLOOKUP($A773, YES_Reading_ELA[], COLUMN(INDIRECT("YES_Reading_ELA[Max Expectation - Per "&amp;VLOOKUP($D$2, 'Reading Report Logic'!$A$2:$B$8,2,FALSE)&amp;"]")), FALSE)="", "",
VLOOKUP($A773,YES_Reading_ELA[],COLUMN(INDIRECT("YES_Reading_ELA[Max Expectation - Per "&amp;VLOOKUP($D$2,'Reading Report Logic'!$A$2:$B$8,2,FALSE)&amp;"]")),FALSE)),
IF(VLOOKUP($A773, YES_Reading_FLA[], COLUMN(INDIRECT("YES_Reading_FLA[Max Expectation - Per "&amp;VLOOKUP($D$2, 'Reading Report Logic'!$A$2:$B$8, 2, FALSE)&amp;"]")),FALSE)="", "", VLOOKUP($A773,YES_Reading_FLA[],COLUMN(INDIRECT("YES_Reading_FLA[Max Expectation - Per "&amp;VLOOKUP($D$2, 'Reading Report Logic'!$A$2:$B$8, 2, FALSE)&amp;"]")),FALSE))),""))),"")</f>
        <v/>
      </c>
      <c r="G773" s="205" t="str" cm="1">
        <f t="array" aca="1" ref="G773" ca="1">IFERROR(
IF($J$2="ELA",
IF(VLOOKUP($A773, YES_Reading_ELA[], COLUMN(INDIRECT("YES_Reading_ELA[Difference - Per "&amp;VLOOKUP($D$2, 'Reading Report Logic'!$A$2:$B$8, 2, FALSE)&amp;"]")), FALSE)="", "",
VLOOKUP($A773,YES_Reading_ELA[], COLUMN(INDIRECT("YES_Reading_ELA[Difference - Per "&amp;VLOOKUP($D$2,'Reading Report Logic'!$A$2:$B$8,2,FALSE)&amp;"]")), FALSE)),
IF($J$2="FLA",
IF(VLOOKUP($A773, YES_Reading_FLA[], COLUMN(INDIRECT("YES_Reading_FLA[Difference - Per "&amp;VLOOKUP($D$2,'Reading Report Logic'!$A$2:$B$8,2,FALSE)&amp;"]")),FALSE)="","",
VLOOKUP($A773,YES_Reading_FLA[],COLUMN(INDIRECT("YES_Reading_FLA[Difference - Per "&amp;VLOOKUP($D$2,'Reading Report Logic'!$A$2:$B$8,2,FALSE)&amp;"]")),FALSE)),
IF($J$2="Combined",
IFERROR(
IF(VLOOKUP($A773, YES_Reading_ELA[], COLUMN(INDIRECT("YES_Reading_ELA[Difference - Per "&amp;VLOOKUP($D$2, 'Reading Report Logic'!$A$2:$B$8,2,FALSE)&amp;"]")), FALSE)="", "",
VLOOKUP($A773,YES_Reading_ELA[],COLUMN(INDIRECT("YES_Reading_ELA[Difference - Per "&amp;VLOOKUP($D$2,'Reading Report Logic'!$A$2:$B$8,2,FALSE)&amp;"]")),FALSE)),
IF(VLOOKUP($A773, YES_Reading_FLA[], COLUMN(INDIRECT("YES_Reading_FLA[Difference - Per "&amp;VLOOKUP($D$2, 'Reading Report Logic'!$A$2:$B$8, 2, FALSE)&amp;"]")),FALSE)="", "", VLOOKUP($A773,YES_Reading_FLA[],COLUMN(INDIRECT("YES_Reading_FLA[Difference - Per "&amp;VLOOKUP($D$2, 'Reading Report Logic'!$A$2:$B$8, 2, FALSE)&amp;"]")),FALSE))),""))),"")</f>
        <v/>
      </c>
      <c r="H773" s="206" t="str">
        <f ca="1">IFERROR(VLOOKUP('Teacher Reading Pull Sheets'!$D773,_xlfn.VSTACK('ELA Reading Logic'!$A$22:$B$48,'FLA Reading Logic'!$A$22:$B$53),2,FALSE)-VLOOKUP('Teacher Reading Pull Sheets'!$C773,_xlfn.VSTACK('ELA Reading Logic'!$A$22:$B$48,'FLA Reading Logic'!$A$22:$B$53),2,FALSE),"")</f>
        <v/>
      </c>
      <c r="I773" s="212"/>
      <c r="J773" s="206"/>
      <c r="K773" s="197" t="str" cm="1">
        <f t="array" ref="K773">IFERROR(
IF($J$2="ELA",
IF(VLOOKUP($A773, YES_Reading_ELA[], COLUMN(YES_Reading_ELA[Self-Identified as African Descent]), FALSE)="", "",
VLOOKUP($A773,YES_Reading_ELA[], COLUMN(YES_Reading_ELA[Self-Identified as African Descent]), FALSE)),
IF($J$2="FLA",
IF(VLOOKUP($A773, YES_Reading_FLA[], COLUMN(YES_Reading_FLA[Self-Identified as African Descent]),FALSE)="","",
VLOOKUP($A773,YES_Reading_FLA[],COLUMN(YES_Reading_FLA[Self-Identified as African Descent]),FALSE)),
IF($J$2="Combined",
IFERROR(
IF(VLOOKUP($A773, YES_Reading_ELA[], COLUMN(YES_Reading_ELA[Self-Identified as African Descent]), FALSE)="", "",
VLOOKUP($A773,YES_Reading_ELA[],COLUMN(YES_Reading_ELA[Self-Identified as African Descent]),FALSE)),
IF(VLOOKUP($A773, YES_Reading_FLA[], COLUMN(YES_Reading_FLA[Self-Identified as African Descent]),FALSE)="", "", VLOOKUP($A773,YES_Reading_FLA[],COLUMN(YES_Reading_FLA[Self-Identified as African Descent]),FALSE))),""))),"")</f>
        <v/>
      </c>
      <c r="L773" s="73" t="str" cm="1">
        <f t="array" ref="L773">IFERROR(
IF($J$2="ELA",
IF(VLOOKUP($A773, YES_Reading_ELA[], COLUMN(YES_Reading_ELA[Self-Identified as Indigenous]), FALSE)="", "",
VLOOKUP($A773,YES_Reading_ELA[], COLUMN(YES_Reading_ELA[Self-Identified as Indigenous]), FALSE)),
IF($J$2="FLA",
IF(VLOOKUP($A773, YES_Reading_FLA[], COLUMN(YES_Reading_FLA[Self-Identified as Indigenous]),FALSE)="","",
VLOOKUP($A773,YES_Reading_FLA[],COLUMN(YES_Reading_FLA[Self-Identified as Indigenous]),FALSE)),
IF($J$2="Combined",
IFERROR(
IF(VLOOKUP($A773, YES_Reading_ELA[], COLUMN(YES_Reading_ELA[Self-Identified as Indigenous]), FALSE)="", "",
VLOOKUP($A773,YES_Reading_ELA[],COLUMN(YES_Reading_ELA[Self-Identified as Indigenous]),FALSE)),
IF(VLOOKUP($A773, YES_Reading_FLA[], COLUMN(YES_Reading_FLA[Self-Identified as Indigenous]),FALSE)="", "", VLOOKUP($A773,YES_Reading_FLA[],COLUMN(YES_Reading_FLA[Self-Identified as Indigenous]),FALSE))),""))),"")</f>
        <v/>
      </c>
    </row>
    <row r="774" spans="1:12" ht="19.5" customHeight="1" x14ac:dyDescent="0.25">
      <c r="A774" s="217">
        <v>0</v>
      </c>
      <c r="B774" s="220" t="str">
        <f>IFERROR(VLOOKUP(A774,_xlfn.VSTACK(YES_Reading_ELA[],YES_Reading_FLA[]),2,FALSE),"")</f>
        <v/>
      </c>
      <c r="C774" s="203" t="str" cm="1">
        <f t="array" aca="1" ref="C774" ca="1">IFERROR(
IF($J$2="ELA",
IF(VLOOKUP($A774, YES_Reading_ELA[], COLUMN(IF(VLOOKUP($D$2, 'Reading Report Logic'!$A$2:$B$8, 2, FALSE)=1, YES_Reading_ELA[Reading Level June of Previous School Year], INDIRECT("YES_Reading_ELA[Instructional Reading Level - Per "&amp;(VLOOKUP($D$2,'Reading Report Logic'!$A$2:$B$8,2,FALSE)-1)&amp;"]"))), FALSE)="", "",
VLOOKUP($A774,YES_Reading_ELA[], COLUMN(IF(VLOOKUP($D$2,'Reading Report Logic'!$A$2:$B$8,2,FALSE)=1, YES_Reading_ELA[Reading Level June of Previous School Year],INDIRECT("YES_Reading_ELA[Instructional Reading Level - Per "&amp;(VLOOKUP($D$2,'Reading Report Logic'!$A$2:$B$8,2,FALSE)-1)&amp;"]"))), FALSE)),
IF($J$2="FLA",
IF(VLOOKUP($A774, YES_Reading_FLA[], COLUMN(IF(VLOOKUP($D$2,'Reading Report Logic'!$A$2:$B$8,2,FALSE)=1, YES_Reading_FLA[Reading Level June of Previous School Year],INDIRECT("YES_Reading_FLA[Instructional Reading Level - Per "&amp;(VLOOKUP($D$2,'Reading Report Logic'!$A$2:$B$8,2,FALSE)-1)&amp;"]"))),FALSE)="","",
VLOOKUP($A774,YES_Reading_FLA[], COLUMN(IF(VLOOKUP($D$2,'Reading Report Logic'!$A$2:$B$8,2,FALSE)=1, YES_Reading_FLA[Reading Level June of Previous School Year],INDIRECT("YES_Reading_FLA[Instructional Reading Level - Per "&amp;(VLOOKUP($D$2,'Reading Report Logic'!$A$2:$B$8,2,FALSE)-1)&amp;"]"))),FALSE)),
IF($J$2="Combined",
IFERROR(
IF(VLOOKUP($A774, YES_Reading_ELA[], COLUMN(IF(VLOOKUP($D$2,'Reading Report Logic'!$A$2:$B$8,2,FALSE)=1, YES_Reading_ELA[Reading Level June of Previous School Year],INDIRECT("YES_Reading_ELA[Instructional Reading Level - Per "&amp;(VLOOKUP($D$2,'Reading Report Logic'!$A$2:$B$8,2,FALSE)-1)&amp;"]"))), FALSE)="", "",
VLOOKUP($A774,YES_Reading_ELA[],COLUMN(IF(VLOOKUP($D$2,'Reading Report Logic'!$A$2:$B$8,2,FALSE)=1, YES_Reading_ELA[Reading Level June of Previous School Year],INDIRECT("YES_Reading_ELA[Instructional Reading Level - Per "&amp;(VLOOKUP($D$2,'Reading Report Logic'!$A$2:$B$8,2,FALSE)-1)&amp;"]"))),FALSE)),
IF(VLOOKUP($A774, YES_Reading_FLA[], COLUMN(IF(VLOOKUP($D$2,'Reading Report Logic'!$A$2:$B$8,2,FALSE)=1, YES_Reading_FLA[Reading Level June of Previous School Year],INDIRECT("YES_Reading_FLA[Instructional Reading Level - Per "&amp;(VLOOKUP($D$2,'Reading Report Logic'!$A$2:$B$8,2,FALSE)-1)&amp;"]"))),FALSE)="", "", VLOOKUP($A774,YES_Reading_FLA[],COLUMN(IF(VLOOKUP($D$2,'Reading Report Logic'!$A$2:$B$8,2,FALSE)=1, YES_Reading_FLA[Reading Level June of Previous School Year],INDIRECT("YES_Reading_FLA[Instructional Reading Level - Per "&amp;(VLOOKUP($D$2,'Reading Report Logic'!$A$2:$B$8,2,FALSE)-1)&amp;"]"))), FALSE))),""))),"")</f>
        <v/>
      </c>
      <c r="D774" s="204" t="str" cm="1">
        <f t="array" aca="1" ref="D774" ca="1">IFERROR(
IF($J$2="ELA",
IF(VLOOKUP($A774, YES_Reading_ELA[], COLUMN(INDIRECT("YES_Reading_ELA[Instructional Reading Level - Per "&amp;VLOOKUP($D$2, 'Reading Report Logic'!$A$2:$B$8, 2, FALSE)&amp;"]")), FALSE)="", "",
VLOOKUP($A774,YES_Reading_ELA[], COLUMN(INDIRECT("YES_Reading_ELA[Instructional Reading Level - Per "&amp;VLOOKUP($D$2,'Reading Report Logic'!$A$2:$B$8,2,FALSE)&amp;"]")), FALSE)),
IF($J$2="FLA",
IF(VLOOKUP($A774, YES_Reading_FLA[], COLUMN(INDIRECT("YES_Reading_FLA[Instructional Reading Level - Per "&amp;VLOOKUP($D$2,'Reading Report Logic'!$A$2:$B$8,2,FALSE)&amp;"]")),FALSE)="","",
VLOOKUP($A774,YES_Reading_FLA[],COLUMN(INDIRECT("YES_Reading_FLA[Instructional Reading Level - Per "&amp;VLOOKUP($D$2,'Reading Report Logic'!$A$2:$B$8,2,FALSE)&amp;"]")),FALSE)),
IF($J$2="Combined",
IFERROR(
IF(VLOOKUP($A774, YES_Reading_ELA[], COLUMN(INDIRECT("YES_Reading_ELA[Instructional Reading Level - Per "&amp;VLOOKUP($D$2, 'Reading Report Logic'!$A$2:$B$8,2,FALSE)&amp;"]")), FALSE)="", "",
VLOOKUP($A774,YES_Reading_ELA[],COLUMN(INDIRECT("YES_Reading_ELA[Instructional Reading Level - Per "&amp;VLOOKUP($D$2,'Reading Report Logic'!$A$2:$B$8,2,FALSE)&amp;"]")),FALSE)),
IF(VLOOKUP($A774, YES_Reading_FLA[], COLUMN(INDIRECT("YES_Reading_FLA[Instructional Reading Level - Per "&amp;VLOOKUP($D$2, 'Reading Report Logic'!$A$2:$B$8, 2, FALSE)&amp;"]")),FALSE)="", "", VLOOKUP($A774,YES_Reading_FLA[],COLUMN(INDIRECT("YES_Reading_FLA[Instructional Reading Level - Per "&amp;VLOOKUP($D$2, 'Reading Report Logic'!$A$2:$B$8, 2, FALSE)&amp;"]")),FALSE))),""))),"")</f>
        <v/>
      </c>
      <c r="E774" s="205" t="str" cm="1">
        <f t="array" aca="1" ref="E774" ca="1">IFERROR(
IF($J$2="ELA",
IF(VLOOKUP($A774, YES_Reading_ELA[], COLUMN(INDIRECT("YES_Reading_ELA[Min Expectation - Per "&amp;VLOOKUP($D$2, 'Reading Report Logic'!$A$2:$B$8, 2, FALSE)&amp;"]")), FALSE)="", "",
VLOOKUP($A774,YES_Reading_ELA[], COLUMN(INDIRECT("YES_Reading_ELA[Min Expectation - Per "&amp;VLOOKUP($D$2,'Reading Report Logic'!$A$2:$B$8,2,FALSE)&amp;"]")), FALSE)),
IF($J$2="FLA",
IF(VLOOKUP($A774, YES_Reading_FLA[], COLUMN(INDIRECT("YES_Reading_FLA[Min Expectation - Per "&amp;VLOOKUP($D$2,'Reading Report Logic'!$A$2:$B$8,2,FALSE)&amp;"]")),FALSE)="","",
VLOOKUP($A774,YES_Reading_FLA[],COLUMN(INDIRECT("YES_Reading_FLA[Min Expectation - Per "&amp;VLOOKUP($D$2,'Reading Report Logic'!$A$2:$B$8,2,FALSE)&amp;"]")),FALSE)),
IF($J$2="Combined",
IFERROR(
IF(VLOOKUP($A774, YES_Reading_ELA[], COLUMN(INDIRECT("YES_Reading_ELA[Min Expectation - Per "&amp;VLOOKUP($D$2, 'Reading Report Logic'!$A$2:$B$8,2,FALSE)&amp;"]")), FALSE)="", "",
VLOOKUP($A774,YES_Reading_ELA[],COLUMN(INDIRECT("YES_Reading_ELA[Min Expectation - Per "&amp;VLOOKUP($D$2,'Reading Report Logic'!$A$2:$B$8,2,FALSE)&amp;"]")),FALSE)),
IF(VLOOKUP($A774, YES_Reading_FLA[], COLUMN(INDIRECT("YES_Reading_FLA[Min Expectation - Per "&amp;VLOOKUP($D$2, 'Reading Report Logic'!$A$2:$B$8, 2, FALSE)&amp;"]")),FALSE)="", "", VLOOKUP($A774,YES_Reading_FLA[],COLUMN(INDIRECT("YES_Reading_FLA[Min Expectation - Per "&amp;VLOOKUP($D$2, 'Reading Report Logic'!$A$2:$B$8, 2, FALSE)&amp;"]")),FALSE))),""))),"")</f>
        <v/>
      </c>
      <c r="F774" s="205" t="str" cm="1">
        <f t="array" aca="1" ref="F774" ca="1">IFERROR(
IF($J$2="ELA",
IF(VLOOKUP($A774, YES_Reading_ELA[], COLUMN(INDIRECT("YES_Reading_ELA[Max Expectation - Per "&amp;VLOOKUP($D$2, 'Reading Report Logic'!$A$2:$B$8, 2, FALSE)&amp;"]")), FALSE)="", "",
VLOOKUP($A774,YES_Reading_ELA[], COLUMN(INDIRECT("YES_Reading_ELA[Max Expectation - Per "&amp;VLOOKUP($D$2,'Reading Report Logic'!$A$2:$B$8,2,FALSE)&amp;"]")), FALSE)),
IF($J$2="FLA",
IF(VLOOKUP($A774, YES_Reading_FLA[], COLUMN(INDIRECT("YES_Reading_FLA[Max Expectation - Per "&amp;VLOOKUP($D$2,'Reading Report Logic'!$A$2:$B$8,2,FALSE)&amp;"]")),FALSE)="","",
VLOOKUP($A774,YES_Reading_FLA[],COLUMN(INDIRECT("YES_Reading_FLA[Max Expectation - Per "&amp;VLOOKUP($D$2,'Reading Report Logic'!$A$2:$B$8,2,FALSE)&amp;"]")),FALSE)),
IF($J$2="Combined",
IFERROR(
IF(VLOOKUP($A774, YES_Reading_ELA[], COLUMN(INDIRECT("YES_Reading_ELA[Max Expectation - Per "&amp;VLOOKUP($D$2, 'Reading Report Logic'!$A$2:$B$8,2,FALSE)&amp;"]")), FALSE)="", "",
VLOOKUP($A774,YES_Reading_ELA[],COLUMN(INDIRECT("YES_Reading_ELA[Max Expectation - Per "&amp;VLOOKUP($D$2,'Reading Report Logic'!$A$2:$B$8,2,FALSE)&amp;"]")),FALSE)),
IF(VLOOKUP($A774, YES_Reading_FLA[], COLUMN(INDIRECT("YES_Reading_FLA[Max Expectation - Per "&amp;VLOOKUP($D$2, 'Reading Report Logic'!$A$2:$B$8, 2, FALSE)&amp;"]")),FALSE)="", "", VLOOKUP($A774,YES_Reading_FLA[],COLUMN(INDIRECT("YES_Reading_FLA[Max Expectation - Per "&amp;VLOOKUP($D$2, 'Reading Report Logic'!$A$2:$B$8, 2, FALSE)&amp;"]")),FALSE))),""))),"")</f>
        <v/>
      </c>
      <c r="G774" s="205" t="str" cm="1">
        <f t="array" aca="1" ref="G774" ca="1">IFERROR(
IF($J$2="ELA",
IF(VLOOKUP($A774, YES_Reading_ELA[], COLUMN(INDIRECT("YES_Reading_ELA[Difference - Per "&amp;VLOOKUP($D$2, 'Reading Report Logic'!$A$2:$B$8, 2, FALSE)&amp;"]")), FALSE)="", "",
VLOOKUP($A774,YES_Reading_ELA[], COLUMN(INDIRECT("YES_Reading_ELA[Difference - Per "&amp;VLOOKUP($D$2,'Reading Report Logic'!$A$2:$B$8,2,FALSE)&amp;"]")), FALSE)),
IF($J$2="FLA",
IF(VLOOKUP($A774, YES_Reading_FLA[], COLUMN(INDIRECT("YES_Reading_FLA[Difference - Per "&amp;VLOOKUP($D$2,'Reading Report Logic'!$A$2:$B$8,2,FALSE)&amp;"]")),FALSE)="","",
VLOOKUP($A774,YES_Reading_FLA[],COLUMN(INDIRECT("YES_Reading_FLA[Difference - Per "&amp;VLOOKUP($D$2,'Reading Report Logic'!$A$2:$B$8,2,FALSE)&amp;"]")),FALSE)),
IF($J$2="Combined",
IFERROR(
IF(VLOOKUP($A774, YES_Reading_ELA[], COLUMN(INDIRECT("YES_Reading_ELA[Difference - Per "&amp;VLOOKUP($D$2, 'Reading Report Logic'!$A$2:$B$8,2,FALSE)&amp;"]")), FALSE)="", "",
VLOOKUP($A774,YES_Reading_ELA[],COLUMN(INDIRECT("YES_Reading_ELA[Difference - Per "&amp;VLOOKUP($D$2,'Reading Report Logic'!$A$2:$B$8,2,FALSE)&amp;"]")),FALSE)),
IF(VLOOKUP($A774, YES_Reading_FLA[], COLUMN(INDIRECT("YES_Reading_FLA[Difference - Per "&amp;VLOOKUP($D$2, 'Reading Report Logic'!$A$2:$B$8, 2, FALSE)&amp;"]")),FALSE)="", "", VLOOKUP($A774,YES_Reading_FLA[],COLUMN(INDIRECT("YES_Reading_FLA[Difference - Per "&amp;VLOOKUP($D$2, 'Reading Report Logic'!$A$2:$B$8, 2, FALSE)&amp;"]")),FALSE))),""))),"")</f>
        <v/>
      </c>
      <c r="H774" s="206" t="str">
        <f ca="1">IFERROR(VLOOKUP('Teacher Reading Pull Sheets'!$D774,_xlfn.VSTACK('ELA Reading Logic'!$A$22:$B$48,'FLA Reading Logic'!$A$22:$B$53),2,FALSE)-VLOOKUP('Teacher Reading Pull Sheets'!$C774,_xlfn.VSTACK('ELA Reading Logic'!$A$22:$B$48,'FLA Reading Logic'!$A$22:$B$53),2,FALSE),"")</f>
        <v/>
      </c>
      <c r="I774" s="212"/>
      <c r="J774" s="206"/>
      <c r="K774" s="197" t="str" cm="1">
        <f t="array" ref="K774">IFERROR(
IF($J$2="ELA",
IF(VLOOKUP($A774, YES_Reading_ELA[], COLUMN(YES_Reading_ELA[Self-Identified as African Descent]), FALSE)="", "",
VLOOKUP($A774,YES_Reading_ELA[], COLUMN(YES_Reading_ELA[Self-Identified as African Descent]), FALSE)),
IF($J$2="FLA",
IF(VLOOKUP($A774, YES_Reading_FLA[], COLUMN(YES_Reading_FLA[Self-Identified as African Descent]),FALSE)="","",
VLOOKUP($A774,YES_Reading_FLA[],COLUMN(YES_Reading_FLA[Self-Identified as African Descent]),FALSE)),
IF($J$2="Combined",
IFERROR(
IF(VLOOKUP($A774, YES_Reading_ELA[], COLUMN(YES_Reading_ELA[Self-Identified as African Descent]), FALSE)="", "",
VLOOKUP($A774,YES_Reading_ELA[],COLUMN(YES_Reading_ELA[Self-Identified as African Descent]),FALSE)),
IF(VLOOKUP($A774, YES_Reading_FLA[], COLUMN(YES_Reading_FLA[Self-Identified as African Descent]),FALSE)="", "", VLOOKUP($A774,YES_Reading_FLA[],COLUMN(YES_Reading_FLA[Self-Identified as African Descent]),FALSE))),""))),"")</f>
        <v/>
      </c>
      <c r="L774" s="73" t="str" cm="1">
        <f t="array" ref="L774">IFERROR(
IF($J$2="ELA",
IF(VLOOKUP($A774, YES_Reading_ELA[], COLUMN(YES_Reading_ELA[Self-Identified as Indigenous]), FALSE)="", "",
VLOOKUP($A774,YES_Reading_ELA[], COLUMN(YES_Reading_ELA[Self-Identified as Indigenous]), FALSE)),
IF($J$2="FLA",
IF(VLOOKUP($A774, YES_Reading_FLA[], COLUMN(YES_Reading_FLA[Self-Identified as Indigenous]),FALSE)="","",
VLOOKUP($A774,YES_Reading_FLA[],COLUMN(YES_Reading_FLA[Self-Identified as Indigenous]),FALSE)),
IF($J$2="Combined",
IFERROR(
IF(VLOOKUP($A774, YES_Reading_ELA[], COLUMN(YES_Reading_ELA[Self-Identified as Indigenous]), FALSE)="", "",
VLOOKUP($A774,YES_Reading_ELA[],COLUMN(YES_Reading_ELA[Self-Identified as Indigenous]),FALSE)),
IF(VLOOKUP($A774, YES_Reading_FLA[], COLUMN(YES_Reading_FLA[Self-Identified as Indigenous]),FALSE)="", "", VLOOKUP($A774,YES_Reading_FLA[],COLUMN(YES_Reading_FLA[Self-Identified as Indigenous]),FALSE))),""))),"")</f>
        <v/>
      </c>
    </row>
    <row r="775" spans="1:12" ht="19.5" customHeight="1" x14ac:dyDescent="0.25">
      <c r="A775" s="217">
        <v>0</v>
      </c>
      <c r="B775" s="220" t="str">
        <f>IFERROR(VLOOKUP(A775,_xlfn.VSTACK(YES_Reading_ELA[],YES_Reading_FLA[]),2,FALSE),"")</f>
        <v/>
      </c>
      <c r="C775" s="203" t="str" cm="1">
        <f t="array" aca="1" ref="C775" ca="1">IFERROR(
IF($J$2="ELA",
IF(VLOOKUP($A775, YES_Reading_ELA[], COLUMN(IF(VLOOKUP($D$2, 'Reading Report Logic'!$A$2:$B$8, 2, FALSE)=1, YES_Reading_ELA[Reading Level June of Previous School Year], INDIRECT("YES_Reading_ELA[Instructional Reading Level - Per "&amp;(VLOOKUP($D$2,'Reading Report Logic'!$A$2:$B$8,2,FALSE)-1)&amp;"]"))), FALSE)="", "",
VLOOKUP($A775,YES_Reading_ELA[], COLUMN(IF(VLOOKUP($D$2,'Reading Report Logic'!$A$2:$B$8,2,FALSE)=1, YES_Reading_ELA[Reading Level June of Previous School Year],INDIRECT("YES_Reading_ELA[Instructional Reading Level - Per "&amp;(VLOOKUP($D$2,'Reading Report Logic'!$A$2:$B$8,2,FALSE)-1)&amp;"]"))), FALSE)),
IF($J$2="FLA",
IF(VLOOKUP($A775, YES_Reading_FLA[], COLUMN(IF(VLOOKUP($D$2,'Reading Report Logic'!$A$2:$B$8,2,FALSE)=1, YES_Reading_FLA[Reading Level June of Previous School Year],INDIRECT("YES_Reading_FLA[Instructional Reading Level - Per "&amp;(VLOOKUP($D$2,'Reading Report Logic'!$A$2:$B$8,2,FALSE)-1)&amp;"]"))),FALSE)="","",
VLOOKUP($A775,YES_Reading_FLA[], COLUMN(IF(VLOOKUP($D$2,'Reading Report Logic'!$A$2:$B$8,2,FALSE)=1, YES_Reading_FLA[Reading Level June of Previous School Year],INDIRECT("YES_Reading_FLA[Instructional Reading Level - Per "&amp;(VLOOKUP($D$2,'Reading Report Logic'!$A$2:$B$8,2,FALSE)-1)&amp;"]"))),FALSE)),
IF($J$2="Combined",
IFERROR(
IF(VLOOKUP($A775, YES_Reading_ELA[], COLUMN(IF(VLOOKUP($D$2,'Reading Report Logic'!$A$2:$B$8,2,FALSE)=1, YES_Reading_ELA[Reading Level June of Previous School Year],INDIRECT("YES_Reading_ELA[Instructional Reading Level - Per "&amp;(VLOOKUP($D$2,'Reading Report Logic'!$A$2:$B$8,2,FALSE)-1)&amp;"]"))), FALSE)="", "",
VLOOKUP($A775,YES_Reading_ELA[],COLUMN(IF(VLOOKUP($D$2,'Reading Report Logic'!$A$2:$B$8,2,FALSE)=1, YES_Reading_ELA[Reading Level June of Previous School Year],INDIRECT("YES_Reading_ELA[Instructional Reading Level - Per "&amp;(VLOOKUP($D$2,'Reading Report Logic'!$A$2:$B$8,2,FALSE)-1)&amp;"]"))),FALSE)),
IF(VLOOKUP($A775, YES_Reading_FLA[], COLUMN(IF(VLOOKUP($D$2,'Reading Report Logic'!$A$2:$B$8,2,FALSE)=1, YES_Reading_FLA[Reading Level June of Previous School Year],INDIRECT("YES_Reading_FLA[Instructional Reading Level - Per "&amp;(VLOOKUP($D$2,'Reading Report Logic'!$A$2:$B$8,2,FALSE)-1)&amp;"]"))),FALSE)="", "", VLOOKUP($A775,YES_Reading_FLA[],COLUMN(IF(VLOOKUP($D$2,'Reading Report Logic'!$A$2:$B$8,2,FALSE)=1, YES_Reading_FLA[Reading Level June of Previous School Year],INDIRECT("YES_Reading_FLA[Instructional Reading Level - Per "&amp;(VLOOKUP($D$2,'Reading Report Logic'!$A$2:$B$8,2,FALSE)-1)&amp;"]"))), FALSE))),""))),"")</f>
        <v/>
      </c>
      <c r="D775" s="204" t="str" cm="1">
        <f t="array" aca="1" ref="D775" ca="1">IFERROR(
IF($J$2="ELA",
IF(VLOOKUP($A775, YES_Reading_ELA[], COLUMN(INDIRECT("YES_Reading_ELA[Instructional Reading Level - Per "&amp;VLOOKUP($D$2, 'Reading Report Logic'!$A$2:$B$8, 2, FALSE)&amp;"]")), FALSE)="", "",
VLOOKUP($A775,YES_Reading_ELA[], COLUMN(INDIRECT("YES_Reading_ELA[Instructional Reading Level - Per "&amp;VLOOKUP($D$2,'Reading Report Logic'!$A$2:$B$8,2,FALSE)&amp;"]")), FALSE)),
IF($J$2="FLA",
IF(VLOOKUP($A775, YES_Reading_FLA[], COLUMN(INDIRECT("YES_Reading_FLA[Instructional Reading Level - Per "&amp;VLOOKUP($D$2,'Reading Report Logic'!$A$2:$B$8,2,FALSE)&amp;"]")),FALSE)="","",
VLOOKUP($A775,YES_Reading_FLA[],COLUMN(INDIRECT("YES_Reading_FLA[Instructional Reading Level - Per "&amp;VLOOKUP($D$2,'Reading Report Logic'!$A$2:$B$8,2,FALSE)&amp;"]")),FALSE)),
IF($J$2="Combined",
IFERROR(
IF(VLOOKUP($A775, YES_Reading_ELA[], COLUMN(INDIRECT("YES_Reading_ELA[Instructional Reading Level - Per "&amp;VLOOKUP($D$2, 'Reading Report Logic'!$A$2:$B$8,2,FALSE)&amp;"]")), FALSE)="", "",
VLOOKUP($A775,YES_Reading_ELA[],COLUMN(INDIRECT("YES_Reading_ELA[Instructional Reading Level - Per "&amp;VLOOKUP($D$2,'Reading Report Logic'!$A$2:$B$8,2,FALSE)&amp;"]")),FALSE)),
IF(VLOOKUP($A775, YES_Reading_FLA[], COLUMN(INDIRECT("YES_Reading_FLA[Instructional Reading Level - Per "&amp;VLOOKUP($D$2, 'Reading Report Logic'!$A$2:$B$8, 2, FALSE)&amp;"]")),FALSE)="", "", VLOOKUP($A775,YES_Reading_FLA[],COLUMN(INDIRECT("YES_Reading_FLA[Instructional Reading Level - Per "&amp;VLOOKUP($D$2, 'Reading Report Logic'!$A$2:$B$8, 2, FALSE)&amp;"]")),FALSE))),""))),"")</f>
        <v/>
      </c>
      <c r="E775" s="205" t="str" cm="1">
        <f t="array" aca="1" ref="E775" ca="1">IFERROR(
IF($J$2="ELA",
IF(VLOOKUP($A775, YES_Reading_ELA[], COLUMN(INDIRECT("YES_Reading_ELA[Min Expectation - Per "&amp;VLOOKUP($D$2, 'Reading Report Logic'!$A$2:$B$8, 2, FALSE)&amp;"]")), FALSE)="", "",
VLOOKUP($A775,YES_Reading_ELA[], COLUMN(INDIRECT("YES_Reading_ELA[Min Expectation - Per "&amp;VLOOKUP($D$2,'Reading Report Logic'!$A$2:$B$8,2,FALSE)&amp;"]")), FALSE)),
IF($J$2="FLA",
IF(VLOOKUP($A775, YES_Reading_FLA[], COLUMN(INDIRECT("YES_Reading_FLA[Min Expectation - Per "&amp;VLOOKUP($D$2,'Reading Report Logic'!$A$2:$B$8,2,FALSE)&amp;"]")),FALSE)="","",
VLOOKUP($A775,YES_Reading_FLA[],COLUMN(INDIRECT("YES_Reading_FLA[Min Expectation - Per "&amp;VLOOKUP($D$2,'Reading Report Logic'!$A$2:$B$8,2,FALSE)&amp;"]")),FALSE)),
IF($J$2="Combined",
IFERROR(
IF(VLOOKUP($A775, YES_Reading_ELA[], COLUMN(INDIRECT("YES_Reading_ELA[Min Expectation - Per "&amp;VLOOKUP($D$2, 'Reading Report Logic'!$A$2:$B$8,2,FALSE)&amp;"]")), FALSE)="", "",
VLOOKUP($A775,YES_Reading_ELA[],COLUMN(INDIRECT("YES_Reading_ELA[Min Expectation - Per "&amp;VLOOKUP($D$2,'Reading Report Logic'!$A$2:$B$8,2,FALSE)&amp;"]")),FALSE)),
IF(VLOOKUP($A775, YES_Reading_FLA[], COLUMN(INDIRECT("YES_Reading_FLA[Min Expectation - Per "&amp;VLOOKUP($D$2, 'Reading Report Logic'!$A$2:$B$8, 2, FALSE)&amp;"]")),FALSE)="", "", VLOOKUP($A775,YES_Reading_FLA[],COLUMN(INDIRECT("YES_Reading_FLA[Min Expectation - Per "&amp;VLOOKUP($D$2, 'Reading Report Logic'!$A$2:$B$8, 2, FALSE)&amp;"]")),FALSE))),""))),"")</f>
        <v/>
      </c>
      <c r="F775" s="205" t="str" cm="1">
        <f t="array" aca="1" ref="F775" ca="1">IFERROR(
IF($J$2="ELA",
IF(VLOOKUP($A775, YES_Reading_ELA[], COLUMN(INDIRECT("YES_Reading_ELA[Max Expectation - Per "&amp;VLOOKUP($D$2, 'Reading Report Logic'!$A$2:$B$8, 2, FALSE)&amp;"]")), FALSE)="", "",
VLOOKUP($A775,YES_Reading_ELA[], COLUMN(INDIRECT("YES_Reading_ELA[Max Expectation - Per "&amp;VLOOKUP($D$2,'Reading Report Logic'!$A$2:$B$8,2,FALSE)&amp;"]")), FALSE)),
IF($J$2="FLA",
IF(VLOOKUP($A775, YES_Reading_FLA[], COLUMN(INDIRECT("YES_Reading_FLA[Max Expectation - Per "&amp;VLOOKUP($D$2,'Reading Report Logic'!$A$2:$B$8,2,FALSE)&amp;"]")),FALSE)="","",
VLOOKUP($A775,YES_Reading_FLA[],COLUMN(INDIRECT("YES_Reading_FLA[Max Expectation - Per "&amp;VLOOKUP($D$2,'Reading Report Logic'!$A$2:$B$8,2,FALSE)&amp;"]")),FALSE)),
IF($J$2="Combined",
IFERROR(
IF(VLOOKUP($A775, YES_Reading_ELA[], COLUMN(INDIRECT("YES_Reading_ELA[Max Expectation - Per "&amp;VLOOKUP($D$2, 'Reading Report Logic'!$A$2:$B$8,2,FALSE)&amp;"]")), FALSE)="", "",
VLOOKUP($A775,YES_Reading_ELA[],COLUMN(INDIRECT("YES_Reading_ELA[Max Expectation - Per "&amp;VLOOKUP($D$2,'Reading Report Logic'!$A$2:$B$8,2,FALSE)&amp;"]")),FALSE)),
IF(VLOOKUP($A775, YES_Reading_FLA[], COLUMN(INDIRECT("YES_Reading_FLA[Max Expectation - Per "&amp;VLOOKUP($D$2, 'Reading Report Logic'!$A$2:$B$8, 2, FALSE)&amp;"]")),FALSE)="", "", VLOOKUP($A775,YES_Reading_FLA[],COLUMN(INDIRECT("YES_Reading_FLA[Max Expectation - Per "&amp;VLOOKUP($D$2, 'Reading Report Logic'!$A$2:$B$8, 2, FALSE)&amp;"]")),FALSE))),""))),"")</f>
        <v/>
      </c>
      <c r="G775" s="205" t="str" cm="1">
        <f t="array" aca="1" ref="G775" ca="1">IFERROR(
IF($J$2="ELA",
IF(VLOOKUP($A775, YES_Reading_ELA[], COLUMN(INDIRECT("YES_Reading_ELA[Difference - Per "&amp;VLOOKUP($D$2, 'Reading Report Logic'!$A$2:$B$8, 2, FALSE)&amp;"]")), FALSE)="", "",
VLOOKUP($A775,YES_Reading_ELA[], COLUMN(INDIRECT("YES_Reading_ELA[Difference - Per "&amp;VLOOKUP($D$2,'Reading Report Logic'!$A$2:$B$8,2,FALSE)&amp;"]")), FALSE)),
IF($J$2="FLA",
IF(VLOOKUP($A775, YES_Reading_FLA[], COLUMN(INDIRECT("YES_Reading_FLA[Difference - Per "&amp;VLOOKUP($D$2,'Reading Report Logic'!$A$2:$B$8,2,FALSE)&amp;"]")),FALSE)="","",
VLOOKUP($A775,YES_Reading_FLA[],COLUMN(INDIRECT("YES_Reading_FLA[Difference - Per "&amp;VLOOKUP($D$2,'Reading Report Logic'!$A$2:$B$8,2,FALSE)&amp;"]")),FALSE)),
IF($J$2="Combined",
IFERROR(
IF(VLOOKUP($A775, YES_Reading_ELA[], COLUMN(INDIRECT("YES_Reading_ELA[Difference - Per "&amp;VLOOKUP($D$2, 'Reading Report Logic'!$A$2:$B$8,2,FALSE)&amp;"]")), FALSE)="", "",
VLOOKUP($A775,YES_Reading_ELA[],COLUMN(INDIRECT("YES_Reading_ELA[Difference - Per "&amp;VLOOKUP($D$2,'Reading Report Logic'!$A$2:$B$8,2,FALSE)&amp;"]")),FALSE)),
IF(VLOOKUP($A775, YES_Reading_FLA[], COLUMN(INDIRECT("YES_Reading_FLA[Difference - Per "&amp;VLOOKUP($D$2, 'Reading Report Logic'!$A$2:$B$8, 2, FALSE)&amp;"]")),FALSE)="", "", VLOOKUP($A775,YES_Reading_FLA[],COLUMN(INDIRECT("YES_Reading_FLA[Difference - Per "&amp;VLOOKUP($D$2, 'Reading Report Logic'!$A$2:$B$8, 2, FALSE)&amp;"]")),FALSE))),""))),"")</f>
        <v/>
      </c>
      <c r="H775" s="206" t="str">
        <f ca="1">IFERROR(VLOOKUP('Teacher Reading Pull Sheets'!$D775,_xlfn.VSTACK('ELA Reading Logic'!$A$22:$B$48,'FLA Reading Logic'!$A$22:$B$53),2,FALSE)-VLOOKUP('Teacher Reading Pull Sheets'!$C775,_xlfn.VSTACK('ELA Reading Logic'!$A$22:$B$48,'FLA Reading Logic'!$A$22:$B$53),2,FALSE),"")</f>
        <v/>
      </c>
      <c r="I775" s="212"/>
      <c r="J775" s="206"/>
      <c r="K775" s="197" t="str" cm="1">
        <f t="array" ref="K775">IFERROR(
IF($J$2="ELA",
IF(VLOOKUP($A775, YES_Reading_ELA[], COLUMN(YES_Reading_ELA[Self-Identified as African Descent]), FALSE)="", "",
VLOOKUP($A775,YES_Reading_ELA[], COLUMN(YES_Reading_ELA[Self-Identified as African Descent]), FALSE)),
IF($J$2="FLA",
IF(VLOOKUP($A775, YES_Reading_FLA[], COLUMN(YES_Reading_FLA[Self-Identified as African Descent]),FALSE)="","",
VLOOKUP($A775,YES_Reading_FLA[],COLUMN(YES_Reading_FLA[Self-Identified as African Descent]),FALSE)),
IF($J$2="Combined",
IFERROR(
IF(VLOOKUP($A775, YES_Reading_ELA[], COLUMN(YES_Reading_ELA[Self-Identified as African Descent]), FALSE)="", "",
VLOOKUP($A775,YES_Reading_ELA[],COLUMN(YES_Reading_ELA[Self-Identified as African Descent]),FALSE)),
IF(VLOOKUP($A775, YES_Reading_FLA[], COLUMN(YES_Reading_FLA[Self-Identified as African Descent]),FALSE)="", "", VLOOKUP($A775,YES_Reading_FLA[],COLUMN(YES_Reading_FLA[Self-Identified as African Descent]),FALSE))),""))),"")</f>
        <v/>
      </c>
      <c r="L775" s="73" t="str" cm="1">
        <f t="array" ref="L775">IFERROR(
IF($J$2="ELA",
IF(VLOOKUP($A775, YES_Reading_ELA[], COLUMN(YES_Reading_ELA[Self-Identified as Indigenous]), FALSE)="", "",
VLOOKUP($A775,YES_Reading_ELA[], COLUMN(YES_Reading_ELA[Self-Identified as Indigenous]), FALSE)),
IF($J$2="FLA",
IF(VLOOKUP($A775, YES_Reading_FLA[], COLUMN(YES_Reading_FLA[Self-Identified as Indigenous]),FALSE)="","",
VLOOKUP($A775,YES_Reading_FLA[],COLUMN(YES_Reading_FLA[Self-Identified as Indigenous]),FALSE)),
IF($J$2="Combined",
IFERROR(
IF(VLOOKUP($A775, YES_Reading_ELA[], COLUMN(YES_Reading_ELA[Self-Identified as Indigenous]), FALSE)="", "",
VLOOKUP($A775,YES_Reading_ELA[],COLUMN(YES_Reading_ELA[Self-Identified as Indigenous]),FALSE)),
IF(VLOOKUP($A775, YES_Reading_FLA[], COLUMN(YES_Reading_FLA[Self-Identified as Indigenous]),FALSE)="", "", VLOOKUP($A775,YES_Reading_FLA[],COLUMN(YES_Reading_FLA[Self-Identified as Indigenous]),FALSE))),""))),"")</f>
        <v/>
      </c>
    </row>
    <row r="776" spans="1:12" ht="19.5" customHeight="1" x14ac:dyDescent="0.25">
      <c r="A776" s="217">
        <v>0</v>
      </c>
      <c r="B776" s="220" t="str">
        <f>IFERROR(VLOOKUP(A776,_xlfn.VSTACK(YES_Reading_ELA[],YES_Reading_FLA[]),2,FALSE),"")</f>
        <v/>
      </c>
      <c r="C776" s="203" t="str" cm="1">
        <f t="array" aca="1" ref="C776" ca="1">IFERROR(
IF($J$2="ELA",
IF(VLOOKUP($A776, YES_Reading_ELA[], COLUMN(IF(VLOOKUP($D$2, 'Reading Report Logic'!$A$2:$B$8, 2, FALSE)=1, YES_Reading_ELA[Reading Level June of Previous School Year], INDIRECT("YES_Reading_ELA[Instructional Reading Level - Per "&amp;(VLOOKUP($D$2,'Reading Report Logic'!$A$2:$B$8,2,FALSE)-1)&amp;"]"))), FALSE)="", "",
VLOOKUP($A776,YES_Reading_ELA[], COLUMN(IF(VLOOKUP($D$2,'Reading Report Logic'!$A$2:$B$8,2,FALSE)=1, YES_Reading_ELA[Reading Level June of Previous School Year],INDIRECT("YES_Reading_ELA[Instructional Reading Level - Per "&amp;(VLOOKUP($D$2,'Reading Report Logic'!$A$2:$B$8,2,FALSE)-1)&amp;"]"))), FALSE)),
IF($J$2="FLA",
IF(VLOOKUP($A776, YES_Reading_FLA[], COLUMN(IF(VLOOKUP($D$2,'Reading Report Logic'!$A$2:$B$8,2,FALSE)=1, YES_Reading_FLA[Reading Level June of Previous School Year],INDIRECT("YES_Reading_FLA[Instructional Reading Level - Per "&amp;(VLOOKUP($D$2,'Reading Report Logic'!$A$2:$B$8,2,FALSE)-1)&amp;"]"))),FALSE)="","",
VLOOKUP($A776,YES_Reading_FLA[], COLUMN(IF(VLOOKUP($D$2,'Reading Report Logic'!$A$2:$B$8,2,FALSE)=1, YES_Reading_FLA[Reading Level June of Previous School Year],INDIRECT("YES_Reading_FLA[Instructional Reading Level - Per "&amp;(VLOOKUP($D$2,'Reading Report Logic'!$A$2:$B$8,2,FALSE)-1)&amp;"]"))),FALSE)),
IF($J$2="Combined",
IFERROR(
IF(VLOOKUP($A776, YES_Reading_ELA[], COLUMN(IF(VLOOKUP($D$2,'Reading Report Logic'!$A$2:$B$8,2,FALSE)=1, YES_Reading_ELA[Reading Level June of Previous School Year],INDIRECT("YES_Reading_ELA[Instructional Reading Level - Per "&amp;(VLOOKUP($D$2,'Reading Report Logic'!$A$2:$B$8,2,FALSE)-1)&amp;"]"))), FALSE)="", "",
VLOOKUP($A776,YES_Reading_ELA[],COLUMN(IF(VLOOKUP($D$2,'Reading Report Logic'!$A$2:$B$8,2,FALSE)=1, YES_Reading_ELA[Reading Level June of Previous School Year],INDIRECT("YES_Reading_ELA[Instructional Reading Level - Per "&amp;(VLOOKUP($D$2,'Reading Report Logic'!$A$2:$B$8,2,FALSE)-1)&amp;"]"))),FALSE)),
IF(VLOOKUP($A776, YES_Reading_FLA[], COLUMN(IF(VLOOKUP($D$2,'Reading Report Logic'!$A$2:$B$8,2,FALSE)=1, YES_Reading_FLA[Reading Level June of Previous School Year],INDIRECT("YES_Reading_FLA[Instructional Reading Level - Per "&amp;(VLOOKUP($D$2,'Reading Report Logic'!$A$2:$B$8,2,FALSE)-1)&amp;"]"))),FALSE)="", "", VLOOKUP($A776,YES_Reading_FLA[],COLUMN(IF(VLOOKUP($D$2,'Reading Report Logic'!$A$2:$B$8,2,FALSE)=1, YES_Reading_FLA[Reading Level June of Previous School Year],INDIRECT("YES_Reading_FLA[Instructional Reading Level - Per "&amp;(VLOOKUP($D$2,'Reading Report Logic'!$A$2:$B$8,2,FALSE)-1)&amp;"]"))), FALSE))),""))),"")</f>
        <v/>
      </c>
      <c r="D776" s="204" t="str" cm="1">
        <f t="array" aca="1" ref="D776" ca="1">IFERROR(
IF($J$2="ELA",
IF(VLOOKUP($A776, YES_Reading_ELA[], COLUMN(INDIRECT("YES_Reading_ELA[Instructional Reading Level - Per "&amp;VLOOKUP($D$2, 'Reading Report Logic'!$A$2:$B$8, 2, FALSE)&amp;"]")), FALSE)="", "",
VLOOKUP($A776,YES_Reading_ELA[], COLUMN(INDIRECT("YES_Reading_ELA[Instructional Reading Level - Per "&amp;VLOOKUP($D$2,'Reading Report Logic'!$A$2:$B$8,2,FALSE)&amp;"]")), FALSE)),
IF($J$2="FLA",
IF(VLOOKUP($A776, YES_Reading_FLA[], COLUMN(INDIRECT("YES_Reading_FLA[Instructional Reading Level - Per "&amp;VLOOKUP($D$2,'Reading Report Logic'!$A$2:$B$8,2,FALSE)&amp;"]")),FALSE)="","",
VLOOKUP($A776,YES_Reading_FLA[],COLUMN(INDIRECT("YES_Reading_FLA[Instructional Reading Level - Per "&amp;VLOOKUP($D$2,'Reading Report Logic'!$A$2:$B$8,2,FALSE)&amp;"]")),FALSE)),
IF($J$2="Combined",
IFERROR(
IF(VLOOKUP($A776, YES_Reading_ELA[], COLUMN(INDIRECT("YES_Reading_ELA[Instructional Reading Level - Per "&amp;VLOOKUP($D$2, 'Reading Report Logic'!$A$2:$B$8,2,FALSE)&amp;"]")), FALSE)="", "",
VLOOKUP($A776,YES_Reading_ELA[],COLUMN(INDIRECT("YES_Reading_ELA[Instructional Reading Level - Per "&amp;VLOOKUP($D$2,'Reading Report Logic'!$A$2:$B$8,2,FALSE)&amp;"]")),FALSE)),
IF(VLOOKUP($A776, YES_Reading_FLA[], COLUMN(INDIRECT("YES_Reading_FLA[Instructional Reading Level - Per "&amp;VLOOKUP($D$2, 'Reading Report Logic'!$A$2:$B$8, 2, FALSE)&amp;"]")),FALSE)="", "", VLOOKUP($A776,YES_Reading_FLA[],COLUMN(INDIRECT("YES_Reading_FLA[Instructional Reading Level - Per "&amp;VLOOKUP($D$2, 'Reading Report Logic'!$A$2:$B$8, 2, FALSE)&amp;"]")),FALSE))),""))),"")</f>
        <v/>
      </c>
      <c r="E776" s="205" t="str" cm="1">
        <f t="array" aca="1" ref="E776" ca="1">IFERROR(
IF($J$2="ELA",
IF(VLOOKUP($A776, YES_Reading_ELA[], COLUMN(INDIRECT("YES_Reading_ELA[Min Expectation - Per "&amp;VLOOKUP($D$2, 'Reading Report Logic'!$A$2:$B$8, 2, FALSE)&amp;"]")), FALSE)="", "",
VLOOKUP($A776,YES_Reading_ELA[], COLUMN(INDIRECT("YES_Reading_ELA[Min Expectation - Per "&amp;VLOOKUP($D$2,'Reading Report Logic'!$A$2:$B$8,2,FALSE)&amp;"]")), FALSE)),
IF($J$2="FLA",
IF(VLOOKUP($A776, YES_Reading_FLA[], COLUMN(INDIRECT("YES_Reading_FLA[Min Expectation - Per "&amp;VLOOKUP($D$2,'Reading Report Logic'!$A$2:$B$8,2,FALSE)&amp;"]")),FALSE)="","",
VLOOKUP($A776,YES_Reading_FLA[],COLUMN(INDIRECT("YES_Reading_FLA[Min Expectation - Per "&amp;VLOOKUP($D$2,'Reading Report Logic'!$A$2:$B$8,2,FALSE)&amp;"]")),FALSE)),
IF($J$2="Combined",
IFERROR(
IF(VLOOKUP($A776, YES_Reading_ELA[], COLUMN(INDIRECT("YES_Reading_ELA[Min Expectation - Per "&amp;VLOOKUP($D$2, 'Reading Report Logic'!$A$2:$B$8,2,FALSE)&amp;"]")), FALSE)="", "",
VLOOKUP($A776,YES_Reading_ELA[],COLUMN(INDIRECT("YES_Reading_ELA[Min Expectation - Per "&amp;VLOOKUP($D$2,'Reading Report Logic'!$A$2:$B$8,2,FALSE)&amp;"]")),FALSE)),
IF(VLOOKUP($A776, YES_Reading_FLA[], COLUMN(INDIRECT("YES_Reading_FLA[Min Expectation - Per "&amp;VLOOKUP($D$2, 'Reading Report Logic'!$A$2:$B$8, 2, FALSE)&amp;"]")),FALSE)="", "", VLOOKUP($A776,YES_Reading_FLA[],COLUMN(INDIRECT("YES_Reading_FLA[Min Expectation - Per "&amp;VLOOKUP($D$2, 'Reading Report Logic'!$A$2:$B$8, 2, FALSE)&amp;"]")),FALSE))),""))),"")</f>
        <v/>
      </c>
      <c r="F776" s="205" t="str" cm="1">
        <f t="array" aca="1" ref="F776" ca="1">IFERROR(
IF($J$2="ELA",
IF(VLOOKUP($A776, YES_Reading_ELA[], COLUMN(INDIRECT("YES_Reading_ELA[Max Expectation - Per "&amp;VLOOKUP($D$2, 'Reading Report Logic'!$A$2:$B$8, 2, FALSE)&amp;"]")), FALSE)="", "",
VLOOKUP($A776,YES_Reading_ELA[], COLUMN(INDIRECT("YES_Reading_ELA[Max Expectation - Per "&amp;VLOOKUP($D$2,'Reading Report Logic'!$A$2:$B$8,2,FALSE)&amp;"]")), FALSE)),
IF($J$2="FLA",
IF(VLOOKUP($A776, YES_Reading_FLA[], COLUMN(INDIRECT("YES_Reading_FLA[Max Expectation - Per "&amp;VLOOKUP($D$2,'Reading Report Logic'!$A$2:$B$8,2,FALSE)&amp;"]")),FALSE)="","",
VLOOKUP($A776,YES_Reading_FLA[],COLUMN(INDIRECT("YES_Reading_FLA[Max Expectation - Per "&amp;VLOOKUP($D$2,'Reading Report Logic'!$A$2:$B$8,2,FALSE)&amp;"]")),FALSE)),
IF($J$2="Combined",
IFERROR(
IF(VLOOKUP($A776, YES_Reading_ELA[], COLUMN(INDIRECT("YES_Reading_ELA[Max Expectation - Per "&amp;VLOOKUP($D$2, 'Reading Report Logic'!$A$2:$B$8,2,FALSE)&amp;"]")), FALSE)="", "",
VLOOKUP($A776,YES_Reading_ELA[],COLUMN(INDIRECT("YES_Reading_ELA[Max Expectation - Per "&amp;VLOOKUP($D$2,'Reading Report Logic'!$A$2:$B$8,2,FALSE)&amp;"]")),FALSE)),
IF(VLOOKUP($A776, YES_Reading_FLA[], COLUMN(INDIRECT("YES_Reading_FLA[Max Expectation - Per "&amp;VLOOKUP($D$2, 'Reading Report Logic'!$A$2:$B$8, 2, FALSE)&amp;"]")),FALSE)="", "", VLOOKUP($A776,YES_Reading_FLA[],COLUMN(INDIRECT("YES_Reading_FLA[Max Expectation - Per "&amp;VLOOKUP($D$2, 'Reading Report Logic'!$A$2:$B$8, 2, FALSE)&amp;"]")),FALSE))),""))),"")</f>
        <v/>
      </c>
      <c r="G776" s="205" t="str" cm="1">
        <f t="array" aca="1" ref="G776" ca="1">IFERROR(
IF($J$2="ELA",
IF(VLOOKUP($A776, YES_Reading_ELA[], COLUMN(INDIRECT("YES_Reading_ELA[Difference - Per "&amp;VLOOKUP($D$2, 'Reading Report Logic'!$A$2:$B$8, 2, FALSE)&amp;"]")), FALSE)="", "",
VLOOKUP($A776,YES_Reading_ELA[], COLUMN(INDIRECT("YES_Reading_ELA[Difference - Per "&amp;VLOOKUP($D$2,'Reading Report Logic'!$A$2:$B$8,2,FALSE)&amp;"]")), FALSE)),
IF($J$2="FLA",
IF(VLOOKUP($A776, YES_Reading_FLA[], COLUMN(INDIRECT("YES_Reading_FLA[Difference - Per "&amp;VLOOKUP($D$2,'Reading Report Logic'!$A$2:$B$8,2,FALSE)&amp;"]")),FALSE)="","",
VLOOKUP($A776,YES_Reading_FLA[],COLUMN(INDIRECT("YES_Reading_FLA[Difference - Per "&amp;VLOOKUP($D$2,'Reading Report Logic'!$A$2:$B$8,2,FALSE)&amp;"]")),FALSE)),
IF($J$2="Combined",
IFERROR(
IF(VLOOKUP($A776, YES_Reading_ELA[], COLUMN(INDIRECT("YES_Reading_ELA[Difference - Per "&amp;VLOOKUP($D$2, 'Reading Report Logic'!$A$2:$B$8,2,FALSE)&amp;"]")), FALSE)="", "",
VLOOKUP($A776,YES_Reading_ELA[],COLUMN(INDIRECT("YES_Reading_ELA[Difference - Per "&amp;VLOOKUP($D$2,'Reading Report Logic'!$A$2:$B$8,2,FALSE)&amp;"]")),FALSE)),
IF(VLOOKUP($A776, YES_Reading_FLA[], COLUMN(INDIRECT("YES_Reading_FLA[Difference - Per "&amp;VLOOKUP($D$2, 'Reading Report Logic'!$A$2:$B$8, 2, FALSE)&amp;"]")),FALSE)="", "", VLOOKUP($A776,YES_Reading_FLA[],COLUMN(INDIRECT("YES_Reading_FLA[Difference - Per "&amp;VLOOKUP($D$2, 'Reading Report Logic'!$A$2:$B$8, 2, FALSE)&amp;"]")),FALSE))),""))),"")</f>
        <v/>
      </c>
      <c r="H776" s="206" t="str">
        <f ca="1">IFERROR(VLOOKUP('Teacher Reading Pull Sheets'!$D776,_xlfn.VSTACK('ELA Reading Logic'!$A$22:$B$48,'FLA Reading Logic'!$A$22:$B$53),2,FALSE)-VLOOKUP('Teacher Reading Pull Sheets'!$C776,_xlfn.VSTACK('ELA Reading Logic'!$A$22:$B$48,'FLA Reading Logic'!$A$22:$B$53),2,FALSE),"")</f>
        <v/>
      </c>
      <c r="I776" s="212"/>
      <c r="J776" s="206"/>
      <c r="K776" s="197" t="str" cm="1">
        <f t="array" ref="K776">IFERROR(
IF($J$2="ELA",
IF(VLOOKUP($A776, YES_Reading_ELA[], COLUMN(YES_Reading_ELA[Self-Identified as African Descent]), FALSE)="", "",
VLOOKUP($A776,YES_Reading_ELA[], COLUMN(YES_Reading_ELA[Self-Identified as African Descent]), FALSE)),
IF($J$2="FLA",
IF(VLOOKUP($A776, YES_Reading_FLA[], COLUMN(YES_Reading_FLA[Self-Identified as African Descent]),FALSE)="","",
VLOOKUP($A776,YES_Reading_FLA[],COLUMN(YES_Reading_FLA[Self-Identified as African Descent]),FALSE)),
IF($J$2="Combined",
IFERROR(
IF(VLOOKUP($A776, YES_Reading_ELA[], COLUMN(YES_Reading_ELA[Self-Identified as African Descent]), FALSE)="", "",
VLOOKUP($A776,YES_Reading_ELA[],COLUMN(YES_Reading_ELA[Self-Identified as African Descent]),FALSE)),
IF(VLOOKUP($A776, YES_Reading_FLA[], COLUMN(YES_Reading_FLA[Self-Identified as African Descent]),FALSE)="", "", VLOOKUP($A776,YES_Reading_FLA[],COLUMN(YES_Reading_FLA[Self-Identified as African Descent]),FALSE))),""))),"")</f>
        <v/>
      </c>
      <c r="L776" s="73" t="str" cm="1">
        <f t="array" ref="L776">IFERROR(
IF($J$2="ELA",
IF(VLOOKUP($A776, YES_Reading_ELA[], COLUMN(YES_Reading_ELA[Self-Identified as Indigenous]), FALSE)="", "",
VLOOKUP($A776,YES_Reading_ELA[], COLUMN(YES_Reading_ELA[Self-Identified as Indigenous]), FALSE)),
IF($J$2="FLA",
IF(VLOOKUP($A776, YES_Reading_FLA[], COLUMN(YES_Reading_FLA[Self-Identified as Indigenous]),FALSE)="","",
VLOOKUP($A776,YES_Reading_FLA[],COLUMN(YES_Reading_FLA[Self-Identified as Indigenous]),FALSE)),
IF($J$2="Combined",
IFERROR(
IF(VLOOKUP($A776, YES_Reading_ELA[], COLUMN(YES_Reading_ELA[Self-Identified as Indigenous]), FALSE)="", "",
VLOOKUP($A776,YES_Reading_ELA[],COLUMN(YES_Reading_ELA[Self-Identified as Indigenous]),FALSE)),
IF(VLOOKUP($A776, YES_Reading_FLA[], COLUMN(YES_Reading_FLA[Self-Identified as Indigenous]),FALSE)="", "", VLOOKUP($A776,YES_Reading_FLA[],COLUMN(YES_Reading_FLA[Self-Identified as Indigenous]),FALSE))),""))),"")</f>
        <v/>
      </c>
    </row>
    <row r="777" spans="1:12" ht="19.5" customHeight="1" x14ac:dyDescent="0.25">
      <c r="A777" s="217">
        <v>0</v>
      </c>
      <c r="B777" s="220" t="str">
        <f>IFERROR(VLOOKUP(A777,_xlfn.VSTACK(YES_Reading_ELA[],YES_Reading_FLA[]),2,FALSE),"")</f>
        <v/>
      </c>
      <c r="C777" s="203" t="str" cm="1">
        <f t="array" aca="1" ref="C777" ca="1">IFERROR(
IF($J$2="ELA",
IF(VLOOKUP($A777, YES_Reading_ELA[], COLUMN(IF(VLOOKUP($D$2, 'Reading Report Logic'!$A$2:$B$8, 2, FALSE)=1, YES_Reading_ELA[Reading Level June of Previous School Year], INDIRECT("YES_Reading_ELA[Instructional Reading Level - Per "&amp;(VLOOKUP($D$2,'Reading Report Logic'!$A$2:$B$8,2,FALSE)-1)&amp;"]"))), FALSE)="", "",
VLOOKUP($A777,YES_Reading_ELA[], COLUMN(IF(VLOOKUP($D$2,'Reading Report Logic'!$A$2:$B$8,2,FALSE)=1, YES_Reading_ELA[Reading Level June of Previous School Year],INDIRECT("YES_Reading_ELA[Instructional Reading Level - Per "&amp;(VLOOKUP($D$2,'Reading Report Logic'!$A$2:$B$8,2,FALSE)-1)&amp;"]"))), FALSE)),
IF($J$2="FLA",
IF(VLOOKUP($A777, YES_Reading_FLA[], COLUMN(IF(VLOOKUP($D$2,'Reading Report Logic'!$A$2:$B$8,2,FALSE)=1, YES_Reading_FLA[Reading Level June of Previous School Year],INDIRECT("YES_Reading_FLA[Instructional Reading Level - Per "&amp;(VLOOKUP($D$2,'Reading Report Logic'!$A$2:$B$8,2,FALSE)-1)&amp;"]"))),FALSE)="","",
VLOOKUP($A777,YES_Reading_FLA[], COLUMN(IF(VLOOKUP($D$2,'Reading Report Logic'!$A$2:$B$8,2,FALSE)=1, YES_Reading_FLA[Reading Level June of Previous School Year],INDIRECT("YES_Reading_FLA[Instructional Reading Level - Per "&amp;(VLOOKUP($D$2,'Reading Report Logic'!$A$2:$B$8,2,FALSE)-1)&amp;"]"))),FALSE)),
IF($J$2="Combined",
IFERROR(
IF(VLOOKUP($A777, YES_Reading_ELA[], COLUMN(IF(VLOOKUP($D$2,'Reading Report Logic'!$A$2:$B$8,2,FALSE)=1, YES_Reading_ELA[Reading Level June of Previous School Year],INDIRECT("YES_Reading_ELA[Instructional Reading Level - Per "&amp;(VLOOKUP($D$2,'Reading Report Logic'!$A$2:$B$8,2,FALSE)-1)&amp;"]"))), FALSE)="", "",
VLOOKUP($A777,YES_Reading_ELA[],COLUMN(IF(VLOOKUP($D$2,'Reading Report Logic'!$A$2:$B$8,2,FALSE)=1, YES_Reading_ELA[Reading Level June of Previous School Year],INDIRECT("YES_Reading_ELA[Instructional Reading Level - Per "&amp;(VLOOKUP($D$2,'Reading Report Logic'!$A$2:$B$8,2,FALSE)-1)&amp;"]"))),FALSE)),
IF(VLOOKUP($A777, YES_Reading_FLA[], COLUMN(IF(VLOOKUP($D$2,'Reading Report Logic'!$A$2:$B$8,2,FALSE)=1, YES_Reading_FLA[Reading Level June of Previous School Year],INDIRECT("YES_Reading_FLA[Instructional Reading Level - Per "&amp;(VLOOKUP($D$2,'Reading Report Logic'!$A$2:$B$8,2,FALSE)-1)&amp;"]"))),FALSE)="", "", VLOOKUP($A777,YES_Reading_FLA[],COLUMN(IF(VLOOKUP($D$2,'Reading Report Logic'!$A$2:$B$8,2,FALSE)=1, YES_Reading_FLA[Reading Level June of Previous School Year],INDIRECT("YES_Reading_FLA[Instructional Reading Level - Per "&amp;(VLOOKUP($D$2,'Reading Report Logic'!$A$2:$B$8,2,FALSE)-1)&amp;"]"))), FALSE))),""))),"")</f>
        <v/>
      </c>
      <c r="D777" s="204" t="str" cm="1">
        <f t="array" aca="1" ref="D777" ca="1">IFERROR(
IF($J$2="ELA",
IF(VLOOKUP($A777, YES_Reading_ELA[], COLUMN(INDIRECT("YES_Reading_ELA[Instructional Reading Level - Per "&amp;VLOOKUP($D$2, 'Reading Report Logic'!$A$2:$B$8, 2, FALSE)&amp;"]")), FALSE)="", "",
VLOOKUP($A777,YES_Reading_ELA[], COLUMN(INDIRECT("YES_Reading_ELA[Instructional Reading Level - Per "&amp;VLOOKUP($D$2,'Reading Report Logic'!$A$2:$B$8,2,FALSE)&amp;"]")), FALSE)),
IF($J$2="FLA",
IF(VLOOKUP($A777, YES_Reading_FLA[], COLUMN(INDIRECT("YES_Reading_FLA[Instructional Reading Level - Per "&amp;VLOOKUP($D$2,'Reading Report Logic'!$A$2:$B$8,2,FALSE)&amp;"]")),FALSE)="","",
VLOOKUP($A777,YES_Reading_FLA[],COLUMN(INDIRECT("YES_Reading_FLA[Instructional Reading Level - Per "&amp;VLOOKUP($D$2,'Reading Report Logic'!$A$2:$B$8,2,FALSE)&amp;"]")),FALSE)),
IF($J$2="Combined",
IFERROR(
IF(VLOOKUP($A777, YES_Reading_ELA[], COLUMN(INDIRECT("YES_Reading_ELA[Instructional Reading Level - Per "&amp;VLOOKUP($D$2, 'Reading Report Logic'!$A$2:$B$8,2,FALSE)&amp;"]")), FALSE)="", "",
VLOOKUP($A777,YES_Reading_ELA[],COLUMN(INDIRECT("YES_Reading_ELA[Instructional Reading Level - Per "&amp;VLOOKUP($D$2,'Reading Report Logic'!$A$2:$B$8,2,FALSE)&amp;"]")),FALSE)),
IF(VLOOKUP($A777, YES_Reading_FLA[], COLUMN(INDIRECT("YES_Reading_FLA[Instructional Reading Level - Per "&amp;VLOOKUP($D$2, 'Reading Report Logic'!$A$2:$B$8, 2, FALSE)&amp;"]")),FALSE)="", "", VLOOKUP($A777,YES_Reading_FLA[],COLUMN(INDIRECT("YES_Reading_FLA[Instructional Reading Level - Per "&amp;VLOOKUP($D$2, 'Reading Report Logic'!$A$2:$B$8, 2, FALSE)&amp;"]")),FALSE))),""))),"")</f>
        <v/>
      </c>
      <c r="E777" s="205" t="str" cm="1">
        <f t="array" aca="1" ref="E777" ca="1">IFERROR(
IF($J$2="ELA",
IF(VLOOKUP($A777, YES_Reading_ELA[], COLUMN(INDIRECT("YES_Reading_ELA[Min Expectation - Per "&amp;VLOOKUP($D$2, 'Reading Report Logic'!$A$2:$B$8, 2, FALSE)&amp;"]")), FALSE)="", "",
VLOOKUP($A777,YES_Reading_ELA[], COLUMN(INDIRECT("YES_Reading_ELA[Min Expectation - Per "&amp;VLOOKUP($D$2,'Reading Report Logic'!$A$2:$B$8,2,FALSE)&amp;"]")), FALSE)),
IF($J$2="FLA",
IF(VLOOKUP($A777, YES_Reading_FLA[], COLUMN(INDIRECT("YES_Reading_FLA[Min Expectation - Per "&amp;VLOOKUP($D$2,'Reading Report Logic'!$A$2:$B$8,2,FALSE)&amp;"]")),FALSE)="","",
VLOOKUP($A777,YES_Reading_FLA[],COLUMN(INDIRECT("YES_Reading_FLA[Min Expectation - Per "&amp;VLOOKUP($D$2,'Reading Report Logic'!$A$2:$B$8,2,FALSE)&amp;"]")),FALSE)),
IF($J$2="Combined",
IFERROR(
IF(VLOOKUP($A777, YES_Reading_ELA[], COLUMN(INDIRECT("YES_Reading_ELA[Min Expectation - Per "&amp;VLOOKUP($D$2, 'Reading Report Logic'!$A$2:$B$8,2,FALSE)&amp;"]")), FALSE)="", "",
VLOOKUP($A777,YES_Reading_ELA[],COLUMN(INDIRECT("YES_Reading_ELA[Min Expectation - Per "&amp;VLOOKUP($D$2,'Reading Report Logic'!$A$2:$B$8,2,FALSE)&amp;"]")),FALSE)),
IF(VLOOKUP($A777, YES_Reading_FLA[], COLUMN(INDIRECT("YES_Reading_FLA[Min Expectation - Per "&amp;VLOOKUP($D$2, 'Reading Report Logic'!$A$2:$B$8, 2, FALSE)&amp;"]")),FALSE)="", "", VLOOKUP($A777,YES_Reading_FLA[],COLUMN(INDIRECT("YES_Reading_FLA[Min Expectation - Per "&amp;VLOOKUP($D$2, 'Reading Report Logic'!$A$2:$B$8, 2, FALSE)&amp;"]")),FALSE))),""))),"")</f>
        <v/>
      </c>
      <c r="F777" s="205" t="str" cm="1">
        <f t="array" aca="1" ref="F777" ca="1">IFERROR(
IF($J$2="ELA",
IF(VLOOKUP($A777, YES_Reading_ELA[], COLUMN(INDIRECT("YES_Reading_ELA[Max Expectation - Per "&amp;VLOOKUP($D$2, 'Reading Report Logic'!$A$2:$B$8, 2, FALSE)&amp;"]")), FALSE)="", "",
VLOOKUP($A777,YES_Reading_ELA[], COLUMN(INDIRECT("YES_Reading_ELA[Max Expectation - Per "&amp;VLOOKUP($D$2,'Reading Report Logic'!$A$2:$B$8,2,FALSE)&amp;"]")), FALSE)),
IF($J$2="FLA",
IF(VLOOKUP($A777, YES_Reading_FLA[], COLUMN(INDIRECT("YES_Reading_FLA[Max Expectation - Per "&amp;VLOOKUP($D$2,'Reading Report Logic'!$A$2:$B$8,2,FALSE)&amp;"]")),FALSE)="","",
VLOOKUP($A777,YES_Reading_FLA[],COLUMN(INDIRECT("YES_Reading_FLA[Max Expectation - Per "&amp;VLOOKUP($D$2,'Reading Report Logic'!$A$2:$B$8,2,FALSE)&amp;"]")),FALSE)),
IF($J$2="Combined",
IFERROR(
IF(VLOOKUP($A777, YES_Reading_ELA[], COLUMN(INDIRECT("YES_Reading_ELA[Max Expectation - Per "&amp;VLOOKUP($D$2, 'Reading Report Logic'!$A$2:$B$8,2,FALSE)&amp;"]")), FALSE)="", "",
VLOOKUP($A777,YES_Reading_ELA[],COLUMN(INDIRECT("YES_Reading_ELA[Max Expectation - Per "&amp;VLOOKUP($D$2,'Reading Report Logic'!$A$2:$B$8,2,FALSE)&amp;"]")),FALSE)),
IF(VLOOKUP($A777, YES_Reading_FLA[], COLUMN(INDIRECT("YES_Reading_FLA[Max Expectation - Per "&amp;VLOOKUP($D$2, 'Reading Report Logic'!$A$2:$B$8, 2, FALSE)&amp;"]")),FALSE)="", "", VLOOKUP($A777,YES_Reading_FLA[],COLUMN(INDIRECT("YES_Reading_FLA[Max Expectation - Per "&amp;VLOOKUP($D$2, 'Reading Report Logic'!$A$2:$B$8, 2, FALSE)&amp;"]")),FALSE))),""))),"")</f>
        <v/>
      </c>
      <c r="G777" s="205" t="str" cm="1">
        <f t="array" aca="1" ref="G777" ca="1">IFERROR(
IF($J$2="ELA",
IF(VLOOKUP($A777, YES_Reading_ELA[], COLUMN(INDIRECT("YES_Reading_ELA[Difference - Per "&amp;VLOOKUP($D$2, 'Reading Report Logic'!$A$2:$B$8, 2, FALSE)&amp;"]")), FALSE)="", "",
VLOOKUP($A777,YES_Reading_ELA[], COLUMN(INDIRECT("YES_Reading_ELA[Difference - Per "&amp;VLOOKUP($D$2,'Reading Report Logic'!$A$2:$B$8,2,FALSE)&amp;"]")), FALSE)),
IF($J$2="FLA",
IF(VLOOKUP($A777, YES_Reading_FLA[], COLUMN(INDIRECT("YES_Reading_FLA[Difference - Per "&amp;VLOOKUP($D$2,'Reading Report Logic'!$A$2:$B$8,2,FALSE)&amp;"]")),FALSE)="","",
VLOOKUP($A777,YES_Reading_FLA[],COLUMN(INDIRECT("YES_Reading_FLA[Difference - Per "&amp;VLOOKUP($D$2,'Reading Report Logic'!$A$2:$B$8,2,FALSE)&amp;"]")),FALSE)),
IF($J$2="Combined",
IFERROR(
IF(VLOOKUP($A777, YES_Reading_ELA[], COLUMN(INDIRECT("YES_Reading_ELA[Difference - Per "&amp;VLOOKUP($D$2, 'Reading Report Logic'!$A$2:$B$8,2,FALSE)&amp;"]")), FALSE)="", "",
VLOOKUP($A777,YES_Reading_ELA[],COLUMN(INDIRECT("YES_Reading_ELA[Difference - Per "&amp;VLOOKUP($D$2,'Reading Report Logic'!$A$2:$B$8,2,FALSE)&amp;"]")),FALSE)),
IF(VLOOKUP($A777, YES_Reading_FLA[], COLUMN(INDIRECT("YES_Reading_FLA[Difference - Per "&amp;VLOOKUP($D$2, 'Reading Report Logic'!$A$2:$B$8, 2, FALSE)&amp;"]")),FALSE)="", "", VLOOKUP($A777,YES_Reading_FLA[],COLUMN(INDIRECT("YES_Reading_FLA[Difference - Per "&amp;VLOOKUP($D$2, 'Reading Report Logic'!$A$2:$B$8, 2, FALSE)&amp;"]")),FALSE))),""))),"")</f>
        <v/>
      </c>
      <c r="H777" s="206" t="str">
        <f ca="1">IFERROR(VLOOKUP('Teacher Reading Pull Sheets'!$D777,_xlfn.VSTACK('ELA Reading Logic'!$A$22:$B$48,'FLA Reading Logic'!$A$22:$B$53),2,FALSE)-VLOOKUP('Teacher Reading Pull Sheets'!$C777,_xlfn.VSTACK('ELA Reading Logic'!$A$22:$B$48,'FLA Reading Logic'!$A$22:$B$53),2,FALSE),"")</f>
        <v/>
      </c>
      <c r="I777" s="212"/>
      <c r="J777" s="206"/>
      <c r="K777" s="197" t="str" cm="1">
        <f t="array" ref="K777">IFERROR(
IF($J$2="ELA",
IF(VLOOKUP($A777, YES_Reading_ELA[], COLUMN(YES_Reading_ELA[Self-Identified as African Descent]), FALSE)="", "",
VLOOKUP($A777,YES_Reading_ELA[], COLUMN(YES_Reading_ELA[Self-Identified as African Descent]), FALSE)),
IF($J$2="FLA",
IF(VLOOKUP($A777, YES_Reading_FLA[], COLUMN(YES_Reading_FLA[Self-Identified as African Descent]),FALSE)="","",
VLOOKUP($A777,YES_Reading_FLA[],COLUMN(YES_Reading_FLA[Self-Identified as African Descent]),FALSE)),
IF($J$2="Combined",
IFERROR(
IF(VLOOKUP($A777, YES_Reading_ELA[], COLUMN(YES_Reading_ELA[Self-Identified as African Descent]), FALSE)="", "",
VLOOKUP($A777,YES_Reading_ELA[],COLUMN(YES_Reading_ELA[Self-Identified as African Descent]),FALSE)),
IF(VLOOKUP($A777, YES_Reading_FLA[], COLUMN(YES_Reading_FLA[Self-Identified as African Descent]),FALSE)="", "", VLOOKUP($A777,YES_Reading_FLA[],COLUMN(YES_Reading_FLA[Self-Identified as African Descent]),FALSE))),""))),"")</f>
        <v/>
      </c>
      <c r="L777" s="73" t="str" cm="1">
        <f t="array" ref="L777">IFERROR(
IF($J$2="ELA",
IF(VLOOKUP($A777, YES_Reading_ELA[], COLUMN(YES_Reading_ELA[Self-Identified as Indigenous]), FALSE)="", "",
VLOOKUP($A777,YES_Reading_ELA[], COLUMN(YES_Reading_ELA[Self-Identified as Indigenous]), FALSE)),
IF($J$2="FLA",
IF(VLOOKUP($A777, YES_Reading_FLA[], COLUMN(YES_Reading_FLA[Self-Identified as Indigenous]),FALSE)="","",
VLOOKUP($A777,YES_Reading_FLA[],COLUMN(YES_Reading_FLA[Self-Identified as Indigenous]),FALSE)),
IF($J$2="Combined",
IFERROR(
IF(VLOOKUP($A777, YES_Reading_ELA[], COLUMN(YES_Reading_ELA[Self-Identified as Indigenous]), FALSE)="", "",
VLOOKUP($A777,YES_Reading_ELA[],COLUMN(YES_Reading_ELA[Self-Identified as Indigenous]),FALSE)),
IF(VLOOKUP($A777, YES_Reading_FLA[], COLUMN(YES_Reading_FLA[Self-Identified as Indigenous]),FALSE)="", "", VLOOKUP($A777,YES_Reading_FLA[],COLUMN(YES_Reading_FLA[Self-Identified as Indigenous]),FALSE))),""))),"")</f>
        <v/>
      </c>
    </row>
    <row r="778" spans="1:12" ht="19.5" customHeight="1" x14ac:dyDescent="0.25">
      <c r="A778" s="217">
        <v>0</v>
      </c>
      <c r="B778" s="220" t="str">
        <f>IFERROR(VLOOKUP(A778,_xlfn.VSTACK(YES_Reading_ELA[],YES_Reading_FLA[]),2,FALSE),"")</f>
        <v/>
      </c>
      <c r="C778" s="203" t="str" cm="1">
        <f t="array" aca="1" ref="C778" ca="1">IFERROR(
IF($J$2="ELA",
IF(VLOOKUP($A778, YES_Reading_ELA[], COLUMN(IF(VLOOKUP($D$2, 'Reading Report Logic'!$A$2:$B$8, 2, FALSE)=1, YES_Reading_ELA[Reading Level June of Previous School Year], INDIRECT("YES_Reading_ELA[Instructional Reading Level - Per "&amp;(VLOOKUP($D$2,'Reading Report Logic'!$A$2:$B$8,2,FALSE)-1)&amp;"]"))), FALSE)="", "",
VLOOKUP($A778,YES_Reading_ELA[], COLUMN(IF(VLOOKUP($D$2,'Reading Report Logic'!$A$2:$B$8,2,FALSE)=1, YES_Reading_ELA[Reading Level June of Previous School Year],INDIRECT("YES_Reading_ELA[Instructional Reading Level - Per "&amp;(VLOOKUP($D$2,'Reading Report Logic'!$A$2:$B$8,2,FALSE)-1)&amp;"]"))), FALSE)),
IF($J$2="FLA",
IF(VLOOKUP($A778, YES_Reading_FLA[], COLUMN(IF(VLOOKUP($D$2,'Reading Report Logic'!$A$2:$B$8,2,FALSE)=1, YES_Reading_FLA[Reading Level June of Previous School Year],INDIRECT("YES_Reading_FLA[Instructional Reading Level - Per "&amp;(VLOOKUP($D$2,'Reading Report Logic'!$A$2:$B$8,2,FALSE)-1)&amp;"]"))),FALSE)="","",
VLOOKUP($A778,YES_Reading_FLA[], COLUMN(IF(VLOOKUP($D$2,'Reading Report Logic'!$A$2:$B$8,2,FALSE)=1, YES_Reading_FLA[Reading Level June of Previous School Year],INDIRECT("YES_Reading_FLA[Instructional Reading Level - Per "&amp;(VLOOKUP($D$2,'Reading Report Logic'!$A$2:$B$8,2,FALSE)-1)&amp;"]"))),FALSE)),
IF($J$2="Combined",
IFERROR(
IF(VLOOKUP($A778, YES_Reading_ELA[], COLUMN(IF(VLOOKUP($D$2,'Reading Report Logic'!$A$2:$B$8,2,FALSE)=1, YES_Reading_ELA[Reading Level June of Previous School Year],INDIRECT("YES_Reading_ELA[Instructional Reading Level - Per "&amp;(VLOOKUP($D$2,'Reading Report Logic'!$A$2:$B$8,2,FALSE)-1)&amp;"]"))), FALSE)="", "",
VLOOKUP($A778,YES_Reading_ELA[],COLUMN(IF(VLOOKUP($D$2,'Reading Report Logic'!$A$2:$B$8,2,FALSE)=1, YES_Reading_ELA[Reading Level June of Previous School Year],INDIRECT("YES_Reading_ELA[Instructional Reading Level - Per "&amp;(VLOOKUP($D$2,'Reading Report Logic'!$A$2:$B$8,2,FALSE)-1)&amp;"]"))),FALSE)),
IF(VLOOKUP($A778, YES_Reading_FLA[], COLUMN(IF(VLOOKUP($D$2,'Reading Report Logic'!$A$2:$B$8,2,FALSE)=1, YES_Reading_FLA[Reading Level June of Previous School Year],INDIRECT("YES_Reading_FLA[Instructional Reading Level - Per "&amp;(VLOOKUP($D$2,'Reading Report Logic'!$A$2:$B$8,2,FALSE)-1)&amp;"]"))),FALSE)="", "", VLOOKUP($A778,YES_Reading_FLA[],COLUMN(IF(VLOOKUP($D$2,'Reading Report Logic'!$A$2:$B$8,2,FALSE)=1, YES_Reading_FLA[Reading Level June of Previous School Year],INDIRECT("YES_Reading_FLA[Instructional Reading Level - Per "&amp;(VLOOKUP($D$2,'Reading Report Logic'!$A$2:$B$8,2,FALSE)-1)&amp;"]"))), FALSE))),""))),"")</f>
        <v/>
      </c>
      <c r="D778" s="204" t="str" cm="1">
        <f t="array" aca="1" ref="D778" ca="1">IFERROR(
IF($J$2="ELA",
IF(VLOOKUP($A778, YES_Reading_ELA[], COLUMN(INDIRECT("YES_Reading_ELA[Instructional Reading Level - Per "&amp;VLOOKUP($D$2, 'Reading Report Logic'!$A$2:$B$8, 2, FALSE)&amp;"]")), FALSE)="", "",
VLOOKUP($A778,YES_Reading_ELA[], COLUMN(INDIRECT("YES_Reading_ELA[Instructional Reading Level - Per "&amp;VLOOKUP($D$2,'Reading Report Logic'!$A$2:$B$8,2,FALSE)&amp;"]")), FALSE)),
IF($J$2="FLA",
IF(VLOOKUP($A778, YES_Reading_FLA[], COLUMN(INDIRECT("YES_Reading_FLA[Instructional Reading Level - Per "&amp;VLOOKUP($D$2,'Reading Report Logic'!$A$2:$B$8,2,FALSE)&amp;"]")),FALSE)="","",
VLOOKUP($A778,YES_Reading_FLA[],COLUMN(INDIRECT("YES_Reading_FLA[Instructional Reading Level - Per "&amp;VLOOKUP($D$2,'Reading Report Logic'!$A$2:$B$8,2,FALSE)&amp;"]")),FALSE)),
IF($J$2="Combined",
IFERROR(
IF(VLOOKUP($A778, YES_Reading_ELA[], COLUMN(INDIRECT("YES_Reading_ELA[Instructional Reading Level - Per "&amp;VLOOKUP($D$2, 'Reading Report Logic'!$A$2:$B$8,2,FALSE)&amp;"]")), FALSE)="", "",
VLOOKUP($A778,YES_Reading_ELA[],COLUMN(INDIRECT("YES_Reading_ELA[Instructional Reading Level - Per "&amp;VLOOKUP($D$2,'Reading Report Logic'!$A$2:$B$8,2,FALSE)&amp;"]")),FALSE)),
IF(VLOOKUP($A778, YES_Reading_FLA[], COLUMN(INDIRECT("YES_Reading_FLA[Instructional Reading Level - Per "&amp;VLOOKUP($D$2, 'Reading Report Logic'!$A$2:$B$8, 2, FALSE)&amp;"]")),FALSE)="", "", VLOOKUP($A778,YES_Reading_FLA[],COLUMN(INDIRECT("YES_Reading_FLA[Instructional Reading Level - Per "&amp;VLOOKUP($D$2, 'Reading Report Logic'!$A$2:$B$8, 2, FALSE)&amp;"]")),FALSE))),""))),"")</f>
        <v/>
      </c>
      <c r="E778" s="205" t="str" cm="1">
        <f t="array" aca="1" ref="E778" ca="1">IFERROR(
IF($J$2="ELA",
IF(VLOOKUP($A778, YES_Reading_ELA[], COLUMN(INDIRECT("YES_Reading_ELA[Min Expectation - Per "&amp;VLOOKUP($D$2, 'Reading Report Logic'!$A$2:$B$8, 2, FALSE)&amp;"]")), FALSE)="", "",
VLOOKUP($A778,YES_Reading_ELA[], COLUMN(INDIRECT("YES_Reading_ELA[Min Expectation - Per "&amp;VLOOKUP($D$2,'Reading Report Logic'!$A$2:$B$8,2,FALSE)&amp;"]")), FALSE)),
IF($J$2="FLA",
IF(VLOOKUP($A778, YES_Reading_FLA[], COLUMN(INDIRECT("YES_Reading_FLA[Min Expectation - Per "&amp;VLOOKUP($D$2,'Reading Report Logic'!$A$2:$B$8,2,FALSE)&amp;"]")),FALSE)="","",
VLOOKUP($A778,YES_Reading_FLA[],COLUMN(INDIRECT("YES_Reading_FLA[Min Expectation - Per "&amp;VLOOKUP($D$2,'Reading Report Logic'!$A$2:$B$8,2,FALSE)&amp;"]")),FALSE)),
IF($J$2="Combined",
IFERROR(
IF(VLOOKUP($A778, YES_Reading_ELA[], COLUMN(INDIRECT("YES_Reading_ELA[Min Expectation - Per "&amp;VLOOKUP($D$2, 'Reading Report Logic'!$A$2:$B$8,2,FALSE)&amp;"]")), FALSE)="", "",
VLOOKUP($A778,YES_Reading_ELA[],COLUMN(INDIRECT("YES_Reading_ELA[Min Expectation - Per "&amp;VLOOKUP($D$2,'Reading Report Logic'!$A$2:$B$8,2,FALSE)&amp;"]")),FALSE)),
IF(VLOOKUP($A778, YES_Reading_FLA[], COLUMN(INDIRECT("YES_Reading_FLA[Min Expectation - Per "&amp;VLOOKUP($D$2, 'Reading Report Logic'!$A$2:$B$8, 2, FALSE)&amp;"]")),FALSE)="", "", VLOOKUP($A778,YES_Reading_FLA[],COLUMN(INDIRECT("YES_Reading_FLA[Min Expectation - Per "&amp;VLOOKUP($D$2, 'Reading Report Logic'!$A$2:$B$8, 2, FALSE)&amp;"]")),FALSE))),""))),"")</f>
        <v/>
      </c>
      <c r="F778" s="205" t="str" cm="1">
        <f t="array" aca="1" ref="F778" ca="1">IFERROR(
IF($J$2="ELA",
IF(VLOOKUP($A778, YES_Reading_ELA[], COLUMN(INDIRECT("YES_Reading_ELA[Max Expectation - Per "&amp;VLOOKUP($D$2, 'Reading Report Logic'!$A$2:$B$8, 2, FALSE)&amp;"]")), FALSE)="", "",
VLOOKUP($A778,YES_Reading_ELA[], COLUMN(INDIRECT("YES_Reading_ELA[Max Expectation - Per "&amp;VLOOKUP($D$2,'Reading Report Logic'!$A$2:$B$8,2,FALSE)&amp;"]")), FALSE)),
IF($J$2="FLA",
IF(VLOOKUP($A778, YES_Reading_FLA[], COLUMN(INDIRECT("YES_Reading_FLA[Max Expectation - Per "&amp;VLOOKUP($D$2,'Reading Report Logic'!$A$2:$B$8,2,FALSE)&amp;"]")),FALSE)="","",
VLOOKUP($A778,YES_Reading_FLA[],COLUMN(INDIRECT("YES_Reading_FLA[Max Expectation - Per "&amp;VLOOKUP($D$2,'Reading Report Logic'!$A$2:$B$8,2,FALSE)&amp;"]")),FALSE)),
IF($J$2="Combined",
IFERROR(
IF(VLOOKUP($A778, YES_Reading_ELA[], COLUMN(INDIRECT("YES_Reading_ELA[Max Expectation - Per "&amp;VLOOKUP($D$2, 'Reading Report Logic'!$A$2:$B$8,2,FALSE)&amp;"]")), FALSE)="", "",
VLOOKUP($A778,YES_Reading_ELA[],COLUMN(INDIRECT("YES_Reading_ELA[Max Expectation - Per "&amp;VLOOKUP($D$2,'Reading Report Logic'!$A$2:$B$8,2,FALSE)&amp;"]")),FALSE)),
IF(VLOOKUP($A778, YES_Reading_FLA[], COLUMN(INDIRECT("YES_Reading_FLA[Max Expectation - Per "&amp;VLOOKUP($D$2, 'Reading Report Logic'!$A$2:$B$8, 2, FALSE)&amp;"]")),FALSE)="", "", VLOOKUP($A778,YES_Reading_FLA[],COLUMN(INDIRECT("YES_Reading_FLA[Max Expectation - Per "&amp;VLOOKUP($D$2, 'Reading Report Logic'!$A$2:$B$8, 2, FALSE)&amp;"]")),FALSE))),""))),"")</f>
        <v/>
      </c>
      <c r="G778" s="205" t="str" cm="1">
        <f t="array" aca="1" ref="G778" ca="1">IFERROR(
IF($J$2="ELA",
IF(VLOOKUP($A778, YES_Reading_ELA[], COLUMN(INDIRECT("YES_Reading_ELA[Difference - Per "&amp;VLOOKUP($D$2, 'Reading Report Logic'!$A$2:$B$8, 2, FALSE)&amp;"]")), FALSE)="", "",
VLOOKUP($A778,YES_Reading_ELA[], COLUMN(INDIRECT("YES_Reading_ELA[Difference - Per "&amp;VLOOKUP($D$2,'Reading Report Logic'!$A$2:$B$8,2,FALSE)&amp;"]")), FALSE)),
IF($J$2="FLA",
IF(VLOOKUP($A778, YES_Reading_FLA[], COLUMN(INDIRECT("YES_Reading_FLA[Difference - Per "&amp;VLOOKUP($D$2,'Reading Report Logic'!$A$2:$B$8,2,FALSE)&amp;"]")),FALSE)="","",
VLOOKUP($A778,YES_Reading_FLA[],COLUMN(INDIRECT("YES_Reading_FLA[Difference - Per "&amp;VLOOKUP($D$2,'Reading Report Logic'!$A$2:$B$8,2,FALSE)&amp;"]")),FALSE)),
IF($J$2="Combined",
IFERROR(
IF(VLOOKUP($A778, YES_Reading_ELA[], COLUMN(INDIRECT("YES_Reading_ELA[Difference - Per "&amp;VLOOKUP($D$2, 'Reading Report Logic'!$A$2:$B$8,2,FALSE)&amp;"]")), FALSE)="", "",
VLOOKUP($A778,YES_Reading_ELA[],COLUMN(INDIRECT("YES_Reading_ELA[Difference - Per "&amp;VLOOKUP($D$2,'Reading Report Logic'!$A$2:$B$8,2,FALSE)&amp;"]")),FALSE)),
IF(VLOOKUP($A778, YES_Reading_FLA[], COLUMN(INDIRECT("YES_Reading_FLA[Difference - Per "&amp;VLOOKUP($D$2, 'Reading Report Logic'!$A$2:$B$8, 2, FALSE)&amp;"]")),FALSE)="", "", VLOOKUP($A778,YES_Reading_FLA[],COLUMN(INDIRECT("YES_Reading_FLA[Difference - Per "&amp;VLOOKUP($D$2, 'Reading Report Logic'!$A$2:$B$8, 2, FALSE)&amp;"]")),FALSE))),""))),"")</f>
        <v/>
      </c>
      <c r="H778" s="206" t="str">
        <f ca="1">IFERROR(VLOOKUP('Teacher Reading Pull Sheets'!$D778,_xlfn.VSTACK('ELA Reading Logic'!$A$22:$B$48,'FLA Reading Logic'!$A$22:$B$53),2,FALSE)-VLOOKUP('Teacher Reading Pull Sheets'!$C778,_xlfn.VSTACK('ELA Reading Logic'!$A$22:$B$48,'FLA Reading Logic'!$A$22:$B$53),2,FALSE),"")</f>
        <v/>
      </c>
      <c r="I778" s="212"/>
      <c r="J778" s="206"/>
      <c r="K778" s="197" t="str" cm="1">
        <f t="array" ref="K778">IFERROR(
IF($J$2="ELA",
IF(VLOOKUP($A778, YES_Reading_ELA[], COLUMN(YES_Reading_ELA[Self-Identified as African Descent]), FALSE)="", "",
VLOOKUP($A778,YES_Reading_ELA[], COLUMN(YES_Reading_ELA[Self-Identified as African Descent]), FALSE)),
IF($J$2="FLA",
IF(VLOOKUP($A778, YES_Reading_FLA[], COLUMN(YES_Reading_FLA[Self-Identified as African Descent]),FALSE)="","",
VLOOKUP($A778,YES_Reading_FLA[],COLUMN(YES_Reading_FLA[Self-Identified as African Descent]),FALSE)),
IF($J$2="Combined",
IFERROR(
IF(VLOOKUP($A778, YES_Reading_ELA[], COLUMN(YES_Reading_ELA[Self-Identified as African Descent]), FALSE)="", "",
VLOOKUP($A778,YES_Reading_ELA[],COLUMN(YES_Reading_ELA[Self-Identified as African Descent]),FALSE)),
IF(VLOOKUP($A778, YES_Reading_FLA[], COLUMN(YES_Reading_FLA[Self-Identified as African Descent]),FALSE)="", "", VLOOKUP($A778,YES_Reading_FLA[],COLUMN(YES_Reading_FLA[Self-Identified as African Descent]),FALSE))),""))),"")</f>
        <v/>
      </c>
      <c r="L778" s="73" t="str" cm="1">
        <f t="array" ref="L778">IFERROR(
IF($J$2="ELA",
IF(VLOOKUP($A778, YES_Reading_ELA[], COLUMN(YES_Reading_ELA[Self-Identified as Indigenous]), FALSE)="", "",
VLOOKUP($A778,YES_Reading_ELA[], COLUMN(YES_Reading_ELA[Self-Identified as Indigenous]), FALSE)),
IF($J$2="FLA",
IF(VLOOKUP($A778, YES_Reading_FLA[], COLUMN(YES_Reading_FLA[Self-Identified as Indigenous]),FALSE)="","",
VLOOKUP($A778,YES_Reading_FLA[],COLUMN(YES_Reading_FLA[Self-Identified as Indigenous]),FALSE)),
IF($J$2="Combined",
IFERROR(
IF(VLOOKUP($A778, YES_Reading_ELA[], COLUMN(YES_Reading_ELA[Self-Identified as Indigenous]), FALSE)="", "",
VLOOKUP($A778,YES_Reading_ELA[],COLUMN(YES_Reading_ELA[Self-Identified as Indigenous]),FALSE)),
IF(VLOOKUP($A778, YES_Reading_FLA[], COLUMN(YES_Reading_FLA[Self-Identified as Indigenous]),FALSE)="", "", VLOOKUP($A778,YES_Reading_FLA[],COLUMN(YES_Reading_FLA[Self-Identified as Indigenous]),FALSE))),""))),"")</f>
        <v/>
      </c>
    </row>
    <row r="779" spans="1:12" ht="19.5" customHeight="1" x14ac:dyDescent="0.25">
      <c r="A779" s="217">
        <v>0</v>
      </c>
      <c r="B779" s="220" t="str">
        <f>IFERROR(VLOOKUP(A779,_xlfn.VSTACK(YES_Reading_ELA[],YES_Reading_FLA[]),2,FALSE),"")</f>
        <v/>
      </c>
      <c r="C779" s="203" t="str" cm="1">
        <f t="array" aca="1" ref="C779" ca="1">IFERROR(
IF($J$2="ELA",
IF(VLOOKUP($A779, YES_Reading_ELA[], COLUMN(IF(VLOOKUP($D$2, 'Reading Report Logic'!$A$2:$B$8, 2, FALSE)=1, YES_Reading_ELA[Reading Level June of Previous School Year], INDIRECT("YES_Reading_ELA[Instructional Reading Level - Per "&amp;(VLOOKUP($D$2,'Reading Report Logic'!$A$2:$B$8,2,FALSE)-1)&amp;"]"))), FALSE)="", "",
VLOOKUP($A779,YES_Reading_ELA[], COLUMN(IF(VLOOKUP($D$2,'Reading Report Logic'!$A$2:$B$8,2,FALSE)=1, YES_Reading_ELA[Reading Level June of Previous School Year],INDIRECT("YES_Reading_ELA[Instructional Reading Level - Per "&amp;(VLOOKUP($D$2,'Reading Report Logic'!$A$2:$B$8,2,FALSE)-1)&amp;"]"))), FALSE)),
IF($J$2="FLA",
IF(VLOOKUP($A779, YES_Reading_FLA[], COLUMN(IF(VLOOKUP($D$2,'Reading Report Logic'!$A$2:$B$8,2,FALSE)=1, YES_Reading_FLA[Reading Level June of Previous School Year],INDIRECT("YES_Reading_FLA[Instructional Reading Level - Per "&amp;(VLOOKUP($D$2,'Reading Report Logic'!$A$2:$B$8,2,FALSE)-1)&amp;"]"))),FALSE)="","",
VLOOKUP($A779,YES_Reading_FLA[], COLUMN(IF(VLOOKUP($D$2,'Reading Report Logic'!$A$2:$B$8,2,FALSE)=1, YES_Reading_FLA[Reading Level June of Previous School Year],INDIRECT("YES_Reading_FLA[Instructional Reading Level - Per "&amp;(VLOOKUP($D$2,'Reading Report Logic'!$A$2:$B$8,2,FALSE)-1)&amp;"]"))),FALSE)),
IF($J$2="Combined",
IFERROR(
IF(VLOOKUP($A779, YES_Reading_ELA[], COLUMN(IF(VLOOKUP($D$2,'Reading Report Logic'!$A$2:$B$8,2,FALSE)=1, YES_Reading_ELA[Reading Level June of Previous School Year],INDIRECT("YES_Reading_ELA[Instructional Reading Level - Per "&amp;(VLOOKUP($D$2,'Reading Report Logic'!$A$2:$B$8,2,FALSE)-1)&amp;"]"))), FALSE)="", "",
VLOOKUP($A779,YES_Reading_ELA[],COLUMN(IF(VLOOKUP($D$2,'Reading Report Logic'!$A$2:$B$8,2,FALSE)=1, YES_Reading_ELA[Reading Level June of Previous School Year],INDIRECT("YES_Reading_ELA[Instructional Reading Level - Per "&amp;(VLOOKUP($D$2,'Reading Report Logic'!$A$2:$B$8,2,FALSE)-1)&amp;"]"))),FALSE)),
IF(VLOOKUP($A779, YES_Reading_FLA[], COLUMN(IF(VLOOKUP($D$2,'Reading Report Logic'!$A$2:$B$8,2,FALSE)=1, YES_Reading_FLA[Reading Level June of Previous School Year],INDIRECT("YES_Reading_FLA[Instructional Reading Level - Per "&amp;(VLOOKUP($D$2,'Reading Report Logic'!$A$2:$B$8,2,FALSE)-1)&amp;"]"))),FALSE)="", "", VLOOKUP($A779,YES_Reading_FLA[],COLUMN(IF(VLOOKUP($D$2,'Reading Report Logic'!$A$2:$B$8,2,FALSE)=1, YES_Reading_FLA[Reading Level June of Previous School Year],INDIRECT("YES_Reading_FLA[Instructional Reading Level - Per "&amp;(VLOOKUP($D$2,'Reading Report Logic'!$A$2:$B$8,2,FALSE)-1)&amp;"]"))), FALSE))),""))),"")</f>
        <v/>
      </c>
      <c r="D779" s="204" t="str" cm="1">
        <f t="array" aca="1" ref="D779" ca="1">IFERROR(
IF($J$2="ELA",
IF(VLOOKUP($A779, YES_Reading_ELA[], COLUMN(INDIRECT("YES_Reading_ELA[Instructional Reading Level - Per "&amp;VLOOKUP($D$2, 'Reading Report Logic'!$A$2:$B$8, 2, FALSE)&amp;"]")), FALSE)="", "",
VLOOKUP($A779,YES_Reading_ELA[], COLUMN(INDIRECT("YES_Reading_ELA[Instructional Reading Level - Per "&amp;VLOOKUP($D$2,'Reading Report Logic'!$A$2:$B$8,2,FALSE)&amp;"]")), FALSE)),
IF($J$2="FLA",
IF(VLOOKUP($A779, YES_Reading_FLA[], COLUMN(INDIRECT("YES_Reading_FLA[Instructional Reading Level - Per "&amp;VLOOKUP($D$2,'Reading Report Logic'!$A$2:$B$8,2,FALSE)&amp;"]")),FALSE)="","",
VLOOKUP($A779,YES_Reading_FLA[],COLUMN(INDIRECT("YES_Reading_FLA[Instructional Reading Level - Per "&amp;VLOOKUP($D$2,'Reading Report Logic'!$A$2:$B$8,2,FALSE)&amp;"]")),FALSE)),
IF($J$2="Combined",
IFERROR(
IF(VLOOKUP($A779, YES_Reading_ELA[], COLUMN(INDIRECT("YES_Reading_ELA[Instructional Reading Level - Per "&amp;VLOOKUP($D$2, 'Reading Report Logic'!$A$2:$B$8,2,FALSE)&amp;"]")), FALSE)="", "",
VLOOKUP($A779,YES_Reading_ELA[],COLUMN(INDIRECT("YES_Reading_ELA[Instructional Reading Level - Per "&amp;VLOOKUP($D$2,'Reading Report Logic'!$A$2:$B$8,2,FALSE)&amp;"]")),FALSE)),
IF(VLOOKUP($A779, YES_Reading_FLA[], COLUMN(INDIRECT("YES_Reading_FLA[Instructional Reading Level - Per "&amp;VLOOKUP($D$2, 'Reading Report Logic'!$A$2:$B$8, 2, FALSE)&amp;"]")),FALSE)="", "", VLOOKUP($A779,YES_Reading_FLA[],COLUMN(INDIRECT("YES_Reading_FLA[Instructional Reading Level - Per "&amp;VLOOKUP($D$2, 'Reading Report Logic'!$A$2:$B$8, 2, FALSE)&amp;"]")),FALSE))),""))),"")</f>
        <v/>
      </c>
      <c r="E779" s="205" t="str" cm="1">
        <f t="array" aca="1" ref="E779" ca="1">IFERROR(
IF($J$2="ELA",
IF(VLOOKUP($A779, YES_Reading_ELA[], COLUMN(INDIRECT("YES_Reading_ELA[Min Expectation - Per "&amp;VLOOKUP($D$2, 'Reading Report Logic'!$A$2:$B$8, 2, FALSE)&amp;"]")), FALSE)="", "",
VLOOKUP($A779,YES_Reading_ELA[], COLUMN(INDIRECT("YES_Reading_ELA[Min Expectation - Per "&amp;VLOOKUP($D$2,'Reading Report Logic'!$A$2:$B$8,2,FALSE)&amp;"]")), FALSE)),
IF($J$2="FLA",
IF(VLOOKUP($A779, YES_Reading_FLA[], COLUMN(INDIRECT("YES_Reading_FLA[Min Expectation - Per "&amp;VLOOKUP($D$2,'Reading Report Logic'!$A$2:$B$8,2,FALSE)&amp;"]")),FALSE)="","",
VLOOKUP($A779,YES_Reading_FLA[],COLUMN(INDIRECT("YES_Reading_FLA[Min Expectation - Per "&amp;VLOOKUP($D$2,'Reading Report Logic'!$A$2:$B$8,2,FALSE)&amp;"]")),FALSE)),
IF($J$2="Combined",
IFERROR(
IF(VLOOKUP($A779, YES_Reading_ELA[], COLUMN(INDIRECT("YES_Reading_ELA[Min Expectation - Per "&amp;VLOOKUP($D$2, 'Reading Report Logic'!$A$2:$B$8,2,FALSE)&amp;"]")), FALSE)="", "",
VLOOKUP($A779,YES_Reading_ELA[],COLUMN(INDIRECT("YES_Reading_ELA[Min Expectation - Per "&amp;VLOOKUP($D$2,'Reading Report Logic'!$A$2:$B$8,2,FALSE)&amp;"]")),FALSE)),
IF(VLOOKUP($A779, YES_Reading_FLA[], COLUMN(INDIRECT("YES_Reading_FLA[Min Expectation - Per "&amp;VLOOKUP($D$2, 'Reading Report Logic'!$A$2:$B$8, 2, FALSE)&amp;"]")),FALSE)="", "", VLOOKUP($A779,YES_Reading_FLA[],COLUMN(INDIRECT("YES_Reading_FLA[Min Expectation - Per "&amp;VLOOKUP($D$2, 'Reading Report Logic'!$A$2:$B$8, 2, FALSE)&amp;"]")),FALSE))),""))),"")</f>
        <v/>
      </c>
      <c r="F779" s="205" t="str" cm="1">
        <f t="array" aca="1" ref="F779" ca="1">IFERROR(
IF($J$2="ELA",
IF(VLOOKUP($A779, YES_Reading_ELA[], COLUMN(INDIRECT("YES_Reading_ELA[Max Expectation - Per "&amp;VLOOKUP($D$2, 'Reading Report Logic'!$A$2:$B$8, 2, FALSE)&amp;"]")), FALSE)="", "",
VLOOKUP($A779,YES_Reading_ELA[], COLUMN(INDIRECT("YES_Reading_ELA[Max Expectation - Per "&amp;VLOOKUP($D$2,'Reading Report Logic'!$A$2:$B$8,2,FALSE)&amp;"]")), FALSE)),
IF($J$2="FLA",
IF(VLOOKUP($A779, YES_Reading_FLA[], COLUMN(INDIRECT("YES_Reading_FLA[Max Expectation - Per "&amp;VLOOKUP($D$2,'Reading Report Logic'!$A$2:$B$8,2,FALSE)&amp;"]")),FALSE)="","",
VLOOKUP($A779,YES_Reading_FLA[],COLUMN(INDIRECT("YES_Reading_FLA[Max Expectation - Per "&amp;VLOOKUP($D$2,'Reading Report Logic'!$A$2:$B$8,2,FALSE)&amp;"]")),FALSE)),
IF($J$2="Combined",
IFERROR(
IF(VLOOKUP($A779, YES_Reading_ELA[], COLUMN(INDIRECT("YES_Reading_ELA[Max Expectation - Per "&amp;VLOOKUP($D$2, 'Reading Report Logic'!$A$2:$B$8,2,FALSE)&amp;"]")), FALSE)="", "",
VLOOKUP($A779,YES_Reading_ELA[],COLUMN(INDIRECT("YES_Reading_ELA[Max Expectation - Per "&amp;VLOOKUP($D$2,'Reading Report Logic'!$A$2:$B$8,2,FALSE)&amp;"]")),FALSE)),
IF(VLOOKUP($A779, YES_Reading_FLA[], COLUMN(INDIRECT("YES_Reading_FLA[Max Expectation - Per "&amp;VLOOKUP($D$2, 'Reading Report Logic'!$A$2:$B$8, 2, FALSE)&amp;"]")),FALSE)="", "", VLOOKUP($A779,YES_Reading_FLA[],COLUMN(INDIRECT("YES_Reading_FLA[Max Expectation - Per "&amp;VLOOKUP($D$2, 'Reading Report Logic'!$A$2:$B$8, 2, FALSE)&amp;"]")),FALSE))),""))),"")</f>
        <v/>
      </c>
      <c r="G779" s="205" t="str" cm="1">
        <f t="array" aca="1" ref="G779" ca="1">IFERROR(
IF($J$2="ELA",
IF(VLOOKUP($A779, YES_Reading_ELA[], COLUMN(INDIRECT("YES_Reading_ELA[Difference - Per "&amp;VLOOKUP($D$2, 'Reading Report Logic'!$A$2:$B$8, 2, FALSE)&amp;"]")), FALSE)="", "",
VLOOKUP($A779,YES_Reading_ELA[], COLUMN(INDIRECT("YES_Reading_ELA[Difference - Per "&amp;VLOOKUP($D$2,'Reading Report Logic'!$A$2:$B$8,2,FALSE)&amp;"]")), FALSE)),
IF($J$2="FLA",
IF(VLOOKUP($A779, YES_Reading_FLA[], COLUMN(INDIRECT("YES_Reading_FLA[Difference - Per "&amp;VLOOKUP($D$2,'Reading Report Logic'!$A$2:$B$8,2,FALSE)&amp;"]")),FALSE)="","",
VLOOKUP($A779,YES_Reading_FLA[],COLUMN(INDIRECT("YES_Reading_FLA[Difference - Per "&amp;VLOOKUP($D$2,'Reading Report Logic'!$A$2:$B$8,2,FALSE)&amp;"]")),FALSE)),
IF($J$2="Combined",
IFERROR(
IF(VLOOKUP($A779, YES_Reading_ELA[], COLUMN(INDIRECT("YES_Reading_ELA[Difference - Per "&amp;VLOOKUP($D$2, 'Reading Report Logic'!$A$2:$B$8,2,FALSE)&amp;"]")), FALSE)="", "",
VLOOKUP($A779,YES_Reading_ELA[],COLUMN(INDIRECT("YES_Reading_ELA[Difference - Per "&amp;VLOOKUP($D$2,'Reading Report Logic'!$A$2:$B$8,2,FALSE)&amp;"]")),FALSE)),
IF(VLOOKUP($A779, YES_Reading_FLA[], COLUMN(INDIRECT("YES_Reading_FLA[Difference - Per "&amp;VLOOKUP($D$2, 'Reading Report Logic'!$A$2:$B$8, 2, FALSE)&amp;"]")),FALSE)="", "", VLOOKUP($A779,YES_Reading_FLA[],COLUMN(INDIRECT("YES_Reading_FLA[Difference - Per "&amp;VLOOKUP($D$2, 'Reading Report Logic'!$A$2:$B$8, 2, FALSE)&amp;"]")),FALSE))),""))),"")</f>
        <v/>
      </c>
      <c r="H779" s="206" t="str">
        <f ca="1">IFERROR(VLOOKUP('Teacher Reading Pull Sheets'!$D779,_xlfn.VSTACK('ELA Reading Logic'!$A$22:$B$48,'FLA Reading Logic'!$A$22:$B$53),2,FALSE)-VLOOKUP('Teacher Reading Pull Sheets'!$C779,_xlfn.VSTACK('ELA Reading Logic'!$A$22:$B$48,'FLA Reading Logic'!$A$22:$B$53),2,FALSE),"")</f>
        <v/>
      </c>
      <c r="I779" s="212"/>
      <c r="J779" s="206"/>
      <c r="K779" s="197" t="str" cm="1">
        <f t="array" ref="K779">IFERROR(
IF($J$2="ELA",
IF(VLOOKUP($A779, YES_Reading_ELA[], COLUMN(YES_Reading_ELA[Self-Identified as African Descent]), FALSE)="", "",
VLOOKUP($A779,YES_Reading_ELA[], COLUMN(YES_Reading_ELA[Self-Identified as African Descent]), FALSE)),
IF($J$2="FLA",
IF(VLOOKUP($A779, YES_Reading_FLA[], COLUMN(YES_Reading_FLA[Self-Identified as African Descent]),FALSE)="","",
VLOOKUP($A779,YES_Reading_FLA[],COLUMN(YES_Reading_FLA[Self-Identified as African Descent]),FALSE)),
IF($J$2="Combined",
IFERROR(
IF(VLOOKUP($A779, YES_Reading_ELA[], COLUMN(YES_Reading_ELA[Self-Identified as African Descent]), FALSE)="", "",
VLOOKUP($A779,YES_Reading_ELA[],COLUMN(YES_Reading_ELA[Self-Identified as African Descent]),FALSE)),
IF(VLOOKUP($A779, YES_Reading_FLA[], COLUMN(YES_Reading_FLA[Self-Identified as African Descent]),FALSE)="", "", VLOOKUP($A779,YES_Reading_FLA[],COLUMN(YES_Reading_FLA[Self-Identified as African Descent]),FALSE))),""))),"")</f>
        <v/>
      </c>
      <c r="L779" s="73" t="str" cm="1">
        <f t="array" ref="L779">IFERROR(
IF($J$2="ELA",
IF(VLOOKUP($A779, YES_Reading_ELA[], COLUMN(YES_Reading_ELA[Self-Identified as Indigenous]), FALSE)="", "",
VLOOKUP($A779,YES_Reading_ELA[], COLUMN(YES_Reading_ELA[Self-Identified as Indigenous]), FALSE)),
IF($J$2="FLA",
IF(VLOOKUP($A779, YES_Reading_FLA[], COLUMN(YES_Reading_FLA[Self-Identified as Indigenous]),FALSE)="","",
VLOOKUP($A779,YES_Reading_FLA[],COLUMN(YES_Reading_FLA[Self-Identified as Indigenous]),FALSE)),
IF($J$2="Combined",
IFERROR(
IF(VLOOKUP($A779, YES_Reading_ELA[], COLUMN(YES_Reading_ELA[Self-Identified as Indigenous]), FALSE)="", "",
VLOOKUP($A779,YES_Reading_ELA[],COLUMN(YES_Reading_ELA[Self-Identified as Indigenous]),FALSE)),
IF(VLOOKUP($A779, YES_Reading_FLA[], COLUMN(YES_Reading_FLA[Self-Identified as Indigenous]),FALSE)="", "", VLOOKUP($A779,YES_Reading_FLA[],COLUMN(YES_Reading_FLA[Self-Identified as Indigenous]),FALSE))),""))),"")</f>
        <v/>
      </c>
    </row>
    <row r="780" spans="1:12" ht="19.5" customHeight="1" thickBot="1" x14ac:dyDescent="0.3">
      <c r="A780" s="218">
        <v>0</v>
      </c>
      <c r="B780" s="221" t="str">
        <f>IFERROR(VLOOKUP(A780,_xlfn.VSTACK(YES_Reading_ELA[],YES_Reading_FLA[]),2,FALSE),"")</f>
        <v/>
      </c>
      <c r="C780" s="208" t="str" cm="1">
        <f t="array" aca="1" ref="C780" ca="1">IFERROR(
IF($J$2="ELA",
IF(VLOOKUP($A780, YES_Reading_ELA[], COLUMN(IF(VLOOKUP($D$2, 'Reading Report Logic'!$A$2:$B$8, 2, FALSE)=1, YES_Reading_ELA[Reading Level June of Previous School Year], INDIRECT("YES_Reading_ELA[Instructional Reading Level - Per "&amp;(VLOOKUP($D$2,'Reading Report Logic'!$A$2:$B$8,2,FALSE)-1)&amp;"]"))), FALSE)="", "",
VLOOKUP($A780,YES_Reading_ELA[], COLUMN(IF(VLOOKUP($D$2,'Reading Report Logic'!$A$2:$B$8,2,FALSE)=1, YES_Reading_ELA[Reading Level June of Previous School Year],INDIRECT("YES_Reading_ELA[Instructional Reading Level - Per "&amp;(VLOOKUP($D$2,'Reading Report Logic'!$A$2:$B$8,2,FALSE)-1)&amp;"]"))), FALSE)),
IF($J$2="FLA",
IF(VLOOKUP($A780, YES_Reading_FLA[], COLUMN(IF(VLOOKUP($D$2,'Reading Report Logic'!$A$2:$B$8,2,FALSE)=1, YES_Reading_FLA[Reading Level June of Previous School Year],INDIRECT("YES_Reading_FLA[Instructional Reading Level - Per "&amp;(VLOOKUP($D$2,'Reading Report Logic'!$A$2:$B$8,2,FALSE)-1)&amp;"]"))),FALSE)="","",
VLOOKUP($A780,YES_Reading_FLA[], COLUMN(IF(VLOOKUP($D$2,'Reading Report Logic'!$A$2:$B$8,2,FALSE)=1, YES_Reading_FLA[Reading Level June of Previous School Year],INDIRECT("YES_Reading_FLA[Instructional Reading Level - Per "&amp;(VLOOKUP($D$2,'Reading Report Logic'!$A$2:$B$8,2,FALSE)-1)&amp;"]"))),FALSE)),
IF($J$2="Combined",
IFERROR(
IF(VLOOKUP($A780, YES_Reading_ELA[], COLUMN(IF(VLOOKUP($D$2,'Reading Report Logic'!$A$2:$B$8,2,FALSE)=1, YES_Reading_ELA[Reading Level June of Previous School Year],INDIRECT("YES_Reading_ELA[Instructional Reading Level - Per "&amp;(VLOOKUP($D$2,'Reading Report Logic'!$A$2:$B$8,2,FALSE)-1)&amp;"]"))), FALSE)="", "",
VLOOKUP($A780,YES_Reading_ELA[],COLUMN(IF(VLOOKUP($D$2,'Reading Report Logic'!$A$2:$B$8,2,FALSE)=1, YES_Reading_ELA[Reading Level June of Previous School Year],INDIRECT("YES_Reading_ELA[Instructional Reading Level - Per "&amp;(VLOOKUP($D$2,'Reading Report Logic'!$A$2:$B$8,2,FALSE)-1)&amp;"]"))),FALSE)),
IF(VLOOKUP($A780, YES_Reading_FLA[], COLUMN(IF(VLOOKUP($D$2,'Reading Report Logic'!$A$2:$B$8,2,FALSE)=1, YES_Reading_FLA[Reading Level June of Previous School Year],INDIRECT("YES_Reading_FLA[Instructional Reading Level - Per "&amp;(VLOOKUP($D$2,'Reading Report Logic'!$A$2:$B$8,2,FALSE)-1)&amp;"]"))),FALSE)="", "", VLOOKUP($A780,YES_Reading_FLA[],COLUMN(IF(VLOOKUP($D$2,'Reading Report Logic'!$A$2:$B$8,2,FALSE)=1, YES_Reading_FLA[Reading Level June of Previous School Year],INDIRECT("YES_Reading_FLA[Instructional Reading Level - Per "&amp;(VLOOKUP($D$2,'Reading Report Logic'!$A$2:$B$8,2,FALSE)-1)&amp;"]"))), FALSE))),""))),"")</f>
        <v/>
      </c>
      <c r="D780" s="209" t="str" cm="1">
        <f t="array" aca="1" ref="D780" ca="1">IFERROR(
IF($J$2="ELA",
IF(VLOOKUP($A780, YES_Reading_ELA[], COLUMN(INDIRECT("YES_Reading_ELA[Instructional Reading Level - Per "&amp;VLOOKUP($D$2, 'Reading Report Logic'!$A$2:$B$8, 2, FALSE)&amp;"]")), FALSE)="", "",
VLOOKUP($A780,YES_Reading_ELA[], COLUMN(INDIRECT("YES_Reading_ELA[Instructional Reading Level - Per "&amp;VLOOKUP($D$2,'Reading Report Logic'!$A$2:$B$8,2,FALSE)&amp;"]")), FALSE)),
IF($J$2="FLA",
IF(VLOOKUP($A780, YES_Reading_FLA[], COLUMN(INDIRECT("YES_Reading_FLA[Instructional Reading Level - Per "&amp;VLOOKUP($D$2,'Reading Report Logic'!$A$2:$B$8,2,FALSE)&amp;"]")),FALSE)="","",
VLOOKUP($A780,YES_Reading_FLA[],COLUMN(INDIRECT("YES_Reading_FLA[Instructional Reading Level - Per "&amp;VLOOKUP($D$2,'Reading Report Logic'!$A$2:$B$8,2,FALSE)&amp;"]")),FALSE)),
IF($J$2="Combined",
IFERROR(
IF(VLOOKUP($A780, YES_Reading_ELA[], COLUMN(INDIRECT("YES_Reading_ELA[Instructional Reading Level - Per "&amp;VLOOKUP($D$2, 'Reading Report Logic'!$A$2:$B$8,2,FALSE)&amp;"]")), FALSE)="", "",
VLOOKUP($A780,YES_Reading_ELA[],COLUMN(INDIRECT("YES_Reading_ELA[Instructional Reading Level - Per "&amp;VLOOKUP($D$2,'Reading Report Logic'!$A$2:$B$8,2,FALSE)&amp;"]")),FALSE)),
IF(VLOOKUP($A780, YES_Reading_FLA[], COLUMN(INDIRECT("YES_Reading_FLA[Instructional Reading Level - Per "&amp;VLOOKUP($D$2, 'Reading Report Logic'!$A$2:$B$8, 2, FALSE)&amp;"]")),FALSE)="", "", VLOOKUP($A780,YES_Reading_FLA[],COLUMN(INDIRECT("YES_Reading_FLA[Instructional Reading Level - Per "&amp;VLOOKUP($D$2, 'Reading Report Logic'!$A$2:$B$8, 2, FALSE)&amp;"]")),FALSE))),""))),"")</f>
        <v/>
      </c>
      <c r="E780" s="210" t="str" cm="1">
        <f t="array" aca="1" ref="E780" ca="1">IFERROR(
IF($J$2="ELA",
IF(VLOOKUP($A780, YES_Reading_ELA[], COLUMN(INDIRECT("YES_Reading_ELA[Min Expectation - Per "&amp;VLOOKUP($D$2, 'Reading Report Logic'!$A$2:$B$8, 2, FALSE)&amp;"]")), FALSE)="", "",
VLOOKUP($A780,YES_Reading_ELA[], COLUMN(INDIRECT("YES_Reading_ELA[Min Expectation - Per "&amp;VLOOKUP($D$2,'Reading Report Logic'!$A$2:$B$8,2,FALSE)&amp;"]")), FALSE)),
IF($J$2="FLA",
IF(VLOOKUP($A780, YES_Reading_FLA[], COLUMN(INDIRECT("YES_Reading_FLA[Min Expectation - Per "&amp;VLOOKUP($D$2,'Reading Report Logic'!$A$2:$B$8,2,FALSE)&amp;"]")),FALSE)="","",
VLOOKUP($A780,YES_Reading_FLA[],COLUMN(INDIRECT("YES_Reading_FLA[Min Expectation - Per "&amp;VLOOKUP($D$2,'Reading Report Logic'!$A$2:$B$8,2,FALSE)&amp;"]")),FALSE)),
IF($J$2="Combined",
IFERROR(
IF(VLOOKUP($A780, YES_Reading_ELA[], COLUMN(INDIRECT("YES_Reading_ELA[Min Expectation - Per "&amp;VLOOKUP($D$2, 'Reading Report Logic'!$A$2:$B$8,2,FALSE)&amp;"]")), FALSE)="", "",
VLOOKUP($A780,YES_Reading_ELA[],COLUMN(INDIRECT("YES_Reading_ELA[Min Expectation - Per "&amp;VLOOKUP($D$2,'Reading Report Logic'!$A$2:$B$8,2,FALSE)&amp;"]")),FALSE)),
IF(VLOOKUP($A780, YES_Reading_FLA[], COLUMN(INDIRECT("YES_Reading_FLA[Min Expectation - Per "&amp;VLOOKUP($D$2, 'Reading Report Logic'!$A$2:$B$8, 2, FALSE)&amp;"]")),FALSE)="", "", VLOOKUP($A780,YES_Reading_FLA[],COLUMN(INDIRECT("YES_Reading_FLA[Min Expectation - Per "&amp;VLOOKUP($D$2, 'Reading Report Logic'!$A$2:$B$8, 2, FALSE)&amp;"]")),FALSE))),""))),"")</f>
        <v/>
      </c>
      <c r="F780" s="210" t="str" cm="1">
        <f t="array" aca="1" ref="F780" ca="1">IFERROR(
IF($J$2="ELA",
IF(VLOOKUP($A780, YES_Reading_ELA[], COLUMN(INDIRECT("YES_Reading_ELA[Max Expectation - Per "&amp;VLOOKUP($D$2, 'Reading Report Logic'!$A$2:$B$8, 2, FALSE)&amp;"]")), FALSE)="", "",
VLOOKUP($A780,YES_Reading_ELA[], COLUMN(INDIRECT("YES_Reading_ELA[Max Expectation - Per "&amp;VLOOKUP($D$2,'Reading Report Logic'!$A$2:$B$8,2,FALSE)&amp;"]")), FALSE)),
IF($J$2="FLA",
IF(VLOOKUP($A780, YES_Reading_FLA[], COLUMN(INDIRECT("YES_Reading_FLA[Max Expectation - Per "&amp;VLOOKUP($D$2,'Reading Report Logic'!$A$2:$B$8,2,FALSE)&amp;"]")),FALSE)="","",
VLOOKUP($A780,YES_Reading_FLA[],COLUMN(INDIRECT("YES_Reading_FLA[Max Expectation - Per "&amp;VLOOKUP($D$2,'Reading Report Logic'!$A$2:$B$8,2,FALSE)&amp;"]")),FALSE)),
IF($J$2="Combined",
IFERROR(
IF(VLOOKUP($A780, YES_Reading_ELA[], COLUMN(INDIRECT("YES_Reading_ELA[Max Expectation - Per "&amp;VLOOKUP($D$2, 'Reading Report Logic'!$A$2:$B$8,2,FALSE)&amp;"]")), FALSE)="", "",
VLOOKUP($A780,YES_Reading_ELA[],COLUMN(INDIRECT("YES_Reading_ELA[Max Expectation - Per "&amp;VLOOKUP($D$2,'Reading Report Logic'!$A$2:$B$8,2,FALSE)&amp;"]")),FALSE)),
IF(VLOOKUP($A780, YES_Reading_FLA[], COLUMN(INDIRECT("YES_Reading_FLA[Max Expectation - Per "&amp;VLOOKUP($D$2, 'Reading Report Logic'!$A$2:$B$8, 2, FALSE)&amp;"]")),FALSE)="", "", VLOOKUP($A780,YES_Reading_FLA[],COLUMN(INDIRECT("YES_Reading_FLA[Max Expectation - Per "&amp;VLOOKUP($D$2, 'Reading Report Logic'!$A$2:$B$8, 2, FALSE)&amp;"]")),FALSE))),""))),"")</f>
        <v/>
      </c>
      <c r="G780" s="210" t="str" cm="1">
        <f t="array" aca="1" ref="G780" ca="1">IFERROR(
IF($J$2="ELA",
IF(VLOOKUP($A780, YES_Reading_ELA[], COLUMN(INDIRECT("YES_Reading_ELA[Difference - Per "&amp;VLOOKUP($D$2, 'Reading Report Logic'!$A$2:$B$8, 2, FALSE)&amp;"]")), FALSE)="", "",
VLOOKUP($A780,YES_Reading_ELA[], COLUMN(INDIRECT("YES_Reading_ELA[Difference - Per "&amp;VLOOKUP($D$2,'Reading Report Logic'!$A$2:$B$8,2,FALSE)&amp;"]")), FALSE)),
IF($J$2="FLA",
IF(VLOOKUP($A780, YES_Reading_FLA[], COLUMN(INDIRECT("YES_Reading_FLA[Difference - Per "&amp;VLOOKUP($D$2,'Reading Report Logic'!$A$2:$B$8,2,FALSE)&amp;"]")),FALSE)="","",
VLOOKUP($A780,YES_Reading_FLA[],COLUMN(INDIRECT("YES_Reading_FLA[Difference - Per "&amp;VLOOKUP($D$2,'Reading Report Logic'!$A$2:$B$8,2,FALSE)&amp;"]")),FALSE)),
IF($J$2="Combined",
IFERROR(
IF(VLOOKUP($A780, YES_Reading_ELA[], COLUMN(INDIRECT("YES_Reading_ELA[Difference - Per "&amp;VLOOKUP($D$2, 'Reading Report Logic'!$A$2:$B$8,2,FALSE)&amp;"]")), FALSE)="", "",
VLOOKUP($A780,YES_Reading_ELA[],COLUMN(INDIRECT("YES_Reading_ELA[Difference - Per "&amp;VLOOKUP($D$2,'Reading Report Logic'!$A$2:$B$8,2,FALSE)&amp;"]")),FALSE)),
IF(VLOOKUP($A780, YES_Reading_FLA[], COLUMN(INDIRECT("YES_Reading_FLA[Difference - Per "&amp;VLOOKUP($D$2, 'Reading Report Logic'!$A$2:$B$8, 2, FALSE)&amp;"]")),FALSE)="", "", VLOOKUP($A780,YES_Reading_FLA[],COLUMN(INDIRECT("YES_Reading_FLA[Difference - Per "&amp;VLOOKUP($D$2, 'Reading Report Logic'!$A$2:$B$8, 2, FALSE)&amp;"]")),FALSE))),""))),"")</f>
        <v/>
      </c>
      <c r="H780" s="211" t="str">
        <f ca="1">IFERROR(VLOOKUP('Teacher Reading Pull Sheets'!$D780,_xlfn.VSTACK('ELA Reading Logic'!$A$22:$B$48,'FLA Reading Logic'!$A$22:$B$53),2,FALSE)-VLOOKUP('Teacher Reading Pull Sheets'!$C780,_xlfn.VSTACK('ELA Reading Logic'!$A$22:$B$48,'FLA Reading Logic'!$A$22:$B$53),2,FALSE),"")</f>
        <v/>
      </c>
      <c r="I780" s="213"/>
      <c r="J780" s="211"/>
      <c r="K780" s="198" t="str" cm="1">
        <f t="array" ref="K780">IFERROR(
IF($J$2="ELA",
IF(VLOOKUP($A780, YES_Reading_ELA[], COLUMN(YES_Reading_ELA[Self-Identified as African Descent]), FALSE)="", "",
VLOOKUP($A780,YES_Reading_ELA[], COLUMN(YES_Reading_ELA[Self-Identified as African Descent]), FALSE)),
IF($J$2="FLA",
IF(VLOOKUP($A780, YES_Reading_FLA[], COLUMN(YES_Reading_FLA[Self-Identified as African Descent]),FALSE)="","",
VLOOKUP($A780,YES_Reading_FLA[],COLUMN(YES_Reading_FLA[Self-Identified as African Descent]),FALSE)),
IF($J$2="Combined",
IFERROR(
IF(VLOOKUP($A780, YES_Reading_ELA[], COLUMN(YES_Reading_ELA[Self-Identified as African Descent]), FALSE)="", "",
VLOOKUP($A780,YES_Reading_ELA[],COLUMN(YES_Reading_ELA[Self-Identified as African Descent]),FALSE)),
IF(VLOOKUP($A780, YES_Reading_FLA[], COLUMN(YES_Reading_FLA[Self-Identified as African Descent]),FALSE)="", "", VLOOKUP($A780,YES_Reading_FLA[],COLUMN(YES_Reading_FLA[Self-Identified as African Descent]),FALSE))),""))),"")</f>
        <v/>
      </c>
      <c r="L780" s="74" t="str" cm="1">
        <f t="array" ref="L780">IFERROR(
IF($J$2="ELA",
IF(VLOOKUP($A780, YES_Reading_ELA[], COLUMN(YES_Reading_ELA[Self-Identified as Indigenous]), FALSE)="", "",
VLOOKUP($A780,YES_Reading_ELA[], COLUMN(YES_Reading_ELA[Self-Identified as Indigenous]), FALSE)),
IF($J$2="FLA",
IF(VLOOKUP($A780, YES_Reading_FLA[], COLUMN(YES_Reading_FLA[Self-Identified as Indigenous]),FALSE)="","",
VLOOKUP($A780,YES_Reading_FLA[],COLUMN(YES_Reading_FLA[Self-Identified as Indigenous]),FALSE)),
IF($J$2="Combined",
IFERROR(
IF(VLOOKUP($A780, YES_Reading_ELA[], COLUMN(YES_Reading_ELA[Self-Identified as Indigenous]), FALSE)="", "",
VLOOKUP($A780,YES_Reading_ELA[],COLUMN(YES_Reading_ELA[Self-Identified as Indigenous]),FALSE)),
IF(VLOOKUP($A780, YES_Reading_FLA[], COLUMN(YES_Reading_FLA[Self-Identified as Indigenous]),FALSE)="", "", VLOOKUP($A780,YES_Reading_FLA[],COLUMN(YES_Reading_FLA[Self-Identified as Indigenous]),FALSE))),""))),"")</f>
        <v/>
      </c>
    </row>
    <row r="781" spans="1:12" x14ac:dyDescent="0.25">
      <c r="A781">
        <v>0</v>
      </c>
    </row>
    <row r="782" spans="1:12" x14ac:dyDescent="0.25">
      <c r="A782">
        <v>0</v>
      </c>
    </row>
    <row r="783" spans="1:12" x14ac:dyDescent="0.25">
      <c r="A783">
        <v>0</v>
      </c>
    </row>
    <row r="784" spans="1:12" x14ac:dyDescent="0.25">
      <c r="A784">
        <v>0</v>
      </c>
    </row>
    <row r="785" spans="1:1" x14ac:dyDescent="0.25">
      <c r="A785">
        <v>0</v>
      </c>
    </row>
    <row r="786" spans="1:1" x14ac:dyDescent="0.25">
      <c r="A786">
        <v>0</v>
      </c>
    </row>
    <row r="787" spans="1:1" x14ac:dyDescent="0.25">
      <c r="A787">
        <v>0</v>
      </c>
    </row>
    <row r="788" spans="1:1" x14ac:dyDescent="0.25">
      <c r="A788">
        <v>0</v>
      </c>
    </row>
    <row r="789" spans="1:1" x14ac:dyDescent="0.25">
      <c r="A789">
        <v>0</v>
      </c>
    </row>
    <row r="790" spans="1:1" x14ac:dyDescent="0.25">
      <c r="A790">
        <v>0</v>
      </c>
    </row>
    <row r="791" spans="1:1" x14ac:dyDescent="0.25">
      <c r="A791">
        <v>0</v>
      </c>
    </row>
    <row r="792" spans="1:1" x14ac:dyDescent="0.25">
      <c r="A792">
        <v>0</v>
      </c>
    </row>
    <row r="793" spans="1:1" x14ac:dyDescent="0.25">
      <c r="A793">
        <v>0</v>
      </c>
    </row>
    <row r="794" spans="1:1" x14ac:dyDescent="0.25">
      <c r="A794">
        <v>0</v>
      </c>
    </row>
    <row r="795" spans="1:1" x14ac:dyDescent="0.25">
      <c r="A795">
        <v>0</v>
      </c>
    </row>
    <row r="796" spans="1:1" x14ac:dyDescent="0.25">
      <c r="A796">
        <v>0</v>
      </c>
    </row>
    <row r="797" spans="1:1" x14ac:dyDescent="0.25">
      <c r="A797">
        <v>0</v>
      </c>
    </row>
    <row r="798" spans="1:1" x14ac:dyDescent="0.25">
      <c r="A798">
        <v>0</v>
      </c>
    </row>
    <row r="799" spans="1:1" x14ac:dyDescent="0.25">
      <c r="A799">
        <v>0</v>
      </c>
    </row>
    <row r="800" spans="1:1" x14ac:dyDescent="0.25">
      <c r="A800">
        <v>0</v>
      </c>
    </row>
    <row r="801" spans="1:1" x14ac:dyDescent="0.25">
      <c r="A801">
        <v>0</v>
      </c>
    </row>
    <row r="802" spans="1:1" x14ac:dyDescent="0.25">
      <c r="A802">
        <v>0</v>
      </c>
    </row>
    <row r="803" spans="1:1" x14ac:dyDescent="0.25">
      <c r="A803">
        <v>0</v>
      </c>
    </row>
    <row r="804" spans="1:1" x14ac:dyDescent="0.25">
      <c r="A804">
        <v>0</v>
      </c>
    </row>
    <row r="805" spans="1:1" x14ac:dyDescent="0.25">
      <c r="A805">
        <v>0</v>
      </c>
    </row>
    <row r="806" spans="1:1" x14ac:dyDescent="0.25">
      <c r="A806">
        <v>0</v>
      </c>
    </row>
    <row r="807" spans="1:1" x14ac:dyDescent="0.25">
      <c r="A807">
        <v>0</v>
      </c>
    </row>
    <row r="808" spans="1:1" x14ac:dyDescent="0.25">
      <c r="A808">
        <v>0</v>
      </c>
    </row>
    <row r="809" spans="1:1" x14ac:dyDescent="0.25">
      <c r="A809">
        <v>0</v>
      </c>
    </row>
    <row r="810" spans="1:1" x14ac:dyDescent="0.25">
      <c r="A810">
        <v>0</v>
      </c>
    </row>
    <row r="811" spans="1:1" x14ac:dyDescent="0.25">
      <c r="A811">
        <v>0</v>
      </c>
    </row>
    <row r="812" spans="1:1" x14ac:dyDescent="0.25">
      <c r="A812">
        <v>0</v>
      </c>
    </row>
    <row r="813" spans="1:1" x14ac:dyDescent="0.25">
      <c r="A813">
        <v>0</v>
      </c>
    </row>
    <row r="814" spans="1:1" x14ac:dyDescent="0.25">
      <c r="A814">
        <v>0</v>
      </c>
    </row>
    <row r="815" spans="1:1" x14ac:dyDescent="0.25">
      <c r="A815">
        <v>0</v>
      </c>
    </row>
    <row r="816" spans="1:1" x14ac:dyDescent="0.25">
      <c r="A816">
        <v>0</v>
      </c>
    </row>
    <row r="817" spans="1:1" x14ac:dyDescent="0.25">
      <c r="A817">
        <v>0</v>
      </c>
    </row>
    <row r="818" spans="1:1" x14ac:dyDescent="0.25">
      <c r="A818">
        <v>0</v>
      </c>
    </row>
    <row r="819" spans="1:1" x14ac:dyDescent="0.25">
      <c r="A819">
        <v>0</v>
      </c>
    </row>
    <row r="820" spans="1:1" x14ac:dyDescent="0.25">
      <c r="A820">
        <v>0</v>
      </c>
    </row>
    <row r="821" spans="1:1" x14ac:dyDescent="0.25">
      <c r="A821">
        <v>0</v>
      </c>
    </row>
    <row r="822" spans="1:1" x14ac:dyDescent="0.25">
      <c r="A822">
        <v>0</v>
      </c>
    </row>
    <row r="823" spans="1:1" x14ac:dyDescent="0.25">
      <c r="A823">
        <v>0</v>
      </c>
    </row>
    <row r="824" spans="1:1" x14ac:dyDescent="0.25">
      <c r="A824">
        <v>0</v>
      </c>
    </row>
    <row r="825" spans="1:1" x14ac:dyDescent="0.25">
      <c r="A825">
        <v>0</v>
      </c>
    </row>
    <row r="826" spans="1:1" x14ac:dyDescent="0.25">
      <c r="A826">
        <v>0</v>
      </c>
    </row>
    <row r="827" spans="1:1" x14ac:dyDescent="0.25">
      <c r="A827">
        <v>0</v>
      </c>
    </row>
    <row r="828" spans="1:1" x14ac:dyDescent="0.25">
      <c r="A828">
        <v>0</v>
      </c>
    </row>
    <row r="829" spans="1:1" x14ac:dyDescent="0.25">
      <c r="A829">
        <v>0</v>
      </c>
    </row>
    <row r="830" spans="1:1" x14ac:dyDescent="0.25">
      <c r="A830">
        <v>0</v>
      </c>
    </row>
    <row r="831" spans="1:1" x14ac:dyDescent="0.25">
      <c r="A831">
        <v>0</v>
      </c>
    </row>
    <row r="832" spans="1:1" x14ac:dyDescent="0.25">
      <c r="A832">
        <v>0</v>
      </c>
    </row>
    <row r="833" spans="1:1" x14ac:dyDescent="0.25">
      <c r="A833">
        <v>0</v>
      </c>
    </row>
    <row r="834" spans="1:1" x14ac:dyDescent="0.25">
      <c r="A834">
        <v>0</v>
      </c>
    </row>
    <row r="835" spans="1:1" x14ac:dyDescent="0.25">
      <c r="A835">
        <v>0</v>
      </c>
    </row>
    <row r="836" spans="1:1" x14ac:dyDescent="0.25">
      <c r="A836">
        <v>0</v>
      </c>
    </row>
    <row r="837" spans="1:1" x14ac:dyDescent="0.25">
      <c r="A837">
        <v>0</v>
      </c>
    </row>
    <row r="838" spans="1:1" x14ac:dyDescent="0.25">
      <c r="A838">
        <v>0</v>
      </c>
    </row>
    <row r="839" spans="1:1" x14ac:dyDescent="0.25">
      <c r="A839">
        <v>0</v>
      </c>
    </row>
    <row r="840" spans="1:1" x14ac:dyDescent="0.25">
      <c r="A840">
        <v>0</v>
      </c>
    </row>
    <row r="841" spans="1:1" x14ac:dyDescent="0.25">
      <c r="A841">
        <v>0</v>
      </c>
    </row>
    <row r="842" spans="1:1" x14ac:dyDescent="0.25">
      <c r="A842">
        <v>0</v>
      </c>
    </row>
    <row r="843" spans="1:1" x14ac:dyDescent="0.25">
      <c r="A843">
        <v>0</v>
      </c>
    </row>
    <row r="844" spans="1:1" x14ac:dyDescent="0.25">
      <c r="A844">
        <v>0</v>
      </c>
    </row>
    <row r="845" spans="1:1" x14ac:dyDescent="0.25">
      <c r="A845">
        <v>0</v>
      </c>
    </row>
    <row r="846" spans="1:1" x14ac:dyDescent="0.25">
      <c r="A846">
        <v>0</v>
      </c>
    </row>
    <row r="847" spans="1:1" x14ac:dyDescent="0.25">
      <c r="A847">
        <v>0</v>
      </c>
    </row>
    <row r="848" spans="1:1" x14ac:dyDescent="0.25">
      <c r="A848">
        <v>0</v>
      </c>
    </row>
    <row r="849" spans="1:1" x14ac:dyDescent="0.25">
      <c r="A849">
        <v>0</v>
      </c>
    </row>
    <row r="850" spans="1:1" x14ac:dyDescent="0.25">
      <c r="A850">
        <v>0</v>
      </c>
    </row>
    <row r="851" spans="1:1" x14ac:dyDescent="0.25">
      <c r="A851">
        <v>0</v>
      </c>
    </row>
    <row r="852" spans="1:1" x14ac:dyDescent="0.25">
      <c r="A852">
        <v>0</v>
      </c>
    </row>
    <row r="853" spans="1:1" x14ac:dyDescent="0.25">
      <c r="A853">
        <v>0</v>
      </c>
    </row>
    <row r="854" spans="1:1" x14ac:dyDescent="0.25">
      <c r="A854">
        <v>0</v>
      </c>
    </row>
    <row r="855" spans="1:1" x14ac:dyDescent="0.25">
      <c r="A855">
        <v>0</v>
      </c>
    </row>
    <row r="856" spans="1:1" x14ac:dyDescent="0.25">
      <c r="A856">
        <v>0</v>
      </c>
    </row>
    <row r="857" spans="1:1" x14ac:dyDescent="0.25">
      <c r="A857">
        <v>0</v>
      </c>
    </row>
    <row r="858" spans="1:1" x14ac:dyDescent="0.25">
      <c r="A858">
        <v>0</v>
      </c>
    </row>
    <row r="859" spans="1:1" x14ac:dyDescent="0.25">
      <c r="A859">
        <v>0</v>
      </c>
    </row>
    <row r="860" spans="1:1" x14ac:dyDescent="0.25">
      <c r="A860">
        <v>0</v>
      </c>
    </row>
    <row r="861" spans="1:1" x14ac:dyDescent="0.25">
      <c r="A861">
        <v>0</v>
      </c>
    </row>
    <row r="862" spans="1:1" x14ac:dyDescent="0.25">
      <c r="A862">
        <v>0</v>
      </c>
    </row>
    <row r="863" spans="1:1" x14ac:dyDescent="0.25">
      <c r="A863">
        <v>0</v>
      </c>
    </row>
    <row r="864" spans="1:1" x14ac:dyDescent="0.25">
      <c r="A864">
        <v>0</v>
      </c>
    </row>
    <row r="865" spans="1:1" x14ac:dyDescent="0.25">
      <c r="A865">
        <v>0</v>
      </c>
    </row>
    <row r="866" spans="1:1" x14ac:dyDescent="0.25">
      <c r="A866">
        <v>0</v>
      </c>
    </row>
    <row r="867" spans="1:1" x14ac:dyDescent="0.25">
      <c r="A867">
        <v>0</v>
      </c>
    </row>
    <row r="868" spans="1:1" x14ac:dyDescent="0.25">
      <c r="A868">
        <v>0</v>
      </c>
    </row>
    <row r="869" spans="1:1" x14ac:dyDescent="0.25">
      <c r="A869">
        <v>0</v>
      </c>
    </row>
    <row r="870" spans="1:1" x14ac:dyDescent="0.25">
      <c r="A870">
        <v>0</v>
      </c>
    </row>
    <row r="871" spans="1:1" x14ac:dyDescent="0.25">
      <c r="A871">
        <v>0</v>
      </c>
    </row>
    <row r="872" spans="1:1" x14ac:dyDescent="0.25">
      <c r="A872">
        <v>0</v>
      </c>
    </row>
    <row r="873" spans="1:1" x14ac:dyDescent="0.25">
      <c r="A873">
        <v>0</v>
      </c>
    </row>
    <row r="874" spans="1:1" x14ac:dyDescent="0.25">
      <c r="A874">
        <v>0</v>
      </c>
    </row>
    <row r="875" spans="1:1" x14ac:dyDescent="0.25">
      <c r="A875">
        <v>0</v>
      </c>
    </row>
    <row r="876" spans="1:1" x14ac:dyDescent="0.25">
      <c r="A876">
        <v>0</v>
      </c>
    </row>
    <row r="877" spans="1:1" x14ac:dyDescent="0.25">
      <c r="A877">
        <v>0</v>
      </c>
    </row>
    <row r="878" spans="1:1" x14ac:dyDescent="0.25">
      <c r="A878">
        <v>0</v>
      </c>
    </row>
    <row r="879" spans="1:1" x14ac:dyDescent="0.25">
      <c r="A879">
        <v>0</v>
      </c>
    </row>
    <row r="880" spans="1:1" x14ac:dyDescent="0.25">
      <c r="A880">
        <v>0</v>
      </c>
    </row>
    <row r="881" spans="1:1" x14ac:dyDescent="0.25">
      <c r="A881">
        <v>0</v>
      </c>
    </row>
    <row r="882" spans="1:1" x14ac:dyDescent="0.25">
      <c r="A882">
        <v>0</v>
      </c>
    </row>
    <row r="883" spans="1:1" x14ac:dyDescent="0.25">
      <c r="A883">
        <v>0</v>
      </c>
    </row>
    <row r="884" spans="1:1" x14ac:dyDescent="0.25">
      <c r="A884">
        <v>0</v>
      </c>
    </row>
    <row r="885" spans="1:1" x14ac:dyDescent="0.25">
      <c r="A885">
        <v>0</v>
      </c>
    </row>
    <row r="886" spans="1:1" x14ac:dyDescent="0.25">
      <c r="A886">
        <v>0</v>
      </c>
    </row>
    <row r="887" spans="1:1" x14ac:dyDescent="0.25">
      <c r="A887">
        <v>0</v>
      </c>
    </row>
    <row r="888" spans="1:1" x14ac:dyDescent="0.25">
      <c r="A888">
        <v>0</v>
      </c>
    </row>
    <row r="889" spans="1:1" x14ac:dyDescent="0.25">
      <c r="A889">
        <v>0</v>
      </c>
    </row>
    <row r="890" spans="1:1" x14ac:dyDescent="0.25">
      <c r="A890">
        <v>0</v>
      </c>
    </row>
    <row r="891" spans="1:1" x14ac:dyDescent="0.25">
      <c r="A891">
        <v>0</v>
      </c>
    </row>
    <row r="892" spans="1:1" x14ac:dyDescent="0.25">
      <c r="A892">
        <v>0</v>
      </c>
    </row>
    <row r="893" spans="1:1" x14ac:dyDescent="0.25">
      <c r="A893">
        <v>0</v>
      </c>
    </row>
    <row r="894" spans="1:1" x14ac:dyDescent="0.25">
      <c r="A894">
        <v>0</v>
      </c>
    </row>
    <row r="895" spans="1:1" x14ac:dyDescent="0.25">
      <c r="A895">
        <v>0</v>
      </c>
    </row>
    <row r="896" spans="1:1" x14ac:dyDescent="0.25">
      <c r="A896">
        <v>0</v>
      </c>
    </row>
    <row r="897" spans="1:1" x14ac:dyDescent="0.25">
      <c r="A897">
        <v>0</v>
      </c>
    </row>
    <row r="898" spans="1:1" x14ac:dyDescent="0.25">
      <c r="A898">
        <v>0</v>
      </c>
    </row>
    <row r="899" spans="1:1" x14ac:dyDescent="0.25">
      <c r="A899">
        <v>0</v>
      </c>
    </row>
    <row r="900" spans="1:1" x14ac:dyDescent="0.25">
      <c r="A900">
        <v>0</v>
      </c>
    </row>
    <row r="901" spans="1:1" x14ac:dyDescent="0.25">
      <c r="A901">
        <v>0</v>
      </c>
    </row>
    <row r="902" spans="1:1" x14ac:dyDescent="0.25">
      <c r="A902">
        <v>0</v>
      </c>
    </row>
    <row r="903" spans="1:1" x14ac:dyDescent="0.25">
      <c r="A903">
        <v>0</v>
      </c>
    </row>
    <row r="904" spans="1:1" x14ac:dyDescent="0.25">
      <c r="A904">
        <v>0</v>
      </c>
    </row>
    <row r="905" spans="1:1" x14ac:dyDescent="0.25">
      <c r="A905">
        <v>0</v>
      </c>
    </row>
    <row r="906" spans="1:1" x14ac:dyDescent="0.25">
      <c r="A906">
        <v>0</v>
      </c>
    </row>
    <row r="907" spans="1:1" x14ac:dyDescent="0.25">
      <c r="A907">
        <v>0</v>
      </c>
    </row>
    <row r="908" spans="1:1" x14ac:dyDescent="0.25">
      <c r="A908">
        <v>0</v>
      </c>
    </row>
    <row r="909" spans="1:1" x14ac:dyDescent="0.25">
      <c r="A909">
        <v>0</v>
      </c>
    </row>
    <row r="910" spans="1:1" x14ac:dyDescent="0.25">
      <c r="A910">
        <v>0</v>
      </c>
    </row>
    <row r="911" spans="1:1" x14ac:dyDescent="0.25">
      <c r="A911">
        <v>0</v>
      </c>
    </row>
    <row r="912" spans="1:1" x14ac:dyDescent="0.25">
      <c r="A912">
        <v>0</v>
      </c>
    </row>
    <row r="913" spans="1:1" x14ac:dyDescent="0.25">
      <c r="A913">
        <v>0</v>
      </c>
    </row>
    <row r="914" spans="1:1" x14ac:dyDescent="0.25">
      <c r="A914">
        <v>0</v>
      </c>
    </row>
    <row r="915" spans="1:1" x14ac:dyDescent="0.25">
      <c r="A915">
        <v>0</v>
      </c>
    </row>
    <row r="916" spans="1:1" x14ac:dyDescent="0.25">
      <c r="A916">
        <v>0</v>
      </c>
    </row>
    <row r="917" spans="1:1" x14ac:dyDescent="0.25">
      <c r="A917">
        <v>0</v>
      </c>
    </row>
    <row r="918" spans="1:1" x14ac:dyDescent="0.25">
      <c r="A918">
        <v>0</v>
      </c>
    </row>
    <row r="919" spans="1:1" x14ac:dyDescent="0.25">
      <c r="A919">
        <v>0</v>
      </c>
    </row>
    <row r="920" spans="1:1" x14ac:dyDescent="0.25">
      <c r="A920">
        <v>0</v>
      </c>
    </row>
    <row r="921" spans="1:1" x14ac:dyDescent="0.25">
      <c r="A921">
        <v>0</v>
      </c>
    </row>
    <row r="922" spans="1:1" x14ac:dyDescent="0.25">
      <c r="A922">
        <v>0</v>
      </c>
    </row>
    <row r="923" spans="1:1" x14ac:dyDescent="0.25">
      <c r="A923">
        <v>0</v>
      </c>
    </row>
    <row r="924" spans="1:1" x14ac:dyDescent="0.25">
      <c r="A924">
        <v>0</v>
      </c>
    </row>
    <row r="925" spans="1:1" x14ac:dyDescent="0.25">
      <c r="A925">
        <v>0</v>
      </c>
    </row>
    <row r="926" spans="1:1" x14ac:dyDescent="0.25">
      <c r="A926">
        <v>0</v>
      </c>
    </row>
    <row r="927" spans="1:1" x14ac:dyDescent="0.25">
      <c r="A927">
        <v>0</v>
      </c>
    </row>
    <row r="928" spans="1:1" x14ac:dyDescent="0.25">
      <c r="A928">
        <v>0</v>
      </c>
    </row>
    <row r="929" spans="1:1" x14ac:dyDescent="0.25">
      <c r="A929">
        <v>0</v>
      </c>
    </row>
    <row r="930" spans="1:1" x14ac:dyDescent="0.25">
      <c r="A930">
        <v>0</v>
      </c>
    </row>
    <row r="931" spans="1:1" x14ac:dyDescent="0.25">
      <c r="A931">
        <v>0</v>
      </c>
    </row>
    <row r="932" spans="1:1" x14ac:dyDescent="0.25">
      <c r="A932">
        <v>0</v>
      </c>
    </row>
    <row r="933" spans="1:1" x14ac:dyDescent="0.25">
      <c r="A933">
        <v>0</v>
      </c>
    </row>
    <row r="934" spans="1:1" x14ac:dyDescent="0.25">
      <c r="A934">
        <v>0</v>
      </c>
    </row>
    <row r="935" spans="1:1" x14ac:dyDescent="0.25">
      <c r="A935">
        <v>0</v>
      </c>
    </row>
    <row r="936" spans="1:1" x14ac:dyDescent="0.25">
      <c r="A936">
        <v>0</v>
      </c>
    </row>
    <row r="937" spans="1:1" x14ac:dyDescent="0.25">
      <c r="A937">
        <v>0</v>
      </c>
    </row>
    <row r="938" spans="1:1" x14ac:dyDescent="0.25">
      <c r="A938">
        <v>0</v>
      </c>
    </row>
    <row r="939" spans="1:1" x14ac:dyDescent="0.25">
      <c r="A939">
        <v>0</v>
      </c>
    </row>
    <row r="940" spans="1:1" x14ac:dyDescent="0.25">
      <c r="A940">
        <v>0</v>
      </c>
    </row>
    <row r="941" spans="1:1" x14ac:dyDescent="0.25">
      <c r="A941">
        <v>0</v>
      </c>
    </row>
    <row r="942" spans="1:1" x14ac:dyDescent="0.25">
      <c r="A942">
        <v>0</v>
      </c>
    </row>
    <row r="943" spans="1:1" x14ac:dyDescent="0.25">
      <c r="A943">
        <v>0</v>
      </c>
    </row>
    <row r="944" spans="1:1" x14ac:dyDescent="0.25">
      <c r="A944">
        <v>0</v>
      </c>
    </row>
    <row r="945" spans="1:1" x14ac:dyDescent="0.25">
      <c r="A945">
        <v>0</v>
      </c>
    </row>
    <row r="946" spans="1:1" x14ac:dyDescent="0.25">
      <c r="A946">
        <v>0</v>
      </c>
    </row>
    <row r="947" spans="1:1" x14ac:dyDescent="0.25">
      <c r="A947">
        <v>0</v>
      </c>
    </row>
    <row r="948" spans="1:1" x14ac:dyDescent="0.25">
      <c r="A948">
        <v>0</v>
      </c>
    </row>
    <row r="949" spans="1:1" x14ac:dyDescent="0.25">
      <c r="A949">
        <v>0</v>
      </c>
    </row>
    <row r="950" spans="1:1" x14ac:dyDescent="0.25">
      <c r="A950">
        <v>0</v>
      </c>
    </row>
    <row r="951" spans="1:1" x14ac:dyDescent="0.25">
      <c r="A951">
        <v>0</v>
      </c>
    </row>
    <row r="952" spans="1:1" x14ac:dyDescent="0.25">
      <c r="A952">
        <v>0</v>
      </c>
    </row>
    <row r="953" spans="1:1" x14ac:dyDescent="0.25">
      <c r="A953">
        <v>0</v>
      </c>
    </row>
    <row r="954" spans="1:1" x14ac:dyDescent="0.25">
      <c r="A954">
        <v>0</v>
      </c>
    </row>
    <row r="955" spans="1:1" x14ac:dyDescent="0.25">
      <c r="A955">
        <v>0</v>
      </c>
    </row>
    <row r="956" spans="1:1" x14ac:dyDescent="0.25">
      <c r="A956">
        <v>0</v>
      </c>
    </row>
    <row r="957" spans="1:1" x14ac:dyDescent="0.25">
      <c r="A957">
        <v>0</v>
      </c>
    </row>
    <row r="958" spans="1:1" x14ac:dyDescent="0.25">
      <c r="A958">
        <v>0</v>
      </c>
    </row>
    <row r="959" spans="1:1" x14ac:dyDescent="0.25">
      <c r="A959">
        <v>0</v>
      </c>
    </row>
    <row r="960" spans="1:1" x14ac:dyDescent="0.25">
      <c r="A960">
        <v>0</v>
      </c>
    </row>
    <row r="961" spans="1:1" x14ac:dyDescent="0.25">
      <c r="A961">
        <v>0</v>
      </c>
    </row>
    <row r="962" spans="1:1" x14ac:dyDescent="0.25">
      <c r="A962">
        <v>0</v>
      </c>
    </row>
    <row r="963" spans="1:1" x14ac:dyDescent="0.25">
      <c r="A963">
        <v>0</v>
      </c>
    </row>
    <row r="964" spans="1:1" x14ac:dyDescent="0.25">
      <c r="A964">
        <v>0</v>
      </c>
    </row>
    <row r="965" spans="1:1" x14ac:dyDescent="0.25">
      <c r="A965">
        <v>0</v>
      </c>
    </row>
    <row r="966" spans="1:1" x14ac:dyDescent="0.25">
      <c r="A966">
        <v>0</v>
      </c>
    </row>
    <row r="967" spans="1:1" x14ac:dyDescent="0.25">
      <c r="A967">
        <v>0</v>
      </c>
    </row>
    <row r="968" spans="1:1" x14ac:dyDescent="0.25">
      <c r="A968">
        <v>0</v>
      </c>
    </row>
    <row r="969" spans="1:1" x14ac:dyDescent="0.25">
      <c r="A969">
        <v>0</v>
      </c>
    </row>
    <row r="970" spans="1:1" x14ac:dyDescent="0.25">
      <c r="A970">
        <v>0</v>
      </c>
    </row>
    <row r="971" spans="1:1" x14ac:dyDescent="0.25">
      <c r="A971">
        <v>0</v>
      </c>
    </row>
    <row r="972" spans="1:1" x14ac:dyDescent="0.25">
      <c r="A972">
        <v>0</v>
      </c>
    </row>
    <row r="973" spans="1:1" x14ac:dyDescent="0.25">
      <c r="A973">
        <v>0</v>
      </c>
    </row>
    <row r="974" spans="1:1" x14ac:dyDescent="0.25">
      <c r="A974">
        <v>0</v>
      </c>
    </row>
    <row r="975" spans="1:1" x14ac:dyDescent="0.25">
      <c r="A975">
        <v>0</v>
      </c>
    </row>
    <row r="976" spans="1:1" x14ac:dyDescent="0.25">
      <c r="A976">
        <v>0</v>
      </c>
    </row>
    <row r="977" spans="1:1" x14ac:dyDescent="0.25">
      <c r="A977">
        <v>0</v>
      </c>
    </row>
    <row r="978" spans="1:1" x14ac:dyDescent="0.25">
      <c r="A978">
        <v>0</v>
      </c>
    </row>
    <row r="979" spans="1:1" x14ac:dyDescent="0.25">
      <c r="A979">
        <v>0</v>
      </c>
    </row>
    <row r="980" spans="1:1" x14ac:dyDescent="0.25">
      <c r="A980">
        <v>0</v>
      </c>
    </row>
    <row r="981" spans="1:1" x14ac:dyDescent="0.25">
      <c r="A981">
        <v>0</v>
      </c>
    </row>
    <row r="982" spans="1:1" x14ac:dyDescent="0.25">
      <c r="A982">
        <v>0</v>
      </c>
    </row>
    <row r="983" spans="1:1" x14ac:dyDescent="0.25">
      <c r="A983">
        <v>0</v>
      </c>
    </row>
    <row r="984" spans="1:1" x14ac:dyDescent="0.25">
      <c r="A984">
        <v>0</v>
      </c>
    </row>
    <row r="985" spans="1:1" x14ac:dyDescent="0.25">
      <c r="A985">
        <v>0</v>
      </c>
    </row>
    <row r="986" spans="1:1" x14ac:dyDescent="0.25">
      <c r="A986">
        <v>0</v>
      </c>
    </row>
    <row r="987" spans="1:1" x14ac:dyDescent="0.25">
      <c r="A987">
        <v>0</v>
      </c>
    </row>
    <row r="988" spans="1:1" x14ac:dyDescent="0.25">
      <c r="A988">
        <v>0</v>
      </c>
    </row>
    <row r="989" spans="1:1" x14ac:dyDescent="0.25">
      <c r="A989">
        <v>0</v>
      </c>
    </row>
    <row r="990" spans="1:1" x14ac:dyDescent="0.25">
      <c r="A990">
        <v>0</v>
      </c>
    </row>
    <row r="991" spans="1:1" x14ac:dyDescent="0.25">
      <c r="A991">
        <v>0</v>
      </c>
    </row>
    <row r="992" spans="1:1" x14ac:dyDescent="0.25">
      <c r="A992">
        <v>0</v>
      </c>
    </row>
    <row r="993" spans="1:1" x14ac:dyDescent="0.25">
      <c r="A993">
        <v>0</v>
      </c>
    </row>
    <row r="994" spans="1:1" x14ac:dyDescent="0.25">
      <c r="A994">
        <v>0</v>
      </c>
    </row>
    <row r="995" spans="1:1" x14ac:dyDescent="0.25">
      <c r="A995">
        <v>0</v>
      </c>
    </row>
    <row r="996" spans="1:1" x14ac:dyDescent="0.25">
      <c r="A996">
        <v>0</v>
      </c>
    </row>
    <row r="997" spans="1:1" x14ac:dyDescent="0.25">
      <c r="A997">
        <v>0</v>
      </c>
    </row>
    <row r="998" spans="1:1" x14ac:dyDescent="0.25">
      <c r="A998">
        <v>0</v>
      </c>
    </row>
    <row r="999" spans="1:1" x14ac:dyDescent="0.25">
      <c r="A999">
        <v>0</v>
      </c>
    </row>
    <row r="1000" spans="1:1" x14ac:dyDescent="0.25">
      <c r="A1000">
        <v>0</v>
      </c>
    </row>
    <row r="1001" spans="1:1" x14ac:dyDescent="0.25">
      <c r="A1001">
        <v>0</v>
      </c>
    </row>
    <row r="1002" spans="1:1" x14ac:dyDescent="0.25">
      <c r="A1002">
        <v>0</v>
      </c>
    </row>
    <row r="1003" spans="1:1" x14ac:dyDescent="0.25">
      <c r="A1003">
        <v>0</v>
      </c>
    </row>
    <row r="1004" spans="1:1" x14ac:dyDescent="0.25">
      <c r="A1004">
        <v>0</v>
      </c>
    </row>
    <row r="1005" spans="1:1" x14ac:dyDescent="0.25">
      <c r="A1005">
        <v>0</v>
      </c>
    </row>
    <row r="1006" spans="1:1" x14ac:dyDescent="0.25">
      <c r="A1006">
        <v>0</v>
      </c>
    </row>
    <row r="1007" spans="1:1" x14ac:dyDescent="0.25">
      <c r="A1007">
        <v>0</v>
      </c>
    </row>
    <row r="1008" spans="1:1" x14ac:dyDescent="0.25">
      <c r="A1008">
        <v>0</v>
      </c>
    </row>
    <row r="1009" spans="1:1" x14ac:dyDescent="0.25">
      <c r="A1009">
        <v>0</v>
      </c>
    </row>
    <row r="1010" spans="1:1" x14ac:dyDescent="0.25">
      <c r="A1010">
        <v>0</v>
      </c>
    </row>
    <row r="1011" spans="1:1" x14ac:dyDescent="0.25">
      <c r="A1011">
        <v>0</v>
      </c>
    </row>
  </sheetData>
  <mergeCells count="80">
    <mergeCell ref="H752:I752"/>
    <mergeCell ref="H719:I719"/>
    <mergeCell ref="H720:I720"/>
    <mergeCell ref="H721:I721"/>
    <mergeCell ref="H750:I750"/>
    <mergeCell ref="H751:I751"/>
    <mergeCell ref="H658:I658"/>
    <mergeCell ref="H659:I659"/>
    <mergeCell ref="H688:I688"/>
    <mergeCell ref="H689:I689"/>
    <mergeCell ref="H690:I690"/>
    <mergeCell ref="H597:I597"/>
    <mergeCell ref="H626:I626"/>
    <mergeCell ref="H627:I627"/>
    <mergeCell ref="H628:I628"/>
    <mergeCell ref="H657:I657"/>
    <mergeCell ref="H564:I564"/>
    <mergeCell ref="H565:I565"/>
    <mergeCell ref="H566:I566"/>
    <mergeCell ref="H595:I595"/>
    <mergeCell ref="H596:I596"/>
    <mergeCell ref="D2:G2"/>
    <mergeCell ref="D1:I1"/>
    <mergeCell ref="H100:I100"/>
    <mergeCell ref="H5:I5"/>
    <mergeCell ref="H6:I6"/>
    <mergeCell ref="H7:I7"/>
    <mergeCell ref="D3:G3"/>
    <mergeCell ref="H37:I37"/>
    <mergeCell ref="H38:I38"/>
    <mergeCell ref="I3:J3"/>
    <mergeCell ref="H39:I39"/>
    <mergeCell ref="H68:I68"/>
    <mergeCell ref="H69:I69"/>
    <mergeCell ref="H70:I70"/>
    <mergeCell ref="H99:I99"/>
    <mergeCell ref="A4:J4"/>
    <mergeCell ref="H224:I224"/>
    <mergeCell ref="H101:I101"/>
    <mergeCell ref="H130:I130"/>
    <mergeCell ref="H131:I131"/>
    <mergeCell ref="H132:I132"/>
    <mergeCell ref="H161:I161"/>
    <mergeCell ref="H162:I162"/>
    <mergeCell ref="H163:I163"/>
    <mergeCell ref="H192:I192"/>
    <mergeCell ref="H193:I193"/>
    <mergeCell ref="H194:I194"/>
    <mergeCell ref="H223:I223"/>
    <mergeCell ref="H348:I348"/>
    <mergeCell ref="H225:I225"/>
    <mergeCell ref="H254:I254"/>
    <mergeCell ref="H255:I255"/>
    <mergeCell ref="H256:I256"/>
    <mergeCell ref="H285:I285"/>
    <mergeCell ref="H286:I286"/>
    <mergeCell ref="H287:I287"/>
    <mergeCell ref="H316:I316"/>
    <mergeCell ref="H317:I317"/>
    <mergeCell ref="H318:I318"/>
    <mergeCell ref="H347:I347"/>
    <mergeCell ref="H472:I472"/>
    <mergeCell ref="H349:I349"/>
    <mergeCell ref="H378:I378"/>
    <mergeCell ref="H379:I379"/>
    <mergeCell ref="H380:I380"/>
    <mergeCell ref="H409:I409"/>
    <mergeCell ref="H410:I410"/>
    <mergeCell ref="H411:I411"/>
    <mergeCell ref="H440:I440"/>
    <mergeCell ref="H441:I441"/>
    <mergeCell ref="H442:I442"/>
    <mergeCell ref="H471:I471"/>
    <mergeCell ref="H535:I535"/>
    <mergeCell ref="H473:I473"/>
    <mergeCell ref="H502:I502"/>
    <mergeCell ref="H503:I503"/>
    <mergeCell ref="H504:I504"/>
    <mergeCell ref="H533:I533"/>
    <mergeCell ref="H534:I534"/>
  </mergeCells>
  <conditionalFormatting sqref="G9:H36">
    <cfRule type="cellIs" priority="405" stopIfTrue="1" operator="equal">
      <formula>""</formula>
    </cfRule>
    <cfRule type="cellIs" dxfId="185" priority="406" operator="equal">
      <formula>0</formula>
    </cfRule>
    <cfRule type="cellIs" dxfId="184" priority="407" operator="lessThan">
      <formula>0</formula>
    </cfRule>
    <cfRule type="cellIs" dxfId="183" priority="408" operator="greaterThan">
      <formula>0</formula>
    </cfRule>
  </conditionalFormatting>
  <conditionalFormatting sqref="G41:H67">
    <cfRule type="cellIs" priority="187" stopIfTrue="1" operator="equal">
      <formula>""</formula>
    </cfRule>
    <cfRule type="cellIs" dxfId="182" priority="188" operator="equal">
      <formula>0</formula>
    </cfRule>
    <cfRule type="cellIs" dxfId="181" priority="189" operator="lessThan">
      <formula>0</formula>
    </cfRule>
    <cfRule type="cellIs" dxfId="180" priority="190" operator="greaterThan">
      <formula>0</formula>
    </cfRule>
  </conditionalFormatting>
  <conditionalFormatting sqref="G72:H98">
    <cfRule type="cellIs" priority="183" stopIfTrue="1" operator="equal">
      <formula>""</formula>
    </cfRule>
    <cfRule type="cellIs" dxfId="179" priority="184" operator="equal">
      <formula>0</formula>
    </cfRule>
    <cfRule type="cellIs" dxfId="178" priority="185" operator="lessThan">
      <formula>0</formula>
    </cfRule>
    <cfRule type="cellIs" dxfId="177" priority="186" operator="greaterThan">
      <formula>0</formula>
    </cfRule>
  </conditionalFormatting>
  <conditionalFormatting sqref="G103:H129">
    <cfRule type="cellIs" priority="179" stopIfTrue="1" operator="equal">
      <formula>""</formula>
    </cfRule>
    <cfRule type="cellIs" dxfId="176" priority="180" operator="equal">
      <formula>0</formula>
    </cfRule>
    <cfRule type="cellIs" dxfId="175" priority="181" operator="lessThan">
      <formula>0</formula>
    </cfRule>
    <cfRule type="cellIs" dxfId="174" priority="182" operator="greaterThan">
      <formula>0</formula>
    </cfRule>
  </conditionalFormatting>
  <conditionalFormatting sqref="G134:H160">
    <cfRule type="cellIs" priority="175" stopIfTrue="1" operator="equal">
      <formula>""</formula>
    </cfRule>
    <cfRule type="cellIs" dxfId="173" priority="176" operator="equal">
      <formula>0</formula>
    </cfRule>
    <cfRule type="cellIs" dxfId="172" priority="177" operator="lessThan">
      <formula>0</formula>
    </cfRule>
    <cfRule type="cellIs" dxfId="171" priority="178" operator="greaterThan">
      <formula>0</formula>
    </cfRule>
  </conditionalFormatting>
  <conditionalFormatting sqref="G165:H191">
    <cfRule type="cellIs" priority="171" stopIfTrue="1" operator="equal">
      <formula>""</formula>
    </cfRule>
    <cfRule type="cellIs" dxfId="170" priority="172" operator="equal">
      <formula>0</formula>
    </cfRule>
    <cfRule type="cellIs" dxfId="169" priority="173" operator="lessThan">
      <formula>0</formula>
    </cfRule>
    <cfRule type="cellIs" dxfId="168" priority="174" operator="greaterThan">
      <formula>0</formula>
    </cfRule>
  </conditionalFormatting>
  <conditionalFormatting sqref="G196:H222">
    <cfRule type="cellIs" priority="167" stopIfTrue="1" operator="equal">
      <formula>""</formula>
    </cfRule>
    <cfRule type="cellIs" dxfId="167" priority="168" operator="equal">
      <formula>0</formula>
    </cfRule>
    <cfRule type="cellIs" dxfId="166" priority="169" operator="lessThan">
      <formula>0</formula>
    </cfRule>
    <cfRule type="cellIs" dxfId="165" priority="170" operator="greaterThan">
      <formula>0</formula>
    </cfRule>
  </conditionalFormatting>
  <conditionalFormatting sqref="G227:H253">
    <cfRule type="cellIs" priority="163" stopIfTrue="1" operator="equal">
      <formula>""</formula>
    </cfRule>
    <cfRule type="cellIs" dxfId="164" priority="164" operator="equal">
      <formula>0</formula>
    </cfRule>
    <cfRule type="cellIs" dxfId="163" priority="165" operator="lessThan">
      <formula>0</formula>
    </cfRule>
    <cfRule type="cellIs" dxfId="162" priority="166" operator="greaterThan">
      <formula>0</formula>
    </cfRule>
  </conditionalFormatting>
  <conditionalFormatting sqref="G258:H284">
    <cfRule type="cellIs" priority="159" stopIfTrue="1" operator="equal">
      <formula>""</formula>
    </cfRule>
    <cfRule type="cellIs" dxfId="161" priority="160" operator="equal">
      <formula>0</formula>
    </cfRule>
    <cfRule type="cellIs" dxfId="160" priority="161" operator="lessThan">
      <formula>0</formula>
    </cfRule>
    <cfRule type="cellIs" dxfId="159" priority="162" operator="greaterThan">
      <formula>0</formula>
    </cfRule>
  </conditionalFormatting>
  <conditionalFormatting sqref="G289:H315">
    <cfRule type="cellIs" priority="155" stopIfTrue="1" operator="equal">
      <formula>""</formula>
    </cfRule>
    <cfRule type="cellIs" dxfId="158" priority="156" operator="equal">
      <formula>0</formula>
    </cfRule>
    <cfRule type="cellIs" dxfId="157" priority="157" operator="lessThan">
      <formula>0</formula>
    </cfRule>
    <cfRule type="cellIs" dxfId="156" priority="158" operator="greaterThan">
      <formula>0</formula>
    </cfRule>
  </conditionalFormatting>
  <conditionalFormatting sqref="G320:H346">
    <cfRule type="cellIs" priority="151" stopIfTrue="1" operator="equal">
      <formula>""</formula>
    </cfRule>
    <cfRule type="cellIs" dxfId="155" priority="152" operator="equal">
      <formula>0</formula>
    </cfRule>
    <cfRule type="cellIs" dxfId="154" priority="153" operator="lessThan">
      <formula>0</formula>
    </cfRule>
    <cfRule type="cellIs" dxfId="153" priority="154" operator="greaterThan">
      <formula>0</formula>
    </cfRule>
  </conditionalFormatting>
  <conditionalFormatting sqref="G351:H377">
    <cfRule type="cellIs" priority="147" stopIfTrue="1" operator="equal">
      <formula>""</formula>
    </cfRule>
    <cfRule type="cellIs" dxfId="152" priority="148" operator="equal">
      <formula>0</formula>
    </cfRule>
    <cfRule type="cellIs" dxfId="151" priority="149" operator="lessThan">
      <formula>0</formula>
    </cfRule>
    <cfRule type="cellIs" dxfId="150" priority="150" operator="greaterThan">
      <formula>0</formula>
    </cfRule>
  </conditionalFormatting>
  <conditionalFormatting sqref="G382:H408">
    <cfRule type="cellIs" priority="143" stopIfTrue="1" operator="equal">
      <formula>""</formula>
    </cfRule>
    <cfRule type="cellIs" dxfId="149" priority="144" operator="equal">
      <formula>0</formula>
    </cfRule>
    <cfRule type="cellIs" dxfId="148" priority="145" operator="lessThan">
      <formula>0</formula>
    </cfRule>
    <cfRule type="cellIs" dxfId="147" priority="146" operator="greaterThan">
      <formula>0</formula>
    </cfRule>
  </conditionalFormatting>
  <conditionalFormatting sqref="G413:H439">
    <cfRule type="cellIs" priority="139" stopIfTrue="1" operator="equal">
      <formula>""</formula>
    </cfRule>
    <cfRule type="cellIs" dxfId="146" priority="140" operator="equal">
      <formula>0</formula>
    </cfRule>
    <cfRule type="cellIs" dxfId="145" priority="141" operator="lessThan">
      <formula>0</formula>
    </cfRule>
    <cfRule type="cellIs" dxfId="144" priority="142" operator="greaterThan">
      <formula>0</formula>
    </cfRule>
  </conditionalFormatting>
  <conditionalFormatting sqref="G444:H470">
    <cfRule type="cellIs" priority="135" stopIfTrue="1" operator="equal">
      <formula>""</formula>
    </cfRule>
    <cfRule type="cellIs" dxfId="143" priority="136" operator="equal">
      <formula>0</formula>
    </cfRule>
    <cfRule type="cellIs" dxfId="142" priority="137" operator="lessThan">
      <formula>0</formula>
    </cfRule>
    <cfRule type="cellIs" dxfId="141" priority="138" operator="greaterThan">
      <formula>0</formula>
    </cfRule>
  </conditionalFormatting>
  <conditionalFormatting sqref="G475:H501">
    <cfRule type="cellIs" priority="131" stopIfTrue="1" operator="equal">
      <formula>""</formula>
    </cfRule>
    <cfRule type="cellIs" dxfId="140" priority="132" operator="equal">
      <formula>0</formula>
    </cfRule>
    <cfRule type="cellIs" dxfId="139" priority="133" operator="lessThan">
      <formula>0</formula>
    </cfRule>
    <cfRule type="cellIs" dxfId="138" priority="134" operator="greaterThan">
      <formula>0</formula>
    </cfRule>
  </conditionalFormatting>
  <conditionalFormatting sqref="G506:H532">
    <cfRule type="cellIs" priority="127" stopIfTrue="1" operator="equal">
      <formula>""</formula>
    </cfRule>
    <cfRule type="cellIs" dxfId="137" priority="128" operator="equal">
      <formula>0</formula>
    </cfRule>
    <cfRule type="cellIs" dxfId="136" priority="129" operator="lessThan">
      <formula>0</formula>
    </cfRule>
    <cfRule type="cellIs" dxfId="135" priority="130" operator="greaterThan">
      <formula>0</formula>
    </cfRule>
  </conditionalFormatting>
  <conditionalFormatting sqref="G537:H563">
    <cfRule type="cellIs" priority="123" stopIfTrue="1" operator="equal">
      <formula>""</formula>
    </cfRule>
    <cfRule type="cellIs" dxfId="134" priority="124" operator="equal">
      <formula>0</formula>
    </cfRule>
    <cfRule type="cellIs" dxfId="133" priority="125" operator="lessThan">
      <formula>0</formula>
    </cfRule>
    <cfRule type="cellIs" dxfId="132" priority="126" operator="greaterThan">
      <formula>0</formula>
    </cfRule>
  </conditionalFormatting>
  <conditionalFormatting sqref="G568:H594">
    <cfRule type="cellIs" priority="116" stopIfTrue="1" operator="equal">
      <formula>""</formula>
    </cfRule>
    <cfRule type="cellIs" dxfId="131" priority="117" operator="equal">
      <formula>0</formula>
    </cfRule>
    <cfRule type="cellIs" dxfId="130" priority="118" operator="lessThan">
      <formula>0</formula>
    </cfRule>
    <cfRule type="cellIs" dxfId="129" priority="119" operator="greaterThan">
      <formula>0</formula>
    </cfRule>
  </conditionalFormatting>
  <conditionalFormatting sqref="G599:H625">
    <cfRule type="cellIs" priority="109" stopIfTrue="1" operator="equal">
      <formula>""</formula>
    </cfRule>
    <cfRule type="cellIs" dxfId="128" priority="110" operator="equal">
      <formula>0</formula>
    </cfRule>
    <cfRule type="cellIs" dxfId="127" priority="111" operator="lessThan">
      <formula>0</formula>
    </cfRule>
    <cfRule type="cellIs" dxfId="126" priority="112" operator="greaterThan">
      <formula>0</formula>
    </cfRule>
  </conditionalFormatting>
  <conditionalFormatting sqref="G630:H656">
    <cfRule type="cellIs" priority="102" stopIfTrue="1" operator="equal">
      <formula>""</formula>
    </cfRule>
    <cfRule type="cellIs" dxfId="125" priority="103" operator="equal">
      <formula>0</formula>
    </cfRule>
    <cfRule type="cellIs" dxfId="124" priority="104" operator="lessThan">
      <formula>0</formula>
    </cfRule>
    <cfRule type="cellIs" dxfId="123" priority="105" operator="greaterThan">
      <formula>0</formula>
    </cfRule>
  </conditionalFormatting>
  <conditionalFormatting sqref="G661:H687">
    <cfRule type="cellIs" priority="95" stopIfTrue="1" operator="equal">
      <formula>""</formula>
    </cfRule>
    <cfRule type="cellIs" dxfId="122" priority="96" operator="equal">
      <formula>0</formula>
    </cfRule>
    <cfRule type="cellIs" dxfId="121" priority="97" operator="lessThan">
      <formula>0</formula>
    </cfRule>
    <cfRule type="cellIs" dxfId="120" priority="98" operator="greaterThan">
      <formula>0</formula>
    </cfRule>
  </conditionalFormatting>
  <conditionalFormatting sqref="G692:H718">
    <cfRule type="cellIs" priority="88" stopIfTrue="1" operator="equal">
      <formula>""</formula>
    </cfRule>
    <cfRule type="cellIs" dxfId="119" priority="89" operator="equal">
      <formula>0</formula>
    </cfRule>
    <cfRule type="cellIs" dxfId="118" priority="90" operator="lessThan">
      <formula>0</formula>
    </cfRule>
    <cfRule type="cellIs" dxfId="117" priority="91" operator="greaterThan">
      <formula>0</formula>
    </cfRule>
  </conditionalFormatting>
  <conditionalFormatting sqref="G723:H749">
    <cfRule type="cellIs" priority="81" stopIfTrue="1" operator="equal">
      <formula>""</formula>
    </cfRule>
    <cfRule type="cellIs" dxfId="116" priority="82" operator="equal">
      <formula>0</formula>
    </cfRule>
    <cfRule type="cellIs" dxfId="115" priority="83" operator="lessThan">
      <formula>0</formula>
    </cfRule>
    <cfRule type="cellIs" dxfId="114" priority="84" operator="greaterThan">
      <formula>0</formula>
    </cfRule>
  </conditionalFormatting>
  <conditionalFormatting sqref="B754:B780">
    <cfRule type="expression" dxfId="113" priority="78" stopIfTrue="1">
      <formula>AND(($L754=1),($K754="YES"))</formula>
    </cfRule>
    <cfRule type="expression" dxfId="112" priority="79">
      <formula>($L754=1)</formula>
    </cfRule>
    <cfRule type="expression" dxfId="111" priority="80">
      <formula>($K754="Yes")</formula>
    </cfRule>
  </conditionalFormatting>
  <conditionalFormatting sqref="G754:H780">
    <cfRule type="cellIs" priority="74" stopIfTrue="1" operator="equal">
      <formula>""</formula>
    </cfRule>
    <cfRule type="cellIs" dxfId="110" priority="75" operator="equal">
      <formula>0</formula>
    </cfRule>
    <cfRule type="cellIs" dxfId="109" priority="76" operator="lessThan">
      <formula>0</formula>
    </cfRule>
    <cfRule type="cellIs" dxfId="108" priority="77" operator="greaterThan">
      <formula>0</formula>
    </cfRule>
  </conditionalFormatting>
  <conditionalFormatting sqref="B723:B749">
    <cfRule type="expression" dxfId="107" priority="71" stopIfTrue="1">
      <formula>AND(($L723=1),($K723="YES"))</formula>
    </cfRule>
    <cfRule type="expression" dxfId="106" priority="72">
      <formula>($L723=1)</formula>
    </cfRule>
    <cfRule type="expression" dxfId="105" priority="73">
      <formula>($K723="Yes")</formula>
    </cfRule>
  </conditionalFormatting>
  <conditionalFormatting sqref="B692:B718">
    <cfRule type="expression" dxfId="104" priority="68" stopIfTrue="1">
      <formula>AND(($L692=1),($K692="YES"))</formula>
    </cfRule>
    <cfRule type="expression" dxfId="103" priority="69">
      <formula>($L692=1)</formula>
    </cfRule>
    <cfRule type="expression" dxfId="102" priority="70">
      <formula>($K692="Yes")</formula>
    </cfRule>
  </conditionalFormatting>
  <conditionalFormatting sqref="B661:B687">
    <cfRule type="expression" dxfId="101" priority="65" stopIfTrue="1">
      <formula>AND(($L661=1),($K661="YES"))</formula>
    </cfRule>
    <cfRule type="expression" dxfId="100" priority="66">
      <formula>($L661=1)</formula>
    </cfRule>
    <cfRule type="expression" dxfId="99" priority="67">
      <formula>($K661="Yes")</formula>
    </cfRule>
  </conditionalFormatting>
  <conditionalFormatting sqref="B630:B656">
    <cfRule type="expression" dxfId="98" priority="62" stopIfTrue="1">
      <formula>AND(($L630=1),($K630="YES"))</formula>
    </cfRule>
    <cfRule type="expression" dxfId="97" priority="63">
      <formula>($L630=1)</formula>
    </cfRule>
    <cfRule type="expression" dxfId="96" priority="64">
      <formula>($K630="Yes")</formula>
    </cfRule>
  </conditionalFormatting>
  <conditionalFormatting sqref="B599:B625">
    <cfRule type="expression" dxfId="95" priority="59" stopIfTrue="1">
      <formula>AND(($L599=1),($K599="YES"))</formula>
    </cfRule>
    <cfRule type="expression" dxfId="94" priority="60">
      <formula>($L599=1)</formula>
    </cfRule>
    <cfRule type="expression" dxfId="93" priority="61">
      <formula>($K599="Yes")</formula>
    </cfRule>
  </conditionalFormatting>
  <conditionalFormatting sqref="B568:B594">
    <cfRule type="expression" dxfId="92" priority="56" stopIfTrue="1">
      <formula>AND(($L568=1),($K568="YES"))</formula>
    </cfRule>
    <cfRule type="expression" dxfId="91" priority="57">
      <formula>($L568=1)</formula>
    </cfRule>
    <cfRule type="expression" dxfId="90" priority="58">
      <formula>($K568="Yes")</formula>
    </cfRule>
  </conditionalFormatting>
  <conditionalFormatting sqref="B537:B563">
    <cfRule type="expression" dxfId="89" priority="53" stopIfTrue="1">
      <formula>AND(($L537=1),($K537="YES"))</formula>
    </cfRule>
    <cfRule type="expression" dxfId="88" priority="54">
      <formula>($L537=1)</formula>
    </cfRule>
    <cfRule type="expression" dxfId="87" priority="55">
      <formula>($K537="Yes")</formula>
    </cfRule>
  </conditionalFormatting>
  <conditionalFormatting sqref="B506:B532">
    <cfRule type="expression" dxfId="86" priority="50" stopIfTrue="1">
      <formula>AND(($L506=1),($K506="YES"))</formula>
    </cfRule>
    <cfRule type="expression" dxfId="85" priority="51">
      <formula>($L506=1)</formula>
    </cfRule>
    <cfRule type="expression" dxfId="84" priority="52">
      <formula>($K506="Yes")</formula>
    </cfRule>
  </conditionalFormatting>
  <conditionalFormatting sqref="B475:B501">
    <cfRule type="expression" dxfId="83" priority="47" stopIfTrue="1">
      <formula>AND(($L475=1),($K475="YES"))</formula>
    </cfRule>
    <cfRule type="expression" dxfId="82" priority="48">
      <formula>($L475=1)</formula>
    </cfRule>
    <cfRule type="expression" dxfId="81" priority="49">
      <formula>($K475="Yes")</formula>
    </cfRule>
  </conditionalFormatting>
  <conditionalFormatting sqref="B444:B470">
    <cfRule type="expression" dxfId="80" priority="44" stopIfTrue="1">
      <formula>AND(($L444=1),($K444="YES"))</formula>
    </cfRule>
    <cfRule type="expression" dxfId="79" priority="45">
      <formula>($L444=1)</formula>
    </cfRule>
    <cfRule type="expression" dxfId="78" priority="46">
      <formula>($K444="Yes")</formula>
    </cfRule>
  </conditionalFormatting>
  <conditionalFormatting sqref="B413:B439">
    <cfRule type="expression" dxfId="77" priority="41" stopIfTrue="1">
      <formula>AND(($L413=1),($K413="YES"))</formula>
    </cfRule>
    <cfRule type="expression" dxfId="76" priority="42">
      <formula>($L413=1)</formula>
    </cfRule>
    <cfRule type="expression" dxfId="75" priority="43">
      <formula>($K413="Yes")</formula>
    </cfRule>
  </conditionalFormatting>
  <conditionalFormatting sqref="B382:B408">
    <cfRule type="expression" dxfId="74" priority="38" stopIfTrue="1">
      <formula>AND(($L382=1),($K382="YES"))</formula>
    </cfRule>
    <cfRule type="expression" dxfId="73" priority="39">
      <formula>($L382=1)</formula>
    </cfRule>
    <cfRule type="expression" dxfId="72" priority="40">
      <formula>($K382="Yes")</formula>
    </cfRule>
  </conditionalFormatting>
  <conditionalFormatting sqref="B351:B377">
    <cfRule type="expression" dxfId="71" priority="35" stopIfTrue="1">
      <formula>AND(($L351=1),($K351="YES"))</formula>
    </cfRule>
    <cfRule type="expression" dxfId="70" priority="36">
      <formula>($L351=1)</formula>
    </cfRule>
    <cfRule type="expression" dxfId="69" priority="37">
      <formula>($K351="Yes")</formula>
    </cfRule>
  </conditionalFormatting>
  <conditionalFormatting sqref="B320:B346">
    <cfRule type="expression" dxfId="68" priority="32" stopIfTrue="1">
      <formula>AND(($L320=1),($K320="YES"))</formula>
    </cfRule>
    <cfRule type="expression" dxfId="67" priority="33">
      <formula>($L320=1)</formula>
    </cfRule>
    <cfRule type="expression" dxfId="66" priority="34">
      <formula>($K320="Yes")</formula>
    </cfRule>
  </conditionalFormatting>
  <conditionalFormatting sqref="B289:B315">
    <cfRule type="expression" dxfId="65" priority="29" stopIfTrue="1">
      <formula>AND(($L289=1),($K289="YES"))</formula>
    </cfRule>
    <cfRule type="expression" dxfId="64" priority="30">
      <formula>($L289=1)</formula>
    </cfRule>
    <cfRule type="expression" dxfId="63" priority="31">
      <formula>($K289="Yes")</formula>
    </cfRule>
  </conditionalFormatting>
  <conditionalFormatting sqref="B258:B284">
    <cfRule type="expression" dxfId="62" priority="26" stopIfTrue="1">
      <formula>AND(($L258=1),($K258="YES"))</formula>
    </cfRule>
    <cfRule type="expression" dxfId="61" priority="27">
      <formula>($L258=1)</formula>
    </cfRule>
    <cfRule type="expression" dxfId="60" priority="28">
      <formula>($K258="Yes")</formula>
    </cfRule>
  </conditionalFormatting>
  <conditionalFormatting sqref="B227:B253">
    <cfRule type="expression" dxfId="59" priority="23" stopIfTrue="1">
      <formula>AND(($L227=1),($K227="YES"))</formula>
    </cfRule>
    <cfRule type="expression" dxfId="58" priority="24">
      <formula>($L227=1)</formula>
    </cfRule>
    <cfRule type="expression" dxfId="57" priority="25">
      <formula>($K227="Yes")</formula>
    </cfRule>
  </conditionalFormatting>
  <conditionalFormatting sqref="B196:B222">
    <cfRule type="expression" dxfId="56" priority="20" stopIfTrue="1">
      <formula>AND(($L196=1),($K196="YES"))</formula>
    </cfRule>
    <cfRule type="expression" dxfId="55" priority="21">
      <formula>($L196=1)</formula>
    </cfRule>
    <cfRule type="expression" dxfId="54" priority="22">
      <formula>($K196="Yes")</formula>
    </cfRule>
  </conditionalFormatting>
  <conditionalFormatting sqref="B165:B191">
    <cfRule type="expression" dxfId="53" priority="17" stopIfTrue="1">
      <formula>AND(($L165=1),($K165="YES"))</formula>
    </cfRule>
    <cfRule type="expression" dxfId="52" priority="18">
      <formula>($L165=1)</formula>
    </cfRule>
    <cfRule type="expression" dxfId="51" priority="19">
      <formula>($K165="Yes")</formula>
    </cfRule>
  </conditionalFormatting>
  <conditionalFormatting sqref="B134:B160">
    <cfRule type="expression" dxfId="50" priority="14" stopIfTrue="1">
      <formula>AND(($L134=1),($K134="YES"))</formula>
    </cfRule>
    <cfRule type="expression" dxfId="49" priority="15">
      <formula>($L134=1)</formula>
    </cfRule>
    <cfRule type="expression" dxfId="48" priority="16">
      <formula>($K134="Yes")</formula>
    </cfRule>
  </conditionalFormatting>
  <conditionalFormatting sqref="B103:B129">
    <cfRule type="expression" dxfId="47" priority="11" stopIfTrue="1">
      <formula>AND(($L103=1),($K103="YES"))</formula>
    </cfRule>
    <cfRule type="expression" dxfId="46" priority="12">
      <formula>($L103=1)</formula>
    </cfRule>
    <cfRule type="expression" dxfId="45" priority="13">
      <formula>($K103="Yes")</formula>
    </cfRule>
  </conditionalFormatting>
  <conditionalFormatting sqref="B72:B98">
    <cfRule type="expression" dxfId="44" priority="8" stopIfTrue="1">
      <formula>AND(($L72=1),($K72="YES"))</formula>
    </cfRule>
    <cfRule type="expression" dxfId="43" priority="9">
      <formula>($L72=1)</formula>
    </cfRule>
    <cfRule type="expression" dxfId="42" priority="10">
      <formula>($K72="Yes")</formula>
    </cfRule>
  </conditionalFormatting>
  <conditionalFormatting sqref="B41:B67">
    <cfRule type="expression" dxfId="41" priority="5" stopIfTrue="1">
      <formula>AND(($L41=1),($K41="YES"))</formula>
    </cfRule>
    <cfRule type="expression" dxfId="40" priority="6">
      <formula>($L41=1)</formula>
    </cfRule>
    <cfRule type="expression" dxfId="39" priority="7">
      <formula>($K41="Yes")</formula>
    </cfRule>
  </conditionalFormatting>
  <conditionalFormatting sqref="B9:B36">
    <cfRule type="expression" dxfId="38" priority="2" stopIfTrue="1">
      <formula>AND(($L9=1),($K9="YES"))</formula>
    </cfRule>
    <cfRule type="expression" dxfId="37" priority="3">
      <formula>($L9=1)</formula>
    </cfRule>
    <cfRule type="expression" dxfId="36" priority="4">
      <formula>($K9="Yes")</formula>
    </cfRule>
  </conditionalFormatting>
  <conditionalFormatting sqref="G1:G3 G5:G1048576">
    <cfRule type="cellIs" priority="1" stopIfTrue="1" operator="equal">
      <formula>"IPP"</formula>
    </cfRule>
  </conditionalFormatting>
  <pageMargins left="0.23622047244094491" right="0.23622047244094491" top="0.74803149606299213" bottom="0.74803149606299213" header="0.31496062992125984" footer="0.31496062992125984"/>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A4DBCD66-8911-4E6B-8CAF-CFA66059022A}">
          <x14:formula1>
            <xm:f>'Reading Report Logic'!$A$12:$A$28</xm:f>
          </x14:formula1>
          <xm:sqref>D1</xm:sqref>
        </x14:dataValidation>
        <x14:dataValidation type="list" allowBlank="1" showInputMessage="1" showErrorMessage="1" xr:uid="{7F06EB06-22F5-4610-A945-C017CA59B16B}">
          <x14:formula1>
            <xm:f>'Reading Report Logic'!$G$2:$G$4</xm:f>
          </x14:formula1>
          <xm:sqref>J2</xm:sqref>
        </x14:dataValidation>
        <x14:dataValidation type="list" allowBlank="1" showInputMessage="1" showErrorMessage="1" xr:uid="{12B20760-6326-420D-AD89-FC57CA77A245}">
          <x14:formula1>
            <xm:f>'Writing Logic'!$G$8:$G$14</xm:f>
          </x14:formula1>
          <xm:sqref>H2</xm:sqref>
        </x14:dataValidation>
        <x14:dataValidation type="list" allowBlank="1" showInputMessage="1" showErrorMessage="1" xr:uid="{DC4D9381-01F5-4784-8BCC-6B7970402556}">
          <x14:formula1>
            <xm:f>'Reading Report Logic'!$A$2:$A$8</xm:f>
          </x14:formula1>
          <xm:sqref>D2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63B74-1010-4FBD-B19D-061D247E357C}">
  <sheetPr codeName="Sheet7">
    <pageSetUpPr fitToPage="1"/>
  </sheetPr>
  <dimension ref="A1:AC25"/>
  <sheetViews>
    <sheetView workbookViewId="0">
      <pane xSplit="2" ySplit="6" topLeftCell="J7" activePane="bottomRight" state="frozen"/>
      <selection activeCell="B9" sqref="B9"/>
      <selection pane="topRight" activeCell="B9" sqref="B9"/>
      <selection pane="bottomLeft" activeCell="B9" sqref="B9"/>
      <selection pane="bottomRight" activeCell="B9" sqref="B9"/>
    </sheetView>
  </sheetViews>
  <sheetFormatPr defaultRowHeight="15" x14ac:dyDescent="0.25"/>
  <cols>
    <col min="1" max="1" width="14.5703125" customWidth="1"/>
    <col min="2" max="2" width="23.28515625" customWidth="1"/>
    <col min="3" max="8" width="9.28515625" customWidth="1"/>
    <col min="9" max="9" width="16.7109375" customWidth="1"/>
    <col min="10" max="12" width="9.28515625" customWidth="1"/>
    <col min="13" max="13" width="16.7109375" customWidth="1"/>
    <col min="14" max="16" width="9.28515625" customWidth="1"/>
    <col min="17" max="17" width="16.7109375" customWidth="1"/>
    <col min="18" max="20" width="9.28515625" customWidth="1"/>
    <col min="21" max="21" width="16.7109375" customWidth="1"/>
    <col min="22" max="23" width="9.28515625" customWidth="1"/>
    <col min="25" max="25" width="16.7109375" customWidth="1"/>
    <col min="26" max="28" width="0" hidden="1" customWidth="1"/>
    <col min="29" max="29" width="16.7109375" hidden="1" customWidth="1"/>
  </cols>
  <sheetData>
    <row r="1" spans="1:29" ht="24" x14ac:dyDescent="0.4">
      <c r="A1" s="321" t="s">
        <v>205</v>
      </c>
      <c r="B1" s="335"/>
      <c r="C1" s="335"/>
      <c r="D1" s="335"/>
      <c r="E1" s="335"/>
      <c r="F1" s="335"/>
      <c r="G1" s="335"/>
      <c r="H1" s="335"/>
      <c r="I1" s="335"/>
      <c r="J1" s="335"/>
      <c r="K1" s="335"/>
      <c r="L1" s="335"/>
      <c r="M1" s="335"/>
      <c r="N1" s="335"/>
      <c r="O1" s="335"/>
      <c r="P1" s="335"/>
      <c r="Q1" s="335"/>
      <c r="R1" s="335"/>
      <c r="S1" s="335"/>
    </row>
    <row r="2" spans="1:29" ht="9.9499999999999993" customHeight="1" x14ac:dyDescent="0.25"/>
    <row r="3" spans="1:29" x14ac:dyDescent="0.25">
      <c r="A3" s="46" t="s">
        <v>173</v>
      </c>
      <c r="B3" s="310" t="s">
        <v>90</v>
      </c>
      <c r="C3" s="310"/>
      <c r="D3" s="310"/>
      <c r="E3" s="46"/>
      <c r="N3" s="336" t="s">
        <v>180</v>
      </c>
      <c r="O3" s="336"/>
      <c r="P3" s="336"/>
      <c r="Q3" s="337">
        <f ca="1">NOW()</f>
        <v>46168.387202314814</v>
      </c>
      <c r="R3" s="337"/>
      <c r="S3" s="337"/>
    </row>
    <row r="4" spans="1:29" x14ac:dyDescent="0.25">
      <c r="A4" s="46" t="s">
        <v>174</v>
      </c>
      <c r="B4" s="45" t="s">
        <v>175</v>
      </c>
      <c r="N4" s="86"/>
      <c r="O4" s="86"/>
      <c r="P4" s="86"/>
      <c r="Q4" s="43"/>
      <c r="R4" s="43"/>
      <c r="S4" s="43"/>
    </row>
    <row r="5" spans="1:29" ht="9.9499999999999993" customHeight="1" thickBot="1" x14ac:dyDescent="0.3"/>
    <row r="6" spans="1:29" ht="15.75" thickBot="1" x14ac:dyDescent="0.3">
      <c r="C6" s="364" t="s">
        <v>330</v>
      </c>
      <c r="D6" s="365"/>
      <c r="E6" s="365"/>
      <c r="F6" s="367" t="s">
        <v>331</v>
      </c>
      <c r="G6" s="368"/>
      <c r="H6" s="368"/>
      <c r="I6" s="369"/>
      <c r="J6" s="367" t="s">
        <v>332</v>
      </c>
      <c r="K6" s="368"/>
      <c r="L6" s="368"/>
      <c r="M6" s="369"/>
      <c r="N6" s="367" t="s">
        <v>333</v>
      </c>
      <c r="O6" s="368"/>
      <c r="P6" s="368"/>
      <c r="Q6" s="369"/>
      <c r="R6" s="367" t="s">
        <v>334</v>
      </c>
      <c r="S6" s="368"/>
      <c r="T6" s="368"/>
      <c r="U6" s="369"/>
      <c r="V6" s="367" t="s">
        <v>335</v>
      </c>
      <c r="W6" s="368"/>
      <c r="X6" s="368"/>
      <c r="Y6" s="369"/>
      <c r="Z6" s="364"/>
      <c r="AA6" s="365"/>
      <c r="AB6" s="365"/>
      <c r="AC6" s="366"/>
    </row>
    <row r="7" spans="1:29" ht="31.5" customHeight="1" thickBot="1" x14ac:dyDescent="0.3">
      <c r="C7" s="64" t="s">
        <v>194</v>
      </c>
      <c r="D7" s="65" t="s">
        <v>230</v>
      </c>
      <c r="E7" s="66" t="s">
        <v>195</v>
      </c>
      <c r="F7" s="64" t="s">
        <v>194</v>
      </c>
      <c r="G7" s="65" t="s">
        <v>230</v>
      </c>
      <c r="H7" s="65" t="s">
        <v>195</v>
      </c>
      <c r="I7" s="76" t="s">
        <v>258</v>
      </c>
      <c r="J7" s="64" t="s">
        <v>194</v>
      </c>
      <c r="K7" s="65" t="s">
        <v>230</v>
      </c>
      <c r="L7" s="65" t="s">
        <v>195</v>
      </c>
      <c r="M7" s="76" t="s">
        <v>258</v>
      </c>
      <c r="N7" s="64" t="s">
        <v>194</v>
      </c>
      <c r="O7" s="65" t="s">
        <v>230</v>
      </c>
      <c r="P7" s="65" t="s">
        <v>195</v>
      </c>
      <c r="Q7" s="76" t="s">
        <v>258</v>
      </c>
      <c r="R7" s="64" t="s">
        <v>194</v>
      </c>
      <c r="S7" s="65" t="s">
        <v>230</v>
      </c>
      <c r="T7" s="65" t="s">
        <v>195</v>
      </c>
      <c r="U7" s="76" t="s">
        <v>258</v>
      </c>
      <c r="V7" s="64" t="s">
        <v>194</v>
      </c>
      <c r="W7" s="65" t="s">
        <v>230</v>
      </c>
      <c r="X7" s="65" t="s">
        <v>195</v>
      </c>
      <c r="Y7" s="76" t="s">
        <v>258</v>
      </c>
      <c r="Z7" s="64" t="s">
        <v>194</v>
      </c>
      <c r="AA7" s="65" t="s">
        <v>230</v>
      </c>
      <c r="AB7" s="65" t="s">
        <v>195</v>
      </c>
      <c r="AC7" s="76" t="s">
        <v>258</v>
      </c>
    </row>
    <row r="8" spans="1:29" ht="18" customHeight="1" x14ac:dyDescent="0.25">
      <c r="A8" s="370" t="s">
        <v>195</v>
      </c>
      <c r="B8" s="56" t="s">
        <v>211</v>
      </c>
      <c r="C8" s="57">
        <f ca="1">COUNTIFS(YES_Reading_ELA[School],IF($B$3="TCRCE","*",$B$3),YES_Reading_ELA[Literacy IPP],"&lt;&gt;Yes",INDIRECT("YES_Reading_ELA[Difference - Per "&amp;VLOOKUP(C$6,'Reading Report Logic'!$A$2:$B$8,2,FALSE)&amp;"]"),"&gt;=0",YES_Reading_ELA[Grade],VLOOKUP($B$4,'Reading Report Logic'!$D$2:$E$9,2,FALSE))</f>
        <v>0</v>
      </c>
      <c r="D8" s="58">
        <f ca="1">COUNTIFS(YES_Reading_FLA[School],IF($B$3="TCRCE","*",$B$3),YES_Reading_FLA[Literacy IPP],"&lt;&gt;Yes",INDIRECT("YES_Reading_FLA[Difference - Per "&amp;VLOOKUP(C$6,'Reading Report Logic'!$A$2:$B$8,2,FALSE)&amp;"]"),"&gt;=0",YES_Reading_FLA[Grade],VLOOKUP($B$4,'Reading Report Logic'!$D$2:$E$9,2,FALSE))</f>
        <v>0</v>
      </c>
      <c r="E8" s="67" cm="1">
        <f t="array" aca="1" ref="E8" ca="1">SUM(COUNTIFS(INDIRECT("YES_Reading_"&amp;{"ELA","FLA"}&amp;"[School]"),IF($B$3="TCRCE","*",$B$3),INDIRECT("YES_Reading_"&amp;{"ELA","FLA"}&amp;"[Literacy IPP]"),"&lt;&gt;Yes",INDIRECT("YES_Reading_"&amp;{"ELA","FLA"}&amp;"[Difference - Per "&amp;VLOOKUP(C$6,'Reading Report Logic'!$A$2:$B$8,2,FALSE)&amp;"]"),"&gt;=0",INDIRECT("YES_Reading_"&amp;{"ELA","FLA"}&amp;"[Grade]"),VLOOKUP($B$4,'Reading Report Logic'!$D$2:$E$9,2,FALSE)))</f>
        <v>0</v>
      </c>
      <c r="F8" s="57">
        <f ca="1">COUNTIFS(YES_Reading_ELA[School],IF($B$3="TCRCE","*",$B$3),YES_Reading_ELA[Literacy IPP],"&lt;&gt;Yes",INDIRECT("YES_Reading_ELA[Difference - Per "&amp;VLOOKUP(F$6,'Reading Report Logic'!$A$2:$B$8,2,FALSE)&amp;"]"),"&gt;=0",YES_Reading_ELA[Grade],VLOOKUP($B$4,'Reading Report Logic'!$D$2:$E$9,2,FALSE))</f>
        <v>0</v>
      </c>
      <c r="G8" s="58">
        <f ca="1">COUNTIFS(YES_Reading_FLA[School],IF($B$3="TCRCE","*",$B$3),YES_Reading_FLA[Literacy IPP],"&lt;&gt;Yes",INDIRECT("YES_Reading_FLA[Difference - Per "&amp;VLOOKUP(F$6,'Reading Report Logic'!$A$2:$B$8,2,FALSE)&amp;"]"),"&gt;=0",YES_Reading_FLA[Grade],VLOOKUP($B$4,'Reading Report Logic'!$D$2:$E$9,2,FALSE))</f>
        <v>0</v>
      </c>
      <c r="H8" s="58" cm="1">
        <f t="array" aca="1" ref="H8" ca="1">SUM(COUNTIFS(INDIRECT("YES_Reading_"&amp;{"ELA","FLA"}&amp;"[School]"),IF($B$3="TCRCE","*",$B$3),INDIRECT("YES_Reading_"&amp;{"ELA","FLA"}&amp;"[Literacy IPP]"),"&lt;&gt;Yes",INDIRECT("YES_Reading_"&amp;{"ELA","FLA"}&amp;"[Difference - Per "&amp;VLOOKUP(F$6,'Reading Report Logic'!$A$2:$B$8,2,FALSE)&amp;"]"),"&gt;=0",INDIRECT("YES_Reading_"&amp;{"ELA","FLA"}&amp;"[Grade]"),VLOOKUP($B$4,'Reading Report Logic'!$D$2:$E$9,2,FALSE)))</f>
        <v>0</v>
      </c>
      <c r="I8" s="75" t="str">
        <f ca="1">IFERROR(IF(H9=0,"",H8-$E8),"")</f>
        <v/>
      </c>
      <c r="J8" s="57">
        <f ca="1">COUNTIFS(YES_Reading_ELA[School],IF($B$3="TCRCE","*",$B$3),YES_Reading_ELA[Literacy IPP],"&lt;&gt;Yes",INDIRECT("YES_Reading_ELA[Difference - Per "&amp;VLOOKUP(J$6,'Reading Report Logic'!$A$2:$B$8,2,FALSE)&amp;"]"),"&gt;=0",YES_Reading_ELA[Grade],VLOOKUP($B$4,'Reading Report Logic'!$D$2:$E$9,2,FALSE))</f>
        <v>0</v>
      </c>
      <c r="K8" s="58">
        <f ca="1">COUNTIFS(YES_Reading_FLA[School],IF($B$3="TCRCE","*",$B$3),YES_Reading_FLA[Literacy IPP],"&lt;&gt;Yes",INDIRECT("YES_Reading_FLA[Difference - Per "&amp;VLOOKUP(J$6,'Reading Report Logic'!$A$2:$B$8,2,FALSE)&amp;"]"),"&gt;=0",YES_Reading_FLA[Grade],VLOOKUP($B$4,'Reading Report Logic'!$D$2:$E$9,2,FALSE))</f>
        <v>0</v>
      </c>
      <c r="L8" s="58" cm="1">
        <f t="array" aca="1" ref="L8" ca="1">SUM(COUNTIFS(INDIRECT("YES_Reading_"&amp;{"ELA","FLA"}&amp;"[School]"),IF($B$3="TCRCE","*",$B$3),INDIRECT("YES_Reading_"&amp;{"ELA","FLA"}&amp;"[Literacy IPP]"),"&lt;&gt;Yes",INDIRECT("YES_Reading_"&amp;{"ELA","FLA"}&amp;"[Difference - Per "&amp;VLOOKUP(J$6,'Reading Report Logic'!$A$2:$B$8,2,FALSE)&amp;"]"),"&gt;=0",INDIRECT("YES_Reading_"&amp;{"ELA","FLA"}&amp;"[Grade]"),VLOOKUP($B$4,'Reading Report Logic'!$D$2:$E$9,2,FALSE)))</f>
        <v>0</v>
      </c>
      <c r="M8" s="75" t="str">
        <f ca="1">IFERROR(IF(L9=0,"",L8-$E8),"")</f>
        <v/>
      </c>
      <c r="N8" s="57">
        <f ca="1">COUNTIFS(YES_Reading_ELA[School],IF($B$3="TCRCE","*",$B$3),YES_Reading_ELA[Literacy IPP],"&lt;&gt;Yes",INDIRECT("YES_Reading_ELA[Difference - Per "&amp;VLOOKUP(N$6,'Reading Report Logic'!$A$2:$B$8,2,FALSE)&amp;"]"),"&gt;=0",YES_Reading_ELA[Grade],VLOOKUP($B$4,'Reading Report Logic'!$D$2:$E$9,2,FALSE))</f>
        <v>0</v>
      </c>
      <c r="O8" s="58">
        <f ca="1">COUNTIFS(YES_Reading_FLA[School],IF($B$3="TCRCE","*",$B$3),YES_Reading_FLA[Literacy IPP],"&lt;&gt;Yes",INDIRECT("YES_Reading_FLA[Difference - Per "&amp;VLOOKUP(N$6,'Reading Report Logic'!$A$2:$B$8,2,FALSE)&amp;"]"),"&gt;=0",YES_Reading_FLA[Grade],VLOOKUP($B$4,'Reading Report Logic'!$D$2:$E$9,2,FALSE))</f>
        <v>0</v>
      </c>
      <c r="P8" s="58" cm="1">
        <f t="array" aca="1" ref="P8" ca="1">SUM(COUNTIFS(INDIRECT("YES_Reading_"&amp;{"ELA","FLA"}&amp;"[School]"),IF($B$3="TCRCE","*",$B$3),INDIRECT("YES_Reading_"&amp;{"ELA","FLA"}&amp;"[Literacy IPP]"),"&lt;&gt;Yes",INDIRECT("YES_Reading_"&amp;{"ELA","FLA"}&amp;"[Difference - Per "&amp;VLOOKUP(N$6,'Reading Report Logic'!$A$2:$B$8,2,FALSE)&amp;"]"),"&gt;=0",INDIRECT("YES_Reading_"&amp;{"ELA","FLA"}&amp;"[Grade]"),VLOOKUP($B$4,'Reading Report Logic'!$D$2:$E$9,2,FALSE)))</f>
        <v>0</v>
      </c>
      <c r="Q8" s="75" t="str">
        <f ca="1">IFERROR(IF(P9=0,"",P8-$E8),"")</f>
        <v/>
      </c>
      <c r="R8" s="57">
        <f ca="1">COUNTIFS(YES_Reading_ELA[School],IF($B$3="TCRCE","*",$B$3),YES_Reading_ELA[Literacy IPP],"&lt;&gt;Yes",INDIRECT("YES_Reading_ELA[Difference - Per "&amp;VLOOKUP(R$6,'Reading Report Logic'!$A$2:$B$8,2,FALSE)&amp;"]"),"&gt;=0",YES_Reading_ELA[Grade],VLOOKUP($B$4,'Reading Report Logic'!$D$2:$E$9,2,FALSE))</f>
        <v>0</v>
      </c>
      <c r="S8" s="58">
        <f ca="1">COUNTIFS(YES_Reading_FLA[School],IF($B$3="TCRCE","*",$B$3),YES_Reading_FLA[Literacy IPP],"&lt;&gt;Yes",INDIRECT("YES_Reading_FLA[Difference - Per "&amp;VLOOKUP(R$6,'Reading Report Logic'!$A$2:$B$8,2,FALSE)&amp;"]"),"&gt;=0",YES_Reading_FLA[Grade],VLOOKUP($B$4,'Reading Report Logic'!$D$2:$E$9,2,FALSE))</f>
        <v>0</v>
      </c>
      <c r="T8" s="58" cm="1">
        <f t="array" aca="1" ref="T8" ca="1">SUM(COUNTIFS(INDIRECT("YES_Reading_"&amp;{"ELA","FLA"}&amp;"[School]"),IF($B$3="TCRCE","*",$B$3),INDIRECT("YES_Reading_"&amp;{"ELA","FLA"}&amp;"[Literacy IPP]"),"&lt;&gt;Yes",INDIRECT("YES_Reading_"&amp;{"ELA","FLA"}&amp;"[Difference - Per "&amp;VLOOKUP(R$6,'Reading Report Logic'!$A$2:$B$8,2,FALSE)&amp;"]"),"&gt;=0",INDIRECT("YES_Reading_"&amp;{"ELA","FLA"}&amp;"[Grade]"),VLOOKUP($B$4,'Reading Report Logic'!$D$2:$E$9,2,FALSE)))</f>
        <v>0</v>
      </c>
      <c r="U8" s="75" t="str">
        <f ca="1">IFERROR(IF(T9=0,"",T8-$E8),"")</f>
        <v/>
      </c>
      <c r="V8" s="57">
        <f ca="1">COUNTIFS(YES_Reading_ELA[School],IF($B$3="TCRCE","*",$B$3),YES_Reading_ELA[Literacy IPP],"&lt;&gt;Yes",INDIRECT("YES_Reading_ELA[Difference - Per "&amp;VLOOKUP(V$6,'Reading Report Logic'!$A$2:$B$8,2,FALSE)&amp;"]"),"&gt;=0",YES_Reading_ELA[Grade],VLOOKUP($B$4,'Reading Report Logic'!$D$2:$E$9,2,FALSE))</f>
        <v>0</v>
      </c>
      <c r="W8" s="58">
        <f ca="1">COUNTIFS(YES_Reading_FLA[School],IF($B$3="TCRCE","*",$B$3),YES_Reading_FLA[Literacy IPP],"&lt;&gt;Yes",INDIRECT("YES_Reading_FLA[Difference - Per "&amp;VLOOKUP(V$6,'Reading Report Logic'!$A$2:$B$8,2,FALSE)&amp;"]"),"&gt;=0",YES_Reading_FLA[Grade],VLOOKUP($B$4,'Reading Report Logic'!$D$2:$E$9,2,FALSE))</f>
        <v>0</v>
      </c>
      <c r="X8" s="58" cm="1">
        <f t="array" aca="1" ref="X8" ca="1">SUM(COUNTIFS(INDIRECT("YES_Reading_"&amp;{"ELA","FLA"}&amp;"[School]"),IF($B$3="TCRCE","*",$B$3),INDIRECT("YES_Reading_"&amp;{"ELA","FLA"}&amp;"[Literacy IPP]"),"&lt;&gt;Yes",INDIRECT("YES_Reading_"&amp;{"ELA","FLA"}&amp;"[Difference - Per "&amp;VLOOKUP(V$6,'Reading Report Logic'!$A$2:$B$8,2,FALSE)&amp;"]"),"&gt;=0",INDIRECT("YES_Reading_"&amp;{"ELA","FLA"}&amp;"[Grade]"),VLOOKUP($B$4,'Reading Report Logic'!$D$2:$E$9,2,FALSE)))</f>
        <v>0</v>
      </c>
      <c r="Y8" s="75" t="str">
        <f ca="1">IFERROR(IF(X9=0,"",X8-$E8),"")</f>
        <v/>
      </c>
      <c r="Z8" s="57" t="e">
        <f ca="1">COUNTIFS(YES_Reading_ELA[School],IF($B$3="TCRCE","*",$B$3),YES_Reading_ELA[Literacy IPP],"&lt;&gt;Yes",INDIRECT("YES_Reading_ELA[Difference - Per "&amp;VLOOKUP(Z$6,'Reading Report Logic'!$A$2:$B$8,2,FALSE)&amp;"]"),"&gt;=0",YES_Reading_ELA[Grade],VLOOKUP($B$4,'Reading Report Logic'!$D$2:$E$9,2,FALSE))</f>
        <v>#N/A</v>
      </c>
      <c r="AA8" s="58" t="e">
        <f ca="1">COUNTIFS(YES_Reading_FLA[School],IF($B$3="TCRCE","*",$B$3),YES_Reading_FLA[Literacy IPP],"&lt;&gt;Yes",INDIRECT("YES_Reading_FLA[Difference - Per "&amp;VLOOKUP(Z$6,'Reading Report Logic'!$A$2:$B$8,2,FALSE)&amp;"]"),"&gt;=0",YES_Reading_FLA[Grade],VLOOKUP($B$4,'Reading Report Logic'!$D$2:$E$9,2,FALSE))</f>
        <v>#N/A</v>
      </c>
      <c r="AB8" s="58" t="e" cm="1">
        <f t="array" aca="1" ref="AB8" ca="1">SUM(COUNTIFS(INDIRECT("YES_Reading_"&amp;{"ELA","FLA"}&amp;"[School]"),IF($B$3="TCRCE","*",$B$3),INDIRECT("YES_Reading_"&amp;{"ELA","FLA"}&amp;"[Literacy IPP]"),"&lt;&gt;Yes",INDIRECT("YES_Reading_"&amp;{"ELA","FLA"}&amp;"[Difference - Per "&amp;VLOOKUP(Z$6,'Reading Report Logic'!$A$2:$B$8,2,FALSE)&amp;"]"),"&gt;=0",INDIRECT("YES_Reading_"&amp;{"ELA","FLA"}&amp;"[Grade]"),VLOOKUP($B$4,'Reading Report Logic'!$D$2:$E$9,2,FALSE)))</f>
        <v>#N/A</v>
      </c>
      <c r="AC8" s="75" t="str">
        <f ca="1">IFERROR(IF(AB9=0,"",AB8-$E8),"")</f>
        <v/>
      </c>
    </row>
    <row r="9" spans="1:29" ht="18" customHeight="1" x14ac:dyDescent="0.25">
      <c r="A9" s="371"/>
      <c r="B9" s="51" t="s">
        <v>212</v>
      </c>
      <c r="C9" s="52">
        <f ca="1">COUNTIFS(YES_Reading_ELA[School],IF($B$3="TCRCE","*",$B$3),YES_Reading_ELA[Literacy IPP],"&lt;&gt;Yes",INDIRECT("YES_Reading_ELA[Instructional Reading Level - Per "&amp;VLOOKUP(C$6,'Reading Report Logic'!$A$2:$B$8,2,FALSE)&amp;"]"),"&gt;&lt;",YES_Reading_ELA[Grade],VLOOKUP($B$4,'Reading Report Logic'!$D$2:$E$9,2,FALSE))</f>
        <v>0</v>
      </c>
      <c r="D9" s="49" cm="1">
        <f t="array" aca="1" ref="D9" ca="1">SUM(COUNTIFS(YES_Reading_FLA[School],IF($B$3="TCRCE","*",$B$3),YES_Reading_FLA[Literacy IPP],"&lt;&gt;Yes",INDIRECT("YES_Reading_FLA[Instructional Reading Level - Per "&amp;VLOOKUP(C$6,'Reading Report Logic'!$A$2:$B$8,2,FALSE)&amp;"]"),{"&gt;=1","&gt;&lt;"},YES_Reading_FLA[Grade],VLOOKUP($B$4,'Reading Report Logic'!$D$2:$E$9,2,FALSE)))</f>
        <v>0</v>
      </c>
      <c r="E9" s="68" cm="1">
        <f t="array" aca="1" ref="E9" ca="1">SUM(COUNTIFS(INDIRECT("YES_Reading_"&amp;{"ELA","FLA"}&amp;"[School]"),IF($B$3="TCRCE","*",$B$3),INDIRECT("YES_Reading_"&amp;{"ELA","FLA"}&amp;"[Literacy IPP]"),"&lt;&gt;Yes",INDIRECT("YES_Reading_"&amp;{"ELA","FLA"}&amp;"[Instructional Reading Level - Per "&amp;VLOOKUP(C$6,'Reading Report Logic'!$A$2:$B$8,2,FALSE)&amp;"]"),"&gt;=1",INDIRECT("YES_Reading_"&amp;{"ELA","FLA"}&amp;"[Grade]"),VLOOKUP($B$4,'Reading Report Logic'!$D$2:$E$9,2,FALSE)),COUNTIFS(INDIRECT("YES_Reading_"&amp;{"ELA","FLA"}&amp;"[School]"),IF($B$3="TCRCE","*",$B$3),INDIRECT("YES_Reading_"&amp;{"ELA","FLA"}&amp;"[Literacy IPP]"),"&lt;&gt;Yes",INDIRECT("YES_Reading_"&amp;{"ELA","FLA"}&amp;"[Instructional Reading Level - Per "&amp;VLOOKUP(C$6,'Reading Report Logic'!$A$2:$B$8,2,FALSE)&amp;"]"),"&gt;&lt;",INDIRECT("YES_Reading_"&amp;{"ELA","FLA"}&amp;"[Grade]"),VLOOKUP($B$4,'Reading Report Logic'!$D$2:$E$9,2,FALSE)))</f>
        <v>0</v>
      </c>
      <c r="F9" s="52">
        <f ca="1">COUNTIFS(YES_Reading_ELA[School],IF($B$3="TCRCE","*",$B$3),YES_Reading_ELA[Literacy IPP],"&lt;&gt;Yes",INDIRECT("YES_Reading_ELA[Instructional Reading Level - Per "&amp;VLOOKUP(F$6,'Reading Report Logic'!$A$2:$B$8,2,FALSE)&amp;"]"),"&gt;&lt;",YES_Reading_ELA[Grade],VLOOKUP($B$4,'Reading Report Logic'!$D$2:$E$9,2,FALSE))</f>
        <v>0</v>
      </c>
      <c r="G9" s="49" cm="1">
        <f t="array" aca="1" ref="G9" ca="1">SUM(COUNTIFS(YES_Reading_FLA[School],IF($B$3="TCRCE","*",$B$3),YES_Reading_FLA[Literacy IPP],"&lt;&gt;Yes",INDIRECT("YES_Reading_FLA[Instructional Reading Level - Per "&amp;VLOOKUP(F$6,'Reading Report Logic'!$A$2:$B$8,2,FALSE)&amp;"]"),{"&gt;=1","&gt;&lt;"},YES_Reading_FLA[Grade],VLOOKUP($B$4,'Reading Report Logic'!$D$2:$E$9,2,FALSE)))</f>
        <v>0</v>
      </c>
      <c r="H9" s="49" cm="1">
        <f t="array" aca="1" ref="H9" ca="1">SUM(COUNTIFS(INDIRECT("YES_Reading_"&amp;{"ELA","FLA"}&amp;"[School]"),IF($B$3="TCRCE","*",$B$3),INDIRECT("YES_Reading_"&amp;{"ELA","FLA"}&amp;"[Literacy IPP]"),"&lt;&gt;Yes",INDIRECT("YES_Reading_"&amp;{"ELA","FLA"}&amp;"[Instructional Reading Level - Per "&amp;VLOOKUP(F$6,'Reading Report Logic'!$A$2:$B$8,2,FALSE)&amp;"]"),"&gt;=1",INDIRECT("YES_Reading_"&amp;{"ELA","FLA"}&amp;"[Grade]"),VLOOKUP($B$4,'Reading Report Logic'!$D$2:$E$9,2,FALSE)),COUNTIFS(INDIRECT("YES_Reading_"&amp;{"ELA","FLA"}&amp;"[School]"),IF($B$3="TCRCE","*",$B$3),INDIRECT("YES_Reading_"&amp;{"ELA","FLA"}&amp;"[Literacy IPP]"),"&lt;&gt;Yes",INDIRECT("YES_Reading_"&amp;{"ELA","FLA"}&amp;"[Instructional Reading Level - Per "&amp;VLOOKUP(F$6,'Reading Report Logic'!$A$2:$B$8,2,FALSE)&amp;"]"),"&gt;&lt;",INDIRECT("YES_Reading_"&amp;{"ELA","FLA"}&amp;"[Grade]"),VLOOKUP($B$4,'Reading Report Logic'!$D$2:$E$9,2,FALSE)))</f>
        <v>0</v>
      </c>
      <c r="I9" s="73" t="str">
        <f ca="1">IFERROR(IF(H9=0,"",H9-$E9),"")</f>
        <v/>
      </c>
      <c r="J9" s="52">
        <f ca="1">COUNTIFS(YES_Reading_ELA[School],IF($B$3="TCRCE","*",$B$3),YES_Reading_ELA[Literacy IPP],"&lt;&gt;Yes",INDIRECT("YES_Reading_ELA[Instructional Reading Level - Per "&amp;VLOOKUP(J$6,'Reading Report Logic'!$A$2:$B$8,2,FALSE)&amp;"]"),"&gt;&lt;",YES_Reading_ELA[Grade],VLOOKUP($B$4,'Reading Report Logic'!$D$2:$E$9,2,FALSE))</f>
        <v>0</v>
      </c>
      <c r="K9" s="49" cm="1">
        <f t="array" aca="1" ref="K9" ca="1">SUM(COUNTIFS(YES_Reading_FLA[School],IF($B$3="TCRCE","*",$B$3),YES_Reading_FLA[Literacy IPP],"&lt;&gt;Yes",INDIRECT("YES_Reading_FLA[Instructional Reading Level - Per "&amp;VLOOKUP(J$6,'Reading Report Logic'!$A$2:$B$8,2,FALSE)&amp;"]"),{"&gt;=1","&gt;&lt;"},YES_Reading_FLA[Grade],VLOOKUP($B$4,'Reading Report Logic'!$D$2:$E$9,2,FALSE)))</f>
        <v>0</v>
      </c>
      <c r="L9" s="49" cm="1">
        <f t="array" aca="1" ref="L9" ca="1">SUM(COUNTIFS(INDIRECT("YES_Reading_"&amp;{"ELA","FLA"}&amp;"[School]"),IF($B$3="TCRCE","*",$B$3),INDIRECT("YES_Reading_"&amp;{"ELA","FLA"}&amp;"[Literacy IPP]"),"&lt;&gt;Yes",INDIRECT("YES_Reading_"&amp;{"ELA","FLA"}&amp;"[Instructional Reading Level - Per "&amp;VLOOKUP(J$6,'Reading Report Logic'!$A$2:$B$8,2,FALSE)&amp;"]"),"&gt;=1",INDIRECT("YES_Reading_"&amp;{"ELA","FLA"}&amp;"[Grade]"),VLOOKUP($B$4,'Reading Report Logic'!$D$2:$E$9,2,FALSE)),COUNTIFS(INDIRECT("YES_Reading_"&amp;{"ELA","FLA"}&amp;"[School]"),IF($B$3="TCRCE","*",$B$3),INDIRECT("YES_Reading_"&amp;{"ELA","FLA"}&amp;"[Literacy IPP]"),"&lt;&gt;Yes",INDIRECT("YES_Reading_"&amp;{"ELA","FLA"}&amp;"[Instructional Reading Level - Per "&amp;VLOOKUP(J$6,'Reading Report Logic'!$A$2:$B$8,2,FALSE)&amp;"]"),"&gt;&lt;",INDIRECT("YES_Reading_"&amp;{"ELA","FLA"}&amp;"[Grade]"),VLOOKUP($B$4,'Reading Report Logic'!$D$2:$E$9,2,FALSE)))</f>
        <v>0</v>
      </c>
      <c r="M9" s="73" t="str">
        <f ca="1">IFERROR(IF(L9=0,"",L9-$E9),"")</f>
        <v/>
      </c>
      <c r="N9" s="52">
        <f ca="1">COUNTIFS(YES_Reading_ELA[School],IF($B$3="TCRCE","*",$B$3),YES_Reading_ELA[Literacy IPP],"&lt;&gt;Yes",INDIRECT("YES_Reading_ELA[Instructional Reading Level - Per "&amp;VLOOKUP(N$6,'Reading Report Logic'!$A$2:$B$8,2,FALSE)&amp;"]"),"&gt;&lt;",YES_Reading_ELA[Grade],VLOOKUP($B$4,'Reading Report Logic'!$D$2:$E$9,2,FALSE))</f>
        <v>0</v>
      </c>
      <c r="O9" s="49" cm="1">
        <f t="array" aca="1" ref="O9" ca="1">SUM(COUNTIFS(YES_Reading_FLA[School],IF($B$3="TCRCE","*",$B$3),YES_Reading_FLA[Literacy IPP],"&lt;&gt;Yes",INDIRECT("YES_Reading_FLA[Instructional Reading Level - Per "&amp;VLOOKUP(N$6,'Reading Report Logic'!$A$2:$B$8,2,FALSE)&amp;"]"),{"&gt;=1","&gt;&lt;"},YES_Reading_FLA[Grade],VLOOKUP($B$4,'Reading Report Logic'!$D$2:$E$9,2,FALSE)))</f>
        <v>0</v>
      </c>
      <c r="P9" s="49" cm="1">
        <f t="array" aca="1" ref="P9" ca="1">SUM(COUNTIFS(INDIRECT("YES_Reading_"&amp;{"ELA","FLA"}&amp;"[School]"),IF($B$3="TCRCE","*",$B$3),INDIRECT("YES_Reading_"&amp;{"ELA","FLA"}&amp;"[Literacy IPP]"),"&lt;&gt;Yes",INDIRECT("YES_Reading_"&amp;{"ELA","FLA"}&amp;"[Instructional Reading Level - Per "&amp;VLOOKUP(N$6,'Reading Report Logic'!$A$2:$B$8,2,FALSE)&amp;"]"),"&gt;=1",INDIRECT("YES_Reading_"&amp;{"ELA","FLA"}&amp;"[Grade]"),VLOOKUP($B$4,'Reading Report Logic'!$D$2:$E$9,2,FALSE)),COUNTIFS(INDIRECT("YES_Reading_"&amp;{"ELA","FLA"}&amp;"[School]"),IF($B$3="TCRCE","*",$B$3),INDIRECT("YES_Reading_"&amp;{"ELA","FLA"}&amp;"[Literacy IPP]"),"&lt;&gt;Yes",INDIRECT("YES_Reading_"&amp;{"ELA","FLA"}&amp;"[Instructional Reading Level - Per "&amp;VLOOKUP(N$6,'Reading Report Logic'!$A$2:$B$8,2,FALSE)&amp;"]"),"&gt;&lt;",INDIRECT("YES_Reading_"&amp;{"ELA","FLA"}&amp;"[Grade]"),VLOOKUP($B$4,'Reading Report Logic'!$D$2:$E$9,2,FALSE)))</f>
        <v>0</v>
      </c>
      <c r="Q9" s="73" t="str">
        <f ca="1">IFERROR(IF(P9=0,"",P9-$E9),"")</f>
        <v/>
      </c>
      <c r="R9" s="52">
        <f ca="1">COUNTIFS(YES_Reading_ELA[School],IF($B$3="TCRCE","*",$B$3),YES_Reading_ELA[Literacy IPP],"&lt;&gt;Yes",INDIRECT("YES_Reading_ELA[Instructional Reading Level - Per "&amp;VLOOKUP(R$6,'Reading Report Logic'!$A$2:$B$8,2,FALSE)&amp;"]"),"&gt;&lt;",YES_Reading_ELA[Grade],VLOOKUP($B$4,'Reading Report Logic'!$D$2:$E$9,2,FALSE))</f>
        <v>0</v>
      </c>
      <c r="S9" s="49" cm="1">
        <f t="array" aca="1" ref="S9" ca="1">SUM(COUNTIFS(YES_Reading_FLA[School],IF($B$3="TCRCE","*",$B$3),YES_Reading_FLA[Literacy IPP],"&lt;&gt;Yes",INDIRECT("YES_Reading_FLA[Instructional Reading Level - Per "&amp;VLOOKUP(R$6,'Reading Report Logic'!$A$2:$B$8,2,FALSE)&amp;"]"),{"&gt;=1","&gt;&lt;"},YES_Reading_FLA[Grade],VLOOKUP($B$4,'Reading Report Logic'!$D$2:$E$9,2,FALSE)))</f>
        <v>0</v>
      </c>
      <c r="T9" s="49" cm="1">
        <f t="array" aca="1" ref="T9" ca="1">SUM(COUNTIFS(INDIRECT("YES_Reading_"&amp;{"ELA","FLA"}&amp;"[School]"),IF($B$3="TCRCE","*",$B$3),INDIRECT("YES_Reading_"&amp;{"ELA","FLA"}&amp;"[Literacy IPP]"),"&lt;&gt;Yes",INDIRECT("YES_Reading_"&amp;{"ELA","FLA"}&amp;"[Instructional Reading Level - Per "&amp;VLOOKUP(R$6,'Reading Report Logic'!$A$2:$B$8,2,FALSE)&amp;"]"),"&gt;=1",INDIRECT("YES_Reading_"&amp;{"ELA","FLA"}&amp;"[Grade]"),VLOOKUP($B$4,'Reading Report Logic'!$D$2:$E$9,2,FALSE)),COUNTIFS(INDIRECT("YES_Reading_"&amp;{"ELA","FLA"}&amp;"[School]"),IF($B$3="TCRCE","*",$B$3),INDIRECT("YES_Reading_"&amp;{"ELA","FLA"}&amp;"[Literacy IPP]"),"&lt;&gt;Yes",INDIRECT("YES_Reading_"&amp;{"ELA","FLA"}&amp;"[Instructional Reading Level - Per "&amp;VLOOKUP(R$6,'Reading Report Logic'!$A$2:$B$8,2,FALSE)&amp;"]"),"&gt;&lt;",INDIRECT("YES_Reading_"&amp;{"ELA","FLA"}&amp;"[Grade]"),VLOOKUP($B$4,'Reading Report Logic'!$D$2:$E$9,2,FALSE)))</f>
        <v>0</v>
      </c>
      <c r="U9" s="73" t="str">
        <f ca="1">IFERROR(IF(T9=0,"",T9-$E9),"")</f>
        <v/>
      </c>
      <c r="V9" s="52">
        <f ca="1">COUNTIFS(YES_Reading_ELA[School],IF($B$3="TCRCE","*",$B$3),YES_Reading_ELA[Literacy IPP],"&lt;&gt;Yes",INDIRECT("YES_Reading_ELA[Instructional Reading Level - Per "&amp;VLOOKUP(V$6,'Reading Report Logic'!$A$2:$B$8,2,FALSE)&amp;"]"),"&gt;&lt;",YES_Reading_ELA[Grade],VLOOKUP($B$4,'Reading Report Logic'!$D$2:$E$9,2,FALSE))</f>
        <v>0</v>
      </c>
      <c r="W9" s="49" cm="1">
        <f t="array" aca="1" ref="W9" ca="1">SUM(COUNTIFS(YES_Reading_FLA[School],IF($B$3="TCRCE","*",$B$3),YES_Reading_FLA[Literacy IPP],"&lt;&gt;Yes",INDIRECT("YES_Reading_FLA[Instructional Reading Level - Per "&amp;VLOOKUP(V$6,'Reading Report Logic'!$A$2:$B$8,2,FALSE)&amp;"]"),{"&gt;=1","&gt;&lt;"},YES_Reading_FLA[Grade],VLOOKUP($B$4,'Reading Report Logic'!$D$2:$E$9,2,FALSE)))</f>
        <v>0</v>
      </c>
      <c r="X9" s="49" cm="1">
        <f t="array" aca="1" ref="X9" ca="1">SUM(COUNTIFS(INDIRECT("YES_Reading_"&amp;{"ELA","FLA"}&amp;"[School]"),IF($B$3="TCRCE","*",$B$3),INDIRECT("YES_Reading_"&amp;{"ELA","FLA"}&amp;"[Literacy IPP]"),"&lt;&gt;Yes",INDIRECT("YES_Reading_"&amp;{"ELA","FLA"}&amp;"[Instructional Reading Level - Per "&amp;VLOOKUP(V$6,'Reading Report Logic'!$A$2:$B$8,2,FALSE)&amp;"]"),"&gt;=1",INDIRECT("YES_Reading_"&amp;{"ELA","FLA"}&amp;"[Grade]"),VLOOKUP($B$4,'Reading Report Logic'!$D$2:$E$9,2,FALSE)),COUNTIFS(INDIRECT("YES_Reading_"&amp;{"ELA","FLA"}&amp;"[School]"),IF($B$3="TCRCE","*",$B$3),INDIRECT("YES_Reading_"&amp;{"ELA","FLA"}&amp;"[Literacy IPP]"),"&lt;&gt;Yes",INDIRECT("YES_Reading_"&amp;{"ELA","FLA"}&amp;"[Instructional Reading Level - Per "&amp;VLOOKUP(V$6,'Reading Report Logic'!$A$2:$B$8,2,FALSE)&amp;"]"),"&gt;&lt;",INDIRECT("YES_Reading_"&amp;{"ELA","FLA"}&amp;"[Grade]"),VLOOKUP($B$4,'Reading Report Logic'!$D$2:$E$9,2,FALSE)))</f>
        <v>0</v>
      </c>
      <c r="Y9" s="73" t="str">
        <f ca="1">IFERROR(IF(X9=0,"",X9-$E9),"")</f>
        <v/>
      </c>
      <c r="Z9" s="52" t="e">
        <f ca="1">COUNTIFS(YES_Reading_ELA[School],IF($B$3="TCRCE","*",$B$3),YES_Reading_ELA[Literacy IPP],"&lt;&gt;Yes",INDIRECT("YES_Reading_ELA[Instructional Reading Level - Per "&amp;VLOOKUP(Z$6,'Reading Report Logic'!$A$2:$B$8,2,FALSE)&amp;"]"),"&gt;&lt;",YES_Reading_ELA[Grade],VLOOKUP($B$4,'Reading Report Logic'!$D$2:$E$9,2,FALSE))</f>
        <v>#N/A</v>
      </c>
      <c r="AA9" s="49" t="e" cm="1">
        <f t="array" aca="1" ref="AA9" ca="1">SUM(COUNTIFS(YES_Reading_FLA[School],IF($B$3="TCRCE","*",$B$3),YES_Reading_FLA[Literacy IPP],"&lt;&gt;Yes",INDIRECT("YES_Reading_FLA[Instructional Reading Level - Per "&amp;VLOOKUP(Z$6,'Reading Report Logic'!$A$2:$B$8,2,FALSE)&amp;"]"),{"&gt;=1","&gt;&lt;"},YES_Reading_FLA[Grade],VLOOKUP($B$4,'Reading Report Logic'!$D$2:$E$9,2,FALSE)))</f>
        <v>#N/A</v>
      </c>
      <c r="AB9" s="49" t="e" cm="1">
        <f t="array" aca="1" ref="AB9" ca="1">SUM(COUNTIFS(INDIRECT("YES_Reading_"&amp;{"ELA","FLA"}&amp;"[School]"),IF($B$3="TCRCE","*",$B$3),INDIRECT("YES_Reading_"&amp;{"ELA","FLA"}&amp;"[Literacy IPP]"),"&lt;&gt;Yes",INDIRECT("YES_Reading_"&amp;{"ELA","FLA"}&amp;"[Instructional Reading Level - Per "&amp;VLOOKUP(Z$6,'Reading Report Logic'!$A$2:$B$8,2,FALSE)&amp;"]"),"&gt;=1",INDIRECT("YES_Reading_"&amp;{"ELA","FLA"}&amp;"[Grade]"),VLOOKUP($B$4,'Reading Report Logic'!$D$2:$E$9,2,FALSE)),COUNTIFS(INDIRECT("YES_Reading_"&amp;{"ELA","FLA"}&amp;"[School]"),IF($B$3="TCRCE","*",$B$3),INDIRECT("YES_Reading_"&amp;{"ELA","FLA"}&amp;"[Literacy IPP]"),"&lt;&gt;Yes",INDIRECT("YES_Reading_"&amp;{"ELA","FLA"}&amp;"[Instructional Reading Level - Per "&amp;VLOOKUP(Z$6,'Reading Report Logic'!$A$2:$B$8,2,FALSE)&amp;"]"),"&gt;&lt;",INDIRECT("YES_Reading_"&amp;{"ELA","FLA"}&amp;"[Grade]"),VLOOKUP($B$4,'Reading Report Logic'!$D$2:$E$9,2,FALSE)))</f>
        <v>#N/A</v>
      </c>
      <c r="AC9" s="73" t="str">
        <f ca="1">IFERROR(IF(AB9=0,"",AB9-$E9),"")</f>
        <v/>
      </c>
    </row>
    <row r="10" spans="1:29" ht="18" customHeight="1" thickBot="1" x14ac:dyDescent="0.3">
      <c r="A10" s="372"/>
      <c r="B10" s="59" t="s">
        <v>213</v>
      </c>
      <c r="C10" s="60" t="str">
        <f t="shared" ref="C10:H10" ca="1" si="0">IFERROR(C8/C9,"")</f>
        <v/>
      </c>
      <c r="D10" s="61" t="str">
        <f t="shared" ca="1" si="0"/>
        <v/>
      </c>
      <c r="E10" s="69" t="str">
        <f t="shared" ca="1" si="0"/>
        <v/>
      </c>
      <c r="F10" s="60" t="str">
        <f t="shared" ca="1" si="0"/>
        <v/>
      </c>
      <c r="G10" s="61" t="str">
        <f t="shared" ca="1" si="0"/>
        <v/>
      </c>
      <c r="H10" s="61" t="str">
        <f t="shared" ca="1" si="0"/>
        <v/>
      </c>
      <c r="I10" s="74" t="str">
        <f ca="1">IFERROR(IF(H9=0,"",H10-$E10),"")</f>
        <v/>
      </c>
      <c r="J10" s="60" t="str">
        <f ca="1">IFERROR(J8/J9,"")</f>
        <v/>
      </c>
      <c r="K10" s="61" t="str">
        <f ca="1">IFERROR(K8/K9,"")</f>
        <v/>
      </c>
      <c r="L10" s="61" t="str">
        <f ca="1">IFERROR(L8/L9,"")</f>
        <v/>
      </c>
      <c r="M10" s="74" t="str">
        <f ca="1">IFERROR(IF(L9=0,"",L10-$E10),"")</f>
        <v/>
      </c>
      <c r="N10" s="60" t="str">
        <f ca="1">IFERROR(N8/N9,"")</f>
        <v/>
      </c>
      <c r="O10" s="61" t="str">
        <f ca="1">IFERROR(O8/O9,"")</f>
        <v/>
      </c>
      <c r="P10" s="61" t="str">
        <f ca="1">IFERROR(P8/P9,"")</f>
        <v/>
      </c>
      <c r="Q10" s="74" t="str">
        <f ca="1">IFERROR(IF(P9=0,"",P10-$E10),"")</f>
        <v/>
      </c>
      <c r="R10" s="60" t="str">
        <f ca="1">IFERROR(R8/R9,"")</f>
        <v/>
      </c>
      <c r="S10" s="61" t="str">
        <f ca="1">IFERROR(S8/S9,"")</f>
        <v/>
      </c>
      <c r="T10" s="61" t="str">
        <f ca="1">IFERROR(T8/T9,"")</f>
        <v/>
      </c>
      <c r="U10" s="74" t="str">
        <f ca="1">IFERROR(IF(T9=0,"",T10-$E10),"")</f>
        <v/>
      </c>
      <c r="V10" s="60" t="str">
        <f ca="1">IFERROR(V8/V9,"")</f>
        <v/>
      </c>
      <c r="W10" s="61" t="str">
        <f ca="1">IFERROR(W8/W9,"")</f>
        <v/>
      </c>
      <c r="X10" s="61" t="str">
        <f ca="1">IFERROR(X8/X9,"")</f>
        <v/>
      </c>
      <c r="Y10" s="74" t="str">
        <f ca="1">IFERROR(IF(X9=0,"",X10-$E10),"")</f>
        <v/>
      </c>
      <c r="Z10" s="60" t="str">
        <f ca="1">IFERROR(Z8/Z9,"")</f>
        <v/>
      </c>
      <c r="AA10" s="61" t="str">
        <f ca="1">IFERROR(AA8/AA9,"")</f>
        <v/>
      </c>
      <c r="AB10" s="61" t="str">
        <f ca="1">IFERROR(AB8/AB9,"")</f>
        <v/>
      </c>
      <c r="AC10" s="74" t="str">
        <f ca="1">IFERROR(IF(AB9=0,"",AB10-$E10),"")</f>
        <v/>
      </c>
    </row>
    <row r="11" spans="1:29" ht="18" customHeight="1" x14ac:dyDescent="0.25">
      <c r="A11" s="370" t="s">
        <v>206</v>
      </c>
      <c r="B11" s="56" t="s">
        <v>211</v>
      </c>
      <c r="C11" s="57">
        <f ca="1">COUNTIFS(YES_Reading_ELA[School],IF($B$3="TCRCE","*",$B$3),YES_Reading_ELA[Literacy IPP],"&lt;&gt;Yes",INDIRECT("YES_Reading_ELA[Difference - Per "&amp;VLOOKUP(C$6,'Reading Report Logic'!$A$2:$B$8,2,FALSE)&amp;"]"),"&gt;=0",YES_Reading_ELA[Self-Identified as African Descent],"&lt;&gt;YES",YES_Reading_ELA[Self-Identified as Indigenous],"&lt;&gt;1",YES_Reading_ELA[Grade],VLOOKUP($B$4,'Reading Report Logic'!$D$2:$E$9,2,FALSE))</f>
        <v>0</v>
      </c>
      <c r="D11" s="58">
        <f ca="1">COUNTIFS(YES_Reading_FLA[School],IF($B$3="TCRCE","*",$B$3),YES_Reading_FLA[Literacy IPP],"&lt;&gt;Yes",INDIRECT("YES_Reading_FLA[Difference - Per "&amp;VLOOKUP(C$6,'Reading Report Logic'!$A$2:$B$8,2,FALSE)&amp;"]"),"&gt;=0",YES_Reading_FLA[Self-Identified as African Descent],"&lt;&gt;YES",YES_Reading_FLA[Self-Identified as Indigenous],"&lt;&gt;1",YES_Reading_FLA[Grade],VLOOKUP($B$4,'Reading Report Logic'!$D$2:$E$9,2,FALSE))</f>
        <v>0</v>
      </c>
      <c r="E11" s="67" cm="1">
        <f t="array" aca="1" ref="E11" ca="1">SUM(COUNTIFS(INDIRECT("YES_Reading_"&amp;{"ELA","FLA"}&amp;"[School]"),IF($B$3="TCRCE","*",$B$3),INDIRECT("YES_Reading_"&amp;{"ELA","FLA"}&amp;"[Literacy IPP]"),"&lt;&gt;Yes",INDIRECT("YES_Reading_"&amp;{"ELA","FLA"}&amp;"[Difference - Per "&amp;VLOOKUP(C$6,'Reading Report Logic'!$A$2:$B$8,2,FALSE)&amp;"]"),"&gt;=0",INDIRECT("YES_Reading_"&amp;{"ELA","FLA"}&amp;"[Grade]"),VLOOKUP($B$4,'Reading Report Logic'!$D$2:$E$9,2,FALSE),INDIRECT("YES_Reading_"&amp;{"ELA","FLA"}&amp;"[Self-Identified as African Descent]"),"&lt;&gt;YES",INDIRECT("YES_Reading_"&amp;{"ELA","FLA"}&amp;"[Self-Identified as Indigenous]"),"&lt;&gt;1"))</f>
        <v>0</v>
      </c>
      <c r="F11" s="57">
        <f ca="1">COUNTIFS(YES_Reading_ELA[School],IF($B$3="TCRCE","*",$B$3),YES_Reading_ELA[Literacy IPP],"&lt;&gt;Yes",INDIRECT("YES_Reading_ELA[Difference - Per "&amp;VLOOKUP(F$6,'Reading Report Logic'!$A$2:$B$8,2,FALSE)&amp;"]"),"&gt;=0",YES_Reading_ELA[Self-Identified as African Descent],"&lt;&gt;YES",YES_Reading_ELA[Self-Identified as Indigenous],"&lt;&gt;1",YES_Reading_ELA[Grade],VLOOKUP($B$4,'Reading Report Logic'!$D$2:$E$9,2,FALSE))</f>
        <v>0</v>
      </c>
      <c r="G11" s="58">
        <f ca="1">COUNTIFS(YES_Reading_FLA[School],IF($B$3="TCRCE","*",$B$3),YES_Reading_FLA[Literacy IPP],"&lt;&gt;Yes",INDIRECT("YES_Reading_FLA[Difference - Per "&amp;VLOOKUP(F$6,'Reading Report Logic'!$A$2:$B$8,2,FALSE)&amp;"]"),"&gt;=0",YES_Reading_FLA[Self-Identified as African Descent],"&lt;&gt;YES",YES_Reading_FLA[Self-Identified as Indigenous],"&lt;&gt;1",YES_Reading_FLA[Grade],VLOOKUP($B$4,'Reading Report Logic'!$D$2:$E$9,2,FALSE))</f>
        <v>0</v>
      </c>
      <c r="H11" s="58" cm="1">
        <f t="array" aca="1" ref="H11" ca="1">SUM(COUNTIFS(INDIRECT("YES_Reading_"&amp;{"ELA","FLA"}&amp;"[School]"),IF($B$3="TCRCE","*",$B$3),INDIRECT("YES_Reading_"&amp;{"ELA","FLA"}&amp;"[Literacy IPP]"),"&lt;&gt;Yes",INDIRECT("YES_Reading_"&amp;{"ELA","FLA"}&amp;"[Difference - Per "&amp;VLOOKUP(F$6,'Reading Report Logic'!$A$2:$B$8,2,FALSE)&amp;"]"),"&gt;=0",INDIRECT("YES_Reading_"&amp;{"ELA","FLA"}&amp;"[Grade]"),VLOOKUP($B$4,'Reading Report Logic'!$D$2:$E$9,2,FALSE),INDIRECT("YES_Reading_"&amp;{"ELA","FLA"}&amp;"[Self-Identified as African Descent]"),"&lt;&gt;YES",INDIRECT("YES_Reading_"&amp;{"ELA","FLA"}&amp;"[Self-Identified as Indigenous]"),"&lt;&gt;1"))</f>
        <v>0</v>
      </c>
      <c r="I11" s="75" t="str">
        <f ca="1">IFERROR(IF(H12=0,"",H11-$E11),"")</f>
        <v/>
      </c>
      <c r="J11" s="57">
        <f ca="1">COUNTIFS(YES_Reading_ELA[School],IF($B$3="TCRCE","*",$B$3),YES_Reading_ELA[Literacy IPP],"&lt;&gt;Yes",INDIRECT("YES_Reading_ELA[Difference - Per "&amp;VLOOKUP(J$6,'Reading Report Logic'!$A$2:$B$8,2,FALSE)&amp;"]"),"&gt;=0",YES_Reading_ELA[Self-Identified as African Descent],"&lt;&gt;YES",YES_Reading_ELA[Self-Identified as Indigenous],"&lt;&gt;1",YES_Reading_ELA[Grade],VLOOKUP($B$4,'Reading Report Logic'!$D$2:$E$9,2,FALSE))</f>
        <v>0</v>
      </c>
      <c r="K11" s="58">
        <f ca="1">COUNTIFS(YES_Reading_FLA[School],IF($B$3="TCRCE","*",$B$3),YES_Reading_FLA[Literacy IPP],"&lt;&gt;Yes",INDIRECT("YES_Reading_FLA[Difference - Per "&amp;VLOOKUP(J$6,'Reading Report Logic'!$A$2:$B$8,2,FALSE)&amp;"]"),"&gt;=0",YES_Reading_FLA[Self-Identified as African Descent],"&lt;&gt;YES",YES_Reading_FLA[Self-Identified as Indigenous],"&lt;&gt;1",YES_Reading_FLA[Grade],VLOOKUP($B$4,'Reading Report Logic'!$D$2:$E$9,2,FALSE))</f>
        <v>0</v>
      </c>
      <c r="L11" s="58" cm="1">
        <f t="array" aca="1" ref="L11" ca="1">SUM(COUNTIFS(INDIRECT("YES_Reading_"&amp;{"ELA","FLA"}&amp;"[School]"),IF($B$3="TCRCE","*",$B$3),INDIRECT("YES_Reading_"&amp;{"ELA","FLA"}&amp;"[Literacy IPP]"),"&lt;&gt;Yes",INDIRECT("YES_Reading_"&amp;{"ELA","FLA"}&amp;"[Difference - Per "&amp;VLOOKUP(J$6,'Reading Report Logic'!$A$2:$B$8,2,FALSE)&amp;"]"),"&gt;=0",INDIRECT("YES_Reading_"&amp;{"ELA","FLA"}&amp;"[Grade]"),VLOOKUP($B$4,'Reading Report Logic'!$D$2:$E$9,2,FALSE),INDIRECT("YES_Reading_"&amp;{"ELA","FLA"}&amp;"[Self-Identified as African Descent]"),"&lt;&gt;YES",INDIRECT("YES_Reading_"&amp;{"ELA","FLA"}&amp;"[Self-Identified as Indigenous]"),"&lt;&gt;1"))</f>
        <v>0</v>
      </c>
      <c r="M11" s="75" t="str">
        <f ca="1">IFERROR(IF(L12=0,"",L11-$E11),"")</f>
        <v/>
      </c>
      <c r="N11" s="57">
        <f ca="1">COUNTIFS(YES_Reading_ELA[School],IF($B$3="TCRCE","*",$B$3),YES_Reading_ELA[Literacy IPP],"&lt;&gt;Yes",INDIRECT("YES_Reading_ELA[Difference - Per "&amp;VLOOKUP(N$6,'Reading Report Logic'!$A$2:$B$8,2,FALSE)&amp;"]"),"&gt;=0",YES_Reading_ELA[Self-Identified as African Descent],"&lt;&gt;YES",YES_Reading_ELA[Self-Identified as Indigenous],"&lt;&gt;1",YES_Reading_ELA[Grade],VLOOKUP($B$4,'Reading Report Logic'!$D$2:$E$9,2,FALSE))</f>
        <v>0</v>
      </c>
      <c r="O11" s="58">
        <f ca="1">COUNTIFS(YES_Reading_FLA[School],IF($B$3="TCRCE","*",$B$3),YES_Reading_FLA[Literacy IPP],"&lt;&gt;Yes",INDIRECT("YES_Reading_FLA[Difference - Per "&amp;VLOOKUP(N$6,'Reading Report Logic'!$A$2:$B$8,2,FALSE)&amp;"]"),"&gt;=0",YES_Reading_FLA[Self-Identified as African Descent],"&lt;&gt;YES",YES_Reading_FLA[Self-Identified as Indigenous],"&lt;&gt;1",YES_Reading_FLA[Grade],VLOOKUP($B$4,'Reading Report Logic'!$D$2:$E$9,2,FALSE))</f>
        <v>0</v>
      </c>
      <c r="P11" s="58" cm="1">
        <f t="array" aca="1" ref="P11" ca="1">SUM(COUNTIFS(INDIRECT("YES_Reading_"&amp;{"ELA","FLA"}&amp;"[School]"),IF($B$3="TCRCE","*",$B$3),INDIRECT("YES_Reading_"&amp;{"ELA","FLA"}&amp;"[Literacy IPP]"),"&lt;&gt;Yes",INDIRECT("YES_Reading_"&amp;{"ELA","FLA"}&amp;"[Difference - Per "&amp;VLOOKUP(N$6,'Reading Report Logic'!$A$2:$B$8,2,FALSE)&amp;"]"),"&gt;=0",INDIRECT("YES_Reading_"&amp;{"ELA","FLA"}&amp;"[Grade]"),VLOOKUP($B$4,'Reading Report Logic'!$D$2:$E$9,2,FALSE),INDIRECT("YES_Reading_"&amp;{"ELA","FLA"}&amp;"[Self-Identified as African Descent]"),"&lt;&gt;YES",INDIRECT("YES_Reading_"&amp;{"ELA","FLA"}&amp;"[Self-Identified as Indigenous]"),"&lt;&gt;1"))</f>
        <v>0</v>
      </c>
      <c r="Q11" s="75" t="str">
        <f ca="1">IFERROR(IF(P12=0,"",P11-$E11),"")</f>
        <v/>
      </c>
      <c r="R11" s="57">
        <f ca="1">COUNTIFS(YES_Reading_ELA[School],IF($B$3="TCRCE","*",$B$3),YES_Reading_ELA[Literacy IPP],"&lt;&gt;Yes",INDIRECT("YES_Reading_ELA[Difference - Per "&amp;VLOOKUP(R$6,'Reading Report Logic'!$A$2:$B$8,2,FALSE)&amp;"]"),"&gt;=0",YES_Reading_ELA[Self-Identified as African Descent],"&lt;&gt;YES",YES_Reading_ELA[Self-Identified as Indigenous],"&lt;&gt;1",YES_Reading_ELA[Grade],VLOOKUP($B$4,'Reading Report Logic'!$D$2:$E$9,2,FALSE))</f>
        <v>0</v>
      </c>
      <c r="S11" s="58">
        <f ca="1">COUNTIFS(YES_Reading_FLA[School],IF($B$3="TCRCE","*",$B$3),YES_Reading_FLA[Literacy IPP],"&lt;&gt;Yes",INDIRECT("YES_Reading_FLA[Difference - Per "&amp;VLOOKUP(R$6,'Reading Report Logic'!$A$2:$B$8,2,FALSE)&amp;"]"),"&gt;=0",YES_Reading_FLA[Self-Identified as African Descent],"&lt;&gt;YES",YES_Reading_FLA[Self-Identified as Indigenous],"&lt;&gt;1",YES_Reading_FLA[Grade],VLOOKUP($B$4,'Reading Report Logic'!$D$2:$E$9,2,FALSE))</f>
        <v>0</v>
      </c>
      <c r="T11" s="58" cm="1">
        <f t="array" aca="1" ref="T11" ca="1">SUM(COUNTIFS(INDIRECT("YES_Reading_"&amp;{"ELA","FLA"}&amp;"[School]"),IF($B$3="TCRCE","*",$B$3),INDIRECT("YES_Reading_"&amp;{"ELA","FLA"}&amp;"[Literacy IPP]"),"&lt;&gt;Yes",INDIRECT("YES_Reading_"&amp;{"ELA","FLA"}&amp;"[Difference - Per "&amp;VLOOKUP(R$6,'Reading Report Logic'!$A$2:$B$8,2,FALSE)&amp;"]"),"&gt;=0",INDIRECT("YES_Reading_"&amp;{"ELA","FLA"}&amp;"[Grade]"),VLOOKUP($B$4,'Reading Report Logic'!$D$2:$E$9,2,FALSE),INDIRECT("YES_Reading_"&amp;{"ELA","FLA"}&amp;"[Self-Identified as African Descent]"),"&lt;&gt;YES",INDIRECT("YES_Reading_"&amp;{"ELA","FLA"}&amp;"[Self-Identified as Indigenous]"),"&lt;&gt;1"))</f>
        <v>0</v>
      </c>
      <c r="U11" s="75" t="str">
        <f ca="1">IFERROR(IF(T12=0,"",T11-$E11),"")</f>
        <v/>
      </c>
      <c r="V11" s="57">
        <f ca="1">COUNTIFS(YES_Reading_ELA[School],IF($B$3="TCRCE","*",$B$3),YES_Reading_ELA[Literacy IPP],"&lt;&gt;Yes",INDIRECT("YES_Reading_ELA[Difference - Per "&amp;VLOOKUP(V$6,'Reading Report Logic'!$A$2:$B$8,2,FALSE)&amp;"]"),"&gt;=0",YES_Reading_ELA[Self-Identified as African Descent],"&lt;&gt;YES",YES_Reading_ELA[Self-Identified as Indigenous],"&lt;&gt;1",YES_Reading_ELA[Grade],VLOOKUP($B$4,'Reading Report Logic'!$D$2:$E$9,2,FALSE))</f>
        <v>0</v>
      </c>
      <c r="W11" s="58">
        <f ca="1">COUNTIFS(YES_Reading_FLA[School],IF($B$3="TCRCE","*",$B$3),YES_Reading_FLA[Literacy IPP],"&lt;&gt;Yes",INDIRECT("YES_Reading_FLA[Difference - Per "&amp;VLOOKUP(V$6,'Reading Report Logic'!$A$2:$B$8,2,FALSE)&amp;"]"),"&gt;=0",YES_Reading_FLA[Self-Identified as African Descent],"&lt;&gt;YES",YES_Reading_FLA[Self-Identified as Indigenous],"&lt;&gt;1",YES_Reading_FLA[Grade],VLOOKUP($B$4,'Reading Report Logic'!$D$2:$E$9,2,FALSE))</f>
        <v>0</v>
      </c>
      <c r="X11" s="58" cm="1">
        <f t="array" aca="1" ref="X11" ca="1">SUM(COUNTIFS(INDIRECT("YES_Reading_"&amp;{"ELA","FLA"}&amp;"[School]"),IF($B$3="TCRCE","*",$B$3),INDIRECT("YES_Reading_"&amp;{"ELA","FLA"}&amp;"[Literacy IPP]"),"&lt;&gt;Yes",INDIRECT("YES_Reading_"&amp;{"ELA","FLA"}&amp;"[Difference - Per "&amp;VLOOKUP(V$6,'Reading Report Logic'!$A$2:$B$8,2,FALSE)&amp;"]"),"&gt;=0",INDIRECT("YES_Reading_"&amp;{"ELA","FLA"}&amp;"[Grade]"),VLOOKUP($B$4,'Reading Report Logic'!$D$2:$E$9,2,FALSE),INDIRECT("YES_Reading_"&amp;{"ELA","FLA"}&amp;"[Self-Identified as African Descent]"),"&lt;&gt;YES",INDIRECT("YES_Reading_"&amp;{"ELA","FLA"}&amp;"[Self-Identified as Indigenous]"),"&lt;&gt;1"))</f>
        <v>0</v>
      </c>
      <c r="Y11" s="75" t="str">
        <f ca="1">IFERROR(IF(X12=0,"",X11-$E11),"")</f>
        <v/>
      </c>
      <c r="Z11" s="57" t="e">
        <f ca="1">COUNTIFS(YES_Reading_ELA[School],IF($B$3="TCRCE","*",$B$3),YES_Reading_ELA[Literacy IPP],"&lt;&gt;Yes",INDIRECT("YES_Reading_ELA[Difference - Per "&amp;VLOOKUP(Z$6,'Reading Report Logic'!$A$2:$B$8,2,FALSE)&amp;"]"),"&gt;=0",YES_Reading_ELA[Self-Identified as African Descent],"&lt;&gt;YES",YES_Reading_ELA[Self-Identified as Indigenous],"&lt;&gt;1",YES_Reading_ELA[Grade],VLOOKUP($B$4,'Reading Report Logic'!$D$2:$E$9,2,FALSE))</f>
        <v>#N/A</v>
      </c>
      <c r="AA11" s="58" t="e">
        <f ca="1">COUNTIFS(YES_Reading_FLA[School],IF($B$3="TCRCE","*",$B$3),YES_Reading_FLA[Literacy IPP],"&lt;&gt;Yes",INDIRECT("YES_Reading_FLA[Difference - Per "&amp;VLOOKUP(Z$6,'Reading Report Logic'!$A$2:$B$8,2,FALSE)&amp;"]"),"&gt;=0",YES_Reading_FLA[Self-Identified as African Descent],"&lt;&gt;YES",YES_Reading_FLA[Self-Identified as Indigenous],"&lt;&gt;1",YES_Reading_FLA[Grade],VLOOKUP($B$4,'Reading Report Logic'!$D$2:$E$9,2,FALSE))</f>
        <v>#N/A</v>
      </c>
      <c r="AB11" s="58" t="e" cm="1">
        <f t="array" aca="1" ref="AB11" ca="1">SUM(COUNTIFS(INDIRECT("YES_Reading_"&amp;{"ELA","FLA"}&amp;"[School]"),IF($B$3="TCRCE","*",$B$3),INDIRECT("YES_Reading_"&amp;{"ELA","FLA"}&amp;"[Literacy IPP]"),"&lt;&gt;Yes",INDIRECT("YES_Reading_"&amp;{"ELA","FLA"}&amp;"[Difference - Per "&amp;VLOOKUP(Z$6,'Reading Report Logic'!$A$2:$B$8,2,FALSE)&amp;"]"),"&gt;=0",INDIRECT("YES_Reading_"&amp;{"ELA","FLA"}&amp;"[Grade]"),VLOOKUP($B$4,'Reading Report Logic'!$D$2:$E$9,2,FALSE),INDIRECT("YES_Reading_"&amp;{"ELA","FLA"}&amp;"[Self-Identified as African Descent]"),"&lt;&gt;YES",INDIRECT("YES_Reading_"&amp;{"ELA","FLA"}&amp;"[Self-Identified as Indigenous]"),"&lt;&gt;1"))</f>
        <v>#N/A</v>
      </c>
      <c r="AC11" s="75" t="str">
        <f ca="1">IFERROR(IF(AB12=0,"",AB11-$E11),"")</f>
        <v/>
      </c>
    </row>
    <row r="12" spans="1:29" ht="18" customHeight="1" x14ac:dyDescent="0.25">
      <c r="A12" s="371"/>
      <c r="B12" s="51" t="s">
        <v>212</v>
      </c>
      <c r="C12" s="52">
        <f ca="1">COUNTIFS(YES_Reading_ELA[School],IF($B$3="TCRCE","*",$B$3),YES_Reading_ELA[Literacy IPP],"&lt;&gt;Yes",YES_Reading_ELA[Self-Identified as African Descent],"&lt;&gt;YES",YES_Reading_ELA[Self-Identified as Indigenous],"&lt;&gt;1",INDIRECT("YES_Reading_ELA[Instructional Reading Level - Per "&amp;VLOOKUP(C$6,'Reading Report Logic'!$A$2:$B$8,2,FALSE)&amp;"]"),"&gt;&lt;",YES_Reading_ELA[Grade],VLOOKUP($B$4,'Reading Report Logic'!$D$2:$E$9,2,FALSE))</f>
        <v>0</v>
      </c>
      <c r="D12" s="49" cm="1">
        <f t="array" aca="1" ref="D12" ca="1">SUM(COUNTIFS(YES_Reading_FLA[School],IF($B$3="TCRCE","*",$B$3),YES_Reading_FLA[Literacy IPP],"&lt;&gt;Yes",YES_Reading_FLA[Self-Identified as African Descent],"&lt;&gt;YES",YES_Reading_FLA[Self-Identified as Indigenous],"&lt;&gt;1",INDIRECT("YES_Reading_FLA[Instructional Reading Level - Per "&amp;VLOOKUP(C$6,'Reading Report Logic'!$A$2:$B$8,2,FALSE)&amp;"]"),{"&gt;=1","&gt;&lt;"},YES_Reading_FLA[Grade],VLOOKUP($B$4,'Reading Report Logic'!$D$2:$E$9,2,FALSE)))</f>
        <v>0</v>
      </c>
      <c r="E12" s="68" cm="1">
        <f t="array" aca="1" ref="E12" ca="1">SUM(COUNTIFS(INDIRECT("YES_Reading_"&amp;{"ELA","FLA"}&amp;"[School]"),IF($B$3="TCRCE","*",$B$3),INDIRECT("YES_Reading_"&amp;{"ELA","FLA"}&amp;"[Literacy IPP]"),"&lt;&gt;Yes",INDIRECT("YES_Reading_"&amp;{"ELA","FLA"}&amp;"[Instructional Reading Level - Per "&amp;VLOOKUP(C$6,'Reading Report Logic'!$A$2:$B$8,2,FALSE)&amp;"]"),"&gt;=1",INDIRECT("YES_Reading_"&amp;{"ELA","FLA"}&amp;"[Grade]"),VLOOKUP($B$4,'Reading Report Logic'!$D$2:$E$9,2,FALSE),INDIRECT("YES_Reading_"&amp;{"ELA","FLA"}&amp;"[Self-Identified as African Descent]"),"&lt;&gt;YES",INDIRECT("YES_Reading_"&amp;{"ELA","FLA"}&amp;"[Self-Identified as Indigenous]"),"&lt;&gt;1"),COUNTIFS(INDIRECT("YES_Reading_"&amp;{"ELA","FLA"}&amp;"[School]"),IF($B$3="TCRCE","*",$B$3),INDIRECT("YES_Reading_"&amp;{"ELA","FLA"}&amp;"[Literacy IPP]"),"&lt;&gt;Yes",INDIRECT("YES_Reading_"&amp;{"ELA","FLA"}&amp;"[Instructional Reading Level - Per "&amp;VLOOKUP(C$6,'Reading Report Logic'!$A$2:$B$8,2,FALSE)&amp;"]"),"&gt;&lt;",INDIRECT("YES_Reading_"&amp;{"ELA","FLA"}&amp;"[Grade]"),VLOOKUP($B$4,'Reading Report Logic'!$D$2:$E$9,2,FALSE),INDIRECT("YES_Reading_"&amp;{"ELA","FLA"}&amp;"[Self-Identified as African Descent]"),"&lt;&gt;YES",INDIRECT("YES_Reading_"&amp;{"ELA","FLA"}&amp;"[Self-Identified as Indigenous]"),"&lt;&gt;1"))</f>
        <v>0</v>
      </c>
      <c r="F12" s="52">
        <f ca="1">COUNTIFS(YES_Reading_ELA[School],IF($B$3="TCRCE","*",$B$3),YES_Reading_ELA[Literacy IPP],"&lt;&gt;Yes",YES_Reading_ELA[Self-Identified as African Descent],"&lt;&gt;YES",YES_Reading_ELA[Self-Identified as Indigenous],"&lt;&gt;1",INDIRECT("YES_Reading_ELA[Instructional Reading Level - Per "&amp;VLOOKUP(F$6,'Reading Report Logic'!$A$2:$B$8,2,FALSE)&amp;"]"),"&gt;&lt;",YES_Reading_ELA[Grade],VLOOKUP($B$4,'Reading Report Logic'!$D$2:$E$9,2,FALSE))</f>
        <v>0</v>
      </c>
      <c r="G12" s="49" cm="1">
        <f t="array" aca="1" ref="G12" ca="1">SUM(COUNTIFS(YES_Reading_FLA[School],IF($B$3="TCRCE","*",$B$3),YES_Reading_FLA[Literacy IPP],"&lt;&gt;Yes",YES_Reading_FLA[Self-Identified as African Descent],"&lt;&gt;YES",YES_Reading_FLA[Self-Identified as Indigenous],"&lt;&gt;1",INDIRECT("YES_Reading_FLA[Instructional Reading Level - Per "&amp;VLOOKUP(F$6,'Reading Report Logic'!$A$2:$B$8,2,FALSE)&amp;"]"),{"&gt;=1","&gt;&lt;"},YES_Reading_FLA[Grade],VLOOKUP($B$4,'Reading Report Logic'!$D$2:$E$9,2,FALSE)))</f>
        <v>0</v>
      </c>
      <c r="H12" s="49" cm="1">
        <f t="array" aca="1" ref="H12" ca="1">SUM(COUNTIFS(INDIRECT("YES_Reading_"&amp;{"ELA","FLA"}&amp;"[School]"),IF($B$3="TCRCE","*",$B$3),INDIRECT("YES_Reading_"&amp;{"ELA","FLA"}&amp;"[Literacy IPP]"),"&lt;&gt;Yes",INDIRECT("YES_Reading_"&amp;{"ELA","FLA"}&amp;"[Instructional Reading Level - Per "&amp;VLOOKUP(F$6,'Reading Report Logic'!$A$2:$B$8,2,FALSE)&amp;"]"),"&gt;=1",INDIRECT("YES_Reading_"&amp;{"ELA","FLA"}&amp;"[Grade]"),VLOOKUP($B$4,'Reading Report Logic'!$D$2:$E$9,2,FALSE),INDIRECT("YES_Reading_"&amp;{"ELA","FLA"}&amp;"[Self-Identified as African Descent]"),"&lt;&gt;YES",INDIRECT("YES_Reading_"&amp;{"ELA","FLA"}&amp;"[Self-Identified as Indigenous]"),"&lt;&gt;1"),COUNTIFS(INDIRECT("YES_Reading_"&amp;{"ELA","FLA"}&amp;"[School]"),IF($B$3="TCRCE","*",$B$3),INDIRECT("YES_Reading_"&amp;{"ELA","FLA"}&amp;"[Literacy IPP]"),"&lt;&gt;Yes",INDIRECT("YES_Reading_"&amp;{"ELA","FLA"}&amp;"[Instructional Reading Level - Per "&amp;VLOOKUP(F$6,'Reading Report Logic'!$A$2:$B$8,2,FALSE)&amp;"]"),"&gt;&lt;",INDIRECT("YES_Reading_"&amp;{"ELA","FLA"}&amp;"[Grade]"),VLOOKUP($B$4,'Reading Report Logic'!$D$2:$E$9,2,FALSE),INDIRECT("YES_Reading_"&amp;{"ELA","FLA"}&amp;"[Self-Identified as African Descent]"),"&lt;&gt;YES",INDIRECT("YES_Reading_"&amp;{"ELA","FLA"}&amp;"[Self-Identified as Indigenous]"),"&lt;&gt;1"))</f>
        <v>0</v>
      </c>
      <c r="I12" s="73" t="str">
        <f ca="1">IFERROR(IF(H12=0,"",H12-$E12),"")</f>
        <v/>
      </c>
      <c r="J12" s="52">
        <f ca="1">COUNTIFS(YES_Reading_ELA[School],IF($B$3="TCRCE","*",$B$3),YES_Reading_ELA[Literacy IPP],"&lt;&gt;Yes",YES_Reading_ELA[Self-Identified as African Descent],"&lt;&gt;YES",YES_Reading_ELA[Self-Identified as Indigenous],"&lt;&gt;1",INDIRECT("YES_Reading_ELA[Instructional Reading Level - Per "&amp;VLOOKUP(J$6,'Reading Report Logic'!$A$2:$B$8,2,FALSE)&amp;"]"),"&gt;&lt;",YES_Reading_ELA[Grade],VLOOKUP($B$4,'Reading Report Logic'!$D$2:$E$9,2,FALSE))</f>
        <v>0</v>
      </c>
      <c r="K12" s="49" cm="1">
        <f t="array" aca="1" ref="K12" ca="1">SUM(COUNTIFS(YES_Reading_FLA[School],IF($B$3="TCRCE","*",$B$3),YES_Reading_FLA[Literacy IPP],"&lt;&gt;Yes",YES_Reading_FLA[Self-Identified as African Descent],"&lt;&gt;YES",YES_Reading_FLA[Self-Identified as Indigenous],"&lt;&gt;1",INDIRECT("YES_Reading_FLA[Instructional Reading Level - Per "&amp;VLOOKUP(J$6,'Reading Report Logic'!$A$2:$B$8,2,FALSE)&amp;"]"),{"&gt;=1","&gt;&lt;"},YES_Reading_FLA[Grade],VLOOKUP($B$4,'Reading Report Logic'!$D$2:$E$9,2,FALSE)))</f>
        <v>0</v>
      </c>
      <c r="L12" s="49" cm="1">
        <f t="array" aca="1" ref="L12" ca="1">SUM(COUNTIFS(INDIRECT("YES_Reading_"&amp;{"ELA","FLA"}&amp;"[School]"),IF($B$3="TCRCE","*",$B$3),INDIRECT("YES_Reading_"&amp;{"ELA","FLA"}&amp;"[Literacy IPP]"),"&lt;&gt;Yes",INDIRECT("YES_Reading_"&amp;{"ELA","FLA"}&amp;"[Instructional Reading Level - Per "&amp;VLOOKUP(J$6,'Reading Report Logic'!$A$2:$B$8,2,FALSE)&amp;"]"),"&gt;=1",INDIRECT("YES_Reading_"&amp;{"ELA","FLA"}&amp;"[Grade]"),VLOOKUP($B$4,'Reading Report Logic'!$D$2:$E$9,2,FALSE),INDIRECT("YES_Reading_"&amp;{"ELA","FLA"}&amp;"[Self-Identified as African Descent]"),"&lt;&gt;YES",INDIRECT("YES_Reading_"&amp;{"ELA","FLA"}&amp;"[Self-Identified as Indigenous]"),"&lt;&gt;1"),COUNTIFS(INDIRECT("YES_Reading_"&amp;{"ELA","FLA"}&amp;"[School]"),IF($B$3="TCRCE","*",$B$3),INDIRECT("YES_Reading_"&amp;{"ELA","FLA"}&amp;"[Literacy IPP]"),"&lt;&gt;Yes",INDIRECT("YES_Reading_"&amp;{"ELA","FLA"}&amp;"[Instructional Reading Level - Per "&amp;VLOOKUP(J$6,'Reading Report Logic'!$A$2:$B$8,2,FALSE)&amp;"]"),"&gt;&lt;",INDIRECT("YES_Reading_"&amp;{"ELA","FLA"}&amp;"[Grade]"),VLOOKUP($B$4,'Reading Report Logic'!$D$2:$E$9,2,FALSE),INDIRECT("YES_Reading_"&amp;{"ELA","FLA"}&amp;"[Self-Identified as African Descent]"),"&lt;&gt;YES",INDIRECT("YES_Reading_"&amp;{"ELA","FLA"}&amp;"[Self-Identified as Indigenous]"),"&lt;&gt;1"))</f>
        <v>0</v>
      </c>
      <c r="M12" s="73" t="str">
        <f ca="1">IFERROR(IF(L12=0,"",L12-$E12),"")</f>
        <v/>
      </c>
      <c r="N12" s="52">
        <f ca="1">COUNTIFS(YES_Reading_ELA[School],IF($B$3="TCRCE","*",$B$3),YES_Reading_ELA[Literacy IPP],"&lt;&gt;Yes",YES_Reading_ELA[Self-Identified as African Descent],"&lt;&gt;YES",YES_Reading_ELA[Self-Identified as Indigenous],"&lt;&gt;1",INDIRECT("YES_Reading_ELA[Instructional Reading Level - Per "&amp;VLOOKUP(N$6,'Reading Report Logic'!$A$2:$B$8,2,FALSE)&amp;"]"),"&gt;&lt;",YES_Reading_ELA[Grade],VLOOKUP($B$4,'Reading Report Logic'!$D$2:$E$9,2,FALSE))</f>
        <v>0</v>
      </c>
      <c r="O12" s="49" cm="1">
        <f t="array" aca="1" ref="O12" ca="1">SUM(COUNTIFS(YES_Reading_FLA[School],IF($B$3="TCRCE","*",$B$3),YES_Reading_FLA[Literacy IPP],"&lt;&gt;Yes",YES_Reading_FLA[Self-Identified as African Descent],"&lt;&gt;YES",YES_Reading_FLA[Self-Identified as Indigenous],"&lt;&gt;1",INDIRECT("YES_Reading_FLA[Instructional Reading Level - Per "&amp;VLOOKUP(N$6,'Reading Report Logic'!$A$2:$B$8,2,FALSE)&amp;"]"),{"&gt;=1","&gt;&lt;"},YES_Reading_FLA[Grade],VLOOKUP($B$4,'Reading Report Logic'!$D$2:$E$9,2,FALSE)))</f>
        <v>0</v>
      </c>
      <c r="P12" s="49" cm="1">
        <f t="array" aca="1" ref="P12" ca="1">SUM(COUNTIFS(INDIRECT("YES_Reading_"&amp;{"ELA","FLA"}&amp;"[School]"),IF($B$3="TCRCE","*",$B$3),INDIRECT("YES_Reading_"&amp;{"ELA","FLA"}&amp;"[Literacy IPP]"),"&lt;&gt;Yes",INDIRECT("YES_Reading_"&amp;{"ELA","FLA"}&amp;"[Instructional Reading Level - Per "&amp;VLOOKUP(N$6,'Reading Report Logic'!$A$2:$B$8,2,FALSE)&amp;"]"),"&gt;=1",INDIRECT("YES_Reading_"&amp;{"ELA","FLA"}&amp;"[Grade]"),VLOOKUP($B$4,'Reading Report Logic'!$D$2:$E$9,2,FALSE),INDIRECT("YES_Reading_"&amp;{"ELA","FLA"}&amp;"[Self-Identified as African Descent]"),"&lt;&gt;YES",INDIRECT("YES_Reading_"&amp;{"ELA","FLA"}&amp;"[Self-Identified as Indigenous]"),"&lt;&gt;1"),COUNTIFS(INDIRECT("YES_Reading_"&amp;{"ELA","FLA"}&amp;"[School]"),IF($B$3="TCRCE","*",$B$3),INDIRECT("YES_Reading_"&amp;{"ELA","FLA"}&amp;"[Literacy IPP]"),"&lt;&gt;Yes",INDIRECT("YES_Reading_"&amp;{"ELA","FLA"}&amp;"[Instructional Reading Level - Per "&amp;VLOOKUP(N$6,'Reading Report Logic'!$A$2:$B$8,2,FALSE)&amp;"]"),"&gt;&lt;",INDIRECT("YES_Reading_"&amp;{"ELA","FLA"}&amp;"[Grade]"),VLOOKUP($B$4,'Reading Report Logic'!$D$2:$E$9,2,FALSE),INDIRECT("YES_Reading_"&amp;{"ELA","FLA"}&amp;"[Self-Identified as African Descent]"),"&lt;&gt;YES",INDIRECT("YES_Reading_"&amp;{"ELA","FLA"}&amp;"[Self-Identified as Indigenous]"),"&lt;&gt;1"))</f>
        <v>0</v>
      </c>
      <c r="Q12" s="73" t="str">
        <f ca="1">IFERROR(IF(P12=0,"",P12-$E12),"")</f>
        <v/>
      </c>
      <c r="R12" s="52">
        <f ca="1">COUNTIFS(YES_Reading_ELA[School],IF($B$3="TCRCE","*",$B$3),YES_Reading_ELA[Literacy IPP],"&lt;&gt;Yes",YES_Reading_ELA[Self-Identified as African Descent],"&lt;&gt;YES",YES_Reading_ELA[Self-Identified as Indigenous],"&lt;&gt;1",INDIRECT("YES_Reading_ELA[Instructional Reading Level - Per "&amp;VLOOKUP(R$6,'Reading Report Logic'!$A$2:$B$8,2,FALSE)&amp;"]"),"&gt;&lt;",YES_Reading_ELA[Grade],VLOOKUP($B$4,'Reading Report Logic'!$D$2:$E$9,2,FALSE))</f>
        <v>0</v>
      </c>
      <c r="S12" s="49" cm="1">
        <f t="array" aca="1" ref="S12" ca="1">SUM(COUNTIFS(YES_Reading_FLA[School],IF($B$3="TCRCE","*",$B$3),YES_Reading_FLA[Literacy IPP],"&lt;&gt;Yes",YES_Reading_FLA[Self-Identified as African Descent],"&lt;&gt;YES",YES_Reading_FLA[Self-Identified as Indigenous],"&lt;&gt;1",INDIRECT("YES_Reading_FLA[Instructional Reading Level - Per "&amp;VLOOKUP(R$6,'Reading Report Logic'!$A$2:$B$8,2,FALSE)&amp;"]"),{"&gt;=1","&gt;&lt;"},YES_Reading_FLA[Grade],VLOOKUP($B$4,'Reading Report Logic'!$D$2:$E$9,2,FALSE)))</f>
        <v>0</v>
      </c>
      <c r="T12" s="49" cm="1">
        <f t="array" aca="1" ref="T12" ca="1">SUM(COUNTIFS(INDIRECT("YES_Reading_"&amp;{"ELA","FLA"}&amp;"[School]"),IF($B$3="TCRCE","*",$B$3),INDIRECT("YES_Reading_"&amp;{"ELA","FLA"}&amp;"[Literacy IPP]"),"&lt;&gt;Yes",INDIRECT("YES_Reading_"&amp;{"ELA","FLA"}&amp;"[Instructional Reading Level - Per "&amp;VLOOKUP(R$6,'Reading Report Logic'!$A$2:$B$8,2,FALSE)&amp;"]"),"&gt;=1",INDIRECT("YES_Reading_"&amp;{"ELA","FLA"}&amp;"[Grade]"),VLOOKUP($B$4,'Reading Report Logic'!$D$2:$E$9,2,FALSE),INDIRECT("YES_Reading_"&amp;{"ELA","FLA"}&amp;"[Self-Identified as African Descent]"),"&lt;&gt;YES",INDIRECT("YES_Reading_"&amp;{"ELA","FLA"}&amp;"[Self-Identified as Indigenous]"),"&lt;&gt;1"),COUNTIFS(INDIRECT("YES_Reading_"&amp;{"ELA","FLA"}&amp;"[School]"),IF($B$3="TCRCE","*",$B$3),INDIRECT("YES_Reading_"&amp;{"ELA","FLA"}&amp;"[Literacy IPP]"),"&lt;&gt;Yes",INDIRECT("YES_Reading_"&amp;{"ELA","FLA"}&amp;"[Instructional Reading Level - Per "&amp;VLOOKUP(R$6,'Reading Report Logic'!$A$2:$B$8,2,FALSE)&amp;"]"),"&gt;&lt;",INDIRECT("YES_Reading_"&amp;{"ELA","FLA"}&amp;"[Grade]"),VLOOKUP($B$4,'Reading Report Logic'!$D$2:$E$9,2,FALSE),INDIRECT("YES_Reading_"&amp;{"ELA","FLA"}&amp;"[Self-Identified as African Descent]"),"&lt;&gt;YES",INDIRECT("YES_Reading_"&amp;{"ELA","FLA"}&amp;"[Self-Identified as Indigenous]"),"&lt;&gt;1"))</f>
        <v>0</v>
      </c>
      <c r="U12" s="73" t="str">
        <f ca="1">IFERROR(IF(T12=0,"",T12-$E12),"")</f>
        <v/>
      </c>
      <c r="V12" s="52">
        <f ca="1">COUNTIFS(YES_Reading_ELA[School],IF($B$3="TCRCE","*",$B$3),YES_Reading_ELA[Literacy IPP],"&lt;&gt;Yes",YES_Reading_ELA[Self-Identified as African Descent],"&lt;&gt;YES",YES_Reading_ELA[Self-Identified as Indigenous],"&lt;&gt;1",INDIRECT("YES_Reading_ELA[Instructional Reading Level - Per "&amp;VLOOKUP(V$6,'Reading Report Logic'!$A$2:$B$8,2,FALSE)&amp;"]"),"&gt;&lt;",YES_Reading_ELA[Grade],VLOOKUP($B$4,'Reading Report Logic'!$D$2:$E$9,2,FALSE))</f>
        <v>0</v>
      </c>
      <c r="W12" s="49" cm="1">
        <f t="array" aca="1" ref="W12" ca="1">SUM(COUNTIFS(YES_Reading_FLA[School],IF($B$3="TCRCE","*",$B$3),YES_Reading_FLA[Literacy IPP],"&lt;&gt;Yes",YES_Reading_FLA[Self-Identified as African Descent],"&lt;&gt;YES",YES_Reading_FLA[Self-Identified as Indigenous],"&lt;&gt;1",INDIRECT("YES_Reading_FLA[Instructional Reading Level - Per "&amp;VLOOKUP(V$6,'Reading Report Logic'!$A$2:$B$8,2,FALSE)&amp;"]"),{"&gt;=1","&gt;&lt;"},YES_Reading_FLA[Grade],VLOOKUP($B$4,'Reading Report Logic'!$D$2:$E$9,2,FALSE)))</f>
        <v>0</v>
      </c>
      <c r="X12" s="49" cm="1">
        <f t="array" aca="1" ref="X12" ca="1">SUM(COUNTIFS(INDIRECT("YES_Reading_"&amp;{"ELA","FLA"}&amp;"[School]"),IF($B$3="TCRCE","*",$B$3),INDIRECT("YES_Reading_"&amp;{"ELA","FLA"}&amp;"[Literacy IPP]"),"&lt;&gt;Yes",INDIRECT("YES_Reading_"&amp;{"ELA","FLA"}&amp;"[Instructional Reading Level - Per "&amp;VLOOKUP(V$6,'Reading Report Logic'!$A$2:$B$8,2,FALSE)&amp;"]"),"&gt;=1",INDIRECT("YES_Reading_"&amp;{"ELA","FLA"}&amp;"[Grade]"),VLOOKUP($B$4,'Reading Report Logic'!$D$2:$E$9,2,FALSE),INDIRECT("YES_Reading_"&amp;{"ELA","FLA"}&amp;"[Self-Identified as African Descent]"),"&lt;&gt;YES",INDIRECT("YES_Reading_"&amp;{"ELA","FLA"}&amp;"[Self-Identified as Indigenous]"),"&lt;&gt;1"),COUNTIFS(INDIRECT("YES_Reading_"&amp;{"ELA","FLA"}&amp;"[School]"),IF($B$3="TCRCE","*",$B$3),INDIRECT("YES_Reading_"&amp;{"ELA","FLA"}&amp;"[Literacy IPP]"),"&lt;&gt;Yes",INDIRECT("YES_Reading_"&amp;{"ELA","FLA"}&amp;"[Instructional Reading Level - Per "&amp;VLOOKUP(V$6,'Reading Report Logic'!$A$2:$B$8,2,FALSE)&amp;"]"),"&gt;&lt;",INDIRECT("YES_Reading_"&amp;{"ELA","FLA"}&amp;"[Grade]"),VLOOKUP($B$4,'Reading Report Logic'!$D$2:$E$9,2,FALSE),INDIRECT("YES_Reading_"&amp;{"ELA","FLA"}&amp;"[Self-Identified as African Descent]"),"&lt;&gt;YES",INDIRECT("YES_Reading_"&amp;{"ELA","FLA"}&amp;"[Self-Identified as Indigenous]"),"&lt;&gt;1"))</f>
        <v>0</v>
      </c>
      <c r="Y12" s="73" t="str">
        <f ca="1">IFERROR(IF(X12=0,"",X12-$E12),"")</f>
        <v/>
      </c>
      <c r="Z12" s="52" t="e">
        <f ca="1">COUNTIFS(YES_Reading_ELA[School],IF($B$3="TCRCE","*",$B$3),YES_Reading_ELA[Literacy IPP],"&lt;&gt;Yes",YES_Reading_ELA[Self-Identified as African Descent],"&lt;&gt;YES",YES_Reading_ELA[Self-Identified as Indigenous],"&lt;&gt;1",INDIRECT("YES_Reading_ELA[Instructional Reading Level - Per "&amp;VLOOKUP(Z$6,'Reading Report Logic'!$A$2:$B$8,2,FALSE)&amp;"]"),"&gt;&lt;",YES_Reading_ELA[Grade],VLOOKUP($B$4,'Reading Report Logic'!$D$2:$E$9,2,FALSE))</f>
        <v>#N/A</v>
      </c>
      <c r="AA12" s="49" t="e" cm="1">
        <f t="array" aca="1" ref="AA12" ca="1">SUM(COUNTIFS(YES_Reading_FLA[School],IF($B$3="TCRCE","*",$B$3),YES_Reading_FLA[Literacy IPP],"&lt;&gt;Yes",YES_Reading_FLA[Self-Identified as African Descent],"&lt;&gt;YES",YES_Reading_FLA[Self-Identified as Indigenous],"&lt;&gt;1",INDIRECT("YES_Reading_FLA[Instructional Reading Level - Per "&amp;VLOOKUP(Z$6,'Reading Report Logic'!$A$2:$B$8,2,FALSE)&amp;"]"),{"&gt;=1","&gt;&lt;"},YES_Reading_FLA[Grade],VLOOKUP($B$4,'Reading Report Logic'!$D$2:$E$9,2,FALSE)))</f>
        <v>#N/A</v>
      </c>
      <c r="AB12" s="49" t="e" cm="1">
        <f t="array" aca="1" ref="AB12" ca="1">SUM(COUNTIFS(INDIRECT("YES_Reading_"&amp;{"ELA","FLA"}&amp;"[School]"),IF($B$3="TCRCE","*",$B$3),INDIRECT("YES_Reading_"&amp;{"ELA","FLA"}&amp;"[Literacy IPP]"),"&lt;&gt;Yes",INDIRECT("YES_Reading_"&amp;{"ELA","FLA"}&amp;"[Instructional Reading Level - Per "&amp;VLOOKUP(Z$6,'Reading Report Logic'!$A$2:$B$8,2,FALSE)&amp;"]"),"&gt;=1",INDIRECT("YES_Reading_"&amp;{"ELA","FLA"}&amp;"[Grade]"),VLOOKUP($B$4,'Reading Report Logic'!$D$2:$E$9,2,FALSE),INDIRECT("YES_Reading_"&amp;{"ELA","FLA"}&amp;"[Self-Identified as African Descent]"),"&lt;&gt;YES",INDIRECT("YES_Reading_"&amp;{"ELA","FLA"}&amp;"[Self-Identified as Indigenous]"),"&lt;&gt;1"),COUNTIFS(INDIRECT("YES_Reading_"&amp;{"ELA","FLA"}&amp;"[School]"),IF($B$3="TCRCE","*",$B$3),INDIRECT("YES_Reading_"&amp;{"ELA","FLA"}&amp;"[Literacy IPP]"),"&lt;&gt;Yes",INDIRECT("YES_Reading_"&amp;{"ELA","FLA"}&amp;"[Instructional Reading Level - Per "&amp;VLOOKUP(Z$6,'Reading Report Logic'!$A$2:$B$8,2,FALSE)&amp;"]"),"&gt;&lt;",INDIRECT("YES_Reading_"&amp;{"ELA","FLA"}&amp;"[Grade]"),VLOOKUP($B$4,'Reading Report Logic'!$D$2:$E$9,2,FALSE),INDIRECT("YES_Reading_"&amp;{"ELA","FLA"}&amp;"[Self-Identified as African Descent]"),"&lt;&gt;YES",INDIRECT("YES_Reading_"&amp;{"ELA","FLA"}&amp;"[Self-Identified as Indigenous]"),"&lt;&gt;1"))</f>
        <v>#N/A</v>
      </c>
      <c r="AC12" s="73" t="str">
        <f ca="1">IFERROR(IF(AB12=0,"",AB12-$E12),"")</f>
        <v/>
      </c>
    </row>
    <row r="13" spans="1:29" ht="18" customHeight="1" thickBot="1" x14ac:dyDescent="0.3">
      <c r="A13" s="372"/>
      <c r="B13" s="59" t="s">
        <v>213</v>
      </c>
      <c r="C13" s="60" t="str">
        <f t="shared" ref="C13:H13" ca="1" si="1">IFERROR(C11/C12,"")</f>
        <v/>
      </c>
      <c r="D13" s="61" t="str">
        <f t="shared" ca="1" si="1"/>
        <v/>
      </c>
      <c r="E13" s="69" t="str">
        <f t="shared" ca="1" si="1"/>
        <v/>
      </c>
      <c r="F13" s="60" t="str">
        <f t="shared" ca="1" si="1"/>
        <v/>
      </c>
      <c r="G13" s="61" t="str">
        <f t="shared" ca="1" si="1"/>
        <v/>
      </c>
      <c r="H13" s="61" t="str">
        <f t="shared" ca="1" si="1"/>
        <v/>
      </c>
      <c r="I13" s="74" t="str">
        <f ca="1">IFERROR(IF(H12=0,"",H13-$E13),"")</f>
        <v/>
      </c>
      <c r="J13" s="60" t="str">
        <f ca="1">IFERROR(J11/J12,"")</f>
        <v/>
      </c>
      <c r="K13" s="61" t="str">
        <f ca="1">IFERROR(K11/K12,"")</f>
        <v/>
      </c>
      <c r="L13" s="61" t="str">
        <f ca="1">IFERROR(L11/L12,"")</f>
        <v/>
      </c>
      <c r="M13" s="74" t="str">
        <f ca="1">IFERROR(IF(L12=0,"",L13-$E13),"")</f>
        <v/>
      </c>
      <c r="N13" s="60" t="str">
        <f ca="1">IFERROR(N11/N12,"")</f>
        <v/>
      </c>
      <c r="O13" s="61" t="str">
        <f ca="1">IFERROR(O11/O12,"")</f>
        <v/>
      </c>
      <c r="P13" s="61" t="str">
        <f ca="1">IFERROR(P11/P12,"")</f>
        <v/>
      </c>
      <c r="Q13" s="74" t="str">
        <f ca="1">IFERROR(IF(P12=0,"",P13-$E13),"")</f>
        <v/>
      </c>
      <c r="R13" s="60" t="str">
        <f ca="1">IFERROR(R11/R12,"")</f>
        <v/>
      </c>
      <c r="S13" s="61" t="str">
        <f ca="1">IFERROR(S11/S12,"")</f>
        <v/>
      </c>
      <c r="T13" s="61" t="str">
        <f ca="1">IFERROR(T11/T12,"")</f>
        <v/>
      </c>
      <c r="U13" s="74" t="str">
        <f ca="1">IFERROR(IF(T12=0,"",T13-$E13),"")</f>
        <v/>
      </c>
      <c r="V13" s="60" t="str">
        <f ca="1">IFERROR(V11/V12,"")</f>
        <v/>
      </c>
      <c r="W13" s="61" t="str">
        <f ca="1">IFERROR(W11/W12,"")</f>
        <v/>
      </c>
      <c r="X13" s="61" t="str">
        <f ca="1">IFERROR(X11/X12,"")</f>
        <v/>
      </c>
      <c r="Y13" s="74" t="str">
        <f ca="1">IFERROR(IF(X12=0,"",X13-$E13),"")</f>
        <v/>
      </c>
      <c r="Z13" s="60" t="str">
        <f ca="1">IFERROR(Z11/Z12,"")</f>
        <v/>
      </c>
      <c r="AA13" s="61" t="str">
        <f ca="1">IFERROR(AA11/AA12,"")</f>
        <v/>
      </c>
      <c r="AB13" s="61" t="str">
        <f ca="1">IFERROR(AB11/AB12,"")</f>
        <v/>
      </c>
      <c r="AC13" s="74" t="str">
        <f ca="1">IFERROR(IF(AB12=0,"",AB13-$E13),"")</f>
        <v/>
      </c>
    </row>
    <row r="14" spans="1:29" ht="18" customHeight="1" x14ac:dyDescent="0.25">
      <c r="A14" s="370" t="s">
        <v>207</v>
      </c>
      <c r="B14" s="56" t="s">
        <v>211</v>
      </c>
      <c r="C14" s="57">
        <f ca="1">COUNTIFS(YES_Reading_ELA[School],IF($B$3="TCRCE","*",$B$3),YES_Reading_ELA[Literacy IPP],"&lt;&gt;Yes",INDIRECT("YES_Reading_ELA[Difference - Per "&amp;VLOOKUP(C$6,'Reading Report Logic'!$A$2:$B$8,2,FALSE)&amp;"]"),"&gt;=0",YES_Reading_ELA[Self-Identified as African Descent],"YES",YES_Reading_ELA[Self-Identified as Indigenous],"&lt;&gt;1",YES_Reading_ELA[Grade],VLOOKUP($B$4,'Reading Report Logic'!$D$2:$E$9,2,FALSE))</f>
        <v>0</v>
      </c>
      <c r="D14" s="58">
        <f ca="1">COUNTIFS(YES_Reading_FLA[School],IF($B$3="TCRCE","*",$B$3),YES_Reading_FLA[Literacy IPP],"&lt;&gt;Yes",INDIRECT("YES_Reading_FLA[Difference - Per "&amp;VLOOKUP(C$6,'Reading Report Logic'!$A$2:$B$8,2,FALSE)&amp;"]"),"&gt;=0",YES_Reading_FLA[Self-Identified as African Descent],"YES",YES_Reading_FLA[Self-Identified as Indigenous],"&lt;&gt;1",YES_Reading_FLA[Grade],VLOOKUP($B$4,'Reading Report Logic'!$D$2:$E$9,2,FALSE))</f>
        <v>0</v>
      </c>
      <c r="E14" s="67" cm="1">
        <f t="array" aca="1" ref="E14" ca="1">SUM(COUNTIFS(INDIRECT("YES_Reading_"&amp;{"ELA","FLA"}&amp;"[School]"),IF($B$3="TCRCE","*",$B$3),INDIRECT("YES_Reading_"&amp;{"ELA","FLA"}&amp;"[Literacy IPP]"),"&lt;&gt;Yes",INDIRECT("YES_Reading_"&amp;{"ELA","FLA"}&amp;"[Difference - Per "&amp;VLOOKUP(C$6,'Reading Report Logic'!$A$2:$B$8,2,FALSE)&amp;"]"),"&gt;=0",INDIRECT("YES_Reading_"&amp;{"ELA","FLA"}&amp;"[Grade]"),VLOOKUP($B$4,'Reading Report Logic'!$D$2:$E$9,2,FALSE),INDIRECT("YES_Reading_"&amp;{"ELA","FLA"}&amp;"[Self-Identified as African Descent]"),"YES",INDIRECT("YES_Reading_"&amp;{"ELA","FLA"}&amp;"[Self-Identified as Indigenous]"),"&lt;&gt;1"))</f>
        <v>0</v>
      </c>
      <c r="F14" s="57">
        <f ca="1">COUNTIFS(YES_Reading_ELA[School],IF($B$3="TCRCE","*",$B$3),YES_Reading_ELA[Literacy IPP],"&lt;&gt;Yes",INDIRECT("YES_Reading_ELA[Difference - Per "&amp;VLOOKUP(F$6,'Reading Report Logic'!$A$2:$B$8,2,FALSE)&amp;"]"),"&gt;=0",YES_Reading_ELA[Self-Identified as African Descent],"YES",YES_Reading_ELA[Self-Identified as Indigenous],"&lt;&gt;1",YES_Reading_ELA[Grade],VLOOKUP($B$4,'Reading Report Logic'!$D$2:$E$9,2,FALSE))</f>
        <v>0</v>
      </c>
      <c r="G14" s="58">
        <f ca="1">COUNTIFS(YES_Reading_FLA[School],IF($B$3="TCRCE","*",$B$3),YES_Reading_FLA[Literacy IPP],"&lt;&gt;Yes",INDIRECT("YES_Reading_FLA[Difference - Per "&amp;VLOOKUP(F$6,'Reading Report Logic'!$A$2:$B$8,2,FALSE)&amp;"]"),"&gt;=0",YES_Reading_FLA[Self-Identified as African Descent],"YES",YES_Reading_FLA[Self-Identified as Indigenous],"&lt;&gt;1",YES_Reading_FLA[Grade],VLOOKUP($B$4,'Reading Report Logic'!$D$2:$E$9,2,FALSE))</f>
        <v>0</v>
      </c>
      <c r="H14" s="58" cm="1">
        <f t="array" aca="1" ref="H14" ca="1">SUM(COUNTIFS(INDIRECT("YES_Reading_"&amp;{"ELA","FLA"}&amp;"[School]"),IF($B$3="TCRCE","*",$B$3),INDIRECT("YES_Reading_"&amp;{"ELA","FLA"}&amp;"[Literacy IPP]"),"&lt;&gt;Yes",INDIRECT("YES_Reading_"&amp;{"ELA","FLA"}&amp;"[Difference - Per "&amp;VLOOKUP(F$6,'Reading Report Logic'!$A$2:$B$8,2,FALSE)&amp;"]"),"&gt;=0",INDIRECT("YES_Reading_"&amp;{"ELA","FLA"}&amp;"[Grade]"),VLOOKUP($B$4,'Reading Report Logic'!$D$2:$E$9,2,FALSE),INDIRECT("YES_Reading_"&amp;{"ELA","FLA"}&amp;"[Self-Identified as African Descent]"),"YES",INDIRECT("YES_Reading_"&amp;{"ELA","FLA"}&amp;"[Self-Identified as Indigenous]"),"&lt;&gt;1"))</f>
        <v>0</v>
      </c>
      <c r="I14" s="75" t="str">
        <f ca="1">IFERROR(IF(H15=0,"",H14-$E14),"")</f>
        <v/>
      </c>
      <c r="J14" s="57">
        <f ca="1">COUNTIFS(YES_Reading_ELA[School],IF($B$3="TCRCE","*",$B$3),YES_Reading_ELA[Literacy IPP],"&lt;&gt;Yes",INDIRECT("YES_Reading_ELA[Difference - Per "&amp;VLOOKUP(J$6,'Reading Report Logic'!$A$2:$B$8,2,FALSE)&amp;"]"),"&gt;=0",YES_Reading_ELA[Self-Identified as African Descent],"YES",YES_Reading_ELA[Self-Identified as Indigenous],"&lt;&gt;1",YES_Reading_ELA[Grade],VLOOKUP($B$4,'Reading Report Logic'!$D$2:$E$9,2,FALSE))</f>
        <v>0</v>
      </c>
      <c r="K14" s="58">
        <f ca="1">COUNTIFS(YES_Reading_FLA[School],IF($B$3="TCRCE","*",$B$3),YES_Reading_FLA[Literacy IPP],"&lt;&gt;Yes",INDIRECT("YES_Reading_FLA[Difference - Per "&amp;VLOOKUP(J$6,'Reading Report Logic'!$A$2:$B$8,2,FALSE)&amp;"]"),"&gt;=0",YES_Reading_FLA[Self-Identified as African Descent],"YES",YES_Reading_FLA[Self-Identified as Indigenous],"&lt;&gt;1",YES_Reading_FLA[Grade],VLOOKUP($B$4,'Reading Report Logic'!$D$2:$E$9,2,FALSE))</f>
        <v>0</v>
      </c>
      <c r="L14" s="58" cm="1">
        <f t="array" aca="1" ref="L14" ca="1">SUM(COUNTIFS(INDIRECT("YES_Reading_"&amp;{"ELA","FLA"}&amp;"[School]"),IF($B$3="TCRCE","*",$B$3),INDIRECT("YES_Reading_"&amp;{"ELA","FLA"}&amp;"[Literacy IPP]"),"&lt;&gt;Yes",INDIRECT("YES_Reading_"&amp;{"ELA","FLA"}&amp;"[Difference - Per "&amp;VLOOKUP(J$6,'Reading Report Logic'!$A$2:$B$8,2,FALSE)&amp;"]"),"&gt;=0",INDIRECT("YES_Reading_"&amp;{"ELA","FLA"}&amp;"[Grade]"),VLOOKUP($B$4,'Reading Report Logic'!$D$2:$E$9,2,FALSE),INDIRECT("YES_Reading_"&amp;{"ELA","FLA"}&amp;"[Self-Identified as African Descent]"),"YES",INDIRECT("YES_Reading_"&amp;{"ELA","FLA"}&amp;"[Self-Identified as Indigenous]"),"&lt;&gt;1"))</f>
        <v>0</v>
      </c>
      <c r="M14" s="75" t="str">
        <f ca="1">IFERROR(IF(L15=0,"",L14-$E14),"")</f>
        <v/>
      </c>
      <c r="N14" s="57">
        <f ca="1">COUNTIFS(YES_Reading_ELA[School],IF($B$3="TCRCE","*",$B$3),YES_Reading_ELA[Literacy IPP],"&lt;&gt;Yes",INDIRECT("YES_Reading_ELA[Difference - Per "&amp;VLOOKUP(N$6,'Reading Report Logic'!$A$2:$B$8,2,FALSE)&amp;"]"),"&gt;=0",YES_Reading_ELA[Self-Identified as African Descent],"YES",YES_Reading_ELA[Self-Identified as Indigenous],"&lt;&gt;1",YES_Reading_ELA[Grade],VLOOKUP($B$4,'Reading Report Logic'!$D$2:$E$9,2,FALSE))</f>
        <v>0</v>
      </c>
      <c r="O14" s="58">
        <f ca="1">COUNTIFS(YES_Reading_FLA[School],IF($B$3="TCRCE","*",$B$3),YES_Reading_FLA[Literacy IPP],"&lt;&gt;Yes",INDIRECT("YES_Reading_FLA[Difference - Per "&amp;VLOOKUP(N$6,'Reading Report Logic'!$A$2:$B$8,2,FALSE)&amp;"]"),"&gt;=0",YES_Reading_FLA[Self-Identified as African Descent],"YES",YES_Reading_FLA[Self-Identified as Indigenous],"&lt;&gt;1",YES_Reading_FLA[Grade],VLOOKUP($B$4,'Reading Report Logic'!$D$2:$E$9,2,FALSE))</f>
        <v>0</v>
      </c>
      <c r="P14" s="58" cm="1">
        <f t="array" aca="1" ref="P14" ca="1">SUM(COUNTIFS(INDIRECT("YES_Reading_"&amp;{"ELA","FLA"}&amp;"[School]"),IF($B$3="TCRCE","*",$B$3),INDIRECT("YES_Reading_"&amp;{"ELA","FLA"}&amp;"[Literacy IPP]"),"&lt;&gt;Yes",INDIRECT("YES_Reading_"&amp;{"ELA","FLA"}&amp;"[Difference - Per "&amp;VLOOKUP(N$6,'Reading Report Logic'!$A$2:$B$8,2,FALSE)&amp;"]"),"&gt;=0",INDIRECT("YES_Reading_"&amp;{"ELA","FLA"}&amp;"[Grade]"),VLOOKUP($B$4,'Reading Report Logic'!$D$2:$E$9,2,FALSE),INDIRECT("YES_Reading_"&amp;{"ELA","FLA"}&amp;"[Self-Identified as African Descent]"),"YES",INDIRECT("YES_Reading_"&amp;{"ELA","FLA"}&amp;"[Self-Identified as Indigenous]"),"&lt;&gt;1"))</f>
        <v>0</v>
      </c>
      <c r="Q14" s="75" t="str">
        <f ca="1">IFERROR(IF(P15=0,"",P14-$E14),"")</f>
        <v/>
      </c>
      <c r="R14" s="57">
        <f ca="1">COUNTIFS(YES_Reading_ELA[School],IF($B$3="TCRCE","*",$B$3),YES_Reading_ELA[Literacy IPP],"&lt;&gt;Yes",INDIRECT("YES_Reading_ELA[Difference - Per "&amp;VLOOKUP(R$6,'Reading Report Logic'!$A$2:$B$8,2,FALSE)&amp;"]"),"&gt;=0",YES_Reading_ELA[Self-Identified as African Descent],"YES",YES_Reading_ELA[Self-Identified as Indigenous],"&lt;&gt;1",YES_Reading_ELA[Grade],VLOOKUP($B$4,'Reading Report Logic'!$D$2:$E$9,2,FALSE))</f>
        <v>0</v>
      </c>
      <c r="S14" s="58">
        <f ca="1">COUNTIFS(YES_Reading_FLA[School],IF($B$3="TCRCE","*",$B$3),YES_Reading_FLA[Literacy IPP],"&lt;&gt;Yes",INDIRECT("YES_Reading_FLA[Difference - Per "&amp;VLOOKUP(R$6,'Reading Report Logic'!$A$2:$B$8,2,FALSE)&amp;"]"),"&gt;=0",YES_Reading_FLA[Self-Identified as African Descent],"YES",YES_Reading_FLA[Self-Identified as Indigenous],"&lt;&gt;1",YES_Reading_FLA[Grade],VLOOKUP($B$4,'Reading Report Logic'!$D$2:$E$9,2,FALSE))</f>
        <v>0</v>
      </c>
      <c r="T14" s="58" cm="1">
        <f t="array" aca="1" ref="T14" ca="1">SUM(COUNTIFS(INDIRECT("YES_Reading_"&amp;{"ELA","FLA"}&amp;"[School]"),IF($B$3="TCRCE","*",$B$3),INDIRECT("YES_Reading_"&amp;{"ELA","FLA"}&amp;"[Literacy IPP]"),"&lt;&gt;Yes",INDIRECT("YES_Reading_"&amp;{"ELA","FLA"}&amp;"[Difference - Per "&amp;VLOOKUP(R$6,'Reading Report Logic'!$A$2:$B$8,2,FALSE)&amp;"]"),"&gt;=0",INDIRECT("YES_Reading_"&amp;{"ELA","FLA"}&amp;"[Grade]"),VLOOKUP($B$4,'Reading Report Logic'!$D$2:$E$9,2,FALSE),INDIRECT("YES_Reading_"&amp;{"ELA","FLA"}&amp;"[Self-Identified as African Descent]"),"YES",INDIRECT("YES_Reading_"&amp;{"ELA","FLA"}&amp;"[Self-Identified as Indigenous]"),"&lt;&gt;1"))</f>
        <v>0</v>
      </c>
      <c r="U14" s="75" t="str">
        <f ca="1">IFERROR(IF(T15=0,"",T14-$E14),"")</f>
        <v/>
      </c>
      <c r="V14" s="57">
        <f ca="1">COUNTIFS(YES_Reading_ELA[School],IF($B$3="TCRCE","*",$B$3),YES_Reading_ELA[Literacy IPP],"&lt;&gt;Yes",INDIRECT("YES_Reading_ELA[Difference - Per "&amp;VLOOKUP(V$6,'Reading Report Logic'!$A$2:$B$8,2,FALSE)&amp;"]"),"&gt;=0",YES_Reading_ELA[Self-Identified as African Descent],"YES",YES_Reading_ELA[Self-Identified as Indigenous],"&lt;&gt;1",YES_Reading_ELA[Grade],VLOOKUP($B$4,'Reading Report Logic'!$D$2:$E$9,2,FALSE))</f>
        <v>0</v>
      </c>
      <c r="W14" s="58">
        <f ca="1">COUNTIFS(YES_Reading_FLA[School],IF($B$3="TCRCE","*",$B$3),YES_Reading_FLA[Literacy IPP],"&lt;&gt;Yes",INDIRECT("YES_Reading_FLA[Difference - Per "&amp;VLOOKUP(V$6,'Reading Report Logic'!$A$2:$B$8,2,FALSE)&amp;"]"),"&gt;=0",YES_Reading_FLA[Self-Identified as African Descent],"YES",YES_Reading_FLA[Self-Identified as Indigenous],"&lt;&gt;1",YES_Reading_FLA[Grade],VLOOKUP($B$4,'Reading Report Logic'!$D$2:$E$9,2,FALSE))</f>
        <v>0</v>
      </c>
      <c r="X14" s="58" cm="1">
        <f t="array" aca="1" ref="X14" ca="1">SUM(COUNTIFS(INDIRECT("YES_Reading_"&amp;{"ELA","FLA"}&amp;"[School]"),IF($B$3="TCRCE","*",$B$3),INDIRECT("YES_Reading_"&amp;{"ELA","FLA"}&amp;"[Literacy IPP]"),"&lt;&gt;Yes",INDIRECT("YES_Reading_"&amp;{"ELA","FLA"}&amp;"[Difference - Per "&amp;VLOOKUP(V$6,'Reading Report Logic'!$A$2:$B$8,2,FALSE)&amp;"]"),"&gt;=0",INDIRECT("YES_Reading_"&amp;{"ELA","FLA"}&amp;"[Grade]"),VLOOKUP($B$4,'Reading Report Logic'!$D$2:$E$9,2,FALSE),INDIRECT("YES_Reading_"&amp;{"ELA","FLA"}&amp;"[Self-Identified as African Descent]"),"YES",INDIRECT("YES_Reading_"&amp;{"ELA","FLA"}&amp;"[Self-Identified as Indigenous]"),"&lt;&gt;1"))</f>
        <v>0</v>
      </c>
      <c r="Y14" s="75" t="str">
        <f ca="1">IFERROR(IF(X15=0,"",X14-$E14),"")</f>
        <v/>
      </c>
      <c r="Z14" s="57" t="e">
        <f ca="1">COUNTIFS(YES_Reading_ELA[School],IF($B$3="TCRCE","*",$B$3),YES_Reading_ELA[Literacy IPP],"&lt;&gt;Yes",INDIRECT("YES_Reading_ELA[Difference - Per "&amp;VLOOKUP(Z$6,'Reading Report Logic'!$A$2:$B$8,2,FALSE)&amp;"]"),"&gt;=0",YES_Reading_ELA[Self-Identified as African Descent],"YES",YES_Reading_ELA[Self-Identified as Indigenous],"&lt;&gt;1",YES_Reading_ELA[Grade],VLOOKUP($B$4,'Reading Report Logic'!$D$2:$E$9,2,FALSE))</f>
        <v>#N/A</v>
      </c>
      <c r="AA14" s="58" t="e">
        <f ca="1">COUNTIFS(YES_Reading_FLA[School],IF($B$3="TCRCE","*",$B$3),YES_Reading_FLA[Literacy IPP],"&lt;&gt;Yes",INDIRECT("YES_Reading_FLA[Difference - Per "&amp;VLOOKUP(Z$6,'Reading Report Logic'!$A$2:$B$8,2,FALSE)&amp;"]"),"&gt;=0",YES_Reading_FLA[Self-Identified as African Descent],"YES",YES_Reading_FLA[Self-Identified as Indigenous],"&lt;&gt;1",YES_Reading_FLA[Grade],VLOOKUP($B$4,'Reading Report Logic'!$D$2:$E$9,2,FALSE))</f>
        <v>#N/A</v>
      </c>
      <c r="AB14" s="58" t="e" cm="1">
        <f t="array" aca="1" ref="AB14" ca="1">SUM(COUNTIFS(INDIRECT("YES_Reading_"&amp;{"ELA","FLA"}&amp;"[School]"),IF($B$3="TCRCE","*",$B$3),INDIRECT("YES_Reading_"&amp;{"ELA","FLA"}&amp;"[Literacy IPP]"),"&lt;&gt;Yes",INDIRECT("YES_Reading_"&amp;{"ELA","FLA"}&amp;"[Difference - Per "&amp;VLOOKUP(Z$6,'Reading Report Logic'!$A$2:$B$8,2,FALSE)&amp;"]"),"&gt;=0",INDIRECT("YES_Reading_"&amp;{"ELA","FLA"}&amp;"[Grade]"),VLOOKUP($B$4,'Reading Report Logic'!$D$2:$E$9,2,FALSE),INDIRECT("YES_Reading_"&amp;{"ELA","FLA"}&amp;"[Self-Identified as African Descent]"),"YES",INDIRECT("YES_Reading_"&amp;{"ELA","FLA"}&amp;"[Self-Identified as Indigenous]"),"&lt;&gt;1"))</f>
        <v>#N/A</v>
      </c>
      <c r="AC14" s="75" t="str">
        <f ca="1">IFERROR(IF(AB15=0,"",AB14-$E14),"")</f>
        <v/>
      </c>
    </row>
    <row r="15" spans="1:29" ht="18" customHeight="1" x14ac:dyDescent="0.25">
      <c r="A15" s="371"/>
      <c r="B15" s="51" t="s">
        <v>212</v>
      </c>
      <c r="C15" s="52">
        <f ca="1">COUNTIFS(YES_Reading_ELA[School],IF($B$3="TCRCE","*",$B$3),YES_Reading_ELA[Literacy IPP],"&lt;&gt;Yes",YES_Reading_ELA[Self-Identified as African Descent],"YES",YES_Reading_ELA[Self-Identified as Indigenous],"&lt;&gt;1",INDIRECT("YES_Reading_ELA[Instructional Reading Level - Per "&amp;VLOOKUP(C$6,'Reading Report Logic'!$A$2:$B$8,2,FALSE)&amp;"]"),"&gt;&lt;",YES_Reading_ELA[Grade],VLOOKUP($B$4,'Reading Report Logic'!$D$2:$E$9,2,FALSE))</f>
        <v>0</v>
      </c>
      <c r="D15" s="49" cm="1">
        <f t="array" aca="1" ref="D15" ca="1">SUM(COUNTIFS(YES_Reading_FLA[School],IF($B$3="TCRCE","*",$B$3),YES_Reading_FLA[Literacy IPP],"&lt;&gt;Yes",YES_Reading_FLA[Self-Identified as African Descent],"YES",YES_Reading_FLA[Self-Identified as Indigenous],"&lt;&gt;1",INDIRECT("YES_Reading_FLA[Instructional Reading Level - Per "&amp;VLOOKUP(C$6,'Reading Report Logic'!$A$2:$B$8,2,FALSE)&amp;"]"),{"&gt;=1","&gt;&lt;"},YES_Reading_FLA[Grade],VLOOKUP($B$4,'Reading Report Logic'!$D$2:$E$9,2,FALSE)))</f>
        <v>0</v>
      </c>
      <c r="E15" s="68" cm="1">
        <f t="array" aca="1" ref="E15" ca="1">SUM(COUNTIFS(INDIRECT("YES_Reading_"&amp;{"ELA","FLA"}&amp;"[School]"),IF($B$3="TCRCE","*",$B$3),INDIRECT("YES_Reading_"&amp;{"ELA","FLA"}&amp;"[Literacy IPP]"),"&lt;&gt;Yes",INDIRECT("YES_Reading_"&amp;{"ELA","FLA"}&amp;"[Instructional Reading Level - Per "&amp;VLOOKUP(C$6,'Reading Report Logic'!$A$2:$B$8,2,FALSE)&amp;"]"),"&gt;=1",INDIRECT("YES_Reading_"&amp;{"ELA","FLA"}&amp;"[Grade]"),VLOOKUP($B$4,'Reading Report Logic'!$D$2:$E$9,2,FALSE),INDIRECT("YES_Reading_"&amp;{"ELA","FLA"}&amp;"[Self-Identified as African Descent]"),"YES",INDIRECT("YES_Reading_"&amp;{"ELA","FLA"}&amp;"[Self-Identified as Indigenous]"),"&lt;&gt;1"),COUNTIFS(INDIRECT("YES_Reading_"&amp;{"ELA","FLA"}&amp;"[School]"),IF($B$3="TCRCE","*",$B$3),INDIRECT("YES_Reading_"&amp;{"ELA","FLA"}&amp;"[Literacy IPP]"),"&lt;&gt;Yes",INDIRECT("YES_Reading_"&amp;{"ELA","FLA"}&amp;"[Instructional Reading Level - Per "&amp;VLOOKUP(C$6,'Reading Report Logic'!$A$2:$B$8,2,FALSE)&amp;"]"),"&gt;&lt;",INDIRECT("YES_Reading_"&amp;{"ELA","FLA"}&amp;"[Grade]"),VLOOKUP($B$4,'Reading Report Logic'!$D$2:$E$9,2,FALSE),INDIRECT("YES_Reading_"&amp;{"ELA","FLA"}&amp;"[Self-Identified as African Descent]"),"YES",INDIRECT("YES_Reading_"&amp;{"ELA","FLA"}&amp;"[Self-Identified as Indigenous]"),"&lt;&gt;1"))</f>
        <v>0</v>
      </c>
      <c r="F15" s="52">
        <f ca="1">COUNTIFS(YES_Reading_ELA[School],IF($B$3="TCRCE","*",$B$3),YES_Reading_ELA[Literacy IPP],"&lt;&gt;Yes",YES_Reading_ELA[Self-Identified as African Descent],"YES",YES_Reading_ELA[Self-Identified as Indigenous],"&lt;&gt;1",INDIRECT("YES_Reading_ELA[Instructional Reading Level - Per "&amp;VLOOKUP(F$6,'Reading Report Logic'!$A$2:$B$8,2,FALSE)&amp;"]"),"&gt;&lt;",YES_Reading_ELA[Grade],VLOOKUP($B$4,'Reading Report Logic'!$D$2:$E$9,2,FALSE))</f>
        <v>0</v>
      </c>
      <c r="G15" s="49" cm="1">
        <f t="array" aca="1" ref="G15" ca="1">SUM(COUNTIFS(YES_Reading_FLA[School],IF($B$3="TCRCE","*",$B$3),YES_Reading_FLA[Literacy IPP],"&lt;&gt;Yes",YES_Reading_FLA[Self-Identified as African Descent],"YES",YES_Reading_FLA[Self-Identified as Indigenous],"&lt;&gt;1",INDIRECT("YES_Reading_FLA[Instructional Reading Level - Per "&amp;VLOOKUP(F$6,'Reading Report Logic'!$A$2:$B$8,2,FALSE)&amp;"]"),{"&gt;=1","&gt;&lt;"},YES_Reading_FLA[Grade],VLOOKUP($B$4,'Reading Report Logic'!$D$2:$E$9,2,FALSE)))</f>
        <v>0</v>
      </c>
      <c r="H15" s="49" cm="1">
        <f t="array" aca="1" ref="H15" ca="1">SUM(COUNTIFS(INDIRECT("YES_Reading_"&amp;{"ELA","FLA"}&amp;"[School]"),IF($B$3="TCRCE","*",$B$3),INDIRECT("YES_Reading_"&amp;{"ELA","FLA"}&amp;"[Literacy IPP]"),"&lt;&gt;Yes",INDIRECT("YES_Reading_"&amp;{"ELA","FLA"}&amp;"[Instructional Reading Level - Per "&amp;VLOOKUP(F$6,'Reading Report Logic'!$A$2:$B$8,2,FALSE)&amp;"]"),"&gt;=1",INDIRECT("YES_Reading_"&amp;{"ELA","FLA"}&amp;"[Grade]"),VLOOKUP($B$4,'Reading Report Logic'!$D$2:$E$9,2,FALSE),INDIRECT("YES_Reading_"&amp;{"ELA","FLA"}&amp;"[Self-Identified as African Descent]"),"YES",INDIRECT("YES_Reading_"&amp;{"ELA","FLA"}&amp;"[Self-Identified as Indigenous]"),"&lt;&gt;1"),COUNTIFS(INDIRECT("YES_Reading_"&amp;{"ELA","FLA"}&amp;"[School]"),IF($B$3="TCRCE","*",$B$3),INDIRECT("YES_Reading_"&amp;{"ELA","FLA"}&amp;"[Literacy IPP]"),"&lt;&gt;Yes",INDIRECT("YES_Reading_"&amp;{"ELA","FLA"}&amp;"[Instructional Reading Level - Per "&amp;VLOOKUP(F$6,'Reading Report Logic'!$A$2:$B$8,2,FALSE)&amp;"]"),"&gt;&lt;",INDIRECT("YES_Reading_"&amp;{"ELA","FLA"}&amp;"[Grade]"),VLOOKUP($B$4,'Reading Report Logic'!$D$2:$E$9,2,FALSE),INDIRECT("YES_Reading_"&amp;{"ELA","FLA"}&amp;"[Self-Identified as African Descent]"),"YES",INDIRECT("YES_Reading_"&amp;{"ELA","FLA"}&amp;"[Self-Identified as Indigenous]"),"&lt;&gt;1"))</f>
        <v>0</v>
      </c>
      <c r="I15" s="73" t="str">
        <f ca="1">IFERROR(IF(H15=0,"",H15-$E15),"")</f>
        <v/>
      </c>
      <c r="J15" s="52">
        <f ca="1">COUNTIFS(YES_Reading_ELA[School],IF($B$3="TCRCE","*",$B$3),YES_Reading_ELA[Literacy IPP],"&lt;&gt;Yes",YES_Reading_ELA[Self-Identified as African Descent],"YES",YES_Reading_ELA[Self-Identified as Indigenous],"&lt;&gt;1",INDIRECT("YES_Reading_ELA[Instructional Reading Level - Per "&amp;VLOOKUP(J$6,'Reading Report Logic'!$A$2:$B$8,2,FALSE)&amp;"]"),"&gt;&lt;",YES_Reading_ELA[Grade],VLOOKUP($B$4,'Reading Report Logic'!$D$2:$E$9,2,FALSE))</f>
        <v>0</v>
      </c>
      <c r="K15" s="49" cm="1">
        <f t="array" aca="1" ref="K15" ca="1">SUM(COUNTIFS(YES_Reading_FLA[School],IF($B$3="TCRCE","*",$B$3),YES_Reading_FLA[Literacy IPP],"&lt;&gt;Yes",YES_Reading_FLA[Self-Identified as African Descent],"YES",YES_Reading_FLA[Self-Identified as Indigenous],"&lt;&gt;1",INDIRECT("YES_Reading_FLA[Instructional Reading Level - Per "&amp;VLOOKUP(J$6,'Reading Report Logic'!$A$2:$B$8,2,FALSE)&amp;"]"),{"&gt;=1","&gt;&lt;"},YES_Reading_FLA[Grade],VLOOKUP($B$4,'Reading Report Logic'!$D$2:$E$9,2,FALSE)))</f>
        <v>0</v>
      </c>
      <c r="L15" s="49" cm="1">
        <f t="array" aca="1" ref="L15" ca="1">SUM(COUNTIFS(INDIRECT("YES_Reading_"&amp;{"ELA","FLA"}&amp;"[School]"),IF($B$3="TCRCE","*",$B$3),INDIRECT("YES_Reading_"&amp;{"ELA","FLA"}&amp;"[Literacy IPP]"),"&lt;&gt;Yes",INDIRECT("YES_Reading_"&amp;{"ELA","FLA"}&amp;"[Instructional Reading Level - Per "&amp;VLOOKUP(J$6,'Reading Report Logic'!$A$2:$B$8,2,FALSE)&amp;"]"),"&gt;=1",INDIRECT("YES_Reading_"&amp;{"ELA","FLA"}&amp;"[Grade]"),VLOOKUP($B$4,'Reading Report Logic'!$D$2:$E$9,2,FALSE),INDIRECT("YES_Reading_"&amp;{"ELA","FLA"}&amp;"[Self-Identified as African Descent]"),"YES",INDIRECT("YES_Reading_"&amp;{"ELA","FLA"}&amp;"[Self-Identified as Indigenous]"),"&lt;&gt;1"),COUNTIFS(INDIRECT("YES_Reading_"&amp;{"ELA","FLA"}&amp;"[School]"),IF($B$3="TCRCE","*",$B$3),INDIRECT("YES_Reading_"&amp;{"ELA","FLA"}&amp;"[Literacy IPP]"),"&lt;&gt;Yes",INDIRECT("YES_Reading_"&amp;{"ELA","FLA"}&amp;"[Instructional Reading Level - Per "&amp;VLOOKUP(J$6,'Reading Report Logic'!$A$2:$B$8,2,FALSE)&amp;"]"),"&gt;&lt;",INDIRECT("YES_Reading_"&amp;{"ELA","FLA"}&amp;"[Grade]"),VLOOKUP($B$4,'Reading Report Logic'!$D$2:$E$9,2,FALSE),INDIRECT("YES_Reading_"&amp;{"ELA","FLA"}&amp;"[Self-Identified as African Descent]"),"YES",INDIRECT("YES_Reading_"&amp;{"ELA","FLA"}&amp;"[Self-Identified as Indigenous]"),"&lt;&gt;1"))</f>
        <v>0</v>
      </c>
      <c r="M15" s="73" t="str">
        <f ca="1">IFERROR(IF(L15=0,"",L15-$E15),"")</f>
        <v/>
      </c>
      <c r="N15" s="52">
        <f ca="1">COUNTIFS(YES_Reading_ELA[School],IF($B$3="TCRCE","*",$B$3),YES_Reading_ELA[Literacy IPP],"&lt;&gt;Yes",YES_Reading_ELA[Self-Identified as African Descent],"YES",YES_Reading_ELA[Self-Identified as Indigenous],"&lt;&gt;1",INDIRECT("YES_Reading_ELA[Instructional Reading Level - Per "&amp;VLOOKUP(N$6,'Reading Report Logic'!$A$2:$B$8,2,FALSE)&amp;"]"),"&gt;&lt;",YES_Reading_ELA[Grade],VLOOKUP($B$4,'Reading Report Logic'!$D$2:$E$9,2,FALSE))</f>
        <v>0</v>
      </c>
      <c r="O15" s="49" cm="1">
        <f t="array" aca="1" ref="O15" ca="1">SUM(COUNTIFS(YES_Reading_FLA[School],IF($B$3="TCRCE","*",$B$3),YES_Reading_FLA[Literacy IPP],"&lt;&gt;Yes",YES_Reading_FLA[Self-Identified as African Descent],"YES",YES_Reading_FLA[Self-Identified as Indigenous],"&lt;&gt;1",INDIRECT("YES_Reading_FLA[Instructional Reading Level - Per "&amp;VLOOKUP(N$6,'Reading Report Logic'!$A$2:$B$8,2,FALSE)&amp;"]"),{"&gt;=1","&gt;&lt;"},YES_Reading_FLA[Grade],VLOOKUP($B$4,'Reading Report Logic'!$D$2:$E$9,2,FALSE)))</f>
        <v>0</v>
      </c>
      <c r="P15" s="49" cm="1">
        <f t="array" aca="1" ref="P15" ca="1">SUM(COUNTIFS(INDIRECT("YES_Reading_"&amp;{"ELA","FLA"}&amp;"[School]"),IF($B$3="TCRCE","*",$B$3),INDIRECT("YES_Reading_"&amp;{"ELA","FLA"}&amp;"[Literacy IPP]"),"&lt;&gt;Yes",INDIRECT("YES_Reading_"&amp;{"ELA","FLA"}&amp;"[Instructional Reading Level - Per "&amp;VLOOKUP(N$6,'Reading Report Logic'!$A$2:$B$8,2,FALSE)&amp;"]"),"&gt;=1",INDIRECT("YES_Reading_"&amp;{"ELA","FLA"}&amp;"[Grade]"),VLOOKUP($B$4,'Reading Report Logic'!$D$2:$E$9,2,FALSE),INDIRECT("YES_Reading_"&amp;{"ELA","FLA"}&amp;"[Self-Identified as African Descent]"),"YES",INDIRECT("YES_Reading_"&amp;{"ELA","FLA"}&amp;"[Self-Identified as Indigenous]"),"&lt;&gt;1"),COUNTIFS(INDIRECT("YES_Reading_"&amp;{"ELA","FLA"}&amp;"[School]"),IF($B$3="TCRCE","*",$B$3),INDIRECT("YES_Reading_"&amp;{"ELA","FLA"}&amp;"[Literacy IPP]"),"&lt;&gt;Yes",INDIRECT("YES_Reading_"&amp;{"ELA","FLA"}&amp;"[Instructional Reading Level - Per "&amp;VLOOKUP(N$6,'Reading Report Logic'!$A$2:$B$8,2,FALSE)&amp;"]"),"&gt;&lt;",INDIRECT("YES_Reading_"&amp;{"ELA","FLA"}&amp;"[Grade]"),VLOOKUP($B$4,'Reading Report Logic'!$D$2:$E$9,2,FALSE),INDIRECT("YES_Reading_"&amp;{"ELA","FLA"}&amp;"[Self-Identified as African Descent]"),"YES",INDIRECT("YES_Reading_"&amp;{"ELA","FLA"}&amp;"[Self-Identified as Indigenous]"),"&lt;&gt;1"))</f>
        <v>0</v>
      </c>
      <c r="Q15" s="73" t="str">
        <f ca="1">IFERROR(IF(P15=0,"",P15-$E15),"")</f>
        <v/>
      </c>
      <c r="R15" s="52">
        <f ca="1">COUNTIFS(YES_Reading_ELA[School],IF($B$3="TCRCE","*",$B$3),YES_Reading_ELA[Literacy IPP],"&lt;&gt;Yes",YES_Reading_ELA[Self-Identified as African Descent],"YES",YES_Reading_ELA[Self-Identified as Indigenous],"&lt;&gt;1",INDIRECT("YES_Reading_ELA[Instructional Reading Level - Per "&amp;VLOOKUP(R$6,'Reading Report Logic'!$A$2:$B$8,2,FALSE)&amp;"]"),"&gt;&lt;",YES_Reading_ELA[Grade],VLOOKUP($B$4,'Reading Report Logic'!$D$2:$E$9,2,FALSE))</f>
        <v>0</v>
      </c>
      <c r="S15" s="49" cm="1">
        <f t="array" aca="1" ref="S15" ca="1">SUM(COUNTIFS(YES_Reading_FLA[School],IF($B$3="TCRCE","*",$B$3),YES_Reading_FLA[Literacy IPP],"&lt;&gt;Yes",YES_Reading_FLA[Self-Identified as African Descent],"YES",YES_Reading_FLA[Self-Identified as Indigenous],"&lt;&gt;1",INDIRECT("YES_Reading_FLA[Instructional Reading Level - Per "&amp;VLOOKUP(R$6,'Reading Report Logic'!$A$2:$B$8,2,FALSE)&amp;"]"),{"&gt;=1","&gt;&lt;"},YES_Reading_FLA[Grade],VLOOKUP($B$4,'Reading Report Logic'!$D$2:$E$9,2,FALSE)))</f>
        <v>0</v>
      </c>
      <c r="T15" s="49" cm="1">
        <f t="array" aca="1" ref="T15" ca="1">SUM(COUNTIFS(INDIRECT("YES_Reading_"&amp;{"ELA","FLA"}&amp;"[School]"),IF($B$3="TCRCE","*",$B$3),INDIRECT("YES_Reading_"&amp;{"ELA","FLA"}&amp;"[Literacy IPP]"),"&lt;&gt;Yes",INDIRECT("YES_Reading_"&amp;{"ELA","FLA"}&amp;"[Instructional Reading Level - Per "&amp;VLOOKUP(R$6,'Reading Report Logic'!$A$2:$B$8,2,FALSE)&amp;"]"),"&gt;=1",INDIRECT("YES_Reading_"&amp;{"ELA","FLA"}&amp;"[Grade]"),VLOOKUP($B$4,'Reading Report Logic'!$D$2:$E$9,2,FALSE),INDIRECT("YES_Reading_"&amp;{"ELA","FLA"}&amp;"[Self-Identified as African Descent]"),"YES",INDIRECT("YES_Reading_"&amp;{"ELA","FLA"}&amp;"[Self-Identified as Indigenous]"),"&lt;&gt;1"),COUNTIFS(INDIRECT("YES_Reading_"&amp;{"ELA","FLA"}&amp;"[School]"),IF($B$3="TCRCE","*",$B$3),INDIRECT("YES_Reading_"&amp;{"ELA","FLA"}&amp;"[Literacy IPP]"),"&lt;&gt;Yes",INDIRECT("YES_Reading_"&amp;{"ELA","FLA"}&amp;"[Instructional Reading Level - Per "&amp;VLOOKUP(R$6,'Reading Report Logic'!$A$2:$B$8,2,FALSE)&amp;"]"),"&gt;&lt;",INDIRECT("YES_Reading_"&amp;{"ELA","FLA"}&amp;"[Grade]"),VLOOKUP($B$4,'Reading Report Logic'!$D$2:$E$9,2,FALSE),INDIRECT("YES_Reading_"&amp;{"ELA","FLA"}&amp;"[Self-Identified as African Descent]"),"YES",INDIRECT("YES_Reading_"&amp;{"ELA","FLA"}&amp;"[Self-Identified as Indigenous]"),"&lt;&gt;1"))</f>
        <v>0</v>
      </c>
      <c r="U15" s="73" t="str">
        <f ca="1">IFERROR(IF(T15=0,"",T15-$E15),"")</f>
        <v/>
      </c>
      <c r="V15" s="52">
        <f ca="1">COUNTIFS(YES_Reading_ELA[School],IF($B$3="TCRCE","*",$B$3),YES_Reading_ELA[Literacy IPP],"&lt;&gt;Yes",YES_Reading_ELA[Self-Identified as African Descent],"YES",YES_Reading_ELA[Self-Identified as Indigenous],"&lt;&gt;1",INDIRECT("YES_Reading_ELA[Instructional Reading Level - Per "&amp;VLOOKUP(V$6,'Reading Report Logic'!$A$2:$B$8,2,FALSE)&amp;"]"),"&gt;&lt;",YES_Reading_ELA[Grade],VLOOKUP($B$4,'Reading Report Logic'!$D$2:$E$9,2,FALSE))</f>
        <v>0</v>
      </c>
      <c r="W15" s="49" cm="1">
        <f t="array" aca="1" ref="W15" ca="1">SUM(COUNTIFS(YES_Reading_FLA[School],IF($B$3="TCRCE","*",$B$3),YES_Reading_FLA[Literacy IPP],"&lt;&gt;Yes",YES_Reading_FLA[Self-Identified as African Descent],"YES",YES_Reading_FLA[Self-Identified as Indigenous],"&lt;&gt;1",INDIRECT("YES_Reading_FLA[Instructional Reading Level - Per "&amp;VLOOKUP(V$6,'Reading Report Logic'!$A$2:$B$8,2,FALSE)&amp;"]"),{"&gt;=1","&gt;&lt;"},YES_Reading_FLA[Grade],VLOOKUP($B$4,'Reading Report Logic'!$D$2:$E$9,2,FALSE)))</f>
        <v>0</v>
      </c>
      <c r="X15" s="49" cm="1">
        <f t="array" aca="1" ref="X15" ca="1">SUM(COUNTIFS(INDIRECT("YES_Reading_"&amp;{"ELA","FLA"}&amp;"[School]"),IF($B$3="TCRCE","*",$B$3),INDIRECT("YES_Reading_"&amp;{"ELA","FLA"}&amp;"[Literacy IPP]"),"&lt;&gt;Yes",INDIRECT("YES_Reading_"&amp;{"ELA","FLA"}&amp;"[Instructional Reading Level - Per "&amp;VLOOKUP(V$6,'Reading Report Logic'!$A$2:$B$8,2,FALSE)&amp;"]"),"&gt;=1",INDIRECT("YES_Reading_"&amp;{"ELA","FLA"}&amp;"[Grade]"),VLOOKUP($B$4,'Reading Report Logic'!$D$2:$E$9,2,FALSE),INDIRECT("YES_Reading_"&amp;{"ELA","FLA"}&amp;"[Self-Identified as African Descent]"),"YES",INDIRECT("YES_Reading_"&amp;{"ELA","FLA"}&amp;"[Self-Identified as Indigenous]"),"&lt;&gt;1"),COUNTIFS(INDIRECT("YES_Reading_"&amp;{"ELA","FLA"}&amp;"[School]"),IF($B$3="TCRCE","*",$B$3),INDIRECT("YES_Reading_"&amp;{"ELA","FLA"}&amp;"[Literacy IPP]"),"&lt;&gt;Yes",INDIRECT("YES_Reading_"&amp;{"ELA","FLA"}&amp;"[Instructional Reading Level - Per "&amp;VLOOKUP(V$6,'Reading Report Logic'!$A$2:$B$8,2,FALSE)&amp;"]"),"&gt;&lt;",INDIRECT("YES_Reading_"&amp;{"ELA","FLA"}&amp;"[Grade]"),VLOOKUP($B$4,'Reading Report Logic'!$D$2:$E$9,2,FALSE),INDIRECT("YES_Reading_"&amp;{"ELA","FLA"}&amp;"[Self-Identified as African Descent]"),"YES",INDIRECT("YES_Reading_"&amp;{"ELA","FLA"}&amp;"[Self-Identified as Indigenous]"),"&lt;&gt;1"))</f>
        <v>0</v>
      </c>
      <c r="Y15" s="73" t="str">
        <f ca="1">IFERROR(IF(X15=0,"",X15-$E15),"")</f>
        <v/>
      </c>
      <c r="Z15" s="52" t="e">
        <f ca="1">COUNTIFS(YES_Reading_ELA[School],IF($B$3="TCRCE","*",$B$3),YES_Reading_ELA[Literacy IPP],"&lt;&gt;Yes",YES_Reading_ELA[Self-Identified as African Descent],"YES",YES_Reading_ELA[Self-Identified as Indigenous],"&lt;&gt;1",INDIRECT("YES_Reading_ELA[Instructional Reading Level - Per "&amp;VLOOKUP(Z$6,'Reading Report Logic'!$A$2:$B$8,2,FALSE)&amp;"]"),"&gt;&lt;",YES_Reading_ELA[Grade],VLOOKUP($B$4,'Reading Report Logic'!$D$2:$E$9,2,FALSE))</f>
        <v>#N/A</v>
      </c>
      <c r="AA15" s="49" t="e" cm="1">
        <f t="array" aca="1" ref="AA15" ca="1">SUM(COUNTIFS(YES_Reading_FLA[School],IF($B$3="TCRCE","*",$B$3),YES_Reading_FLA[Literacy IPP],"&lt;&gt;Yes",YES_Reading_FLA[Self-Identified as African Descent],"YES",YES_Reading_FLA[Self-Identified as Indigenous],"&lt;&gt;1",INDIRECT("YES_Reading_FLA[Instructional Reading Level - Per "&amp;VLOOKUP(Z$6,'Reading Report Logic'!$A$2:$B$8,2,FALSE)&amp;"]"),{"&gt;=1","&gt;&lt;"},YES_Reading_FLA[Grade],VLOOKUP($B$4,'Reading Report Logic'!$D$2:$E$9,2,FALSE)))</f>
        <v>#N/A</v>
      </c>
      <c r="AB15" s="49" t="e" cm="1">
        <f t="array" aca="1" ref="AB15" ca="1">SUM(COUNTIFS(INDIRECT("YES_Reading_"&amp;{"ELA","FLA"}&amp;"[School]"),IF($B$3="TCRCE","*",$B$3),INDIRECT("YES_Reading_"&amp;{"ELA","FLA"}&amp;"[Literacy IPP]"),"&lt;&gt;Yes",INDIRECT("YES_Reading_"&amp;{"ELA","FLA"}&amp;"[Instructional Reading Level - Per "&amp;VLOOKUP(Z$6,'Reading Report Logic'!$A$2:$B$8,2,FALSE)&amp;"]"),"&gt;=1",INDIRECT("YES_Reading_"&amp;{"ELA","FLA"}&amp;"[Grade]"),VLOOKUP($B$4,'Reading Report Logic'!$D$2:$E$9,2,FALSE),INDIRECT("YES_Reading_"&amp;{"ELA","FLA"}&amp;"[Self-Identified as African Descent]"),"YES",INDIRECT("YES_Reading_"&amp;{"ELA","FLA"}&amp;"[Self-Identified as Indigenous]"),"&lt;&gt;1"),COUNTIFS(INDIRECT("YES_Reading_"&amp;{"ELA","FLA"}&amp;"[School]"),IF($B$3="TCRCE","*",$B$3),INDIRECT("YES_Reading_"&amp;{"ELA","FLA"}&amp;"[Literacy IPP]"),"&lt;&gt;Yes",INDIRECT("YES_Reading_"&amp;{"ELA","FLA"}&amp;"[Instructional Reading Level - Per "&amp;VLOOKUP(Z$6,'Reading Report Logic'!$A$2:$B$8,2,FALSE)&amp;"]"),"&gt;&lt;",INDIRECT("YES_Reading_"&amp;{"ELA","FLA"}&amp;"[Grade]"),VLOOKUP($B$4,'Reading Report Logic'!$D$2:$E$9,2,FALSE),INDIRECT("YES_Reading_"&amp;{"ELA","FLA"}&amp;"[Self-Identified as African Descent]"),"YES",INDIRECT("YES_Reading_"&amp;{"ELA","FLA"}&amp;"[Self-Identified as Indigenous]"),"&lt;&gt;1"))</f>
        <v>#N/A</v>
      </c>
      <c r="AC15" s="73" t="str">
        <f ca="1">IFERROR(IF(AB15=0,"",AB15-$E15),"")</f>
        <v/>
      </c>
    </row>
    <row r="16" spans="1:29" ht="18" customHeight="1" thickBot="1" x14ac:dyDescent="0.3">
      <c r="A16" s="372"/>
      <c r="B16" s="59" t="s">
        <v>213</v>
      </c>
      <c r="C16" s="60" t="str">
        <f t="shared" ref="C16:H16" ca="1" si="2">IFERROR(C14/C15,"")</f>
        <v/>
      </c>
      <c r="D16" s="61" t="str">
        <f t="shared" ca="1" si="2"/>
        <v/>
      </c>
      <c r="E16" s="69" t="str">
        <f t="shared" ca="1" si="2"/>
        <v/>
      </c>
      <c r="F16" s="60" t="str">
        <f t="shared" ca="1" si="2"/>
        <v/>
      </c>
      <c r="G16" s="61" t="str">
        <f t="shared" ca="1" si="2"/>
        <v/>
      </c>
      <c r="H16" s="61" t="str">
        <f t="shared" ca="1" si="2"/>
        <v/>
      </c>
      <c r="I16" s="74" t="str">
        <f ca="1">IFERROR(IF(H15=0,"",H16-$E16),"")</f>
        <v/>
      </c>
      <c r="J16" s="60" t="str">
        <f ca="1">IFERROR(J14/J15,"")</f>
        <v/>
      </c>
      <c r="K16" s="61" t="str">
        <f ca="1">IFERROR(K14/K15,"")</f>
        <v/>
      </c>
      <c r="L16" s="61" t="str">
        <f ca="1">IFERROR(L14/L15,"")</f>
        <v/>
      </c>
      <c r="M16" s="74" t="str">
        <f ca="1">IFERROR(IF(L15=0,"",L16-$E16),"")</f>
        <v/>
      </c>
      <c r="N16" s="60" t="str">
        <f ca="1">IFERROR(N14/N15,"")</f>
        <v/>
      </c>
      <c r="O16" s="61" t="str">
        <f ca="1">IFERROR(O14/O15,"")</f>
        <v/>
      </c>
      <c r="P16" s="61" t="str">
        <f ca="1">IFERROR(P14/P15,"")</f>
        <v/>
      </c>
      <c r="Q16" s="74" t="str">
        <f ca="1">IFERROR(IF(P15=0,"",P16-$E16),"")</f>
        <v/>
      </c>
      <c r="R16" s="60" t="str">
        <f ca="1">IFERROR(R14/R15,"")</f>
        <v/>
      </c>
      <c r="S16" s="61" t="str">
        <f ca="1">IFERROR(S14/S15,"")</f>
        <v/>
      </c>
      <c r="T16" s="61" t="str">
        <f ca="1">IFERROR(T14/T15,"")</f>
        <v/>
      </c>
      <c r="U16" s="74" t="str">
        <f ca="1">IFERROR(IF(T15=0,"",T16-$E16),"")</f>
        <v/>
      </c>
      <c r="V16" s="60" t="str">
        <f ca="1">IFERROR(V14/V15,"")</f>
        <v/>
      </c>
      <c r="W16" s="61" t="str">
        <f ca="1">IFERROR(W14/W15,"")</f>
        <v/>
      </c>
      <c r="X16" s="61" t="str">
        <f ca="1">IFERROR(X14/X15,"")</f>
        <v/>
      </c>
      <c r="Y16" s="74" t="str">
        <f ca="1">IFERROR(IF(X15=0,"",X16-$E16),"")</f>
        <v/>
      </c>
      <c r="Z16" s="60" t="str">
        <f ca="1">IFERROR(Z14/Z15,"")</f>
        <v/>
      </c>
      <c r="AA16" s="61" t="str">
        <f ca="1">IFERROR(AA14/AA15,"")</f>
        <v/>
      </c>
      <c r="AB16" s="61" t="str">
        <f ca="1">IFERROR(AB14/AB15,"")</f>
        <v/>
      </c>
      <c r="AC16" s="74" t="str">
        <f ca="1">IFERROR(IF(AB15=0,"",AB16-$E16),"")</f>
        <v/>
      </c>
    </row>
    <row r="17" spans="1:29" ht="18" customHeight="1" x14ac:dyDescent="0.25">
      <c r="A17" s="370" t="s">
        <v>208</v>
      </c>
      <c r="B17" s="56" t="s">
        <v>211</v>
      </c>
      <c r="C17" s="57">
        <f ca="1">COUNTIFS(YES_Reading_ELA[School],IF($B$3="TCRCE","*",$B$3),YES_Reading_ELA[Literacy IPP],"&lt;&gt;Yes",INDIRECT("YES_Reading_ELA[Difference - Per "&amp;VLOOKUP(C$6,'Reading Report Logic'!$A$2:$B$8,2,FALSE)&amp;"]"),"&gt;=0",YES_Reading_ELA[Self-Identified as African Descent],"&lt;&gt;YES",YES_Reading_ELA[Self-Identified as Indigenous],"=1", YES_Reading_ELA[Grade],VLOOKUP($B$4,'Reading Report Logic'!$D$2:$E$9,2,FALSE))</f>
        <v>0</v>
      </c>
      <c r="D17" s="58">
        <f ca="1">COUNTIFS(YES_Reading_FLA[School],IF($B$3="TCRCE","*",$B$3),YES_Reading_FLA[Literacy IPP],"&lt;&gt;Yes",INDIRECT("YES_Reading_FLA[Difference - Per "&amp;VLOOKUP(C$6,'Reading Report Logic'!$A$2:$B$8,2,FALSE)&amp;"]"),"&gt;=0",YES_Reading_FLA[Self-Identified as African Descent],"&lt;&gt;YES",YES_Reading_FLA[Self-Identified as Indigenous],"=1",YES_Reading_FLA[Grade],VLOOKUP($B$4,'Reading Report Logic'!$D$2:$E$9,2,FALSE))</f>
        <v>0</v>
      </c>
      <c r="E17" s="67" cm="1">
        <f t="array" aca="1" ref="E17" ca="1">SUM(COUNTIFS(INDIRECT("YES_Reading_"&amp;{"ELA","FLA"}&amp;"[School]"),IF($B$3="TCRCE","*",$B$3),INDIRECT("YES_Reading_"&amp;{"ELA","FLA"}&amp;"[Literacy IPP]"),"&lt;&gt;Yes",INDIRECT("YES_Reading_"&amp;{"ELA","FLA"}&amp;"[Difference - Per "&amp;VLOOKUP(C$6,'Reading Report Logic'!$A$2:$B$8,2,FALSE)&amp;"]"),"&gt;=0",INDIRECT("YES_Reading_"&amp;{"ELA","FLA"}&amp;"[Grade]"),VLOOKUP($B$4,'Reading Report Logic'!$D$2:$E$9,2,FALSE),INDIRECT("YES_Reading_"&amp;{"ELA","FLA"}&amp;"[Self-Identified as African Descent]"),"&lt;&gt;YES",INDIRECT("YES_Reading_"&amp;{"ELA","FLA"}&amp;"[Self-Identified as Indigenous]"),"1"))</f>
        <v>0</v>
      </c>
      <c r="F17" s="57">
        <f ca="1">COUNTIFS(YES_Reading_ELA[School],IF($B$3="TCRCE","*",$B$3),YES_Reading_ELA[Literacy IPP],"&lt;&gt;Yes",INDIRECT("YES_Reading_ELA[Difference - Per "&amp;VLOOKUP(F$6,'Reading Report Logic'!$A$2:$B$8,2,FALSE)&amp;"]"),"&gt;=0",YES_Reading_ELA[Self-Identified as African Descent],"&lt;&gt;YES",YES_Reading_ELA[Self-Identified as Indigenous],"=1", YES_Reading_ELA[Grade],VLOOKUP($B$4,'Reading Report Logic'!$D$2:$E$9,2,FALSE))</f>
        <v>0</v>
      </c>
      <c r="G17" s="58">
        <f ca="1">COUNTIFS(YES_Reading_FLA[School],IF($B$3="TCRCE","*",$B$3),YES_Reading_FLA[Literacy IPP],"&lt;&gt;Yes",INDIRECT("YES_Reading_FLA[Difference - Per "&amp;VLOOKUP(F$6,'Reading Report Logic'!$A$2:$B$8,2,FALSE)&amp;"]"),"&gt;=0",YES_Reading_FLA[Self-Identified as African Descent],"&lt;&gt;YES",YES_Reading_FLA[Self-Identified as Indigenous],"=1",YES_Reading_FLA[Grade],VLOOKUP($B$4,'Reading Report Logic'!$D$2:$E$9,2,FALSE))</f>
        <v>0</v>
      </c>
      <c r="H17" s="58" cm="1">
        <f t="array" aca="1" ref="H17" ca="1">SUM(COUNTIFS(INDIRECT("YES_Reading_"&amp;{"ELA","FLA"}&amp;"[School]"),IF($B$3="TCRCE","*",$B$3),INDIRECT("YES_Reading_"&amp;{"ELA","FLA"}&amp;"[Literacy IPP]"),"&lt;&gt;Yes",INDIRECT("YES_Reading_"&amp;{"ELA","FLA"}&amp;"[Difference - Per "&amp;VLOOKUP(F$6,'Reading Report Logic'!$A$2:$B$8,2,FALSE)&amp;"]"),"&gt;=0",INDIRECT("YES_Reading_"&amp;{"ELA","FLA"}&amp;"[Grade]"),VLOOKUP($B$4,'Reading Report Logic'!$D$2:$E$9,2,FALSE),INDIRECT("YES_Reading_"&amp;{"ELA","FLA"}&amp;"[Self-Identified as African Descent]"),"&lt;&gt;YES",INDIRECT("YES_Reading_"&amp;{"ELA","FLA"}&amp;"[Self-Identified as Indigenous]"),"1"))</f>
        <v>0</v>
      </c>
      <c r="I17" s="75" t="str">
        <f ca="1">IFERROR(IF(H18=0,"",H17-$E17),"")</f>
        <v/>
      </c>
      <c r="J17" s="57">
        <f ca="1">COUNTIFS(YES_Reading_ELA[School],IF($B$3="TCRCE","*",$B$3),YES_Reading_ELA[Literacy IPP],"&lt;&gt;Yes",INDIRECT("YES_Reading_ELA[Difference - Per "&amp;VLOOKUP(J$6,'Reading Report Logic'!$A$2:$B$8,2,FALSE)&amp;"]"),"&gt;=0",YES_Reading_ELA[Self-Identified as African Descent],"&lt;&gt;YES",YES_Reading_ELA[Self-Identified as Indigenous],"=1", YES_Reading_ELA[Grade],VLOOKUP($B$4,'Reading Report Logic'!$D$2:$E$9,2,FALSE))</f>
        <v>0</v>
      </c>
      <c r="K17" s="58">
        <f ca="1">COUNTIFS(YES_Reading_FLA[School],IF($B$3="TCRCE","*",$B$3),YES_Reading_FLA[Literacy IPP],"&lt;&gt;Yes",INDIRECT("YES_Reading_FLA[Difference - Per "&amp;VLOOKUP(J$6,'Reading Report Logic'!$A$2:$B$8,2,FALSE)&amp;"]"),"&gt;=0",YES_Reading_FLA[Self-Identified as African Descent],"&lt;&gt;YES",YES_Reading_FLA[Self-Identified as Indigenous],"=1",YES_Reading_FLA[Grade],VLOOKUP($B$4,'Reading Report Logic'!$D$2:$E$9,2,FALSE))</f>
        <v>0</v>
      </c>
      <c r="L17" s="58" cm="1">
        <f t="array" aca="1" ref="L17" ca="1">SUM(COUNTIFS(INDIRECT("YES_Reading_"&amp;{"ELA","FLA"}&amp;"[School]"),IF($B$3="TCRCE","*",$B$3),INDIRECT("YES_Reading_"&amp;{"ELA","FLA"}&amp;"[Literacy IPP]"),"&lt;&gt;Yes",INDIRECT("YES_Reading_"&amp;{"ELA","FLA"}&amp;"[Difference - Per "&amp;VLOOKUP(J$6,'Reading Report Logic'!$A$2:$B$8,2,FALSE)&amp;"]"),"&gt;=0",INDIRECT("YES_Reading_"&amp;{"ELA","FLA"}&amp;"[Grade]"),VLOOKUP($B$4,'Reading Report Logic'!$D$2:$E$9,2,FALSE),INDIRECT("YES_Reading_"&amp;{"ELA","FLA"}&amp;"[Self-Identified as African Descent]"),"&lt;&gt;YES",INDIRECT("YES_Reading_"&amp;{"ELA","FLA"}&amp;"[Self-Identified as Indigenous]"),"1"))</f>
        <v>0</v>
      </c>
      <c r="M17" s="75" t="str">
        <f ca="1">IFERROR(IF(L18=0,"",L17-$E17),"")</f>
        <v/>
      </c>
      <c r="N17" s="57">
        <f ca="1">COUNTIFS(YES_Reading_ELA[School],IF($B$3="TCRCE","*",$B$3),YES_Reading_ELA[Literacy IPP],"&lt;&gt;Yes",INDIRECT("YES_Reading_ELA[Difference - Per "&amp;VLOOKUP(N$6,'Reading Report Logic'!$A$2:$B$8,2,FALSE)&amp;"]"),"&gt;=0",YES_Reading_ELA[Self-Identified as African Descent],"&lt;&gt;YES",YES_Reading_ELA[Self-Identified as Indigenous],"=1", YES_Reading_ELA[Grade],VLOOKUP($B$4,'Reading Report Logic'!$D$2:$E$9,2,FALSE))</f>
        <v>0</v>
      </c>
      <c r="O17" s="58">
        <f ca="1">COUNTIFS(YES_Reading_FLA[School],IF($B$3="TCRCE","*",$B$3),YES_Reading_FLA[Literacy IPP],"&lt;&gt;Yes",INDIRECT("YES_Reading_FLA[Difference - Per "&amp;VLOOKUP(N$6,'Reading Report Logic'!$A$2:$B$8,2,FALSE)&amp;"]"),"&gt;=0",YES_Reading_FLA[Self-Identified as African Descent],"&lt;&gt;YES",YES_Reading_FLA[Self-Identified as Indigenous],"=1",YES_Reading_FLA[Grade],VLOOKUP($B$4,'Reading Report Logic'!$D$2:$E$9,2,FALSE))</f>
        <v>0</v>
      </c>
      <c r="P17" s="58" cm="1">
        <f t="array" aca="1" ref="P17" ca="1">SUM(COUNTIFS(INDIRECT("YES_Reading_"&amp;{"ELA","FLA"}&amp;"[School]"),IF($B$3="TCRCE","*",$B$3),INDIRECT("YES_Reading_"&amp;{"ELA","FLA"}&amp;"[Literacy IPP]"),"&lt;&gt;Yes",INDIRECT("YES_Reading_"&amp;{"ELA","FLA"}&amp;"[Difference - Per "&amp;VLOOKUP(N$6,'Reading Report Logic'!$A$2:$B$8,2,FALSE)&amp;"]"),"&gt;=0",INDIRECT("YES_Reading_"&amp;{"ELA","FLA"}&amp;"[Grade]"),VLOOKUP($B$4,'Reading Report Logic'!$D$2:$E$9,2,FALSE),INDIRECT("YES_Reading_"&amp;{"ELA","FLA"}&amp;"[Self-Identified as African Descent]"),"&lt;&gt;YES",INDIRECT("YES_Reading_"&amp;{"ELA","FLA"}&amp;"[Self-Identified as Indigenous]"),"1"))</f>
        <v>0</v>
      </c>
      <c r="Q17" s="75" t="str">
        <f ca="1">IFERROR(IF(P18=0,"",P17-$E17),"")</f>
        <v/>
      </c>
      <c r="R17" s="57">
        <f ca="1">COUNTIFS(YES_Reading_ELA[School],IF($B$3="TCRCE","*",$B$3),YES_Reading_ELA[Literacy IPP],"&lt;&gt;Yes",INDIRECT("YES_Reading_ELA[Difference - Per "&amp;VLOOKUP(R$6,'Reading Report Logic'!$A$2:$B$8,2,FALSE)&amp;"]"),"&gt;=0",YES_Reading_ELA[Self-Identified as African Descent],"&lt;&gt;YES",YES_Reading_ELA[Self-Identified as Indigenous],"=1", YES_Reading_ELA[Grade],VLOOKUP($B$4,'Reading Report Logic'!$D$2:$E$9,2,FALSE))</f>
        <v>0</v>
      </c>
      <c r="S17" s="58">
        <f ca="1">COUNTIFS(YES_Reading_FLA[School],IF($B$3="TCRCE","*",$B$3),YES_Reading_FLA[Literacy IPP],"&lt;&gt;Yes",INDIRECT("YES_Reading_FLA[Difference - Per "&amp;VLOOKUP(R$6,'Reading Report Logic'!$A$2:$B$8,2,FALSE)&amp;"]"),"&gt;=0",YES_Reading_FLA[Self-Identified as African Descent],"&lt;&gt;YES",YES_Reading_FLA[Self-Identified as Indigenous],"=1",YES_Reading_FLA[Grade],VLOOKUP($B$4,'Reading Report Logic'!$D$2:$E$9,2,FALSE))</f>
        <v>0</v>
      </c>
      <c r="T17" s="58" cm="1">
        <f t="array" aca="1" ref="T17" ca="1">SUM(COUNTIFS(INDIRECT("YES_Reading_"&amp;{"ELA","FLA"}&amp;"[School]"),IF($B$3="TCRCE","*",$B$3),INDIRECT("YES_Reading_"&amp;{"ELA","FLA"}&amp;"[Literacy IPP]"),"&lt;&gt;Yes",INDIRECT("YES_Reading_"&amp;{"ELA","FLA"}&amp;"[Difference - Per "&amp;VLOOKUP(R$6,'Reading Report Logic'!$A$2:$B$8,2,FALSE)&amp;"]"),"&gt;=0",INDIRECT("YES_Reading_"&amp;{"ELA","FLA"}&amp;"[Grade]"),VLOOKUP($B$4,'Reading Report Logic'!$D$2:$E$9,2,FALSE),INDIRECT("YES_Reading_"&amp;{"ELA","FLA"}&amp;"[Self-Identified as African Descent]"),"&lt;&gt;YES",INDIRECT("YES_Reading_"&amp;{"ELA","FLA"}&amp;"[Self-Identified as Indigenous]"),"1"))</f>
        <v>0</v>
      </c>
      <c r="U17" s="75" t="str">
        <f ca="1">IFERROR(IF(T18=0,"",T17-$E17),"")</f>
        <v/>
      </c>
      <c r="V17" s="57">
        <f ca="1">COUNTIFS(YES_Reading_ELA[School],IF($B$3="TCRCE","*",$B$3),YES_Reading_ELA[Literacy IPP],"&lt;&gt;Yes",INDIRECT("YES_Reading_ELA[Difference - Per "&amp;VLOOKUP(V$6,'Reading Report Logic'!$A$2:$B$8,2,FALSE)&amp;"]"),"&gt;=0",YES_Reading_ELA[Self-Identified as African Descent],"&lt;&gt;YES",YES_Reading_ELA[Self-Identified as Indigenous],"=1", YES_Reading_ELA[Grade],VLOOKUP($B$4,'Reading Report Logic'!$D$2:$E$9,2,FALSE))</f>
        <v>0</v>
      </c>
      <c r="W17" s="58">
        <f ca="1">COUNTIFS(YES_Reading_FLA[School],IF($B$3="TCRCE","*",$B$3),YES_Reading_FLA[Literacy IPP],"&lt;&gt;Yes",INDIRECT("YES_Reading_FLA[Difference - Per "&amp;VLOOKUP(V$6,'Reading Report Logic'!$A$2:$B$8,2,FALSE)&amp;"]"),"&gt;=0",YES_Reading_FLA[Self-Identified as African Descent],"&lt;&gt;YES",YES_Reading_FLA[Self-Identified as Indigenous],"=1",YES_Reading_FLA[Grade],VLOOKUP($B$4,'Reading Report Logic'!$D$2:$E$9,2,FALSE))</f>
        <v>0</v>
      </c>
      <c r="X17" s="58" cm="1">
        <f t="array" aca="1" ref="X17" ca="1">SUM(COUNTIFS(INDIRECT("YES_Reading_"&amp;{"ELA","FLA"}&amp;"[School]"),IF($B$3="TCRCE","*",$B$3),INDIRECT("YES_Reading_"&amp;{"ELA","FLA"}&amp;"[Literacy IPP]"),"&lt;&gt;Yes",INDIRECT("YES_Reading_"&amp;{"ELA","FLA"}&amp;"[Difference - Per "&amp;VLOOKUP(V$6,'Reading Report Logic'!$A$2:$B$8,2,FALSE)&amp;"]"),"&gt;=0",INDIRECT("YES_Reading_"&amp;{"ELA","FLA"}&amp;"[Grade]"),VLOOKUP($B$4,'Reading Report Logic'!$D$2:$E$9,2,FALSE),INDIRECT("YES_Reading_"&amp;{"ELA","FLA"}&amp;"[Self-Identified as African Descent]"),"&lt;&gt;YES",INDIRECT("YES_Reading_"&amp;{"ELA","FLA"}&amp;"[Self-Identified as Indigenous]"),"1"))</f>
        <v>0</v>
      </c>
      <c r="Y17" s="75" t="str">
        <f ca="1">IFERROR(IF(X18=0,"",X17-$E17),"")</f>
        <v/>
      </c>
      <c r="Z17" s="57" t="e">
        <f ca="1">COUNTIFS(YES_Reading_ELA[School],IF($B$3="TCRCE","*",$B$3),YES_Reading_ELA[Literacy IPP],"&lt;&gt;Yes",INDIRECT("YES_Reading_ELA[Difference - Per "&amp;VLOOKUP(Z$6,'Reading Report Logic'!$A$2:$B$8,2,FALSE)&amp;"]"),"&gt;=0",YES_Reading_ELA[Self-Identified as African Descent],"&lt;&gt;YES",YES_Reading_ELA[Self-Identified as Indigenous],"=1", YES_Reading_ELA[Grade],VLOOKUP($B$4,'Reading Report Logic'!$D$2:$E$9,2,FALSE))</f>
        <v>#N/A</v>
      </c>
      <c r="AA17" s="58" t="e">
        <f ca="1">COUNTIFS(YES_Reading_FLA[School],IF($B$3="TCRCE","*",$B$3),YES_Reading_FLA[Literacy IPP],"&lt;&gt;Yes",INDIRECT("YES_Reading_FLA[Difference - Per "&amp;VLOOKUP(Z$6,'Reading Report Logic'!$A$2:$B$8,2,FALSE)&amp;"]"),"&gt;=0",YES_Reading_FLA[Self-Identified as African Descent],"&lt;&gt;YES",YES_Reading_FLA[Self-Identified as Indigenous],"=1",YES_Reading_FLA[Grade],VLOOKUP($B$4,'Reading Report Logic'!$D$2:$E$9,2,FALSE))</f>
        <v>#N/A</v>
      </c>
      <c r="AB17" s="58" t="e" cm="1">
        <f t="array" aca="1" ref="AB17" ca="1">SUM(COUNTIFS(INDIRECT("YES_Reading_"&amp;{"ELA","FLA"}&amp;"[School]"),IF($B$3="TCRCE","*",$B$3),INDIRECT("YES_Reading_"&amp;{"ELA","FLA"}&amp;"[Literacy IPP]"),"&lt;&gt;Yes",INDIRECT("YES_Reading_"&amp;{"ELA","FLA"}&amp;"[Difference - Per "&amp;VLOOKUP(Z$6,'Reading Report Logic'!$A$2:$B$8,2,FALSE)&amp;"]"),"&gt;=0",INDIRECT("YES_Reading_"&amp;{"ELA","FLA"}&amp;"[Grade]"),VLOOKUP($B$4,'Reading Report Logic'!$D$2:$E$9,2,FALSE),INDIRECT("YES_Reading_"&amp;{"ELA","FLA"}&amp;"[Self-Identified as African Descent]"),"&lt;&gt;YES",INDIRECT("YES_Reading_"&amp;{"ELA","FLA"}&amp;"[Self-Identified as Indigenous]"),"1"))</f>
        <v>#N/A</v>
      </c>
      <c r="AC17" s="75" t="str">
        <f ca="1">IFERROR(IF(AB18=0,"",AB17-$E17),"")</f>
        <v/>
      </c>
    </row>
    <row r="18" spans="1:29" ht="18" customHeight="1" x14ac:dyDescent="0.25">
      <c r="A18" s="371"/>
      <c r="B18" s="51" t="s">
        <v>212</v>
      </c>
      <c r="C18" s="52">
        <f ca="1">COUNTIFS(YES_Reading_ELA[School],IF($B$3="TCRCE","*",$B$3),YES_Reading_ELA[Literacy IPP],"&lt;&gt;Yes",YES_Reading_ELA[Self-Identified as African Descent],"&lt;&gt;YES",YES_Reading_ELA[Self-Identified as Indigenous],"=1",INDIRECT("YES_Reading_ELA[Instructional Reading Level - Per "&amp;VLOOKUP(C$6,'Reading Report Logic'!$A$2:$B$8,2,FALSE)&amp;"]"),"&gt;&lt;", YES_Reading_ELA[Grade],VLOOKUP($B$4,'Reading Report Logic'!$D$2:$E$9,2,FALSE))</f>
        <v>0</v>
      </c>
      <c r="D18" s="49" cm="1">
        <f t="array" aca="1" ref="D18" ca="1">SUM(COUNTIFS(YES_Reading_FLA[School],IF($B$3="TCRCE","*",$B$3),YES_Reading_FLA[Literacy IPP],"&lt;&gt;Yes",YES_Reading_FLA[Self-Identified as African Descent],"&lt;&gt;YES",YES_Reading_FLA[Self-Identified as Indigenous],"=1",INDIRECT("YES_Reading_FLA[Instructional Reading Level - Per "&amp;VLOOKUP(C$6,'Reading Report Logic'!$A$2:$B$8,2,FALSE)&amp;"]"),{"&gt;=1","&gt;&lt;"},YES_Reading_FLA[Grade],VLOOKUP($B$4,'Reading Report Logic'!$D$2:$E$9,2,FALSE)))</f>
        <v>0</v>
      </c>
      <c r="E18" s="68" cm="1">
        <f t="array" aca="1" ref="E18" ca="1">SUM(COUNTIFS(INDIRECT("YES_Reading_"&amp;{"ELA","FLA"}&amp;"[School]"),IF($B$3="TCRCE","*",$B$3),INDIRECT("YES_Reading_"&amp;{"ELA","FLA"}&amp;"[Literacy IPP]"),"&lt;&gt;Yes",INDIRECT("YES_Reading_"&amp;{"ELA","FLA"}&amp;"[Instructional Reading Level - Per "&amp;VLOOKUP(C$6,'Reading Report Logic'!$A$2:$B$8,2,FALSE)&amp;"]"),"&gt;=1",INDIRECT("YES_Reading_"&amp;{"ELA","FLA"}&amp;"[Grade]"),VLOOKUP($B$4,'Reading Report Logic'!$D$2:$E$9,2,FALSE),INDIRECT("YES_Reading_"&amp;{"ELA","FLA"}&amp;"[Self-Identified as African Descent]"),"&lt;&gt;YES",INDIRECT("YES_Reading_"&amp;{"ELA","FLA"}&amp;"[Self-Identified as Indigenous]"),"1"),COUNTIFS(INDIRECT("YES_Reading_"&amp;{"ELA","FLA"}&amp;"[School]"),IF($B$3="TCRCE","*",$B$3),INDIRECT("YES_Reading_"&amp;{"ELA","FLA"}&amp;"[Literacy IPP]"),"&lt;&gt;Yes",INDIRECT("YES_Reading_"&amp;{"ELA","FLA"}&amp;"[Instructional Reading Level - Per "&amp;VLOOKUP(C$6,'Reading Report Logic'!$A$2:$B$8,2,FALSE)&amp;"]"),"&gt;&lt;",INDIRECT("YES_Reading_"&amp;{"ELA","FLA"}&amp;"[Grade]"),VLOOKUP($B$4,'Reading Report Logic'!$D$2:$E$9,2,FALSE),INDIRECT("YES_Reading_"&amp;{"ELA","FLA"}&amp;"[Self-Identified as African Descent]"),"&lt;&gt;YES",INDIRECT("YES_Reading_"&amp;{"ELA","FLA"}&amp;"[Self-Identified as Indigenous]"),"1"))</f>
        <v>0</v>
      </c>
      <c r="F18" s="52">
        <f ca="1">COUNTIFS(YES_Reading_ELA[School],IF($B$3="TCRCE","*",$B$3),YES_Reading_ELA[Literacy IPP],"&lt;&gt;Yes",YES_Reading_ELA[Self-Identified as African Descent],"&lt;&gt;YES",YES_Reading_ELA[Self-Identified as Indigenous],"=1",INDIRECT("YES_Reading_ELA[Instructional Reading Level - Per "&amp;VLOOKUP(F$6,'Reading Report Logic'!$A$2:$B$8,2,FALSE)&amp;"]"),"&gt;&lt;", YES_Reading_ELA[Grade],VLOOKUP($B$4,'Reading Report Logic'!$D$2:$E$9,2,FALSE))</f>
        <v>0</v>
      </c>
      <c r="G18" s="49" cm="1">
        <f t="array" aca="1" ref="G18" ca="1">SUM(COUNTIFS(YES_Reading_FLA[School],IF($B$3="TCRCE","*",$B$3),YES_Reading_FLA[Literacy IPP],"&lt;&gt;Yes",YES_Reading_FLA[Self-Identified as African Descent],"&lt;&gt;YES",YES_Reading_FLA[Self-Identified as Indigenous],"=1",INDIRECT("YES_Reading_FLA[Instructional Reading Level - Per "&amp;VLOOKUP(F$6,'Reading Report Logic'!$A$2:$B$8,2,FALSE)&amp;"]"),{"&gt;=1","&gt;&lt;"},YES_Reading_FLA[Grade],VLOOKUP($B$4,'Reading Report Logic'!$D$2:$E$9,2,FALSE)))</f>
        <v>0</v>
      </c>
      <c r="H18" s="49" cm="1">
        <f t="array" aca="1" ref="H18" ca="1">SUM(COUNTIFS(INDIRECT("YES_Reading_"&amp;{"ELA","FLA"}&amp;"[School]"),IF($B$3="TCRCE","*",$B$3),INDIRECT("YES_Reading_"&amp;{"ELA","FLA"}&amp;"[Literacy IPP]"),"&lt;&gt;Yes",INDIRECT("YES_Reading_"&amp;{"ELA","FLA"}&amp;"[Instructional Reading Level - Per "&amp;VLOOKUP(F$6,'Reading Report Logic'!$A$2:$B$8,2,FALSE)&amp;"]"),"&gt;=1",INDIRECT("YES_Reading_"&amp;{"ELA","FLA"}&amp;"[Grade]"),VLOOKUP($B$4,'Reading Report Logic'!$D$2:$E$9,2,FALSE),INDIRECT("YES_Reading_"&amp;{"ELA","FLA"}&amp;"[Self-Identified as African Descent]"),"&lt;&gt;YES",INDIRECT("YES_Reading_"&amp;{"ELA","FLA"}&amp;"[Self-Identified as Indigenous]"),"1"),COUNTIFS(INDIRECT("YES_Reading_"&amp;{"ELA","FLA"}&amp;"[School]"),IF($B$3="TCRCE","*",$B$3),INDIRECT("YES_Reading_"&amp;{"ELA","FLA"}&amp;"[Literacy IPP]"),"&lt;&gt;Yes",INDIRECT("YES_Reading_"&amp;{"ELA","FLA"}&amp;"[Instructional Reading Level - Per "&amp;VLOOKUP(F$6,'Reading Report Logic'!$A$2:$B$8,2,FALSE)&amp;"]"),"&gt;&lt;",INDIRECT("YES_Reading_"&amp;{"ELA","FLA"}&amp;"[Grade]"),VLOOKUP($B$4,'Reading Report Logic'!$D$2:$E$9,2,FALSE),INDIRECT("YES_Reading_"&amp;{"ELA","FLA"}&amp;"[Self-Identified as African Descent]"),"&lt;&gt;YES",INDIRECT("YES_Reading_"&amp;{"ELA","FLA"}&amp;"[Self-Identified as Indigenous]"),"1"))</f>
        <v>0</v>
      </c>
      <c r="I18" s="73" t="str">
        <f ca="1">IFERROR(IF(H18=0,"",H18-$E18),"")</f>
        <v/>
      </c>
      <c r="J18" s="52">
        <f ca="1">COUNTIFS(YES_Reading_ELA[School],IF($B$3="TCRCE","*",$B$3),YES_Reading_ELA[Literacy IPP],"&lt;&gt;Yes",YES_Reading_ELA[Self-Identified as African Descent],"&lt;&gt;YES",YES_Reading_ELA[Self-Identified as Indigenous],"=1",INDIRECT("YES_Reading_ELA[Instructional Reading Level - Per "&amp;VLOOKUP(J$6,'Reading Report Logic'!$A$2:$B$8,2,FALSE)&amp;"]"),"&gt;&lt;", YES_Reading_ELA[Grade],VLOOKUP($B$4,'Reading Report Logic'!$D$2:$E$9,2,FALSE))</f>
        <v>0</v>
      </c>
      <c r="K18" s="49" cm="1">
        <f t="array" aca="1" ref="K18" ca="1">SUM(COUNTIFS(YES_Reading_FLA[School],IF($B$3="TCRCE","*",$B$3),YES_Reading_FLA[Literacy IPP],"&lt;&gt;Yes",YES_Reading_FLA[Self-Identified as African Descent],"&lt;&gt;YES",YES_Reading_FLA[Self-Identified as Indigenous],"=1",INDIRECT("YES_Reading_FLA[Instructional Reading Level - Per "&amp;VLOOKUP(J$6,'Reading Report Logic'!$A$2:$B$8,2,FALSE)&amp;"]"),{"&gt;=1","&gt;&lt;"},YES_Reading_FLA[Grade],VLOOKUP($B$4,'Reading Report Logic'!$D$2:$E$9,2,FALSE)))</f>
        <v>0</v>
      </c>
      <c r="L18" s="49" cm="1">
        <f t="array" aca="1" ref="L18" ca="1">SUM(COUNTIFS(INDIRECT("YES_Reading_"&amp;{"ELA","FLA"}&amp;"[School]"),IF($B$3="TCRCE","*",$B$3),INDIRECT("YES_Reading_"&amp;{"ELA","FLA"}&amp;"[Literacy IPP]"),"&lt;&gt;Yes",INDIRECT("YES_Reading_"&amp;{"ELA","FLA"}&amp;"[Instructional Reading Level - Per "&amp;VLOOKUP(J$6,'Reading Report Logic'!$A$2:$B$8,2,FALSE)&amp;"]"),"&gt;=1",INDIRECT("YES_Reading_"&amp;{"ELA","FLA"}&amp;"[Grade]"),VLOOKUP($B$4,'Reading Report Logic'!$D$2:$E$9,2,FALSE),INDIRECT("YES_Reading_"&amp;{"ELA","FLA"}&amp;"[Self-Identified as African Descent]"),"&lt;&gt;YES",INDIRECT("YES_Reading_"&amp;{"ELA","FLA"}&amp;"[Self-Identified as Indigenous]"),"1"),COUNTIFS(INDIRECT("YES_Reading_"&amp;{"ELA","FLA"}&amp;"[School]"),IF($B$3="TCRCE","*",$B$3),INDIRECT("YES_Reading_"&amp;{"ELA","FLA"}&amp;"[Literacy IPP]"),"&lt;&gt;Yes",INDIRECT("YES_Reading_"&amp;{"ELA","FLA"}&amp;"[Instructional Reading Level - Per "&amp;VLOOKUP(J$6,'Reading Report Logic'!$A$2:$B$8,2,FALSE)&amp;"]"),"&gt;&lt;",INDIRECT("YES_Reading_"&amp;{"ELA","FLA"}&amp;"[Grade]"),VLOOKUP($B$4,'Reading Report Logic'!$D$2:$E$9,2,FALSE),INDIRECT("YES_Reading_"&amp;{"ELA","FLA"}&amp;"[Self-Identified as African Descent]"),"&lt;&gt;YES",INDIRECT("YES_Reading_"&amp;{"ELA","FLA"}&amp;"[Self-Identified as Indigenous]"),"1"))</f>
        <v>0</v>
      </c>
      <c r="M18" s="73" t="str">
        <f ca="1">IFERROR(IF(L18=0,"",L18-$E18),"")</f>
        <v/>
      </c>
      <c r="N18" s="52">
        <f ca="1">COUNTIFS(YES_Reading_ELA[School],IF($B$3="TCRCE","*",$B$3),YES_Reading_ELA[Literacy IPP],"&lt;&gt;Yes",YES_Reading_ELA[Self-Identified as African Descent],"&lt;&gt;YES",YES_Reading_ELA[Self-Identified as Indigenous],"=1",INDIRECT("YES_Reading_ELA[Instructional Reading Level - Per "&amp;VLOOKUP(N$6,'Reading Report Logic'!$A$2:$B$8,2,FALSE)&amp;"]"),"&gt;&lt;", YES_Reading_ELA[Grade],VLOOKUP($B$4,'Reading Report Logic'!$D$2:$E$9,2,FALSE))</f>
        <v>0</v>
      </c>
      <c r="O18" s="49" cm="1">
        <f t="array" aca="1" ref="O18" ca="1">SUM(COUNTIFS(YES_Reading_FLA[School],IF($B$3="TCRCE","*",$B$3),YES_Reading_FLA[Literacy IPP],"&lt;&gt;Yes",YES_Reading_FLA[Self-Identified as African Descent],"&lt;&gt;YES",YES_Reading_FLA[Self-Identified as Indigenous],"=1",INDIRECT("YES_Reading_FLA[Instructional Reading Level - Per "&amp;VLOOKUP(N$6,'Reading Report Logic'!$A$2:$B$8,2,FALSE)&amp;"]"),{"&gt;=1","&gt;&lt;"},YES_Reading_FLA[Grade],VLOOKUP($B$4,'Reading Report Logic'!$D$2:$E$9,2,FALSE)))</f>
        <v>0</v>
      </c>
      <c r="P18" s="49" cm="1">
        <f t="array" aca="1" ref="P18" ca="1">SUM(COUNTIFS(INDIRECT("YES_Reading_"&amp;{"ELA","FLA"}&amp;"[School]"),IF($B$3="TCRCE","*",$B$3),INDIRECT("YES_Reading_"&amp;{"ELA","FLA"}&amp;"[Literacy IPP]"),"&lt;&gt;Yes",INDIRECT("YES_Reading_"&amp;{"ELA","FLA"}&amp;"[Instructional Reading Level - Per "&amp;VLOOKUP(N$6,'Reading Report Logic'!$A$2:$B$8,2,FALSE)&amp;"]"),"&gt;=1",INDIRECT("YES_Reading_"&amp;{"ELA","FLA"}&amp;"[Grade]"),VLOOKUP($B$4,'Reading Report Logic'!$D$2:$E$9,2,FALSE),INDIRECT("YES_Reading_"&amp;{"ELA","FLA"}&amp;"[Self-Identified as African Descent]"),"&lt;&gt;YES",INDIRECT("YES_Reading_"&amp;{"ELA","FLA"}&amp;"[Self-Identified as Indigenous]"),"1"),COUNTIFS(INDIRECT("YES_Reading_"&amp;{"ELA","FLA"}&amp;"[School]"),IF($B$3="TCRCE","*",$B$3),INDIRECT("YES_Reading_"&amp;{"ELA","FLA"}&amp;"[Literacy IPP]"),"&lt;&gt;Yes",INDIRECT("YES_Reading_"&amp;{"ELA","FLA"}&amp;"[Instructional Reading Level - Per "&amp;VLOOKUP(N$6,'Reading Report Logic'!$A$2:$B$8,2,FALSE)&amp;"]"),"&gt;&lt;",INDIRECT("YES_Reading_"&amp;{"ELA","FLA"}&amp;"[Grade]"),VLOOKUP($B$4,'Reading Report Logic'!$D$2:$E$9,2,FALSE),INDIRECT("YES_Reading_"&amp;{"ELA","FLA"}&amp;"[Self-Identified as African Descent]"),"&lt;&gt;YES",INDIRECT("YES_Reading_"&amp;{"ELA","FLA"}&amp;"[Self-Identified as Indigenous]"),"1"))</f>
        <v>0</v>
      </c>
      <c r="Q18" s="73" t="str">
        <f ca="1">IFERROR(IF(P18=0,"",P18-$E18),"")</f>
        <v/>
      </c>
      <c r="R18" s="52">
        <f ca="1">COUNTIFS(YES_Reading_ELA[School],IF($B$3="TCRCE","*",$B$3),YES_Reading_ELA[Literacy IPP],"&lt;&gt;Yes",YES_Reading_ELA[Self-Identified as African Descent],"&lt;&gt;YES",YES_Reading_ELA[Self-Identified as Indigenous],"=1",INDIRECT("YES_Reading_ELA[Instructional Reading Level - Per "&amp;VLOOKUP(R$6,'Reading Report Logic'!$A$2:$B$8,2,FALSE)&amp;"]"),"&gt;&lt;", YES_Reading_ELA[Grade],VLOOKUP($B$4,'Reading Report Logic'!$D$2:$E$9,2,FALSE))</f>
        <v>0</v>
      </c>
      <c r="S18" s="49" cm="1">
        <f t="array" aca="1" ref="S18" ca="1">SUM(COUNTIFS(YES_Reading_FLA[School],IF($B$3="TCRCE","*",$B$3),YES_Reading_FLA[Literacy IPP],"&lt;&gt;Yes",YES_Reading_FLA[Self-Identified as African Descent],"&lt;&gt;YES",YES_Reading_FLA[Self-Identified as Indigenous],"=1",INDIRECT("YES_Reading_FLA[Instructional Reading Level - Per "&amp;VLOOKUP(R$6,'Reading Report Logic'!$A$2:$B$8,2,FALSE)&amp;"]"),{"&gt;=1","&gt;&lt;"},YES_Reading_FLA[Grade],VLOOKUP($B$4,'Reading Report Logic'!$D$2:$E$9,2,FALSE)))</f>
        <v>0</v>
      </c>
      <c r="T18" s="49" cm="1">
        <f t="array" aca="1" ref="T18" ca="1">SUM(COUNTIFS(INDIRECT("YES_Reading_"&amp;{"ELA","FLA"}&amp;"[School]"),IF($B$3="TCRCE","*",$B$3),INDIRECT("YES_Reading_"&amp;{"ELA","FLA"}&amp;"[Literacy IPP]"),"&lt;&gt;Yes",INDIRECT("YES_Reading_"&amp;{"ELA","FLA"}&amp;"[Instructional Reading Level - Per "&amp;VLOOKUP(R$6,'Reading Report Logic'!$A$2:$B$8,2,FALSE)&amp;"]"),"&gt;=1",INDIRECT("YES_Reading_"&amp;{"ELA","FLA"}&amp;"[Grade]"),VLOOKUP($B$4,'Reading Report Logic'!$D$2:$E$9,2,FALSE),INDIRECT("YES_Reading_"&amp;{"ELA","FLA"}&amp;"[Self-Identified as African Descent]"),"&lt;&gt;YES",INDIRECT("YES_Reading_"&amp;{"ELA","FLA"}&amp;"[Self-Identified as Indigenous]"),"1"),COUNTIFS(INDIRECT("YES_Reading_"&amp;{"ELA","FLA"}&amp;"[School]"),IF($B$3="TCRCE","*",$B$3),INDIRECT("YES_Reading_"&amp;{"ELA","FLA"}&amp;"[Literacy IPP]"),"&lt;&gt;Yes",INDIRECT("YES_Reading_"&amp;{"ELA","FLA"}&amp;"[Instructional Reading Level - Per "&amp;VLOOKUP(R$6,'Reading Report Logic'!$A$2:$B$8,2,FALSE)&amp;"]"),"&gt;&lt;",INDIRECT("YES_Reading_"&amp;{"ELA","FLA"}&amp;"[Grade]"),VLOOKUP($B$4,'Reading Report Logic'!$D$2:$E$9,2,FALSE),INDIRECT("YES_Reading_"&amp;{"ELA","FLA"}&amp;"[Self-Identified as African Descent]"),"&lt;&gt;YES",INDIRECT("YES_Reading_"&amp;{"ELA","FLA"}&amp;"[Self-Identified as Indigenous]"),"1"))</f>
        <v>0</v>
      </c>
      <c r="U18" s="73" t="str">
        <f ca="1">IFERROR(IF(T18=0,"",T18-$E18),"")</f>
        <v/>
      </c>
      <c r="V18" s="52">
        <f ca="1">COUNTIFS(YES_Reading_ELA[School],IF($B$3="TCRCE","*",$B$3),YES_Reading_ELA[Literacy IPP],"&lt;&gt;Yes",YES_Reading_ELA[Self-Identified as African Descent],"&lt;&gt;YES",YES_Reading_ELA[Self-Identified as Indigenous],"=1",INDIRECT("YES_Reading_ELA[Instructional Reading Level - Per "&amp;VLOOKUP(V$6,'Reading Report Logic'!$A$2:$B$8,2,FALSE)&amp;"]"),"&gt;&lt;", YES_Reading_ELA[Grade],VLOOKUP($B$4,'Reading Report Logic'!$D$2:$E$9,2,FALSE))</f>
        <v>0</v>
      </c>
      <c r="W18" s="49" cm="1">
        <f t="array" aca="1" ref="W18" ca="1">SUM(COUNTIFS(YES_Reading_FLA[School],IF($B$3="TCRCE","*",$B$3),YES_Reading_FLA[Literacy IPP],"&lt;&gt;Yes",YES_Reading_FLA[Self-Identified as African Descent],"&lt;&gt;YES",YES_Reading_FLA[Self-Identified as Indigenous],"=1",INDIRECT("YES_Reading_FLA[Instructional Reading Level - Per "&amp;VLOOKUP(V$6,'Reading Report Logic'!$A$2:$B$8,2,FALSE)&amp;"]"),{"&gt;=1","&gt;&lt;"},YES_Reading_FLA[Grade],VLOOKUP($B$4,'Reading Report Logic'!$D$2:$E$9,2,FALSE)))</f>
        <v>0</v>
      </c>
      <c r="X18" s="49" cm="1">
        <f t="array" aca="1" ref="X18" ca="1">SUM(COUNTIFS(INDIRECT("YES_Reading_"&amp;{"ELA","FLA"}&amp;"[School]"),IF($B$3="TCRCE","*",$B$3),INDIRECT("YES_Reading_"&amp;{"ELA","FLA"}&amp;"[Literacy IPP]"),"&lt;&gt;Yes",INDIRECT("YES_Reading_"&amp;{"ELA","FLA"}&amp;"[Instructional Reading Level - Per "&amp;VLOOKUP(V$6,'Reading Report Logic'!$A$2:$B$8,2,FALSE)&amp;"]"),"&gt;=1",INDIRECT("YES_Reading_"&amp;{"ELA","FLA"}&amp;"[Grade]"),VLOOKUP($B$4,'Reading Report Logic'!$D$2:$E$9,2,FALSE),INDIRECT("YES_Reading_"&amp;{"ELA","FLA"}&amp;"[Self-Identified as African Descent]"),"&lt;&gt;YES",INDIRECT("YES_Reading_"&amp;{"ELA","FLA"}&amp;"[Self-Identified as Indigenous]"),"1"),COUNTIFS(INDIRECT("YES_Reading_"&amp;{"ELA","FLA"}&amp;"[School]"),IF($B$3="TCRCE","*",$B$3),INDIRECT("YES_Reading_"&amp;{"ELA","FLA"}&amp;"[Literacy IPP]"),"&lt;&gt;Yes",INDIRECT("YES_Reading_"&amp;{"ELA","FLA"}&amp;"[Instructional Reading Level - Per "&amp;VLOOKUP(V$6,'Reading Report Logic'!$A$2:$B$8,2,FALSE)&amp;"]"),"&gt;&lt;",INDIRECT("YES_Reading_"&amp;{"ELA","FLA"}&amp;"[Grade]"),VLOOKUP($B$4,'Reading Report Logic'!$D$2:$E$9,2,FALSE),INDIRECT("YES_Reading_"&amp;{"ELA","FLA"}&amp;"[Self-Identified as African Descent]"),"&lt;&gt;YES",INDIRECT("YES_Reading_"&amp;{"ELA","FLA"}&amp;"[Self-Identified as Indigenous]"),"1"))</f>
        <v>0</v>
      </c>
      <c r="Y18" s="73" t="str">
        <f ca="1">IFERROR(IF(X18=0,"",X18-$E18),"")</f>
        <v/>
      </c>
      <c r="Z18" s="52" t="e">
        <f ca="1">COUNTIFS(YES_Reading_ELA[School],IF($B$3="TCRCE","*",$B$3),YES_Reading_ELA[Literacy IPP],"&lt;&gt;Yes",YES_Reading_ELA[Self-Identified as African Descent],"&lt;&gt;YES",YES_Reading_ELA[Self-Identified as Indigenous],"=1",INDIRECT("YES_Reading_ELA[Instructional Reading Level - Per "&amp;VLOOKUP(Z$6,'Reading Report Logic'!$A$2:$B$8,2,FALSE)&amp;"]"),"&gt;&lt;", YES_Reading_ELA[Grade],VLOOKUP($B$4,'Reading Report Logic'!$D$2:$E$9,2,FALSE))</f>
        <v>#N/A</v>
      </c>
      <c r="AA18" s="49" t="e" cm="1">
        <f t="array" aca="1" ref="AA18" ca="1">SUM(COUNTIFS(YES_Reading_FLA[School],IF($B$3="TCRCE","*",$B$3),YES_Reading_FLA[Literacy IPP],"&lt;&gt;Yes",YES_Reading_FLA[Self-Identified as African Descent],"&lt;&gt;YES",YES_Reading_FLA[Self-Identified as Indigenous],"=1",INDIRECT("YES_Reading_FLA[Instructional Reading Level - Per "&amp;VLOOKUP(Z$6,'Reading Report Logic'!$A$2:$B$8,2,FALSE)&amp;"]"),{"&gt;=1","&gt;&lt;"},YES_Reading_FLA[Grade],VLOOKUP($B$4,'Reading Report Logic'!$D$2:$E$9,2,FALSE)))</f>
        <v>#N/A</v>
      </c>
      <c r="AB18" s="49" t="e" cm="1">
        <f t="array" aca="1" ref="AB18" ca="1">SUM(COUNTIFS(INDIRECT("YES_Reading_"&amp;{"ELA","FLA"}&amp;"[School]"),IF($B$3="TCRCE","*",$B$3),INDIRECT("YES_Reading_"&amp;{"ELA","FLA"}&amp;"[Literacy IPP]"),"&lt;&gt;Yes",INDIRECT("YES_Reading_"&amp;{"ELA","FLA"}&amp;"[Instructional Reading Level - Per "&amp;VLOOKUP(Z$6,'Reading Report Logic'!$A$2:$B$8,2,FALSE)&amp;"]"),"&gt;=1",INDIRECT("YES_Reading_"&amp;{"ELA","FLA"}&amp;"[Grade]"),VLOOKUP($B$4,'Reading Report Logic'!$D$2:$E$9,2,FALSE),INDIRECT("YES_Reading_"&amp;{"ELA","FLA"}&amp;"[Self-Identified as African Descent]"),"&lt;&gt;YES",INDIRECT("YES_Reading_"&amp;{"ELA","FLA"}&amp;"[Self-Identified as Indigenous]"),"1"),COUNTIFS(INDIRECT("YES_Reading_"&amp;{"ELA","FLA"}&amp;"[School]"),IF($B$3="TCRCE","*",$B$3),INDIRECT("YES_Reading_"&amp;{"ELA","FLA"}&amp;"[Literacy IPP]"),"&lt;&gt;Yes",INDIRECT("YES_Reading_"&amp;{"ELA","FLA"}&amp;"[Instructional Reading Level - Per "&amp;VLOOKUP(Z$6,'Reading Report Logic'!$A$2:$B$8,2,FALSE)&amp;"]"),"&gt;&lt;",INDIRECT("YES_Reading_"&amp;{"ELA","FLA"}&amp;"[Grade]"),VLOOKUP($B$4,'Reading Report Logic'!$D$2:$E$9,2,FALSE),INDIRECT("YES_Reading_"&amp;{"ELA","FLA"}&amp;"[Self-Identified as African Descent]"),"&lt;&gt;YES",INDIRECT("YES_Reading_"&amp;{"ELA","FLA"}&amp;"[Self-Identified as Indigenous]"),"1"))</f>
        <v>#N/A</v>
      </c>
      <c r="AC18" s="73" t="str">
        <f ca="1">IFERROR(IF(AB18=0,"",AB18-$E18),"")</f>
        <v/>
      </c>
    </row>
    <row r="19" spans="1:29" ht="18" customHeight="1" thickBot="1" x14ac:dyDescent="0.3">
      <c r="A19" s="372"/>
      <c r="B19" s="59" t="s">
        <v>213</v>
      </c>
      <c r="C19" s="60" t="str">
        <f t="shared" ref="C19:H19" ca="1" si="3">IFERROR(C17/C18,"")</f>
        <v/>
      </c>
      <c r="D19" s="61" t="str">
        <f t="shared" ca="1" si="3"/>
        <v/>
      </c>
      <c r="E19" s="69" t="str">
        <f t="shared" ca="1" si="3"/>
        <v/>
      </c>
      <c r="F19" s="60" t="str">
        <f t="shared" ca="1" si="3"/>
        <v/>
      </c>
      <c r="G19" s="61" t="str">
        <f t="shared" ca="1" si="3"/>
        <v/>
      </c>
      <c r="H19" s="61" t="str">
        <f t="shared" ca="1" si="3"/>
        <v/>
      </c>
      <c r="I19" s="74" t="str">
        <f ca="1">IFERROR(IF(H18=0,"",H19-$E19),"")</f>
        <v/>
      </c>
      <c r="J19" s="60" t="str">
        <f ca="1">IFERROR(J17/J18,"")</f>
        <v/>
      </c>
      <c r="K19" s="61" t="str">
        <f ca="1">IFERROR(K17/K18,"")</f>
        <v/>
      </c>
      <c r="L19" s="61" t="str">
        <f ca="1">IFERROR(L17/L18,"")</f>
        <v/>
      </c>
      <c r="M19" s="74" t="str">
        <f ca="1">IFERROR(IF(L18=0,"",L19-$E19),"")</f>
        <v/>
      </c>
      <c r="N19" s="60" t="str">
        <f ca="1">IFERROR(N17/N18,"")</f>
        <v/>
      </c>
      <c r="O19" s="61" t="str">
        <f ca="1">IFERROR(O17/O18,"")</f>
        <v/>
      </c>
      <c r="P19" s="61" t="str">
        <f ca="1">IFERROR(P17/P18,"")</f>
        <v/>
      </c>
      <c r="Q19" s="74" t="str">
        <f ca="1">IFERROR(IF(P18=0,"",P19-$E19),"")</f>
        <v/>
      </c>
      <c r="R19" s="60" t="str">
        <f ca="1">IFERROR(R17/R18,"")</f>
        <v/>
      </c>
      <c r="S19" s="61" t="str">
        <f ca="1">IFERROR(S17/S18,"")</f>
        <v/>
      </c>
      <c r="T19" s="61" t="str">
        <f ca="1">IFERROR(T17/T18,"")</f>
        <v/>
      </c>
      <c r="U19" s="74" t="str">
        <f ca="1">IFERROR(IF(T18=0,"",T19-$E19),"")</f>
        <v/>
      </c>
      <c r="V19" s="60" t="str">
        <f ca="1">IFERROR(V17/V18,"")</f>
        <v/>
      </c>
      <c r="W19" s="61" t="str">
        <f ca="1">IFERROR(W17/W18,"")</f>
        <v/>
      </c>
      <c r="X19" s="61" t="str">
        <f ca="1">IFERROR(X17/X18,"")</f>
        <v/>
      </c>
      <c r="Y19" s="74" t="str">
        <f ca="1">IFERROR(IF(X18=0,"",X19-$E19),"")</f>
        <v/>
      </c>
      <c r="Z19" s="60" t="str">
        <f ca="1">IFERROR(Z17/Z18,"")</f>
        <v/>
      </c>
      <c r="AA19" s="61" t="str">
        <f ca="1">IFERROR(AA17/AA18,"")</f>
        <v/>
      </c>
      <c r="AB19" s="61" t="str">
        <f ca="1">IFERROR(AB17/AB18,"")</f>
        <v/>
      </c>
      <c r="AC19" s="74" t="str">
        <f ca="1">IFERROR(IF(AB18=0,"",AB19-$E19),"")</f>
        <v/>
      </c>
    </row>
    <row r="20" spans="1:29" ht="18" customHeight="1" x14ac:dyDescent="0.25">
      <c r="A20" s="370" t="s">
        <v>209</v>
      </c>
      <c r="B20" s="56" t="s">
        <v>211</v>
      </c>
      <c r="C20" s="57">
        <f ca="1">COUNTIFS(YES_Reading_ELA[School],IF($B$3="TCRCE","*",$B$3),YES_Reading_ELA[Literacy IPP],"&lt;&gt;Yes",INDIRECT("YES_Reading_ELA[Difference - Per "&amp;VLOOKUP(C$6,'Reading Report Logic'!$A$2:$B$8,2,FALSE)&amp;"]"),"&gt;=0",YES_Reading_ELA[Self-Identified as African Descent],"YES",YES_Reading_ELA[Self-Identified as Indigenous],"=1", YES_Reading_ELA[Grade],VLOOKUP($B$4,'Reading Report Logic'!$D$2:$E$9,2,FALSE))</f>
        <v>0</v>
      </c>
      <c r="D20" s="58">
        <f ca="1">COUNTIFS(YES_Reading_FLA[School],IF($B$3="TCRCE","*",$B$3),YES_Reading_FLA[Literacy IPP],"&lt;&gt;Yes",INDIRECT("YES_Reading_FLA[Difference - Per "&amp;VLOOKUP(C$6,'Reading Report Logic'!$A$2:$B$8,2,FALSE)&amp;"]"),"&gt;=0",YES_Reading_FLA[Self-Identified as African Descent],"YES",YES_Reading_FLA[Self-Identified as Indigenous],"=1",YES_Reading_FLA[Grade],VLOOKUP($B$4,'Reading Report Logic'!$D$2:$E$9,2,FALSE))</f>
        <v>0</v>
      </c>
      <c r="E20" s="67" cm="1">
        <f t="array" aca="1" ref="E20" ca="1">SUM(COUNTIFS(INDIRECT("YES_Reading_"&amp;{"ELA","FLA"}&amp;"[School]"),IF($B$3="TCRCE","*",$B$3),INDIRECT("YES_Reading_"&amp;{"ELA","FLA"}&amp;"[Literacy IPP]"),"&lt;&gt;Yes",INDIRECT("YES_Reading_"&amp;{"ELA","FLA"}&amp;"[Difference - Per "&amp;VLOOKUP(C$6,'Reading Report Logic'!$A$2:$B$8,2,FALSE)&amp;"]"),"&gt;=0",INDIRECT("YES_Reading_"&amp;{"ELA","FLA"}&amp;"[Grade]"),VLOOKUP($B$4,'Reading Report Logic'!$D$2:$E$9,2,FALSE),INDIRECT("YES_Reading_"&amp;{"ELA","FLA"}&amp;"[Self-Identified as African Descent]"),"YES",INDIRECT("YES_Reading_"&amp;{"ELA","FLA"}&amp;"[Self-Identified as Indigenous]"),"1"))</f>
        <v>0</v>
      </c>
      <c r="F20" s="57">
        <f ca="1">COUNTIFS(YES_Reading_ELA[School],IF($B$3="TCRCE","*",$B$3),YES_Reading_ELA[Literacy IPP],"&lt;&gt;Yes",INDIRECT("YES_Reading_ELA[Difference - Per "&amp;VLOOKUP(F$6,'Reading Report Logic'!$A$2:$B$8,2,FALSE)&amp;"]"),"&gt;=0",YES_Reading_ELA[Self-Identified as African Descent],"YES",YES_Reading_ELA[Self-Identified as Indigenous],"=1", YES_Reading_ELA[Grade],VLOOKUP($B$4,'Reading Report Logic'!$D$2:$E$9,2,FALSE))</f>
        <v>0</v>
      </c>
      <c r="G20" s="58">
        <f ca="1">COUNTIFS(YES_Reading_FLA[School],IF($B$3="TCRCE","*",$B$3),YES_Reading_FLA[Literacy IPP],"&lt;&gt;Yes",INDIRECT("YES_Reading_FLA[Difference - Per "&amp;VLOOKUP(F$6,'Reading Report Logic'!$A$2:$B$8,2,FALSE)&amp;"]"),"&gt;=0",YES_Reading_FLA[Self-Identified as African Descent],"YES",YES_Reading_FLA[Self-Identified as Indigenous],"=1",YES_Reading_FLA[Grade],VLOOKUP($B$4,'Reading Report Logic'!$D$2:$E$9,2,FALSE))</f>
        <v>0</v>
      </c>
      <c r="H20" s="58" cm="1">
        <f t="array" aca="1" ref="H20" ca="1">SUM(COUNTIFS(INDIRECT("YES_Reading_"&amp;{"ELA","FLA"}&amp;"[School]"),IF($B$3="TCRCE","*",$B$3),INDIRECT("YES_Reading_"&amp;{"ELA","FLA"}&amp;"[Literacy IPP]"),"&lt;&gt;Yes",INDIRECT("YES_Reading_"&amp;{"ELA","FLA"}&amp;"[Difference - Per "&amp;VLOOKUP(F$6,'Reading Report Logic'!$A$2:$B$8,2,FALSE)&amp;"]"),"&gt;=0",INDIRECT("YES_Reading_"&amp;{"ELA","FLA"}&amp;"[Grade]"),VLOOKUP($B$4,'Reading Report Logic'!$D$2:$E$9,2,FALSE),INDIRECT("YES_Reading_"&amp;{"ELA","FLA"}&amp;"[Self-Identified as African Descent]"),"YES",INDIRECT("YES_Reading_"&amp;{"ELA","FLA"}&amp;"[Self-Identified as Indigenous]"),"1"))</f>
        <v>0</v>
      </c>
      <c r="I20" s="75" t="str">
        <f ca="1">IFERROR(IF(H21=0,"",H20-$E20),"")</f>
        <v/>
      </c>
      <c r="J20" s="57">
        <f ca="1">COUNTIFS(YES_Reading_ELA[School],IF($B$3="TCRCE","*",$B$3),YES_Reading_ELA[Literacy IPP],"&lt;&gt;Yes",INDIRECT("YES_Reading_ELA[Difference - Per "&amp;VLOOKUP(J$6,'Reading Report Logic'!$A$2:$B$8,2,FALSE)&amp;"]"),"&gt;=0",YES_Reading_ELA[Self-Identified as African Descent],"YES",YES_Reading_ELA[Self-Identified as Indigenous],"=1", YES_Reading_ELA[Grade],VLOOKUP($B$4,'Reading Report Logic'!$D$2:$E$9,2,FALSE))</f>
        <v>0</v>
      </c>
      <c r="K20" s="58">
        <f ca="1">COUNTIFS(YES_Reading_FLA[School],IF($B$3="TCRCE","*",$B$3),YES_Reading_FLA[Literacy IPP],"&lt;&gt;Yes",INDIRECT("YES_Reading_FLA[Difference - Per "&amp;VLOOKUP(J$6,'Reading Report Logic'!$A$2:$B$8,2,FALSE)&amp;"]"),"&gt;=0",YES_Reading_FLA[Self-Identified as African Descent],"YES",YES_Reading_FLA[Self-Identified as Indigenous],"=1",YES_Reading_FLA[Grade],VLOOKUP($B$4,'Reading Report Logic'!$D$2:$E$9,2,FALSE))</f>
        <v>0</v>
      </c>
      <c r="L20" s="58" cm="1">
        <f t="array" aca="1" ref="L20" ca="1">SUM(COUNTIFS(INDIRECT("YES_Reading_"&amp;{"ELA","FLA"}&amp;"[School]"),IF($B$3="TCRCE","*",$B$3),INDIRECT("YES_Reading_"&amp;{"ELA","FLA"}&amp;"[Literacy IPP]"),"&lt;&gt;Yes",INDIRECT("YES_Reading_"&amp;{"ELA","FLA"}&amp;"[Difference - Per "&amp;VLOOKUP(J$6,'Reading Report Logic'!$A$2:$B$8,2,FALSE)&amp;"]"),"&gt;=0",INDIRECT("YES_Reading_"&amp;{"ELA","FLA"}&amp;"[Grade]"),VLOOKUP($B$4,'Reading Report Logic'!$D$2:$E$9,2,FALSE),INDIRECT("YES_Reading_"&amp;{"ELA","FLA"}&amp;"[Self-Identified as African Descent]"),"YES",INDIRECT("YES_Reading_"&amp;{"ELA","FLA"}&amp;"[Self-Identified as Indigenous]"),"1"))</f>
        <v>0</v>
      </c>
      <c r="M20" s="75" t="str">
        <f ca="1">IFERROR(IF(L21=0,"",L20-$E20),"")</f>
        <v/>
      </c>
      <c r="N20" s="57">
        <f ca="1">COUNTIFS(YES_Reading_ELA[School],IF($B$3="TCRCE","*",$B$3),YES_Reading_ELA[Literacy IPP],"&lt;&gt;Yes",INDIRECT("YES_Reading_ELA[Difference - Per "&amp;VLOOKUP(N$6,'Reading Report Logic'!$A$2:$B$8,2,FALSE)&amp;"]"),"&gt;=0",YES_Reading_ELA[Self-Identified as African Descent],"YES",YES_Reading_ELA[Self-Identified as Indigenous],"=1", YES_Reading_ELA[Grade],VLOOKUP($B$4,'Reading Report Logic'!$D$2:$E$9,2,FALSE))</f>
        <v>0</v>
      </c>
      <c r="O20" s="58">
        <f ca="1">COUNTIFS(YES_Reading_FLA[School],IF($B$3="TCRCE","*",$B$3),YES_Reading_FLA[Literacy IPP],"&lt;&gt;Yes",INDIRECT("YES_Reading_FLA[Difference - Per "&amp;VLOOKUP(N$6,'Reading Report Logic'!$A$2:$B$8,2,FALSE)&amp;"]"),"&gt;=0",YES_Reading_FLA[Self-Identified as African Descent],"YES",YES_Reading_FLA[Self-Identified as Indigenous],"=1",YES_Reading_FLA[Grade],VLOOKUP($B$4,'Reading Report Logic'!$D$2:$E$9,2,FALSE))</f>
        <v>0</v>
      </c>
      <c r="P20" s="58" cm="1">
        <f t="array" aca="1" ref="P20" ca="1">SUM(COUNTIFS(INDIRECT("YES_Reading_"&amp;{"ELA","FLA"}&amp;"[School]"),IF($B$3="TCRCE","*",$B$3),INDIRECT("YES_Reading_"&amp;{"ELA","FLA"}&amp;"[Literacy IPP]"),"&lt;&gt;Yes",INDIRECT("YES_Reading_"&amp;{"ELA","FLA"}&amp;"[Difference - Per "&amp;VLOOKUP(N$6,'Reading Report Logic'!$A$2:$B$8,2,FALSE)&amp;"]"),"&gt;=0",INDIRECT("YES_Reading_"&amp;{"ELA","FLA"}&amp;"[Grade]"),VLOOKUP($B$4,'Reading Report Logic'!$D$2:$E$9,2,FALSE),INDIRECT("YES_Reading_"&amp;{"ELA","FLA"}&amp;"[Self-Identified as African Descent]"),"YES",INDIRECT("YES_Reading_"&amp;{"ELA","FLA"}&amp;"[Self-Identified as Indigenous]"),"1"))</f>
        <v>0</v>
      </c>
      <c r="Q20" s="75" t="str">
        <f ca="1">IFERROR(IF(P21=0,"",P20-$E20),"")</f>
        <v/>
      </c>
      <c r="R20" s="57">
        <f ca="1">COUNTIFS(YES_Reading_ELA[School],IF($B$3="TCRCE","*",$B$3),YES_Reading_ELA[Literacy IPP],"&lt;&gt;Yes",INDIRECT("YES_Reading_ELA[Difference - Per "&amp;VLOOKUP(R$6,'Reading Report Logic'!$A$2:$B$8,2,FALSE)&amp;"]"),"&gt;=0",YES_Reading_ELA[Self-Identified as African Descent],"YES",YES_Reading_ELA[Self-Identified as Indigenous],"=1", YES_Reading_ELA[Grade],VLOOKUP($B$4,'Reading Report Logic'!$D$2:$E$9,2,FALSE))</f>
        <v>0</v>
      </c>
      <c r="S20" s="58">
        <f ca="1">COUNTIFS(YES_Reading_FLA[School],IF($B$3="TCRCE","*",$B$3),YES_Reading_FLA[Literacy IPP],"&lt;&gt;Yes",INDIRECT("YES_Reading_FLA[Difference - Per "&amp;VLOOKUP(R$6,'Reading Report Logic'!$A$2:$B$8,2,FALSE)&amp;"]"),"&gt;=0",YES_Reading_FLA[Self-Identified as African Descent],"YES",YES_Reading_FLA[Self-Identified as Indigenous],"=1",YES_Reading_FLA[Grade],VLOOKUP($B$4,'Reading Report Logic'!$D$2:$E$9,2,FALSE))</f>
        <v>0</v>
      </c>
      <c r="T20" s="58" cm="1">
        <f t="array" aca="1" ref="T20" ca="1">SUM(COUNTIFS(INDIRECT("YES_Reading_"&amp;{"ELA","FLA"}&amp;"[School]"),IF($B$3="TCRCE","*",$B$3),INDIRECT("YES_Reading_"&amp;{"ELA","FLA"}&amp;"[Literacy IPP]"),"&lt;&gt;Yes",INDIRECT("YES_Reading_"&amp;{"ELA","FLA"}&amp;"[Difference - Per "&amp;VLOOKUP(R$6,'Reading Report Logic'!$A$2:$B$8,2,FALSE)&amp;"]"),"&gt;=0",INDIRECT("YES_Reading_"&amp;{"ELA","FLA"}&amp;"[Grade]"),VLOOKUP($B$4,'Reading Report Logic'!$D$2:$E$9,2,FALSE),INDIRECT("YES_Reading_"&amp;{"ELA","FLA"}&amp;"[Self-Identified as African Descent]"),"YES",INDIRECT("YES_Reading_"&amp;{"ELA","FLA"}&amp;"[Self-Identified as Indigenous]"),"1"))</f>
        <v>0</v>
      </c>
      <c r="U20" s="75" t="str">
        <f ca="1">IFERROR(IF(T21=0,"",T20-$E20),"")</f>
        <v/>
      </c>
      <c r="V20" s="57">
        <f ca="1">COUNTIFS(YES_Reading_ELA[School],IF($B$3="TCRCE","*",$B$3),YES_Reading_ELA[Literacy IPP],"&lt;&gt;Yes",INDIRECT("YES_Reading_ELA[Difference - Per "&amp;VLOOKUP(V$6,'Reading Report Logic'!$A$2:$B$8,2,FALSE)&amp;"]"),"&gt;=0",YES_Reading_ELA[Self-Identified as African Descent],"YES",YES_Reading_ELA[Self-Identified as Indigenous],"=1", YES_Reading_ELA[Grade],VLOOKUP($B$4,'Reading Report Logic'!$D$2:$E$9,2,FALSE))</f>
        <v>0</v>
      </c>
      <c r="W20" s="58">
        <f ca="1">COUNTIFS(YES_Reading_FLA[School],IF($B$3="TCRCE","*",$B$3),YES_Reading_FLA[Literacy IPP],"&lt;&gt;Yes",INDIRECT("YES_Reading_FLA[Difference - Per "&amp;VLOOKUP(V$6,'Reading Report Logic'!$A$2:$B$8,2,FALSE)&amp;"]"),"&gt;=0",YES_Reading_FLA[Self-Identified as African Descent],"YES",YES_Reading_FLA[Self-Identified as Indigenous],"=1",YES_Reading_FLA[Grade],VLOOKUP($B$4,'Reading Report Logic'!$D$2:$E$9,2,FALSE))</f>
        <v>0</v>
      </c>
      <c r="X20" s="58" cm="1">
        <f t="array" aca="1" ref="X20" ca="1">SUM(COUNTIFS(INDIRECT("YES_Reading_"&amp;{"ELA","FLA"}&amp;"[School]"),IF($B$3="TCRCE","*",$B$3),INDIRECT("YES_Reading_"&amp;{"ELA","FLA"}&amp;"[Literacy IPP]"),"&lt;&gt;Yes",INDIRECT("YES_Reading_"&amp;{"ELA","FLA"}&amp;"[Difference - Per "&amp;VLOOKUP(V$6,'Reading Report Logic'!$A$2:$B$8,2,FALSE)&amp;"]"),"&gt;=0",INDIRECT("YES_Reading_"&amp;{"ELA","FLA"}&amp;"[Grade]"),VLOOKUP($B$4,'Reading Report Logic'!$D$2:$E$9,2,FALSE),INDIRECT("YES_Reading_"&amp;{"ELA","FLA"}&amp;"[Self-Identified as African Descent]"),"YES",INDIRECT("YES_Reading_"&amp;{"ELA","FLA"}&amp;"[Self-Identified as Indigenous]"),"1"))</f>
        <v>0</v>
      </c>
      <c r="Y20" s="75" t="str">
        <f ca="1">IFERROR(IF(X21=0,"",X20-$E20),"")</f>
        <v/>
      </c>
      <c r="Z20" s="57" t="e">
        <f ca="1">COUNTIFS(YES_Reading_ELA[School],IF($B$3="TCRCE","*",$B$3),YES_Reading_ELA[Literacy IPP],"&lt;&gt;Yes",INDIRECT("YES_Reading_ELA[Difference - Per "&amp;VLOOKUP(Z$6,'Reading Report Logic'!$A$2:$B$8,2,FALSE)&amp;"]"),"&gt;=0",YES_Reading_ELA[Self-Identified as African Descent],"YES",YES_Reading_ELA[Self-Identified as Indigenous],"=1", YES_Reading_ELA[Grade],VLOOKUP($B$4,'Reading Report Logic'!$D$2:$E$9,2,FALSE))</f>
        <v>#N/A</v>
      </c>
      <c r="AA20" s="58" t="e">
        <f ca="1">COUNTIFS(YES_Reading_FLA[School],IF($B$3="TCRCE","*",$B$3),YES_Reading_FLA[Literacy IPP],"&lt;&gt;Yes",INDIRECT("YES_Reading_FLA[Difference - Per "&amp;VLOOKUP(Z$6,'Reading Report Logic'!$A$2:$B$8,2,FALSE)&amp;"]"),"&gt;=0",YES_Reading_FLA[Self-Identified as African Descent],"YES",YES_Reading_FLA[Self-Identified as Indigenous],"=1",YES_Reading_FLA[Grade],VLOOKUP($B$4,'Reading Report Logic'!$D$2:$E$9,2,FALSE))</f>
        <v>#N/A</v>
      </c>
      <c r="AB20" s="58" t="e" cm="1">
        <f t="array" aca="1" ref="AB20" ca="1">SUM(COUNTIFS(INDIRECT("YES_Reading_"&amp;{"ELA","FLA"}&amp;"[School]"),IF($B$3="TCRCE","*",$B$3),INDIRECT("YES_Reading_"&amp;{"ELA","FLA"}&amp;"[Literacy IPP]"),"&lt;&gt;Yes",INDIRECT("YES_Reading_"&amp;{"ELA","FLA"}&amp;"[Difference - Per "&amp;VLOOKUP(Z$6,'Reading Report Logic'!$A$2:$B$8,2,FALSE)&amp;"]"),"&gt;=0",INDIRECT("YES_Reading_"&amp;{"ELA","FLA"}&amp;"[Grade]"),VLOOKUP($B$4,'Reading Report Logic'!$D$2:$E$9,2,FALSE),INDIRECT("YES_Reading_"&amp;{"ELA","FLA"}&amp;"[Self-Identified as African Descent]"),"YES",INDIRECT("YES_Reading_"&amp;{"ELA","FLA"}&amp;"[Self-Identified as Indigenous]"),"1"))</f>
        <v>#N/A</v>
      </c>
      <c r="AC20" s="75" t="str">
        <f ca="1">IFERROR(IF(AB21=0,"",AB20-$E20),"")</f>
        <v/>
      </c>
    </row>
    <row r="21" spans="1:29" ht="18" customHeight="1" x14ac:dyDescent="0.25">
      <c r="A21" s="371"/>
      <c r="B21" s="51" t="s">
        <v>212</v>
      </c>
      <c r="C21" s="52">
        <f ca="1">COUNTIFS(YES_Reading_ELA[School],IF($B$3="TCRCE","*",$B$3),YES_Reading_ELA[Literacy IPP],"&lt;&gt;Yes",YES_Reading_ELA[Self-Identified as African Descent],"YES",YES_Reading_ELA[Self-Identified as Indigenous],"=1",INDIRECT("YES_Reading_ELA[Instructional Reading Level - Per "&amp;VLOOKUP(C$6,'Reading Report Logic'!$A$2:$B$8,2,FALSE)&amp;"]"),"&gt;&lt;", YES_Reading_ELA[Grade],VLOOKUP($B$4,'Reading Report Logic'!$D$2:$E$9,2,FALSE))</f>
        <v>0</v>
      </c>
      <c r="D21" s="49" cm="1">
        <f t="array" aca="1" ref="D21" ca="1">SUM(COUNTIFS(YES_Reading_FLA[School],IF($B$3="TCRCE","*",$B$3),YES_Reading_FLA[Literacy IPP],"&lt;&gt;Yes",YES_Reading_FLA[Self-Identified as African Descent],"YES",YES_Reading_FLA[Self-Identified as Indigenous],"=1",INDIRECT("YES_Reading_FLA[Instructional Reading Level - Per "&amp;VLOOKUP(C$6,'Reading Report Logic'!$A$2:$B$8,2,FALSE)&amp;"]"),{"&gt;=1","&gt;&lt;"},YES_Reading_FLA[Grade],VLOOKUP($B$4,'Reading Report Logic'!$D$2:$E$9,2,FALSE)))</f>
        <v>0</v>
      </c>
      <c r="E21" s="68" cm="1">
        <f t="array" aca="1" ref="E21" ca="1">SUM(COUNTIFS(INDIRECT("YES_Reading_"&amp;{"ELA","FLA"}&amp;"[School]"),IF($B$3="TCRCE","*",$B$3),INDIRECT("YES_Reading_"&amp;{"ELA","FLA"}&amp;"[Literacy IPP]"),"&lt;&gt;Yes",INDIRECT("YES_Reading_"&amp;{"ELA","FLA"}&amp;"[Instructional Reading Level - Per "&amp;VLOOKUP(C$6,'Reading Report Logic'!$A$2:$B$8,2,FALSE)&amp;"]"),"&gt;=1",INDIRECT("YES_Reading_"&amp;{"ELA","FLA"}&amp;"[Grade]"),VLOOKUP($B$4,'Reading Report Logic'!$D$2:$E$9,2,FALSE),INDIRECT("YES_Reading_"&amp;{"ELA","FLA"}&amp;"[Self-Identified as African Descent]"),"YES",INDIRECT("YES_Reading_"&amp;{"ELA","FLA"}&amp;"[Self-Identified as Indigenous]"),"1"),COUNTIFS(INDIRECT("YES_Reading_"&amp;{"ELA","FLA"}&amp;"[School]"),IF($B$3="TCRCE","*",$B$3),INDIRECT("YES_Reading_"&amp;{"ELA","FLA"}&amp;"[Literacy IPP]"),"&lt;&gt;Yes",INDIRECT("YES_Reading_"&amp;{"ELA","FLA"}&amp;"[Instructional Reading Level - Per "&amp;VLOOKUP(C$6,'Reading Report Logic'!$A$2:$B$8,2,FALSE)&amp;"]"),"&gt;&lt;",INDIRECT("YES_Reading_"&amp;{"ELA","FLA"}&amp;"[Grade]"),VLOOKUP($B$4,'Reading Report Logic'!$D$2:$E$9,2,FALSE),INDIRECT("YES_Reading_"&amp;{"ELA","FLA"}&amp;"[Self-Identified as African Descent]"),"YES",INDIRECT("YES_Reading_"&amp;{"ELA","FLA"}&amp;"[Self-Identified as Indigenous]"),"1"))</f>
        <v>0</v>
      </c>
      <c r="F21" s="52">
        <f ca="1">COUNTIFS(YES_Reading_ELA[School],IF($B$3="TCRCE","*",$B$3),YES_Reading_ELA[Literacy IPP],"&lt;&gt;Yes",YES_Reading_ELA[Self-Identified as African Descent],"YES",YES_Reading_ELA[Self-Identified as Indigenous],"=1",INDIRECT("YES_Reading_ELA[Instructional Reading Level - Per "&amp;VLOOKUP(F$6,'Reading Report Logic'!$A$2:$B$8,2,FALSE)&amp;"]"),"&gt;&lt;", YES_Reading_ELA[Grade],VLOOKUP($B$4,'Reading Report Logic'!$D$2:$E$9,2,FALSE))</f>
        <v>0</v>
      </c>
      <c r="G21" s="49" cm="1">
        <f t="array" aca="1" ref="G21" ca="1">SUM(COUNTIFS(YES_Reading_FLA[School],IF($B$3="TCRCE","*",$B$3),YES_Reading_FLA[Literacy IPP],"&lt;&gt;Yes",YES_Reading_FLA[Self-Identified as African Descent],"YES",YES_Reading_FLA[Self-Identified as Indigenous],"=1",INDIRECT("YES_Reading_FLA[Instructional Reading Level - Per "&amp;VLOOKUP(F$6,'Reading Report Logic'!$A$2:$B$8,2,FALSE)&amp;"]"),{"&gt;=1","&gt;&lt;"},YES_Reading_FLA[Grade],VLOOKUP($B$4,'Reading Report Logic'!$D$2:$E$9,2,FALSE)))</f>
        <v>0</v>
      </c>
      <c r="H21" s="49" cm="1">
        <f t="array" aca="1" ref="H21" ca="1">SUM(COUNTIFS(INDIRECT("YES_Reading_"&amp;{"ELA","FLA"}&amp;"[School]"),IF($B$3="TCRCE","*",$B$3),INDIRECT("YES_Reading_"&amp;{"ELA","FLA"}&amp;"[Literacy IPP]"),"&lt;&gt;Yes",INDIRECT("YES_Reading_"&amp;{"ELA","FLA"}&amp;"[Instructional Reading Level - Per "&amp;VLOOKUP(F$6,'Reading Report Logic'!$A$2:$B$8,2,FALSE)&amp;"]"),"&gt;=1",INDIRECT("YES_Reading_"&amp;{"ELA","FLA"}&amp;"[Grade]"),VLOOKUP($B$4,'Reading Report Logic'!$D$2:$E$9,2,FALSE),INDIRECT("YES_Reading_"&amp;{"ELA","FLA"}&amp;"[Self-Identified as African Descent]"),"YES",INDIRECT("YES_Reading_"&amp;{"ELA","FLA"}&amp;"[Self-Identified as Indigenous]"),"1"),COUNTIFS(INDIRECT("YES_Reading_"&amp;{"ELA","FLA"}&amp;"[School]"),IF($B$3="TCRCE","*",$B$3),INDIRECT("YES_Reading_"&amp;{"ELA","FLA"}&amp;"[Literacy IPP]"),"&lt;&gt;Yes",INDIRECT("YES_Reading_"&amp;{"ELA","FLA"}&amp;"[Instructional Reading Level - Per "&amp;VLOOKUP(F$6,'Reading Report Logic'!$A$2:$B$8,2,FALSE)&amp;"]"),"&gt;&lt;",INDIRECT("YES_Reading_"&amp;{"ELA","FLA"}&amp;"[Grade]"),VLOOKUP($B$4,'Reading Report Logic'!$D$2:$E$9,2,FALSE),INDIRECT("YES_Reading_"&amp;{"ELA","FLA"}&amp;"[Self-Identified as African Descent]"),"YES",INDIRECT("YES_Reading_"&amp;{"ELA","FLA"}&amp;"[Self-Identified as Indigenous]"),"1"))</f>
        <v>0</v>
      </c>
      <c r="I21" s="73" t="str">
        <f ca="1">IFERROR(IF(H21=0,"",H21-$E21),"")</f>
        <v/>
      </c>
      <c r="J21" s="52">
        <f ca="1">COUNTIFS(YES_Reading_ELA[School],IF($B$3="TCRCE","*",$B$3),YES_Reading_ELA[Literacy IPP],"&lt;&gt;Yes",YES_Reading_ELA[Self-Identified as African Descent],"YES",YES_Reading_ELA[Self-Identified as Indigenous],"=1",INDIRECT("YES_Reading_ELA[Instructional Reading Level - Per "&amp;VLOOKUP(J$6,'Reading Report Logic'!$A$2:$B$8,2,FALSE)&amp;"]"),"&gt;&lt;", YES_Reading_ELA[Grade],VLOOKUP($B$4,'Reading Report Logic'!$D$2:$E$9,2,FALSE))</f>
        <v>0</v>
      </c>
      <c r="K21" s="49" cm="1">
        <f t="array" aca="1" ref="K21" ca="1">SUM(COUNTIFS(YES_Reading_FLA[School],IF($B$3="TCRCE","*",$B$3),YES_Reading_FLA[Literacy IPP],"&lt;&gt;Yes",YES_Reading_FLA[Self-Identified as African Descent],"YES",YES_Reading_FLA[Self-Identified as Indigenous],"=1",INDIRECT("YES_Reading_FLA[Instructional Reading Level - Per "&amp;VLOOKUP(J$6,'Reading Report Logic'!$A$2:$B$8,2,FALSE)&amp;"]"),{"&gt;=1","&gt;&lt;"},YES_Reading_FLA[Grade],VLOOKUP($B$4,'Reading Report Logic'!$D$2:$E$9,2,FALSE)))</f>
        <v>0</v>
      </c>
      <c r="L21" s="49" cm="1">
        <f t="array" aca="1" ref="L21" ca="1">SUM(COUNTIFS(INDIRECT("YES_Reading_"&amp;{"ELA","FLA"}&amp;"[School]"),IF($B$3="TCRCE","*",$B$3),INDIRECT("YES_Reading_"&amp;{"ELA","FLA"}&amp;"[Literacy IPP]"),"&lt;&gt;Yes",INDIRECT("YES_Reading_"&amp;{"ELA","FLA"}&amp;"[Instructional Reading Level - Per "&amp;VLOOKUP(J$6,'Reading Report Logic'!$A$2:$B$8,2,FALSE)&amp;"]"),"&gt;=1",INDIRECT("YES_Reading_"&amp;{"ELA","FLA"}&amp;"[Grade]"),VLOOKUP($B$4,'Reading Report Logic'!$D$2:$E$9,2,FALSE),INDIRECT("YES_Reading_"&amp;{"ELA","FLA"}&amp;"[Self-Identified as African Descent]"),"YES",INDIRECT("YES_Reading_"&amp;{"ELA","FLA"}&amp;"[Self-Identified as Indigenous]"),"1"),COUNTIFS(INDIRECT("YES_Reading_"&amp;{"ELA","FLA"}&amp;"[School]"),IF($B$3="TCRCE","*",$B$3),INDIRECT("YES_Reading_"&amp;{"ELA","FLA"}&amp;"[Literacy IPP]"),"&lt;&gt;Yes",INDIRECT("YES_Reading_"&amp;{"ELA","FLA"}&amp;"[Instructional Reading Level - Per "&amp;VLOOKUP(J$6,'Reading Report Logic'!$A$2:$B$8,2,FALSE)&amp;"]"),"&gt;&lt;",INDIRECT("YES_Reading_"&amp;{"ELA","FLA"}&amp;"[Grade]"),VLOOKUP($B$4,'Reading Report Logic'!$D$2:$E$9,2,FALSE),INDIRECT("YES_Reading_"&amp;{"ELA","FLA"}&amp;"[Self-Identified as African Descent]"),"YES",INDIRECT("YES_Reading_"&amp;{"ELA","FLA"}&amp;"[Self-Identified as Indigenous]"),"1"))</f>
        <v>0</v>
      </c>
      <c r="M21" s="73" t="str">
        <f ca="1">IFERROR(IF(L21=0,"",L21-$E21),"")</f>
        <v/>
      </c>
      <c r="N21" s="52">
        <f ca="1">COUNTIFS(YES_Reading_ELA[School],IF($B$3="TCRCE","*",$B$3),YES_Reading_ELA[Literacy IPP],"&lt;&gt;Yes",YES_Reading_ELA[Self-Identified as African Descent],"YES",YES_Reading_ELA[Self-Identified as Indigenous],"=1",INDIRECT("YES_Reading_ELA[Instructional Reading Level - Per "&amp;VLOOKUP(N$6,'Reading Report Logic'!$A$2:$B$8,2,FALSE)&amp;"]"),"&gt;&lt;", YES_Reading_ELA[Grade],VLOOKUP($B$4,'Reading Report Logic'!$D$2:$E$9,2,FALSE))</f>
        <v>0</v>
      </c>
      <c r="O21" s="49" cm="1">
        <f t="array" aca="1" ref="O21" ca="1">SUM(COUNTIFS(YES_Reading_FLA[School],IF($B$3="TCRCE","*",$B$3),YES_Reading_FLA[Literacy IPP],"&lt;&gt;Yes",YES_Reading_FLA[Self-Identified as African Descent],"YES",YES_Reading_FLA[Self-Identified as Indigenous],"=1",INDIRECT("YES_Reading_FLA[Instructional Reading Level - Per "&amp;VLOOKUP(N$6,'Reading Report Logic'!$A$2:$B$8,2,FALSE)&amp;"]"),{"&gt;=1","&gt;&lt;"},YES_Reading_FLA[Grade],VLOOKUP($B$4,'Reading Report Logic'!$D$2:$E$9,2,FALSE)))</f>
        <v>0</v>
      </c>
      <c r="P21" s="49" cm="1">
        <f t="array" aca="1" ref="P21" ca="1">SUM(COUNTIFS(INDIRECT("YES_Reading_"&amp;{"ELA","FLA"}&amp;"[School]"),IF($B$3="TCRCE","*",$B$3),INDIRECT("YES_Reading_"&amp;{"ELA","FLA"}&amp;"[Literacy IPP]"),"&lt;&gt;Yes",INDIRECT("YES_Reading_"&amp;{"ELA","FLA"}&amp;"[Instructional Reading Level - Per "&amp;VLOOKUP(N$6,'Reading Report Logic'!$A$2:$B$8,2,FALSE)&amp;"]"),"&gt;=1",INDIRECT("YES_Reading_"&amp;{"ELA","FLA"}&amp;"[Grade]"),VLOOKUP($B$4,'Reading Report Logic'!$D$2:$E$9,2,FALSE),INDIRECT("YES_Reading_"&amp;{"ELA","FLA"}&amp;"[Self-Identified as African Descent]"),"YES",INDIRECT("YES_Reading_"&amp;{"ELA","FLA"}&amp;"[Self-Identified as Indigenous]"),"1"),COUNTIFS(INDIRECT("YES_Reading_"&amp;{"ELA","FLA"}&amp;"[School]"),IF($B$3="TCRCE","*",$B$3),INDIRECT("YES_Reading_"&amp;{"ELA","FLA"}&amp;"[Literacy IPP]"),"&lt;&gt;Yes",INDIRECT("YES_Reading_"&amp;{"ELA","FLA"}&amp;"[Instructional Reading Level - Per "&amp;VLOOKUP(N$6,'Reading Report Logic'!$A$2:$B$8,2,FALSE)&amp;"]"),"&gt;&lt;",INDIRECT("YES_Reading_"&amp;{"ELA","FLA"}&amp;"[Grade]"),VLOOKUP($B$4,'Reading Report Logic'!$D$2:$E$9,2,FALSE),INDIRECT("YES_Reading_"&amp;{"ELA","FLA"}&amp;"[Self-Identified as African Descent]"),"YES",INDIRECT("YES_Reading_"&amp;{"ELA","FLA"}&amp;"[Self-Identified as Indigenous]"),"1"))</f>
        <v>0</v>
      </c>
      <c r="Q21" s="73" t="str">
        <f ca="1">IFERROR(IF(P21=0,"",P21-$E21),"")</f>
        <v/>
      </c>
      <c r="R21" s="52">
        <f ca="1">COUNTIFS(YES_Reading_ELA[School],IF($B$3="TCRCE","*",$B$3),YES_Reading_ELA[Literacy IPP],"&lt;&gt;Yes",YES_Reading_ELA[Self-Identified as African Descent],"YES",YES_Reading_ELA[Self-Identified as Indigenous],"=1",INDIRECT("YES_Reading_ELA[Instructional Reading Level - Per "&amp;VLOOKUP(R$6,'Reading Report Logic'!$A$2:$B$8,2,FALSE)&amp;"]"),"&gt;&lt;", YES_Reading_ELA[Grade],VLOOKUP($B$4,'Reading Report Logic'!$D$2:$E$9,2,FALSE))</f>
        <v>0</v>
      </c>
      <c r="S21" s="49" cm="1">
        <f t="array" aca="1" ref="S21" ca="1">SUM(COUNTIFS(YES_Reading_FLA[School],IF($B$3="TCRCE","*",$B$3),YES_Reading_FLA[Literacy IPP],"&lt;&gt;Yes",YES_Reading_FLA[Self-Identified as African Descent],"YES",YES_Reading_FLA[Self-Identified as Indigenous],"=1",INDIRECT("YES_Reading_FLA[Instructional Reading Level - Per "&amp;VLOOKUP(R$6,'Reading Report Logic'!$A$2:$B$8,2,FALSE)&amp;"]"),{"&gt;=1","&gt;&lt;"},YES_Reading_FLA[Grade],VLOOKUP($B$4,'Reading Report Logic'!$D$2:$E$9,2,FALSE)))</f>
        <v>0</v>
      </c>
      <c r="T21" s="49" cm="1">
        <f t="array" aca="1" ref="T21" ca="1">SUM(COUNTIFS(INDIRECT("YES_Reading_"&amp;{"ELA","FLA"}&amp;"[School]"),IF($B$3="TCRCE","*",$B$3),INDIRECT("YES_Reading_"&amp;{"ELA","FLA"}&amp;"[Literacy IPP]"),"&lt;&gt;Yes",INDIRECT("YES_Reading_"&amp;{"ELA","FLA"}&amp;"[Instructional Reading Level - Per "&amp;VLOOKUP(R$6,'Reading Report Logic'!$A$2:$B$8,2,FALSE)&amp;"]"),"&gt;=1",INDIRECT("YES_Reading_"&amp;{"ELA","FLA"}&amp;"[Grade]"),VLOOKUP($B$4,'Reading Report Logic'!$D$2:$E$9,2,FALSE),INDIRECT("YES_Reading_"&amp;{"ELA","FLA"}&amp;"[Self-Identified as African Descent]"),"YES",INDIRECT("YES_Reading_"&amp;{"ELA","FLA"}&amp;"[Self-Identified as Indigenous]"),"1"),COUNTIFS(INDIRECT("YES_Reading_"&amp;{"ELA","FLA"}&amp;"[School]"),IF($B$3="TCRCE","*",$B$3),INDIRECT("YES_Reading_"&amp;{"ELA","FLA"}&amp;"[Literacy IPP]"),"&lt;&gt;Yes",INDIRECT("YES_Reading_"&amp;{"ELA","FLA"}&amp;"[Instructional Reading Level - Per "&amp;VLOOKUP(R$6,'Reading Report Logic'!$A$2:$B$8,2,FALSE)&amp;"]"),"&gt;&lt;",INDIRECT("YES_Reading_"&amp;{"ELA","FLA"}&amp;"[Grade]"),VLOOKUP($B$4,'Reading Report Logic'!$D$2:$E$9,2,FALSE),INDIRECT("YES_Reading_"&amp;{"ELA","FLA"}&amp;"[Self-Identified as African Descent]"),"YES",INDIRECT("YES_Reading_"&amp;{"ELA","FLA"}&amp;"[Self-Identified as Indigenous]"),"1"))</f>
        <v>0</v>
      </c>
      <c r="U21" s="73" t="str">
        <f ca="1">IFERROR(IF(T21=0,"",T21-$E21),"")</f>
        <v/>
      </c>
      <c r="V21" s="52">
        <f ca="1">COUNTIFS(YES_Reading_ELA[School],IF($B$3="TCRCE","*",$B$3),YES_Reading_ELA[Literacy IPP],"&lt;&gt;Yes",YES_Reading_ELA[Self-Identified as African Descent],"YES",YES_Reading_ELA[Self-Identified as Indigenous],"=1",INDIRECT("YES_Reading_ELA[Instructional Reading Level - Per "&amp;VLOOKUP(V$6,'Reading Report Logic'!$A$2:$B$8,2,FALSE)&amp;"]"),"&gt;&lt;", YES_Reading_ELA[Grade],VLOOKUP($B$4,'Reading Report Logic'!$D$2:$E$9,2,FALSE))</f>
        <v>0</v>
      </c>
      <c r="W21" s="49" cm="1">
        <f t="array" aca="1" ref="W21" ca="1">SUM(COUNTIFS(YES_Reading_FLA[School],IF($B$3="TCRCE","*",$B$3),YES_Reading_FLA[Literacy IPP],"&lt;&gt;Yes",YES_Reading_FLA[Self-Identified as African Descent],"YES",YES_Reading_FLA[Self-Identified as Indigenous],"=1",INDIRECT("YES_Reading_FLA[Instructional Reading Level - Per "&amp;VLOOKUP(V$6,'Reading Report Logic'!$A$2:$B$8,2,FALSE)&amp;"]"),{"&gt;=1","&gt;&lt;"},YES_Reading_FLA[Grade],VLOOKUP($B$4,'Reading Report Logic'!$D$2:$E$9,2,FALSE)))</f>
        <v>0</v>
      </c>
      <c r="X21" s="49" cm="1">
        <f t="array" aca="1" ref="X21" ca="1">SUM(COUNTIFS(INDIRECT("YES_Reading_"&amp;{"ELA","FLA"}&amp;"[School]"),IF($B$3="TCRCE","*",$B$3),INDIRECT("YES_Reading_"&amp;{"ELA","FLA"}&amp;"[Literacy IPP]"),"&lt;&gt;Yes",INDIRECT("YES_Reading_"&amp;{"ELA","FLA"}&amp;"[Instructional Reading Level - Per "&amp;VLOOKUP(V$6,'Reading Report Logic'!$A$2:$B$8,2,FALSE)&amp;"]"),"&gt;=1",INDIRECT("YES_Reading_"&amp;{"ELA","FLA"}&amp;"[Grade]"),VLOOKUP($B$4,'Reading Report Logic'!$D$2:$E$9,2,FALSE),INDIRECT("YES_Reading_"&amp;{"ELA","FLA"}&amp;"[Self-Identified as African Descent]"),"YES",INDIRECT("YES_Reading_"&amp;{"ELA","FLA"}&amp;"[Self-Identified as Indigenous]"),"1"),COUNTIFS(INDIRECT("YES_Reading_"&amp;{"ELA","FLA"}&amp;"[School]"),IF($B$3="TCRCE","*",$B$3),INDIRECT("YES_Reading_"&amp;{"ELA","FLA"}&amp;"[Literacy IPP]"),"&lt;&gt;Yes",INDIRECT("YES_Reading_"&amp;{"ELA","FLA"}&amp;"[Instructional Reading Level - Per "&amp;VLOOKUP(V$6,'Reading Report Logic'!$A$2:$B$8,2,FALSE)&amp;"]"),"&gt;&lt;",INDIRECT("YES_Reading_"&amp;{"ELA","FLA"}&amp;"[Grade]"),VLOOKUP($B$4,'Reading Report Logic'!$D$2:$E$9,2,FALSE),INDIRECT("YES_Reading_"&amp;{"ELA","FLA"}&amp;"[Self-Identified as African Descent]"),"YES",INDIRECT("YES_Reading_"&amp;{"ELA","FLA"}&amp;"[Self-Identified as Indigenous]"),"1"))</f>
        <v>0</v>
      </c>
      <c r="Y21" s="73" t="str">
        <f ca="1">IFERROR(IF(X21=0,"",X21-$E21),"")</f>
        <v/>
      </c>
      <c r="Z21" s="52" t="e">
        <f ca="1">COUNTIFS(YES_Reading_ELA[School],IF($B$3="TCRCE","*",$B$3),YES_Reading_ELA[Literacy IPP],"&lt;&gt;Yes",YES_Reading_ELA[Self-Identified as African Descent],"YES",YES_Reading_ELA[Self-Identified as Indigenous],"=1",INDIRECT("YES_Reading_ELA[Instructional Reading Level - Per "&amp;VLOOKUP(Z$6,'Reading Report Logic'!$A$2:$B$8,2,FALSE)&amp;"]"),"&gt;&lt;", YES_Reading_ELA[Grade],VLOOKUP($B$4,'Reading Report Logic'!$D$2:$E$9,2,FALSE))</f>
        <v>#N/A</v>
      </c>
      <c r="AA21" s="49" t="e" cm="1">
        <f t="array" aca="1" ref="AA21" ca="1">SUM(COUNTIFS(YES_Reading_FLA[School],IF($B$3="TCRCE","*",$B$3),YES_Reading_FLA[Literacy IPP],"&lt;&gt;Yes",YES_Reading_FLA[Self-Identified as African Descent],"YES",YES_Reading_FLA[Self-Identified as Indigenous],"=1",INDIRECT("YES_Reading_FLA[Instructional Reading Level - Per "&amp;VLOOKUP(Z$6,'Reading Report Logic'!$A$2:$B$8,2,FALSE)&amp;"]"),{"&gt;=1","&gt;&lt;"},YES_Reading_FLA[Grade],VLOOKUP($B$4,'Reading Report Logic'!$D$2:$E$9,2,FALSE)))</f>
        <v>#N/A</v>
      </c>
      <c r="AB21" s="49" t="e" cm="1">
        <f t="array" aca="1" ref="AB21" ca="1">SUM(COUNTIFS(INDIRECT("YES_Reading_"&amp;{"ELA","FLA"}&amp;"[School]"),IF($B$3="TCRCE","*",$B$3),INDIRECT("YES_Reading_"&amp;{"ELA","FLA"}&amp;"[Literacy IPP]"),"&lt;&gt;Yes",INDIRECT("YES_Reading_"&amp;{"ELA","FLA"}&amp;"[Instructional Reading Level - Per "&amp;VLOOKUP(Z$6,'Reading Report Logic'!$A$2:$B$8,2,FALSE)&amp;"]"),"&gt;=1",INDIRECT("YES_Reading_"&amp;{"ELA","FLA"}&amp;"[Grade]"),VLOOKUP($B$4,'Reading Report Logic'!$D$2:$E$9,2,FALSE),INDIRECT("YES_Reading_"&amp;{"ELA","FLA"}&amp;"[Self-Identified as African Descent]"),"YES",INDIRECT("YES_Reading_"&amp;{"ELA","FLA"}&amp;"[Self-Identified as Indigenous]"),"1"),COUNTIFS(INDIRECT("YES_Reading_"&amp;{"ELA","FLA"}&amp;"[School]"),IF($B$3="TCRCE","*",$B$3),INDIRECT("YES_Reading_"&amp;{"ELA","FLA"}&amp;"[Literacy IPP]"),"&lt;&gt;Yes",INDIRECT("YES_Reading_"&amp;{"ELA","FLA"}&amp;"[Instructional Reading Level - Per "&amp;VLOOKUP(Z$6,'Reading Report Logic'!$A$2:$B$8,2,FALSE)&amp;"]"),"&gt;&lt;",INDIRECT("YES_Reading_"&amp;{"ELA","FLA"}&amp;"[Grade]"),VLOOKUP($B$4,'Reading Report Logic'!$D$2:$E$9,2,FALSE),INDIRECT("YES_Reading_"&amp;{"ELA","FLA"}&amp;"[Self-Identified as African Descent]"),"YES",INDIRECT("YES_Reading_"&amp;{"ELA","FLA"}&amp;"[Self-Identified as Indigenous]"),"1"))</f>
        <v>#N/A</v>
      </c>
      <c r="AC21" s="73" t="str">
        <f ca="1">IFERROR(IF(AB21=0,"",AB21-$E21),"")</f>
        <v/>
      </c>
    </row>
    <row r="22" spans="1:29" ht="18" customHeight="1" thickBot="1" x14ac:dyDescent="0.3">
      <c r="A22" s="372"/>
      <c r="B22" s="59" t="s">
        <v>213</v>
      </c>
      <c r="C22" s="60" t="str">
        <f t="shared" ref="C22:H22" ca="1" si="4">IFERROR(C20/C21,"")</f>
        <v/>
      </c>
      <c r="D22" s="61" t="str">
        <f t="shared" ca="1" si="4"/>
        <v/>
      </c>
      <c r="E22" s="69" t="str">
        <f t="shared" ca="1" si="4"/>
        <v/>
      </c>
      <c r="F22" s="60" t="str">
        <f t="shared" ca="1" si="4"/>
        <v/>
      </c>
      <c r="G22" s="61" t="str">
        <f t="shared" ca="1" si="4"/>
        <v/>
      </c>
      <c r="H22" s="61" t="str">
        <f t="shared" ca="1" si="4"/>
        <v/>
      </c>
      <c r="I22" s="74" t="str">
        <f ca="1">IFERROR(IF(H21=0,"",H22-$E22),"")</f>
        <v/>
      </c>
      <c r="J22" s="60" t="str">
        <f ca="1">IFERROR(J20/J21,"")</f>
        <v/>
      </c>
      <c r="K22" s="61" t="str">
        <f ca="1">IFERROR(K20/K21,"")</f>
        <v/>
      </c>
      <c r="L22" s="61" t="str">
        <f ca="1">IFERROR(L20/L21,"")</f>
        <v/>
      </c>
      <c r="M22" s="74" t="str">
        <f ca="1">IFERROR(IF(L21=0,"",L22-$E22),"")</f>
        <v/>
      </c>
      <c r="N22" s="60" t="str">
        <f ca="1">IFERROR(N20/N21,"")</f>
        <v/>
      </c>
      <c r="O22" s="61" t="str">
        <f ca="1">IFERROR(O20/O21,"")</f>
        <v/>
      </c>
      <c r="P22" s="61" t="str">
        <f ca="1">IFERROR(P20/P21,"")</f>
        <v/>
      </c>
      <c r="Q22" s="74" t="str">
        <f ca="1">IFERROR(IF(P21=0,"",P22-$E22),"")</f>
        <v/>
      </c>
      <c r="R22" s="60" t="str">
        <f ca="1">IFERROR(R20/R21,"")</f>
        <v/>
      </c>
      <c r="S22" s="61" t="str">
        <f ca="1">IFERROR(S20/S21,"")</f>
        <v/>
      </c>
      <c r="T22" s="61" t="str">
        <f ca="1">IFERROR(T20/T21,"")</f>
        <v/>
      </c>
      <c r="U22" s="74" t="str">
        <f ca="1">IFERROR(IF(T21=0,"",T22-$E22),"")</f>
        <v/>
      </c>
      <c r="V22" s="60" t="str">
        <f ca="1">IFERROR(V20/V21,"")</f>
        <v/>
      </c>
      <c r="W22" s="61" t="str">
        <f ca="1">IFERROR(W20/W21,"")</f>
        <v/>
      </c>
      <c r="X22" s="61" t="str">
        <f ca="1">IFERROR(X20/X21,"")</f>
        <v/>
      </c>
      <c r="Y22" s="74" t="str">
        <f ca="1">IFERROR(IF(X21=0,"",X22-$E22),"")</f>
        <v/>
      </c>
      <c r="Z22" s="60" t="str">
        <f ca="1">IFERROR(Z20/Z21,"")</f>
        <v/>
      </c>
      <c r="AA22" s="61" t="str">
        <f ca="1">IFERROR(AA20/AA21,"")</f>
        <v/>
      </c>
      <c r="AB22" s="61" t="str">
        <f ca="1">IFERROR(AB20/AB21,"")</f>
        <v/>
      </c>
      <c r="AC22" s="74" t="str">
        <f ca="1">IFERROR(IF(AB21=0,"",AB22-$E22),"")</f>
        <v/>
      </c>
    </row>
    <row r="23" spans="1:29" ht="30" x14ac:dyDescent="0.25">
      <c r="A23" s="370" t="s">
        <v>210</v>
      </c>
      <c r="B23" s="56" t="s">
        <v>226</v>
      </c>
      <c r="C23" s="62" t="str">
        <f t="shared" ref="C23:H23" ca="1" si="5">IFERROR(C16-C13,"")</f>
        <v/>
      </c>
      <c r="D23" s="63" t="str">
        <f t="shared" ca="1" si="5"/>
        <v/>
      </c>
      <c r="E23" s="70" t="str">
        <f t="shared" ca="1" si="5"/>
        <v/>
      </c>
      <c r="F23" s="62" t="str">
        <f t="shared" ca="1" si="5"/>
        <v/>
      </c>
      <c r="G23" s="63" t="str">
        <f t="shared" ca="1" si="5"/>
        <v/>
      </c>
      <c r="H23" s="63" t="str">
        <f t="shared" ca="1" si="5"/>
        <v/>
      </c>
      <c r="I23" s="75" t="str">
        <f t="shared" ref="I23:I25" ca="1" si="6">IFERROR(H23-$E23,"")</f>
        <v/>
      </c>
      <c r="J23" s="62" t="str">
        <f ca="1">IFERROR(J16-J13,"")</f>
        <v/>
      </c>
      <c r="K23" s="63" t="str">
        <f ca="1">IFERROR(K16-K13,"")</f>
        <v/>
      </c>
      <c r="L23" s="63" t="str">
        <f ca="1">IFERROR(L16-L13,"")</f>
        <v/>
      </c>
      <c r="M23" s="75" t="str">
        <f t="shared" ref="M23:M25" ca="1" si="7">IFERROR(L23-$E23,"")</f>
        <v/>
      </c>
      <c r="N23" s="62" t="str">
        <f ca="1">IFERROR(N16-N13,"")</f>
        <v/>
      </c>
      <c r="O23" s="63" t="str">
        <f ca="1">IFERROR(O16-O13,"")</f>
        <v/>
      </c>
      <c r="P23" s="63" t="str">
        <f ca="1">IFERROR(P16-P13,"")</f>
        <v/>
      </c>
      <c r="Q23" s="75" t="str">
        <f t="shared" ref="Q23:Q25" ca="1" si="8">IFERROR(P23-$E23,"")</f>
        <v/>
      </c>
      <c r="R23" s="62" t="str">
        <f ca="1">IFERROR(R16-R13,"")</f>
        <v/>
      </c>
      <c r="S23" s="63" t="str">
        <f ca="1">IFERROR(S16-S13,"")</f>
        <v/>
      </c>
      <c r="T23" s="63" t="str">
        <f ca="1">IFERROR(T16-T13,"")</f>
        <v/>
      </c>
      <c r="U23" s="75" t="str">
        <f t="shared" ref="U23:U25" ca="1" si="9">IFERROR(T23-$E23,"")</f>
        <v/>
      </c>
      <c r="V23" s="62" t="str">
        <f ca="1">IFERROR(V16-V13,"")</f>
        <v/>
      </c>
      <c r="W23" s="63" t="str">
        <f ca="1">IFERROR(W16-W13,"")</f>
        <v/>
      </c>
      <c r="X23" s="63" t="str">
        <f ca="1">IFERROR(X16-X13,"")</f>
        <v/>
      </c>
      <c r="Y23" s="75" t="str">
        <f t="shared" ref="Y23:Y25" ca="1" si="10">IFERROR(X23-$E23,"")</f>
        <v/>
      </c>
      <c r="Z23" s="62" t="str">
        <f ca="1">IFERROR(Z16-Z13,"")</f>
        <v/>
      </c>
      <c r="AA23" s="63" t="str">
        <f ca="1">IFERROR(AA16-AA13,"")</f>
        <v/>
      </c>
      <c r="AB23" s="63" t="str">
        <f ca="1">IFERROR(AB16-AB13,"")</f>
        <v/>
      </c>
      <c r="AC23" s="75" t="str">
        <f t="shared" ref="AC23:AC25" ca="1" si="11">IFERROR(AB23-$E23,"")</f>
        <v/>
      </c>
    </row>
    <row r="24" spans="1:29" ht="30" customHeight="1" x14ac:dyDescent="0.25">
      <c r="A24" s="371"/>
      <c r="B24" s="51" t="s">
        <v>227</v>
      </c>
      <c r="C24" s="53" t="str">
        <f t="shared" ref="C24:H24" ca="1" si="12">IFERROR(C19-C13,"")</f>
        <v/>
      </c>
      <c r="D24" s="50" t="str">
        <f t="shared" ca="1" si="12"/>
        <v/>
      </c>
      <c r="E24" s="71" t="str">
        <f t="shared" ca="1" si="12"/>
        <v/>
      </c>
      <c r="F24" s="53" t="str">
        <f t="shared" ca="1" si="12"/>
        <v/>
      </c>
      <c r="G24" s="50" t="str">
        <f t="shared" ca="1" si="12"/>
        <v/>
      </c>
      <c r="H24" s="50" t="str">
        <f t="shared" ca="1" si="12"/>
        <v/>
      </c>
      <c r="I24" s="73" t="str">
        <f t="shared" ca="1" si="6"/>
        <v/>
      </c>
      <c r="J24" s="53" t="str">
        <f ca="1">IFERROR(J19-J13,"")</f>
        <v/>
      </c>
      <c r="K24" s="50" t="str">
        <f ca="1">IFERROR(K19-K13,"")</f>
        <v/>
      </c>
      <c r="L24" s="50" t="str">
        <f ca="1">IFERROR(L19-L13,"")</f>
        <v/>
      </c>
      <c r="M24" s="73" t="str">
        <f t="shared" ca="1" si="7"/>
        <v/>
      </c>
      <c r="N24" s="53" t="str">
        <f ca="1">IFERROR(N19-N13,"")</f>
        <v/>
      </c>
      <c r="O24" s="50" t="str">
        <f ca="1">IFERROR(O19-O13,"")</f>
        <v/>
      </c>
      <c r="P24" s="50" t="str">
        <f ca="1">IFERROR(P19-P13,"")</f>
        <v/>
      </c>
      <c r="Q24" s="73" t="str">
        <f t="shared" ca="1" si="8"/>
        <v/>
      </c>
      <c r="R24" s="53" t="str">
        <f ca="1">IFERROR(R19-R13,"")</f>
        <v/>
      </c>
      <c r="S24" s="50" t="str">
        <f ca="1">IFERROR(S19-S13,"")</f>
        <v/>
      </c>
      <c r="T24" s="50" t="str">
        <f ca="1">IFERROR(T19-T13,"")</f>
        <v/>
      </c>
      <c r="U24" s="73" t="str">
        <f t="shared" ca="1" si="9"/>
        <v/>
      </c>
      <c r="V24" s="53" t="str">
        <f ca="1">IFERROR(V19-V13,"")</f>
        <v/>
      </c>
      <c r="W24" s="50" t="str">
        <f ca="1">IFERROR(W19-W13,"")</f>
        <v/>
      </c>
      <c r="X24" s="50" t="str">
        <f ca="1">IFERROR(X19-X13,"")</f>
        <v/>
      </c>
      <c r="Y24" s="73" t="str">
        <f t="shared" ca="1" si="10"/>
        <v/>
      </c>
      <c r="Z24" s="53" t="str">
        <f ca="1">IFERROR(Z19-Z13,"")</f>
        <v/>
      </c>
      <c r="AA24" s="50" t="str">
        <f ca="1">IFERROR(AA19-AA13,"")</f>
        <v/>
      </c>
      <c r="AB24" s="50" t="str">
        <f ca="1">IFERROR(AB19-AB13,"")</f>
        <v/>
      </c>
      <c r="AC24" s="73" t="str">
        <f t="shared" ca="1" si="11"/>
        <v/>
      </c>
    </row>
    <row r="25" spans="1:29" ht="30" customHeight="1" thickBot="1" x14ac:dyDescent="0.3">
      <c r="A25" s="372"/>
      <c r="B25" s="59" t="s">
        <v>228</v>
      </c>
      <c r="C25" s="54" t="str">
        <f t="shared" ref="C25:H25" ca="1" si="13">IFERROR(C22-C13,"")</f>
        <v/>
      </c>
      <c r="D25" s="55" t="str">
        <f t="shared" ca="1" si="13"/>
        <v/>
      </c>
      <c r="E25" s="72" t="str">
        <f t="shared" ca="1" si="13"/>
        <v/>
      </c>
      <c r="F25" s="54" t="str">
        <f t="shared" ca="1" si="13"/>
        <v/>
      </c>
      <c r="G25" s="55" t="str">
        <f t="shared" ca="1" si="13"/>
        <v/>
      </c>
      <c r="H25" s="55" t="str">
        <f t="shared" ca="1" si="13"/>
        <v/>
      </c>
      <c r="I25" s="74" t="str">
        <f t="shared" ca="1" si="6"/>
        <v/>
      </c>
      <c r="J25" s="54" t="str">
        <f ca="1">IFERROR(J22-J13,"")</f>
        <v/>
      </c>
      <c r="K25" s="55" t="str">
        <f ca="1">IFERROR(K22-K13,"")</f>
        <v/>
      </c>
      <c r="L25" s="55" t="str">
        <f ca="1">IFERROR(L22-L13,"")</f>
        <v/>
      </c>
      <c r="M25" s="74" t="str">
        <f t="shared" ca="1" si="7"/>
        <v/>
      </c>
      <c r="N25" s="54" t="str">
        <f ca="1">IFERROR(N22-N13,"")</f>
        <v/>
      </c>
      <c r="O25" s="55" t="str">
        <f ca="1">IFERROR(O22-O13,"")</f>
        <v/>
      </c>
      <c r="P25" s="55" t="str">
        <f ca="1">IFERROR(P22-P13,"")</f>
        <v/>
      </c>
      <c r="Q25" s="74" t="str">
        <f t="shared" ca="1" si="8"/>
        <v/>
      </c>
      <c r="R25" s="54" t="str">
        <f ca="1">IFERROR(R22-R13,"")</f>
        <v/>
      </c>
      <c r="S25" s="55" t="str">
        <f ca="1">IFERROR(S22-S13,"")</f>
        <v/>
      </c>
      <c r="T25" s="55" t="str">
        <f ca="1">IFERROR(T22-T13,"")</f>
        <v/>
      </c>
      <c r="U25" s="74" t="str">
        <f t="shared" ca="1" si="9"/>
        <v/>
      </c>
      <c r="V25" s="54" t="str">
        <f ca="1">IFERROR(V22-V13,"")</f>
        <v/>
      </c>
      <c r="W25" s="55" t="str">
        <f ca="1">IFERROR(W22-W13,"")</f>
        <v/>
      </c>
      <c r="X25" s="55" t="str">
        <f ca="1">IFERROR(X22-X13,"")</f>
        <v/>
      </c>
      <c r="Y25" s="74" t="str">
        <f t="shared" ca="1" si="10"/>
        <v/>
      </c>
      <c r="Z25" s="54" t="str">
        <f ca="1">IFERROR(Z22-Z13,"")</f>
        <v/>
      </c>
      <c r="AA25" s="55" t="str">
        <f ca="1">IFERROR(AA22-AA13,"")</f>
        <v/>
      </c>
      <c r="AB25" s="55" t="str">
        <f ca="1">IFERROR(AB22-AB13,"")</f>
        <v/>
      </c>
      <c r="AC25" s="74" t="str">
        <f t="shared" ca="1" si="11"/>
        <v/>
      </c>
    </row>
  </sheetData>
  <mergeCells count="17">
    <mergeCell ref="A23:A25"/>
    <mergeCell ref="A1:S1"/>
    <mergeCell ref="N3:P3"/>
    <mergeCell ref="Q3:S3"/>
    <mergeCell ref="A8:A10"/>
    <mergeCell ref="A11:A13"/>
    <mergeCell ref="A14:A16"/>
    <mergeCell ref="A17:A19"/>
    <mergeCell ref="A20:A22"/>
    <mergeCell ref="Z6:AC6"/>
    <mergeCell ref="B3:D3"/>
    <mergeCell ref="F6:I6"/>
    <mergeCell ref="J6:M6"/>
    <mergeCell ref="N6:Q6"/>
    <mergeCell ref="R6:U6"/>
    <mergeCell ref="V6:Y6"/>
    <mergeCell ref="C6:E6"/>
  </mergeCells>
  <conditionalFormatting sqref="C23:H25">
    <cfRule type="cellIs" priority="141" stopIfTrue="1" operator="equal">
      <formula>""</formula>
    </cfRule>
    <cfRule type="cellIs" dxfId="35" priority="142" operator="equal">
      <formula>0</formula>
    </cfRule>
    <cfRule type="cellIs" dxfId="34" priority="143" operator="lessThan">
      <formula>0</formula>
    </cfRule>
    <cfRule type="cellIs" dxfId="33" priority="144" operator="greaterThan">
      <formula>0</formula>
    </cfRule>
  </conditionalFormatting>
  <conditionalFormatting sqref="I8 I10:I11 I13:I14 I16:I17 I19:I20 I22:I25">
    <cfRule type="cellIs" dxfId="32" priority="78" operator="equal">
      <formula>0</formula>
    </cfRule>
    <cfRule type="cellIs" dxfId="31" priority="79" operator="lessThan">
      <formula>0</formula>
    </cfRule>
    <cfRule type="cellIs" dxfId="30" priority="80" operator="greaterThan">
      <formula>0</formula>
    </cfRule>
  </conditionalFormatting>
  <conditionalFormatting sqref="I8:I25 M8:M25 Q8:Q25 U8:U25 Y8:Y25 AC8:AC25">
    <cfRule type="cellIs" priority="1" stopIfTrue="1" operator="equal">
      <formula>""</formula>
    </cfRule>
  </conditionalFormatting>
  <conditionalFormatting sqref="J23:L25">
    <cfRule type="cellIs" priority="66" stopIfTrue="1" operator="equal">
      <formula>""</formula>
    </cfRule>
    <cfRule type="cellIs" dxfId="29" priority="67" operator="equal">
      <formula>0</formula>
    </cfRule>
    <cfRule type="cellIs" dxfId="28" priority="68" operator="lessThan">
      <formula>0</formula>
    </cfRule>
    <cfRule type="cellIs" dxfId="27" priority="69" operator="greaterThan">
      <formula>0</formula>
    </cfRule>
  </conditionalFormatting>
  <conditionalFormatting sqref="M8 M10:M11 M13:M14 M16:M17 M19:M20 M22:M25">
    <cfRule type="cellIs" dxfId="26" priority="63" operator="equal">
      <formula>0</formula>
    </cfRule>
    <cfRule type="cellIs" dxfId="25" priority="64" operator="lessThan">
      <formula>0</formula>
    </cfRule>
    <cfRule type="cellIs" dxfId="24" priority="65" operator="greaterThan">
      <formula>0</formula>
    </cfRule>
  </conditionalFormatting>
  <conditionalFormatting sqref="N23:P25">
    <cfRule type="cellIs" priority="51" stopIfTrue="1" operator="equal">
      <formula>""</formula>
    </cfRule>
    <cfRule type="cellIs" dxfId="23" priority="52" operator="equal">
      <formula>0</formula>
    </cfRule>
    <cfRule type="cellIs" dxfId="22" priority="53" operator="lessThan">
      <formula>0</formula>
    </cfRule>
    <cfRule type="cellIs" dxfId="21" priority="54" operator="greaterThan">
      <formula>0</formula>
    </cfRule>
  </conditionalFormatting>
  <conditionalFormatting sqref="Q8 Q10:Q11 Q13:Q14 Q16:Q17 Q19:Q20 Q22:Q25">
    <cfRule type="cellIs" dxfId="20" priority="48" operator="equal">
      <formula>0</formula>
    </cfRule>
    <cfRule type="cellIs" dxfId="19" priority="49" operator="lessThan">
      <formula>0</formula>
    </cfRule>
    <cfRule type="cellIs" dxfId="18" priority="50" operator="greaterThan">
      <formula>0</formula>
    </cfRule>
  </conditionalFormatting>
  <conditionalFormatting sqref="R23:T25">
    <cfRule type="cellIs" priority="36" stopIfTrue="1" operator="equal">
      <formula>""</formula>
    </cfRule>
    <cfRule type="cellIs" dxfId="17" priority="37" operator="equal">
      <formula>0</formula>
    </cfRule>
    <cfRule type="cellIs" dxfId="16" priority="38" operator="lessThan">
      <formula>0</formula>
    </cfRule>
    <cfRule type="cellIs" dxfId="15" priority="39" operator="greaterThan">
      <formula>0</formula>
    </cfRule>
  </conditionalFormatting>
  <conditionalFormatting sqref="U8 U10:U11 U13:U14 U16:U17 U19:U20 U22:U25">
    <cfRule type="cellIs" dxfId="14" priority="33" operator="equal">
      <formula>0</formula>
    </cfRule>
    <cfRule type="cellIs" dxfId="13" priority="34" operator="lessThan">
      <formula>0</formula>
    </cfRule>
    <cfRule type="cellIs" dxfId="12" priority="35" operator="greaterThan">
      <formula>0</formula>
    </cfRule>
  </conditionalFormatting>
  <conditionalFormatting sqref="V23:X25">
    <cfRule type="cellIs" priority="21" stopIfTrue="1" operator="equal">
      <formula>""</formula>
    </cfRule>
    <cfRule type="cellIs" dxfId="11" priority="22" operator="equal">
      <formula>0</formula>
    </cfRule>
    <cfRule type="cellIs" dxfId="10" priority="23" operator="lessThan">
      <formula>0</formula>
    </cfRule>
    <cfRule type="cellIs" dxfId="9" priority="24" operator="greaterThan">
      <formula>0</formula>
    </cfRule>
  </conditionalFormatting>
  <conditionalFormatting sqref="Y8 Y10:Y11 Y13:Y14 Y16:Y17 Y19:Y20 Y22:Y25">
    <cfRule type="cellIs" dxfId="8" priority="18" operator="equal">
      <formula>0</formula>
    </cfRule>
    <cfRule type="cellIs" dxfId="7" priority="19" operator="lessThan">
      <formula>0</formula>
    </cfRule>
    <cfRule type="cellIs" dxfId="6" priority="20" operator="greaterThan">
      <formula>0</formula>
    </cfRule>
  </conditionalFormatting>
  <conditionalFormatting sqref="Z23:AB25">
    <cfRule type="cellIs" priority="6" stopIfTrue="1" operator="equal">
      <formula>""</formula>
    </cfRule>
    <cfRule type="cellIs" dxfId="5" priority="7" operator="equal">
      <formula>0</formula>
    </cfRule>
    <cfRule type="cellIs" dxfId="4" priority="8" operator="lessThan">
      <formula>0</formula>
    </cfRule>
    <cfRule type="cellIs" dxfId="3" priority="9" operator="greaterThan">
      <formula>0</formula>
    </cfRule>
  </conditionalFormatting>
  <conditionalFormatting sqref="AC8 AC10:AC11 AC13:AC14 AC16:AC17 AC19:AC20 AC22:AC25">
    <cfRule type="cellIs" dxfId="2" priority="3" operator="equal">
      <formula>0</formula>
    </cfRule>
    <cfRule type="cellIs" dxfId="1" priority="4" operator="lessThan">
      <formula>0</formula>
    </cfRule>
    <cfRule type="cellIs" dxfId="0" priority="5" operator="greaterThan">
      <formula>0</formula>
    </cfRule>
  </conditionalFormatting>
  <pageMargins left="0.23622047244094491" right="0.23622047244094491" top="0.23622047244094491" bottom="0.23622047244094491" header="0" footer="0"/>
  <pageSetup paperSize="5" scale="51" fitToHeight="0"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r:uid="{2913D40D-83F1-47B9-A73B-0E57D3313AFE}">
          <x14:formula1>
            <xm:f>'Reading Report Logic'!$A$12:$A$28</xm:f>
          </x14:formula1>
          <xm:sqref>B3</xm:sqref>
        </x14:dataValidation>
        <x14:dataValidation type="list" allowBlank="1" showInputMessage="1" showErrorMessage="1" xr:uid="{8A2615DA-5E2E-4EF1-BDD9-9B25B5F78BBE}">
          <x14:formula1>
            <xm:f>'Reading Report Logic'!$D$2:$D$9</xm:f>
          </x14:formula1>
          <xm:sqref>B4</xm:sqref>
        </x14:dataValidation>
        <x14:dataValidation type="list" allowBlank="1" showInputMessage="1" showErrorMessage="1" xr:uid="{721D9F28-4C26-4A19-A197-D66F1D4F7A93}">
          <x14:formula1>
            <xm:f>'Reading Report Logic'!$A$2:$A$8</xm:f>
          </x14:formula1>
          <xm:sqref>C6:F6 J6 N6 R6 V6 Z6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E3FB3-2133-4B9A-89D1-00E8A031896C}">
  <sheetPr codeName="Sheet14"/>
  <dimension ref="A1:L35"/>
  <sheetViews>
    <sheetView topLeftCell="A2" workbookViewId="0">
      <selection activeCell="B9" sqref="B9"/>
    </sheetView>
  </sheetViews>
  <sheetFormatPr defaultRowHeight="15" x14ac:dyDescent="0.25"/>
  <cols>
    <col min="7" max="7" width="10.42578125" bestFit="1" customWidth="1"/>
  </cols>
  <sheetData>
    <row r="1" spans="1:12" x14ac:dyDescent="0.25">
      <c r="A1" s="13" t="s">
        <v>259</v>
      </c>
      <c r="B1" s="13"/>
      <c r="D1" s="108" t="s">
        <v>260</v>
      </c>
      <c r="E1" s="109"/>
      <c r="F1" s="110">
        <v>2.75</v>
      </c>
      <c r="G1" s="13" t="s">
        <v>261</v>
      </c>
      <c r="J1" s="373" t="s">
        <v>262</v>
      </c>
      <c r="K1" s="373"/>
    </row>
    <row r="2" spans="1:12" x14ac:dyDescent="0.25">
      <c r="A2" s="13" t="s">
        <v>263</v>
      </c>
      <c r="B2" s="13" t="s">
        <v>264</v>
      </c>
      <c r="J2" t="s">
        <v>177</v>
      </c>
      <c r="K2" t="s">
        <v>265</v>
      </c>
    </row>
    <row r="3" spans="1:12" x14ac:dyDescent="0.25">
      <c r="A3" s="13">
        <v>4</v>
      </c>
      <c r="B3" s="13">
        <v>4</v>
      </c>
      <c r="E3" s="111" t="s">
        <v>266</v>
      </c>
      <c r="F3" s="111">
        <v>2.75</v>
      </c>
      <c r="G3" s="13"/>
      <c r="J3" t="s">
        <v>194</v>
      </c>
      <c r="K3" t="s">
        <v>194</v>
      </c>
    </row>
    <row r="4" spans="1:12" x14ac:dyDescent="0.25">
      <c r="A4" s="13">
        <v>3</v>
      </c>
      <c r="B4" s="13">
        <v>3</v>
      </c>
      <c r="E4" s="112" t="s">
        <v>267</v>
      </c>
      <c r="F4" s="112">
        <v>2</v>
      </c>
      <c r="G4" s="13"/>
      <c r="J4" t="s">
        <v>230</v>
      </c>
      <c r="K4" t="s">
        <v>230</v>
      </c>
    </row>
    <row r="5" spans="1:12" x14ac:dyDescent="0.25">
      <c r="A5" s="13">
        <v>2</v>
      </c>
      <c r="B5" s="13">
        <v>2</v>
      </c>
      <c r="E5" s="113" t="s">
        <v>268</v>
      </c>
      <c r="F5" s="113">
        <v>2</v>
      </c>
      <c r="G5" s="113">
        <v>2.75</v>
      </c>
    </row>
    <row r="6" spans="1:12" x14ac:dyDescent="0.25">
      <c r="A6" s="13">
        <v>1</v>
      </c>
      <c r="B6" s="13">
        <v>1</v>
      </c>
    </row>
    <row r="7" spans="1:12" x14ac:dyDescent="0.25">
      <c r="A7" s="13" t="s">
        <v>171</v>
      </c>
      <c r="B7" s="13">
        <v>0</v>
      </c>
      <c r="E7" t="s">
        <v>177</v>
      </c>
      <c r="F7" t="s">
        <v>175</v>
      </c>
      <c r="G7" t="s">
        <v>269</v>
      </c>
      <c r="J7" t="s">
        <v>182</v>
      </c>
      <c r="K7" t="s">
        <v>270</v>
      </c>
    </row>
    <row r="8" spans="1:12" x14ac:dyDescent="0.25">
      <c r="A8" s="13" t="s">
        <v>167</v>
      </c>
      <c r="B8" s="13"/>
      <c r="E8" t="s">
        <v>194</v>
      </c>
      <c r="F8" t="s">
        <v>104</v>
      </c>
      <c r="G8" t="s">
        <v>324</v>
      </c>
      <c r="H8">
        <v>1</v>
      </c>
      <c r="J8" t="s">
        <v>183</v>
      </c>
      <c r="K8" t="s">
        <v>271</v>
      </c>
    </row>
    <row r="9" spans="1:12" x14ac:dyDescent="0.25">
      <c r="A9" s="13" t="s">
        <v>170</v>
      </c>
      <c r="B9" s="13"/>
      <c r="E9" t="s">
        <v>230</v>
      </c>
      <c r="F9">
        <v>1</v>
      </c>
      <c r="G9" t="s">
        <v>325</v>
      </c>
      <c r="H9">
        <v>2</v>
      </c>
      <c r="J9" t="s">
        <v>184</v>
      </c>
      <c r="K9" t="s">
        <v>184</v>
      </c>
    </row>
    <row r="10" spans="1:12" ht="16.5" customHeight="1" x14ac:dyDescent="0.25">
      <c r="A10" s="13" t="s">
        <v>168</v>
      </c>
      <c r="B10" s="13"/>
      <c r="F10">
        <v>2</v>
      </c>
      <c r="G10" t="s">
        <v>326</v>
      </c>
      <c r="H10">
        <v>3</v>
      </c>
      <c r="J10" t="s">
        <v>185</v>
      </c>
      <c r="K10" t="s">
        <v>272</v>
      </c>
    </row>
    <row r="11" spans="1:12" x14ac:dyDescent="0.25">
      <c r="F11">
        <v>3</v>
      </c>
      <c r="G11" t="s">
        <v>327</v>
      </c>
      <c r="H11">
        <v>4</v>
      </c>
      <c r="J11" t="s">
        <v>186</v>
      </c>
      <c r="K11" t="s">
        <v>273</v>
      </c>
    </row>
    <row r="12" spans="1:12" x14ac:dyDescent="0.25">
      <c r="A12" s="13" t="s">
        <v>193</v>
      </c>
      <c r="F12">
        <v>4</v>
      </c>
      <c r="G12" t="s">
        <v>328</v>
      </c>
      <c r="H12">
        <v>5</v>
      </c>
    </row>
    <row r="13" spans="1:12" x14ac:dyDescent="0.25">
      <c r="A13" s="13" t="s">
        <v>274</v>
      </c>
      <c r="F13">
        <v>5</v>
      </c>
      <c r="G13" t="s">
        <v>329</v>
      </c>
      <c r="H13">
        <v>6</v>
      </c>
      <c r="K13" t="s">
        <v>275</v>
      </c>
      <c r="L13" t="s">
        <v>276</v>
      </c>
    </row>
    <row r="14" spans="1:12" x14ac:dyDescent="0.25">
      <c r="A14" s="114" t="s">
        <v>277</v>
      </c>
      <c r="F14">
        <v>6</v>
      </c>
      <c r="H14">
        <v>7</v>
      </c>
      <c r="J14" t="s">
        <v>195</v>
      </c>
      <c r="K14" s="115" t="s">
        <v>278</v>
      </c>
      <c r="L14" s="115" t="s">
        <v>279</v>
      </c>
    </row>
    <row r="15" spans="1:12" x14ac:dyDescent="0.25">
      <c r="A15" s="114" t="s">
        <v>280</v>
      </c>
      <c r="F15">
        <v>7</v>
      </c>
      <c r="J15" t="s">
        <v>281</v>
      </c>
      <c r="K15" t="s">
        <v>282</v>
      </c>
      <c r="L15" t="s">
        <v>283</v>
      </c>
    </row>
    <row r="16" spans="1:12" x14ac:dyDescent="0.25">
      <c r="A16" s="114" t="s">
        <v>284</v>
      </c>
      <c r="F16">
        <v>8</v>
      </c>
      <c r="J16" t="s">
        <v>285</v>
      </c>
      <c r="K16" t="s">
        <v>103</v>
      </c>
      <c r="L16" t="s">
        <v>283</v>
      </c>
    </row>
    <row r="17" spans="1:12" x14ac:dyDescent="0.25">
      <c r="A17" s="114" t="s">
        <v>286</v>
      </c>
      <c r="F17">
        <v>9</v>
      </c>
      <c r="J17" t="s">
        <v>202</v>
      </c>
      <c r="K17" t="s">
        <v>282</v>
      </c>
      <c r="L17">
        <v>1</v>
      </c>
    </row>
    <row r="18" spans="1:12" x14ac:dyDescent="0.25">
      <c r="A18" s="13" t="s">
        <v>287</v>
      </c>
      <c r="F18">
        <v>10</v>
      </c>
      <c r="J18" t="s">
        <v>288</v>
      </c>
      <c r="K18" t="s">
        <v>103</v>
      </c>
      <c r="L18">
        <v>1</v>
      </c>
    </row>
    <row r="19" spans="1:12" x14ac:dyDescent="0.25">
      <c r="A19" s="13" t="s">
        <v>289</v>
      </c>
      <c r="F19">
        <v>11</v>
      </c>
    </row>
    <row r="20" spans="1:12" x14ac:dyDescent="0.25">
      <c r="A20" s="114" t="s">
        <v>289</v>
      </c>
      <c r="F20">
        <v>12</v>
      </c>
    </row>
    <row r="21" spans="1:12" x14ac:dyDescent="0.25">
      <c r="A21" s="114" t="s">
        <v>290</v>
      </c>
      <c r="F21">
        <v>13</v>
      </c>
    </row>
    <row r="22" spans="1:12" x14ac:dyDescent="0.25">
      <c r="A22" s="114" t="s">
        <v>291</v>
      </c>
    </row>
    <row r="23" spans="1:12" x14ac:dyDescent="0.25">
      <c r="A23" s="114" t="s">
        <v>292</v>
      </c>
    </row>
    <row r="24" spans="1:12" x14ac:dyDescent="0.25">
      <c r="A24" s="13" t="s">
        <v>293</v>
      </c>
    </row>
    <row r="25" spans="1:12" x14ac:dyDescent="0.25">
      <c r="A25" s="114" t="s">
        <v>294</v>
      </c>
      <c r="G25" s="284" t="s">
        <v>295</v>
      </c>
      <c r="H25" s="284"/>
    </row>
    <row r="26" spans="1:12" x14ac:dyDescent="0.25">
      <c r="A26" s="13" t="s">
        <v>296</v>
      </c>
      <c r="E26" t="s">
        <v>103</v>
      </c>
      <c r="G26" s="109" t="s">
        <v>104</v>
      </c>
      <c r="H26" s="109" t="s">
        <v>297</v>
      </c>
      <c r="J26" t="s">
        <v>298</v>
      </c>
      <c r="K26">
        <v>2</v>
      </c>
    </row>
    <row r="27" spans="1:12" x14ac:dyDescent="0.25">
      <c r="A27" s="114" t="s">
        <v>299</v>
      </c>
      <c r="E27" t="s">
        <v>91</v>
      </c>
      <c r="G27" s="109">
        <v>1</v>
      </c>
      <c r="H27" s="109" t="s">
        <v>104</v>
      </c>
      <c r="J27" t="s">
        <v>37</v>
      </c>
      <c r="K27">
        <v>3</v>
      </c>
    </row>
    <row r="28" spans="1:12" x14ac:dyDescent="0.25">
      <c r="A28" s="114" t="s">
        <v>300</v>
      </c>
      <c r="G28" s="109">
        <v>2</v>
      </c>
      <c r="H28" s="109">
        <v>1</v>
      </c>
      <c r="J28" t="s">
        <v>38</v>
      </c>
      <c r="K28">
        <v>4</v>
      </c>
    </row>
    <row r="29" spans="1:12" x14ac:dyDescent="0.25">
      <c r="A29" s="114" t="s">
        <v>301</v>
      </c>
      <c r="G29" s="109">
        <v>3</v>
      </c>
      <c r="H29" s="109">
        <v>2</v>
      </c>
      <c r="J29" t="s">
        <v>302</v>
      </c>
      <c r="K29">
        <v>5</v>
      </c>
    </row>
    <row r="30" spans="1:12" x14ac:dyDescent="0.25">
      <c r="A30" s="114" t="s">
        <v>303</v>
      </c>
      <c r="G30" s="109">
        <v>4</v>
      </c>
      <c r="H30" s="109">
        <v>3</v>
      </c>
      <c r="J30" t="s">
        <v>39</v>
      </c>
      <c r="K30">
        <v>6</v>
      </c>
    </row>
    <row r="31" spans="1:12" x14ac:dyDescent="0.25">
      <c r="A31" s="13" t="s">
        <v>304</v>
      </c>
      <c r="G31" s="109">
        <v>5</v>
      </c>
      <c r="H31" s="109">
        <v>4</v>
      </c>
      <c r="J31" t="s">
        <v>40</v>
      </c>
      <c r="K31">
        <v>7</v>
      </c>
    </row>
    <row r="32" spans="1:12" x14ac:dyDescent="0.25">
      <c r="A32" s="13" t="s">
        <v>305</v>
      </c>
      <c r="G32" s="109">
        <v>6</v>
      </c>
      <c r="H32" s="109">
        <v>5</v>
      </c>
      <c r="J32" t="s">
        <v>131</v>
      </c>
      <c r="K32">
        <v>8</v>
      </c>
    </row>
    <row r="33" spans="1:11" x14ac:dyDescent="0.25">
      <c r="A33" s="114" t="s">
        <v>306</v>
      </c>
      <c r="J33" t="s">
        <v>41</v>
      </c>
      <c r="K33">
        <v>9</v>
      </c>
    </row>
    <row r="34" spans="1:11" x14ac:dyDescent="0.25">
      <c r="A34" s="114" t="s">
        <v>307</v>
      </c>
      <c r="J34" t="s">
        <v>42</v>
      </c>
      <c r="K34">
        <v>10</v>
      </c>
    </row>
    <row r="35" spans="1:11" x14ac:dyDescent="0.25">
      <c r="A35" s="114" t="s">
        <v>90</v>
      </c>
      <c r="J35" t="s">
        <v>43</v>
      </c>
      <c r="K35">
        <v>11</v>
      </c>
    </row>
  </sheetData>
  <mergeCells count="2">
    <mergeCell ref="J1:K1"/>
    <mergeCell ref="G25:H25"/>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71F13-FFD4-47EC-B528-CFCA6F1DDA4F}">
  <sheetPr codeName="Sheet15"/>
  <dimension ref="A1:R48"/>
  <sheetViews>
    <sheetView workbookViewId="0">
      <selection activeCell="B9" sqref="B9"/>
    </sheetView>
  </sheetViews>
  <sheetFormatPr defaultRowHeight="15" x14ac:dyDescent="0.25"/>
  <cols>
    <col min="16" max="16" width="13.140625" bestFit="1" customWidth="1"/>
    <col min="17" max="17" width="13.42578125" bestFit="1" customWidth="1"/>
  </cols>
  <sheetData>
    <row r="1" spans="1:18" x14ac:dyDescent="0.25">
      <c r="A1" s="373" t="s">
        <v>308</v>
      </c>
      <c r="B1" s="373"/>
      <c r="C1" s="373"/>
      <c r="D1" s="373"/>
      <c r="E1" s="373"/>
      <c r="F1" s="373"/>
      <c r="G1" s="373"/>
      <c r="H1" s="373"/>
      <c r="I1" s="373"/>
      <c r="J1" s="373"/>
      <c r="K1" s="373"/>
    </row>
    <row r="2" spans="1:18" x14ac:dyDescent="0.25">
      <c r="A2" t="s">
        <v>53</v>
      </c>
      <c r="B2" t="s">
        <v>309</v>
      </c>
      <c r="C2" t="s">
        <v>310</v>
      </c>
      <c r="D2" t="s">
        <v>311</v>
      </c>
      <c r="E2" t="s">
        <v>312</v>
      </c>
      <c r="F2" t="s">
        <v>313</v>
      </c>
      <c r="G2" t="s">
        <v>314</v>
      </c>
      <c r="H2" t="s">
        <v>131</v>
      </c>
      <c r="I2" t="s">
        <v>315</v>
      </c>
      <c r="J2" t="s">
        <v>42</v>
      </c>
      <c r="K2" t="s">
        <v>316</v>
      </c>
      <c r="O2" s="373" t="s">
        <v>314</v>
      </c>
      <c r="P2" s="373"/>
      <c r="Q2" s="373"/>
      <c r="R2" s="373"/>
    </row>
    <row r="3" spans="1:18" x14ac:dyDescent="0.25">
      <c r="A3" t="s">
        <v>104</v>
      </c>
      <c r="B3" t="s">
        <v>109</v>
      </c>
      <c r="C3" t="s">
        <v>109</v>
      </c>
      <c r="D3" t="s">
        <v>109</v>
      </c>
      <c r="E3" t="s">
        <v>106</v>
      </c>
      <c r="F3" t="s">
        <v>106</v>
      </c>
      <c r="G3" t="s">
        <v>106</v>
      </c>
      <c r="H3" t="s">
        <v>99</v>
      </c>
      <c r="I3" t="s">
        <v>102</v>
      </c>
      <c r="J3" t="s">
        <v>102</v>
      </c>
      <c r="K3" t="s">
        <v>102</v>
      </c>
      <c r="N3" t="s">
        <v>53</v>
      </c>
      <c r="O3" t="s">
        <v>317</v>
      </c>
      <c r="P3" t="s">
        <v>308</v>
      </c>
      <c r="Q3" t="s">
        <v>318</v>
      </c>
      <c r="R3" t="s">
        <v>319</v>
      </c>
    </row>
    <row r="4" spans="1:18" x14ac:dyDescent="0.25">
      <c r="A4">
        <v>1</v>
      </c>
      <c r="B4" t="s">
        <v>102</v>
      </c>
      <c r="C4" t="s">
        <v>95</v>
      </c>
      <c r="D4" t="s">
        <v>95</v>
      </c>
      <c r="E4" t="s">
        <v>92</v>
      </c>
      <c r="F4" t="s">
        <v>92</v>
      </c>
      <c r="G4" t="s">
        <v>100</v>
      </c>
      <c r="H4" t="s">
        <v>96</v>
      </c>
      <c r="I4" t="s">
        <v>96</v>
      </c>
      <c r="J4" t="s">
        <v>101</v>
      </c>
      <c r="K4" t="s">
        <v>97</v>
      </c>
      <c r="N4">
        <v>4</v>
      </c>
      <c r="P4" t="str">
        <f>VLOOKUP(N4,$A$3:$K$9,7,FALSE)</f>
        <v>Q</v>
      </c>
      <c r="Q4" t="str">
        <f>VLOOKUP(N4,$A$13:$K$19,7,FALSE)</f>
        <v>R</v>
      </c>
      <c r="R4" t="e">
        <f>(VLOOKUP(O4,$A$22:$B$47,2,FALSE))-(IF(VLOOKUP(O4,$A$22:$B$47,2,FALSE)&lt;=VLOOKUP(P4,$A$22:$B$47,2,FALSE),VLOOKUP(P4,$A$22:$B$47,2,FALSE),IF(VLOOKUP(O4,$A$22:$B$47,2,FALSE)&gt;=VLOOKUP(Q4,$A$22:$B$47,2,FALSE),VLOOKUP(Q4,$A$22:$B$47,2,FALSE),"No Score")))</f>
        <v>#N/A</v>
      </c>
    </row>
    <row r="5" spans="1:18" x14ac:dyDescent="0.25">
      <c r="A5">
        <v>2</v>
      </c>
      <c r="B5" t="s">
        <v>97</v>
      </c>
      <c r="C5" t="s">
        <v>97</v>
      </c>
      <c r="D5" t="s">
        <v>98</v>
      </c>
      <c r="E5" t="s">
        <v>98</v>
      </c>
      <c r="F5" t="s">
        <v>98</v>
      </c>
      <c r="G5" t="s">
        <v>108</v>
      </c>
      <c r="H5" t="s">
        <v>108</v>
      </c>
      <c r="I5" t="s">
        <v>110</v>
      </c>
      <c r="J5" t="s">
        <v>110</v>
      </c>
      <c r="K5" t="s">
        <v>110</v>
      </c>
    </row>
    <row r="6" spans="1:18" x14ac:dyDescent="0.25">
      <c r="A6">
        <v>3</v>
      </c>
      <c r="B6" t="s">
        <v>110</v>
      </c>
      <c r="C6" t="s">
        <v>110</v>
      </c>
      <c r="D6" t="s">
        <v>93</v>
      </c>
      <c r="E6" t="s">
        <v>93</v>
      </c>
      <c r="F6" t="s">
        <v>94</v>
      </c>
      <c r="G6" t="s">
        <v>112</v>
      </c>
      <c r="H6" t="s">
        <v>112</v>
      </c>
      <c r="I6" t="s">
        <v>112</v>
      </c>
      <c r="J6" t="s">
        <v>104</v>
      </c>
      <c r="K6" t="s">
        <v>104</v>
      </c>
    </row>
    <row r="7" spans="1:18" x14ac:dyDescent="0.25">
      <c r="A7">
        <v>4</v>
      </c>
      <c r="B7" t="s">
        <v>104</v>
      </c>
      <c r="C7" t="s">
        <v>104</v>
      </c>
      <c r="D7" t="s">
        <v>104</v>
      </c>
      <c r="E7" t="s">
        <v>111</v>
      </c>
      <c r="F7" t="s">
        <v>111</v>
      </c>
      <c r="G7" t="s">
        <v>111</v>
      </c>
      <c r="H7" t="s">
        <v>105</v>
      </c>
      <c r="I7" t="s">
        <v>105</v>
      </c>
      <c r="J7" t="s">
        <v>105</v>
      </c>
      <c r="K7" t="s">
        <v>113</v>
      </c>
    </row>
    <row r="8" spans="1:18" x14ac:dyDescent="0.25">
      <c r="A8">
        <v>5</v>
      </c>
      <c r="B8" t="s">
        <v>113</v>
      </c>
      <c r="C8" t="s">
        <v>113</v>
      </c>
      <c r="D8" t="s">
        <v>113</v>
      </c>
      <c r="E8" t="s">
        <v>114</v>
      </c>
      <c r="F8" t="s">
        <v>114</v>
      </c>
      <c r="G8" t="s">
        <v>114</v>
      </c>
      <c r="H8" t="s">
        <v>115</v>
      </c>
      <c r="I8" t="s">
        <v>115</v>
      </c>
      <c r="J8" t="s">
        <v>115</v>
      </c>
      <c r="K8" t="s">
        <v>116</v>
      </c>
    </row>
    <row r="9" spans="1:18" x14ac:dyDescent="0.25">
      <c r="A9">
        <v>6</v>
      </c>
      <c r="B9" t="s">
        <v>116</v>
      </c>
      <c r="C9" t="s">
        <v>116</v>
      </c>
      <c r="D9" t="s">
        <v>117</v>
      </c>
      <c r="E9" t="s">
        <v>117</v>
      </c>
      <c r="F9" t="s">
        <v>117</v>
      </c>
      <c r="G9" t="s">
        <v>118</v>
      </c>
      <c r="H9" t="s">
        <v>118</v>
      </c>
      <c r="I9" t="s">
        <v>107</v>
      </c>
      <c r="J9" t="s">
        <v>107</v>
      </c>
      <c r="K9" t="s">
        <v>119</v>
      </c>
    </row>
    <row r="11" spans="1:18" x14ac:dyDescent="0.25">
      <c r="A11" s="373" t="s">
        <v>318</v>
      </c>
      <c r="B11" s="373"/>
      <c r="C11" s="373"/>
      <c r="D11" s="373"/>
      <c r="E11" s="373"/>
      <c r="F11" s="373"/>
      <c r="G11" s="373"/>
      <c r="H11" s="373"/>
      <c r="I11" s="373"/>
      <c r="J11" s="373"/>
      <c r="K11" s="373"/>
    </row>
    <row r="12" spans="1:18" x14ac:dyDescent="0.25">
      <c r="A12" t="s">
        <v>53</v>
      </c>
      <c r="B12" t="s">
        <v>309</v>
      </c>
      <c r="C12" t="s">
        <v>310</v>
      </c>
      <c r="D12" t="s">
        <v>311</v>
      </c>
      <c r="E12" t="s">
        <v>312</v>
      </c>
      <c r="F12" t="s">
        <v>313</v>
      </c>
      <c r="G12" t="s">
        <v>314</v>
      </c>
      <c r="H12" t="s">
        <v>131</v>
      </c>
      <c r="I12" t="s">
        <v>315</v>
      </c>
      <c r="J12" t="s">
        <v>42</v>
      </c>
      <c r="K12" t="s">
        <v>316</v>
      </c>
    </row>
    <row r="13" spans="1:18" x14ac:dyDescent="0.25">
      <c r="A13" t="s">
        <v>104</v>
      </c>
      <c r="B13" t="s">
        <v>109</v>
      </c>
      <c r="C13" t="s">
        <v>109</v>
      </c>
      <c r="D13" t="s">
        <v>106</v>
      </c>
      <c r="E13" t="s">
        <v>106</v>
      </c>
      <c r="F13" t="s">
        <v>106</v>
      </c>
      <c r="G13" t="s">
        <v>99</v>
      </c>
      <c r="H13" t="s">
        <v>99</v>
      </c>
      <c r="I13" t="s">
        <v>102</v>
      </c>
      <c r="J13" t="s">
        <v>102</v>
      </c>
      <c r="K13" t="s">
        <v>95</v>
      </c>
    </row>
    <row r="14" spans="1:18" x14ac:dyDescent="0.25">
      <c r="A14">
        <v>1</v>
      </c>
      <c r="B14" t="s">
        <v>95</v>
      </c>
      <c r="C14" t="s">
        <v>95</v>
      </c>
      <c r="D14" t="s">
        <v>92</v>
      </c>
      <c r="E14" t="s">
        <v>92</v>
      </c>
      <c r="F14" t="s">
        <v>100</v>
      </c>
      <c r="G14" t="s">
        <v>100</v>
      </c>
      <c r="H14" t="s">
        <v>96</v>
      </c>
      <c r="I14" t="s">
        <v>96</v>
      </c>
      <c r="J14" t="s">
        <v>101</v>
      </c>
      <c r="K14" t="s">
        <v>97</v>
      </c>
    </row>
    <row r="15" spans="1:18" x14ac:dyDescent="0.25">
      <c r="A15">
        <v>2</v>
      </c>
      <c r="B15" t="s">
        <v>97</v>
      </c>
      <c r="C15" t="s">
        <v>97</v>
      </c>
      <c r="D15" t="s">
        <v>98</v>
      </c>
      <c r="E15" t="s">
        <v>98</v>
      </c>
      <c r="F15" t="s">
        <v>98</v>
      </c>
      <c r="G15" t="s">
        <v>108</v>
      </c>
      <c r="H15" t="s">
        <v>108</v>
      </c>
      <c r="I15" t="s">
        <v>110</v>
      </c>
      <c r="J15" t="s">
        <v>110</v>
      </c>
      <c r="K15" t="s">
        <v>110</v>
      </c>
    </row>
    <row r="16" spans="1:18" x14ac:dyDescent="0.25">
      <c r="A16">
        <v>3</v>
      </c>
      <c r="B16" t="s">
        <v>110</v>
      </c>
      <c r="C16" t="s">
        <v>110</v>
      </c>
      <c r="D16" t="s">
        <v>93</v>
      </c>
      <c r="E16" t="s">
        <v>93</v>
      </c>
      <c r="F16" t="s">
        <v>94</v>
      </c>
      <c r="G16" t="s">
        <v>112</v>
      </c>
      <c r="H16" t="s">
        <v>112</v>
      </c>
      <c r="I16" t="s">
        <v>104</v>
      </c>
      <c r="J16" t="s">
        <v>104</v>
      </c>
      <c r="K16" t="s">
        <v>104</v>
      </c>
    </row>
    <row r="17" spans="1:11" x14ac:dyDescent="0.25">
      <c r="A17">
        <v>4</v>
      </c>
      <c r="B17" t="s">
        <v>104</v>
      </c>
      <c r="C17" t="s">
        <v>104</v>
      </c>
      <c r="D17" t="s">
        <v>104</v>
      </c>
      <c r="E17" t="s">
        <v>111</v>
      </c>
      <c r="F17" t="s">
        <v>111</v>
      </c>
      <c r="G17" t="s">
        <v>105</v>
      </c>
      <c r="H17" t="s">
        <v>105</v>
      </c>
      <c r="I17" t="s">
        <v>105</v>
      </c>
      <c r="J17" t="s">
        <v>113</v>
      </c>
      <c r="K17" t="s">
        <v>113</v>
      </c>
    </row>
    <row r="18" spans="1:11" x14ac:dyDescent="0.25">
      <c r="A18">
        <v>5</v>
      </c>
      <c r="B18" t="s">
        <v>113</v>
      </c>
      <c r="C18" t="s">
        <v>113</v>
      </c>
      <c r="D18" t="s">
        <v>114</v>
      </c>
      <c r="E18" t="s">
        <v>114</v>
      </c>
      <c r="F18" t="s">
        <v>114</v>
      </c>
      <c r="G18" t="s">
        <v>115</v>
      </c>
      <c r="H18" t="s">
        <v>115</v>
      </c>
      <c r="I18" t="s">
        <v>115</v>
      </c>
      <c r="J18" t="s">
        <v>116</v>
      </c>
      <c r="K18" t="s">
        <v>116</v>
      </c>
    </row>
    <row r="19" spans="1:11" x14ac:dyDescent="0.25">
      <c r="A19">
        <v>6</v>
      </c>
      <c r="B19" t="s">
        <v>116</v>
      </c>
      <c r="C19" t="s">
        <v>117</v>
      </c>
      <c r="D19" t="s">
        <v>117</v>
      </c>
      <c r="E19" t="s">
        <v>117</v>
      </c>
      <c r="F19" t="s">
        <v>117</v>
      </c>
      <c r="G19" t="s">
        <v>118</v>
      </c>
      <c r="H19" t="s">
        <v>107</v>
      </c>
      <c r="I19" t="s">
        <v>107</v>
      </c>
      <c r="J19" t="s">
        <v>119</v>
      </c>
      <c r="K19" t="s">
        <v>119</v>
      </c>
    </row>
    <row r="22" spans="1:11" x14ac:dyDescent="0.25">
      <c r="A22" t="s">
        <v>109</v>
      </c>
      <c r="B22">
        <v>1</v>
      </c>
      <c r="E22" t="s">
        <v>103</v>
      </c>
      <c r="G22" t="s">
        <v>104</v>
      </c>
      <c r="H22" t="s">
        <v>297</v>
      </c>
      <c r="J22" t="s">
        <v>298</v>
      </c>
      <c r="K22">
        <v>2</v>
      </c>
    </row>
    <row r="23" spans="1:11" x14ac:dyDescent="0.25">
      <c r="A23" t="s">
        <v>106</v>
      </c>
      <c r="B23">
        <v>2</v>
      </c>
      <c r="E23" t="s">
        <v>91</v>
      </c>
      <c r="G23">
        <v>1</v>
      </c>
      <c r="H23" t="s">
        <v>104</v>
      </c>
      <c r="J23" t="s">
        <v>37</v>
      </c>
      <c r="K23">
        <v>3</v>
      </c>
    </row>
    <row r="24" spans="1:11" x14ac:dyDescent="0.25">
      <c r="A24" t="s">
        <v>99</v>
      </c>
      <c r="B24">
        <v>3</v>
      </c>
      <c r="G24">
        <v>2</v>
      </c>
      <c r="H24">
        <v>1</v>
      </c>
      <c r="J24" t="s">
        <v>38</v>
      </c>
      <c r="K24">
        <v>4</v>
      </c>
    </row>
    <row r="25" spans="1:11" x14ac:dyDescent="0.25">
      <c r="A25" t="s">
        <v>102</v>
      </c>
      <c r="B25">
        <v>4</v>
      </c>
      <c r="G25">
        <v>3</v>
      </c>
      <c r="H25">
        <v>2</v>
      </c>
      <c r="J25" t="s">
        <v>302</v>
      </c>
      <c r="K25">
        <v>5</v>
      </c>
    </row>
    <row r="26" spans="1:11" x14ac:dyDescent="0.25">
      <c r="A26" t="s">
        <v>95</v>
      </c>
      <c r="B26">
        <v>5</v>
      </c>
      <c r="G26">
        <v>4</v>
      </c>
      <c r="H26">
        <v>3</v>
      </c>
      <c r="J26" t="s">
        <v>39</v>
      </c>
      <c r="K26">
        <v>6</v>
      </c>
    </row>
    <row r="27" spans="1:11" x14ac:dyDescent="0.25">
      <c r="A27" t="s">
        <v>92</v>
      </c>
      <c r="B27">
        <v>6</v>
      </c>
      <c r="G27">
        <v>5</v>
      </c>
      <c r="H27">
        <v>4</v>
      </c>
      <c r="J27" t="s">
        <v>40</v>
      </c>
      <c r="K27">
        <v>7</v>
      </c>
    </row>
    <row r="28" spans="1:11" x14ac:dyDescent="0.25">
      <c r="A28" t="s">
        <v>100</v>
      </c>
      <c r="B28">
        <v>7</v>
      </c>
      <c r="G28">
        <v>6</v>
      </c>
      <c r="H28">
        <v>5</v>
      </c>
      <c r="J28" t="s">
        <v>131</v>
      </c>
      <c r="K28">
        <v>8</v>
      </c>
    </row>
    <row r="29" spans="1:11" x14ac:dyDescent="0.25">
      <c r="A29" t="s">
        <v>96</v>
      </c>
      <c r="B29">
        <v>8</v>
      </c>
      <c r="J29" t="s">
        <v>41</v>
      </c>
      <c r="K29">
        <v>9</v>
      </c>
    </row>
    <row r="30" spans="1:11" x14ac:dyDescent="0.25">
      <c r="A30" t="s">
        <v>101</v>
      </c>
      <c r="B30">
        <v>9</v>
      </c>
      <c r="J30" t="s">
        <v>42</v>
      </c>
      <c r="K30">
        <v>10</v>
      </c>
    </row>
    <row r="31" spans="1:11" x14ac:dyDescent="0.25">
      <c r="A31" t="s">
        <v>97</v>
      </c>
      <c r="B31">
        <v>10</v>
      </c>
      <c r="J31" t="s">
        <v>43</v>
      </c>
      <c r="K31">
        <v>11</v>
      </c>
    </row>
    <row r="32" spans="1:11" x14ac:dyDescent="0.25">
      <c r="A32" t="s">
        <v>98</v>
      </c>
      <c r="B32">
        <v>11</v>
      </c>
    </row>
    <row r="33" spans="1:2" x14ac:dyDescent="0.25">
      <c r="A33" t="s">
        <v>108</v>
      </c>
      <c r="B33">
        <v>12</v>
      </c>
    </row>
    <row r="34" spans="1:2" x14ac:dyDescent="0.25">
      <c r="A34" t="s">
        <v>110</v>
      </c>
      <c r="B34">
        <v>13</v>
      </c>
    </row>
    <row r="35" spans="1:2" x14ac:dyDescent="0.25">
      <c r="A35" t="s">
        <v>93</v>
      </c>
      <c r="B35">
        <v>14</v>
      </c>
    </row>
    <row r="36" spans="1:2" x14ac:dyDescent="0.25">
      <c r="A36" t="s">
        <v>94</v>
      </c>
      <c r="B36">
        <v>15</v>
      </c>
    </row>
    <row r="37" spans="1:2" x14ac:dyDescent="0.25">
      <c r="A37" t="s">
        <v>112</v>
      </c>
      <c r="B37">
        <v>16</v>
      </c>
    </row>
    <row r="38" spans="1:2" x14ac:dyDescent="0.25">
      <c r="A38" t="s">
        <v>104</v>
      </c>
      <c r="B38">
        <v>17</v>
      </c>
    </row>
    <row r="39" spans="1:2" x14ac:dyDescent="0.25">
      <c r="A39" t="s">
        <v>111</v>
      </c>
      <c r="B39">
        <v>18</v>
      </c>
    </row>
    <row r="40" spans="1:2" x14ac:dyDescent="0.25">
      <c r="A40" t="s">
        <v>105</v>
      </c>
      <c r="B40">
        <v>19</v>
      </c>
    </row>
    <row r="41" spans="1:2" x14ac:dyDescent="0.25">
      <c r="A41" t="s">
        <v>113</v>
      </c>
      <c r="B41">
        <v>20</v>
      </c>
    </row>
    <row r="42" spans="1:2" x14ac:dyDescent="0.25">
      <c r="A42" t="s">
        <v>114</v>
      </c>
      <c r="B42">
        <v>21</v>
      </c>
    </row>
    <row r="43" spans="1:2" x14ac:dyDescent="0.25">
      <c r="A43" t="s">
        <v>115</v>
      </c>
      <c r="B43">
        <v>22</v>
      </c>
    </row>
    <row r="44" spans="1:2" x14ac:dyDescent="0.25">
      <c r="A44" t="s">
        <v>116</v>
      </c>
      <c r="B44">
        <v>23</v>
      </c>
    </row>
    <row r="45" spans="1:2" x14ac:dyDescent="0.25">
      <c r="A45" t="s">
        <v>117</v>
      </c>
      <c r="B45">
        <v>24</v>
      </c>
    </row>
    <row r="46" spans="1:2" x14ac:dyDescent="0.25">
      <c r="A46" t="s">
        <v>118</v>
      </c>
      <c r="B46">
        <v>25</v>
      </c>
    </row>
    <row r="47" spans="1:2" x14ac:dyDescent="0.25">
      <c r="A47" t="s">
        <v>107</v>
      </c>
      <c r="B47">
        <v>26</v>
      </c>
    </row>
    <row r="48" spans="1:2" x14ac:dyDescent="0.25">
      <c r="A48" t="s">
        <v>119</v>
      </c>
      <c r="B48">
        <v>27</v>
      </c>
    </row>
  </sheetData>
  <mergeCells count="3">
    <mergeCell ref="A1:K1"/>
    <mergeCell ref="O2:R2"/>
    <mergeCell ref="A11:K11"/>
  </mergeCells>
  <dataValidations count="1">
    <dataValidation type="list" allowBlank="1" showInputMessage="1" showErrorMessage="1" sqref="N4" xr:uid="{121E3002-8E17-4D83-BAE6-E9A5B0025AF0}">
      <formula1>$A$3:$A$9</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3B742-43B5-42CF-BA6F-2B5C3505F55C}">
  <sheetPr codeName="Sheet16"/>
  <dimension ref="A1:R53"/>
  <sheetViews>
    <sheetView workbookViewId="0">
      <selection activeCell="B9" sqref="B9"/>
    </sheetView>
  </sheetViews>
  <sheetFormatPr defaultRowHeight="15" x14ac:dyDescent="0.25"/>
  <cols>
    <col min="16" max="16" width="13.140625" bestFit="1" customWidth="1"/>
    <col min="17" max="17" width="13.42578125" bestFit="1" customWidth="1"/>
  </cols>
  <sheetData>
    <row r="1" spans="1:18" x14ac:dyDescent="0.25">
      <c r="A1" s="374" t="s">
        <v>308</v>
      </c>
      <c r="B1" s="374"/>
      <c r="C1" s="374"/>
      <c r="D1" s="374"/>
      <c r="E1" s="374"/>
      <c r="F1" s="374"/>
      <c r="G1" s="374"/>
      <c r="H1" s="374"/>
      <c r="I1" s="374"/>
      <c r="J1" s="374"/>
      <c r="K1" s="374"/>
    </row>
    <row r="2" spans="1:18" x14ac:dyDescent="0.25">
      <c r="A2" s="90" t="s">
        <v>53</v>
      </c>
      <c r="B2" s="90" t="s">
        <v>309</v>
      </c>
      <c r="C2" s="90" t="s">
        <v>310</v>
      </c>
      <c r="D2" s="90" t="s">
        <v>311</v>
      </c>
      <c r="E2" s="90" t="s">
        <v>312</v>
      </c>
      <c r="F2" s="90" t="s">
        <v>313</v>
      </c>
      <c r="G2" s="90" t="s">
        <v>314</v>
      </c>
      <c r="H2" s="90" t="s">
        <v>131</v>
      </c>
      <c r="I2" s="90" t="s">
        <v>315</v>
      </c>
      <c r="J2" s="90" t="s">
        <v>42</v>
      </c>
      <c r="K2" s="90" t="s">
        <v>316</v>
      </c>
      <c r="O2" s="373" t="s">
        <v>314</v>
      </c>
      <c r="P2" s="373"/>
      <c r="Q2" s="373"/>
      <c r="R2" s="373"/>
    </row>
    <row r="3" spans="1:18" x14ac:dyDescent="0.25">
      <c r="A3" s="90" t="s">
        <v>104</v>
      </c>
      <c r="B3" s="90" t="s">
        <v>130</v>
      </c>
      <c r="C3" s="90" t="s">
        <v>130</v>
      </c>
      <c r="D3" s="90" t="s">
        <v>130</v>
      </c>
      <c r="E3" s="90">
        <v>1</v>
      </c>
      <c r="F3" s="90">
        <v>1</v>
      </c>
      <c r="G3" s="90">
        <v>1</v>
      </c>
      <c r="H3" s="90">
        <v>1</v>
      </c>
      <c r="I3" s="90">
        <v>1</v>
      </c>
      <c r="J3" s="90">
        <v>2</v>
      </c>
      <c r="K3" s="90">
        <v>3</v>
      </c>
      <c r="N3" t="s">
        <v>53</v>
      </c>
      <c r="O3" t="s">
        <v>317</v>
      </c>
      <c r="P3" t="s">
        <v>308</v>
      </c>
      <c r="Q3" t="s">
        <v>318</v>
      </c>
      <c r="R3" t="s">
        <v>319</v>
      </c>
    </row>
    <row r="4" spans="1:18" x14ac:dyDescent="0.25">
      <c r="A4" s="90">
        <v>1</v>
      </c>
      <c r="B4" s="90">
        <v>2</v>
      </c>
      <c r="C4" s="90">
        <v>3</v>
      </c>
      <c r="D4" s="90">
        <v>4</v>
      </c>
      <c r="E4" s="90">
        <v>5</v>
      </c>
      <c r="F4" s="90">
        <v>5</v>
      </c>
      <c r="G4" s="90">
        <v>6</v>
      </c>
      <c r="H4" s="90">
        <v>7</v>
      </c>
      <c r="I4" s="90">
        <v>7</v>
      </c>
      <c r="J4" s="90">
        <v>8</v>
      </c>
      <c r="K4" s="90">
        <v>9</v>
      </c>
      <c r="N4">
        <v>2</v>
      </c>
      <c r="O4">
        <v>13</v>
      </c>
      <c r="P4">
        <f>VLOOKUP(N4,$A$3:$K$9,7,FALSE)</f>
        <v>12</v>
      </c>
      <c r="Q4">
        <f>VLOOKUP(N4,$A$13:$K$19,7,FALSE)</f>
        <v>13</v>
      </c>
      <c r="R4">
        <f>(VLOOKUP(O4,$A$22:$B$47,2,FALSE))-(IF(VLOOKUP(O4,$A$22:$B$47,2,FALSE)&lt;=VLOOKUP(P4,$A$22:$B$47,2,FALSE),VLOOKUP(P4,$A$22:$B$47,2,FALSE),IF(VLOOKUP(O4,$A$22:$B$47,2,FALSE)&gt;=VLOOKUP(Q4,$A$22:$B$47,2,FALSE),VLOOKUP(Q4,$A$22:$B$47,2,FALSE),"No Score")))</f>
        <v>0</v>
      </c>
    </row>
    <row r="5" spans="1:18" x14ac:dyDescent="0.25">
      <c r="A5" s="90">
        <v>2</v>
      </c>
      <c r="B5" s="90">
        <v>8</v>
      </c>
      <c r="C5" s="90">
        <v>9</v>
      </c>
      <c r="D5" s="90">
        <v>10</v>
      </c>
      <c r="E5" s="90">
        <v>11</v>
      </c>
      <c r="F5" s="90">
        <v>12</v>
      </c>
      <c r="G5" s="90">
        <v>12</v>
      </c>
      <c r="H5" s="90">
        <v>13</v>
      </c>
      <c r="I5" s="90">
        <v>13</v>
      </c>
      <c r="J5" s="90">
        <v>14</v>
      </c>
      <c r="K5" s="90">
        <v>15</v>
      </c>
    </row>
    <row r="6" spans="1:18" x14ac:dyDescent="0.25">
      <c r="A6" s="90">
        <v>3</v>
      </c>
      <c r="B6" s="90">
        <v>14</v>
      </c>
      <c r="C6" s="90">
        <v>15</v>
      </c>
      <c r="D6" s="90">
        <v>16</v>
      </c>
      <c r="E6" s="90">
        <v>17</v>
      </c>
      <c r="F6" s="90">
        <v>17</v>
      </c>
      <c r="G6" s="90">
        <v>18</v>
      </c>
      <c r="H6" s="90">
        <v>19</v>
      </c>
      <c r="I6" s="90">
        <v>19</v>
      </c>
      <c r="J6" s="90">
        <v>20</v>
      </c>
      <c r="K6" s="90">
        <v>21</v>
      </c>
    </row>
    <row r="7" spans="1:18" x14ac:dyDescent="0.25">
      <c r="A7" s="90">
        <v>4</v>
      </c>
      <c r="B7" s="90">
        <v>20</v>
      </c>
      <c r="C7" s="90">
        <v>21</v>
      </c>
      <c r="D7" s="90">
        <v>22</v>
      </c>
      <c r="E7" s="90">
        <v>23</v>
      </c>
      <c r="F7" s="90">
        <v>23</v>
      </c>
      <c r="G7" s="90">
        <v>23</v>
      </c>
      <c r="H7" s="90">
        <v>24</v>
      </c>
      <c r="I7" s="90">
        <v>24</v>
      </c>
      <c r="J7" s="90">
        <v>24</v>
      </c>
      <c r="K7" s="90">
        <v>25</v>
      </c>
    </row>
    <row r="8" spans="1:18" x14ac:dyDescent="0.25">
      <c r="A8" s="90">
        <v>5</v>
      </c>
      <c r="B8" s="90">
        <v>24</v>
      </c>
      <c r="C8" s="90">
        <v>24</v>
      </c>
      <c r="D8" s="90">
        <v>25</v>
      </c>
      <c r="E8" s="90">
        <v>26</v>
      </c>
      <c r="F8" s="90">
        <v>26</v>
      </c>
      <c r="G8" s="90">
        <v>27</v>
      </c>
      <c r="H8" s="90">
        <v>28</v>
      </c>
      <c r="I8" s="90">
        <v>28</v>
      </c>
      <c r="J8" s="90">
        <v>28</v>
      </c>
      <c r="K8" s="90">
        <v>29</v>
      </c>
    </row>
    <row r="9" spans="1:18" x14ac:dyDescent="0.25">
      <c r="A9" s="90">
        <v>6</v>
      </c>
      <c r="B9" s="90">
        <v>29</v>
      </c>
      <c r="C9" s="90">
        <v>29</v>
      </c>
      <c r="D9" s="90">
        <v>30</v>
      </c>
      <c r="E9" s="90">
        <v>30</v>
      </c>
      <c r="F9" s="91">
        <v>30</v>
      </c>
      <c r="G9" s="91">
        <v>30</v>
      </c>
      <c r="H9" s="91">
        <v>30</v>
      </c>
      <c r="I9" s="91">
        <v>30</v>
      </c>
      <c r="J9" s="91">
        <v>30</v>
      </c>
      <c r="K9" s="91">
        <v>30</v>
      </c>
    </row>
    <row r="11" spans="1:18" x14ac:dyDescent="0.25">
      <c r="A11" s="374" t="s">
        <v>318</v>
      </c>
      <c r="B11" s="374"/>
      <c r="C11" s="374"/>
      <c r="D11" s="374"/>
      <c r="E11" s="374"/>
      <c r="F11" s="374"/>
      <c r="G11" s="374"/>
      <c r="H11" s="374"/>
      <c r="I11" s="374"/>
      <c r="J11" s="374"/>
      <c r="K11" s="374"/>
    </row>
    <row r="12" spans="1:18" x14ac:dyDescent="0.25">
      <c r="A12" s="90" t="s">
        <v>53</v>
      </c>
      <c r="B12" s="90" t="s">
        <v>309</v>
      </c>
      <c r="C12" s="90" t="s">
        <v>310</v>
      </c>
      <c r="D12" s="90" t="s">
        <v>311</v>
      </c>
      <c r="E12" s="90" t="s">
        <v>312</v>
      </c>
      <c r="F12" s="90" t="s">
        <v>313</v>
      </c>
      <c r="G12" s="90" t="s">
        <v>314</v>
      </c>
      <c r="H12" s="90" t="s">
        <v>131</v>
      </c>
      <c r="I12" s="90" t="s">
        <v>315</v>
      </c>
      <c r="J12" s="90" t="s">
        <v>42</v>
      </c>
      <c r="K12" s="90" t="s">
        <v>316</v>
      </c>
    </row>
    <row r="13" spans="1:18" x14ac:dyDescent="0.25">
      <c r="A13" s="90" t="s">
        <v>104</v>
      </c>
      <c r="B13" s="90" t="s">
        <v>130</v>
      </c>
      <c r="C13" s="90" t="s">
        <v>130</v>
      </c>
      <c r="D13" s="90" t="s">
        <v>130</v>
      </c>
      <c r="E13" s="90">
        <v>1</v>
      </c>
      <c r="F13" s="90">
        <v>1</v>
      </c>
      <c r="G13" s="90">
        <v>2</v>
      </c>
      <c r="H13" s="90">
        <v>2</v>
      </c>
      <c r="I13" s="90">
        <v>2</v>
      </c>
      <c r="J13" s="90">
        <v>3</v>
      </c>
      <c r="K13" s="90">
        <v>4</v>
      </c>
    </row>
    <row r="14" spans="1:18" x14ac:dyDescent="0.25">
      <c r="A14" s="90">
        <v>1</v>
      </c>
      <c r="B14" s="90">
        <v>3</v>
      </c>
      <c r="C14" s="90">
        <v>4</v>
      </c>
      <c r="D14" s="90">
        <v>5</v>
      </c>
      <c r="E14" s="90">
        <v>5</v>
      </c>
      <c r="F14" s="90">
        <v>6</v>
      </c>
      <c r="G14" s="90">
        <v>7</v>
      </c>
      <c r="H14" s="90">
        <v>8</v>
      </c>
      <c r="I14" s="90">
        <v>8</v>
      </c>
      <c r="J14" s="90">
        <v>9</v>
      </c>
      <c r="K14" s="90">
        <v>10</v>
      </c>
    </row>
    <row r="15" spans="1:18" x14ac:dyDescent="0.25">
      <c r="A15" s="90">
        <v>2</v>
      </c>
      <c r="B15" s="90">
        <v>9</v>
      </c>
      <c r="C15" s="90">
        <v>10</v>
      </c>
      <c r="D15" s="90">
        <v>11</v>
      </c>
      <c r="E15" s="90">
        <v>12</v>
      </c>
      <c r="F15" s="90">
        <v>13</v>
      </c>
      <c r="G15" s="90">
        <v>13</v>
      </c>
      <c r="H15" s="90">
        <v>14</v>
      </c>
      <c r="I15" s="90">
        <v>14</v>
      </c>
      <c r="J15" s="90">
        <v>15</v>
      </c>
      <c r="K15" s="90">
        <v>16</v>
      </c>
    </row>
    <row r="16" spans="1:18" x14ac:dyDescent="0.25">
      <c r="A16" s="90">
        <v>3</v>
      </c>
      <c r="B16" s="90">
        <v>15</v>
      </c>
      <c r="C16" s="90">
        <v>16</v>
      </c>
      <c r="D16" s="90">
        <v>17</v>
      </c>
      <c r="E16" s="90">
        <v>18</v>
      </c>
      <c r="F16" s="90">
        <v>18</v>
      </c>
      <c r="G16" s="90">
        <v>19</v>
      </c>
      <c r="H16" s="90">
        <v>20</v>
      </c>
      <c r="I16" s="90">
        <v>20</v>
      </c>
      <c r="J16" s="90">
        <v>21</v>
      </c>
      <c r="K16" s="90">
        <v>22</v>
      </c>
    </row>
    <row r="17" spans="1:11" x14ac:dyDescent="0.25">
      <c r="A17" s="90">
        <v>4</v>
      </c>
      <c r="B17" s="90">
        <v>21</v>
      </c>
      <c r="C17" s="90">
        <v>22</v>
      </c>
      <c r="D17" s="90">
        <v>23</v>
      </c>
      <c r="E17" s="90">
        <v>24</v>
      </c>
      <c r="F17" s="90">
        <v>24</v>
      </c>
      <c r="G17" s="90">
        <v>24</v>
      </c>
      <c r="H17" s="90">
        <v>25</v>
      </c>
      <c r="I17" s="90">
        <v>25</v>
      </c>
      <c r="J17" s="90">
        <v>25</v>
      </c>
      <c r="K17" s="90">
        <v>26</v>
      </c>
    </row>
    <row r="18" spans="1:11" x14ac:dyDescent="0.25">
      <c r="A18" s="90">
        <v>5</v>
      </c>
      <c r="B18" s="90">
        <v>25</v>
      </c>
      <c r="C18" s="90">
        <v>25</v>
      </c>
      <c r="D18" s="90">
        <v>26</v>
      </c>
      <c r="E18" s="90">
        <v>27</v>
      </c>
      <c r="F18" s="90">
        <v>27</v>
      </c>
      <c r="G18" s="90">
        <v>28</v>
      </c>
      <c r="H18" s="90">
        <v>29</v>
      </c>
      <c r="I18" s="90">
        <v>29</v>
      </c>
      <c r="J18" s="90">
        <v>29</v>
      </c>
      <c r="K18" s="90">
        <v>30</v>
      </c>
    </row>
    <row r="19" spans="1:11" x14ac:dyDescent="0.25">
      <c r="A19" s="90">
        <v>6</v>
      </c>
      <c r="B19" s="90">
        <v>30</v>
      </c>
      <c r="C19" s="90">
        <v>30</v>
      </c>
      <c r="D19" s="90" t="s">
        <v>320</v>
      </c>
      <c r="E19" s="90" t="s">
        <v>320</v>
      </c>
      <c r="F19" s="90" t="s">
        <v>320</v>
      </c>
      <c r="G19" s="90" t="s">
        <v>320</v>
      </c>
      <c r="H19" s="90" t="s">
        <v>320</v>
      </c>
      <c r="I19" s="90" t="s">
        <v>320</v>
      </c>
      <c r="J19" s="90" t="s">
        <v>320</v>
      </c>
      <c r="K19" s="90" t="s">
        <v>320</v>
      </c>
    </row>
    <row r="22" spans="1:11" x14ac:dyDescent="0.25">
      <c r="A22" t="s">
        <v>130</v>
      </c>
      <c r="B22">
        <v>1</v>
      </c>
      <c r="E22" t="s">
        <v>103</v>
      </c>
      <c r="G22" t="s">
        <v>104</v>
      </c>
      <c r="H22" t="s">
        <v>297</v>
      </c>
      <c r="J22" t="s">
        <v>298</v>
      </c>
      <c r="K22">
        <v>2</v>
      </c>
    </row>
    <row r="23" spans="1:11" x14ac:dyDescent="0.25">
      <c r="A23">
        <v>1</v>
      </c>
      <c r="B23">
        <v>2</v>
      </c>
      <c r="E23" t="s">
        <v>91</v>
      </c>
      <c r="G23">
        <v>1</v>
      </c>
      <c r="H23" t="s">
        <v>104</v>
      </c>
      <c r="J23" t="s">
        <v>37</v>
      </c>
      <c r="K23">
        <v>3</v>
      </c>
    </row>
    <row r="24" spans="1:11" x14ac:dyDescent="0.25">
      <c r="A24">
        <v>2</v>
      </c>
      <c r="B24">
        <v>3</v>
      </c>
      <c r="G24">
        <v>2</v>
      </c>
      <c r="H24">
        <v>1</v>
      </c>
      <c r="J24" t="s">
        <v>38</v>
      </c>
      <c r="K24">
        <v>4</v>
      </c>
    </row>
    <row r="25" spans="1:11" x14ac:dyDescent="0.25">
      <c r="A25">
        <v>3</v>
      </c>
      <c r="B25">
        <v>4</v>
      </c>
      <c r="G25">
        <v>3</v>
      </c>
      <c r="H25">
        <v>2</v>
      </c>
      <c r="J25" t="s">
        <v>302</v>
      </c>
      <c r="K25">
        <v>5</v>
      </c>
    </row>
    <row r="26" spans="1:11" x14ac:dyDescent="0.25">
      <c r="A26">
        <v>4</v>
      </c>
      <c r="B26">
        <v>5</v>
      </c>
      <c r="G26">
        <v>4</v>
      </c>
      <c r="H26">
        <v>3</v>
      </c>
      <c r="J26" t="s">
        <v>39</v>
      </c>
      <c r="K26">
        <v>6</v>
      </c>
    </row>
    <row r="27" spans="1:11" x14ac:dyDescent="0.25">
      <c r="A27">
        <v>5</v>
      </c>
      <c r="B27">
        <v>6</v>
      </c>
      <c r="G27">
        <v>5</v>
      </c>
      <c r="H27">
        <v>4</v>
      </c>
      <c r="J27" t="s">
        <v>40</v>
      </c>
      <c r="K27">
        <v>7</v>
      </c>
    </row>
    <row r="28" spans="1:11" x14ac:dyDescent="0.25">
      <c r="A28">
        <v>6</v>
      </c>
      <c r="B28">
        <v>7</v>
      </c>
      <c r="G28">
        <v>6</v>
      </c>
      <c r="H28">
        <v>5</v>
      </c>
      <c r="J28" t="s">
        <v>131</v>
      </c>
      <c r="K28">
        <v>8</v>
      </c>
    </row>
    <row r="29" spans="1:11" x14ac:dyDescent="0.25">
      <c r="A29">
        <v>7</v>
      </c>
      <c r="B29">
        <v>8</v>
      </c>
      <c r="J29" t="s">
        <v>41</v>
      </c>
      <c r="K29">
        <v>9</v>
      </c>
    </row>
    <row r="30" spans="1:11" x14ac:dyDescent="0.25">
      <c r="A30">
        <v>8</v>
      </c>
      <c r="B30">
        <v>9</v>
      </c>
      <c r="J30" t="s">
        <v>42</v>
      </c>
      <c r="K30">
        <v>10</v>
      </c>
    </row>
    <row r="31" spans="1:11" x14ac:dyDescent="0.25">
      <c r="A31">
        <v>9</v>
      </c>
      <c r="B31">
        <v>10</v>
      </c>
      <c r="J31" t="s">
        <v>43</v>
      </c>
      <c r="K31">
        <v>11</v>
      </c>
    </row>
    <row r="32" spans="1:11" x14ac:dyDescent="0.25">
      <c r="A32">
        <v>10</v>
      </c>
      <c r="B32">
        <v>11</v>
      </c>
    </row>
    <row r="33" spans="1:2" x14ac:dyDescent="0.25">
      <c r="A33">
        <v>11</v>
      </c>
      <c r="B33">
        <v>12</v>
      </c>
    </row>
    <row r="34" spans="1:2" x14ac:dyDescent="0.25">
      <c r="A34">
        <v>12</v>
      </c>
      <c r="B34">
        <v>13</v>
      </c>
    </row>
    <row r="35" spans="1:2" x14ac:dyDescent="0.25">
      <c r="A35">
        <v>13</v>
      </c>
      <c r="B35">
        <v>14</v>
      </c>
    </row>
    <row r="36" spans="1:2" x14ac:dyDescent="0.25">
      <c r="A36">
        <v>14</v>
      </c>
      <c r="B36">
        <v>15</v>
      </c>
    </row>
    <row r="37" spans="1:2" x14ac:dyDescent="0.25">
      <c r="A37">
        <v>15</v>
      </c>
      <c r="B37">
        <v>16</v>
      </c>
    </row>
    <row r="38" spans="1:2" x14ac:dyDescent="0.25">
      <c r="A38">
        <v>16</v>
      </c>
      <c r="B38">
        <v>17</v>
      </c>
    </row>
    <row r="39" spans="1:2" x14ac:dyDescent="0.25">
      <c r="A39">
        <v>17</v>
      </c>
      <c r="B39">
        <v>18</v>
      </c>
    </row>
    <row r="40" spans="1:2" x14ac:dyDescent="0.25">
      <c r="A40">
        <v>18</v>
      </c>
      <c r="B40">
        <v>19</v>
      </c>
    </row>
    <row r="41" spans="1:2" x14ac:dyDescent="0.25">
      <c r="A41">
        <v>19</v>
      </c>
      <c r="B41">
        <v>20</v>
      </c>
    </row>
    <row r="42" spans="1:2" x14ac:dyDescent="0.25">
      <c r="A42">
        <v>20</v>
      </c>
      <c r="B42">
        <v>21</v>
      </c>
    </row>
    <row r="43" spans="1:2" x14ac:dyDescent="0.25">
      <c r="A43">
        <v>21</v>
      </c>
      <c r="B43">
        <v>22</v>
      </c>
    </row>
    <row r="44" spans="1:2" x14ac:dyDescent="0.25">
      <c r="A44">
        <v>22</v>
      </c>
      <c r="B44">
        <v>23</v>
      </c>
    </row>
    <row r="45" spans="1:2" x14ac:dyDescent="0.25">
      <c r="A45">
        <v>23</v>
      </c>
      <c r="B45">
        <v>24</v>
      </c>
    </row>
    <row r="46" spans="1:2" x14ac:dyDescent="0.25">
      <c r="A46">
        <v>24</v>
      </c>
      <c r="B46">
        <v>25</v>
      </c>
    </row>
    <row r="47" spans="1:2" x14ac:dyDescent="0.25">
      <c r="A47">
        <v>25</v>
      </c>
      <c r="B47">
        <v>26</v>
      </c>
    </row>
    <row r="48" spans="1:2" x14ac:dyDescent="0.25">
      <c r="A48">
        <v>26</v>
      </c>
      <c r="B48">
        <v>27</v>
      </c>
    </row>
    <row r="49" spans="1:2" x14ac:dyDescent="0.25">
      <c r="A49">
        <v>27</v>
      </c>
      <c r="B49">
        <v>28</v>
      </c>
    </row>
    <row r="50" spans="1:2" x14ac:dyDescent="0.25">
      <c r="A50">
        <v>28</v>
      </c>
      <c r="B50">
        <v>29</v>
      </c>
    </row>
    <row r="51" spans="1:2" x14ac:dyDescent="0.25">
      <c r="A51">
        <v>29</v>
      </c>
      <c r="B51">
        <v>30</v>
      </c>
    </row>
    <row r="52" spans="1:2" x14ac:dyDescent="0.25">
      <c r="A52">
        <v>30</v>
      </c>
      <c r="B52">
        <v>31</v>
      </c>
    </row>
    <row r="53" spans="1:2" x14ac:dyDescent="0.25">
      <c r="A53" t="s">
        <v>320</v>
      </c>
      <c r="B53">
        <v>32</v>
      </c>
    </row>
  </sheetData>
  <mergeCells count="3">
    <mergeCell ref="A1:K1"/>
    <mergeCell ref="O2:R2"/>
    <mergeCell ref="A11:K11"/>
  </mergeCells>
  <dataValidations count="1">
    <dataValidation type="list" allowBlank="1" showInputMessage="1" showErrorMessage="1" sqref="N4" xr:uid="{CD34845D-09D0-402B-80F3-B499191DE2D9}">
      <formula1>$A$3:$A$9</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7BDD9-84BD-4AF7-946B-1BEBBC91ED25}">
  <sheetPr codeName="Sheet8"/>
  <dimension ref="A1:H28"/>
  <sheetViews>
    <sheetView workbookViewId="0">
      <selection activeCell="B9" sqref="B9"/>
    </sheetView>
  </sheetViews>
  <sheetFormatPr defaultRowHeight="15" x14ac:dyDescent="0.25"/>
  <cols>
    <col min="1" max="1" width="17.7109375" bestFit="1" customWidth="1"/>
  </cols>
  <sheetData>
    <row r="1" spans="1:8" x14ac:dyDescent="0.25">
      <c r="A1" s="373" t="s">
        <v>321</v>
      </c>
      <c r="B1" s="373"/>
      <c r="D1" s="373" t="s">
        <v>322</v>
      </c>
      <c r="E1" s="373"/>
      <c r="G1" s="373" t="s">
        <v>262</v>
      </c>
      <c r="H1" s="373"/>
    </row>
    <row r="2" spans="1:8" x14ac:dyDescent="0.25">
      <c r="A2" t="s">
        <v>330</v>
      </c>
      <c r="B2">
        <v>1</v>
      </c>
      <c r="D2" t="s">
        <v>175</v>
      </c>
      <c r="E2" t="s">
        <v>323</v>
      </c>
      <c r="G2" t="s">
        <v>177</v>
      </c>
      <c r="H2" t="s">
        <v>265</v>
      </c>
    </row>
    <row r="3" spans="1:8" x14ac:dyDescent="0.25">
      <c r="A3" t="s">
        <v>331</v>
      </c>
      <c r="B3">
        <v>2</v>
      </c>
      <c r="D3" t="s">
        <v>104</v>
      </c>
      <c r="E3" t="s">
        <v>104</v>
      </c>
      <c r="G3" t="s">
        <v>194</v>
      </c>
      <c r="H3" t="s">
        <v>194</v>
      </c>
    </row>
    <row r="4" spans="1:8" x14ac:dyDescent="0.25">
      <c r="A4" t="s">
        <v>332</v>
      </c>
      <c r="B4">
        <v>3</v>
      </c>
      <c r="D4">
        <v>1</v>
      </c>
      <c r="E4">
        <v>1</v>
      </c>
      <c r="G4" t="s">
        <v>230</v>
      </c>
      <c r="H4" t="s">
        <v>230</v>
      </c>
    </row>
    <row r="5" spans="1:8" x14ac:dyDescent="0.25">
      <c r="A5" t="s">
        <v>333</v>
      </c>
      <c r="B5">
        <v>4</v>
      </c>
      <c r="D5">
        <v>2</v>
      </c>
      <c r="E5">
        <v>2</v>
      </c>
    </row>
    <row r="6" spans="1:8" x14ac:dyDescent="0.25">
      <c r="A6" t="s">
        <v>334</v>
      </c>
      <c r="B6">
        <v>5</v>
      </c>
      <c r="D6">
        <v>3</v>
      </c>
      <c r="E6">
        <v>3</v>
      </c>
    </row>
    <row r="7" spans="1:8" x14ac:dyDescent="0.25">
      <c r="A7" t="s">
        <v>335</v>
      </c>
      <c r="B7">
        <v>6</v>
      </c>
      <c r="D7">
        <v>4</v>
      </c>
      <c r="E7">
        <v>4</v>
      </c>
    </row>
    <row r="8" spans="1:8" x14ac:dyDescent="0.25">
      <c r="B8">
        <v>7</v>
      </c>
      <c r="D8">
        <v>5</v>
      </c>
      <c r="E8">
        <v>5</v>
      </c>
    </row>
    <row r="9" spans="1:8" x14ac:dyDescent="0.25">
      <c r="D9">
        <v>6</v>
      </c>
      <c r="E9">
        <v>6</v>
      </c>
    </row>
    <row r="12" spans="1:8" x14ac:dyDescent="0.25">
      <c r="A12" t="s">
        <v>193</v>
      </c>
    </row>
    <row r="13" spans="1:8" x14ac:dyDescent="0.25">
      <c r="A13" t="s">
        <v>277</v>
      </c>
    </row>
    <row r="14" spans="1:8" x14ac:dyDescent="0.25">
      <c r="A14" t="s">
        <v>280</v>
      </c>
    </row>
    <row r="15" spans="1:8" x14ac:dyDescent="0.25">
      <c r="A15" t="s">
        <v>284</v>
      </c>
    </row>
    <row r="16" spans="1:8" x14ac:dyDescent="0.25">
      <c r="A16" t="s">
        <v>286</v>
      </c>
    </row>
    <row r="17" spans="1:1" x14ac:dyDescent="0.25">
      <c r="A17" t="s">
        <v>289</v>
      </c>
    </row>
    <row r="18" spans="1:1" x14ac:dyDescent="0.25">
      <c r="A18" t="s">
        <v>290</v>
      </c>
    </row>
    <row r="19" spans="1:1" x14ac:dyDescent="0.25">
      <c r="A19" t="s">
        <v>291</v>
      </c>
    </row>
    <row r="20" spans="1:1" x14ac:dyDescent="0.25">
      <c r="A20" t="s">
        <v>292</v>
      </c>
    </row>
    <row r="21" spans="1:1" x14ac:dyDescent="0.25">
      <c r="A21" t="s">
        <v>293</v>
      </c>
    </row>
    <row r="22" spans="1:1" x14ac:dyDescent="0.25">
      <c r="A22" t="s">
        <v>294</v>
      </c>
    </row>
    <row r="23" spans="1:1" x14ac:dyDescent="0.25">
      <c r="A23" t="s">
        <v>299</v>
      </c>
    </row>
    <row r="24" spans="1:1" x14ac:dyDescent="0.25">
      <c r="A24" t="s">
        <v>300</v>
      </c>
    </row>
    <row r="25" spans="1:1" x14ac:dyDescent="0.25">
      <c r="A25" t="s">
        <v>301</v>
      </c>
    </row>
    <row r="26" spans="1:1" x14ac:dyDescent="0.25">
      <c r="A26" t="s">
        <v>303</v>
      </c>
    </row>
    <row r="27" spans="1:1" x14ac:dyDescent="0.25">
      <c r="A27" t="s">
        <v>306</v>
      </c>
    </row>
    <row r="28" spans="1:1" x14ac:dyDescent="0.25">
      <c r="A28" t="s">
        <v>90</v>
      </c>
    </row>
  </sheetData>
  <mergeCells count="3">
    <mergeCell ref="D1:E1"/>
    <mergeCell ref="A1:B1"/>
    <mergeCell ref="G1:H1"/>
  </mergeCells>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87EE3355BB8F448CA7D50AC5879CE8" ma:contentTypeVersion="18" ma:contentTypeDescription="Create a new document." ma:contentTypeScope="" ma:versionID="24d021edb11ee567ae2940825950415e">
  <xsd:schema xmlns:xsd="http://www.w3.org/2001/XMLSchema" xmlns:xs="http://www.w3.org/2001/XMLSchema" xmlns:p="http://schemas.microsoft.com/office/2006/metadata/properties" xmlns:ns3="98b801d8-d806-44c1-ac6b-840861110366" xmlns:ns4="c5b6697d-e161-414f-8b11-b3434e110ff2" targetNamespace="http://schemas.microsoft.com/office/2006/metadata/properties" ma:root="true" ma:fieldsID="3d975085ff8e00be0c7d2f7475539f42" ns3:_="" ns4:_="">
    <xsd:import namespace="98b801d8-d806-44c1-ac6b-840861110366"/>
    <xsd:import namespace="c5b6697d-e161-414f-8b11-b3434e110f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_activity" minOccurs="0"/>
                <xsd:element ref="ns3:MediaLengthInSeconds" minOccurs="0"/>
                <xsd:element ref="ns3:MediaServiceObjectDetectorVersions" minOccurs="0"/>
                <xsd:element ref="ns3:MediaServiceSearchProperties" minOccurs="0"/>
                <xsd:element ref="ns3: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b801d8-d806-44c1-ac6b-8408611103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_activity" ma:index="21" nillable="true" ma:displayName="_activity" ma:hidden="true" ma:internalName="_activity">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SystemTags" ma:index="25"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5b6697d-e161-414f-8b11-b3434e110f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activity xmlns="98b801d8-d806-44c1-ac6b-840861110366" xsi:nil="true"/>
  </documentManagement>
</p:properties>
</file>

<file path=customXml/itemProps1.xml><?xml version="1.0" encoding="utf-8"?>
<ds:datastoreItem xmlns:ds="http://schemas.openxmlformats.org/officeDocument/2006/customXml" ds:itemID="{D7C6A348-7504-4E4A-89BE-5FD784F624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b801d8-d806-44c1-ac6b-840861110366"/>
    <ds:schemaRef ds:uri="c5b6697d-e161-414f-8b11-b3434e110f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7D0E8BE-C034-4D9A-A248-851506FA107D}">
  <ds:schemaRefs>
    <ds:schemaRef ds:uri="http://schemas.microsoft.com/DataMashup"/>
  </ds:schemaRefs>
</ds:datastoreItem>
</file>

<file path=customXml/itemProps3.xml><?xml version="1.0" encoding="utf-8"?>
<ds:datastoreItem xmlns:ds="http://schemas.openxmlformats.org/officeDocument/2006/customXml" ds:itemID="{B817AF27-63A0-4C89-8D6D-78AC901EB117}">
  <ds:schemaRefs>
    <ds:schemaRef ds:uri="http://schemas.microsoft.com/sharepoint/v3/contenttype/forms"/>
  </ds:schemaRefs>
</ds:datastoreItem>
</file>

<file path=customXml/itemProps4.xml><?xml version="1.0" encoding="utf-8"?>
<ds:datastoreItem xmlns:ds="http://schemas.openxmlformats.org/officeDocument/2006/customXml" ds:itemID="{C7EB7903-AFAF-449B-80C9-2805994F381C}">
  <ds:schemaRefs>
    <ds:schemaRef ds:uri="http://schemas.microsoft.com/office/2006/metadata/properties"/>
    <ds:schemaRef ds:uri="http://www.w3.org/XML/1998/namespace"/>
    <ds:schemaRef ds:uri="98b801d8-d806-44c1-ac6b-840861110366"/>
    <ds:schemaRef ds:uri="http://purl.org/dc/terms/"/>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c5b6697d-e161-414f-8b11-b3434e110ff2"/>
    <ds:schemaRef ds:uri="http://purl.org/dc/dcmitype/"/>
  </ds:schemaRefs>
</ds:datastoreItem>
</file>

<file path=docMetadata/LabelInfo.xml><?xml version="1.0" encoding="utf-8"?>
<clbl:labelList xmlns:clbl="http://schemas.microsoft.com/office/2020/mipLabelMetadata">
  <clbl:label id="{0320ef6f-7349-4acf-b62a-e780da155b7e}" enabled="0" method="" siteId="{0320ef6f-7349-4acf-b62a-e780da155b7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Home</vt:lpstr>
      <vt:lpstr>ELA Reading Data</vt:lpstr>
      <vt:lpstr>FLA Reading Data</vt:lpstr>
      <vt:lpstr>ELA Writing Data</vt:lpstr>
      <vt:lpstr>FLA Writing Data</vt:lpstr>
      <vt:lpstr>Student and Homeroom RW</vt:lpstr>
      <vt:lpstr>Student and Homeroom Writing</vt:lpstr>
      <vt:lpstr>Meeting Report by Pull</vt:lpstr>
      <vt:lpstr>COIL Report by Pull</vt:lpstr>
      <vt:lpstr>Reading by Pull</vt:lpstr>
      <vt:lpstr>Reading Report Summary</vt:lpstr>
      <vt:lpstr>School Pull Details</vt:lpstr>
      <vt:lpstr>Teacher Reading Pull Sheets</vt:lpstr>
      <vt:lpstr>Reading All Pulls Compare</vt:lpstr>
      <vt:lpstr>Writing Logic</vt:lpstr>
      <vt:lpstr>ELA Reading Logic</vt:lpstr>
      <vt:lpstr>FLA Reading Logic</vt:lpstr>
      <vt:lpstr>Reading Report Logic</vt:lpstr>
      <vt:lpstr>'Teacher Reading Pull Sheets'!Print_Area</vt:lpstr>
      <vt:lpstr>'COIL Report by Pull'!Print_Titles</vt:lpstr>
      <vt:lpstr>'Student and Homeroom RW'!Print_Titles</vt:lpstr>
      <vt:lpstr>'Student and Homeroom Writing'!Print_Titles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Raine</dc:creator>
  <cp:keywords/>
  <dc:description/>
  <cp:lastModifiedBy>Jeffrey Raine</cp:lastModifiedBy>
  <cp:revision/>
  <dcterms:created xsi:type="dcterms:W3CDTF">2024-10-22T14:38:33Z</dcterms:created>
  <dcterms:modified xsi:type="dcterms:W3CDTF">2026-05-26T12:17:49Z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0x010100F587EE3355BB8F448CA7D50AC5879CE8</vt:lpwstr>
  </property>
</Properties>
</file>